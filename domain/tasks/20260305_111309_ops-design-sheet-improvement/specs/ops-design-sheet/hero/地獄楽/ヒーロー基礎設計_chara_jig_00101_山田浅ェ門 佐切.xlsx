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キャラ基礎設計" sheetId="1" r:id="rId5"/>
    <sheet state="visible" name="確認用▶︎" sheetId="2" r:id="rId6"/>
    <sheet state="visible" name="わからない時に見る用" sheetId="3" r:id="rId7"/>
    <sheet state="visible" name="DPS計算について" sheetId="4" r:id="rId8"/>
    <sheet state="visible" name="フレームについて" sheetId="5" r:id="rId9"/>
    <sheet state="hidden" name="参照シート" sheetId="6" r:id="rId10"/>
    <sheet state="visible" name="参照シート▶︎" sheetId="7" r:id="rId11"/>
    <sheet state="visible" name="データ構造" sheetId="8" r:id="rId12"/>
    <sheet state="visible" name="参照ランク" sheetId="9" r:id="rId13"/>
    <sheet state="visible" name="キャラクターID管理" sheetId="10" r:id="rId14"/>
    <sheet state="visible" name="必殺ワザレギュ_グレード差分" sheetId="11" r:id="rId15"/>
    <sheet state="visible" name="必殺ワザ(スペシャル系)_グレード差分" sheetId="12" r:id="rId16"/>
    <sheet state="visible" name="作品ID" sheetId="13" r:id="rId17"/>
    <sheet state="visible" name="MstAttack" sheetId="14" r:id="rId18"/>
    <sheet state="visible" name="キャラ基礎数値" sheetId="15" r:id="rId1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T29">
      <text>
        <t xml:space="preserve">範囲(小)：キャラ約1体分
範囲(小：威力減)：キャラ約1体分※一部遠距離キャラ用
範囲(中)：キャラ約1.5体分
範囲(大)：キャラ約2.5体分
範囲(特大)：キャラ約3体分以上
範囲(コマ)0,+1:自身と1つ先のコマ
範囲(コマ)0,-1:自身と1つ前のコマ
範囲(コマ)+1:1つ先のコマ
範囲(コマ)+2:2つ先のコマ
範囲(コマ)-1:1つ前のコマ
範囲(コマ)-2:2つ前のコマ</t>
      </text>
    </comment>
    <comment authorId="0" ref="W29">
      <text>
        <t xml:space="preserve">※攻撃倍率
(範囲_補正値)
単体:1
範囲(小):0.75
範囲(小：威力減):0.5
範囲(中):0.65
範囲(大):0.55
範囲(特大):0.5
範囲(コマ1つ分):0.4
範囲(コマ2つ分以上):0.35
全体:0.3</t>
      </text>
    </comment>
    <comment authorId="0" ref="Z35">
      <text>
        <t xml:space="preserve">範囲(小)：キャラ約1体分
範囲(小：威力減)：キャラ約1体分※一部遠距離キャラ用
範囲(中)：キャラ約1.5体分
範囲(大)：キャラ約2.5体分
範囲(特大)：キャラ約3体分以上
範囲(コマ)0,+1:自身と1つ先のコマ
範囲(コマ)0,-1:自身と1つ前のコマ
範囲(コマ)+1:1つ先のコマ
範囲(コマ)+2:2つ先のコマ
範囲(コマ)-1:1つ前のコマ
範囲(コマ)-2:2つ前のコマ</t>
      </text>
    </comment>
    <comment authorId="0" ref="AC35">
      <text>
        <t xml:space="preserve">※攻撃倍率
(範囲_補正値)
単体:1
範囲(小):0.75
範囲(小：威力減):0.5
範囲(中):0.65
範囲(大):0.55
範囲(特大):0.5
範囲(コマ1つ分):0.4
範囲(コマ2つ分以上):0.35
全体:0.3</t>
      </text>
    </comment>
  </commentList>
</comments>
</file>

<file path=xl/sharedStrings.xml><?xml version="1.0" encoding="utf-8"?>
<sst xmlns="http://schemas.openxmlformats.org/spreadsheetml/2006/main" count="634" uniqueCount="339">
  <si>
    <t>■基礎設計</t>
  </si>
  <si>
    <t>■シミュレーション</t>
  </si>
  <si>
    <t>検索用</t>
  </si>
  <si>
    <t>特筆事項</t>
  </si>
  <si>
    <t>実装日</t>
  </si>
  <si>
    <t>Lv</t>
  </si>
  <si>
    <t>基礎HP</t>
  </si>
  <si>
    <t>基礎ATK</t>
  </si>
  <si>
    <t>Rnk込星1HP</t>
  </si>
  <si>
    <t>Rnk込星1ATK</t>
  </si>
  <si>
    <t>星2HP</t>
  </si>
  <si>
    <t>星3HP</t>
  </si>
  <si>
    <t>星4HP</t>
  </si>
  <si>
    <t>星5HP</t>
  </si>
  <si>
    <t>星6HP</t>
  </si>
  <si>
    <t>星7HP</t>
  </si>
  <si>
    <t>星8HP</t>
  </si>
  <si>
    <t>星9HP</t>
  </si>
  <si>
    <t>星10HP</t>
  </si>
  <si>
    <t>星2ATK</t>
  </si>
  <si>
    <t>星3ATK</t>
  </si>
  <si>
    <t>星4ATK</t>
  </si>
  <si>
    <t>星5ATK</t>
  </si>
  <si>
    <t>星6ATK</t>
  </si>
  <si>
    <t>星7ATK</t>
  </si>
  <si>
    <t>星8ATK</t>
  </si>
  <si>
    <t>星9ATK</t>
  </si>
  <si>
    <t>星10ATK</t>
  </si>
  <si>
    <t>リリース時キャラ</t>
  </si>
  <si>
    <t>デプロイ</t>
  </si>
  <si>
    <t>※少数切り上げ</t>
  </si>
  <si>
    <t>Rnk</t>
  </si>
  <si>
    <t>基礎情報</t>
  </si>
  <si>
    <t>消さないで</t>
  </si>
  <si>
    <t>キャラ_ID</t>
  </si>
  <si>
    <t>キャラクター名</t>
  </si>
  <si>
    <t>作品名</t>
  </si>
  <si>
    <t>chara_jig_00101</t>
  </si>
  <si>
    <t>ラベル</t>
  </si>
  <si>
    <t>ロール</t>
  </si>
  <si>
    <t>属性</t>
  </si>
  <si>
    <t>攻撃射程</t>
  </si>
  <si>
    <t>※キャラクター名：Glow_ID_管理のFIX名称を参照。未記入の場合(仮)名称を参照。</t>
  </si>
  <si>
    <t>基本ステータス</t>
  </si>
  <si>
    <t>召喚コスト</t>
  </si>
  <si>
    <t>再召喚時間F</t>
  </si>
  <si>
    <t>well_distace</t>
  </si>
  <si>
    <t>移動速度</t>
  </si>
  <si>
    <t>KB回数</t>
  </si>
  <si>
    <t>Lvステータス</t>
  </si>
  <si>
    <t>体力Lv1</t>
  </si>
  <si>
    <t>体力Lv150</t>
  </si>
  <si>
    <t>攻撃力Lv1</t>
  </si>
  <si>
    <t>攻撃力Lv150</t>
  </si>
  <si>
    <t>特性</t>
  </si>
  <si>
    <t>効果値</t>
  </si>
  <si>
    <t>解放ランク</t>
  </si>
  <si>
    <t>解放レベル</t>
  </si>
  <si>
    <t>-</t>
  </si>
  <si>
    <t>※解放ランク1=Lv20,ランク2=Lv30。以降同様。</t>
  </si>
  <si>
    <t>通常攻撃ステータス</t>
  </si>
  <si>
    <t>オノマトペ</t>
  </si>
  <si>
    <t>通常攻撃発生F</t>
  </si>
  <si>
    <t>攻撃ヒットF</t>
  </si>
  <si>
    <t>攻撃CDF</t>
  </si>
  <si>
    <t>攻撃距離</t>
  </si>
  <si>
    <t>射程</t>
  </si>
  <si>
    <t>攻撃範囲</t>
  </si>
  <si>
    <t>攻撃倍率</t>
  </si>
  <si>
    <t>range_start_type</t>
  </si>
  <si>
    <t>range_start_parameter</t>
  </si>
  <si>
    <t>range_end_type</t>
  </si>
  <si>
    <t>range_end_parameter</t>
  </si>
  <si>
    <t>対象</t>
  </si>
  <si>
    <t>対象属性</t>
  </si>
  <si>
    <t>対象ロール</t>
  </si>
  <si>
    <t>Distance</t>
  </si>
  <si>
    <t>敵</t>
  </si>
  <si>
    <t>All</t>
  </si>
  <si>
    <t>→</t>
  </si>
  <si>
    <t>攻撃発生Fと攻撃ヒットFは各数値に *50。その他攻撃CDFは/50。</t>
  </si>
  <si>
    <t>必殺ワザステータス</t>
  </si>
  <si>
    <t>※数式参照用</t>
  </si>
  <si>
    <t>必殺攻撃_
オノマトペ</t>
  </si>
  <si>
    <t>必殺攻撃F</t>
  </si>
  <si>
    <t>必殺攻撃ヒットF</t>
  </si>
  <si>
    <t>初回必殺CDF</t>
  </si>
  <si>
    <t>2回目以降必殺CDF</t>
  </si>
  <si>
    <t>バフ・デバフ効果型</t>
  </si>
  <si>
    <t>※攻撃系以外の必殺ワザは攻撃倍率「無」</t>
  </si>
  <si>
    <t>必殺ワザ詳細</t>
  </si>
  <si>
    <t>必殺ワザ1</t>
  </si>
  <si>
    <t>必殺ワザ2</t>
  </si>
  <si>
    <t>必殺ワザ3</t>
  </si>
  <si>
    <t>攻撃・特殊系効果</t>
  </si>
  <si>
    <t>バフ・デバフ系効果</t>
  </si>
  <si>
    <t>グレード</t>
  </si>
  <si>
    <t>効果時間</t>
  </si>
  <si>
    <t>発動確率</t>
  </si>
  <si>
    <t>連続攻撃は最大ダメージ。効果時間は/50。</t>
  </si>
  <si>
    <t>必殺ワザ文言</t>
  </si>
  <si>
    <t>文字数</t>
  </si>
  <si>
    <t>必殺ワザ詳細文言</t>
  </si>
  <si>
    <t>敵単体に自身の攻撃ステータスの100%のダメージ(敵が緑属性の場合は110%のダメージ)</t>
  </si>
  <si>
    <t>敵単体に自身の攻撃ステータスの100%のダメージ(敵が緑属性の場合は125%のダメージ)</t>
  </si>
  <si>
    <t>敵単体に自身の攻撃ステータスの100%のダメージ(敵が緑属性の場合は136%のダメージ)</t>
  </si>
  <si>
    <t>敵単体に自身の攻撃ステータスの100%のダメージ(敵が緑属性の場合は144%のダメージ)</t>
  </si>
  <si>
    <t>敵単体に自身の攻撃ステータスの100%のダメージ(敵が緑属性の場合は150%のダメージ)</t>
  </si>
  <si>
    <t>※84字まで</t>
  </si>
  <si>
    <t>※18字まで</t>
  </si>
  <si>
    <t>ワンポイント文言</t>
  </si>
  <si>
    <t>※100字まで</t>
  </si>
  <si>
    <t>※その他キャラ文言関連に関しては↓を参照</t>
  </si>
  <si>
    <t>https://docs.google.com/spreadsheets/d/15MhqG2fCmYP60QZn_waTxDLL-LlRRkpIhKt6iaLyIzo/edit?gid=0#gid=0</t>
  </si>
  <si>
    <t>▼必殺ワザスキル文言、ワンポイント文言へのFBは以下に記載をお願いします（問題なければ「OK」だけ記載お願いします）</t>
  </si>
  <si>
    <t>■グレード</t>
  </si>
  <si>
    <t>*$AO9</t>
  </si>
  <si>
    <t>星</t>
  </si>
  <si>
    <t>レアリティ</t>
  </si>
  <si>
    <t>FestivalUR</t>
  </si>
  <si>
    <t>PremiumUR</t>
  </si>
  <si>
    <t>PremiumSSR</t>
  </si>
  <si>
    <t>PremiumSR</t>
  </si>
  <si>
    <t>PremiumR</t>
  </si>
  <si>
    <t>DropSSR</t>
  </si>
  <si>
    <t>DropSR</t>
  </si>
  <si>
    <t>DropR</t>
  </si>
  <si>
    <t>指数係数</t>
  </si>
  <si>
    <t>ランク</t>
  </si>
  <si>
    <t>上昇率</t>
  </si>
  <si>
    <t>参照レベル</t>
  </si>
  <si>
    <t>HP上昇値</t>
  </si>
  <si>
    <t>ATK上昇値</t>
  </si>
  <si>
    <t>アニメーションフレーム割り出し方</t>
  </si>
  <si>
    <t>・spineのフレームを秒に変換する必要がある（spine30fps=1秒）</t>
  </si>
  <si>
    <t>・設定フレーム＝(spine秒/30)*50(unityフレーム)</t>
  </si>
  <si>
    <t>例)spine桃</t>
  </si>
  <si>
    <t>通常</t>
  </si>
  <si>
    <t>必殺</t>
  </si>
  <si>
    <t>例</t>
  </si>
  <si>
    <t>攻撃F</t>
  </si>
  <si>
    <t>攻撃発生F</t>
  </si>
  <si>
    <t>射程について</t>
  </si>
  <si>
    <t>以下の値の幅で設定する</t>
  </si>
  <si>
    <t>※Well_distanceは-0.01する</t>
  </si>
  <si>
    <t>＜射程＞</t>
  </si>
  <si>
    <t>・ディフェンスを盾役として前に出す</t>
  </si>
  <si>
    <t>ディフェンス</t>
  </si>
  <si>
    <t>近距離</t>
  </si>
  <si>
    <t>〜</t>
  </si>
  <si>
    <t>中距離</t>
  </si>
  <si>
    <t>遠距離</t>
  </si>
  <si>
    <t>以上</t>
  </si>
  <si>
    <t>アタック</t>
  </si>
  <si>
    <t>サポート</t>
  </si>
  <si>
    <t>テクニカル</t>
  </si>
  <si>
    <t>※参考　chara_gom_00201（クロル）の超遠距離は0.7で設定</t>
  </si>
  <si>
    <t>■射程設定レギュ</t>
  </si>
  <si>
    <t>素手</t>
  </si>
  <si>
    <t>武器・道具</t>
  </si>
  <si>
    <t>素手・武器・道具</t>
  </si>
  <si>
    <t>特殊攻撃・投げ物・長物</t>
  </si>
  <si>
    <t>攻撃を飛ばす</t>
  </si>
  <si>
    <t>例：ディフェンス射程数値幅のイメージ</t>
  </si>
  <si>
    <t>素手で戦う(ド近距離)</t>
  </si>
  <si>
    <t>武器・道具などで戦う</t>
  </si>
  <si>
    <t>素手・武器・道具(近距離よりはリーチが長いイメージ)</t>
  </si>
  <si>
    <t>(特殊能力やセフィロスの超長刀など道具でも距離長いイメージあればアリ)</t>
  </si>
  <si>
    <t>その他順次追加</t>
  </si>
  <si>
    <t>通常DPS計算</t>
  </si>
  <si>
    <t>DPS</t>
  </si>
  <si>
    <t>攻撃力</t>
  </si>
  <si>
    <t>(50F/(通常攻撃秒(F)+攻撃cd秒(F))</t>
  </si>
  <si>
    <t>必殺DPS計算</t>
  </si>
  <si>
    <t>必殺攻撃力</t>
  </si>
  <si>
    <t>(50F/(必殺ワザ発生秒(F)+必殺ワザ後クールタイム秒(F))</t>
  </si>
  <si>
    <t>キャラフレームについて</t>
  </si>
  <si>
    <t>・</t>
  </si>
  <si>
    <t>GLOWは1秒=50Fで管理</t>
  </si>
  <si>
    <t>最遅・遅・普通・速・最速</t>
  </si>
  <si>
    <t>分類</t>
  </si>
  <si>
    <t>速度イメージ</t>
  </si>
  <si>
    <t>にゃんこの味方キャラ</t>
  </si>
  <si>
    <t>にゃんこの敵キャラ</t>
  </si>
  <si>
    <t>速い</t>
  </si>
  <si>
    <t>走る</t>
  </si>
  <si>
    <t>ネコヴァルキリーぐらい</t>
  </si>
  <si>
    <t>カ・ンガリュぐらい</t>
  </si>
  <si>
    <t>普通</t>
  </si>
  <si>
    <t>歩く</t>
  </si>
  <si>
    <t>ネコぐらい</t>
  </si>
  <si>
    <t>例のヤツぐらい</t>
  </si>
  <si>
    <t>遅い</t>
  </si>
  <si>
    <t>這う</t>
  </si>
  <si>
    <t>ねこ縛りぐらい</t>
  </si>
  <si>
    <t>わんこぐらい</t>
  </si>
  <si>
    <t>通常攻撃</t>
  </si>
  <si>
    <t>モーションフレーム数範囲</t>
  </si>
  <si>
    <t>モーション秒数</t>
  </si>
  <si>
    <t>GLOWキャラ</t>
  </si>
  <si>
    <t>最長（特殊）</t>
  </si>
  <si>
    <t>長い</t>
  </si>
  <si>
    <t>ネコアーチャーくらい</t>
  </si>
  <si>
    <t>ネコと宇宙くらい</t>
  </si>
  <si>
    <t>綾瀬桃</t>
  </si>
  <si>
    <t>短い</t>
  </si>
  <si>
    <t>最短（特殊）</t>
  </si>
  <si>
    <t>ウシネコくらい</t>
  </si>
  <si>
    <t>必殺ワザ</t>
  </si>
  <si>
    <t>最長</t>
  </si>
  <si>
    <t>ネコムートくらい</t>
  </si>
  <si>
    <t>にゃんこmemo</t>
  </si>
  <si>
    <t>f（1秒）</t>
  </si>
  <si>
    <t>アニメーションフレーム変換について</t>
  </si>
  <si>
    <t>・spineのフレームを（spine30fps=1秒）GLOWのフレーム（GLOW50fps=1秒）に変換する必要がある</t>
  </si>
  <si>
    <t>例）Spine設定　綾瀬桃</t>
  </si>
  <si>
    <t>攻撃55F</t>
  </si>
  <si>
    <t>←これはspineのFなのでここからGLOWのフレームに置き換える
(1)秒数に変換する。→(1)*50Fをする</t>
  </si>
  <si>
    <t>HIT25F</t>
  </si>
  <si>
    <t>↓</t>
  </si>
  <si>
    <t>(1)秒数に変換＝Spineフレーム(55F)/30</t>
  </si>
  <si>
    <t>GLOWフレーム置き換え=(1)*50</t>
  </si>
  <si>
    <t>簡易計算式(spineフレーム/30)*50</t>
  </si>
  <si>
    <t>基礎値</t>
  </si>
  <si>
    <t>2.5</t>
  </si>
  <si>
    <t>role</t>
  </si>
  <si>
    <t>HP基礎</t>
  </si>
  <si>
    <t>ATK基礎</t>
  </si>
  <si>
    <t>調整係数</t>
  </si>
  <si>
    <t>コスト</t>
  </si>
  <si>
    <t>係数</t>
  </si>
  <si>
    <t>再生産(秒)</t>
  </si>
  <si>
    <t>タンク：近</t>
  </si>
  <si>
    <t>0.85</t>
  </si>
  <si>
    <t>タンク：中</t>
  </si>
  <si>
    <t>タンク：遠</t>
  </si>
  <si>
    <t>アタック：近</t>
  </si>
  <si>
    <t>アタック：中</t>
  </si>
  <si>
    <t>PremiumN</t>
  </si>
  <si>
    <t>アタック：遠</t>
  </si>
  <si>
    <t>サポート：近</t>
  </si>
  <si>
    <t>サポート：中</t>
  </si>
  <si>
    <t>サポート：遠</t>
  </si>
  <si>
    <t>DropN</t>
  </si>
  <si>
    <t>HP基礎値</t>
  </si>
  <si>
    <t>ATK基礎値</t>
  </si>
  <si>
    <t>HP係数</t>
  </si>
  <si>
    <t>攻撃力係数</t>
  </si>
  <si>
    <t>備考</t>
  </si>
  <si>
    <t>・HP</t>
  </si>
  <si>
    <t>rounddown(基礎値*ヒーローコスト係数*ヒーロー再生産係数*ヒーロー通常攻撃係数*個別係数)=最大ステータス値</t>
  </si>
  <si>
    <t>・攻撃力</t>
  </si>
  <si>
    <t>星強化加算ステータス＝100Lvステータス*星係数</t>
  </si>
  <si>
    <t>星1</t>
  </si>
  <si>
    <t>星2</t>
  </si>
  <si>
    <t>星3</t>
  </si>
  <si>
    <t>星4</t>
  </si>
  <si>
    <t>星5</t>
  </si>
  <si>
    <t>星6</t>
  </si>
  <si>
    <t>星7</t>
  </si>
  <si>
    <t>星8</t>
  </si>
  <si>
    <t>星9</t>
  </si>
  <si>
    <t>星10</t>
  </si>
  <si>
    <t>table</t>
  </si>
  <si>
    <t>column</t>
  </si>
  <si>
    <t>内容</t>
  </si>
  <si>
    <t>NULL許容</t>
  </si>
  <si>
    <t>デフォルト値</t>
  </si>
  <si>
    <t>カラムの説明</t>
  </si>
  <si>
    <t>パラメータ説明</t>
  </si>
  <si>
    <t>mst_units</t>
  </si>
  <si>
    <t>id</t>
  </si>
  <si>
    <t>varchar(255)</t>
  </si>
  <si>
    <t>fragment_mst_item_id</t>
  </si>
  <si>
    <t>かけらID(mst_items.id)</t>
  </si>
  <si>
    <t>role_type</t>
  </si>
  <si>
    <t>enum</t>
  </si>
  <si>
    <t>Attack
Balance
Defense
Support
Unique</t>
  </si>
  <si>
    <t>ゲームの仕様変更</t>
  </si>
  <si>
    <t>unit_label</t>
  </si>
  <si>
    <t>DropN
DropR
DropSR
DropSSR
PremiumN
PremiumR
PremiumSR
PremiumSSR
PremiumUR</t>
  </si>
  <si>
    <t>attack_range</t>
  </si>
  <si>
    <t>Short
Middle
Long</t>
  </si>
  <si>
    <t>image_id</t>
  </si>
  <si>
    <t>bigint</t>
  </si>
  <si>
    <t>asset_key</t>
  </si>
  <si>
    <t>rarity</t>
  </si>
  <si>
    <t>N
R
SR
SSR
UR</t>
  </si>
  <si>
    <t>sort_order</t>
  </si>
  <si>
    <t>int</t>
  </si>
  <si>
    <t>summon_cost</t>
  </si>
  <si>
    <t>summon_cool_time</t>
  </si>
  <si>
    <t>hp</t>
  </si>
  <si>
    <t>damage_knock_back_count</t>
  </si>
  <si>
    <t>move_speed</t>
  </si>
  <si>
    <t>well_distance</t>
  </si>
  <si>
    <t>float</t>
  </si>
  <si>
    <t>attack_power</t>
  </si>
  <si>
    <t>attack_combo_cycle</t>
  </si>
  <si>
    <t>normal_attack_id</t>
  </si>
  <si>
    <t>special_attack_id</t>
  </si>
  <si>
    <t>bounding_range_front</t>
  </si>
  <si>
    <t>bounding_range_back</t>
  </si>
  <si>
    <t>series_asset_key</t>
  </si>
  <si>
    <t>avatar_icon_path</t>
  </si>
  <si>
    <t>mst_unit_fragment_converts</t>
  </si>
  <si>
    <t>convert_amount</t>
  </si>
  <si>
    <t>1被り辺りの変換数</t>
  </si>
  <si>
    <t>release_key</t>
  </si>
  <si>
    <t>mst_units_i18n</t>
  </si>
  <si>
    <t>mst_unit_id</t>
  </si>
  <si>
    <t>mst_units.id</t>
  </si>
  <si>
    <t>language</t>
  </si>
  <si>
    <t>言語</t>
  </si>
  <si>
    <t>ja
en
zh-Hant</t>
  </si>
  <si>
    <t>name</t>
  </si>
  <si>
    <t>名前</t>
  </si>
  <si>
    <t>description</t>
  </si>
  <si>
    <t>詳細</t>
  </si>
  <si>
    <t>mst_unit_level_ups</t>
  </si>
  <si>
    <t>ユニットタイプ</t>
  </si>
  <si>
    <t>level</t>
  </si>
  <si>
    <t>レベル</t>
  </si>
  <si>
    <t>required_coin</t>
  </si>
  <si>
    <t>レベルアップに必要なコイン</t>
  </si>
  <si>
    <t>mst_unit_rank_ups</t>
  </si>
  <si>
    <t>required_mst_item_id</t>
  </si>
  <si>
    <t>リミテッドメモリーのアイテムID</t>
  </si>
  <si>
    <t>rank</t>
  </si>
  <si>
    <t>限界突破値</t>
  </si>
  <si>
    <t>amount</t>
  </si>
  <si>
    <t>リミテッドメモリーの必要数</t>
  </si>
  <si>
    <t>require_level</t>
  </si>
  <si>
    <t>限界突破に必要なユニットのレベル</t>
  </si>
  <si>
    <t>mst_unit_grade_ups</t>
  </si>
  <si>
    <t>grade_level</t>
  </si>
  <si>
    <t>グレードレベル</t>
  </si>
  <si>
    <t>require_amount</t>
  </si>
  <si>
    <t>必要なキャラのかけら数</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</si>
</sst>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0.0"/>
  </numFmts>
  <fonts count="27">
    <font>
      <sz val="10.0"/>
      <color rgb="FF000000"/>
      <name val="Arial"/>
      <scheme val="minor"/>
    </font>
    <font>
      <sz val="8.0"/>
      <color theme="1"/>
      <name val="Arial"/>
      <scheme val="minor"/>
    </font>
    <font>
      <color theme="1"/>
      <name val="Arial"/>
      <scheme val="minor"/>
    </font>
    <font>
      <sz val="8.0"/>
      <color theme="1"/>
      <name val="Arial"/>
    </font>
    <font>
      <b/>
      <sz val="8.0"/>
      <color rgb="FFFFFFFF"/>
      <name val="Arial"/>
    </font>
    <font>
      <sz val="8.0"/>
      <color rgb="FF000000"/>
      <name val="Arial"/>
    </font>
    <font/>
    <font>
      <color theme="1"/>
      <name val="Arial"/>
    </font>
    <font>
      <b/>
      <sz val="8.0"/>
      <color theme="1"/>
      <name val="Arial"/>
      <scheme val="minor"/>
    </font>
    <font>
      <u/>
      <sz val="8.0"/>
      <color rgb="FF0000FF"/>
    </font>
    <font>
      <color rgb="FFFF0000"/>
      <name val="Arial"/>
      <scheme val="minor"/>
    </font>
    <font>
      <b/>
      <sz val="8.0"/>
      <color rgb="FF000000"/>
      <name val="Arial"/>
    </font>
    <font>
      <u/>
      <color rgb="FF0000FF"/>
    </font>
    <font>
      <color rgb="FFFF0000"/>
      <name val="Arial"/>
    </font>
    <font>
      <b/>
      <color theme="1"/>
      <name val="Arial"/>
    </font>
    <font>
      <color rgb="FF1F1F1F"/>
      <name val="Arial"/>
    </font>
    <font>
      <sz val="7.0"/>
      <color theme="1"/>
      <name val="Arial"/>
    </font>
    <font>
      <color rgb="FFFFFFFF"/>
      <name val="Arial"/>
      <scheme val="minor"/>
    </font>
    <font>
      <b/>
      <color theme="1"/>
      <name val="Arial"/>
      <scheme val="minor"/>
    </font>
    <font>
      <b/>
      <sz val="10.0"/>
      <color theme="1"/>
      <name val="Arial"/>
      <scheme val="minor"/>
    </font>
    <font>
      <sz val="10.0"/>
      <color theme="1"/>
      <name val="Arial"/>
      <scheme val="minor"/>
    </font>
    <font>
      <b/>
      <sz val="8.0"/>
      <color theme="1"/>
      <name val="Arial"/>
    </font>
    <font>
      <sz val="9.0"/>
      <color theme="1"/>
      <name val="Arial"/>
    </font>
    <font>
      <b/>
      <sz val="9.0"/>
      <color theme="1"/>
      <name val="Arial"/>
    </font>
    <font>
      <sz val="9.0"/>
      <color rgb="FFFF0000"/>
      <name val="Arial"/>
    </font>
    <font>
      <u/>
      <color rgb="FF0000FF"/>
    </font>
    <font>
      <u/>
      <color rgb="FF0000FF"/>
    </font>
  </fonts>
  <fills count="27">
    <fill>
      <patternFill patternType="none"/>
    </fill>
    <fill>
      <patternFill patternType="lightGray"/>
    </fill>
    <fill>
      <patternFill patternType="solid">
        <fgColor rgb="FF434343"/>
        <bgColor rgb="FF434343"/>
      </patternFill>
    </fill>
    <fill>
      <patternFill patternType="solid">
        <fgColor rgb="FFD9EAD3"/>
        <bgColor rgb="FFD9EAD3"/>
      </patternFill>
    </fill>
    <fill>
      <patternFill patternType="solid">
        <fgColor rgb="FFFFFFFF"/>
        <bgColor rgb="FFFFFFFF"/>
      </patternFill>
    </fill>
    <fill>
      <patternFill patternType="solid">
        <fgColor rgb="FFD9D9D9"/>
        <bgColor rgb="FFD9D9D9"/>
      </patternFill>
    </fill>
    <fill>
      <patternFill patternType="solid">
        <fgColor rgb="FFD9D2E9"/>
        <bgColor rgb="FFD9D2E9"/>
      </patternFill>
    </fill>
    <fill>
      <patternFill patternType="solid">
        <fgColor rgb="FFFFF2CC"/>
        <bgColor rgb="FFFFF2CC"/>
      </patternFill>
    </fill>
    <fill>
      <patternFill patternType="solid">
        <fgColor rgb="FFCFE2F3"/>
        <bgColor rgb="FFCFE2F3"/>
      </patternFill>
    </fill>
    <fill>
      <patternFill patternType="solid">
        <fgColor rgb="FFCCCCCC"/>
        <bgColor rgb="FFCCCCCC"/>
      </patternFill>
    </fill>
    <fill>
      <patternFill patternType="solid">
        <fgColor rgb="FFFFD966"/>
        <bgColor rgb="FFFFD966"/>
      </patternFill>
    </fill>
    <fill>
      <patternFill patternType="solid">
        <fgColor rgb="FFFFE599"/>
        <bgColor rgb="FFFFE599"/>
      </patternFill>
    </fill>
    <fill>
      <patternFill patternType="solid">
        <fgColor rgb="FFC9DAF8"/>
        <bgColor rgb="FFC9DAF8"/>
      </patternFill>
    </fill>
    <fill>
      <patternFill patternType="solid">
        <fgColor rgb="FFA4C2F4"/>
        <bgColor rgb="FFA4C2F4"/>
      </patternFill>
    </fill>
    <fill>
      <patternFill patternType="solid">
        <fgColor rgb="FFB4A7D6"/>
        <bgColor rgb="FFB4A7D6"/>
      </patternFill>
    </fill>
    <fill>
      <patternFill patternType="solid">
        <fgColor rgb="FFFCE5CD"/>
        <bgColor rgb="FFFCE5CD"/>
      </patternFill>
    </fill>
    <fill>
      <patternFill patternType="solid">
        <fgColor rgb="FFB6D7A8"/>
        <bgColor rgb="FFB6D7A8"/>
      </patternFill>
    </fill>
    <fill>
      <patternFill patternType="solid">
        <fgColor rgb="FFF4CCCC"/>
        <bgColor rgb="FFF4CCCC"/>
      </patternFill>
    </fill>
    <fill>
      <patternFill patternType="solid">
        <fgColor rgb="FFEAD1DC"/>
        <bgColor rgb="FFEAD1DC"/>
      </patternFill>
    </fill>
    <fill>
      <patternFill patternType="solid">
        <fgColor rgb="FFE6B8AF"/>
        <bgColor rgb="FFE6B8AF"/>
      </patternFill>
    </fill>
    <fill>
      <patternFill patternType="solid">
        <fgColor rgb="FFD0E0E3"/>
        <bgColor rgb="FFD0E0E3"/>
      </patternFill>
    </fill>
    <fill>
      <patternFill patternType="solid">
        <fgColor rgb="FF666666"/>
        <bgColor rgb="FF666666"/>
      </patternFill>
    </fill>
    <fill>
      <patternFill patternType="solid">
        <fgColor rgb="FFFF0000"/>
        <bgColor rgb="FFFF0000"/>
      </patternFill>
    </fill>
    <fill>
      <patternFill patternType="solid">
        <fgColor rgb="FFFFFF00"/>
        <bgColor rgb="FFFFFF00"/>
      </patternFill>
    </fill>
    <fill>
      <patternFill patternType="solid">
        <fgColor rgb="FFEFEFEF"/>
        <bgColor rgb="FFEFEFEF"/>
      </patternFill>
    </fill>
    <fill>
      <patternFill patternType="solid">
        <fgColor rgb="FFFEF2CB"/>
        <bgColor rgb="FFFEF2CB"/>
      </patternFill>
    </fill>
    <fill>
      <patternFill patternType="solid">
        <fgColor rgb="FFF9CB9C"/>
        <bgColor rgb="FFF9CB9C"/>
      </patternFill>
    </fill>
  </fills>
  <borders count="9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medium">
        <color rgb="FF000000"/>
      </lef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right style="medium">
        <color rgb="FF000000"/>
      </right>
      <top style="medium">
        <color rgb="FF000000"/>
      </top>
    </border>
    <border>
      <left style="medium">
        <color rgb="FF000000"/>
      </left>
      <right style="medium">
        <color rgb="FF000000"/>
      </right>
      <top style="medium">
        <color rgb="FF000000"/>
      </top>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medium">
        <color rgb="FF000000"/>
      </top>
    </border>
    <border>
      <left style="thin">
        <color rgb="FF000000"/>
      </left>
      <right style="thin">
        <color rgb="FF000000"/>
      </right>
      <top style="medium">
        <color rgb="FF000000"/>
      </top>
      <bottom style="dotted">
        <color rgb="FF000000"/>
      </bottom>
    </border>
    <border>
      <top style="medium">
        <color rgb="FF000000"/>
      </top>
      <bottom style="dotted">
        <color rgb="FF000000"/>
      </bottom>
    </border>
    <border>
      <left style="thin">
        <color rgb="FF000000"/>
      </left>
      <top style="medium">
        <color rgb="FF000000"/>
      </top>
      <bottom style="dotted">
        <color rgb="FF000000"/>
      </bottom>
    </border>
    <border>
      <left style="thin">
        <color rgb="FF000000"/>
      </left>
      <right style="medium">
        <color rgb="FF000000"/>
      </right>
      <top style="medium">
        <color rgb="FF000000"/>
      </top>
      <bottom style="dotted">
        <color rgb="FF000000"/>
      </bottom>
    </border>
    <border>
      <left style="thin">
        <color rgb="FF000000"/>
      </left>
      <right style="thin">
        <color rgb="FF000000"/>
      </right>
      <top style="dotted">
        <color rgb="FF000000"/>
      </top>
      <bottom style="dotted">
        <color rgb="FF000000"/>
      </bottom>
    </border>
    <border>
      <left style="thin">
        <color rgb="FF000000"/>
      </left>
      <top style="dotted">
        <color rgb="FF000000"/>
      </top>
      <bottom style="dotted">
        <color rgb="FF000000"/>
      </bottom>
    </border>
    <border>
      <left style="thin">
        <color rgb="FF000000"/>
      </left>
      <right style="medium">
        <color rgb="FF000000"/>
      </right>
      <top style="dotted">
        <color rgb="FF000000"/>
      </top>
      <bottom style="dotted">
        <color rgb="FF000000"/>
      </bottom>
    </border>
    <border>
      <left style="thin">
        <color rgb="FF000000"/>
      </left>
      <bottom style="medium">
        <color rgb="FF000000"/>
      </bottom>
    </border>
    <border>
      <left style="thin">
        <color rgb="FF000000"/>
      </left>
      <right style="thin">
        <color rgb="FF000000"/>
      </right>
      <top style="dotted">
        <color rgb="FF000000"/>
      </top>
      <bottom style="medium">
        <color rgb="FF000000"/>
      </bottom>
    </border>
    <border>
      <left style="thin">
        <color rgb="FF000000"/>
      </left>
      <top style="dotted">
        <color rgb="FF000000"/>
      </top>
      <bottom style="medium">
        <color rgb="FF000000"/>
      </bottom>
    </border>
    <border>
      <left style="thin">
        <color rgb="FF000000"/>
      </left>
      <right style="medium">
        <color rgb="FF000000"/>
      </right>
      <top style="dotted">
        <color rgb="FF000000"/>
      </top>
      <bottom style="medium">
        <color rgb="FF000000"/>
      </bottom>
    </border>
    <border>
      <top style="dotted">
        <color rgb="FF000000"/>
      </top>
      <bottom style="dotted">
        <color rgb="FF000000"/>
      </bottom>
    </border>
    <border>
      <left style="thin">
        <color rgb="FF000000"/>
      </left>
      <right style="thin">
        <color rgb="FF000000"/>
      </right>
      <top style="dotted">
        <color rgb="FF000000"/>
      </top>
    </border>
    <border>
      <top style="dotted">
        <color rgb="FF000000"/>
      </top>
    </border>
    <border>
      <left style="thin">
        <color rgb="FF000000"/>
      </left>
      <top style="dotted">
        <color rgb="FF000000"/>
      </top>
    </border>
    <border>
      <left style="thin">
        <color rgb="FF000000"/>
      </left>
      <right style="medium">
        <color rgb="FF000000"/>
      </right>
      <top style="dotted">
        <color rgb="FF000000"/>
      </top>
    </border>
    <border>
      <left style="medium">
        <color rgb="FF000000"/>
      </left>
      <right style="thin">
        <color rgb="FF000000"/>
      </right>
    </border>
    <border>
      <left style="thin">
        <color rgb="FF000000"/>
      </left>
      <right style="thin">
        <color rgb="FF000000"/>
      </right>
      <bottom style="dotted">
        <color rgb="FF000000"/>
      </bottom>
    </border>
    <border>
      <left style="thin">
        <color rgb="FF000000"/>
      </left>
      <top style="dotted">
        <color rgb="FF000000"/>
      </top>
      <bottom style="thin">
        <color rgb="FF000000"/>
      </bottom>
    </border>
    <border>
      <left style="thin">
        <color rgb="FF000000"/>
      </left>
      <right style="thin">
        <color rgb="FF000000"/>
      </right>
      <top style="dotted">
        <color rgb="FF000000"/>
      </top>
      <bottom style="thin">
        <color rgb="FF000000"/>
      </bottom>
    </border>
    <border>
      <top style="dotted">
        <color rgb="FF000000"/>
      </top>
      <bottom style="thin">
        <color rgb="FF000000"/>
      </bottom>
    </border>
    <border>
      <left style="thin">
        <color rgb="FF000000"/>
      </left>
      <right style="thin">
        <color rgb="FF000000"/>
      </right>
      <top style="thin">
        <color rgb="FF000000"/>
      </top>
      <bottom style="dotted">
        <color rgb="FF000000"/>
      </bottom>
    </border>
    <border>
      <left style="thin">
        <color rgb="FF000000"/>
      </left>
      <top style="thin">
        <color rgb="FF000000"/>
      </top>
      <bottom style="dotted">
        <color rgb="FF000000"/>
      </bottom>
    </border>
    <border>
      <left style="thin">
        <color rgb="FF000000"/>
      </left>
      <right style="medium">
        <color rgb="FF000000"/>
      </right>
      <top style="thin">
        <color rgb="FF000000"/>
      </top>
      <bottom style="dotted">
        <color rgb="FF000000"/>
      </bottom>
    </border>
    <border>
      <left style="thin">
        <color rgb="FF000000"/>
      </left>
      <right style="medium">
        <color rgb="FF000000"/>
      </right>
      <top style="dotted">
        <color rgb="FF000000"/>
      </top>
      <bottom style="thin">
        <color rgb="FF000000"/>
      </bottom>
    </border>
    <border>
      <left style="thin">
        <color rgb="FF000000"/>
      </left>
      <bottom style="dotted">
        <color rgb="FF000000"/>
      </bottom>
    </border>
    <border>
      <left style="thin">
        <color rgb="FF000000"/>
      </left>
      <right style="medium">
        <color rgb="FF000000"/>
      </right>
      <bottom style="dotted">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top style="dotted">
        <color rgb="FF000000"/>
      </top>
      <bottom style="medium">
        <color rgb="FF000000"/>
      </bottom>
    </border>
    <border>
      <left style="thin">
        <color rgb="FF000000"/>
      </left>
      <right style="thin">
        <color rgb="FF000000"/>
      </right>
    </border>
    <border>
      <top style="medium">
        <color rgb="FF000000"/>
      </top>
    </border>
    <border>
      <right style="thin">
        <color rgb="FF000000"/>
      </right>
      <top style="medium">
        <color rgb="FF000000"/>
      </top>
      <bottom style="dotted">
        <color rgb="FF000000"/>
      </bottom>
    </border>
    <border>
      <left style="thin">
        <color rgb="FF000000"/>
      </left>
      <right style="thin">
        <color rgb="FF000000"/>
      </right>
      <top style="medium">
        <color rgb="FF000000"/>
      </top>
    </border>
    <border>
      <right style="thin">
        <color rgb="FF000000"/>
      </right>
      <top style="medium">
        <color rgb="FF000000"/>
      </top>
    </border>
    <border>
      <right style="medium">
        <color rgb="FF000000"/>
      </right>
      <top style="dotted">
        <color rgb="FF000000"/>
      </top>
      <bottom style="thin">
        <color rgb="FF000000"/>
      </bottom>
    </border>
    <border>
      <right style="thin">
        <color rgb="FF000000"/>
      </right>
      <bottom style="dotted">
        <color rgb="FF000000"/>
      </bottom>
    </border>
    <border>
      <right style="thin">
        <color rgb="FF000000"/>
      </right>
      <top style="dotted">
        <color rgb="FF000000"/>
      </top>
      <bottom style="dotted">
        <color rgb="FF000000"/>
      </bottom>
    </border>
    <border>
      <right style="medium">
        <color rgb="FF000000"/>
      </right>
      <top style="dotted">
        <color rgb="FF000000"/>
      </top>
      <bottom style="dotted">
        <color rgb="FF000000"/>
      </bottom>
    </border>
    <border>
      <bottom style="medium">
        <color rgb="FF000000"/>
      </bottom>
    </border>
    <border>
      <right style="medium">
        <color rgb="FF000000"/>
      </right>
      <top style="dotted">
        <color rgb="FF000000"/>
      </top>
      <bottom style="medium">
        <color rgb="FF000000"/>
      </bottom>
    </border>
    <border>
      <bottom style="dotted">
        <color rgb="FF000000"/>
      </bottom>
    </border>
    <border>
      <right style="thin">
        <color rgb="FF000000"/>
      </right>
      <top style="thin">
        <color rgb="FF000000"/>
      </top>
      <bottom style="dotted">
        <color rgb="FF000000"/>
      </bottom>
    </border>
    <border>
      <top style="thin">
        <color rgb="FF000000"/>
      </top>
      <bottom style="dotted">
        <color rgb="FF000000"/>
      </bottom>
    </border>
    <border>
      <right style="medium">
        <color rgb="FF000000"/>
      </right>
    </border>
    <border>
      <right style="medium">
        <color rgb="FF000000"/>
      </right>
      <bottom style="medium">
        <color rgb="FF000000"/>
      </bottom>
    </border>
    <border>
      <right style="medium">
        <color rgb="FF000000"/>
      </right>
      <bottom style="dotted">
        <color rgb="FF000000"/>
      </bottom>
    </border>
    <border>
      <right style="medium">
        <color rgb="FF000000"/>
      </right>
      <top style="medium">
        <color rgb="FF000000"/>
      </top>
      <bottom style="dotted">
        <color rgb="FF000000"/>
      </bottom>
    </border>
    <border>
      <right style="thin">
        <color rgb="FF000000"/>
      </right>
      <top style="dotted">
        <color rgb="FF000000"/>
      </top>
    </border>
    <border>
      <right style="medium">
        <color rgb="FF000000"/>
      </right>
      <top style="dotted">
        <color rgb="FF000000"/>
      </top>
    </border>
    <border>
      <right style="medium">
        <color rgb="FF000000"/>
      </right>
      <top style="thin">
        <color rgb="FF000000"/>
      </top>
      <bottom style="dotted">
        <color rgb="FF000000"/>
      </bottom>
    </border>
    <border>
      <right style="thin">
        <color rgb="FF000000"/>
      </right>
      <top style="dotted">
        <color rgb="FF000000"/>
      </top>
      <bottom style="thin">
        <color rgb="FF000000"/>
      </bottom>
    </border>
    <border>
      <left style="medium">
        <color rgb="FF000000"/>
      </left>
      <bottom style="thin">
        <color rgb="FF000000"/>
      </bottom>
    </border>
  </borders>
  <cellStyleXfs count="1">
    <xf borderId="0" fillId="0" fontId="0" numFmtId="0" applyAlignment="1" applyFont="1"/>
  </cellStyleXfs>
  <cellXfs count="690">
    <xf borderId="0" fillId="0" fontId="0" numFmtId="0" xfId="0" applyAlignment="1" applyFont="1">
      <alignment readingOrder="0" shrinkToFit="0" vertical="bottom" wrapText="0"/>
    </xf>
    <xf borderId="0" fillId="0" fontId="1" numFmtId="0" xfId="0" applyFont="1"/>
    <xf borderId="0" fillId="2" fontId="2" numFmtId="0" xfId="0" applyFill="1" applyFont="1"/>
    <xf borderId="0" fillId="2" fontId="3" numFmtId="49" xfId="0" applyFont="1" applyNumberFormat="1"/>
    <xf borderId="0" fillId="2" fontId="4" numFmtId="49" xfId="0" applyAlignment="1" applyFont="1" applyNumberFormat="1">
      <alignment readingOrder="0"/>
    </xf>
    <xf borderId="0" fillId="0" fontId="1" numFmtId="0" xfId="0" applyAlignment="1" applyFont="1">
      <alignment readingOrder="0"/>
    </xf>
    <xf borderId="0" fillId="0" fontId="1" numFmtId="1" xfId="0" applyFont="1" applyNumberFormat="1"/>
    <xf borderId="1" fillId="3" fontId="5" numFmtId="49" xfId="0" applyAlignment="1" applyBorder="1" applyFill="1" applyFont="1" applyNumberFormat="1">
      <alignment readingOrder="0" vertical="bottom"/>
    </xf>
    <xf borderId="2" fillId="0" fontId="6" numFmtId="0" xfId="0" applyBorder="1" applyFont="1"/>
    <xf borderId="3" fillId="0" fontId="6" numFmtId="0" xfId="0" applyBorder="1" applyFont="1"/>
    <xf borderId="0" fillId="0" fontId="3" numFmtId="0" xfId="0" applyAlignment="1" applyFont="1">
      <alignment vertical="bottom"/>
    </xf>
    <xf borderId="0" fillId="2" fontId="7" numFmtId="0" xfId="0" applyAlignment="1" applyFont="1">
      <alignment vertical="bottom"/>
    </xf>
    <xf borderId="1" fillId="0" fontId="1" numFmtId="0" xfId="0" applyAlignment="1" applyBorder="1" applyFont="1">
      <alignment readingOrder="0"/>
    </xf>
    <xf borderId="4" fillId="0" fontId="1" numFmtId="0" xfId="0" applyAlignment="1" applyBorder="1" applyFont="1">
      <alignment readingOrder="0"/>
    </xf>
    <xf borderId="4" fillId="0" fontId="1" numFmtId="1" xfId="0" applyAlignment="1" applyBorder="1" applyFont="1" applyNumberFormat="1">
      <alignment readingOrder="0"/>
    </xf>
    <xf borderId="4" fillId="0" fontId="1" numFmtId="0" xfId="0" applyBorder="1" applyFont="1"/>
    <xf borderId="5" fillId="0" fontId="1" numFmtId="0" xfId="0" applyAlignment="1" applyBorder="1" applyFont="1">
      <alignment readingOrder="0" vertical="top"/>
    </xf>
    <xf borderId="6" fillId="0" fontId="6" numFmtId="0" xfId="0" applyBorder="1" applyFont="1"/>
    <xf borderId="7" fillId="0" fontId="6" numFmtId="0" xfId="0" applyBorder="1" applyFont="1"/>
    <xf borderId="1" fillId="4" fontId="3" numFmtId="164" xfId="0" applyAlignment="1" applyBorder="1" applyFill="1" applyFont="1" applyNumberFormat="1">
      <alignment horizontal="left" readingOrder="0" vertical="center"/>
    </xf>
    <xf borderId="0" fillId="0" fontId="3" numFmtId="0" xfId="0" applyAlignment="1" applyFont="1">
      <alignment readingOrder="0" vertical="bottom"/>
    </xf>
    <xf borderId="1" fillId="0" fontId="1" numFmtId="0" xfId="0" applyAlignment="1" applyBorder="1" applyFont="1">
      <alignment horizontal="left" readingOrder="0"/>
    </xf>
    <xf borderId="4" fillId="5" fontId="1" numFmtId="0" xfId="0" applyBorder="1" applyFill="1" applyFont="1"/>
    <xf borderId="4" fillId="5" fontId="1" numFmtId="1" xfId="0" applyBorder="1" applyFont="1" applyNumberFormat="1"/>
    <xf borderId="4" fillId="3" fontId="1" numFmtId="1" xfId="0" applyBorder="1" applyFont="1" applyNumberFormat="1"/>
    <xf borderId="4" fillId="6" fontId="1" numFmtId="1" xfId="0" applyBorder="1" applyFill="1" applyFont="1" applyNumberFormat="1"/>
    <xf borderId="4" fillId="7" fontId="1" numFmtId="1" xfId="0" applyBorder="1" applyFill="1" applyFont="1" applyNumberFormat="1"/>
    <xf borderId="8" fillId="0" fontId="6" numFmtId="0" xfId="0" applyBorder="1" applyFont="1"/>
    <xf borderId="9" fillId="0" fontId="6" numFmtId="0" xfId="0" applyBorder="1" applyFont="1"/>
    <xf borderId="10" fillId="0" fontId="6" numFmtId="0" xfId="0" applyBorder="1" applyFont="1"/>
    <xf borderId="11" fillId="0" fontId="6" numFmtId="0" xfId="0" applyBorder="1" applyFont="1"/>
    <xf borderId="12" fillId="0" fontId="6" numFmtId="0" xfId="0" applyBorder="1" applyFont="1"/>
    <xf borderId="1" fillId="5" fontId="3" numFmtId="0" xfId="0" applyAlignment="1" applyBorder="1" applyFont="1">
      <alignment readingOrder="0" vertical="bottom"/>
    </xf>
    <xf borderId="4" fillId="0" fontId="3" numFmtId="0" xfId="0" applyAlignment="1" applyBorder="1" applyFont="1">
      <alignment vertical="bottom"/>
    </xf>
    <xf borderId="4" fillId="8" fontId="3" numFmtId="0" xfId="0" applyAlignment="1" applyBorder="1" applyFill="1" applyFont="1">
      <alignment horizontal="center" vertical="bottom"/>
    </xf>
    <xf borderId="4" fillId="3" fontId="3" numFmtId="1" xfId="0" applyAlignment="1" applyBorder="1" applyFont="1" applyNumberFormat="1">
      <alignment horizontal="center" vertical="bottom"/>
    </xf>
    <xf borderId="4" fillId="6" fontId="3" numFmtId="1" xfId="0" applyAlignment="1" applyBorder="1" applyFont="1" applyNumberFormat="1">
      <alignment horizontal="center" vertical="bottom"/>
    </xf>
    <xf borderId="4" fillId="9" fontId="3" numFmtId="1" xfId="0" applyAlignment="1" applyBorder="1" applyFill="1" applyFont="1" applyNumberFormat="1">
      <alignment horizontal="center" vertical="bottom"/>
    </xf>
    <xf borderId="4" fillId="7" fontId="3" numFmtId="1" xfId="0" applyAlignment="1" applyBorder="1" applyFont="1" applyNumberFormat="1">
      <alignment horizontal="center" vertical="bottom"/>
    </xf>
    <xf borderId="4" fillId="5" fontId="3" numFmtId="1" xfId="0" applyAlignment="1" applyBorder="1" applyFont="1" applyNumberFormat="1">
      <alignment horizontal="center" vertical="bottom"/>
    </xf>
    <xf borderId="4" fillId="0" fontId="3" numFmtId="0" xfId="0" applyAlignment="1" applyBorder="1" applyFont="1">
      <alignment horizontal="right" vertical="bottom"/>
    </xf>
    <xf borderId="4" fillId="3" fontId="3" numFmtId="0" xfId="0" applyAlignment="1" applyBorder="1" applyFont="1">
      <alignment horizontal="right" vertical="bottom"/>
    </xf>
    <xf borderId="4" fillId="6" fontId="3" numFmtId="1" xfId="0" applyAlignment="1" applyBorder="1" applyFont="1" applyNumberFormat="1">
      <alignment horizontal="right" vertical="bottom"/>
    </xf>
    <xf borderId="4" fillId="9" fontId="3" numFmtId="1" xfId="0" applyAlignment="1" applyBorder="1" applyFont="1" applyNumberFormat="1">
      <alignment horizontal="right" vertical="bottom"/>
    </xf>
    <xf borderId="4" fillId="7" fontId="3" numFmtId="1" xfId="0" applyAlignment="1" applyBorder="1" applyFont="1" applyNumberFormat="1">
      <alignment horizontal="right" vertical="bottom"/>
    </xf>
    <xf borderId="4" fillId="5" fontId="3" numFmtId="1" xfId="0" applyAlignment="1" applyBorder="1" applyFont="1" applyNumberFormat="1">
      <alignment horizontal="right" vertical="bottom"/>
    </xf>
    <xf borderId="1" fillId="10" fontId="8" numFmtId="0" xfId="0" applyAlignment="1" applyBorder="1" applyFill="1" applyFont="1">
      <alignment horizontal="left" readingOrder="0"/>
    </xf>
    <xf borderId="1" fillId="11" fontId="1" numFmtId="49" xfId="0" applyAlignment="1" applyBorder="1" applyFill="1" applyFont="1" applyNumberFormat="1">
      <alignment readingOrder="0"/>
    </xf>
    <xf borderId="4" fillId="0" fontId="3" numFmtId="0" xfId="0" applyAlignment="1" applyBorder="1" applyFont="1">
      <alignment horizontal="right" vertical="bottom"/>
    </xf>
    <xf borderId="4" fillId="0" fontId="3" numFmtId="1" xfId="0" applyAlignment="1" applyBorder="1" applyFont="1" applyNumberFormat="1">
      <alignment horizontal="right" vertical="bottom"/>
    </xf>
    <xf borderId="4" fillId="3" fontId="3" numFmtId="1" xfId="0" applyAlignment="1" applyBorder="1" applyFont="1" applyNumberFormat="1">
      <alignment horizontal="right" vertical="bottom"/>
    </xf>
    <xf borderId="1" fillId="11" fontId="1" numFmtId="0" xfId="0" applyAlignment="1" applyBorder="1" applyFont="1">
      <alignment horizontal="center" readingOrder="0"/>
    </xf>
    <xf borderId="1" fillId="9" fontId="1" numFmtId="49" xfId="0" applyAlignment="1" applyBorder="1" applyFont="1" applyNumberFormat="1">
      <alignment horizontal="center"/>
    </xf>
    <xf borderId="1" fillId="0" fontId="3" numFmtId="0" xfId="0" applyAlignment="1" applyBorder="1" applyFont="1">
      <alignment horizontal="center" readingOrder="0" vertical="bottom"/>
    </xf>
    <xf borderId="1" fillId="5" fontId="1" numFmtId="0" xfId="0" applyAlignment="1" applyBorder="1" applyFont="1">
      <alignment horizontal="left"/>
    </xf>
    <xf borderId="1" fillId="5" fontId="1" numFmtId="0" xfId="0" applyAlignment="1" applyBorder="1" applyFont="1">
      <alignment horizontal="left" shrinkToFit="0" wrapText="0"/>
    </xf>
    <xf borderId="1" fillId="11" fontId="1" numFmtId="0" xfId="0" applyAlignment="1" applyBorder="1" applyFont="1">
      <alignment readingOrder="0"/>
    </xf>
    <xf borderId="1" fillId="5" fontId="1" numFmtId="0" xfId="0" applyAlignment="1" applyBorder="1" applyFont="1">
      <alignment horizontal="center"/>
    </xf>
    <xf borderId="1" fillId="9" fontId="1" numFmtId="0" xfId="0" applyAlignment="1" applyBorder="1" applyFont="1">
      <alignment horizontal="center"/>
    </xf>
    <xf borderId="1" fillId="12" fontId="1" numFmtId="0" xfId="0" applyAlignment="1" applyBorder="1" applyFill="1" applyFont="1">
      <alignment horizontal="center" readingOrder="0"/>
    </xf>
    <xf borderId="0" fillId="0" fontId="9" numFmtId="0" xfId="0" applyAlignment="1" applyFont="1">
      <alignment readingOrder="0"/>
    </xf>
    <xf borderId="1" fillId="13" fontId="8" numFmtId="0" xfId="0" applyAlignment="1" applyBorder="1" applyFill="1" applyFont="1">
      <alignment horizontal="left" readingOrder="0"/>
    </xf>
    <xf borderId="1" fillId="5" fontId="1" numFmtId="0" xfId="0" applyBorder="1" applyFont="1"/>
    <xf borderId="1" fillId="5" fontId="1" numFmtId="0" xfId="0" applyAlignment="1" applyBorder="1" applyFont="1">
      <alignment readingOrder="0"/>
    </xf>
    <xf borderId="4" fillId="12" fontId="3" numFmtId="0" xfId="0" applyAlignment="1" applyBorder="1" applyFont="1">
      <alignment horizontal="right" vertical="bottom"/>
    </xf>
    <xf borderId="1" fillId="14" fontId="8" numFmtId="0" xfId="0" applyAlignment="1" applyBorder="1" applyFill="1" applyFont="1">
      <alignment horizontal="left" readingOrder="0"/>
    </xf>
    <xf borderId="1" fillId="6" fontId="1" numFmtId="0" xfId="0" applyAlignment="1" applyBorder="1" applyFont="1">
      <alignment horizontal="center" readingOrder="0"/>
    </xf>
    <xf borderId="1" fillId="5" fontId="1" numFmtId="1" xfId="0" applyAlignment="1" applyBorder="1" applyFont="1" applyNumberFormat="1">
      <alignment horizontal="center"/>
    </xf>
    <xf borderId="1" fillId="15" fontId="8" numFmtId="0" xfId="0" applyAlignment="1" applyBorder="1" applyFill="1" applyFont="1">
      <alignment horizontal="center" readingOrder="0"/>
    </xf>
    <xf borderId="1" fillId="5" fontId="1" numFmtId="0" xfId="0" applyAlignment="1" applyBorder="1" applyFont="1">
      <alignment horizontal="left" readingOrder="0"/>
    </xf>
    <xf borderId="1" fillId="5" fontId="1" numFmtId="0" xfId="0" applyAlignment="1" applyBorder="1" applyFont="1">
      <alignment horizontal="right" readingOrder="0"/>
    </xf>
    <xf borderId="1" fillId="16" fontId="8" numFmtId="0" xfId="0" applyAlignment="1" applyBorder="1" applyFill="1" applyFont="1">
      <alignment horizontal="left" readingOrder="0"/>
    </xf>
    <xf borderId="1" fillId="3" fontId="1" numFmtId="0" xfId="0" applyAlignment="1" applyBorder="1" applyFont="1">
      <alignment horizontal="center" readingOrder="0"/>
    </xf>
    <xf borderId="4" fillId="7" fontId="3" numFmtId="0" xfId="0" applyAlignment="1" applyBorder="1" applyFont="1">
      <alignment horizontal="right" vertical="bottom"/>
    </xf>
    <xf borderId="1" fillId="5" fontId="1" numFmtId="0" xfId="0" applyAlignment="1" applyBorder="1" applyFont="1">
      <alignment horizontal="center" readingOrder="0" vertical="center"/>
    </xf>
    <xf borderId="1" fillId="5" fontId="1" numFmtId="0" xfId="0" applyAlignment="1" applyBorder="1" applyFont="1">
      <alignment horizontal="center" vertical="center"/>
    </xf>
    <xf borderId="1" fillId="5" fontId="1" numFmtId="1" xfId="0" applyAlignment="1" applyBorder="1" applyFont="1" applyNumberFormat="1">
      <alignment horizontal="center" readingOrder="0" vertical="center"/>
    </xf>
    <xf borderId="1" fillId="0" fontId="1" numFmtId="0" xfId="0" applyAlignment="1" applyBorder="1" applyFont="1">
      <alignment horizontal="center" readingOrder="0"/>
    </xf>
    <xf borderId="1" fillId="5" fontId="1" numFmtId="0" xfId="0" applyAlignment="1" applyBorder="1" applyFont="1">
      <alignment horizontal="center" readingOrder="0"/>
    </xf>
    <xf borderId="1" fillId="17" fontId="8" numFmtId="0" xfId="0" applyAlignment="1" applyBorder="1" applyFill="1" applyFont="1">
      <alignment horizontal="left" readingOrder="0"/>
    </xf>
    <xf borderId="0" fillId="0" fontId="10" numFmtId="0" xfId="0" applyAlignment="1" applyFont="1">
      <alignment readingOrder="0"/>
    </xf>
    <xf borderId="1" fillId="17" fontId="1" numFmtId="0" xfId="0" applyAlignment="1" applyBorder="1" applyFont="1">
      <alignment horizontal="center" readingOrder="0"/>
    </xf>
    <xf borderId="1" fillId="17" fontId="3" numFmtId="0" xfId="0" applyAlignment="1" applyBorder="1" applyFont="1">
      <alignment horizontal="center" vertical="bottom"/>
    </xf>
    <xf borderId="0" fillId="0" fontId="1" numFmtId="0" xfId="0" applyAlignment="1" applyFont="1">
      <alignment horizontal="left" readingOrder="0" textRotation="255"/>
    </xf>
    <xf borderId="5" fillId="17" fontId="8" numFmtId="0" xfId="0" applyAlignment="1" applyBorder="1" applyFont="1">
      <alignment horizontal="left" readingOrder="0" vertical="center"/>
    </xf>
    <xf borderId="1" fillId="17" fontId="8" numFmtId="0" xfId="0" applyAlignment="1" applyBorder="1" applyFont="1">
      <alignment horizontal="center" readingOrder="0"/>
    </xf>
    <xf borderId="1" fillId="17" fontId="7" numFmtId="0" xfId="0" applyAlignment="1" applyBorder="1" applyFont="1">
      <alignment vertical="bottom"/>
    </xf>
    <xf borderId="1" fillId="17" fontId="7" numFmtId="0" xfId="0" applyAlignment="1" applyBorder="1" applyFont="1">
      <alignment readingOrder="0" vertical="bottom"/>
    </xf>
    <xf borderId="1" fillId="17" fontId="1" numFmtId="0" xfId="0" applyAlignment="1" applyBorder="1" applyFont="1">
      <alignment readingOrder="0"/>
    </xf>
    <xf borderId="1" fillId="5" fontId="1" numFmtId="165" xfId="0" applyAlignment="1" applyBorder="1" applyFont="1" applyNumberFormat="1">
      <alignment readingOrder="0"/>
    </xf>
    <xf borderId="1" fillId="5" fontId="1" numFmtId="1" xfId="0" applyAlignment="1" applyBorder="1" applyFont="1" applyNumberFormat="1">
      <alignment readingOrder="0"/>
    </xf>
    <xf borderId="1" fillId="17" fontId="11" numFmtId="49" xfId="0" applyAlignment="1" applyBorder="1" applyFont="1" applyNumberFormat="1">
      <alignment readingOrder="0" vertical="bottom"/>
    </xf>
    <xf borderId="4" fillId="18" fontId="3" numFmtId="0" xfId="0" applyAlignment="1" applyBorder="1" applyFill="1" applyFont="1">
      <alignment horizontal="right" vertical="bottom"/>
    </xf>
    <xf borderId="1" fillId="5" fontId="1" numFmtId="0" xfId="0" applyAlignment="1" applyBorder="1" applyFont="1">
      <alignment readingOrder="0" shrinkToFit="0" vertical="top" wrapText="1"/>
    </xf>
    <xf borderId="0" fillId="5" fontId="1" numFmtId="0" xfId="0" applyFont="1"/>
    <xf borderId="1" fillId="5" fontId="3" numFmtId="0" xfId="0" applyAlignment="1" applyBorder="1" applyFont="1">
      <alignment vertical="bottom"/>
    </xf>
    <xf borderId="0" fillId="0" fontId="2" numFmtId="0" xfId="0" applyAlignment="1" applyFont="1">
      <alignment readingOrder="0"/>
    </xf>
    <xf borderId="1" fillId="3" fontId="11" numFmtId="49" xfId="0" applyAlignment="1" applyBorder="1" applyFont="1" applyNumberFormat="1">
      <alignment readingOrder="0" vertical="bottom"/>
    </xf>
    <xf borderId="1" fillId="3" fontId="1" numFmtId="0" xfId="0" applyAlignment="1" applyBorder="1" applyFont="1">
      <alignment readingOrder="0"/>
    </xf>
    <xf borderId="5" fillId="5" fontId="1" numFmtId="0" xfId="0" applyAlignment="1" applyBorder="1" applyFont="1">
      <alignment readingOrder="0" shrinkToFit="0" vertical="top" wrapText="1"/>
    </xf>
    <xf borderId="5" fillId="5" fontId="1" numFmtId="0" xfId="0" applyAlignment="1" applyBorder="1" applyFont="1">
      <alignment readingOrder="0"/>
    </xf>
    <xf borderId="4" fillId="19" fontId="3" numFmtId="0" xfId="0" applyAlignment="1" applyBorder="1" applyFill="1" applyFont="1">
      <alignment horizontal="right" vertical="bottom"/>
    </xf>
    <xf borderId="0" fillId="0" fontId="2" numFmtId="49" xfId="0" applyAlignment="1" applyFont="1" applyNumberFormat="1">
      <alignment readingOrder="0"/>
    </xf>
    <xf borderId="0" fillId="0" fontId="12" numFmtId="0" xfId="0" applyAlignment="1" applyFont="1">
      <alignment readingOrder="0"/>
    </xf>
    <xf borderId="0" fillId="0" fontId="13" numFmtId="0" xfId="0" applyAlignment="1" applyFont="1">
      <alignment vertical="bottom"/>
    </xf>
    <xf borderId="0" fillId="0" fontId="7" numFmtId="0" xfId="0" applyAlignment="1" applyFont="1">
      <alignment vertical="bottom"/>
    </xf>
    <xf borderId="0" fillId="0" fontId="7" numFmtId="165" xfId="0" applyAlignment="1" applyFont="1" applyNumberFormat="1">
      <alignment vertical="bottom"/>
    </xf>
    <xf borderId="5" fillId="0" fontId="7" numFmtId="0" xfId="0" applyAlignment="1" applyBorder="1" applyFont="1">
      <alignment vertical="bottom"/>
    </xf>
    <xf borderId="4" fillId="20" fontId="3" numFmtId="0" xfId="0" applyAlignment="1" applyBorder="1" applyFill="1" applyFont="1">
      <alignment horizontal="right" vertical="bottom"/>
    </xf>
    <xf borderId="4" fillId="8" fontId="3" numFmtId="0" xfId="0" applyAlignment="1" applyBorder="1" applyFont="1">
      <alignment horizontal="right" vertical="bottom"/>
    </xf>
    <xf borderId="4" fillId="6" fontId="3" numFmtId="0" xfId="0" applyAlignment="1" applyBorder="1" applyFont="1">
      <alignment horizontal="right" vertical="bottom"/>
    </xf>
    <xf borderId="4" fillId="6" fontId="3" numFmtId="0" xfId="0" applyAlignment="1" applyBorder="1" applyFont="1">
      <alignment horizontal="right" vertical="bottom"/>
    </xf>
    <xf borderId="0" fillId="2" fontId="1" numFmtId="0" xfId="0" applyFont="1"/>
    <xf borderId="0" fillId="0" fontId="14" numFmtId="0" xfId="0" applyFont="1"/>
    <xf borderId="0" fillId="0" fontId="7" numFmtId="0" xfId="0" applyAlignment="1" applyFont="1">
      <alignment readingOrder="0" vertical="bottom"/>
    </xf>
    <xf borderId="0" fillId="0" fontId="7" numFmtId="1" xfId="0" applyAlignment="1" applyFont="1" applyNumberFormat="1">
      <alignment vertical="bottom"/>
    </xf>
    <xf borderId="5" fillId="8" fontId="7" numFmtId="0" xfId="0" applyAlignment="1" applyBorder="1" applyFont="1">
      <alignment vertical="bottom"/>
    </xf>
    <xf borderId="6" fillId="8" fontId="7" numFmtId="0" xfId="0" applyAlignment="1" applyBorder="1" applyFont="1">
      <alignment vertical="bottom"/>
    </xf>
    <xf borderId="6" fillId="8" fontId="7" numFmtId="1" xfId="0" applyAlignment="1" applyBorder="1" applyFont="1" applyNumberFormat="1">
      <alignment vertical="bottom"/>
    </xf>
    <xf borderId="7" fillId="8" fontId="7" numFmtId="1" xfId="0" applyAlignment="1" applyBorder="1" applyFont="1" applyNumberFormat="1">
      <alignment vertical="bottom"/>
    </xf>
    <xf borderId="1" fillId="12" fontId="7" numFmtId="0" xfId="0" applyAlignment="1" applyBorder="1" applyFont="1">
      <alignment horizontal="center" vertical="bottom"/>
    </xf>
    <xf borderId="4" fillId="8" fontId="7" numFmtId="0" xfId="0" applyAlignment="1" applyBorder="1" applyFont="1">
      <alignment horizontal="center" vertical="bottom"/>
    </xf>
    <xf borderId="4" fillId="5" fontId="7" numFmtId="1" xfId="0" applyAlignment="1" applyBorder="1" applyFont="1" applyNumberFormat="1">
      <alignment horizontal="center" vertical="bottom"/>
    </xf>
    <xf borderId="4" fillId="0" fontId="15" numFmtId="49" xfId="0" applyAlignment="1" applyBorder="1" applyFont="1" applyNumberFormat="1">
      <alignment vertical="bottom"/>
    </xf>
    <xf borderId="13" fillId="7" fontId="7" numFmtId="2" xfId="0" applyAlignment="1" applyBorder="1" applyFont="1" applyNumberFormat="1">
      <alignment horizontal="right" vertical="bottom"/>
    </xf>
    <xf borderId="4" fillId="0" fontId="7" numFmtId="2" xfId="0" applyAlignment="1" applyBorder="1" applyFont="1" applyNumberFormat="1">
      <alignment horizontal="right" vertical="bottom"/>
    </xf>
    <xf borderId="4" fillId="7" fontId="7" numFmtId="2" xfId="0" applyAlignment="1" applyBorder="1" applyFont="1" applyNumberFormat="1">
      <alignment horizontal="right" vertical="bottom"/>
    </xf>
    <xf borderId="4" fillId="5" fontId="7" numFmtId="1" xfId="0" applyAlignment="1" applyBorder="1" applyFont="1" applyNumberFormat="1">
      <alignment horizontal="right" vertical="bottom"/>
    </xf>
    <xf borderId="4" fillId="7" fontId="7" numFmtId="0" xfId="0" applyAlignment="1" applyBorder="1" applyFont="1">
      <alignment horizontal="right" vertical="bottom"/>
    </xf>
    <xf borderId="4" fillId="8" fontId="16" numFmtId="0" xfId="0" applyAlignment="1" applyBorder="1" applyFont="1">
      <alignment vertical="bottom"/>
    </xf>
    <xf borderId="4" fillId="0" fontId="16" numFmtId="0" xfId="0" applyAlignment="1" applyBorder="1" applyFont="1">
      <alignment horizontal="center" vertical="bottom"/>
    </xf>
    <xf borderId="4" fillId="0" fontId="16" numFmtId="0" xfId="0" applyAlignment="1" applyBorder="1" applyFont="1">
      <alignment vertical="bottom"/>
    </xf>
    <xf borderId="4" fillId="8" fontId="16" numFmtId="0" xfId="0" applyAlignment="1" applyBorder="1" applyFont="1">
      <alignment horizontal="right" vertical="bottom"/>
    </xf>
    <xf borderId="4" fillId="7" fontId="16" numFmtId="0" xfId="0" applyAlignment="1" applyBorder="1" applyFont="1">
      <alignment horizontal="right" vertical="bottom"/>
    </xf>
    <xf borderId="4" fillId="0" fontId="16" numFmtId="0" xfId="0" applyAlignment="1" applyBorder="1" applyFont="1">
      <alignment horizontal="right" vertical="bottom"/>
    </xf>
    <xf borderId="4" fillId="5" fontId="16" numFmtId="1" xfId="0" applyAlignment="1" applyBorder="1" applyFont="1" applyNumberFormat="1">
      <alignment horizontal="right" vertical="bottom"/>
    </xf>
    <xf borderId="0" fillId="21" fontId="2" numFmtId="0" xfId="0" applyFill="1" applyFont="1"/>
    <xf borderId="0" fillId="21" fontId="17" numFmtId="0" xfId="0" applyAlignment="1" applyFont="1">
      <alignment readingOrder="0"/>
    </xf>
    <xf borderId="0" fillId="0" fontId="2" numFmtId="49" xfId="0" applyFont="1" applyNumberFormat="1"/>
    <xf borderId="0" fillId="0" fontId="2" numFmtId="0" xfId="0" applyFont="1"/>
    <xf borderId="0" fillId="0" fontId="14" numFmtId="0" xfId="0" applyAlignment="1" applyFont="1">
      <alignment vertical="bottom"/>
    </xf>
    <xf borderId="14" fillId="8" fontId="7" numFmtId="0" xfId="0" applyAlignment="1" applyBorder="1" applyFont="1">
      <alignment vertical="bottom"/>
    </xf>
    <xf borderId="15" fillId="8" fontId="7" numFmtId="0" xfId="0" applyAlignment="1" applyBorder="1" applyFont="1">
      <alignment vertical="bottom"/>
    </xf>
    <xf borderId="15" fillId="0" fontId="7" numFmtId="0" xfId="0" applyAlignment="1" applyBorder="1" applyFont="1">
      <alignment horizontal="right" vertical="bottom"/>
    </xf>
    <xf borderId="15" fillId="0" fontId="7" numFmtId="0" xfId="0" applyAlignment="1" applyBorder="1" applyFont="1">
      <alignment horizontal="center" vertical="bottom"/>
    </xf>
    <xf borderId="16" fillId="0" fontId="7" numFmtId="0" xfId="0" applyAlignment="1" applyBorder="1" applyFont="1">
      <alignment horizontal="right" vertical="bottom"/>
    </xf>
    <xf borderId="17" fillId="8" fontId="7" numFmtId="0" xfId="0" applyAlignment="1" applyBorder="1" applyFont="1">
      <alignment vertical="bottom"/>
    </xf>
    <xf borderId="4" fillId="8" fontId="7" numFmtId="0" xfId="0" applyAlignment="1" applyBorder="1" applyFont="1">
      <alignment vertical="bottom"/>
    </xf>
    <xf borderId="4" fillId="0" fontId="7" numFmtId="0" xfId="0" applyAlignment="1" applyBorder="1" applyFont="1">
      <alignment horizontal="right" vertical="bottom"/>
    </xf>
    <xf borderId="18" fillId="0" fontId="7" numFmtId="0" xfId="0" applyAlignment="1" applyBorder="1" applyFont="1">
      <alignment horizontal="center" vertical="bottom"/>
    </xf>
    <xf borderId="19" fillId="0" fontId="7" numFmtId="0" xfId="0" applyAlignment="1" applyBorder="1" applyFont="1">
      <alignment horizontal="right" vertical="bottom"/>
    </xf>
    <xf borderId="20" fillId="8" fontId="7" numFmtId="0" xfId="0" applyAlignment="1" applyBorder="1" applyFont="1">
      <alignment vertical="bottom"/>
    </xf>
    <xf borderId="21" fillId="8" fontId="7" numFmtId="0" xfId="0" applyAlignment="1" applyBorder="1" applyFont="1">
      <alignment vertical="bottom"/>
    </xf>
    <xf borderId="22" fillId="0" fontId="7" numFmtId="0" xfId="0" applyAlignment="1" applyBorder="1" applyFont="1">
      <alignment horizontal="right" vertical="bottom"/>
    </xf>
    <xf borderId="22" fillId="0" fontId="7" numFmtId="0" xfId="0" applyAlignment="1" applyBorder="1" applyFont="1">
      <alignment vertical="bottom"/>
    </xf>
    <xf borderId="23" fillId="0" fontId="7" numFmtId="0" xfId="0" applyAlignment="1" applyBorder="1" applyFont="1">
      <alignment vertical="bottom"/>
    </xf>
    <xf borderId="24" fillId="0" fontId="6" numFmtId="0" xfId="0" applyBorder="1" applyFont="1"/>
    <xf borderId="25" fillId="8" fontId="7" numFmtId="0" xfId="0" applyAlignment="1" applyBorder="1" applyFont="1">
      <alignment vertical="bottom"/>
    </xf>
    <xf borderId="26" fillId="8" fontId="7" numFmtId="0" xfId="0" applyAlignment="1" applyBorder="1" applyFont="1">
      <alignment vertical="bottom"/>
    </xf>
    <xf borderId="27" fillId="8" fontId="7" numFmtId="0" xfId="0" applyAlignment="1" applyBorder="1" applyFont="1">
      <alignment vertical="bottom"/>
    </xf>
    <xf borderId="27" fillId="8" fontId="7" numFmtId="0" xfId="0" applyAlignment="1" applyBorder="1" applyFont="1">
      <alignment shrinkToFit="0" vertical="bottom" wrapText="1"/>
    </xf>
    <xf borderId="28" fillId="8" fontId="7" numFmtId="0" xfId="0" applyAlignment="1" applyBorder="1" applyFont="1">
      <alignment vertical="bottom"/>
    </xf>
    <xf borderId="29" fillId="0" fontId="7" numFmtId="0" xfId="0" applyAlignment="1" applyBorder="1" applyFont="1">
      <alignment horizontal="right" vertical="bottom"/>
    </xf>
    <xf borderId="28" fillId="0" fontId="7" numFmtId="0" xfId="0" applyAlignment="1" applyBorder="1" applyFont="1">
      <alignment horizontal="right" vertical="bottom"/>
    </xf>
    <xf borderId="30" fillId="8" fontId="7" numFmtId="0" xfId="0" applyAlignment="1" applyBorder="1" applyFont="1">
      <alignment vertical="bottom"/>
    </xf>
    <xf borderId="31" fillId="0" fontId="7" numFmtId="0" xfId="0" applyAlignment="1" applyBorder="1" applyFont="1">
      <alignment horizontal="right" vertical="bottom"/>
    </xf>
    <xf borderId="32" fillId="0" fontId="7" numFmtId="0" xfId="0" applyAlignment="1" applyBorder="1" applyFont="1">
      <alignment horizontal="right" vertical="bottom"/>
    </xf>
    <xf borderId="30" fillId="0" fontId="7" numFmtId="0" xfId="0" applyAlignment="1" applyBorder="1" applyFont="1">
      <alignment horizontal="right" vertical="bottom"/>
    </xf>
    <xf borderId="33" fillId="8" fontId="7" numFmtId="0" xfId="0" applyAlignment="1" applyBorder="1" applyFont="1">
      <alignment vertical="bottom"/>
    </xf>
    <xf borderId="34" fillId="0" fontId="7" numFmtId="0" xfId="0" applyAlignment="1" applyBorder="1" applyFont="1">
      <alignment horizontal="right" vertical="bottom"/>
    </xf>
    <xf borderId="35" fillId="0" fontId="7" numFmtId="0" xfId="0" applyAlignment="1" applyBorder="1" applyFont="1">
      <alignment horizontal="right" vertical="bottom"/>
    </xf>
    <xf borderId="33" fillId="0" fontId="7" numFmtId="0" xfId="0" applyAlignment="1" applyBorder="1" applyFont="1">
      <alignment horizontal="right" vertical="bottom"/>
    </xf>
    <xf borderId="0" fillId="0" fontId="2" numFmtId="0" xfId="0" applyAlignment="1" applyFont="1">
      <alignment horizontal="left"/>
    </xf>
    <xf borderId="0" fillId="0" fontId="2" numFmtId="0" xfId="0" applyAlignment="1" applyFont="1">
      <alignment horizontal="center"/>
    </xf>
    <xf borderId="0" fillId="0" fontId="2" numFmtId="0" xfId="0" applyAlignment="1" applyFont="1">
      <alignment horizontal="center" readingOrder="0"/>
    </xf>
    <xf borderId="0" fillId="0" fontId="7" numFmtId="0" xfId="0" applyAlignment="1" applyFont="1">
      <alignment readingOrder="0" shrinkToFit="0" vertical="bottom" wrapText="0"/>
    </xf>
    <xf borderId="0" fillId="3" fontId="2" numFmtId="0" xfId="0" applyFont="1"/>
    <xf borderId="0" fillId="3" fontId="18" numFmtId="0" xfId="0" applyAlignment="1" applyFont="1">
      <alignment readingOrder="0"/>
    </xf>
    <xf borderId="4" fillId="12" fontId="2" numFmtId="0" xfId="0" applyAlignment="1" applyBorder="1" applyFont="1">
      <alignment readingOrder="0"/>
    </xf>
    <xf borderId="1" fillId="12" fontId="2" numFmtId="0" xfId="0" applyAlignment="1" applyBorder="1" applyFont="1">
      <alignment readingOrder="0"/>
    </xf>
    <xf borderId="1" fillId="0" fontId="2" numFmtId="0" xfId="0" applyAlignment="1" applyBorder="1" applyFont="1">
      <alignment readingOrder="0"/>
    </xf>
    <xf borderId="5" fillId="12" fontId="2" numFmtId="0" xfId="0" applyAlignment="1" applyBorder="1" applyFont="1">
      <alignment readingOrder="0"/>
    </xf>
    <xf borderId="4" fillId="12" fontId="7" numFmtId="0" xfId="0" applyAlignment="1" applyBorder="1" applyFont="1">
      <alignment vertical="bottom"/>
    </xf>
    <xf borderId="1" fillId="0" fontId="7" numFmtId="0" xfId="0" applyAlignment="1" applyBorder="1" applyFont="1">
      <alignment horizontal="right" vertical="bottom"/>
    </xf>
    <xf borderId="2" fillId="0" fontId="2" numFmtId="0" xfId="0" applyAlignment="1" applyBorder="1" applyFont="1">
      <alignment horizontal="center" readingOrder="0"/>
    </xf>
    <xf borderId="3" fillId="0" fontId="7" numFmtId="0" xfId="0" applyAlignment="1" applyBorder="1" applyFont="1">
      <alignment horizontal="right" vertical="bottom"/>
    </xf>
    <xf borderId="1" fillId="0" fontId="2" numFmtId="0" xfId="0" applyAlignment="1" applyBorder="1" applyFont="1">
      <alignment horizontal="right" readingOrder="0"/>
    </xf>
    <xf borderId="3" fillId="0" fontId="2" numFmtId="0" xfId="0" applyAlignment="1" applyBorder="1" applyFont="1">
      <alignment horizontal="left" readingOrder="0"/>
    </xf>
    <xf borderId="4" fillId="0" fontId="7" numFmtId="0" xfId="0" applyAlignment="1" applyBorder="1" applyFont="1">
      <alignment vertical="bottom"/>
    </xf>
    <xf borderId="4" fillId="0" fontId="2" numFmtId="0" xfId="0" applyAlignment="1" applyBorder="1" applyFont="1">
      <alignment readingOrder="0"/>
    </xf>
    <xf borderId="13" fillId="12" fontId="7" numFmtId="0" xfId="0" applyAlignment="1" applyBorder="1" applyFont="1">
      <alignment vertical="bottom"/>
    </xf>
    <xf borderId="10" fillId="0" fontId="7" numFmtId="0" xfId="0" applyAlignment="1" applyBorder="1" applyFont="1">
      <alignment horizontal="right" vertical="bottom"/>
    </xf>
    <xf borderId="12" fillId="0" fontId="7" numFmtId="0" xfId="0" applyAlignment="1" applyBorder="1" applyFont="1">
      <alignment horizontal="right" vertical="bottom"/>
    </xf>
    <xf borderId="10" fillId="0" fontId="7" numFmtId="0" xfId="0" applyAlignment="1" applyBorder="1" applyFont="1">
      <alignment shrinkToFit="0" vertical="bottom" wrapText="0"/>
    </xf>
    <xf borderId="13" fillId="12" fontId="7" numFmtId="0" xfId="0" applyAlignment="1" applyBorder="1" applyFont="1">
      <alignment vertical="bottom"/>
    </xf>
    <xf borderId="13" fillId="0" fontId="7" numFmtId="0" xfId="0" applyAlignment="1" applyBorder="1" applyFont="1">
      <alignment vertical="bottom"/>
    </xf>
    <xf borderId="0" fillId="0" fontId="2" numFmtId="0" xfId="0" applyAlignment="1" applyFont="1">
      <alignment readingOrder="0" vertical="center"/>
    </xf>
    <xf borderId="0" fillId="0" fontId="19" numFmtId="0" xfId="0" applyAlignment="1" applyFont="1">
      <alignment horizontal="center" readingOrder="0"/>
    </xf>
    <xf borderId="11" fillId="0" fontId="7" numFmtId="0" xfId="0" applyAlignment="1" applyBorder="1" applyFont="1">
      <alignment vertical="bottom"/>
    </xf>
    <xf borderId="4" fillId="5" fontId="7" numFmtId="49" xfId="0" applyAlignment="1" applyBorder="1" applyFont="1" applyNumberFormat="1">
      <alignment readingOrder="0" vertical="bottom"/>
    </xf>
    <xf borderId="13" fillId="5" fontId="7" numFmtId="49" xfId="0" applyAlignment="1" applyBorder="1" applyFont="1" applyNumberFormat="1">
      <alignment vertical="bottom"/>
    </xf>
    <xf borderId="12" fillId="0" fontId="7" numFmtId="49" xfId="0" applyAlignment="1" applyBorder="1" applyFont="1" applyNumberFormat="1">
      <alignment vertical="bottom"/>
    </xf>
    <xf borderId="4" fillId="5" fontId="7" numFmtId="49" xfId="0" applyAlignment="1" applyBorder="1" applyFont="1" applyNumberFormat="1">
      <alignment vertical="bottom"/>
    </xf>
    <xf borderId="3" fillId="5" fontId="7" numFmtId="49" xfId="0" applyAlignment="1" applyBorder="1" applyFont="1" applyNumberFormat="1">
      <alignment vertical="bottom"/>
    </xf>
    <xf borderId="8" fillId="0" fontId="7" numFmtId="0" xfId="0" applyAlignment="1" applyBorder="1" applyFont="1">
      <alignment vertical="bottom"/>
    </xf>
    <xf borderId="13" fillId="12" fontId="7" numFmtId="49" xfId="0" applyAlignment="1" applyBorder="1" applyFont="1" applyNumberFormat="1">
      <alignment vertical="bottom"/>
    </xf>
    <xf borderId="13" fillId="22" fontId="7" numFmtId="49" xfId="0" applyAlignment="1" applyBorder="1" applyFill="1" applyFont="1" applyNumberFormat="1">
      <alignment vertical="bottom"/>
    </xf>
    <xf borderId="12" fillId="0" fontId="7" numFmtId="49" xfId="0" applyAlignment="1" applyBorder="1" applyFont="1" applyNumberFormat="1">
      <alignment horizontal="right" vertical="bottom"/>
    </xf>
    <xf borderId="12" fillId="0" fontId="7" numFmtId="49" xfId="0" applyAlignment="1" applyBorder="1" applyFont="1" applyNumberFormat="1">
      <alignment horizontal="right" readingOrder="0" vertical="bottom"/>
    </xf>
    <xf borderId="9" fillId="0" fontId="7" numFmtId="49" xfId="0" applyAlignment="1" applyBorder="1" applyFont="1" applyNumberFormat="1">
      <alignment horizontal="right" vertical="bottom"/>
    </xf>
    <xf borderId="13" fillId="0" fontId="7" numFmtId="3" xfId="0" applyAlignment="1" applyBorder="1" applyFont="1" applyNumberFormat="1">
      <alignment horizontal="right" vertical="bottom"/>
    </xf>
    <xf borderId="13" fillId="0" fontId="7" numFmtId="49" xfId="0" applyAlignment="1" applyBorder="1" applyFont="1" applyNumberFormat="1">
      <alignment horizontal="right" vertical="bottom"/>
    </xf>
    <xf borderId="13" fillId="18" fontId="7" numFmtId="49" xfId="0" applyAlignment="1" applyBorder="1" applyFont="1" applyNumberFormat="1">
      <alignment vertical="bottom"/>
    </xf>
    <xf borderId="0" fillId="0" fontId="7" numFmtId="49" xfId="0" applyAlignment="1" applyFont="1" applyNumberFormat="1">
      <alignment vertical="bottom"/>
    </xf>
    <xf borderId="13" fillId="23" fontId="7" numFmtId="49" xfId="0" applyAlignment="1" applyBorder="1" applyFill="1" applyFont="1" applyNumberFormat="1">
      <alignment vertical="bottom"/>
    </xf>
    <xf borderId="13" fillId="17" fontId="7" numFmtId="0" xfId="0" applyAlignment="1" applyBorder="1" applyFont="1">
      <alignment vertical="bottom"/>
    </xf>
    <xf borderId="13" fillId="24" fontId="7" numFmtId="49" xfId="0" applyAlignment="1" applyBorder="1" applyFill="1" applyFont="1" applyNumberFormat="1">
      <alignment vertical="bottom"/>
    </xf>
    <xf borderId="13" fillId="17" fontId="7" numFmtId="49" xfId="0" applyAlignment="1" applyBorder="1" applyFont="1" applyNumberFormat="1">
      <alignment vertical="bottom"/>
    </xf>
    <xf borderId="13" fillId="3" fontId="7" numFmtId="0" xfId="0" applyAlignment="1" applyBorder="1" applyFont="1">
      <alignment vertical="bottom"/>
    </xf>
    <xf borderId="13" fillId="3" fontId="7" numFmtId="49" xfId="0" applyAlignment="1" applyBorder="1" applyFont="1" applyNumberFormat="1">
      <alignment vertical="bottom"/>
    </xf>
    <xf borderId="4" fillId="0" fontId="7" numFmtId="49" xfId="0" applyAlignment="1" applyBorder="1" applyFont="1" applyNumberFormat="1">
      <alignment horizontal="right" vertical="bottom"/>
    </xf>
    <xf borderId="3" fillId="0" fontId="7" numFmtId="49" xfId="0" applyAlignment="1" applyBorder="1" applyFont="1" applyNumberFormat="1">
      <alignment horizontal="right" vertical="bottom"/>
    </xf>
    <xf borderId="3" fillId="0" fontId="7" numFmtId="49" xfId="0" applyAlignment="1" applyBorder="1" applyFont="1" applyNumberFormat="1">
      <alignment vertical="bottom"/>
    </xf>
    <xf borderId="4" fillId="0" fontId="7" numFmtId="49" xfId="0" applyAlignment="1" applyBorder="1" applyFont="1" applyNumberFormat="1">
      <alignment vertical="bottom"/>
    </xf>
    <xf borderId="11" fillId="0" fontId="7" numFmtId="49" xfId="0" applyAlignment="1" applyBorder="1" applyFont="1" applyNumberFormat="1">
      <alignment vertical="bottom"/>
    </xf>
    <xf borderId="0" fillId="0" fontId="7" numFmtId="0" xfId="0" applyAlignment="1" applyFont="1">
      <alignment shrinkToFit="0" vertical="bottom" wrapText="0"/>
    </xf>
    <xf borderId="0" fillId="0" fontId="7" numFmtId="49" xfId="0" applyAlignment="1" applyFont="1" applyNumberFormat="1">
      <alignment shrinkToFit="0" vertical="bottom" wrapText="0"/>
    </xf>
    <xf borderId="3" fillId="0" fontId="7" numFmtId="0" xfId="0" applyAlignment="1" applyBorder="1" applyFont="1">
      <alignment vertical="bottom"/>
    </xf>
    <xf borderId="13" fillId="0" fontId="7" numFmtId="49" xfId="0" applyAlignment="1" applyBorder="1" applyFont="1" applyNumberFormat="1">
      <alignment vertical="bottom"/>
    </xf>
    <xf borderId="12" fillId="0" fontId="7" numFmtId="9" xfId="0" applyAlignment="1" applyBorder="1" applyFont="1" applyNumberFormat="1">
      <alignment horizontal="right" readingOrder="0" vertical="bottom"/>
    </xf>
    <xf borderId="0" fillId="0" fontId="20" numFmtId="0" xfId="0" applyFont="1"/>
    <xf borderId="4" fillId="25" fontId="20" numFmtId="0" xfId="0" applyAlignment="1" applyBorder="1" applyFill="1" applyFont="1">
      <alignment vertical="bottom"/>
    </xf>
    <xf borderId="3" fillId="25" fontId="20" numFmtId="0" xfId="0" applyAlignment="1" applyBorder="1" applyFont="1">
      <alignment horizontal="center" shrinkToFit="0" vertical="bottom" wrapText="1"/>
    </xf>
    <xf borderId="4" fillId="0" fontId="20" numFmtId="0" xfId="0" applyAlignment="1" applyBorder="1" applyFont="1">
      <alignment vertical="bottom"/>
    </xf>
    <xf borderId="3" fillId="0" fontId="20" numFmtId="0" xfId="0" applyAlignment="1" applyBorder="1" applyFont="1">
      <alignment vertical="bottom"/>
    </xf>
    <xf borderId="3" fillId="0" fontId="20" numFmtId="0" xfId="0" applyAlignment="1" applyBorder="1" applyFont="1">
      <alignment horizontal="center"/>
    </xf>
    <xf borderId="13" fillId="0" fontId="20" numFmtId="0" xfId="0" applyAlignment="1" applyBorder="1" applyFont="1">
      <alignment vertical="bottom"/>
    </xf>
    <xf borderId="12" fillId="0" fontId="20" numFmtId="0" xfId="0" applyAlignment="1" applyBorder="1" applyFont="1">
      <alignment vertical="bottom"/>
    </xf>
    <xf borderId="12" fillId="0" fontId="20" numFmtId="0" xfId="0" applyAlignment="1" applyBorder="1" applyFont="1">
      <alignment horizontal="center"/>
    </xf>
    <xf borderId="0" fillId="0" fontId="20" numFmtId="0" xfId="0" applyAlignment="1" applyFont="1">
      <alignment readingOrder="0"/>
    </xf>
    <xf borderId="12" fillId="0" fontId="20" numFmtId="0" xfId="0" applyAlignment="1" applyBorder="1" applyFont="1">
      <alignment horizontal="right" vertical="bottom"/>
    </xf>
    <xf borderId="11" fillId="0" fontId="20" numFmtId="0" xfId="0" applyAlignment="1" applyBorder="1" applyFont="1">
      <alignment shrinkToFit="0" vertical="bottom" wrapText="0"/>
    </xf>
    <xf borderId="4" fillId="8" fontId="21" numFmtId="49" xfId="0" applyAlignment="1" applyBorder="1" applyFont="1" applyNumberFormat="1">
      <alignment horizontal="center"/>
    </xf>
    <xf borderId="4" fillId="5" fontId="21" numFmtId="49" xfId="0" applyAlignment="1" applyBorder="1" applyFont="1" applyNumberFormat="1">
      <alignment horizontal="center"/>
    </xf>
    <xf borderId="4" fillId="23" fontId="21" numFmtId="49" xfId="0" applyAlignment="1" applyBorder="1" applyFont="1" applyNumberFormat="1">
      <alignment horizontal="center"/>
    </xf>
    <xf borderId="4" fillId="7" fontId="21" numFmtId="49" xfId="0" applyAlignment="1" applyBorder="1" applyFont="1" applyNumberFormat="1">
      <alignment horizontal="center"/>
    </xf>
    <xf borderId="4" fillId="0" fontId="1" numFmtId="49" xfId="0" applyAlignment="1" applyBorder="1" applyFont="1" applyNumberFormat="1">
      <alignment horizontal="center"/>
    </xf>
    <xf borderId="4" fillId="0" fontId="3" numFmtId="49" xfId="0" applyAlignment="1" applyBorder="1" applyFont="1" applyNumberFormat="1">
      <alignment horizontal="center"/>
    </xf>
    <xf borderId="4" fillId="0" fontId="3" numFmtId="49" xfId="0" applyAlignment="1" applyBorder="1" applyFont="1" applyNumberFormat="1">
      <alignment horizontal="center"/>
    </xf>
    <xf borderId="4" fillId="24" fontId="3" numFmtId="49" xfId="0" applyAlignment="1" applyBorder="1" applyFont="1" applyNumberFormat="1">
      <alignment horizontal="center" shrinkToFit="0" wrapText="1"/>
    </xf>
    <xf borderId="4" fillId="4" fontId="3" numFmtId="49" xfId="0" applyAlignment="1" applyBorder="1" applyFont="1" applyNumberFormat="1">
      <alignment horizontal="center"/>
    </xf>
    <xf borderId="4" fillId="4" fontId="3" numFmtId="49" xfId="0" applyAlignment="1" applyBorder="1" applyFont="1" applyNumberFormat="1">
      <alignment horizontal="center" shrinkToFit="0" wrapText="0"/>
    </xf>
    <xf borderId="4" fillId="4" fontId="1" numFmtId="49" xfId="0" applyAlignment="1" applyBorder="1" applyFont="1" applyNumberFormat="1">
      <alignment horizontal="center"/>
    </xf>
    <xf borderId="0" fillId="0" fontId="22" numFmtId="0" xfId="0" applyAlignment="1" applyFont="1">
      <alignment vertical="bottom"/>
    </xf>
    <xf borderId="0" fillId="0" fontId="22" numFmtId="1" xfId="0" applyAlignment="1" applyFont="1" applyNumberFormat="1">
      <alignment vertical="bottom"/>
    </xf>
    <xf borderId="0" fillId="0" fontId="22" numFmtId="2" xfId="0" applyAlignment="1" applyFont="1" applyNumberFormat="1">
      <alignment vertical="bottom"/>
    </xf>
    <xf borderId="18" fillId="8" fontId="23" numFmtId="2" xfId="0" applyAlignment="1" applyBorder="1" applyFont="1" applyNumberFormat="1">
      <alignment horizontal="center" shrinkToFit="0" vertical="bottom" wrapText="1"/>
    </xf>
    <xf borderId="18" fillId="8" fontId="23" numFmtId="2" xfId="0" applyAlignment="1" applyBorder="1" applyFont="1" applyNumberFormat="1">
      <alignment vertical="bottom"/>
    </xf>
    <xf borderId="18" fillId="8" fontId="23" numFmtId="1" xfId="0" applyAlignment="1" applyBorder="1" applyFont="1" applyNumberFormat="1">
      <alignment vertical="bottom"/>
    </xf>
    <xf borderId="14" fillId="0" fontId="22" numFmtId="2" xfId="0" applyAlignment="1" applyBorder="1" applyFont="1" applyNumberFormat="1">
      <alignment vertical="bottom"/>
    </xf>
    <xf borderId="36" fillId="0" fontId="22" numFmtId="2" xfId="0" applyAlignment="1" applyBorder="1" applyFont="1" applyNumberFormat="1">
      <alignment vertical="bottom"/>
    </xf>
    <xf borderId="37" fillId="0" fontId="22" numFmtId="1" xfId="0" applyAlignment="1" applyBorder="1" applyFont="1" applyNumberFormat="1">
      <alignment horizontal="center" vertical="center"/>
    </xf>
    <xf borderId="37" fillId="0" fontId="22" numFmtId="2" xfId="0" applyAlignment="1" applyBorder="1" applyFont="1" applyNumberFormat="1">
      <alignment horizontal="center" vertical="center"/>
    </xf>
    <xf borderId="37" fillId="0" fontId="22" numFmtId="1" xfId="0" applyAlignment="1" applyBorder="1" applyFont="1" applyNumberFormat="1">
      <alignment horizontal="right" vertical="bottom"/>
    </xf>
    <xf borderId="38" fillId="7" fontId="22" numFmtId="1" xfId="0" applyAlignment="1" applyBorder="1" applyFont="1" applyNumberFormat="1">
      <alignment horizontal="right" vertical="bottom"/>
    </xf>
    <xf borderId="39" fillId="7" fontId="22" numFmtId="1" xfId="0" applyAlignment="1" applyBorder="1" applyFont="1" applyNumberFormat="1">
      <alignment horizontal="right" vertical="bottom"/>
    </xf>
    <xf borderId="39" fillId="0" fontId="22" numFmtId="1" xfId="0" applyAlignment="1" applyBorder="1" applyFont="1" applyNumberFormat="1">
      <alignment horizontal="right" vertical="bottom"/>
    </xf>
    <xf borderId="14" fillId="0" fontId="22" numFmtId="2" xfId="0" applyAlignment="1" applyBorder="1" applyFont="1" applyNumberFormat="1">
      <alignment readingOrder="0" vertical="bottom"/>
    </xf>
    <xf borderId="39" fillId="7" fontId="22" numFmtId="1" xfId="0" applyAlignment="1" applyBorder="1" applyFont="1" applyNumberFormat="1">
      <alignment horizontal="right" readingOrder="0" vertical="bottom"/>
    </xf>
    <xf borderId="40" fillId="7" fontId="22" numFmtId="1" xfId="0" applyAlignment="1" applyBorder="1" applyFont="1" applyNumberFormat="1">
      <alignment horizontal="right" readingOrder="0" vertical="bottom"/>
    </xf>
    <xf borderId="14" fillId="0" fontId="22" numFmtId="0" xfId="0" applyAlignment="1" applyBorder="1" applyFont="1">
      <alignment readingOrder="0" vertical="bottom"/>
    </xf>
    <xf borderId="17" fillId="0" fontId="22" numFmtId="2" xfId="0" applyAlignment="1" applyBorder="1" applyFont="1" applyNumberFormat="1">
      <alignment vertical="bottom"/>
    </xf>
    <xf borderId="8" fillId="0" fontId="22" numFmtId="2" xfId="0" applyAlignment="1" applyBorder="1" applyFont="1" applyNumberFormat="1">
      <alignment vertical="bottom"/>
    </xf>
    <xf borderId="41" fillId="0" fontId="22" numFmtId="1" xfId="0" applyAlignment="1" applyBorder="1" applyFont="1" applyNumberFormat="1">
      <alignment horizontal="center" vertical="center"/>
    </xf>
    <xf borderId="41" fillId="0" fontId="22" numFmtId="2" xfId="0" applyAlignment="1" applyBorder="1" applyFont="1" applyNumberFormat="1">
      <alignment horizontal="center" vertical="center"/>
    </xf>
    <xf borderId="41" fillId="7" fontId="22" numFmtId="1" xfId="0" applyAlignment="1" applyBorder="1" applyFont="1" applyNumberFormat="1">
      <alignment horizontal="right" vertical="bottom"/>
    </xf>
    <xf borderId="17" fillId="0" fontId="22" numFmtId="2" xfId="0" applyAlignment="1" applyBorder="1" applyFont="1" applyNumberFormat="1">
      <alignment readingOrder="0" vertical="bottom"/>
    </xf>
    <xf borderId="42" fillId="7" fontId="22" numFmtId="1" xfId="0" applyAlignment="1" applyBorder="1" applyFont="1" applyNumberFormat="1">
      <alignment horizontal="right" readingOrder="0" vertical="bottom"/>
    </xf>
    <xf borderId="43" fillId="7" fontId="22" numFmtId="1" xfId="0" applyAlignment="1" applyBorder="1" applyFont="1" applyNumberFormat="1">
      <alignment horizontal="right" readingOrder="0" vertical="bottom"/>
    </xf>
    <xf borderId="17" fillId="0" fontId="22" numFmtId="0" xfId="0" applyAlignment="1" applyBorder="1" applyFont="1">
      <alignment readingOrder="0" vertical="bottom"/>
    </xf>
    <xf borderId="42" fillId="7" fontId="22" numFmtId="1" xfId="0" applyAlignment="1" applyBorder="1" applyFont="1" applyNumberFormat="1">
      <alignment horizontal="right" vertical="bottom"/>
    </xf>
    <xf borderId="20" fillId="0" fontId="22" numFmtId="2" xfId="0" applyAlignment="1" applyBorder="1" applyFont="1" applyNumberFormat="1">
      <alignment vertical="bottom"/>
    </xf>
    <xf borderId="44" fillId="0" fontId="22" numFmtId="2" xfId="0" applyAlignment="1" applyBorder="1" applyFont="1" applyNumberFormat="1">
      <alignment vertical="bottom"/>
    </xf>
    <xf borderId="45" fillId="0" fontId="22" numFmtId="1" xfId="0" applyAlignment="1" applyBorder="1" applyFont="1" applyNumberFormat="1">
      <alignment horizontal="center" vertical="center"/>
    </xf>
    <xf borderId="45" fillId="0" fontId="22" numFmtId="2" xfId="0" applyAlignment="1" applyBorder="1" applyFont="1" applyNumberFormat="1">
      <alignment horizontal="center" vertical="center"/>
    </xf>
    <xf borderId="45" fillId="0" fontId="22" numFmtId="1" xfId="0" applyAlignment="1" applyBorder="1" applyFont="1" applyNumberFormat="1">
      <alignment horizontal="right" vertical="bottom"/>
    </xf>
    <xf borderId="46" fillId="7" fontId="22" numFmtId="1" xfId="0" applyAlignment="1" applyBorder="1" applyFont="1" applyNumberFormat="1">
      <alignment horizontal="right" vertical="bottom"/>
    </xf>
    <xf borderId="45" fillId="7" fontId="22" numFmtId="1" xfId="0" applyAlignment="1" applyBorder="1" applyFont="1" applyNumberFormat="1">
      <alignment horizontal="right" vertical="bottom"/>
    </xf>
    <xf borderId="46" fillId="0" fontId="22" numFmtId="1" xfId="0" applyAlignment="1" applyBorder="1" applyFont="1" applyNumberFormat="1">
      <alignment horizontal="right" vertical="bottom"/>
    </xf>
    <xf borderId="46" fillId="7" fontId="22" numFmtId="1" xfId="0" applyAlignment="1" applyBorder="1" applyFont="1" applyNumberFormat="1">
      <alignment horizontal="right" readingOrder="0" vertical="bottom"/>
    </xf>
    <xf borderId="47" fillId="7" fontId="22" numFmtId="1" xfId="0" applyAlignment="1" applyBorder="1" applyFont="1" applyNumberFormat="1">
      <alignment horizontal="right" readingOrder="0" vertical="bottom"/>
    </xf>
    <xf borderId="17" fillId="0" fontId="22" numFmtId="2" xfId="0" applyAlignment="1" applyBorder="1" applyFont="1" applyNumberFormat="1">
      <alignment horizontal="left" shrinkToFit="0" vertical="bottom" wrapText="1"/>
    </xf>
    <xf borderId="17" fillId="0" fontId="22" numFmtId="2" xfId="0" applyAlignment="1" applyBorder="1" applyFont="1" applyNumberFormat="1">
      <alignment horizontal="left" readingOrder="0" shrinkToFit="0" vertical="bottom" wrapText="1"/>
    </xf>
    <xf borderId="17" fillId="0" fontId="22" numFmtId="2" xfId="0" applyAlignment="1" applyBorder="1" applyFont="1" applyNumberFormat="1">
      <alignment shrinkToFit="0" vertical="bottom" wrapText="1"/>
    </xf>
    <xf borderId="39" fillId="0" fontId="22" numFmtId="1" xfId="0" applyAlignment="1" applyBorder="1" applyFont="1" applyNumberFormat="1">
      <alignment horizontal="right" readingOrder="0" vertical="bottom"/>
    </xf>
    <xf borderId="40" fillId="0" fontId="22" numFmtId="1" xfId="0" applyAlignment="1" applyBorder="1" applyFont="1" applyNumberFormat="1">
      <alignment horizontal="right" readingOrder="0" vertical="bottom"/>
    </xf>
    <xf borderId="48" fillId="7" fontId="22" numFmtId="1" xfId="0" applyAlignment="1" applyBorder="1" applyFont="1" applyNumberFormat="1">
      <alignment horizontal="right" vertical="bottom"/>
    </xf>
    <xf borderId="42" fillId="0" fontId="22" numFmtId="1" xfId="0" applyAlignment="1" applyBorder="1" applyFont="1" applyNumberFormat="1">
      <alignment horizontal="right" readingOrder="0" vertical="bottom"/>
    </xf>
    <xf borderId="43" fillId="0" fontId="22" numFmtId="1" xfId="0" applyAlignment="1" applyBorder="1" applyFont="1" applyNumberFormat="1">
      <alignment horizontal="right" readingOrder="0" vertical="bottom"/>
    </xf>
    <xf borderId="49" fillId="0" fontId="22" numFmtId="1" xfId="0" applyAlignment="1" applyBorder="1" applyFont="1" applyNumberFormat="1">
      <alignment horizontal="center" vertical="center"/>
    </xf>
    <xf borderId="49" fillId="0" fontId="22" numFmtId="2" xfId="0" applyAlignment="1" applyBorder="1" applyFont="1" applyNumberFormat="1">
      <alignment horizontal="center" vertical="center"/>
    </xf>
    <xf borderId="50" fillId="0" fontId="22" numFmtId="1" xfId="0" applyAlignment="1" applyBorder="1" applyFont="1" applyNumberFormat="1">
      <alignment horizontal="right" vertical="bottom"/>
    </xf>
    <xf borderId="49" fillId="0" fontId="22" numFmtId="1" xfId="0" applyAlignment="1" applyBorder="1" applyFont="1" applyNumberFormat="1">
      <alignment horizontal="right" vertical="bottom"/>
    </xf>
    <xf borderId="51" fillId="0" fontId="22" numFmtId="1" xfId="0" applyAlignment="1" applyBorder="1" applyFont="1" applyNumberFormat="1">
      <alignment horizontal="right" vertical="bottom"/>
    </xf>
    <xf borderId="51" fillId="0" fontId="22" numFmtId="1" xfId="0" applyAlignment="1" applyBorder="1" applyFont="1" applyNumberFormat="1">
      <alignment horizontal="right" readingOrder="0" vertical="bottom"/>
    </xf>
    <xf borderId="52" fillId="0" fontId="22" numFmtId="1" xfId="0" applyAlignment="1" applyBorder="1" applyFont="1" applyNumberFormat="1">
      <alignment horizontal="right" readingOrder="0" vertical="bottom"/>
    </xf>
    <xf borderId="26" fillId="0" fontId="22" numFmtId="2" xfId="0" applyAlignment="1" applyBorder="1" applyFont="1" applyNumberFormat="1">
      <alignment readingOrder="0" vertical="bottom"/>
    </xf>
    <xf borderId="53" fillId="0" fontId="22" numFmtId="2" xfId="0" applyAlignment="1" applyBorder="1" applyFont="1" applyNumberFormat="1">
      <alignment readingOrder="0" vertical="bottom"/>
    </xf>
    <xf borderId="54" fillId="0" fontId="22" numFmtId="1" xfId="0" applyAlignment="1" applyBorder="1" applyFont="1" applyNumberFormat="1">
      <alignment horizontal="center" vertical="center"/>
    </xf>
    <xf borderId="55" fillId="5" fontId="22" numFmtId="1" xfId="0" applyAlignment="1" applyBorder="1" applyFont="1" applyNumberFormat="1">
      <alignment horizontal="right" vertical="bottom"/>
    </xf>
    <xf borderId="56" fillId="5" fontId="22" numFmtId="1" xfId="0" applyAlignment="1" applyBorder="1" applyFont="1" applyNumberFormat="1">
      <alignment horizontal="right" vertical="bottom"/>
    </xf>
    <xf borderId="57" fillId="5" fontId="22" numFmtId="1" xfId="0" applyAlignment="1" applyBorder="1" applyFont="1" applyNumberFormat="1">
      <alignment horizontal="right" vertical="bottom"/>
    </xf>
    <xf borderId="51" fillId="5" fontId="22" numFmtId="1" xfId="0" applyAlignment="1" applyBorder="1" applyFont="1" applyNumberFormat="1">
      <alignment horizontal="right" readingOrder="0" vertical="bottom"/>
    </xf>
    <xf borderId="49" fillId="5" fontId="22" numFmtId="1" xfId="0" applyAlignment="1" applyBorder="1" applyFont="1" applyNumberFormat="1">
      <alignment horizontal="right" readingOrder="0" vertical="bottom"/>
    </xf>
    <xf borderId="50" fillId="5" fontId="22" numFmtId="1" xfId="0" applyAlignment="1" applyBorder="1" applyFont="1" applyNumberFormat="1">
      <alignment horizontal="right" readingOrder="0" vertical="bottom"/>
    </xf>
    <xf borderId="52" fillId="5" fontId="22" numFmtId="1" xfId="0" applyAlignment="1" applyBorder="1" applyFont="1" applyNumberFormat="1">
      <alignment horizontal="right" readingOrder="0" vertical="bottom"/>
    </xf>
    <xf borderId="58" fillId="0" fontId="22" numFmtId="1" xfId="0" applyAlignment="1" applyBorder="1" applyFont="1" applyNumberFormat="1">
      <alignment horizontal="center" vertical="center"/>
    </xf>
    <xf borderId="42" fillId="0" fontId="22" numFmtId="1" xfId="0" applyAlignment="1" applyBorder="1" applyFont="1" applyNumberFormat="1">
      <alignment horizontal="right" vertical="bottom"/>
    </xf>
    <xf borderId="59" fillId="7" fontId="22" numFmtId="1" xfId="0" applyAlignment="1" applyBorder="1" applyFont="1" applyNumberFormat="1">
      <alignment horizontal="right" readingOrder="0" vertical="bottom"/>
    </xf>
    <xf borderId="60" fillId="7" fontId="22" numFmtId="1" xfId="0" applyAlignment="1" applyBorder="1" applyFont="1" applyNumberFormat="1">
      <alignment horizontal="right" readingOrder="0" vertical="bottom"/>
    </xf>
    <xf borderId="53" fillId="0" fontId="22" numFmtId="2" xfId="0" applyAlignment="1" applyBorder="1" applyFont="1" applyNumberFormat="1">
      <alignment readingOrder="0" shrinkToFit="0" vertical="bottom" wrapText="1"/>
    </xf>
    <xf borderId="55" fillId="5" fontId="22" numFmtId="1" xfId="0" applyAlignment="1" applyBorder="1" applyFont="1" applyNumberFormat="1">
      <alignment horizontal="right" readingOrder="0" vertical="bottom"/>
    </xf>
    <xf borderId="56" fillId="5" fontId="22" numFmtId="1" xfId="0" applyAlignment="1" applyBorder="1" applyFont="1" applyNumberFormat="1">
      <alignment horizontal="right" readingOrder="0" vertical="bottom"/>
    </xf>
    <xf borderId="57" fillId="5" fontId="22" numFmtId="1" xfId="0" applyAlignment="1" applyBorder="1" applyFont="1" applyNumberFormat="1">
      <alignment horizontal="right" readingOrder="0" vertical="bottom"/>
    </xf>
    <xf borderId="61" fillId="5" fontId="22" numFmtId="1" xfId="0" applyAlignment="1" applyBorder="1" applyFont="1" applyNumberFormat="1">
      <alignment horizontal="right" readingOrder="0" vertical="bottom"/>
    </xf>
    <xf borderId="62" fillId="7" fontId="22" numFmtId="1" xfId="0" applyAlignment="1" applyBorder="1" applyFont="1" applyNumberFormat="1">
      <alignment horizontal="right" readingOrder="0" vertical="bottom"/>
    </xf>
    <xf borderId="63" fillId="7" fontId="22" numFmtId="1" xfId="0" applyAlignment="1" applyBorder="1" applyFont="1" applyNumberFormat="1">
      <alignment horizontal="right" readingOrder="0" vertical="bottom"/>
    </xf>
    <xf borderId="64" fillId="0" fontId="22" numFmtId="2" xfId="0" applyAlignment="1" applyBorder="1" applyFont="1" applyNumberFormat="1">
      <alignment readingOrder="0" vertical="bottom"/>
    </xf>
    <xf borderId="65" fillId="0" fontId="22" numFmtId="1" xfId="0" applyAlignment="1" applyBorder="1" applyFont="1" applyNumberFormat="1">
      <alignment horizontal="center" vertical="center"/>
    </xf>
    <xf borderId="51" fillId="5" fontId="22" numFmtId="1" xfId="0" applyAlignment="1" applyBorder="1" applyFont="1" applyNumberFormat="1">
      <alignment horizontal="right" vertical="bottom"/>
    </xf>
    <xf borderId="49" fillId="5" fontId="22" numFmtId="1" xfId="0" applyAlignment="1" applyBorder="1" applyFont="1" applyNumberFormat="1">
      <alignment horizontal="right" vertical="bottom"/>
    </xf>
    <xf borderId="50" fillId="5" fontId="22" numFmtId="1" xfId="0" applyAlignment="1" applyBorder="1" applyFont="1" applyNumberFormat="1">
      <alignment horizontal="right" vertical="bottom"/>
    </xf>
    <xf borderId="20" fillId="0" fontId="22" numFmtId="2" xfId="0" applyAlignment="1" applyBorder="1" applyFont="1" applyNumberFormat="1">
      <alignment readingOrder="0" vertical="bottom"/>
    </xf>
    <xf borderId="46" fillId="5" fontId="22" numFmtId="1" xfId="0" applyAlignment="1" applyBorder="1" applyFont="1" applyNumberFormat="1">
      <alignment horizontal="right" readingOrder="0" vertical="bottom"/>
    </xf>
    <xf borderId="45" fillId="5" fontId="22" numFmtId="1" xfId="0" applyAlignment="1" applyBorder="1" applyFont="1" applyNumberFormat="1">
      <alignment horizontal="right" readingOrder="0" vertical="bottom"/>
    </xf>
    <xf borderId="66" fillId="5" fontId="22" numFmtId="1" xfId="0" applyAlignment="1" applyBorder="1" applyFont="1" applyNumberFormat="1">
      <alignment horizontal="right" readingOrder="0" vertical="bottom"/>
    </xf>
    <xf borderId="47" fillId="5" fontId="22" numFmtId="1" xfId="0" applyAlignment="1" applyBorder="1" applyFont="1" applyNumberFormat="1">
      <alignment horizontal="right" readingOrder="0" vertical="bottom"/>
    </xf>
    <xf borderId="20" fillId="0" fontId="22" numFmtId="0" xfId="0" applyAlignment="1" applyBorder="1" applyFont="1">
      <alignment readingOrder="0" vertical="bottom"/>
    </xf>
    <xf borderId="39" fillId="0" fontId="22" numFmtId="2" xfId="0" applyAlignment="1" applyBorder="1" applyFont="1" applyNumberFormat="1">
      <alignment horizontal="center" vertical="center"/>
    </xf>
    <xf borderId="42" fillId="0" fontId="22" numFmtId="2" xfId="0" applyAlignment="1" applyBorder="1" applyFont="1" applyNumberFormat="1">
      <alignment horizontal="center" vertical="center"/>
    </xf>
    <xf borderId="62" fillId="0" fontId="22" numFmtId="1" xfId="0" applyAlignment="1" applyBorder="1" applyFont="1" applyNumberFormat="1">
      <alignment horizontal="right" readingOrder="0" vertical="bottom"/>
    </xf>
    <xf borderId="63" fillId="0" fontId="22" numFmtId="1" xfId="0" applyAlignment="1" applyBorder="1" applyFont="1" applyNumberFormat="1">
      <alignment horizontal="right" readingOrder="0" vertical="bottom"/>
    </xf>
    <xf borderId="58" fillId="0" fontId="22" numFmtId="2" xfId="0" applyAlignment="1" applyBorder="1" applyFont="1" applyNumberFormat="1">
      <alignment horizontal="center" vertical="center"/>
    </xf>
    <xf borderId="59" fillId="7" fontId="22" numFmtId="1" xfId="0" applyAlignment="1" applyBorder="1" applyFont="1" applyNumberFormat="1">
      <alignment horizontal="right" vertical="bottom"/>
    </xf>
    <xf borderId="41" fillId="0" fontId="22" numFmtId="1" xfId="0" applyAlignment="1" applyBorder="1" applyFont="1" applyNumberFormat="1">
      <alignment horizontal="right" vertical="bottom"/>
    </xf>
    <xf borderId="48" fillId="0" fontId="22" numFmtId="1" xfId="0" applyAlignment="1" applyBorder="1" applyFont="1" applyNumberFormat="1">
      <alignment horizontal="right" vertical="bottom"/>
    </xf>
    <xf borderId="67" fillId="0" fontId="22" numFmtId="1" xfId="0" applyAlignment="1" applyBorder="1" applyFont="1" applyNumberFormat="1">
      <alignment horizontal="center" vertical="center"/>
    </xf>
    <xf borderId="68" fillId="0" fontId="22" numFmtId="2" xfId="0" applyAlignment="1" applyBorder="1" applyFont="1" applyNumberFormat="1">
      <alignment vertical="bottom"/>
    </xf>
    <xf borderId="37" fillId="5" fontId="22" numFmtId="1" xfId="0" applyAlignment="1" applyBorder="1" applyFont="1" applyNumberFormat="1">
      <alignment horizontal="right" vertical="bottom"/>
    </xf>
    <xf borderId="69" fillId="5" fontId="22" numFmtId="1" xfId="0" applyAlignment="1" applyBorder="1" applyFont="1" applyNumberFormat="1">
      <alignment horizontal="right" vertical="bottom"/>
    </xf>
    <xf borderId="38" fillId="5" fontId="22" numFmtId="1" xfId="0" applyAlignment="1" applyBorder="1" applyFont="1" applyNumberFormat="1">
      <alignment horizontal="right" vertical="bottom"/>
    </xf>
    <xf borderId="70" fillId="5" fontId="22" numFmtId="1" xfId="0" applyAlignment="1" applyBorder="1" applyFont="1" applyNumberFormat="1">
      <alignment horizontal="right" readingOrder="0" vertical="bottom"/>
    </xf>
    <xf borderId="71" fillId="5" fontId="22" numFmtId="1" xfId="0" applyAlignment="1" applyBorder="1" applyFont="1" applyNumberFormat="1">
      <alignment horizontal="right" readingOrder="0" vertical="bottom"/>
    </xf>
    <xf borderId="24" fillId="5" fontId="22" numFmtId="1" xfId="0" applyAlignment="1" applyBorder="1" applyFont="1" applyNumberFormat="1">
      <alignment horizontal="right" readingOrder="0" vertical="bottom"/>
    </xf>
    <xf borderId="72" fillId="5" fontId="22" numFmtId="1" xfId="0" applyAlignment="1" applyBorder="1" applyFont="1" applyNumberFormat="1">
      <alignment horizontal="right" readingOrder="0" vertical="bottom"/>
    </xf>
    <xf borderId="73" fillId="5" fontId="22" numFmtId="1" xfId="0" applyAlignment="1" applyBorder="1" applyFont="1" applyNumberFormat="1">
      <alignment horizontal="right" vertical="bottom"/>
    </xf>
    <xf borderId="74" fillId="5" fontId="22" numFmtId="1" xfId="0" applyAlignment="1" applyBorder="1" applyFont="1" applyNumberFormat="1">
      <alignment horizontal="right" vertical="bottom"/>
    </xf>
    <xf borderId="48" fillId="5" fontId="22" numFmtId="1" xfId="0" applyAlignment="1" applyBorder="1" applyFont="1" applyNumberFormat="1">
      <alignment horizontal="right" vertical="bottom"/>
    </xf>
    <xf borderId="73" fillId="5" fontId="22" numFmtId="1" xfId="0" applyAlignment="1" applyBorder="1" applyFont="1" applyNumberFormat="1">
      <alignment horizontal="right" readingOrder="0" vertical="bottom"/>
    </xf>
    <xf borderId="74" fillId="5" fontId="22" numFmtId="1" xfId="0" applyAlignment="1" applyBorder="1" applyFont="1" applyNumberFormat="1">
      <alignment horizontal="right" readingOrder="0" vertical="bottom"/>
    </xf>
    <xf borderId="75" fillId="5" fontId="22" numFmtId="1" xfId="0" applyAlignment="1" applyBorder="1" applyFont="1" applyNumberFormat="1">
      <alignment horizontal="right" readingOrder="0" vertical="bottom"/>
    </xf>
    <xf borderId="76" fillId="0" fontId="22" numFmtId="2" xfId="0" applyAlignment="1" applyBorder="1" applyFont="1" applyNumberFormat="1">
      <alignment vertical="bottom"/>
    </xf>
    <xf borderId="77" fillId="5" fontId="22" numFmtId="1" xfId="0" applyAlignment="1" applyBorder="1" applyFont="1" applyNumberFormat="1">
      <alignment horizontal="right" readingOrder="0" vertical="bottom"/>
    </xf>
    <xf borderId="39" fillId="5" fontId="22" numFmtId="1" xfId="0" applyAlignment="1" applyBorder="1" applyFont="1" applyNumberFormat="1">
      <alignment horizontal="right" vertical="bottom"/>
    </xf>
    <xf borderId="39" fillId="5" fontId="22" numFmtId="1" xfId="0" applyAlignment="1" applyBorder="1" applyFont="1" applyNumberFormat="1">
      <alignment horizontal="right" readingOrder="0" vertical="bottom"/>
    </xf>
    <xf borderId="40" fillId="5" fontId="22" numFmtId="1" xfId="0" applyAlignment="1" applyBorder="1" applyFont="1" applyNumberFormat="1">
      <alignment horizontal="right" readingOrder="0" vertical="bottom"/>
    </xf>
    <xf borderId="41" fillId="0" fontId="22" numFmtId="1" xfId="0" applyAlignment="1" applyBorder="1" applyFont="1" applyNumberFormat="1">
      <alignment horizontal="right" readingOrder="0" vertical="bottom"/>
    </xf>
    <xf borderId="75" fillId="0" fontId="22" numFmtId="1" xfId="0" applyAlignment="1" applyBorder="1" applyFont="1" applyNumberFormat="1">
      <alignment horizontal="right" readingOrder="0" vertical="bottom"/>
    </xf>
    <xf borderId="42" fillId="5" fontId="22" numFmtId="1" xfId="0" applyAlignment="1" applyBorder="1" applyFont="1" applyNumberFormat="1">
      <alignment horizontal="right" vertical="bottom"/>
    </xf>
    <xf borderId="42" fillId="5" fontId="22" numFmtId="1" xfId="0" applyAlignment="1" applyBorder="1" applyFont="1" applyNumberFormat="1">
      <alignment horizontal="right" readingOrder="0" vertical="bottom"/>
    </xf>
    <xf borderId="43" fillId="5" fontId="22" numFmtId="1" xfId="0" applyAlignment="1" applyBorder="1" applyFont="1" applyNumberFormat="1">
      <alignment horizontal="right" readingOrder="0" vertical="bottom"/>
    </xf>
    <xf borderId="62" fillId="5" fontId="22" numFmtId="1" xfId="0" applyAlignment="1" applyBorder="1" applyFont="1" applyNumberFormat="1">
      <alignment horizontal="right" vertical="bottom"/>
    </xf>
    <xf borderId="62" fillId="5" fontId="22" numFmtId="1" xfId="0" applyAlignment="1" applyBorder="1" applyFont="1" applyNumberFormat="1">
      <alignment horizontal="right" readingOrder="0" vertical="bottom"/>
    </xf>
    <xf borderId="63" fillId="5" fontId="22" numFmtId="1" xfId="0" applyAlignment="1" applyBorder="1" applyFont="1" applyNumberFormat="1">
      <alignment horizontal="right" readingOrder="0" vertical="bottom"/>
    </xf>
    <xf borderId="36" fillId="0" fontId="22" numFmtId="2" xfId="0" applyAlignment="1" applyBorder="1" applyFont="1" applyNumberFormat="1">
      <alignment readingOrder="0" vertical="bottom"/>
    </xf>
    <xf borderId="37" fillId="0" fontId="22" numFmtId="1" xfId="0" applyAlignment="1" applyBorder="1" applyFont="1" applyNumberFormat="1">
      <alignment horizontal="center" vertical="bottom"/>
    </xf>
    <xf borderId="37" fillId="0" fontId="22" numFmtId="2" xfId="0" applyAlignment="1" applyBorder="1" applyFont="1" applyNumberFormat="1">
      <alignment vertical="bottom"/>
    </xf>
    <xf borderId="38" fillId="5" fontId="22" numFmtId="1" xfId="0" applyAlignment="1" applyBorder="1" applyFont="1" applyNumberFormat="1">
      <alignment horizontal="right" readingOrder="0" vertical="bottom"/>
    </xf>
    <xf borderId="37" fillId="5" fontId="22" numFmtId="1" xfId="0" applyAlignment="1" applyBorder="1" applyFont="1" applyNumberFormat="1">
      <alignment horizontal="right" readingOrder="0" vertical="bottom"/>
    </xf>
    <xf borderId="37" fillId="0" fontId="22" numFmtId="1" xfId="0" applyAlignment="1" applyBorder="1" applyFont="1" applyNumberFormat="1">
      <alignment horizontal="right" readingOrder="0" vertical="bottom"/>
    </xf>
    <xf borderId="38" fillId="0" fontId="22" numFmtId="1" xfId="0" applyAlignment="1" applyBorder="1" applyFont="1" applyNumberFormat="1">
      <alignment horizontal="right" vertical="bottom"/>
    </xf>
    <xf borderId="37" fillId="0" fontId="22" numFmtId="165" xfId="0" applyAlignment="1" applyBorder="1" applyFont="1" applyNumberFormat="1">
      <alignment horizontal="right" readingOrder="0" vertical="bottom"/>
    </xf>
    <xf borderId="69" fillId="0" fontId="22" numFmtId="165" xfId="0" applyAlignment="1" applyBorder="1" applyFont="1" applyNumberFormat="1">
      <alignment horizontal="right" readingOrder="0" vertical="bottom"/>
    </xf>
    <xf borderId="38" fillId="0" fontId="22" numFmtId="165" xfId="0" applyAlignment="1" applyBorder="1" applyFont="1" applyNumberFormat="1">
      <alignment horizontal="right" readingOrder="0" vertical="bottom"/>
    </xf>
    <xf borderId="0" fillId="0" fontId="22" numFmtId="2" xfId="0" applyAlignment="1" applyFont="1" applyNumberFormat="1">
      <alignment readingOrder="0" vertical="bottom"/>
    </xf>
    <xf borderId="8" fillId="0" fontId="22" numFmtId="2" xfId="0" applyAlignment="1" applyBorder="1" applyFont="1" applyNumberFormat="1">
      <alignment readingOrder="0" vertical="bottom"/>
    </xf>
    <xf borderId="54" fillId="0" fontId="22" numFmtId="1" xfId="0" applyAlignment="1" applyBorder="1" applyFont="1" applyNumberFormat="1">
      <alignment horizontal="center" vertical="bottom"/>
    </xf>
    <xf borderId="41" fillId="0" fontId="22" numFmtId="2" xfId="0" applyAlignment="1" applyBorder="1" applyFont="1" applyNumberFormat="1">
      <alignment vertical="bottom"/>
    </xf>
    <xf borderId="78" fillId="5" fontId="22" numFmtId="1" xfId="0" applyAlignment="1" applyBorder="1" applyFont="1" applyNumberFormat="1">
      <alignment horizontal="right" readingOrder="0" vertical="bottom"/>
    </xf>
    <xf borderId="54" fillId="5" fontId="22" numFmtId="1" xfId="0" applyAlignment="1" applyBorder="1" applyFont="1" applyNumberFormat="1">
      <alignment horizontal="right" readingOrder="0" vertical="bottom"/>
    </xf>
    <xf borderId="54" fillId="0" fontId="22" numFmtId="1" xfId="0" applyAlignment="1" applyBorder="1" applyFont="1" applyNumberFormat="1">
      <alignment horizontal="right" readingOrder="0" vertical="bottom"/>
    </xf>
    <xf borderId="78" fillId="0" fontId="22" numFmtId="1" xfId="0" applyAlignment="1" applyBorder="1" applyFont="1" applyNumberFormat="1">
      <alignment horizontal="right" readingOrder="0" vertical="bottom"/>
    </xf>
    <xf borderId="78" fillId="0" fontId="22" numFmtId="1" xfId="0" applyAlignment="1" applyBorder="1" applyFont="1" applyNumberFormat="1">
      <alignment horizontal="right" vertical="bottom"/>
    </xf>
    <xf borderId="54" fillId="0" fontId="22" numFmtId="1" xfId="0" applyAlignment="1" applyBorder="1" applyFont="1" applyNumberFormat="1">
      <alignment horizontal="right" vertical="bottom"/>
    </xf>
    <xf borderId="62" fillId="0" fontId="22" numFmtId="1" xfId="0" applyAlignment="1" applyBorder="1" applyFont="1" applyNumberFormat="1">
      <alignment horizontal="right" vertical="bottom"/>
    </xf>
    <xf borderId="78" fillId="5" fontId="22" numFmtId="1" xfId="0" applyAlignment="1" applyBorder="1" applyFont="1" applyNumberFormat="1">
      <alignment horizontal="right" vertical="bottom"/>
    </xf>
    <xf borderId="54" fillId="5" fontId="22" numFmtId="1" xfId="0" applyAlignment="1" applyBorder="1" applyFont="1" applyNumberFormat="1">
      <alignment horizontal="right" vertical="bottom"/>
    </xf>
    <xf borderId="49" fillId="0" fontId="22" numFmtId="1" xfId="0" applyAlignment="1" applyBorder="1" applyFont="1" applyNumberFormat="1">
      <alignment horizontal="right" readingOrder="0" vertical="bottom"/>
    </xf>
    <xf borderId="50" fillId="0" fontId="22" numFmtId="1" xfId="0" applyAlignment="1" applyBorder="1" applyFont="1" applyNumberFormat="1">
      <alignment horizontal="right" readingOrder="0" vertical="bottom"/>
    </xf>
    <xf borderId="58" fillId="0" fontId="22" numFmtId="1" xfId="0" applyAlignment="1" applyBorder="1" applyFont="1" applyNumberFormat="1">
      <alignment horizontal="center" vertical="bottom"/>
    </xf>
    <xf borderId="58" fillId="0" fontId="22" numFmtId="2" xfId="0" applyAlignment="1" applyBorder="1" applyFont="1" applyNumberFormat="1">
      <alignment vertical="bottom"/>
    </xf>
    <xf borderId="59" fillId="5" fontId="22" numFmtId="1" xfId="0" applyAlignment="1" applyBorder="1" applyFont="1" applyNumberFormat="1">
      <alignment horizontal="right" readingOrder="0" vertical="bottom"/>
    </xf>
    <xf borderId="58" fillId="7" fontId="22" numFmtId="1" xfId="0" applyAlignment="1" applyBorder="1" applyFont="1" applyNumberFormat="1">
      <alignment horizontal="right" vertical="bottom"/>
    </xf>
    <xf borderId="59" fillId="5" fontId="22" numFmtId="1" xfId="0" applyAlignment="1" applyBorder="1" applyFont="1" applyNumberFormat="1">
      <alignment horizontal="right" vertical="bottom"/>
    </xf>
    <xf borderId="58" fillId="7" fontId="22" numFmtId="165" xfId="0" applyAlignment="1" applyBorder="1" applyFont="1" applyNumberFormat="1">
      <alignment horizontal="right" readingOrder="0" vertical="bottom"/>
    </xf>
    <xf borderId="79" fillId="7" fontId="22" numFmtId="165" xfId="0" applyAlignment="1" applyBorder="1" applyFont="1" applyNumberFormat="1">
      <alignment horizontal="right" readingOrder="0" vertical="bottom"/>
    </xf>
    <xf borderId="80" fillId="7" fontId="22" numFmtId="165" xfId="0" applyAlignment="1" applyBorder="1" applyFont="1" applyNumberFormat="1">
      <alignment horizontal="right" readingOrder="0" vertical="bottom"/>
    </xf>
    <xf borderId="56" fillId="7" fontId="22" numFmtId="1" xfId="0" applyAlignment="1" applyBorder="1" applyFont="1" applyNumberFormat="1">
      <alignment horizontal="right" readingOrder="0" vertical="bottom"/>
    </xf>
    <xf borderId="57" fillId="7" fontId="22" numFmtId="1" xfId="0" applyAlignment="1" applyBorder="1" applyFont="1" applyNumberFormat="1">
      <alignment horizontal="right" readingOrder="0" vertical="bottom"/>
    </xf>
    <xf borderId="58" fillId="5" fontId="22" numFmtId="1" xfId="0" applyAlignment="1" applyBorder="1" applyFont="1" applyNumberFormat="1">
      <alignment horizontal="right" readingOrder="0" vertical="bottom"/>
    </xf>
    <xf borderId="58" fillId="7" fontId="22" numFmtId="1" xfId="0" applyAlignment="1" applyBorder="1" applyFont="1" applyNumberFormat="1">
      <alignment horizontal="right" readingOrder="0" vertical="bottom"/>
    </xf>
    <xf borderId="54" fillId="7" fontId="22" numFmtId="165" xfId="0" applyAlignment="1" applyBorder="1" applyFont="1" applyNumberFormat="1">
      <alignment horizontal="right" readingOrder="0" vertical="bottom"/>
    </xf>
    <xf borderId="73" fillId="7" fontId="22" numFmtId="165" xfId="0" applyAlignment="1" applyBorder="1" applyFont="1" applyNumberFormat="1">
      <alignment horizontal="right" readingOrder="0" vertical="bottom"/>
    </xf>
    <xf borderId="78" fillId="7" fontId="22" numFmtId="165" xfId="0" applyAlignment="1" applyBorder="1" applyFont="1" applyNumberFormat="1">
      <alignment horizontal="right" readingOrder="0" vertical="bottom"/>
    </xf>
    <xf borderId="54" fillId="7" fontId="22" numFmtId="1" xfId="0" applyAlignment="1" applyBorder="1" applyFont="1" applyNumberFormat="1">
      <alignment horizontal="right" vertical="bottom"/>
    </xf>
    <xf borderId="78" fillId="7" fontId="22" numFmtId="1" xfId="0" applyAlignment="1" applyBorder="1" applyFont="1" applyNumberFormat="1">
      <alignment horizontal="right" vertical="bottom"/>
    </xf>
    <xf borderId="73" fillId="7" fontId="22" numFmtId="1" xfId="0" applyAlignment="1" applyBorder="1" applyFont="1" applyNumberFormat="1">
      <alignment horizontal="right" vertical="bottom"/>
    </xf>
    <xf borderId="49" fillId="7" fontId="22" numFmtId="1" xfId="0" applyAlignment="1" applyBorder="1" applyFont="1" applyNumberFormat="1">
      <alignment horizontal="right" readingOrder="0" vertical="bottom"/>
    </xf>
    <xf borderId="50" fillId="7" fontId="22" numFmtId="1" xfId="0" applyAlignment="1" applyBorder="1" applyFont="1" applyNumberFormat="1">
      <alignment horizontal="right" readingOrder="0" vertical="bottom"/>
    </xf>
    <xf borderId="80" fillId="5" fontId="22" numFmtId="1" xfId="0" applyAlignment="1" applyBorder="1" applyFont="1" applyNumberFormat="1">
      <alignment horizontal="right" readingOrder="0" vertical="bottom"/>
    </xf>
    <xf borderId="58" fillId="0" fontId="22" numFmtId="1" xfId="0" applyAlignment="1" applyBorder="1" applyFont="1" applyNumberFormat="1">
      <alignment horizontal="right" readingOrder="0" vertical="bottom"/>
    </xf>
    <xf borderId="59" fillId="0" fontId="22" numFmtId="1" xfId="0" applyAlignment="1" applyBorder="1" applyFont="1" applyNumberFormat="1">
      <alignment horizontal="right" readingOrder="0" vertical="bottom"/>
    </xf>
    <xf borderId="80" fillId="0" fontId="22" numFmtId="1" xfId="0" applyAlignment="1" applyBorder="1" applyFont="1" applyNumberFormat="1">
      <alignment horizontal="right" vertical="bottom"/>
    </xf>
    <xf borderId="58" fillId="0" fontId="22" numFmtId="1" xfId="0" applyAlignment="1" applyBorder="1" applyFont="1" applyNumberFormat="1">
      <alignment horizontal="right" vertical="bottom"/>
    </xf>
    <xf borderId="59" fillId="0" fontId="22" numFmtId="1" xfId="0" applyAlignment="1" applyBorder="1" applyFont="1" applyNumberFormat="1">
      <alignment horizontal="right" vertical="bottom"/>
    </xf>
    <xf borderId="80" fillId="5" fontId="22" numFmtId="1" xfId="0" applyAlignment="1" applyBorder="1" applyFont="1" applyNumberFormat="1">
      <alignment horizontal="right" vertical="bottom"/>
    </xf>
    <xf borderId="58" fillId="5" fontId="22" numFmtId="1" xfId="0" applyAlignment="1" applyBorder="1" applyFont="1" applyNumberFormat="1">
      <alignment horizontal="right" vertical="bottom"/>
    </xf>
    <xf borderId="79" fillId="0" fontId="22" numFmtId="2" xfId="0" applyAlignment="1" applyBorder="1" applyFont="1" applyNumberFormat="1">
      <alignment horizontal="right" readingOrder="0" vertical="bottom"/>
    </xf>
    <xf borderId="79" fillId="7" fontId="22" numFmtId="2" xfId="0" applyAlignment="1" applyBorder="1" applyFont="1" applyNumberFormat="1">
      <alignment horizontal="right" readingOrder="0" vertical="bottom"/>
    </xf>
    <xf borderId="80" fillId="0" fontId="22" numFmtId="2" xfId="0" applyAlignment="1" applyBorder="1" applyFont="1" applyNumberFormat="1">
      <alignment horizontal="right" readingOrder="0" vertical="bottom"/>
    </xf>
    <xf borderId="67" fillId="0" fontId="22" numFmtId="1" xfId="0" applyAlignment="1" applyBorder="1" applyFont="1" applyNumberFormat="1">
      <alignment horizontal="center" vertical="bottom"/>
    </xf>
    <xf borderId="49" fillId="0" fontId="22" numFmtId="2" xfId="0" applyAlignment="1" applyBorder="1" applyFont="1" applyNumberFormat="1">
      <alignment vertical="bottom"/>
    </xf>
    <xf borderId="51" fillId="7" fontId="22" numFmtId="1" xfId="0" applyAlignment="1" applyBorder="1" applyFont="1" applyNumberFormat="1">
      <alignment horizontal="right" readingOrder="0" vertical="bottom"/>
    </xf>
    <xf borderId="26" fillId="0" fontId="22" numFmtId="2" xfId="0" applyAlignment="1" applyBorder="1" applyFont="1" applyNumberFormat="1">
      <alignment readingOrder="0" shrinkToFit="0" vertical="bottom" wrapText="0"/>
    </xf>
    <xf borderId="0" fillId="0" fontId="22" numFmtId="2" xfId="0" applyAlignment="1" applyFont="1" applyNumberFormat="1">
      <alignment readingOrder="0" shrinkToFit="0" vertical="bottom" wrapText="0"/>
    </xf>
    <xf borderId="53" fillId="0" fontId="22" numFmtId="2" xfId="0" applyAlignment="1" applyBorder="1" applyFont="1" applyNumberFormat="1">
      <alignment readingOrder="0" shrinkToFit="0" vertical="bottom" wrapText="0"/>
    </xf>
    <xf borderId="68" fillId="0" fontId="22" numFmtId="2" xfId="0" applyAlignment="1" applyBorder="1" applyFont="1" applyNumberFormat="1">
      <alignment readingOrder="0" vertical="bottom"/>
    </xf>
    <xf borderId="37" fillId="0" fontId="22" numFmtId="1" xfId="0" applyAlignment="1" applyBorder="1" applyFont="1" applyNumberFormat="1">
      <alignment horizontal="center" readingOrder="0" vertical="bottom"/>
    </xf>
    <xf borderId="39" fillId="0" fontId="22" numFmtId="2" xfId="0" applyAlignment="1" applyBorder="1" applyFont="1" applyNumberFormat="1">
      <alignment readingOrder="0" vertical="bottom"/>
    </xf>
    <xf borderId="0" fillId="0" fontId="22" numFmtId="1" xfId="0" applyAlignment="1" applyFont="1" applyNumberFormat="1">
      <alignment horizontal="center" vertical="bottom"/>
    </xf>
    <xf borderId="0" fillId="0" fontId="22" numFmtId="1" xfId="0" applyAlignment="1" applyFont="1" applyNumberFormat="1">
      <alignment horizontal="right" vertical="bottom"/>
    </xf>
    <xf borderId="0" fillId="7" fontId="22" numFmtId="1" xfId="0" applyAlignment="1" applyFont="1" applyNumberFormat="1">
      <alignment horizontal="right" vertical="bottom"/>
    </xf>
    <xf borderId="0" fillId="5" fontId="22" numFmtId="1" xfId="0" applyAlignment="1" applyFont="1" applyNumberFormat="1">
      <alignment horizontal="right" vertical="bottom"/>
    </xf>
    <xf borderId="0" fillId="0" fontId="22" numFmtId="1" xfId="0" applyAlignment="1" applyFont="1" applyNumberFormat="1">
      <alignment horizontal="right" readingOrder="0" vertical="bottom"/>
    </xf>
    <xf borderId="0" fillId="0" fontId="7" numFmtId="2" xfId="0" applyAlignment="1" applyFont="1" applyNumberFormat="1">
      <alignment readingOrder="0" vertical="bottom"/>
    </xf>
    <xf borderId="54" fillId="0" fontId="22" numFmtId="1" xfId="0" applyAlignment="1" applyBorder="1" applyFont="1" applyNumberFormat="1">
      <alignment horizontal="center" readingOrder="0" vertical="bottom"/>
    </xf>
    <xf borderId="42" fillId="0" fontId="22" numFmtId="2" xfId="0" applyAlignment="1" applyBorder="1" applyFont="1" applyNumberFormat="1">
      <alignment readingOrder="0" vertical="bottom"/>
    </xf>
    <xf borderId="67" fillId="0" fontId="7" numFmtId="2" xfId="0" applyAlignment="1" applyBorder="1" applyFont="1" applyNumberFormat="1">
      <alignment readingOrder="0" vertical="bottom"/>
    </xf>
    <xf borderId="58" fillId="0" fontId="22" numFmtId="1" xfId="0" applyAlignment="1" applyBorder="1" applyFont="1" applyNumberFormat="1">
      <alignment horizontal="center" readingOrder="0" vertical="bottom"/>
    </xf>
    <xf borderId="58" fillId="0" fontId="22" numFmtId="2" xfId="0" applyAlignment="1" applyBorder="1" applyFont="1" applyNumberFormat="1">
      <alignment readingOrder="0" vertical="bottom"/>
    </xf>
    <xf borderId="58" fillId="0" fontId="22" numFmtId="165" xfId="0" applyAlignment="1" applyBorder="1" applyFont="1" applyNumberFormat="1">
      <alignment horizontal="right" readingOrder="0" vertical="bottom"/>
    </xf>
    <xf borderId="79" fillId="0" fontId="22" numFmtId="165" xfId="0" applyAlignment="1" applyBorder="1" applyFont="1" applyNumberFormat="1">
      <alignment horizontal="right" readingOrder="0" vertical="bottom"/>
    </xf>
    <xf borderId="80" fillId="0" fontId="22" numFmtId="165" xfId="0" applyAlignment="1" applyBorder="1" applyFont="1" applyNumberFormat="1">
      <alignment horizontal="right" readingOrder="0" vertical="bottom"/>
    </xf>
    <xf borderId="41" fillId="0" fontId="22" numFmtId="2" xfId="0" applyAlignment="1" applyBorder="1" applyFont="1" applyNumberFormat="1">
      <alignment readingOrder="0" vertical="bottom"/>
    </xf>
    <xf borderId="56" fillId="0" fontId="22" numFmtId="1" xfId="0" applyAlignment="1" applyBorder="1" applyFont="1" applyNumberFormat="1">
      <alignment horizontal="right" readingOrder="0" vertical="bottom"/>
    </xf>
    <xf borderId="57" fillId="0" fontId="22" numFmtId="1" xfId="0" applyAlignment="1" applyBorder="1" applyFont="1" applyNumberFormat="1">
      <alignment horizontal="right" readingOrder="0" vertical="bottom"/>
    </xf>
    <xf borderId="17" fillId="0" fontId="22" numFmtId="2" xfId="0" applyAlignment="1" applyBorder="1" applyFont="1" applyNumberFormat="1">
      <alignment readingOrder="0" shrinkToFit="0" vertical="bottom" wrapText="1"/>
    </xf>
    <xf borderId="67" fillId="0" fontId="22" numFmtId="1" xfId="0" applyAlignment="1" applyBorder="1" applyFont="1" applyNumberFormat="1">
      <alignment horizontal="center" readingOrder="0" vertical="bottom"/>
    </xf>
    <xf borderId="49" fillId="0" fontId="22" numFmtId="2" xfId="0" applyAlignment="1" applyBorder="1" applyFont="1" applyNumberFormat="1">
      <alignment readingOrder="0" vertical="bottom"/>
    </xf>
    <xf borderId="70" fillId="0" fontId="22" numFmtId="165" xfId="0" applyAlignment="1" applyBorder="1" applyFont="1" applyNumberFormat="1">
      <alignment horizontal="right" readingOrder="0" vertical="bottom"/>
    </xf>
    <xf borderId="71" fillId="0" fontId="22" numFmtId="165" xfId="0" applyAlignment="1" applyBorder="1" applyFont="1" applyNumberFormat="1">
      <alignment horizontal="right" readingOrder="0" vertical="bottom"/>
    </xf>
    <xf borderId="68" fillId="0" fontId="22" numFmtId="165" xfId="0" applyAlignment="1" applyBorder="1" applyFont="1" applyNumberFormat="1">
      <alignment horizontal="right" readingOrder="0" vertical="bottom"/>
    </xf>
    <xf borderId="4" fillId="0" fontId="22" numFmtId="2" xfId="0" applyAlignment="1" applyBorder="1" applyFont="1" applyNumberFormat="1">
      <alignment readingOrder="0" vertical="bottom"/>
    </xf>
    <xf borderId="4" fillId="7" fontId="22" numFmtId="165" xfId="0" applyAlignment="1" applyBorder="1" applyFont="1" applyNumberFormat="1">
      <alignment horizontal="right" readingOrder="0" vertical="bottom"/>
    </xf>
    <xf borderId="1" fillId="7" fontId="22" numFmtId="165" xfId="0" applyAlignment="1" applyBorder="1" applyFont="1" applyNumberFormat="1">
      <alignment horizontal="right" readingOrder="0" vertical="bottom"/>
    </xf>
    <xf borderId="11" fillId="0" fontId="7" numFmtId="2" xfId="0" applyAlignment="1" applyBorder="1" applyFont="1" applyNumberFormat="1">
      <alignment readingOrder="0" vertical="bottom"/>
    </xf>
    <xf borderId="10" fillId="0" fontId="7" numFmtId="2" xfId="0" applyAlignment="1" applyBorder="1" applyFont="1" applyNumberFormat="1">
      <alignment readingOrder="0" vertical="bottom"/>
    </xf>
    <xf borderId="4" fillId="0" fontId="22" numFmtId="1" xfId="0" applyAlignment="1" applyBorder="1" applyFont="1" applyNumberFormat="1">
      <alignment horizontal="center" readingOrder="0" vertical="bottom"/>
    </xf>
    <xf borderId="4" fillId="0" fontId="22" numFmtId="165" xfId="0" applyAlignment="1" applyBorder="1" applyFont="1" applyNumberFormat="1">
      <alignment horizontal="right" readingOrder="0" vertical="bottom"/>
    </xf>
    <xf borderId="1" fillId="0" fontId="22" numFmtId="165" xfId="0" applyAlignment="1" applyBorder="1" applyFont="1" applyNumberFormat="1">
      <alignment horizontal="right" readingOrder="0" vertical="bottom"/>
    </xf>
    <xf borderId="14" fillId="0" fontId="22" numFmtId="0" xfId="0" applyAlignment="1" applyBorder="1" applyFont="1">
      <alignment vertical="top"/>
    </xf>
    <xf borderId="68" fillId="0" fontId="6" numFmtId="0" xfId="0" applyBorder="1" applyFont="1"/>
    <xf borderId="0" fillId="0" fontId="7" numFmtId="2" xfId="0" applyAlignment="1" applyFont="1" applyNumberFormat="1">
      <alignment vertical="bottom"/>
    </xf>
    <xf borderId="4" fillId="26" fontId="22" numFmtId="2" xfId="0" applyAlignment="1" applyBorder="1" applyFill="1" applyFont="1" applyNumberFormat="1">
      <alignment horizontal="right" vertical="bottom"/>
    </xf>
    <xf borderId="17" fillId="0" fontId="6" numFmtId="0" xfId="0" applyBorder="1" applyFont="1"/>
    <xf borderId="81" fillId="0" fontId="6" numFmtId="0" xfId="0" applyBorder="1" applyFont="1"/>
    <xf borderId="0" fillId="0" fontId="24" numFmtId="0" xfId="0" applyAlignment="1" applyFont="1">
      <alignment vertical="bottom"/>
    </xf>
    <xf borderId="4" fillId="26" fontId="22" numFmtId="1" xfId="0" applyAlignment="1" applyBorder="1" applyFont="1" applyNumberFormat="1">
      <alignment horizontal="right" vertical="bottom"/>
    </xf>
    <xf borderId="20" fillId="0" fontId="6" numFmtId="0" xfId="0" applyBorder="1" applyFont="1"/>
    <xf borderId="76" fillId="0" fontId="6" numFmtId="0" xfId="0" applyBorder="1" applyFont="1"/>
    <xf borderId="82" fillId="0" fontId="6" numFmtId="0" xfId="0" applyBorder="1" applyFont="1"/>
    <xf borderId="4" fillId="0" fontId="22" numFmtId="2" xfId="0" applyAlignment="1" applyBorder="1" applyFont="1" applyNumberFormat="1">
      <alignment horizontal="right" vertical="bottom"/>
    </xf>
    <xf borderId="18" fillId="8" fontId="7" numFmtId="2" xfId="0" applyAlignment="1" applyBorder="1" applyFont="1" applyNumberFormat="1">
      <alignment vertical="bottom"/>
    </xf>
    <xf borderId="26" fillId="5" fontId="22" numFmtId="2" xfId="0" applyAlignment="1" applyBorder="1" applyFont="1" applyNumberFormat="1">
      <alignment vertical="bottom"/>
    </xf>
    <xf borderId="68" fillId="5" fontId="22" numFmtId="2" xfId="0" applyAlignment="1" applyBorder="1" applyFont="1" applyNumberFormat="1">
      <alignment vertical="bottom"/>
    </xf>
    <xf borderId="39" fillId="0" fontId="22" numFmtId="2" xfId="0" applyAlignment="1" applyBorder="1" applyFont="1" applyNumberFormat="1">
      <alignment vertical="bottom"/>
    </xf>
    <xf borderId="37" fillId="0" fontId="22" numFmtId="2" xfId="0" applyAlignment="1" applyBorder="1" applyFont="1" applyNumberFormat="1">
      <alignment horizontal="right" vertical="bottom"/>
    </xf>
    <xf borderId="69" fillId="0" fontId="22" numFmtId="2" xfId="0" applyAlignment="1" applyBorder="1" applyFont="1" applyNumberFormat="1">
      <alignment horizontal="right" vertical="bottom"/>
    </xf>
    <xf borderId="38" fillId="0" fontId="22" numFmtId="2" xfId="0" applyAlignment="1" applyBorder="1" applyFont="1" applyNumberFormat="1">
      <alignment horizontal="right" vertical="bottom"/>
    </xf>
    <xf borderId="14" fillId="5" fontId="7" numFmtId="2" xfId="0" applyAlignment="1" applyBorder="1" applyFont="1" applyNumberFormat="1">
      <alignment vertical="bottom"/>
    </xf>
    <xf borderId="37" fillId="0" fontId="7" numFmtId="1" xfId="0" applyAlignment="1" applyBorder="1" applyFont="1" applyNumberFormat="1">
      <alignment vertical="bottom"/>
    </xf>
    <xf borderId="39" fillId="0" fontId="7" numFmtId="2" xfId="0" applyAlignment="1" applyBorder="1" applyFont="1" applyNumberFormat="1">
      <alignment vertical="bottom"/>
    </xf>
    <xf borderId="37" fillId="0" fontId="7" numFmtId="165" xfId="0" applyAlignment="1" applyBorder="1" applyFont="1" applyNumberFormat="1">
      <alignment vertical="bottom"/>
    </xf>
    <xf borderId="40" fillId="0" fontId="22" numFmtId="1" xfId="0" applyAlignment="1" applyBorder="1" applyFont="1" applyNumberFormat="1">
      <alignment horizontal="right" vertical="bottom"/>
    </xf>
    <xf borderId="53" fillId="5" fontId="22" numFmtId="2" xfId="0" applyAlignment="1" applyBorder="1" applyFont="1" applyNumberFormat="1">
      <alignment vertical="bottom"/>
    </xf>
    <xf borderId="0" fillId="5" fontId="7" numFmtId="2" xfId="0" applyAlignment="1" applyFont="1" applyNumberFormat="1">
      <alignment vertical="bottom"/>
    </xf>
    <xf borderId="42" fillId="0" fontId="22" numFmtId="2" xfId="0" applyAlignment="1" applyBorder="1" applyFont="1" applyNumberFormat="1">
      <alignment vertical="bottom"/>
    </xf>
    <xf borderId="17" fillId="5" fontId="7" numFmtId="2" xfId="0" applyAlignment="1" applyBorder="1" applyFont="1" applyNumberFormat="1">
      <alignment vertical="bottom"/>
    </xf>
    <xf borderId="54" fillId="0" fontId="7" numFmtId="1" xfId="0" applyAlignment="1" applyBorder="1" applyFont="1" applyNumberFormat="1">
      <alignment vertical="bottom"/>
    </xf>
    <xf borderId="42" fillId="0" fontId="7" numFmtId="2" xfId="0" applyAlignment="1" applyBorder="1" applyFont="1" applyNumberFormat="1">
      <alignment vertical="bottom"/>
    </xf>
    <xf borderId="49" fillId="5" fontId="7" numFmtId="1" xfId="0" applyAlignment="1" applyBorder="1" applyFont="1" applyNumberFormat="1">
      <alignment vertical="bottom"/>
    </xf>
    <xf borderId="50" fillId="5" fontId="7" numFmtId="1" xfId="0" applyAlignment="1" applyBorder="1" applyFont="1" applyNumberFormat="1">
      <alignment vertical="bottom"/>
    </xf>
    <xf borderId="56" fillId="0" fontId="22" numFmtId="2" xfId="0" applyAlignment="1" applyBorder="1" applyFont="1" applyNumberFormat="1">
      <alignment vertical="bottom"/>
    </xf>
    <xf borderId="56" fillId="0" fontId="22" numFmtId="165" xfId="0" applyAlignment="1" applyBorder="1" applyFont="1" applyNumberFormat="1">
      <alignment horizontal="right" vertical="bottom"/>
    </xf>
    <xf borderId="61" fillId="0" fontId="22" numFmtId="165" xfId="0" applyAlignment="1" applyBorder="1" applyFont="1" applyNumberFormat="1">
      <alignment horizontal="right" vertical="bottom"/>
    </xf>
    <xf borderId="67" fillId="5" fontId="22" numFmtId="2" xfId="0" applyAlignment="1" applyBorder="1" applyFont="1" applyNumberFormat="1">
      <alignment vertical="bottom"/>
    </xf>
    <xf borderId="58" fillId="7" fontId="22" numFmtId="2" xfId="0" applyAlignment="1" applyBorder="1" applyFont="1" applyNumberFormat="1">
      <alignment horizontal="right" vertical="bottom"/>
    </xf>
    <xf borderId="79" fillId="7" fontId="22" numFmtId="2" xfId="0" applyAlignment="1" applyBorder="1" applyFont="1" applyNumberFormat="1">
      <alignment horizontal="right" vertical="bottom"/>
    </xf>
    <xf borderId="80" fillId="7" fontId="22" numFmtId="2" xfId="0" applyAlignment="1" applyBorder="1" applyFont="1" applyNumberFormat="1">
      <alignment horizontal="right" vertical="bottom"/>
    </xf>
    <xf borderId="17" fillId="5" fontId="7" numFmtId="1" xfId="0" applyAlignment="1" applyBorder="1" applyFont="1" applyNumberFormat="1">
      <alignment vertical="bottom"/>
    </xf>
    <xf borderId="58" fillId="0" fontId="7" numFmtId="1" xfId="0" applyAlignment="1" applyBorder="1" applyFont="1" applyNumberFormat="1">
      <alignment vertical="bottom"/>
    </xf>
    <xf borderId="58" fillId="0" fontId="7" numFmtId="2" xfId="0" applyAlignment="1" applyBorder="1" applyFont="1" applyNumberFormat="1">
      <alignment vertical="bottom"/>
    </xf>
    <xf borderId="58" fillId="7" fontId="7" numFmtId="165" xfId="0" applyAlignment="1" applyBorder="1" applyFont="1" applyNumberFormat="1">
      <alignment vertical="bottom"/>
    </xf>
    <xf borderId="79" fillId="7" fontId="7" numFmtId="165" xfId="0" applyAlignment="1" applyBorder="1" applyFont="1" applyNumberFormat="1">
      <alignment vertical="bottom"/>
    </xf>
    <xf borderId="80" fillId="7" fontId="7" numFmtId="165" xfId="0" applyAlignment="1" applyBorder="1" applyFont="1" applyNumberFormat="1">
      <alignment vertical="bottom"/>
    </xf>
    <xf borderId="60" fillId="0" fontId="22" numFmtId="1" xfId="0" applyAlignment="1" applyBorder="1" applyFont="1" applyNumberFormat="1">
      <alignment horizontal="right" vertical="bottom"/>
    </xf>
    <xf borderId="56" fillId="7" fontId="22" numFmtId="1" xfId="0" applyAlignment="1" applyBorder="1" applyFont="1" applyNumberFormat="1">
      <alignment horizontal="right" vertical="bottom"/>
    </xf>
    <xf borderId="57" fillId="7" fontId="22" numFmtId="1" xfId="0" applyAlignment="1" applyBorder="1" applyFont="1" applyNumberFormat="1">
      <alignment horizontal="right" vertical="bottom"/>
    </xf>
    <xf borderId="41" fillId="0" fontId="7" numFmtId="2" xfId="0" applyAlignment="1" applyBorder="1" applyFont="1" applyNumberFormat="1">
      <alignment vertical="bottom"/>
    </xf>
    <xf borderId="56" fillId="5" fontId="7" numFmtId="1" xfId="0" applyAlignment="1" applyBorder="1" applyFont="1" applyNumberFormat="1">
      <alignment vertical="bottom"/>
    </xf>
    <xf borderId="57" fillId="5" fontId="7" numFmtId="1" xfId="0" applyAlignment="1" applyBorder="1" applyFont="1" applyNumberFormat="1">
      <alignment vertical="bottom"/>
    </xf>
    <xf borderId="67" fillId="5" fontId="22" numFmtId="1" xfId="0" applyAlignment="1" applyBorder="1" applyFont="1" applyNumberFormat="1">
      <alignment vertical="bottom"/>
    </xf>
    <xf borderId="54" fillId="7" fontId="22" numFmtId="2" xfId="0" applyAlignment="1" applyBorder="1" applyFont="1" applyNumberFormat="1">
      <alignment horizontal="right" vertical="bottom"/>
    </xf>
    <xf borderId="73" fillId="7" fontId="22" numFmtId="2" xfId="0" applyAlignment="1" applyBorder="1" applyFont="1" applyNumberFormat="1">
      <alignment horizontal="right" vertical="bottom"/>
    </xf>
    <xf borderId="78" fillId="7" fontId="22" numFmtId="2" xfId="0" applyAlignment="1" applyBorder="1" applyFont="1" applyNumberFormat="1">
      <alignment horizontal="right" vertical="bottom"/>
    </xf>
    <xf borderId="54" fillId="7" fontId="7" numFmtId="165" xfId="0" applyAlignment="1" applyBorder="1" applyFont="1" applyNumberFormat="1">
      <alignment vertical="bottom"/>
    </xf>
    <xf borderId="73" fillId="7" fontId="7" numFmtId="165" xfId="0" applyAlignment="1" applyBorder="1" applyFont="1" applyNumberFormat="1">
      <alignment vertical="bottom"/>
    </xf>
    <xf borderId="78" fillId="7" fontId="7" numFmtId="165" xfId="0" applyAlignment="1" applyBorder="1" applyFont="1" applyNumberFormat="1">
      <alignment vertical="bottom"/>
    </xf>
    <xf borderId="67" fillId="5" fontId="7" numFmtId="1" xfId="0" applyAlignment="1" applyBorder="1" applyFont="1" applyNumberFormat="1">
      <alignment vertical="bottom"/>
    </xf>
    <xf borderId="54" fillId="0" fontId="22" numFmtId="2" xfId="0" applyAlignment="1" applyBorder="1" applyFont="1" applyNumberFormat="1">
      <alignment vertical="bottom"/>
    </xf>
    <xf borderId="63" fillId="0" fontId="22" numFmtId="1" xfId="0" applyAlignment="1" applyBorder="1" applyFont="1" applyNumberFormat="1">
      <alignment horizontal="right" vertical="bottom"/>
    </xf>
    <xf borderId="49" fillId="7" fontId="22" numFmtId="1" xfId="0" applyAlignment="1" applyBorder="1" applyFont="1" applyNumberFormat="1">
      <alignment horizontal="right" vertical="bottom"/>
    </xf>
    <xf borderId="50" fillId="7" fontId="22" numFmtId="1" xfId="0" applyAlignment="1" applyBorder="1" applyFont="1" applyNumberFormat="1">
      <alignment horizontal="right" vertical="bottom"/>
    </xf>
    <xf borderId="79" fillId="0" fontId="22" numFmtId="2" xfId="0" applyAlignment="1" applyBorder="1" applyFont="1" applyNumberFormat="1">
      <alignment horizontal="right" vertical="bottom"/>
    </xf>
    <xf borderId="80" fillId="0" fontId="22" numFmtId="2" xfId="0" applyAlignment="1" applyBorder="1" applyFont="1" applyNumberFormat="1">
      <alignment horizontal="right" vertical="bottom"/>
    </xf>
    <xf borderId="73" fillId="0" fontId="22" numFmtId="1" xfId="0" applyAlignment="1" applyBorder="1" applyFont="1" applyNumberFormat="1">
      <alignment horizontal="right" vertical="bottom"/>
    </xf>
    <xf borderId="83" fillId="0" fontId="22" numFmtId="1" xfId="0" applyAlignment="1" applyBorder="1" applyFont="1" applyNumberFormat="1">
      <alignment horizontal="right" vertical="bottom"/>
    </xf>
    <xf borderId="64" fillId="5" fontId="7" numFmtId="2" xfId="0" applyAlignment="1" applyBorder="1" applyFont="1" applyNumberFormat="1">
      <alignment vertical="bottom"/>
    </xf>
    <xf borderId="76" fillId="5" fontId="7" numFmtId="1" xfId="0" applyAlignment="1" applyBorder="1" applyFont="1" applyNumberFormat="1">
      <alignment vertical="bottom"/>
    </xf>
    <xf borderId="65" fillId="0" fontId="22" numFmtId="1" xfId="0" applyAlignment="1" applyBorder="1" applyFont="1" applyNumberFormat="1">
      <alignment horizontal="center" vertical="bottom"/>
    </xf>
    <xf borderId="45" fillId="0" fontId="22" numFmtId="2" xfId="0" applyAlignment="1" applyBorder="1" applyFont="1" applyNumberFormat="1">
      <alignment vertical="bottom"/>
    </xf>
    <xf borderId="20" fillId="5" fontId="7" numFmtId="1" xfId="0" applyAlignment="1" applyBorder="1" applyFont="1" applyNumberFormat="1">
      <alignment vertical="bottom"/>
    </xf>
    <xf borderId="46" fillId="5" fontId="7" numFmtId="2" xfId="0" applyAlignment="1" applyBorder="1" applyFont="1" applyNumberFormat="1">
      <alignment vertical="bottom"/>
    </xf>
    <xf borderId="46" fillId="0" fontId="22" numFmtId="165" xfId="0" applyAlignment="1" applyBorder="1" applyFont="1" applyNumberFormat="1">
      <alignment horizontal="right" vertical="bottom"/>
    </xf>
    <xf borderId="47" fillId="0" fontId="22" numFmtId="165" xfId="0" applyAlignment="1" applyBorder="1" applyFont="1" applyNumberFormat="1">
      <alignment horizontal="right" vertical="bottom"/>
    </xf>
    <xf borderId="26" fillId="0" fontId="22" numFmtId="2" xfId="0" applyAlignment="1" applyBorder="1" applyFont="1" applyNumberFormat="1">
      <alignment vertical="bottom"/>
    </xf>
    <xf borderId="37" fillId="7" fontId="22" numFmtId="165" xfId="0" applyAlignment="1" applyBorder="1" applyFont="1" applyNumberFormat="1">
      <alignment horizontal="right" vertical="bottom"/>
    </xf>
    <xf borderId="39" fillId="7" fontId="22" numFmtId="165" xfId="0" applyAlignment="1" applyBorder="1" applyFont="1" applyNumberFormat="1">
      <alignment horizontal="right" vertical="bottom"/>
    </xf>
    <xf borderId="37" fillId="0" fontId="22" numFmtId="165" xfId="0" applyAlignment="1" applyBorder="1" applyFont="1" applyNumberFormat="1">
      <alignment horizontal="right" vertical="bottom"/>
    </xf>
    <xf borderId="69" fillId="0" fontId="22" numFmtId="165" xfId="0" applyAlignment="1" applyBorder="1" applyFont="1" applyNumberFormat="1">
      <alignment horizontal="right" vertical="bottom"/>
    </xf>
    <xf borderId="84" fillId="0" fontId="22" numFmtId="165" xfId="0" applyAlignment="1" applyBorder="1" applyFont="1" applyNumberFormat="1">
      <alignment horizontal="right" vertical="bottom"/>
    </xf>
    <xf borderId="37" fillId="5" fontId="7" numFmtId="1" xfId="0" applyAlignment="1" applyBorder="1" applyFont="1" applyNumberFormat="1">
      <alignment vertical="bottom"/>
    </xf>
    <xf borderId="37" fillId="5" fontId="7" numFmtId="2" xfId="0" applyAlignment="1" applyBorder="1" applyFont="1" applyNumberFormat="1">
      <alignment vertical="bottom"/>
    </xf>
    <xf borderId="40" fillId="5" fontId="7" numFmtId="1" xfId="0" applyAlignment="1" applyBorder="1" applyFont="1" applyNumberFormat="1">
      <alignment vertical="bottom"/>
    </xf>
    <xf borderId="53" fillId="0" fontId="22" numFmtId="2" xfId="0" applyAlignment="1" applyBorder="1" applyFont="1" applyNumberFormat="1">
      <alignment vertical="bottom"/>
    </xf>
    <xf borderId="52" fillId="0" fontId="22" numFmtId="1" xfId="0" applyAlignment="1" applyBorder="1" applyFont="1" applyNumberFormat="1">
      <alignment horizontal="right" vertical="bottom"/>
    </xf>
    <xf borderId="85" fillId="5" fontId="7" numFmtId="1" xfId="0" applyAlignment="1" applyBorder="1" applyFont="1" applyNumberFormat="1">
      <alignment vertical="bottom"/>
    </xf>
    <xf borderId="86" fillId="5" fontId="7" numFmtId="1" xfId="0" applyAlignment="1" applyBorder="1" applyFont="1" applyNumberFormat="1">
      <alignment vertical="bottom"/>
    </xf>
    <xf borderId="54" fillId="5" fontId="7" numFmtId="1" xfId="0" applyAlignment="1" applyBorder="1" applyFont="1" applyNumberFormat="1">
      <alignment vertical="bottom"/>
    </xf>
    <xf borderId="56" fillId="5" fontId="7" numFmtId="2" xfId="0" applyAlignment="1" applyBorder="1" applyFont="1" applyNumberFormat="1">
      <alignment vertical="bottom"/>
    </xf>
    <xf borderId="56" fillId="5" fontId="7" numFmtId="165" xfId="0" applyAlignment="1" applyBorder="1" applyFont="1" applyNumberFormat="1">
      <alignment vertical="bottom"/>
    </xf>
    <xf borderId="61" fillId="5" fontId="7" numFmtId="165" xfId="0" applyAlignment="1" applyBorder="1" applyFont="1" applyNumberFormat="1">
      <alignment vertical="bottom"/>
    </xf>
    <xf borderId="53" fillId="0" fontId="7" numFmtId="2" xfId="0" applyAlignment="1" applyBorder="1" applyFont="1" applyNumberFormat="1">
      <alignment vertical="bottom"/>
    </xf>
    <xf borderId="67" fillId="0" fontId="22" numFmtId="2" xfId="0" applyAlignment="1" applyBorder="1" applyFont="1" applyNumberFormat="1">
      <alignment vertical="bottom"/>
    </xf>
    <xf borderId="58" fillId="7" fontId="22" numFmtId="165" xfId="0" applyAlignment="1" applyBorder="1" applyFont="1" applyNumberFormat="1">
      <alignment horizontal="right" vertical="bottom"/>
    </xf>
    <xf borderId="59" fillId="7" fontId="22" numFmtId="165" xfId="0" applyAlignment="1" applyBorder="1" applyFont="1" applyNumberFormat="1">
      <alignment horizontal="right" vertical="bottom"/>
    </xf>
    <xf borderId="79" fillId="7" fontId="22" numFmtId="165" xfId="0" applyAlignment="1" applyBorder="1" applyFont="1" applyNumberFormat="1">
      <alignment horizontal="right" vertical="bottom"/>
    </xf>
    <xf borderId="87" fillId="7" fontId="22" numFmtId="165" xfId="0" applyAlignment="1" applyBorder="1" applyFont="1" applyNumberFormat="1">
      <alignment horizontal="right" vertical="bottom"/>
    </xf>
    <xf borderId="79" fillId="0" fontId="22" numFmtId="165" xfId="0" applyAlignment="1" applyBorder="1" applyFont="1" applyNumberFormat="1">
      <alignment horizontal="right" vertical="bottom"/>
    </xf>
    <xf borderId="87" fillId="0" fontId="22" numFmtId="165" xfId="0" applyAlignment="1" applyBorder="1" applyFont="1" applyNumberFormat="1">
      <alignment horizontal="right" vertical="bottom"/>
    </xf>
    <xf borderId="58" fillId="5" fontId="7" numFmtId="1" xfId="0" applyAlignment="1" applyBorder="1" applyFont="1" applyNumberFormat="1">
      <alignment vertical="bottom"/>
    </xf>
    <xf borderId="58" fillId="5" fontId="7" numFmtId="2" xfId="0" applyAlignment="1" applyBorder="1" applyFont="1" applyNumberFormat="1">
      <alignment vertical="bottom"/>
    </xf>
    <xf borderId="60" fillId="5" fontId="7" numFmtId="1" xfId="0" applyAlignment="1" applyBorder="1" applyFont="1" applyNumberFormat="1">
      <alignment vertical="bottom"/>
    </xf>
    <xf borderId="17" fillId="0" fontId="7" numFmtId="2" xfId="0" applyAlignment="1" applyBorder="1" applyFont="1" applyNumberFormat="1">
      <alignment vertical="bottom"/>
    </xf>
    <xf borderId="55" fillId="7" fontId="22" numFmtId="1" xfId="0" applyAlignment="1" applyBorder="1" applyFont="1" applyNumberFormat="1">
      <alignment horizontal="right" vertical="bottom"/>
    </xf>
    <xf borderId="61" fillId="7" fontId="22" numFmtId="1" xfId="0" applyAlignment="1" applyBorder="1" applyFont="1" applyNumberFormat="1">
      <alignment horizontal="right" vertical="bottom"/>
    </xf>
    <xf borderId="88" fillId="5" fontId="7" numFmtId="1" xfId="0" applyAlignment="1" applyBorder="1" applyFont="1" applyNumberFormat="1">
      <alignment vertical="bottom"/>
    </xf>
    <xf borderId="72" fillId="5" fontId="7" numFmtId="1" xfId="0" applyAlignment="1" applyBorder="1" applyFont="1" applyNumberFormat="1">
      <alignment vertical="bottom"/>
    </xf>
    <xf borderId="67" fillId="0" fontId="22" numFmtId="1" xfId="0" applyAlignment="1" applyBorder="1" applyFont="1" applyNumberFormat="1">
      <alignment vertical="bottom"/>
    </xf>
    <xf borderId="54" fillId="7" fontId="22" numFmtId="165" xfId="0" applyAlignment="1" applyBorder="1" applyFont="1" applyNumberFormat="1">
      <alignment horizontal="right" vertical="bottom"/>
    </xf>
    <xf borderId="63" fillId="7" fontId="22" numFmtId="165" xfId="0" applyAlignment="1" applyBorder="1" applyFont="1" applyNumberFormat="1">
      <alignment horizontal="right" vertical="bottom"/>
    </xf>
    <xf borderId="17" fillId="0" fontId="7" numFmtId="1" xfId="0" applyAlignment="1" applyBorder="1" applyFont="1" applyNumberFormat="1">
      <alignment vertical="bottom"/>
    </xf>
    <xf borderId="67" fillId="0" fontId="7" numFmtId="1" xfId="0" applyAlignment="1" applyBorder="1" applyFont="1" applyNumberFormat="1">
      <alignment vertical="bottom"/>
    </xf>
    <xf borderId="73" fillId="7" fontId="22" numFmtId="165" xfId="0" applyAlignment="1" applyBorder="1" applyFont="1" applyNumberFormat="1">
      <alignment horizontal="right" vertical="bottom"/>
    </xf>
    <xf borderId="83" fillId="7" fontId="22" numFmtId="165" xfId="0" applyAlignment="1" applyBorder="1" applyFont="1" applyNumberFormat="1">
      <alignment horizontal="right" vertical="bottom"/>
    </xf>
    <xf borderId="54" fillId="5" fontId="7" numFmtId="2" xfId="0" applyAlignment="1" applyBorder="1" applyFont="1" applyNumberFormat="1">
      <alignment vertical="bottom"/>
    </xf>
    <xf borderId="63" fillId="5" fontId="7" numFmtId="1" xfId="0" applyAlignment="1" applyBorder="1" applyFont="1" applyNumberFormat="1">
      <alignment vertical="bottom"/>
    </xf>
    <xf borderId="86" fillId="7" fontId="22" numFmtId="1" xfId="0" applyAlignment="1" applyBorder="1" applyFont="1" applyNumberFormat="1">
      <alignment horizontal="right" vertical="bottom"/>
    </xf>
    <xf borderId="58" fillId="0" fontId="22" numFmtId="165" xfId="0" applyAlignment="1" applyBorder="1" applyFont="1" applyNumberFormat="1">
      <alignment horizontal="right" vertical="bottom"/>
    </xf>
    <xf borderId="73" fillId="5" fontId="7" numFmtId="1" xfId="0" applyAlignment="1" applyBorder="1" applyFont="1" applyNumberFormat="1">
      <alignment vertical="bottom"/>
    </xf>
    <xf borderId="83" fillId="5" fontId="7" numFmtId="1" xfId="0" applyAlignment="1" applyBorder="1" applyFont="1" applyNumberFormat="1">
      <alignment vertical="bottom"/>
    </xf>
    <xf borderId="64" fillId="0" fontId="7" numFmtId="2" xfId="0" applyAlignment="1" applyBorder="1" applyFont="1" applyNumberFormat="1">
      <alignment vertical="bottom"/>
    </xf>
    <xf borderId="76" fillId="0" fontId="7" numFmtId="1" xfId="0" applyAlignment="1" applyBorder="1" applyFont="1" applyNumberFormat="1">
      <alignment vertical="bottom"/>
    </xf>
    <xf borderId="51" fillId="7" fontId="22" numFmtId="1" xfId="0" applyAlignment="1" applyBorder="1" applyFont="1" applyNumberFormat="1">
      <alignment horizontal="right" vertical="bottom"/>
    </xf>
    <xf borderId="47" fillId="0" fontId="22" numFmtId="1" xfId="0" applyAlignment="1" applyBorder="1" applyFont="1" applyNumberFormat="1">
      <alignment horizontal="right" vertical="bottom"/>
    </xf>
    <xf borderId="65" fillId="0" fontId="7" numFmtId="1" xfId="0" applyAlignment="1" applyBorder="1" applyFont="1" applyNumberFormat="1">
      <alignment vertical="bottom"/>
    </xf>
    <xf borderId="45" fillId="0" fontId="7" numFmtId="2" xfId="0" applyAlignment="1" applyBorder="1" applyFont="1" applyNumberFormat="1">
      <alignment vertical="bottom"/>
    </xf>
    <xf borderId="66" fillId="5" fontId="7" numFmtId="1" xfId="0" applyAlignment="1" applyBorder="1" applyFont="1" applyNumberFormat="1">
      <alignment vertical="bottom"/>
    </xf>
    <xf borderId="46" fillId="5" fontId="7" numFmtId="1" xfId="0" applyAlignment="1" applyBorder="1" applyFont="1" applyNumberFormat="1">
      <alignment vertical="bottom"/>
    </xf>
    <xf borderId="47" fillId="5" fontId="7" numFmtId="1" xfId="0" applyAlignment="1" applyBorder="1" applyFont="1" applyNumberFormat="1">
      <alignment vertical="bottom"/>
    </xf>
    <xf borderId="65" fillId="5" fontId="7" numFmtId="1" xfId="0" applyAlignment="1" applyBorder="1" applyFont="1" applyNumberFormat="1">
      <alignment vertical="bottom"/>
    </xf>
    <xf borderId="45" fillId="5" fontId="7" numFmtId="2" xfId="0" applyAlignment="1" applyBorder="1" applyFont="1" applyNumberFormat="1">
      <alignment vertical="bottom"/>
    </xf>
    <xf borderId="46" fillId="5" fontId="7" numFmtId="165" xfId="0" applyAlignment="1" applyBorder="1" applyFont="1" applyNumberFormat="1">
      <alignment vertical="bottom"/>
    </xf>
    <xf borderId="47" fillId="5" fontId="7" numFmtId="165" xfId="0" applyAlignment="1" applyBorder="1" applyFont="1" applyNumberFormat="1">
      <alignment vertical="bottom"/>
    </xf>
    <xf borderId="70" fillId="5" fontId="22" numFmtId="165" xfId="0" applyAlignment="1" applyBorder="1" applyFont="1" applyNumberFormat="1">
      <alignment horizontal="right" vertical="bottom"/>
    </xf>
    <xf borderId="71" fillId="5" fontId="22" numFmtId="165" xfId="0" applyAlignment="1" applyBorder="1" applyFont="1" applyNumberFormat="1">
      <alignment horizontal="right" vertical="bottom"/>
    </xf>
    <xf borderId="70" fillId="7" fontId="22" numFmtId="165" xfId="0" applyAlignment="1" applyBorder="1" applyFont="1" applyNumberFormat="1">
      <alignment horizontal="right" vertical="bottom"/>
    </xf>
    <xf borderId="36" fillId="7" fontId="22" numFmtId="165" xfId="0" applyAlignment="1" applyBorder="1" applyFont="1" applyNumberFormat="1">
      <alignment horizontal="right" vertical="bottom"/>
    </xf>
    <xf borderId="14" fillId="5" fontId="7" numFmtId="1" xfId="0" applyAlignment="1" applyBorder="1" applyFont="1" applyNumberFormat="1">
      <alignment vertical="bottom"/>
    </xf>
    <xf borderId="36" fillId="0" fontId="22" numFmtId="1" xfId="0" applyAlignment="1" applyBorder="1" applyFont="1" applyNumberFormat="1">
      <alignment vertical="bottom"/>
    </xf>
    <xf borderId="71" fillId="0" fontId="22" numFmtId="165" xfId="0" applyAlignment="1" applyBorder="1" applyFont="1" applyNumberFormat="1">
      <alignment horizontal="right" vertical="bottom"/>
    </xf>
    <xf borderId="68" fillId="0" fontId="22" numFmtId="165" xfId="0" applyAlignment="1" applyBorder="1" applyFont="1" applyNumberFormat="1">
      <alignment horizontal="right" vertical="bottom"/>
    </xf>
    <xf borderId="36" fillId="0" fontId="7" numFmtId="1" xfId="0" applyAlignment="1" applyBorder="1" applyFont="1" applyNumberFormat="1">
      <alignment vertical="bottom"/>
    </xf>
    <xf borderId="70" fillId="5" fontId="7" numFmtId="1" xfId="0" applyAlignment="1" applyBorder="1" applyFont="1" applyNumberFormat="1">
      <alignment vertical="bottom"/>
    </xf>
    <xf borderId="71" fillId="5" fontId="7" numFmtId="1" xfId="0" applyAlignment="1" applyBorder="1" applyFont="1" applyNumberFormat="1">
      <alignment vertical="bottom"/>
    </xf>
    <xf borderId="37" fillId="5" fontId="22" numFmtId="1" xfId="0" applyAlignment="1" applyBorder="1" applyFont="1" applyNumberFormat="1">
      <alignment horizontal="center" vertical="bottom"/>
    </xf>
    <xf borderId="36" fillId="5" fontId="7" numFmtId="2" xfId="0" applyAlignment="1" applyBorder="1" applyFont="1" applyNumberFormat="1">
      <alignment vertical="bottom"/>
    </xf>
    <xf borderId="70" fillId="5" fontId="7" numFmtId="165" xfId="0" applyAlignment="1" applyBorder="1" applyFont="1" applyNumberFormat="1">
      <alignment vertical="bottom"/>
    </xf>
    <xf borderId="71" fillId="5" fontId="7" numFmtId="165" xfId="0" applyAlignment="1" applyBorder="1" applyFont="1" applyNumberFormat="1">
      <alignment vertical="bottom"/>
    </xf>
    <xf borderId="24" fillId="5" fontId="7" numFmtId="165" xfId="0" applyAlignment="1" applyBorder="1" applyFont="1" applyNumberFormat="1">
      <alignment vertical="bottom"/>
    </xf>
    <xf borderId="4" fillId="0" fontId="22" numFmtId="2" xfId="0" applyAlignment="1" applyBorder="1" applyFont="1" applyNumberFormat="1">
      <alignment vertical="bottom"/>
    </xf>
    <xf borderId="4" fillId="5" fontId="22" numFmtId="165" xfId="0" applyAlignment="1" applyBorder="1" applyFont="1" applyNumberFormat="1">
      <alignment horizontal="right" vertical="bottom"/>
    </xf>
    <xf borderId="4" fillId="7" fontId="22" numFmtId="165" xfId="0" applyAlignment="1" applyBorder="1" applyFont="1" applyNumberFormat="1">
      <alignment horizontal="right" vertical="bottom"/>
    </xf>
    <xf borderId="32" fillId="7" fontId="22" numFmtId="165" xfId="0" applyAlignment="1" applyBorder="1" applyFont="1" applyNumberFormat="1">
      <alignment horizontal="right" vertical="bottom"/>
    </xf>
    <xf borderId="0" fillId="5" fontId="7" numFmtId="1" xfId="0" applyAlignment="1" applyFont="1" applyNumberFormat="1">
      <alignment vertical="bottom"/>
    </xf>
    <xf borderId="4" fillId="0" fontId="22" numFmtId="1" xfId="0" applyAlignment="1" applyBorder="1" applyFont="1" applyNumberFormat="1">
      <alignment vertical="bottom"/>
    </xf>
    <xf borderId="1" fillId="7" fontId="22" numFmtId="165" xfId="0" applyAlignment="1" applyBorder="1" applyFont="1" applyNumberFormat="1">
      <alignment horizontal="right" vertical="bottom"/>
    </xf>
    <xf borderId="4" fillId="0" fontId="7" numFmtId="1" xfId="0" applyAlignment="1" applyBorder="1" applyFont="1" applyNumberFormat="1">
      <alignment vertical="bottom"/>
    </xf>
    <xf borderId="4" fillId="5" fontId="7" numFmtId="1" xfId="0" applyAlignment="1" applyBorder="1" applyFont="1" applyNumberFormat="1">
      <alignment vertical="bottom"/>
    </xf>
    <xf borderId="58" fillId="5" fontId="22" numFmtId="1" xfId="0" applyAlignment="1" applyBorder="1" applyFont="1" applyNumberFormat="1">
      <alignment horizontal="center" vertical="bottom"/>
    </xf>
    <xf borderId="4" fillId="5" fontId="7" numFmtId="2" xfId="0" applyAlignment="1" applyBorder="1" applyFont="1" applyNumberFormat="1">
      <alignment vertical="bottom"/>
    </xf>
    <xf borderId="4" fillId="5" fontId="7" numFmtId="165" xfId="0" applyAlignment="1" applyBorder="1" applyFont="1" applyNumberFormat="1">
      <alignment vertical="bottom"/>
    </xf>
    <xf borderId="32" fillId="5" fontId="7" numFmtId="165" xfId="0" applyAlignment="1" applyBorder="1" applyFont="1" applyNumberFormat="1">
      <alignment vertical="bottom"/>
    </xf>
    <xf borderId="53" fillId="0" fontId="22" numFmtId="2" xfId="0" applyAlignment="1" applyBorder="1" applyFont="1" applyNumberFormat="1">
      <alignment shrinkToFit="0" vertical="bottom" wrapText="1"/>
    </xf>
    <xf borderId="11" fillId="0" fontId="7" numFmtId="2" xfId="0" applyAlignment="1" applyBorder="1" applyFont="1" applyNumberFormat="1">
      <alignment vertical="bottom"/>
    </xf>
    <xf borderId="8" fillId="0" fontId="22" numFmtId="1" xfId="0" applyAlignment="1" applyBorder="1" applyFont="1" applyNumberFormat="1">
      <alignment vertical="bottom"/>
    </xf>
    <xf borderId="18" fillId="0" fontId="22" numFmtId="1" xfId="0" applyAlignment="1" applyBorder="1" applyFont="1" applyNumberFormat="1">
      <alignment horizontal="center" vertical="bottom"/>
    </xf>
    <xf borderId="18" fillId="0" fontId="22" numFmtId="2" xfId="0" applyAlignment="1" applyBorder="1" applyFont="1" applyNumberFormat="1">
      <alignment vertical="bottom"/>
    </xf>
    <xf borderId="18" fillId="5" fontId="22" numFmtId="165" xfId="0" applyAlignment="1" applyBorder="1" applyFont="1" applyNumberFormat="1">
      <alignment horizontal="right" vertical="bottom"/>
    </xf>
    <xf borderId="62" fillId="7" fontId="22" numFmtId="165" xfId="0" applyAlignment="1" applyBorder="1" applyFont="1" applyNumberFormat="1">
      <alignment horizontal="right" vertical="bottom"/>
    </xf>
    <xf borderId="18" fillId="0" fontId="22" numFmtId="1" xfId="0" applyAlignment="1" applyBorder="1" applyFont="1" applyNumberFormat="1">
      <alignment vertical="bottom"/>
    </xf>
    <xf borderId="18" fillId="0" fontId="22" numFmtId="165" xfId="0" applyAlignment="1" applyBorder="1" applyFont="1" applyNumberFormat="1">
      <alignment horizontal="right" vertical="bottom"/>
    </xf>
    <xf borderId="18" fillId="0" fontId="7" numFmtId="1" xfId="0" applyAlignment="1" applyBorder="1" applyFont="1" applyNumberFormat="1">
      <alignment vertical="bottom"/>
    </xf>
    <xf borderId="18" fillId="5" fontId="22" numFmtId="1" xfId="0" applyAlignment="1" applyBorder="1" applyFont="1" applyNumberFormat="1">
      <alignment horizontal="right" vertical="bottom"/>
    </xf>
    <xf borderId="89" fillId="5" fontId="7" numFmtId="1" xfId="0" applyAlignment="1" applyBorder="1" applyFont="1" applyNumberFormat="1">
      <alignment vertical="bottom"/>
    </xf>
    <xf borderId="4" fillId="5" fontId="22" numFmtId="1" xfId="0" applyAlignment="1" applyBorder="1" applyFont="1" applyNumberFormat="1">
      <alignment horizontal="center" vertical="bottom"/>
    </xf>
    <xf borderId="4" fillId="5" fontId="24" numFmtId="2" xfId="0" applyAlignment="1" applyBorder="1" applyFont="1" applyNumberFormat="1">
      <alignment vertical="bottom"/>
    </xf>
    <xf borderId="39" fillId="0" fontId="22" numFmtId="1" xfId="0" applyAlignment="1" applyBorder="1" applyFont="1" applyNumberFormat="1">
      <alignment vertical="bottom"/>
    </xf>
    <xf borderId="68" fillId="5" fontId="7" numFmtId="1" xfId="0" applyAlignment="1" applyBorder="1" applyFont="1" applyNumberFormat="1">
      <alignment vertical="bottom"/>
    </xf>
    <xf borderId="68" fillId="5" fontId="7" numFmtId="2" xfId="0" applyAlignment="1" applyBorder="1" applyFont="1" applyNumberFormat="1">
      <alignment vertical="bottom"/>
    </xf>
    <xf borderId="38" fillId="0" fontId="22" numFmtId="165" xfId="0" applyAlignment="1" applyBorder="1" applyFont="1" applyNumberFormat="1">
      <alignment horizontal="right" vertical="bottom"/>
    </xf>
    <xf borderId="42" fillId="0" fontId="22" numFmtId="1" xfId="0" applyAlignment="1" applyBorder="1" applyFont="1" applyNumberFormat="1">
      <alignment vertical="bottom"/>
    </xf>
    <xf borderId="41" fillId="0" fontId="7" numFmtId="1" xfId="0" applyAlignment="1" applyBorder="1" applyFont="1" applyNumberFormat="1">
      <alignment vertical="bottom"/>
    </xf>
    <xf borderId="58" fillId="0" fontId="22" numFmtId="1" xfId="0" applyAlignment="1" applyBorder="1" applyFont="1" applyNumberFormat="1">
      <alignment vertical="bottom"/>
    </xf>
    <xf borderId="59" fillId="0" fontId="22" numFmtId="1" xfId="0" applyAlignment="1" applyBorder="1" applyFont="1" applyNumberFormat="1">
      <alignment vertical="bottom"/>
    </xf>
    <xf borderId="80" fillId="7" fontId="22" numFmtId="165" xfId="0" applyAlignment="1" applyBorder="1" applyFont="1" applyNumberFormat="1">
      <alignment horizontal="right" vertical="bottom"/>
    </xf>
    <xf borderId="41" fillId="0" fontId="22" numFmtId="1" xfId="0" applyAlignment="1" applyBorder="1" applyFont="1" applyNumberFormat="1">
      <alignment vertical="bottom"/>
    </xf>
    <xf borderId="78" fillId="7" fontId="22" numFmtId="165" xfId="0" applyAlignment="1" applyBorder="1" applyFont="1" applyNumberFormat="1">
      <alignment horizontal="right" vertical="bottom"/>
    </xf>
    <xf borderId="67" fillId="0" fontId="7" numFmtId="165" xfId="0" applyAlignment="1" applyBorder="1" applyFont="1" applyNumberFormat="1">
      <alignment vertical="bottom"/>
    </xf>
    <xf borderId="0" fillId="5" fontId="7" numFmtId="165" xfId="0" applyAlignment="1" applyFont="1" applyNumberFormat="1">
      <alignment vertical="bottom"/>
    </xf>
    <xf borderId="58" fillId="0" fontId="22" numFmtId="165" xfId="0" applyAlignment="1" applyBorder="1" applyFont="1" applyNumberFormat="1">
      <alignment vertical="bottom"/>
    </xf>
    <xf borderId="80" fillId="0" fontId="22" numFmtId="165" xfId="0" applyAlignment="1" applyBorder="1" applyFont="1" applyNumberFormat="1">
      <alignment horizontal="right" vertical="bottom"/>
    </xf>
    <xf borderId="49" fillId="0" fontId="22" numFmtId="1" xfId="0" applyAlignment="1" applyBorder="1" applyFont="1" applyNumberFormat="1">
      <alignment vertical="bottom"/>
    </xf>
    <xf borderId="46" fillId="0" fontId="22" numFmtId="1" xfId="0" applyAlignment="1" applyBorder="1" applyFont="1" applyNumberFormat="1">
      <alignment vertical="bottom"/>
    </xf>
    <xf borderId="45" fillId="0" fontId="7" numFmtId="1" xfId="0" applyAlignment="1" applyBorder="1" applyFont="1" applyNumberFormat="1">
      <alignment vertical="bottom"/>
    </xf>
    <xf borderId="62" fillId="0" fontId="22" numFmtId="1" xfId="0" applyAlignment="1" applyBorder="1" applyFont="1" applyNumberFormat="1">
      <alignment vertical="bottom"/>
    </xf>
    <xf borderId="84" fillId="0" fontId="22" numFmtId="2" xfId="0" applyAlignment="1" applyBorder="1" applyFont="1" applyNumberFormat="1">
      <alignment horizontal="right" vertical="bottom"/>
    </xf>
    <xf borderId="53" fillId="0" fontId="22" numFmtId="1" xfId="0" applyAlignment="1" applyBorder="1" applyFont="1" applyNumberFormat="1">
      <alignment vertical="bottom"/>
    </xf>
    <xf borderId="53" fillId="0" fontId="7" numFmtId="1" xfId="0" applyAlignment="1" applyBorder="1" applyFont="1" applyNumberFormat="1">
      <alignment vertical="bottom"/>
    </xf>
    <xf borderId="17" fillId="0" fontId="7" numFmtId="0" xfId="0" applyAlignment="1" applyBorder="1" applyFont="1">
      <alignment vertical="bottom"/>
    </xf>
    <xf borderId="20" fillId="0" fontId="7" numFmtId="2" xfId="0" applyAlignment="1" applyBorder="1" applyFont="1" applyNumberFormat="1">
      <alignment vertical="bottom"/>
    </xf>
    <xf borderId="20" fillId="0" fontId="7" numFmtId="1" xfId="0" applyAlignment="1" applyBorder="1" applyFont="1" applyNumberFormat="1">
      <alignment vertical="bottom"/>
    </xf>
    <xf borderId="45" fillId="0" fontId="22" numFmtId="1" xfId="0" applyAlignment="1" applyBorder="1" applyFont="1" applyNumberFormat="1">
      <alignment vertical="bottom"/>
    </xf>
    <xf borderId="0" fillId="0" fontId="2" numFmtId="2" xfId="0" applyFont="1" applyNumberFormat="1"/>
    <xf borderId="0" fillId="0" fontId="2" numFmtId="1" xfId="0" applyFont="1" applyNumberFormat="1"/>
    <xf borderId="0" fillId="0" fontId="2" numFmtId="165" xfId="0" applyFont="1" applyNumberFormat="1"/>
    <xf borderId="4" fillId="12" fontId="21" numFmtId="0" xfId="0" applyAlignment="1" applyBorder="1" applyFont="1">
      <alignment horizontal="center" vertical="bottom"/>
    </xf>
    <xf borderId="3" fillId="12" fontId="21" numFmtId="0" xfId="0" applyAlignment="1" applyBorder="1" applyFont="1">
      <alignment horizontal="center" vertical="bottom"/>
    </xf>
    <xf borderId="3" fillId="12" fontId="21" numFmtId="49" xfId="0" applyAlignment="1" applyBorder="1" applyFont="1" applyNumberFormat="1">
      <alignment horizontal="center" vertical="bottom"/>
    </xf>
    <xf borderId="11" fillId="12" fontId="21" numFmtId="0" xfId="0" applyAlignment="1" applyBorder="1" applyFont="1">
      <alignment horizontal="center" vertical="bottom"/>
    </xf>
    <xf borderId="12" fillId="12" fontId="21" numFmtId="0" xfId="0" applyAlignment="1" applyBorder="1" applyFont="1">
      <alignment horizontal="center" vertical="bottom"/>
    </xf>
    <xf borderId="12" fillId="0" fontId="3" numFmtId="0" xfId="0" applyAlignment="1" applyBorder="1" applyFont="1">
      <alignment horizontal="center" vertical="bottom"/>
    </xf>
    <xf borderId="12" fillId="0" fontId="7" numFmtId="0" xfId="0" applyAlignment="1" applyBorder="1" applyFont="1">
      <alignment horizontal="center" vertical="bottom"/>
    </xf>
    <xf borderId="12" fillId="0" fontId="7" numFmtId="0" xfId="0" applyAlignment="1" applyBorder="1" applyFont="1">
      <alignment vertical="bottom"/>
    </xf>
    <xf borderId="12" fillId="0" fontId="3" numFmtId="49" xfId="0" applyAlignment="1" applyBorder="1" applyFont="1" applyNumberFormat="1">
      <alignment horizontal="center" vertical="bottom"/>
    </xf>
    <xf borderId="12" fillId="0" fontId="3" numFmtId="0" xfId="0" applyAlignment="1" applyBorder="1" applyFont="1">
      <alignment horizontal="center" shrinkToFit="0" vertical="bottom" wrapText="0"/>
    </xf>
    <xf borderId="12" fillId="0" fontId="3" numFmtId="0" xfId="0" applyAlignment="1" applyBorder="1" applyFont="1">
      <alignment horizontal="center" vertical="bottom"/>
    </xf>
    <xf borderId="0" fillId="0" fontId="25" numFmtId="0" xfId="0" applyFont="1"/>
    <xf borderId="0" fillId="0" fontId="2" numFmtId="3" xfId="0" applyFont="1" applyNumberFormat="1"/>
    <xf borderId="0" fillId="0" fontId="26" numFmtId="2" xfId="0" applyFont="1" applyNumberFormat="1"/>
  </cellXfs>
  <cellStyles count="1">
    <cellStyle xfId="0" name="Normal" builtinId="0"/>
  </cellStyles>
  <dxfs count="5">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FF2CC"/>
          <bgColor rgb="FFFFF2CC"/>
        </patternFill>
      </fill>
      <border/>
    </dxf>
    <dxf>
      <font/>
      <fill>
        <patternFill patternType="solid">
          <fgColor rgb="FFC9DAF8"/>
          <bgColor rgb="FFC9DAF8"/>
        </patternFill>
      </fill>
      <border/>
    </dxf>
    <dxf>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oJmkDK37Qizzdaxn4KCwh1BMwdNWuHCx3AGH8BC9yu0/edit?gid=781951868" TargetMode="External"/><Relationship Id="rId3" Type="http://schemas.openxmlformats.org/officeDocument/2006/relationships/hyperlink" Target="https://docs.google.com/spreadsheets/d/15MhqG2fCmYP60QZn_waTxDLL-LlRRkpIhKt6iaLyIzo/edit?gid=0"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40" Type="http://schemas.openxmlformats.org/officeDocument/2006/relationships/hyperlink" Target="https://docs.google.com/spreadsheets/d/16c6hJNPcLcnNWaSRyfbpb9uJbZOkAvGpCk7TH-_Ao3w/edit?gid=523149893" TargetMode="External"/><Relationship Id="rId42" Type="http://schemas.openxmlformats.org/officeDocument/2006/relationships/hyperlink" Target="https://docs.google.com/presentation/d/1dkG6zfNP_YH_peRVc39sZR9gYdkHVoCE/edit?slide=id.p19" TargetMode="External"/><Relationship Id="rId41" Type="http://schemas.openxmlformats.org/officeDocument/2006/relationships/hyperlink" Target="https://docs.google.com/presentation/d/1dZA5LJMowz6g_IhQYMyRIYnhxK7nszzm/edit?slide=id.p3" TargetMode="External"/><Relationship Id="rId44" Type="http://schemas.openxmlformats.org/officeDocument/2006/relationships/hyperlink" Target="https://docs.google.com/presentation/d/1fw2hu2FV0wie6TjMZzGELsmbRCDnVQWg/edit?slide=id.p3" TargetMode="External"/><Relationship Id="rId43" Type="http://schemas.openxmlformats.org/officeDocument/2006/relationships/hyperlink" Target="https://docs.google.com/presentation/d/1bKi9mQvyg23sVtOa1Z2Nyk4qKCA8HDTn/edit?slide=id.p3" TargetMode="External"/><Relationship Id="rId46" Type="http://schemas.openxmlformats.org/officeDocument/2006/relationships/hyperlink" Target="https://docs.google.com/presentation/d/1qOEWn1BfrtviXiUCC2GA8Ubk4DCCMocy/edit?slide=id.p3" TargetMode="External"/><Relationship Id="rId45" Type="http://schemas.openxmlformats.org/officeDocument/2006/relationships/hyperlink" Target="https://docs.google.com/presentation/d/1VE0fA3h7hhY_cDngXjWBbiPJy-WgpFi5/edit?slide=id.p3" TargetMode="External"/><Relationship Id="rId80" Type="http://schemas.openxmlformats.org/officeDocument/2006/relationships/hyperlink" Target="https://docs.google.com/presentation/d/1GTdpE4txDI9uN535b0HSejo5i4NnZW8B/edit?slide=id.p3" TargetMode="External"/><Relationship Id="rId81" Type="http://schemas.openxmlformats.org/officeDocument/2006/relationships/drawing" Target="../drawings/drawing15.xml"/><Relationship Id="rId1" Type="http://schemas.openxmlformats.org/officeDocument/2006/relationships/hyperlink" Target="https://docs.google.com/presentation/d/1zAHIZfnSYdJnMuCafLtbVreozB4VE0fc/edit" TargetMode="External"/><Relationship Id="rId2" Type="http://schemas.openxmlformats.org/officeDocument/2006/relationships/hyperlink" Target="https://docs.google.com/presentation/d/1ePXxMixpiDxiT4P3yylYtH3vzOTEo0Xr/edit" TargetMode="External"/><Relationship Id="rId3" Type="http://schemas.openxmlformats.org/officeDocument/2006/relationships/hyperlink" Target="https://docs.google.com/presentation/d/1TZX1v189B7hJ4hGE17Zx57e9DBNL6snq/edit" TargetMode="External"/><Relationship Id="rId4" Type="http://schemas.openxmlformats.org/officeDocument/2006/relationships/hyperlink" Target="https://docs.google.com/presentation/d/1UqkEuAuMNlVIAkDUSEasLc9-GZNSTcxI/edit" TargetMode="External"/><Relationship Id="rId9" Type="http://schemas.openxmlformats.org/officeDocument/2006/relationships/hyperlink" Target="https://docs.google.com/presentation/d/1ROUKGdPq3CJdKK5zbb0zBWNWo3v_34T1/edit" TargetMode="External"/><Relationship Id="rId48" Type="http://schemas.openxmlformats.org/officeDocument/2006/relationships/hyperlink" Target="https://docs.google.com/presentation/d/12_ayx7wVYHpT5A5-aixdnL_ymMBIKTGC/edit?slide=id.p3" TargetMode="External"/><Relationship Id="rId47" Type="http://schemas.openxmlformats.org/officeDocument/2006/relationships/hyperlink" Target="https://docs.google.com/presentation/d/1HibQgQYqwZj0dInXCVyvOX363Ci-PfKr/edit?slide=id.p3" TargetMode="External"/><Relationship Id="rId49" Type="http://schemas.openxmlformats.org/officeDocument/2006/relationships/hyperlink" Target="https://docs.google.com/presentation/d/1yXd6LxhyD_on2wZfTJ8cvnCrBkmCsIia/edit?slide=id.p3" TargetMode="External"/><Relationship Id="rId5" Type="http://schemas.openxmlformats.org/officeDocument/2006/relationships/hyperlink" Target="https://docs.google.com/presentation/d/1vsvctWiEuzHGRXLu6VA9pDPGvMGzxHnk/edit" TargetMode="External"/><Relationship Id="rId6" Type="http://schemas.openxmlformats.org/officeDocument/2006/relationships/hyperlink" Target="https://docs.google.com/presentation/d/18vuVWv8fvRx9tbSXa_Anl1uUqTDFIhhN/edit" TargetMode="External"/><Relationship Id="rId7" Type="http://schemas.openxmlformats.org/officeDocument/2006/relationships/hyperlink" Target="https://docs.google.com/presentation/d/1bBk8S4ONIzN0ofBds6mbUzrJOgxMdEqn/edit" TargetMode="External"/><Relationship Id="rId8" Type="http://schemas.openxmlformats.org/officeDocument/2006/relationships/hyperlink" Target="https://docs.google.com/presentation/d/1dtvGA6uj7jrlO5MXqpqHZBqoR6avg_-u/edit" TargetMode="External"/><Relationship Id="rId73" Type="http://schemas.openxmlformats.org/officeDocument/2006/relationships/hyperlink" Target="https://docs.google.com/presentation/d/1BKzR6DD8hPJn7brPuTzKzks9qPaG4ZeB/edit?slide=id.p3" TargetMode="External"/><Relationship Id="rId72" Type="http://schemas.openxmlformats.org/officeDocument/2006/relationships/hyperlink" Target="https://docs.google.com/presentation/d/19yHr6GDL9TTnEkb1FXj2sStfyFg8ZQ0j/edit?slide=id.p3" TargetMode="External"/><Relationship Id="rId31" Type="http://schemas.openxmlformats.org/officeDocument/2006/relationships/hyperlink" Target="https://docs.google.com/presentation/d/1j2MmLwmQinkh3pTHOGaPEH9awb68BcoO/edit?slide=id.p3" TargetMode="External"/><Relationship Id="rId75" Type="http://schemas.openxmlformats.org/officeDocument/2006/relationships/hyperlink" Target="https://docs.google.com/presentation/d/1pW98Sb-yvmgaPxNMvMzM9ty6LCO9ybyp/edit?slide=id.p3" TargetMode="External"/><Relationship Id="rId30" Type="http://schemas.openxmlformats.org/officeDocument/2006/relationships/hyperlink" Target="https://docs.google.com/presentation/d/1ZPb9RvTj1BEYWRHPrnxYmk42JU3SYpiq/edit?slide=id.p3" TargetMode="External"/><Relationship Id="rId74" Type="http://schemas.openxmlformats.org/officeDocument/2006/relationships/hyperlink" Target="https://docs.google.com/presentation/d/1339nBf6Uv9vUtA9nSOwDZiJhQco7LLKR/edit?slide=id.p3" TargetMode="External"/><Relationship Id="rId33" Type="http://schemas.openxmlformats.org/officeDocument/2006/relationships/hyperlink" Target="https://docs.google.com/presentation/d/1XNPvyr3lmVODDGk1iADYd3TNKIHskmVv/edit?slide=id.p3" TargetMode="External"/><Relationship Id="rId77" Type="http://schemas.openxmlformats.org/officeDocument/2006/relationships/hyperlink" Target="https://docs.google.com/presentation/d/1dXgj0MZY9S0aNEHhr7YdWdfaJFI-JPSt/edit?slide=id.p3" TargetMode="External"/><Relationship Id="rId32" Type="http://schemas.openxmlformats.org/officeDocument/2006/relationships/hyperlink" Target="https://docs.google.com/presentation/d/1H5JzXDrxh6uT6Kw7lVWuQ83yz_9bQ99t/edit?slide=id.p3" TargetMode="External"/><Relationship Id="rId76" Type="http://schemas.openxmlformats.org/officeDocument/2006/relationships/hyperlink" Target="https://docs.google.com/presentation/d/1k1A_0bCNqLEzoAtv_v7hFZmJMZMna4Yv/edit?slide=id.p3" TargetMode="External"/><Relationship Id="rId35" Type="http://schemas.openxmlformats.org/officeDocument/2006/relationships/hyperlink" Target="https://docs.google.com/presentation/d/1kXiEOxOuef8QZDZGojmtMqWL_GYq_zCK/edit?slide=id.p19" TargetMode="External"/><Relationship Id="rId79" Type="http://schemas.openxmlformats.org/officeDocument/2006/relationships/hyperlink" Target="https://docs.google.com/presentation/d/1RnkXeib09MLb2ZZDstjSxcoNxfw6NfcJ/edit?slide=id.p3" TargetMode="External"/><Relationship Id="rId34" Type="http://schemas.openxmlformats.org/officeDocument/2006/relationships/hyperlink" Target="https://docs.google.com/presentation/d/1HnQAw4pQCMUvnsHGF2avPEn39mIafAt0/edit?slide=id.p3" TargetMode="External"/><Relationship Id="rId78" Type="http://schemas.openxmlformats.org/officeDocument/2006/relationships/hyperlink" Target="https://docs.google.com/presentation/d/1vHI24cPlSUYEsD7aCfluUyhov2tXTq_G/edit?slide=id.p3" TargetMode="External"/><Relationship Id="rId71" Type="http://schemas.openxmlformats.org/officeDocument/2006/relationships/hyperlink" Target="https://docs.google.com/presentation/d/1hK-AdmvK3kQ6Lm68wG7s8aSNjZYNoMxW/edit" TargetMode="External"/><Relationship Id="rId70" Type="http://schemas.openxmlformats.org/officeDocument/2006/relationships/hyperlink" Target="https://docs.google.com/presentation/d/1-hpfU38J5PzU7TBFo8WMbeTGASCEdJBv/edit?slide=id.p3" TargetMode="External"/><Relationship Id="rId37" Type="http://schemas.openxmlformats.org/officeDocument/2006/relationships/hyperlink" Target="https://docs.google.com/presentation/d/1OQYUiBmim4vJ8jL2rIBeO1sOInrgxr6K/edit?slide=id.p3" TargetMode="External"/><Relationship Id="rId36" Type="http://schemas.openxmlformats.org/officeDocument/2006/relationships/hyperlink" Target="https://docs.google.com/presentation/d/1U_wLEW_fHVOvv8HQ8ntQ35m684gkqN1K/edit?slide=id.p5" TargetMode="External"/><Relationship Id="rId39" Type="http://schemas.openxmlformats.org/officeDocument/2006/relationships/hyperlink" Target="https://docs.google.com/presentation/d/1xUSPrSD2s8Ov5zjuKwfCs2S4lFFs0VWw/edit?slide=id.p3" TargetMode="External"/><Relationship Id="rId38" Type="http://schemas.openxmlformats.org/officeDocument/2006/relationships/hyperlink" Target="https://docs.google.com/presentation/d/1eWyccUmy35auF1qMXhkX0B-dKpfjvDRM/edit?slide=id.p7" TargetMode="External"/><Relationship Id="rId62" Type="http://schemas.openxmlformats.org/officeDocument/2006/relationships/hyperlink" Target="https://docs.google.com/presentation/d/11cfsvNuH3lm04CbEX-C9NnvFAwv8nvpB/edit?slide=id.p3" TargetMode="External"/><Relationship Id="rId61" Type="http://schemas.openxmlformats.org/officeDocument/2006/relationships/hyperlink" Target="https://docs.google.com/presentation/d/1w5CC666Mr5wAuMTbq_VTFjiUIKGGalap/edit?slide=id.p3" TargetMode="External"/><Relationship Id="rId20" Type="http://schemas.openxmlformats.org/officeDocument/2006/relationships/hyperlink" Target="https://docs.google.com/presentation/d/1WHEZdAfl163Fa1iZy8XmcVbn5kHF6QF4/edit?slide=id.p3" TargetMode="External"/><Relationship Id="rId64" Type="http://schemas.openxmlformats.org/officeDocument/2006/relationships/hyperlink" Target="https://docs.google.com/presentation/d/1lNUHZPqys44tmKxpTYwLpEdlSBCCNLOo/edit?slide=id.p3" TargetMode="External"/><Relationship Id="rId63" Type="http://schemas.openxmlformats.org/officeDocument/2006/relationships/hyperlink" Target="https://docs.google.com/presentation/d/1akKaZnYqBNxZWU6CiTvENaUsZex7_Lhj/edit?slide=id.p3" TargetMode="External"/><Relationship Id="rId22" Type="http://schemas.openxmlformats.org/officeDocument/2006/relationships/hyperlink" Target="https://docs.google.com/presentation/d/1BOLvGhpjKcfpJ67yrHB9Ved8s8EU280v/edit" TargetMode="External"/><Relationship Id="rId66" Type="http://schemas.openxmlformats.org/officeDocument/2006/relationships/hyperlink" Target="https://docs.google.com/presentation/d/1J1Ug-OmTjLVaWbiQdZ3rmEiNjHIrycrt/edit?slide=id.p3" TargetMode="External"/><Relationship Id="rId21" Type="http://schemas.openxmlformats.org/officeDocument/2006/relationships/hyperlink" Target="https://docs.google.com/presentation/d/1LxVF3pJ_nOxubrIG_oU4tkl6msQyxjfc/edit" TargetMode="External"/><Relationship Id="rId65" Type="http://schemas.openxmlformats.org/officeDocument/2006/relationships/hyperlink" Target="https://docs.google.com/presentation/d/1Kx99YoSu1nMXPisdo8U-9iG9ok8VAfBU/edit?slide=id.p3" TargetMode="External"/><Relationship Id="rId24" Type="http://schemas.openxmlformats.org/officeDocument/2006/relationships/hyperlink" Target="https://docs.google.com/presentation/d/1-ybC6f3z68LytXiEfUF5MpZlAJz5vbHN/edit?slide=id.p3" TargetMode="External"/><Relationship Id="rId68" Type="http://schemas.openxmlformats.org/officeDocument/2006/relationships/hyperlink" Target="https://docs.google.com/presentation/d/1Nj5FO7ccPttih_7RIZclVmtTJOZUox8O/edit?slide=id.p3" TargetMode="External"/><Relationship Id="rId23" Type="http://schemas.openxmlformats.org/officeDocument/2006/relationships/hyperlink" Target="https://docs.google.com/presentation/d/1hpmLC8gkjQVJe_KTZCvbqLlDlLrMlDtG/edit?slide=id.p3" TargetMode="External"/><Relationship Id="rId67" Type="http://schemas.openxmlformats.org/officeDocument/2006/relationships/hyperlink" Target="https://docs.google.com/presentation/d/1ChhMHZNXYfm0KW3EkLUdL_HqbqxVzTga/edit?slide=id.p3" TargetMode="External"/><Relationship Id="rId60" Type="http://schemas.openxmlformats.org/officeDocument/2006/relationships/hyperlink" Target="https://docs.google.com/presentation/d/1LK5Y6CwliyiAbAHiAp-4LZSKHCEnRRzQ/edit?slide=id.p3" TargetMode="External"/><Relationship Id="rId26" Type="http://schemas.openxmlformats.org/officeDocument/2006/relationships/hyperlink" Target="https://docs.google.com/presentation/d/1zltUDFLuJ_zH68NiuOtxnO3XY1y_hXmw/edit?slide=id.p3" TargetMode="External"/><Relationship Id="rId25" Type="http://schemas.openxmlformats.org/officeDocument/2006/relationships/hyperlink" Target="https://docs.google.com/presentation/d/1LlXVy5ye_r8BqGOl3BrC0aWMrJ4_ewik/edit?slide=id.p3" TargetMode="External"/><Relationship Id="rId69" Type="http://schemas.openxmlformats.org/officeDocument/2006/relationships/hyperlink" Target="https://docs.google.com/presentation/d/1CWmZ6nve0RwQw7H6oW6tJKYfWmY7gKSZ/edit?slide=id.p3" TargetMode="External"/><Relationship Id="rId28" Type="http://schemas.openxmlformats.org/officeDocument/2006/relationships/hyperlink" Target="https://docs.google.com/presentation/d/1IZDnCtv05w9s_9kxwGA7filsU9zdnHT9/edit?slide=id.p3" TargetMode="External"/><Relationship Id="rId27" Type="http://schemas.openxmlformats.org/officeDocument/2006/relationships/hyperlink" Target="https://docs.google.com/presentation/d/1uS1aXV7zBTv-SJY6qjKEh6eJh-suuhB6/edit?slide=id.p3" TargetMode="External"/><Relationship Id="rId29" Type="http://schemas.openxmlformats.org/officeDocument/2006/relationships/hyperlink" Target="https://docs.google.com/presentation/d/1tKs3PLm9fTAE880Opgok_f_5ggIG2CF-/edit?slide=id.p3" TargetMode="External"/><Relationship Id="rId51" Type="http://schemas.openxmlformats.org/officeDocument/2006/relationships/hyperlink" Target="https://docs.google.com/presentation/d/1o0W_Helr4NsW7Nyx6OTom5LlUA4hMMDF/edit?slide=id.p3" TargetMode="External"/><Relationship Id="rId50" Type="http://schemas.openxmlformats.org/officeDocument/2006/relationships/hyperlink" Target="https://docs.google.com/presentation/d/1it5mUWLZbwYjyodhngkpk0A_z-uxOA1k/edit?slide=id.p3" TargetMode="External"/><Relationship Id="rId53" Type="http://schemas.openxmlformats.org/officeDocument/2006/relationships/hyperlink" Target="https://docs.google.com/presentation/d/174MpJlEvU3Ix7i3uq7aUvFCyOUpc2f2e/edit?slide=id.p3" TargetMode="External"/><Relationship Id="rId52" Type="http://schemas.openxmlformats.org/officeDocument/2006/relationships/hyperlink" Target="https://docs.google.com/presentation/d/1fhFuGF1F0QfYGlazTc4Dc0-xrZ5CtILV/edit?slide=id.p3" TargetMode="External"/><Relationship Id="rId11" Type="http://schemas.openxmlformats.org/officeDocument/2006/relationships/hyperlink" Target="https://docs.google.com/presentation/d/1uB0Tcz2lDMA2nF_K2T9TyqRhvVwIboNh/edit" TargetMode="External"/><Relationship Id="rId55" Type="http://schemas.openxmlformats.org/officeDocument/2006/relationships/hyperlink" Target="https://docs.google.com/presentation/d/1qO0kQCHIIC8DH6vhooWcap7F56EAPFqu/edit?slide=id.p3" TargetMode="External"/><Relationship Id="rId10" Type="http://schemas.openxmlformats.org/officeDocument/2006/relationships/hyperlink" Target="https://docs.google.com/presentation/d/1F36Uu165Hktt4bZ6LqQnR0009s_sYvpe/edit" TargetMode="External"/><Relationship Id="rId54" Type="http://schemas.openxmlformats.org/officeDocument/2006/relationships/hyperlink" Target="https://docs.google.com/presentation/d/1xPXIQChviKgvq3FrlEz8WmlD7ezVsP4p/edit?slide=id.p3" TargetMode="External"/><Relationship Id="rId13" Type="http://schemas.openxmlformats.org/officeDocument/2006/relationships/hyperlink" Target="https://docs.google.com/presentation/d/13JLDrA0bvglfSaAQaNN3o7F3JVHm1Qka/edit" TargetMode="External"/><Relationship Id="rId57" Type="http://schemas.openxmlformats.org/officeDocument/2006/relationships/hyperlink" Target="https://docs.google.com/presentation/d/1cOAA8BP-VozyJKvWy8WyJ-TIdjnhKZns/edit?slide=id.p3" TargetMode="External"/><Relationship Id="rId12" Type="http://schemas.openxmlformats.org/officeDocument/2006/relationships/hyperlink" Target="https://docs.google.com/presentation/d/1SyZfBFxQfFdyBeRMrFvN6ybupJyH1Mqd/edit" TargetMode="External"/><Relationship Id="rId56" Type="http://schemas.openxmlformats.org/officeDocument/2006/relationships/hyperlink" Target="https://docs.google.com/presentation/d/1aML5a-UyfQ9Vmos0OgZZ6iskj7YawM7d/edit?slide=id.p3" TargetMode="External"/><Relationship Id="rId15" Type="http://schemas.openxmlformats.org/officeDocument/2006/relationships/hyperlink" Target="https://docs.google.com/presentation/d/1RCB86l2g5p9jB6xRT5fYhamPiXnLt1if/edit" TargetMode="External"/><Relationship Id="rId59" Type="http://schemas.openxmlformats.org/officeDocument/2006/relationships/hyperlink" Target="https://docs.google.com/presentation/d/1gXHpbZon_bfS80Idr76DDz2KmpwRjQUO/edit?slide=id.p3" TargetMode="External"/><Relationship Id="rId14" Type="http://schemas.openxmlformats.org/officeDocument/2006/relationships/hyperlink" Target="https://docs.google.com/presentation/d/16bV1ko_-vctbPvS9SfyAkIDbRUxYazee/edit" TargetMode="External"/><Relationship Id="rId58" Type="http://schemas.openxmlformats.org/officeDocument/2006/relationships/hyperlink" Target="https://docs.google.com/presentation/d/1Toneqejyc5CoJnoSsEEU1qucrQPfOASt/edit?slide=id.p3" TargetMode="External"/><Relationship Id="rId17" Type="http://schemas.openxmlformats.org/officeDocument/2006/relationships/hyperlink" Target="https://docs.google.com/presentation/d/132VSXdQgBzyJHJwjLVPRqBlrzR3xXHHe/edit?slide=id.p3" TargetMode="External"/><Relationship Id="rId16" Type="http://schemas.openxmlformats.org/officeDocument/2006/relationships/hyperlink" Target="https://docs.google.com/presentation/d/1SioLOl7FNtFc7w72gJzBzdfCKqdyv8NS/edit" TargetMode="External"/><Relationship Id="rId19" Type="http://schemas.openxmlformats.org/officeDocument/2006/relationships/hyperlink" Target="https://docs.google.com/presentation/d/1NTCatzpOB9AkxaOlD-Xl5UvFoKa3EEnF/edit?slide=id.p3" TargetMode="External"/><Relationship Id="rId18" Type="http://schemas.openxmlformats.org/officeDocument/2006/relationships/hyperlink" Target="https://docs.google.com/presentation/d/1qRDPn4SDPhIZgAu0-WIh_hWHf3AhkIWe/edit?slide=id.p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0" width="3.88"/>
    <col customWidth="1" hidden="1" min="41" max="44" width="3.88"/>
    <col customWidth="1" min="45" max="48" width="3.88"/>
    <col customWidth="1" min="49" max="73" width="9.5"/>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2"/>
    </row>
    <row r="2">
      <c r="A2" s="3"/>
      <c r="B2" s="4" t="s">
        <v>0</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4"/>
      <c r="AU2" s="4" t="s">
        <v>1</v>
      </c>
      <c r="AV2" s="3"/>
      <c r="AW2" s="3"/>
      <c r="AX2" s="3"/>
      <c r="AY2" s="3"/>
      <c r="AZ2" s="3"/>
      <c r="BA2" s="3"/>
      <c r="BB2" s="3"/>
      <c r="BC2" s="3"/>
      <c r="BD2" s="3"/>
      <c r="BE2" s="3"/>
      <c r="BF2" s="3"/>
      <c r="BG2" s="3"/>
      <c r="BH2" s="3"/>
      <c r="BI2" s="3"/>
      <c r="BJ2" s="3"/>
      <c r="BK2" s="3"/>
      <c r="BL2" s="3"/>
      <c r="BM2" s="3"/>
      <c r="BN2" s="3"/>
      <c r="BO2" s="3"/>
      <c r="BP2" s="3"/>
      <c r="BQ2" s="3"/>
      <c r="BR2" s="3"/>
      <c r="BS2" s="3"/>
      <c r="BT2" s="3"/>
      <c r="BU2" s="3"/>
    </row>
    <row r="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2"/>
      <c r="AU3" s="5" t="s">
        <v>2</v>
      </c>
      <c r="AV3" s="1"/>
      <c r="AW3" s="6"/>
      <c r="AX3" s="1"/>
      <c r="AY3" s="1"/>
      <c r="AZ3" s="1"/>
      <c r="BA3" s="1"/>
      <c r="BB3" s="1"/>
      <c r="BC3" s="1"/>
      <c r="BD3" s="1"/>
      <c r="BE3" s="1"/>
      <c r="BF3" s="1"/>
      <c r="BG3" s="1"/>
      <c r="BH3" s="1"/>
      <c r="BI3" s="1"/>
      <c r="BJ3" s="1"/>
      <c r="BK3" s="1"/>
      <c r="BL3" s="1"/>
      <c r="BM3" s="1"/>
      <c r="BN3" s="1"/>
      <c r="BO3" s="1"/>
      <c r="BP3" s="1"/>
      <c r="BQ3" s="1"/>
      <c r="BR3" s="1"/>
      <c r="BS3" s="1"/>
      <c r="BT3" s="1"/>
      <c r="BU3" s="1"/>
    </row>
    <row r="4">
      <c r="A4" s="1"/>
      <c r="B4" s="7" t="s">
        <v>3</v>
      </c>
      <c r="C4" s="8"/>
      <c r="D4" s="9"/>
      <c r="E4" s="1"/>
      <c r="F4" s="1"/>
      <c r="G4" s="1"/>
      <c r="H4" s="1"/>
      <c r="I4" s="1"/>
      <c r="J4" s="1"/>
      <c r="K4" s="1"/>
      <c r="L4" s="1"/>
      <c r="M4" s="1"/>
      <c r="N4" s="1"/>
      <c r="O4" s="1"/>
      <c r="P4" s="1"/>
      <c r="Q4" s="10"/>
      <c r="R4" s="7" t="s">
        <v>4</v>
      </c>
      <c r="S4" s="8"/>
      <c r="T4" s="8"/>
      <c r="U4" s="8"/>
      <c r="V4" s="9"/>
      <c r="W4" s="10"/>
      <c r="X4" s="10"/>
      <c r="Y4" s="10"/>
      <c r="Z4" s="10"/>
      <c r="AA4" s="10"/>
      <c r="AB4" s="10"/>
      <c r="AC4" s="10"/>
      <c r="AD4" s="10"/>
      <c r="AE4" s="10"/>
      <c r="AF4" s="10"/>
      <c r="AG4" s="10"/>
      <c r="AH4" s="10"/>
      <c r="AI4" s="10"/>
      <c r="AJ4" s="10"/>
      <c r="AK4" s="10"/>
      <c r="AL4" s="10"/>
      <c r="AM4" s="10"/>
      <c r="AN4" s="10"/>
      <c r="AO4" s="10"/>
      <c r="AP4" s="10"/>
      <c r="AQ4" s="10"/>
      <c r="AR4" s="10"/>
      <c r="AS4" s="11"/>
      <c r="AU4" s="12" t="s">
        <v>5</v>
      </c>
      <c r="AV4" s="9"/>
      <c r="AW4" s="13" t="s">
        <v>6</v>
      </c>
      <c r="AX4" s="13" t="s">
        <v>7</v>
      </c>
      <c r="AY4" s="14" t="s">
        <v>8</v>
      </c>
      <c r="AZ4" s="14" t="s">
        <v>9</v>
      </c>
      <c r="BA4" s="15" t="s">
        <v>10</v>
      </c>
      <c r="BB4" s="15" t="s">
        <v>11</v>
      </c>
      <c r="BC4" s="15" t="s">
        <v>12</v>
      </c>
      <c r="BD4" s="15" t="s">
        <v>13</v>
      </c>
      <c r="BE4" s="15" t="s">
        <v>14</v>
      </c>
      <c r="BF4" s="15" t="s">
        <v>15</v>
      </c>
      <c r="BG4" s="15" t="s">
        <v>16</v>
      </c>
      <c r="BH4" s="15" t="s">
        <v>17</v>
      </c>
      <c r="BI4" s="15" t="s">
        <v>18</v>
      </c>
      <c r="BJ4" s="15" t="s">
        <v>19</v>
      </c>
      <c r="BK4" s="15" t="s">
        <v>20</v>
      </c>
      <c r="BL4" s="15" t="s">
        <v>21</v>
      </c>
      <c r="BM4" s="15" t="s">
        <v>22</v>
      </c>
      <c r="BN4" s="15" t="s">
        <v>23</v>
      </c>
      <c r="BO4" s="15" t="s">
        <v>24</v>
      </c>
      <c r="BP4" s="15" t="s">
        <v>25</v>
      </c>
      <c r="BQ4" s="15" t="s">
        <v>26</v>
      </c>
      <c r="BR4" s="15" t="s">
        <v>27</v>
      </c>
    </row>
    <row r="5">
      <c r="A5" s="1"/>
      <c r="B5" s="16" t="s">
        <v>28</v>
      </c>
      <c r="C5" s="17"/>
      <c r="D5" s="17"/>
      <c r="E5" s="17"/>
      <c r="F5" s="17"/>
      <c r="G5" s="17"/>
      <c r="H5" s="17"/>
      <c r="I5" s="17"/>
      <c r="J5" s="17"/>
      <c r="K5" s="17"/>
      <c r="L5" s="17"/>
      <c r="M5" s="17"/>
      <c r="N5" s="17"/>
      <c r="O5" s="17"/>
      <c r="P5" s="18"/>
      <c r="Q5" s="10"/>
      <c r="R5" s="19">
        <f>IFERROR(__xludf.DUMMYFUNCTION("IFERROR(
  INDEX(
    IMPORTRANGE(""https://docs.google.com/spreadsheets/d/1oJmkDK37Qizzdaxn4KCwh1BMwdNWuHCx3AGH8BC9yu0/edit?gid=781951868#gid=781951868"", ""キャラ!U:U""),
    MATCH(B11, IMPORTRANGE(""https://docs.google.com/spreadsheets/d/1oJmkDK37Qizzdaxn"&amp;"4KCwh1BMwdNWuHCx3AGH8BC9yu0/edit?gid=781951868#gid=781951868"", ""キャラ!D:D""), 0)
  ),
  ""該当なし""
)
"),45922.458333333336)</f>
        <v>45922.45833</v>
      </c>
      <c r="S5" s="8"/>
      <c r="T5" s="8"/>
      <c r="U5" s="8"/>
      <c r="V5" s="9"/>
      <c r="W5" s="20"/>
      <c r="X5" s="20"/>
      <c r="Y5" s="20"/>
      <c r="Z5" s="20"/>
      <c r="AA5" s="10"/>
      <c r="AB5" s="10"/>
      <c r="AC5" s="10"/>
      <c r="AD5" s="10"/>
      <c r="AE5" s="10"/>
      <c r="AF5" s="10"/>
      <c r="AG5" s="10"/>
      <c r="AH5" s="10"/>
      <c r="AI5" s="10"/>
      <c r="AJ5" s="10"/>
      <c r="AK5" s="10"/>
      <c r="AL5" s="10"/>
      <c r="AM5" s="10"/>
      <c r="AN5" s="10"/>
      <c r="AO5" s="10"/>
      <c r="AP5" s="10"/>
      <c r="AQ5" s="10"/>
      <c r="AR5" s="10"/>
      <c r="AS5" s="11"/>
      <c r="AU5" s="21">
        <v>1.0</v>
      </c>
      <c r="AV5" s="9"/>
      <c r="AW5" s="22">
        <f>VLOOKUP($AU$5,$AU$7:$BR$117,3,false)</f>
        <v>1490</v>
      </c>
      <c r="AX5" s="23">
        <f>VLOOKUP($AU$5,$AU$7:$BR$117,4,false)</f>
        <v>1740</v>
      </c>
      <c r="AY5" s="24">
        <f>VLOOKUP($AU$5,$AU$7:$BR$117,5,false)</f>
        <v>1490</v>
      </c>
      <c r="AZ5" s="24">
        <f>VLOOKUP($AU$5,$AU$7:$BR$117,6,false)</f>
        <v>1740</v>
      </c>
      <c r="BA5" s="25">
        <f>VLOOKUP($AU$5,$AU$7:$BR$117,7,false)</f>
        <v>1668</v>
      </c>
      <c r="BB5" s="25">
        <f>VLOOKUP($AU$5,$AU$7:$BR$117,8,false)</f>
        <v>1773</v>
      </c>
      <c r="BC5" s="25">
        <f>VLOOKUP($AU$5,$AU$7:$BR$117,9,false)</f>
        <v>1832</v>
      </c>
      <c r="BD5" s="25">
        <f>VLOOKUP($AU$5,$AU$7:$BR$117,10,false)</f>
        <v>1862</v>
      </c>
      <c r="BE5" s="23">
        <f>VLOOKUP($AU$5,$AU$7:$BR$117,11,false)</f>
        <v>1862</v>
      </c>
      <c r="BF5" s="23">
        <f>VLOOKUP($AU$5,$AU$7:$BR$117,12,false)</f>
        <v>1862</v>
      </c>
      <c r="BG5" s="23">
        <f>VLOOKUP($AU$5,$AU$7:$BR$117,13,false)</f>
        <v>1862</v>
      </c>
      <c r="BH5" s="23">
        <f>VLOOKUP($AU$5,$AU$7:$BR$117,14,false)</f>
        <v>1862</v>
      </c>
      <c r="BI5" s="23">
        <f>VLOOKUP($AU$5,$AU$7:$BR$117,15,false)</f>
        <v>1862</v>
      </c>
      <c r="BJ5" s="26">
        <f>VLOOKUP($AU$5,$AU$7:$BR$117,16,false)</f>
        <v>1948</v>
      </c>
      <c r="BK5" s="26">
        <f>VLOOKUP($AU$5,$AU$7:$BR$117,17,false)</f>
        <v>2070</v>
      </c>
      <c r="BL5" s="26">
        <f>VLOOKUP($AU$5,$AU$7:$BR$117,18,false)</f>
        <v>2140</v>
      </c>
      <c r="BM5" s="26">
        <f>VLOOKUP($AU$5,$AU$7:$BR$117,19,false)</f>
        <v>2175</v>
      </c>
      <c r="BN5" s="23">
        <f>VLOOKUP($AU$5,$AU$7:$BR$117,20,false)</f>
        <v>2175</v>
      </c>
      <c r="BO5" s="23">
        <f>VLOOKUP($AU$5,$AU$7:$BR$117,21,false)</f>
        <v>2175</v>
      </c>
      <c r="BP5" s="23">
        <f>VLOOKUP($AU$5,$AU$7:$BR$117,22,false)</f>
        <v>2175</v>
      </c>
      <c r="BQ5" s="23">
        <f>VLOOKUP($AU$5,$AU$7:$BR$117,23,false)</f>
        <v>2175</v>
      </c>
      <c r="BR5" s="23">
        <f>VLOOKUP($AU$5,$AU$7:$BR$117,24,false)</f>
        <v>2175</v>
      </c>
    </row>
    <row r="6">
      <c r="A6" s="1"/>
      <c r="B6" s="27"/>
      <c r="P6" s="28"/>
      <c r="Q6" s="10"/>
      <c r="R6" s="7" t="s">
        <v>29</v>
      </c>
      <c r="S6" s="8"/>
      <c r="T6" s="8"/>
      <c r="U6" s="8"/>
      <c r="V6" s="9"/>
      <c r="W6" s="10"/>
      <c r="X6" s="10"/>
      <c r="Y6" s="10"/>
      <c r="Z6" s="10"/>
      <c r="AA6" s="10"/>
      <c r="AB6" s="10"/>
      <c r="AC6" s="10"/>
      <c r="AD6" s="10"/>
      <c r="AE6" s="10"/>
      <c r="AF6" s="10"/>
      <c r="AG6" s="10"/>
      <c r="AH6" s="10"/>
      <c r="AI6" s="10"/>
      <c r="AJ6" s="10"/>
      <c r="AK6" s="10"/>
      <c r="AL6" s="10"/>
      <c r="AM6" s="10"/>
      <c r="AN6" s="10"/>
      <c r="AO6" s="10"/>
      <c r="AP6" s="10"/>
      <c r="AQ6" s="10"/>
      <c r="AR6" s="10"/>
      <c r="AS6" s="11"/>
      <c r="AU6" s="5" t="s">
        <v>30</v>
      </c>
      <c r="AV6" s="1"/>
      <c r="AW6" s="1"/>
      <c r="AX6" s="1"/>
      <c r="AY6" s="1"/>
      <c r="AZ6" s="1"/>
      <c r="BA6" s="1"/>
      <c r="BB6" s="1"/>
      <c r="BC6" s="1"/>
      <c r="BD6" s="1"/>
      <c r="BE6" s="1"/>
      <c r="BF6" s="1"/>
      <c r="BG6" s="1"/>
      <c r="BH6" s="1"/>
      <c r="BI6" s="1"/>
      <c r="BJ6" s="1"/>
      <c r="BK6" s="1"/>
      <c r="BL6" s="1"/>
      <c r="BM6" s="1"/>
      <c r="BN6" s="1"/>
      <c r="BO6" s="1"/>
      <c r="BP6" s="1"/>
      <c r="BQ6" s="1"/>
      <c r="BR6" s="1"/>
      <c r="BS6" s="1"/>
      <c r="BT6" s="1"/>
      <c r="BU6" s="1"/>
    </row>
    <row r="7">
      <c r="A7" s="1"/>
      <c r="B7" s="29"/>
      <c r="C7" s="30"/>
      <c r="D7" s="30"/>
      <c r="E7" s="30"/>
      <c r="F7" s="30"/>
      <c r="G7" s="30"/>
      <c r="H7" s="30"/>
      <c r="I7" s="30"/>
      <c r="J7" s="30"/>
      <c r="K7" s="30"/>
      <c r="L7" s="30"/>
      <c r="M7" s="30"/>
      <c r="N7" s="30"/>
      <c r="O7" s="30"/>
      <c r="P7" s="31"/>
      <c r="Q7" s="10"/>
      <c r="R7" s="32" t="str">
        <f>IFERROR(__xludf.DUMMYFUNCTION("IFERROR(
  INDEX(
    IMPORTRANGE(""https://docs.google.com/spreadsheets/d/1oJmkDK37Qizzdaxn4KCwh1BMwdNWuHCx3AGH8BC9yu0/edit?gid=781951868#gid=781951868"", ""キャラ!AB:AB""),
    MATCH(B11, IMPORTRANGE(""https://docs.google.com/spreadsheets/d/1oJmkDK37Qizzda"&amp;"xn4KCwh1BMwdNWuHCx3AGH8BC9yu0/edit?gid=781951868#gid=781951868"", ""キャラ!D:D""), 0)
  ),
  ""該当なし""
)
"),"リリース時")</f>
        <v>リリース時</v>
      </c>
      <c r="S7" s="8"/>
      <c r="T7" s="8"/>
      <c r="U7" s="8"/>
      <c r="V7" s="9"/>
      <c r="W7" s="10"/>
      <c r="X7" s="10"/>
      <c r="Y7" s="10"/>
      <c r="Z7" s="10"/>
      <c r="AA7" s="10"/>
      <c r="AB7" s="10"/>
      <c r="AC7" s="10"/>
      <c r="AD7" s="10"/>
      <c r="AE7" s="10"/>
      <c r="AF7" s="10"/>
      <c r="AG7" s="10"/>
      <c r="AH7" s="10"/>
      <c r="AI7" s="10"/>
      <c r="AJ7" s="10"/>
      <c r="AK7" s="10"/>
      <c r="AL7" s="10"/>
      <c r="AM7" s="10"/>
      <c r="AN7" s="10"/>
      <c r="AO7" s="10"/>
      <c r="AP7" s="10"/>
      <c r="AQ7" s="10"/>
      <c r="AR7" s="10"/>
      <c r="AS7" s="11"/>
      <c r="AU7" s="33" t="s">
        <v>5</v>
      </c>
      <c r="AV7" s="33" t="s">
        <v>31</v>
      </c>
      <c r="AW7" s="34" t="s">
        <v>6</v>
      </c>
      <c r="AX7" s="34" t="s">
        <v>7</v>
      </c>
      <c r="AY7" s="35" t="s">
        <v>8</v>
      </c>
      <c r="AZ7" s="35" t="s">
        <v>9</v>
      </c>
      <c r="BA7" s="36" t="s">
        <v>10</v>
      </c>
      <c r="BB7" s="36" t="s">
        <v>11</v>
      </c>
      <c r="BC7" s="36" t="s">
        <v>12</v>
      </c>
      <c r="BD7" s="36" t="s">
        <v>13</v>
      </c>
      <c r="BE7" s="37" t="s">
        <v>14</v>
      </c>
      <c r="BF7" s="37" t="s">
        <v>15</v>
      </c>
      <c r="BG7" s="37" t="s">
        <v>16</v>
      </c>
      <c r="BH7" s="37" t="s">
        <v>17</v>
      </c>
      <c r="BI7" s="37" t="s">
        <v>18</v>
      </c>
      <c r="BJ7" s="38" t="s">
        <v>19</v>
      </c>
      <c r="BK7" s="38" t="s">
        <v>20</v>
      </c>
      <c r="BL7" s="38" t="s">
        <v>21</v>
      </c>
      <c r="BM7" s="38" t="s">
        <v>22</v>
      </c>
      <c r="BN7" s="39" t="s">
        <v>23</v>
      </c>
      <c r="BO7" s="39" t="s">
        <v>24</v>
      </c>
      <c r="BP7" s="39" t="s">
        <v>25</v>
      </c>
      <c r="BQ7" s="39" t="s">
        <v>26</v>
      </c>
      <c r="BR7" s="39" t="s">
        <v>27</v>
      </c>
      <c r="BU7" s="1"/>
    </row>
    <row r="8">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2"/>
      <c r="AU8" s="40">
        <v>0.0</v>
      </c>
      <c r="AV8" s="40">
        <v>0.0</v>
      </c>
      <c r="AW8" s="40">
        <v>0.0</v>
      </c>
      <c r="AX8" s="40">
        <v>0.0</v>
      </c>
      <c r="AY8" s="41">
        <v>0.0</v>
      </c>
      <c r="AZ8" s="41">
        <v>0.0</v>
      </c>
      <c r="BA8" s="42">
        <v>0.0</v>
      </c>
      <c r="BB8" s="42">
        <v>0.0</v>
      </c>
      <c r="BC8" s="42">
        <v>0.0</v>
      </c>
      <c r="BD8" s="42">
        <v>0.0</v>
      </c>
      <c r="BE8" s="43">
        <v>0.0</v>
      </c>
      <c r="BF8" s="43">
        <v>0.0</v>
      </c>
      <c r="BG8" s="43">
        <v>0.0</v>
      </c>
      <c r="BH8" s="43">
        <v>0.0</v>
      </c>
      <c r="BI8" s="43">
        <v>0.0</v>
      </c>
      <c r="BJ8" s="44">
        <v>0.0</v>
      </c>
      <c r="BK8" s="44">
        <v>0.0</v>
      </c>
      <c r="BL8" s="44">
        <v>0.0</v>
      </c>
      <c r="BM8" s="44">
        <v>0.0</v>
      </c>
      <c r="BN8" s="45">
        <v>0.0</v>
      </c>
      <c r="BO8" s="45">
        <v>0.0</v>
      </c>
      <c r="BP8" s="45">
        <v>0.0</v>
      </c>
      <c r="BQ8" s="45">
        <v>0.0</v>
      </c>
      <c r="BR8" s="45">
        <v>0.0</v>
      </c>
      <c r="BU8" s="1"/>
    </row>
    <row r="9">
      <c r="A9" s="1"/>
      <c r="B9" s="46" t="s">
        <v>32</v>
      </c>
      <c r="C9" s="8"/>
      <c r="D9" s="8"/>
      <c r="E9" s="8"/>
      <c r="F9" s="8"/>
      <c r="G9" s="8"/>
      <c r="H9" s="8"/>
      <c r="I9" s="8"/>
      <c r="J9" s="8"/>
      <c r="K9" s="8"/>
      <c r="L9" s="8"/>
      <c r="M9" s="8"/>
      <c r="N9" s="8"/>
      <c r="O9" s="8"/>
      <c r="P9" s="8"/>
      <c r="Q9" s="8"/>
      <c r="R9" s="8"/>
      <c r="S9" s="8"/>
      <c r="T9" s="8"/>
      <c r="U9" s="8"/>
      <c r="V9" s="8"/>
      <c r="W9" s="8"/>
      <c r="X9" s="8"/>
      <c r="Y9" s="9"/>
      <c r="Z9" s="1"/>
      <c r="AA9" s="1"/>
      <c r="AB9" s="1"/>
      <c r="AC9" s="1"/>
      <c r="AD9" s="1"/>
      <c r="AE9" s="1"/>
      <c r="AF9" s="1"/>
      <c r="AG9" s="1"/>
      <c r="AH9" s="1"/>
      <c r="AI9" s="1"/>
      <c r="AJ9" s="1"/>
      <c r="AK9" s="1"/>
      <c r="AL9" s="1"/>
      <c r="AM9" s="1"/>
      <c r="AN9" s="1"/>
      <c r="AO9" s="1"/>
      <c r="AP9" s="47" t="s">
        <v>33</v>
      </c>
      <c r="AQ9" s="8"/>
      <c r="AR9" s="8"/>
      <c r="AS9" s="2"/>
      <c r="AU9" s="40">
        <v>1.0</v>
      </c>
      <c r="AV9" s="40">
        <v>0.0</v>
      </c>
      <c r="AW9" s="48">
        <f>B21</f>
        <v>1490</v>
      </c>
      <c r="AX9" s="49">
        <f>H21</f>
        <v>1740</v>
      </c>
      <c r="AY9" s="50">
        <f t="shared" ref="AY9:AY171" si="1">VLOOKUP(AV9,$AU$191:$AY$205,4,FALSE)+AW9</f>
        <v>1490</v>
      </c>
      <c r="AZ9" s="50">
        <f t="shared" ref="AZ9:AZ171" si="2">VLOOKUP(AV9,$AU$191:$AY$205,5,FALSE)+AX9</f>
        <v>1740</v>
      </c>
      <c r="BA9" s="42">
        <f t="shared" ref="BA9:BA171" si="3">rounddown(($AW9*VLOOKUP($B$13,$AU$177:$AW$185,3,false))+VLOOKUP(AV9,$AU$191:$AY$205,4,false),0)</f>
        <v>1668</v>
      </c>
      <c r="BB9" s="42">
        <f t="shared" ref="BB9:BB171" si="4">rounddown(($AW9*VLOOKUP($B$13,$AU$177:$AX$185,4,false))+VLOOKUP(AV9,$AU$191:$AY$205,4,false),0)</f>
        <v>1773</v>
      </c>
      <c r="BC9" s="42">
        <f t="shared" ref="BC9:BC171" si="5">rounddown(($AW9*VLOOKUP($B$13,$AU$177:$AY$185,5,false))+VLOOKUP(AV9,$AU$191:$AY$205,4,false),0)</f>
        <v>1832</v>
      </c>
      <c r="BD9" s="42">
        <f t="shared" ref="BD9:BD171" si="6">rounddown(($AW9*VLOOKUP($B$13,$AU$177:$AZ$185,6,false))+VLOOKUP(AV9,$AU$191:$AY$205,4,false),0)</f>
        <v>1862</v>
      </c>
      <c r="BE9" s="43">
        <f t="shared" ref="BE9:BE171" si="7">rounddown(($AW9*VLOOKUP($B$13,$AU$177:$BE$185,7,false))+VLOOKUP(AV9,$AU$191:$AY$205,4,false),0)</f>
        <v>1862</v>
      </c>
      <c r="BF9" s="43">
        <f t="shared" ref="BF9:BF171" si="8">rounddown(($AW9*VLOOKUP($B$13,$AU$177:$BE$185,8,false))+VLOOKUP(AV9,$AU$191:$AY$205,4,false),0)</f>
        <v>1862</v>
      </c>
      <c r="BG9" s="43">
        <f t="shared" ref="BG9:BG171" si="9">rounddown(($AW9*VLOOKUP($B$13,$AU$177:$BE$185,9,false))+VLOOKUP(AV9,$AU$191:$AY$205,4,false),0)</f>
        <v>1862</v>
      </c>
      <c r="BH9" s="43">
        <f t="shared" ref="BH9:BH171" si="10">rounddown(($AW9*VLOOKUP($B$13,$AU$177:$BE$185,10,false))+VLOOKUP(AV9,$AU$191:$AY$205,4,false),0)</f>
        <v>1862</v>
      </c>
      <c r="BI9" s="43">
        <f t="shared" ref="BI9:BI171" si="11">rounddown(($AW9*VLOOKUP($B$13,$AU$177:$BE$185,11,false))+VLOOKUP(AV9,$AU$191:$AY$205,4,false),0)</f>
        <v>1862</v>
      </c>
      <c r="BJ9" s="44">
        <f t="shared" ref="BJ9:BJ171" si="12">rounddown(($AX9*VLOOKUP($B$13,$AU$177:$AW$185,3,false))+VLOOKUP(AV9,$AU$191:$AY$205,5,false),0)</f>
        <v>1948</v>
      </c>
      <c r="BK9" s="44">
        <f t="shared" ref="BK9:BK171" si="13">rounddown(($AX9*VLOOKUP($B$13,$AU$177:$AX$185,4,false))+VLOOKUP(AV9,$AU$191:$AY$205,5,false),0)</f>
        <v>2070</v>
      </c>
      <c r="BL9" s="44">
        <f t="shared" ref="BL9:BL171" si="14">rounddown(($AX9*VLOOKUP($B$13,$AU$177:$AY$185,5,false))+VLOOKUP(AV9,$AU$191:$AY$205,5,false),0)</f>
        <v>2140</v>
      </c>
      <c r="BM9" s="44">
        <f t="shared" ref="BM9:BM171" si="15">rounddown(($AX9*VLOOKUP($B$13,$AU$177:$AZ$185,6,false))+VLOOKUP(AV9,$AU$191:$AY$205,5,false),0)</f>
        <v>2175</v>
      </c>
      <c r="BN9" s="45">
        <f t="shared" ref="BN9:BN171" si="16">rounddown(($AX9*VLOOKUP($B$13,$AU$177:$BE$185,7,false))+VLOOKUP(AV9,$AU$191:$AY$205,5,false),0)</f>
        <v>2175</v>
      </c>
      <c r="BO9" s="45">
        <f t="shared" ref="BO9:BO171" si="17">rounddown(($AX9*VLOOKUP($B$13,$AU$177:$BE$185,8,false))+VLOOKUP(AV9,$AU$191:$AY$205,5,false),0)</f>
        <v>2175</v>
      </c>
      <c r="BP9" s="45">
        <f t="shared" ref="BP9:BP171" si="18">rounddown(($AX9*VLOOKUP($B$13,$AU$177:$BE$185,9,false))+VLOOKUP(AV9,$AU$191:$AY$205,5,false),0)</f>
        <v>2175</v>
      </c>
      <c r="BQ9" s="45">
        <f t="shared" ref="BQ9:BQ171" si="19">rounddown(($AX9*VLOOKUP($B$13,$AU$177:$BE$185,10,false))+VLOOKUP(AV9,$AU$191:$AY$205,5,false),0)</f>
        <v>2175</v>
      </c>
      <c r="BR9" s="45">
        <f t="shared" ref="BR9:BR171" si="20">rounddown(($AX9*VLOOKUP($B$13,$AU$177:$BE$185,11,false))+VLOOKUP(AV9,$AU$191:$AY$205,5,false),0)</f>
        <v>2175</v>
      </c>
      <c r="BU9" s="1"/>
    </row>
    <row r="10">
      <c r="A10" s="1"/>
      <c r="B10" s="51" t="s">
        <v>34</v>
      </c>
      <c r="C10" s="8"/>
      <c r="D10" s="8"/>
      <c r="E10" s="9"/>
      <c r="F10" s="51" t="s">
        <v>35</v>
      </c>
      <c r="G10" s="8"/>
      <c r="H10" s="8"/>
      <c r="I10" s="8"/>
      <c r="J10" s="8"/>
      <c r="K10" s="8"/>
      <c r="L10" s="8"/>
      <c r="M10" s="9"/>
      <c r="N10" s="47" t="s">
        <v>36</v>
      </c>
      <c r="O10" s="8"/>
      <c r="P10" s="8"/>
      <c r="Q10" s="8"/>
      <c r="R10" s="8"/>
      <c r="S10" s="8"/>
      <c r="T10" s="8"/>
      <c r="U10" s="8"/>
      <c r="V10" s="8"/>
      <c r="W10" s="8"/>
      <c r="X10" s="8"/>
      <c r="Y10" s="9"/>
      <c r="Z10" s="1"/>
      <c r="AP10" s="52" t="str">
        <f t="array" ref="AP10">INDEX('キャラクターID管理'!I:I,MATCH(F11,'キャラクターID管理'!E:E,0),0)</f>
        <v>PremiumSSR</v>
      </c>
      <c r="AQ10" s="8"/>
      <c r="AR10" s="9"/>
      <c r="AS10" s="2"/>
      <c r="AU10" s="40">
        <v>2.0</v>
      </c>
      <c r="AV10" s="40">
        <v>0.0</v>
      </c>
      <c r="AW10" s="49">
        <f t="shared" ref="AW10:AW170" si="21">Floor( $AW$9+($AW$171-$AW$9) * Pow( (AU10-1) / ($AU$171-1),$AU$189) ,1)</f>
        <v>1544</v>
      </c>
      <c r="AX10" s="48">
        <f t="shared" ref="AX10:AX170" si="22">Floor( $AX$9+($AX$171-$AX$9) * Pow( (AU10-1) / ($AU$171-1),$AU$189) ,1)</f>
        <v>1803</v>
      </c>
      <c r="AY10" s="50">
        <f t="shared" si="1"/>
        <v>1544</v>
      </c>
      <c r="AZ10" s="50">
        <f t="shared" si="2"/>
        <v>1803</v>
      </c>
      <c r="BA10" s="42">
        <f t="shared" si="3"/>
        <v>1729</v>
      </c>
      <c r="BB10" s="42">
        <f t="shared" si="4"/>
        <v>1837</v>
      </c>
      <c r="BC10" s="42">
        <f t="shared" si="5"/>
        <v>1899</v>
      </c>
      <c r="BD10" s="42">
        <f t="shared" si="6"/>
        <v>1930</v>
      </c>
      <c r="BE10" s="43">
        <f t="shared" si="7"/>
        <v>1930</v>
      </c>
      <c r="BF10" s="43">
        <f t="shared" si="8"/>
        <v>1930</v>
      </c>
      <c r="BG10" s="43">
        <f t="shared" si="9"/>
        <v>1930</v>
      </c>
      <c r="BH10" s="43">
        <f t="shared" si="10"/>
        <v>1930</v>
      </c>
      <c r="BI10" s="43">
        <f t="shared" si="11"/>
        <v>1930</v>
      </c>
      <c r="BJ10" s="44">
        <f t="shared" si="12"/>
        <v>2019</v>
      </c>
      <c r="BK10" s="44">
        <f t="shared" si="13"/>
        <v>2145</v>
      </c>
      <c r="BL10" s="44">
        <f t="shared" si="14"/>
        <v>2217</v>
      </c>
      <c r="BM10" s="44">
        <f t="shared" si="15"/>
        <v>2253</v>
      </c>
      <c r="BN10" s="45">
        <f t="shared" si="16"/>
        <v>2253</v>
      </c>
      <c r="BO10" s="45">
        <f t="shared" si="17"/>
        <v>2253</v>
      </c>
      <c r="BP10" s="45">
        <f t="shared" si="18"/>
        <v>2253</v>
      </c>
      <c r="BQ10" s="45">
        <f t="shared" si="19"/>
        <v>2253</v>
      </c>
      <c r="BR10" s="45">
        <f t="shared" si="20"/>
        <v>2253</v>
      </c>
      <c r="BU10" s="1"/>
    </row>
    <row r="11">
      <c r="A11" s="1"/>
      <c r="B11" s="53" t="s">
        <v>37</v>
      </c>
      <c r="C11" s="8"/>
      <c r="D11" s="8"/>
      <c r="E11" s="9"/>
      <c r="F11" s="54" t="str">
        <f>IFERROR(__xludf.DUMMYFUNCTION("IFERROR(
  IF(
    INDEX(IMPORTRANGE(""https://docs.google.com/spreadsheets/d/1oJmkDK37Qizzdaxn4KCwh1BMwdNWuHCx3AGH8BC9yu0/edit?gid=781951868#gid=781951868"", ""キャラ!F:F""),
          MATCH(B11, IMPORTRANGE(""https://docs.google.com/spreadsheets/d/1oJmkDK3"&amp;"7Qizzdaxn4KCwh1BMwdNWuHCx3AGH8BC9yu0/edit?gid=781951868#gid=781951868"", ""キャラ!D:D""), 0)
    ) &lt;&gt; """",
    INDEX(IMPORTRANGE(""https://docs.google.com/spreadsheets/d/1oJmkDK37Qizzdaxn4KCwh1BMwdNWuHCx3AGH8BC9yu0/edit?gid=781951868#gid=781951868"", ""キャラ!"&amp;"F:F""),
          MATCH(B11, IMPORTRANGE(""https://docs.google.com/spreadsheets/d/1oJmkDK37Qizzdaxn4KCwh1BMwdNWuHCx3AGH8BC9yu0/edit?gid=781951868#gid=781951868"", ""キャラ!D:D""), 0)
    ),
    IF(
      INDEX(IMPORTRANGE(""https://docs.google.com/spreadshee"&amp;"ts/d/1oJmkDK37Qizzdaxn4KCwh1BMwdNWuHCx3AGH8BC9yu0/edit?gid=781951868#gid=781951868"", ""キャラ!E:E""),
            MATCH(B11, IMPORTRANGE(""https://docs.google.com/spreadsheets/d/1oJmkDK37Qizzdaxn4KCwh1BMwdNWuHCx3AGH8BC9yu0/edit?gid=781951868#gid=781951868"""&amp;", ""キャラ!D:D""), 0)
      ) &lt;&gt; """",
      ""(仮)"" &amp; INDEX(IMPORTRANGE(""https://docs.google.com/spreadsheets/d/1oJmkDK37Qizzdaxn4KCwh1BMwdNWuHCx3AGH8BC9yu0/edit?gid=781951868#gid=781951868"", ""キャラ!E:E""),
                     MATCH(B11, IMPORTRANGE(""htt"&amp;"ps://docs.google.com/spreadsheets/d/1oJmkDK37Qizzdaxn4KCwh1BMwdNWuHCx3AGH8BC9yu0/edit?gid=781951868#gid=781951868"", ""キャラ!D:D""), 0)
      ),
      ""該当なし""
    )
  ),
  ""該当なし""
)
"),"山田浅ェ門 佐切")</f>
        <v>山田浅ェ門 佐切</v>
      </c>
      <c r="G11" s="8"/>
      <c r="H11" s="8"/>
      <c r="I11" s="8"/>
      <c r="J11" s="8"/>
      <c r="K11" s="8"/>
      <c r="L11" s="8"/>
      <c r="M11" s="9"/>
      <c r="N11" s="55" t="str">
        <f>IFERROR(__xludf.DUMMYFUNCTION("IFERROR(
  INDEX(
    IMPORTRANGE(""https://docs.google.com/spreadsheets/d/1oJmkDK37Qizzdaxn4KCwh1BMwdNWuHCx3AGH8BC9yu0/edit?gid=781951868#gid=781951868"", ""キャラ!B:B""),
    MATCH(B11, IMPORTRANGE(""https://docs.google.com/spreadsheets/d/1oJmkDK37Qizzdaxn"&amp;"4KCwh1BMwdNWuHCx3AGH8BC9yu0/edit?gid=781951868#gid=781951868"", ""キャラ!D:D""), 0)
  ),
  ""該当なし""
)
"),"地獄楽")</f>
        <v>地獄楽</v>
      </c>
      <c r="O11" s="8"/>
      <c r="P11" s="8"/>
      <c r="Q11" s="8"/>
      <c r="R11" s="8"/>
      <c r="S11" s="8"/>
      <c r="T11" s="8"/>
      <c r="U11" s="8"/>
      <c r="V11" s="8"/>
      <c r="W11" s="8"/>
      <c r="X11" s="8"/>
      <c r="Y11" s="9"/>
      <c r="Z11" s="1"/>
      <c r="AP11" s="1"/>
      <c r="AQ11" s="1"/>
      <c r="AR11" s="1"/>
      <c r="AS11" s="2"/>
      <c r="AU11" s="40">
        <v>3.0</v>
      </c>
      <c r="AV11" s="40">
        <v>0.0</v>
      </c>
      <c r="AW11" s="49">
        <f t="shared" si="21"/>
        <v>1606</v>
      </c>
      <c r="AX11" s="48">
        <f t="shared" si="22"/>
        <v>1876</v>
      </c>
      <c r="AY11" s="50">
        <f t="shared" si="1"/>
        <v>1606</v>
      </c>
      <c r="AZ11" s="50">
        <f t="shared" si="2"/>
        <v>1876</v>
      </c>
      <c r="BA11" s="42">
        <f t="shared" si="3"/>
        <v>1798</v>
      </c>
      <c r="BB11" s="42">
        <f t="shared" si="4"/>
        <v>1911</v>
      </c>
      <c r="BC11" s="42">
        <f t="shared" si="5"/>
        <v>1975</v>
      </c>
      <c r="BD11" s="42">
        <f t="shared" si="6"/>
        <v>2007</v>
      </c>
      <c r="BE11" s="43">
        <f t="shared" si="7"/>
        <v>2007</v>
      </c>
      <c r="BF11" s="43">
        <f t="shared" si="8"/>
        <v>2007</v>
      </c>
      <c r="BG11" s="43">
        <f t="shared" si="9"/>
        <v>2007</v>
      </c>
      <c r="BH11" s="43">
        <f t="shared" si="10"/>
        <v>2007</v>
      </c>
      <c r="BI11" s="43">
        <f t="shared" si="11"/>
        <v>2007</v>
      </c>
      <c r="BJ11" s="44">
        <f t="shared" si="12"/>
        <v>2101</v>
      </c>
      <c r="BK11" s="44">
        <f t="shared" si="13"/>
        <v>2232</v>
      </c>
      <c r="BL11" s="44">
        <f t="shared" si="14"/>
        <v>2307</v>
      </c>
      <c r="BM11" s="44">
        <f t="shared" si="15"/>
        <v>2345</v>
      </c>
      <c r="BN11" s="45">
        <f t="shared" si="16"/>
        <v>2345</v>
      </c>
      <c r="BO11" s="45">
        <f t="shared" si="17"/>
        <v>2345</v>
      </c>
      <c r="BP11" s="45">
        <f t="shared" si="18"/>
        <v>2345</v>
      </c>
      <c r="BQ11" s="45">
        <f t="shared" si="19"/>
        <v>2345</v>
      </c>
      <c r="BR11" s="45">
        <f t="shared" si="20"/>
        <v>2345</v>
      </c>
      <c r="BU11" s="1"/>
    </row>
    <row r="12">
      <c r="A12" s="1"/>
      <c r="B12" s="47" t="s">
        <v>38</v>
      </c>
      <c r="C12" s="8"/>
      <c r="D12" s="8"/>
      <c r="E12" s="47" t="s">
        <v>39</v>
      </c>
      <c r="F12" s="8"/>
      <c r="G12" s="9"/>
      <c r="H12" s="56" t="s">
        <v>40</v>
      </c>
      <c r="I12" s="8"/>
      <c r="J12" s="9"/>
      <c r="K12" s="56" t="s">
        <v>41</v>
      </c>
      <c r="L12" s="8"/>
      <c r="M12" s="9"/>
      <c r="N12" s="1"/>
      <c r="O12" s="1"/>
      <c r="P12" s="1"/>
      <c r="Q12" s="1"/>
      <c r="R12" s="1"/>
      <c r="S12" s="1"/>
      <c r="T12" s="1"/>
      <c r="U12" s="1"/>
      <c r="V12" s="1"/>
      <c r="W12" s="1"/>
      <c r="X12" s="1"/>
      <c r="Y12" s="1"/>
      <c r="Z12" s="1"/>
      <c r="AP12" s="1"/>
      <c r="AQ12" s="1"/>
      <c r="AR12" s="1"/>
      <c r="AS12" s="2"/>
      <c r="AU12" s="40">
        <v>4.0</v>
      </c>
      <c r="AV12" s="40">
        <v>0.0</v>
      </c>
      <c r="AW12" s="49">
        <f t="shared" si="21"/>
        <v>1672</v>
      </c>
      <c r="AX12" s="48">
        <f t="shared" si="22"/>
        <v>1953</v>
      </c>
      <c r="AY12" s="50">
        <f t="shared" si="1"/>
        <v>1672</v>
      </c>
      <c r="AZ12" s="50">
        <f t="shared" si="2"/>
        <v>1953</v>
      </c>
      <c r="BA12" s="42">
        <f t="shared" si="3"/>
        <v>1872</v>
      </c>
      <c r="BB12" s="42">
        <f t="shared" si="4"/>
        <v>1989</v>
      </c>
      <c r="BC12" s="42">
        <f t="shared" si="5"/>
        <v>2056</v>
      </c>
      <c r="BD12" s="42">
        <f t="shared" si="6"/>
        <v>2090</v>
      </c>
      <c r="BE12" s="43">
        <f t="shared" si="7"/>
        <v>2090</v>
      </c>
      <c r="BF12" s="43">
        <f t="shared" si="8"/>
        <v>2090</v>
      </c>
      <c r="BG12" s="43">
        <f t="shared" si="9"/>
        <v>2090</v>
      </c>
      <c r="BH12" s="43">
        <f t="shared" si="10"/>
        <v>2090</v>
      </c>
      <c r="BI12" s="43">
        <f t="shared" si="11"/>
        <v>2090</v>
      </c>
      <c r="BJ12" s="44">
        <f t="shared" si="12"/>
        <v>2187</v>
      </c>
      <c r="BK12" s="44">
        <f t="shared" si="13"/>
        <v>2324</v>
      </c>
      <c r="BL12" s="44">
        <f t="shared" si="14"/>
        <v>2402</v>
      </c>
      <c r="BM12" s="44">
        <f t="shared" si="15"/>
        <v>2441</v>
      </c>
      <c r="BN12" s="45">
        <f t="shared" si="16"/>
        <v>2441</v>
      </c>
      <c r="BO12" s="45">
        <f t="shared" si="17"/>
        <v>2441</v>
      </c>
      <c r="BP12" s="45">
        <f t="shared" si="18"/>
        <v>2441</v>
      </c>
      <c r="BQ12" s="45">
        <f t="shared" si="19"/>
        <v>2441</v>
      </c>
      <c r="BR12" s="45">
        <f t="shared" si="20"/>
        <v>2441</v>
      </c>
      <c r="BU12" s="1"/>
    </row>
    <row r="13">
      <c r="A13" s="1"/>
      <c r="B13" s="57" t="str">
        <f>IFERROR(__xludf.DUMMYFUNCTION("IFERROR(
  INDEX(
    IMPORTRANGE(""https://docs.google.com/spreadsheets/d/1oJmkDK37Qizzdaxn4KCwh1BMwdNWuHCx3AGH8BC9yu0/edit?gid=781951868#gid=781951868"", ""キャラ!I:I""),
    MATCH(B11, IMPORTRANGE(""https://docs.google.com/spreadsheets/d/1oJmkDK37Qizzdaxn"&amp;"4KCwh1BMwdNWuHCx3AGH8BC9yu0/edit?gid=781951868#gid=781951868"", ""キャラ!D:D""), 0)
  ),
  ""該当なし""
)
"),"PremiumSSR")</f>
        <v>PremiumSSR</v>
      </c>
      <c r="C13" s="8"/>
      <c r="D13" s="9"/>
      <c r="E13" s="57" t="str">
        <f>IFERROR(__xludf.DUMMYFUNCTION("IFERROR(
  INDEX(
    IMPORTRANGE(""https://docs.google.com/spreadsheets/d/1oJmkDK37Qizzdaxn4KCwh1BMwdNWuHCx3AGH8BC9yu0/edit?gid=781951868#gid=781951868"", ""キャラ!L:L""),
    MATCH(B11, IMPORTRANGE(""https://docs.google.com/spreadsheets/d/1oJmkDK37Qizzdaxn"&amp;"4KCwh1BMwdNWuHCx3AGH8BC9yu0/edit?gid=781951868#gid=781951868"", ""キャラ!D:D""), 0)
  ),
  ""該当なし""
)
"),"アタック")</f>
        <v>アタック</v>
      </c>
      <c r="F13" s="8"/>
      <c r="G13" s="9"/>
      <c r="H13" s="58" t="str">
        <f>IFERROR(__xludf.DUMMYFUNCTION("IFERROR(
  INDEX(
    IMPORTRANGE(""https://docs.google.com/spreadsheets/d/1oJmkDK37Qizzdaxn4KCwh1BMwdNWuHCx3AGH8BC9yu0/edit?gid=781951868#gid=781951868"", ""キャラ!J:J""),
    MATCH(B11, IMPORTRANGE(""https://docs.google.com/spreadsheets/d/1oJmkDK37Qizzdaxn"&amp;"4KCwh1BMwdNWuHCx3AGH8BC9yu0/edit?gid=781951868#gid=781951868"", ""キャラ!D:D""), 0)
  ),
  ""該当なし""
)
"),"赤")</f>
        <v>赤</v>
      </c>
      <c r="I13" s="8"/>
      <c r="J13" s="9"/>
      <c r="K13" s="58" t="str">
        <f>IFERROR(__xludf.DUMMYFUNCTION("IFERROR(
  INDEX(
    IMPORTRANGE(""https://docs.google.com/spreadsheets/d/1oJmkDK37Qizzdaxn4KCwh1BMwdNWuHCx3AGH8BC9yu0/edit?gid=781951868#gid=781951868"", ""キャラ!N:N""),
    MATCH(B11, IMPORTRANGE(""https://docs.google.com/spreadsheets/d/1oJmkDK37Qizzdaxn"&amp;"4KCwh1BMwdNWuHCx3AGH8BC9yu0/edit?gid=781951868#gid=781951868"", ""キャラ!D:D""), 0)
  ),
  ""該当なし""
)
"),"Short")</f>
        <v>Short</v>
      </c>
      <c r="L13" s="8"/>
      <c r="M13" s="9"/>
      <c r="AP13" s="59" t="s">
        <v>33</v>
      </c>
      <c r="AQ13" s="8"/>
      <c r="AR13" s="9"/>
      <c r="AS13" s="2"/>
      <c r="AU13" s="40">
        <v>5.0</v>
      </c>
      <c r="AV13" s="40">
        <v>0.0</v>
      </c>
      <c r="AW13" s="49">
        <f t="shared" si="21"/>
        <v>1740</v>
      </c>
      <c r="AX13" s="48">
        <f t="shared" si="22"/>
        <v>2032</v>
      </c>
      <c r="AY13" s="50">
        <f t="shared" si="1"/>
        <v>1740</v>
      </c>
      <c r="AZ13" s="50">
        <f t="shared" si="2"/>
        <v>2032</v>
      </c>
      <c r="BA13" s="42">
        <f t="shared" si="3"/>
        <v>1948</v>
      </c>
      <c r="BB13" s="42">
        <f t="shared" si="4"/>
        <v>2070</v>
      </c>
      <c r="BC13" s="42">
        <f t="shared" si="5"/>
        <v>2140</v>
      </c>
      <c r="BD13" s="42">
        <f t="shared" si="6"/>
        <v>2175</v>
      </c>
      <c r="BE13" s="43">
        <f t="shared" si="7"/>
        <v>2175</v>
      </c>
      <c r="BF13" s="43">
        <f t="shared" si="8"/>
        <v>2175</v>
      </c>
      <c r="BG13" s="43">
        <f t="shared" si="9"/>
        <v>2175</v>
      </c>
      <c r="BH13" s="43">
        <f t="shared" si="10"/>
        <v>2175</v>
      </c>
      <c r="BI13" s="43">
        <f t="shared" si="11"/>
        <v>2175</v>
      </c>
      <c r="BJ13" s="44">
        <f t="shared" si="12"/>
        <v>2275</v>
      </c>
      <c r="BK13" s="44">
        <f t="shared" si="13"/>
        <v>2418</v>
      </c>
      <c r="BL13" s="44">
        <f t="shared" si="14"/>
        <v>2499</v>
      </c>
      <c r="BM13" s="44">
        <f t="shared" si="15"/>
        <v>2540</v>
      </c>
      <c r="BN13" s="45">
        <f t="shared" si="16"/>
        <v>2540</v>
      </c>
      <c r="BO13" s="45">
        <f t="shared" si="17"/>
        <v>2540</v>
      </c>
      <c r="BP13" s="45">
        <f t="shared" si="18"/>
        <v>2540</v>
      </c>
      <c r="BQ13" s="45">
        <f t="shared" si="19"/>
        <v>2540</v>
      </c>
      <c r="BR13" s="45">
        <f t="shared" si="20"/>
        <v>2540</v>
      </c>
      <c r="BU13" s="1"/>
    </row>
    <row r="14">
      <c r="A14" s="1"/>
      <c r="B14" s="60" t="s">
        <v>42</v>
      </c>
      <c r="AP14" s="58" t="str">
        <f>IFS(and(E13="ディフェンス",G17&lt;=0.59),"遠距離以外",and(E13="アタック",G17&lt;=0.59),"遠距離以外",and(E13="サポート",G17&lt;=0.59),"遠距離以外",and(E13="テクニカル",G17&lt;=0.59),"遠距離以外",TRUE,"遠距離")</f>
        <v>遠距離以外</v>
      </c>
      <c r="AQ14" s="8"/>
      <c r="AR14" s="9"/>
      <c r="AS14" s="2"/>
      <c r="AU14" s="40">
        <v>6.0</v>
      </c>
      <c r="AV14" s="40">
        <v>0.0</v>
      </c>
      <c r="AW14" s="49">
        <f t="shared" si="21"/>
        <v>1810</v>
      </c>
      <c r="AX14" s="48">
        <f t="shared" si="22"/>
        <v>2114</v>
      </c>
      <c r="AY14" s="50">
        <f t="shared" si="1"/>
        <v>1810</v>
      </c>
      <c r="AZ14" s="50">
        <f t="shared" si="2"/>
        <v>2114</v>
      </c>
      <c r="BA14" s="42">
        <f t="shared" si="3"/>
        <v>2027</v>
      </c>
      <c r="BB14" s="42">
        <f t="shared" si="4"/>
        <v>2153</v>
      </c>
      <c r="BC14" s="42">
        <f t="shared" si="5"/>
        <v>2226</v>
      </c>
      <c r="BD14" s="42">
        <f t="shared" si="6"/>
        <v>2262</v>
      </c>
      <c r="BE14" s="43">
        <f t="shared" si="7"/>
        <v>2262</v>
      </c>
      <c r="BF14" s="43">
        <f t="shared" si="8"/>
        <v>2262</v>
      </c>
      <c r="BG14" s="43">
        <f t="shared" si="9"/>
        <v>2262</v>
      </c>
      <c r="BH14" s="43">
        <f t="shared" si="10"/>
        <v>2262</v>
      </c>
      <c r="BI14" s="43">
        <f t="shared" si="11"/>
        <v>2262</v>
      </c>
      <c r="BJ14" s="44">
        <f t="shared" si="12"/>
        <v>2367</v>
      </c>
      <c r="BK14" s="44">
        <f t="shared" si="13"/>
        <v>2515</v>
      </c>
      <c r="BL14" s="44">
        <f t="shared" si="14"/>
        <v>2600</v>
      </c>
      <c r="BM14" s="44">
        <f t="shared" si="15"/>
        <v>2642</v>
      </c>
      <c r="BN14" s="45">
        <f t="shared" si="16"/>
        <v>2642</v>
      </c>
      <c r="BO14" s="45">
        <f t="shared" si="17"/>
        <v>2642</v>
      </c>
      <c r="BP14" s="45">
        <f t="shared" si="18"/>
        <v>2642</v>
      </c>
      <c r="BQ14" s="45">
        <f t="shared" si="19"/>
        <v>2642</v>
      </c>
      <c r="BR14" s="45">
        <f t="shared" si="20"/>
        <v>2642</v>
      </c>
      <c r="BU14" s="1"/>
    </row>
    <row r="15">
      <c r="A15" s="1"/>
      <c r="B15" s="61" t="s">
        <v>43</v>
      </c>
      <c r="C15" s="8"/>
      <c r="D15" s="8"/>
      <c r="E15" s="8"/>
      <c r="F15" s="8"/>
      <c r="G15" s="8"/>
      <c r="H15" s="8"/>
      <c r="I15" s="8"/>
      <c r="J15" s="8"/>
      <c r="K15" s="8"/>
      <c r="L15" s="8"/>
      <c r="M15" s="8"/>
      <c r="N15" s="8"/>
      <c r="O15" s="9"/>
      <c r="AR15" s="1"/>
      <c r="AS15" s="2"/>
      <c r="AU15" s="40">
        <v>7.0</v>
      </c>
      <c r="AV15" s="40">
        <v>0.0</v>
      </c>
      <c r="AW15" s="49">
        <f t="shared" si="21"/>
        <v>1881</v>
      </c>
      <c r="AX15" s="48">
        <f t="shared" si="22"/>
        <v>2197</v>
      </c>
      <c r="AY15" s="50">
        <f t="shared" si="1"/>
        <v>1881</v>
      </c>
      <c r="AZ15" s="50">
        <f t="shared" si="2"/>
        <v>2197</v>
      </c>
      <c r="BA15" s="42">
        <f t="shared" si="3"/>
        <v>2106</v>
      </c>
      <c r="BB15" s="42">
        <f t="shared" si="4"/>
        <v>2238</v>
      </c>
      <c r="BC15" s="42">
        <f t="shared" si="5"/>
        <v>2313</v>
      </c>
      <c r="BD15" s="42">
        <f t="shared" si="6"/>
        <v>2351</v>
      </c>
      <c r="BE15" s="43">
        <f t="shared" si="7"/>
        <v>2351</v>
      </c>
      <c r="BF15" s="43">
        <f t="shared" si="8"/>
        <v>2351</v>
      </c>
      <c r="BG15" s="43">
        <f t="shared" si="9"/>
        <v>2351</v>
      </c>
      <c r="BH15" s="43">
        <f t="shared" si="10"/>
        <v>2351</v>
      </c>
      <c r="BI15" s="43">
        <f t="shared" si="11"/>
        <v>2351</v>
      </c>
      <c r="BJ15" s="44">
        <f t="shared" si="12"/>
        <v>2460</v>
      </c>
      <c r="BK15" s="44">
        <f t="shared" si="13"/>
        <v>2614</v>
      </c>
      <c r="BL15" s="44">
        <f t="shared" si="14"/>
        <v>2702</v>
      </c>
      <c r="BM15" s="44">
        <f t="shared" si="15"/>
        <v>2746</v>
      </c>
      <c r="BN15" s="45">
        <f t="shared" si="16"/>
        <v>2746</v>
      </c>
      <c r="BO15" s="45">
        <f t="shared" si="17"/>
        <v>2746</v>
      </c>
      <c r="BP15" s="45">
        <f t="shared" si="18"/>
        <v>2746</v>
      </c>
      <c r="BQ15" s="45">
        <f t="shared" si="19"/>
        <v>2746</v>
      </c>
      <c r="BR15" s="45">
        <f t="shared" si="20"/>
        <v>2746</v>
      </c>
      <c r="BU15" s="1"/>
    </row>
    <row r="16">
      <c r="A16" s="1"/>
      <c r="B16" s="59" t="s">
        <v>44</v>
      </c>
      <c r="C16" s="9"/>
      <c r="D16" s="59" t="s">
        <v>45</v>
      </c>
      <c r="E16" s="8"/>
      <c r="F16" s="9"/>
      <c r="G16" s="59" t="s">
        <v>46</v>
      </c>
      <c r="H16" s="8"/>
      <c r="I16" s="9"/>
      <c r="J16" s="59" t="s">
        <v>47</v>
      </c>
      <c r="K16" s="8"/>
      <c r="L16" s="9"/>
      <c r="M16" s="59" t="s">
        <v>48</v>
      </c>
      <c r="N16" s="8"/>
      <c r="O16" s="9"/>
      <c r="AD16" s="1"/>
      <c r="AE16" s="1"/>
      <c r="AF16" s="1"/>
      <c r="AG16" s="1"/>
      <c r="AH16" s="1"/>
      <c r="AI16" s="1"/>
      <c r="AJ16" s="1"/>
      <c r="AK16" s="1"/>
      <c r="AL16" s="1"/>
      <c r="AM16" s="1"/>
      <c r="AN16" s="1"/>
      <c r="AO16" s="1"/>
      <c r="AP16" s="1"/>
      <c r="AQ16" s="1"/>
      <c r="AR16" s="1"/>
      <c r="AS16" s="2"/>
      <c r="AU16" s="40">
        <v>8.0</v>
      </c>
      <c r="AV16" s="40">
        <v>0.0</v>
      </c>
      <c r="AW16" s="49">
        <f t="shared" si="21"/>
        <v>1954</v>
      </c>
      <c r="AX16" s="48">
        <f t="shared" si="22"/>
        <v>2281</v>
      </c>
      <c r="AY16" s="50">
        <f t="shared" si="1"/>
        <v>1954</v>
      </c>
      <c r="AZ16" s="50">
        <f t="shared" si="2"/>
        <v>2281</v>
      </c>
      <c r="BA16" s="42">
        <f t="shared" si="3"/>
        <v>2188</v>
      </c>
      <c r="BB16" s="42">
        <f t="shared" si="4"/>
        <v>2325</v>
      </c>
      <c r="BC16" s="42">
        <f t="shared" si="5"/>
        <v>2403</v>
      </c>
      <c r="BD16" s="42">
        <f t="shared" si="6"/>
        <v>2442</v>
      </c>
      <c r="BE16" s="43">
        <f t="shared" si="7"/>
        <v>2442</v>
      </c>
      <c r="BF16" s="43">
        <f t="shared" si="8"/>
        <v>2442</v>
      </c>
      <c r="BG16" s="43">
        <f t="shared" si="9"/>
        <v>2442</v>
      </c>
      <c r="BH16" s="43">
        <f t="shared" si="10"/>
        <v>2442</v>
      </c>
      <c r="BI16" s="43">
        <f t="shared" si="11"/>
        <v>2442</v>
      </c>
      <c r="BJ16" s="44">
        <f t="shared" si="12"/>
        <v>2554</v>
      </c>
      <c r="BK16" s="44">
        <f t="shared" si="13"/>
        <v>2714</v>
      </c>
      <c r="BL16" s="44">
        <f t="shared" si="14"/>
        <v>2805</v>
      </c>
      <c r="BM16" s="44">
        <f t="shared" si="15"/>
        <v>2851</v>
      </c>
      <c r="BN16" s="45">
        <f t="shared" si="16"/>
        <v>2851</v>
      </c>
      <c r="BO16" s="45">
        <f t="shared" si="17"/>
        <v>2851</v>
      </c>
      <c r="BP16" s="45">
        <f t="shared" si="18"/>
        <v>2851</v>
      </c>
      <c r="BQ16" s="45">
        <f t="shared" si="19"/>
        <v>2851</v>
      </c>
      <c r="BR16" s="45">
        <f t="shared" si="20"/>
        <v>2851</v>
      </c>
      <c r="BU16" s="1"/>
    </row>
    <row r="17">
      <c r="A17" s="1"/>
      <c r="B17" s="62">
        <f>IFERROR(__xludf.DUMMYFUNCTION("IFERROR(
  INDEX(
    IMPORTRANGE(""https://docs.google.com/spreadsheets/d/1tAaChe98Zh7vhMfGMK5Y4_ijmNb40fr519GtdZkkDUY/edit?gid=1369914306#gid=1369914306"", ""キャラ基礎数値!M:M""),
    MATCH(B11, IMPORTRANGE(""https://docs.google.com/spreadsheets/d/1tAaChe98Zh"&amp;"7vhMfGMK5Y4_ijmNb40fr519GtdZkkDUY/edit?gid=1369914306#gid=1369914306"", ""キャラ基礎数値!C:C""), 0)
  ),
  ""該当なし""
)
"),620.0)</f>
        <v>620</v>
      </c>
      <c r="C17" s="9"/>
      <c r="D17" s="63">
        <f>IFERROR(__xludf.DUMMYFUNCTION("IF(
  E13 = ""スペシャル"",
  ""-"",
  IFERROR(
    INDEX(
      IMPORTRANGE(""https://docs.google.com/spreadsheets/d/1tAaChe98Zh7vhMfGMK5Y4_ijmNb40fr519GtdZkkDUY/edit#gid=1369914306"", ""キャラ基礎数値!T:T""),
      MATCH(B11, IMPORTRANGE(""https://docs.google.com/s"&amp;"preadsheets/d/1tAaChe98Zh7vhMfGMK5Y4_ijmNb40fr519GtdZkkDUY/edit#gid=1369914306"", ""キャラ基礎数値!C:C""), 0)
    ),
    ""該当なし""
  )
)
"),545.0)</f>
        <v>545</v>
      </c>
      <c r="E17" s="8"/>
      <c r="F17" s="9"/>
      <c r="G17" s="63">
        <f>IFERROR(__xludf.DUMMYFUNCTION("IFERROR(
  INDEX(
    IMPORTRANGE(""https://docs.google.com/spreadsheets/d/1tAaChe98Zh7vhMfGMK5Y4_ijmNb40fr519GtdZkkDUY/edit#gid=1369914306"", ""キャラ基礎数値!BT:BT""),
    MATCH(B11, IMPORTRANGE(""https://docs.google.com/spreadsheets/d/1tAaChe98Zh7vhMfGMK5Y4_i"&amp;"jmNb40fr519GtdZkkDUY/edit#gid=1369914306"", ""キャラ基礎数値!C:C""), 0)
  ),
  ""該当なし""
)
"),0.29)</f>
        <v>0.29</v>
      </c>
      <c r="H17" s="8"/>
      <c r="I17" s="9"/>
      <c r="J17" s="63">
        <f>IFERROR(__xludf.DUMMYFUNCTION("IFERROR(
  INDEX(
    IMPORTRANGE(""https://docs.google.com/spreadsheets/d/1tAaChe98Zh7vhMfGMK5Y4_ijmNb40fr519GtdZkkDUY/edit#gid=1369914306"", ""キャラ基礎数値!BS:BS""),
    MATCH(B11, IMPORTRANGE(""https://docs.google.com/spreadsheets/d/1tAaChe98Zh7vhMfGMK5Y4_i"&amp;"jmNb40fr519GtdZkkDUY/edit#gid=1369914306"", ""キャラ基礎数値!C:C""), 0)
  ),
  ""該当なし""
)
"),40.0)</f>
        <v>40</v>
      </c>
      <c r="K17" s="8"/>
      <c r="L17" s="9"/>
      <c r="M17" s="63">
        <f>IFERROR(__xludf.DUMMYFUNCTION("IFERROR(
  INDEX(
    IMPORTRANGE(""https://docs.google.com/spreadsheets/d/1tAaChe98Zh7vhMfGMK5Y4_ijmNb40fr519GtdZkkDUY/edit#gid=1369914306"", ""キャラ基礎数値!BR:BR""),
    MATCH(B11, IMPORTRANGE(""https://docs.google.com/spreadsheets/d/1tAaChe98Zh7vhMfGMK5Y4_i"&amp;"jmNb40fr519GtdZkkDUY/edit#gid=1369914306"", ""キャラ基礎数値!C:C""), 0)
  ),
  ""該当なし""
)
"),2.0)</f>
        <v>2</v>
      </c>
      <c r="N17" s="8"/>
      <c r="O17" s="9"/>
      <c r="AD17" s="1"/>
      <c r="AE17" s="1"/>
      <c r="AF17" s="1"/>
      <c r="AG17" s="1"/>
      <c r="AH17" s="1"/>
      <c r="AI17" s="1"/>
      <c r="AJ17" s="1"/>
      <c r="AK17" s="1"/>
      <c r="AL17" s="1"/>
      <c r="AM17" s="1"/>
      <c r="AN17" s="1"/>
      <c r="AO17" s="1"/>
      <c r="AP17" s="1"/>
      <c r="AQ17" s="1"/>
      <c r="AR17" s="1"/>
      <c r="AS17" s="2"/>
      <c r="AU17" s="40">
        <v>9.0</v>
      </c>
      <c r="AV17" s="40">
        <v>0.0</v>
      </c>
      <c r="AW17" s="49">
        <f t="shared" si="21"/>
        <v>2027</v>
      </c>
      <c r="AX17" s="48">
        <f t="shared" si="22"/>
        <v>2367</v>
      </c>
      <c r="AY17" s="50">
        <f t="shared" si="1"/>
        <v>2027</v>
      </c>
      <c r="AZ17" s="50">
        <f t="shared" si="2"/>
        <v>2367</v>
      </c>
      <c r="BA17" s="42">
        <f t="shared" si="3"/>
        <v>2270</v>
      </c>
      <c r="BB17" s="42">
        <f t="shared" si="4"/>
        <v>2412</v>
      </c>
      <c r="BC17" s="42">
        <f t="shared" si="5"/>
        <v>2493</v>
      </c>
      <c r="BD17" s="42">
        <f t="shared" si="6"/>
        <v>2533</v>
      </c>
      <c r="BE17" s="43">
        <f t="shared" si="7"/>
        <v>2533</v>
      </c>
      <c r="BF17" s="43">
        <f t="shared" si="8"/>
        <v>2533</v>
      </c>
      <c r="BG17" s="43">
        <f t="shared" si="9"/>
        <v>2533</v>
      </c>
      <c r="BH17" s="43">
        <f t="shared" si="10"/>
        <v>2533</v>
      </c>
      <c r="BI17" s="43">
        <f t="shared" si="11"/>
        <v>2533</v>
      </c>
      <c r="BJ17" s="44">
        <f t="shared" si="12"/>
        <v>2651</v>
      </c>
      <c r="BK17" s="44">
        <f t="shared" si="13"/>
        <v>2816</v>
      </c>
      <c r="BL17" s="44">
        <f t="shared" si="14"/>
        <v>2911</v>
      </c>
      <c r="BM17" s="44">
        <f t="shared" si="15"/>
        <v>2958</v>
      </c>
      <c r="BN17" s="45">
        <f t="shared" si="16"/>
        <v>2958</v>
      </c>
      <c r="BO17" s="45">
        <f t="shared" si="17"/>
        <v>2958</v>
      </c>
      <c r="BP17" s="45">
        <f t="shared" si="18"/>
        <v>2958</v>
      </c>
      <c r="BQ17" s="45">
        <f t="shared" si="19"/>
        <v>2958</v>
      </c>
      <c r="BR17" s="45">
        <f t="shared" si="20"/>
        <v>2958</v>
      </c>
      <c r="BU17" s="1"/>
    </row>
    <row r="18">
      <c r="A18" s="1"/>
      <c r="B18" s="1"/>
      <c r="C18" s="1"/>
      <c r="D18" s="1"/>
      <c r="E18" s="1"/>
      <c r="F18" s="1"/>
      <c r="G18" s="1"/>
      <c r="H18" s="1"/>
      <c r="I18" s="1"/>
      <c r="J18" s="1"/>
      <c r="K18" s="1"/>
      <c r="L18" s="1"/>
      <c r="M18" s="1"/>
      <c r="N18" s="1"/>
      <c r="O18" s="1"/>
      <c r="P18" s="1"/>
      <c r="AD18" s="1"/>
      <c r="AE18" s="1"/>
      <c r="AF18" s="1"/>
      <c r="AG18" s="1"/>
      <c r="AH18" s="1"/>
      <c r="AI18" s="1"/>
      <c r="AJ18" s="1"/>
      <c r="AK18" s="1"/>
      <c r="AL18" s="1"/>
      <c r="AM18" s="1"/>
      <c r="AN18" s="1"/>
      <c r="AO18" s="1"/>
      <c r="AP18" s="1"/>
      <c r="AQ18" s="1"/>
      <c r="AR18" s="1"/>
      <c r="AS18" s="2"/>
      <c r="AU18" s="64">
        <v>10.0</v>
      </c>
      <c r="AV18" s="40">
        <v>0.0</v>
      </c>
      <c r="AW18" s="49">
        <f t="shared" si="21"/>
        <v>2101</v>
      </c>
      <c r="AX18" s="48">
        <f t="shared" si="22"/>
        <v>2454</v>
      </c>
      <c r="AY18" s="50">
        <f t="shared" si="1"/>
        <v>2101</v>
      </c>
      <c r="AZ18" s="50">
        <f t="shared" si="2"/>
        <v>2454</v>
      </c>
      <c r="BA18" s="42">
        <f t="shared" si="3"/>
        <v>2353</v>
      </c>
      <c r="BB18" s="42">
        <f t="shared" si="4"/>
        <v>2500</v>
      </c>
      <c r="BC18" s="42">
        <f t="shared" si="5"/>
        <v>2584</v>
      </c>
      <c r="BD18" s="42">
        <f t="shared" si="6"/>
        <v>2626</v>
      </c>
      <c r="BE18" s="43">
        <f t="shared" si="7"/>
        <v>2626</v>
      </c>
      <c r="BF18" s="43">
        <f t="shared" si="8"/>
        <v>2626</v>
      </c>
      <c r="BG18" s="43">
        <f t="shared" si="9"/>
        <v>2626</v>
      </c>
      <c r="BH18" s="43">
        <f t="shared" si="10"/>
        <v>2626</v>
      </c>
      <c r="BI18" s="43">
        <f t="shared" si="11"/>
        <v>2626</v>
      </c>
      <c r="BJ18" s="44">
        <f t="shared" si="12"/>
        <v>2748</v>
      </c>
      <c r="BK18" s="44">
        <f t="shared" si="13"/>
        <v>2920</v>
      </c>
      <c r="BL18" s="44">
        <f t="shared" si="14"/>
        <v>3018</v>
      </c>
      <c r="BM18" s="44">
        <f t="shared" si="15"/>
        <v>3067</v>
      </c>
      <c r="BN18" s="45">
        <f t="shared" si="16"/>
        <v>3067</v>
      </c>
      <c r="BO18" s="45">
        <f t="shared" si="17"/>
        <v>3067</v>
      </c>
      <c r="BP18" s="45">
        <f t="shared" si="18"/>
        <v>3067</v>
      </c>
      <c r="BQ18" s="45">
        <f t="shared" si="19"/>
        <v>3067</v>
      </c>
      <c r="BR18" s="45">
        <f t="shared" si="20"/>
        <v>3067</v>
      </c>
      <c r="BU18" s="1"/>
    </row>
    <row r="19">
      <c r="A19" s="1"/>
      <c r="B19" s="65" t="s">
        <v>49</v>
      </c>
      <c r="C19" s="8"/>
      <c r="D19" s="8"/>
      <c r="E19" s="8"/>
      <c r="F19" s="8"/>
      <c r="G19" s="8"/>
      <c r="H19" s="8"/>
      <c r="I19" s="8"/>
      <c r="J19" s="8"/>
      <c r="K19" s="8"/>
      <c r="L19" s="8"/>
      <c r="M19" s="8"/>
      <c r="N19" s="1"/>
      <c r="O19" s="1"/>
      <c r="P19" s="1"/>
      <c r="AP19" s="1"/>
      <c r="AQ19" s="1"/>
      <c r="AR19" s="1"/>
      <c r="AS19" s="2"/>
      <c r="AU19" s="64">
        <v>10.0</v>
      </c>
      <c r="AV19" s="40">
        <v>0.0</v>
      </c>
      <c r="AW19" s="49">
        <f t="shared" si="21"/>
        <v>2101</v>
      </c>
      <c r="AX19" s="48">
        <f t="shared" si="22"/>
        <v>2454</v>
      </c>
      <c r="AY19" s="50">
        <f t="shared" si="1"/>
        <v>2101</v>
      </c>
      <c r="AZ19" s="50">
        <f t="shared" si="2"/>
        <v>2454</v>
      </c>
      <c r="BA19" s="42">
        <f t="shared" si="3"/>
        <v>2353</v>
      </c>
      <c r="BB19" s="42">
        <f t="shared" si="4"/>
        <v>2500</v>
      </c>
      <c r="BC19" s="42">
        <f t="shared" si="5"/>
        <v>2584</v>
      </c>
      <c r="BD19" s="42">
        <f t="shared" si="6"/>
        <v>2626</v>
      </c>
      <c r="BE19" s="43">
        <f t="shared" si="7"/>
        <v>2626</v>
      </c>
      <c r="BF19" s="43">
        <f t="shared" si="8"/>
        <v>2626</v>
      </c>
      <c r="BG19" s="43">
        <f t="shared" si="9"/>
        <v>2626</v>
      </c>
      <c r="BH19" s="43">
        <f t="shared" si="10"/>
        <v>2626</v>
      </c>
      <c r="BI19" s="43">
        <f t="shared" si="11"/>
        <v>2626</v>
      </c>
      <c r="BJ19" s="44">
        <f t="shared" si="12"/>
        <v>2748</v>
      </c>
      <c r="BK19" s="44">
        <f t="shared" si="13"/>
        <v>2920</v>
      </c>
      <c r="BL19" s="44">
        <f t="shared" si="14"/>
        <v>3018</v>
      </c>
      <c r="BM19" s="44">
        <f t="shared" si="15"/>
        <v>3067</v>
      </c>
      <c r="BN19" s="45">
        <f t="shared" si="16"/>
        <v>3067</v>
      </c>
      <c r="BO19" s="45">
        <f t="shared" si="17"/>
        <v>3067</v>
      </c>
      <c r="BP19" s="45">
        <f t="shared" si="18"/>
        <v>3067</v>
      </c>
      <c r="BQ19" s="45">
        <f t="shared" si="19"/>
        <v>3067</v>
      </c>
      <c r="BR19" s="45">
        <f t="shared" si="20"/>
        <v>3067</v>
      </c>
      <c r="BU19" s="1"/>
    </row>
    <row r="20">
      <c r="A20" s="1"/>
      <c r="B20" s="66" t="s">
        <v>50</v>
      </c>
      <c r="C20" s="8"/>
      <c r="D20" s="8"/>
      <c r="E20" s="66" t="s">
        <v>51</v>
      </c>
      <c r="F20" s="8"/>
      <c r="G20" s="8"/>
      <c r="H20" s="66" t="s">
        <v>52</v>
      </c>
      <c r="I20" s="8"/>
      <c r="J20" s="9"/>
      <c r="K20" s="66" t="s">
        <v>53</v>
      </c>
      <c r="L20" s="8"/>
      <c r="M20" s="9"/>
      <c r="N20" s="1"/>
      <c r="O20" s="1"/>
      <c r="P20" s="1"/>
      <c r="AP20" s="1"/>
      <c r="AQ20" s="1"/>
      <c r="AR20" s="1"/>
      <c r="AS20" s="2"/>
      <c r="AU20" s="40">
        <v>11.0</v>
      </c>
      <c r="AV20" s="40">
        <v>0.0</v>
      </c>
      <c r="AW20" s="49">
        <f t="shared" si="21"/>
        <v>2176</v>
      </c>
      <c r="AX20" s="48">
        <f t="shared" si="22"/>
        <v>2542</v>
      </c>
      <c r="AY20" s="50">
        <f t="shared" si="1"/>
        <v>2176</v>
      </c>
      <c r="AZ20" s="50">
        <f t="shared" si="2"/>
        <v>2542</v>
      </c>
      <c r="BA20" s="42">
        <f t="shared" si="3"/>
        <v>2437</v>
      </c>
      <c r="BB20" s="42">
        <f t="shared" si="4"/>
        <v>2589</v>
      </c>
      <c r="BC20" s="42">
        <f t="shared" si="5"/>
        <v>2676</v>
      </c>
      <c r="BD20" s="42">
        <f t="shared" si="6"/>
        <v>2720</v>
      </c>
      <c r="BE20" s="43">
        <f t="shared" si="7"/>
        <v>2720</v>
      </c>
      <c r="BF20" s="43">
        <f t="shared" si="8"/>
        <v>2720</v>
      </c>
      <c r="BG20" s="43">
        <f t="shared" si="9"/>
        <v>2720</v>
      </c>
      <c r="BH20" s="43">
        <f t="shared" si="10"/>
        <v>2720</v>
      </c>
      <c r="BI20" s="43">
        <f t="shared" si="11"/>
        <v>2720</v>
      </c>
      <c r="BJ20" s="44">
        <f t="shared" si="12"/>
        <v>2847</v>
      </c>
      <c r="BK20" s="44">
        <f t="shared" si="13"/>
        <v>3024</v>
      </c>
      <c r="BL20" s="44">
        <f t="shared" si="14"/>
        <v>3126</v>
      </c>
      <c r="BM20" s="44">
        <f t="shared" si="15"/>
        <v>3177</v>
      </c>
      <c r="BN20" s="45">
        <f t="shared" si="16"/>
        <v>3177</v>
      </c>
      <c r="BO20" s="45">
        <f t="shared" si="17"/>
        <v>3177</v>
      </c>
      <c r="BP20" s="45">
        <f t="shared" si="18"/>
        <v>3177</v>
      </c>
      <c r="BQ20" s="45">
        <f t="shared" si="19"/>
        <v>3177</v>
      </c>
      <c r="BR20" s="45">
        <f t="shared" si="20"/>
        <v>3177</v>
      </c>
      <c r="BU20" s="1"/>
    </row>
    <row r="21">
      <c r="A21" s="1"/>
      <c r="B21" s="57">
        <f>IFERROR(__xludf.DUMMYFUNCTION("IF(
  E13 = ""スペシャル"",
  ""-"",
  IFERROR(
    INDEX(
      IMPORTRANGE(""https://docs.google.com/spreadsheets/d/1tAaChe98Zh7vhMfGMK5Y4_ijmNb40fr519GtdZkkDUY/edit#gid=1369914306"", ""キャラ基礎数値!AL:AL""),
      MATCH(B11, IMPORTRANGE(""https://docs.google.com"&amp;"/spreadsheets/d/1tAaChe98Zh7vhMfGMK5Y4_ijmNb40fr519GtdZkkDUY/edit#gid=1369914306"", ""キャラ基礎数値!C:C""), 0)
    ),
    ""該当なし""
  )
)
"),1490.0)</f>
        <v>1490</v>
      </c>
      <c r="C21" s="8"/>
      <c r="D21" s="9"/>
      <c r="E21" s="67">
        <f>IF(E13 = "スペシャル", "-", B21 * 10)
</f>
        <v>14900</v>
      </c>
      <c r="F21" s="8"/>
      <c r="G21" s="9"/>
      <c r="H21" s="67">
        <f>IFERROR(__xludf.DUMMYFUNCTION("IF(
  E13 = ""スペシャル"",
  ""-"",
  IFERROR(
    INDEX(
      IMPORTRANGE(""https://docs.google.com/spreadsheets/d/1tAaChe98Zh7vhMfGMK5Y4_ijmNb40fr519GtdZkkDUY/edit#gid=1369914306"", ""キャラ基礎数値!AX:AX""),
      MATCH(B11, IMPORTRANGE(""https://docs.google.com"&amp;"/spreadsheets/d/1tAaChe98Zh7vhMfGMK5Y4_ijmNb40fr519GtdZkkDUY/edit#gid=1369914306"", ""キャラ基礎数値!C:C""), 0)
    ),
    ""該当なし""
  )
)
"),1740.0)</f>
        <v>1740</v>
      </c>
      <c r="I21" s="8"/>
      <c r="J21" s="9"/>
      <c r="K21" s="67">
        <f>IF(E13 = "スペシャル", "-", H21 * 10)
</f>
        <v>17400</v>
      </c>
      <c r="L21" s="8"/>
      <c r="M21" s="9"/>
      <c r="N21" s="1"/>
      <c r="O21" s="1"/>
      <c r="P21" s="1"/>
      <c r="AD21" s="1"/>
      <c r="AE21" s="1"/>
      <c r="AF21" s="1"/>
      <c r="AG21" s="1"/>
      <c r="AH21" s="1"/>
      <c r="AI21" s="1"/>
      <c r="AJ21" s="1"/>
      <c r="AK21" s="1"/>
      <c r="AL21" s="1"/>
      <c r="AM21" s="1"/>
      <c r="AN21" s="1"/>
      <c r="AO21" s="1"/>
      <c r="AP21" s="1"/>
      <c r="AQ21" s="1"/>
      <c r="AR21" s="1"/>
      <c r="AS21" s="2"/>
      <c r="AU21" s="40">
        <v>12.0</v>
      </c>
      <c r="AV21" s="40">
        <v>0.0</v>
      </c>
      <c r="AW21" s="49">
        <f t="shared" si="21"/>
        <v>2252</v>
      </c>
      <c r="AX21" s="48">
        <f t="shared" si="22"/>
        <v>2630</v>
      </c>
      <c r="AY21" s="50">
        <f t="shared" si="1"/>
        <v>2252</v>
      </c>
      <c r="AZ21" s="50">
        <f t="shared" si="2"/>
        <v>2630</v>
      </c>
      <c r="BA21" s="42">
        <f t="shared" si="3"/>
        <v>2522</v>
      </c>
      <c r="BB21" s="42">
        <f t="shared" si="4"/>
        <v>2679</v>
      </c>
      <c r="BC21" s="42">
        <f t="shared" si="5"/>
        <v>2769</v>
      </c>
      <c r="BD21" s="42">
        <f t="shared" si="6"/>
        <v>2815</v>
      </c>
      <c r="BE21" s="43">
        <f t="shared" si="7"/>
        <v>2815</v>
      </c>
      <c r="BF21" s="43">
        <f t="shared" si="8"/>
        <v>2815</v>
      </c>
      <c r="BG21" s="43">
        <f t="shared" si="9"/>
        <v>2815</v>
      </c>
      <c r="BH21" s="43">
        <f t="shared" si="10"/>
        <v>2815</v>
      </c>
      <c r="BI21" s="43">
        <f t="shared" si="11"/>
        <v>2815</v>
      </c>
      <c r="BJ21" s="44">
        <f t="shared" si="12"/>
        <v>2945</v>
      </c>
      <c r="BK21" s="44">
        <f t="shared" si="13"/>
        <v>3129</v>
      </c>
      <c r="BL21" s="44">
        <f t="shared" si="14"/>
        <v>3234</v>
      </c>
      <c r="BM21" s="44">
        <f t="shared" si="15"/>
        <v>3287</v>
      </c>
      <c r="BN21" s="45">
        <f t="shared" si="16"/>
        <v>3287</v>
      </c>
      <c r="BO21" s="45">
        <f t="shared" si="17"/>
        <v>3287</v>
      </c>
      <c r="BP21" s="45">
        <f t="shared" si="18"/>
        <v>3287</v>
      </c>
      <c r="BQ21" s="45">
        <f t="shared" si="19"/>
        <v>3287</v>
      </c>
      <c r="BR21" s="45">
        <f t="shared" si="20"/>
        <v>3287</v>
      </c>
      <c r="BU21" s="1"/>
    </row>
    <row r="22">
      <c r="A22" s="1"/>
      <c r="B22" s="1"/>
      <c r="C22" s="1"/>
      <c r="D22" s="1"/>
      <c r="E22" s="1"/>
      <c r="F22" s="1"/>
      <c r="G22" s="1"/>
      <c r="H22" s="1"/>
      <c r="I22" s="1"/>
      <c r="J22" s="1"/>
      <c r="K22" s="1"/>
      <c r="L22" s="1"/>
      <c r="M22" s="1"/>
      <c r="N22" s="1"/>
      <c r="O22" s="1"/>
      <c r="P22" s="1"/>
      <c r="AD22" s="1"/>
      <c r="AE22" s="1"/>
      <c r="AF22" s="1"/>
      <c r="AG22" s="1"/>
      <c r="AH22" s="1"/>
      <c r="AI22" s="1"/>
      <c r="AJ22" s="1"/>
      <c r="AK22" s="1"/>
      <c r="AL22" s="1"/>
      <c r="AM22" s="1"/>
      <c r="AN22" s="1"/>
      <c r="AO22" s="1"/>
      <c r="AP22" s="1"/>
      <c r="AQ22" s="1"/>
      <c r="AR22" s="1"/>
      <c r="AS22" s="2"/>
      <c r="AU22" s="40">
        <v>13.0</v>
      </c>
      <c r="AV22" s="40">
        <v>0.0</v>
      </c>
      <c r="AW22" s="49">
        <f t="shared" si="21"/>
        <v>2329</v>
      </c>
      <c r="AX22" s="48">
        <f t="shared" si="22"/>
        <v>2720</v>
      </c>
      <c r="AY22" s="50">
        <f t="shared" si="1"/>
        <v>2329</v>
      </c>
      <c r="AZ22" s="50">
        <f t="shared" si="2"/>
        <v>2720</v>
      </c>
      <c r="BA22" s="42">
        <f t="shared" si="3"/>
        <v>2608</v>
      </c>
      <c r="BB22" s="42">
        <f t="shared" si="4"/>
        <v>2771</v>
      </c>
      <c r="BC22" s="42">
        <f t="shared" si="5"/>
        <v>2864</v>
      </c>
      <c r="BD22" s="42">
        <f t="shared" si="6"/>
        <v>2911</v>
      </c>
      <c r="BE22" s="43">
        <f t="shared" si="7"/>
        <v>2911</v>
      </c>
      <c r="BF22" s="43">
        <f t="shared" si="8"/>
        <v>2911</v>
      </c>
      <c r="BG22" s="43">
        <f t="shared" si="9"/>
        <v>2911</v>
      </c>
      <c r="BH22" s="43">
        <f t="shared" si="10"/>
        <v>2911</v>
      </c>
      <c r="BI22" s="43">
        <f t="shared" si="11"/>
        <v>2911</v>
      </c>
      <c r="BJ22" s="44">
        <f t="shared" si="12"/>
        <v>3046</v>
      </c>
      <c r="BK22" s="44">
        <f t="shared" si="13"/>
        <v>3236</v>
      </c>
      <c r="BL22" s="44">
        <f t="shared" si="14"/>
        <v>3345</v>
      </c>
      <c r="BM22" s="44">
        <f t="shared" si="15"/>
        <v>3400</v>
      </c>
      <c r="BN22" s="45">
        <f t="shared" si="16"/>
        <v>3400</v>
      </c>
      <c r="BO22" s="45">
        <f t="shared" si="17"/>
        <v>3400</v>
      </c>
      <c r="BP22" s="45">
        <f t="shared" si="18"/>
        <v>3400</v>
      </c>
      <c r="BQ22" s="45">
        <f t="shared" si="19"/>
        <v>3400</v>
      </c>
      <c r="BR22" s="45">
        <f t="shared" si="20"/>
        <v>3400</v>
      </c>
      <c r="BU22" s="1"/>
    </row>
    <row r="23">
      <c r="A23" s="1"/>
      <c r="B23" s="68" t="s">
        <v>54</v>
      </c>
      <c r="C23" s="8"/>
      <c r="D23" s="8"/>
      <c r="E23" s="8"/>
      <c r="F23" s="8"/>
      <c r="G23" s="8"/>
      <c r="H23" s="8"/>
      <c r="I23" s="68" t="s">
        <v>55</v>
      </c>
      <c r="J23" s="9"/>
      <c r="K23" s="68" t="s">
        <v>56</v>
      </c>
      <c r="L23" s="9"/>
      <c r="M23" s="68" t="s">
        <v>57</v>
      </c>
      <c r="N23" s="9"/>
      <c r="AA23" s="1"/>
      <c r="AB23" s="1"/>
      <c r="AC23" s="1"/>
      <c r="AD23" s="1"/>
      <c r="AE23" s="1"/>
      <c r="AF23" s="1"/>
      <c r="AG23" s="1"/>
      <c r="AH23" s="1"/>
      <c r="AI23" s="1"/>
      <c r="AJ23" s="1"/>
      <c r="AK23" s="1"/>
      <c r="AL23" s="1"/>
      <c r="AM23" s="1"/>
      <c r="AN23" s="1"/>
      <c r="AO23" s="1"/>
      <c r="AP23" s="1"/>
      <c r="AQ23" s="1"/>
      <c r="AR23" s="1"/>
      <c r="AS23" s="2"/>
      <c r="AU23" s="40">
        <v>14.0</v>
      </c>
      <c r="AV23" s="40">
        <v>0.0</v>
      </c>
      <c r="AW23" s="49">
        <f t="shared" si="21"/>
        <v>2406</v>
      </c>
      <c r="AX23" s="48">
        <f t="shared" si="22"/>
        <v>2810</v>
      </c>
      <c r="AY23" s="50">
        <f t="shared" si="1"/>
        <v>2406</v>
      </c>
      <c r="AZ23" s="50">
        <f t="shared" si="2"/>
        <v>2810</v>
      </c>
      <c r="BA23" s="42">
        <f t="shared" si="3"/>
        <v>2694</v>
      </c>
      <c r="BB23" s="42">
        <f t="shared" si="4"/>
        <v>2863</v>
      </c>
      <c r="BC23" s="42">
        <f t="shared" si="5"/>
        <v>2959</v>
      </c>
      <c r="BD23" s="42">
        <f t="shared" si="6"/>
        <v>3007</v>
      </c>
      <c r="BE23" s="43">
        <f t="shared" si="7"/>
        <v>3007</v>
      </c>
      <c r="BF23" s="43">
        <f t="shared" si="8"/>
        <v>3007</v>
      </c>
      <c r="BG23" s="43">
        <f t="shared" si="9"/>
        <v>3007</v>
      </c>
      <c r="BH23" s="43">
        <f t="shared" si="10"/>
        <v>3007</v>
      </c>
      <c r="BI23" s="43">
        <f t="shared" si="11"/>
        <v>3007</v>
      </c>
      <c r="BJ23" s="44">
        <f t="shared" si="12"/>
        <v>3147</v>
      </c>
      <c r="BK23" s="44">
        <f t="shared" si="13"/>
        <v>3343</v>
      </c>
      <c r="BL23" s="44">
        <f t="shared" si="14"/>
        <v>3456</v>
      </c>
      <c r="BM23" s="44">
        <f t="shared" si="15"/>
        <v>3512</v>
      </c>
      <c r="BN23" s="45">
        <f t="shared" si="16"/>
        <v>3512</v>
      </c>
      <c r="BO23" s="45">
        <f t="shared" si="17"/>
        <v>3512</v>
      </c>
      <c r="BP23" s="45">
        <f t="shared" si="18"/>
        <v>3512</v>
      </c>
      <c r="BQ23" s="45">
        <f t="shared" si="19"/>
        <v>3512</v>
      </c>
      <c r="BR23" s="45">
        <f t="shared" si="20"/>
        <v>3512</v>
      </c>
      <c r="BU23" s="1"/>
    </row>
    <row r="24">
      <c r="A24" s="1"/>
      <c r="B24" s="63">
        <v>1.0</v>
      </c>
      <c r="C24" s="54" t="str">
        <f>IFERROR(__xludf.DUMMYFUNCTION("IFERROR(
  INDEX(
    IMPORTRANGE(""https://docs.google.com/spreadsheets/d/1tAaChe98Zh7vhMfGMK5Y4_ijmNb40fr519GtdZkkDUY/edit#gid=1369914306"", ""キャラ基礎数値!BW:BW""),
    MATCH(B11, IMPORTRANGE(""https://docs.google.com/spreadsheets/d/1tAaChe98Zh7vhMfGMK5Y4_i"&amp;"jmNb40fr519GtdZkkDUY/edit#gid=1369914306"", ""キャラ基礎数値!C:C""), 0)
  ),
  ""該当なし""
)
"),"攻撃UPコマ効果UP")</f>
        <v>攻撃UPコマ効果UP</v>
      </c>
      <c r="D24" s="8"/>
      <c r="E24" s="8"/>
      <c r="F24" s="8"/>
      <c r="G24" s="8"/>
      <c r="H24" s="8"/>
      <c r="I24" s="54">
        <f>IFERROR(__xludf.DUMMYFUNCTION("IFERROR(
  INDEX(
    IMPORTRANGE(""https://docs.google.com/spreadsheets/d/1tAaChe98Zh7vhMfGMK5Y4_ijmNb40fr519GtdZkkDUY/edit#gid=1369914306"", ""キャラ基礎数値!BX:BX""),
    MATCH($B$11, IMPORTRANGE(""https://docs.google.com/spreadsheets/d/1tAaChe98Zh7vhMfGMK5Y4"&amp;"_ijmNb40fr519GtdZkkDUY/edit#gid=1369914306"", ""キャラ基礎数値!C:C""), 0)
  ),
  ""該当なし""
)
"),20.0)</f>
        <v>20</v>
      </c>
      <c r="J24" s="9"/>
      <c r="K24" s="69">
        <f>IFERROR(__xludf.DUMMYFUNCTION("IFERROR(
  INDEX(
    IMPORTRANGE(""https://docs.google.com/spreadsheets/d/1tAaChe98Zh7vhMfGMK5Y4_ijmNb40fr519GtdZkkDUY/edit#gid=1369914306"", ""キャラ基礎数値!BY:BY""),
    MATCH($B$11, IMPORTRANGE(""https://docs.google.com/spreadsheets/d/1tAaChe98Zh7vhMfGMK5Y4"&amp;"_ijmNb40fr519GtdZkkDUY/edit#gid=1369914306"", ""キャラ基礎数値!C:C""), 0)
  ),
  ""該当なし""
)
"),0.0)</f>
        <v>0</v>
      </c>
      <c r="L24" s="9"/>
      <c r="M24" s="70">
        <f t="array" ref="M24">INDEX('参照ランク'!C2:C9,MATCH(K24,'参照ランク'!B2:B9))</f>
        <v>0</v>
      </c>
      <c r="N24" s="9"/>
      <c r="AA24" s="1"/>
      <c r="AB24" s="1"/>
      <c r="AC24" s="1"/>
      <c r="AD24" s="1"/>
      <c r="AE24" s="1"/>
      <c r="AF24" s="1"/>
      <c r="AG24" s="1"/>
      <c r="AH24" s="1"/>
      <c r="AI24" s="1"/>
      <c r="AJ24" s="1"/>
      <c r="AK24" s="1"/>
      <c r="AL24" s="1"/>
      <c r="AM24" s="1"/>
      <c r="AN24" s="1"/>
      <c r="AO24" s="1"/>
      <c r="AP24" s="1"/>
      <c r="AQ24" s="1"/>
      <c r="AR24" s="1"/>
      <c r="AS24" s="2"/>
      <c r="AU24" s="40">
        <v>15.0</v>
      </c>
      <c r="AV24" s="40">
        <v>0.0</v>
      </c>
      <c r="AW24" s="49">
        <f t="shared" si="21"/>
        <v>2484</v>
      </c>
      <c r="AX24" s="48">
        <f t="shared" si="22"/>
        <v>2901</v>
      </c>
      <c r="AY24" s="50">
        <f t="shared" si="1"/>
        <v>2484</v>
      </c>
      <c r="AZ24" s="50">
        <f t="shared" si="2"/>
        <v>2901</v>
      </c>
      <c r="BA24" s="42">
        <f t="shared" si="3"/>
        <v>2782</v>
      </c>
      <c r="BB24" s="42">
        <f t="shared" si="4"/>
        <v>2955</v>
      </c>
      <c r="BC24" s="42">
        <f t="shared" si="5"/>
        <v>3055</v>
      </c>
      <c r="BD24" s="42">
        <f t="shared" si="6"/>
        <v>3105</v>
      </c>
      <c r="BE24" s="43">
        <f t="shared" si="7"/>
        <v>3105</v>
      </c>
      <c r="BF24" s="43">
        <f t="shared" si="8"/>
        <v>3105</v>
      </c>
      <c r="BG24" s="43">
        <f t="shared" si="9"/>
        <v>3105</v>
      </c>
      <c r="BH24" s="43">
        <f t="shared" si="10"/>
        <v>3105</v>
      </c>
      <c r="BI24" s="43">
        <f t="shared" si="11"/>
        <v>3105</v>
      </c>
      <c r="BJ24" s="44">
        <f t="shared" si="12"/>
        <v>3249</v>
      </c>
      <c r="BK24" s="44">
        <f t="shared" si="13"/>
        <v>3452</v>
      </c>
      <c r="BL24" s="44">
        <f t="shared" si="14"/>
        <v>3568</v>
      </c>
      <c r="BM24" s="44">
        <f t="shared" si="15"/>
        <v>3626</v>
      </c>
      <c r="BN24" s="45">
        <f t="shared" si="16"/>
        <v>3626</v>
      </c>
      <c r="BO24" s="45">
        <f t="shared" si="17"/>
        <v>3626</v>
      </c>
      <c r="BP24" s="45">
        <f t="shared" si="18"/>
        <v>3626</v>
      </c>
      <c r="BQ24" s="45">
        <f t="shared" si="19"/>
        <v>3626</v>
      </c>
      <c r="BR24" s="45">
        <f t="shared" si="20"/>
        <v>3626</v>
      </c>
      <c r="BU24" s="1"/>
    </row>
    <row r="25">
      <c r="A25" s="1"/>
      <c r="B25" s="63">
        <v>2.0</v>
      </c>
      <c r="C25" s="54" t="str">
        <f>IFERROR(__xludf.DUMMYFUNCTION("IFERROR(
  INDEX(
    IMPORTRANGE(""https://docs.google.com/spreadsheets/d/1tAaChe98Zh7vhMfGMK5Y4_ijmNb40fr519GtdZkkDUY/edit#gid=1369914306"", ""キャラ基礎数値!BZ:BZ""),
    MATCH(B11, IMPORTRANGE(""https://docs.google.com/spreadsheets/d/1tAaChe98Zh7vhMfGMK5Y4_i"&amp;"jmNb40fr519GtdZkkDUY/edit#gid=1369914306"", ""キャラ基礎数値!C:C""), 0)
  ),
  ""該当なし""
)
"),"-")</f>
        <v>-</v>
      </c>
      <c r="D25" s="8"/>
      <c r="E25" s="8"/>
      <c r="F25" s="8"/>
      <c r="G25" s="8"/>
      <c r="H25" s="8"/>
      <c r="I25" s="54" t="str">
        <f>IFERROR(__xludf.DUMMYFUNCTION("IFERROR(
  INDEX(
    IMPORTRANGE(""https://docs.google.com/spreadsheets/d/1tAaChe98Zh7vhMfGMK5Y4_ijmNb40fr519GtdZkkDUY/edit#gid=1369914306"", ""キャラ基礎数値!CA:CA""),
    MATCH($B$11, IMPORTRANGE(""https://docs.google.com/spreadsheets/d/1tAaChe98Zh7vhMfGMK5Y4"&amp;"_ijmNb40fr519GtdZkkDUY/edit#gid=1369914306"", ""キャラ基礎数値!C:C""), 0)
  ),
  ""該当なし""
)
"),"-")</f>
        <v>-</v>
      </c>
      <c r="J25" s="9"/>
      <c r="K25" s="69" t="str">
        <f>IFERROR(__xludf.DUMMYFUNCTION("IFERROR(
  INDEX(
    IMPORTRANGE(""https://docs.google.com/spreadsheets/d/1tAaChe98Zh7vhMfGMK5Y4_ijmNb40fr519GtdZkkDUY/edit#gid=1369914306"", ""キャラ基礎数値!CB:CB""),
    MATCH($B$11, IMPORTRANGE(""https://docs.google.com/spreadsheets/d/1tAaChe98Zh7vhMfGMK5Y4"&amp;"_ijmNb40fr519GtdZkkDUY/edit#gid=1369914306"", ""キャラ基礎数値!C:C""), 0)
  ),
  ""該当なし""
)
"),"-")</f>
        <v>-</v>
      </c>
      <c r="L25" s="9"/>
      <c r="M25" s="70" t="str">
        <f t="array" ref="M25">INDEX('参照ランク'!C3:C10,MATCH(K25,'参照ランク'!B3:B10))</f>
        <v>#N/A</v>
      </c>
      <c r="N25" s="9"/>
      <c r="AA25" s="1"/>
      <c r="AB25" s="1"/>
      <c r="AC25" s="1"/>
      <c r="AD25" s="1"/>
      <c r="AE25" s="1"/>
      <c r="AF25" s="1"/>
      <c r="AG25" s="1"/>
      <c r="AH25" s="1"/>
      <c r="AI25" s="1"/>
      <c r="AJ25" s="1"/>
      <c r="AK25" s="1"/>
      <c r="AL25" s="1"/>
      <c r="AM25" s="1"/>
      <c r="AN25" s="1"/>
      <c r="AO25" s="1"/>
      <c r="AP25" s="1"/>
      <c r="AQ25" s="1"/>
      <c r="AR25" s="1"/>
      <c r="AS25" s="2"/>
      <c r="AU25" s="40">
        <v>16.0</v>
      </c>
      <c r="AV25" s="40">
        <v>0.0</v>
      </c>
      <c r="AW25" s="49">
        <f t="shared" si="21"/>
        <v>2563</v>
      </c>
      <c r="AX25" s="48">
        <f t="shared" si="22"/>
        <v>2993</v>
      </c>
      <c r="AY25" s="50">
        <f t="shared" si="1"/>
        <v>2563</v>
      </c>
      <c r="AZ25" s="50">
        <f t="shared" si="2"/>
        <v>2993</v>
      </c>
      <c r="BA25" s="42">
        <f t="shared" si="3"/>
        <v>2870</v>
      </c>
      <c r="BB25" s="42">
        <f t="shared" si="4"/>
        <v>3049</v>
      </c>
      <c r="BC25" s="42">
        <f t="shared" si="5"/>
        <v>3152</v>
      </c>
      <c r="BD25" s="42">
        <f t="shared" si="6"/>
        <v>3203</v>
      </c>
      <c r="BE25" s="43">
        <f t="shared" si="7"/>
        <v>3203</v>
      </c>
      <c r="BF25" s="43">
        <f t="shared" si="8"/>
        <v>3203</v>
      </c>
      <c r="BG25" s="43">
        <f t="shared" si="9"/>
        <v>3203</v>
      </c>
      <c r="BH25" s="43">
        <f t="shared" si="10"/>
        <v>3203</v>
      </c>
      <c r="BI25" s="43">
        <f t="shared" si="11"/>
        <v>3203</v>
      </c>
      <c r="BJ25" s="44">
        <f t="shared" si="12"/>
        <v>3352</v>
      </c>
      <c r="BK25" s="44">
        <f t="shared" si="13"/>
        <v>3561</v>
      </c>
      <c r="BL25" s="44">
        <f t="shared" si="14"/>
        <v>3681</v>
      </c>
      <c r="BM25" s="44">
        <f t="shared" si="15"/>
        <v>3741</v>
      </c>
      <c r="BN25" s="45">
        <f t="shared" si="16"/>
        <v>3741</v>
      </c>
      <c r="BO25" s="45">
        <f t="shared" si="17"/>
        <v>3741</v>
      </c>
      <c r="BP25" s="45">
        <f t="shared" si="18"/>
        <v>3741</v>
      </c>
      <c r="BQ25" s="45">
        <f t="shared" si="19"/>
        <v>3741</v>
      </c>
      <c r="BR25" s="45">
        <f t="shared" si="20"/>
        <v>3741</v>
      </c>
      <c r="BU25" s="1"/>
    </row>
    <row r="26">
      <c r="A26" s="1"/>
      <c r="B26" s="63">
        <v>3.0</v>
      </c>
      <c r="C26" s="54" t="s">
        <v>58</v>
      </c>
      <c r="D26" s="8"/>
      <c r="E26" s="8"/>
      <c r="F26" s="8"/>
      <c r="G26" s="8"/>
      <c r="H26" s="8"/>
      <c r="I26" s="54" t="s">
        <v>58</v>
      </c>
      <c r="J26" s="9"/>
      <c r="K26" s="54" t="s">
        <v>58</v>
      </c>
      <c r="L26" s="9"/>
      <c r="M26" s="70" t="str">
        <f t="array" ref="M26">INDEX('参照ランク'!C4:C11,MATCH(K26,'参照ランク'!B4:B11))</f>
        <v>#N/A</v>
      </c>
      <c r="N26" s="9"/>
      <c r="AA26" s="1"/>
      <c r="AB26" s="1"/>
      <c r="AC26" s="1"/>
      <c r="AD26" s="1"/>
      <c r="AE26" s="1"/>
      <c r="AF26" s="1"/>
      <c r="AG26" s="1"/>
      <c r="AH26" s="1"/>
      <c r="AI26" s="1"/>
      <c r="AJ26" s="1"/>
      <c r="AK26" s="1"/>
      <c r="AL26" s="1"/>
      <c r="AM26" s="1"/>
      <c r="AN26" s="1"/>
      <c r="AO26" s="1"/>
      <c r="AP26" s="1"/>
      <c r="AQ26" s="1"/>
      <c r="AR26" s="1"/>
      <c r="AS26" s="2"/>
      <c r="AU26" s="40">
        <v>17.0</v>
      </c>
      <c r="AV26" s="40">
        <v>0.0</v>
      </c>
      <c r="AW26" s="49">
        <f t="shared" si="21"/>
        <v>2642</v>
      </c>
      <c r="AX26" s="48">
        <f t="shared" si="22"/>
        <v>3085</v>
      </c>
      <c r="AY26" s="50">
        <f t="shared" si="1"/>
        <v>2642</v>
      </c>
      <c r="AZ26" s="50">
        <f t="shared" si="2"/>
        <v>3085</v>
      </c>
      <c r="BA26" s="42">
        <f t="shared" si="3"/>
        <v>2959</v>
      </c>
      <c r="BB26" s="42">
        <f t="shared" si="4"/>
        <v>3143</v>
      </c>
      <c r="BC26" s="42">
        <f t="shared" si="5"/>
        <v>3249</v>
      </c>
      <c r="BD26" s="42">
        <f t="shared" si="6"/>
        <v>3302</v>
      </c>
      <c r="BE26" s="43">
        <f t="shared" si="7"/>
        <v>3302</v>
      </c>
      <c r="BF26" s="43">
        <f t="shared" si="8"/>
        <v>3302</v>
      </c>
      <c r="BG26" s="43">
        <f t="shared" si="9"/>
        <v>3302</v>
      </c>
      <c r="BH26" s="43">
        <f t="shared" si="10"/>
        <v>3302</v>
      </c>
      <c r="BI26" s="43">
        <f t="shared" si="11"/>
        <v>3302</v>
      </c>
      <c r="BJ26" s="44">
        <f t="shared" si="12"/>
        <v>3455</v>
      </c>
      <c r="BK26" s="44">
        <f t="shared" si="13"/>
        <v>3671</v>
      </c>
      <c r="BL26" s="44">
        <f t="shared" si="14"/>
        <v>3794</v>
      </c>
      <c r="BM26" s="44">
        <f t="shared" si="15"/>
        <v>3856</v>
      </c>
      <c r="BN26" s="45">
        <f t="shared" si="16"/>
        <v>3856</v>
      </c>
      <c r="BO26" s="45">
        <f t="shared" si="17"/>
        <v>3856</v>
      </c>
      <c r="BP26" s="45">
        <f t="shared" si="18"/>
        <v>3856</v>
      </c>
      <c r="BQ26" s="45">
        <f t="shared" si="19"/>
        <v>3856</v>
      </c>
      <c r="BR26" s="45">
        <f t="shared" si="20"/>
        <v>3856</v>
      </c>
      <c r="BU26" s="1"/>
    </row>
    <row r="27">
      <c r="A27" s="1"/>
      <c r="O27" s="5" t="s">
        <v>59</v>
      </c>
      <c r="AA27" s="1"/>
      <c r="AB27" s="1"/>
      <c r="AC27" s="1"/>
      <c r="AD27" s="1"/>
      <c r="AE27" s="1"/>
      <c r="AF27" s="1"/>
      <c r="AG27" s="1"/>
      <c r="AH27" s="1"/>
      <c r="AI27" s="1"/>
      <c r="AJ27" s="1"/>
      <c r="AK27" s="1"/>
      <c r="AL27" s="1"/>
      <c r="AM27" s="1"/>
      <c r="AN27" s="1"/>
      <c r="AO27" s="1"/>
      <c r="AP27" s="1"/>
      <c r="AQ27" s="1"/>
      <c r="AR27" s="1"/>
      <c r="AS27" s="2"/>
      <c r="AU27" s="40">
        <v>18.0</v>
      </c>
      <c r="AV27" s="40">
        <v>0.0</v>
      </c>
      <c r="AW27" s="49">
        <f t="shared" si="21"/>
        <v>2721</v>
      </c>
      <c r="AX27" s="48">
        <f t="shared" si="22"/>
        <v>3178</v>
      </c>
      <c r="AY27" s="50">
        <f t="shared" si="1"/>
        <v>2721</v>
      </c>
      <c r="AZ27" s="50">
        <f t="shared" si="2"/>
        <v>3178</v>
      </c>
      <c r="BA27" s="42">
        <f t="shared" si="3"/>
        <v>3047</v>
      </c>
      <c r="BB27" s="42">
        <f t="shared" si="4"/>
        <v>3237</v>
      </c>
      <c r="BC27" s="42">
        <f t="shared" si="5"/>
        <v>3346</v>
      </c>
      <c r="BD27" s="42">
        <f t="shared" si="6"/>
        <v>3401</v>
      </c>
      <c r="BE27" s="43">
        <f t="shared" si="7"/>
        <v>3401</v>
      </c>
      <c r="BF27" s="43">
        <f t="shared" si="8"/>
        <v>3401</v>
      </c>
      <c r="BG27" s="43">
        <f t="shared" si="9"/>
        <v>3401</v>
      </c>
      <c r="BH27" s="43">
        <f t="shared" si="10"/>
        <v>3401</v>
      </c>
      <c r="BI27" s="43">
        <f t="shared" si="11"/>
        <v>3401</v>
      </c>
      <c r="BJ27" s="44">
        <f t="shared" si="12"/>
        <v>3559</v>
      </c>
      <c r="BK27" s="44">
        <f t="shared" si="13"/>
        <v>3781</v>
      </c>
      <c r="BL27" s="44">
        <f t="shared" si="14"/>
        <v>3908</v>
      </c>
      <c r="BM27" s="44">
        <f t="shared" si="15"/>
        <v>3972</v>
      </c>
      <c r="BN27" s="45">
        <f t="shared" si="16"/>
        <v>3972</v>
      </c>
      <c r="BO27" s="45">
        <f t="shared" si="17"/>
        <v>3972</v>
      </c>
      <c r="BP27" s="45">
        <f t="shared" si="18"/>
        <v>3972</v>
      </c>
      <c r="BQ27" s="45">
        <f t="shared" si="19"/>
        <v>3972</v>
      </c>
      <c r="BR27" s="45">
        <f t="shared" si="20"/>
        <v>3972</v>
      </c>
      <c r="BU27" s="1"/>
    </row>
    <row r="28">
      <c r="A28" s="1"/>
      <c r="B28" s="71" t="s">
        <v>60</v>
      </c>
      <c r="C28" s="8"/>
      <c r="D28" s="8"/>
      <c r="E28" s="8"/>
      <c r="F28" s="8"/>
      <c r="G28" s="8"/>
      <c r="H28" s="8"/>
      <c r="I28" s="8"/>
      <c r="J28" s="8"/>
      <c r="K28" s="8"/>
      <c r="L28" s="8"/>
      <c r="M28" s="8"/>
      <c r="N28" s="8"/>
      <c r="O28" s="8"/>
      <c r="P28" s="8"/>
      <c r="Q28" s="8"/>
      <c r="R28" s="8"/>
      <c r="S28" s="8"/>
      <c r="T28" s="8"/>
      <c r="U28" s="8"/>
      <c r="V28" s="8"/>
      <c r="W28" s="8"/>
      <c r="X28" s="9"/>
      <c r="Y28" s="1"/>
      <c r="Z28" s="1"/>
      <c r="AA28" s="1"/>
      <c r="AB28" s="1"/>
      <c r="AC28" s="1"/>
      <c r="AD28" s="1"/>
      <c r="AE28" s="1"/>
      <c r="AF28" s="1"/>
      <c r="AG28" s="1"/>
      <c r="AH28" s="1"/>
      <c r="AI28" s="1"/>
      <c r="AJ28" s="1"/>
      <c r="AK28" s="1"/>
      <c r="AL28" s="1"/>
      <c r="AM28" s="1"/>
      <c r="AN28" s="1"/>
      <c r="AO28" s="1"/>
      <c r="AP28" s="1"/>
      <c r="AQ28" s="1"/>
      <c r="AR28" s="1"/>
      <c r="AS28" s="2"/>
      <c r="AU28" s="40">
        <v>19.0</v>
      </c>
      <c r="AV28" s="40">
        <v>0.0</v>
      </c>
      <c r="AW28" s="49">
        <f t="shared" si="21"/>
        <v>2801</v>
      </c>
      <c r="AX28" s="48">
        <f t="shared" si="22"/>
        <v>3271</v>
      </c>
      <c r="AY28" s="50">
        <f t="shared" si="1"/>
        <v>2801</v>
      </c>
      <c r="AZ28" s="50">
        <f t="shared" si="2"/>
        <v>3271</v>
      </c>
      <c r="BA28" s="42">
        <f t="shared" si="3"/>
        <v>3137</v>
      </c>
      <c r="BB28" s="42">
        <f t="shared" si="4"/>
        <v>3333</v>
      </c>
      <c r="BC28" s="42">
        <f t="shared" si="5"/>
        <v>3445</v>
      </c>
      <c r="BD28" s="42">
        <f t="shared" si="6"/>
        <v>3501</v>
      </c>
      <c r="BE28" s="43">
        <f t="shared" si="7"/>
        <v>3501</v>
      </c>
      <c r="BF28" s="43">
        <f t="shared" si="8"/>
        <v>3501</v>
      </c>
      <c r="BG28" s="43">
        <f t="shared" si="9"/>
        <v>3501</v>
      </c>
      <c r="BH28" s="43">
        <f t="shared" si="10"/>
        <v>3501</v>
      </c>
      <c r="BI28" s="43">
        <f t="shared" si="11"/>
        <v>3501</v>
      </c>
      <c r="BJ28" s="44">
        <f t="shared" si="12"/>
        <v>3663</v>
      </c>
      <c r="BK28" s="44">
        <f t="shared" si="13"/>
        <v>3892</v>
      </c>
      <c r="BL28" s="44">
        <f t="shared" si="14"/>
        <v>4023</v>
      </c>
      <c r="BM28" s="44">
        <f t="shared" si="15"/>
        <v>4088</v>
      </c>
      <c r="BN28" s="45">
        <f t="shared" si="16"/>
        <v>4088</v>
      </c>
      <c r="BO28" s="45">
        <f t="shared" si="17"/>
        <v>4088</v>
      </c>
      <c r="BP28" s="45">
        <f t="shared" si="18"/>
        <v>4088</v>
      </c>
      <c r="BQ28" s="45">
        <f t="shared" si="19"/>
        <v>4088</v>
      </c>
      <c r="BR28" s="45">
        <f t="shared" si="20"/>
        <v>4088</v>
      </c>
      <c r="BU28" s="1"/>
    </row>
    <row r="29">
      <c r="A29" s="1"/>
      <c r="B29" s="72" t="s">
        <v>61</v>
      </c>
      <c r="C29" s="8"/>
      <c r="D29" s="9"/>
      <c r="E29" s="72" t="s">
        <v>62</v>
      </c>
      <c r="F29" s="8"/>
      <c r="G29" s="9"/>
      <c r="H29" s="72" t="s">
        <v>63</v>
      </c>
      <c r="I29" s="8"/>
      <c r="J29" s="8"/>
      <c r="K29" s="9"/>
      <c r="L29" s="72" t="s">
        <v>64</v>
      </c>
      <c r="M29" s="8"/>
      <c r="N29" s="9"/>
      <c r="O29" s="72" t="s">
        <v>65</v>
      </c>
      <c r="P29" s="8"/>
      <c r="Q29" s="9"/>
      <c r="R29" s="72" t="s">
        <v>66</v>
      </c>
      <c r="S29" s="9"/>
      <c r="T29" s="72" t="s">
        <v>67</v>
      </c>
      <c r="U29" s="8"/>
      <c r="V29" s="9"/>
      <c r="W29" s="72" t="s">
        <v>68</v>
      </c>
      <c r="X29" s="9"/>
      <c r="AA29" s="1"/>
      <c r="AB29" s="1"/>
      <c r="AC29" s="1"/>
      <c r="AD29" s="1"/>
      <c r="AE29" s="1"/>
      <c r="AF29" s="1"/>
      <c r="AG29" s="1"/>
      <c r="AH29" s="1"/>
      <c r="AI29" s="1"/>
      <c r="AJ29" s="1"/>
      <c r="AK29" s="1"/>
      <c r="AL29" s="1"/>
      <c r="AM29" s="1"/>
      <c r="AN29" s="1"/>
      <c r="AO29" s="1"/>
      <c r="AP29" s="1"/>
      <c r="AQ29" s="1"/>
      <c r="AR29" s="1"/>
      <c r="AS29" s="2"/>
      <c r="AU29" s="73">
        <v>20.0</v>
      </c>
      <c r="AV29" s="40">
        <v>0.0</v>
      </c>
      <c r="AW29" s="49">
        <f t="shared" si="21"/>
        <v>2881</v>
      </c>
      <c r="AX29" s="48">
        <f t="shared" si="22"/>
        <v>3365</v>
      </c>
      <c r="AY29" s="50">
        <f t="shared" si="1"/>
        <v>2881</v>
      </c>
      <c r="AZ29" s="50">
        <f t="shared" si="2"/>
        <v>3365</v>
      </c>
      <c r="BA29" s="42">
        <f t="shared" si="3"/>
        <v>3226</v>
      </c>
      <c r="BB29" s="42">
        <f t="shared" si="4"/>
        <v>3428</v>
      </c>
      <c r="BC29" s="42">
        <f t="shared" si="5"/>
        <v>3543</v>
      </c>
      <c r="BD29" s="42">
        <f t="shared" si="6"/>
        <v>3601</v>
      </c>
      <c r="BE29" s="43">
        <f t="shared" si="7"/>
        <v>3601</v>
      </c>
      <c r="BF29" s="43">
        <f t="shared" si="8"/>
        <v>3601</v>
      </c>
      <c r="BG29" s="43">
        <f t="shared" si="9"/>
        <v>3601</v>
      </c>
      <c r="BH29" s="43">
        <f t="shared" si="10"/>
        <v>3601</v>
      </c>
      <c r="BI29" s="43">
        <f t="shared" si="11"/>
        <v>3601</v>
      </c>
      <c r="BJ29" s="44">
        <f t="shared" si="12"/>
        <v>3768</v>
      </c>
      <c r="BK29" s="44">
        <f t="shared" si="13"/>
        <v>4004</v>
      </c>
      <c r="BL29" s="44">
        <f t="shared" si="14"/>
        <v>4138</v>
      </c>
      <c r="BM29" s="44">
        <f t="shared" si="15"/>
        <v>4206</v>
      </c>
      <c r="BN29" s="45">
        <f t="shared" si="16"/>
        <v>4206</v>
      </c>
      <c r="BO29" s="45">
        <f t="shared" si="17"/>
        <v>4206</v>
      </c>
      <c r="BP29" s="45">
        <f t="shared" si="18"/>
        <v>4206</v>
      </c>
      <c r="BQ29" s="45">
        <f t="shared" si="19"/>
        <v>4206</v>
      </c>
      <c r="BR29" s="45">
        <f t="shared" si="20"/>
        <v>4206</v>
      </c>
      <c r="BU29" s="1"/>
    </row>
    <row r="30">
      <c r="A30" s="1"/>
      <c r="B30" s="74" t="str">
        <f>IFERROR(__xludf.DUMMYFUNCTION("IFERROR(
  INDEX(
    IMPORTRANGE(""https://docs.google.com/spreadsheets/d/1oJmkDK37Qizzdaxn4KCwh1BMwdNWuHCx3AGH8BC9yu0/edit?gid=781951868#gid=781951868"", ""キャラ!M:M""),
    MATCH(B11, IMPORTRANGE(""https://docs.google.com/spreadsheets/d/1oJmkDK37Qizzdaxn"&amp;"4KCwh1BMwdNWuHCx3AGH8BC9yu0/edit?gid=781951868#gid=781951868"", ""キャラ!D:D""), 0)
  ),
  ""該当なし""
)
"),"zangeki_1")</f>
        <v>zangeki_1</v>
      </c>
      <c r="C30" s="8"/>
      <c r="D30" s="9"/>
      <c r="E30" s="75" t="str">
        <f>IFERROR(__xludf.DUMMYFUNCTION("IFERROR(
  INDEX(
    IMPORTRANGE(""https://docs.google.com/spreadsheets/d/1oJmkDK37Qizzdaxn4KCwh1BMwdNWuHCx3AGH8BC9yu0/edit?gid=781951868#gid=781951868"", ""キャラ!Q:Q""),
    MATCH(B11, IMPORTRANGE(""https://docs.google.com/spreadsheets/d/1oJmkDK37Qizzdaxn"&amp;"4KCwh1BMwdNWuHCx3AGH8BC9yu0/edit?gid=781951868#gid=781951868"", ""キャラ!D:D""), 0)
  ),
  ""該当なし""
)
"),"1.5")</f>
        <v>1.5</v>
      </c>
      <c r="F30" s="8"/>
      <c r="G30" s="9"/>
      <c r="H30" s="75" t="str">
        <f>IFERROR(__xludf.DUMMYFUNCTION("IFERROR(
  INDEX(
    IMPORTRANGE(""https://docs.google.com/spreadsheets/d/1oJmkDK37Qizzdaxn4KCwh1BMwdNWuHCx3AGH8BC9yu0/edit?gid=781951868#gid=781951868"", ""キャラ!R:R""),
    MATCH(B11, IMPORTRANGE(""https://docs.google.com/spreadsheets/d/1oJmkDK37Qizzdaxn"&amp;"4KCwh1BMwdNWuHCx3AGH8BC9yu0/edit?gid=781951868#gid=781951868"", ""キャラ!D:D""), 0)
  ),
  ""該当なし""
)
"),"0.50")</f>
        <v>0.50</v>
      </c>
      <c r="I30" s="8"/>
      <c r="J30" s="8"/>
      <c r="K30" s="9"/>
      <c r="L30" s="76">
        <f>IFERROR(__xludf.DUMMYFUNCTION("IFERROR(
  INDEX(
    IMPORTRANGE(""https://docs.google.com/spreadsheets/d/1tAaChe98Zh7vhMfGMK5Y4_ijmNb40fr519GtdZkkDUY/edit#gid=1369914306"", ""キャラ基礎数値!BN:BN""),
    MATCH(B11, IMPORTRANGE(""https://docs.google.com/spreadsheets/d/1tAaChe98Zh7vhMfGMK5Y4_i"&amp;"jmNb40fr519GtdZkkDUY/edit#gid=1369914306"", ""キャラ基礎数値!C:C""), 0)
  ),
  ""該当なし""
)
"),50.0)</f>
        <v>50</v>
      </c>
      <c r="M30" s="8"/>
      <c r="N30" s="9"/>
      <c r="O30" s="74" t="str">
        <f>IFERROR(__xludf.DUMMYFUNCTION("IFERROR(
  INDEX(
    IMPORTRANGE(""https://docs.google.com/spreadsheets/d/1tAaChe98Zh7vhMfGMK5Y4_ijmNb40fr519GtdZkkDUY/edit#gid=1369914306"", ""キャラ基礎数値!CC:CC""),
    MATCH(B11, IMPORTRANGE(""https://docs.google.com/spreadsheets/d/1tAaChe98Zh7vhMfGMK5Y4_i"&amp;"jmNb40fr519GtdZkkDUY/edit#gid=1369914306"", ""キャラ基礎数値!C:C""), 0)
  ),
  ""該当なし""
)
"),"近距離")</f>
        <v>近距離</v>
      </c>
      <c r="P30" s="8"/>
      <c r="Q30" s="9"/>
      <c r="R30" s="74">
        <f>IFERROR(__xludf.DUMMYFUNCTION("IFERROR(
  INDEX(
    IMPORTRANGE(""https://docs.google.com/spreadsheets/d/1tAaChe98Zh7vhMfGMK5Y4_ijmNb40fr519GtdZkkDUY/edit#gid=1369914306"", ""キャラ基礎数値!CF:CF""),
    MATCH(B11, IMPORTRANGE(""https://docs.google.com/spreadsheets/d/1tAaChe98Zh7vhMfGMK5Y4_i"&amp;"jmNb40fr519GtdZkkDUY/edit#gid=1369914306"", ""キャラ基礎数値!C:C""), 0)
  ),
  ""該当なし""
)
"),0.4)</f>
        <v>0.4</v>
      </c>
      <c r="S30" s="9"/>
      <c r="T30" s="74" t="str">
        <f>IFERROR(__xludf.DUMMYFUNCTION("IFERROR(
  INDEX(
    IMPORTRANGE(""https://docs.google.com/spreadsheets/d/1tAaChe98Zh7vhMfGMK5Y4_ijmNb40fr519GtdZkkDUY/edit#gid=1369914306"", ""キャラ基礎数値!CD:CD""),
    MATCH(B11, IMPORTRANGE(""https://docs.google.com/spreadsheets/d/1tAaChe98Zh7vhMfGMK5Y4_i"&amp;"jmNb40fr519GtdZkkDUY/edit#gid=1369914306"", ""キャラ基礎数値!C:C""), 0)
  ),
  ""該当なし""
)
"),"単体")</f>
        <v>単体</v>
      </c>
      <c r="U30" s="8"/>
      <c r="V30" s="9"/>
      <c r="W30" s="74">
        <f>IFERROR(__xludf.DUMMYFUNCTION("IFERROR(
  INDEX(
    IMPORTRANGE(""https://docs.google.com/spreadsheets/d/1tAaChe98Zh7vhMfGMK5Y4_ijmNb40fr519GtdZkkDUY/edit#gid=1369914306"", ""キャラ基礎数値!CE:CE""),
    MATCH(B11, IMPORTRANGE(""https://docs.google.com/spreadsheets/d/1tAaChe98Zh7vhMfGMK5Y4_i"&amp;"jmNb40fr519GtdZkkDUY/edit#gid=1369914306"", ""キャラ基礎数値!C:C""), 0)
  ),
  ""該当なし""
)
"),1.0)</f>
        <v>1</v>
      </c>
      <c r="X30" s="9"/>
      <c r="AA30" s="1"/>
      <c r="AB30" s="1"/>
      <c r="AC30" s="1"/>
      <c r="AD30" s="1"/>
      <c r="AE30" s="1"/>
      <c r="AF30" s="1"/>
      <c r="AG30" s="1"/>
      <c r="AH30" s="1"/>
      <c r="AI30" s="1"/>
      <c r="AJ30" s="1"/>
      <c r="AK30" s="1"/>
      <c r="AL30" s="1"/>
      <c r="AM30" s="1"/>
      <c r="AN30" s="1"/>
      <c r="AO30" s="1"/>
      <c r="AP30" s="1"/>
      <c r="AQ30" s="1"/>
      <c r="AR30" s="1"/>
      <c r="AS30" s="2"/>
      <c r="AU30" s="73">
        <v>20.0</v>
      </c>
      <c r="AV30" s="40">
        <v>1.0</v>
      </c>
      <c r="AW30" s="49">
        <f t="shared" si="21"/>
        <v>2881</v>
      </c>
      <c r="AX30" s="48">
        <f t="shared" si="22"/>
        <v>3365</v>
      </c>
      <c r="AY30" s="50">
        <f t="shared" si="1"/>
        <v>3053</v>
      </c>
      <c r="AZ30" s="50">
        <f t="shared" si="2"/>
        <v>3566</v>
      </c>
      <c r="BA30" s="42">
        <f t="shared" si="3"/>
        <v>3398</v>
      </c>
      <c r="BB30" s="42">
        <f t="shared" si="4"/>
        <v>3600</v>
      </c>
      <c r="BC30" s="42">
        <f t="shared" si="5"/>
        <v>3715</v>
      </c>
      <c r="BD30" s="42">
        <f t="shared" si="6"/>
        <v>3773</v>
      </c>
      <c r="BE30" s="43">
        <f t="shared" si="7"/>
        <v>3773</v>
      </c>
      <c r="BF30" s="43">
        <f t="shared" si="8"/>
        <v>3773</v>
      </c>
      <c r="BG30" s="43">
        <f t="shared" si="9"/>
        <v>3773</v>
      </c>
      <c r="BH30" s="43">
        <f t="shared" si="10"/>
        <v>3773</v>
      </c>
      <c r="BI30" s="43">
        <f t="shared" si="11"/>
        <v>3773</v>
      </c>
      <c r="BJ30" s="44">
        <f t="shared" si="12"/>
        <v>3969</v>
      </c>
      <c r="BK30" s="44">
        <f t="shared" si="13"/>
        <v>4205</v>
      </c>
      <c r="BL30" s="44">
        <f t="shared" si="14"/>
        <v>4339</v>
      </c>
      <c r="BM30" s="44">
        <f t="shared" si="15"/>
        <v>4407</v>
      </c>
      <c r="BN30" s="45">
        <f t="shared" si="16"/>
        <v>4407</v>
      </c>
      <c r="BO30" s="45">
        <f t="shared" si="17"/>
        <v>4407</v>
      </c>
      <c r="BP30" s="45">
        <f t="shared" si="18"/>
        <v>4407</v>
      </c>
      <c r="BQ30" s="45">
        <f t="shared" si="19"/>
        <v>4407</v>
      </c>
      <c r="BR30" s="45">
        <f t="shared" si="20"/>
        <v>4407</v>
      </c>
      <c r="BU30" s="1"/>
    </row>
    <row r="31">
      <c r="A31" s="1"/>
      <c r="B31" s="72" t="s">
        <v>69</v>
      </c>
      <c r="C31" s="8"/>
      <c r="D31" s="9"/>
      <c r="E31" s="72" t="s">
        <v>70</v>
      </c>
      <c r="F31" s="8"/>
      <c r="G31" s="8"/>
      <c r="H31" s="9"/>
      <c r="I31" s="72" t="s">
        <v>71</v>
      </c>
      <c r="J31" s="8"/>
      <c r="K31" s="9"/>
      <c r="L31" s="72" t="s">
        <v>72</v>
      </c>
      <c r="M31" s="8"/>
      <c r="N31" s="8"/>
      <c r="O31" s="9"/>
      <c r="P31" s="72" t="s">
        <v>73</v>
      </c>
      <c r="Q31" s="9"/>
      <c r="R31" s="72" t="s">
        <v>74</v>
      </c>
      <c r="S31" s="8"/>
      <c r="T31" s="9"/>
      <c r="U31" s="72" t="s">
        <v>75</v>
      </c>
      <c r="V31" s="9"/>
      <c r="Z31" s="1"/>
      <c r="AA31" s="1"/>
      <c r="AB31" s="1"/>
      <c r="AC31" s="1"/>
      <c r="AD31" s="1"/>
      <c r="AE31" s="1"/>
      <c r="AF31" s="1"/>
      <c r="AG31" s="1"/>
      <c r="AH31" s="1"/>
      <c r="AI31" s="1"/>
      <c r="AJ31" s="1"/>
      <c r="AK31" s="1"/>
      <c r="AL31" s="1"/>
      <c r="AM31" s="1"/>
      <c r="AN31" s="1"/>
      <c r="AO31" s="1"/>
      <c r="AP31" s="1"/>
      <c r="AQ31" s="1"/>
      <c r="AR31" s="1"/>
      <c r="AS31" s="2"/>
      <c r="AU31" s="40">
        <v>21.0</v>
      </c>
      <c r="AV31" s="40">
        <v>1.0</v>
      </c>
      <c r="AW31" s="49">
        <f t="shared" si="21"/>
        <v>2962</v>
      </c>
      <c r="AX31" s="48">
        <f t="shared" si="22"/>
        <v>3459</v>
      </c>
      <c r="AY31" s="50">
        <f t="shared" si="1"/>
        <v>3134</v>
      </c>
      <c r="AZ31" s="50">
        <f t="shared" si="2"/>
        <v>3660</v>
      </c>
      <c r="BA31" s="42">
        <f t="shared" si="3"/>
        <v>3489</v>
      </c>
      <c r="BB31" s="42">
        <f t="shared" si="4"/>
        <v>3696</v>
      </c>
      <c r="BC31" s="42">
        <f t="shared" si="5"/>
        <v>3815</v>
      </c>
      <c r="BD31" s="42">
        <f t="shared" si="6"/>
        <v>3874</v>
      </c>
      <c r="BE31" s="43">
        <f t="shared" si="7"/>
        <v>3874</v>
      </c>
      <c r="BF31" s="43">
        <f t="shared" si="8"/>
        <v>3874</v>
      </c>
      <c r="BG31" s="43">
        <f t="shared" si="9"/>
        <v>3874</v>
      </c>
      <c r="BH31" s="43">
        <f t="shared" si="10"/>
        <v>3874</v>
      </c>
      <c r="BI31" s="43">
        <f t="shared" si="11"/>
        <v>3874</v>
      </c>
      <c r="BJ31" s="44">
        <f t="shared" si="12"/>
        <v>4075</v>
      </c>
      <c r="BK31" s="44">
        <f t="shared" si="13"/>
        <v>4317</v>
      </c>
      <c r="BL31" s="44">
        <f t="shared" si="14"/>
        <v>4455</v>
      </c>
      <c r="BM31" s="44">
        <f t="shared" si="15"/>
        <v>4524</v>
      </c>
      <c r="BN31" s="45">
        <f t="shared" si="16"/>
        <v>4524</v>
      </c>
      <c r="BO31" s="45">
        <f t="shared" si="17"/>
        <v>4524</v>
      </c>
      <c r="BP31" s="45">
        <f t="shared" si="18"/>
        <v>4524</v>
      </c>
      <c r="BQ31" s="45">
        <f t="shared" si="19"/>
        <v>4524</v>
      </c>
      <c r="BR31" s="45">
        <f t="shared" si="20"/>
        <v>4524</v>
      </c>
      <c r="BU31" s="1"/>
    </row>
    <row r="32">
      <c r="A32" s="1"/>
      <c r="B32" s="77" t="s">
        <v>76</v>
      </c>
      <c r="C32" s="8"/>
      <c r="D32" s="9"/>
      <c r="E32" s="77">
        <v>0.0</v>
      </c>
      <c r="F32" s="8"/>
      <c r="G32" s="8"/>
      <c r="H32" s="9"/>
      <c r="I32" s="77" t="s">
        <v>76</v>
      </c>
      <c r="J32" s="8"/>
      <c r="K32" s="9"/>
      <c r="L32" s="78">
        <f>IFERROR(__xludf.DUMMYFUNCTION("IFERROR(
  INDEX(
    IMPORTRANGE(""https://docs.google.com/spreadsheets/d/1tAaChe98Zh7vhMfGMK5Y4_ijmNb40fr519GtdZkkDUY/edit#gid=1369914306"", ""キャラ基礎数値!CF:CF""),
    MATCH(B11, IMPORTRANGE(""https://docs.google.com/spreadsheets/d/1tAaChe98Zh7vhMfGMK5Y4_i"&amp;"jmNb40fr519GtdZkkDUY/edit#gid=1369914306"", ""キャラ基礎数値!C:C""), 0)
  ),
  ""該当なし""
)
"),0.4)</f>
        <v>0.4</v>
      </c>
      <c r="M32" s="8"/>
      <c r="N32" s="8"/>
      <c r="O32" s="9"/>
      <c r="P32" s="77" t="s">
        <v>77</v>
      </c>
      <c r="Q32" s="9"/>
      <c r="R32" s="77" t="s">
        <v>78</v>
      </c>
      <c r="S32" s="8"/>
      <c r="T32" s="9"/>
      <c r="U32" s="77" t="s">
        <v>78</v>
      </c>
      <c r="V32" s="9"/>
      <c r="Z32" s="1"/>
      <c r="AA32" s="1"/>
      <c r="AB32" s="1"/>
      <c r="AC32" s="1"/>
      <c r="AD32" s="1"/>
      <c r="AE32" s="1"/>
      <c r="AF32" s="1"/>
      <c r="AG32" s="1"/>
      <c r="AH32" s="1"/>
      <c r="AI32" s="1"/>
      <c r="AJ32" s="1"/>
      <c r="AK32" s="1"/>
      <c r="AL32" s="1"/>
      <c r="AM32" s="1"/>
      <c r="AN32" s="1"/>
      <c r="AO32" s="1"/>
      <c r="AP32" s="1"/>
      <c r="AQ32" s="1"/>
      <c r="AR32" s="1"/>
      <c r="AS32" s="2"/>
      <c r="AU32" s="40">
        <v>22.0</v>
      </c>
      <c r="AV32" s="40">
        <v>1.0</v>
      </c>
      <c r="AW32" s="49">
        <f t="shared" si="21"/>
        <v>3043</v>
      </c>
      <c r="AX32" s="48">
        <f t="shared" si="22"/>
        <v>3554</v>
      </c>
      <c r="AY32" s="50">
        <f t="shared" si="1"/>
        <v>3215</v>
      </c>
      <c r="AZ32" s="50">
        <f t="shared" si="2"/>
        <v>3755</v>
      </c>
      <c r="BA32" s="42">
        <f t="shared" si="3"/>
        <v>3580</v>
      </c>
      <c r="BB32" s="42">
        <f t="shared" si="4"/>
        <v>3793</v>
      </c>
      <c r="BC32" s="42">
        <f t="shared" si="5"/>
        <v>3914</v>
      </c>
      <c r="BD32" s="42">
        <f t="shared" si="6"/>
        <v>3975</v>
      </c>
      <c r="BE32" s="43">
        <f t="shared" si="7"/>
        <v>3975</v>
      </c>
      <c r="BF32" s="43">
        <f t="shared" si="8"/>
        <v>3975</v>
      </c>
      <c r="BG32" s="43">
        <f t="shared" si="9"/>
        <v>3975</v>
      </c>
      <c r="BH32" s="43">
        <f t="shared" si="10"/>
        <v>3975</v>
      </c>
      <c r="BI32" s="43">
        <f t="shared" si="11"/>
        <v>3975</v>
      </c>
      <c r="BJ32" s="44">
        <f t="shared" si="12"/>
        <v>4181</v>
      </c>
      <c r="BK32" s="44">
        <f t="shared" si="13"/>
        <v>4430</v>
      </c>
      <c r="BL32" s="44">
        <f t="shared" si="14"/>
        <v>4572</v>
      </c>
      <c r="BM32" s="44">
        <f t="shared" si="15"/>
        <v>4643</v>
      </c>
      <c r="BN32" s="45">
        <f t="shared" si="16"/>
        <v>4643</v>
      </c>
      <c r="BO32" s="45">
        <f t="shared" si="17"/>
        <v>4643</v>
      </c>
      <c r="BP32" s="45">
        <f t="shared" si="18"/>
        <v>4643</v>
      </c>
      <c r="BQ32" s="45">
        <f t="shared" si="19"/>
        <v>4643</v>
      </c>
      <c r="BR32" s="45">
        <f t="shared" si="20"/>
        <v>4643</v>
      </c>
      <c r="BU32" s="1"/>
    </row>
    <row r="33">
      <c r="A33" s="1"/>
      <c r="B33" s="5" t="s">
        <v>79</v>
      </c>
      <c r="C33" s="5" t="s">
        <v>80</v>
      </c>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2"/>
      <c r="AU33" s="40">
        <v>23.0</v>
      </c>
      <c r="AV33" s="40">
        <v>1.0</v>
      </c>
      <c r="AW33" s="49">
        <f t="shared" si="21"/>
        <v>3125</v>
      </c>
      <c r="AX33" s="48">
        <f t="shared" si="22"/>
        <v>3649</v>
      </c>
      <c r="AY33" s="50">
        <f t="shared" si="1"/>
        <v>3297</v>
      </c>
      <c r="AZ33" s="50">
        <f t="shared" si="2"/>
        <v>3850</v>
      </c>
      <c r="BA33" s="42">
        <f t="shared" si="3"/>
        <v>3672</v>
      </c>
      <c r="BB33" s="42">
        <f t="shared" si="4"/>
        <v>3890</v>
      </c>
      <c r="BC33" s="42">
        <f t="shared" si="5"/>
        <v>4015</v>
      </c>
      <c r="BD33" s="42">
        <f t="shared" si="6"/>
        <v>4078</v>
      </c>
      <c r="BE33" s="43">
        <f t="shared" si="7"/>
        <v>4078</v>
      </c>
      <c r="BF33" s="43">
        <f t="shared" si="8"/>
        <v>4078</v>
      </c>
      <c r="BG33" s="43">
        <f t="shared" si="9"/>
        <v>4078</v>
      </c>
      <c r="BH33" s="43">
        <f t="shared" si="10"/>
        <v>4078</v>
      </c>
      <c r="BI33" s="43">
        <f t="shared" si="11"/>
        <v>4078</v>
      </c>
      <c r="BJ33" s="44">
        <f t="shared" si="12"/>
        <v>4287</v>
      </c>
      <c r="BK33" s="44">
        <f t="shared" si="13"/>
        <v>4543</v>
      </c>
      <c r="BL33" s="44">
        <f t="shared" si="14"/>
        <v>4689</v>
      </c>
      <c r="BM33" s="44">
        <f t="shared" si="15"/>
        <v>4762</v>
      </c>
      <c r="BN33" s="45">
        <f t="shared" si="16"/>
        <v>4762</v>
      </c>
      <c r="BO33" s="45">
        <f t="shared" si="17"/>
        <v>4762</v>
      </c>
      <c r="BP33" s="45">
        <f t="shared" si="18"/>
        <v>4762</v>
      </c>
      <c r="BQ33" s="45">
        <f t="shared" si="19"/>
        <v>4762</v>
      </c>
      <c r="BR33" s="45">
        <f t="shared" si="20"/>
        <v>4762</v>
      </c>
      <c r="BU33" s="1"/>
    </row>
    <row r="34">
      <c r="A34" s="1"/>
      <c r="B34" s="79" t="s">
        <v>81</v>
      </c>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9"/>
      <c r="AE34" s="1"/>
      <c r="AF34" s="1"/>
      <c r="AG34" s="1"/>
      <c r="AH34" s="1"/>
      <c r="AI34" s="1"/>
      <c r="AJ34" s="1"/>
      <c r="AK34" s="1"/>
      <c r="AL34" s="1"/>
      <c r="AM34" s="1"/>
      <c r="AN34" s="1"/>
      <c r="AO34" s="1"/>
      <c r="AP34" s="80" t="s">
        <v>82</v>
      </c>
      <c r="AQ34" s="1"/>
      <c r="AR34" s="1"/>
      <c r="AS34" s="2"/>
      <c r="AU34" s="40">
        <v>24.0</v>
      </c>
      <c r="AV34" s="40">
        <v>1.0</v>
      </c>
      <c r="AW34" s="49">
        <f t="shared" si="21"/>
        <v>3207</v>
      </c>
      <c r="AX34" s="48">
        <f t="shared" si="22"/>
        <v>3745</v>
      </c>
      <c r="AY34" s="50">
        <f t="shared" si="1"/>
        <v>3379</v>
      </c>
      <c r="AZ34" s="50">
        <f t="shared" si="2"/>
        <v>3946</v>
      </c>
      <c r="BA34" s="42">
        <f t="shared" si="3"/>
        <v>3763</v>
      </c>
      <c r="BB34" s="42">
        <f t="shared" si="4"/>
        <v>3988</v>
      </c>
      <c r="BC34" s="42">
        <f t="shared" si="5"/>
        <v>4116</v>
      </c>
      <c r="BD34" s="42">
        <f t="shared" si="6"/>
        <v>4180</v>
      </c>
      <c r="BE34" s="43">
        <f t="shared" si="7"/>
        <v>4180</v>
      </c>
      <c r="BF34" s="43">
        <f t="shared" si="8"/>
        <v>4180</v>
      </c>
      <c r="BG34" s="43">
        <f t="shared" si="9"/>
        <v>4180</v>
      </c>
      <c r="BH34" s="43">
        <f t="shared" si="10"/>
        <v>4180</v>
      </c>
      <c r="BI34" s="43">
        <f t="shared" si="11"/>
        <v>4180</v>
      </c>
      <c r="BJ34" s="44">
        <f t="shared" si="12"/>
        <v>4395</v>
      </c>
      <c r="BK34" s="44">
        <f t="shared" si="13"/>
        <v>4657</v>
      </c>
      <c r="BL34" s="44">
        <f t="shared" si="14"/>
        <v>4807</v>
      </c>
      <c r="BM34" s="44">
        <f t="shared" si="15"/>
        <v>4882</v>
      </c>
      <c r="BN34" s="45">
        <f t="shared" si="16"/>
        <v>4882</v>
      </c>
      <c r="BO34" s="45">
        <f t="shared" si="17"/>
        <v>4882</v>
      </c>
      <c r="BP34" s="45">
        <f t="shared" si="18"/>
        <v>4882</v>
      </c>
      <c r="BQ34" s="45">
        <f t="shared" si="19"/>
        <v>4882</v>
      </c>
      <c r="BR34" s="45">
        <f t="shared" si="20"/>
        <v>4882</v>
      </c>
      <c r="BU34" s="1"/>
    </row>
    <row r="35">
      <c r="A35" s="1"/>
      <c r="B35" s="81" t="s">
        <v>83</v>
      </c>
      <c r="C35" s="8"/>
      <c r="D35" s="9"/>
      <c r="E35" s="81" t="s">
        <v>84</v>
      </c>
      <c r="F35" s="8"/>
      <c r="G35" s="9"/>
      <c r="H35" s="81" t="s">
        <v>85</v>
      </c>
      <c r="I35" s="8"/>
      <c r="J35" s="8"/>
      <c r="K35" s="9"/>
      <c r="L35" s="81" t="s">
        <v>86</v>
      </c>
      <c r="M35" s="8"/>
      <c r="N35" s="9"/>
      <c r="O35" s="81" t="s">
        <v>87</v>
      </c>
      <c r="P35" s="8"/>
      <c r="Q35" s="9"/>
      <c r="R35" s="81" t="s">
        <v>65</v>
      </c>
      <c r="S35" s="8"/>
      <c r="T35" s="8"/>
      <c r="U35" s="8"/>
      <c r="V35" s="8"/>
      <c r="W35" s="9"/>
      <c r="X35" s="81" t="s">
        <v>66</v>
      </c>
      <c r="Y35" s="8"/>
      <c r="Z35" s="81" t="s">
        <v>67</v>
      </c>
      <c r="AA35" s="8"/>
      <c r="AB35" s="8"/>
      <c r="AC35" s="81" t="s">
        <v>68</v>
      </c>
      <c r="AD35" s="9"/>
      <c r="AE35" s="1"/>
      <c r="AF35" s="1"/>
      <c r="AG35" s="1"/>
      <c r="AH35" s="1"/>
      <c r="AI35" s="1"/>
      <c r="AJ35" s="1"/>
      <c r="AK35" s="1"/>
      <c r="AL35" s="1"/>
      <c r="AM35" s="1"/>
      <c r="AN35" s="1"/>
      <c r="AO35" s="1"/>
      <c r="AP35" s="82" t="s">
        <v>88</v>
      </c>
      <c r="AQ35" s="8"/>
      <c r="AR35" s="8"/>
      <c r="AS35" s="2"/>
      <c r="AU35" s="40">
        <v>25.0</v>
      </c>
      <c r="AV35" s="40">
        <v>1.0</v>
      </c>
      <c r="AW35" s="49">
        <f t="shared" si="21"/>
        <v>3289</v>
      </c>
      <c r="AX35" s="48">
        <f t="shared" si="22"/>
        <v>3841</v>
      </c>
      <c r="AY35" s="50">
        <f t="shared" si="1"/>
        <v>3461</v>
      </c>
      <c r="AZ35" s="50">
        <f t="shared" si="2"/>
        <v>4042</v>
      </c>
      <c r="BA35" s="42">
        <f t="shared" si="3"/>
        <v>3855</v>
      </c>
      <c r="BB35" s="42">
        <f t="shared" si="4"/>
        <v>4085</v>
      </c>
      <c r="BC35" s="42">
        <f t="shared" si="5"/>
        <v>4217</v>
      </c>
      <c r="BD35" s="42">
        <f t="shared" si="6"/>
        <v>4283</v>
      </c>
      <c r="BE35" s="43">
        <f t="shared" si="7"/>
        <v>4283</v>
      </c>
      <c r="BF35" s="43">
        <f t="shared" si="8"/>
        <v>4283</v>
      </c>
      <c r="BG35" s="43">
        <f t="shared" si="9"/>
        <v>4283</v>
      </c>
      <c r="BH35" s="43">
        <f t="shared" si="10"/>
        <v>4283</v>
      </c>
      <c r="BI35" s="43">
        <f t="shared" si="11"/>
        <v>4283</v>
      </c>
      <c r="BJ35" s="44">
        <f t="shared" si="12"/>
        <v>4502</v>
      </c>
      <c r="BK35" s="44">
        <f t="shared" si="13"/>
        <v>4771</v>
      </c>
      <c r="BL35" s="44">
        <f t="shared" si="14"/>
        <v>4925</v>
      </c>
      <c r="BM35" s="44">
        <f t="shared" si="15"/>
        <v>5002</v>
      </c>
      <c r="BN35" s="45">
        <f t="shared" si="16"/>
        <v>5002</v>
      </c>
      <c r="BO35" s="45">
        <f t="shared" si="17"/>
        <v>5002</v>
      </c>
      <c r="BP35" s="45">
        <f t="shared" si="18"/>
        <v>5002</v>
      </c>
      <c r="BQ35" s="45">
        <f t="shared" si="19"/>
        <v>5002</v>
      </c>
      <c r="BR35" s="45">
        <f t="shared" si="20"/>
        <v>5002</v>
      </c>
      <c r="BU35" s="1"/>
    </row>
    <row r="36">
      <c r="A36" s="83"/>
      <c r="B36" s="74" t="str">
        <f>IFERROR(__xludf.DUMMYFUNCTION("IFERROR(
  INDEX(
    IMPORTRANGE(""https://docs.google.com/spreadsheets/d/1oJmkDK37Qizzdaxn4KCwh1BMwdNWuHCx3AGH8BC9yu0/edit?gid=781951868#gid=781951868"", ""キャラ!O:O""),
    MATCH(B11, IMPORTRANGE(""https://docs.google.com/spreadsheets/d/1oJmkDK37Qizzdaxn"&amp;"4KCwh1BMwdNWuHCx3AGH8BC9yu0/edit?gid=781951868#gid=781951868"", ""キャラ!D:D""), 0)
  ),
  ""該当なし""
)
"),"zangeki_1")</f>
        <v>zangeki_1</v>
      </c>
      <c r="C36" s="8"/>
      <c r="D36" s="9"/>
      <c r="E36" s="75" t="str">
        <f>IFERROR(__xludf.DUMMYFUNCTION("IFERROR(
  INDEX(
    IMPORTRANGE(""https://docs.google.com/spreadsheets/d/1oJmkDK37Qizzdaxn4KCwh1BMwdNWuHCx3AGH8BC9yu0/edit?gid=781951868#gid=781951868"", ""キャラ!S:S""),
    MATCH(B11, IMPORTRANGE(""https://docs.google.com/spreadsheets/d/1oJmkDK37Qizzdaxn"&amp;"4KCwh1BMwdNWuHCx3AGH8BC9yu0/edit?gid=781951868#gid=781951868"", ""キャラ!D:D""), 0)
  ),
  ""該当なし""
)
"),"2.50")</f>
        <v>2.50</v>
      </c>
      <c r="F36" s="8"/>
      <c r="G36" s="9"/>
      <c r="H36" s="75" t="str">
        <f>IFERROR(__xludf.DUMMYFUNCTION("IFERROR(
  INDEX(
    IMPORTRANGE(""https://docs.google.com/spreadsheets/d/1oJmkDK37Qizzdaxn4KCwh1BMwdNWuHCx3AGH8BC9yu0/edit?gid=781951868#gid=781951868"", ""キャラ!T:T""),
    MATCH(B11, IMPORTRANGE(""https://docs.google.com/spreadsheets/d/1oJmkDK37Qizzdaxn"&amp;"4KCwh1BMwdNWuHCx3AGH8BC9yu0/edit?gid=781951868#gid=781951868"", ""キャラ!D:D""), 0)
  ),
  ""該当なし""
)
"),"1.20")</f>
        <v>1.20</v>
      </c>
      <c r="I36" s="8"/>
      <c r="J36" s="8"/>
      <c r="K36" s="9"/>
      <c r="L36" s="74">
        <f>IFERROR(__xludf.DUMMYFUNCTION("IFERROR(
  INDEX(
    IMPORTRANGE(""https://docs.google.com/spreadsheets/d/1tAaChe98Zh7vhMfGMK5Y4_ijmNb40fr519GtdZkkDUY/edit#gid=1369914306"", ""キャラ基礎数値!Y:Y""),
    MATCH(B11, IMPORTRANGE(""https://docs.google.com/spreadsheets/d/1tAaChe98Zh7vhMfGMK5Y4_ijm"&amp;"Nb40fr519GtdZkkDUY/edit#gid=1369914306"", ""キャラ基礎数値!C:C""), 0)
  ),
  ""該当なし""
)
"),260.0)</f>
        <v>260</v>
      </c>
      <c r="M36" s="8"/>
      <c r="N36" s="9"/>
      <c r="O36" s="74">
        <f>IFERROR(__xludf.DUMMYFUNCTION("IFERROR(
  INDEX(
    IMPORTRANGE(""https://docs.google.com/spreadsheets/d/1tAaChe98Zh7vhMfGMK5Y4_ijmNb40fr519GtdZkkDUY/edit#gid=1369914306"", ""キャラ基礎数値!AD:AD""),
    MATCH(B11, IMPORTRANGE(""https://docs.google.com/spreadsheets/d/1tAaChe98Zh7vhMfGMK5Y4_i"&amp;"jmNb40fr519GtdZkkDUY/edit#gid=1369914306"", ""キャラ基礎数値!C:C""), 0)
  ),
  ""該当なし""
)
"),615.0)</f>
        <v>615</v>
      </c>
      <c r="P36" s="8"/>
      <c r="Q36" s="9"/>
      <c r="R36" s="74" t="str">
        <f>IFERROR(__xludf.DUMMYFUNCTION("IFERROR(
  INDEX(
    IMPORTRANGE(""https://docs.google.com/spreadsheets/d/1tAaChe98Zh7vhMfGMK5Y4_ijmNb40fr519GtdZkkDUY/edit#gid=1369914306"", ""キャラ基礎数値!CG:CG""),
    MATCH(B11, IMPORTRANGE(""https://docs.google.com/spreadsheets/d/1tAaChe98Zh7vhMfGMK5Y4_i"&amp;"jmNb40fr519GtdZkkDUY/edit#gid=1369914306"", ""キャラ基礎数値!C:C""), 0)
  ),
  ""該当なし""
)
"),"中距離")</f>
        <v>中距離</v>
      </c>
      <c r="S36" s="8"/>
      <c r="T36" s="8"/>
      <c r="U36" s="8"/>
      <c r="V36" s="8"/>
      <c r="W36" s="9"/>
      <c r="X36" s="74">
        <f>IFERROR(__xludf.DUMMYFUNCTION("IFERROR(
  INDEX(
    IMPORTRANGE(""https://docs.google.com/spreadsheets/d/1tAaChe98Zh7vhMfGMK5Y4_ijmNb40fr519GtdZkkDUY/edit#gid=1369914306"", ""キャラ基礎数値!CJ:CJ""),
    MATCH(B11, IMPORTRANGE(""https://docs.google.com/spreadsheets/d/1tAaChe98Zh7vhMfGMK5Y4_i"&amp;"jmNb40fr519GtdZkkDUY/edit#gid=1369914306"", ""キャラ基礎数値!C:C""), 0)
  ),
  ""該当なし""
)
 "),0.3)</f>
        <v>0.3</v>
      </c>
      <c r="Y36" s="8"/>
      <c r="Z36" s="74" t="str">
        <f>IFERROR(__xludf.DUMMYFUNCTION("IFERROR(
  INDEX(
    IMPORTRANGE(""https://docs.google.com/spreadsheets/d/1tAaChe98Zh7vhMfGMK5Y4_ijmNb40fr519GtdZkkDUY/edit#gid=1369914306"", ""キャラ基礎数値!CH:CH""),
    MATCH(B11, IMPORTRANGE(""https://docs.google.com/spreadsheets/d/1tAaChe98Zh7vhMfGMK5Y4_i"&amp;"jmNb40fr519GtdZkkDUY/edit#gid=1369914306"", ""キャラ基礎数値!C:C""), 0)
  ),
  ""該当なし""
)
"),"単体")</f>
        <v>単体</v>
      </c>
      <c r="AA36" s="8"/>
      <c r="AB36" s="8"/>
      <c r="AC36" s="74">
        <f>IFERROR(__xludf.DUMMYFUNCTION("IFERROR(
  INDEX(
    IMPORTRANGE(""https://docs.google.com/spreadsheets/d/1tAaChe98Zh7vhMfGMK5Y4_ijmNb40fr519GtdZkkDUY/edit#gid=1369914306"", ""キャラ基礎数値!CI:CI""),
    MATCH(B11, IMPORTRANGE(""https://docs.google.com/spreadsheets/d/1tAaChe98Zh7vhMfGMK5Y4_i"&amp;"jmNb40fr519GtdZkkDUY/edit#gid=1369914306"", ""キャラ基礎数値!C:C""), 0)
  ),
  ""該当なし""
)
"),1.0)</f>
        <v>1</v>
      </c>
      <c r="AD36" s="9"/>
      <c r="AE36" s="1"/>
      <c r="AF36" s="1"/>
      <c r="AG36" s="1"/>
      <c r="AH36" s="1"/>
      <c r="AI36" s="1"/>
      <c r="AJ36" s="1"/>
      <c r="AK36" s="1"/>
      <c r="AL36" s="1"/>
      <c r="AM36" s="1"/>
      <c r="AN36" s="1"/>
      <c r="AO36" s="1"/>
      <c r="AP36" s="74" t="str">
        <f>IFERROR(__xludf.DUMMYFUNCTION("IFERROR(
  INDEX(
    IMPORTRANGE(""https://docs.google.com/spreadsheets/d/1tAaChe98Zh7vhMfGMK5Y4_ijmNb40fr519GtdZkkDUY/edit#gid=1369914306"", ""キャラ基礎数値!CR:CR""),
    MATCH(B11, IMPORTRANGE(""https://docs.google.com/spreadsheets/d/1tAaChe98Zh7vhMfGMK5Y4_i"&amp;"jmNb40fr519GtdZkkDUY/edit#gid=1369914306"", ""キャラ基礎数値!C:C""), 0)
  ),
  ""該当なし""
)
"),"-")</f>
        <v>-</v>
      </c>
      <c r="AQ36" s="8"/>
      <c r="AR36" s="8"/>
      <c r="AS36" s="2"/>
      <c r="AU36" s="40">
        <v>26.0</v>
      </c>
      <c r="AV36" s="40">
        <v>1.0</v>
      </c>
      <c r="AW36" s="49">
        <f t="shared" si="21"/>
        <v>3372</v>
      </c>
      <c r="AX36" s="48">
        <f t="shared" si="22"/>
        <v>3937</v>
      </c>
      <c r="AY36" s="50">
        <f t="shared" si="1"/>
        <v>3544</v>
      </c>
      <c r="AZ36" s="50">
        <f t="shared" si="2"/>
        <v>4138</v>
      </c>
      <c r="BA36" s="42">
        <f t="shared" si="3"/>
        <v>3948</v>
      </c>
      <c r="BB36" s="42">
        <f t="shared" si="4"/>
        <v>4184</v>
      </c>
      <c r="BC36" s="42">
        <f t="shared" si="5"/>
        <v>4319</v>
      </c>
      <c r="BD36" s="42">
        <f t="shared" si="6"/>
        <v>4387</v>
      </c>
      <c r="BE36" s="43">
        <f t="shared" si="7"/>
        <v>4387</v>
      </c>
      <c r="BF36" s="43">
        <f t="shared" si="8"/>
        <v>4387</v>
      </c>
      <c r="BG36" s="43">
        <f t="shared" si="9"/>
        <v>4387</v>
      </c>
      <c r="BH36" s="43">
        <f t="shared" si="10"/>
        <v>4387</v>
      </c>
      <c r="BI36" s="43">
        <f t="shared" si="11"/>
        <v>4387</v>
      </c>
      <c r="BJ36" s="44">
        <f t="shared" si="12"/>
        <v>4610</v>
      </c>
      <c r="BK36" s="44">
        <f t="shared" si="13"/>
        <v>4886</v>
      </c>
      <c r="BL36" s="44">
        <f t="shared" si="14"/>
        <v>5043</v>
      </c>
      <c r="BM36" s="44">
        <f t="shared" si="15"/>
        <v>5122</v>
      </c>
      <c r="BN36" s="45">
        <f t="shared" si="16"/>
        <v>5122</v>
      </c>
      <c r="BO36" s="45">
        <f t="shared" si="17"/>
        <v>5122</v>
      </c>
      <c r="BP36" s="45">
        <f t="shared" si="18"/>
        <v>5122</v>
      </c>
      <c r="BQ36" s="45">
        <f t="shared" si="19"/>
        <v>5122</v>
      </c>
      <c r="BR36" s="45">
        <f t="shared" si="20"/>
        <v>5122</v>
      </c>
      <c r="BU36" s="1"/>
    </row>
    <row r="37">
      <c r="B37" s="81" t="s">
        <v>69</v>
      </c>
      <c r="C37" s="8"/>
      <c r="D37" s="9"/>
      <c r="E37" s="81" t="s">
        <v>70</v>
      </c>
      <c r="F37" s="8"/>
      <c r="G37" s="8"/>
      <c r="H37" s="9"/>
      <c r="I37" s="81" t="s">
        <v>71</v>
      </c>
      <c r="J37" s="8"/>
      <c r="K37" s="9"/>
      <c r="L37" s="81" t="s">
        <v>72</v>
      </c>
      <c r="M37" s="8"/>
      <c r="N37" s="8"/>
      <c r="O37" s="9"/>
      <c r="P37" s="81" t="s">
        <v>73</v>
      </c>
      <c r="Q37" s="9"/>
      <c r="R37" s="81" t="s">
        <v>74</v>
      </c>
      <c r="S37" s="8"/>
      <c r="T37" s="9"/>
      <c r="U37" s="81" t="s">
        <v>75</v>
      </c>
      <c r="V37" s="9"/>
      <c r="W37" s="82" t="s">
        <v>88</v>
      </c>
      <c r="X37" s="8"/>
      <c r="Y37" s="8"/>
      <c r="Z37" s="9"/>
      <c r="AA37" s="1"/>
      <c r="AB37" s="1"/>
      <c r="AC37" s="5" t="s">
        <v>89</v>
      </c>
      <c r="AD37" s="1"/>
      <c r="AE37" s="1"/>
      <c r="AF37" s="1"/>
      <c r="AG37" s="1"/>
      <c r="AH37" s="1"/>
      <c r="AI37" s="1"/>
      <c r="AJ37" s="1"/>
      <c r="AK37" s="1"/>
      <c r="AL37" s="1"/>
      <c r="AM37" s="1"/>
      <c r="AN37" s="1"/>
      <c r="AO37" s="1"/>
      <c r="AQ37" s="1"/>
      <c r="AR37" s="1"/>
      <c r="AS37" s="2"/>
      <c r="AU37" s="40">
        <v>27.0</v>
      </c>
      <c r="AV37" s="40">
        <v>1.0</v>
      </c>
      <c r="AW37" s="49">
        <f t="shared" si="21"/>
        <v>3455</v>
      </c>
      <c r="AX37" s="48">
        <f t="shared" si="22"/>
        <v>4034</v>
      </c>
      <c r="AY37" s="50">
        <f t="shared" si="1"/>
        <v>3627</v>
      </c>
      <c r="AZ37" s="50">
        <f t="shared" si="2"/>
        <v>4235</v>
      </c>
      <c r="BA37" s="42">
        <f t="shared" si="3"/>
        <v>4041</v>
      </c>
      <c r="BB37" s="42">
        <f t="shared" si="4"/>
        <v>4283</v>
      </c>
      <c r="BC37" s="42">
        <f t="shared" si="5"/>
        <v>4421</v>
      </c>
      <c r="BD37" s="42">
        <f t="shared" si="6"/>
        <v>4490</v>
      </c>
      <c r="BE37" s="43">
        <f t="shared" si="7"/>
        <v>4490</v>
      </c>
      <c r="BF37" s="43">
        <f t="shared" si="8"/>
        <v>4490</v>
      </c>
      <c r="BG37" s="43">
        <f t="shared" si="9"/>
        <v>4490</v>
      </c>
      <c r="BH37" s="43">
        <f t="shared" si="10"/>
        <v>4490</v>
      </c>
      <c r="BI37" s="43">
        <f t="shared" si="11"/>
        <v>4490</v>
      </c>
      <c r="BJ37" s="44">
        <f t="shared" si="12"/>
        <v>4719</v>
      </c>
      <c r="BK37" s="44">
        <f t="shared" si="13"/>
        <v>5001</v>
      </c>
      <c r="BL37" s="44">
        <f t="shared" si="14"/>
        <v>5162</v>
      </c>
      <c r="BM37" s="44">
        <f t="shared" si="15"/>
        <v>5243</v>
      </c>
      <c r="BN37" s="45">
        <f t="shared" si="16"/>
        <v>5243</v>
      </c>
      <c r="BO37" s="45">
        <f t="shared" si="17"/>
        <v>5243</v>
      </c>
      <c r="BP37" s="45">
        <f t="shared" si="18"/>
        <v>5243</v>
      </c>
      <c r="BQ37" s="45">
        <f t="shared" si="19"/>
        <v>5243</v>
      </c>
      <c r="BR37" s="45">
        <f t="shared" si="20"/>
        <v>5243</v>
      </c>
      <c r="BU37" s="1"/>
    </row>
    <row r="38">
      <c r="B38" s="78" t="str">
        <f>IFERROR(__xludf.DUMMYFUNCTION("IF(REGEXMATCH(Z36, ""全体""), ""Deck"", IF(REGEXMATCH(Z36, ""コマ""), ""Koma"", ""Distance""))
"),"Distance")</f>
        <v>Distance</v>
      </c>
      <c r="C38" s="8"/>
      <c r="D38" s="9"/>
      <c r="E38" s="77">
        <v>0.0</v>
      </c>
      <c r="F38" s="8"/>
      <c r="G38" s="8"/>
      <c r="H38" s="9"/>
      <c r="I38" s="78" t="str">
        <f>IFERROR(__xludf.DUMMYFUNCTION("IF(REGEXMATCH(Z36, ""全体""), ""Deck"", IF(REGEXMATCH(Z36, ""コマ""), ""Koma"", ""Distance""))
"),"Distance")</f>
        <v>Distance</v>
      </c>
      <c r="J38" s="8"/>
      <c r="K38" s="9"/>
      <c r="L38" s="78">
        <f>IFERROR(__xludf.DUMMYFUNCTION("IFERROR(
  INDEX(
    IMPORTRANGE(""https://docs.google.com/spreadsheets/d/1tAaChe98Zh7vhMfGMK5Y4_ijmNb40fr519GtdZkkDUY/edit#gid=1369914306"", ""キャラ基礎数値!CJ:CJ""),
    MATCH(B11, IMPORTRANGE(""https://docs.google.com/spreadsheets/d/1tAaChe98Zh7vhMfGMK5Y4_i"&amp;"jmNb40fr519GtdZkkDUY/edit#gid=1369914306"", ""キャラ基礎数値!C:C""), 0)
  ),
  ""該当なし""
)
 "),0.3)</f>
        <v>0.3</v>
      </c>
      <c r="M38" s="8"/>
      <c r="N38" s="8"/>
      <c r="O38" s="9"/>
      <c r="P38" s="78" t="str">
        <f>IFERROR(__xludf.DUMMYFUNCTION("IFERROR(
  INDEX(
    IMPORTRANGE(""https://docs.google.com/spreadsheets/d/1tAaChe98Zh7vhMfGMK5Y4_ijmNb40fr519GtdZkkDUY/edit#gid=1369914306"", ""キャラ基礎数値!CK:CK""),
    MATCH(B11, IMPORTRANGE(""https://docs.google.com/spreadsheets/d/1tAaChe98Zh7vhMfGMK5Y4_i"&amp;"jmNb40fr519GtdZkkDUY/edit#gid=1369914306"", ""キャラ基礎数値!C:C""), 0)
  ),
  ""該当なし""
)
"),"敵")</f>
        <v>敵</v>
      </c>
      <c r="Q38" s="9"/>
      <c r="R38" s="78" t="str">
        <f>IFERROR(__xludf.DUMMYFUNCTION("IFERROR(
  INDEX(
    IMPORTRANGE(""https://docs.google.com/spreadsheets/d/1tAaChe98Zh7vhMfGMK5Y4_ijmNb40fr519GtdZkkDUY/edit#gid=1369914306"", ""キャラ基礎数値!CL:CL""),
    MATCH(B11, IMPORTRANGE(""https://docs.google.com/spreadsheets/d/1tAaChe98Zh7vhMfGMK5Y4_i"&amp;"jmNb40fr519GtdZkkDUY/edit#gid=1369914306"", ""キャラ基礎数値!C:C""), 0)
  ),
  ""該当なし""
)
"),"緑")</f>
        <v>緑</v>
      </c>
      <c r="S38" s="8"/>
      <c r="T38" s="9"/>
      <c r="U38" s="78" t="str">
        <f>IFERROR(__xludf.DUMMYFUNCTION("IFERROR(
  INDEX(
    IMPORTRANGE(""https://docs.google.com/spreadsheets/d/1tAaChe98Zh7vhMfGMK5Y4_ijmNb40fr519GtdZkkDUY/edit#gid=1369914306"", ""キャラ基礎数値!CM:CM""),
    MATCH(B11, IMPORTRANGE(""https://docs.google.com/spreadsheets/d/1tAaChe98Zh7vhMfGMK5Y4_i"&amp;"jmNb40fr519GtdZkkDUY/edit#gid=1369914306"", ""キャラ基礎数値!C:C""), 0)
  ),
  ""該当なし""
)
"),"All")</f>
        <v>All</v>
      </c>
      <c r="V38" s="9"/>
      <c r="W38" s="78" t="str">
        <f>AP36</f>
        <v>-</v>
      </c>
      <c r="X38" s="8"/>
      <c r="Y38" s="8"/>
      <c r="Z38" s="9"/>
      <c r="AA38" s="1"/>
      <c r="AB38" s="1"/>
      <c r="AC38" s="1"/>
      <c r="AD38" s="1"/>
      <c r="AE38" s="1"/>
      <c r="AF38" s="1"/>
      <c r="AG38" s="1"/>
      <c r="AH38" s="1"/>
      <c r="AI38" s="1"/>
      <c r="AJ38" s="1"/>
      <c r="AK38" s="1"/>
      <c r="AL38" s="1"/>
      <c r="AM38" s="1"/>
      <c r="AN38" s="1"/>
      <c r="AO38" s="1"/>
      <c r="AP38" s="1"/>
      <c r="AQ38" s="1"/>
      <c r="AR38" s="1"/>
      <c r="AS38" s="2"/>
      <c r="AU38" s="40">
        <v>28.0</v>
      </c>
      <c r="AV38" s="40">
        <v>1.0</v>
      </c>
      <c r="AW38" s="49">
        <f t="shared" si="21"/>
        <v>3538</v>
      </c>
      <c r="AX38" s="48">
        <f t="shared" si="22"/>
        <v>4132</v>
      </c>
      <c r="AY38" s="50">
        <f t="shared" si="1"/>
        <v>3710</v>
      </c>
      <c r="AZ38" s="50">
        <f t="shared" si="2"/>
        <v>4333</v>
      </c>
      <c r="BA38" s="42">
        <f t="shared" si="3"/>
        <v>4134</v>
      </c>
      <c r="BB38" s="42">
        <f t="shared" si="4"/>
        <v>4382</v>
      </c>
      <c r="BC38" s="42">
        <f t="shared" si="5"/>
        <v>4523</v>
      </c>
      <c r="BD38" s="42">
        <f t="shared" si="6"/>
        <v>4594</v>
      </c>
      <c r="BE38" s="43">
        <f t="shared" si="7"/>
        <v>4594</v>
      </c>
      <c r="BF38" s="43">
        <f t="shared" si="8"/>
        <v>4594</v>
      </c>
      <c r="BG38" s="43">
        <f t="shared" si="9"/>
        <v>4594</v>
      </c>
      <c r="BH38" s="43">
        <f t="shared" si="10"/>
        <v>4594</v>
      </c>
      <c r="BI38" s="43">
        <f t="shared" si="11"/>
        <v>4594</v>
      </c>
      <c r="BJ38" s="44">
        <f t="shared" si="12"/>
        <v>4828</v>
      </c>
      <c r="BK38" s="44">
        <f t="shared" si="13"/>
        <v>5118</v>
      </c>
      <c r="BL38" s="44">
        <f t="shared" si="14"/>
        <v>5283</v>
      </c>
      <c r="BM38" s="44">
        <f t="shared" si="15"/>
        <v>5366</v>
      </c>
      <c r="BN38" s="45">
        <f t="shared" si="16"/>
        <v>5366</v>
      </c>
      <c r="BO38" s="45">
        <f t="shared" si="17"/>
        <v>5366</v>
      </c>
      <c r="BP38" s="45">
        <f t="shared" si="18"/>
        <v>5366</v>
      </c>
      <c r="BQ38" s="45">
        <f t="shared" si="19"/>
        <v>5366</v>
      </c>
      <c r="BR38" s="45">
        <f t="shared" si="20"/>
        <v>5366</v>
      </c>
      <c r="BU38" s="1"/>
    </row>
    <row r="39">
      <c r="B39" s="5" t="s">
        <v>79</v>
      </c>
      <c r="C39" s="5" t="s">
        <v>80</v>
      </c>
      <c r="D39" s="5"/>
      <c r="E39" s="1"/>
      <c r="F39" s="1"/>
      <c r="G39" s="1"/>
      <c r="H39" s="1"/>
      <c r="I39" s="1"/>
      <c r="J39" s="1"/>
      <c r="K39" s="1"/>
      <c r="L39" s="1"/>
      <c r="M39" s="1"/>
      <c r="N39" s="1"/>
      <c r="O39" s="1"/>
      <c r="P39" s="1"/>
      <c r="Q39" s="1"/>
      <c r="R39" s="1"/>
      <c r="S39" s="1"/>
      <c r="T39" s="1"/>
      <c r="U39" s="1"/>
      <c r="V39" s="1"/>
      <c r="AA39" s="1"/>
      <c r="AB39" s="1"/>
      <c r="AC39" s="1"/>
      <c r="AD39" s="1"/>
      <c r="AE39" s="1"/>
      <c r="AF39" s="1"/>
      <c r="AG39" s="1"/>
      <c r="AH39" s="1"/>
      <c r="AI39" s="1"/>
      <c r="AJ39" s="1"/>
      <c r="AK39" s="1"/>
      <c r="AL39" s="1"/>
      <c r="AM39" s="1"/>
      <c r="AN39" s="1"/>
      <c r="AO39" s="1"/>
      <c r="AP39" s="1"/>
      <c r="AQ39" s="1"/>
      <c r="AR39" s="1"/>
      <c r="AS39" s="2"/>
      <c r="AU39" s="40">
        <v>29.0</v>
      </c>
      <c r="AV39" s="40">
        <v>1.0</v>
      </c>
      <c r="AW39" s="49">
        <f t="shared" si="21"/>
        <v>3622</v>
      </c>
      <c r="AX39" s="48">
        <f t="shared" si="22"/>
        <v>4229</v>
      </c>
      <c r="AY39" s="50">
        <f t="shared" si="1"/>
        <v>3794</v>
      </c>
      <c r="AZ39" s="50">
        <f t="shared" si="2"/>
        <v>4430</v>
      </c>
      <c r="BA39" s="42">
        <f t="shared" si="3"/>
        <v>4228</v>
      </c>
      <c r="BB39" s="42">
        <f t="shared" si="4"/>
        <v>4482</v>
      </c>
      <c r="BC39" s="42">
        <f t="shared" si="5"/>
        <v>4627</v>
      </c>
      <c r="BD39" s="42">
        <f t="shared" si="6"/>
        <v>4699</v>
      </c>
      <c r="BE39" s="43">
        <f t="shared" si="7"/>
        <v>4699</v>
      </c>
      <c r="BF39" s="43">
        <f t="shared" si="8"/>
        <v>4699</v>
      </c>
      <c r="BG39" s="43">
        <f t="shared" si="9"/>
        <v>4699</v>
      </c>
      <c r="BH39" s="43">
        <f t="shared" si="10"/>
        <v>4699</v>
      </c>
      <c r="BI39" s="43">
        <f t="shared" si="11"/>
        <v>4699</v>
      </c>
      <c r="BJ39" s="44">
        <f t="shared" si="12"/>
        <v>4937</v>
      </c>
      <c r="BK39" s="44">
        <f t="shared" si="13"/>
        <v>5233</v>
      </c>
      <c r="BL39" s="44">
        <f t="shared" si="14"/>
        <v>5402</v>
      </c>
      <c r="BM39" s="44">
        <f t="shared" si="15"/>
        <v>5487</v>
      </c>
      <c r="BN39" s="45">
        <f t="shared" si="16"/>
        <v>5487</v>
      </c>
      <c r="BO39" s="45">
        <f t="shared" si="17"/>
        <v>5487</v>
      </c>
      <c r="BP39" s="45">
        <f t="shared" si="18"/>
        <v>5487</v>
      </c>
      <c r="BQ39" s="45">
        <f t="shared" si="19"/>
        <v>5487</v>
      </c>
      <c r="BR39" s="45">
        <f t="shared" si="20"/>
        <v>5487</v>
      </c>
      <c r="BU39" s="1"/>
    </row>
    <row r="40">
      <c r="B40" s="84" t="s">
        <v>90</v>
      </c>
      <c r="C40" s="17"/>
      <c r="D40" s="17"/>
      <c r="E40" s="85" t="s">
        <v>91</v>
      </c>
      <c r="F40" s="8"/>
      <c r="G40" s="8"/>
      <c r="H40" s="8"/>
      <c r="I40" s="8"/>
      <c r="J40" s="8"/>
      <c r="K40" s="8"/>
      <c r="L40" s="8"/>
      <c r="M40" s="8"/>
      <c r="N40" s="8"/>
      <c r="O40" s="8"/>
      <c r="P40" s="9"/>
      <c r="Q40" s="85" t="s">
        <v>92</v>
      </c>
      <c r="R40" s="8"/>
      <c r="S40" s="8"/>
      <c r="T40" s="8"/>
      <c r="U40" s="8"/>
      <c r="V40" s="8"/>
      <c r="W40" s="8"/>
      <c r="X40" s="8"/>
      <c r="Y40" s="8"/>
      <c r="Z40" s="8"/>
      <c r="AA40" s="8"/>
      <c r="AB40" s="9"/>
      <c r="AC40" s="85" t="s">
        <v>93</v>
      </c>
      <c r="AD40" s="8"/>
      <c r="AE40" s="8"/>
      <c r="AF40" s="8"/>
      <c r="AG40" s="8"/>
      <c r="AH40" s="8"/>
      <c r="AI40" s="8"/>
      <c r="AJ40" s="8"/>
      <c r="AK40" s="8"/>
      <c r="AL40" s="8"/>
      <c r="AM40" s="8"/>
      <c r="AN40" s="9"/>
      <c r="AS40" s="2"/>
      <c r="AU40" s="41">
        <v>30.0</v>
      </c>
      <c r="AV40" s="40">
        <v>1.0</v>
      </c>
      <c r="AW40" s="49">
        <f t="shared" si="21"/>
        <v>3705</v>
      </c>
      <c r="AX40" s="48">
        <f t="shared" si="22"/>
        <v>4327</v>
      </c>
      <c r="AY40" s="50">
        <f t="shared" si="1"/>
        <v>3877</v>
      </c>
      <c r="AZ40" s="50">
        <f t="shared" si="2"/>
        <v>4528</v>
      </c>
      <c r="BA40" s="42">
        <f t="shared" si="3"/>
        <v>4321</v>
      </c>
      <c r="BB40" s="42">
        <f t="shared" si="4"/>
        <v>4580</v>
      </c>
      <c r="BC40" s="42">
        <f t="shared" si="5"/>
        <v>4729</v>
      </c>
      <c r="BD40" s="42">
        <f t="shared" si="6"/>
        <v>4803</v>
      </c>
      <c r="BE40" s="43">
        <f t="shared" si="7"/>
        <v>4803</v>
      </c>
      <c r="BF40" s="43">
        <f t="shared" si="8"/>
        <v>4803</v>
      </c>
      <c r="BG40" s="43">
        <f t="shared" si="9"/>
        <v>4803</v>
      </c>
      <c r="BH40" s="43">
        <f t="shared" si="10"/>
        <v>4803</v>
      </c>
      <c r="BI40" s="43">
        <f t="shared" si="11"/>
        <v>4803</v>
      </c>
      <c r="BJ40" s="44">
        <f t="shared" si="12"/>
        <v>5047</v>
      </c>
      <c r="BK40" s="44">
        <f t="shared" si="13"/>
        <v>5350</v>
      </c>
      <c r="BL40" s="44">
        <f t="shared" si="14"/>
        <v>5523</v>
      </c>
      <c r="BM40" s="44">
        <f t="shared" si="15"/>
        <v>5609</v>
      </c>
      <c r="BN40" s="45">
        <f t="shared" si="16"/>
        <v>5609</v>
      </c>
      <c r="BO40" s="45">
        <f t="shared" si="17"/>
        <v>5609</v>
      </c>
      <c r="BP40" s="45">
        <f t="shared" si="18"/>
        <v>5609</v>
      </c>
      <c r="BQ40" s="45">
        <f t="shared" si="19"/>
        <v>5609</v>
      </c>
      <c r="BR40" s="45">
        <f t="shared" si="20"/>
        <v>5609</v>
      </c>
      <c r="BU40" s="1"/>
    </row>
    <row r="41">
      <c r="A41" s="1"/>
      <c r="B41" s="27"/>
      <c r="E41" s="63" t="str">
        <f>IFERROR(__xludf.DUMMYFUNCTION("IFERROR(
  INDEX(
    IMPORTRANGE(""https://docs.google.com/spreadsheets/d/1tAaChe98Zh7vhMfGMK5Y4_ijmNb40fr519GtdZkkDUY/edit#gid=1369914306"", ""キャラ基礎数値!CS:CS""),
    MATCH(B11, IMPORTRANGE(""https://docs.google.com/spreadsheets/d/1tAaChe98Zh7vhMfGMK5Y4_i"&amp;"jmNb40fr519GtdZkkDUY/edit#gid=1369914306"", ""キャラ基礎数値!C:C""), 0)
  ),
  ""該当なし""
)
"),"キラー攻撃(緑)")</f>
        <v>キラー攻撃(緑)</v>
      </c>
      <c r="F41" s="8"/>
      <c r="G41" s="8"/>
      <c r="H41" s="8"/>
      <c r="I41" s="8"/>
      <c r="J41" s="8"/>
      <c r="K41" s="8"/>
      <c r="L41" s="8"/>
      <c r="M41" s="8"/>
      <c r="N41" s="8"/>
      <c r="O41" s="8"/>
      <c r="P41" s="9"/>
      <c r="Q41" s="63" t="str">
        <f>IFERROR(__xludf.DUMMYFUNCTION("IFERROR(
  INDEX(
    IMPORTRANGE(""https://docs.google.com/spreadsheets/d/1tAaChe98Zh7vhMfGMK5Y4_ijmNb40fr519GtdZkkDUY/edit#gid=1369914306"", ""キャラ基礎数値!CY:CY""),
    MATCH(B11, IMPORTRANGE(""https://docs.google.com/spreadsheets/d/1tAaChe98Zh7vhMfGMK5Y4_i"&amp;"jmNb40fr519GtdZkkDUY/edit#gid=1369914306"", ""キャラ基礎数値!C:C""), 0)
  ),
  ""該当なし""
)
"),"-")</f>
        <v>-</v>
      </c>
      <c r="R41" s="8"/>
      <c r="S41" s="8"/>
      <c r="T41" s="8"/>
      <c r="U41" s="8"/>
      <c r="V41" s="8"/>
      <c r="W41" s="8"/>
      <c r="X41" s="8"/>
      <c r="Y41" s="8"/>
      <c r="Z41" s="8"/>
      <c r="AA41" s="8"/>
      <c r="AB41" s="9"/>
      <c r="AC41" s="63" t="str">
        <f>IFERROR(__xludf.DUMMYFUNCTION("IFERROR(
  INDEX(
    IMPORTRANGE(""https://docs.google.com/spreadsheets/d/1tAaChe98Zh7vhMfGMK5Y4_ijmNb40fr519GtdZkkDUY/edit#gid=1369914306"", ""キャラ基礎数値!DE:DE""),
    MATCH(B11, IMPORTRANGE(""https://docs.google.com/spreadsheets/d/1tAaChe98Zh7vhMfGMK5Y4_i"&amp;"jmNb40fr519GtdZkkDUY/edit#gid=1369914306"", ""キャラ基礎数値!C:C""), 0)
  ),
  ""該当なし""
)
"),"-")</f>
        <v>-</v>
      </c>
      <c r="AD41" s="8"/>
      <c r="AE41" s="8"/>
      <c r="AF41" s="8"/>
      <c r="AG41" s="8"/>
      <c r="AH41" s="8"/>
      <c r="AI41" s="8"/>
      <c r="AJ41" s="8"/>
      <c r="AK41" s="8"/>
      <c r="AL41" s="8"/>
      <c r="AM41" s="8"/>
      <c r="AN41" s="9"/>
      <c r="AS41" s="2"/>
      <c r="AU41" s="41">
        <v>30.0</v>
      </c>
      <c r="AV41" s="40">
        <v>2.0</v>
      </c>
      <c r="AW41" s="49">
        <f t="shared" si="21"/>
        <v>3705</v>
      </c>
      <c r="AX41" s="48">
        <f t="shared" si="22"/>
        <v>4327</v>
      </c>
      <c r="AY41" s="50">
        <f t="shared" si="1"/>
        <v>4038</v>
      </c>
      <c r="AZ41" s="50">
        <f t="shared" si="2"/>
        <v>4716</v>
      </c>
      <c r="BA41" s="42">
        <f t="shared" si="3"/>
        <v>4482</v>
      </c>
      <c r="BB41" s="42">
        <f t="shared" si="4"/>
        <v>4741</v>
      </c>
      <c r="BC41" s="42">
        <f t="shared" si="5"/>
        <v>4890</v>
      </c>
      <c r="BD41" s="42">
        <f t="shared" si="6"/>
        <v>4964</v>
      </c>
      <c r="BE41" s="43">
        <f t="shared" si="7"/>
        <v>4964</v>
      </c>
      <c r="BF41" s="43">
        <f t="shared" si="8"/>
        <v>4964</v>
      </c>
      <c r="BG41" s="43">
        <f t="shared" si="9"/>
        <v>4964</v>
      </c>
      <c r="BH41" s="43">
        <f t="shared" si="10"/>
        <v>4964</v>
      </c>
      <c r="BI41" s="43">
        <f t="shared" si="11"/>
        <v>4964</v>
      </c>
      <c r="BJ41" s="44">
        <f t="shared" si="12"/>
        <v>5235</v>
      </c>
      <c r="BK41" s="44">
        <f t="shared" si="13"/>
        <v>5538</v>
      </c>
      <c r="BL41" s="44">
        <f t="shared" si="14"/>
        <v>5711</v>
      </c>
      <c r="BM41" s="44">
        <f t="shared" si="15"/>
        <v>5797</v>
      </c>
      <c r="BN41" s="45">
        <f t="shared" si="16"/>
        <v>5797</v>
      </c>
      <c r="BO41" s="45">
        <f t="shared" si="17"/>
        <v>5797</v>
      </c>
      <c r="BP41" s="45">
        <f t="shared" si="18"/>
        <v>5797</v>
      </c>
      <c r="BQ41" s="45">
        <f t="shared" si="19"/>
        <v>5797</v>
      </c>
      <c r="BR41" s="45">
        <f t="shared" si="20"/>
        <v>5797</v>
      </c>
      <c r="BU41" s="1"/>
    </row>
    <row r="42">
      <c r="A42" s="1"/>
      <c r="B42" s="29"/>
      <c r="C42" s="30"/>
      <c r="D42" s="30"/>
      <c r="E42" s="86" t="s">
        <v>94</v>
      </c>
      <c r="F42" s="8"/>
      <c r="G42" s="8"/>
      <c r="H42" s="8"/>
      <c r="I42" s="8"/>
      <c r="J42" s="9"/>
      <c r="K42" s="87" t="s">
        <v>95</v>
      </c>
      <c r="L42" s="8"/>
      <c r="M42" s="8"/>
      <c r="N42" s="8"/>
      <c r="O42" s="8"/>
      <c r="P42" s="9"/>
      <c r="Q42" s="86" t="s">
        <v>94</v>
      </c>
      <c r="R42" s="8"/>
      <c r="S42" s="8"/>
      <c r="T42" s="8"/>
      <c r="U42" s="8"/>
      <c r="V42" s="9"/>
      <c r="W42" s="87" t="s">
        <v>95</v>
      </c>
      <c r="X42" s="8"/>
      <c r="Y42" s="8"/>
      <c r="Z42" s="8"/>
      <c r="AA42" s="8"/>
      <c r="AB42" s="9"/>
      <c r="AC42" s="86" t="s">
        <v>94</v>
      </c>
      <c r="AD42" s="8"/>
      <c r="AE42" s="8"/>
      <c r="AF42" s="8"/>
      <c r="AG42" s="8"/>
      <c r="AH42" s="9"/>
      <c r="AI42" s="87" t="s">
        <v>95</v>
      </c>
      <c r="AJ42" s="8"/>
      <c r="AK42" s="8"/>
      <c r="AL42" s="8"/>
      <c r="AM42" s="8"/>
      <c r="AN42" s="9"/>
      <c r="AS42" s="2"/>
      <c r="AU42" s="40">
        <v>31.0</v>
      </c>
      <c r="AV42" s="40">
        <v>2.0</v>
      </c>
      <c r="AW42" s="49">
        <f t="shared" si="21"/>
        <v>3790</v>
      </c>
      <c r="AX42" s="48">
        <f t="shared" si="22"/>
        <v>4426</v>
      </c>
      <c r="AY42" s="50">
        <f t="shared" si="1"/>
        <v>4123</v>
      </c>
      <c r="AZ42" s="50">
        <f t="shared" si="2"/>
        <v>4815</v>
      </c>
      <c r="BA42" s="42">
        <f t="shared" si="3"/>
        <v>4577</v>
      </c>
      <c r="BB42" s="42">
        <f t="shared" si="4"/>
        <v>4843</v>
      </c>
      <c r="BC42" s="42">
        <f t="shared" si="5"/>
        <v>4994</v>
      </c>
      <c r="BD42" s="42">
        <f t="shared" si="6"/>
        <v>5070</v>
      </c>
      <c r="BE42" s="43">
        <f t="shared" si="7"/>
        <v>5070</v>
      </c>
      <c r="BF42" s="43">
        <f t="shared" si="8"/>
        <v>5070</v>
      </c>
      <c r="BG42" s="43">
        <f t="shared" si="9"/>
        <v>5070</v>
      </c>
      <c r="BH42" s="43">
        <f t="shared" si="10"/>
        <v>5070</v>
      </c>
      <c r="BI42" s="43">
        <f t="shared" si="11"/>
        <v>5070</v>
      </c>
      <c r="BJ42" s="44">
        <f t="shared" si="12"/>
        <v>5346</v>
      </c>
      <c r="BK42" s="44">
        <f t="shared" si="13"/>
        <v>5655</v>
      </c>
      <c r="BL42" s="44">
        <f t="shared" si="14"/>
        <v>5832</v>
      </c>
      <c r="BM42" s="44">
        <f t="shared" si="15"/>
        <v>5921</v>
      </c>
      <c r="BN42" s="45">
        <f t="shared" si="16"/>
        <v>5921</v>
      </c>
      <c r="BO42" s="45">
        <f t="shared" si="17"/>
        <v>5921</v>
      </c>
      <c r="BP42" s="45">
        <f t="shared" si="18"/>
        <v>5921</v>
      </c>
      <c r="BQ42" s="45">
        <f t="shared" si="19"/>
        <v>5921</v>
      </c>
      <c r="BR42" s="45">
        <f t="shared" si="20"/>
        <v>5921</v>
      </c>
      <c r="BU42" s="1"/>
    </row>
    <row r="43">
      <c r="A43" s="5"/>
      <c r="B43" s="88" t="s">
        <v>96</v>
      </c>
      <c r="C43" s="8"/>
      <c r="D43" s="8"/>
      <c r="E43" s="88" t="s">
        <v>55</v>
      </c>
      <c r="F43" s="9"/>
      <c r="G43" s="88" t="s">
        <v>97</v>
      </c>
      <c r="H43" s="9"/>
      <c r="I43" s="88" t="s">
        <v>98</v>
      </c>
      <c r="J43" s="9"/>
      <c r="K43" s="88" t="s">
        <v>55</v>
      </c>
      <c r="L43" s="9"/>
      <c r="M43" s="88" t="s">
        <v>97</v>
      </c>
      <c r="N43" s="9"/>
      <c r="O43" s="88" t="s">
        <v>98</v>
      </c>
      <c r="P43" s="9"/>
      <c r="Q43" s="88" t="s">
        <v>55</v>
      </c>
      <c r="R43" s="9"/>
      <c r="S43" s="88" t="s">
        <v>97</v>
      </c>
      <c r="T43" s="9"/>
      <c r="U43" s="88" t="s">
        <v>98</v>
      </c>
      <c r="V43" s="9"/>
      <c r="W43" s="88" t="s">
        <v>55</v>
      </c>
      <c r="X43" s="9"/>
      <c r="Y43" s="88" t="s">
        <v>97</v>
      </c>
      <c r="Z43" s="9"/>
      <c r="AA43" s="88" t="s">
        <v>98</v>
      </c>
      <c r="AB43" s="9"/>
      <c r="AC43" s="88" t="s">
        <v>55</v>
      </c>
      <c r="AD43" s="9"/>
      <c r="AE43" s="88" t="s">
        <v>97</v>
      </c>
      <c r="AF43" s="9"/>
      <c r="AG43" s="88" t="s">
        <v>98</v>
      </c>
      <c r="AH43" s="9"/>
      <c r="AI43" s="88" t="s">
        <v>55</v>
      </c>
      <c r="AJ43" s="9"/>
      <c r="AK43" s="88" t="s">
        <v>97</v>
      </c>
      <c r="AL43" s="9"/>
      <c r="AM43" s="88" t="s">
        <v>98</v>
      </c>
      <c r="AN43" s="9"/>
      <c r="AO43" s="1"/>
      <c r="AP43" s="1"/>
      <c r="AQ43" s="1"/>
      <c r="AR43" s="1"/>
      <c r="AS43" s="2"/>
      <c r="AU43" s="40">
        <v>32.0</v>
      </c>
      <c r="AV43" s="40">
        <v>2.0</v>
      </c>
      <c r="AW43" s="49">
        <f t="shared" si="21"/>
        <v>3874</v>
      </c>
      <c r="AX43" s="48">
        <f t="shared" si="22"/>
        <v>4524</v>
      </c>
      <c r="AY43" s="50">
        <f t="shared" si="1"/>
        <v>4207</v>
      </c>
      <c r="AZ43" s="50">
        <f t="shared" si="2"/>
        <v>4913</v>
      </c>
      <c r="BA43" s="42">
        <f t="shared" si="3"/>
        <v>4671</v>
      </c>
      <c r="BB43" s="42">
        <f t="shared" si="4"/>
        <v>4943</v>
      </c>
      <c r="BC43" s="42">
        <f t="shared" si="5"/>
        <v>5098</v>
      </c>
      <c r="BD43" s="42">
        <f t="shared" si="6"/>
        <v>5175</v>
      </c>
      <c r="BE43" s="43">
        <f t="shared" si="7"/>
        <v>5175</v>
      </c>
      <c r="BF43" s="43">
        <f t="shared" si="8"/>
        <v>5175</v>
      </c>
      <c r="BG43" s="43">
        <f t="shared" si="9"/>
        <v>5175</v>
      </c>
      <c r="BH43" s="43">
        <f t="shared" si="10"/>
        <v>5175</v>
      </c>
      <c r="BI43" s="43">
        <f t="shared" si="11"/>
        <v>5175</v>
      </c>
      <c r="BJ43" s="44">
        <f t="shared" si="12"/>
        <v>5455</v>
      </c>
      <c r="BK43" s="44">
        <f t="shared" si="13"/>
        <v>5772</v>
      </c>
      <c r="BL43" s="44">
        <f t="shared" si="14"/>
        <v>5953</v>
      </c>
      <c r="BM43" s="44">
        <f t="shared" si="15"/>
        <v>6044</v>
      </c>
      <c r="BN43" s="45">
        <f t="shared" si="16"/>
        <v>6044</v>
      </c>
      <c r="BO43" s="45">
        <f t="shared" si="17"/>
        <v>6044</v>
      </c>
      <c r="BP43" s="45">
        <f t="shared" si="18"/>
        <v>6044</v>
      </c>
      <c r="BQ43" s="45">
        <f t="shared" si="19"/>
        <v>6044</v>
      </c>
      <c r="BR43" s="45">
        <f t="shared" si="20"/>
        <v>6044</v>
      </c>
      <c r="BU43" s="1"/>
    </row>
    <row r="44">
      <c r="A44" s="5"/>
      <c r="B44" s="63">
        <v>1.0</v>
      </c>
      <c r="C44" s="8"/>
      <c r="D44" s="9"/>
      <c r="E44" s="89">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E$43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E$43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E$43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E$43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E$43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E$43
          ),
          0
        ),
        MATCH(
          $B$13,
          IMPORTRANGE(""https://docs.google.com/spreadsheets/d/1tAaChe98Zh7vhMfGMK5Y4_ijmNb40fr519GtdZkkDUY/"&amp;"edit?gid=889896918#gid=889896918"", ""必殺ワザレギュ_グレード差分(全範囲一覧)!C8:L8""),
          0
        )
      ),
      ""-""
    )
  )
)
)))"),110.0)</f>
        <v>110</v>
      </c>
      <c r="F44" s="9"/>
      <c r="G44"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G$43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G$43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G$43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G$43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G$43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G$43
          ),
          0
        ),
        MATCH(
          $B$13,
          IMPORTRANGE(""https://docs.google.com/spreadsheets/d/1tAaChe98Zh7vhMfGMK5Y4_ijmNb40fr519GtdZkkDUY/"&amp;"edit?gid=889896918#gid=889896918"", ""必殺ワザレギュ_グレード差分(全範囲一覧)!C8:L8""),
          0
        )
      ),
      ""-""
    )
  )
)
)))"),"-")</f>
        <v>-</v>
      </c>
      <c r="H44" s="9"/>
      <c r="I44"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I$43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I$43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I$43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I$43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I$43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I$43
          ),
          0
        ),
        MATCH(
          $B$13,
          IMPORTRANGE(""https://docs.google.com/spreadsheets/d/1tAaChe98Zh7vhMfGMK5Y4_ijmNb40fr519GtdZkkDUY/"&amp;"edit?gid=889896918#gid=889896918"", ""必殺ワザレギュ_グレード差分(全範囲一覧)!C8:L8""),
          0
        )
      ),
      ""-""
    )
  )
)
)))"),"-")</f>
        <v>-</v>
      </c>
      <c r="J44" s="9"/>
      <c r="K44" s="90"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$B44) *
            (IMPORTRANGE(""https://docs.google.com/spreadsheets/d/1tAaChe98Zh7vhMfGMK5Y4_ijmNb40fr519GtdZkkDUY/edit?gid=889896918#gid=889896918"", ""必殺ワザレギュ_グレード差分(全範囲一覧)!D:D"") = K$43)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$B44) *
            (IMPORTRANGE(""https://docs.google.com/spreadsheets/d/1tAaChe98Zh7vhMfGMK5Y4_ijmNb40fr519GtdZkkDUY/edit?gid=889896918#gid=889896918"", ""必殺ワザレギュ_グレード差分(全範囲一"&amp;"覧)!D:D"") = K$43)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$B44) *
            (IMPORTRANGE(""https://docs.google.com/spreadsheets/d/1tAaChe98Zh7vhMfGMK5Y4_ijmNb40fr519GtdZkkDUY/edit?gid=889896918#gid=889"&amp;"896918"", ""必殺ワザレギュ_グレード差分(全範囲一覧)!D:D"") = K$43)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$B44) *
            (IMPORTRANGE(""https://docs.google.com/spreadsheets/d/1tAaChe98Zh7vhMfGMK5Y4_ijmNb40fr519G"&amp;"tdZkkDUY/edit?gid=889896918#gid=889896918"", ""必殺ワザレギュ_グレード差分(全範囲一覧)!D:D"") = K$43)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$B44) *
            (IMPORTRANGE(""https://docs.google.com/spreadsheets/"&amp;"d/1tAaChe98Zh7vhMfGMK5Y4_ijmNb40fr519GtdZkkDUY/edit?gid=889896918#gid=889896918"", ""必殺ワザレギュ_グレード差分(全範囲一覧)!D:D"") = K$43)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$B44) *
            (IMPORTR"&amp;"ANGE(""https://docs.google.com/spreadsheets/d/1tAaChe98Zh7vhMfGMK5Y4_ijmNb40fr519GtdZkkDUY/edit?gid=889896918#gid=889896918"", ""必殺ワザレギュ_グレード差分(全範囲一覧)!D:D"") = K$43)
          ),
          0
        ),
        MATCH($B$13, IMPORTRANGE(""https://docs.googl"&amp;"e.com/spreadsheets/d/1tAaChe98Zh7vhMfGMK5Y4_ijmNb40fr519GtdZkkDUY/edit?gid=889896918#gid=889896918"", ""必殺ワザレギュ_グレード差分(全範囲一覧)!BF8:BO8""), 0)
      ),
      ""-""
    ),
  ""-""))))))
,
""-""
)
"),"-")</f>
        <v>-</v>
      </c>
      <c r="L44" s="9"/>
      <c r="M44" s="90"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$B44) *
            (IMPORTRANGE(""https://docs.google.com/spreadsheets/d/1tAaChe98Zh7vhMfGMK5Y4_ijmNb40fr519GtdZkkDUY/edit?gid=889896918#gid=889896918"", ""必殺ワザレギュ_グレード差分(全範囲一覧)!D:D"") = M$43)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$B44) *
            (IMPORTRANGE(""https://docs.google.com/spreadsheets/d/1tAaChe98Zh7vhMfGMK5Y4_ijmNb40fr519GtdZkkDUY/edit?gid=889896918#gid=889896918"", ""必殺ワザレギュ_グレード差分(全範囲一"&amp;"覧)!D:D"") = M$43)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$B44) *
            (IMPORTRANGE(""https://docs.google.com/spreadsheets/d/1tAaChe98Zh7vhMfGMK5Y4_ijmNb40fr519GtdZkkDUY/edit?gid=889896918#gid=889"&amp;"896918"", ""必殺ワザレギュ_グレード差分(全範囲一覧)!D:D"") = M$43)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$B44) *
            (IMPORTRANGE(""https://docs.google.com/spreadsheets/d/1tAaChe98Zh7vhMfGMK5Y4_ijmNb40fr519G"&amp;"tdZkkDUY/edit?gid=889896918#gid=889896918"", ""必殺ワザレギュ_グレード差分(全範囲一覧)!D:D"") = M$43)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$B44) *
            (IMPORTRANGE(""https://docs.google.com/spreadsheets/"&amp;"d/1tAaChe98Zh7vhMfGMK5Y4_ijmNb40fr519GtdZkkDUY/edit?gid=889896918#gid=889896918"", ""必殺ワザレギュ_グレード差分(全範囲一覧)!D:D"") = M$43)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$B44) *
            (IMPORTR"&amp;"ANGE(""https://docs.google.com/spreadsheets/d/1tAaChe98Zh7vhMfGMK5Y4_ijmNb40fr519GtdZkkDUY/edit?gid=889896918#gid=889896918"", ""必殺ワザレギュ_グレード差分(全範囲一覧)!D:D"") = M$43)
          ),
          0
        ),
        MATCH($B$13, IMPORTRANGE(""https://docs.googl"&amp;"e.com/spreadsheets/d/1tAaChe98Zh7vhMfGMK5Y4_ijmNb40fr519GtdZkkDUY/edit?gid=889896918#gid=889896918"", ""必殺ワザレギュ_グレード差分(全範囲一覧)!BF8:BO8""), 0)
      ),
      ""-""
    ),
  ""-""))))))
,
""-""
)
"),"-")</f>
        <v>-</v>
      </c>
      <c r="N44" s="9"/>
      <c r="O44" s="90"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$B44) *
            (IMPORTRANGE(""https://docs.google.com/spreadsheets/d/1tAaChe98Zh7vhMfGMK5Y4_ijmNb40fr519GtdZkkDUY/edit?gid=889896918#gid=889896918"", ""必殺ワザレギュ_グレード差分(全範囲一覧)!D:D"") = O$43)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$B44) *
            (IMPORTRANGE(""https://docs.google.com/spreadsheets/d/1tAaChe98Zh7vhMfGMK5Y4_ijmNb40fr519GtdZkkDUY/edit?gid=889896918#gid=889896918"", ""必殺ワザレギュ_グレード差分(全範囲一"&amp;"覧)!D:D"") = O$43)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$B44) *
            (IMPORTRANGE(""https://docs.google.com/spreadsheets/d/1tAaChe98Zh7vhMfGMK5Y4_ijmNb40fr519GtdZkkDUY/edit?gid=889896918#gid=889"&amp;"896918"", ""必殺ワザレギュ_グレード差分(全範囲一覧)!D:D"") = O$43)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$B44) *
            (IMPORTRANGE(""https://docs.google.com/spreadsheets/d/1tAaChe98Zh7vhMfGMK5Y4_ijmNb40fr519G"&amp;"tdZkkDUY/edit?gid=889896918#gid=889896918"", ""必殺ワザレギュ_グレード差分(全範囲一覧)!D:D"") = O$43)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$B44) *
            (IMPORTRANGE(""https://docs.google.com/spreadsheets/"&amp;"d/1tAaChe98Zh7vhMfGMK5Y4_ijmNb40fr519GtdZkkDUY/edit?gid=889896918#gid=889896918"", ""必殺ワザレギュ_グレード差分(全範囲一覧)!D:D"") = O$43)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$B44) *
            (IMPORTR"&amp;"ANGE(""https://docs.google.com/spreadsheets/d/1tAaChe98Zh7vhMfGMK5Y4_ijmNb40fr519GtdZkkDUY/edit?gid=889896918#gid=889896918"", ""必殺ワザレギュ_グレード差分(全範囲一覧)!D:D"") = O$43)
          ),
          0
        ),
        MATCH($B$13, IMPORTRANGE(""https://docs.googl"&amp;"e.com/spreadsheets/d/1tAaChe98Zh7vhMfGMK5Y4_ijmNb40fr519GtdZkkDUY/edit?gid=889896918#gid=889896918"", ""必殺ワザレギュ_グレード差分(全範囲一覧)!BF8:BO8""), 0)
      ),
      ""-""
    ),
  ""-""))))))
,
""-""
)
"),"-")</f>
        <v>-</v>
      </c>
      <c r="P44" s="9"/>
      <c r="Q44"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Q$43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Q$43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Q$43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Q$43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Q$43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Q$43
          ),
          0
        ),
        MATCH(
          $B$13,
          IMPORTRANGE(""https://docs.google.com/spreadsheets/d/1tAaChe98Zh7vhMfGMK5Y4_ijmNb40fr519GtdZkkDUY/"&amp;"edit?gid=889896918#gid=889896918"", ""必殺ワザレギュ_グレード差分(全範囲一覧)!C8:L8""),
          0
        )
      ),
      ""-""
    )
  )
)
)))"),"-")</f>
        <v>-</v>
      </c>
      <c r="R44" s="9"/>
      <c r="S44"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S$43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S$43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S$43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S$43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S$43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S$43
          ),
          0
        ),
        MATCH(
          $B$13,
          IMPORTRANGE(""https://docs.google.com/spreadsheets/d/1tAaChe98Zh7vhMfGMK5Y4_ijmNb40fr519GtdZkkDUY/"&amp;"edit?gid=889896918#gid=889896918"", ""必殺ワザレギュ_グレード差分(全範囲一覧)!C8:L8""),
          0
        )
      ),
      ""-""
    )
  )
)
)))"),"-")</f>
        <v>-</v>
      </c>
      <c r="T44" s="9"/>
      <c r="U44"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U$43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U$43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U$43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U$43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U$43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U$43
          ),
          0
        ),
        MATCH(
          $B$13,
          IMPORTRANGE(""https://docs.google.com/spreadsheets/d/1tAaChe98Zh7vhMfGMK5Y4_ijmNb40fr519GtdZkkDUY/"&amp;"edit?gid=889896918#gid=889896918"", ""必殺ワザレギュ_グレード差分(全範囲一覧)!C8:L8""),
          0
        )
      ),
      ""-""
    )
  )
)
)))"),"-")</f>
        <v>-</v>
      </c>
      <c r="V44" s="9"/>
      <c r="W44" s="90"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$B44) *
            (IMPO"&amp;"RTRANGE(""https://docs.google.com/spreadsheets/d/1tAaChe98Zh7vhMfGMK5Y4_ijmNb40fr519GtdZkkDUY/edit?gid=889896918#gid=889896918"", ""必殺ワザレギュ_グレード差分(全範囲一覧)!D:D"") = W$43)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$B44) *
            (IMPORTRANGE(""https://docs.google.com/spreadsheets/d/1tAaChe98Zh7vhMfGMK5Y4_ijmNb40fr519GtdZkkDUY/edit?gid=889896918#gid=889896918"", ""必殺ワザレギュ_グレード差分(全範囲一覧)!D:D"") = W$43)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$B44) *
            (IMPORTRANGE(""https://docs.google.com/spreadsheets/d/1tAaChe98Zh7vhMfGMK5Y4_ijmNb40fr519GtdZkkDUY/edit?gid=889896918#gid=889896918"", ""必殺ワザレギュ_グレード差分(全範囲一覧)!D:D"") = W$43)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$B44) *
            (IMPORTRANGE(""https://docs.google.com/spreadsheets/d/1tAaChe98Zh7vhMfGMK5Y4_ijmNb40fr519GtdZkkDUY/edit?gid=889896918#gid=889896918"", ""必殺ワザレギュ_グレード差分(全範囲一覧)!D:D"&amp;""") = W$43)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$B44) *
            (IMPORTRANGE(""https://docs.google.com/spreadsheets/d/1tAaChe98Zh7vhMfGMK5Y4_ijmNb40fr519GtdZkkDUY/edit?gid=889896918#gid=88"&amp;"9896918"", ""必殺ワザレギュ_グレード差分(全範囲一覧)!D:D"") = W$43)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$B44) *
            (IMPORTRANGE(""https://docs.google.com/spreadsheets/d/1tAaChe98Zh7vhMfGMK5Y4_ijm"&amp;"Nb40fr519GtdZkkDUY/edit?gid=889896918#gid=889896918"", ""必殺ワザレギュ_グレード差分(全範囲一覧)!D:D"") = W$43)
          ),
          0
        ),
        MATCH($B$13, IMPORTRANGE(""https://docs.google.com/spreadsheets/d/1tAaChe98Zh7vhMfGMK5Y4_ijmNb40fr519GtdZkkDUY/edit?g"&amp;"id=889896918#gid=889896918"", ""必殺ワザレギュ_グレード差分(全範囲一覧)!BF8:BO8""), 0)
      ),
      ""-""
    ),
  ""-""))))))
,
""-""
)
"),"-")</f>
        <v>-</v>
      </c>
      <c r="X44" s="9"/>
      <c r="Y44" s="90"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$B44) *
            (IMPO"&amp;"RTRANGE(""https://docs.google.com/spreadsheets/d/1tAaChe98Zh7vhMfGMK5Y4_ijmNb40fr519GtdZkkDUY/edit?gid=889896918#gid=889896918"", ""必殺ワザレギュ_グレード差分(全範囲一覧)!D:D"") = Y$43)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$B44) *
            (IMPORTRANGE(""https://docs.google.com/spreadsheets/d/1tAaChe98Zh7vhMfGMK5Y4_ijmNb40fr519GtdZkkDUY/edit?gid=889896918#gid=889896918"", ""必殺ワザレギュ_グレード差分(全範囲一覧)!D:D"") = Y$43)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$B44) *
            (IMPORTRANGE(""https://docs.google.com/spreadsheets/d/1tAaChe98Zh7vhMfGMK5Y4_ijmNb40fr519GtdZkkDUY/edit?gid=889896918#gid=889896918"", ""必殺ワザレギュ_グレード差分(全範囲一覧)!D:D"") = Y$43)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$B44) *
            (IMPORTRANGE(""https://docs.google.com/spreadsheets/d/1tAaChe98Zh7vhMfGMK5Y4_ijmNb40fr519GtdZkkDUY/edit?gid=889896918#gid=889896918"", ""必殺ワザレギュ_グレード差分(全範囲一覧)!D:D"&amp;""") = Y$43)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$B44) *
            (IMPORTRANGE(""https://docs.google.com/spreadsheets/d/1tAaChe98Zh7vhMfGMK5Y4_ijmNb40fr519GtdZkkDUY/edit?gid=889896918#gid=88"&amp;"9896918"", ""必殺ワザレギュ_グレード差分(全範囲一覧)!D:D"") = Y$43)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$B44) *
            (IMPORTRANGE(""https://docs.google.com/spreadsheets/d/1tAaChe98Zh7vhMfGMK5Y4_ijm"&amp;"Nb40fr519GtdZkkDUY/edit?gid=889896918#gid=889896918"", ""必殺ワザレギュ_グレード差分(全範囲一覧)!D:D"") = Y$43)
          ),
          0
        ),
        MATCH($B$13, IMPORTRANGE(""https://docs.google.com/spreadsheets/d/1tAaChe98Zh7vhMfGMK5Y4_ijmNb40fr519GtdZkkDUY/edit?g"&amp;"id=889896918#gid=889896918"", ""必殺ワザレギュ_グレード差分(全範囲一覧)!BF8:BO8""), 0)
      ),
      ""-""
    ),
  ""-""))))))
,
""-""
)
"),"-")</f>
        <v>-</v>
      </c>
      <c r="Z44" s="9"/>
      <c r="AA44" s="90"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$B44) *
            (IMPO"&amp;"RTRANGE(""https://docs.google.com/spreadsheets/d/1tAaChe98Zh7vhMfGMK5Y4_ijmNb40fr519GtdZkkDUY/edit?gid=889896918#gid=889896918"", ""必殺ワザレギュ_グレード差分(全範囲一覧)!D:D"") = AA$43)
          ),
          0
        ),
        MATCH($B$13, IMPORTRANGE(""https://docs.g"&amp;"oogle.com/spreadsheets/d/1tAaChe98Zh7vhMfGMK5Y4_ijmNb40fr519GtdZkkDUY/edit?gid=889896918#gid=889896918"", ""必殺ワザレギュ_グレード差分(全範囲一覧)!C8:L8""), 0)
      ),
      ""-""
    ),
  IF(
    $AP$36 = ""瞬間型"",
    IFERROR(
      INDEX(
        IMPORTRANGE(""https://"&amp;"docs.google.com/spreadsheets/d/1tAaChe98Zh7vhMfGMK5Y4_ijmNb40fr519GtdZkkDUY/edit?gid=889896918#gid=889896918"", ""必殺ワザレギュ_グレード差分(全範囲一覧)!N:W""),
        MATCH(
          1,
          ARRAYFORMULA(
            ISNUMBER(SEARCH($Q$41, IMPORTRANGE(""https://do"&amp;"cs.google.com/spreadsheets/d/1tAaChe98Zh7vhMfGMK5Y4_ijmNb40fr519GtdZkkDUY/edit?gid=889896918#gid=889896918"",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$B44) *
            (IMPORTRANGE(""https://docs.google.com/spreadsheets/d/1tAaChe98Zh7vhMfGMK5Y4_ijmNb40fr519GtdZkkDUY/edit?gid=889896918#gid=889896918"", ""必殺ワザレギュ_グレード差分(全範囲一覧)!D:D"") = AA$43)
          ),
          0
        ),
        MATCH($B$1"&amp;"3, IMPORTRANGE(""https://docs.google.com/spreadsheets/d/1tAaChe98Zh7vhMfGMK5Y4_ijmNb40fr519GtdZkkDUY/edit?gid=889896918#gid=889896918"", ""必殺ワザレギュ_グレード差分(全範囲一覧)!N8:W8""), 0)
      ),
      ""-""
    ),
  IF(
    $AP$36 = ""安定型"",
    IFERROR(
      INDEX("&amp;"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(IMPORTRANGE(""https://docs.google.com/spreadsheets/d/1tAaChe98Zh7"&amp;"vhMfGMK5Y4_ijmNb40fr519GtdZkkDUY/edit?gid=889896918#gid=889896918"", ""必殺ワザレギュ_グレード差分(全範囲一覧)!X:X"") = ""安定型"") *
            (IMPORTRANGE(""https://docs.google.com/spreadsheets/d/1tAaChe98Zh7vhMfGMK5Y4_ijmNb40fr519GtdZkkDUY/edit?gid=889896918#gid=88989691"&amp;"8"", ""必殺ワザレギュ_グレード差分(全範囲一覧)!C:C"") = $B44) *
            (IMPORTRANGE(""https://docs.google.com/spreadsheets/d/1tAaChe98Zh7vhMfGMK5Y4_ijmNb40fr519GtdZkkDUY/edit?gid=889896918#gid=889896918"", ""必殺ワザレギュ_グレード差分(全範囲一覧)!D:D"") = AA$43)
          ),
         "&amp;" 0
        ),
        MATCH($B$13, IMPORTRANGE(""https://docs.google.com/spreadsheets/d/1tAaChe98Zh7vhMfGMK5Y4_ijmNb40fr519GtdZkkDUY/edit?gid=889896918#gid=889896918"", ""必殺ワザレギュ_グレード差分(全範囲一覧)!Y8:AH8""), 0)
      ),
      ""-""
    ),
  IF(
    $AP$36 = "&amp;"""持続型"",
    IFERROR(
      INDEX(
        IMPORTRANGE(""https://docs.google.com/spreadsheets/d/1tAaChe98Zh7vhMfGMK5Y4_ijmNb40fr519GtdZkkDUY/edit?gid=889896918#gid=889896918"", ""必殺ワザレギュ_グレード差分(全範囲一覧)!AJ:AS""),
        MATCH(
          1,
          ARRAYF"&amp;"ORMULA(
            ISNUMBER(SEARCH($Q$41, IMPORTRANGE(""https://docs.google.com/spreadsheets/d/1tAaChe98Zh7vhMfGMK5Y4_ijmNb40fr519GtdZkkDUY/edit?gid=889896918#gid=889896918"", ""必殺ワザレギュ_グレード差分(全範囲一覧)!A:A""))) *
            (IMPORTRANGE(""https://docs.goo"&amp;"gle.com/spreadsheets/d/1tAaChe98Zh7vhMfGMK5Y4_ijmNb40fr519GtdZkkDUY/edit?gid=889896918#gid=889896918"", ""必殺ワザレギュ_グレード差分(全範囲一覧)!AI:AI"") = ""持続型"") *
            (IMPORTRANGE(""https://docs.google.com/spreadsheets/d/1tAaChe98Zh7vhMfGMK5Y4_ijmNb40fr519GtdZ"&amp;"kkDUY/edit?gid=889896918#gid=889896918"", ""必殺ワザレギュ_グレード差分(全範囲一覧)!C:C"") = $B44) *
            (IMPORTRANGE(""https://docs.google.com/spreadsheets/d/1tAaChe98Zh7vhMfGMK5Y4_ijmNb40fr519GtdZkkDUY/edit?gid=889896918#gid=889896918"", ""必殺ワザレギュ_グレード差分(全範囲一覧)!D"&amp;":D"") = AA$43)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"&amp;"  MATCH(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(IMPORTRANGE(""https://docs.google.com/spreadsheets/d/"&amp;"1tAaChe98Zh7vhMfGMK5Y4_ijmNb40fr519GtdZkkDUY/edit?gid=889896918#gid=889896918"", ""必殺ワザレギュ_グレード差分(全範囲一覧)!C:C"") = $B44) *
            (IMPORTRANGE(""https://docs.google.com/spreadsheets/d/1tAaChe98Zh7vhMfGMK5Y4_ijmNb40fr519GtdZkkDUY/edit?gid=889896918#gid"&amp;"=889896918"", ""必殺ワザレギュ_グレード差分(全範囲一覧)!D:D"") = AA$43)
          ),
          0
        ),
        MATCH($B$13, IMPORTRANGE(""https://docs.google.com/spreadsheets/d/1tAaChe98Zh7vhMfGMK5Y4_ijmNb40fr519GtdZkkDUY/edit?gid=889896918#gid=889896918"", ""必殺ワザレギュ_"&amp;"グレード差分(全範囲一覧)!AU8:BD8""), 0)
      ),
      ""-""
    ),
  IF(
    $AP$36 = ""ハイブリッド型"",
    IFERROR(
      INDEX(
        IMPORTRANGE(""https://docs.google.com/spreadsheets/d/1tAaChe98Zh7vhMfGMK5Y4_ijmNb40fr519GtdZkkDUY/edit?gid=889896918#gid=889896918"""&amp;", ""必殺ワザレギュ_グレード差分(全範囲一覧)!BF:BO""),
        MATCH(
          1,
          ARRAYFORMULA(
            ISNUMBER(SEARCH($Q$41, IMPORTRANGE(""https://docs.google.com/spreadsheets/d/1tAaChe98Zh7vhMfGMK5Y4_ijmNb40fr519GtdZkkDUY/edit?gid=889896918#gid=889896918"""&amp;", ""必殺ワザレギュ_グレード差分(全範囲一覧)!A:A""))) *
            (IMPORTRANGE(""https://docs.google.com/spreadsheets/d/1tAaChe98Zh7vhMfGMK5Y4_ijmNb40fr519GtdZkkDUY/edit?gid=889896918#gid=889896918"", ""必殺ワザレギュ_グレード差分(全範囲一覧)!BE:BE"") = ""ハイブリッド型"") *
            (IMPORTRA"&amp;"NGE(""https://docs.google.com/spreadsheets/d/1tAaChe98Zh7vhMfGMK5Y4_ijmNb40fr519GtdZkkDUY/edit?gid=889896918#gid=889896918"", ""必殺ワザレギュ_グレード差分(全範囲一覧)!C:C"") = $B44) *
            (IMPORTRANGE(""https://docs.google.com/spreadsheets/d/1tAaChe98Zh7vhMfGMK5Y4"&amp;"_ijmNb40fr519GtdZkkDUY/edit?gid=889896918#gid=889896918"", ""必殺ワザレギュ_グレード差分(全範囲一覧)!D:D"") = AA$43)
          ),
          0
        ),
        MATCH($B$13, IMPORTRANGE(""https://docs.google.com/spreadsheets/d/1tAaChe98Zh7vhMfGMK5Y4_ijmNb40fr519GtdZkkDUY/e"&amp;"dit?gid=889896918#gid=889896918"", ""必殺ワザレギュ_グレード差分(全範囲一覧)!BF8:BO8""), 0)
      ),
      ""-""
    ),
  ""-""))))))
,
""-""
)
"),"-")</f>
        <v>-</v>
      </c>
      <c r="AB44" s="9"/>
      <c r="AC44"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$B44
        ) *
        (
          IMPORTRANGE(""https://docs.google.com/spreadsheets/d/1t"&amp;"AaChe98Zh7vhMfGMK5Y4_ijmNb40fr519GtdZkkDUY/edit?gid=889896918#gid=889896918"", ""必殺ワザレギュ_グレード差分(全範囲一覧)!D:D"") = AC$43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$B44
          ) *
          (
            IMPORTRANGE(""https://docs.google.com/spreadsheets/d/1tAaChe98Zh7vhMfGMK5Y4_ijmNb40fr519GtdZkkDUY/edit?gid=889896918#gid=8898969"&amp;"18"", ""必殺ワザレギュ_グレード差分(全範囲一覧)!D:D"") = AC$43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AC$43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AC$43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$B44
          ) *
          (
            IM"&amp;"PORTRANGE(""https://docs.google.com/spreadsheets/d/1tAaChe98Zh7vhMfGMK5Y4_ijmNb40fr519GtdZkkDUY/edit?gid=889896918#gid=889896918"", ""必殺ワザレギュ_グレード差分(全範囲一覧)!D:D"") = AC$43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$B44
          ) *
          (
            IMPORTRANGE(""https://docs.google.com/spreadsheets/d/1tAaChe98Zh7vhMfGMK5Y4_ijmNb40f"&amp;"r519GtdZkkDUY/edit?gid=889896918#gid=889896918"", ""必殺ワザレギュ_グレード差分(全範囲一覧)!D:D"") = AC$43
          ),
          0
        ),
        MATCH(
          $B$13,
          IMPORTRANGE(""https://docs.google.com/spreadsheets/d/1tAaChe98Zh7vhMfGMK5Y4_ijmNb40fr519"&amp;"GtdZkkDUY/edit?gid=889896918#gid=889896918"", ""必殺ワザレギュ_グレード差分(全範囲一覧)!C8:L8""),
          0
        )
      ),
      ""-""
    )
  )
)
)))"),"-")</f>
        <v>-</v>
      </c>
      <c r="AD44" s="9"/>
      <c r="AE44"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$B44
        ) *
        (
          IMPORTRANGE(""https://docs.google.com/spreadsheets/d/1t"&amp;"AaChe98Zh7vhMfGMK5Y4_ijmNb40fr519GtdZkkDUY/edit?gid=889896918#gid=889896918"", ""必殺ワザレギュ_グレード差分(全範囲一覧)!D:D"") = AE$43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$B44
          ) *
          (
            IMPORTRANGE(""https://docs.google.com/spreadsheets/d/1tAaChe98Zh7vhMfGMK5Y4_ijmNb40fr519GtdZkkDUY/edit?gid=889896918#gid=8898969"&amp;"18"", ""必殺ワザレギュ_グレード差分(全範囲一覧)!D:D"") = AE$43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AE$43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AE$43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$B44
          ) *
          (
            IM"&amp;"PORTRANGE(""https://docs.google.com/spreadsheets/d/1tAaChe98Zh7vhMfGMK5Y4_ijmNb40fr519GtdZkkDUY/edit?gid=889896918#gid=889896918"", ""必殺ワザレギュ_グレード差分(全範囲一覧)!D:D"") = AE$43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$B44
          ) *
          (
            IMPORTRANGE(""https://docs.google.com/spreadsheets/d/1tAaChe98Zh7vhMfGMK5Y4_ijmNb40f"&amp;"r519GtdZkkDUY/edit?gid=889896918#gid=889896918"", ""必殺ワザレギュ_グレード差分(全範囲一覧)!D:D"") = AE$43
          ),
          0
        ),
        MATCH(
          $B$13,
          IMPORTRANGE(""https://docs.google.com/spreadsheets/d/1tAaChe98Zh7vhMfGMK5Y4_ijmNb40fr519"&amp;"GtdZkkDUY/edit?gid=889896918#gid=889896918"", ""必殺ワザレギュ_グレード差分(全範囲一覧)!C8:L8""),
          0
        )
      ),
      ""-""
    )
  )
)
)))"),"-")</f>
        <v>-</v>
      </c>
      <c r="AF44" s="9"/>
      <c r="AG44"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$B44
        ) *
        (
          IMPORTRANGE(""https://docs.google.com/spreadsheets/d/1t"&amp;"AaChe98Zh7vhMfGMK5Y4_ijmNb40fr519GtdZkkDUY/edit?gid=889896918#gid=889896918"", ""必殺ワザレギュ_グレード差分(全範囲一覧)!D:D"") = AG$43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$B44
          ) *
          (
            IMPORTRANGE(""https://docs.google.com/spreadsheets/d/1tAaChe98Zh7vhMfGMK5Y4_ijmNb40fr519GtdZkkDUY/edit?gid=889896918#gid=8898969"&amp;"18"", ""必殺ワザレギュ_グレード差分(全範囲一覧)!D:D"") = AG$43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AG$43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AG$43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$B44
          ) *
          (
            IM"&amp;"PORTRANGE(""https://docs.google.com/spreadsheets/d/1tAaChe98Zh7vhMfGMK5Y4_ijmNb40fr519GtdZkkDUY/edit?gid=889896918#gid=889896918"", ""必殺ワザレギュ_グレード差分(全範囲一覧)!D:D"") = AG$43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$B44
          ) *
          (
            IMPORTRANGE(""https://docs.google.com/spreadsheets/d/1tAaChe98Zh7vhMfGMK5Y4_ijmNb40f"&amp;"r519GtdZkkDUY/edit?gid=889896918#gid=889896918"", ""必殺ワザレギュ_グレード差分(全範囲一覧)!D:D"") = AG$43
          ),
          0
        ),
        MATCH(
          $B$13,
          IMPORTRANGE(""https://docs.google.com/spreadsheets/d/1tAaChe98Zh7vhMfGMK5Y4_ijmNb40fr519"&amp;"GtdZkkDUY/edit?gid=889896918#gid=889896918"", ""必殺ワザレギュ_グレード差分(全範囲一覧)!C8:L8""),
          0
        )
      ),
      ""-""
    )
  )
)
)))"),"-")</f>
        <v>-</v>
      </c>
      <c r="AH44" s="9"/>
      <c r="AI44"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$B44) *
            ("&amp;"IMPORTRANGE(""https://docs.google.com/spreadsheets/d/1tAaChe98Zh7vhMfGMK5Y4_ijmNb40fr519GtdZkkDUY/edit?gid=889896918#gid=889896918"", ""必殺ワザレギュ_グレード差分(全範囲一覧)!D:D"") = AI$43)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$B44) *
            (IMPORTRANGE(""https://docs.google.com/spreadsheets/d/1tAaChe98Zh7vhMfGMK5Y4_ijmNb40fr519GtdZkkDUY/edit?gid=889896918#gid=889896918"", ""必殺ワザレギュ_グレード差分(全範囲一覧)!D:D"") = AI$43)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$B44) *
            (IMPORTRANGE(""https://docs.google.com/spreadsheets/d/1tAaChe98Zh7vhMfGMK5Y4_ijmNb40fr519GtdZkkDUY/edit?gid=889896918#gid=889896918"", ""必殺ワザレギュ_グレード差分(全範囲一覧)!D:D"") = AI$43)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$B44) *
            (IMPORTRANGE(""https://docs.google.com/spreadsheets/d/1tAaChe98Zh7vhMfGMK5Y4_ijmNb40fr519GtdZkkDUY/edit?gid=889896918#gid=889896918"", ""必殺ワザレギュ_グレード差分(全範"&amp;"囲一覧)!D:D"") = AI$43)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$B44) *
            (IMPORTRANGE(""https://docs.google.com/spreadsheets/d/1tAaChe98Zh7vhMfGMK5Y4_ijmNb40fr519GtdZkkDUY/edit?gid=889896"&amp;"918#gid=889896918"", ""必殺ワザレギュ_グレード差分(全範囲一覧)!D:D"") = AI$43)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$B44) *
            (IMPORTRANGE(""https://docs.google.com/spreadsheets/d/1tAaChe98Zh7vh"&amp;"MfGMK5Y4_ijmNb40fr519GtdZkkDUY/edit?gid=889896918#gid=889896918"", ""必殺ワザレギュ_グレード差分(全範囲一覧)!D:D"") = AI$43)
          ),
          0
        ),
        MATCH($B$13, IMPORTRANGE(""https://docs.google.com/spreadsheets/d/1tAaChe98Zh7vhMfGMK5Y4_ijmNb40fr519Gtd"&amp;"ZkkDUY/edit?gid=889896918#gid=889896918"", ""必殺ワザレギュ_グレード差分(全範囲一覧)!BF8:BO8""), 0)
      ),
      ""-""
    ),
  ""-""))))))
,
""-""
)
"),"-")</f>
        <v>-</v>
      </c>
      <c r="AJ44" s="9"/>
      <c r="AK44"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$B44) *
            ("&amp;"IMPORTRANGE(""https://docs.google.com/spreadsheets/d/1tAaChe98Zh7vhMfGMK5Y4_ijmNb40fr519GtdZkkDUY/edit?gid=889896918#gid=889896918"", ""必殺ワザレギュ_グレード差分(全範囲一覧)!D:D"") = AK$43)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$B44) *
            (IMPORTRANGE(""https://docs.google.com/spreadsheets/d/1tAaChe98Zh7vhMfGMK5Y4_ijmNb40fr519GtdZkkDUY/edit?gid=889896918#gid=889896918"", ""必殺ワザレギュ_グレード差分(全範囲一覧)!D:D"") = AK$43)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$B44) *
            (IMPORTRANGE(""https://docs.google.com/spreadsheets/d/1tAaChe98Zh7vhMfGMK5Y4_ijmNb40fr519GtdZkkDUY/edit?gid=889896918#gid=889896918"", ""必殺ワザレギュ_グレード差分(全範囲一覧)!D:D"") = AK$43)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$B44) *
            (IMPORTRANGE(""https://docs.google.com/spreadsheets/d/1tAaChe98Zh7vhMfGMK5Y4_ijmNb40fr519GtdZkkDUY/edit?gid=889896918#gid=889896918"", ""必殺ワザレギュ_グレード差分(全範"&amp;"囲一覧)!D:D"") = AK$43)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$B44) *
            (IMPORTRANGE(""https://docs.google.com/spreadsheets/d/1tAaChe98Zh7vhMfGMK5Y4_ijmNb40fr519GtdZkkDUY/edit?gid=889896"&amp;"918#gid=889896918"", ""必殺ワザレギュ_グレード差分(全範囲一覧)!D:D"") = AK$43)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$B44) *
            (IMPORTRANGE(""https://docs.google.com/spreadsheets/d/1tAaChe98Zh7vh"&amp;"MfGMK5Y4_ijmNb40fr519GtdZkkDUY/edit?gid=889896918#gid=889896918"", ""必殺ワザレギュ_グレード差分(全範囲一覧)!D:D"") = AK$43)
          ),
          0
        ),
        MATCH($B$13, IMPORTRANGE(""https://docs.google.com/spreadsheets/d/1tAaChe98Zh7vhMfGMK5Y4_ijmNb40fr519Gtd"&amp;"ZkkDUY/edit?gid=889896918#gid=889896918"", ""必殺ワザレギュ_グレード差分(全範囲一覧)!BF8:BO8""), 0)
      ),
      ""-""
    ),
  ""-""))))))
,
""-""
)
"),"-")</f>
        <v>-</v>
      </c>
      <c r="AL44" s="9"/>
      <c r="AM44"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$B44) *
            ("&amp;"IMPORTRANGE(""https://docs.google.com/spreadsheets/d/1tAaChe98Zh7vhMfGMK5Y4_ijmNb40fr519GtdZkkDUY/edit?gid=889896918#gid=889896918"", ""必殺ワザレギュ_グレード差分(全範囲一覧)!D:D"") = AM$43)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$B44) *
            (IMPORTRANGE(""https://docs.google.com/spreadsheets/d/1tAaChe98Zh7vhMfGMK5Y4_ijmNb40fr519GtdZkkDUY/edit?gid=889896918#gid=889896918"", ""必殺ワザレギュ_グレード差分(全範囲一覧)!D:D"") = AM$43)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$B44) *
            (IMPORTRANGE(""https://docs.google.com/spreadsheets/d/1tAaChe98Zh7vhMfGMK5Y4_ijmNb40fr519GtdZkkDUY/edit?gid=889896918#gid=889896918"", ""必殺ワザレギュ_グレード差分(全範囲一覧)!D:D"") = AM$43)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$B44) *
            (IMPORTRANGE(""https://docs.google.com/spreadsheets/d/1tAaChe98Zh7vhMfGMK5Y4_ijmNb40fr519GtdZkkDUY/edit?gid=889896918#gid=889896918"", ""必殺ワザレギュ_グレード差分(全範"&amp;"囲一覧)!D:D"") = AM$43)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$B44) *
            (IMPORTRANGE(""https://docs.google.com/spreadsheets/d/1tAaChe98Zh7vhMfGMK5Y4_ijmNb40fr519GtdZkkDUY/edit?gid=889896"&amp;"918#gid=889896918"", ""必殺ワザレギュ_グレード差分(全範囲一覧)!D:D"") = AM$43)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$B44) *
            (IMPORTRANGE(""https://docs.google.com/spreadsheets/d/1tAaChe98Zh7vh"&amp;"MfGMK5Y4_ijmNb40fr519GtdZkkDUY/edit?gid=889896918#gid=889896918"", ""必殺ワザレギュ_グレード差分(全範囲一覧)!D:D"") = AM$43)
          ),
          0
        ),
        MATCH($B$13, IMPORTRANGE(""https://docs.google.com/spreadsheets/d/1tAaChe98Zh7vhMfGMK5Y4_ijmNb40fr519Gtd"&amp;"ZkkDUY/edit?gid=889896918#gid=889896918"", ""必殺ワザレギュ_グレード差分(全範囲一覧)!BF8:BO8""), 0)
      ),
      ""-""
    ),
  ""-""))))))
,
""-""
)
"),"-")</f>
        <v>-</v>
      </c>
      <c r="AN44" s="9"/>
      <c r="AO44" s="1"/>
      <c r="AP44" s="1"/>
      <c r="AQ44" s="1"/>
      <c r="AR44" s="1"/>
      <c r="AS44" s="2"/>
      <c r="AU44" s="40">
        <v>33.0</v>
      </c>
      <c r="AV44" s="40">
        <v>2.0</v>
      </c>
      <c r="AW44" s="49">
        <f t="shared" si="21"/>
        <v>3959</v>
      </c>
      <c r="AX44" s="48">
        <f t="shared" si="22"/>
        <v>4623</v>
      </c>
      <c r="AY44" s="50">
        <f t="shared" si="1"/>
        <v>4292</v>
      </c>
      <c r="AZ44" s="50">
        <f t="shared" si="2"/>
        <v>5012</v>
      </c>
      <c r="BA44" s="42">
        <f t="shared" si="3"/>
        <v>4767</v>
      </c>
      <c r="BB44" s="42">
        <f t="shared" si="4"/>
        <v>5044</v>
      </c>
      <c r="BC44" s="42">
        <f t="shared" si="5"/>
        <v>5202</v>
      </c>
      <c r="BD44" s="42">
        <f t="shared" si="6"/>
        <v>5281</v>
      </c>
      <c r="BE44" s="43">
        <f t="shared" si="7"/>
        <v>5281</v>
      </c>
      <c r="BF44" s="43">
        <f t="shared" si="8"/>
        <v>5281</v>
      </c>
      <c r="BG44" s="43">
        <f t="shared" si="9"/>
        <v>5281</v>
      </c>
      <c r="BH44" s="43">
        <f t="shared" si="10"/>
        <v>5281</v>
      </c>
      <c r="BI44" s="43">
        <f t="shared" si="11"/>
        <v>5281</v>
      </c>
      <c r="BJ44" s="44">
        <f t="shared" si="12"/>
        <v>5566</v>
      </c>
      <c r="BK44" s="44">
        <f t="shared" si="13"/>
        <v>5890</v>
      </c>
      <c r="BL44" s="44">
        <f t="shared" si="14"/>
        <v>6075</v>
      </c>
      <c r="BM44" s="44">
        <f t="shared" si="15"/>
        <v>6167</v>
      </c>
      <c r="BN44" s="45">
        <f t="shared" si="16"/>
        <v>6167</v>
      </c>
      <c r="BO44" s="45">
        <f t="shared" si="17"/>
        <v>6167</v>
      </c>
      <c r="BP44" s="45">
        <f t="shared" si="18"/>
        <v>6167</v>
      </c>
      <c r="BQ44" s="45">
        <f t="shared" si="19"/>
        <v>6167</v>
      </c>
      <c r="BR44" s="45">
        <f t="shared" si="20"/>
        <v>6167</v>
      </c>
      <c r="BU44" s="1"/>
    </row>
    <row r="45">
      <c r="A45" s="5"/>
      <c r="B45" s="63">
        <v>2.0</v>
      </c>
      <c r="C45" s="8"/>
      <c r="D45" s="9"/>
      <c r="E45" s="89">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E$43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E$43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E$43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E$43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E$43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E$43
          ),
          0
        ),
        MATCH(
          $B$13,
          IMPORTRANGE(""https://docs.google.com/spreadsheets/d/1tAaChe98Zh7vhMfGMK5Y4_ijmNb40fr519GtdZkkDUY/"&amp;"edit?gid=889896918#gid=889896918"", ""必殺ワザレギュ_グレード差分(全範囲一覧)!C8:L8""),
          0
        )
      ),
      ""-""
    )
  )
)
)))"),125.0)</f>
        <v>125</v>
      </c>
      <c r="F45" s="9"/>
      <c r="G45"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G$43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G$43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G$43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G$43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G$43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G$43
          ),
          0
        ),
        MATCH(
          $B$13,
          IMPORTRANGE(""https://docs.google.com/spreadsheets/d/1tAaChe98Zh7vhMfGMK5Y4_ijmNb40fr519GtdZkkDUY/"&amp;"edit?gid=889896918#gid=889896918"", ""必殺ワザレギュ_グレード差分(全範囲一覧)!C8:L8""),
          0
        )
      ),
      ""-""
    )
  )
)
)))"),"-")</f>
        <v>-</v>
      </c>
      <c r="H45" s="9"/>
      <c r="I45"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I$43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I$43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I$43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I$43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I$43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I$43
          ),
          0
        ),
        MATCH(
          $B$13,
          IMPORTRANGE(""https://docs.google.com/spreadsheets/d/1tAaChe98Zh7vhMfGMK5Y4_ijmNb40fr519GtdZkkDUY/"&amp;"edit?gid=889896918#gid=889896918"", ""必殺ワザレギュ_グレード差分(全範囲一覧)!C8:L8""),
          0
        )
      ),
      ""-""
    )
  )
)
)))"),"-")</f>
        <v>-</v>
      </c>
      <c r="J45" s="9"/>
      <c r="K45" s="90"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$B45) *
            (IMPORTRANGE(""https://docs.google.com/spreadsheets/d/1tAaChe98Zh7vhMfGMK5Y4_ijmNb40fr519GtdZkkDUY/edit?gid=889896918#gid=889896918"", ""必殺ワザレギュ_グレード差分(全範囲一覧)!D:D"") = K$43)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$B45) *
            (IMPORTRANGE(""https://docs.google.com/spreadsheets/d/1tAaChe98Zh7vhMfGMK5Y4_ijmNb40fr519GtdZkkDUY/edit?gid=889896918#gid=889896918"", ""必殺ワザレギュ_グレード差分(全範囲一"&amp;"覧)!D:D"") = K$43)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$B45) *
            (IMPORTRANGE(""https://docs.google.com/spreadsheets/d/1tAaChe98Zh7vhMfGMK5Y4_ijmNb40fr519GtdZkkDUY/edit?gid=889896918#gid=889"&amp;"896918"", ""必殺ワザレギュ_グレード差分(全範囲一覧)!D:D"") = K$43)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$B45) *
            (IMPORTRANGE(""https://docs.google.com/spreadsheets/d/1tAaChe98Zh7vhMfGMK5Y4_ijmNb40fr519G"&amp;"tdZkkDUY/edit?gid=889896918#gid=889896918"", ""必殺ワザレギュ_グレード差分(全範囲一覧)!D:D"") = K$43)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$B45) *
            (IMPORTRANGE(""https://docs.google.com/spreadsheets/"&amp;"d/1tAaChe98Zh7vhMfGMK5Y4_ijmNb40fr519GtdZkkDUY/edit?gid=889896918#gid=889896918"", ""必殺ワザレギュ_グレード差分(全範囲一覧)!D:D"") = K$43)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$B45) *
            (IMPORTR"&amp;"ANGE(""https://docs.google.com/spreadsheets/d/1tAaChe98Zh7vhMfGMK5Y4_ijmNb40fr519GtdZkkDUY/edit?gid=889896918#gid=889896918"", ""必殺ワザレギュ_グレード差分(全範囲一覧)!D:D"") = K$43)
          ),
          0
        ),
        MATCH($B$13, IMPORTRANGE(""https://docs.googl"&amp;"e.com/spreadsheets/d/1tAaChe98Zh7vhMfGMK5Y4_ijmNb40fr519GtdZkkDUY/edit?gid=889896918#gid=889896918"", ""必殺ワザレギュ_グレード差分(全範囲一覧)!BF8:BO8""), 0)
      ),
      ""-""
    ),
  ""-""))))))
,
""-""
)
"),"-")</f>
        <v>-</v>
      </c>
      <c r="L45" s="9"/>
      <c r="M45" s="90"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$B45) *
            (IMPORTRANGE(""https://docs.google.com/spreadsheets/d/1tAaChe98Zh7vhMfGMK5Y4_ijmNb40fr519GtdZkkDUY/edit?gid=889896918#gid=889896918"", ""必殺ワザレギュ_グレード差分(全範囲一覧)!D:D"") = M$43)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$B45) *
            (IMPORTRANGE(""https://docs.google.com/spreadsheets/d/1tAaChe98Zh7vhMfGMK5Y4_ijmNb40fr519GtdZkkDUY/edit?gid=889896918#gid=889896918"", ""必殺ワザレギュ_グレード差分(全範囲一"&amp;"覧)!D:D"") = M$43)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$B45) *
            (IMPORTRANGE(""https://docs.google.com/spreadsheets/d/1tAaChe98Zh7vhMfGMK5Y4_ijmNb40fr519GtdZkkDUY/edit?gid=889896918#gid=889"&amp;"896918"", ""必殺ワザレギュ_グレード差分(全範囲一覧)!D:D"") = M$43)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$B45) *
            (IMPORTRANGE(""https://docs.google.com/spreadsheets/d/1tAaChe98Zh7vhMfGMK5Y4_ijmNb40fr519G"&amp;"tdZkkDUY/edit?gid=889896918#gid=889896918"", ""必殺ワザレギュ_グレード差分(全範囲一覧)!D:D"") = M$43)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$B45) *
            (IMPORTRANGE(""https://docs.google.com/spreadsheets/"&amp;"d/1tAaChe98Zh7vhMfGMK5Y4_ijmNb40fr519GtdZkkDUY/edit?gid=889896918#gid=889896918"", ""必殺ワザレギュ_グレード差分(全範囲一覧)!D:D"") = M$43)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$B45) *
            (IMPORTR"&amp;"ANGE(""https://docs.google.com/spreadsheets/d/1tAaChe98Zh7vhMfGMK5Y4_ijmNb40fr519GtdZkkDUY/edit?gid=889896918#gid=889896918"", ""必殺ワザレギュ_グレード差分(全範囲一覧)!D:D"") = M$43)
          ),
          0
        ),
        MATCH($B$13, IMPORTRANGE(""https://docs.googl"&amp;"e.com/spreadsheets/d/1tAaChe98Zh7vhMfGMK5Y4_ijmNb40fr519GtdZkkDUY/edit?gid=889896918#gid=889896918"", ""必殺ワザレギュ_グレード差分(全範囲一覧)!BF8:BO8""), 0)
      ),
      ""-""
    ),
  ""-""))))))
,
""-""
)
"),"-")</f>
        <v>-</v>
      </c>
      <c r="N45" s="9"/>
      <c r="O45" s="90"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$B45) *
            (IMPORTRANGE(""https://docs.google.com/spreadsheets/d/1tAaChe98Zh7vhMfGMK5Y4_ijmNb40fr519GtdZkkDUY/edit?gid=889896918#gid=889896918"", ""必殺ワザレギュ_グレード差分(全範囲一覧)!D:D"") = O$43)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$B45) *
            (IMPORTRANGE(""https://docs.google.com/spreadsheets/d/1tAaChe98Zh7vhMfGMK5Y4_ijmNb40fr519GtdZkkDUY/edit?gid=889896918#gid=889896918"", ""必殺ワザレギュ_グレード差分(全範囲一"&amp;"覧)!D:D"") = O$43)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$B45) *
            (IMPORTRANGE(""https://docs.google.com/spreadsheets/d/1tAaChe98Zh7vhMfGMK5Y4_ijmNb40fr519GtdZkkDUY/edit?gid=889896918#gid=889"&amp;"896918"", ""必殺ワザレギュ_グレード差分(全範囲一覧)!D:D"") = O$43)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$B45) *
            (IMPORTRANGE(""https://docs.google.com/spreadsheets/d/1tAaChe98Zh7vhMfGMK5Y4_ijmNb40fr519G"&amp;"tdZkkDUY/edit?gid=889896918#gid=889896918"", ""必殺ワザレギュ_グレード差分(全範囲一覧)!D:D"") = O$43)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$B45) *
            (IMPORTRANGE(""https://docs.google.com/spreadsheets/"&amp;"d/1tAaChe98Zh7vhMfGMK5Y4_ijmNb40fr519GtdZkkDUY/edit?gid=889896918#gid=889896918"", ""必殺ワザレギュ_グレード差分(全範囲一覧)!D:D"") = O$43)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$B45) *
            (IMPORTR"&amp;"ANGE(""https://docs.google.com/spreadsheets/d/1tAaChe98Zh7vhMfGMK5Y4_ijmNb40fr519GtdZkkDUY/edit?gid=889896918#gid=889896918"", ""必殺ワザレギュ_グレード差分(全範囲一覧)!D:D"") = O$43)
          ),
          0
        ),
        MATCH($B$13, IMPORTRANGE(""https://docs.googl"&amp;"e.com/spreadsheets/d/1tAaChe98Zh7vhMfGMK5Y4_ijmNb40fr519GtdZkkDUY/edit?gid=889896918#gid=889896918"", ""必殺ワザレギュ_グレード差分(全範囲一覧)!BF8:BO8""), 0)
      ),
      ""-""
    ),
  ""-""))))))
,
""-""
)
"),"-")</f>
        <v>-</v>
      </c>
      <c r="P45" s="9"/>
      <c r="Q45"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Q$43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Q$43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Q$43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Q$43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Q$43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Q$43
          ),
          0
        ),
        MATCH(
          $B$13,
          IMPORTRANGE(""https://docs.google.com/spreadsheets/d/1tAaChe98Zh7vhMfGMK5Y4_ijmNb40fr519GtdZkkDUY/"&amp;"edit?gid=889896918#gid=889896918"", ""必殺ワザレギュ_グレード差分(全範囲一覧)!C8:L8""),
          0
        )
      ),
      ""-""
    )
  )
)
)))"),"-")</f>
        <v>-</v>
      </c>
      <c r="R45" s="9"/>
      <c r="S45"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S$43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S$43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S$43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S$43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S$43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S$43
          ),
          0
        ),
        MATCH(
          $B$13,
          IMPORTRANGE(""https://docs.google.com/spreadsheets/d/1tAaChe98Zh7vhMfGMK5Y4_ijmNb40fr519GtdZkkDUY/"&amp;"edit?gid=889896918#gid=889896918"", ""必殺ワザレギュ_グレード差分(全範囲一覧)!C8:L8""),
          0
        )
      ),
      ""-""
    )
  )
)
)))"),"-")</f>
        <v>-</v>
      </c>
      <c r="T45" s="9"/>
      <c r="U45"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U$43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U$43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U$43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U$43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U$43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U$43
          ),
          0
        ),
        MATCH(
          $B$13,
          IMPORTRANGE(""https://docs.google.com/spreadsheets/d/1tAaChe98Zh7vhMfGMK5Y4_ijmNb40fr519GtdZkkDUY/"&amp;"edit?gid=889896918#gid=889896918"", ""必殺ワザレギュ_グレード差分(全範囲一覧)!C8:L8""),
          0
        )
      ),
      ""-""
    )
  )
)
)))"),"-")</f>
        <v>-</v>
      </c>
      <c r="V45" s="9"/>
      <c r="W45" s="90"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$B45) *
            (IMPO"&amp;"RTRANGE(""https://docs.google.com/spreadsheets/d/1tAaChe98Zh7vhMfGMK5Y4_ijmNb40fr519GtdZkkDUY/edit?gid=889896918#gid=889896918"", ""必殺ワザレギュ_グレード差分(全範囲一覧)!D:D"") = W$43)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$B45) *
            (IMPORTRANGE(""https://docs.google.com/spreadsheets/d/1tAaChe98Zh7vhMfGMK5Y4_ijmNb40fr519GtdZkkDUY/edit?gid=889896918#gid=889896918"", ""必殺ワザレギュ_グレード差分(全範囲一覧)!D:D"") = W$43)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$B45) *
            (IMPORTRANGE(""https://docs.google.com/spreadsheets/d/1tAaChe98Zh7vhMfGMK5Y4_ijmNb40fr519GtdZkkDUY/edit?gid=889896918#gid=889896918"", ""必殺ワザレギュ_グレード差分(全範囲一覧)!D:D"") = W$43)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$B45) *
            (IMPORTRANGE(""https://docs.google.com/spreadsheets/d/1tAaChe98Zh7vhMfGMK5Y4_ijmNb40fr519GtdZkkDUY/edit?gid=889896918#gid=889896918"", ""必殺ワザレギュ_グレード差分(全範囲一覧)!D:D"&amp;""") = W$43)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$B45) *
            (IMPORTRANGE(""https://docs.google.com/spreadsheets/d/1tAaChe98Zh7vhMfGMK5Y4_ijmNb40fr519GtdZkkDUY/edit?gid=889896918#gid=88"&amp;"9896918"", ""必殺ワザレギュ_グレード差分(全範囲一覧)!D:D"") = W$43)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$B45) *
            (IMPORTRANGE(""https://docs.google.com/spreadsheets/d/1tAaChe98Zh7vhMfGMK5Y4_ijm"&amp;"Nb40fr519GtdZkkDUY/edit?gid=889896918#gid=889896918"", ""必殺ワザレギュ_グレード差分(全範囲一覧)!D:D"") = W$43)
          ),
          0
        ),
        MATCH($B$13, IMPORTRANGE(""https://docs.google.com/spreadsheets/d/1tAaChe98Zh7vhMfGMK5Y4_ijmNb40fr519GtdZkkDUY/edit?g"&amp;"id=889896918#gid=889896918"", ""必殺ワザレギュ_グレード差分(全範囲一覧)!BF8:BO8""), 0)
      ),
      ""-""
    ),
  ""-""))))))
,
""-""
)
"),"-")</f>
        <v>-</v>
      </c>
      <c r="X45" s="9"/>
      <c r="Y45" s="90"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$B45) *
            (IMPO"&amp;"RTRANGE(""https://docs.google.com/spreadsheets/d/1tAaChe98Zh7vhMfGMK5Y4_ijmNb40fr519GtdZkkDUY/edit?gid=889896918#gid=889896918"", ""必殺ワザレギュ_グレード差分(全範囲一覧)!D:D"") = Y$43)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$B45) *
            (IMPORTRANGE(""https://docs.google.com/spreadsheets/d/1tAaChe98Zh7vhMfGMK5Y4_ijmNb40fr519GtdZkkDUY/edit?gid=889896918#gid=889896918"", ""必殺ワザレギュ_グレード差分(全範囲一覧)!D:D"") = Y$43)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$B45) *
            (IMPORTRANGE(""https://docs.google.com/spreadsheets/d/1tAaChe98Zh7vhMfGMK5Y4_ijmNb40fr519GtdZkkDUY/edit?gid=889896918#gid=889896918"", ""必殺ワザレギュ_グレード差分(全範囲一覧)!D:D"") = Y$43)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$B45) *
            (IMPORTRANGE(""https://docs.google.com/spreadsheets/d/1tAaChe98Zh7vhMfGMK5Y4_ijmNb40fr519GtdZkkDUY/edit?gid=889896918#gid=889896918"", ""必殺ワザレギュ_グレード差分(全範囲一覧)!D:D"&amp;""") = Y$43)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$B45) *
            (IMPORTRANGE(""https://docs.google.com/spreadsheets/d/1tAaChe98Zh7vhMfGMK5Y4_ijmNb40fr519GtdZkkDUY/edit?gid=889896918#gid=88"&amp;"9896918"", ""必殺ワザレギュ_グレード差分(全範囲一覧)!D:D"") = Y$43)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$B45) *
            (IMPORTRANGE(""https://docs.google.com/spreadsheets/d/1tAaChe98Zh7vhMfGMK5Y4_ijm"&amp;"Nb40fr519GtdZkkDUY/edit?gid=889896918#gid=889896918"", ""必殺ワザレギュ_グレード差分(全範囲一覧)!D:D"") = Y$43)
          ),
          0
        ),
        MATCH($B$13, IMPORTRANGE(""https://docs.google.com/spreadsheets/d/1tAaChe98Zh7vhMfGMK5Y4_ijmNb40fr519GtdZkkDUY/edit?g"&amp;"id=889896918#gid=889896918"", ""必殺ワザレギュ_グレード差分(全範囲一覧)!BF8:BO8""), 0)
      ),
      ""-""
    ),
  ""-""))))))
,
""-""
)
"),"-")</f>
        <v>-</v>
      </c>
      <c r="Z45" s="9"/>
      <c r="AA45" s="90"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$B45) *
            (IMPO"&amp;"RTRANGE(""https://docs.google.com/spreadsheets/d/1tAaChe98Zh7vhMfGMK5Y4_ijmNb40fr519GtdZkkDUY/edit?gid=889896918#gid=889896918"", ""必殺ワザレギュ_グレード差分(全範囲一覧)!D:D"") = AA$43)
          ),
          0
        ),
        MATCH($B$13, IMPORTRANGE(""https://docs.g"&amp;"oogle.com/spreadsheets/d/1tAaChe98Zh7vhMfGMK5Y4_ijmNb40fr519GtdZkkDUY/edit?gid=889896918#gid=889896918"", ""必殺ワザレギュ_グレード差分(全範囲一覧)!C8:L8""), 0)
      ),
      ""-""
    ),
  IF(
    $AP$36 = ""瞬間型"",
    IFERROR(
      INDEX(
        IMPORTRANGE(""https://"&amp;"docs.google.com/spreadsheets/d/1tAaChe98Zh7vhMfGMK5Y4_ijmNb40fr519GtdZkkDUY/edit?gid=889896918#gid=889896918"", ""必殺ワザレギュ_グレード差分(全範囲一覧)!N:W""),
        MATCH(
          1,
          ARRAYFORMULA(
            ISNUMBER(SEARCH($Q$41, IMPORTRANGE(""https://do"&amp;"cs.google.com/spreadsheets/d/1tAaChe98Zh7vhMfGMK5Y4_ijmNb40fr519GtdZkkDUY/edit?gid=889896918#gid=889896918"",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$B45) *
            (IMPORTRANGE(""https://docs.google.com/spreadsheets/d/1tAaChe98Zh7vhMfGMK5Y4_ijmNb40fr519GtdZkkDUY/edit?gid=889896918#gid=889896918"", ""必殺ワザレギュ_グレード差分(全範囲一覧)!D:D"") = AA$43)
          ),
          0
        ),
        MATCH($B$1"&amp;"3, IMPORTRANGE(""https://docs.google.com/spreadsheets/d/1tAaChe98Zh7vhMfGMK5Y4_ijmNb40fr519GtdZkkDUY/edit?gid=889896918#gid=889896918"", ""必殺ワザレギュ_グレード差分(全範囲一覧)!N8:W8""), 0)
      ),
      ""-""
    ),
  IF(
    $AP$36 = ""安定型"",
    IFERROR(
      INDEX("&amp;"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(IMPORTRANGE(""https://docs.google.com/spreadsheets/d/1tAaChe98Zh7"&amp;"vhMfGMK5Y4_ijmNb40fr519GtdZkkDUY/edit?gid=889896918#gid=889896918"", ""必殺ワザレギュ_グレード差分(全範囲一覧)!X:X"") = ""安定型"") *
            (IMPORTRANGE(""https://docs.google.com/spreadsheets/d/1tAaChe98Zh7vhMfGMK5Y4_ijmNb40fr519GtdZkkDUY/edit?gid=889896918#gid=88989691"&amp;"8"", ""必殺ワザレギュ_グレード差分(全範囲一覧)!C:C"") = $B45) *
            (IMPORTRANGE(""https://docs.google.com/spreadsheets/d/1tAaChe98Zh7vhMfGMK5Y4_ijmNb40fr519GtdZkkDUY/edit?gid=889896918#gid=889896918"", ""必殺ワザレギュ_グレード差分(全範囲一覧)!D:D"") = AA$43)
          ),
         "&amp;" 0
        ),
        MATCH($B$13, IMPORTRANGE(""https://docs.google.com/spreadsheets/d/1tAaChe98Zh7vhMfGMK5Y4_ijmNb40fr519GtdZkkDUY/edit?gid=889896918#gid=889896918"", ""必殺ワザレギュ_グレード差分(全範囲一覧)!Y8:AH8""), 0)
      ),
      ""-""
    ),
  IF(
    $AP$36 = "&amp;"""持続型"",
    IFERROR(
      INDEX(
        IMPORTRANGE(""https://docs.google.com/spreadsheets/d/1tAaChe98Zh7vhMfGMK5Y4_ijmNb40fr519GtdZkkDUY/edit?gid=889896918#gid=889896918"", ""必殺ワザレギュ_グレード差分(全範囲一覧)!AJ:AS""),
        MATCH(
          1,
          ARRAYF"&amp;"ORMULA(
            ISNUMBER(SEARCH($Q$41, IMPORTRANGE(""https://docs.google.com/spreadsheets/d/1tAaChe98Zh7vhMfGMK5Y4_ijmNb40fr519GtdZkkDUY/edit?gid=889896918#gid=889896918"", ""必殺ワザレギュ_グレード差分(全範囲一覧)!A:A""))) *
            (IMPORTRANGE(""https://docs.goo"&amp;"gle.com/spreadsheets/d/1tAaChe98Zh7vhMfGMK5Y4_ijmNb40fr519GtdZkkDUY/edit?gid=889896918#gid=889896918"", ""必殺ワザレギュ_グレード差分(全範囲一覧)!AI:AI"") = ""持続型"") *
            (IMPORTRANGE(""https://docs.google.com/spreadsheets/d/1tAaChe98Zh7vhMfGMK5Y4_ijmNb40fr519GtdZ"&amp;"kkDUY/edit?gid=889896918#gid=889896918"", ""必殺ワザレギュ_グレード差分(全範囲一覧)!C:C"") = $B45) *
            (IMPORTRANGE(""https://docs.google.com/spreadsheets/d/1tAaChe98Zh7vhMfGMK5Y4_ijmNb40fr519GtdZkkDUY/edit?gid=889896918#gid=889896918"", ""必殺ワザレギュ_グレード差分(全範囲一覧)!D"&amp;":D"") = AA$43)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"&amp;"  MATCH(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(IMPORTRANGE(""https://docs.google.com/spreadsheets/d/"&amp;"1tAaChe98Zh7vhMfGMK5Y4_ijmNb40fr519GtdZkkDUY/edit?gid=889896918#gid=889896918"", ""必殺ワザレギュ_グレード差分(全範囲一覧)!C:C"") = $B45) *
            (IMPORTRANGE(""https://docs.google.com/spreadsheets/d/1tAaChe98Zh7vhMfGMK5Y4_ijmNb40fr519GtdZkkDUY/edit?gid=889896918#gid"&amp;"=889896918"", ""必殺ワザレギュ_グレード差分(全範囲一覧)!D:D"") = AA$43)
          ),
          0
        ),
        MATCH($B$13, IMPORTRANGE(""https://docs.google.com/spreadsheets/d/1tAaChe98Zh7vhMfGMK5Y4_ijmNb40fr519GtdZkkDUY/edit?gid=889896918#gid=889896918"", ""必殺ワザレギュ_"&amp;"グレード差分(全範囲一覧)!AU8:BD8""), 0)
      ),
      ""-""
    ),
  IF(
    $AP$36 = ""ハイブリッド型"",
    IFERROR(
      INDEX(
        IMPORTRANGE(""https://docs.google.com/spreadsheets/d/1tAaChe98Zh7vhMfGMK5Y4_ijmNb40fr519GtdZkkDUY/edit?gid=889896918#gid=889896918"""&amp;", ""必殺ワザレギュ_グレード差分(全範囲一覧)!BF:BO""),
        MATCH(
          1,
          ARRAYFORMULA(
            ISNUMBER(SEARCH($Q$41, IMPORTRANGE(""https://docs.google.com/spreadsheets/d/1tAaChe98Zh7vhMfGMK5Y4_ijmNb40fr519GtdZkkDUY/edit?gid=889896918#gid=889896918"""&amp;", ""必殺ワザレギュ_グレード差分(全範囲一覧)!A:A""))) *
            (IMPORTRANGE(""https://docs.google.com/spreadsheets/d/1tAaChe98Zh7vhMfGMK5Y4_ijmNb40fr519GtdZkkDUY/edit?gid=889896918#gid=889896918"", ""必殺ワザレギュ_グレード差分(全範囲一覧)!BE:BE"") = ""ハイブリッド型"") *
            (IMPORTRA"&amp;"NGE(""https://docs.google.com/spreadsheets/d/1tAaChe98Zh7vhMfGMK5Y4_ijmNb40fr519GtdZkkDUY/edit?gid=889896918#gid=889896918"", ""必殺ワザレギュ_グレード差分(全範囲一覧)!C:C"") = $B45) *
            (IMPORTRANGE(""https://docs.google.com/spreadsheets/d/1tAaChe98Zh7vhMfGMK5Y4"&amp;"_ijmNb40fr519GtdZkkDUY/edit?gid=889896918#gid=889896918"", ""必殺ワザレギュ_グレード差分(全範囲一覧)!D:D"") = AA$43)
          ),
          0
        ),
        MATCH($B$13, IMPORTRANGE(""https://docs.google.com/spreadsheets/d/1tAaChe98Zh7vhMfGMK5Y4_ijmNb40fr519GtdZkkDUY/e"&amp;"dit?gid=889896918#gid=889896918"", ""必殺ワザレギュ_グレード差分(全範囲一覧)!BF8:BO8""), 0)
      ),
      ""-""
    ),
  ""-""))))))
,
""-""
)
"),"-")</f>
        <v>-</v>
      </c>
      <c r="AB45" s="9"/>
      <c r="AC45"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$B45
        ) *
        (
          IMPORTRANGE(""https://docs.google.com/spreadsheets/d/1t"&amp;"AaChe98Zh7vhMfGMK5Y4_ijmNb40fr519GtdZkkDUY/edit?gid=889896918#gid=889896918"", ""必殺ワザレギュ_グレード差分(全範囲一覧)!D:D"") = AC$43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$B45
          ) *
          (
            IMPORTRANGE(""https://docs.google.com/spreadsheets/d/1tAaChe98Zh7vhMfGMK5Y4_ijmNb40fr519GtdZkkDUY/edit?gid=889896918#gid=8898969"&amp;"18"", ""必殺ワザレギュ_グレード差分(全範囲一覧)!D:D"") = AC$43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AC$43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AC$43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$B45
          ) *
          (
            IM"&amp;"PORTRANGE(""https://docs.google.com/spreadsheets/d/1tAaChe98Zh7vhMfGMK5Y4_ijmNb40fr519GtdZkkDUY/edit?gid=889896918#gid=889896918"", ""必殺ワザレギュ_グレード差分(全範囲一覧)!D:D"") = AC$43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$B45
          ) *
          (
            IMPORTRANGE(""https://docs.google.com/spreadsheets/d/1tAaChe98Zh7vhMfGMK5Y4_ijmNb40f"&amp;"r519GtdZkkDUY/edit?gid=889896918#gid=889896918"", ""必殺ワザレギュ_グレード差分(全範囲一覧)!D:D"") = AC$43
          ),
          0
        ),
        MATCH(
          $B$13,
          IMPORTRANGE(""https://docs.google.com/spreadsheets/d/1tAaChe98Zh7vhMfGMK5Y4_ijmNb40fr519"&amp;"GtdZkkDUY/edit?gid=889896918#gid=889896918"", ""必殺ワザレギュ_グレード差分(全範囲一覧)!C8:L8""),
          0
        )
      ),
      ""-""
    )
  )
)
)))"),"-")</f>
        <v>-</v>
      </c>
      <c r="AD45" s="9"/>
      <c r="AE45"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$B45
        ) *
        (
          IMPORTRANGE(""https://docs.google.com/spreadsheets/d/1t"&amp;"AaChe98Zh7vhMfGMK5Y4_ijmNb40fr519GtdZkkDUY/edit?gid=889896918#gid=889896918"", ""必殺ワザレギュ_グレード差分(全範囲一覧)!D:D"") = AE$43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$B45
          ) *
          (
            IMPORTRANGE(""https://docs.google.com/spreadsheets/d/1tAaChe98Zh7vhMfGMK5Y4_ijmNb40fr519GtdZkkDUY/edit?gid=889896918#gid=8898969"&amp;"18"", ""必殺ワザレギュ_グレード差分(全範囲一覧)!D:D"") = AE$43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AE$43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AE$43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$B45
          ) *
          (
            IM"&amp;"PORTRANGE(""https://docs.google.com/spreadsheets/d/1tAaChe98Zh7vhMfGMK5Y4_ijmNb40fr519GtdZkkDUY/edit?gid=889896918#gid=889896918"", ""必殺ワザレギュ_グレード差分(全範囲一覧)!D:D"") = AE$43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$B45
          ) *
          (
            IMPORTRANGE(""https://docs.google.com/spreadsheets/d/1tAaChe98Zh7vhMfGMK5Y4_ijmNb40f"&amp;"r519GtdZkkDUY/edit?gid=889896918#gid=889896918"", ""必殺ワザレギュ_グレード差分(全範囲一覧)!D:D"") = AE$43
          ),
          0
        ),
        MATCH(
          $B$13,
          IMPORTRANGE(""https://docs.google.com/spreadsheets/d/1tAaChe98Zh7vhMfGMK5Y4_ijmNb40fr519"&amp;"GtdZkkDUY/edit?gid=889896918#gid=889896918"", ""必殺ワザレギュ_グレード差分(全範囲一覧)!C8:L8""),
          0
        )
      ),
      ""-""
    )
  )
)
)))"),"-")</f>
        <v>-</v>
      </c>
      <c r="AF45" s="9"/>
      <c r="AG45"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$B45
        ) *
        (
          IMPORTRANGE(""https://docs.google.com/spreadsheets/d/1t"&amp;"AaChe98Zh7vhMfGMK5Y4_ijmNb40fr519GtdZkkDUY/edit?gid=889896918#gid=889896918"", ""必殺ワザレギュ_グレード差分(全範囲一覧)!D:D"") = AG$43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$B45
          ) *
          (
            IMPORTRANGE(""https://docs.google.com/spreadsheets/d/1tAaChe98Zh7vhMfGMK5Y4_ijmNb40fr519GtdZkkDUY/edit?gid=889896918#gid=8898969"&amp;"18"", ""必殺ワザレギュ_グレード差分(全範囲一覧)!D:D"") = AG$43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AG$43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AG$43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$B45
          ) *
          (
            IM"&amp;"PORTRANGE(""https://docs.google.com/spreadsheets/d/1tAaChe98Zh7vhMfGMK5Y4_ijmNb40fr519GtdZkkDUY/edit?gid=889896918#gid=889896918"", ""必殺ワザレギュ_グレード差分(全範囲一覧)!D:D"") = AG$43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$B45
          ) *
          (
            IMPORTRANGE(""https://docs.google.com/spreadsheets/d/1tAaChe98Zh7vhMfGMK5Y4_ijmNb40f"&amp;"r519GtdZkkDUY/edit?gid=889896918#gid=889896918"", ""必殺ワザレギュ_グレード差分(全範囲一覧)!D:D"") = AG$43
          ),
          0
        ),
        MATCH(
          $B$13,
          IMPORTRANGE(""https://docs.google.com/spreadsheets/d/1tAaChe98Zh7vhMfGMK5Y4_ijmNb40fr519"&amp;"GtdZkkDUY/edit?gid=889896918#gid=889896918"", ""必殺ワザレギュ_グレード差分(全範囲一覧)!C8:L8""),
          0
        )
      ),
      ""-""
    )
  )
)
)))"),"-")</f>
        <v>-</v>
      </c>
      <c r="AH45" s="9"/>
      <c r="AI45"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$B45) *
            ("&amp;"IMPORTRANGE(""https://docs.google.com/spreadsheets/d/1tAaChe98Zh7vhMfGMK5Y4_ijmNb40fr519GtdZkkDUY/edit?gid=889896918#gid=889896918"", ""必殺ワザレギュ_グレード差分(全範囲一覧)!D:D"") = AI$43)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$B45) *
            (IMPORTRANGE(""https://docs.google.com/spreadsheets/d/1tAaChe98Zh7vhMfGMK5Y4_ijmNb40fr519GtdZkkDUY/edit?gid=889896918#gid=889896918"", ""必殺ワザレギュ_グレード差分(全範囲一覧)!D:D"") = AI$43)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$B45) *
            (IMPORTRANGE(""https://docs.google.com/spreadsheets/d/1tAaChe98Zh7vhMfGMK5Y4_ijmNb40fr519GtdZkkDUY/edit?gid=889896918#gid=889896918"", ""必殺ワザレギュ_グレード差分(全範囲一覧)!D:D"") = AI$43)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$B45) *
            (IMPORTRANGE(""https://docs.google.com/spreadsheets/d/1tAaChe98Zh7vhMfGMK5Y4_ijmNb40fr519GtdZkkDUY/edit?gid=889896918#gid=889896918"", ""必殺ワザレギュ_グレード差分(全範"&amp;"囲一覧)!D:D"") = AI$43)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$B45) *
            (IMPORTRANGE(""https://docs.google.com/spreadsheets/d/1tAaChe98Zh7vhMfGMK5Y4_ijmNb40fr519GtdZkkDUY/edit?gid=889896"&amp;"918#gid=889896918"", ""必殺ワザレギュ_グレード差分(全範囲一覧)!D:D"") = AI$43)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$B45) *
            (IMPORTRANGE(""https://docs.google.com/spreadsheets/d/1tAaChe98Zh7vh"&amp;"MfGMK5Y4_ijmNb40fr519GtdZkkDUY/edit?gid=889896918#gid=889896918"", ""必殺ワザレギュ_グレード差分(全範囲一覧)!D:D"") = AI$43)
          ),
          0
        ),
        MATCH($B$13, IMPORTRANGE(""https://docs.google.com/spreadsheets/d/1tAaChe98Zh7vhMfGMK5Y4_ijmNb40fr519Gtd"&amp;"ZkkDUY/edit?gid=889896918#gid=889896918"", ""必殺ワザレギュ_グレード差分(全範囲一覧)!BF8:BO8""), 0)
      ),
      ""-""
    ),
  ""-""))))))
,
""-""
)
"),"-")</f>
        <v>-</v>
      </c>
      <c r="AJ45" s="9"/>
      <c r="AK45"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$B45) *
            ("&amp;"IMPORTRANGE(""https://docs.google.com/spreadsheets/d/1tAaChe98Zh7vhMfGMK5Y4_ijmNb40fr519GtdZkkDUY/edit?gid=889896918#gid=889896918"", ""必殺ワザレギュ_グレード差分(全範囲一覧)!D:D"") = AK$43)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$B45) *
            (IMPORTRANGE(""https://docs.google.com/spreadsheets/d/1tAaChe98Zh7vhMfGMK5Y4_ijmNb40fr519GtdZkkDUY/edit?gid=889896918#gid=889896918"", ""必殺ワザレギュ_グレード差分(全範囲一覧)!D:D"") = AK$43)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$B45) *
            (IMPORTRANGE(""https://docs.google.com/spreadsheets/d/1tAaChe98Zh7vhMfGMK5Y4_ijmNb40fr519GtdZkkDUY/edit?gid=889896918#gid=889896918"", ""必殺ワザレギュ_グレード差分(全範囲一覧)!D:D"") = AK$43)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$B45) *
            (IMPORTRANGE(""https://docs.google.com/spreadsheets/d/1tAaChe98Zh7vhMfGMK5Y4_ijmNb40fr519GtdZkkDUY/edit?gid=889896918#gid=889896918"", ""必殺ワザレギュ_グレード差分(全範"&amp;"囲一覧)!D:D"") = AK$43)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$B45) *
            (IMPORTRANGE(""https://docs.google.com/spreadsheets/d/1tAaChe98Zh7vhMfGMK5Y4_ijmNb40fr519GtdZkkDUY/edit?gid=889896"&amp;"918#gid=889896918"", ""必殺ワザレギュ_グレード差分(全範囲一覧)!D:D"") = AK$43)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$B45) *
            (IMPORTRANGE(""https://docs.google.com/spreadsheets/d/1tAaChe98Zh7vh"&amp;"MfGMK5Y4_ijmNb40fr519GtdZkkDUY/edit?gid=889896918#gid=889896918"", ""必殺ワザレギュ_グレード差分(全範囲一覧)!D:D"") = AK$43)
          ),
          0
        ),
        MATCH($B$13, IMPORTRANGE(""https://docs.google.com/spreadsheets/d/1tAaChe98Zh7vhMfGMK5Y4_ijmNb40fr519Gtd"&amp;"ZkkDUY/edit?gid=889896918#gid=889896918"", ""必殺ワザレギュ_グレード差分(全範囲一覧)!BF8:BO8""), 0)
      ),
      ""-""
    ),
  ""-""))))))
,
""-""
)
"),"-")</f>
        <v>-</v>
      </c>
      <c r="AL45" s="9"/>
      <c r="AM45"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$B45) *
            ("&amp;"IMPORTRANGE(""https://docs.google.com/spreadsheets/d/1tAaChe98Zh7vhMfGMK5Y4_ijmNb40fr519GtdZkkDUY/edit?gid=889896918#gid=889896918"", ""必殺ワザレギュ_グレード差分(全範囲一覧)!D:D"") = AM$43)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$B45) *
            (IMPORTRANGE(""https://docs.google.com/spreadsheets/d/1tAaChe98Zh7vhMfGMK5Y4_ijmNb40fr519GtdZkkDUY/edit?gid=889896918#gid=889896918"", ""必殺ワザレギュ_グレード差分(全範囲一覧)!D:D"") = AM$43)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$B45) *
            (IMPORTRANGE(""https://docs.google.com/spreadsheets/d/1tAaChe98Zh7vhMfGMK5Y4_ijmNb40fr519GtdZkkDUY/edit?gid=889896918#gid=889896918"", ""必殺ワザレギュ_グレード差分(全範囲一覧)!D:D"") = AM$43)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$B45) *
            (IMPORTRANGE(""https://docs.google.com/spreadsheets/d/1tAaChe98Zh7vhMfGMK5Y4_ijmNb40fr519GtdZkkDUY/edit?gid=889896918#gid=889896918"", ""必殺ワザレギュ_グレード差分(全範"&amp;"囲一覧)!D:D"") = AM$43)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$B45) *
            (IMPORTRANGE(""https://docs.google.com/spreadsheets/d/1tAaChe98Zh7vhMfGMK5Y4_ijmNb40fr519GtdZkkDUY/edit?gid=889896"&amp;"918#gid=889896918"", ""必殺ワザレギュ_グレード差分(全範囲一覧)!D:D"") = AM$43)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$B45) *
            (IMPORTRANGE(""https://docs.google.com/spreadsheets/d/1tAaChe98Zh7vh"&amp;"MfGMK5Y4_ijmNb40fr519GtdZkkDUY/edit?gid=889896918#gid=889896918"", ""必殺ワザレギュ_グレード差分(全範囲一覧)!D:D"") = AM$43)
          ),
          0
        ),
        MATCH($B$13, IMPORTRANGE(""https://docs.google.com/spreadsheets/d/1tAaChe98Zh7vhMfGMK5Y4_ijmNb40fr519Gtd"&amp;"ZkkDUY/edit?gid=889896918#gid=889896918"", ""必殺ワザレギュ_グレード差分(全範囲一覧)!BF8:BO8""), 0)
      ),
      ""-""
    ),
  ""-""))))))
,
""-""
)
"),"-")</f>
        <v>-</v>
      </c>
      <c r="AN45" s="9"/>
      <c r="AO45" s="1"/>
      <c r="AP45" s="1"/>
      <c r="AQ45" s="1"/>
      <c r="AR45" s="1"/>
      <c r="AS45" s="2"/>
      <c r="AU45" s="40">
        <v>34.0</v>
      </c>
      <c r="AV45" s="40">
        <v>2.0</v>
      </c>
      <c r="AW45" s="49">
        <f t="shared" si="21"/>
        <v>4044</v>
      </c>
      <c r="AX45" s="48">
        <f t="shared" si="22"/>
        <v>4722</v>
      </c>
      <c r="AY45" s="50">
        <f t="shared" si="1"/>
        <v>4377</v>
      </c>
      <c r="AZ45" s="50">
        <f t="shared" si="2"/>
        <v>5111</v>
      </c>
      <c r="BA45" s="42">
        <f t="shared" si="3"/>
        <v>4862</v>
      </c>
      <c r="BB45" s="42">
        <f t="shared" si="4"/>
        <v>5145</v>
      </c>
      <c r="BC45" s="42">
        <f t="shared" si="5"/>
        <v>5307</v>
      </c>
      <c r="BD45" s="42">
        <f t="shared" si="6"/>
        <v>5388</v>
      </c>
      <c r="BE45" s="43">
        <f t="shared" si="7"/>
        <v>5388</v>
      </c>
      <c r="BF45" s="43">
        <f t="shared" si="8"/>
        <v>5388</v>
      </c>
      <c r="BG45" s="43">
        <f t="shared" si="9"/>
        <v>5388</v>
      </c>
      <c r="BH45" s="43">
        <f t="shared" si="10"/>
        <v>5388</v>
      </c>
      <c r="BI45" s="43">
        <f t="shared" si="11"/>
        <v>5388</v>
      </c>
      <c r="BJ45" s="44">
        <f t="shared" si="12"/>
        <v>5677</v>
      </c>
      <c r="BK45" s="44">
        <f t="shared" si="13"/>
        <v>6008</v>
      </c>
      <c r="BL45" s="44">
        <f t="shared" si="14"/>
        <v>6197</v>
      </c>
      <c r="BM45" s="44">
        <f t="shared" si="15"/>
        <v>6291</v>
      </c>
      <c r="BN45" s="45">
        <f t="shared" si="16"/>
        <v>6291</v>
      </c>
      <c r="BO45" s="45">
        <f t="shared" si="17"/>
        <v>6291</v>
      </c>
      <c r="BP45" s="45">
        <f t="shared" si="18"/>
        <v>6291</v>
      </c>
      <c r="BQ45" s="45">
        <f t="shared" si="19"/>
        <v>6291</v>
      </c>
      <c r="BR45" s="45">
        <f t="shared" si="20"/>
        <v>6291</v>
      </c>
      <c r="BU45" s="1"/>
    </row>
    <row r="46">
      <c r="A46" s="5"/>
      <c r="B46" s="63">
        <v>3.0</v>
      </c>
      <c r="C46" s="8"/>
      <c r="D46" s="9"/>
      <c r="E46" s="89">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E$43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E$43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E$43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E$43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E$43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E$43
          ),
          0
        ),
        MATCH(
          $B$13,
          IMPORTRANGE(""https://docs.google.com/spreadsheets/d/1tAaChe98Zh7vhMfGMK5Y4_ijmNb40fr519GtdZkkDUY/"&amp;"edit?gid=889896918#gid=889896918"", ""必殺ワザレギュ_グレード差分(全範囲一覧)!C8:L8""),
          0
        )
      ),
      ""-""
    )
  )
)
)))"),136.0)</f>
        <v>136</v>
      </c>
      <c r="F46" s="9"/>
      <c r="G46"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G$43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G$43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G$43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G$43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G$43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G$43
          ),
          0
        ),
        MATCH(
          $B$13,
          IMPORTRANGE(""https://docs.google.com/spreadsheets/d/1tAaChe98Zh7vhMfGMK5Y4_ijmNb40fr519GtdZkkDUY/"&amp;"edit?gid=889896918#gid=889896918"", ""必殺ワザレギュ_グレード差分(全範囲一覧)!C8:L8""),
          0
        )
      ),
      ""-""
    )
  )
)
)))"),"-")</f>
        <v>-</v>
      </c>
      <c r="H46" s="9"/>
      <c r="I46"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I$43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I$43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I$43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I$43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I$43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I$43
          ),
          0
        ),
        MATCH(
          $B$13,
          IMPORTRANGE(""https://docs.google.com/spreadsheets/d/1tAaChe98Zh7vhMfGMK5Y4_ijmNb40fr519GtdZkkDUY/"&amp;"edit?gid=889896918#gid=889896918"", ""必殺ワザレギュ_グレード差分(全範囲一覧)!C8:L8""),
          0
        )
      ),
      ""-""
    )
  )
)
)))"),"-")</f>
        <v>-</v>
      </c>
      <c r="J46" s="9"/>
      <c r="K46" s="90"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$B46) *
            (IMPORTRANGE(""https://docs.google.com/spreadsheets/d/1tAaChe98Zh7vhMfGMK5Y4_ijmNb40fr519GtdZkkDUY/edit?gid=889896918#gid=889896918"", ""必殺ワザレギュ_グレード差分(全範囲一覧)!D:D"") = K$43)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$B46) *
            (IMPORTRANGE(""https://docs.google.com/spreadsheets/d/1tAaChe98Zh7vhMfGMK5Y4_ijmNb40fr519GtdZkkDUY/edit?gid=889896918#gid=889896918"", ""必殺ワザレギュ_グレード差分(全範囲一"&amp;"覧)!D:D"") = K$43)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$B46) *
            (IMPORTRANGE(""https://docs.google.com/spreadsheets/d/1tAaChe98Zh7vhMfGMK5Y4_ijmNb40fr519GtdZkkDUY/edit?gid=889896918#gid=889"&amp;"896918"", ""必殺ワザレギュ_グレード差分(全範囲一覧)!D:D"") = K$43)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$B46) *
            (IMPORTRANGE(""https://docs.google.com/spreadsheets/d/1tAaChe98Zh7vhMfGMK5Y4_ijmNb40fr519G"&amp;"tdZkkDUY/edit?gid=889896918#gid=889896918"", ""必殺ワザレギュ_グレード差分(全範囲一覧)!D:D"") = K$43)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$B46) *
            (IMPORTRANGE(""https://docs.google.com/spreadsheets/"&amp;"d/1tAaChe98Zh7vhMfGMK5Y4_ijmNb40fr519GtdZkkDUY/edit?gid=889896918#gid=889896918"", ""必殺ワザレギュ_グレード差分(全範囲一覧)!D:D"") = K$43)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$B46) *
            (IMPORTR"&amp;"ANGE(""https://docs.google.com/spreadsheets/d/1tAaChe98Zh7vhMfGMK5Y4_ijmNb40fr519GtdZkkDUY/edit?gid=889896918#gid=889896918"", ""必殺ワザレギュ_グレード差分(全範囲一覧)!D:D"") = K$43)
          ),
          0
        ),
        MATCH($B$13, IMPORTRANGE(""https://docs.googl"&amp;"e.com/spreadsheets/d/1tAaChe98Zh7vhMfGMK5Y4_ijmNb40fr519GtdZkkDUY/edit?gid=889896918#gid=889896918"", ""必殺ワザレギュ_グレード差分(全範囲一覧)!BF8:BO8""), 0)
      ),
      ""-""
    ),
  ""-""))))))
,
""-""
)
"),"-")</f>
        <v>-</v>
      </c>
      <c r="L46" s="9"/>
      <c r="M46" s="90"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$B46) *
            (IMPORTRANGE(""https://docs.google.com/spreadsheets/d/1tAaChe98Zh7vhMfGMK5Y4_ijmNb40fr519GtdZkkDUY/edit?gid=889896918#gid=889896918"", ""必殺ワザレギュ_グレード差分(全範囲一覧)!D:D"") = M$43)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$B46) *
            (IMPORTRANGE(""https://docs.google.com/spreadsheets/d/1tAaChe98Zh7vhMfGMK5Y4_ijmNb40fr519GtdZkkDUY/edit?gid=889896918#gid=889896918"", ""必殺ワザレギュ_グレード差分(全範囲一"&amp;"覧)!D:D"") = M$43)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$B46) *
            (IMPORTRANGE(""https://docs.google.com/spreadsheets/d/1tAaChe98Zh7vhMfGMK5Y4_ijmNb40fr519GtdZkkDUY/edit?gid=889896918#gid=889"&amp;"896918"", ""必殺ワザレギュ_グレード差分(全範囲一覧)!D:D"") = M$43)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$B46) *
            (IMPORTRANGE(""https://docs.google.com/spreadsheets/d/1tAaChe98Zh7vhMfGMK5Y4_ijmNb40fr519G"&amp;"tdZkkDUY/edit?gid=889896918#gid=889896918"", ""必殺ワザレギュ_グレード差分(全範囲一覧)!D:D"") = M$43)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$B46) *
            (IMPORTRANGE(""https://docs.google.com/spreadsheets/"&amp;"d/1tAaChe98Zh7vhMfGMK5Y4_ijmNb40fr519GtdZkkDUY/edit?gid=889896918#gid=889896918"", ""必殺ワザレギュ_グレード差分(全範囲一覧)!D:D"") = M$43)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$B46) *
            (IMPORTR"&amp;"ANGE(""https://docs.google.com/spreadsheets/d/1tAaChe98Zh7vhMfGMK5Y4_ijmNb40fr519GtdZkkDUY/edit?gid=889896918#gid=889896918"", ""必殺ワザレギュ_グレード差分(全範囲一覧)!D:D"") = M$43)
          ),
          0
        ),
        MATCH($B$13, IMPORTRANGE(""https://docs.googl"&amp;"e.com/spreadsheets/d/1tAaChe98Zh7vhMfGMK5Y4_ijmNb40fr519GtdZkkDUY/edit?gid=889896918#gid=889896918"", ""必殺ワザレギュ_グレード差分(全範囲一覧)!BF8:BO8""), 0)
      ),
      ""-""
    ),
  ""-""))))))
,
""-""
)
"),"-")</f>
        <v>-</v>
      </c>
      <c r="N46" s="9"/>
      <c r="O46" s="90"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$B46) *
            (IMPORTRANGE(""https://docs.google.com/spreadsheets/d/1tAaChe98Zh7vhMfGMK5Y4_ijmNb40fr519GtdZkkDUY/edit?gid=889896918#gid=889896918"", ""必殺ワザレギュ_グレード差分(全範囲一覧)!D:D"") = O$43)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$B46) *
            (IMPORTRANGE(""https://docs.google.com/spreadsheets/d/1tAaChe98Zh7vhMfGMK5Y4_ijmNb40fr519GtdZkkDUY/edit?gid=889896918#gid=889896918"", ""必殺ワザレギュ_グレード差分(全範囲一"&amp;"覧)!D:D"") = O$43)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$B46) *
            (IMPORTRANGE(""https://docs.google.com/spreadsheets/d/1tAaChe98Zh7vhMfGMK5Y4_ijmNb40fr519GtdZkkDUY/edit?gid=889896918#gid=889"&amp;"896918"", ""必殺ワザレギュ_グレード差分(全範囲一覧)!D:D"") = O$43)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$B46) *
            (IMPORTRANGE(""https://docs.google.com/spreadsheets/d/1tAaChe98Zh7vhMfGMK5Y4_ijmNb40fr519G"&amp;"tdZkkDUY/edit?gid=889896918#gid=889896918"", ""必殺ワザレギュ_グレード差分(全範囲一覧)!D:D"") = O$43)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$B46) *
            (IMPORTRANGE(""https://docs.google.com/spreadsheets/"&amp;"d/1tAaChe98Zh7vhMfGMK5Y4_ijmNb40fr519GtdZkkDUY/edit?gid=889896918#gid=889896918"", ""必殺ワザレギュ_グレード差分(全範囲一覧)!D:D"") = O$43)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$B46) *
            (IMPORTR"&amp;"ANGE(""https://docs.google.com/spreadsheets/d/1tAaChe98Zh7vhMfGMK5Y4_ijmNb40fr519GtdZkkDUY/edit?gid=889896918#gid=889896918"", ""必殺ワザレギュ_グレード差分(全範囲一覧)!D:D"") = O$43)
          ),
          0
        ),
        MATCH($B$13, IMPORTRANGE(""https://docs.googl"&amp;"e.com/spreadsheets/d/1tAaChe98Zh7vhMfGMK5Y4_ijmNb40fr519GtdZkkDUY/edit?gid=889896918#gid=889896918"", ""必殺ワザレギュ_グレード差分(全範囲一覧)!BF8:BO8""), 0)
      ),
      ""-""
    ),
  ""-""))))))
,
""-""
)
"),"-")</f>
        <v>-</v>
      </c>
      <c r="P46" s="9"/>
      <c r="Q46"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Q$43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Q$43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Q$43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Q$43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Q$43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Q$43
          ),
          0
        ),
        MATCH(
          $B$13,
          IMPORTRANGE(""https://docs.google.com/spreadsheets/d/1tAaChe98Zh7vhMfGMK5Y4_ijmNb40fr519GtdZkkDUY/"&amp;"edit?gid=889896918#gid=889896918"", ""必殺ワザレギュ_グレード差分(全範囲一覧)!C8:L8""),
          0
        )
      ),
      ""-""
    )
  )
)
)))"),"-")</f>
        <v>-</v>
      </c>
      <c r="R46" s="9"/>
      <c r="S46"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S$43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S$43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S$43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S$43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S$43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S$43
          ),
          0
        ),
        MATCH(
          $B$13,
          IMPORTRANGE(""https://docs.google.com/spreadsheets/d/1tAaChe98Zh7vhMfGMK5Y4_ijmNb40fr519GtdZkkDUY/"&amp;"edit?gid=889896918#gid=889896918"", ""必殺ワザレギュ_グレード差分(全範囲一覧)!C8:L8""),
          0
        )
      ),
      ""-""
    )
  )
)
)))"),"-")</f>
        <v>-</v>
      </c>
      <c r="T46" s="9"/>
      <c r="U46"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U$43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U$43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U$43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U$43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U$43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U$43
          ),
          0
        ),
        MATCH(
          $B$13,
          IMPORTRANGE(""https://docs.google.com/spreadsheets/d/1tAaChe98Zh7vhMfGMK5Y4_ijmNb40fr519GtdZkkDUY/"&amp;"edit?gid=889896918#gid=889896918"", ""必殺ワザレギュ_グレード差分(全範囲一覧)!C8:L8""),
          0
        )
      ),
      ""-""
    )
  )
)
)))"),"-")</f>
        <v>-</v>
      </c>
      <c r="V46" s="9"/>
      <c r="W46" s="90"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$B46) *
            (IMPO"&amp;"RTRANGE(""https://docs.google.com/spreadsheets/d/1tAaChe98Zh7vhMfGMK5Y4_ijmNb40fr519GtdZkkDUY/edit?gid=889896918#gid=889896918"", ""必殺ワザレギュ_グレード差分(全範囲一覧)!D:D"") = W$43)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$B46) *
            (IMPORTRANGE(""https://docs.google.com/spreadsheets/d/1tAaChe98Zh7vhMfGMK5Y4_ijmNb40fr519GtdZkkDUY/edit?gid=889896918#gid=889896918"", ""必殺ワザレギュ_グレード差分(全範囲一覧)!D:D"") = W$43)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$B46) *
            (IMPORTRANGE(""https://docs.google.com/spreadsheets/d/1tAaChe98Zh7vhMfGMK5Y4_ijmNb40fr519GtdZkkDUY/edit?gid=889896918#gid=889896918"", ""必殺ワザレギュ_グレード差分(全範囲一覧)!D:D"") = W$43)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$B46) *
            (IMPORTRANGE(""https://docs.google.com/spreadsheets/d/1tAaChe98Zh7vhMfGMK5Y4_ijmNb40fr519GtdZkkDUY/edit?gid=889896918#gid=889896918"", ""必殺ワザレギュ_グレード差分(全範囲一覧)!D:D"&amp;""") = W$43)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$B46) *
            (IMPORTRANGE(""https://docs.google.com/spreadsheets/d/1tAaChe98Zh7vhMfGMK5Y4_ijmNb40fr519GtdZkkDUY/edit?gid=889896918#gid=88"&amp;"9896918"", ""必殺ワザレギュ_グレード差分(全範囲一覧)!D:D"") = W$43)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$B46) *
            (IMPORTRANGE(""https://docs.google.com/spreadsheets/d/1tAaChe98Zh7vhMfGMK5Y4_ijm"&amp;"Nb40fr519GtdZkkDUY/edit?gid=889896918#gid=889896918"", ""必殺ワザレギュ_グレード差分(全範囲一覧)!D:D"") = W$43)
          ),
          0
        ),
        MATCH($B$13, IMPORTRANGE(""https://docs.google.com/spreadsheets/d/1tAaChe98Zh7vhMfGMK5Y4_ijmNb40fr519GtdZkkDUY/edit?g"&amp;"id=889896918#gid=889896918"", ""必殺ワザレギュ_グレード差分(全範囲一覧)!BF8:BO8""), 0)
      ),
      ""-""
    ),
  ""-""))))))
,
""-""
)
"),"-")</f>
        <v>-</v>
      </c>
      <c r="X46" s="9"/>
      <c r="Y46" s="90"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$B46) *
            (IMPO"&amp;"RTRANGE(""https://docs.google.com/spreadsheets/d/1tAaChe98Zh7vhMfGMK5Y4_ijmNb40fr519GtdZkkDUY/edit?gid=889896918#gid=889896918"", ""必殺ワザレギュ_グレード差分(全範囲一覧)!D:D"") = Y$43)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$B46) *
            (IMPORTRANGE(""https://docs.google.com/spreadsheets/d/1tAaChe98Zh7vhMfGMK5Y4_ijmNb40fr519GtdZkkDUY/edit?gid=889896918#gid=889896918"", ""必殺ワザレギュ_グレード差分(全範囲一覧)!D:D"") = Y$43)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$B46) *
            (IMPORTRANGE(""https://docs.google.com/spreadsheets/d/1tAaChe98Zh7vhMfGMK5Y4_ijmNb40fr519GtdZkkDUY/edit?gid=889896918#gid=889896918"", ""必殺ワザレギュ_グレード差分(全範囲一覧)!D:D"") = Y$43)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$B46) *
            (IMPORTRANGE(""https://docs.google.com/spreadsheets/d/1tAaChe98Zh7vhMfGMK5Y4_ijmNb40fr519GtdZkkDUY/edit?gid=889896918#gid=889896918"", ""必殺ワザレギュ_グレード差分(全範囲一覧)!D:D"&amp;""") = Y$43)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$B46) *
            (IMPORTRANGE(""https://docs.google.com/spreadsheets/d/1tAaChe98Zh7vhMfGMK5Y4_ijmNb40fr519GtdZkkDUY/edit?gid=889896918#gid=88"&amp;"9896918"", ""必殺ワザレギュ_グレード差分(全範囲一覧)!D:D"") = Y$43)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$B46) *
            (IMPORTRANGE(""https://docs.google.com/spreadsheets/d/1tAaChe98Zh7vhMfGMK5Y4_ijm"&amp;"Nb40fr519GtdZkkDUY/edit?gid=889896918#gid=889896918"", ""必殺ワザレギュ_グレード差分(全範囲一覧)!D:D"") = Y$43)
          ),
          0
        ),
        MATCH($B$13, IMPORTRANGE(""https://docs.google.com/spreadsheets/d/1tAaChe98Zh7vhMfGMK5Y4_ijmNb40fr519GtdZkkDUY/edit?g"&amp;"id=889896918#gid=889896918"", ""必殺ワザレギュ_グレード差分(全範囲一覧)!BF8:BO8""), 0)
      ),
      ""-""
    ),
  ""-""))))))
,
""-""
)
"),"-")</f>
        <v>-</v>
      </c>
      <c r="Z46" s="9"/>
      <c r="AA46" s="90"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$B46) *
            (IMPO"&amp;"RTRANGE(""https://docs.google.com/spreadsheets/d/1tAaChe98Zh7vhMfGMK5Y4_ijmNb40fr519GtdZkkDUY/edit?gid=889896918#gid=889896918"", ""必殺ワザレギュ_グレード差分(全範囲一覧)!D:D"") = AA$43)
          ),
          0
        ),
        MATCH($B$13, IMPORTRANGE(""https://docs.g"&amp;"oogle.com/spreadsheets/d/1tAaChe98Zh7vhMfGMK5Y4_ijmNb40fr519GtdZkkDUY/edit?gid=889896918#gid=889896918"", ""必殺ワザレギュ_グレード差分(全範囲一覧)!C8:L8""), 0)
      ),
      ""-""
    ),
  IF(
    $AP$36 = ""瞬間型"",
    IFERROR(
      INDEX(
        IMPORTRANGE(""https://"&amp;"docs.google.com/spreadsheets/d/1tAaChe98Zh7vhMfGMK5Y4_ijmNb40fr519GtdZkkDUY/edit?gid=889896918#gid=889896918"", ""必殺ワザレギュ_グレード差分(全範囲一覧)!N:W""),
        MATCH(
          1,
          ARRAYFORMULA(
            ISNUMBER(SEARCH($Q$41, IMPORTRANGE(""https://do"&amp;"cs.google.com/spreadsheets/d/1tAaChe98Zh7vhMfGMK5Y4_ijmNb40fr519GtdZkkDUY/edit?gid=889896918#gid=889896918"",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$B46) *
            (IMPORTRANGE(""https://docs.google.com/spreadsheets/d/1tAaChe98Zh7vhMfGMK5Y4_ijmNb40fr519GtdZkkDUY/edit?gid=889896918#gid=889896918"", ""必殺ワザレギュ_グレード差分(全範囲一覧)!D:D"") = AA$43)
          ),
          0
        ),
        MATCH($B$1"&amp;"3, IMPORTRANGE(""https://docs.google.com/spreadsheets/d/1tAaChe98Zh7vhMfGMK5Y4_ijmNb40fr519GtdZkkDUY/edit?gid=889896918#gid=889896918"", ""必殺ワザレギュ_グレード差分(全範囲一覧)!N8:W8""), 0)
      ),
      ""-""
    ),
  IF(
    $AP$36 = ""安定型"",
    IFERROR(
      INDEX("&amp;"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(IMPORTRANGE(""https://docs.google.com/spreadsheets/d/1tAaChe98Zh7"&amp;"vhMfGMK5Y4_ijmNb40fr519GtdZkkDUY/edit?gid=889896918#gid=889896918"", ""必殺ワザレギュ_グレード差分(全範囲一覧)!X:X"") = ""安定型"") *
            (IMPORTRANGE(""https://docs.google.com/spreadsheets/d/1tAaChe98Zh7vhMfGMK5Y4_ijmNb40fr519GtdZkkDUY/edit?gid=889896918#gid=88989691"&amp;"8"", ""必殺ワザレギュ_グレード差分(全範囲一覧)!C:C"") = $B46) *
            (IMPORTRANGE(""https://docs.google.com/spreadsheets/d/1tAaChe98Zh7vhMfGMK5Y4_ijmNb40fr519GtdZkkDUY/edit?gid=889896918#gid=889896918"", ""必殺ワザレギュ_グレード差分(全範囲一覧)!D:D"") = AA$43)
          ),
         "&amp;" 0
        ),
        MATCH($B$13, IMPORTRANGE(""https://docs.google.com/spreadsheets/d/1tAaChe98Zh7vhMfGMK5Y4_ijmNb40fr519GtdZkkDUY/edit?gid=889896918#gid=889896918"", ""必殺ワザレギュ_グレード差分(全範囲一覧)!Y8:AH8""), 0)
      ),
      ""-""
    ),
  IF(
    $AP$36 = "&amp;"""持続型"",
    IFERROR(
      INDEX(
        IMPORTRANGE(""https://docs.google.com/spreadsheets/d/1tAaChe98Zh7vhMfGMK5Y4_ijmNb40fr519GtdZkkDUY/edit?gid=889896918#gid=889896918"", ""必殺ワザレギュ_グレード差分(全範囲一覧)!AJ:AS""),
        MATCH(
          1,
          ARRAYF"&amp;"ORMULA(
            ISNUMBER(SEARCH($Q$41, IMPORTRANGE(""https://docs.google.com/spreadsheets/d/1tAaChe98Zh7vhMfGMK5Y4_ijmNb40fr519GtdZkkDUY/edit?gid=889896918#gid=889896918"", ""必殺ワザレギュ_グレード差分(全範囲一覧)!A:A""))) *
            (IMPORTRANGE(""https://docs.goo"&amp;"gle.com/spreadsheets/d/1tAaChe98Zh7vhMfGMK5Y4_ijmNb40fr519GtdZkkDUY/edit?gid=889896918#gid=889896918"", ""必殺ワザレギュ_グレード差分(全範囲一覧)!AI:AI"") = ""持続型"") *
            (IMPORTRANGE(""https://docs.google.com/spreadsheets/d/1tAaChe98Zh7vhMfGMK5Y4_ijmNb40fr519GtdZ"&amp;"kkDUY/edit?gid=889896918#gid=889896918"", ""必殺ワザレギュ_グレード差分(全範囲一覧)!C:C"") = $B46) *
            (IMPORTRANGE(""https://docs.google.com/spreadsheets/d/1tAaChe98Zh7vhMfGMK5Y4_ijmNb40fr519GtdZkkDUY/edit?gid=889896918#gid=889896918"", ""必殺ワザレギュ_グレード差分(全範囲一覧)!D"&amp;":D"") = AA$43)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"&amp;"  MATCH(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(IMPORTRANGE(""https://docs.google.com/spreadsheets/d/"&amp;"1tAaChe98Zh7vhMfGMK5Y4_ijmNb40fr519GtdZkkDUY/edit?gid=889896918#gid=889896918"", ""必殺ワザレギュ_グレード差分(全範囲一覧)!C:C"") = $B46) *
            (IMPORTRANGE(""https://docs.google.com/spreadsheets/d/1tAaChe98Zh7vhMfGMK5Y4_ijmNb40fr519GtdZkkDUY/edit?gid=889896918#gid"&amp;"=889896918"", ""必殺ワザレギュ_グレード差分(全範囲一覧)!D:D"") = AA$43)
          ),
          0
        ),
        MATCH($B$13, IMPORTRANGE(""https://docs.google.com/spreadsheets/d/1tAaChe98Zh7vhMfGMK5Y4_ijmNb40fr519GtdZkkDUY/edit?gid=889896918#gid=889896918"", ""必殺ワザレギュ_"&amp;"グレード差分(全範囲一覧)!AU8:BD8""), 0)
      ),
      ""-""
    ),
  IF(
    $AP$36 = ""ハイブリッド型"",
    IFERROR(
      INDEX(
        IMPORTRANGE(""https://docs.google.com/spreadsheets/d/1tAaChe98Zh7vhMfGMK5Y4_ijmNb40fr519GtdZkkDUY/edit?gid=889896918#gid=889896918"""&amp;", ""必殺ワザレギュ_グレード差分(全範囲一覧)!BF:BO""),
        MATCH(
          1,
          ARRAYFORMULA(
            ISNUMBER(SEARCH($Q$41, IMPORTRANGE(""https://docs.google.com/spreadsheets/d/1tAaChe98Zh7vhMfGMK5Y4_ijmNb40fr519GtdZkkDUY/edit?gid=889896918#gid=889896918"""&amp;", ""必殺ワザレギュ_グレード差分(全範囲一覧)!A:A""))) *
            (IMPORTRANGE(""https://docs.google.com/spreadsheets/d/1tAaChe98Zh7vhMfGMK5Y4_ijmNb40fr519GtdZkkDUY/edit?gid=889896918#gid=889896918"", ""必殺ワザレギュ_グレード差分(全範囲一覧)!BE:BE"") = ""ハイブリッド型"") *
            (IMPORTRA"&amp;"NGE(""https://docs.google.com/spreadsheets/d/1tAaChe98Zh7vhMfGMK5Y4_ijmNb40fr519GtdZkkDUY/edit?gid=889896918#gid=889896918"", ""必殺ワザレギュ_グレード差分(全範囲一覧)!C:C"") = $B46) *
            (IMPORTRANGE(""https://docs.google.com/spreadsheets/d/1tAaChe98Zh7vhMfGMK5Y4"&amp;"_ijmNb40fr519GtdZkkDUY/edit?gid=889896918#gid=889896918"", ""必殺ワザレギュ_グレード差分(全範囲一覧)!D:D"") = AA$43)
          ),
          0
        ),
        MATCH($B$13, IMPORTRANGE(""https://docs.google.com/spreadsheets/d/1tAaChe98Zh7vhMfGMK5Y4_ijmNb40fr519GtdZkkDUY/e"&amp;"dit?gid=889896918#gid=889896918"", ""必殺ワザレギュ_グレード差分(全範囲一覧)!BF8:BO8""), 0)
      ),
      ""-""
    ),
  ""-""))))))
,
""-""
)
"),"-")</f>
        <v>-</v>
      </c>
      <c r="AB46" s="9"/>
      <c r="AC46"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$B46
        ) *
        (
          IMPORTRANGE(""https://docs.google.com/spreadsheets/d/1t"&amp;"AaChe98Zh7vhMfGMK5Y4_ijmNb40fr519GtdZkkDUY/edit?gid=889896918#gid=889896918"", ""必殺ワザレギュ_グレード差分(全範囲一覧)!D:D"") = AC$43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$B46
          ) *
          (
            IMPORTRANGE(""https://docs.google.com/spreadsheets/d/1tAaChe98Zh7vhMfGMK5Y4_ijmNb40fr519GtdZkkDUY/edit?gid=889896918#gid=8898969"&amp;"18"", ""必殺ワザレギュ_グレード差分(全範囲一覧)!D:D"") = AC$43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AC$43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AC$43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$B46
          ) *
          (
            IM"&amp;"PORTRANGE(""https://docs.google.com/spreadsheets/d/1tAaChe98Zh7vhMfGMK5Y4_ijmNb40fr519GtdZkkDUY/edit?gid=889896918#gid=889896918"", ""必殺ワザレギュ_グレード差分(全範囲一覧)!D:D"") = AC$43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$B46
          ) *
          (
            IMPORTRANGE(""https://docs.google.com/spreadsheets/d/1tAaChe98Zh7vhMfGMK5Y4_ijmNb40f"&amp;"r519GtdZkkDUY/edit?gid=889896918#gid=889896918"", ""必殺ワザレギュ_グレード差分(全範囲一覧)!D:D"") = AC$43
          ),
          0
        ),
        MATCH(
          $B$13,
          IMPORTRANGE(""https://docs.google.com/spreadsheets/d/1tAaChe98Zh7vhMfGMK5Y4_ijmNb40fr519"&amp;"GtdZkkDUY/edit?gid=889896918#gid=889896918"", ""必殺ワザレギュ_グレード差分(全範囲一覧)!C8:L8""),
          0
        )
      ),
      ""-""
    )
  )
)
)))"),"-")</f>
        <v>-</v>
      </c>
      <c r="AD46" s="9"/>
      <c r="AE46"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$B46
        ) *
        (
          IMPORTRANGE(""https://docs.google.com/spreadsheets/d/1t"&amp;"AaChe98Zh7vhMfGMK5Y4_ijmNb40fr519GtdZkkDUY/edit?gid=889896918#gid=889896918"", ""必殺ワザレギュ_グレード差分(全範囲一覧)!D:D"") = AE$43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$B46
          ) *
          (
            IMPORTRANGE(""https://docs.google.com/spreadsheets/d/1tAaChe98Zh7vhMfGMK5Y4_ijmNb40fr519GtdZkkDUY/edit?gid=889896918#gid=8898969"&amp;"18"", ""必殺ワザレギュ_グレード差分(全範囲一覧)!D:D"") = AE$43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AE$43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AE$43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$B46
          ) *
          (
            IM"&amp;"PORTRANGE(""https://docs.google.com/spreadsheets/d/1tAaChe98Zh7vhMfGMK5Y4_ijmNb40fr519GtdZkkDUY/edit?gid=889896918#gid=889896918"", ""必殺ワザレギュ_グレード差分(全範囲一覧)!D:D"") = AE$43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$B46
          ) *
          (
            IMPORTRANGE(""https://docs.google.com/spreadsheets/d/1tAaChe98Zh7vhMfGMK5Y4_ijmNb40f"&amp;"r519GtdZkkDUY/edit?gid=889896918#gid=889896918"", ""必殺ワザレギュ_グレード差分(全範囲一覧)!D:D"") = AE$43
          ),
          0
        ),
        MATCH(
          $B$13,
          IMPORTRANGE(""https://docs.google.com/spreadsheets/d/1tAaChe98Zh7vhMfGMK5Y4_ijmNb40fr519"&amp;"GtdZkkDUY/edit?gid=889896918#gid=889896918"", ""必殺ワザレギュ_グレード差分(全範囲一覧)!C8:L8""),
          0
        )
      ),
      ""-""
    )
  )
)
)))"),"-")</f>
        <v>-</v>
      </c>
      <c r="AF46" s="9"/>
      <c r="AG46"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$B46
        ) *
        (
          IMPORTRANGE(""https://docs.google.com/spreadsheets/d/1t"&amp;"AaChe98Zh7vhMfGMK5Y4_ijmNb40fr519GtdZkkDUY/edit?gid=889896918#gid=889896918"", ""必殺ワザレギュ_グレード差分(全範囲一覧)!D:D"") = AG$43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$B46
          ) *
          (
            IMPORTRANGE(""https://docs.google.com/spreadsheets/d/1tAaChe98Zh7vhMfGMK5Y4_ijmNb40fr519GtdZkkDUY/edit?gid=889896918#gid=8898969"&amp;"18"", ""必殺ワザレギュ_グレード差分(全範囲一覧)!D:D"") = AG$43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AG$43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AG$43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$B46
          ) *
          (
            IM"&amp;"PORTRANGE(""https://docs.google.com/spreadsheets/d/1tAaChe98Zh7vhMfGMK5Y4_ijmNb40fr519GtdZkkDUY/edit?gid=889896918#gid=889896918"", ""必殺ワザレギュ_グレード差分(全範囲一覧)!D:D"") = AG$43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$B46
          ) *
          (
            IMPORTRANGE(""https://docs.google.com/spreadsheets/d/1tAaChe98Zh7vhMfGMK5Y4_ijmNb40f"&amp;"r519GtdZkkDUY/edit?gid=889896918#gid=889896918"", ""必殺ワザレギュ_グレード差分(全範囲一覧)!D:D"") = AG$43
          ),
          0
        ),
        MATCH(
          $B$13,
          IMPORTRANGE(""https://docs.google.com/spreadsheets/d/1tAaChe98Zh7vhMfGMK5Y4_ijmNb40fr519"&amp;"GtdZkkDUY/edit?gid=889896918#gid=889896918"", ""必殺ワザレギュ_グレード差分(全範囲一覧)!C8:L8""),
          0
        )
      ),
      ""-""
    )
  )
)
)))"),"-")</f>
        <v>-</v>
      </c>
      <c r="AH46" s="9"/>
      <c r="AI46"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$B46) *
            ("&amp;"IMPORTRANGE(""https://docs.google.com/spreadsheets/d/1tAaChe98Zh7vhMfGMK5Y4_ijmNb40fr519GtdZkkDUY/edit?gid=889896918#gid=889896918"", ""必殺ワザレギュ_グレード差分(全範囲一覧)!D:D"") = AI$43)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$B46) *
            (IMPORTRANGE(""https://docs.google.com/spreadsheets/d/1tAaChe98Zh7vhMfGMK5Y4_ijmNb40fr519GtdZkkDUY/edit?gid=889896918#gid=889896918"", ""必殺ワザレギュ_グレード差分(全範囲一覧)!D:D"") = AI$43)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$B46) *
            (IMPORTRANGE(""https://docs.google.com/spreadsheets/d/1tAaChe98Zh7vhMfGMK5Y4_ijmNb40fr519GtdZkkDUY/edit?gid=889896918#gid=889896918"", ""必殺ワザレギュ_グレード差分(全範囲一覧)!D:D"") = AI$43)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$B46) *
            (IMPORTRANGE(""https://docs.google.com/spreadsheets/d/1tAaChe98Zh7vhMfGMK5Y4_ijmNb40fr519GtdZkkDUY/edit?gid=889896918#gid=889896918"", ""必殺ワザレギュ_グレード差分(全範"&amp;"囲一覧)!D:D"") = AI$43)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$B46) *
            (IMPORTRANGE(""https://docs.google.com/spreadsheets/d/1tAaChe98Zh7vhMfGMK5Y4_ijmNb40fr519GtdZkkDUY/edit?gid=889896"&amp;"918#gid=889896918"", ""必殺ワザレギュ_グレード差分(全範囲一覧)!D:D"") = AI$43)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$B46) *
            (IMPORTRANGE(""https://docs.google.com/spreadsheets/d/1tAaChe98Zh7vh"&amp;"MfGMK5Y4_ijmNb40fr519GtdZkkDUY/edit?gid=889896918#gid=889896918"", ""必殺ワザレギュ_グレード差分(全範囲一覧)!D:D"") = AI$43)
          ),
          0
        ),
        MATCH($B$13, IMPORTRANGE(""https://docs.google.com/spreadsheets/d/1tAaChe98Zh7vhMfGMK5Y4_ijmNb40fr519Gtd"&amp;"ZkkDUY/edit?gid=889896918#gid=889896918"", ""必殺ワザレギュ_グレード差分(全範囲一覧)!BF8:BO8""), 0)
      ),
      ""-""
    ),
  ""-""))))))
,
""-""
)
"),"-")</f>
        <v>-</v>
      </c>
      <c r="AJ46" s="9"/>
      <c r="AK46"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$B46) *
            ("&amp;"IMPORTRANGE(""https://docs.google.com/spreadsheets/d/1tAaChe98Zh7vhMfGMK5Y4_ijmNb40fr519GtdZkkDUY/edit?gid=889896918#gid=889896918"", ""必殺ワザレギュ_グレード差分(全範囲一覧)!D:D"") = AK$43)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$B46) *
            (IMPORTRANGE(""https://docs.google.com/spreadsheets/d/1tAaChe98Zh7vhMfGMK5Y4_ijmNb40fr519GtdZkkDUY/edit?gid=889896918#gid=889896918"", ""必殺ワザレギュ_グレード差分(全範囲一覧)!D:D"") = AK$43)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$B46) *
            (IMPORTRANGE(""https://docs.google.com/spreadsheets/d/1tAaChe98Zh7vhMfGMK5Y4_ijmNb40fr519GtdZkkDUY/edit?gid=889896918#gid=889896918"", ""必殺ワザレギュ_グレード差分(全範囲一覧)!D:D"") = AK$43)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$B46) *
            (IMPORTRANGE(""https://docs.google.com/spreadsheets/d/1tAaChe98Zh7vhMfGMK5Y4_ijmNb40fr519GtdZkkDUY/edit?gid=889896918#gid=889896918"", ""必殺ワザレギュ_グレード差分(全範"&amp;"囲一覧)!D:D"") = AK$43)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$B46) *
            (IMPORTRANGE(""https://docs.google.com/spreadsheets/d/1tAaChe98Zh7vhMfGMK5Y4_ijmNb40fr519GtdZkkDUY/edit?gid=889896"&amp;"918#gid=889896918"", ""必殺ワザレギュ_グレード差分(全範囲一覧)!D:D"") = AK$43)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$B46) *
            (IMPORTRANGE(""https://docs.google.com/spreadsheets/d/1tAaChe98Zh7vh"&amp;"MfGMK5Y4_ijmNb40fr519GtdZkkDUY/edit?gid=889896918#gid=889896918"", ""必殺ワザレギュ_グレード差分(全範囲一覧)!D:D"") = AK$43)
          ),
          0
        ),
        MATCH($B$13, IMPORTRANGE(""https://docs.google.com/spreadsheets/d/1tAaChe98Zh7vhMfGMK5Y4_ijmNb40fr519Gtd"&amp;"ZkkDUY/edit?gid=889896918#gid=889896918"", ""必殺ワザレギュ_グレード差分(全範囲一覧)!BF8:BO8""), 0)
      ),
      ""-""
    ),
  ""-""))))))
,
""-""
)
"),"-")</f>
        <v>-</v>
      </c>
      <c r="AL46" s="9"/>
      <c r="AM46"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$B46) *
            ("&amp;"IMPORTRANGE(""https://docs.google.com/spreadsheets/d/1tAaChe98Zh7vhMfGMK5Y4_ijmNb40fr519GtdZkkDUY/edit?gid=889896918#gid=889896918"", ""必殺ワザレギュ_グレード差分(全範囲一覧)!D:D"") = AM$43)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$B46) *
            (IMPORTRANGE(""https://docs.google.com/spreadsheets/d/1tAaChe98Zh7vhMfGMK5Y4_ijmNb40fr519GtdZkkDUY/edit?gid=889896918#gid=889896918"", ""必殺ワザレギュ_グレード差分(全範囲一覧)!D:D"") = AM$43)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$B46) *
            (IMPORTRANGE(""https://docs.google.com/spreadsheets/d/1tAaChe98Zh7vhMfGMK5Y4_ijmNb40fr519GtdZkkDUY/edit?gid=889896918#gid=889896918"", ""必殺ワザレギュ_グレード差分(全範囲一覧)!D:D"") = AM$43)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$B46) *
            (IMPORTRANGE(""https://docs.google.com/spreadsheets/d/1tAaChe98Zh7vhMfGMK5Y4_ijmNb40fr519GtdZkkDUY/edit?gid=889896918#gid=889896918"", ""必殺ワザレギュ_グレード差分(全範"&amp;"囲一覧)!D:D"") = AM$43)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$B46) *
            (IMPORTRANGE(""https://docs.google.com/spreadsheets/d/1tAaChe98Zh7vhMfGMK5Y4_ijmNb40fr519GtdZkkDUY/edit?gid=889896"&amp;"918#gid=889896918"", ""必殺ワザレギュ_グレード差分(全範囲一覧)!D:D"") = AM$43)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$B46) *
            (IMPORTRANGE(""https://docs.google.com/spreadsheets/d/1tAaChe98Zh7vh"&amp;"MfGMK5Y4_ijmNb40fr519GtdZkkDUY/edit?gid=889896918#gid=889896918"", ""必殺ワザレギュ_グレード差分(全範囲一覧)!D:D"") = AM$43)
          ),
          0
        ),
        MATCH($B$13, IMPORTRANGE(""https://docs.google.com/spreadsheets/d/1tAaChe98Zh7vhMfGMK5Y4_ijmNb40fr519Gtd"&amp;"ZkkDUY/edit?gid=889896918#gid=889896918"", ""必殺ワザレギュ_グレード差分(全範囲一覧)!BF8:BO8""), 0)
      ),
      ""-""
    ),
  ""-""))))))
,
""-""
)
"),"-")</f>
        <v>-</v>
      </c>
      <c r="AN46" s="9"/>
      <c r="AO46" s="1"/>
      <c r="AP46" s="1"/>
      <c r="AQ46" s="1"/>
      <c r="AR46" s="1"/>
      <c r="AS46" s="2"/>
      <c r="AU46" s="40">
        <v>35.0</v>
      </c>
      <c r="AV46" s="40">
        <v>2.0</v>
      </c>
      <c r="AW46" s="49">
        <f t="shared" si="21"/>
        <v>4129</v>
      </c>
      <c r="AX46" s="48">
        <f t="shared" si="22"/>
        <v>4822</v>
      </c>
      <c r="AY46" s="50">
        <f t="shared" si="1"/>
        <v>4462</v>
      </c>
      <c r="AZ46" s="50">
        <f t="shared" si="2"/>
        <v>5211</v>
      </c>
      <c r="BA46" s="42">
        <f t="shared" si="3"/>
        <v>4957</v>
      </c>
      <c r="BB46" s="42">
        <f t="shared" si="4"/>
        <v>5246</v>
      </c>
      <c r="BC46" s="42">
        <f t="shared" si="5"/>
        <v>5411</v>
      </c>
      <c r="BD46" s="42">
        <f t="shared" si="6"/>
        <v>5494</v>
      </c>
      <c r="BE46" s="43">
        <f t="shared" si="7"/>
        <v>5494</v>
      </c>
      <c r="BF46" s="43">
        <f t="shared" si="8"/>
        <v>5494</v>
      </c>
      <c r="BG46" s="43">
        <f t="shared" si="9"/>
        <v>5494</v>
      </c>
      <c r="BH46" s="43">
        <f t="shared" si="10"/>
        <v>5494</v>
      </c>
      <c r="BI46" s="43">
        <f t="shared" si="11"/>
        <v>5494</v>
      </c>
      <c r="BJ46" s="44">
        <f t="shared" si="12"/>
        <v>5789</v>
      </c>
      <c r="BK46" s="44">
        <f t="shared" si="13"/>
        <v>6127</v>
      </c>
      <c r="BL46" s="44">
        <f t="shared" si="14"/>
        <v>6320</v>
      </c>
      <c r="BM46" s="44">
        <f t="shared" si="15"/>
        <v>6416</v>
      </c>
      <c r="BN46" s="45">
        <f t="shared" si="16"/>
        <v>6416</v>
      </c>
      <c r="BO46" s="45">
        <f t="shared" si="17"/>
        <v>6416</v>
      </c>
      <c r="BP46" s="45">
        <f t="shared" si="18"/>
        <v>6416</v>
      </c>
      <c r="BQ46" s="45">
        <f t="shared" si="19"/>
        <v>6416</v>
      </c>
      <c r="BR46" s="45">
        <f t="shared" si="20"/>
        <v>6416</v>
      </c>
      <c r="BU46" s="1"/>
    </row>
    <row r="47">
      <c r="A47" s="5"/>
      <c r="B47" s="63">
        <v>4.0</v>
      </c>
      <c r="C47" s="8"/>
      <c r="D47" s="9"/>
      <c r="E47" s="89">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E$43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E$43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E$43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E$43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E$43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E$43
          ),
          0
        ),
        MATCH(
          $B$13,
          IMPORTRANGE(""https://docs.google.com/spreadsheets/d/1tAaChe98Zh7vhMfGMK5Y4_ijmNb40fr519GtdZkkDUY/"&amp;"edit?gid=889896918#gid=889896918"", ""必殺ワザレギュ_グレード差分(全範囲一覧)!C8:L8""),
          0
        )
      ),
      ""-""
    )
  )
)
)))"),144.0)</f>
        <v>144</v>
      </c>
      <c r="F47" s="9"/>
      <c r="G47"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G$43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G$43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G$43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G$43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G$43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G$43
          ),
          0
        ),
        MATCH(
          $B$13,
          IMPORTRANGE(""https://docs.google.com/spreadsheets/d/1tAaChe98Zh7vhMfGMK5Y4_ijmNb40fr519GtdZkkDUY/"&amp;"edit?gid=889896918#gid=889896918"", ""必殺ワザレギュ_グレード差分(全範囲一覧)!C8:L8""),
          0
        )
      ),
      ""-""
    )
  )
)
)))"),"-")</f>
        <v>-</v>
      </c>
      <c r="H47" s="9"/>
      <c r="I47"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I$43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I$43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I$43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I$43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I$43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I$43
          ),
          0
        ),
        MATCH(
          $B$13,
          IMPORTRANGE(""https://docs.google.com/spreadsheets/d/1tAaChe98Zh7vhMfGMK5Y4_ijmNb40fr519GtdZkkDUY/"&amp;"edit?gid=889896918#gid=889896918"", ""必殺ワザレギュ_グレード差分(全範囲一覧)!C8:L8""),
          0
        )
      ),
      ""-""
    )
  )
)
)))"),"-")</f>
        <v>-</v>
      </c>
      <c r="J47" s="9"/>
      <c r="K47" s="90"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$B47) *
            (IMPORTRANGE(""https://docs.google.com/spreadsheets/d/1tAaChe98Zh7vhMfGMK5Y4_ijmNb40fr519GtdZkkDUY/edit?gid=889896918#gid=889896918"", ""必殺ワザレギュ_グレード差分(全範囲一覧)!D:D"") = K$43)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$B47) *
            (IMPORTRANGE(""https://docs.google.com/spreadsheets/d/1tAaChe98Zh7vhMfGMK5Y4_ijmNb40fr519GtdZkkDUY/edit?gid=889896918#gid=889896918"", ""必殺ワザレギュ_グレード差分(全範囲一"&amp;"覧)!D:D"") = K$43)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$B47) *
            (IMPORTRANGE(""https://docs.google.com/spreadsheets/d/1tAaChe98Zh7vhMfGMK5Y4_ijmNb40fr519GtdZkkDUY/edit?gid=889896918#gid=889"&amp;"896918"", ""必殺ワザレギュ_グレード差分(全範囲一覧)!D:D"") = K$43)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$B47) *
            (IMPORTRANGE(""https://docs.google.com/spreadsheets/d/1tAaChe98Zh7vhMfGMK5Y4_ijmNb40fr519G"&amp;"tdZkkDUY/edit?gid=889896918#gid=889896918"", ""必殺ワザレギュ_グレード差分(全範囲一覧)!D:D"") = K$43)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$B47) *
            (IMPORTRANGE(""https://docs.google.com/spreadsheets/"&amp;"d/1tAaChe98Zh7vhMfGMK5Y4_ijmNb40fr519GtdZkkDUY/edit?gid=889896918#gid=889896918"", ""必殺ワザレギュ_グレード差分(全範囲一覧)!D:D"") = K$43)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$B47) *
            (IMPORTR"&amp;"ANGE(""https://docs.google.com/spreadsheets/d/1tAaChe98Zh7vhMfGMK5Y4_ijmNb40fr519GtdZkkDUY/edit?gid=889896918#gid=889896918"", ""必殺ワザレギュ_グレード差分(全範囲一覧)!D:D"") = K$43)
          ),
          0
        ),
        MATCH($B$13, IMPORTRANGE(""https://docs.googl"&amp;"e.com/spreadsheets/d/1tAaChe98Zh7vhMfGMK5Y4_ijmNb40fr519GtdZkkDUY/edit?gid=889896918#gid=889896918"", ""必殺ワザレギュ_グレード差分(全範囲一覧)!BF8:BO8""), 0)
      ),
      ""-""
    ),
  ""-""))))))
,
""-""
)
"),"-")</f>
        <v>-</v>
      </c>
      <c r="L47" s="9"/>
      <c r="M47" s="90"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$B47) *
            (IMPORTRANGE(""https://docs.google.com/spreadsheets/d/1tAaChe98Zh7vhMfGMK5Y4_ijmNb40fr519GtdZkkDUY/edit?gid=889896918#gid=889896918"", ""必殺ワザレギュ_グレード差分(全範囲一覧)!D:D"") = M$43)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$B47) *
            (IMPORTRANGE(""https://docs.google.com/spreadsheets/d/1tAaChe98Zh7vhMfGMK5Y4_ijmNb40fr519GtdZkkDUY/edit?gid=889896918#gid=889896918"", ""必殺ワザレギュ_グレード差分(全範囲一"&amp;"覧)!D:D"") = M$43)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$B47) *
            (IMPORTRANGE(""https://docs.google.com/spreadsheets/d/1tAaChe98Zh7vhMfGMK5Y4_ijmNb40fr519GtdZkkDUY/edit?gid=889896918#gid=889"&amp;"896918"", ""必殺ワザレギュ_グレード差分(全範囲一覧)!D:D"") = M$43)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$B47) *
            (IMPORTRANGE(""https://docs.google.com/spreadsheets/d/1tAaChe98Zh7vhMfGMK5Y4_ijmNb40fr519G"&amp;"tdZkkDUY/edit?gid=889896918#gid=889896918"", ""必殺ワザレギュ_グレード差分(全範囲一覧)!D:D"") = M$43)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$B47) *
            (IMPORTRANGE(""https://docs.google.com/spreadsheets/"&amp;"d/1tAaChe98Zh7vhMfGMK5Y4_ijmNb40fr519GtdZkkDUY/edit?gid=889896918#gid=889896918"", ""必殺ワザレギュ_グレード差分(全範囲一覧)!D:D"") = M$43)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$B47) *
            (IMPORTR"&amp;"ANGE(""https://docs.google.com/spreadsheets/d/1tAaChe98Zh7vhMfGMK5Y4_ijmNb40fr519GtdZkkDUY/edit?gid=889896918#gid=889896918"", ""必殺ワザレギュ_グレード差分(全範囲一覧)!D:D"") = M$43)
          ),
          0
        ),
        MATCH($B$13, IMPORTRANGE(""https://docs.googl"&amp;"e.com/spreadsheets/d/1tAaChe98Zh7vhMfGMK5Y4_ijmNb40fr519GtdZkkDUY/edit?gid=889896918#gid=889896918"", ""必殺ワザレギュ_グレード差分(全範囲一覧)!BF8:BO8""), 0)
      ),
      ""-""
    ),
  ""-""))))))
,
""-""
)
"),"-")</f>
        <v>-</v>
      </c>
      <c r="N47" s="9"/>
      <c r="O47" s="90"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$B47) *
            (IMPORTRANGE(""https://docs.google.com/spreadsheets/d/1tAaChe98Zh7vhMfGMK5Y4_ijmNb40fr519GtdZkkDUY/edit?gid=889896918#gid=889896918"", ""必殺ワザレギュ_グレード差分(全範囲一覧)!D:D"") = O$43)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$B47) *
            (IMPORTRANGE(""https://docs.google.com/spreadsheets/d/1tAaChe98Zh7vhMfGMK5Y4_ijmNb40fr519GtdZkkDUY/edit?gid=889896918#gid=889896918"", ""必殺ワザレギュ_グレード差分(全範囲一"&amp;"覧)!D:D"") = O$43)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$B47) *
            (IMPORTRANGE(""https://docs.google.com/spreadsheets/d/1tAaChe98Zh7vhMfGMK5Y4_ijmNb40fr519GtdZkkDUY/edit?gid=889896918#gid=889"&amp;"896918"", ""必殺ワザレギュ_グレード差分(全範囲一覧)!D:D"") = O$43)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$B47) *
            (IMPORTRANGE(""https://docs.google.com/spreadsheets/d/1tAaChe98Zh7vhMfGMK5Y4_ijmNb40fr519G"&amp;"tdZkkDUY/edit?gid=889896918#gid=889896918"", ""必殺ワザレギュ_グレード差分(全範囲一覧)!D:D"") = O$43)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$B47) *
            (IMPORTRANGE(""https://docs.google.com/spreadsheets/"&amp;"d/1tAaChe98Zh7vhMfGMK5Y4_ijmNb40fr519GtdZkkDUY/edit?gid=889896918#gid=889896918"", ""必殺ワザレギュ_グレード差分(全範囲一覧)!D:D"") = O$43)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$B47) *
            (IMPORTR"&amp;"ANGE(""https://docs.google.com/spreadsheets/d/1tAaChe98Zh7vhMfGMK5Y4_ijmNb40fr519GtdZkkDUY/edit?gid=889896918#gid=889896918"", ""必殺ワザレギュ_グレード差分(全範囲一覧)!D:D"") = O$43)
          ),
          0
        ),
        MATCH($B$13, IMPORTRANGE(""https://docs.googl"&amp;"e.com/spreadsheets/d/1tAaChe98Zh7vhMfGMK5Y4_ijmNb40fr519GtdZkkDUY/edit?gid=889896918#gid=889896918"", ""必殺ワザレギュ_グレード差分(全範囲一覧)!BF8:BO8""), 0)
      ),
      ""-""
    ),
  ""-""))))))
,
""-""
)
"),"-")</f>
        <v>-</v>
      </c>
      <c r="P47" s="9"/>
      <c r="Q47"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Q$43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Q$43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Q$43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Q$43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Q$43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Q$43
          ),
          0
        ),
        MATCH(
          $B$13,
          IMPORTRANGE(""https://docs.google.com/spreadsheets/d/1tAaChe98Zh7vhMfGMK5Y4_ijmNb40fr519GtdZkkDUY/"&amp;"edit?gid=889896918#gid=889896918"", ""必殺ワザレギュ_グレード差分(全範囲一覧)!C8:L8""),
          0
        )
      ),
      ""-""
    )
  )
)
)))"),"-")</f>
        <v>-</v>
      </c>
      <c r="R47" s="9"/>
      <c r="S47"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S$43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S$43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S$43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S$43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S$43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S$43
          ),
          0
        ),
        MATCH(
          $B$13,
          IMPORTRANGE(""https://docs.google.com/spreadsheets/d/1tAaChe98Zh7vhMfGMK5Y4_ijmNb40fr519GtdZkkDUY/"&amp;"edit?gid=889896918#gid=889896918"", ""必殺ワザレギュ_グレード差分(全範囲一覧)!C8:L8""),
          0
        )
      ),
      ""-""
    )
  )
)
)))"),"-")</f>
        <v>-</v>
      </c>
      <c r="T47" s="9"/>
      <c r="U47"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U$43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U$43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U$43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U$43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U$43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U$43
          ),
          0
        ),
        MATCH(
          $B$13,
          IMPORTRANGE(""https://docs.google.com/spreadsheets/d/1tAaChe98Zh7vhMfGMK5Y4_ijmNb40fr519GtdZkkDUY/"&amp;"edit?gid=889896918#gid=889896918"", ""必殺ワザレギュ_グレード差分(全範囲一覧)!C8:L8""),
          0
        )
      ),
      ""-""
    )
  )
)
)))"),"-")</f>
        <v>-</v>
      </c>
      <c r="V47" s="9"/>
      <c r="W47" s="90"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$B47) *
            (IMPO"&amp;"RTRANGE(""https://docs.google.com/spreadsheets/d/1tAaChe98Zh7vhMfGMK5Y4_ijmNb40fr519GtdZkkDUY/edit?gid=889896918#gid=889896918"", ""必殺ワザレギュ_グレード差分(全範囲一覧)!D:D"") = W$43)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$B47) *
            (IMPORTRANGE(""https://docs.google.com/spreadsheets/d/1tAaChe98Zh7vhMfGMK5Y4_ijmNb40fr519GtdZkkDUY/edit?gid=889896918#gid=889896918"", ""必殺ワザレギュ_グレード差分(全範囲一覧)!D:D"") = W$43)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$B47) *
            (IMPORTRANGE(""https://docs.google.com/spreadsheets/d/1tAaChe98Zh7vhMfGMK5Y4_ijmNb40fr519GtdZkkDUY/edit?gid=889896918#gid=889896918"", ""必殺ワザレギュ_グレード差分(全範囲一覧)!D:D"") = W$43)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$B47) *
            (IMPORTRANGE(""https://docs.google.com/spreadsheets/d/1tAaChe98Zh7vhMfGMK5Y4_ijmNb40fr519GtdZkkDUY/edit?gid=889896918#gid=889896918"", ""必殺ワザレギュ_グレード差分(全範囲一覧)!D:D"&amp;""") = W$43)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$B47) *
            (IMPORTRANGE(""https://docs.google.com/spreadsheets/d/1tAaChe98Zh7vhMfGMK5Y4_ijmNb40fr519GtdZkkDUY/edit?gid=889896918#gid=88"&amp;"9896918"", ""必殺ワザレギュ_グレード差分(全範囲一覧)!D:D"") = W$43)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$B47) *
            (IMPORTRANGE(""https://docs.google.com/spreadsheets/d/1tAaChe98Zh7vhMfGMK5Y4_ijm"&amp;"Nb40fr519GtdZkkDUY/edit?gid=889896918#gid=889896918"", ""必殺ワザレギュ_グレード差分(全範囲一覧)!D:D"") = W$43)
          ),
          0
        ),
        MATCH($B$13, IMPORTRANGE(""https://docs.google.com/spreadsheets/d/1tAaChe98Zh7vhMfGMK5Y4_ijmNb40fr519GtdZkkDUY/edit?g"&amp;"id=889896918#gid=889896918"", ""必殺ワザレギュ_グレード差分(全範囲一覧)!BF8:BO8""), 0)
      ),
      ""-""
    ),
  ""-""))))))
,
""-""
)
"),"-")</f>
        <v>-</v>
      </c>
      <c r="X47" s="9"/>
      <c r="Y47" s="90"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$B47) *
            (IMPO"&amp;"RTRANGE(""https://docs.google.com/spreadsheets/d/1tAaChe98Zh7vhMfGMK5Y4_ijmNb40fr519GtdZkkDUY/edit?gid=889896918#gid=889896918"", ""必殺ワザレギュ_グレード差分(全範囲一覧)!D:D"") = Y$43)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$B47) *
            (IMPORTRANGE(""https://docs.google.com/spreadsheets/d/1tAaChe98Zh7vhMfGMK5Y4_ijmNb40fr519GtdZkkDUY/edit?gid=889896918#gid=889896918"", ""必殺ワザレギュ_グレード差分(全範囲一覧)!D:D"") = Y$43)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$B47) *
            (IMPORTRANGE(""https://docs.google.com/spreadsheets/d/1tAaChe98Zh7vhMfGMK5Y4_ijmNb40fr519GtdZkkDUY/edit?gid=889896918#gid=889896918"", ""必殺ワザレギュ_グレード差分(全範囲一覧)!D:D"") = Y$43)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$B47) *
            (IMPORTRANGE(""https://docs.google.com/spreadsheets/d/1tAaChe98Zh7vhMfGMK5Y4_ijmNb40fr519GtdZkkDUY/edit?gid=889896918#gid=889896918"", ""必殺ワザレギュ_グレード差分(全範囲一覧)!D:D"&amp;""") = Y$43)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$B47) *
            (IMPORTRANGE(""https://docs.google.com/spreadsheets/d/1tAaChe98Zh7vhMfGMK5Y4_ijmNb40fr519GtdZkkDUY/edit?gid=889896918#gid=88"&amp;"9896918"", ""必殺ワザレギュ_グレード差分(全範囲一覧)!D:D"") = Y$43)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$B47) *
            (IMPORTRANGE(""https://docs.google.com/spreadsheets/d/1tAaChe98Zh7vhMfGMK5Y4_ijm"&amp;"Nb40fr519GtdZkkDUY/edit?gid=889896918#gid=889896918"", ""必殺ワザレギュ_グレード差分(全範囲一覧)!D:D"") = Y$43)
          ),
          0
        ),
        MATCH($B$13, IMPORTRANGE(""https://docs.google.com/spreadsheets/d/1tAaChe98Zh7vhMfGMK5Y4_ijmNb40fr519GtdZkkDUY/edit?g"&amp;"id=889896918#gid=889896918"", ""必殺ワザレギュ_グレード差分(全範囲一覧)!BF8:BO8""), 0)
      ),
      ""-""
    ),
  ""-""))))))
,
""-""
)
"),"-")</f>
        <v>-</v>
      </c>
      <c r="Z47" s="9"/>
      <c r="AA47" s="90"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$B47) *
            (IMPO"&amp;"RTRANGE(""https://docs.google.com/spreadsheets/d/1tAaChe98Zh7vhMfGMK5Y4_ijmNb40fr519GtdZkkDUY/edit?gid=889896918#gid=889896918"", ""必殺ワザレギュ_グレード差分(全範囲一覧)!D:D"") = AA$43)
          ),
          0
        ),
        MATCH($B$13, IMPORTRANGE(""https://docs.g"&amp;"oogle.com/spreadsheets/d/1tAaChe98Zh7vhMfGMK5Y4_ijmNb40fr519GtdZkkDUY/edit?gid=889896918#gid=889896918"", ""必殺ワザレギュ_グレード差分(全範囲一覧)!C8:L8""), 0)
      ),
      ""-""
    ),
  IF(
    $AP$36 = ""瞬間型"",
    IFERROR(
      INDEX(
        IMPORTRANGE(""https://"&amp;"docs.google.com/spreadsheets/d/1tAaChe98Zh7vhMfGMK5Y4_ijmNb40fr519GtdZkkDUY/edit?gid=889896918#gid=889896918"", ""必殺ワザレギュ_グレード差分(全範囲一覧)!N:W""),
        MATCH(
          1,
          ARRAYFORMULA(
            ISNUMBER(SEARCH($Q$41, IMPORTRANGE(""https://do"&amp;"cs.google.com/spreadsheets/d/1tAaChe98Zh7vhMfGMK5Y4_ijmNb40fr519GtdZkkDUY/edit?gid=889896918#gid=889896918"",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$B47) *
            (IMPORTRANGE(""https://docs.google.com/spreadsheets/d/1tAaChe98Zh7vhMfGMK5Y4_ijmNb40fr519GtdZkkDUY/edit?gid=889896918#gid=889896918"", ""必殺ワザレギュ_グレード差分(全範囲一覧)!D:D"") = AA$43)
          ),
          0
        ),
        MATCH($B$1"&amp;"3, IMPORTRANGE(""https://docs.google.com/spreadsheets/d/1tAaChe98Zh7vhMfGMK5Y4_ijmNb40fr519GtdZkkDUY/edit?gid=889896918#gid=889896918"", ""必殺ワザレギュ_グレード差分(全範囲一覧)!N8:W8""), 0)
      ),
      ""-""
    ),
  IF(
    $AP$36 = ""安定型"",
    IFERROR(
      INDEX("&amp;"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(IMPORTRANGE(""https://docs.google.com/spreadsheets/d/1tAaChe98Zh7"&amp;"vhMfGMK5Y4_ijmNb40fr519GtdZkkDUY/edit?gid=889896918#gid=889896918"", ""必殺ワザレギュ_グレード差分(全範囲一覧)!X:X"") = ""安定型"") *
            (IMPORTRANGE(""https://docs.google.com/spreadsheets/d/1tAaChe98Zh7vhMfGMK5Y4_ijmNb40fr519GtdZkkDUY/edit?gid=889896918#gid=88989691"&amp;"8"", ""必殺ワザレギュ_グレード差分(全範囲一覧)!C:C"") = $B47) *
            (IMPORTRANGE(""https://docs.google.com/spreadsheets/d/1tAaChe98Zh7vhMfGMK5Y4_ijmNb40fr519GtdZkkDUY/edit?gid=889896918#gid=889896918"", ""必殺ワザレギュ_グレード差分(全範囲一覧)!D:D"") = AA$43)
          ),
         "&amp;" 0
        ),
        MATCH($B$13, IMPORTRANGE(""https://docs.google.com/spreadsheets/d/1tAaChe98Zh7vhMfGMK5Y4_ijmNb40fr519GtdZkkDUY/edit?gid=889896918#gid=889896918"", ""必殺ワザレギュ_グレード差分(全範囲一覧)!Y8:AH8""), 0)
      ),
      ""-""
    ),
  IF(
    $AP$36 = "&amp;"""持続型"",
    IFERROR(
      INDEX(
        IMPORTRANGE(""https://docs.google.com/spreadsheets/d/1tAaChe98Zh7vhMfGMK5Y4_ijmNb40fr519GtdZkkDUY/edit?gid=889896918#gid=889896918"", ""必殺ワザレギュ_グレード差分(全範囲一覧)!AJ:AS""),
        MATCH(
          1,
          ARRAYF"&amp;"ORMULA(
            ISNUMBER(SEARCH($Q$41, IMPORTRANGE(""https://docs.google.com/spreadsheets/d/1tAaChe98Zh7vhMfGMK5Y4_ijmNb40fr519GtdZkkDUY/edit?gid=889896918#gid=889896918"", ""必殺ワザレギュ_グレード差分(全範囲一覧)!A:A""))) *
            (IMPORTRANGE(""https://docs.goo"&amp;"gle.com/spreadsheets/d/1tAaChe98Zh7vhMfGMK5Y4_ijmNb40fr519GtdZkkDUY/edit?gid=889896918#gid=889896918"", ""必殺ワザレギュ_グレード差分(全範囲一覧)!AI:AI"") = ""持続型"") *
            (IMPORTRANGE(""https://docs.google.com/spreadsheets/d/1tAaChe98Zh7vhMfGMK5Y4_ijmNb40fr519GtdZ"&amp;"kkDUY/edit?gid=889896918#gid=889896918"", ""必殺ワザレギュ_グレード差分(全範囲一覧)!C:C"") = $B47) *
            (IMPORTRANGE(""https://docs.google.com/spreadsheets/d/1tAaChe98Zh7vhMfGMK5Y4_ijmNb40fr519GtdZkkDUY/edit?gid=889896918#gid=889896918"", ""必殺ワザレギュ_グレード差分(全範囲一覧)!D"&amp;":D"") = AA$43)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"&amp;"  MATCH(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(IMPORTRANGE(""https://docs.google.com/spreadsheets/d/"&amp;"1tAaChe98Zh7vhMfGMK5Y4_ijmNb40fr519GtdZkkDUY/edit?gid=889896918#gid=889896918"", ""必殺ワザレギュ_グレード差分(全範囲一覧)!C:C"") = $B47) *
            (IMPORTRANGE(""https://docs.google.com/spreadsheets/d/1tAaChe98Zh7vhMfGMK5Y4_ijmNb40fr519GtdZkkDUY/edit?gid=889896918#gid"&amp;"=889896918"", ""必殺ワザレギュ_グレード差分(全範囲一覧)!D:D"") = AA$43)
          ),
          0
        ),
        MATCH($B$13, IMPORTRANGE(""https://docs.google.com/spreadsheets/d/1tAaChe98Zh7vhMfGMK5Y4_ijmNb40fr519GtdZkkDUY/edit?gid=889896918#gid=889896918"", ""必殺ワザレギュ_"&amp;"グレード差分(全範囲一覧)!AU8:BD8""), 0)
      ),
      ""-""
    ),
  IF(
    $AP$36 = ""ハイブリッド型"",
    IFERROR(
      INDEX(
        IMPORTRANGE(""https://docs.google.com/spreadsheets/d/1tAaChe98Zh7vhMfGMK5Y4_ijmNb40fr519GtdZkkDUY/edit?gid=889896918#gid=889896918"""&amp;", ""必殺ワザレギュ_グレード差分(全範囲一覧)!BF:BO""),
        MATCH(
          1,
          ARRAYFORMULA(
            ISNUMBER(SEARCH($Q$41, IMPORTRANGE(""https://docs.google.com/spreadsheets/d/1tAaChe98Zh7vhMfGMK5Y4_ijmNb40fr519GtdZkkDUY/edit?gid=889896918#gid=889896918"""&amp;", ""必殺ワザレギュ_グレード差分(全範囲一覧)!A:A""))) *
            (IMPORTRANGE(""https://docs.google.com/spreadsheets/d/1tAaChe98Zh7vhMfGMK5Y4_ijmNb40fr519GtdZkkDUY/edit?gid=889896918#gid=889896918"", ""必殺ワザレギュ_グレード差分(全範囲一覧)!BE:BE"") = ""ハイブリッド型"") *
            (IMPORTRA"&amp;"NGE(""https://docs.google.com/spreadsheets/d/1tAaChe98Zh7vhMfGMK5Y4_ijmNb40fr519GtdZkkDUY/edit?gid=889896918#gid=889896918"", ""必殺ワザレギュ_グレード差分(全範囲一覧)!C:C"") = $B47) *
            (IMPORTRANGE(""https://docs.google.com/spreadsheets/d/1tAaChe98Zh7vhMfGMK5Y4"&amp;"_ijmNb40fr519GtdZkkDUY/edit?gid=889896918#gid=889896918"", ""必殺ワザレギュ_グレード差分(全範囲一覧)!D:D"") = AA$43)
          ),
          0
        ),
        MATCH($B$13, IMPORTRANGE(""https://docs.google.com/spreadsheets/d/1tAaChe98Zh7vhMfGMK5Y4_ijmNb40fr519GtdZkkDUY/e"&amp;"dit?gid=889896918#gid=889896918"", ""必殺ワザレギュ_グレード差分(全範囲一覧)!BF8:BO8""), 0)
      ),
      ""-""
    ),
  ""-""))))))
,
""-""
)
"),"-")</f>
        <v>-</v>
      </c>
      <c r="AB47" s="9"/>
      <c r="AC47"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$B47
        ) *
        (
          IMPORTRANGE(""https://docs.google.com/spreadsheets/d/1t"&amp;"AaChe98Zh7vhMfGMK5Y4_ijmNb40fr519GtdZkkDUY/edit?gid=889896918#gid=889896918"", ""必殺ワザレギュ_グレード差分(全範囲一覧)!D:D"") = AC$43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$B47
          ) *
          (
            IMPORTRANGE(""https://docs.google.com/spreadsheets/d/1tAaChe98Zh7vhMfGMK5Y4_ijmNb40fr519GtdZkkDUY/edit?gid=889896918#gid=8898969"&amp;"18"", ""必殺ワザレギュ_グレード差分(全範囲一覧)!D:D"") = AC$43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AC$43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AC$43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$B47
          ) *
          (
            IM"&amp;"PORTRANGE(""https://docs.google.com/spreadsheets/d/1tAaChe98Zh7vhMfGMK5Y4_ijmNb40fr519GtdZkkDUY/edit?gid=889896918#gid=889896918"", ""必殺ワザレギュ_グレード差分(全範囲一覧)!D:D"") = AC$43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$B47
          ) *
          (
            IMPORTRANGE(""https://docs.google.com/spreadsheets/d/1tAaChe98Zh7vhMfGMK5Y4_ijmNb40f"&amp;"r519GtdZkkDUY/edit?gid=889896918#gid=889896918"", ""必殺ワザレギュ_グレード差分(全範囲一覧)!D:D"") = AC$43
          ),
          0
        ),
        MATCH(
          $B$13,
          IMPORTRANGE(""https://docs.google.com/spreadsheets/d/1tAaChe98Zh7vhMfGMK5Y4_ijmNb40fr519"&amp;"GtdZkkDUY/edit?gid=889896918#gid=889896918"", ""必殺ワザレギュ_グレード差分(全範囲一覧)!C8:L8""),
          0
        )
      ),
      ""-""
    )
  )
)
)))"),"-")</f>
        <v>-</v>
      </c>
      <c r="AD47" s="9"/>
      <c r="AE47"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$B47
        ) *
        (
          IMPORTRANGE(""https://docs.google.com/spreadsheets/d/1t"&amp;"AaChe98Zh7vhMfGMK5Y4_ijmNb40fr519GtdZkkDUY/edit?gid=889896918#gid=889896918"", ""必殺ワザレギュ_グレード差分(全範囲一覧)!D:D"") = AE$43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$B47
          ) *
          (
            IMPORTRANGE(""https://docs.google.com/spreadsheets/d/1tAaChe98Zh7vhMfGMK5Y4_ijmNb40fr519GtdZkkDUY/edit?gid=889896918#gid=8898969"&amp;"18"", ""必殺ワザレギュ_グレード差分(全範囲一覧)!D:D"") = AE$43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AE$43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AE$43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$B47
          ) *
          (
            IM"&amp;"PORTRANGE(""https://docs.google.com/spreadsheets/d/1tAaChe98Zh7vhMfGMK5Y4_ijmNb40fr519GtdZkkDUY/edit?gid=889896918#gid=889896918"", ""必殺ワザレギュ_グレード差分(全範囲一覧)!D:D"") = AE$43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$B47
          ) *
          (
            IMPORTRANGE(""https://docs.google.com/spreadsheets/d/1tAaChe98Zh7vhMfGMK5Y4_ijmNb40f"&amp;"r519GtdZkkDUY/edit?gid=889896918#gid=889896918"", ""必殺ワザレギュ_グレード差分(全範囲一覧)!D:D"") = AE$43
          ),
          0
        ),
        MATCH(
          $B$13,
          IMPORTRANGE(""https://docs.google.com/spreadsheets/d/1tAaChe98Zh7vhMfGMK5Y4_ijmNb40fr519"&amp;"GtdZkkDUY/edit?gid=889896918#gid=889896918"", ""必殺ワザレギュ_グレード差分(全範囲一覧)!C8:L8""),
          0
        )
      ),
      ""-""
    )
  )
)
)))"),"-")</f>
        <v>-</v>
      </c>
      <c r="AF47" s="9"/>
      <c r="AG47"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$B47
        ) *
        (
          IMPORTRANGE(""https://docs.google.com/spreadsheets/d/1t"&amp;"AaChe98Zh7vhMfGMK5Y4_ijmNb40fr519GtdZkkDUY/edit?gid=889896918#gid=889896918"", ""必殺ワザレギュ_グレード差分(全範囲一覧)!D:D"") = AG$43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$B47
          ) *
          (
            IMPORTRANGE(""https://docs.google.com/spreadsheets/d/1tAaChe98Zh7vhMfGMK5Y4_ijmNb40fr519GtdZkkDUY/edit?gid=889896918#gid=8898969"&amp;"18"", ""必殺ワザレギュ_グレード差分(全範囲一覧)!D:D"") = AG$43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AG$43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AG$43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$B47
          ) *
          (
            IM"&amp;"PORTRANGE(""https://docs.google.com/spreadsheets/d/1tAaChe98Zh7vhMfGMK5Y4_ijmNb40fr519GtdZkkDUY/edit?gid=889896918#gid=889896918"", ""必殺ワザレギュ_グレード差分(全範囲一覧)!D:D"") = AG$43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$B47
          ) *
          (
            IMPORTRANGE(""https://docs.google.com/spreadsheets/d/1tAaChe98Zh7vhMfGMK5Y4_ijmNb40f"&amp;"r519GtdZkkDUY/edit?gid=889896918#gid=889896918"", ""必殺ワザレギュ_グレード差分(全範囲一覧)!D:D"") = AG$43
          ),
          0
        ),
        MATCH(
          $B$13,
          IMPORTRANGE(""https://docs.google.com/spreadsheets/d/1tAaChe98Zh7vhMfGMK5Y4_ijmNb40fr519"&amp;"GtdZkkDUY/edit?gid=889896918#gid=889896918"", ""必殺ワザレギュ_グレード差分(全範囲一覧)!C8:L8""),
          0
        )
      ),
      ""-""
    )
  )
)
)))"),"-")</f>
        <v>-</v>
      </c>
      <c r="AH47" s="9"/>
      <c r="AI47"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$B47) *
            ("&amp;"IMPORTRANGE(""https://docs.google.com/spreadsheets/d/1tAaChe98Zh7vhMfGMK5Y4_ijmNb40fr519GtdZkkDUY/edit?gid=889896918#gid=889896918"", ""必殺ワザレギュ_グレード差分(全範囲一覧)!D:D"") = AI$43)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$B47) *
            (IMPORTRANGE(""https://docs.google.com/spreadsheets/d/1tAaChe98Zh7vhMfGMK5Y4_ijmNb40fr519GtdZkkDUY/edit?gid=889896918#gid=889896918"", ""必殺ワザレギュ_グレード差分(全範囲一覧)!D:D"") = AI$43)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$B47) *
            (IMPORTRANGE(""https://docs.google.com/spreadsheets/d/1tAaChe98Zh7vhMfGMK5Y4_ijmNb40fr519GtdZkkDUY/edit?gid=889896918#gid=889896918"", ""必殺ワザレギュ_グレード差分(全範囲一覧)!D:D"") = AI$43)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$B47) *
            (IMPORTRANGE(""https://docs.google.com/spreadsheets/d/1tAaChe98Zh7vhMfGMK5Y4_ijmNb40fr519GtdZkkDUY/edit?gid=889896918#gid=889896918"", ""必殺ワザレギュ_グレード差分(全範"&amp;"囲一覧)!D:D"") = AI$43)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$B47) *
            (IMPORTRANGE(""https://docs.google.com/spreadsheets/d/1tAaChe98Zh7vhMfGMK5Y4_ijmNb40fr519GtdZkkDUY/edit?gid=889896"&amp;"918#gid=889896918"", ""必殺ワザレギュ_グレード差分(全範囲一覧)!D:D"") = AI$43)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$B47) *
            (IMPORTRANGE(""https://docs.google.com/spreadsheets/d/1tAaChe98Zh7vh"&amp;"MfGMK5Y4_ijmNb40fr519GtdZkkDUY/edit?gid=889896918#gid=889896918"", ""必殺ワザレギュ_グレード差分(全範囲一覧)!D:D"") = AI$43)
          ),
          0
        ),
        MATCH($B$13, IMPORTRANGE(""https://docs.google.com/spreadsheets/d/1tAaChe98Zh7vhMfGMK5Y4_ijmNb40fr519Gtd"&amp;"ZkkDUY/edit?gid=889896918#gid=889896918"", ""必殺ワザレギュ_グレード差分(全範囲一覧)!BF8:BO8""), 0)
      ),
      ""-""
    ),
  ""-""))))))
,
""-""
)
"),"-")</f>
        <v>-</v>
      </c>
      <c r="AJ47" s="9"/>
      <c r="AK47"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$B47) *
            ("&amp;"IMPORTRANGE(""https://docs.google.com/spreadsheets/d/1tAaChe98Zh7vhMfGMK5Y4_ijmNb40fr519GtdZkkDUY/edit?gid=889896918#gid=889896918"", ""必殺ワザレギュ_グレード差分(全範囲一覧)!D:D"") = AK$43)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$B47) *
            (IMPORTRANGE(""https://docs.google.com/spreadsheets/d/1tAaChe98Zh7vhMfGMK5Y4_ijmNb40fr519GtdZkkDUY/edit?gid=889896918#gid=889896918"", ""必殺ワザレギュ_グレード差分(全範囲一覧)!D:D"") = AK$43)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$B47) *
            (IMPORTRANGE(""https://docs.google.com/spreadsheets/d/1tAaChe98Zh7vhMfGMK5Y4_ijmNb40fr519GtdZkkDUY/edit?gid=889896918#gid=889896918"", ""必殺ワザレギュ_グレード差分(全範囲一覧)!D:D"") = AK$43)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$B47) *
            (IMPORTRANGE(""https://docs.google.com/spreadsheets/d/1tAaChe98Zh7vhMfGMK5Y4_ijmNb40fr519GtdZkkDUY/edit?gid=889896918#gid=889896918"", ""必殺ワザレギュ_グレード差分(全範"&amp;"囲一覧)!D:D"") = AK$43)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$B47) *
            (IMPORTRANGE(""https://docs.google.com/spreadsheets/d/1tAaChe98Zh7vhMfGMK5Y4_ijmNb40fr519GtdZkkDUY/edit?gid=889896"&amp;"918#gid=889896918"", ""必殺ワザレギュ_グレード差分(全範囲一覧)!D:D"") = AK$43)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$B47) *
            (IMPORTRANGE(""https://docs.google.com/spreadsheets/d/1tAaChe98Zh7vh"&amp;"MfGMK5Y4_ijmNb40fr519GtdZkkDUY/edit?gid=889896918#gid=889896918"", ""必殺ワザレギュ_グレード差分(全範囲一覧)!D:D"") = AK$43)
          ),
          0
        ),
        MATCH($B$13, IMPORTRANGE(""https://docs.google.com/spreadsheets/d/1tAaChe98Zh7vhMfGMK5Y4_ijmNb40fr519Gtd"&amp;"ZkkDUY/edit?gid=889896918#gid=889896918"", ""必殺ワザレギュ_グレード差分(全範囲一覧)!BF8:BO8""), 0)
      ),
      ""-""
    ),
  ""-""))))))
,
""-""
)
"),"-")</f>
        <v>-</v>
      </c>
      <c r="AL47" s="9"/>
      <c r="AM47"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$B47) *
            ("&amp;"IMPORTRANGE(""https://docs.google.com/spreadsheets/d/1tAaChe98Zh7vhMfGMK5Y4_ijmNb40fr519GtdZkkDUY/edit?gid=889896918#gid=889896918"", ""必殺ワザレギュ_グレード差分(全範囲一覧)!D:D"") = AM$43)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$B47) *
            (IMPORTRANGE(""https://docs.google.com/spreadsheets/d/1tAaChe98Zh7vhMfGMK5Y4_ijmNb40fr519GtdZkkDUY/edit?gid=889896918#gid=889896918"", ""必殺ワザレギュ_グレード差分(全範囲一覧)!D:D"") = AM$43)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$B47) *
            (IMPORTRANGE(""https://docs.google.com/spreadsheets/d/1tAaChe98Zh7vhMfGMK5Y4_ijmNb40fr519GtdZkkDUY/edit?gid=889896918#gid=889896918"", ""必殺ワザレギュ_グレード差分(全範囲一覧)!D:D"") = AM$43)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$B47) *
            (IMPORTRANGE(""https://docs.google.com/spreadsheets/d/1tAaChe98Zh7vhMfGMK5Y4_ijmNb40fr519GtdZkkDUY/edit?gid=889896918#gid=889896918"", ""必殺ワザレギュ_グレード差分(全範"&amp;"囲一覧)!D:D"") = AM$43)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$B47) *
            (IMPORTRANGE(""https://docs.google.com/spreadsheets/d/1tAaChe98Zh7vhMfGMK5Y4_ijmNb40fr519GtdZkkDUY/edit?gid=889896"&amp;"918#gid=889896918"", ""必殺ワザレギュ_グレード差分(全範囲一覧)!D:D"") = AM$43)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$B47) *
            (IMPORTRANGE(""https://docs.google.com/spreadsheets/d/1tAaChe98Zh7vh"&amp;"MfGMK5Y4_ijmNb40fr519GtdZkkDUY/edit?gid=889896918#gid=889896918"", ""必殺ワザレギュ_グレード差分(全範囲一覧)!D:D"") = AM$43)
          ),
          0
        ),
        MATCH($B$13, IMPORTRANGE(""https://docs.google.com/spreadsheets/d/1tAaChe98Zh7vhMfGMK5Y4_ijmNb40fr519Gtd"&amp;"ZkkDUY/edit?gid=889896918#gid=889896918"", ""必殺ワザレギュ_グレード差分(全範囲一覧)!BF8:BO8""), 0)
      ),
      ""-""
    ),
  ""-""))))))
,
""-""
)
"),"-")</f>
        <v>-</v>
      </c>
      <c r="AN47" s="9"/>
      <c r="AO47" s="1"/>
      <c r="AQ47" s="1"/>
      <c r="AR47" s="1"/>
      <c r="AS47" s="2"/>
      <c r="AU47" s="40">
        <v>36.0</v>
      </c>
      <c r="AV47" s="40">
        <v>2.0</v>
      </c>
      <c r="AW47" s="49">
        <f t="shared" si="21"/>
        <v>4215</v>
      </c>
      <c r="AX47" s="48">
        <f t="shared" si="22"/>
        <v>4922</v>
      </c>
      <c r="AY47" s="50">
        <f t="shared" si="1"/>
        <v>4548</v>
      </c>
      <c r="AZ47" s="50">
        <f t="shared" si="2"/>
        <v>5311</v>
      </c>
      <c r="BA47" s="42">
        <f t="shared" si="3"/>
        <v>5053</v>
      </c>
      <c r="BB47" s="42">
        <f t="shared" si="4"/>
        <v>5348</v>
      </c>
      <c r="BC47" s="42">
        <f t="shared" si="5"/>
        <v>5517</v>
      </c>
      <c r="BD47" s="42">
        <f t="shared" si="6"/>
        <v>5601</v>
      </c>
      <c r="BE47" s="43">
        <f t="shared" si="7"/>
        <v>5601</v>
      </c>
      <c r="BF47" s="43">
        <f t="shared" si="8"/>
        <v>5601</v>
      </c>
      <c r="BG47" s="43">
        <f t="shared" si="9"/>
        <v>5601</v>
      </c>
      <c r="BH47" s="43">
        <f t="shared" si="10"/>
        <v>5601</v>
      </c>
      <c r="BI47" s="43">
        <f t="shared" si="11"/>
        <v>5601</v>
      </c>
      <c r="BJ47" s="44">
        <f t="shared" si="12"/>
        <v>5901</v>
      </c>
      <c r="BK47" s="44">
        <f t="shared" si="13"/>
        <v>6246</v>
      </c>
      <c r="BL47" s="44">
        <f t="shared" si="14"/>
        <v>6443</v>
      </c>
      <c r="BM47" s="44">
        <f t="shared" si="15"/>
        <v>6541</v>
      </c>
      <c r="BN47" s="45">
        <f t="shared" si="16"/>
        <v>6541</v>
      </c>
      <c r="BO47" s="45">
        <f t="shared" si="17"/>
        <v>6541</v>
      </c>
      <c r="BP47" s="45">
        <f t="shared" si="18"/>
        <v>6541</v>
      </c>
      <c r="BQ47" s="45">
        <f t="shared" si="19"/>
        <v>6541</v>
      </c>
      <c r="BR47" s="45">
        <f t="shared" si="20"/>
        <v>6541</v>
      </c>
      <c r="BU47" s="1"/>
    </row>
    <row r="48">
      <c r="A48" s="1"/>
      <c r="B48" s="63">
        <v>5.0</v>
      </c>
      <c r="C48" s="8"/>
      <c r="D48" s="9"/>
      <c r="E48" s="89">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E$43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E$43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E$43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E$43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E$43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E$43
          ),
          0
        ),
        MATCH(
          $B$13,
          IMPORTRANGE(""https://docs.google.com/spreadsheets/d/1tAaChe98Zh7vhMfGMK5Y4_ijmNb40fr519GtdZkkDUY/"&amp;"edit?gid=889896918#gid=889896918"", ""必殺ワザレギュ_グレード差分(全範囲一覧)!C8:L8""),
          0
        )
      ),
      ""-""
    )
  )
)
)))"),150.0)</f>
        <v>150</v>
      </c>
      <c r="F48" s="9"/>
      <c r="G48"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G$43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G$43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G$43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G$43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G$43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G$43
          ),
          0
        ),
        MATCH(
          $B$13,
          IMPORTRANGE(""https://docs.google.com/spreadsheets/d/1tAaChe98Zh7vhMfGMK5Y4_ijmNb40fr519GtdZkkDUY/"&amp;"edit?gid=889896918#gid=889896918"", ""必殺ワザレギュ_グレード差分(全範囲一覧)!C8:L8""),
          0
        )
      ),
      ""-""
    )
  )
)
)))"),"-")</f>
        <v>-</v>
      </c>
      <c r="H48" s="9"/>
      <c r="I48"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I$43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I$43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I$43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I$43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I$43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I$43
          ),
          0
        ),
        MATCH(
          $B$13,
          IMPORTRANGE(""https://docs.google.com/spreadsheets/d/1tAaChe98Zh7vhMfGMK5Y4_ijmNb40fr519GtdZkkDUY/"&amp;"edit?gid=889896918#gid=889896918"", ""必殺ワザレギュ_グレード差分(全範囲一覧)!C8:L8""),
          0
        )
      ),
      ""-""
    )
  )
)
)))"),"-")</f>
        <v>-</v>
      </c>
      <c r="J48" s="9"/>
      <c r="K48" s="90"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$B48) *
            (IMPORTRANGE(""https://docs.google.com/spreadsheets/d/1tAaChe98Zh7vhMfGMK5Y4_ijmNb40fr519GtdZkkDUY/edit?gid=889896918#gid=889896918"", ""必殺ワザレギュ_グレード差分(全範囲一覧)!D:D"") = K$43)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$B48) *
            (IMPORTRANGE(""https://docs.google.com/spreadsheets/d/1tAaChe98Zh7vhMfGMK5Y4_ijmNb40fr519GtdZkkDUY/edit?gid=889896918#gid=889896918"", ""必殺ワザレギュ_グレード差分(全範囲一"&amp;"覧)!D:D"") = K$43)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$B48) *
            (IMPORTRANGE(""https://docs.google.com/spreadsheets/d/1tAaChe98Zh7vhMfGMK5Y4_ijmNb40fr519GtdZkkDUY/edit?gid=889896918#gid=889"&amp;"896918"", ""必殺ワザレギュ_グレード差分(全範囲一覧)!D:D"") = K$43)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$B48) *
            (IMPORTRANGE(""https://docs.google.com/spreadsheets/d/1tAaChe98Zh7vhMfGMK5Y4_ijmNb40fr519G"&amp;"tdZkkDUY/edit?gid=889896918#gid=889896918"", ""必殺ワザレギュ_グレード差分(全範囲一覧)!D:D"") = K$43)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$B48) *
            (IMPORTRANGE(""https://docs.google.com/spreadsheets/"&amp;"d/1tAaChe98Zh7vhMfGMK5Y4_ijmNb40fr519GtdZkkDUY/edit?gid=889896918#gid=889896918"", ""必殺ワザレギュ_グレード差分(全範囲一覧)!D:D"") = K$43)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$B48) *
            (IMPORTR"&amp;"ANGE(""https://docs.google.com/spreadsheets/d/1tAaChe98Zh7vhMfGMK5Y4_ijmNb40fr519GtdZkkDUY/edit?gid=889896918#gid=889896918"", ""必殺ワザレギュ_グレード差分(全範囲一覧)!D:D"") = K$43)
          ),
          0
        ),
        MATCH($B$13, IMPORTRANGE(""https://docs.googl"&amp;"e.com/spreadsheets/d/1tAaChe98Zh7vhMfGMK5Y4_ijmNb40fr519GtdZkkDUY/edit?gid=889896918#gid=889896918"", ""必殺ワザレギュ_グレード差分(全範囲一覧)!BF8:BO8""), 0)
      ),
      ""-""
    ),
  ""-""))))))
,
""-""
)
"),"-")</f>
        <v>-</v>
      </c>
      <c r="L48" s="9"/>
      <c r="M48" s="90"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$B48) *
            (IMPORTRANGE(""https://docs.google.com/spreadsheets/d/1tAaChe98Zh7vhMfGMK5Y4_ijmNb40fr519GtdZkkDUY/edit?gid=889896918#gid=889896918"", ""必殺ワザレギュ_グレード差分(全範囲一覧)!D:D"") = M$43)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$B48) *
            (IMPORTRANGE(""https://docs.google.com/spreadsheets/d/1tAaChe98Zh7vhMfGMK5Y4_ijmNb40fr519GtdZkkDUY/edit?gid=889896918#gid=889896918"", ""必殺ワザレギュ_グレード差分(全範囲一"&amp;"覧)!D:D"") = M$43)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$B48) *
            (IMPORTRANGE(""https://docs.google.com/spreadsheets/d/1tAaChe98Zh7vhMfGMK5Y4_ijmNb40fr519GtdZkkDUY/edit?gid=889896918#gid=889"&amp;"896918"", ""必殺ワザレギュ_グレード差分(全範囲一覧)!D:D"") = M$43)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$B48) *
            (IMPORTRANGE(""https://docs.google.com/spreadsheets/d/1tAaChe98Zh7vhMfGMK5Y4_ijmNb40fr519G"&amp;"tdZkkDUY/edit?gid=889896918#gid=889896918"", ""必殺ワザレギュ_グレード差分(全範囲一覧)!D:D"") = M$43)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$B48) *
            (IMPORTRANGE(""https://docs.google.com/spreadsheets/"&amp;"d/1tAaChe98Zh7vhMfGMK5Y4_ijmNb40fr519GtdZkkDUY/edit?gid=889896918#gid=889896918"", ""必殺ワザレギュ_グレード差分(全範囲一覧)!D:D"") = M$43)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$B48) *
            (IMPORTR"&amp;"ANGE(""https://docs.google.com/spreadsheets/d/1tAaChe98Zh7vhMfGMK5Y4_ijmNb40fr519GtdZkkDUY/edit?gid=889896918#gid=889896918"", ""必殺ワザレギュ_グレード差分(全範囲一覧)!D:D"") = M$43)
          ),
          0
        ),
        MATCH($B$13, IMPORTRANGE(""https://docs.googl"&amp;"e.com/spreadsheets/d/1tAaChe98Zh7vhMfGMK5Y4_ijmNb40fr519GtdZkkDUY/edit?gid=889896918#gid=889896918"", ""必殺ワザレギュ_グレード差分(全範囲一覧)!BF8:BO8""), 0)
      ),
      ""-""
    ),
  ""-""))))))
,
""-""
)
"),"-")</f>
        <v>-</v>
      </c>
      <c r="N48" s="9"/>
      <c r="O48" s="90"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$B48) *
            (IMPORTRANGE(""https://docs.google.com/spreadsheets/d/1tAaChe98Zh7vhMfGMK5Y4_ijmNb40fr519GtdZkkDUY/edit?gid=889896918#gid=889896918"", ""必殺ワザレギュ_グレード差分(全範囲一覧)!D:D"") = O$43)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$B48) *
            (IMPORTRANGE(""https://docs.google.com/spreadsheets/d/1tAaChe98Zh7vhMfGMK5Y4_ijmNb40fr519GtdZkkDUY/edit?gid=889896918#gid=889896918"", ""必殺ワザレギュ_グレード差分(全範囲一"&amp;"覧)!D:D"") = O$43)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$B48) *
            (IMPORTRANGE(""https://docs.google.com/spreadsheets/d/1tAaChe98Zh7vhMfGMK5Y4_ijmNb40fr519GtdZkkDUY/edit?gid=889896918#gid=889"&amp;"896918"", ""必殺ワザレギュ_グレード差分(全範囲一覧)!D:D"") = O$43)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$B48) *
            (IMPORTRANGE(""https://docs.google.com/spreadsheets/d/1tAaChe98Zh7vhMfGMK5Y4_ijmNb40fr519G"&amp;"tdZkkDUY/edit?gid=889896918#gid=889896918"", ""必殺ワザレギュ_グレード差分(全範囲一覧)!D:D"") = O$43)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$B48) *
            (IMPORTRANGE(""https://docs.google.com/spreadsheets/"&amp;"d/1tAaChe98Zh7vhMfGMK5Y4_ijmNb40fr519GtdZkkDUY/edit?gid=889896918#gid=889896918"", ""必殺ワザレギュ_グレード差分(全範囲一覧)!D:D"") = O$43)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$B48) *
            (IMPORTR"&amp;"ANGE(""https://docs.google.com/spreadsheets/d/1tAaChe98Zh7vhMfGMK5Y4_ijmNb40fr519GtdZkkDUY/edit?gid=889896918#gid=889896918"", ""必殺ワザレギュ_グレード差分(全範囲一覧)!D:D"") = O$43)
          ),
          0
        ),
        MATCH($B$13, IMPORTRANGE(""https://docs.googl"&amp;"e.com/spreadsheets/d/1tAaChe98Zh7vhMfGMK5Y4_ijmNb40fr519GtdZkkDUY/edit?gid=889896918#gid=889896918"", ""必殺ワザレギュ_グレード差分(全範囲一覧)!BF8:BO8""), 0)
      ),
      ""-""
    ),
  ""-""))))))
,
""-""
)
"),"-")</f>
        <v>-</v>
      </c>
      <c r="P48" s="9"/>
      <c r="Q48"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Q$43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Q$43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Q$43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Q$43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Q$43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Q$43
          ),
          0
        ),
        MATCH(
          $B$13,
          IMPORTRANGE(""https://docs.google.com/spreadsheets/d/1tAaChe98Zh7vhMfGMK5Y4_ijmNb40fr519GtdZkkDUY/"&amp;"edit?gid=889896918#gid=889896918"", ""必殺ワザレギュ_グレード差分(全範囲一覧)!C8:L8""),
          0
        )
      ),
      ""-""
    )
  )
)
)))"),"-")</f>
        <v>-</v>
      </c>
      <c r="R48" s="9"/>
      <c r="S48"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S$43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S$43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S$43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S$43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S$43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S$43
          ),
          0
        ),
        MATCH(
          $B$13,
          IMPORTRANGE(""https://docs.google.com/spreadsheets/d/1tAaChe98Zh7vhMfGMK5Y4_ijmNb40fr519GtdZkkDUY/"&amp;"edit?gid=889896918#gid=889896918"", ""必殺ワザレギュ_グレード差分(全範囲一覧)!C8:L8""),
          0
        )
      ),
      ""-""
    )
  )
)
)))"),"-")</f>
        <v>-</v>
      </c>
      <c r="T48" s="9"/>
      <c r="U48"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U$43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U$43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U$43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U$43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U$43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U$43
          ),
          0
        ),
        MATCH(
          $B$13,
          IMPORTRANGE(""https://docs.google.com/spreadsheets/d/1tAaChe98Zh7vhMfGMK5Y4_ijmNb40fr519GtdZkkDUY/"&amp;"edit?gid=889896918#gid=889896918"", ""必殺ワザレギュ_グレード差分(全範囲一覧)!C8:L8""),
          0
        )
      ),
      ""-""
    )
  )
)
)))"),"-")</f>
        <v>-</v>
      </c>
      <c r="V48" s="9"/>
      <c r="W48" s="90"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$B48) *
            (IMPO"&amp;"RTRANGE(""https://docs.google.com/spreadsheets/d/1tAaChe98Zh7vhMfGMK5Y4_ijmNb40fr519GtdZkkDUY/edit?gid=889896918#gid=889896918"", ""必殺ワザレギュ_グレード差分(全範囲一覧)!D:D"") = W$43)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$B48) *
            (IMPORTRANGE(""https://docs.google.com/spreadsheets/d/1tAaChe98Zh7vhMfGMK5Y4_ijmNb40fr519GtdZkkDUY/edit?gid=889896918#gid=889896918"", ""必殺ワザレギュ_グレード差分(全範囲一覧)!D:D"") = W$43)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$B48) *
            (IMPORTRANGE(""https://docs.google.com/spreadsheets/d/1tAaChe98Zh7vhMfGMK5Y4_ijmNb40fr519GtdZkkDUY/edit?gid=889896918#gid=889896918"", ""必殺ワザレギュ_グレード差分(全範囲一覧)!D:D"") = W$43)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$B48) *
            (IMPORTRANGE(""https://docs.google.com/spreadsheets/d/1tAaChe98Zh7vhMfGMK5Y4_ijmNb40fr519GtdZkkDUY/edit?gid=889896918#gid=889896918"", ""必殺ワザレギュ_グレード差分(全範囲一覧)!D:D"&amp;""") = W$43)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$B48) *
            (IMPORTRANGE(""https://docs.google.com/spreadsheets/d/1tAaChe98Zh7vhMfGMK5Y4_ijmNb40fr519GtdZkkDUY/edit?gid=889896918#gid=88"&amp;"9896918"", ""必殺ワザレギュ_グレード差分(全範囲一覧)!D:D"") = W$43)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$B48) *
            (IMPORTRANGE(""https://docs.google.com/spreadsheets/d/1tAaChe98Zh7vhMfGMK5Y4_ijm"&amp;"Nb40fr519GtdZkkDUY/edit?gid=889896918#gid=889896918"", ""必殺ワザレギュ_グレード差分(全範囲一覧)!D:D"") = W$43)
          ),
          0
        ),
        MATCH($B$13, IMPORTRANGE(""https://docs.google.com/spreadsheets/d/1tAaChe98Zh7vhMfGMK5Y4_ijmNb40fr519GtdZkkDUY/edit?g"&amp;"id=889896918#gid=889896918"", ""必殺ワザレギュ_グレード差分(全範囲一覧)!BF8:BO8""), 0)
      ),
      ""-""
    ),
  ""-""))))))
,
""-""
)
"),"-")</f>
        <v>-</v>
      </c>
      <c r="X48" s="9"/>
      <c r="Y48" s="90"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$B48) *
            (IMPO"&amp;"RTRANGE(""https://docs.google.com/spreadsheets/d/1tAaChe98Zh7vhMfGMK5Y4_ijmNb40fr519GtdZkkDUY/edit?gid=889896918#gid=889896918"", ""必殺ワザレギュ_グレード差分(全範囲一覧)!D:D"") = Y$43)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$B48) *
            (IMPORTRANGE(""https://docs.google.com/spreadsheets/d/1tAaChe98Zh7vhMfGMK5Y4_ijmNb40fr519GtdZkkDUY/edit?gid=889896918#gid=889896918"", ""必殺ワザレギュ_グレード差分(全範囲一覧)!D:D"") = Y$43)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$B48) *
            (IMPORTRANGE(""https://docs.google.com/spreadsheets/d/1tAaChe98Zh7vhMfGMK5Y4_ijmNb40fr519GtdZkkDUY/edit?gid=889896918#gid=889896918"", ""必殺ワザレギュ_グレード差分(全範囲一覧)!D:D"") = Y$43)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$B48) *
            (IMPORTRANGE(""https://docs.google.com/spreadsheets/d/1tAaChe98Zh7vhMfGMK5Y4_ijmNb40fr519GtdZkkDUY/edit?gid=889896918#gid=889896918"", ""必殺ワザレギュ_グレード差分(全範囲一覧)!D:D"&amp;""") = Y$43)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$B48) *
            (IMPORTRANGE(""https://docs.google.com/spreadsheets/d/1tAaChe98Zh7vhMfGMK5Y4_ijmNb40fr519GtdZkkDUY/edit?gid=889896918#gid=88"&amp;"9896918"", ""必殺ワザレギュ_グレード差分(全範囲一覧)!D:D"") = Y$43)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$B48) *
            (IMPORTRANGE(""https://docs.google.com/spreadsheets/d/1tAaChe98Zh7vhMfGMK5Y4_ijm"&amp;"Nb40fr519GtdZkkDUY/edit?gid=889896918#gid=889896918"", ""必殺ワザレギュ_グレード差分(全範囲一覧)!D:D"") = Y$43)
          ),
          0
        ),
        MATCH($B$13, IMPORTRANGE(""https://docs.google.com/spreadsheets/d/1tAaChe98Zh7vhMfGMK5Y4_ijmNb40fr519GtdZkkDUY/edit?g"&amp;"id=889896918#gid=889896918"", ""必殺ワザレギュ_グレード差分(全範囲一覧)!BF8:BO8""), 0)
      ),
      ""-""
    ),
  ""-""))))))
,
""-""
)
"),"-")</f>
        <v>-</v>
      </c>
      <c r="Z48" s="9"/>
      <c r="AA48" s="90"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$B48) *
            (IMPO"&amp;"RTRANGE(""https://docs.google.com/spreadsheets/d/1tAaChe98Zh7vhMfGMK5Y4_ijmNb40fr519GtdZkkDUY/edit?gid=889896918#gid=889896918"", ""必殺ワザレギュ_グレード差分(全範囲一覧)!D:D"") = AA$43)
          ),
          0
        ),
        MATCH($B$13, IMPORTRANGE(""https://docs.g"&amp;"oogle.com/spreadsheets/d/1tAaChe98Zh7vhMfGMK5Y4_ijmNb40fr519GtdZkkDUY/edit?gid=889896918#gid=889896918"", ""必殺ワザレギュ_グレード差分(全範囲一覧)!C8:L8""), 0)
      ),
      ""-""
    ),
  IF(
    $AP$36 = ""瞬間型"",
    IFERROR(
      INDEX(
        IMPORTRANGE(""https://"&amp;"docs.google.com/spreadsheets/d/1tAaChe98Zh7vhMfGMK5Y4_ijmNb40fr519GtdZkkDUY/edit?gid=889896918#gid=889896918"", ""必殺ワザレギュ_グレード差分(全範囲一覧)!N:W""),
        MATCH(
          1,
          ARRAYFORMULA(
            ISNUMBER(SEARCH($Q$41, IMPORTRANGE(""https://do"&amp;"cs.google.com/spreadsheets/d/1tAaChe98Zh7vhMfGMK5Y4_ijmNb40fr519GtdZkkDUY/edit?gid=889896918#gid=889896918"",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$B48) *
            (IMPORTRANGE(""https://docs.google.com/spreadsheets/d/1tAaChe98Zh7vhMfGMK5Y4_ijmNb40fr519GtdZkkDUY/edit?gid=889896918#gid=889896918"", ""必殺ワザレギュ_グレード差分(全範囲一覧)!D:D"") = AA$43)
          ),
          0
        ),
        MATCH($B$1"&amp;"3, IMPORTRANGE(""https://docs.google.com/spreadsheets/d/1tAaChe98Zh7vhMfGMK5Y4_ijmNb40fr519GtdZkkDUY/edit?gid=889896918#gid=889896918"", ""必殺ワザレギュ_グレード差分(全範囲一覧)!N8:W8""), 0)
      ),
      ""-""
    ),
  IF(
    $AP$36 = ""安定型"",
    IFERROR(
      INDEX("&amp;"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(IMPORTRANGE(""https://docs.google.com/spreadsheets/d/1tAaChe98Zh7"&amp;"vhMfGMK5Y4_ijmNb40fr519GtdZkkDUY/edit?gid=889896918#gid=889896918"", ""必殺ワザレギュ_グレード差分(全範囲一覧)!X:X"") = ""安定型"") *
            (IMPORTRANGE(""https://docs.google.com/spreadsheets/d/1tAaChe98Zh7vhMfGMK5Y4_ijmNb40fr519GtdZkkDUY/edit?gid=889896918#gid=88989691"&amp;"8"", ""必殺ワザレギュ_グレード差分(全範囲一覧)!C:C"") = $B48) *
            (IMPORTRANGE(""https://docs.google.com/spreadsheets/d/1tAaChe98Zh7vhMfGMK5Y4_ijmNb40fr519GtdZkkDUY/edit?gid=889896918#gid=889896918"", ""必殺ワザレギュ_グレード差分(全範囲一覧)!D:D"") = AA$43)
          ),
         "&amp;" 0
        ),
        MATCH($B$13, IMPORTRANGE(""https://docs.google.com/spreadsheets/d/1tAaChe98Zh7vhMfGMK5Y4_ijmNb40fr519GtdZkkDUY/edit?gid=889896918#gid=889896918"", ""必殺ワザレギュ_グレード差分(全範囲一覧)!Y8:AH8""), 0)
      ),
      ""-""
    ),
  IF(
    $AP$36 = "&amp;"""持続型"",
    IFERROR(
      INDEX(
        IMPORTRANGE(""https://docs.google.com/spreadsheets/d/1tAaChe98Zh7vhMfGMK5Y4_ijmNb40fr519GtdZkkDUY/edit?gid=889896918#gid=889896918"", ""必殺ワザレギュ_グレード差分(全範囲一覧)!AJ:AS""),
        MATCH(
          1,
          ARRAYF"&amp;"ORMULA(
            ISNUMBER(SEARCH($Q$41, IMPORTRANGE(""https://docs.google.com/spreadsheets/d/1tAaChe98Zh7vhMfGMK5Y4_ijmNb40fr519GtdZkkDUY/edit?gid=889896918#gid=889896918"", ""必殺ワザレギュ_グレード差分(全範囲一覧)!A:A""))) *
            (IMPORTRANGE(""https://docs.goo"&amp;"gle.com/spreadsheets/d/1tAaChe98Zh7vhMfGMK5Y4_ijmNb40fr519GtdZkkDUY/edit?gid=889896918#gid=889896918"", ""必殺ワザレギュ_グレード差分(全範囲一覧)!AI:AI"") = ""持続型"") *
            (IMPORTRANGE(""https://docs.google.com/spreadsheets/d/1tAaChe98Zh7vhMfGMK5Y4_ijmNb40fr519GtdZ"&amp;"kkDUY/edit?gid=889896918#gid=889896918"", ""必殺ワザレギュ_グレード差分(全範囲一覧)!C:C"") = $B48) *
            (IMPORTRANGE(""https://docs.google.com/spreadsheets/d/1tAaChe98Zh7vhMfGMK5Y4_ijmNb40fr519GtdZkkDUY/edit?gid=889896918#gid=889896918"", ""必殺ワザレギュ_グレード差分(全範囲一覧)!D"&amp;":D"") = AA$43)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"&amp;"  MATCH(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(IMPORTRANGE(""https://docs.google.com/spreadsheets/d/"&amp;"1tAaChe98Zh7vhMfGMK5Y4_ijmNb40fr519GtdZkkDUY/edit?gid=889896918#gid=889896918"", ""必殺ワザレギュ_グレード差分(全範囲一覧)!C:C"") = $B48) *
            (IMPORTRANGE(""https://docs.google.com/spreadsheets/d/1tAaChe98Zh7vhMfGMK5Y4_ijmNb40fr519GtdZkkDUY/edit?gid=889896918#gid"&amp;"=889896918"", ""必殺ワザレギュ_グレード差分(全範囲一覧)!D:D"") = AA$43)
          ),
          0
        ),
        MATCH($B$13, IMPORTRANGE(""https://docs.google.com/spreadsheets/d/1tAaChe98Zh7vhMfGMK5Y4_ijmNb40fr519GtdZkkDUY/edit?gid=889896918#gid=889896918"", ""必殺ワザレギュ_"&amp;"グレード差分(全範囲一覧)!AU8:BD8""), 0)
      ),
      ""-""
    ),
  IF(
    $AP$36 = ""ハイブリッド型"",
    IFERROR(
      INDEX(
        IMPORTRANGE(""https://docs.google.com/spreadsheets/d/1tAaChe98Zh7vhMfGMK5Y4_ijmNb40fr519GtdZkkDUY/edit?gid=889896918#gid=889896918"""&amp;", ""必殺ワザレギュ_グレード差分(全範囲一覧)!BF:BO""),
        MATCH(
          1,
          ARRAYFORMULA(
            ISNUMBER(SEARCH($Q$41, IMPORTRANGE(""https://docs.google.com/spreadsheets/d/1tAaChe98Zh7vhMfGMK5Y4_ijmNb40fr519GtdZkkDUY/edit?gid=889896918#gid=889896918"""&amp;", ""必殺ワザレギュ_グレード差分(全範囲一覧)!A:A""))) *
            (IMPORTRANGE(""https://docs.google.com/spreadsheets/d/1tAaChe98Zh7vhMfGMK5Y4_ijmNb40fr519GtdZkkDUY/edit?gid=889896918#gid=889896918"", ""必殺ワザレギュ_グレード差分(全範囲一覧)!BE:BE"") = ""ハイブリッド型"") *
            (IMPORTRA"&amp;"NGE(""https://docs.google.com/spreadsheets/d/1tAaChe98Zh7vhMfGMK5Y4_ijmNb40fr519GtdZkkDUY/edit?gid=889896918#gid=889896918"", ""必殺ワザレギュ_グレード差分(全範囲一覧)!C:C"") = $B48) *
            (IMPORTRANGE(""https://docs.google.com/spreadsheets/d/1tAaChe98Zh7vhMfGMK5Y4"&amp;"_ijmNb40fr519GtdZkkDUY/edit?gid=889896918#gid=889896918"", ""必殺ワザレギュ_グレード差分(全範囲一覧)!D:D"") = AA$43)
          ),
          0
        ),
        MATCH($B$13, IMPORTRANGE(""https://docs.google.com/spreadsheets/d/1tAaChe98Zh7vhMfGMK5Y4_ijmNb40fr519GtdZkkDUY/e"&amp;"dit?gid=889896918#gid=889896918"", ""必殺ワザレギュ_グレード差分(全範囲一覧)!BF8:BO8""), 0)
      ),
      ""-""
    ),
  ""-""))))))
,
""-""
)
"),"-")</f>
        <v>-</v>
      </c>
      <c r="AB48" s="9"/>
      <c r="AC48"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$B48
        ) *
        (
          IMPORTRANGE(""https://docs.google.com/spreadsheets/d/1t"&amp;"AaChe98Zh7vhMfGMK5Y4_ijmNb40fr519GtdZkkDUY/edit?gid=889896918#gid=889896918"", ""必殺ワザレギュ_グレード差分(全範囲一覧)!D:D"") = AC$43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$B48
          ) *
          (
            IMPORTRANGE(""https://docs.google.com/spreadsheets/d/1tAaChe98Zh7vhMfGMK5Y4_ijmNb40fr519GtdZkkDUY/edit?gid=889896918#gid=8898969"&amp;"18"", ""必殺ワザレギュ_グレード差分(全範囲一覧)!D:D"") = AC$43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AC$43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AC$43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$B48
          ) *
          (
            IM"&amp;"PORTRANGE(""https://docs.google.com/spreadsheets/d/1tAaChe98Zh7vhMfGMK5Y4_ijmNb40fr519GtdZkkDUY/edit?gid=889896918#gid=889896918"", ""必殺ワザレギュ_グレード差分(全範囲一覧)!D:D"") = AC$43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$B48
          ) *
          (
            IMPORTRANGE(""https://docs.google.com/spreadsheets/d/1tAaChe98Zh7vhMfGMK5Y4_ijmNb40f"&amp;"r519GtdZkkDUY/edit?gid=889896918#gid=889896918"", ""必殺ワザレギュ_グレード差分(全範囲一覧)!D:D"") = AC$43
          ),
          0
        ),
        MATCH(
          $B$13,
          IMPORTRANGE(""https://docs.google.com/spreadsheets/d/1tAaChe98Zh7vhMfGMK5Y4_ijmNb40fr519"&amp;"GtdZkkDUY/edit?gid=889896918#gid=889896918"", ""必殺ワザレギュ_グレード差分(全範囲一覧)!C8:L8""),
          0
        )
      ),
      ""-""
    )
  )
)
)))"),"-")</f>
        <v>-</v>
      </c>
      <c r="AD48" s="9"/>
      <c r="AE48"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$B48
        ) *
        (
          IMPORTRANGE(""https://docs.google.com/spreadsheets/d/1t"&amp;"AaChe98Zh7vhMfGMK5Y4_ijmNb40fr519GtdZkkDUY/edit?gid=889896918#gid=889896918"", ""必殺ワザレギュ_グレード差分(全範囲一覧)!D:D"") = AE$43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$B48
          ) *
          (
            IMPORTRANGE(""https://docs.google.com/spreadsheets/d/1tAaChe98Zh7vhMfGMK5Y4_ijmNb40fr519GtdZkkDUY/edit?gid=889896918#gid=8898969"&amp;"18"", ""必殺ワザレギュ_グレード差分(全範囲一覧)!D:D"") = AE$43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AE$43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AE$43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$B48
          ) *
          (
            IM"&amp;"PORTRANGE(""https://docs.google.com/spreadsheets/d/1tAaChe98Zh7vhMfGMK5Y4_ijmNb40fr519GtdZkkDUY/edit?gid=889896918#gid=889896918"", ""必殺ワザレギュ_グレード差分(全範囲一覧)!D:D"") = AE$43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$B48
          ) *
          (
            IMPORTRANGE(""https://docs.google.com/spreadsheets/d/1tAaChe98Zh7vhMfGMK5Y4_ijmNb40f"&amp;"r519GtdZkkDUY/edit?gid=889896918#gid=889896918"", ""必殺ワザレギュ_グレード差分(全範囲一覧)!D:D"") = AE$43
          ),
          0
        ),
        MATCH(
          $B$13,
          IMPORTRANGE(""https://docs.google.com/spreadsheets/d/1tAaChe98Zh7vhMfGMK5Y4_ijmNb40fr519"&amp;"GtdZkkDUY/edit?gid=889896918#gid=889896918"", ""必殺ワザレギュ_グレード差分(全範囲一覧)!C8:L8""),
          0
        )
      ),
      ""-""
    )
  )
)
)))"),"-")</f>
        <v>-</v>
      </c>
      <c r="AF48" s="9"/>
      <c r="AG48"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$B48
        ) *
        (
          IMPORTRANGE(""https://docs.google.com/spreadsheets/d/1t"&amp;"AaChe98Zh7vhMfGMK5Y4_ijmNb40fr519GtdZkkDUY/edit?gid=889896918#gid=889896918"", ""必殺ワザレギュ_グレード差分(全範囲一覧)!D:D"") = AG$43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$B48
          ) *
          (
            IMPORTRANGE(""https://docs.google.com/spreadsheets/d/1tAaChe98Zh7vhMfGMK5Y4_ijmNb40fr519GtdZkkDUY/edit?gid=889896918#gid=8898969"&amp;"18"", ""必殺ワザレギュ_グレード差分(全範囲一覧)!D:D"") = AG$43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AG$43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AG$43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$B48
          ) *
          (
            IM"&amp;"PORTRANGE(""https://docs.google.com/spreadsheets/d/1tAaChe98Zh7vhMfGMK5Y4_ijmNb40fr519GtdZkkDUY/edit?gid=889896918#gid=889896918"", ""必殺ワザレギュ_グレード差分(全範囲一覧)!D:D"") = AG$43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$B48
          ) *
          (
            IMPORTRANGE(""https://docs.google.com/spreadsheets/d/1tAaChe98Zh7vhMfGMK5Y4_ijmNb40f"&amp;"r519GtdZkkDUY/edit?gid=889896918#gid=889896918"", ""必殺ワザレギュ_グレード差分(全範囲一覧)!D:D"") = AG$43
          ),
          0
        ),
        MATCH(
          $B$13,
          IMPORTRANGE(""https://docs.google.com/spreadsheets/d/1tAaChe98Zh7vhMfGMK5Y4_ijmNb40fr519"&amp;"GtdZkkDUY/edit?gid=889896918#gid=889896918"", ""必殺ワザレギュ_グレード差分(全範囲一覧)!C8:L8""),
          0
        )
      ),
      ""-""
    )
  )
)
)))"),"-")</f>
        <v>-</v>
      </c>
      <c r="AH48" s="9"/>
      <c r="AI48"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$B48) *
            ("&amp;"IMPORTRANGE(""https://docs.google.com/spreadsheets/d/1tAaChe98Zh7vhMfGMK5Y4_ijmNb40fr519GtdZkkDUY/edit?gid=889896918#gid=889896918"", ""必殺ワザレギュ_グレード差分(全範囲一覧)!D:D"") = AI$43)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$B48) *
            (IMPORTRANGE(""https://docs.google.com/spreadsheets/d/1tAaChe98Zh7vhMfGMK5Y4_ijmNb40fr519GtdZkkDUY/edit?gid=889896918#gid=889896918"", ""必殺ワザレギュ_グレード差分(全範囲一覧)!D:D"") = AI$43)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$B48) *
            (IMPORTRANGE(""https://docs.google.com/spreadsheets/d/1tAaChe98Zh7vhMfGMK5Y4_ijmNb40fr519GtdZkkDUY/edit?gid=889896918#gid=889896918"", ""必殺ワザレギュ_グレード差分(全範囲一覧)!D:D"") = AI$43)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$B48) *
            (IMPORTRANGE(""https://docs.google.com/spreadsheets/d/1tAaChe98Zh7vhMfGMK5Y4_ijmNb40fr519GtdZkkDUY/edit?gid=889896918#gid=889896918"", ""必殺ワザレギュ_グレード差分(全範"&amp;"囲一覧)!D:D"") = AI$43)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$B48) *
            (IMPORTRANGE(""https://docs.google.com/spreadsheets/d/1tAaChe98Zh7vhMfGMK5Y4_ijmNb40fr519GtdZkkDUY/edit?gid=889896"&amp;"918#gid=889896918"", ""必殺ワザレギュ_グレード差分(全範囲一覧)!D:D"") = AI$43)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$B48) *
            (IMPORTRANGE(""https://docs.google.com/spreadsheets/d/1tAaChe98Zh7vh"&amp;"MfGMK5Y4_ijmNb40fr519GtdZkkDUY/edit?gid=889896918#gid=889896918"", ""必殺ワザレギュ_グレード差分(全範囲一覧)!D:D"") = AI$43)
          ),
          0
        ),
        MATCH($B$13, IMPORTRANGE(""https://docs.google.com/spreadsheets/d/1tAaChe98Zh7vhMfGMK5Y4_ijmNb40fr519Gtd"&amp;"ZkkDUY/edit?gid=889896918#gid=889896918"", ""必殺ワザレギュ_グレード差分(全範囲一覧)!BF8:BO8""), 0)
      ),
      ""-""
    ),
  ""-""))))))
,
""-""
)
"),"-")</f>
        <v>-</v>
      </c>
      <c r="AJ48" s="9"/>
      <c r="AK48"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$B48) *
            ("&amp;"IMPORTRANGE(""https://docs.google.com/spreadsheets/d/1tAaChe98Zh7vhMfGMK5Y4_ijmNb40fr519GtdZkkDUY/edit?gid=889896918#gid=889896918"", ""必殺ワザレギュ_グレード差分(全範囲一覧)!D:D"") = AK$43)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$B48) *
            (IMPORTRANGE(""https://docs.google.com/spreadsheets/d/1tAaChe98Zh7vhMfGMK5Y4_ijmNb40fr519GtdZkkDUY/edit?gid=889896918#gid=889896918"", ""必殺ワザレギュ_グレード差分(全範囲一覧)!D:D"") = AK$43)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$B48) *
            (IMPORTRANGE(""https://docs.google.com/spreadsheets/d/1tAaChe98Zh7vhMfGMK5Y4_ijmNb40fr519GtdZkkDUY/edit?gid=889896918#gid=889896918"", ""必殺ワザレギュ_グレード差分(全範囲一覧)!D:D"") = AK$43)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$B48) *
            (IMPORTRANGE(""https://docs.google.com/spreadsheets/d/1tAaChe98Zh7vhMfGMK5Y4_ijmNb40fr519GtdZkkDUY/edit?gid=889896918#gid=889896918"", ""必殺ワザレギュ_グレード差分(全範"&amp;"囲一覧)!D:D"") = AK$43)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$B48) *
            (IMPORTRANGE(""https://docs.google.com/spreadsheets/d/1tAaChe98Zh7vhMfGMK5Y4_ijmNb40fr519GtdZkkDUY/edit?gid=889896"&amp;"918#gid=889896918"", ""必殺ワザレギュ_グレード差分(全範囲一覧)!D:D"") = AK$43)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$B48) *
            (IMPORTRANGE(""https://docs.google.com/spreadsheets/d/1tAaChe98Zh7vh"&amp;"MfGMK5Y4_ijmNb40fr519GtdZkkDUY/edit?gid=889896918#gid=889896918"", ""必殺ワザレギュ_グレード差分(全範囲一覧)!D:D"") = AK$43)
          ),
          0
        ),
        MATCH($B$13, IMPORTRANGE(""https://docs.google.com/spreadsheets/d/1tAaChe98Zh7vhMfGMK5Y4_ijmNb40fr519Gtd"&amp;"ZkkDUY/edit?gid=889896918#gid=889896918"", ""必殺ワザレギュ_グレード差分(全範囲一覧)!BF8:BO8""), 0)
      ),
      ""-""
    ),
  ""-""))))))
,
""-""
)
"),"-")</f>
        <v>-</v>
      </c>
      <c r="AL48" s="9"/>
      <c r="AM48" s="63"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$B48) *
            ("&amp;"IMPORTRANGE(""https://docs.google.com/spreadsheets/d/1tAaChe98Zh7vhMfGMK5Y4_ijmNb40fr519GtdZkkDUY/edit?gid=889896918#gid=889896918"", ""必殺ワザレギュ_グレード差分(全範囲一覧)!D:D"") = AM$43)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$B48) *
            (IMPORTRANGE(""https://docs.google.com/spreadsheets/d/1tAaChe98Zh7vhMfGMK5Y4_ijmNb40fr519GtdZkkDUY/edit?gid=889896918#gid=889896918"", ""必殺ワザレギュ_グレード差分(全範囲一覧)!D:D"") = AM$43)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$B48) *
            (IMPORTRANGE(""https://docs.google.com/spreadsheets/d/1tAaChe98Zh7vhMfGMK5Y4_ijmNb40fr519GtdZkkDUY/edit?gid=889896918#gid=889896918"", ""必殺ワザレギュ_グレード差分(全範囲一覧)!D:D"") = AM$43)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$B48) *
            (IMPORTRANGE(""https://docs.google.com/spreadsheets/d/1tAaChe98Zh7vhMfGMK5Y4_ijmNb40fr519GtdZkkDUY/edit?gid=889896918#gid=889896918"", ""必殺ワザレギュ_グレード差分(全範"&amp;"囲一覧)!D:D"") = AM$43)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$B48) *
            (IMPORTRANGE(""https://docs.google.com/spreadsheets/d/1tAaChe98Zh7vhMfGMK5Y4_ijmNb40fr519GtdZkkDUY/edit?gid=889896"&amp;"918#gid=889896918"", ""必殺ワザレギュ_グレード差分(全範囲一覧)!D:D"") = AM$43)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$B48) *
            (IMPORTRANGE(""https://docs.google.com/spreadsheets/d/1tAaChe98Zh7vh"&amp;"MfGMK5Y4_ijmNb40fr519GtdZkkDUY/edit?gid=889896918#gid=889896918"", ""必殺ワザレギュ_グレード差分(全範囲一覧)!D:D"") = AM$43)
          ),
          0
        ),
        MATCH($B$13, IMPORTRANGE(""https://docs.google.com/spreadsheets/d/1tAaChe98Zh7vhMfGMK5Y4_ijmNb40fr519Gtd"&amp;"ZkkDUY/edit?gid=889896918#gid=889896918"", ""必殺ワザレギュ_グレード差分(全範囲一覧)!BF8:BO8""), 0)
      ),
      ""-""
    ),
  ""-""))))))
,
""-""
)
"),"-")</f>
        <v>-</v>
      </c>
      <c r="AN48" s="9"/>
      <c r="AO48" s="1"/>
      <c r="AQ48" s="1"/>
      <c r="AR48" s="1"/>
      <c r="AS48" s="2"/>
      <c r="AU48" s="40">
        <v>37.0</v>
      </c>
      <c r="AV48" s="40">
        <v>2.0</v>
      </c>
      <c r="AW48" s="49">
        <f t="shared" si="21"/>
        <v>4300</v>
      </c>
      <c r="AX48" s="48">
        <f t="shared" si="22"/>
        <v>5022</v>
      </c>
      <c r="AY48" s="50">
        <f t="shared" si="1"/>
        <v>4633</v>
      </c>
      <c r="AZ48" s="50">
        <f t="shared" si="2"/>
        <v>5411</v>
      </c>
      <c r="BA48" s="42">
        <f t="shared" si="3"/>
        <v>5149</v>
      </c>
      <c r="BB48" s="42">
        <f t="shared" si="4"/>
        <v>5450</v>
      </c>
      <c r="BC48" s="42">
        <f t="shared" si="5"/>
        <v>5622</v>
      </c>
      <c r="BD48" s="42">
        <f t="shared" si="6"/>
        <v>5708</v>
      </c>
      <c r="BE48" s="43">
        <f t="shared" si="7"/>
        <v>5708</v>
      </c>
      <c r="BF48" s="43">
        <f t="shared" si="8"/>
        <v>5708</v>
      </c>
      <c r="BG48" s="43">
        <f t="shared" si="9"/>
        <v>5708</v>
      </c>
      <c r="BH48" s="43">
        <f t="shared" si="10"/>
        <v>5708</v>
      </c>
      <c r="BI48" s="43">
        <f t="shared" si="11"/>
        <v>5708</v>
      </c>
      <c r="BJ48" s="44">
        <f t="shared" si="12"/>
        <v>6013</v>
      </c>
      <c r="BK48" s="44">
        <f t="shared" si="13"/>
        <v>6365</v>
      </c>
      <c r="BL48" s="44">
        <f t="shared" si="14"/>
        <v>6566</v>
      </c>
      <c r="BM48" s="44">
        <f t="shared" si="15"/>
        <v>6666</v>
      </c>
      <c r="BN48" s="45">
        <f t="shared" si="16"/>
        <v>6666</v>
      </c>
      <c r="BO48" s="45">
        <f t="shared" si="17"/>
        <v>6666</v>
      </c>
      <c r="BP48" s="45">
        <f t="shared" si="18"/>
        <v>6666</v>
      </c>
      <c r="BQ48" s="45">
        <f t="shared" si="19"/>
        <v>6666</v>
      </c>
      <c r="BR48" s="45">
        <f t="shared" si="20"/>
        <v>6666</v>
      </c>
      <c r="BU48" s="1"/>
    </row>
    <row r="49">
      <c r="A49" s="1"/>
      <c r="B49" s="5" t="s">
        <v>79</v>
      </c>
      <c r="C49" s="5" t="s">
        <v>99</v>
      </c>
      <c r="D49" s="1"/>
      <c r="E49" s="1"/>
      <c r="F49" s="1"/>
      <c r="G49" s="1"/>
      <c r="H49" s="1"/>
      <c r="I49" s="1"/>
      <c r="J49" s="1"/>
      <c r="K49" s="1"/>
      <c r="L49" s="1"/>
      <c r="M49" s="1"/>
      <c r="N49" s="1"/>
      <c r="O49" s="1"/>
      <c r="P49" s="1"/>
      <c r="Q49" s="1"/>
      <c r="R49" s="1"/>
      <c r="S49" s="1"/>
      <c r="T49" s="1"/>
      <c r="U49" s="1"/>
      <c r="V49" s="1"/>
      <c r="W49" s="1"/>
      <c r="X49" s="1"/>
      <c r="Y49" s="1"/>
      <c r="AQ49" s="1"/>
      <c r="AR49" s="1"/>
      <c r="AS49" s="2"/>
      <c r="AU49" s="40">
        <v>38.0</v>
      </c>
      <c r="AV49" s="40">
        <v>2.0</v>
      </c>
      <c r="AW49" s="49">
        <f t="shared" si="21"/>
        <v>4386</v>
      </c>
      <c r="AX49" s="48">
        <f t="shared" si="22"/>
        <v>5123</v>
      </c>
      <c r="AY49" s="50">
        <f t="shared" si="1"/>
        <v>4719</v>
      </c>
      <c r="AZ49" s="50">
        <f t="shared" si="2"/>
        <v>5512</v>
      </c>
      <c r="BA49" s="42">
        <f t="shared" si="3"/>
        <v>5245</v>
      </c>
      <c r="BB49" s="42">
        <f t="shared" si="4"/>
        <v>5552</v>
      </c>
      <c r="BC49" s="42">
        <f t="shared" si="5"/>
        <v>5727</v>
      </c>
      <c r="BD49" s="42">
        <f t="shared" si="6"/>
        <v>5815</v>
      </c>
      <c r="BE49" s="43">
        <f t="shared" si="7"/>
        <v>5815</v>
      </c>
      <c r="BF49" s="43">
        <f t="shared" si="8"/>
        <v>5815</v>
      </c>
      <c r="BG49" s="43">
        <f t="shared" si="9"/>
        <v>5815</v>
      </c>
      <c r="BH49" s="43">
        <f t="shared" si="10"/>
        <v>5815</v>
      </c>
      <c r="BI49" s="43">
        <f t="shared" si="11"/>
        <v>5815</v>
      </c>
      <c r="BJ49" s="44">
        <f t="shared" si="12"/>
        <v>6126</v>
      </c>
      <c r="BK49" s="44">
        <f t="shared" si="13"/>
        <v>6485</v>
      </c>
      <c r="BL49" s="44">
        <f t="shared" si="14"/>
        <v>6690</v>
      </c>
      <c r="BM49" s="44">
        <f t="shared" si="15"/>
        <v>6792</v>
      </c>
      <c r="BN49" s="45">
        <f t="shared" si="16"/>
        <v>6792</v>
      </c>
      <c r="BO49" s="45">
        <f t="shared" si="17"/>
        <v>6792</v>
      </c>
      <c r="BP49" s="45">
        <f t="shared" si="18"/>
        <v>6792</v>
      </c>
      <c r="BQ49" s="45">
        <f t="shared" si="19"/>
        <v>6792</v>
      </c>
      <c r="BR49" s="45">
        <f t="shared" si="20"/>
        <v>6792</v>
      </c>
      <c r="BU49" s="1"/>
    </row>
    <row r="50">
      <c r="A50" s="1"/>
      <c r="B50" s="91" t="s">
        <v>100</v>
      </c>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9"/>
      <c r="AE50" s="1"/>
      <c r="AF50" s="1"/>
      <c r="AG50" s="1"/>
      <c r="AH50" s="1"/>
      <c r="AI50" s="1"/>
      <c r="AJ50" s="1"/>
      <c r="AK50" s="1"/>
      <c r="AL50" s="1"/>
      <c r="AM50" s="1"/>
      <c r="AN50" s="1"/>
      <c r="AO50" s="1"/>
      <c r="AQ50" s="1"/>
      <c r="AR50" s="1"/>
      <c r="AS50" s="2"/>
      <c r="AU50" s="40">
        <v>39.0</v>
      </c>
      <c r="AV50" s="40">
        <v>2.0</v>
      </c>
      <c r="AW50" s="49">
        <f t="shared" si="21"/>
        <v>4473</v>
      </c>
      <c r="AX50" s="48">
        <f t="shared" si="22"/>
        <v>5223</v>
      </c>
      <c r="AY50" s="50">
        <f t="shared" si="1"/>
        <v>4806</v>
      </c>
      <c r="AZ50" s="50">
        <f t="shared" si="2"/>
        <v>5612</v>
      </c>
      <c r="BA50" s="42">
        <f t="shared" si="3"/>
        <v>5342</v>
      </c>
      <c r="BB50" s="42">
        <f t="shared" si="4"/>
        <v>5655</v>
      </c>
      <c r="BC50" s="42">
        <f t="shared" si="5"/>
        <v>5834</v>
      </c>
      <c r="BD50" s="42">
        <f t="shared" si="6"/>
        <v>5924</v>
      </c>
      <c r="BE50" s="43">
        <f t="shared" si="7"/>
        <v>5924</v>
      </c>
      <c r="BF50" s="43">
        <f t="shared" si="8"/>
        <v>5924</v>
      </c>
      <c r="BG50" s="43">
        <f t="shared" si="9"/>
        <v>5924</v>
      </c>
      <c r="BH50" s="43">
        <f t="shared" si="10"/>
        <v>5924</v>
      </c>
      <c r="BI50" s="43">
        <f t="shared" si="11"/>
        <v>5924</v>
      </c>
      <c r="BJ50" s="44">
        <f t="shared" si="12"/>
        <v>6238</v>
      </c>
      <c r="BK50" s="44">
        <f t="shared" si="13"/>
        <v>6604</v>
      </c>
      <c r="BL50" s="44">
        <f t="shared" si="14"/>
        <v>6813</v>
      </c>
      <c r="BM50" s="44">
        <f t="shared" si="15"/>
        <v>6917</v>
      </c>
      <c r="BN50" s="45">
        <f t="shared" si="16"/>
        <v>6917</v>
      </c>
      <c r="BO50" s="45">
        <f t="shared" si="17"/>
        <v>6917</v>
      </c>
      <c r="BP50" s="45">
        <f t="shared" si="18"/>
        <v>6917</v>
      </c>
      <c r="BQ50" s="45">
        <f t="shared" si="19"/>
        <v>6917</v>
      </c>
      <c r="BR50" s="45">
        <f t="shared" si="20"/>
        <v>6917</v>
      </c>
      <c r="BU50" s="1"/>
    </row>
    <row r="51">
      <c r="A51" s="1"/>
      <c r="B51" s="88" t="s">
        <v>96</v>
      </c>
      <c r="C51" s="8"/>
      <c r="D51" s="9"/>
      <c r="E51" s="88" t="s">
        <v>100</v>
      </c>
      <c r="F51" s="8"/>
      <c r="G51" s="8"/>
      <c r="H51" s="8"/>
      <c r="I51" s="8"/>
      <c r="J51" s="8"/>
      <c r="K51" s="8"/>
      <c r="L51" s="8"/>
      <c r="M51" s="8"/>
      <c r="N51" s="8"/>
      <c r="O51" s="8"/>
      <c r="P51" s="8"/>
      <c r="Q51" s="8"/>
      <c r="R51" s="8"/>
      <c r="S51" s="8"/>
      <c r="T51" s="9"/>
      <c r="U51" s="88" t="s">
        <v>101</v>
      </c>
      <c r="V51" s="9"/>
      <c r="W51" s="88" t="s">
        <v>102</v>
      </c>
      <c r="X51" s="8"/>
      <c r="Y51" s="8"/>
      <c r="Z51" s="8"/>
      <c r="AA51" s="8"/>
      <c r="AB51" s="9"/>
      <c r="AC51" s="88" t="s">
        <v>101</v>
      </c>
      <c r="AD51" s="9"/>
      <c r="AE51" s="1"/>
      <c r="AF51" s="1"/>
      <c r="AG51" s="1"/>
      <c r="AH51" s="1"/>
      <c r="AI51" s="1"/>
      <c r="AJ51" s="1"/>
      <c r="AK51" s="1"/>
      <c r="AL51" s="1"/>
      <c r="AM51" s="1"/>
      <c r="AN51" s="1"/>
      <c r="AO51" s="1"/>
      <c r="AP51" s="80" t="s">
        <v>82</v>
      </c>
      <c r="AQ51" s="1"/>
      <c r="AR51" s="1"/>
      <c r="AS51" s="2"/>
      <c r="AU51" s="92">
        <v>40.0</v>
      </c>
      <c r="AV51" s="40">
        <v>2.0</v>
      </c>
      <c r="AW51" s="49">
        <f t="shared" si="21"/>
        <v>4559</v>
      </c>
      <c r="AX51" s="48">
        <f t="shared" si="22"/>
        <v>5324</v>
      </c>
      <c r="AY51" s="50">
        <f t="shared" si="1"/>
        <v>4892</v>
      </c>
      <c r="AZ51" s="50">
        <f t="shared" si="2"/>
        <v>5713</v>
      </c>
      <c r="BA51" s="42">
        <f t="shared" si="3"/>
        <v>5439</v>
      </c>
      <c r="BB51" s="42">
        <f t="shared" si="4"/>
        <v>5758</v>
      </c>
      <c r="BC51" s="42">
        <f t="shared" si="5"/>
        <v>5940</v>
      </c>
      <c r="BD51" s="42">
        <f t="shared" si="6"/>
        <v>6031</v>
      </c>
      <c r="BE51" s="43">
        <f t="shared" si="7"/>
        <v>6031</v>
      </c>
      <c r="BF51" s="43">
        <f t="shared" si="8"/>
        <v>6031</v>
      </c>
      <c r="BG51" s="43">
        <f t="shared" si="9"/>
        <v>6031</v>
      </c>
      <c r="BH51" s="43">
        <f t="shared" si="10"/>
        <v>6031</v>
      </c>
      <c r="BI51" s="43">
        <f t="shared" si="11"/>
        <v>6031</v>
      </c>
      <c r="BJ51" s="44">
        <f t="shared" si="12"/>
        <v>6351</v>
      </c>
      <c r="BK51" s="44">
        <f t="shared" si="13"/>
        <v>6724</v>
      </c>
      <c r="BL51" s="44">
        <f t="shared" si="14"/>
        <v>6937</v>
      </c>
      <c r="BM51" s="44">
        <f t="shared" si="15"/>
        <v>7044</v>
      </c>
      <c r="BN51" s="45">
        <f t="shared" si="16"/>
        <v>7044</v>
      </c>
      <c r="BO51" s="45">
        <f t="shared" si="17"/>
        <v>7044</v>
      </c>
      <c r="BP51" s="45">
        <f t="shared" si="18"/>
        <v>7044</v>
      </c>
      <c r="BQ51" s="45">
        <f t="shared" si="19"/>
        <v>7044</v>
      </c>
      <c r="BR51" s="45">
        <f t="shared" si="20"/>
        <v>7044</v>
      </c>
      <c r="BU51" s="1"/>
    </row>
    <row r="52">
      <c r="A52" s="1"/>
      <c r="B52" s="63">
        <v>1.0</v>
      </c>
      <c r="C52" s="8"/>
      <c r="D52" s="9"/>
      <c r="E52" s="93" t="s">
        <v>103</v>
      </c>
      <c r="F52" s="8"/>
      <c r="G52" s="8"/>
      <c r="H52" s="8"/>
      <c r="I52" s="8"/>
      <c r="J52" s="8"/>
      <c r="K52" s="8"/>
      <c r="L52" s="8"/>
      <c r="M52" s="8"/>
      <c r="N52" s="8"/>
      <c r="O52" s="8"/>
      <c r="P52" s="8"/>
      <c r="Q52" s="8"/>
      <c r="R52" s="8"/>
      <c r="S52" s="8"/>
      <c r="T52" s="9"/>
      <c r="U52" s="63">
        <f t="shared" ref="U52:U56" si="23">LEN(E52)</f>
        <v>44</v>
      </c>
      <c r="V52" s="9"/>
      <c r="W52" s="63" t="s">
        <v>58</v>
      </c>
      <c r="X52" s="8"/>
      <c r="Y52" s="8"/>
      <c r="Z52" s="8"/>
      <c r="AA52" s="8"/>
      <c r="AB52" s="9"/>
      <c r="AC52" s="63" t="s">
        <v>58</v>
      </c>
      <c r="AD52" s="9"/>
      <c r="AE52" s="1"/>
      <c r="AF52" s="1"/>
      <c r="AG52" s="1"/>
      <c r="AH52" s="1"/>
      <c r="AI52" s="1"/>
      <c r="AJ52" s="1"/>
      <c r="AK52" s="1"/>
      <c r="AL52" s="1"/>
      <c r="AM52" s="1"/>
      <c r="AN52" s="1"/>
      <c r="AO52" s="1"/>
      <c r="AP52" s="94" t="str">
        <f>$B$11&amp;"_Special_00001"</f>
        <v>chara_jig_00101_Special_00001</v>
      </c>
      <c r="AQ52" s="1"/>
      <c r="AR52" s="1"/>
      <c r="AS52" s="2"/>
      <c r="AU52" s="92">
        <v>40.0</v>
      </c>
      <c r="AV52" s="40">
        <v>3.0</v>
      </c>
      <c r="AW52" s="49">
        <f t="shared" si="21"/>
        <v>4559</v>
      </c>
      <c r="AX52" s="48">
        <f t="shared" si="22"/>
        <v>5324</v>
      </c>
      <c r="AY52" s="50">
        <f t="shared" si="1"/>
        <v>5060</v>
      </c>
      <c r="AZ52" s="50">
        <f t="shared" si="2"/>
        <v>5909</v>
      </c>
      <c r="BA52" s="42">
        <f t="shared" si="3"/>
        <v>5607</v>
      </c>
      <c r="BB52" s="42">
        <f t="shared" si="4"/>
        <v>5926</v>
      </c>
      <c r="BC52" s="42">
        <f t="shared" si="5"/>
        <v>6108</v>
      </c>
      <c r="BD52" s="42">
        <f t="shared" si="6"/>
        <v>6199</v>
      </c>
      <c r="BE52" s="43">
        <f t="shared" si="7"/>
        <v>6199</v>
      </c>
      <c r="BF52" s="43">
        <f t="shared" si="8"/>
        <v>6199</v>
      </c>
      <c r="BG52" s="43">
        <f t="shared" si="9"/>
        <v>6199</v>
      </c>
      <c r="BH52" s="43">
        <f t="shared" si="10"/>
        <v>6199</v>
      </c>
      <c r="BI52" s="43">
        <f t="shared" si="11"/>
        <v>6199</v>
      </c>
      <c r="BJ52" s="44">
        <f t="shared" si="12"/>
        <v>6547</v>
      </c>
      <c r="BK52" s="44">
        <f t="shared" si="13"/>
        <v>6920</v>
      </c>
      <c r="BL52" s="44">
        <f t="shared" si="14"/>
        <v>7133</v>
      </c>
      <c r="BM52" s="44">
        <f t="shared" si="15"/>
        <v>7240</v>
      </c>
      <c r="BN52" s="45">
        <f t="shared" si="16"/>
        <v>7240</v>
      </c>
      <c r="BO52" s="45">
        <f t="shared" si="17"/>
        <v>7240</v>
      </c>
      <c r="BP52" s="45">
        <f t="shared" si="18"/>
        <v>7240</v>
      </c>
      <c r="BQ52" s="45">
        <f t="shared" si="19"/>
        <v>7240</v>
      </c>
      <c r="BR52" s="45">
        <f t="shared" si="20"/>
        <v>7240</v>
      </c>
      <c r="BU52" s="1"/>
    </row>
    <row r="53">
      <c r="A53" s="1"/>
      <c r="B53" s="63">
        <v>2.0</v>
      </c>
      <c r="C53" s="8"/>
      <c r="D53" s="9"/>
      <c r="E53" s="93" t="s">
        <v>104</v>
      </c>
      <c r="F53" s="8"/>
      <c r="G53" s="8"/>
      <c r="H53" s="8"/>
      <c r="I53" s="8"/>
      <c r="J53" s="8"/>
      <c r="K53" s="8"/>
      <c r="L53" s="8"/>
      <c r="M53" s="8"/>
      <c r="N53" s="8"/>
      <c r="O53" s="8"/>
      <c r="P53" s="8"/>
      <c r="Q53" s="8"/>
      <c r="R53" s="8"/>
      <c r="S53" s="8"/>
      <c r="T53" s="9"/>
      <c r="U53" s="63">
        <f t="shared" si="23"/>
        <v>44</v>
      </c>
      <c r="V53" s="9"/>
      <c r="W53" s="95" t="str">
        <f>IFERROR(__xludf.DUMMYFUNCTION("IFERROR(
  INDEX(
    IMPORTRANGE(""https://docs.google.com/spreadsheets/d/1D5JYX9W2KpGQQrejkP6grv6Qds1GhjyAd6eNjJVa6eM/edit?gid=1084645352#gid=1084645352"", ""MstAttack!N:N""),
    MATCH(AP53, IMPORTRANGE(""https://docs.google.com/spreadsheets/d/1D5JYX9W"&amp;"2KpGQQrejkP6grv6Qds1GhjyAd6eNjJVa6eM/edit?gid=1084645352#gid=1084645352"", ""MstAttack!C:C""), 0)
  ),
  ""該当なし""
)
"),"ステータスUP + 必殺ワザ性能UP")</f>
        <v>ステータスUP + 必殺ワザ性能UP</v>
      </c>
      <c r="X53" s="8"/>
      <c r="Y53" s="8"/>
      <c r="Z53" s="8"/>
      <c r="AA53" s="8"/>
      <c r="AB53" s="9"/>
      <c r="AC53" s="63">
        <f t="shared" ref="AC53:AC56" si="24">LEN(W53)</f>
        <v>18</v>
      </c>
      <c r="AD53" s="9"/>
      <c r="AE53" s="1"/>
      <c r="AF53" s="1"/>
      <c r="AG53" s="1"/>
      <c r="AH53" s="1"/>
      <c r="AI53" s="1"/>
      <c r="AJ53" s="1"/>
      <c r="AK53" s="1"/>
      <c r="AL53" s="1"/>
      <c r="AM53" s="1"/>
      <c r="AN53" s="1"/>
      <c r="AO53" s="1"/>
      <c r="AP53" s="94" t="str">
        <f>$B$11&amp;"_Special_00002"</f>
        <v>chara_jig_00101_Special_00002</v>
      </c>
      <c r="AQ53" s="1"/>
      <c r="AR53" s="1"/>
      <c r="AS53" s="2"/>
      <c r="AU53" s="40">
        <v>41.0</v>
      </c>
      <c r="AV53" s="40">
        <v>3.0</v>
      </c>
      <c r="AW53" s="49">
        <f t="shared" si="21"/>
        <v>4646</v>
      </c>
      <c r="AX53" s="48">
        <f t="shared" si="22"/>
        <v>5425</v>
      </c>
      <c r="AY53" s="50">
        <f t="shared" si="1"/>
        <v>5147</v>
      </c>
      <c r="AZ53" s="50">
        <f t="shared" si="2"/>
        <v>6010</v>
      </c>
      <c r="BA53" s="42">
        <f t="shared" si="3"/>
        <v>5704</v>
      </c>
      <c r="BB53" s="42">
        <f t="shared" si="4"/>
        <v>6029</v>
      </c>
      <c r="BC53" s="42">
        <f t="shared" si="5"/>
        <v>6215</v>
      </c>
      <c r="BD53" s="42">
        <f t="shared" si="6"/>
        <v>6308</v>
      </c>
      <c r="BE53" s="43">
        <f t="shared" si="7"/>
        <v>6308</v>
      </c>
      <c r="BF53" s="43">
        <f t="shared" si="8"/>
        <v>6308</v>
      </c>
      <c r="BG53" s="43">
        <f t="shared" si="9"/>
        <v>6308</v>
      </c>
      <c r="BH53" s="43">
        <f t="shared" si="10"/>
        <v>6308</v>
      </c>
      <c r="BI53" s="43">
        <f t="shared" si="11"/>
        <v>6308</v>
      </c>
      <c r="BJ53" s="44">
        <f t="shared" si="12"/>
        <v>6661</v>
      </c>
      <c r="BK53" s="44">
        <f t="shared" si="13"/>
        <v>7040</v>
      </c>
      <c r="BL53" s="44">
        <f t="shared" si="14"/>
        <v>7257</v>
      </c>
      <c r="BM53" s="44">
        <f t="shared" si="15"/>
        <v>7366</v>
      </c>
      <c r="BN53" s="45">
        <f t="shared" si="16"/>
        <v>7366</v>
      </c>
      <c r="BO53" s="45">
        <f t="shared" si="17"/>
        <v>7366</v>
      </c>
      <c r="BP53" s="45">
        <f t="shared" si="18"/>
        <v>7366</v>
      </c>
      <c r="BQ53" s="45">
        <f t="shared" si="19"/>
        <v>7366</v>
      </c>
      <c r="BR53" s="45">
        <f t="shared" si="20"/>
        <v>7366</v>
      </c>
      <c r="BU53" s="1"/>
    </row>
    <row r="54">
      <c r="A54" s="1"/>
      <c r="B54" s="63">
        <v>3.0</v>
      </c>
      <c r="C54" s="8"/>
      <c r="D54" s="9"/>
      <c r="E54" s="93" t="s">
        <v>105</v>
      </c>
      <c r="F54" s="8"/>
      <c r="G54" s="8"/>
      <c r="H54" s="8"/>
      <c r="I54" s="8"/>
      <c r="J54" s="8"/>
      <c r="K54" s="8"/>
      <c r="L54" s="8"/>
      <c r="M54" s="8"/>
      <c r="N54" s="8"/>
      <c r="O54" s="8"/>
      <c r="P54" s="8"/>
      <c r="Q54" s="8"/>
      <c r="R54" s="8"/>
      <c r="S54" s="8"/>
      <c r="T54" s="9"/>
      <c r="U54" s="63">
        <f t="shared" si="23"/>
        <v>44</v>
      </c>
      <c r="V54" s="9"/>
      <c r="W54" s="95" t="str">
        <f>IFERROR(__xludf.DUMMYFUNCTION("IFERROR(
  INDEX(
    IMPORTRANGE(""https://docs.google.com/spreadsheets/d/1D5JYX9W2KpGQQrejkP6grv6Qds1GhjyAd6eNjJVa6eM/edit?gid=1084645352#gid=1084645352"", ""MstAttack!N:N""),
    MATCH(AP54, IMPORTRANGE(""https://docs.google.com/spreadsheets/d/1D5JYX9W"&amp;"2KpGQQrejkP6grv6Qds1GhjyAd6eNjJVa6eM/edit?gid=1084645352#gid=1084645352"", ""MstAttack!C:C""), 0)
  ),
  ""該当なし""
)
"),"ステータスUP + 必殺ワザ性能UP")</f>
        <v>ステータスUP + 必殺ワザ性能UP</v>
      </c>
      <c r="X54" s="8"/>
      <c r="Y54" s="8"/>
      <c r="Z54" s="8"/>
      <c r="AA54" s="8"/>
      <c r="AB54" s="9"/>
      <c r="AC54" s="63">
        <f t="shared" si="24"/>
        <v>18</v>
      </c>
      <c r="AD54" s="9"/>
      <c r="AE54" s="1"/>
      <c r="AF54" s="1"/>
      <c r="AG54" s="1"/>
      <c r="AH54" s="1"/>
      <c r="AI54" s="1"/>
      <c r="AJ54" s="1"/>
      <c r="AK54" s="1"/>
      <c r="AL54" s="1"/>
      <c r="AM54" s="1"/>
      <c r="AN54" s="1"/>
      <c r="AO54" s="1"/>
      <c r="AP54" s="94" t="str">
        <f>$B$11&amp;"_Special_00003"</f>
        <v>chara_jig_00101_Special_00003</v>
      </c>
      <c r="AQ54" s="1"/>
      <c r="AR54" s="1"/>
      <c r="AS54" s="2"/>
      <c r="AU54" s="40">
        <v>42.0</v>
      </c>
      <c r="AV54" s="40">
        <v>3.0</v>
      </c>
      <c r="AW54" s="49">
        <f t="shared" si="21"/>
        <v>4733</v>
      </c>
      <c r="AX54" s="48">
        <f t="shared" si="22"/>
        <v>5527</v>
      </c>
      <c r="AY54" s="50">
        <f t="shared" si="1"/>
        <v>5234</v>
      </c>
      <c r="AZ54" s="50">
        <f t="shared" si="2"/>
        <v>6112</v>
      </c>
      <c r="BA54" s="42">
        <f t="shared" si="3"/>
        <v>5801</v>
      </c>
      <c r="BB54" s="42">
        <f t="shared" si="4"/>
        <v>6133</v>
      </c>
      <c r="BC54" s="42">
        <f t="shared" si="5"/>
        <v>6322</v>
      </c>
      <c r="BD54" s="42">
        <f t="shared" si="6"/>
        <v>6417</v>
      </c>
      <c r="BE54" s="43">
        <f t="shared" si="7"/>
        <v>6417</v>
      </c>
      <c r="BF54" s="43">
        <f t="shared" si="8"/>
        <v>6417</v>
      </c>
      <c r="BG54" s="43">
        <f t="shared" si="9"/>
        <v>6417</v>
      </c>
      <c r="BH54" s="43">
        <f t="shared" si="10"/>
        <v>6417</v>
      </c>
      <c r="BI54" s="43">
        <f t="shared" si="11"/>
        <v>6417</v>
      </c>
      <c r="BJ54" s="44">
        <f t="shared" si="12"/>
        <v>6775</v>
      </c>
      <c r="BK54" s="44">
        <f t="shared" si="13"/>
        <v>7162</v>
      </c>
      <c r="BL54" s="44">
        <f t="shared" si="14"/>
        <v>7383</v>
      </c>
      <c r="BM54" s="44">
        <f t="shared" si="15"/>
        <v>7493</v>
      </c>
      <c r="BN54" s="45">
        <f t="shared" si="16"/>
        <v>7493</v>
      </c>
      <c r="BO54" s="45">
        <f t="shared" si="17"/>
        <v>7493</v>
      </c>
      <c r="BP54" s="45">
        <f t="shared" si="18"/>
        <v>7493</v>
      </c>
      <c r="BQ54" s="45">
        <f t="shared" si="19"/>
        <v>7493</v>
      </c>
      <c r="BR54" s="45">
        <f t="shared" si="20"/>
        <v>7493</v>
      </c>
      <c r="BU54" s="1"/>
    </row>
    <row r="55">
      <c r="A55" s="1"/>
      <c r="B55" s="63">
        <v>4.0</v>
      </c>
      <c r="C55" s="8"/>
      <c r="D55" s="9"/>
      <c r="E55" s="93" t="s">
        <v>106</v>
      </c>
      <c r="F55" s="8"/>
      <c r="G55" s="8"/>
      <c r="H55" s="8"/>
      <c r="I55" s="8"/>
      <c r="J55" s="8"/>
      <c r="K55" s="8"/>
      <c r="L55" s="8"/>
      <c r="M55" s="8"/>
      <c r="N55" s="8"/>
      <c r="O55" s="8"/>
      <c r="P55" s="8"/>
      <c r="Q55" s="8"/>
      <c r="R55" s="8"/>
      <c r="S55" s="8"/>
      <c r="T55" s="9"/>
      <c r="U55" s="63">
        <f t="shared" si="23"/>
        <v>44</v>
      </c>
      <c r="V55" s="9"/>
      <c r="W55" s="95" t="str">
        <f>IFERROR(__xludf.DUMMYFUNCTION("IFERROR(
  INDEX(
    IMPORTRANGE(""https://docs.google.com/spreadsheets/d/1D5JYX9W2KpGQQrejkP6grv6Qds1GhjyAd6eNjJVa6eM/edit?gid=1084645352#gid=1084645352"", ""MstAttack!N:N""),
    MATCH(AP55, IMPORTRANGE(""https://docs.google.com/spreadsheets/d/1D5JYX9W"&amp;"2KpGQQrejkP6grv6Qds1GhjyAd6eNjJVa6eM/edit?gid=1084645352#gid=1084645352"", ""MstAttack!C:C""), 0)
  ),
  ""該当なし""
)
"),"ステータスUP + 必殺ワザ性能UP")</f>
        <v>ステータスUP + 必殺ワザ性能UP</v>
      </c>
      <c r="X55" s="8"/>
      <c r="Y55" s="8"/>
      <c r="Z55" s="8"/>
      <c r="AA55" s="8"/>
      <c r="AB55" s="9"/>
      <c r="AC55" s="63">
        <f t="shared" si="24"/>
        <v>18</v>
      </c>
      <c r="AD55" s="9"/>
      <c r="AE55" s="1"/>
      <c r="AF55" s="1"/>
      <c r="AG55" s="1"/>
      <c r="AH55" s="1"/>
      <c r="AI55" s="1"/>
      <c r="AJ55" s="1"/>
      <c r="AK55" s="1"/>
      <c r="AL55" s="1"/>
      <c r="AM55" s="1"/>
      <c r="AN55" s="1"/>
      <c r="AO55" s="1"/>
      <c r="AP55" s="94" t="str">
        <f>$B$11&amp;"_Special_00004"</f>
        <v>chara_jig_00101_Special_00004</v>
      </c>
      <c r="AQ55" s="1"/>
      <c r="AR55" s="1"/>
      <c r="AS55" s="2"/>
      <c r="AU55" s="40">
        <v>43.0</v>
      </c>
      <c r="AV55" s="40">
        <v>3.0</v>
      </c>
      <c r="AW55" s="49">
        <f t="shared" si="21"/>
        <v>4820</v>
      </c>
      <c r="AX55" s="48">
        <f t="shared" si="22"/>
        <v>5629</v>
      </c>
      <c r="AY55" s="50">
        <f t="shared" si="1"/>
        <v>5321</v>
      </c>
      <c r="AZ55" s="50">
        <f t="shared" si="2"/>
        <v>6214</v>
      </c>
      <c r="BA55" s="42">
        <f t="shared" si="3"/>
        <v>5899</v>
      </c>
      <c r="BB55" s="42">
        <f t="shared" si="4"/>
        <v>6236</v>
      </c>
      <c r="BC55" s="42">
        <f t="shared" si="5"/>
        <v>6429</v>
      </c>
      <c r="BD55" s="42">
        <f t="shared" si="6"/>
        <v>6526</v>
      </c>
      <c r="BE55" s="43">
        <f t="shared" si="7"/>
        <v>6526</v>
      </c>
      <c r="BF55" s="43">
        <f t="shared" si="8"/>
        <v>6526</v>
      </c>
      <c r="BG55" s="43">
        <f t="shared" si="9"/>
        <v>6526</v>
      </c>
      <c r="BH55" s="43">
        <f t="shared" si="10"/>
        <v>6526</v>
      </c>
      <c r="BI55" s="43">
        <f t="shared" si="11"/>
        <v>6526</v>
      </c>
      <c r="BJ55" s="44">
        <f t="shared" si="12"/>
        <v>6889</v>
      </c>
      <c r="BK55" s="44">
        <f t="shared" si="13"/>
        <v>7283</v>
      </c>
      <c r="BL55" s="44">
        <f t="shared" si="14"/>
        <v>7508</v>
      </c>
      <c r="BM55" s="44">
        <f t="shared" si="15"/>
        <v>7621</v>
      </c>
      <c r="BN55" s="45">
        <f t="shared" si="16"/>
        <v>7621</v>
      </c>
      <c r="BO55" s="45">
        <f t="shared" si="17"/>
        <v>7621</v>
      </c>
      <c r="BP55" s="45">
        <f t="shared" si="18"/>
        <v>7621</v>
      </c>
      <c r="BQ55" s="45">
        <f t="shared" si="19"/>
        <v>7621</v>
      </c>
      <c r="BR55" s="45">
        <f t="shared" si="20"/>
        <v>7621</v>
      </c>
      <c r="BU55" s="1"/>
    </row>
    <row r="56">
      <c r="A56" s="1"/>
      <c r="B56" s="63">
        <v>5.0</v>
      </c>
      <c r="C56" s="8"/>
      <c r="D56" s="9"/>
      <c r="E56" s="93" t="s">
        <v>107</v>
      </c>
      <c r="F56" s="8"/>
      <c r="G56" s="8"/>
      <c r="H56" s="8"/>
      <c r="I56" s="8"/>
      <c r="J56" s="8"/>
      <c r="K56" s="8"/>
      <c r="L56" s="8"/>
      <c r="M56" s="8"/>
      <c r="N56" s="8"/>
      <c r="O56" s="8"/>
      <c r="P56" s="8"/>
      <c r="Q56" s="8"/>
      <c r="R56" s="8"/>
      <c r="S56" s="8"/>
      <c r="T56" s="9"/>
      <c r="U56" s="63">
        <f t="shared" si="23"/>
        <v>44</v>
      </c>
      <c r="V56" s="9"/>
      <c r="W56" s="95" t="str">
        <f>IFERROR(__xludf.DUMMYFUNCTION("IFERROR(
  INDEX(
    IMPORTRANGE(""https://docs.google.com/spreadsheets/d/1D5JYX9W2KpGQQrejkP6grv6Qds1GhjyAd6eNjJVa6eM/edit?gid=1084645352#gid=1084645352"", ""MstAttack!N:N""),
    MATCH(AP56, IMPORTRANGE(""https://docs.google.com/spreadsheets/d/1D5JYX9W"&amp;"2KpGQQrejkP6grv6Qds1GhjyAd6eNjJVa6eM/edit?gid=1084645352#gid=1084645352"", ""MstAttack!C:C""), 0)
  ),
  ""該当なし""
)
"),"ステータスUP + 必殺ワザ性能UP")</f>
        <v>ステータスUP + 必殺ワザ性能UP</v>
      </c>
      <c r="X56" s="8"/>
      <c r="Y56" s="8"/>
      <c r="Z56" s="8"/>
      <c r="AA56" s="8"/>
      <c r="AB56" s="9"/>
      <c r="AC56" s="63">
        <f t="shared" si="24"/>
        <v>18</v>
      </c>
      <c r="AD56" s="9"/>
      <c r="AE56" s="1"/>
      <c r="AF56" s="1"/>
      <c r="AG56" s="1"/>
      <c r="AH56" s="1"/>
      <c r="AI56" s="1"/>
      <c r="AJ56" s="1"/>
      <c r="AK56" s="1"/>
      <c r="AL56" s="1"/>
      <c r="AM56" s="1"/>
      <c r="AN56" s="1"/>
      <c r="AO56" s="1"/>
      <c r="AP56" s="94" t="str">
        <f>$B$11&amp;"_Special_00005"</f>
        <v>chara_jig_00101_Special_00005</v>
      </c>
      <c r="AQ56" s="1"/>
      <c r="AR56" s="1"/>
      <c r="AS56" s="2"/>
      <c r="AU56" s="40">
        <v>44.0</v>
      </c>
      <c r="AV56" s="40">
        <v>3.0</v>
      </c>
      <c r="AW56" s="49">
        <f t="shared" si="21"/>
        <v>4907</v>
      </c>
      <c r="AX56" s="48">
        <f t="shared" si="22"/>
        <v>5731</v>
      </c>
      <c r="AY56" s="50">
        <f t="shared" si="1"/>
        <v>5408</v>
      </c>
      <c r="AZ56" s="50">
        <f t="shared" si="2"/>
        <v>6316</v>
      </c>
      <c r="BA56" s="42">
        <f t="shared" si="3"/>
        <v>5996</v>
      </c>
      <c r="BB56" s="42">
        <f t="shared" si="4"/>
        <v>6340</v>
      </c>
      <c r="BC56" s="42">
        <f t="shared" si="5"/>
        <v>6536</v>
      </c>
      <c r="BD56" s="42">
        <f t="shared" si="6"/>
        <v>6634</v>
      </c>
      <c r="BE56" s="43">
        <f t="shared" si="7"/>
        <v>6634</v>
      </c>
      <c r="BF56" s="43">
        <f t="shared" si="8"/>
        <v>6634</v>
      </c>
      <c r="BG56" s="43">
        <f t="shared" si="9"/>
        <v>6634</v>
      </c>
      <c r="BH56" s="43">
        <f t="shared" si="10"/>
        <v>6634</v>
      </c>
      <c r="BI56" s="43">
        <f t="shared" si="11"/>
        <v>6634</v>
      </c>
      <c r="BJ56" s="44">
        <f t="shared" si="12"/>
        <v>7003</v>
      </c>
      <c r="BK56" s="44">
        <f t="shared" si="13"/>
        <v>7404</v>
      </c>
      <c r="BL56" s="44">
        <f t="shared" si="14"/>
        <v>7634</v>
      </c>
      <c r="BM56" s="44">
        <f t="shared" si="15"/>
        <v>7748</v>
      </c>
      <c r="BN56" s="45">
        <f t="shared" si="16"/>
        <v>7748</v>
      </c>
      <c r="BO56" s="45">
        <f t="shared" si="17"/>
        <v>7748</v>
      </c>
      <c r="BP56" s="45">
        <f t="shared" si="18"/>
        <v>7748</v>
      </c>
      <c r="BQ56" s="45">
        <f t="shared" si="19"/>
        <v>7748</v>
      </c>
      <c r="BR56" s="45">
        <f t="shared" si="20"/>
        <v>7748</v>
      </c>
      <c r="BU56" s="1"/>
    </row>
    <row r="57">
      <c r="A57" s="1"/>
      <c r="B57" s="1"/>
      <c r="C57" s="1"/>
      <c r="D57" s="1"/>
      <c r="E57" s="1"/>
      <c r="F57" s="1"/>
      <c r="G57" s="1"/>
      <c r="H57" s="1"/>
      <c r="I57" s="1"/>
      <c r="J57" s="1"/>
      <c r="K57" s="1"/>
      <c r="L57" s="1"/>
      <c r="M57" s="1"/>
      <c r="N57" s="1"/>
      <c r="O57" s="1"/>
      <c r="P57" s="1"/>
      <c r="Q57" s="1"/>
      <c r="R57" s="1"/>
      <c r="S57" s="1"/>
      <c r="T57" s="1"/>
      <c r="U57" s="96" t="s">
        <v>108</v>
      </c>
      <c r="V57" s="1"/>
      <c r="W57" s="1"/>
      <c r="X57" s="1"/>
      <c r="Y57" s="1"/>
      <c r="Z57" s="1"/>
      <c r="AA57" s="1"/>
      <c r="AB57" s="1"/>
      <c r="AC57" s="96" t="s">
        <v>109</v>
      </c>
      <c r="AD57" s="1"/>
      <c r="AE57" s="1"/>
      <c r="AF57" s="1"/>
      <c r="AG57" s="1"/>
      <c r="AH57" s="1"/>
      <c r="AI57" s="1"/>
      <c r="AJ57" s="1"/>
      <c r="AK57" s="1"/>
      <c r="AL57" s="1"/>
      <c r="AM57" s="1"/>
      <c r="AN57" s="1"/>
      <c r="AO57" s="1"/>
      <c r="AP57" s="1"/>
      <c r="AQ57" s="1"/>
      <c r="AR57" s="1"/>
      <c r="AS57" s="2"/>
      <c r="AU57" s="40">
        <v>45.0</v>
      </c>
      <c r="AV57" s="40">
        <v>3.0</v>
      </c>
      <c r="AW57" s="49">
        <f t="shared" si="21"/>
        <v>4995</v>
      </c>
      <c r="AX57" s="48">
        <f t="shared" si="22"/>
        <v>5833</v>
      </c>
      <c r="AY57" s="50">
        <f t="shared" si="1"/>
        <v>5496</v>
      </c>
      <c r="AZ57" s="50">
        <f t="shared" si="2"/>
        <v>6418</v>
      </c>
      <c r="BA57" s="42">
        <f t="shared" si="3"/>
        <v>6095</v>
      </c>
      <c r="BB57" s="42">
        <f t="shared" si="4"/>
        <v>6445</v>
      </c>
      <c r="BC57" s="42">
        <f t="shared" si="5"/>
        <v>6644</v>
      </c>
      <c r="BD57" s="42">
        <f t="shared" si="6"/>
        <v>6744</v>
      </c>
      <c r="BE57" s="43">
        <f t="shared" si="7"/>
        <v>6744</v>
      </c>
      <c r="BF57" s="43">
        <f t="shared" si="8"/>
        <v>6744</v>
      </c>
      <c r="BG57" s="43">
        <f t="shared" si="9"/>
        <v>6744</v>
      </c>
      <c r="BH57" s="43">
        <f t="shared" si="10"/>
        <v>6744</v>
      </c>
      <c r="BI57" s="43">
        <f t="shared" si="11"/>
        <v>6744</v>
      </c>
      <c r="BJ57" s="44">
        <f t="shared" si="12"/>
        <v>7117</v>
      </c>
      <c r="BK57" s="44">
        <f t="shared" si="13"/>
        <v>7526</v>
      </c>
      <c r="BL57" s="44">
        <f t="shared" si="14"/>
        <v>7759</v>
      </c>
      <c r="BM57" s="44">
        <f t="shared" si="15"/>
        <v>7876</v>
      </c>
      <c r="BN57" s="45">
        <f t="shared" si="16"/>
        <v>7876</v>
      </c>
      <c r="BO57" s="45">
        <f t="shared" si="17"/>
        <v>7876</v>
      </c>
      <c r="BP57" s="45">
        <f t="shared" si="18"/>
        <v>7876</v>
      </c>
      <c r="BQ57" s="45">
        <f t="shared" si="19"/>
        <v>7876</v>
      </c>
      <c r="BR57" s="45">
        <f t="shared" si="20"/>
        <v>7876</v>
      </c>
      <c r="BU57" s="1"/>
    </row>
    <row r="58">
      <c r="A58" s="1"/>
      <c r="B58" s="97" t="s">
        <v>110</v>
      </c>
      <c r="C58" s="8"/>
      <c r="D58" s="8"/>
      <c r="E58" s="8"/>
      <c r="F58" s="8"/>
      <c r="G58" s="8"/>
      <c r="H58" s="8"/>
      <c r="I58" s="8"/>
      <c r="J58" s="8"/>
      <c r="K58" s="8"/>
      <c r="L58" s="8"/>
      <c r="M58" s="8"/>
      <c r="N58" s="8"/>
      <c r="O58" s="8"/>
      <c r="P58" s="8"/>
      <c r="Q58" s="8"/>
      <c r="R58" s="8"/>
      <c r="S58" s="8"/>
      <c r="T58" s="8"/>
      <c r="U58" s="8"/>
      <c r="V58" s="8"/>
      <c r="W58" s="8"/>
      <c r="X58" s="9"/>
      <c r="Y58" s="98" t="s">
        <v>101</v>
      </c>
      <c r="Z58" s="9"/>
      <c r="AA58" s="1"/>
      <c r="AB58" s="1"/>
      <c r="AC58" s="1"/>
      <c r="AD58" s="1"/>
      <c r="AE58" s="1"/>
      <c r="AF58" s="1"/>
      <c r="AG58" s="1"/>
      <c r="AH58" s="1"/>
      <c r="AI58" s="1"/>
      <c r="AJ58" s="1"/>
      <c r="AK58" s="1"/>
      <c r="AL58" s="1"/>
      <c r="AM58" s="1"/>
      <c r="AN58" s="1"/>
      <c r="AO58" s="1"/>
      <c r="AP58" s="1"/>
      <c r="AQ58" s="1"/>
      <c r="AR58" s="1"/>
      <c r="AS58" s="2"/>
      <c r="AU58" s="40">
        <v>46.0</v>
      </c>
      <c r="AV58" s="40">
        <v>3.0</v>
      </c>
      <c r="AW58" s="49">
        <f t="shared" si="21"/>
        <v>5083</v>
      </c>
      <c r="AX58" s="48">
        <f t="shared" si="22"/>
        <v>5935</v>
      </c>
      <c r="AY58" s="50">
        <f t="shared" si="1"/>
        <v>5584</v>
      </c>
      <c r="AZ58" s="50">
        <f t="shared" si="2"/>
        <v>6520</v>
      </c>
      <c r="BA58" s="42">
        <f t="shared" si="3"/>
        <v>6193</v>
      </c>
      <c r="BB58" s="42">
        <f t="shared" si="4"/>
        <v>6549</v>
      </c>
      <c r="BC58" s="42">
        <f t="shared" si="5"/>
        <v>6753</v>
      </c>
      <c r="BD58" s="42">
        <f t="shared" si="6"/>
        <v>6854</v>
      </c>
      <c r="BE58" s="43">
        <f t="shared" si="7"/>
        <v>6854</v>
      </c>
      <c r="BF58" s="43">
        <f t="shared" si="8"/>
        <v>6854</v>
      </c>
      <c r="BG58" s="43">
        <f t="shared" si="9"/>
        <v>6854</v>
      </c>
      <c r="BH58" s="43">
        <f t="shared" si="10"/>
        <v>6854</v>
      </c>
      <c r="BI58" s="43">
        <f t="shared" si="11"/>
        <v>6854</v>
      </c>
      <c r="BJ58" s="44">
        <f t="shared" si="12"/>
        <v>7232</v>
      </c>
      <c r="BK58" s="44">
        <f t="shared" si="13"/>
        <v>7647</v>
      </c>
      <c r="BL58" s="44">
        <f t="shared" si="14"/>
        <v>7885</v>
      </c>
      <c r="BM58" s="44">
        <f t="shared" si="15"/>
        <v>8003</v>
      </c>
      <c r="BN58" s="45">
        <f t="shared" si="16"/>
        <v>8003</v>
      </c>
      <c r="BO58" s="45">
        <f t="shared" si="17"/>
        <v>8003</v>
      </c>
      <c r="BP58" s="45">
        <f t="shared" si="18"/>
        <v>8003</v>
      </c>
      <c r="BQ58" s="45">
        <f t="shared" si="19"/>
        <v>8003</v>
      </c>
      <c r="BR58" s="45">
        <f t="shared" si="20"/>
        <v>8003</v>
      </c>
      <c r="BU58" s="1"/>
    </row>
    <row r="59">
      <c r="A59" s="1"/>
      <c r="B59" s="99" t="str">
        <f>IFERROR(__xludf.DUMMYFUNCTION("IFERROR(
  INDEX(
    IMPORTRANGE(""https://docs.google.com/spreadsheets/d/1tAaChe98Zh7vhMfGMK5Y4_ijmNb40fr519GtdZkkDUY/edit?gid=370144757#gid=370144757"", ""キャラコンセプト!P:P""),
    MATCH(B11, IMPORTRANGE(""https://docs.google.com/spreadsheets/d/1tAaChe98Zh7"&amp;"vhMfGMK5Y4_ijmNb40fr519GtdZkkDUY/edit?gid=370144757#gid=370144757"", ""キャラコンセプト!C:C""), 0)
  ),
  ""該当なし""
)
"),"必殺ワザで緑属性の相手に対して大ダメージを与える!")</f>
        <v>必殺ワザで緑属性の相手に対して大ダメージを与える!</v>
      </c>
      <c r="C59" s="17"/>
      <c r="D59" s="17"/>
      <c r="E59" s="17"/>
      <c r="F59" s="17"/>
      <c r="G59" s="17"/>
      <c r="H59" s="17"/>
      <c r="I59" s="17"/>
      <c r="J59" s="17"/>
      <c r="K59" s="17"/>
      <c r="L59" s="17"/>
      <c r="M59" s="17"/>
      <c r="N59" s="17"/>
      <c r="O59" s="17"/>
      <c r="P59" s="17"/>
      <c r="Q59" s="17"/>
      <c r="R59" s="17"/>
      <c r="S59" s="17"/>
      <c r="T59" s="17"/>
      <c r="U59" s="17"/>
      <c r="V59" s="17"/>
      <c r="W59" s="17"/>
      <c r="X59" s="17"/>
      <c r="Y59" s="100">
        <f>LEN(B59)</f>
        <v>25</v>
      </c>
      <c r="Z59" s="18"/>
      <c r="AA59" s="1"/>
      <c r="AB59" s="1"/>
      <c r="AC59" s="1"/>
      <c r="AD59" s="1"/>
      <c r="AE59" s="1"/>
      <c r="AF59" s="1"/>
      <c r="AG59" s="1"/>
      <c r="AH59" s="1"/>
      <c r="AI59" s="1"/>
      <c r="AJ59" s="1"/>
      <c r="AK59" s="1"/>
      <c r="AL59" s="1"/>
      <c r="AM59" s="1"/>
      <c r="AN59" s="1"/>
      <c r="AO59" s="1"/>
      <c r="AP59" s="1"/>
      <c r="AQ59" s="1"/>
      <c r="AR59" s="1"/>
      <c r="AS59" s="2"/>
      <c r="AU59" s="40">
        <v>47.0</v>
      </c>
      <c r="AV59" s="40">
        <v>3.0</v>
      </c>
      <c r="AW59" s="49">
        <f t="shared" si="21"/>
        <v>5170</v>
      </c>
      <c r="AX59" s="48">
        <f t="shared" si="22"/>
        <v>6038</v>
      </c>
      <c r="AY59" s="50">
        <f t="shared" si="1"/>
        <v>5671</v>
      </c>
      <c r="AZ59" s="50">
        <f t="shared" si="2"/>
        <v>6623</v>
      </c>
      <c r="BA59" s="42">
        <f t="shared" si="3"/>
        <v>6291</v>
      </c>
      <c r="BB59" s="42">
        <f t="shared" si="4"/>
        <v>6653</v>
      </c>
      <c r="BC59" s="42">
        <f t="shared" si="5"/>
        <v>6860</v>
      </c>
      <c r="BD59" s="42">
        <f t="shared" si="6"/>
        <v>6963</v>
      </c>
      <c r="BE59" s="43">
        <f t="shared" si="7"/>
        <v>6963</v>
      </c>
      <c r="BF59" s="43">
        <f t="shared" si="8"/>
        <v>6963</v>
      </c>
      <c r="BG59" s="43">
        <f t="shared" si="9"/>
        <v>6963</v>
      </c>
      <c r="BH59" s="43">
        <f t="shared" si="10"/>
        <v>6963</v>
      </c>
      <c r="BI59" s="43">
        <f t="shared" si="11"/>
        <v>6963</v>
      </c>
      <c r="BJ59" s="44">
        <f t="shared" si="12"/>
        <v>7347</v>
      </c>
      <c r="BK59" s="44">
        <f t="shared" si="13"/>
        <v>7770</v>
      </c>
      <c r="BL59" s="44">
        <f t="shared" si="14"/>
        <v>8011</v>
      </c>
      <c r="BM59" s="44">
        <f t="shared" si="15"/>
        <v>8132</v>
      </c>
      <c r="BN59" s="45">
        <f t="shared" si="16"/>
        <v>8132</v>
      </c>
      <c r="BO59" s="45">
        <f t="shared" si="17"/>
        <v>8132</v>
      </c>
      <c r="BP59" s="45">
        <f t="shared" si="18"/>
        <v>8132</v>
      </c>
      <c r="BQ59" s="45">
        <f t="shared" si="19"/>
        <v>8132</v>
      </c>
      <c r="BR59" s="45">
        <f t="shared" si="20"/>
        <v>8132</v>
      </c>
      <c r="BU59" s="1"/>
    </row>
    <row r="60">
      <c r="A60" s="1"/>
      <c r="B60" s="27"/>
      <c r="Y60" s="27"/>
      <c r="Z60" s="28"/>
      <c r="AA60" s="1"/>
      <c r="AB60" s="1"/>
      <c r="AC60" s="1"/>
      <c r="AD60" s="1"/>
      <c r="AE60" s="1"/>
      <c r="AF60" s="1"/>
      <c r="AG60" s="1"/>
      <c r="AH60" s="1"/>
      <c r="AI60" s="1"/>
      <c r="AJ60" s="1"/>
      <c r="AK60" s="1"/>
      <c r="AL60" s="1"/>
      <c r="AM60" s="1"/>
      <c r="AN60" s="1"/>
      <c r="AO60" s="1"/>
      <c r="AP60" s="1"/>
      <c r="AQ60" s="1"/>
      <c r="AR60" s="1"/>
      <c r="AS60" s="2"/>
      <c r="AU60" s="40">
        <v>48.0</v>
      </c>
      <c r="AV60" s="40">
        <v>3.0</v>
      </c>
      <c r="AW60" s="49">
        <f t="shared" si="21"/>
        <v>5259</v>
      </c>
      <c r="AX60" s="48">
        <f t="shared" si="22"/>
        <v>6141</v>
      </c>
      <c r="AY60" s="50">
        <f t="shared" si="1"/>
        <v>5760</v>
      </c>
      <c r="AZ60" s="50">
        <f t="shared" si="2"/>
        <v>6726</v>
      </c>
      <c r="BA60" s="42">
        <f t="shared" si="3"/>
        <v>6391</v>
      </c>
      <c r="BB60" s="42">
        <f t="shared" si="4"/>
        <v>6759</v>
      </c>
      <c r="BC60" s="42">
        <f t="shared" si="5"/>
        <v>6969</v>
      </c>
      <c r="BD60" s="42">
        <f t="shared" si="6"/>
        <v>7074</v>
      </c>
      <c r="BE60" s="43">
        <f t="shared" si="7"/>
        <v>7074</v>
      </c>
      <c r="BF60" s="43">
        <f t="shared" si="8"/>
        <v>7074</v>
      </c>
      <c r="BG60" s="43">
        <f t="shared" si="9"/>
        <v>7074</v>
      </c>
      <c r="BH60" s="43">
        <f t="shared" si="10"/>
        <v>7074</v>
      </c>
      <c r="BI60" s="43">
        <f t="shared" si="11"/>
        <v>7074</v>
      </c>
      <c r="BJ60" s="44">
        <f t="shared" si="12"/>
        <v>7462</v>
      </c>
      <c r="BK60" s="44">
        <f t="shared" si="13"/>
        <v>7892</v>
      </c>
      <c r="BL60" s="44">
        <f t="shared" si="14"/>
        <v>8138</v>
      </c>
      <c r="BM60" s="44">
        <f t="shared" si="15"/>
        <v>8261</v>
      </c>
      <c r="BN60" s="45">
        <f t="shared" si="16"/>
        <v>8261</v>
      </c>
      <c r="BO60" s="45">
        <f t="shared" si="17"/>
        <v>8261</v>
      </c>
      <c r="BP60" s="45">
        <f t="shared" si="18"/>
        <v>8261</v>
      </c>
      <c r="BQ60" s="45">
        <f t="shared" si="19"/>
        <v>8261</v>
      </c>
      <c r="BR60" s="45">
        <f t="shared" si="20"/>
        <v>8261</v>
      </c>
      <c r="BU60" s="1"/>
    </row>
    <row r="61">
      <c r="A61" s="1"/>
      <c r="B61" s="29"/>
      <c r="C61" s="30"/>
      <c r="D61" s="30"/>
      <c r="E61" s="30"/>
      <c r="F61" s="30"/>
      <c r="G61" s="30"/>
      <c r="H61" s="30"/>
      <c r="I61" s="30"/>
      <c r="J61" s="30"/>
      <c r="K61" s="30"/>
      <c r="L61" s="30"/>
      <c r="M61" s="30"/>
      <c r="N61" s="30"/>
      <c r="O61" s="30"/>
      <c r="P61" s="30"/>
      <c r="Q61" s="30"/>
      <c r="R61" s="30"/>
      <c r="S61" s="30"/>
      <c r="T61" s="30"/>
      <c r="U61" s="30"/>
      <c r="V61" s="30"/>
      <c r="W61" s="30"/>
      <c r="X61" s="30"/>
      <c r="Y61" s="29"/>
      <c r="Z61" s="31"/>
      <c r="AA61" s="1"/>
      <c r="AB61" s="1"/>
      <c r="AC61" s="1"/>
      <c r="AD61" s="1"/>
      <c r="AE61" s="1"/>
      <c r="AF61" s="1"/>
      <c r="AG61" s="1"/>
      <c r="AH61" s="1"/>
      <c r="AI61" s="1"/>
      <c r="AJ61" s="1"/>
      <c r="AK61" s="1"/>
      <c r="AL61" s="1"/>
      <c r="AM61" s="1"/>
      <c r="AN61" s="1"/>
      <c r="AO61" s="1"/>
      <c r="AP61" s="1"/>
      <c r="AQ61" s="1"/>
      <c r="AR61" s="1"/>
      <c r="AS61" s="2"/>
      <c r="AU61" s="40">
        <v>49.0</v>
      </c>
      <c r="AV61" s="40">
        <v>3.0</v>
      </c>
      <c r="AW61" s="49">
        <f t="shared" si="21"/>
        <v>5347</v>
      </c>
      <c r="AX61" s="48">
        <f t="shared" si="22"/>
        <v>6244</v>
      </c>
      <c r="AY61" s="50">
        <f t="shared" si="1"/>
        <v>5848</v>
      </c>
      <c r="AZ61" s="50">
        <f t="shared" si="2"/>
        <v>6829</v>
      </c>
      <c r="BA61" s="42">
        <f t="shared" si="3"/>
        <v>6489</v>
      </c>
      <c r="BB61" s="42">
        <f t="shared" si="4"/>
        <v>6863</v>
      </c>
      <c r="BC61" s="42">
        <f t="shared" si="5"/>
        <v>7077</v>
      </c>
      <c r="BD61" s="42">
        <f t="shared" si="6"/>
        <v>7184</v>
      </c>
      <c r="BE61" s="43">
        <f t="shared" si="7"/>
        <v>7184</v>
      </c>
      <c r="BF61" s="43">
        <f t="shared" si="8"/>
        <v>7184</v>
      </c>
      <c r="BG61" s="43">
        <f t="shared" si="9"/>
        <v>7184</v>
      </c>
      <c r="BH61" s="43">
        <f t="shared" si="10"/>
        <v>7184</v>
      </c>
      <c r="BI61" s="43">
        <f t="shared" si="11"/>
        <v>7184</v>
      </c>
      <c r="BJ61" s="44">
        <f t="shared" si="12"/>
        <v>7578</v>
      </c>
      <c r="BK61" s="44">
        <f t="shared" si="13"/>
        <v>8015</v>
      </c>
      <c r="BL61" s="44">
        <f t="shared" si="14"/>
        <v>8265</v>
      </c>
      <c r="BM61" s="44">
        <f t="shared" si="15"/>
        <v>8390</v>
      </c>
      <c r="BN61" s="45">
        <f t="shared" si="16"/>
        <v>8390</v>
      </c>
      <c r="BO61" s="45">
        <f t="shared" si="17"/>
        <v>8390</v>
      </c>
      <c r="BP61" s="45">
        <f t="shared" si="18"/>
        <v>8390</v>
      </c>
      <c r="BQ61" s="45">
        <f t="shared" si="19"/>
        <v>8390</v>
      </c>
      <c r="BR61" s="45">
        <f t="shared" si="20"/>
        <v>8390</v>
      </c>
      <c r="BU61" s="1"/>
    </row>
    <row r="62">
      <c r="A62" s="1"/>
      <c r="Y62" s="96" t="s">
        <v>111</v>
      </c>
      <c r="AA62" s="1"/>
      <c r="AB62" s="1"/>
      <c r="AC62" s="1"/>
      <c r="AD62" s="1"/>
      <c r="AE62" s="1"/>
      <c r="AF62" s="1"/>
      <c r="AG62" s="1"/>
      <c r="AH62" s="1"/>
      <c r="AI62" s="1"/>
      <c r="AJ62" s="1"/>
      <c r="AK62" s="1"/>
      <c r="AL62" s="1"/>
      <c r="AM62" s="1"/>
      <c r="AN62" s="1"/>
      <c r="AO62" s="1"/>
      <c r="AP62" s="1"/>
      <c r="AQ62" s="1"/>
      <c r="AR62" s="1"/>
      <c r="AS62" s="2"/>
      <c r="AU62" s="101">
        <v>50.0</v>
      </c>
      <c r="AV62" s="40">
        <v>3.0</v>
      </c>
      <c r="AW62" s="49">
        <f t="shared" si="21"/>
        <v>5435</v>
      </c>
      <c r="AX62" s="48">
        <f t="shared" si="22"/>
        <v>6347</v>
      </c>
      <c r="AY62" s="50">
        <f t="shared" si="1"/>
        <v>5936</v>
      </c>
      <c r="AZ62" s="50">
        <f t="shared" si="2"/>
        <v>6932</v>
      </c>
      <c r="BA62" s="42">
        <f t="shared" si="3"/>
        <v>6588</v>
      </c>
      <c r="BB62" s="42">
        <f t="shared" si="4"/>
        <v>6968</v>
      </c>
      <c r="BC62" s="42">
        <f t="shared" si="5"/>
        <v>7186</v>
      </c>
      <c r="BD62" s="42">
        <f t="shared" si="6"/>
        <v>7294</v>
      </c>
      <c r="BE62" s="43">
        <f t="shared" si="7"/>
        <v>7294</v>
      </c>
      <c r="BF62" s="43">
        <f t="shared" si="8"/>
        <v>7294</v>
      </c>
      <c r="BG62" s="43">
        <f t="shared" si="9"/>
        <v>7294</v>
      </c>
      <c r="BH62" s="43">
        <f t="shared" si="10"/>
        <v>7294</v>
      </c>
      <c r="BI62" s="43">
        <f t="shared" si="11"/>
        <v>7294</v>
      </c>
      <c r="BJ62" s="44">
        <f t="shared" si="12"/>
        <v>7693</v>
      </c>
      <c r="BK62" s="44">
        <f t="shared" si="13"/>
        <v>8137</v>
      </c>
      <c r="BL62" s="44">
        <f t="shared" si="14"/>
        <v>8391</v>
      </c>
      <c r="BM62" s="44">
        <f t="shared" si="15"/>
        <v>8518</v>
      </c>
      <c r="BN62" s="45">
        <f t="shared" si="16"/>
        <v>8518</v>
      </c>
      <c r="BO62" s="45">
        <f t="shared" si="17"/>
        <v>8518</v>
      </c>
      <c r="BP62" s="45">
        <f t="shared" si="18"/>
        <v>8518</v>
      </c>
      <c r="BQ62" s="45">
        <f t="shared" si="19"/>
        <v>8518</v>
      </c>
      <c r="BR62" s="45">
        <f t="shared" si="20"/>
        <v>8518</v>
      </c>
      <c r="BU62" s="1"/>
    </row>
    <row r="63">
      <c r="A63" s="1"/>
      <c r="B63" s="102" t="s">
        <v>112</v>
      </c>
      <c r="AA63" s="1"/>
      <c r="AB63" s="1"/>
      <c r="AC63" s="1"/>
      <c r="AD63" s="1"/>
      <c r="AE63" s="1"/>
      <c r="AF63" s="1"/>
      <c r="AG63" s="1"/>
      <c r="AH63" s="1"/>
      <c r="AI63" s="1"/>
      <c r="AJ63" s="1"/>
      <c r="AK63" s="1"/>
      <c r="AL63" s="1"/>
      <c r="AM63" s="1"/>
      <c r="AN63" s="1"/>
      <c r="AO63" s="1"/>
      <c r="AP63" s="1"/>
      <c r="AQ63" s="1"/>
      <c r="AR63" s="1"/>
      <c r="AS63" s="2"/>
      <c r="AU63" s="101">
        <v>50.0</v>
      </c>
      <c r="AV63" s="40">
        <v>4.0</v>
      </c>
      <c r="AW63" s="49">
        <f t="shared" si="21"/>
        <v>5435</v>
      </c>
      <c r="AX63" s="48">
        <f t="shared" si="22"/>
        <v>6347</v>
      </c>
      <c r="AY63" s="50">
        <f t="shared" si="1"/>
        <v>6087</v>
      </c>
      <c r="AZ63" s="50">
        <f t="shared" si="2"/>
        <v>7108</v>
      </c>
      <c r="BA63" s="42">
        <f t="shared" si="3"/>
        <v>6739</v>
      </c>
      <c r="BB63" s="42">
        <f t="shared" si="4"/>
        <v>7119</v>
      </c>
      <c r="BC63" s="42">
        <f t="shared" si="5"/>
        <v>7337</v>
      </c>
      <c r="BD63" s="42">
        <f t="shared" si="6"/>
        <v>7445</v>
      </c>
      <c r="BE63" s="43">
        <f t="shared" si="7"/>
        <v>7445</v>
      </c>
      <c r="BF63" s="43">
        <f t="shared" si="8"/>
        <v>7445</v>
      </c>
      <c r="BG63" s="43">
        <f t="shared" si="9"/>
        <v>7445</v>
      </c>
      <c r="BH63" s="43">
        <f t="shared" si="10"/>
        <v>7445</v>
      </c>
      <c r="BI63" s="43">
        <f t="shared" si="11"/>
        <v>7445</v>
      </c>
      <c r="BJ63" s="44">
        <f t="shared" si="12"/>
        <v>7869</v>
      </c>
      <c r="BK63" s="44">
        <f t="shared" si="13"/>
        <v>8313</v>
      </c>
      <c r="BL63" s="44">
        <f t="shared" si="14"/>
        <v>8567</v>
      </c>
      <c r="BM63" s="44">
        <f t="shared" si="15"/>
        <v>8694</v>
      </c>
      <c r="BN63" s="45">
        <f t="shared" si="16"/>
        <v>8694</v>
      </c>
      <c r="BO63" s="45">
        <f t="shared" si="17"/>
        <v>8694</v>
      </c>
      <c r="BP63" s="45">
        <f t="shared" si="18"/>
        <v>8694</v>
      </c>
      <c r="BQ63" s="45">
        <f t="shared" si="19"/>
        <v>8694</v>
      </c>
      <c r="BR63" s="45">
        <f t="shared" si="20"/>
        <v>8694</v>
      </c>
      <c r="BU63" s="1"/>
    </row>
    <row r="64">
      <c r="A64" s="1"/>
      <c r="B64" s="103" t="s">
        <v>113</v>
      </c>
      <c r="AA64" s="1"/>
      <c r="AB64" s="1"/>
      <c r="AC64" s="1"/>
      <c r="AD64" s="1"/>
      <c r="AE64" s="1"/>
      <c r="AF64" s="1"/>
      <c r="AG64" s="1"/>
      <c r="AH64" s="1"/>
      <c r="AI64" s="1"/>
      <c r="AJ64" s="1"/>
      <c r="AK64" s="1"/>
      <c r="AL64" s="1"/>
      <c r="AM64" s="1"/>
      <c r="AN64" s="1"/>
      <c r="AO64" s="1"/>
      <c r="AP64" s="1"/>
      <c r="AQ64" s="1"/>
      <c r="AR64" s="1"/>
      <c r="AS64" s="2"/>
      <c r="AU64" s="40">
        <v>51.0</v>
      </c>
      <c r="AV64" s="40">
        <v>4.0</v>
      </c>
      <c r="AW64" s="49">
        <f t="shared" si="21"/>
        <v>5524</v>
      </c>
      <c r="AX64" s="48">
        <f t="shared" si="22"/>
        <v>6451</v>
      </c>
      <c r="AY64" s="50">
        <f t="shared" si="1"/>
        <v>6176</v>
      </c>
      <c r="AZ64" s="50">
        <f t="shared" si="2"/>
        <v>7212</v>
      </c>
      <c r="BA64" s="42">
        <f t="shared" si="3"/>
        <v>6838</v>
      </c>
      <c r="BB64" s="42">
        <f t="shared" si="4"/>
        <v>7225</v>
      </c>
      <c r="BC64" s="42">
        <f t="shared" si="5"/>
        <v>7446</v>
      </c>
      <c r="BD64" s="42">
        <f t="shared" si="6"/>
        <v>7557</v>
      </c>
      <c r="BE64" s="43">
        <f t="shared" si="7"/>
        <v>7557</v>
      </c>
      <c r="BF64" s="43">
        <f t="shared" si="8"/>
        <v>7557</v>
      </c>
      <c r="BG64" s="43">
        <f t="shared" si="9"/>
        <v>7557</v>
      </c>
      <c r="BH64" s="43">
        <f t="shared" si="10"/>
        <v>7557</v>
      </c>
      <c r="BI64" s="43">
        <f t="shared" si="11"/>
        <v>7557</v>
      </c>
      <c r="BJ64" s="44">
        <f t="shared" si="12"/>
        <v>7986</v>
      </c>
      <c r="BK64" s="44">
        <f t="shared" si="13"/>
        <v>8437</v>
      </c>
      <c r="BL64" s="44">
        <f t="shared" si="14"/>
        <v>8695</v>
      </c>
      <c r="BM64" s="44">
        <f t="shared" si="15"/>
        <v>8824</v>
      </c>
      <c r="BN64" s="45">
        <f t="shared" si="16"/>
        <v>8824</v>
      </c>
      <c r="BO64" s="45">
        <f t="shared" si="17"/>
        <v>8824</v>
      </c>
      <c r="BP64" s="45">
        <f t="shared" si="18"/>
        <v>8824</v>
      </c>
      <c r="BQ64" s="45">
        <f t="shared" si="19"/>
        <v>8824</v>
      </c>
      <c r="BR64" s="45">
        <f t="shared" si="20"/>
        <v>8824</v>
      </c>
      <c r="BU64" s="1"/>
    </row>
    <row r="65">
      <c r="A65" s="1"/>
      <c r="AA65" s="1"/>
      <c r="AB65" s="1"/>
      <c r="AC65" s="1"/>
      <c r="AD65" s="1"/>
      <c r="AE65" s="1"/>
      <c r="AF65" s="1"/>
      <c r="AG65" s="1"/>
      <c r="AH65" s="1"/>
      <c r="AI65" s="1"/>
      <c r="AJ65" s="1"/>
      <c r="AK65" s="1"/>
      <c r="AL65" s="1"/>
      <c r="AM65" s="1"/>
      <c r="AN65" s="1"/>
      <c r="AO65" s="1"/>
      <c r="AP65" s="1"/>
      <c r="AQ65" s="1"/>
      <c r="AR65" s="1"/>
      <c r="AS65" s="2"/>
      <c r="AU65" s="40">
        <v>52.0</v>
      </c>
      <c r="AV65" s="40">
        <v>4.0</v>
      </c>
      <c r="AW65" s="49">
        <f t="shared" si="21"/>
        <v>5613</v>
      </c>
      <c r="AX65" s="48">
        <f t="shared" si="22"/>
        <v>6555</v>
      </c>
      <c r="AY65" s="50">
        <f t="shared" si="1"/>
        <v>6265</v>
      </c>
      <c r="AZ65" s="50">
        <f t="shared" si="2"/>
        <v>7316</v>
      </c>
      <c r="BA65" s="42">
        <f t="shared" si="3"/>
        <v>6938</v>
      </c>
      <c r="BB65" s="42">
        <f t="shared" si="4"/>
        <v>7331</v>
      </c>
      <c r="BC65" s="42">
        <f t="shared" si="5"/>
        <v>7555</v>
      </c>
      <c r="BD65" s="42">
        <f t="shared" si="6"/>
        <v>7668</v>
      </c>
      <c r="BE65" s="43">
        <f t="shared" si="7"/>
        <v>7668</v>
      </c>
      <c r="BF65" s="43">
        <f t="shared" si="8"/>
        <v>7668</v>
      </c>
      <c r="BG65" s="43">
        <f t="shared" si="9"/>
        <v>7668</v>
      </c>
      <c r="BH65" s="43">
        <f t="shared" si="10"/>
        <v>7668</v>
      </c>
      <c r="BI65" s="43">
        <f t="shared" si="11"/>
        <v>7668</v>
      </c>
      <c r="BJ65" s="44">
        <f t="shared" si="12"/>
        <v>8102</v>
      </c>
      <c r="BK65" s="44">
        <f t="shared" si="13"/>
        <v>8561</v>
      </c>
      <c r="BL65" s="44">
        <f t="shared" si="14"/>
        <v>8823</v>
      </c>
      <c r="BM65" s="44">
        <f t="shared" si="15"/>
        <v>8954</v>
      </c>
      <c r="BN65" s="45">
        <f t="shared" si="16"/>
        <v>8954</v>
      </c>
      <c r="BO65" s="45">
        <f t="shared" si="17"/>
        <v>8954</v>
      </c>
      <c r="BP65" s="45">
        <f t="shared" si="18"/>
        <v>8954</v>
      </c>
      <c r="BQ65" s="45">
        <f t="shared" si="19"/>
        <v>8954</v>
      </c>
      <c r="BR65" s="45">
        <f t="shared" si="20"/>
        <v>8954</v>
      </c>
      <c r="BU65" s="1"/>
    </row>
    <row r="66">
      <c r="A66" s="5"/>
      <c r="B66" s="104" t="s">
        <v>114</v>
      </c>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6"/>
      <c r="AA66" s="105"/>
      <c r="AB66" s="105"/>
      <c r="AC66" s="105"/>
      <c r="AD66" s="105"/>
      <c r="AE66" s="1"/>
      <c r="AF66" s="1"/>
      <c r="AG66" s="1"/>
      <c r="AH66" s="1"/>
      <c r="AI66" s="1"/>
      <c r="AJ66" s="1"/>
      <c r="AK66" s="1"/>
      <c r="AL66" s="1"/>
      <c r="AM66" s="1"/>
      <c r="AN66" s="1"/>
      <c r="AO66" s="1"/>
      <c r="AP66" s="1"/>
      <c r="AQ66" s="1"/>
      <c r="AR66" s="1"/>
      <c r="AS66" s="2"/>
      <c r="AU66" s="40">
        <v>53.0</v>
      </c>
      <c r="AV66" s="40">
        <v>4.0</v>
      </c>
      <c r="AW66" s="49">
        <f t="shared" si="21"/>
        <v>5702</v>
      </c>
      <c r="AX66" s="48">
        <f t="shared" si="22"/>
        <v>6659</v>
      </c>
      <c r="AY66" s="50">
        <f t="shared" si="1"/>
        <v>6354</v>
      </c>
      <c r="AZ66" s="50">
        <f t="shared" si="2"/>
        <v>7420</v>
      </c>
      <c r="BA66" s="42">
        <f t="shared" si="3"/>
        <v>7038</v>
      </c>
      <c r="BB66" s="42">
        <f t="shared" si="4"/>
        <v>7437</v>
      </c>
      <c r="BC66" s="42">
        <f t="shared" si="5"/>
        <v>7665</v>
      </c>
      <c r="BD66" s="42">
        <f t="shared" si="6"/>
        <v>7779</v>
      </c>
      <c r="BE66" s="43">
        <f t="shared" si="7"/>
        <v>7779</v>
      </c>
      <c r="BF66" s="43">
        <f t="shared" si="8"/>
        <v>7779</v>
      </c>
      <c r="BG66" s="43">
        <f t="shared" si="9"/>
        <v>7779</v>
      </c>
      <c r="BH66" s="43">
        <f t="shared" si="10"/>
        <v>7779</v>
      </c>
      <c r="BI66" s="43">
        <f t="shared" si="11"/>
        <v>7779</v>
      </c>
      <c r="BJ66" s="44">
        <f t="shared" si="12"/>
        <v>8219</v>
      </c>
      <c r="BK66" s="44">
        <f t="shared" si="13"/>
        <v>8685</v>
      </c>
      <c r="BL66" s="44">
        <f t="shared" si="14"/>
        <v>8951</v>
      </c>
      <c r="BM66" s="44">
        <f t="shared" si="15"/>
        <v>9084</v>
      </c>
      <c r="BN66" s="45">
        <f t="shared" si="16"/>
        <v>9084</v>
      </c>
      <c r="BO66" s="45">
        <f t="shared" si="17"/>
        <v>9084</v>
      </c>
      <c r="BP66" s="45">
        <f t="shared" si="18"/>
        <v>9084</v>
      </c>
      <c r="BQ66" s="45">
        <f t="shared" si="19"/>
        <v>9084</v>
      </c>
      <c r="BR66" s="45">
        <f t="shared" si="20"/>
        <v>9084</v>
      </c>
      <c r="BU66" s="1"/>
    </row>
    <row r="67">
      <c r="A67" s="1"/>
      <c r="B67" s="10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8"/>
      <c r="AE67" s="1"/>
      <c r="AF67" s="1"/>
      <c r="AG67" s="1"/>
      <c r="AH67" s="1"/>
      <c r="AI67" s="1"/>
      <c r="AJ67" s="1"/>
      <c r="AK67" s="1"/>
      <c r="AL67" s="1"/>
      <c r="AM67" s="1"/>
      <c r="AN67" s="1"/>
      <c r="AO67" s="1"/>
      <c r="AP67" s="1"/>
      <c r="AQ67" s="1"/>
      <c r="AR67" s="1"/>
      <c r="AS67" s="2"/>
      <c r="AU67" s="40">
        <v>54.0</v>
      </c>
      <c r="AV67" s="40">
        <v>4.0</v>
      </c>
      <c r="AW67" s="49">
        <f t="shared" si="21"/>
        <v>5791</v>
      </c>
      <c r="AX67" s="48">
        <f t="shared" si="22"/>
        <v>6763</v>
      </c>
      <c r="AY67" s="50">
        <f t="shared" si="1"/>
        <v>6443</v>
      </c>
      <c r="AZ67" s="50">
        <f t="shared" si="2"/>
        <v>7524</v>
      </c>
      <c r="BA67" s="42">
        <f t="shared" si="3"/>
        <v>7137</v>
      </c>
      <c r="BB67" s="42">
        <f t="shared" si="4"/>
        <v>7543</v>
      </c>
      <c r="BC67" s="42">
        <f t="shared" si="5"/>
        <v>7774</v>
      </c>
      <c r="BD67" s="42">
        <f t="shared" si="6"/>
        <v>7890</v>
      </c>
      <c r="BE67" s="43">
        <f t="shared" si="7"/>
        <v>7890</v>
      </c>
      <c r="BF67" s="43">
        <f t="shared" si="8"/>
        <v>7890</v>
      </c>
      <c r="BG67" s="43">
        <f t="shared" si="9"/>
        <v>7890</v>
      </c>
      <c r="BH67" s="43">
        <f t="shared" si="10"/>
        <v>7890</v>
      </c>
      <c r="BI67" s="43">
        <f t="shared" si="11"/>
        <v>7890</v>
      </c>
      <c r="BJ67" s="44">
        <f t="shared" si="12"/>
        <v>8335</v>
      </c>
      <c r="BK67" s="44">
        <f t="shared" si="13"/>
        <v>8808</v>
      </c>
      <c r="BL67" s="44">
        <f t="shared" si="14"/>
        <v>9079</v>
      </c>
      <c r="BM67" s="44">
        <f t="shared" si="15"/>
        <v>9214</v>
      </c>
      <c r="BN67" s="45">
        <f t="shared" si="16"/>
        <v>9214</v>
      </c>
      <c r="BO67" s="45">
        <f t="shared" si="17"/>
        <v>9214</v>
      </c>
      <c r="BP67" s="45">
        <f t="shared" si="18"/>
        <v>9214</v>
      </c>
      <c r="BQ67" s="45">
        <f t="shared" si="19"/>
        <v>9214</v>
      </c>
      <c r="BR67" s="45">
        <f t="shared" si="20"/>
        <v>9214</v>
      </c>
      <c r="BU67" s="1"/>
    </row>
    <row r="68">
      <c r="A68" s="1"/>
      <c r="B68" s="27"/>
      <c r="AD68" s="28"/>
      <c r="AE68" s="1"/>
      <c r="AF68" s="1"/>
      <c r="AG68" s="1"/>
      <c r="AH68" s="1"/>
      <c r="AI68" s="1"/>
      <c r="AJ68" s="1"/>
      <c r="AK68" s="1"/>
      <c r="AL68" s="1"/>
      <c r="AM68" s="1"/>
      <c r="AN68" s="1"/>
      <c r="AO68" s="1"/>
      <c r="AP68" s="1"/>
      <c r="AQ68" s="1"/>
      <c r="AR68" s="1"/>
      <c r="AS68" s="2"/>
      <c r="AU68" s="40">
        <v>55.0</v>
      </c>
      <c r="AV68" s="40">
        <v>4.0</v>
      </c>
      <c r="AW68" s="49">
        <f t="shared" si="21"/>
        <v>5880</v>
      </c>
      <c r="AX68" s="48">
        <f t="shared" si="22"/>
        <v>6867</v>
      </c>
      <c r="AY68" s="50">
        <f t="shared" si="1"/>
        <v>6532</v>
      </c>
      <c r="AZ68" s="50">
        <f t="shared" si="2"/>
        <v>7628</v>
      </c>
      <c r="BA68" s="42">
        <f t="shared" si="3"/>
        <v>7237</v>
      </c>
      <c r="BB68" s="42">
        <f t="shared" si="4"/>
        <v>7649</v>
      </c>
      <c r="BC68" s="42">
        <f t="shared" si="5"/>
        <v>7884</v>
      </c>
      <c r="BD68" s="42">
        <f t="shared" si="6"/>
        <v>8002</v>
      </c>
      <c r="BE68" s="43">
        <f t="shared" si="7"/>
        <v>8002</v>
      </c>
      <c r="BF68" s="43">
        <f t="shared" si="8"/>
        <v>8002</v>
      </c>
      <c r="BG68" s="43">
        <f t="shared" si="9"/>
        <v>8002</v>
      </c>
      <c r="BH68" s="43">
        <f t="shared" si="10"/>
        <v>8002</v>
      </c>
      <c r="BI68" s="43">
        <f t="shared" si="11"/>
        <v>8002</v>
      </c>
      <c r="BJ68" s="44">
        <f t="shared" si="12"/>
        <v>8452</v>
      </c>
      <c r="BK68" s="44">
        <f t="shared" si="13"/>
        <v>8932</v>
      </c>
      <c r="BL68" s="44">
        <f t="shared" si="14"/>
        <v>9207</v>
      </c>
      <c r="BM68" s="44">
        <f t="shared" si="15"/>
        <v>9344</v>
      </c>
      <c r="BN68" s="45">
        <f t="shared" si="16"/>
        <v>9344</v>
      </c>
      <c r="BO68" s="45">
        <f t="shared" si="17"/>
        <v>9344</v>
      </c>
      <c r="BP68" s="45">
        <f t="shared" si="18"/>
        <v>9344</v>
      </c>
      <c r="BQ68" s="45">
        <f t="shared" si="19"/>
        <v>9344</v>
      </c>
      <c r="BR68" s="45">
        <f t="shared" si="20"/>
        <v>9344</v>
      </c>
      <c r="BU68" s="1"/>
    </row>
    <row r="69">
      <c r="A69" s="1"/>
      <c r="B69" s="27"/>
      <c r="AD69" s="28"/>
      <c r="AE69" s="1"/>
      <c r="AF69" s="1"/>
      <c r="AG69" s="1"/>
      <c r="AH69" s="1"/>
      <c r="AI69" s="1"/>
      <c r="AJ69" s="1"/>
      <c r="AK69" s="1"/>
      <c r="AL69" s="1"/>
      <c r="AM69" s="1"/>
      <c r="AN69" s="1"/>
      <c r="AO69" s="1"/>
      <c r="AP69" s="1"/>
      <c r="AQ69" s="1"/>
      <c r="AR69" s="1"/>
      <c r="AS69" s="2"/>
      <c r="AU69" s="40">
        <v>56.0</v>
      </c>
      <c r="AV69" s="40">
        <v>4.0</v>
      </c>
      <c r="AW69" s="49">
        <f t="shared" si="21"/>
        <v>5970</v>
      </c>
      <c r="AX69" s="48">
        <f t="shared" si="22"/>
        <v>6972</v>
      </c>
      <c r="AY69" s="50">
        <f t="shared" si="1"/>
        <v>6622</v>
      </c>
      <c r="AZ69" s="50">
        <f t="shared" si="2"/>
        <v>7733</v>
      </c>
      <c r="BA69" s="42">
        <f t="shared" si="3"/>
        <v>7338</v>
      </c>
      <c r="BB69" s="42">
        <f t="shared" si="4"/>
        <v>7756</v>
      </c>
      <c r="BC69" s="42">
        <f t="shared" si="5"/>
        <v>7995</v>
      </c>
      <c r="BD69" s="42">
        <f t="shared" si="6"/>
        <v>8114</v>
      </c>
      <c r="BE69" s="43">
        <f t="shared" si="7"/>
        <v>8114</v>
      </c>
      <c r="BF69" s="43">
        <f t="shared" si="8"/>
        <v>8114</v>
      </c>
      <c r="BG69" s="43">
        <f t="shared" si="9"/>
        <v>8114</v>
      </c>
      <c r="BH69" s="43">
        <f t="shared" si="10"/>
        <v>8114</v>
      </c>
      <c r="BI69" s="43">
        <f t="shared" si="11"/>
        <v>8114</v>
      </c>
      <c r="BJ69" s="44">
        <f t="shared" si="12"/>
        <v>8569</v>
      </c>
      <c r="BK69" s="44">
        <f t="shared" si="13"/>
        <v>9057</v>
      </c>
      <c r="BL69" s="44">
        <f t="shared" si="14"/>
        <v>9336</v>
      </c>
      <c r="BM69" s="44">
        <f t="shared" si="15"/>
        <v>9476</v>
      </c>
      <c r="BN69" s="45">
        <f t="shared" si="16"/>
        <v>9476</v>
      </c>
      <c r="BO69" s="45">
        <f t="shared" si="17"/>
        <v>9476</v>
      </c>
      <c r="BP69" s="45">
        <f t="shared" si="18"/>
        <v>9476</v>
      </c>
      <c r="BQ69" s="45">
        <f t="shared" si="19"/>
        <v>9476</v>
      </c>
      <c r="BR69" s="45">
        <f t="shared" si="20"/>
        <v>9476</v>
      </c>
      <c r="BU69" s="1"/>
    </row>
    <row r="70">
      <c r="A70" s="1"/>
      <c r="B70" s="27"/>
      <c r="AD70" s="28"/>
      <c r="AE70" s="1"/>
      <c r="AF70" s="1"/>
      <c r="AG70" s="1"/>
      <c r="AH70" s="1"/>
      <c r="AI70" s="1"/>
      <c r="AJ70" s="1"/>
      <c r="AK70" s="1"/>
      <c r="AL70" s="1"/>
      <c r="AM70" s="1"/>
      <c r="AN70" s="1"/>
      <c r="AO70" s="1"/>
      <c r="AP70" s="1"/>
      <c r="AQ70" s="1"/>
      <c r="AR70" s="1"/>
      <c r="AS70" s="2"/>
      <c r="AU70" s="40">
        <v>57.0</v>
      </c>
      <c r="AV70" s="40">
        <v>4.0</v>
      </c>
      <c r="AW70" s="49">
        <f t="shared" si="21"/>
        <v>6060</v>
      </c>
      <c r="AX70" s="48">
        <f t="shared" si="22"/>
        <v>7076</v>
      </c>
      <c r="AY70" s="50">
        <f t="shared" si="1"/>
        <v>6712</v>
      </c>
      <c r="AZ70" s="50">
        <f t="shared" si="2"/>
        <v>7837</v>
      </c>
      <c r="BA70" s="42">
        <f t="shared" si="3"/>
        <v>7439</v>
      </c>
      <c r="BB70" s="42">
        <f t="shared" si="4"/>
        <v>7863</v>
      </c>
      <c r="BC70" s="42">
        <f t="shared" si="5"/>
        <v>8105</v>
      </c>
      <c r="BD70" s="42">
        <f t="shared" si="6"/>
        <v>8227</v>
      </c>
      <c r="BE70" s="43">
        <f t="shared" si="7"/>
        <v>8227</v>
      </c>
      <c r="BF70" s="43">
        <f t="shared" si="8"/>
        <v>8227</v>
      </c>
      <c r="BG70" s="43">
        <f t="shared" si="9"/>
        <v>8227</v>
      </c>
      <c r="BH70" s="43">
        <f t="shared" si="10"/>
        <v>8227</v>
      </c>
      <c r="BI70" s="43">
        <f t="shared" si="11"/>
        <v>8227</v>
      </c>
      <c r="BJ70" s="44">
        <f t="shared" si="12"/>
        <v>8686</v>
      </c>
      <c r="BK70" s="44">
        <f t="shared" si="13"/>
        <v>9181</v>
      </c>
      <c r="BL70" s="44">
        <f t="shared" si="14"/>
        <v>9464</v>
      </c>
      <c r="BM70" s="44">
        <f t="shared" si="15"/>
        <v>9606</v>
      </c>
      <c r="BN70" s="45">
        <f t="shared" si="16"/>
        <v>9606</v>
      </c>
      <c r="BO70" s="45">
        <f t="shared" si="17"/>
        <v>9606</v>
      </c>
      <c r="BP70" s="45">
        <f t="shared" si="18"/>
        <v>9606</v>
      </c>
      <c r="BQ70" s="45">
        <f t="shared" si="19"/>
        <v>9606</v>
      </c>
      <c r="BR70" s="45">
        <f t="shared" si="20"/>
        <v>9606</v>
      </c>
      <c r="BU70" s="1"/>
    </row>
    <row r="71">
      <c r="A71" s="1"/>
      <c r="B71" s="29"/>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1"/>
      <c r="AE71" s="1"/>
      <c r="AF71" s="1"/>
      <c r="AG71" s="1"/>
      <c r="AH71" s="1"/>
      <c r="AI71" s="1"/>
      <c r="AJ71" s="1"/>
      <c r="AK71" s="1"/>
      <c r="AL71" s="1"/>
      <c r="AM71" s="1"/>
      <c r="AN71" s="1"/>
      <c r="AO71" s="1"/>
      <c r="AP71" s="1"/>
      <c r="AQ71" s="1"/>
      <c r="AR71" s="1"/>
      <c r="AS71" s="2"/>
      <c r="AU71" s="40">
        <v>58.0</v>
      </c>
      <c r="AV71" s="40">
        <v>4.0</v>
      </c>
      <c r="AW71" s="49">
        <f t="shared" si="21"/>
        <v>6150</v>
      </c>
      <c r="AX71" s="48">
        <f t="shared" si="22"/>
        <v>7181</v>
      </c>
      <c r="AY71" s="50">
        <f t="shared" si="1"/>
        <v>6802</v>
      </c>
      <c r="AZ71" s="50">
        <f t="shared" si="2"/>
        <v>7942</v>
      </c>
      <c r="BA71" s="42">
        <f t="shared" si="3"/>
        <v>7540</v>
      </c>
      <c r="BB71" s="42">
        <f t="shared" si="4"/>
        <v>7970</v>
      </c>
      <c r="BC71" s="42">
        <f t="shared" si="5"/>
        <v>8216</v>
      </c>
      <c r="BD71" s="42">
        <f t="shared" si="6"/>
        <v>8339</v>
      </c>
      <c r="BE71" s="43">
        <f t="shared" si="7"/>
        <v>8339</v>
      </c>
      <c r="BF71" s="43">
        <f t="shared" si="8"/>
        <v>8339</v>
      </c>
      <c r="BG71" s="43">
        <f t="shared" si="9"/>
        <v>8339</v>
      </c>
      <c r="BH71" s="43">
        <f t="shared" si="10"/>
        <v>8339</v>
      </c>
      <c r="BI71" s="43">
        <f t="shared" si="11"/>
        <v>8339</v>
      </c>
      <c r="BJ71" s="44">
        <f t="shared" si="12"/>
        <v>8803</v>
      </c>
      <c r="BK71" s="44">
        <f t="shared" si="13"/>
        <v>9306</v>
      </c>
      <c r="BL71" s="44">
        <f t="shared" si="14"/>
        <v>9593</v>
      </c>
      <c r="BM71" s="44">
        <f t="shared" si="15"/>
        <v>9737</v>
      </c>
      <c r="BN71" s="45">
        <f t="shared" si="16"/>
        <v>9737</v>
      </c>
      <c r="BO71" s="45">
        <f t="shared" si="17"/>
        <v>9737</v>
      </c>
      <c r="BP71" s="45">
        <f t="shared" si="18"/>
        <v>9737</v>
      </c>
      <c r="BQ71" s="45">
        <f t="shared" si="19"/>
        <v>9737</v>
      </c>
      <c r="BR71" s="45">
        <f t="shared" si="20"/>
        <v>9737</v>
      </c>
      <c r="BU71" s="1"/>
    </row>
    <row r="72">
      <c r="A72" s="1"/>
      <c r="Z72" s="1"/>
      <c r="AA72" s="1"/>
      <c r="AB72" s="1"/>
      <c r="AC72" s="1"/>
      <c r="AD72" s="1"/>
      <c r="AE72" s="1"/>
      <c r="AF72" s="1"/>
      <c r="AG72" s="1"/>
      <c r="AH72" s="1"/>
      <c r="AI72" s="1"/>
      <c r="AJ72" s="1"/>
      <c r="AK72" s="1"/>
      <c r="AL72" s="1"/>
      <c r="AM72" s="1"/>
      <c r="AN72" s="1"/>
      <c r="AO72" s="1"/>
      <c r="AP72" s="1"/>
      <c r="AQ72" s="1"/>
      <c r="AR72" s="1"/>
      <c r="AS72" s="2"/>
      <c r="AU72" s="40">
        <v>59.0</v>
      </c>
      <c r="AV72" s="40">
        <v>4.0</v>
      </c>
      <c r="AW72" s="49">
        <f t="shared" si="21"/>
        <v>6240</v>
      </c>
      <c r="AX72" s="48">
        <f t="shared" si="22"/>
        <v>7286</v>
      </c>
      <c r="AY72" s="50">
        <f t="shared" si="1"/>
        <v>6892</v>
      </c>
      <c r="AZ72" s="50">
        <f t="shared" si="2"/>
        <v>8047</v>
      </c>
      <c r="BA72" s="42">
        <f t="shared" si="3"/>
        <v>7640</v>
      </c>
      <c r="BB72" s="42">
        <f t="shared" si="4"/>
        <v>8077</v>
      </c>
      <c r="BC72" s="42">
        <f t="shared" si="5"/>
        <v>8327</v>
      </c>
      <c r="BD72" s="42">
        <f t="shared" si="6"/>
        <v>8452</v>
      </c>
      <c r="BE72" s="43">
        <f t="shared" si="7"/>
        <v>8452</v>
      </c>
      <c r="BF72" s="43">
        <f t="shared" si="8"/>
        <v>8452</v>
      </c>
      <c r="BG72" s="43">
        <f t="shared" si="9"/>
        <v>8452</v>
      </c>
      <c r="BH72" s="43">
        <f t="shared" si="10"/>
        <v>8452</v>
      </c>
      <c r="BI72" s="43">
        <f t="shared" si="11"/>
        <v>8452</v>
      </c>
      <c r="BJ72" s="44">
        <f t="shared" si="12"/>
        <v>8921</v>
      </c>
      <c r="BK72" s="44">
        <f t="shared" si="13"/>
        <v>9431</v>
      </c>
      <c r="BL72" s="44">
        <f t="shared" si="14"/>
        <v>9722</v>
      </c>
      <c r="BM72" s="44">
        <f t="shared" si="15"/>
        <v>9868</v>
      </c>
      <c r="BN72" s="45">
        <f t="shared" si="16"/>
        <v>9868</v>
      </c>
      <c r="BO72" s="45">
        <f t="shared" si="17"/>
        <v>9868</v>
      </c>
      <c r="BP72" s="45">
        <f t="shared" si="18"/>
        <v>9868</v>
      </c>
      <c r="BQ72" s="45">
        <f t="shared" si="19"/>
        <v>9868</v>
      </c>
      <c r="BR72" s="45">
        <f t="shared" si="20"/>
        <v>9868</v>
      </c>
      <c r="BU72" s="1"/>
    </row>
    <row r="73">
      <c r="A73" s="1"/>
      <c r="Z73" s="1"/>
      <c r="AA73" s="1"/>
      <c r="AB73" s="1"/>
      <c r="AC73" s="1"/>
      <c r="AD73" s="1"/>
      <c r="AE73" s="1"/>
      <c r="AF73" s="1"/>
      <c r="AG73" s="1"/>
      <c r="AH73" s="1"/>
      <c r="AI73" s="1"/>
      <c r="AJ73" s="1"/>
      <c r="AK73" s="1"/>
      <c r="AL73" s="1"/>
      <c r="AM73" s="1"/>
      <c r="AN73" s="1"/>
      <c r="AO73" s="1"/>
      <c r="AP73" s="1"/>
      <c r="AQ73" s="1"/>
      <c r="AR73" s="1"/>
      <c r="AS73" s="2"/>
      <c r="AU73" s="108">
        <v>60.0</v>
      </c>
      <c r="AV73" s="40">
        <v>4.0</v>
      </c>
      <c r="AW73" s="49">
        <f t="shared" si="21"/>
        <v>6330</v>
      </c>
      <c r="AX73" s="48">
        <f t="shared" si="22"/>
        <v>7392</v>
      </c>
      <c r="AY73" s="50">
        <f t="shared" si="1"/>
        <v>6982</v>
      </c>
      <c r="AZ73" s="50">
        <f t="shared" si="2"/>
        <v>8153</v>
      </c>
      <c r="BA73" s="42">
        <f t="shared" si="3"/>
        <v>7741</v>
      </c>
      <c r="BB73" s="42">
        <f t="shared" si="4"/>
        <v>8184</v>
      </c>
      <c r="BC73" s="42">
        <f t="shared" si="5"/>
        <v>8437</v>
      </c>
      <c r="BD73" s="42">
        <f t="shared" si="6"/>
        <v>8564</v>
      </c>
      <c r="BE73" s="43">
        <f t="shared" si="7"/>
        <v>8564</v>
      </c>
      <c r="BF73" s="43">
        <f t="shared" si="8"/>
        <v>8564</v>
      </c>
      <c r="BG73" s="43">
        <f t="shared" si="9"/>
        <v>8564</v>
      </c>
      <c r="BH73" s="43">
        <f t="shared" si="10"/>
        <v>8564</v>
      </c>
      <c r="BI73" s="43">
        <f t="shared" si="11"/>
        <v>8564</v>
      </c>
      <c r="BJ73" s="44">
        <f t="shared" si="12"/>
        <v>9040</v>
      </c>
      <c r="BK73" s="44">
        <f t="shared" si="13"/>
        <v>9557</v>
      </c>
      <c r="BL73" s="44">
        <f t="shared" si="14"/>
        <v>9853</v>
      </c>
      <c r="BM73" s="44">
        <f t="shared" si="15"/>
        <v>10001</v>
      </c>
      <c r="BN73" s="45">
        <f t="shared" si="16"/>
        <v>10001</v>
      </c>
      <c r="BO73" s="45">
        <f t="shared" si="17"/>
        <v>10001</v>
      </c>
      <c r="BP73" s="45">
        <f t="shared" si="18"/>
        <v>10001</v>
      </c>
      <c r="BQ73" s="45">
        <f t="shared" si="19"/>
        <v>10001</v>
      </c>
      <c r="BR73" s="45">
        <f t="shared" si="20"/>
        <v>10001</v>
      </c>
      <c r="BU73" s="1"/>
    </row>
    <row r="74">
      <c r="A74" s="1"/>
      <c r="Z74" s="1"/>
      <c r="AA74" s="1"/>
      <c r="AB74" s="1"/>
      <c r="AC74" s="1"/>
      <c r="AD74" s="1"/>
      <c r="AE74" s="1"/>
      <c r="AF74" s="1"/>
      <c r="AG74" s="1"/>
      <c r="AH74" s="1"/>
      <c r="AI74" s="1"/>
      <c r="AJ74" s="1"/>
      <c r="AK74" s="1"/>
      <c r="AL74" s="1"/>
      <c r="AM74" s="1"/>
      <c r="AN74" s="1"/>
      <c r="AO74" s="1"/>
      <c r="AP74" s="1"/>
      <c r="AQ74" s="1"/>
      <c r="AR74" s="1"/>
      <c r="AS74" s="2"/>
      <c r="AU74" s="108">
        <v>60.0</v>
      </c>
      <c r="AV74" s="40">
        <v>5.0</v>
      </c>
      <c r="AW74" s="49">
        <f t="shared" si="21"/>
        <v>6330</v>
      </c>
      <c r="AX74" s="48">
        <f t="shared" si="22"/>
        <v>7392</v>
      </c>
      <c r="AY74" s="50">
        <f t="shared" si="1"/>
        <v>7279</v>
      </c>
      <c r="AZ74" s="50">
        <f t="shared" si="2"/>
        <v>8500</v>
      </c>
      <c r="BA74" s="42">
        <f t="shared" si="3"/>
        <v>8038</v>
      </c>
      <c r="BB74" s="42">
        <f t="shared" si="4"/>
        <v>8481</v>
      </c>
      <c r="BC74" s="42">
        <f t="shared" si="5"/>
        <v>8734</v>
      </c>
      <c r="BD74" s="42">
        <f t="shared" si="6"/>
        <v>8861</v>
      </c>
      <c r="BE74" s="43">
        <f t="shared" si="7"/>
        <v>8861</v>
      </c>
      <c r="BF74" s="43">
        <f t="shared" si="8"/>
        <v>8861</v>
      </c>
      <c r="BG74" s="43">
        <f t="shared" si="9"/>
        <v>8861</v>
      </c>
      <c r="BH74" s="43">
        <f t="shared" si="10"/>
        <v>8861</v>
      </c>
      <c r="BI74" s="43">
        <f t="shared" si="11"/>
        <v>8861</v>
      </c>
      <c r="BJ74" s="44">
        <f t="shared" si="12"/>
        <v>9387</v>
      </c>
      <c r="BK74" s="44">
        <f t="shared" si="13"/>
        <v>9904</v>
      </c>
      <c r="BL74" s="44">
        <f t="shared" si="14"/>
        <v>10200</v>
      </c>
      <c r="BM74" s="44">
        <f t="shared" si="15"/>
        <v>10348</v>
      </c>
      <c r="BN74" s="45">
        <f t="shared" si="16"/>
        <v>10348</v>
      </c>
      <c r="BO74" s="45">
        <f t="shared" si="17"/>
        <v>10348</v>
      </c>
      <c r="BP74" s="45">
        <f t="shared" si="18"/>
        <v>10348</v>
      </c>
      <c r="BQ74" s="45">
        <f t="shared" si="19"/>
        <v>10348</v>
      </c>
      <c r="BR74" s="45">
        <f t="shared" si="20"/>
        <v>10348</v>
      </c>
      <c r="BU74" s="1"/>
    </row>
    <row r="75">
      <c r="A75" s="1"/>
      <c r="AA75" s="1"/>
      <c r="AB75" s="1"/>
      <c r="AC75" s="1"/>
      <c r="AD75" s="1"/>
      <c r="AE75" s="1"/>
      <c r="AF75" s="1"/>
      <c r="AG75" s="1"/>
      <c r="AH75" s="1"/>
      <c r="AI75" s="1"/>
      <c r="AJ75" s="1"/>
      <c r="AK75" s="1"/>
      <c r="AL75" s="1"/>
      <c r="AM75" s="1"/>
      <c r="AN75" s="1"/>
      <c r="AO75" s="1"/>
      <c r="AP75" s="1"/>
      <c r="AQ75" s="1"/>
      <c r="AR75" s="1"/>
      <c r="AS75" s="2"/>
      <c r="AU75" s="40">
        <v>61.0</v>
      </c>
      <c r="AV75" s="40">
        <v>5.0</v>
      </c>
      <c r="AW75" s="49">
        <f t="shared" si="21"/>
        <v>6420</v>
      </c>
      <c r="AX75" s="48">
        <f t="shared" si="22"/>
        <v>7497</v>
      </c>
      <c r="AY75" s="50">
        <f t="shared" si="1"/>
        <v>7369</v>
      </c>
      <c r="AZ75" s="50">
        <f t="shared" si="2"/>
        <v>8605</v>
      </c>
      <c r="BA75" s="42">
        <f t="shared" si="3"/>
        <v>8139</v>
      </c>
      <c r="BB75" s="42">
        <f t="shared" si="4"/>
        <v>8588</v>
      </c>
      <c r="BC75" s="42">
        <f t="shared" si="5"/>
        <v>8845</v>
      </c>
      <c r="BD75" s="42">
        <f t="shared" si="6"/>
        <v>8974</v>
      </c>
      <c r="BE75" s="43">
        <f t="shared" si="7"/>
        <v>8974</v>
      </c>
      <c r="BF75" s="43">
        <f t="shared" si="8"/>
        <v>8974</v>
      </c>
      <c r="BG75" s="43">
        <f t="shared" si="9"/>
        <v>8974</v>
      </c>
      <c r="BH75" s="43">
        <f t="shared" si="10"/>
        <v>8974</v>
      </c>
      <c r="BI75" s="43">
        <f t="shared" si="11"/>
        <v>8974</v>
      </c>
      <c r="BJ75" s="44">
        <f t="shared" si="12"/>
        <v>9504</v>
      </c>
      <c r="BK75" s="44">
        <f t="shared" si="13"/>
        <v>10029</v>
      </c>
      <c r="BL75" s="44">
        <f t="shared" si="14"/>
        <v>10329</v>
      </c>
      <c r="BM75" s="44">
        <f t="shared" si="15"/>
        <v>10479</v>
      </c>
      <c r="BN75" s="45">
        <f t="shared" si="16"/>
        <v>10479</v>
      </c>
      <c r="BO75" s="45">
        <f t="shared" si="17"/>
        <v>10479</v>
      </c>
      <c r="BP75" s="45">
        <f t="shared" si="18"/>
        <v>10479</v>
      </c>
      <c r="BQ75" s="45">
        <f t="shared" si="19"/>
        <v>10479</v>
      </c>
      <c r="BR75" s="45">
        <f t="shared" si="20"/>
        <v>10479</v>
      </c>
      <c r="BU75" s="1"/>
    </row>
    <row r="76">
      <c r="A76" s="1"/>
      <c r="AD76" s="1"/>
      <c r="AE76" s="1"/>
      <c r="AF76" s="1"/>
      <c r="AG76" s="1"/>
      <c r="AH76" s="1"/>
      <c r="AI76" s="1"/>
      <c r="AJ76" s="1"/>
      <c r="AK76" s="1"/>
      <c r="AL76" s="1"/>
      <c r="AM76" s="1"/>
      <c r="AN76" s="1"/>
      <c r="AO76" s="1"/>
      <c r="AP76" s="1"/>
      <c r="AQ76" s="1"/>
      <c r="AR76" s="1"/>
      <c r="AS76" s="2"/>
      <c r="AU76" s="40">
        <v>62.0</v>
      </c>
      <c r="AV76" s="40">
        <v>5.0</v>
      </c>
      <c r="AW76" s="49">
        <f t="shared" si="21"/>
        <v>6510</v>
      </c>
      <c r="AX76" s="48">
        <f t="shared" si="22"/>
        <v>7603</v>
      </c>
      <c r="AY76" s="50">
        <f t="shared" si="1"/>
        <v>7459</v>
      </c>
      <c r="AZ76" s="50">
        <f t="shared" si="2"/>
        <v>8711</v>
      </c>
      <c r="BA76" s="42">
        <f t="shared" si="3"/>
        <v>8240</v>
      </c>
      <c r="BB76" s="42">
        <f t="shared" si="4"/>
        <v>8695</v>
      </c>
      <c r="BC76" s="42">
        <f t="shared" si="5"/>
        <v>8956</v>
      </c>
      <c r="BD76" s="42">
        <f t="shared" si="6"/>
        <v>9086</v>
      </c>
      <c r="BE76" s="43">
        <f t="shared" si="7"/>
        <v>9086</v>
      </c>
      <c r="BF76" s="43">
        <f t="shared" si="8"/>
        <v>9086</v>
      </c>
      <c r="BG76" s="43">
        <f t="shared" si="9"/>
        <v>9086</v>
      </c>
      <c r="BH76" s="43">
        <f t="shared" si="10"/>
        <v>9086</v>
      </c>
      <c r="BI76" s="43">
        <f t="shared" si="11"/>
        <v>9086</v>
      </c>
      <c r="BJ76" s="44">
        <f t="shared" si="12"/>
        <v>9623</v>
      </c>
      <c r="BK76" s="44">
        <f t="shared" si="13"/>
        <v>10155</v>
      </c>
      <c r="BL76" s="44">
        <f t="shared" si="14"/>
        <v>10459</v>
      </c>
      <c r="BM76" s="44">
        <f t="shared" si="15"/>
        <v>10611</v>
      </c>
      <c r="BN76" s="45">
        <f t="shared" si="16"/>
        <v>10611</v>
      </c>
      <c r="BO76" s="45">
        <f t="shared" si="17"/>
        <v>10611</v>
      </c>
      <c r="BP76" s="45">
        <f t="shared" si="18"/>
        <v>10611</v>
      </c>
      <c r="BQ76" s="45">
        <f t="shared" si="19"/>
        <v>10611</v>
      </c>
      <c r="BR76" s="45">
        <f t="shared" si="20"/>
        <v>10611</v>
      </c>
      <c r="BU76" s="1"/>
    </row>
    <row r="77">
      <c r="A77" s="1"/>
      <c r="AD77" s="1"/>
      <c r="AE77" s="1"/>
      <c r="AF77" s="1"/>
      <c r="AG77" s="1"/>
      <c r="AH77" s="1"/>
      <c r="AI77" s="1"/>
      <c r="AJ77" s="1"/>
      <c r="AK77" s="1"/>
      <c r="AL77" s="1"/>
      <c r="AM77" s="1"/>
      <c r="AN77" s="1"/>
      <c r="AO77" s="1"/>
      <c r="AP77" s="1"/>
      <c r="AQ77" s="1"/>
      <c r="AR77" s="1"/>
      <c r="AS77" s="2"/>
      <c r="AU77" s="40">
        <v>63.0</v>
      </c>
      <c r="AV77" s="40">
        <v>5.0</v>
      </c>
      <c r="AW77" s="49">
        <f t="shared" si="21"/>
        <v>6601</v>
      </c>
      <c r="AX77" s="48">
        <f t="shared" si="22"/>
        <v>7709</v>
      </c>
      <c r="AY77" s="50">
        <f t="shared" si="1"/>
        <v>7550</v>
      </c>
      <c r="AZ77" s="50">
        <f t="shared" si="2"/>
        <v>8817</v>
      </c>
      <c r="BA77" s="42">
        <f t="shared" si="3"/>
        <v>8342</v>
      </c>
      <c r="BB77" s="42">
        <f t="shared" si="4"/>
        <v>8804</v>
      </c>
      <c r="BC77" s="42">
        <f t="shared" si="5"/>
        <v>9068</v>
      </c>
      <c r="BD77" s="42">
        <f t="shared" si="6"/>
        <v>9200</v>
      </c>
      <c r="BE77" s="43">
        <f t="shared" si="7"/>
        <v>9200</v>
      </c>
      <c r="BF77" s="43">
        <f t="shared" si="8"/>
        <v>9200</v>
      </c>
      <c r="BG77" s="43">
        <f t="shared" si="9"/>
        <v>9200</v>
      </c>
      <c r="BH77" s="43">
        <f t="shared" si="10"/>
        <v>9200</v>
      </c>
      <c r="BI77" s="43">
        <f t="shared" si="11"/>
        <v>9200</v>
      </c>
      <c r="BJ77" s="44">
        <f t="shared" si="12"/>
        <v>9742</v>
      </c>
      <c r="BK77" s="44">
        <f t="shared" si="13"/>
        <v>10281</v>
      </c>
      <c r="BL77" s="44">
        <f t="shared" si="14"/>
        <v>10590</v>
      </c>
      <c r="BM77" s="44">
        <f t="shared" si="15"/>
        <v>10744</v>
      </c>
      <c r="BN77" s="45">
        <f t="shared" si="16"/>
        <v>10744</v>
      </c>
      <c r="BO77" s="45">
        <f t="shared" si="17"/>
        <v>10744</v>
      </c>
      <c r="BP77" s="45">
        <f t="shared" si="18"/>
        <v>10744</v>
      </c>
      <c r="BQ77" s="45">
        <f t="shared" si="19"/>
        <v>10744</v>
      </c>
      <c r="BR77" s="45">
        <f t="shared" si="20"/>
        <v>10744</v>
      </c>
      <c r="BU77" s="1"/>
    </row>
    <row r="78">
      <c r="A78" s="1"/>
      <c r="B78" s="1"/>
      <c r="C78" s="1"/>
      <c r="D78" s="1"/>
      <c r="E78" s="1"/>
      <c r="F78" s="1"/>
      <c r="G78" s="1"/>
      <c r="H78" s="1"/>
      <c r="I78" s="1"/>
      <c r="J78" s="1"/>
      <c r="K78" s="1"/>
      <c r="L78" s="1"/>
      <c r="M78" s="1"/>
      <c r="Z78" s="1"/>
      <c r="AA78" s="1"/>
      <c r="AB78" s="1"/>
      <c r="AC78" s="1"/>
      <c r="AD78" s="1"/>
      <c r="AE78" s="1"/>
      <c r="AF78" s="1"/>
      <c r="AG78" s="1"/>
      <c r="AH78" s="1"/>
      <c r="AI78" s="1"/>
      <c r="AJ78" s="1"/>
      <c r="AK78" s="1"/>
      <c r="AL78" s="1"/>
      <c r="AM78" s="1"/>
      <c r="AN78" s="1"/>
      <c r="AO78" s="1"/>
      <c r="AP78" s="1"/>
      <c r="AQ78" s="1"/>
      <c r="AR78" s="1"/>
      <c r="AS78" s="2"/>
      <c r="AU78" s="40">
        <v>64.0</v>
      </c>
      <c r="AV78" s="40">
        <v>5.0</v>
      </c>
      <c r="AW78" s="49">
        <f t="shared" si="21"/>
        <v>6692</v>
      </c>
      <c r="AX78" s="48">
        <f t="shared" si="22"/>
        <v>7815</v>
      </c>
      <c r="AY78" s="50">
        <f t="shared" si="1"/>
        <v>7641</v>
      </c>
      <c r="AZ78" s="50">
        <f t="shared" si="2"/>
        <v>8923</v>
      </c>
      <c r="BA78" s="42">
        <f t="shared" si="3"/>
        <v>8444</v>
      </c>
      <c r="BB78" s="42">
        <f t="shared" si="4"/>
        <v>8912</v>
      </c>
      <c r="BC78" s="42">
        <f t="shared" si="5"/>
        <v>9180</v>
      </c>
      <c r="BD78" s="42">
        <f t="shared" si="6"/>
        <v>9314</v>
      </c>
      <c r="BE78" s="43">
        <f t="shared" si="7"/>
        <v>9314</v>
      </c>
      <c r="BF78" s="43">
        <f t="shared" si="8"/>
        <v>9314</v>
      </c>
      <c r="BG78" s="43">
        <f t="shared" si="9"/>
        <v>9314</v>
      </c>
      <c r="BH78" s="43">
        <f t="shared" si="10"/>
        <v>9314</v>
      </c>
      <c r="BI78" s="43">
        <f t="shared" si="11"/>
        <v>9314</v>
      </c>
      <c r="BJ78" s="44">
        <f t="shared" si="12"/>
        <v>9860</v>
      </c>
      <c r="BK78" s="44">
        <f t="shared" si="13"/>
        <v>10407</v>
      </c>
      <c r="BL78" s="44">
        <f t="shared" si="14"/>
        <v>10720</v>
      </c>
      <c r="BM78" s="44">
        <f t="shared" si="15"/>
        <v>10876</v>
      </c>
      <c r="BN78" s="45">
        <f t="shared" si="16"/>
        <v>10876</v>
      </c>
      <c r="BO78" s="45">
        <f t="shared" si="17"/>
        <v>10876</v>
      </c>
      <c r="BP78" s="45">
        <f t="shared" si="18"/>
        <v>10876</v>
      </c>
      <c r="BQ78" s="45">
        <f t="shared" si="19"/>
        <v>10876</v>
      </c>
      <c r="BR78" s="45">
        <f t="shared" si="20"/>
        <v>10876</v>
      </c>
      <c r="BU78" s="1"/>
    </row>
    <row r="79">
      <c r="A79" s="1"/>
      <c r="B79" s="1"/>
      <c r="C79" s="1"/>
      <c r="D79" s="1"/>
      <c r="E79" s="1"/>
      <c r="F79" s="1"/>
      <c r="G79" s="1"/>
      <c r="H79" s="1"/>
      <c r="I79" s="1"/>
      <c r="J79" s="1"/>
      <c r="K79" s="1"/>
      <c r="L79" s="1"/>
      <c r="M79" s="1"/>
      <c r="Z79" s="1"/>
      <c r="AA79" s="1"/>
      <c r="AB79" s="1"/>
      <c r="AC79" s="1"/>
      <c r="AD79" s="1"/>
      <c r="AE79" s="1"/>
      <c r="AF79" s="1"/>
      <c r="AG79" s="1"/>
      <c r="AH79" s="1"/>
      <c r="AI79" s="1"/>
      <c r="AJ79" s="1"/>
      <c r="AK79" s="1"/>
      <c r="AL79" s="1"/>
      <c r="AM79" s="1"/>
      <c r="AN79" s="1"/>
      <c r="AO79" s="1"/>
      <c r="AP79" s="1"/>
      <c r="AQ79" s="1"/>
      <c r="AR79" s="1"/>
      <c r="AS79" s="2"/>
      <c r="AU79" s="40">
        <v>65.0</v>
      </c>
      <c r="AV79" s="40">
        <v>5.0</v>
      </c>
      <c r="AW79" s="49">
        <f t="shared" si="21"/>
        <v>6783</v>
      </c>
      <c r="AX79" s="48">
        <f t="shared" si="22"/>
        <v>7921</v>
      </c>
      <c r="AY79" s="50">
        <f t="shared" si="1"/>
        <v>7732</v>
      </c>
      <c r="AZ79" s="50">
        <f t="shared" si="2"/>
        <v>9029</v>
      </c>
      <c r="BA79" s="42">
        <f t="shared" si="3"/>
        <v>8545</v>
      </c>
      <c r="BB79" s="42">
        <f t="shared" si="4"/>
        <v>9020</v>
      </c>
      <c r="BC79" s="42">
        <f t="shared" si="5"/>
        <v>9292</v>
      </c>
      <c r="BD79" s="42">
        <f t="shared" si="6"/>
        <v>9427</v>
      </c>
      <c r="BE79" s="43">
        <f t="shared" si="7"/>
        <v>9427</v>
      </c>
      <c r="BF79" s="43">
        <f t="shared" si="8"/>
        <v>9427</v>
      </c>
      <c r="BG79" s="43">
        <f t="shared" si="9"/>
        <v>9427</v>
      </c>
      <c r="BH79" s="43">
        <f t="shared" si="10"/>
        <v>9427</v>
      </c>
      <c r="BI79" s="43">
        <f t="shared" si="11"/>
        <v>9427</v>
      </c>
      <c r="BJ79" s="44">
        <f t="shared" si="12"/>
        <v>9979</v>
      </c>
      <c r="BK79" s="44">
        <f t="shared" si="13"/>
        <v>10533</v>
      </c>
      <c r="BL79" s="44">
        <f t="shared" si="14"/>
        <v>10850</v>
      </c>
      <c r="BM79" s="44">
        <f t="shared" si="15"/>
        <v>11009</v>
      </c>
      <c r="BN79" s="45">
        <f t="shared" si="16"/>
        <v>11009</v>
      </c>
      <c r="BO79" s="45">
        <f t="shared" si="17"/>
        <v>11009</v>
      </c>
      <c r="BP79" s="45">
        <f t="shared" si="18"/>
        <v>11009</v>
      </c>
      <c r="BQ79" s="45">
        <f t="shared" si="19"/>
        <v>11009</v>
      </c>
      <c r="BR79" s="45">
        <f t="shared" si="20"/>
        <v>11009</v>
      </c>
      <c r="BU79" s="1"/>
    </row>
    <row r="80">
      <c r="A80" s="1"/>
      <c r="AS80" s="2"/>
      <c r="AU80" s="40">
        <v>66.0</v>
      </c>
      <c r="AV80" s="40">
        <v>5.0</v>
      </c>
      <c r="AW80" s="49">
        <f t="shared" si="21"/>
        <v>6874</v>
      </c>
      <c r="AX80" s="48">
        <f t="shared" si="22"/>
        <v>8027</v>
      </c>
      <c r="AY80" s="50">
        <f t="shared" si="1"/>
        <v>7823</v>
      </c>
      <c r="AZ80" s="50">
        <f t="shared" si="2"/>
        <v>9135</v>
      </c>
      <c r="BA80" s="42">
        <f t="shared" si="3"/>
        <v>8647</v>
      </c>
      <c r="BB80" s="42">
        <f t="shared" si="4"/>
        <v>9129</v>
      </c>
      <c r="BC80" s="42">
        <f t="shared" si="5"/>
        <v>9404</v>
      </c>
      <c r="BD80" s="42">
        <f t="shared" si="6"/>
        <v>9541</v>
      </c>
      <c r="BE80" s="43">
        <f t="shared" si="7"/>
        <v>9541</v>
      </c>
      <c r="BF80" s="43">
        <f t="shared" si="8"/>
        <v>9541</v>
      </c>
      <c r="BG80" s="43">
        <f t="shared" si="9"/>
        <v>9541</v>
      </c>
      <c r="BH80" s="43">
        <f t="shared" si="10"/>
        <v>9541</v>
      </c>
      <c r="BI80" s="43">
        <f t="shared" si="11"/>
        <v>9541</v>
      </c>
      <c r="BJ80" s="44">
        <f t="shared" si="12"/>
        <v>10098</v>
      </c>
      <c r="BK80" s="44">
        <f t="shared" si="13"/>
        <v>10660</v>
      </c>
      <c r="BL80" s="44">
        <f t="shared" si="14"/>
        <v>10981</v>
      </c>
      <c r="BM80" s="44">
        <f t="shared" si="15"/>
        <v>11141</v>
      </c>
      <c r="BN80" s="45">
        <f t="shared" si="16"/>
        <v>11141</v>
      </c>
      <c r="BO80" s="45">
        <f t="shared" si="17"/>
        <v>11141</v>
      </c>
      <c r="BP80" s="45">
        <f t="shared" si="18"/>
        <v>11141</v>
      </c>
      <c r="BQ80" s="45">
        <f t="shared" si="19"/>
        <v>11141</v>
      </c>
      <c r="BR80" s="45">
        <f t="shared" si="20"/>
        <v>11141</v>
      </c>
      <c r="BU80" s="1"/>
    </row>
    <row r="81">
      <c r="A81" s="1"/>
      <c r="AS81" s="2"/>
      <c r="AU81" s="40">
        <v>67.0</v>
      </c>
      <c r="AV81" s="40">
        <v>5.0</v>
      </c>
      <c r="AW81" s="49">
        <f t="shared" si="21"/>
        <v>6965</v>
      </c>
      <c r="AX81" s="48">
        <f t="shared" si="22"/>
        <v>8134</v>
      </c>
      <c r="AY81" s="50">
        <f t="shared" si="1"/>
        <v>7914</v>
      </c>
      <c r="AZ81" s="50">
        <f t="shared" si="2"/>
        <v>9242</v>
      </c>
      <c r="BA81" s="42">
        <f t="shared" si="3"/>
        <v>8749</v>
      </c>
      <c r="BB81" s="42">
        <f t="shared" si="4"/>
        <v>9237</v>
      </c>
      <c r="BC81" s="42">
        <f t="shared" si="5"/>
        <v>9515</v>
      </c>
      <c r="BD81" s="42">
        <f t="shared" si="6"/>
        <v>9655</v>
      </c>
      <c r="BE81" s="43">
        <f t="shared" si="7"/>
        <v>9655</v>
      </c>
      <c r="BF81" s="43">
        <f t="shared" si="8"/>
        <v>9655</v>
      </c>
      <c r="BG81" s="43">
        <f t="shared" si="9"/>
        <v>9655</v>
      </c>
      <c r="BH81" s="43">
        <f t="shared" si="10"/>
        <v>9655</v>
      </c>
      <c r="BI81" s="43">
        <f t="shared" si="11"/>
        <v>9655</v>
      </c>
      <c r="BJ81" s="44">
        <f t="shared" si="12"/>
        <v>10218</v>
      </c>
      <c r="BK81" s="44">
        <f t="shared" si="13"/>
        <v>10787</v>
      </c>
      <c r="BL81" s="44">
        <f t="shared" si="14"/>
        <v>11112</v>
      </c>
      <c r="BM81" s="44">
        <f t="shared" si="15"/>
        <v>11275</v>
      </c>
      <c r="BN81" s="45">
        <f t="shared" si="16"/>
        <v>11275</v>
      </c>
      <c r="BO81" s="45">
        <f t="shared" si="17"/>
        <v>11275</v>
      </c>
      <c r="BP81" s="45">
        <f t="shared" si="18"/>
        <v>11275</v>
      </c>
      <c r="BQ81" s="45">
        <f t="shared" si="19"/>
        <v>11275</v>
      </c>
      <c r="BR81" s="45">
        <f t="shared" si="20"/>
        <v>11275</v>
      </c>
      <c r="BU81" s="1"/>
    </row>
    <row r="82">
      <c r="A82" s="1"/>
      <c r="AS82" s="2"/>
      <c r="AU82" s="40">
        <v>68.0</v>
      </c>
      <c r="AV82" s="40">
        <v>5.0</v>
      </c>
      <c r="AW82" s="49">
        <f t="shared" si="21"/>
        <v>7056</v>
      </c>
      <c r="AX82" s="48">
        <f t="shared" si="22"/>
        <v>8240</v>
      </c>
      <c r="AY82" s="50">
        <f t="shared" si="1"/>
        <v>8005</v>
      </c>
      <c r="AZ82" s="50">
        <f t="shared" si="2"/>
        <v>9348</v>
      </c>
      <c r="BA82" s="42">
        <f t="shared" si="3"/>
        <v>8851</v>
      </c>
      <c r="BB82" s="42">
        <f t="shared" si="4"/>
        <v>9345</v>
      </c>
      <c r="BC82" s="42">
        <f t="shared" si="5"/>
        <v>9627</v>
      </c>
      <c r="BD82" s="42">
        <f t="shared" si="6"/>
        <v>9769</v>
      </c>
      <c r="BE82" s="43">
        <f t="shared" si="7"/>
        <v>9769</v>
      </c>
      <c r="BF82" s="43">
        <f t="shared" si="8"/>
        <v>9769</v>
      </c>
      <c r="BG82" s="43">
        <f t="shared" si="9"/>
        <v>9769</v>
      </c>
      <c r="BH82" s="43">
        <f t="shared" si="10"/>
        <v>9769</v>
      </c>
      <c r="BI82" s="43">
        <f t="shared" si="11"/>
        <v>9769</v>
      </c>
      <c r="BJ82" s="44">
        <f t="shared" si="12"/>
        <v>10336</v>
      </c>
      <c r="BK82" s="44">
        <f t="shared" si="13"/>
        <v>10913</v>
      </c>
      <c r="BL82" s="44">
        <f t="shared" si="14"/>
        <v>11243</v>
      </c>
      <c r="BM82" s="44">
        <f t="shared" si="15"/>
        <v>11408</v>
      </c>
      <c r="BN82" s="45">
        <f t="shared" si="16"/>
        <v>11408</v>
      </c>
      <c r="BO82" s="45">
        <f t="shared" si="17"/>
        <v>11408</v>
      </c>
      <c r="BP82" s="45">
        <f t="shared" si="18"/>
        <v>11408</v>
      </c>
      <c r="BQ82" s="45">
        <f t="shared" si="19"/>
        <v>11408</v>
      </c>
      <c r="BR82" s="45">
        <f t="shared" si="20"/>
        <v>11408</v>
      </c>
      <c r="BU82" s="1"/>
    </row>
    <row r="83">
      <c r="A83" s="1"/>
      <c r="AS83" s="2"/>
      <c r="AU83" s="40">
        <v>69.0</v>
      </c>
      <c r="AV83" s="40">
        <v>5.0</v>
      </c>
      <c r="AW83" s="49">
        <f t="shared" si="21"/>
        <v>7148</v>
      </c>
      <c r="AX83" s="48">
        <f t="shared" si="22"/>
        <v>8347</v>
      </c>
      <c r="AY83" s="50">
        <f t="shared" si="1"/>
        <v>8097</v>
      </c>
      <c r="AZ83" s="50">
        <f t="shared" si="2"/>
        <v>9455</v>
      </c>
      <c r="BA83" s="42">
        <f t="shared" si="3"/>
        <v>8954</v>
      </c>
      <c r="BB83" s="42">
        <f t="shared" si="4"/>
        <v>9455</v>
      </c>
      <c r="BC83" s="42">
        <f t="shared" si="5"/>
        <v>9741</v>
      </c>
      <c r="BD83" s="42">
        <f t="shared" si="6"/>
        <v>9884</v>
      </c>
      <c r="BE83" s="43">
        <f t="shared" si="7"/>
        <v>9884</v>
      </c>
      <c r="BF83" s="43">
        <f t="shared" si="8"/>
        <v>9884</v>
      </c>
      <c r="BG83" s="43">
        <f t="shared" si="9"/>
        <v>9884</v>
      </c>
      <c r="BH83" s="43">
        <f t="shared" si="10"/>
        <v>9884</v>
      </c>
      <c r="BI83" s="43">
        <f t="shared" si="11"/>
        <v>9884</v>
      </c>
      <c r="BJ83" s="44">
        <f t="shared" si="12"/>
        <v>10456</v>
      </c>
      <c r="BK83" s="44">
        <f t="shared" si="13"/>
        <v>11040</v>
      </c>
      <c r="BL83" s="44">
        <f t="shared" si="14"/>
        <v>11374</v>
      </c>
      <c r="BM83" s="44">
        <f t="shared" si="15"/>
        <v>11541</v>
      </c>
      <c r="BN83" s="45">
        <f t="shared" si="16"/>
        <v>11541</v>
      </c>
      <c r="BO83" s="45">
        <f t="shared" si="17"/>
        <v>11541</v>
      </c>
      <c r="BP83" s="45">
        <f t="shared" si="18"/>
        <v>11541</v>
      </c>
      <c r="BQ83" s="45">
        <f t="shared" si="19"/>
        <v>11541</v>
      </c>
      <c r="BR83" s="45">
        <f t="shared" si="20"/>
        <v>11541</v>
      </c>
      <c r="BU83" s="1"/>
    </row>
    <row r="84">
      <c r="A84" s="1"/>
      <c r="AS84" s="2"/>
      <c r="AU84" s="109">
        <v>70.0</v>
      </c>
      <c r="AV84" s="40">
        <v>5.0</v>
      </c>
      <c r="AW84" s="49">
        <f t="shared" si="21"/>
        <v>7239</v>
      </c>
      <c r="AX84" s="48">
        <f t="shared" si="22"/>
        <v>8454</v>
      </c>
      <c r="AY84" s="50">
        <f t="shared" si="1"/>
        <v>8188</v>
      </c>
      <c r="AZ84" s="50">
        <f t="shared" si="2"/>
        <v>9562</v>
      </c>
      <c r="BA84" s="42">
        <f t="shared" si="3"/>
        <v>9056</v>
      </c>
      <c r="BB84" s="42">
        <f t="shared" si="4"/>
        <v>9563</v>
      </c>
      <c r="BC84" s="42">
        <f t="shared" si="5"/>
        <v>9852</v>
      </c>
      <c r="BD84" s="42">
        <f t="shared" si="6"/>
        <v>9997</v>
      </c>
      <c r="BE84" s="43">
        <f t="shared" si="7"/>
        <v>9997</v>
      </c>
      <c r="BF84" s="43">
        <f t="shared" si="8"/>
        <v>9997</v>
      </c>
      <c r="BG84" s="43">
        <f t="shared" si="9"/>
        <v>9997</v>
      </c>
      <c r="BH84" s="43">
        <f t="shared" si="10"/>
        <v>9997</v>
      </c>
      <c r="BI84" s="43">
        <f t="shared" si="11"/>
        <v>9997</v>
      </c>
      <c r="BJ84" s="44">
        <f t="shared" si="12"/>
        <v>10576</v>
      </c>
      <c r="BK84" s="44">
        <f t="shared" si="13"/>
        <v>11168</v>
      </c>
      <c r="BL84" s="44">
        <f t="shared" si="14"/>
        <v>11506</v>
      </c>
      <c r="BM84" s="44">
        <f t="shared" si="15"/>
        <v>11675</v>
      </c>
      <c r="BN84" s="45">
        <f t="shared" si="16"/>
        <v>11675</v>
      </c>
      <c r="BO84" s="45">
        <f t="shared" si="17"/>
        <v>11675</v>
      </c>
      <c r="BP84" s="45">
        <f t="shared" si="18"/>
        <v>11675</v>
      </c>
      <c r="BQ84" s="45">
        <f t="shared" si="19"/>
        <v>11675</v>
      </c>
      <c r="BR84" s="45">
        <f t="shared" si="20"/>
        <v>11675</v>
      </c>
      <c r="BU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2"/>
      <c r="AU85" s="109">
        <v>70.0</v>
      </c>
      <c r="AV85" s="40">
        <v>6.0</v>
      </c>
      <c r="AW85" s="49">
        <f t="shared" si="21"/>
        <v>7239</v>
      </c>
      <c r="AX85" s="48">
        <f t="shared" si="22"/>
        <v>8454</v>
      </c>
      <c r="AY85" s="50">
        <f t="shared" si="1"/>
        <v>8397</v>
      </c>
      <c r="AZ85" s="50">
        <f t="shared" si="2"/>
        <v>9806</v>
      </c>
      <c r="BA85" s="42">
        <f t="shared" si="3"/>
        <v>9265</v>
      </c>
      <c r="BB85" s="42">
        <f t="shared" si="4"/>
        <v>9772</v>
      </c>
      <c r="BC85" s="42">
        <f t="shared" si="5"/>
        <v>10061</v>
      </c>
      <c r="BD85" s="42">
        <f t="shared" si="6"/>
        <v>10206</v>
      </c>
      <c r="BE85" s="43">
        <f t="shared" si="7"/>
        <v>10206</v>
      </c>
      <c r="BF85" s="43">
        <f t="shared" si="8"/>
        <v>10206</v>
      </c>
      <c r="BG85" s="43">
        <f t="shared" si="9"/>
        <v>10206</v>
      </c>
      <c r="BH85" s="43">
        <f t="shared" si="10"/>
        <v>10206</v>
      </c>
      <c r="BI85" s="43">
        <f t="shared" si="11"/>
        <v>10206</v>
      </c>
      <c r="BJ85" s="44">
        <f t="shared" si="12"/>
        <v>10820</v>
      </c>
      <c r="BK85" s="44">
        <f t="shared" si="13"/>
        <v>11412</v>
      </c>
      <c r="BL85" s="44">
        <f t="shared" si="14"/>
        <v>11750</v>
      </c>
      <c r="BM85" s="44">
        <f t="shared" si="15"/>
        <v>11919</v>
      </c>
      <c r="BN85" s="45">
        <f t="shared" si="16"/>
        <v>11919</v>
      </c>
      <c r="BO85" s="45">
        <f t="shared" si="17"/>
        <v>11919</v>
      </c>
      <c r="BP85" s="45">
        <f t="shared" si="18"/>
        <v>11919</v>
      </c>
      <c r="BQ85" s="45">
        <f t="shared" si="19"/>
        <v>11919</v>
      </c>
      <c r="BR85" s="45">
        <f t="shared" si="20"/>
        <v>11919</v>
      </c>
      <c r="BU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2"/>
      <c r="AU86" s="40">
        <v>71.0</v>
      </c>
      <c r="AV86" s="40">
        <v>6.0</v>
      </c>
      <c r="AW86" s="49">
        <f t="shared" si="21"/>
        <v>7331</v>
      </c>
      <c r="AX86" s="48">
        <f t="shared" si="22"/>
        <v>8561</v>
      </c>
      <c r="AY86" s="50">
        <f t="shared" si="1"/>
        <v>8489</v>
      </c>
      <c r="AZ86" s="50">
        <f t="shared" si="2"/>
        <v>9913</v>
      </c>
      <c r="BA86" s="42">
        <f t="shared" si="3"/>
        <v>9368</v>
      </c>
      <c r="BB86" s="42">
        <f t="shared" si="4"/>
        <v>9881</v>
      </c>
      <c r="BC86" s="42">
        <f t="shared" si="5"/>
        <v>10175</v>
      </c>
      <c r="BD86" s="42">
        <f t="shared" si="6"/>
        <v>10321</v>
      </c>
      <c r="BE86" s="43">
        <f t="shared" si="7"/>
        <v>10321</v>
      </c>
      <c r="BF86" s="43">
        <f t="shared" si="8"/>
        <v>10321</v>
      </c>
      <c r="BG86" s="43">
        <f t="shared" si="9"/>
        <v>10321</v>
      </c>
      <c r="BH86" s="43">
        <f t="shared" si="10"/>
        <v>10321</v>
      </c>
      <c r="BI86" s="43">
        <f t="shared" si="11"/>
        <v>10321</v>
      </c>
      <c r="BJ86" s="44">
        <f t="shared" si="12"/>
        <v>10940</v>
      </c>
      <c r="BK86" s="44">
        <f t="shared" si="13"/>
        <v>11539</v>
      </c>
      <c r="BL86" s="44">
        <f t="shared" si="14"/>
        <v>11882</v>
      </c>
      <c r="BM86" s="44">
        <f t="shared" si="15"/>
        <v>12053</v>
      </c>
      <c r="BN86" s="45">
        <f t="shared" si="16"/>
        <v>12053</v>
      </c>
      <c r="BO86" s="45">
        <f t="shared" si="17"/>
        <v>12053</v>
      </c>
      <c r="BP86" s="45">
        <f t="shared" si="18"/>
        <v>12053</v>
      </c>
      <c r="BQ86" s="45">
        <f t="shared" si="19"/>
        <v>12053</v>
      </c>
      <c r="BR86" s="45">
        <f t="shared" si="20"/>
        <v>12053</v>
      </c>
      <c r="BU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2"/>
      <c r="AU87" s="40">
        <v>72.0</v>
      </c>
      <c r="AV87" s="40">
        <v>6.0</v>
      </c>
      <c r="AW87" s="49">
        <f t="shared" si="21"/>
        <v>7423</v>
      </c>
      <c r="AX87" s="48">
        <f t="shared" si="22"/>
        <v>8669</v>
      </c>
      <c r="AY87" s="50">
        <f t="shared" si="1"/>
        <v>8581</v>
      </c>
      <c r="AZ87" s="50">
        <f t="shared" si="2"/>
        <v>10021</v>
      </c>
      <c r="BA87" s="42">
        <f t="shared" si="3"/>
        <v>9471</v>
      </c>
      <c r="BB87" s="42">
        <f t="shared" si="4"/>
        <v>9991</v>
      </c>
      <c r="BC87" s="42">
        <f t="shared" si="5"/>
        <v>10288</v>
      </c>
      <c r="BD87" s="42">
        <f t="shared" si="6"/>
        <v>10436</v>
      </c>
      <c r="BE87" s="43">
        <f t="shared" si="7"/>
        <v>10436</v>
      </c>
      <c r="BF87" s="43">
        <f t="shared" si="8"/>
        <v>10436</v>
      </c>
      <c r="BG87" s="43">
        <f t="shared" si="9"/>
        <v>10436</v>
      </c>
      <c r="BH87" s="43">
        <f t="shared" si="10"/>
        <v>10436</v>
      </c>
      <c r="BI87" s="43">
        <f t="shared" si="11"/>
        <v>10436</v>
      </c>
      <c r="BJ87" s="44">
        <f t="shared" si="12"/>
        <v>11061</v>
      </c>
      <c r="BK87" s="44">
        <f t="shared" si="13"/>
        <v>11668</v>
      </c>
      <c r="BL87" s="44">
        <f t="shared" si="14"/>
        <v>12014</v>
      </c>
      <c r="BM87" s="44">
        <f t="shared" si="15"/>
        <v>12188</v>
      </c>
      <c r="BN87" s="45">
        <f t="shared" si="16"/>
        <v>12188</v>
      </c>
      <c r="BO87" s="45">
        <f t="shared" si="17"/>
        <v>12188</v>
      </c>
      <c r="BP87" s="45">
        <f t="shared" si="18"/>
        <v>12188</v>
      </c>
      <c r="BQ87" s="45">
        <f t="shared" si="19"/>
        <v>12188</v>
      </c>
      <c r="BR87" s="45">
        <f t="shared" si="20"/>
        <v>12188</v>
      </c>
      <c r="BU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2"/>
      <c r="AU88" s="40">
        <v>73.0</v>
      </c>
      <c r="AV88" s="40">
        <v>6.0</v>
      </c>
      <c r="AW88" s="49">
        <f t="shared" si="21"/>
        <v>7515</v>
      </c>
      <c r="AX88" s="48">
        <f t="shared" si="22"/>
        <v>8776</v>
      </c>
      <c r="AY88" s="50">
        <f t="shared" si="1"/>
        <v>8673</v>
      </c>
      <c r="AZ88" s="50">
        <f t="shared" si="2"/>
        <v>10128</v>
      </c>
      <c r="BA88" s="42">
        <f t="shared" si="3"/>
        <v>9574</v>
      </c>
      <c r="BB88" s="42">
        <f t="shared" si="4"/>
        <v>10100</v>
      </c>
      <c r="BC88" s="42">
        <f t="shared" si="5"/>
        <v>10401</v>
      </c>
      <c r="BD88" s="42">
        <f t="shared" si="6"/>
        <v>10551</v>
      </c>
      <c r="BE88" s="43">
        <f t="shared" si="7"/>
        <v>10551</v>
      </c>
      <c r="BF88" s="43">
        <f t="shared" si="8"/>
        <v>10551</v>
      </c>
      <c r="BG88" s="43">
        <f t="shared" si="9"/>
        <v>10551</v>
      </c>
      <c r="BH88" s="43">
        <f t="shared" si="10"/>
        <v>10551</v>
      </c>
      <c r="BI88" s="43">
        <f t="shared" si="11"/>
        <v>10551</v>
      </c>
      <c r="BJ88" s="44">
        <f t="shared" si="12"/>
        <v>11181</v>
      </c>
      <c r="BK88" s="44">
        <f t="shared" si="13"/>
        <v>11795</v>
      </c>
      <c r="BL88" s="44">
        <f t="shared" si="14"/>
        <v>12146</v>
      </c>
      <c r="BM88" s="44">
        <f t="shared" si="15"/>
        <v>12322</v>
      </c>
      <c r="BN88" s="45">
        <f t="shared" si="16"/>
        <v>12322</v>
      </c>
      <c r="BO88" s="45">
        <f t="shared" si="17"/>
        <v>12322</v>
      </c>
      <c r="BP88" s="45">
        <f t="shared" si="18"/>
        <v>12322</v>
      </c>
      <c r="BQ88" s="45">
        <f t="shared" si="19"/>
        <v>12322</v>
      </c>
      <c r="BR88" s="45">
        <f t="shared" si="20"/>
        <v>12322</v>
      </c>
      <c r="BU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2"/>
      <c r="AU89" s="40">
        <v>74.0</v>
      </c>
      <c r="AV89" s="40">
        <v>6.0</v>
      </c>
      <c r="AW89" s="49">
        <f t="shared" si="21"/>
        <v>7607</v>
      </c>
      <c r="AX89" s="48">
        <f t="shared" si="22"/>
        <v>8884</v>
      </c>
      <c r="AY89" s="50">
        <f t="shared" si="1"/>
        <v>8765</v>
      </c>
      <c r="AZ89" s="50">
        <f t="shared" si="2"/>
        <v>10236</v>
      </c>
      <c r="BA89" s="42">
        <f t="shared" si="3"/>
        <v>9677</v>
      </c>
      <c r="BB89" s="42">
        <f t="shared" si="4"/>
        <v>10210</v>
      </c>
      <c r="BC89" s="42">
        <f t="shared" si="5"/>
        <v>10514</v>
      </c>
      <c r="BD89" s="42">
        <f t="shared" si="6"/>
        <v>10666</v>
      </c>
      <c r="BE89" s="43">
        <f t="shared" si="7"/>
        <v>10666</v>
      </c>
      <c r="BF89" s="43">
        <f t="shared" si="8"/>
        <v>10666</v>
      </c>
      <c r="BG89" s="43">
        <f t="shared" si="9"/>
        <v>10666</v>
      </c>
      <c r="BH89" s="43">
        <f t="shared" si="10"/>
        <v>10666</v>
      </c>
      <c r="BI89" s="43">
        <f t="shared" si="11"/>
        <v>10666</v>
      </c>
      <c r="BJ89" s="44">
        <f t="shared" si="12"/>
        <v>11302</v>
      </c>
      <c r="BK89" s="44">
        <f t="shared" si="13"/>
        <v>11923</v>
      </c>
      <c r="BL89" s="44">
        <f t="shared" si="14"/>
        <v>12279</v>
      </c>
      <c r="BM89" s="44">
        <f t="shared" si="15"/>
        <v>12457</v>
      </c>
      <c r="BN89" s="45">
        <f t="shared" si="16"/>
        <v>12457</v>
      </c>
      <c r="BO89" s="45">
        <f t="shared" si="17"/>
        <v>12457</v>
      </c>
      <c r="BP89" s="45">
        <f t="shared" si="18"/>
        <v>12457</v>
      </c>
      <c r="BQ89" s="45">
        <f t="shared" si="19"/>
        <v>12457</v>
      </c>
      <c r="BR89" s="45">
        <f t="shared" si="20"/>
        <v>12457</v>
      </c>
      <c r="BU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2"/>
      <c r="AU90" s="40">
        <v>75.0</v>
      </c>
      <c r="AV90" s="40">
        <v>6.0</v>
      </c>
      <c r="AW90" s="49">
        <f t="shared" si="21"/>
        <v>7699</v>
      </c>
      <c r="AX90" s="48">
        <f t="shared" si="22"/>
        <v>8991</v>
      </c>
      <c r="AY90" s="50">
        <f t="shared" si="1"/>
        <v>8857</v>
      </c>
      <c r="AZ90" s="50">
        <f t="shared" si="2"/>
        <v>10343</v>
      </c>
      <c r="BA90" s="42">
        <f t="shared" si="3"/>
        <v>9780</v>
      </c>
      <c r="BB90" s="42">
        <f t="shared" si="4"/>
        <v>10319</v>
      </c>
      <c r="BC90" s="42">
        <f t="shared" si="5"/>
        <v>10627</v>
      </c>
      <c r="BD90" s="42">
        <f t="shared" si="6"/>
        <v>10781</v>
      </c>
      <c r="BE90" s="43">
        <f t="shared" si="7"/>
        <v>10781</v>
      </c>
      <c r="BF90" s="43">
        <f t="shared" si="8"/>
        <v>10781</v>
      </c>
      <c r="BG90" s="43">
        <f t="shared" si="9"/>
        <v>10781</v>
      </c>
      <c r="BH90" s="43">
        <f t="shared" si="10"/>
        <v>10781</v>
      </c>
      <c r="BI90" s="43">
        <f t="shared" si="11"/>
        <v>10781</v>
      </c>
      <c r="BJ90" s="44">
        <f t="shared" si="12"/>
        <v>11421</v>
      </c>
      <c r="BK90" s="44">
        <f t="shared" si="13"/>
        <v>12051</v>
      </c>
      <c r="BL90" s="44">
        <f t="shared" si="14"/>
        <v>12410</v>
      </c>
      <c r="BM90" s="44">
        <f t="shared" si="15"/>
        <v>12590</v>
      </c>
      <c r="BN90" s="45">
        <f t="shared" si="16"/>
        <v>12590</v>
      </c>
      <c r="BO90" s="45">
        <f t="shared" si="17"/>
        <v>12590</v>
      </c>
      <c r="BP90" s="45">
        <f t="shared" si="18"/>
        <v>12590</v>
      </c>
      <c r="BQ90" s="45">
        <f t="shared" si="19"/>
        <v>12590</v>
      </c>
      <c r="BR90" s="45">
        <f t="shared" si="20"/>
        <v>12590</v>
      </c>
      <c r="BU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2"/>
      <c r="AU91" s="40">
        <v>76.0</v>
      </c>
      <c r="AV91" s="40">
        <v>6.0</v>
      </c>
      <c r="AW91" s="49">
        <f t="shared" si="21"/>
        <v>7792</v>
      </c>
      <c r="AX91" s="48">
        <f t="shared" si="22"/>
        <v>9099</v>
      </c>
      <c r="AY91" s="50">
        <f t="shared" si="1"/>
        <v>8950</v>
      </c>
      <c r="AZ91" s="50">
        <f t="shared" si="2"/>
        <v>10451</v>
      </c>
      <c r="BA91" s="42">
        <f t="shared" si="3"/>
        <v>9885</v>
      </c>
      <c r="BB91" s="42">
        <f t="shared" si="4"/>
        <v>10430</v>
      </c>
      <c r="BC91" s="42">
        <f t="shared" si="5"/>
        <v>10742</v>
      </c>
      <c r="BD91" s="42">
        <f t="shared" si="6"/>
        <v>10898</v>
      </c>
      <c r="BE91" s="43">
        <f t="shared" si="7"/>
        <v>10898</v>
      </c>
      <c r="BF91" s="43">
        <f t="shared" si="8"/>
        <v>10898</v>
      </c>
      <c r="BG91" s="43">
        <f t="shared" si="9"/>
        <v>10898</v>
      </c>
      <c r="BH91" s="43">
        <f t="shared" si="10"/>
        <v>10898</v>
      </c>
      <c r="BI91" s="43">
        <f t="shared" si="11"/>
        <v>10898</v>
      </c>
      <c r="BJ91" s="44">
        <f t="shared" si="12"/>
        <v>11542</v>
      </c>
      <c r="BK91" s="44">
        <f t="shared" si="13"/>
        <v>12179</v>
      </c>
      <c r="BL91" s="44">
        <f t="shared" si="14"/>
        <v>12543</v>
      </c>
      <c r="BM91" s="44">
        <f t="shared" si="15"/>
        <v>12725</v>
      </c>
      <c r="BN91" s="45">
        <f t="shared" si="16"/>
        <v>12725</v>
      </c>
      <c r="BO91" s="45">
        <f t="shared" si="17"/>
        <v>12725</v>
      </c>
      <c r="BP91" s="45">
        <f t="shared" si="18"/>
        <v>12725</v>
      </c>
      <c r="BQ91" s="45">
        <f t="shared" si="19"/>
        <v>12725</v>
      </c>
      <c r="BR91" s="45">
        <f t="shared" si="20"/>
        <v>12725</v>
      </c>
      <c r="BU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2"/>
      <c r="AU92" s="40">
        <v>77.0</v>
      </c>
      <c r="AV92" s="40">
        <v>6.0</v>
      </c>
      <c r="AW92" s="49">
        <f t="shared" si="21"/>
        <v>7884</v>
      </c>
      <c r="AX92" s="48">
        <f t="shared" si="22"/>
        <v>9207</v>
      </c>
      <c r="AY92" s="50">
        <f t="shared" si="1"/>
        <v>9042</v>
      </c>
      <c r="AZ92" s="50">
        <f t="shared" si="2"/>
        <v>10559</v>
      </c>
      <c r="BA92" s="42">
        <f t="shared" si="3"/>
        <v>9988</v>
      </c>
      <c r="BB92" s="42">
        <f t="shared" si="4"/>
        <v>10539</v>
      </c>
      <c r="BC92" s="42">
        <f t="shared" si="5"/>
        <v>10855</v>
      </c>
      <c r="BD92" s="42">
        <f t="shared" si="6"/>
        <v>11013</v>
      </c>
      <c r="BE92" s="43">
        <f t="shared" si="7"/>
        <v>11013</v>
      </c>
      <c r="BF92" s="43">
        <f t="shared" si="8"/>
        <v>11013</v>
      </c>
      <c r="BG92" s="43">
        <f t="shared" si="9"/>
        <v>11013</v>
      </c>
      <c r="BH92" s="43">
        <f t="shared" si="10"/>
        <v>11013</v>
      </c>
      <c r="BI92" s="43">
        <f t="shared" si="11"/>
        <v>11013</v>
      </c>
      <c r="BJ92" s="44">
        <f t="shared" si="12"/>
        <v>11663</v>
      </c>
      <c r="BK92" s="44">
        <f t="shared" si="13"/>
        <v>12308</v>
      </c>
      <c r="BL92" s="44">
        <f t="shared" si="14"/>
        <v>12676</v>
      </c>
      <c r="BM92" s="44">
        <f t="shared" si="15"/>
        <v>12860</v>
      </c>
      <c r="BN92" s="45">
        <f t="shared" si="16"/>
        <v>12860</v>
      </c>
      <c r="BO92" s="45">
        <f t="shared" si="17"/>
        <v>12860</v>
      </c>
      <c r="BP92" s="45">
        <f t="shared" si="18"/>
        <v>12860</v>
      </c>
      <c r="BQ92" s="45">
        <f t="shared" si="19"/>
        <v>12860</v>
      </c>
      <c r="BR92" s="45">
        <f t="shared" si="20"/>
        <v>12860</v>
      </c>
      <c r="BU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2"/>
      <c r="AU93" s="40">
        <v>78.0</v>
      </c>
      <c r="AV93" s="40">
        <v>6.0</v>
      </c>
      <c r="AW93" s="49">
        <f t="shared" si="21"/>
        <v>7977</v>
      </c>
      <c r="AX93" s="48">
        <f t="shared" si="22"/>
        <v>9315</v>
      </c>
      <c r="AY93" s="50">
        <f t="shared" si="1"/>
        <v>9135</v>
      </c>
      <c r="AZ93" s="50">
        <f t="shared" si="2"/>
        <v>10667</v>
      </c>
      <c r="BA93" s="42">
        <f t="shared" si="3"/>
        <v>10092</v>
      </c>
      <c r="BB93" s="42">
        <f t="shared" si="4"/>
        <v>10650</v>
      </c>
      <c r="BC93" s="42">
        <f t="shared" si="5"/>
        <v>10969</v>
      </c>
      <c r="BD93" s="42">
        <f t="shared" si="6"/>
        <v>11129</v>
      </c>
      <c r="BE93" s="43">
        <f t="shared" si="7"/>
        <v>11129</v>
      </c>
      <c r="BF93" s="43">
        <f t="shared" si="8"/>
        <v>11129</v>
      </c>
      <c r="BG93" s="43">
        <f t="shared" si="9"/>
        <v>11129</v>
      </c>
      <c r="BH93" s="43">
        <f t="shared" si="10"/>
        <v>11129</v>
      </c>
      <c r="BI93" s="43">
        <f t="shared" si="11"/>
        <v>11129</v>
      </c>
      <c r="BJ93" s="44">
        <f t="shared" si="12"/>
        <v>11784</v>
      </c>
      <c r="BK93" s="44">
        <f t="shared" si="13"/>
        <v>12436</v>
      </c>
      <c r="BL93" s="44">
        <f t="shared" si="14"/>
        <v>12809</v>
      </c>
      <c r="BM93" s="44">
        <f t="shared" si="15"/>
        <v>12995</v>
      </c>
      <c r="BN93" s="45">
        <f t="shared" si="16"/>
        <v>12995</v>
      </c>
      <c r="BO93" s="45">
        <f t="shared" si="17"/>
        <v>12995</v>
      </c>
      <c r="BP93" s="45">
        <f t="shared" si="18"/>
        <v>12995</v>
      </c>
      <c r="BQ93" s="45">
        <f t="shared" si="19"/>
        <v>12995</v>
      </c>
      <c r="BR93" s="45">
        <f t="shared" si="20"/>
        <v>12995</v>
      </c>
      <c r="BU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2"/>
      <c r="AU94" s="40">
        <v>79.0</v>
      </c>
      <c r="AV94" s="40">
        <v>6.0</v>
      </c>
      <c r="AW94" s="49">
        <f t="shared" si="21"/>
        <v>8070</v>
      </c>
      <c r="AX94" s="48">
        <f t="shared" si="22"/>
        <v>9424</v>
      </c>
      <c r="AY94" s="50">
        <f t="shared" si="1"/>
        <v>9228</v>
      </c>
      <c r="AZ94" s="50">
        <f t="shared" si="2"/>
        <v>10776</v>
      </c>
      <c r="BA94" s="42">
        <f t="shared" si="3"/>
        <v>10196</v>
      </c>
      <c r="BB94" s="42">
        <f t="shared" si="4"/>
        <v>10761</v>
      </c>
      <c r="BC94" s="42">
        <f t="shared" si="5"/>
        <v>11084</v>
      </c>
      <c r="BD94" s="42">
        <f t="shared" si="6"/>
        <v>11245</v>
      </c>
      <c r="BE94" s="43">
        <f t="shared" si="7"/>
        <v>11245</v>
      </c>
      <c r="BF94" s="43">
        <f t="shared" si="8"/>
        <v>11245</v>
      </c>
      <c r="BG94" s="43">
        <f t="shared" si="9"/>
        <v>11245</v>
      </c>
      <c r="BH94" s="43">
        <f t="shared" si="10"/>
        <v>11245</v>
      </c>
      <c r="BI94" s="43">
        <f t="shared" si="11"/>
        <v>11245</v>
      </c>
      <c r="BJ94" s="44">
        <f t="shared" si="12"/>
        <v>11906</v>
      </c>
      <c r="BK94" s="44">
        <f t="shared" si="13"/>
        <v>12566</v>
      </c>
      <c r="BL94" s="44">
        <f t="shared" si="14"/>
        <v>12943</v>
      </c>
      <c r="BM94" s="44">
        <f t="shared" si="15"/>
        <v>13132</v>
      </c>
      <c r="BN94" s="45">
        <f t="shared" si="16"/>
        <v>13132</v>
      </c>
      <c r="BO94" s="45">
        <f t="shared" si="17"/>
        <v>13132</v>
      </c>
      <c r="BP94" s="45">
        <f t="shared" si="18"/>
        <v>13132</v>
      </c>
      <c r="BQ94" s="45">
        <f t="shared" si="19"/>
        <v>13132</v>
      </c>
      <c r="BR94" s="45">
        <f t="shared" si="20"/>
        <v>13132</v>
      </c>
      <c r="BU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2"/>
      <c r="AU95" s="110">
        <v>80.0</v>
      </c>
      <c r="AV95" s="40">
        <v>6.0</v>
      </c>
      <c r="AW95" s="49">
        <f t="shared" si="21"/>
        <v>8162</v>
      </c>
      <c r="AX95" s="48">
        <f t="shared" si="22"/>
        <v>9532</v>
      </c>
      <c r="AY95" s="50">
        <f t="shared" si="1"/>
        <v>9320</v>
      </c>
      <c r="AZ95" s="50">
        <f t="shared" si="2"/>
        <v>10884</v>
      </c>
      <c r="BA95" s="42">
        <f t="shared" si="3"/>
        <v>10299</v>
      </c>
      <c r="BB95" s="42">
        <f t="shared" si="4"/>
        <v>10870</v>
      </c>
      <c r="BC95" s="42">
        <f t="shared" si="5"/>
        <v>11197</v>
      </c>
      <c r="BD95" s="42">
        <f t="shared" si="6"/>
        <v>11360</v>
      </c>
      <c r="BE95" s="43">
        <f t="shared" si="7"/>
        <v>11360</v>
      </c>
      <c r="BF95" s="43">
        <f t="shared" si="8"/>
        <v>11360</v>
      </c>
      <c r="BG95" s="43">
        <f t="shared" si="9"/>
        <v>11360</v>
      </c>
      <c r="BH95" s="43">
        <f t="shared" si="10"/>
        <v>11360</v>
      </c>
      <c r="BI95" s="43">
        <f t="shared" si="11"/>
        <v>11360</v>
      </c>
      <c r="BJ95" s="44">
        <f t="shared" si="12"/>
        <v>12027</v>
      </c>
      <c r="BK95" s="44">
        <f t="shared" si="13"/>
        <v>12695</v>
      </c>
      <c r="BL95" s="44">
        <f t="shared" si="14"/>
        <v>13076</v>
      </c>
      <c r="BM95" s="44">
        <f t="shared" si="15"/>
        <v>13267</v>
      </c>
      <c r="BN95" s="45">
        <f t="shared" si="16"/>
        <v>13267</v>
      </c>
      <c r="BO95" s="45">
        <f t="shared" si="17"/>
        <v>13267</v>
      </c>
      <c r="BP95" s="45">
        <f t="shared" si="18"/>
        <v>13267</v>
      </c>
      <c r="BQ95" s="45">
        <f t="shared" si="19"/>
        <v>13267</v>
      </c>
      <c r="BR95" s="45">
        <f t="shared" si="20"/>
        <v>13267</v>
      </c>
      <c r="BU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2"/>
      <c r="AU96" s="111">
        <v>80.0</v>
      </c>
      <c r="AV96" s="40">
        <v>7.0</v>
      </c>
      <c r="AW96" s="49">
        <f t="shared" si="21"/>
        <v>8162</v>
      </c>
      <c r="AX96" s="48">
        <f t="shared" si="22"/>
        <v>9532</v>
      </c>
      <c r="AY96" s="50">
        <f t="shared" si="1"/>
        <v>9549</v>
      </c>
      <c r="AZ96" s="50">
        <f t="shared" si="2"/>
        <v>11152</v>
      </c>
      <c r="BA96" s="42">
        <f t="shared" si="3"/>
        <v>10528</v>
      </c>
      <c r="BB96" s="42">
        <f t="shared" si="4"/>
        <v>11099</v>
      </c>
      <c r="BC96" s="42">
        <f t="shared" si="5"/>
        <v>11426</v>
      </c>
      <c r="BD96" s="42">
        <f t="shared" si="6"/>
        <v>11589</v>
      </c>
      <c r="BE96" s="43">
        <f t="shared" si="7"/>
        <v>11589</v>
      </c>
      <c r="BF96" s="43">
        <f t="shared" si="8"/>
        <v>11589</v>
      </c>
      <c r="BG96" s="43">
        <f t="shared" si="9"/>
        <v>11589</v>
      </c>
      <c r="BH96" s="43">
        <f t="shared" si="10"/>
        <v>11589</v>
      </c>
      <c r="BI96" s="43">
        <f t="shared" si="11"/>
        <v>11589</v>
      </c>
      <c r="BJ96" s="44">
        <f t="shared" si="12"/>
        <v>12295</v>
      </c>
      <c r="BK96" s="44">
        <f t="shared" si="13"/>
        <v>12963</v>
      </c>
      <c r="BL96" s="44">
        <f t="shared" si="14"/>
        <v>13344</v>
      </c>
      <c r="BM96" s="44">
        <f t="shared" si="15"/>
        <v>13535</v>
      </c>
      <c r="BN96" s="45">
        <f t="shared" si="16"/>
        <v>13535</v>
      </c>
      <c r="BO96" s="45">
        <f t="shared" si="17"/>
        <v>13535</v>
      </c>
      <c r="BP96" s="45">
        <f t="shared" si="18"/>
        <v>13535</v>
      </c>
      <c r="BQ96" s="45">
        <f t="shared" si="19"/>
        <v>13535</v>
      </c>
      <c r="BR96" s="45">
        <f t="shared" si="20"/>
        <v>13535</v>
      </c>
      <c r="BU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2"/>
      <c r="AU97" s="40">
        <v>81.0</v>
      </c>
      <c r="AV97" s="40">
        <v>7.0</v>
      </c>
      <c r="AW97" s="49">
        <f t="shared" si="21"/>
        <v>8255</v>
      </c>
      <c r="AX97" s="48">
        <f t="shared" si="22"/>
        <v>9641</v>
      </c>
      <c r="AY97" s="50">
        <f t="shared" si="1"/>
        <v>9642</v>
      </c>
      <c r="AZ97" s="50">
        <f t="shared" si="2"/>
        <v>11261</v>
      </c>
      <c r="BA97" s="42">
        <f t="shared" si="3"/>
        <v>10632</v>
      </c>
      <c r="BB97" s="42">
        <f t="shared" si="4"/>
        <v>11210</v>
      </c>
      <c r="BC97" s="42">
        <f t="shared" si="5"/>
        <v>11540</v>
      </c>
      <c r="BD97" s="42">
        <f t="shared" si="6"/>
        <v>11705</v>
      </c>
      <c r="BE97" s="43">
        <f t="shared" si="7"/>
        <v>11705</v>
      </c>
      <c r="BF97" s="43">
        <f t="shared" si="8"/>
        <v>11705</v>
      </c>
      <c r="BG97" s="43">
        <f t="shared" si="9"/>
        <v>11705</v>
      </c>
      <c r="BH97" s="43">
        <f t="shared" si="10"/>
        <v>11705</v>
      </c>
      <c r="BI97" s="43">
        <f t="shared" si="11"/>
        <v>11705</v>
      </c>
      <c r="BJ97" s="44">
        <f t="shared" si="12"/>
        <v>12417</v>
      </c>
      <c r="BK97" s="44">
        <f t="shared" si="13"/>
        <v>13092</v>
      </c>
      <c r="BL97" s="44">
        <f t="shared" si="14"/>
        <v>13478</v>
      </c>
      <c r="BM97" s="44">
        <f t="shared" si="15"/>
        <v>13671</v>
      </c>
      <c r="BN97" s="45">
        <f t="shared" si="16"/>
        <v>13671</v>
      </c>
      <c r="BO97" s="45">
        <f t="shared" si="17"/>
        <v>13671</v>
      </c>
      <c r="BP97" s="45">
        <f t="shared" si="18"/>
        <v>13671</v>
      </c>
      <c r="BQ97" s="45">
        <f t="shared" si="19"/>
        <v>13671</v>
      </c>
      <c r="BR97" s="45">
        <f t="shared" si="20"/>
        <v>13671</v>
      </c>
      <c r="BU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2"/>
      <c r="AU98" s="40">
        <v>82.0</v>
      </c>
      <c r="AV98" s="40">
        <v>7.0</v>
      </c>
      <c r="AW98" s="49">
        <f t="shared" si="21"/>
        <v>8348</v>
      </c>
      <c r="AX98" s="48">
        <f t="shared" si="22"/>
        <v>9749</v>
      </c>
      <c r="AY98" s="50">
        <f t="shared" si="1"/>
        <v>9735</v>
      </c>
      <c r="AZ98" s="50">
        <f t="shared" si="2"/>
        <v>11369</v>
      </c>
      <c r="BA98" s="42">
        <f t="shared" si="3"/>
        <v>10736</v>
      </c>
      <c r="BB98" s="42">
        <f t="shared" si="4"/>
        <v>11321</v>
      </c>
      <c r="BC98" s="42">
        <f t="shared" si="5"/>
        <v>11655</v>
      </c>
      <c r="BD98" s="42">
        <f t="shared" si="6"/>
        <v>11822</v>
      </c>
      <c r="BE98" s="43">
        <f t="shared" si="7"/>
        <v>11822</v>
      </c>
      <c r="BF98" s="43">
        <f t="shared" si="8"/>
        <v>11822</v>
      </c>
      <c r="BG98" s="43">
        <f t="shared" si="9"/>
        <v>11822</v>
      </c>
      <c r="BH98" s="43">
        <f t="shared" si="10"/>
        <v>11822</v>
      </c>
      <c r="BI98" s="43">
        <f t="shared" si="11"/>
        <v>11822</v>
      </c>
      <c r="BJ98" s="44">
        <f t="shared" si="12"/>
        <v>12538</v>
      </c>
      <c r="BK98" s="44">
        <f t="shared" si="13"/>
        <v>13221</v>
      </c>
      <c r="BL98" s="44">
        <f t="shared" si="14"/>
        <v>13611</v>
      </c>
      <c r="BM98" s="44">
        <f t="shared" si="15"/>
        <v>13806</v>
      </c>
      <c r="BN98" s="45">
        <f t="shared" si="16"/>
        <v>13806</v>
      </c>
      <c r="BO98" s="45">
        <f t="shared" si="17"/>
        <v>13806</v>
      </c>
      <c r="BP98" s="45">
        <f t="shared" si="18"/>
        <v>13806</v>
      </c>
      <c r="BQ98" s="45">
        <f t="shared" si="19"/>
        <v>13806</v>
      </c>
      <c r="BR98" s="45">
        <f t="shared" si="20"/>
        <v>13806</v>
      </c>
      <c r="BU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2"/>
      <c r="AU99" s="40">
        <v>83.0</v>
      </c>
      <c r="AV99" s="40">
        <v>7.0</v>
      </c>
      <c r="AW99" s="49">
        <f t="shared" si="21"/>
        <v>8442</v>
      </c>
      <c r="AX99" s="48">
        <f t="shared" si="22"/>
        <v>9858</v>
      </c>
      <c r="AY99" s="50">
        <f t="shared" si="1"/>
        <v>9829</v>
      </c>
      <c r="AZ99" s="50">
        <f t="shared" si="2"/>
        <v>11478</v>
      </c>
      <c r="BA99" s="42">
        <f t="shared" si="3"/>
        <v>10842</v>
      </c>
      <c r="BB99" s="42">
        <f t="shared" si="4"/>
        <v>11432</v>
      </c>
      <c r="BC99" s="42">
        <f t="shared" si="5"/>
        <v>11770</v>
      </c>
      <c r="BD99" s="42">
        <f t="shared" si="6"/>
        <v>11939</v>
      </c>
      <c r="BE99" s="43">
        <f t="shared" si="7"/>
        <v>11939</v>
      </c>
      <c r="BF99" s="43">
        <f t="shared" si="8"/>
        <v>11939</v>
      </c>
      <c r="BG99" s="43">
        <f t="shared" si="9"/>
        <v>11939</v>
      </c>
      <c r="BH99" s="43">
        <f t="shared" si="10"/>
        <v>11939</v>
      </c>
      <c r="BI99" s="43">
        <f t="shared" si="11"/>
        <v>11939</v>
      </c>
      <c r="BJ99" s="44">
        <f t="shared" si="12"/>
        <v>12660</v>
      </c>
      <c r="BK99" s="44">
        <f t="shared" si="13"/>
        <v>13351</v>
      </c>
      <c r="BL99" s="44">
        <f t="shared" si="14"/>
        <v>13745</v>
      </c>
      <c r="BM99" s="44">
        <f t="shared" si="15"/>
        <v>13942</v>
      </c>
      <c r="BN99" s="45">
        <f t="shared" si="16"/>
        <v>13942</v>
      </c>
      <c r="BO99" s="45">
        <f t="shared" si="17"/>
        <v>13942</v>
      </c>
      <c r="BP99" s="45">
        <f t="shared" si="18"/>
        <v>13942</v>
      </c>
      <c r="BQ99" s="45">
        <f t="shared" si="19"/>
        <v>13942</v>
      </c>
      <c r="BR99" s="45">
        <f t="shared" si="20"/>
        <v>13942</v>
      </c>
      <c r="BU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2"/>
      <c r="AU100" s="40">
        <v>84.0</v>
      </c>
      <c r="AV100" s="40">
        <v>7.0</v>
      </c>
      <c r="AW100" s="49">
        <f t="shared" si="21"/>
        <v>8535</v>
      </c>
      <c r="AX100" s="48">
        <f t="shared" si="22"/>
        <v>9967</v>
      </c>
      <c r="AY100" s="50">
        <f t="shared" si="1"/>
        <v>9922</v>
      </c>
      <c r="AZ100" s="50">
        <f t="shared" si="2"/>
        <v>11587</v>
      </c>
      <c r="BA100" s="42">
        <f t="shared" si="3"/>
        <v>10946</v>
      </c>
      <c r="BB100" s="42">
        <f t="shared" si="4"/>
        <v>11543</v>
      </c>
      <c r="BC100" s="42">
        <f t="shared" si="5"/>
        <v>11885</v>
      </c>
      <c r="BD100" s="42">
        <f t="shared" si="6"/>
        <v>12055</v>
      </c>
      <c r="BE100" s="43">
        <f t="shared" si="7"/>
        <v>12055</v>
      </c>
      <c r="BF100" s="43">
        <f t="shared" si="8"/>
        <v>12055</v>
      </c>
      <c r="BG100" s="43">
        <f t="shared" si="9"/>
        <v>12055</v>
      </c>
      <c r="BH100" s="43">
        <f t="shared" si="10"/>
        <v>12055</v>
      </c>
      <c r="BI100" s="43">
        <f t="shared" si="11"/>
        <v>12055</v>
      </c>
      <c r="BJ100" s="44">
        <f t="shared" si="12"/>
        <v>12783</v>
      </c>
      <c r="BK100" s="44">
        <f t="shared" si="13"/>
        <v>13480</v>
      </c>
      <c r="BL100" s="44">
        <f t="shared" si="14"/>
        <v>13879</v>
      </c>
      <c r="BM100" s="44">
        <f t="shared" si="15"/>
        <v>14078</v>
      </c>
      <c r="BN100" s="45">
        <f t="shared" si="16"/>
        <v>14078</v>
      </c>
      <c r="BO100" s="45">
        <f t="shared" si="17"/>
        <v>14078</v>
      </c>
      <c r="BP100" s="45">
        <f t="shared" si="18"/>
        <v>14078</v>
      </c>
      <c r="BQ100" s="45">
        <f t="shared" si="19"/>
        <v>14078</v>
      </c>
      <c r="BR100" s="45">
        <f t="shared" si="20"/>
        <v>14078</v>
      </c>
      <c r="BU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2"/>
      <c r="AU101" s="40">
        <v>85.0</v>
      </c>
      <c r="AV101" s="40">
        <v>7.0</v>
      </c>
      <c r="AW101" s="49">
        <f t="shared" si="21"/>
        <v>8628</v>
      </c>
      <c r="AX101" s="48">
        <f t="shared" si="22"/>
        <v>10076</v>
      </c>
      <c r="AY101" s="50">
        <f t="shared" si="1"/>
        <v>10015</v>
      </c>
      <c r="AZ101" s="50">
        <f t="shared" si="2"/>
        <v>11696</v>
      </c>
      <c r="BA101" s="42">
        <f t="shared" si="3"/>
        <v>11050</v>
      </c>
      <c r="BB101" s="42">
        <f t="shared" si="4"/>
        <v>11654</v>
      </c>
      <c r="BC101" s="42">
        <f t="shared" si="5"/>
        <v>11999</v>
      </c>
      <c r="BD101" s="42">
        <f t="shared" si="6"/>
        <v>12172</v>
      </c>
      <c r="BE101" s="43">
        <f t="shared" si="7"/>
        <v>12172</v>
      </c>
      <c r="BF101" s="43">
        <f t="shared" si="8"/>
        <v>12172</v>
      </c>
      <c r="BG101" s="43">
        <f t="shared" si="9"/>
        <v>12172</v>
      </c>
      <c r="BH101" s="43">
        <f t="shared" si="10"/>
        <v>12172</v>
      </c>
      <c r="BI101" s="43">
        <f t="shared" si="11"/>
        <v>12172</v>
      </c>
      <c r="BJ101" s="44">
        <f t="shared" si="12"/>
        <v>12905</v>
      </c>
      <c r="BK101" s="44">
        <f t="shared" si="13"/>
        <v>13610</v>
      </c>
      <c r="BL101" s="44">
        <f t="shared" si="14"/>
        <v>14013</v>
      </c>
      <c r="BM101" s="44">
        <f t="shared" si="15"/>
        <v>14215</v>
      </c>
      <c r="BN101" s="45">
        <f t="shared" si="16"/>
        <v>14215</v>
      </c>
      <c r="BO101" s="45">
        <f t="shared" si="17"/>
        <v>14215</v>
      </c>
      <c r="BP101" s="45">
        <f t="shared" si="18"/>
        <v>14215</v>
      </c>
      <c r="BQ101" s="45">
        <f t="shared" si="19"/>
        <v>14215</v>
      </c>
      <c r="BR101" s="45">
        <f t="shared" si="20"/>
        <v>14215</v>
      </c>
      <c r="BU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2"/>
      <c r="AU102" s="40">
        <v>86.0</v>
      </c>
      <c r="AV102" s="40">
        <v>7.0</v>
      </c>
      <c r="AW102" s="49">
        <f t="shared" si="21"/>
        <v>8722</v>
      </c>
      <c r="AX102" s="48">
        <f t="shared" si="22"/>
        <v>10185</v>
      </c>
      <c r="AY102" s="50">
        <f t="shared" si="1"/>
        <v>10109</v>
      </c>
      <c r="AZ102" s="50">
        <f t="shared" si="2"/>
        <v>11805</v>
      </c>
      <c r="BA102" s="42">
        <f t="shared" si="3"/>
        <v>11155</v>
      </c>
      <c r="BB102" s="42">
        <f t="shared" si="4"/>
        <v>11766</v>
      </c>
      <c r="BC102" s="42">
        <f t="shared" si="5"/>
        <v>12115</v>
      </c>
      <c r="BD102" s="42">
        <f t="shared" si="6"/>
        <v>12289</v>
      </c>
      <c r="BE102" s="43">
        <f t="shared" si="7"/>
        <v>12289</v>
      </c>
      <c r="BF102" s="43">
        <f t="shared" si="8"/>
        <v>12289</v>
      </c>
      <c r="BG102" s="43">
        <f t="shared" si="9"/>
        <v>12289</v>
      </c>
      <c r="BH102" s="43">
        <f t="shared" si="10"/>
        <v>12289</v>
      </c>
      <c r="BI102" s="43">
        <f t="shared" si="11"/>
        <v>12289</v>
      </c>
      <c r="BJ102" s="44">
        <f t="shared" si="12"/>
        <v>13027</v>
      </c>
      <c r="BK102" s="44">
        <f t="shared" si="13"/>
        <v>13740</v>
      </c>
      <c r="BL102" s="44">
        <f t="shared" si="14"/>
        <v>14147</v>
      </c>
      <c r="BM102" s="44">
        <f t="shared" si="15"/>
        <v>14351</v>
      </c>
      <c r="BN102" s="45">
        <f t="shared" si="16"/>
        <v>14351</v>
      </c>
      <c r="BO102" s="45">
        <f t="shared" si="17"/>
        <v>14351</v>
      </c>
      <c r="BP102" s="45">
        <f t="shared" si="18"/>
        <v>14351</v>
      </c>
      <c r="BQ102" s="45">
        <f t="shared" si="19"/>
        <v>14351</v>
      </c>
      <c r="BR102" s="45">
        <f t="shared" si="20"/>
        <v>14351</v>
      </c>
      <c r="BU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2"/>
      <c r="AU103" s="40">
        <v>87.0</v>
      </c>
      <c r="AV103" s="40">
        <v>7.0</v>
      </c>
      <c r="AW103" s="49">
        <f t="shared" si="21"/>
        <v>8816</v>
      </c>
      <c r="AX103" s="48">
        <f t="shared" si="22"/>
        <v>10295</v>
      </c>
      <c r="AY103" s="50">
        <f t="shared" si="1"/>
        <v>10203</v>
      </c>
      <c r="AZ103" s="50">
        <f t="shared" si="2"/>
        <v>11915</v>
      </c>
      <c r="BA103" s="42">
        <f t="shared" si="3"/>
        <v>11260</v>
      </c>
      <c r="BB103" s="42">
        <f t="shared" si="4"/>
        <v>11878</v>
      </c>
      <c r="BC103" s="42">
        <f t="shared" si="5"/>
        <v>12230</v>
      </c>
      <c r="BD103" s="42">
        <f t="shared" si="6"/>
        <v>12407</v>
      </c>
      <c r="BE103" s="43">
        <f t="shared" si="7"/>
        <v>12407</v>
      </c>
      <c r="BF103" s="43">
        <f t="shared" si="8"/>
        <v>12407</v>
      </c>
      <c r="BG103" s="43">
        <f t="shared" si="9"/>
        <v>12407</v>
      </c>
      <c r="BH103" s="43">
        <f t="shared" si="10"/>
        <v>12407</v>
      </c>
      <c r="BI103" s="43">
        <f t="shared" si="11"/>
        <v>12407</v>
      </c>
      <c r="BJ103" s="44">
        <f t="shared" si="12"/>
        <v>13150</v>
      </c>
      <c r="BK103" s="44">
        <f t="shared" si="13"/>
        <v>13871</v>
      </c>
      <c r="BL103" s="44">
        <f t="shared" si="14"/>
        <v>14282</v>
      </c>
      <c r="BM103" s="44">
        <f t="shared" si="15"/>
        <v>14488</v>
      </c>
      <c r="BN103" s="45">
        <f t="shared" si="16"/>
        <v>14488</v>
      </c>
      <c r="BO103" s="45">
        <f t="shared" si="17"/>
        <v>14488</v>
      </c>
      <c r="BP103" s="45">
        <f t="shared" si="18"/>
        <v>14488</v>
      </c>
      <c r="BQ103" s="45">
        <f t="shared" si="19"/>
        <v>14488</v>
      </c>
      <c r="BR103" s="45">
        <f t="shared" si="20"/>
        <v>14488</v>
      </c>
      <c r="BU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2"/>
      <c r="AU104" s="40">
        <v>88.0</v>
      </c>
      <c r="AV104" s="40">
        <v>7.0</v>
      </c>
      <c r="AW104" s="49">
        <f t="shared" si="21"/>
        <v>8909</v>
      </c>
      <c r="AX104" s="48">
        <f t="shared" si="22"/>
        <v>10404</v>
      </c>
      <c r="AY104" s="50">
        <f t="shared" si="1"/>
        <v>10296</v>
      </c>
      <c r="AZ104" s="50">
        <f t="shared" si="2"/>
        <v>12024</v>
      </c>
      <c r="BA104" s="42">
        <f t="shared" si="3"/>
        <v>11365</v>
      </c>
      <c r="BB104" s="42">
        <f t="shared" si="4"/>
        <v>11988</v>
      </c>
      <c r="BC104" s="42">
        <f t="shared" si="5"/>
        <v>12345</v>
      </c>
      <c r="BD104" s="42">
        <f t="shared" si="6"/>
        <v>12523</v>
      </c>
      <c r="BE104" s="43">
        <f t="shared" si="7"/>
        <v>12523</v>
      </c>
      <c r="BF104" s="43">
        <f t="shared" si="8"/>
        <v>12523</v>
      </c>
      <c r="BG104" s="43">
        <f t="shared" si="9"/>
        <v>12523</v>
      </c>
      <c r="BH104" s="43">
        <f t="shared" si="10"/>
        <v>12523</v>
      </c>
      <c r="BI104" s="43">
        <f t="shared" si="11"/>
        <v>12523</v>
      </c>
      <c r="BJ104" s="44">
        <f t="shared" si="12"/>
        <v>13272</v>
      </c>
      <c r="BK104" s="44">
        <f t="shared" si="13"/>
        <v>14000</v>
      </c>
      <c r="BL104" s="44">
        <f t="shared" si="14"/>
        <v>14416</v>
      </c>
      <c r="BM104" s="44">
        <f t="shared" si="15"/>
        <v>14625</v>
      </c>
      <c r="BN104" s="45">
        <f t="shared" si="16"/>
        <v>14625</v>
      </c>
      <c r="BO104" s="45">
        <f t="shared" si="17"/>
        <v>14625</v>
      </c>
      <c r="BP104" s="45">
        <f t="shared" si="18"/>
        <v>14625</v>
      </c>
      <c r="BQ104" s="45">
        <f t="shared" si="19"/>
        <v>14625</v>
      </c>
      <c r="BR104" s="45">
        <f t="shared" si="20"/>
        <v>14625</v>
      </c>
      <c r="BU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2"/>
      <c r="AU105" s="40">
        <v>89.0</v>
      </c>
      <c r="AV105" s="40">
        <v>7.0</v>
      </c>
      <c r="AW105" s="49">
        <f t="shared" si="21"/>
        <v>9003</v>
      </c>
      <c r="AX105" s="48">
        <f t="shared" si="22"/>
        <v>10514</v>
      </c>
      <c r="AY105" s="50">
        <f t="shared" si="1"/>
        <v>10390</v>
      </c>
      <c r="AZ105" s="50">
        <f t="shared" si="2"/>
        <v>12134</v>
      </c>
      <c r="BA105" s="42">
        <f t="shared" si="3"/>
        <v>11470</v>
      </c>
      <c r="BB105" s="42">
        <f t="shared" si="4"/>
        <v>12100</v>
      </c>
      <c r="BC105" s="42">
        <f t="shared" si="5"/>
        <v>12460</v>
      </c>
      <c r="BD105" s="42">
        <f t="shared" si="6"/>
        <v>12640</v>
      </c>
      <c r="BE105" s="43">
        <f t="shared" si="7"/>
        <v>12640</v>
      </c>
      <c r="BF105" s="43">
        <f t="shared" si="8"/>
        <v>12640</v>
      </c>
      <c r="BG105" s="43">
        <f t="shared" si="9"/>
        <v>12640</v>
      </c>
      <c r="BH105" s="43">
        <f t="shared" si="10"/>
        <v>12640</v>
      </c>
      <c r="BI105" s="43">
        <f t="shared" si="11"/>
        <v>12640</v>
      </c>
      <c r="BJ105" s="44">
        <f t="shared" si="12"/>
        <v>13395</v>
      </c>
      <c r="BK105" s="44">
        <f t="shared" si="13"/>
        <v>14131</v>
      </c>
      <c r="BL105" s="44">
        <f t="shared" si="14"/>
        <v>14552</v>
      </c>
      <c r="BM105" s="44">
        <f t="shared" si="15"/>
        <v>14762</v>
      </c>
      <c r="BN105" s="45">
        <f t="shared" si="16"/>
        <v>14762</v>
      </c>
      <c r="BO105" s="45">
        <f t="shared" si="17"/>
        <v>14762</v>
      </c>
      <c r="BP105" s="45">
        <f t="shared" si="18"/>
        <v>14762</v>
      </c>
      <c r="BQ105" s="45">
        <f t="shared" si="19"/>
        <v>14762</v>
      </c>
      <c r="BR105" s="45">
        <f t="shared" si="20"/>
        <v>14762</v>
      </c>
      <c r="BU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2"/>
      <c r="AU106" s="73">
        <v>90.0</v>
      </c>
      <c r="AV106" s="40">
        <v>7.0</v>
      </c>
      <c r="AW106" s="49">
        <f t="shared" si="21"/>
        <v>9097</v>
      </c>
      <c r="AX106" s="48">
        <f t="shared" si="22"/>
        <v>10624</v>
      </c>
      <c r="AY106" s="50">
        <f t="shared" si="1"/>
        <v>10484</v>
      </c>
      <c r="AZ106" s="50">
        <f t="shared" si="2"/>
        <v>12244</v>
      </c>
      <c r="BA106" s="42">
        <f t="shared" si="3"/>
        <v>11575</v>
      </c>
      <c r="BB106" s="42">
        <f t="shared" si="4"/>
        <v>12212</v>
      </c>
      <c r="BC106" s="42">
        <f t="shared" si="5"/>
        <v>12576</v>
      </c>
      <c r="BD106" s="42">
        <f t="shared" si="6"/>
        <v>12758</v>
      </c>
      <c r="BE106" s="43">
        <f t="shared" si="7"/>
        <v>12758</v>
      </c>
      <c r="BF106" s="43">
        <f t="shared" si="8"/>
        <v>12758</v>
      </c>
      <c r="BG106" s="43">
        <f t="shared" si="9"/>
        <v>12758</v>
      </c>
      <c r="BH106" s="43">
        <f t="shared" si="10"/>
        <v>12758</v>
      </c>
      <c r="BI106" s="43">
        <f t="shared" si="11"/>
        <v>12758</v>
      </c>
      <c r="BJ106" s="44">
        <f t="shared" si="12"/>
        <v>13518</v>
      </c>
      <c r="BK106" s="44">
        <f t="shared" si="13"/>
        <v>14262</v>
      </c>
      <c r="BL106" s="44">
        <f t="shared" si="14"/>
        <v>14687</v>
      </c>
      <c r="BM106" s="44">
        <f t="shared" si="15"/>
        <v>14900</v>
      </c>
      <c r="BN106" s="45">
        <f t="shared" si="16"/>
        <v>14900</v>
      </c>
      <c r="BO106" s="45">
        <f t="shared" si="17"/>
        <v>14900</v>
      </c>
      <c r="BP106" s="45">
        <f t="shared" si="18"/>
        <v>14900</v>
      </c>
      <c r="BQ106" s="45">
        <f t="shared" si="19"/>
        <v>14900</v>
      </c>
      <c r="BR106" s="45">
        <f t="shared" si="20"/>
        <v>14900</v>
      </c>
      <c r="BU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2"/>
      <c r="AU107" s="73">
        <v>90.0</v>
      </c>
      <c r="AV107" s="40">
        <v>8.0</v>
      </c>
      <c r="AW107" s="49">
        <f t="shared" si="21"/>
        <v>9097</v>
      </c>
      <c r="AX107" s="48">
        <f t="shared" si="22"/>
        <v>10624</v>
      </c>
      <c r="AY107" s="50">
        <f t="shared" si="1"/>
        <v>10734</v>
      </c>
      <c r="AZ107" s="50">
        <f t="shared" si="2"/>
        <v>12536</v>
      </c>
      <c r="BA107" s="42">
        <f t="shared" si="3"/>
        <v>11825</v>
      </c>
      <c r="BB107" s="42">
        <f t="shared" si="4"/>
        <v>12462</v>
      </c>
      <c r="BC107" s="42">
        <f t="shared" si="5"/>
        <v>12826</v>
      </c>
      <c r="BD107" s="42">
        <f t="shared" si="6"/>
        <v>13008</v>
      </c>
      <c r="BE107" s="43">
        <f t="shared" si="7"/>
        <v>13008</v>
      </c>
      <c r="BF107" s="43">
        <f t="shared" si="8"/>
        <v>13008</v>
      </c>
      <c r="BG107" s="43">
        <f t="shared" si="9"/>
        <v>13008</v>
      </c>
      <c r="BH107" s="43">
        <f t="shared" si="10"/>
        <v>13008</v>
      </c>
      <c r="BI107" s="43">
        <f t="shared" si="11"/>
        <v>13008</v>
      </c>
      <c r="BJ107" s="44">
        <f t="shared" si="12"/>
        <v>13810</v>
      </c>
      <c r="BK107" s="44">
        <f t="shared" si="13"/>
        <v>14554</v>
      </c>
      <c r="BL107" s="44">
        <f t="shared" si="14"/>
        <v>14979</v>
      </c>
      <c r="BM107" s="44">
        <f t="shared" si="15"/>
        <v>15192</v>
      </c>
      <c r="BN107" s="45">
        <f t="shared" si="16"/>
        <v>15192</v>
      </c>
      <c r="BO107" s="45">
        <f t="shared" si="17"/>
        <v>15192</v>
      </c>
      <c r="BP107" s="45">
        <f t="shared" si="18"/>
        <v>15192</v>
      </c>
      <c r="BQ107" s="45">
        <f t="shared" si="19"/>
        <v>15192</v>
      </c>
      <c r="BR107" s="45">
        <f t="shared" si="20"/>
        <v>15192</v>
      </c>
      <c r="BU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2"/>
      <c r="AU108" s="40">
        <v>91.0</v>
      </c>
      <c r="AV108" s="40">
        <v>8.0</v>
      </c>
      <c r="AW108" s="49">
        <f t="shared" si="21"/>
        <v>9191</v>
      </c>
      <c r="AX108" s="48">
        <f t="shared" si="22"/>
        <v>10734</v>
      </c>
      <c r="AY108" s="50">
        <f t="shared" si="1"/>
        <v>10828</v>
      </c>
      <c r="AZ108" s="50">
        <f t="shared" si="2"/>
        <v>12646</v>
      </c>
      <c r="BA108" s="42">
        <f t="shared" si="3"/>
        <v>11930</v>
      </c>
      <c r="BB108" s="42">
        <f t="shared" si="4"/>
        <v>12574</v>
      </c>
      <c r="BC108" s="42">
        <f t="shared" si="5"/>
        <v>12941</v>
      </c>
      <c r="BD108" s="42">
        <f t="shared" si="6"/>
        <v>13125</v>
      </c>
      <c r="BE108" s="43">
        <f t="shared" si="7"/>
        <v>13125</v>
      </c>
      <c r="BF108" s="43">
        <f t="shared" si="8"/>
        <v>13125</v>
      </c>
      <c r="BG108" s="43">
        <f t="shared" si="9"/>
        <v>13125</v>
      </c>
      <c r="BH108" s="43">
        <f t="shared" si="10"/>
        <v>13125</v>
      </c>
      <c r="BI108" s="43">
        <f t="shared" si="11"/>
        <v>13125</v>
      </c>
      <c r="BJ108" s="44">
        <f t="shared" si="12"/>
        <v>13934</v>
      </c>
      <c r="BK108" s="44">
        <f t="shared" si="13"/>
        <v>14685</v>
      </c>
      <c r="BL108" s="44">
        <f t="shared" si="14"/>
        <v>15114</v>
      </c>
      <c r="BM108" s="44">
        <f t="shared" si="15"/>
        <v>15329</v>
      </c>
      <c r="BN108" s="45">
        <f t="shared" si="16"/>
        <v>15329</v>
      </c>
      <c r="BO108" s="45">
        <f t="shared" si="17"/>
        <v>15329</v>
      </c>
      <c r="BP108" s="45">
        <f t="shared" si="18"/>
        <v>15329</v>
      </c>
      <c r="BQ108" s="45">
        <f t="shared" si="19"/>
        <v>15329</v>
      </c>
      <c r="BR108" s="45">
        <f t="shared" si="20"/>
        <v>15329</v>
      </c>
      <c r="BU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2"/>
      <c r="AU109" s="40">
        <v>92.0</v>
      </c>
      <c r="AV109" s="40">
        <v>8.0</v>
      </c>
      <c r="AW109" s="49">
        <f t="shared" si="21"/>
        <v>9285</v>
      </c>
      <c r="AX109" s="48">
        <f t="shared" si="22"/>
        <v>10844</v>
      </c>
      <c r="AY109" s="50">
        <f t="shared" si="1"/>
        <v>10922</v>
      </c>
      <c r="AZ109" s="50">
        <f t="shared" si="2"/>
        <v>12756</v>
      </c>
      <c r="BA109" s="42">
        <f t="shared" si="3"/>
        <v>12036</v>
      </c>
      <c r="BB109" s="42">
        <f t="shared" si="4"/>
        <v>12686</v>
      </c>
      <c r="BC109" s="42">
        <f t="shared" si="5"/>
        <v>13057</v>
      </c>
      <c r="BD109" s="42">
        <f t="shared" si="6"/>
        <v>13243</v>
      </c>
      <c r="BE109" s="43">
        <f t="shared" si="7"/>
        <v>13243</v>
      </c>
      <c r="BF109" s="43">
        <f t="shared" si="8"/>
        <v>13243</v>
      </c>
      <c r="BG109" s="43">
        <f t="shared" si="9"/>
        <v>13243</v>
      </c>
      <c r="BH109" s="43">
        <f t="shared" si="10"/>
        <v>13243</v>
      </c>
      <c r="BI109" s="43">
        <f t="shared" si="11"/>
        <v>13243</v>
      </c>
      <c r="BJ109" s="44">
        <f t="shared" si="12"/>
        <v>14057</v>
      </c>
      <c r="BK109" s="44">
        <f t="shared" si="13"/>
        <v>14816</v>
      </c>
      <c r="BL109" s="44">
        <f t="shared" si="14"/>
        <v>15250</v>
      </c>
      <c r="BM109" s="44">
        <f t="shared" si="15"/>
        <v>15467</v>
      </c>
      <c r="BN109" s="45">
        <f t="shared" si="16"/>
        <v>15467</v>
      </c>
      <c r="BO109" s="45">
        <f t="shared" si="17"/>
        <v>15467</v>
      </c>
      <c r="BP109" s="45">
        <f t="shared" si="18"/>
        <v>15467</v>
      </c>
      <c r="BQ109" s="45">
        <f t="shared" si="19"/>
        <v>15467</v>
      </c>
      <c r="BR109" s="45">
        <f t="shared" si="20"/>
        <v>15467</v>
      </c>
      <c r="BU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2"/>
      <c r="AU110" s="40">
        <v>93.0</v>
      </c>
      <c r="AV110" s="40">
        <v>8.0</v>
      </c>
      <c r="AW110" s="49">
        <f t="shared" si="21"/>
        <v>9380</v>
      </c>
      <c r="AX110" s="48">
        <f t="shared" si="22"/>
        <v>10954</v>
      </c>
      <c r="AY110" s="50">
        <f t="shared" si="1"/>
        <v>11017</v>
      </c>
      <c r="AZ110" s="50">
        <f t="shared" si="2"/>
        <v>12866</v>
      </c>
      <c r="BA110" s="42">
        <f t="shared" si="3"/>
        <v>12142</v>
      </c>
      <c r="BB110" s="42">
        <f t="shared" si="4"/>
        <v>12799</v>
      </c>
      <c r="BC110" s="42">
        <f t="shared" si="5"/>
        <v>13174</v>
      </c>
      <c r="BD110" s="42">
        <f t="shared" si="6"/>
        <v>13362</v>
      </c>
      <c r="BE110" s="43">
        <f t="shared" si="7"/>
        <v>13362</v>
      </c>
      <c r="BF110" s="43">
        <f t="shared" si="8"/>
        <v>13362</v>
      </c>
      <c r="BG110" s="43">
        <f t="shared" si="9"/>
        <v>13362</v>
      </c>
      <c r="BH110" s="43">
        <f t="shared" si="10"/>
        <v>13362</v>
      </c>
      <c r="BI110" s="43">
        <f t="shared" si="11"/>
        <v>13362</v>
      </c>
      <c r="BJ110" s="44">
        <f t="shared" si="12"/>
        <v>14180</v>
      </c>
      <c r="BK110" s="44">
        <f t="shared" si="13"/>
        <v>14947</v>
      </c>
      <c r="BL110" s="44">
        <f t="shared" si="14"/>
        <v>15385</v>
      </c>
      <c r="BM110" s="44">
        <f t="shared" si="15"/>
        <v>15604</v>
      </c>
      <c r="BN110" s="45">
        <f t="shared" si="16"/>
        <v>15604</v>
      </c>
      <c r="BO110" s="45">
        <f t="shared" si="17"/>
        <v>15604</v>
      </c>
      <c r="BP110" s="45">
        <f t="shared" si="18"/>
        <v>15604</v>
      </c>
      <c r="BQ110" s="45">
        <f t="shared" si="19"/>
        <v>15604</v>
      </c>
      <c r="BR110" s="45">
        <f t="shared" si="20"/>
        <v>15604</v>
      </c>
      <c r="BU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2"/>
      <c r="AU111" s="40">
        <v>94.0</v>
      </c>
      <c r="AV111" s="40">
        <v>8.0</v>
      </c>
      <c r="AW111" s="49">
        <f t="shared" si="21"/>
        <v>9474</v>
      </c>
      <c r="AX111" s="48">
        <f t="shared" si="22"/>
        <v>11064</v>
      </c>
      <c r="AY111" s="50">
        <f t="shared" si="1"/>
        <v>11111</v>
      </c>
      <c r="AZ111" s="50">
        <f t="shared" si="2"/>
        <v>12976</v>
      </c>
      <c r="BA111" s="42">
        <f t="shared" si="3"/>
        <v>12247</v>
      </c>
      <c r="BB111" s="42">
        <f t="shared" si="4"/>
        <v>12911</v>
      </c>
      <c r="BC111" s="42">
        <f t="shared" si="5"/>
        <v>13290</v>
      </c>
      <c r="BD111" s="42">
        <f t="shared" si="6"/>
        <v>13479</v>
      </c>
      <c r="BE111" s="43">
        <f t="shared" si="7"/>
        <v>13479</v>
      </c>
      <c r="BF111" s="43">
        <f t="shared" si="8"/>
        <v>13479</v>
      </c>
      <c r="BG111" s="43">
        <f t="shared" si="9"/>
        <v>13479</v>
      </c>
      <c r="BH111" s="43">
        <f t="shared" si="10"/>
        <v>13479</v>
      </c>
      <c r="BI111" s="43">
        <f t="shared" si="11"/>
        <v>13479</v>
      </c>
      <c r="BJ111" s="44">
        <f t="shared" si="12"/>
        <v>14303</v>
      </c>
      <c r="BK111" s="44">
        <f t="shared" si="13"/>
        <v>15078</v>
      </c>
      <c r="BL111" s="44">
        <f t="shared" si="14"/>
        <v>15520</v>
      </c>
      <c r="BM111" s="44">
        <f t="shared" si="15"/>
        <v>15742</v>
      </c>
      <c r="BN111" s="45">
        <f t="shared" si="16"/>
        <v>15742</v>
      </c>
      <c r="BO111" s="45">
        <f t="shared" si="17"/>
        <v>15742</v>
      </c>
      <c r="BP111" s="45">
        <f t="shared" si="18"/>
        <v>15742</v>
      </c>
      <c r="BQ111" s="45">
        <f t="shared" si="19"/>
        <v>15742</v>
      </c>
      <c r="BR111" s="45">
        <f t="shared" si="20"/>
        <v>15742</v>
      </c>
      <c r="BU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2"/>
      <c r="AU112" s="40">
        <v>95.0</v>
      </c>
      <c r="AV112" s="40">
        <v>8.0</v>
      </c>
      <c r="AW112" s="49">
        <f t="shared" si="21"/>
        <v>9569</v>
      </c>
      <c r="AX112" s="48">
        <f t="shared" si="22"/>
        <v>11174</v>
      </c>
      <c r="AY112" s="50">
        <f t="shared" si="1"/>
        <v>11206</v>
      </c>
      <c r="AZ112" s="50">
        <f t="shared" si="2"/>
        <v>13086</v>
      </c>
      <c r="BA112" s="42">
        <f t="shared" si="3"/>
        <v>12354</v>
      </c>
      <c r="BB112" s="42">
        <f t="shared" si="4"/>
        <v>13024</v>
      </c>
      <c r="BC112" s="42">
        <f t="shared" si="5"/>
        <v>13406</v>
      </c>
      <c r="BD112" s="42">
        <f t="shared" si="6"/>
        <v>13598</v>
      </c>
      <c r="BE112" s="43">
        <f t="shared" si="7"/>
        <v>13598</v>
      </c>
      <c r="BF112" s="43">
        <f t="shared" si="8"/>
        <v>13598</v>
      </c>
      <c r="BG112" s="43">
        <f t="shared" si="9"/>
        <v>13598</v>
      </c>
      <c r="BH112" s="43">
        <f t="shared" si="10"/>
        <v>13598</v>
      </c>
      <c r="BI112" s="43">
        <f t="shared" si="11"/>
        <v>13598</v>
      </c>
      <c r="BJ112" s="44">
        <f t="shared" si="12"/>
        <v>14426</v>
      </c>
      <c r="BK112" s="44">
        <f t="shared" si="13"/>
        <v>15209</v>
      </c>
      <c r="BL112" s="44">
        <f t="shared" si="14"/>
        <v>15656</v>
      </c>
      <c r="BM112" s="44">
        <f t="shared" si="15"/>
        <v>15879</v>
      </c>
      <c r="BN112" s="45">
        <f t="shared" si="16"/>
        <v>15879</v>
      </c>
      <c r="BO112" s="45">
        <f t="shared" si="17"/>
        <v>15879</v>
      </c>
      <c r="BP112" s="45">
        <f t="shared" si="18"/>
        <v>15879</v>
      </c>
      <c r="BQ112" s="45">
        <f t="shared" si="19"/>
        <v>15879</v>
      </c>
      <c r="BR112" s="45">
        <f t="shared" si="20"/>
        <v>15879</v>
      </c>
      <c r="BU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2"/>
      <c r="AU113" s="40">
        <v>96.0</v>
      </c>
      <c r="AV113" s="40">
        <v>8.0</v>
      </c>
      <c r="AW113" s="49">
        <f t="shared" si="21"/>
        <v>9663</v>
      </c>
      <c r="AX113" s="48">
        <f t="shared" si="22"/>
        <v>11285</v>
      </c>
      <c r="AY113" s="50">
        <f t="shared" si="1"/>
        <v>11300</v>
      </c>
      <c r="AZ113" s="50">
        <f t="shared" si="2"/>
        <v>13197</v>
      </c>
      <c r="BA113" s="42">
        <f t="shared" si="3"/>
        <v>12459</v>
      </c>
      <c r="BB113" s="42">
        <f t="shared" si="4"/>
        <v>13135</v>
      </c>
      <c r="BC113" s="42">
        <f t="shared" si="5"/>
        <v>13522</v>
      </c>
      <c r="BD113" s="42">
        <f t="shared" si="6"/>
        <v>13715</v>
      </c>
      <c r="BE113" s="43">
        <f t="shared" si="7"/>
        <v>13715</v>
      </c>
      <c r="BF113" s="43">
        <f t="shared" si="8"/>
        <v>13715</v>
      </c>
      <c r="BG113" s="43">
        <f t="shared" si="9"/>
        <v>13715</v>
      </c>
      <c r="BH113" s="43">
        <f t="shared" si="10"/>
        <v>13715</v>
      </c>
      <c r="BI113" s="43">
        <f t="shared" si="11"/>
        <v>13715</v>
      </c>
      <c r="BJ113" s="44">
        <f t="shared" si="12"/>
        <v>14551</v>
      </c>
      <c r="BK113" s="44">
        <f t="shared" si="13"/>
        <v>15341</v>
      </c>
      <c r="BL113" s="44">
        <f t="shared" si="14"/>
        <v>15792</v>
      </c>
      <c r="BM113" s="44">
        <f t="shared" si="15"/>
        <v>16018</v>
      </c>
      <c r="BN113" s="45">
        <f t="shared" si="16"/>
        <v>16018</v>
      </c>
      <c r="BO113" s="45">
        <f t="shared" si="17"/>
        <v>16018</v>
      </c>
      <c r="BP113" s="45">
        <f t="shared" si="18"/>
        <v>16018</v>
      </c>
      <c r="BQ113" s="45">
        <f t="shared" si="19"/>
        <v>16018</v>
      </c>
      <c r="BR113" s="45">
        <f t="shared" si="20"/>
        <v>16018</v>
      </c>
      <c r="BU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2"/>
      <c r="AU114" s="40">
        <v>97.0</v>
      </c>
      <c r="AV114" s="40">
        <v>8.0</v>
      </c>
      <c r="AW114" s="49">
        <f t="shared" si="21"/>
        <v>9758</v>
      </c>
      <c r="AX114" s="48">
        <f t="shared" si="22"/>
        <v>11395</v>
      </c>
      <c r="AY114" s="50">
        <f t="shared" si="1"/>
        <v>11395</v>
      </c>
      <c r="AZ114" s="50">
        <f t="shared" si="2"/>
        <v>13307</v>
      </c>
      <c r="BA114" s="42">
        <f t="shared" si="3"/>
        <v>12565</v>
      </c>
      <c r="BB114" s="42">
        <f t="shared" si="4"/>
        <v>13249</v>
      </c>
      <c r="BC114" s="42">
        <f t="shared" si="5"/>
        <v>13639</v>
      </c>
      <c r="BD114" s="42">
        <f t="shared" si="6"/>
        <v>13834</v>
      </c>
      <c r="BE114" s="43">
        <f t="shared" si="7"/>
        <v>13834</v>
      </c>
      <c r="BF114" s="43">
        <f t="shared" si="8"/>
        <v>13834</v>
      </c>
      <c r="BG114" s="43">
        <f t="shared" si="9"/>
        <v>13834</v>
      </c>
      <c r="BH114" s="43">
        <f t="shared" si="10"/>
        <v>13834</v>
      </c>
      <c r="BI114" s="43">
        <f t="shared" si="11"/>
        <v>13834</v>
      </c>
      <c r="BJ114" s="44">
        <f t="shared" si="12"/>
        <v>14674</v>
      </c>
      <c r="BK114" s="44">
        <f t="shared" si="13"/>
        <v>15472</v>
      </c>
      <c r="BL114" s="44">
        <f t="shared" si="14"/>
        <v>15927</v>
      </c>
      <c r="BM114" s="44">
        <f t="shared" si="15"/>
        <v>16155</v>
      </c>
      <c r="BN114" s="45">
        <f t="shared" si="16"/>
        <v>16155</v>
      </c>
      <c r="BO114" s="45">
        <f t="shared" si="17"/>
        <v>16155</v>
      </c>
      <c r="BP114" s="45">
        <f t="shared" si="18"/>
        <v>16155</v>
      </c>
      <c r="BQ114" s="45">
        <f t="shared" si="19"/>
        <v>16155</v>
      </c>
      <c r="BR114" s="45">
        <f t="shared" si="20"/>
        <v>16155</v>
      </c>
      <c r="BU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2"/>
      <c r="AU115" s="40">
        <v>98.0</v>
      </c>
      <c r="AV115" s="40">
        <v>8.0</v>
      </c>
      <c r="AW115" s="49">
        <f t="shared" si="21"/>
        <v>9853</v>
      </c>
      <c r="AX115" s="48">
        <f t="shared" si="22"/>
        <v>11506</v>
      </c>
      <c r="AY115" s="50">
        <f t="shared" si="1"/>
        <v>11490</v>
      </c>
      <c r="AZ115" s="50">
        <f t="shared" si="2"/>
        <v>13418</v>
      </c>
      <c r="BA115" s="42">
        <f t="shared" si="3"/>
        <v>12672</v>
      </c>
      <c r="BB115" s="42">
        <f t="shared" si="4"/>
        <v>13362</v>
      </c>
      <c r="BC115" s="42">
        <f t="shared" si="5"/>
        <v>13756</v>
      </c>
      <c r="BD115" s="42">
        <f t="shared" si="6"/>
        <v>13953</v>
      </c>
      <c r="BE115" s="43">
        <f t="shared" si="7"/>
        <v>13953</v>
      </c>
      <c r="BF115" s="43">
        <f t="shared" si="8"/>
        <v>13953</v>
      </c>
      <c r="BG115" s="43">
        <f t="shared" si="9"/>
        <v>13953</v>
      </c>
      <c r="BH115" s="43">
        <f t="shared" si="10"/>
        <v>13953</v>
      </c>
      <c r="BI115" s="43">
        <f t="shared" si="11"/>
        <v>13953</v>
      </c>
      <c r="BJ115" s="44">
        <f t="shared" si="12"/>
        <v>14798</v>
      </c>
      <c r="BK115" s="44">
        <f t="shared" si="13"/>
        <v>15604</v>
      </c>
      <c r="BL115" s="44">
        <f t="shared" si="14"/>
        <v>16064</v>
      </c>
      <c r="BM115" s="44">
        <f t="shared" si="15"/>
        <v>16294</v>
      </c>
      <c r="BN115" s="45">
        <f t="shared" si="16"/>
        <v>16294</v>
      </c>
      <c r="BO115" s="45">
        <f t="shared" si="17"/>
        <v>16294</v>
      </c>
      <c r="BP115" s="45">
        <f t="shared" si="18"/>
        <v>16294</v>
      </c>
      <c r="BQ115" s="45">
        <f t="shared" si="19"/>
        <v>16294</v>
      </c>
      <c r="BR115" s="45">
        <f t="shared" si="20"/>
        <v>16294</v>
      </c>
      <c r="BU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2"/>
      <c r="AU116" s="40">
        <v>99.0</v>
      </c>
      <c r="AV116" s="40">
        <v>8.0</v>
      </c>
      <c r="AW116" s="49">
        <f t="shared" si="21"/>
        <v>9948</v>
      </c>
      <c r="AX116" s="48">
        <f t="shared" si="22"/>
        <v>11617</v>
      </c>
      <c r="AY116" s="50">
        <f t="shared" si="1"/>
        <v>11585</v>
      </c>
      <c r="AZ116" s="50">
        <f t="shared" si="2"/>
        <v>13529</v>
      </c>
      <c r="BA116" s="42">
        <f t="shared" si="3"/>
        <v>12778</v>
      </c>
      <c r="BB116" s="42">
        <f t="shared" si="4"/>
        <v>13475</v>
      </c>
      <c r="BC116" s="42">
        <f t="shared" si="5"/>
        <v>13873</v>
      </c>
      <c r="BD116" s="42">
        <f t="shared" si="6"/>
        <v>14072</v>
      </c>
      <c r="BE116" s="43">
        <f t="shared" si="7"/>
        <v>14072</v>
      </c>
      <c r="BF116" s="43">
        <f t="shared" si="8"/>
        <v>14072</v>
      </c>
      <c r="BG116" s="43">
        <f t="shared" si="9"/>
        <v>14072</v>
      </c>
      <c r="BH116" s="43">
        <f t="shared" si="10"/>
        <v>14072</v>
      </c>
      <c r="BI116" s="43">
        <f t="shared" si="11"/>
        <v>14072</v>
      </c>
      <c r="BJ116" s="44">
        <f t="shared" si="12"/>
        <v>14923</v>
      </c>
      <c r="BK116" s="44">
        <f t="shared" si="13"/>
        <v>15736</v>
      </c>
      <c r="BL116" s="44">
        <f t="shared" si="14"/>
        <v>16200</v>
      </c>
      <c r="BM116" s="44">
        <f t="shared" si="15"/>
        <v>16433</v>
      </c>
      <c r="BN116" s="45">
        <f t="shared" si="16"/>
        <v>16433</v>
      </c>
      <c r="BO116" s="45">
        <f t="shared" si="17"/>
        <v>16433</v>
      </c>
      <c r="BP116" s="45">
        <f t="shared" si="18"/>
        <v>16433</v>
      </c>
      <c r="BQ116" s="45">
        <f t="shared" si="19"/>
        <v>16433</v>
      </c>
      <c r="BR116" s="45">
        <f t="shared" si="20"/>
        <v>16433</v>
      </c>
      <c r="BU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2"/>
      <c r="AU117" s="40">
        <v>100.0</v>
      </c>
      <c r="AV117" s="40">
        <v>8.0</v>
      </c>
      <c r="AW117" s="49">
        <f t="shared" si="21"/>
        <v>10043</v>
      </c>
      <c r="AX117" s="48">
        <f t="shared" si="22"/>
        <v>11728</v>
      </c>
      <c r="AY117" s="50">
        <f t="shared" si="1"/>
        <v>11680</v>
      </c>
      <c r="AZ117" s="50">
        <f t="shared" si="2"/>
        <v>13640</v>
      </c>
      <c r="BA117" s="42">
        <f t="shared" si="3"/>
        <v>12885</v>
      </c>
      <c r="BB117" s="42">
        <f t="shared" si="4"/>
        <v>13588</v>
      </c>
      <c r="BC117" s="42">
        <f t="shared" si="5"/>
        <v>13989</v>
      </c>
      <c r="BD117" s="42">
        <f t="shared" si="6"/>
        <v>14190</v>
      </c>
      <c r="BE117" s="43">
        <f t="shared" si="7"/>
        <v>14190</v>
      </c>
      <c r="BF117" s="43">
        <f t="shared" si="8"/>
        <v>14190</v>
      </c>
      <c r="BG117" s="43">
        <f t="shared" si="9"/>
        <v>14190</v>
      </c>
      <c r="BH117" s="43">
        <f t="shared" si="10"/>
        <v>14190</v>
      </c>
      <c r="BI117" s="43">
        <f t="shared" si="11"/>
        <v>14190</v>
      </c>
      <c r="BJ117" s="44">
        <f t="shared" si="12"/>
        <v>15047</v>
      </c>
      <c r="BK117" s="44">
        <f t="shared" si="13"/>
        <v>15868</v>
      </c>
      <c r="BL117" s="44">
        <f t="shared" si="14"/>
        <v>16337</v>
      </c>
      <c r="BM117" s="44">
        <f t="shared" si="15"/>
        <v>16572</v>
      </c>
      <c r="BN117" s="45">
        <f t="shared" si="16"/>
        <v>16572</v>
      </c>
      <c r="BO117" s="45">
        <f t="shared" si="17"/>
        <v>16572</v>
      </c>
      <c r="BP117" s="45">
        <f t="shared" si="18"/>
        <v>16572</v>
      </c>
      <c r="BQ117" s="45">
        <f t="shared" si="19"/>
        <v>16572</v>
      </c>
      <c r="BR117" s="45">
        <f t="shared" si="20"/>
        <v>16572</v>
      </c>
      <c r="BU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2"/>
      <c r="AU118" s="40">
        <v>101.0</v>
      </c>
      <c r="AV118" s="40">
        <v>9.0</v>
      </c>
      <c r="AW118" s="49">
        <f t="shared" si="21"/>
        <v>10138</v>
      </c>
      <c r="AX118" s="48">
        <f t="shared" si="22"/>
        <v>11839</v>
      </c>
      <c r="AY118" s="50">
        <f t="shared" si="1"/>
        <v>12046</v>
      </c>
      <c r="AZ118" s="50">
        <f t="shared" si="2"/>
        <v>14067</v>
      </c>
      <c r="BA118" s="42">
        <f t="shared" si="3"/>
        <v>13262</v>
      </c>
      <c r="BB118" s="42">
        <f t="shared" si="4"/>
        <v>13972</v>
      </c>
      <c r="BC118" s="42">
        <f t="shared" si="5"/>
        <v>14377</v>
      </c>
      <c r="BD118" s="42">
        <f t="shared" si="6"/>
        <v>14580</v>
      </c>
      <c r="BE118" s="43">
        <f t="shared" si="7"/>
        <v>14580</v>
      </c>
      <c r="BF118" s="43">
        <f t="shared" si="8"/>
        <v>14580</v>
      </c>
      <c r="BG118" s="43">
        <f t="shared" si="9"/>
        <v>14580</v>
      </c>
      <c r="BH118" s="43">
        <f t="shared" si="10"/>
        <v>14580</v>
      </c>
      <c r="BI118" s="43">
        <f t="shared" si="11"/>
        <v>14580</v>
      </c>
      <c r="BJ118" s="44">
        <f t="shared" si="12"/>
        <v>15487</v>
      </c>
      <c r="BK118" s="44">
        <f t="shared" si="13"/>
        <v>16316</v>
      </c>
      <c r="BL118" s="44">
        <f t="shared" si="14"/>
        <v>16789</v>
      </c>
      <c r="BM118" s="44">
        <f t="shared" si="15"/>
        <v>17026</v>
      </c>
      <c r="BN118" s="45">
        <f t="shared" si="16"/>
        <v>17026</v>
      </c>
      <c r="BO118" s="45">
        <f t="shared" si="17"/>
        <v>17026</v>
      </c>
      <c r="BP118" s="45">
        <f t="shared" si="18"/>
        <v>17026</v>
      </c>
      <c r="BQ118" s="45">
        <f t="shared" si="19"/>
        <v>17026</v>
      </c>
      <c r="BR118" s="45">
        <f t="shared" si="20"/>
        <v>17026</v>
      </c>
      <c r="BU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2"/>
      <c r="AU119" s="40">
        <v>102.0</v>
      </c>
      <c r="AV119" s="40">
        <v>9.0</v>
      </c>
      <c r="AW119" s="49">
        <f t="shared" si="21"/>
        <v>10233</v>
      </c>
      <c r="AX119" s="48">
        <f t="shared" si="22"/>
        <v>11950</v>
      </c>
      <c r="AY119" s="50">
        <f t="shared" si="1"/>
        <v>12141</v>
      </c>
      <c r="AZ119" s="50">
        <f t="shared" si="2"/>
        <v>14178</v>
      </c>
      <c r="BA119" s="42">
        <f t="shared" si="3"/>
        <v>13368</v>
      </c>
      <c r="BB119" s="42">
        <f t="shared" si="4"/>
        <v>14085</v>
      </c>
      <c r="BC119" s="42">
        <f t="shared" si="5"/>
        <v>14494</v>
      </c>
      <c r="BD119" s="42">
        <f t="shared" si="6"/>
        <v>14699</v>
      </c>
      <c r="BE119" s="43">
        <f t="shared" si="7"/>
        <v>14699</v>
      </c>
      <c r="BF119" s="43">
        <f t="shared" si="8"/>
        <v>14699</v>
      </c>
      <c r="BG119" s="43">
        <f t="shared" si="9"/>
        <v>14699</v>
      </c>
      <c r="BH119" s="43">
        <f t="shared" si="10"/>
        <v>14699</v>
      </c>
      <c r="BI119" s="43">
        <f t="shared" si="11"/>
        <v>14699</v>
      </c>
      <c r="BJ119" s="44">
        <f t="shared" si="12"/>
        <v>15612</v>
      </c>
      <c r="BK119" s="44">
        <f t="shared" si="13"/>
        <v>16448</v>
      </c>
      <c r="BL119" s="44">
        <f t="shared" si="14"/>
        <v>16926</v>
      </c>
      <c r="BM119" s="44">
        <f t="shared" si="15"/>
        <v>17165</v>
      </c>
      <c r="BN119" s="45">
        <f t="shared" si="16"/>
        <v>17165</v>
      </c>
      <c r="BO119" s="45">
        <f t="shared" si="17"/>
        <v>17165</v>
      </c>
      <c r="BP119" s="45">
        <f t="shared" si="18"/>
        <v>17165</v>
      </c>
      <c r="BQ119" s="45">
        <f t="shared" si="19"/>
        <v>17165</v>
      </c>
      <c r="BR119" s="45">
        <f t="shared" si="20"/>
        <v>17165</v>
      </c>
      <c r="BU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2"/>
      <c r="AU120" s="40">
        <v>103.0</v>
      </c>
      <c r="AV120" s="40">
        <v>9.0</v>
      </c>
      <c r="AW120" s="49">
        <f t="shared" si="21"/>
        <v>10328</v>
      </c>
      <c r="AX120" s="48">
        <f t="shared" si="22"/>
        <v>12061</v>
      </c>
      <c r="AY120" s="50">
        <f t="shared" si="1"/>
        <v>12236</v>
      </c>
      <c r="AZ120" s="50">
        <f t="shared" si="2"/>
        <v>14289</v>
      </c>
      <c r="BA120" s="42">
        <f t="shared" si="3"/>
        <v>13475</v>
      </c>
      <c r="BB120" s="42">
        <f t="shared" si="4"/>
        <v>14198</v>
      </c>
      <c r="BC120" s="42">
        <f t="shared" si="5"/>
        <v>14611</v>
      </c>
      <c r="BD120" s="42">
        <f t="shared" si="6"/>
        <v>14818</v>
      </c>
      <c r="BE120" s="43">
        <f t="shared" si="7"/>
        <v>14818</v>
      </c>
      <c r="BF120" s="43">
        <f t="shared" si="8"/>
        <v>14818</v>
      </c>
      <c r="BG120" s="43">
        <f t="shared" si="9"/>
        <v>14818</v>
      </c>
      <c r="BH120" s="43">
        <f t="shared" si="10"/>
        <v>14818</v>
      </c>
      <c r="BI120" s="43">
        <f t="shared" si="11"/>
        <v>14818</v>
      </c>
      <c r="BJ120" s="44">
        <f t="shared" si="12"/>
        <v>15736</v>
      </c>
      <c r="BK120" s="44">
        <f t="shared" si="13"/>
        <v>16580</v>
      </c>
      <c r="BL120" s="44">
        <f t="shared" si="14"/>
        <v>17063</v>
      </c>
      <c r="BM120" s="44">
        <f t="shared" si="15"/>
        <v>17304</v>
      </c>
      <c r="BN120" s="45">
        <f t="shared" si="16"/>
        <v>17304</v>
      </c>
      <c r="BO120" s="45">
        <f t="shared" si="17"/>
        <v>17304</v>
      </c>
      <c r="BP120" s="45">
        <f t="shared" si="18"/>
        <v>17304</v>
      </c>
      <c r="BQ120" s="45">
        <f t="shared" si="19"/>
        <v>17304</v>
      </c>
      <c r="BR120" s="45">
        <f t="shared" si="20"/>
        <v>17304</v>
      </c>
      <c r="BU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2"/>
      <c r="AU121" s="40">
        <v>104.0</v>
      </c>
      <c r="AV121" s="40">
        <v>9.0</v>
      </c>
      <c r="AW121" s="49">
        <f t="shared" si="21"/>
        <v>10423</v>
      </c>
      <c r="AX121" s="48">
        <f t="shared" si="22"/>
        <v>12172</v>
      </c>
      <c r="AY121" s="50">
        <f t="shared" si="1"/>
        <v>12331</v>
      </c>
      <c r="AZ121" s="50">
        <f t="shared" si="2"/>
        <v>14400</v>
      </c>
      <c r="BA121" s="42">
        <f t="shared" si="3"/>
        <v>13581</v>
      </c>
      <c r="BB121" s="42">
        <f t="shared" si="4"/>
        <v>14311</v>
      </c>
      <c r="BC121" s="42">
        <f t="shared" si="5"/>
        <v>14728</v>
      </c>
      <c r="BD121" s="42">
        <f t="shared" si="6"/>
        <v>14936</v>
      </c>
      <c r="BE121" s="43">
        <f t="shared" si="7"/>
        <v>14936</v>
      </c>
      <c r="BF121" s="43">
        <f t="shared" si="8"/>
        <v>14936</v>
      </c>
      <c r="BG121" s="43">
        <f t="shared" si="9"/>
        <v>14936</v>
      </c>
      <c r="BH121" s="43">
        <f t="shared" si="10"/>
        <v>14936</v>
      </c>
      <c r="BI121" s="43">
        <f t="shared" si="11"/>
        <v>14936</v>
      </c>
      <c r="BJ121" s="44">
        <f t="shared" si="12"/>
        <v>15860</v>
      </c>
      <c r="BK121" s="44">
        <f t="shared" si="13"/>
        <v>16712</v>
      </c>
      <c r="BL121" s="44">
        <f t="shared" si="14"/>
        <v>17199</v>
      </c>
      <c r="BM121" s="44">
        <f t="shared" si="15"/>
        <v>17443</v>
      </c>
      <c r="BN121" s="45">
        <f t="shared" si="16"/>
        <v>17443</v>
      </c>
      <c r="BO121" s="45">
        <f t="shared" si="17"/>
        <v>17443</v>
      </c>
      <c r="BP121" s="45">
        <f t="shared" si="18"/>
        <v>17443</v>
      </c>
      <c r="BQ121" s="45">
        <f t="shared" si="19"/>
        <v>17443</v>
      </c>
      <c r="BR121" s="45">
        <f t="shared" si="20"/>
        <v>17443</v>
      </c>
      <c r="BU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2"/>
      <c r="AU122" s="40">
        <v>105.0</v>
      </c>
      <c r="AV122" s="40">
        <v>9.0</v>
      </c>
      <c r="AW122" s="49">
        <f t="shared" si="21"/>
        <v>10519</v>
      </c>
      <c r="AX122" s="48">
        <f t="shared" si="22"/>
        <v>12284</v>
      </c>
      <c r="AY122" s="50">
        <f t="shared" si="1"/>
        <v>12427</v>
      </c>
      <c r="AZ122" s="50">
        <f t="shared" si="2"/>
        <v>14512</v>
      </c>
      <c r="BA122" s="42">
        <f t="shared" si="3"/>
        <v>13689</v>
      </c>
      <c r="BB122" s="42">
        <f t="shared" si="4"/>
        <v>14425</v>
      </c>
      <c r="BC122" s="42">
        <f t="shared" si="5"/>
        <v>14846</v>
      </c>
      <c r="BD122" s="42">
        <f t="shared" si="6"/>
        <v>15056</v>
      </c>
      <c r="BE122" s="43">
        <f t="shared" si="7"/>
        <v>15056</v>
      </c>
      <c r="BF122" s="43">
        <f t="shared" si="8"/>
        <v>15056</v>
      </c>
      <c r="BG122" s="43">
        <f t="shared" si="9"/>
        <v>15056</v>
      </c>
      <c r="BH122" s="43">
        <f t="shared" si="10"/>
        <v>15056</v>
      </c>
      <c r="BI122" s="43">
        <f t="shared" si="11"/>
        <v>15056</v>
      </c>
      <c r="BJ122" s="44">
        <f t="shared" si="12"/>
        <v>15986</v>
      </c>
      <c r="BK122" s="44">
        <f t="shared" si="13"/>
        <v>16845</v>
      </c>
      <c r="BL122" s="44">
        <f t="shared" si="14"/>
        <v>17337</v>
      </c>
      <c r="BM122" s="44">
        <f t="shared" si="15"/>
        <v>17583</v>
      </c>
      <c r="BN122" s="45">
        <f t="shared" si="16"/>
        <v>17583</v>
      </c>
      <c r="BO122" s="45">
        <f t="shared" si="17"/>
        <v>17583</v>
      </c>
      <c r="BP122" s="45">
        <f t="shared" si="18"/>
        <v>17583</v>
      </c>
      <c r="BQ122" s="45">
        <f t="shared" si="19"/>
        <v>17583</v>
      </c>
      <c r="BR122" s="45">
        <f t="shared" si="20"/>
        <v>17583</v>
      </c>
      <c r="BU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2"/>
      <c r="AU123" s="40">
        <v>106.0</v>
      </c>
      <c r="AV123" s="40">
        <v>9.0</v>
      </c>
      <c r="AW123" s="49">
        <f t="shared" si="21"/>
        <v>10614</v>
      </c>
      <c r="AX123" s="48">
        <f t="shared" si="22"/>
        <v>12396</v>
      </c>
      <c r="AY123" s="50">
        <f t="shared" si="1"/>
        <v>12522</v>
      </c>
      <c r="AZ123" s="50">
        <f t="shared" si="2"/>
        <v>14624</v>
      </c>
      <c r="BA123" s="42">
        <f t="shared" si="3"/>
        <v>13795</v>
      </c>
      <c r="BB123" s="42">
        <f t="shared" si="4"/>
        <v>14538</v>
      </c>
      <c r="BC123" s="42">
        <f t="shared" si="5"/>
        <v>14963</v>
      </c>
      <c r="BD123" s="42">
        <f t="shared" si="6"/>
        <v>15175</v>
      </c>
      <c r="BE123" s="43">
        <f t="shared" si="7"/>
        <v>15175</v>
      </c>
      <c r="BF123" s="43">
        <f t="shared" si="8"/>
        <v>15175</v>
      </c>
      <c r="BG123" s="43">
        <f t="shared" si="9"/>
        <v>15175</v>
      </c>
      <c r="BH123" s="43">
        <f t="shared" si="10"/>
        <v>15175</v>
      </c>
      <c r="BI123" s="43">
        <f t="shared" si="11"/>
        <v>15175</v>
      </c>
      <c r="BJ123" s="44">
        <f t="shared" si="12"/>
        <v>16111</v>
      </c>
      <c r="BK123" s="44">
        <f t="shared" si="13"/>
        <v>16979</v>
      </c>
      <c r="BL123" s="44">
        <f t="shared" si="14"/>
        <v>17475</v>
      </c>
      <c r="BM123" s="44">
        <f t="shared" si="15"/>
        <v>17723</v>
      </c>
      <c r="BN123" s="45">
        <f t="shared" si="16"/>
        <v>17723</v>
      </c>
      <c r="BO123" s="45">
        <f t="shared" si="17"/>
        <v>17723</v>
      </c>
      <c r="BP123" s="45">
        <f t="shared" si="18"/>
        <v>17723</v>
      </c>
      <c r="BQ123" s="45">
        <f t="shared" si="19"/>
        <v>17723</v>
      </c>
      <c r="BR123" s="45">
        <f t="shared" si="20"/>
        <v>17723</v>
      </c>
      <c r="BU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2"/>
      <c r="AU124" s="40">
        <v>107.0</v>
      </c>
      <c r="AV124" s="40">
        <v>9.0</v>
      </c>
      <c r="AW124" s="49">
        <f t="shared" si="21"/>
        <v>10710</v>
      </c>
      <c r="AX124" s="48">
        <f t="shared" si="22"/>
        <v>12507</v>
      </c>
      <c r="AY124" s="50">
        <f t="shared" si="1"/>
        <v>12618</v>
      </c>
      <c r="AZ124" s="50">
        <f t="shared" si="2"/>
        <v>14735</v>
      </c>
      <c r="BA124" s="42">
        <f t="shared" si="3"/>
        <v>13903</v>
      </c>
      <c r="BB124" s="42">
        <f t="shared" si="4"/>
        <v>14652</v>
      </c>
      <c r="BC124" s="42">
        <f t="shared" si="5"/>
        <v>15081</v>
      </c>
      <c r="BD124" s="42">
        <f t="shared" si="6"/>
        <v>15295</v>
      </c>
      <c r="BE124" s="43">
        <f t="shared" si="7"/>
        <v>15295</v>
      </c>
      <c r="BF124" s="43">
        <f t="shared" si="8"/>
        <v>15295</v>
      </c>
      <c r="BG124" s="43">
        <f t="shared" si="9"/>
        <v>15295</v>
      </c>
      <c r="BH124" s="43">
        <f t="shared" si="10"/>
        <v>15295</v>
      </c>
      <c r="BI124" s="43">
        <f t="shared" si="11"/>
        <v>15295</v>
      </c>
      <c r="BJ124" s="44">
        <f t="shared" si="12"/>
        <v>16235</v>
      </c>
      <c r="BK124" s="44">
        <f t="shared" si="13"/>
        <v>17111</v>
      </c>
      <c r="BL124" s="44">
        <f t="shared" si="14"/>
        <v>17611</v>
      </c>
      <c r="BM124" s="44">
        <f t="shared" si="15"/>
        <v>17861</v>
      </c>
      <c r="BN124" s="45">
        <f t="shared" si="16"/>
        <v>17861</v>
      </c>
      <c r="BO124" s="45">
        <f t="shared" si="17"/>
        <v>17861</v>
      </c>
      <c r="BP124" s="45">
        <f t="shared" si="18"/>
        <v>17861</v>
      </c>
      <c r="BQ124" s="45">
        <f t="shared" si="19"/>
        <v>17861</v>
      </c>
      <c r="BR124" s="45">
        <f t="shared" si="20"/>
        <v>17861</v>
      </c>
      <c r="BU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2"/>
      <c r="AU125" s="40">
        <v>108.0</v>
      </c>
      <c r="AV125" s="40">
        <v>9.0</v>
      </c>
      <c r="AW125" s="49">
        <f t="shared" si="21"/>
        <v>10806</v>
      </c>
      <c r="AX125" s="48">
        <f t="shared" si="22"/>
        <v>12619</v>
      </c>
      <c r="AY125" s="50">
        <f t="shared" si="1"/>
        <v>12714</v>
      </c>
      <c r="AZ125" s="50">
        <f t="shared" si="2"/>
        <v>14847</v>
      </c>
      <c r="BA125" s="42">
        <f t="shared" si="3"/>
        <v>14010</v>
      </c>
      <c r="BB125" s="42">
        <f t="shared" si="4"/>
        <v>14767</v>
      </c>
      <c r="BC125" s="42">
        <f t="shared" si="5"/>
        <v>15199</v>
      </c>
      <c r="BD125" s="42">
        <f t="shared" si="6"/>
        <v>15415</v>
      </c>
      <c r="BE125" s="43">
        <f t="shared" si="7"/>
        <v>15415</v>
      </c>
      <c r="BF125" s="43">
        <f t="shared" si="8"/>
        <v>15415</v>
      </c>
      <c r="BG125" s="43">
        <f t="shared" si="9"/>
        <v>15415</v>
      </c>
      <c r="BH125" s="43">
        <f t="shared" si="10"/>
        <v>15415</v>
      </c>
      <c r="BI125" s="43">
        <f t="shared" si="11"/>
        <v>15415</v>
      </c>
      <c r="BJ125" s="44">
        <f t="shared" si="12"/>
        <v>16361</v>
      </c>
      <c r="BK125" s="44">
        <f t="shared" si="13"/>
        <v>17244</v>
      </c>
      <c r="BL125" s="44">
        <f t="shared" si="14"/>
        <v>17749</v>
      </c>
      <c r="BM125" s="44">
        <f t="shared" si="15"/>
        <v>18001</v>
      </c>
      <c r="BN125" s="45">
        <f t="shared" si="16"/>
        <v>18001</v>
      </c>
      <c r="BO125" s="45">
        <f t="shared" si="17"/>
        <v>18001</v>
      </c>
      <c r="BP125" s="45">
        <f t="shared" si="18"/>
        <v>18001</v>
      </c>
      <c r="BQ125" s="45">
        <f t="shared" si="19"/>
        <v>18001</v>
      </c>
      <c r="BR125" s="45">
        <f t="shared" si="20"/>
        <v>18001</v>
      </c>
      <c r="BU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2"/>
      <c r="AU126" s="40">
        <v>109.0</v>
      </c>
      <c r="AV126" s="40">
        <v>9.0</v>
      </c>
      <c r="AW126" s="49">
        <f t="shared" si="21"/>
        <v>10902</v>
      </c>
      <c r="AX126" s="48">
        <f t="shared" si="22"/>
        <v>12731</v>
      </c>
      <c r="AY126" s="50">
        <f t="shared" si="1"/>
        <v>12810</v>
      </c>
      <c r="AZ126" s="50">
        <f t="shared" si="2"/>
        <v>14959</v>
      </c>
      <c r="BA126" s="42">
        <f t="shared" si="3"/>
        <v>14118</v>
      </c>
      <c r="BB126" s="42">
        <f t="shared" si="4"/>
        <v>14881</v>
      </c>
      <c r="BC126" s="42">
        <f t="shared" si="5"/>
        <v>15317</v>
      </c>
      <c r="BD126" s="42">
        <f t="shared" si="6"/>
        <v>15535</v>
      </c>
      <c r="BE126" s="43">
        <f t="shared" si="7"/>
        <v>15535</v>
      </c>
      <c r="BF126" s="43">
        <f t="shared" si="8"/>
        <v>15535</v>
      </c>
      <c r="BG126" s="43">
        <f t="shared" si="9"/>
        <v>15535</v>
      </c>
      <c r="BH126" s="43">
        <f t="shared" si="10"/>
        <v>15535</v>
      </c>
      <c r="BI126" s="43">
        <f t="shared" si="11"/>
        <v>15535</v>
      </c>
      <c r="BJ126" s="44">
        <f t="shared" si="12"/>
        <v>16486</v>
      </c>
      <c r="BK126" s="44">
        <f t="shared" si="13"/>
        <v>17377</v>
      </c>
      <c r="BL126" s="44">
        <f t="shared" si="14"/>
        <v>17887</v>
      </c>
      <c r="BM126" s="44">
        <f t="shared" si="15"/>
        <v>18141</v>
      </c>
      <c r="BN126" s="45">
        <f t="shared" si="16"/>
        <v>18141</v>
      </c>
      <c r="BO126" s="45">
        <f t="shared" si="17"/>
        <v>18141</v>
      </c>
      <c r="BP126" s="45">
        <f t="shared" si="18"/>
        <v>18141</v>
      </c>
      <c r="BQ126" s="45">
        <f t="shared" si="19"/>
        <v>18141</v>
      </c>
      <c r="BR126" s="45">
        <f t="shared" si="20"/>
        <v>18141</v>
      </c>
      <c r="BU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2"/>
      <c r="AU127" s="40">
        <v>110.0</v>
      </c>
      <c r="AV127" s="40">
        <v>9.0</v>
      </c>
      <c r="AW127" s="49">
        <f t="shared" si="21"/>
        <v>10998</v>
      </c>
      <c r="AX127" s="48">
        <f t="shared" si="22"/>
        <v>12843</v>
      </c>
      <c r="AY127" s="50">
        <f t="shared" si="1"/>
        <v>12906</v>
      </c>
      <c r="AZ127" s="50">
        <f t="shared" si="2"/>
        <v>15071</v>
      </c>
      <c r="BA127" s="42">
        <f t="shared" si="3"/>
        <v>14225</v>
      </c>
      <c r="BB127" s="42">
        <f t="shared" si="4"/>
        <v>14995</v>
      </c>
      <c r="BC127" s="42">
        <f t="shared" si="5"/>
        <v>15435</v>
      </c>
      <c r="BD127" s="42">
        <f t="shared" si="6"/>
        <v>15655</v>
      </c>
      <c r="BE127" s="43">
        <f t="shared" si="7"/>
        <v>15655</v>
      </c>
      <c r="BF127" s="43">
        <f t="shared" si="8"/>
        <v>15655</v>
      </c>
      <c r="BG127" s="43">
        <f t="shared" si="9"/>
        <v>15655</v>
      </c>
      <c r="BH127" s="43">
        <f t="shared" si="10"/>
        <v>15655</v>
      </c>
      <c r="BI127" s="43">
        <f t="shared" si="11"/>
        <v>15655</v>
      </c>
      <c r="BJ127" s="44">
        <f t="shared" si="12"/>
        <v>16612</v>
      </c>
      <c r="BK127" s="44">
        <f t="shared" si="13"/>
        <v>17511</v>
      </c>
      <c r="BL127" s="44">
        <f t="shared" si="14"/>
        <v>18024</v>
      </c>
      <c r="BM127" s="44">
        <f t="shared" si="15"/>
        <v>18281</v>
      </c>
      <c r="BN127" s="45">
        <f t="shared" si="16"/>
        <v>18281</v>
      </c>
      <c r="BO127" s="45">
        <f t="shared" si="17"/>
        <v>18281</v>
      </c>
      <c r="BP127" s="45">
        <f t="shared" si="18"/>
        <v>18281</v>
      </c>
      <c r="BQ127" s="45">
        <f t="shared" si="19"/>
        <v>18281</v>
      </c>
      <c r="BR127" s="45">
        <f t="shared" si="20"/>
        <v>18281</v>
      </c>
      <c r="BU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2"/>
      <c r="AU128" s="40">
        <v>110.0</v>
      </c>
      <c r="AV128" s="40">
        <v>10.0</v>
      </c>
      <c r="AW128" s="49">
        <f t="shared" si="21"/>
        <v>10998</v>
      </c>
      <c r="AX128" s="48">
        <f t="shared" si="22"/>
        <v>12843</v>
      </c>
      <c r="AY128" s="50">
        <f t="shared" si="1"/>
        <v>13197</v>
      </c>
      <c r="AZ128" s="50">
        <f t="shared" si="2"/>
        <v>15411</v>
      </c>
      <c r="BA128" s="42">
        <f t="shared" si="3"/>
        <v>14516</v>
      </c>
      <c r="BB128" s="42">
        <f t="shared" si="4"/>
        <v>15286</v>
      </c>
      <c r="BC128" s="42">
        <f t="shared" si="5"/>
        <v>15726</v>
      </c>
      <c r="BD128" s="42">
        <f t="shared" si="6"/>
        <v>15946</v>
      </c>
      <c r="BE128" s="43">
        <f t="shared" si="7"/>
        <v>15946</v>
      </c>
      <c r="BF128" s="43">
        <f t="shared" si="8"/>
        <v>15946</v>
      </c>
      <c r="BG128" s="43">
        <f t="shared" si="9"/>
        <v>15946</v>
      </c>
      <c r="BH128" s="43">
        <f t="shared" si="10"/>
        <v>15946</v>
      </c>
      <c r="BI128" s="43">
        <f t="shared" si="11"/>
        <v>15946</v>
      </c>
      <c r="BJ128" s="44">
        <f t="shared" si="12"/>
        <v>16952</v>
      </c>
      <c r="BK128" s="44">
        <f t="shared" si="13"/>
        <v>17851</v>
      </c>
      <c r="BL128" s="44">
        <f t="shared" si="14"/>
        <v>18364</v>
      </c>
      <c r="BM128" s="44">
        <f t="shared" si="15"/>
        <v>18621</v>
      </c>
      <c r="BN128" s="45">
        <f t="shared" si="16"/>
        <v>18621</v>
      </c>
      <c r="BO128" s="45">
        <f t="shared" si="17"/>
        <v>18621</v>
      </c>
      <c r="BP128" s="45">
        <f t="shared" si="18"/>
        <v>18621</v>
      </c>
      <c r="BQ128" s="45">
        <f t="shared" si="19"/>
        <v>18621</v>
      </c>
      <c r="BR128" s="45">
        <f t="shared" si="20"/>
        <v>18621</v>
      </c>
      <c r="BU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2"/>
      <c r="AU129" s="40">
        <v>111.0</v>
      </c>
      <c r="AV129" s="40">
        <v>10.0</v>
      </c>
      <c r="AW129" s="49">
        <f t="shared" si="21"/>
        <v>11094</v>
      </c>
      <c r="AX129" s="48">
        <f t="shared" si="22"/>
        <v>12955</v>
      </c>
      <c r="AY129" s="50">
        <f t="shared" si="1"/>
        <v>13293</v>
      </c>
      <c r="AZ129" s="50">
        <f t="shared" si="2"/>
        <v>15523</v>
      </c>
      <c r="BA129" s="42">
        <f t="shared" si="3"/>
        <v>14624</v>
      </c>
      <c r="BB129" s="42">
        <f t="shared" si="4"/>
        <v>15400</v>
      </c>
      <c r="BC129" s="42">
        <f t="shared" si="5"/>
        <v>15844</v>
      </c>
      <c r="BD129" s="42">
        <f t="shared" si="6"/>
        <v>16066</v>
      </c>
      <c r="BE129" s="43">
        <f t="shared" si="7"/>
        <v>16066</v>
      </c>
      <c r="BF129" s="43">
        <f t="shared" si="8"/>
        <v>16066</v>
      </c>
      <c r="BG129" s="43">
        <f t="shared" si="9"/>
        <v>16066</v>
      </c>
      <c r="BH129" s="43">
        <f t="shared" si="10"/>
        <v>16066</v>
      </c>
      <c r="BI129" s="43">
        <f t="shared" si="11"/>
        <v>16066</v>
      </c>
      <c r="BJ129" s="44">
        <f t="shared" si="12"/>
        <v>17077</v>
      </c>
      <c r="BK129" s="44">
        <f t="shared" si="13"/>
        <v>17984</v>
      </c>
      <c r="BL129" s="44">
        <f t="shared" si="14"/>
        <v>18502</v>
      </c>
      <c r="BM129" s="44">
        <f t="shared" si="15"/>
        <v>18761</v>
      </c>
      <c r="BN129" s="45">
        <f t="shared" si="16"/>
        <v>18761</v>
      </c>
      <c r="BO129" s="45">
        <f t="shared" si="17"/>
        <v>18761</v>
      </c>
      <c r="BP129" s="45">
        <f t="shared" si="18"/>
        <v>18761</v>
      </c>
      <c r="BQ129" s="45">
        <f t="shared" si="19"/>
        <v>18761</v>
      </c>
      <c r="BR129" s="45">
        <f t="shared" si="20"/>
        <v>18761</v>
      </c>
      <c r="BU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2"/>
      <c r="AU130" s="40">
        <v>112.0</v>
      </c>
      <c r="AV130" s="40">
        <v>10.0</v>
      </c>
      <c r="AW130" s="49">
        <f t="shared" si="21"/>
        <v>11190</v>
      </c>
      <c r="AX130" s="48">
        <f t="shared" si="22"/>
        <v>13067</v>
      </c>
      <c r="AY130" s="50">
        <f t="shared" si="1"/>
        <v>13389</v>
      </c>
      <c r="AZ130" s="50">
        <f t="shared" si="2"/>
        <v>15635</v>
      </c>
      <c r="BA130" s="42">
        <f t="shared" si="3"/>
        <v>14731</v>
      </c>
      <c r="BB130" s="42">
        <f t="shared" si="4"/>
        <v>15515</v>
      </c>
      <c r="BC130" s="42">
        <f t="shared" si="5"/>
        <v>15962</v>
      </c>
      <c r="BD130" s="42">
        <f t="shared" si="6"/>
        <v>16186</v>
      </c>
      <c r="BE130" s="43">
        <f t="shared" si="7"/>
        <v>16186</v>
      </c>
      <c r="BF130" s="43">
        <f t="shared" si="8"/>
        <v>16186</v>
      </c>
      <c r="BG130" s="43">
        <f t="shared" si="9"/>
        <v>16186</v>
      </c>
      <c r="BH130" s="43">
        <f t="shared" si="10"/>
        <v>16186</v>
      </c>
      <c r="BI130" s="43">
        <f t="shared" si="11"/>
        <v>16186</v>
      </c>
      <c r="BJ130" s="44">
        <f t="shared" si="12"/>
        <v>17203</v>
      </c>
      <c r="BK130" s="44">
        <f t="shared" si="13"/>
        <v>18117</v>
      </c>
      <c r="BL130" s="44">
        <f t="shared" si="14"/>
        <v>18640</v>
      </c>
      <c r="BM130" s="44">
        <f t="shared" si="15"/>
        <v>18901</v>
      </c>
      <c r="BN130" s="45">
        <f t="shared" si="16"/>
        <v>18901</v>
      </c>
      <c r="BO130" s="45">
        <f t="shared" si="17"/>
        <v>18901</v>
      </c>
      <c r="BP130" s="45">
        <f t="shared" si="18"/>
        <v>18901</v>
      </c>
      <c r="BQ130" s="45">
        <f t="shared" si="19"/>
        <v>18901</v>
      </c>
      <c r="BR130" s="45">
        <f t="shared" si="20"/>
        <v>18901</v>
      </c>
      <c r="BU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2"/>
      <c r="AU131" s="40">
        <v>113.0</v>
      </c>
      <c r="AV131" s="40">
        <v>10.0</v>
      </c>
      <c r="AW131" s="49">
        <f t="shared" si="21"/>
        <v>11286</v>
      </c>
      <c r="AX131" s="48">
        <f t="shared" si="22"/>
        <v>13180</v>
      </c>
      <c r="AY131" s="50">
        <f t="shared" si="1"/>
        <v>13485</v>
      </c>
      <c r="AZ131" s="50">
        <f t="shared" si="2"/>
        <v>15748</v>
      </c>
      <c r="BA131" s="42">
        <f t="shared" si="3"/>
        <v>14839</v>
      </c>
      <c r="BB131" s="42">
        <f t="shared" si="4"/>
        <v>15629</v>
      </c>
      <c r="BC131" s="42">
        <f t="shared" si="5"/>
        <v>16080</v>
      </c>
      <c r="BD131" s="42">
        <f t="shared" si="6"/>
        <v>16306</v>
      </c>
      <c r="BE131" s="43">
        <f t="shared" si="7"/>
        <v>16306</v>
      </c>
      <c r="BF131" s="43">
        <f t="shared" si="8"/>
        <v>16306</v>
      </c>
      <c r="BG131" s="43">
        <f t="shared" si="9"/>
        <v>16306</v>
      </c>
      <c r="BH131" s="43">
        <f t="shared" si="10"/>
        <v>16306</v>
      </c>
      <c r="BI131" s="43">
        <f t="shared" si="11"/>
        <v>16306</v>
      </c>
      <c r="BJ131" s="44">
        <f t="shared" si="12"/>
        <v>17329</v>
      </c>
      <c r="BK131" s="44">
        <f t="shared" si="13"/>
        <v>18252</v>
      </c>
      <c r="BL131" s="44">
        <f t="shared" si="14"/>
        <v>18779</v>
      </c>
      <c r="BM131" s="44">
        <f t="shared" si="15"/>
        <v>19043</v>
      </c>
      <c r="BN131" s="45">
        <f t="shared" si="16"/>
        <v>19043</v>
      </c>
      <c r="BO131" s="45">
        <f t="shared" si="17"/>
        <v>19043</v>
      </c>
      <c r="BP131" s="45">
        <f t="shared" si="18"/>
        <v>19043</v>
      </c>
      <c r="BQ131" s="45">
        <f t="shared" si="19"/>
        <v>19043</v>
      </c>
      <c r="BR131" s="45">
        <f t="shared" si="20"/>
        <v>19043</v>
      </c>
      <c r="BU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2"/>
      <c r="AU132" s="40">
        <v>114.0</v>
      </c>
      <c r="AV132" s="40">
        <v>10.0</v>
      </c>
      <c r="AW132" s="49">
        <f t="shared" si="21"/>
        <v>11382</v>
      </c>
      <c r="AX132" s="48">
        <f t="shared" si="22"/>
        <v>13292</v>
      </c>
      <c r="AY132" s="50">
        <f t="shared" si="1"/>
        <v>13581</v>
      </c>
      <c r="AZ132" s="50">
        <f t="shared" si="2"/>
        <v>15860</v>
      </c>
      <c r="BA132" s="42">
        <f t="shared" si="3"/>
        <v>14946</v>
      </c>
      <c r="BB132" s="42">
        <f t="shared" si="4"/>
        <v>15743</v>
      </c>
      <c r="BC132" s="42">
        <f t="shared" si="5"/>
        <v>16198</v>
      </c>
      <c r="BD132" s="42">
        <f t="shared" si="6"/>
        <v>16426</v>
      </c>
      <c r="BE132" s="43">
        <f t="shared" si="7"/>
        <v>16426</v>
      </c>
      <c r="BF132" s="43">
        <f t="shared" si="8"/>
        <v>16426</v>
      </c>
      <c r="BG132" s="43">
        <f t="shared" si="9"/>
        <v>16426</v>
      </c>
      <c r="BH132" s="43">
        <f t="shared" si="10"/>
        <v>16426</v>
      </c>
      <c r="BI132" s="43">
        <f t="shared" si="11"/>
        <v>16426</v>
      </c>
      <c r="BJ132" s="44">
        <f t="shared" si="12"/>
        <v>17455</v>
      </c>
      <c r="BK132" s="44">
        <f t="shared" si="13"/>
        <v>18385</v>
      </c>
      <c r="BL132" s="44">
        <f t="shared" si="14"/>
        <v>18917</v>
      </c>
      <c r="BM132" s="44">
        <f t="shared" si="15"/>
        <v>19183</v>
      </c>
      <c r="BN132" s="45">
        <f t="shared" si="16"/>
        <v>19183</v>
      </c>
      <c r="BO132" s="45">
        <f t="shared" si="17"/>
        <v>19183</v>
      </c>
      <c r="BP132" s="45">
        <f t="shared" si="18"/>
        <v>19183</v>
      </c>
      <c r="BQ132" s="45">
        <f t="shared" si="19"/>
        <v>19183</v>
      </c>
      <c r="BR132" s="45">
        <f t="shared" si="20"/>
        <v>19183</v>
      </c>
      <c r="BU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2"/>
      <c r="AU133" s="40">
        <v>115.0</v>
      </c>
      <c r="AV133" s="40">
        <v>10.0</v>
      </c>
      <c r="AW133" s="49">
        <f t="shared" si="21"/>
        <v>11478</v>
      </c>
      <c r="AX133" s="48">
        <f t="shared" si="22"/>
        <v>13404</v>
      </c>
      <c r="AY133" s="50">
        <f t="shared" si="1"/>
        <v>13677</v>
      </c>
      <c r="AZ133" s="50">
        <f t="shared" si="2"/>
        <v>15972</v>
      </c>
      <c r="BA133" s="42">
        <f t="shared" si="3"/>
        <v>15054</v>
      </c>
      <c r="BB133" s="42">
        <f t="shared" si="4"/>
        <v>15857</v>
      </c>
      <c r="BC133" s="42">
        <f t="shared" si="5"/>
        <v>16316</v>
      </c>
      <c r="BD133" s="42">
        <f t="shared" si="6"/>
        <v>16546</v>
      </c>
      <c r="BE133" s="43">
        <f t="shared" si="7"/>
        <v>16546</v>
      </c>
      <c r="BF133" s="43">
        <f t="shared" si="8"/>
        <v>16546</v>
      </c>
      <c r="BG133" s="43">
        <f t="shared" si="9"/>
        <v>16546</v>
      </c>
      <c r="BH133" s="43">
        <f t="shared" si="10"/>
        <v>16546</v>
      </c>
      <c r="BI133" s="43">
        <f t="shared" si="11"/>
        <v>16546</v>
      </c>
      <c r="BJ133" s="44">
        <f t="shared" si="12"/>
        <v>17580</v>
      </c>
      <c r="BK133" s="44">
        <f t="shared" si="13"/>
        <v>18518</v>
      </c>
      <c r="BL133" s="44">
        <f t="shared" si="14"/>
        <v>19054</v>
      </c>
      <c r="BM133" s="44">
        <f t="shared" si="15"/>
        <v>19323</v>
      </c>
      <c r="BN133" s="45">
        <f t="shared" si="16"/>
        <v>19323</v>
      </c>
      <c r="BO133" s="45">
        <f t="shared" si="17"/>
        <v>19323</v>
      </c>
      <c r="BP133" s="45">
        <f t="shared" si="18"/>
        <v>19323</v>
      </c>
      <c r="BQ133" s="45">
        <f t="shared" si="19"/>
        <v>19323</v>
      </c>
      <c r="BR133" s="45">
        <f t="shared" si="20"/>
        <v>19323</v>
      </c>
      <c r="BU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2"/>
      <c r="AU134" s="40">
        <v>116.0</v>
      </c>
      <c r="AV134" s="40">
        <v>10.0</v>
      </c>
      <c r="AW134" s="49">
        <f t="shared" si="21"/>
        <v>11575</v>
      </c>
      <c r="AX134" s="48">
        <f t="shared" si="22"/>
        <v>13517</v>
      </c>
      <c r="AY134" s="50">
        <f t="shared" si="1"/>
        <v>13774</v>
      </c>
      <c r="AZ134" s="50">
        <f t="shared" si="2"/>
        <v>16085</v>
      </c>
      <c r="BA134" s="42">
        <f t="shared" si="3"/>
        <v>15163</v>
      </c>
      <c r="BB134" s="42">
        <f t="shared" si="4"/>
        <v>15973</v>
      </c>
      <c r="BC134" s="42">
        <f t="shared" si="5"/>
        <v>16436</v>
      </c>
      <c r="BD134" s="42">
        <f t="shared" si="6"/>
        <v>16667</v>
      </c>
      <c r="BE134" s="43">
        <f t="shared" si="7"/>
        <v>16667</v>
      </c>
      <c r="BF134" s="43">
        <f t="shared" si="8"/>
        <v>16667</v>
      </c>
      <c r="BG134" s="43">
        <f t="shared" si="9"/>
        <v>16667</v>
      </c>
      <c r="BH134" s="43">
        <f t="shared" si="10"/>
        <v>16667</v>
      </c>
      <c r="BI134" s="43">
        <f t="shared" si="11"/>
        <v>16667</v>
      </c>
      <c r="BJ134" s="44">
        <f t="shared" si="12"/>
        <v>17707</v>
      </c>
      <c r="BK134" s="44">
        <f t="shared" si="13"/>
        <v>18653</v>
      </c>
      <c r="BL134" s="44">
        <f t="shared" si="14"/>
        <v>19193</v>
      </c>
      <c r="BM134" s="44">
        <f t="shared" si="15"/>
        <v>19464</v>
      </c>
      <c r="BN134" s="45">
        <f t="shared" si="16"/>
        <v>19464</v>
      </c>
      <c r="BO134" s="45">
        <f t="shared" si="17"/>
        <v>19464</v>
      </c>
      <c r="BP134" s="45">
        <f t="shared" si="18"/>
        <v>19464</v>
      </c>
      <c r="BQ134" s="45">
        <f t="shared" si="19"/>
        <v>19464</v>
      </c>
      <c r="BR134" s="45">
        <f t="shared" si="20"/>
        <v>19464</v>
      </c>
      <c r="BU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2"/>
      <c r="AU135" s="40">
        <v>117.0</v>
      </c>
      <c r="AV135" s="40">
        <v>10.0</v>
      </c>
      <c r="AW135" s="49">
        <f t="shared" si="21"/>
        <v>11671</v>
      </c>
      <c r="AX135" s="48">
        <f t="shared" si="22"/>
        <v>13630</v>
      </c>
      <c r="AY135" s="50">
        <f t="shared" si="1"/>
        <v>13870</v>
      </c>
      <c r="AZ135" s="50">
        <f t="shared" si="2"/>
        <v>16198</v>
      </c>
      <c r="BA135" s="42">
        <f t="shared" si="3"/>
        <v>15270</v>
      </c>
      <c r="BB135" s="42">
        <f t="shared" si="4"/>
        <v>16087</v>
      </c>
      <c r="BC135" s="42">
        <f t="shared" si="5"/>
        <v>16554</v>
      </c>
      <c r="BD135" s="42">
        <f t="shared" si="6"/>
        <v>16787</v>
      </c>
      <c r="BE135" s="43">
        <f t="shared" si="7"/>
        <v>16787</v>
      </c>
      <c r="BF135" s="43">
        <f t="shared" si="8"/>
        <v>16787</v>
      </c>
      <c r="BG135" s="43">
        <f t="shared" si="9"/>
        <v>16787</v>
      </c>
      <c r="BH135" s="43">
        <f t="shared" si="10"/>
        <v>16787</v>
      </c>
      <c r="BI135" s="43">
        <f t="shared" si="11"/>
        <v>16787</v>
      </c>
      <c r="BJ135" s="44">
        <f t="shared" si="12"/>
        <v>17833</v>
      </c>
      <c r="BK135" s="44">
        <f t="shared" si="13"/>
        <v>18787</v>
      </c>
      <c r="BL135" s="44">
        <f t="shared" si="14"/>
        <v>19332</v>
      </c>
      <c r="BM135" s="44">
        <f t="shared" si="15"/>
        <v>19605</v>
      </c>
      <c r="BN135" s="45">
        <f t="shared" si="16"/>
        <v>19605</v>
      </c>
      <c r="BO135" s="45">
        <f t="shared" si="17"/>
        <v>19605</v>
      </c>
      <c r="BP135" s="45">
        <f t="shared" si="18"/>
        <v>19605</v>
      </c>
      <c r="BQ135" s="45">
        <f t="shared" si="19"/>
        <v>19605</v>
      </c>
      <c r="BR135" s="45">
        <f t="shared" si="20"/>
        <v>19605</v>
      </c>
      <c r="BU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2"/>
      <c r="AU136" s="40">
        <v>118.0</v>
      </c>
      <c r="AV136" s="40">
        <v>10.0</v>
      </c>
      <c r="AW136" s="49">
        <f t="shared" si="21"/>
        <v>11768</v>
      </c>
      <c r="AX136" s="48">
        <f t="shared" si="22"/>
        <v>13743</v>
      </c>
      <c r="AY136" s="50">
        <f t="shared" si="1"/>
        <v>13967</v>
      </c>
      <c r="AZ136" s="50">
        <f t="shared" si="2"/>
        <v>16311</v>
      </c>
      <c r="BA136" s="42">
        <f t="shared" si="3"/>
        <v>15379</v>
      </c>
      <c r="BB136" s="42">
        <f t="shared" si="4"/>
        <v>16202</v>
      </c>
      <c r="BC136" s="42">
        <f t="shared" si="5"/>
        <v>16673</v>
      </c>
      <c r="BD136" s="42">
        <f t="shared" si="6"/>
        <v>16909</v>
      </c>
      <c r="BE136" s="43">
        <f t="shared" si="7"/>
        <v>16909</v>
      </c>
      <c r="BF136" s="43">
        <f t="shared" si="8"/>
        <v>16909</v>
      </c>
      <c r="BG136" s="43">
        <f t="shared" si="9"/>
        <v>16909</v>
      </c>
      <c r="BH136" s="43">
        <f t="shared" si="10"/>
        <v>16909</v>
      </c>
      <c r="BI136" s="43">
        <f t="shared" si="11"/>
        <v>16909</v>
      </c>
      <c r="BJ136" s="44">
        <f t="shared" si="12"/>
        <v>17960</v>
      </c>
      <c r="BK136" s="44">
        <f t="shared" si="13"/>
        <v>18922</v>
      </c>
      <c r="BL136" s="44">
        <f t="shared" si="14"/>
        <v>19471</v>
      </c>
      <c r="BM136" s="44">
        <f t="shared" si="15"/>
        <v>19746</v>
      </c>
      <c r="BN136" s="45">
        <f t="shared" si="16"/>
        <v>19746</v>
      </c>
      <c r="BO136" s="45">
        <f t="shared" si="17"/>
        <v>19746</v>
      </c>
      <c r="BP136" s="45">
        <f t="shared" si="18"/>
        <v>19746</v>
      </c>
      <c r="BQ136" s="45">
        <f t="shared" si="19"/>
        <v>19746</v>
      </c>
      <c r="BR136" s="45">
        <f t="shared" si="20"/>
        <v>19746</v>
      </c>
      <c r="BU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2"/>
      <c r="AU137" s="40">
        <v>119.0</v>
      </c>
      <c r="AV137" s="40">
        <v>10.0</v>
      </c>
      <c r="AW137" s="49">
        <f t="shared" si="21"/>
        <v>11865</v>
      </c>
      <c r="AX137" s="48">
        <f t="shared" si="22"/>
        <v>13855</v>
      </c>
      <c r="AY137" s="50">
        <f t="shared" si="1"/>
        <v>14064</v>
      </c>
      <c r="AZ137" s="50">
        <f t="shared" si="2"/>
        <v>16423</v>
      </c>
      <c r="BA137" s="42">
        <f t="shared" si="3"/>
        <v>15487</v>
      </c>
      <c r="BB137" s="42">
        <f t="shared" si="4"/>
        <v>16318</v>
      </c>
      <c r="BC137" s="42">
        <f t="shared" si="5"/>
        <v>16792</v>
      </c>
      <c r="BD137" s="42">
        <f t="shared" si="6"/>
        <v>17030</v>
      </c>
      <c r="BE137" s="43">
        <f t="shared" si="7"/>
        <v>17030</v>
      </c>
      <c r="BF137" s="43">
        <f t="shared" si="8"/>
        <v>17030</v>
      </c>
      <c r="BG137" s="43">
        <f t="shared" si="9"/>
        <v>17030</v>
      </c>
      <c r="BH137" s="43">
        <f t="shared" si="10"/>
        <v>17030</v>
      </c>
      <c r="BI137" s="43">
        <f t="shared" si="11"/>
        <v>17030</v>
      </c>
      <c r="BJ137" s="44">
        <f t="shared" si="12"/>
        <v>18085</v>
      </c>
      <c r="BK137" s="44">
        <f t="shared" si="13"/>
        <v>19055</v>
      </c>
      <c r="BL137" s="44">
        <f t="shared" si="14"/>
        <v>19609</v>
      </c>
      <c r="BM137" s="44">
        <f t="shared" si="15"/>
        <v>19886</v>
      </c>
      <c r="BN137" s="45">
        <f t="shared" si="16"/>
        <v>19886</v>
      </c>
      <c r="BO137" s="45">
        <f t="shared" si="17"/>
        <v>19886</v>
      </c>
      <c r="BP137" s="45">
        <f t="shared" si="18"/>
        <v>19886</v>
      </c>
      <c r="BQ137" s="45">
        <f t="shared" si="19"/>
        <v>19886</v>
      </c>
      <c r="BR137" s="45">
        <f t="shared" si="20"/>
        <v>19886</v>
      </c>
      <c r="BU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2"/>
      <c r="AU138" s="40">
        <v>120.0</v>
      </c>
      <c r="AV138" s="40">
        <v>10.0</v>
      </c>
      <c r="AW138" s="49">
        <f t="shared" si="21"/>
        <v>11961</v>
      </c>
      <c r="AX138" s="48">
        <f t="shared" si="22"/>
        <v>13968</v>
      </c>
      <c r="AY138" s="50">
        <f t="shared" si="1"/>
        <v>14160</v>
      </c>
      <c r="AZ138" s="50">
        <f t="shared" si="2"/>
        <v>16536</v>
      </c>
      <c r="BA138" s="42">
        <f t="shared" si="3"/>
        <v>15595</v>
      </c>
      <c r="BB138" s="42">
        <f t="shared" si="4"/>
        <v>16432</v>
      </c>
      <c r="BC138" s="42">
        <f t="shared" si="5"/>
        <v>16911</v>
      </c>
      <c r="BD138" s="42">
        <f t="shared" si="6"/>
        <v>17150</v>
      </c>
      <c r="BE138" s="43">
        <f t="shared" si="7"/>
        <v>17150</v>
      </c>
      <c r="BF138" s="43">
        <f t="shared" si="8"/>
        <v>17150</v>
      </c>
      <c r="BG138" s="43">
        <f t="shared" si="9"/>
        <v>17150</v>
      </c>
      <c r="BH138" s="43">
        <f t="shared" si="10"/>
        <v>17150</v>
      </c>
      <c r="BI138" s="43">
        <f t="shared" si="11"/>
        <v>17150</v>
      </c>
      <c r="BJ138" s="44">
        <f t="shared" si="12"/>
        <v>18212</v>
      </c>
      <c r="BK138" s="44">
        <f t="shared" si="13"/>
        <v>19189</v>
      </c>
      <c r="BL138" s="44">
        <f t="shared" si="14"/>
        <v>19748</v>
      </c>
      <c r="BM138" s="44">
        <f t="shared" si="15"/>
        <v>20028</v>
      </c>
      <c r="BN138" s="45">
        <f t="shared" si="16"/>
        <v>20028</v>
      </c>
      <c r="BO138" s="45">
        <f t="shared" si="17"/>
        <v>20028</v>
      </c>
      <c r="BP138" s="45">
        <f t="shared" si="18"/>
        <v>20028</v>
      </c>
      <c r="BQ138" s="45">
        <f t="shared" si="19"/>
        <v>20028</v>
      </c>
      <c r="BR138" s="45">
        <f t="shared" si="20"/>
        <v>20028</v>
      </c>
      <c r="BU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2"/>
      <c r="AU139" s="40">
        <v>120.0</v>
      </c>
      <c r="AV139" s="40">
        <v>11.0</v>
      </c>
      <c r="AW139" s="49">
        <f t="shared" si="21"/>
        <v>11961</v>
      </c>
      <c r="AX139" s="48">
        <f t="shared" si="22"/>
        <v>13968</v>
      </c>
      <c r="AY139" s="50">
        <f t="shared" si="1"/>
        <v>14951</v>
      </c>
      <c r="AZ139" s="50">
        <f t="shared" si="2"/>
        <v>17460</v>
      </c>
      <c r="BA139" s="42">
        <f t="shared" si="3"/>
        <v>16386</v>
      </c>
      <c r="BB139" s="42">
        <f t="shared" si="4"/>
        <v>17223</v>
      </c>
      <c r="BC139" s="42">
        <f t="shared" si="5"/>
        <v>17702</v>
      </c>
      <c r="BD139" s="42">
        <f t="shared" si="6"/>
        <v>17941</v>
      </c>
      <c r="BE139" s="43">
        <f t="shared" si="7"/>
        <v>17941</v>
      </c>
      <c r="BF139" s="43">
        <f t="shared" si="8"/>
        <v>17941</v>
      </c>
      <c r="BG139" s="43">
        <f t="shared" si="9"/>
        <v>17941</v>
      </c>
      <c r="BH139" s="43">
        <f t="shared" si="10"/>
        <v>17941</v>
      </c>
      <c r="BI139" s="43">
        <f t="shared" si="11"/>
        <v>17941</v>
      </c>
      <c r="BJ139" s="44">
        <f t="shared" si="12"/>
        <v>19136</v>
      </c>
      <c r="BK139" s="44">
        <f t="shared" si="13"/>
        <v>20113</v>
      </c>
      <c r="BL139" s="44">
        <f t="shared" si="14"/>
        <v>20672</v>
      </c>
      <c r="BM139" s="44">
        <f t="shared" si="15"/>
        <v>20952</v>
      </c>
      <c r="BN139" s="45">
        <f t="shared" si="16"/>
        <v>20952</v>
      </c>
      <c r="BO139" s="45">
        <f t="shared" si="17"/>
        <v>20952</v>
      </c>
      <c r="BP139" s="45">
        <f t="shared" si="18"/>
        <v>20952</v>
      </c>
      <c r="BQ139" s="45">
        <f t="shared" si="19"/>
        <v>20952</v>
      </c>
      <c r="BR139" s="45">
        <f t="shared" si="20"/>
        <v>20952</v>
      </c>
      <c r="BU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2"/>
      <c r="AU140" s="40">
        <v>121.0</v>
      </c>
      <c r="AV140" s="40">
        <v>11.0</v>
      </c>
      <c r="AW140" s="49">
        <f t="shared" si="21"/>
        <v>12058</v>
      </c>
      <c r="AX140" s="48">
        <f t="shared" si="22"/>
        <v>14082</v>
      </c>
      <c r="AY140" s="50">
        <f t="shared" si="1"/>
        <v>15048</v>
      </c>
      <c r="AZ140" s="50">
        <f t="shared" si="2"/>
        <v>17574</v>
      </c>
      <c r="BA140" s="42">
        <f t="shared" si="3"/>
        <v>16494</v>
      </c>
      <c r="BB140" s="42">
        <f t="shared" si="4"/>
        <v>17339</v>
      </c>
      <c r="BC140" s="42">
        <f t="shared" si="5"/>
        <v>17821</v>
      </c>
      <c r="BD140" s="42">
        <f t="shared" si="6"/>
        <v>18062</v>
      </c>
      <c r="BE140" s="43">
        <f t="shared" si="7"/>
        <v>18062</v>
      </c>
      <c r="BF140" s="43">
        <f t="shared" si="8"/>
        <v>18062</v>
      </c>
      <c r="BG140" s="43">
        <f t="shared" si="9"/>
        <v>18062</v>
      </c>
      <c r="BH140" s="43">
        <f t="shared" si="10"/>
        <v>18062</v>
      </c>
      <c r="BI140" s="43">
        <f t="shared" si="11"/>
        <v>18062</v>
      </c>
      <c r="BJ140" s="44">
        <f t="shared" si="12"/>
        <v>19263</v>
      </c>
      <c r="BK140" s="44">
        <f t="shared" si="13"/>
        <v>20249</v>
      </c>
      <c r="BL140" s="44">
        <f t="shared" si="14"/>
        <v>20812</v>
      </c>
      <c r="BM140" s="44">
        <f t="shared" si="15"/>
        <v>21094</v>
      </c>
      <c r="BN140" s="45">
        <f t="shared" si="16"/>
        <v>21094</v>
      </c>
      <c r="BO140" s="45">
        <f t="shared" si="17"/>
        <v>21094</v>
      </c>
      <c r="BP140" s="45">
        <f t="shared" si="18"/>
        <v>21094</v>
      </c>
      <c r="BQ140" s="45">
        <f t="shared" si="19"/>
        <v>21094</v>
      </c>
      <c r="BR140" s="45">
        <f t="shared" si="20"/>
        <v>21094</v>
      </c>
      <c r="BU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2"/>
      <c r="AU141" s="40">
        <v>122.0</v>
      </c>
      <c r="AV141" s="40">
        <v>11.0</v>
      </c>
      <c r="AW141" s="49">
        <f t="shared" si="21"/>
        <v>12155</v>
      </c>
      <c r="AX141" s="48">
        <f t="shared" si="22"/>
        <v>14195</v>
      </c>
      <c r="AY141" s="50">
        <f t="shared" si="1"/>
        <v>15145</v>
      </c>
      <c r="AZ141" s="50">
        <f t="shared" si="2"/>
        <v>17687</v>
      </c>
      <c r="BA141" s="42">
        <f t="shared" si="3"/>
        <v>16603</v>
      </c>
      <c r="BB141" s="42">
        <f t="shared" si="4"/>
        <v>17454</v>
      </c>
      <c r="BC141" s="42">
        <f t="shared" si="5"/>
        <v>17940</v>
      </c>
      <c r="BD141" s="42">
        <f t="shared" si="6"/>
        <v>18183</v>
      </c>
      <c r="BE141" s="43">
        <f t="shared" si="7"/>
        <v>18183</v>
      </c>
      <c r="BF141" s="43">
        <f t="shared" si="8"/>
        <v>18183</v>
      </c>
      <c r="BG141" s="43">
        <f t="shared" si="9"/>
        <v>18183</v>
      </c>
      <c r="BH141" s="43">
        <f t="shared" si="10"/>
        <v>18183</v>
      </c>
      <c r="BI141" s="43">
        <f t="shared" si="11"/>
        <v>18183</v>
      </c>
      <c r="BJ141" s="44">
        <f t="shared" si="12"/>
        <v>19390</v>
      </c>
      <c r="BK141" s="44">
        <f t="shared" si="13"/>
        <v>20384</v>
      </c>
      <c r="BL141" s="44">
        <f t="shared" si="14"/>
        <v>20951</v>
      </c>
      <c r="BM141" s="44">
        <f t="shared" si="15"/>
        <v>21235</v>
      </c>
      <c r="BN141" s="45">
        <f t="shared" si="16"/>
        <v>21235</v>
      </c>
      <c r="BO141" s="45">
        <f t="shared" si="17"/>
        <v>21235</v>
      </c>
      <c r="BP141" s="45">
        <f t="shared" si="18"/>
        <v>21235</v>
      </c>
      <c r="BQ141" s="45">
        <f t="shared" si="19"/>
        <v>21235</v>
      </c>
      <c r="BR141" s="45">
        <f t="shared" si="20"/>
        <v>21235</v>
      </c>
      <c r="BU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2"/>
      <c r="AU142" s="40">
        <v>123.0</v>
      </c>
      <c r="AV142" s="40">
        <v>11.0</v>
      </c>
      <c r="AW142" s="49">
        <f t="shared" si="21"/>
        <v>12252</v>
      </c>
      <c r="AX142" s="48">
        <f t="shared" si="22"/>
        <v>14308</v>
      </c>
      <c r="AY142" s="50">
        <f t="shared" si="1"/>
        <v>15242</v>
      </c>
      <c r="AZ142" s="50">
        <f t="shared" si="2"/>
        <v>17800</v>
      </c>
      <c r="BA142" s="42">
        <f t="shared" si="3"/>
        <v>16712</v>
      </c>
      <c r="BB142" s="42">
        <f t="shared" si="4"/>
        <v>17569</v>
      </c>
      <c r="BC142" s="42">
        <f t="shared" si="5"/>
        <v>18059</v>
      </c>
      <c r="BD142" s="42">
        <f t="shared" si="6"/>
        <v>18305</v>
      </c>
      <c r="BE142" s="43">
        <f t="shared" si="7"/>
        <v>18305</v>
      </c>
      <c r="BF142" s="43">
        <f t="shared" si="8"/>
        <v>18305</v>
      </c>
      <c r="BG142" s="43">
        <f t="shared" si="9"/>
        <v>18305</v>
      </c>
      <c r="BH142" s="43">
        <f t="shared" si="10"/>
        <v>18305</v>
      </c>
      <c r="BI142" s="43">
        <f t="shared" si="11"/>
        <v>18305</v>
      </c>
      <c r="BJ142" s="44">
        <f t="shared" si="12"/>
        <v>19516</v>
      </c>
      <c r="BK142" s="44">
        <f t="shared" si="13"/>
        <v>20518</v>
      </c>
      <c r="BL142" s="44">
        <f t="shared" si="14"/>
        <v>21090</v>
      </c>
      <c r="BM142" s="44">
        <f t="shared" si="15"/>
        <v>21377</v>
      </c>
      <c r="BN142" s="45">
        <f t="shared" si="16"/>
        <v>21377</v>
      </c>
      <c r="BO142" s="45">
        <f t="shared" si="17"/>
        <v>21377</v>
      </c>
      <c r="BP142" s="45">
        <f t="shared" si="18"/>
        <v>21377</v>
      </c>
      <c r="BQ142" s="45">
        <f t="shared" si="19"/>
        <v>21377</v>
      </c>
      <c r="BR142" s="45">
        <f t="shared" si="20"/>
        <v>21377</v>
      </c>
      <c r="BU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2"/>
      <c r="AU143" s="40">
        <v>124.0</v>
      </c>
      <c r="AV143" s="40">
        <v>11.0</v>
      </c>
      <c r="AW143" s="49">
        <f t="shared" si="21"/>
        <v>12349</v>
      </c>
      <c r="AX143" s="48">
        <f t="shared" si="22"/>
        <v>14421</v>
      </c>
      <c r="AY143" s="50">
        <f t="shared" si="1"/>
        <v>15339</v>
      </c>
      <c r="AZ143" s="50">
        <f t="shared" si="2"/>
        <v>17913</v>
      </c>
      <c r="BA143" s="42">
        <f t="shared" si="3"/>
        <v>16820</v>
      </c>
      <c r="BB143" s="42">
        <f t="shared" si="4"/>
        <v>17685</v>
      </c>
      <c r="BC143" s="42">
        <f t="shared" si="5"/>
        <v>18179</v>
      </c>
      <c r="BD143" s="42">
        <f t="shared" si="6"/>
        <v>18426</v>
      </c>
      <c r="BE143" s="43">
        <f t="shared" si="7"/>
        <v>18426</v>
      </c>
      <c r="BF143" s="43">
        <f t="shared" si="8"/>
        <v>18426</v>
      </c>
      <c r="BG143" s="43">
        <f t="shared" si="9"/>
        <v>18426</v>
      </c>
      <c r="BH143" s="43">
        <f t="shared" si="10"/>
        <v>18426</v>
      </c>
      <c r="BI143" s="43">
        <f t="shared" si="11"/>
        <v>18426</v>
      </c>
      <c r="BJ143" s="44">
        <f t="shared" si="12"/>
        <v>19643</v>
      </c>
      <c r="BK143" s="44">
        <f t="shared" si="13"/>
        <v>20652</v>
      </c>
      <c r="BL143" s="44">
        <f t="shared" si="14"/>
        <v>21229</v>
      </c>
      <c r="BM143" s="44">
        <f t="shared" si="15"/>
        <v>21518</v>
      </c>
      <c r="BN143" s="45">
        <f t="shared" si="16"/>
        <v>21518</v>
      </c>
      <c r="BO143" s="45">
        <f t="shared" si="17"/>
        <v>21518</v>
      </c>
      <c r="BP143" s="45">
        <f t="shared" si="18"/>
        <v>21518</v>
      </c>
      <c r="BQ143" s="45">
        <f t="shared" si="19"/>
        <v>21518</v>
      </c>
      <c r="BR143" s="45">
        <f t="shared" si="20"/>
        <v>21518</v>
      </c>
      <c r="BU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2"/>
      <c r="AU144" s="40">
        <v>125.0</v>
      </c>
      <c r="AV144" s="40">
        <v>11.0</v>
      </c>
      <c r="AW144" s="49">
        <f t="shared" si="21"/>
        <v>12446</v>
      </c>
      <c r="AX144" s="48">
        <f t="shared" si="22"/>
        <v>14535</v>
      </c>
      <c r="AY144" s="50">
        <f t="shared" si="1"/>
        <v>15436</v>
      </c>
      <c r="AZ144" s="50">
        <f t="shared" si="2"/>
        <v>18027</v>
      </c>
      <c r="BA144" s="42">
        <f t="shared" si="3"/>
        <v>16929</v>
      </c>
      <c r="BB144" s="42">
        <f t="shared" si="4"/>
        <v>17800</v>
      </c>
      <c r="BC144" s="42">
        <f t="shared" si="5"/>
        <v>18298</v>
      </c>
      <c r="BD144" s="42">
        <f t="shared" si="6"/>
        <v>18547</v>
      </c>
      <c r="BE144" s="43">
        <f t="shared" si="7"/>
        <v>18547</v>
      </c>
      <c r="BF144" s="43">
        <f t="shared" si="8"/>
        <v>18547</v>
      </c>
      <c r="BG144" s="43">
        <f t="shared" si="9"/>
        <v>18547</v>
      </c>
      <c r="BH144" s="43">
        <f t="shared" si="10"/>
        <v>18547</v>
      </c>
      <c r="BI144" s="43">
        <f t="shared" si="11"/>
        <v>18547</v>
      </c>
      <c r="BJ144" s="44">
        <f t="shared" si="12"/>
        <v>19771</v>
      </c>
      <c r="BK144" s="44">
        <f t="shared" si="13"/>
        <v>20788</v>
      </c>
      <c r="BL144" s="44">
        <f t="shared" si="14"/>
        <v>21370</v>
      </c>
      <c r="BM144" s="44">
        <f t="shared" si="15"/>
        <v>21660</v>
      </c>
      <c r="BN144" s="45">
        <f t="shared" si="16"/>
        <v>21660</v>
      </c>
      <c r="BO144" s="45">
        <f t="shared" si="17"/>
        <v>21660</v>
      </c>
      <c r="BP144" s="45">
        <f t="shared" si="18"/>
        <v>21660</v>
      </c>
      <c r="BQ144" s="45">
        <f t="shared" si="19"/>
        <v>21660</v>
      </c>
      <c r="BR144" s="45">
        <f t="shared" si="20"/>
        <v>21660</v>
      </c>
      <c r="BU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2"/>
      <c r="AU145" s="40">
        <v>126.0</v>
      </c>
      <c r="AV145" s="40">
        <v>11.0</v>
      </c>
      <c r="AW145" s="49">
        <f t="shared" si="21"/>
        <v>12544</v>
      </c>
      <c r="AX145" s="48">
        <f t="shared" si="22"/>
        <v>14648</v>
      </c>
      <c r="AY145" s="50">
        <f t="shared" si="1"/>
        <v>15534</v>
      </c>
      <c r="AZ145" s="50">
        <f t="shared" si="2"/>
        <v>18140</v>
      </c>
      <c r="BA145" s="42">
        <f t="shared" si="3"/>
        <v>17039</v>
      </c>
      <c r="BB145" s="42">
        <f t="shared" si="4"/>
        <v>17917</v>
      </c>
      <c r="BC145" s="42">
        <f t="shared" si="5"/>
        <v>18419</v>
      </c>
      <c r="BD145" s="42">
        <f t="shared" si="6"/>
        <v>18670</v>
      </c>
      <c r="BE145" s="43">
        <f t="shared" si="7"/>
        <v>18670</v>
      </c>
      <c r="BF145" s="43">
        <f t="shared" si="8"/>
        <v>18670</v>
      </c>
      <c r="BG145" s="43">
        <f t="shared" si="9"/>
        <v>18670</v>
      </c>
      <c r="BH145" s="43">
        <f t="shared" si="10"/>
        <v>18670</v>
      </c>
      <c r="BI145" s="43">
        <f t="shared" si="11"/>
        <v>18670</v>
      </c>
      <c r="BJ145" s="44">
        <f t="shared" si="12"/>
        <v>19897</v>
      </c>
      <c r="BK145" s="44">
        <f t="shared" si="13"/>
        <v>20923</v>
      </c>
      <c r="BL145" s="44">
        <f t="shared" si="14"/>
        <v>21509</v>
      </c>
      <c r="BM145" s="44">
        <f t="shared" si="15"/>
        <v>21802</v>
      </c>
      <c r="BN145" s="45">
        <f t="shared" si="16"/>
        <v>21802</v>
      </c>
      <c r="BO145" s="45">
        <f t="shared" si="17"/>
        <v>21802</v>
      </c>
      <c r="BP145" s="45">
        <f t="shared" si="18"/>
        <v>21802</v>
      </c>
      <c r="BQ145" s="45">
        <f t="shared" si="19"/>
        <v>21802</v>
      </c>
      <c r="BR145" s="45">
        <f t="shared" si="20"/>
        <v>21802</v>
      </c>
      <c r="BU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2"/>
      <c r="AU146" s="40">
        <v>127.0</v>
      </c>
      <c r="AV146" s="40">
        <v>11.0</v>
      </c>
      <c r="AW146" s="49">
        <f t="shared" si="21"/>
        <v>12641</v>
      </c>
      <c r="AX146" s="48">
        <f t="shared" si="22"/>
        <v>14762</v>
      </c>
      <c r="AY146" s="50">
        <f t="shared" si="1"/>
        <v>15631</v>
      </c>
      <c r="AZ146" s="50">
        <f t="shared" si="2"/>
        <v>18254</v>
      </c>
      <c r="BA146" s="42">
        <f t="shared" si="3"/>
        <v>17147</v>
      </c>
      <c r="BB146" s="42">
        <f t="shared" si="4"/>
        <v>18032</v>
      </c>
      <c r="BC146" s="42">
        <f t="shared" si="5"/>
        <v>18538</v>
      </c>
      <c r="BD146" s="42">
        <f t="shared" si="6"/>
        <v>18791</v>
      </c>
      <c r="BE146" s="43">
        <f t="shared" si="7"/>
        <v>18791</v>
      </c>
      <c r="BF146" s="43">
        <f t="shared" si="8"/>
        <v>18791</v>
      </c>
      <c r="BG146" s="43">
        <f t="shared" si="9"/>
        <v>18791</v>
      </c>
      <c r="BH146" s="43">
        <f t="shared" si="10"/>
        <v>18791</v>
      </c>
      <c r="BI146" s="43">
        <f t="shared" si="11"/>
        <v>18791</v>
      </c>
      <c r="BJ146" s="44">
        <f t="shared" si="12"/>
        <v>20025</v>
      </c>
      <c r="BK146" s="44">
        <f t="shared" si="13"/>
        <v>21058</v>
      </c>
      <c r="BL146" s="44">
        <f t="shared" si="14"/>
        <v>21649</v>
      </c>
      <c r="BM146" s="44">
        <f t="shared" si="15"/>
        <v>21944</v>
      </c>
      <c r="BN146" s="45">
        <f t="shared" si="16"/>
        <v>21944</v>
      </c>
      <c r="BO146" s="45">
        <f t="shared" si="17"/>
        <v>21944</v>
      </c>
      <c r="BP146" s="45">
        <f t="shared" si="18"/>
        <v>21944</v>
      </c>
      <c r="BQ146" s="45">
        <f t="shared" si="19"/>
        <v>21944</v>
      </c>
      <c r="BR146" s="45">
        <f t="shared" si="20"/>
        <v>21944</v>
      </c>
      <c r="BU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2"/>
      <c r="AU147" s="40">
        <v>128.0</v>
      </c>
      <c r="AV147" s="40">
        <v>11.0</v>
      </c>
      <c r="AW147" s="49">
        <f t="shared" si="21"/>
        <v>12738</v>
      </c>
      <c r="AX147" s="48">
        <f t="shared" si="22"/>
        <v>14876</v>
      </c>
      <c r="AY147" s="50">
        <f t="shared" si="1"/>
        <v>15728</v>
      </c>
      <c r="AZ147" s="50">
        <f t="shared" si="2"/>
        <v>18368</v>
      </c>
      <c r="BA147" s="42">
        <f t="shared" si="3"/>
        <v>17256</v>
      </c>
      <c r="BB147" s="42">
        <f t="shared" si="4"/>
        <v>18148</v>
      </c>
      <c r="BC147" s="42">
        <f t="shared" si="5"/>
        <v>18657</v>
      </c>
      <c r="BD147" s="42">
        <f t="shared" si="6"/>
        <v>18912</v>
      </c>
      <c r="BE147" s="43">
        <f t="shared" si="7"/>
        <v>18912</v>
      </c>
      <c r="BF147" s="43">
        <f t="shared" si="8"/>
        <v>18912</v>
      </c>
      <c r="BG147" s="43">
        <f t="shared" si="9"/>
        <v>18912</v>
      </c>
      <c r="BH147" s="43">
        <f t="shared" si="10"/>
        <v>18912</v>
      </c>
      <c r="BI147" s="43">
        <f t="shared" si="11"/>
        <v>18912</v>
      </c>
      <c r="BJ147" s="44">
        <f t="shared" si="12"/>
        <v>20153</v>
      </c>
      <c r="BK147" s="44">
        <f t="shared" si="13"/>
        <v>21194</v>
      </c>
      <c r="BL147" s="44">
        <f t="shared" si="14"/>
        <v>21789</v>
      </c>
      <c r="BM147" s="44">
        <f t="shared" si="15"/>
        <v>22087</v>
      </c>
      <c r="BN147" s="45">
        <f t="shared" si="16"/>
        <v>22087</v>
      </c>
      <c r="BO147" s="45">
        <f t="shared" si="17"/>
        <v>22087</v>
      </c>
      <c r="BP147" s="45">
        <f t="shared" si="18"/>
        <v>22087</v>
      </c>
      <c r="BQ147" s="45">
        <f t="shared" si="19"/>
        <v>22087</v>
      </c>
      <c r="BR147" s="45">
        <f t="shared" si="20"/>
        <v>22087</v>
      </c>
      <c r="BU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2"/>
      <c r="AU148" s="40">
        <v>129.0</v>
      </c>
      <c r="AV148" s="40">
        <v>11.0</v>
      </c>
      <c r="AW148" s="49">
        <f t="shared" si="21"/>
        <v>12836</v>
      </c>
      <c r="AX148" s="48">
        <f t="shared" si="22"/>
        <v>14990</v>
      </c>
      <c r="AY148" s="50">
        <f t="shared" si="1"/>
        <v>15826</v>
      </c>
      <c r="AZ148" s="50">
        <f t="shared" si="2"/>
        <v>18482</v>
      </c>
      <c r="BA148" s="42">
        <f t="shared" si="3"/>
        <v>17366</v>
      </c>
      <c r="BB148" s="42">
        <f t="shared" si="4"/>
        <v>18264</v>
      </c>
      <c r="BC148" s="42">
        <f t="shared" si="5"/>
        <v>18778</v>
      </c>
      <c r="BD148" s="42">
        <f t="shared" si="6"/>
        <v>19035</v>
      </c>
      <c r="BE148" s="43">
        <f t="shared" si="7"/>
        <v>19035</v>
      </c>
      <c r="BF148" s="43">
        <f t="shared" si="8"/>
        <v>19035</v>
      </c>
      <c r="BG148" s="43">
        <f t="shared" si="9"/>
        <v>19035</v>
      </c>
      <c r="BH148" s="43">
        <f t="shared" si="10"/>
        <v>19035</v>
      </c>
      <c r="BI148" s="43">
        <f t="shared" si="11"/>
        <v>19035</v>
      </c>
      <c r="BJ148" s="44">
        <f t="shared" si="12"/>
        <v>20280</v>
      </c>
      <c r="BK148" s="44">
        <f t="shared" si="13"/>
        <v>21330</v>
      </c>
      <c r="BL148" s="44">
        <f t="shared" si="14"/>
        <v>21929</v>
      </c>
      <c r="BM148" s="44">
        <f t="shared" si="15"/>
        <v>22229</v>
      </c>
      <c r="BN148" s="45">
        <f t="shared" si="16"/>
        <v>22229</v>
      </c>
      <c r="BO148" s="45">
        <f t="shared" si="17"/>
        <v>22229</v>
      </c>
      <c r="BP148" s="45">
        <f t="shared" si="18"/>
        <v>22229</v>
      </c>
      <c r="BQ148" s="45">
        <f t="shared" si="19"/>
        <v>22229</v>
      </c>
      <c r="BR148" s="45">
        <f t="shared" si="20"/>
        <v>22229</v>
      </c>
      <c r="BU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2"/>
      <c r="AU149" s="40">
        <v>130.0</v>
      </c>
      <c r="AV149" s="40">
        <v>11.0</v>
      </c>
      <c r="AW149" s="49">
        <f t="shared" si="21"/>
        <v>12933</v>
      </c>
      <c r="AX149" s="48">
        <f t="shared" si="22"/>
        <v>15103</v>
      </c>
      <c r="AY149" s="50">
        <f t="shared" si="1"/>
        <v>15923</v>
      </c>
      <c r="AZ149" s="50">
        <f t="shared" si="2"/>
        <v>18595</v>
      </c>
      <c r="BA149" s="42">
        <f t="shared" si="3"/>
        <v>17474</v>
      </c>
      <c r="BB149" s="42">
        <f t="shared" si="4"/>
        <v>18380</v>
      </c>
      <c r="BC149" s="42">
        <f t="shared" si="5"/>
        <v>18897</v>
      </c>
      <c r="BD149" s="42">
        <f t="shared" si="6"/>
        <v>19156</v>
      </c>
      <c r="BE149" s="43">
        <f t="shared" si="7"/>
        <v>19156</v>
      </c>
      <c r="BF149" s="43">
        <f t="shared" si="8"/>
        <v>19156</v>
      </c>
      <c r="BG149" s="43">
        <f t="shared" si="9"/>
        <v>19156</v>
      </c>
      <c r="BH149" s="43">
        <f t="shared" si="10"/>
        <v>19156</v>
      </c>
      <c r="BI149" s="43">
        <f t="shared" si="11"/>
        <v>19156</v>
      </c>
      <c r="BJ149" s="44">
        <f t="shared" si="12"/>
        <v>20407</v>
      </c>
      <c r="BK149" s="44">
        <f t="shared" si="13"/>
        <v>21464</v>
      </c>
      <c r="BL149" s="44">
        <f t="shared" si="14"/>
        <v>22068</v>
      </c>
      <c r="BM149" s="44">
        <f t="shared" si="15"/>
        <v>22370</v>
      </c>
      <c r="BN149" s="45">
        <f t="shared" si="16"/>
        <v>22370</v>
      </c>
      <c r="BO149" s="45">
        <f t="shared" si="17"/>
        <v>22370</v>
      </c>
      <c r="BP149" s="45">
        <f t="shared" si="18"/>
        <v>22370</v>
      </c>
      <c r="BQ149" s="45">
        <f t="shared" si="19"/>
        <v>22370</v>
      </c>
      <c r="BR149" s="45">
        <f t="shared" si="20"/>
        <v>22370</v>
      </c>
      <c r="BU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2"/>
      <c r="AU150" s="40">
        <v>130.0</v>
      </c>
      <c r="AV150" s="40">
        <v>12.0</v>
      </c>
      <c r="AW150" s="49">
        <f t="shared" si="21"/>
        <v>12933</v>
      </c>
      <c r="AX150" s="48">
        <f t="shared" si="22"/>
        <v>15103</v>
      </c>
      <c r="AY150" s="50">
        <f t="shared" si="1"/>
        <v>16424</v>
      </c>
      <c r="AZ150" s="50">
        <f t="shared" si="2"/>
        <v>19180</v>
      </c>
      <c r="BA150" s="42">
        <f t="shared" si="3"/>
        <v>17975</v>
      </c>
      <c r="BB150" s="42">
        <f t="shared" si="4"/>
        <v>18881</v>
      </c>
      <c r="BC150" s="42">
        <f t="shared" si="5"/>
        <v>19398</v>
      </c>
      <c r="BD150" s="42">
        <f t="shared" si="6"/>
        <v>19657</v>
      </c>
      <c r="BE150" s="43">
        <f t="shared" si="7"/>
        <v>19657</v>
      </c>
      <c r="BF150" s="43">
        <f t="shared" si="8"/>
        <v>19657</v>
      </c>
      <c r="BG150" s="43">
        <f t="shared" si="9"/>
        <v>19657</v>
      </c>
      <c r="BH150" s="43">
        <f t="shared" si="10"/>
        <v>19657</v>
      </c>
      <c r="BI150" s="43">
        <f t="shared" si="11"/>
        <v>19657</v>
      </c>
      <c r="BJ150" s="44">
        <f t="shared" si="12"/>
        <v>20992</v>
      </c>
      <c r="BK150" s="44">
        <f t="shared" si="13"/>
        <v>22049</v>
      </c>
      <c r="BL150" s="44">
        <f t="shared" si="14"/>
        <v>22653</v>
      </c>
      <c r="BM150" s="44">
        <f t="shared" si="15"/>
        <v>22955</v>
      </c>
      <c r="BN150" s="45">
        <f t="shared" si="16"/>
        <v>22955</v>
      </c>
      <c r="BO150" s="45">
        <f t="shared" si="17"/>
        <v>22955</v>
      </c>
      <c r="BP150" s="45">
        <f t="shared" si="18"/>
        <v>22955</v>
      </c>
      <c r="BQ150" s="45">
        <f t="shared" si="19"/>
        <v>22955</v>
      </c>
      <c r="BR150" s="45">
        <f t="shared" si="20"/>
        <v>22955</v>
      </c>
      <c r="BU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2"/>
      <c r="AU151" s="40">
        <v>131.0</v>
      </c>
      <c r="AV151" s="40">
        <v>12.0</v>
      </c>
      <c r="AW151" s="49">
        <f t="shared" si="21"/>
        <v>13031</v>
      </c>
      <c r="AX151" s="48">
        <f t="shared" si="22"/>
        <v>15217</v>
      </c>
      <c r="AY151" s="50">
        <f t="shared" si="1"/>
        <v>16522</v>
      </c>
      <c r="AZ151" s="50">
        <f t="shared" si="2"/>
        <v>19294</v>
      </c>
      <c r="BA151" s="42">
        <f t="shared" si="3"/>
        <v>18085</v>
      </c>
      <c r="BB151" s="42">
        <f t="shared" si="4"/>
        <v>18997</v>
      </c>
      <c r="BC151" s="42">
        <f t="shared" si="5"/>
        <v>19519</v>
      </c>
      <c r="BD151" s="42">
        <f t="shared" si="6"/>
        <v>19779</v>
      </c>
      <c r="BE151" s="43">
        <f t="shared" si="7"/>
        <v>19779</v>
      </c>
      <c r="BF151" s="43">
        <f t="shared" si="8"/>
        <v>19779</v>
      </c>
      <c r="BG151" s="43">
        <f t="shared" si="9"/>
        <v>19779</v>
      </c>
      <c r="BH151" s="43">
        <f t="shared" si="10"/>
        <v>19779</v>
      </c>
      <c r="BI151" s="43">
        <f t="shared" si="11"/>
        <v>19779</v>
      </c>
      <c r="BJ151" s="44">
        <f t="shared" si="12"/>
        <v>21120</v>
      </c>
      <c r="BK151" s="44">
        <f t="shared" si="13"/>
        <v>22185</v>
      </c>
      <c r="BL151" s="44">
        <f t="shared" si="14"/>
        <v>22793</v>
      </c>
      <c r="BM151" s="44">
        <f t="shared" si="15"/>
        <v>23098</v>
      </c>
      <c r="BN151" s="45">
        <f t="shared" si="16"/>
        <v>23098</v>
      </c>
      <c r="BO151" s="45">
        <f t="shared" si="17"/>
        <v>23098</v>
      </c>
      <c r="BP151" s="45">
        <f t="shared" si="18"/>
        <v>23098</v>
      </c>
      <c r="BQ151" s="45">
        <f t="shared" si="19"/>
        <v>23098</v>
      </c>
      <c r="BR151" s="45">
        <f t="shared" si="20"/>
        <v>23098</v>
      </c>
      <c r="BU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2"/>
      <c r="AU152" s="40">
        <v>132.0</v>
      </c>
      <c r="AV152" s="40">
        <v>12.0</v>
      </c>
      <c r="AW152" s="49">
        <f t="shared" si="21"/>
        <v>13129</v>
      </c>
      <c r="AX152" s="48">
        <f t="shared" si="22"/>
        <v>15332</v>
      </c>
      <c r="AY152" s="50">
        <f t="shared" si="1"/>
        <v>16620</v>
      </c>
      <c r="AZ152" s="50">
        <f t="shared" si="2"/>
        <v>19409</v>
      </c>
      <c r="BA152" s="42">
        <f t="shared" si="3"/>
        <v>18195</v>
      </c>
      <c r="BB152" s="42">
        <f t="shared" si="4"/>
        <v>19114</v>
      </c>
      <c r="BC152" s="42">
        <f t="shared" si="5"/>
        <v>19639</v>
      </c>
      <c r="BD152" s="42">
        <f t="shared" si="6"/>
        <v>19902</v>
      </c>
      <c r="BE152" s="43">
        <f t="shared" si="7"/>
        <v>19902</v>
      </c>
      <c r="BF152" s="43">
        <f t="shared" si="8"/>
        <v>19902</v>
      </c>
      <c r="BG152" s="43">
        <f t="shared" si="9"/>
        <v>19902</v>
      </c>
      <c r="BH152" s="43">
        <f t="shared" si="10"/>
        <v>19902</v>
      </c>
      <c r="BI152" s="43">
        <f t="shared" si="11"/>
        <v>19902</v>
      </c>
      <c r="BJ152" s="44">
        <f t="shared" si="12"/>
        <v>21248</v>
      </c>
      <c r="BK152" s="44">
        <f t="shared" si="13"/>
        <v>22322</v>
      </c>
      <c r="BL152" s="44">
        <f t="shared" si="14"/>
        <v>22935</v>
      </c>
      <c r="BM152" s="44">
        <f t="shared" si="15"/>
        <v>23242</v>
      </c>
      <c r="BN152" s="45">
        <f t="shared" si="16"/>
        <v>23242</v>
      </c>
      <c r="BO152" s="45">
        <f t="shared" si="17"/>
        <v>23242</v>
      </c>
      <c r="BP152" s="45">
        <f t="shared" si="18"/>
        <v>23242</v>
      </c>
      <c r="BQ152" s="45">
        <f t="shared" si="19"/>
        <v>23242</v>
      </c>
      <c r="BR152" s="45">
        <f t="shared" si="20"/>
        <v>23242</v>
      </c>
      <c r="BU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2"/>
      <c r="AU153" s="40">
        <v>133.0</v>
      </c>
      <c r="AV153" s="40">
        <v>12.0</v>
      </c>
      <c r="AW153" s="49">
        <f t="shared" si="21"/>
        <v>13226</v>
      </c>
      <c r="AX153" s="48">
        <f t="shared" si="22"/>
        <v>15446</v>
      </c>
      <c r="AY153" s="50">
        <f t="shared" si="1"/>
        <v>16717</v>
      </c>
      <c r="AZ153" s="50">
        <f t="shared" si="2"/>
        <v>19523</v>
      </c>
      <c r="BA153" s="42">
        <f t="shared" si="3"/>
        <v>18304</v>
      </c>
      <c r="BB153" s="42">
        <f t="shared" si="4"/>
        <v>19229</v>
      </c>
      <c r="BC153" s="42">
        <f t="shared" si="5"/>
        <v>19758</v>
      </c>
      <c r="BD153" s="42">
        <f t="shared" si="6"/>
        <v>20023</v>
      </c>
      <c r="BE153" s="43">
        <f t="shared" si="7"/>
        <v>20023</v>
      </c>
      <c r="BF153" s="43">
        <f t="shared" si="8"/>
        <v>20023</v>
      </c>
      <c r="BG153" s="43">
        <f t="shared" si="9"/>
        <v>20023</v>
      </c>
      <c r="BH153" s="43">
        <f t="shared" si="10"/>
        <v>20023</v>
      </c>
      <c r="BI153" s="43">
        <f t="shared" si="11"/>
        <v>20023</v>
      </c>
      <c r="BJ153" s="44">
        <f t="shared" si="12"/>
        <v>21376</v>
      </c>
      <c r="BK153" s="44">
        <f t="shared" si="13"/>
        <v>22457</v>
      </c>
      <c r="BL153" s="44">
        <f t="shared" si="14"/>
        <v>23075</v>
      </c>
      <c r="BM153" s="44">
        <f t="shared" si="15"/>
        <v>23384</v>
      </c>
      <c r="BN153" s="45">
        <f t="shared" si="16"/>
        <v>23384</v>
      </c>
      <c r="BO153" s="45">
        <f t="shared" si="17"/>
        <v>23384</v>
      </c>
      <c r="BP153" s="45">
        <f t="shared" si="18"/>
        <v>23384</v>
      </c>
      <c r="BQ153" s="45">
        <f t="shared" si="19"/>
        <v>23384</v>
      </c>
      <c r="BR153" s="45">
        <f t="shared" si="20"/>
        <v>23384</v>
      </c>
      <c r="BU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2"/>
      <c r="AU154" s="40">
        <v>134.0</v>
      </c>
      <c r="AV154" s="40">
        <v>12.0</v>
      </c>
      <c r="AW154" s="49">
        <f t="shared" si="21"/>
        <v>13324</v>
      </c>
      <c r="AX154" s="48">
        <f t="shared" si="22"/>
        <v>15560</v>
      </c>
      <c r="AY154" s="50">
        <f t="shared" si="1"/>
        <v>16815</v>
      </c>
      <c r="AZ154" s="50">
        <f t="shared" si="2"/>
        <v>19637</v>
      </c>
      <c r="BA154" s="42">
        <f t="shared" si="3"/>
        <v>18413</v>
      </c>
      <c r="BB154" s="42">
        <f t="shared" si="4"/>
        <v>19346</v>
      </c>
      <c r="BC154" s="42">
        <f t="shared" si="5"/>
        <v>19879</v>
      </c>
      <c r="BD154" s="42">
        <f t="shared" si="6"/>
        <v>20146</v>
      </c>
      <c r="BE154" s="43">
        <f t="shared" si="7"/>
        <v>20146</v>
      </c>
      <c r="BF154" s="43">
        <f t="shared" si="8"/>
        <v>20146</v>
      </c>
      <c r="BG154" s="43">
        <f t="shared" si="9"/>
        <v>20146</v>
      </c>
      <c r="BH154" s="43">
        <f t="shared" si="10"/>
        <v>20146</v>
      </c>
      <c r="BI154" s="43">
        <f t="shared" si="11"/>
        <v>20146</v>
      </c>
      <c r="BJ154" s="44">
        <f t="shared" si="12"/>
        <v>21504</v>
      </c>
      <c r="BK154" s="44">
        <f t="shared" si="13"/>
        <v>22593</v>
      </c>
      <c r="BL154" s="44">
        <f t="shared" si="14"/>
        <v>23215</v>
      </c>
      <c r="BM154" s="44">
        <f t="shared" si="15"/>
        <v>23527</v>
      </c>
      <c r="BN154" s="45">
        <f t="shared" si="16"/>
        <v>23527</v>
      </c>
      <c r="BO154" s="45">
        <f t="shared" si="17"/>
        <v>23527</v>
      </c>
      <c r="BP154" s="45">
        <f t="shared" si="18"/>
        <v>23527</v>
      </c>
      <c r="BQ154" s="45">
        <f t="shared" si="19"/>
        <v>23527</v>
      </c>
      <c r="BR154" s="45">
        <f t="shared" si="20"/>
        <v>23527</v>
      </c>
      <c r="BU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2"/>
      <c r="AU155" s="40">
        <v>135.0</v>
      </c>
      <c r="AV155" s="40">
        <v>12.0</v>
      </c>
      <c r="AW155" s="49">
        <f t="shared" si="21"/>
        <v>13422</v>
      </c>
      <c r="AX155" s="48">
        <f t="shared" si="22"/>
        <v>15674</v>
      </c>
      <c r="AY155" s="50">
        <f t="shared" si="1"/>
        <v>16913</v>
      </c>
      <c r="AZ155" s="50">
        <f t="shared" si="2"/>
        <v>19751</v>
      </c>
      <c r="BA155" s="42">
        <f t="shared" si="3"/>
        <v>18523</v>
      </c>
      <c r="BB155" s="42">
        <f t="shared" si="4"/>
        <v>19463</v>
      </c>
      <c r="BC155" s="42">
        <f t="shared" si="5"/>
        <v>20000</v>
      </c>
      <c r="BD155" s="42">
        <f t="shared" si="6"/>
        <v>20268</v>
      </c>
      <c r="BE155" s="43">
        <f t="shared" si="7"/>
        <v>20268</v>
      </c>
      <c r="BF155" s="43">
        <f t="shared" si="8"/>
        <v>20268</v>
      </c>
      <c r="BG155" s="43">
        <f t="shared" si="9"/>
        <v>20268</v>
      </c>
      <c r="BH155" s="43">
        <f t="shared" si="10"/>
        <v>20268</v>
      </c>
      <c r="BI155" s="43">
        <f t="shared" si="11"/>
        <v>20268</v>
      </c>
      <c r="BJ155" s="44">
        <f t="shared" si="12"/>
        <v>21631</v>
      </c>
      <c r="BK155" s="44">
        <f t="shared" si="13"/>
        <v>22729</v>
      </c>
      <c r="BL155" s="44">
        <f t="shared" si="14"/>
        <v>23356</v>
      </c>
      <c r="BM155" s="44">
        <f t="shared" si="15"/>
        <v>23669</v>
      </c>
      <c r="BN155" s="45">
        <f t="shared" si="16"/>
        <v>23669</v>
      </c>
      <c r="BO155" s="45">
        <f t="shared" si="17"/>
        <v>23669</v>
      </c>
      <c r="BP155" s="45">
        <f t="shared" si="18"/>
        <v>23669</v>
      </c>
      <c r="BQ155" s="45">
        <f t="shared" si="19"/>
        <v>23669</v>
      </c>
      <c r="BR155" s="45">
        <f t="shared" si="20"/>
        <v>23669</v>
      </c>
      <c r="BU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2"/>
      <c r="AU156" s="40">
        <v>136.0</v>
      </c>
      <c r="AV156" s="40">
        <v>12.0</v>
      </c>
      <c r="AW156" s="49">
        <f t="shared" si="21"/>
        <v>13520</v>
      </c>
      <c r="AX156" s="48">
        <f t="shared" si="22"/>
        <v>15789</v>
      </c>
      <c r="AY156" s="50">
        <f t="shared" si="1"/>
        <v>17011</v>
      </c>
      <c r="AZ156" s="50">
        <f t="shared" si="2"/>
        <v>19866</v>
      </c>
      <c r="BA156" s="42">
        <f t="shared" si="3"/>
        <v>18633</v>
      </c>
      <c r="BB156" s="42">
        <f t="shared" si="4"/>
        <v>19579</v>
      </c>
      <c r="BC156" s="42">
        <f t="shared" si="5"/>
        <v>20120</v>
      </c>
      <c r="BD156" s="42">
        <f t="shared" si="6"/>
        <v>20391</v>
      </c>
      <c r="BE156" s="43">
        <f t="shared" si="7"/>
        <v>20391</v>
      </c>
      <c r="BF156" s="43">
        <f t="shared" si="8"/>
        <v>20391</v>
      </c>
      <c r="BG156" s="43">
        <f t="shared" si="9"/>
        <v>20391</v>
      </c>
      <c r="BH156" s="43">
        <f t="shared" si="10"/>
        <v>20391</v>
      </c>
      <c r="BI156" s="43">
        <f t="shared" si="11"/>
        <v>20391</v>
      </c>
      <c r="BJ156" s="44">
        <f t="shared" si="12"/>
        <v>21760</v>
      </c>
      <c r="BK156" s="44">
        <f t="shared" si="13"/>
        <v>22865</v>
      </c>
      <c r="BL156" s="44">
        <f t="shared" si="14"/>
        <v>23497</v>
      </c>
      <c r="BM156" s="44">
        <f t="shared" si="15"/>
        <v>23813</v>
      </c>
      <c r="BN156" s="45">
        <f t="shared" si="16"/>
        <v>23813</v>
      </c>
      <c r="BO156" s="45">
        <f t="shared" si="17"/>
        <v>23813</v>
      </c>
      <c r="BP156" s="45">
        <f t="shared" si="18"/>
        <v>23813</v>
      </c>
      <c r="BQ156" s="45">
        <f t="shared" si="19"/>
        <v>23813</v>
      </c>
      <c r="BR156" s="45">
        <f t="shared" si="20"/>
        <v>23813</v>
      </c>
      <c r="BU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2"/>
      <c r="AU157" s="40">
        <v>137.0</v>
      </c>
      <c r="AV157" s="40">
        <v>12.0</v>
      </c>
      <c r="AW157" s="49">
        <f t="shared" si="21"/>
        <v>13618</v>
      </c>
      <c r="AX157" s="48">
        <f t="shared" si="22"/>
        <v>15903</v>
      </c>
      <c r="AY157" s="50">
        <f t="shared" si="1"/>
        <v>17109</v>
      </c>
      <c r="AZ157" s="50">
        <f t="shared" si="2"/>
        <v>19980</v>
      </c>
      <c r="BA157" s="42">
        <f t="shared" si="3"/>
        <v>18743</v>
      </c>
      <c r="BB157" s="42">
        <f t="shared" si="4"/>
        <v>19696</v>
      </c>
      <c r="BC157" s="42">
        <f t="shared" si="5"/>
        <v>20241</v>
      </c>
      <c r="BD157" s="42">
        <f t="shared" si="6"/>
        <v>20513</v>
      </c>
      <c r="BE157" s="43">
        <f t="shared" si="7"/>
        <v>20513</v>
      </c>
      <c r="BF157" s="43">
        <f t="shared" si="8"/>
        <v>20513</v>
      </c>
      <c r="BG157" s="43">
        <f t="shared" si="9"/>
        <v>20513</v>
      </c>
      <c r="BH157" s="43">
        <f t="shared" si="10"/>
        <v>20513</v>
      </c>
      <c r="BI157" s="43">
        <f t="shared" si="11"/>
        <v>20513</v>
      </c>
      <c r="BJ157" s="44">
        <f t="shared" si="12"/>
        <v>21888</v>
      </c>
      <c r="BK157" s="44">
        <f t="shared" si="13"/>
        <v>23001</v>
      </c>
      <c r="BL157" s="44">
        <f t="shared" si="14"/>
        <v>23637</v>
      </c>
      <c r="BM157" s="44">
        <f t="shared" si="15"/>
        <v>23955</v>
      </c>
      <c r="BN157" s="45">
        <f t="shared" si="16"/>
        <v>23955</v>
      </c>
      <c r="BO157" s="45">
        <f t="shared" si="17"/>
        <v>23955</v>
      </c>
      <c r="BP157" s="45">
        <f t="shared" si="18"/>
        <v>23955</v>
      </c>
      <c r="BQ157" s="45">
        <f t="shared" si="19"/>
        <v>23955</v>
      </c>
      <c r="BR157" s="45">
        <f t="shared" si="20"/>
        <v>23955</v>
      </c>
      <c r="BU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2"/>
      <c r="AU158" s="40">
        <v>138.0</v>
      </c>
      <c r="AV158" s="40">
        <v>12.0</v>
      </c>
      <c r="AW158" s="49">
        <f t="shared" si="21"/>
        <v>13716</v>
      </c>
      <c r="AX158" s="48">
        <f t="shared" si="22"/>
        <v>16018</v>
      </c>
      <c r="AY158" s="50">
        <f t="shared" si="1"/>
        <v>17207</v>
      </c>
      <c r="AZ158" s="50">
        <f t="shared" si="2"/>
        <v>20095</v>
      </c>
      <c r="BA158" s="42">
        <f t="shared" si="3"/>
        <v>18852</v>
      </c>
      <c r="BB158" s="42">
        <f t="shared" si="4"/>
        <v>19813</v>
      </c>
      <c r="BC158" s="42">
        <f t="shared" si="5"/>
        <v>20361</v>
      </c>
      <c r="BD158" s="42">
        <f t="shared" si="6"/>
        <v>20636</v>
      </c>
      <c r="BE158" s="43">
        <f t="shared" si="7"/>
        <v>20636</v>
      </c>
      <c r="BF158" s="43">
        <f t="shared" si="8"/>
        <v>20636</v>
      </c>
      <c r="BG158" s="43">
        <f t="shared" si="9"/>
        <v>20636</v>
      </c>
      <c r="BH158" s="43">
        <f t="shared" si="10"/>
        <v>20636</v>
      </c>
      <c r="BI158" s="43">
        <f t="shared" si="11"/>
        <v>20636</v>
      </c>
      <c r="BJ158" s="44">
        <f t="shared" si="12"/>
        <v>22017</v>
      </c>
      <c r="BK158" s="44">
        <f t="shared" si="13"/>
        <v>23138</v>
      </c>
      <c r="BL158" s="44">
        <f t="shared" si="14"/>
        <v>23779</v>
      </c>
      <c r="BM158" s="44">
        <f t="shared" si="15"/>
        <v>24099</v>
      </c>
      <c r="BN158" s="45">
        <f t="shared" si="16"/>
        <v>24099</v>
      </c>
      <c r="BO158" s="45">
        <f t="shared" si="17"/>
        <v>24099</v>
      </c>
      <c r="BP158" s="45">
        <f t="shared" si="18"/>
        <v>24099</v>
      </c>
      <c r="BQ158" s="45">
        <f t="shared" si="19"/>
        <v>24099</v>
      </c>
      <c r="BR158" s="45">
        <f t="shared" si="20"/>
        <v>24099</v>
      </c>
      <c r="BU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2"/>
      <c r="AU159" s="40">
        <v>139.0</v>
      </c>
      <c r="AV159" s="40">
        <v>12.0</v>
      </c>
      <c r="AW159" s="49">
        <f t="shared" si="21"/>
        <v>13815</v>
      </c>
      <c r="AX159" s="48">
        <f t="shared" si="22"/>
        <v>16133</v>
      </c>
      <c r="AY159" s="50">
        <f t="shared" si="1"/>
        <v>17306</v>
      </c>
      <c r="AZ159" s="50">
        <f t="shared" si="2"/>
        <v>20210</v>
      </c>
      <c r="BA159" s="42">
        <f t="shared" si="3"/>
        <v>18963</v>
      </c>
      <c r="BB159" s="42">
        <f t="shared" si="4"/>
        <v>19930</v>
      </c>
      <c r="BC159" s="42">
        <f t="shared" si="5"/>
        <v>20483</v>
      </c>
      <c r="BD159" s="42">
        <f t="shared" si="6"/>
        <v>20759</v>
      </c>
      <c r="BE159" s="43">
        <f t="shared" si="7"/>
        <v>20759</v>
      </c>
      <c r="BF159" s="43">
        <f t="shared" si="8"/>
        <v>20759</v>
      </c>
      <c r="BG159" s="43">
        <f t="shared" si="9"/>
        <v>20759</v>
      </c>
      <c r="BH159" s="43">
        <f t="shared" si="10"/>
        <v>20759</v>
      </c>
      <c r="BI159" s="43">
        <f t="shared" si="11"/>
        <v>20759</v>
      </c>
      <c r="BJ159" s="44">
        <f t="shared" si="12"/>
        <v>22145</v>
      </c>
      <c r="BK159" s="44">
        <f t="shared" si="13"/>
        <v>23275</v>
      </c>
      <c r="BL159" s="44">
        <f t="shared" si="14"/>
        <v>23920</v>
      </c>
      <c r="BM159" s="44">
        <f t="shared" si="15"/>
        <v>24243</v>
      </c>
      <c r="BN159" s="45">
        <f t="shared" si="16"/>
        <v>24243</v>
      </c>
      <c r="BO159" s="45">
        <f t="shared" si="17"/>
        <v>24243</v>
      </c>
      <c r="BP159" s="45">
        <f t="shared" si="18"/>
        <v>24243</v>
      </c>
      <c r="BQ159" s="45">
        <f t="shared" si="19"/>
        <v>24243</v>
      </c>
      <c r="BR159" s="45">
        <f t="shared" si="20"/>
        <v>24243</v>
      </c>
      <c r="BU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2"/>
      <c r="AU160" s="40">
        <v>140.0</v>
      </c>
      <c r="AV160" s="40">
        <v>12.0</v>
      </c>
      <c r="AW160" s="49">
        <f t="shared" si="21"/>
        <v>13913</v>
      </c>
      <c r="AX160" s="48">
        <f t="shared" si="22"/>
        <v>16247</v>
      </c>
      <c r="AY160" s="50">
        <f t="shared" si="1"/>
        <v>17404</v>
      </c>
      <c r="AZ160" s="50">
        <f t="shared" si="2"/>
        <v>20324</v>
      </c>
      <c r="BA160" s="42">
        <f t="shared" si="3"/>
        <v>19073</v>
      </c>
      <c r="BB160" s="42">
        <f t="shared" si="4"/>
        <v>20047</v>
      </c>
      <c r="BC160" s="42">
        <f t="shared" si="5"/>
        <v>20603</v>
      </c>
      <c r="BD160" s="42">
        <f t="shared" si="6"/>
        <v>20882</v>
      </c>
      <c r="BE160" s="43">
        <f t="shared" si="7"/>
        <v>20882</v>
      </c>
      <c r="BF160" s="43">
        <f t="shared" si="8"/>
        <v>20882</v>
      </c>
      <c r="BG160" s="43">
        <f t="shared" si="9"/>
        <v>20882</v>
      </c>
      <c r="BH160" s="43">
        <f t="shared" si="10"/>
        <v>20882</v>
      </c>
      <c r="BI160" s="43">
        <f t="shared" si="11"/>
        <v>20882</v>
      </c>
      <c r="BJ160" s="44">
        <f t="shared" si="12"/>
        <v>22273</v>
      </c>
      <c r="BK160" s="44">
        <f t="shared" si="13"/>
        <v>23410</v>
      </c>
      <c r="BL160" s="44">
        <f t="shared" si="14"/>
        <v>24060</v>
      </c>
      <c r="BM160" s="44">
        <f t="shared" si="15"/>
        <v>24385</v>
      </c>
      <c r="BN160" s="45">
        <f t="shared" si="16"/>
        <v>24385</v>
      </c>
      <c r="BO160" s="45">
        <f t="shared" si="17"/>
        <v>24385</v>
      </c>
      <c r="BP160" s="45">
        <f t="shared" si="18"/>
        <v>24385</v>
      </c>
      <c r="BQ160" s="45">
        <f t="shared" si="19"/>
        <v>24385</v>
      </c>
      <c r="BR160" s="45">
        <f t="shared" si="20"/>
        <v>24385</v>
      </c>
      <c r="BU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2"/>
      <c r="AU161" s="40">
        <v>140.0</v>
      </c>
      <c r="AV161" s="40">
        <v>13.0</v>
      </c>
      <c r="AW161" s="49">
        <f t="shared" si="21"/>
        <v>13913</v>
      </c>
      <c r="AX161" s="48">
        <f t="shared" si="22"/>
        <v>16247</v>
      </c>
      <c r="AY161" s="50">
        <f t="shared" si="1"/>
        <v>18086</v>
      </c>
      <c r="AZ161" s="50">
        <f t="shared" si="2"/>
        <v>21121</v>
      </c>
      <c r="BA161" s="42">
        <f t="shared" si="3"/>
        <v>19755</v>
      </c>
      <c r="BB161" s="42">
        <f t="shared" si="4"/>
        <v>20729</v>
      </c>
      <c r="BC161" s="42">
        <f t="shared" si="5"/>
        <v>21285</v>
      </c>
      <c r="BD161" s="42">
        <f t="shared" si="6"/>
        <v>21564</v>
      </c>
      <c r="BE161" s="43">
        <f t="shared" si="7"/>
        <v>21564</v>
      </c>
      <c r="BF161" s="43">
        <f t="shared" si="8"/>
        <v>21564</v>
      </c>
      <c r="BG161" s="43">
        <f t="shared" si="9"/>
        <v>21564</v>
      </c>
      <c r="BH161" s="43">
        <f t="shared" si="10"/>
        <v>21564</v>
      </c>
      <c r="BI161" s="43">
        <f t="shared" si="11"/>
        <v>21564</v>
      </c>
      <c r="BJ161" s="44">
        <f t="shared" si="12"/>
        <v>23070</v>
      </c>
      <c r="BK161" s="44">
        <f t="shared" si="13"/>
        <v>24207</v>
      </c>
      <c r="BL161" s="44">
        <f t="shared" si="14"/>
        <v>24857</v>
      </c>
      <c r="BM161" s="44">
        <f t="shared" si="15"/>
        <v>25182</v>
      </c>
      <c r="BN161" s="45">
        <f t="shared" si="16"/>
        <v>25182</v>
      </c>
      <c r="BO161" s="45">
        <f t="shared" si="17"/>
        <v>25182</v>
      </c>
      <c r="BP161" s="45">
        <f t="shared" si="18"/>
        <v>25182</v>
      </c>
      <c r="BQ161" s="45">
        <f t="shared" si="19"/>
        <v>25182</v>
      </c>
      <c r="BR161" s="45">
        <f t="shared" si="20"/>
        <v>25182</v>
      </c>
      <c r="BU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2"/>
      <c r="AU162" s="40">
        <v>141.0</v>
      </c>
      <c r="AV162" s="40">
        <v>13.0</v>
      </c>
      <c r="AW162" s="49">
        <f t="shared" si="21"/>
        <v>14011</v>
      </c>
      <c r="AX162" s="48">
        <f t="shared" si="22"/>
        <v>16362</v>
      </c>
      <c r="AY162" s="50">
        <f t="shared" si="1"/>
        <v>18184</v>
      </c>
      <c r="AZ162" s="50">
        <f t="shared" si="2"/>
        <v>21236</v>
      </c>
      <c r="BA162" s="42">
        <f t="shared" si="3"/>
        <v>19865</v>
      </c>
      <c r="BB162" s="42">
        <f t="shared" si="4"/>
        <v>20846</v>
      </c>
      <c r="BC162" s="42">
        <f t="shared" si="5"/>
        <v>21406</v>
      </c>
      <c r="BD162" s="42">
        <f t="shared" si="6"/>
        <v>21686</v>
      </c>
      <c r="BE162" s="43">
        <f t="shared" si="7"/>
        <v>21686</v>
      </c>
      <c r="BF162" s="43">
        <f t="shared" si="8"/>
        <v>21686</v>
      </c>
      <c r="BG162" s="43">
        <f t="shared" si="9"/>
        <v>21686</v>
      </c>
      <c r="BH162" s="43">
        <f t="shared" si="10"/>
        <v>21686</v>
      </c>
      <c r="BI162" s="43">
        <f t="shared" si="11"/>
        <v>21686</v>
      </c>
      <c r="BJ162" s="44">
        <f t="shared" si="12"/>
        <v>23199</v>
      </c>
      <c r="BK162" s="44">
        <f t="shared" si="13"/>
        <v>24344</v>
      </c>
      <c r="BL162" s="44">
        <f t="shared" si="14"/>
        <v>24999</v>
      </c>
      <c r="BM162" s="44">
        <f t="shared" si="15"/>
        <v>25326</v>
      </c>
      <c r="BN162" s="45">
        <f t="shared" si="16"/>
        <v>25326</v>
      </c>
      <c r="BO162" s="45">
        <f t="shared" si="17"/>
        <v>25326</v>
      </c>
      <c r="BP162" s="45">
        <f t="shared" si="18"/>
        <v>25326</v>
      </c>
      <c r="BQ162" s="45">
        <f t="shared" si="19"/>
        <v>25326</v>
      </c>
      <c r="BR162" s="45">
        <f t="shared" si="20"/>
        <v>25326</v>
      </c>
      <c r="BU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2"/>
      <c r="AU163" s="40">
        <v>142.0</v>
      </c>
      <c r="AV163" s="40">
        <v>13.0</v>
      </c>
      <c r="AW163" s="49">
        <f t="shared" si="21"/>
        <v>14110</v>
      </c>
      <c r="AX163" s="48">
        <f t="shared" si="22"/>
        <v>16477</v>
      </c>
      <c r="AY163" s="50">
        <f t="shared" si="1"/>
        <v>18283</v>
      </c>
      <c r="AZ163" s="50">
        <f t="shared" si="2"/>
        <v>21351</v>
      </c>
      <c r="BA163" s="42">
        <f t="shared" si="3"/>
        <v>19976</v>
      </c>
      <c r="BB163" s="42">
        <f t="shared" si="4"/>
        <v>20963</v>
      </c>
      <c r="BC163" s="42">
        <f t="shared" si="5"/>
        <v>21528</v>
      </c>
      <c r="BD163" s="42">
        <f t="shared" si="6"/>
        <v>21810</v>
      </c>
      <c r="BE163" s="43">
        <f t="shared" si="7"/>
        <v>21810</v>
      </c>
      <c r="BF163" s="43">
        <f t="shared" si="8"/>
        <v>21810</v>
      </c>
      <c r="BG163" s="43">
        <f t="shared" si="9"/>
        <v>21810</v>
      </c>
      <c r="BH163" s="43">
        <f t="shared" si="10"/>
        <v>21810</v>
      </c>
      <c r="BI163" s="43">
        <f t="shared" si="11"/>
        <v>21810</v>
      </c>
      <c r="BJ163" s="44">
        <f t="shared" si="12"/>
        <v>23328</v>
      </c>
      <c r="BK163" s="44">
        <f t="shared" si="13"/>
        <v>24481</v>
      </c>
      <c r="BL163" s="44">
        <f t="shared" si="14"/>
        <v>25140</v>
      </c>
      <c r="BM163" s="44">
        <f t="shared" si="15"/>
        <v>25470</v>
      </c>
      <c r="BN163" s="45">
        <f t="shared" si="16"/>
        <v>25470</v>
      </c>
      <c r="BO163" s="45">
        <f t="shared" si="17"/>
        <v>25470</v>
      </c>
      <c r="BP163" s="45">
        <f t="shared" si="18"/>
        <v>25470</v>
      </c>
      <c r="BQ163" s="45">
        <f t="shared" si="19"/>
        <v>25470</v>
      </c>
      <c r="BR163" s="45">
        <f t="shared" si="20"/>
        <v>25470</v>
      </c>
      <c r="BU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2"/>
      <c r="AU164" s="40">
        <v>143.0</v>
      </c>
      <c r="AV164" s="40">
        <v>13.0</v>
      </c>
      <c r="AW164" s="49">
        <f t="shared" si="21"/>
        <v>14208</v>
      </c>
      <c r="AX164" s="48">
        <f t="shared" si="22"/>
        <v>16592</v>
      </c>
      <c r="AY164" s="50">
        <f t="shared" si="1"/>
        <v>18381</v>
      </c>
      <c r="AZ164" s="50">
        <f t="shared" si="2"/>
        <v>21466</v>
      </c>
      <c r="BA164" s="42">
        <f t="shared" si="3"/>
        <v>20085</v>
      </c>
      <c r="BB164" s="42">
        <f t="shared" si="4"/>
        <v>21080</v>
      </c>
      <c r="BC164" s="42">
        <f t="shared" si="5"/>
        <v>21648</v>
      </c>
      <c r="BD164" s="42">
        <f t="shared" si="6"/>
        <v>21933</v>
      </c>
      <c r="BE164" s="43">
        <f t="shared" si="7"/>
        <v>21933</v>
      </c>
      <c r="BF164" s="43">
        <f t="shared" si="8"/>
        <v>21933</v>
      </c>
      <c r="BG164" s="43">
        <f t="shared" si="9"/>
        <v>21933</v>
      </c>
      <c r="BH164" s="43">
        <f t="shared" si="10"/>
        <v>21933</v>
      </c>
      <c r="BI164" s="43">
        <f t="shared" si="11"/>
        <v>21933</v>
      </c>
      <c r="BJ164" s="44">
        <f t="shared" si="12"/>
        <v>23457</v>
      </c>
      <c r="BK164" s="44">
        <f t="shared" si="13"/>
        <v>24618</v>
      </c>
      <c r="BL164" s="44">
        <f t="shared" si="14"/>
        <v>25282</v>
      </c>
      <c r="BM164" s="44">
        <f t="shared" si="15"/>
        <v>25614</v>
      </c>
      <c r="BN164" s="45">
        <f t="shared" si="16"/>
        <v>25614</v>
      </c>
      <c r="BO164" s="45">
        <f t="shared" si="17"/>
        <v>25614</v>
      </c>
      <c r="BP164" s="45">
        <f t="shared" si="18"/>
        <v>25614</v>
      </c>
      <c r="BQ164" s="45">
        <f t="shared" si="19"/>
        <v>25614</v>
      </c>
      <c r="BR164" s="45">
        <f t="shared" si="20"/>
        <v>25614</v>
      </c>
      <c r="BU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2"/>
      <c r="AU165" s="40">
        <v>144.0</v>
      </c>
      <c r="AV165" s="40">
        <v>13.0</v>
      </c>
      <c r="AW165" s="49">
        <f t="shared" si="21"/>
        <v>14307</v>
      </c>
      <c r="AX165" s="48">
        <f t="shared" si="22"/>
        <v>16707</v>
      </c>
      <c r="AY165" s="50">
        <f t="shared" si="1"/>
        <v>18480</v>
      </c>
      <c r="AZ165" s="50">
        <f t="shared" si="2"/>
        <v>21581</v>
      </c>
      <c r="BA165" s="42">
        <f t="shared" si="3"/>
        <v>20196</v>
      </c>
      <c r="BB165" s="42">
        <f t="shared" si="4"/>
        <v>21198</v>
      </c>
      <c r="BC165" s="42">
        <f t="shared" si="5"/>
        <v>21770</v>
      </c>
      <c r="BD165" s="42">
        <f t="shared" si="6"/>
        <v>22056</v>
      </c>
      <c r="BE165" s="43">
        <f t="shared" si="7"/>
        <v>22056</v>
      </c>
      <c r="BF165" s="43">
        <f t="shared" si="8"/>
        <v>22056</v>
      </c>
      <c r="BG165" s="43">
        <f t="shared" si="9"/>
        <v>22056</v>
      </c>
      <c r="BH165" s="43">
        <f t="shared" si="10"/>
        <v>22056</v>
      </c>
      <c r="BI165" s="43">
        <f t="shared" si="11"/>
        <v>22056</v>
      </c>
      <c r="BJ165" s="44">
        <f t="shared" si="12"/>
        <v>23585</v>
      </c>
      <c r="BK165" s="44">
        <f t="shared" si="13"/>
        <v>24755</v>
      </c>
      <c r="BL165" s="44">
        <f t="shared" si="14"/>
        <v>25423</v>
      </c>
      <c r="BM165" s="44">
        <f t="shared" si="15"/>
        <v>25757</v>
      </c>
      <c r="BN165" s="45">
        <f t="shared" si="16"/>
        <v>25757</v>
      </c>
      <c r="BO165" s="45">
        <f t="shared" si="17"/>
        <v>25757</v>
      </c>
      <c r="BP165" s="45">
        <f t="shared" si="18"/>
        <v>25757</v>
      </c>
      <c r="BQ165" s="45">
        <f t="shared" si="19"/>
        <v>25757</v>
      </c>
      <c r="BR165" s="45">
        <f t="shared" si="20"/>
        <v>25757</v>
      </c>
      <c r="BU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2"/>
      <c r="AU166" s="40">
        <v>145.0</v>
      </c>
      <c r="AV166" s="40">
        <v>13.0</v>
      </c>
      <c r="AW166" s="49">
        <f t="shared" si="21"/>
        <v>14405</v>
      </c>
      <c r="AX166" s="48">
        <f t="shared" si="22"/>
        <v>16822</v>
      </c>
      <c r="AY166" s="50">
        <f t="shared" si="1"/>
        <v>18578</v>
      </c>
      <c r="AZ166" s="50">
        <f t="shared" si="2"/>
        <v>21696</v>
      </c>
      <c r="BA166" s="42">
        <f t="shared" si="3"/>
        <v>20306</v>
      </c>
      <c r="BB166" s="42">
        <f t="shared" si="4"/>
        <v>21314</v>
      </c>
      <c r="BC166" s="42">
        <f t="shared" si="5"/>
        <v>21891</v>
      </c>
      <c r="BD166" s="42">
        <f t="shared" si="6"/>
        <v>22179</v>
      </c>
      <c r="BE166" s="43">
        <f t="shared" si="7"/>
        <v>22179</v>
      </c>
      <c r="BF166" s="43">
        <f t="shared" si="8"/>
        <v>22179</v>
      </c>
      <c r="BG166" s="43">
        <f t="shared" si="9"/>
        <v>22179</v>
      </c>
      <c r="BH166" s="43">
        <f t="shared" si="10"/>
        <v>22179</v>
      </c>
      <c r="BI166" s="43">
        <f t="shared" si="11"/>
        <v>22179</v>
      </c>
      <c r="BJ166" s="44">
        <f t="shared" si="12"/>
        <v>23714</v>
      </c>
      <c r="BK166" s="44">
        <f t="shared" si="13"/>
        <v>24892</v>
      </c>
      <c r="BL166" s="44">
        <f t="shared" si="14"/>
        <v>25565</v>
      </c>
      <c r="BM166" s="44">
        <f t="shared" si="15"/>
        <v>25901</v>
      </c>
      <c r="BN166" s="45">
        <f t="shared" si="16"/>
        <v>25901</v>
      </c>
      <c r="BO166" s="45">
        <f t="shared" si="17"/>
        <v>25901</v>
      </c>
      <c r="BP166" s="45">
        <f t="shared" si="18"/>
        <v>25901</v>
      </c>
      <c r="BQ166" s="45">
        <f t="shared" si="19"/>
        <v>25901</v>
      </c>
      <c r="BR166" s="45">
        <f t="shared" si="20"/>
        <v>25901</v>
      </c>
      <c r="BU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2"/>
      <c r="AU167" s="40">
        <v>146.0</v>
      </c>
      <c r="AV167" s="40">
        <v>13.0</v>
      </c>
      <c r="AW167" s="49">
        <f t="shared" si="21"/>
        <v>14504</v>
      </c>
      <c r="AX167" s="48">
        <f t="shared" si="22"/>
        <v>16938</v>
      </c>
      <c r="AY167" s="50">
        <f t="shared" si="1"/>
        <v>18677</v>
      </c>
      <c r="AZ167" s="50">
        <f t="shared" si="2"/>
        <v>21812</v>
      </c>
      <c r="BA167" s="42">
        <f t="shared" si="3"/>
        <v>20417</v>
      </c>
      <c r="BB167" s="42">
        <f t="shared" si="4"/>
        <v>21432</v>
      </c>
      <c r="BC167" s="42">
        <f t="shared" si="5"/>
        <v>22012</v>
      </c>
      <c r="BD167" s="42">
        <f t="shared" si="6"/>
        <v>22303</v>
      </c>
      <c r="BE167" s="43">
        <f t="shared" si="7"/>
        <v>22303</v>
      </c>
      <c r="BF167" s="43">
        <f t="shared" si="8"/>
        <v>22303</v>
      </c>
      <c r="BG167" s="43">
        <f t="shared" si="9"/>
        <v>22303</v>
      </c>
      <c r="BH167" s="43">
        <f t="shared" si="10"/>
        <v>22303</v>
      </c>
      <c r="BI167" s="43">
        <f t="shared" si="11"/>
        <v>22303</v>
      </c>
      <c r="BJ167" s="44">
        <f t="shared" si="12"/>
        <v>23844</v>
      </c>
      <c r="BK167" s="44">
        <f t="shared" si="13"/>
        <v>25030</v>
      </c>
      <c r="BL167" s="44">
        <f t="shared" si="14"/>
        <v>25707</v>
      </c>
      <c r="BM167" s="44">
        <f t="shared" si="15"/>
        <v>26046</v>
      </c>
      <c r="BN167" s="45">
        <f t="shared" si="16"/>
        <v>26046</v>
      </c>
      <c r="BO167" s="45">
        <f t="shared" si="17"/>
        <v>26046</v>
      </c>
      <c r="BP167" s="45">
        <f t="shared" si="18"/>
        <v>26046</v>
      </c>
      <c r="BQ167" s="45">
        <f t="shared" si="19"/>
        <v>26046</v>
      </c>
      <c r="BR167" s="45">
        <f t="shared" si="20"/>
        <v>26046</v>
      </c>
      <c r="BU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2"/>
      <c r="AU168" s="40">
        <v>147.0</v>
      </c>
      <c r="AV168" s="40">
        <v>13.0</v>
      </c>
      <c r="AW168" s="49">
        <f t="shared" si="21"/>
        <v>14603</v>
      </c>
      <c r="AX168" s="48">
        <f t="shared" si="22"/>
        <v>17053</v>
      </c>
      <c r="AY168" s="50">
        <f t="shared" si="1"/>
        <v>18776</v>
      </c>
      <c r="AZ168" s="50">
        <f t="shared" si="2"/>
        <v>21927</v>
      </c>
      <c r="BA168" s="42">
        <f t="shared" si="3"/>
        <v>20528</v>
      </c>
      <c r="BB168" s="42">
        <f t="shared" si="4"/>
        <v>21550</v>
      </c>
      <c r="BC168" s="42">
        <f t="shared" si="5"/>
        <v>22134</v>
      </c>
      <c r="BD168" s="42">
        <f t="shared" si="6"/>
        <v>22426</v>
      </c>
      <c r="BE168" s="43">
        <f t="shared" si="7"/>
        <v>22426</v>
      </c>
      <c r="BF168" s="43">
        <f t="shared" si="8"/>
        <v>22426</v>
      </c>
      <c r="BG168" s="43">
        <f t="shared" si="9"/>
        <v>22426</v>
      </c>
      <c r="BH168" s="43">
        <f t="shared" si="10"/>
        <v>22426</v>
      </c>
      <c r="BI168" s="43">
        <f t="shared" si="11"/>
        <v>22426</v>
      </c>
      <c r="BJ168" s="44">
        <f t="shared" si="12"/>
        <v>23973</v>
      </c>
      <c r="BK168" s="44">
        <f t="shared" si="13"/>
        <v>25167</v>
      </c>
      <c r="BL168" s="44">
        <f t="shared" si="14"/>
        <v>25849</v>
      </c>
      <c r="BM168" s="44">
        <f t="shared" si="15"/>
        <v>26190</v>
      </c>
      <c r="BN168" s="45">
        <f t="shared" si="16"/>
        <v>26190</v>
      </c>
      <c r="BO168" s="45">
        <f t="shared" si="17"/>
        <v>26190</v>
      </c>
      <c r="BP168" s="45">
        <f t="shared" si="18"/>
        <v>26190</v>
      </c>
      <c r="BQ168" s="45">
        <f t="shared" si="19"/>
        <v>26190</v>
      </c>
      <c r="BR168" s="45">
        <f t="shared" si="20"/>
        <v>26190</v>
      </c>
      <c r="BU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2"/>
      <c r="AU169" s="40">
        <v>148.0</v>
      </c>
      <c r="AV169" s="40">
        <v>13.0</v>
      </c>
      <c r="AW169" s="49">
        <f t="shared" si="21"/>
        <v>14702</v>
      </c>
      <c r="AX169" s="48">
        <f t="shared" si="22"/>
        <v>17168</v>
      </c>
      <c r="AY169" s="50">
        <f t="shared" si="1"/>
        <v>18875</v>
      </c>
      <c r="AZ169" s="50">
        <f t="shared" si="2"/>
        <v>22042</v>
      </c>
      <c r="BA169" s="42">
        <f t="shared" si="3"/>
        <v>20639</v>
      </c>
      <c r="BB169" s="42">
        <f t="shared" si="4"/>
        <v>21668</v>
      </c>
      <c r="BC169" s="42">
        <f t="shared" si="5"/>
        <v>22256</v>
      </c>
      <c r="BD169" s="42">
        <f t="shared" si="6"/>
        <v>22550</v>
      </c>
      <c r="BE169" s="43">
        <f t="shared" si="7"/>
        <v>22550</v>
      </c>
      <c r="BF169" s="43">
        <f t="shared" si="8"/>
        <v>22550</v>
      </c>
      <c r="BG169" s="43">
        <f t="shared" si="9"/>
        <v>22550</v>
      </c>
      <c r="BH169" s="43">
        <f t="shared" si="10"/>
        <v>22550</v>
      </c>
      <c r="BI169" s="43">
        <f t="shared" si="11"/>
        <v>22550</v>
      </c>
      <c r="BJ169" s="44">
        <f t="shared" si="12"/>
        <v>24102</v>
      </c>
      <c r="BK169" s="44">
        <f t="shared" si="13"/>
        <v>25303</v>
      </c>
      <c r="BL169" s="44">
        <f t="shared" si="14"/>
        <v>25990</v>
      </c>
      <c r="BM169" s="44">
        <f t="shared" si="15"/>
        <v>26334</v>
      </c>
      <c r="BN169" s="45">
        <f t="shared" si="16"/>
        <v>26334</v>
      </c>
      <c r="BO169" s="45">
        <f t="shared" si="17"/>
        <v>26334</v>
      </c>
      <c r="BP169" s="45">
        <f t="shared" si="18"/>
        <v>26334</v>
      </c>
      <c r="BQ169" s="45">
        <f t="shared" si="19"/>
        <v>26334</v>
      </c>
      <c r="BR169" s="45">
        <f t="shared" si="20"/>
        <v>26334</v>
      </c>
      <c r="BU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2"/>
      <c r="AU170" s="40">
        <v>149.0</v>
      </c>
      <c r="AV170" s="40">
        <v>13.0</v>
      </c>
      <c r="AW170" s="49">
        <f t="shared" si="21"/>
        <v>14801</v>
      </c>
      <c r="AX170" s="48">
        <f t="shared" si="22"/>
        <v>17284</v>
      </c>
      <c r="AY170" s="50">
        <f t="shared" si="1"/>
        <v>18974</v>
      </c>
      <c r="AZ170" s="50">
        <f t="shared" si="2"/>
        <v>22158</v>
      </c>
      <c r="BA170" s="42">
        <f t="shared" si="3"/>
        <v>20750</v>
      </c>
      <c r="BB170" s="42">
        <f t="shared" si="4"/>
        <v>21786</v>
      </c>
      <c r="BC170" s="42">
        <f t="shared" si="5"/>
        <v>22378</v>
      </c>
      <c r="BD170" s="42">
        <f t="shared" si="6"/>
        <v>22674</v>
      </c>
      <c r="BE170" s="43">
        <f t="shared" si="7"/>
        <v>22674</v>
      </c>
      <c r="BF170" s="43">
        <f t="shared" si="8"/>
        <v>22674</v>
      </c>
      <c r="BG170" s="43">
        <f t="shared" si="9"/>
        <v>22674</v>
      </c>
      <c r="BH170" s="43">
        <f t="shared" si="10"/>
        <v>22674</v>
      </c>
      <c r="BI170" s="43">
        <f t="shared" si="11"/>
        <v>22674</v>
      </c>
      <c r="BJ170" s="44">
        <f t="shared" si="12"/>
        <v>24232</v>
      </c>
      <c r="BK170" s="44">
        <f t="shared" si="13"/>
        <v>25441</v>
      </c>
      <c r="BL170" s="44">
        <f t="shared" si="14"/>
        <v>26133</v>
      </c>
      <c r="BM170" s="44">
        <f t="shared" si="15"/>
        <v>26479</v>
      </c>
      <c r="BN170" s="45">
        <f t="shared" si="16"/>
        <v>26479</v>
      </c>
      <c r="BO170" s="45">
        <f t="shared" si="17"/>
        <v>26479</v>
      </c>
      <c r="BP170" s="45">
        <f t="shared" si="18"/>
        <v>26479</v>
      </c>
      <c r="BQ170" s="45">
        <f t="shared" si="19"/>
        <v>26479</v>
      </c>
      <c r="BR170" s="45">
        <f t="shared" si="20"/>
        <v>26479</v>
      </c>
      <c r="BU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2"/>
      <c r="AU171" s="40">
        <v>150.0</v>
      </c>
      <c r="AV171" s="40">
        <v>13.0</v>
      </c>
      <c r="AW171" s="49">
        <f>E21</f>
        <v>14900</v>
      </c>
      <c r="AX171" s="49">
        <f>K21</f>
        <v>17400</v>
      </c>
      <c r="AY171" s="50">
        <f t="shared" si="1"/>
        <v>19073</v>
      </c>
      <c r="AZ171" s="50">
        <f t="shared" si="2"/>
        <v>22274</v>
      </c>
      <c r="BA171" s="42">
        <f t="shared" si="3"/>
        <v>20861</v>
      </c>
      <c r="BB171" s="42">
        <f t="shared" si="4"/>
        <v>21904</v>
      </c>
      <c r="BC171" s="42">
        <f t="shared" si="5"/>
        <v>22500</v>
      </c>
      <c r="BD171" s="42">
        <f t="shared" si="6"/>
        <v>22798</v>
      </c>
      <c r="BE171" s="43">
        <f t="shared" si="7"/>
        <v>22798</v>
      </c>
      <c r="BF171" s="43">
        <f t="shared" si="8"/>
        <v>22798</v>
      </c>
      <c r="BG171" s="43">
        <f t="shared" si="9"/>
        <v>22798</v>
      </c>
      <c r="BH171" s="43">
        <f t="shared" si="10"/>
        <v>22798</v>
      </c>
      <c r="BI171" s="43">
        <f t="shared" si="11"/>
        <v>22798</v>
      </c>
      <c r="BJ171" s="44">
        <f t="shared" si="12"/>
        <v>24362</v>
      </c>
      <c r="BK171" s="44">
        <f t="shared" si="13"/>
        <v>25580</v>
      </c>
      <c r="BL171" s="44">
        <f t="shared" si="14"/>
        <v>26276</v>
      </c>
      <c r="BM171" s="44">
        <f t="shared" si="15"/>
        <v>26624</v>
      </c>
      <c r="BN171" s="45">
        <f t="shared" si="16"/>
        <v>26624</v>
      </c>
      <c r="BO171" s="45">
        <f t="shared" si="17"/>
        <v>26624</v>
      </c>
      <c r="BP171" s="45">
        <f t="shared" si="18"/>
        <v>26624</v>
      </c>
      <c r="BQ171" s="45">
        <f t="shared" si="19"/>
        <v>26624</v>
      </c>
      <c r="BR171" s="45">
        <f t="shared" si="20"/>
        <v>26624</v>
      </c>
      <c r="BU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2"/>
      <c r="AU172" s="1"/>
      <c r="AV172" s="1"/>
      <c r="AW172" s="1"/>
      <c r="AX172" s="1"/>
      <c r="AY172" s="1"/>
      <c r="BA172" s="1"/>
      <c r="BB172" s="1"/>
      <c r="BC172" s="1"/>
      <c r="BD172" s="1"/>
      <c r="BE172" s="1"/>
      <c r="BF172" s="1"/>
      <c r="BG172" s="1"/>
      <c r="BH172" s="1"/>
      <c r="BI172" s="1"/>
      <c r="BJ172" s="1"/>
      <c r="BK172" s="1"/>
      <c r="BL172" s="1"/>
      <c r="BM172" s="1"/>
      <c r="BN172" s="1"/>
      <c r="BO172" s="1"/>
      <c r="BP172" s="1"/>
      <c r="BQ172" s="1"/>
      <c r="BR172" s="1"/>
      <c r="BS172" s="1"/>
      <c r="BT172" s="1"/>
      <c r="BU172" s="1"/>
    </row>
    <row r="173">
      <c r="A173" s="112"/>
      <c r="B173" s="112"/>
      <c r="C173" s="112"/>
      <c r="D173" s="112"/>
      <c r="E173" s="112"/>
      <c r="F173" s="112"/>
      <c r="G173" s="112"/>
      <c r="H173" s="112"/>
      <c r="I173" s="112"/>
      <c r="J173" s="112"/>
      <c r="K173" s="112"/>
      <c r="L173" s="112"/>
      <c r="M173" s="112"/>
      <c r="N173" s="112"/>
      <c r="O173" s="112"/>
      <c r="P173" s="112"/>
      <c r="Q173" s="112"/>
      <c r="R173" s="112"/>
      <c r="S173" s="112"/>
      <c r="T173" s="112"/>
      <c r="U173" s="112"/>
      <c r="V173" s="112"/>
      <c r="W173" s="112"/>
      <c r="X173" s="112"/>
      <c r="Y173" s="112"/>
      <c r="Z173" s="112"/>
      <c r="AA173" s="112"/>
      <c r="AB173" s="112"/>
      <c r="AC173" s="112"/>
      <c r="AD173" s="112"/>
      <c r="AE173" s="112"/>
      <c r="AF173" s="112"/>
      <c r="AG173" s="112"/>
      <c r="AH173" s="112"/>
      <c r="AI173" s="112"/>
      <c r="AJ173" s="112"/>
      <c r="AK173" s="112"/>
      <c r="AL173" s="112"/>
      <c r="AM173" s="112"/>
      <c r="AN173" s="112"/>
      <c r="AO173" s="112"/>
      <c r="AP173" s="112"/>
      <c r="AQ173" s="112"/>
      <c r="AR173" s="112"/>
      <c r="AS173" s="2"/>
      <c r="AT173" s="2"/>
      <c r="AU173" s="112"/>
      <c r="AV173" s="112"/>
      <c r="AW173" s="112"/>
      <c r="AX173" s="112"/>
      <c r="AY173" s="112"/>
      <c r="AZ173" s="112"/>
      <c r="BA173" s="112"/>
      <c r="BB173" s="112"/>
      <c r="BC173" s="112"/>
      <c r="BD173" s="112"/>
      <c r="BE173" s="112"/>
      <c r="BF173" s="112"/>
      <c r="BG173" s="112"/>
      <c r="BH173" s="112"/>
      <c r="BI173" s="112"/>
      <c r="BJ173" s="112"/>
      <c r="BK173" s="112"/>
      <c r="BL173" s="112"/>
      <c r="BM173" s="112"/>
      <c r="BN173" s="112"/>
      <c r="BO173" s="112"/>
      <c r="BP173" s="112"/>
      <c r="BQ173" s="112"/>
      <c r="BR173" s="112"/>
      <c r="BS173" s="112"/>
      <c r="BT173" s="112"/>
      <c r="BU173" s="112"/>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2"/>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2"/>
      <c r="AU175" s="113" t="s">
        <v>115</v>
      </c>
      <c r="AV175" s="105"/>
      <c r="AW175" s="114" t="s">
        <v>116</v>
      </c>
      <c r="AX175" s="105"/>
      <c r="AY175" s="105"/>
      <c r="AZ175" s="115"/>
      <c r="BA175" s="115"/>
      <c r="BB175" s="115"/>
      <c r="BC175" s="115"/>
      <c r="BD175" s="105"/>
      <c r="BE175" s="105"/>
      <c r="BF175" s="1"/>
      <c r="BG175" s="1"/>
      <c r="BH175" s="1"/>
      <c r="BI175" s="1"/>
      <c r="BJ175" s="1"/>
      <c r="BK175" s="1"/>
      <c r="BL175" s="1"/>
      <c r="BM175" s="1"/>
      <c r="BN175" s="1"/>
      <c r="BO175" s="1"/>
      <c r="BP175" s="1"/>
      <c r="BQ175" s="1"/>
      <c r="BR175" s="1"/>
      <c r="BS175" s="1"/>
      <c r="BT175" s="1"/>
      <c r="BU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2"/>
      <c r="AU176" s="105"/>
      <c r="AV176" s="116" t="s">
        <v>117</v>
      </c>
      <c r="AW176" s="117"/>
      <c r="AX176" s="117"/>
      <c r="AY176" s="117"/>
      <c r="AZ176" s="118"/>
      <c r="BA176" s="118"/>
      <c r="BB176" s="118"/>
      <c r="BC176" s="118"/>
      <c r="BD176" s="118"/>
      <c r="BE176" s="119"/>
      <c r="BF176" s="1"/>
      <c r="BG176" s="1"/>
      <c r="BH176" s="1"/>
      <c r="BI176" s="1"/>
      <c r="BJ176" s="1"/>
      <c r="BK176" s="1"/>
      <c r="BL176" s="1"/>
      <c r="BM176" s="1"/>
      <c r="BN176" s="1"/>
      <c r="BO176" s="1"/>
      <c r="BP176" s="1"/>
      <c r="BQ176" s="1"/>
      <c r="BR176" s="1"/>
      <c r="BS176" s="1"/>
      <c r="BT176" s="1"/>
      <c r="BU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2"/>
      <c r="AU177" s="120" t="s">
        <v>118</v>
      </c>
      <c r="AV177" s="121">
        <v>1.0</v>
      </c>
      <c r="AW177" s="121">
        <v>2.0</v>
      </c>
      <c r="AX177" s="121">
        <v>3.0</v>
      </c>
      <c r="AY177" s="121">
        <v>4.0</v>
      </c>
      <c r="AZ177" s="121">
        <v>5.0</v>
      </c>
      <c r="BA177" s="122">
        <v>6.0</v>
      </c>
      <c r="BB177" s="122">
        <v>7.0</v>
      </c>
      <c r="BC177" s="122">
        <v>8.0</v>
      </c>
      <c r="BD177" s="122">
        <v>9.0</v>
      </c>
      <c r="BE177" s="122">
        <v>10.0</v>
      </c>
      <c r="BF177" s="1"/>
      <c r="BG177" s="1"/>
      <c r="BH177" s="1"/>
      <c r="BI177" s="1"/>
      <c r="BJ177" s="1"/>
      <c r="BK177" s="1"/>
      <c r="BL177" s="1"/>
      <c r="BM177" s="1"/>
      <c r="BN177" s="1"/>
      <c r="BO177" s="1"/>
      <c r="BP177" s="1"/>
      <c r="BQ177" s="1"/>
      <c r="BR177" s="1"/>
      <c r="BS177" s="1"/>
      <c r="BT177" s="1"/>
      <c r="BU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2"/>
      <c r="AU178" s="123" t="s">
        <v>119</v>
      </c>
      <c r="AV178" s="124">
        <v>1.0</v>
      </c>
      <c r="AW178" s="125">
        <v>1.18</v>
      </c>
      <c r="AX178" s="125">
        <v>1.29</v>
      </c>
      <c r="AY178" s="125">
        <v>1.34</v>
      </c>
      <c r="AZ178" s="126">
        <v>1.38</v>
      </c>
      <c r="BA178" s="127">
        <v>1.38</v>
      </c>
      <c r="BB178" s="127">
        <v>1.38</v>
      </c>
      <c r="BC178" s="127">
        <v>1.38</v>
      </c>
      <c r="BD178" s="127">
        <v>1.38</v>
      </c>
      <c r="BE178" s="127">
        <v>1.38</v>
      </c>
      <c r="BF178" s="1"/>
      <c r="BG178" s="1"/>
      <c r="BH178" s="1"/>
      <c r="BI178" s="1"/>
      <c r="BJ178" s="1"/>
      <c r="BK178" s="1"/>
      <c r="BL178" s="1"/>
      <c r="BM178" s="1"/>
      <c r="BN178" s="1"/>
      <c r="BO178" s="1"/>
      <c r="BP178" s="1"/>
      <c r="BQ178" s="1"/>
      <c r="BR178" s="1"/>
      <c r="BS178" s="1"/>
      <c r="BT178" s="1"/>
      <c r="BU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2"/>
      <c r="AU179" s="123" t="s">
        <v>120</v>
      </c>
      <c r="AV179" s="126">
        <v>1.0</v>
      </c>
      <c r="AW179" s="125">
        <v>1.16</v>
      </c>
      <c r="AX179" s="125">
        <v>1.26</v>
      </c>
      <c r="AY179" s="125">
        <v>1.32</v>
      </c>
      <c r="AZ179" s="125">
        <v>1.35</v>
      </c>
      <c r="BA179" s="127">
        <v>1.35</v>
      </c>
      <c r="BB179" s="127">
        <v>1.35</v>
      </c>
      <c r="BC179" s="127">
        <v>1.35</v>
      </c>
      <c r="BD179" s="127">
        <v>1.35</v>
      </c>
      <c r="BE179" s="127">
        <v>1.35</v>
      </c>
      <c r="BF179" s="1"/>
      <c r="BG179" s="1"/>
      <c r="BH179" s="1"/>
      <c r="BI179" s="1"/>
      <c r="BJ179" s="1"/>
      <c r="BK179" s="1"/>
      <c r="BL179" s="1"/>
      <c r="BM179" s="1"/>
      <c r="BN179" s="1"/>
      <c r="BO179" s="1"/>
      <c r="BP179" s="1"/>
      <c r="BQ179" s="1"/>
      <c r="BR179" s="1"/>
      <c r="BS179" s="1"/>
      <c r="BT179" s="1"/>
      <c r="BU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2"/>
      <c r="AU180" s="123" t="s">
        <v>121</v>
      </c>
      <c r="AV180" s="126">
        <v>1.0</v>
      </c>
      <c r="AW180" s="125">
        <v>1.12</v>
      </c>
      <c r="AX180" s="125">
        <v>1.19</v>
      </c>
      <c r="AY180" s="125">
        <v>1.23</v>
      </c>
      <c r="AZ180" s="125">
        <v>1.25</v>
      </c>
      <c r="BA180" s="127">
        <v>1.25</v>
      </c>
      <c r="BB180" s="127">
        <v>1.25</v>
      </c>
      <c r="BC180" s="127">
        <v>1.25</v>
      </c>
      <c r="BD180" s="127">
        <v>1.25</v>
      </c>
      <c r="BE180" s="127">
        <v>1.25</v>
      </c>
      <c r="BF180" s="1"/>
      <c r="BG180" s="1"/>
      <c r="BH180" s="1"/>
      <c r="BI180" s="1"/>
      <c r="BJ180" s="1"/>
      <c r="BK180" s="1"/>
      <c r="BL180" s="1"/>
      <c r="BM180" s="1"/>
      <c r="BN180" s="1"/>
      <c r="BO180" s="1"/>
      <c r="BP180" s="1"/>
      <c r="BQ180" s="1"/>
      <c r="BR180" s="1"/>
      <c r="BS180" s="1"/>
      <c r="BT180" s="1"/>
      <c r="BU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2"/>
      <c r="AU181" s="123" t="s">
        <v>122</v>
      </c>
      <c r="AV181" s="126">
        <v>1.0</v>
      </c>
      <c r="AW181" s="125">
        <v>1.09</v>
      </c>
      <c r="AX181" s="125">
        <v>1.14</v>
      </c>
      <c r="AY181" s="125">
        <v>1.17</v>
      </c>
      <c r="AZ181" s="125">
        <v>1.19</v>
      </c>
      <c r="BA181" s="127">
        <v>1.19</v>
      </c>
      <c r="BB181" s="127">
        <v>1.19</v>
      </c>
      <c r="BC181" s="127">
        <v>1.19</v>
      </c>
      <c r="BD181" s="127">
        <v>1.19</v>
      </c>
      <c r="BE181" s="127">
        <v>1.19</v>
      </c>
      <c r="BF181" s="1"/>
      <c r="BG181" s="1"/>
      <c r="BH181" s="1"/>
      <c r="BI181" s="1"/>
      <c r="BJ181" s="1"/>
      <c r="BK181" s="1"/>
      <c r="BL181" s="1"/>
      <c r="BM181" s="1"/>
      <c r="BN181" s="1"/>
      <c r="BO181" s="1"/>
      <c r="BP181" s="1"/>
      <c r="BQ181" s="1"/>
      <c r="BR181" s="1"/>
      <c r="BS181" s="1"/>
      <c r="BT181" s="1"/>
      <c r="BU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2"/>
      <c r="AU182" s="123" t="s">
        <v>123</v>
      </c>
      <c r="AV182" s="126">
        <v>1.0</v>
      </c>
      <c r="AW182" s="125">
        <v>1.08</v>
      </c>
      <c r="AX182" s="125">
        <v>1.11</v>
      </c>
      <c r="AY182" s="125">
        <v>1.14</v>
      </c>
      <c r="AZ182" s="125">
        <v>1.16</v>
      </c>
      <c r="BA182" s="127">
        <v>1.16</v>
      </c>
      <c r="BB182" s="127">
        <v>1.16</v>
      </c>
      <c r="BC182" s="127">
        <v>1.16</v>
      </c>
      <c r="BD182" s="127">
        <v>1.16</v>
      </c>
      <c r="BE182" s="127">
        <v>1.16</v>
      </c>
      <c r="BF182" s="1"/>
      <c r="BG182" s="1"/>
      <c r="BH182" s="1"/>
      <c r="BI182" s="1"/>
      <c r="BJ182" s="1"/>
      <c r="BK182" s="1"/>
      <c r="BL182" s="1"/>
      <c r="BM182" s="1"/>
      <c r="BN182" s="1"/>
      <c r="BO182" s="1"/>
      <c r="BP182" s="1"/>
      <c r="BQ182" s="1"/>
      <c r="BR182" s="1"/>
      <c r="BS182" s="1"/>
      <c r="BT182" s="1"/>
      <c r="BU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2"/>
      <c r="AU183" s="123" t="s">
        <v>124</v>
      </c>
      <c r="AV183" s="126">
        <v>1.0</v>
      </c>
      <c r="AW183" s="125">
        <v>1.07</v>
      </c>
      <c r="AX183" s="125">
        <v>1.09</v>
      </c>
      <c r="AY183" s="125">
        <v>1.12</v>
      </c>
      <c r="AZ183" s="125">
        <v>1.14</v>
      </c>
      <c r="BA183" s="127">
        <v>1.14</v>
      </c>
      <c r="BB183" s="127">
        <v>1.14</v>
      </c>
      <c r="BC183" s="127">
        <v>1.14</v>
      </c>
      <c r="BD183" s="127">
        <v>1.14</v>
      </c>
      <c r="BE183" s="127">
        <v>1.14</v>
      </c>
      <c r="BF183" s="1"/>
      <c r="BG183" s="1"/>
      <c r="BH183" s="1"/>
      <c r="BI183" s="1"/>
      <c r="BJ183" s="1"/>
      <c r="BK183" s="1"/>
      <c r="BL183" s="1"/>
      <c r="BM183" s="1"/>
      <c r="BN183" s="1"/>
      <c r="BO183" s="1"/>
      <c r="BP183" s="1"/>
      <c r="BQ183" s="1"/>
      <c r="BR183" s="1"/>
      <c r="BS183" s="1"/>
      <c r="BT183" s="1"/>
      <c r="BU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2"/>
      <c r="AU184" s="123" t="s">
        <v>125</v>
      </c>
      <c r="AV184" s="126">
        <v>1.0</v>
      </c>
      <c r="AW184" s="125">
        <v>1.05</v>
      </c>
      <c r="AX184" s="125">
        <v>1.07</v>
      </c>
      <c r="AY184" s="125">
        <v>1.1</v>
      </c>
      <c r="AZ184" s="125">
        <v>1.12</v>
      </c>
      <c r="BA184" s="127">
        <v>1.12</v>
      </c>
      <c r="BB184" s="127">
        <v>1.12</v>
      </c>
      <c r="BC184" s="127">
        <v>1.12</v>
      </c>
      <c r="BD184" s="127">
        <v>1.12</v>
      </c>
      <c r="BE184" s="127">
        <v>1.12</v>
      </c>
      <c r="BF184" s="1"/>
      <c r="BG184" s="1"/>
      <c r="BH184" s="1"/>
      <c r="BI184" s="1"/>
      <c r="BJ184" s="1"/>
      <c r="BK184" s="1"/>
      <c r="BL184" s="1"/>
      <c r="BM184" s="1"/>
      <c r="BN184" s="1"/>
      <c r="BO184" s="1"/>
      <c r="BP184" s="1"/>
      <c r="BQ184" s="1"/>
      <c r="BR184" s="1"/>
      <c r="BS184" s="1"/>
      <c r="BT184" s="1"/>
      <c r="BU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2"/>
      <c r="AU185" s="123" t="s">
        <v>126</v>
      </c>
      <c r="AV185" s="126">
        <v>1.0</v>
      </c>
      <c r="AW185" s="125">
        <v>1.03</v>
      </c>
      <c r="AX185" s="125">
        <v>1.05</v>
      </c>
      <c r="AY185" s="125">
        <v>1.08</v>
      </c>
      <c r="AZ185" s="126">
        <v>1.1</v>
      </c>
      <c r="BA185" s="127">
        <v>1.1</v>
      </c>
      <c r="BB185" s="127">
        <v>1.1</v>
      </c>
      <c r="BC185" s="127">
        <v>1.1</v>
      </c>
      <c r="BD185" s="127">
        <v>1.1</v>
      </c>
      <c r="BE185" s="127">
        <v>1.1</v>
      </c>
      <c r="BF185" s="1"/>
      <c r="BG185" s="1"/>
      <c r="BH185" s="1"/>
      <c r="BI185" s="1"/>
      <c r="BJ185" s="1"/>
      <c r="BK185" s="1"/>
      <c r="BL185" s="1"/>
      <c r="BM185" s="1"/>
      <c r="BN185" s="1"/>
      <c r="BO185" s="1"/>
      <c r="BP185" s="1"/>
      <c r="BQ185" s="1"/>
      <c r="BR185" s="1"/>
      <c r="BS185" s="1"/>
      <c r="BT185" s="1"/>
      <c r="BU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2"/>
      <c r="BF186" s="1"/>
      <c r="BG186" s="1"/>
      <c r="BH186" s="1"/>
      <c r="BI186" s="1"/>
      <c r="BJ186" s="1"/>
      <c r="BK186" s="1"/>
      <c r="BL186" s="1"/>
      <c r="BM186" s="1"/>
      <c r="BN186" s="1"/>
      <c r="BO186" s="1"/>
      <c r="BP186" s="1"/>
      <c r="BQ186" s="1"/>
      <c r="BR186" s="1"/>
      <c r="BS186" s="1"/>
      <c r="BT186" s="1"/>
      <c r="BU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2"/>
      <c r="BF187" s="1"/>
      <c r="BG187" s="1"/>
      <c r="BH187" s="1"/>
      <c r="BI187" s="1"/>
      <c r="BJ187" s="1"/>
      <c r="BK187" s="1"/>
      <c r="BL187" s="1"/>
      <c r="BM187" s="1"/>
      <c r="BN187" s="1"/>
      <c r="BO187" s="1"/>
      <c r="BP187" s="1"/>
      <c r="BQ187" s="1"/>
      <c r="BR187" s="1"/>
      <c r="BS187" s="1"/>
      <c r="BT187" s="1"/>
      <c r="BU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2"/>
      <c r="AU188" s="115" t="s">
        <v>127</v>
      </c>
      <c r="BF188" s="1"/>
      <c r="BG188" s="1"/>
      <c r="BH188" s="1"/>
      <c r="BI188" s="1"/>
      <c r="BJ188" s="1"/>
      <c r="BK188" s="1"/>
      <c r="BL188" s="1"/>
      <c r="BM188" s="1"/>
      <c r="BN188" s="1"/>
      <c r="BO188" s="1"/>
      <c r="BP188" s="1"/>
      <c r="BQ188" s="1"/>
      <c r="BR188" s="1"/>
      <c r="BS188" s="1"/>
      <c r="BT188" s="1"/>
      <c r="BU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2"/>
      <c r="AU189" s="128">
        <v>1.1</v>
      </c>
      <c r="BF189" s="1"/>
      <c r="BG189" s="1"/>
      <c r="BH189" s="1"/>
      <c r="BI189" s="1"/>
      <c r="BJ189" s="1"/>
      <c r="BK189" s="1"/>
      <c r="BL189" s="1"/>
      <c r="BM189" s="1"/>
      <c r="BN189" s="1"/>
      <c r="BO189" s="1"/>
      <c r="BP189" s="1"/>
      <c r="BQ189" s="1"/>
      <c r="BR189" s="1"/>
      <c r="BS189" s="1"/>
      <c r="BT189" s="1"/>
      <c r="BU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2"/>
      <c r="BF190" s="1"/>
      <c r="BG190" s="1"/>
      <c r="BH190" s="1"/>
      <c r="BI190" s="1"/>
      <c r="BJ190" s="1"/>
      <c r="BK190" s="1"/>
      <c r="BL190" s="1"/>
      <c r="BM190" s="1"/>
      <c r="BN190" s="1"/>
      <c r="BO190" s="1"/>
      <c r="BP190" s="1"/>
      <c r="BQ190" s="1"/>
      <c r="BR190" s="1"/>
      <c r="BS190" s="1"/>
      <c r="BT190" s="1"/>
      <c r="BU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2"/>
      <c r="AU191" s="129" t="s">
        <v>128</v>
      </c>
      <c r="AV191" s="130" t="s">
        <v>129</v>
      </c>
      <c r="AW191" s="131" t="s">
        <v>130</v>
      </c>
      <c r="AX191" s="131" t="s">
        <v>131</v>
      </c>
      <c r="AY191" s="131" t="s">
        <v>132</v>
      </c>
      <c r="BF191" s="1"/>
      <c r="BG191" s="1"/>
      <c r="BH191" s="1"/>
      <c r="BI191" s="1"/>
      <c r="BJ191" s="1"/>
      <c r="BK191" s="1"/>
      <c r="BL191" s="1"/>
      <c r="BM191" s="1"/>
      <c r="BN191" s="1"/>
      <c r="BO191" s="1"/>
      <c r="BP191" s="1"/>
      <c r="BQ191" s="1"/>
      <c r="BR191" s="1"/>
      <c r="BS191" s="1"/>
      <c r="BT191" s="1"/>
      <c r="BU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2"/>
      <c r="AU192" s="132">
        <v>0.0</v>
      </c>
      <c r="AV192" s="133">
        <v>1.0</v>
      </c>
      <c r="AW192" s="134">
        <v>0.0</v>
      </c>
      <c r="AX192" s="135">
        <f>LOOKUP(AW192,$AU$8:$AU$171,$AW$8:$AW$171)*AV192-LOOKUP(AW192,$AU$8:$AU$171,$AW$8:$AW$171)</f>
        <v>0</v>
      </c>
      <c r="AY192" s="135">
        <f>LOOKUP(AW192,$AU$8:$AU$171,$AX$8:$AX$171)*AV192-LOOKUP(AW192,$AU$8:$AU$171,$AX$8:$AX$171)</f>
        <v>0</v>
      </c>
      <c r="BF192" s="1"/>
      <c r="BG192" s="1"/>
      <c r="BH192" s="1"/>
      <c r="BI192" s="1"/>
      <c r="BJ192" s="1"/>
      <c r="BK192" s="1"/>
      <c r="BL192" s="1"/>
      <c r="BM192" s="1"/>
      <c r="BN192" s="1"/>
      <c r="BO192" s="1"/>
      <c r="BP192" s="1"/>
      <c r="BQ192" s="1"/>
      <c r="BR192" s="1"/>
      <c r="BS192" s="1"/>
      <c r="BT192" s="1"/>
      <c r="BU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2"/>
      <c r="AU193" s="132">
        <v>1.0</v>
      </c>
      <c r="AV193" s="133">
        <v>1.06</v>
      </c>
      <c r="AW193" s="134">
        <v>20.0</v>
      </c>
      <c r="AX193" s="135">
        <f t="shared" ref="AX193:AX205" si="25">rounddown(LOOKUP(AW193,$AU$8:$AU$171,$AW$8:$AW$171)*AV193-LOOKUP(AW193,$AU$8:$AU$171,$AW$8:$AW$171),0)</f>
        <v>172</v>
      </c>
      <c r="AY193" s="135">
        <f t="shared" ref="AY193:AY205" si="26">rounddown(LOOKUP(AW193,$AU$8:$AU$171,$AX$8:$AX$171)*AV193-LOOKUP(AW193,$AU$8:$AU$171,$AX$8:$AX$171),0)</f>
        <v>201</v>
      </c>
      <c r="BF193" s="1"/>
      <c r="BG193" s="1"/>
      <c r="BH193" s="1"/>
      <c r="BI193" s="1"/>
      <c r="BJ193" s="1"/>
      <c r="BK193" s="1"/>
      <c r="BL193" s="1"/>
      <c r="BM193" s="1"/>
      <c r="BN193" s="1"/>
      <c r="BO193" s="1"/>
      <c r="BP193" s="1"/>
      <c r="BQ193" s="1"/>
      <c r="BR193" s="1"/>
      <c r="BS193" s="1"/>
      <c r="BT193" s="1"/>
      <c r="BU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2"/>
      <c r="AU194" s="132">
        <v>2.0</v>
      </c>
      <c r="AV194" s="133">
        <v>1.09</v>
      </c>
      <c r="AW194" s="134">
        <v>30.0</v>
      </c>
      <c r="AX194" s="135">
        <f t="shared" si="25"/>
        <v>333</v>
      </c>
      <c r="AY194" s="135">
        <f t="shared" si="26"/>
        <v>389</v>
      </c>
      <c r="BF194" s="1"/>
      <c r="BG194" s="1"/>
      <c r="BH194" s="1"/>
      <c r="BI194" s="1"/>
      <c r="BJ194" s="1"/>
      <c r="BK194" s="1"/>
      <c r="BL194" s="1"/>
      <c r="BM194" s="1"/>
      <c r="BN194" s="1"/>
      <c r="BO194" s="1"/>
      <c r="BP194" s="1"/>
      <c r="BQ194" s="1"/>
      <c r="BR194" s="1"/>
      <c r="BS194" s="1"/>
      <c r="BT194" s="1"/>
      <c r="BU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2"/>
      <c r="AU195" s="132">
        <v>3.0</v>
      </c>
      <c r="AV195" s="133">
        <v>1.11</v>
      </c>
      <c r="AW195" s="134">
        <v>40.0</v>
      </c>
      <c r="AX195" s="135">
        <f t="shared" si="25"/>
        <v>501</v>
      </c>
      <c r="AY195" s="135">
        <f t="shared" si="26"/>
        <v>585</v>
      </c>
      <c r="BF195" s="1"/>
      <c r="BG195" s="1"/>
      <c r="BH195" s="1"/>
      <c r="BI195" s="1"/>
      <c r="BJ195" s="1"/>
      <c r="BK195" s="1"/>
      <c r="BL195" s="1"/>
      <c r="BM195" s="1"/>
      <c r="BN195" s="1"/>
      <c r="BO195" s="1"/>
      <c r="BP195" s="1"/>
      <c r="BQ195" s="1"/>
      <c r="BR195" s="1"/>
      <c r="BS195" s="1"/>
      <c r="BT195" s="1"/>
      <c r="BU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2"/>
      <c r="AU196" s="132">
        <v>4.0</v>
      </c>
      <c r="AV196" s="133">
        <v>1.12</v>
      </c>
      <c r="AW196" s="134">
        <v>50.0</v>
      </c>
      <c r="AX196" s="135">
        <f t="shared" si="25"/>
        <v>652</v>
      </c>
      <c r="AY196" s="135">
        <f t="shared" si="26"/>
        <v>761</v>
      </c>
      <c r="BF196" s="1"/>
      <c r="BG196" s="1"/>
      <c r="BH196" s="1"/>
      <c r="BI196" s="1"/>
      <c r="BJ196" s="1"/>
      <c r="BK196" s="1"/>
      <c r="BL196" s="1"/>
      <c r="BM196" s="1"/>
      <c r="BN196" s="1"/>
      <c r="BO196" s="1"/>
      <c r="BP196" s="1"/>
      <c r="BQ196" s="1"/>
      <c r="BR196" s="1"/>
      <c r="BS196" s="1"/>
      <c r="BT196" s="1"/>
      <c r="BU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2"/>
      <c r="AU197" s="132">
        <v>5.0</v>
      </c>
      <c r="AV197" s="133">
        <v>1.15</v>
      </c>
      <c r="AW197" s="134">
        <v>60.0</v>
      </c>
      <c r="AX197" s="135">
        <f t="shared" si="25"/>
        <v>949</v>
      </c>
      <c r="AY197" s="135">
        <f t="shared" si="26"/>
        <v>1108</v>
      </c>
      <c r="BF197" s="1"/>
      <c r="BG197" s="1"/>
      <c r="BH197" s="1"/>
      <c r="BI197" s="1"/>
      <c r="BJ197" s="1"/>
      <c r="BK197" s="1"/>
      <c r="BL197" s="1"/>
      <c r="BM197" s="1"/>
      <c r="BN197" s="1"/>
      <c r="BO197" s="1"/>
      <c r="BP197" s="1"/>
      <c r="BQ197" s="1"/>
      <c r="BR197" s="1"/>
      <c r="BS197" s="1"/>
      <c r="BT197" s="1"/>
      <c r="BU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2"/>
      <c r="AU198" s="132">
        <v>6.0</v>
      </c>
      <c r="AV198" s="133">
        <v>1.16</v>
      </c>
      <c r="AW198" s="134">
        <v>70.0</v>
      </c>
      <c r="AX198" s="135">
        <f t="shared" si="25"/>
        <v>1158</v>
      </c>
      <c r="AY198" s="135">
        <f t="shared" si="26"/>
        <v>1352</v>
      </c>
      <c r="BF198" s="1"/>
      <c r="BG198" s="1"/>
      <c r="BH198" s="1"/>
      <c r="BI198" s="1"/>
      <c r="BJ198" s="1"/>
      <c r="BK198" s="1"/>
      <c r="BL198" s="1"/>
      <c r="BM198" s="1"/>
      <c r="BN198" s="1"/>
      <c r="BO198" s="1"/>
      <c r="BP198" s="1"/>
      <c r="BQ198" s="1"/>
      <c r="BR198" s="1"/>
      <c r="BS198" s="1"/>
      <c r="BT198" s="1"/>
      <c r="BU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2"/>
      <c r="AU199" s="132">
        <v>7.0</v>
      </c>
      <c r="AV199" s="133">
        <v>1.17</v>
      </c>
      <c r="AW199" s="134">
        <v>80.0</v>
      </c>
      <c r="AX199" s="135">
        <f t="shared" si="25"/>
        <v>1387</v>
      </c>
      <c r="AY199" s="135">
        <f t="shared" si="26"/>
        <v>1620</v>
      </c>
      <c r="BF199" s="1"/>
      <c r="BG199" s="1"/>
      <c r="BH199" s="1"/>
      <c r="BI199" s="1"/>
      <c r="BJ199" s="1"/>
      <c r="BK199" s="1"/>
      <c r="BL199" s="1"/>
      <c r="BM199" s="1"/>
      <c r="BN199" s="1"/>
      <c r="BO199" s="1"/>
      <c r="BP199" s="1"/>
      <c r="BQ199" s="1"/>
      <c r="BR199" s="1"/>
      <c r="BS199" s="1"/>
      <c r="BT199" s="1"/>
      <c r="BU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2"/>
      <c r="AU200" s="132">
        <v>8.0</v>
      </c>
      <c r="AV200" s="133">
        <v>1.18</v>
      </c>
      <c r="AW200" s="134">
        <v>90.0</v>
      </c>
      <c r="AX200" s="135">
        <f t="shared" si="25"/>
        <v>1637</v>
      </c>
      <c r="AY200" s="135">
        <f t="shared" si="26"/>
        <v>1912</v>
      </c>
      <c r="BF200" s="1"/>
      <c r="BG200" s="1"/>
      <c r="BH200" s="1"/>
      <c r="BI200" s="1"/>
      <c r="BJ200" s="1"/>
      <c r="BK200" s="1"/>
      <c r="BL200" s="1"/>
      <c r="BM200" s="1"/>
      <c r="BN200" s="1"/>
      <c r="BO200" s="1"/>
      <c r="BP200" s="1"/>
      <c r="BQ200" s="1"/>
      <c r="BR200" s="1"/>
      <c r="BS200" s="1"/>
      <c r="BT200" s="1"/>
      <c r="BU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2"/>
      <c r="AU201" s="132">
        <v>9.0</v>
      </c>
      <c r="AV201" s="133">
        <v>1.19</v>
      </c>
      <c r="AW201" s="134">
        <v>100.0</v>
      </c>
      <c r="AX201" s="135">
        <f t="shared" si="25"/>
        <v>1908</v>
      </c>
      <c r="AY201" s="135">
        <f t="shared" si="26"/>
        <v>2228</v>
      </c>
      <c r="BF201" s="1"/>
      <c r="BG201" s="1"/>
      <c r="BH201" s="1"/>
      <c r="BI201" s="1"/>
      <c r="BJ201" s="1"/>
      <c r="BK201" s="1"/>
      <c r="BL201" s="1"/>
      <c r="BM201" s="1"/>
      <c r="BN201" s="1"/>
      <c r="BO201" s="1"/>
      <c r="BP201" s="1"/>
      <c r="BQ201" s="1"/>
      <c r="BR201" s="1"/>
      <c r="BS201" s="1"/>
      <c r="BT201" s="1"/>
      <c r="BU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2"/>
      <c r="AU202" s="132">
        <v>10.0</v>
      </c>
      <c r="AV202" s="133">
        <v>1.2</v>
      </c>
      <c r="AW202" s="134">
        <v>110.0</v>
      </c>
      <c r="AX202" s="135">
        <f t="shared" si="25"/>
        <v>2199</v>
      </c>
      <c r="AY202" s="135">
        <f t="shared" si="26"/>
        <v>2568</v>
      </c>
      <c r="BF202" s="1"/>
      <c r="BG202" s="1"/>
      <c r="BH202" s="1"/>
      <c r="BI202" s="1"/>
      <c r="BJ202" s="1"/>
      <c r="BK202" s="1"/>
      <c r="BL202" s="1"/>
      <c r="BM202" s="1"/>
      <c r="BN202" s="1"/>
      <c r="BO202" s="1"/>
      <c r="BP202" s="1"/>
      <c r="BQ202" s="1"/>
      <c r="BR202" s="1"/>
      <c r="BS202" s="1"/>
      <c r="BT202" s="1"/>
      <c r="BU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2"/>
      <c r="AU203" s="132">
        <v>11.0</v>
      </c>
      <c r="AV203" s="133">
        <v>1.25</v>
      </c>
      <c r="AW203" s="134">
        <v>120.0</v>
      </c>
      <c r="AX203" s="135">
        <f t="shared" si="25"/>
        <v>2990</v>
      </c>
      <c r="AY203" s="135">
        <f t="shared" si="26"/>
        <v>3492</v>
      </c>
      <c r="AZ203" s="1"/>
      <c r="BA203" s="1"/>
      <c r="BB203" s="1"/>
      <c r="BC203" s="1"/>
      <c r="BD203" s="1"/>
      <c r="BE203" s="1"/>
      <c r="BF203" s="1"/>
      <c r="BG203" s="1"/>
      <c r="BH203" s="1"/>
      <c r="BI203" s="1"/>
      <c r="BJ203" s="1"/>
      <c r="BK203" s="1"/>
      <c r="BL203" s="1"/>
      <c r="BM203" s="1"/>
      <c r="BN203" s="1"/>
      <c r="BO203" s="1"/>
      <c r="BP203" s="1"/>
      <c r="BQ203" s="1"/>
      <c r="BR203" s="1"/>
      <c r="BS203" s="1"/>
      <c r="BT203" s="1"/>
      <c r="BU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2"/>
      <c r="AU204" s="132">
        <v>12.0</v>
      </c>
      <c r="AV204" s="133">
        <v>1.27</v>
      </c>
      <c r="AW204" s="134">
        <v>130.0</v>
      </c>
      <c r="AX204" s="135">
        <f t="shared" si="25"/>
        <v>3491</v>
      </c>
      <c r="AY204" s="135">
        <f t="shared" si="26"/>
        <v>4077</v>
      </c>
      <c r="AZ204" s="1"/>
      <c r="BA204" s="1"/>
      <c r="BB204" s="1"/>
      <c r="BC204" s="1"/>
      <c r="BD204" s="1"/>
      <c r="BE204" s="1"/>
      <c r="BF204" s="1"/>
      <c r="BG204" s="1"/>
      <c r="BH204" s="1"/>
      <c r="BI204" s="1"/>
      <c r="BJ204" s="1"/>
      <c r="BK204" s="1"/>
      <c r="BL204" s="1"/>
      <c r="BM204" s="1"/>
      <c r="BN204" s="1"/>
      <c r="BO204" s="1"/>
      <c r="BP204" s="1"/>
      <c r="BQ204" s="1"/>
      <c r="BR204" s="1"/>
      <c r="BS204" s="1"/>
      <c r="BT204" s="1"/>
      <c r="BU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2"/>
      <c r="AU205" s="132">
        <v>13.0</v>
      </c>
      <c r="AV205" s="133">
        <v>1.3</v>
      </c>
      <c r="AW205" s="134">
        <v>140.0</v>
      </c>
      <c r="AX205" s="135">
        <f t="shared" si="25"/>
        <v>4173</v>
      </c>
      <c r="AY205" s="135">
        <f t="shared" si="26"/>
        <v>4874</v>
      </c>
      <c r="AZ205" s="1"/>
      <c r="BA205" s="1"/>
      <c r="BB205" s="1"/>
      <c r="BC205" s="1"/>
      <c r="BD205" s="1"/>
      <c r="BE205" s="1"/>
      <c r="BF205" s="1"/>
      <c r="BG205" s="1"/>
      <c r="BH205" s="1"/>
      <c r="BI205" s="1"/>
      <c r="BJ205" s="1"/>
      <c r="BK205" s="1"/>
      <c r="BL205" s="1"/>
      <c r="BM205" s="1"/>
      <c r="BN205" s="1"/>
      <c r="BO205" s="1"/>
      <c r="BP205" s="1"/>
      <c r="BQ205" s="1"/>
      <c r="BR205" s="1"/>
      <c r="BS205" s="1"/>
      <c r="BT205" s="1"/>
      <c r="BU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2"/>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2"/>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2"/>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row>
  </sheetData>
  <mergeCells count="295">
    <mergeCell ref="B37:D37"/>
    <mergeCell ref="E37:H37"/>
    <mergeCell ref="I37:K37"/>
    <mergeCell ref="L37:O37"/>
    <mergeCell ref="B36:D36"/>
    <mergeCell ref="B38:D38"/>
    <mergeCell ref="B40:D42"/>
    <mergeCell ref="B43:D43"/>
    <mergeCell ref="B44:D44"/>
    <mergeCell ref="E38:H38"/>
    <mergeCell ref="I38:K38"/>
    <mergeCell ref="L38:O38"/>
    <mergeCell ref="P38:Q38"/>
    <mergeCell ref="B32:D32"/>
    <mergeCell ref="A36:A40"/>
    <mergeCell ref="E36:G36"/>
    <mergeCell ref="H36:K36"/>
    <mergeCell ref="L36:N36"/>
    <mergeCell ref="O36:Q36"/>
    <mergeCell ref="P37:Q37"/>
    <mergeCell ref="AE44:AF44"/>
    <mergeCell ref="AG44:AH44"/>
    <mergeCell ref="AI44:AJ44"/>
    <mergeCell ref="AK44:AL44"/>
    <mergeCell ref="AM44:AN44"/>
    <mergeCell ref="Q44:R44"/>
    <mergeCell ref="S44:T44"/>
    <mergeCell ref="U44:V44"/>
    <mergeCell ref="W44:X44"/>
    <mergeCell ref="Y44:Z44"/>
    <mergeCell ref="AA44:AB44"/>
    <mergeCell ref="AC44:AD44"/>
    <mergeCell ref="E40:P40"/>
    <mergeCell ref="E41:P41"/>
    <mergeCell ref="E42:J42"/>
    <mergeCell ref="K42:P42"/>
    <mergeCell ref="G43:H43"/>
    <mergeCell ref="I43:J43"/>
    <mergeCell ref="O43:P43"/>
    <mergeCell ref="E43:F43"/>
    <mergeCell ref="E44:F44"/>
    <mergeCell ref="G44:H44"/>
    <mergeCell ref="I44:J44"/>
    <mergeCell ref="K44:L44"/>
    <mergeCell ref="M44:N44"/>
    <mergeCell ref="O44:P44"/>
    <mergeCell ref="AE45:AF45"/>
    <mergeCell ref="AG45:AH45"/>
    <mergeCell ref="AI45:AJ45"/>
    <mergeCell ref="AK45:AL45"/>
    <mergeCell ref="AM45:AN45"/>
    <mergeCell ref="Q45:R45"/>
    <mergeCell ref="S45:T45"/>
    <mergeCell ref="U45:V45"/>
    <mergeCell ref="W45:X45"/>
    <mergeCell ref="Y45:Z45"/>
    <mergeCell ref="AA45:AB45"/>
    <mergeCell ref="AC45:AD45"/>
    <mergeCell ref="B45:D45"/>
    <mergeCell ref="E45:F45"/>
    <mergeCell ref="G45:H45"/>
    <mergeCell ref="I45:J45"/>
    <mergeCell ref="K45:L45"/>
    <mergeCell ref="M45:N45"/>
    <mergeCell ref="O45:P45"/>
    <mergeCell ref="AE46:AF46"/>
    <mergeCell ref="AG46:AH46"/>
    <mergeCell ref="AI46:AJ46"/>
    <mergeCell ref="AK46:AL46"/>
    <mergeCell ref="AM46:AN46"/>
    <mergeCell ref="AI47:AJ47"/>
    <mergeCell ref="AK47:AL47"/>
    <mergeCell ref="AM47:AN47"/>
    <mergeCell ref="B47:D47"/>
    <mergeCell ref="E47:F47"/>
    <mergeCell ref="G47:H47"/>
    <mergeCell ref="I47:J47"/>
    <mergeCell ref="K47:L47"/>
    <mergeCell ref="M47:N47"/>
    <mergeCell ref="O47:P47"/>
    <mergeCell ref="B4:D4"/>
    <mergeCell ref="R4:V4"/>
    <mergeCell ref="AU4:AV4"/>
    <mergeCell ref="B5:P7"/>
    <mergeCell ref="R5:V5"/>
    <mergeCell ref="AU5:AV5"/>
    <mergeCell ref="R6:V6"/>
    <mergeCell ref="R7:V7"/>
    <mergeCell ref="B9:Y9"/>
    <mergeCell ref="AP9:AR9"/>
    <mergeCell ref="B10:E10"/>
    <mergeCell ref="F10:M10"/>
    <mergeCell ref="N10:Y10"/>
    <mergeCell ref="AP10:AR10"/>
    <mergeCell ref="B11:E11"/>
    <mergeCell ref="F11:M11"/>
    <mergeCell ref="N11:Y11"/>
    <mergeCell ref="B12:D12"/>
    <mergeCell ref="E12:G12"/>
    <mergeCell ref="H12:J12"/>
    <mergeCell ref="K12:M12"/>
    <mergeCell ref="B13:D13"/>
    <mergeCell ref="E13:G13"/>
    <mergeCell ref="H13:J13"/>
    <mergeCell ref="K13:M13"/>
    <mergeCell ref="AP13:AR13"/>
    <mergeCell ref="AP14:AR14"/>
    <mergeCell ref="B15:O15"/>
    <mergeCell ref="G17:I17"/>
    <mergeCell ref="J17:L17"/>
    <mergeCell ref="B16:C16"/>
    <mergeCell ref="D16:F16"/>
    <mergeCell ref="G16:I16"/>
    <mergeCell ref="J16:L16"/>
    <mergeCell ref="M16:O16"/>
    <mergeCell ref="B17:C17"/>
    <mergeCell ref="M17:O17"/>
    <mergeCell ref="I24:J24"/>
    <mergeCell ref="K24:L24"/>
    <mergeCell ref="E30:G30"/>
    <mergeCell ref="H30:K30"/>
    <mergeCell ref="L30:N30"/>
    <mergeCell ref="O30:Q30"/>
    <mergeCell ref="R30:S30"/>
    <mergeCell ref="T30:V30"/>
    <mergeCell ref="W30:X30"/>
    <mergeCell ref="B30:D30"/>
    <mergeCell ref="B35:D35"/>
    <mergeCell ref="E35:G35"/>
    <mergeCell ref="H35:K35"/>
    <mergeCell ref="L35:N35"/>
    <mergeCell ref="O35:Q35"/>
    <mergeCell ref="E31:H31"/>
    <mergeCell ref="I31:K31"/>
    <mergeCell ref="L31:O31"/>
    <mergeCell ref="P31:Q31"/>
    <mergeCell ref="R31:T31"/>
    <mergeCell ref="U31:V31"/>
    <mergeCell ref="B34:AD34"/>
    <mergeCell ref="AC36:AD36"/>
    <mergeCell ref="AC40:AN40"/>
    <mergeCell ref="AC41:AN41"/>
    <mergeCell ref="AC42:AH42"/>
    <mergeCell ref="AI42:AN42"/>
    <mergeCell ref="R35:W35"/>
    <mergeCell ref="X35:Y35"/>
    <mergeCell ref="Z35:AB35"/>
    <mergeCell ref="AC35:AD35"/>
    <mergeCell ref="AP35:AR35"/>
    <mergeCell ref="Z36:AB36"/>
    <mergeCell ref="AP36:AR36"/>
    <mergeCell ref="D17:F17"/>
    <mergeCell ref="B19:M19"/>
    <mergeCell ref="B20:D20"/>
    <mergeCell ref="E20:G20"/>
    <mergeCell ref="H20:J20"/>
    <mergeCell ref="K20:M20"/>
    <mergeCell ref="B21:D21"/>
    <mergeCell ref="K21:M21"/>
    <mergeCell ref="E21:G21"/>
    <mergeCell ref="H21:J21"/>
    <mergeCell ref="B23:H23"/>
    <mergeCell ref="I23:J23"/>
    <mergeCell ref="K23:L23"/>
    <mergeCell ref="M23:N23"/>
    <mergeCell ref="M24:N24"/>
    <mergeCell ref="C24:H24"/>
    <mergeCell ref="C25:H25"/>
    <mergeCell ref="I25:J25"/>
    <mergeCell ref="K25:L25"/>
    <mergeCell ref="M25:N25"/>
    <mergeCell ref="C26:H26"/>
    <mergeCell ref="I26:J26"/>
    <mergeCell ref="O29:Q29"/>
    <mergeCell ref="R29:S29"/>
    <mergeCell ref="K26:L26"/>
    <mergeCell ref="M26:N26"/>
    <mergeCell ref="B28:X28"/>
    <mergeCell ref="B29:D29"/>
    <mergeCell ref="E29:G29"/>
    <mergeCell ref="H29:K29"/>
    <mergeCell ref="L29:N29"/>
    <mergeCell ref="B31:D31"/>
    <mergeCell ref="E32:H32"/>
    <mergeCell ref="I32:K32"/>
    <mergeCell ref="L32:O32"/>
    <mergeCell ref="P32:Q32"/>
    <mergeCell ref="R32:T32"/>
    <mergeCell ref="U32:V32"/>
    <mergeCell ref="R38:T38"/>
    <mergeCell ref="U38:V38"/>
    <mergeCell ref="W38:Z38"/>
    <mergeCell ref="Q40:AB40"/>
    <mergeCell ref="Q41:AB41"/>
    <mergeCell ref="Q42:V42"/>
    <mergeCell ref="W42:AB42"/>
    <mergeCell ref="T29:V29"/>
    <mergeCell ref="W29:X29"/>
    <mergeCell ref="R36:W36"/>
    <mergeCell ref="X36:Y36"/>
    <mergeCell ref="R37:T37"/>
    <mergeCell ref="U37:V37"/>
    <mergeCell ref="W37:Z37"/>
    <mergeCell ref="AA43:AB43"/>
    <mergeCell ref="AC43:AD43"/>
    <mergeCell ref="AE43:AF43"/>
    <mergeCell ref="AG43:AH43"/>
    <mergeCell ref="AI43:AJ43"/>
    <mergeCell ref="AK43:AL43"/>
    <mergeCell ref="AM43:AN43"/>
    <mergeCell ref="K43:L43"/>
    <mergeCell ref="M43:N43"/>
    <mergeCell ref="Q43:R43"/>
    <mergeCell ref="S43:T43"/>
    <mergeCell ref="U43:V43"/>
    <mergeCell ref="W43:X43"/>
    <mergeCell ref="Y43:Z43"/>
    <mergeCell ref="Q46:R46"/>
    <mergeCell ref="S46:T46"/>
    <mergeCell ref="U46:V46"/>
    <mergeCell ref="W46:X46"/>
    <mergeCell ref="Y46:Z46"/>
    <mergeCell ref="AA46:AB46"/>
    <mergeCell ref="AC46:AD46"/>
    <mergeCell ref="B46:D46"/>
    <mergeCell ref="E46:F46"/>
    <mergeCell ref="G46:H46"/>
    <mergeCell ref="I46:J46"/>
    <mergeCell ref="K46:L46"/>
    <mergeCell ref="M46:N46"/>
    <mergeCell ref="O46:P46"/>
    <mergeCell ref="AE47:AF47"/>
    <mergeCell ref="AG47:AH47"/>
    <mergeCell ref="Q47:R47"/>
    <mergeCell ref="S47:T47"/>
    <mergeCell ref="U47:V47"/>
    <mergeCell ref="W47:X47"/>
    <mergeCell ref="Y47:Z47"/>
    <mergeCell ref="AA47:AB47"/>
    <mergeCell ref="AC47:AD47"/>
    <mergeCell ref="E56:T56"/>
    <mergeCell ref="B58:X58"/>
    <mergeCell ref="Y58:Z58"/>
    <mergeCell ref="B59:X61"/>
    <mergeCell ref="Y59:Z61"/>
    <mergeCell ref="B67:AD71"/>
    <mergeCell ref="E55:T55"/>
    <mergeCell ref="U55:V55"/>
    <mergeCell ref="W55:AB55"/>
    <mergeCell ref="AC55:AD55"/>
    <mergeCell ref="U56:V56"/>
    <mergeCell ref="W56:AB56"/>
    <mergeCell ref="AC56:AD56"/>
    <mergeCell ref="AE48:AF48"/>
    <mergeCell ref="AG48:AH48"/>
    <mergeCell ref="AI48:AJ48"/>
    <mergeCell ref="AK48:AL48"/>
    <mergeCell ref="AM48:AN48"/>
    <mergeCell ref="Q48:R48"/>
    <mergeCell ref="S48:T48"/>
    <mergeCell ref="U48:V48"/>
    <mergeCell ref="W48:X48"/>
    <mergeCell ref="Y48:Z48"/>
    <mergeCell ref="AA48:AB48"/>
    <mergeCell ref="AC48:AD48"/>
    <mergeCell ref="B48:D48"/>
    <mergeCell ref="B51:D51"/>
    <mergeCell ref="B52:D52"/>
    <mergeCell ref="B53:D53"/>
    <mergeCell ref="B54:D54"/>
    <mergeCell ref="B55:D55"/>
    <mergeCell ref="B56:D56"/>
    <mergeCell ref="E48:F48"/>
    <mergeCell ref="G48:H48"/>
    <mergeCell ref="I48:J48"/>
    <mergeCell ref="K48:L48"/>
    <mergeCell ref="M48:N48"/>
    <mergeCell ref="O48:P48"/>
    <mergeCell ref="B50:AD50"/>
    <mergeCell ref="E51:T51"/>
    <mergeCell ref="U51:V51"/>
    <mergeCell ref="W51:AB51"/>
    <mergeCell ref="AC51:AD51"/>
    <mergeCell ref="U52:V52"/>
    <mergeCell ref="W52:AB52"/>
    <mergeCell ref="AC52:AD52"/>
    <mergeCell ref="W54:AB54"/>
    <mergeCell ref="AC54:AD54"/>
    <mergeCell ref="E52:T52"/>
    <mergeCell ref="E53:T53"/>
    <mergeCell ref="U53:V53"/>
    <mergeCell ref="W53:AB53"/>
    <mergeCell ref="AC53:AD53"/>
    <mergeCell ref="E54:T54"/>
    <mergeCell ref="U54:V54"/>
  </mergeCells>
  <conditionalFormatting sqref="H13 K13">
    <cfRule type="cellIs" dxfId="0" priority="1" operator="equal">
      <formula>"緑"</formula>
    </cfRule>
  </conditionalFormatting>
  <conditionalFormatting sqref="H13 K13">
    <cfRule type="cellIs" dxfId="1" priority="2" operator="equal">
      <formula>"赤"</formula>
    </cfRule>
  </conditionalFormatting>
  <conditionalFormatting sqref="H13 K13">
    <cfRule type="cellIs" dxfId="2" priority="3" operator="equal">
      <formula>"黄"</formula>
    </cfRule>
  </conditionalFormatting>
  <conditionalFormatting sqref="H13 K13">
    <cfRule type="cellIs" dxfId="3" priority="4" operator="equal">
      <formula>"青"</formula>
    </cfRule>
  </conditionalFormatting>
  <conditionalFormatting sqref="H13 K13">
    <cfRule type="cellIs" dxfId="4" priority="5" operator="equal">
      <formula>"無"</formula>
    </cfRule>
  </conditionalFormatting>
  <dataValidations>
    <dataValidation type="list" allowBlank="1" showErrorMessage="1" sqref="AU5">
      <formula1>'キャラ基礎設計'!$AU$9:$AU$117</formula1>
    </dataValidation>
  </dataValidations>
  <hyperlinks>
    <hyperlink r:id="rId2" location="gid=781951868&amp;range=E:F" ref="B14"/>
    <hyperlink r:id="rId3" location="gid=0" ref="B64"/>
  </hyperlink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s>
  <sheetData>
    <row r="2">
      <c r="A2" s="136"/>
      <c r="B2" s="137" t="s">
        <v>133</v>
      </c>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row>
    <row r="3">
      <c r="B3" s="96" t="s">
        <v>134</v>
      </c>
      <c r="E3" s="138"/>
    </row>
    <row r="4">
      <c r="B4" s="96" t="s">
        <v>135</v>
      </c>
    </row>
    <row r="5">
      <c r="B5" s="96" t="s">
        <v>136</v>
      </c>
    </row>
    <row r="6">
      <c r="B6" s="96" t="s">
        <v>137</v>
      </c>
      <c r="C6" s="96">
        <v>30.0</v>
      </c>
      <c r="D6" s="96">
        <v>15.0</v>
      </c>
    </row>
    <row r="7">
      <c r="B7" s="96" t="s">
        <v>138</v>
      </c>
      <c r="C7" s="96">
        <v>60.0</v>
      </c>
      <c r="D7" s="96">
        <v>30.0</v>
      </c>
    </row>
    <row r="9">
      <c r="B9" s="96" t="s">
        <v>139</v>
      </c>
      <c r="C9" s="102" t="s">
        <v>140</v>
      </c>
      <c r="D9" s="102" t="s">
        <v>141</v>
      </c>
    </row>
    <row r="10">
      <c r="B10" s="96" t="s">
        <v>137</v>
      </c>
      <c r="C10" s="139">
        <f t="shared" ref="C10:D10" si="1">(C6/30)*50</f>
        <v>50</v>
      </c>
      <c r="D10" s="139">
        <f t="shared" si="1"/>
        <v>25</v>
      </c>
    </row>
    <row r="11">
      <c r="B11" s="96" t="s">
        <v>138</v>
      </c>
      <c r="C11" s="139">
        <f t="shared" ref="C11:D11" si="2">(C7/30)*50</f>
        <v>100</v>
      </c>
      <c r="D11" s="139">
        <f t="shared" si="2"/>
        <v>50</v>
      </c>
    </row>
    <row r="13">
      <c r="A13" s="136"/>
      <c r="B13" s="137" t="s">
        <v>142</v>
      </c>
      <c r="C13" s="136"/>
      <c r="D13" s="136"/>
      <c r="E13" s="136"/>
      <c r="F13" s="136"/>
      <c r="G13" s="136"/>
      <c r="H13" s="136"/>
      <c r="I13" s="136"/>
      <c r="J13" s="136"/>
      <c r="K13" s="136"/>
      <c r="L13" s="136"/>
      <c r="M13" s="136"/>
      <c r="N13" s="136"/>
      <c r="O13" s="136"/>
      <c r="P13" s="136"/>
      <c r="Q13" s="136"/>
      <c r="R13" s="136"/>
      <c r="S13" s="136"/>
      <c r="T13" s="136"/>
      <c r="U13" s="136"/>
      <c r="V13" s="136"/>
      <c r="W13" s="136"/>
      <c r="X13" s="136"/>
      <c r="Y13" s="136"/>
      <c r="Z13" s="136"/>
      <c r="AA13" s="136"/>
      <c r="AB13" s="136"/>
      <c r="AC13" s="136"/>
      <c r="AD13" s="136"/>
      <c r="AE13" s="136"/>
      <c r="AF13" s="136"/>
      <c r="AG13" s="136"/>
      <c r="AH13" s="136"/>
      <c r="AI13" s="136"/>
    </row>
    <row r="14">
      <c r="B14" s="96" t="s">
        <v>143</v>
      </c>
      <c r="D14" s="96" t="s">
        <v>144</v>
      </c>
    </row>
    <row r="15">
      <c r="B15" s="140" t="s">
        <v>145</v>
      </c>
      <c r="C15" s="105"/>
      <c r="D15" s="105"/>
      <c r="E15" s="105"/>
      <c r="F15" s="105"/>
      <c r="G15" s="105"/>
      <c r="H15" s="105"/>
      <c r="I15" s="105"/>
      <c r="J15" s="105"/>
    </row>
    <row r="16">
      <c r="B16" s="105" t="s">
        <v>146</v>
      </c>
      <c r="C16" s="105"/>
      <c r="D16" s="105"/>
      <c r="E16" s="105"/>
      <c r="F16" s="105"/>
      <c r="G16" s="105"/>
      <c r="H16" s="105"/>
      <c r="I16" s="105"/>
      <c r="J16" s="105"/>
    </row>
    <row r="17">
      <c r="B17" s="141" t="s">
        <v>147</v>
      </c>
      <c r="C17" s="142" t="s">
        <v>148</v>
      </c>
      <c r="D17" s="143">
        <v>0.17</v>
      </c>
      <c r="E17" s="144" t="s">
        <v>149</v>
      </c>
      <c r="F17" s="145">
        <v>0.22</v>
      </c>
      <c r="G17" s="105"/>
      <c r="H17" s="105"/>
      <c r="I17" s="105"/>
      <c r="J17" s="105"/>
    </row>
    <row r="18">
      <c r="B18" s="146"/>
      <c r="C18" s="147" t="s">
        <v>150</v>
      </c>
      <c r="D18" s="148">
        <v>0.3</v>
      </c>
      <c r="E18" s="149" t="s">
        <v>149</v>
      </c>
      <c r="F18" s="150">
        <v>0.35</v>
      </c>
      <c r="G18" s="105"/>
      <c r="H18" s="105"/>
      <c r="I18" s="105"/>
      <c r="J18" s="105"/>
    </row>
    <row r="19">
      <c r="B19" s="151"/>
      <c r="C19" s="152" t="s">
        <v>151</v>
      </c>
      <c r="D19" s="153">
        <v>0.6</v>
      </c>
      <c r="E19" s="154" t="s">
        <v>152</v>
      </c>
      <c r="F19" s="155"/>
      <c r="G19" s="105"/>
      <c r="H19" s="105"/>
      <c r="I19" s="105"/>
      <c r="J19" s="105"/>
    </row>
    <row r="20">
      <c r="B20" s="141" t="s">
        <v>153</v>
      </c>
      <c r="C20" s="142" t="s">
        <v>148</v>
      </c>
      <c r="D20" s="143">
        <v>0.25</v>
      </c>
      <c r="E20" s="144" t="s">
        <v>149</v>
      </c>
      <c r="F20" s="145">
        <v>0.3</v>
      </c>
      <c r="G20" s="105"/>
      <c r="H20" s="105"/>
      <c r="I20" s="105"/>
      <c r="J20" s="105"/>
    </row>
    <row r="21">
      <c r="B21" s="146"/>
      <c r="C21" s="147" t="s">
        <v>150</v>
      </c>
      <c r="D21" s="148">
        <v>0.35</v>
      </c>
      <c r="E21" s="149" t="s">
        <v>149</v>
      </c>
      <c r="F21" s="150">
        <v>0.4</v>
      </c>
      <c r="G21" s="105"/>
      <c r="H21" s="105"/>
      <c r="I21" s="105"/>
      <c r="J21" s="105"/>
    </row>
    <row r="22">
      <c r="B22" s="151"/>
      <c r="C22" s="152" t="s">
        <v>151</v>
      </c>
      <c r="D22" s="153">
        <v>0.6</v>
      </c>
      <c r="E22" s="154" t="s">
        <v>152</v>
      </c>
      <c r="F22" s="155"/>
      <c r="G22" s="105"/>
      <c r="H22" s="105"/>
      <c r="I22" s="105"/>
      <c r="J22" s="105"/>
    </row>
    <row r="23">
      <c r="B23" s="141" t="s">
        <v>154</v>
      </c>
      <c r="C23" s="142" t="s">
        <v>148</v>
      </c>
      <c r="D23" s="143">
        <v>0.28</v>
      </c>
      <c r="E23" s="144" t="s">
        <v>149</v>
      </c>
      <c r="F23" s="145">
        <v>0.33</v>
      </c>
      <c r="G23" s="105"/>
      <c r="H23" s="105"/>
      <c r="I23" s="105"/>
      <c r="J23" s="105"/>
    </row>
    <row r="24">
      <c r="B24" s="146"/>
      <c r="C24" s="147" t="s">
        <v>150</v>
      </c>
      <c r="D24" s="148">
        <v>0.38</v>
      </c>
      <c r="E24" s="149" t="s">
        <v>149</v>
      </c>
      <c r="F24" s="150">
        <v>0.43</v>
      </c>
      <c r="G24" s="105"/>
      <c r="H24" s="105"/>
      <c r="I24" s="105"/>
      <c r="J24" s="105"/>
    </row>
    <row r="25">
      <c r="B25" s="151"/>
      <c r="C25" s="152" t="s">
        <v>151</v>
      </c>
      <c r="D25" s="153">
        <v>0.6</v>
      </c>
      <c r="E25" s="154" t="s">
        <v>152</v>
      </c>
      <c r="F25" s="155"/>
      <c r="G25" s="105"/>
      <c r="H25" s="105"/>
      <c r="I25" s="105"/>
      <c r="J25" s="105"/>
    </row>
    <row r="26">
      <c r="B26" s="141" t="s">
        <v>155</v>
      </c>
      <c r="C26" s="142" t="s">
        <v>148</v>
      </c>
      <c r="D26" s="143">
        <v>0.27</v>
      </c>
      <c r="E26" s="144" t="s">
        <v>149</v>
      </c>
      <c r="F26" s="145">
        <v>0.32</v>
      </c>
      <c r="G26" s="105"/>
      <c r="H26" s="105"/>
      <c r="I26" s="105"/>
      <c r="J26" s="105"/>
    </row>
    <row r="27">
      <c r="B27" s="146"/>
      <c r="C27" s="147" t="s">
        <v>150</v>
      </c>
      <c r="D27" s="148">
        <v>0.37</v>
      </c>
      <c r="E27" s="149" t="s">
        <v>149</v>
      </c>
      <c r="F27" s="150">
        <v>0.42</v>
      </c>
      <c r="G27" s="105"/>
      <c r="H27" s="105"/>
      <c r="I27" s="105"/>
      <c r="J27" s="105"/>
    </row>
    <row r="28">
      <c r="B28" s="151"/>
      <c r="C28" s="152" t="s">
        <v>151</v>
      </c>
      <c r="D28" s="153">
        <v>0.52</v>
      </c>
      <c r="E28" s="154" t="s">
        <v>152</v>
      </c>
      <c r="F28" s="155"/>
      <c r="G28" s="105"/>
      <c r="H28" s="105" t="s">
        <v>156</v>
      </c>
      <c r="I28" s="105"/>
      <c r="J28" s="105"/>
    </row>
    <row r="29">
      <c r="B29" s="105"/>
      <c r="C29" s="105"/>
      <c r="D29" s="105"/>
      <c r="E29" s="105"/>
      <c r="F29" s="105"/>
      <c r="G29" s="105"/>
      <c r="H29" s="105"/>
      <c r="I29" s="105"/>
      <c r="J29" s="105"/>
    </row>
    <row r="30">
      <c r="B30" s="105"/>
      <c r="C30" s="105"/>
      <c r="D30" s="105"/>
      <c r="E30" s="105"/>
      <c r="F30" s="105"/>
      <c r="G30" s="105"/>
      <c r="H30" s="105"/>
      <c r="I30" s="105"/>
      <c r="J30" s="105"/>
    </row>
    <row r="31">
      <c r="B31" s="105" t="s">
        <v>157</v>
      </c>
      <c r="C31" s="141" t="s">
        <v>148</v>
      </c>
      <c r="D31" s="156"/>
      <c r="E31" s="141" t="s">
        <v>150</v>
      </c>
      <c r="F31" s="156"/>
      <c r="G31" s="157" t="s">
        <v>151</v>
      </c>
      <c r="H31" s="105"/>
      <c r="I31" s="105"/>
      <c r="J31" s="105"/>
    </row>
    <row r="32">
      <c r="B32" s="157" t="s">
        <v>39</v>
      </c>
      <c r="C32" s="158" t="s">
        <v>158</v>
      </c>
      <c r="D32" s="159" t="s">
        <v>159</v>
      </c>
      <c r="E32" s="158" t="s">
        <v>160</v>
      </c>
      <c r="F32" s="160" t="s">
        <v>161</v>
      </c>
      <c r="G32" s="157" t="s">
        <v>162</v>
      </c>
      <c r="H32" s="105"/>
      <c r="I32" s="105"/>
      <c r="J32" s="105"/>
    </row>
    <row r="33">
      <c r="B33" s="161" t="s">
        <v>147</v>
      </c>
      <c r="C33" s="162">
        <v>0.17</v>
      </c>
      <c r="D33" s="145">
        <v>0.22</v>
      </c>
      <c r="E33" s="162">
        <v>0.3</v>
      </c>
      <c r="F33" s="145">
        <v>0.35</v>
      </c>
      <c r="G33" s="163">
        <v>0.52</v>
      </c>
      <c r="H33" s="105"/>
      <c r="I33" s="105"/>
      <c r="J33" s="105"/>
    </row>
    <row r="34">
      <c r="B34" s="164" t="s">
        <v>153</v>
      </c>
      <c r="C34" s="165">
        <v>0.25</v>
      </c>
      <c r="D34" s="166">
        <v>0.3</v>
      </c>
      <c r="E34" s="165">
        <v>0.35</v>
      </c>
      <c r="F34" s="166">
        <v>0.4</v>
      </c>
      <c r="G34" s="167">
        <v>0.6</v>
      </c>
      <c r="H34" s="105"/>
      <c r="I34" s="105"/>
      <c r="J34" s="105"/>
    </row>
    <row r="35">
      <c r="B35" s="164" t="s">
        <v>154</v>
      </c>
      <c r="C35" s="165">
        <v>0.28</v>
      </c>
      <c r="D35" s="166">
        <v>0.33</v>
      </c>
      <c r="E35" s="165">
        <v>0.38</v>
      </c>
      <c r="F35" s="166">
        <v>0.43</v>
      </c>
      <c r="G35" s="167">
        <v>0.63</v>
      </c>
      <c r="H35" s="105"/>
      <c r="I35" s="105"/>
      <c r="J35" s="105"/>
    </row>
    <row r="36">
      <c r="B36" s="168" t="s">
        <v>155</v>
      </c>
      <c r="C36" s="169">
        <v>0.27</v>
      </c>
      <c r="D36" s="170">
        <v>0.32</v>
      </c>
      <c r="E36" s="169">
        <v>0.37</v>
      </c>
      <c r="F36" s="170">
        <v>0.42</v>
      </c>
      <c r="G36" s="171">
        <v>0.62</v>
      </c>
      <c r="H36" s="105"/>
      <c r="I36" s="105"/>
      <c r="J36" s="105"/>
    </row>
    <row r="37">
      <c r="B37" s="105"/>
      <c r="C37" s="105"/>
      <c r="D37" s="105"/>
      <c r="E37" s="105"/>
      <c r="F37" s="105"/>
      <c r="G37" s="105"/>
      <c r="H37" s="105"/>
      <c r="I37" s="105"/>
      <c r="J37" s="105"/>
    </row>
    <row r="38">
      <c r="B38" s="105" t="s">
        <v>163</v>
      </c>
      <c r="C38" s="105"/>
      <c r="D38" s="105"/>
      <c r="E38" s="105"/>
      <c r="F38" s="105"/>
      <c r="G38" s="105"/>
      <c r="H38" s="105"/>
      <c r="I38" s="105"/>
      <c r="J38" s="105"/>
    </row>
    <row r="39">
      <c r="B39" s="147" t="s">
        <v>148</v>
      </c>
      <c r="C39" s="148">
        <v>0.17</v>
      </c>
      <c r="D39" s="105" t="s">
        <v>164</v>
      </c>
      <c r="E39" s="105"/>
      <c r="F39" s="105"/>
      <c r="G39" s="105"/>
      <c r="H39" s="105"/>
      <c r="I39" s="105"/>
      <c r="J39" s="105"/>
    </row>
    <row r="40">
      <c r="B40" s="147" t="s">
        <v>148</v>
      </c>
      <c r="C40" s="148">
        <v>0.22</v>
      </c>
      <c r="D40" s="105" t="s">
        <v>165</v>
      </c>
      <c r="E40" s="105"/>
      <c r="F40" s="105"/>
      <c r="G40" s="105"/>
      <c r="H40" s="105"/>
      <c r="I40" s="105"/>
      <c r="J40" s="105"/>
    </row>
    <row r="41">
      <c r="B41" s="147" t="s">
        <v>150</v>
      </c>
      <c r="C41" s="148">
        <v>0.3</v>
      </c>
      <c r="D41" s="105" t="s">
        <v>166</v>
      </c>
      <c r="E41" s="105"/>
      <c r="F41" s="105"/>
      <c r="G41" s="105"/>
      <c r="H41" s="105"/>
      <c r="I41" s="105"/>
      <c r="J41" s="105"/>
    </row>
    <row r="42">
      <c r="B42" s="147" t="s">
        <v>150</v>
      </c>
      <c r="C42" s="148">
        <v>0.35</v>
      </c>
      <c r="D42" s="105" t="s">
        <v>167</v>
      </c>
      <c r="E42" s="105"/>
      <c r="F42" s="105"/>
      <c r="G42" s="105"/>
      <c r="H42" s="105"/>
      <c r="I42" s="105"/>
      <c r="J42" s="105"/>
    </row>
    <row r="44">
      <c r="A44" s="136"/>
      <c r="B44" s="137" t="s">
        <v>168</v>
      </c>
      <c r="C44" s="136"/>
      <c r="D44" s="136"/>
      <c r="E44" s="136"/>
      <c r="F44" s="136"/>
      <c r="G44" s="136"/>
      <c r="H44" s="136"/>
      <c r="I44" s="136"/>
      <c r="J44" s="136"/>
      <c r="K44" s="136"/>
      <c r="L44" s="136"/>
      <c r="M44" s="136"/>
      <c r="N44" s="136"/>
      <c r="O44" s="136"/>
      <c r="P44" s="136"/>
      <c r="Q44" s="136"/>
      <c r="R44" s="136"/>
      <c r="S44" s="136"/>
      <c r="T44" s="136"/>
      <c r="U44" s="136"/>
      <c r="V44" s="136"/>
      <c r="W44" s="136"/>
      <c r="X44" s="136"/>
      <c r="Y44" s="136"/>
      <c r="Z44" s="136"/>
      <c r="AA44" s="136"/>
      <c r="AB44" s="136"/>
      <c r="AC44" s="136"/>
      <c r="AD44" s="136"/>
      <c r="AE44" s="136"/>
      <c r="AF44" s="136"/>
      <c r="AG44" s="136"/>
      <c r="AH44" s="136"/>
      <c r="AI44" s="136"/>
    </row>
  </sheetData>
  <mergeCells count="2">
    <mergeCell ref="C31:D31"/>
    <mergeCell ref="E31:F3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3" max="3" width="3.88"/>
    <col customWidth="1" min="5" max="5" width="3.88"/>
  </cols>
  <sheetData>
    <row r="2">
      <c r="B2" s="96" t="s">
        <v>169</v>
      </c>
      <c r="F2" s="172"/>
    </row>
    <row r="3">
      <c r="A3" s="173"/>
      <c r="B3" s="174" t="s">
        <v>170</v>
      </c>
      <c r="C3" s="173" t="str">
        <f>"="</f>
        <v>=</v>
      </c>
      <c r="D3" s="174" t="s">
        <v>171</v>
      </c>
      <c r="E3" s="173" t="str">
        <f>"/"</f>
        <v>/</v>
      </c>
      <c r="F3" s="175" t="s">
        <v>172</v>
      </c>
      <c r="G3" s="173"/>
      <c r="H3" s="173"/>
      <c r="I3" s="173"/>
      <c r="J3" s="173"/>
    </row>
    <row r="4">
      <c r="F4" s="105"/>
    </row>
    <row r="5">
      <c r="B5" s="96" t="s">
        <v>173</v>
      </c>
      <c r="F5" s="105"/>
    </row>
    <row r="6">
      <c r="B6" s="174" t="s">
        <v>170</v>
      </c>
      <c r="C6" s="173" t="str">
        <f>"="</f>
        <v>=</v>
      </c>
      <c r="D6" s="174" t="s">
        <v>174</v>
      </c>
      <c r="E6" s="173" t="str">
        <f>"/"</f>
        <v>/</v>
      </c>
      <c r="F6" s="175" t="s">
        <v>175</v>
      </c>
      <c r="G6" s="173"/>
    </row>
    <row r="7">
      <c r="F7" s="17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3" max="3" width="9.88"/>
    <col customWidth="1" min="4" max="4" width="4.25"/>
    <col customWidth="1" min="5" max="5" width="11.13"/>
    <col customWidth="1" min="6" max="6" width="9.63"/>
    <col customWidth="1" min="7" max="7" width="4.75"/>
    <col customWidth="1" min="8" max="8" width="8.0"/>
    <col customWidth="1" min="9" max="10" width="19.75"/>
    <col customWidth="1" min="11" max="11" width="3.88"/>
  </cols>
  <sheetData>
    <row r="2">
      <c r="A2" s="176"/>
      <c r="B2" s="177" t="s">
        <v>176</v>
      </c>
      <c r="D2" s="176"/>
      <c r="E2" s="176"/>
      <c r="F2" s="176"/>
      <c r="G2" s="176"/>
      <c r="H2" s="176"/>
      <c r="I2" s="176"/>
      <c r="J2" s="176"/>
    </row>
    <row r="3">
      <c r="A3" s="96" t="s">
        <v>177</v>
      </c>
      <c r="B3" s="96" t="s">
        <v>178</v>
      </c>
    </row>
    <row r="4">
      <c r="B4" s="96"/>
    </row>
    <row r="5">
      <c r="B5" s="139" t="s">
        <v>47</v>
      </c>
      <c r="C5" s="96" t="s">
        <v>179</v>
      </c>
    </row>
    <row r="6">
      <c r="B6" s="178" t="s">
        <v>180</v>
      </c>
      <c r="C6" s="179" t="s">
        <v>181</v>
      </c>
      <c r="D6" s="9"/>
      <c r="E6" s="179" t="s">
        <v>182</v>
      </c>
      <c r="F6" s="9"/>
      <c r="G6" s="179" t="s">
        <v>183</v>
      </c>
      <c r="H6" s="8"/>
      <c r="I6" s="9"/>
      <c r="J6" s="96"/>
    </row>
    <row r="7">
      <c r="B7" s="178" t="s">
        <v>184</v>
      </c>
      <c r="C7" s="180" t="s">
        <v>185</v>
      </c>
      <c r="D7" s="9"/>
      <c r="E7" s="180" t="s">
        <v>186</v>
      </c>
      <c r="F7" s="9"/>
      <c r="G7" s="180" t="s">
        <v>187</v>
      </c>
      <c r="H7" s="8"/>
      <c r="I7" s="9"/>
    </row>
    <row r="8">
      <c r="B8" s="178" t="s">
        <v>188</v>
      </c>
      <c r="C8" s="180" t="s">
        <v>189</v>
      </c>
      <c r="D8" s="9"/>
      <c r="E8" s="180" t="s">
        <v>190</v>
      </c>
      <c r="F8" s="9"/>
      <c r="G8" s="180" t="s">
        <v>191</v>
      </c>
      <c r="H8" s="8"/>
      <c r="I8" s="9"/>
    </row>
    <row r="9">
      <c r="B9" s="178" t="s">
        <v>192</v>
      </c>
      <c r="C9" s="180" t="s">
        <v>193</v>
      </c>
      <c r="D9" s="9"/>
      <c r="E9" s="180" t="s">
        <v>194</v>
      </c>
      <c r="F9" s="9"/>
      <c r="G9" s="180" t="s">
        <v>195</v>
      </c>
      <c r="H9" s="8"/>
      <c r="I9" s="9"/>
    </row>
    <row r="10">
      <c r="C10" s="96"/>
    </row>
    <row r="11">
      <c r="B11" s="96" t="s">
        <v>196</v>
      </c>
      <c r="C11" s="96" t="s">
        <v>179</v>
      </c>
    </row>
    <row r="12">
      <c r="B12" s="178" t="s">
        <v>180</v>
      </c>
      <c r="C12" s="179" t="s">
        <v>197</v>
      </c>
      <c r="D12" s="8"/>
      <c r="E12" s="9"/>
      <c r="F12" s="181" t="s">
        <v>198</v>
      </c>
      <c r="G12" s="17"/>
      <c r="H12" s="18"/>
      <c r="I12" s="178" t="s">
        <v>182</v>
      </c>
      <c r="J12" s="178" t="s">
        <v>199</v>
      </c>
    </row>
    <row r="13">
      <c r="B13" s="182" t="s">
        <v>200</v>
      </c>
      <c r="C13" s="183">
        <v>90.0</v>
      </c>
      <c r="D13" s="184" t="s">
        <v>149</v>
      </c>
      <c r="E13" s="185">
        <v>125.0</v>
      </c>
      <c r="F13" s="186" t="str">
        <f t="shared" ref="F13:F17" si="1">text(C13/50,"0.00"&amp;"秒")</f>
        <v>1.80秒</v>
      </c>
      <c r="G13" s="184" t="s">
        <v>149</v>
      </c>
      <c r="H13" s="187" t="str">
        <f t="shared" ref="H13:H17" si="2">text(E13/50,"0.00"&amp;"秒")</f>
        <v>2.50秒</v>
      </c>
      <c r="I13" s="188"/>
      <c r="J13" s="189"/>
    </row>
    <row r="14">
      <c r="B14" s="190" t="s">
        <v>201</v>
      </c>
      <c r="C14" s="191">
        <v>70.0</v>
      </c>
      <c r="D14" s="184" t="s">
        <v>149</v>
      </c>
      <c r="E14" s="192">
        <v>80.0</v>
      </c>
      <c r="F14" s="186" t="str">
        <f t="shared" si="1"/>
        <v>1.40秒</v>
      </c>
      <c r="G14" s="184" t="s">
        <v>149</v>
      </c>
      <c r="H14" s="187" t="str">
        <f t="shared" si="2"/>
        <v>1.60秒</v>
      </c>
      <c r="I14" s="193" t="s">
        <v>202</v>
      </c>
      <c r="J14" s="189"/>
    </row>
    <row r="15">
      <c r="B15" s="194" t="s">
        <v>188</v>
      </c>
      <c r="C15" s="191">
        <v>40.0</v>
      </c>
      <c r="D15" s="184" t="s">
        <v>149</v>
      </c>
      <c r="E15" s="192">
        <v>50.0</v>
      </c>
      <c r="F15" s="186" t="str">
        <f t="shared" si="1"/>
        <v>0.80秒</v>
      </c>
      <c r="G15" s="184" t="s">
        <v>149</v>
      </c>
      <c r="H15" s="187" t="str">
        <f t="shared" si="2"/>
        <v>1.00秒</v>
      </c>
      <c r="I15" s="193" t="s">
        <v>203</v>
      </c>
      <c r="J15" s="189" t="s">
        <v>204</v>
      </c>
    </row>
    <row r="16">
      <c r="B16" s="190" t="s">
        <v>205</v>
      </c>
      <c r="C16" s="191">
        <v>20.0</v>
      </c>
      <c r="D16" s="184" t="s">
        <v>149</v>
      </c>
      <c r="E16" s="192">
        <v>30.0</v>
      </c>
      <c r="F16" s="186" t="str">
        <f t="shared" si="1"/>
        <v>0.40秒</v>
      </c>
      <c r="G16" s="184" t="s">
        <v>149</v>
      </c>
      <c r="H16" s="187" t="str">
        <f t="shared" si="2"/>
        <v>0.60秒</v>
      </c>
      <c r="I16" s="195"/>
      <c r="J16" s="189"/>
    </row>
    <row r="17">
      <c r="B17" s="190" t="s">
        <v>206</v>
      </c>
      <c r="C17" s="191">
        <v>5.0</v>
      </c>
      <c r="D17" s="184" t="s">
        <v>149</v>
      </c>
      <c r="E17" s="192">
        <v>10.0</v>
      </c>
      <c r="F17" s="186" t="str">
        <f t="shared" si="1"/>
        <v>0.10秒</v>
      </c>
      <c r="G17" s="184" t="s">
        <v>149</v>
      </c>
      <c r="H17" s="187" t="str">
        <f t="shared" si="2"/>
        <v>0.20秒</v>
      </c>
      <c r="I17" s="195" t="s">
        <v>207</v>
      </c>
      <c r="J17" s="189"/>
    </row>
    <row r="18">
      <c r="C18" s="96"/>
    </row>
    <row r="19">
      <c r="B19" s="139" t="s">
        <v>208</v>
      </c>
      <c r="C19" s="96" t="s">
        <v>179</v>
      </c>
    </row>
    <row r="20">
      <c r="B20" s="178" t="s">
        <v>180</v>
      </c>
      <c r="C20" s="179" t="s">
        <v>197</v>
      </c>
      <c r="D20" s="8"/>
      <c r="E20" s="9"/>
      <c r="F20" s="179" t="s">
        <v>198</v>
      </c>
      <c r="G20" s="8"/>
      <c r="H20" s="9"/>
      <c r="I20" s="178" t="s">
        <v>182</v>
      </c>
      <c r="J20" s="178" t="s">
        <v>199</v>
      </c>
    </row>
    <row r="21">
      <c r="B21" s="182" t="s">
        <v>200</v>
      </c>
      <c r="C21" s="183">
        <v>250.0</v>
      </c>
      <c r="D21" s="184" t="s">
        <v>149</v>
      </c>
      <c r="E21" s="185">
        <v>275.0</v>
      </c>
      <c r="F21" s="186" t="str">
        <f t="shared" ref="F21:F26" si="3">text(C21/50,"0.00"&amp;"秒")</f>
        <v>5.00秒</v>
      </c>
      <c r="G21" s="184" t="s">
        <v>149</v>
      </c>
      <c r="H21" s="187" t="str">
        <f t="shared" ref="H21:H26" si="4">text(E21/50,"0.00"&amp;"秒")</f>
        <v>5.50秒</v>
      </c>
      <c r="I21" s="189"/>
      <c r="J21" s="189"/>
    </row>
    <row r="22">
      <c r="B22" s="194" t="s">
        <v>209</v>
      </c>
      <c r="C22" s="191">
        <v>200.0</v>
      </c>
      <c r="D22" s="184" t="s">
        <v>149</v>
      </c>
      <c r="E22" s="192">
        <v>225.0</v>
      </c>
      <c r="F22" s="186" t="str">
        <f t="shared" si="3"/>
        <v>4.00秒</v>
      </c>
      <c r="G22" s="184" t="s">
        <v>149</v>
      </c>
      <c r="H22" s="187" t="str">
        <f t="shared" si="4"/>
        <v>4.50秒</v>
      </c>
      <c r="I22" s="189" t="s">
        <v>210</v>
      </c>
      <c r="J22" s="189"/>
    </row>
    <row r="23">
      <c r="B23" s="190" t="s">
        <v>188</v>
      </c>
      <c r="C23" s="191">
        <v>150.0</v>
      </c>
      <c r="D23" s="184" t="s">
        <v>149</v>
      </c>
      <c r="E23" s="192">
        <v>175.0</v>
      </c>
      <c r="F23" s="186" t="str">
        <f t="shared" si="3"/>
        <v>3.00秒</v>
      </c>
      <c r="G23" s="184" t="s">
        <v>149</v>
      </c>
      <c r="H23" s="187" t="str">
        <f t="shared" si="4"/>
        <v>3.50秒</v>
      </c>
      <c r="I23" s="189"/>
      <c r="J23" s="189"/>
    </row>
    <row r="24">
      <c r="B24" s="194" t="s">
        <v>188</v>
      </c>
      <c r="C24" s="191">
        <v>100.0</v>
      </c>
      <c r="D24" s="184" t="s">
        <v>149</v>
      </c>
      <c r="E24" s="192">
        <v>125.0</v>
      </c>
      <c r="F24" s="186" t="str">
        <f t="shared" si="3"/>
        <v>2.00秒</v>
      </c>
      <c r="G24" s="184" t="s">
        <v>149</v>
      </c>
      <c r="H24" s="187" t="str">
        <f t="shared" si="4"/>
        <v>2.50秒</v>
      </c>
      <c r="I24" s="189"/>
      <c r="J24" s="189" t="s">
        <v>204</v>
      </c>
    </row>
    <row r="25">
      <c r="B25" s="190" t="s">
        <v>205</v>
      </c>
      <c r="C25" s="191">
        <v>50.0</v>
      </c>
      <c r="D25" s="184" t="s">
        <v>149</v>
      </c>
      <c r="E25" s="192">
        <v>75.0</v>
      </c>
      <c r="F25" s="186" t="str">
        <f t="shared" si="3"/>
        <v>1.00秒</v>
      </c>
      <c r="G25" s="184" t="s">
        <v>149</v>
      </c>
      <c r="H25" s="187" t="str">
        <f t="shared" si="4"/>
        <v>1.50秒</v>
      </c>
      <c r="I25" s="189"/>
      <c r="J25" s="189"/>
    </row>
    <row r="26">
      <c r="B26" s="194" t="s">
        <v>206</v>
      </c>
      <c r="C26" s="191">
        <v>25.0</v>
      </c>
      <c r="D26" s="184" t="s">
        <v>149</v>
      </c>
      <c r="E26" s="192">
        <v>40.0</v>
      </c>
      <c r="F26" s="186" t="str">
        <f t="shared" si="3"/>
        <v>0.50秒</v>
      </c>
      <c r="G26" s="184" t="s">
        <v>149</v>
      </c>
      <c r="H26" s="187" t="str">
        <f t="shared" si="4"/>
        <v>0.80秒</v>
      </c>
      <c r="I26" s="189"/>
      <c r="J26" s="189"/>
    </row>
    <row r="28">
      <c r="B28" s="96" t="s">
        <v>211</v>
      </c>
    </row>
    <row r="29">
      <c r="B29" s="96">
        <v>30.0</v>
      </c>
      <c r="C29" s="96" t="s">
        <v>212</v>
      </c>
    </row>
    <row r="31">
      <c r="A31" s="176"/>
      <c r="B31" s="177" t="s">
        <v>213</v>
      </c>
      <c r="C31" s="177"/>
      <c r="D31" s="176"/>
      <c r="E31" s="176"/>
      <c r="F31" s="176"/>
      <c r="G31" s="176"/>
      <c r="H31" s="176"/>
      <c r="I31" s="176"/>
      <c r="J31" s="176"/>
    </row>
    <row r="33">
      <c r="B33" s="96" t="s">
        <v>133</v>
      </c>
    </row>
    <row r="34">
      <c r="B34" s="96" t="s">
        <v>214</v>
      </c>
    </row>
    <row r="36">
      <c r="B36" s="96" t="s">
        <v>215</v>
      </c>
    </row>
    <row r="37">
      <c r="B37" s="96" t="s">
        <v>216</v>
      </c>
      <c r="C37" s="196" t="s">
        <v>217</v>
      </c>
    </row>
    <row r="38">
      <c r="B38" s="96" t="s">
        <v>218</v>
      </c>
    </row>
    <row r="39">
      <c r="B39" s="197" t="s">
        <v>219</v>
      </c>
      <c r="C39" s="197"/>
      <c r="D39" s="197"/>
    </row>
    <row r="40">
      <c r="B40" s="96" t="s">
        <v>220</v>
      </c>
      <c r="C40" s="102"/>
      <c r="D40" s="102"/>
    </row>
    <row r="41">
      <c r="B41" s="96" t="s">
        <v>221</v>
      </c>
    </row>
    <row r="42">
      <c r="B42" s="96" t="s">
        <v>222</v>
      </c>
    </row>
    <row r="43">
      <c r="B43" s="96">
        <v>1.5</v>
      </c>
    </row>
  </sheetData>
  <mergeCells count="19">
    <mergeCell ref="B2:C2"/>
    <mergeCell ref="B3:C3"/>
    <mergeCell ref="C6:D6"/>
    <mergeCell ref="E6:F6"/>
    <mergeCell ref="G6:I6"/>
    <mergeCell ref="E7:F7"/>
    <mergeCell ref="G7:I7"/>
    <mergeCell ref="C12:E12"/>
    <mergeCell ref="F12:H12"/>
    <mergeCell ref="C20:E20"/>
    <mergeCell ref="F20:H20"/>
    <mergeCell ref="C37:J38"/>
    <mergeCell ref="C7:D7"/>
    <mergeCell ref="C8:D8"/>
    <mergeCell ref="E8:F8"/>
    <mergeCell ref="G8:I8"/>
    <mergeCell ref="C9:D9"/>
    <mergeCell ref="E9:F9"/>
    <mergeCell ref="G9:I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3" max="5" width="4.63"/>
    <col customWidth="1" min="9" max="9" width="7.63"/>
    <col customWidth="1" min="10" max="11" width="3.88"/>
    <col customWidth="1" min="14" max="14" width="3.88"/>
    <col customWidth="1" min="17" max="19" width="3.88"/>
  </cols>
  <sheetData>
    <row r="1">
      <c r="D1" s="2"/>
      <c r="F1" s="198" t="s">
        <v>223</v>
      </c>
      <c r="G1" s="198"/>
      <c r="H1" s="198"/>
      <c r="I1" s="198"/>
      <c r="K1" s="138"/>
      <c r="L1" s="138"/>
      <c r="M1" s="138"/>
      <c r="O1" s="138"/>
      <c r="P1" s="102" t="s">
        <v>224</v>
      </c>
      <c r="Q1" s="105"/>
      <c r="R1" s="11"/>
      <c r="S1" s="105"/>
    </row>
    <row r="2">
      <c r="B2" s="199" t="s">
        <v>225</v>
      </c>
      <c r="D2" s="2"/>
      <c r="F2" s="200" t="s">
        <v>38</v>
      </c>
      <c r="G2" s="201" t="s">
        <v>226</v>
      </c>
      <c r="H2" s="201" t="s">
        <v>227</v>
      </c>
      <c r="I2" s="201" t="s">
        <v>228</v>
      </c>
      <c r="J2" s="138"/>
      <c r="K2" s="138"/>
      <c r="L2" s="202" t="s">
        <v>229</v>
      </c>
      <c r="M2" s="203" t="s">
        <v>230</v>
      </c>
      <c r="O2" s="202" t="s">
        <v>231</v>
      </c>
      <c r="P2" s="203" t="s">
        <v>230</v>
      </c>
      <c r="Q2" s="204"/>
      <c r="R2" s="11"/>
    </row>
    <row r="3">
      <c r="B3" s="205" t="s">
        <v>232</v>
      </c>
      <c r="D3" s="2"/>
      <c r="F3" s="206" t="s">
        <v>120</v>
      </c>
      <c r="G3" s="207">
        <f t="shared" ref="G3:G10" si="1">rounddown(G4*1.25,0)</f>
        <v>12527</v>
      </c>
      <c r="H3" s="207">
        <f t="shared" ref="H3:H9" si="2">rounddown(H4*1.26,0)</f>
        <v>2596</v>
      </c>
      <c r="I3" s="208" t="s">
        <v>233</v>
      </c>
      <c r="K3" s="209">
        <v>25.0</v>
      </c>
      <c r="L3" s="210">
        <v>25.0</v>
      </c>
      <c r="M3" s="207">
        <f t="shared" ref="M3:M15" si="3">M4-0.025</f>
        <v>0.675</v>
      </c>
      <c r="O3" s="211">
        <v>1.0</v>
      </c>
      <c r="P3" s="207">
        <f t="shared" ref="P3:P14" si="4">P4-0.025</f>
        <v>0.7</v>
      </c>
      <c r="Q3" s="204"/>
      <c r="R3" s="11"/>
      <c r="S3" s="105"/>
    </row>
    <row r="4">
      <c r="B4" s="205" t="s">
        <v>234</v>
      </c>
      <c r="D4" s="2"/>
      <c r="F4" s="212" t="s">
        <v>121</v>
      </c>
      <c r="G4" s="207">
        <f t="shared" si="1"/>
        <v>10022</v>
      </c>
      <c r="H4" s="207">
        <f t="shared" si="2"/>
        <v>2061</v>
      </c>
      <c r="I4" s="213"/>
      <c r="K4" s="209">
        <f t="shared" ref="K4:K31" si="5">K3+25</f>
        <v>50</v>
      </c>
      <c r="L4" s="210">
        <f t="shared" ref="L4:L31" si="6">L3+K3</f>
        <v>50</v>
      </c>
      <c r="M4" s="207">
        <f t="shared" si="3"/>
        <v>0.7</v>
      </c>
      <c r="O4" s="211">
        <f t="shared" ref="O4:O27" si="7">O3+$P$1</f>
        <v>3.5</v>
      </c>
      <c r="P4" s="207">
        <f t="shared" si="4"/>
        <v>0.725</v>
      </c>
      <c r="Q4" s="204"/>
      <c r="R4" s="11"/>
    </row>
    <row r="5">
      <c r="B5" s="205" t="s">
        <v>235</v>
      </c>
      <c r="D5" s="2"/>
      <c r="F5" s="214" t="s">
        <v>122</v>
      </c>
      <c r="G5" s="207">
        <f t="shared" si="1"/>
        <v>8018</v>
      </c>
      <c r="H5" s="207">
        <f t="shared" si="2"/>
        <v>1636</v>
      </c>
      <c r="I5" s="213"/>
      <c r="K5" s="209">
        <f t="shared" si="5"/>
        <v>75</v>
      </c>
      <c r="L5" s="210">
        <f t="shared" si="6"/>
        <v>100</v>
      </c>
      <c r="M5" s="207">
        <f t="shared" si="3"/>
        <v>0.725</v>
      </c>
      <c r="O5" s="211">
        <f t="shared" si="7"/>
        <v>6</v>
      </c>
      <c r="P5" s="207">
        <f t="shared" si="4"/>
        <v>0.75</v>
      </c>
      <c r="Q5" s="204"/>
      <c r="R5" s="11"/>
      <c r="S5" s="105"/>
    </row>
    <row r="6">
      <c r="B6" s="215" t="s">
        <v>236</v>
      </c>
      <c r="D6" s="2"/>
      <c r="F6" s="216" t="s">
        <v>123</v>
      </c>
      <c r="G6" s="207">
        <f t="shared" si="1"/>
        <v>6415</v>
      </c>
      <c r="H6" s="207">
        <f t="shared" si="2"/>
        <v>1299</v>
      </c>
      <c r="I6" s="213"/>
      <c r="K6" s="209">
        <f t="shared" si="5"/>
        <v>100</v>
      </c>
      <c r="L6" s="210">
        <f t="shared" si="6"/>
        <v>175</v>
      </c>
      <c r="M6" s="207">
        <f t="shared" si="3"/>
        <v>0.75</v>
      </c>
      <c r="O6" s="211">
        <f t="shared" si="7"/>
        <v>8.5</v>
      </c>
      <c r="P6" s="207">
        <f t="shared" si="4"/>
        <v>0.775</v>
      </c>
      <c r="Q6" s="204"/>
      <c r="R6" s="11"/>
    </row>
    <row r="7">
      <c r="B7" s="217" t="s">
        <v>237</v>
      </c>
      <c r="D7" s="2"/>
      <c r="F7" s="205" t="s">
        <v>238</v>
      </c>
      <c r="G7" s="207">
        <f t="shared" si="1"/>
        <v>5132</v>
      </c>
      <c r="H7" s="207">
        <f t="shared" si="2"/>
        <v>1031</v>
      </c>
      <c r="I7" s="213"/>
      <c r="K7" s="209">
        <f t="shared" si="5"/>
        <v>125</v>
      </c>
      <c r="L7" s="210">
        <f t="shared" si="6"/>
        <v>275</v>
      </c>
      <c r="M7" s="207">
        <f t="shared" si="3"/>
        <v>0.775</v>
      </c>
      <c r="O7" s="211">
        <f t="shared" si="7"/>
        <v>11</v>
      </c>
      <c r="P7" s="207">
        <f t="shared" si="4"/>
        <v>0.8</v>
      </c>
      <c r="Q7" s="204"/>
      <c r="R7" s="11"/>
      <c r="S7" s="105"/>
    </row>
    <row r="8">
      <c r="B8" s="217" t="s">
        <v>239</v>
      </c>
      <c r="D8" s="2"/>
      <c r="F8" s="212" t="s">
        <v>124</v>
      </c>
      <c r="G8" s="207">
        <f t="shared" si="1"/>
        <v>4106</v>
      </c>
      <c r="H8" s="207">
        <f t="shared" si="2"/>
        <v>819</v>
      </c>
      <c r="I8" s="213"/>
      <c r="K8" s="209">
        <f t="shared" si="5"/>
        <v>150</v>
      </c>
      <c r="L8" s="210">
        <f t="shared" si="6"/>
        <v>400</v>
      </c>
      <c r="M8" s="207">
        <f t="shared" si="3"/>
        <v>0.8</v>
      </c>
      <c r="O8" s="211">
        <f t="shared" si="7"/>
        <v>13.5</v>
      </c>
      <c r="P8" s="207">
        <f t="shared" si="4"/>
        <v>0.825</v>
      </c>
      <c r="Q8" s="204"/>
      <c r="R8" s="11"/>
    </row>
    <row r="9">
      <c r="B9" s="218" t="s">
        <v>240</v>
      </c>
      <c r="D9" s="2"/>
      <c r="F9" s="214" t="s">
        <v>125</v>
      </c>
      <c r="G9" s="207">
        <f t="shared" si="1"/>
        <v>3285</v>
      </c>
      <c r="H9" s="207">
        <f t="shared" si="2"/>
        <v>650</v>
      </c>
      <c r="I9" s="213"/>
      <c r="K9" s="209">
        <f t="shared" si="5"/>
        <v>175</v>
      </c>
      <c r="L9" s="210">
        <f t="shared" si="6"/>
        <v>550</v>
      </c>
      <c r="M9" s="207">
        <f t="shared" si="3"/>
        <v>0.825</v>
      </c>
      <c r="O9" s="211">
        <f t="shared" si="7"/>
        <v>16</v>
      </c>
      <c r="P9" s="207">
        <f t="shared" si="4"/>
        <v>0.85</v>
      </c>
      <c r="Q9" s="204"/>
      <c r="R9" s="11"/>
      <c r="S9" s="105"/>
    </row>
    <row r="10">
      <c r="B10" s="219" t="s">
        <v>241</v>
      </c>
      <c r="D10" s="2"/>
      <c r="F10" s="216" t="s">
        <v>126</v>
      </c>
      <c r="G10" s="207">
        <f t="shared" si="1"/>
        <v>2628</v>
      </c>
      <c r="H10" s="207">
        <f>rounddown(H11*1.25,0)</f>
        <v>516</v>
      </c>
      <c r="I10" s="213"/>
      <c r="K10" s="209">
        <f t="shared" si="5"/>
        <v>200</v>
      </c>
      <c r="L10" s="210">
        <f t="shared" si="6"/>
        <v>725</v>
      </c>
      <c r="M10" s="207">
        <f t="shared" si="3"/>
        <v>0.85</v>
      </c>
      <c r="O10" s="211">
        <f t="shared" si="7"/>
        <v>18.5</v>
      </c>
      <c r="P10" s="207">
        <f t="shared" si="4"/>
        <v>0.875</v>
      </c>
      <c r="Q10" s="204"/>
      <c r="R10" s="11"/>
    </row>
    <row r="11">
      <c r="B11" s="219" t="s">
        <v>242</v>
      </c>
      <c r="D11" s="2"/>
      <c r="F11" s="205" t="s">
        <v>243</v>
      </c>
      <c r="G11" s="220">
        <v>2103.0</v>
      </c>
      <c r="H11" s="221">
        <v>413.0</v>
      </c>
      <c r="I11" s="213"/>
      <c r="K11" s="209">
        <f t="shared" si="5"/>
        <v>225</v>
      </c>
      <c r="L11" s="210">
        <f t="shared" si="6"/>
        <v>925</v>
      </c>
      <c r="M11" s="207">
        <f t="shared" si="3"/>
        <v>0.875</v>
      </c>
      <c r="O11" s="211">
        <f t="shared" si="7"/>
        <v>21</v>
      </c>
      <c r="P11" s="207">
        <f t="shared" si="4"/>
        <v>0.9</v>
      </c>
      <c r="Q11" s="204"/>
      <c r="R11" s="11"/>
      <c r="S11" s="105"/>
    </row>
    <row r="12">
      <c r="D12" s="2"/>
      <c r="K12" s="209">
        <f t="shared" si="5"/>
        <v>250</v>
      </c>
      <c r="L12" s="210">
        <f t="shared" si="6"/>
        <v>1150</v>
      </c>
      <c r="M12" s="207">
        <f t="shared" si="3"/>
        <v>0.9</v>
      </c>
      <c r="O12" s="211">
        <f t="shared" si="7"/>
        <v>23.5</v>
      </c>
      <c r="P12" s="207">
        <f t="shared" si="4"/>
        <v>0.925</v>
      </c>
      <c r="Q12" s="105"/>
      <c r="R12" s="11"/>
    </row>
    <row r="13">
      <c r="B13" s="200" t="s">
        <v>38</v>
      </c>
      <c r="D13" s="2"/>
      <c r="F13" s="199" t="s">
        <v>225</v>
      </c>
      <c r="G13" s="222" t="s">
        <v>244</v>
      </c>
      <c r="H13" s="223" t="s">
        <v>245</v>
      </c>
      <c r="K13" s="209">
        <f t="shared" si="5"/>
        <v>275</v>
      </c>
      <c r="L13" s="210">
        <f t="shared" si="6"/>
        <v>1400</v>
      </c>
      <c r="M13" s="207">
        <f t="shared" si="3"/>
        <v>0.925</v>
      </c>
      <c r="O13" s="211">
        <f t="shared" si="7"/>
        <v>26</v>
      </c>
      <c r="P13" s="207">
        <f t="shared" si="4"/>
        <v>0.95</v>
      </c>
      <c r="Q13" s="105"/>
      <c r="R13" s="11"/>
      <c r="S13" s="105"/>
    </row>
    <row r="14">
      <c r="B14" s="206" t="s">
        <v>120</v>
      </c>
      <c r="D14" s="2"/>
      <c r="F14" s="205" t="s">
        <v>232</v>
      </c>
      <c r="G14" s="207" t="str">
        <f>rounddown(VLOOKUP(temp!F13,$F$2:$H$11,2,false)*$I$3,0)</f>
        <v>#REF!</v>
      </c>
      <c r="H14" s="211" t="str">
        <f>rounddown(H19*$I$3,0)</f>
        <v>#REF!</v>
      </c>
      <c r="K14" s="209">
        <f t="shared" si="5"/>
        <v>300</v>
      </c>
      <c r="L14" s="210">
        <f t="shared" si="6"/>
        <v>1675</v>
      </c>
      <c r="M14" s="207">
        <f t="shared" si="3"/>
        <v>0.95</v>
      </c>
      <c r="O14" s="211">
        <f t="shared" si="7"/>
        <v>28.5</v>
      </c>
      <c r="P14" s="207">
        <f t="shared" si="4"/>
        <v>0.975</v>
      </c>
      <c r="Q14" s="105"/>
      <c r="R14" s="11"/>
    </row>
    <row r="15">
      <c r="B15" s="212" t="s">
        <v>121</v>
      </c>
      <c r="D15" s="2"/>
      <c r="F15" s="205" t="s">
        <v>234</v>
      </c>
      <c r="G15" s="207" t="str">
        <f t="shared" ref="G15:H15" si="8">rounddown(G14*$I$3,0)</f>
        <v>#REF!</v>
      </c>
      <c r="H15" s="211" t="str">
        <f t="shared" si="8"/>
        <v>#REF!</v>
      </c>
      <c r="K15" s="209">
        <f t="shared" si="5"/>
        <v>325</v>
      </c>
      <c r="L15" s="210">
        <f t="shared" si="6"/>
        <v>1975</v>
      </c>
      <c r="M15" s="207">
        <f t="shared" si="3"/>
        <v>0.975</v>
      </c>
      <c r="O15" s="211">
        <f t="shared" si="7"/>
        <v>31</v>
      </c>
      <c r="P15" s="207">
        <v>1.0</v>
      </c>
      <c r="Q15" s="105"/>
      <c r="R15" s="11"/>
      <c r="S15" s="105"/>
    </row>
    <row r="16">
      <c r="B16" s="214" t="s">
        <v>122</v>
      </c>
      <c r="D16" s="2"/>
      <c r="F16" s="205" t="s">
        <v>235</v>
      </c>
      <c r="G16" s="207" t="str">
        <f t="shared" ref="G16:H16" si="9">rounddown(G15*$I$3,0)</f>
        <v>#REF!</v>
      </c>
      <c r="H16" s="211" t="str">
        <f t="shared" si="9"/>
        <v>#REF!</v>
      </c>
      <c r="K16" s="209">
        <f t="shared" si="5"/>
        <v>350</v>
      </c>
      <c r="L16" s="210">
        <f t="shared" si="6"/>
        <v>2300</v>
      </c>
      <c r="M16" s="207">
        <v>1.0</v>
      </c>
      <c r="O16" s="211">
        <f t="shared" si="7"/>
        <v>33.5</v>
      </c>
      <c r="P16" s="207">
        <f t="shared" ref="P16:P27" si="10">P15+ 0.025</f>
        <v>1.025</v>
      </c>
      <c r="Q16" s="105"/>
      <c r="R16" s="11"/>
    </row>
    <row r="17">
      <c r="B17" s="216" t="s">
        <v>123</v>
      </c>
      <c r="D17" s="2"/>
      <c r="F17" s="217" t="s">
        <v>236</v>
      </c>
      <c r="G17" s="207" t="str">
        <f t="shared" ref="G17:G22" si="11">rounddown(G16*$I$3,0)</f>
        <v>#REF!</v>
      </c>
      <c r="H17" s="211" t="str">
        <f>rounddown(VLOOKUP(temp!F13,$F$2:$H$11,3,false)*$I$3,0)</f>
        <v>#REF!</v>
      </c>
      <c r="K17" s="209">
        <f t="shared" si="5"/>
        <v>375</v>
      </c>
      <c r="L17" s="210">
        <f t="shared" si="6"/>
        <v>2650</v>
      </c>
      <c r="M17" s="207">
        <f t="shared" ref="M17:M31" si="12">M16+ 0.025</f>
        <v>1.025</v>
      </c>
      <c r="O17" s="211">
        <f t="shared" si="7"/>
        <v>36</v>
      </c>
      <c r="P17" s="207">
        <f t="shared" si="10"/>
        <v>1.05</v>
      </c>
      <c r="Q17" s="105"/>
      <c r="R17" s="11"/>
      <c r="S17" s="105"/>
    </row>
    <row r="18">
      <c r="B18" s="205" t="s">
        <v>238</v>
      </c>
      <c r="D18" s="2"/>
      <c r="F18" s="217" t="s">
        <v>237</v>
      </c>
      <c r="G18" s="207" t="str">
        <f t="shared" si="11"/>
        <v>#REF!</v>
      </c>
      <c r="H18" s="211" t="str">
        <f t="shared" ref="H18:H19" si="13">rounddown(H17*$I$3,0)</f>
        <v>#REF!</v>
      </c>
      <c r="K18" s="209">
        <f t="shared" si="5"/>
        <v>400</v>
      </c>
      <c r="L18" s="210">
        <f t="shared" si="6"/>
        <v>3025</v>
      </c>
      <c r="M18" s="207">
        <f t="shared" si="12"/>
        <v>1.05</v>
      </c>
      <c r="O18" s="211">
        <f t="shared" si="7"/>
        <v>38.5</v>
      </c>
      <c r="P18" s="207">
        <f t="shared" si="10"/>
        <v>1.075</v>
      </c>
      <c r="Q18" s="105"/>
      <c r="R18" s="11"/>
    </row>
    <row r="19">
      <c r="B19" s="212" t="s">
        <v>124</v>
      </c>
      <c r="D19" s="2"/>
      <c r="F19" s="217" t="s">
        <v>239</v>
      </c>
      <c r="G19" s="207" t="str">
        <f t="shared" si="11"/>
        <v>#REF!</v>
      </c>
      <c r="H19" s="211" t="str">
        <f t="shared" si="13"/>
        <v>#REF!</v>
      </c>
      <c r="K19" s="209">
        <f t="shared" si="5"/>
        <v>425</v>
      </c>
      <c r="L19" s="210">
        <f t="shared" si="6"/>
        <v>3425</v>
      </c>
      <c r="M19" s="207">
        <f t="shared" si="12"/>
        <v>1.075</v>
      </c>
      <c r="O19" s="211">
        <f t="shared" si="7"/>
        <v>41</v>
      </c>
      <c r="P19" s="207">
        <f t="shared" si="10"/>
        <v>1.1</v>
      </c>
      <c r="Q19" s="105"/>
      <c r="R19" s="11"/>
      <c r="S19" s="105"/>
    </row>
    <row r="20">
      <c r="B20" s="214" t="s">
        <v>125</v>
      </c>
      <c r="D20" s="2"/>
      <c r="F20" s="219" t="s">
        <v>240</v>
      </c>
      <c r="G20" s="207" t="str">
        <f t="shared" si="11"/>
        <v>#REF!</v>
      </c>
      <c r="H20" s="211" t="str">
        <f>rounddown(H16*$I$3,0)</f>
        <v>#REF!</v>
      </c>
      <c r="K20" s="209">
        <f t="shared" si="5"/>
        <v>450</v>
      </c>
      <c r="L20" s="210">
        <f t="shared" si="6"/>
        <v>3850</v>
      </c>
      <c r="M20" s="207">
        <f t="shared" si="12"/>
        <v>1.1</v>
      </c>
      <c r="N20" s="138"/>
      <c r="O20" s="211">
        <f t="shared" si="7"/>
        <v>43.5</v>
      </c>
      <c r="P20" s="207">
        <f t="shared" si="10"/>
        <v>1.125</v>
      </c>
      <c r="Q20" s="105"/>
      <c r="R20" s="11"/>
    </row>
    <row r="21">
      <c r="B21" s="216" t="s">
        <v>126</v>
      </c>
      <c r="D21" s="2"/>
      <c r="F21" s="219" t="s">
        <v>241</v>
      </c>
      <c r="G21" s="207" t="str">
        <f t="shared" si="11"/>
        <v>#REF!</v>
      </c>
      <c r="H21" s="211" t="str">
        <f t="shared" ref="H21:H22" si="14">H20</f>
        <v>#REF!</v>
      </c>
      <c r="K21" s="209">
        <f t="shared" si="5"/>
        <v>475</v>
      </c>
      <c r="L21" s="210">
        <f t="shared" si="6"/>
        <v>4300</v>
      </c>
      <c r="M21" s="207">
        <f t="shared" si="12"/>
        <v>1.125</v>
      </c>
      <c r="N21" s="138"/>
      <c r="O21" s="211">
        <f t="shared" si="7"/>
        <v>46</v>
      </c>
      <c r="P21" s="207">
        <f t="shared" si="10"/>
        <v>1.15</v>
      </c>
      <c r="Q21" s="105"/>
      <c r="R21" s="11"/>
      <c r="S21" s="105"/>
    </row>
    <row r="22">
      <c r="B22" s="205" t="s">
        <v>243</v>
      </c>
      <c r="D22" s="2"/>
      <c r="F22" s="219" t="s">
        <v>242</v>
      </c>
      <c r="G22" s="207" t="str">
        <f t="shared" si="11"/>
        <v>#REF!</v>
      </c>
      <c r="H22" s="211" t="str">
        <f t="shared" si="14"/>
        <v>#REF!</v>
      </c>
      <c r="K22" s="209">
        <f t="shared" si="5"/>
        <v>500</v>
      </c>
      <c r="L22" s="210">
        <f t="shared" si="6"/>
        <v>4775</v>
      </c>
      <c r="M22" s="207">
        <f t="shared" si="12"/>
        <v>1.15</v>
      </c>
      <c r="N22" s="138"/>
      <c r="O22" s="211">
        <f t="shared" si="7"/>
        <v>48.5</v>
      </c>
      <c r="P22" s="207">
        <f t="shared" si="10"/>
        <v>1.175</v>
      </c>
      <c r="Q22" s="105"/>
      <c r="R22" s="11"/>
    </row>
    <row r="23">
      <c r="D23" s="2"/>
      <c r="K23" s="209">
        <f t="shared" si="5"/>
        <v>525</v>
      </c>
      <c r="L23" s="210">
        <f t="shared" si="6"/>
        <v>5275</v>
      </c>
      <c r="M23" s="207">
        <f t="shared" si="12"/>
        <v>1.175</v>
      </c>
      <c r="N23" s="138"/>
      <c r="O23" s="211">
        <f t="shared" si="7"/>
        <v>51</v>
      </c>
      <c r="P23" s="207">
        <f t="shared" si="10"/>
        <v>1.2</v>
      </c>
      <c r="Q23" s="105"/>
      <c r="R23" s="11"/>
      <c r="S23" s="105"/>
    </row>
    <row r="24">
      <c r="D24" s="2"/>
      <c r="F24" s="224"/>
      <c r="G24" s="224" t="s">
        <v>246</v>
      </c>
      <c r="H24" s="224" t="s">
        <v>247</v>
      </c>
      <c r="K24" s="209">
        <f t="shared" si="5"/>
        <v>550</v>
      </c>
      <c r="L24" s="210">
        <f t="shared" si="6"/>
        <v>5800</v>
      </c>
      <c r="M24" s="207">
        <f t="shared" si="12"/>
        <v>1.2</v>
      </c>
      <c r="N24" s="138"/>
      <c r="O24" s="211">
        <f t="shared" si="7"/>
        <v>53.5</v>
      </c>
      <c r="P24" s="207">
        <f t="shared" si="10"/>
        <v>1.225</v>
      </c>
      <c r="Q24" s="105"/>
      <c r="R24" s="11"/>
    </row>
    <row r="25">
      <c r="D25" s="2"/>
      <c r="F25" s="200" t="s">
        <v>200</v>
      </c>
      <c r="G25" s="207">
        <v>1.065</v>
      </c>
      <c r="H25" s="207">
        <v>1.035</v>
      </c>
      <c r="K25" s="209">
        <f t="shared" si="5"/>
        <v>575</v>
      </c>
      <c r="L25" s="210">
        <f t="shared" si="6"/>
        <v>6350</v>
      </c>
      <c r="M25" s="207">
        <f t="shared" si="12"/>
        <v>1.225</v>
      </c>
      <c r="N25" s="138"/>
      <c r="O25" s="211">
        <f t="shared" si="7"/>
        <v>56</v>
      </c>
      <c r="P25" s="207">
        <f t="shared" si="10"/>
        <v>1.25</v>
      </c>
      <c r="Q25" s="105"/>
      <c r="R25" s="11"/>
      <c r="S25" s="105"/>
    </row>
    <row r="26">
      <c r="D26" s="2"/>
      <c r="F26" s="200" t="s">
        <v>201</v>
      </c>
      <c r="G26" s="207">
        <v>1.03</v>
      </c>
      <c r="H26" s="207">
        <v>1.01</v>
      </c>
      <c r="K26" s="209">
        <f t="shared" si="5"/>
        <v>600</v>
      </c>
      <c r="L26" s="210">
        <f t="shared" si="6"/>
        <v>6925</v>
      </c>
      <c r="M26" s="207">
        <f t="shared" si="12"/>
        <v>1.25</v>
      </c>
      <c r="N26" s="138"/>
      <c r="O26" s="211">
        <f t="shared" si="7"/>
        <v>58.5</v>
      </c>
      <c r="P26" s="207">
        <f t="shared" si="10"/>
        <v>1.275</v>
      </c>
      <c r="Q26" s="105"/>
      <c r="R26" s="11"/>
    </row>
    <row r="27">
      <c r="D27" s="2"/>
      <c r="F27" s="200" t="s">
        <v>188</v>
      </c>
      <c r="G27" s="207">
        <v>0.995</v>
      </c>
      <c r="H27" s="207">
        <v>0.985</v>
      </c>
      <c r="K27" s="209">
        <f t="shared" si="5"/>
        <v>625</v>
      </c>
      <c r="L27" s="210">
        <f t="shared" si="6"/>
        <v>7525</v>
      </c>
      <c r="M27" s="207">
        <f t="shared" si="12"/>
        <v>1.275</v>
      </c>
      <c r="N27" s="138"/>
      <c r="O27" s="211">
        <f t="shared" si="7"/>
        <v>61</v>
      </c>
      <c r="P27" s="207">
        <f t="shared" si="10"/>
        <v>1.3</v>
      </c>
      <c r="Q27" s="105"/>
      <c r="R27" s="11"/>
      <c r="S27" s="105"/>
    </row>
    <row r="28">
      <c r="D28" s="2"/>
      <c r="F28" s="200" t="s">
        <v>205</v>
      </c>
      <c r="G28" s="207">
        <v>0.96</v>
      </c>
      <c r="H28" s="207">
        <v>0.96</v>
      </c>
      <c r="K28" s="209">
        <f t="shared" si="5"/>
        <v>650</v>
      </c>
      <c r="L28" s="210">
        <f t="shared" si="6"/>
        <v>8150</v>
      </c>
      <c r="M28" s="207">
        <f t="shared" si="12"/>
        <v>1.3</v>
      </c>
      <c r="N28" s="138"/>
      <c r="Q28" s="105"/>
      <c r="R28" s="11"/>
    </row>
    <row r="29">
      <c r="D29" s="2"/>
      <c r="F29" s="200" t="s">
        <v>206</v>
      </c>
      <c r="G29" s="207">
        <v>0.925</v>
      </c>
      <c r="H29" s="207">
        <v>0.935</v>
      </c>
      <c r="K29" s="209">
        <f t="shared" si="5"/>
        <v>675</v>
      </c>
      <c r="L29" s="210">
        <f t="shared" si="6"/>
        <v>8800</v>
      </c>
      <c r="M29" s="207">
        <f t="shared" si="12"/>
        <v>1.325</v>
      </c>
      <c r="N29" s="138"/>
      <c r="Q29" s="105"/>
      <c r="R29" s="11"/>
      <c r="S29" s="105"/>
    </row>
    <row r="30">
      <c r="D30" s="2"/>
      <c r="K30" s="209">
        <f t="shared" si="5"/>
        <v>700</v>
      </c>
      <c r="L30" s="210">
        <f t="shared" si="6"/>
        <v>9475</v>
      </c>
      <c r="M30" s="207">
        <f t="shared" si="12"/>
        <v>1.35</v>
      </c>
      <c r="N30" s="138"/>
      <c r="Q30" s="105"/>
      <c r="R30" s="11"/>
    </row>
    <row r="31">
      <c r="D31" s="2"/>
      <c r="K31" s="209">
        <f t="shared" si="5"/>
        <v>725</v>
      </c>
      <c r="L31" s="210">
        <f t="shared" si="6"/>
        <v>10175</v>
      </c>
      <c r="M31" s="207">
        <f t="shared" si="12"/>
        <v>1.375</v>
      </c>
      <c r="N31" s="138"/>
      <c r="Q31" s="105"/>
      <c r="R31" s="11"/>
      <c r="S31" s="105"/>
      <c r="U31" s="138"/>
      <c r="V31" s="138"/>
    </row>
    <row r="32">
      <c r="D32" s="2"/>
      <c r="N32" s="138"/>
      <c r="Q32" s="105"/>
      <c r="R32" s="11"/>
      <c r="U32" s="138"/>
      <c r="V32" s="138"/>
    </row>
    <row r="33">
      <c r="D33" s="2"/>
      <c r="F33" s="102" t="s">
        <v>248</v>
      </c>
      <c r="G33" s="138"/>
      <c r="N33" s="138"/>
      <c r="Q33" s="105"/>
      <c r="R33" s="11"/>
      <c r="S33" s="105"/>
      <c r="T33" s="138"/>
      <c r="U33" s="138"/>
      <c r="V33" s="138"/>
    </row>
    <row r="34">
      <c r="D34" s="2"/>
      <c r="F34" s="225" t="s">
        <v>249</v>
      </c>
      <c r="G34" s="225" t="s">
        <v>250</v>
      </c>
      <c r="N34" s="138"/>
      <c r="Q34" s="105"/>
      <c r="R34" s="11"/>
      <c r="S34" s="105"/>
    </row>
    <row r="35">
      <c r="D35" s="2"/>
      <c r="F35" s="226" t="s">
        <v>251</v>
      </c>
      <c r="G35" s="226" t="s">
        <v>250</v>
      </c>
      <c r="N35" s="138"/>
      <c r="Q35" s="105"/>
      <c r="R35" s="11"/>
      <c r="S35" s="105"/>
    </row>
    <row r="36">
      <c r="D36" s="2"/>
      <c r="N36" s="138"/>
      <c r="Q36" s="105"/>
      <c r="R36" s="11"/>
      <c r="S36" s="105"/>
    </row>
    <row r="37">
      <c r="D37" s="2"/>
      <c r="F37" s="96" t="s">
        <v>252</v>
      </c>
      <c r="N37" s="213"/>
      <c r="Q37" s="105"/>
      <c r="R37" s="11"/>
      <c r="S37" s="105"/>
    </row>
    <row r="38">
      <c r="D38" s="2"/>
      <c r="N38" s="213"/>
      <c r="Q38" s="105"/>
      <c r="R38" s="11"/>
      <c r="S38" s="105"/>
    </row>
    <row r="39">
      <c r="D39" s="2"/>
      <c r="F39" s="223" t="s">
        <v>117</v>
      </c>
      <c r="G39" s="227" t="s">
        <v>230</v>
      </c>
      <c r="N39" s="213"/>
      <c r="Q39" s="105"/>
      <c r="R39" s="11"/>
      <c r="S39" s="105"/>
    </row>
    <row r="40">
      <c r="D40" s="2"/>
      <c r="F40" s="228" t="s">
        <v>253</v>
      </c>
      <c r="G40" s="229">
        <v>0.15</v>
      </c>
      <c r="N40" s="213"/>
      <c r="Q40" s="105"/>
      <c r="R40" s="11"/>
      <c r="S40" s="105"/>
    </row>
    <row r="41">
      <c r="D41" s="2"/>
      <c r="F41" s="228" t="s">
        <v>254</v>
      </c>
      <c r="G41" s="229">
        <v>0.3</v>
      </c>
      <c r="N41" s="213"/>
      <c r="Q41" s="105"/>
      <c r="R41" s="11"/>
      <c r="S41" s="105"/>
    </row>
    <row r="42">
      <c r="D42" s="2"/>
      <c r="F42" s="228" t="s">
        <v>255</v>
      </c>
      <c r="G42" s="229">
        <v>0.5</v>
      </c>
      <c r="L42" s="138"/>
      <c r="M42" s="213"/>
      <c r="N42" s="213"/>
      <c r="Q42" s="105"/>
      <c r="R42" s="11"/>
      <c r="S42" s="105"/>
    </row>
    <row r="43">
      <c r="D43" s="2"/>
      <c r="F43" s="228" t="s">
        <v>256</v>
      </c>
      <c r="G43" s="229">
        <v>0.7</v>
      </c>
      <c r="L43" s="138"/>
      <c r="M43" s="213"/>
      <c r="N43" s="213"/>
      <c r="Q43" s="105"/>
      <c r="R43" s="11"/>
      <c r="S43" s="105"/>
    </row>
    <row r="44">
      <c r="D44" s="2"/>
      <c r="F44" s="228" t="s">
        <v>257</v>
      </c>
      <c r="G44" s="229">
        <v>0.9</v>
      </c>
      <c r="L44" s="138"/>
      <c r="M44" s="138"/>
      <c r="N44" s="138"/>
      <c r="Q44" s="105"/>
      <c r="R44" s="11"/>
      <c r="S44" s="105"/>
    </row>
    <row r="45">
      <c r="D45" s="2"/>
      <c r="F45" s="228" t="s">
        <v>258</v>
      </c>
      <c r="G45" s="229">
        <v>1.15</v>
      </c>
      <c r="I45" s="138"/>
      <c r="J45" s="138"/>
      <c r="K45" s="138"/>
      <c r="L45" s="138"/>
      <c r="M45" s="138"/>
      <c r="N45" s="138"/>
      <c r="Q45" s="105"/>
      <c r="R45" s="11"/>
      <c r="S45" s="105"/>
    </row>
    <row r="46">
      <c r="D46" s="2"/>
      <c r="F46" s="228" t="s">
        <v>259</v>
      </c>
      <c r="G46" s="229">
        <v>1.4</v>
      </c>
      <c r="I46" s="138"/>
      <c r="J46" s="138"/>
      <c r="K46" s="138"/>
      <c r="L46" s="138"/>
      <c r="M46" s="138"/>
      <c r="N46" s="138"/>
      <c r="Q46" s="105"/>
      <c r="R46" s="11"/>
      <c r="S46" s="105"/>
    </row>
    <row r="47">
      <c r="D47" s="2"/>
      <c r="F47" s="228" t="s">
        <v>260</v>
      </c>
      <c r="G47" s="229">
        <v>1.65</v>
      </c>
      <c r="J47" s="138"/>
      <c r="K47" s="138"/>
      <c r="L47" s="138"/>
      <c r="M47" s="138"/>
      <c r="N47" s="138"/>
      <c r="Q47" s="105"/>
      <c r="R47" s="11"/>
      <c r="S47" s="105"/>
    </row>
    <row r="48">
      <c r="D48" s="2"/>
      <c r="F48" s="228" t="s">
        <v>261</v>
      </c>
      <c r="G48" s="229">
        <v>2.0</v>
      </c>
      <c r="J48" s="138"/>
      <c r="K48" s="138"/>
      <c r="L48" s="138"/>
      <c r="M48" s="138"/>
      <c r="N48" s="138"/>
      <c r="Q48" s="105"/>
      <c r="R48" s="11"/>
      <c r="S48" s="105"/>
    </row>
    <row r="49">
      <c r="D49" s="2"/>
      <c r="F49" s="228" t="s">
        <v>262</v>
      </c>
      <c r="G49" s="229">
        <v>2.35</v>
      </c>
      <c r="J49" s="138"/>
      <c r="K49" s="138"/>
      <c r="L49" s="138"/>
      <c r="M49" s="138"/>
      <c r="N49" s="138"/>
      <c r="Q49" s="105"/>
      <c r="R49" s="11"/>
      <c r="S49" s="105"/>
    </row>
    <row r="50">
      <c r="D50" s="2"/>
      <c r="J50" s="138"/>
      <c r="K50" s="138"/>
      <c r="L50" s="138"/>
      <c r="M50" s="138"/>
      <c r="N50" s="138"/>
      <c r="Q50" s="105"/>
      <c r="R50" s="11"/>
      <c r="S50" s="105"/>
    </row>
    <row r="51">
      <c r="D51" s="2"/>
      <c r="F51" s="138"/>
      <c r="J51" s="138"/>
      <c r="K51" s="138"/>
      <c r="L51" s="138"/>
      <c r="M51" s="138"/>
      <c r="N51" s="138"/>
      <c r="Q51" s="105"/>
      <c r="R51" s="11"/>
      <c r="S51" s="105"/>
    </row>
    <row r="52">
      <c r="D52" s="2"/>
      <c r="M52" s="138"/>
      <c r="N52" s="138"/>
      <c r="Q52" s="105"/>
      <c r="R52" s="11"/>
      <c r="S52" s="105"/>
    </row>
    <row r="53">
      <c r="D53" s="2"/>
      <c r="G53" s="138"/>
      <c r="H53" s="138"/>
      <c r="I53" s="138"/>
      <c r="M53" s="138"/>
      <c r="N53" s="138"/>
      <c r="Q53" s="105"/>
      <c r="R53" s="11"/>
      <c r="S53" s="105"/>
    </row>
    <row r="54">
      <c r="D54" s="2"/>
      <c r="Q54" s="105"/>
      <c r="R54" s="11"/>
      <c r="S54" s="105"/>
    </row>
    <row r="55">
      <c r="D55" s="2"/>
      <c r="Q55" s="105"/>
      <c r="R55" s="11"/>
      <c r="S55" s="105"/>
    </row>
    <row r="56">
      <c r="D56" s="2"/>
      <c r="Q56" s="105"/>
      <c r="R56" s="11"/>
      <c r="S56" s="105"/>
    </row>
    <row r="57">
      <c r="D57" s="2"/>
      <c r="Q57" s="105"/>
      <c r="R57" s="11"/>
      <c r="S57" s="105"/>
    </row>
    <row r="58">
      <c r="D58" s="2"/>
      <c r="Q58" s="105"/>
      <c r="R58" s="11"/>
      <c r="S58" s="105"/>
    </row>
    <row r="59">
      <c r="D59" s="2"/>
      <c r="Q59" s="105"/>
      <c r="R59" s="11"/>
      <c r="S59" s="105"/>
    </row>
    <row r="60">
      <c r="D60" s="2"/>
      <c r="Q60" s="105"/>
      <c r="R60" s="11"/>
      <c r="S60" s="105"/>
    </row>
    <row r="61">
      <c r="D61" s="2"/>
      <c r="Q61" s="105"/>
      <c r="R61" s="11"/>
      <c r="S61" s="105"/>
    </row>
    <row r="62">
      <c r="D62" s="2"/>
      <c r="Q62" s="105"/>
      <c r="R62" s="11"/>
      <c r="S62" s="105"/>
    </row>
    <row r="63">
      <c r="D63" s="2"/>
      <c r="Q63" s="105"/>
      <c r="R63" s="11"/>
      <c r="S63" s="105"/>
    </row>
    <row r="64">
      <c r="D64" s="2"/>
      <c r="Q64" s="105"/>
      <c r="R64" s="11"/>
      <c r="S64" s="105"/>
    </row>
    <row r="65">
      <c r="D65" s="2"/>
      <c r="Q65" s="105"/>
      <c r="R65" s="11"/>
      <c r="S65" s="105"/>
    </row>
    <row r="66">
      <c r="D66" s="2"/>
      <c r="Q66" s="105"/>
      <c r="R66" s="11"/>
      <c r="S66" s="105"/>
    </row>
    <row r="67">
      <c r="D67" s="2"/>
      <c r="Q67" s="105"/>
      <c r="R67" s="11"/>
      <c r="S67" s="105"/>
    </row>
    <row r="68">
      <c r="D68" s="2"/>
      <c r="Q68" s="105"/>
      <c r="R68" s="11"/>
      <c r="S68" s="105"/>
    </row>
    <row r="69">
      <c r="D69" s="2"/>
      <c r="Q69" s="105"/>
      <c r="R69" s="11"/>
      <c r="S69" s="105"/>
    </row>
    <row r="70">
      <c r="D70" s="2"/>
      <c r="Q70" s="105"/>
      <c r="R70" s="11"/>
      <c r="S70" s="105"/>
    </row>
    <row r="71">
      <c r="D71" s="2"/>
      <c r="Q71" s="105"/>
      <c r="R71" s="11"/>
      <c r="S71" s="105"/>
    </row>
    <row r="72">
      <c r="D72" s="2"/>
      <c r="Q72" s="105"/>
      <c r="R72" s="11"/>
      <c r="S72" s="105"/>
    </row>
    <row r="73">
      <c r="D73" s="2"/>
      <c r="Q73" s="105"/>
      <c r="R73" s="11"/>
      <c r="S73" s="105"/>
    </row>
    <row r="74">
      <c r="D74" s="2"/>
      <c r="Q74" s="105"/>
      <c r="R74" s="11"/>
      <c r="S74" s="105"/>
    </row>
    <row r="75">
      <c r="D75" s="2"/>
      <c r="Q75" s="105"/>
      <c r="R75" s="11"/>
      <c r="S75" s="105"/>
    </row>
    <row r="76">
      <c r="D76" s="2"/>
      <c r="Q76" s="105"/>
      <c r="R76" s="11"/>
      <c r="S76" s="105"/>
    </row>
    <row r="77">
      <c r="D77" s="2"/>
      <c r="Q77" s="105"/>
      <c r="R77" s="11"/>
      <c r="S77" s="105"/>
    </row>
    <row r="78">
      <c r="D78" s="2"/>
      <c r="Q78" s="105"/>
      <c r="R78" s="11"/>
      <c r="S78" s="105"/>
    </row>
    <row r="79">
      <c r="D79" s="2"/>
      <c r="Q79" s="105"/>
      <c r="R79" s="11"/>
      <c r="S79" s="105"/>
    </row>
    <row r="80">
      <c r="D80" s="2"/>
      <c r="Q80" s="105"/>
      <c r="R80" s="11"/>
      <c r="S80" s="105"/>
    </row>
    <row r="81">
      <c r="D81" s="2"/>
      <c r="Q81" s="105"/>
      <c r="R81" s="11"/>
      <c r="S81" s="105"/>
    </row>
    <row r="82">
      <c r="D82" s="2"/>
      <c r="Q82" s="105"/>
      <c r="R82" s="11"/>
      <c r="S82" s="105"/>
    </row>
    <row r="83">
      <c r="D83" s="2"/>
      <c r="Q83" s="105"/>
      <c r="R83" s="11"/>
      <c r="S83" s="105"/>
    </row>
    <row r="84">
      <c r="D84" s="2"/>
      <c r="Q84" s="105"/>
      <c r="R84" s="11"/>
      <c r="S84" s="105"/>
    </row>
    <row r="85">
      <c r="D85" s="2"/>
      <c r="Q85" s="105"/>
      <c r="R85" s="11"/>
      <c r="S85" s="105"/>
    </row>
    <row r="86">
      <c r="D86" s="2"/>
      <c r="Q86" s="105"/>
      <c r="R86" s="11"/>
      <c r="S86" s="105"/>
    </row>
    <row r="87">
      <c r="D87" s="2"/>
      <c r="Q87" s="105"/>
      <c r="R87" s="11"/>
      <c r="S87" s="105"/>
    </row>
    <row r="88">
      <c r="D88" s="2"/>
      <c r="Q88" s="105"/>
      <c r="R88" s="11"/>
      <c r="S88" s="105"/>
    </row>
    <row r="89">
      <c r="D89" s="2"/>
      <c r="Q89" s="105"/>
      <c r="R89" s="11"/>
      <c r="S89" s="105"/>
    </row>
    <row r="90">
      <c r="D90" s="2"/>
      <c r="Q90" s="105"/>
      <c r="R90" s="11"/>
      <c r="S90" s="105"/>
    </row>
    <row r="91">
      <c r="D91" s="2"/>
      <c r="Q91" s="105"/>
      <c r="R91" s="11"/>
      <c r="S91" s="105"/>
    </row>
    <row r="92">
      <c r="D92" s="2"/>
      <c r="Q92" s="105"/>
      <c r="R92" s="11"/>
      <c r="S92" s="105"/>
    </row>
    <row r="93">
      <c r="D93" s="2"/>
      <c r="Q93" s="105"/>
      <c r="R93" s="11"/>
      <c r="S93" s="105"/>
    </row>
    <row r="94">
      <c r="D94" s="2"/>
      <c r="Q94" s="105"/>
      <c r="R94" s="11"/>
      <c r="S94" s="105"/>
    </row>
    <row r="95">
      <c r="D95" s="2"/>
      <c r="Q95" s="105"/>
      <c r="R95" s="11"/>
      <c r="S95" s="105"/>
    </row>
    <row r="96">
      <c r="D96" s="2"/>
      <c r="Q96" s="105"/>
      <c r="R96" s="11"/>
      <c r="S96" s="105"/>
    </row>
    <row r="97">
      <c r="D97" s="2"/>
      <c r="Q97" s="105"/>
      <c r="R97" s="11"/>
      <c r="S97" s="105"/>
    </row>
    <row r="98">
      <c r="D98" s="2"/>
      <c r="Q98" s="105"/>
      <c r="R98" s="11"/>
      <c r="S98" s="105"/>
    </row>
    <row r="99">
      <c r="D99" s="2"/>
      <c r="Q99" s="105"/>
      <c r="R99" s="11"/>
      <c r="S99" s="105"/>
    </row>
    <row r="100">
      <c r="D100" s="2"/>
      <c r="Q100" s="105"/>
      <c r="R100" s="11"/>
      <c r="S100" s="105"/>
    </row>
    <row r="101">
      <c r="D101" s="2"/>
      <c r="Q101" s="105"/>
      <c r="R101" s="11"/>
      <c r="S101" s="105"/>
    </row>
    <row r="102">
      <c r="D102" s="2"/>
      <c r="Q102" s="105"/>
      <c r="R102" s="11"/>
      <c r="S102" s="105"/>
    </row>
    <row r="103">
      <c r="D103" s="2"/>
      <c r="Q103" s="105"/>
      <c r="R103" s="11"/>
      <c r="S103" s="105"/>
    </row>
    <row r="104">
      <c r="D104" s="2"/>
      <c r="Q104" s="105"/>
      <c r="R104" s="11"/>
      <c r="S104" s="105"/>
    </row>
    <row r="105">
      <c r="D105" s="2"/>
      <c r="Q105" s="105"/>
      <c r="R105" s="11"/>
      <c r="S105" s="105"/>
    </row>
    <row r="106">
      <c r="D106" s="2"/>
      <c r="Q106" s="105"/>
      <c r="R106" s="11"/>
      <c r="S106" s="105"/>
    </row>
    <row r="107">
      <c r="D107" s="2"/>
      <c r="Q107" s="105"/>
      <c r="R107" s="11"/>
      <c r="S107" s="105"/>
    </row>
    <row r="108">
      <c r="D108" s="2"/>
      <c r="Q108" s="105"/>
      <c r="R108" s="11"/>
      <c r="S108" s="105"/>
    </row>
    <row r="109">
      <c r="D109" s="2"/>
      <c r="Q109" s="105"/>
      <c r="R109" s="11"/>
      <c r="S109" s="105"/>
    </row>
    <row r="110">
      <c r="D110" s="2"/>
      <c r="Q110" s="105"/>
      <c r="R110" s="11"/>
      <c r="S110" s="105"/>
    </row>
    <row r="111">
      <c r="D111" s="2"/>
      <c r="Q111" s="105"/>
      <c r="R111" s="11"/>
      <c r="S111" s="105"/>
    </row>
    <row r="112">
      <c r="D112" s="2"/>
      <c r="Q112" s="105"/>
      <c r="R112" s="11"/>
      <c r="S112" s="105"/>
    </row>
    <row r="113">
      <c r="D113" s="2"/>
      <c r="Q113" s="105"/>
      <c r="R113" s="11"/>
      <c r="S113" s="105"/>
    </row>
    <row r="114">
      <c r="D114" s="2"/>
      <c r="Q114" s="105"/>
      <c r="R114" s="11"/>
      <c r="S114" s="105"/>
    </row>
    <row r="115">
      <c r="D115" s="2"/>
      <c r="Q115" s="105"/>
      <c r="R115" s="11"/>
      <c r="S115" s="105"/>
    </row>
    <row r="116">
      <c r="D116" s="2"/>
      <c r="Q116" s="105"/>
      <c r="R116" s="11"/>
      <c r="S116" s="105"/>
    </row>
    <row r="117">
      <c r="D117" s="2"/>
      <c r="Q117" s="105"/>
      <c r="R117" s="11"/>
      <c r="S117" s="105"/>
    </row>
    <row r="118">
      <c r="D118" s="2"/>
      <c r="Q118" s="105"/>
      <c r="R118" s="11"/>
      <c r="S118" s="105"/>
    </row>
    <row r="119">
      <c r="D119" s="2"/>
      <c r="Q119" s="105"/>
      <c r="R119" s="11"/>
      <c r="S119" s="105"/>
    </row>
    <row r="120">
      <c r="D120" s="2"/>
      <c r="Q120" s="105"/>
      <c r="R120" s="11"/>
      <c r="S120" s="105"/>
    </row>
    <row r="121">
      <c r="D121" s="2"/>
      <c r="Q121" s="105"/>
      <c r="R121" s="11"/>
      <c r="S121" s="105"/>
    </row>
    <row r="122">
      <c r="D122" s="2"/>
      <c r="Q122" s="105"/>
      <c r="R122" s="11"/>
      <c r="S122" s="105"/>
    </row>
    <row r="123">
      <c r="D123" s="2"/>
      <c r="Q123" s="105"/>
      <c r="R123" s="11"/>
      <c r="S123" s="105"/>
    </row>
    <row r="124">
      <c r="D124" s="2"/>
      <c r="Q124" s="105"/>
      <c r="R124" s="11"/>
      <c r="S124" s="105"/>
    </row>
    <row r="125">
      <c r="D125" s="2"/>
      <c r="Q125" s="105"/>
      <c r="R125" s="11"/>
      <c r="S125" s="105"/>
    </row>
    <row r="126">
      <c r="D126" s="2"/>
      <c r="Q126" s="105"/>
      <c r="R126" s="11"/>
      <c r="S126" s="105"/>
    </row>
    <row r="127">
      <c r="D127" s="2"/>
      <c r="Q127" s="105"/>
      <c r="R127" s="11"/>
      <c r="S127" s="105"/>
    </row>
    <row r="128">
      <c r="D128" s="2"/>
      <c r="Q128" s="105"/>
      <c r="R128" s="11"/>
      <c r="S128" s="105"/>
    </row>
    <row r="129">
      <c r="D129" s="2"/>
      <c r="Q129" s="105"/>
      <c r="R129" s="11"/>
      <c r="S129" s="105"/>
    </row>
    <row r="130">
      <c r="D130" s="2"/>
      <c r="Q130" s="105"/>
      <c r="R130" s="11"/>
      <c r="S130" s="105"/>
    </row>
    <row r="131">
      <c r="D131" s="2"/>
      <c r="Q131" s="105"/>
      <c r="R131" s="11"/>
      <c r="S131" s="105"/>
    </row>
    <row r="132">
      <c r="D132" s="2"/>
      <c r="Q132" s="105"/>
      <c r="R132" s="11"/>
      <c r="S132" s="105"/>
    </row>
    <row r="133">
      <c r="D133" s="2"/>
      <c r="Q133" s="105"/>
      <c r="R133" s="11"/>
      <c r="S133" s="105"/>
    </row>
    <row r="134">
      <c r="D134" s="2"/>
      <c r="Q134" s="105"/>
      <c r="R134" s="11"/>
      <c r="S134" s="105"/>
    </row>
    <row r="135">
      <c r="D135" s="2"/>
      <c r="Q135" s="105"/>
      <c r="R135" s="11"/>
      <c r="S135" s="105"/>
    </row>
    <row r="136">
      <c r="D136" s="2"/>
      <c r="Q136" s="105"/>
      <c r="R136" s="11"/>
      <c r="S136" s="105"/>
    </row>
    <row r="137">
      <c r="D137" s="2"/>
      <c r="Q137" s="105"/>
      <c r="R137" s="11"/>
      <c r="S137" s="105"/>
    </row>
    <row r="138">
      <c r="D138" s="2"/>
      <c r="Q138" s="105"/>
      <c r="R138" s="11"/>
      <c r="S138" s="105"/>
    </row>
    <row r="139">
      <c r="D139" s="2"/>
      <c r="Q139" s="105"/>
      <c r="R139" s="11"/>
      <c r="S139" s="105"/>
    </row>
    <row r="140">
      <c r="D140" s="2"/>
      <c r="Q140" s="105"/>
      <c r="R140" s="11"/>
      <c r="S140" s="105"/>
    </row>
    <row r="141">
      <c r="D141" s="2"/>
      <c r="Q141" s="105"/>
      <c r="R141" s="11"/>
      <c r="S141" s="105"/>
    </row>
    <row r="142">
      <c r="D142" s="2"/>
      <c r="Q142" s="105"/>
      <c r="R142" s="11"/>
      <c r="S142" s="105"/>
    </row>
    <row r="143">
      <c r="D143" s="2"/>
      <c r="Q143" s="105"/>
      <c r="R143" s="11"/>
      <c r="S143" s="105"/>
    </row>
    <row r="144">
      <c r="D144" s="2"/>
      <c r="Q144" s="105"/>
      <c r="R144" s="11"/>
      <c r="S144" s="105"/>
    </row>
    <row r="145">
      <c r="D145" s="2"/>
      <c r="Q145" s="105"/>
      <c r="R145" s="11"/>
      <c r="S145" s="105"/>
    </row>
    <row r="146">
      <c r="D146" s="2"/>
      <c r="Q146" s="105"/>
      <c r="R146" s="11"/>
      <c r="S146" s="105"/>
    </row>
    <row r="147">
      <c r="D147" s="2"/>
      <c r="Q147" s="105"/>
      <c r="R147" s="11"/>
      <c r="S147" s="105"/>
    </row>
    <row r="148">
      <c r="D148" s="2"/>
      <c r="Q148" s="105"/>
      <c r="R148" s="11"/>
      <c r="S148" s="105"/>
    </row>
    <row r="149">
      <c r="D149" s="2"/>
      <c r="Q149" s="105"/>
      <c r="R149" s="11"/>
      <c r="S149" s="105"/>
    </row>
    <row r="150">
      <c r="D150" s="2"/>
      <c r="Q150" s="105"/>
      <c r="R150" s="11"/>
      <c r="S150" s="105"/>
    </row>
    <row r="151">
      <c r="D151" s="2"/>
      <c r="Q151" s="105"/>
      <c r="R151" s="11"/>
      <c r="S151" s="105"/>
    </row>
    <row r="152">
      <c r="D152" s="2"/>
      <c r="Q152" s="105"/>
      <c r="R152" s="11"/>
      <c r="S152" s="105"/>
    </row>
    <row r="153">
      <c r="D153" s="2"/>
      <c r="Q153" s="105"/>
      <c r="R153" s="11"/>
      <c r="S153" s="105"/>
    </row>
    <row r="154">
      <c r="D154" s="2"/>
      <c r="Q154" s="105"/>
      <c r="R154" s="11"/>
      <c r="S154" s="105"/>
    </row>
    <row r="155">
      <c r="D155" s="2"/>
      <c r="Q155" s="105"/>
      <c r="R155" s="11"/>
      <c r="S155" s="105"/>
    </row>
    <row r="156">
      <c r="D156" s="2"/>
      <c r="Q156" s="105"/>
      <c r="R156" s="11"/>
      <c r="S156" s="105"/>
    </row>
    <row r="157">
      <c r="D157" s="2"/>
      <c r="Q157" s="105"/>
      <c r="R157" s="11"/>
      <c r="S157" s="105"/>
    </row>
    <row r="158">
      <c r="D158" s="2"/>
      <c r="Q158" s="105"/>
      <c r="R158" s="11"/>
      <c r="S158" s="105"/>
    </row>
    <row r="159">
      <c r="D159" s="2"/>
      <c r="Q159" s="105"/>
      <c r="R159" s="11"/>
      <c r="S159" s="105"/>
    </row>
    <row r="160">
      <c r="D160" s="2"/>
      <c r="Q160" s="105"/>
      <c r="R160" s="11"/>
      <c r="S160" s="105"/>
    </row>
    <row r="161">
      <c r="D161" s="2"/>
      <c r="Q161" s="105"/>
      <c r="R161" s="11"/>
      <c r="S161" s="105"/>
    </row>
    <row r="162">
      <c r="D162" s="2"/>
      <c r="Q162" s="105"/>
      <c r="R162" s="11"/>
      <c r="S162" s="105"/>
    </row>
    <row r="163">
      <c r="D163" s="2"/>
      <c r="Q163" s="105"/>
      <c r="R163" s="11"/>
      <c r="S163" s="105"/>
    </row>
    <row r="164">
      <c r="D164" s="2"/>
      <c r="Q164" s="105"/>
      <c r="R164" s="11"/>
      <c r="S164" s="105"/>
    </row>
    <row r="165">
      <c r="D165" s="2"/>
      <c r="Q165" s="105"/>
      <c r="R165" s="11"/>
      <c r="S165" s="105"/>
    </row>
    <row r="166">
      <c r="D166" s="2"/>
      <c r="Q166" s="105"/>
      <c r="R166" s="11"/>
      <c r="S166" s="105"/>
    </row>
    <row r="167">
      <c r="D167" s="2"/>
      <c r="Q167" s="105"/>
      <c r="R167" s="11"/>
      <c r="S167" s="105"/>
    </row>
    <row r="168">
      <c r="D168" s="2"/>
      <c r="Q168" s="105"/>
      <c r="R168" s="11"/>
      <c r="S168" s="105"/>
    </row>
    <row r="169">
      <c r="D169" s="2"/>
      <c r="Q169" s="105"/>
      <c r="R169" s="11"/>
      <c r="S169" s="105"/>
    </row>
    <row r="170">
      <c r="D170" s="2"/>
      <c r="Q170" s="105"/>
      <c r="R170" s="11"/>
      <c r="S170" s="105"/>
    </row>
    <row r="171">
      <c r="D171" s="2"/>
      <c r="Q171" s="105"/>
      <c r="R171" s="11"/>
      <c r="S171" s="105"/>
    </row>
    <row r="172">
      <c r="D172" s="2"/>
      <c r="Q172" s="105"/>
      <c r="R172" s="11"/>
      <c r="S172" s="105"/>
    </row>
    <row r="173">
      <c r="D173" s="2"/>
      <c r="Q173" s="105"/>
      <c r="R173" s="11"/>
      <c r="S173" s="105"/>
    </row>
    <row r="174">
      <c r="D174" s="2"/>
      <c r="Q174" s="105"/>
      <c r="R174" s="11"/>
      <c r="S174" s="105"/>
    </row>
    <row r="175">
      <c r="D175" s="2"/>
      <c r="Q175" s="105"/>
      <c r="R175" s="11"/>
      <c r="S175" s="105"/>
    </row>
    <row r="176">
      <c r="D176" s="2"/>
      <c r="Q176" s="105"/>
      <c r="R176" s="11"/>
      <c r="S176" s="105"/>
    </row>
    <row r="177">
      <c r="D177" s="2"/>
      <c r="Q177" s="105"/>
      <c r="R177" s="11"/>
      <c r="S177" s="105"/>
    </row>
    <row r="178">
      <c r="D178" s="2"/>
      <c r="Q178" s="105"/>
      <c r="R178" s="11"/>
      <c r="S178" s="105"/>
    </row>
    <row r="179">
      <c r="D179" s="2"/>
      <c r="Q179" s="105"/>
      <c r="R179" s="11"/>
      <c r="S179" s="105"/>
    </row>
    <row r="180">
      <c r="D180" s="2"/>
      <c r="Q180" s="105"/>
      <c r="R180" s="11"/>
      <c r="S180" s="105"/>
    </row>
    <row r="181">
      <c r="D181" s="2"/>
      <c r="Q181" s="105"/>
      <c r="R181" s="11"/>
      <c r="S181" s="105"/>
    </row>
    <row r="182">
      <c r="D182" s="2"/>
      <c r="Q182" s="105"/>
      <c r="R182" s="11"/>
      <c r="S182" s="105"/>
    </row>
    <row r="183">
      <c r="D183" s="2"/>
      <c r="Q183" s="105"/>
      <c r="R183" s="11"/>
      <c r="S183" s="105"/>
    </row>
    <row r="184">
      <c r="D184" s="2"/>
      <c r="Q184" s="105"/>
      <c r="R184" s="11"/>
      <c r="S184" s="105"/>
    </row>
    <row r="185">
      <c r="D185" s="2"/>
      <c r="Q185" s="105"/>
      <c r="R185" s="11"/>
      <c r="S185" s="105"/>
    </row>
    <row r="186">
      <c r="D186" s="2"/>
      <c r="Q186" s="105"/>
      <c r="R186" s="11"/>
      <c r="S186" s="105"/>
    </row>
    <row r="187">
      <c r="D187" s="2"/>
      <c r="Q187" s="105"/>
      <c r="R187" s="11"/>
      <c r="S187" s="105"/>
    </row>
    <row r="188">
      <c r="D188" s="2"/>
      <c r="Q188" s="105"/>
      <c r="R188" s="11"/>
      <c r="S188" s="105"/>
    </row>
    <row r="189">
      <c r="D189" s="2"/>
      <c r="Q189" s="105"/>
      <c r="R189" s="11"/>
      <c r="S189" s="105"/>
    </row>
    <row r="190">
      <c r="D190" s="2"/>
      <c r="Q190" s="105"/>
      <c r="R190" s="11"/>
      <c r="S190" s="105"/>
    </row>
    <row r="191">
      <c r="D191" s="2"/>
      <c r="Q191" s="105"/>
      <c r="R191" s="11"/>
      <c r="S191" s="105"/>
    </row>
    <row r="192">
      <c r="D192" s="2"/>
      <c r="Q192" s="105"/>
      <c r="R192" s="11"/>
      <c r="S192" s="105"/>
    </row>
    <row r="193">
      <c r="D193" s="2"/>
      <c r="Q193" s="105"/>
      <c r="R193" s="11"/>
      <c r="S193" s="105"/>
    </row>
    <row r="194">
      <c r="D194" s="2"/>
      <c r="Q194" s="105"/>
      <c r="R194" s="11"/>
      <c r="S194" s="105"/>
    </row>
    <row r="195">
      <c r="D195" s="2"/>
      <c r="Q195" s="105"/>
      <c r="R195" s="11"/>
      <c r="S195" s="105"/>
    </row>
    <row r="196">
      <c r="D196" s="2"/>
      <c r="Q196" s="105"/>
      <c r="R196" s="11"/>
      <c r="S196" s="105"/>
    </row>
    <row r="197">
      <c r="D197" s="2"/>
      <c r="Q197" s="105"/>
      <c r="R197" s="11"/>
      <c r="S197" s="105"/>
    </row>
    <row r="198">
      <c r="D198" s="2"/>
      <c r="Q198" s="105"/>
      <c r="R198" s="11"/>
      <c r="S198" s="105"/>
    </row>
    <row r="199">
      <c r="D199" s="2"/>
      <c r="Q199" s="105"/>
      <c r="R199" s="11"/>
      <c r="S199" s="105"/>
    </row>
    <row r="200">
      <c r="D200" s="2"/>
      <c r="Q200" s="105"/>
      <c r="R200" s="11"/>
      <c r="S200" s="105"/>
    </row>
    <row r="201">
      <c r="D201" s="2"/>
      <c r="Q201" s="105"/>
      <c r="R201" s="11"/>
      <c r="S201" s="105"/>
    </row>
    <row r="202">
      <c r="D202" s="2"/>
      <c r="Q202" s="105"/>
      <c r="R202" s="11"/>
      <c r="S202" s="105"/>
    </row>
    <row r="203">
      <c r="D203" s="2"/>
      <c r="Q203" s="105"/>
      <c r="R203" s="11"/>
      <c r="S203" s="105"/>
    </row>
    <row r="204">
      <c r="D204" s="2"/>
      <c r="Q204" s="105"/>
      <c r="R204" s="11"/>
      <c r="S204" s="105"/>
    </row>
    <row r="205">
      <c r="D205" s="2"/>
      <c r="Q205" s="105"/>
      <c r="R205" s="11"/>
      <c r="S205" s="105"/>
    </row>
    <row r="206">
      <c r="D206" s="2"/>
      <c r="Q206" s="105"/>
      <c r="R206" s="11"/>
      <c r="S206" s="105"/>
    </row>
    <row r="207">
      <c r="D207" s="2"/>
      <c r="Q207" s="105"/>
      <c r="R207" s="11"/>
      <c r="S207" s="105"/>
    </row>
    <row r="208">
      <c r="D208" s="2"/>
      <c r="Q208" s="105"/>
      <c r="R208" s="11"/>
      <c r="S208" s="105"/>
    </row>
    <row r="209">
      <c r="D209" s="2"/>
      <c r="Q209" s="105"/>
      <c r="R209" s="11"/>
      <c r="S209" s="105"/>
    </row>
    <row r="210">
      <c r="D210" s="2"/>
      <c r="Q210" s="105"/>
      <c r="R210" s="11"/>
      <c r="S210" s="105"/>
    </row>
    <row r="211">
      <c r="D211" s="2"/>
      <c r="Q211" s="105"/>
      <c r="R211" s="11"/>
      <c r="S211" s="105"/>
    </row>
    <row r="212">
      <c r="D212" s="2"/>
      <c r="Q212" s="105"/>
      <c r="R212" s="11"/>
      <c r="S212" s="105"/>
    </row>
    <row r="213">
      <c r="D213" s="2"/>
      <c r="Q213" s="105"/>
      <c r="R213" s="11"/>
      <c r="S213" s="105"/>
    </row>
    <row r="214">
      <c r="D214" s="2"/>
      <c r="Q214" s="105"/>
      <c r="R214" s="11"/>
      <c r="S214" s="105"/>
    </row>
    <row r="215">
      <c r="D215" s="2"/>
      <c r="Q215" s="105"/>
      <c r="R215" s="11"/>
      <c r="S215" s="105"/>
    </row>
    <row r="216">
      <c r="D216" s="2"/>
      <c r="Q216" s="105"/>
      <c r="R216" s="11"/>
      <c r="S216" s="105"/>
    </row>
    <row r="217">
      <c r="D217" s="2"/>
      <c r="Q217" s="105"/>
      <c r="R217" s="11"/>
      <c r="S217" s="105"/>
    </row>
    <row r="218">
      <c r="D218" s="2"/>
      <c r="Q218" s="105"/>
      <c r="R218" s="11"/>
      <c r="S218" s="105"/>
    </row>
    <row r="219">
      <c r="D219" s="2"/>
      <c r="Q219" s="105"/>
      <c r="R219" s="11"/>
      <c r="S219" s="105"/>
    </row>
    <row r="220">
      <c r="D220" s="2"/>
      <c r="Q220" s="105"/>
      <c r="R220" s="11"/>
      <c r="S220" s="105"/>
    </row>
    <row r="221">
      <c r="D221" s="2"/>
      <c r="Q221" s="105"/>
      <c r="R221" s="11"/>
      <c r="S221" s="105"/>
    </row>
    <row r="222">
      <c r="D222" s="2"/>
      <c r="Q222" s="105"/>
      <c r="R222" s="11"/>
      <c r="S222" s="105"/>
    </row>
    <row r="223">
      <c r="D223" s="2"/>
      <c r="Q223" s="105"/>
      <c r="R223" s="11"/>
      <c r="S223" s="105"/>
    </row>
    <row r="224">
      <c r="D224" s="2"/>
      <c r="Q224" s="105"/>
      <c r="R224" s="11"/>
      <c r="S224" s="105"/>
    </row>
    <row r="225">
      <c r="D225" s="2"/>
      <c r="Q225" s="105"/>
      <c r="R225" s="11"/>
      <c r="S225" s="105"/>
    </row>
    <row r="226">
      <c r="D226" s="2"/>
      <c r="Q226" s="105"/>
      <c r="R226" s="11"/>
      <c r="S226" s="105"/>
    </row>
    <row r="227">
      <c r="D227" s="2"/>
      <c r="Q227" s="105"/>
      <c r="R227" s="11"/>
      <c r="S227" s="105"/>
    </row>
    <row r="228">
      <c r="D228" s="2"/>
      <c r="Q228" s="105"/>
      <c r="R228" s="11"/>
      <c r="S228" s="105"/>
    </row>
    <row r="229">
      <c r="D229" s="2"/>
      <c r="Q229" s="105"/>
      <c r="R229" s="11"/>
      <c r="S229" s="105"/>
    </row>
    <row r="230">
      <c r="D230" s="2"/>
      <c r="Q230" s="105"/>
      <c r="R230" s="11"/>
      <c r="S230" s="105"/>
    </row>
    <row r="231">
      <c r="D231" s="2"/>
      <c r="Q231" s="105"/>
      <c r="R231" s="11"/>
      <c r="S231" s="105"/>
    </row>
    <row r="232">
      <c r="D232" s="2"/>
      <c r="Q232" s="105"/>
      <c r="R232" s="11"/>
      <c r="S232" s="105"/>
    </row>
    <row r="233">
      <c r="D233" s="2"/>
      <c r="Q233" s="105"/>
      <c r="R233" s="11"/>
      <c r="S233" s="105"/>
    </row>
    <row r="234">
      <c r="D234" s="2"/>
      <c r="Q234" s="105"/>
      <c r="R234" s="11"/>
      <c r="S234" s="105"/>
    </row>
    <row r="235">
      <c r="D235" s="2"/>
      <c r="Q235" s="105"/>
      <c r="R235" s="11"/>
      <c r="S235" s="105"/>
    </row>
    <row r="236">
      <c r="D236" s="2"/>
      <c r="Q236" s="105"/>
      <c r="R236" s="11"/>
      <c r="S236" s="105"/>
    </row>
    <row r="237">
      <c r="D237" s="2"/>
      <c r="Q237" s="105"/>
      <c r="R237" s="11"/>
      <c r="S237" s="105"/>
    </row>
    <row r="238">
      <c r="D238" s="2"/>
      <c r="Q238" s="105"/>
      <c r="R238" s="11"/>
      <c r="S238" s="105"/>
    </row>
    <row r="239">
      <c r="D239" s="2"/>
      <c r="Q239" s="105"/>
      <c r="R239" s="11"/>
      <c r="S239" s="105"/>
    </row>
    <row r="240">
      <c r="D240" s="2"/>
      <c r="Q240" s="105"/>
      <c r="R240" s="11"/>
      <c r="S240" s="105"/>
    </row>
    <row r="241">
      <c r="D241" s="2"/>
      <c r="Q241" s="105"/>
      <c r="R241" s="11"/>
      <c r="S241" s="105"/>
    </row>
    <row r="242">
      <c r="D242" s="2"/>
      <c r="Q242" s="105"/>
      <c r="R242" s="11"/>
      <c r="S242" s="105"/>
    </row>
    <row r="243">
      <c r="D243" s="2"/>
      <c r="Q243" s="105"/>
      <c r="R243" s="11"/>
      <c r="S243" s="105"/>
    </row>
    <row r="244">
      <c r="D244" s="2"/>
      <c r="Q244" s="105"/>
      <c r="R244" s="11"/>
      <c r="S244" s="105"/>
    </row>
    <row r="245">
      <c r="D245" s="2"/>
      <c r="Q245" s="105"/>
      <c r="R245" s="11"/>
      <c r="S245" s="105"/>
    </row>
    <row r="246">
      <c r="D246" s="2"/>
      <c r="Q246" s="105"/>
      <c r="R246" s="11"/>
      <c r="S246" s="105"/>
    </row>
    <row r="247">
      <c r="D247" s="2"/>
      <c r="Q247" s="105"/>
      <c r="R247" s="11"/>
      <c r="S247" s="105"/>
    </row>
    <row r="248">
      <c r="D248" s="2"/>
      <c r="Q248" s="105"/>
      <c r="R248" s="11"/>
      <c r="S248" s="105"/>
    </row>
    <row r="249">
      <c r="D249" s="2"/>
      <c r="Q249" s="105"/>
      <c r="R249" s="11"/>
      <c r="S249" s="105"/>
    </row>
    <row r="250">
      <c r="D250" s="2"/>
      <c r="Q250" s="105"/>
      <c r="R250" s="11"/>
      <c r="S250" s="105"/>
    </row>
    <row r="251">
      <c r="D251" s="2"/>
      <c r="Q251" s="105"/>
      <c r="R251" s="11"/>
      <c r="S251" s="105"/>
    </row>
    <row r="252">
      <c r="D252" s="2"/>
      <c r="Q252" s="105"/>
      <c r="R252" s="11"/>
      <c r="S252" s="105"/>
    </row>
    <row r="253">
      <c r="D253" s="2"/>
      <c r="Q253" s="105"/>
      <c r="R253" s="11"/>
      <c r="S253" s="105"/>
    </row>
    <row r="254">
      <c r="D254" s="2"/>
      <c r="Q254" s="105"/>
      <c r="R254" s="11"/>
      <c r="S254" s="105"/>
    </row>
    <row r="255">
      <c r="D255" s="2"/>
      <c r="Q255" s="105"/>
      <c r="R255" s="11"/>
      <c r="S255" s="105"/>
    </row>
    <row r="256">
      <c r="D256" s="2"/>
      <c r="Q256" s="105"/>
      <c r="R256" s="11"/>
      <c r="S256" s="105"/>
    </row>
    <row r="257">
      <c r="D257" s="2"/>
      <c r="Q257" s="105"/>
      <c r="R257" s="11"/>
      <c r="S257" s="105"/>
    </row>
    <row r="258">
      <c r="D258" s="2"/>
      <c r="Q258" s="105"/>
      <c r="R258" s="11"/>
      <c r="S258" s="105"/>
    </row>
    <row r="259">
      <c r="D259" s="2"/>
      <c r="Q259" s="105"/>
      <c r="R259" s="11"/>
      <c r="S259" s="105"/>
    </row>
    <row r="260">
      <c r="D260" s="2"/>
      <c r="Q260" s="105"/>
      <c r="R260" s="11"/>
      <c r="S260" s="105"/>
    </row>
    <row r="261">
      <c r="D261" s="2"/>
      <c r="Q261" s="105"/>
      <c r="R261" s="11"/>
      <c r="S261" s="105"/>
    </row>
    <row r="262">
      <c r="D262" s="2"/>
      <c r="Q262" s="105"/>
      <c r="R262" s="11"/>
      <c r="S262" s="105"/>
    </row>
    <row r="263">
      <c r="D263" s="2"/>
      <c r="Q263" s="105"/>
      <c r="R263" s="11"/>
      <c r="S263" s="105"/>
    </row>
    <row r="264">
      <c r="D264" s="2"/>
      <c r="Q264" s="105"/>
      <c r="R264" s="11"/>
      <c r="S264" s="105"/>
    </row>
    <row r="265">
      <c r="D265" s="2"/>
      <c r="Q265" s="105"/>
      <c r="R265" s="11"/>
      <c r="S265" s="105"/>
    </row>
    <row r="266">
      <c r="D266" s="2"/>
      <c r="Q266" s="105"/>
      <c r="R266" s="11"/>
      <c r="S266" s="105"/>
    </row>
    <row r="267">
      <c r="D267" s="2"/>
      <c r="Q267" s="105"/>
      <c r="R267" s="11"/>
      <c r="S267" s="105"/>
    </row>
    <row r="268">
      <c r="D268" s="2"/>
      <c r="Q268" s="105"/>
      <c r="R268" s="11"/>
      <c r="S268" s="105"/>
    </row>
    <row r="269">
      <c r="D269" s="2"/>
      <c r="Q269" s="105"/>
      <c r="R269" s="11"/>
      <c r="S269" s="105"/>
    </row>
    <row r="270">
      <c r="D270" s="2"/>
      <c r="Q270" s="105"/>
      <c r="R270" s="11"/>
      <c r="S270" s="105"/>
    </row>
    <row r="271">
      <c r="D271" s="2"/>
      <c r="Q271" s="105"/>
      <c r="R271" s="11"/>
      <c r="S271" s="105"/>
    </row>
    <row r="272">
      <c r="D272" s="2"/>
      <c r="Q272" s="105"/>
      <c r="R272" s="11"/>
      <c r="S272" s="105"/>
    </row>
    <row r="273">
      <c r="D273" s="2"/>
      <c r="Q273" s="105"/>
      <c r="R273" s="11"/>
      <c r="S273" s="105"/>
    </row>
    <row r="274">
      <c r="D274" s="2"/>
      <c r="Q274" s="105"/>
      <c r="R274" s="11"/>
      <c r="S274" s="105"/>
    </row>
    <row r="275">
      <c r="D275" s="2"/>
      <c r="Q275" s="105"/>
      <c r="R275" s="11"/>
      <c r="S275" s="105"/>
    </row>
    <row r="276">
      <c r="D276" s="2"/>
      <c r="Q276" s="105"/>
      <c r="R276" s="11"/>
      <c r="S276" s="105"/>
    </row>
    <row r="277">
      <c r="D277" s="2"/>
      <c r="Q277" s="105"/>
      <c r="R277" s="11"/>
      <c r="S277" s="105"/>
    </row>
    <row r="278">
      <c r="D278" s="2"/>
      <c r="Q278" s="105"/>
      <c r="R278" s="11"/>
      <c r="S278" s="105"/>
    </row>
    <row r="279">
      <c r="D279" s="2"/>
      <c r="Q279" s="105"/>
      <c r="R279" s="11"/>
      <c r="S279" s="105"/>
    </row>
    <row r="280">
      <c r="D280" s="2"/>
      <c r="Q280" s="105"/>
      <c r="R280" s="11"/>
      <c r="S280" s="105"/>
    </row>
    <row r="281">
      <c r="D281" s="2"/>
      <c r="Q281" s="105"/>
      <c r="R281" s="11"/>
      <c r="S281" s="105"/>
    </row>
    <row r="282">
      <c r="D282" s="2"/>
      <c r="Q282" s="105"/>
      <c r="R282" s="11"/>
      <c r="S282" s="105"/>
    </row>
    <row r="283">
      <c r="D283" s="2"/>
      <c r="Q283" s="105"/>
      <c r="R283" s="11"/>
      <c r="S283" s="105"/>
    </row>
    <row r="284">
      <c r="D284" s="2"/>
      <c r="Q284" s="105"/>
      <c r="R284" s="11"/>
      <c r="S284" s="105"/>
    </row>
    <row r="285">
      <c r="D285" s="2"/>
      <c r="Q285" s="105"/>
      <c r="R285" s="11"/>
      <c r="S285" s="105"/>
    </row>
    <row r="286">
      <c r="D286" s="2"/>
      <c r="Q286" s="105"/>
      <c r="R286" s="11"/>
      <c r="S286" s="105"/>
    </row>
    <row r="287">
      <c r="D287" s="2"/>
      <c r="Q287" s="105"/>
      <c r="R287" s="11"/>
      <c r="S287" s="105"/>
    </row>
    <row r="288">
      <c r="D288" s="2"/>
      <c r="Q288" s="105"/>
      <c r="R288" s="11"/>
      <c r="S288" s="105"/>
    </row>
    <row r="289">
      <c r="D289" s="2"/>
      <c r="Q289" s="105"/>
      <c r="R289" s="11"/>
      <c r="S289" s="105"/>
    </row>
    <row r="290">
      <c r="D290" s="2"/>
      <c r="Q290" s="105"/>
      <c r="R290" s="11"/>
      <c r="S290" s="105"/>
    </row>
    <row r="291">
      <c r="D291" s="2"/>
      <c r="Q291" s="105"/>
      <c r="R291" s="11"/>
      <c r="S291" s="105"/>
    </row>
    <row r="292">
      <c r="D292" s="2"/>
      <c r="Q292" s="105"/>
      <c r="R292" s="11"/>
      <c r="S292" s="105"/>
    </row>
    <row r="293">
      <c r="D293" s="2"/>
      <c r="Q293" s="105"/>
      <c r="R293" s="11"/>
      <c r="S293" s="105"/>
    </row>
    <row r="294">
      <c r="D294" s="2"/>
      <c r="Q294" s="105"/>
      <c r="R294" s="11"/>
      <c r="S294" s="105"/>
    </row>
    <row r="295">
      <c r="D295" s="2"/>
      <c r="Q295" s="105"/>
      <c r="R295" s="11"/>
      <c r="S295" s="105"/>
    </row>
    <row r="296">
      <c r="D296" s="2"/>
      <c r="Q296" s="105"/>
      <c r="R296" s="11"/>
      <c r="S296" s="105"/>
    </row>
    <row r="297">
      <c r="D297" s="2"/>
      <c r="Q297" s="105"/>
      <c r="R297" s="11"/>
      <c r="S297" s="105"/>
    </row>
    <row r="298">
      <c r="D298" s="2"/>
      <c r="Q298" s="105"/>
      <c r="R298" s="11"/>
      <c r="S298" s="105"/>
    </row>
    <row r="299">
      <c r="D299" s="2"/>
      <c r="Q299" s="105"/>
      <c r="R299" s="11"/>
      <c r="S299" s="105"/>
    </row>
    <row r="300">
      <c r="D300" s="2"/>
      <c r="Q300" s="105"/>
      <c r="R300" s="11"/>
      <c r="S300" s="105"/>
    </row>
    <row r="301">
      <c r="D301" s="2"/>
      <c r="Q301" s="105"/>
      <c r="R301" s="11"/>
      <c r="S301" s="105"/>
    </row>
    <row r="302">
      <c r="D302" s="2"/>
      <c r="Q302" s="105"/>
      <c r="R302" s="11"/>
      <c r="S302" s="105"/>
    </row>
    <row r="303">
      <c r="D303" s="2"/>
      <c r="Q303" s="105"/>
      <c r="R303" s="11"/>
      <c r="S303" s="105"/>
    </row>
    <row r="304">
      <c r="D304" s="2"/>
      <c r="Q304" s="105"/>
      <c r="R304" s="11"/>
      <c r="S304" s="105"/>
    </row>
    <row r="305">
      <c r="D305" s="2"/>
      <c r="Q305" s="105"/>
      <c r="R305" s="11"/>
      <c r="S305" s="105"/>
    </row>
    <row r="306">
      <c r="D306" s="2"/>
      <c r="Q306" s="105"/>
      <c r="R306" s="11"/>
      <c r="S306" s="105"/>
    </row>
    <row r="307">
      <c r="D307" s="2"/>
      <c r="Q307" s="105"/>
      <c r="R307" s="11"/>
      <c r="S307" s="105"/>
    </row>
    <row r="308">
      <c r="D308" s="2"/>
      <c r="Q308" s="105"/>
      <c r="R308" s="11"/>
      <c r="S308" s="105"/>
    </row>
    <row r="309">
      <c r="D309" s="2"/>
      <c r="Q309" s="105"/>
      <c r="R309" s="11"/>
      <c r="S309" s="105"/>
    </row>
    <row r="310">
      <c r="D310" s="2"/>
      <c r="Q310" s="105"/>
      <c r="R310" s="11"/>
      <c r="S310" s="105"/>
    </row>
    <row r="311">
      <c r="D311" s="2"/>
      <c r="Q311" s="105"/>
      <c r="R311" s="11"/>
      <c r="S311" s="105"/>
    </row>
    <row r="312">
      <c r="D312" s="2"/>
      <c r="Q312" s="105"/>
      <c r="R312" s="11"/>
      <c r="S312" s="105"/>
    </row>
    <row r="313">
      <c r="D313" s="2"/>
      <c r="Q313" s="105"/>
      <c r="R313" s="11"/>
      <c r="S313" s="105"/>
    </row>
    <row r="314">
      <c r="D314" s="2"/>
      <c r="Q314" s="105"/>
      <c r="R314" s="11"/>
      <c r="S314" s="105"/>
    </row>
    <row r="315">
      <c r="D315" s="2"/>
      <c r="Q315" s="105"/>
      <c r="R315" s="11"/>
      <c r="S315" s="105"/>
    </row>
    <row r="316">
      <c r="D316" s="2"/>
      <c r="Q316" s="105"/>
      <c r="R316" s="11"/>
      <c r="S316" s="105"/>
    </row>
    <row r="317">
      <c r="D317" s="2"/>
      <c r="Q317" s="105"/>
      <c r="R317" s="11"/>
      <c r="S317" s="105"/>
    </row>
    <row r="318">
      <c r="D318" s="2"/>
      <c r="Q318" s="105"/>
      <c r="R318" s="11"/>
      <c r="S318" s="105"/>
    </row>
    <row r="319">
      <c r="D319" s="2"/>
      <c r="Q319" s="105"/>
      <c r="R319" s="11"/>
      <c r="S319" s="105"/>
    </row>
    <row r="320">
      <c r="D320" s="2"/>
      <c r="Q320" s="105"/>
      <c r="R320" s="11"/>
      <c r="S320" s="105"/>
    </row>
    <row r="321">
      <c r="D321" s="2"/>
      <c r="Q321" s="105"/>
      <c r="R321" s="11"/>
      <c r="S321" s="105"/>
    </row>
    <row r="322">
      <c r="D322" s="2"/>
      <c r="Q322" s="105"/>
      <c r="R322" s="11"/>
      <c r="S322" s="105"/>
    </row>
    <row r="323">
      <c r="D323" s="2"/>
      <c r="Q323" s="105"/>
      <c r="R323" s="11"/>
      <c r="S323" s="105"/>
    </row>
    <row r="324">
      <c r="D324" s="2"/>
      <c r="Q324" s="105"/>
      <c r="R324" s="11"/>
      <c r="S324" s="105"/>
    </row>
    <row r="325">
      <c r="D325" s="2"/>
      <c r="Q325" s="105"/>
      <c r="R325" s="11"/>
      <c r="S325" s="105"/>
    </row>
    <row r="326">
      <c r="D326" s="2"/>
      <c r="Q326" s="105"/>
      <c r="R326" s="11"/>
      <c r="S326" s="105"/>
    </row>
    <row r="327">
      <c r="D327" s="2"/>
      <c r="Q327" s="105"/>
      <c r="R327" s="11"/>
      <c r="S327" s="105"/>
    </row>
    <row r="328">
      <c r="D328" s="2"/>
      <c r="Q328" s="105"/>
      <c r="R328" s="11"/>
      <c r="S328" s="105"/>
    </row>
    <row r="329">
      <c r="D329" s="2"/>
      <c r="Q329" s="105"/>
      <c r="R329" s="11"/>
      <c r="S329" s="105"/>
    </row>
    <row r="330">
      <c r="D330" s="2"/>
      <c r="Q330" s="105"/>
      <c r="R330" s="11"/>
      <c r="S330" s="105"/>
    </row>
    <row r="331">
      <c r="D331" s="2"/>
      <c r="Q331" s="105"/>
      <c r="R331" s="11"/>
      <c r="S331" s="105"/>
    </row>
    <row r="332">
      <c r="D332" s="2"/>
      <c r="Q332" s="105"/>
      <c r="R332" s="11"/>
      <c r="S332" s="105"/>
    </row>
    <row r="333">
      <c r="D333" s="2"/>
      <c r="Q333" s="105"/>
      <c r="R333" s="11"/>
      <c r="S333" s="105"/>
    </row>
    <row r="334">
      <c r="D334" s="2"/>
      <c r="Q334" s="105"/>
      <c r="R334" s="11"/>
      <c r="S334" s="105"/>
    </row>
    <row r="335">
      <c r="D335" s="2"/>
      <c r="Q335" s="105"/>
      <c r="R335" s="11"/>
      <c r="S335" s="105"/>
    </row>
    <row r="336">
      <c r="D336" s="2"/>
      <c r="Q336" s="105"/>
      <c r="R336" s="11"/>
      <c r="S336" s="105"/>
    </row>
    <row r="337">
      <c r="D337" s="2"/>
      <c r="Q337" s="105"/>
      <c r="R337" s="11"/>
      <c r="S337" s="105"/>
    </row>
    <row r="338">
      <c r="D338" s="2"/>
      <c r="Q338" s="105"/>
      <c r="R338" s="11"/>
      <c r="S338" s="105"/>
    </row>
    <row r="339">
      <c r="D339" s="2"/>
      <c r="Q339" s="105"/>
      <c r="R339" s="11"/>
      <c r="S339" s="105"/>
    </row>
    <row r="340">
      <c r="D340" s="2"/>
      <c r="Q340" s="105"/>
      <c r="R340" s="11"/>
      <c r="S340" s="105"/>
    </row>
    <row r="341">
      <c r="D341" s="2"/>
      <c r="Q341" s="105"/>
      <c r="R341" s="11"/>
      <c r="S341" s="105"/>
    </row>
    <row r="342">
      <c r="D342" s="2"/>
      <c r="Q342" s="105"/>
      <c r="R342" s="11"/>
      <c r="S342" s="105"/>
    </row>
    <row r="343">
      <c r="D343" s="2"/>
      <c r="Q343" s="105"/>
      <c r="R343" s="11"/>
      <c r="S343" s="105"/>
    </row>
    <row r="344">
      <c r="D344" s="2"/>
      <c r="Q344" s="105"/>
      <c r="R344" s="11"/>
      <c r="S344" s="105"/>
    </row>
    <row r="345">
      <c r="D345" s="2"/>
      <c r="Q345" s="105"/>
      <c r="R345" s="11"/>
      <c r="S345" s="105"/>
    </row>
    <row r="346">
      <c r="D346" s="2"/>
      <c r="Q346" s="105"/>
      <c r="R346" s="11"/>
      <c r="S346" s="105"/>
    </row>
    <row r="347">
      <c r="D347" s="2"/>
      <c r="Q347" s="105"/>
      <c r="R347" s="11"/>
      <c r="S347" s="105"/>
    </row>
    <row r="348">
      <c r="D348" s="2"/>
      <c r="Q348" s="105"/>
      <c r="R348" s="11"/>
      <c r="S348" s="105"/>
    </row>
    <row r="349">
      <c r="D349" s="2"/>
      <c r="Q349" s="105"/>
      <c r="R349" s="11"/>
      <c r="S349" s="105"/>
    </row>
    <row r="350">
      <c r="D350" s="2"/>
      <c r="Q350" s="105"/>
      <c r="R350" s="11"/>
      <c r="S350" s="105"/>
    </row>
    <row r="351">
      <c r="D351" s="2"/>
      <c r="Q351" s="105"/>
      <c r="R351" s="11"/>
      <c r="S351" s="105"/>
    </row>
    <row r="352">
      <c r="D352" s="2"/>
      <c r="Q352" s="105"/>
      <c r="R352" s="11"/>
      <c r="S352" s="105"/>
    </row>
    <row r="353">
      <c r="D353" s="2"/>
      <c r="Q353" s="105"/>
      <c r="R353" s="11"/>
      <c r="S353" s="105"/>
    </row>
    <row r="354">
      <c r="D354" s="2"/>
      <c r="Q354" s="105"/>
      <c r="R354" s="11"/>
      <c r="S354" s="105"/>
    </row>
    <row r="355">
      <c r="D355" s="2"/>
      <c r="Q355" s="105"/>
      <c r="R355" s="11"/>
      <c r="S355" s="105"/>
    </row>
    <row r="356">
      <c r="D356" s="2"/>
      <c r="Q356" s="105"/>
      <c r="R356" s="11"/>
      <c r="S356" s="105"/>
    </row>
    <row r="357">
      <c r="D357" s="2"/>
      <c r="Q357" s="105"/>
      <c r="R357" s="11"/>
      <c r="S357" s="105"/>
    </row>
    <row r="358">
      <c r="D358" s="2"/>
      <c r="Q358" s="105"/>
      <c r="R358" s="11"/>
      <c r="S358" s="105"/>
    </row>
    <row r="359">
      <c r="D359" s="2"/>
      <c r="Q359" s="105"/>
      <c r="R359" s="11"/>
      <c r="S359" s="105"/>
    </row>
    <row r="360">
      <c r="D360" s="2"/>
      <c r="Q360" s="105"/>
      <c r="R360" s="11"/>
      <c r="S360" s="105"/>
    </row>
    <row r="361">
      <c r="D361" s="2"/>
      <c r="Q361" s="105"/>
      <c r="R361" s="11"/>
      <c r="S361" s="105"/>
    </row>
    <row r="362">
      <c r="D362" s="2"/>
      <c r="Q362" s="105"/>
      <c r="R362" s="11"/>
      <c r="S362" s="105"/>
    </row>
    <row r="363">
      <c r="D363" s="2"/>
      <c r="Q363" s="105"/>
      <c r="R363" s="11"/>
      <c r="S363" s="105"/>
    </row>
    <row r="364">
      <c r="D364" s="2"/>
      <c r="Q364" s="105"/>
      <c r="R364" s="11"/>
      <c r="S364" s="105"/>
    </row>
    <row r="365">
      <c r="D365" s="2"/>
      <c r="Q365" s="105"/>
      <c r="R365" s="11"/>
      <c r="S365" s="105"/>
    </row>
    <row r="366">
      <c r="D366" s="2"/>
      <c r="Q366" s="105"/>
      <c r="R366" s="11"/>
      <c r="S366" s="105"/>
    </row>
    <row r="367">
      <c r="D367" s="2"/>
      <c r="Q367" s="105"/>
      <c r="R367" s="11"/>
      <c r="S367" s="105"/>
    </row>
    <row r="368">
      <c r="D368" s="2"/>
      <c r="Q368" s="105"/>
      <c r="R368" s="11"/>
      <c r="S368" s="105"/>
    </row>
    <row r="369">
      <c r="D369" s="2"/>
      <c r="Q369" s="105"/>
      <c r="R369" s="11"/>
      <c r="S369" s="105"/>
    </row>
    <row r="370">
      <c r="D370" s="2"/>
      <c r="Q370" s="105"/>
      <c r="R370" s="11"/>
      <c r="S370" s="105"/>
    </row>
    <row r="371">
      <c r="D371" s="2"/>
      <c r="Q371" s="105"/>
      <c r="R371" s="11"/>
      <c r="S371" s="105"/>
    </row>
    <row r="372">
      <c r="D372" s="2"/>
      <c r="Q372" s="105"/>
      <c r="R372" s="11"/>
      <c r="S372" s="105"/>
    </row>
    <row r="373">
      <c r="D373" s="2"/>
      <c r="Q373" s="105"/>
      <c r="R373" s="11"/>
      <c r="S373" s="105"/>
    </row>
    <row r="374">
      <c r="D374" s="2"/>
      <c r="Q374" s="105"/>
      <c r="R374" s="11"/>
      <c r="S374" s="105"/>
    </row>
    <row r="375">
      <c r="D375" s="2"/>
      <c r="Q375" s="105"/>
      <c r="R375" s="11"/>
      <c r="S375" s="105"/>
    </row>
    <row r="376">
      <c r="D376" s="2"/>
      <c r="Q376" s="105"/>
      <c r="R376" s="11"/>
      <c r="S376" s="105"/>
    </row>
    <row r="377">
      <c r="D377" s="2"/>
      <c r="Q377" s="105"/>
      <c r="R377" s="11"/>
      <c r="S377" s="105"/>
    </row>
    <row r="378">
      <c r="D378" s="2"/>
      <c r="Q378" s="105"/>
      <c r="R378" s="11"/>
      <c r="S378" s="105"/>
    </row>
    <row r="379">
      <c r="D379" s="2"/>
      <c r="Q379" s="105"/>
      <c r="R379" s="11"/>
      <c r="S379" s="105"/>
    </row>
    <row r="380">
      <c r="D380" s="2"/>
      <c r="Q380" s="105"/>
      <c r="R380" s="11"/>
      <c r="S380" s="105"/>
    </row>
    <row r="381">
      <c r="D381" s="2"/>
      <c r="Q381" s="105"/>
      <c r="R381" s="11"/>
      <c r="S381" s="105"/>
    </row>
    <row r="382">
      <c r="D382" s="2"/>
      <c r="Q382" s="105"/>
      <c r="R382" s="11"/>
      <c r="S382" s="105"/>
    </row>
    <row r="383">
      <c r="D383" s="2"/>
      <c r="Q383" s="105"/>
      <c r="R383" s="11"/>
      <c r="S383" s="105"/>
    </row>
    <row r="384">
      <c r="D384" s="2"/>
      <c r="Q384" s="105"/>
      <c r="R384" s="11"/>
      <c r="S384" s="105"/>
    </row>
    <row r="385">
      <c r="D385" s="2"/>
      <c r="Q385" s="105"/>
      <c r="R385" s="11"/>
      <c r="S385" s="105"/>
    </row>
    <row r="386">
      <c r="D386" s="2"/>
      <c r="Q386" s="105"/>
      <c r="R386" s="11"/>
      <c r="S386" s="105"/>
    </row>
    <row r="387">
      <c r="D387" s="2"/>
      <c r="Q387" s="105"/>
      <c r="R387" s="11"/>
      <c r="S387" s="105"/>
    </row>
    <row r="388">
      <c r="D388" s="2"/>
      <c r="Q388" s="105"/>
      <c r="R388" s="11"/>
      <c r="S388" s="105"/>
    </row>
    <row r="389">
      <c r="D389" s="2"/>
      <c r="Q389" s="105"/>
      <c r="R389" s="11"/>
      <c r="S389" s="105"/>
    </row>
    <row r="390">
      <c r="D390" s="2"/>
      <c r="Q390" s="105"/>
      <c r="R390" s="11"/>
      <c r="S390" s="105"/>
    </row>
    <row r="391">
      <c r="D391" s="2"/>
      <c r="Q391" s="105"/>
      <c r="R391" s="11"/>
      <c r="S391" s="105"/>
    </row>
    <row r="392">
      <c r="D392" s="2"/>
      <c r="Q392" s="105"/>
      <c r="R392" s="11"/>
      <c r="S392" s="105"/>
    </row>
    <row r="393">
      <c r="D393" s="2"/>
      <c r="Q393" s="105"/>
      <c r="R393" s="11"/>
      <c r="S393" s="105"/>
    </row>
    <row r="394">
      <c r="D394" s="2"/>
      <c r="Q394" s="105"/>
      <c r="R394" s="11"/>
      <c r="S394" s="105"/>
    </row>
    <row r="395">
      <c r="D395" s="2"/>
      <c r="Q395" s="105"/>
      <c r="R395" s="11"/>
      <c r="S395" s="105"/>
    </row>
    <row r="396">
      <c r="D396" s="2"/>
      <c r="Q396" s="105"/>
      <c r="R396" s="11"/>
      <c r="S396" s="105"/>
    </row>
    <row r="397">
      <c r="D397" s="2"/>
      <c r="Q397" s="105"/>
      <c r="R397" s="11"/>
      <c r="S397" s="105"/>
    </row>
    <row r="398">
      <c r="D398" s="2"/>
      <c r="Q398" s="105"/>
      <c r="R398" s="11"/>
      <c r="S398" s="105"/>
    </row>
    <row r="399">
      <c r="D399" s="2"/>
      <c r="Q399" s="105"/>
      <c r="R399" s="11"/>
      <c r="S399" s="105"/>
    </row>
    <row r="400">
      <c r="D400" s="2"/>
      <c r="Q400" s="105"/>
      <c r="R400" s="11"/>
      <c r="S400" s="105"/>
    </row>
    <row r="401">
      <c r="D401" s="2"/>
      <c r="Q401" s="105"/>
      <c r="R401" s="11"/>
      <c r="S401" s="105"/>
    </row>
    <row r="402">
      <c r="D402" s="2"/>
      <c r="Q402" s="105"/>
      <c r="R402" s="11"/>
      <c r="S402" s="105"/>
    </row>
    <row r="403">
      <c r="D403" s="2"/>
      <c r="Q403" s="105"/>
      <c r="R403" s="11"/>
      <c r="S403" s="105"/>
    </row>
    <row r="404">
      <c r="D404" s="2"/>
      <c r="Q404" s="105"/>
      <c r="R404" s="11"/>
      <c r="S404" s="105"/>
    </row>
    <row r="405">
      <c r="D405" s="2"/>
      <c r="Q405" s="105"/>
      <c r="R405" s="11"/>
      <c r="S405" s="105"/>
    </row>
    <row r="406">
      <c r="D406" s="2"/>
      <c r="Q406" s="105"/>
      <c r="R406" s="11"/>
      <c r="S406" s="105"/>
    </row>
    <row r="407">
      <c r="D407" s="2"/>
      <c r="Q407" s="105"/>
      <c r="R407" s="11"/>
      <c r="S407" s="105"/>
    </row>
    <row r="408">
      <c r="D408" s="2"/>
      <c r="Q408" s="105"/>
      <c r="R408" s="11"/>
      <c r="S408" s="105"/>
    </row>
    <row r="409">
      <c r="D409" s="2"/>
      <c r="Q409" s="105"/>
      <c r="R409" s="11"/>
      <c r="S409" s="105"/>
    </row>
    <row r="410">
      <c r="D410" s="2"/>
      <c r="Q410" s="105"/>
      <c r="R410" s="11"/>
      <c r="S410" s="105"/>
    </row>
    <row r="411">
      <c r="D411" s="2"/>
      <c r="Q411" s="105"/>
      <c r="R411" s="11"/>
      <c r="S411" s="105"/>
    </row>
    <row r="412">
      <c r="D412" s="2"/>
      <c r="Q412" s="105"/>
      <c r="R412" s="11"/>
      <c r="S412" s="105"/>
    </row>
    <row r="413">
      <c r="D413" s="2"/>
      <c r="Q413" s="105"/>
      <c r="R413" s="11"/>
      <c r="S413" s="105"/>
    </row>
    <row r="414">
      <c r="D414" s="2"/>
      <c r="Q414" s="105"/>
      <c r="R414" s="11"/>
      <c r="S414" s="105"/>
    </row>
    <row r="415">
      <c r="D415" s="2"/>
      <c r="Q415" s="105"/>
      <c r="R415" s="11"/>
      <c r="S415" s="105"/>
    </row>
    <row r="416">
      <c r="D416" s="2"/>
      <c r="Q416" s="105"/>
      <c r="R416" s="11"/>
      <c r="S416" s="105"/>
    </row>
    <row r="417">
      <c r="D417" s="2"/>
      <c r="Q417" s="105"/>
      <c r="R417" s="11"/>
      <c r="S417" s="105"/>
    </row>
    <row r="418">
      <c r="D418" s="2"/>
      <c r="Q418" s="105"/>
      <c r="R418" s="11"/>
      <c r="S418" s="105"/>
    </row>
    <row r="419">
      <c r="D419" s="2"/>
      <c r="Q419" s="105"/>
      <c r="R419" s="11"/>
      <c r="S419" s="105"/>
    </row>
    <row r="420">
      <c r="D420" s="2"/>
      <c r="Q420" s="105"/>
      <c r="R420" s="11"/>
      <c r="S420" s="105"/>
    </row>
    <row r="421">
      <c r="D421" s="2"/>
      <c r="Q421" s="105"/>
      <c r="R421" s="11"/>
      <c r="S421" s="105"/>
    </row>
    <row r="422">
      <c r="D422" s="2"/>
      <c r="Q422" s="105"/>
      <c r="R422" s="11"/>
      <c r="S422" s="105"/>
    </row>
    <row r="423">
      <c r="D423" s="2"/>
      <c r="Q423" s="105"/>
      <c r="R423" s="11"/>
      <c r="S423" s="105"/>
    </row>
    <row r="424">
      <c r="D424" s="2"/>
      <c r="Q424" s="105"/>
      <c r="R424" s="11"/>
      <c r="S424" s="105"/>
    </row>
    <row r="425">
      <c r="D425" s="2"/>
      <c r="Q425" s="105"/>
      <c r="R425" s="11"/>
      <c r="S425" s="105"/>
    </row>
    <row r="426">
      <c r="D426" s="2"/>
      <c r="Q426" s="105"/>
      <c r="R426" s="11"/>
      <c r="S426" s="105"/>
    </row>
    <row r="427">
      <c r="D427" s="2"/>
      <c r="Q427" s="105"/>
      <c r="R427" s="11"/>
      <c r="S427" s="105"/>
    </row>
    <row r="428">
      <c r="D428" s="2"/>
      <c r="Q428" s="105"/>
      <c r="R428" s="11"/>
      <c r="S428" s="105"/>
    </row>
    <row r="429">
      <c r="D429" s="2"/>
      <c r="Q429" s="105"/>
      <c r="R429" s="11"/>
      <c r="S429" s="105"/>
    </row>
    <row r="430">
      <c r="D430" s="2"/>
      <c r="Q430" s="105"/>
      <c r="R430" s="11"/>
      <c r="S430" s="105"/>
    </row>
    <row r="431">
      <c r="D431" s="2"/>
      <c r="Q431" s="105"/>
      <c r="R431" s="11"/>
      <c r="S431" s="105"/>
    </row>
    <row r="432">
      <c r="D432" s="2"/>
      <c r="Q432" s="105"/>
      <c r="R432" s="11"/>
      <c r="S432" s="105"/>
    </row>
    <row r="433">
      <c r="D433" s="2"/>
      <c r="Q433" s="105"/>
      <c r="R433" s="11"/>
      <c r="S433" s="105"/>
    </row>
    <row r="434">
      <c r="D434" s="2"/>
      <c r="Q434" s="105"/>
      <c r="R434" s="11"/>
      <c r="S434" s="105"/>
    </row>
    <row r="435">
      <c r="D435" s="2"/>
      <c r="Q435" s="105"/>
      <c r="R435" s="11"/>
      <c r="S435" s="105"/>
    </row>
    <row r="436">
      <c r="D436" s="2"/>
      <c r="Q436" s="105"/>
      <c r="R436" s="11"/>
      <c r="S436" s="105"/>
    </row>
    <row r="437">
      <c r="D437" s="2"/>
      <c r="Q437" s="105"/>
      <c r="R437" s="11"/>
      <c r="S437" s="105"/>
    </row>
    <row r="438">
      <c r="D438" s="2"/>
      <c r="Q438" s="105"/>
      <c r="R438" s="11"/>
      <c r="S438" s="105"/>
    </row>
    <row r="439">
      <c r="D439" s="2"/>
      <c r="Q439" s="105"/>
      <c r="R439" s="11"/>
      <c r="S439" s="105"/>
    </row>
    <row r="440">
      <c r="D440" s="2"/>
      <c r="Q440" s="105"/>
      <c r="R440" s="11"/>
      <c r="S440" s="105"/>
    </row>
    <row r="441">
      <c r="D441" s="2"/>
      <c r="Q441" s="105"/>
      <c r="R441" s="11"/>
      <c r="S441" s="105"/>
    </row>
    <row r="442">
      <c r="D442" s="2"/>
      <c r="Q442" s="105"/>
      <c r="R442" s="11"/>
      <c r="S442" s="105"/>
    </row>
    <row r="443">
      <c r="D443" s="2"/>
      <c r="Q443" s="105"/>
      <c r="R443" s="11"/>
      <c r="S443" s="105"/>
    </row>
    <row r="444">
      <c r="D444" s="2"/>
      <c r="Q444" s="105"/>
      <c r="R444" s="11"/>
      <c r="S444" s="105"/>
    </row>
    <row r="445">
      <c r="D445" s="2"/>
      <c r="Q445" s="105"/>
      <c r="R445" s="11"/>
      <c r="S445" s="105"/>
    </row>
    <row r="446">
      <c r="D446" s="2"/>
      <c r="Q446" s="105"/>
      <c r="R446" s="11"/>
      <c r="S446" s="105"/>
    </row>
    <row r="447">
      <c r="D447" s="2"/>
      <c r="Q447" s="105"/>
      <c r="R447" s="11"/>
      <c r="S447" s="105"/>
    </row>
    <row r="448">
      <c r="D448" s="2"/>
      <c r="Q448" s="105"/>
      <c r="R448" s="11"/>
      <c r="S448" s="105"/>
    </row>
    <row r="449">
      <c r="D449" s="2"/>
      <c r="Q449" s="105"/>
      <c r="R449" s="11"/>
      <c r="S449" s="105"/>
    </row>
    <row r="450">
      <c r="D450" s="2"/>
      <c r="Q450" s="105"/>
      <c r="R450" s="11"/>
      <c r="S450" s="105"/>
    </row>
    <row r="451">
      <c r="D451" s="2"/>
      <c r="Q451" s="105"/>
      <c r="R451" s="11"/>
      <c r="S451" s="105"/>
    </row>
    <row r="452">
      <c r="D452" s="2"/>
      <c r="Q452" s="105"/>
      <c r="R452" s="11"/>
      <c r="S452" s="105"/>
    </row>
    <row r="453">
      <c r="D453" s="2"/>
      <c r="Q453" s="105"/>
      <c r="R453" s="11"/>
      <c r="S453" s="105"/>
    </row>
    <row r="454">
      <c r="D454" s="2"/>
      <c r="Q454" s="105"/>
      <c r="R454" s="11"/>
      <c r="S454" s="105"/>
    </row>
    <row r="455">
      <c r="D455" s="2"/>
      <c r="Q455" s="105"/>
      <c r="R455" s="11"/>
      <c r="S455" s="105"/>
    </row>
    <row r="456">
      <c r="D456" s="2"/>
      <c r="Q456" s="105"/>
      <c r="R456" s="11"/>
      <c r="S456" s="105"/>
    </row>
    <row r="457">
      <c r="D457" s="2"/>
      <c r="Q457" s="105"/>
      <c r="R457" s="11"/>
      <c r="S457" s="105"/>
    </row>
    <row r="458">
      <c r="D458" s="2"/>
      <c r="Q458" s="105"/>
      <c r="R458" s="11"/>
      <c r="S458" s="105"/>
    </row>
    <row r="459">
      <c r="D459" s="2"/>
      <c r="Q459" s="105"/>
      <c r="R459" s="11"/>
      <c r="S459" s="105"/>
    </row>
    <row r="460">
      <c r="D460" s="2"/>
      <c r="Q460" s="105"/>
      <c r="R460" s="11"/>
      <c r="S460" s="105"/>
    </row>
    <row r="461">
      <c r="D461" s="2"/>
      <c r="Q461" s="105"/>
      <c r="R461" s="11"/>
      <c r="S461" s="105"/>
    </row>
    <row r="462">
      <c r="D462" s="2"/>
      <c r="Q462" s="105"/>
      <c r="R462" s="11"/>
      <c r="S462" s="105"/>
    </row>
    <row r="463">
      <c r="D463" s="2"/>
      <c r="Q463" s="105"/>
      <c r="R463" s="11"/>
      <c r="S463" s="105"/>
    </row>
    <row r="464">
      <c r="D464" s="2"/>
      <c r="Q464" s="105"/>
      <c r="R464" s="11"/>
      <c r="S464" s="105"/>
    </row>
    <row r="465">
      <c r="D465" s="2"/>
      <c r="Q465" s="105"/>
      <c r="R465" s="11"/>
      <c r="S465" s="105"/>
    </row>
    <row r="466">
      <c r="D466" s="2"/>
      <c r="Q466" s="105"/>
      <c r="R466" s="11"/>
      <c r="S466" s="105"/>
    </row>
    <row r="467">
      <c r="D467" s="2"/>
      <c r="Q467" s="105"/>
      <c r="R467" s="11"/>
      <c r="S467" s="105"/>
    </row>
    <row r="468">
      <c r="D468" s="2"/>
      <c r="Q468" s="105"/>
      <c r="R468" s="11"/>
      <c r="S468" s="105"/>
    </row>
    <row r="469">
      <c r="D469" s="2"/>
      <c r="Q469" s="105"/>
      <c r="R469" s="11"/>
      <c r="S469" s="105"/>
    </row>
    <row r="470">
      <c r="D470" s="2"/>
      <c r="Q470" s="105"/>
      <c r="R470" s="11"/>
      <c r="S470" s="105"/>
    </row>
    <row r="471">
      <c r="D471" s="2"/>
      <c r="Q471" s="105"/>
      <c r="R471" s="11"/>
      <c r="S471" s="105"/>
    </row>
    <row r="472">
      <c r="D472" s="2"/>
      <c r="Q472" s="105"/>
      <c r="R472" s="11"/>
      <c r="S472" s="105"/>
    </row>
    <row r="473">
      <c r="D473" s="2"/>
      <c r="Q473" s="105"/>
      <c r="R473" s="11"/>
      <c r="S473" s="105"/>
    </row>
    <row r="474">
      <c r="D474" s="2"/>
      <c r="Q474" s="105"/>
      <c r="R474" s="11"/>
      <c r="S474" s="105"/>
    </row>
    <row r="475">
      <c r="D475" s="2"/>
      <c r="Q475" s="105"/>
      <c r="R475" s="11"/>
      <c r="S475" s="105"/>
    </row>
    <row r="476">
      <c r="D476" s="2"/>
      <c r="Q476" s="105"/>
      <c r="R476" s="11"/>
      <c r="S476" s="105"/>
    </row>
    <row r="477">
      <c r="D477" s="2"/>
      <c r="Q477" s="105"/>
      <c r="R477" s="11"/>
      <c r="S477" s="105"/>
    </row>
    <row r="478">
      <c r="D478" s="2"/>
      <c r="Q478" s="105"/>
      <c r="R478" s="11"/>
      <c r="S478" s="105"/>
    </row>
    <row r="479">
      <c r="D479" s="2"/>
      <c r="Q479" s="105"/>
      <c r="R479" s="11"/>
      <c r="S479" s="105"/>
    </row>
    <row r="480">
      <c r="D480" s="2"/>
      <c r="Q480" s="105"/>
      <c r="R480" s="11"/>
      <c r="S480" s="105"/>
    </row>
    <row r="481">
      <c r="D481" s="2"/>
      <c r="Q481" s="105"/>
      <c r="R481" s="11"/>
      <c r="S481" s="105"/>
    </row>
    <row r="482">
      <c r="D482" s="2"/>
      <c r="Q482" s="105"/>
      <c r="R482" s="11"/>
      <c r="S482" s="105"/>
    </row>
    <row r="483">
      <c r="D483" s="2"/>
      <c r="Q483" s="105"/>
      <c r="R483" s="11"/>
      <c r="S483" s="105"/>
    </row>
    <row r="484">
      <c r="D484" s="2"/>
      <c r="Q484" s="105"/>
      <c r="R484" s="11"/>
      <c r="S484" s="105"/>
    </row>
    <row r="485">
      <c r="D485" s="2"/>
      <c r="Q485" s="105"/>
      <c r="R485" s="11"/>
      <c r="S485" s="105"/>
    </row>
    <row r="486">
      <c r="D486" s="2"/>
      <c r="Q486" s="105"/>
      <c r="R486" s="11"/>
      <c r="S486" s="105"/>
    </row>
    <row r="487">
      <c r="D487" s="2"/>
      <c r="Q487" s="105"/>
      <c r="R487" s="11"/>
      <c r="S487" s="105"/>
    </row>
    <row r="488">
      <c r="D488" s="2"/>
      <c r="Q488" s="105"/>
      <c r="R488" s="11"/>
      <c r="S488" s="105"/>
    </row>
    <row r="489">
      <c r="D489" s="2"/>
      <c r="Q489" s="105"/>
      <c r="R489" s="11"/>
      <c r="S489" s="105"/>
    </row>
    <row r="490">
      <c r="D490" s="2"/>
      <c r="Q490" s="105"/>
      <c r="R490" s="11"/>
      <c r="S490" s="105"/>
    </row>
    <row r="491">
      <c r="D491" s="2"/>
      <c r="Q491" s="105"/>
      <c r="R491" s="11"/>
      <c r="S491" s="105"/>
    </row>
    <row r="492">
      <c r="D492" s="2"/>
      <c r="Q492" s="105"/>
      <c r="R492" s="11"/>
      <c r="S492" s="105"/>
    </row>
    <row r="493">
      <c r="D493" s="2"/>
      <c r="Q493" s="105"/>
      <c r="R493" s="11"/>
      <c r="S493" s="105"/>
    </row>
    <row r="494">
      <c r="D494" s="2"/>
      <c r="Q494" s="105"/>
      <c r="R494" s="11"/>
      <c r="S494" s="105"/>
    </row>
    <row r="495">
      <c r="D495" s="2"/>
      <c r="Q495" s="105"/>
      <c r="R495" s="11"/>
      <c r="S495" s="105"/>
    </row>
    <row r="496">
      <c r="D496" s="2"/>
      <c r="Q496" s="105"/>
      <c r="R496" s="11"/>
      <c r="S496" s="105"/>
    </row>
    <row r="497">
      <c r="D497" s="2"/>
      <c r="Q497" s="105"/>
      <c r="R497" s="11"/>
      <c r="S497" s="105"/>
    </row>
    <row r="498">
      <c r="D498" s="2"/>
      <c r="Q498" s="105"/>
      <c r="R498" s="11"/>
      <c r="S498" s="105"/>
    </row>
    <row r="499">
      <c r="D499" s="2"/>
      <c r="Q499" s="105"/>
      <c r="R499" s="11"/>
      <c r="S499" s="105"/>
    </row>
    <row r="500">
      <c r="D500" s="2"/>
      <c r="Q500" s="105"/>
      <c r="R500" s="11"/>
      <c r="S500" s="105"/>
    </row>
    <row r="501">
      <c r="D501" s="2"/>
      <c r="Q501" s="105"/>
      <c r="R501" s="11"/>
      <c r="S501" s="105"/>
    </row>
    <row r="502">
      <c r="D502" s="2"/>
      <c r="Q502" s="105"/>
      <c r="R502" s="11"/>
      <c r="S502" s="105"/>
    </row>
    <row r="503">
      <c r="D503" s="2"/>
      <c r="Q503" s="105"/>
      <c r="R503" s="11"/>
      <c r="S503" s="105"/>
    </row>
    <row r="504">
      <c r="D504" s="2"/>
      <c r="Q504" s="105"/>
      <c r="R504" s="11"/>
      <c r="S504" s="105"/>
    </row>
    <row r="505">
      <c r="D505" s="2"/>
      <c r="Q505" s="105"/>
      <c r="R505" s="11"/>
      <c r="S505" s="105"/>
    </row>
    <row r="506">
      <c r="D506" s="2"/>
      <c r="Q506" s="105"/>
      <c r="R506" s="11"/>
      <c r="S506" s="105"/>
    </row>
    <row r="507">
      <c r="D507" s="2"/>
      <c r="Q507" s="105"/>
      <c r="R507" s="11"/>
      <c r="S507" s="105"/>
    </row>
    <row r="508">
      <c r="D508" s="2"/>
      <c r="Q508" s="105"/>
      <c r="R508" s="11"/>
      <c r="S508" s="105"/>
    </row>
    <row r="509">
      <c r="D509" s="2"/>
      <c r="Q509" s="105"/>
      <c r="R509" s="11"/>
      <c r="S509" s="105"/>
    </row>
    <row r="510">
      <c r="D510" s="2"/>
      <c r="Q510" s="105"/>
      <c r="R510" s="11"/>
      <c r="S510" s="105"/>
    </row>
    <row r="511">
      <c r="D511" s="2"/>
      <c r="Q511" s="105"/>
      <c r="R511" s="11"/>
      <c r="S511" s="105"/>
    </row>
    <row r="512">
      <c r="D512" s="2"/>
      <c r="Q512" s="105"/>
      <c r="R512" s="11"/>
      <c r="S512" s="105"/>
    </row>
    <row r="513">
      <c r="D513" s="2"/>
      <c r="Q513" s="105"/>
      <c r="R513" s="11"/>
      <c r="S513" s="105"/>
    </row>
    <row r="514">
      <c r="D514" s="2"/>
      <c r="Q514" s="105"/>
      <c r="R514" s="11"/>
      <c r="S514" s="105"/>
    </row>
    <row r="515">
      <c r="D515" s="2"/>
      <c r="Q515" s="105"/>
      <c r="R515" s="11"/>
      <c r="S515" s="105"/>
    </row>
    <row r="516">
      <c r="D516" s="2"/>
      <c r="Q516" s="105"/>
      <c r="R516" s="11"/>
      <c r="S516" s="105"/>
    </row>
    <row r="517">
      <c r="D517" s="2"/>
      <c r="Q517" s="105"/>
      <c r="R517" s="11"/>
      <c r="S517" s="105"/>
    </row>
    <row r="518">
      <c r="D518" s="2"/>
      <c r="Q518" s="105"/>
      <c r="R518" s="11"/>
      <c r="S518" s="105"/>
    </row>
    <row r="519">
      <c r="D519" s="2"/>
      <c r="Q519" s="105"/>
      <c r="R519" s="11"/>
      <c r="S519" s="105"/>
    </row>
    <row r="520">
      <c r="D520" s="2"/>
      <c r="Q520" s="105"/>
      <c r="R520" s="11"/>
      <c r="S520" s="105"/>
    </row>
    <row r="521">
      <c r="D521" s="2"/>
      <c r="Q521" s="105"/>
      <c r="R521" s="11"/>
      <c r="S521" s="105"/>
    </row>
    <row r="522">
      <c r="D522" s="2"/>
      <c r="Q522" s="105"/>
      <c r="R522" s="11"/>
      <c r="S522" s="105"/>
    </row>
    <row r="523">
      <c r="D523" s="2"/>
      <c r="Q523" s="105"/>
      <c r="R523" s="11"/>
      <c r="S523" s="105"/>
    </row>
    <row r="524">
      <c r="D524" s="2"/>
      <c r="Q524" s="105"/>
      <c r="R524" s="11"/>
      <c r="S524" s="105"/>
    </row>
    <row r="525">
      <c r="D525" s="2"/>
      <c r="Q525" s="105"/>
      <c r="R525" s="11"/>
      <c r="S525" s="105"/>
    </row>
    <row r="526">
      <c r="D526" s="2"/>
      <c r="Q526" s="105"/>
      <c r="R526" s="11"/>
      <c r="S526" s="105"/>
    </row>
    <row r="527">
      <c r="D527" s="2"/>
      <c r="Q527" s="105"/>
      <c r="R527" s="11"/>
      <c r="S527" s="105"/>
    </row>
    <row r="528">
      <c r="D528" s="2"/>
      <c r="Q528" s="105"/>
      <c r="R528" s="11"/>
      <c r="S528" s="105"/>
    </row>
    <row r="529">
      <c r="D529" s="2"/>
      <c r="Q529" s="105"/>
      <c r="R529" s="11"/>
      <c r="S529" s="105"/>
    </row>
    <row r="530">
      <c r="D530" s="2"/>
      <c r="Q530" s="105"/>
      <c r="R530" s="11"/>
      <c r="S530" s="105"/>
    </row>
    <row r="531">
      <c r="D531" s="2"/>
      <c r="Q531" s="105"/>
      <c r="R531" s="11"/>
      <c r="S531" s="105"/>
    </row>
    <row r="532">
      <c r="D532" s="2"/>
      <c r="Q532" s="105"/>
      <c r="R532" s="11"/>
      <c r="S532" s="105"/>
    </row>
    <row r="533">
      <c r="D533" s="2"/>
      <c r="Q533" s="105"/>
      <c r="R533" s="11"/>
      <c r="S533" s="105"/>
    </row>
    <row r="534">
      <c r="D534" s="2"/>
      <c r="Q534" s="105"/>
      <c r="R534" s="11"/>
      <c r="S534" s="105"/>
    </row>
    <row r="535">
      <c r="D535" s="2"/>
      <c r="Q535" s="105"/>
      <c r="R535" s="11"/>
      <c r="S535" s="105"/>
    </row>
    <row r="536">
      <c r="D536" s="2"/>
      <c r="Q536" s="105"/>
      <c r="R536" s="11"/>
      <c r="S536" s="105"/>
    </row>
    <row r="537">
      <c r="D537" s="2"/>
      <c r="Q537" s="105"/>
      <c r="R537" s="11"/>
      <c r="S537" s="105"/>
    </row>
    <row r="538">
      <c r="D538" s="2"/>
      <c r="Q538" s="105"/>
      <c r="R538" s="11"/>
      <c r="S538" s="105"/>
    </row>
    <row r="539">
      <c r="D539" s="2"/>
      <c r="Q539" s="105"/>
      <c r="R539" s="11"/>
      <c r="S539" s="105"/>
    </row>
    <row r="540">
      <c r="D540" s="2"/>
      <c r="Q540" s="105"/>
      <c r="R540" s="11"/>
      <c r="S540" s="105"/>
    </row>
    <row r="541">
      <c r="D541" s="2"/>
      <c r="Q541" s="105"/>
      <c r="R541" s="11"/>
      <c r="S541" s="105"/>
    </row>
    <row r="542">
      <c r="D542" s="2"/>
      <c r="Q542" s="105"/>
      <c r="R542" s="11"/>
      <c r="S542" s="105"/>
    </row>
    <row r="543">
      <c r="D543" s="2"/>
      <c r="Q543" s="105"/>
      <c r="R543" s="11"/>
      <c r="S543" s="105"/>
    </row>
    <row r="544">
      <c r="D544" s="2"/>
      <c r="Q544" s="105"/>
      <c r="R544" s="11"/>
      <c r="S544" s="105"/>
    </row>
    <row r="545">
      <c r="D545" s="2"/>
      <c r="Q545" s="105"/>
      <c r="R545" s="11"/>
      <c r="S545" s="105"/>
    </row>
    <row r="546">
      <c r="D546" s="2"/>
      <c r="Q546" s="105"/>
      <c r="R546" s="11"/>
      <c r="S546" s="105"/>
    </row>
    <row r="547">
      <c r="D547" s="2"/>
      <c r="Q547" s="105"/>
      <c r="R547" s="11"/>
      <c r="S547" s="105"/>
    </row>
    <row r="548">
      <c r="D548" s="2"/>
      <c r="Q548" s="105"/>
      <c r="R548" s="11"/>
      <c r="S548" s="105"/>
    </row>
    <row r="549">
      <c r="D549" s="2"/>
      <c r="Q549" s="105"/>
      <c r="R549" s="11"/>
      <c r="S549" s="105"/>
    </row>
    <row r="550">
      <c r="D550" s="2"/>
      <c r="Q550" s="105"/>
      <c r="R550" s="11"/>
      <c r="S550" s="105"/>
    </row>
    <row r="551">
      <c r="D551" s="2"/>
      <c r="Q551" s="105"/>
      <c r="R551" s="11"/>
      <c r="S551" s="105"/>
    </row>
    <row r="552">
      <c r="D552" s="2"/>
      <c r="Q552" s="105"/>
      <c r="R552" s="11"/>
      <c r="S552" s="105"/>
    </row>
    <row r="553">
      <c r="D553" s="2"/>
      <c r="Q553" s="105"/>
      <c r="R553" s="11"/>
      <c r="S553" s="105"/>
    </row>
    <row r="554">
      <c r="D554" s="2"/>
      <c r="Q554" s="105"/>
      <c r="R554" s="11"/>
      <c r="S554" s="105"/>
    </row>
    <row r="555">
      <c r="D555" s="2"/>
      <c r="Q555" s="105"/>
      <c r="R555" s="11"/>
      <c r="S555" s="105"/>
    </row>
    <row r="556">
      <c r="D556" s="2"/>
      <c r="Q556" s="105"/>
      <c r="R556" s="11"/>
      <c r="S556" s="105"/>
    </row>
    <row r="557">
      <c r="D557" s="2"/>
      <c r="Q557" s="105"/>
      <c r="R557" s="11"/>
      <c r="S557" s="105"/>
    </row>
    <row r="558">
      <c r="D558" s="2"/>
      <c r="Q558" s="105"/>
      <c r="R558" s="11"/>
      <c r="S558" s="105"/>
    </row>
    <row r="559">
      <c r="D559" s="2"/>
      <c r="Q559" s="105"/>
      <c r="R559" s="11"/>
      <c r="S559" s="105"/>
    </row>
    <row r="560">
      <c r="D560" s="2"/>
      <c r="Q560" s="105"/>
      <c r="R560" s="11"/>
      <c r="S560" s="105"/>
    </row>
    <row r="561">
      <c r="D561" s="2"/>
      <c r="Q561" s="105"/>
      <c r="R561" s="11"/>
      <c r="S561" s="105"/>
    </row>
    <row r="562">
      <c r="D562" s="2"/>
      <c r="Q562" s="105"/>
      <c r="R562" s="11"/>
      <c r="S562" s="105"/>
    </row>
    <row r="563">
      <c r="D563" s="2"/>
      <c r="Q563" s="105"/>
      <c r="R563" s="11"/>
      <c r="S563" s="105"/>
    </row>
    <row r="564">
      <c r="D564" s="2"/>
      <c r="Q564" s="105"/>
      <c r="R564" s="11"/>
      <c r="S564" s="105"/>
    </row>
    <row r="565">
      <c r="D565" s="2"/>
      <c r="Q565" s="105"/>
      <c r="R565" s="11"/>
      <c r="S565" s="105"/>
    </row>
    <row r="566">
      <c r="D566" s="2"/>
      <c r="Q566" s="105"/>
      <c r="R566" s="11"/>
      <c r="S566" s="105"/>
    </row>
    <row r="567">
      <c r="D567" s="2"/>
      <c r="Q567" s="105"/>
      <c r="R567" s="11"/>
      <c r="S567" s="105"/>
    </row>
    <row r="568">
      <c r="D568" s="2"/>
      <c r="Q568" s="105"/>
      <c r="R568" s="11"/>
      <c r="S568" s="105"/>
    </row>
    <row r="569">
      <c r="D569" s="2"/>
      <c r="Q569" s="105"/>
      <c r="R569" s="11"/>
      <c r="S569" s="105"/>
    </row>
    <row r="570">
      <c r="D570" s="2"/>
      <c r="Q570" s="105"/>
      <c r="R570" s="11"/>
      <c r="S570" s="105"/>
    </row>
    <row r="571">
      <c r="D571" s="2"/>
      <c r="Q571" s="105"/>
      <c r="R571" s="11"/>
      <c r="S571" s="105"/>
    </row>
    <row r="572">
      <c r="D572" s="2"/>
      <c r="Q572" s="105"/>
      <c r="R572" s="11"/>
      <c r="S572" s="105"/>
    </row>
    <row r="573">
      <c r="D573" s="2"/>
      <c r="Q573" s="105"/>
      <c r="R573" s="11"/>
      <c r="S573" s="105"/>
    </row>
    <row r="574">
      <c r="D574" s="2"/>
      <c r="Q574" s="105"/>
      <c r="R574" s="11"/>
      <c r="S574" s="105"/>
    </row>
    <row r="575">
      <c r="D575" s="2"/>
      <c r="Q575" s="105"/>
      <c r="R575" s="11"/>
      <c r="S575" s="105"/>
    </row>
    <row r="576">
      <c r="D576" s="2"/>
      <c r="Q576" s="105"/>
      <c r="R576" s="11"/>
      <c r="S576" s="105"/>
    </row>
    <row r="577">
      <c r="D577" s="2"/>
      <c r="Q577" s="105"/>
      <c r="R577" s="11"/>
      <c r="S577" s="105"/>
    </row>
    <row r="578">
      <c r="D578" s="2"/>
      <c r="Q578" s="105"/>
      <c r="R578" s="11"/>
      <c r="S578" s="105"/>
    </row>
    <row r="579">
      <c r="D579" s="2"/>
      <c r="Q579" s="105"/>
      <c r="R579" s="11"/>
      <c r="S579" s="105"/>
    </row>
    <row r="580">
      <c r="D580" s="2"/>
      <c r="Q580" s="105"/>
      <c r="R580" s="11"/>
      <c r="S580" s="105"/>
    </row>
    <row r="581">
      <c r="D581" s="2"/>
      <c r="Q581" s="105"/>
      <c r="R581" s="11"/>
      <c r="S581" s="105"/>
    </row>
    <row r="582">
      <c r="D582" s="2"/>
      <c r="Q582" s="105"/>
      <c r="R582" s="11"/>
      <c r="S582" s="105"/>
    </row>
    <row r="583">
      <c r="D583" s="2"/>
      <c r="Q583" s="105"/>
      <c r="R583" s="11"/>
      <c r="S583" s="105"/>
    </row>
    <row r="584">
      <c r="D584" s="2"/>
      <c r="Q584" s="105"/>
      <c r="R584" s="11"/>
      <c r="S584" s="105"/>
    </row>
    <row r="585">
      <c r="D585" s="2"/>
      <c r="Q585" s="105"/>
      <c r="R585" s="11"/>
      <c r="S585" s="105"/>
    </row>
    <row r="586">
      <c r="D586" s="2"/>
      <c r="Q586" s="105"/>
      <c r="R586" s="11"/>
      <c r="S586" s="105"/>
    </row>
    <row r="587">
      <c r="D587" s="2"/>
      <c r="Q587" s="105"/>
      <c r="R587" s="11"/>
      <c r="S587" s="105"/>
    </row>
    <row r="588">
      <c r="D588" s="2"/>
      <c r="Q588" s="105"/>
      <c r="R588" s="11"/>
      <c r="S588" s="105"/>
    </row>
    <row r="589">
      <c r="D589" s="2"/>
      <c r="Q589" s="105"/>
      <c r="R589" s="11"/>
      <c r="S589" s="105"/>
    </row>
    <row r="590">
      <c r="D590" s="2"/>
      <c r="Q590" s="105"/>
      <c r="R590" s="11"/>
      <c r="S590" s="105"/>
    </row>
    <row r="591">
      <c r="D591" s="2"/>
      <c r="Q591" s="105"/>
      <c r="R591" s="11"/>
      <c r="S591" s="105"/>
    </row>
    <row r="592">
      <c r="D592" s="2"/>
      <c r="Q592" s="105"/>
      <c r="R592" s="11"/>
      <c r="S592" s="105"/>
    </row>
    <row r="593">
      <c r="D593" s="2"/>
      <c r="Q593" s="105"/>
      <c r="R593" s="11"/>
      <c r="S593" s="105"/>
    </row>
    <row r="594">
      <c r="D594" s="2"/>
      <c r="Q594" s="105"/>
      <c r="R594" s="11"/>
      <c r="S594" s="105"/>
    </row>
    <row r="595">
      <c r="D595" s="2"/>
      <c r="Q595" s="105"/>
      <c r="R595" s="11"/>
      <c r="S595" s="105"/>
    </row>
    <row r="596">
      <c r="D596" s="2"/>
      <c r="Q596" s="105"/>
      <c r="R596" s="11"/>
      <c r="S596" s="105"/>
    </row>
    <row r="597">
      <c r="D597" s="2"/>
      <c r="Q597" s="105"/>
      <c r="R597" s="11"/>
      <c r="S597" s="105"/>
    </row>
    <row r="598">
      <c r="D598" s="2"/>
      <c r="Q598" s="105"/>
      <c r="R598" s="11"/>
      <c r="S598" s="105"/>
    </row>
    <row r="599">
      <c r="D599" s="2"/>
      <c r="Q599" s="105"/>
      <c r="R599" s="11"/>
      <c r="S599" s="105"/>
    </row>
    <row r="600">
      <c r="D600" s="2"/>
      <c r="Q600" s="105"/>
      <c r="R600" s="11"/>
      <c r="S600" s="105"/>
    </row>
    <row r="601">
      <c r="D601" s="2"/>
      <c r="Q601" s="105"/>
      <c r="R601" s="11"/>
      <c r="S601" s="105"/>
    </row>
    <row r="602">
      <c r="D602" s="2"/>
      <c r="Q602" s="105"/>
      <c r="R602" s="11"/>
      <c r="S602" s="105"/>
    </row>
    <row r="603">
      <c r="D603" s="2"/>
      <c r="Q603" s="105"/>
      <c r="R603" s="11"/>
      <c r="S603" s="105"/>
    </row>
    <row r="604">
      <c r="D604" s="2"/>
      <c r="Q604" s="105"/>
      <c r="R604" s="11"/>
      <c r="S604" s="105"/>
    </row>
    <row r="605">
      <c r="D605" s="2"/>
      <c r="Q605" s="105"/>
      <c r="R605" s="11"/>
      <c r="S605" s="105"/>
    </row>
    <row r="606">
      <c r="D606" s="2"/>
      <c r="Q606" s="105"/>
      <c r="R606" s="11"/>
      <c r="S606" s="105"/>
    </row>
    <row r="607">
      <c r="D607" s="2"/>
      <c r="Q607" s="105"/>
      <c r="R607" s="11"/>
      <c r="S607" s="105"/>
    </row>
    <row r="608">
      <c r="D608" s="2"/>
      <c r="Q608" s="105"/>
      <c r="R608" s="11"/>
      <c r="S608" s="105"/>
    </row>
    <row r="609">
      <c r="D609" s="2"/>
      <c r="Q609" s="105"/>
      <c r="R609" s="11"/>
      <c r="S609" s="105"/>
    </row>
    <row r="610">
      <c r="D610" s="2"/>
      <c r="Q610" s="105"/>
      <c r="R610" s="11"/>
      <c r="S610" s="105"/>
    </row>
    <row r="611">
      <c r="D611" s="2"/>
      <c r="Q611" s="105"/>
      <c r="R611" s="11"/>
      <c r="S611" s="105"/>
    </row>
    <row r="612">
      <c r="D612" s="2"/>
      <c r="Q612" s="105"/>
      <c r="R612" s="11"/>
      <c r="S612" s="105"/>
    </row>
    <row r="613">
      <c r="D613" s="2"/>
      <c r="Q613" s="105"/>
      <c r="R613" s="11"/>
      <c r="S613" s="105"/>
    </row>
    <row r="614">
      <c r="D614" s="2"/>
      <c r="Q614" s="105"/>
      <c r="R614" s="11"/>
      <c r="S614" s="105"/>
    </row>
    <row r="615">
      <c r="D615" s="2"/>
      <c r="Q615" s="105"/>
      <c r="R615" s="11"/>
      <c r="S615" s="105"/>
    </row>
    <row r="616">
      <c r="D616" s="2"/>
      <c r="Q616" s="105"/>
      <c r="R616" s="11"/>
      <c r="S616" s="105"/>
    </row>
    <row r="617">
      <c r="D617" s="2"/>
      <c r="Q617" s="105"/>
      <c r="R617" s="11"/>
      <c r="S617" s="105"/>
    </row>
    <row r="618">
      <c r="D618" s="2"/>
      <c r="Q618" s="105"/>
      <c r="R618" s="11"/>
      <c r="S618" s="105"/>
    </row>
    <row r="619">
      <c r="D619" s="2"/>
      <c r="Q619" s="105"/>
      <c r="R619" s="11"/>
      <c r="S619" s="105"/>
    </row>
    <row r="620">
      <c r="D620" s="2"/>
      <c r="Q620" s="105"/>
      <c r="R620" s="11"/>
      <c r="S620" s="105"/>
    </row>
    <row r="621">
      <c r="D621" s="2"/>
      <c r="Q621" s="105"/>
      <c r="R621" s="11"/>
      <c r="S621" s="105"/>
    </row>
    <row r="622">
      <c r="D622" s="2"/>
      <c r="Q622" s="105"/>
      <c r="R622" s="11"/>
      <c r="S622" s="105"/>
    </row>
    <row r="623">
      <c r="D623" s="2"/>
      <c r="Q623" s="105"/>
      <c r="R623" s="11"/>
      <c r="S623" s="105"/>
    </row>
    <row r="624">
      <c r="D624" s="2"/>
      <c r="Q624" s="105"/>
      <c r="R624" s="11"/>
      <c r="S624" s="105"/>
    </row>
    <row r="625">
      <c r="D625" s="2"/>
      <c r="Q625" s="105"/>
      <c r="R625" s="11"/>
      <c r="S625" s="105"/>
    </row>
    <row r="626">
      <c r="D626" s="2"/>
      <c r="Q626" s="105"/>
      <c r="R626" s="11"/>
      <c r="S626" s="105"/>
    </row>
    <row r="627">
      <c r="D627" s="2"/>
      <c r="Q627" s="105"/>
      <c r="R627" s="11"/>
      <c r="S627" s="105"/>
    </row>
    <row r="628">
      <c r="D628" s="2"/>
      <c r="Q628" s="105"/>
      <c r="R628" s="11"/>
      <c r="S628" s="105"/>
    </row>
    <row r="629">
      <c r="D629" s="2"/>
      <c r="Q629" s="105"/>
      <c r="R629" s="11"/>
      <c r="S629" s="105"/>
    </row>
    <row r="630">
      <c r="D630" s="2"/>
      <c r="Q630" s="105"/>
      <c r="R630" s="11"/>
      <c r="S630" s="105"/>
    </row>
    <row r="631">
      <c r="D631" s="2"/>
      <c r="Q631" s="105"/>
      <c r="R631" s="11"/>
      <c r="S631" s="105"/>
    </row>
    <row r="632">
      <c r="D632" s="2"/>
      <c r="Q632" s="105"/>
      <c r="R632" s="11"/>
      <c r="S632" s="105"/>
    </row>
    <row r="633">
      <c r="D633" s="2"/>
      <c r="Q633" s="105"/>
      <c r="R633" s="11"/>
      <c r="S633" s="105"/>
    </row>
    <row r="634">
      <c r="D634" s="2"/>
      <c r="Q634" s="105"/>
      <c r="R634" s="11"/>
      <c r="S634" s="105"/>
    </row>
    <row r="635">
      <c r="D635" s="2"/>
      <c r="Q635" s="105"/>
      <c r="R635" s="11"/>
      <c r="S635" s="105"/>
    </row>
    <row r="636">
      <c r="D636" s="2"/>
      <c r="Q636" s="105"/>
      <c r="R636" s="11"/>
      <c r="S636" s="105"/>
    </row>
    <row r="637">
      <c r="D637" s="2"/>
      <c r="Q637" s="105"/>
      <c r="R637" s="11"/>
      <c r="S637" s="105"/>
    </row>
    <row r="638">
      <c r="D638" s="2"/>
      <c r="Q638" s="105"/>
      <c r="R638" s="11"/>
      <c r="S638" s="105"/>
    </row>
    <row r="639">
      <c r="D639" s="2"/>
      <c r="Q639" s="105"/>
      <c r="R639" s="11"/>
      <c r="S639" s="105"/>
    </row>
    <row r="640">
      <c r="D640" s="2"/>
      <c r="Q640" s="105"/>
      <c r="R640" s="11"/>
      <c r="S640" s="105"/>
    </row>
    <row r="641">
      <c r="D641" s="2"/>
      <c r="Q641" s="105"/>
      <c r="R641" s="11"/>
      <c r="S641" s="105"/>
    </row>
    <row r="642">
      <c r="D642" s="2"/>
      <c r="Q642" s="105"/>
      <c r="R642" s="11"/>
      <c r="S642" s="105"/>
    </row>
    <row r="643">
      <c r="D643" s="2"/>
      <c r="Q643" s="105"/>
      <c r="R643" s="11"/>
      <c r="S643" s="105"/>
    </row>
    <row r="644">
      <c r="D644" s="2"/>
      <c r="Q644" s="105"/>
      <c r="R644" s="11"/>
      <c r="S644" s="105"/>
    </row>
    <row r="645">
      <c r="D645" s="2"/>
      <c r="Q645" s="105"/>
      <c r="R645" s="11"/>
      <c r="S645" s="105"/>
    </row>
    <row r="646">
      <c r="D646" s="2"/>
      <c r="Q646" s="105"/>
      <c r="R646" s="11"/>
      <c r="S646" s="105"/>
    </row>
    <row r="647">
      <c r="D647" s="2"/>
      <c r="Q647" s="105"/>
      <c r="R647" s="11"/>
      <c r="S647" s="105"/>
    </row>
    <row r="648">
      <c r="D648" s="2"/>
      <c r="Q648" s="105"/>
      <c r="R648" s="11"/>
      <c r="S648" s="105"/>
    </row>
    <row r="649">
      <c r="D649" s="2"/>
      <c r="Q649" s="105"/>
      <c r="R649" s="11"/>
      <c r="S649" s="105"/>
    </row>
    <row r="650">
      <c r="D650" s="2"/>
      <c r="Q650" s="105"/>
      <c r="R650" s="11"/>
      <c r="S650" s="105"/>
    </row>
    <row r="651">
      <c r="D651" s="2"/>
      <c r="Q651" s="105"/>
      <c r="R651" s="11"/>
      <c r="S651" s="105"/>
    </row>
    <row r="652">
      <c r="D652" s="2"/>
      <c r="Q652" s="105"/>
      <c r="R652" s="11"/>
      <c r="S652" s="105"/>
    </row>
    <row r="653">
      <c r="D653" s="2"/>
      <c r="Q653" s="105"/>
      <c r="R653" s="11"/>
      <c r="S653" s="105"/>
    </row>
    <row r="654">
      <c r="D654" s="2"/>
      <c r="Q654" s="105"/>
      <c r="R654" s="11"/>
      <c r="S654" s="105"/>
    </row>
    <row r="655">
      <c r="D655" s="2"/>
      <c r="Q655" s="105"/>
      <c r="R655" s="11"/>
      <c r="S655" s="105"/>
    </row>
    <row r="656">
      <c r="D656" s="2"/>
      <c r="Q656" s="105"/>
      <c r="R656" s="11"/>
      <c r="S656" s="105"/>
    </row>
    <row r="657">
      <c r="D657" s="2"/>
      <c r="Q657" s="105"/>
      <c r="R657" s="11"/>
      <c r="S657" s="105"/>
    </row>
    <row r="658">
      <c r="D658" s="2"/>
      <c r="Q658" s="105"/>
      <c r="R658" s="11"/>
      <c r="S658" s="105"/>
    </row>
    <row r="659">
      <c r="D659" s="2"/>
      <c r="Q659" s="105"/>
      <c r="R659" s="11"/>
      <c r="S659" s="105"/>
    </row>
    <row r="660">
      <c r="D660" s="2"/>
      <c r="Q660" s="105"/>
      <c r="R660" s="11"/>
      <c r="S660" s="105"/>
    </row>
    <row r="661">
      <c r="D661" s="2"/>
      <c r="Q661" s="105"/>
      <c r="R661" s="11"/>
      <c r="S661" s="105"/>
    </row>
    <row r="662">
      <c r="D662" s="2"/>
      <c r="Q662" s="105"/>
      <c r="R662" s="11"/>
      <c r="S662" s="105"/>
    </row>
    <row r="663">
      <c r="D663" s="2"/>
      <c r="Q663" s="105"/>
      <c r="R663" s="11"/>
      <c r="S663" s="105"/>
    </row>
    <row r="664">
      <c r="D664" s="2"/>
      <c r="Q664" s="105"/>
      <c r="R664" s="11"/>
      <c r="S664" s="105"/>
    </row>
    <row r="665">
      <c r="D665" s="2"/>
      <c r="Q665" s="105"/>
      <c r="R665" s="11"/>
      <c r="S665" s="105"/>
    </row>
    <row r="666">
      <c r="D666" s="2"/>
      <c r="Q666" s="105"/>
      <c r="R666" s="11"/>
      <c r="S666" s="105"/>
    </row>
    <row r="667">
      <c r="D667" s="2"/>
      <c r="Q667" s="105"/>
      <c r="R667" s="11"/>
      <c r="S667" s="105"/>
    </row>
    <row r="668">
      <c r="D668" s="2"/>
      <c r="Q668" s="105"/>
      <c r="R668" s="11"/>
      <c r="S668" s="105"/>
    </row>
    <row r="669">
      <c r="D669" s="2"/>
      <c r="Q669" s="105"/>
      <c r="R669" s="11"/>
      <c r="S669" s="105"/>
    </row>
    <row r="670">
      <c r="D670" s="2"/>
      <c r="Q670" s="105"/>
      <c r="R670" s="11"/>
      <c r="S670" s="105"/>
    </row>
    <row r="671">
      <c r="D671" s="2"/>
      <c r="Q671" s="105"/>
      <c r="R671" s="11"/>
      <c r="S671" s="105"/>
    </row>
    <row r="672">
      <c r="D672" s="2"/>
      <c r="Q672" s="105"/>
      <c r="R672" s="11"/>
      <c r="S672" s="105"/>
    </row>
    <row r="673">
      <c r="D673" s="2"/>
      <c r="Q673" s="105"/>
      <c r="R673" s="11"/>
      <c r="S673" s="105"/>
    </row>
    <row r="674">
      <c r="D674" s="2"/>
      <c r="Q674" s="105"/>
      <c r="R674" s="11"/>
      <c r="S674" s="105"/>
    </row>
    <row r="675">
      <c r="D675" s="2"/>
      <c r="Q675" s="105"/>
      <c r="R675" s="11"/>
      <c r="S675" s="105"/>
    </row>
    <row r="676">
      <c r="D676" s="2"/>
      <c r="Q676" s="105"/>
      <c r="R676" s="11"/>
      <c r="S676" s="105"/>
    </row>
    <row r="677">
      <c r="D677" s="2"/>
      <c r="Q677" s="105"/>
      <c r="R677" s="11"/>
      <c r="S677" s="105"/>
    </row>
    <row r="678">
      <c r="D678" s="2"/>
      <c r="Q678" s="105"/>
      <c r="R678" s="11"/>
      <c r="S678" s="105"/>
    </row>
    <row r="679">
      <c r="D679" s="2"/>
      <c r="Q679" s="105"/>
      <c r="R679" s="11"/>
      <c r="S679" s="105"/>
    </row>
    <row r="680">
      <c r="D680" s="2"/>
      <c r="Q680" s="105"/>
      <c r="R680" s="11"/>
      <c r="S680" s="105"/>
    </row>
    <row r="681">
      <c r="D681" s="2"/>
      <c r="Q681" s="105"/>
      <c r="R681" s="11"/>
      <c r="S681" s="105"/>
    </row>
    <row r="682">
      <c r="D682" s="2"/>
      <c r="Q682" s="105"/>
      <c r="R682" s="11"/>
      <c r="S682" s="105"/>
    </row>
    <row r="683">
      <c r="D683" s="2"/>
      <c r="Q683" s="105"/>
      <c r="R683" s="11"/>
      <c r="S683" s="105"/>
    </row>
    <row r="684">
      <c r="D684" s="2"/>
      <c r="Q684" s="105"/>
      <c r="R684" s="11"/>
      <c r="S684" s="105"/>
    </row>
    <row r="685">
      <c r="D685" s="2"/>
      <c r="Q685" s="105"/>
      <c r="R685" s="11"/>
      <c r="S685" s="105"/>
    </row>
    <row r="686">
      <c r="D686" s="2"/>
      <c r="Q686" s="105"/>
      <c r="R686" s="11"/>
      <c r="S686" s="105"/>
    </row>
    <row r="687">
      <c r="D687" s="2"/>
      <c r="Q687" s="105"/>
      <c r="R687" s="11"/>
      <c r="S687" s="105"/>
    </row>
    <row r="688">
      <c r="D688" s="2"/>
      <c r="Q688" s="105"/>
      <c r="R688" s="11"/>
      <c r="S688" s="105"/>
    </row>
    <row r="689">
      <c r="D689" s="2"/>
      <c r="Q689" s="105"/>
      <c r="R689" s="11"/>
      <c r="S689" s="105"/>
    </row>
    <row r="690">
      <c r="D690" s="2"/>
      <c r="Q690" s="105"/>
      <c r="R690" s="11"/>
      <c r="S690" s="105"/>
    </row>
    <row r="691">
      <c r="D691" s="2"/>
      <c r="Q691" s="105"/>
      <c r="R691" s="11"/>
      <c r="S691" s="105"/>
    </row>
    <row r="692">
      <c r="D692" s="2"/>
      <c r="Q692" s="105"/>
      <c r="R692" s="11"/>
      <c r="S692" s="105"/>
    </row>
    <row r="693">
      <c r="D693" s="2"/>
      <c r="Q693" s="105"/>
      <c r="R693" s="11"/>
      <c r="S693" s="105"/>
    </row>
    <row r="694">
      <c r="D694" s="2"/>
      <c r="Q694" s="105"/>
      <c r="R694" s="11"/>
      <c r="S694" s="105"/>
    </row>
    <row r="695">
      <c r="D695" s="2"/>
      <c r="Q695" s="105"/>
      <c r="R695" s="11"/>
      <c r="S695" s="105"/>
    </row>
    <row r="696">
      <c r="D696" s="2"/>
      <c r="Q696" s="105"/>
      <c r="R696" s="11"/>
      <c r="S696" s="105"/>
    </row>
    <row r="697">
      <c r="D697" s="2"/>
      <c r="Q697" s="105"/>
      <c r="R697" s="11"/>
      <c r="S697" s="105"/>
    </row>
    <row r="698">
      <c r="D698" s="2"/>
      <c r="Q698" s="105"/>
      <c r="R698" s="11"/>
      <c r="S698" s="105"/>
    </row>
    <row r="699">
      <c r="D699" s="2"/>
      <c r="Q699" s="105"/>
      <c r="R699" s="11"/>
      <c r="S699" s="105"/>
    </row>
    <row r="700">
      <c r="D700" s="2"/>
      <c r="Q700" s="105"/>
      <c r="R700" s="11"/>
      <c r="S700" s="105"/>
    </row>
    <row r="701">
      <c r="D701" s="2"/>
      <c r="Q701" s="105"/>
      <c r="R701" s="11"/>
      <c r="S701" s="105"/>
    </row>
    <row r="702">
      <c r="D702" s="2"/>
      <c r="Q702" s="105"/>
      <c r="R702" s="11"/>
      <c r="S702" s="105"/>
    </row>
    <row r="703">
      <c r="D703" s="2"/>
      <c r="Q703" s="105"/>
      <c r="R703" s="11"/>
      <c r="S703" s="105"/>
    </row>
    <row r="704">
      <c r="D704" s="2"/>
      <c r="Q704" s="105"/>
      <c r="R704" s="11"/>
      <c r="S704" s="105"/>
    </row>
    <row r="705">
      <c r="D705" s="2"/>
      <c r="Q705" s="105"/>
      <c r="R705" s="11"/>
      <c r="S705" s="105"/>
    </row>
    <row r="706">
      <c r="D706" s="2"/>
      <c r="Q706" s="105"/>
      <c r="R706" s="11"/>
      <c r="S706" s="105"/>
    </row>
    <row r="707">
      <c r="D707" s="2"/>
      <c r="Q707" s="105"/>
      <c r="R707" s="11"/>
      <c r="S707" s="105"/>
    </row>
    <row r="708">
      <c r="D708" s="2"/>
      <c r="Q708" s="105"/>
      <c r="R708" s="11"/>
      <c r="S708" s="105"/>
    </row>
    <row r="709">
      <c r="D709" s="2"/>
      <c r="Q709" s="105"/>
      <c r="R709" s="11"/>
      <c r="S709" s="105"/>
    </row>
    <row r="710">
      <c r="D710" s="2"/>
      <c r="Q710" s="105"/>
      <c r="R710" s="11"/>
      <c r="S710" s="105"/>
    </row>
    <row r="711">
      <c r="D711" s="2"/>
      <c r="Q711" s="105"/>
      <c r="R711" s="11"/>
      <c r="S711" s="105"/>
    </row>
    <row r="712">
      <c r="D712" s="2"/>
      <c r="Q712" s="105"/>
      <c r="R712" s="11"/>
      <c r="S712" s="105"/>
    </row>
    <row r="713">
      <c r="D713" s="2"/>
      <c r="Q713" s="105"/>
      <c r="R713" s="11"/>
      <c r="S713" s="105"/>
    </row>
    <row r="714">
      <c r="D714" s="2"/>
      <c r="Q714" s="105"/>
      <c r="R714" s="11"/>
      <c r="S714" s="105"/>
    </row>
    <row r="715">
      <c r="D715" s="2"/>
      <c r="Q715" s="105"/>
      <c r="R715" s="11"/>
      <c r="S715" s="105"/>
    </row>
    <row r="716">
      <c r="D716" s="2"/>
      <c r="Q716" s="105"/>
      <c r="R716" s="11"/>
      <c r="S716" s="105"/>
    </row>
    <row r="717">
      <c r="D717" s="2"/>
      <c r="Q717" s="105"/>
      <c r="R717" s="11"/>
      <c r="S717" s="105"/>
    </row>
    <row r="718">
      <c r="D718" s="2"/>
      <c r="Q718" s="105"/>
      <c r="R718" s="11"/>
      <c r="S718" s="105"/>
    </row>
    <row r="719">
      <c r="D719" s="2"/>
      <c r="Q719" s="105"/>
      <c r="R719" s="11"/>
      <c r="S719" s="105"/>
    </row>
    <row r="720">
      <c r="D720" s="2"/>
      <c r="Q720" s="105"/>
      <c r="R720" s="11"/>
      <c r="S720" s="105"/>
    </row>
    <row r="721">
      <c r="D721" s="2"/>
      <c r="Q721" s="105"/>
      <c r="R721" s="11"/>
      <c r="S721" s="105"/>
    </row>
    <row r="722">
      <c r="D722" s="2"/>
      <c r="Q722" s="105"/>
      <c r="R722" s="11"/>
      <c r="S722" s="105"/>
    </row>
    <row r="723">
      <c r="D723" s="2"/>
      <c r="Q723" s="105"/>
      <c r="R723" s="11"/>
      <c r="S723" s="105"/>
    </row>
    <row r="724">
      <c r="D724" s="2"/>
      <c r="Q724" s="105"/>
      <c r="R724" s="11"/>
      <c r="S724" s="105"/>
    </row>
    <row r="725">
      <c r="D725" s="2"/>
      <c r="Q725" s="105"/>
      <c r="R725" s="11"/>
      <c r="S725" s="105"/>
    </row>
    <row r="726">
      <c r="D726" s="2"/>
      <c r="Q726" s="105"/>
      <c r="R726" s="11"/>
      <c r="S726" s="105"/>
    </row>
    <row r="727">
      <c r="D727" s="2"/>
      <c r="Q727" s="105"/>
      <c r="R727" s="11"/>
      <c r="S727" s="105"/>
    </row>
    <row r="728">
      <c r="D728" s="2"/>
      <c r="Q728" s="105"/>
      <c r="R728" s="11"/>
      <c r="S728" s="105"/>
    </row>
    <row r="729">
      <c r="D729" s="2"/>
      <c r="Q729" s="105"/>
      <c r="R729" s="11"/>
      <c r="S729" s="105"/>
    </row>
    <row r="730">
      <c r="D730" s="2"/>
      <c r="Q730" s="105"/>
      <c r="R730" s="11"/>
      <c r="S730" s="105"/>
    </row>
    <row r="731">
      <c r="D731" s="2"/>
      <c r="Q731" s="105"/>
      <c r="R731" s="11"/>
      <c r="S731" s="105"/>
    </row>
    <row r="732">
      <c r="D732" s="2"/>
      <c r="Q732" s="105"/>
      <c r="R732" s="11"/>
      <c r="S732" s="105"/>
    </row>
    <row r="733">
      <c r="D733" s="2"/>
      <c r="Q733" s="105"/>
      <c r="R733" s="11"/>
      <c r="S733" s="105"/>
    </row>
    <row r="734">
      <c r="D734" s="2"/>
      <c r="Q734" s="105"/>
      <c r="R734" s="11"/>
      <c r="S734" s="105"/>
    </row>
    <row r="735">
      <c r="D735" s="2"/>
      <c r="Q735" s="105"/>
      <c r="R735" s="11"/>
      <c r="S735" s="105"/>
    </row>
    <row r="736">
      <c r="D736" s="2"/>
      <c r="Q736" s="105"/>
      <c r="R736" s="11"/>
      <c r="S736" s="105"/>
    </row>
    <row r="737">
      <c r="D737" s="2"/>
      <c r="Q737" s="105"/>
      <c r="R737" s="11"/>
      <c r="S737" s="105"/>
    </row>
    <row r="738">
      <c r="D738" s="2"/>
      <c r="Q738" s="105"/>
      <c r="R738" s="11"/>
      <c r="S738" s="105"/>
    </row>
    <row r="739">
      <c r="D739" s="2"/>
      <c r="Q739" s="105"/>
      <c r="R739" s="11"/>
      <c r="S739" s="105"/>
    </row>
    <row r="740">
      <c r="D740" s="2"/>
      <c r="Q740" s="105"/>
      <c r="R740" s="11"/>
      <c r="S740" s="105"/>
    </row>
    <row r="741">
      <c r="D741" s="2"/>
      <c r="Q741" s="105"/>
      <c r="R741" s="11"/>
      <c r="S741" s="105"/>
    </row>
    <row r="742">
      <c r="D742" s="2"/>
      <c r="Q742" s="105"/>
      <c r="R742" s="11"/>
      <c r="S742" s="105"/>
    </row>
    <row r="743">
      <c r="D743" s="2"/>
      <c r="Q743" s="105"/>
      <c r="R743" s="11"/>
      <c r="S743" s="105"/>
    </row>
    <row r="744">
      <c r="D744" s="2"/>
      <c r="Q744" s="105"/>
      <c r="R744" s="11"/>
      <c r="S744" s="105"/>
    </row>
    <row r="745">
      <c r="D745" s="2"/>
      <c r="Q745" s="105"/>
      <c r="R745" s="11"/>
      <c r="S745" s="105"/>
    </row>
    <row r="746">
      <c r="D746" s="2"/>
      <c r="Q746" s="105"/>
      <c r="R746" s="11"/>
      <c r="S746" s="105"/>
    </row>
    <row r="747">
      <c r="D747" s="2"/>
      <c r="Q747" s="105"/>
      <c r="R747" s="11"/>
      <c r="S747" s="105"/>
    </row>
    <row r="748">
      <c r="D748" s="2"/>
      <c r="Q748" s="105"/>
      <c r="R748" s="11"/>
      <c r="S748" s="105"/>
    </row>
    <row r="749">
      <c r="D749" s="2"/>
      <c r="Q749" s="105"/>
      <c r="R749" s="11"/>
      <c r="S749" s="105"/>
    </row>
    <row r="750">
      <c r="D750" s="2"/>
      <c r="Q750" s="105"/>
      <c r="R750" s="11"/>
      <c r="S750" s="105"/>
    </row>
    <row r="751">
      <c r="D751" s="2"/>
      <c r="Q751" s="105"/>
      <c r="R751" s="11"/>
      <c r="S751" s="105"/>
    </row>
    <row r="752">
      <c r="D752" s="2"/>
      <c r="Q752" s="105"/>
      <c r="R752" s="11"/>
      <c r="S752" s="105"/>
    </row>
    <row r="753">
      <c r="D753" s="2"/>
      <c r="Q753" s="105"/>
      <c r="R753" s="11"/>
      <c r="S753" s="105"/>
    </row>
    <row r="754">
      <c r="D754" s="2"/>
      <c r="Q754" s="105"/>
      <c r="R754" s="11"/>
      <c r="S754" s="105"/>
    </row>
    <row r="755">
      <c r="D755" s="2"/>
      <c r="Q755" s="105"/>
      <c r="R755" s="11"/>
      <c r="S755" s="105"/>
    </row>
    <row r="756">
      <c r="D756" s="2"/>
      <c r="Q756" s="105"/>
      <c r="R756" s="11"/>
      <c r="S756" s="105"/>
    </row>
    <row r="757">
      <c r="D757" s="2"/>
      <c r="Q757" s="105"/>
      <c r="R757" s="11"/>
      <c r="S757" s="105"/>
    </row>
    <row r="758">
      <c r="D758" s="2"/>
      <c r="Q758" s="105"/>
      <c r="R758" s="11"/>
      <c r="S758" s="105"/>
    </row>
    <row r="759">
      <c r="D759" s="2"/>
      <c r="Q759" s="105"/>
      <c r="R759" s="11"/>
      <c r="S759" s="105"/>
    </row>
    <row r="760">
      <c r="D760" s="2"/>
      <c r="Q760" s="105"/>
      <c r="R760" s="11"/>
      <c r="S760" s="105"/>
    </row>
    <row r="761">
      <c r="D761" s="2"/>
      <c r="Q761" s="105"/>
      <c r="R761" s="11"/>
      <c r="S761" s="105"/>
    </row>
    <row r="762">
      <c r="D762" s="2"/>
      <c r="Q762" s="105"/>
      <c r="R762" s="11"/>
      <c r="S762" s="105"/>
    </row>
    <row r="763">
      <c r="D763" s="2"/>
      <c r="Q763" s="105"/>
      <c r="R763" s="11"/>
      <c r="S763" s="105"/>
    </row>
    <row r="764">
      <c r="D764" s="2"/>
      <c r="Q764" s="105"/>
      <c r="R764" s="11"/>
      <c r="S764" s="105"/>
    </row>
    <row r="765">
      <c r="D765" s="2"/>
      <c r="Q765" s="105"/>
      <c r="R765" s="11"/>
      <c r="S765" s="105"/>
    </row>
    <row r="766">
      <c r="D766" s="2"/>
      <c r="Q766" s="105"/>
      <c r="R766" s="11"/>
      <c r="S766" s="105"/>
    </row>
    <row r="767">
      <c r="D767" s="2"/>
      <c r="Q767" s="105"/>
      <c r="R767" s="11"/>
      <c r="S767" s="105"/>
    </row>
    <row r="768">
      <c r="D768" s="2"/>
      <c r="Q768" s="105"/>
      <c r="R768" s="11"/>
      <c r="S768" s="105"/>
    </row>
    <row r="769">
      <c r="D769" s="2"/>
      <c r="Q769" s="105"/>
      <c r="R769" s="11"/>
      <c r="S769" s="105"/>
    </row>
    <row r="770">
      <c r="D770" s="2"/>
      <c r="Q770" s="105"/>
      <c r="R770" s="11"/>
      <c r="S770" s="105"/>
    </row>
    <row r="771">
      <c r="D771" s="2"/>
      <c r="Q771" s="105"/>
      <c r="R771" s="11"/>
      <c r="S771" s="105"/>
    </row>
    <row r="772">
      <c r="D772" s="2"/>
      <c r="Q772" s="105"/>
      <c r="R772" s="11"/>
      <c r="S772" s="105"/>
    </row>
    <row r="773">
      <c r="D773" s="2"/>
      <c r="Q773" s="105"/>
      <c r="R773" s="11"/>
      <c r="S773" s="105"/>
    </row>
    <row r="774">
      <c r="D774" s="2"/>
      <c r="Q774" s="105"/>
      <c r="R774" s="11"/>
      <c r="S774" s="105"/>
    </row>
    <row r="775">
      <c r="D775" s="2"/>
      <c r="Q775" s="105"/>
      <c r="R775" s="11"/>
      <c r="S775" s="105"/>
    </row>
    <row r="776">
      <c r="D776" s="2"/>
      <c r="Q776" s="105"/>
      <c r="R776" s="11"/>
      <c r="S776" s="105"/>
    </row>
    <row r="777">
      <c r="D777" s="2"/>
      <c r="Q777" s="105"/>
      <c r="R777" s="11"/>
      <c r="S777" s="105"/>
    </row>
    <row r="778">
      <c r="D778" s="2"/>
      <c r="Q778" s="105"/>
      <c r="R778" s="11"/>
      <c r="S778" s="105"/>
    </row>
    <row r="779">
      <c r="D779" s="2"/>
      <c r="Q779" s="105"/>
      <c r="R779" s="11"/>
      <c r="S779" s="105"/>
    </row>
    <row r="780">
      <c r="D780" s="2"/>
      <c r="Q780" s="105"/>
      <c r="R780" s="11"/>
      <c r="S780" s="105"/>
    </row>
    <row r="781">
      <c r="D781" s="2"/>
      <c r="Q781" s="105"/>
      <c r="R781" s="11"/>
      <c r="S781" s="105"/>
    </row>
    <row r="782">
      <c r="D782" s="2"/>
      <c r="Q782" s="105"/>
      <c r="R782" s="11"/>
      <c r="S782" s="105"/>
    </row>
    <row r="783">
      <c r="D783" s="2"/>
      <c r="Q783" s="105"/>
      <c r="R783" s="11"/>
      <c r="S783" s="105"/>
    </row>
    <row r="784">
      <c r="D784" s="2"/>
      <c r="Q784" s="105"/>
      <c r="R784" s="11"/>
      <c r="S784" s="105"/>
    </row>
    <row r="785">
      <c r="D785" s="2"/>
      <c r="Q785" s="105"/>
      <c r="R785" s="11"/>
      <c r="S785" s="105"/>
    </row>
    <row r="786">
      <c r="D786" s="2"/>
      <c r="Q786" s="105"/>
      <c r="R786" s="11"/>
      <c r="S786" s="105"/>
    </row>
    <row r="787">
      <c r="D787" s="2"/>
      <c r="Q787" s="105"/>
      <c r="R787" s="11"/>
      <c r="S787" s="105"/>
    </row>
    <row r="788">
      <c r="D788" s="2"/>
      <c r="Q788" s="105"/>
      <c r="R788" s="11"/>
      <c r="S788" s="105"/>
    </row>
    <row r="789">
      <c r="D789" s="2"/>
      <c r="Q789" s="105"/>
      <c r="R789" s="11"/>
      <c r="S789" s="105"/>
    </row>
    <row r="790">
      <c r="D790" s="2"/>
      <c r="Q790" s="105"/>
      <c r="R790" s="11"/>
      <c r="S790" s="105"/>
    </row>
    <row r="791">
      <c r="D791" s="2"/>
      <c r="Q791" s="105"/>
      <c r="R791" s="11"/>
      <c r="S791" s="105"/>
    </row>
    <row r="792">
      <c r="D792" s="2"/>
      <c r="Q792" s="105"/>
      <c r="R792" s="11"/>
      <c r="S792" s="105"/>
    </row>
    <row r="793">
      <c r="D793" s="2"/>
      <c r="Q793" s="105"/>
      <c r="R793" s="11"/>
      <c r="S793" s="105"/>
    </row>
    <row r="794">
      <c r="D794" s="2"/>
      <c r="Q794" s="105"/>
      <c r="R794" s="11"/>
      <c r="S794" s="105"/>
    </row>
    <row r="795">
      <c r="D795" s="2"/>
      <c r="Q795" s="105"/>
      <c r="R795" s="11"/>
      <c r="S795" s="105"/>
    </row>
    <row r="796">
      <c r="D796" s="2"/>
      <c r="Q796" s="105"/>
      <c r="R796" s="11"/>
      <c r="S796" s="105"/>
    </row>
    <row r="797">
      <c r="D797" s="2"/>
      <c r="Q797" s="105"/>
      <c r="R797" s="11"/>
      <c r="S797" s="105"/>
    </row>
    <row r="798">
      <c r="D798" s="2"/>
      <c r="Q798" s="105"/>
      <c r="R798" s="11"/>
      <c r="S798" s="105"/>
    </row>
    <row r="799">
      <c r="D799" s="2"/>
      <c r="Q799" s="105"/>
      <c r="R799" s="11"/>
      <c r="S799" s="105"/>
    </row>
    <row r="800">
      <c r="D800" s="2"/>
      <c r="Q800" s="105"/>
      <c r="R800" s="11"/>
      <c r="S800" s="105"/>
    </row>
    <row r="801">
      <c r="D801" s="2"/>
      <c r="Q801" s="105"/>
      <c r="R801" s="11"/>
      <c r="S801" s="105"/>
    </row>
    <row r="802">
      <c r="D802" s="2"/>
      <c r="Q802" s="105"/>
      <c r="R802" s="11"/>
      <c r="S802" s="105"/>
    </row>
    <row r="803">
      <c r="D803" s="2"/>
      <c r="Q803" s="105"/>
      <c r="R803" s="11"/>
      <c r="S803" s="105"/>
    </row>
    <row r="804">
      <c r="D804" s="2"/>
      <c r="Q804" s="105"/>
      <c r="R804" s="11"/>
      <c r="S804" s="105"/>
    </row>
    <row r="805">
      <c r="D805" s="2"/>
      <c r="Q805" s="105"/>
      <c r="R805" s="11"/>
      <c r="S805" s="105"/>
    </row>
    <row r="806">
      <c r="D806" s="2"/>
      <c r="Q806" s="105"/>
      <c r="R806" s="11"/>
      <c r="S806" s="105"/>
    </row>
    <row r="807">
      <c r="D807" s="2"/>
      <c r="Q807" s="105"/>
      <c r="R807" s="11"/>
      <c r="S807" s="105"/>
    </row>
    <row r="808">
      <c r="D808" s="2"/>
      <c r="Q808" s="105"/>
      <c r="R808" s="11"/>
      <c r="S808" s="105"/>
    </row>
    <row r="809">
      <c r="D809" s="2"/>
      <c r="Q809" s="105"/>
      <c r="R809" s="11"/>
      <c r="S809" s="105"/>
    </row>
    <row r="810">
      <c r="D810" s="2"/>
      <c r="Q810" s="105"/>
      <c r="R810" s="11"/>
      <c r="S810" s="105"/>
    </row>
    <row r="811">
      <c r="D811" s="2"/>
      <c r="Q811" s="105"/>
      <c r="R811" s="11"/>
      <c r="S811" s="105"/>
    </row>
    <row r="812">
      <c r="D812" s="2"/>
      <c r="Q812" s="105"/>
      <c r="R812" s="11"/>
      <c r="S812" s="105"/>
    </row>
    <row r="813">
      <c r="D813" s="2"/>
      <c r="Q813" s="105"/>
      <c r="R813" s="11"/>
      <c r="S813" s="105"/>
    </row>
    <row r="814">
      <c r="D814" s="2"/>
      <c r="Q814" s="105"/>
      <c r="R814" s="11"/>
      <c r="S814" s="105"/>
    </row>
    <row r="815">
      <c r="D815" s="2"/>
      <c r="Q815" s="105"/>
      <c r="R815" s="11"/>
      <c r="S815" s="105"/>
    </row>
    <row r="816">
      <c r="D816" s="2"/>
      <c r="Q816" s="105"/>
      <c r="R816" s="11"/>
      <c r="S816" s="105"/>
    </row>
    <row r="817">
      <c r="D817" s="2"/>
      <c r="Q817" s="105"/>
      <c r="R817" s="11"/>
      <c r="S817" s="105"/>
    </row>
    <row r="818">
      <c r="D818" s="2"/>
      <c r="Q818" s="105"/>
      <c r="R818" s="11"/>
      <c r="S818" s="105"/>
    </row>
    <row r="819">
      <c r="D819" s="2"/>
      <c r="Q819" s="105"/>
      <c r="R819" s="11"/>
      <c r="S819" s="105"/>
    </row>
    <row r="820">
      <c r="D820" s="2"/>
      <c r="Q820" s="105"/>
      <c r="R820" s="11"/>
      <c r="S820" s="105"/>
    </row>
    <row r="821">
      <c r="D821" s="2"/>
      <c r="Q821" s="105"/>
      <c r="R821" s="11"/>
      <c r="S821" s="105"/>
    </row>
    <row r="822">
      <c r="D822" s="2"/>
      <c r="Q822" s="105"/>
      <c r="R822" s="11"/>
      <c r="S822" s="105"/>
    </row>
    <row r="823">
      <c r="D823" s="2"/>
      <c r="Q823" s="105"/>
      <c r="R823" s="11"/>
      <c r="S823" s="105"/>
    </row>
    <row r="824">
      <c r="D824" s="2"/>
      <c r="Q824" s="105"/>
      <c r="R824" s="11"/>
      <c r="S824" s="105"/>
    </row>
    <row r="825">
      <c r="D825" s="2"/>
      <c r="Q825" s="105"/>
      <c r="R825" s="11"/>
      <c r="S825" s="105"/>
    </row>
    <row r="826">
      <c r="D826" s="2"/>
      <c r="Q826" s="105"/>
      <c r="R826" s="11"/>
      <c r="S826" s="105"/>
    </row>
    <row r="827">
      <c r="D827" s="2"/>
      <c r="Q827" s="105"/>
      <c r="R827" s="11"/>
      <c r="S827" s="105"/>
    </row>
    <row r="828">
      <c r="D828" s="2"/>
      <c r="Q828" s="105"/>
      <c r="R828" s="11"/>
      <c r="S828" s="105"/>
    </row>
    <row r="829">
      <c r="D829" s="2"/>
      <c r="Q829" s="105"/>
      <c r="R829" s="11"/>
      <c r="S829" s="105"/>
    </row>
    <row r="830">
      <c r="D830" s="2"/>
      <c r="Q830" s="105"/>
      <c r="R830" s="11"/>
      <c r="S830" s="105"/>
    </row>
    <row r="831">
      <c r="D831" s="2"/>
      <c r="Q831" s="105"/>
      <c r="R831" s="11"/>
      <c r="S831" s="105"/>
    </row>
    <row r="832">
      <c r="D832" s="2"/>
      <c r="Q832" s="105"/>
      <c r="R832" s="11"/>
      <c r="S832" s="105"/>
    </row>
    <row r="833">
      <c r="D833" s="2"/>
      <c r="Q833" s="105"/>
      <c r="R833" s="11"/>
      <c r="S833" s="105"/>
    </row>
    <row r="834">
      <c r="D834" s="2"/>
      <c r="Q834" s="105"/>
      <c r="R834" s="11"/>
      <c r="S834" s="105"/>
    </row>
    <row r="835">
      <c r="D835" s="2"/>
      <c r="Q835" s="105"/>
      <c r="R835" s="11"/>
      <c r="S835" s="105"/>
    </row>
    <row r="836">
      <c r="D836" s="2"/>
      <c r="Q836" s="105"/>
      <c r="R836" s="11"/>
      <c r="S836" s="105"/>
    </row>
    <row r="837">
      <c r="D837" s="2"/>
      <c r="Q837" s="105"/>
      <c r="R837" s="11"/>
      <c r="S837" s="105"/>
    </row>
    <row r="838">
      <c r="D838" s="2"/>
      <c r="Q838" s="105"/>
      <c r="R838" s="11"/>
      <c r="S838" s="105"/>
    </row>
    <row r="839">
      <c r="D839" s="2"/>
      <c r="Q839" s="105"/>
      <c r="R839" s="11"/>
      <c r="S839" s="105"/>
    </row>
    <row r="840">
      <c r="D840" s="2"/>
      <c r="Q840" s="105"/>
      <c r="R840" s="11"/>
      <c r="S840" s="105"/>
    </row>
    <row r="841">
      <c r="D841" s="2"/>
      <c r="Q841" s="105"/>
      <c r="R841" s="11"/>
      <c r="S841" s="105"/>
    </row>
    <row r="842">
      <c r="D842" s="2"/>
      <c r="Q842" s="105"/>
      <c r="R842" s="11"/>
      <c r="S842" s="105"/>
    </row>
    <row r="843">
      <c r="D843" s="2"/>
      <c r="Q843" s="105"/>
      <c r="R843" s="11"/>
      <c r="S843" s="105"/>
    </row>
    <row r="844">
      <c r="D844" s="2"/>
      <c r="Q844" s="105"/>
      <c r="R844" s="11"/>
      <c r="S844" s="105"/>
    </row>
    <row r="845">
      <c r="D845" s="2"/>
      <c r="Q845" s="105"/>
      <c r="R845" s="11"/>
      <c r="S845" s="105"/>
    </row>
    <row r="846">
      <c r="D846" s="2"/>
      <c r="Q846" s="105"/>
      <c r="R846" s="11"/>
      <c r="S846" s="105"/>
    </row>
    <row r="847">
      <c r="D847" s="2"/>
      <c r="Q847" s="105"/>
      <c r="R847" s="11"/>
      <c r="S847" s="105"/>
    </row>
    <row r="848">
      <c r="D848" s="2"/>
      <c r="Q848" s="105"/>
      <c r="R848" s="11"/>
      <c r="S848" s="105"/>
    </row>
    <row r="849">
      <c r="D849" s="2"/>
      <c r="Q849" s="105"/>
      <c r="R849" s="11"/>
      <c r="S849" s="105"/>
    </row>
    <row r="850">
      <c r="D850" s="2"/>
      <c r="Q850" s="105"/>
      <c r="R850" s="11"/>
      <c r="S850" s="105"/>
    </row>
    <row r="851">
      <c r="D851" s="2"/>
      <c r="Q851" s="105"/>
      <c r="R851" s="11"/>
      <c r="S851" s="105"/>
    </row>
    <row r="852">
      <c r="D852" s="2"/>
      <c r="Q852" s="105"/>
      <c r="R852" s="11"/>
      <c r="S852" s="105"/>
    </row>
    <row r="853">
      <c r="D853" s="2"/>
      <c r="Q853" s="105"/>
      <c r="R853" s="11"/>
      <c r="S853" s="105"/>
    </row>
    <row r="854">
      <c r="D854" s="2"/>
      <c r="Q854" s="105"/>
      <c r="R854" s="11"/>
      <c r="S854" s="105"/>
    </row>
    <row r="855">
      <c r="D855" s="2"/>
      <c r="Q855" s="105"/>
      <c r="R855" s="11"/>
      <c r="S855" s="105"/>
    </row>
    <row r="856">
      <c r="D856" s="2"/>
      <c r="Q856" s="105"/>
      <c r="R856" s="11"/>
      <c r="S856" s="105"/>
    </row>
    <row r="857">
      <c r="D857" s="2"/>
      <c r="Q857" s="105"/>
      <c r="R857" s="11"/>
      <c r="S857" s="105"/>
    </row>
    <row r="858">
      <c r="D858" s="2"/>
      <c r="Q858" s="105"/>
      <c r="R858" s="11"/>
      <c r="S858" s="105"/>
    </row>
    <row r="859">
      <c r="D859" s="2"/>
      <c r="Q859" s="105"/>
      <c r="R859" s="11"/>
      <c r="S859" s="105"/>
    </row>
    <row r="860">
      <c r="D860" s="2"/>
      <c r="Q860" s="105"/>
      <c r="R860" s="11"/>
      <c r="S860" s="105"/>
    </row>
    <row r="861">
      <c r="D861" s="2"/>
      <c r="Q861" s="105"/>
      <c r="R861" s="11"/>
      <c r="S861" s="105"/>
    </row>
    <row r="862">
      <c r="D862" s="2"/>
      <c r="Q862" s="105"/>
      <c r="R862" s="11"/>
      <c r="S862" s="105"/>
    </row>
    <row r="863">
      <c r="D863" s="2"/>
      <c r="Q863" s="105"/>
      <c r="R863" s="11"/>
      <c r="S863" s="105"/>
    </row>
    <row r="864">
      <c r="D864" s="2"/>
      <c r="Q864" s="105"/>
      <c r="R864" s="11"/>
      <c r="S864" s="105"/>
    </row>
    <row r="865">
      <c r="D865" s="2"/>
      <c r="Q865" s="105"/>
      <c r="R865" s="11"/>
      <c r="S865" s="105"/>
    </row>
    <row r="866">
      <c r="D866" s="2"/>
      <c r="Q866" s="105"/>
      <c r="R866" s="11"/>
      <c r="S866" s="105"/>
    </row>
    <row r="867">
      <c r="D867" s="2"/>
      <c r="Q867" s="105"/>
      <c r="R867" s="11"/>
      <c r="S867" s="105"/>
    </row>
    <row r="868">
      <c r="D868" s="2"/>
      <c r="Q868" s="105"/>
      <c r="R868" s="11"/>
      <c r="S868" s="105"/>
    </row>
    <row r="869">
      <c r="D869" s="2"/>
      <c r="Q869" s="105"/>
      <c r="R869" s="11"/>
      <c r="S869" s="105"/>
    </row>
    <row r="870">
      <c r="D870" s="2"/>
      <c r="Q870" s="105"/>
      <c r="R870" s="11"/>
      <c r="S870" s="105"/>
    </row>
    <row r="871">
      <c r="D871" s="2"/>
      <c r="Q871" s="105"/>
      <c r="R871" s="11"/>
      <c r="S871" s="105"/>
    </row>
    <row r="872">
      <c r="D872" s="2"/>
      <c r="Q872" s="105"/>
      <c r="R872" s="11"/>
      <c r="S872" s="105"/>
    </row>
    <row r="873">
      <c r="D873" s="2"/>
      <c r="Q873" s="105"/>
      <c r="R873" s="11"/>
      <c r="S873" s="105"/>
    </row>
    <row r="874">
      <c r="D874" s="2"/>
      <c r="Q874" s="105"/>
      <c r="R874" s="11"/>
      <c r="S874" s="105"/>
    </row>
    <row r="875">
      <c r="D875" s="2"/>
      <c r="Q875" s="105"/>
      <c r="R875" s="11"/>
      <c r="S875" s="105"/>
    </row>
    <row r="876">
      <c r="D876" s="2"/>
      <c r="Q876" s="105"/>
      <c r="R876" s="11"/>
      <c r="S876" s="105"/>
    </row>
    <row r="877">
      <c r="D877" s="2"/>
      <c r="Q877" s="105"/>
      <c r="R877" s="11"/>
      <c r="S877" s="105"/>
    </row>
    <row r="878">
      <c r="D878" s="2"/>
      <c r="Q878" s="105"/>
      <c r="R878" s="11"/>
      <c r="S878" s="105"/>
    </row>
    <row r="879">
      <c r="D879" s="2"/>
      <c r="Q879" s="105"/>
      <c r="R879" s="11"/>
      <c r="S879" s="105"/>
    </row>
    <row r="880">
      <c r="D880" s="2"/>
      <c r="Q880" s="105"/>
      <c r="R880" s="11"/>
      <c r="S880" s="105"/>
    </row>
    <row r="881">
      <c r="D881" s="2"/>
      <c r="Q881" s="105"/>
      <c r="R881" s="11"/>
      <c r="S881" s="105"/>
    </row>
    <row r="882">
      <c r="D882" s="2"/>
      <c r="Q882" s="105"/>
      <c r="R882" s="11"/>
      <c r="S882" s="105"/>
    </row>
    <row r="883">
      <c r="D883" s="2"/>
      <c r="Q883" s="105"/>
      <c r="R883" s="11"/>
      <c r="S883" s="105"/>
    </row>
    <row r="884">
      <c r="D884" s="2"/>
      <c r="Q884" s="105"/>
      <c r="R884" s="11"/>
      <c r="S884" s="105"/>
    </row>
    <row r="885">
      <c r="D885" s="2"/>
      <c r="Q885" s="105"/>
      <c r="R885" s="11"/>
      <c r="S885" s="105"/>
    </row>
    <row r="886">
      <c r="D886" s="2"/>
      <c r="Q886" s="105"/>
      <c r="R886" s="11"/>
      <c r="S886" s="105"/>
    </row>
    <row r="887">
      <c r="D887" s="2"/>
      <c r="Q887" s="105"/>
      <c r="R887" s="11"/>
      <c r="S887" s="105"/>
    </row>
    <row r="888">
      <c r="D888" s="2"/>
      <c r="Q888" s="105"/>
      <c r="R888" s="11"/>
      <c r="S888" s="105"/>
    </row>
    <row r="889">
      <c r="D889" s="2"/>
      <c r="Q889" s="105"/>
      <c r="R889" s="11"/>
      <c r="S889" s="105"/>
    </row>
    <row r="890">
      <c r="D890" s="2"/>
      <c r="Q890" s="105"/>
      <c r="R890" s="11"/>
      <c r="S890" s="105"/>
    </row>
    <row r="891">
      <c r="D891" s="2"/>
      <c r="Q891" s="105"/>
      <c r="R891" s="11"/>
      <c r="S891" s="105"/>
    </row>
    <row r="892">
      <c r="D892" s="2"/>
      <c r="Q892" s="105"/>
      <c r="R892" s="11"/>
      <c r="S892" s="105"/>
    </row>
    <row r="893">
      <c r="D893" s="2"/>
      <c r="Q893" s="105"/>
      <c r="R893" s="11"/>
      <c r="S893" s="105"/>
    </row>
    <row r="894">
      <c r="D894" s="2"/>
      <c r="Q894" s="105"/>
      <c r="R894" s="11"/>
      <c r="S894" s="105"/>
    </row>
    <row r="895">
      <c r="D895" s="2"/>
      <c r="Q895" s="105"/>
      <c r="R895" s="11"/>
      <c r="S895" s="105"/>
    </row>
    <row r="896">
      <c r="D896" s="2"/>
      <c r="Q896" s="105"/>
      <c r="R896" s="11"/>
      <c r="S896" s="105"/>
    </row>
    <row r="897">
      <c r="D897" s="2"/>
      <c r="Q897" s="105"/>
      <c r="R897" s="11"/>
      <c r="S897" s="105"/>
    </row>
    <row r="898">
      <c r="D898" s="2"/>
      <c r="Q898" s="105"/>
      <c r="R898" s="11"/>
      <c r="S898" s="105"/>
    </row>
    <row r="899">
      <c r="D899" s="2"/>
      <c r="Q899" s="105"/>
      <c r="R899" s="11"/>
      <c r="S899" s="105"/>
    </row>
    <row r="900">
      <c r="D900" s="2"/>
      <c r="Q900" s="105"/>
      <c r="R900" s="11"/>
      <c r="S900" s="105"/>
    </row>
    <row r="901">
      <c r="D901" s="2"/>
      <c r="Q901" s="105"/>
      <c r="R901" s="11"/>
      <c r="S901" s="105"/>
    </row>
    <row r="902">
      <c r="D902" s="2"/>
      <c r="Q902" s="105"/>
      <c r="R902" s="11"/>
      <c r="S902" s="105"/>
    </row>
    <row r="903">
      <c r="D903" s="2"/>
      <c r="Q903" s="105"/>
      <c r="R903" s="11"/>
      <c r="S903" s="105"/>
    </row>
    <row r="904">
      <c r="D904" s="2"/>
      <c r="Q904" s="105"/>
      <c r="R904" s="11"/>
      <c r="S904" s="105"/>
    </row>
    <row r="905">
      <c r="D905" s="2"/>
      <c r="Q905" s="105"/>
      <c r="R905" s="11"/>
      <c r="S905" s="105"/>
    </row>
    <row r="906">
      <c r="D906" s="2"/>
      <c r="Q906" s="105"/>
      <c r="R906" s="11"/>
      <c r="S906" s="105"/>
    </row>
    <row r="907">
      <c r="D907" s="2"/>
      <c r="Q907" s="105"/>
      <c r="R907" s="11"/>
      <c r="S907" s="105"/>
    </row>
    <row r="908">
      <c r="D908" s="2"/>
      <c r="Q908" s="105"/>
      <c r="R908" s="11"/>
      <c r="S908" s="105"/>
    </row>
    <row r="909">
      <c r="D909" s="2"/>
      <c r="Q909" s="105"/>
      <c r="R909" s="11"/>
      <c r="S909" s="105"/>
    </row>
    <row r="910">
      <c r="D910" s="2"/>
      <c r="Q910" s="105"/>
      <c r="R910" s="11"/>
      <c r="S910" s="105"/>
    </row>
    <row r="911">
      <c r="D911" s="2"/>
      <c r="Q911" s="105"/>
      <c r="R911" s="11"/>
      <c r="S911" s="105"/>
    </row>
    <row r="912">
      <c r="D912" s="2"/>
      <c r="Q912" s="105"/>
      <c r="R912" s="11"/>
      <c r="S912" s="105"/>
    </row>
    <row r="913">
      <c r="D913" s="2"/>
      <c r="Q913" s="105"/>
      <c r="R913" s="11"/>
      <c r="S913" s="105"/>
    </row>
    <row r="914">
      <c r="D914" s="2"/>
      <c r="Q914" s="105"/>
      <c r="R914" s="11"/>
      <c r="S914" s="105"/>
    </row>
    <row r="915">
      <c r="D915" s="2"/>
      <c r="Q915" s="105"/>
      <c r="R915" s="11"/>
      <c r="S915" s="105"/>
    </row>
    <row r="916">
      <c r="D916" s="2"/>
      <c r="Q916" s="105"/>
      <c r="R916" s="11"/>
      <c r="S916" s="105"/>
    </row>
    <row r="917">
      <c r="D917" s="2"/>
      <c r="Q917" s="105"/>
      <c r="R917" s="11"/>
      <c r="S917" s="105"/>
    </row>
    <row r="918">
      <c r="D918" s="2"/>
      <c r="Q918" s="105"/>
      <c r="R918" s="11"/>
      <c r="S918" s="105"/>
    </row>
    <row r="919">
      <c r="D919" s="2"/>
      <c r="Q919" s="105"/>
      <c r="R919" s="11"/>
      <c r="S919" s="105"/>
    </row>
    <row r="920">
      <c r="D920" s="2"/>
      <c r="Q920" s="105"/>
      <c r="R920" s="11"/>
      <c r="S920" s="105"/>
    </row>
    <row r="921">
      <c r="D921" s="2"/>
      <c r="Q921" s="105"/>
      <c r="R921" s="11"/>
      <c r="S921" s="105"/>
    </row>
    <row r="922">
      <c r="D922" s="2"/>
      <c r="Q922" s="105"/>
      <c r="R922" s="11"/>
      <c r="S922" s="105"/>
    </row>
    <row r="923">
      <c r="D923" s="2"/>
      <c r="Q923" s="105"/>
      <c r="R923" s="11"/>
      <c r="S923" s="105"/>
    </row>
    <row r="924">
      <c r="D924" s="2"/>
      <c r="Q924" s="105"/>
      <c r="R924" s="11"/>
      <c r="S924" s="105"/>
    </row>
    <row r="925">
      <c r="D925" s="2"/>
      <c r="Q925" s="105"/>
      <c r="R925" s="11"/>
      <c r="S925" s="105"/>
    </row>
    <row r="926">
      <c r="D926" s="2"/>
      <c r="Q926" s="105"/>
      <c r="R926" s="11"/>
      <c r="S926" s="105"/>
    </row>
    <row r="927">
      <c r="D927" s="2"/>
      <c r="Q927" s="105"/>
      <c r="R927" s="11"/>
      <c r="S927" s="105"/>
    </row>
    <row r="928">
      <c r="D928" s="2"/>
      <c r="Q928" s="105"/>
      <c r="R928" s="11"/>
      <c r="S928" s="105"/>
    </row>
    <row r="929">
      <c r="D929" s="2"/>
      <c r="Q929" s="105"/>
      <c r="R929" s="11"/>
      <c r="S929" s="105"/>
    </row>
    <row r="930">
      <c r="D930" s="2"/>
      <c r="Q930" s="105"/>
      <c r="R930" s="11"/>
      <c r="S930" s="105"/>
    </row>
    <row r="931">
      <c r="D931" s="2"/>
      <c r="Q931" s="105"/>
      <c r="R931" s="11"/>
      <c r="S931" s="105"/>
    </row>
    <row r="932">
      <c r="D932" s="2"/>
      <c r="Q932" s="105"/>
      <c r="R932" s="11"/>
      <c r="S932" s="105"/>
    </row>
    <row r="933">
      <c r="D933" s="2"/>
      <c r="Q933" s="105"/>
      <c r="R933" s="11"/>
      <c r="S933" s="105"/>
    </row>
    <row r="934">
      <c r="D934" s="2"/>
      <c r="Q934" s="105"/>
      <c r="R934" s="11"/>
      <c r="S934" s="105"/>
    </row>
    <row r="935">
      <c r="D935" s="2"/>
      <c r="Q935" s="105"/>
      <c r="R935" s="11"/>
      <c r="S935" s="105"/>
    </row>
    <row r="936">
      <c r="D936" s="2"/>
      <c r="Q936" s="105"/>
      <c r="R936" s="11"/>
      <c r="S936" s="105"/>
    </row>
    <row r="937">
      <c r="D937" s="2"/>
      <c r="Q937" s="105"/>
      <c r="R937" s="11"/>
      <c r="S937" s="105"/>
    </row>
    <row r="938">
      <c r="D938" s="2"/>
      <c r="Q938" s="105"/>
      <c r="R938" s="11"/>
      <c r="S938" s="105"/>
    </row>
    <row r="939">
      <c r="D939" s="2"/>
      <c r="Q939" s="105"/>
      <c r="R939" s="11"/>
      <c r="S939" s="105"/>
    </row>
    <row r="940">
      <c r="D940" s="2"/>
      <c r="Q940" s="105"/>
      <c r="R940" s="11"/>
      <c r="S940" s="105"/>
    </row>
    <row r="941">
      <c r="D941" s="2"/>
      <c r="Q941" s="105"/>
      <c r="R941" s="11"/>
      <c r="S941" s="105"/>
    </row>
    <row r="942">
      <c r="D942" s="2"/>
      <c r="Q942" s="105"/>
      <c r="R942" s="11"/>
      <c r="S942" s="105"/>
    </row>
    <row r="943">
      <c r="D943" s="2"/>
      <c r="Q943" s="105"/>
      <c r="R943" s="11"/>
      <c r="S943" s="105"/>
    </row>
    <row r="944">
      <c r="D944" s="2"/>
      <c r="Q944" s="105"/>
      <c r="R944" s="11"/>
      <c r="S944" s="105"/>
    </row>
    <row r="945">
      <c r="D945" s="2"/>
      <c r="Q945" s="105"/>
      <c r="R945" s="11"/>
      <c r="S945" s="105"/>
    </row>
    <row r="946">
      <c r="D946" s="2"/>
      <c r="Q946" s="105"/>
      <c r="R946" s="11"/>
      <c r="S946" s="105"/>
    </row>
    <row r="947">
      <c r="D947" s="2"/>
      <c r="Q947" s="105"/>
      <c r="R947" s="11"/>
      <c r="S947" s="105"/>
    </row>
    <row r="948">
      <c r="D948" s="2"/>
      <c r="Q948" s="105"/>
      <c r="R948" s="11"/>
      <c r="S948" s="105"/>
    </row>
    <row r="949">
      <c r="D949" s="2"/>
      <c r="Q949" s="105"/>
      <c r="R949" s="11"/>
      <c r="S949" s="105"/>
    </row>
    <row r="950">
      <c r="D950" s="2"/>
      <c r="Q950" s="105"/>
      <c r="R950" s="11"/>
      <c r="S950" s="105"/>
    </row>
    <row r="951">
      <c r="D951" s="2"/>
      <c r="Q951" s="105"/>
      <c r="R951" s="11"/>
      <c r="S951" s="105"/>
    </row>
    <row r="952">
      <c r="D952" s="2"/>
      <c r="Q952" s="105"/>
      <c r="R952" s="11"/>
      <c r="S952" s="105"/>
    </row>
    <row r="953">
      <c r="D953" s="2"/>
      <c r="Q953" s="105"/>
      <c r="R953" s="11"/>
      <c r="S953" s="105"/>
    </row>
    <row r="954">
      <c r="D954" s="2"/>
      <c r="Q954" s="105"/>
      <c r="R954" s="11"/>
      <c r="S954" s="105"/>
    </row>
    <row r="955">
      <c r="D955" s="2"/>
      <c r="Q955" s="105"/>
      <c r="R955" s="11"/>
      <c r="S955" s="105"/>
    </row>
    <row r="956">
      <c r="D956" s="2"/>
      <c r="Q956" s="105"/>
      <c r="R956" s="11"/>
      <c r="S956" s="105"/>
    </row>
    <row r="957">
      <c r="D957" s="2"/>
      <c r="Q957" s="105"/>
      <c r="R957" s="11"/>
      <c r="S957" s="105"/>
    </row>
    <row r="958">
      <c r="D958" s="2"/>
      <c r="Q958" s="105"/>
      <c r="R958" s="11"/>
      <c r="S958" s="105"/>
    </row>
    <row r="959">
      <c r="D959" s="2"/>
      <c r="Q959" s="105"/>
      <c r="R959" s="11"/>
      <c r="S959" s="105"/>
    </row>
    <row r="960">
      <c r="D960" s="2"/>
      <c r="Q960" s="105"/>
      <c r="R960" s="11"/>
      <c r="S960" s="105"/>
    </row>
    <row r="961">
      <c r="D961" s="2"/>
      <c r="Q961" s="105"/>
      <c r="R961" s="11"/>
      <c r="S961" s="105"/>
    </row>
    <row r="962">
      <c r="D962" s="2"/>
      <c r="Q962" s="105"/>
      <c r="R962" s="11"/>
      <c r="S962" s="105"/>
    </row>
    <row r="963">
      <c r="D963" s="2"/>
      <c r="Q963" s="105"/>
      <c r="R963" s="11"/>
      <c r="S963" s="105"/>
    </row>
    <row r="964">
      <c r="D964" s="2"/>
      <c r="Q964" s="105"/>
      <c r="R964" s="11"/>
      <c r="S964" s="105"/>
    </row>
    <row r="965">
      <c r="D965" s="2"/>
      <c r="Q965" s="105"/>
      <c r="R965" s="11"/>
      <c r="S965" s="105"/>
    </row>
    <row r="966">
      <c r="D966" s="2"/>
      <c r="Q966" s="105"/>
      <c r="R966" s="11"/>
      <c r="S966" s="105"/>
    </row>
    <row r="967">
      <c r="D967" s="2"/>
      <c r="Q967" s="105"/>
      <c r="R967" s="11"/>
      <c r="S967" s="105"/>
    </row>
    <row r="968">
      <c r="D968" s="2"/>
      <c r="Q968" s="105"/>
      <c r="R968" s="11"/>
      <c r="S968" s="105"/>
    </row>
    <row r="969">
      <c r="D969" s="2"/>
      <c r="Q969" s="105"/>
      <c r="R969" s="11"/>
      <c r="S969" s="105"/>
    </row>
    <row r="970">
      <c r="D970" s="2"/>
      <c r="Q970" s="105"/>
      <c r="R970" s="11"/>
      <c r="S970" s="105"/>
    </row>
    <row r="971">
      <c r="D971" s="2"/>
      <c r="Q971" s="105"/>
      <c r="R971" s="11"/>
      <c r="S971" s="105"/>
    </row>
    <row r="972">
      <c r="D972" s="2"/>
      <c r="Q972" s="105"/>
      <c r="R972" s="11"/>
      <c r="S972" s="105"/>
    </row>
    <row r="973">
      <c r="D973" s="2"/>
      <c r="Q973" s="105"/>
      <c r="R973" s="11"/>
      <c r="S973" s="105"/>
    </row>
    <row r="974">
      <c r="D974" s="2"/>
      <c r="Q974" s="105"/>
      <c r="R974" s="11"/>
      <c r="S974" s="105"/>
    </row>
    <row r="975">
      <c r="D975" s="2"/>
      <c r="Q975" s="105"/>
      <c r="R975" s="11"/>
      <c r="S975" s="105"/>
    </row>
    <row r="976">
      <c r="D976" s="2"/>
      <c r="Q976" s="105"/>
      <c r="R976" s="11"/>
      <c r="S976" s="105"/>
    </row>
    <row r="977">
      <c r="D977" s="2"/>
      <c r="Q977" s="105"/>
      <c r="R977" s="11"/>
      <c r="S977" s="105"/>
    </row>
    <row r="978">
      <c r="D978" s="2"/>
      <c r="Q978" s="105"/>
      <c r="R978" s="11"/>
      <c r="S978" s="105"/>
    </row>
    <row r="979">
      <c r="D979" s="2"/>
      <c r="Q979" s="105"/>
      <c r="R979" s="11"/>
      <c r="S979" s="105"/>
    </row>
    <row r="980">
      <c r="D980" s="2"/>
      <c r="Q980" s="105"/>
      <c r="R980" s="11"/>
      <c r="S980" s="105"/>
    </row>
    <row r="981">
      <c r="D981" s="2"/>
      <c r="Q981" s="105"/>
      <c r="R981" s="11"/>
      <c r="S981" s="105"/>
    </row>
    <row r="982">
      <c r="D982" s="2"/>
      <c r="Q982" s="105"/>
      <c r="R982" s="11"/>
      <c r="S982" s="105"/>
    </row>
    <row r="983">
      <c r="D983" s="2"/>
      <c r="Q983" s="105"/>
      <c r="R983" s="11"/>
      <c r="S983" s="105"/>
    </row>
    <row r="984">
      <c r="D984" s="2"/>
      <c r="Q984" s="105"/>
      <c r="R984" s="11"/>
      <c r="S984" s="105"/>
    </row>
    <row r="985">
      <c r="D985" s="2"/>
      <c r="Q985" s="105"/>
      <c r="R985" s="11"/>
      <c r="S985" s="105"/>
    </row>
    <row r="986">
      <c r="D986" s="2"/>
      <c r="Q986" s="105"/>
      <c r="R986" s="11"/>
      <c r="S986" s="105"/>
    </row>
    <row r="987">
      <c r="D987" s="2"/>
      <c r="Q987" s="105"/>
      <c r="R987" s="11"/>
      <c r="S987" s="105"/>
    </row>
    <row r="988">
      <c r="D988" s="2"/>
      <c r="Q988" s="105"/>
      <c r="R988" s="11"/>
      <c r="S988" s="105"/>
    </row>
    <row r="989">
      <c r="D989" s="2"/>
      <c r="Q989" s="105"/>
      <c r="R989" s="11"/>
      <c r="S989" s="105"/>
    </row>
    <row r="990">
      <c r="D990" s="2"/>
      <c r="Q990" s="105"/>
      <c r="R990" s="11"/>
      <c r="S990" s="105"/>
    </row>
    <row r="991">
      <c r="D991" s="2"/>
      <c r="Q991" s="105"/>
      <c r="R991" s="11"/>
      <c r="S991" s="105"/>
    </row>
    <row r="992">
      <c r="D992" s="2"/>
      <c r="Q992" s="105"/>
      <c r="R992" s="11"/>
      <c r="S992" s="105"/>
    </row>
    <row r="993">
      <c r="D993" s="2"/>
      <c r="Q993" s="105"/>
      <c r="R993" s="11"/>
      <c r="S993" s="105"/>
    </row>
    <row r="994">
      <c r="D994" s="2"/>
      <c r="Q994" s="105"/>
      <c r="R994" s="11"/>
      <c r="S994" s="105"/>
    </row>
    <row r="995">
      <c r="D995" s="2"/>
      <c r="Q995" s="105"/>
      <c r="R995" s="11"/>
      <c r="S995" s="105"/>
    </row>
    <row r="996">
      <c r="D996" s="2"/>
      <c r="Q996" s="105"/>
      <c r="R996" s="11"/>
      <c r="S996" s="105"/>
    </row>
    <row r="997">
      <c r="D997" s="2"/>
      <c r="Q997" s="105"/>
      <c r="R997" s="11"/>
      <c r="S997" s="105"/>
    </row>
    <row r="998">
      <c r="D998" s="2"/>
      <c r="Q998" s="105"/>
      <c r="R998" s="11"/>
      <c r="S998" s="105"/>
    </row>
    <row r="999">
      <c r="D999" s="2"/>
      <c r="Q999" s="105"/>
      <c r="R999" s="11"/>
      <c r="S999" s="105"/>
    </row>
    <row r="1000">
      <c r="D1000" s="2"/>
      <c r="Q1000" s="105"/>
      <c r="R1000" s="11"/>
      <c r="S1000" s="10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2.0"/>
    <col customWidth="1" min="4" max="4" width="21.75"/>
    <col customWidth="1" min="5" max="5" width="10.5"/>
    <col customWidth="1" min="6" max="6" width="8.63"/>
    <col customWidth="1" min="7" max="7" width="11.0"/>
    <col customWidth="1" min="8" max="8" width="27.63"/>
    <col customWidth="1" min="9" max="9" width="15.25"/>
    <col customWidth="1" min="10" max="10" width="4.38"/>
  </cols>
  <sheetData>
    <row r="1">
      <c r="A1" s="230"/>
      <c r="B1" s="230"/>
      <c r="C1" s="230"/>
      <c r="D1" s="230"/>
      <c r="E1" s="230"/>
      <c r="F1" s="230"/>
      <c r="G1" s="230"/>
      <c r="H1" s="230"/>
      <c r="I1" s="230"/>
      <c r="J1" s="230"/>
      <c r="K1" s="230"/>
      <c r="L1" s="230"/>
      <c r="M1" s="230"/>
      <c r="N1" s="230"/>
      <c r="O1" s="230"/>
      <c r="P1" s="230"/>
      <c r="Q1" s="230"/>
      <c r="R1" s="230"/>
      <c r="S1" s="230"/>
      <c r="T1" s="230"/>
      <c r="U1" s="230"/>
      <c r="V1" s="230"/>
      <c r="W1" s="230"/>
      <c r="X1" s="230"/>
      <c r="Y1" s="230"/>
      <c r="Z1" s="230"/>
    </row>
    <row r="2">
      <c r="A2" s="230"/>
      <c r="B2" s="231"/>
      <c r="C2" s="232" t="s">
        <v>263</v>
      </c>
      <c r="D2" s="232" t="s">
        <v>264</v>
      </c>
      <c r="E2" s="232" t="s">
        <v>265</v>
      </c>
      <c r="F2" s="232" t="s">
        <v>266</v>
      </c>
      <c r="G2" s="232" t="s">
        <v>267</v>
      </c>
      <c r="H2" s="232" t="s">
        <v>268</v>
      </c>
      <c r="I2" s="232" t="s">
        <v>269</v>
      </c>
      <c r="J2" s="232" t="s">
        <v>248</v>
      </c>
      <c r="K2" s="230"/>
      <c r="L2" s="230"/>
      <c r="M2" s="230"/>
      <c r="N2" s="230"/>
      <c r="O2" s="230"/>
      <c r="P2" s="230"/>
      <c r="Q2" s="230"/>
      <c r="R2" s="230"/>
      <c r="S2" s="230"/>
      <c r="T2" s="230"/>
      <c r="U2" s="230"/>
      <c r="V2" s="230"/>
      <c r="W2" s="230"/>
      <c r="X2" s="230"/>
      <c r="Y2" s="230"/>
      <c r="Z2" s="230"/>
    </row>
    <row r="3">
      <c r="A3" s="230"/>
      <c r="B3" s="230"/>
      <c r="C3" s="233" t="s">
        <v>270</v>
      </c>
      <c r="D3" s="234" t="s">
        <v>271</v>
      </c>
      <c r="E3" s="234" t="s">
        <v>272</v>
      </c>
      <c r="F3" s="235" t="b">
        <v>0</v>
      </c>
      <c r="G3" s="234"/>
      <c r="H3" s="234"/>
      <c r="I3" s="234"/>
      <c r="J3" s="230"/>
      <c r="K3" s="230"/>
      <c r="L3" s="230"/>
      <c r="M3" s="230"/>
      <c r="N3" s="230"/>
      <c r="O3" s="230"/>
      <c r="P3" s="230"/>
      <c r="Q3" s="230"/>
      <c r="R3" s="230"/>
      <c r="S3" s="230"/>
      <c r="T3" s="230"/>
      <c r="U3" s="230"/>
      <c r="V3" s="230"/>
      <c r="W3" s="230"/>
      <c r="X3" s="230"/>
      <c r="Y3" s="230"/>
      <c r="Z3" s="230"/>
    </row>
    <row r="4">
      <c r="A4" s="230"/>
      <c r="B4" s="230"/>
      <c r="C4" s="236" t="s">
        <v>270</v>
      </c>
      <c r="D4" s="237" t="s">
        <v>273</v>
      </c>
      <c r="E4" s="237" t="s">
        <v>272</v>
      </c>
      <c r="F4" s="238" t="b">
        <v>0</v>
      </c>
      <c r="G4" s="237"/>
      <c r="H4" s="237" t="s">
        <v>274</v>
      </c>
      <c r="I4" s="237"/>
      <c r="J4" s="230"/>
      <c r="K4" s="230"/>
      <c r="L4" s="230"/>
      <c r="M4" s="230"/>
      <c r="N4" s="230"/>
      <c r="O4" s="230"/>
      <c r="P4" s="230"/>
      <c r="Q4" s="230"/>
      <c r="R4" s="230"/>
      <c r="S4" s="230"/>
      <c r="T4" s="230"/>
      <c r="U4" s="230"/>
      <c r="V4" s="230"/>
      <c r="W4" s="230"/>
      <c r="X4" s="230"/>
      <c r="Y4" s="230"/>
      <c r="Z4" s="230"/>
    </row>
    <row r="5">
      <c r="A5" s="230"/>
      <c r="B5" s="230"/>
      <c r="C5" s="236" t="s">
        <v>270</v>
      </c>
      <c r="D5" s="237" t="s">
        <v>275</v>
      </c>
      <c r="E5" s="237" t="s">
        <v>276</v>
      </c>
      <c r="F5" s="238" t="b">
        <v>0</v>
      </c>
      <c r="G5" s="237"/>
      <c r="H5" s="237" t="s">
        <v>39</v>
      </c>
      <c r="I5" s="237" t="s">
        <v>277</v>
      </c>
      <c r="J5" s="230"/>
      <c r="K5" s="230"/>
      <c r="L5" s="239" t="s">
        <v>278</v>
      </c>
      <c r="M5" s="230"/>
      <c r="N5" s="230"/>
      <c r="O5" s="230"/>
      <c r="P5" s="230"/>
      <c r="Q5" s="230"/>
      <c r="R5" s="230"/>
      <c r="S5" s="230"/>
      <c r="T5" s="230"/>
      <c r="U5" s="230"/>
      <c r="V5" s="230"/>
      <c r="W5" s="230"/>
      <c r="X5" s="230"/>
      <c r="Y5" s="230"/>
      <c r="Z5" s="230"/>
    </row>
    <row r="6">
      <c r="A6" s="230"/>
      <c r="B6" s="230"/>
      <c r="C6" s="236" t="s">
        <v>270</v>
      </c>
      <c r="D6" s="237" t="s">
        <v>279</v>
      </c>
      <c r="E6" s="237" t="s">
        <v>276</v>
      </c>
      <c r="F6" s="238" t="b">
        <v>0</v>
      </c>
      <c r="G6" s="237"/>
      <c r="H6" s="237" t="s">
        <v>38</v>
      </c>
      <c r="I6" s="237" t="s">
        <v>280</v>
      </c>
      <c r="J6" s="230"/>
      <c r="K6" s="230"/>
      <c r="L6" s="230"/>
      <c r="M6" s="230"/>
      <c r="N6" s="230"/>
      <c r="O6" s="230"/>
      <c r="P6" s="230"/>
      <c r="Q6" s="230"/>
      <c r="R6" s="230"/>
      <c r="S6" s="230"/>
      <c r="T6" s="230"/>
      <c r="U6" s="230"/>
      <c r="V6" s="230"/>
      <c r="W6" s="230"/>
      <c r="X6" s="230"/>
      <c r="Y6" s="230"/>
      <c r="Z6" s="230"/>
    </row>
    <row r="7">
      <c r="A7" s="230"/>
      <c r="B7" s="230"/>
      <c r="C7" s="236" t="s">
        <v>270</v>
      </c>
      <c r="D7" s="237" t="s">
        <v>281</v>
      </c>
      <c r="E7" s="237" t="s">
        <v>276</v>
      </c>
      <c r="F7" s="238" t="b">
        <v>0</v>
      </c>
      <c r="G7" s="237"/>
      <c r="H7" s="237"/>
      <c r="I7" s="237" t="s">
        <v>282</v>
      </c>
      <c r="J7" s="230"/>
      <c r="K7" s="230"/>
      <c r="L7" s="230"/>
      <c r="M7" s="230"/>
      <c r="N7" s="230"/>
      <c r="O7" s="230"/>
      <c r="P7" s="230"/>
      <c r="Q7" s="230"/>
      <c r="R7" s="230"/>
      <c r="S7" s="230"/>
      <c r="T7" s="230"/>
      <c r="U7" s="230"/>
      <c r="V7" s="230"/>
      <c r="W7" s="230"/>
      <c r="X7" s="230"/>
      <c r="Y7" s="230"/>
      <c r="Z7" s="230"/>
    </row>
    <row r="8">
      <c r="A8" s="230"/>
      <c r="B8" s="230"/>
      <c r="C8" s="236" t="s">
        <v>270</v>
      </c>
      <c r="D8" s="237" t="s">
        <v>283</v>
      </c>
      <c r="E8" s="237" t="s">
        <v>284</v>
      </c>
      <c r="F8" s="238" t="b">
        <v>0</v>
      </c>
      <c r="G8" s="237"/>
      <c r="H8" s="237"/>
      <c r="I8" s="237"/>
      <c r="J8" s="230"/>
      <c r="K8" s="230"/>
      <c r="L8" s="230"/>
      <c r="M8" s="230"/>
      <c r="N8" s="230"/>
      <c r="O8" s="230"/>
      <c r="P8" s="230"/>
      <c r="Q8" s="230"/>
      <c r="R8" s="230"/>
      <c r="S8" s="230"/>
      <c r="T8" s="230"/>
      <c r="U8" s="230"/>
      <c r="V8" s="230"/>
      <c r="W8" s="230"/>
      <c r="X8" s="230"/>
      <c r="Y8" s="230"/>
      <c r="Z8" s="230"/>
    </row>
    <row r="9">
      <c r="A9" s="230"/>
      <c r="B9" s="230"/>
      <c r="C9" s="236" t="s">
        <v>270</v>
      </c>
      <c r="D9" s="237" t="s">
        <v>285</v>
      </c>
      <c r="E9" s="237" t="s">
        <v>272</v>
      </c>
      <c r="F9" s="238" t="b">
        <v>0</v>
      </c>
      <c r="G9" s="237"/>
      <c r="H9" s="237"/>
      <c r="I9" s="237"/>
      <c r="J9" s="230"/>
      <c r="K9" s="230"/>
      <c r="L9" s="230"/>
      <c r="M9" s="230"/>
      <c r="N9" s="230"/>
      <c r="O9" s="230"/>
      <c r="P9" s="230"/>
      <c r="Q9" s="230"/>
      <c r="R9" s="230"/>
      <c r="S9" s="230"/>
      <c r="T9" s="230"/>
      <c r="U9" s="230"/>
      <c r="V9" s="230"/>
      <c r="W9" s="230"/>
      <c r="X9" s="230"/>
      <c r="Y9" s="230"/>
      <c r="Z9" s="230"/>
    </row>
    <row r="10">
      <c r="A10" s="230"/>
      <c r="B10" s="230"/>
      <c r="C10" s="236" t="s">
        <v>270</v>
      </c>
      <c r="D10" s="237" t="s">
        <v>286</v>
      </c>
      <c r="E10" s="237" t="s">
        <v>276</v>
      </c>
      <c r="F10" s="238" t="b">
        <v>0</v>
      </c>
      <c r="G10" s="237"/>
      <c r="H10" s="237"/>
      <c r="I10" s="237" t="s">
        <v>287</v>
      </c>
      <c r="J10" s="230"/>
      <c r="K10" s="230"/>
      <c r="L10" s="230"/>
      <c r="M10" s="230"/>
      <c r="N10" s="230"/>
      <c r="O10" s="230"/>
      <c r="P10" s="230"/>
      <c r="Q10" s="230"/>
      <c r="R10" s="230"/>
      <c r="S10" s="230"/>
      <c r="T10" s="230"/>
      <c r="U10" s="230"/>
      <c r="V10" s="230"/>
      <c r="W10" s="230"/>
      <c r="X10" s="230"/>
      <c r="Y10" s="230"/>
      <c r="Z10" s="230"/>
    </row>
    <row r="11">
      <c r="A11" s="230"/>
      <c r="B11" s="230"/>
      <c r="C11" s="236" t="s">
        <v>270</v>
      </c>
      <c r="D11" s="237" t="s">
        <v>288</v>
      </c>
      <c r="E11" s="237" t="s">
        <v>289</v>
      </c>
      <c r="F11" s="238" t="b">
        <v>0</v>
      </c>
      <c r="G11" s="237"/>
      <c r="H11" s="237"/>
      <c r="I11" s="237"/>
      <c r="J11" s="230"/>
      <c r="K11" s="230"/>
      <c r="L11" s="230"/>
      <c r="M11" s="230"/>
      <c r="N11" s="230"/>
      <c r="O11" s="230"/>
      <c r="P11" s="230"/>
      <c r="Q11" s="230"/>
      <c r="R11" s="230"/>
      <c r="S11" s="230"/>
      <c r="T11" s="230"/>
      <c r="U11" s="230"/>
      <c r="V11" s="230"/>
      <c r="W11" s="230"/>
      <c r="X11" s="230"/>
      <c r="Y11" s="230"/>
      <c r="Z11" s="230"/>
    </row>
    <row r="12">
      <c r="A12" s="230"/>
      <c r="B12" s="230"/>
      <c r="C12" s="236" t="s">
        <v>270</v>
      </c>
      <c r="D12" s="237" t="s">
        <v>290</v>
      </c>
      <c r="E12" s="237" t="s">
        <v>289</v>
      </c>
      <c r="F12" s="238" t="b">
        <v>0</v>
      </c>
      <c r="G12" s="237"/>
      <c r="H12" s="237"/>
      <c r="I12" s="237"/>
      <c r="J12" s="230"/>
      <c r="K12" s="230"/>
      <c r="L12" s="230"/>
      <c r="M12" s="230"/>
      <c r="N12" s="230"/>
      <c r="O12" s="230"/>
      <c r="P12" s="230"/>
      <c r="Q12" s="230"/>
      <c r="R12" s="230"/>
      <c r="S12" s="230"/>
      <c r="T12" s="230"/>
      <c r="U12" s="230"/>
      <c r="V12" s="230"/>
      <c r="W12" s="230"/>
      <c r="X12" s="230"/>
      <c r="Y12" s="230"/>
      <c r="Z12" s="230"/>
    </row>
    <row r="13">
      <c r="A13" s="230"/>
      <c r="B13" s="230"/>
      <c r="C13" s="236" t="s">
        <v>270</v>
      </c>
      <c r="D13" s="237" t="s">
        <v>291</v>
      </c>
      <c r="E13" s="237" t="s">
        <v>289</v>
      </c>
      <c r="F13" s="238" t="b">
        <v>0</v>
      </c>
      <c r="G13" s="237"/>
      <c r="H13" s="237"/>
      <c r="I13" s="237"/>
      <c r="J13" s="230"/>
      <c r="K13" s="230"/>
      <c r="L13" s="230"/>
      <c r="M13" s="230"/>
      <c r="N13" s="230"/>
      <c r="O13" s="230"/>
      <c r="P13" s="230"/>
      <c r="Q13" s="230"/>
      <c r="R13" s="230"/>
      <c r="S13" s="230"/>
      <c r="T13" s="230"/>
      <c r="U13" s="230"/>
      <c r="V13" s="230"/>
      <c r="W13" s="230"/>
      <c r="X13" s="230"/>
      <c r="Y13" s="230"/>
      <c r="Z13" s="230"/>
    </row>
    <row r="14">
      <c r="A14" s="230"/>
      <c r="B14" s="230"/>
      <c r="C14" s="236" t="s">
        <v>270</v>
      </c>
      <c r="D14" s="237" t="s">
        <v>292</v>
      </c>
      <c r="E14" s="237" t="s">
        <v>289</v>
      </c>
      <c r="F14" s="238" t="b">
        <v>0</v>
      </c>
      <c r="G14" s="237"/>
      <c r="H14" s="237"/>
      <c r="I14" s="237"/>
      <c r="J14" s="230"/>
      <c r="K14" s="230"/>
      <c r="L14" s="230"/>
      <c r="M14" s="230"/>
      <c r="N14" s="230"/>
      <c r="O14" s="230"/>
      <c r="P14" s="230"/>
      <c r="Q14" s="230"/>
      <c r="R14" s="230"/>
      <c r="S14" s="230"/>
      <c r="T14" s="230"/>
      <c r="U14" s="230"/>
      <c r="V14" s="230"/>
      <c r="W14" s="230"/>
      <c r="X14" s="230"/>
      <c r="Y14" s="230"/>
      <c r="Z14" s="230"/>
    </row>
    <row r="15">
      <c r="A15" s="230"/>
      <c r="B15" s="230"/>
      <c r="C15" s="236" t="s">
        <v>270</v>
      </c>
      <c r="D15" s="237" t="s">
        <v>293</v>
      </c>
      <c r="E15" s="237" t="s">
        <v>289</v>
      </c>
      <c r="F15" s="238" t="b">
        <v>0</v>
      </c>
      <c r="G15" s="237"/>
      <c r="H15" s="237"/>
      <c r="I15" s="237"/>
      <c r="J15" s="230"/>
      <c r="K15" s="230"/>
      <c r="L15" s="230"/>
      <c r="M15" s="230"/>
      <c r="N15" s="230"/>
      <c r="O15" s="230"/>
      <c r="P15" s="230"/>
      <c r="Q15" s="230"/>
      <c r="R15" s="230"/>
      <c r="S15" s="230"/>
      <c r="T15" s="230"/>
      <c r="U15" s="230"/>
      <c r="V15" s="230"/>
      <c r="W15" s="230"/>
      <c r="X15" s="230"/>
      <c r="Y15" s="230"/>
      <c r="Z15" s="230"/>
    </row>
    <row r="16">
      <c r="A16" s="230"/>
      <c r="B16" s="230"/>
      <c r="C16" s="236" t="s">
        <v>270</v>
      </c>
      <c r="D16" s="237" t="s">
        <v>294</v>
      </c>
      <c r="E16" s="237" t="s">
        <v>289</v>
      </c>
      <c r="F16" s="238" t="b">
        <v>0</v>
      </c>
      <c r="G16" s="237"/>
      <c r="H16" s="237"/>
      <c r="I16" s="237"/>
      <c r="J16" s="230"/>
      <c r="K16" s="230"/>
      <c r="L16" s="230"/>
      <c r="M16" s="230"/>
      <c r="N16" s="230"/>
      <c r="O16" s="230"/>
      <c r="P16" s="230"/>
      <c r="Q16" s="230"/>
      <c r="R16" s="230"/>
      <c r="S16" s="230"/>
      <c r="T16" s="230"/>
      <c r="U16" s="230"/>
      <c r="V16" s="230"/>
      <c r="W16" s="230"/>
      <c r="X16" s="230"/>
      <c r="Y16" s="230"/>
      <c r="Z16" s="230"/>
    </row>
    <row r="17">
      <c r="A17" s="230"/>
      <c r="B17" s="230"/>
      <c r="C17" s="236" t="s">
        <v>270</v>
      </c>
      <c r="D17" s="237" t="s">
        <v>295</v>
      </c>
      <c r="E17" s="237" t="s">
        <v>296</v>
      </c>
      <c r="F17" s="238" t="b">
        <v>0</v>
      </c>
      <c r="G17" s="237"/>
      <c r="H17" s="237"/>
      <c r="I17" s="237"/>
      <c r="J17" s="230"/>
      <c r="K17" s="230"/>
      <c r="L17" s="230"/>
      <c r="M17" s="230"/>
      <c r="N17" s="230"/>
      <c r="O17" s="230"/>
      <c r="P17" s="230"/>
      <c r="Q17" s="230"/>
      <c r="R17" s="230"/>
      <c r="S17" s="230"/>
      <c r="T17" s="230"/>
      <c r="U17" s="230"/>
      <c r="V17" s="230"/>
      <c r="W17" s="230"/>
      <c r="X17" s="230"/>
      <c r="Y17" s="230"/>
      <c r="Z17" s="230"/>
    </row>
    <row r="18">
      <c r="A18" s="230"/>
      <c r="B18" s="230"/>
      <c r="C18" s="236" t="s">
        <v>270</v>
      </c>
      <c r="D18" s="237" t="s">
        <v>297</v>
      </c>
      <c r="E18" s="237" t="s">
        <v>289</v>
      </c>
      <c r="F18" s="238" t="b">
        <v>0</v>
      </c>
      <c r="G18" s="237"/>
      <c r="H18" s="237"/>
      <c r="I18" s="237"/>
      <c r="J18" s="230"/>
      <c r="K18" s="230"/>
      <c r="L18" s="230"/>
      <c r="M18" s="230"/>
      <c r="N18" s="230"/>
      <c r="O18" s="230"/>
      <c r="P18" s="230"/>
      <c r="Q18" s="230"/>
      <c r="R18" s="230"/>
      <c r="S18" s="230"/>
      <c r="T18" s="230"/>
      <c r="U18" s="230"/>
      <c r="V18" s="230"/>
      <c r="W18" s="230"/>
      <c r="X18" s="230"/>
      <c r="Y18" s="230"/>
      <c r="Z18" s="230"/>
    </row>
    <row r="19">
      <c r="A19" s="230"/>
      <c r="B19" s="230"/>
      <c r="C19" s="236" t="s">
        <v>270</v>
      </c>
      <c r="D19" s="237" t="s">
        <v>298</v>
      </c>
      <c r="E19" s="237" t="s">
        <v>289</v>
      </c>
      <c r="F19" s="238" t="b">
        <v>0</v>
      </c>
      <c r="G19" s="237"/>
      <c r="H19" s="237"/>
      <c r="I19" s="237"/>
      <c r="J19" s="230"/>
      <c r="K19" s="230"/>
      <c r="L19" s="230"/>
      <c r="M19" s="230"/>
      <c r="N19" s="230"/>
      <c r="O19" s="230"/>
      <c r="P19" s="230"/>
      <c r="Q19" s="230"/>
      <c r="R19" s="230"/>
      <c r="S19" s="230"/>
      <c r="T19" s="230"/>
      <c r="U19" s="230"/>
      <c r="V19" s="230"/>
      <c r="W19" s="230"/>
      <c r="X19" s="230"/>
      <c r="Y19" s="230"/>
      <c r="Z19" s="230"/>
    </row>
    <row r="20">
      <c r="A20" s="230"/>
      <c r="B20" s="230"/>
      <c r="C20" s="236" t="s">
        <v>270</v>
      </c>
      <c r="D20" s="237" t="s">
        <v>299</v>
      </c>
      <c r="E20" s="237" t="s">
        <v>272</v>
      </c>
      <c r="F20" s="238" t="b">
        <v>0</v>
      </c>
      <c r="G20" s="237"/>
      <c r="H20" s="237"/>
      <c r="I20" s="237"/>
      <c r="J20" s="230"/>
      <c r="K20" s="230"/>
      <c r="L20" s="230"/>
      <c r="M20" s="230"/>
      <c r="N20" s="230"/>
      <c r="O20" s="230"/>
      <c r="P20" s="230"/>
      <c r="Q20" s="230"/>
      <c r="R20" s="230"/>
      <c r="S20" s="230"/>
      <c r="T20" s="230"/>
      <c r="U20" s="230"/>
      <c r="V20" s="230"/>
      <c r="W20" s="230"/>
      <c r="X20" s="230"/>
      <c r="Y20" s="230"/>
      <c r="Z20" s="230"/>
    </row>
    <row r="21">
      <c r="A21" s="230"/>
      <c r="B21" s="230"/>
      <c r="C21" s="236" t="s">
        <v>270</v>
      </c>
      <c r="D21" s="237" t="s">
        <v>300</v>
      </c>
      <c r="E21" s="237" t="s">
        <v>272</v>
      </c>
      <c r="F21" s="238" t="b">
        <v>0</v>
      </c>
      <c r="G21" s="237"/>
      <c r="H21" s="237"/>
      <c r="I21" s="237"/>
      <c r="J21" s="230"/>
      <c r="K21" s="230"/>
      <c r="L21" s="230"/>
      <c r="M21" s="230"/>
      <c r="N21" s="230"/>
      <c r="O21" s="230"/>
      <c r="P21" s="230"/>
      <c r="Q21" s="230"/>
      <c r="R21" s="230"/>
      <c r="S21" s="230"/>
      <c r="T21" s="230"/>
      <c r="U21" s="230"/>
      <c r="V21" s="230"/>
      <c r="W21" s="230"/>
      <c r="X21" s="230"/>
      <c r="Y21" s="230"/>
      <c r="Z21" s="230"/>
    </row>
    <row r="22">
      <c r="A22" s="230"/>
      <c r="B22" s="230"/>
      <c r="C22" s="236" t="s">
        <v>270</v>
      </c>
      <c r="D22" s="237" t="s">
        <v>301</v>
      </c>
      <c r="E22" s="237" t="s">
        <v>296</v>
      </c>
      <c r="F22" s="238" t="b">
        <v>0</v>
      </c>
      <c r="G22" s="237"/>
      <c r="H22" s="237"/>
      <c r="I22" s="237"/>
      <c r="J22" s="230"/>
      <c r="K22" s="230"/>
      <c r="L22" s="230"/>
      <c r="M22" s="230"/>
      <c r="N22" s="230"/>
      <c r="O22" s="230"/>
      <c r="P22" s="230"/>
      <c r="Q22" s="230"/>
      <c r="R22" s="230"/>
      <c r="S22" s="230"/>
      <c r="T22" s="230"/>
      <c r="U22" s="230"/>
      <c r="V22" s="230"/>
      <c r="W22" s="230"/>
      <c r="X22" s="230"/>
      <c r="Y22" s="230"/>
      <c r="Z22" s="230"/>
    </row>
    <row r="23">
      <c r="A23" s="230"/>
      <c r="B23" s="230"/>
      <c r="C23" s="236" t="s">
        <v>270</v>
      </c>
      <c r="D23" s="237" t="s">
        <v>302</v>
      </c>
      <c r="E23" s="237" t="s">
        <v>296</v>
      </c>
      <c r="F23" s="238" t="b">
        <v>0</v>
      </c>
      <c r="G23" s="237"/>
      <c r="H23" s="237"/>
      <c r="I23" s="237"/>
      <c r="J23" s="230"/>
      <c r="K23" s="230"/>
      <c r="L23" s="230"/>
      <c r="M23" s="230"/>
      <c r="N23" s="230"/>
      <c r="O23" s="230"/>
      <c r="P23" s="230"/>
      <c r="Q23" s="230"/>
      <c r="R23" s="230"/>
      <c r="S23" s="230"/>
      <c r="T23" s="230"/>
      <c r="U23" s="230"/>
      <c r="V23" s="230"/>
      <c r="W23" s="230"/>
      <c r="X23" s="230"/>
      <c r="Y23" s="230"/>
      <c r="Z23" s="230"/>
    </row>
    <row r="24">
      <c r="A24" s="230"/>
      <c r="B24" s="230"/>
      <c r="C24" s="236" t="s">
        <v>270</v>
      </c>
      <c r="D24" s="237" t="s">
        <v>303</v>
      </c>
      <c r="E24" s="237" t="s">
        <v>272</v>
      </c>
      <c r="F24" s="238" t="b">
        <v>0</v>
      </c>
      <c r="G24" s="237"/>
      <c r="H24" s="237"/>
      <c r="I24" s="237"/>
      <c r="J24" s="230"/>
      <c r="K24" s="230"/>
      <c r="L24" s="230"/>
      <c r="M24" s="230"/>
      <c r="N24" s="230"/>
      <c r="O24" s="230"/>
      <c r="P24" s="230"/>
      <c r="Q24" s="230"/>
      <c r="R24" s="230"/>
      <c r="S24" s="230"/>
      <c r="T24" s="230"/>
      <c r="U24" s="230"/>
      <c r="V24" s="230"/>
      <c r="W24" s="230"/>
      <c r="X24" s="230"/>
      <c r="Y24" s="230"/>
      <c r="Z24" s="230"/>
    </row>
    <row r="25">
      <c r="A25" s="230"/>
      <c r="B25" s="230"/>
      <c r="C25" s="236" t="s">
        <v>270</v>
      </c>
      <c r="D25" s="237" t="s">
        <v>304</v>
      </c>
      <c r="E25" s="237" t="s">
        <v>272</v>
      </c>
      <c r="F25" s="238" t="b">
        <v>0</v>
      </c>
      <c r="G25" s="237"/>
      <c r="H25" s="237"/>
      <c r="I25" s="237"/>
      <c r="J25" s="230"/>
      <c r="K25" s="230"/>
      <c r="L25" s="230"/>
      <c r="M25" s="230"/>
      <c r="N25" s="230"/>
      <c r="O25" s="230"/>
      <c r="P25" s="230"/>
      <c r="Q25" s="230"/>
      <c r="R25" s="230"/>
      <c r="S25" s="230"/>
      <c r="T25" s="230"/>
      <c r="U25" s="230"/>
      <c r="V25" s="230"/>
      <c r="W25" s="230"/>
      <c r="X25" s="230"/>
      <c r="Y25" s="230"/>
      <c r="Z25" s="230"/>
    </row>
    <row r="26">
      <c r="A26" s="230"/>
      <c r="B26" s="230"/>
      <c r="C26" s="233" t="s">
        <v>305</v>
      </c>
      <c r="D26" s="234" t="s">
        <v>271</v>
      </c>
      <c r="E26" s="234" t="s">
        <v>272</v>
      </c>
      <c r="F26" s="235" t="b">
        <v>0</v>
      </c>
      <c r="G26" s="234"/>
      <c r="H26" s="234"/>
      <c r="I26" s="234"/>
      <c r="J26" s="230"/>
      <c r="K26" s="230"/>
      <c r="L26" s="230"/>
      <c r="M26" s="230"/>
      <c r="N26" s="230"/>
      <c r="O26" s="230"/>
      <c r="P26" s="230"/>
      <c r="Q26" s="230"/>
      <c r="R26" s="230"/>
      <c r="S26" s="230"/>
      <c r="T26" s="230"/>
      <c r="U26" s="230"/>
      <c r="V26" s="230"/>
      <c r="W26" s="230"/>
      <c r="X26" s="230"/>
      <c r="Y26" s="230"/>
      <c r="Z26" s="230"/>
    </row>
    <row r="27">
      <c r="A27" s="230"/>
      <c r="B27" s="230"/>
      <c r="C27" s="236" t="s">
        <v>305</v>
      </c>
      <c r="D27" s="237" t="s">
        <v>279</v>
      </c>
      <c r="E27" s="237" t="s">
        <v>276</v>
      </c>
      <c r="F27" s="238" t="b">
        <v>0</v>
      </c>
      <c r="G27" s="237"/>
      <c r="H27" s="237" t="s">
        <v>38</v>
      </c>
      <c r="I27" s="237" t="s">
        <v>280</v>
      </c>
      <c r="J27" s="230"/>
      <c r="K27" s="230"/>
      <c r="L27" s="230"/>
      <c r="M27" s="230"/>
      <c r="N27" s="230"/>
      <c r="O27" s="230"/>
      <c r="P27" s="230"/>
      <c r="Q27" s="230"/>
      <c r="R27" s="230"/>
      <c r="S27" s="230"/>
      <c r="T27" s="230"/>
      <c r="U27" s="230"/>
      <c r="V27" s="230"/>
      <c r="W27" s="230"/>
      <c r="X27" s="230"/>
      <c r="Y27" s="230"/>
      <c r="Z27" s="230"/>
    </row>
    <row r="28">
      <c r="A28" s="230"/>
      <c r="B28" s="230"/>
      <c r="C28" s="236" t="s">
        <v>305</v>
      </c>
      <c r="D28" s="237" t="s">
        <v>306</v>
      </c>
      <c r="E28" s="237" t="s">
        <v>289</v>
      </c>
      <c r="F28" s="238" t="b">
        <v>0</v>
      </c>
      <c r="G28" s="237"/>
      <c r="H28" s="237"/>
      <c r="I28" s="237" t="s">
        <v>307</v>
      </c>
      <c r="J28" s="230"/>
      <c r="K28" s="230"/>
      <c r="L28" s="230"/>
      <c r="M28" s="230"/>
      <c r="N28" s="230"/>
      <c r="O28" s="230"/>
      <c r="P28" s="230"/>
      <c r="Q28" s="230"/>
      <c r="R28" s="230"/>
      <c r="S28" s="230"/>
      <c r="T28" s="230"/>
      <c r="U28" s="230"/>
      <c r="V28" s="230"/>
      <c r="W28" s="230"/>
      <c r="X28" s="230"/>
      <c r="Y28" s="230"/>
      <c r="Z28" s="230"/>
    </row>
    <row r="29">
      <c r="A29" s="230"/>
      <c r="B29" s="230"/>
      <c r="C29" s="236" t="s">
        <v>305</v>
      </c>
      <c r="D29" s="237" t="s">
        <v>308</v>
      </c>
      <c r="E29" s="237" t="s">
        <v>289</v>
      </c>
      <c r="F29" s="238" t="b">
        <v>0</v>
      </c>
      <c r="G29" s="240">
        <v>1.0</v>
      </c>
      <c r="H29" s="237"/>
      <c r="I29" s="237"/>
      <c r="J29" s="230"/>
      <c r="K29" s="230"/>
      <c r="L29" s="230"/>
      <c r="M29" s="230"/>
      <c r="N29" s="230"/>
      <c r="O29" s="230"/>
      <c r="P29" s="230"/>
      <c r="Q29" s="230"/>
      <c r="R29" s="230"/>
      <c r="S29" s="230"/>
      <c r="T29" s="230"/>
      <c r="U29" s="230"/>
      <c r="V29" s="230"/>
      <c r="W29" s="230"/>
      <c r="X29" s="230"/>
      <c r="Y29" s="230"/>
      <c r="Z29" s="230"/>
    </row>
    <row r="30">
      <c r="A30" s="230"/>
      <c r="B30" s="230"/>
      <c r="C30" s="233" t="s">
        <v>309</v>
      </c>
      <c r="D30" s="234" t="s">
        <v>271</v>
      </c>
      <c r="E30" s="234" t="s">
        <v>272</v>
      </c>
      <c r="F30" s="235" t="b">
        <v>0</v>
      </c>
      <c r="G30" s="234"/>
      <c r="H30" s="234"/>
      <c r="I30" s="234"/>
      <c r="J30" s="230"/>
      <c r="K30" s="230"/>
      <c r="L30" s="230"/>
      <c r="M30" s="230"/>
      <c r="N30" s="230"/>
      <c r="O30" s="230"/>
      <c r="P30" s="230"/>
      <c r="Q30" s="230"/>
      <c r="R30" s="230"/>
      <c r="S30" s="230"/>
      <c r="T30" s="230"/>
      <c r="U30" s="230"/>
      <c r="V30" s="230"/>
      <c r="W30" s="230"/>
      <c r="X30" s="230"/>
      <c r="Y30" s="230"/>
      <c r="Z30" s="230"/>
    </row>
    <row r="31">
      <c r="A31" s="230"/>
      <c r="B31" s="230"/>
      <c r="C31" s="236" t="s">
        <v>309</v>
      </c>
      <c r="D31" s="237" t="s">
        <v>310</v>
      </c>
      <c r="E31" s="237" t="s">
        <v>272</v>
      </c>
      <c r="F31" s="238" t="b">
        <v>0</v>
      </c>
      <c r="G31" s="237"/>
      <c r="H31" s="237" t="s">
        <v>311</v>
      </c>
      <c r="I31" s="237"/>
      <c r="J31" s="230"/>
      <c r="K31" s="230"/>
      <c r="L31" s="230"/>
      <c r="M31" s="230"/>
      <c r="N31" s="230"/>
      <c r="O31" s="230"/>
      <c r="P31" s="230"/>
      <c r="Q31" s="230"/>
      <c r="R31" s="230"/>
      <c r="S31" s="230"/>
      <c r="T31" s="230"/>
      <c r="U31" s="230"/>
      <c r="V31" s="230"/>
      <c r="W31" s="230"/>
      <c r="X31" s="230"/>
      <c r="Y31" s="230"/>
      <c r="Z31" s="230"/>
    </row>
    <row r="32">
      <c r="A32" s="230"/>
      <c r="B32" s="230"/>
      <c r="C32" s="236" t="s">
        <v>309</v>
      </c>
      <c r="D32" s="237" t="s">
        <v>312</v>
      </c>
      <c r="E32" s="237" t="s">
        <v>276</v>
      </c>
      <c r="F32" s="238" t="b">
        <v>0</v>
      </c>
      <c r="G32" s="237"/>
      <c r="H32" s="237" t="s">
        <v>313</v>
      </c>
      <c r="I32" s="237" t="s">
        <v>314</v>
      </c>
      <c r="J32" s="230"/>
      <c r="K32" s="230"/>
      <c r="L32" s="230"/>
      <c r="M32" s="230"/>
      <c r="N32" s="230"/>
      <c r="O32" s="230"/>
      <c r="P32" s="230"/>
      <c r="Q32" s="230"/>
      <c r="R32" s="230"/>
      <c r="S32" s="230"/>
      <c r="T32" s="230"/>
      <c r="U32" s="230"/>
      <c r="V32" s="230"/>
      <c r="W32" s="230"/>
      <c r="X32" s="230"/>
      <c r="Y32" s="230"/>
      <c r="Z32" s="230"/>
    </row>
    <row r="33">
      <c r="A33" s="230"/>
      <c r="B33" s="230"/>
      <c r="C33" s="236" t="s">
        <v>309</v>
      </c>
      <c r="D33" s="237" t="s">
        <v>315</v>
      </c>
      <c r="E33" s="237" t="s">
        <v>272</v>
      </c>
      <c r="F33" s="238" t="b">
        <v>0</v>
      </c>
      <c r="G33" s="237"/>
      <c r="H33" s="237" t="s">
        <v>316</v>
      </c>
      <c r="I33" s="237"/>
      <c r="J33" s="230"/>
      <c r="K33" s="230"/>
      <c r="L33" s="230"/>
      <c r="M33" s="230"/>
      <c r="N33" s="230"/>
      <c r="O33" s="230"/>
      <c r="P33" s="230"/>
      <c r="Q33" s="230"/>
      <c r="R33" s="230"/>
      <c r="S33" s="230"/>
      <c r="T33" s="230"/>
      <c r="U33" s="230"/>
      <c r="V33" s="230"/>
      <c r="W33" s="230"/>
      <c r="X33" s="230"/>
      <c r="Y33" s="230"/>
      <c r="Z33" s="230"/>
    </row>
    <row r="34">
      <c r="A34" s="230"/>
      <c r="B34" s="230"/>
      <c r="C34" s="236" t="s">
        <v>309</v>
      </c>
      <c r="D34" s="237" t="s">
        <v>317</v>
      </c>
      <c r="E34" s="237" t="s">
        <v>272</v>
      </c>
      <c r="F34" s="238" t="b">
        <v>0</v>
      </c>
      <c r="G34" s="237"/>
      <c r="H34" s="237" t="s">
        <v>318</v>
      </c>
      <c r="I34" s="237"/>
      <c r="J34" s="230"/>
      <c r="K34" s="230"/>
      <c r="L34" s="230"/>
      <c r="M34" s="230"/>
      <c r="N34" s="230"/>
      <c r="O34" s="230"/>
      <c r="P34" s="230"/>
      <c r="Q34" s="230"/>
      <c r="R34" s="230"/>
      <c r="S34" s="230"/>
      <c r="T34" s="230"/>
      <c r="U34" s="230"/>
      <c r="V34" s="230"/>
      <c r="W34" s="230"/>
      <c r="X34" s="230"/>
      <c r="Y34" s="230"/>
      <c r="Z34" s="230"/>
    </row>
    <row r="35">
      <c r="A35" s="230"/>
      <c r="B35" s="230"/>
      <c r="C35" s="236" t="s">
        <v>309</v>
      </c>
      <c r="D35" s="237" t="s">
        <v>308</v>
      </c>
      <c r="E35" s="237" t="s">
        <v>289</v>
      </c>
      <c r="F35" s="238" t="b">
        <v>0</v>
      </c>
      <c r="G35" s="237"/>
      <c r="H35" s="237"/>
      <c r="I35" s="237"/>
      <c r="J35" s="230"/>
      <c r="K35" s="230"/>
      <c r="L35" s="230"/>
      <c r="M35" s="230"/>
      <c r="N35" s="230"/>
      <c r="O35" s="230"/>
      <c r="P35" s="230"/>
      <c r="Q35" s="230"/>
      <c r="R35" s="230"/>
      <c r="S35" s="230"/>
      <c r="T35" s="230"/>
      <c r="U35" s="230"/>
      <c r="V35" s="230"/>
      <c r="W35" s="230"/>
      <c r="X35" s="230"/>
      <c r="Y35" s="230"/>
      <c r="Z35" s="230"/>
    </row>
    <row r="36">
      <c r="A36" s="230"/>
      <c r="B36" s="230"/>
      <c r="C36" s="233" t="s">
        <v>319</v>
      </c>
      <c r="D36" s="234" t="s">
        <v>271</v>
      </c>
      <c r="E36" s="234" t="s">
        <v>272</v>
      </c>
      <c r="F36" s="235" t="b">
        <v>0</v>
      </c>
      <c r="G36" s="234"/>
      <c r="H36" s="234"/>
      <c r="I36" s="234"/>
      <c r="J36" s="230"/>
      <c r="K36" s="230"/>
      <c r="L36" s="230"/>
      <c r="M36" s="230"/>
      <c r="N36" s="230"/>
      <c r="O36" s="230"/>
      <c r="P36" s="230"/>
      <c r="Q36" s="230"/>
      <c r="R36" s="230"/>
      <c r="S36" s="230"/>
      <c r="T36" s="230"/>
      <c r="U36" s="230"/>
      <c r="V36" s="230"/>
      <c r="W36" s="230"/>
      <c r="X36" s="230"/>
      <c r="Y36" s="230"/>
      <c r="Z36" s="230"/>
    </row>
    <row r="37">
      <c r="A37" s="230"/>
      <c r="B37" s="230"/>
      <c r="C37" s="236" t="s">
        <v>319</v>
      </c>
      <c r="D37" s="237" t="s">
        <v>279</v>
      </c>
      <c r="E37" s="237" t="s">
        <v>276</v>
      </c>
      <c r="F37" s="238" t="b">
        <v>0</v>
      </c>
      <c r="G37" s="237"/>
      <c r="H37" s="237" t="s">
        <v>320</v>
      </c>
      <c r="I37" s="237" t="s">
        <v>280</v>
      </c>
      <c r="J37" s="230"/>
      <c r="K37" s="230"/>
      <c r="L37" s="230"/>
      <c r="M37" s="230"/>
      <c r="N37" s="230"/>
      <c r="O37" s="230"/>
      <c r="P37" s="230"/>
      <c r="Q37" s="230"/>
      <c r="R37" s="230"/>
      <c r="S37" s="230"/>
      <c r="T37" s="230"/>
      <c r="U37" s="230"/>
      <c r="V37" s="230"/>
      <c r="W37" s="230"/>
      <c r="X37" s="230"/>
      <c r="Y37" s="230"/>
      <c r="Z37" s="230"/>
    </row>
    <row r="38">
      <c r="A38" s="230"/>
      <c r="B38" s="230"/>
      <c r="C38" s="236" t="s">
        <v>319</v>
      </c>
      <c r="D38" s="237" t="s">
        <v>321</v>
      </c>
      <c r="E38" s="237" t="s">
        <v>289</v>
      </c>
      <c r="F38" s="238" t="b">
        <v>0</v>
      </c>
      <c r="G38" s="237"/>
      <c r="H38" s="237" t="s">
        <v>322</v>
      </c>
      <c r="I38" s="237"/>
      <c r="J38" s="230"/>
      <c r="K38" s="230"/>
      <c r="L38" s="230"/>
      <c r="M38" s="230"/>
      <c r="N38" s="230"/>
      <c r="O38" s="230"/>
      <c r="P38" s="230"/>
      <c r="Q38" s="230"/>
      <c r="R38" s="230"/>
      <c r="S38" s="230"/>
      <c r="T38" s="230"/>
      <c r="U38" s="230"/>
      <c r="V38" s="230"/>
      <c r="W38" s="230"/>
      <c r="X38" s="230"/>
      <c r="Y38" s="230"/>
      <c r="Z38" s="230"/>
    </row>
    <row r="39">
      <c r="A39" s="230"/>
      <c r="B39" s="230"/>
      <c r="C39" s="236" t="s">
        <v>319</v>
      </c>
      <c r="D39" s="237" t="s">
        <v>323</v>
      </c>
      <c r="E39" s="237" t="s">
        <v>289</v>
      </c>
      <c r="F39" s="238" t="b">
        <v>0</v>
      </c>
      <c r="G39" s="237"/>
      <c r="H39" s="237" t="s">
        <v>324</v>
      </c>
      <c r="I39" s="237"/>
      <c r="J39" s="230"/>
      <c r="K39" s="230"/>
      <c r="L39" s="230"/>
      <c r="M39" s="230"/>
      <c r="N39" s="230"/>
      <c r="O39" s="230"/>
      <c r="P39" s="230"/>
      <c r="Q39" s="230"/>
      <c r="R39" s="230"/>
      <c r="S39" s="230"/>
      <c r="T39" s="230"/>
      <c r="U39" s="230"/>
      <c r="V39" s="230"/>
      <c r="W39" s="230"/>
      <c r="X39" s="230"/>
      <c r="Y39" s="230"/>
      <c r="Z39" s="230"/>
    </row>
    <row r="40">
      <c r="A40" s="230"/>
      <c r="B40" s="230"/>
      <c r="C40" s="236" t="s">
        <v>319</v>
      </c>
      <c r="D40" s="237" t="s">
        <v>308</v>
      </c>
      <c r="E40" s="237" t="s">
        <v>289</v>
      </c>
      <c r="F40" s="238" t="b">
        <v>0</v>
      </c>
      <c r="G40" s="237"/>
      <c r="H40" s="237"/>
      <c r="I40" s="237"/>
      <c r="J40" s="230"/>
      <c r="K40" s="230"/>
      <c r="L40" s="230"/>
      <c r="M40" s="230"/>
      <c r="N40" s="230"/>
      <c r="O40" s="230"/>
      <c r="P40" s="230"/>
      <c r="Q40" s="230"/>
      <c r="R40" s="230"/>
      <c r="S40" s="230"/>
      <c r="T40" s="230"/>
      <c r="U40" s="230"/>
      <c r="V40" s="230"/>
      <c r="W40" s="230"/>
      <c r="X40" s="230"/>
      <c r="Y40" s="230"/>
      <c r="Z40" s="230"/>
    </row>
    <row r="41">
      <c r="A41" s="230"/>
      <c r="B41" s="230"/>
      <c r="C41" s="233" t="s">
        <v>325</v>
      </c>
      <c r="D41" s="234" t="s">
        <v>271</v>
      </c>
      <c r="E41" s="234" t="s">
        <v>272</v>
      </c>
      <c r="F41" s="235" t="b">
        <v>0</v>
      </c>
      <c r="G41" s="234"/>
      <c r="H41" s="234"/>
      <c r="I41" s="234"/>
      <c r="J41" s="230"/>
      <c r="K41" s="230"/>
      <c r="L41" s="230"/>
      <c r="M41" s="230"/>
      <c r="N41" s="230"/>
      <c r="O41" s="230"/>
      <c r="P41" s="230"/>
      <c r="Q41" s="230"/>
      <c r="R41" s="230"/>
      <c r="S41" s="230"/>
      <c r="T41" s="230"/>
      <c r="U41" s="230"/>
      <c r="V41" s="230"/>
      <c r="W41" s="230"/>
      <c r="X41" s="230"/>
      <c r="Y41" s="230"/>
      <c r="Z41" s="230"/>
    </row>
    <row r="42">
      <c r="A42" s="230"/>
      <c r="B42" s="230"/>
      <c r="C42" s="236" t="s">
        <v>325</v>
      </c>
      <c r="D42" s="237" t="s">
        <v>279</v>
      </c>
      <c r="E42" s="237" t="s">
        <v>276</v>
      </c>
      <c r="F42" s="238" t="b">
        <v>0</v>
      </c>
      <c r="G42" s="237"/>
      <c r="H42" s="237" t="s">
        <v>38</v>
      </c>
      <c r="I42" s="237" t="s">
        <v>280</v>
      </c>
      <c r="J42" s="230"/>
      <c r="K42" s="230"/>
      <c r="L42" s="230"/>
      <c r="M42" s="230"/>
      <c r="N42" s="230"/>
      <c r="O42" s="230"/>
      <c r="P42" s="230"/>
      <c r="Q42" s="230"/>
      <c r="R42" s="230"/>
      <c r="S42" s="230"/>
      <c r="T42" s="230"/>
      <c r="U42" s="230"/>
      <c r="V42" s="230"/>
      <c r="W42" s="230"/>
      <c r="X42" s="230"/>
      <c r="Y42" s="230"/>
      <c r="Z42" s="230"/>
    </row>
    <row r="43">
      <c r="A43" s="230"/>
      <c r="B43" s="230"/>
      <c r="C43" s="236" t="s">
        <v>325</v>
      </c>
      <c r="D43" s="237" t="s">
        <v>326</v>
      </c>
      <c r="E43" s="237" t="s">
        <v>272</v>
      </c>
      <c r="F43" s="238" t="b">
        <v>0</v>
      </c>
      <c r="G43" s="237"/>
      <c r="H43" s="237" t="s">
        <v>327</v>
      </c>
      <c r="I43" s="237"/>
      <c r="J43" s="230"/>
      <c r="K43" s="230"/>
      <c r="L43" s="230"/>
      <c r="M43" s="230"/>
      <c r="N43" s="230"/>
      <c r="O43" s="230"/>
      <c r="P43" s="230"/>
      <c r="Q43" s="230"/>
      <c r="R43" s="230"/>
      <c r="S43" s="230"/>
      <c r="T43" s="230"/>
      <c r="U43" s="230"/>
      <c r="V43" s="230"/>
      <c r="W43" s="230"/>
      <c r="X43" s="230"/>
      <c r="Y43" s="230"/>
      <c r="Z43" s="230"/>
    </row>
    <row r="44">
      <c r="A44" s="230"/>
      <c r="B44" s="230"/>
      <c r="C44" s="236" t="s">
        <v>325</v>
      </c>
      <c r="D44" s="237" t="s">
        <v>328</v>
      </c>
      <c r="E44" s="237" t="s">
        <v>289</v>
      </c>
      <c r="F44" s="238" t="b">
        <v>0</v>
      </c>
      <c r="G44" s="237"/>
      <c r="H44" s="237" t="s">
        <v>329</v>
      </c>
      <c r="I44" s="237"/>
      <c r="J44" s="230"/>
      <c r="K44" s="230"/>
      <c r="L44" s="230"/>
      <c r="M44" s="230"/>
      <c r="N44" s="230"/>
      <c r="O44" s="230"/>
      <c r="P44" s="230"/>
      <c r="Q44" s="230"/>
      <c r="R44" s="230"/>
      <c r="S44" s="230"/>
      <c r="T44" s="230"/>
      <c r="U44" s="230"/>
      <c r="V44" s="230"/>
      <c r="W44" s="230"/>
      <c r="X44" s="230"/>
      <c r="Y44" s="230"/>
      <c r="Z44" s="230"/>
    </row>
    <row r="45">
      <c r="A45" s="230"/>
      <c r="B45" s="230"/>
      <c r="C45" s="236" t="s">
        <v>325</v>
      </c>
      <c r="D45" s="237" t="s">
        <v>330</v>
      </c>
      <c r="E45" s="237" t="s">
        <v>289</v>
      </c>
      <c r="F45" s="238" t="b">
        <v>0</v>
      </c>
      <c r="G45" s="237"/>
      <c r="H45" s="237" t="s">
        <v>331</v>
      </c>
      <c r="I45" s="237"/>
      <c r="J45" s="230"/>
      <c r="K45" s="230"/>
      <c r="L45" s="230"/>
      <c r="M45" s="230"/>
      <c r="N45" s="230"/>
      <c r="O45" s="230"/>
      <c r="P45" s="230"/>
      <c r="Q45" s="230"/>
      <c r="R45" s="230"/>
      <c r="S45" s="230"/>
      <c r="T45" s="230"/>
      <c r="U45" s="230"/>
      <c r="V45" s="230"/>
      <c r="W45" s="230"/>
      <c r="X45" s="230"/>
      <c r="Y45" s="230"/>
      <c r="Z45" s="230"/>
    </row>
    <row r="46">
      <c r="A46" s="230"/>
      <c r="B46" s="230"/>
      <c r="C46" s="236" t="s">
        <v>325</v>
      </c>
      <c r="D46" s="237" t="s">
        <v>332</v>
      </c>
      <c r="E46" s="237" t="s">
        <v>289</v>
      </c>
      <c r="F46" s="238" t="b">
        <v>0</v>
      </c>
      <c r="G46" s="237"/>
      <c r="H46" s="241" t="s">
        <v>333</v>
      </c>
      <c r="I46" s="237"/>
      <c r="J46" s="230"/>
      <c r="K46" s="230"/>
      <c r="L46" s="230"/>
      <c r="M46" s="230"/>
      <c r="N46" s="230"/>
      <c r="O46" s="230"/>
      <c r="P46" s="230"/>
      <c r="Q46" s="230"/>
      <c r="R46" s="230"/>
      <c r="S46" s="230"/>
      <c r="T46" s="230"/>
      <c r="U46" s="230"/>
      <c r="V46" s="230"/>
      <c r="W46" s="230"/>
      <c r="X46" s="230"/>
      <c r="Y46" s="230"/>
      <c r="Z46" s="230"/>
    </row>
    <row r="47">
      <c r="A47" s="230"/>
      <c r="B47" s="230"/>
      <c r="C47" s="236" t="s">
        <v>325</v>
      </c>
      <c r="D47" s="237" t="s">
        <v>308</v>
      </c>
      <c r="E47" s="237" t="s">
        <v>289</v>
      </c>
      <c r="F47" s="238" t="b">
        <v>0</v>
      </c>
      <c r="G47" s="237"/>
      <c r="H47" s="237" t="s">
        <v>324</v>
      </c>
      <c r="I47" s="237"/>
      <c r="J47" s="230"/>
      <c r="K47" s="230"/>
      <c r="L47" s="230"/>
      <c r="M47" s="230"/>
      <c r="N47" s="230"/>
      <c r="O47" s="230"/>
      <c r="P47" s="230"/>
      <c r="Q47" s="230"/>
      <c r="R47" s="230"/>
      <c r="S47" s="230"/>
      <c r="T47" s="230"/>
      <c r="U47" s="230"/>
      <c r="V47" s="230"/>
      <c r="W47" s="230"/>
      <c r="X47" s="230"/>
      <c r="Y47" s="230"/>
      <c r="Z47" s="230"/>
    </row>
    <row r="48">
      <c r="A48" s="230"/>
      <c r="B48" s="230"/>
      <c r="C48" s="233" t="s">
        <v>334</v>
      </c>
      <c r="D48" s="234" t="s">
        <v>271</v>
      </c>
      <c r="E48" s="234" t="s">
        <v>272</v>
      </c>
      <c r="F48" s="235" t="b">
        <v>0</v>
      </c>
      <c r="G48" s="234"/>
      <c r="H48" s="234"/>
      <c r="I48" s="234"/>
      <c r="J48" s="230"/>
      <c r="K48" s="230"/>
      <c r="L48" s="230"/>
      <c r="M48" s="230"/>
      <c r="N48" s="230"/>
      <c r="O48" s="230"/>
      <c r="P48" s="230"/>
      <c r="Q48" s="230"/>
      <c r="R48" s="230"/>
      <c r="S48" s="230"/>
      <c r="T48" s="230"/>
      <c r="U48" s="230"/>
      <c r="V48" s="230"/>
      <c r="W48" s="230"/>
      <c r="X48" s="230"/>
      <c r="Y48" s="230"/>
      <c r="Z48" s="230"/>
    </row>
    <row r="49">
      <c r="A49" s="230"/>
      <c r="B49" s="230"/>
      <c r="C49" s="236" t="s">
        <v>334</v>
      </c>
      <c r="D49" s="237" t="s">
        <v>279</v>
      </c>
      <c r="E49" s="237" t="s">
        <v>276</v>
      </c>
      <c r="F49" s="238" t="b">
        <v>0</v>
      </c>
      <c r="G49" s="237"/>
      <c r="H49" s="237" t="s">
        <v>38</v>
      </c>
      <c r="I49" s="237" t="s">
        <v>280</v>
      </c>
      <c r="J49" s="230"/>
      <c r="K49" s="230"/>
      <c r="L49" s="230"/>
      <c r="M49" s="230"/>
      <c r="N49" s="230"/>
      <c r="O49" s="230"/>
      <c r="P49" s="230"/>
      <c r="Q49" s="230"/>
      <c r="R49" s="230"/>
      <c r="S49" s="230"/>
      <c r="T49" s="230"/>
      <c r="U49" s="230"/>
      <c r="V49" s="230"/>
      <c r="W49" s="230"/>
      <c r="X49" s="230"/>
      <c r="Y49" s="230"/>
      <c r="Z49" s="230"/>
    </row>
    <row r="50">
      <c r="A50" s="230"/>
      <c r="B50" s="230"/>
      <c r="C50" s="236" t="s">
        <v>334</v>
      </c>
      <c r="D50" s="237" t="s">
        <v>335</v>
      </c>
      <c r="E50" s="237" t="s">
        <v>289</v>
      </c>
      <c r="F50" s="238" t="b">
        <v>0</v>
      </c>
      <c r="G50" s="237"/>
      <c r="H50" s="237" t="s">
        <v>336</v>
      </c>
      <c r="I50" s="237"/>
      <c r="J50" s="230"/>
      <c r="K50" s="230"/>
      <c r="L50" s="230"/>
      <c r="M50" s="230"/>
      <c r="N50" s="230"/>
      <c r="O50" s="230"/>
      <c r="P50" s="230"/>
      <c r="Q50" s="230"/>
      <c r="R50" s="230"/>
      <c r="S50" s="230"/>
      <c r="T50" s="230"/>
      <c r="U50" s="230"/>
      <c r="V50" s="230"/>
      <c r="W50" s="230"/>
      <c r="X50" s="230"/>
      <c r="Y50" s="230"/>
      <c r="Z50" s="230"/>
    </row>
    <row r="51">
      <c r="A51" s="230"/>
      <c r="B51" s="230"/>
      <c r="C51" s="236" t="s">
        <v>334</v>
      </c>
      <c r="D51" s="237" t="s">
        <v>337</v>
      </c>
      <c r="E51" s="237" t="s">
        <v>289</v>
      </c>
      <c r="F51" s="238" t="b">
        <v>0</v>
      </c>
      <c r="G51" s="237"/>
      <c r="H51" s="237" t="s">
        <v>338</v>
      </c>
      <c r="I51" s="237"/>
      <c r="J51" s="230"/>
      <c r="K51" s="230"/>
      <c r="L51" s="230"/>
      <c r="M51" s="230"/>
      <c r="N51" s="230"/>
      <c r="O51" s="230"/>
      <c r="P51" s="230"/>
      <c r="Q51" s="230"/>
      <c r="R51" s="230"/>
      <c r="S51" s="230"/>
      <c r="T51" s="230"/>
      <c r="U51" s="230"/>
      <c r="V51" s="230"/>
      <c r="W51" s="230"/>
      <c r="X51" s="230"/>
      <c r="Y51" s="230"/>
      <c r="Z51" s="230"/>
    </row>
    <row r="52">
      <c r="A52" s="230"/>
      <c r="B52" s="230"/>
      <c r="C52" s="236" t="s">
        <v>334</v>
      </c>
      <c r="D52" s="237" t="s">
        <v>308</v>
      </c>
      <c r="E52" s="237" t="s">
        <v>289</v>
      </c>
      <c r="F52" s="238" t="b">
        <v>0</v>
      </c>
      <c r="G52" s="237"/>
      <c r="H52" s="237"/>
      <c r="I52" s="237"/>
      <c r="J52" s="230"/>
      <c r="K52" s="230"/>
      <c r="L52" s="230"/>
      <c r="M52" s="230"/>
      <c r="N52" s="230"/>
      <c r="O52" s="230"/>
      <c r="P52" s="230"/>
      <c r="Q52" s="230"/>
      <c r="R52" s="230"/>
      <c r="S52" s="230"/>
      <c r="T52" s="230"/>
      <c r="U52" s="230"/>
      <c r="V52" s="230"/>
      <c r="W52" s="230"/>
      <c r="X52" s="230"/>
      <c r="Y52" s="230"/>
      <c r="Z52" s="230"/>
    </row>
    <row r="53">
      <c r="A53" s="230"/>
      <c r="B53" s="230"/>
      <c r="C53" s="230"/>
      <c r="D53" s="230"/>
      <c r="E53" s="230"/>
      <c r="F53" s="230"/>
      <c r="G53" s="230"/>
      <c r="H53" s="230"/>
      <c r="I53" s="230"/>
      <c r="J53" s="230"/>
      <c r="K53" s="230"/>
      <c r="L53" s="230"/>
      <c r="M53" s="230"/>
      <c r="N53" s="230"/>
      <c r="O53" s="230"/>
      <c r="P53" s="230"/>
      <c r="Q53" s="230"/>
      <c r="R53" s="230"/>
      <c r="S53" s="230"/>
      <c r="T53" s="230"/>
      <c r="U53" s="230"/>
      <c r="V53" s="230"/>
      <c r="W53" s="230"/>
      <c r="X53" s="230"/>
      <c r="Y53" s="230"/>
      <c r="Z53" s="230"/>
    </row>
    <row r="54">
      <c r="A54" s="230"/>
      <c r="B54" s="230"/>
      <c r="C54" s="230"/>
      <c r="D54" s="230"/>
      <c r="E54" s="230"/>
      <c r="F54" s="230"/>
      <c r="G54" s="230"/>
      <c r="H54" s="230"/>
      <c r="I54" s="230"/>
      <c r="J54" s="230"/>
      <c r="K54" s="230"/>
      <c r="L54" s="230"/>
      <c r="M54" s="230"/>
      <c r="N54" s="230"/>
      <c r="O54" s="230"/>
      <c r="P54" s="230"/>
      <c r="Q54" s="230"/>
      <c r="R54" s="230"/>
      <c r="S54" s="230"/>
      <c r="T54" s="230"/>
      <c r="U54" s="230"/>
      <c r="V54" s="230"/>
      <c r="W54" s="230"/>
      <c r="X54" s="230"/>
      <c r="Y54" s="230"/>
      <c r="Z54" s="230"/>
    </row>
    <row r="55">
      <c r="A55" s="230"/>
      <c r="B55" s="230"/>
      <c r="C55" s="230"/>
      <c r="D55" s="230"/>
      <c r="E55" s="230"/>
      <c r="F55" s="230"/>
      <c r="G55" s="230"/>
      <c r="H55" s="230"/>
      <c r="I55" s="230"/>
      <c r="J55" s="230"/>
      <c r="K55" s="230"/>
      <c r="L55" s="230"/>
      <c r="M55" s="230"/>
      <c r="N55" s="230"/>
      <c r="O55" s="230"/>
      <c r="P55" s="230"/>
      <c r="Q55" s="230"/>
      <c r="R55" s="230"/>
      <c r="S55" s="230"/>
      <c r="T55" s="230"/>
      <c r="U55" s="230"/>
      <c r="V55" s="230"/>
      <c r="W55" s="230"/>
      <c r="X55" s="230"/>
      <c r="Y55" s="230"/>
      <c r="Z55" s="230"/>
    </row>
    <row r="56">
      <c r="A56" s="230"/>
      <c r="B56" s="230"/>
      <c r="C56" s="230"/>
      <c r="D56" s="230"/>
      <c r="E56" s="230"/>
      <c r="F56" s="230"/>
      <c r="G56" s="230"/>
      <c r="H56" s="230"/>
      <c r="I56" s="230"/>
      <c r="J56" s="230"/>
      <c r="K56" s="230"/>
      <c r="L56" s="230"/>
      <c r="M56" s="230"/>
      <c r="N56" s="230"/>
      <c r="O56" s="230"/>
      <c r="P56" s="230"/>
      <c r="Q56" s="230"/>
      <c r="R56" s="230"/>
      <c r="S56" s="230"/>
      <c r="T56" s="230"/>
      <c r="U56" s="230"/>
      <c r="V56" s="230"/>
      <c r="W56" s="230"/>
      <c r="X56" s="230"/>
      <c r="Y56" s="230"/>
      <c r="Z56" s="230"/>
    </row>
    <row r="57">
      <c r="A57" s="230"/>
      <c r="B57" s="230"/>
      <c r="C57" s="230"/>
      <c r="D57" s="230"/>
      <c r="E57" s="230"/>
      <c r="F57" s="230"/>
      <c r="G57" s="230"/>
      <c r="H57" s="230"/>
      <c r="I57" s="230"/>
      <c r="J57" s="230"/>
      <c r="K57" s="230"/>
      <c r="L57" s="230"/>
      <c r="M57" s="230"/>
      <c r="N57" s="230"/>
      <c r="O57" s="230"/>
      <c r="P57" s="230"/>
      <c r="Q57" s="230"/>
      <c r="R57" s="230"/>
      <c r="S57" s="230"/>
      <c r="T57" s="230"/>
      <c r="U57" s="230"/>
      <c r="V57" s="230"/>
      <c r="W57" s="230"/>
      <c r="X57" s="230"/>
      <c r="Y57" s="230"/>
      <c r="Z57" s="230"/>
    </row>
    <row r="58">
      <c r="A58" s="230"/>
      <c r="B58" s="230"/>
      <c r="C58" s="230"/>
      <c r="D58" s="230"/>
      <c r="E58" s="230"/>
      <c r="F58" s="230"/>
      <c r="G58" s="230"/>
      <c r="H58" s="230"/>
      <c r="I58" s="230"/>
      <c r="J58" s="230"/>
      <c r="K58" s="230"/>
      <c r="L58" s="230"/>
      <c r="M58" s="230"/>
      <c r="N58" s="230"/>
      <c r="O58" s="230"/>
      <c r="P58" s="230"/>
      <c r="Q58" s="230"/>
      <c r="R58" s="230"/>
      <c r="S58" s="230"/>
      <c r="T58" s="230"/>
      <c r="U58" s="230"/>
      <c r="V58" s="230"/>
      <c r="W58" s="230"/>
      <c r="X58" s="230"/>
      <c r="Y58" s="230"/>
      <c r="Z58" s="230"/>
    </row>
    <row r="59">
      <c r="A59" s="230"/>
      <c r="B59" s="230"/>
      <c r="C59" s="230"/>
      <c r="D59" s="230"/>
      <c r="E59" s="230"/>
      <c r="F59" s="230"/>
      <c r="G59" s="230"/>
      <c r="H59" s="230"/>
      <c r="I59" s="230"/>
      <c r="J59" s="230"/>
      <c r="K59" s="230"/>
      <c r="L59" s="230"/>
      <c r="M59" s="230"/>
      <c r="N59" s="230"/>
      <c r="O59" s="230"/>
      <c r="P59" s="230"/>
      <c r="Q59" s="230"/>
      <c r="R59" s="230"/>
      <c r="S59" s="230"/>
      <c r="T59" s="230"/>
      <c r="U59" s="230"/>
      <c r="V59" s="230"/>
      <c r="W59" s="230"/>
      <c r="X59" s="230"/>
      <c r="Y59" s="230"/>
      <c r="Z59" s="230"/>
    </row>
    <row r="60">
      <c r="A60" s="230"/>
      <c r="B60" s="230"/>
      <c r="C60" s="230"/>
      <c r="D60" s="230"/>
      <c r="E60" s="230"/>
      <c r="F60" s="230"/>
      <c r="G60" s="230"/>
      <c r="H60" s="230"/>
      <c r="I60" s="230"/>
      <c r="J60" s="230"/>
      <c r="K60" s="230"/>
      <c r="L60" s="230"/>
      <c r="M60" s="230"/>
      <c r="N60" s="230"/>
      <c r="O60" s="230"/>
      <c r="P60" s="230"/>
      <c r="Q60" s="230"/>
      <c r="R60" s="230"/>
      <c r="S60" s="230"/>
      <c r="T60" s="230"/>
      <c r="U60" s="230"/>
      <c r="V60" s="230"/>
      <c r="W60" s="230"/>
      <c r="X60" s="230"/>
      <c r="Y60" s="230"/>
      <c r="Z60" s="230"/>
    </row>
    <row r="61">
      <c r="A61" s="230"/>
      <c r="B61" s="230"/>
      <c r="C61" s="230"/>
      <c r="D61" s="230"/>
      <c r="E61" s="230"/>
      <c r="F61" s="230"/>
      <c r="G61" s="230"/>
      <c r="H61" s="230"/>
      <c r="I61" s="230"/>
      <c r="J61" s="230"/>
      <c r="K61" s="230"/>
      <c r="L61" s="230"/>
      <c r="M61" s="230"/>
      <c r="N61" s="230"/>
      <c r="O61" s="230"/>
      <c r="P61" s="230"/>
      <c r="Q61" s="230"/>
      <c r="R61" s="230"/>
      <c r="S61" s="230"/>
      <c r="T61" s="230"/>
      <c r="U61" s="230"/>
      <c r="V61" s="230"/>
      <c r="W61" s="230"/>
      <c r="X61" s="230"/>
      <c r="Y61" s="230"/>
      <c r="Z61" s="230"/>
    </row>
    <row r="62">
      <c r="A62" s="230"/>
      <c r="B62" s="230"/>
      <c r="C62" s="230"/>
      <c r="D62" s="230"/>
      <c r="E62" s="230"/>
      <c r="F62" s="230"/>
      <c r="G62" s="230"/>
      <c r="H62" s="230"/>
      <c r="I62" s="230"/>
      <c r="J62" s="230"/>
      <c r="K62" s="230"/>
      <c r="L62" s="230"/>
      <c r="M62" s="230"/>
      <c r="N62" s="230"/>
      <c r="O62" s="230"/>
      <c r="P62" s="230"/>
      <c r="Q62" s="230"/>
      <c r="R62" s="230"/>
      <c r="S62" s="230"/>
      <c r="T62" s="230"/>
      <c r="U62" s="230"/>
      <c r="V62" s="230"/>
      <c r="W62" s="230"/>
      <c r="X62" s="230"/>
      <c r="Y62" s="230"/>
      <c r="Z62" s="230"/>
    </row>
    <row r="63">
      <c r="A63" s="230"/>
      <c r="B63" s="230"/>
      <c r="C63" s="230"/>
      <c r="D63" s="230"/>
      <c r="E63" s="230"/>
      <c r="F63" s="230"/>
      <c r="G63" s="230"/>
      <c r="H63" s="230"/>
      <c r="I63" s="230"/>
      <c r="J63" s="230"/>
      <c r="K63" s="230"/>
      <c r="L63" s="230"/>
      <c r="M63" s="230"/>
      <c r="N63" s="230"/>
      <c r="O63" s="230"/>
      <c r="P63" s="230"/>
      <c r="Q63" s="230"/>
      <c r="R63" s="230"/>
      <c r="S63" s="230"/>
      <c r="T63" s="230"/>
      <c r="U63" s="230"/>
      <c r="V63" s="230"/>
      <c r="W63" s="230"/>
      <c r="X63" s="230"/>
      <c r="Y63" s="230"/>
      <c r="Z63" s="230"/>
    </row>
    <row r="64">
      <c r="A64" s="230"/>
      <c r="B64" s="230"/>
      <c r="C64" s="230"/>
      <c r="D64" s="230"/>
      <c r="E64" s="230"/>
      <c r="F64" s="230"/>
      <c r="G64" s="230"/>
      <c r="H64" s="230"/>
      <c r="I64" s="230"/>
      <c r="J64" s="230"/>
      <c r="K64" s="230"/>
      <c r="L64" s="230"/>
      <c r="M64" s="230"/>
      <c r="N64" s="230"/>
      <c r="O64" s="230"/>
      <c r="P64" s="230"/>
      <c r="Q64" s="230"/>
      <c r="R64" s="230"/>
      <c r="S64" s="230"/>
      <c r="T64" s="230"/>
      <c r="U64" s="230"/>
      <c r="V64" s="230"/>
      <c r="W64" s="230"/>
      <c r="X64" s="230"/>
      <c r="Y64" s="230"/>
      <c r="Z64" s="230"/>
    </row>
    <row r="65">
      <c r="A65" s="230"/>
      <c r="B65" s="230"/>
      <c r="C65" s="230"/>
      <c r="D65" s="230"/>
      <c r="E65" s="230"/>
      <c r="F65" s="230"/>
      <c r="G65" s="230"/>
      <c r="H65" s="230"/>
      <c r="I65" s="230"/>
      <c r="J65" s="230"/>
      <c r="K65" s="230"/>
      <c r="L65" s="230"/>
      <c r="M65" s="230"/>
      <c r="N65" s="230"/>
      <c r="O65" s="230"/>
      <c r="P65" s="230"/>
      <c r="Q65" s="230"/>
      <c r="R65" s="230"/>
      <c r="S65" s="230"/>
      <c r="T65" s="230"/>
      <c r="U65" s="230"/>
      <c r="V65" s="230"/>
      <c r="W65" s="230"/>
      <c r="X65" s="230"/>
      <c r="Y65" s="230"/>
      <c r="Z65" s="230"/>
    </row>
    <row r="66">
      <c r="A66" s="230"/>
      <c r="B66" s="230"/>
      <c r="C66" s="230"/>
      <c r="D66" s="230"/>
      <c r="E66" s="230"/>
      <c r="F66" s="230"/>
      <c r="G66" s="230"/>
      <c r="H66" s="230"/>
      <c r="I66" s="230"/>
      <c r="J66" s="230"/>
      <c r="K66" s="230"/>
      <c r="L66" s="230"/>
      <c r="M66" s="230"/>
      <c r="N66" s="230"/>
      <c r="O66" s="230"/>
      <c r="P66" s="230"/>
      <c r="Q66" s="230"/>
      <c r="R66" s="230"/>
      <c r="S66" s="230"/>
      <c r="T66" s="230"/>
      <c r="U66" s="230"/>
      <c r="V66" s="230"/>
      <c r="W66" s="230"/>
      <c r="X66" s="230"/>
      <c r="Y66" s="230"/>
      <c r="Z66" s="230"/>
    </row>
    <row r="67">
      <c r="A67" s="230"/>
      <c r="B67" s="230"/>
      <c r="C67" s="230"/>
      <c r="D67" s="230"/>
      <c r="E67" s="230"/>
      <c r="F67" s="230"/>
      <c r="G67" s="230"/>
      <c r="H67" s="230"/>
      <c r="I67" s="230"/>
      <c r="J67" s="230"/>
      <c r="K67" s="230"/>
      <c r="L67" s="230"/>
      <c r="M67" s="230"/>
      <c r="N67" s="230"/>
      <c r="O67" s="230"/>
      <c r="P67" s="230"/>
      <c r="Q67" s="230"/>
      <c r="R67" s="230"/>
      <c r="S67" s="230"/>
      <c r="T67" s="230"/>
      <c r="U67" s="230"/>
      <c r="V67" s="230"/>
      <c r="W67" s="230"/>
      <c r="X67" s="230"/>
      <c r="Y67" s="230"/>
      <c r="Z67" s="230"/>
    </row>
    <row r="68">
      <c r="A68" s="230"/>
      <c r="B68" s="230"/>
      <c r="C68" s="230"/>
      <c r="D68" s="230"/>
      <c r="E68" s="230"/>
      <c r="F68" s="230"/>
      <c r="G68" s="230"/>
      <c r="H68" s="230"/>
      <c r="I68" s="230"/>
      <c r="J68" s="230"/>
      <c r="K68" s="230"/>
      <c r="L68" s="230"/>
      <c r="M68" s="230"/>
      <c r="N68" s="230"/>
      <c r="O68" s="230"/>
      <c r="P68" s="230"/>
      <c r="Q68" s="230"/>
      <c r="R68" s="230"/>
      <c r="S68" s="230"/>
      <c r="T68" s="230"/>
      <c r="U68" s="230"/>
      <c r="V68" s="230"/>
      <c r="W68" s="230"/>
      <c r="X68" s="230"/>
      <c r="Y68" s="230"/>
      <c r="Z68" s="230"/>
    </row>
    <row r="69">
      <c r="A69" s="230"/>
      <c r="B69" s="230"/>
      <c r="C69" s="230"/>
      <c r="D69" s="230"/>
      <c r="E69" s="230"/>
      <c r="F69" s="230"/>
      <c r="G69" s="230"/>
      <c r="H69" s="230"/>
      <c r="I69" s="230"/>
      <c r="J69" s="230"/>
      <c r="K69" s="230"/>
      <c r="L69" s="230"/>
      <c r="M69" s="230"/>
      <c r="N69" s="230"/>
      <c r="O69" s="230"/>
      <c r="P69" s="230"/>
      <c r="Q69" s="230"/>
      <c r="R69" s="230"/>
      <c r="S69" s="230"/>
      <c r="T69" s="230"/>
      <c r="U69" s="230"/>
      <c r="V69" s="230"/>
      <c r="W69" s="230"/>
      <c r="X69" s="230"/>
      <c r="Y69" s="230"/>
      <c r="Z69" s="230"/>
    </row>
    <row r="70">
      <c r="A70" s="230"/>
      <c r="B70" s="230"/>
      <c r="C70" s="230"/>
      <c r="D70" s="230"/>
      <c r="E70" s="230"/>
      <c r="F70" s="230"/>
      <c r="G70" s="230"/>
      <c r="H70" s="230"/>
      <c r="I70" s="230"/>
      <c r="J70" s="230"/>
      <c r="K70" s="230"/>
      <c r="L70" s="230"/>
      <c r="M70" s="230"/>
      <c r="N70" s="230"/>
      <c r="O70" s="230"/>
      <c r="P70" s="230"/>
      <c r="Q70" s="230"/>
      <c r="R70" s="230"/>
      <c r="S70" s="230"/>
      <c r="T70" s="230"/>
      <c r="U70" s="230"/>
      <c r="V70" s="230"/>
      <c r="W70" s="230"/>
      <c r="X70" s="230"/>
      <c r="Y70" s="230"/>
      <c r="Z70" s="230"/>
    </row>
    <row r="71">
      <c r="A71" s="230"/>
      <c r="B71" s="230"/>
      <c r="C71" s="230"/>
      <c r="D71" s="230"/>
      <c r="E71" s="230"/>
      <c r="F71" s="230"/>
      <c r="G71" s="230"/>
      <c r="H71" s="230"/>
      <c r="I71" s="230"/>
      <c r="J71" s="230"/>
      <c r="K71" s="230"/>
      <c r="L71" s="230"/>
      <c r="M71" s="230"/>
      <c r="N71" s="230"/>
      <c r="O71" s="230"/>
      <c r="P71" s="230"/>
      <c r="Q71" s="230"/>
      <c r="R71" s="230"/>
      <c r="S71" s="230"/>
      <c r="T71" s="230"/>
      <c r="U71" s="230"/>
      <c r="V71" s="230"/>
      <c r="W71" s="230"/>
      <c r="X71" s="230"/>
      <c r="Y71" s="230"/>
      <c r="Z71" s="230"/>
    </row>
    <row r="72">
      <c r="A72" s="230"/>
      <c r="B72" s="230"/>
      <c r="C72" s="230"/>
      <c r="D72" s="230"/>
      <c r="E72" s="230"/>
      <c r="F72" s="230"/>
      <c r="G72" s="230"/>
      <c r="H72" s="230"/>
      <c r="I72" s="230"/>
      <c r="J72" s="230"/>
      <c r="K72" s="230"/>
      <c r="L72" s="230"/>
      <c r="M72" s="230"/>
      <c r="N72" s="230"/>
      <c r="O72" s="230"/>
      <c r="P72" s="230"/>
      <c r="Q72" s="230"/>
      <c r="R72" s="230"/>
      <c r="S72" s="230"/>
      <c r="T72" s="230"/>
      <c r="U72" s="230"/>
      <c r="V72" s="230"/>
      <c r="W72" s="230"/>
      <c r="X72" s="230"/>
      <c r="Y72" s="230"/>
      <c r="Z72" s="230"/>
    </row>
    <row r="73">
      <c r="A73" s="230"/>
      <c r="B73" s="230"/>
      <c r="C73" s="230"/>
      <c r="D73" s="230"/>
      <c r="E73" s="230"/>
      <c r="F73" s="230"/>
      <c r="G73" s="230"/>
      <c r="H73" s="230"/>
      <c r="I73" s="230"/>
      <c r="J73" s="230"/>
      <c r="K73" s="230"/>
      <c r="L73" s="230"/>
      <c r="M73" s="230"/>
      <c r="N73" s="230"/>
      <c r="O73" s="230"/>
      <c r="P73" s="230"/>
      <c r="Q73" s="230"/>
      <c r="R73" s="230"/>
      <c r="S73" s="230"/>
      <c r="T73" s="230"/>
      <c r="U73" s="230"/>
      <c r="V73" s="230"/>
      <c r="W73" s="230"/>
      <c r="X73" s="230"/>
      <c r="Y73" s="230"/>
      <c r="Z73" s="230"/>
    </row>
    <row r="74">
      <c r="A74" s="230"/>
      <c r="B74" s="230"/>
      <c r="C74" s="230"/>
      <c r="D74" s="230"/>
      <c r="E74" s="230"/>
      <c r="F74" s="230"/>
      <c r="G74" s="230"/>
      <c r="H74" s="230"/>
      <c r="I74" s="230"/>
      <c r="J74" s="230"/>
      <c r="K74" s="230"/>
      <c r="L74" s="230"/>
      <c r="M74" s="230"/>
      <c r="N74" s="230"/>
      <c r="O74" s="230"/>
      <c r="P74" s="230"/>
      <c r="Q74" s="230"/>
      <c r="R74" s="230"/>
      <c r="S74" s="230"/>
      <c r="T74" s="230"/>
      <c r="U74" s="230"/>
      <c r="V74" s="230"/>
      <c r="W74" s="230"/>
      <c r="X74" s="230"/>
      <c r="Y74" s="230"/>
      <c r="Z74" s="230"/>
    </row>
    <row r="75">
      <c r="A75" s="230"/>
      <c r="B75" s="230"/>
      <c r="C75" s="230"/>
      <c r="D75" s="230"/>
      <c r="E75" s="230"/>
      <c r="F75" s="230"/>
      <c r="G75" s="230"/>
      <c r="H75" s="230"/>
      <c r="I75" s="230"/>
      <c r="J75" s="230"/>
      <c r="K75" s="230"/>
      <c r="L75" s="230"/>
      <c r="M75" s="230"/>
      <c r="N75" s="230"/>
      <c r="O75" s="230"/>
      <c r="P75" s="230"/>
      <c r="Q75" s="230"/>
      <c r="R75" s="230"/>
      <c r="S75" s="230"/>
      <c r="T75" s="230"/>
      <c r="U75" s="230"/>
      <c r="V75" s="230"/>
      <c r="W75" s="230"/>
      <c r="X75" s="230"/>
      <c r="Y75" s="230"/>
      <c r="Z75" s="230"/>
    </row>
    <row r="76">
      <c r="A76" s="230"/>
      <c r="B76" s="230"/>
      <c r="C76" s="230"/>
      <c r="D76" s="230"/>
      <c r="E76" s="230"/>
      <c r="F76" s="230"/>
      <c r="G76" s="230"/>
      <c r="H76" s="230"/>
      <c r="I76" s="230"/>
      <c r="J76" s="230"/>
      <c r="K76" s="230"/>
      <c r="L76" s="230"/>
      <c r="M76" s="230"/>
      <c r="N76" s="230"/>
      <c r="O76" s="230"/>
      <c r="P76" s="230"/>
      <c r="Q76" s="230"/>
      <c r="R76" s="230"/>
      <c r="S76" s="230"/>
      <c r="T76" s="230"/>
      <c r="U76" s="230"/>
      <c r="V76" s="230"/>
      <c r="W76" s="230"/>
      <c r="X76" s="230"/>
      <c r="Y76" s="230"/>
      <c r="Z76" s="230"/>
    </row>
    <row r="77">
      <c r="A77" s="230"/>
      <c r="B77" s="230"/>
      <c r="C77" s="230"/>
      <c r="D77" s="230"/>
      <c r="E77" s="230"/>
      <c r="F77" s="230"/>
      <c r="G77" s="230"/>
      <c r="H77" s="230"/>
      <c r="I77" s="230"/>
      <c r="J77" s="230"/>
      <c r="K77" s="230"/>
      <c r="L77" s="230"/>
      <c r="M77" s="230"/>
      <c r="N77" s="230"/>
      <c r="O77" s="230"/>
      <c r="P77" s="230"/>
      <c r="Q77" s="230"/>
      <c r="R77" s="230"/>
      <c r="S77" s="230"/>
      <c r="T77" s="230"/>
      <c r="U77" s="230"/>
      <c r="V77" s="230"/>
      <c r="W77" s="230"/>
      <c r="X77" s="230"/>
      <c r="Y77" s="230"/>
      <c r="Z77" s="230"/>
    </row>
    <row r="78">
      <c r="A78" s="230"/>
      <c r="B78" s="230"/>
      <c r="C78" s="230"/>
      <c r="D78" s="230"/>
      <c r="E78" s="230"/>
      <c r="F78" s="230"/>
      <c r="G78" s="230"/>
      <c r="H78" s="230"/>
      <c r="I78" s="230"/>
      <c r="J78" s="230"/>
      <c r="K78" s="230"/>
      <c r="L78" s="230"/>
      <c r="M78" s="230"/>
      <c r="N78" s="230"/>
      <c r="O78" s="230"/>
      <c r="P78" s="230"/>
      <c r="Q78" s="230"/>
      <c r="R78" s="230"/>
      <c r="S78" s="230"/>
      <c r="T78" s="230"/>
      <c r="U78" s="230"/>
      <c r="V78" s="230"/>
      <c r="W78" s="230"/>
      <c r="X78" s="230"/>
      <c r="Y78" s="230"/>
      <c r="Z78" s="230"/>
    </row>
    <row r="79">
      <c r="A79" s="230"/>
      <c r="B79" s="230"/>
      <c r="C79" s="230"/>
      <c r="D79" s="230"/>
      <c r="E79" s="230"/>
      <c r="F79" s="230"/>
      <c r="G79" s="230"/>
      <c r="H79" s="230"/>
      <c r="I79" s="230"/>
      <c r="J79" s="230"/>
      <c r="K79" s="230"/>
      <c r="L79" s="230"/>
      <c r="M79" s="230"/>
      <c r="N79" s="230"/>
      <c r="O79" s="230"/>
      <c r="P79" s="230"/>
      <c r="Q79" s="230"/>
      <c r="R79" s="230"/>
      <c r="S79" s="230"/>
      <c r="T79" s="230"/>
      <c r="U79" s="230"/>
      <c r="V79" s="230"/>
      <c r="W79" s="230"/>
      <c r="X79" s="230"/>
      <c r="Y79" s="230"/>
      <c r="Z79" s="230"/>
    </row>
    <row r="80">
      <c r="A80" s="230"/>
      <c r="B80" s="230"/>
      <c r="C80" s="230"/>
      <c r="D80" s="230"/>
      <c r="E80" s="230"/>
      <c r="F80" s="230"/>
      <c r="G80" s="230"/>
      <c r="H80" s="230"/>
      <c r="I80" s="230"/>
      <c r="J80" s="230"/>
      <c r="K80" s="230"/>
      <c r="L80" s="230"/>
      <c r="M80" s="230"/>
      <c r="N80" s="230"/>
      <c r="O80" s="230"/>
      <c r="P80" s="230"/>
      <c r="Q80" s="230"/>
      <c r="R80" s="230"/>
      <c r="S80" s="230"/>
      <c r="T80" s="230"/>
      <c r="U80" s="230"/>
      <c r="V80" s="230"/>
      <c r="W80" s="230"/>
      <c r="X80" s="230"/>
      <c r="Y80" s="230"/>
      <c r="Z80" s="230"/>
    </row>
    <row r="81">
      <c r="A81" s="230"/>
      <c r="B81" s="230"/>
      <c r="C81" s="230"/>
      <c r="D81" s="230"/>
      <c r="E81" s="230"/>
      <c r="F81" s="230"/>
      <c r="G81" s="230"/>
      <c r="H81" s="230"/>
      <c r="I81" s="230"/>
      <c r="J81" s="230"/>
      <c r="K81" s="230"/>
      <c r="L81" s="230"/>
      <c r="M81" s="230"/>
      <c r="N81" s="230"/>
      <c r="O81" s="230"/>
      <c r="P81" s="230"/>
      <c r="Q81" s="230"/>
      <c r="R81" s="230"/>
      <c r="S81" s="230"/>
      <c r="T81" s="230"/>
      <c r="U81" s="230"/>
      <c r="V81" s="230"/>
      <c r="W81" s="230"/>
      <c r="X81" s="230"/>
      <c r="Y81" s="230"/>
      <c r="Z81" s="230"/>
    </row>
    <row r="82">
      <c r="A82" s="230"/>
      <c r="B82" s="230"/>
      <c r="C82" s="230"/>
      <c r="D82" s="230"/>
      <c r="E82" s="230"/>
      <c r="F82" s="230"/>
      <c r="G82" s="230"/>
      <c r="H82" s="230"/>
      <c r="I82" s="230"/>
      <c r="J82" s="230"/>
      <c r="K82" s="230"/>
      <c r="L82" s="230"/>
      <c r="M82" s="230"/>
      <c r="N82" s="230"/>
      <c r="O82" s="230"/>
      <c r="P82" s="230"/>
      <c r="Q82" s="230"/>
      <c r="R82" s="230"/>
      <c r="S82" s="230"/>
      <c r="T82" s="230"/>
      <c r="U82" s="230"/>
      <c r="V82" s="230"/>
      <c r="W82" s="230"/>
      <c r="X82" s="230"/>
      <c r="Y82" s="230"/>
      <c r="Z82" s="230"/>
    </row>
    <row r="83">
      <c r="A83" s="230"/>
      <c r="B83" s="230"/>
      <c r="C83" s="230"/>
      <c r="D83" s="230"/>
      <c r="E83" s="230"/>
      <c r="F83" s="230"/>
      <c r="G83" s="230"/>
      <c r="H83" s="230"/>
      <c r="I83" s="230"/>
      <c r="J83" s="230"/>
      <c r="K83" s="230"/>
      <c r="L83" s="230"/>
      <c r="M83" s="230"/>
      <c r="N83" s="230"/>
      <c r="O83" s="230"/>
      <c r="P83" s="230"/>
      <c r="Q83" s="230"/>
      <c r="R83" s="230"/>
      <c r="S83" s="230"/>
      <c r="T83" s="230"/>
      <c r="U83" s="230"/>
      <c r="V83" s="230"/>
      <c r="W83" s="230"/>
      <c r="X83" s="230"/>
      <c r="Y83" s="230"/>
      <c r="Z83" s="230"/>
    </row>
    <row r="84">
      <c r="A84" s="230"/>
      <c r="B84" s="230"/>
      <c r="C84" s="230"/>
      <c r="D84" s="230"/>
      <c r="E84" s="230"/>
      <c r="F84" s="230"/>
      <c r="G84" s="230"/>
      <c r="H84" s="230"/>
      <c r="I84" s="230"/>
      <c r="J84" s="230"/>
      <c r="K84" s="230"/>
      <c r="L84" s="230"/>
      <c r="M84" s="230"/>
      <c r="N84" s="230"/>
      <c r="O84" s="230"/>
      <c r="P84" s="230"/>
      <c r="Q84" s="230"/>
      <c r="R84" s="230"/>
      <c r="S84" s="230"/>
      <c r="T84" s="230"/>
      <c r="U84" s="230"/>
      <c r="V84" s="230"/>
      <c r="W84" s="230"/>
      <c r="X84" s="230"/>
      <c r="Y84" s="230"/>
      <c r="Z84" s="230"/>
    </row>
    <row r="85">
      <c r="A85" s="230"/>
      <c r="B85" s="230"/>
      <c r="C85" s="230"/>
      <c r="D85" s="230"/>
      <c r="E85" s="230"/>
      <c r="F85" s="230"/>
      <c r="G85" s="230"/>
      <c r="H85" s="230"/>
      <c r="I85" s="230"/>
      <c r="J85" s="230"/>
      <c r="K85" s="230"/>
      <c r="L85" s="230"/>
      <c r="M85" s="230"/>
      <c r="N85" s="230"/>
      <c r="O85" s="230"/>
      <c r="P85" s="230"/>
      <c r="Q85" s="230"/>
      <c r="R85" s="230"/>
      <c r="S85" s="230"/>
      <c r="T85" s="230"/>
      <c r="U85" s="230"/>
      <c r="V85" s="230"/>
      <c r="W85" s="230"/>
      <c r="X85" s="230"/>
      <c r="Y85" s="230"/>
      <c r="Z85" s="230"/>
    </row>
    <row r="86">
      <c r="A86" s="230"/>
      <c r="B86" s="230"/>
      <c r="C86" s="230"/>
      <c r="D86" s="230"/>
      <c r="E86" s="230"/>
      <c r="F86" s="230"/>
      <c r="G86" s="230"/>
      <c r="H86" s="230"/>
      <c r="I86" s="230"/>
      <c r="J86" s="230"/>
      <c r="K86" s="230"/>
      <c r="L86" s="230"/>
      <c r="M86" s="230"/>
      <c r="N86" s="230"/>
      <c r="O86" s="230"/>
      <c r="P86" s="230"/>
      <c r="Q86" s="230"/>
      <c r="R86" s="230"/>
      <c r="S86" s="230"/>
      <c r="T86" s="230"/>
      <c r="U86" s="230"/>
      <c r="V86" s="230"/>
      <c r="W86" s="230"/>
      <c r="X86" s="230"/>
      <c r="Y86" s="230"/>
      <c r="Z86" s="230"/>
    </row>
    <row r="87">
      <c r="A87" s="230"/>
      <c r="B87" s="230"/>
      <c r="C87" s="230"/>
      <c r="D87" s="230"/>
      <c r="E87" s="230"/>
      <c r="F87" s="230"/>
      <c r="G87" s="230"/>
      <c r="H87" s="230"/>
      <c r="I87" s="230"/>
      <c r="J87" s="230"/>
      <c r="K87" s="230"/>
      <c r="L87" s="230"/>
      <c r="M87" s="230"/>
      <c r="N87" s="230"/>
      <c r="O87" s="230"/>
      <c r="P87" s="230"/>
      <c r="Q87" s="230"/>
      <c r="R87" s="230"/>
      <c r="S87" s="230"/>
      <c r="T87" s="230"/>
      <c r="U87" s="230"/>
      <c r="V87" s="230"/>
      <c r="W87" s="230"/>
      <c r="X87" s="230"/>
      <c r="Y87" s="230"/>
      <c r="Z87" s="230"/>
    </row>
    <row r="88">
      <c r="A88" s="230"/>
      <c r="B88" s="230"/>
      <c r="C88" s="230"/>
      <c r="D88" s="230"/>
      <c r="E88" s="230"/>
      <c r="F88" s="230"/>
      <c r="G88" s="230"/>
      <c r="H88" s="230"/>
      <c r="I88" s="230"/>
      <c r="J88" s="230"/>
      <c r="K88" s="230"/>
      <c r="L88" s="230"/>
      <c r="M88" s="230"/>
      <c r="N88" s="230"/>
      <c r="O88" s="230"/>
      <c r="P88" s="230"/>
      <c r="Q88" s="230"/>
      <c r="R88" s="230"/>
      <c r="S88" s="230"/>
      <c r="T88" s="230"/>
      <c r="U88" s="230"/>
      <c r="V88" s="230"/>
      <c r="W88" s="230"/>
      <c r="X88" s="230"/>
      <c r="Y88" s="230"/>
      <c r="Z88" s="230"/>
    </row>
    <row r="89">
      <c r="A89" s="230"/>
      <c r="B89" s="230"/>
      <c r="C89" s="230"/>
      <c r="D89" s="230"/>
      <c r="E89" s="230"/>
      <c r="F89" s="230"/>
      <c r="G89" s="230"/>
      <c r="H89" s="230"/>
      <c r="I89" s="230"/>
      <c r="J89" s="230"/>
      <c r="K89" s="230"/>
      <c r="L89" s="230"/>
      <c r="M89" s="230"/>
      <c r="N89" s="230"/>
      <c r="O89" s="230"/>
      <c r="P89" s="230"/>
      <c r="Q89" s="230"/>
      <c r="R89" s="230"/>
      <c r="S89" s="230"/>
      <c r="T89" s="230"/>
      <c r="U89" s="230"/>
      <c r="V89" s="230"/>
      <c r="W89" s="230"/>
      <c r="X89" s="230"/>
      <c r="Y89" s="230"/>
      <c r="Z89" s="230"/>
    </row>
    <row r="90">
      <c r="A90" s="230"/>
      <c r="B90" s="230"/>
      <c r="C90" s="230"/>
      <c r="D90" s="230"/>
      <c r="E90" s="230"/>
      <c r="F90" s="230"/>
      <c r="G90" s="230"/>
      <c r="H90" s="230"/>
      <c r="I90" s="230"/>
      <c r="J90" s="230"/>
      <c r="K90" s="230"/>
      <c r="L90" s="230"/>
      <c r="M90" s="230"/>
      <c r="N90" s="230"/>
      <c r="O90" s="230"/>
      <c r="P90" s="230"/>
      <c r="Q90" s="230"/>
      <c r="R90" s="230"/>
      <c r="S90" s="230"/>
      <c r="T90" s="230"/>
      <c r="U90" s="230"/>
      <c r="V90" s="230"/>
      <c r="W90" s="230"/>
      <c r="X90" s="230"/>
      <c r="Y90" s="230"/>
      <c r="Z90" s="230"/>
    </row>
    <row r="91">
      <c r="A91" s="230"/>
      <c r="B91" s="230"/>
      <c r="C91" s="230"/>
      <c r="D91" s="230"/>
      <c r="E91" s="230"/>
      <c r="F91" s="230"/>
      <c r="G91" s="230"/>
      <c r="H91" s="230"/>
      <c r="I91" s="230"/>
      <c r="J91" s="230"/>
      <c r="K91" s="230"/>
      <c r="L91" s="230"/>
      <c r="M91" s="230"/>
      <c r="N91" s="230"/>
      <c r="O91" s="230"/>
      <c r="P91" s="230"/>
      <c r="Q91" s="230"/>
      <c r="R91" s="230"/>
      <c r="S91" s="230"/>
      <c r="T91" s="230"/>
      <c r="U91" s="230"/>
      <c r="V91" s="230"/>
      <c r="W91" s="230"/>
      <c r="X91" s="230"/>
      <c r="Y91" s="230"/>
      <c r="Z91" s="230"/>
    </row>
    <row r="92">
      <c r="A92" s="230"/>
      <c r="B92" s="230"/>
      <c r="C92" s="230"/>
      <c r="D92" s="230"/>
      <c r="E92" s="230"/>
      <c r="F92" s="230"/>
      <c r="G92" s="230"/>
      <c r="H92" s="230"/>
      <c r="I92" s="230"/>
      <c r="J92" s="230"/>
      <c r="K92" s="230"/>
      <c r="L92" s="230"/>
      <c r="M92" s="230"/>
      <c r="N92" s="230"/>
      <c r="O92" s="230"/>
      <c r="P92" s="230"/>
      <c r="Q92" s="230"/>
      <c r="R92" s="230"/>
      <c r="S92" s="230"/>
      <c r="T92" s="230"/>
      <c r="U92" s="230"/>
      <c r="V92" s="230"/>
      <c r="W92" s="230"/>
      <c r="X92" s="230"/>
      <c r="Y92" s="230"/>
      <c r="Z92" s="230"/>
    </row>
    <row r="93">
      <c r="A93" s="230"/>
      <c r="B93" s="230"/>
      <c r="C93" s="230"/>
      <c r="D93" s="230"/>
      <c r="E93" s="230"/>
      <c r="F93" s="230"/>
      <c r="G93" s="230"/>
      <c r="H93" s="230"/>
      <c r="I93" s="230"/>
      <c r="J93" s="230"/>
      <c r="K93" s="230"/>
      <c r="L93" s="230"/>
      <c r="M93" s="230"/>
      <c r="N93" s="230"/>
      <c r="O93" s="230"/>
      <c r="P93" s="230"/>
      <c r="Q93" s="230"/>
      <c r="R93" s="230"/>
      <c r="S93" s="230"/>
      <c r="T93" s="230"/>
      <c r="U93" s="230"/>
      <c r="V93" s="230"/>
      <c r="W93" s="230"/>
      <c r="X93" s="230"/>
      <c r="Y93" s="230"/>
      <c r="Z93" s="230"/>
    </row>
    <row r="94">
      <c r="A94" s="230"/>
      <c r="B94" s="230"/>
      <c r="C94" s="230"/>
      <c r="D94" s="230"/>
      <c r="E94" s="230"/>
      <c r="F94" s="230"/>
      <c r="G94" s="230"/>
      <c r="H94" s="230"/>
      <c r="I94" s="230"/>
      <c r="J94" s="230"/>
      <c r="K94" s="230"/>
      <c r="L94" s="230"/>
      <c r="M94" s="230"/>
      <c r="N94" s="230"/>
      <c r="O94" s="230"/>
      <c r="P94" s="230"/>
      <c r="Q94" s="230"/>
      <c r="R94" s="230"/>
      <c r="S94" s="230"/>
      <c r="T94" s="230"/>
      <c r="U94" s="230"/>
      <c r="V94" s="230"/>
      <c r="W94" s="230"/>
      <c r="X94" s="230"/>
      <c r="Y94" s="230"/>
      <c r="Z94" s="230"/>
    </row>
    <row r="95">
      <c r="A95" s="230"/>
      <c r="B95" s="230"/>
      <c r="C95" s="230"/>
      <c r="D95" s="230"/>
      <c r="E95" s="230"/>
      <c r="F95" s="230"/>
      <c r="G95" s="230"/>
      <c r="H95" s="230"/>
      <c r="I95" s="230"/>
      <c r="J95" s="230"/>
      <c r="K95" s="230"/>
      <c r="L95" s="230"/>
      <c r="M95" s="230"/>
      <c r="N95" s="230"/>
      <c r="O95" s="230"/>
      <c r="P95" s="230"/>
      <c r="Q95" s="230"/>
      <c r="R95" s="230"/>
      <c r="S95" s="230"/>
      <c r="T95" s="230"/>
      <c r="U95" s="230"/>
      <c r="V95" s="230"/>
      <c r="W95" s="230"/>
      <c r="X95" s="230"/>
      <c r="Y95" s="230"/>
      <c r="Z95" s="230"/>
    </row>
    <row r="96">
      <c r="A96" s="230"/>
      <c r="B96" s="230"/>
      <c r="C96" s="230"/>
      <c r="D96" s="230"/>
      <c r="E96" s="230"/>
      <c r="F96" s="230"/>
      <c r="G96" s="230"/>
      <c r="H96" s="230"/>
      <c r="I96" s="230"/>
      <c r="J96" s="230"/>
      <c r="K96" s="230"/>
      <c r="L96" s="230"/>
      <c r="M96" s="230"/>
      <c r="N96" s="230"/>
      <c r="O96" s="230"/>
      <c r="P96" s="230"/>
      <c r="Q96" s="230"/>
      <c r="R96" s="230"/>
      <c r="S96" s="230"/>
      <c r="T96" s="230"/>
      <c r="U96" s="230"/>
      <c r="V96" s="230"/>
      <c r="W96" s="230"/>
      <c r="X96" s="230"/>
      <c r="Y96" s="230"/>
      <c r="Z96" s="230"/>
    </row>
    <row r="97">
      <c r="A97" s="230"/>
      <c r="B97" s="230"/>
      <c r="C97" s="230"/>
      <c r="D97" s="230"/>
      <c r="E97" s="230"/>
      <c r="F97" s="230"/>
      <c r="G97" s="230"/>
      <c r="H97" s="230"/>
      <c r="I97" s="230"/>
      <c r="J97" s="230"/>
      <c r="K97" s="230"/>
      <c r="L97" s="230"/>
      <c r="M97" s="230"/>
      <c r="N97" s="230"/>
      <c r="O97" s="230"/>
      <c r="P97" s="230"/>
      <c r="Q97" s="230"/>
      <c r="R97" s="230"/>
      <c r="S97" s="230"/>
      <c r="T97" s="230"/>
      <c r="U97" s="230"/>
      <c r="V97" s="230"/>
      <c r="W97" s="230"/>
      <c r="X97" s="230"/>
      <c r="Y97" s="230"/>
      <c r="Z97" s="230"/>
    </row>
    <row r="98">
      <c r="A98" s="230"/>
      <c r="B98" s="230"/>
      <c r="C98" s="230"/>
      <c r="D98" s="230"/>
      <c r="E98" s="230"/>
      <c r="F98" s="230"/>
      <c r="G98" s="230"/>
      <c r="H98" s="230"/>
      <c r="I98" s="230"/>
      <c r="J98" s="230"/>
      <c r="K98" s="230"/>
      <c r="L98" s="230"/>
      <c r="M98" s="230"/>
      <c r="N98" s="230"/>
      <c r="O98" s="230"/>
      <c r="P98" s="230"/>
      <c r="Q98" s="230"/>
      <c r="R98" s="230"/>
      <c r="S98" s="230"/>
      <c r="T98" s="230"/>
      <c r="U98" s="230"/>
      <c r="V98" s="230"/>
      <c r="W98" s="230"/>
      <c r="X98" s="230"/>
      <c r="Y98" s="230"/>
      <c r="Z98" s="230"/>
    </row>
    <row r="99">
      <c r="A99" s="230"/>
      <c r="B99" s="230"/>
      <c r="C99" s="230"/>
      <c r="D99" s="230"/>
      <c r="E99" s="230"/>
      <c r="F99" s="230"/>
      <c r="G99" s="230"/>
      <c r="H99" s="230"/>
      <c r="I99" s="230"/>
      <c r="J99" s="230"/>
      <c r="K99" s="230"/>
      <c r="L99" s="230"/>
      <c r="M99" s="230"/>
      <c r="N99" s="230"/>
      <c r="O99" s="230"/>
      <c r="P99" s="230"/>
      <c r="Q99" s="230"/>
      <c r="R99" s="230"/>
      <c r="S99" s="230"/>
      <c r="T99" s="230"/>
      <c r="U99" s="230"/>
      <c r="V99" s="230"/>
      <c r="W99" s="230"/>
      <c r="X99" s="230"/>
      <c r="Y99" s="230"/>
      <c r="Z99" s="230"/>
    </row>
    <row r="100">
      <c r="A100" s="230"/>
      <c r="B100" s="230"/>
      <c r="C100" s="230"/>
      <c r="D100" s="230"/>
      <c r="E100" s="230"/>
      <c r="F100" s="230"/>
      <c r="G100" s="230"/>
      <c r="H100" s="230"/>
      <c r="I100" s="230"/>
      <c r="J100" s="230"/>
      <c r="K100" s="230"/>
      <c r="L100" s="230"/>
      <c r="M100" s="230"/>
      <c r="N100" s="230"/>
      <c r="O100" s="230"/>
      <c r="P100" s="230"/>
      <c r="Q100" s="230"/>
      <c r="R100" s="230"/>
      <c r="S100" s="230"/>
      <c r="T100" s="230"/>
      <c r="U100" s="230"/>
      <c r="V100" s="230"/>
      <c r="W100" s="230"/>
      <c r="X100" s="230"/>
      <c r="Y100" s="230"/>
      <c r="Z100" s="230"/>
    </row>
    <row r="101">
      <c r="A101" s="230"/>
      <c r="B101" s="230"/>
      <c r="C101" s="230"/>
      <c r="D101" s="230"/>
      <c r="E101" s="230"/>
      <c r="F101" s="230"/>
      <c r="G101" s="230"/>
      <c r="H101" s="230"/>
      <c r="I101" s="230"/>
      <c r="J101" s="230"/>
      <c r="K101" s="230"/>
      <c r="L101" s="230"/>
      <c r="M101" s="230"/>
      <c r="N101" s="230"/>
      <c r="O101" s="230"/>
      <c r="P101" s="230"/>
      <c r="Q101" s="230"/>
      <c r="R101" s="230"/>
      <c r="S101" s="230"/>
      <c r="T101" s="230"/>
      <c r="U101" s="230"/>
      <c r="V101" s="230"/>
      <c r="W101" s="230"/>
      <c r="X101" s="230"/>
      <c r="Y101" s="230"/>
      <c r="Z101" s="230"/>
    </row>
    <row r="102">
      <c r="A102" s="230"/>
      <c r="B102" s="230"/>
      <c r="C102" s="230"/>
      <c r="D102" s="230"/>
      <c r="E102" s="230"/>
      <c r="F102" s="230"/>
      <c r="G102" s="230"/>
      <c r="H102" s="230"/>
      <c r="I102" s="230"/>
      <c r="J102" s="230"/>
      <c r="K102" s="230"/>
      <c r="L102" s="230"/>
      <c r="M102" s="230"/>
      <c r="N102" s="230"/>
      <c r="O102" s="230"/>
      <c r="P102" s="230"/>
      <c r="Q102" s="230"/>
      <c r="R102" s="230"/>
      <c r="S102" s="230"/>
      <c r="T102" s="230"/>
      <c r="U102" s="230"/>
      <c r="V102" s="230"/>
      <c r="W102" s="230"/>
      <c r="X102" s="230"/>
      <c r="Y102" s="230"/>
      <c r="Z102" s="230"/>
    </row>
    <row r="103">
      <c r="A103" s="230"/>
      <c r="B103" s="230"/>
      <c r="C103" s="230"/>
      <c r="D103" s="230"/>
      <c r="E103" s="230"/>
      <c r="F103" s="230"/>
      <c r="G103" s="230"/>
      <c r="H103" s="230"/>
      <c r="I103" s="230"/>
      <c r="J103" s="230"/>
      <c r="K103" s="230"/>
      <c r="L103" s="230"/>
      <c r="M103" s="230"/>
      <c r="N103" s="230"/>
      <c r="O103" s="230"/>
      <c r="P103" s="230"/>
      <c r="Q103" s="230"/>
      <c r="R103" s="230"/>
      <c r="S103" s="230"/>
      <c r="T103" s="230"/>
      <c r="U103" s="230"/>
      <c r="V103" s="230"/>
      <c r="W103" s="230"/>
      <c r="X103" s="230"/>
      <c r="Y103" s="230"/>
      <c r="Z103" s="230"/>
    </row>
    <row r="104">
      <c r="A104" s="230"/>
      <c r="B104" s="230"/>
      <c r="C104" s="230"/>
      <c r="D104" s="230"/>
      <c r="E104" s="230"/>
      <c r="F104" s="230"/>
      <c r="G104" s="230"/>
      <c r="H104" s="230"/>
      <c r="I104" s="230"/>
      <c r="J104" s="230"/>
      <c r="K104" s="230"/>
      <c r="L104" s="230"/>
      <c r="M104" s="230"/>
      <c r="N104" s="230"/>
      <c r="O104" s="230"/>
      <c r="P104" s="230"/>
      <c r="Q104" s="230"/>
      <c r="R104" s="230"/>
      <c r="S104" s="230"/>
      <c r="T104" s="230"/>
      <c r="U104" s="230"/>
      <c r="V104" s="230"/>
      <c r="W104" s="230"/>
      <c r="X104" s="230"/>
      <c r="Y104" s="230"/>
      <c r="Z104" s="230"/>
    </row>
    <row r="105">
      <c r="A105" s="230"/>
      <c r="B105" s="230"/>
      <c r="C105" s="230"/>
      <c r="D105" s="230"/>
      <c r="E105" s="230"/>
      <c r="F105" s="230"/>
      <c r="G105" s="230"/>
      <c r="H105" s="230"/>
      <c r="I105" s="230"/>
      <c r="J105" s="230"/>
      <c r="K105" s="230"/>
      <c r="L105" s="230"/>
      <c r="M105" s="230"/>
      <c r="N105" s="230"/>
      <c r="O105" s="230"/>
      <c r="P105" s="230"/>
      <c r="Q105" s="230"/>
      <c r="R105" s="230"/>
      <c r="S105" s="230"/>
      <c r="T105" s="230"/>
      <c r="U105" s="230"/>
      <c r="V105" s="230"/>
      <c r="W105" s="230"/>
      <c r="X105" s="230"/>
      <c r="Y105" s="230"/>
      <c r="Z105" s="230"/>
    </row>
    <row r="106">
      <c r="A106" s="230"/>
      <c r="B106" s="230"/>
      <c r="C106" s="230"/>
      <c r="D106" s="230"/>
      <c r="E106" s="230"/>
      <c r="F106" s="230"/>
      <c r="G106" s="230"/>
      <c r="H106" s="230"/>
      <c r="I106" s="230"/>
      <c r="J106" s="230"/>
      <c r="K106" s="230"/>
      <c r="L106" s="230"/>
      <c r="M106" s="230"/>
      <c r="N106" s="230"/>
      <c r="O106" s="230"/>
      <c r="P106" s="230"/>
      <c r="Q106" s="230"/>
      <c r="R106" s="230"/>
      <c r="S106" s="230"/>
      <c r="T106" s="230"/>
      <c r="U106" s="230"/>
      <c r="V106" s="230"/>
      <c r="W106" s="230"/>
      <c r="X106" s="230"/>
      <c r="Y106" s="230"/>
      <c r="Z106" s="230"/>
    </row>
    <row r="107">
      <c r="A107" s="230"/>
      <c r="B107" s="230"/>
      <c r="C107" s="230"/>
      <c r="D107" s="230"/>
      <c r="E107" s="230"/>
      <c r="F107" s="230"/>
      <c r="G107" s="230"/>
      <c r="H107" s="230"/>
      <c r="I107" s="230"/>
      <c r="J107" s="230"/>
      <c r="K107" s="230"/>
      <c r="L107" s="230"/>
      <c r="M107" s="230"/>
      <c r="N107" s="230"/>
      <c r="O107" s="230"/>
      <c r="P107" s="230"/>
      <c r="Q107" s="230"/>
      <c r="R107" s="230"/>
      <c r="S107" s="230"/>
      <c r="T107" s="230"/>
      <c r="U107" s="230"/>
      <c r="V107" s="230"/>
      <c r="W107" s="230"/>
      <c r="X107" s="230"/>
      <c r="Y107" s="230"/>
      <c r="Z107" s="230"/>
    </row>
    <row r="108">
      <c r="A108" s="230"/>
      <c r="B108" s="230"/>
      <c r="C108" s="230"/>
      <c r="D108" s="230"/>
      <c r="E108" s="230"/>
      <c r="F108" s="230"/>
      <c r="G108" s="230"/>
      <c r="H108" s="230"/>
      <c r="I108" s="230"/>
      <c r="J108" s="230"/>
      <c r="K108" s="230"/>
      <c r="L108" s="230"/>
      <c r="M108" s="230"/>
      <c r="N108" s="230"/>
      <c r="O108" s="230"/>
      <c r="P108" s="230"/>
      <c r="Q108" s="230"/>
      <c r="R108" s="230"/>
      <c r="S108" s="230"/>
      <c r="T108" s="230"/>
      <c r="U108" s="230"/>
      <c r="V108" s="230"/>
      <c r="W108" s="230"/>
      <c r="X108" s="230"/>
      <c r="Y108" s="230"/>
      <c r="Z108" s="230"/>
    </row>
    <row r="109">
      <c r="A109" s="230"/>
      <c r="B109" s="230"/>
      <c r="C109" s="230"/>
      <c r="D109" s="230"/>
      <c r="E109" s="230"/>
      <c r="F109" s="230"/>
      <c r="G109" s="230"/>
      <c r="H109" s="230"/>
      <c r="I109" s="230"/>
      <c r="J109" s="230"/>
      <c r="K109" s="230"/>
      <c r="L109" s="230"/>
      <c r="M109" s="230"/>
      <c r="N109" s="230"/>
      <c r="O109" s="230"/>
      <c r="P109" s="230"/>
      <c r="Q109" s="230"/>
      <c r="R109" s="230"/>
      <c r="S109" s="230"/>
      <c r="T109" s="230"/>
      <c r="U109" s="230"/>
      <c r="V109" s="230"/>
      <c r="W109" s="230"/>
      <c r="X109" s="230"/>
      <c r="Y109" s="230"/>
      <c r="Z109" s="230"/>
    </row>
    <row r="110">
      <c r="A110" s="230"/>
      <c r="B110" s="230"/>
      <c r="C110" s="230"/>
      <c r="D110" s="230"/>
      <c r="E110" s="230"/>
      <c r="F110" s="230"/>
      <c r="G110" s="230"/>
      <c r="H110" s="230"/>
      <c r="I110" s="230"/>
      <c r="J110" s="230"/>
      <c r="K110" s="230"/>
      <c r="L110" s="230"/>
      <c r="M110" s="230"/>
      <c r="N110" s="230"/>
      <c r="O110" s="230"/>
      <c r="P110" s="230"/>
      <c r="Q110" s="230"/>
      <c r="R110" s="230"/>
      <c r="S110" s="230"/>
      <c r="T110" s="230"/>
      <c r="U110" s="230"/>
      <c r="V110" s="230"/>
      <c r="W110" s="230"/>
      <c r="X110" s="230"/>
      <c r="Y110" s="230"/>
      <c r="Z110" s="230"/>
    </row>
    <row r="111">
      <c r="A111" s="230"/>
      <c r="B111" s="230"/>
      <c r="C111" s="230"/>
      <c r="D111" s="230"/>
      <c r="E111" s="230"/>
      <c r="F111" s="230"/>
      <c r="G111" s="230"/>
      <c r="H111" s="230"/>
      <c r="I111" s="230"/>
      <c r="J111" s="230"/>
      <c r="K111" s="230"/>
      <c r="L111" s="230"/>
      <c r="M111" s="230"/>
      <c r="N111" s="230"/>
      <c r="O111" s="230"/>
      <c r="P111" s="230"/>
      <c r="Q111" s="230"/>
      <c r="R111" s="230"/>
      <c r="S111" s="230"/>
      <c r="T111" s="230"/>
      <c r="U111" s="230"/>
      <c r="V111" s="230"/>
      <c r="W111" s="230"/>
      <c r="X111" s="230"/>
      <c r="Y111" s="230"/>
      <c r="Z111" s="230"/>
    </row>
    <row r="112">
      <c r="A112" s="230"/>
      <c r="B112" s="230"/>
      <c r="C112" s="230"/>
      <c r="D112" s="230"/>
      <c r="E112" s="230"/>
      <c r="F112" s="230"/>
      <c r="G112" s="230"/>
      <c r="H112" s="230"/>
      <c r="I112" s="230"/>
      <c r="J112" s="230"/>
      <c r="K112" s="230"/>
      <c r="L112" s="230"/>
      <c r="M112" s="230"/>
      <c r="N112" s="230"/>
      <c r="O112" s="230"/>
      <c r="P112" s="230"/>
      <c r="Q112" s="230"/>
      <c r="R112" s="230"/>
      <c r="S112" s="230"/>
      <c r="T112" s="230"/>
      <c r="U112" s="230"/>
      <c r="V112" s="230"/>
      <c r="W112" s="230"/>
      <c r="X112" s="230"/>
      <c r="Y112" s="230"/>
      <c r="Z112" s="230"/>
    </row>
    <row r="113">
      <c r="A113" s="230"/>
      <c r="B113" s="230"/>
      <c r="C113" s="230"/>
      <c r="D113" s="230"/>
      <c r="E113" s="230"/>
      <c r="F113" s="230"/>
      <c r="G113" s="230"/>
      <c r="H113" s="230"/>
      <c r="I113" s="230"/>
      <c r="J113" s="230"/>
      <c r="K113" s="230"/>
      <c r="L113" s="230"/>
      <c r="M113" s="230"/>
      <c r="N113" s="230"/>
      <c r="O113" s="230"/>
      <c r="P113" s="230"/>
      <c r="Q113" s="230"/>
      <c r="R113" s="230"/>
      <c r="S113" s="230"/>
      <c r="T113" s="230"/>
      <c r="U113" s="230"/>
      <c r="V113" s="230"/>
      <c r="W113" s="230"/>
      <c r="X113" s="230"/>
      <c r="Y113" s="230"/>
      <c r="Z113" s="230"/>
    </row>
    <row r="114">
      <c r="A114" s="230"/>
      <c r="B114" s="230"/>
      <c r="C114" s="230"/>
      <c r="D114" s="230"/>
      <c r="E114" s="230"/>
      <c r="F114" s="230"/>
      <c r="G114" s="230"/>
      <c r="H114" s="230"/>
      <c r="I114" s="230"/>
      <c r="J114" s="230"/>
      <c r="K114" s="230"/>
      <c r="L114" s="230"/>
      <c r="M114" s="230"/>
      <c r="N114" s="230"/>
      <c r="O114" s="230"/>
      <c r="P114" s="230"/>
      <c r="Q114" s="230"/>
      <c r="R114" s="230"/>
      <c r="S114" s="230"/>
      <c r="T114" s="230"/>
      <c r="U114" s="230"/>
      <c r="V114" s="230"/>
      <c r="W114" s="230"/>
      <c r="X114" s="230"/>
      <c r="Y114" s="230"/>
      <c r="Z114" s="230"/>
    </row>
    <row r="115">
      <c r="A115" s="230"/>
      <c r="B115" s="230"/>
      <c r="C115" s="230"/>
      <c r="D115" s="230"/>
      <c r="E115" s="230"/>
      <c r="F115" s="230"/>
      <c r="G115" s="230"/>
      <c r="H115" s="230"/>
      <c r="I115" s="230"/>
      <c r="J115" s="230"/>
      <c r="K115" s="230"/>
      <c r="L115" s="230"/>
      <c r="M115" s="230"/>
      <c r="N115" s="230"/>
      <c r="O115" s="230"/>
      <c r="P115" s="230"/>
      <c r="Q115" s="230"/>
      <c r="R115" s="230"/>
      <c r="S115" s="230"/>
      <c r="T115" s="230"/>
      <c r="U115" s="230"/>
      <c r="V115" s="230"/>
      <c r="W115" s="230"/>
      <c r="X115" s="230"/>
      <c r="Y115" s="230"/>
      <c r="Z115" s="230"/>
    </row>
    <row r="116">
      <c r="A116" s="230"/>
      <c r="B116" s="230"/>
      <c r="C116" s="230"/>
      <c r="D116" s="230"/>
      <c r="E116" s="230"/>
      <c r="F116" s="230"/>
      <c r="G116" s="230"/>
      <c r="H116" s="230"/>
      <c r="I116" s="230"/>
      <c r="J116" s="230"/>
      <c r="K116" s="230"/>
      <c r="L116" s="230"/>
      <c r="M116" s="230"/>
      <c r="N116" s="230"/>
      <c r="O116" s="230"/>
      <c r="P116" s="230"/>
      <c r="Q116" s="230"/>
      <c r="R116" s="230"/>
      <c r="S116" s="230"/>
      <c r="T116" s="230"/>
      <c r="U116" s="230"/>
      <c r="V116" s="230"/>
      <c r="W116" s="230"/>
      <c r="X116" s="230"/>
      <c r="Y116" s="230"/>
      <c r="Z116" s="230"/>
    </row>
    <row r="117">
      <c r="A117" s="230"/>
      <c r="B117" s="230"/>
      <c r="C117" s="230"/>
      <c r="D117" s="230"/>
      <c r="E117" s="230"/>
      <c r="F117" s="230"/>
      <c r="G117" s="230"/>
      <c r="H117" s="230"/>
      <c r="I117" s="230"/>
      <c r="J117" s="230"/>
      <c r="K117" s="230"/>
      <c r="L117" s="230"/>
      <c r="M117" s="230"/>
      <c r="N117" s="230"/>
      <c r="O117" s="230"/>
      <c r="P117" s="230"/>
      <c r="Q117" s="230"/>
      <c r="R117" s="230"/>
      <c r="S117" s="230"/>
      <c r="T117" s="230"/>
      <c r="U117" s="230"/>
      <c r="V117" s="230"/>
      <c r="W117" s="230"/>
      <c r="X117" s="230"/>
      <c r="Y117" s="230"/>
      <c r="Z117" s="230"/>
    </row>
    <row r="118">
      <c r="A118" s="230"/>
      <c r="B118" s="230"/>
      <c r="C118" s="230"/>
      <c r="D118" s="230"/>
      <c r="E118" s="230"/>
      <c r="F118" s="230"/>
      <c r="G118" s="230"/>
      <c r="H118" s="230"/>
      <c r="I118" s="230"/>
      <c r="J118" s="230"/>
      <c r="K118" s="230"/>
      <c r="L118" s="230"/>
      <c r="M118" s="230"/>
      <c r="N118" s="230"/>
      <c r="O118" s="230"/>
      <c r="P118" s="230"/>
      <c r="Q118" s="230"/>
      <c r="R118" s="230"/>
      <c r="S118" s="230"/>
      <c r="T118" s="230"/>
      <c r="U118" s="230"/>
      <c r="V118" s="230"/>
      <c r="W118" s="230"/>
      <c r="X118" s="230"/>
      <c r="Y118" s="230"/>
      <c r="Z118" s="230"/>
    </row>
    <row r="119">
      <c r="A119" s="230"/>
      <c r="B119" s="230"/>
      <c r="C119" s="230"/>
      <c r="D119" s="230"/>
      <c r="E119" s="230"/>
      <c r="F119" s="230"/>
      <c r="G119" s="230"/>
      <c r="H119" s="230"/>
      <c r="I119" s="230"/>
      <c r="J119" s="230"/>
      <c r="K119" s="230"/>
      <c r="L119" s="230"/>
      <c r="M119" s="230"/>
      <c r="N119" s="230"/>
      <c r="O119" s="230"/>
      <c r="P119" s="230"/>
      <c r="Q119" s="230"/>
      <c r="R119" s="230"/>
      <c r="S119" s="230"/>
      <c r="T119" s="230"/>
      <c r="U119" s="230"/>
      <c r="V119" s="230"/>
      <c r="W119" s="230"/>
      <c r="X119" s="230"/>
      <c r="Y119" s="230"/>
      <c r="Z119" s="230"/>
    </row>
    <row r="120">
      <c r="A120" s="230"/>
      <c r="B120" s="230"/>
      <c r="C120" s="230"/>
      <c r="D120" s="230"/>
      <c r="E120" s="230"/>
      <c r="F120" s="230"/>
      <c r="G120" s="230"/>
      <c r="H120" s="230"/>
      <c r="I120" s="230"/>
      <c r="J120" s="230"/>
      <c r="K120" s="230"/>
      <c r="L120" s="230"/>
      <c r="M120" s="230"/>
      <c r="N120" s="230"/>
      <c r="O120" s="230"/>
      <c r="P120" s="230"/>
      <c r="Q120" s="230"/>
      <c r="R120" s="230"/>
      <c r="S120" s="230"/>
      <c r="T120" s="230"/>
      <c r="U120" s="230"/>
      <c r="V120" s="230"/>
      <c r="W120" s="230"/>
      <c r="X120" s="230"/>
      <c r="Y120" s="230"/>
      <c r="Z120" s="230"/>
    </row>
    <row r="121">
      <c r="A121" s="230"/>
      <c r="B121" s="230"/>
      <c r="C121" s="230"/>
      <c r="D121" s="230"/>
      <c r="E121" s="230"/>
      <c r="F121" s="230"/>
      <c r="G121" s="230"/>
      <c r="H121" s="230"/>
      <c r="I121" s="230"/>
      <c r="J121" s="230"/>
      <c r="K121" s="230"/>
      <c r="L121" s="230"/>
      <c r="M121" s="230"/>
      <c r="N121" s="230"/>
      <c r="O121" s="230"/>
      <c r="P121" s="230"/>
      <c r="Q121" s="230"/>
      <c r="R121" s="230"/>
      <c r="S121" s="230"/>
      <c r="T121" s="230"/>
      <c r="U121" s="230"/>
      <c r="V121" s="230"/>
      <c r="W121" s="230"/>
      <c r="X121" s="230"/>
      <c r="Y121" s="230"/>
      <c r="Z121" s="230"/>
    </row>
    <row r="122">
      <c r="A122" s="230"/>
      <c r="B122" s="230"/>
      <c r="C122" s="230"/>
      <c r="D122" s="230"/>
      <c r="E122" s="230"/>
      <c r="F122" s="230"/>
      <c r="G122" s="230"/>
      <c r="H122" s="230"/>
      <c r="I122" s="230"/>
      <c r="J122" s="230"/>
      <c r="K122" s="230"/>
      <c r="L122" s="230"/>
      <c r="M122" s="230"/>
      <c r="N122" s="230"/>
      <c r="O122" s="230"/>
      <c r="P122" s="230"/>
      <c r="Q122" s="230"/>
      <c r="R122" s="230"/>
      <c r="S122" s="230"/>
      <c r="T122" s="230"/>
      <c r="U122" s="230"/>
      <c r="V122" s="230"/>
      <c r="W122" s="230"/>
      <c r="X122" s="230"/>
      <c r="Y122" s="230"/>
      <c r="Z122" s="230"/>
    </row>
    <row r="123">
      <c r="A123" s="230"/>
      <c r="B123" s="230"/>
      <c r="C123" s="230"/>
      <c r="D123" s="230"/>
      <c r="E123" s="230"/>
      <c r="F123" s="230"/>
      <c r="G123" s="230"/>
      <c r="H123" s="230"/>
      <c r="I123" s="230"/>
      <c r="J123" s="230"/>
      <c r="K123" s="230"/>
      <c r="L123" s="230"/>
      <c r="M123" s="230"/>
      <c r="N123" s="230"/>
      <c r="O123" s="230"/>
      <c r="P123" s="230"/>
      <c r="Q123" s="230"/>
      <c r="R123" s="230"/>
      <c r="S123" s="230"/>
      <c r="T123" s="230"/>
      <c r="U123" s="230"/>
      <c r="V123" s="230"/>
      <c r="W123" s="230"/>
      <c r="X123" s="230"/>
      <c r="Y123" s="230"/>
      <c r="Z123" s="230"/>
    </row>
    <row r="124">
      <c r="A124" s="230"/>
      <c r="B124" s="230"/>
      <c r="C124" s="230"/>
      <c r="D124" s="230"/>
      <c r="E124" s="230"/>
      <c r="F124" s="230"/>
      <c r="G124" s="230"/>
      <c r="H124" s="230"/>
      <c r="I124" s="230"/>
      <c r="J124" s="230"/>
      <c r="K124" s="230"/>
      <c r="L124" s="230"/>
      <c r="M124" s="230"/>
      <c r="N124" s="230"/>
      <c r="O124" s="230"/>
      <c r="P124" s="230"/>
      <c r="Q124" s="230"/>
      <c r="R124" s="230"/>
      <c r="S124" s="230"/>
      <c r="T124" s="230"/>
      <c r="U124" s="230"/>
      <c r="V124" s="230"/>
      <c r="W124" s="230"/>
      <c r="X124" s="230"/>
      <c r="Y124" s="230"/>
      <c r="Z124" s="230"/>
    </row>
    <row r="125">
      <c r="A125" s="230"/>
      <c r="B125" s="230"/>
      <c r="C125" s="230"/>
      <c r="D125" s="230"/>
      <c r="E125" s="230"/>
      <c r="F125" s="230"/>
      <c r="G125" s="230"/>
      <c r="H125" s="230"/>
      <c r="I125" s="230"/>
      <c r="J125" s="230"/>
      <c r="K125" s="230"/>
      <c r="L125" s="230"/>
      <c r="M125" s="230"/>
      <c r="N125" s="230"/>
      <c r="O125" s="230"/>
      <c r="P125" s="230"/>
      <c r="Q125" s="230"/>
      <c r="R125" s="230"/>
      <c r="S125" s="230"/>
      <c r="T125" s="230"/>
      <c r="U125" s="230"/>
      <c r="V125" s="230"/>
      <c r="W125" s="230"/>
      <c r="X125" s="230"/>
      <c r="Y125" s="230"/>
      <c r="Z125" s="230"/>
    </row>
    <row r="126">
      <c r="A126" s="230"/>
      <c r="B126" s="230"/>
      <c r="C126" s="230"/>
      <c r="D126" s="230"/>
      <c r="E126" s="230"/>
      <c r="F126" s="230"/>
      <c r="G126" s="230"/>
      <c r="H126" s="230"/>
      <c r="I126" s="230"/>
      <c r="J126" s="230"/>
      <c r="K126" s="230"/>
      <c r="L126" s="230"/>
      <c r="M126" s="230"/>
      <c r="N126" s="230"/>
      <c r="O126" s="230"/>
      <c r="P126" s="230"/>
      <c r="Q126" s="230"/>
      <c r="R126" s="230"/>
      <c r="S126" s="230"/>
      <c r="T126" s="230"/>
      <c r="U126" s="230"/>
      <c r="V126" s="230"/>
      <c r="W126" s="230"/>
      <c r="X126" s="230"/>
      <c r="Y126" s="230"/>
      <c r="Z126" s="230"/>
    </row>
    <row r="127">
      <c r="A127" s="230"/>
      <c r="B127" s="230"/>
      <c r="C127" s="230"/>
      <c r="D127" s="230"/>
      <c r="E127" s="230"/>
      <c r="F127" s="230"/>
      <c r="G127" s="230"/>
      <c r="H127" s="230"/>
      <c r="I127" s="230"/>
      <c r="J127" s="230"/>
      <c r="K127" s="230"/>
      <c r="L127" s="230"/>
      <c r="M127" s="230"/>
      <c r="N127" s="230"/>
      <c r="O127" s="230"/>
      <c r="P127" s="230"/>
      <c r="Q127" s="230"/>
      <c r="R127" s="230"/>
      <c r="S127" s="230"/>
      <c r="T127" s="230"/>
      <c r="U127" s="230"/>
      <c r="V127" s="230"/>
      <c r="W127" s="230"/>
      <c r="X127" s="230"/>
      <c r="Y127" s="230"/>
      <c r="Z127" s="230"/>
    </row>
    <row r="128">
      <c r="A128" s="230"/>
      <c r="B128" s="230"/>
      <c r="C128" s="230"/>
      <c r="D128" s="230"/>
      <c r="E128" s="230"/>
      <c r="F128" s="230"/>
      <c r="G128" s="230"/>
      <c r="H128" s="230"/>
      <c r="I128" s="230"/>
      <c r="J128" s="230"/>
      <c r="K128" s="230"/>
      <c r="L128" s="230"/>
      <c r="M128" s="230"/>
      <c r="N128" s="230"/>
      <c r="O128" s="230"/>
      <c r="P128" s="230"/>
      <c r="Q128" s="230"/>
      <c r="R128" s="230"/>
      <c r="S128" s="230"/>
      <c r="T128" s="230"/>
      <c r="U128" s="230"/>
      <c r="V128" s="230"/>
      <c r="W128" s="230"/>
      <c r="X128" s="230"/>
      <c r="Y128" s="230"/>
      <c r="Z128" s="230"/>
    </row>
    <row r="129">
      <c r="A129" s="230"/>
      <c r="B129" s="230"/>
      <c r="C129" s="230"/>
      <c r="D129" s="230"/>
      <c r="E129" s="230"/>
      <c r="F129" s="230"/>
      <c r="G129" s="230"/>
      <c r="H129" s="230"/>
      <c r="I129" s="230"/>
      <c r="J129" s="230"/>
      <c r="K129" s="230"/>
      <c r="L129" s="230"/>
      <c r="M129" s="230"/>
      <c r="N129" s="230"/>
      <c r="O129" s="230"/>
      <c r="P129" s="230"/>
      <c r="Q129" s="230"/>
      <c r="R129" s="230"/>
      <c r="S129" s="230"/>
      <c r="T129" s="230"/>
      <c r="U129" s="230"/>
      <c r="V129" s="230"/>
      <c r="W129" s="230"/>
      <c r="X129" s="230"/>
      <c r="Y129" s="230"/>
      <c r="Z129" s="230"/>
    </row>
    <row r="130">
      <c r="A130" s="230"/>
      <c r="B130" s="230"/>
      <c r="C130" s="230"/>
      <c r="D130" s="230"/>
      <c r="E130" s="230"/>
      <c r="F130" s="230"/>
      <c r="G130" s="230"/>
      <c r="H130" s="230"/>
      <c r="I130" s="230"/>
      <c r="J130" s="230"/>
      <c r="K130" s="230"/>
      <c r="L130" s="230"/>
      <c r="M130" s="230"/>
      <c r="N130" s="230"/>
      <c r="O130" s="230"/>
      <c r="P130" s="230"/>
      <c r="Q130" s="230"/>
      <c r="R130" s="230"/>
      <c r="S130" s="230"/>
      <c r="T130" s="230"/>
      <c r="U130" s="230"/>
      <c r="V130" s="230"/>
      <c r="W130" s="230"/>
      <c r="X130" s="230"/>
      <c r="Y130" s="230"/>
      <c r="Z130" s="230"/>
    </row>
    <row r="131">
      <c r="A131" s="230"/>
      <c r="B131" s="230"/>
      <c r="C131" s="230"/>
      <c r="D131" s="230"/>
      <c r="E131" s="230"/>
      <c r="F131" s="230"/>
      <c r="G131" s="230"/>
      <c r="H131" s="230"/>
      <c r="I131" s="230"/>
      <c r="J131" s="230"/>
      <c r="K131" s="230"/>
      <c r="L131" s="230"/>
      <c r="M131" s="230"/>
      <c r="N131" s="230"/>
      <c r="O131" s="230"/>
      <c r="P131" s="230"/>
      <c r="Q131" s="230"/>
      <c r="R131" s="230"/>
      <c r="S131" s="230"/>
      <c r="T131" s="230"/>
      <c r="U131" s="230"/>
      <c r="V131" s="230"/>
      <c r="W131" s="230"/>
      <c r="X131" s="230"/>
      <c r="Y131" s="230"/>
      <c r="Z131" s="230"/>
    </row>
    <row r="132">
      <c r="A132" s="230"/>
      <c r="B132" s="230"/>
      <c r="C132" s="230"/>
      <c r="D132" s="230"/>
      <c r="E132" s="230"/>
      <c r="F132" s="230"/>
      <c r="G132" s="230"/>
      <c r="H132" s="230"/>
      <c r="I132" s="230"/>
      <c r="J132" s="230"/>
      <c r="K132" s="230"/>
      <c r="L132" s="230"/>
      <c r="M132" s="230"/>
      <c r="N132" s="230"/>
      <c r="O132" s="230"/>
      <c r="P132" s="230"/>
      <c r="Q132" s="230"/>
      <c r="R132" s="230"/>
      <c r="S132" s="230"/>
      <c r="T132" s="230"/>
      <c r="U132" s="230"/>
      <c r="V132" s="230"/>
      <c r="W132" s="230"/>
      <c r="X132" s="230"/>
      <c r="Y132" s="230"/>
      <c r="Z132" s="230"/>
    </row>
    <row r="133">
      <c r="A133" s="230"/>
      <c r="B133" s="230"/>
      <c r="C133" s="230"/>
      <c r="D133" s="230"/>
      <c r="E133" s="230"/>
      <c r="F133" s="230"/>
      <c r="G133" s="230"/>
      <c r="H133" s="230"/>
      <c r="I133" s="230"/>
      <c r="J133" s="230"/>
      <c r="K133" s="230"/>
      <c r="L133" s="230"/>
      <c r="M133" s="230"/>
      <c r="N133" s="230"/>
      <c r="O133" s="230"/>
      <c r="P133" s="230"/>
      <c r="Q133" s="230"/>
      <c r="R133" s="230"/>
      <c r="S133" s="230"/>
      <c r="T133" s="230"/>
      <c r="U133" s="230"/>
      <c r="V133" s="230"/>
      <c r="W133" s="230"/>
      <c r="X133" s="230"/>
      <c r="Y133" s="230"/>
      <c r="Z133" s="230"/>
    </row>
    <row r="134">
      <c r="A134" s="230"/>
      <c r="B134" s="230"/>
      <c r="C134" s="230"/>
      <c r="D134" s="230"/>
      <c r="E134" s="230"/>
      <c r="F134" s="230"/>
      <c r="G134" s="230"/>
      <c r="H134" s="230"/>
      <c r="I134" s="230"/>
      <c r="J134" s="230"/>
      <c r="K134" s="230"/>
      <c r="L134" s="230"/>
      <c r="M134" s="230"/>
      <c r="N134" s="230"/>
      <c r="O134" s="230"/>
      <c r="P134" s="230"/>
      <c r="Q134" s="230"/>
      <c r="R134" s="230"/>
      <c r="S134" s="230"/>
      <c r="T134" s="230"/>
      <c r="U134" s="230"/>
      <c r="V134" s="230"/>
      <c r="W134" s="230"/>
      <c r="X134" s="230"/>
      <c r="Y134" s="230"/>
      <c r="Z134" s="230"/>
    </row>
    <row r="135">
      <c r="A135" s="230"/>
      <c r="B135" s="230"/>
      <c r="C135" s="230"/>
      <c r="D135" s="230"/>
      <c r="E135" s="230"/>
      <c r="F135" s="230"/>
      <c r="G135" s="230"/>
      <c r="H135" s="230"/>
      <c r="I135" s="230"/>
      <c r="J135" s="230"/>
      <c r="K135" s="230"/>
      <c r="L135" s="230"/>
      <c r="M135" s="230"/>
      <c r="N135" s="230"/>
      <c r="O135" s="230"/>
      <c r="P135" s="230"/>
      <c r="Q135" s="230"/>
      <c r="R135" s="230"/>
      <c r="S135" s="230"/>
      <c r="T135" s="230"/>
      <c r="U135" s="230"/>
      <c r="V135" s="230"/>
      <c r="W135" s="230"/>
      <c r="X135" s="230"/>
      <c r="Y135" s="230"/>
      <c r="Z135" s="230"/>
    </row>
    <row r="136">
      <c r="A136" s="230"/>
      <c r="B136" s="230"/>
      <c r="C136" s="230"/>
      <c r="D136" s="230"/>
      <c r="E136" s="230"/>
      <c r="F136" s="230"/>
      <c r="G136" s="230"/>
      <c r="H136" s="230"/>
      <c r="I136" s="230"/>
      <c r="J136" s="230"/>
      <c r="K136" s="230"/>
      <c r="L136" s="230"/>
      <c r="M136" s="230"/>
      <c r="N136" s="230"/>
      <c r="O136" s="230"/>
      <c r="P136" s="230"/>
      <c r="Q136" s="230"/>
      <c r="R136" s="230"/>
      <c r="S136" s="230"/>
      <c r="T136" s="230"/>
      <c r="U136" s="230"/>
      <c r="V136" s="230"/>
      <c r="W136" s="230"/>
      <c r="X136" s="230"/>
      <c r="Y136" s="230"/>
      <c r="Z136" s="230"/>
    </row>
    <row r="137">
      <c r="A137" s="230"/>
      <c r="B137" s="230"/>
      <c r="C137" s="230"/>
      <c r="D137" s="230"/>
      <c r="E137" s="230"/>
      <c r="F137" s="230"/>
      <c r="G137" s="230"/>
      <c r="H137" s="230"/>
      <c r="I137" s="230"/>
      <c r="J137" s="230"/>
      <c r="K137" s="230"/>
      <c r="L137" s="230"/>
      <c r="M137" s="230"/>
      <c r="N137" s="230"/>
      <c r="O137" s="230"/>
      <c r="P137" s="230"/>
      <c r="Q137" s="230"/>
      <c r="R137" s="230"/>
      <c r="S137" s="230"/>
      <c r="T137" s="230"/>
      <c r="U137" s="230"/>
      <c r="V137" s="230"/>
      <c r="W137" s="230"/>
      <c r="X137" s="230"/>
      <c r="Y137" s="230"/>
      <c r="Z137" s="230"/>
    </row>
    <row r="138">
      <c r="A138" s="230"/>
      <c r="B138" s="230"/>
      <c r="C138" s="230"/>
      <c r="D138" s="230"/>
      <c r="E138" s="230"/>
      <c r="F138" s="230"/>
      <c r="G138" s="230"/>
      <c r="H138" s="230"/>
      <c r="I138" s="230"/>
      <c r="J138" s="230"/>
      <c r="K138" s="230"/>
      <c r="L138" s="230"/>
      <c r="M138" s="230"/>
      <c r="N138" s="230"/>
      <c r="O138" s="230"/>
      <c r="P138" s="230"/>
      <c r="Q138" s="230"/>
      <c r="R138" s="230"/>
      <c r="S138" s="230"/>
      <c r="T138" s="230"/>
      <c r="U138" s="230"/>
      <c r="V138" s="230"/>
      <c r="W138" s="230"/>
      <c r="X138" s="230"/>
      <c r="Y138" s="230"/>
      <c r="Z138" s="230"/>
    </row>
    <row r="139">
      <c r="A139" s="230"/>
      <c r="B139" s="230"/>
      <c r="C139" s="230"/>
      <c r="D139" s="230"/>
      <c r="E139" s="230"/>
      <c r="F139" s="230"/>
      <c r="G139" s="230"/>
      <c r="H139" s="230"/>
      <c r="I139" s="230"/>
      <c r="J139" s="230"/>
      <c r="K139" s="230"/>
      <c r="L139" s="230"/>
      <c r="M139" s="230"/>
      <c r="N139" s="230"/>
      <c r="O139" s="230"/>
      <c r="P139" s="230"/>
      <c r="Q139" s="230"/>
      <c r="R139" s="230"/>
      <c r="S139" s="230"/>
      <c r="T139" s="230"/>
      <c r="U139" s="230"/>
      <c r="V139" s="230"/>
      <c r="W139" s="230"/>
      <c r="X139" s="230"/>
      <c r="Y139" s="230"/>
      <c r="Z139" s="230"/>
    </row>
    <row r="140">
      <c r="A140" s="230"/>
      <c r="B140" s="230"/>
      <c r="C140" s="230"/>
      <c r="D140" s="230"/>
      <c r="E140" s="230"/>
      <c r="F140" s="230"/>
      <c r="G140" s="230"/>
      <c r="H140" s="230"/>
      <c r="I140" s="230"/>
      <c r="J140" s="230"/>
      <c r="K140" s="230"/>
      <c r="L140" s="230"/>
      <c r="M140" s="230"/>
      <c r="N140" s="230"/>
      <c r="O140" s="230"/>
      <c r="P140" s="230"/>
      <c r="Q140" s="230"/>
      <c r="R140" s="230"/>
      <c r="S140" s="230"/>
      <c r="T140" s="230"/>
      <c r="U140" s="230"/>
      <c r="V140" s="230"/>
      <c r="W140" s="230"/>
      <c r="X140" s="230"/>
      <c r="Y140" s="230"/>
      <c r="Z140" s="230"/>
    </row>
    <row r="141">
      <c r="A141" s="230"/>
      <c r="B141" s="230"/>
      <c r="C141" s="230"/>
      <c r="D141" s="230"/>
      <c r="E141" s="230"/>
      <c r="F141" s="230"/>
      <c r="G141" s="230"/>
      <c r="H141" s="230"/>
      <c r="I141" s="230"/>
      <c r="J141" s="230"/>
      <c r="K141" s="230"/>
      <c r="L141" s="230"/>
      <c r="M141" s="230"/>
      <c r="N141" s="230"/>
      <c r="O141" s="230"/>
      <c r="P141" s="230"/>
      <c r="Q141" s="230"/>
      <c r="R141" s="230"/>
      <c r="S141" s="230"/>
      <c r="T141" s="230"/>
      <c r="U141" s="230"/>
      <c r="V141" s="230"/>
      <c r="W141" s="230"/>
      <c r="X141" s="230"/>
      <c r="Y141" s="230"/>
      <c r="Z141" s="230"/>
    </row>
    <row r="142">
      <c r="A142" s="230"/>
      <c r="B142" s="230"/>
      <c r="C142" s="230"/>
      <c r="D142" s="230"/>
      <c r="E142" s="230"/>
      <c r="F142" s="230"/>
      <c r="G142" s="230"/>
      <c r="H142" s="230"/>
      <c r="I142" s="230"/>
      <c r="J142" s="230"/>
      <c r="K142" s="230"/>
      <c r="L142" s="230"/>
      <c r="M142" s="230"/>
      <c r="N142" s="230"/>
      <c r="O142" s="230"/>
      <c r="P142" s="230"/>
      <c r="Q142" s="230"/>
      <c r="R142" s="230"/>
      <c r="S142" s="230"/>
      <c r="T142" s="230"/>
      <c r="U142" s="230"/>
      <c r="V142" s="230"/>
      <c r="W142" s="230"/>
      <c r="X142" s="230"/>
      <c r="Y142" s="230"/>
      <c r="Z142" s="230"/>
    </row>
    <row r="143">
      <c r="A143" s="230"/>
      <c r="B143" s="230"/>
      <c r="C143" s="230"/>
      <c r="D143" s="230"/>
      <c r="E143" s="230"/>
      <c r="F143" s="230"/>
      <c r="G143" s="230"/>
      <c r="H143" s="230"/>
      <c r="I143" s="230"/>
      <c r="J143" s="230"/>
      <c r="K143" s="230"/>
      <c r="L143" s="230"/>
      <c r="M143" s="230"/>
      <c r="N143" s="230"/>
      <c r="O143" s="230"/>
      <c r="P143" s="230"/>
      <c r="Q143" s="230"/>
      <c r="R143" s="230"/>
      <c r="S143" s="230"/>
      <c r="T143" s="230"/>
      <c r="U143" s="230"/>
      <c r="V143" s="230"/>
      <c r="W143" s="230"/>
      <c r="X143" s="230"/>
      <c r="Y143" s="230"/>
      <c r="Z143" s="230"/>
    </row>
    <row r="144">
      <c r="A144" s="230"/>
      <c r="B144" s="230"/>
      <c r="C144" s="230"/>
      <c r="D144" s="230"/>
      <c r="E144" s="230"/>
      <c r="F144" s="230"/>
      <c r="G144" s="230"/>
      <c r="H144" s="230"/>
      <c r="I144" s="230"/>
      <c r="J144" s="230"/>
      <c r="K144" s="230"/>
      <c r="L144" s="230"/>
      <c r="M144" s="230"/>
      <c r="N144" s="230"/>
      <c r="O144" s="230"/>
      <c r="P144" s="230"/>
      <c r="Q144" s="230"/>
      <c r="R144" s="230"/>
      <c r="S144" s="230"/>
      <c r="T144" s="230"/>
      <c r="U144" s="230"/>
      <c r="V144" s="230"/>
      <c r="W144" s="230"/>
      <c r="X144" s="230"/>
      <c r="Y144" s="230"/>
      <c r="Z144" s="230"/>
    </row>
    <row r="145">
      <c r="A145" s="230"/>
      <c r="B145" s="230"/>
      <c r="C145" s="230"/>
      <c r="D145" s="230"/>
      <c r="E145" s="230"/>
      <c r="F145" s="230"/>
      <c r="G145" s="230"/>
      <c r="H145" s="230"/>
      <c r="I145" s="230"/>
      <c r="J145" s="230"/>
      <c r="K145" s="230"/>
      <c r="L145" s="230"/>
      <c r="M145" s="230"/>
      <c r="N145" s="230"/>
      <c r="O145" s="230"/>
      <c r="P145" s="230"/>
      <c r="Q145" s="230"/>
      <c r="R145" s="230"/>
      <c r="S145" s="230"/>
      <c r="T145" s="230"/>
      <c r="U145" s="230"/>
      <c r="V145" s="230"/>
      <c r="W145" s="230"/>
      <c r="X145" s="230"/>
      <c r="Y145" s="230"/>
      <c r="Z145" s="230"/>
    </row>
    <row r="146">
      <c r="A146" s="230"/>
      <c r="B146" s="230"/>
      <c r="C146" s="230"/>
      <c r="D146" s="230"/>
      <c r="E146" s="230"/>
      <c r="F146" s="230"/>
      <c r="G146" s="230"/>
      <c r="H146" s="230"/>
      <c r="I146" s="230"/>
      <c r="J146" s="230"/>
      <c r="K146" s="230"/>
      <c r="L146" s="230"/>
      <c r="M146" s="230"/>
      <c r="N146" s="230"/>
      <c r="O146" s="230"/>
      <c r="P146" s="230"/>
      <c r="Q146" s="230"/>
      <c r="R146" s="230"/>
      <c r="S146" s="230"/>
      <c r="T146" s="230"/>
      <c r="U146" s="230"/>
      <c r="V146" s="230"/>
      <c r="W146" s="230"/>
      <c r="X146" s="230"/>
      <c r="Y146" s="230"/>
      <c r="Z146" s="230"/>
    </row>
    <row r="147">
      <c r="A147" s="230"/>
      <c r="B147" s="230"/>
      <c r="C147" s="230"/>
      <c r="D147" s="230"/>
      <c r="E147" s="230"/>
      <c r="F147" s="230"/>
      <c r="G147" s="230"/>
      <c r="H147" s="230"/>
      <c r="I147" s="230"/>
      <c r="J147" s="230"/>
      <c r="K147" s="230"/>
      <c r="L147" s="230"/>
      <c r="M147" s="230"/>
      <c r="N147" s="230"/>
      <c r="O147" s="230"/>
      <c r="P147" s="230"/>
      <c r="Q147" s="230"/>
      <c r="R147" s="230"/>
      <c r="S147" s="230"/>
      <c r="T147" s="230"/>
      <c r="U147" s="230"/>
      <c r="V147" s="230"/>
      <c r="W147" s="230"/>
      <c r="X147" s="230"/>
      <c r="Y147" s="230"/>
      <c r="Z147" s="230"/>
    </row>
    <row r="148">
      <c r="A148" s="230"/>
      <c r="B148" s="230"/>
      <c r="C148" s="230"/>
      <c r="D148" s="230"/>
      <c r="E148" s="230"/>
      <c r="F148" s="230"/>
      <c r="G148" s="230"/>
      <c r="H148" s="230"/>
      <c r="I148" s="230"/>
      <c r="J148" s="230"/>
      <c r="K148" s="230"/>
      <c r="L148" s="230"/>
      <c r="M148" s="230"/>
      <c r="N148" s="230"/>
      <c r="O148" s="230"/>
      <c r="P148" s="230"/>
      <c r="Q148" s="230"/>
      <c r="R148" s="230"/>
      <c r="S148" s="230"/>
      <c r="T148" s="230"/>
      <c r="U148" s="230"/>
      <c r="V148" s="230"/>
      <c r="W148" s="230"/>
      <c r="X148" s="230"/>
      <c r="Y148" s="230"/>
      <c r="Z148" s="230"/>
    </row>
    <row r="149">
      <c r="A149" s="230"/>
      <c r="B149" s="230"/>
      <c r="C149" s="230"/>
      <c r="D149" s="230"/>
      <c r="E149" s="230"/>
      <c r="F149" s="230"/>
      <c r="G149" s="230"/>
      <c r="H149" s="230"/>
      <c r="I149" s="230"/>
      <c r="J149" s="230"/>
      <c r="K149" s="230"/>
      <c r="L149" s="230"/>
      <c r="M149" s="230"/>
      <c r="N149" s="230"/>
      <c r="O149" s="230"/>
      <c r="P149" s="230"/>
      <c r="Q149" s="230"/>
      <c r="R149" s="230"/>
      <c r="S149" s="230"/>
      <c r="T149" s="230"/>
      <c r="U149" s="230"/>
      <c r="V149" s="230"/>
      <c r="W149" s="230"/>
      <c r="X149" s="230"/>
      <c r="Y149" s="230"/>
      <c r="Z149" s="230"/>
    </row>
    <row r="150">
      <c r="A150" s="230"/>
      <c r="B150" s="230"/>
      <c r="C150" s="230"/>
      <c r="D150" s="230"/>
      <c r="E150" s="230"/>
      <c r="F150" s="230"/>
      <c r="G150" s="230"/>
      <c r="H150" s="230"/>
      <c r="I150" s="230"/>
      <c r="J150" s="230"/>
      <c r="K150" s="230"/>
      <c r="L150" s="230"/>
      <c r="M150" s="230"/>
      <c r="N150" s="230"/>
      <c r="O150" s="230"/>
      <c r="P150" s="230"/>
      <c r="Q150" s="230"/>
      <c r="R150" s="230"/>
      <c r="S150" s="230"/>
      <c r="T150" s="230"/>
      <c r="U150" s="230"/>
      <c r="V150" s="230"/>
      <c r="W150" s="230"/>
      <c r="X150" s="230"/>
      <c r="Y150" s="230"/>
      <c r="Z150" s="230"/>
    </row>
    <row r="151">
      <c r="A151" s="230"/>
      <c r="B151" s="230"/>
      <c r="C151" s="230"/>
      <c r="D151" s="230"/>
      <c r="E151" s="230"/>
      <c r="F151" s="230"/>
      <c r="G151" s="230"/>
      <c r="H151" s="230"/>
      <c r="I151" s="230"/>
      <c r="J151" s="230"/>
      <c r="K151" s="230"/>
      <c r="L151" s="230"/>
      <c r="M151" s="230"/>
      <c r="N151" s="230"/>
      <c r="O151" s="230"/>
      <c r="P151" s="230"/>
      <c r="Q151" s="230"/>
      <c r="R151" s="230"/>
      <c r="S151" s="230"/>
      <c r="T151" s="230"/>
      <c r="U151" s="230"/>
      <c r="V151" s="230"/>
      <c r="W151" s="230"/>
      <c r="X151" s="230"/>
      <c r="Y151" s="230"/>
      <c r="Z151" s="230"/>
    </row>
    <row r="152">
      <c r="A152" s="230"/>
      <c r="B152" s="230"/>
      <c r="C152" s="230"/>
      <c r="D152" s="230"/>
      <c r="E152" s="230"/>
      <c r="F152" s="230"/>
      <c r="G152" s="230"/>
      <c r="H152" s="230"/>
      <c r="I152" s="230"/>
      <c r="J152" s="230"/>
      <c r="K152" s="230"/>
      <c r="L152" s="230"/>
      <c r="M152" s="230"/>
      <c r="N152" s="230"/>
      <c r="O152" s="230"/>
      <c r="P152" s="230"/>
      <c r="Q152" s="230"/>
      <c r="R152" s="230"/>
      <c r="S152" s="230"/>
      <c r="T152" s="230"/>
      <c r="U152" s="230"/>
      <c r="V152" s="230"/>
      <c r="W152" s="230"/>
      <c r="X152" s="230"/>
      <c r="Y152" s="230"/>
      <c r="Z152" s="230"/>
    </row>
    <row r="153">
      <c r="A153" s="230"/>
      <c r="B153" s="230"/>
      <c r="C153" s="230"/>
      <c r="D153" s="230"/>
      <c r="E153" s="230"/>
      <c r="F153" s="230"/>
      <c r="G153" s="230"/>
      <c r="H153" s="230"/>
      <c r="I153" s="230"/>
      <c r="J153" s="230"/>
      <c r="K153" s="230"/>
      <c r="L153" s="230"/>
      <c r="M153" s="230"/>
      <c r="N153" s="230"/>
      <c r="O153" s="230"/>
      <c r="P153" s="230"/>
      <c r="Q153" s="230"/>
      <c r="R153" s="230"/>
      <c r="S153" s="230"/>
      <c r="T153" s="230"/>
      <c r="U153" s="230"/>
      <c r="V153" s="230"/>
      <c r="W153" s="230"/>
      <c r="X153" s="230"/>
      <c r="Y153" s="230"/>
      <c r="Z153" s="230"/>
    </row>
    <row r="154">
      <c r="A154" s="230"/>
      <c r="B154" s="230"/>
      <c r="C154" s="230"/>
      <c r="D154" s="230"/>
      <c r="E154" s="230"/>
      <c r="F154" s="230"/>
      <c r="G154" s="230"/>
      <c r="H154" s="230"/>
      <c r="I154" s="230"/>
      <c r="J154" s="230"/>
      <c r="K154" s="230"/>
      <c r="L154" s="230"/>
      <c r="M154" s="230"/>
      <c r="N154" s="230"/>
      <c r="O154" s="230"/>
      <c r="P154" s="230"/>
      <c r="Q154" s="230"/>
      <c r="R154" s="230"/>
      <c r="S154" s="230"/>
      <c r="T154" s="230"/>
      <c r="U154" s="230"/>
      <c r="V154" s="230"/>
      <c r="W154" s="230"/>
      <c r="X154" s="230"/>
      <c r="Y154" s="230"/>
      <c r="Z154" s="230"/>
    </row>
    <row r="155">
      <c r="A155" s="230"/>
      <c r="B155" s="230"/>
      <c r="C155" s="230"/>
      <c r="D155" s="230"/>
      <c r="E155" s="230"/>
      <c r="F155" s="230"/>
      <c r="G155" s="230"/>
      <c r="H155" s="230"/>
      <c r="I155" s="230"/>
      <c r="J155" s="230"/>
      <c r="K155" s="230"/>
      <c r="L155" s="230"/>
      <c r="M155" s="230"/>
      <c r="N155" s="230"/>
      <c r="O155" s="230"/>
      <c r="P155" s="230"/>
      <c r="Q155" s="230"/>
      <c r="R155" s="230"/>
      <c r="S155" s="230"/>
      <c r="T155" s="230"/>
      <c r="U155" s="230"/>
      <c r="V155" s="230"/>
      <c r="W155" s="230"/>
      <c r="X155" s="230"/>
      <c r="Y155" s="230"/>
      <c r="Z155" s="230"/>
    </row>
    <row r="156">
      <c r="A156" s="230"/>
      <c r="B156" s="230"/>
      <c r="C156" s="230"/>
      <c r="D156" s="230"/>
      <c r="E156" s="230"/>
      <c r="F156" s="230"/>
      <c r="G156" s="230"/>
      <c r="H156" s="230"/>
      <c r="I156" s="230"/>
      <c r="J156" s="230"/>
      <c r="K156" s="230"/>
      <c r="L156" s="230"/>
      <c r="M156" s="230"/>
      <c r="N156" s="230"/>
      <c r="O156" s="230"/>
      <c r="P156" s="230"/>
      <c r="Q156" s="230"/>
      <c r="R156" s="230"/>
      <c r="S156" s="230"/>
      <c r="T156" s="230"/>
      <c r="U156" s="230"/>
      <c r="V156" s="230"/>
      <c r="W156" s="230"/>
      <c r="X156" s="230"/>
      <c r="Y156" s="230"/>
      <c r="Z156" s="230"/>
    </row>
    <row r="157">
      <c r="A157" s="230"/>
      <c r="B157" s="230"/>
      <c r="C157" s="230"/>
      <c r="D157" s="230"/>
      <c r="E157" s="230"/>
      <c r="F157" s="230"/>
      <c r="G157" s="230"/>
      <c r="H157" s="230"/>
      <c r="I157" s="230"/>
      <c r="J157" s="230"/>
      <c r="K157" s="230"/>
      <c r="L157" s="230"/>
      <c r="M157" s="230"/>
      <c r="N157" s="230"/>
      <c r="O157" s="230"/>
      <c r="P157" s="230"/>
      <c r="Q157" s="230"/>
      <c r="R157" s="230"/>
      <c r="S157" s="230"/>
      <c r="T157" s="230"/>
      <c r="U157" s="230"/>
      <c r="V157" s="230"/>
      <c r="W157" s="230"/>
      <c r="X157" s="230"/>
      <c r="Y157" s="230"/>
      <c r="Z157" s="230"/>
    </row>
    <row r="158">
      <c r="A158" s="230"/>
      <c r="B158" s="230"/>
      <c r="C158" s="230"/>
      <c r="D158" s="230"/>
      <c r="E158" s="230"/>
      <c r="F158" s="230"/>
      <c r="G158" s="230"/>
      <c r="H158" s="230"/>
      <c r="I158" s="230"/>
      <c r="J158" s="230"/>
      <c r="K158" s="230"/>
      <c r="L158" s="230"/>
      <c r="M158" s="230"/>
      <c r="N158" s="230"/>
      <c r="O158" s="230"/>
      <c r="P158" s="230"/>
      <c r="Q158" s="230"/>
      <c r="R158" s="230"/>
      <c r="S158" s="230"/>
      <c r="T158" s="230"/>
      <c r="U158" s="230"/>
      <c r="V158" s="230"/>
      <c r="W158" s="230"/>
      <c r="X158" s="230"/>
      <c r="Y158" s="230"/>
      <c r="Z158" s="230"/>
    </row>
    <row r="159">
      <c r="A159" s="230"/>
      <c r="B159" s="230"/>
      <c r="C159" s="230"/>
      <c r="D159" s="230"/>
      <c r="E159" s="230"/>
      <c r="F159" s="230"/>
      <c r="G159" s="230"/>
      <c r="H159" s="230"/>
      <c r="I159" s="230"/>
      <c r="J159" s="230"/>
      <c r="K159" s="230"/>
      <c r="L159" s="230"/>
      <c r="M159" s="230"/>
      <c r="N159" s="230"/>
      <c r="O159" s="230"/>
      <c r="P159" s="230"/>
      <c r="Q159" s="230"/>
      <c r="R159" s="230"/>
      <c r="S159" s="230"/>
      <c r="T159" s="230"/>
      <c r="U159" s="230"/>
      <c r="V159" s="230"/>
      <c r="W159" s="230"/>
      <c r="X159" s="230"/>
      <c r="Y159" s="230"/>
      <c r="Z159" s="230"/>
    </row>
    <row r="160">
      <c r="A160" s="230"/>
      <c r="B160" s="230"/>
      <c r="C160" s="230"/>
      <c r="D160" s="230"/>
      <c r="E160" s="230"/>
      <c r="F160" s="230"/>
      <c r="G160" s="230"/>
      <c r="H160" s="230"/>
      <c r="I160" s="230"/>
      <c r="J160" s="230"/>
      <c r="K160" s="230"/>
      <c r="L160" s="230"/>
      <c r="M160" s="230"/>
      <c r="N160" s="230"/>
      <c r="O160" s="230"/>
      <c r="P160" s="230"/>
      <c r="Q160" s="230"/>
      <c r="R160" s="230"/>
      <c r="S160" s="230"/>
      <c r="T160" s="230"/>
      <c r="U160" s="230"/>
      <c r="V160" s="230"/>
      <c r="W160" s="230"/>
      <c r="X160" s="230"/>
      <c r="Y160" s="230"/>
      <c r="Z160" s="230"/>
    </row>
    <row r="161">
      <c r="A161" s="230"/>
      <c r="B161" s="230"/>
      <c r="C161" s="230"/>
      <c r="D161" s="230"/>
      <c r="E161" s="230"/>
      <c r="F161" s="230"/>
      <c r="G161" s="230"/>
      <c r="H161" s="230"/>
      <c r="I161" s="230"/>
      <c r="J161" s="230"/>
      <c r="K161" s="230"/>
      <c r="L161" s="230"/>
      <c r="M161" s="230"/>
      <c r="N161" s="230"/>
      <c r="O161" s="230"/>
      <c r="P161" s="230"/>
      <c r="Q161" s="230"/>
      <c r="R161" s="230"/>
      <c r="S161" s="230"/>
      <c r="T161" s="230"/>
      <c r="U161" s="230"/>
      <c r="V161" s="230"/>
      <c r="W161" s="230"/>
      <c r="X161" s="230"/>
      <c r="Y161" s="230"/>
      <c r="Z161" s="230"/>
    </row>
    <row r="162">
      <c r="A162" s="230"/>
      <c r="B162" s="230"/>
      <c r="C162" s="230"/>
      <c r="D162" s="230"/>
      <c r="E162" s="230"/>
      <c r="F162" s="230"/>
      <c r="G162" s="230"/>
      <c r="H162" s="230"/>
      <c r="I162" s="230"/>
      <c r="J162" s="230"/>
      <c r="K162" s="230"/>
      <c r="L162" s="230"/>
      <c r="M162" s="230"/>
      <c r="N162" s="230"/>
      <c r="O162" s="230"/>
      <c r="P162" s="230"/>
      <c r="Q162" s="230"/>
      <c r="R162" s="230"/>
      <c r="S162" s="230"/>
      <c r="T162" s="230"/>
      <c r="U162" s="230"/>
      <c r="V162" s="230"/>
      <c r="W162" s="230"/>
      <c r="X162" s="230"/>
      <c r="Y162" s="230"/>
      <c r="Z162" s="230"/>
    </row>
    <row r="163">
      <c r="A163" s="230"/>
      <c r="B163" s="230"/>
      <c r="C163" s="230"/>
      <c r="D163" s="230"/>
      <c r="E163" s="230"/>
      <c r="F163" s="230"/>
      <c r="G163" s="230"/>
      <c r="H163" s="230"/>
      <c r="I163" s="230"/>
      <c r="J163" s="230"/>
      <c r="K163" s="230"/>
      <c r="L163" s="230"/>
      <c r="M163" s="230"/>
      <c r="N163" s="230"/>
      <c r="O163" s="230"/>
      <c r="P163" s="230"/>
      <c r="Q163" s="230"/>
      <c r="R163" s="230"/>
      <c r="S163" s="230"/>
      <c r="T163" s="230"/>
      <c r="U163" s="230"/>
      <c r="V163" s="230"/>
      <c r="W163" s="230"/>
      <c r="X163" s="230"/>
      <c r="Y163" s="230"/>
      <c r="Z163" s="230"/>
    </row>
    <row r="164">
      <c r="A164" s="230"/>
      <c r="B164" s="230"/>
      <c r="C164" s="230"/>
      <c r="D164" s="230"/>
      <c r="E164" s="230"/>
      <c r="F164" s="230"/>
      <c r="G164" s="230"/>
      <c r="H164" s="230"/>
      <c r="I164" s="230"/>
      <c r="J164" s="230"/>
      <c r="K164" s="230"/>
      <c r="L164" s="230"/>
      <c r="M164" s="230"/>
      <c r="N164" s="230"/>
      <c r="O164" s="230"/>
      <c r="P164" s="230"/>
      <c r="Q164" s="230"/>
      <c r="R164" s="230"/>
      <c r="S164" s="230"/>
      <c r="T164" s="230"/>
      <c r="U164" s="230"/>
      <c r="V164" s="230"/>
      <c r="W164" s="230"/>
      <c r="X164" s="230"/>
      <c r="Y164" s="230"/>
      <c r="Z164" s="230"/>
    </row>
    <row r="165">
      <c r="A165" s="230"/>
      <c r="B165" s="230"/>
      <c r="C165" s="230"/>
      <c r="D165" s="230"/>
      <c r="E165" s="230"/>
      <c r="F165" s="230"/>
      <c r="G165" s="230"/>
      <c r="H165" s="230"/>
      <c r="I165" s="230"/>
      <c r="J165" s="230"/>
      <c r="K165" s="230"/>
      <c r="L165" s="230"/>
      <c r="M165" s="230"/>
      <c r="N165" s="230"/>
      <c r="O165" s="230"/>
      <c r="P165" s="230"/>
      <c r="Q165" s="230"/>
      <c r="R165" s="230"/>
      <c r="S165" s="230"/>
      <c r="T165" s="230"/>
      <c r="U165" s="230"/>
      <c r="V165" s="230"/>
      <c r="W165" s="230"/>
      <c r="X165" s="230"/>
      <c r="Y165" s="230"/>
      <c r="Z165" s="230"/>
    </row>
    <row r="166">
      <c r="A166" s="230"/>
      <c r="B166" s="230"/>
      <c r="C166" s="230"/>
      <c r="D166" s="230"/>
      <c r="E166" s="230"/>
      <c r="F166" s="230"/>
      <c r="G166" s="230"/>
      <c r="H166" s="230"/>
      <c r="I166" s="230"/>
      <c r="J166" s="230"/>
      <c r="K166" s="230"/>
      <c r="L166" s="230"/>
      <c r="M166" s="230"/>
      <c r="N166" s="230"/>
      <c r="O166" s="230"/>
      <c r="P166" s="230"/>
      <c r="Q166" s="230"/>
      <c r="R166" s="230"/>
      <c r="S166" s="230"/>
      <c r="T166" s="230"/>
      <c r="U166" s="230"/>
      <c r="V166" s="230"/>
      <c r="W166" s="230"/>
      <c r="X166" s="230"/>
      <c r="Y166" s="230"/>
      <c r="Z166" s="230"/>
    </row>
    <row r="167">
      <c r="A167" s="230"/>
      <c r="B167" s="230"/>
      <c r="C167" s="230"/>
      <c r="D167" s="230"/>
      <c r="E167" s="230"/>
      <c r="F167" s="230"/>
      <c r="G167" s="230"/>
      <c r="H167" s="230"/>
      <c r="I167" s="230"/>
      <c r="J167" s="230"/>
      <c r="K167" s="230"/>
      <c r="L167" s="230"/>
      <c r="M167" s="230"/>
      <c r="N167" s="230"/>
      <c r="O167" s="230"/>
      <c r="P167" s="230"/>
      <c r="Q167" s="230"/>
      <c r="R167" s="230"/>
      <c r="S167" s="230"/>
      <c r="T167" s="230"/>
      <c r="U167" s="230"/>
      <c r="V167" s="230"/>
      <c r="W167" s="230"/>
      <c r="X167" s="230"/>
      <c r="Y167" s="230"/>
      <c r="Z167" s="230"/>
    </row>
    <row r="168">
      <c r="A168" s="230"/>
      <c r="B168" s="230"/>
      <c r="C168" s="230"/>
      <c r="D168" s="230"/>
      <c r="E168" s="230"/>
      <c r="F168" s="230"/>
      <c r="G168" s="230"/>
      <c r="H168" s="230"/>
      <c r="I168" s="230"/>
      <c r="J168" s="230"/>
      <c r="K168" s="230"/>
      <c r="L168" s="230"/>
      <c r="M168" s="230"/>
      <c r="N168" s="230"/>
      <c r="O168" s="230"/>
      <c r="P168" s="230"/>
      <c r="Q168" s="230"/>
      <c r="R168" s="230"/>
      <c r="S168" s="230"/>
      <c r="T168" s="230"/>
      <c r="U168" s="230"/>
      <c r="V168" s="230"/>
      <c r="W168" s="230"/>
      <c r="X168" s="230"/>
      <c r="Y168" s="230"/>
      <c r="Z168" s="230"/>
    </row>
    <row r="169">
      <c r="A169" s="230"/>
      <c r="B169" s="230"/>
      <c r="C169" s="230"/>
      <c r="D169" s="230"/>
      <c r="E169" s="230"/>
      <c r="F169" s="230"/>
      <c r="G169" s="230"/>
      <c r="H169" s="230"/>
      <c r="I169" s="230"/>
      <c r="J169" s="230"/>
      <c r="K169" s="230"/>
      <c r="L169" s="230"/>
      <c r="M169" s="230"/>
      <c r="N169" s="230"/>
      <c r="O169" s="230"/>
      <c r="P169" s="230"/>
      <c r="Q169" s="230"/>
      <c r="R169" s="230"/>
      <c r="S169" s="230"/>
      <c r="T169" s="230"/>
      <c r="U169" s="230"/>
      <c r="V169" s="230"/>
      <c r="W169" s="230"/>
      <c r="X169" s="230"/>
      <c r="Y169" s="230"/>
      <c r="Z169" s="230"/>
    </row>
    <row r="170">
      <c r="A170" s="230"/>
      <c r="B170" s="230"/>
      <c r="C170" s="230"/>
      <c r="D170" s="230"/>
      <c r="E170" s="230"/>
      <c r="F170" s="230"/>
      <c r="G170" s="230"/>
      <c r="H170" s="230"/>
      <c r="I170" s="230"/>
      <c r="J170" s="230"/>
      <c r="K170" s="230"/>
      <c r="L170" s="230"/>
      <c r="M170" s="230"/>
      <c r="N170" s="230"/>
      <c r="O170" s="230"/>
      <c r="P170" s="230"/>
      <c r="Q170" s="230"/>
      <c r="R170" s="230"/>
      <c r="S170" s="230"/>
      <c r="T170" s="230"/>
      <c r="U170" s="230"/>
      <c r="V170" s="230"/>
      <c r="W170" s="230"/>
      <c r="X170" s="230"/>
      <c r="Y170" s="230"/>
      <c r="Z170" s="230"/>
    </row>
    <row r="171">
      <c r="A171" s="230"/>
      <c r="B171" s="230"/>
      <c r="C171" s="230"/>
      <c r="D171" s="230"/>
      <c r="E171" s="230"/>
      <c r="F171" s="230"/>
      <c r="G171" s="230"/>
      <c r="H171" s="230"/>
      <c r="I171" s="230"/>
      <c r="J171" s="230"/>
      <c r="K171" s="230"/>
      <c r="L171" s="230"/>
      <c r="M171" s="230"/>
      <c r="N171" s="230"/>
      <c r="O171" s="230"/>
      <c r="P171" s="230"/>
      <c r="Q171" s="230"/>
      <c r="R171" s="230"/>
      <c r="S171" s="230"/>
      <c r="T171" s="230"/>
      <c r="U171" s="230"/>
      <c r="V171" s="230"/>
      <c r="W171" s="230"/>
      <c r="X171" s="230"/>
      <c r="Y171" s="230"/>
      <c r="Z171" s="230"/>
    </row>
    <row r="172">
      <c r="A172" s="230"/>
      <c r="B172" s="230"/>
      <c r="C172" s="230"/>
      <c r="D172" s="230"/>
      <c r="E172" s="230"/>
      <c r="F172" s="230"/>
      <c r="G172" s="230"/>
      <c r="H172" s="230"/>
      <c r="I172" s="230"/>
      <c r="J172" s="230"/>
      <c r="K172" s="230"/>
      <c r="L172" s="230"/>
      <c r="M172" s="230"/>
      <c r="N172" s="230"/>
      <c r="O172" s="230"/>
      <c r="P172" s="230"/>
      <c r="Q172" s="230"/>
      <c r="R172" s="230"/>
      <c r="S172" s="230"/>
      <c r="T172" s="230"/>
      <c r="U172" s="230"/>
      <c r="V172" s="230"/>
      <c r="W172" s="230"/>
      <c r="X172" s="230"/>
      <c r="Y172" s="230"/>
      <c r="Z172" s="230"/>
    </row>
    <row r="173">
      <c r="A173" s="230"/>
      <c r="B173" s="230"/>
      <c r="C173" s="230"/>
      <c r="D173" s="230"/>
      <c r="E173" s="230"/>
      <c r="F173" s="230"/>
      <c r="G173" s="230"/>
      <c r="H173" s="230"/>
      <c r="I173" s="230"/>
      <c r="J173" s="230"/>
      <c r="K173" s="230"/>
      <c r="L173" s="230"/>
      <c r="M173" s="230"/>
      <c r="N173" s="230"/>
      <c r="O173" s="230"/>
      <c r="P173" s="230"/>
      <c r="Q173" s="230"/>
      <c r="R173" s="230"/>
      <c r="S173" s="230"/>
      <c r="T173" s="230"/>
      <c r="U173" s="230"/>
      <c r="V173" s="230"/>
      <c r="W173" s="230"/>
      <c r="X173" s="230"/>
      <c r="Y173" s="230"/>
      <c r="Z173" s="230"/>
    </row>
    <row r="174">
      <c r="A174" s="230"/>
      <c r="B174" s="230"/>
      <c r="C174" s="230"/>
      <c r="D174" s="230"/>
      <c r="E174" s="230"/>
      <c r="F174" s="230"/>
      <c r="G174" s="230"/>
      <c r="H174" s="230"/>
      <c r="I174" s="230"/>
      <c r="J174" s="230"/>
      <c r="K174" s="230"/>
      <c r="L174" s="230"/>
      <c r="M174" s="230"/>
      <c r="N174" s="230"/>
      <c r="O174" s="230"/>
      <c r="P174" s="230"/>
      <c r="Q174" s="230"/>
      <c r="R174" s="230"/>
      <c r="S174" s="230"/>
      <c r="T174" s="230"/>
      <c r="U174" s="230"/>
      <c r="V174" s="230"/>
      <c r="W174" s="230"/>
      <c r="X174" s="230"/>
      <c r="Y174" s="230"/>
      <c r="Z174" s="230"/>
    </row>
    <row r="175">
      <c r="A175" s="230"/>
      <c r="B175" s="230"/>
      <c r="C175" s="230"/>
      <c r="D175" s="230"/>
      <c r="E175" s="230"/>
      <c r="F175" s="230"/>
      <c r="G175" s="230"/>
      <c r="H175" s="230"/>
      <c r="I175" s="230"/>
      <c r="J175" s="230"/>
      <c r="K175" s="230"/>
      <c r="L175" s="230"/>
      <c r="M175" s="230"/>
      <c r="N175" s="230"/>
      <c r="O175" s="230"/>
      <c r="P175" s="230"/>
      <c r="Q175" s="230"/>
      <c r="R175" s="230"/>
      <c r="S175" s="230"/>
      <c r="T175" s="230"/>
      <c r="U175" s="230"/>
      <c r="V175" s="230"/>
      <c r="W175" s="230"/>
      <c r="X175" s="230"/>
      <c r="Y175" s="230"/>
      <c r="Z175" s="230"/>
    </row>
    <row r="176">
      <c r="A176" s="230"/>
      <c r="B176" s="230"/>
      <c r="C176" s="230"/>
      <c r="D176" s="230"/>
      <c r="E176" s="230"/>
      <c r="F176" s="230"/>
      <c r="G176" s="230"/>
      <c r="H176" s="230"/>
      <c r="I176" s="230"/>
      <c r="J176" s="230"/>
      <c r="K176" s="230"/>
      <c r="L176" s="230"/>
      <c r="M176" s="230"/>
      <c r="N176" s="230"/>
      <c r="O176" s="230"/>
      <c r="P176" s="230"/>
      <c r="Q176" s="230"/>
      <c r="R176" s="230"/>
      <c r="S176" s="230"/>
      <c r="T176" s="230"/>
      <c r="U176" s="230"/>
      <c r="V176" s="230"/>
      <c r="W176" s="230"/>
      <c r="X176" s="230"/>
      <c r="Y176" s="230"/>
      <c r="Z176" s="230"/>
    </row>
    <row r="177">
      <c r="A177" s="230"/>
      <c r="B177" s="230"/>
      <c r="C177" s="230"/>
      <c r="D177" s="230"/>
      <c r="E177" s="230"/>
      <c r="F177" s="230"/>
      <c r="G177" s="230"/>
      <c r="H177" s="230"/>
      <c r="I177" s="230"/>
      <c r="J177" s="230"/>
      <c r="K177" s="230"/>
      <c r="L177" s="230"/>
      <c r="M177" s="230"/>
      <c r="N177" s="230"/>
      <c r="O177" s="230"/>
      <c r="P177" s="230"/>
      <c r="Q177" s="230"/>
      <c r="R177" s="230"/>
      <c r="S177" s="230"/>
      <c r="T177" s="230"/>
      <c r="U177" s="230"/>
      <c r="V177" s="230"/>
      <c r="W177" s="230"/>
      <c r="X177" s="230"/>
      <c r="Y177" s="230"/>
      <c r="Z177" s="230"/>
    </row>
    <row r="178">
      <c r="A178" s="230"/>
      <c r="B178" s="230"/>
      <c r="C178" s="230"/>
      <c r="D178" s="230"/>
      <c r="E178" s="230"/>
      <c r="F178" s="230"/>
      <c r="G178" s="230"/>
      <c r="H178" s="230"/>
      <c r="I178" s="230"/>
      <c r="J178" s="230"/>
      <c r="K178" s="230"/>
      <c r="L178" s="230"/>
      <c r="M178" s="230"/>
      <c r="N178" s="230"/>
      <c r="O178" s="230"/>
      <c r="P178" s="230"/>
      <c r="Q178" s="230"/>
      <c r="R178" s="230"/>
      <c r="S178" s="230"/>
      <c r="T178" s="230"/>
      <c r="U178" s="230"/>
      <c r="V178" s="230"/>
      <c r="W178" s="230"/>
      <c r="X178" s="230"/>
      <c r="Y178" s="230"/>
      <c r="Z178" s="230"/>
    </row>
    <row r="179">
      <c r="A179" s="230"/>
      <c r="B179" s="230"/>
      <c r="C179" s="230"/>
      <c r="D179" s="230"/>
      <c r="E179" s="230"/>
      <c r="F179" s="230"/>
      <c r="G179" s="230"/>
      <c r="H179" s="230"/>
      <c r="I179" s="230"/>
      <c r="J179" s="230"/>
      <c r="K179" s="230"/>
      <c r="L179" s="230"/>
      <c r="M179" s="230"/>
      <c r="N179" s="230"/>
      <c r="O179" s="230"/>
      <c r="P179" s="230"/>
      <c r="Q179" s="230"/>
      <c r="R179" s="230"/>
      <c r="S179" s="230"/>
      <c r="T179" s="230"/>
      <c r="U179" s="230"/>
      <c r="V179" s="230"/>
      <c r="W179" s="230"/>
      <c r="X179" s="230"/>
      <c r="Y179" s="230"/>
      <c r="Z179" s="230"/>
    </row>
    <row r="180">
      <c r="A180" s="230"/>
      <c r="B180" s="230"/>
      <c r="C180" s="230"/>
      <c r="D180" s="230"/>
      <c r="E180" s="230"/>
      <c r="F180" s="230"/>
      <c r="G180" s="230"/>
      <c r="H180" s="230"/>
      <c r="I180" s="230"/>
      <c r="J180" s="230"/>
      <c r="K180" s="230"/>
      <c r="L180" s="230"/>
      <c r="M180" s="230"/>
      <c r="N180" s="230"/>
      <c r="O180" s="230"/>
      <c r="P180" s="230"/>
      <c r="Q180" s="230"/>
      <c r="R180" s="230"/>
      <c r="S180" s="230"/>
      <c r="T180" s="230"/>
      <c r="U180" s="230"/>
      <c r="V180" s="230"/>
      <c r="W180" s="230"/>
      <c r="X180" s="230"/>
      <c r="Y180" s="230"/>
      <c r="Z180" s="230"/>
    </row>
    <row r="181">
      <c r="A181" s="230"/>
      <c r="B181" s="230"/>
      <c r="C181" s="230"/>
      <c r="D181" s="230"/>
      <c r="E181" s="230"/>
      <c r="F181" s="230"/>
      <c r="G181" s="230"/>
      <c r="H181" s="230"/>
      <c r="I181" s="230"/>
      <c r="J181" s="230"/>
      <c r="K181" s="230"/>
      <c r="L181" s="230"/>
      <c r="M181" s="230"/>
      <c r="N181" s="230"/>
      <c r="O181" s="230"/>
      <c r="P181" s="230"/>
      <c r="Q181" s="230"/>
      <c r="R181" s="230"/>
      <c r="S181" s="230"/>
      <c r="T181" s="230"/>
      <c r="U181" s="230"/>
      <c r="V181" s="230"/>
      <c r="W181" s="230"/>
      <c r="X181" s="230"/>
      <c r="Y181" s="230"/>
      <c r="Z181" s="230"/>
    </row>
    <row r="182">
      <c r="A182" s="230"/>
      <c r="B182" s="230"/>
      <c r="C182" s="230"/>
      <c r="D182" s="230"/>
      <c r="E182" s="230"/>
      <c r="F182" s="230"/>
      <c r="G182" s="230"/>
      <c r="H182" s="230"/>
      <c r="I182" s="230"/>
      <c r="J182" s="230"/>
      <c r="K182" s="230"/>
      <c r="L182" s="230"/>
      <c r="M182" s="230"/>
      <c r="N182" s="230"/>
      <c r="O182" s="230"/>
      <c r="P182" s="230"/>
      <c r="Q182" s="230"/>
      <c r="R182" s="230"/>
      <c r="S182" s="230"/>
      <c r="T182" s="230"/>
      <c r="U182" s="230"/>
      <c r="V182" s="230"/>
      <c r="W182" s="230"/>
      <c r="X182" s="230"/>
      <c r="Y182" s="230"/>
      <c r="Z182" s="230"/>
    </row>
    <row r="183">
      <c r="A183" s="230"/>
      <c r="B183" s="230"/>
      <c r="C183" s="230"/>
      <c r="D183" s="230"/>
      <c r="E183" s="230"/>
      <c r="F183" s="230"/>
      <c r="G183" s="230"/>
      <c r="H183" s="230"/>
      <c r="I183" s="230"/>
      <c r="J183" s="230"/>
      <c r="K183" s="230"/>
      <c r="L183" s="230"/>
      <c r="M183" s="230"/>
      <c r="N183" s="230"/>
      <c r="O183" s="230"/>
      <c r="P183" s="230"/>
      <c r="Q183" s="230"/>
      <c r="R183" s="230"/>
      <c r="S183" s="230"/>
      <c r="T183" s="230"/>
      <c r="U183" s="230"/>
      <c r="V183" s="230"/>
      <c r="W183" s="230"/>
      <c r="X183" s="230"/>
      <c r="Y183" s="230"/>
      <c r="Z183" s="230"/>
    </row>
    <row r="184">
      <c r="A184" s="230"/>
      <c r="B184" s="230"/>
      <c r="C184" s="230"/>
      <c r="D184" s="230"/>
      <c r="E184" s="230"/>
      <c r="F184" s="230"/>
      <c r="G184" s="230"/>
      <c r="H184" s="230"/>
      <c r="I184" s="230"/>
      <c r="J184" s="230"/>
      <c r="K184" s="230"/>
      <c r="L184" s="230"/>
      <c r="M184" s="230"/>
      <c r="N184" s="230"/>
      <c r="O184" s="230"/>
      <c r="P184" s="230"/>
      <c r="Q184" s="230"/>
      <c r="R184" s="230"/>
      <c r="S184" s="230"/>
      <c r="T184" s="230"/>
      <c r="U184" s="230"/>
      <c r="V184" s="230"/>
      <c r="W184" s="230"/>
      <c r="X184" s="230"/>
      <c r="Y184" s="230"/>
      <c r="Z184" s="230"/>
    </row>
    <row r="185">
      <c r="A185" s="230"/>
      <c r="B185" s="230"/>
      <c r="C185" s="230"/>
      <c r="D185" s="230"/>
      <c r="E185" s="230"/>
      <c r="F185" s="230"/>
      <c r="G185" s="230"/>
      <c r="H185" s="230"/>
      <c r="I185" s="230"/>
      <c r="J185" s="230"/>
      <c r="K185" s="230"/>
      <c r="L185" s="230"/>
      <c r="M185" s="230"/>
      <c r="N185" s="230"/>
      <c r="O185" s="230"/>
      <c r="P185" s="230"/>
      <c r="Q185" s="230"/>
      <c r="R185" s="230"/>
      <c r="S185" s="230"/>
      <c r="T185" s="230"/>
      <c r="U185" s="230"/>
      <c r="V185" s="230"/>
      <c r="W185" s="230"/>
      <c r="X185" s="230"/>
      <c r="Y185" s="230"/>
      <c r="Z185" s="230"/>
    </row>
    <row r="186">
      <c r="A186" s="230"/>
      <c r="B186" s="230"/>
      <c r="C186" s="230"/>
      <c r="D186" s="230"/>
      <c r="E186" s="230"/>
      <c r="F186" s="230"/>
      <c r="G186" s="230"/>
      <c r="H186" s="230"/>
      <c r="I186" s="230"/>
      <c r="J186" s="230"/>
      <c r="K186" s="230"/>
      <c r="L186" s="230"/>
      <c r="M186" s="230"/>
      <c r="N186" s="230"/>
      <c r="O186" s="230"/>
      <c r="P186" s="230"/>
      <c r="Q186" s="230"/>
      <c r="R186" s="230"/>
      <c r="S186" s="230"/>
      <c r="T186" s="230"/>
      <c r="U186" s="230"/>
      <c r="V186" s="230"/>
      <c r="W186" s="230"/>
      <c r="X186" s="230"/>
      <c r="Y186" s="230"/>
      <c r="Z186" s="230"/>
    </row>
    <row r="187">
      <c r="A187" s="230"/>
      <c r="B187" s="230"/>
      <c r="C187" s="230"/>
      <c r="D187" s="230"/>
      <c r="E187" s="230"/>
      <c r="F187" s="230"/>
      <c r="G187" s="230"/>
      <c r="H187" s="230"/>
      <c r="I187" s="230"/>
      <c r="J187" s="230"/>
      <c r="K187" s="230"/>
      <c r="L187" s="230"/>
      <c r="M187" s="230"/>
      <c r="N187" s="230"/>
      <c r="O187" s="230"/>
      <c r="P187" s="230"/>
      <c r="Q187" s="230"/>
      <c r="R187" s="230"/>
      <c r="S187" s="230"/>
      <c r="T187" s="230"/>
      <c r="U187" s="230"/>
      <c r="V187" s="230"/>
      <c r="W187" s="230"/>
      <c r="X187" s="230"/>
      <c r="Y187" s="230"/>
      <c r="Z187" s="230"/>
    </row>
    <row r="188">
      <c r="A188" s="230"/>
      <c r="B188" s="230"/>
      <c r="C188" s="230"/>
      <c r="D188" s="230"/>
      <c r="E188" s="230"/>
      <c r="F188" s="230"/>
      <c r="G188" s="230"/>
      <c r="H188" s="230"/>
      <c r="I188" s="230"/>
      <c r="J188" s="230"/>
      <c r="K188" s="230"/>
      <c r="L188" s="230"/>
      <c r="M188" s="230"/>
      <c r="N188" s="230"/>
      <c r="O188" s="230"/>
      <c r="P188" s="230"/>
      <c r="Q188" s="230"/>
      <c r="R188" s="230"/>
      <c r="S188" s="230"/>
      <c r="T188" s="230"/>
      <c r="U188" s="230"/>
      <c r="V188" s="230"/>
      <c r="W188" s="230"/>
      <c r="X188" s="230"/>
      <c r="Y188" s="230"/>
      <c r="Z188" s="230"/>
    </row>
    <row r="189">
      <c r="A189" s="230"/>
      <c r="B189" s="230"/>
      <c r="C189" s="230"/>
      <c r="D189" s="230"/>
      <c r="E189" s="230"/>
      <c r="F189" s="230"/>
      <c r="G189" s="230"/>
      <c r="H189" s="230"/>
      <c r="I189" s="230"/>
      <c r="J189" s="230"/>
      <c r="K189" s="230"/>
      <c r="L189" s="230"/>
      <c r="M189" s="230"/>
      <c r="N189" s="230"/>
      <c r="O189" s="230"/>
      <c r="P189" s="230"/>
      <c r="Q189" s="230"/>
      <c r="R189" s="230"/>
      <c r="S189" s="230"/>
      <c r="T189" s="230"/>
      <c r="U189" s="230"/>
      <c r="V189" s="230"/>
      <c r="W189" s="230"/>
      <c r="X189" s="230"/>
      <c r="Y189" s="230"/>
      <c r="Z189" s="230"/>
    </row>
    <row r="190">
      <c r="A190" s="230"/>
      <c r="B190" s="230"/>
      <c r="C190" s="230"/>
      <c r="D190" s="230"/>
      <c r="E190" s="230"/>
      <c r="F190" s="230"/>
      <c r="G190" s="230"/>
      <c r="H190" s="230"/>
      <c r="I190" s="230"/>
      <c r="J190" s="230"/>
      <c r="K190" s="230"/>
      <c r="L190" s="230"/>
      <c r="M190" s="230"/>
      <c r="N190" s="230"/>
      <c r="O190" s="230"/>
      <c r="P190" s="230"/>
      <c r="Q190" s="230"/>
      <c r="R190" s="230"/>
      <c r="S190" s="230"/>
      <c r="T190" s="230"/>
      <c r="U190" s="230"/>
      <c r="V190" s="230"/>
      <c r="W190" s="230"/>
      <c r="X190" s="230"/>
      <c r="Y190" s="230"/>
      <c r="Z190" s="230"/>
    </row>
    <row r="191">
      <c r="A191" s="230"/>
      <c r="B191" s="230"/>
      <c r="C191" s="230"/>
      <c r="D191" s="230"/>
      <c r="E191" s="230"/>
      <c r="F191" s="230"/>
      <c r="G191" s="230"/>
      <c r="H191" s="230"/>
      <c r="I191" s="230"/>
      <c r="J191" s="230"/>
      <c r="K191" s="230"/>
      <c r="L191" s="230"/>
      <c r="M191" s="230"/>
      <c r="N191" s="230"/>
      <c r="O191" s="230"/>
      <c r="P191" s="230"/>
      <c r="Q191" s="230"/>
      <c r="R191" s="230"/>
      <c r="S191" s="230"/>
      <c r="T191" s="230"/>
      <c r="U191" s="230"/>
      <c r="V191" s="230"/>
      <c r="W191" s="230"/>
      <c r="X191" s="230"/>
      <c r="Y191" s="230"/>
      <c r="Z191" s="230"/>
    </row>
    <row r="192">
      <c r="A192" s="230"/>
      <c r="B192" s="230"/>
      <c r="C192" s="230"/>
      <c r="D192" s="230"/>
      <c r="E192" s="230"/>
      <c r="F192" s="230"/>
      <c r="G192" s="230"/>
      <c r="H192" s="230"/>
      <c r="I192" s="230"/>
      <c r="J192" s="230"/>
      <c r="K192" s="230"/>
      <c r="L192" s="230"/>
      <c r="M192" s="230"/>
      <c r="N192" s="230"/>
      <c r="O192" s="230"/>
      <c r="P192" s="230"/>
      <c r="Q192" s="230"/>
      <c r="R192" s="230"/>
      <c r="S192" s="230"/>
      <c r="T192" s="230"/>
      <c r="U192" s="230"/>
      <c r="V192" s="230"/>
      <c r="W192" s="230"/>
      <c r="X192" s="230"/>
      <c r="Y192" s="230"/>
      <c r="Z192" s="230"/>
    </row>
    <row r="193">
      <c r="A193" s="230"/>
      <c r="B193" s="230"/>
      <c r="C193" s="230"/>
      <c r="D193" s="230"/>
      <c r="E193" s="230"/>
      <c r="F193" s="230"/>
      <c r="G193" s="230"/>
      <c r="H193" s="230"/>
      <c r="I193" s="230"/>
      <c r="J193" s="230"/>
      <c r="K193" s="230"/>
      <c r="L193" s="230"/>
      <c r="M193" s="230"/>
      <c r="N193" s="230"/>
      <c r="O193" s="230"/>
      <c r="P193" s="230"/>
      <c r="Q193" s="230"/>
      <c r="R193" s="230"/>
      <c r="S193" s="230"/>
      <c r="T193" s="230"/>
      <c r="U193" s="230"/>
      <c r="V193" s="230"/>
      <c r="W193" s="230"/>
      <c r="X193" s="230"/>
      <c r="Y193" s="230"/>
      <c r="Z193" s="230"/>
    </row>
    <row r="194">
      <c r="A194" s="230"/>
      <c r="B194" s="230"/>
      <c r="C194" s="230"/>
      <c r="D194" s="230"/>
      <c r="E194" s="230"/>
      <c r="F194" s="230"/>
      <c r="G194" s="230"/>
      <c r="H194" s="230"/>
      <c r="I194" s="230"/>
      <c r="J194" s="230"/>
      <c r="K194" s="230"/>
      <c r="L194" s="230"/>
      <c r="M194" s="230"/>
      <c r="N194" s="230"/>
      <c r="O194" s="230"/>
      <c r="P194" s="230"/>
      <c r="Q194" s="230"/>
      <c r="R194" s="230"/>
      <c r="S194" s="230"/>
      <c r="T194" s="230"/>
      <c r="U194" s="230"/>
      <c r="V194" s="230"/>
      <c r="W194" s="230"/>
      <c r="X194" s="230"/>
      <c r="Y194" s="230"/>
      <c r="Z194" s="230"/>
    </row>
    <row r="195">
      <c r="A195" s="230"/>
      <c r="B195" s="230"/>
      <c r="C195" s="230"/>
      <c r="D195" s="230"/>
      <c r="E195" s="230"/>
      <c r="F195" s="230"/>
      <c r="G195" s="230"/>
      <c r="H195" s="230"/>
      <c r="I195" s="230"/>
      <c r="J195" s="230"/>
      <c r="K195" s="230"/>
      <c r="L195" s="230"/>
      <c r="M195" s="230"/>
      <c r="N195" s="230"/>
      <c r="O195" s="230"/>
      <c r="P195" s="230"/>
      <c r="Q195" s="230"/>
      <c r="R195" s="230"/>
      <c r="S195" s="230"/>
      <c r="T195" s="230"/>
      <c r="U195" s="230"/>
      <c r="V195" s="230"/>
      <c r="W195" s="230"/>
      <c r="X195" s="230"/>
      <c r="Y195" s="230"/>
      <c r="Z195" s="230"/>
    </row>
    <row r="196">
      <c r="A196" s="230"/>
      <c r="B196" s="230"/>
      <c r="C196" s="230"/>
      <c r="D196" s="230"/>
      <c r="E196" s="230"/>
      <c r="F196" s="230"/>
      <c r="G196" s="230"/>
      <c r="H196" s="230"/>
      <c r="I196" s="230"/>
      <c r="J196" s="230"/>
      <c r="K196" s="230"/>
      <c r="L196" s="230"/>
      <c r="M196" s="230"/>
      <c r="N196" s="230"/>
      <c r="O196" s="230"/>
      <c r="P196" s="230"/>
      <c r="Q196" s="230"/>
      <c r="R196" s="230"/>
      <c r="S196" s="230"/>
      <c r="T196" s="230"/>
      <c r="U196" s="230"/>
      <c r="V196" s="230"/>
      <c r="W196" s="230"/>
      <c r="X196" s="230"/>
      <c r="Y196" s="230"/>
      <c r="Z196" s="230"/>
    </row>
    <row r="197">
      <c r="A197" s="230"/>
      <c r="B197" s="230"/>
      <c r="C197" s="230"/>
      <c r="D197" s="230"/>
      <c r="E197" s="230"/>
      <c r="F197" s="230"/>
      <c r="G197" s="230"/>
      <c r="H197" s="230"/>
      <c r="I197" s="230"/>
      <c r="J197" s="230"/>
      <c r="K197" s="230"/>
      <c r="L197" s="230"/>
      <c r="M197" s="230"/>
      <c r="N197" s="230"/>
      <c r="O197" s="230"/>
      <c r="P197" s="230"/>
      <c r="Q197" s="230"/>
      <c r="R197" s="230"/>
      <c r="S197" s="230"/>
      <c r="T197" s="230"/>
      <c r="U197" s="230"/>
      <c r="V197" s="230"/>
      <c r="W197" s="230"/>
      <c r="X197" s="230"/>
      <c r="Y197" s="230"/>
      <c r="Z197" s="230"/>
    </row>
    <row r="198">
      <c r="A198" s="230"/>
      <c r="B198" s="230"/>
      <c r="C198" s="230"/>
      <c r="D198" s="230"/>
      <c r="E198" s="230"/>
      <c r="F198" s="230"/>
      <c r="G198" s="230"/>
      <c r="H198" s="230"/>
      <c r="I198" s="230"/>
      <c r="J198" s="230"/>
      <c r="K198" s="230"/>
      <c r="L198" s="230"/>
      <c r="M198" s="230"/>
      <c r="N198" s="230"/>
      <c r="O198" s="230"/>
      <c r="P198" s="230"/>
      <c r="Q198" s="230"/>
      <c r="R198" s="230"/>
      <c r="S198" s="230"/>
      <c r="T198" s="230"/>
      <c r="U198" s="230"/>
      <c r="V198" s="230"/>
      <c r="W198" s="230"/>
      <c r="X198" s="230"/>
      <c r="Y198" s="230"/>
      <c r="Z198" s="230"/>
    </row>
    <row r="199">
      <c r="A199" s="230"/>
      <c r="B199" s="230"/>
      <c r="C199" s="230"/>
      <c r="D199" s="230"/>
      <c r="E199" s="230"/>
      <c r="F199" s="230"/>
      <c r="G199" s="230"/>
      <c r="H199" s="230"/>
      <c r="I199" s="230"/>
      <c r="J199" s="230"/>
      <c r="K199" s="230"/>
      <c r="L199" s="230"/>
      <c r="M199" s="230"/>
      <c r="N199" s="230"/>
      <c r="O199" s="230"/>
      <c r="P199" s="230"/>
      <c r="Q199" s="230"/>
      <c r="R199" s="230"/>
      <c r="S199" s="230"/>
      <c r="T199" s="230"/>
      <c r="U199" s="230"/>
      <c r="V199" s="230"/>
      <c r="W199" s="230"/>
      <c r="X199" s="230"/>
      <c r="Y199" s="230"/>
      <c r="Z199" s="230"/>
    </row>
    <row r="200">
      <c r="A200" s="230"/>
      <c r="B200" s="230"/>
      <c r="C200" s="230"/>
      <c r="D200" s="230"/>
      <c r="E200" s="230"/>
      <c r="F200" s="230"/>
      <c r="G200" s="230"/>
      <c r="H200" s="230"/>
      <c r="I200" s="230"/>
      <c r="J200" s="230"/>
      <c r="K200" s="230"/>
      <c r="L200" s="230"/>
      <c r="M200" s="230"/>
      <c r="N200" s="230"/>
      <c r="O200" s="230"/>
      <c r="P200" s="230"/>
      <c r="Q200" s="230"/>
      <c r="R200" s="230"/>
      <c r="S200" s="230"/>
      <c r="T200" s="230"/>
      <c r="U200" s="230"/>
      <c r="V200" s="230"/>
      <c r="W200" s="230"/>
      <c r="X200" s="230"/>
      <c r="Y200" s="230"/>
      <c r="Z200" s="230"/>
    </row>
    <row r="201">
      <c r="A201" s="230"/>
      <c r="B201" s="230"/>
      <c r="C201" s="230"/>
      <c r="D201" s="230"/>
      <c r="E201" s="230"/>
      <c r="F201" s="230"/>
      <c r="G201" s="230"/>
      <c r="H201" s="230"/>
      <c r="I201" s="230"/>
      <c r="J201" s="230"/>
      <c r="K201" s="230"/>
      <c r="L201" s="230"/>
      <c r="M201" s="230"/>
      <c r="N201" s="230"/>
      <c r="O201" s="230"/>
      <c r="P201" s="230"/>
      <c r="Q201" s="230"/>
      <c r="R201" s="230"/>
      <c r="S201" s="230"/>
      <c r="T201" s="230"/>
      <c r="U201" s="230"/>
      <c r="V201" s="230"/>
      <c r="W201" s="230"/>
      <c r="X201" s="230"/>
      <c r="Y201" s="230"/>
      <c r="Z201" s="230"/>
    </row>
    <row r="202">
      <c r="A202" s="230"/>
      <c r="B202" s="230"/>
      <c r="C202" s="230"/>
      <c r="D202" s="230"/>
      <c r="E202" s="230"/>
      <c r="F202" s="230"/>
      <c r="G202" s="230"/>
      <c r="H202" s="230"/>
      <c r="I202" s="230"/>
      <c r="J202" s="230"/>
      <c r="K202" s="230"/>
      <c r="L202" s="230"/>
      <c r="M202" s="230"/>
      <c r="N202" s="230"/>
      <c r="O202" s="230"/>
      <c r="P202" s="230"/>
      <c r="Q202" s="230"/>
      <c r="R202" s="230"/>
      <c r="S202" s="230"/>
      <c r="T202" s="230"/>
      <c r="U202" s="230"/>
      <c r="V202" s="230"/>
      <c r="W202" s="230"/>
      <c r="X202" s="230"/>
      <c r="Y202" s="230"/>
      <c r="Z202" s="230"/>
    </row>
    <row r="203">
      <c r="A203" s="230"/>
      <c r="B203" s="230"/>
      <c r="C203" s="230"/>
      <c r="D203" s="230"/>
      <c r="E203" s="230"/>
      <c r="F203" s="230"/>
      <c r="G203" s="230"/>
      <c r="H203" s="230"/>
      <c r="I203" s="230"/>
      <c r="J203" s="230"/>
      <c r="K203" s="230"/>
      <c r="L203" s="230"/>
      <c r="M203" s="230"/>
      <c r="N203" s="230"/>
      <c r="O203" s="230"/>
      <c r="P203" s="230"/>
      <c r="Q203" s="230"/>
      <c r="R203" s="230"/>
      <c r="S203" s="230"/>
      <c r="T203" s="230"/>
      <c r="U203" s="230"/>
      <c r="V203" s="230"/>
      <c r="W203" s="230"/>
      <c r="X203" s="230"/>
      <c r="Y203" s="230"/>
      <c r="Z203" s="230"/>
    </row>
    <row r="204">
      <c r="A204" s="230"/>
      <c r="B204" s="230"/>
      <c r="C204" s="230"/>
      <c r="D204" s="230"/>
      <c r="E204" s="230"/>
      <c r="F204" s="230"/>
      <c r="G204" s="230"/>
      <c r="H204" s="230"/>
      <c r="I204" s="230"/>
      <c r="J204" s="230"/>
      <c r="K204" s="230"/>
      <c r="L204" s="230"/>
      <c r="M204" s="230"/>
      <c r="N204" s="230"/>
      <c r="O204" s="230"/>
      <c r="P204" s="230"/>
      <c r="Q204" s="230"/>
      <c r="R204" s="230"/>
      <c r="S204" s="230"/>
      <c r="T204" s="230"/>
      <c r="U204" s="230"/>
      <c r="V204" s="230"/>
      <c r="W204" s="230"/>
      <c r="X204" s="230"/>
      <c r="Y204" s="230"/>
      <c r="Z204" s="230"/>
    </row>
    <row r="205">
      <c r="A205" s="230"/>
      <c r="B205" s="230"/>
      <c r="C205" s="230"/>
      <c r="D205" s="230"/>
      <c r="E205" s="230"/>
      <c r="F205" s="230"/>
      <c r="G205" s="230"/>
      <c r="H205" s="230"/>
      <c r="I205" s="230"/>
      <c r="J205" s="230"/>
      <c r="K205" s="230"/>
      <c r="L205" s="230"/>
      <c r="M205" s="230"/>
      <c r="N205" s="230"/>
      <c r="O205" s="230"/>
      <c r="P205" s="230"/>
      <c r="Q205" s="230"/>
      <c r="R205" s="230"/>
      <c r="S205" s="230"/>
      <c r="T205" s="230"/>
      <c r="U205" s="230"/>
      <c r="V205" s="230"/>
      <c r="W205" s="230"/>
      <c r="X205" s="230"/>
      <c r="Y205" s="230"/>
      <c r="Z205" s="230"/>
    </row>
    <row r="206">
      <c r="A206" s="230"/>
      <c r="B206" s="230"/>
      <c r="C206" s="230"/>
      <c r="D206" s="230"/>
      <c r="E206" s="230"/>
      <c r="F206" s="230"/>
      <c r="G206" s="230"/>
      <c r="H206" s="230"/>
      <c r="I206" s="230"/>
      <c r="J206" s="230"/>
      <c r="K206" s="230"/>
      <c r="L206" s="230"/>
      <c r="M206" s="230"/>
      <c r="N206" s="230"/>
      <c r="O206" s="230"/>
      <c r="P206" s="230"/>
      <c r="Q206" s="230"/>
      <c r="R206" s="230"/>
      <c r="S206" s="230"/>
      <c r="T206" s="230"/>
      <c r="U206" s="230"/>
      <c r="V206" s="230"/>
      <c r="W206" s="230"/>
      <c r="X206" s="230"/>
      <c r="Y206" s="230"/>
      <c r="Z206" s="230"/>
    </row>
    <row r="207">
      <c r="A207" s="230"/>
      <c r="B207" s="230"/>
      <c r="C207" s="230"/>
      <c r="D207" s="230"/>
      <c r="E207" s="230"/>
      <c r="F207" s="230"/>
      <c r="G207" s="230"/>
      <c r="H207" s="230"/>
      <c r="I207" s="230"/>
      <c r="J207" s="230"/>
      <c r="K207" s="230"/>
      <c r="L207" s="230"/>
      <c r="M207" s="230"/>
      <c r="N207" s="230"/>
      <c r="O207" s="230"/>
      <c r="P207" s="230"/>
      <c r="Q207" s="230"/>
      <c r="R207" s="230"/>
      <c r="S207" s="230"/>
      <c r="T207" s="230"/>
      <c r="U207" s="230"/>
      <c r="V207" s="230"/>
      <c r="W207" s="230"/>
      <c r="X207" s="230"/>
      <c r="Y207" s="230"/>
      <c r="Z207" s="230"/>
    </row>
    <row r="208">
      <c r="A208" s="230"/>
      <c r="B208" s="230"/>
      <c r="C208" s="230"/>
      <c r="D208" s="230"/>
      <c r="E208" s="230"/>
      <c r="F208" s="230"/>
      <c r="G208" s="230"/>
      <c r="H208" s="230"/>
      <c r="I208" s="230"/>
      <c r="J208" s="230"/>
      <c r="K208" s="230"/>
      <c r="L208" s="230"/>
      <c r="M208" s="230"/>
      <c r="N208" s="230"/>
      <c r="O208" s="230"/>
      <c r="P208" s="230"/>
      <c r="Q208" s="230"/>
      <c r="R208" s="230"/>
      <c r="S208" s="230"/>
      <c r="T208" s="230"/>
      <c r="U208" s="230"/>
      <c r="V208" s="230"/>
      <c r="W208" s="230"/>
      <c r="X208" s="230"/>
      <c r="Y208" s="230"/>
      <c r="Z208" s="230"/>
    </row>
    <row r="209">
      <c r="A209" s="230"/>
      <c r="B209" s="230"/>
      <c r="C209" s="230"/>
      <c r="D209" s="230"/>
      <c r="E209" s="230"/>
      <c r="F209" s="230"/>
      <c r="G209" s="230"/>
      <c r="H209" s="230"/>
      <c r="I209" s="230"/>
      <c r="J209" s="230"/>
      <c r="K209" s="230"/>
      <c r="L209" s="230"/>
      <c r="M209" s="230"/>
      <c r="N209" s="230"/>
      <c r="O209" s="230"/>
      <c r="P209" s="230"/>
      <c r="Q209" s="230"/>
      <c r="R209" s="230"/>
      <c r="S209" s="230"/>
      <c r="T209" s="230"/>
      <c r="U209" s="230"/>
      <c r="V209" s="230"/>
      <c r="W209" s="230"/>
      <c r="X209" s="230"/>
      <c r="Y209" s="230"/>
      <c r="Z209" s="230"/>
    </row>
    <row r="210">
      <c r="A210" s="230"/>
      <c r="B210" s="230"/>
      <c r="C210" s="230"/>
      <c r="D210" s="230"/>
      <c r="E210" s="230"/>
      <c r="F210" s="230"/>
      <c r="G210" s="230"/>
      <c r="H210" s="230"/>
      <c r="I210" s="230"/>
      <c r="J210" s="230"/>
      <c r="K210" s="230"/>
      <c r="L210" s="230"/>
      <c r="M210" s="230"/>
      <c r="N210" s="230"/>
      <c r="O210" s="230"/>
      <c r="P210" s="230"/>
      <c r="Q210" s="230"/>
      <c r="R210" s="230"/>
      <c r="S210" s="230"/>
      <c r="T210" s="230"/>
      <c r="U210" s="230"/>
      <c r="V210" s="230"/>
      <c r="W210" s="230"/>
      <c r="X210" s="230"/>
      <c r="Y210" s="230"/>
      <c r="Z210" s="230"/>
    </row>
    <row r="211">
      <c r="A211" s="230"/>
      <c r="B211" s="230"/>
      <c r="C211" s="230"/>
      <c r="D211" s="230"/>
      <c r="E211" s="230"/>
      <c r="F211" s="230"/>
      <c r="G211" s="230"/>
      <c r="H211" s="230"/>
      <c r="I211" s="230"/>
      <c r="J211" s="230"/>
      <c r="K211" s="230"/>
      <c r="L211" s="230"/>
      <c r="M211" s="230"/>
      <c r="N211" s="230"/>
      <c r="O211" s="230"/>
      <c r="P211" s="230"/>
      <c r="Q211" s="230"/>
      <c r="R211" s="230"/>
      <c r="S211" s="230"/>
      <c r="T211" s="230"/>
      <c r="U211" s="230"/>
      <c r="V211" s="230"/>
      <c r="W211" s="230"/>
      <c r="X211" s="230"/>
      <c r="Y211" s="230"/>
      <c r="Z211" s="230"/>
    </row>
    <row r="212">
      <c r="A212" s="230"/>
      <c r="B212" s="230"/>
      <c r="C212" s="230"/>
      <c r="D212" s="230"/>
      <c r="E212" s="230"/>
      <c r="F212" s="230"/>
      <c r="G212" s="230"/>
      <c r="H212" s="230"/>
      <c r="I212" s="230"/>
      <c r="J212" s="230"/>
      <c r="K212" s="230"/>
      <c r="L212" s="230"/>
      <c r="M212" s="230"/>
      <c r="N212" s="230"/>
      <c r="O212" s="230"/>
      <c r="P212" s="230"/>
      <c r="Q212" s="230"/>
      <c r="R212" s="230"/>
      <c r="S212" s="230"/>
      <c r="T212" s="230"/>
      <c r="U212" s="230"/>
      <c r="V212" s="230"/>
      <c r="W212" s="230"/>
      <c r="X212" s="230"/>
      <c r="Y212" s="230"/>
      <c r="Z212" s="230"/>
    </row>
    <row r="213">
      <c r="A213" s="230"/>
      <c r="B213" s="230"/>
      <c r="C213" s="230"/>
      <c r="D213" s="230"/>
      <c r="E213" s="230"/>
      <c r="F213" s="230"/>
      <c r="G213" s="230"/>
      <c r="H213" s="230"/>
      <c r="I213" s="230"/>
      <c r="J213" s="230"/>
      <c r="K213" s="230"/>
      <c r="L213" s="230"/>
      <c r="M213" s="230"/>
      <c r="N213" s="230"/>
      <c r="O213" s="230"/>
      <c r="P213" s="230"/>
      <c r="Q213" s="230"/>
      <c r="R213" s="230"/>
      <c r="S213" s="230"/>
      <c r="T213" s="230"/>
      <c r="U213" s="230"/>
      <c r="V213" s="230"/>
      <c r="W213" s="230"/>
      <c r="X213" s="230"/>
      <c r="Y213" s="230"/>
      <c r="Z213" s="230"/>
    </row>
    <row r="214">
      <c r="A214" s="230"/>
      <c r="B214" s="230"/>
      <c r="C214" s="230"/>
      <c r="D214" s="230"/>
      <c r="E214" s="230"/>
      <c r="F214" s="230"/>
      <c r="G214" s="230"/>
      <c r="H214" s="230"/>
      <c r="I214" s="230"/>
      <c r="J214" s="230"/>
      <c r="K214" s="230"/>
      <c r="L214" s="230"/>
      <c r="M214" s="230"/>
      <c r="N214" s="230"/>
      <c r="O214" s="230"/>
      <c r="P214" s="230"/>
      <c r="Q214" s="230"/>
      <c r="R214" s="230"/>
      <c r="S214" s="230"/>
      <c r="T214" s="230"/>
      <c r="U214" s="230"/>
      <c r="V214" s="230"/>
      <c r="W214" s="230"/>
      <c r="X214" s="230"/>
      <c r="Y214" s="230"/>
      <c r="Z214" s="230"/>
    </row>
    <row r="215">
      <c r="A215" s="230"/>
      <c r="B215" s="230"/>
      <c r="C215" s="230"/>
      <c r="D215" s="230"/>
      <c r="E215" s="230"/>
      <c r="F215" s="230"/>
      <c r="G215" s="230"/>
      <c r="H215" s="230"/>
      <c r="I215" s="230"/>
      <c r="J215" s="230"/>
      <c r="K215" s="230"/>
      <c r="L215" s="230"/>
      <c r="M215" s="230"/>
      <c r="N215" s="230"/>
      <c r="O215" s="230"/>
      <c r="P215" s="230"/>
      <c r="Q215" s="230"/>
      <c r="R215" s="230"/>
      <c r="S215" s="230"/>
      <c r="T215" s="230"/>
      <c r="U215" s="230"/>
      <c r="V215" s="230"/>
      <c r="W215" s="230"/>
      <c r="X215" s="230"/>
      <c r="Y215" s="230"/>
      <c r="Z215" s="230"/>
    </row>
    <row r="216">
      <c r="A216" s="230"/>
      <c r="B216" s="230"/>
      <c r="C216" s="230"/>
      <c r="D216" s="230"/>
      <c r="E216" s="230"/>
      <c r="F216" s="230"/>
      <c r="G216" s="230"/>
      <c r="H216" s="230"/>
      <c r="I216" s="230"/>
      <c r="J216" s="230"/>
      <c r="K216" s="230"/>
      <c r="L216" s="230"/>
      <c r="M216" s="230"/>
      <c r="N216" s="230"/>
      <c r="O216" s="230"/>
      <c r="P216" s="230"/>
      <c r="Q216" s="230"/>
      <c r="R216" s="230"/>
      <c r="S216" s="230"/>
      <c r="T216" s="230"/>
      <c r="U216" s="230"/>
      <c r="V216" s="230"/>
      <c r="W216" s="230"/>
      <c r="X216" s="230"/>
      <c r="Y216" s="230"/>
      <c r="Z216" s="230"/>
    </row>
    <row r="217">
      <c r="A217" s="230"/>
      <c r="B217" s="230"/>
      <c r="C217" s="230"/>
      <c r="D217" s="230"/>
      <c r="E217" s="230"/>
      <c r="F217" s="230"/>
      <c r="G217" s="230"/>
      <c r="H217" s="230"/>
      <c r="I217" s="230"/>
      <c r="J217" s="230"/>
      <c r="K217" s="230"/>
      <c r="L217" s="230"/>
      <c r="M217" s="230"/>
      <c r="N217" s="230"/>
      <c r="O217" s="230"/>
      <c r="P217" s="230"/>
      <c r="Q217" s="230"/>
      <c r="R217" s="230"/>
      <c r="S217" s="230"/>
      <c r="T217" s="230"/>
      <c r="U217" s="230"/>
      <c r="V217" s="230"/>
      <c r="W217" s="230"/>
      <c r="X217" s="230"/>
      <c r="Y217" s="230"/>
      <c r="Z217" s="230"/>
    </row>
    <row r="218">
      <c r="A218" s="230"/>
      <c r="B218" s="230"/>
      <c r="C218" s="230"/>
      <c r="D218" s="230"/>
      <c r="E218" s="230"/>
      <c r="F218" s="230"/>
      <c r="G218" s="230"/>
      <c r="H218" s="230"/>
      <c r="I218" s="230"/>
      <c r="J218" s="230"/>
      <c r="K218" s="230"/>
      <c r="L218" s="230"/>
      <c r="M218" s="230"/>
      <c r="N218" s="230"/>
      <c r="O218" s="230"/>
      <c r="P218" s="230"/>
      <c r="Q218" s="230"/>
      <c r="R218" s="230"/>
      <c r="S218" s="230"/>
      <c r="T218" s="230"/>
      <c r="U218" s="230"/>
      <c r="V218" s="230"/>
      <c r="W218" s="230"/>
      <c r="X218" s="230"/>
      <c r="Y218" s="230"/>
      <c r="Z218" s="230"/>
    </row>
    <row r="219">
      <c r="A219" s="230"/>
      <c r="B219" s="230"/>
      <c r="C219" s="230"/>
      <c r="D219" s="230"/>
      <c r="E219" s="230"/>
      <c r="F219" s="230"/>
      <c r="G219" s="230"/>
      <c r="H219" s="230"/>
      <c r="I219" s="230"/>
      <c r="J219" s="230"/>
      <c r="K219" s="230"/>
      <c r="L219" s="230"/>
      <c r="M219" s="230"/>
      <c r="N219" s="230"/>
      <c r="O219" s="230"/>
      <c r="P219" s="230"/>
      <c r="Q219" s="230"/>
      <c r="R219" s="230"/>
      <c r="S219" s="230"/>
      <c r="T219" s="230"/>
      <c r="U219" s="230"/>
      <c r="V219" s="230"/>
      <c r="W219" s="230"/>
      <c r="X219" s="230"/>
      <c r="Y219" s="230"/>
      <c r="Z219" s="230"/>
    </row>
    <row r="220">
      <c r="A220" s="230"/>
      <c r="B220" s="230"/>
      <c r="C220" s="230"/>
      <c r="D220" s="230"/>
      <c r="E220" s="230"/>
      <c r="F220" s="230"/>
      <c r="G220" s="230"/>
      <c r="H220" s="230"/>
      <c r="I220" s="230"/>
      <c r="J220" s="230"/>
      <c r="K220" s="230"/>
      <c r="L220" s="230"/>
      <c r="M220" s="230"/>
      <c r="N220" s="230"/>
      <c r="O220" s="230"/>
      <c r="P220" s="230"/>
      <c r="Q220" s="230"/>
      <c r="R220" s="230"/>
      <c r="S220" s="230"/>
      <c r="T220" s="230"/>
      <c r="U220" s="230"/>
      <c r="V220" s="230"/>
      <c r="W220" s="230"/>
      <c r="X220" s="230"/>
      <c r="Y220" s="230"/>
      <c r="Z220" s="230"/>
    </row>
    <row r="221">
      <c r="A221" s="230"/>
      <c r="B221" s="230"/>
      <c r="C221" s="230"/>
      <c r="D221" s="230"/>
      <c r="E221" s="230"/>
      <c r="F221" s="230"/>
      <c r="G221" s="230"/>
      <c r="H221" s="230"/>
      <c r="I221" s="230"/>
      <c r="J221" s="230"/>
      <c r="K221" s="230"/>
      <c r="L221" s="230"/>
      <c r="M221" s="230"/>
      <c r="N221" s="230"/>
      <c r="O221" s="230"/>
      <c r="P221" s="230"/>
      <c r="Q221" s="230"/>
      <c r="R221" s="230"/>
      <c r="S221" s="230"/>
      <c r="T221" s="230"/>
      <c r="U221" s="230"/>
      <c r="V221" s="230"/>
      <c r="W221" s="230"/>
      <c r="X221" s="230"/>
      <c r="Y221" s="230"/>
      <c r="Z221" s="230"/>
    </row>
    <row r="222">
      <c r="A222" s="230"/>
      <c r="B222" s="230"/>
      <c r="C222" s="230"/>
      <c r="D222" s="230"/>
      <c r="E222" s="230"/>
      <c r="F222" s="230"/>
      <c r="G222" s="230"/>
      <c r="H222" s="230"/>
      <c r="I222" s="230"/>
      <c r="J222" s="230"/>
      <c r="K222" s="230"/>
      <c r="L222" s="230"/>
      <c r="M222" s="230"/>
      <c r="N222" s="230"/>
      <c r="O222" s="230"/>
      <c r="P222" s="230"/>
      <c r="Q222" s="230"/>
      <c r="R222" s="230"/>
      <c r="S222" s="230"/>
      <c r="T222" s="230"/>
      <c r="U222" s="230"/>
      <c r="V222" s="230"/>
      <c r="W222" s="230"/>
      <c r="X222" s="230"/>
      <c r="Y222" s="230"/>
      <c r="Z222" s="230"/>
    </row>
    <row r="223">
      <c r="A223" s="230"/>
      <c r="B223" s="230"/>
      <c r="C223" s="230"/>
      <c r="D223" s="230"/>
      <c r="E223" s="230"/>
      <c r="F223" s="230"/>
      <c r="G223" s="230"/>
      <c r="H223" s="230"/>
      <c r="I223" s="230"/>
      <c r="J223" s="230"/>
      <c r="K223" s="230"/>
      <c r="L223" s="230"/>
      <c r="M223" s="230"/>
      <c r="N223" s="230"/>
      <c r="O223" s="230"/>
      <c r="P223" s="230"/>
      <c r="Q223" s="230"/>
      <c r="R223" s="230"/>
      <c r="S223" s="230"/>
      <c r="T223" s="230"/>
      <c r="U223" s="230"/>
      <c r="V223" s="230"/>
      <c r="W223" s="230"/>
      <c r="X223" s="230"/>
      <c r="Y223" s="230"/>
      <c r="Z223" s="230"/>
    </row>
    <row r="224">
      <c r="A224" s="230"/>
      <c r="B224" s="230"/>
      <c r="C224" s="230"/>
      <c r="D224" s="230"/>
      <c r="E224" s="230"/>
      <c r="F224" s="230"/>
      <c r="G224" s="230"/>
      <c r="H224" s="230"/>
      <c r="I224" s="230"/>
      <c r="J224" s="230"/>
      <c r="K224" s="230"/>
      <c r="L224" s="230"/>
      <c r="M224" s="230"/>
      <c r="N224" s="230"/>
      <c r="O224" s="230"/>
      <c r="P224" s="230"/>
      <c r="Q224" s="230"/>
      <c r="R224" s="230"/>
      <c r="S224" s="230"/>
      <c r="T224" s="230"/>
      <c r="U224" s="230"/>
      <c r="V224" s="230"/>
      <c r="W224" s="230"/>
      <c r="X224" s="230"/>
      <c r="Y224" s="230"/>
      <c r="Z224" s="230"/>
    </row>
    <row r="225">
      <c r="A225" s="230"/>
      <c r="B225" s="230"/>
      <c r="C225" s="230"/>
      <c r="D225" s="230"/>
      <c r="E225" s="230"/>
      <c r="F225" s="230"/>
      <c r="G225" s="230"/>
      <c r="H225" s="230"/>
      <c r="I225" s="230"/>
      <c r="J225" s="230"/>
      <c r="K225" s="230"/>
      <c r="L225" s="230"/>
      <c r="M225" s="230"/>
      <c r="N225" s="230"/>
      <c r="O225" s="230"/>
      <c r="P225" s="230"/>
      <c r="Q225" s="230"/>
      <c r="R225" s="230"/>
      <c r="S225" s="230"/>
      <c r="T225" s="230"/>
      <c r="U225" s="230"/>
      <c r="V225" s="230"/>
      <c r="W225" s="230"/>
      <c r="X225" s="230"/>
      <c r="Y225" s="230"/>
      <c r="Z225" s="230"/>
    </row>
    <row r="226">
      <c r="A226" s="230"/>
      <c r="B226" s="230"/>
      <c r="C226" s="230"/>
      <c r="D226" s="230"/>
      <c r="E226" s="230"/>
      <c r="F226" s="230"/>
      <c r="G226" s="230"/>
      <c r="H226" s="230"/>
      <c r="I226" s="230"/>
      <c r="J226" s="230"/>
      <c r="K226" s="230"/>
      <c r="L226" s="230"/>
      <c r="M226" s="230"/>
      <c r="N226" s="230"/>
      <c r="O226" s="230"/>
      <c r="P226" s="230"/>
      <c r="Q226" s="230"/>
      <c r="R226" s="230"/>
      <c r="S226" s="230"/>
      <c r="T226" s="230"/>
      <c r="U226" s="230"/>
      <c r="V226" s="230"/>
      <c r="W226" s="230"/>
      <c r="X226" s="230"/>
      <c r="Y226" s="230"/>
      <c r="Z226" s="230"/>
    </row>
    <row r="227">
      <c r="A227" s="230"/>
      <c r="B227" s="230"/>
      <c r="C227" s="230"/>
      <c r="D227" s="230"/>
      <c r="E227" s="230"/>
      <c r="F227" s="230"/>
      <c r="G227" s="230"/>
      <c r="H227" s="230"/>
      <c r="I227" s="230"/>
      <c r="J227" s="230"/>
      <c r="K227" s="230"/>
      <c r="L227" s="230"/>
      <c r="M227" s="230"/>
      <c r="N227" s="230"/>
      <c r="O227" s="230"/>
      <c r="P227" s="230"/>
      <c r="Q227" s="230"/>
      <c r="R227" s="230"/>
      <c r="S227" s="230"/>
      <c r="T227" s="230"/>
      <c r="U227" s="230"/>
      <c r="V227" s="230"/>
      <c r="W227" s="230"/>
      <c r="X227" s="230"/>
      <c r="Y227" s="230"/>
      <c r="Z227" s="230"/>
    </row>
    <row r="228">
      <c r="A228" s="230"/>
      <c r="B228" s="230"/>
      <c r="C228" s="230"/>
      <c r="D228" s="230"/>
      <c r="E228" s="230"/>
      <c r="F228" s="230"/>
      <c r="G228" s="230"/>
      <c r="H228" s="230"/>
      <c r="I228" s="230"/>
      <c r="J228" s="230"/>
      <c r="K228" s="230"/>
      <c r="L228" s="230"/>
      <c r="M228" s="230"/>
      <c r="N228" s="230"/>
      <c r="O228" s="230"/>
      <c r="P228" s="230"/>
      <c r="Q228" s="230"/>
      <c r="R228" s="230"/>
      <c r="S228" s="230"/>
      <c r="T228" s="230"/>
      <c r="U228" s="230"/>
      <c r="V228" s="230"/>
      <c r="W228" s="230"/>
      <c r="X228" s="230"/>
      <c r="Y228" s="230"/>
      <c r="Z228" s="230"/>
    </row>
    <row r="229">
      <c r="A229" s="230"/>
      <c r="B229" s="230"/>
      <c r="C229" s="230"/>
      <c r="D229" s="230"/>
      <c r="E229" s="230"/>
      <c r="F229" s="230"/>
      <c r="G229" s="230"/>
      <c r="H229" s="230"/>
      <c r="I229" s="230"/>
      <c r="J229" s="230"/>
      <c r="K229" s="230"/>
      <c r="L229" s="230"/>
      <c r="M229" s="230"/>
      <c r="N229" s="230"/>
      <c r="O229" s="230"/>
      <c r="P229" s="230"/>
      <c r="Q229" s="230"/>
      <c r="R229" s="230"/>
      <c r="S229" s="230"/>
      <c r="T229" s="230"/>
      <c r="U229" s="230"/>
      <c r="V229" s="230"/>
      <c r="W229" s="230"/>
      <c r="X229" s="230"/>
      <c r="Y229" s="230"/>
      <c r="Z229" s="230"/>
    </row>
    <row r="230">
      <c r="A230" s="230"/>
      <c r="B230" s="230"/>
      <c r="C230" s="230"/>
      <c r="D230" s="230"/>
      <c r="E230" s="230"/>
      <c r="F230" s="230"/>
      <c r="G230" s="230"/>
      <c r="H230" s="230"/>
      <c r="I230" s="230"/>
      <c r="J230" s="230"/>
      <c r="K230" s="230"/>
      <c r="L230" s="230"/>
      <c r="M230" s="230"/>
      <c r="N230" s="230"/>
      <c r="O230" s="230"/>
      <c r="P230" s="230"/>
      <c r="Q230" s="230"/>
      <c r="R230" s="230"/>
      <c r="S230" s="230"/>
      <c r="T230" s="230"/>
      <c r="U230" s="230"/>
      <c r="V230" s="230"/>
      <c r="W230" s="230"/>
      <c r="X230" s="230"/>
      <c r="Y230" s="230"/>
      <c r="Z230" s="230"/>
    </row>
    <row r="231">
      <c r="A231" s="230"/>
      <c r="B231" s="230"/>
      <c r="C231" s="230"/>
      <c r="D231" s="230"/>
      <c r="E231" s="230"/>
      <c r="F231" s="230"/>
      <c r="G231" s="230"/>
      <c r="H231" s="230"/>
      <c r="I231" s="230"/>
      <c r="J231" s="230"/>
      <c r="K231" s="230"/>
      <c r="L231" s="230"/>
      <c r="M231" s="230"/>
      <c r="N231" s="230"/>
      <c r="O231" s="230"/>
      <c r="P231" s="230"/>
      <c r="Q231" s="230"/>
      <c r="R231" s="230"/>
      <c r="S231" s="230"/>
      <c r="T231" s="230"/>
      <c r="U231" s="230"/>
      <c r="V231" s="230"/>
      <c r="W231" s="230"/>
      <c r="X231" s="230"/>
      <c r="Y231" s="230"/>
      <c r="Z231" s="230"/>
    </row>
    <row r="232">
      <c r="A232" s="230"/>
      <c r="B232" s="230"/>
      <c r="C232" s="230"/>
      <c r="D232" s="230"/>
      <c r="E232" s="230"/>
      <c r="F232" s="230"/>
      <c r="G232" s="230"/>
      <c r="H232" s="230"/>
      <c r="I232" s="230"/>
      <c r="J232" s="230"/>
      <c r="K232" s="230"/>
      <c r="L232" s="230"/>
      <c r="M232" s="230"/>
      <c r="N232" s="230"/>
      <c r="O232" s="230"/>
      <c r="P232" s="230"/>
      <c r="Q232" s="230"/>
      <c r="R232" s="230"/>
      <c r="S232" s="230"/>
      <c r="T232" s="230"/>
      <c r="U232" s="230"/>
      <c r="V232" s="230"/>
      <c r="W232" s="230"/>
      <c r="X232" s="230"/>
      <c r="Y232" s="230"/>
      <c r="Z232" s="230"/>
    </row>
    <row r="233">
      <c r="A233" s="230"/>
      <c r="B233" s="230"/>
      <c r="C233" s="230"/>
      <c r="D233" s="230"/>
      <c r="E233" s="230"/>
      <c r="F233" s="230"/>
      <c r="G233" s="230"/>
      <c r="H233" s="230"/>
      <c r="I233" s="230"/>
      <c r="J233" s="230"/>
      <c r="K233" s="230"/>
      <c r="L233" s="230"/>
      <c r="M233" s="230"/>
      <c r="N233" s="230"/>
      <c r="O233" s="230"/>
      <c r="P233" s="230"/>
      <c r="Q233" s="230"/>
      <c r="R233" s="230"/>
      <c r="S233" s="230"/>
      <c r="T233" s="230"/>
      <c r="U233" s="230"/>
      <c r="V233" s="230"/>
      <c r="W233" s="230"/>
      <c r="X233" s="230"/>
      <c r="Y233" s="230"/>
      <c r="Z233" s="230"/>
    </row>
    <row r="234">
      <c r="A234" s="230"/>
      <c r="B234" s="230"/>
      <c r="C234" s="230"/>
      <c r="D234" s="230"/>
      <c r="E234" s="230"/>
      <c r="F234" s="230"/>
      <c r="G234" s="230"/>
      <c r="H234" s="230"/>
      <c r="I234" s="230"/>
      <c r="J234" s="230"/>
      <c r="K234" s="230"/>
      <c r="L234" s="230"/>
      <c r="M234" s="230"/>
      <c r="N234" s="230"/>
      <c r="O234" s="230"/>
      <c r="P234" s="230"/>
      <c r="Q234" s="230"/>
      <c r="R234" s="230"/>
      <c r="S234" s="230"/>
      <c r="T234" s="230"/>
      <c r="U234" s="230"/>
      <c r="V234" s="230"/>
      <c r="W234" s="230"/>
      <c r="X234" s="230"/>
      <c r="Y234" s="230"/>
      <c r="Z234" s="230"/>
    </row>
    <row r="235">
      <c r="A235" s="230"/>
      <c r="B235" s="230"/>
      <c r="C235" s="230"/>
      <c r="D235" s="230"/>
      <c r="E235" s="230"/>
      <c r="F235" s="230"/>
      <c r="G235" s="230"/>
      <c r="H235" s="230"/>
      <c r="I235" s="230"/>
      <c r="J235" s="230"/>
      <c r="K235" s="230"/>
      <c r="L235" s="230"/>
      <c r="M235" s="230"/>
      <c r="N235" s="230"/>
      <c r="O235" s="230"/>
      <c r="P235" s="230"/>
      <c r="Q235" s="230"/>
      <c r="R235" s="230"/>
      <c r="S235" s="230"/>
      <c r="T235" s="230"/>
      <c r="U235" s="230"/>
      <c r="V235" s="230"/>
      <c r="W235" s="230"/>
      <c r="X235" s="230"/>
      <c r="Y235" s="230"/>
      <c r="Z235" s="230"/>
    </row>
    <row r="236">
      <c r="A236" s="230"/>
      <c r="B236" s="230"/>
      <c r="C236" s="230"/>
      <c r="D236" s="230"/>
      <c r="E236" s="230"/>
      <c r="F236" s="230"/>
      <c r="G236" s="230"/>
      <c r="H236" s="230"/>
      <c r="I236" s="230"/>
      <c r="J236" s="230"/>
      <c r="K236" s="230"/>
      <c r="L236" s="230"/>
      <c r="M236" s="230"/>
      <c r="N236" s="230"/>
      <c r="O236" s="230"/>
      <c r="P236" s="230"/>
      <c r="Q236" s="230"/>
      <c r="R236" s="230"/>
      <c r="S236" s="230"/>
      <c r="T236" s="230"/>
      <c r="U236" s="230"/>
      <c r="V236" s="230"/>
      <c r="W236" s="230"/>
      <c r="X236" s="230"/>
      <c r="Y236" s="230"/>
      <c r="Z236" s="230"/>
    </row>
    <row r="237">
      <c r="A237" s="230"/>
      <c r="B237" s="230"/>
      <c r="C237" s="230"/>
      <c r="D237" s="230"/>
      <c r="E237" s="230"/>
      <c r="F237" s="230"/>
      <c r="G237" s="230"/>
      <c r="H237" s="230"/>
      <c r="I237" s="230"/>
      <c r="J237" s="230"/>
      <c r="K237" s="230"/>
      <c r="L237" s="230"/>
      <c r="M237" s="230"/>
      <c r="N237" s="230"/>
      <c r="O237" s="230"/>
      <c r="P237" s="230"/>
      <c r="Q237" s="230"/>
      <c r="R237" s="230"/>
      <c r="S237" s="230"/>
      <c r="T237" s="230"/>
      <c r="U237" s="230"/>
      <c r="V237" s="230"/>
      <c r="W237" s="230"/>
      <c r="X237" s="230"/>
      <c r="Y237" s="230"/>
      <c r="Z237" s="230"/>
    </row>
    <row r="238">
      <c r="A238" s="230"/>
      <c r="B238" s="230"/>
      <c r="C238" s="230"/>
      <c r="D238" s="230"/>
      <c r="E238" s="230"/>
      <c r="F238" s="230"/>
      <c r="G238" s="230"/>
      <c r="H238" s="230"/>
      <c r="I238" s="230"/>
      <c r="J238" s="230"/>
      <c r="K238" s="230"/>
      <c r="L238" s="230"/>
      <c r="M238" s="230"/>
      <c r="N238" s="230"/>
      <c r="O238" s="230"/>
      <c r="P238" s="230"/>
      <c r="Q238" s="230"/>
      <c r="R238" s="230"/>
      <c r="S238" s="230"/>
      <c r="T238" s="230"/>
      <c r="U238" s="230"/>
      <c r="V238" s="230"/>
      <c r="W238" s="230"/>
      <c r="X238" s="230"/>
      <c r="Y238" s="230"/>
      <c r="Z238" s="230"/>
    </row>
    <row r="239">
      <c r="A239" s="230"/>
      <c r="B239" s="230"/>
      <c r="C239" s="230"/>
      <c r="D239" s="230"/>
      <c r="E239" s="230"/>
      <c r="F239" s="230"/>
      <c r="G239" s="230"/>
      <c r="H239" s="230"/>
      <c r="I239" s="230"/>
      <c r="J239" s="230"/>
      <c r="K239" s="230"/>
      <c r="L239" s="230"/>
      <c r="M239" s="230"/>
      <c r="N239" s="230"/>
      <c r="O239" s="230"/>
      <c r="P239" s="230"/>
      <c r="Q239" s="230"/>
      <c r="R239" s="230"/>
      <c r="S239" s="230"/>
      <c r="T239" s="230"/>
      <c r="U239" s="230"/>
      <c r="V239" s="230"/>
      <c r="W239" s="230"/>
      <c r="X239" s="230"/>
      <c r="Y239" s="230"/>
      <c r="Z239" s="230"/>
    </row>
    <row r="240">
      <c r="A240" s="230"/>
      <c r="B240" s="230"/>
      <c r="C240" s="230"/>
      <c r="D240" s="230"/>
      <c r="E240" s="230"/>
      <c r="F240" s="230"/>
      <c r="G240" s="230"/>
      <c r="H240" s="230"/>
      <c r="I240" s="230"/>
      <c r="J240" s="230"/>
      <c r="K240" s="230"/>
      <c r="L240" s="230"/>
      <c r="M240" s="230"/>
      <c r="N240" s="230"/>
      <c r="O240" s="230"/>
      <c r="P240" s="230"/>
      <c r="Q240" s="230"/>
      <c r="R240" s="230"/>
      <c r="S240" s="230"/>
      <c r="T240" s="230"/>
      <c r="U240" s="230"/>
      <c r="V240" s="230"/>
      <c r="W240" s="230"/>
      <c r="X240" s="230"/>
      <c r="Y240" s="230"/>
      <c r="Z240" s="230"/>
    </row>
    <row r="241">
      <c r="A241" s="230"/>
      <c r="B241" s="230"/>
      <c r="C241" s="230"/>
      <c r="D241" s="230"/>
      <c r="E241" s="230"/>
      <c r="F241" s="230"/>
      <c r="G241" s="230"/>
      <c r="H241" s="230"/>
      <c r="I241" s="230"/>
      <c r="J241" s="230"/>
      <c r="K241" s="230"/>
      <c r="L241" s="230"/>
      <c r="M241" s="230"/>
      <c r="N241" s="230"/>
      <c r="O241" s="230"/>
      <c r="P241" s="230"/>
      <c r="Q241" s="230"/>
      <c r="R241" s="230"/>
      <c r="S241" s="230"/>
      <c r="T241" s="230"/>
      <c r="U241" s="230"/>
      <c r="V241" s="230"/>
      <c r="W241" s="230"/>
      <c r="X241" s="230"/>
      <c r="Y241" s="230"/>
      <c r="Z241" s="230"/>
    </row>
    <row r="242">
      <c r="A242" s="230"/>
      <c r="B242" s="230"/>
      <c r="C242" s="230"/>
      <c r="D242" s="230"/>
      <c r="E242" s="230"/>
      <c r="F242" s="230"/>
      <c r="G242" s="230"/>
      <c r="H242" s="230"/>
      <c r="I242" s="230"/>
      <c r="J242" s="230"/>
      <c r="K242" s="230"/>
      <c r="L242" s="230"/>
      <c r="M242" s="230"/>
      <c r="N242" s="230"/>
      <c r="O242" s="230"/>
      <c r="P242" s="230"/>
      <c r="Q242" s="230"/>
      <c r="R242" s="230"/>
      <c r="S242" s="230"/>
      <c r="T242" s="230"/>
      <c r="U242" s="230"/>
      <c r="V242" s="230"/>
      <c r="W242" s="230"/>
      <c r="X242" s="230"/>
      <c r="Y242" s="230"/>
      <c r="Z242" s="230"/>
    </row>
    <row r="243">
      <c r="A243" s="230"/>
      <c r="B243" s="230"/>
      <c r="C243" s="230"/>
      <c r="D243" s="230"/>
      <c r="E243" s="230"/>
      <c r="F243" s="230"/>
      <c r="G243" s="230"/>
      <c r="H243" s="230"/>
      <c r="I243" s="230"/>
      <c r="J243" s="230"/>
      <c r="K243" s="230"/>
      <c r="L243" s="230"/>
      <c r="M243" s="230"/>
      <c r="N243" s="230"/>
      <c r="O243" s="230"/>
      <c r="P243" s="230"/>
      <c r="Q243" s="230"/>
      <c r="R243" s="230"/>
      <c r="S243" s="230"/>
      <c r="T243" s="230"/>
      <c r="U243" s="230"/>
      <c r="V243" s="230"/>
      <c r="W243" s="230"/>
      <c r="X243" s="230"/>
      <c r="Y243" s="230"/>
      <c r="Z243" s="230"/>
    </row>
    <row r="244">
      <c r="A244" s="230"/>
      <c r="B244" s="230"/>
      <c r="C244" s="230"/>
      <c r="D244" s="230"/>
      <c r="E244" s="230"/>
      <c r="F244" s="230"/>
      <c r="G244" s="230"/>
      <c r="H244" s="230"/>
      <c r="I244" s="230"/>
      <c r="J244" s="230"/>
      <c r="K244" s="230"/>
      <c r="L244" s="230"/>
      <c r="M244" s="230"/>
      <c r="N244" s="230"/>
      <c r="O244" s="230"/>
      <c r="P244" s="230"/>
      <c r="Q244" s="230"/>
      <c r="R244" s="230"/>
      <c r="S244" s="230"/>
      <c r="T244" s="230"/>
      <c r="U244" s="230"/>
      <c r="V244" s="230"/>
      <c r="W244" s="230"/>
      <c r="X244" s="230"/>
      <c r="Y244" s="230"/>
      <c r="Z244" s="230"/>
    </row>
    <row r="245">
      <c r="A245" s="230"/>
      <c r="B245" s="230"/>
      <c r="C245" s="230"/>
      <c r="D245" s="230"/>
      <c r="E245" s="230"/>
      <c r="F245" s="230"/>
      <c r="G245" s="230"/>
      <c r="H245" s="230"/>
      <c r="I245" s="230"/>
      <c r="J245" s="230"/>
      <c r="K245" s="230"/>
      <c r="L245" s="230"/>
      <c r="M245" s="230"/>
      <c r="N245" s="230"/>
      <c r="O245" s="230"/>
      <c r="P245" s="230"/>
      <c r="Q245" s="230"/>
      <c r="R245" s="230"/>
      <c r="S245" s="230"/>
      <c r="T245" s="230"/>
      <c r="U245" s="230"/>
      <c r="V245" s="230"/>
      <c r="W245" s="230"/>
      <c r="X245" s="230"/>
      <c r="Y245" s="230"/>
      <c r="Z245" s="230"/>
    </row>
    <row r="246">
      <c r="A246" s="230"/>
      <c r="B246" s="230"/>
      <c r="C246" s="230"/>
      <c r="D246" s="230"/>
      <c r="E246" s="230"/>
      <c r="F246" s="230"/>
      <c r="G246" s="230"/>
      <c r="H246" s="230"/>
      <c r="I246" s="230"/>
      <c r="J246" s="230"/>
      <c r="K246" s="230"/>
      <c r="L246" s="230"/>
      <c r="M246" s="230"/>
      <c r="N246" s="230"/>
      <c r="O246" s="230"/>
      <c r="P246" s="230"/>
      <c r="Q246" s="230"/>
      <c r="R246" s="230"/>
      <c r="S246" s="230"/>
      <c r="T246" s="230"/>
      <c r="U246" s="230"/>
      <c r="V246" s="230"/>
      <c r="W246" s="230"/>
      <c r="X246" s="230"/>
      <c r="Y246" s="230"/>
      <c r="Z246" s="230"/>
    </row>
    <row r="247">
      <c r="A247" s="230"/>
      <c r="B247" s="230"/>
      <c r="C247" s="230"/>
      <c r="D247" s="230"/>
      <c r="E247" s="230"/>
      <c r="F247" s="230"/>
      <c r="G247" s="230"/>
      <c r="H247" s="230"/>
      <c r="I247" s="230"/>
      <c r="J247" s="230"/>
      <c r="K247" s="230"/>
      <c r="L247" s="230"/>
      <c r="M247" s="230"/>
      <c r="N247" s="230"/>
      <c r="O247" s="230"/>
      <c r="P247" s="230"/>
      <c r="Q247" s="230"/>
      <c r="R247" s="230"/>
      <c r="S247" s="230"/>
      <c r="T247" s="230"/>
      <c r="U247" s="230"/>
      <c r="V247" s="230"/>
      <c r="W247" s="230"/>
      <c r="X247" s="230"/>
      <c r="Y247" s="230"/>
      <c r="Z247" s="230"/>
    </row>
    <row r="248">
      <c r="A248" s="230"/>
      <c r="B248" s="230"/>
      <c r="C248" s="230"/>
      <c r="D248" s="230"/>
      <c r="E248" s="230"/>
      <c r="F248" s="230"/>
      <c r="G248" s="230"/>
      <c r="H248" s="230"/>
      <c r="I248" s="230"/>
      <c r="J248" s="230"/>
      <c r="K248" s="230"/>
      <c r="L248" s="230"/>
      <c r="M248" s="230"/>
      <c r="N248" s="230"/>
      <c r="O248" s="230"/>
      <c r="P248" s="230"/>
      <c r="Q248" s="230"/>
      <c r="R248" s="230"/>
      <c r="S248" s="230"/>
      <c r="T248" s="230"/>
      <c r="U248" s="230"/>
      <c r="V248" s="230"/>
      <c r="W248" s="230"/>
      <c r="X248" s="230"/>
      <c r="Y248" s="230"/>
      <c r="Z248" s="230"/>
    </row>
    <row r="249">
      <c r="A249" s="230"/>
      <c r="B249" s="230"/>
      <c r="C249" s="230"/>
      <c r="D249" s="230"/>
      <c r="E249" s="230"/>
      <c r="F249" s="230"/>
      <c r="G249" s="230"/>
      <c r="H249" s="230"/>
      <c r="I249" s="230"/>
      <c r="J249" s="230"/>
      <c r="K249" s="230"/>
      <c r="L249" s="230"/>
      <c r="M249" s="230"/>
      <c r="N249" s="230"/>
      <c r="O249" s="230"/>
      <c r="P249" s="230"/>
      <c r="Q249" s="230"/>
      <c r="R249" s="230"/>
      <c r="S249" s="230"/>
      <c r="T249" s="230"/>
      <c r="U249" s="230"/>
      <c r="V249" s="230"/>
      <c r="W249" s="230"/>
      <c r="X249" s="230"/>
      <c r="Y249" s="230"/>
      <c r="Z249" s="230"/>
    </row>
    <row r="250">
      <c r="A250" s="230"/>
      <c r="B250" s="230"/>
      <c r="C250" s="230"/>
      <c r="D250" s="230"/>
      <c r="E250" s="230"/>
      <c r="F250" s="230"/>
      <c r="G250" s="230"/>
      <c r="H250" s="230"/>
      <c r="I250" s="230"/>
      <c r="J250" s="230"/>
      <c r="K250" s="230"/>
      <c r="L250" s="230"/>
      <c r="M250" s="230"/>
      <c r="N250" s="230"/>
      <c r="O250" s="230"/>
      <c r="P250" s="230"/>
      <c r="Q250" s="230"/>
      <c r="R250" s="230"/>
      <c r="S250" s="230"/>
      <c r="T250" s="230"/>
      <c r="U250" s="230"/>
      <c r="V250" s="230"/>
      <c r="W250" s="230"/>
      <c r="X250" s="230"/>
      <c r="Y250" s="230"/>
      <c r="Z250" s="230"/>
    </row>
    <row r="251">
      <c r="A251" s="230"/>
      <c r="B251" s="230"/>
      <c r="C251" s="230"/>
      <c r="D251" s="230"/>
      <c r="E251" s="230"/>
      <c r="F251" s="230"/>
      <c r="G251" s="230"/>
      <c r="H251" s="230"/>
      <c r="I251" s="230"/>
      <c r="J251" s="230"/>
      <c r="K251" s="230"/>
      <c r="L251" s="230"/>
      <c r="M251" s="230"/>
      <c r="N251" s="230"/>
      <c r="O251" s="230"/>
      <c r="P251" s="230"/>
      <c r="Q251" s="230"/>
      <c r="R251" s="230"/>
      <c r="S251" s="230"/>
      <c r="T251" s="230"/>
      <c r="U251" s="230"/>
      <c r="V251" s="230"/>
      <c r="W251" s="230"/>
      <c r="X251" s="230"/>
      <c r="Y251" s="230"/>
      <c r="Z251" s="230"/>
    </row>
    <row r="252">
      <c r="A252" s="230"/>
      <c r="B252" s="230"/>
      <c r="C252" s="230"/>
      <c r="D252" s="230"/>
      <c r="E252" s="230"/>
      <c r="F252" s="230"/>
      <c r="G252" s="230"/>
      <c r="H252" s="230"/>
      <c r="I252" s="230"/>
      <c r="J252" s="230"/>
      <c r="K252" s="230"/>
      <c r="L252" s="230"/>
      <c r="M252" s="230"/>
      <c r="N252" s="230"/>
      <c r="O252" s="230"/>
      <c r="P252" s="230"/>
      <c r="Q252" s="230"/>
      <c r="R252" s="230"/>
      <c r="S252" s="230"/>
      <c r="T252" s="230"/>
      <c r="U252" s="230"/>
      <c r="V252" s="230"/>
      <c r="W252" s="230"/>
      <c r="X252" s="230"/>
      <c r="Y252" s="230"/>
      <c r="Z252" s="230"/>
    </row>
    <row r="253">
      <c r="A253" s="230"/>
      <c r="B253" s="230"/>
      <c r="C253" s="230"/>
      <c r="D253" s="230"/>
      <c r="E253" s="230"/>
      <c r="F253" s="230"/>
      <c r="G253" s="230"/>
      <c r="H253" s="230"/>
      <c r="I253" s="230"/>
      <c r="J253" s="230"/>
      <c r="K253" s="230"/>
      <c r="L253" s="230"/>
      <c r="M253" s="230"/>
      <c r="N253" s="230"/>
      <c r="O253" s="230"/>
      <c r="P253" s="230"/>
      <c r="Q253" s="230"/>
      <c r="R253" s="230"/>
      <c r="S253" s="230"/>
      <c r="T253" s="230"/>
      <c r="U253" s="230"/>
      <c r="V253" s="230"/>
      <c r="W253" s="230"/>
      <c r="X253" s="230"/>
      <c r="Y253" s="230"/>
      <c r="Z253" s="230"/>
    </row>
    <row r="254">
      <c r="A254" s="230"/>
      <c r="B254" s="230"/>
      <c r="C254" s="230"/>
      <c r="D254" s="230"/>
      <c r="E254" s="230"/>
      <c r="F254" s="230"/>
      <c r="G254" s="230"/>
      <c r="H254" s="230"/>
      <c r="I254" s="230"/>
      <c r="J254" s="230"/>
      <c r="K254" s="230"/>
      <c r="L254" s="230"/>
      <c r="M254" s="230"/>
      <c r="N254" s="230"/>
      <c r="O254" s="230"/>
      <c r="P254" s="230"/>
      <c r="Q254" s="230"/>
      <c r="R254" s="230"/>
      <c r="S254" s="230"/>
      <c r="T254" s="230"/>
      <c r="U254" s="230"/>
      <c r="V254" s="230"/>
      <c r="W254" s="230"/>
      <c r="X254" s="230"/>
      <c r="Y254" s="230"/>
      <c r="Z254" s="230"/>
    </row>
    <row r="255">
      <c r="A255" s="230"/>
      <c r="B255" s="230"/>
      <c r="C255" s="230"/>
      <c r="D255" s="230"/>
      <c r="E255" s="230"/>
      <c r="F255" s="230"/>
      <c r="G255" s="230"/>
      <c r="H255" s="230"/>
      <c r="I255" s="230"/>
      <c r="J255" s="230"/>
      <c r="K255" s="230"/>
      <c r="L255" s="230"/>
      <c r="M255" s="230"/>
      <c r="N255" s="230"/>
      <c r="O255" s="230"/>
      <c r="P255" s="230"/>
      <c r="Q255" s="230"/>
      <c r="R255" s="230"/>
      <c r="S255" s="230"/>
      <c r="T255" s="230"/>
      <c r="U255" s="230"/>
      <c r="V255" s="230"/>
      <c r="W255" s="230"/>
      <c r="X255" s="230"/>
      <c r="Y255" s="230"/>
      <c r="Z255" s="230"/>
    </row>
    <row r="256">
      <c r="A256" s="230"/>
      <c r="B256" s="230"/>
      <c r="C256" s="230"/>
      <c r="D256" s="230"/>
      <c r="E256" s="230"/>
      <c r="F256" s="230"/>
      <c r="G256" s="230"/>
      <c r="H256" s="230"/>
      <c r="I256" s="230"/>
      <c r="J256" s="230"/>
      <c r="K256" s="230"/>
      <c r="L256" s="230"/>
      <c r="M256" s="230"/>
      <c r="N256" s="230"/>
      <c r="O256" s="230"/>
      <c r="P256" s="230"/>
      <c r="Q256" s="230"/>
      <c r="R256" s="230"/>
      <c r="S256" s="230"/>
      <c r="T256" s="230"/>
      <c r="U256" s="230"/>
      <c r="V256" s="230"/>
      <c r="W256" s="230"/>
      <c r="X256" s="230"/>
      <c r="Y256" s="230"/>
      <c r="Z256" s="230"/>
    </row>
    <row r="257">
      <c r="A257" s="230"/>
      <c r="B257" s="230"/>
      <c r="C257" s="230"/>
      <c r="D257" s="230"/>
      <c r="E257" s="230"/>
      <c r="F257" s="230"/>
      <c r="G257" s="230"/>
      <c r="H257" s="230"/>
      <c r="I257" s="230"/>
      <c r="J257" s="230"/>
      <c r="K257" s="230"/>
      <c r="L257" s="230"/>
      <c r="M257" s="230"/>
      <c r="N257" s="230"/>
      <c r="O257" s="230"/>
      <c r="P257" s="230"/>
      <c r="Q257" s="230"/>
      <c r="R257" s="230"/>
      <c r="S257" s="230"/>
      <c r="T257" s="230"/>
      <c r="U257" s="230"/>
      <c r="V257" s="230"/>
      <c r="W257" s="230"/>
      <c r="X257" s="230"/>
      <c r="Y257" s="230"/>
      <c r="Z257" s="230"/>
    </row>
    <row r="258">
      <c r="A258" s="230"/>
      <c r="B258" s="230"/>
      <c r="C258" s="230"/>
      <c r="D258" s="230"/>
      <c r="E258" s="230"/>
      <c r="F258" s="230"/>
      <c r="G258" s="230"/>
      <c r="H258" s="230"/>
      <c r="I258" s="230"/>
      <c r="J258" s="230"/>
      <c r="K258" s="230"/>
      <c r="L258" s="230"/>
      <c r="M258" s="230"/>
      <c r="N258" s="230"/>
      <c r="O258" s="230"/>
      <c r="P258" s="230"/>
      <c r="Q258" s="230"/>
      <c r="R258" s="230"/>
      <c r="S258" s="230"/>
      <c r="T258" s="230"/>
      <c r="U258" s="230"/>
      <c r="V258" s="230"/>
      <c r="W258" s="230"/>
      <c r="X258" s="230"/>
      <c r="Y258" s="230"/>
      <c r="Z258" s="230"/>
    </row>
    <row r="259">
      <c r="A259" s="230"/>
      <c r="B259" s="230"/>
      <c r="C259" s="230"/>
      <c r="D259" s="230"/>
      <c r="E259" s="230"/>
      <c r="F259" s="230"/>
      <c r="G259" s="230"/>
      <c r="H259" s="230"/>
      <c r="I259" s="230"/>
      <c r="J259" s="230"/>
      <c r="K259" s="230"/>
      <c r="L259" s="230"/>
      <c r="M259" s="230"/>
      <c r="N259" s="230"/>
      <c r="O259" s="230"/>
      <c r="P259" s="230"/>
      <c r="Q259" s="230"/>
      <c r="R259" s="230"/>
      <c r="S259" s="230"/>
      <c r="T259" s="230"/>
      <c r="U259" s="230"/>
      <c r="V259" s="230"/>
      <c r="W259" s="230"/>
      <c r="X259" s="230"/>
      <c r="Y259" s="230"/>
      <c r="Z259" s="230"/>
    </row>
    <row r="260">
      <c r="A260" s="230"/>
      <c r="B260" s="230"/>
      <c r="C260" s="230"/>
      <c r="D260" s="230"/>
      <c r="E260" s="230"/>
      <c r="F260" s="230"/>
      <c r="G260" s="230"/>
      <c r="H260" s="230"/>
      <c r="I260" s="230"/>
      <c r="J260" s="230"/>
      <c r="K260" s="230"/>
      <c r="L260" s="230"/>
      <c r="M260" s="230"/>
      <c r="N260" s="230"/>
      <c r="O260" s="230"/>
      <c r="P260" s="230"/>
      <c r="Q260" s="230"/>
      <c r="R260" s="230"/>
      <c r="S260" s="230"/>
      <c r="T260" s="230"/>
      <c r="U260" s="230"/>
      <c r="V260" s="230"/>
      <c r="W260" s="230"/>
      <c r="X260" s="230"/>
      <c r="Y260" s="230"/>
      <c r="Z260" s="230"/>
    </row>
    <row r="261">
      <c r="A261" s="230"/>
      <c r="B261" s="230"/>
      <c r="C261" s="230"/>
      <c r="D261" s="230"/>
      <c r="E261" s="230"/>
      <c r="F261" s="230"/>
      <c r="G261" s="230"/>
      <c r="H261" s="230"/>
      <c r="I261" s="230"/>
      <c r="J261" s="230"/>
      <c r="K261" s="230"/>
      <c r="L261" s="230"/>
      <c r="M261" s="230"/>
      <c r="N261" s="230"/>
      <c r="O261" s="230"/>
      <c r="P261" s="230"/>
      <c r="Q261" s="230"/>
      <c r="R261" s="230"/>
      <c r="S261" s="230"/>
      <c r="T261" s="230"/>
      <c r="U261" s="230"/>
      <c r="V261" s="230"/>
      <c r="W261" s="230"/>
      <c r="X261" s="230"/>
      <c r="Y261" s="230"/>
      <c r="Z261" s="230"/>
    </row>
    <row r="262">
      <c r="A262" s="230"/>
      <c r="B262" s="230"/>
      <c r="C262" s="230"/>
      <c r="D262" s="230"/>
      <c r="E262" s="230"/>
      <c r="F262" s="230"/>
      <c r="G262" s="230"/>
      <c r="H262" s="230"/>
      <c r="I262" s="230"/>
      <c r="J262" s="230"/>
      <c r="K262" s="230"/>
      <c r="L262" s="230"/>
      <c r="M262" s="230"/>
      <c r="N262" s="230"/>
      <c r="O262" s="230"/>
      <c r="P262" s="230"/>
      <c r="Q262" s="230"/>
      <c r="R262" s="230"/>
      <c r="S262" s="230"/>
      <c r="T262" s="230"/>
      <c r="U262" s="230"/>
      <c r="V262" s="230"/>
      <c r="W262" s="230"/>
      <c r="X262" s="230"/>
      <c r="Y262" s="230"/>
      <c r="Z262" s="230"/>
    </row>
    <row r="263">
      <c r="A263" s="230"/>
      <c r="B263" s="230"/>
      <c r="C263" s="230"/>
      <c r="D263" s="230"/>
      <c r="E263" s="230"/>
      <c r="F263" s="230"/>
      <c r="G263" s="230"/>
      <c r="H263" s="230"/>
      <c r="I263" s="230"/>
      <c r="J263" s="230"/>
      <c r="K263" s="230"/>
      <c r="L263" s="230"/>
      <c r="M263" s="230"/>
      <c r="N263" s="230"/>
      <c r="O263" s="230"/>
      <c r="P263" s="230"/>
      <c r="Q263" s="230"/>
      <c r="R263" s="230"/>
      <c r="S263" s="230"/>
      <c r="T263" s="230"/>
      <c r="U263" s="230"/>
      <c r="V263" s="230"/>
      <c r="W263" s="230"/>
      <c r="X263" s="230"/>
      <c r="Y263" s="230"/>
      <c r="Z263" s="230"/>
    </row>
    <row r="264">
      <c r="A264" s="230"/>
      <c r="B264" s="230"/>
      <c r="C264" s="230"/>
      <c r="D264" s="230"/>
      <c r="E264" s="230"/>
      <c r="F264" s="230"/>
      <c r="G264" s="230"/>
      <c r="H264" s="230"/>
      <c r="I264" s="230"/>
      <c r="J264" s="230"/>
      <c r="K264" s="230"/>
      <c r="L264" s="230"/>
      <c r="M264" s="230"/>
      <c r="N264" s="230"/>
      <c r="O264" s="230"/>
      <c r="P264" s="230"/>
      <c r="Q264" s="230"/>
      <c r="R264" s="230"/>
      <c r="S264" s="230"/>
      <c r="T264" s="230"/>
      <c r="U264" s="230"/>
      <c r="V264" s="230"/>
      <c r="W264" s="230"/>
      <c r="X264" s="230"/>
      <c r="Y264" s="230"/>
      <c r="Z264" s="230"/>
    </row>
    <row r="265">
      <c r="A265" s="230"/>
      <c r="B265" s="230"/>
      <c r="C265" s="230"/>
      <c r="D265" s="230"/>
      <c r="E265" s="230"/>
      <c r="F265" s="230"/>
      <c r="G265" s="230"/>
      <c r="H265" s="230"/>
      <c r="I265" s="230"/>
      <c r="J265" s="230"/>
      <c r="K265" s="230"/>
      <c r="L265" s="230"/>
      <c r="M265" s="230"/>
      <c r="N265" s="230"/>
      <c r="O265" s="230"/>
      <c r="P265" s="230"/>
      <c r="Q265" s="230"/>
      <c r="R265" s="230"/>
      <c r="S265" s="230"/>
      <c r="T265" s="230"/>
      <c r="U265" s="230"/>
      <c r="V265" s="230"/>
      <c r="W265" s="230"/>
      <c r="X265" s="230"/>
      <c r="Y265" s="230"/>
      <c r="Z265" s="230"/>
    </row>
    <row r="266">
      <c r="A266" s="230"/>
      <c r="B266" s="230"/>
      <c r="C266" s="230"/>
      <c r="D266" s="230"/>
      <c r="E266" s="230"/>
      <c r="F266" s="230"/>
      <c r="G266" s="230"/>
      <c r="H266" s="230"/>
      <c r="I266" s="230"/>
      <c r="J266" s="230"/>
      <c r="K266" s="230"/>
      <c r="L266" s="230"/>
      <c r="M266" s="230"/>
      <c r="N266" s="230"/>
      <c r="O266" s="230"/>
      <c r="P266" s="230"/>
      <c r="Q266" s="230"/>
      <c r="R266" s="230"/>
      <c r="S266" s="230"/>
      <c r="T266" s="230"/>
      <c r="U266" s="230"/>
      <c r="V266" s="230"/>
      <c r="W266" s="230"/>
      <c r="X266" s="230"/>
      <c r="Y266" s="230"/>
      <c r="Z266" s="230"/>
    </row>
    <row r="267">
      <c r="A267" s="230"/>
      <c r="B267" s="230"/>
      <c r="C267" s="230"/>
      <c r="D267" s="230"/>
      <c r="E267" s="230"/>
      <c r="F267" s="230"/>
      <c r="G267" s="230"/>
      <c r="H267" s="230"/>
      <c r="I267" s="230"/>
      <c r="J267" s="230"/>
      <c r="K267" s="230"/>
      <c r="L267" s="230"/>
      <c r="M267" s="230"/>
      <c r="N267" s="230"/>
      <c r="O267" s="230"/>
      <c r="P267" s="230"/>
      <c r="Q267" s="230"/>
      <c r="R267" s="230"/>
      <c r="S267" s="230"/>
      <c r="T267" s="230"/>
      <c r="U267" s="230"/>
      <c r="V267" s="230"/>
      <c r="W267" s="230"/>
      <c r="X267" s="230"/>
      <c r="Y267" s="230"/>
      <c r="Z267" s="230"/>
    </row>
    <row r="268">
      <c r="A268" s="230"/>
      <c r="B268" s="230"/>
      <c r="C268" s="230"/>
      <c r="D268" s="230"/>
      <c r="E268" s="230"/>
      <c r="F268" s="230"/>
      <c r="G268" s="230"/>
      <c r="H268" s="230"/>
      <c r="I268" s="230"/>
      <c r="J268" s="230"/>
      <c r="K268" s="230"/>
      <c r="L268" s="230"/>
      <c r="M268" s="230"/>
      <c r="N268" s="230"/>
      <c r="O268" s="230"/>
      <c r="P268" s="230"/>
      <c r="Q268" s="230"/>
      <c r="R268" s="230"/>
      <c r="S268" s="230"/>
      <c r="T268" s="230"/>
      <c r="U268" s="230"/>
      <c r="V268" s="230"/>
      <c r="W268" s="230"/>
      <c r="X268" s="230"/>
      <c r="Y268" s="230"/>
      <c r="Z268" s="230"/>
    </row>
    <row r="269">
      <c r="A269" s="230"/>
      <c r="B269" s="230"/>
      <c r="C269" s="230"/>
      <c r="D269" s="230"/>
      <c r="E269" s="230"/>
      <c r="F269" s="230"/>
      <c r="G269" s="230"/>
      <c r="H269" s="230"/>
      <c r="I269" s="230"/>
      <c r="J269" s="230"/>
      <c r="K269" s="230"/>
      <c r="L269" s="230"/>
      <c r="M269" s="230"/>
      <c r="N269" s="230"/>
      <c r="O269" s="230"/>
      <c r="P269" s="230"/>
      <c r="Q269" s="230"/>
      <c r="R269" s="230"/>
      <c r="S269" s="230"/>
      <c r="T269" s="230"/>
      <c r="U269" s="230"/>
      <c r="V269" s="230"/>
      <c r="W269" s="230"/>
      <c r="X269" s="230"/>
      <c r="Y269" s="230"/>
      <c r="Z269" s="230"/>
    </row>
    <row r="270">
      <c r="A270" s="230"/>
      <c r="B270" s="230"/>
      <c r="C270" s="230"/>
      <c r="D270" s="230"/>
      <c r="E270" s="230"/>
      <c r="F270" s="230"/>
      <c r="G270" s="230"/>
      <c r="H270" s="230"/>
      <c r="I270" s="230"/>
      <c r="J270" s="230"/>
      <c r="K270" s="230"/>
      <c r="L270" s="230"/>
      <c r="M270" s="230"/>
      <c r="N270" s="230"/>
      <c r="O270" s="230"/>
      <c r="P270" s="230"/>
      <c r="Q270" s="230"/>
      <c r="R270" s="230"/>
      <c r="S270" s="230"/>
      <c r="T270" s="230"/>
      <c r="U270" s="230"/>
      <c r="V270" s="230"/>
      <c r="W270" s="230"/>
      <c r="X270" s="230"/>
      <c r="Y270" s="230"/>
      <c r="Z270" s="230"/>
    </row>
    <row r="271">
      <c r="A271" s="230"/>
      <c r="B271" s="230"/>
      <c r="C271" s="230"/>
      <c r="D271" s="230"/>
      <c r="E271" s="230"/>
      <c r="F271" s="230"/>
      <c r="G271" s="230"/>
      <c r="H271" s="230"/>
      <c r="I271" s="230"/>
      <c r="J271" s="230"/>
      <c r="K271" s="230"/>
      <c r="L271" s="230"/>
      <c r="M271" s="230"/>
      <c r="N271" s="230"/>
      <c r="O271" s="230"/>
      <c r="P271" s="230"/>
      <c r="Q271" s="230"/>
      <c r="R271" s="230"/>
      <c r="S271" s="230"/>
      <c r="T271" s="230"/>
      <c r="U271" s="230"/>
      <c r="V271" s="230"/>
      <c r="W271" s="230"/>
      <c r="X271" s="230"/>
      <c r="Y271" s="230"/>
      <c r="Z271" s="230"/>
    </row>
    <row r="272">
      <c r="A272" s="230"/>
      <c r="B272" s="230"/>
      <c r="C272" s="230"/>
      <c r="D272" s="230"/>
      <c r="E272" s="230"/>
      <c r="F272" s="230"/>
      <c r="G272" s="230"/>
      <c r="H272" s="230"/>
      <c r="I272" s="230"/>
      <c r="J272" s="230"/>
      <c r="K272" s="230"/>
      <c r="L272" s="230"/>
      <c r="M272" s="230"/>
      <c r="N272" s="230"/>
      <c r="O272" s="230"/>
      <c r="P272" s="230"/>
      <c r="Q272" s="230"/>
      <c r="R272" s="230"/>
      <c r="S272" s="230"/>
      <c r="T272" s="230"/>
      <c r="U272" s="230"/>
      <c r="V272" s="230"/>
      <c r="W272" s="230"/>
      <c r="X272" s="230"/>
      <c r="Y272" s="230"/>
      <c r="Z272" s="230"/>
    </row>
    <row r="273">
      <c r="A273" s="230"/>
      <c r="B273" s="230"/>
      <c r="C273" s="230"/>
      <c r="D273" s="230"/>
      <c r="E273" s="230"/>
      <c r="F273" s="230"/>
      <c r="G273" s="230"/>
      <c r="H273" s="230"/>
      <c r="I273" s="230"/>
      <c r="J273" s="230"/>
      <c r="K273" s="230"/>
      <c r="L273" s="230"/>
      <c r="M273" s="230"/>
      <c r="N273" s="230"/>
      <c r="O273" s="230"/>
      <c r="P273" s="230"/>
      <c r="Q273" s="230"/>
      <c r="R273" s="230"/>
      <c r="S273" s="230"/>
      <c r="T273" s="230"/>
      <c r="U273" s="230"/>
      <c r="V273" s="230"/>
      <c r="W273" s="230"/>
      <c r="X273" s="230"/>
      <c r="Y273" s="230"/>
      <c r="Z273" s="230"/>
    </row>
    <row r="274">
      <c r="A274" s="230"/>
      <c r="B274" s="230"/>
      <c r="C274" s="230"/>
      <c r="D274" s="230"/>
      <c r="E274" s="230"/>
      <c r="F274" s="230"/>
      <c r="G274" s="230"/>
      <c r="H274" s="230"/>
      <c r="I274" s="230"/>
      <c r="J274" s="230"/>
      <c r="K274" s="230"/>
      <c r="L274" s="230"/>
      <c r="M274" s="230"/>
      <c r="N274" s="230"/>
      <c r="O274" s="230"/>
      <c r="P274" s="230"/>
      <c r="Q274" s="230"/>
      <c r="R274" s="230"/>
      <c r="S274" s="230"/>
      <c r="T274" s="230"/>
      <c r="U274" s="230"/>
      <c r="V274" s="230"/>
      <c r="W274" s="230"/>
      <c r="X274" s="230"/>
      <c r="Y274" s="230"/>
      <c r="Z274" s="230"/>
    </row>
    <row r="275">
      <c r="A275" s="230"/>
      <c r="B275" s="230"/>
      <c r="C275" s="230"/>
      <c r="D275" s="230"/>
      <c r="E275" s="230"/>
      <c r="F275" s="230"/>
      <c r="G275" s="230"/>
      <c r="H275" s="230"/>
      <c r="I275" s="230"/>
      <c r="J275" s="230"/>
      <c r="K275" s="230"/>
      <c r="L275" s="230"/>
      <c r="M275" s="230"/>
      <c r="N275" s="230"/>
      <c r="O275" s="230"/>
      <c r="P275" s="230"/>
      <c r="Q275" s="230"/>
      <c r="R275" s="230"/>
      <c r="S275" s="230"/>
      <c r="T275" s="230"/>
      <c r="U275" s="230"/>
      <c r="V275" s="230"/>
      <c r="W275" s="230"/>
      <c r="X275" s="230"/>
      <c r="Y275" s="230"/>
      <c r="Z275" s="230"/>
    </row>
    <row r="276">
      <c r="A276" s="230"/>
      <c r="B276" s="230"/>
      <c r="C276" s="230"/>
      <c r="D276" s="230"/>
      <c r="E276" s="230"/>
      <c r="F276" s="230"/>
      <c r="G276" s="230"/>
      <c r="H276" s="230"/>
      <c r="I276" s="230"/>
      <c r="J276" s="230"/>
      <c r="K276" s="230"/>
      <c r="L276" s="230"/>
      <c r="M276" s="230"/>
      <c r="N276" s="230"/>
      <c r="O276" s="230"/>
      <c r="P276" s="230"/>
      <c r="Q276" s="230"/>
      <c r="R276" s="230"/>
      <c r="S276" s="230"/>
      <c r="T276" s="230"/>
      <c r="U276" s="230"/>
      <c r="V276" s="230"/>
      <c r="W276" s="230"/>
      <c r="X276" s="230"/>
      <c r="Y276" s="230"/>
      <c r="Z276" s="230"/>
    </row>
    <row r="277">
      <c r="A277" s="230"/>
      <c r="B277" s="230"/>
      <c r="C277" s="230"/>
      <c r="D277" s="230"/>
      <c r="E277" s="230"/>
      <c r="F277" s="230"/>
      <c r="G277" s="230"/>
      <c r="H277" s="230"/>
      <c r="I277" s="230"/>
      <c r="J277" s="230"/>
      <c r="K277" s="230"/>
      <c r="L277" s="230"/>
      <c r="M277" s="230"/>
      <c r="N277" s="230"/>
      <c r="O277" s="230"/>
      <c r="P277" s="230"/>
      <c r="Q277" s="230"/>
      <c r="R277" s="230"/>
      <c r="S277" s="230"/>
      <c r="T277" s="230"/>
      <c r="U277" s="230"/>
      <c r="V277" s="230"/>
      <c r="W277" s="230"/>
      <c r="X277" s="230"/>
      <c r="Y277" s="230"/>
      <c r="Z277" s="230"/>
    </row>
    <row r="278">
      <c r="A278" s="230"/>
      <c r="B278" s="230"/>
      <c r="C278" s="230"/>
      <c r="D278" s="230"/>
      <c r="E278" s="230"/>
      <c r="F278" s="230"/>
      <c r="G278" s="230"/>
      <c r="H278" s="230"/>
      <c r="I278" s="230"/>
      <c r="J278" s="230"/>
      <c r="K278" s="230"/>
      <c r="L278" s="230"/>
      <c r="M278" s="230"/>
      <c r="N278" s="230"/>
      <c r="O278" s="230"/>
      <c r="P278" s="230"/>
      <c r="Q278" s="230"/>
      <c r="R278" s="230"/>
      <c r="S278" s="230"/>
      <c r="T278" s="230"/>
      <c r="U278" s="230"/>
      <c r="V278" s="230"/>
      <c r="W278" s="230"/>
      <c r="X278" s="230"/>
      <c r="Y278" s="230"/>
      <c r="Z278" s="230"/>
    </row>
    <row r="279">
      <c r="A279" s="230"/>
      <c r="B279" s="230"/>
      <c r="C279" s="230"/>
      <c r="D279" s="230"/>
      <c r="E279" s="230"/>
      <c r="F279" s="230"/>
      <c r="G279" s="230"/>
      <c r="H279" s="230"/>
      <c r="I279" s="230"/>
      <c r="J279" s="230"/>
      <c r="K279" s="230"/>
      <c r="L279" s="230"/>
      <c r="M279" s="230"/>
      <c r="N279" s="230"/>
      <c r="O279" s="230"/>
      <c r="P279" s="230"/>
      <c r="Q279" s="230"/>
      <c r="R279" s="230"/>
      <c r="S279" s="230"/>
      <c r="T279" s="230"/>
      <c r="U279" s="230"/>
      <c r="V279" s="230"/>
      <c r="W279" s="230"/>
      <c r="X279" s="230"/>
      <c r="Y279" s="230"/>
      <c r="Z279" s="230"/>
    </row>
    <row r="280">
      <c r="A280" s="230"/>
      <c r="B280" s="230"/>
      <c r="C280" s="230"/>
      <c r="D280" s="230"/>
      <c r="E280" s="230"/>
      <c r="F280" s="230"/>
      <c r="G280" s="230"/>
      <c r="H280" s="230"/>
      <c r="I280" s="230"/>
      <c r="J280" s="230"/>
      <c r="K280" s="230"/>
      <c r="L280" s="230"/>
      <c r="M280" s="230"/>
      <c r="N280" s="230"/>
      <c r="O280" s="230"/>
      <c r="P280" s="230"/>
      <c r="Q280" s="230"/>
      <c r="R280" s="230"/>
      <c r="S280" s="230"/>
      <c r="T280" s="230"/>
      <c r="U280" s="230"/>
      <c r="V280" s="230"/>
      <c r="W280" s="230"/>
      <c r="X280" s="230"/>
      <c r="Y280" s="230"/>
      <c r="Z280" s="230"/>
    </row>
    <row r="281">
      <c r="A281" s="230"/>
      <c r="B281" s="230"/>
      <c r="C281" s="230"/>
      <c r="D281" s="230"/>
      <c r="E281" s="230"/>
      <c r="F281" s="230"/>
      <c r="G281" s="230"/>
      <c r="H281" s="230"/>
      <c r="I281" s="230"/>
      <c r="J281" s="230"/>
      <c r="K281" s="230"/>
      <c r="L281" s="230"/>
      <c r="M281" s="230"/>
      <c r="N281" s="230"/>
      <c r="O281" s="230"/>
      <c r="P281" s="230"/>
      <c r="Q281" s="230"/>
      <c r="R281" s="230"/>
      <c r="S281" s="230"/>
      <c r="T281" s="230"/>
      <c r="U281" s="230"/>
      <c r="V281" s="230"/>
      <c r="W281" s="230"/>
      <c r="X281" s="230"/>
      <c r="Y281" s="230"/>
      <c r="Z281" s="230"/>
    </row>
    <row r="282">
      <c r="A282" s="230"/>
      <c r="B282" s="230"/>
      <c r="C282" s="230"/>
      <c r="D282" s="230"/>
      <c r="E282" s="230"/>
      <c r="F282" s="230"/>
      <c r="G282" s="230"/>
      <c r="H282" s="230"/>
      <c r="I282" s="230"/>
      <c r="J282" s="230"/>
      <c r="K282" s="230"/>
      <c r="L282" s="230"/>
      <c r="M282" s="230"/>
      <c r="N282" s="230"/>
      <c r="O282" s="230"/>
      <c r="P282" s="230"/>
      <c r="Q282" s="230"/>
      <c r="R282" s="230"/>
      <c r="S282" s="230"/>
      <c r="T282" s="230"/>
      <c r="U282" s="230"/>
      <c r="V282" s="230"/>
      <c r="W282" s="230"/>
      <c r="X282" s="230"/>
      <c r="Y282" s="230"/>
      <c r="Z282" s="230"/>
    </row>
    <row r="283">
      <c r="A283" s="230"/>
      <c r="B283" s="230"/>
      <c r="C283" s="230"/>
      <c r="D283" s="230"/>
      <c r="E283" s="230"/>
      <c r="F283" s="230"/>
      <c r="G283" s="230"/>
      <c r="H283" s="230"/>
      <c r="I283" s="230"/>
      <c r="J283" s="230"/>
      <c r="K283" s="230"/>
      <c r="L283" s="230"/>
      <c r="M283" s="230"/>
      <c r="N283" s="230"/>
      <c r="O283" s="230"/>
      <c r="P283" s="230"/>
      <c r="Q283" s="230"/>
      <c r="R283" s="230"/>
      <c r="S283" s="230"/>
      <c r="T283" s="230"/>
      <c r="U283" s="230"/>
      <c r="V283" s="230"/>
      <c r="W283" s="230"/>
      <c r="X283" s="230"/>
      <c r="Y283" s="230"/>
      <c r="Z283" s="230"/>
    </row>
    <row r="284">
      <c r="A284" s="230"/>
      <c r="B284" s="230"/>
      <c r="C284" s="230"/>
      <c r="D284" s="230"/>
      <c r="E284" s="230"/>
      <c r="F284" s="230"/>
      <c r="G284" s="230"/>
      <c r="H284" s="230"/>
      <c r="I284" s="230"/>
      <c r="J284" s="230"/>
      <c r="K284" s="230"/>
      <c r="L284" s="230"/>
      <c r="M284" s="230"/>
      <c r="N284" s="230"/>
      <c r="O284" s="230"/>
      <c r="P284" s="230"/>
      <c r="Q284" s="230"/>
      <c r="R284" s="230"/>
      <c r="S284" s="230"/>
      <c r="T284" s="230"/>
      <c r="U284" s="230"/>
      <c r="V284" s="230"/>
      <c r="W284" s="230"/>
      <c r="X284" s="230"/>
      <c r="Y284" s="230"/>
      <c r="Z284" s="230"/>
    </row>
    <row r="285">
      <c r="A285" s="230"/>
      <c r="B285" s="230"/>
      <c r="C285" s="230"/>
      <c r="D285" s="230"/>
      <c r="E285" s="230"/>
      <c r="F285" s="230"/>
      <c r="G285" s="230"/>
      <c r="H285" s="230"/>
      <c r="I285" s="230"/>
      <c r="J285" s="230"/>
      <c r="K285" s="230"/>
      <c r="L285" s="230"/>
      <c r="M285" s="230"/>
      <c r="N285" s="230"/>
      <c r="O285" s="230"/>
      <c r="P285" s="230"/>
      <c r="Q285" s="230"/>
      <c r="R285" s="230"/>
      <c r="S285" s="230"/>
      <c r="T285" s="230"/>
      <c r="U285" s="230"/>
      <c r="V285" s="230"/>
      <c r="W285" s="230"/>
      <c r="X285" s="230"/>
      <c r="Y285" s="230"/>
      <c r="Z285" s="230"/>
    </row>
    <row r="286">
      <c r="A286" s="230"/>
      <c r="B286" s="230"/>
      <c r="C286" s="230"/>
      <c r="D286" s="230"/>
      <c r="E286" s="230"/>
      <c r="F286" s="230"/>
      <c r="G286" s="230"/>
      <c r="H286" s="230"/>
      <c r="I286" s="230"/>
      <c r="J286" s="230"/>
      <c r="K286" s="230"/>
      <c r="L286" s="230"/>
      <c r="M286" s="230"/>
      <c r="N286" s="230"/>
      <c r="O286" s="230"/>
      <c r="P286" s="230"/>
      <c r="Q286" s="230"/>
      <c r="R286" s="230"/>
      <c r="S286" s="230"/>
      <c r="T286" s="230"/>
      <c r="U286" s="230"/>
      <c r="V286" s="230"/>
      <c r="W286" s="230"/>
      <c r="X286" s="230"/>
      <c r="Y286" s="230"/>
      <c r="Z286" s="230"/>
    </row>
    <row r="287">
      <c r="A287" s="230"/>
      <c r="B287" s="230"/>
      <c r="C287" s="230"/>
      <c r="D287" s="230"/>
      <c r="E287" s="230"/>
      <c r="F287" s="230"/>
      <c r="G287" s="230"/>
      <c r="H287" s="230"/>
      <c r="I287" s="230"/>
      <c r="J287" s="230"/>
      <c r="K287" s="230"/>
      <c r="L287" s="230"/>
      <c r="M287" s="230"/>
      <c r="N287" s="230"/>
      <c r="O287" s="230"/>
      <c r="P287" s="230"/>
      <c r="Q287" s="230"/>
      <c r="R287" s="230"/>
      <c r="S287" s="230"/>
      <c r="T287" s="230"/>
      <c r="U287" s="230"/>
      <c r="V287" s="230"/>
      <c r="W287" s="230"/>
      <c r="X287" s="230"/>
      <c r="Y287" s="230"/>
      <c r="Z287" s="230"/>
    </row>
    <row r="288">
      <c r="A288" s="230"/>
      <c r="B288" s="230"/>
      <c r="C288" s="230"/>
      <c r="D288" s="230"/>
      <c r="E288" s="230"/>
      <c r="F288" s="230"/>
      <c r="G288" s="230"/>
      <c r="H288" s="230"/>
      <c r="I288" s="230"/>
      <c r="J288" s="230"/>
      <c r="K288" s="230"/>
      <c r="L288" s="230"/>
      <c r="M288" s="230"/>
      <c r="N288" s="230"/>
      <c r="O288" s="230"/>
      <c r="P288" s="230"/>
      <c r="Q288" s="230"/>
      <c r="R288" s="230"/>
      <c r="S288" s="230"/>
      <c r="T288" s="230"/>
      <c r="U288" s="230"/>
      <c r="V288" s="230"/>
      <c r="W288" s="230"/>
      <c r="X288" s="230"/>
      <c r="Y288" s="230"/>
      <c r="Z288" s="230"/>
    </row>
    <row r="289">
      <c r="A289" s="230"/>
      <c r="B289" s="230"/>
      <c r="C289" s="230"/>
      <c r="D289" s="230"/>
      <c r="E289" s="230"/>
      <c r="F289" s="230"/>
      <c r="G289" s="230"/>
      <c r="H289" s="230"/>
      <c r="I289" s="230"/>
      <c r="J289" s="230"/>
      <c r="K289" s="230"/>
      <c r="L289" s="230"/>
      <c r="M289" s="230"/>
      <c r="N289" s="230"/>
      <c r="O289" s="230"/>
      <c r="P289" s="230"/>
      <c r="Q289" s="230"/>
      <c r="R289" s="230"/>
      <c r="S289" s="230"/>
      <c r="T289" s="230"/>
      <c r="U289" s="230"/>
      <c r="V289" s="230"/>
      <c r="W289" s="230"/>
      <c r="X289" s="230"/>
      <c r="Y289" s="230"/>
      <c r="Z289" s="230"/>
    </row>
    <row r="290">
      <c r="A290" s="230"/>
      <c r="B290" s="230"/>
      <c r="C290" s="230"/>
      <c r="D290" s="230"/>
      <c r="E290" s="230"/>
      <c r="F290" s="230"/>
      <c r="G290" s="230"/>
      <c r="H290" s="230"/>
      <c r="I290" s="230"/>
      <c r="J290" s="230"/>
      <c r="K290" s="230"/>
      <c r="L290" s="230"/>
      <c r="M290" s="230"/>
      <c r="N290" s="230"/>
      <c r="O290" s="230"/>
      <c r="P290" s="230"/>
      <c r="Q290" s="230"/>
      <c r="R290" s="230"/>
      <c r="S290" s="230"/>
      <c r="T290" s="230"/>
      <c r="U290" s="230"/>
      <c r="V290" s="230"/>
      <c r="W290" s="230"/>
      <c r="X290" s="230"/>
      <c r="Y290" s="230"/>
      <c r="Z290" s="230"/>
    </row>
    <row r="291">
      <c r="A291" s="230"/>
      <c r="B291" s="230"/>
      <c r="C291" s="230"/>
      <c r="D291" s="230"/>
      <c r="E291" s="230"/>
      <c r="F291" s="230"/>
      <c r="G291" s="230"/>
      <c r="H291" s="230"/>
      <c r="I291" s="230"/>
      <c r="J291" s="230"/>
      <c r="K291" s="230"/>
      <c r="L291" s="230"/>
      <c r="M291" s="230"/>
      <c r="N291" s="230"/>
      <c r="O291" s="230"/>
      <c r="P291" s="230"/>
      <c r="Q291" s="230"/>
      <c r="R291" s="230"/>
      <c r="S291" s="230"/>
      <c r="T291" s="230"/>
      <c r="U291" s="230"/>
      <c r="V291" s="230"/>
      <c r="W291" s="230"/>
      <c r="X291" s="230"/>
      <c r="Y291" s="230"/>
      <c r="Z291" s="230"/>
    </row>
    <row r="292">
      <c r="A292" s="230"/>
      <c r="B292" s="230"/>
      <c r="C292" s="230"/>
      <c r="D292" s="230"/>
      <c r="E292" s="230"/>
      <c r="F292" s="230"/>
      <c r="G292" s="230"/>
      <c r="H292" s="230"/>
      <c r="I292" s="230"/>
      <c r="J292" s="230"/>
      <c r="K292" s="230"/>
      <c r="L292" s="230"/>
      <c r="M292" s="230"/>
      <c r="N292" s="230"/>
      <c r="O292" s="230"/>
      <c r="P292" s="230"/>
      <c r="Q292" s="230"/>
      <c r="R292" s="230"/>
      <c r="S292" s="230"/>
      <c r="T292" s="230"/>
      <c r="U292" s="230"/>
      <c r="V292" s="230"/>
      <c r="W292" s="230"/>
      <c r="X292" s="230"/>
      <c r="Y292" s="230"/>
      <c r="Z292" s="230"/>
    </row>
    <row r="293">
      <c r="A293" s="230"/>
      <c r="B293" s="230"/>
      <c r="C293" s="230"/>
      <c r="D293" s="230"/>
      <c r="E293" s="230"/>
      <c r="F293" s="230"/>
      <c r="G293" s="230"/>
      <c r="H293" s="230"/>
      <c r="I293" s="230"/>
      <c r="J293" s="230"/>
      <c r="K293" s="230"/>
      <c r="L293" s="230"/>
      <c r="M293" s="230"/>
      <c r="N293" s="230"/>
      <c r="O293" s="230"/>
      <c r="P293" s="230"/>
      <c r="Q293" s="230"/>
      <c r="R293" s="230"/>
      <c r="S293" s="230"/>
      <c r="T293" s="230"/>
      <c r="U293" s="230"/>
      <c r="V293" s="230"/>
      <c r="W293" s="230"/>
      <c r="X293" s="230"/>
      <c r="Y293" s="230"/>
      <c r="Z293" s="230"/>
    </row>
    <row r="294">
      <c r="A294" s="230"/>
      <c r="B294" s="230"/>
      <c r="C294" s="230"/>
      <c r="D294" s="230"/>
      <c r="E294" s="230"/>
      <c r="F294" s="230"/>
      <c r="G294" s="230"/>
      <c r="H294" s="230"/>
      <c r="I294" s="230"/>
      <c r="J294" s="230"/>
      <c r="K294" s="230"/>
      <c r="L294" s="230"/>
      <c r="M294" s="230"/>
      <c r="N294" s="230"/>
      <c r="O294" s="230"/>
      <c r="P294" s="230"/>
      <c r="Q294" s="230"/>
      <c r="R294" s="230"/>
      <c r="S294" s="230"/>
      <c r="T294" s="230"/>
      <c r="U294" s="230"/>
      <c r="V294" s="230"/>
      <c r="W294" s="230"/>
      <c r="X294" s="230"/>
      <c r="Y294" s="230"/>
      <c r="Z294" s="230"/>
    </row>
    <row r="295">
      <c r="A295" s="230"/>
      <c r="B295" s="230"/>
      <c r="C295" s="230"/>
      <c r="D295" s="230"/>
      <c r="E295" s="230"/>
      <c r="F295" s="230"/>
      <c r="G295" s="230"/>
      <c r="H295" s="230"/>
      <c r="I295" s="230"/>
      <c r="J295" s="230"/>
      <c r="K295" s="230"/>
      <c r="L295" s="230"/>
      <c r="M295" s="230"/>
      <c r="N295" s="230"/>
      <c r="O295" s="230"/>
      <c r="P295" s="230"/>
      <c r="Q295" s="230"/>
      <c r="R295" s="230"/>
      <c r="S295" s="230"/>
      <c r="T295" s="230"/>
      <c r="U295" s="230"/>
      <c r="V295" s="230"/>
      <c r="W295" s="230"/>
      <c r="X295" s="230"/>
      <c r="Y295" s="230"/>
      <c r="Z295" s="230"/>
    </row>
    <row r="296">
      <c r="A296" s="230"/>
      <c r="B296" s="230"/>
      <c r="C296" s="230"/>
      <c r="D296" s="230"/>
      <c r="E296" s="230"/>
      <c r="F296" s="230"/>
      <c r="G296" s="230"/>
      <c r="H296" s="230"/>
      <c r="I296" s="230"/>
      <c r="J296" s="230"/>
      <c r="K296" s="230"/>
      <c r="L296" s="230"/>
      <c r="M296" s="230"/>
      <c r="N296" s="230"/>
      <c r="O296" s="230"/>
      <c r="P296" s="230"/>
      <c r="Q296" s="230"/>
      <c r="R296" s="230"/>
      <c r="S296" s="230"/>
      <c r="T296" s="230"/>
      <c r="U296" s="230"/>
      <c r="V296" s="230"/>
      <c r="W296" s="230"/>
      <c r="X296" s="230"/>
      <c r="Y296" s="230"/>
      <c r="Z296" s="230"/>
    </row>
    <row r="297">
      <c r="A297" s="230"/>
      <c r="B297" s="230"/>
      <c r="C297" s="230"/>
      <c r="D297" s="230"/>
      <c r="E297" s="230"/>
      <c r="F297" s="230"/>
      <c r="G297" s="230"/>
      <c r="H297" s="230"/>
      <c r="I297" s="230"/>
      <c r="J297" s="230"/>
      <c r="K297" s="230"/>
      <c r="L297" s="230"/>
      <c r="M297" s="230"/>
      <c r="N297" s="230"/>
      <c r="O297" s="230"/>
      <c r="P297" s="230"/>
      <c r="Q297" s="230"/>
      <c r="R297" s="230"/>
      <c r="S297" s="230"/>
      <c r="T297" s="230"/>
      <c r="U297" s="230"/>
      <c r="V297" s="230"/>
      <c r="W297" s="230"/>
      <c r="X297" s="230"/>
      <c r="Y297" s="230"/>
      <c r="Z297" s="230"/>
    </row>
    <row r="298">
      <c r="A298" s="230"/>
      <c r="B298" s="230"/>
      <c r="C298" s="230"/>
      <c r="D298" s="230"/>
      <c r="E298" s="230"/>
      <c r="F298" s="230"/>
      <c r="G298" s="230"/>
      <c r="H298" s="230"/>
      <c r="I298" s="230"/>
      <c r="J298" s="230"/>
      <c r="K298" s="230"/>
      <c r="L298" s="230"/>
      <c r="M298" s="230"/>
      <c r="N298" s="230"/>
      <c r="O298" s="230"/>
      <c r="P298" s="230"/>
      <c r="Q298" s="230"/>
      <c r="R298" s="230"/>
      <c r="S298" s="230"/>
      <c r="T298" s="230"/>
      <c r="U298" s="230"/>
      <c r="V298" s="230"/>
      <c r="W298" s="230"/>
      <c r="X298" s="230"/>
      <c r="Y298" s="230"/>
      <c r="Z298" s="230"/>
    </row>
    <row r="299">
      <c r="A299" s="230"/>
      <c r="B299" s="230"/>
      <c r="C299" s="230"/>
      <c r="D299" s="230"/>
      <c r="E299" s="230"/>
      <c r="F299" s="230"/>
      <c r="G299" s="230"/>
      <c r="H299" s="230"/>
      <c r="I299" s="230"/>
      <c r="J299" s="230"/>
      <c r="K299" s="230"/>
      <c r="L299" s="230"/>
      <c r="M299" s="230"/>
      <c r="N299" s="230"/>
      <c r="O299" s="230"/>
      <c r="P299" s="230"/>
      <c r="Q299" s="230"/>
      <c r="R299" s="230"/>
      <c r="S299" s="230"/>
      <c r="T299" s="230"/>
      <c r="U299" s="230"/>
      <c r="V299" s="230"/>
      <c r="W299" s="230"/>
      <c r="X299" s="230"/>
      <c r="Y299" s="230"/>
      <c r="Z299" s="230"/>
    </row>
    <row r="300">
      <c r="A300" s="230"/>
      <c r="B300" s="230"/>
      <c r="C300" s="230"/>
      <c r="D300" s="230"/>
      <c r="E300" s="230"/>
      <c r="F300" s="230"/>
      <c r="G300" s="230"/>
      <c r="H300" s="230"/>
      <c r="I300" s="230"/>
      <c r="J300" s="230"/>
      <c r="K300" s="230"/>
      <c r="L300" s="230"/>
      <c r="M300" s="230"/>
      <c r="N300" s="230"/>
      <c r="O300" s="230"/>
      <c r="P300" s="230"/>
      <c r="Q300" s="230"/>
      <c r="R300" s="230"/>
      <c r="S300" s="230"/>
      <c r="T300" s="230"/>
      <c r="U300" s="230"/>
      <c r="V300" s="230"/>
      <c r="W300" s="230"/>
      <c r="X300" s="230"/>
      <c r="Y300" s="230"/>
      <c r="Z300" s="230"/>
    </row>
    <row r="301">
      <c r="A301" s="230"/>
      <c r="B301" s="230"/>
      <c r="C301" s="230"/>
      <c r="D301" s="230"/>
      <c r="E301" s="230"/>
      <c r="F301" s="230"/>
      <c r="G301" s="230"/>
      <c r="H301" s="230"/>
      <c r="I301" s="230"/>
      <c r="J301" s="230"/>
      <c r="K301" s="230"/>
      <c r="L301" s="230"/>
      <c r="M301" s="230"/>
      <c r="N301" s="230"/>
      <c r="O301" s="230"/>
      <c r="P301" s="230"/>
      <c r="Q301" s="230"/>
      <c r="R301" s="230"/>
      <c r="S301" s="230"/>
      <c r="T301" s="230"/>
      <c r="U301" s="230"/>
      <c r="V301" s="230"/>
      <c r="W301" s="230"/>
      <c r="X301" s="230"/>
      <c r="Y301" s="230"/>
      <c r="Z301" s="230"/>
    </row>
    <row r="302">
      <c r="A302" s="230"/>
      <c r="B302" s="230"/>
      <c r="C302" s="230"/>
      <c r="D302" s="230"/>
      <c r="E302" s="230"/>
      <c r="F302" s="230"/>
      <c r="G302" s="230"/>
      <c r="H302" s="230"/>
      <c r="I302" s="230"/>
      <c r="J302" s="230"/>
      <c r="K302" s="230"/>
      <c r="L302" s="230"/>
      <c r="M302" s="230"/>
      <c r="N302" s="230"/>
      <c r="O302" s="230"/>
      <c r="P302" s="230"/>
      <c r="Q302" s="230"/>
      <c r="R302" s="230"/>
      <c r="S302" s="230"/>
      <c r="T302" s="230"/>
      <c r="U302" s="230"/>
      <c r="V302" s="230"/>
      <c r="W302" s="230"/>
      <c r="X302" s="230"/>
      <c r="Y302" s="230"/>
      <c r="Z302" s="230"/>
    </row>
    <row r="303">
      <c r="A303" s="230"/>
      <c r="B303" s="230"/>
      <c r="C303" s="230"/>
      <c r="D303" s="230"/>
      <c r="E303" s="230"/>
      <c r="F303" s="230"/>
      <c r="G303" s="230"/>
      <c r="H303" s="230"/>
      <c r="I303" s="230"/>
      <c r="J303" s="230"/>
      <c r="K303" s="230"/>
      <c r="L303" s="230"/>
      <c r="M303" s="230"/>
      <c r="N303" s="230"/>
      <c r="O303" s="230"/>
      <c r="P303" s="230"/>
      <c r="Q303" s="230"/>
      <c r="R303" s="230"/>
      <c r="S303" s="230"/>
      <c r="T303" s="230"/>
      <c r="U303" s="230"/>
      <c r="V303" s="230"/>
      <c r="W303" s="230"/>
      <c r="X303" s="230"/>
      <c r="Y303" s="230"/>
      <c r="Z303" s="230"/>
    </row>
    <row r="304">
      <c r="A304" s="230"/>
      <c r="B304" s="230"/>
      <c r="C304" s="230"/>
      <c r="D304" s="230"/>
      <c r="E304" s="230"/>
      <c r="F304" s="230"/>
      <c r="G304" s="230"/>
      <c r="H304" s="230"/>
      <c r="I304" s="230"/>
      <c r="J304" s="230"/>
      <c r="K304" s="230"/>
      <c r="L304" s="230"/>
      <c r="M304" s="230"/>
      <c r="N304" s="230"/>
      <c r="O304" s="230"/>
      <c r="P304" s="230"/>
      <c r="Q304" s="230"/>
      <c r="R304" s="230"/>
      <c r="S304" s="230"/>
      <c r="T304" s="230"/>
      <c r="U304" s="230"/>
      <c r="V304" s="230"/>
      <c r="W304" s="230"/>
      <c r="X304" s="230"/>
      <c r="Y304" s="230"/>
      <c r="Z304" s="230"/>
    </row>
    <row r="305">
      <c r="A305" s="230"/>
      <c r="B305" s="230"/>
      <c r="C305" s="230"/>
      <c r="D305" s="230"/>
      <c r="E305" s="230"/>
      <c r="F305" s="230"/>
      <c r="G305" s="230"/>
      <c r="H305" s="230"/>
      <c r="I305" s="230"/>
      <c r="J305" s="230"/>
      <c r="K305" s="230"/>
      <c r="L305" s="230"/>
      <c r="M305" s="230"/>
      <c r="N305" s="230"/>
      <c r="O305" s="230"/>
      <c r="P305" s="230"/>
      <c r="Q305" s="230"/>
      <c r="R305" s="230"/>
      <c r="S305" s="230"/>
      <c r="T305" s="230"/>
      <c r="U305" s="230"/>
      <c r="V305" s="230"/>
      <c r="W305" s="230"/>
      <c r="X305" s="230"/>
      <c r="Y305" s="230"/>
      <c r="Z305" s="230"/>
    </row>
    <row r="306">
      <c r="A306" s="230"/>
      <c r="B306" s="230"/>
      <c r="C306" s="230"/>
      <c r="D306" s="230"/>
      <c r="E306" s="230"/>
      <c r="F306" s="230"/>
      <c r="G306" s="230"/>
      <c r="H306" s="230"/>
      <c r="I306" s="230"/>
      <c r="J306" s="230"/>
      <c r="K306" s="230"/>
      <c r="L306" s="230"/>
      <c r="M306" s="230"/>
      <c r="N306" s="230"/>
      <c r="O306" s="230"/>
      <c r="P306" s="230"/>
      <c r="Q306" s="230"/>
      <c r="R306" s="230"/>
      <c r="S306" s="230"/>
      <c r="T306" s="230"/>
      <c r="U306" s="230"/>
      <c r="V306" s="230"/>
      <c r="W306" s="230"/>
      <c r="X306" s="230"/>
      <c r="Y306" s="230"/>
      <c r="Z306" s="230"/>
    </row>
    <row r="307">
      <c r="A307" s="230"/>
      <c r="B307" s="230"/>
      <c r="C307" s="230"/>
      <c r="D307" s="230"/>
      <c r="E307" s="230"/>
      <c r="F307" s="230"/>
      <c r="G307" s="230"/>
      <c r="H307" s="230"/>
      <c r="I307" s="230"/>
      <c r="J307" s="230"/>
      <c r="K307" s="230"/>
      <c r="L307" s="230"/>
      <c r="M307" s="230"/>
      <c r="N307" s="230"/>
      <c r="O307" s="230"/>
      <c r="P307" s="230"/>
      <c r="Q307" s="230"/>
      <c r="R307" s="230"/>
      <c r="S307" s="230"/>
      <c r="T307" s="230"/>
      <c r="U307" s="230"/>
      <c r="V307" s="230"/>
      <c r="W307" s="230"/>
      <c r="X307" s="230"/>
      <c r="Y307" s="230"/>
      <c r="Z307" s="230"/>
    </row>
    <row r="308">
      <c r="A308" s="230"/>
      <c r="B308" s="230"/>
      <c r="C308" s="230"/>
      <c r="D308" s="230"/>
      <c r="E308" s="230"/>
      <c r="F308" s="230"/>
      <c r="G308" s="230"/>
      <c r="H308" s="230"/>
      <c r="I308" s="230"/>
      <c r="J308" s="230"/>
      <c r="K308" s="230"/>
      <c r="L308" s="230"/>
      <c r="M308" s="230"/>
      <c r="N308" s="230"/>
      <c r="O308" s="230"/>
      <c r="P308" s="230"/>
      <c r="Q308" s="230"/>
      <c r="R308" s="230"/>
      <c r="S308" s="230"/>
      <c r="T308" s="230"/>
      <c r="U308" s="230"/>
      <c r="V308" s="230"/>
      <c r="W308" s="230"/>
      <c r="X308" s="230"/>
      <c r="Y308" s="230"/>
      <c r="Z308" s="230"/>
    </row>
    <row r="309">
      <c r="A309" s="230"/>
      <c r="B309" s="230"/>
      <c r="C309" s="230"/>
      <c r="D309" s="230"/>
      <c r="E309" s="230"/>
      <c r="F309" s="230"/>
      <c r="G309" s="230"/>
      <c r="H309" s="230"/>
      <c r="I309" s="230"/>
      <c r="J309" s="230"/>
      <c r="K309" s="230"/>
      <c r="L309" s="230"/>
      <c r="M309" s="230"/>
      <c r="N309" s="230"/>
      <c r="O309" s="230"/>
      <c r="P309" s="230"/>
      <c r="Q309" s="230"/>
      <c r="R309" s="230"/>
      <c r="S309" s="230"/>
      <c r="T309" s="230"/>
      <c r="U309" s="230"/>
      <c r="V309" s="230"/>
      <c r="W309" s="230"/>
      <c r="X309" s="230"/>
      <c r="Y309" s="230"/>
      <c r="Z309" s="230"/>
    </row>
    <row r="310">
      <c r="A310" s="230"/>
      <c r="B310" s="230"/>
      <c r="C310" s="230"/>
      <c r="D310" s="230"/>
      <c r="E310" s="230"/>
      <c r="F310" s="230"/>
      <c r="G310" s="230"/>
      <c r="H310" s="230"/>
      <c r="I310" s="230"/>
      <c r="J310" s="230"/>
      <c r="K310" s="230"/>
      <c r="L310" s="230"/>
      <c r="M310" s="230"/>
      <c r="N310" s="230"/>
      <c r="O310" s="230"/>
      <c r="P310" s="230"/>
      <c r="Q310" s="230"/>
      <c r="R310" s="230"/>
      <c r="S310" s="230"/>
      <c r="T310" s="230"/>
      <c r="U310" s="230"/>
      <c r="V310" s="230"/>
      <c r="W310" s="230"/>
      <c r="X310" s="230"/>
      <c r="Y310" s="230"/>
      <c r="Z310" s="230"/>
    </row>
    <row r="311">
      <c r="A311" s="230"/>
      <c r="B311" s="230"/>
      <c r="C311" s="230"/>
      <c r="D311" s="230"/>
      <c r="E311" s="230"/>
      <c r="F311" s="230"/>
      <c r="G311" s="230"/>
      <c r="H311" s="230"/>
      <c r="I311" s="230"/>
      <c r="J311" s="230"/>
      <c r="K311" s="230"/>
      <c r="L311" s="230"/>
      <c r="M311" s="230"/>
      <c r="N311" s="230"/>
      <c r="O311" s="230"/>
      <c r="P311" s="230"/>
      <c r="Q311" s="230"/>
      <c r="R311" s="230"/>
      <c r="S311" s="230"/>
      <c r="T311" s="230"/>
      <c r="U311" s="230"/>
      <c r="V311" s="230"/>
      <c r="W311" s="230"/>
      <c r="X311" s="230"/>
      <c r="Y311" s="230"/>
      <c r="Z311" s="230"/>
    </row>
    <row r="312">
      <c r="A312" s="230"/>
      <c r="B312" s="230"/>
      <c r="C312" s="230"/>
      <c r="D312" s="230"/>
      <c r="E312" s="230"/>
      <c r="F312" s="230"/>
      <c r="G312" s="230"/>
      <c r="H312" s="230"/>
      <c r="I312" s="230"/>
      <c r="J312" s="230"/>
      <c r="K312" s="230"/>
      <c r="L312" s="230"/>
      <c r="M312" s="230"/>
      <c r="N312" s="230"/>
      <c r="O312" s="230"/>
      <c r="P312" s="230"/>
      <c r="Q312" s="230"/>
      <c r="R312" s="230"/>
      <c r="S312" s="230"/>
      <c r="T312" s="230"/>
      <c r="U312" s="230"/>
      <c r="V312" s="230"/>
      <c r="W312" s="230"/>
      <c r="X312" s="230"/>
      <c r="Y312" s="230"/>
      <c r="Z312" s="230"/>
    </row>
    <row r="313">
      <c r="A313" s="230"/>
      <c r="B313" s="230"/>
      <c r="C313" s="230"/>
      <c r="D313" s="230"/>
      <c r="E313" s="230"/>
      <c r="F313" s="230"/>
      <c r="G313" s="230"/>
      <c r="H313" s="230"/>
      <c r="I313" s="230"/>
      <c r="J313" s="230"/>
      <c r="K313" s="230"/>
      <c r="L313" s="230"/>
      <c r="M313" s="230"/>
      <c r="N313" s="230"/>
      <c r="O313" s="230"/>
      <c r="P313" s="230"/>
      <c r="Q313" s="230"/>
      <c r="R313" s="230"/>
      <c r="S313" s="230"/>
      <c r="T313" s="230"/>
      <c r="U313" s="230"/>
      <c r="V313" s="230"/>
      <c r="W313" s="230"/>
      <c r="X313" s="230"/>
      <c r="Y313" s="230"/>
      <c r="Z313" s="230"/>
    </row>
    <row r="314">
      <c r="A314" s="230"/>
      <c r="B314" s="230"/>
      <c r="C314" s="230"/>
      <c r="D314" s="230"/>
      <c r="E314" s="230"/>
      <c r="F314" s="230"/>
      <c r="G314" s="230"/>
      <c r="H314" s="230"/>
      <c r="I314" s="230"/>
      <c r="J314" s="230"/>
      <c r="K314" s="230"/>
      <c r="L314" s="230"/>
      <c r="M314" s="230"/>
      <c r="N314" s="230"/>
      <c r="O314" s="230"/>
      <c r="P314" s="230"/>
      <c r="Q314" s="230"/>
      <c r="R314" s="230"/>
      <c r="S314" s="230"/>
      <c r="T314" s="230"/>
      <c r="U314" s="230"/>
      <c r="V314" s="230"/>
      <c r="W314" s="230"/>
      <c r="X314" s="230"/>
      <c r="Y314" s="230"/>
      <c r="Z314" s="230"/>
    </row>
    <row r="315">
      <c r="A315" s="230"/>
      <c r="B315" s="230"/>
      <c r="C315" s="230"/>
      <c r="D315" s="230"/>
      <c r="E315" s="230"/>
      <c r="F315" s="230"/>
      <c r="G315" s="230"/>
      <c r="H315" s="230"/>
      <c r="I315" s="230"/>
      <c r="J315" s="230"/>
      <c r="K315" s="230"/>
      <c r="L315" s="230"/>
      <c r="M315" s="230"/>
      <c r="N315" s="230"/>
      <c r="O315" s="230"/>
      <c r="P315" s="230"/>
      <c r="Q315" s="230"/>
      <c r="R315" s="230"/>
      <c r="S315" s="230"/>
      <c r="T315" s="230"/>
      <c r="U315" s="230"/>
      <c r="V315" s="230"/>
      <c r="W315" s="230"/>
      <c r="X315" s="230"/>
      <c r="Y315" s="230"/>
      <c r="Z315" s="230"/>
    </row>
    <row r="316">
      <c r="A316" s="230"/>
      <c r="B316" s="230"/>
      <c r="C316" s="230"/>
      <c r="D316" s="230"/>
      <c r="E316" s="230"/>
      <c r="F316" s="230"/>
      <c r="G316" s="230"/>
      <c r="H316" s="230"/>
      <c r="I316" s="230"/>
      <c r="J316" s="230"/>
      <c r="K316" s="230"/>
      <c r="L316" s="230"/>
      <c r="M316" s="230"/>
      <c r="N316" s="230"/>
      <c r="O316" s="230"/>
      <c r="P316" s="230"/>
      <c r="Q316" s="230"/>
      <c r="R316" s="230"/>
      <c r="S316" s="230"/>
      <c r="T316" s="230"/>
      <c r="U316" s="230"/>
      <c r="V316" s="230"/>
      <c r="W316" s="230"/>
      <c r="X316" s="230"/>
      <c r="Y316" s="230"/>
      <c r="Z316" s="230"/>
    </row>
    <row r="317">
      <c r="A317" s="230"/>
      <c r="B317" s="230"/>
      <c r="C317" s="230"/>
      <c r="D317" s="230"/>
      <c r="E317" s="230"/>
      <c r="F317" s="230"/>
      <c r="G317" s="230"/>
      <c r="H317" s="230"/>
      <c r="I317" s="230"/>
      <c r="J317" s="230"/>
      <c r="K317" s="230"/>
      <c r="L317" s="230"/>
      <c r="M317" s="230"/>
      <c r="N317" s="230"/>
      <c r="O317" s="230"/>
      <c r="P317" s="230"/>
      <c r="Q317" s="230"/>
      <c r="R317" s="230"/>
      <c r="S317" s="230"/>
      <c r="T317" s="230"/>
      <c r="U317" s="230"/>
      <c r="V317" s="230"/>
      <c r="W317" s="230"/>
      <c r="X317" s="230"/>
      <c r="Y317" s="230"/>
      <c r="Z317" s="230"/>
    </row>
    <row r="318">
      <c r="A318" s="230"/>
      <c r="B318" s="230"/>
      <c r="C318" s="230"/>
      <c r="D318" s="230"/>
      <c r="E318" s="230"/>
      <c r="F318" s="230"/>
      <c r="G318" s="230"/>
      <c r="H318" s="230"/>
      <c r="I318" s="230"/>
      <c r="J318" s="230"/>
      <c r="K318" s="230"/>
      <c r="L318" s="230"/>
      <c r="M318" s="230"/>
      <c r="N318" s="230"/>
      <c r="O318" s="230"/>
      <c r="P318" s="230"/>
      <c r="Q318" s="230"/>
      <c r="R318" s="230"/>
      <c r="S318" s="230"/>
      <c r="T318" s="230"/>
      <c r="U318" s="230"/>
      <c r="V318" s="230"/>
      <c r="W318" s="230"/>
      <c r="X318" s="230"/>
      <c r="Y318" s="230"/>
      <c r="Z318" s="230"/>
    </row>
    <row r="319">
      <c r="A319" s="230"/>
      <c r="B319" s="230"/>
      <c r="C319" s="230"/>
      <c r="D319" s="230"/>
      <c r="E319" s="230"/>
      <c r="F319" s="230"/>
      <c r="G319" s="230"/>
      <c r="H319" s="230"/>
      <c r="I319" s="230"/>
      <c r="J319" s="230"/>
      <c r="K319" s="230"/>
      <c r="L319" s="230"/>
      <c r="M319" s="230"/>
      <c r="N319" s="230"/>
      <c r="O319" s="230"/>
      <c r="P319" s="230"/>
      <c r="Q319" s="230"/>
      <c r="R319" s="230"/>
      <c r="S319" s="230"/>
      <c r="T319" s="230"/>
      <c r="U319" s="230"/>
      <c r="V319" s="230"/>
      <c r="W319" s="230"/>
      <c r="X319" s="230"/>
      <c r="Y319" s="230"/>
      <c r="Z319" s="230"/>
    </row>
    <row r="320">
      <c r="A320" s="230"/>
      <c r="B320" s="230"/>
      <c r="C320" s="230"/>
      <c r="D320" s="230"/>
      <c r="E320" s="230"/>
      <c r="F320" s="230"/>
      <c r="G320" s="230"/>
      <c r="H320" s="230"/>
      <c r="I320" s="230"/>
      <c r="J320" s="230"/>
      <c r="K320" s="230"/>
      <c r="L320" s="230"/>
      <c r="M320" s="230"/>
      <c r="N320" s="230"/>
      <c r="O320" s="230"/>
      <c r="P320" s="230"/>
      <c r="Q320" s="230"/>
      <c r="R320" s="230"/>
      <c r="S320" s="230"/>
      <c r="T320" s="230"/>
      <c r="U320" s="230"/>
      <c r="V320" s="230"/>
      <c r="W320" s="230"/>
      <c r="X320" s="230"/>
      <c r="Y320" s="230"/>
      <c r="Z320" s="230"/>
    </row>
    <row r="321">
      <c r="A321" s="230"/>
      <c r="B321" s="230"/>
      <c r="C321" s="230"/>
      <c r="D321" s="230"/>
      <c r="E321" s="230"/>
      <c r="F321" s="230"/>
      <c r="G321" s="230"/>
      <c r="H321" s="230"/>
      <c r="I321" s="230"/>
      <c r="J321" s="230"/>
      <c r="K321" s="230"/>
      <c r="L321" s="230"/>
      <c r="M321" s="230"/>
      <c r="N321" s="230"/>
      <c r="O321" s="230"/>
      <c r="P321" s="230"/>
      <c r="Q321" s="230"/>
      <c r="R321" s="230"/>
      <c r="S321" s="230"/>
      <c r="T321" s="230"/>
      <c r="U321" s="230"/>
      <c r="V321" s="230"/>
      <c r="W321" s="230"/>
      <c r="X321" s="230"/>
      <c r="Y321" s="230"/>
      <c r="Z321" s="230"/>
    </row>
    <row r="322">
      <c r="A322" s="230"/>
      <c r="B322" s="230"/>
      <c r="C322" s="230"/>
      <c r="D322" s="230"/>
      <c r="E322" s="230"/>
      <c r="F322" s="230"/>
      <c r="G322" s="230"/>
      <c r="H322" s="230"/>
      <c r="I322" s="230"/>
      <c r="J322" s="230"/>
      <c r="K322" s="230"/>
      <c r="L322" s="230"/>
      <c r="M322" s="230"/>
      <c r="N322" s="230"/>
      <c r="O322" s="230"/>
      <c r="P322" s="230"/>
      <c r="Q322" s="230"/>
      <c r="R322" s="230"/>
      <c r="S322" s="230"/>
      <c r="T322" s="230"/>
      <c r="U322" s="230"/>
      <c r="V322" s="230"/>
      <c r="W322" s="230"/>
      <c r="X322" s="230"/>
      <c r="Y322" s="230"/>
      <c r="Z322" s="230"/>
    </row>
    <row r="323">
      <c r="A323" s="230"/>
      <c r="B323" s="230"/>
      <c r="C323" s="230"/>
      <c r="D323" s="230"/>
      <c r="E323" s="230"/>
      <c r="F323" s="230"/>
      <c r="G323" s="230"/>
      <c r="H323" s="230"/>
      <c r="I323" s="230"/>
      <c r="J323" s="230"/>
      <c r="K323" s="230"/>
      <c r="L323" s="230"/>
      <c r="M323" s="230"/>
      <c r="N323" s="230"/>
      <c r="O323" s="230"/>
      <c r="P323" s="230"/>
      <c r="Q323" s="230"/>
      <c r="R323" s="230"/>
      <c r="S323" s="230"/>
      <c r="T323" s="230"/>
      <c r="U323" s="230"/>
      <c r="V323" s="230"/>
      <c r="W323" s="230"/>
      <c r="X323" s="230"/>
      <c r="Y323" s="230"/>
      <c r="Z323" s="230"/>
    </row>
    <row r="324">
      <c r="A324" s="230"/>
      <c r="B324" s="230"/>
      <c r="C324" s="230"/>
      <c r="D324" s="230"/>
      <c r="E324" s="230"/>
      <c r="F324" s="230"/>
      <c r="G324" s="230"/>
      <c r="H324" s="230"/>
      <c r="I324" s="230"/>
      <c r="J324" s="230"/>
      <c r="K324" s="230"/>
      <c r="L324" s="230"/>
      <c r="M324" s="230"/>
      <c r="N324" s="230"/>
      <c r="O324" s="230"/>
      <c r="P324" s="230"/>
      <c r="Q324" s="230"/>
      <c r="R324" s="230"/>
      <c r="S324" s="230"/>
      <c r="T324" s="230"/>
      <c r="U324" s="230"/>
      <c r="V324" s="230"/>
      <c r="W324" s="230"/>
      <c r="X324" s="230"/>
      <c r="Y324" s="230"/>
      <c r="Z324" s="230"/>
    </row>
    <row r="325">
      <c r="A325" s="230"/>
      <c r="B325" s="230"/>
      <c r="C325" s="230"/>
      <c r="D325" s="230"/>
      <c r="E325" s="230"/>
      <c r="F325" s="230"/>
      <c r="G325" s="230"/>
      <c r="H325" s="230"/>
      <c r="I325" s="230"/>
      <c r="J325" s="230"/>
      <c r="K325" s="230"/>
      <c r="L325" s="230"/>
      <c r="M325" s="230"/>
      <c r="N325" s="230"/>
      <c r="O325" s="230"/>
      <c r="P325" s="230"/>
      <c r="Q325" s="230"/>
      <c r="R325" s="230"/>
      <c r="S325" s="230"/>
      <c r="T325" s="230"/>
      <c r="U325" s="230"/>
      <c r="V325" s="230"/>
      <c r="W325" s="230"/>
      <c r="X325" s="230"/>
      <c r="Y325" s="230"/>
      <c r="Z325" s="230"/>
    </row>
    <row r="326">
      <c r="A326" s="230"/>
      <c r="B326" s="230"/>
      <c r="C326" s="230"/>
      <c r="D326" s="230"/>
      <c r="E326" s="230"/>
      <c r="F326" s="230"/>
      <c r="G326" s="230"/>
      <c r="H326" s="230"/>
      <c r="I326" s="230"/>
      <c r="J326" s="230"/>
      <c r="K326" s="230"/>
      <c r="L326" s="230"/>
      <c r="M326" s="230"/>
      <c r="N326" s="230"/>
      <c r="O326" s="230"/>
      <c r="P326" s="230"/>
      <c r="Q326" s="230"/>
      <c r="R326" s="230"/>
      <c r="S326" s="230"/>
      <c r="T326" s="230"/>
      <c r="U326" s="230"/>
      <c r="V326" s="230"/>
      <c r="W326" s="230"/>
      <c r="X326" s="230"/>
      <c r="Y326" s="230"/>
      <c r="Z326" s="230"/>
    </row>
    <row r="327">
      <c r="A327" s="230"/>
      <c r="B327" s="230"/>
      <c r="C327" s="230"/>
      <c r="D327" s="230"/>
      <c r="E327" s="230"/>
      <c r="F327" s="230"/>
      <c r="G327" s="230"/>
      <c r="H327" s="230"/>
      <c r="I327" s="230"/>
      <c r="J327" s="230"/>
      <c r="K327" s="230"/>
      <c r="L327" s="230"/>
      <c r="M327" s="230"/>
      <c r="N327" s="230"/>
      <c r="O327" s="230"/>
      <c r="P327" s="230"/>
      <c r="Q327" s="230"/>
      <c r="R327" s="230"/>
      <c r="S327" s="230"/>
      <c r="T327" s="230"/>
      <c r="U327" s="230"/>
      <c r="V327" s="230"/>
      <c r="W327" s="230"/>
      <c r="X327" s="230"/>
      <c r="Y327" s="230"/>
      <c r="Z327" s="230"/>
    </row>
    <row r="328">
      <c r="A328" s="230"/>
      <c r="B328" s="230"/>
      <c r="C328" s="230"/>
      <c r="D328" s="230"/>
      <c r="E328" s="230"/>
      <c r="F328" s="230"/>
      <c r="G328" s="230"/>
      <c r="H328" s="230"/>
      <c r="I328" s="230"/>
      <c r="J328" s="230"/>
      <c r="K328" s="230"/>
      <c r="L328" s="230"/>
      <c r="M328" s="230"/>
      <c r="N328" s="230"/>
      <c r="O328" s="230"/>
      <c r="P328" s="230"/>
      <c r="Q328" s="230"/>
      <c r="R328" s="230"/>
      <c r="S328" s="230"/>
      <c r="T328" s="230"/>
      <c r="U328" s="230"/>
      <c r="V328" s="230"/>
      <c r="W328" s="230"/>
      <c r="X328" s="230"/>
      <c r="Y328" s="230"/>
      <c r="Z328" s="230"/>
    </row>
    <row r="329">
      <c r="A329" s="230"/>
      <c r="B329" s="230"/>
      <c r="C329" s="230"/>
      <c r="D329" s="230"/>
      <c r="E329" s="230"/>
      <c r="F329" s="230"/>
      <c r="G329" s="230"/>
      <c r="H329" s="230"/>
      <c r="I329" s="230"/>
      <c r="J329" s="230"/>
      <c r="K329" s="230"/>
      <c r="L329" s="230"/>
      <c r="M329" s="230"/>
      <c r="N329" s="230"/>
      <c r="O329" s="230"/>
      <c r="P329" s="230"/>
      <c r="Q329" s="230"/>
      <c r="R329" s="230"/>
      <c r="S329" s="230"/>
      <c r="T329" s="230"/>
      <c r="U329" s="230"/>
      <c r="V329" s="230"/>
      <c r="W329" s="230"/>
      <c r="X329" s="230"/>
      <c r="Y329" s="230"/>
      <c r="Z329" s="230"/>
    </row>
    <row r="330">
      <c r="A330" s="230"/>
      <c r="B330" s="230"/>
      <c r="C330" s="230"/>
      <c r="D330" s="230"/>
      <c r="E330" s="230"/>
      <c r="F330" s="230"/>
      <c r="G330" s="230"/>
      <c r="H330" s="230"/>
      <c r="I330" s="230"/>
      <c r="J330" s="230"/>
      <c r="K330" s="230"/>
      <c r="L330" s="230"/>
      <c r="M330" s="230"/>
      <c r="N330" s="230"/>
      <c r="O330" s="230"/>
      <c r="P330" s="230"/>
      <c r="Q330" s="230"/>
      <c r="R330" s="230"/>
      <c r="S330" s="230"/>
      <c r="T330" s="230"/>
      <c r="U330" s="230"/>
      <c r="V330" s="230"/>
      <c r="W330" s="230"/>
      <c r="X330" s="230"/>
      <c r="Y330" s="230"/>
      <c r="Z330" s="230"/>
    </row>
    <row r="331">
      <c r="A331" s="230"/>
      <c r="B331" s="230"/>
      <c r="C331" s="230"/>
      <c r="D331" s="230"/>
      <c r="E331" s="230"/>
      <c r="F331" s="230"/>
      <c r="G331" s="230"/>
      <c r="H331" s="230"/>
      <c r="I331" s="230"/>
      <c r="J331" s="230"/>
      <c r="K331" s="230"/>
      <c r="L331" s="230"/>
      <c r="M331" s="230"/>
      <c r="N331" s="230"/>
      <c r="O331" s="230"/>
      <c r="P331" s="230"/>
      <c r="Q331" s="230"/>
      <c r="R331" s="230"/>
      <c r="S331" s="230"/>
      <c r="T331" s="230"/>
      <c r="U331" s="230"/>
      <c r="V331" s="230"/>
      <c r="W331" s="230"/>
      <c r="X331" s="230"/>
      <c r="Y331" s="230"/>
      <c r="Z331" s="230"/>
    </row>
    <row r="332">
      <c r="A332" s="230"/>
      <c r="B332" s="230"/>
      <c r="C332" s="230"/>
      <c r="D332" s="230"/>
      <c r="E332" s="230"/>
      <c r="F332" s="230"/>
      <c r="G332" s="230"/>
      <c r="H332" s="230"/>
      <c r="I332" s="230"/>
      <c r="J332" s="230"/>
      <c r="K332" s="230"/>
      <c r="L332" s="230"/>
      <c r="M332" s="230"/>
      <c r="N332" s="230"/>
      <c r="O332" s="230"/>
      <c r="P332" s="230"/>
      <c r="Q332" s="230"/>
      <c r="R332" s="230"/>
      <c r="S332" s="230"/>
      <c r="T332" s="230"/>
      <c r="U332" s="230"/>
      <c r="V332" s="230"/>
      <c r="W332" s="230"/>
      <c r="X332" s="230"/>
      <c r="Y332" s="230"/>
      <c r="Z332" s="230"/>
    </row>
    <row r="333">
      <c r="A333" s="230"/>
      <c r="B333" s="230"/>
      <c r="C333" s="230"/>
      <c r="D333" s="230"/>
      <c r="E333" s="230"/>
      <c r="F333" s="230"/>
      <c r="G333" s="230"/>
      <c r="H333" s="230"/>
      <c r="I333" s="230"/>
      <c r="J333" s="230"/>
      <c r="K333" s="230"/>
      <c r="L333" s="230"/>
      <c r="M333" s="230"/>
      <c r="N333" s="230"/>
      <c r="O333" s="230"/>
      <c r="P333" s="230"/>
      <c r="Q333" s="230"/>
      <c r="R333" s="230"/>
      <c r="S333" s="230"/>
      <c r="T333" s="230"/>
      <c r="U333" s="230"/>
      <c r="V333" s="230"/>
      <c r="W333" s="230"/>
      <c r="X333" s="230"/>
      <c r="Y333" s="230"/>
      <c r="Z333" s="230"/>
    </row>
    <row r="334">
      <c r="A334" s="230"/>
      <c r="B334" s="230"/>
      <c r="C334" s="230"/>
      <c r="D334" s="230"/>
      <c r="E334" s="230"/>
      <c r="F334" s="230"/>
      <c r="G334" s="230"/>
      <c r="H334" s="230"/>
      <c r="I334" s="230"/>
      <c r="J334" s="230"/>
      <c r="K334" s="230"/>
      <c r="L334" s="230"/>
      <c r="M334" s="230"/>
      <c r="N334" s="230"/>
      <c r="O334" s="230"/>
      <c r="P334" s="230"/>
      <c r="Q334" s="230"/>
      <c r="R334" s="230"/>
      <c r="S334" s="230"/>
      <c r="T334" s="230"/>
      <c r="U334" s="230"/>
      <c r="V334" s="230"/>
      <c r="W334" s="230"/>
      <c r="X334" s="230"/>
      <c r="Y334" s="230"/>
      <c r="Z334" s="230"/>
    </row>
    <row r="335">
      <c r="A335" s="230"/>
      <c r="B335" s="230"/>
      <c r="C335" s="230"/>
      <c r="D335" s="230"/>
      <c r="E335" s="230"/>
      <c r="F335" s="230"/>
      <c r="G335" s="230"/>
      <c r="H335" s="230"/>
      <c r="I335" s="230"/>
      <c r="J335" s="230"/>
      <c r="K335" s="230"/>
      <c r="L335" s="230"/>
      <c r="M335" s="230"/>
      <c r="N335" s="230"/>
      <c r="O335" s="230"/>
      <c r="P335" s="230"/>
      <c r="Q335" s="230"/>
      <c r="R335" s="230"/>
      <c r="S335" s="230"/>
      <c r="T335" s="230"/>
      <c r="U335" s="230"/>
      <c r="V335" s="230"/>
      <c r="W335" s="230"/>
      <c r="X335" s="230"/>
      <c r="Y335" s="230"/>
      <c r="Z335" s="230"/>
    </row>
    <row r="336">
      <c r="A336" s="230"/>
      <c r="B336" s="230"/>
      <c r="C336" s="230"/>
      <c r="D336" s="230"/>
      <c r="E336" s="230"/>
      <c r="F336" s="230"/>
      <c r="G336" s="230"/>
      <c r="H336" s="230"/>
      <c r="I336" s="230"/>
      <c r="J336" s="230"/>
      <c r="K336" s="230"/>
      <c r="L336" s="230"/>
      <c r="M336" s="230"/>
      <c r="N336" s="230"/>
      <c r="O336" s="230"/>
      <c r="P336" s="230"/>
      <c r="Q336" s="230"/>
      <c r="R336" s="230"/>
      <c r="S336" s="230"/>
      <c r="T336" s="230"/>
      <c r="U336" s="230"/>
      <c r="V336" s="230"/>
      <c r="W336" s="230"/>
      <c r="X336" s="230"/>
      <c r="Y336" s="230"/>
      <c r="Z336" s="230"/>
    </row>
    <row r="337">
      <c r="A337" s="230"/>
      <c r="B337" s="230"/>
      <c r="C337" s="230"/>
      <c r="D337" s="230"/>
      <c r="E337" s="230"/>
      <c r="F337" s="230"/>
      <c r="G337" s="230"/>
      <c r="H337" s="230"/>
      <c r="I337" s="230"/>
      <c r="J337" s="230"/>
      <c r="K337" s="230"/>
      <c r="L337" s="230"/>
      <c r="M337" s="230"/>
      <c r="N337" s="230"/>
      <c r="O337" s="230"/>
      <c r="P337" s="230"/>
      <c r="Q337" s="230"/>
      <c r="R337" s="230"/>
      <c r="S337" s="230"/>
      <c r="T337" s="230"/>
      <c r="U337" s="230"/>
      <c r="V337" s="230"/>
      <c r="W337" s="230"/>
      <c r="X337" s="230"/>
      <c r="Y337" s="230"/>
      <c r="Z337" s="230"/>
    </row>
    <row r="338">
      <c r="A338" s="230"/>
      <c r="B338" s="230"/>
      <c r="C338" s="230"/>
      <c r="D338" s="230"/>
      <c r="E338" s="230"/>
      <c r="F338" s="230"/>
      <c r="G338" s="230"/>
      <c r="H338" s="230"/>
      <c r="I338" s="230"/>
      <c r="J338" s="230"/>
      <c r="K338" s="230"/>
      <c r="L338" s="230"/>
      <c r="M338" s="230"/>
      <c r="N338" s="230"/>
      <c r="O338" s="230"/>
      <c r="P338" s="230"/>
      <c r="Q338" s="230"/>
      <c r="R338" s="230"/>
      <c r="S338" s="230"/>
      <c r="T338" s="230"/>
      <c r="U338" s="230"/>
      <c r="V338" s="230"/>
      <c r="W338" s="230"/>
      <c r="X338" s="230"/>
      <c r="Y338" s="230"/>
      <c r="Z338" s="230"/>
    </row>
    <row r="339">
      <c r="A339" s="230"/>
      <c r="B339" s="230"/>
      <c r="C339" s="230"/>
      <c r="D339" s="230"/>
      <c r="E339" s="230"/>
      <c r="F339" s="230"/>
      <c r="G339" s="230"/>
      <c r="H339" s="230"/>
      <c r="I339" s="230"/>
      <c r="J339" s="230"/>
      <c r="K339" s="230"/>
      <c r="L339" s="230"/>
      <c r="M339" s="230"/>
      <c r="N339" s="230"/>
      <c r="O339" s="230"/>
      <c r="P339" s="230"/>
      <c r="Q339" s="230"/>
      <c r="R339" s="230"/>
      <c r="S339" s="230"/>
      <c r="T339" s="230"/>
      <c r="U339" s="230"/>
      <c r="V339" s="230"/>
      <c r="W339" s="230"/>
      <c r="X339" s="230"/>
      <c r="Y339" s="230"/>
      <c r="Z339" s="230"/>
    </row>
    <row r="340">
      <c r="A340" s="230"/>
      <c r="B340" s="230"/>
      <c r="C340" s="230"/>
      <c r="D340" s="230"/>
      <c r="E340" s="230"/>
      <c r="F340" s="230"/>
      <c r="G340" s="230"/>
      <c r="H340" s="230"/>
      <c r="I340" s="230"/>
      <c r="J340" s="230"/>
      <c r="K340" s="230"/>
      <c r="L340" s="230"/>
      <c r="M340" s="230"/>
      <c r="N340" s="230"/>
      <c r="O340" s="230"/>
      <c r="P340" s="230"/>
      <c r="Q340" s="230"/>
      <c r="R340" s="230"/>
      <c r="S340" s="230"/>
      <c r="T340" s="230"/>
      <c r="U340" s="230"/>
      <c r="V340" s="230"/>
      <c r="W340" s="230"/>
      <c r="X340" s="230"/>
      <c r="Y340" s="230"/>
      <c r="Z340" s="230"/>
    </row>
    <row r="341">
      <c r="A341" s="230"/>
      <c r="B341" s="230"/>
      <c r="C341" s="230"/>
      <c r="D341" s="230"/>
      <c r="E341" s="230"/>
      <c r="F341" s="230"/>
      <c r="G341" s="230"/>
      <c r="H341" s="230"/>
      <c r="I341" s="230"/>
      <c r="J341" s="230"/>
      <c r="K341" s="230"/>
      <c r="L341" s="230"/>
      <c r="M341" s="230"/>
      <c r="N341" s="230"/>
      <c r="O341" s="230"/>
      <c r="P341" s="230"/>
      <c r="Q341" s="230"/>
      <c r="R341" s="230"/>
      <c r="S341" s="230"/>
      <c r="T341" s="230"/>
      <c r="U341" s="230"/>
      <c r="V341" s="230"/>
      <c r="W341" s="230"/>
      <c r="X341" s="230"/>
      <c r="Y341" s="230"/>
      <c r="Z341" s="230"/>
    </row>
    <row r="342">
      <c r="A342" s="230"/>
      <c r="B342" s="230"/>
      <c r="C342" s="230"/>
      <c r="D342" s="230"/>
      <c r="E342" s="230"/>
      <c r="F342" s="230"/>
      <c r="G342" s="230"/>
      <c r="H342" s="230"/>
      <c r="I342" s="230"/>
      <c r="J342" s="230"/>
      <c r="K342" s="230"/>
      <c r="L342" s="230"/>
      <c r="M342" s="230"/>
      <c r="N342" s="230"/>
      <c r="O342" s="230"/>
      <c r="P342" s="230"/>
      <c r="Q342" s="230"/>
      <c r="R342" s="230"/>
      <c r="S342" s="230"/>
      <c r="T342" s="230"/>
      <c r="U342" s="230"/>
      <c r="V342" s="230"/>
      <c r="W342" s="230"/>
      <c r="X342" s="230"/>
      <c r="Y342" s="230"/>
      <c r="Z342" s="230"/>
    </row>
    <row r="343">
      <c r="A343" s="230"/>
      <c r="B343" s="230"/>
      <c r="C343" s="230"/>
      <c r="D343" s="230"/>
      <c r="E343" s="230"/>
      <c r="F343" s="230"/>
      <c r="G343" s="230"/>
      <c r="H343" s="230"/>
      <c r="I343" s="230"/>
      <c r="J343" s="230"/>
      <c r="K343" s="230"/>
      <c r="L343" s="230"/>
      <c r="M343" s="230"/>
      <c r="N343" s="230"/>
      <c r="O343" s="230"/>
      <c r="P343" s="230"/>
      <c r="Q343" s="230"/>
      <c r="R343" s="230"/>
      <c r="S343" s="230"/>
      <c r="T343" s="230"/>
      <c r="U343" s="230"/>
      <c r="V343" s="230"/>
      <c r="W343" s="230"/>
      <c r="X343" s="230"/>
      <c r="Y343" s="230"/>
      <c r="Z343" s="230"/>
    </row>
    <row r="344">
      <c r="A344" s="230"/>
      <c r="B344" s="230"/>
      <c r="C344" s="230"/>
      <c r="D344" s="230"/>
      <c r="E344" s="230"/>
      <c r="F344" s="230"/>
      <c r="G344" s="230"/>
      <c r="H344" s="230"/>
      <c r="I344" s="230"/>
      <c r="J344" s="230"/>
      <c r="K344" s="230"/>
      <c r="L344" s="230"/>
      <c r="M344" s="230"/>
      <c r="N344" s="230"/>
      <c r="O344" s="230"/>
      <c r="P344" s="230"/>
      <c r="Q344" s="230"/>
      <c r="R344" s="230"/>
      <c r="S344" s="230"/>
      <c r="T344" s="230"/>
      <c r="U344" s="230"/>
      <c r="V344" s="230"/>
      <c r="W344" s="230"/>
      <c r="X344" s="230"/>
      <c r="Y344" s="230"/>
      <c r="Z344" s="230"/>
    </row>
    <row r="345">
      <c r="A345" s="230"/>
      <c r="B345" s="230"/>
      <c r="C345" s="230"/>
      <c r="D345" s="230"/>
      <c r="E345" s="230"/>
      <c r="F345" s="230"/>
      <c r="G345" s="230"/>
      <c r="H345" s="230"/>
      <c r="I345" s="230"/>
      <c r="J345" s="230"/>
      <c r="K345" s="230"/>
      <c r="L345" s="230"/>
      <c r="M345" s="230"/>
      <c r="N345" s="230"/>
      <c r="O345" s="230"/>
      <c r="P345" s="230"/>
      <c r="Q345" s="230"/>
      <c r="R345" s="230"/>
      <c r="S345" s="230"/>
      <c r="T345" s="230"/>
      <c r="U345" s="230"/>
      <c r="V345" s="230"/>
      <c r="W345" s="230"/>
      <c r="X345" s="230"/>
      <c r="Y345" s="230"/>
      <c r="Z345" s="230"/>
    </row>
    <row r="346">
      <c r="A346" s="230"/>
      <c r="B346" s="230"/>
      <c r="C346" s="230"/>
      <c r="D346" s="230"/>
      <c r="E346" s="230"/>
      <c r="F346" s="230"/>
      <c r="G346" s="230"/>
      <c r="H346" s="230"/>
      <c r="I346" s="230"/>
      <c r="J346" s="230"/>
      <c r="K346" s="230"/>
      <c r="L346" s="230"/>
      <c r="M346" s="230"/>
      <c r="N346" s="230"/>
      <c r="O346" s="230"/>
      <c r="P346" s="230"/>
      <c r="Q346" s="230"/>
      <c r="R346" s="230"/>
      <c r="S346" s="230"/>
      <c r="T346" s="230"/>
      <c r="U346" s="230"/>
      <c r="V346" s="230"/>
      <c r="W346" s="230"/>
      <c r="X346" s="230"/>
      <c r="Y346" s="230"/>
      <c r="Z346" s="230"/>
    </row>
    <row r="347">
      <c r="A347" s="230"/>
      <c r="B347" s="230"/>
      <c r="C347" s="230"/>
      <c r="D347" s="230"/>
      <c r="E347" s="230"/>
      <c r="F347" s="230"/>
      <c r="G347" s="230"/>
      <c r="H347" s="230"/>
      <c r="I347" s="230"/>
      <c r="J347" s="230"/>
      <c r="K347" s="230"/>
      <c r="L347" s="230"/>
      <c r="M347" s="230"/>
      <c r="N347" s="230"/>
      <c r="O347" s="230"/>
      <c r="P347" s="230"/>
      <c r="Q347" s="230"/>
      <c r="R347" s="230"/>
      <c r="S347" s="230"/>
      <c r="T347" s="230"/>
      <c r="U347" s="230"/>
      <c r="V347" s="230"/>
      <c r="W347" s="230"/>
      <c r="X347" s="230"/>
      <c r="Y347" s="230"/>
      <c r="Z347" s="230"/>
    </row>
    <row r="348">
      <c r="A348" s="230"/>
      <c r="B348" s="230"/>
      <c r="C348" s="230"/>
      <c r="D348" s="230"/>
      <c r="E348" s="230"/>
      <c r="F348" s="230"/>
      <c r="G348" s="230"/>
      <c r="H348" s="230"/>
      <c r="I348" s="230"/>
      <c r="J348" s="230"/>
      <c r="K348" s="230"/>
      <c r="L348" s="230"/>
      <c r="M348" s="230"/>
      <c r="N348" s="230"/>
      <c r="O348" s="230"/>
      <c r="P348" s="230"/>
      <c r="Q348" s="230"/>
      <c r="R348" s="230"/>
      <c r="S348" s="230"/>
      <c r="T348" s="230"/>
      <c r="U348" s="230"/>
      <c r="V348" s="230"/>
      <c r="W348" s="230"/>
      <c r="X348" s="230"/>
      <c r="Y348" s="230"/>
      <c r="Z348" s="230"/>
    </row>
    <row r="349">
      <c r="A349" s="230"/>
      <c r="B349" s="230"/>
      <c r="C349" s="230"/>
      <c r="D349" s="230"/>
      <c r="E349" s="230"/>
      <c r="F349" s="230"/>
      <c r="G349" s="230"/>
      <c r="H349" s="230"/>
      <c r="I349" s="230"/>
      <c r="J349" s="230"/>
      <c r="K349" s="230"/>
      <c r="L349" s="230"/>
      <c r="M349" s="230"/>
      <c r="N349" s="230"/>
      <c r="O349" s="230"/>
      <c r="P349" s="230"/>
      <c r="Q349" s="230"/>
      <c r="R349" s="230"/>
      <c r="S349" s="230"/>
      <c r="T349" s="230"/>
      <c r="U349" s="230"/>
      <c r="V349" s="230"/>
      <c r="W349" s="230"/>
      <c r="X349" s="230"/>
      <c r="Y349" s="230"/>
      <c r="Z349" s="230"/>
    </row>
    <row r="350">
      <c r="A350" s="230"/>
      <c r="B350" s="230"/>
      <c r="C350" s="230"/>
      <c r="D350" s="230"/>
      <c r="E350" s="230"/>
      <c r="F350" s="230"/>
      <c r="G350" s="230"/>
      <c r="H350" s="230"/>
      <c r="I350" s="230"/>
      <c r="J350" s="230"/>
      <c r="K350" s="230"/>
      <c r="L350" s="230"/>
      <c r="M350" s="230"/>
      <c r="N350" s="230"/>
      <c r="O350" s="230"/>
      <c r="P350" s="230"/>
      <c r="Q350" s="230"/>
      <c r="R350" s="230"/>
      <c r="S350" s="230"/>
      <c r="T350" s="230"/>
      <c r="U350" s="230"/>
      <c r="V350" s="230"/>
      <c r="W350" s="230"/>
      <c r="X350" s="230"/>
      <c r="Y350" s="230"/>
      <c r="Z350" s="230"/>
    </row>
    <row r="351">
      <c r="A351" s="230"/>
      <c r="B351" s="230"/>
      <c r="C351" s="230"/>
      <c r="D351" s="230"/>
      <c r="E351" s="230"/>
      <c r="F351" s="230"/>
      <c r="G351" s="230"/>
      <c r="H351" s="230"/>
      <c r="I351" s="230"/>
      <c r="J351" s="230"/>
      <c r="K351" s="230"/>
      <c r="L351" s="230"/>
      <c r="M351" s="230"/>
      <c r="N351" s="230"/>
      <c r="O351" s="230"/>
      <c r="P351" s="230"/>
      <c r="Q351" s="230"/>
      <c r="R351" s="230"/>
      <c r="S351" s="230"/>
      <c r="T351" s="230"/>
      <c r="U351" s="230"/>
      <c r="V351" s="230"/>
      <c r="W351" s="230"/>
      <c r="X351" s="230"/>
      <c r="Y351" s="230"/>
      <c r="Z351" s="230"/>
    </row>
    <row r="352">
      <c r="A352" s="230"/>
      <c r="B352" s="230"/>
      <c r="C352" s="230"/>
      <c r="D352" s="230"/>
      <c r="E352" s="230"/>
      <c r="F352" s="230"/>
      <c r="G352" s="230"/>
      <c r="H352" s="230"/>
      <c r="I352" s="230"/>
      <c r="J352" s="230"/>
      <c r="K352" s="230"/>
      <c r="L352" s="230"/>
      <c r="M352" s="230"/>
      <c r="N352" s="230"/>
      <c r="O352" s="230"/>
      <c r="P352" s="230"/>
      <c r="Q352" s="230"/>
      <c r="R352" s="230"/>
      <c r="S352" s="230"/>
      <c r="T352" s="230"/>
      <c r="U352" s="230"/>
      <c r="V352" s="230"/>
      <c r="W352" s="230"/>
      <c r="X352" s="230"/>
      <c r="Y352" s="230"/>
      <c r="Z352" s="230"/>
    </row>
    <row r="353">
      <c r="A353" s="230"/>
      <c r="B353" s="230"/>
      <c r="C353" s="230"/>
      <c r="D353" s="230"/>
      <c r="E353" s="230"/>
      <c r="F353" s="230"/>
      <c r="G353" s="230"/>
      <c r="H353" s="230"/>
      <c r="I353" s="230"/>
      <c r="J353" s="230"/>
      <c r="K353" s="230"/>
      <c r="L353" s="230"/>
      <c r="M353" s="230"/>
      <c r="N353" s="230"/>
      <c r="O353" s="230"/>
      <c r="P353" s="230"/>
      <c r="Q353" s="230"/>
      <c r="R353" s="230"/>
      <c r="S353" s="230"/>
      <c r="T353" s="230"/>
      <c r="U353" s="230"/>
      <c r="V353" s="230"/>
      <c r="W353" s="230"/>
      <c r="X353" s="230"/>
      <c r="Y353" s="230"/>
      <c r="Z353" s="230"/>
    </row>
    <row r="354">
      <c r="A354" s="230"/>
      <c r="B354" s="230"/>
      <c r="C354" s="230"/>
      <c r="D354" s="230"/>
      <c r="E354" s="230"/>
      <c r="F354" s="230"/>
      <c r="G354" s="230"/>
      <c r="H354" s="230"/>
      <c r="I354" s="230"/>
      <c r="J354" s="230"/>
      <c r="K354" s="230"/>
      <c r="L354" s="230"/>
      <c r="M354" s="230"/>
      <c r="N354" s="230"/>
      <c r="O354" s="230"/>
      <c r="P354" s="230"/>
      <c r="Q354" s="230"/>
      <c r="R354" s="230"/>
      <c r="S354" s="230"/>
      <c r="T354" s="230"/>
      <c r="U354" s="230"/>
      <c r="V354" s="230"/>
      <c r="W354" s="230"/>
      <c r="X354" s="230"/>
      <c r="Y354" s="230"/>
      <c r="Z354" s="230"/>
    </row>
    <row r="355">
      <c r="A355" s="230"/>
      <c r="B355" s="230"/>
      <c r="C355" s="230"/>
      <c r="D355" s="230"/>
      <c r="E355" s="230"/>
      <c r="F355" s="230"/>
      <c r="G355" s="230"/>
      <c r="H355" s="230"/>
      <c r="I355" s="230"/>
      <c r="J355" s="230"/>
      <c r="K355" s="230"/>
      <c r="L355" s="230"/>
      <c r="M355" s="230"/>
      <c r="N355" s="230"/>
      <c r="O355" s="230"/>
      <c r="P355" s="230"/>
      <c r="Q355" s="230"/>
      <c r="R355" s="230"/>
      <c r="S355" s="230"/>
      <c r="T355" s="230"/>
      <c r="U355" s="230"/>
      <c r="V355" s="230"/>
      <c r="W355" s="230"/>
      <c r="X355" s="230"/>
      <c r="Y355" s="230"/>
      <c r="Z355" s="230"/>
    </row>
    <row r="356">
      <c r="A356" s="230"/>
      <c r="B356" s="230"/>
      <c r="C356" s="230"/>
      <c r="D356" s="230"/>
      <c r="E356" s="230"/>
      <c r="F356" s="230"/>
      <c r="G356" s="230"/>
      <c r="H356" s="230"/>
      <c r="I356" s="230"/>
      <c r="J356" s="230"/>
      <c r="K356" s="230"/>
      <c r="L356" s="230"/>
      <c r="M356" s="230"/>
      <c r="N356" s="230"/>
      <c r="O356" s="230"/>
      <c r="P356" s="230"/>
      <c r="Q356" s="230"/>
      <c r="R356" s="230"/>
      <c r="S356" s="230"/>
      <c r="T356" s="230"/>
      <c r="U356" s="230"/>
      <c r="V356" s="230"/>
      <c r="W356" s="230"/>
      <c r="X356" s="230"/>
      <c r="Y356" s="230"/>
      <c r="Z356" s="230"/>
    </row>
    <row r="357">
      <c r="A357" s="230"/>
      <c r="B357" s="230"/>
      <c r="C357" s="230"/>
      <c r="D357" s="230"/>
      <c r="E357" s="230"/>
      <c r="F357" s="230"/>
      <c r="G357" s="230"/>
      <c r="H357" s="230"/>
      <c r="I357" s="230"/>
      <c r="J357" s="230"/>
      <c r="K357" s="230"/>
      <c r="L357" s="230"/>
      <c r="M357" s="230"/>
      <c r="N357" s="230"/>
      <c r="O357" s="230"/>
      <c r="P357" s="230"/>
      <c r="Q357" s="230"/>
      <c r="R357" s="230"/>
      <c r="S357" s="230"/>
      <c r="T357" s="230"/>
      <c r="U357" s="230"/>
      <c r="V357" s="230"/>
      <c r="W357" s="230"/>
      <c r="X357" s="230"/>
      <c r="Y357" s="230"/>
      <c r="Z357" s="230"/>
    </row>
    <row r="358">
      <c r="A358" s="230"/>
      <c r="B358" s="230"/>
      <c r="C358" s="230"/>
      <c r="D358" s="230"/>
      <c r="E358" s="230"/>
      <c r="F358" s="230"/>
      <c r="G358" s="230"/>
      <c r="H358" s="230"/>
      <c r="I358" s="230"/>
      <c r="J358" s="230"/>
      <c r="K358" s="230"/>
      <c r="L358" s="230"/>
      <c r="M358" s="230"/>
      <c r="N358" s="230"/>
      <c r="O358" s="230"/>
      <c r="P358" s="230"/>
      <c r="Q358" s="230"/>
      <c r="R358" s="230"/>
      <c r="S358" s="230"/>
      <c r="T358" s="230"/>
      <c r="U358" s="230"/>
      <c r="V358" s="230"/>
      <c r="W358" s="230"/>
      <c r="X358" s="230"/>
      <c r="Y358" s="230"/>
      <c r="Z358" s="230"/>
    </row>
    <row r="359">
      <c r="A359" s="230"/>
      <c r="B359" s="230"/>
      <c r="C359" s="230"/>
      <c r="D359" s="230"/>
      <c r="E359" s="230"/>
      <c r="F359" s="230"/>
      <c r="G359" s="230"/>
      <c r="H359" s="230"/>
      <c r="I359" s="230"/>
      <c r="J359" s="230"/>
      <c r="K359" s="230"/>
      <c r="L359" s="230"/>
      <c r="M359" s="230"/>
      <c r="N359" s="230"/>
      <c r="O359" s="230"/>
      <c r="P359" s="230"/>
      <c r="Q359" s="230"/>
      <c r="R359" s="230"/>
      <c r="S359" s="230"/>
      <c r="T359" s="230"/>
      <c r="U359" s="230"/>
      <c r="V359" s="230"/>
      <c r="W359" s="230"/>
      <c r="X359" s="230"/>
      <c r="Y359" s="230"/>
      <c r="Z359" s="230"/>
    </row>
    <row r="360">
      <c r="A360" s="230"/>
      <c r="B360" s="230"/>
      <c r="C360" s="230"/>
      <c r="D360" s="230"/>
      <c r="E360" s="230"/>
      <c r="F360" s="230"/>
      <c r="G360" s="230"/>
      <c r="H360" s="230"/>
      <c r="I360" s="230"/>
      <c r="J360" s="230"/>
      <c r="K360" s="230"/>
      <c r="L360" s="230"/>
      <c r="M360" s="230"/>
      <c r="N360" s="230"/>
      <c r="O360" s="230"/>
      <c r="P360" s="230"/>
      <c r="Q360" s="230"/>
      <c r="R360" s="230"/>
      <c r="S360" s="230"/>
      <c r="T360" s="230"/>
      <c r="U360" s="230"/>
      <c r="V360" s="230"/>
      <c r="W360" s="230"/>
      <c r="X360" s="230"/>
      <c r="Y360" s="230"/>
      <c r="Z360" s="230"/>
    </row>
    <row r="361">
      <c r="A361" s="230"/>
      <c r="B361" s="230"/>
      <c r="C361" s="230"/>
      <c r="D361" s="230"/>
      <c r="E361" s="230"/>
      <c r="F361" s="230"/>
      <c r="G361" s="230"/>
      <c r="H361" s="230"/>
      <c r="I361" s="230"/>
      <c r="J361" s="230"/>
      <c r="K361" s="230"/>
      <c r="L361" s="230"/>
      <c r="M361" s="230"/>
      <c r="N361" s="230"/>
      <c r="O361" s="230"/>
      <c r="P361" s="230"/>
      <c r="Q361" s="230"/>
      <c r="R361" s="230"/>
      <c r="S361" s="230"/>
      <c r="T361" s="230"/>
      <c r="U361" s="230"/>
      <c r="V361" s="230"/>
      <c r="W361" s="230"/>
      <c r="X361" s="230"/>
      <c r="Y361" s="230"/>
      <c r="Z361" s="230"/>
    </row>
    <row r="362">
      <c r="A362" s="230"/>
      <c r="B362" s="230"/>
      <c r="C362" s="230"/>
      <c r="D362" s="230"/>
      <c r="E362" s="230"/>
      <c r="F362" s="230"/>
      <c r="G362" s="230"/>
      <c r="H362" s="230"/>
      <c r="I362" s="230"/>
      <c r="J362" s="230"/>
      <c r="K362" s="230"/>
      <c r="L362" s="230"/>
      <c r="M362" s="230"/>
      <c r="N362" s="230"/>
      <c r="O362" s="230"/>
      <c r="P362" s="230"/>
      <c r="Q362" s="230"/>
      <c r="R362" s="230"/>
      <c r="S362" s="230"/>
      <c r="T362" s="230"/>
      <c r="U362" s="230"/>
      <c r="V362" s="230"/>
      <c r="W362" s="230"/>
      <c r="X362" s="230"/>
      <c r="Y362" s="230"/>
      <c r="Z362" s="230"/>
    </row>
    <row r="363">
      <c r="A363" s="230"/>
      <c r="B363" s="230"/>
      <c r="C363" s="230"/>
      <c r="D363" s="230"/>
      <c r="E363" s="230"/>
      <c r="F363" s="230"/>
      <c r="G363" s="230"/>
      <c r="H363" s="230"/>
      <c r="I363" s="230"/>
      <c r="J363" s="230"/>
      <c r="K363" s="230"/>
      <c r="L363" s="230"/>
      <c r="M363" s="230"/>
      <c r="N363" s="230"/>
      <c r="O363" s="230"/>
      <c r="P363" s="230"/>
      <c r="Q363" s="230"/>
      <c r="R363" s="230"/>
      <c r="S363" s="230"/>
      <c r="T363" s="230"/>
      <c r="U363" s="230"/>
      <c r="V363" s="230"/>
      <c r="W363" s="230"/>
      <c r="X363" s="230"/>
      <c r="Y363" s="230"/>
      <c r="Z363" s="230"/>
    </row>
    <row r="364">
      <c r="A364" s="230"/>
      <c r="B364" s="230"/>
      <c r="C364" s="230"/>
      <c r="D364" s="230"/>
      <c r="E364" s="230"/>
      <c r="F364" s="230"/>
      <c r="G364" s="230"/>
      <c r="H364" s="230"/>
      <c r="I364" s="230"/>
      <c r="J364" s="230"/>
      <c r="K364" s="230"/>
      <c r="L364" s="230"/>
      <c r="M364" s="230"/>
      <c r="N364" s="230"/>
      <c r="O364" s="230"/>
      <c r="P364" s="230"/>
      <c r="Q364" s="230"/>
      <c r="R364" s="230"/>
      <c r="S364" s="230"/>
      <c r="T364" s="230"/>
      <c r="U364" s="230"/>
      <c r="V364" s="230"/>
      <c r="W364" s="230"/>
      <c r="X364" s="230"/>
      <c r="Y364" s="230"/>
      <c r="Z364" s="230"/>
    </row>
    <row r="365">
      <c r="A365" s="230"/>
      <c r="B365" s="230"/>
      <c r="C365" s="230"/>
      <c r="D365" s="230"/>
      <c r="E365" s="230"/>
      <c r="F365" s="230"/>
      <c r="G365" s="230"/>
      <c r="H365" s="230"/>
      <c r="I365" s="230"/>
      <c r="J365" s="230"/>
      <c r="K365" s="230"/>
      <c r="L365" s="230"/>
      <c r="M365" s="230"/>
      <c r="N365" s="230"/>
      <c r="O365" s="230"/>
      <c r="P365" s="230"/>
      <c r="Q365" s="230"/>
      <c r="R365" s="230"/>
      <c r="S365" s="230"/>
      <c r="T365" s="230"/>
      <c r="U365" s="230"/>
      <c r="V365" s="230"/>
      <c r="W365" s="230"/>
      <c r="X365" s="230"/>
      <c r="Y365" s="230"/>
      <c r="Z365" s="230"/>
    </row>
    <row r="366">
      <c r="A366" s="230"/>
      <c r="B366" s="230"/>
      <c r="C366" s="230"/>
      <c r="D366" s="230"/>
      <c r="E366" s="230"/>
      <c r="F366" s="230"/>
      <c r="G366" s="230"/>
      <c r="H366" s="230"/>
      <c r="I366" s="230"/>
      <c r="J366" s="230"/>
      <c r="K366" s="230"/>
      <c r="L366" s="230"/>
      <c r="M366" s="230"/>
      <c r="N366" s="230"/>
      <c r="O366" s="230"/>
      <c r="P366" s="230"/>
      <c r="Q366" s="230"/>
      <c r="R366" s="230"/>
      <c r="S366" s="230"/>
      <c r="T366" s="230"/>
      <c r="U366" s="230"/>
      <c r="V366" s="230"/>
      <c r="W366" s="230"/>
      <c r="X366" s="230"/>
      <c r="Y366" s="230"/>
      <c r="Z366" s="230"/>
    </row>
    <row r="367">
      <c r="A367" s="230"/>
      <c r="B367" s="230"/>
      <c r="C367" s="230"/>
      <c r="D367" s="230"/>
      <c r="E367" s="230"/>
      <c r="F367" s="230"/>
      <c r="G367" s="230"/>
      <c r="H367" s="230"/>
      <c r="I367" s="230"/>
      <c r="J367" s="230"/>
      <c r="K367" s="230"/>
      <c r="L367" s="230"/>
      <c r="M367" s="230"/>
      <c r="N367" s="230"/>
      <c r="O367" s="230"/>
      <c r="P367" s="230"/>
      <c r="Q367" s="230"/>
      <c r="R367" s="230"/>
      <c r="S367" s="230"/>
      <c r="T367" s="230"/>
      <c r="U367" s="230"/>
      <c r="V367" s="230"/>
      <c r="W367" s="230"/>
      <c r="X367" s="230"/>
      <c r="Y367" s="230"/>
      <c r="Z367" s="230"/>
    </row>
    <row r="368">
      <c r="A368" s="230"/>
      <c r="B368" s="230"/>
      <c r="C368" s="230"/>
      <c r="D368" s="230"/>
      <c r="E368" s="230"/>
      <c r="F368" s="230"/>
      <c r="G368" s="230"/>
      <c r="H368" s="230"/>
      <c r="I368" s="230"/>
      <c r="J368" s="230"/>
      <c r="K368" s="230"/>
      <c r="L368" s="230"/>
      <c r="M368" s="230"/>
      <c r="N368" s="230"/>
      <c r="O368" s="230"/>
      <c r="P368" s="230"/>
      <c r="Q368" s="230"/>
      <c r="R368" s="230"/>
      <c r="S368" s="230"/>
      <c r="T368" s="230"/>
      <c r="U368" s="230"/>
      <c r="V368" s="230"/>
      <c r="W368" s="230"/>
      <c r="X368" s="230"/>
      <c r="Y368" s="230"/>
      <c r="Z368" s="230"/>
    </row>
    <row r="369">
      <c r="A369" s="230"/>
      <c r="B369" s="230"/>
      <c r="C369" s="230"/>
      <c r="D369" s="230"/>
      <c r="E369" s="230"/>
      <c r="F369" s="230"/>
      <c r="G369" s="230"/>
      <c r="H369" s="230"/>
      <c r="I369" s="230"/>
      <c r="J369" s="230"/>
      <c r="K369" s="230"/>
      <c r="L369" s="230"/>
      <c r="M369" s="230"/>
      <c r="N369" s="230"/>
      <c r="O369" s="230"/>
      <c r="P369" s="230"/>
      <c r="Q369" s="230"/>
      <c r="R369" s="230"/>
      <c r="S369" s="230"/>
      <c r="T369" s="230"/>
      <c r="U369" s="230"/>
      <c r="V369" s="230"/>
      <c r="W369" s="230"/>
      <c r="X369" s="230"/>
      <c r="Y369" s="230"/>
      <c r="Z369" s="230"/>
    </row>
    <row r="370">
      <c r="A370" s="230"/>
      <c r="B370" s="230"/>
      <c r="C370" s="230"/>
      <c r="D370" s="230"/>
      <c r="E370" s="230"/>
      <c r="F370" s="230"/>
      <c r="G370" s="230"/>
      <c r="H370" s="230"/>
      <c r="I370" s="230"/>
      <c r="J370" s="230"/>
      <c r="K370" s="230"/>
      <c r="L370" s="230"/>
      <c r="M370" s="230"/>
      <c r="N370" s="230"/>
      <c r="O370" s="230"/>
      <c r="P370" s="230"/>
      <c r="Q370" s="230"/>
      <c r="R370" s="230"/>
      <c r="S370" s="230"/>
      <c r="T370" s="230"/>
      <c r="U370" s="230"/>
      <c r="V370" s="230"/>
      <c r="W370" s="230"/>
      <c r="X370" s="230"/>
      <c r="Y370" s="230"/>
      <c r="Z370" s="230"/>
    </row>
    <row r="371">
      <c r="A371" s="230"/>
      <c r="B371" s="230"/>
      <c r="C371" s="230"/>
      <c r="D371" s="230"/>
      <c r="E371" s="230"/>
      <c r="F371" s="230"/>
      <c r="G371" s="230"/>
      <c r="H371" s="230"/>
      <c r="I371" s="230"/>
      <c r="J371" s="230"/>
      <c r="K371" s="230"/>
      <c r="L371" s="230"/>
      <c r="M371" s="230"/>
      <c r="N371" s="230"/>
      <c r="O371" s="230"/>
      <c r="P371" s="230"/>
      <c r="Q371" s="230"/>
      <c r="R371" s="230"/>
      <c r="S371" s="230"/>
      <c r="T371" s="230"/>
      <c r="U371" s="230"/>
      <c r="V371" s="230"/>
      <c r="W371" s="230"/>
      <c r="X371" s="230"/>
      <c r="Y371" s="230"/>
      <c r="Z371" s="230"/>
    </row>
    <row r="372">
      <c r="A372" s="230"/>
      <c r="B372" s="230"/>
      <c r="C372" s="230"/>
      <c r="D372" s="230"/>
      <c r="E372" s="230"/>
      <c r="F372" s="230"/>
      <c r="G372" s="230"/>
      <c r="H372" s="230"/>
      <c r="I372" s="230"/>
      <c r="J372" s="230"/>
      <c r="K372" s="230"/>
      <c r="L372" s="230"/>
      <c r="M372" s="230"/>
      <c r="N372" s="230"/>
      <c r="O372" s="230"/>
      <c r="P372" s="230"/>
      <c r="Q372" s="230"/>
      <c r="R372" s="230"/>
      <c r="S372" s="230"/>
      <c r="T372" s="230"/>
      <c r="U372" s="230"/>
      <c r="V372" s="230"/>
      <c r="W372" s="230"/>
      <c r="X372" s="230"/>
      <c r="Y372" s="230"/>
      <c r="Z372" s="230"/>
    </row>
    <row r="373">
      <c r="A373" s="230"/>
      <c r="B373" s="230"/>
      <c r="C373" s="230"/>
      <c r="D373" s="230"/>
      <c r="E373" s="230"/>
      <c r="F373" s="230"/>
      <c r="G373" s="230"/>
      <c r="H373" s="230"/>
      <c r="I373" s="230"/>
      <c r="J373" s="230"/>
      <c r="K373" s="230"/>
      <c r="L373" s="230"/>
      <c r="M373" s="230"/>
      <c r="N373" s="230"/>
      <c r="O373" s="230"/>
      <c r="P373" s="230"/>
      <c r="Q373" s="230"/>
      <c r="R373" s="230"/>
      <c r="S373" s="230"/>
      <c r="T373" s="230"/>
      <c r="U373" s="230"/>
      <c r="V373" s="230"/>
      <c r="W373" s="230"/>
      <c r="X373" s="230"/>
      <c r="Y373" s="230"/>
      <c r="Z373" s="230"/>
    </row>
    <row r="374">
      <c r="A374" s="230"/>
      <c r="B374" s="230"/>
      <c r="C374" s="230"/>
      <c r="D374" s="230"/>
      <c r="E374" s="230"/>
      <c r="F374" s="230"/>
      <c r="G374" s="230"/>
      <c r="H374" s="230"/>
      <c r="I374" s="230"/>
      <c r="J374" s="230"/>
      <c r="K374" s="230"/>
      <c r="L374" s="230"/>
      <c r="M374" s="230"/>
      <c r="N374" s="230"/>
      <c r="O374" s="230"/>
      <c r="P374" s="230"/>
      <c r="Q374" s="230"/>
      <c r="R374" s="230"/>
      <c r="S374" s="230"/>
      <c r="T374" s="230"/>
      <c r="U374" s="230"/>
      <c r="V374" s="230"/>
      <c r="W374" s="230"/>
      <c r="X374" s="230"/>
      <c r="Y374" s="230"/>
      <c r="Z374" s="230"/>
    </row>
    <row r="375">
      <c r="A375" s="230"/>
      <c r="B375" s="230"/>
      <c r="C375" s="230"/>
      <c r="D375" s="230"/>
      <c r="E375" s="230"/>
      <c r="F375" s="230"/>
      <c r="G375" s="230"/>
      <c r="H375" s="230"/>
      <c r="I375" s="230"/>
      <c r="J375" s="230"/>
      <c r="K375" s="230"/>
      <c r="L375" s="230"/>
      <c r="M375" s="230"/>
      <c r="N375" s="230"/>
      <c r="O375" s="230"/>
      <c r="P375" s="230"/>
      <c r="Q375" s="230"/>
      <c r="R375" s="230"/>
      <c r="S375" s="230"/>
      <c r="T375" s="230"/>
      <c r="U375" s="230"/>
      <c r="V375" s="230"/>
      <c r="W375" s="230"/>
      <c r="X375" s="230"/>
      <c r="Y375" s="230"/>
      <c r="Z375" s="230"/>
    </row>
    <row r="376">
      <c r="A376" s="230"/>
      <c r="B376" s="230"/>
      <c r="C376" s="230"/>
      <c r="D376" s="230"/>
      <c r="E376" s="230"/>
      <c r="F376" s="230"/>
      <c r="G376" s="230"/>
      <c r="H376" s="230"/>
      <c r="I376" s="230"/>
      <c r="J376" s="230"/>
      <c r="K376" s="230"/>
      <c r="L376" s="230"/>
      <c r="M376" s="230"/>
      <c r="N376" s="230"/>
      <c r="O376" s="230"/>
      <c r="P376" s="230"/>
      <c r="Q376" s="230"/>
      <c r="R376" s="230"/>
      <c r="S376" s="230"/>
      <c r="T376" s="230"/>
      <c r="U376" s="230"/>
      <c r="V376" s="230"/>
      <c r="W376" s="230"/>
      <c r="X376" s="230"/>
      <c r="Y376" s="230"/>
      <c r="Z376" s="230"/>
    </row>
    <row r="377">
      <c r="A377" s="230"/>
      <c r="B377" s="230"/>
      <c r="C377" s="230"/>
      <c r="D377" s="230"/>
      <c r="E377" s="230"/>
      <c r="F377" s="230"/>
      <c r="G377" s="230"/>
      <c r="H377" s="230"/>
      <c r="I377" s="230"/>
      <c r="J377" s="230"/>
      <c r="K377" s="230"/>
      <c r="L377" s="230"/>
      <c r="M377" s="230"/>
      <c r="N377" s="230"/>
      <c r="O377" s="230"/>
      <c r="P377" s="230"/>
      <c r="Q377" s="230"/>
      <c r="R377" s="230"/>
      <c r="S377" s="230"/>
      <c r="T377" s="230"/>
      <c r="U377" s="230"/>
      <c r="V377" s="230"/>
      <c r="W377" s="230"/>
      <c r="X377" s="230"/>
      <c r="Y377" s="230"/>
      <c r="Z377" s="230"/>
    </row>
    <row r="378">
      <c r="A378" s="230"/>
      <c r="B378" s="230"/>
      <c r="C378" s="230"/>
      <c r="D378" s="230"/>
      <c r="E378" s="230"/>
      <c r="F378" s="230"/>
      <c r="G378" s="230"/>
      <c r="H378" s="230"/>
      <c r="I378" s="230"/>
      <c r="J378" s="230"/>
      <c r="K378" s="230"/>
      <c r="L378" s="230"/>
      <c r="M378" s="230"/>
      <c r="N378" s="230"/>
      <c r="O378" s="230"/>
      <c r="P378" s="230"/>
      <c r="Q378" s="230"/>
      <c r="R378" s="230"/>
      <c r="S378" s="230"/>
      <c r="T378" s="230"/>
      <c r="U378" s="230"/>
      <c r="V378" s="230"/>
      <c r="W378" s="230"/>
      <c r="X378" s="230"/>
      <c r="Y378" s="230"/>
      <c r="Z378" s="230"/>
    </row>
    <row r="379">
      <c r="A379" s="230"/>
      <c r="B379" s="230"/>
      <c r="C379" s="230"/>
      <c r="D379" s="230"/>
      <c r="E379" s="230"/>
      <c r="F379" s="230"/>
      <c r="G379" s="230"/>
      <c r="H379" s="230"/>
      <c r="I379" s="230"/>
      <c r="J379" s="230"/>
      <c r="K379" s="230"/>
      <c r="L379" s="230"/>
      <c r="M379" s="230"/>
      <c r="N379" s="230"/>
      <c r="O379" s="230"/>
      <c r="P379" s="230"/>
      <c r="Q379" s="230"/>
      <c r="R379" s="230"/>
      <c r="S379" s="230"/>
      <c r="T379" s="230"/>
      <c r="U379" s="230"/>
      <c r="V379" s="230"/>
      <c r="W379" s="230"/>
      <c r="X379" s="230"/>
      <c r="Y379" s="230"/>
      <c r="Z379" s="230"/>
    </row>
    <row r="380">
      <c r="A380" s="230"/>
      <c r="B380" s="230"/>
      <c r="C380" s="230"/>
      <c r="D380" s="230"/>
      <c r="E380" s="230"/>
      <c r="F380" s="230"/>
      <c r="G380" s="230"/>
      <c r="H380" s="230"/>
      <c r="I380" s="230"/>
      <c r="J380" s="230"/>
      <c r="K380" s="230"/>
      <c r="L380" s="230"/>
      <c r="M380" s="230"/>
      <c r="N380" s="230"/>
      <c r="O380" s="230"/>
      <c r="P380" s="230"/>
      <c r="Q380" s="230"/>
      <c r="R380" s="230"/>
      <c r="S380" s="230"/>
      <c r="T380" s="230"/>
      <c r="U380" s="230"/>
      <c r="V380" s="230"/>
      <c r="W380" s="230"/>
      <c r="X380" s="230"/>
      <c r="Y380" s="230"/>
      <c r="Z380" s="230"/>
    </row>
    <row r="381">
      <c r="A381" s="230"/>
      <c r="B381" s="230"/>
      <c r="C381" s="230"/>
      <c r="D381" s="230"/>
      <c r="E381" s="230"/>
      <c r="F381" s="230"/>
      <c r="G381" s="230"/>
      <c r="H381" s="230"/>
      <c r="I381" s="230"/>
      <c r="J381" s="230"/>
      <c r="K381" s="230"/>
      <c r="L381" s="230"/>
      <c r="M381" s="230"/>
      <c r="N381" s="230"/>
      <c r="O381" s="230"/>
      <c r="P381" s="230"/>
      <c r="Q381" s="230"/>
      <c r="R381" s="230"/>
      <c r="S381" s="230"/>
      <c r="T381" s="230"/>
      <c r="U381" s="230"/>
      <c r="V381" s="230"/>
      <c r="W381" s="230"/>
      <c r="X381" s="230"/>
      <c r="Y381" s="230"/>
      <c r="Z381" s="230"/>
    </row>
    <row r="382">
      <c r="A382" s="230"/>
      <c r="B382" s="230"/>
      <c r="C382" s="230"/>
      <c r="D382" s="230"/>
      <c r="E382" s="230"/>
      <c r="F382" s="230"/>
      <c r="G382" s="230"/>
      <c r="H382" s="230"/>
      <c r="I382" s="230"/>
      <c r="J382" s="230"/>
      <c r="K382" s="230"/>
      <c r="L382" s="230"/>
      <c r="M382" s="230"/>
      <c r="N382" s="230"/>
      <c r="O382" s="230"/>
      <c r="P382" s="230"/>
      <c r="Q382" s="230"/>
      <c r="R382" s="230"/>
      <c r="S382" s="230"/>
      <c r="T382" s="230"/>
      <c r="U382" s="230"/>
      <c r="V382" s="230"/>
      <c r="W382" s="230"/>
      <c r="X382" s="230"/>
      <c r="Y382" s="230"/>
      <c r="Z382" s="230"/>
    </row>
    <row r="383">
      <c r="A383" s="230"/>
      <c r="B383" s="230"/>
      <c r="C383" s="230"/>
      <c r="D383" s="230"/>
      <c r="E383" s="230"/>
      <c r="F383" s="230"/>
      <c r="G383" s="230"/>
      <c r="H383" s="230"/>
      <c r="I383" s="230"/>
      <c r="J383" s="230"/>
      <c r="K383" s="230"/>
      <c r="L383" s="230"/>
      <c r="M383" s="230"/>
      <c r="N383" s="230"/>
      <c r="O383" s="230"/>
      <c r="P383" s="230"/>
      <c r="Q383" s="230"/>
      <c r="R383" s="230"/>
      <c r="S383" s="230"/>
      <c r="T383" s="230"/>
      <c r="U383" s="230"/>
      <c r="V383" s="230"/>
      <c r="W383" s="230"/>
      <c r="X383" s="230"/>
      <c r="Y383" s="230"/>
      <c r="Z383" s="230"/>
    </row>
    <row r="384">
      <c r="A384" s="230"/>
      <c r="B384" s="230"/>
      <c r="C384" s="230"/>
      <c r="D384" s="230"/>
      <c r="E384" s="230"/>
      <c r="F384" s="230"/>
      <c r="G384" s="230"/>
      <c r="H384" s="230"/>
      <c r="I384" s="230"/>
      <c r="J384" s="230"/>
      <c r="K384" s="230"/>
      <c r="L384" s="230"/>
      <c r="M384" s="230"/>
      <c r="N384" s="230"/>
      <c r="O384" s="230"/>
      <c r="P384" s="230"/>
      <c r="Q384" s="230"/>
      <c r="R384" s="230"/>
      <c r="S384" s="230"/>
      <c r="T384" s="230"/>
      <c r="U384" s="230"/>
      <c r="V384" s="230"/>
      <c r="W384" s="230"/>
      <c r="X384" s="230"/>
      <c r="Y384" s="230"/>
      <c r="Z384" s="230"/>
    </row>
    <row r="385">
      <c r="A385" s="230"/>
      <c r="B385" s="230"/>
      <c r="C385" s="230"/>
      <c r="D385" s="230"/>
      <c r="E385" s="230"/>
      <c r="F385" s="230"/>
      <c r="G385" s="230"/>
      <c r="H385" s="230"/>
      <c r="I385" s="230"/>
      <c r="J385" s="230"/>
      <c r="K385" s="230"/>
      <c r="L385" s="230"/>
      <c r="M385" s="230"/>
      <c r="N385" s="230"/>
      <c r="O385" s="230"/>
      <c r="P385" s="230"/>
      <c r="Q385" s="230"/>
      <c r="R385" s="230"/>
      <c r="S385" s="230"/>
      <c r="T385" s="230"/>
      <c r="U385" s="230"/>
      <c r="V385" s="230"/>
      <c r="W385" s="230"/>
      <c r="X385" s="230"/>
      <c r="Y385" s="230"/>
      <c r="Z385" s="230"/>
    </row>
    <row r="386">
      <c r="A386" s="230"/>
      <c r="B386" s="230"/>
      <c r="C386" s="230"/>
      <c r="D386" s="230"/>
      <c r="E386" s="230"/>
      <c r="F386" s="230"/>
      <c r="G386" s="230"/>
      <c r="H386" s="230"/>
      <c r="I386" s="230"/>
      <c r="J386" s="230"/>
      <c r="K386" s="230"/>
      <c r="L386" s="230"/>
      <c r="M386" s="230"/>
      <c r="N386" s="230"/>
      <c r="O386" s="230"/>
      <c r="P386" s="230"/>
      <c r="Q386" s="230"/>
      <c r="R386" s="230"/>
      <c r="S386" s="230"/>
      <c r="T386" s="230"/>
      <c r="U386" s="230"/>
      <c r="V386" s="230"/>
      <c r="W386" s="230"/>
      <c r="X386" s="230"/>
      <c r="Y386" s="230"/>
      <c r="Z386" s="230"/>
    </row>
    <row r="387">
      <c r="A387" s="230"/>
      <c r="B387" s="230"/>
      <c r="C387" s="230"/>
      <c r="D387" s="230"/>
      <c r="E387" s="230"/>
      <c r="F387" s="230"/>
      <c r="G387" s="230"/>
      <c r="H387" s="230"/>
      <c r="I387" s="230"/>
      <c r="J387" s="230"/>
      <c r="K387" s="230"/>
      <c r="L387" s="230"/>
      <c r="M387" s="230"/>
      <c r="N387" s="230"/>
      <c r="O387" s="230"/>
      <c r="P387" s="230"/>
      <c r="Q387" s="230"/>
      <c r="R387" s="230"/>
      <c r="S387" s="230"/>
      <c r="T387" s="230"/>
      <c r="U387" s="230"/>
      <c r="V387" s="230"/>
      <c r="W387" s="230"/>
      <c r="X387" s="230"/>
      <c r="Y387" s="230"/>
      <c r="Z387" s="230"/>
    </row>
    <row r="388">
      <c r="A388" s="230"/>
      <c r="B388" s="230"/>
      <c r="C388" s="230"/>
      <c r="D388" s="230"/>
      <c r="E388" s="230"/>
      <c r="F388" s="230"/>
      <c r="G388" s="230"/>
      <c r="H388" s="230"/>
      <c r="I388" s="230"/>
      <c r="J388" s="230"/>
      <c r="K388" s="230"/>
      <c r="L388" s="230"/>
      <c r="M388" s="230"/>
      <c r="N388" s="230"/>
      <c r="O388" s="230"/>
      <c r="P388" s="230"/>
      <c r="Q388" s="230"/>
      <c r="R388" s="230"/>
      <c r="S388" s="230"/>
      <c r="T388" s="230"/>
      <c r="U388" s="230"/>
      <c r="V388" s="230"/>
      <c r="W388" s="230"/>
      <c r="X388" s="230"/>
      <c r="Y388" s="230"/>
      <c r="Z388" s="230"/>
    </row>
    <row r="389">
      <c r="A389" s="230"/>
      <c r="B389" s="230"/>
      <c r="C389" s="230"/>
      <c r="D389" s="230"/>
      <c r="E389" s="230"/>
      <c r="F389" s="230"/>
      <c r="G389" s="230"/>
      <c r="H389" s="230"/>
      <c r="I389" s="230"/>
      <c r="J389" s="230"/>
      <c r="K389" s="230"/>
      <c r="L389" s="230"/>
      <c r="M389" s="230"/>
      <c r="N389" s="230"/>
      <c r="O389" s="230"/>
      <c r="P389" s="230"/>
      <c r="Q389" s="230"/>
      <c r="R389" s="230"/>
      <c r="S389" s="230"/>
      <c r="T389" s="230"/>
      <c r="U389" s="230"/>
      <c r="V389" s="230"/>
      <c r="W389" s="230"/>
      <c r="X389" s="230"/>
      <c r="Y389" s="230"/>
      <c r="Z389" s="230"/>
    </row>
    <row r="390">
      <c r="A390" s="230"/>
      <c r="B390" s="230"/>
      <c r="C390" s="230"/>
      <c r="D390" s="230"/>
      <c r="E390" s="230"/>
      <c r="F390" s="230"/>
      <c r="G390" s="230"/>
      <c r="H390" s="230"/>
      <c r="I390" s="230"/>
      <c r="J390" s="230"/>
      <c r="K390" s="230"/>
      <c r="L390" s="230"/>
      <c r="M390" s="230"/>
      <c r="N390" s="230"/>
      <c r="O390" s="230"/>
      <c r="P390" s="230"/>
      <c r="Q390" s="230"/>
      <c r="R390" s="230"/>
      <c r="S390" s="230"/>
      <c r="T390" s="230"/>
      <c r="U390" s="230"/>
      <c r="V390" s="230"/>
      <c r="W390" s="230"/>
      <c r="X390" s="230"/>
      <c r="Y390" s="230"/>
      <c r="Z390" s="230"/>
    </row>
    <row r="391">
      <c r="A391" s="230"/>
      <c r="B391" s="230"/>
      <c r="C391" s="230"/>
      <c r="D391" s="230"/>
      <c r="E391" s="230"/>
      <c r="F391" s="230"/>
      <c r="G391" s="230"/>
      <c r="H391" s="230"/>
      <c r="I391" s="230"/>
      <c r="J391" s="230"/>
      <c r="K391" s="230"/>
      <c r="L391" s="230"/>
      <c r="M391" s="230"/>
      <c r="N391" s="230"/>
      <c r="O391" s="230"/>
      <c r="P391" s="230"/>
      <c r="Q391" s="230"/>
      <c r="R391" s="230"/>
      <c r="S391" s="230"/>
      <c r="T391" s="230"/>
      <c r="U391" s="230"/>
      <c r="V391" s="230"/>
      <c r="W391" s="230"/>
      <c r="X391" s="230"/>
      <c r="Y391" s="230"/>
      <c r="Z391" s="230"/>
    </row>
    <row r="392">
      <c r="A392" s="230"/>
      <c r="B392" s="230"/>
      <c r="C392" s="230"/>
      <c r="D392" s="230"/>
      <c r="E392" s="230"/>
      <c r="F392" s="230"/>
      <c r="G392" s="230"/>
      <c r="H392" s="230"/>
      <c r="I392" s="230"/>
      <c r="J392" s="230"/>
      <c r="K392" s="230"/>
      <c r="L392" s="230"/>
      <c r="M392" s="230"/>
      <c r="N392" s="230"/>
      <c r="O392" s="230"/>
      <c r="P392" s="230"/>
      <c r="Q392" s="230"/>
      <c r="R392" s="230"/>
      <c r="S392" s="230"/>
      <c r="T392" s="230"/>
      <c r="U392" s="230"/>
      <c r="V392" s="230"/>
      <c r="W392" s="230"/>
      <c r="X392" s="230"/>
      <c r="Y392" s="230"/>
      <c r="Z392" s="230"/>
    </row>
    <row r="393">
      <c r="A393" s="230"/>
      <c r="B393" s="230"/>
      <c r="C393" s="230"/>
      <c r="D393" s="230"/>
      <c r="E393" s="230"/>
      <c r="F393" s="230"/>
      <c r="G393" s="230"/>
      <c r="H393" s="230"/>
      <c r="I393" s="230"/>
      <c r="J393" s="230"/>
      <c r="K393" s="230"/>
      <c r="L393" s="230"/>
      <c r="M393" s="230"/>
      <c r="N393" s="230"/>
      <c r="O393" s="230"/>
      <c r="P393" s="230"/>
      <c r="Q393" s="230"/>
      <c r="R393" s="230"/>
      <c r="S393" s="230"/>
      <c r="T393" s="230"/>
      <c r="U393" s="230"/>
      <c r="V393" s="230"/>
      <c r="W393" s="230"/>
      <c r="X393" s="230"/>
      <c r="Y393" s="230"/>
      <c r="Z393" s="230"/>
    </row>
    <row r="394">
      <c r="A394" s="230"/>
      <c r="B394" s="230"/>
      <c r="C394" s="230"/>
      <c r="D394" s="230"/>
      <c r="E394" s="230"/>
      <c r="F394" s="230"/>
      <c r="G394" s="230"/>
      <c r="H394" s="230"/>
      <c r="I394" s="230"/>
      <c r="J394" s="230"/>
      <c r="K394" s="230"/>
      <c r="L394" s="230"/>
      <c r="M394" s="230"/>
      <c r="N394" s="230"/>
      <c r="O394" s="230"/>
      <c r="P394" s="230"/>
      <c r="Q394" s="230"/>
      <c r="R394" s="230"/>
      <c r="S394" s="230"/>
      <c r="T394" s="230"/>
      <c r="U394" s="230"/>
      <c r="V394" s="230"/>
      <c r="W394" s="230"/>
      <c r="X394" s="230"/>
      <c r="Y394" s="230"/>
      <c r="Z394" s="230"/>
    </row>
    <row r="395">
      <c r="A395" s="230"/>
      <c r="B395" s="230"/>
      <c r="C395" s="230"/>
      <c r="D395" s="230"/>
      <c r="E395" s="230"/>
      <c r="F395" s="230"/>
      <c r="G395" s="230"/>
      <c r="H395" s="230"/>
      <c r="I395" s="230"/>
      <c r="J395" s="230"/>
      <c r="K395" s="230"/>
      <c r="L395" s="230"/>
      <c r="M395" s="230"/>
      <c r="N395" s="230"/>
      <c r="O395" s="230"/>
      <c r="P395" s="230"/>
      <c r="Q395" s="230"/>
      <c r="R395" s="230"/>
      <c r="S395" s="230"/>
      <c r="T395" s="230"/>
      <c r="U395" s="230"/>
      <c r="V395" s="230"/>
      <c r="W395" s="230"/>
      <c r="X395" s="230"/>
      <c r="Y395" s="230"/>
      <c r="Z395" s="230"/>
    </row>
    <row r="396">
      <c r="A396" s="230"/>
      <c r="B396" s="230"/>
      <c r="C396" s="230"/>
      <c r="D396" s="230"/>
      <c r="E396" s="230"/>
      <c r="F396" s="230"/>
      <c r="G396" s="230"/>
      <c r="H396" s="230"/>
      <c r="I396" s="230"/>
      <c r="J396" s="230"/>
      <c r="K396" s="230"/>
      <c r="L396" s="230"/>
      <c r="M396" s="230"/>
      <c r="N396" s="230"/>
      <c r="O396" s="230"/>
      <c r="P396" s="230"/>
      <c r="Q396" s="230"/>
      <c r="R396" s="230"/>
      <c r="S396" s="230"/>
      <c r="T396" s="230"/>
      <c r="U396" s="230"/>
      <c r="V396" s="230"/>
      <c r="W396" s="230"/>
      <c r="X396" s="230"/>
      <c r="Y396" s="230"/>
      <c r="Z396" s="230"/>
    </row>
    <row r="397">
      <c r="A397" s="230"/>
      <c r="B397" s="230"/>
      <c r="C397" s="230"/>
      <c r="D397" s="230"/>
      <c r="E397" s="230"/>
      <c r="F397" s="230"/>
      <c r="G397" s="230"/>
      <c r="H397" s="230"/>
      <c r="I397" s="230"/>
      <c r="J397" s="230"/>
      <c r="K397" s="230"/>
      <c r="L397" s="230"/>
      <c r="M397" s="230"/>
      <c r="N397" s="230"/>
      <c r="O397" s="230"/>
      <c r="P397" s="230"/>
      <c r="Q397" s="230"/>
      <c r="R397" s="230"/>
      <c r="S397" s="230"/>
      <c r="T397" s="230"/>
      <c r="U397" s="230"/>
      <c r="V397" s="230"/>
      <c r="W397" s="230"/>
      <c r="X397" s="230"/>
      <c r="Y397" s="230"/>
      <c r="Z397" s="230"/>
    </row>
    <row r="398">
      <c r="A398" s="230"/>
      <c r="B398" s="230"/>
      <c r="C398" s="230"/>
      <c r="D398" s="230"/>
      <c r="E398" s="230"/>
      <c r="F398" s="230"/>
      <c r="G398" s="230"/>
      <c r="H398" s="230"/>
      <c r="I398" s="230"/>
      <c r="J398" s="230"/>
      <c r="K398" s="230"/>
      <c r="L398" s="230"/>
      <c r="M398" s="230"/>
      <c r="N398" s="230"/>
      <c r="O398" s="230"/>
      <c r="P398" s="230"/>
      <c r="Q398" s="230"/>
      <c r="R398" s="230"/>
      <c r="S398" s="230"/>
      <c r="T398" s="230"/>
      <c r="U398" s="230"/>
      <c r="V398" s="230"/>
      <c r="W398" s="230"/>
      <c r="X398" s="230"/>
      <c r="Y398" s="230"/>
      <c r="Z398" s="230"/>
    </row>
    <row r="399">
      <c r="A399" s="230"/>
      <c r="B399" s="230"/>
      <c r="C399" s="230"/>
      <c r="D399" s="230"/>
      <c r="E399" s="230"/>
      <c r="F399" s="230"/>
      <c r="G399" s="230"/>
      <c r="H399" s="230"/>
      <c r="I399" s="230"/>
      <c r="J399" s="230"/>
      <c r="K399" s="230"/>
      <c r="L399" s="230"/>
      <c r="M399" s="230"/>
      <c r="N399" s="230"/>
      <c r="O399" s="230"/>
      <c r="P399" s="230"/>
      <c r="Q399" s="230"/>
      <c r="R399" s="230"/>
      <c r="S399" s="230"/>
      <c r="T399" s="230"/>
      <c r="U399" s="230"/>
      <c r="V399" s="230"/>
      <c r="W399" s="230"/>
      <c r="X399" s="230"/>
      <c r="Y399" s="230"/>
      <c r="Z399" s="230"/>
    </row>
    <row r="400">
      <c r="A400" s="230"/>
      <c r="B400" s="230"/>
      <c r="C400" s="230"/>
      <c r="D400" s="230"/>
      <c r="E400" s="230"/>
      <c r="F400" s="230"/>
      <c r="G400" s="230"/>
      <c r="H400" s="230"/>
      <c r="I400" s="230"/>
      <c r="J400" s="230"/>
      <c r="K400" s="230"/>
      <c r="L400" s="230"/>
      <c r="M400" s="230"/>
      <c r="N400" s="230"/>
      <c r="O400" s="230"/>
      <c r="P400" s="230"/>
      <c r="Q400" s="230"/>
      <c r="R400" s="230"/>
      <c r="S400" s="230"/>
      <c r="T400" s="230"/>
      <c r="U400" s="230"/>
      <c r="V400" s="230"/>
      <c r="W400" s="230"/>
      <c r="X400" s="230"/>
      <c r="Y400" s="230"/>
      <c r="Z400" s="230"/>
    </row>
    <row r="401">
      <c r="A401" s="230"/>
      <c r="B401" s="230"/>
      <c r="C401" s="230"/>
      <c r="D401" s="230"/>
      <c r="E401" s="230"/>
      <c r="F401" s="230"/>
      <c r="G401" s="230"/>
      <c r="H401" s="230"/>
      <c r="I401" s="230"/>
      <c r="J401" s="230"/>
      <c r="K401" s="230"/>
      <c r="L401" s="230"/>
      <c r="M401" s="230"/>
      <c r="N401" s="230"/>
      <c r="O401" s="230"/>
      <c r="P401" s="230"/>
      <c r="Q401" s="230"/>
      <c r="R401" s="230"/>
      <c r="S401" s="230"/>
      <c r="T401" s="230"/>
      <c r="U401" s="230"/>
      <c r="V401" s="230"/>
      <c r="W401" s="230"/>
      <c r="X401" s="230"/>
      <c r="Y401" s="230"/>
      <c r="Z401" s="230"/>
    </row>
    <row r="402">
      <c r="A402" s="230"/>
      <c r="B402" s="230"/>
      <c r="C402" s="230"/>
      <c r="D402" s="230"/>
      <c r="E402" s="230"/>
      <c r="F402" s="230"/>
      <c r="G402" s="230"/>
      <c r="H402" s="230"/>
      <c r="I402" s="230"/>
      <c r="J402" s="230"/>
      <c r="K402" s="230"/>
      <c r="L402" s="230"/>
      <c r="M402" s="230"/>
      <c r="N402" s="230"/>
      <c r="O402" s="230"/>
      <c r="P402" s="230"/>
      <c r="Q402" s="230"/>
      <c r="R402" s="230"/>
      <c r="S402" s="230"/>
      <c r="T402" s="230"/>
      <c r="U402" s="230"/>
      <c r="V402" s="230"/>
      <c r="W402" s="230"/>
      <c r="X402" s="230"/>
      <c r="Y402" s="230"/>
      <c r="Z402" s="230"/>
    </row>
    <row r="403">
      <c r="A403" s="230"/>
      <c r="B403" s="230"/>
      <c r="C403" s="230"/>
      <c r="D403" s="230"/>
      <c r="E403" s="230"/>
      <c r="F403" s="230"/>
      <c r="G403" s="230"/>
      <c r="H403" s="230"/>
      <c r="I403" s="230"/>
      <c r="J403" s="230"/>
      <c r="K403" s="230"/>
      <c r="L403" s="230"/>
      <c r="M403" s="230"/>
      <c r="N403" s="230"/>
      <c r="O403" s="230"/>
      <c r="P403" s="230"/>
      <c r="Q403" s="230"/>
      <c r="R403" s="230"/>
      <c r="S403" s="230"/>
      <c r="T403" s="230"/>
      <c r="U403" s="230"/>
      <c r="V403" s="230"/>
      <c r="W403" s="230"/>
      <c r="X403" s="230"/>
      <c r="Y403" s="230"/>
      <c r="Z403" s="230"/>
    </row>
    <row r="404">
      <c r="A404" s="230"/>
      <c r="B404" s="230"/>
      <c r="C404" s="230"/>
      <c r="D404" s="230"/>
      <c r="E404" s="230"/>
      <c r="F404" s="230"/>
      <c r="G404" s="230"/>
      <c r="H404" s="230"/>
      <c r="I404" s="230"/>
      <c r="J404" s="230"/>
      <c r="K404" s="230"/>
      <c r="L404" s="230"/>
      <c r="M404" s="230"/>
      <c r="N404" s="230"/>
      <c r="O404" s="230"/>
      <c r="P404" s="230"/>
      <c r="Q404" s="230"/>
      <c r="R404" s="230"/>
      <c r="S404" s="230"/>
      <c r="T404" s="230"/>
      <c r="U404" s="230"/>
      <c r="V404" s="230"/>
      <c r="W404" s="230"/>
      <c r="X404" s="230"/>
      <c r="Y404" s="230"/>
      <c r="Z404" s="230"/>
    </row>
    <row r="405">
      <c r="A405" s="230"/>
      <c r="B405" s="230"/>
      <c r="C405" s="230"/>
      <c r="D405" s="230"/>
      <c r="E405" s="230"/>
      <c r="F405" s="230"/>
      <c r="G405" s="230"/>
      <c r="H405" s="230"/>
      <c r="I405" s="230"/>
      <c r="J405" s="230"/>
      <c r="K405" s="230"/>
      <c r="L405" s="230"/>
      <c r="M405" s="230"/>
      <c r="N405" s="230"/>
      <c r="O405" s="230"/>
      <c r="P405" s="230"/>
      <c r="Q405" s="230"/>
      <c r="R405" s="230"/>
      <c r="S405" s="230"/>
      <c r="T405" s="230"/>
      <c r="U405" s="230"/>
      <c r="V405" s="230"/>
      <c r="W405" s="230"/>
      <c r="X405" s="230"/>
      <c r="Y405" s="230"/>
      <c r="Z405" s="230"/>
    </row>
    <row r="406">
      <c r="A406" s="230"/>
      <c r="B406" s="230"/>
      <c r="C406" s="230"/>
      <c r="D406" s="230"/>
      <c r="E406" s="230"/>
      <c r="F406" s="230"/>
      <c r="G406" s="230"/>
      <c r="H406" s="230"/>
      <c r="I406" s="230"/>
      <c r="J406" s="230"/>
      <c r="K406" s="230"/>
      <c r="L406" s="230"/>
      <c r="M406" s="230"/>
      <c r="N406" s="230"/>
      <c r="O406" s="230"/>
      <c r="P406" s="230"/>
      <c r="Q406" s="230"/>
      <c r="R406" s="230"/>
      <c r="S406" s="230"/>
      <c r="T406" s="230"/>
      <c r="U406" s="230"/>
      <c r="V406" s="230"/>
      <c r="W406" s="230"/>
      <c r="X406" s="230"/>
      <c r="Y406" s="230"/>
      <c r="Z406" s="230"/>
    </row>
    <row r="407">
      <c r="A407" s="230"/>
      <c r="B407" s="230"/>
      <c r="C407" s="230"/>
      <c r="D407" s="230"/>
      <c r="E407" s="230"/>
      <c r="F407" s="230"/>
      <c r="G407" s="230"/>
      <c r="H407" s="230"/>
      <c r="I407" s="230"/>
      <c r="J407" s="230"/>
      <c r="K407" s="230"/>
      <c r="L407" s="230"/>
      <c r="M407" s="230"/>
      <c r="N407" s="230"/>
      <c r="O407" s="230"/>
      <c r="P407" s="230"/>
      <c r="Q407" s="230"/>
      <c r="R407" s="230"/>
      <c r="S407" s="230"/>
      <c r="T407" s="230"/>
      <c r="U407" s="230"/>
      <c r="V407" s="230"/>
      <c r="W407" s="230"/>
      <c r="X407" s="230"/>
      <c r="Y407" s="230"/>
      <c r="Z407" s="230"/>
    </row>
    <row r="408">
      <c r="A408" s="230"/>
      <c r="B408" s="230"/>
      <c r="C408" s="230"/>
      <c r="D408" s="230"/>
      <c r="E408" s="230"/>
      <c r="F408" s="230"/>
      <c r="G408" s="230"/>
      <c r="H408" s="230"/>
      <c r="I408" s="230"/>
      <c r="J408" s="230"/>
      <c r="K408" s="230"/>
      <c r="L408" s="230"/>
      <c r="M408" s="230"/>
      <c r="N408" s="230"/>
      <c r="O408" s="230"/>
      <c r="P408" s="230"/>
      <c r="Q408" s="230"/>
      <c r="R408" s="230"/>
      <c r="S408" s="230"/>
      <c r="T408" s="230"/>
      <c r="U408" s="230"/>
      <c r="V408" s="230"/>
      <c r="W408" s="230"/>
      <c r="X408" s="230"/>
      <c r="Y408" s="230"/>
      <c r="Z408" s="230"/>
    </row>
    <row r="409">
      <c r="A409" s="230"/>
      <c r="B409" s="230"/>
      <c r="C409" s="230"/>
      <c r="D409" s="230"/>
      <c r="E409" s="230"/>
      <c r="F409" s="230"/>
      <c r="G409" s="230"/>
      <c r="H409" s="230"/>
      <c r="I409" s="230"/>
      <c r="J409" s="230"/>
      <c r="K409" s="230"/>
      <c r="L409" s="230"/>
      <c r="M409" s="230"/>
      <c r="N409" s="230"/>
      <c r="O409" s="230"/>
      <c r="P409" s="230"/>
      <c r="Q409" s="230"/>
      <c r="R409" s="230"/>
      <c r="S409" s="230"/>
      <c r="T409" s="230"/>
      <c r="U409" s="230"/>
      <c r="V409" s="230"/>
      <c r="W409" s="230"/>
      <c r="X409" s="230"/>
      <c r="Y409" s="230"/>
      <c r="Z409" s="230"/>
    </row>
    <row r="410">
      <c r="A410" s="230"/>
      <c r="B410" s="230"/>
      <c r="C410" s="230"/>
      <c r="D410" s="230"/>
      <c r="E410" s="230"/>
      <c r="F410" s="230"/>
      <c r="G410" s="230"/>
      <c r="H410" s="230"/>
      <c r="I410" s="230"/>
      <c r="J410" s="230"/>
      <c r="K410" s="230"/>
      <c r="L410" s="230"/>
      <c r="M410" s="230"/>
      <c r="N410" s="230"/>
      <c r="O410" s="230"/>
      <c r="P410" s="230"/>
      <c r="Q410" s="230"/>
      <c r="R410" s="230"/>
      <c r="S410" s="230"/>
      <c r="T410" s="230"/>
      <c r="U410" s="230"/>
      <c r="V410" s="230"/>
      <c r="W410" s="230"/>
      <c r="X410" s="230"/>
      <c r="Y410" s="230"/>
      <c r="Z410" s="230"/>
    </row>
    <row r="411">
      <c r="A411" s="230"/>
      <c r="B411" s="230"/>
      <c r="C411" s="230"/>
      <c r="D411" s="230"/>
      <c r="E411" s="230"/>
      <c r="F411" s="230"/>
      <c r="G411" s="230"/>
      <c r="H411" s="230"/>
      <c r="I411" s="230"/>
      <c r="J411" s="230"/>
      <c r="K411" s="230"/>
      <c r="L411" s="230"/>
      <c r="M411" s="230"/>
      <c r="N411" s="230"/>
      <c r="O411" s="230"/>
      <c r="P411" s="230"/>
      <c r="Q411" s="230"/>
      <c r="R411" s="230"/>
      <c r="S411" s="230"/>
      <c r="T411" s="230"/>
      <c r="U411" s="230"/>
      <c r="V411" s="230"/>
      <c r="W411" s="230"/>
      <c r="X411" s="230"/>
      <c r="Y411" s="230"/>
      <c r="Z411" s="230"/>
    </row>
    <row r="412">
      <c r="A412" s="230"/>
      <c r="B412" s="230"/>
      <c r="C412" s="230"/>
      <c r="D412" s="230"/>
      <c r="E412" s="230"/>
      <c r="F412" s="230"/>
      <c r="G412" s="230"/>
      <c r="H412" s="230"/>
      <c r="I412" s="230"/>
      <c r="J412" s="230"/>
      <c r="K412" s="230"/>
      <c r="L412" s="230"/>
      <c r="M412" s="230"/>
      <c r="N412" s="230"/>
      <c r="O412" s="230"/>
      <c r="P412" s="230"/>
      <c r="Q412" s="230"/>
      <c r="R412" s="230"/>
      <c r="S412" s="230"/>
      <c r="T412" s="230"/>
      <c r="U412" s="230"/>
      <c r="V412" s="230"/>
      <c r="W412" s="230"/>
      <c r="X412" s="230"/>
      <c r="Y412" s="230"/>
      <c r="Z412" s="230"/>
    </row>
    <row r="413">
      <c r="A413" s="230"/>
      <c r="B413" s="230"/>
      <c r="C413" s="230"/>
      <c r="D413" s="230"/>
      <c r="E413" s="230"/>
      <c r="F413" s="230"/>
      <c r="G413" s="230"/>
      <c r="H413" s="230"/>
      <c r="I413" s="230"/>
      <c r="J413" s="230"/>
      <c r="K413" s="230"/>
      <c r="L413" s="230"/>
      <c r="M413" s="230"/>
      <c r="N413" s="230"/>
      <c r="O413" s="230"/>
      <c r="P413" s="230"/>
      <c r="Q413" s="230"/>
      <c r="R413" s="230"/>
      <c r="S413" s="230"/>
      <c r="T413" s="230"/>
      <c r="U413" s="230"/>
      <c r="V413" s="230"/>
      <c r="W413" s="230"/>
      <c r="X413" s="230"/>
      <c r="Y413" s="230"/>
      <c r="Z413" s="230"/>
    </row>
    <row r="414">
      <c r="A414" s="230"/>
      <c r="B414" s="230"/>
      <c r="C414" s="230"/>
      <c r="D414" s="230"/>
      <c r="E414" s="230"/>
      <c r="F414" s="230"/>
      <c r="G414" s="230"/>
      <c r="H414" s="230"/>
      <c r="I414" s="230"/>
      <c r="J414" s="230"/>
      <c r="K414" s="230"/>
      <c r="L414" s="230"/>
      <c r="M414" s="230"/>
      <c r="N414" s="230"/>
      <c r="O414" s="230"/>
      <c r="P414" s="230"/>
      <c r="Q414" s="230"/>
      <c r="R414" s="230"/>
      <c r="S414" s="230"/>
      <c r="T414" s="230"/>
      <c r="U414" s="230"/>
      <c r="V414" s="230"/>
      <c r="W414" s="230"/>
      <c r="X414" s="230"/>
      <c r="Y414" s="230"/>
      <c r="Z414" s="230"/>
    </row>
    <row r="415">
      <c r="A415" s="230"/>
      <c r="B415" s="230"/>
      <c r="C415" s="230"/>
      <c r="D415" s="230"/>
      <c r="E415" s="230"/>
      <c r="F415" s="230"/>
      <c r="G415" s="230"/>
      <c r="H415" s="230"/>
      <c r="I415" s="230"/>
      <c r="J415" s="230"/>
      <c r="K415" s="230"/>
      <c r="L415" s="230"/>
      <c r="M415" s="230"/>
      <c r="N415" s="230"/>
      <c r="O415" s="230"/>
      <c r="P415" s="230"/>
      <c r="Q415" s="230"/>
      <c r="R415" s="230"/>
      <c r="S415" s="230"/>
      <c r="T415" s="230"/>
      <c r="U415" s="230"/>
      <c r="V415" s="230"/>
      <c r="W415" s="230"/>
      <c r="X415" s="230"/>
      <c r="Y415" s="230"/>
      <c r="Z415" s="230"/>
    </row>
    <row r="416">
      <c r="A416" s="230"/>
      <c r="B416" s="230"/>
      <c r="C416" s="230"/>
      <c r="D416" s="230"/>
      <c r="E416" s="230"/>
      <c r="F416" s="230"/>
      <c r="G416" s="230"/>
      <c r="H416" s="230"/>
      <c r="I416" s="230"/>
      <c r="J416" s="230"/>
      <c r="K416" s="230"/>
      <c r="L416" s="230"/>
      <c r="M416" s="230"/>
      <c r="N416" s="230"/>
      <c r="O416" s="230"/>
      <c r="P416" s="230"/>
      <c r="Q416" s="230"/>
      <c r="R416" s="230"/>
      <c r="S416" s="230"/>
      <c r="T416" s="230"/>
      <c r="U416" s="230"/>
      <c r="V416" s="230"/>
      <c r="W416" s="230"/>
      <c r="X416" s="230"/>
      <c r="Y416" s="230"/>
      <c r="Z416" s="230"/>
    </row>
    <row r="417">
      <c r="A417" s="230"/>
      <c r="B417" s="230"/>
      <c r="C417" s="230"/>
      <c r="D417" s="230"/>
      <c r="E417" s="230"/>
      <c r="F417" s="230"/>
      <c r="G417" s="230"/>
      <c r="H417" s="230"/>
      <c r="I417" s="230"/>
      <c r="J417" s="230"/>
      <c r="K417" s="230"/>
      <c r="L417" s="230"/>
      <c r="M417" s="230"/>
      <c r="N417" s="230"/>
      <c r="O417" s="230"/>
      <c r="P417" s="230"/>
      <c r="Q417" s="230"/>
      <c r="R417" s="230"/>
      <c r="S417" s="230"/>
      <c r="T417" s="230"/>
      <c r="U417" s="230"/>
      <c r="V417" s="230"/>
      <c r="W417" s="230"/>
      <c r="X417" s="230"/>
      <c r="Y417" s="230"/>
      <c r="Z417" s="230"/>
    </row>
    <row r="418">
      <c r="A418" s="230"/>
      <c r="B418" s="230"/>
      <c r="C418" s="230"/>
      <c r="D418" s="230"/>
      <c r="E418" s="230"/>
      <c r="F418" s="230"/>
      <c r="G418" s="230"/>
      <c r="H418" s="230"/>
      <c r="I418" s="230"/>
      <c r="J418" s="230"/>
      <c r="K418" s="230"/>
      <c r="L418" s="230"/>
      <c r="M418" s="230"/>
      <c r="N418" s="230"/>
      <c r="O418" s="230"/>
      <c r="P418" s="230"/>
      <c r="Q418" s="230"/>
      <c r="R418" s="230"/>
      <c r="S418" s="230"/>
      <c r="T418" s="230"/>
      <c r="U418" s="230"/>
      <c r="V418" s="230"/>
      <c r="W418" s="230"/>
      <c r="X418" s="230"/>
      <c r="Y418" s="230"/>
      <c r="Z418" s="230"/>
    </row>
    <row r="419">
      <c r="A419" s="230"/>
      <c r="B419" s="230"/>
      <c r="C419" s="230"/>
      <c r="D419" s="230"/>
      <c r="E419" s="230"/>
      <c r="F419" s="230"/>
      <c r="G419" s="230"/>
      <c r="H419" s="230"/>
      <c r="I419" s="230"/>
      <c r="J419" s="230"/>
      <c r="K419" s="230"/>
      <c r="L419" s="230"/>
      <c r="M419" s="230"/>
      <c r="N419" s="230"/>
      <c r="O419" s="230"/>
      <c r="P419" s="230"/>
      <c r="Q419" s="230"/>
      <c r="R419" s="230"/>
      <c r="S419" s="230"/>
      <c r="T419" s="230"/>
      <c r="U419" s="230"/>
      <c r="V419" s="230"/>
      <c r="W419" s="230"/>
      <c r="X419" s="230"/>
      <c r="Y419" s="230"/>
      <c r="Z419" s="230"/>
    </row>
    <row r="420">
      <c r="A420" s="230"/>
      <c r="B420" s="230"/>
      <c r="C420" s="230"/>
      <c r="D420" s="230"/>
      <c r="E420" s="230"/>
      <c r="F420" s="230"/>
      <c r="G420" s="230"/>
      <c r="H420" s="230"/>
      <c r="I420" s="230"/>
      <c r="J420" s="230"/>
      <c r="K420" s="230"/>
      <c r="L420" s="230"/>
      <c r="M420" s="230"/>
      <c r="N420" s="230"/>
      <c r="O420" s="230"/>
      <c r="P420" s="230"/>
      <c r="Q420" s="230"/>
      <c r="R420" s="230"/>
      <c r="S420" s="230"/>
      <c r="T420" s="230"/>
      <c r="U420" s="230"/>
      <c r="V420" s="230"/>
      <c r="W420" s="230"/>
      <c r="X420" s="230"/>
      <c r="Y420" s="230"/>
      <c r="Z420" s="230"/>
    </row>
    <row r="421">
      <c r="A421" s="230"/>
      <c r="B421" s="230"/>
      <c r="C421" s="230"/>
      <c r="D421" s="230"/>
      <c r="E421" s="230"/>
      <c r="F421" s="230"/>
      <c r="G421" s="230"/>
      <c r="H421" s="230"/>
      <c r="I421" s="230"/>
      <c r="J421" s="230"/>
      <c r="K421" s="230"/>
      <c r="L421" s="230"/>
      <c r="M421" s="230"/>
      <c r="N421" s="230"/>
      <c r="O421" s="230"/>
      <c r="P421" s="230"/>
      <c r="Q421" s="230"/>
      <c r="R421" s="230"/>
      <c r="S421" s="230"/>
      <c r="T421" s="230"/>
      <c r="U421" s="230"/>
      <c r="V421" s="230"/>
      <c r="W421" s="230"/>
      <c r="X421" s="230"/>
      <c r="Y421" s="230"/>
      <c r="Z421" s="230"/>
    </row>
    <row r="422">
      <c r="A422" s="230"/>
      <c r="B422" s="230"/>
      <c r="C422" s="230"/>
      <c r="D422" s="230"/>
      <c r="E422" s="230"/>
      <c r="F422" s="230"/>
      <c r="G422" s="230"/>
      <c r="H422" s="230"/>
      <c r="I422" s="230"/>
      <c r="J422" s="230"/>
      <c r="K422" s="230"/>
      <c r="L422" s="230"/>
      <c r="M422" s="230"/>
      <c r="N422" s="230"/>
      <c r="O422" s="230"/>
      <c r="P422" s="230"/>
      <c r="Q422" s="230"/>
      <c r="R422" s="230"/>
      <c r="S422" s="230"/>
      <c r="T422" s="230"/>
      <c r="U422" s="230"/>
      <c r="V422" s="230"/>
      <c r="W422" s="230"/>
      <c r="X422" s="230"/>
      <c r="Y422" s="230"/>
      <c r="Z422" s="230"/>
    </row>
    <row r="423">
      <c r="A423" s="230"/>
      <c r="B423" s="230"/>
      <c r="C423" s="230"/>
      <c r="D423" s="230"/>
      <c r="E423" s="230"/>
      <c r="F423" s="230"/>
      <c r="G423" s="230"/>
      <c r="H423" s="230"/>
      <c r="I423" s="230"/>
      <c r="J423" s="230"/>
      <c r="K423" s="230"/>
      <c r="L423" s="230"/>
      <c r="M423" s="230"/>
      <c r="N423" s="230"/>
      <c r="O423" s="230"/>
      <c r="P423" s="230"/>
      <c r="Q423" s="230"/>
      <c r="R423" s="230"/>
      <c r="S423" s="230"/>
      <c r="T423" s="230"/>
      <c r="U423" s="230"/>
      <c r="V423" s="230"/>
      <c r="W423" s="230"/>
      <c r="X423" s="230"/>
      <c r="Y423" s="230"/>
      <c r="Z423" s="230"/>
    </row>
    <row r="424">
      <c r="A424" s="230"/>
      <c r="B424" s="230"/>
      <c r="C424" s="230"/>
      <c r="D424" s="230"/>
      <c r="E424" s="230"/>
      <c r="F424" s="230"/>
      <c r="G424" s="230"/>
      <c r="H424" s="230"/>
      <c r="I424" s="230"/>
      <c r="J424" s="230"/>
      <c r="K424" s="230"/>
      <c r="L424" s="230"/>
      <c r="M424" s="230"/>
      <c r="N424" s="230"/>
      <c r="O424" s="230"/>
      <c r="P424" s="230"/>
      <c r="Q424" s="230"/>
      <c r="R424" s="230"/>
      <c r="S424" s="230"/>
      <c r="T424" s="230"/>
      <c r="U424" s="230"/>
      <c r="V424" s="230"/>
      <c r="W424" s="230"/>
      <c r="X424" s="230"/>
      <c r="Y424" s="230"/>
      <c r="Z424" s="230"/>
    </row>
    <row r="425">
      <c r="A425" s="230"/>
      <c r="B425" s="230"/>
      <c r="C425" s="230"/>
      <c r="D425" s="230"/>
      <c r="E425" s="230"/>
      <c r="F425" s="230"/>
      <c r="G425" s="230"/>
      <c r="H425" s="230"/>
      <c r="I425" s="230"/>
      <c r="J425" s="230"/>
      <c r="K425" s="230"/>
      <c r="L425" s="230"/>
      <c r="M425" s="230"/>
      <c r="N425" s="230"/>
      <c r="O425" s="230"/>
      <c r="P425" s="230"/>
      <c r="Q425" s="230"/>
      <c r="R425" s="230"/>
      <c r="S425" s="230"/>
      <c r="T425" s="230"/>
      <c r="U425" s="230"/>
      <c r="V425" s="230"/>
      <c r="W425" s="230"/>
      <c r="X425" s="230"/>
      <c r="Y425" s="230"/>
      <c r="Z425" s="230"/>
    </row>
    <row r="426">
      <c r="A426" s="230"/>
      <c r="B426" s="230"/>
      <c r="C426" s="230"/>
      <c r="D426" s="230"/>
      <c r="E426" s="230"/>
      <c r="F426" s="230"/>
      <c r="G426" s="230"/>
      <c r="H426" s="230"/>
      <c r="I426" s="230"/>
      <c r="J426" s="230"/>
      <c r="K426" s="230"/>
      <c r="L426" s="230"/>
      <c r="M426" s="230"/>
      <c r="N426" s="230"/>
      <c r="O426" s="230"/>
      <c r="P426" s="230"/>
      <c r="Q426" s="230"/>
      <c r="R426" s="230"/>
      <c r="S426" s="230"/>
      <c r="T426" s="230"/>
      <c r="U426" s="230"/>
      <c r="V426" s="230"/>
      <c r="W426" s="230"/>
      <c r="X426" s="230"/>
      <c r="Y426" s="230"/>
      <c r="Z426" s="230"/>
    </row>
    <row r="427">
      <c r="A427" s="230"/>
      <c r="B427" s="230"/>
      <c r="C427" s="230"/>
      <c r="D427" s="230"/>
      <c r="E427" s="230"/>
      <c r="F427" s="230"/>
      <c r="G427" s="230"/>
      <c r="H427" s="230"/>
      <c r="I427" s="230"/>
      <c r="J427" s="230"/>
      <c r="K427" s="230"/>
      <c r="L427" s="230"/>
      <c r="M427" s="230"/>
      <c r="N427" s="230"/>
      <c r="O427" s="230"/>
      <c r="P427" s="230"/>
      <c r="Q427" s="230"/>
      <c r="R427" s="230"/>
      <c r="S427" s="230"/>
      <c r="T427" s="230"/>
      <c r="U427" s="230"/>
      <c r="V427" s="230"/>
      <c r="W427" s="230"/>
      <c r="X427" s="230"/>
      <c r="Y427" s="230"/>
      <c r="Z427" s="230"/>
    </row>
    <row r="428">
      <c r="A428" s="230"/>
      <c r="B428" s="230"/>
      <c r="C428" s="230"/>
      <c r="D428" s="230"/>
      <c r="E428" s="230"/>
      <c r="F428" s="230"/>
      <c r="G428" s="230"/>
      <c r="H428" s="230"/>
      <c r="I428" s="230"/>
      <c r="J428" s="230"/>
      <c r="K428" s="230"/>
      <c r="L428" s="230"/>
      <c r="M428" s="230"/>
      <c r="N428" s="230"/>
      <c r="O428" s="230"/>
      <c r="P428" s="230"/>
      <c r="Q428" s="230"/>
      <c r="R428" s="230"/>
      <c r="S428" s="230"/>
      <c r="T428" s="230"/>
      <c r="U428" s="230"/>
      <c r="V428" s="230"/>
      <c r="W428" s="230"/>
      <c r="X428" s="230"/>
      <c r="Y428" s="230"/>
      <c r="Z428" s="230"/>
    </row>
    <row r="429">
      <c r="A429" s="230"/>
      <c r="B429" s="230"/>
      <c r="C429" s="230"/>
      <c r="D429" s="230"/>
      <c r="E429" s="230"/>
      <c r="F429" s="230"/>
      <c r="G429" s="230"/>
      <c r="H429" s="230"/>
      <c r="I429" s="230"/>
      <c r="J429" s="230"/>
      <c r="K429" s="230"/>
      <c r="L429" s="230"/>
      <c r="M429" s="230"/>
      <c r="N429" s="230"/>
      <c r="O429" s="230"/>
      <c r="P429" s="230"/>
      <c r="Q429" s="230"/>
      <c r="R429" s="230"/>
      <c r="S429" s="230"/>
      <c r="T429" s="230"/>
      <c r="U429" s="230"/>
      <c r="V429" s="230"/>
      <c r="W429" s="230"/>
      <c r="X429" s="230"/>
      <c r="Y429" s="230"/>
      <c r="Z429" s="230"/>
    </row>
    <row r="430">
      <c r="A430" s="230"/>
      <c r="B430" s="230"/>
      <c r="C430" s="230"/>
      <c r="D430" s="230"/>
      <c r="E430" s="230"/>
      <c r="F430" s="230"/>
      <c r="G430" s="230"/>
      <c r="H430" s="230"/>
      <c r="I430" s="230"/>
      <c r="J430" s="230"/>
      <c r="K430" s="230"/>
      <c r="L430" s="230"/>
      <c r="M430" s="230"/>
      <c r="N430" s="230"/>
      <c r="O430" s="230"/>
      <c r="P430" s="230"/>
      <c r="Q430" s="230"/>
      <c r="R430" s="230"/>
      <c r="S430" s="230"/>
      <c r="T430" s="230"/>
      <c r="U430" s="230"/>
      <c r="V430" s="230"/>
      <c r="W430" s="230"/>
      <c r="X430" s="230"/>
      <c r="Y430" s="230"/>
      <c r="Z430" s="230"/>
    </row>
    <row r="431">
      <c r="A431" s="230"/>
      <c r="B431" s="230"/>
      <c r="C431" s="230"/>
      <c r="D431" s="230"/>
      <c r="E431" s="230"/>
      <c r="F431" s="230"/>
      <c r="G431" s="230"/>
      <c r="H431" s="230"/>
      <c r="I431" s="230"/>
      <c r="J431" s="230"/>
      <c r="K431" s="230"/>
      <c r="L431" s="230"/>
      <c r="M431" s="230"/>
      <c r="N431" s="230"/>
      <c r="O431" s="230"/>
      <c r="P431" s="230"/>
      <c r="Q431" s="230"/>
      <c r="R431" s="230"/>
      <c r="S431" s="230"/>
      <c r="T431" s="230"/>
      <c r="U431" s="230"/>
      <c r="V431" s="230"/>
      <c r="W431" s="230"/>
      <c r="X431" s="230"/>
      <c r="Y431" s="230"/>
      <c r="Z431" s="230"/>
    </row>
    <row r="432">
      <c r="A432" s="230"/>
      <c r="B432" s="230"/>
      <c r="C432" s="230"/>
      <c r="D432" s="230"/>
      <c r="E432" s="230"/>
      <c r="F432" s="230"/>
      <c r="G432" s="230"/>
      <c r="H432" s="230"/>
      <c r="I432" s="230"/>
      <c r="J432" s="230"/>
      <c r="K432" s="230"/>
      <c r="L432" s="230"/>
      <c r="M432" s="230"/>
      <c r="N432" s="230"/>
      <c r="O432" s="230"/>
      <c r="P432" s="230"/>
      <c r="Q432" s="230"/>
      <c r="R432" s="230"/>
      <c r="S432" s="230"/>
      <c r="T432" s="230"/>
      <c r="U432" s="230"/>
      <c r="V432" s="230"/>
      <c r="W432" s="230"/>
      <c r="X432" s="230"/>
      <c r="Y432" s="230"/>
      <c r="Z432" s="230"/>
    </row>
    <row r="433">
      <c r="A433" s="230"/>
      <c r="B433" s="230"/>
      <c r="C433" s="230"/>
      <c r="D433" s="230"/>
      <c r="E433" s="230"/>
      <c r="F433" s="230"/>
      <c r="G433" s="230"/>
      <c r="H433" s="230"/>
      <c r="I433" s="230"/>
      <c r="J433" s="230"/>
      <c r="K433" s="230"/>
      <c r="L433" s="230"/>
      <c r="M433" s="230"/>
      <c r="N433" s="230"/>
      <c r="O433" s="230"/>
      <c r="P433" s="230"/>
      <c r="Q433" s="230"/>
      <c r="R433" s="230"/>
      <c r="S433" s="230"/>
      <c r="T433" s="230"/>
      <c r="U433" s="230"/>
      <c r="V433" s="230"/>
      <c r="W433" s="230"/>
      <c r="X433" s="230"/>
      <c r="Y433" s="230"/>
      <c r="Z433" s="230"/>
    </row>
    <row r="434">
      <c r="A434" s="230"/>
      <c r="B434" s="230"/>
      <c r="C434" s="230"/>
      <c r="D434" s="230"/>
      <c r="E434" s="230"/>
      <c r="F434" s="230"/>
      <c r="G434" s="230"/>
      <c r="H434" s="230"/>
      <c r="I434" s="230"/>
      <c r="J434" s="230"/>
      <c r="K434" s="230"/>
      <c r="L434" s="230"/>
      <c r="M434" s="230"/>
      <c r="N434" s="230"/>
      <c r="O434" s="230"/>
      <c r="P434" s="230"/>
      <c r="Q434" s="230"/>
      <c r="R434" s="230"/>
      <c r="S434" s="230"/>
      <c r="T434" s="230"/>
      <c r="U434" s="230"/>
      <c r="V434" s="230"/>
      <c r="W434" s="230"/>
      <c r="X434" s="230"/>
      <c r="Y434" s="230"/>
      <c r="Z434" s="230"/>
    </row>
    <row r="435">
      <c r="A435" s="230"/>
      <c r="B435" s="230"/>
      <c r="C435" s="230"/>
      <c r="D435" s="230"/>
      <c r="E435" s="230"/>
      <c r="F435" s="230"/>
      <c r="G435" s="230"/>
      <c r="H435" s="230"/>
      <c r="I435" s="230"/>
      <c r="J435" s="230"/>
      <c r="K435" s="230"/>
      <c r="L435" s="230"/>
      <c r="M435" s="230"/>
      <c r="N435" s="230"/>
      <c r="O435" s="230"/>
      <c r="P435" s="230"/>
      <c r="Q435" s="230"/>
      <c r="R435" s="230"/>
      <c r="S435" s="230"/>
      <c r="T435" s="230"/>
      <c r="U435" s="230"/>
      <c r="V435" s="230"/>
      <c r="W435" s="230"/>
      <c r="X435" s="230"/>
      <c r="Y435" s="230"/>
      <c r="Z435" s="230"/>
    </row>
    <row r="436">
      <c r="A436" s="230"/>
      <c r="B436" s="230"/>
      <c r="C436" s="230"/>
      <c r="D436" s="230"/>
      <c r="E436" s="230"/>
      <c r="F436" s="230"/>
      <c r="G436" s="230"/>
      <c r="H436" s="230"/>
      <c r="I436" s="230"/>
      <c r="J436" s="230"/>
      <c r="K436" s="230"/>
      <c r="L436" s="230"/>
      <c r="M436" s="230"/>
      <c r="N436" s="230"/>
      <c r="O436" s="230"/>
      <c r="P436" s="230"/>
      <c r="Q436" s="230"/>
      <c r="R436" s="230"/>
      <c r="S436" s="230"/>
      <c r="T436" s="230"/>
      <c r="U436" s="230"/>
      <c r="V436" s="230"/>
      <c r="W436" s="230"/>
      <c r="X436" s="230"/>
      <c r="Y436" s="230"/>
      <c r="Z436" s="230"/>
    </row>
    <row r="437">
      <c r="A437" s="230"/>
      <c r="B437" s="230"/>
      <c r="C437" s="230"/>
      <c r="D437" s="230"/>
      <c r="E437" s="230"/>
      <c r="F437" s="230"/>
      <c r="G437" s="230"/>
      <c r="H437" s="230"/>
      <c r="I437" s="230"/>
      <c r="J437" s="230"/>
      <c r="K437" s="230"/>
      <c r="L437" s="230"/>
      <c r="M437" s="230"/>
      <c r="N437" s="230"/>
      <c r="O437" s="230"/>
      <c r="P437" s="230"/>
      <c r="Q437" s="230"/>
      <c r="R437" s="230"/>
      <c r="S437" s="230"/>
      <c r="T437" s="230"/>
      <c r="U437" s="230"/>
      <c r="V437" s="230"/>
      <c r="W437" s="230"/>
      <c r="X437" s="230"/>
      <c r="Y437" s="230"/>
      <c r="Z437" s="230"/>
    </row>
    <row r="438">
      <c r="A438" s="230"/>
      <c r="B438" s="230"/>
      <c r="C438" s="230"/>
      <c r="D438" s="230"/>
      <c r="E438" s="230"/>
      <c r="F438" s="230"/>
      <c r="G438" s="230"/>
      <c r="H438" s="230"/>
      <c r="I438" s="230"/>
      <c r="J438" s="230"/>
      <c r="K438" s="230"/>
      <c r="L438" s="230"/>
      <c r="M438" s="230"/>
      <c r="N438" s="230"/>
      <c r="O438" s="230"/>
      <c r="P438" s="230"/>
      <c r="Q438" s="230"/>
      <c r="R438" s="230"/>
      <c r="S438" s="230"/>
      <c r="T438" s="230"/>
      <c r="U438" s="230"/>
      <c r="V438" s="230"/>
      <c r="W438" s="230"/>
      <c r="X438" s="230"/>
      <c r="Y438" s="230"/>
      <c r="Z438" s="230"/>
    </row>
    <row r="439">
      <c r="A439" s="230"/>
      <c r="B439" s="230"/>
      <c r="C439" s="230"/>
      <c r="D439" s="230"/>
      <c r="E439" s="230"/>
      <c r="F439" s="230"/>
      <c r="G439" s="230"/>
      <c r="H439" s="230"/>
      <c r="I439" s="230"/>
      <c r="J439" s="230"/>
      <c r="K439" s="230"/>
      <c r="L439" s="230"/>
      <c r="M439" s="230"/>
      <c r="N439" s="230"/>
      <c r="O439" s="230"/>
      <c r="P439" s="230"/>
      <c r="Q439" s="230"/>
      <c r="R439" s="230"/>
      <c r="S439" s="230"/>
      <c r="T439" s="230"/>
      <c r="U439" s="230"/>
      <c r="V439" s="230"/>
      <c r="W439" s="230"/>
      <c r="X439" s="230"/>
      <c r="Y439" s="230"/>
      <c r="Z439" s="230"/>
    </row>
    <row r="440">
      <c r="A440" s="230"/>
      <c r="B440" s="230"/>
      <c r="C440" s="230"/>
      <c r="D440" s="230"/>
      <c r="E440" s="230"/>
      <c r="F440" s="230"/>
      <c r="G440" s="230"/>
      <c r="H440" s="230"/>
      <c r="I440" s="230"/>
      <c r="J440" s="230"/>
      <c r="K440" s="230"/>
      <c r="L440" s="230"/>
      <c r="M440" s="230"/>
      <c r="N440" s="230"/>
      <c r="O440" s="230"/>
      <c r="P440" s="230"/>
      <c r="Q440" s="230"/>
      <c r="R440" s="230"/>
      <c r="S440" s="230"/>
      <c r="T440" s="230"/>
      <c r="U440" s="230"/>
      <c r="V440" s="230"/>
      <c r="W440" s="230"/>
      <c r="X440" s="230"/>
      <c r="Y440" s="230"/>
      <c r="Z440" s="230"/>
    </row>
    <row r="441">
      <c r="A441" s="230"/>
      <c r="B441" s="230"/>
      <c r="C441" s="230"/>
      <c r="D441" s="230"/>
      <c r="E441" s="230"/>
      <c r="F441" s="230"/>
      <c r="G441" s="230"/>
      <c r="H441" s="230"/>
      <c r="I441" s="230"/>
      <c r="J441" s="230"/>
      <c r="K441" s="230"/>
      <c r="L441" s="230"/>
      <c r="M441" s="230"/>
      <c r="N441" s="230"/>
      <c r="O441" s="230"/>
      <c r="P441" s="230"/>
      <c r="Q441" s="230"/>
      <c r="R441" s="230"/>
      <c r="S441" s="230"/>
      <c r="T441" s="230"/>
      <c r="U441" s="230"/>
      <c r="V441" s="230"/>
      <c r="W441" s="230"/>
      <c r="X441" s="230"/>
      <c r="Y441" s="230"/>
      <c r="Z441" s="230"/>
    </row>
    <row r="442">
      <c r="A442" s="230"/>
      <c r="B442" s="230"/>
      <c r="C442" s="230"/>
      <c r="D442" s="230"/>
      <c r="E442" s="230"/>
      <c r="F442" s="230"/>
      <c r="G442" s="230"/>
      <c r="H442" s="230"/>
      <c r="I442" s="230"/>
      <c r="J442" s="230"/>
      <c r="K442" s="230"/>
      <c r="L442" s="230"/>
      <c r="M442" s="230"/>
      <c r="N442" s="230"/>
      <c r="O442" s="230"/>
      <c r="P442" s="230"/>
      <c r="Q442" s="230"/>
      <c r="R442" s="230"/>
      <c r="S442" s="230"/>
      <c r="T442" s="230"/>
      <c r="U442" s="230"/>
      <c r="V442" s="230"/>
      <c r="W442" s="230"/>
      <c r="X442" s="230"/>
      <c r="Y442" s="230"/>
      <c r="Z442" s="230"/>
    </row>
    <row r="443">
      <c r="A443" s="230"/>
      <c r="B443" s="230"/>
      <c r="C443" s="230"/>
      <c r="D443" s="230"/>
      <c r="E443" s="230"/>
      <c r="F443" s="230"/>
      <c r="G443" s="230"/>
      <c r="H443" s="230"/>
      <c r="I443" s="230"/>
      <c r="J443" s="230"/>
      <c r="K443" s="230"/>
      <c r="L443" s="230"/>
      <c r="M443" s="230"/>
      <c r="N443" s="230"/>
      <c r="O443" s="230"/>
      <c r="P443" s="230"/>
      <c r="Q443" s="230"/>
      <c r="R443" s="230"/>
      <c r="S443" s="230"/>
      <c r="T443" s="230"/>
      <c r="U443" s="230"/>
      <c r="V443" s="230"/>
      <c r="W443" s="230"/>
      <c r="X443" s="230"/>
      <c r="Y443" s="230"/>
      <c r="Z443" s="230"/>
    </row>
    <row r="444">
      <c r="A444" s="230"/>
      <c r="B444" s="230"/>
      <c r="C444" s="230"/>
      <c r="D444" s="230"/>
      <c r="E444" s="230"/>
      <c r="F444" s="230"/>
      <c r="G444" s="230"/>
      <c r="H444" s="230"/>
      <c r="I444" s="230"/>
      <c r="J444" s="230"/>
      <c r="K444" s="230"/>
      <c r="L444" s="230"/>
      <c r="M444" s="230"/>
      <c r="N444" s="230"/>
      <c r="O444" s="230"/>
      <c r="P444" s="230"/>
      <c r="Q444" s="230"/>
      <c r="R444" s="230"/>
      <c r="S444" s="230"/>
      <c r="T444" s="230"/>
      <c r="U444" s="230"/>
      <c r="V444" s="230"/>
      <c r="W444" s="230"/>
      <c r="X444" s="230"/>
      <c r="Y444" s="230"/>
      <c r="Z444" s="230"/>
    </row>
    <row r="445">
      <c r="A445" s="230"/>
      <c r="B445" s="230"/>
      <c r="C445" s="230"/>
      <c r="D445" s="230"/>
      <c r="E445" s="230"/>
      <c r="F445" s="230"/>
      <c r="G445" s="230"/>
      <c r="H445" s="230"/>
      <c r="I445" s="230"/>
      <c r="J445" s="230"/>
      <c r="K445" s="230"/>
      <c r="L445" s="230"/>
      <c r="M445" s="230"/>
      <c r="N445" s="230"/>
      <c r="O445" s="230"/>
      <c r="P445" s="230"/>
      <c r="Q445" s="230"/>
      <c r="R445" s="230"/>
      <c r="S445" s="230"/>
      <c r="T445" s="230"/>
      <c r="U445" s="230"/>
      <c r="V445" s="230"/>
      <c r="W445" s="230"/>
      <c r="X445" s="230"/>
      <c r="Y445" s="230"/>
      <c r="Z445" s="230"/>
    </row>
    <row r="446">
      <c r="A446" s="230"/>
      <c r="B446" s="230"/>
      <c r="C446" s="230"/>
      <c r="D446" s="230"/>
      <c r="E446" s="230"/>
      <c r="F446" s="230"/>
      <c r="G446" s="230"/>
      <c r="H446" s="230"/>
      <c r="I446" s="230"/>
      <c r="J446" s="230"/>
      <c r="K446" s="230"/>
      <c r="L446" s="230"/>
      <c r="M446" s="230"/>
      <c r="N446" s="230"/>
      <c r="O446" s="230"/>
      <c r="P446" s="230"/>
      <c r="Q446" s="230"/>
      <c r="R446" s="230"/>
      <c r="S446" s="230"/>
      <c r="T446" s="230"/>
      <c r="U446" s="230"/>
      <c r="V446" s="230"/>
      <c r="W446" s="230"/>
      <c r="X446" s="230"/>
      <c r="Y446" s="230"/>
      <c r="Z446" s="230"/>
    </row>
    <row r="447">
      <c r="A447" s="230"/>
      <c r="B447" s="230"/>
      <c r="C447" s="230"/>
      <c r="D447" s="230"/>
      <c r="E447" s="230"/>
      <c r="F447" s="230"/>
      <c r="G447" s="230"/>
      <c r="H447" s="230"/>
      <c r="I447" s="230"/>
      <c r="J447" s="230"/>
      <c r="K447" s="230"/>
      <c r="L447" s="230"/>
      <c r="M447" s="230"/>
      <c r="N447" s="230"/>
      <c r="O447" s="230"/>
      <c r="P447" s="230"/>
      <c r="Q447" s="230"/>
      <c r="R447" s="230"/>
      <c r="S447" s="230"/>
      <c r="T447" s="230"/>
      <c r="U447" s="230"/>
      <c r="V447" s="230"/>
      <c r="W447" s="230"/>
      <c r="X447" s="230"/>
      <c r="Y447" s="230"/>
      <c r="Z447" s="230"/>
    </row>
    <row r="448">
      <c r="A448" s="230"/>
      <c r="B448" s="230"/>
      <c r="C448" s="230"/>
      <c r="D448" s="230"/>
      <c r="E448" s="230"/>
      <c r="F448" s="230"/>
      <c r="G448" s="230"/>
      <c r="H448" s="230"/>
      <c r="I448" s="230"/>
      <c r="J448" s="230"/>
      <c r="K448" s="230"/>
      <c r="L448" s="230"/>
      <c r="M448" s="230"/>
      <c r="N448" s="230"/>
      <c r="O448" s="230"/>
      <c r="P448" s="230"/>
      <c r="Q448" s="230"/>
      <c r="R448" s="230"/>
      <c r="S448" s="230"/>
      <c r="T448" s="230"/>
      <c r="U448" s="230"/>
      <c r="V448" s="230"/>
      <c r="W448" s="230"/>
      <c r="X448" s="230"/>
      <c r="Y448" s="230"/>
      <c r="Z448" s="230"/>
    </row>
    <row r="449">
      <c r="A449" s="230"/>
      <c r="B449" s="230"/>
      <c r="C449" s="230"/>
      <c r="D449" s="230"/>
      <c r="E449" s="230"/>
      <c r="F449" s="230"/>
      <c r="G449" s="230"/>
      <c r="H449" s="230"/>
      <c r="I449" s="230"/>
      <c r="J449" s="230"/>
      <c r="K449" s="230"/>
      <c r="L449" s="230"/>
      <c r="M449" s="230"/>
      <c r="N449" s="230"/>
      <c r="O449" s="230"/>
      <c r="P449" s="230"/>
      <c r="Q449" s="230"/>
      <c r="R449" s="230"/>
      <c r="S449" s="230"/>
      <c r="T449" s="230"/>
      <c r="U449" s="230"/>
      <c r="V449" s="230"/>
      <c r="W449" s="230"/>
      <c r="X449" s="230"/>
      <c r="Y449" s="230"/>
      <c r="Z449" s="230"/>
    </row>
    <row r="450">
      <c r="A450" s="230"/>
      <c r="B450" s="230"/>
      <c r="C450" s="230"/>
      <c r="D450" s="230"/>
      <c r="E450" s="230"/>
      <c r="F450" s="230"/>
      <c r="G450" s="230"/>
      <c r="H450" s="230"/>
      <c r="I450" s="230"/>
      <c r="J450" s="230"/>
      <c r="K450" s="230"/>
      <c r="L450" s="230"/>
      <c r="M450" s="230"/>
      <c r="N450" s="230"/>
      <c r="O450" s="230"/>
      <c r="P450" s="230"/>
      <c r="Q450" s="230"/>
      <c r="R450" s="230"/>
      <c r="S450" s="230"/>
      <c r="T450" s="230"/>
      <c r="U450" s="230"/>
      <c r="V450" s="230"/>
      <c r="W450" s="230"/>
      <c r="X450" s="230"/>
      <c r="Y450" s="230"/>
      <c r="Z450" s="230"/>
    </row>
    <row r="451">
      <c r="A451" s="230"/>
      <c r="B451" s="230"/>
      <c r="C451" s="230"/>
      <c r="D451" s="230"/>
      <c r="E451" s="230"/>
      <c r="F451" s="230"/>
      <c r="G451" s="230"/>
      <c r="H451" s="230"/>
      <c r="I451" s="230"/>
      <c r="J451" s="230"/>
      <c r="K451" s="230"/>
      <c r="L451" s="230"/>
      <c r="M451" s="230"/>
      <c r="N451" s="230"/>
      <c r="O451" s="230"/>
      <c r="P451" s="230"/>
      <c r="Q451" s="230"/>
      <c r="R451" s="230"/>
      <c r="S451" s="230"/>
      <c r="T451" s="230"/>
      <c r="U451" s="230"/>
      <c r="V451" s="230"/>
      <c r="W451" s="230"/>
      <c r="X451" s="230"/>
      <c r="Y451" s="230"/>
      <c r="Z451" s="230"/>
    </row>
    <row r="452">
      <c r="A452" s="230"/>
      <c r="B452" s="230"/>
      <c r="C452" s="230"/>
      <c r="D452" s="230"/>
      <c r="E452" s="230"/>
      <c r="F452" s="230"/>
      <c r="G452" s="230"/>
      <c r="H452" s="230"/>
      <c r="I452" s="230"/>
      <c r="J452" s="230"/>
      <c r="K452" s="230"/>
      <c r="L452" s="230"/>
      <c r="M452" s="230"/>
      <c r="N452" s="230"/>
      <c r="O452" s="230"/>
      <c r="P452" s="230"/>
      <c r="Q452" s="230"/>
      <c r="R452" s="230"/>
      <c r="S452" s="230"/>
      <c r="T452" s="230"/>
      <c r="U452" s="230"/>
      <c r="V452" s="230"/>
      <c r="W452" s="230"/>
      <c r="X452" s="230"/>
      <c r="Y452" s="230"/>
      <c r="Z452" s="230"/>
    </row>
    <row r="453">
      <c r="A453" s="230"/>
      <c r="B453" s="230"/>
      <c r="C453" s="230"/>
      <c r="D453" s="230"/>
      <c r="E453" s="230"/>
      <c r="F453" s="230"/>
      <c r="G453" s="230"/>
      <c r="H453" s="230"/>
      <c r="I453" s="230"/>
      <c r="J453" s="230"/>
      <c r="K453" s="230"/>
      <c r="L453" s="230"/>
      <c r="M453" s="230"/>
      <c r="N453" s="230"/>
      <c r="O453" s="230"/>
      <c r="P453" s="230"/>
      <c r="Q453" s="230"/>
      <c r="R453" s="230"/>
      <c r="S453" s="230"/>
      <c r="T453" s="230"/>
      <c r="U453" s="230"/>
      <c r="V453" s="230"/>
      <c r="W453" s="230"/>
      <c r="X453" s="230"/>
      <c r="Y453" s="230"/>
      <c r="Z453" s="230"/>
    </row>
    <row r="454">
      <c r="A454" s="230"/>
      <c r="B454" s="230"/>
      <c r="C454" s="230"/>
      <c r="D454" s="230"/>
      <c r="E454" s="230"/>
      <c r="F454" s="230"/>
      <c r="G454" s="230"/>
      <c r="H454" s="230"/>
      <c r="I454" s="230"/>
      <c r="J454" s="230"/>
      <c r="K454" s="230"/>
      <c r="L454" s="230"/>
      <c r="M454" s="230"/>
      <c r="N454" s="230"/>
      <c r="O454" s="230"/>
      <c r="P454" s="230"/>
      <c r="Q454" s="230"/>
      <c r="R454" s="230"/>
      <c r="S454" s="230"/>
      <c r="T454" s="230"/>
      <c r="U454" s="230"/>
      <c r="V454" s="230"/>
      <c r="W454" s="230"/>
      <c r="X454" s="230"/>
      <c r="Y454" s="230"/>
      <c r="Z454" s="230"/>
    </row>
    <row r="455">
      <c r="A455" s="230"/>
      <c r="B455" s="230"/>
      <c r="C455" s="230"/>
      <c r="D455" s="230"/>
      <c r="E455" s="230"/>
      <c r="F455" s="230"/>
      <c r="G455" s="230"/>
      <c r="H455" s="230"/>
      <c r="I455" s="230"/>
      <c r="J455" s="230"/>
      <c r="K455" s="230"/>
      <c r="L455" s="230"/>
      <c r="M455" s="230"/>
      <c r="N455" s="230"/>
      <c r="O455" s="230"/>
      <c r="P455" s="230"/>
      <c r="Q455" s="230"/>
      <c r="R455" s="230"/>
      <c r="S455" s="230"/>
      <c r="T455" s="230"/>
      <c r="U455" s="230"/>
      <c r="V455" s="230"/>
      <c r="W455" s="230"/>
      <c r="X455" s="230"/>
      <c r="Y455" s="230"/>
      <c r="Z455" s="230"/>
    </row>
    <row r="456">
      <c r="A456" s="230"/>
      <c r="B456" s="230"/>
      <c r="C456" s="230"/>
      <c r="D456" s="230"/>
      <c r="E456" s="230"/>
      <c r="F456" s="230"/>
      <c r="G456" s="230"/>
      <c r="H456" s="230"/>
      <c r="I456" s="230"/>
      <c r="J456" s="230"/>
      <c r="K456" s="230"/>
      <c r="L456" s="230"/>
      <c r="M456" s="230"/>
      <c r="N456" s="230"/>
      <c r="O456" s="230"/>
      <c r="P456" s="230"/>
      <c r="Q456" s="230"/>
      <c r="R456" s="230"/>
      <c r="S456" s="230"/>
      <c r="T456" s="230"/>
      <c r="U456" s="230"/>
      <c r="V456" s="230"/>
      <c r="W456" s="230"/>
      <c r="X456" s="230"/>
      <c r="Y456" s="230"/>
      <c r="Z456" s="230"/>
    </row>
    <row r="457">
      <c r="A457" s="230"/>
      <c r="B457" s="230"/>
      <c r="C457" s="230"/>
      <c r="D457" s="230"/>
      <c r="E457" s="230"/>
      <c r="F457" s="230"/>
      <c r="G457" s="230"/>
      <c r="H457" s="230"/>
      <c r="I457" s="230"/>
      <c r="J457" s="230"/>
      <c r="K457" s="230"/>
      <c r="L457" s="230"/>
      <c r="M457" s="230"/>
      <c r="N457" s="230"/>
      <c r="O457" s="230"/>
      <c r="P457" s="230"/>
      <c r="Q457" s="230"/>
      <c r="R457" s="230"/>
      <c r="S457" s="230"/>
      <c r="T457" s="230"/>
      <c r="U457" s="230"/>
      <c r="V457" s="230"/>
      <c r="W457" s="230"/>
      <c r="X457" s="230"/>
      <c r="Y457" s="230"/>
      <c r="Z457" s="230"/>
    </row>
    <row r="458">
      <c r="A458" s="230"/>
      <c r="B458" s="230"/>
      <c r="C458" s="230"/>
      <c r="D458" s="230"/>
      <c r="E458" s="230"/>
      <c r="F458" s="230"/>
      <c r="G458" s="230"/>
      <c r="H458" s="230"/>
      <c r="I458" s="230"/>
      <c r="J458" s="230"/>
      <c r="K458" s="230"/>
      <c r="L458" s="230"/>
      <c r="M458" s="230"/>
      <c r="N458" s="230"/>
      <c r="O458" s="230"/>
      <c r="P458" s="230"/>
      <c r="Q458" s="230"/>
      <c r="R458" s="230"/>
      <c r="S458" s="230"/>
      <c r="T458" s="230"/>
      <c r="U458" s="230"/>
      <c r="V458" s="230"/>
      <c r="W458" s="230"/>
      <c r="X458" s="230"/>
      <c r="Y458" s="230"/>
      <c r="Z458" s="230"/>
    </row>
    <row r="459">
      <c r="A459" s="230"/>
      <c r="B459" s="230"/>
      <c r="C459" s="230"/>
      <c r="D459" s="230"/>
      <c r="E459" s="230"/>
      <c r="F459" s="230"/>
      <c r="G459" s="230"/>
      <c r="H459" s="230"/>
      <c r="I459" s="230"/>
      <c r="J459" s="230"/>
      <c r="K459" s="230"/>
      <c r="L459" s="230"/>
      <c r="M459" s="230"/>
      <c r="N459" s="230"/>
      <c r="O459" s="230"/>
      <c r="P459" s="230"/>
      <c r="Q459" s="230"/>
      <c r="R459" s="230"/>
      <c r="S459" s="230"/>
      <c r="T459" s="230"/>
      <c r="U459" s="230"/>
      <c r="V459" s="230"/>
      <c r="W459" s="230"/>
      <c r="X459" s="230"/>
      <c r="Y459" s="230"/>
      <c r="Z459" s="230"/>
    </row>
    <row r="460">
      <c r="A460" s="230"/>
      <c r="B460" s="230"/>
      <c r="C460" s="230"/>
      <c r="D460" s="230"/>
      <c r="E460" s="230"/>
      <c r="F460" s="230"/>
      <c r="G460" s="230"/>
      <c r="H460" s="230"/>
      <c r="I460" s="230"/>
      <c r="J460" s="230"/>
      <c r="K460" s="230"/>
      <c r="L460" s="230"/>
      <c r="M460" s="230"/>
      <c r="N460" s="230"/>
      <c r="O460" s="230"/>
      <c r="P460" s="230"/>
      <c r="Q460" s="230"/>
      <c r="R460" s="230"/>
      <c r="S460" s="230"/>
      <c r="T460" s="230"/>
      <c r="U460" s="230"/>
      <c r="V460" s="230"/>
      <c r="W460" s="230"/>
      <c r="X460" s="230"/>
      <c r="Y460" s="230"/>
      <c r="Z460" s="230"/>
    </row>
    <row r="461">
      <c r="A461" s="230"/>
      <c r="B461" s="230"/>
      <c r="C461" s="230"/>
      <c r="D461" s="230"/>
      <c r="E461" s="230"/>
      <c r="F461" s="230"/>
      <c r="G461" s="230"/>
      <c r="H461" s="230"/>
      <c r="I461" s="230"/>
      <c r="J461" s="230"/>
      <c r="K461" s="230"/>
      <c r="L461" s="230"/>
      <c r="M461" s="230"/>
      <c r="N461" s="230"/>
      <c r="O461" s="230"/>
      <c r="P461" s="230"/>
      <c r="Q461" s="230"/>
      <c r="R461" s="230"/>
      <c r="S461" s="230"/>
      <c r="T461" s="230"/>
      <c r="U461" s="230"/>
      <c r="V461" s="230"/>
      <c r="W461" s="230"/>
      <c r="X461" s="230"/>
      <c r="Y461" s="230"/>
      <c r="Z461" s="230"/>
    </row>
    <row r="462">
      <c r="A462" s="230"/>
      <c r="B462" s="230"/>
      <c r="C462" s="230"/>
      <c r="D462" s="230"/>
      <c r="E462" s="230"/>
      <c r="F462" s="230"/>
      <c r="G462" s="230"/>
      <c r="H462" s="230"/>
      <c r="I462" s="230"/>
      <c r="J462" s="230"/>
      <c r="K462" s="230"/>
      <c r="L462" s="230"/>
      <c r="M462" s="230"/>
      <c r="N462" s="230"/>
      <c r="O462" s="230"/>
      <c r="P462" s="230"/>
      <c r="Q462" s="230"/>
      <c r="R462" s="230"/>
      <c r="S462" s="230"/>
      <c r="T462" s="230"/>
      <c r="U462" s="230"/>
      <c r="V462" s="230"/>
      <c r="W462" s="230"/>
      <c r="X462" s="230"/>
      <c r="Y462" s="230"/>
      <c r="Z462" s="230"/>
    </row>
    <row r="463">
      <c r="A463" s="230"/>
      <c r="B463" s="230"/>
      <c r="C463" s="230"/>
      <c r="D463" s="230"/>
      <c r="E463" s="230"/>
      <c r="F463" s="230"/>
      <c r="G463" s="230"/>
      <c r="H463" s="230"/>
      <c r="I463" s="230"/>
      <c r="J463" s="230"/>
      <c r="K463" s="230"/>
      <c r="L463" s="230"/>
      <c r="M463" s="230"/>
      <c r="N463" s="230"/>
      <c r="O463" s="230"/>
      <c r="P463" s="230"/>
      <c r="Q463" s="230"/>
      <c r="R463" s="230"/>
      <c r="S463" s="230"/>
      <c r="T463" s="230"/>
      <c r="U463" s="230"/>
      <c r="V463" s="230"/>
      <c r="W463" s="230"/>
      <c r="X463" s="230"/>
      <c r="Y463" s="230"/>
      <c r="Z463" s="230"/>
    </row>
    <row r="464">
      <c r="A464" s="230"/>
      <c r="B464" s="230"/>
      <c r="C464" s="230"/>
      <c r="D464" s="230"/>
      <c r="E464" s="230"/>
      <c r="F464" s="230"/>
      <c r="G464" s="230"/>
      <c r="H464" s="230"/>
      <c r="I464" s="230"/>
      <c r="J464" s="230"/>
      <c r="K464" s="230"/>
      <c r="L464" s="230"/>
      <c r="M464" s="230"/>
      <c r="N464" s="230"/>
      <c r="O464" s="230"/>
      <c r="P464" s="230"/>
      <c r="Q464" s="230"/>
      <c r="R464" s="230"/>
      <c r="S464" s="230"/>
      <c r="T464" s="230"/>
      <c r="U464" s="230"/>
      <c r="V464" s="230"/>
      <c r="W464" s="230"/>
      <c r="X464" s="230"/>
      <c r="Y464" s="230"/>
      <c r="Z464" s="230"/>
    </row>
    <row r="465">
      <c r="A465" s="230"/>
      <c r="B465" s="230"/>
      <c r="C465" s="230"/>
      <c r="D465" s="230"/>
      <c r="E465" s="230"/>
      <c r="F465" s="230"/>
      <c r="G465" s="230"/>
      <c r="H465" s="230"/>
      <c r="I465" s="230"/>
      <c r="J465" s="230"/>
      <c r="K465" s="230"/>
      <c r="L465" s="230"/>
      <c r="M465" s="230"/>
      <c r="N465" s="230"/>
      <c r="O465" s="230"/>
      <c r="P465" s="230"/>
      <c r="Q465" s="230"/>
      <c r="R465" s="230"/>
      <c r="S465" s="230"/>
      <c r="T465" s="230"/>
      <c r="U465" s="230"/>
      <c r="V465" s="230"/>
      <c r="W465" s="230"/>
      <c r="X465" s="230"/>
      <c r="Y465" s="230"/>
      <c r="Z465" s="230"/>
    </row>
    <row r="466">
      <c r="A466" s="230"/>
      <c r="B466" s="230"/>
      <c r="C466" s="230"/>
      <c r="D466" s="230"/>
      <c r="E466" s="230"/>
      <c r="F466" s="230"/>
      <c r="G466" s="230"/>
      <c r="H466" s="230"/>
      <c r="I466" s="230"/>
      <c r="J466" s="230"/>
      <c r="K466" s="230"/>
      <c r="L466" s="230"/>
      <c r="M466" s="230"/>
      <c r="N466" s="230"/>
      <c r="O466" s="230"/>
      <c r="P466" s="230"/>
      <c r="Q466" s="230"/>
      <c r="R466" s="230"/>
      <c r="S466" s="230"/>
      <c r="T466" s="230"/>
      <c r="U466" s="230"/>
      <c r="V466" s="230"/>
      <c r="W466" s="230"/>
      <c r="X466" s="230"/>
      <c r="Y466" s="230"/>
      <c r="Z466" s="230"/>
    </row>
    <row r="467">
      <c r="A467" s="230"/>
      <c r="B467" s="230"/>
      <c r="C467" s="230"/>
      <c r="D467" s="230"/>
      <c r="E467" s="230"/>
      <c r="F467" s="230"/>
      <c r="G467" s="230"/>
      <c r="H467" s="230"/>
      <c r="I467" s="230"/>
      <c r="J467" s="230"/>
      <c r="K467" s="230"/>
      <c r="L467" s="230"/>
      <c r="M467" s="230"/>
      <c r="N467" s="230"/>
      <c r="O467" s="230"/>
      <c r="P467" s="230"/>
      <c r="Q467" s="230"/>
      <c r="R467" s="230"/>
      <c r="S467" s="230"/>
      <c r="T467" s="230"/>
      <c r="U467" s="230"/>
      <c r="V467" s="230"/>
      <c r="W467" s="230"/>
      <c r="X467" s="230"/>
      <c r="Y467" s="230"/>
      <c r="Z467" s="230"/>
    </row>
    <row r="468">
      <c r="A468" s="230"/>
      <c r="B468" s="230"/>
      <c r="C468" s="230"/>
      <c r="D468" s="230"/>
      <c r="E468" s="230"/>
      <c r="F468" s="230"/>
      <c r="G468" s="230"/>
      <c r="H468" s="230"/>
      <c r="I468" s="230"/>
      <c r="J468" s="230"/>
      <c r="K468" s="230"/>
      <c r="L468" s="230"/>
      <c r="M468" s="230"/>
      <c r="N468" s="230"/>
      <c r="O468" s="230"/>
      <c r="P468" s="230"/>
      <c r="Q468" s="230"/>
      <c r="R468" s="230"/>
      <c r="S468" s="230"/>
      <c r="T468" s="230"/>
      <c r="U468" s="230"/>
      <c r="V468" s="230"/>
      <c r="W468" s="230"/>
      <c r="X468" s="230"/>
      <c r="Y468" s="230"/>
      <c r="Z468" s="230"/>
    </row>
    <row r="469">
      <c r="A469" s="230"/>
      <c r="B469" s="230"/>
      <c r="C469" s="230"/>
      <c r="D469" s="230"/>
      <c r="E469" s="230"/>
      <c r="F469" s="230"/>
      <c r="G469" s="230"/>
      <c r="H469" s="230"/>
      <c r="I469" s="230"/>
      <c r="J469" s="230"/>
      <c r="K469" s="230"/>
      <c r="L469" s="230"/>
      <c r="M469" s="230"/>
      <c r="N469" s="230"/>
      <c r="O469" s="230"/>
      <c r="P469" s="230"/>
      <c r="Q469" s="230"/>
      <c r="R469" s="230"/>
      <c r="S469" s="230"/>
      <c r="T469" s="230"/>
      <c r="U469" s="230"/>
      <c r="V469" s="230"/>
      <c r="W469" s="230"/>
      <c r="X469" s="230"/>
      <c r="Y469" s="230"/>
      <c r="Z469" s="230"/>
    </row>
    <row r="470">
      <c r="A470" s="230"/>
      <c r="B470" s="230"/>
      <c r="C470" s="230"/>
      <c r="D470" s="230"/>
      <c r="E470" s="230"/>
      <c r="F470" s="230"/>
      <c r="G470" s="230"/>
      <c r="H470" s="230"/>
      <c r="I470" s="230"/>
      <c r="J470" s="230"/>
      <c r="K470" s="230"/>
      <c r="L470" s="230"/>
      <c r="M470" s="230"/>
      <c r="N470" s="230"/>
      <c r="O470" s="230"/>
      <c r="P470" s="230"/>
      <c r="Q470" s="230"/>
      <c r="R470" s="230"/>
      <c r="S470" s="230"/>
      <c r="T470" s="230"/>
      <c r="U470" s="230"/>
      <c r="V470" s="230"/>
      <c r="W470" s="230"/>
      <c r="X470" s="230"/>
      <c r="Y470" s="230"/>
      <c r="Z470" s="230"/>
    </row>
    <row r="471">
      <c r="A471" s="230"/>
      <c r="B471" s="230"/>
      <c r="C471" s="230"/>
      <c r="D471" s="230"/>
      <c r="E471" s="230"/>
      <c r="F471" s="230"/>
      <c r="G471" s="230"/>
      <c r="H471" s="230"/>
      <c r="I471" s="230"/>
      <c r="J471" s="230"/>
      <c r="K471" s="230"/>
      <c r="L471" s="230"/>
      <c r="M471" s="230"/>
      <c r="N471" s="230"/>
      <c r="O471" s="230"/>
      <c r="P471" s="230"/>
      <c r="Q471" s="230"/>
      <c r="R471" s="230"/>
      <c r="S471" s="230"/>
      <c r="T471" s="230"/>
      <c r="U471" s="230"/>
      <c r="V471" s="230"/>
      <c r="W471" s="230"/>
      <c r="X471" s="230"/>
      <c r="Y471" s="230"/>
      <c r="Z471" s="230"/>
    </row>
    <row r="472">
      <c r="A472" s="230"/>
      <c r="B472" s="230"/>
      <c r="C472" s="230"/>
      <c r="D472" s="230"/>
      <c r="E472" s="230"/>
      <c r="F472" s="230"/>
      <c r="G472" s="230"/>
      <c r="H472" s="230"/>
      <c r="I472" s="230"/>
      <c r="J472" s="230"/>
      <c r="K472" s="230"/>
      <c r="L472" s="230"/>
      <c r="M472" s="230"/>
      <c r="N472" s="230"/>
      <c r="O472" s="230"/>
      <c r="P472" s="230"/>
      <c r="Q472" s="230"/>
      <c r="R472" s="230"/>
      <c r="S472" s="230"/>
      <c r="T472" s="230"/>
      <c r="U472" s="230"/>
      <c r="V472" s="230"/>
      <c r="W472" s="230"/>
      <c r="X472" s="230"/>
      <c r="Y472" s="230"/>
      <c r="Z472" s="230"/>
    </row>
    <row r="473">
      <c r="A473" s="230"/>
      <c r="B473" s="230"/>
      <c r="C473" s="230"/>
      <c r="D473" s="230"/>
      <c r="E473" s="230"/>
      <c r="F473" s="230"/>
      <c r="G473" s="230"/>
      <c r="H473" s="230"/>
      <c r="I473" s="230"/>
      <c r="J473" s="230"/>
      <c r="K473" s="230"/>
      <c r="L473" s="230"/>
      <c r="M473" s="230"/>
      <c r="N473" s="230"/>
      <c r="O473" s="230"/>
      <c r="P473" s="230"/>
      <c r="Q473" s="230"/>
      <c r="R473" s="230"/>
      <c r="S473" s="230"/>
      <c r="T473" s="230"/>
      <c r="U473" s="230"/>
      <c r="V473" s="230"/>
      <c r="W473" s="230"/>
      <c r="X473" s="230"/>
      <c r="Y473" s="230"/>
      <c r="Z473" s="230"/>
    </row>
    <row r="474">
      <c r="A474" s="230"/>
      <c r="B474" s="230"/>
      <c r="C474" s="230"/>
      <c r="D474" s="230"/>
      <c r="E474" s="230"/>
      <c r="F474" s="230"/>
      <c r="G474" s="230"/>
      <c r="H474" s="230"/>
      <c r="I474" s="230"/>
      <c r="J474" s="230"/>
      <c r="K474" s="230"/>
      <c r="L474" s="230"/>
      <c r="M474" s="230"/>
      <c r="N474" s="230"/>
      <c r="O474" s="230"/>
      <c r="P474" s="230"/>
      <c r="Q474" s="230"/>
      <c r="R474" s="230"/>
      <c r="S474" s="230"/>
      <c r="T474" s="230"/>
      <c r="U474" s="230"/>
      <c r="V474" s="230"/>
      <c r="W474" s="230"/>
      <c r="X474" s="230"/>
      <c r="Y474" s="230"/>
      <c r="Z474" s="230"/>
    </row>
    <row r="475">
      <c r="A475" s="230"/>
      <c r="B475" s="230"/>
      <c r="C475" s="230"/>
      <c r="D475" s="230"/>
      <c r="E475" s="230"/>
      <c r="F475" s="230"/>
      <c r="G475" s="230"/>
      <c r="H475" s="230"/>
      <c r="I475" s="230"/>
      <c r="J475" s="230"/>
      <c r="K475" s="230"/>
      <c r="L475" s="230"/>
      <c r="M475" s="230"/>
      <c r="N475" s="230"/>
      <c r="O475" s="230"/>
      <c r="P475" s="230"/>
      <c r="Q475" s="230"/>
      <c r="R475" s="230"/>
      <c r="S475" s="230"/>
      <c r="T475" s="230"/>
      <c r="U475" s="230"/>
      <c r="V475" s="230"/>
      <c r="W475" s="230"/>
      <c r="X475" s="230"/>
      <c r="Y475" s="230"/>
      <c r="Z475" s="230"/>
    </row>
    <row r="476">
      <c r="A476" s="230"/>
      <c r="B476" s="230"/>
      <c r="C476" s="230"/>
      <c r="D476" s="230"/>
      <c r="E476" s="230"/>
      <c r="F476" s="230"/>
      <c r="G476" s="230"/>
      <c r="H476" s="230"/>
      <c r="I476" s="230"/>
      <c r="J476" s="230"/>
      <c r="K476" s="230"/>
      <c r="L476" s="230"/>
      <c r="M476" s="230"/>
      <c r="N476" s="230"/>
      <c r="O476" s="230"/>
      <c r="P476" s="230"/>
      <c r="Q476" s="230"/>
      <c r="R476" s="230"/>
      <c r="S476" s="230"/>
      <c r="T476" s="230"/>
      <c r="U476" s="230"/>
      <c r="V476" s="230"/>
      <c r="W476" s="230"/>
      <c r="X476" s="230"/>
      <c r="Y476" s="230"/>
      <c r="Z476" s="230"/>
    </row>
    <row r="477">
      <c r="A477" s="230"/>
      <c r="B477" s="230"/>
      <c r="C477" s="230"/>
      <c r="D477" s="230"/>
      <c r="E477" s="230"/>
      <c r="F477" s="230"/>
      <c r="G477" s="230"/>
      <c r="H477" s="230"/>
      <c r="I477" s="230"/>
      <c r="J477" s="230"/>
      <c r="K477" s="230"/>
      <c r="L477" s="230"/>
      <c r="M477" s="230"/>
      <c r="N477" s="230"/>
      <c r="O477" s="230"/>
      <c r="P477" s="230"/>
      <c r="Q477" s="230"/>
      <c r="R477" s="230"/>
      <c r="S477" s="230"/>
      <c r="T477" s="230"/>
      <c r="U477" s="230"/>
      <c r="V477" s="230"/>
      <c r="W477" s="230"/>
      <c r="X477" s="230"/>
      <c r="Y477" s="230"/>
      <c r="Z477" s="230"/>
    </row>
    <row r="478">
      <c r="A478" s="230"/>
      <c r="B478" s="230"/>
      <c r="C478" s="230"/>
      <c r="D478" s="230"/>
      <c r="E478" s="230"/>
      <c r="F478" s="230"/>
      <c r="G478" s="230"/>
      <c r="H478" s="230"/>
      <c r="I478" s="230"/>
      <c r="J478" s="230"/>
      <c r="K478" s="230"/>
      <c r="L478" s="230"/>
      <c r="M478" s="230"/>
      <c r="N478" s="230"/>
      <c r="O478" s="230"/>
      <c r="P478" s="230"/>
      <c r="Q478" s="230"/>
      <c r="R478" s="230"/>
      <c r="S478" s="230"/>
      <c r="T478" s="230"/>
      <c r="U478" s="230"/>
      <c r="V478" s="230"/>
      <c r="W478" s="230"/>
      <c r="X478" s="230"/>
      <c r="Y478" s="230"/>
      <c r="Z478" s="230"/>
    </row>
    <row r="479">
      <c r="A479" s="230"/>
      <c r="B479" s="230"/>
      <c r="C479" s="230"/>
      <c r="D479" s="230"/>
      <c r="E479" s="230"/>
      <c r="F479" s="230"/>
      <c r="G479" s="230"/>
      <c r="H479" s="230"/>
      <c r="I479" s="230"/>
      <c r="J479" s="230"/>
      <c r="K479" s="230"/>
      <c r="L479" s="230"/>
      <c r="M479" s="230"/>
      <c r="N479" s="230"/>
      <c r="O479" s="230"/>
      <c r="P479" s="230"/>
      <c r="Q479" s="230"/>
      <c r="R479" s="230"/>
      <c r="S479" s="230"/>
      <c r="T479" s="230"/>
      <c r="U479" s="230"/>
      <c r="V479" s="230"/>
      <c r="W479" s="230"/>
      <c r="X479" s="230"/>
      <c r="Y479" s="230"/>
      <c r="Z479" s="230"/>
    </row>
    <row r="480">
      <c r="A480" s="230"/>
      <c r="B480" s="230"/>
      <c r="C480" s="230"/>
      <c r="D480" s="230"/>
      <c r="E480" s="230"/>
      <c r="F480" s="230"/>
      <c r="G480" s="230"/>
      <c r="H480" s="230"/>
      <c r="I480" s="230"/>
      <c r="J480" s="230"/>
      <c r="K480" s="230"/>
      <c r="L480" s="230"/>
      <c r="M480" s="230"/>
      <c r="N480" s="230"/>
      <c r="O480" s="230"/>
      <c r="P480" s="230"/>
      <c r="Q480" s="230"/>
      <c r="R480" s="230"/>
      <c r="S480" s="230"/>
      <c r="T480" s="230"/>
      <c r="U480" s="230"/>
      <c r="V480" s="230"/>
      <c r="W480" s="230"/>
      <c r="X480" s="230"/>
      <c r="Y480" s="230"/>
      <c r="Z480" s="230"/>
    </row>
    <row r="481">
      <c r="A481" s="230"/>
      <c r="B481" s="230"/>
      <c r="C481" s="230"/>
      <c r="D481" s="230"/>
      <c r="E481" s="230"/>
      <c r="F481" s="230"/>
      <c r="G481" s="230"/>
      <c r="H481" s="230"/>
      <c r="I481" s="230"/>
      <c r="J481" s="230"/>
      <c r="K481" s="230"/>
      <c r="L481" s="230"/>
      <c r="M481" s="230"/>
      <c r="N481" s="230"/>
      <c r="O481" s="230"/>
      <c r="P481" s="230"/>
      <c r="Q481" s="230"/>
      <c r="R481" s="230"/>
      <c r="S481" s="230"/>
      <c r="T481" s="230"/>
      <c r="U481" s="230"/>
      <c r="V481" s="230"/>
      <c r="W481" s="230"/>
      <c r="X481" s="230"/>
      <c r="Y481" s="230"/>
      <c r="Z481" s="230"/>
    </row>
    <row r="482">
      <c r="A482" s="230"/>
      <c r="B482" s="230"/>
      <c r="C482" s="230"/>
      <c r="D482" s="230"/>
      <c r="E482" s="230"/>
      <c r="F482" s="230"/>
      <c r="G482" s="230"/>
      <c r="H482" s="230"/>
      <c r="I482" s="230"/>
      <c r="J482" s="230"/>
      <c r="K482" s="230"/>
      <c r="L482" s="230"/>
      <c r="M482" s="230"/>
      <c r="N482" s="230"/>
      <c r="O482" s="230"/>
      <c r="P482" s="230"/>
      <c r="Q482" s="230"/>
      <c r="R482" s="230"/>
      <c r="S482" s="230"/>
      <c r="T482" s="230"/>
      <c r="U482" s="230"/>
      <c r="V482" s="230"/>
      <c r="W482" s="230"/>
      <c r="X482" s="230"/>
      <c r="Y482" s="230"/>
      <c r="Z482" s="230"/>
    </row>
    <row r="483">
      <c r="A483" s="230"/>
      <c r="B483" s="230"/>
      <c r="C483" s="230"/>
      <c r="D483" s="230"/>
      <c r="E483" s="230"/>
      <c r="F483" s="230"/>
      <c r="G483" s="230"/>
      <c r="H483" s="230"/>
      <c r="I483" s="230"/>
      <c r="J483" s="230"/>
      <c r="K483" s="230"/>
      <c r="L483" s="230"/>
      <c r="M483" s="230"/>
      <c r="N483" s="230"/>
      <c r="O483" s="230"/>
      <c r="P483" s="230"/>
      <c r="Q483" s="230"/>
      <c r="R483" s="230"/>
      <c r="S483" s="230"/>
      <c r="T483" s="230"/>
      <c r="U483" s="230"/>
      <c r="V483" s="230"/>
      <c r="W483" s="230"/>
      <c r="X483" s="230"/>
      <c r="Y483" s="230"/>
      <c r="Z483" s="230"/>
    </row>
    <row r="484">
      <c r="A484" s="230"/>
      <c r="B484" s="230"/>
      <c r="C484" s="230"/>
      <c r="D484" s="230"/>
      <c r="E484" s="230"/>
      <c r="F484" s="230"/>
      <c r="G484" s="230"/>
      <c r="H484" s="230"/>
      <c r="I484" s="230"/>
      <c r="J484" s="230"/>
      <c r="K484" s="230"/>
      <c r="L484" s="230"/>
      <c r="M484" s="230"/>
      <c r="N484" s="230"/>
      <c r="O484" s="230"/>
      <c r="P484" s="230"/>
      <c r="Q484" s="230"/>
      <c r="R484" s="230"/>
      <c r="S484" s="230"/>
      <c r="T484" s="230"/>
      <c r="U484" s="230"/>
      <c r="V484" s="230"/>
      <c r="W484" s="230"/>
      <c r="X484" s="230"/>
      <c r="Y484" s="230"/>
      <c r="Z484" s="230"/>
    </row>
    <row r="485">
      <c r="A485" s="230"/>
      <c r="B485" s="230"/>
      <c r="C485" s="230"/>
      <c r="D485" s="230"/>
      <c r="E485" s="230"/>
      <c r="F485" s="230"/>
      <c r="G485" s="230"/>
      <c r="H485" s="230"/>
      <c r="I485" s="230"/>
      <c r="J485" s="230"/>
      <c r="K485" s="230"/>
      <c r="L485" s="230"/>
      <c r="M485" s="230"/>
      <c r="N485" s="230"/>
      <c r="O485" s="230"/>
      <c r="P485" s="230"/>
      <c r="Q485" s="230"/>
      <c r="R485" s="230"/>
      <c r="S485" s="230"/>
      <c r="T485" s="230"/>
      <c r="U485" s="230"/>
      <c r="V485" s="230"/>
      <c r="W485" s="230"/>
      <c r="X485" s="230"/>
      <c r="Y485" s="230"/>
      <c r="Z485" s="230"/>
    </row>
    <row r="486">
      <c r="A486" s="230"/>
      <c r="B486" s="230"/>
      <c r="C486" s="230"/>
      <c r="D486" s="230"/>
      <c r="E486" s="230"/>
      <c r="F486" s="230"/>
      <c r="G486" s="230"/>
      <c r="H486" s="230"/>
      <c r="I486" s="230"/>
      <c r="J486" s="230"/>
      <c r="K486" s="230"/>
      <c r="L486" s="230"/>
      <c r="M486" s="230"/>
      <c r="N486" s="230"/>
      <c r="O486" s="230"/>
      <c r="P486" s="230"/>
      <c r="Q486" s="230"/>
      <c r="R486" s="230"/>
      <c r="S486" s="230"/>
      <c r="T486" s="230"/>
      <c r="U486" s="230"/>
      <c r="V486" s="230"/>
      <c r="W486" s="230"/>
      <c r="X486" s="230"/>
      <c r="Y486" s="230"/>
      <c r="Z486" s="230"/>
    </row>
    <row r="487">
      <c r="A487" s="230"/>
      <c r="B487" s="230"/>
      <c r="C487" s="230"/>
      <c r="D487" s="230"/>
      <c r="E487" s="230"/>
      <c r="F487" s="230"/>
      <c r="G487" s="230"/>
      <c r="H487" s="230"/>
      <c r="I487" s="230"/>
      <c r="J487" s="230"/>
      <c r="K487" s="230"/>
      <c r="L487" s="230"/>
      <c r="M487" s="230"/>
      <c r="N487" s="230"/>
      <c r="O487" s="230"/>
      <c r="P487" s="230"/>
      <c r="Q487" s="230"/>
      <c r="R487" s="230"/>
      <c r="S487" s="230"/>
      <c r="T487" s="230"/>
      <c r="U487" s="230"/>
      <c r="V487" s="230"/>
      <c r="W487" s="230"/>
      <c r="X487" s="230"/>
      <c r="Y487" s="230"/>
      <c r="Z487" s="230"/>
    </row>
    <row r="488">
      <c r="A488" s="230"/>
      <c r="B488" s="230"/>
      <c r="C488" s="230"/>
      <c r="D488" s="230"/>
      <c r="E488" s="230"/>
      <c r="F488" s="230"/>
      <c r="G488" s="230"/>
      <c r="H488" s="230"/>
      <c r="I488" s="230"/>
      <c r="J488" s="230"/>
      <c r="K488" s="230"/>
      <c r="L488" s="230"/>
      <c r="M488" s="230"/>
      <c r="N488" s="230"/>
      <c r="O488" s="230"/>
      <c r="P488" s="230"/>
      <c r="Q488" s="230"/>
      <c r="R488" s="230"/>
      <c r="S488" s="230"/>
      <c r="T488" s="230"/>
      <c r="U488" s="230"/>
      <c r="V488" s="230"/>
      <c r="W488" s="230"/>
      <c r="X488" s="230"/>
      <c r="Y488" s="230"/>
      <c r="Z488" s="230"/>
    </row>
    <row r="489">
      <c r="A489" s="230"/>
      <c r="B489" s="230"/>
      <c r="C489" s="230"/>
      <c r="D489" s="230"/>
      <c r="E489" s="230"/>
      <c r="F489" s="230"/>
      <c r="G489" s="230"/>
      <c r="H489" s="230"/>
      <c r="I489" s="230"/>
      <c r="J489" s="230"/>
      <c r="K489" s="230"/>
      <c r="L489" s="230"/>
      <c r="M489" s="230"/>
      <c r="N489" s="230"/>
      <c r="O489" s="230"/>
      <c r="P489" s="230"/>
      <c r="Q489" s="230"/>
      <c r="R489" s="230"/>
      <c r="S489" s="230"/>
      <c r="T489" s="230"/>
      <c r="U489" s="230"/>
      <c r="V489" s="230"/>
      <c r="W489" s="230"/>
      <c r="X489" s="230"/>
      <c r="Y489" s="230"/>
      <c r="Z489" s="230"/>
    </row>
    <row r="490">
      <c r="A490" s="230"/>
      <c r="B490" s="230"/>
      <c r="C490" s="230"/>
      <c r="D490" s="230"/>
      <c r="E490" s="230"/>
      <c r="F490" s="230"/>
      <c r="G490" s="230"/>
      <c r="H490" s="230"/>
      <c r="I490" s="230"/>
      <c r="J490" s="230"/>
      <c r="K490" s="230"/>
      <c r="L490" s="230"/>
      <c r="M490" s="230"/>
      <c r="N490" s="230"/>
      <c r="O490" s="230"/>
      <c r="P490" s="230"/>
      <c r="Q490" s="230"/>
      <c r="R490" s="230"/>
      <c r="S490" s="230"/>
      <c r="T490" s="230"/>
      <c r="U490" s="230"/>
      <c r="V490" s="230"/>
      <c r="W490" s="230"/>
      <c r="X490" s="230"/>
      <c r="Y490" s="230"/>
      <c r="Z490" s="230"/>
    </row>
    <row r="491">
      <c r="A491" s="230"/>
      <c r="B491" s="230"/>
      <c r="C491" s="230"/>
      <c r="D491" s="230"/>
      <c r="E491" s="230"/>
      <c r="F491" s="230"/>
      <c r="G491" s="230"/>
      <c r="H491" s="230"/>
      <c r="I491" s="230"/>
      <c r="J491" s="230"/>
      <c r="K491" s="230"/>
      <c r="L491" s="230"/>
      <c r="M491" s="230"/>
      <c r="N491" s="230"/>
      <c r="O491" s="230"/>
      <c r="P491" s="230"/>
      <c r="Q491" s="230"/>
      <c r="R491" s="230"/>
      <c r="S491" s="230"/>
      <c r="T491" s="230"/>
      <c r="U491" s="230"/>
      <c r="V491" s="230"/>
      <c r="W491" s="230"/>
      <c r="X491" s="230"/>
      <c r="Y491" s="230"/>
      <c r="Z491" s="230"/>
    </row>
    <row r="492">
      <c r="A492" s="230"/>
      <c r="B492" s="230"/>
      <c r="C492" s="230"/>
      <c r="D492" s="230"/>
      <c r="E492" s="230"/>
      <c r="F492" s="230"/>
      <c r="G492" s="230"/>
      <c r="H492" s="230"/>
      <c r="I492" s="230"/>
      <c r="J492" s="230"/>
      <c r="K492" s="230"/>
      <c r="L492" s="230"/>
      <c r="M492" s="230"/>
      <c r="N492" s="230"/>
      <c r="O492" s="230"/>
      <c r="P492" s="230"/>
      <c r="Q492" s="230"/>
      <c r="R492" s="230"/>
      <c r="S492" s="230"/>
      <c r="T492" s="230"/>
      <c r="U492" s="230"/>
      <c r="V492" s="230"/>
      <c r="W492" s="230"/>
      <c r="X492" s="230"/>
      <c r="Y492" s="230"/>
      <c r="Z492" s="230"/>
    </row>
    <row r="493">
      <c r="A493" s="230"/>
      <c r="B493" s="230"/>
      <c r="C493" s="230"/>
      <c r="D493" s="230"/>
      <c r="E493" s="230"/>
      <c r="F493" s="230"/>
      <c r="G493" s="230"/>
      <c r="H493" s="230"/>
      <c r="I493" s="230"/>
      <c r="J493" s="230"/>
      <c r="K493" s="230"/>
      <c r="L493" s="230"/>
      <c r="M493" s="230"/>
      <c r="N493" s="230"/>
      <c r="O493" s="230"/>
      <c r="P493" s="230"/>
      <c r="Q493" s="230"/>
      <c r="R493" s="230"/>
      <c r="S493" s="230"/>
      <c r="T493" s="230"/>
      <c r="U493" s="230"/>
      <c r="V493" s="230"/>
      <c r="W493" s="230"/>
      <c r="X493" s="230"/>
      <c r="Y493" s="230"/>
      <c r="Z493" s="230"/>
    </row>
    <row r="494">
      <c r="A494" s="230"/>
      <c r="B494" s="230"/>
      <c r="C494" s="230"/>
      <c r="D494" s="230"/>
      <c r="E494" s="230"/>
      <c r="F494" s="230"/>
      <c r="G494" s="230"/>
      <c r="H494" s="230"/>
      <c r="I494" s="230"/>
      <c r="J494" s="230"/>
      <c r="K494" s="230"/>
      <c r="L494" s="230"/>
      <c r="M494" s="230"/>
      <c r="N494" s="230"/>
      <c r="O494" s="230"/>
      <c r="P494" s="230"/>
      <c r="Q494" s="230"/>
      <c r="R494" s="230"/>
      <c r="S494" s="230"/>
      <c r="T494" s="230"/>
      <c r="U494" s="230"/>
      <c r="V494" s="230"/>
      <c r="W494" s="230"/>
      <c r="X494" s="230"/>
      <c r="Y494" s="230"/>
      <c r="Z494" s="230"/>
    </row>
    <row r="495">
      <c r="A495" s="230"/>
      <c r="B495" s="230"/>
      <c r="C495" s="230"/>
      <c r="D495" s="230"/>
      <c r="E495" s="230"/>
      <c r="F495" s="230"/>
      <c r="G495" s="230"/>
      <c r="H495" s="230"/>
      <c r="I495" s="230"/>
      <c r="J495" s="230"/>
      <c r="K495" s="230"/>
      <c r="L495" s="230"/>
      <c r="M495" s="230"/>
      <c r="N495" s="230"/>
      <c r="O495" s="230"/>
      <c r="P495" s="230"/>
      <c r="Q495" s="230"/>
      <c r="R495" s="230"/>
      <c r="S495" s="230"/>
      <c r="T495" s="230"/>
      <c r="U495" s="230"/>
      <c r="V495" s="230"/>
      <c r="W495" s="230"/>
      <c r="X495" s="230"/>
      <c r="Y495" s="230"/>
      <c r="Z495" s="230"/>
    </row>
    <row r="496">
      <c r="A496" s="230"/>
      <c r="B496" s="230"/>
      <c r="C496" s="230"/>
      <c r="D496" s="230"/>
      <c r="E496" s="230"/>
      <c r="F496" s="230"/>
      <c r="G496" s="230"/>
      <c r="H496" s="230"/>
      <c r="I496" s="230"/>
      <c r="J496" s="230"/>
      <c r="K496" s="230"/>
      <c r="L496" s="230"/>
      <c r="M496" s="230"/>
      <c r="N496" s="230"/>
      <c r="O496" s="230"/>
      <c r="P496" s="230"/>
      <c r="Q496" s="230"/>
      <c r="R496" s="230"/>
      <c r="S496" s="230"/>
      <c r="T496" s="230"/>
      <c r="U496" s="230"/>
      <c r="V496" s="230"/>
      <c r="W496" s="230"/>
      <c r="X496" s="230"/>
      <c r="Y496" s="230"/>
      <c r="Z496" s="230"/>
    </row>
    <row r="497">
      <c r="A497" s="230"/>
      <c r="B497" s="230"/>
      <c r="C497" s="230"/>
      <c r="D497" s="230"/>
      <c r="E497" s="230"/>
      <c r="F497" s="230"/>
      <c r="G497" s="230"/>
      <c r="H497" s="230"/>
      <c r="I497" s="230"/>
      <c r="J497" s="230"/>
      <c r="K497" s="230"/>
      <c r="L497" s="230"/>
      <c r="M497" s="230"/>
      <c r="N497" s="230"/>
      <c r="O497" s="230"/>
      <c r="P497" s="230"/>
      <c r="Q497" s="230"/>
      <c r="R497" s="230"/>
      <c r="S497" s="230"/>
      <c r="T497" s="230"/>
      <c r="U497" s="230"/>
      <c r="V497" s="230"/>
      <c r="W497" s="230"/>
      <c r="X497" s="230"/>
      <c r="Y497" s="230"/>
      <c r="Z497" s="230"/>
    </row>
    <row r="498">
      <c r="A498" s="230"/>
      <c r="B498" s="230"/>
      <c r="C498" s="230"/>
      <c r="D498" s="230"/>
      <c r="E498" s="230"/>
      <c r="F498" s="230"/>
      <c r="G498" s="230"/>
      <c r="H498" s="230"/>
      <c r="I498" s="230"/>
      <c r="J498" s="230"/>
      <c r="K498" s="230"/>
      <c r="L498" s="230"/>
      <c r="M498" s="230"/>
      <c r="N498" s="230"/>
      <c r="O498" s="230"/>
      <c r="P498" s="230"/>
      <c r="Q498" s="230"/>
      <c r="R498" s="230"/>
      <c r="S498" s="230"/>
      <c r="T498" s="230"/>
      <c r="U498" s="230"/>
      <c r="V498" s="230"/>
      <c r="W498" s="230"/>
      <c r="X498" s="230"/>
      <c r="Y498" s="230"/>
      <c r="Z498" s="230"/>
    </row>
    <row r="499">
      <c r="A499" s="230"/>
      <c r="B499" s="230"/>
      <c r="C499" s="230"/>
      <c r="D499" s="230"/>
      <c r="E499" s="230"/>
      <c r="F499" s="230"/>
      <c r="G499" s="230"/>
      <c r="H499" s="230"/>
      <c r="I499" s="230"/>
      <c r="J499" s="230"/>
      <c r="K499" s="230"/>
      <c r="L499" s="230"/>
      <c r="M499" s="230"/>
      <c r="N499" s="230"/>
      <c r="O499" s="230"/>
      <c r="P499" s="230"/>
      <c r="Q499" s="230"/>
      <c r="R499" s="230"/>
      <c r="S499" s="230"/>
      <c r="T499" s="230"/>
      <c r="U499" s="230"/>
      <c r="V499" s="230"/>
      <c r="W499" s="230"/>
      <c r="X499" s="230"/>
      <c r="Y499" s="230"/>
      <c r="Z499" s="230"/>
    </row>
    <row r="500">
      <c r="A500" s="230"/>
      <c r="B500" s="230"/>
      <c r="C500" s="230"/>
      <c r="D500" s="230"/>
      <c r="E500" s="230"/>
      <c r="F500" s="230"/>
      <c r="G500" s="230"/>
      <c r="H500" s="230"/>
      <c r="I500" s="230"/>
      <c r="J500" s="230"/>
      <c r="K500" s="230"/>
      <c r="L500" s="230"/>
      <c r="M500" s="230"/>
      <c r="N500" s="230"/>
      <c r="O500" s="230"/>
      <c r="P500" s="230"/>
      <c r="Q500" s="230"/>
      <c r="R500" s="230"/>
      <c r="S500" s="230"/>
      <c r="T500" s="230"/>
      <c r="U500" s="230"/>
      <c r="V500" s="230"/>
      <c r="W500" s="230"/>
      <c r="X500" s="230"/>
      <c r="Y500" s="230"/>
      <c r="Z500" s="230"/>
    </row>
    <row r="501">
      <c r="A501" s="230"/>
      <c r="B501" s="230"/>
      <c r="C501" s="230"/>
      <c r="D501" s="230"/>
      <c r="E501" s="230"/>
      <c r="F501" s="230"/>
      <c r="G501" s="230"/>
      <c r="H501" s="230"/>
      <c r="I501" s="230"/>
      <c r="J501" s="230"/>
      <c r="K501" s="230"/>
      <c r="L501" s="230"/>
      <c r="M501" s="230"/>
      <c r="N501" s="230"/>
      <c r="O501" s="230"/>
      <c r="P501" s="230"/>
      <c r="Q501" s="230"/>
      <c r="R501" s="230"/>
      <c r="S501" s="230"/>
      <c r="T501" s="230"/>
      <c r="U501" s="230"/>
      <c r="V501" s="230"/>
      <c r="W501" s="230"/>
      <c r="X501" s="230"/>
      <c r="Y501" s="230"/>
      <c r="Z501" s="230"/>
    </row>
    <row r="502">
      <c r="A502" s="230"/>
      <c r="B502" s="230"/>
      <c r="C502" s="230"/>
      <c r="D502" s="230"/>
      <c r="E502" s="230"/>
      <c r="F502" s="230"/>
      <c r="G502" s="230"/>
      <c r="H502" s="230"/>
      <c r="I502" s="230"/>
      <c r="J502" s="230"/>
      <c r="K502" s="230"/>
      <c r="L502" s="230"/>
      <c r="M502" s="230"/>
      <c r="N502" s="230"/>
      <c r="O502" s="230"/>
      <c r="P502" s="230"/>
      <c r="Q502" s="230"/>
      <c r="R502" s="230"/>
      <c r="S502" s="230"/>
      <c r="T502" s="230"/>
      <c r="U502" s="230"/>
      <c r="V502" s="230"/>
      <c r="W502" s="230"/>
      <c r="X502" s="230"/>
      <c r="Y502" s="230"/>
      <c r="Z502" s="230"/>
    </row>
    <row r="503">
      <c r="A503" s="230"/>
      <c r="B503" s="230"/>
      <c r="C503" s="230"/>
      <c r="D503" s="230"/>
      <c r="E503" s="230"/>
      <c r="F503" s="230"/>
      <c r="G503" s="230"/>
      <c r="H503" s="230"/>
      <c r="I503" s="230"/>
      <c r="J503" s="230"/>
      <c r="K503" s="230"/>
      <c r="L503" s="230"/>
      <c r="M503" s="230"/>
      <c r="N503" s="230"/>
      <c r="O503" s="230"/>
      <c r="P503" s="230"/>
      <c r="Q503" s="230"/>
      <c r="R503" s="230"/>
      <c r="S503" s="230"/>
      <c r="T503" s="230"/>
      <c r="U503" s="230"/>
      <c r="V503" s="230"/>
      <c r="W503" s="230"/>
      <c r="X503" s="230"/>
      <c r="Y503" s="230"/>
      <c r="Z503" s="230"/>
    </row>
    <row r="504">
      <c r="A504" s="230"/>
      <c r="B504" s="230"/>
      <c r="C504" s="230"/>
      <c r="D504" s="230"/>
      <c r="E504" s="230"/>
      <c r="F504" s="230"/>
      <c r="G504" s="230"/>
      <c r="H504" s="230"/>
      <c r="I504" s="230"/>
      <c r="J504" s="230"/>
      <c r="K504" s="230"/>
      <c r="L504" s="230"/>
      <c r="M504" s="230"/>
      <c r="N504" s="230"/>
      <c r="O504" s="230"/>
      <c r="P504" s="230"/>
      <c r="Q504" s="230"/>
      <c r="R504" s="230"/>
      <c r="S504" s="230"/>
      <c r="T504" s="230"/>
      <c r="U504" s="230"/>
      <c r="V504" s="230"/>
      <c r="W504" s="230"/>
      <c r="X504" s="230"/>
      <c r="Y504" s="230"/>
      <c r="Z504" s="230"/>
    </row>
    <row r="505">
      <c r="A505" s="230"/>
      <c r="B505" s="230"/>
      <c r="C505" s="230"/>
      <c r="D505" s="230"/>
      <c r="E505" s="230"/>
      <c r="F505" s="230"/>
      <c r="G505" s="230"/>
      <c r="H505" s="230"/>
      <c r="I505" s="230"/>
      <c r="J505" s="230"/>
      <c r="K505" s="230"/>
      <c r="L505" s="230"/>
      <c r="M505" s="230"/>
      <c r="N505" s="230"/>
      <c r="O505" s="230"/>
      <c r="P505" s="230"/>
      <c r="Q505" s="230"/>
      <c r="R505" s="230"/>
      <c r="S505" s="230"/>
      <c r="T505" s="230"/>
      <c r="U505" s="230"/>
      <c r="V505" s="230"/>
      <c r="W505" s="230"/>
      <c r="X505" s="230"/>
      <c r="Y505" s="230"/>
      <c r="Z505" s="230"/>
    </row>
    <row r="506">
      <c r="A506" s="230"/>
      <c r="B506" s="230"/>
      <c r="C506" s="230"/>
      <c r="D506" s="230"/>
      <c r="E506" s="230"/>
      <c r="F506" s="230"/>
      <c r="G506" s="230"/>
      <c r="H506" s="230"/>
      <c r="I506" s="230"/>
      <c r="J506" s="230"/>
      <c r="K506" s="230"/>
      <c r="L506" s="230"/>
      <c r="M506" s="230"/>
      <c r="N506" s="230"/>
      <c r="O506" s="230"/>
      <c r="P506" s="230"/>
      <c r="Q506" s="230"/>
      <c r="R506" s="230"/>
      <c r="S506" s="230"/>
      <c r="T506" s="230"/>
      <c r="U506" s="230"/>
      <c r="V506" s="230"/>
      <c r="W506" s="230"/>
      <c r="X506" s="230"/>
      <c r="Y506" s="230"/>
      <c r="Z506" s="230"/>
    </row>
    <row r="507">
      <c r="A507" s="230"/>
      <c r="B507" s="230"/>
      <c r="C507" s="230"/>
      <c r="D507" s="230"/>
      <c r="E507" s="230"/>
      <c r="F507" s="230"/>
      <c r="G507" s="230"/>
      <c r="H507" s="230"/>
      <c r="I507" s="230"/>
      <c r="J507" s="230"/>
      <c r="K507" s="230"/>
      <c r="L507" s="230"/>
      <c r="M507" s="230"/>
      <c r="N507" s="230"/>
      <c r="O507" s="230"/>
      <c r="P507" s="230"/>
      <c r="Q507" s="230"/>
      <c r="R507" s="230"/>
      <c r="S507" s="230"/>
      <c r="T507" s="230"/>
      <c r="U507" s="230"/>
      <c r="V507" s="230"/>
      <c r="W507" s="230"/>
      <c r="X507" s="230"/>
      <c r="Y507" s="230"/>
      <c r="Z507" s="230"/>
    </row>
    <row r="508">
      <c r="A508" s="230"/>
      <c r="B508" s="230"/>
      <c r="C508" s="230"/>
      <c r="D508" s="230"/>
      <c r="E508" s="230"/>
      <c r="F508" s="230"/>
      <c r="G508" s="230"/>
      <c r="H508" s="230"/>
      <c r="I508" s="230"/>
      <c r="J508" s="230"/>
      <c r="K508" s="230"/>
      <c r="L508" s="230"/>
      <c r="M508" s="230"/>
      <c r="N508" s="230"/>
      <c r="O508" s="230"/>
      <c r="P508" s="230"/>
      <c r="Q508" s="230"/>
      <c r="R508" s="230"/>
      <c r="S508" s="230"/>
      <c r="T508" s="230"/>
      <c r="U508" s="230"/>
      <c r="V508" s="230"/>
      <c r="W508" s="230"/>
      <c r="X508" s="230"/>
      <c r="Y508" s="230"/>
      <c r="Z508" s="230"/>
    </row>
    <row r="509">
      <c r="A509" s="230"/>
      <c r="B509" s="230"/>
      <c r="C509" s="230"/>
      <c r="D509" s="230"/>
      <c r="E509" s="230"/>
      <c r="F509" s="230"/>
      <c r="G509" s="230"/>
      <c r="H509" s="230"/>
      <c r="I509" s="230"/>
      <c r="J509" s="230"/>
      <c r="K509" s="230"/>
      <c r="L509" s="230"/>
      <c r="M509" s="230"/>
      <c r="N509" s="230"/>
      <c r="O509" s="230"/>
      <c r="P509" s="230"/>
      <c r="Q509" s="230"/>
      <c r="R509" s="230"/>
      <c r="S509" s="230"/>
      <c r="T509" s="230"/>
      <c r="U509" s="230"/>
      <c r="V509" s="230"/>
      <c r="W509" s="230"/>
      <c r="X509" s="230"/>
      <c r="Y509" s="230"/>
      <c r="Z509" s="230"/>
    </row>
    <row r="510">
      <c r="A510" s="230"/>
      <c r="B510" s="230"/>
      <c r="C510" s="230"/>
      <c r="D510" s="230"/>
      <c r="E510" s="230"/>
      <c r="F510" s="230"/>
      <c r="G510" s="230"/>
      <c r="H510" s="230"/>
      <c r="I510" s="230"/>
      <c r="J510" s="230"/>
      <c r="K510" s="230"/>
      <c r="L510" s="230"/>
      <c r="M510" s="230"/>
      <c r="N510" s="230"/>
      <c r="O510" s="230"/>
      <c r="P510" s="230"/>
      <c r="Q510" s="230"/>
      <c r="R510" s="230"/>
      <c r="S510" s="230"/>
      <c r="T510" s="230"/>
      <c r="U510" s="230"/>
      <c r="V510" s="230"/>
      <c r="W510" s="230"/>
      <c r="X510" s="230"/>
      <c r="Y510" s="230"/>
      <c r="Z510" s="230"/>
    </row>
    <row r="511">
      <c r="A511" s="230"/>
      <c r="B511" s="230"/>
      <c r="C511" s="230"/>
      <c r="D511" s="230"/>
      <c r="E511" s="230"/>
      <c r="F511" s="230"/>
      <c r="G511" s="230"/>
      <c r="H511" s="230"/>
      <c r="I511" s="230"/>
      <c r="J511" s="230"/>
      <c r="K511" s="230"/>
      <c r="L511" s="230"/>
      <c r="M511" s="230"/>
      <c r="N511" s="230"/>
      <c r="O511" s="230"/>
      <c r="P511" s="230"/>
      <c r="Q511" s="230"/>
      <c r="R511" s="230"/>
      <c r="S511" s="230"/>
      <c r="T511" s="230"/>
      <c r="U511" s="230"/>
      <c r="V511" s="230"/>
      <c r="W511" s="230"/>
      <c r="X511" s="230"/>
      <c r="Y511" s="230"/>
      <c r="Z511" s="230"/>
    </row>
    <row r="512">
      <c r="A512" s="230"/>
      <c r="B512" s="230"/>
      <c r="C512" s="230"/>
      <c r="D512" s="230"/>
      <c r="E512" s="230"/>
      <c r="F512" s="230"/>
      <c r="G512" s="230"/>
      <c r="H512" s="230"/>
      <c r="I512" s="230"/>
      <c r="J512" s="230"/>
      <c r="K512" s="230"/>
      <c r="L512" s="230"/>
      <c r="M512" s="230"/>
      <c r="N512" s="230"/>
      <c r="O512" s="230"/>
      <c r="P512" s="230"/>
      <c r="Q512" s="230"/>
      <c r="R512" s="230"/>
      <c r="S512" s="230"/>
      <c r="T512" s="230"/>
      <c r="U512" s="230"/>
      <c r="V512" s="230"/>
      <c r="W512" s="230"/>
      <c r="X512" s="230"/>
      <c r="Y512" s="230"/>
      <c r="Z512" s="230"/>
    </row>
    <row r="513">
      <c r="A513" s="230"/>
      <c r="B513" s="230"/>
      <c r="C513" s="230"/>
      <c r="D513" s="230"/>
      <c r="E513" s="230"/>
      <c r="F513" s="230"/>
      <c r="G513" s="230"/>
      <c r="H513" s="230"/>
      <c r="I513" s="230"/>
      <c r="J513" s="230"/>
      <c r="K513" s="230"/>
      <c r="L513" s="230"/>
      <c r="M513" s="230"/>
      <c r="N513" s="230"/>
      <c r="O513" s="230"/>
      <c r="P513" s="230"/>
      <c r="Q513" s="230"/>
      <c r="R513" s="230"/>
      <c r="S513" s="230"/>
      <c r="T513" s="230"/>
      <c r="U513" s="230"/>
      <c r="V513" s="230"/>
      <c r="W513" s="230"/>
      <c r="X513" s="230"/>
      <c r="Y513" s="230"/>
      <c r="Z513" s="230"/>
    </row>
    <row r="514">
      <c r="A514" s="230"/>
      <c r="B514" s="230"/>
      <c r="C514" s="230"/>
      <c r="D514" s="230"/>
      <c r="E514" s="230"/>
      <c r="F514" s="230"/>
      <c r="G514" s="230"/>
      <c r="H514" s="230"/>
      <c r="I514" s="230"/>
      <c r="J514" s="230"/>
      <c r="K514" s="230"/>
      <c r="L514" s="230"/>
      <c r="M514" s="230"/>
      <c r="N514" s="230"/>
      <c r="O514" s="230"/>
      <c r="P514" s="230"/>
      <c r="Q514" s="230"/>
      <c r="R514" s="230"/>
      <c r="S514" s="230"/>
      <c r="T514" s="230"/>
      <c r="U514" s="230"/>
      <c r="V514" s="230"/>
      <c r="W514" s="230"/>
      <c r="X514" s="230"/>
      <c r="Y514" s="230"/>
      <c r="Z514" s="230"/>
    </row>
    <row r="515">
      <c r="A515" s="230"/>
      <c r="B515" s="230"/>
      <c r="C515" s="230"/>
      <c r="D515" s="230"/>
      <c r="E515" s="230"/>
      <c r="F515" s="230"/>
      <c r="G515" s="230"/>
      <c r="H515" s="230"/>
      <c r="I515" s="230"/>
      <c r="J515" s="230"/>
      <c r="K515" s="230"/>
      <c r="L515" s="230"/>
      <c r="M515" s="230"/>
      <c r="N515" s="230"/>
      <c r="O515" s="230"/>
      <c r="P515" s="230"/>
      <c r="Q515" s="230"/>
      <c r="R515" s="230"/>
      <c r="S515" s="230"/>
      <c r="T515" s="230"/>
      <c r="U515" s="230"/>
      <c r="V515" s="230"/>
      <c r="W515" s="230"/>
      <c r="X515" s="230"/>
      <c r="Y515" s="230"/>
      <c r="Z515" s="230"/>
    </row>
    <row r="516">
      <c r="A516" s="230"/>
      <c r="B516" s="230"/>
      <c r="C516" s="230"/>
      <c r="D516" s="230"/>
      <c r="E516" s="230"/>
      <c r="F516" s="230"/>
      <c r="G516" s="230"/>
      <c r="H516" s="230"/>
      <c r="I516" s="230"/>
      <c r="J516" s="230"/>
      <c r="K516" s="230"/>
      <c r="L516" s="230"/>
      <c r="M516" s="230"/>
      <c r="N516" s="230"/>
      <c r="O516" s="230"/>
      <c r="P516" s="230"/>
      <c r="Q516" s="230"/>
      <c r="R516" s="230"/>
      <c r="S516" s="230"/>
      <c r="T516" s="230"/>
      <c r="U516" s="230"/>
      <c r="V516" s="230"/>
      <c r="W516" s="230"/>
      <c r="X516" s="230"/>
      <c r="Y516" s="230"/>
      <c r="Z516" s="230"/>
    </row>
    <row r="517">
      <c r="A517" s="230"/>
      <c r="B517" s="230"/>
      <c r="C517" s="230"/>
      <c r="D517" s="230"/>
      <c r="E517" s="230"/>
      <c r="F517" s="230"/>
      <c r="G517" s="230"/>
      <c r="H517" s="230"/>
      <c r="I517" s="230"/>
      <c r="J517" s="230"/>
      <c r="K517" s="230"/>
      <c r="L517" s="230"/>
      <c r="M517" s="230"/>
      <c r="N517" s="230"/>
      <c r="O517" s="230"/>
      <c r="P517" s="230"/>
      <c r="Q517" s="230"/>
      <c r="R517" s="230"/>
      <c r="S517" s="230"/>
      <c r="T517" s="230"/>
      <c r="U517" s="230"/>
      <c r="V517" s="230"/>
      <c r="W517" s="230"/>
      <c r="X517" s="230"/>
      <c r="Y517" s="230"/>
      <c r="Z517" s="230"/>
    </row>
    <row r="518">
      <c r="A518" s="230"/>
      <c r="B518" s="230"/>
      <c r="C518" s="230"/>
      <c r="D518" s="230"/>
      <c r="E518" s="230"/>
      <c r="F518" s="230"/>
      <c r="G518" s="230"/>
      <c r="H518" s="230"/>
      <c r="I518" s="230"/>
      <c r="J518" s="230"/>
      <c r="K518" s="230"/>
      <c r="L518" s="230"/>
      <c r="M518" s="230"/>
      <c r="N518" s="230"/>
      <c r="O518" s="230"/>
      <c r="P518" s="230"/>
      <c r="Q518" s="230"/>
      <c r="R518" s="230"/>
      <c r="S518" s="230"/>
      <c r="T518" s="230"/>
      <c r="U518" s="230"/>
      <c r="V518" s="230"/>
      <c r="W518" s="230"/>
      <c r="X518" s="230"/>
      <c r="Y518" s="230"/>
      <c r="Z518" s="230"/>
    </row>
    <row r="519">
      <c r="A519" s="230"/>
      <c r="B519" s="230"/>
      <c r="C519" s="230"/>
      <c r="D519" s="230"/>
      <c r="E519" s="230"/>
      <c r="F519" s="230"/>
      <c r="G519" s="230"/>
      <c r="H519" s="230"/>
      <c r="I519" s="230"/>
      <c r="J519" s="230"/>
      <c r="K519" s="230"/>
      <c r="L519" s="230"/>
      <c r="M519" s="230"/>
      <c r="N519" s="230"/>
      <c r="O519" s="230"/>
      <c r="P519" s="230"/>
      <c r="Q519" s="230"/>
      <c r="R519" s="230"/>
      <c r="S519" s="230"/>
      <c r="T519" s="230"/>
      <c r="U519" s="230"/>
      <c r="V519" s="230"/>
      <c r="W519" s="230"/>
      <c r="X519" s="230"/>
      <c r="Y519" s="230"/>
      <c r="Z519" s="230"/>
    </row>
    <row r="520">
      <c r="A520" s="230"/>
      <c r="B520" s="230"/>
      <c r="C520" s="230"/>
      <c r="D520" s="230"/>
      <c r="E520" s="230"/>
      <c r="F520" s="230"/>
      <c r="G520" s="230"/>
      <c r="H520" s="230"/>
      <c r="I520" s="230"/>
      <c r="J520" s="230"/>
      <c r="K520" s="230"/>
      <c r="L520" s="230"/>
      <c r="M520" s="230"/>
      <c r="N520" s="230"/>
      <c r="O520" s="230"/>
      <c r="P520" s="230"/>
      <c r="Q520" s="230"/>
      <c r="R520" s="230"/>
      <c r="S520" s="230"/>
      <c r="T520" s="230"/>
      <c r="U520" s="230"/>
      <c r="V520" s="230"/>
      <c r="W520" s="230"/>
      <c r="X520" s="230"/>
      <c r="Y520" s="230"/>
      <c r="Z520" s="230"/>
    </row>
    <row r="521">
      <c r="A521" s="230"/>
      <c r="B521" s="230"/>
      <c r="C521" s="230"/>
      <c r="D521" s="230"/>
      <c r="E521" s="230"/>
      <c r="F521" s="230"/>
      <c r="G521" s="230"/>
      <c r="H521" s="230"/>
      <c r="I521" s="230"/>
      <c r="J521" s="230"/>
      <c r="K521" s="230"/>
      <c r="L521" s="230"/>
      <c r="M521" s="230"/>
      <c r="N521" s="230"/>
      <c r="O521" s="230"/>
      <c r="P521" s="230"/>
      <c r="Q521" s="230"/>
      <c r="R521" s="230"/>
      <c r="S521" s="230"/>
      <c r="T521" s="230"/>
      <c r="U521" s="230"/>
      <c r="V521" s="230"/>
      <c r="W521" s="230"/>
      <c r="X521" s="230"/>
      <c r="Y521" s="230"/>
      <c r="Z521" s="230"/>
    </row>
    <row r="522">
      <c r="A522" s="230"/>
      <c r="B522" s="230"/>
      <c r="C522" s="230"/>
      <c r="D522" s="230"/>
      <c r="E522" s="230"/>
      <c r="F522" s="230"/>
      <c r="G522" s="230"/>
      <c r="H522" s="230"/>
      <c r="I522" s="230"/>
      <c r="J522" s="230"/>
      <c r="K522" s="230"/>
      <c r="L522" s="230"/>
      <c r="M522" s="230"/>
      <c r="N522" s="230"/>
      <c r="O522" s="230"/>
      <c r="P522" s="230"/>
      <c r="Q522" s="230"/>
      <c r="R522" s="230"/>
      <c r="S522" s="230"/>
      <c r="T522" s="230"/>
      <c r="U522" s="230"/>
      <c r="V522" s="230"/>
      <c r="W522" s="230"/>
      <c r="X522" s="230"/>
      <c r="Y522" s="230"/>
      <c r="Z522" s="230"/>
    </row>
    <row r="523">
      <c r="A523" s="230"/>
      <c r="B523" s="230"/>
      <c r="C523" s="230"/>
      <c r="D523" s="230"/>
      <c r="E523" s="230"/>
      <c r="F523" s="230"/>
      <c r="G523" s="230"/>
      <c r="H523" s="230"/>
      <c r="I523" s="230"/>
      <c r="J523" s="230"/>
      <c r="K523" s="230"/>
      <c r="L523" s="230"/>
      <c r="M523" s="230"/>
      <c r="N523" s="230"/>
      <c r="O523" s="230"/>
      <c r="P523" s="230"/>
      <c r="Q523" s="230"/>
      <c r="R523" s="230"/>
      <c r="S523" s="230"/>
      <c r="T523" s="230"/>
      <c r="U523" s="230"/>
      <c r="V523" s="230"/>
      <c r="W523" s="230"/>
      <c r="X523" s="230"/>
      <c r="Y523" s="230"/>
      <c r="Z523" s="230"/>
    </row>
    <row r="524">
      <c r="A524" s="230"/>
      <c r="B524" s="230"/>
      <c r="C524" s="230"/>
      <c r="D524" s="230"/>
      <c r="E524" s="230"/>
      <c r="F524" s="230"/>
      <c r="G524" s="230"/>
      <c r="H524" s="230"/>
      <c r="I524" s="230"/>
      <c r="J524" s="230"/>
      <c r="K524" s="230"/>
      <c r="L524" s="230"/>
      <c r="M524" s="230"/>
      <c r="N524" s="230"/>
      <c r="O524" s="230"/>
      <c r="P524" s="230"/>
      <c r="Q524" s="230"/>
      <c r="R524" s="230"/>
      <c r="S524" s="230"/>
      <c r="T524" s="230"/>
      <c r="U524" s="230"/>
      <c r="V524" s="230"/>
      <c r="W524" s="230"/>
      <c r="X524" s="230"/>
      <c r="Y524" s="230"/>
      <c r="Z524" s="230"/>
    </row>
    <row r="525">
      <c r="A525" s="230"/>
      <c r="B525" s="230"/>
      <c r="C525" s="230"/>
      <c r="D525" s="230"/>
      <c r="E525" s="230"/>
      <c r="F525" s="230"/>
      <c r="G525" s="230"/>
      <c r="H525" s="230"/>
      <c r="I525" s="230"/>
      <c r="J525" s="230"/>
      <c r="K525" s="230"/>
      <c r="L525" s="230"/>
      <c r="M525" s="230"/>
      <c r="N525" s="230"/>
      <c r="O525" s="230"/>
      <c r="P525" s="230"/>
      <c r="Q525" s="230"/>
      <c r="R525" s="230"/>
      <c r="S525" s="230"/>
      <c r="T525" s="230"/>
      <c r="U525" s="230"/>
      <c r="V525" s="230"/>
      <c r="W525" s="230"/>
      <c r="X525" s="230"/>
      <c r="Y525" s="230"/>
      <c r="Z525" s="230"/>
    </row>
    <row r="526">
      <c r="A526" s="230"/>
      <c r="B526" s="230"/>
      <c r="C526" s="230"/>
      <c r="D526" s="230"/>
      <c r="E526" s="230"/>
      <c r="F526" s="230"/>
      <c r="G526" s="230"/>
      <c r="H526" s="230"/>
      <c r="I526" s="230"/>
      <c r="J526" s="230"/>
      <c r="K526" s="230"/>
      <c r="L526" s="230"/>
      <c r="M526" s="230"/>
      <c r="N526" s="230"/>
      <c r="O526" s="230"/>
      <c r="P526" s="230"/>
      <c r="Q526" s="230"/>
      <c r="R526" s="230"/>
      <c r="S526" s="230"/>
      <c r="T526" s="230"/>
      <c r="U526" s="230"/>
      <c r="V526" s="230"/>
      <c r="W526" s="230"/>
      <c r="X526" s="230"/>
      <c r="Y526" s="230"/>
      <c r="Z526" s="230"/>
    </row>
    <row r="527">
      <c r="A527" s="230"/>
      <c r="B527" s="230"/>
      <c r="C527" s="230"/>
      <c r="D527" s="230"/>
      <c r="E527" s="230"/>
      <c r="F527" s="230"/>
      <c r="G527" s="230"/>
      <c r="H527" s="230"/>
      <c r="I527" s="230"/>
      <c r="J527" s="230"/>
      <c r="K527" s="230"/>
      <c r="L527" s="230"/>
      <c r="M527" s="230"/>
      <c r="N527" s="230"/>
      <c r="O527" s="230"/>
      <c r="P527" s="230"/>
      <c r="Q527" s="230"/>
      <c r="R527" s="230"/>
      <c r="S527" s="230"/>
      <c r="T527" s="230"/>
      <c r="U527" s="230"/>
      <c r="V527" s="230"/>
      <c r="W527" s="230"/>
      <c r="X527" s="230"/>
      <c r="Y527" s="230"/>
      <c r="Z527" s="230"/>
    </row>
    <row r="528">
      <c r="A528" s="230"/>
      <c r="B528" s="230"/>
      <c r="C528" s="230"/>
      <c r="D528" s="230"/>
      <c r="E528" s="230"/>
      <c r="F528" s="230"/>
      <c r="G528" s="230"/>
      <c r="H528" s="230"/>
      <c r="I528" s="230"/>
      <c r="J528" s="230"/>
      <c r="K528" s="230"/>
      <c r="L528" s="230"/>
      <c r="M528" s="230"/>
      <c r="N528" s="230"/>
      <c r="O528" s="230"/>
      <c r="P528" s="230"/>
      <c r="Q528" s="230"/>
      <c r="R528" s="230"/>
      <c r="S528" s="230"/>
      <c r="T528" s="230"/>
      <c r="U528" s="230"/>
      <c r="V528" s="230"/>
      <c r="W528" s="230"/>
      <c r="X528" s="230"/>
      <c r="Y528" s="230"/>
      <c r="Z528" s="230"/>
    </row>
    <row r="529">
      <c r="A529" s="230"/>
      <c r="B529" s="230"/>
      <c r="C529" s="230"/>
      <c r="D529" s="230"/>
      <c r="E529" s="230"/>
      <c r="F529" s="230"/>
      <c r="G529" s="230"/>
      <c r="H529" s="230"/>
      <c r="I529" s="230"/>
      <c r="J529" s="230"/>
      <c r="K529" s="230"/>
      <c r="L529" s="230"/>
      <c r="M529" s="230"/>
      <c r="N529" s="230"/>
      <c r="O529" s="230"/>
      <c r="P529" s="230"/>
      <c r="Q529" s="230"/>
      <c r="R529" s="230"/>
      <c r="S529" s="230"/>
      <c r="T529" s="230"/>
      <c r="U529" s="230"/>
      <c r="V529" s="230"/>
      <c r="W529" s="230"/>
      <c r="X529" s="230"/>
      <c r="Y529" s="230"/>
      <c r="Z529" s="230"/>
    </row>
    <row r="530">
      <c r="A530" s="230"/>
      <c r="B530" s="230"/>
      <c r="C530" s="230"/>
      <c r="D530" s="230"/>
      <c r="E530" s="230"/>
      <c r="F530" s="230"/>
      <c r="G530" s="230"/>
      <c r="H530" s="230"/>
      <c r="I530" s="230"/>
      <c r="J530" s="230"/>
      <c r="K530" s="230"/>
      <c r="L530" s="230"/>
      <c r="M530" s="230"/>
      <c r="N530" s="230"/>
      <c r="O530" s="230"/>
      <c r="P530" s="230"/>
      <c r="Q530" s="230"/>
      <c r="R530" s="230"/>
      <c r="S530" s="230"/>
      <c r="T530" s="230"/>
      <c r="U530" s="230"/>
      <c r="V530" s="230"/>
      <c r="W530" s="230"/>
      <c r="X530" s="230"/>
      <c r="Y530" s="230"/>
      <c r="Z530" s="230"/>
    </row>
    <row r="531">
      <c r="A531" s="230"/>
      <c r="B531" s="230"/>
      <c r="C531" s="230"/>
      <c r="D531" s="230"/>
      <c r="E531" s="230"/>
      <c r="F531" s="230"/>
      <c r="G531" s="230"/>
      <c r="H531" s="230"/>
      <c r="I531" s="230"/>
      <c r="J531" s="230"/>
      <c r="K531" s="230"/>
      <c r="L531" s="230"/>
      <c r="M531" s="230"/>
      <c r="N531" s="230"/>
      <c r="O531" s="230"/>
      <c r="P531" s="230"/>
      <c r="Q531" s="230"/>
      <c r="R531" s="230"/>
      <c r="S531" s="230"/>
      <c r="T531" s="230"/>
      <c r="U531" s="230"/>
      <c r="V531" s="230"/>
      <c r="W531" s="230"/>
      <c r="X531" s="230"/>
      <c r="Y531" s="230"/>
      <c r="Z531" s="230"/>
    </row>
    <row r="532">
      <c r="A532" s="230"/>
      <c r="B532" s="230"/>
      <c r="C532" s="230"/>
      <c r="D532" s="230"/>
      <c r="E532" s="230"/>
      <c r="F532" s="230"/>
      <c r="G532" s="230"/>
      <c r="H532" s="230"/>
      <c r="I532" s="230"/>
      <c r="J532" s="230"/>
      <c r="K532" s="230"/>
      <c r="L532" s="230"/>
      <c r="M532" s="230"/>
      <c r="N532" s="230"/>
      <c r="O532" s="230"/>
      <c r="P532" s="230"/>
      <c r="Q532" s="230"/>
      <c r="R532" s="230"/>
      <c r="S532" s="230"/>
      <c r="T532" s="230"/>
      <c r="U532" s="230"/>
      <c r="V532" s="230"/>
      <c r="W532" s="230"/>
      <c r="X532" s="230"/>
      <c r="Y532" s="230"/>
      <c r="Z532" s="230"/>
    </row>
    <row r="533">
      <c r="A533" s="230"/>
      <c r="B533" s="230"/>
      <c r="C533" s="230"/>
      <c r="D533" s="230"/>
      <c r="E533" s="230"/>
      <c r="F533" s="230"/>
      <c r="G533" s="230"/>
      <c r="H533" s="230"/>
      <c r="I533" s="230"/>
      <c r="J533" s="230"/>
      <c r="K533" s="230"/>
      <c r="L533" s="230"/>
      <c r="M533" s="230"/>
      <c r="N533" s="230"/>
      <c r="O533" s="230"/>
      <c r="P533" s="230"/>
      <c r="Q533" s="230"/>
      <c r="R533" s="230"/>
      <c r="S533" s="230"/>
      <c r="T533" s="230"/>
      <c r="U533" s="230"/>
      <c r="V533" s="230"/>
      <c r="W533" s="230"/>
      <c r="X533" s="230"/>
      <c r="Y533" s="230"/>
      <c r="Z533" s="230"/>
    </row>
    <row r="534">
      <c r="A534" s="230"/>
      <c r="B534" s="230"/>
      <c r="C534" s="230"/>
      <c r="D534" s="230"/>
      <c r="E534" s="230"/>
      <c r="F534" s="230"/>
      <c r="G534" s="230"/>
      <c r="H534" s="230"/>
      <c r="I534" s="230"/>
      <c r="J534" s="230"/>
      <c r="K534" s="230"/>
      <c r="L534" s="230"/>
      <c r="M534" s="230"/>
      <c r="N534" s="230"/>
      <c r="O534" s="230"/>
      <c r="P534" s="230"/>
      <c r="Q534" s="230"/>
      <c r="R534" s="230"/>
      <c r="S534" s="230"/>
      <c r="T534" s="230"/>
      <c r="U534" s="230"/>
      <c r="V534" s="230"/>
      <c r="W534" s="230"/>
      <c r="X534" s="230"/>
      <c r="Y534" s="230"/>
      <c r="Z534" s="230"/>
    </row>
    <row r="535">
      <c r="A535" s="230"/>
      <c r="B535" s="230"/>
      <c r="C535" s="230"/>
      <c r="D535" s="230"/>
      <c r="E535" s="230"/>
      <c r="F535" s="230"/>
      <c r="G535" s="230"/>
      <c r="H535" s="230"/>
      <c r="I535" s="230"/>
      <c r="J535" s="230"/>
      <c r="K535" s="230"/>
      <c r="L535" s="230"/>
      <c r="M535" s="230"/>
      <c r="N535" s="230"/>
      <c r="O535" s="230"/>
      <c r="P535" s="230"/>
      <c r="Q535" s="230"/>
      <c r="R535" s="230"/>
      <c r="S535" s="230"/>
      <c r="T535" s="230"/>
      <c r="U535" s="230"/>
      <c r="V535" s="230"/>
      <c r="W535" s="230"/>
      <c r="X535" s="230"/>
      <c r="Y535" s="230"/>
      <c r="Z535" s="230"/>
    </row>
    <row r="536">
      <c r="A536" s="230"/>
      <c r="B536" s="230"/>
      <c r="C536" s="230"/>
      <c r="D536" s="230"/>
      <c r="E536" s="230"/>
      <c r="F536" s="230"/>
      <c r="G536" s="230"/>
      <c r="H536" s="230"/>
      <c r="I536" s="230"/>
      <c r="J536" s="230"/>
      <c r="K536" s="230"/>
      <c r="L536" s="230"/>
      <c r="M536" s="230"/>
      <c r="N536" s="230"/>
      <c r="O536" s="230"/>
      <c r="P536" s="230"/>
      <c r="Q536" s="230"/>
      <c r="R536" s="230"/>
      <c r="S536" s="230"/>
      <c r="T536" s="230"/>
      <c r="U536" s="230"/>
      <c r="V536" s="230"/>
      <c r="W536" s="230"/>
      <c r="X536" s="230"/>
      <c r="Y536" s="230"/>
      <c r="Z536" s="230"/>
    </row>
    <row r="537">
      <c r="A537" s="230"/>
      <c r="B537" s="230"/>
      <c r="C537" s="230"/>
      <c r="D537" s="230"/>
      <c r="E537" s="230"/>
      <c r="F537" s="230"/>
      <c r="G537" s="230"/>
      <c r="H537" s="230"/>
      <c r="I537" s="230"/>
      <c r="J537" s="230"/>
      <c r="K537" s="230"/>
      <c r="L537" s="230"/>
      <c r="M537" s="230"/>
      <c r="N537" s="230"/>
      <c r="O537" s="230"/>
      <c r="P537" s="230"/>
      <c r="Q537" s="230"/>
      <c r="R537" s="230"/>
      <c r="S537" s="230"/>
      <c r="T537" s="230"/>
      <c r="U537" s="230"/>
      <c r="V537" s="230"/>
      <c r="W537" s="230"/>
      <c r="X537" s="230"/>
      <c r="Y537" s="230"/>
      <c r="Z537" s="230"/>
    </row>
    <row r="538">
      <c r="A538" s="230"/>
      <c r="B538" s="230"/>
      <c r="C538" s="230"/>
      <c r="D538" s="230"/>
      <c r="E538" s="230"/>
      <c r="F538" s="230"/>
      <c r="G538" s="230"/>
      <c r="H538" s="230"/>
      <c r="I538" s="230"/>
      <c r="J538" s="230"/>
      <c r="K538" s="230"/>
      <c r="L538" s="230"/>
      <c r="M538" s="230"/>
      <c r="N538" s="230"/>
      <c r="O538" s="230"/>
      <c r="P538" s="230"/>
      <c r="Q538" s="230"/>
      <c r="R538" s="230"/>
      <c r="S538" s="230"/>
      <c r="T538" s="230"/>
      <c r="U538" s="230"/>
      <c r="V538" s="230"/>
      <c r="W538" s="230"/>
      <c r="X538" s="230"/>
      <c r="Y538" s="230"/>
      <c r="Z538" s="230"/>
    </row>
    <row r="539">
      <c r="A539" s="230"/>
      <c r="B539" s="230"/>
      <c r="C539" s="230"/>
      <c r="D539" s="230"/>
      <c r="E539" s="230"/>
      <c r="F539" s="230"/>
      <c r="G539" s="230"/>
      <c r="H539" s="230"/>
      <c r="I539" s="230"/>
      <c r="J539" s="230"/>
      <c r="K539" s="230"/>
      <c r="L539" s="230"/>
      <c r="M539" s="230"/>
      <c r="N539" s="230"/>
      <c r="O539" s="230"/>
      <c r="P539" s="230"/>
      <c r="Q539" s="230"/>
      <c r="R539" s="230"/>
      <c r="S539" s="230"/>
      <c r="T539" s="230"/>
      <c r="U539" s="230"/>
      <c r="V539" s="230"/>
      <c r="W539" s="230"/>
      <c r="X539" s="230"/>
      <c r="Y539" s="230"/>
      <c r="Z539" s="230"/>
    </row>
    <row r="540">
      <c r="A540" s="230"/>
      <c r="B540" s="230"/>
      <c r="C540" s="230"/>
      <c r="D540" s="230"/>
      <c r="E540" s="230"/>
      <c r="F540" s="230"/>
      <c r="G540" s="230"/>
      <c r="H540" s="230"/>
      <c r="I540" s="230"/>
      <c r="J540" s="230"/>
      <c r="K540" s="230"/>
      <c r="L540" s="230"/>
      <c r="M540" s="230"/>
      <c r="N540" s="230"/>
      <c r="O540" s="230"/>
      <c r="P540" s="230"/>
      <c r="Q540" s="230"/>
      <c r="R540" s="230"/>
      <c r="S540" s="230"/>
      <c r="T540" s="230"/>
      <c r="U540" s="230"/>
      <c r="V540" s="230"/>
      <c r="W540" s="230"/>
      <c r="X540" s="230"/>
      <c r="Y540" s="230"/>
      <c r="Z540" s="230"/>
    </row>
    <row r="541">
      <c r="A541" s="230"/>
      <c r="B541" s="230"/>
      <c r="C541" s="230"/>
      <c r="D541" s="230"/>
      <c r="E541" s="230"/>
      <c r="F541" s="230"/>
      <c r="G541" s="230"/>
      <c r="H541" s="230"/>
      <c r="I541" s="230"/>
      <c r="J541" s="230"/>
      <c r="K541" s="230"/>
      <c r="L541" s="230"/>
      <c r="M541" s="230"/>
      <c r="N541" s="230"/>
      <c r="O541" s="230"/>
      <c r="P541" s="230"/>
      <c r="Q541" s="230"/>
      <c r="R541" s="230"/>
      <c r="S541" s="230"/>
      <c r="T541" s="230"/>
      <c r="U541" s="230"/>
      <c r="V541" s="230"/>
      <c r="W541" s="230"/>
      <c r="X541" s="230"/>
      <c r="Y541" s="230"/>
      <c r="Z541" s="230"/>
    </row>
    <row r="542">
      <c r="A542" s="230"/>
      <c r="B542" s="230"/>
      <c r="C542" s="230"/>
      <c r="D542" s="230"/>
      <c r="E542" s="230"/>
      <c r="F542" s="230"/>
      <c r="G542" s="230"/>
      <c r="H542" s="230"/>
      <c r="I542" s="230"/>
      <c r="J542" s="230"/>
      <c r="K542" s="230"/>
      <c r="L542" s="230"/>
      <c r="M542" s="230"/>
      <c r="N542" s="230"/>
      <c r="O542" s="230"/>
      <c r="P542" s="230"/>
      <c r="Q542" s="230"/>
      <c r="R542" s="230"/>
      <c r="S542" s="230"/>
      <c r="T542" s="230"/>
      <c r="U542" s="230"/>
      <c r="V542" s="230"/>
      <c r="W542" s="230"/>
      <c r="X542" s="230"/>
      <c r="Y542" s="230"/>
      <c r="Z542" s="230"/>
    </row>
    <row r="543">
      <c r="A543" s="230"/>
      <c r="B543" s="230"/>
      <c r="C543" s="230"/>
      <c r="D543" s="230"/>
      <c r="E543" s="230"/>
      <c r="F543" s="230"/>
      <c r="G543" s="230"/>
      <c r="H543" s="230"/>
      <c r="I543" s="230"/>
      <c r="J543" s="230"/>
      <c r="K543" s="230"/>
      <c r="L543" s="230"/>
      <c r="M543" s="230"/>
      <c r="N543" s="230"/>
      <c r="O543" s="230"/>
      <c r="P543" s="230"/>
      <c r="Q543" s="230"/>
      <c r="R543" s="230"/>
      <c r="S543" s="230"/>
      <c r="T543" s="230"/>
      <c r="U543" s="230"/>
      <c r="V543" s="230"/>
      <c r="W543" s="230"/>
      <c r="X543" s="230"/>
      <c r="Y543" s="230"/>
      <c r="Z543" s="230"/>
    </row>
    <row r="544">
      <c r="A544" s="230"/>
      <c r="B544" s="230"/>
      <c r="C544" s="230"/>
      <c r="D544" s="230"/>
      <c r="E544" s="230"/>
      <c r="F544" s="230"/>
      <c r="G544" s="230"/>
      <c r="H544" s="230"/>
      <c r="I544" s="230"/>
      <c r="J544" s="230"/>
      <c r="K544" s="230"/>
      <c r="L544" s="230"/>
      <c r="M544" s="230"/>
      <c r="N544" s="230"/>
      <c r="O544" s="230"/>
      <c r="P544" s="230"/>
      <c r="Q544" s="230"/>
      <c r="R544" s="230"/>
      <c r="S544" s="230"/>
      <c r="T544" s="230"/>
      <c r="U544" s="230"/>
      <c r="V544" s="230"/>
      <c r="W544" s="230"/>
      <c r="X544" s="230"/>
      <c r="Y544" s="230"/>
      <c r="Z544" s="230"/>
    </row>
    <row r="545">
      <c r="A545" s="230"/>
      <c r="B545" s="230"/>
      <c r="C545" s="230"/>
      <c r="D545" s="230"/>
      <c r="E545" s="230"/>
      <c r="F545" s="230"/>
      <c r="G545" s="230"/>
      <c r="H545" s="230"/>
      <c r="I545" s="230"/>
      <c r="J545" s="230"/>
      <c r="K545" s="230"/>
      <c r="L545" s="230"/>
      <c r="M545" s="230"/>
      <c r="N545" s="230"/>
      <c r="O545" s="230"/>
      <c r="P545" s="230"/>
      <c r="Q545" s="230"/>
      <c r="R545" s="230"/>
      <c r="S545" s="230"/>
      <c r="T545" s="230"/>
      <c r="U545" s="230"/>
      <c r="V545" s="230"/>
      <c r="W545" s="230"/>
      <c r="X545" s="230"/>
      <c r="Y545" s="230"/>
      <c r="Z545" s="230"/>
    </row>
    <row r="546">
      <c r="A546" s="230"/>
      <c r="B546" s="230"/>
      <c r="C546" s="230"/>
      <c r="D546" s="230"/>
      <c r="E546" s="230"/>
      <c r="F546" s="230"/>
      <c r="G546" s="230"/>
      <c r="H546" s="230"/>
      <c r="I546" s="230"/>
      <c r="J546" s="230"/>
      <c r="K546" s="230"/>
      <c r="L546" s="230"/>
      <c r="M546" s="230"/>
      <c r="N546" s="230"/>
      <c r="O546" s="230"/>
      <c r="P546" s="230"/>
      <c r="Q546" s="230"/>
      <c r="R546" s="230"/>
      <c r="S546" s="230"/>
      <c r="T546" s="230"/>
      <c r="U546" s="230"/>
      <c r="V546" s="230"/>
      <c r="W546" s="230"/>
      <c r="X546" s="230"/>
      <c r="Y546" s="230"/>
      <c r="Z546" s="230"/>
    </row>
    <row r="547">
      <c r="A547" s="230"/>
      <c r="B547" s="230"/>
      <c r="C547" s="230"/>
      <c r="D547" s="230"/>
      <c r="E547" s="230"/>
      <c r="F547" s="230"/>
      <c r="G547" s="230"/>
      <c r="H547" s="230"/>
      <c r="I547" s="230"/>
      <c r="J547" s="230"/>
      <c r="K547" s="230"/>
      <c r="L547" s="230"/>
      <c r="M547" s="230"/>
      <c r="N547" s="230"/>
      <c r="O547" s="230"/>
      <c r="P547" s="230"/>
      <c r="Q547" s="230"/>
      <c r="R547" s="230"/>
      <c r="S547" s="230"/>
      <c r="T547" s="230"/>
      <c r="U547" s="230"/>
      <c r="V547" s="230"/>
      <c r="W547" s="230"/>
      <c r="X547" s="230"/>
      <c r="Y547" s="230"/>
      <c r="Z547" s="230"/>
    </row>
    <row r="548">
      <c r="A548" s="230"/>
      <c r="B548" s="230"/>
      <c r="C548" s="230"/>
      <c r="D548" s="230"/>
      <c r="E548" s="230"/>
      <c r="F548" s="230"/>
      <c r="G548" s="230"/>
      <c r="H548" s="230"/>
      <c r="I548" s="230"/>
      <c r="J548" s="230"/>
      <c r="K548" s="230"/>
      <c r="L548" s="230"/>
      <c r="M548" s="230"/>
      <c r="N548" s="230"/>
      <c r="O548" s="230"/>
      <c r="P548" s="230"/>
      <c r="Q548" s="230"/>
      <c r="R548" s="230"/>
      <c r="S548" s="230"/>
      <c r="T548" s="230"/>
      <c r="U548" s="230"/>
      <c r="V548" s="230"/>
      <c r="W548" s="230"/>
      <c r="X548" s="230"/>
      <c r="Y548" s="230"/>
      <c r="Z548" s="230"/>
    </row>
    <row r="549">
      <c r="A549" s="230"/>
      <c r="B549" s="230"/>
      <c r="C549" s="230"/>
      <c r="D549" s="230"/>
      <c r="E549" s="230"/>
      <c r="F549" s="230"/>
      <c r="G549" s="230"/>
      <c r="H549" s="230"/>
      <c r="I549" s="230"/>
      <c r="J549" s="230"/>
      <c r="K549" s="230"/>
      <c r="L549" s="230"/>
      <c r="M549" s="230"/>
      <c r="N549" s="230"/>
      <c r="O549" s="230"/>
      <c r="P549" s="230"/>
      <c r="Q549" s="230"/>
      <c r="R549" s="230"/>
      <c r="S549" s="230"/>
      <c r="T549" s="230"/>
      <c r="U549" s="230"/>
      <c r="V549" s="230"/>
      <c r="W549" s="230"/>
      <c r="X549" s="230"/>
      <c r="Y549" s="230"/>
      <c r="Z549" s="230"/>
    </row>
    <row r="550">
      <c r="A550" s="230"/>
      <c r="B550" s="230"/>
      <c r="C550" s="230"/>
      <c r="D550" s="230"/>
      <c r="E550" s="230"/>
      <c r="F550" s="230"/>
      <c r="G550" s="230"/>
      <c r="H550" s="230"/>
      <c r="I550" s="230"/>
      <c r="J550" s="230"/>
      <c r="K550" s="230"/>
      <c r="L550" s="230"/>
      <c r="M550" s="230"/>
      <c r="N550" s="230"/>
      <c r="O550" s="230"/>
      <c r="P550" s="230"/>
      <c r="Q550" s="230"/>
      <c r="R550" s="230"/>
      <c r="S550" s="230"/>
      <c r="T550" s="230"/>
      <c r="U550" s="230"/>
      <c r="V550" s="230"/>
      <c r="W550" s="230"/>
      <c r="X550" s="230"/>
      <c r="Y550" s="230"/>
      <c r="Z550" s="230"/>
    </row>
    <row r="551">
      <c r="A551" s="230"/>
      <c r="B551" s="230"/>
      <c r="C551" s="230"/>
      <c r="D551" s="230"/>
      <c r="E551" s="230"/>
      <c r="F551" s="230"/>
      <c r="G551" s="230"/>
      <c r="H551" s="230"/>
      <c r="I551" s="230"/>
      <c r="J551" s="230"/>
      <c r="K551" s="230"/>
      <c r="L551" s="230"/>
      <c r="M551" s="230"/>
      <c r="N551" s="230"/>
      <c r="O551" s="230"/>
      <c r="P551" s="230"/>
      <c r="Q551" s="230"/>
      <c r="R551" s="230"/>
      <c r="S551" s="230"/>
      <c r="T551" s="230"/>
      <c r="U551" s="230"/>
      <c r="V551" s="230"/>
      <c r="W551" s="230"/>
      <c r="X551" s="230"/>
      <c r="Y551" s="230"/>
      <c r="Z551" s="230"/>
    </row>
    <row r="552">
      <c r="A552" s="230"/>
      <c r="B552" s="230"/>
      <c r="C552" s="230"/>
      <c r="D552" s="230"/>
      <c r="E552" s="230"/>
      <c r="F552" s="230"/>
      <c r="G552" s="230"/>
      <c r="H552" s="230"/>
      <c r="I552" s="230"/>
      <c r="J552" s="230"/>
      <c r="K552" s="230"/>
      <c r="L552" s="230"/>
      <c r="M552" s="230"/>
      <c r="N552" s="230"/>
      <c r="O552" s="230"/>
      <c r="P552" s="230"/>
      <c r="Q552" s="230"/>
      <c r="R552" s="230"/>
      <c r="S552" s="230"/>
      <c r="T552" s="230"/>
      <c r="U552" s="230"/>
      <c r="V552" s="230"/>
      <c r="W552" s="230"/>
      <c r="X552" s="230"/>
      <c r="Y552" s="230"/>
      <c r="Z552" s="230"/>
    </row>
    <row r="553">
      <c r="A553" s="230"/>
      <c r="B553" s="230"/>
      <c r="C553" s="230"/>
      <c r="D553" s="230"/>
      <c r="E553" s="230"/>
      <c r="F553" s="230"/>
      <c r="G553" s="230"/>
      <c r="H553" s="230"/>
      <c r="I553" s="230"/>
      <c r="J553" s="230"/>
      <c r="K553" s="230"/>
      <c r="L553" s="230"/>
      <c r="M553" s="230"/>
      <c r="N553" s="230"/>
      <c r="O553" s="230"/>
      <c r="P553" s="230"/>
      <c r="Q553" s="230"/>
      <c r="R553" s="230"/>
      <c r="S553" s="230"/>
      <c r="T553" s="230"/>
      <c r="U553" s="230"/>
      <c r="V553" s="230"/>
      <c r="W553" s="230"/>
      <c r="X553" s="230"/>
      <c r="Y553" s="230"/>
      <c r="Z553" s="230"/>
    </row>
    <row r="554">
      <c r="A554" s="230"/>
      <c r="B554" s="230"/>
      <c r="C554" s="230"/>
      <c r="D554" s="230"/>
      <c r="E554" s="230"/>
      <c r="F554" s="230"/>
      <c r="G554" s="230"/>
      <c r="H554" s="230"/>
      <c r="I554" s="230"/>
      <c r="J554" s="230"/>
      <c r="K554" s="230"/>
      <c r="L554" s="230"/>
      <c r="M554" s="230"/>
      <c r="N554" s="230"/>
      <c r="O554" s="230"/>
      <c r="P554" s="230"/>
      <c r="Q554" s="230"/>
      <c r="R554" s="230"/>
      <c r="S554" s="230"/>
      <c r="T554" s="230"/>
      <c r="U554" s="230"/>
      <c r="V554" s="230"/>
      <c r="W554" s="230"/>
      <c r="X554" s="230"/>
      <c r="Y554" s="230"/>
      <c r="Z554" s="230"/>
    </row>
    <row r="555">
      <c r="A555" s="230"/>
      <c r="B555" s="230"/>
      <c r="C555" s="230"/>
      <c r="D555" s="230"/>
      <c r="E555" s="230"/>
      <c r="F555" s="230"/>
      <c r="G555" s="230"/>
      <c r="H555" s="230"/>
      <c r="I555" s="230"/>
      <c r="J555" s="230"/>
      <c r="K555" s="230"/>
      <c r="L555" s="230"/>
      <c r="M555" s="230"/>
      <c r="N555" s="230"/>
      <c r="O555" s="230"/>
      <c r="P555" s="230"/>
      <c r="Q555" s="230"/>
      <c r="R555" s="230"/>
      <c r="S555" s="230"/>
      <c r="T555" s="230"/>
      <c r="U555" s="230"/>
      <c r="V555" s="230"/>
      <c r="W555" s="230"/>
      <c r="X555" s="230"/>
      <c r="Y555" s="230"/>
      <c r="Z555" s="230"/>
    </row>
    <row r="556">
      <c r="A556" s="230"/>
      <c r="B556" s="230"/>
      <c r="C556" s="230"/>
      <c r="D556" s="230"/>
      <c r="E556" s="230"/>
      <c r="F556" s="230"/>
      <c r="G556" s="230"/>
      <c r="H556" s="230"/>
      <c r="I556" s="230"/>
      <c r="J556" s="230"/>
      <c r="K556" s="230"/>
      <c r="L556" s="230"/>
      <c r="M556" s="230"/>
      <c r="N556" s="230"/>
      <c r="O556" s="230"/>
      <c r="P556" s="230"/>
      <c r="Q556" s="230"/>
      <c r="R556" s="230"/>
      <c r="S556" s="230"/>
      <c r="T556" s="230"/>
      <c r="U556" s="230"/>
      <c r="V556" s="230"/>
      <c r="W556" s="230"/>
      <c r="X556" s="230"/>
      <c r="Y556" s="230"/>
      <c r="Z556" s="230"/>
    </row>
    <row r="557">
      <c r="A557" s="230"/>
      <c r="B557" s="230"/>
      <c r="C557" s="230"/>
      <c r="D557" s="230"/>
      <c r="E557" s="230"/>
      <c r="F557" s="230"/>
      <c r="G557" s="230"/>
      <c r="H557" s="230"/>
      <c r="I557" s="230"/>
      <c r="J557" s="230"/>
      <c r="K557" s="230"/>
      <c r="L557" s="230"/>
      <c r="M557" s="230"/>
      <c r="N557" s="230"/>
      <c r="O557" s="230"/>
      <c r="P557" s="230"/>
      <c r="Q557" s="230"/>
      <c r="R557" s="230"/>
      <c r="S557" s="230"/>
      <c r="T557" s="230"/>
      <c r="U557" s="230"/>
      <c r="V557" s="230"/>
      <c r="W557" s="230"/>
      <c r="X557" s="230"/>
      <c r="Y557" s="230"/>
      <c r="Z557" s="230"/>
    </row>
    <row r="558">
      <c r="A558" s="230"/>
      <c r="B558" s="230"/>
      <c r="C558" s="230"/>
      <c r="D558" s="230"/>
      <c r="E558" s="230"/>
      <c r="F558" s="230"/>
      <c r="G558" s="230"/>
      <c r="H558" s="230"/>
      <c r="I558" s="230"/>
      <c r="J558" s="230"/>
      <c r="K558" s="230"/>
      <c r="L558" s="230"/>
      <c r="M558" s="230"/>
      <c r="N558" s="230"/>
      <c r="O558" s="230"/>
      <c r="P558" s="230"/>
      <c r="Q558" s="230"/>
      <c r="R558" s="230"/>
      <c r="S558" s="230"/>
      <c r="T558" s="230"/>
      <c r="U558" s="230"/>
      <c r="V558" s="230"/>
      <c r="W558" s="230"/>
      <c r="X558" s="230"/>
      <c r="Y558" s="230"/>
      <c r="Z558" s="230"/>
    </row>
    <row r="559">
      <c r="A559" s="230"/>
      <c r="B559" s="230"/>
      <c r="C559" s="230"/>
      <c r="D559" s="230"/>
      <c r="E559" s="230"/>
      <c r="F559" s="230"/>
      <c r="G559" s="230"/>
      <c r="H559" s="230"/>
      <c r="I559" s="230"/>
      <c r="J559" s="230"/>
      <c r="K559" s="230"/>
      <c r="L559" s="230"/>
      <c r="M559" s="230"/>
      <c r="N559" s="230"/>
      <c r="O559" s="230"/>
      <c r="P559" s="230"/>
      <c r="Q559" s="230"/>
      <c r="R559" s="230"/>
      <c r="S559" s="230"/>
      <c r="T559" s="230"/>
      <c r="U559" s="230"/>
      <c r="V559" s="230"/>
      <c r="W559" s="230"/>
      <c r="X559" s="230"/>
      <c r="Y559" s="230"/>
      <c r="Z559" s="230"/>
    </row>
    <row r="560">
      <c r="A560" s="230"/>
      <c r="B560" s="230"/>
      <c r="C560" s="230"/>
      <c r="D560" s="230"/>
      <c r="E560" s="230"/>
      <c r="F560" s="230"/>
      <c r="G560" s="230"/>
      <c r="H560" s="230"/>
      <c r="I560" s="230"/>
      <c r="J560" s="230"/>
      <c r="K560" s="230"/>
      <c r="L560" s="230"/>
      <c r="M560" s="230"/>
      <c r="N560" s="230"/>
      <c r="O560" s="230"/>
      <c r="P560" s="230"/>
      <c r="Q560" s="230"/>
      <c r="R560" s="230"/>
      <c r="S560" s="230"/>
      <c r="T560" s="230"/>
      <c r="U560" s="230"/>
      <c r="V560" s="230"/>
      <c r="W560" s="230"/>
      <c r="X560" s="230"/>
      <c r="Y560" s="230"/>
      <c r="Z560" s="230"/>
    </row>
    <row r="561">
      <c r="A561" s="230"/>
      <c r="B561" s="230"/>
      <c r="C561" s="230"/>
      <c r="D561" s="230"/>
      <c r="E561" s="230"/>
      <c r="F561" s="230"/>
      <c r="G561" s="230"/>
      <c r="H561" s="230"/>
      <c r="I561" s="230"/>
      <c r="J561" s="230"/>
      <c r="K561" s="230"/>
      <c r="L561" s="230"/>
      <c r="M561" s="230"/>
      <c r="N561" s="230"/>
      <c r="O561" s="230"/>
      <c r="P561" s="230"/>
      <c r="Q561" s="230"/>
      <c r="R561" s="230"/>
      <c r="S561" s="230"/>
      <c r="T561" s="230"/>
      <c r="U561" s="230"/>
      <c r="V561" s="230"/>
      <c r="W561" s="230"/>
      <c r="X561" s="230"/>
      <c r="Y561" s="230"/>
      <c r="Z561" s="230"/>
    </row>
    <row r="562">
      <c r="A562" s="230"/>
      <c r="B562" s="230"/>
      <c r="C562" s="230"/>
      <c r="D562" s="230"/>
      <c r="E562" s="230"/>
      <c r="F562" s="230"/>
      <c r="G562" s="230"/>
      <c r="H562" s="230"/>
      <c r="I562" s="230"/>
      <c r="J562" s="230"/>
      <c r="K562" s="230"/>
      <c r="L562" s="230"/>
      <c r="M562" s="230"/>
      <c r="N562" s="230"/>
      <c r="O562" s="230"/>
      <c r="P562" s="230"/>
      <c r="Q562" s="230"/>
      <c r="R562" s="230"/>
      <c r="S562" s="230"/>
      <c r="T562" s="230"/>
      <c r="U562" s="230"/>
      <c r="V562" s="230"/>
      <c r="W562" s="230"/>
      <c r="X562" s="230"/>
      <c r="Y562" s="230"/>
      <c r="Z562" s="230"/>
    </row>
    <row r="563">
      <c r="A563" s="230"/>
      <c r="B563" s="230"/>
      <c r="C563" s="230"/>
      <c r="D563" s="230"/>
      <c r="E563" s="230"/>
      <c r="F563" s="230"/>
      <c r="G563" s="230"/>
      <c r="H563" s="230"/>
      <c r="I563" s="230"/>
      <c r="J563" s="230"/>
      <c r="K563" s="230"/>
      <c r="L563" s="230"/>
      <c r="M563" s="230"/>
      <c r="N563" s="230"/>
      <c r="O563" s="230"/>
      <c r="P563" s="230"/>
      <c r="Q563" s="230"/>
      <c r="R563" s="230"/>
      <c r="S563" s="230"/>
      <c r="T563" s="230"/>
      <c r="U563" s="230"/>
      <c r="V563" s="230"/>
      <c r="W563" s="230"/>
      <c r="X563" s="230"/>
      <c r="Y563" s="230"/>
      <c r="Z563" s="230"/>
    </row>
    <row r="564">
      <c r="A564" s="230"/>
      <c r="B564" s="230"/>
      <c r="C564" s="230"/>
      <c r="D564" s="230"/>
      <c r="E564" s="230"/>
      <c r="F564" s="230"/>
      <c r="G564" s="230"/>
      <c r="H564" s="230"/>
      <c r="I564" s="230"/>
      <c r="J564" s="230"/>
      <c r="K564" s="230"/>
      <c r="L564" s="230"/>
      <c r="M564" s="230"/>
      <c r="N564" s="230"/>
      <c r="O564" s="230"/>
      <c r="P564" s="230"/>
      <c r="Q564" s="230"/>
      <c r="R564" s="230"/>
      <c r="S564" s="230"/>
      <c r="T564" s="230"/>
      <c r="U564" s="230"/>
      <c r="V564" s="230"/>
      <c r="W564" s="230"/>
      <c r="X564" s="230"/>
      <c r="Y564" s="230"/>
      <c r="Z564" s="230"/>
    </row>
    <row r="565">
      <c r="A565" s="230"/>
      <c r="B565" s="230"/>
      <c r="C565" s="230"/>
      <c r="D565" s="230"/>
      <c r="E565" s="230"/>
      <c r="F565" s="230"/>
      <c r="G565" s="230"/>
      <c r="H565" s="230"/>
      <c r="I565" s="230"/>
      <c r="J565" s="230"/>
      <c r="K565" s="230"/>
      <c r="L565" s="230"/>
      <c r="M565" s="230"/>
      <c r="N565" s="230"/>
      <c r="O565" s="230"/>
      <c r="P565" s="230"/>
      <c r="Q565" s="230"/>
      <c r="R565" s="230"/>
      <c r="S565" s="230"/>
      <c r="T565" s="230"/>
      <c r="U565" s="230"/>
      <c r="V565" s="230"/>
      <c r="W565" s="230"/>
      <c r="X565" s="230"/>
      <c r="Y565" s="230"/>
      <c r="Z565" s="230"/>
    </row>
    <row r="566">
      <c r="A566" s="230"/>
      <c r="B566" s="230"/>
      <c r="C566" s="230"/>
      <c r="D566" s="230"/>
      <c r="E566" s="230"/>
      <c r="F566" s="230"/>
      <c r="G566" s="230"/>
      <c r="H566" s="230"/>
      <c r="I566" s="230"/>
      <c r="J566" s="230"/>
      <c r="K566" s="230"/>
      <c r="L566" s="230"/>
      <c r="M566" s="230"/>
      <c r="N566" s="230"/>
      <c r="O566" s="230"/>
      <c r="P566" s="230"/>
      <c r="Q566" s="230"/>
      <c r="R566" s="230"/>
      <c r="S566" s="230"/>
      <c r="T566" s="230"/>
      <c r="U566" s="230"/>
      <c r="V566" s="230"/>
      <c r="W566" s="230"/>
      <c r="X566" s="230"/>
      <c r="Y566" s="230"/>
      <c r="Z566" s="230"/>
    </row>
    <row r="567">
      <c r="A567" s="230"/>
      <c r="B567" s="230"/>
      <c r="C567" s="230"/>
      <c r="D567" s="230"/>
      <c r="E567" s="230"/>
      <c r="F567" s="230"/>
      <c r="G567" s="230"/>
      <c r="H567" s="230"/>
      <c r="I567" s="230"/>
      <c r="J567" s="230"/>
      <c r="K567" s="230"/>
      <c r="L567" s="230"/>
      <c r="M567" s="230"/>
      <c r="N567" s="230"/>
      <c r="O567" s="230"/>
      <c r="P567" s="230"/>
      <c r="Q567" s="230"/>
      <c r="R567" s="230"/>
      <c r="S567" s="230"/>
      <c r="T567" s="230"/>
      <c r="U567" s="230"/>
      <c r="V567" s="230"/>
      <c r="W567" s="230"/>
      <c r="X567" s="230"/>
      <c r="Y567" s="230"/>
      <c r="Z567" s="230"/>
    </row>
    <row r="568">
      <c r="A568" s="230"/>
      <c r="B568" s="230"/>
      <c r="C568" s="230"/>
      <c r="D568" s="230"/>
      <c r="E568" s="230"/>
      <c r="F568" s="230"/>
      <c r="G568" s="230"/>
      <c r="H568" s="230"/>
      <c r="I568" s="230"/>
      <c r="J568" s="230"/>
      <c r="K568" s="230"/>
      <c r="L568" s="230"/>
      <c r="M568" s="230"/>
      <c r="N568" s="230"/>
      <c r="O568" s="230"/>
      <c r="P568" s="230"/>
      <c r="Q568" s="230"/>
      <c r="R568" s="230"/>
      <c r="S568" s="230"/>
      <c r="T568" s="230"/>
      <c r="U568" s="230"/>
      <c r="V568" s="230"/>
      <c r="W568" s="230"/>
      <c r="X568" s="230"/>
      <c r="Y568" s="230"/>
      <c r="Z568" s="230"/>
    </row>
    <row r="569">
      <c r="A569" s="230"/>
      <c r="B569" s="230"/>
      <c r="C569" s="230"/>
      <c r="D569" s="230"/>
      <c r="E569" s="230"/>
      <c r="F569" s="230"/>
      <c r="G569" s="230"/>
      <c r="H569" s="230"/>
      <c r="I569" s="230"/>
      <c r="J569" s="230"/>
      <c r="K569" s="230"/>
      <c r="L569" s="230"/>
      <c r="M569" s="230"/>
      <c r="N569" s="230"/>
      <c r="O569" s="230"/>
      <c r="P569" s="230"/>
      <c r="Q569" s="230"/>
      <c r="R569" s="230"/>
      <c r="S569" s="230"/>
      <c r="T569" s="230"/>
      <c r="U569" s="230"/>
      <c r="V569" s="230"/>
      <c r="W569" s="230"/>
      <c r="X569" s="230"/>
      <c r="Y569" s="230"/>
      <c r="Z569" s="230"/>
    </row>
    <row r="570">
      <c r="A570" s="230"/>
      <c r="B570" s="230"/>
      <c r="C570" s="230"/>
      <c r="D570" s="230"/>
      <c r="E570" s="230"/>
      <c r="F570" s="230"/>
      <c r="G570" s="230"/>
      <c r="H570" s="230"/>
      <c r="I570" s="230"/>
      <c r="J570" s="230"/>
      <c r="K570" s="230"/>
      <c r="L570" s="230"/>
      <c r="M570" s="230"/>
      <c r="N570" s="230"/>
      <c r="O570" s="230"/>
      <c r="P570" s="230"/>
      <c r="Q570" s="230"/>
      <c r="R570" s="230"/>
      <c r="S570" s="230"/>
      <c r="T570" s="230"/>
      <c r="U570" s="230"/>
      <c r="V570" s="230"/>
      <c r="W570" s="230"/>
      <c r="X570" s="230"/>
      <c r="Y570" s="230"/>
      <c r="Z570" s="230"/>
    </row>
    <row r="571">
      <c r="A571" s="230"/>
      <c r="B571" s="230"/>
      <c r="C571" s="230"/>
      <c r="D571" s="230"/>
      <c r="E571" s="230"/>
      <c r="F571" s="230"/>
      <c r="G571" s="230"/>
      <c r="H571" s="230"/>
      <c r="I571" s="230"/>
      <c r="J571" s="230"/>
      <c r="K571" s="230"/>
      <c r="L571" s="230"/>
      <c r="M571" s="230"/>
      <c r="N571" s="230"/>
      <c r="O571" s="230"/>
      <c r="P571" s="230"/>
      <c r="Q571" s="230"/>
      <c r="R571" s="230"/>
      <c r="S571" s="230"/>
      <c r="T571" s="230"/>
      <c r="U571" s="230"/>
      <c r="V571" s="230"/>
      <c r="W571" s="230"/>
      <c r="X571" s="230"/>
      <c r="Y571" s="230"/>
      <c r="Z571" s="230"/>
    </row>
    <row r="572">
      <c r="A572" s="230"/>
      <c r="B572" s="230"/>
      <c r="C572" s="230"/>
      <c r="D572" s="230"/>
      <c r="E572" s="230"/>
      <c r="F572" s="230"/>
      <c r="G572" s="230"/>
      <c r="H572" s="230"/>
      <c r="I572" s="230"/>
      <c r="J572" s="230"/>
      <c r="K572" s="230"/>
      <c r="L572" s="230"/>
      <c r="M572" s="230"/>
      <c r="N572" s="230"/>
      <c r="O572" s="230"/>
      <c r="P572" s="230"/>
      <c r="Q572" s="230"/>
      <c r="R572" s="230"/>
      <c r="S572" s="230"/>
      <c r="T572" s="230"/>
      <c r="U572" s="230"/>
      <c r="V572" s="230"/>
      <c r="W572" s="230"/>
      <c r="X572" s="230"/>
      <c r="Y572" s="230"/>
      <c r="Z572" s="230"/>
    </row>
    <row r="573">
      <c r="A573" s="230"/>
      <c r="B573" s="230"/>
      <c r="C573" s="230"/>
      <c r="D573" s="230"/>
      <c r="E573" s="230"/>
      <c r="F573" s="230"/>
      <c r="G573" s="230"/>
      <c r="H573" s="230"/>
      <c r="I573" s="230"/>
      <c r="J573" s="230"/>
      <c r="K573" s="230"/>
      <c r="L573" s="230"/>
      <c r="M573" s="230"/>
      <c r="N573" s="230"/>
      <c r="O573" s="230"/>
      <c r="P573" s="230"/>
      <c r="Q573" s="230"/>
      <c r="R573" s="230"/>
      <c r="S573" s="230"/>
      <c r="T573" s="230"/>
      <c r="U573" s="230"/>
      <c r="V573" s="230"/>
      <c r="W573" s="230"/>
      <c r="X573" s="230"/>
      <c r="Y573" s="230"/>
      <c r="Z573" s="230"/>
    </row>
    <row r="574">
      <c r="A574" s="230"/>
      <c r="B574" s="230"/>
      <c r="C574" s="230"/>
      <c r="D574" s="230"/>
      <c r="E574" s="230"/>
      <c r="F574" s="230"/>
      <c r="G574" s="230"/>
      <c r="H574" s="230"/>
      <c r="I574" s="230"/>
      <c r="J574" s="230"/>
      <c r="K574" s="230"/>
      <c r="L574" s="230"/>
      <c r="M574" s="230"/>
      <c r="N574" s="230"/>
      <c r="O574" s="230"/>
      <c r="P574" s="230"/>
      <c r="Q574" s="230"/>
      <c r="R574" s="230"/>
      <c r="S574" s="230"/>
      <c r="T574" s="230"/>
      <c r="U574" s="230"/>
      <c r="V574" s="230"/>
      <c r="W574" s="230"/>
      <c r="X574" s="230"/>
      <c r="Y574" s="230"/>
      <c r="Z574" s="230"/>
    </row>
    <row r="575">
      <c r="A575" s="230"/>
      <c r="B575" s="230"/>
      <c r="C575" s="230"/>
      <c r="D575" s="230"/>
      <c r="E575" s="230"/>
      <c r="F575" s="230"/>
      <c r="G575" s="230"/>
      <c r="H575" s="230"/>
      <c r="I575" s="230"/>
      <c r="J575" s="230"/>
      <c r="K575" s="230"/>
      <c r="L575" s="230"/>
      <c r="M575" s="230"/>
      <c r="N575" s="230"/>
      <c r="O575" s="230"/>
      <c r="P575" s="230"/>
      <c r="Q575" s="230"/>
      <c r="R575" s="230"/>
      <c r="S575" s="230"/>
      <c r="T575" s="230"/>
      <c r="U575" s="230"/>
      <c r="V575" s="230"/>
      <c r="W575" s="230"/>
      <c r="X575" s="230"/>
      <c r="Y575" s="230"/>
      <c r="Z575" s="230"/>
    </row>
    <row r="576">
      <c r="A576" s="230"/>
      <c r="B576" s="230"/>
      <c r="C576" s="230"/>
      <c r="D576" s="230"/>
      <c r="E576" s="230"/>
      <c r="F576" s="230"/>
      <c r="G576" s="230"/>
      <c r="H576" s="230"/>
      <c r="I576" s="230"/>
      <c r="J576" s="230"/>
      <c r="K576" s="230"/>
      <c r="L576" s="230"/>
      <c r="M576" s="230"/>
      <c r="N576" s="230"/>
      <c r="O576" s="230"/>
      <c r="P576" s="230"/>
      <c r="Q576" s="230"/>
      <c r="R576" s="230"/>
      <c r="S576" s="230"/>
      <c r="T576" s="230"/>
      <c r="U576" s="230"/>
      <c r="V576" s="230"/>
      <c r="W576" s="230"/>
      <c r="X576" s="230"/>
      <c r="Y576" s="230"/>
      <c r="Z576" s="230"/>
    </row>
    <row r="577">
      <c r="A577" s="230"/>
      <c r="B577" s="230"/>
      <c r="C577" s="230"/>
      <c r="D577" s="230"/>
      <c r="E577" s="230"/>
      <c r="F577" s="230"/>
      <c r="G577" s="230"/>
      <c r="H577" s="230"/>
      <c r="I577" s="230"/>
      <c r="J577" s="230"/>
      <c r="K577" s="230"/>
      <c r="L577" s="230"/>
      <c r="M577" s="230"/>
      <c r="N577" s="230"/>
      <c r="O577" s="230"/>
      <c r="P577" s="230"/>
      <c r="Q577" s="230"/>
      <c r="R577" s="230"/>
      <c r="S577" s="230"/>
      <c r="T577" s="230"/>
      <c r="U577" s="230"/>
      <c r="V577" s="230"/>
      <c r="W577" s="230"/>
      <c r="X577" s="230"/>
      <c r="Y577" s="230"/>
      <c r="Z577" s="230"/>
    </row>
    <row r="578">
      <c r="A578" s="230"/>
      <c r="B578" s="230"/>
      <c r="C578" s="230"/>
      <c r="D578" s="230"/>
      <c r="E578" s="230"/>
      <c r="F578" s="230"/>
      <c r="G578" s="230"/>
      <c r="H578" s="230"/>
      <c r="I578" s="230"/>
      <c r="J578" s="230"/>
      <c r="K578" s="230"/>
      <c r="L578" s="230"/>
      <c r="M578" s="230"/>
      <c r="N578" s="230"/>
      <c r="O578" s="230"/>
      <c r="P578" s="230"/>
      <c r="Q578" s="230"/>
      <c r="R578" s="230"/>
      <c r="S578" s="230"/>
      <c r="T578" s="230"/>
      <c r="U578" s="230"/>
      <c r="V578" s="230"/>
      <c r="W578" s="230"/>
      <c r="X578" s="230"/>
      <c r="Y578" s="230"/>
      <c r="Z578" s="230"/>
    </row>
    <row r="579">
      <c r="A579" s="230"/>
      <c r="B579" s="230"/>
      <c r="C579" s="230"/>
      <c r="D579" s="230"/>
      <c r="E579" s="230"/>
      <c r="F579" s="230"/>
      <c r="G579" s="230"/>
      <c r="H579" s="230"/>
      <c r="I579" s="230"/>
      <c r="J579" s="230"/>
      <c r="K579" s="230"/>
      <c r="L579" s="230"/>
      <c r="M579" s="230"/>
      <c r="N579" s="230"/>
      <c r="O579" s="230"/>
      <c r="P579" s="230"/>
      <c r="Q579" s="230"/>
      <c r="R579" s="230"/>
      <c r="S579" s="230"/>
      <c r="T579" s="230"/>
      <c r="U579" s="230"/>
      <c r="V579" s="230"/>
      <c r="W579" s="230"/>
      <c r="X579" s="230"/>
      <c r="Y579" s="230"/>
      <c r="Z579" s="230"/>
    </row>
    <row r="580">
      <c r="A580" s="230"/>
      <c r="B580" s="230"/>
      <c r="C580" s="230"/>
      <c r="D580" s="230"/>
      <c r="E580" s="230"/>
      <c r="F580" s="230"/>
      <c r="G580" s="230"/>
      <c r="H580" s="230"/>
      <c r="I580" s="230"/>
      <c r="J580" s="230"/>
      <c r="K580" s="230"/>
      <c r="L580" s="230"/>
      <c r="M580" s="230"/>
      <c r="N580" s="230"/>
      <c r="O580" s="230"/>
      <c r="P580" s="230"/>
      <c r="Q580" s="230"/>
      <c r="R580" s="230"/>
      <c r="S580" s="230"/>
      <c r="T580" s="230"/>
      <c r="U580" s="230"/>
      <c r="V580" s="230"/>
      <c r="W580" s="230"/>
      <c r="X580" s="230"/>
      <c r="Y580" s="230"/>
      <c r="Z580" s="230"/>
    </row>
    <row r="581">
      <c r="A581" s="230"/>
      <c r="B581" s="230"/>
      <c r="C581" s="230"/>
      <c r="D581" s="230"/>
      <c r="E581" s="230"/>
      <c r="F581" s="230"/>
      <c r="G581" s="230"/>
      <c r="H581" s="230"/>
      <c r="I581" s="230"/>
      <c r="J581" s="230"/>
      <c r="K581" s="230"/>
      <c r="L581" s="230"/>
      <c r="M581" s="230"/>
      <c r="N581" s="230"/>
      <c r="O581" s="230"/>
      <c r="P581" s="230"/>
      <c r="Q581" s="230"/>
      <c r="R581" s="230"/>
      <c r="S581" s="230"/>
      <c r="T581" s="230"/>
      <c r="U581" s="230"/>
      <c r="V581" s="230"/>
      <c r="W581" s="230"/>
      <c r="X581" s="230"/>
      <c r="Y581" s="230"/>
      <c r="Z581" s="230"/>
    </row>
    <row r="582">
      <c r="A582" s="230"/>
      <c r="B582" s="230"/>
      <c r="C582" s="230"/>
      <c r="D582" s="230"/>
      <c r="E582" s="230"/>
      <c r="F582" s="230"/>
      <c r="G582" s="230"/>
      <c r="H582" s="230"/>
      <c r="I582" s="230"/>
      <c r="J582" s="230"/>
      <c r="K582" s="230"/>
      <c r="L582" s="230"/>
      <c r="M582" s="230"/>
      <c r="N582" s="230"/>
      <c r="O582" s="230"/>
      <c r="P582" s="230"/>
      <c r="Q582" s="230"/>
      <c r="R582" s="230"/>
      <c r="S582" s="230"/>
      <c r="T582" s="230"/>
      <c r="U582" s="230"/>
      <c r="V582" s="230"/>
      <c r="W582" s="230"/>
      <c r="X582" s="230"/>
      <c r="Y582" s="230"/>
      <c r="Z582" s="230"/>
    </row>
    <row r="583">
      <c r="A583" s="230"/>
      <c r="B583" s="230"/>
      <c r="C583" s="230"/>
      <c r="D583" s="230"/>
      <c r="E583" s="230"/>
      <c r="F583" s="230"/>
      <c r="G583" s="230"/>
      <c r="H583" s="230"/>
      <c r="I583" s="230"/>
      <c r="J583" s="230"/>
      <c r="K583" s="230"/>
      <c r="L583" s="230"/>
      <c r="M583" s="230"/>
      <c r="N583" s="230"/>
      <c r="O583" s="230"/>
      <c r="P583" s="230"/>
      <c r="Q583" s="230"/>
      <c r="R583" s="230"/>
      <c r="S583" s="230"/>
      <c r="T583" s="230"/>
      <c r="U583" s="230"/>
      <c r="V583" s="230"/>
      <c r="W583" s="230"/>
      <c r="X583" s="230"/>
      <c r="Y583" s="230"/>
      <c r="Z583" s="230"/>
    </row>
    <row r="584">
      <c r="A584" s="230"/>
      <c r="B584" s="230"/>
      <c r="C584" s="230"/>
      <c r="D584" s="230"/>
      <c r="E584" s="230"/>
      <c r="F584" s="230"/>
      <c r="G584" s="230"/>
      <c r="H584" s="230"/>
      <c r="I584" s="230"/>
      <c r="J584" s="230"/>
      <c r="K584" s="230"/>
      <c r="L584" s="230"/>
      <c r="M584" s="230"/>
      <c r="N584" s="230"/>
      <c r="O584" s="230"/>
      <c r="P584" s="230"/>
      <c r="Q584" s="230"/>
      <c r="R584" s="230"/>
      <c r="S584" s="230"/>
      <c r="T584" s="230"/>
      <c r="U584" s="230"/>
      <c r="V584" s="230"/>
      <c r="W584" s="230"/>
      <c r="X584" s="230"/>
      <c r="Y584" s="230"/>
      <c r="Z584" s="230"/>
    </row>
    <row r="585">
      <c r="A585" s="230"/>
      <c r="B585" s="230"/>
      <c r="C585" s="230"/>
      <c r="D585" s="230"/>
      <c r="E585" s="230"/>
      <c r="F585" s="230"/>
      <c r="G585" s="230"/>
      <c r="H585" s="230"/>
      <c r="I585" s="230"/>
      <c r="J585" s="230"/>
      <c r="K585" s="230"/>
      <c r="L585" s="230"/>
      <c r="M585" s="230"/>
      <c r="N585" s="230"/>
      <c r="O585" s="230"/>
      <c r="P585" s="230"/>
      <c r="Q585" s="230"/>
      <c r="R585" s="230"/>
      <c r="S585" s="230"/>
      <c r="T585" s="230"/>
      <c r="U585" s="230"/>
      <c r="V585" s="230"/>
      <c r="W585" s="230"/>
      <c r="X585" s="230"/>
      <c r="Y585" s="230"/>
      <c r="Z585" s="230"/>
    </row>
    <row r="586">
      <c r="A586" s="230"/>
      <c r="B586" s="230"/>
      <c r="C586" s="230"/>
      <c r="D586" s="230"/>
      <c r="E586" s="230"/>
      <c r="F586" s="230"/>
      <c r="G586" s="230"/>
      <c r="H586" s="230"/>
      <c r="I586" s="230"/>
      <c r="J586" s="230"/>
      <c r="K586" s="230"/>
      <c r="L586" s="230"/>
      <c r="M586" s="230"/>
      <c r="N586" s="230"/>
      <c r="O586" s="230"/>
      <c r="P586" s="230"/>
      <c r="Q586" s="230"/>
      <c r="R586" s="230"/>
      <c r="S586" s="230"/>
      <c r="T586" s="230"/>
      <c r="U586" s="230"/>
      <c r="V586" s="230"/>
      <c r="W586" s="230"/>
      <c r="X586" s="230"/>
      <c r="Y586" s="230"/>
      <c r="Z586" s="230"/>
    </row>
    <row r="587">
      <c r="A587" s="230"/>
      <c r="B587" s="230"/>
      <c r="C587" s="230"/>
      <c r="D587" s="230"/>
      <c r="E587" s="230"/>
      <c r="F587" s="230"/>
      <c r="G587" s="230"/>
      <c r="H587" s="230"/>
      <c r="I587" s="230"/>
      <c r="J587" s="230"/>
      <c r="K587" s="230"/>
      <c r="L587" s="230"/>
      <c r="M587" s="230"/>
      <c r="N587" s="230"/>
      <c r="O587" s="230"/>
      <c r="P587" s="230"/>
      <c r="Q587" s="230"/>
      <c r="R587" s="230"/>
      <c r="S587" s="230"/>
      <c r="T587" s="230"/>
      <c r="U587" s="230"/>
      <c r="V587" s="230"/>
      <c r="W587" s="230"/>
      <c r="X587" s="230"/>
      <c r="Y587" s="230"/>
      <c r="Z587" s="230"/>
    </row>
    <row r="588">
      <c r="A588" s="230"/>
      <c r="B588" s="230"/>
      <c r="C588" s="230"/>
      <c r="D588" s="230"/>
      <c r="E588" s="230"/>
      <c r="F588" s="230"/>
      <c r="G588" s="230"/>
      <c r="H588" s="230"/>
      <c r="I588" s="230"/>
      <c r="J588" s="230"/>
      <c r="K588" s="230"/>
      <c r="L588" s="230"/>
      <c r="M588" s="230"/>
      <c r="N588" s="230"/>
      <c r="O588" s="230"/>
      <c r="P588" s="230"/>
      <c r="Q588" s="230"/>
      <c r="R588" s="230"/>
      <c r="S588" s="230"/>
      <c r="T588" s="230"/>
      <c r="U588" s="230"/>
      <c r="V588" s="230"/>
      <c r="W588" s="230"/>
      <c r="X588" s="230"/>
      <c r="Y588" s="230"/>
      <c r="Z588" s="230"/>
    </row>
    <row r="589">
      <c r="A589" s="230"/>
      <c r="B589" s="230"/>
      <c r="C589" s="230"/>
      <c r="D589" s="230"/>
      <c r="E589" s="230"/>
      <c r="F589" s="230"/>
      <c r="G589" s="230"/>
      <c r="H589" s="230"/>
      <c r="I589" s="230"/>
      <c r="J589" s="230"/>
      <c r="K589" s="230"/>
      <c r="L589" s="230"/>
      <c r="M589" s="230"/>
      <c r="N589" s="230"/>
      <c r="O589" s="230"/>
      <c r="P589" s="230"/>
      <c r="Q589" s="230"/>
      <c r="R589" s="230"/>
      <c r="S589" s="230"/>
      <c r="T589" s="230"/>
      <c r="U589" s="230"/>
      <c r="V589" s="230"/>
      <c r="W589" s="230"/>
      <c r="X589" s="230"/>
      <c r="Y589" s="230"/>
      <c r="Z589" s="230"/>
    </row>
    <row r="590">
      <c r="A590" s="230"/>
      <c r="B590" s="230"/>
      <c r="C590" s="230"/>
      <c r="D590" s="230"/>
      <c r="E590" s="230"/>
      <c r="F590" s="230"/>
      <c r="G590" s="230"/>
      <c r="H590" s="230"/>
      <c r="I590" s="230"/>
      <c r="J590" s="230"/>
      <c r="K590" s="230"/>
      <c r="L590" s="230"/>
      <c r="M590" s="230"/>
      <c r="N590" s="230"/>
      <c r="O590" s="230"/>
      <c r="P590" s="230"/>
      <c r="Q590" s="230"/>
      <c r="R590" s="230"/>
      <c r="S590" s="230"/>
      <c r="T590" s="230"/>
      <c r="U590" s="230"/>
      <c r="V590" s="230"/>
      <c r="W590" s="230"/>
      <c r="X590" s="230"/>
      <c r="Y590" s="230"/>
      <c r="Z590" s="230"/>
    </row>
    <row r="591">
      <c r="A591" s="230"/>
      <c r="B591" s="230"/>
      <c r="C591" s="230"/>
      <c r="D591" s="230"/>
      <c r="E591" s="230"/>
      <c r="F591" s="230"/>
      <c r="G591" s="230"/>
      <c r="H591" s="230"/>
      <c r="I591" s="230"/>
      <c r="J591" s="230"/>
      <c r="K591" s="230"/>
      <c r="L591" s="230"/>
      <c r="M591" s="230"/>
      <c r="N591" s="230"/>
      <c r="O591" s="230"/>
      <c r="P591" s="230"/>
      <c r="Q591" s="230"/>
      <c r="R591" s="230"/>
      <c r="S591" s="230"/>
      <c r="T591" s="230"/>
      <c r="U591" s="230"/>
      <c r="V591" s="230"/>
      <c r="W591" s="230"/>
      <c r="X591" s="230"/>
      <c r="Y591" s="230"/>
      <c r="Z591" s="230"/>
    </row>
    <row r="592">
      <c r="A592" s="230"/>
      <c r="B592" s="230"/>
      <c r="C592" s="230"/>
      <c r="D592" s="230"/>
      <c r="E592" s="230"/>
      <c r="F592" s="230"/>
      <c r="G592" s="230"/>
      <c r="H592" s="230"/>
      <c r="I592" s="230"/>
      <c r="J592" s="230"/>
      <c r="K592" s="230"/>
      <c r="L592" s="230"/>
      <c r="M592" s="230"/>
      <c r="N592" s="230"/>
      <c r="O592" s="230"/>
      <c r="P592" s="230"/>
      <c r="Q592" s="230"/>
      <c r="R592" s="230"/>
      <c r="S592" s="230"/>
      <c r="T592" s="230"/>
      <c r="U592" s="230"/>
      <c r="V592" s="230"/>
      <c r="W592" s="230"/>
      <c r="X592" s="230"/>
      <c r="Y592" s="230"/>
      <c r="Z592" s="230"/>
    </row>
    <row r="593">
      <c r="A593" s="230"/>
      <c r="B593" s="230"/>
      <c r="C593" s="230"/>
      <c r="D593" s="230"/>
      <c r="E593" s="230"/>
      <c r="F593" s="230"/>
      <c r="G593" s="230"/>
      <c r="H593" s="230"/>
      <c r="I593" s="230"/>
      <c r="J593" s="230"/>
      <c r="K593" s="230"/>
      <c r="L593" s="230"/>
      <c r="M593" s="230"/>
      <c r="N593" s="230"/>
      <c r="O593" s="230"/>
      <c r="P593" s="230"/>
      <c r="Q593" s="230"/>
      <c r="R593" s="230"/>
      <c r="S593" s="230"/>
      <c r="T593" s="230"/>
      <c r="U593" s="230"/>
      <c r="V593" s="230"/>
      <c r="W593" s="230"/>
      <c r="X593" s="230"/>
      <c r="Y593" s="230"/>
      <c r="Z593" s="230"/>
    </row>
    <row r="594">
      <c r="A594" s="230"/>
      <c r="B594" s="230"/>
      <c r="C594" s="230"/>
      <c r="D594" s="230"/>
      <c r="E594" s="230"/>
      <c r="F594" s="230"/>
      <c r="G594" s="230"/>
      <c r="H594" s="230"/>
      <c r="I594" s="230"/>
      <c r="J594" s="230"/>
      <c r="K594" s="230"/>
      <c r="L594" s="230"/>
      <c r="M594" s="230"/>
      <c r="N594" s="230"/>
      <c r="O594" s="230"/>
      <c r="P594" s="230"/>
      <c r="Q594" s="230"/>
      <c r="R594" s="230"/>
      <c r="S594" s="230"/>
      <c r="T594" s="230"/>
      <c r="U594" s="230"/>
      <c r="V594" s="230"/>
      <c r="W594" s="230"/>
      <c r="X594" s="230"/>
      <c r="Y594" s="230"/>
      <c r="Z594" s="230"/>
    </row>
    <row r="595">
      <c r="A595" s="230"/>
      <c r="B595" s="230"/>
      <c r="C595" s="230"/>
      <c r="D595" s="230"/>
      <c r="E595" s="230"/>
      <c r="F595" s="230"/>
      <c r="G595" s="230"/>
      <c r="H595" s="230"/>
      <c r="I595" s="230"/>
      <c r="J595" s="230"/>
      <c r="K595" s="230"/>
      <c r="L595" s="230"/>
      <c r="M595" s="230"/>
      <c r="N595" s="230"/>
      <c r="O595" s="230"/>
      <c r="P595" s="230"/>
      <c r="Q595" s="230"/>
      <c r="R595" s="230"/>
      <c r="S595" s="230"/>
      <c r="T595" s="230"/>
      <c r="U595" s="230"/>
      <c r="V595" s="230"/>
      <c r="W595" s="230"/>
      <c r="X595" s="230"/>
      <c r="Y595" s="230"/>
      <c r="Z595" s="230"/>
    </row>
    <row r="596">
      <c r="A596" s="230"/>
      <c r="B596" s="230"/>
      <c r="C596" s="230"/>
      <c r="D596" s="230"/>
      <c r="E596" s="230"/>
      <c r="F596" s="230"/>
      <c r="G596" s="230"/>
      <c r="H596" s="230"/>
      <c r="I596" s="230"/>
      <c r="J596" s="230"/>
      <c r="K596" s="230"/>
      <c r="L596" s="230"/>
      <c r="M596" s="230"/>
      <c r="N596" s="230"/>
      <c r="O596" s="230"/>
      <c r="P596" s="230"/>
      <c r="Q596" s="230"/>
      <c r="R596" s="230"/>
      <c r="S596" s="230"/>
      <c r="T596" s="230"/>
      <c r="U596" s="230"/>
      <c r="V596" s="230"/>
      <c r="W596" s="230"/>
      <c r="X596" s="230"/>
      <c r="Y596" s="230"/>
      <c r="Z596" s="230"/>
    </row>
    <row r="597">
      <c r="A597" s="230"/>
      <c r="B597" s="230"/>
      <c r="C597" s="230"/>
      <c r="D597" s="230"/>
      <c r="E597" s="230"/>
      <c r="F597" s="230"/>
      <c r="G597" s="230"/>
      <c r="H597" s="230"/>
      <c r="I597" s="230"/>
      <c r="J597" s="230"/>
      <c r="K597" s="230"/>
      <c r="L597" s="230"/>
      <c r="M597" s="230"/>
      <c r="N597" s="230"/>
      <c r="O597" s="230"/>
      <c r="P597" s="230"/>
      <c r="Q597" s="230"/>
      <c r="R597" s="230"/>
      <c r="S597" s="230"/>
      <c r="T597" s="230"/>
      <c r="U597" s="230"/>
      <c r="V597" s="230"/>
      <c r="W597" s="230"/>
      <c r="X597" s="230"/>
      <c r="Y597" s="230"/>
      <c r="Z597" s="230"/>
    </row>
    <row r="598">
      <c r="A598" s="230"/>
      <c r="B598" s="230"/>
      <c r="C598" s="230"/>
      <c r="D598" s="230"/>
      <c r="E598" s="230"/>
      <c r="F598" s="230"/>
      <c r="G598" s="230"/>
      <c r="H598" s="230"/>
      <c r="I598" s="230"/>
      <c r="J598" s="230"/>
      <c r="K598" s="230"/>
      <c r="L598" s="230"/>
      <c r="M598" s="230"/>
      <c r="N598" s="230"/>
      <c r="O598" s="230"/>
      <c r="P598" s="230"/>
      <c r="Q598" s="230"/>
      <c r="R598" s="230"/>
      <c r="S598" s="230"/>
      <c r="T598" s="230"/>
      <c r="U598" s="230"/>
      <c r="V598" s="230"/>
      <c r="W598" s="230"/>
      <c r="X598" s="230"/>
      <c r="Y598" s="230"/>
      <c r="Z598" s="230"/>
    </row>
    <row r="599">
      <c r="A599" s="230"/>
      <c r="B599" s="230"/>
      <c r="C599" s="230"/>
      <c r="D599" s="230"/>
      <c r="E599" s="230"/>
      <c r="F599" s="230"/>
      <c r="G599" s="230"/>
      <c r="H599" s="230"/>
      <c r="I599" s="230"/>
      <c r="J599" s="230"/>
      <c r="K599" s="230"/>
      <c r="L599" s="230"/>
      <c r="M599" s="230"/>
      <c r="N599" s="230"/>
      <c r="O599" s="230"/>
      <c r="P599" s="230"/>
      <c r="Q599" s="230"/>
      <c r="R599" s="230"/>
      <c r="S599" s="230"/>
      <c r="T599" s="230"/>
      <c r="U599" s="230"/>
      <c r="V599" s="230"/>
      <c r="W599" s="230"/>
      <c r="X599" s="230"/>
      <c r="Y599" s="230"/>
      <c r="Z599" s="230"/>
    </row>
    <row r="600">
      <c r="A600" s="230"/>
      <c r="B600" s="230"/>
      <c r="C600" s="230"/>
      <c r="D600" s="230"/>
      <c r="E600" s="230"/>
      <c r="F600" s="230"/>
      <c r="G600" s="230"/>
      <c r="H600" s="230"/>
      <c r="I600" s="230"/>
      <c r="J600" s="230"/>
      <c r="K600" s="230"/>
      <c r="L600" s="230"/>
      <c r="M600" s="230"/>
      <c r="N600" s="230"/>
      <c r="O600" s="230"/>
      <c r="P600" s="230"/>
      <c r="Q600" s="230"/>
      <c r="R600" s="230"/>
      <c r="S600" s="230"/>
      <c r="T600" s="230"/>
      <c r="U600" s="230"/>
      <c r="V600" s="230"/>
      <c r="W600" s="230"/>
      <c r="X600" s="230"/>
      <c r="Y600" s="230"/>
      <c r="Z600" s="230"/>
    </row>
    <row r="601">
      <c r="A601" s="230"/>
      <c r="B601" s="230"/>
      <c r="C601" s="230"/>
      <c r="D601" s="230"/>
      <c r="E601" s="230"/>
      <c r="F601" s="230"/>
      <c r="G601" s="230"/>
      <c r="H601" s="230"/>
      <c r="I601" s="230"/>
      <c r="J601" s="230"/>
      <c r="K601" s="230"/>
      <c r="L601" s="230"/>
      <c r="M601" s="230"/>
      <c r="N601" s="230"/>
      <c r="O601" s="230"/>
      <c r="P601" s="230"/>
      <c r="Q601" s="230"/>
      <c r="R601" s="230"/>
      <c r="S601" s="230"/>
      <c r="T601" s="230"/>
      <c r="U601" s="230"/>
      <c r="V601" s="230"/>
      <c r="W601" s="230"/>
      <c r="X601" s="230"/>
      <c r="Y601" s="230"/>
      <c r="Z601" s="230"/>
    </row>
    <row r="602">
      <c r="A602" s="230"/>
      <c r="B602" s="230"/>
      <c r="C602" s="230"/>
      <c r="D602" s="230"/>
      <c r="E602" s="230"/>
      <c r="F602" s="230"/>
      <c r="G602" s="230"/>
      <c r="H602" s="230"/>
      <c r="I602" s="230"/>
      <c r="J602" s="230"/>
      <c r="K602" s="230"/>
      <c r="L602" s="230"/>
      <c r="M602" s="230"/>
      <c r="N602" s="230"/>
      <c r="O602" s="230"/>
      <c r="P602" s="230"/>
      <c r="Q602" s="230"/>
      <c r="R602" s="230"/>
      <c r="S602" s="230"/>
      <c r="T602" s="230"/>
      <c r="U602" s="230"/>
      <c r="V602" s="230"/>
      <c r="W602" s="230"/>
      <c r="X602" s="230"/>
      <c r="Y602" s="230"/>
      <c r="Z602" s="230"/>
    </row>
    <row r="603">
      <c r="A603" s="230"/>
      <c r="B603" s="230"/>
      <c r="C603" s="230"/>
      <c r="D603" s="230"/>
      <c r="E603" s="230"/>
      <c r="F603" s="230"/>
      <c r="G603" s="230"/>
      <c r="H603" s="230"/>
      <c r="I603" s="230"/>
      <c r="J603" s="230"/>
      <c r="K603" s="230"/>
      <c r="L603" s="230"/>
      <c r="M603" s="230"/>
      <c r="N603" s="230"/>
      <c r="O603" s="230"/>
      <c r="P603" s="230"/>
      <c r="Q603" s="230"/>
      <c r="R603" s="230"/>
      <c r="S603" s="230"/>
      <c r="T603" s="230"/>
      <c r="U603" s="230"/>
      <c r="V603" s="230"/>
      <c r="W603" s="230"/>
      <c r="X603" s="230"/>
      <c r="Y603" s="230"/>
      <c r="Z603" s="230"/>
    </row>
    <row r="604">
      <c r="A604" s="230"/>
      <c r="B604" s="230"/>
      <c r="C604" s="230"/>
      <c r="D604" s="230"/>
      <c r="E604" s="230"/>
      <c r="F604" s="230"/>
      <c r="G604" s="230"/>
      <c r="H604" s="230"/>
      <c r="I604" s="230"/>
      <c r="J604" s="230"/>
      <c r="K604" s="230"/>
      <c r="L604" s="230"/>
      <c r="M604" s="230"/>
      <c r="N604" s="230"/>
      <c r="O604" s="230"/>
      <c r="P604" s="230"/>
      <c r="Q604" s="230"/>
      <c r="R604" s="230"/>
      <c r="S604" s="230"/>
      <c r="T604" s="230"/>
      <c r="U604" s="230"/>
      <c r="V604" s="230"/>
      <c r="W604" s="230"/>
      <c r="X604" s="230"/>
      <c r="Y604" s="230"/>
      <c r="Z604" s="230"/>
    </row>
    <row r="605">
      <c r="A605" s="230"/>
      <c r="B605" s="230"/>
      <c r="C605" s="230"/>
      <c r="D605" s="230"/>
      <c r="E605" s="230"/>
      <c r="F605" s="230"/>
      <c r="G605" s="230"/>
      <c r="H605" s="230"/>
      <c r="I605" s="230"/>
      <c r="J605" s="230"/>
      <c r="K605" s="230"/>
      <c r="L605" s="230"/>
      <c r="M605" s="230"/>
      <c r="N605" s="230"/>
      <c r="O605" s="230"/>
      <c r="P605" s="230"/>
      <c r="Q605" s="230"/>
      <c r="R605" s="230"/>
      <c r="S605" s="230"/>
      <c r="T605" s="230"/>
      <c r="U605" s="230"/>
      <c r="V605" s="230"/>
      <c r="W605" s="230"/>
      <c r="X605" s="230"/>
      <c r="Y605" s="230"/>
      <c r="Z605" s="230"/>
    </row>
    <row r="606">
      <c r="A606" s="230"/>
      <c r="B606" s="230"/>
      <c r="C606" s="230"/>
      <c r="D606" s="230"/>
      <c r="E606" s="230"/>
      <c r="F606" s="230"/>
      <c r="G606" s="230"/>
      <c r="H606" s="230"/>
      <c r="I606" s="230"/>
      <c r="J606" s="230"/>
      <c r="K606" s="230"/>
      <c r="L606" s="230"/>
      <c r="M606" s="230"/>
      <c r="N606" s="230"/>
      <c r="O606" s="230"/>
      <c r="P606" s="230"/>
      <c r="Q606" s="230"/>
      <c r="R606" s="230"/>
      <c r="S606" s="230"/>
      <c r="T606" s="230"/>
      <c r="U606" s="230"/>
      <c r="V606" s="230"/>
      <c r="W606" s="230"/>
      <c r="X606" s="230"/>
      <c r="Y606" s="230"/>
      <c r="Z606" s="230"/>
    </row>
    <row r="607">
      <c r="A607" s="230"/>
      <c r="B607" s="230"/>
      <c r="C607" s="230"/>
      <c r="D607" s="230"/>
      <c r="E607" s="230"/>
      <c r="F607" s="230"/>
      <c r="G607" s="230"/>
      <c r="H607" s="230"/>
      <c r="I607" s="230"/>
      <c r="J607" s="230"/>
      <c r="K607" s="230"/>
      <c r="L607" s="230"/>
      <c r="M607" s="230"/>
      <c r="N607" s="230"/>
      <c r="O607" s="230"/>
      <c r="P607" s="230"/>
      <c r="Q607" s="230"/>
      <c r="R607" s="230"/>
      <c r="S607" s="230"/>
      <c r="T607" s="230"/>
      <c r="U607" s="230"/>
      <c r="V607" s="230"/>
      <c r="W607" s="230"/>
      <c r="X607" s="230"/>
      <c r="Y607" s="230"/>
      <c r="Z607" s="230"/>
    </row>
    <row r="608">
      <c r="A608" s="230"/>
      <c r="B608" s="230"/>
      <c r="C608" s="230"/>
      <c r="D608" s="230"/>
      <c r="E608" s="230"/>
      <c r="F608" s="230"/>
      <c r="G608" s="230"/>
      <c r="H608" s="230"/>
      <c r="I608" s="230"/>
      <c r="J608" s="230"/>
      <c r="K608" s="230"/>
      <c r="L608" s="230"/>
      <c r="M608" s="230"/>
      <c r="N608" s="230"/>
      <c r="O608" s="230"/>
      <c r="P608" s="230"/>
      <c r="Q608" s="230"/>
      <c r="R608" s="230"/>
      <c r="S608" s="230"/>
      <c r="T608" s="230"/>
      <c r="U608" s="230"/>
      <c r="V608" s="230"/>
      <c r="W608" s="230"/>
      <c r="X608" s="230"/>
      <c r="Y608" s="230"/>
      <c r="Z608" s="230"/>
    </row>
    <row r="609">
      <c r="A609" s="230"/>
      <c r="B609" s="230"/>
      <c r="C609" s="230"/>
      <c r="D609" s="230"/>
      <c r="E609" s="230"/>
      <c r="F609" s="230"/>
      <c r="G609" s="230"/>
      <c r="H609" s="230"/>
      <c r="I609" s="230"/>
      <c r="J609" s="230"/>
      <c r="K609" s="230"/>
      <c r="L609" s="230"/>
      <c r="M609" s="230"/>
      <c r="N609" s="230"/>
      <c r="O609" s="230"/>
      <c r="P609" s="230"/>
      <c r="Q609" s="230"/>
      <c r="R609" s="230"/>
      <c r="S609" s="230"/>
      <c r="T609" s="230"/>
      <c r="U609" s="230"/>
      <c r="V609" s="230"/>
      <c r="W609" s="230"/>
      <c r="X609" s="230"/>
      <c r="Y609" s="230"/>
      <c r="Z609" s="230"/>
    </row>
    <row r="610">
      <c r="A610" s="230"/>
      <c r="B610" s="230"/>
      <c r="C610" s="230"/>
      <c r="D610" s="230"/>
      <c r="E610" s="230"/>
      <c r="F610" s="230"/>
      <c r="G610" s="230"/>
      <c r="H610" s="230"/>
      <c r="I610" s="230"/>
      <c r="J610" s="230"/>
      <c r="K610" s="230"/>
      <c r="L610" s="230"/>
      <c r="M610" s="230"/>
      <c r="N610" s="230"/>
      <c r="O610" s="230"/>
      <c r="P610" s="230"/>
      <c r="Q610" s="230"/>
      <c r="R610" s="230"/>
      <c r="S610" s="230"/>
      <c r="T610" s="230"/>
      <c r="U610" s="230"/>
      <c r="V610" s="230"/>
      <c r="W610" s="230"/>
      <c r="X610" s="230"/>
      <c r="Y610" s="230"/>
      <c r="Z610" s="230"/>
    </row>
    <row r="611">
      <c r="A611" s="230"/>
      <c r="B611" s="230"/>
      <c r="C611" s="230"/>
      <c r="D611" s="230"/>
      <c r="E611" s="230"/>
      <c r="F611" s="230"/>
      <c r="G611" s="230"/>
      <c r="H611" s="230"/>
      <c r="I611" s="230"/>
      <c r="J611" s="230"/>
      <c r="K611" s="230"/>
      <c r="L611" s="230"/>
      <c r="M611" s="230"/>
      <c r="N611" s="230"/>
      <c r="O611" s="230"/>
      <c r="P611" s="230"/>
      <c r="Q611" s="230"/>
      <c r="R611" s="230"/>
      <c r="S611" s="230"/>
      <c r="T611" s="230"/>
      <c r="U611" s="230"/>
      <c r="V611" s="230"/>
      <c r="W611" s="230"/>
      <c r="X611" s="230"/>
      <c r="Y611" s="230"/>
      <c r="Z611" s="230"/>
    </row>
    <row r="612">
      <c r="A612" s="230"/>
      <c r="B612" s="230"/>
      <c r="C612" s="230"/>
      <c r="D612" s="230"/>
      <c r="E612" s="230"/>
      <c r="F612" s="230"/>
      <c r="G612" s="230"/>
      <c r="H612" s="230"/>
      <c r="I612" s="230"/>
      <c r="J612" s="230"/>
      <c r="K612" s="230"/>
      <c r="L612" s="230"/>
      <c r="M612" s="230"/>
      <c r="N612" s="230"/>
      <c r="O612" s="230"/>
      <c r="P612" s="230"/>
      <c r="Q612" s="230"/>
      <c r="R612" s="230"/>
      <c r="S612" s="230"/>
      <c r="T612" s="230"/>
      <c r="U612" s="230"/>
      <c r="V612" s="230"/>
      <c r="W612" s="230"/>
      <c r="X612" s="230"/>
      <c r="Y612" s="230"/>
      <c r="Z612" s="230"/>
    </row>
    <row r="613">
      <c r="A613" s="230"/>
      <c r="B613" s="230"/>
      <c r="C613" s="230"/>
      <c r="D613" s="230"/>
      <c r="E613" s="230"/>
      <c r="F613" s="230"/>
      <c r="G613" s="230"/>
      <c r="H613" s="230"/>
      <c r="I613" s="230"/>
      <c r="J613" s="230"/>
      <c r="K613" s="230"/>
      <c r="L613" s="230"/>
      <c r="M613" s="230"/>
      <c r="N613" s="230"/>
      <c r="O613" s="230"/>
      <c r="P613" s="230"/>
      <c r="Q613" s="230"/>
      <c r="R613" s="230"/>
      <c r="S613" s="230"/>
      <c r="T613" s="230"/>
      <c r="U613" s="230"/>
      <c r="V613" s="230"/>
      <c r="W613" s="230"/>
      <c r="X613" s="230"/>
      <c r="Y613" s="230"/>
      <c r="Z613" s="230"/>
    </row>
    <row r="614">
      <c r="A614" s="230"/>
      <c r="B614" s="230"/>
      <c r="C614" s="230"/>
      <c r="D614" s="230"/>
      <c r="E614" s="230"/>
      <c r="F614" s="230"/>
      <c r="G614" s="230"/>
      <c r="H614" s="230"/>
      <c r="I614" s="230"/>
      <c r="J614" s="230"/>
      <c r="K614" s="230"/>
      <c r="L614" s="230"/>
      <c r="M614" s="230"/>
      <c r="N614" s="230"/>
      <c r="O614" s="230"/>
      <c r="P614" s="230"/>
      <c r="Q614" s="230"/>
      <c r="R614" s="230"/>
      <c r="S614" s="230"/>
      <c r="T614" s="230"/>
      <c r="U614" s="230"/>
      <c r="V614" s="230"/>
      <c r="W614" s="230"/>
      <c r="X614" s="230"/>
      <c r="Y614" s="230"/>
      <c r="Z614" s="230"/>
    </row>
    <row r="615">
      <c r="A615" s="230"/>
      <c r="B615" s="230"/>
      <c r="C615" s="230"/>
      <c r="D615" s="230"/>
      <c r="E615" s="230"/>
      <c r="F615" s="230"/>
      <c r="G615" s="230"/>
      <c r="H615" s="230"/>
      <c r="I615" s="230"/>
      <c r="J615" s="230"/>
      <c r="K615" s="230"/>
      <c r="L615" s="230"/>
      <c r="M615" s="230"/>
      <c r="N615" s="230"/>
      <c r="O615" s="230"/>
      <c r="P615" s="230"/>
      <c r="Q615" s="230"/>
      <c r="R615" s="230"/>
      <c r="S615" s="230"/>
      <c r="T615" s="230"/>
      <c r="U615" s="230"/>
      <c r="V615" s="230"/>
      <c r="W615" s="230"/>
      <c r="X615" s="230"/>
      <c r="Y615" s="230"/>
      <c r="Z615" s="230"/>
    </row>
    <row r="616">
      <c r="A616" s="230"/>
      <c r="B616" s="230"/>
      <c r="C616" s="230"/>
      <c r="D616" s="230"/>
      <c r="E616" s="230"/>
      <c r="F616" s="230"/>
      <c r="G616" s="230"/>
      <c r="H616" s="230"/>
      <c r="I616" s="230"/>
      <c r="J616" s="230"/>
      <c r="K616" s="230"/>
      <c r="L616" s="230"/>
      <c r="M616" s="230"/>
      <c r="N616" s="230"/>
      <c r="O616" s="230"/>
      <c r="P616" s="230"/>
      <c r="Q616" s="230"/>
      <c r="R616" s="230"/>
      <c r="S616" s="230"/>
      <c r="T616" s="230"/>
      <c r="U616" s="230"/>
      <c r="V616" s="230"/>
      <c r="W616" s="230"/>
      <c r="X616" s="230"/>
      <c r="Y616" s="230"/>
      <c r="Z616" s="230"/>
    </row>
    <row r="617">
      <c r="A617" s="230"/>
      <c r="B617" s="230"/>
      <c r="C617" s="230"/>
      <c r="D617" s="230"/>
      <c r="E617" s="230"/>
      <c r="F617" s="230"/>
      <c r="G617" s="230"/>
      <c r="H617" s="230"/>
      <c r="I617" s="230"/>
      <c r="J617" s="230"/>
      <c r="K617" s="230"/>
      <c r="L617" s="230"/>
      <c r="M617" s="230"/>
      <c r="N617" s="230"/>
      <c r="O617" s="230"/>
      <c r="P617" s="230"/>
      <c r="Q617" s="230"/>
      <c r="R617" s="230"/>
      <c r="S617" s="230"/>
      <c r="T617" s="230"/>
      <c r="U617" s="230"/>
      <c r="V617" s="230"/>
      <c r="W617" s="230"/>
      <c r="X617" s="230"/>
      <c r="Y617" s="230"/>
      <c r="Z617" s="230"/>
    </row>
    <row r="618">
      <c r="A618" s="230"/>
      <c r="B618" s="230"/>
      <c r="C618" s="230"/>
      <c r="D618" s="230"/>
      <c r="E618" s="230"/>
      <c r="F618" s="230"/>
      <c r="G618" s="230"/>
      <c r="H618" s="230"/>
      <c r="I618" s="230"/>
      <c r="J618" s="230"/>
      <c r="K618" s="230"/>
      <c r="L618" s="230"/>
      <c r="M618" s="230"/>
      <c r="N618" s="230"/>
      <c r="O618" s="230"/>
      <c r="P618" s="230"/>
      <c r="Q618" s="230"/>
      <c r="R618" s="230"/>
      <c r="S618" s="230"/>
      <c r="T618" s="230"/>
      <c r="U618" s="230"/>
      <c r="V618" s="230"/>
      <c r="W618" s="230"/>
      <c r="X618" s="230"/>
      <c r="Y618" s="230"/>
      <c r="Z618" s="230"/>
    </row>
    <row r="619">
      <c r="A619" s="230"/>
      <c r="B619" s="230"/>
      <c r="C619" s="230"/>
      <c r="D619" s="230"/>
      <c r="E619" s="230"/>
      <c r="F619" s="230"/>
      <c r="G619" s="230"/>
      <c r="H619" s="230"/>
      <c r="I619" s="230"/>
      <c r="J619" s="230"/>
      <c r="K619" s="230"/>
      <c r="L619" s="230"/>
      <c r="M619" s="230"/>
      <c r="N619" s="230"/>
      <c r="O619" s="230"/>
      <c r="P619" s="230"/>
      <c r="Q619" s="230"/>
      <c r="R619" s="230"/>
      <c r="S619" s="230"/>
      <c r="T619" s="230"/>
      <c r="U619" s="230"/>
      <c r="V619" s="230"/>
      <c r="W619" s="230"/>
      <c r="X619" s="230"/>
      <c r="Y619" s="230"/>
      <c r="Z619" s="230"/>
    </row>
    <row r="620">
      <c r="A620" s="230"/>
      <c r="B620" s="230"/>
      <c r="C620" s="230"/>
      <c r="D620" s="230"/>
      <c r="E620" s="230"/>
      <c r="F620" s="230"/>
      <c r="G620" s="230"/>
      <c r="H620" s="230"/>
      <c r="I620" s="230"/>
      <c r="J620" s="230"/>
      <c r="K620" s="230"/>
      <c r="L620" s="230"/>
      <c r="M620" s="230"/>
      <c r="N620" s="230"/>
      <c r="O620" s="230"/>
      <c r="P620" s="230"/>
      <c r="Q620" s="230"/>
      <c r="R620" s="230"/>
      <c r="S620" s="230"/>
      <c r="T620" s="230"/>
      <c r="U620" s="230"/>
      <c r="V620" s="230"/>
      <c r="W620" s="230"/>
      <c r="X620" s="230"/>
      <c r="Y620" s="230"/>
      <c r="Z620" s="230"/>
    </row>
    <row r="621">
      <c r="A621" s="230"/>
      <c r="B621" s="230"/>
      <c r="C621" s="230"/>
      <c r="D621" s="230"/>
      <c r="E621" s="230"/>
      <c r="F621" s="230"/>
      <c r="G621" s="230"/>
      <c r="H621" s="230"/>
      <c r="I621" s="230"/>
      <c r="J621" s="230"/>
      <c r="K621" s="230"/>
      <c r="L621" s="230"/>
      <c r="M621" s="230"/>
      <c r="N621" s="230"/>
      <c r="O621" s="230"/>
      <c r="P621" s="230"/>
      <c r="Q621" s="230"/>
      <c r="R621" s="230"/>
      <c r="S621" s="230"/>
      <c r="T621" s="230"/>
      <c r="U621" s="230"/>
      <c r="V621" s="230"/>
      <c r="W621" s="230"/>
      <c r="X621" s="230"/>
      <c r="Y621" s="230"/>
      <c r="Z621" s="230"/>
    </row>
    <row r="622">
      <c r="A622" s="230"/>
      <c r="B622" s="230"/>
      <c r="C622" s="230"/>
      <c r="D622" s="230"/>
      <c r="E622" s="230"/>
      <c r="F622" s="230"/>
      <c r="G622" s="230"/>
      <c r="H622" s="230"/>
      <c r="I622" s="230"/>
      <c r="J622" s="230"/>
      <c r="K622" s="230"/>
      <c r="L622" s="230"/>
      <c r="M622" s="230"/>
      <c r="N622" s="230"/>
      <c r="O622" s="230"/>
      <c r="P622" s="230"/>
      <c r="Q622" s="230"/>
      <c r="R622" s="230"/>
      <c r="S622" s="230"/>
      <c r="T622" s="230"/>
      <c r="U622" s="230"/>
      <c r="V622" s="230"/>
      <c r="W622" s="230"/>
      <c r="X622" s="230"/>
      <c r="Y622" s="230"/>
      <c r="Z622" s="230"/>
    </row>
    <row r="623">
      <c r="A623" s="230"/>
      <c r="B623" s="230"/>
      <c r="C623" s="230"/>
      <c r="D623" s="230"/>
      <c r="E623" s="230"/>
      <c r="F623" s="230"/>
      <c r="G623" s="230"/>
      <c r="H623" s="230"/>
      <c r="I623" s="230"/>
      <c r="J623" s="230"/>
      <c r="K623" s="230"/>
      <c r="L623" s="230"/>
      <c r="M623" s="230"/>
      <c r="N623" s="230"/>
      <c r="O623" s="230"/>
      <c r="P623" s="230"/>
      <c r="Q623" s="230"/>
      <c r="R623" s="230"/>
      <c r="S623" s="230"/>
      <c r="T623" s="230"/>
      <c r="U623" s="230"/>
      <c r="V623" s="230"/>
      <c r="W623" s="230"/>
      <c r="X623" s="230"/>
      <c r="Y623" s="230"/>
      <c r="Z623" s="230"/>
    </row>
    <row r="624">
      <c r="A624" s="230"/>
      <c r="B624" s="230"/>
      <c r="C624" s="230"/>
      <c r="D624" s="230"/>
      <c r="E624" s="230"/>
      <c r="F624" s="230"/>
      <c r="G624" s="230"/>
      <c r="H624" s="230"/>
      <c r="I624" s="230"/>
      <c r="J624" s="230"/>
      <c r="K624" s="230"/>
      <c r="L624" s="230"/>
      <c r="M624" s="230"/>
      <c r="N624" s="230"/>
      <c r="O624" s="230"/>
      <c r="P624" s="230"/>
      <c r="Q624" s="230"/>
      <c r="R624" s="230"/>
      <c r="S624" s="230"/>
      <c r="T624" s="230"/>
      <c r="U624" s="230"/>
      <c r="V624" s="230"/>
      <c r="W624" s="230"/>
      <c r="X624" s="230"/>
      <c r="Y624" s="230"/>
      <c r="Z624" s="230"/>
    </row>
    <row r="625">
      <c r="A625" s="230"/>
      <c r="B625" s="230"/>
      <c r="C625" s="230"/>
      <c r="D625" s="230"/>
      <c r="E625" s="230"/>
      <c r="F625" s="230"/>
      <c r="G625" s="230"/>
      <c r="H625" s="230"/>
      <c r="I625" s="230"/>
      <c r="J625" s="230"/>
      <c r="K625" s="230"/>
      <c r="L625" s="230"/>
      <c r="M625" s="230"/>
      <c r="N625" s="230"/>
      <c r="O625" s="230"/>
      <c r="P625" s="230"/>
      <c r="Q625" s="230"/>
      <c r="R625" s="230"/>
      <c r="S625" s="230"/>
      <c r="T625" s="230"/>
      <c r="U625" s="230"/>
      <c r="V625" s="230"/>
      <c r="W625" s="230"/>
      <c r="X625" s="230"/>
      <c r="Y625" s="230"/>
      <c r="Z625" s="230"/>
    </row>
    <row r="626">
      <c r="A626" s="230"/>
      <c r="B626" s="230"/>
      <c r="C626" s="230"/>
      <c r="D626" s="230"/>
      <c r="E626" s="230"/>
      <c r="F626" s="230"/>
      <c r="G626" s="230"/>
      <c r="H626" s="230"/>
      <c r="I626" s="230"/>
      <c r="J626" s="230"/>
      <c r="K626" s="230"/>
      <c r="L626" s="230"/>
      <c r="M626" s="230"/>
      <c r="N626" s="230"/>
      <c r="O626" s="230"/>
      <c r="P626" s="230"/>
      <c r="Q626" s="230"/>
      <c r="R626" s="230"/>
      <c r="S626" s="230"/>
      <c r="T626" s="230"/>
      <c r="U626" s="230"/>
      <c r="V626" s="230"/>
      <c r="W626" s="230"/>
      <c r="X626" s="230"/>
      <c r="Y626" s="230"/>
      <c r="Z626" s="230"/>
    </row>
    <row r="627">
      <c r="A627" s="230"/>
      <c r="B627" s="230"/>
      <c r="C627" s="230"/>
      <c r="D627" s="230"/>
      <c r="E627" s="230"/>
      <c r="F627" s="230"/>
      <c r="G627" s="230"/>
      <c r="H627" s="230"/>
      <c r="I627" s="230"/>
      <c r="J627" s="230"/>
      <c r="K627" s="230"/>
      <c r="L627" s="230"/>
      <c r="M627" s="230"/>
      <c r="N627" s="230"/>
      <c r="O627" s="230"/>
      <c r="P627" s="230"/>
      <c r="Q627" s="230"/>
      <c r="R627" s="230"/>
      <c r="S627" s="230"/>
      <c r="T627" s="230"/>
      <c r="U627" s="230"/>
      <c r="V627" s="230"/>
      <c r="W627" s="230"/>
      <c r="X627" s="230"/>
      <c r="Y627" s="230"/>
      <c r="Z627" s="230"/>
    </row>
    <row r="628">
      <c r="A628" s="230"/>
      <c r="B628" s="230"/>
      <c r="C628" s="230"/>
      <c r="D628" s="230"/>
      <c r="E628" s="230"/>
      <c r="F628" s="230"/>
      <c r="G628" s="230"/>
      <c r="H628" s="230"/>
      <c r="I628" s="230"/>
      <c r="J628" s="230"/>
      <c r="K628" s="230"/>
      <c r="L628" s="230"/>
      <c r="M628" s="230"/>
      <c r="N628" s="230"/>
      <c r="O628" s="230"/>
      <c r="P628" s="230"/>
      <c r="Q628" s="230"/>
      <c r="R628" s="230"/>
      <c r="S628" s="230"/>
      <c r="T628" s="230"/>
      <c r="U628" s="230"/>
      <c r="V628" s="230"/>
      <c r="W628" s="230"/>
      <c r="X628" s="230"/>
      <c r="Y628" s="230"/>
      <c r="Z628" s="230"/>
    </row>
    <row r="629">
      <c r="A629" s="230"/>
      <c r="B629" s="230"/>
      <c r="C629" s="230"/>
      <c r="D629" s="230"/>
      <c r="E629" s="230"/>
      <c r="F629" s="230"/>
      <c r="G629" s="230"/>
      <c r="H629" s="230"/>
      <c r="I629" s="230"/>
      <c r="J629" s="230"/>
      <c r="K629" s="230"/>
      <c r="L629" s="230"/>
      <c r="M629" s="230"/>
      <c r="N629" s="230"/>
      <c r="O629" s="230"/>
      <c r="P629" s="230"/>
      <c r="Q629" s="230"/>
      <c r="R629" s="230"/>
      <c r="S629" s="230"/>
      <c r="T629" s="230"/>
      <c r="U629" s="230"/>
      <c r="V629" s="230"/>
      <c r="W629" s="230"/>
      <c r="X629" s="230"/>
      <c r="Y629" s="230"/>
      <c r="Z629" s="230"/>
    </row>
    <row r="630">
      <c r="A630" s="230"/>
      <c r="B630" s="230"/>
      <c r="C630" s="230"/>
      <c r="D630" s="230"/>
      <c r="E630" s="230"/>
      <c r="F630" s="230"/>
      <c r="G630" s="230"/>
      <c r="H630" s="230"/>
      <c r="I630" s="230"/>
      <c r="J630" s="230"/>
      <c r="K630" s="230"/>
      <c r="L630" s="230"/>
      <c r="M630" s="230"/>
      <c r="N630" s="230"/>
      <c r="O630" s="230"/>
      <c r="P630" s="230"/>
      <c r="Q630" s="230"/>
      <c r="R630" s="230"/>
      <c r="S630" s="230"/>
      <c r="T630" s="230"/>
      <c r="U630" s="230"/>
      <c r="V630" s="230"/>
      <c r="W630" s="230"/>
      <c r="X630" s="230"/>
      <c r="Y630" s="230"/>
      <c r="Z630" s="230"/>
    </row>
    <row r="631">
      <c r="A631" s="230"/>
      <c r="B631" s="230"/>
      <c r="C631" s="230"/>
      <c r="D631" s="230"/>
      <c r="E631" s="230"/>
      <c r="F631" s="230"/>
      <c r="G631" s="230"/>
      <c r="H631" s="230"/>
      <c r="I631" s="230"/>
      <c r="J631" s="230"/>
      <c r="K631" s="230"/>
      <c r="L631" s="230"/>
      <c r="M631" s="230"/>
      <c r="N631" s="230"/>
      <c r="O631" s="230"/>
      <c r="P631" s="230"/>
      <c r="Q631" s="230"/>
      <c r="R631" s="230"/>
      <c r="S631" s="230"/>
      <c r="T631" s="230"/>
      <c r="U631" s="230"/>
      <c r="V631" s="230"/>
      <c r="W631" s="230"/>
      <c r="X631" s="230"/>
      <c r="Y631" s="230"/>
      <c r="Z631" s="230"/>
    </row>
    <row r="632">
      <c r="A632" s="230"/>
      <c r="B632" s="230"/>
      <c r="C632" s="230"/>
      <c r="D632" s="230"/>
      <c r="E632" s="230"/>
      <c r="F632" s="230"/>
      <c r="G632" s="230"/>
      <c r="H632" s="230"/>
      <c r="I632" s="230"/>
      <c r="J632" s="230"/>
      <c r="K632" s="230"/>
      <c r="L632" s="230"/>
      <c r="M632" s="230"/>
      <c r="N632" s="230"/>
      <c r="O632" s="230"/>
      <c r="P632" s="230"/>
      <c r="Q632" s="230"/>
      <c r="R632" s="230"/>
      <c r="S632" s="230"/>
      <c r="T632" s="230"/>
      <c r="U632" s="230"/>
      <c r="V632" s="230"/>
      <c r="W632" s="230"/>
      <c r="X632" s="230"/>
      <c r="Y632" s="230"/>
      <c r="Z632" s="230"/>
    </row>
    <row r="633">
      <c r="A633" s="230"/>
      <c r="B633" s="230"/>
      <c r="C633" s="230"/>
      <c r="D633" s="230"/>
      <c r="E633" s="230"/>
      <c r="F633" s="230"/>
      <c r="G633" s="230"/>
      <c r="H633" s="230"/>
      <c r="I633" s="230"/>
      <c r="J633" s="230"/>
      <c r="K633" s="230"/>
      <c r="L633" s="230"/>
      <c r="M633" s="230"/>
      <c r="N633" s="230"/>
      <c r="O633" s="230"/>
      <c r="P633" s="230"/>
      <c r="Q633" s="230"/>
      <c r="R633" s="230"/>
      <c r="S633" s="230"/>
      <c r="T633" s="230"/>
      <c r="U633" s="230"/>
      <c r="V633" s="230"/>
      <c r="W633" s="230"/>
      <c r="X633" s="230"/>
      <c r="Y633" s="230"/>
      <c r="Z633" s="230"/>
    </row>
    <row r="634">
      <c r="A634" s="230"/>
      <c r="B634" s="230"/>
      <c r="C634" s="230"/>
      <c r="D634" s="230"/>
      <c r="E634" s="230"/>
      <c r="F634" s="230"/>
      <c r="G634" s="230"/>
      <c r="H634" s="230"/>
      <c r="I634" s="230"/>
      <c r="J634" s="230"/>
      <c r="K634" s="230"/>
      <c r="L634" s="230"/>
      <c r="M634" s="230"/>
      <c r="N634" s="230"/>
      <c r="O634" s="230"/>
      <c r="P634" s="230"/>
      <c r="Q634" s="230"/>
      <c r="R634" s="230"/>
      <c r="S634" s="230"/>
      <c r="T634" s="230"/>
      <c r="U634" s="230"/>
      <c r="V634" s="230"/>
      <c r="W634" s="230"/>
      <c r="X634" s="230"/>
      <c r="Y634" s="230"/>
      <c r="Z634" s="230"/>
    </row>
    <row r="635">
      <c r="A635" s="230"/>
      <c r="B635" s="230"/>
      <c r="C635" s="230"/>
      <c r="D635" s="230"/>
      <c r="E635" s="230"/>
      <c r="F635" s="230"/>
      <c r="G635" s="230"/>
      <c r="H635" s="230"/>
      <c r="I635" s="230"/>
      <c r="J635" s="230"/>
      <c r="K635" s="230"/>
      <c r="L635" s="230"/>
      <c r="M635" s="230"/>
      <c r="N635" s="230"/>
      <c r="O635" s="230"/>
      <c r="P635" s="230"/>
      <c r="Q635" s="230"/>
      <c r="R635" s="230"/>
      <c r="S635" s="230"/>
      <c r="T635" s="230"/>
      <c r="U635" s="230"/>
      <c r="V635" s="230"/>
      <c r="W635" s="230"/>
      <c r="X635" s="230"/>
      <c r="Y635" s="230"/>
      <c r="Z635" s="230"/>
    </row>
    <row r="636">
      <c r="A636" s="230"/>
      <c r="B636" s="230"/>
      <c r="C636" s="230"/>
      <c r="D636" s="230"/>
      <c r="E636" s="230"/>
      <c r="F636" s="230"/>
      <c r="G636" s="230"/>
      <c r="H636" s="230"/>
      <c r="I636" s="230"/>
      <c r="J636" s="230"/>
      <c r="K636" s="230"/>
      <c r="L636" s="230"/>
      <c r="M636" s="230"/>
      <c r="N636" s="230"/>
      <c r="O636" s="230"/>
      <c r="P636" s="230"/>
      <c r="Q636" s="230"/>
      <c r="R636" s="230"/>
      <c r="S636" s="230"/>
      <c r="T636" s="230"/>
      <c r="U636" s="230"/>
      <c r="V636" s="230"/>
      <c r="W636" s="230"/>
      <c r="X636" s="230"/>
      <c r="Y636" s="230"/>
      <c r="Z636" s="230"/>
    </row>
    <row r="637">
      <c r="A637" s="230"/>
      <c r="B637" s="230"/>
      <c r="C637" s="230"/>
      <c r="D637" s="230"/>
      <c r="E637" s="230"/>
      <c r="F637" s="230"/>
      <c r="G637" s="230"/>
      <c r="H637" s="230"/>
      <c r="I637" s="230"/>
      <c r="J637" s="230"/>
      <c r="K637" s="230"/>
      <c r="L637" s="230"/>
      <c r="M637" s="230"/>
      <c r="N637" s="230"/>
      <c r="O637" s="230"/>
      <c r="P637" s="230"/>
      <c r="Q637" s="230"/>
      <c r="R637" s="230"/>
      <c r="S637" s="230"/>
      <c r="T637" s="230"/>
      <c r="U637" s="230"/>
      <c r="V637" s="230"/>
      <c r="W637" s="230"/>
      <c r="X637" s="230"/>
      <c r="Y637" s="230"/>
      <c r="Z637" s="230"/>
    </row>
    <row r="638">
      <c r="A638" s="230"/>
      <c r="B638" s="230"/>
      <c r="C638" s="230"/>
      <c r="D638" s="230"/>
      <c r="E638" s="230"/>
      <c r="F638" s="230"/>
      <c r="G638" s="230"/>
      <c r="H638" s="230"/>
      <c r="I638" s="230"/>
      <c r="J638" s="230"/>
      <c r="K638" s="230"/>
      <c r="L638" s="230"/>
      <c r="M638" s="230"/>
      <c r="N638" s="230"/>
      <c r="O638" s="230"/>
      <c r="P638" s="230"/>
      <c r="Q638" s="230"/>
      <c r="R638" s="230"/>
      <c r="S638" s="230"/>
      <c r="T638" s="230"/>
      <c r="U638" s="230"/>
      <c r="V638" s="230"/>
      <c r="W638" s="230"/>
      <c r="X638" s="230"/>
      <c r="Y638" s="230"/>
      <c r="Z638" s="230"/>
    </row>
    <row r="639">
      <c r="A639" s="230"/>
      <c r="B639" s="230"/>
      <c r="C639" s="230"/>
      <c r="D639" s="230"/>
      <c r="E639" s="230"/>
      <c r="F639" s="230"/>
      <c r="G639" s="230"/>
      <c r="H639" s="230"/>
      <c r="I639" s="230"/>
      <c r="J639" s="230"/>
      <c r="K639" s="230"/>
      <c r="L639" s="230"/>
      <c r="M639" s="230"/>
      <c r="N639" s="230"/>
      <c r="O639" s="230"/>
      <c r="P639" s="230"/>
      <c r="Q639" s="230"/>
      <c r="R639" s="230"/>
      <c r="S639" s="230"/>
      <c r="T639" s="230"/>
      <c r="U639" s="230"/>
      <c r="V639" s="230"/>
      <c r="W639" s="230"/>
      <c r="X639" s="230"/>
      <c r="Y639" s="230"/>
      <c r="Z639" s="230"/>
    </row>
    <row r="640">
      <c r="A640" s="230"/>
      <c r="B640" s="230"/>
      <c r="C640" s="230"/>
      <c r="D640" s="230"/>
      <c r="E640" s="230"/>
      <c r="F640" s="230"/>
      <c r="G640" s="230"/>
      <c r="H640" s="230"/>
      <c r="I640" s="230"/>
      <c r="J640" s="230"/>
      <c r="K640" s="230"/>
      <c r="L640" s="230"/>
      <c r="M640" s="230"/>
      <c r="N640" s="230"/>
      <c r="O640" s="230"/>
      <c r="P640" s="230"/>
      <c r="Q640" s="230"/>
      <c r="R640" s="230"/>
      <c r="S640" s="230"/>
      <c r="T640" s="230"/>
      <c r="U640" s="230"/>
      <c r="V640" s="230"/>
      <c r="W640" s="230"/>
      <c r="X640" s="230"/>
      <c r="Y640" s="230"/>
      <c r="Z640" s="230"/>
    </row>
    <row r="641">
      <c r="A641" s="230"/>
      <c r="B641" s="230"/>
      <c r="C641" s="230"/>
      <c r="D641" s="230"/>
      <c r="E641" s="230"/>
      <c r="F641" s="230"/>
      <c r="G641" s="230"/>
      <c r="H641" s="230"/>
      <c r="I641" s="230"/>
      <c r="J641" s="230"/>
      <c r="K641" s="230"/>
      <c r="L641" s="230"/>
      <c r="M641" s="230"/>
      <c r="N641" s="230"/>
      <c r="O641" s="230"/>
      <c r="P641" s="230"/>
      <c r="Q641" s="230"/>
      <c r="R641" s="230"/>
      <c r="S641" s="230"/>
      <c r="T641" s="230"/>
      <c r="U641" s="230"/>
      <c r="V641" s="230"/>
      <c r="W641" s="230"/>
      <c r="X641" s="230"/>
      <c r="Y641" s="230"/>
      <c r="Z641" s="230"/>
    </row>
    <row r="642">
      <c r="A642" s="230"/>
      <c r="B642" s="230"/>
      <c r="C642" s="230"/>
      <c r="D642" s="230"/>
      <c r="E642" s="230"/>
      <c r="F642" s="230"/>
      <c r="G642" s="230"/>
      <c r="H642" s="230"/>
      <c r="I642" s="230"/>
      <c r="J642" s="230"/>
      <c r="K642" s="230"/>
      <c r="L642" s="230"/>
      <c r="M642" s="230"/>
      <c r="N642" s="230"/>
      <c r="O642" s="230"/>
      <c r="P642" s="230"/>
      <c r="Q642" s="230"/>
      <c r="R642" s="230"/>
      <c r="S642" s="230"/>
      <c r="T642" s="230"/>
      <c r="U642" s="230"/>
      <c r="V642" s="230"/>
      <c r="W642" s="230"/>
      <c r="X642" s="230"/>
      <c r="Y642" s="230"/>
      <c r="Z642" s="230"/>
    </row>
    <row r="643">
      <c r="A643" s="230"/>
      <c r="B643" s="230"/>
      <c r="C643" s="230"/>
      <c r="D643" s="230"/>
      <c r="E643" s="230"/>
      <c r="F643" s="230"/>
      <c r="G643" s="230"/>
      <c r="H643" s="230"/>
      <c r="I643" s="230"/>
      <c r="J643" s="230"/>
      <c r="K643" s="230"/>
      <c r="L643" s="230"/>
      <c r="M643" s="230"/>
      <c r="N643" s="230"/>
      <c r="O643" s="230"/>
      <c r="P643" s="230"/>
      <c r="Q643" s="230"/>
      <c r="R643" s="230"/>
      <c r="S643" s="230"/>
      <c r="T643" s="230"/>
      <c r="U643" s="230"/>
      <c r="V643" s="230"/>
      <c r="W643" s="230"/>
      <c r="X643" s="230"/>
      <c r="Y643" s="230"/>
      <c r="Z643" s="230"/>
    </row>
    <row r="644">
      <c r="A644" s="230"/>
      <c r="B644" s="230"/>
      <c r="C644" s="230"/>
      <c r="D644" s="230"/>
      <c r="E644" s="230"/>
      <c r="F644" s="230"/>
      <c r="G644" s="230"/>
      <c r="H644" s="230"/>
      <c r="I644" s="230"/>
      <c r="J644" s="230"/>
      <c r="K644" s="230"/>
      <c r="L644" s="230"/>
      <c r="M644" s="230"/>
      <c r="N644" s="230"/>
      <c r="O644" s="230"/>
      <c r="P644" s="230"/>
      <c r="Q644" s="230"/>
      <c r="R644" s="230"/>
      <c r="S644" s="230"/>
      <c r="T644" s="230"/>
      <c r="U644" s="230"/>
      <c r="V644" s="230"/>
      <c r="W644" s="230"/>
      <c r="X644" s="230"/>
      <c r="Y644" s="230"/>
      <c r="Z644" s="230"/>
    </row>
    <row r="645">
      <c r="A645" s="230"/>
      <c r="B645" s="230"/>
      <c r="C645" s="230"/>
      <c r="D645" s="230"/>
      <c r="E645" s="230"/>
      <c r="F645" s="230"/>
      <c r="G645" s="230"/>
      <c r="H645" s="230"/>
      <c r="I645" s="230"/>
      <c r="J645" s="230"/>
      <c r="K645" s="230"/>
      <c r="L645" s="230"/>
      <c r="M645" s="230"/>
      <c r="N645" s="230"/>
      <c r="O645" s="230"/>
      <c r="P645" s="230"/>
      <c r="Q645" s="230"/>
      <c r="R645" s="230"/>
      <c r="S645" s="230"/>
      <c r="T645" s="230"/>
      <c r="U645" s="230"/>
      <c r="V645" s="230"/>
      <c r="W645" s="230"/>
      <c r="X645" s="230"/>
      <c r="Y645" s="230"/>
      <c r="Z645" s="230"/>
    </row>
    <row r="646">
      <c r="A646" s="230"/>
      <c r="B646" s="230"/>
      <c r="C646" s="230"/>
      <c r="D646" s="230"/>
      <c r="E646" s="230"/>
      <c r="F646" s="230"/>
      <c r="G646" s="230"/>
      <c r="H646" s="230"/>
      <c r="I646" s="230"/>
      <c r="J646" s="230"/>
      <c r="K646" s="230"/>
      <c r="L646" s="230"/>
      <c r="M646" s="230"/>
      <c r="N646" s="230"/>
      <c r="O646" s="230"/>
      <c r="P646" s="230"/>
      <c r="Q646" s="230"/>
      <c r="R646" s="230"/>
      <c r="S646" s="230"/>
      <c r="T646" s="230"/>
      <c r="U646" s="230"/>
      <c r="V646" s="230"/>
      <c r="W646" s="230"/>
      <c r="X646" s="230"/>
      <c r="Y646" s="230"/>
      <c r="Z646" s="230"/>
    </row>
    <row r="647">
      <c r="A647" s="230"/>
      <c r="B647" s="230"/>
      <c r="C647" s="230"/>
      <c r="D647" s="230"/>
      <c r="E647" s="230"/>
      <c r="F647" s="230"/>
      <c r="G647" s="230"/>
      <c r="H647" s="230"/>
      <c r="I647" s="230"/>
      <c r="J647" s="230"/>
      <c r="K647" s="230"/>
      <c r="L647" s="230"/>
      <c r="M647" s="230"/>
      <c r="N647" s="230"/>
      <c r="O647" s="230"/>
      <c r="P647" s="230"/>
      <c r="Q647" s="230"/>
      <c r="R647" s="230"/>
      <c r="S647" s="230"/>
      <c r="T647" s="230"/>
      <c r="U647" s="230"/>
      <c r="V647" s="230"/>
      <c r="W647" s="230"/>
      <c r="X647" s="230"/>
      <c r="Y647" s="230"/>
      <c r="Z647" s="230"/>
    </row>
    <row r="648">
      <c r="A648" s="230"/>
      <c r="B648" s="230"/>
      <c r="C648" s="230"/>
      <c r="D648" s="230"/>
      <c r="E648" s="230"/>
      <c r="F648" s="230"/>
      <c r="G648" s="230"/>
      <c r="H648" s="230"/>
      <c r="I648" s="230"/>
      <c r="J648" s="230"/>
      <c r="K648" s="230"/>
      <c r="L648" s="230"/>
      <c r="M648" s="230"/>
      <c r="N648" s="230"/>
      <c r="O648" s="230"/>
      <c r="P648" s="230"/>
      <c r="Q648" s="230"/>
      <c r="R648" s="230"/>
      <c r="S648" s="230"/>
      <c r="T648" s="230"/>
      <c r="U648" s="230"/>
      <c r="V648" s="230"/>
      <c r="W648" s="230"/>
      <c r="X648" s="230"/>
      <c r="Y648" s="230"/>
      <c r="Z648" s="230"/>
    </row>
    <row r="649">
      <c r="A649" s="230"/>
      <c r="B649" s="230"/>
      <c r="C649" s="230"/>
      <c r="D649" s="230"/>
      <c r="E649" s="230"/>
      <c r="F649" s="230"/>
      <c r="G649" s="230"/>
      <c r="H649" s="230"/>
      <c r="I649" s="230"/>
      <c r="J649" s="230"/>
      <c r="K649" s="230"/>
      <c r="L649" s="230"/>
      <c r="M649" s="230"/>
      <c r="N649" s="230"/>
      <c r="O649" s="230"/>
      <c r="P649" s="230"/>
      <c r="Q649" s="230"/>
      <c r="R649" s="230"/>
      <c r="S649" s="230"/>
      <c r="T649" s="230"/>
      <c r="U649" s="230"/>
      <c r="V649" s="230"/>
      <c r="W649" s="230"/>
      <c r="X649" s="230"/>
      <c r="Y649" s="230"/>
      <c r="Z649" s="230"/>
    </row>
    <row r="650">
      <c r="A650" s="230"/>
      <c r="B650" s="230"/>
      <c r="C650" s="230"/>
      <c r="D650" s="230"/>
      <c r="E650" s="230"/>
      <c r="F650" s="230"/>
      <c r="G650" s="230"/>
      <c r="H650" s="230"/>
      <c r="I650" s="230"/>
      <c r="J650" s="230"/>
      <c r="K650" s="230"/>
      <c r="L650" s="230"/>
      <c r="M650" s="230"/>
      <c r="N650" s="230"/>
      <c r="O650" s="230"/>
      <c r="P650" s="230"/>
      <c r="Q650" s="230"/>
      <c r="R650" s="230"/>
      <c r="S650" s="230"/>
      <c r="T650" s="230"/>
      <c r="U650" s="230"/>
      <c r="V650" s="230"/>
      <c r="W650" s="230"/>
      <c r="X650" s="230"/>
      <c r="Y650" s="230"/>
      <c r="Z650" s="230"/>
    </row>
    <row r="651">
      <c r="A651" s="230"/>
      <c r="B651" s="230"/>
      <c r="C651" s="230"/>
      <c r="D651" s="230"/>
      <c r="E651" s="230"/>
      <c r="F651" s="230"/>
      <c r="G651" s="230"/>
      <c r="H651" s="230"/>
      <c r="I651" s="230"/>
      <c r="J651" s="230"/>
      <c r="K651" s="230"/>
      <c r="L651" s="230"/>
      <c r="M651" s="230"/>
      <c r="N651" s="230"/>
      <c r="O651" s="230"/>
      <c r="P651" s="230"/>
      <c r="Q651" s="230"/>
      <c r="R651" s="230"/>
      <c r="S651" s="230"/>
      <c r="T651" s="230"/>
      <c r="U651" s="230"/>
      <c r="V651" s="230"/>
      <c r="W651" s="230"/>
      <c r="X651" s="230"/>
      <c r="Y651" s="230"/>
      <c r="Z651" s="230"/>
    </row>
    <row r="652">
      <c r="A652" s="230"/>
      <c r="B652" s="230"/>
      <c r="C652" s="230"/>
      <c r="D652" s="230"/>
      <c r="E652" s="230"/>
      <c r="F652" s="230"/>
      <c r="G652" s="230"/>
      <c r="H652" s="230"/>
      <c r="I652" s="230"/>
      <c r="J652" s="230"/>
      <c r="K652" s="230"/>
      <c r="L652" s="230"/>
      <c r="M652" s="230"/>
      <c r="N652" s="230"/>
      <c r="O652" s="230"/>
      <c r="P652" s="230"/>
      <c r="Q652" s="230"/>
      <c r="R652" s="230"/>
      <c r="S652" s="230"/>
      <c r="T652" s="230"/>
      <c r="U652" s="230"/>
      <c r="V652" s="230"/>
      <c r="W652" s="230"/>
      <c r="X652" s="230"/>
      <c r="Y652" s="230"/>
      <c r="Z652" s="230"/>
    </row>
    <row r="653">
      <c r="A653" s="230"/>
      <c r="B653" s="230"/>
      <c r="C653" s="230"/>
      <c r="D653" s="230"/>
      <c r="E653" s="230"/>
      <c r="F653" s="230"/>
      <c r="G653" s="230"/>
      <c r="H653" s="230"/>
      <c r="I653" s="230"/>
      <c r="J653" s="230"/>
      <c r="K653" s="230"/>
      <c r="L653" s="230"/>
      <c r="M653" s="230"/>
      <c r="N653" s="230"/>
      <c r="O653" s="230"/>
      <c r="P653" s="230"/>
      <c r="Q653" s="230"/>
      <c r="R653" s="230"/>
      <c r="S653" s="230"/>
      <c r="T653" s="230"/>
      <c r="U653" s="230"/>
      <c r="V653" s="230"/>
      <c r="W653" s="230"/>
      <c r="X653" s="230"/>
      <c r="Y653" s="230"/>
      <c r="Z653" s="230"/>
    </row>
    <row r="654">
      <c r="A654" s="230"/>
      <c r="B654" s="230"/>
      <c r="C654" s="230"/>
      <c r="D654" s="230"/>
      <c r="E654" s="230"/>
      <c r="F654" s="230"/>
      <c r="G654" s="230"/>
      <c r="H654" s="230"/>
      <c r="I654" s="230"/>
      <c r="J654" s="230"/>
      <c r="K654" s="230"/>
      <c r="L654" s="230"/>
      <c r="M654" s="230"/>
      <c r="N654" s="230"/>
      <c r="O654" s="230"/>
      <c r="P654" s="230"/>
      <c r="Q654" s="230"/>
      <c r="R654" s="230"/>
      <c r="S654" s="230"/>
      <c r="T654" s="230"/>
      <c r="U654" s="230"/>
      <c r="V654" s="230"/>
      <c r="W654" s="230"/>
      <c r="X654" s="230"/>
      <c r="Y654" s="230"/>
      <c r="Z654" s="230"/>
    </row>
    <row r="655">
      <c r="A655" s="230"/>
      <c r="B655" s="230"/>
      <c r="C655" s="230"/>
      <c r="D655" s="230"/>
      <c r="E655" s="230"/>
      <c r="F655" s="230"/>
      <c r="G655" s="230"/>
      <c r="H655" s="230"/>
      <c r="I655" s="230"/>
      <c r="J655" s="230"/>
      <c r="K655" s="230"/>
      <c r="L655" s="230"/>
      <c r="M655" s="230"/>
      <c r="N655" s="230"/>
      <c r="O655" s="230"/>
      <c r="P655" s="230"/>
      <c r="Q655" s="230"/>
      <c r="R655" s="230"/>
      <c r="S655" s="230"/>
      <c r="T655" s="230"/>
      <c r="U655" s="230"/>
      <c r="V655" s="230"/>
      <c r="W655" s="230"/>
      <c r="X655" s="230"/>
      <c r="Y655" s="230"/>
      <c r="Z655" s="230"/>
    </row>
    <row r="656">
      <c r="A656" s="230"/>
      <c r="B656" s="230"/>
      <c r="C656" s="230"/>
      <c r="D656" s="230"/>
      <c r="E656" s="230"/>
      <c r="F656" s="230"/>
      <c r="G656" s="230"/>
      <c r="H656" s="230"/>
      <c r="I656" s="230"/>
      <c r="J656" s="230"/>
      <c r="K656" s="230"/>
      <c r="L656" s="230"/>
      <c r="M656" s="230"/>
      <c r="N656" s="230"/>
      <c r="O656" s="230"/>
      <c r="P656" s="230"/>
      <c r="Q656" s="230"/>
      <c r="R656" s="230"/>
      <c r="S656" s="230"/>
      <c r="T656" s="230"/>
      <c r="U656" s="230"/>
      <c r="V656" s="230"/>
      <c r="W656" s="230"/>
      <c r="X656" s="230"/>
      <c r="Y656" s="230"/>
      <c r="Z656" s="230"/>
    </row>
    <row r="657">
      <c r="A657" s="230"/>
      <c r="B657" s="230"/>
      <c r="C657" s="230"/>
      <c r="D657" s="230"/>
      <c r="E657" s="230"/>
      <c r="F657" s="230"/>
      <c r="G657" s="230"/>
      <c r="H657" s="230"/>
      <c r="I657" s="230"/>
      <c r="J657" s="230"/>
      <c r="K657" s="230"/>
      <c r="L657" s="230"/>
      <c r="M657" s="230"/>
      <c r="N657" s="230"/>
      <c r="O657" s="230"/>
      <c r="P657" s="230"/>
      <c r="Q657" s="230"/>
      <c r="R657" s="230"/>
      <c r="S657" s="230"/>
      <c r="T657" s="230"/>
      <c r="U657" s="230"/>
      <c r="V657" s="230"/>
      <c r="W657" s="230"/>
      <c r="X657" s="230"/>
      <c r="Y657" s="230"/>
      <c r="Z657" s="230"/>
    </row>
    <row r="658">
      <c r="A658" s="230"/>
      <c r="B658" s="230"/>
      <c r="C658" s="230"/>
      <c r="D658" s="230"/>
      <c r="E658" s="230"/>
      <c r="F658" s="230"/>
      <c r="G658" s="230"/>
      <c r="H658" s="230"/>
      <c r="I658" s="230"/>
      <c r="J658" s="230"/>
      <c r="K658" s="230"/>
      <c r="L658" s="230"/>
      <c r="M658" s="230"/>
      <c r="N658" s="230"/>
      <c r="O658" s="230"/>
      <c r="P658" s="230"/>
      <c r="Q658" s="230"/>
      <c r="R658" s="230"/>
      <c r="S658" s="230"/>
      <c r="T658" s="230"/>
      <c r="U658" s="230"/>
      <c r="V658" s="230"/>
      <c r="W658" s="230"/>
      <c r="X658" s="230"/>
      <c r="Y658" s="230"/>
      <c r="Z658" s="230"/>
    </row>
    <row r="659">
      <c r="A659" s="230"/>
      <c r="B659" s="230"/>
      <c r="C659" s="230"/>
      <c r="D659" s="230"/>
      <c r="E659" s="230"/>
      <c r="F659" s="230"/>
      <c r="G659" s="230"/>
      <c r="H659" s="230"/>
      <c r="I659" s="230"/>
      <c r="J659" s="230"/>
      <c r="K659" s="230"/>
      <c r="L659" s="230"/>
      <c r="M659" s="230"/>
      <c r="N659" s="230"/>
      <c r="O659" s="230"/>
      <c r="P659" s="230"/>
      <c r="Q659" s="230"/>
      <c r="R659" s="230"/>
      <c r="S659" s="230"/>
      <c r="T659" s="230"/>
      <c r="U659" s="230"/>
      <c r="V659" s="230"/>
      <c r="W659" s="230"/>
      <c r="X659" s="230"/>
      <c r="Y659" s="230"/>
      <c r="Z659" s="230"/>
    </row>
    <row r="660">
      <c r="A660" s="230"/>
      <c r="B660" s="230"/>
      <c r="C660" s="230"/>
      <c r="D660" s="230"/>
      <c r="E660" s="230"/>
      <c r="F660" s="230"/>
      <c r="G660" s="230"/>
      <c r="H660" s="230"/>
      <c r="I660" s="230"/>
      <c r="J660" s="230"/>
      <c r="K660" s="230"/>
      <c r="L660" s="230"/>
      <c r="M660" s="230"/>
      <c r="N660" s="230"/>
      <c r="O660" s="230"/>
      <c r="P660" s="230"/>
      <c r="Q660" s="230"/>
      <c r="R660" s="230"/>
      <c r="S660" s="230"/>
      <c r="T660" s="230"/>
      <c r="U660" s="230"/>
      <c r="V660" s="230"/>
      <c r="W660" s="230"/>
      <c r="X660" s="230"/>
      <c r="Y660" s="230"/>
      <c r="Z660" s="230"/>
    </row>
    <row r="661">
      <c r="A661" s="230"/>
      <c r="B661" s="230"/>
      <c r="C661" s="230"/>
      <c r="D661" s="230"/>
      <c r="E661" s="230"/>
      <c r="F661" s="230"/>
      <c r="G661" s="230"/>
      <c r="H661" s="230"/>
      <c r="I661" s="230"/>
      <c r="J661" s="230"/>
      <c r="K661" s="230"/>
      <c r="L661" s="230"/>
      <c r="M661" s="230"/>
      <c r="N661" s="230"/>
      <c r="O661" s="230"/>
      <c r="P661" s="230"/>
      <c r="Q661" s="230"/>
      <c r="R661" s="230"/>
      <c r="S661" s="230"/>
      <c r="T661" s="230"/>
      <c r="U661" s="230"/>
      <c r="V661" s="230"/>
      <c r="W661" s="230"/>
      <c r="X661" s="230"/>
      <c r="Y661" s="230"/>
      <c r="Z661" s="230"/>
    </row>
    <row r="662">
      <c r="A662" s="230"/>
      <c r="B662" s="230"/>
      <c r="C662" s="230"/>
      <c r="D662" s="230"/>
      <c r="E662" s="230"/>
      <c r="F662" s="230"/>
      <c r="G662" s="230"/>
      <c r="H662" s="230"/>
      <c r="I662" s="230"/>
      <c r="J662" s="230"/>
      <c r="K662" s="230"/>
      <c r="L662" s="230"/>
      <c r="M662" s="230"/>
      <c r="N662" s="230"/>
      <c r="O662" s="230"/>
      <c r="P662" s="230"/>
      <c r="Q662" s="230"/>
      <c r="R662" s="230"/>
      <c r="S662" s="230"/>
      <c r="T662" s="230"/>
      <c r="U662" s="230"/>
      <c r="V662" s="230"/>
      <c r="W662" s="230"/>
      <c r="X662" s="230"/>
      <c r="Y662" s="230"/>
      <c r="Z662" s="230"/>
    </row>
    <row r="663">
      <c r="A663" s="230"/>
      <c r="B663" s="230"/>
      <c r="C663" s="230"/>
      <c r="D663" s="230"/>
      <c r="E663" s="230"/>
      <c r="F663" s="230"/>
      <c r="G663" s="230"/>
      <c r="H663" s="230"/>
      <c r="I663" s="230"/>
      <c r="J663" s="230"/>
      <c r="K663" s="230"/>
      <c r="L663" s="230"/>
      <c r="M663" s="230"/>
      <c r="N663" s="230"/>
      <c r="O663" s="230"/>
      <c r="P663" s="230"/>
      <c r="Q663" s="230"/>
      <c r="R663" s="230"/>
      <c r="S663" s="230"/>
      <c r="T663" s="230"/>
      <c r="U663" s="230"/>
      <c r="V663" s="230"/>
      <c r="W663" s="230"/>
      <c r="X663" s="230"/>
      <c r="Y663" s="230"/>
      <c r="Z663" s="230"/>
    </row>
    <row r="664">
      <c r="A664" s="230"/>
      <c r="B664" s="230"/>
      <c r="C664" s="230"/>
      <c r="D664" s="230"/>
      <c r="E664" s="230"/>
      <c r="F664" s="230"/>
      <c r="G664" s="230"/>
      <c r="H664" s="230"/>
      <c r="I664" s="230"/>
      <c r="J664" s="230"/>
      <c r="K664" s="230"/>
      <c r="L664" s="230"/>
      <c r="M664" s="230"/>
      <c r="N664" s="230"/>
      <c r="O664" s="230"/>
      <c r="P664" s="230"/>
      <c r="Q664" s="230"/>
      <c r="R664" s="230"/>
      <c r="S664" s="230"/>
      <c r="T664" s="230"/>
      <c r="U664" s="230"/>
      <c r="V664" s="230"/>
      <c r="W664" s="230"/>
      <c r="X664" s="230"/>
      <c r="Y664" s="230"/>
      <c r="Z664" s="230"/>
    </row>
    <row r="665">
      <c r="A665" s="230"/>
      <c r="B665" s="230"/>
      <c r="C665" s="230"/>
      <c r="D665" s="230"/>
      <c r="E665" s="230"/>
      <c r="F665" s="230"/>
      <c r="G665" s="230"/>
      <c r="H665" s="230"/>
      <c r="I665" s="230"/>
      <c r="J665" s="230"/>
      <c r="K665" s="230"/>
      <c r="L665" s="230"/>
      <c r="M665" s="230"/>
      <c r="N665" s="230"/>
      <c r="O665" s="230"/>
      <c r="P665" s="230"/>
      <c r="Q665" s="230"/>
      <c r="R665" s="230"/>
      <c r="S665" s="230"/>
      <c r="T665" s="230"/>
      <c r="U665" s="230"/>
      <c r="V665" s="230"/>
      <c r="W665" s="230"/>
      <c r="X665" s="230"/>
      <c r="Y665" s="230"/>
      <c r="Z665" s="230"/>
    </row>
    <row r="666">
      <c r="A666" s="230"/>
      <c r="B666" s="230"/>
      <c r="C666" s="230"/>
      <c r="D666" s="230"/>
      <c r="E666" s="230"/>
      <c r="F666" s="230"/>
      <c r="G666" s="230"/>
      <c r="H666" s="230"/>
      <c r="I666" s="230"/>
      <c r="J666" s="230"/>
      <c r="K666" s="230"/>
      <c r="L666" s="230"/>
      <c r="M666" s="230"/>
      <c r="N666" s="230"/>
      <c r="O666" s="230"/>
      <c r="P666" s="230"/>
      <c r="Q666" s="230"/>
      <c r="R666" s="230"/>
      <c r="S666" s="230"/>
      <c r="T666" s="230"/>
      <c r="U666" s="230"/>
      <c r="V666" s="230"/>
      <c r="W666" s="230"/>
      <c r="X666" s="230"/>
      <c r="Y666" s="230"/>
      <c r="Z666" s="230"/>
    </row>
    <row r="667">
      <c r="A667" s="230"/>
      <c r="B667" s="230"/>
      <c r="C667" s="230"/>
      <c r="D667" s="230"/>
      <c r="E667" s="230"/>
      <c r="F667" s="230"/>
      <c r="G667" s="230"/>
      <c r="H667" s="230"/>
      <c r="I667" s="230"/>
      <c r="J667" s="230"/>
      <c r="K667" s="230"/>
      <c r="L667" s="230"/>
      <c r="M667" s="230"/>
      <c r="N667" s="230"/>
      <c r="O667" s="230"/>
      <c r="P667" s="230"/>
      <c r="Q667" s="230"/>
      <c r="R667" s="230"/>
      <c r="S667" s="230"/>
      <c r="T667" s="230"/>
      <c r="U667" s="230"/>
      <c r="V667" s="230"/>
      <c r="W667" s="230"/>
      <c r="X667" s="230"/>
      <c r="Y667" s="230"/>
      <c r="Z667" s="230"/>
    </row>
    <row r="668">
      <c r="A668" s="230"/>
      <c r="B668" s="230"/>
      <c r="C668" s="230"/>
      <c r="D668" s="230"/>
      <c r="E668" s="230"/>
      <c r="F668" s="230"/>
      <c r="G668" s="230"/>
      <c r="H668" s="230"/>
      <c r="I668" s="230"/>
      <c r="J668" s="230"/>
      <c r="K668" s="230"/>
      <c r="L668" s="230"/>
      <c r="M668" s="230"/>
      <c r="N668" s="230"/>
      <c r="O668" s="230"/>
      <c r="P668" s="230"/>
      <c r="Q668" s="230"/>
      <c r="R668" s="230"/>
      <c r="S668" s="230"/>
      <c r="T668" s="230"/>
      <c r="U668" s="230"/>
      <c r="V668" s="230"/>
      <c r="W668" s="230"/>
      <c r="X668" s="230"/>
      <c r="Y668" s="230"/>
      <c r="Z668" s="230"/>
    </row>
    <row r="669">
      <c r="A669" s="230"/>
      <c r="B669" s="230"/>
      <c r="C669" s="230"/>
      <c r="D669" s="230"/>
      <c r="E669" s="230"/>
      <c r="F669" s="230"/>
      <c r="G669" s="230"/>
      <c r="H669" s="230"/>
      <c r="I669" s="230"/>
      <c r="J669" s="230"/>
      <c r="K669" s="230"/>
      <c r="L669" s="230"/>
      <c r="M669" s="230"/>
      <c r="N669" s="230"/>
      <c r="O669" s="230"/>
      <c r="P669" s="230"/>
      <c r="Q669" s="230"/>
      <c r="R669" s="230"/>
      <c r="S669" s="230"/>
      <c r="T669" s="230"/>
      <c r="U669" s="230"/>
      <c r="V669" s="230"/>
      <c r="W669" s="230"/>
      <c r="X669" s="230"/>
      <c r="Y669" s="230"/>
      <c r="Z669" s="230"/>
    </row>
    <row r="670">
      <c r="A670" s="230"/>
      <c r="B670" s="230"/>
      <c r="C670" s="230"/>
      <c r="D670" s="230"/>
      <c r="E670" s="230"/>
      <c r="F670" s="230"/>
      <c r="G670" s="230"/>
      <c r="H670" s="230"/>
      <c r="I670" s="230"/>
      <c r="J670" s="230"/>
      <c r="K670" s="230"/>
      <c r="L670" s="230"/>
      <c r="M670" s="230"/>
      <c r="N670" s="230"/>
      <c r="O670" s="230"/>
      <c r="P670" s="230"/>
      <c r="Q670" s="230"/>
      <c r="R670" s="230"/>
      <c r="S670" s="230"/>
      <c r="T670" s="230"/>
      <c r="U670" s="230"/>
      <c r="V670" s="230"/>
      <c r="W670" s="230"/>
      <c r="X670" s="230"/>
      <c r="Y670" s="230"/>
      <c r="Z670" s="230"/>
    </row>
    <row r="671">
      <c r="A671" s="230"/>
      <c r="B671" s="230"/>
      <c r="C671" s="230"/>
      <c r="D671" s="230"/>
      <c r="E671" s="230"/>
      <c r="F671" s="230"/>
      <c r="G671" s="230"/>
      <c r="H671" s="230"/>
      <c r="I671" s="230"/>
      <c r="J671" s="230"/>
      <c r="K671" s="230"/>
      <c r="L671" s="230"/>
      <c r="M671" s="230"/>
      <c r="N671" s="230"/>
      <c r="O671" s="230"/>
      <c r="P671" s="230"/>
      <c r="Q671" s="230"/>
      <c r="R671" s="230"/>
      <c r="S671" s="230"/>
      <c r="T671" s="230"/>
      <c r="U671" s="230"/>
      <c r="V671" s="230"/>
      <c r="W671" s="230"/>
      <c r="X671" s="230"/>
      <c r="Y671" s="230"/>
      <c r="Z671" s="230"/>
    </row>
    <row r="672">
      <c r="A672" s="230"/>
      <c r="B672" s="230"/>
      <c r="C672" s="230"/>
      <c r="D672" s="230"/>
      <c r="E672" s="230"/>
      <c r="F672" s="230"/>
      <c r="G672" s="230"/>
      <c r="H672" s="230"/>
      <c r="I672" s="230"/>
      <c r="J672" s="230"/>
      <c r="K672" s="230"/>
      <c r="L672" s="230"/>
      <c r="M672" s="230"/>
      <c r="N672" s="230"/>
      <c r="O672" s="230"/>
      <c r="P672" s="230"/>
      <c r="Q672" s="230"/>
      <c r="R672" s="230"/>
      <c r="S672" s="230"/>
      <c r="T672" s="230"/>
      <c r="U672" s="230"/>
      <c r="V672" s="230"/>
      <c r="W672" s="230"/>
      <c r="X672" s="230"/>
      <c r="Y672" s="230"/>
      <c r="Z672" s="230"/>
    </row>
    <row r="673">
      <c r="A673" s="230"/>
      <c r="B673" s="230"/>
      <c r="C673" s="230"/>
      <c r="D673" s="230"/>
      <c r="E673" s="230"/>
      <c r="F673" s="230"/>
      <c r="G673" s="230"/>
      <c r="H673" s="230"/>
      <c r="I673" s="230"/>
      <c r="J673" s="230"/>
      <c r="K673" s="230"/>
      <c r="L673" s="230"/>
      <c r="M673" s="230"/>
      <c r="N673" s="230"/>
      <c r="O673" s="230"/>
      <c r="P673" s="230"/>
      <c r="Q673" s="230"/>
      <c r="R673" s="230"/>
      <c r="S673" s="230"/>
      <c r="T673" s="230"/>
      <c r="U673" s="230"/>
      <c r="V673" s="230"/>
      <c r="W673" s="230"/>
      <c r="X673" s="230"/>
      <c r="Y673" s="230"/>
      <c r="Z673" s="230"/>
    </row>
    <row r="674">
      <c r="A674" s="230"/>
      <c r="B674" s="230"/>
      <c r="C674" s="230"/>
      <c r="D674" s="230"/>
      <c r="E674" s="230"/>
      <c r="F674" s="230"/>
      <c r="G674" s="230"/>
      <c r="H674" s="230"/>
      <c r="I674" s="230"/>
      <c r="J674" s="230"/>
      <c r="K674" s="230"/>
      <c r="L674" s="230"/>
      <c r="M674" s="230"/>
      <c r="N674" s="230"/>
      <c r="O674" s="230"/>
      <c r="P674" s="230"/>
      <c r="Q674" s="230"/>
      <c r="R674" s="230"/>
      <c r="S674" s="230"/>
      <c r="T674" s="230"/>
      <c r="U674" s="230"/>
      <c r="V674" s="230"/>
      <c r="W674" s="230"/>
      <c r="X674" s="230"/>
      <c r="Y674" s="230"/>
      <c r="Z674" s="230"/>
    </row>
    <row r="675">
      <c r="A675" s="230"/>
      <c r="B675" s="230"/>
      <c r="C675" s="230"/>
      <c r="D675" s="230"/>
      <c r="E675" s="230"/>
      <c r="F675" s="230"/>
      <c r="G675" s="230"/>
      <c r="H675" s="230"/>
      <c r="I675" s="230"/>
      <c r="J675" s="230"/>
      <c r="K675" s="230"/>
      <c r="L675" s="230"/>
      <c r="M675" s="230"/>
      <c r="N675" s="230"/>
      <c r="O675" s="230"/>
      <c r="P675" s="230"/>
      <c r="Q675" s="230"/>
      <c r="R675" s="230"/>
      <c r="S675" s="230"/>
      <c r="T675" s="230"/>
      <c r="U675" s="230"/>
      <c r="V675" s="230"/>
      <c r="W675" s="230"/>
      <c r="X675" s="230"/>
      <c r="Y675" s="230"/>
      <c r="Z675" s="230"/>
    </row>
    <row r="676">
      <c r="A676" s="230"/>
      <c r="B676" s="230"/>
      <c r="C676" s="230"/>
      <c r="D676" s="230"/>
      <c r="E676" s="230"/>
      <c r="F676" s="230"/>
      <c r="G676" s="230"/>
      <c r="H676" s="230"/>
      <c r="I676" s="230"/>
      <c r="J676" s="230"/>
      <c r="K676" s="230"/>
      <c r="L676" s="230"/>
      <c r="M676" s="230"/>
      <c r="N676" s="230"/>
      <c r="O676" s="230"/>
      <c r="P676" s="230"/>
      <c r="Q676" s="230"/>
      <c r="R676" s="230"/>
      <c r="S676" s="230"/>
      <c r="T676" s="230"/>
      <c r="U676" s="230"/>
      <c r="V676" s="230"/>
      <c r="W676" s="230"/>
      <c r="X676" s="230"/>
      <c r="Y676" s="230"/>
      <c r="Z676" s="230"/>
    </row>
    <row r="677">
      <c r="A677" s="230"/>
      <c r="B677" s="230"/>
      <c r="C677" s="230"/>
      <c r="D677" s="230"/>
      <c r="E677" s="230"/>
      <c r="F677" s="230"/>
      <c r="G677" s="230"/>
      <c r="H677" s="230"/>
      <c r="I677" s="230"/>
      <c r="J677" s="230"/>
      <c r="K677" s="230"/>
      <c r="L677" s="230"/>
      <c r="M677" s="230"/>
      <c r="N677" s="230"/>
      <c r="O677" s="230"/>
      <c r="P677" s="230"/>
      <c r="Q677" s="230"/>
      <c r="R677" s="230"/>
      <c r="S677" s="230"/>
      <c r="T677" s="230"/>
      <c r="U677" s="230"/>
      <c r="V677" s="230"/>
      <c r="W677" s="230"/>
      <c r="X677" s="230"/>
      <c r="Y677" s="230"/>
      <c r="Z677" s="230"/>
    </row>
    <row r="678">
      <c r="A678" s="230"/>
      <c r="B678" s="230"/>
      <c r="C678" s="230"/>
      <c r="D678" s="230"/>
      <c r="E678" s="230"/>
      <c r="F678" s="230"/>
      <c r="G678" s="230"/>
      <c r="H678" s="230"/>
      <c r="I678" s="230"/>
      <c r="J678" s="230"/>
      <c r="K678" s="230"/>
      <c r="L678" s="230"/>
      <c r="M678" s="230"/>
      <c r="N678" s="230"/>
      <c r="O678" s="230"/>
      <c r="P678" s="230"/>
      <c r="Q678" s="230"/>
      <c r="R678" s="230"/>
      <c r="S678" s="230"/>
      <c r="T678" s="230"/>
      <c r="U678" s="230"/>
      <c r="V678" s="230"/>
      <c r="W678" s="230"/>
      <c r="X678" s="230"/>
      <c r="Y678" s="230"/>
      <c r="Z678" s="230"/>
    </row>
    <row r="679">
      <c r="A679" s="230"/>
      <c r="B679" s="230"/>
      <c r="C679" s="230"/>
      <c r="D679" s="230"/>
      <c r="E679" s="230"/>
      <c r="F679" s="230"/>
      <c r="G679" s="230"/>
      <c r="H679" s="230"/>
      <c r="I679" s="230"/>
      <c r="J679" s="230"/>
      <c r="K679" s="230"/>
      <c r="L679" s="230"/>
      <c r="M679" s="230"/>
      <c r="N679" s="230"/>
      <c r="O679" s="230"/>
      <c r="P679" s="230"/>
      <c r="Q679" s="230"/>
      <c r="R679" s="230"/>
      <c r="S679" s="230"/>
      <c r="T679" s="230"/>
      <c r="U679" s="230"/>
      <c r="V679" s="230"/>
      <c r="W679" s="230"/>
      <c r="X679" s="230"/>
      <c r="Y679" s="230"/>
      <c r="Z679" s="230"/>
    </row>
    <row r="680">
      <c r="A680" s="230"/>
      <c r="B680" s="230"/>
      <c r="C680" s="230"/>
      <c r="D680" s="230"/>
      <c r="E680" s="230"/>
      <c r="F680" s="230"/>
      <c r="G680" s="230"/>
      <c r="H680" s="230"/>
      <c r="I680" s="230"/>
      <c r="J680" s="230"/>
      <c r="K680" s="230"/>
      <c r="L680" s="230"/>
      <c r="M680" s="230"/>
      <c r="N680" s="230"/>
      <c r="O680" s="230"/>
      <c r="P680" s="230"/>
      <c r="Q680" s="230"/>
      <c r="R680" s="230"/>
      <c r="S680" s="230"/>
      <c r="T680" s="230"/>
      <c r="U680" s="230"/>
      <c r="V680" s="230"/>
      <c r="W680" s="230"/>
      <c r="X680" s="230"/>
      <c r="Y680" s="230"/>
      <c r="Z680" s="230"/>
    </row>
    <row r="681">
      <c r="A681" s="230"/>
      <c r="B681" s="230"/>
      <c r="C681" s="230"/>
      <c r="D681" s="230"/>
      <c r="E681" s="230"/>
      <c r="F681" s="230"/>
      <c r="G681" s="230"/>
      <c r="H681" s="230"/>
      <c r="I681" s="230"/>
      <c r="J681" s="230"/>
      <c r="K681" s="230"/>
      <c r="L681" s="230"/>
      <c r="M681" s="230"/>
      <c r="N681" s="230"/>
      <c r="O681" s="230"/>
      <c r="P681" s="230"/>
      <c r="Q681" s="230"/>
      <c r="R681" s="230"/>
      <c r="S681" s="230"/>
      <c r="T681" s="230"/>
      <c r="U681" s="230"/>
      <c r="V681" s="230"/>
      <c r="W681" s="230"/>
      <c r="X681" s="230"/>
      <c r="Y681" s="230"/>
      <c r="Z681" s="230"/>
    </row>
    <row r="682">
      <c r="A682" s="230"/>
      <c r="B682" s="230"/>
      <c r="C682" s="230"/>
      <c r="D682" s="230"/>
      <c r="E682" s="230"/>
      <c r="F682" s="230"/>
      <c r="G682" s="230"/>
      <c r="H682" s="230"/>
      <c r="I682" s="230"/>
      <c r="J682" s="230"/>
      <c r="K682" s="230"/>
      <c r="L682" s="230"/>
      <c r="M682" s="230"/>
      <c r="N682" s="230"/>
      <c r="O682" s="230"/>
      <c r="P682" s="230"/>
      <c r="Q682" s="230"/>
      <c r="R682" s="230"/>
      <c r="S682" s="230"/>
      <c r="T682" s="230"/>
      <c r="U682" s="230"/>
      <c r="V682" s="230"/>
      <c r="W682" s="230"/>
      <c r="X682" s="230"/>
      <c r="Y682" s="230"/>
      <c r="Z682" s="230"/>
    </row>
    <row r="683">
      <c r="A683" s="230"/>
      <c r="B683" s="230"/>
      <c r="C683" s="230"/>
      <c r="D683" s="230"/>
      <c r="E683" s="230"/>
      <c r="F683" s="230"/>
      <c r="G683" s="230"/>
      <c r="H683" s="230"/>
      <c r="I683" s="230"/>
      <c r="J683" s="230"/>
      <c r="K683" s="230"/>
      <c r="L683" s="230"/>
      <c r="M683" s="230"/>
      <c r="N683" s="230"/>
      <c r="O683" s="230"/>
      <c r="P683" s="230"/>
      <c r="Q683" s="230"/>
      <c r="R683" s="230"/>
      <c r="S683" s="230"/>
      <c r="T683" s="230"/>
      <c r="U683" s="230"/>
      <c r="V683" s="230"/>
      <c r="W683" s="230"/>
      <c r="X683" s="230"/>
      <c r="Y683" s="230"/>
      <c r="Z683" s="230"/>
    </row>
    <row r="684">
      <c r="A684" s="230"/>
      <c r="B684" s="230"/>
      <c r="C684" s="230"/>
      <c r="D684" s="230"/>
      <c r="E684" s="230"/>
      <c r="F684" s="230"/>
      <c r="G684" s="230"/>
      <c r="H684" s="230"/>
      <c r="I684" s="230"/>
      <c r="J684" s="230"/>
      <c r="K684" s="230"/>
      <c r="L684" s="230"/>
      <c r="M684" s="230"/>
      <c r="N684" s="230"/>
      <c r="O684" s="230"/>
      <c r="P684" s="230"/>
      <c r="Q684" s="230"/>
      <c r="R684" s="230"/>
      <c r="S684" s="230"/>
      <c r="T684" s="230"/>
      <c r="U684" s="230"/>
      <c r="V684" s="230"/>
      <c r="W684" s="230"/>
      <c r="X684" s="230"/>
      <c r="Y684" s="230"/>
      <c r="Z684" s="230"/>
    </row>
    <row r="685">
      <c r="A685" s="230"/>
      <c r="B685" s="230"/>
      <c r="C685" s="230"/>
      <c r="D685" s="230"/>
      <c r="E685" s="230"/>
      <c r="F685" s="230"/>
      <c r="G685" s="230"/>
      <c r="H685" s="230"/>
      <c r="I685" s="230"/>
      <c r="J685" s="230"/>
      <c r="K685" s="230"/>
      <c r="L685" s="230"/>
      <c r="M685" s="230"/>
      <c r="N685" s="230"/>
      <c r="O685" s="230"/>
      <c r="P685" s="230"/>
      <c r="Q685" s="230"/>
      <c r="R685" s="230"/>
      <c r="S685" s="230"/>
      <c r="T685" s="230"/>
      <c r="U685" s="230"/>
      <c r="V685" s="230"/>
      <c r="W685" s="230"/>
      <c r="X685" s="230"/>
      <c r="Y685" s="230"/>
      <c r="Z685" s="230"/>
    </row>
    <row r="686">
      <c r="A686" s="230"/>
      <c r="B686" s="230"/>
      <c r="C686" s="230"/>
      <c r="D686" s="230"/>
      <c r="E686" s="230"/>
      <c r="F686" s="230"/>
      <c r="G686" s="230"/>
      <c r="H686" s="230"/>
      <c r="I686" s="230"/>
      <c r="J686" s="230"/>
      <c r="K686" s="230"/>
      <c r="L686" s="230"/>
      <c r="M686" s="230"/>
      <c r="N686" s="230"/>
      <c r="O686" s="230"/>
      <c r="P686" s="230"/>
      <c r="Q686" s="230"/>
      <c r="R686" s="230"/>
      <c r="S686" s="230"/>
      <c r="T686" s="230"/>
      <c r="U686" s="230"/>
      <c r="V686" s="230"/>
      <c r="W686" s="230"/>
      <c r="X686" s="230"/>
      <c r="Y686" s="230"/>
      <c r="Z686" s="230"/>
    </row>
    <row r="687">
      <c r="A687" s="230"/>
      <c r="B687" s="230"/>
      <c r="C687" s="230"/>
      <c r="D687" s="230"/>
      <c r="E687" s="230"/>
      <c r="F687" s="230"/>
      <c r="G687" s="230"/>
      <c r="H687" s="230"/>
      <c r="I687" s="230"/>
      <c r="J687" s="230"/>
      <c r="K687" s="230"/>
      <c r="L687" s="230"/>
      <c r="M687" s="230"/>
      <c r="N687" s="230"/>
      <c r="O687" s="230"/>
      <c r="P687" s="230"/>
      <c r="Q687" s="230"/>
      <c r="R687" s="230"/>
      <c r="S687" s="230"/>
      <c r="T687" s="230"/>
      <c r="U687" s="230"/>
      <c r="V687" s="230"/>
      <c r="W687" s="230"/>
      <c r="X687" s="230"/>
      <c r="Y687" s="230"/>
      <c r="Z687" s="230"/>
    </row>
    <row r="688">
      <c r="A688" s="230"/>
      <c r="B688" s="230"/>
      <c r="C688" s="230"/>
      <c r="D688" s="230"/>
      <c r="E688" s="230"/>
      <c r="F688" s="230"/>
      <c r="G688" s="230"/>
      <c r="H688" s="230"/>
      <c r="I688" s="230"/>
      <c r="J688" s="230"/>
      <c r="K688" s="230"/>
      <c r="L688" s="230"/>
      <c r="M688" s="230"/>
      <c r="N688" s="230"/>
      <c r="O688" s="230"/>
      <c r="P688" s="230"/>
      <c r="Q688" s="230"/>
      <c r="R688" s="230"/>
      <c r="S688" s="230"/>
      <c r="T688" s="230"/>
      <c r="U688" s="230"/>
      <c r="V688" s="230"/>
      <c r="W688" s="230"/>
      <c r="X688" s="230"/>
      <c r="Y688" s="230"/>
      <c r="Z688" s="230"/>
    </row>
    <row r="689">
      <c r="A689" s="230"/>
      <c r="B689" s="230"/>
      <c r="C689" s="230"/>
      <c r="D689" s="230"/>
      <c r="E689" s="230"/>
      <c r="F689" s="230"/>
      <c r="G689" s="230"/>
      <c r="H689" s="230"/>
      <c r="I689" s="230"/>
      <c r="J689" s="230"/>
      <c r="K689" s="230"/>
      <c r="L689" s="230"/>
      <c r="M689" s="230"/>
      <c r="N689" s="230"/>
      <c r="O689" s="230"/>
      <c r="P689" s="230"/>
      <c r="Q689" s="230"/>
      <c r="R689" s="230"/>
      <c r="S689" s="230"/>
      <c r="T689" s="230"/>
      <c r="U689" s="230"/>
      <c r="V689" s="230"/>
      <c r="W689" s="230"/>
      <c r="X689" s="230"/>
      <c r="Y689" s="230"/>
      <c r="Z689" s="230"/>
    </row>
    <row r="690">
      <c r="A690" s="230"/>
      <c r="B690" s="230"/>
      <c r="C690" s="230"/>
      <c r="D690" s="230"/>
      <c r="E690" s="230"/>
      <c r="F690" s="230"/>
      <c r="G690" s="230"/>
      <c r="H690" s="230"/>
      <c r="I690" s="230"/>
      <c r="J690" s="230"/>
      <c r="K690" s="230"/>
      <c r="L690" s="230"/>
      <c r="M690" s="230"/>
      <c r="N690" s="230"/>
      <c r="O690" s="230"/>
      <c r="P690" s="230"/>
      <c r="Q690" s="230"/>
      <c r="R690" s="230"/>
      <c r="S690" s="230"/>
      <c r="T690" s="230"/>
      <c r="U690" s="230"/>
      <c r="V690" s="230"/>
      <c r="W690" s="230"/>
      <c r="X690" s="230"/>
      <c r="Y690" s="230"/>
      <c r="Z690" s="230"/>
    </row>
    <row r="691">
      <c r="A691" s="230"/>
      <c r="B691" s="230"/>
      <c r="C691" s="230"/>
      <c r="D691" s="230"/>
      <c r="E691" s="230"/>
      <c r="F691" s="230"/>
      <c r="G691" s="230"/>
      <c r="H691" s="230"/>
      <c r="I691" s="230"/>
      <c r="J691" s="230"/>
      <c r="K691" s="230"/>
      <c r="L691" s="230"/>
      <c r="M691" s="230"/>
      <c r="N691" s="230"/>
      <c r="O691" s="230"/>
      <c r="P691" s="230"/>
      <c r="Q691" s="230"/>
      <c r="R691" s="230"/>
      <c r="S691" s="230"/>
      <c r="T691" s="230"/>
      <c r="U691" s="230"/>
      <c r="V691" s="230"/>
      <c r="W691" s="230"/>
      <c r="X691" s="230"/>
      <c r="Y691" s="230"/>
      <c r="Z691" s="230"/>
    </row>
    <row r="692">
      <c r="A692" s="230"/>
      <c r="B692" s="230"/>
      <c r="C692" s="230"/>
      <c r="D692" s="230"/>
      <c r="E692" s="230"/>
      <c r="F692" s="230"/>
      <c r="G692" s="230"/>
      <c r="H692" s="230"/>
      <c r="I692" s="230"/>
      <c r="J692" s="230"/>
      <c r="K692" s="230"/>
      <c r="L692" s="230"/>
      <c r="M692" s="230"/>
      <c r="N692" s="230"/>
      <c r="O692" s="230"/>
      <c r="P692" s="230"/>
      <c r="Q692" s="230"/>
      <c r="R692" s="230"/>
      <c r="S692" s="230"/>
      <c r="T692" s="230"/>
      <c r="U692" s="230"/>
      <c r="V692" s="230"/>
      <c r="W692" s="230"/>
      <c r="X692" s="230"/>
      <c r="Y692" s="230"/>
      <c r="Z692" s="230"/>
    </row>
    <row r="693">
      <c r="A693" s="230"/>
      <c r="B693" s="230"/>
      <c r="C693" s="230"/>
      <c r="D693" s="230"/>
      <c r="E693" s="230"/>
      <c r="F693" s="230"/>
      <c r="G693" s="230"/>
      <c r="H693" s="230"/>
      <c r="I693" s="230"/>
      <c r="J693" s="230"/>
      <c r="K693" s="230"/>
      <c r="L693" s="230"/>
      <c r="M693" s="230"/>
      <c r="N693" s="230"/>
      <c r="O693" s="230"/>
      <c r="P693" s="230"/>
      <c r="Q693" s="230"/>
      <c r="R693" s="230"/>
      <c r="S693" s="230"/>
      <c r="T693" s="230"/>
      <c r="U693" s="230"/>
      <c r="V693" s="230"/>
      <c r="W693" s="230"/>
      <c r="X693" s="230"/>
      <c r="Y693" s="230"/>
      <c r="Z693" s="230"/>
    </row>
    <row r="694">
      <c r="A694" s="230"/>
      <c r="B694" s="230"/>
      <c r="C694" s="230"/>
      <c r="D694" s="230"/>
      <c r="E694" s="230"/>
      <c r="F694" s="230"/>
      <c r="G694" s="230"/>
      <c r="H694" s="230"/>
      <c r="I694" s="230"/>
      <c r="J694" s="230"/>
      <c r="K694" s="230"/>
      <c r="L694" s="230"/>
      <c r="M694" s="230"/>
      <c r="N694" s="230"/>
      <c r="O694" s="230"/>
      <c r="P694" s="230"/>
      <c r="Q694" s="230"/>
      <c r="R694" s="230"/>
      <c r="S694" s="230"/>
      <c r="T694" s="230"/>
      <c r="U694" s="230"/>
      <c r="V694" s="230"/>
      <c r="W694" s="230"/>
      <c r="X694" s="230"/>
      <c r="Y694" s="230"/>
      <c r="Z694" s="230"/>
    </row>
    <row r="695">
      <c r="A695" s="230"/>
      <c r="B695" s="230"/>
      <c r="C695" s="230"/>
      <c r="D695" s="230"/>
      <c r="E695" s="230"/>
      <c r="F695" s="230"/>
      <c r="G695" s="230"/>
      <c r="H695" s="230"/>
      <c r="I695" s="230"/>
      <c r="J695" s="230"/>
      <c r="K695" s="230"/>
      <c r="L695" s="230"/>
      <c r="M695" s="230"/>
      <c r="N695" s="230"/>
      <c r="O695" s="230"/>
      <c r="P695" s="230"/>
      <c r="Q695" s="230"/>
      <c r="R695" s="230"/>
      <c r="S695" s="230"/>
      <c r="T695" s="230"/>
      <c r="U695" s="230"/>
      <c r="V695" s="230"/>
      <c r="W695" s="230"/>
      <c r="X695" s="230"/>
      <c r="Y695" s="230"/>
      <c r="Z695" s="230"/>
    </row>
    <row r="696">
      <c r="A696" s="230"/>
      <c r="B696" s="230"/>
      <c r="C696" s="230"/>
      <c r="D696" s="230"/>
      <c r="E696" s="230"/>
      <c r="F696" s="230"/>
      <c r="G696" s="230"/>
      <c r="H696" s="230"/>
      <c r="I696" s="230"/>
      <c r="J696" s="230"/>
      <c r="K696" s="230"/>
      <c r="L696" s="230"/>
      <c r="M696" s="230"/>
      <c r="N696" s="230"/>
      <c r="O696" s="230"/>
      <c r="P696" s="230"/>
      <c r="Q696" s="230"/>
      <c r="R696" s="230"/>
      <c r="S696" s="230"/>
      <c r="T696" s="230"/>
      <c r="U696" s="230"/>
      <c r="V696" s="230"/>
      <c r="W696" s="230"/>
      <c r="X696" s="230"/>
      <c r="Y696" s="230"/>
      <c r="Z696" s="230"/>
    </row>
    <row r="697">
      <c r="A697" s="230"/>
      <c r="B697" s="230"/>
      <c r="C697" s="230"/>
      <c r="D697" s="230"/>
      <c r="E697" s="230"/>
      <c r="F697" s="230"/>
      <c r="G697" s="230"/>
      <c r="H697" s="230"/>
      <c r="I697" s="230"/>
      <c r="J697" s="230"/>
      <c r="K697" s="230"/>
      <c r="L697" s="230"/>
      <c r="M697" s="230"/>
      <c r="N697" s="230"/>
      <c r="O697" s="230"/>
      <c r="P697" s="230"/>
      <c r="Q697" s="230"/>
      <c r="R697" s="230"/>
      <c r="S697" s="230"/>
      <c r="T697" s="230"/>
      <c r="U697" s="230"/>
      <c r="V697" s="230"/>
      <c r="W697" s="230"/>
      <c r="X697" s="230"/>
      <c r="Y697" s="230"/>
      <c r="Z697" s="230"/>
    </row>
    <row r="698">
      <c r="A698" s="230"/>
      <c r="B698" s="230"/>
      <c r="C698" s="230"/>
      <c r="D698" s="230"/>
      <c r="E698" s="230"/>
      <c r="F698" s="230"/>
      <c r="G698" s="230"/>
      <c r="H698" s="230"/>
      <c r="I698" s="230"/>
      <c r="J698" s="230"/>
      <c r="K698" s="230"/>
      <c r="L698" s="230"/>
      <c r="M698" s="230"/>
      <c r="N698" s="230"/>
      <c r="O698" s="230"/>
      <c r="P698" s="230"/>
      <c r="Q698" s="230"/>
      <c r="R698" s="230"/>
      <c r="S698" s="230"/>
      <c r="T698" s="230"/>
      <c r="U698" s="230"/>
      <c r="V698" s="230"/>
      <c r="W698" s="230"/>
      <c r="X698" s="230"/>
      <c r="Y698" s="230"/>
      <c r="Z698" s="230"/>
    </row>
    <row r="699">
      <c r="A699" s="230"/>
      <c r="B699" s="230"/>
      <c r="C699" s="230"/>
      <c r="D699" s="230"/>
      <c r="E699" s="230"/>
      <c r="F699" s="230"/>
      <c r="G699" s="230"/>
      <c r="H699" s="230"/>
      <c r="I699" s="230"/>
      <c r="J699" s="230"/>
      <c r="K699" s="230"/>
      <c r="L699" s="230"/>
      <c r="M699" s="230"/>
      <c r="N699" s="230"/>
      <c r="O699" s="230"/>
      <c r="P699" s="230"/>
      <c r="Q699" s="230"/>
      <c r="R699" s="230"/>
      <c r="S699" s="230"/>
      <c r="T699" s="230"/>
      <c r="U699" s="230"/>
      <c r="V699" s="230"/>
      <c r="W699" s="230"/>
      <c r="X699" s="230"/>
      <c r="Y699" s="230"/>
      <c r="Z699" s="230"/>
    </row>
    <row r="700">
      <c r="A700" s="230"/>
      <c r="B700" s="230"/>
      <c r="C700" s="230"/>
      <c r="D700" s="230"/>
      <c r="E700" s="230"/>
      <c r="F700" s="230"/>
      <c r="G700" s="230"/>
      <c r="H700" s="230"/>
      <c r="I700" s="230"/>
      <c r="J700" s="230"/>
      <c r="K700" s="230"/>
      <c r="L700" s="230"/>
      <c r="M700" s="230"/>
      <c r="N700" s="230"/>
      <c r="O700" s="230"/>
      <c r="P700" s="230"/>
      <c r="Q700" s="230"/>
      <c r="R700" s="230"/>
      <c r="S700" s="230"/>
      <c r="T700" s="230"/>
      <c r="U700" s="230"/>
      <c r="V700" s="230"/>
      <c r="W700" s="230"/>
      <c r="X700" s="230"/>
      <c r="Y700" s="230"/>
      <c r="Z700" s="230"/>
    </row>
    <row r="701">
      <c r="A701" s="230"/>
      <c r="B701" s="230"/>
      <c r="C701" s="230"/>
      <c r="D701" s="230"/>
      <c r="E701" s="230"/>
      <c r="F701" s="230"/>
      <c r="G701" s="230"/>
      <c r="H701" s="230"/>
      <c r="I701" s="230"/>
      <c r="J701" s="230"/>
      <c r="K701" s="230"/>
      <c r="L701" s="230"/>
      <c r="M701" s="230"/>
      <c r="N701" s="230"/>
      <c r="O701" s="230"/>
      <c r="P701" s="230"/>
      <c r="Q701" s="230"/>
      <c r="R701" s="230"/>
      <c r="S701" s="230"/>
      <c r="T701" s="230"/>
      <c r="U701" s="230"/>
      <c r="V701" s="230"/>
      <c r="W701" s="230"/>
      <c r="X701" s="230"/>
      <c r="Y701" s="230"/>
      <c r="Z701" s="230"/>
    </row>
    <row r="702">
      <c r="A702" s="230"/>
      <c r="B702" s="230"/>
      <c r="C702" s="230"/>
      <c r="D702" s="230"/>
      <c r="E702" s="230"/>
      <c r="F702" s="230"/>
      <c r="G702" s="230"/>
      <c r="H702" s="230"/>
      <c r="I702" s="230"/>
      <c r="J702" s="230"/>
      <c r="K702" s="230"/>
      <c r="L702" s="230"/>
      <c r="M702" s="230"/>
      <c r="N702" s="230"/>
      <c r="O702" s="230"/>
      <c r="P702" s="230"/>
      <c r="Q702" s="230"/>
      <c r="R702" s="230"/>
      <c r="S702" s="230"/>
      <c r="T702" s="230"/>
      <c r="U702" s="230"/>
      <c r="V702" s="230"/>
      <c r="W702" s="230"/>
      <c r="X702" s="230"/>
      <c r="Y702" s="230"/>
      <c r="Z702" s="230"/>
    </row>
    <row r="703">
      <c r="A703" s="230"/>
      <c r="B703" s="230"/>
      <c r="C703" s="230"/>
      <c r="D703" s="230"/>
      <c r="E703" s="230"/>
      <c r="F703" s="230"/>
      <c r="G703" s="230"/>
      <c r="H703" s="230"/>
      <c r="I703" s="230"/>
      <c r="J703" s="230"/>
      <c r="K703" s="230"/>
      <c r="L703" s="230"/>
      <c r="M703" s="230"/>
      <c r="N703" s="230"/>
      <c r="O703" s="230"/>
      <c r="P703" s="230"/>
      <c r="Q703" s="230"/>
      <c r="R703" s="230"/>
      <c r="S703" s="230"/>
      <c r="T703" s="230"/>
      <c r="U703" s="230"/>
      <c r="V703" s="230"/>
      <c r="W703" s="230"/>
      <c r="X703" s="230"/>
      <c r="Y703" s="230"/>
      <c r="Z703" s="230"/>
    </row>
    <row r="704">
      <c r="A704" s="230"/>
      <c r="B704" s="230"/>
      <c r="C704" s="230"/>
      <c r="D704" s="230"/>
      <c r="E704" s="230"/>
      <c r="F704" s="230"/>
      <c r="G704" s="230"/>
      <c r="H704" s="230"/>
      <c r="I704" s="230"/>
      <c r="J704" s="230"/>
      <c r="K704" s="230"/>
      <c r="L704" s="230"/>
      <c r="M704" s="230"/>
      <c r="N704" s="230"/>
      <c r="O704" s="230"/>
      <c r="P704" s="230"/>
      <c r="Q704" s="230"/>
      <c r="R704" s="230"/>
      <c r="S704" s="230"/>
      <c r="T704" s="230"/>
      <c r="U704" s="230"/>
      <c r="V704" s="230"/>
      <c r="W704" s="230"/>
      <c r="X704" s="230"/>
      <c r="Y704" s="230"/>
      <c r="Z704" s="230"/>
    </row>
    <row r="705">
      <c r="A705" s="230"/>
      <c r="B705" s="230"/>
      <c r="C705" s="230"/>
      <c r="D705" s="230"/>
      <c r="E705" s="230"/>
      <c r="F705" s="230"/>
      <c r="G705" s="230"/>
      <c r="H705" s="230"/>
      <c r="I705" s="230"/>
      <c r="J705" s="230"/>
      <c r="K705" s="230"/>
      <c r="L705" s="230"/>
      <c r="M705" s="230"/>
      <c r="N705" s="230"/>
      <c r="O705" s="230"/>
      <c r="P705" s="230"/>
      <c r="Q705" s="230"/>
      <c r="R705" s="230"/>
      <c r="S705" s="230"/>
      <c r="T705" s="230"/>
      <c r="U705" s="230"/>
      <c r="V705" s="230"/>
      <c r="W705" s="230"/>
      <c r="X705" s="230"/>
      <c r="Y705" s="230"/>
      <c r="Z705" s="230"/>
    </row>
    <row r="706">
      <c r="A706" s="230"/>
      <c r="B706" s="230"/>
      <c r="C706" s="230"/>
      <c r="D706" s="230"/>
      <c r="E706" s="230"/>
      <c r="F706" s="230"/>
      <c r="G706" s="230"/>
      <c r="H706" s="230"/>
      <c r="I706" s="230"/>
      <c r="J706" s="230"/>
      <c r="K706" s="230"/>
      <c r="L706" s="230"/>
      <c r="M706" s="230"/>
      <c r="N706" s="230"/>
      <c r="O706" s="230"/>
      <c r="P706" s="230"/>
      <c r="Q706" s="230"/>
      <c r="R706" s="230"/>
      <c r="S706" s="230"/>
      <c r="T706" s="230"/>
      <c r="U706" s="230"/>
      <c r="V706" s="230"/>
      <c r="W706" s="230"/>
      <c r="X706" s="230"/>
      <c r="Y706" s="230"/>
      <c r="Z706" s="230"/>
    </row>
    <row r="707">
      <c r="A707" s="230"/>
      <c r="B707" s="230"/>
      <c r="C707" s="230"/>
      <c r="D707" s="230"/>
      <c r="E707" s="230"/>
      <c r="F707" s="230"/>
      <c r="G707" s="230"/>
      <c r="H707" s="230"/>
      <c r="I707" s="230"/>
      <c r="J707" s="230"/>
      <c r="K707" s="230"/>
      <c r="L707" s="230"/>
      <c r="M707" s="230"/>
      <c r="N707" s="230"/>
      <c r="O707" s="230"/>
      <c r="P707" s="230"/>
      <c r="Q707" s="230"/>
      <c r="R707" s="230"/>
      <c r="S707" s="230"/>
      <c r="T707" s="230"/>
      <c r="U707" s="230"/>
      <c r="V707" s="230"/>
      <c r="W707" s="230"/>
      <c r="X707" s="230"/>
      <c r="Y707" s="230"/>
      <c r="Z707" s="230"/>
    </row>
    <row r="708">
      <c r="A708" s="230"/>
      <c r="B708" s="230"/>
      <c r="C708" s="230"/>
      <c r="D708" s="230"/>
      <c r="E708" s="230"/>
      <c r="F708" s="230"/>
      <c r="G708" s="230"/>
      <c r="H708" s="230"/>
      <c r="I708" s="230"/>
      <c r="J708" s="230"/>
      <c r="K708" s="230"/>
      <c r="L708" s="230"/>
      <c r="M708" s="230"/>
      <c r="N708" s="230"/>
      <c r="O708" s="230"/>
      <c r="P708" s="230"/>
      <c r="Q708" s="230"/>
      <c r="R708" s="230"/>
      <c r="S708" s="230"/>
      <c r="T708" s="230"/>
      <c r="U708" s="230"/>
      <c r="V708" s="230"/>
      <c r="W708" s="230"/>
      <c r="X708" s="230"/>
      <c r="Y708" s="230"/>
      <c r="Z708" s="230"/>
    </row>
    <row r="709">
      <c r="A709" s="230"/>
      <c r="B709" s="230"/>
      <c r="C709" s="230"/>
      <c r="D709" s="230"/>
      <c r="E709" s="230"/>
      <c r="F709" s="230"/>
      <c r="G709" s="230"/>
      <c r="H709" s="230"/>
      <c r="I709" s="230"/>
      <c r="J709" s="230"/>
      <c r="K709" s="230"/>
      <c r="L709" s="230"/>
      <c r="M709" s="230"/>
      <c r="N709" s="230"/>
      <c r="O709" s="230"/>
      <c r="P709" s="230"/>
      <c r="Q709" s="230"/>
      <c r="R709" s="230"/>
      <c r="S709" s="230"/>
      <c r="T709" s="230"/>
      <c r="U709" s="230"/>
      <c r="V709" s="230"/>
      <c r="W709" s="230"/>
      <c r="X709" s="230"/>
      <c r="Y709" s="230"/>
      <c r="Z709" s="230"/>
    </row>
    <row r="710">
      <c r="A710" s="230"/>
      <c r="B710" s="230"/>
      <c r="C710" s="230"/>
      <c r="D710" s="230"/>
      <c r="E710" s="230"/>
      <c r="F710" s="230"/>
      <c r="G710" s="230"/>
      <c r="H710" s="230"/>
      <c r="I710" s="230"/>
      <c r="J710" s="230"/>
      <c r="K710" s="230"/>
      <c r="L710" s="230"/>
      <c r="M710" s="230"/>
      <c r="N710" s="230"/>
      <c r="O710" s="230"/>
      <c r="P710" s="230"/>
      <c r="Q710" s="230"/>
      <c r="R710" s="230"/>
      <c r="S710" s="230"/>
      <c r="T710" s="230"/>
      <c r="U710" s="230"/>
      <c r="V710" s="230"/>
      <c r="W710" s="230"/>
      <c r="X710" s="230"/>
      <c r="Y710" s="230"/>
      <c r="Z710" s="230"/>
    </row>
    <row r="711">
      <c r="A711" s="230"/>
      <c r="B711" s="230"/>
      <c r="C711" s="230"/>
      <c r="D711" s="230"/>
      <c r="E711" s="230"/>
      <c r="F711" s="230"/>
      <c r="G711" s="230"/>
      <c r="H711" s="230"/>
      <c r="I711" s="230"/>
      <c r="J711" s="230"/>
      <c r="K711" s="230"/>
      <c r="L711" s="230"/>
      <c r="M711" s="230"/>
      <c r="N711" s="230"/>
      <c r="O711" s="230"/>
      <c r="P711" s="230"/>
      <c r="Q711" s="230"/>
      <c r="R711" s="230"/>
      <c r="S711" s="230"/>
      <c r="T711" s="230"/>
      <c r="U711" s="230"/>
      <c r="V711" s="230"/>
      <c r="W711" s="230"/>
      <c r="X711" s="230"/>
      <c r="Y711" s="230"/>
      <c r="Z711" s="230"/>
    </row>
    <row r="712">
      <c r="A712" s="230"/>
      <c r="B712" s="230"/>
      <c r="C712" s="230"/>
      <c r="D712" s="230"/>
      <c r="E712" s="230"/>
      <c r="F712" s="230"/>
      <c r="G712" s="230"/>
      <c r="H712" s="230"/>
      <c r="I712" s="230"/>
      <c r="J712" s="230"/>
      <c r="K712" s="230"/>
      <c r="L712" s="230"/>
      <c r="M712" s="230"/>
      <c r="N712" s="230"/>
      <c r="O712" s="230"/>
      <c r="P712" s="230"/>
      <c r="Q712" s="230"/>
      <c r="R712" s="230"/>
      <c r="S712" s="230"/>
      <c r="T712" s="230"/>
      <c r="U712" s="230"/>
      <c r="V712" s="230"/>
      <c r="W712" s="230"/>
      <c r="X712" s="230"/>
      <c r="Y712" s="230"/>
      <c r="Z712" s="230"/>
    </row>
    <row r="713">
      <c r="A713" s="230"/>
      <c r="B713" s="230"/>
      <c r="C713" s="230"/>
      <c r="D713" s="230"/>
      <c r="E713" s="230"/>
      <c r="F713" s="230"/>
      <c r="G713" s="230"/>
      <c r="H713" s="230"/>
      <c r="I713" s="230"/>
      <c r="J713" s="230"/>
      <c r="K713" s="230"/>
      <c r="L713" s="230"/>
      <c r="M713" s="230"/>
      <c r="N713" s="230"/>
      <c r="O713" s="230"/>
      <c r="P713" s="230"/>
      <c r="Q713" s="230"/>
      <c r="R713" s="230"/>
      <c r="S713" s="230"/>
      <c r="T713" s="230"/>
      <c r="U713" s="230"/>
      <c r="V713" s="230"/>
      <c r="W713" s="230"/>
      <c r="X713" s="230"/>
      <c r="Y713" s="230"/>
      <c r="Z713" s="230"/>
    </row>
    <row r="714">
      <c r="A714" s="230"/>
      <c r="B714" s="230"/>
      <c r="C714" s="230"/>
      <c r="D714" s="230"/>
      <c r="E714" s="230"/>
      <c r="F714" s="230"/>
      <c r="G714" s="230"/>
      <c r="H714" s="230"/>
      <c r="I714" s="230"/>
      <c r="J714" s="230"/>
      <c r="K714" s="230"/>
      <c r="L714" s="230"/>
      <c r="M714" s="230"/>
      <c r="N714" s="230"/>
      <c r="O714" s="230"/>
      <c r="P714" s="230"/>
      <c r="Q714" s="230"/>
      <c r="R714" s="230"/>
      <c r="S714" s="230"/>
      <c r="T714" s="230"/>
      <c r="U714" s="230"/>
      <c r="V714" s="230"/>
      <c r="W714" s="230"/>
      <c r="X714" s="230"/>
      <c r="Y714" s="230"/>
      <c r="Z714" s="230"/>
    </row>
    <row r="715">
      <c r="A715" s="230"/>
      <c r="B715" s="230"/>
      <c r="C715" s="230"/>
      <c r="D715" s="230"/>
      <c r="E715" s="230"/>
      <c r="F715" s="230"/>
      <c r="G715" s="230"/>
      <c r="H715" s="230"/>
      <c r="I715" s="230"/>
      <c r="J715" s="230"/>
      <c r="K715" s="230"/>
      <c r="L715" s="230"/>
      <c r="M715" s="230"/>
      <c r="N715" s="230"/>
      <c r="O715" s="230"/>
      <c r="P715" s="230"/>
      <c r="Q715" s="230"/>
      <c r="R715" s="230"/>
      <c r="S715" s="230"/>
      <c r="T715" s="230"/>
      <c r="U715" s="230"/>
      <c r="V715" s="230"/>
      <c r="W715" s="230"/>
      <c r="X715" s="230"/>
      <c r="Y715" s="230"/>
      <c r="Z715" s="230"/>
    </row>
    <row r="716">
      <c r="A716" s="230"/>
      <c r="B716" s="230"/>
      <c r="C716" s="230"/>
      <c r="D716" s="230"/>
      <c r="E716" s="230"/>
      <c r="F716" s="230"/>
      <c r="G716" s="230"/>
      <c r="H716" s="230"/>
      <c r="I716" s="230"/>
      <c r="J716" s="230"/>
      <c r="K716" s="230"/>
      <c r="L716" s="230"/>
      <c r="M716" s="230"/>
      <c r="N716" s="230"/>
      <c r="O716" s="230"/>
      <c r="P716" s="230"/>
      <c r="Q716" s="230"/>
      <c r="R716" s="230"/>
      <c r="S716" s="230"/>
      <c r="T716" s="230"/>
      <c r="U716" s="230"/>
      <c r="V716" s="230"/>
      <c r="W716" s="230"/>
      <c r="X716" s="230"/>
      <c r="Y716" s="230"/>
      <c r="Z716" s="230"/>
    </row>
    <row r="717">
      <c r="A717" s="230"/>
      <c r="B717" s="230"/>
      <c r="C717" s="230"/>
      <c r="D717" s="230"/>
      <c r="E717" s="230"/>
      <c r="F717" s="230"/>
      <c r="G717" s="230"/>
      <c r="H717" s="230"/>
      <c r="I717" s="230"/>
      <c r="J717" s="230"/>
      <c r="K717" s="230"/>
      <c r="L717" s="230"/>
      <c r="M717" s="230"/>
      <c r="N717" s="230"/>
      <c r="O717" s="230"/>
      <c r="P717" s="230"/>
      <c r="Q717" s="230"/>
      <c r="R717" s="230"/>
      <c r="S717" s="230"/>
      <c r="T717" s="230"/>
      <c r="U717" s="230"/>
      <c r="V717" s="230"/>
      <c r="W717" s="230"/>
      <c r="X717" s="230"/>
      <c r="Y717" s="230"/>
      <c r="Z717" s="230"/>
    </row>
    <row r="718">
      <c r="A718" s="230"/>
      <c r="B718" s="230"/>
      <c r="C718" s="230"/>
      <c r="D718" s="230"/>
      <c r="E718" s="230"/>
      <c r="F718" s="230"/>
      <c r="G718" s="230"/>
      <c r="H718" s="230"/>
      <c r="I718" s="230"/>
      <c r="J718" s="230"/>
      <c r="K718" s="230"/>
      <c r="L718" s="230"/>
      <c r="M718" s="230"/>
      <c r="N718" s="230"/>
      <c r="O718" s="230"/>
      <c r="P718" s="230"/>
      <c r="Q718" s="230"/>
      <c r="R718" s="230"/>
      <c r="S718" s="230"/>
      <c r="T718" s="230"/>
      <c r="U718" s="230"/>
      <c r="V718" s="230"/>
      <c r="W718" s="230"/>
      <c r="X718" s="230"/>
      <c r="Y718" s="230"/>
      <c r="Z718" s="230"/>
    </row>
    <row r="719">
      <c r="A719" s="230"/>
      <c r="B719" s="230"/>
      <c r="C719" s="230"/>
      <c r="D719" s="230"/>
      <c r="E719" s="230"/>
      <c r="F719" s="230"/>
      <c r="G719" s="230"/>
      <c r="H719" s="230"/>
      <c r="I719" s="230"/>
      <c r="J719" s="230"/>
      <c r="K719" s="230"/>
      <c r="L719" s="230"/>
      <c r="M719" s="230"/>
      <c r="N719" s="230"/>
      <c r="O719" s="230"/>
      <c r="P719" s="230"/>
      <c r="Q719" s="230"/>
      <c r="R719" s="230"/>
      <c r="S719" s="230"/>
      <c r="T719" s="230"/>
      <c r="U719" s="230"/>
      <c r="V719" s="230"/>
      <c r="W719" s="230"/>
      <c r="X719" s="230"/>
      <c r="Y719" s="230"/>
      <c r="Z719" s="230"/>
    </row>
    <row r="720">
      <c r="A720" s="230"/>
      <c r="B720" s="230"/>
      <c r="C720" s="230"/>
      <c r="D720" s="230"/>
      <c r="E720" s="230"/>
      <c r="F720" s="230"/>
      <c r="G720" s="230"/>
      <c r="H720" s="230"/>
      <c r="I720" s="230"/>
      <c r="J720" s="230"/>
      <c r="K720" s="230"/>
      <c r="L720" s="230"/>
      <c r="M720" s="230"/>
      <c r="N720" s="230"/>
      <c r="O720" s="230"/>
      <c r="P720" s="230"/>
      <c r="Q720" s="230"/>
      <c r="R720" s="230"/>
      <c r="S720" s="230"/>
      <c r="T720" s="230"/>
      <c r="U720" s="230"/>
      <c r="V720" s="230"/>
      <c r="W720" s="230"/>
      <c r="X720" s="230"/>
      <c r="Y720" s="230"/>
      <c r="Z720" s="230"/>
    </row>
    <row r="721">
      <c r="A721" s="230"/>
      <c r="B721" s="230"/>
      <c r="C721" s="230"/>
      <c r="D721" s="230"/>
      <c r="E721" s="230"/>
      <c r="F721" s="230"/>
      <c r="G721" s="230"/>
      <c r="H721" s="230"/>
      <c r="I721" s="230"/>
      <c r="J721" s="230"/>
      <c r="K721" s="230"/>
      <c r="L721" s="230"/>
      <c r="M721" s="230"/>
      <c r="N721" s="230"/>
      <c r="O721" s="230"/>
      <c r="P721" s="230"/>
      <c r="Q721" s="230"/>
      <c r="R721" s="230"/>
      <c r="S721" s="230"/>
      <c r="T721" s="230"/>
      <c r="U721" s="230"/>
      <c r="V721" s="230"/>
      <c r="W721" s="230"/>
      <c r="X721" s="230"/>
      <c r="Y721" s="230"/>
      <c r="Z721" s="230"/>
    </row>
    <row r="722">
      <c r="A722" s="230"/>
      <c r="B722" s="230"/>
      <c r="C722" s="230"/>
      <c r="D722" s="230"/>
      <c r="E722" s="230"/>
      <c r="F722" s="230"/>
      <c r="G722" s="230"/>
      <c r="H722" s="230"/>
      <c r="I722" s="230"/>
      <c r="J722" s="230"/>
      <c r="K722" s="230"/>
      <c r="L722" s="230"/>
      <c r="M722" s="230"/>
      <c r="N722" s="230"/>
      <c r="O722" s="230"/>
      <c r="P722" s="230"/>
      <c r="Q722" s="230"/>
      <c r="R722" s="230"/>
      <c r="S722" s="230"/>
      <c r="T722" s="230"/>
      <c r="U722" s="230"/>
      <c r="V722" s="230"/>
      <c r="W722" s="230"/>
      <c r="X722" s="230"/>
      <c r="Y722" s="230"/>
      <c r="Z722" s="230"/>
    </row>
    <row r="723">
      <c r="A723" s="230"/>
      <c r="B723" s="230"/>
      <c r="C723" s="230"/>
      <c r="D723" s="230"/>
      <c r="E723" s="230"/>
      <c r="F723" s="230"/>
      <c r="G723" s="230"/>
      <c r="H723" s="230"/>
      <c r="I723" s="230"/>
      <c r="J723" s="230"/>
      <c r="K723" s="230"/>
      <c r="L723" s="230"/>
      <c r="M723" s="230"/>
      <c r="N723" s="230"/>
      <c r="O723" s="230"/>
      <c r="P723" s="230"/>
      <c r="Q723" s="230"/>
      <c r="R723" s="230"/>
      <c r="S723" s="230"/>
      <c r="T723" s="230"/>
      <c r="U723" s="230"/>
      <c r="V723" s="230"/>
      <c r="W723" s="230"/>
      <c r="X723" s="230"/>
      <c r="Y723" s="230"/>
      <c r="Z723" s="230"/>
    </row>
    <row r="724">
      <c r="A724" s="230"/>
      <c r="B724" s="230"/>
      <c r="C724" s="230"/>
      <c r="D724" s="230"/>
      <c r="E724" s="230"/>
      <c r="F724" s="230"/>
      <c r="G724" s="230"/>
      <c r="H724" s="230"/>
      <c r="I724" s="230"/>
      <c r="J724" s="230"/>
      <c r="K724" s="230"/>
      <c r="L724" s="230"/>
      <c r="M724" s="230"/>
      <c r="N724" s="230"/>
      <c r="O724" s="230"/>
      <c r="P724" s="230"/>
      <c r="Q724" s="230"/>
      <c r="R724" s="230"/>
      <c r="S724" s="230"/>
      <c r="T724" s="230"/>
      <c r="U724" s="230"/>
      <c r="V724" s="230"/>
      <c r="W724" s="230"/>
      <c r="X724" s="230"/>
      <c r="Y724" s="230"/>
      <c r="Z724" s="230"/>
    </row>
    <row r="725">
      <c r="A725" s="230"/>
      <c r="B725" s="230"/>
      <c r="C725" s="230"/>
      <c r="D725" s="230"/>
      <c r="E725" s="230"/>
      <c r="F725" s="230"/>
      <c r="G725" s="230"/>
      <c r="H725" s="230"/>
      <c r="I725" s="230"/>
      <c r="J725" s="230"/>
      <c r="K725" s="230"/>
      <c r="L725" s="230"/>
      <c r="M725" s="230"/>
      <c r="N725" s="230"/>
      <c r="O725" s="230"/>
      <c r="P725" s="230"/>
      <c r="Q725" s="230"/>
      <c r="R725" s="230"/>
      <c r="S725" s="230"/>
      <c r="T725" s="230"/>
      <c r="U725" s="230"/>
      <c r="V725" s="230"/>
      <c r="W725" s="230"/>
      <c r="X725" s="230"/>
      <c r="Y725" s="230"/>
      <c r="Z725" s="230"/>
    </row>
    <row r="726">
      <c r="A726" s="230"/>
      <c r="B726" s="230"/>
      <c r="C726" s="230"/>
      <c r="D726" s="230"/>
      <c r="E726" s="230"/>
      <c r="F726" s="230"/>
      <c r="G726" s="230"/>
      <c r="H726" s="230"/>
      <c r="I726" s="230"/>
      <c r="J726" s="230"/>
      <c r="K726" s="230"/>
      <c r="L726" s="230"/>
      <c r="M726" s="230"/>
      <c r="N726" s="230"/>
      <c r="O726" s="230"/>
      <c r="P726" s="230"/>
      <c r="Q726" s="230"/>
      <c r="R726" s="230"/>
      <c r="S726" s="230"/>
      <c r="T726" s="230"/>
      <c r="U726" s="230"/>
      <c r="V726" s="230"/>
      <c r="W726" s="230"/>
      <c r="X726" s="230"/>
      <c r="Y726" s="230"/>
      <c r="Z726" s="230"/>
    </row>
    <row r="727">
      <c r="A727" s="230"/>
      <c r="B727" s="230"/>
      <c r="C727" s="230"/>
      <c r="D727" s="230"/>
      <c r="E727" s="230"/>
      <c r="F727" s="230"/>
      <c r="G727" s="230"/>
      <c r="H727" s="230"/>
      <c r="I727" s="230"/>
      <c r="J727" s="230"/>
      <c r="K727" s="230"/>
      <c r="L727" s="230"/>
      <c r="M727" s="230"/>
      <c r="N727" s="230"/>
      <c r="O727" s="230"/>
      <c r="P727" s="230"/>
      <c r="Q727" s="230"/>
      <c r="R727" s="230"/>
      <c r="S727" s="230"/>
      <c r="T727" s="230"/>
      <c r="U727" s="230"/>
      <c r="V727" s="230"/>
      <c r="W727" s="230"/>
      <c r="X727" s="230"/>
      <c r="Y727" s="230"/>
      <c r="Z727" s="230"/>
    </row>
    <row r="728">
      <c r="A728" s="230"/>
      <c r="B728" s="230"/>
      <c r="C728" s="230"/>
      <c r="D728" s="230"/>
      <c r="E728" s="230"/>
      <c r="F728" s="230"/>
      <c r="G728" s="230"/>
      <c r="H728" s="230"/>
      <c r="I728" s="230"/>
      <c r="J728" s="230"/>
      <c r="K728" s="230"/>
      <c r="L728" s="230"/>
      <c r="M728" s="230"/>
      <c r="N728" s="230"/>
      <c r="O728" s="230"/>
      <c r="P728" s="230"/>
      <c r="Q728" s="230"/>
      <c r="R728" s="230"/>
      <c r="S728" s="230"/>
      <c r="T728" s="230"/>
      <c r="U728" s="230"/>
      <c r="V728" s="230"/>
      <c r="W728" s="230"/>
      <c r="X728" s="230"/>
      <c r="Y728" s="230"/>
      <c r="Z728" s="230"/>
    </row>
    <row r="729">
      <c r="A729" s="230"/>
      <c r="B729" s="230"/>
      <c r="C729" s="230"/>
      <c r="D729" s="230"/>
      <c r="E729" s="230"/>
      <c r="F729" s="230"/>
      <c r="G729" s="230"/>
      <c r="H729" s="230"/>
      <c r="I729" s="230"/>
      <c r="J729" s="230"/>
      <c r="K729" s="230"/>
      <c r="L729" s="230"/>
      <c r="M729" s="230"/>
      <c r="N729" s="230"/>
      <c r="O729" s="230"/>
      <c r="P729" s="230"/>
      <c r="Q729" s="230"/>
      <c r="R729" s="230"/>
      <c r="S729" s="230"/>
      <c r="T729" s="230"/>
      <c r="U729" s="230"/>
      <c r="V729" s="230"/>
      <c r="W729" s="230"/>
      <c r="X729" s="230"/>
      <c r="Y729" s="230"/>
      <c r="Z729" s="230"/>
    </row>
    <row r="730">
      <c r="A730" s="230"/>
      <c r="B730" s="230"/>
      <c r="C730" s="230"/>
      <c r="D730" s="230"/>
      <c r="E730" s="230"/>
      <c r="F730" s="230"/>
      <c r="G730" s="230"/>
      <c r="H730" s="230"/>
      <c r="I730" s="230"/>
      <c r="J730" s="230"/>
      <c r="K730" s="230"/>
      <c r="L730" s="230"/>
      <c r="M730" s="230"/>
      <c r="N730" s="230"/>
      <c r="O730" s="230"/>
      <c r="P730" s="230"/>
      <c r="Q730" s="230"/>
      <c r="R730" s="230"/>
      <c r="S730" s="230"/>
      <c r="T730" s="230"/>
      <c r="U730" s="230"/>
      <c r="V730" s="230"/>
      <c r="W730" s="230"/>
      <c r="X730" s="230"/>
      <c r="Y730" s="230"/>
      <c r="Z730" s="230"/>
    </row>
    <row r="731">
      <c r="A731" s="230"/>
      <c r="B731" s="230"/>
      <c r="C731" s="230"/>
      <c r="D731" s="230"/>
      <c r="E731" s="230"/>
      <c r="F731" s="230"/>
      <c r="G731" s="230"/>
      <c r="H731" s="230"/>
      <c r="I731" s="230"/>
      <c r="J731" s="230"/>
      <c r="K731" s="230"/>
      <c r="L731" s="230"/>
      <c r="M731" s="230"/>
      <c r="N731" s="230"/>
      <c r="O731" s="230"/>
      <c r="P731" s="230"/>
      <c r="Q731" s="230"/>
      <c r="R731" s="230"/>
      <c r="S731" s="230"/>
      <c r="T731" s="230"/>
      <c r="U731" s="230"/>
      <c r="V731" s="230"/>
      <c r="W731" s="230"/>
      <c r="X731" s="230"/>
      <c r="Y731" s="230"/>
      <c r="Z731" s="230"/>
    </row>
    <row r="732">
      <c r="A732" s="230"/>
      <c r="B732" s="230"/>
      <c r="C732" s="230"/>
      <c r="D732" s="230"/>
      <c r="E732" s="230"/>
      <c r="F732" s="230"/>
      <c r="G732" s="230"/>
      <c r="H732" s="230"/>
      <c r="I732" s="230"/>
      <c r="J732" s="230"/>
      <c r="K732" s="230"/>
      <c r="L732" s="230"/>
      <c r="M732" s="230"/>
      <c r="N732" s="230"/>
      <c r="O732" s="230"/>
      <c r="P732" s="230"/>
      <c r="Q732" s="230"/>
      <c r="R732" s="230"/>
      <c r="S732" s="230"/>
      <c r="T732" s="230"/>
      <c r="U732" s="230"/>
      <c r="V732" s="230"/>
      <c r="W732" s="230"/>
      <c r="X732" s="230"/>
      <c r="Y732" s="230"/>
      <c r="Z732" s="230"/>
    </row>
    <row r="733">
      <c r="A733" s="230"/>
      <c r="B733" s="230"/>
      <c r="C733" s="230"/>
      <c r="D733" s="230"/>
      <c r="E733" s="230"/>
      <c r="F733" s="230"/>
      <c r="G733" s="230"/>
      <c r="H733" s="230"/>
      <c r="I733" s="230"/>
      <c r="J733" s="230"/>
      <c r="K733" s="230"/>
      <c r="L733" s="230"/>
      <c r="M733" s="230"/>
      <c r="N733" s="230"/>
      <c r="O733" s="230"/>
      <c r="P733" s="230"/>
      <c r="Q733" s="230"/>
      <c r="R733" s="230"/>
      <c r="S733" s="230"/>
      <c r="T733" s="230"/>
      <c r="U733" s="230"/>
      <c r="V733" s="230"/>
      <c r="W733" s="230"/>
      <c r="X733" s="230"/>
      <c r="Y733" s="230"/>
      <c r="Z733" s="230"/>
    </row>
    <row r="734">
      <c r="A734" s="230"/>
      <c r="B734" s="230"/>
      <c r="C734" s="230"/>
      <c r="D734" s="230"/>
      <c r="E734" s="230"/>
      <c r="F734" s="230"/>
      <c r="G734" s="230"/>
      <c r="H734" s="230"/>
      <c r="I734" s="230"/>
      <c r="J734" s="230"/>
      <c r="K734" s="230"/>
      <c r="L734" s="230"/>
      <c r="M734" s="230"/>
      <c r="N734" s="230"/>
      <c r="O734" s="230"/>
      <c r="P734" s="230"/>
      <c r="Q734" s="230"/>
      <c r="R734" s="230"/>
      <c r="S734" s="230"/>
      <c r="T734" s="230"/>
      <c r="U734" s="230"/>
      <c r="V734" s="230"/>
      <c r="W734" s="230"/>
      <c r="X734" s="230"/>
      <c r="Y734" s="230"/>
      <c r="Z734" s="230"/>
    </row>
    <row r="735">
      <c r="A735" s="230"/>
      <c r="B735" s="230"/>
      <c r="C735" s="230"/>
      <c r="D735" s="230"/>
      <c r="E735" s="230"/>
      <c r="F735" s="230"/>
      <c r="G735" s="230"/>
      <c r="H735" s="230"/>
      <c r="I735" s="230"/>
      <c r="J735" s="230"/>
      <c r="K735" s="230"/>
      <c r="L735" s="230"/>
      <c r="M735" s="230"/>
      <c r="N735" s="230"/>
      <c r="O735" s="230"/>
      <c r="P735" s="230"/>
      <c r="Q735" s="230"/>
      <c r="R735" s="230"/>
      <c r="S735" s="230"/>
      <c r="T735" s="230"/>
      <c r="U735" s="230"/>
      <c r="V735" s="230"/>
      <c r="W735" s="230"/>
      <c r="X735" s="230"/>
      <c r="Y735" s="230"/>
      <c r="Z735" s="230"/>
    </row>
    <row r="736">
      <c r="A736" s="230"/>
      <c r="B736" s="230"/>
      <c r="C736" s="230"/>
      <c r="D736" s="230"/>
      <c r="E736" s="230"/>
      <c r="F736" s="230"/>
      <c r="G736" s="230"/>
      <c r="H736" s="230"/>
      <c r="I736" s="230"/>
      <c r="J736" s="230"/>
      <c r="K736" s="230"/>
      <c r="L736" s="230"/>
      <c r="M736" s="230"/>
      <c r="N736" s="230"/>
      <c r="O736" s="230"/>
      <c r="P736" s="230"/>
      <c r="Q736" s="230"/>
      <c r="R736" s="230"/>
      <c r="S736" s="230"/>
      <c r="T736" s="230"/>
      <c r="U736" s="230"/>
      <c r="V736" s="230"/>
      <c r="W736" s="230"/>
      <c r="X736" s="230"/>
      <c r="Y736" s="230"/>
      <c r="Z736" s="230"/>
    </row>
    <row r="737">
      <c r="A737" s="230"/>
      <c r="B737" s="230"/>
      <c r="C737" s="230"/>
      <c r="D737" s="230"/>
      <c r="E737" s="230"/>
      <c r="F737" s="230"/>
      <c r="G737" s="230"/>
      <c r="H737" s="230"/>
      <c r="I737" s="230"/>
      <c r="J737" s="230"/>
      <c r="K737" s="230"/>
      <c r="L737" s="230"/>
      <c r="M737" s="230"/>
      <c r="N737" s="230"/>
      <c r="O737" s="230"/>
      <c r="P737" s="230"/>
      <c r="Q737" s="230"/>
      <c r="R737" s="230"/>
      <c r="S737" s="230"/>
      <c r="T737" s="230"/>
      <c r="U737" s="230"/>
      <c r="V737" s="230"/>
      <c r="W737" s="230"/>
      <c r="X737" s="230"/>
      <c r="Y737" s="230"/>
      <c r="Z737" s="230"/>
    </row>
    <row r="738">
      <c r="A738" s="230"/>
      <c r="B738" s="230"/>
      <c r="C738" s="230"/>
      <c r="D738" s="230"/>
      <c r="E738" s="230"/>
      <c r="F738" s="230"/>
      <c r="G738" s="230"/>
      <c r="H738" s="230"/>
      <c r="I738" s="230"/>
      <c r="J738" s="230"/>
      <c r="K738" s="230"/>
      <c r="L738" s="230"/>
      <c r="M738" s="230"/>
      <c r="N738" s="230"/>
      <c r="O738" s="230"/>
      <c r="P738" s="230"/>
      <c r="Q738" s="230"/>
      <c r="R738" s="230"/>
      <c r="S738" s="230"/>
      <c r="T738" s="230"/>
      <c r="U738" s="230"/>
      <c r="V738" s="230"/>
      <c r="W738" s="230"/>
      <c r="X738" s="230"/>
      <c r="Y738" s="230"/>
      <c r="Z738" s="230"/>
    </row>
    <row r="739">
      <c r="A739" s="230"/>
      <c r="B739" s="230"/>
      <c r="C739" s="230"/>
      <c r="D739" s="230"/>
      <c r="E739" s="230"/>
      <c r="F739" s="230"/>
      <c r="G739" s="230"/>
      <c r="H739" s="230"/>
      <c r="I739" s="230"/>
      <c r="J739" s="230"/>
      <c r="K739" s="230"/>
      <c r="L739" s="230"/>
      <c r="M739" s="230"/>
      <c r="N739" s="230"/>
      <c r="O739" s="230"/>
      <c r="P739" s="230"/>
      <c r="Q739" s="230"/>
      <c r="R739" s="230"/>
      <c r="S739" s="230"/>
      <c r="T739" s="230"/>
      <c r="U739" s="230"/>
      <c r="V739" s="230"/>
      <c r="W739" s="230"/>
      <c r="X739" s="230"/>
      <c r="Y739" s="230"/>
      <c r="Z739" s="230"/>
    </row>
    <row r="740">
      <c r="A740" s="230"/>
      <c r="B740" s="230"/>
      <c r="C740" s="230"/>
      <c r="D740" s="230"/>
      <c r="E740" s="230"/>
      <c r="F740" s="230"/>
      <c r="G740" s="230"/>
      <c r="H740" s="230"/>
      <c r="I740" s="230"/>
      <c r="J740" s="230"/>
      <c r="K740" s="230"/>
      <c r="L740" s="230"/>
      <c r="M740" s="230"/>
      <c r="N740" s="230"/>
      <c r="O740" s="230"/>
      <c r="P740" s="230"/>
      <c r="Q740" s="230"/>
      <c r="R740" s="230"/>
      <c r="S740" s="230"/>
      <c r="T740" s="230"/>
      <c r="U740" s="230"/>
      <c r="V740" s="230"/>
      <c r="W740" s="230"/>
      <c r="X740" s="230"/>
      <c r="Y740" s="230"/>
      <c r="Z740" s="230"/>
    </row>
    <row r="741">
      <c r="A741" s="230"/>
      <c r="B741" s="230"/>
      <c r="C741" s="230"/>
      <c r="D741" s="230"/>
      <c r="E741" s="230"/>
      <c r="F741" s="230"/>
      <c r="G741" s="230"/>
      <c r="H741" s="230"/>
      <c r="I741" s="230"/>
      <c r="J741" s="230"/>
      <c r="K741" s="230"/>
      <c r="L741" s="230"/>
      <c r="M741" s="230"/>
      <c r="N741" s="230"/>
      <c r="O741" s="230"/>
      <c r="P741" s="230"/>
      <c r="Q741" s="230"/>
      <c r="R741" s="230"/>
      <c r="S741" s="230"/>
      <c r="T741" s="230"/>
      <c r="U741" s="230"/>
      <c r="V741" s="230"/>
      <c r="W741" s="230"/>
      <c r="X741" s="230"/>
      <c r="Y741" s="230"/>
      <c r="Z741" s="230"/>
    </row>
    <row r="742">
      <c r="A742" s="230"/>
      <c r="B742" s="230"/>
      <c r="C742" s="230"/>
      <c r="D742" s="230"/>
      <c r="E742" s="230"/>
      <c r="F742" s="230"/>
      <c r="G742" s="230"/>
      <c r="H742" s="230"/>
      <c r="I742" s="230"/>
      <c r="J742" s="230"/>
      <c r="K742" s="230"/>
      <c r="L742" s="230"/>
      <c r="M742" s="230"/>
      <c r="N742" s="230"/>
      <c r="O742" s="230"/>
      <c r="P742" s="230"/>
      <c r="Q742" s="230"/>
      <c r="R742" s="230"/>
      <c r="S742" s="230"/>
      <c r="T742" s="230"/>
      <c r="U742" s="230"/>
      <c r="V742" s="230"/>
      <c r="W742" s="230"/>
      <c r="X742" s="230"/>
      <c r="Y742" s="230"/>
      <c r="Z742" s="230"/>
    </row>
    <row r="743">
      <c r="A743" s="230"/>
      <c r="B743" s="230"/>
      <c r="C743" s="230"/>
      <c r="D743" s="230"/>
      <c r="E743" s="230"/>
      <c r="F743" s="230"/>
      <c r="G743" s="230"/>
      <c r="H743" s="230"/>
      <c r="I743" s="230"/>
      <c r="J743" s="230"/>
      <c r="K743" s="230"/>
      <c r="L743" s="230"/>
      <c r="M743" s="230"/>
      <c r="N743" s="230"/>
      <c r="O743" s="230"/>
      <c r="P743" s="230"/>
      <c r="Q743" s="230"/>
      <c r="R743" s="230"/>
      <c r="S743" s="230"/>
      <c r="T743" s="230"/>
      <c r="U743" s="230"/>
      <c r="V743" s="230"/>
      <c r="W743" s="230"/>
      <c r="X743" s="230"/>
      <c r="Y743" s="230"/>
      <c r="Z743" s="230"/>
    </row>
    <row r="744">
      <c r="A744" s="230"/>
      <c r="B744" s="230"/>
      <c r="C744" s="230"/>
      <c r="D744" s="230"/>
      <c r="E744" s="230"/>
      <c r="F744" s="230"/>
      <c r="G744" s="230"/>
      <c r="H744" s="230"/>
      <c r="I744" s="230"/>
      <c r="J744" s="230"/>
      <c r="K744" s="230"/>
      <c r="L744" s="230"/>
      <c r="M744" s="230"/>
      <c r="N744" s="230"/>
      <c r="O744" s="230"/>
      <c r="P744" s="230"/>
      <c r="Q744" s="230"/>
      <c r="R744" s="230"/>
      <c r="S744" s="230"/>
      <c r="T744" s="230"/>
      <c r="U744" s="230"/>
      <c r="V744" s="230"/>
      <c r="W744" s="230"/>
      <c r="X744" s="230"/>
      <c r="Y744" s="230"/>
      <c r="Z744" s="230"/>
    </row>
    <row r="745">
      <c r="A745" s="230"/>
      <c r="B745" s="230"/>
      <c r="C745" s="230"/>
      <c r="D745" s="230"/>
      <c r="E745" s="230"/>
      <c r="F745" s="230"/>
      <c r="G745" s="230"/>
      <c r="H745" s="230"/>
      <c r="I745" s="230"/>
      <c r="J745" s="230"/>
      <c r="K745" s="230"/>
      <c r="L745" s="230"/>
      <c r="M745" s="230"/>
      <c r="N745" s="230"/>
      <c r="O745" s="230"/>
      <c r="P745" s="230"/>
      <c r="Q745" s="230"/>
      <c r="R745" s="230"/>
      <c r="S745" s="230"/>
      <c r="T745" s="230"/>
      <c r="U745" s="230"/>
      <c r="V745" s="230"/>
      <c r="W745" s="230"/>
      <c r="X745" s="230"/>
      <c r="Y745" s="230"/>
      <c r="Z745" s="230"/>
    </row>
    <row r="746">
      <c r="A746" s="230"/>
      <c r="B746" s="230"/>
      <c r="C746" s="230"/>
      <c r="D746" s="230"/>
      <c r="E746" s="230"/>
      <c r="F746" s="230"/>
      <c r="G746" s="230"/>
      <c r="H746" s="230"/>
      <c r="I746" s="230"/>
      <c r="J746" s="230"/>
      <c r="K746" s="230"/>
      <c r="L746" s="230"/>
      <c r="M746" s="230"/>
      <c r="N746" s="230"/>
      <c r="O746" s="230"/>
      <c r="P746" s="230"/>
      <c r="Q746" s="230"/>
      <c r="R746" s="230"/>
      <c r="S746" s="230"/>
      <c r="T746" s="230"/>
      <c r="U746" s="230"/>
      <c r="V746" s="230"/>
      <c r="W746" s="230"/>
      <c r="X746" s="230"/>
      <c r="Y746" s="230"/>
      <c r="Z746" s="230"/>
    </row>
    <row r="747">
      <c r="A747" s="230"/>
      <c r="B747" s="230"/>
      <c r="C747" s="230"/>
      <c r="D747" s="230"/>
      <c r="E747" s="230"/>
      <c r="F747" s="230"/>
      <c r="G747" s="230"/>
      <c r="H747" s="230"/>
      <c r="I747" s="230"/>
      <c r="J747" s="230"/>
      <c r="K747" s="230"/>
      <c r="L747" s="230"/>
      <c r="M747" s="230"/>
      <c r="N747" s="230"/>
      <c r="O747" s="230"/>
      <c r="P747" s="230"/>
      <c r="Q747" s="230"/>
      <c r="R747" s="230"/>
      <c r="S747" s="230"/>
      <c r="T747" s="230"/>
      <c r="U747" s="230"/>
      <c r="V747" s="230"/>
      <c r="W747" s="230"/>
      <c r="X747" s="230"/>
      <c r="Y747" s="230"/>
      <c r="Z747" s="230"/>
    </row>
    <row r="748">
      <c r="A748" s="230"/>
      <c r="B748" s="230"/>
      <c r="C748" s="230"/>
      <c r="D748" s="230"/>
      <c r="E748" s="230"/>
      <c r="F748" s="230"/>
      <c r="G748" s="230"/>
      <c r="H748" s="230"/>
      <c r="I748" s="230"/>
      <c r="J748" s="230"/>
      <c r="K748" s="230"/>
      <c r="L748" s="230"/>
      <c r="M748" s="230"/>
      <c r="N748" s="230"/>
      <c r="O748" s="230"/>
      <c r="P748" s="230"/>
      <c r="Q748" s="230"/>
      <c r="R748" s="230"/>
      <c r="S748" s="230"/>
      <c r="T748" s="230"/>
      <c r="U748" s="230"/>
      <c r="V748" s="230"/>
      <c r="W748" s="230"/>
      <c r="X748" s="230"/>
      <c r="Y748" s="230"/>
      <c r="Z748" s="230"/>
    </row>
    <row r="749">
      <c r="A749" s="230"/>
      <c r="B749" s="230"/>
      <c r="C749" s="230"/>
      <c r="D749" s="230"/>
      <c r="E749" s="230"/>
      <c r="F749" s="230"/>
      <c r="G749" s="230"/>
      <c r="H749" s="230"/>
      <c r="I749" s="230"/>
      <c r="J749" s="230"/>
      <c r="K749" s="230"/>
      <c r="L749" s="230"/>
      <c r="M749" s="230"/>
      <c r="N749" s="230"/>
      <c r="O749" s="230"/>
      <c r="P749" s="230"/>
      <c r="Q749" s="230"/>
      <c r="R749" s="230"/>
      <c r="S749" s="230"/>
      <c r="T749" s="230"/>
      <c r="U749" s="230"/>
      <c r="V749" s="230"/>
      <c r="W749" s="230"/>
      <c r="X749" s="230"/>
      <c r="Y749" s="230"/>
      <c r="Z749" s="230"/>
    </row>
    <row r="750">
      <c r="A750" s="230"/>
      <c r="B750" s="230"/>
      <c r="C750" s="230"/>
      <c r="D750" s="230"/>
      <c r="E750" s="230"/>
      <c r="F750" s="230"/>
      <c r="G750" s="230"/>
      <c r="H750" s="230"/>
      <c r="I750" s="230"/>
      <c r="J750" s="230"/>
      <c r="K750" s="230"/>
      <c r="L750" s="230"/>
      <c r="M750" s="230"/>
      <c r="N750" s="230"/>
      <c r="O750" s="230"/>
      <c r="P750" s="230"/>
      <c r="Q750" s="230"/>
      <c r="R750" s="230"/>
      <c r="S750" s="230"/>
      <c r="T750" s="230"/>
      <c r="U750" s="230"/>
      <c r="V750" s="230"/>
      <c r="W750" s="230"/>
      <c r="X750" s="230"/>
      <c r="Y750" s="230"/>
      <c r="Z750" s="230"/>
    </row>
    <row r="751">
      <c r="A751" s="230"/>
      <c r="B751" s="230"/>
      <c r="C751" s="230"/>
      <c r="D751" s="230"/>
      <c r="E751" s="230"/>
      <c r="F751" s="230"/>
      <c r="G751" s="230"/>
      <c r="H751" s="230"/>
      <c r="I751" s="230"/>
      <c r="J751" s="230"/>
      <c r="K751" s="230"/>
      <c r="L751" s="230"/>
      <c r="M751" s="230"/>
      <c r="N751" s="230"/>
      <c r="O751" s="230"/>
      <c r="P751" s="230"/>
      <c r="Q751" s="230"/>
      <c r="R751" s="230"/>
      <c r="S751" s="230"/>
      <c r="T751" s="230"/>
      <c r="U751" s="230"/>
      <c r="V751" s="230"/>
      <c r="W751" s="230"/>
      <c r="X751" s="230"/>
      <c r="Y751" s="230"/>
      <c r="Z751" s="230"/>
    </row>
    <row r="752">
      <c r="A752" s="230"/>
      <c r="B752" s="230"/>
      <c r="C752" s="230"/>
      <c r="D752" s="230"/>
      <c r="E752" s="230"/>
      <c r="F752" s="230"/>
      <c r="G752" s="230"/>
      <c r="H752" s="230"/>
      <c r="I752" s="230"/>
      <c r="J752" s="230"/>
      <c r="K752" s="230"/>
      <c r="L752" s="230"/>
      <c r="M752" s="230"/>
      <c r="N752" s="230"/>
      <c r="O752" s="230"/>
      <c r="P752" s="230"/>
      <c r="Q752" s="230"/>
      <c r="R752" s="230"/>
      <c r="S752" s="230"/>
      <c r="T752" s="230"/>
      <c r="U752" s="230"/>
      <c r="V752" s="230"/>
      <c r="W752" s="230"/>
      <c r="X752" s="230"/>
      <c r="Y752" s="230"/>
      <c r="Z752" s="230"/>
    </row>
    <row r="753">
      <c r="A753" s="230"/>
      <c r="B753" s="230"/>
      <c r="C753" s="230"/>
      <c r="D753" s="230"/>
      <c r="E753" s="230"/>
      <c r="F753" s="230"/>
      <c r="G753" s="230"/>
      <c r="H753" s="230"/>
      <c r="I753" s="230"/>
      <c r="J753" s="230"/>
      <c r="K753" s="230"/>
      <c r="L753" s="230"/>
      <c r="M753" s="230"/>
      <c r="N753" s="230"/>
      <c r="O753" s="230"/>
      <c r="P753" s="230"/>
      <c r="Q753" s="230"/>
      <c r="R753" s="230"/>
      <c r="S753" s="230"/>
      <c r="T753" s="230"/>
      <c r="U753" s="230"/>
      <c r="V753" s="230"/>
      <c r="W753" s="230"/>
      <c r="X753" s="230"/>
      <c r="Y753" s="230"/>
      <c r="Z753" s="230"/>
    </row>
    <row r="754">
      <c r="A754" s="230"/>
      <c r="B754" s="230"/>
      <c r="C754" s="230"/>
      <c r="D754" s="230"/>
      <c r="E754" s="230"/>
      <c r="F754" s="230"/>
      <c r="G754" s="230"/>
      <c r="H754" s="230"/>
      <c r="I754" s="230"/>
      <c r="J754" s="230"/>
      <c r="K754" s="230"/>
      <c r="L754" s="230"/>
      <c r="M754" s="230"/>
      <c r="N754" s="230"/>
      <c r="O754" s="230"/>
      <c r="P754" s="230"/>
      <c r="Q754" s="230"/>
      <c r="R754" s="230"/>
      <c r="S754" s="230"/>
      <c r="T754" s="230"/>
      <c r="U754" s="230"/>
      <c r="V754" s="230"/>
      <c r="W754" s="230"/>
      <c r="X754" s="230"/>
      <c r="Y754" s="230"/>
      <c r="Z754" s="230"/>
    </row>
    <row r="755">
      <c r="A755" s="230"/>
      <c r="B755" s="230"/>
      <c r="C755" s="230"/>
      <c r="D755" s="230"/>
      <c r="E755" s="230"/>
      <c r="F755" s="230"/>
      <c r="G755" s="230"/>
      <c r="H755" s="230"/>
      <c r="I755" s="230"/>
      <c r="J755" s="230"/>
      <c r="K755" s="230"/>
      <c r="L755" s="230"/>
      <c r="M755" s="230"/>
      <c r="N755" s="230"/>
      <c r="O755" s="230"/>
      <c r="P755" s="230"/>
      <c r="Q755" s="230"/>
      <c r="R755" s="230"/>
      <c r="S755" s="230"/>
      <c r="T755" s="230"/>
      <c r="U755" s="230"/>
      <c r="V755" s="230"/>
      <c r="W755" s="230"/>
      <c r="X755" s="230"/>
      <c r="Y755" s="230"/>
      <c r="Z755" s="230"/>
    </row>
    <row r="756">
      <c r="A756" s="230"/>
      <c r="B756" s="230"/>
      <c r="C756" s="230"/>
      <c r="D756" s="230"/>
      <c r="E756" s="230"/>
      <c r="F756" s="230"/>
      <c r="G756" s="230"/>
      <c r="H756" s="230"/>
      <c r="I756" s="230"/>
      <c r="J756" s="230"/>
      <c r="K756" s="230"/>
      <c r="L756" s="230"/>
      <c r="M756" s="230"/>
      <c r="N756" s="230"/>
      <c r="O756" s="230"/>
      <c r="P756" s="230"/>
      <c r="Q756" s="230"/>
      <c r="R756" s="230"/>
      <c r="S756" s="230"/>
      <c r="T756" s="230"/>
      <c r="U756" s="230"/>
      <c r="V756" s="230"/>
      <c r="W756" s="230"/>
      <c r="X756" s="230"/>
      <c r="Y756" s="230"/>
      <c r="Z756" s="230"/>
    </row>
    <row r="757">
      <c r="A757" s="230"/>
      <c r="B757" s="230"/>
      <c r="C757" s="230"/>
      <c r="D757" s="230"/>
      <c r="E757" s="230"/>
      <c r="F757" s="230"/>
      <c r="G757" s="230"/>
      <c r="H757" s="230"/>
      <c r="I757" s="230"/>
      <c r="J757" s="230"/>
      <c r="K757" s="230"/>
      <c r="L757" s="230"/>
      <c r="M757" s="230"/>
      <c r="N757" s="230"/>
      <c r="O757" s="230"/>
      <c r="P757" s="230"/>
      <c r="Q757" s="230"/>
      <c r="R757" s="230"/>
      <c r="S757" s="230"/>
      <c r="T757" s="230"/>
      <c r="U757" s="230"/>
      <c r="V757" s="230"/>
      <c r="W757" s="230"/>
      <c r="X757" s="230"/>
      <c r="Y757" s="230"/>
      <c r="Z757" s="230"/>
    </row>
    <row r="758">
      <c r="A758" s="230"/>
      <c r="B758" s="230"/>
      <c r="C758" s="230"/>
      <c r="D758" s="230"/>
      <c r="E758" s="230"/>
      <c r="F758" s="230"/>
      <c r="G758" s="230"/>
      <c r="H758" s="230"/>
      <c r="I758" s="230"/>
      <c r="J758" s="230"/>
      <c r="K758" s="230"/>
      <c r="L758" s="230"/>
      <c r="M758" s="230"/>
      <c r="N758" s="230"/>
      <c r="O758" s="230"/>
      <c r="P758" s="230"/>
      <c r="Q758" s="230"/>
      <c r="R758" s="230"/>
      <c r="S758" s="230"/>
      <c r="T758" s="230"/>
      <c r="U758" s="230"/>
      <c r="V758" s="230"/>
      <c r="W758" s="230"/>
      <c r="X758" s="230"/>
      <c r="Y758" s="230"/>
      <c r="Z758" s="230"/>
    </row>
    <row r="759">
      <c r="A759" s="230"/>
      <c r="B759" s="230"/>
      <c r="C759" s="230"/>
      <c r="D759" s="230"/>
      <c r="E759" s="230"/>
      <c r="F759" s="230"/>
      <c r="G759" s="230"/>
      <c r="H759" s="230"/>
      <c r="I759" s="230"/>
      <c r="J759" s="230"/>
      <c r="K759" s="230"/>
      <c r="L759" s="230"/>
      <c r="M759" s="230"/>
      <c r="N759" s="230"/>
      <c r="O759" s="230"/>
      <c r="P759" s="230"/>
      <c r="Q759" s="230"/>
      <c r="R759" s="230"/>
      <c r="S759" s="230"/>
      <c r="T759" s="230"/>
      <c r="U759" s="230"/>
      <c r="V759" s="230"/>
      <c r="W759" s="230"/>
      <c r="X759" s="230"/>
      <c r="Y759" s="230"/>
      <c r="Z759" s="230"/>
    </row>
    <row r="760">
      <c r="A760" s="230"/>
      <c r="B760" s="230"/>
      <c r="C760" s="230"/>
      <c r="D760" s="230"/>
      <c r="E760" s="230"/>
      <c r="F760" s="230"/>
      <c r="G760" s="230"/>
      <c r="H760" s="230"/>
      <c r="I760" s="230"/>
      <c r="J760" s="230"/>
      <c r="K760" s="230"/>
      <c r="L760" s="230"/>
      <c r="M760" s="230"/>
      <c r="N760" s="230"/>
      <c r="O760" s="230"/>
      <c r="P760" s="230"/>
      <c r="Q760" s="230"/>
      <c r="R760" s="230"/>
      <c r="S760" s="230"/>
      <c r="T760" s="230"/>
      <c r="U760" s="230"/>
      <c r="V760" s="230"/>
      <c r="W760" s="230"/>
      <c r="X760" s="230"/>
      <c r="Y760" s="230"/>
      <c r="Z760" s="230"/>
    </row>
    <row r="761">
      <c r="A761" s="230"/>
      <c r="B761" s="230"/>
      <c r="C761" s="230"/>
      <c r="D761" s="230"/>
      <c r="E761" s="230"/>
      <c r="F761" s="230"/>
      <c r="G761" s="230"/>
      <c r="H761" s="230"/>
      <c r="I761" s="230"/>
      <c r="J761" s="230"/>
      <c r="K761" s="230"/>
      <c r="L761" s="230"/>
      <c r="M761" s="230"/>
      <c r="N761" s="230"/>
      <c r="O761" s="230"/>
      <c r="P761" s="230"/>
      <c r="Q761" s="230"/>
      <c r="R761" s="230"/>
      <c r="S761" s="230"/>
      <c r="T761" s="230"/>
      <c r="U761" s="230"/>
      <c r="V761" s="230"/>
      <c r="W761" s="230"/>
      <c r="X761" s="230"/>
      <c r="Y761" s="230"/>
      <c r="Z761" s="230"/>
    </row>
    <row r="762">
      <c r="A762" s="230"/>
      <c r="B762" s="230"/>
      <c r="C762" s="230"/>
      <c r="D762" s="230"/>
      <c r="E762" s="230"/>
      <c r="F762" s="230"/>
      <c r="G762" s="230"/>
      <c r="H762" s="230"/>
      <c r="I762" s="230"/>
      <c r="J762" s="230"/>
      <c r="K762" s="230"/>
      <c r="L762" s="230"/>
      <c r="M762" s="230"/>
      <c r="N762" s="230"/>
      <c r="O762" s="230"/>
      <c r="P762" s="230"/>
      <c r="Q762" s="230"/>
      <c r="R762" s="230"/>
      <c r="S762" s="230"/>
      <c r="T762" s="230"/>
      <c r="U762" s="230"/>
      <c r="V762" s="230"/>
      <c r="W762" s="230"/>
      <c r="X762" s="230"/>
      <c r="Y762" s="230"/>
      <c r="Z762" s="230"/>
    </row>
    <row r="763">
      <c r="A763" s="230"/>
      <c r="B763" s="230"/>
      <c r="C763" s="230"/>
      <c r="D763" s="230"/>
      <c r="E763" s="230"/>
      <c r="F763" s="230"/>
      <c r="G763" s="230"/>
      <c r="H763" s="230"/>
      <c r="I763" s="230"/>
      <c r="J763" s="230"/>
      <c r="K763" s="230"/>
      <c r="L763" s="230"/>
      <c r="M763" s="230"/>
      <c r="N763" s="230"/>
      <c r="O763" s="230"/>
      <c r="P763" s="230"/>
      <c r="Q763" s="230"/>
      <c r="R763" s="230"/>
      <c r="S763" s="230"/>
      <c r="T763" s="230"/>
      <c r="U763" s="230"/>
      <c r="V763" s="230"/>
      <c r="W763" s="230"/>
      <c r="X763" s="230"/>
      <c r="Y763" s="230"/>
      <c r="Z763" s="230"/>
    </row>
    <row r="764">
      <c r="A764" s="230"/>
      <c r="B764" s="230"/>
      <c r="C764" s="230"/>
      <c r="D764" s="230"/>
      <c r="E764" s="230"/>
      <c r="F764" s="230"/>
      <c r="G764" s="230"/>
      <c r="H764" s="230"/>
      <c r="I764" s="230"/>
      <c r="J764" s="230"/>
      <c r="K764" s="230"/>
      <c r="L764" s="230"/>
      <c r="M764" s="230"/>
      <c r="N764" s="230"/>
      <c r="O764" s="230"/>
      <c r="P764" s="230"/>
      <c r="Q764" s="230"/>
      <c r="R764" s="230"/>
      <c r="S764" s="230"/>
      <c r="T764" s="230"/>
      <c r="U764" s="230"/>
      <c r="V764" s="230"/>
      <c r="W764" s="230"/>
      <c r="X764" s="230"/>
      <c r="Y764" s="230"/>
      <c r="Z764" s="230"/>
    </row>
    <row r="765">
      <c r="A765" s="230"/>
      <c r="B765" s="230"/>
      <c r="C765" s="230"/>
      <c r="D765" s="230"/>
      <c r="E765" s="230"/>
      <c r="F765" s="230"/>
      <c r="G765" s="230"/>
      <c r="H765" s="230"/>
      <c r="I765" s="230"/>
      <c r="J765" s="230"/>
      <c r="K765" s="230"/>
      <c r="L765" s="230"/>
      <c r="M765" s="230"/>
      <c r="N765" s="230"/>
      <c r="O765" s="230"/>
      <c r="P765" s="230"/>
      <c r="Q765" s="230"/>
      <c r="R765" s="230"/>
      <c r="S765" s="230"/>
      <c r="T765" s="230"/>
      <c r="U765" s="230"/>
      <c r="V765" s="230"/>
      <c r="W765" s="230"/>
      <c r="X765" s="230"/>
      <c r="Y765" s="230"/>
      <c r="Z765" s="230"/>
    </row>
    <row r="766">
      <c r="A766" s="230"/>
      <c r="B766" s="230"/>
      <c r="C766" s="230"/>
      <c r="D766" s="230"/>
      <c r="E766" s="230"/>
      <c r="F766" s="230"/>
      <c r="G766" s="230"/>
      <c r="H766" s="230"/>
      <c r="I766" s="230"/>
      <c r="J766" s="230"/>
      <c r="K766" s="230"/>
      <c r="L766" s="230"/>
      <c r="M766" s="230"/>
      <c r="N766" s="230"/>
      <c r="O766" s="230"/>
      <c r="P766" s="230"/>
      <c r="Q766" s="230"/>
      <c r="R766" s="230"/>
      <c r="S766" s="230"/>
      <c r="T766" s="230"/>
      <c r="U766" s="230"/>
      <c r="V766" s="230"/>
      <c r="W766" s="230"/>
      <c r="X766" s="230"/>
      <c r="Y766" s="230"/>
      <c r="Z766" s="230"/>
    </row>
    <row r="767">
      <c r="A767" s="230"/>
      <c r="B767" s="230"/>
      <c r="C767" s="230"/>
      <c r="D767" s="230"/>
      <c r="E767" s="230"/>
      <c r="F767" s="230"/>
      <c r="G767" s="230"/>
      <c r="H767" s="230"/>
      <c r="I767" s="230"/>
      <c r="J767" s="230"/>
      <c r="K767" s="230"/>
      <c r="L767" s="230"/>
      <c r="M767" s="230"/>
      <c r="N767" s="230"/>
      <c r="O767" s="230"/>
      <c r="P767" s="230"/>
      <c r="Q767" s="230"/>
      <c r="R767" s="230"/>
      <c r="S767" s="230"/>
      <c r="T767" s="230"/>
      <c r="U767" s="230"/>
      <c r="V767" s="230"/>
      <c r="W767" s="230"/>
      <c r="X767" s="230"/>
      <c r="Y767" s="230"/>
      <c r="Z767" s="230"/>
    </row>
    <row r="768">
      <c r="A768" s="230"/>
      <c r="B768" s="230"/>
      <c r="C768" s="230"/>
      <c r="D768" s="230"/>
      <c r="E768" s="230"/>
      <c r="F768" s="230"/>
      <c r="G768" s="230"/>
      <c r="H768" s="230"/>
      <c r="I768" s="230"/>
      <c r="J768" s="230"/>
      <c r="K768" s="230"/>
      <c r="L768" s="230"/>
      <c r="M768" s="230"/>
      <c r="N768" s="230"/>
      <c r="O768" s="230"/>
      <c r="P768" s="230"/>
      <c r="Q768" s="230"/>
      <c r="R768" s="230"/>
      <c r="S768" s="230"/>
      <c r="T768" s="230"/>
      <c r="U768" s="230"/>
      <c r="V768" s="230"/>
      <c r="W768" s="230"/>
      <c r="X768" s="230"/>
      <c r="Y768" s="230"/>
      <c r="Z768" s="230"/>
    </row>
    <row r="769">
      <c r="A769" s="230"/>
      <c r="B769" s="230"/>
      <c r="C769" s="230"/>
      <c r="D769" s="230"/>
      <c r="E769" s="230"/>
      <c r="F769" s="230"/>
      <c r="G769" s="230"/>
      <c r="H769" s="230"/>
      <c r="I769" s="230"/>
      <c r="J769" s="230"/>
      <c r="K769" s="230"/>
      <c r="L769" s="230"/>
      <c r="M769" s="230"/>
      <c r="N769" s="230"/>
      <c r="O769" s="230"/>
      <c r="P769" s="230"/>
      <c r="Q769" s="230"/>
      <c r="R769" s="230"/>
      <c r="S769" s="230"/>
      <c r="T769" s="230"/>
      <c r="U769" s="230"/>
      <c r="V769" s="230"/>
      <c r="W769" s="230"/>
      <c r="X769" s="230"/>
      <c r="Y769" s="230"/>
      <c r="Z769" s="230"/>
    </row>
    <row r="770">
      <c r="A770" s="230"/>
      <c r="B770" s="230"/>
      <c r="C770" s="230"/>
      <c r="D770" s="230"/>
      <c r="E770" s="230"/>
      <c r="F770" s="230"/>
      <c r="G770" s="230"/>
      <c r="H770" s="230"/>
      <c r="I770" s="230"/>
      <c r="J770" s="230"/>
      <c r="K770" s="230"/>
      <c r="L770" s="230"/>
      <c r="M770" s="230"/>
      <c r="N770" s="230"/>
      <c r="O770" s="230"/>
      <c r="P770" s="230"/>
      <c r="Q770" s="230"/>
      <c r="R770" s="230"/>
      <c r="S770" s="230"/>
      <c r="T770" s="230"/>
      <c r="U770" s="230"/>
      <c r="V770" s="230"/>
      <c r="W770" s="230"/>
      <c r="X770" s="230"/>
      <c r="Y770" s="230"/>
      <c r="Z770" s="230"/>
    </row>
    <row r="771">
      <c r="A771" s="230"/>
      <c r="B771" s="230"/>
      <c r="C771" s="230"/>
      <c r="D771" s="230"/>
      <c r="E771" s="230"/>
      <c r="F771" s="230"/>
      <c r="G771" s="230"/>
      <c r="H771" s="230"/>
      <c r="I771" s="230"/>
      <c r="J771" s="230"/>
      <c r="K771" s="230"/>
      <c r="L771" s="230"/>
      <c r="M771" s="230"/>
      <c r="N771" s="230"/>
      <c r="O771" s="230"/>
      <c r="P771" s="230"/>
      <c r="Q771" s="230"/>
      <c r="R771" s="230"/>
      <c r="S771" s="230"/>
      <c r="T771" s="230"/>
      <c r="U771" s="230"/>
      <c r="V771" s="230"/>
      <c r="W771" s="230"/>
      <c r="X771" s="230"/>
      <c r="Y771" s="230"/>
      <c r="Z771" s="230"/>
    </row>
    <row r="772">
      <c r="A772" s="230"/>
      <c r="B772" s="230"/>
      <c r="C772" s="230"/>
      <c r="D772" s="230"/>
      <c r="E772" s="230"/>
      <c r="F772" s="230"/>
      <c r="G772" s="230"/>
      <c r="H772" s="230"/>
      <c r="I772" s="230"/>
      <c r="J772" s="230"/>
      <c r="K772" s="230"/>
      <c r="L772" s="230"/>
      <c r="M772" s="230"/>
      <c r="N772" s="230"/>
      <c r="O772" s="230"/>
      <c r="P772" s="230"/>
      <c r="Q772" s="230"/>
      <c r="R772" s="230"/>
      <c r="S772" s="230"/>
      <c r="T772" s="230"/>
      <c r="U772" s="230"/>
      <c r="V772" s="230"/>
      <c r="W772" s="230"/>
      <c r="X772" s="230"/>
      <c r="Y772" s="230"/>
      <c r="Z772" s="230"/>
    </row>
    <row r="773">
      <c r="A773" s="230"/>
      <c r="B773" s="230"/>
      <c r="C773" s="230"/>
      <c r="D773" s="230"/>
      <c r="E773" s="230"/>
      <c r="F773" s="230"/>
      <c r="G773" s="230"/>
      <c r="H773" s="230"/>
      <c r="I773" s="230"/>
      <c r="J773" s="230"/>
      <c r="K773" s="230"/>
      <c r="L773" s="230"/>
      <c r="M773" s="230"/>
      <c r="N773" s="230"/>
      <c r="O773" s="230"/>
      <c r="P773" s="230"/>
      <c r="Q773" s="230"/>
      <c r="R773" s="230"/>
      <c r="S773" s="230"/>
      <c r="T773" s="230"/>
      <c r="U773" s="230"/>
      <c r="V773" s="230"/>
      <c r="W773" s="230"/>
      <c r="X773" s="230"/>
      <c r="Y773" s="230"/>
      <c r="Z773" s="230"/>
    </row>
    <row r="774">
      <c r="A774" s="230"/>
      <c r="B774" s="230"/>
      <c r="C774" s="230"/>
      <c r="D774" s="230"/>
      <c r="E774" s="230"/>
      <c r="F774" s="230"/>
      <c r="G774" s="230"/>
      <c r="H774" s="230"/>
      <c r="I774" s="230"/>
      <c r="J774" s="230"/>
      <c r="K774" s="230"/>
      <c r="L774" s="230"/>
      <c r="M774" s="230"/>
      <c r="N774" s="230"/>
      <c r="O774" s="230"/>
      <c r="P774" s="230"/>
      <c r="Q774" s="230"/>
      <c r="R774" s="230"/>
      <c r="S774" s="230"/>
      <c r="T774" s="230"/>
      <c r="U774" s="230"/>
      <c r="V774" s="230"/>
      <c r="W774" s="230"/>
      <c r="X774" s="230"/>
      <c r="Y774" s="230"/>
      <c r="Z774" s="230"/>
    </row>
    <row r="775">
      <c r="A775" s="230"/>
      <c r="B775" s="230"/>
      <c r="C775" s="230"/>
      <c r="D775" s="230"/>
      <c r="E775" s="230"/>
      <c r="F775" s="230"/>
      <c r="G775" s="230"/>
      <c r="H775" s="230"/>
      <c r="I775" s="230"/>
      <c r="J775" s="230"/>
      <c r="K775" s="230"/>
      <c r="L775" s="230"/>
      <c r="M775" s="230"/>
      <c r="N775" s="230"/>
      <c r="O775" s="230"/>
      <c r="P775" s="230"/>
      <c r="Q775" s="230"/>
      <c r="R775" s="230"/>
      <c r="S775" s="230"/>
      <c r="T775" s="230"/>
      <c r="U775" s="230"/>
      <c r="V775" s="230"/>
      <c r="W775" s="230"/>
      <c r="X775" s="230"/>
      <c r="Y775" s="230"/>
      <c r="Z775" s="230"/>
    </row>
    <row r="776">
      <c r="A776" s="230"/>
      <c r="B776" s="230"/>
      <c r="C776" s="230"/>
      <c r="D776" s="230"/>
      <c r="E776" s="230"/>
      <c r="F776" s="230"/>
      <c r="G776" s="230"/>
      <c r="H776" s="230"/>
      <c r="I776" s="230"/>
      <c r="J776" s="230"/>
      <c r="K776" s="230"/>
      <c r="L776" s="230"/>
      <c r="M776" s="230"/>
      <c r="N776" s="230"/>
      <c r="O776" s="230"/>
      <c r="P776" s="230"/>
      <c r="Q776" s="230"/>
      <c r="R776" s="230"/>
      <c r="S776" s="230"/>
      <c r="T776" s="230"/>
      <c r="U776" s="230"/>
      <c r="V776" s="230"/>
      <c r="W776" s="230"/>
      <c r="X776" s="230"/>
      <c r="Y776" s="230"/>
      <c r="Z776" s="230"/>
    </row>
    <row r="777">
      <c r="A777" s="230"/>
      <c r="B777" s="230"/>
      <c r="C777" s="230"/>
      <c r="D777" s="230"/>
      <c r="E777" s="230"/>
      <c r="F777" s="230"/>
      <c r="G777" s="230"/>
      <c r="H777" s="230"/>
      <c r="I777" s="230"/>
      <c r="J777" s="230"/>
      <c r="K777" s="230"/>
      <c r="L777" s="230"/>
      <c r="M777" s="230"/>
      <c r="N777" s="230"/>
      <c r="O777" s="230"/>
      <c r="P777" s="230"/>
      <c r="Q777" s="230"/>
      <c r="R777" s="230"/>
      <c r="S777" s="230"/>
      <c r="T777" s="230"/>
      <c r="U777" s="230"/>
      <c r="V777" s="230"/>
      <c r="W777" s="230"/>
      <c r="X777" s="230"/>
      <c r="Y777" s="230"/>
      <c r="Z777" s="230"/>
    </row>
    <row r="778">
      <c r="A778" s="230"/>
      <c r="B778" s="230"/>
      <c r="C778" s="230"/>
      <c r="D778" s="230"/>
      <c r="E778" s="230"/>
      <c r="F778" s="230"/>
      <c r="G778" s="230"/>
      <c r="H778" s="230"/>
      <c r="I778" s="230"/>
      <c r="J778" s="230"/>
      <c r="K778" s="230"/>
      <c r="L778" s="230"/>
      <c r="M778" s="230"/>
      <c r="N778" s="230"/>
      <c r="O778" s="230"/>
      <c r="P778" s="230"/>
      <c r="Q778" s="230"/>
      <c r="R778" s="230"/>
      <c r="S778" s="230"/>
      <c r="T778" s="230"/>
      <c r="U778" s="230"/>
      <c r="V778" s="230"/>
      <c r="W778" s="230"/>
      <c r="X778" s="230"/>
      <c r="Y778" s="230"/>
      <c r="Z778" s="230"/>
    </row>
    <row r="779">
      <c r="A779" s="230"/>
      <c r="B779" s="230"/>
      <c r="C779" s="230"/>
      <c r="D779" s="230"/>
      <c r="E779" s="230"/>
      <c r="F779" s="230"/>
      <c r="G779" s="230"/>
      <c r="H779" s="230"/>
      <c r="I779" s="230"/>
      <c r="J779" s="230"/>
      <c r="K779" s="230"/>
      <c r="L779" s="230"/>
      <c r="M779" s="230"/>
      <c r="N779" s="230"/>
      <c r="O779" s="230"/>
      <c r="P779" s="230"/>
      <c r="Q779" s="230"/>
      <c r="R779" s="230"/>
      <c r="S779" s="230"/>
      <c r="T779" s="230"/>
      <c r="U779" s="230"/>
      <c r="V779" s="230"/>
      <c r="W779" s="230"/>
      <c r="X779" s="230"/>
      <c r="Y779" s="230"/>
      <c r="Z779" s="230"/>
    </row>
    <row r="780">
      <c r="A780" s="230"/>
      <c r="B780" s="230"/>
      <c r="C780" s="230"/>
      <c r="D780" s="230"/>
      <c r="E780" s="230"/>
      <c r="F780" s="230"/>
      <c r="G780" s="230"/>
      <c r="H780" s="230"/>
      <c r="I780" s="230"/>
      <c r="J780" s="230"/>
      <c r="K780" s="230"/>
      <c r="L780" s="230"/>
      <c r="M780" s="230"/>
      <c r="N780" s="230"/>
      <c r="O780" s="230"/>
      <c r="P780" s="230"/>
      <c r="Q780" s="230"/>
      <c r="R780" s="230"/>
      <c r="S780" s="230"/>
      <c r="T780" s="230"/>
      <c r="U780" s="230"/>
      <c r="V780" s="230"/>
      <c r="W780" s="230"/>
      <c r="X780" s="230"/>
      <c r="Y780" s="230"/>
      <c r="Z780" s="230"/>
    </row>
    <row r="781">
      <c r="A781" s="230"/>
      <c r="B781" s="230"/>
      <c r="C781" s="230"/>
      <c r="D781" s="230"/>
      <c r="E781" s="230"/>
      <c r="F781" s="230"/>
      <c r="G781" s="230"/>
      <c r="H781" s="230"/>
      <c r="I781" s="230"/>
      <c r="J781" s="230"/>
      <c r="K781" s="230"/>
      <c r="L781" s="230"/>
      <c r="M781" s="230"/>
      <c r="N781" s="230"/>
      <c r="O781" s="230"/>
      <c r="P781" s="230"/>
      <c r="Q781" s="230"/>
      <c r="R781" s="230"/>
      <c r="S781" s="230"/>
      <c r="T781" s="230"/>
      <c r="U781" s="230"/>
      <c r="V781" s="230"/>
      <c r="W781" s="230"/>
      <c r="X781" s="230"/>
      <c r="Y781" s="230"/>
      <c r="Z781" s="230"/>
    </row>
    <row r="782">
      <c r="A782" s="230"/>
      <c r="B782" s="230"/>
      <c r="C782" s="230"/>
      <c r="D782" s="230"/>
      <c r="E782" s="230"/>
      <c r="F782" s="230"/>
      <c r="G782" s="230"/>
      <c r="H782" s="230"/>
      <c r="I782" s="230"/>
      <c r="J782" s="230"/>
      <c r="K782" s="230"/>
      <c r="L782" s="230"/>
      <c r="M782" s="230"/>
      <c r="N782" s="230"/>
      <c r="O782" s="230"/>
      <c r="P782" s="230"/>
      <c r="Q782" s="230"/>
      <c r="R782" s="230"/>
      <c r="S782" s="230"/>
      <c r="T782" s="230"/>
      <c r="U782" s="230"/>
      <c r="V782" s="230"/>
      <c r="W782" s="230"/>
      <c r="X782" s="230"/>
      <c r="Y782" s="230"/>
      <c r="Z782" s="230"/>
    </row>
    <row r="783">
      <c r="A783" s="230"/>
      <c r="B783" s="230"/>
      <c r="C783" s="230"/>
      <c r="D783" s="230"/>
      <c r="E783" s="230"/>
      <c r="F783" s="230"/>
      <c r="G783" s="230"/>
      <c r="H783" s="230"/>
      <c r="I783" s="230"/>
      <c r="J783" s="230"/>
      <c r="K783" s="230"/>
      <c r="L783" s="230"/>
      <c r="M783" s="230"/>
      <c r="N783" s="230"/>
      <c r="O783" s="230"/>
      <c r="P783" s="230"/>
      <c r="Q783" s="230"/>
      <c r="R783" s="230"/>
      <c r="S783" s="230"/>
      <c r="T783" s="230"/>
      <c r="U783" s="230"/>
      <c r="V783" s="230"/>
      <c r="W783" s="230"/>
      <c r="X783" s="230"/>
      <c r="Y783" s="230"/>
      <c r="Z783" s="230"/>
    </row>
    <row r="784">
      <c r="A784" s="230"/>
      <c r="B784" s="230"/>
      <c r="C784" s="230"/>
      <c r="D784" s="230"/>
      <c r="E784" s="230"/>
      <c r="F784" s="230"/>
      <c r="G784" s="230"/>
      <c r="H784" s="230"/>
      <c r="I784" s="230"/>
      <c r="J784" s="230"/>
      <c r="K784" s="230"/>
      <c r="L784" s="230"/>
      <c r="M784" s="230"/>
      <c r="N784" s="230"/>
      <c r="O784" s="230"/>
      <c r="P784" s="230"/>
      <c r="Q784" s="230"/>
      <c r="R784" s="230"/>
      <c r="S784" s="230"/>
      <c r="T784" s="230"/>
      <c r="U784" s="230"/>
      <c r="V784" s="230"/>
      <c r="W784" s="230"/>
      <c r="X784" s="230"/>
      <c r="Y784" s="230"/>
      <c r="Z784" s="230"/>
    </row>
    <row r="785">
      <c r="A785" s="230"/>
      <c r="B785" s="230"/>
      <c r="C785" s="230"/>
      <c r="D785" s="230"/>
      <c r="E785" s="230"/>
      <c r="F785" s="230"/>
      <c r="G785" s="230"/>
      <c r="H785" s="230"/>
      <c r="I785" s="230"/>
      <c r="J785" s="230"/>
      <c r="K785" s="230"/>
      <c r="L785" s="230"/>
      <c r="M785" s="230"/>
      <c r="N785" s="230"/>
      <c r="O785" s="230"/>
      <c r="P785" s="230"/>
      <c r="Q785" s="230"/>
      <c r="R785" s="230"/>
      <c r="S785" s="230"/>
      <c r="T785" s="230"/>
      <c r="U785" s="230"/>
      <c r="V785" s="230"/>
      <c r="W785" s="230"/>
      <c r="X785" s="230"/>
      <c r="Y785" s="230"/>
      <c r="Z785" s="230"/>
    </row>
    <row r="786">
      <c r="A786" s="230"/>
      <c r="B786" s="230"/>
      <c r="C786" s="230"/>
      <c r="D786" s="230"/>
      <c r="E786" s="230"/>
      <c r="F786" s="230"/>
      <c r="G786" s="230"/>
      <c r="H786" s="230"/>
      <c r="I786" s="230"/>
      <c r="J786" s="230"/>
      <c r="K786" s="230"/>
      <c r="L786" s="230"/>
      <c r="M786" s="230"/>
      <c r="N786" s="230"/>
      <c r="O786" s="230"/>
      <c r="P786" s="230"/>
      <c r="Q786" s="230"/>
      <c r="R786" s="230"/>
      <c r="S786" s="230"/>
      <c r="T786" s="230"/>
      <c r="U786" s="230"/>
      <c r="V786" s="230"/>
      <c r="W786" s="230"/>
      <c r="X786" s="230"/>
      <c r="Y786" s="230"/>
      <c r="Z786" s="230"/>
    </row>
    <row r="787">
      <c r="A787" s="230"/>
      <c r="B787" s="230"/>
      <c r="C787" s="230"/>
      <c r="D787" s="230"/>
      <c r="E787" s="230"/>
      <c r="F787" s="230"/>
      <c r="G787" s="230"/>
      <c r="H787" s="230"/>
      <c r="I787" s="230"/>
      <c r="J787" s="230"/>
      <c r="K787" s="230"/>
      <c r="L787" s="230"/>
      <c r="M787" s="230"/>
      <c r="N787" s="230"/>
      <c r="O787" s="230"/>
      <c r="P787" s="230"/>
      <c r="Q787" s="230"/>
      <c r="R787" s="230"/>
      <c r="S787" s="230"/>
      <c r="T787" s="230"/>
      <c r="U787" s="230"/>
      <c r="V787" s="230"/>
      <c r="W787" s="230"/>
      <c r="X787" s="230"/>
      <c r="Y787" s="230"/>
      <c r="Z787" s="230"/>
    </row>
    <row r="788">
      <c r="A788" s="230"/>
      <c r="B788" s="230"/>
      <c r="C788" s="230"/>
      <c r="D788" s="230"/>
      <c r="E788" s="230"/>
      <c r="F788" s="230"/>
      <c r="G788" s="230"/>
      <c r="H788" s="230"/>
      <c r="I788" s="230"/>
      <c r="J788" s="230"/>
      <c r="K788" s="230"/>
      <c r="L788" s="230"/>
      <c r="M788" s="230"/>
      <c r="N788" s="230"/>
      <c r="O788" s="230"/>
      <c r="P788" s="230"/>
      <c r="Q788" s="230"/>
      <c r="R788" s="230"/>
      <c r="S788" s="230"/>
      <c r="T788" s="230"/>
      <c r="U788" s="230"/>
      <c r="V788" s="230"/>
      <c r="W788" s="230"/>
      <c r="X788" s="230"/>
      <c r="Y788" s="230"/>
      <c r="Z788" s="230"/>
    </row>
    <row r="789">
      <c r="A789" s="230"/>
      <c r="B789" s="230"/>
      <c r="C789" s="230"/>
      <c r="D789" s="230"/>
      <c r="E789" s="230"/>
      <c r="F789" s="230"/>
      <c r="G789" s="230"/>
      <c r="H789" s="230"/>
      <c r="I789" s="230"/>
      <c r="J789" s="230"/>
      <c r="K789" s="230"/>
      <c r="L789" s="230"/>
      <c r="M789" s="230"/>
      <c r="N789" s="230"/>
      <c r="O789" s="230"/>
      <c r="P789" s="230"/>
      <c r="Q789" s="230"/>
      <c r="R789" s="230"/>
      <c r="S789" s="230"/>
      <c r="T789" s="230"/>
      <c r="U789" s="230"/>
      <c r="V789" s="230"/>
      <c r="W789" s="230"/>
      <c r="X789" s="230"/>
      <c r="Y789" s="230"/>
      <c r="Z789" s="230"/>
    </row>
    <row r="790">
      <c r="A790" s="230"/>
      <c r="B790" s="230"/>
      <c r="C790" s="230"/>
      <c r="D790" s="230"/>
      <c r="E790" s="230"/>
      <c r="F790" s="230"/>
      <c r="G790" s="230"/>
      <c r="H790" s="230"/>
      <c r="I790" s="230"/>
      <c r="J790" s="230"/>
      <c r="K790" s="230"/>
      <c r="L790" s="230"/>
      <c r="M790" s="230"/>
      <c r="N790" s="230"/>
      <c r="O790" s="230"/>
      <c r="P790" s="230"/>
      <c r="Q790" s="230"/>
      <c r="R790" s="230"/>
      <c r="S790" s="230"/>
      <c r="T790" s="230"/>
      <c r="U790" s="230"/>
      <c r="V790" s="230"/>
      <c r="W790" s="230"/>
      <c r="X790" s="230"/>
      <c r="Y790" s="230"/>
      <c r="Z790" s="230"/>
    </row>
    <row r="791">
      <c r="A791" s="230"/>
      <c r="B791" s="230"/>
      <c r="C791" s="230"/>
      <c r="D791" s="230"/>
      <c r="E791" s="230"/>
      <c r="F791" s="230"/>
      <c r="G791" s="230"/>
      <c r="H791" s="230"/>
      <c r="I791" s="230"/>
      <c r="J791" s="230"/>
      <c r="K791" s="230"/>
      <c r="L791" s="230"/>
      <c r="M791" s="230"/>
      <c r="N791" s="230"/>
      <c r="O791" s="230"/>
      <c r="P791" s="230"/>
      <c r="Q791" s="230"/>
      <c r="R791" s="230"/>
      <c r="S791" s="230"/>
      <c r="T791" s="230"/>
      <c r="U791" s="230"/>
      <c r="V791" s="230"/>
      <c r="W791" s="230"/>
      <c r="X791" s="230"/>
      <c r="Y791" s="230"/>
      <c r="Z791" s="230"/>
    </row>
    <row r="792">
      <c r="A792" s="230"/>
      <c r="B792" s="230"/>
      <c r="C792" s="230"/>
      <c r="D792" s="230"/>
      <c r="E792" s="230"/>
      <c r="F792" s="230"/>
      <c r="G792" s="230"/>
      <c r="H792" s="230"/>
      <c r="I792" s="230"/>
      <c r="J792" s="230"/>
      <c r="K792" s="230"/>
      <c r="L792" s="230"/>
      <c r="M792" s="230"/>
      <c r="N792" s="230"/>
      <c r="O792" s="230"/>
      <c r="P792" s="230"/>
      <c r="Q792" s="230"/>
      <c r="R792" s="230"/>
      <c r="S792" s="230"/>
      <c r="T792" s="230"/>
      <c r="U792" s="230"/>
      <c r="V792" s="230"/>
      <c r="W792" s="230"/>
      <c r="X792" s="230"/>
      <c r="Y792" s="230"/>
      <c r="Z792" s="230"/>
    </row>
    <row r="793">
      <c r="A793" s="230"/>
      <c r="B793" s="230"/>
      <c r="C793" s="230"/>
      <c r="D793" s="230"/>
      <c r="E793" s="230"/>
      <c r="F793" s="230"/>
      <c r="G793" s="230"/>
      <c r="H793" s="230"/>
      <c r="I793" s="230"/>
      <c r="J793" s="230"/>
      <c r="K793" s="230"/>
      <c r="L793" s="230"/>
      <c r="M793" s="230"/>
      <c r="N793" s="230"/>
      <c r="O793" s="230"/>
      <c r="P793" s="230"/>
      <c r="Q793" s="230"/>
      <c r="R793" s="230"/>
      <c r="S793" s="230"/>
      <c r="T793" s="230"/>
      <c r="U793" s="230"/>
      <c r="V793" s="230"/>
      <c r="W793" s="230"/>
      <c r="X793" s="230"/>
      <c r="Y793" s="230"/>
      <c r="Z793" s="230"/>
    </row>
    <row r="794">
      <c r="A794" s="230"/>
      <c r="B794" s="230"/>
      <c r="C794" s="230"/>
      <c r="D794" s="230"/>
      <c r="E794" s="230"/>
      <c r="F794" s="230"/>
      <c r="G794" s="230"/>
      <c r="H794" s="230"/>
      <c r="I794" s="230"/>
      <c r="J794" s="230"/>
      <c r="K794" s="230"/>
      <c r="L794" s="230"/>
      <c r="M794" s="230"/>
      <c r="N794" s="230"/>
      <c r="O794" s="230"/>
      <c r="P794" s="230"/>
      <c r="Q794" s="230"/>
      <c r="R794" s="230"/>
      <c r="S794" s="230"/>
      <c r="T794" s="230"/>
      <c r="U794" s="230"/>
      <c r="V794" s="230"/>
      <c r="W794" s="230"/>
      <c r="X794" s="230"/>
      <c r="Y794" s="230"/>
      <c r="Z794" s="230"/>
    </row>
    <row r="795">
      <c r="A795" s="230"/>
      <c r="B795" s="230"/>
      <c r="C795" s="230"/>
      <c r="D795" s="230"/>
      <c r="E795" s="230"/>
      <c r="F795" s="230"/>
      <c r="G795" s="230"/>
      <c r="H795" s="230"/>
      <c r="I795" s="230"/>
      <c r="J795" s="230"/>
      <c r="K795" s="230"/>
      <c r="L795" s="230"/>
      <c r="M795" s="230"/>
      <c r="N795" s="230"/>
      <c r="O795" s="230"/>
      <c r="P795" s="230"/>
      <c r="Q795" s="230"/>
      <c r="R795" s="230"/>
      <c r="S795" s="230"/>
      <c r="T795" s="230"/>
      <c r="U795" s="230"/>
      <c r="V795" s="230"/>
      <c r="W795" s="230"/>
      <c r="X795" s="230"/>
      <c r="Y795" s="230"/>
      <c r="Z795" s="230"/>
    </row>
    <row r="796">
      <c r="A796" s="230"/>
      <c r="B796" s="230"/>
      <c r="C796" s="230"/>
      <c r="D796" s="230"/>
      <c r="E796" s="230"/>
      <c r="F796" s="230"/>
      <c r="G796" s="230"/>
      <c r="H796" s="230"/>
      <c r="I796" s="230"/>
      <c r="J796" s="230"/>
      <c r="K796" s="230"/>
      <c r="L796" s="230"/>
      <c r="M796" s="230"/>
      <c r="N796" s="230"/>
      <c r="O796" s="230"/>
      <c r="P796" s="230"/>
      <c r="Q796" s="230"/>
      <c r="R796" s="230"/>
      <c r="S796" s="230"/>
      <c r="T796" s="230"/>
      <c r="U796" s="230"/>
      <c r="V796" s="230"/>
      <c r="W796" s="230"/>
      <c r="X796" s="230"/>
      <c r="Y796" s="230"/>
      <c r="Z796" s="230"/>
    </row>
    <row r="797">
      <c r="A797" s="230"/>
      <c r="B797" s="230"/>
      <c r="C797" s="230"/>
      <c r="D797" s="230"/>
      <c r="E797" s="230"/>
      <c r="F797" s="230"/>
      <c r="G797" s="230"/>
      <c r="H797" s="230"/>
      <c r="I797" s="230"/>
      <c r="J797" s="230"/>
      <c r="K797" s="230"/>
      <c r="L797" s="230"/>
      <c r="M797" s="230"/>
      <c r="N797" s="230"/>
      <c r="O797" s="230"/>
      <c r="P797" s="230"/>
      <c r="Q797" s="230"/>
      <c r="R797" s="230"/>
      <c r="S797" s="230"/>
      <c r="T797" s="230"/>
      <c r="U797" s="230"/>
      <c r="V797" s="230"/>
      <c r="W797" s="230"/>
      <c r="X797" s="230"/>
      <c r="Y797" s="230"/>
      <c r="Z797" s="230"/>
    </row>
    <row r="798">
      <c r="A798" s="230"/>
      <c r="B798" s="230"/>
      <c r="C798" s="230"/>
      <c r="D798" s="230"/>
      <c r="E798" s="230"/>
      <c r="F798" s="230"/>
      <c r="G798" s="230"/>
      <c r="H798" s="230"/>
      <c r="I798" s="230"/>
      <c r="J798" s="230"/>
      <c r="K798" s="230"/>
      <c r="L798" s="230"/>
      <c r="M798" s="230"/>
      <c r="N798" s="230"/>
      <c r="O798" s="230"/>
      <c r="P798" s="230"/>
      <c r="Q798" s="230"/>
      <c r="R798" s="230"/>
      <c r="S798" s="230"/>
      <c r="T798" s="230"/>
      <c r="U798" s="230"/>
      <c r="V798" s="230"/>
      <c r="W798" s="230"/>
      <c r="X798" s="230"/>
      <c r="Y798" s="230"/>
      <c r="Z798" s="230"/>
    </row>
    <row r="799">
      <c r="A799" s="230"/>
      <c r="B799" s="230"/>
      <c r="C799" s="230"/>
      <c r="D799" s="230"/>
      <c r="E799" s="230"/>
      <c r="F799" s="230"/>
      <c r="G799" s="230"/>
      <c r="H799" s="230"/>
      <c r="I799" s="230"/>
      <c r="J799" s="230"/>
      <c r="K799" s="230"/>
      <c r="L799" s="230"/>
      <c r="M799" s="230"/>
      <c r="N799" s="230"/>
      <c r="O799" s="230"/>
      <c r="P799" s="230"/>
      <c r="Q799" s="230"/>
      <c r="R799" s="230"/>
      <c r="S799" s="230"/>
      <c r="T799" s="230"/>
      <c r="U799" s="230"/>
      <c r="V799" s="230"/>
      <c r="W799" s="230"/>
      <c r="X799" s="230"/>
      <c r="Y799" s="230"/>
      <c r="Z799" s="230"/>
    </row>
    <row r="800">
      <c r="A800" s="230"/>
      <c r="B800" s="230"/>
      <c r="C800" s="230"/>
      <c r="D800" s="230"/>
      <c r="E800" s="230"/>
      <c r="F800" s="230"/>
      <c r="G800" s="230"/>
      <c r="H800" s="230"/>
      <c r="I800" s="230"/>
      <c r="J800" s="230"/>
      <c r="K800" s="230"/>
      <c r="L800" s="230"/>
      <c r="M800" s="230"/>
      <c r="N800" s="230"/>
      <c r="O800" s="230"/>
      <c r="P800" s="230"/>
      <c r="Q800" s="230"/>
      <c r="R800" s="230"/>
      <c r="S800" s="230"/>
      <c r="T800" s="230"/>
      <c r="U800" s="230"/>
      <c r="V800" s="230"/>
      <c r="W800" s="230"/>
      <c r="X800" s="230"/>
      <c r="Y800" s="230"/>
      <c r="Z800" s="230"/>
    </row>
    <row r="801">
      <c r="A801" s="230"/>
      <c r="B801" s="230"/>
      <c r="C801" s="230"/>
      <c r="D801" s="230"/>
      <c r="E801" s="230"/>
      <c r="F801" s="230"/>
      <c r="G801" s="230"/>
      <c r="H801" s="230"/>
      <c r="I801" s="230"/>
      <c r="J801" s="230"/>
      <c r="K801" s="230"/>
      <c r="L801" s="230"/>
      <c r="M801" s="230"/>
      <c r="N801" s="230"/>
      <c r="O801" s="230"/>
      <c r="P801" s="230"/>
      <c r="Q801" s="230"/>
      <c r="R801" s="230"/>
      <c r="S801" s="230"/>
      <c r="T801" s="230"/>
      <c r="U801" s="230"/>
      <c r="V801" s="230"/>
      <c r="W801" s="230"/>
      <c r="X801" s="230"/>
      <c r="Y801" s="230"/>
      <c r="Z801" s="230"/>
    </row>
    <row r="802">
      <c r="A802" s="230"/>
      <c r="B802" s="230"/>
      <c r="C802" s="230"/>
      <c r="D802" s="230"/>
      <c r="E802" s="230"/>
      <c r="F802" s="230"/>
      <c r="G802" s="230"/>
      <c r="H802" s="230"/>
      <c r="I802" s="230"/>
      <c r="J802" s="230"/>
      <c r="K802" s="230"/>
      <c r="L802" s="230"/>
      <c r="M802" s="230"/>
      <c r="N802" s="230"/>
      <c r="O802" s="230"/>
      <c r="P802" s="230"/>
      <c r="Q802" s="230"/>
      <c r="R802" s="230"/>
      <c r="S802" s="230"/>
      <c r="T802" s="230"/>
      <c r="U802" s="230"/>
      <c r="V802" s="230"/>
      <c r="W802" s="230"/>
      <c r="X802" s="230"/>
      <c r="Y802" s="230"/>
      <c r="Z802" s="230"/>
    </row>
    <row r="803">
      <c r="A803" s="230"/>
      <c r="B803" s="230"/>
      <c r="C803" s="230"/>
      <c r="D803" s="230"/>
      <c r="E803" s="230"/>
      <c r="F803" s="230"/>
      <c r="G803" s="230"/>
      <c r="H803" s="230"/>
      <c r="I803" s="230"/>
      <c r="J803" s="230"/>
      <c r="K803" s="230"/>
      <c r="L803" s="230"/>
      <c r="M803" s="230"/>
      <c r="N803" s="230"/>
      <c r="O803" s="230"/>
      <c r="P803" s="230"/>
      <c r="Q803" s="230"/>
      <c r="R803" s="230"/>
      <c r="S803" s="230"/>
      <c r="T803" s="230"/>
      <c r="U803" s="230"/>
      <c r="V803" s="230"/>
      <c r="W803" s="230"/>
      <c r="X803" s="230"/>
      <c r="Y803" s="230"/>
      <c r="Z803" s="230"/>
    </row>
    <row r="804">
      <c r="A804" s="230"/>
      <c r="B804" s="230"/>
      <c r="C804" s="230"/>
      <c r="D804" s="230"/>
      <c r="E804" s="230"/>
      <c r="F804" s="230"/>
      <c r="G804" s="230"/>
      <c r="H804" s="230"/>
      <c r="I804" s="230"/>
      <c r="J804" s="230"/>
      <c r="K804" s="230"/>
      <c r="L804" s="230"/>
      <c r="M804" s="230"/>
      <c r="N804" s="230"/>
      <c r="O804" s="230"/>
      <c r="P804" s="230"/>
      <c r="Q804" s="230"/>
      <c r="R804" s="230"/>
      <c r="S804" s="230"/>
      <c r="T804" s="230"/>
      <c r="U804" s="230"/>
      <c r="V804" s="230"/>
      <c r="W804" s="230"/>
      <c r="X804" s="230"/>
      <c r="Y804" s="230"/>
      <c r="Z804" s="230"/>
    </row>
    <row r="805">
      <c r="A805" s="230"/>
      <c r="B805" s="230"/>
      <c r="C805" s="230"/>
      <c r="D805" s="230"/>
      <c r="E805" s="230"/>
      <c r="F805" s="230"/>
      <c r="G805" s="230"/>
      <c r="H805" s="230"/>
      <c r="I805" s="230"/>
      <c r="J805" s="230"/>
      <c r="K805" s="230"/>
      <c r="L805" s="230"/>
      <c r="M805" s="230"/>
      <c r="N805" s="230"/>
      <c r="O805" s="230"/>
      <c r="P805" s="230"/>
      <c r="Q805" s="230"/>
      <c r="R805" s="230"/>
      <c r="S805" s="230"/>
      <c r="T805" s="230"/>
      <c r="U805" s="230"/>
      <c r="V805" s="230"/>
      <c r="W805" s="230"/>
      <c r="X805" s="230"/>
      <c r="Y805" s="230"/>
      <c r="Z805" s="230"/>
    </row>
    <row r="806">
      <c r="A806" s="230"/>
      <c r="B806" s="230"/>
      <c r="C806" s="230"/>
      <c r="D806" s="230"/>
      <c r="E806" s="230"/>
      <c r="F806" s="230"/>
      <c r="G806" s="230"/>
      <c r="H806" s="230"/>
      <c r="I806" s="230"/>
      <c r="J806" s="230"/>
      <c r="K806" s="230"/>
      <c r="L806" s="230"/>
      <c r="M806" s="230"/>
      <c r="N806" s="230"/>
      <c r="O806" s="230"/>
      <c r="P806" s="230"/>
      <c r="Q806" s="230"/>
      <c r="R806" s="230"/>
      <c r="S806" s="230"/>
      <c r="T806" s="230"/>
      <c r="U806" s="230"/>
      <c r="V806" s="230"/>
      <c r="W806" s="230"/>
      <c r="X806" s="230"/>
      <c r="Y806" s="230"/>
      <c r="Z806" s="230"/>
    </row>
    <row r="807">
      <c r="A807" s="230"/>
      <c r="B807" s="230"/>
      <c r="C807" s="230"/>
      <c r="D807" s="230"/>
      <c r="E807" s="230"/>
      <c r="F807" s="230"/>
      <c r="G807" s="230"/>
      <c r="H807" s="230"/>
      <c r="I807" s="230"/>
      <c r="J807" s="230"/>
      <c r="K807" s="230"/>
      <c r="L807" s="230"/>
      <c r="M807" s="230"/>
      <c r="N807" s="230"/>
      <c r="O807" s="230"/>
      <c r="P807" s="230"/>
      <c r="Q807" s="230"/>
      <c r="R807" s="230"/>
      <c r="S807" s="230"/>
      <c r="T807" s="230"/>
      <c r="U807" s="230"/>
      <c r="V807" s="230"/>
      <c r="W807" s="230"/>
      <c r="X807" s="230"/>
      <c r="Y807" s="230"/>
      <c r="Z807" s="230"/>
    </row>
    <row r="808">
      <c r="A808" s="230"/>
      <c r="B808" s="230"/>
      <c r="C808" s="230"/>
      <c r="D808" s="230"/>
      <c r="E808" s="230"/>
      <c r="F808" s="230"/>
      <c r="G808" s="230"/>
      <c r="H808" s="230"/>
      <c r="I808" s="230"/>
      <c r="J808" s="230"/>
      <c r="K808" s="230"/>
      <c r="L808" s="230"/>
      <c r="M808" s="230"/>
      <c r="N808" s="230"/>
      <c r="O808" s="230"/>
      <c r="P808" s="230"/>
      <c r="Q808" s="230"/>
      <c r="R808" s="230"/>
      <c r="S808" s="230"/>
      <c r="T808" s="230"/>
      <c r="U808" s="230"/>
      <c r="V808" s="230"/>
      <c r="W808" s="230"/>
      <c r="X808" s="230"/>
      <c r="Y808" s="230"/>
      <c r="Z808" s="230"/>
    </row>
    <row r="809">
      <c r="A809" s="230"/>
      <c r="B809" s="230"/>
      <c r="C809" s="230"/>
      <c r="D809" s="230"/>
      <c r="E809" s="230"/>
      <c r="F809" s="230"/>
      <c r="G809" s="230"/>
      <c r="H809" s="230"/>
      <c r="I809" s="230"/>
      <c r="J809" s="230"/>
      <c r="K809" s="230"/>
      <c r="L809" s="230"/>
      <c r="M809" s="230"/>
      <c r="N809" s="230"/>
      <c r="O809" s="230"/>
      <c r="P809" s="230"/>
      <c r="Q809" s="230"/>
      <c r="R809" s="230"/>
      <c r="S809" s="230"/>
      <c r="T809" s="230"/>
      <c r="U809" s="230"/>
      <c r="V809" s="230"/>
      <c r="W809" s="230"/>
      <c r="X809" s="230"/>
      <c r="Y809" s="230"/>
      <c r="Z809" s="230"/>
    </row>
    <row r="810">
      <c r="A810" s="230"/>
      <c r="B810" s="230"/>
      <c r="C810" s="230"/>
      <c r="D810" s="230"/>
      <c r="E810" s="230"/>
      <c r="F810" s="230"/>
      <c r="G810" s="230"/>
      <c r="H810" s="230"/>
      <c r="I810" s="230"/>
      <c r="J810" s="230"/>
      <c r="K810" s="230"/>
      <c r="L810" s="230"/>
      <c r="M810" s="230"/>
      <c r="N810" s="230"/>
      <c r="O810" s="230"/>
      <c r="P810" s="230"/>
      <c r="Q810" s="230"/>
      <c r="R810" s="230"/>
      <c r="S810" s="230"/>
      <c r="T810" s="230"/>
      <c r="U810" s="230"/>
      <c r="V810" s="230"/>
      <c r="W810" s="230"/>
      <c r="X810" s="230"/>
      <c r="Y810" s="230"/>
      <c r="Z810" s="230"/>
    </row>
    <row r="811">
      <c r="A811" s="230"/>
      <c r="B811" s="230"/>
      <c r="C811" s="230"/>
      <c r="D811" s="230"/>
      <c r="E811" s="230"/>
      <c r="F811" s="230"/>
      <c r="G811" s="230"/>
      <c r="H811" s="230"/>
      <c r="I811" s="230"/>
      <c r="J811" s="230"/>
      <c r="K811" s="230"/>
      <c r="L811" s="230"/>
      <c r="M811" s="230"/>
      <c r="N811" s="230"/>
      <c r="O811" s="230"/>
      <c r="P811" s="230"/>
      <c r="Q811" s="230"/>
      <c r="R811" s="230"/>
      <c r="S811" s="230"/>
      <c r="T811" s="230"/>
      <c r="U811" s="230"/>
      <c r="V811" s="230"/>
      <c r="W811" s="230"/>
      <c r="X811" s="230"/>
      <c r="Y811" s="230"/>
      <c r="Z811" s="230"/>
    </row>
    <row r="812">
      <c r="A812" s="230"/>
      <c r="B812" s="230"/>
      <c r="C812" s="230"/>
      <c r="D812" s="230"/>
      <c r="E812" s="230"/>
      <c r="F812" s="230"/>
      <c r="G812" s="230"/>
      <c r="H812" s="230"/>
      <c r="I812" s="230"/>
      <c r="J812" s="230"/>
      <c r="K812" s="230"/>
      <c r="L812" s="230"/>
      <c r="M812" s="230"/>
      <c r="N812" s="230"/>
      <c r="O812" s="230"/>
      <c r="P812" s="230"/>
      <c r="Q812" s="230"/>
      <c r="R812" s="230"/>
      <c r="S812" s="230"/>
      <c r="T812" s="230"/>
      <c r="U812" s="230"/>
      <c r="V812" s="230"/>
      <c r="W812" s="230"/>
      <c r="X812" s="230"/>
      <c r="Y812" s="230"/>
      <c r="Z812" s="230"/>
    </row>
    <row r="813">
      <c r="A813" s="230"/>
      <c r="B813" s="230"/>
      <c r="C813" s="230"/>
      <c r="D813" s="230"/>
      <c r="E813" s="230"/>
      <c r="F813" s="230"/>
      <c r="G813" s="230"/>
      <c r="H813" s="230"/>
      <c r="I813" s="230"/>
      <c r="J813" s="230"/>
      <c r="K813" s="230"/>
      <c r="L813" s="230"/>
      <c r="M813" s="230"/>
      <c r="N813" s="230"/>
      <c r="O813" s="230"/>
      <c r="P813" s="230"/>
      <c r="Q813" s="230"/>
      <c r="R813" s="230"/>
      <c r="S813" s="230"/>
      <c r="T813" s="230"/>
      <c r="U813" s="230"/>
      <c r="V813" s="230"/>
      <c r="W813" s="230"/>
      <c r="X813" s="230"/>
      <c r="Y813" s="230"/>
      <c r="Z813" s="230"/>
    </row>
    <row r="814">
      <c r="A814" s="230"/>
      <c r="B814" s="230"/>
      <c r="C814" s="230"/>
      <c r="D814" s="230"/>
      <c r="E814" s="230"/>
      <c r="F814" s="230"/>
      <c r="G814" s="230"/>
      <c r="H814" s="230"/>
      <c r="I814" s="230"/>
      <c r="J814" s="230"/>
      <c r="K814" s="230"/>
      <c r="L814" s="230"/>
      <c r="M814" s="230"/>
      <c r="N814" s="230"/>
      <c r="O814" s="230"/>
      <c r="P814" s="230"/>
      <c r="Q814" s="230"/>
      <c r="R814" s="230"/>
      <c r="S814" s="230"/>
      <c r="T814" s="230"/>
      <c r="U814" s="230"/>
      <c r="V814" s="230"/>
      <c r="W814" s="230"/>
      <c r="X814" s="230"/>
      <c r="Y814" s="230"/>
      <c r="Z814" s="230"/>
    </row>
    <row r="815">
      <c r="A815" s="230"/>
      <c r="B815" s="230"/>
      <c r="C815" s="230"/>
      <c r="D815" s="230"/>
      <c r="E815" s="230"/>
      <c r="F815" s="230"/>
      <c r="G815" s="230"/>
      <c r="H815" s="230"/>
      <c r="I815" s="230"/>
      <c r="J815" s="230"/>
      <c r="K815" s="230"/>
      <c r="L815" s="230"/>
      <c r="M815" s="230"/>
      <c r="N815" s="230"/>
      <c r="O815" s="230"/>
      <c r="P815" s="230"/>
      <c r="Q815" s="230"/>
      <c r="R815" s="230"/>
      <c r="S815" s="230"/>
      <c r="T815" s="230"/>
      <c r="U815" s="230"/>
      <c r="V815" s="230"/>
      <c r="W815" s="230"/>
      <c r="X815" s="230"/>
      <c r="Y815" s="230"/>
      <c r="Z815" s="230"/>
    </row>
    <row r="816">
      <c r="A816" s="230"/>
      <c r="B816" s="230"/>
      <c r="C816" s="230"/>
      <c r="D816" s="230"/>
      <c r="E816" s="230"/>
      <c r="F816" s="230"/>
      <c r="G816" s="230"/>
      <c r="H816" s="230"/>
      <c r="I816" s="230"/>
      <c r="J816" s="230"/>
      <c r="K816" s="230"/>
      <c r="L816" s="230"/>
      <c r="M816" s="230"/>
      <c r="N816" s="230"/>
      <c r="O816" s="230"/>
      <c r="P816" s="230"/>
      <c r="Q816" s="230"/>
      <c r="R816" s="230"/>
      <c r="S816" s="230"/>
      <c r="T816" s="230"/>
      <c r="U816" s="230"/>
      <c r="V816" s="230"/>
      <c r="W816" s="230"/>
      <c r="X816" s="230"/>
      <c r="Y816" s="230"/>
      <c r="Z816" s="230"/>
    </row>
    <row r="817">
      <c r="A817" s="230"/>
      <c r="B817" s="230"/>
      <c r="C817" s="230"/>
      <c r="D817" s="230"/>
      <c r="E817" s="230"/>
      <c r="F817" s="230"/>
      <c r="G817" s="230"/>
      <c r="H817" s="230"/>
      <c r="I817" s="230"/>
      <c r="J817" s="230"/>
      <c r="K817" s="230"/>
      <c r="L817" s="230"/>
      <c r="M817" s="230"/>
      <c r="N817" s="230"/>
      <c r="O817" s="230"/>
      <c r="P817" s="230"/>
      <c r="Q817" s="230"/>
      <c r="R817" s="230"/>
      <c r="S817" s="230"/>
      <c r="T817" s="230"/>
      <c r="U817" s="230"/>
      <c r="V817" s="230"/>
      <c r="W817" s="230"/>
      <c r="X817" s="230"/>
      <c r="Y817" s="230"/>
      <c r="Z817" s="230"/>
    </row>
    <row r="818">
      <c r="A818" s="230"/>
      <c r="B818" s="230"/>
      <c r="C818" s="230"/>
      <c r="D818" s="230"/>
      <c r="E818" s="230"/>
      <c r="F818" s="230"/>
      <c r="G818" s="230"/>
      <c r="H818" s="230"/>
      <c r="I818" s="230"/>
      <c r="J818" s="230"/>
      <c r="K818" s="230"/>
      <c r="L818" s="230"/>
      <c r="M818" s="230"/>
      <c r="N818" s="230"/>
      <c r="O818" s="230"/>
      <c r="P818" s="230"/>
      <c r="Q818" s="230"/>
      <c r="R818" s="230"/>
      <c r="S818" s="230"/>
      <c r="T818" s="230"/>
      <c r="U818" s="230"/>
      <c r="V818" s="230"/>
      <c r="W818" s="230"/>
      <c r="X818" s="230"/>
      <c r="Y818" s="230"/>
      <c r="Z818" s="230"/>
    </row>
    <row r="819">
      <c r="A819" s="230"/>
      <c r="B819" s="230"/>
      <c r="C819" s="230"/>
      <c r="D819" s="230"/>
      <c r="E819" s="230"/>
      <c r="F819" s="230"/>
      <c r="G819" s="230"/>
      <c r="H819" s="230"/>
      <c r="I819" s="230"/>
      <c r="J819" s="230"/>
      <c r="K819" s="230"/>
      <c r="L819" s="230"/>
      <c r="M819" s="230"/>
      <c r="N819" s="230"/>
      <c r="O819" s="230"/>
      <c r="P819" s="230"/>
      <c r="Q819" s="230"/>
      <c r="R819" s="230"/>
      <c r="S819" s="230"/>
      <c r="T819" s="230"/>
      <c r="U819" s="230"/>
      <c r="V819" s="230"/>
      <c r="W819" s="230"/>
      <c r="X819" s="230"/>
      <c r="Y819" s="230"/>
      <c r="Z819" s="230"/>
    </row>
    <row r="820">
      <c r="A820" s="230"/>
      <c r="B820" s="230"/>
      <c r="C820" s="230"/>
      <c r="D820" s="230"/>
      <c r="E820" s="230"/>
      <c r="F820" s="230"/>
      <c r="G820" s="230"/>
      <c r="H820" s="230"/>
      <c r="I820" s="230"/>
      <c r="J820" s="230"/>
      <c r="K820" s="230"/>
      <c r="L820" s="230"/>
      <c r="M820" s="230"/>
      <c r="N820" s="230"/>
      <c r="O820" s="230"/>
      <c r="P820" s="230"/>
      <c r="Q820" s="230"/>
      <c r="R820" s="230"/>
      <c r="S820" s="230"/>
      <c r="T820" s="230"/>
      <c r="U820" s="230"/>
      <c r="V820" s="230"/>
      <c r="W820" s="230"/>
      <c r="X820" s="230"/>
      <c r="Y820" s="230"/>
      <c r="Z820" s="230"/>
    </row>
    <row r="821">
      <c r="A821" s="230"/>
      <c r="B821" s="230"/>
      <c r="C821" s="230"/>
      <c r="D821" s="230"/>
      <c r="E821" s="230"/>
      <c r="F821" s="230"/>
      <c r="G821" s="230"/>
      <c r="H821" s="230"/>
      <c r="I821" s="230"/>
      <c r="J821" s="230"/>
      <c r="K821" s="230"/>
      <c r="L821" s="230"/>
      <c r="M821" s="230"/>
      <c r="N821" s="230"/>
      <c r="O821" s="230"/>
      <c r="P821" s="230"/>
      <c r="Q821" s="230"/>
      <c r="R821" s="230"/>
      <c r="S821" s="230"/>
      <c r="T821" s="230"/>
      <c r="U821" s="230"/>
      <c r="V821" s="230"/>
      <c r="W821" s="230"/>
      <c r="X821" s="230"/>
      <c r="Y821" s="230"/>
      <c r="Z821" s="230"/>
    </row>
    <row r="822">
      <c r="A822" s="230"/>
      <c r="B822" s="230"/>
      <c r="C822" s="230"/>
      <c r="D822" s="230"/>
      <c r="E822" s="230"/>
      <c r="F822" s="230"/>
      <c r="G822" s="230"/>
      <c r="H822" s="230"/>
      <c r="I822" s="230"/>
      <c r="J822" s="230"/>
      <c r="K822" s="230"/>
      <c r="L822" s="230"/>
      <c r="M822" s="230"/>
      <c r="N822" s="230"/>
      <c r="O822" s="230"/>
      <c r="P822" s="230"/>
      <c r="Q822" s="230"/>
      <c r="R822" s="230"/>
      <c r="S822" s="230"/>
      <c r="T822" s="230"/>
      <c r="U822" s="230"/>
      <c r="V822" s="230"/>
      <c r="W822" s="230"/>
      <c r="X822" s="230"/>
      <c r="Y822" s="230"/>
      <c r="Z822" s="230"/>
    </row>
    <row r="823">
      <c r="A823" s="230"/>
      <c r="B823" s="230"/>
      <c r="C823" s="230"/>
      <c r="D823" s="230"/>
      <c r="E823" s="230"/>
      <c r="F823" s="230"/>
      <c r="G823" s="230"/>
      <c r="H823" s="230"/>
      <c r="I823" s="230"/>
      <c r="J823" s="230"/>
      <c r="K823" s="230"/>
      <c r="L823" s="230"/>
      <c r="M823" s="230"/>
      <c r="N823" s="230"/>
      <c r="O823" s="230"/>
      <c r="P823" s="230"/>
      <c r="Q823" s="230"/>
      <c r="R823" s="230"/>
      <c r="S823" s="230"/>
      <c r="T823" s="230"/>
      <c r="U823" s="230"/>
      <c r="V823" s="230"/>
      <c r="W823" s="230"/>
      <c r="X823" s="230"/>
      <c r="Y823" s="230"/>
      <c r="Z823" s="230"/>
    </row>
    <row r="824">
      <c r="A824" s="230"/>
      <c r="B824" s="230"/>
      <c r="C824" s="230"/>
      <c r="D824" s="230"/>
      <c r="E824" s="230"/>
      <c r="F824" s="230"/>
      <c r="G824" s="230"/>
      <c r="H824" s="230"/>
      <c r="I824" s="230"/>
      <c r="J824" s="230"/>
      <c r="K824" s="230"/>
      <c r="L824" s="230"/>
      <c r="M824" s="230"/>
      <c r="N824" s="230"/>
      <c r="O824" s="230"/>
      <c r="P824" s="230"/>
      <c r="Q824" s="230"/>
      <c r="R824" s="230"/>
      <c r="S824" s="230"/>
      <c r="T824" s="230"/>
      <c r="U824" s="230"/>
      <c r="V824" s="230"/>
      <c r="W824" s="230"/>
      <c r="X824" s="230"/>
      <c r="Y824" s="230"/>
      <c r="Z824" s="230"/>
    </row>
    <row r="825">
      <c r="A825" s="230"/>
      <c r="B825" s="230"/>
      <c r="C825" s="230"/>
      <c r="D825" s="230"/>
      <c r="E825" s="230"/>
      <c r="F825" s="230"/>
      <c r="G825" s="230"/>
      <c r="H825" s="230"/>
      <c r="I825" s="230"/>
      <c r="J825" s="230"/>
      <c r="K825" s="230"/>
      <c r="L825" s="230"/>
      <c r="M825" s="230"/>
      <c r="N825" s="230"/>
      <c r="O825" s="230"/>
      <c r="P825" s="230"/>
      <c r="Q825" s="230"/>
      <c r="R825" s="230"/>
      <c r="S825" s="230"/>
      <c r="T825" s="230"/>
      <c r="U825" s="230"/>
      <c r="V825" s="230"/>
      <c r="W825" s="230"/>
      <c r="X825" s="230"/>
      <c r="Y825" s="230"/>
      <c r="Z825" s="230"/>
    </row>
    <row r="826">
      <c r="A826" s="230"/>
      <c r="B826" s="230"/>
      <c r="C826" s="230"/>
      <c r="D826" s="230"/>
      <c r="E826" s="230"/>
      <c r="F826" s="230"/>
      <c r="G826" s="230"/>
      <c r="H826" s="230"/>
      <c r="I826" s="230"/>
      <c r="J826" s="230"/>
      <c r="K826" s="230"/>
      <c r="L826" s="230"/>
      <c r="M826" s="230"/>
      <c r="N826" s="230"/>
      <c r="O826" s="230"/>
      <c r="P826" s="230"/>
      <c r="Q826" s="230"/>
      <c r="R826" s="230"/>
      <c r="S826" s="230"/>
      <c r="T826" s="230"/>
      <c r="U826" s="230"/>
      <c r="V826" s="230"/>
      <c r="W826" s="230"/>
      <c r="X826" s="230"/>
      <c r="Y826" s="230"/>
      <c r="Z826" s="230"/>
    </row>
    <row r="827">
      <c r="A827" s="230"/>
      <c r="B827" s="230"/>
      <c r="C827" s="230"/>
      <c r="D827" s="230"/>
      <c r="E827" s="230"/>
      <c r="F827" s="230"/>
      <c r="G827" s="230"/>
      <c r="H827" s="230"/>
      <c r="I827" s="230"/>
      <c r="J827" s="230"/>
      <c r="K827" s="230"/>
      <c r="L827" s="230"/>
      <c r="M827" s="230"/>
      <c r="N827" s="230"/>
      <c r="O827" s="230"/>
      <c r="P827" s="230"/>
      <c r="Q827" s="230"/>
      <c r="R827" s="230"/>
      <c r="S827" s="230"/>
      <c r="T827" s="230"/>
      <c r="U827" s="230"/>
      <c r="V827" s="230"/>
      <c r="W827" s="230"/>
      <c r="X827" s="230"/>
      <c r="Y827" s="230"/>
      <c r="Z827" s="230"/>
    </row>
    <row r="828">
      <c r="A828" s="230"/>
      <c r="B828" s="230"/>
      <c r="C828" s="230"/>
      <c r="D828" s="230"/>
      <c r="E828" s="230"/>
      <c r="F828" s="230"/>
      <c r="G828" s="230"/>
      <c r="H828" s="230"/>
      <c r="I828" s="230"/>
      <c r="J828" s="230"/>
      <c r="K828" s="230"/>
      <c r="L828" s="230"/>
      <c r="M828" s="230"/>
      <c r="N828" s="230"/>
      <c r="O828" s="230"/>
      <c r="P828" s="230"/>
      <c r="Q828" s="230"/>
      <c r="R828" s="230"/>
      <c r="S828" s="230"/>
      <c r="T828" s="230"/>
      <c r="U828" s="230"/>
      <c r="V828" s="230"/>
      <c r="W828" s="230"/>
      <c r="X828" s="230"/>
      <c r="Y828" s="230"/>
      <c r="Z828" s="230"/>
    </row>
    <row r="829">
      <c r="A829" s="230"/>
      <c r="B829" s="230"/>
      <c r="C829" s="230"/>
      <c r="D829" s="230"/>
      <c r="E829" s="230"/>
      <c r="F829" s="230"/>
      <c r="G829" s="230"/>
      <c r="H829" s="230"/>
      <c r="I829" s="230"/>
      <c r="J829" s="230"/>
      <c r="K829" s="230"/>
      <c r="L829" s="230"/>
      <c r="M829" s="230"/>
      <c r="N829" s="230"/>
      <c r="O829" s="230"/>
      <c r="P829" s="230"/>
      <c r="Q829" s="230"/>
      <c r="R829" s="230"/>
      <c r="S829" s="230"/>
      <c r="T829" s="230"/>
      <c r="U829" s="230"/>
      <c r="V829" s="230"/>
      <c r="W829" s="230"/>
      <c r="X829" s="230"/>
      <c r="Y829" s="230"/>
      <c r="Z829" s="230"/>
    </row>
    <row r="830">
      <c r="A830" s="230"/>
      <c r="B830" s="230"/>
      <c r="C830" s="230"/>
      <c r="D830" s="230"/>
      <c r="E830" s="230"/>
      <c r="F830" s="230"/>
      <c r="G830" s="230"/>
      <c r="H830" s="230"/>
      <c r="I830" s="230"/>
      <c r="J830" s="230"/>
      <c r="K830" s="230"/>
      <c r="L830" s="230"/>
      <c r="M830" s="230"/>
      <c r="N830" s="230"/>
      <c r="O830" s="230"/>
      <c r="P830" s="230"/>
      <c r="Q830" s="230"/>
      <c r="R830" s="230"/>
      <c r="S830" s="230"/>
      <c r="T830" s="230"/>
      <c r="U830" s="230"/>
      <c r="V830" s="230"/>
      <c r="W830" s="230"/>
      <c r="X830" s="230"/>
      <c r="Y830" s="230"/>
      <c r="Z830" s="230"/>
    </row>
    <row r="831">
      <c r="A831" s="230"/>
      <c r="B831" s="230"/>
      <c r="C831" s="230"/>
      <c r="D831" s="230"/>
      <c r="E831" s="230"/>
      <c r="F831" s="230"/>
      <c r="G831" s="230"/>
      <c r="H831" s="230"/>
      <c r="I831" s="230"/>
      <c r="J831" s="230"/>
      <c r="K831" s="230"/>
      <c r="L831" s="230"/>
      <c r="M831" s="230"/>
      <c r="N831" s="230"/>
      <c r="O831" s="230"/>
      <c r="P831" s="230"/>
      <c r="Q831" s="230"/>
      <c r="R831" s="230"/>
      <c r="S831" s="230"/>
      <c r="T831" s="230"/>
      <c r="U831" s="230"/>
      <c r="V831" s="230"/>
      <c r="W831" s="230"/>
      <c r="X831" s="230"/>
      <c r="Y831" s="230"/>
      <c r="Z831" s="230"/>
    </row>
    <row r="832">
      <c r="A832" s="230"/>
      <c r="B832" s="230"/>
      <c r="C832" s="230"/>
      <c r="D832" s="230"/>
      <c r="E832" s="230"/>
      <c r="F832" s="230"/>
      <c r="G832" s="230"/>
      <c r="H832" s="230"/>
      <c r="I832" s="230"/>
      <c r="J832" s="230"/>
      <c r="K832" s="230"/>
      <c r="L832" s="230"/>
      <c r="M832" s="230"/>
      <c r="N832" s="230"/>
      <c r="O832" s="230"/>
      <c r="P832" s="230"/>
      <c r="Q832" s="230"/>
      <c r="R832" s="230"/>
      <c r="S832" s="230"/>
      <c r="T832" s="230"/>
      <c r="U832" s="230"/>
      <c r="V832" s="230"/>
      <c r="W832" s="230"/>
      <c r="X832" s="230"/>
      <c r="Y832" s="230"/>
      <c r="Z832" s="230"/>
    </row>
    <row r="833">
      <c r="A833" s="230"/>
      <c r="B833" s="230"/>
      <c r="C833" s="230"/>
      <c r="D833" s="230"/>
      <c r="E833" s="230"/>
      <c r="F833" s="230"/>
      <c r="G833" s="230"/>
      <c r="H833" s="230"/>
      <c r="I833" s="230"/>
      <c r="J833" s="230"/>
      <c r="K833" s="230"/>
      <c r="L833" s="230"/>
      <c r="M833" s="230"/>
      <c r="N833" s="230"/>
      <c r="O833" s="230"/>
      <c r="P833" s="230"/>
      <c r="Q833" s="230"/>
      <c r="R833" s="230"/>
      <c r="S833" s="230"/>
      <c r="T833" s="230"/>
      <c r="U833" s="230"/>
      <c r="V833" s="230"/>
      <c r="W833" s="230"/>
      <c r="X833" s="230"/>
      <c r="Y833" s="230"/>
      <c r="Z833" s="230"/>
    </row>
    <row r="834">
      <c r="A834" s="230"/>
      <c r="B834" s="230"/>
      <c r="C834" s="230"/>
      <c r="D834" s="230"/>
      <c r="E834" s="230"/>
      <c r="F834" s="230"/>
      <c r="G834" s="230"/>
      <c r="H834" s="230"/>
      <c r="I834" s="230"/>
      <c r="J834" s="230"/>
      <c r="K834" s="230"/>
      <c r="L834" s="230"/>
      <c r="M834" s="230"/>
      <c r="N834" s="230"/>
      <c r="O834" s="230"/>
      <c r="P834" s="230"/>
      <c r="Q834" s="230"/>
      <c r="R834" s="230"/>
      <c r="S834" s="230"/>
      <c r="T834" s="230"/>
      <c r="U834" s="230"/>
      <c r="V834" s="230"/>
      <c r="W834" s="230"/>
      <c r="X834" s="230"/>
      <c r="Y834" s="230"/>
      <c r="Z834" s="230"/>
    </row>
    <row r="835">
      <c r="A835" s="230"/>
      <c r="B835" s="230"/>
      <c r="C835" s="230"/>
      <c r="D835" s="230"/>
      <c r="E835" s="230"/>
      <c r="F835" s="230"/>
      <c r="G835" s="230"/>
      <c r="H835" s="230"/>
      <c r="I835" s="230"/>
      <c r="J835" s="230"/>
      <c r="K835" s="230"/>
      <c r="L835" s="230"/>
      <c r="M835" s="230"/>
      <c r="N835" s="230"/>
      <c r="O835" s="230"/>
      <c r="P835" s="230"/>
      <c r="Q835" s="230"/>
      <c r="R835" s="230"/>
      <c r="S835" s="230"/>
      <c r="T835" s="230"/>
      <c r="U835" s="230"/>
      <c r="V835" s="230"/>
      <c r="W835" s="230"/>
      <c r="X835" s="230"/>
      <c r="Y835" s="230"/>
      <c r="Z835" s="230"/>
    </row>
    <row r="836">
      <c r="A836" s="230"/>
      <c r="B836" s="230"/>
      <c r="C836" s="230"/>
      <c r="D836" s="230"/>
      <c r="E836" s="230"/>
      <c r="F836" s="230"/>
      <c r="G836" s="230"/>
      <c r="H836" s="230"/>
      <c r="I836" s="230"/>
      <c r="J836" s="230"/>
      <c r="K836" s="230"/>
      <c r="L836" s="230"/>
      <c r="M836" s="230"/>
      <c r="N836" s="230"/>
      <c r="O836" s="230"/>
      <c r="P836" s="230"/>
      <c r="Q836" s="230"/>
      <c r="R836" s="230"/>
      <c r="S836" s="230"/>
      <c r="T836" s="230"/>
      <c r="U836" s="230"/>
      <c r="V836" s="230"/>
      <c r="W836" s="230"/>
      <c r="X836" s="230"/>
      <c r="Y836" s="230"/>
      <c r="Z836" s="230"/>
    </row>
    <row r="837">
      <c r="A837" s="230"/>
      <c r="B837" s="230"/>
      <c r="C837" s="230"/>
      <c r="D837" s="230"/>
      <c r="E837" s="230"/>
      <c r="F837" s="230"/>
      <c r="G837" s="230"/>
      <c r="H837" s="230"/>
      <c r="I837" s="230"/>
      <c r="J837" s="230"/>
      <c r="K837" s="230"/>
      <c r="L837" s="230"/>
      <c r="M837" s="230"/>
      <c r="N837" s="230"/>
      <c r="O837" s="230"/>
      <c r="P837" s="230"/>
      <c r="Q837" s="230"/>
      <c r="R837" s="230"/>
      <c r="S837" s="230"/>
      <c r="T837" s="230"/>
      <c r="U837" s="230"/>
      <c r="V837" s="230"/>
      <c r="W837" s="230"/>
      <c r="X837" s="230"/>
      <c r="Y837" s="230"/>
      <c r="Z837" s="230"/>
    </row>
    <row r="838">
      <c r="A838" s="230"/>
      <c r="B838" s="230"/>
      <c r="C838" s="230"/>
      <c r="D838" s="230"/>
      <c r="E838" s="230"/>
      <c r="F838" s="230"/>
      <c r="G838" s="230"/>
      <c r="H838" s="230"/>
      <c r="I838" s="230"/>
      <c r="J838" s="230"/>
      <c r="K838" s="230"/>
      <c r="L838" s="230"/>
      <c r="M838" s="230"/>
      <c r="N838" s="230"/>
      <c r="O838" s="230"/>
      <c r="P838" s="230"/>
      <c r="Q838" s="230"/>
      <c r="R838" s="230"/>
      <c r="S838" s="230"/>
      <c r="T838" s="230"/>
      <c r="U838" s="230"/>
      <c r="V838" s="230"/>
      <c r="W838" s="230"/>
      <c r="X838" s="230"/>
      <c r="Y838" s="230"/>
      <c r="Z838" s="230"/>
    </row>
    <row r="839">
      <c r="A839" s="230"/>
      <c r="B839" s="230"/>
      <c r="C839" s="230"/>
      <c r="D839" s="230"/>
      <c r="E839" s="230"/>
      <c r="F839" s="230"/>
      <c r="G839" s="230"/>
      <c r="H839" s="230"/>
      <c r="I839" s="230"/>
      <c r="J839" s="230"/>
      <c r="K839" s="230"/>
      <c r="L839" s="230"/>
      <c r="M839" s="230"/>
      <c r="N839" s="230"/>
      <c r="O839" s="230"/>
      <c r="P839" s="230"/>
      <c r="Q839" s="230"/>
      <c r="R839" s="230"/>
      <c r="S839" s="230"/>
      <c r="T839" s="230"/>
      <c r="U839" s="230"/>
      <c r="V839" s="230"/>
      <c r="W839" s="230"/>
      <c r="X839" s="230"/>
      <c r="Y839" s="230"/>
      <c r="Z839" s="230"/>
    </row>
    <row r="840">
      <c r="A840" s="230"/>
      <c r="B840" s="230"/>
      <c r="C840" s="230"/>
      <c r="D840" s="230"/>
      <c r="E840" s="230"/>
      <c r="F840" s="230"/>
      <c r="G840" s="230"/>
      <c r="H840" s="230"/>
      <c r="I840" s="230"/>
      <c r="J840" s="230"/>
      <c r="K840" s="230"/>
      <c r="L840" s="230"/>
      <c r="M840" s="230"/>
      <c r="N840" s="230"/>
      <c r="O840" s="230"/>
      <c r="P840" s="230"/>
      <c r="Q840" s="230"/>
      <c r="R840" s="230"/>
      <c r="S840" s="230"/>
      <c r="T840" s="230"/>
      <c r="U840" s="230"/>
      <c r="V840" s="230"/>
      <c r="W840" s="230"/>
      <c r="X840" s="230"/>
      <c r="Y840" s="230"/>
      <c r="Z840" s="230"/>
    </row>
    <row r="841">
      <c r="A841" s="230"/>
      <c r="B841" s="230"/>
      <c r="C841" s="230"/>
      <c r="D841" s="230"/>
      <c r="E841" s="230"/>
      <c r="F841" s="230"/>
      <c r="G841" s="230"/>
      <c r="H841" s="230"/>
      <c r="I841" s="230"/>
      <c r="J841" s="230"/>
      <c r="K841" s="230"/>
      <c r="L841" s="230"/>
      <c r="M841" s="230"/>
      <c r="N841" s="230"/>
      <c r="O841" s="230"/>
      <c r="P841" s="230"/>
      <c r="Q841" s="230"/>
      <c r="R841" s="230"/>
      <c r="S841" s="230"/>
      <c r="T841" s="230"/>
      <c r="U841" s="230"/>
      <c r="V841" s="230"/>
      <c r="W841" s="230"/>
      <c r="X841" s="230"/>
      <c r="Y841" s="230"/>
      <c r="Z841" s="230"/>
    </row>
    <row r="842">
      <c r="A842" s="230"/>
      <c r="B842" s="230"/>
      <c r="C842" s="230"/>
      <c r="D842" s="230"/>
      <c r="E842" s="230"/>
      <c r="F842" s="230"/>
      <c r="G842" s="230"/>
      <c r="H842" s="230"/>
      <c r="I842" s="230"/>
      <c r="J842" s="230"/>
      <c r="K842" s="230"/>
      <c r="L842" s="230"/>
      <c r="M842" s="230"/>
      <c r="N842" s="230"/>
      <c r="O842" s="230"/>
      <c r="P842" s="230"/>
      <c r="Q842" s="230"/>
      <c r="R842" s="230"/>
      <c r="S842" s="230"/>
      <c r="T842" s="230"/>
      <c r="U842" s="230"/>
      <c r="V842" s="230"/>
      <c r="W842" s="230"/>
      <c r="X842" s="230"/>
      <c r="Y842" s="230"/>
      <c r="Z842" s="230"/>
    </row>
    <row r="843">
      <c r="A843" s="230"/>
      <c r="B843" s="230"/>
      <c r="C843" s="230"/>
      <c r="D843" s="230"/>
      <c r="E843" s="230"/>
      <c r="F843" s="230"/>
      <c r="G843" s="230"/>
      <c r="H843" s="230"/>
      <c r="I843" s="230"/>
      <c r="J843" s="230"/>
      <c r="K843" s="230"/>
      <c r="L843" s="230"/>
      <c r="M843" s="230"/>
      <c r="N843" s="230"/>
      <c r="O843" s="230"/>
      <c r="P843" s="230"/>
      <c r="Q843" s="230"/>
      <c r="R843" s="230"/>
      <c r="S843" s="230"/>
      <c r="T843" s="230"/>
      <c r="U843" s="230"/>
      <c r="V843" s="230"/>
      <c r="W843" s="230"/>
      <c r="X843" s="230"/>
      <c r="Y843" s="230"/>
      <c r="Z843" s="230"/>
    </row>
    <row r="844">
      <c r="A844" s="230"/>
      <c r="B844" s="230"/>
      <c r="C844" s="230"/>
      <c r="D844" s="230"/>
      <c r="E844" s="230"/>
      <c r="F844" s="230"/>
      <c r="G844" s="230"/>
      <c r="H844" s="230"/>
      <c r="I844" s="230"/>
      <c r="J844" s="230"/>
      <c r="K844" s="230"/>
      <c r="L844" s="230"/>
      <c r="M844" s="230"/>
      <c r="N844" s="230"/>
      <c r="O844" s="230"/>
      <c r="P844" s="230"/>
      <c r="Q844" s="230"/>
      <c r="R844" s="230"/>
      <c r="S844" s="230"/>
      <c r="T844" s="230"/>
      <c r="U844" s="230"/>
      <c r="V844" s="230"/>
      <c r="W844" s="230"/>
      <c r="X844" s="230"/>
      <c r="Y844" s="230"/>
      <c r="Z844" s="230"/>
    </row>
    <row r="845">
      <c r="A845" s="230"/>
      <c r="B845" s="230"/>
      <c r="C845" s="230"/>
      <c r="D845" s="230"/>
      <c r="E845" s="230"/>
      <c r="F845" s="230"/>
      <c r="G845" s="230"/>
      <c r="H845" s="230"/>
      <c r="I845" s="230"/>
      <c r="J845" s="230"/>
      <c r="K845" s="230"/>
      <c r="L845" s="230"/>
      <c r="M845" s="230"/>
      <c r="N845" s="230"/>
      <c r="O845" s="230"/>
      <c r="P845" s="230"/>
      <c r="Q845" s="230"/>
      <c r="R845" s="230"/>
      <c r="S845" s="230"/>
      <c r="T845" s="230"/>
      <c r="U845" s="230"/>
      <c r="V845" s="230"/>
      <c r="W845" s="230"/>
      <c r="X845" s="230"/>
      <c r="Y845" s="230"/>
      <c r="Z845" s="230"/>
    </row>
    <row r="846">
      <c r="A846" s="230"/>
      <c r="B846" s="230"/>
      <c r="C846" s="230"/>
      <c r="D846" s="230"/>
      <c r="E846" s="230"/>
      <c r="F846" s="230"/>
      <c r="G846" s="230"/>
      <c r="H846" s="230"/>
      <c r="I846" s="230"/>
      <c r="J846" s="230"/>
      <c r="K846" s="230"/>
      <c r="L846" s="230"/>
      <c r="M846" s="230"/>
      <c r="N846" s="230"/>
      <c r="O846" s="230"/>
      <c r="P846" s="230"/>
      <c r="Q846" s="230"/>
      <c r="R846" s="230"/>
      <c r="S846" s="230"/>
      <c r="T846" s="230"/>
      <c r="U846" s="230"/>
      <c r="V846" s="230"/>
      <c r="W846" s="230"/>
      <c r="X846" s="230"/>
      <c r="Y846" s="230"/>
      <c r="Z846" s="230"/>
    </row>
    <row r="847">
      <c r="A847" s="230"/>
      <c r="B847" s="230"/>
      <c r="C847" s="230"/>
      <c r="D847" s="230"/>
      <c r="E847" s="230"/>
      <c r="F847" s="230"/>
      <c r="G847" s="230"/>
      <c r="H847" s="230"/>
      <c r="I847" s="230"/>
      <c r="J847" s="230"/>
      <c r="K847" s="230"/>
      <c r="L847" s="230"/>
      <c r="M847" s="230"/>
      <c r="N847" s="230"/>
      <c r="O847" s="230"/>
      <c r="P847" s="230"/>
      <c r="Q847" s="230"/>
      <c r="R847" s="230"/>
      <c r="S847" s="230"/>
      <c r="T847" s="230"/>
      <c r="U847" s="230"/>
      <c r="V847" s="230"/>
      <c r="W847" s="230"/>
      <c r="X847" s="230"/>
      <c r="Y847" s="230"/>
      <c r="Z847" s="230"/>
    </row>
    <row r="848">
      <c r="A848" s="230"/>
      <c r="B848" s="230"/>
      <c r="C848" s="230"/>
      <c r="D848" s="230"/>
      <c r="E848" s="230"/>
      <c r="F848" s="230"/>
      <c r="G848" s="230"/>
      <c r="H848" s="230"/>
      <c r="I848" s="230"/>
      <c r="J848" s="230"/>
      <c r="K848" s="230"/>
      <c r="L848" s="230"/>
      <c r="M848" s="230"/>
      <c r="N848" s="230"/>
      <c r="O848" s="230"/>
      <c r="P848" s="230"/>
      <c r="Q848" s="230"/>
      <c r="R848" s="230"/>
      <c r="S848" s="230"/>
      <c r="T848" s="230"/>
      <c r="U848" s="230"/>
      <c r="V848" s="230"/>
      <c r="W848" s="230"/>
      <c r="X848" s="230"/>
      <c r="Y848" s="230"/>
      <c r="Z848" s="230"/>
    </row>
    <row r="849">
      <c r="A849" s="230"/>
      <c r="B849" s="230"/>
      <c r="C849" s="230"/>
      <c r="D849" s="230"/>
      <c r="E849" s="230"/>
      <c r="F849" s="230"/>
      <c r="G849" s="230"/>
      <c r="H849" s="230"/>
      <c r="I849" s="230"/>
      <c r="J849" s="230"/>
      <c r="K849" s="230"/>
      <c r="L849" s="230"/>
      <c r="M849" s="230"/>
      <c r="N849" s="230"/>
      <c r="O849" s="230"/>
      <c r="P849" s="230"/>
      <c r="Q849" s="230"/>
      <c r="R849" s="230"/>
      <c r="S849" s="230"/>
      <c r="T849" s="230"/>
      <c r="U849" s="230"/>
      <c r="V849" s="230"/>
      <c r="W849" s="230"/>
      <c r="X849" s="230"/>
      <c r="Y849" s="230"/>
      <c r="Z849" s="230"/>
    </row>
    <row r="850">
      <c r="A850" s="230"/>
      <c r="B850" s="230"/>
      <c r="C850" s="230"/>
      <c r="D850" s="230"/>
      <c r="E850" s="230"/>
      <c r="F850" s="230"/>
      <c r="G850" s="230"/>
      <c r="H850" s="230"/>
      <c r="I850" s="230"/>
      <c r="J850" s="230"/>
      <c r="K850" s="230"/>
      <c r="L850" s="230"/>
      <c r="M850" s="230"/>
      <c r="N850" s="230"/>
      <c r="O850" s="230"/>
      <c r="P850" s="230"/>
      <c r="Q850" s="230"/>
      <c r="R850" s="230"/>
      <c r="S850" s="230"/>
      <c r="T850" s="230"/>
      <c r="U850" s="230"/>
      <c r="V850" s="230"/>
      <c r="W850" s="230"/>
      <c r="X850" s="230"/>
      <c r="Y850" s="230"/>
      <c r="Z850" s="230"/>
    </row>
    <row r="851">
      <c r="A851" s="230"/>
      <c r="B851" s="230"/>
      <c r="C851" s="230"/>
      <c r="D851" s="230"/>
      <c r="E851" s="230"/>
      <c r="F851" s="230"/>
      <c r="G851" s="230"/>
      <c r="H851" s="230"/>
      <c r="I851" s="230"/>
      <c r="J851" s="230"/>
      <c r="K851" s="230"/>
      <c r="L851" s="230"/>
      <c r="M851" s="230"/>
      <c r="N851" s="230"/>
      <c r="O851" s="230"/>
      <c r="P851" s="230"/>
      <c r="Q851" s="230"/>
      <c r="R851" s="230"/>
      <c r="S851" s="230"/>
      <c r="T851" s="230"/>
      <c r="U851" s="230"/>
      <c r="V851" s="230"/>
      <c r="W851" s="230"/>
      <c r="X851" s="230"/>
      <c r="Y851" s="230"/>
      <c r="Z851" s="230"/>
    </row>
    <row r="852">
      <c r="A852" s="230"/>
      <c r="B852" s="230"/>
      <c r="C852" s="230"/>
      <c r="D852" s="230"/>
      <c r="E852" s="230"/>
      <c r="F852" s="230"/>
      <c r="G852" s="230"/>
      <c r="H852" s="230"/>
      <c r="I852" s="230"/>
      <c r="J852" s="230"/>
      <c r="K852" s="230"/>
      <c r="L852" s="230"/>
      <c r="M852" s="230"/>
      <c r="N852" s="230"/>
      <c r="O852" s="230"/>
      <c r="P852" s="230"/>
      <c r="Q852" s="230"/>
      <c r="R852" s="230"/>
      <c r="S852" s="230"/>
      <c r="T852" s="230"/>
      <c r="U852" s="230"/>
      <c r="V852" s="230"/>
      <c r="W852" s="230"/>
      <c r="X852" s="230"/>
      <c r="Y852" s="230"/>
      <c r="Z852" s="230"/>
    </row>
    <row r="853">
      <c r="A853" s="230"/>
      <c r="B853" s="230"/>
      <c r="C853" s="230"/>
      <c r="D853" s="230"/>
      <c r="E853" s="230"/>
      <c r="F853" s="230"/>
      <c r="G853" s="230"/>
      <c r="H853" s="230"/>
      <c r="I853" s="230"/>
      <c r="J853" s="230"/>
      <c r="K853" s="230"/>
      <c r="L853" s="230"/>
      <c r="M853" s="230"/>
      <c r="N853" s="230"/>
      <c r="O853" s="230"/>
      <c r="P853" s="230"/>
      <c r="Q853" s="230"/>
      <c r="R853" s="230"/>
      <c r="S853" s="230"/>
      <c r="T853" s="230"/>
      <c r="U853" s="230"/>
      <c r="V853" s="230"/>
      <c r="W853" s="230"/>
      <c r="X853" s="230"/>
      <c r="Y853" s="230"/>
      <c r="Z853" s="230"/>
    </row>
    <row r="854">
      <c r="A854" s="230"/>
      <c r="B854" s="230"/>
      <c r="C854" s="230"/>
      <c r="D854" s="230"/>
      <c r="E854" s="230"/>
      <c r="F854" s="230"/>
      <c r="G854" s="230"/>
      <c r="H854" s="230"/>
      <c r="I854" s="230"/>
      <c r="J854" s="230"/>
      <c r="K854" s="230"/>
      <c r="L854" s="230"/>
      <c r="M854" s="230"/>
      <c r="N854" s="230"/>
      <c r="O854" s="230"/>
      <c r="P854" s="230"/>
      <c r="Q854" s="230"/>
      <c r="R854" s="230"/>
      <c r="S854" s="230"/>
      <c r="T854" s="230"/>
      <c r="U854" s="230"/>
      <c r="V854" s="230"/>
      <c r="W854" s="230"/>
      <c r="X854" s="230"/>
      <c r="Y854" s="230"/>
      <c r="Z854" s="230"/>
    </row>
    <row r="855">
      <c r="A855" s="230"/>
      <c r="B855" s="230"/>
      <c r="C855" s="230"/>
      <c r="D855" s="230"/>
      <c r="E855" s="230"/>
      <c r="F855" s="230"/>
      <c r="G855" s="230"/>
      <c r="H855" s="230"/>
      <c r="I855" s="230"/>
      <c r="J855" s="230"/>
      <c r="K855" s="230"/>
      <c r="L855" s="230"/>
      <c r="M855" s="230"/>
      <c r="N855" s="230"/>
      <c r="O855" s="230"/>
      <c r="P855" s="230"/>
      <c r="Q855" s="230"/>
      <c r="R855" s="230"/>
      <c r="S855" s="230"/>
      <c r="T855" s="230"/>
      <c r="U855" s="230"/>
      <c r="V855" s="230"/>
      <c r="W855" s="230"/>
      <c r="X855" s="230"/>
      <c r="Y855" s="230"/>
      <c r="Z855" s="230"/>
    </row>
    <row r="856">
      <c r="A856" s="230"/>
      <c r="B856" s="230"/>
      <c r="C856" s="230"/>
      <c r="D856" s="230"/>
      <c r="E856" s="230"/>
      <c r="F856" s="230"/>
      <c r="G856" s="230"/>
      <c r="H856" s="230"/>
      <c r="I856" s="230"/>
      <c r="J856" s="230"/>
      <c r="K856" s="230"/>
      <c r="L856" s="230"/>
      <c r="M856" s="230"/>
      <c r="N856" s="230"/>
      <c r="O856" s="230"/>
      <c r="P856" s="230"/>
      <c r="Q856" s="230"/>
      <c r="R856" s="230"/>
      <c r="S856" s="230"/>
      <c r="T856" s="230"/>
      <c r="U856" s="230"/>
      <c r="V856" s="230"/>
      <c r="W856" s="230"/>
      <c r="X856" s="230"/>
      <c r="Y856" s="230"/>
      <c r="Z856" s="230"/>
    </row>
    <row r="857">
      <c r="A857" s="230"/>
      <c r="B857" s="230"/>
      <c r="C857" s="230"/>
      <c r="D857" s="230"/>
      <c r="E857" s="230"/>
      <c r="F857" s="230"/>
      <c r="G857" s="230"/>
      <c r="H857" s="230"/>
      <c r="I857" s="230"/>
      <c r="J857" s="230"/>
      <c r="K857" s="230"/>
      <c r="L857" s="230"/>
      <c r="M857" s="230"/>
      <c r="N857" s="230"/>
      <c r="O857" s="230"/>
      <c r="P857" s="230"/>
      <c r="Q857" s="230"/>
      <c r="R857" s="230"/>
      <c r="S857" s="230"/>
      <c r="T857" s="230"/>
      <c r="U857" s="230"/>
      <c r="V857" s="230"/>
      <c r="W857" s="230"/>
      <c r="X857" s="230"/>
      <c r="Y857" s="230"/>
      <c r="Z857" s="230"/>
    </row>
    <row r="858">
      <c r="A858" s="230"/>
      <c r="B858" s="230"/>
      <c r="C858" s="230"/>
      <c r="D858" s="230"/>
      <c r="E858" s="230"/>
      <c r="F858" s="230"/>
      <c r="G858" s="230"/>
      <c r="H858" s="230"/>
      <c r="I858" s="230"/>
      <c r="J858" s="230"/>
      <c r="K858" s="230"/>
      <c r="L858" s="230"/>
      <c r="M858" s="230"/>
      <c r="N858" s="230"/>
      <c r="O858" s="230"/>
      <c r="P858" s="230"/>
      <c r="Q858" s="230"/>
      <c r="R858" s="230"/>
      <c r="S858" s="230"/>
      <c r="T858" s="230"/>
      <c r="U858" s="230"/>
      <c r="V858" s="230"/>
      <c r="W858" s="230"/>
      <c r="X858" s="230"/>
      <c r="Y858" s="230"/>
      <c r="Z858" s="230"/>
    </row>
    <row r="859">
      <c r="A859" s="230"/>
      <c r="B859" s="230"/>
      <c r="C859" s="230"/>
      <c r="D859" s="230"/>
      <c r="E859" s="230"/>
      <c r="F859" s="230"/>
      <c r="G859" s="230"/>
      <c r="H859" s="230"/>
      <c r="I859" s="230"/>
      <c r="J859" s="230"/>
      <c r="K859" s="230"/>
      <c r="L859" s="230"/>
      <c r="M859" s="230"/>
      <c r="N859" s="230"/>
      <c r="O859" s="230"/>
      <c r="P859" s="230"/>
      <c r="Q859" s="230"/>
      <c r="R859" s="230"/>
      <c r="S859" s="230"/>
      <c r="T859" s="230"/>
      <c r="U859" s="230"/>
      <c r="V859" s="230"/>
      <c r="W859" s="230"/>
      <c r="X859" s="230"/>
      <c r="Y859" s="230"/>
      <c r="Z859" s="230"/>
    </row>
    <row r="860">
      <c r="A860" s="230"/>
      <c r="B860" s="230"/>
      <c r="C860" s="230"/>
      <c r="D860" s="230"/>
      <c r="E860" s="230"/>
      <c r="F860" s="230"/>
      <c r="G860" s="230"/>
      <c r="H860" s="230"/>
      <c r="I860" s="230"/>
      <c r="J860" s="230"/>
      <c r="K860" s="230"/>
      <c r="L860" s="230"/>
      <c r="M860" s="230"/>
      <c r="N860" s="230"/>
      <c r="O860" s="230"/>
      <c r="P860" s="230"/>
      <c r="Q860" s="230"/>
      <c r="R860" s="230"/>
      <c r="S860" s="230"/>
      <c r="T860" s="230"/>
      <c r="U860" s="230"/>
      <c r="V860" s="230"/>
      <c r="W860" s="230"/>
      <c r="X860" s="230"/>
      <c r="Y860" s="230"/>
      <c r="Z860" s="230"/>
    </row>
    <row r="861">
      <c r="A861" s="230"/>
      <c r="B861" s="230"/>
      <c r="C861" s="230"/>
      <c r="D861" s="230"/>
      <c r="E861" s="230"/>
      <c r="F861" s="230"/>
      <c r="G861" s="230"/>
      <c r="H861" s="230"/>
      <c r="I861" s="230"/>
      <c r="J861" s="230"/>
      <c r="K861" s="230"/>
      <c r="L861" s="230"/>
      <c r="M861" s="230"/>
      <c r="N861" s="230"/>
      <c r="O861" s="230"/>
      <c r="P861" s="230"/>
      <c r="Q861" s="230"/>
      <c r="R861" s="230"/>
      <c r="S861" s="230"/>
      <c r="T861" s="230"/>
      <c r="U861" s="230"/>
      <c r="V861" s="230"/>
      <c r="W861" s="230"/>
      <c r="X861" s="230"/>
      <c r="Y861" s="230"/>
      <c r="Z861" s="230"/>
    </row>
    <row r="862">
      <c r="A862" s="230"/>
      <c r="B862" s="230"/>
      <c r="C862" s="230"/>
      <c r="D862" s="230"/>
      <c r="E862" s="230"/>
      <c r="F862" s="230"/>
      <c r="G862" s="230"/>
      <c r="H862" s="230"/>
      <c r="I862" s="230"/>
      <c r="J862" s="230"/>
      <c r="K862" s="230"/>
      <c r="L862" s="230"/>
      <c r="M862" s="230"/>
      <c r="N862" s="230"/>
      <c r="O862" s="230"/>
      <c r="P862" s="230"/>
      <c r="Q862" s="230"/>
      <c r="R862" s="230"/>
      <c r="S862" s="230"/>
      <c r="T862" s="230"/>
      <c r="U862" s="230"/>
      <c r="V862" s="230"/>
      <c r="W862" s="230"/>
      <c r="X862" s="230"/>
      <c r="Y862" s="230"/>
      <c r="Z862" s="230"/>
    </row>
    <row r="863">
      <c r="A863" s="230"/>
      <c r="B863" s="230"/>
      <c r="C863" s="230"/>
      <c r="D863" s="230"/>
      <c r="E863" s="230"/>
      <c r="F863" s="230"/>
      <c r="G863" s="230"/>
      <c r="H863" s="230"/>
      <c r="I863" s="230"/>
      <c r="J863" s="230"/>
      <c r="K863" s="230"/>
      <c r="L863" s="230"/>
      <c r="M863" s="230"/>
      <c r="N863" s="230"/>
      <c r="O863" s="230"/>
      <c r="P863" s="230"/>
      <c r="Q863" s="230"/>
      <c r="R863" s="230"/>
      <c r="S863" s="230"/>
      <c r="T863" s="230"/>
      <c r="U863" s="230"/>
      <c r="V863" s="230"/>
      <c r="W863" s="230"/>
      <c r="X863" s="230"/>
      <c r="Y863" s="230"/>
      <c r="Z863" s="230"/>
    </row>
    <row r="864">
      <c r="A864" s="230"/>
      <c r="B864" s="230"/>
      <c r="C864" s="230"/>
      <c r="D864" s="230"/>
      <c r="E864" s="230"/>
      <c r="F864" s="230"/>
      <c r="G864" s="230"/>
      <c r="H864" s="230"/>
      <c r="I864" s="230"/>
      <c r="J864" s="230"/>
      <c r="K864" s="230"/>
      <c r="L864" s="230"/>
      <c r="M864" s="230"/>
      <c r="N864" s="230"/>
      <c r="O864" s="230"/>
      <c r="P864" s="230"/>
      <c r="Q864" s="230"/>
      <c r="R864" s="230"/>
      <c r="S864" s="230"/>
      <c r="T864" s="230"/>
      <c r="U864" s="230"/>
      <c r="V864" s="230"/>
      <c r="W864" s="230"/>
      <c r="X864" s="230"/>
      <c r="Y864" s="230"/>
      <c r="Z864" s="230"/>
    </row>
    <row r="865">
      <c r="A865" s="230"/>
      <c r="B865" s="230"/>
      <c r="C865" s="230"/>
      <c r="D865" s="230"/>
      <c r="E865" s="230"/>
      <c r="F865" s="230"/>
      <c r="G865" s="230"/>
      <c r="H865" s="230"/>
      <c r="I865" s="230"/>
      <c r="J865" s="230"/>
      <c r="K865" s="230"/>
      <c r="L865" s="230"/>
      <c r="M865" s="230"/>
      <c r="N865" s="230"/>
      <c r="O865" s="230"/>
      <c r="P865" s="230"/>
      <c r="Q865" s="230"/>
      <c r="R865" s="230"/>
      <c r="S865" s="230"/>
      <c r="T865" s="230"/>
      <c r="U865" s="230"/>
      <c r="V865" s="230"/>
      <c r="W865" s="230"/>
      <c r="X865" s="230"/>
      <c r="Y865" s="230"/>
      <c r="Z865" s="230"/>
    </row>
    <row r="866">
      <c r="A866" s="230"/>
      <c r="B866" s="230"/>
      <c r="C866" s="230"/>
      <c r="D866" s="230"/>
      <c r="E866" s="230"/>
      <c r="F866" s="230"/>
      <c r="G866" s="230"/>
      <c r="H866" s="230"/>
      <c r="I866" s="230"/>
      <c r="J866" s="230"/>
      <c r="K866" s="230"/>
      <c r="L866" s="230"/>
      <c r="M866" s="230"/>
      <c r="N866" s="230"/>
      <c r="O866" s="230"/>
      <c r="P866" s="230"/>
      <c r="Q866" s="230"/>
      <c r="R866" s="230"/>
      <c r="S866" s="230"/>
      <c r="T866" s="230"/>
      <c r="U866" s="230"/>
      <c r="V866" s="230"/>
      <c r="W866" s="230"/>
      <c r="X866" s="230"/>
      <c r="Y866" s="230"/>
      <c r="Z866" s="230"/>
    </row>
    <row r="867">
      <c r="A867" s="230"/>
      <c r="B867" s="230"/>
      <c r="C867" s="230"/>
      <c r="D867" s="230"/>
      <c r="E867" s="230"/>
      <c r="F867" s="230"/>
      <c r="G867" s="230"/>
      <c r="H867" s="230"/>
      <c r="I867" s="230"/>
      <c r="J867" s="230"/>
      <c r="K867" s="230"/>
      <c r="L867" s="230"/>
      <c r="M867" s="230"/>
      <c r="N867" s="230"/>
      <c r="O867" s="230"/>
      <c r="P867" s="230"/>
      <c r="Q867" s="230"/>
      <c r="R867" s="230"/>
      <c r="S867" s="230"/>
      <c r="T867" s="230"/>
      <c r="U867" s="230"/>
      <c r="V867" s="230"/>
      <c r="W867" s="230"/>
      <c r="X867" s="230"/>
      <c r="Y867" s="230"/>
      <c r="Z867" s="230"/>
    </row>
    <row r="868">
      <c r="A868" s="230"/>
      <c r="B868" s="230"/>
      <c r="C868" s="230"/>
      <c r="D868" s="230"/>
      <c r="E868" s="230"/>
      <c r="F868" s="230"/>
      <c r="G868" s="230"/>
      <c r="H868" s="230"/>
      <c r="I868" s="230"/>
      <c r="J868" s="230"/>
      <c r="K868" s="230"/>
      <c r="L868" s="230"/>
      <c r="M868" s="230"/>
      <c r="N868" s="230"/>
      <c r="O868" s="230"/>
      <c r="P868" s="230"/>
      <c r="Q868" s="230"/>
      <c r="R868" s="230"/>
      <c r="S868" s="230"/>
      <c r="T868" s="230"/>
      <c r="U868" s="230"/>
      <c r="V868" s="230"/>
      <c r="W868" s="230"/>
      <c r="X868" s="230"/>
      <c r="Y868" s="230"/>
      <c r="Z868" s="230"/>
    </row>
    <row r="869">
      <c r="A869" s="230"/>
      <c r="B869" s="230"/>
      <c r="C869" s="230"/>
      <c r="D869" s="230"/>
      <c r="E869" s="230"/>
      <c r="F869" s="230"/>
      <c r="G869" s="230"/>
      <c r="H869" s="230"/>
      <c r="I869" s="230"/>
      <c r="J869" s="230"/>
      <c r="K869" s="230"/>
      <c r="L869" s="230"/>
      <c r="M869" s="230"/>
      <c r="N869" s="230"/>
      <c r="O869" s="230"/>
      <c r="P869" s="230"/>
      <c r="Q869" s="230"/>
      <c r="R869" s="230"/>
      <c r="S869" s="230"/>
      <c r="T869" s="230"/>
      <c r="U869" s="230"/>
      <c r="V869" s="230"/>
      <c r="W869" s="230"/>
      <c r="X869" s="230"/>
      <c r="Y869" s="230"/>
      <c r="Z869" s="230"/>
    </row>
    <row r="870">
      <c r="A870" s="230"/>
      <c r="B870" s="230"/>
      <c r="C870" s="230"/>
      <c r="D870" s="230"/>
      <c r="E870" s="230"/>
      <c r="F870" s="230"/>
      <c r="G870" s="230"/>
      <c r="H870" s="230"/>
      <c r="I870" s="230"/>
      <c r="J870" s="230"/>
      <c r="K870" s="230"/>
      <c r="L870" s="230"/>
      <c r="M870" s="230"/>
      <c r="N870" s="230"/>
      <c r="O870" s="230"/>
      <c r="P870" s="230"/>
      <c r="Q870" s="230"/>
      <c r="R870" s="230"/>
      <c r="S870" s="230"/>
      <c r="T870" s="230"/>
      <c r="U870" s="230"/>
      <c r="V870" s="230"/>
      <c r="W870" s="230"/>
      <c r="X870" s="230"/>
      <c r="Y870" s="230"/>
      <c r="Z870" s="230"/>
    </row>
    <row r="871">
      <c r="A871" s="230"/>
      <c r="B871" s="230"/>
      <c r="C871" s="230"/>
      <c r="D871" s="230"/>
      <c r="E871" s="230"/>
      <c r="F871" s="230"/>
      <c r="G871" s="230"/>
      <c r="H871" s="230"/>
      <c r="I871" s="230"/>
      <c r="J871" s="230"/>
      <c r="K871" s="230"/>
      <c r="L871" s="230"/>
      <c r="M871" s="230"/>
      <c r="N871" s="230"/>
      <c r="O871" s="230"/>
      <c r="P871" s="230"/>
      <c r="Q871" s="230"/>
      <c r="R871" s="230"/>
      <c r="S871" s="230"/>
      <c r="T871" s="230"/>
      <c r="U871" s="230"/>
      <c r="V871" s="230"/>
      <c r="W871" s="230"/>
      <c r="X871" s="230"/>
      <c r="Y871" s="230"/>
      <c r="Z871" s="230"/>
    </row>
    <row r="872">
      <c r="A872" s="230"/>
      <c r="B872" s="230"/>
      <c r="C872" s="230"/>
      <c r="D872" s="230"/>
      <c r="E872" s="230"/>
      <c r="F872" s="230"/>
      <c r="G872" s="230"/>
      <c r="H872" s="230"/>
      <c r="I872" s="230"/>
      <c r="J872" s="230"/>
      <c r="K872" s="230"/>
      <c r="L872" s="230"/>
      <c r="M872" s="230"/>
      <c r="N872" s="230"/>
      <c r="O872" s="230"/>
      <c r="P872" s="230"/>
      <c r="Q872" s="230"/>
      <c r="R872" s="230"/>
      <c r="S872" s="230"/>
      <c r="T872" s="230"/>
      <c r="U872" s="230"/>
      <c r="V872" s="230"/>
      <c r="W872" s="230"/>
      <c r="X872" s="230"/>
      <c r="Y872" s="230"/>
      <c r="Z872" s="230"/>
    </row>
    <row r="873">
      <c r="A873" s="230"/>
      <c r="B873" s="230"/>
      <c r="C873" s="230"/>
      <c r="D873" s="230"/>
      <c r="E873" s="230"/>
      <c r="F873" s="230"/>
      <c r="G873" s="230"/>
      <c r="H873" s="230"/>
      <c r="I873" s="230"/>
      <c r="J873" s="230"/>
      <c r="K873" s="230"/>
      <c r="L873" s="230"/>
      <c r="M873" s="230"/>
      <c r="N873" s="230"/>
      <c r="O873" s="230"/>
      <c r="P873" s="230"/>
      <c r="Q873" s="230"/>
      <c r="R873" s="230"/>
      <c r="S873" s="230"/>
      <c r="T873" s="230"/>
      <c r="U873" s="230"/>
      <c r="V873" s="230"/>
      <c r="W873" s="230"/>
      <c r="X873" s="230"/>
      <c r="Y873" s="230"/>
      <c r="Z873" s="230"/>
    </row>
    <row r="874">
      <c r="A874" s="230"/>
      <c r="B874" s="230"/>
      <c r="C874" s="230"/>
      <c r="D874" s="230"/>
      <c r="E874" s="230"/>
      <c r="F874" s="230"/>
      <c r="G874" s="230"/>
      <c r="H874" s="230"/>
      <c r="I874" s="230"/>
      <c r="J874" s="230"/>
      <c r="K874" s="230"/>
      <c r="L874" s="230"/>
      <c r="M874" s="230"/>
      <c r="N874" s="230"/>
      <c r="O874" s="230"/>
      <c r="P874" s="230"/>
      <c r="Q874" s="230"/>
      <c r="R874" s="230"/>
      <c r="S874" s="230"/>
      <c r="T874" s="230"/>
      <c r="U874" s="230"/>
      <c r="V874" s="230"/>
      <c r="W874" s="230"/>
      <c r="X874" s="230"/>
      <c r="Y874" s="230"/>
      <c r="Z874" s="230"/>
    </row>
    <row r="875">
      <c r="A875" s="230"/>
      <c r="B875" s="230"/>
      <c r="C875" s="230"/>
      <c r="D875" s="230"/>
      <c r="E875" s="230"/>
      <c r="F875" s="230"/>
      <c r="G875" s="230"/>
      <c r="H875" s="230"/>
      <c r="I875" s="230"/>
      <c r="J875" s="230"/>
      <c r="K875" s="230"/>
      <c r="L875" s="230"/>
      <c r="M875" s="230"/>
      <c r="N875" s="230"/>
      <c r="O875" s="230"/>
      <c r="P875" s="230"/>
      <c r="Q875" s="230"/>
      <c r="R875" s="230"/>
      <c r="S875" s="230"/>
      <c r="T875" s="230"/>
      <c r="U875" s="230"/>
      <c r="V875" s="230"/>
      <c r="W875" s="230"/>
      <c r="X875" s="230"/>
      <c r="Y875" s="230"/>
      <c r="Z875" s="230"/>
    </row>
    <row r="876">
      <c r="A876" s="230"/>
      <c r="B876" s="230"/>
      <c r="C876" s="230"/>
      <c r="D876" s="230"/>
      <c r="E876" s="230"/>
      <c r="F876" s="230"/>
      <c r="G876" s="230"/>
      <c r="H876" s="230"/>
      <c r="I876" s="230"/>
      <c r="J876" s="230"/>
      <c r="K876" s="230"/>
      <c r="L876" s="230"/>
      <c r="M876" s="230"/>
      <c r="N876" s="230"/>
      <c r="O876" s="230"/>
      <c r="P876" s="230"/>
      <c r="Q876" s="230"/>
      <c r="R876" s="230"/>
      <c r="S876" s="230"/>
      <c r="T876" s="230"/>
      <c r="U876" s="230"/>
      <c r="V876" s="230"/>
      <c r="W876" s="230"/>
      <c r="X876" s="230"/>
      <c r="Y876" s="230"/>
      <c r="Z876" s="230"/>
    </row>
    <row r="877">
      <c r="A877" s="230"/>
      <c r="B877" s="230"/>
      <c r="C877" s="230"/>
      <c r="D877" s="230"/>
      <c r="E877" s="230"/>
      <c r="F877" s="230"/>
      <c r="G877" s="230"/>
      <c r="H877" s="230"/>
      <c r="I877" s="230"/>
      <c r="J877" s="230"/>
      <c r="K877" s="230"/>
      <c r="L877" s="230"/>
      <c r="M877" s="230"/>
      <c r="N877" s="230"/>
      <c r="O877" s="230"/>
      <c r="P877" s="230"/>
      <c r="Q877" s="230"/>
      <c r="R877" s="230"/>
      <c r="S877" s="230"/>
      <c r="T877" s="230"/>
      <c r="U877" s="230"/>
      <c r="V877" s="230"/>
      <c r="W877" s="230"/>
      <c r="X877" s="230"/>
      <c r="Y877" s="230"/>
      <c r="Z877" s="230"/>
    </row>
    <row r="878">
      <c r="A878" s="230"/>
      <c r="B878" s="230"/>
      <c r="C878" s="230"/>
      <c r="D878" s="230"/>
      <c r="E878" s="230"/>
      <c r="F878" s="230"/>
      <c r="G878" s="230"/>
      <c r="H878" s="230"/>
      <c r="I878" s="230"/>
      <c r="J878" s="230"/>
      <c r="K878" s="230"/>
      <c r="L878" s="230"/>
      <c r="M878" s="230"/>
      <c r="N878" s="230"/>
      <c r="O878" s="230"/>
      <c r="P878" s="230"/>
      <c r="Q878" s="230"/>
      <c r="R878" s="230"/>
      <c r="S878" s="230"/>
      <c r="T878" s="230"/>
      <c r="U878" s="230"/>
      <c r="V878" s="230"/>
      <c r="W878" s="230"/>
      <c r="X878" s="230"/>
      <c r="Y878" s="230"/>
      <c r="Z878" s="230"/>
    </row>
    <row r="879">
      <c r="A879" s="230"/>
      <c r="B879" s="230"/>
      <c r="C879" s="230"/>
      <c r="D879" s="230"/>
      <c r="E879" s="230"/>
      <c r="F879" s="230"/>
      <c r="G879" s="230"/>
      <c r="H879" s="230"/>
      <c r="I879" s="230"/>
      <c r="J879" s="230"/>
      <c r="K879" s="230"/>
      <c r="L879" s="230"/>
      <c r="M879" s="230"/>
      <c r="N879" s="230"/>
      <c r="O879" s="230"/>
      <c r="P879" s="230"/>
      <c r="Q879" s="230"/>
      <c r="R879" s="230"/>
      <c r="S879" s="230"/>
      <c r="T879" s="230"/>
      <c r="U879" s="230"/>
      <c r="V879" s="230"/>
      <c r="W879" s="230"/>
      <c r="X879" s="230"/>
      <c r="Y879" s="230"/>
      <c r="Z879" s="230"/>
    </row>
    <row r="880">
      <c r="A880" s="230"/>
      <c r="B880" s="230"/>
      <c r="C880" s="230"/>
      <c r="D880" s="230"/>
      <c r="E880" s="230"/>
      <c r="F880" s="230"/>
      <c r="G880" s="230"/>
      <c r="H880" s="230"/>
      <c r="I880" s="230"/>
      <c r="J880" s="230"/>
      <c r="K880" s="230"/>
      <c r="L880" s="230"/>
      <c r="M880" s="230"/>
      <c r="N880" s="230"/>
      <c r="O880" s="230"/>
      <c r="P880" s="230"/>
      <c r="Q880" s="230"/>
      <c r="R880" s="230"/>
      <c r="S880" s="230"/>
      <c r="T880" s="230"/>
      <c r="U880" s="230"/>
      <c r="V880" s="230"/>
      <c r="W880" s="230"/>
      <c r="X880" s="230"/>
      <c r="Y880" s="230"/>
      <c r="Z880" s="230"/>
    </row>
    <row r="881">
      <c r="A881" s="230"/>
      <c r="B881" s="230"/>
      <c r="C881" s="230"/>
      <c r="D881" s="230"/>
      <c r="E881" s="230"/>
      <c r="F881" s="230"/>
      <c r="G881" s="230"/>
      <c r="H881" s="230"/>
      <c r="I881" s="230"/>
      <c r="J881" s="230"/>
      <c r="K881" s="230"/>
      <c r="L881" s="230"/>
      <c r="M881" s="230"/>
      <c r="N881" s="230"/>
      <c r="O881" s="230"/>
      <c r="P881" s="230"/>
      <c r="Q881" s="230"/>
      <c r="R881" s="230"/>
      <c r="S881" s="230"/>
      <c r="T881" s="230"/>
      <c r="U881" s="230"/>
      <c r="V881" s="230"/>
      <c r="W881" s="230"/>
      <c r="X881" s="230"/>
      <c r="Y881" s="230"/>
      <c r="Z881" s="230"/>
    </row>
    <row r="882">
      <c r="A882" s="230"/>
      <c r="B882" s="230"/>
      <c r="C882" s="230"/>
      <c r="D882" s="230"/>
      <c r="E882" s="230"/>
      <c r="F882" s="230"/>
      <c r="G882" s="230"/>
      <c r="H882" s="230"/>
      <c r="I882" s="230"/>
      <c r="J882" s="230"/>
      <c r="K882" s="230"/>
      <c r="L882" s="230"/>
      <c r="M882" s="230"/>
      <c r="N882" s="230"/>
      <c r="O882" s="230"/>
      <c r="P882" s="230"/>
      <c r="Q882" s="230"/>
      <c r="R882" s="230"/>
      <c r="S882" s="230"/>
      <c r="T882" s="230"/>
      <c r="U882" s="230"/>
      <c r="V882" s="230"/>
      <c r="W882" s="230"/>
      <c r="X882" s="230"/>
      <c r="Y882" s="230"/>
      <c r="Z882" s="230"/>
    </row>
    <row r="883">
      <c r="A883" s="230"/>
      <c r="B883" s="230"/>
      <c r="C883" s="230"/>
      <c r="D883" s="230"/>
      <c r="E883" s="230"/>
      <c r="F883" s="230"/>
      <c r="G883" s="230"/>
      <c r="H883" s="230"/>
      <c r="I883" s="230"/>
      <c r="J883" s="230"/>
      <c r="K883" s="230"/>
      <c r="L883" s="230"/>
      <c r="M883" s="230"/>
      <c r="N883" s="230"/>
      <c r="O883" s="230"/>
      <c r="P883" s="230"/>
      <c r="Q883" s="230"/>
      <c r="R883" s="230"/>
      <c r="S883" s="230"/>
      <c r="T883" s="230"/>
      <c r="U883" s="230"/>
      <c r="V883" s="230"/>
      <c r="W883" s="230"/>
      <c r="X883" s="230"/>
      <c r="Y883" s="230"/>
      <c r="Z883" s="230"/>
    </row>
    <row r="884">
      <c r="A884" s="230"/>
      <c r="B884" s="230"/>
      <c r="C884" s="230"/>
      <c r="D884" s="230"/>
      <c r="E884" s="230"/>
      <c r="F884" s="230"/>
      <c r="G884" s="230"/>
      <c r="H884" s="230"/>
      <c r="I884" s="230"/>
      <c r="J884" s="230"/>
      <c r="K884" s="230"/>
      <c r="L884" s="230"/>
      <c r="M884" s="230"/>
      <c r="N884" s="230"/>
      <c r="O884" s="230"/>
      <c r="P884" s="230"/>
      <c r="Q884" s="230"/>
      <c r="R884" s="230"/>
      <c r="S884" s="230"/>
      <c r="T884" s="230"/>
      <c r="U884" s="230"/>
      <c r="V884" s="230"/>
      <c r="W884" s="230"/>
      <c r="X884" s="230"/>
      <c r="Y884" s="230"/>
      <c r="Z884" s="230"/>
    </row>
    <row r="885">
      <c r="A885" s="230"/>
      <c r="B885" s="230"/>
      <c r="C885" s="230"/>
      <c r="D885" s="230"/>
      <c r="E885" s="230"/>
      <c r="F885" s="230"/>
      <c r="G885" s="230"/>
      <c r="H885" s="230"/>
      <c r="I885" s="230"/>
      <c r="J885" s="230"/>
      <c r="K885" s="230"/>
      <c r="L885" s="230"/>
      <c r="M885" s="230"/>
      <c r="N885" s="230"/>
      <c r="O885" s="230"/>
      <c r="P885" s="230"/>
      <c r="Q885" s="230"/>
      <c r="R885" s="230"/>
      <c r="S885" s="230"/>
      <c r="T885" s="230"/>
      <c r="U885" s="230"/>
      <c r="V885" s="230"/>
      <c r="W885" s="230"/>
      <c r="X885" s="230"/>
      <c r="Y885" s="230"/>
      <c r="Z885" s="230"/>
    </row>
    <row r="886">
      <c r="A886" s="230"/>
      <c r="B886" s="230"/>
      <c r="C886" s="230"/>
      <c r="D886" s="230"/>
      <c r="E886" s="230"/>
      <c r="F886" s="230"/>
      <c r="G886" s="230"/>
      <c r="H886" s="230"/>
      <c r="I886" s="230"/>
      <c r="J886" s="230"/>
      <c r="K886" s="230"/>
      <c r="L886" s="230"/>
      <c r="M886" s="230"/>
      <c r="N886" s="230"/>
      <c r="O886" s="230"/>
      <c r="P886" s="230"/>
      <c r="Q886" s="230"/>
      <c r="R886" s="230"/>
      <c r="S886" s="230"/>
      <c r="T886" s="230"/>
      <c r="U886" s="230"/>
      <c r="V886" s="230"/>
      <c r="W886" s="230"/>
      <c r="X886" s="230"/>
      <c r="Y886" s="230"/>
      <c r="Z886" s="230"/>
    </row>
    <row r="887">
      <c r="A887" s="230"/>
      <c r="B887" s="230"/>
      <c r="C887" s="230"/>
      <c r="D887" s="230"/>
      <c r="E887" s="230"/>
      <c r="F887" s="230"/>
      <c r="G887" s="230"/>
      <c r="H887" s="230"/>
      <c r="I887" s="230"/>
      <c r="J887" s="230"/>
      <c r="K887" s="230"/>
      <c r="L887" s="230"/>
      <c r="M887" s="230"/>
      <c r="N887" s="230"/>
      <c r="O887" s="230"/>
      <c r="P887" s="230"/>
      <c r="Q887" s="230"/>
      <c r="R887" s="230"/>
      <c r="S887" s="230"/>
      <c r="T887" s="230"/>
      <c r="U887" s="230"/>
      <c r="V887" s="230"/>
      <c r="W887" s="230"/>
      <c r="X887" s="230"/>
      <c r="Y887" s="230"/>
      <c r="Z887" s="230"/>
    </row>
    <row r="888">
      <c r="A888" s="230"/>
      <c r="B888" s="230"/>
      <c r="C888" s="230"/>
      <c r="D888" s="230"/>
      <c r="E888" s="230"/>
      <c r="F888" s="230"/>
      <c r="G888" s="230"/>
      <c r="H888" s="230"/>
      <c r="I888" s="230"/>
      <c r="J888" s="230"/>
      <c r="K888" s="230"/>
      <c r="L888" s="230"/>
      <c r="M888" s="230"/>
      <c r="N888" s="230"/>
      <c r="O888" s="230"/>
      <c r="P888" s="230"/>
      <c r="Q888" s="230"/>
      <c r="R888" s="230"/>
      <c r="S888" s="230"/>
      <c r="T888" s="230"/>
      <c r="U888" s="230"/>
      <c r="V888" s="230"/>
      <c r="W888" s="230"/>
      <c r="X888" s="230"/>
      <c r="Y888" s="230"/>
      <c r="Z888" s="230"/>
    </row>
    <row r="889">
      <c r="A889" s="230"/>
      <c r="B889" s="230"/>
      <c r="C889" s="230"/>
      <c r="D889" s="230"/>
      <c r="E889" s="230"/>
      <c r="F889" s="230"/>
      <c r="G889" s="230"/>
      <c r="H889" s="230"/>
      <c r="I889" s="230"/>
      <c r="J889" s="230"/>
      <c r="K889" s="230"/>
      <c r="L889" s="230"/>
      <c r="M889" s="230"/>
      <c r="N889" s="230"/>
      <c r="O889" s="230"/>
      <c r="P889" s="230"/>
      <c r="Q889" s="230"/>
      <c r="R889" s="230"/>
      <c r="S889" s="230"/>
      <c r="T889" s="230"/>
      <c r="U889" s="230"/>
      <c r="V889" s="230"/>
      <c r="W889" s="230"/>
      <c r="X889" s="230"/>
      <c r="Y889" s="230"/>
      <c r="Z889" s="230"/>
    </row>
    <row r="890">
      <c r="A890" s="230"/>
      <c r="B890" s="230"/>
      <c r="C890" s="230"/>
      <c r="D890" s="230"/>
      <c r="E890" s="230"/>
      <c r="F890" s="230"/>
      <c r="G890" s="230"/>
      <c r="H890" s="230"/>
      <c r="I890" s="230"/>
      <c r="J890" s="230"/>
      <c r="K890" s="230"/>
      <c r="L890" s="230"/>
      <c r="M890" s="230"/>
      <c r="N890" s="230"/>
      <c r="O890" s="230"/>
      <c r="P890" s="230"/>
      <c r="Q890" s="230"/>
      <c r="R890" s="230"/>
      <c r="S890" s="230"/>
      <c r="T890" s="230"/>
      <c r="U890" s="230"/>
      <c r="V890" s="230"/>
      <c r="W890" s="230"/>
      <c r="X890" s="230"/>
      <c r="Y890" s="230"/>
      <c r="Z890" s="230"/>
    </row>
    <row r="891">
      <c r="A891" s="230"/>
      <c r="B891" s="230"/>
      <c r="C891" s="230"/>
      <c r="D891" s="230"/>
      <c r="E891" s="230"/>
      <c r="F891" s="230"/>
      <c r="G891" s="230"/>
      <c r="H891" s="230"/>
      <c r="I891" s="230"/>
      <c r="J891" s="230"/>
      <c r="K891" s="230"/>
      <c r="L891" s="230"/>
      <c r="M891" s="230"/>
      <c r="N891" s="230"/>
      <c r="O891" s="230"/>
      <c r="P891" s="230"/>
      <c r="Q891" s="230"/>
      <c r="R891" s="230"/>
      <c r="S891" s="230"/>
      <c r="T891" s="230"/>
      <c r="U891" s="230"/>
      <c r="V891" s="230"/>
      <c r="W891" s="230"/>
      <c r="X891" s="230"/>
      <c r="Y891" s="230"/>
      <c r="Z891" s="230"/>
    </row>
    <row r="892">
      <c r="A892" s="230"/>
      <c r="B892" s="230"/>
      <c r="C892" s="230"/>
      <c r="D892" s="230"/>
      <c r="E892" s="230"/>
      <c r="F892" s="230"/>
      <c r="G892" s="230"/>
      <c r="H892" s="230"/>
      <c r="I892" s="230"/>
      <c r="J892" s="230"/>
      <c r="K892" s="230"/>
      <c r="L892" s="230"/>
      <c r="M892" s="230"/>
      <c r="N892" s="230"/>
      <c r="O892" s="230"/>
      <c r="P892" s="230"/>
      <c r="Q892" s="230"/>
      <c r="R892" s="230"/>
      <c r="S892" s="230"/>
      <c r="T892" s="230"/>
      <c r="U892" s="230"/>
      <c r="V892" s="230"/>
      <c r="W892" s="230"/>
      <c r="X892" s="230"/>
      <c r="Y892" s="230"/>
      <c r="Z892" s="230"/>
    </row>
    <row r="893">
      <c r="A893" s="230"/>
      <c r="B893" s="230"/>
      <c r="C893" s="230"/>
      <c r="D893" s="230"/>
      <c r="E893" s="230"/>
      <c r="F893" s="230"/>
      <c r="G893" s="230"/>
      <c r="H893" s="230"/>
      <c r="I893" s="230"/>
      <c r="J893" s="230"/>
      <c r="K893" s="230"/>
      <c r="L893" s="230"/>
      <c r="M893" s="230"/>
      <c r="N893" s="230"/>
      <c r="O893" s="230"/>
      <c r="P893" s="230"/>
      <c r="Q893" s="230"/>
      <c r="R893" s="230"/>
      <c r="S893" s="230"/>
      <c r="T893" s="230"/>
      <c r="U893" s="230"/>
      <c r="V893" s="230"/>
      <c r="W893" s="230"/>
      <c r="X893" s="230"/>
      <c r="Y893" s="230"/>
      <c r="Z893" s="230"/>
    </row>
    <row r="894">
      <c r="A894" s="230"/>
      <c r="B894" s="230"/>
      <c r="C894" s="230"/>
      <c r="D894" s="230"/>
      <c r="E894" s="230"/>
      <c r="F894" s="230"/>
      <c r="G894" s="230"/>
      <c r="H894" s="230"/>
      <c r="I894" s="230"/>
      <c r="J894" s="230"/>
      <c r="K894" s="230"/>
      <c r="L894" s="230"/>
      <c r="M894" s="230"/>
      <c r="N894" s="230"/>
      <c r="O894" s="230"/>
      <c r="P894" s="230"/>
      <c r="Q894" s="230"/>
      <c r="R894" s="230"/>
      <c r="S894" s="230"/>
      <c r="T894" s="230"/>
      <c r="U894" s="230"/>
      <c r="V894" s="230"/>
      <c r="W894" s="230"/>
      <c r="X894" s="230"/>
      <c r="Y894" s="230"/>
      <c r="Z894" s="230"/>
    </row>
    <row r="895">
      <c r="A895" s="230"/>
      <c r="B895" s="230"/>
      <c r="C895" s="230"/>
      <c r="D895" s="230"/>
      <c r="E895" s="230"/>
      <c r="F895" s="230"/>
      <c r="G895" s="230"/>
      <c r="H895" s="230"/>
      <c r="I895" s="230"/>
      <c r="J895" s="230"/>
      <c r="K895" s="230"/>
      <c r="L895" s="230"/>
      <c r="M895" s="230"/>
      <c r="N895" s="230"/>
      <c r="O895" s="230"/>
      <c r="P895" s="230"/>
      <c r="Q895" s="230"/>
      <c r="R895" s="230"/>
      <c r="S895" s="230"/>
      <c r="T895" s="230"/>
      <c r="U895" s="230"/>
      <c r="V895" s="230"/>
      <c r="W895" s="230"/>
      <c r="X895" s="230"/>
      <c r="Y895" s="230"/>
      <c r="Z895" s="230"/>
    </row>
    <row r="896">
      <c r="A896" s="230"/>
      <c r="B896" s="230"/>
      <c r="C896" s="230"/>
      <c r="D896" s="230"/>
      <c r="E896" s="230"/>
      <c r="F896" s="230"/>
      <c r="G896" s="230"/>
      <c r="H896" s="230"/>
      <c r="I896" s="230"/>
      <c r="J896" s="230"/>
      <c r="K896" s="230"/>
      <c r="L896" s="230"/>
      <c r="M896" s="230"/>
      <c r="N896" s="230"/>
      <c r="O896" s="230"/>
      <c r="P896" s="230"/>
      <c r="Q896" s="230"/>
      <c r="R896" s="230"/>
      <c r="S896" s="230"/>
      <c r="T896" s="230"/>
      <c r="U896" s="230"/>
      <c r="V896" s="230"/>
      <c r="W896" s="230"/>
      <c r="X896" s="230"/>
      <c r="Y896" s="230"/>
      <c r="Z896" s="230"/>
    </row>
    <row r="897">
      <c r="A897" s="230"/>
      <c r="B897" s="230"/>
      <c r="C897" s="230"/>
      <c r="D897" s="230"/>
      <c r="E897" s="230"/>
      <c r="F897" s="230"/>
      <c r="G897" s="230"/>
      <c r="H897" s="230"/>
      <c r="I897" s="230"/>
      <c r="J897" s="230"/>
      <c r="K897" s="230"/>
      <c r="L897" s="230"/>
      <c r="M897" s="230"/>
      <c r="N897" s="230"/>
      <c r="O897" s="230"/>
      <c r="P897" s="230"/>
      <c r="Q897" s="230"/>
      <c r="R897" s="230"/>
      <c r="S897" s="230"/>
      <c r="T897" s="230"/>
      <c r="U897" s="230"/>
      <c r="V897" s="230"/>
      <c r="W897" s="230"/>
      <c r="X897" s="230"/>
      <c r="Y897" s="230"/>
      <c r="Z897" s="230"/>
    </row>
    <row r="898">
      <c r="A898" s="230"/>
      <c r="B898" s="230"/>
      <c r="C898" s="230"/>
      <c r="D898" s="230"/>
      <c r="E898" s="230"/>
      <c r="F898" s="230"/>
      <c r="G898" s="230"/>
      <c r="H898" s="230"/>
      <c r="I898" s="230"/>
      <c r="J898" s="230"/>
      <c r="K898" s="230"/>
      <c r="L898" s="230"/>
      <c r="M898" s="230"/>
      <c r="N898" s="230"/>
      <c r="O898" s="230"/>
      <c r="P898" s="230"/>
      <c r="Q898" s="230"/>
      <c r="R898" s="230"/>
      <c r="S898" s="230"/>
      <c r="T898" s="230"/>
      <c r="U898" s="230"/>
      <c r="V898" s="230"/>
      <c r="W898" s="230"/>
      <c r="X898" s="230"/>
      <c r="Y898" s="230"/>
      <c r="Z898" s="230"/>
    </row>
    <row r="899">
      <c r="A899" s="230"/>
      <c r="B899" s="230"/>
      <c r="C899" s="230"/>
      <c r="D899" s="230"/>
      <c r="E899" s="230"/>
      <c r="F899" s="230"/>
      <c r="G899" s="230"/>
      <c r="H899" s="230"/>
      <c r="I899" s="230"/>
      <c r="J899" s="230"/>
      <c r="K899" s="230"/>
      <c r="L899" s="230"/>
      <c r="M899" s="230"/>
      <c r="N899" s="230"/>
      <c r="O899" s="230"/>
      <c r="P899" s="230"/>
      <c r="Q899" s="230"/>
      <c r="R899" s="230"/>
      <c r="S899" s="230"/>
      <c r="T899" s="230"/>
      <c r="U899" s="230"/>
      <c r="V899" s="230"/>
      <c r="W899" s="230"/>
      <c r="X899" s="230"/>
      <c r="Y899" s="230"/>
      <c r="Z899" s="230"/>
    </row>
    <row r="900">
      <c r="A900" s="230"/>
      <c r="B900" s="230"/>
      <c r="C900" s="230"/>
      <c r="D900" s="230"/>
      <c r="E900" s="230"/>
      <c r="F900" s="230"/>
      <c r="G900" s="230"/>
      <c r="H900" s="230"/>
      <c r="I900" s="230"/>
      <c r="J900" s="230"/>
      <c r="K900" s="230"/>
      <c r="L900" s="230"/>
      <c r="M900" s="230"/>
      <c r="N900" s="230"/>
      <c r="O900" s="230"/>
      <c r="P900" s="230"/>
      <c r="Q900" s="230"/>
      <c r="R900" s="230"/>
      <c r="S900" s="230"/>
      <c r="T900" s="230"/>
      <c r="U900" s="230"/>
      <c r="V900" s="230"/>
      <c r="W900" s="230"/>
      <c r="X900" s="230"/>
      <c r="Y900" s="230"/>
      <c r="Z900" s="230"/>
    </row>
    <row r="901">
      <c r="A901" s="230"/>
      <c r="B901" s="230"/>
      <c r="C901" s="230"/>
      <c r="D901" s="230"/>
      <c r="E901" s="230"/>
      <c r="F901" s="230"/>
      <c r="G901" s="230"/>
      <c r="H901" s="230"/>
      <c r="I901" s="230"/>
      <c r="J901" s="230"/>
      <c r="K901" s="230"/>
      <c r="L901" s="230"/>
      <c r="M901" s="230"/>
      <c r="N901" s="230"/>
      <c r="O901" s="230"/>
      <c r="P901" s="230"/>
      <c r="Q901" s="230"/>
      <c r="R901" s="230"/>
      <c r="S901" s="230"/>
      <c r="T901" s="230"/>
      <c r="U901" s="230"/>
      <c r="V901" s="230"/>
      <c r="W901" s="230"/>
      <c r="X901" s="230"/>
      <c r="Y901" s="230"/>
      <c r="Z901" s="230"/>
    </row>
    <row r="902">
      <c r="A902" s="230"/>
      <c r="B902" s="230"/>
      <c r="C902" s="230"/>
      <c r="D902" s="230"/>
      <c r="E902" s="230"/>
      <c r="F902" s="230"/>
      <c r="G902" s="230"/>
      <c r="H902" s="230"/>
      <c r="I902" s="230"/>
      <c r="J902" s="230"/>
      <c r="K902" s="230"/>
      <c r="L902" s="230"/>
      <c r="M902" s="230"/>
      <c r="N902" s="230"/>
      <c r="O902" s="230"/>
      <c r="P902" s="230"/>
      <c r="Q902" s="230"/>
      <c r="R902" s="230"/>
      <c r="S902" s="230"/>
      <c r="T902" s="230"/>
      <c r="U902" s="230"/>
      <c r="V902" s="230"/>
      <c r="W902" s="230"/>
      <c r="X902" s="230"/>
      <c r="Y902" s="230"/>
      <c r="Z902" s="230"/>
    </row>
    <row r="903">
      <c r="A903" s="230"/>
      <c r="B903" s="230"/>
      <c r="C903" s="230"/>
      <c r="D903" s="230"/>
      <c r="E903" s="230"/>
      <c r="F903" s="230"/>
      <c r="G903" s="230"/>
      <c r="H903" s="230"/>
      <c r="I903" s="230"/>
      <c r="J903" s="230"/>
      <c r="K903" s="230"/>
      <c r="L903" s="230"/>
      <c r="M903" s="230"/>
      <c r="N903" s="230"/>
      <c r="O903" s="230"/>
      <c r="P903" s="230"/>
      <c r="Q903" s="230"/>
      <c r="R903" s="230"/>
      <c r="S903" s="230"/>
      <c r="T903" s="230"/>
      <c r="U903" s="230"/>
      <c r="V903" s="230"/>
      <c r="W903" s="230"/>
      <c r="X903" s="230"/>
      <c r="Y903" s="230"/>
      <c r="Z903" s="230"/>
    </row>
    <row r="904">
      <c r="A904" s="230"/>
      <c r="B904" s="230"/>
      <c r="C904" s="230"/>
      <c r="D904" s="230"/>
      <c r="E904" s="230"/>
      <c r="F904" s="230"/>
      <c r="G904" s="230"/>
      <c r="H904" s="230"/>
      <c r="I904" s="230"/>
      <c r="J904" s="230"/>
      <c r="K904" s="230"/>
      <c r="L904" s="230"/>
      <c r="M904" s="230"/>
      <c r="N904" s="230"/>
      <c r="O904" s="230"/>
      <c r="P904" s="230"/>
      <c r="Q904" s="230"/>
      <c r="R904" s="230"/>
      <c r="S904" s="230"/>
      <c r="T904" s="230"/>
      <c r="U904" s="230"/>
      <c r="V904" s="230"/>
      <c r="W904" s="230"/>
      <c r="X904" s="230"/>
      <c r="Y904" s="230"/>
      <c r="Z904" s="230"/>
    </row>
    <row r="905">
      <c r="A905" s="230"/>
      <c r="B905" s="230"/>
      <c r="C905" s="230"/>
      <c r="D905" s="230"/>
      <c r="E905" s="230"/>
      <c r="F905" s="230"/>
      <c r="G905" s="230"/>
      <c r="H905" s="230"/>
      <c r="I905" s="230"/>
      <c r="J905" s="230"/>
      <c r="K905" s="230"/>
      <c r="L905" s="230"/>
      <c r="M905" s="230"/>
      <c r="N905" s="230"/>
      <c r="O905" s="230"/>
      <c r="P905" s="230"/>
      <c r="Q905" s="230"/>
      <c r="R905" s="230"/>
      <c r="S905" s="230"/>
      <c r="T905" s="230"/>
      <c r="U905" s="230"/>
      <c r="V905" s="230"/>
      <c r="W905" s="230"/>
      <c r="X905" s="230"/>
      <c r="Y905" s="230"/>
      <c r="Z905" s="230"/>
    </row>
    <row r="906">
      <c r="A906" s="230"/>
      <c r="B906" s="230"/>
      <c r="C906" s="230"/>
      <c r="D906" s="230"/>
      <c r="E906" s="230"/>
      <c r="F906" s="230"/>
      <c r="G906" s="230"/>
      <c r="H906" s="230"/>
      <c r="I906" s="230"/>
      <c r="J906" s="230"/>
      <c r="K906" s="230"/>
      <c r="L906" s="230"/>
      <c r="M906" s="230"/>
      <c r="N906" s="230"/>
      <c r="O906" s="230"/>
      <c r="P906" s="230"/>
      <c r="Q906" s="230"/>
      <c r="R906" s="230"/>
      <c r="S906" s="230"/>
      <c r="T906" s="230"/>
      <c r="U906" s="230"/>
      <c r="V906" s="230"/>
      <c r="W906" s="230"/>
      <c r="X906" s="230"/>
      <c r="Y906" s="230"/>
      <c r="Z906" s="230"/>
    </row>
    <row r="907">
      <c r="A907" s="230"/>
      <c r="B907" s="230"/>
      <c r="C907" s="230"/>
      <c r="D907" s="230"/>
      <c r="E907" s="230"/>
      <c r="F907" s="230"/>
      <c r="G907" s="230"/>
      <c r="H907" s="230"/>
      <c r="I907" s="230"/>
      <c r="J907" s="230"/>
      <c r="K907" s="230"/>
      <c r="L907" s="230"/>
      <c r="M907" s="230"/>
      <c r="N907" s="230"/>
      <c r="O907" s="230"/>
      <c r="P907" s="230"/>
      <c r="Q907" s="230"/>
      <c r="R907" s="230"/>
      <c r="S907" s="230"/>
      <c r="T907" s="230"/>
      <c r="U907" s="230"/>
      <c r="V907" s="230"/>
      <c r="W907" s="230"/>
      <c r="X907" s="230"/>
      <c r="Y907" s="230"/>
      <c r="Z907" s="230"/>
    </row>
    <row r="908">
      <c r="A908" s="230"/>
      <c r="B908" s="230"/>
      <c r="C908" s="230"/>
      <c r="D908" s="230"/>
      <c r="E908" s="230"/>
      <c r="F908" s="230"/>
      <c r="G908" s="230"/>
      <c r="H908" s="230"/>
      <c r="I908" s="230"/>
      <c r="J908" s="230"/>
      <c r="K908" s="230"/>
      <c r="L908" s="230"/>
      <c r="M908" s="230"/>
      <c r="N908" s="230"/>
      <c r="O908" s="230"/>
      <c r="P908" s="230"/>
      <c r="Q908" s="230"/>
      <c r="R908" s="230"/>
      <c r="S908" s="230"/>
      <c r="T908" s="230"/>
      <c r="U908" s="230"/>
      <c r="V908" s="230"/>
      <c r="W908" s="230"/>
      <c r="X908" s="230"/>
      <c r="Y908" s="230"/>
      <c r="Z908" s="230"/>
    </row>
    <row r="909">
      <c r="A909" s="230"/>
      <c r="B909" s="230"/>
      <c r="C909" s="230"/>
      <c r="D909" s="230"/>
      <c r="E909" s="230"/>
      <c r="F909" s="230"/>
      <c r="G909" s="230"/>
      <c r="H909" s="230"/>
      <c r="I909" s="230"/>
      <c r="J909" s="230"/>
      <c r="K909" s="230"/>
      <c r="L909" s="230"/>
      <c r="M909" s="230"/>
      <c r="N909" s="230"/>
      <c r="O909" s="230"/>
      <c r="P909" s="230"/>
      <c r="Q909" s="230"/>
      <c r="R909" s="230"/>
      <c r="S909" s="230"/>
      <c r="T909" s="230"/>
      <c r="U909" s="230"/>
      <c r="V909" s="230"/>
      <c r="W909" s="230"/>
      <c r="X909" s="230"/>
      <c r="Y909" s="230"/>
      <c r="Z909" s="230"/>
    </row>
    <row r="910">
      <c r="A910" s="230"/>
      <c r="B910" s="230"/>
      <c r="C910" s="230"/>
      <c r="D910" s="230"/>
      <c r="E910" s="230"/>
      <c r="F910" s="230"/>
      <c r="G910" s="230"/>
      <c r="H910" s="230"/>
      <c r="I910" s="230"/>
      <c r="J910" s="230"/>
      <c r="K910" s="230"/>
      <c r="L910" s="230"/>
      <c r="M910" s="230"/>
      <c r="N910" s="230"/>
      <c r="O910" s="230"/>
      <c r="P910" s="230"/>
      <c r="Q910" s="230"/>
      <c r="R910" s="230"/>
      <c r="S910" s="230"/>
      <c r="T910" s="230"/>
      <c r="U910" s="230"/>
      <c r="V910" s="230"/>
      <c r="W910" s="230"/>
      <c r="X910" s="230"/>
      <c r="Y910" s="230"/>
      <c r="Z910" s="230"/>
    </row>
    <row r="911">
      <c r="A911" s="230"/>
      <c r="B911" s="230"/>
      <c r="C911" s="230"/>
      <c r="D911" s="230"/>
      <c r="E911" s="230"/>
      <c r="F911" s="230"/>
      <c r="G911" s="230"/>
      <c r="H911" s="230"/>
      <c r="I911" s="230"/>
      <c r="J911" s="230"/>
      <c r="K911" s="230"/>
      <c r="L911" s="230"/>
      <c r="M911" s="230"/>
      <c r="N911" s="230"/>
      <c r="O911" s="230"/>
      <c r="P911" s="230"/>
      <c r="Q911" s="230"/>
      <c r="R911" s="230"/>
      <c r="S911" s="230"/>
      <c r="T911" s="230"/>
      <c r="U911" s="230"/>
      <c r="V911" s="230"/>
      <c r="W911" s="230"/>
      <c r="X911" s="230"/>
      <c r="Y911" s="230"/>
      <c r="Z911" s="230"/>
    </row>
    <row r="912">
      <c r="A912" s="230"/>
      <c r="B912" s="230"/>
      <c r="C912" s="230"/>
      <c r="D912" s="230"/>
      <c r="E912" s="230"/>
      <c r="F912" s="230"/>
      <c r="G912" s="230"/>
      <c r="H912" s="230"/>
      <c r="I912" s="230"/>
      <c r="J912" s="230"/>
      <c r="K912" s="230"/>
      <c r="L912" s="230"/>
      <c r="M912" s="230"/>
      <c r="N912" s="230"/>
      <c r="O912" s="230"/>
      <c r="P912" s="230"/>
      <c r="Q912" s="230"/>
      <c r="R912" s="230"/>
      <c r="S912" s="230"/>
      <c r="T912" s="230"/>
      <c r="U912" s="230"/>
      <c r="V912" s="230"/>
      <c r="W912" s="230"/>
      <c r="X912" s="230"/>
      <c r="Y912" s="230"/>
      <c r="Z912" s="230"/>
    </row>
    <row r="913">
      <c r="A913" s="230"/>
      <c r="B913" s="230"/>
      <c r="C913" s="230"/>
      <c r="D913" s="230"/>
      <c r="E913" s="230"/>
      <c r="F913" s="230"/>
      <c r="G913" s="230"/>
      <c r="H913" s="230"/>
      <c r="I913" s="230"/>
      <c r="J913" s="230"/>
      <c r="K913" s="230"/>
      <c r="L913" s="230"/>
      <c r="M913" s="230"/>
      <c r="N913" s="230"/>
      <c r="O913" s="230"/>
      <c r="P913" s="230"/>
      <c r="Q913" s="230"/>
      <c r="R913" s="230"/>
      <c r="S913" s="230"/>
      <c r="T913" s="230"/>
      <c r="U913" s="230"/>
      <c r="V913" s="230"/>
      <c r="W913" s="230"/>
      <c r="X913" s="230"/>
      <c r="Y913" s="230"/>
      <c r="Z913" s="230"/>
    </row>
    <row r="914">
      <c r="A914" s="230"/>
      <c r="B914" s="230"/>
      <c r="C914" s="230"/>
      <c r="D914" s="230"/>
      <c r="E914" s="230"/>
      <c r="F914" s="230"/>
      <c r="G914" s="230"/>
      <c r="H914" s="230"/>
      <c r="I914" s="230"/>
      <c r="J914" s="230"/>
      <c r="K914" s="230"/>
      <c r="L914" s="230"/>
      <c r="M914" s="230"/>
      <c r="N914" s="230"/>
      <c r="O914" s="230"/>
      <c r="P914" s="230"/>
      <c r="Q914" s="230"/>
      <c r="R914" s="230"/>
      <c r="S914" s="230"/>
      <c r="T914" s="230"/>
      <c r="U914" s="230"/>
      <c r="V914" s="230"/>
      <c r="W914" s="230"/>
      <c r="X914" s="230"/>
      <c r="Y914" s="230"/>
      <c r="Z914" s="230"/>
    </row>
    <row r="915">
      <c r="A915" s="230"/>
      <c r="B915" s="230"/>
      <c r="C915" s="230"/>
      <c r="D915" s="230"/>
      <c r="E915" s="230"/>
      <c r="F915" s="230"/>
      <c r="G915" s="230"/>
      <c r="H915" s="230"/>
      <c r="I915" s="230"/>
      <c r="J915" s="230"/>
      <c r="K915" s="230"/>
      <c r="L915" s="230"/>
      <c r="M915" s="230"/>
      <c r="N915" s="230"/>
      <c r="O915" s="230"/>
      <c r="P915" s="230"/>
      <c r="Q915" s="230"/>
      <c r="R915" s="230"/>
      <c r="S915" s="230"/>
      <c r="T915" s="230"/>
      <c r="U915" s="230"/>
      <c r="V915" s="230"/>
      <c r="W915" s="230"/>
      <c r="X915" s="230"/>
      <c r="Y915" s="230"/>
      <c r="Z915" s="230"/>
    </row>
    <row r="916">
      <c r="A916" s="230"/>
      <c r="B916" s="230"/>
      <c r="C916" s="230"/>
      <c r="D916" s="230"/>
      <c r="E916" s="230"/>
      <c r="F916" s="230"/>
      <c r="G916" s="230"/>
      <c r="H916" s="230"/>
      <c r="I916" s="230"/>
      <c r="J916" s="230"/>
      <c r="K916" s="230"/>
      <c r="L916" s="230"/>
      <c r="M916" s="230"/>
      <c r="N916" s="230"/>
      <c r="O916" s="230"/>
      <c r="P916" s="230"/>
      <c r="Q916" s="230"/>
      <c r="R916" s="230"/>
      <c r="S916" s="230"/>
      <c r="T916" s="230"/>
      <c r="U916" s="230"/>
      <c r="V916" s="230"/>
      <c r="W916" s="230"/>
      <c r="X916" s="230"/>
      <c r="Y916" s="230"/>
      <c r="Z916" s="230"/>
    </row>
    <row r="917">
      <c r="A917" s="230"/>
      <c r="B917" s="230"/>
      <c r="C917" s="230"/>
      <c r="D917" s="230"/>
      <c r="E917" s="230"/>
      <c r="F917" s="230"/>
      <c r="G917" s="230"/>
      <c r="H917" s="230"/>
      <c r="I917" s="230"/>
      <c r="J917" s="230"/>
      <c r="K917" s="230"/>
      <c r="L917" s="230"/>
      <c r="M917" s="230"/>
      <c r="N917" s="230"/>
      <c r="O917" s="230"/>
      <c r="P917" s="230"/>
      <c r="Q917" s="230"/>
      <c r="R917" s="230"/>
      <c r="S917" s="230"/>
      <c r="T917" s="230"/>
      <c r="U917" s="230"/>
      <c r="V917" s="230"/>
      <c r="W917" s="230"/>
      <c r="X917" s="230"/>
      <c r="Y917" s="230"/>
      <c r="Z917" s="230"/>
    </row>
    <row r="918">
      <c r="A918" s="230"/>
      <c r="B918" s="230"/>
      <c r="C918" s="230"/>
      <c r="D918" s="230"/>
      <c r="E918" s="230"/>
      <c r="F918" s="230"/>
      <c r="G918" s="230"/>
      <c r="H918" s="230"/>
      <c r="I918" s="230"/>
      <c r="J918" s="230"/>
      <c r="K918" s="230"/>
      <c r="L918" s="230"/>
      <c r="M918" s="230"/>
      <c r="N918" s="230"/>
      <c r="O918" s="230"/>
      <c r="P918" s="230"/>
      <c r="Q918" s="230"/>
      <c r="R918" s="230"/>
      <c r="S918" s="230"/>
      <c r="T918" s="230"/>
      <c r="U918" s="230"/>
      <c r="V918" s="230"/>
      <c r="W918" s="230"/>
      <c r="X918" s="230"/>
      <c r="Y918" s="230"/>
      <c r="Z918" s="230"/>
    </row>
    <row r="919">
      <c r="A919" s="230"/>
      <c r="B919" s="230"/>
      <c r="C919" s="230"/>
      <c r="D919" s="230"/>
      <c r="E919" s="230"/>
      <c r="F919" s="230"/>
      <c r="G919" s="230"/>
      <c r="H919" s="230"/>
      <c r="I919" s="230"/>
      <c r="J919" s="230"/>
      <c r="K919" s="230"/>
      <c r="L919" s="230"/>
      <c r="M919" s="230"/>
      <c r="N919" s="230"/>
      <c r="O919" s="230"/>
      <c r="P919" s="230"/>
      <c r="Q919" s="230"/>
      <c r="R919" s="230"/>
      <c r="S919" s="230"/>
      <c r="T919" s="230"/>
      <c r="U919" s="230"/>
      <c r="V919" s="230"/>
      <c r="W919" s="230"/>
      <c r="X919" s="230"/>
      <c r="Y919" s="230"/>
      <c r="Z919" s="230"/>
    </row>
    <row r="920">
      <c r="A920" s="230"/>
      <c r="B920" s="230"/>
      <c r="C920" s="230"/>
      <c r="D920" s="230"/>
      <c r="E920" s="230"/>
      <c r="F920" s="230"/>
      <c r="G920" s="230"/>
      <c r="H920" s="230"/>
      <c r="I920" s="230"/>
      <c r="J920" s="230"/>
      <c r="K920" s="230"/>
      <c r="L920" s="230"/>
      <c r="M920" s="230"/>
      <c r="N920" s="230"/>
      <c r="O920" s="230"/>
      <c r="P920" s="230"/>
      <c r="Q920" s="230"/>
      <c r="R920" s="230"/>
      <c r="S920" s="230"/>
      <c r="T920" s="230"/>
      <c r="U920" s="230"/>
      <c r="V920" s="230"/>
      <c r="W920" s="230"/>
      <c r="X920" s="230"/>
      <c r="Y920" s="230"/>
      <c r="Z920" s="230"/>
    </row>
    <row r="921">
      <c r="A921" s="230"/>
      <c r="B921" s="230"/>
      <c r="C921" s="230"/>
      <c r="D921" s="230"/>
      <c r="E921" s="230"/>
      <c r="F921" s="230"/>
      <c r="G921" s="230"/>
      <c r="H921" s="230"/>
      <c r="I921" s="230"/>
      <c r="J921" s="230"/>
      <c r="K921" s="230"/>
      <c r="L921" s="230"/>
      <c r="M921" s="230"/>
      <c r="N921" s="230"/>
      <c r="O921" s="230"/>
      <c r="P921" s="230"/>
      <c r="Q921" s="230"/>
      <c r="R921" s="230"/>
      <c r="S921" s="230"/>
      <c r="T921" s="230"/>
      <c r="U921" s="230"/>
      <c r="V921" s="230"/>
      <c r="W921" s="230"/>
      <c r="X921" s="230"/>
      <c r="Y921" s="230"/>
      <c r="Z921" s="230"/>
    </row>
    <row r="922">
      <c r="A922" s="230"/>
      <c r="B922" s="230"/>
      <c r="C922" s="230"/>
      <c r="D922" s="230"/>
      <c r="E922" s="230"/>
      <c r="F922" s="230"/>
      <c r="G922" s="230"/>
      <c r="H922" s="230"/>
      <c r="I922" s="230"/>
      <c r="J922" s="230"/>
      <c r="K922" s="230"/>
      <c r="L922" s="230"/>
      <c r="M922" s="230"/>
      <c r="N922" s="230"/>
      <c r="O922" s="230"/>
      <c r="P922" s="230"/>
      <c r="Q922" s="230"/>
      <c r="R922" s="230"/>
      <c r="S922" s="230"/>
      <c r="T922" s="230"/>
      <c r="U922" s="230"/>
      <c r="V922" s="230"/>
      <c r="W922" s="230"/>
      <c r="X922" s="230"/>
      <c r="Y922" s="230"/>
      <c r="Z922" s="230"/>
    </row>
    <row r="923">
      <c r="A923" s="230"/>
      <c r="B923" s="230"/>
      <c r="C923" s="230"/>
      <c r="D923" s="230"/>
      <c r="E923" s="230"/>
      <c r="F923" s="230"/>
      <c r="G923" s="230"/>
      <c r="H923" s="230"/>
      <c r="I923" s="230"/>
      <c r="J923" s="230"/>
      <c r="K923" s="230"/>
      <c r="L923" s="230"/>
      <c r="M923" s="230"/>
      <c r="N923" s="230"/>
      <c r="O923" s="230"/>
      <c r="P923" s="230"/>
      <c r="Q923" s="230"/>
      <c r="R923" s="230"/>
      <c r="S923" s="230"/>
      <c r="T923" s="230"/>
      <c r="U923" s="230"/>
      <c r="V923" s="230"/>
      <c r="W923" s="230"/>
      <c r="X923" s="230"/>
      <c r="Y923" s="230"/>
      <c r="Z923" s="230"/>
    </row>
    <row r="924">
      <c r="A924" s="230"/>
      <c r="B924" s="230"/>
      <c r="C924" s="230"/>
      <c r="D924" s="230"/>
      <c r="E924" s="230"/>
      <c r="F924" s="230"/>
      <c r="G924" s="230"/>
      <c r="H924" s="230"/>
      <c r="I924" s="230"/>
      <c r="J924" s="230"/>
      <c r="K924" s="230"/>
      <c r="L924" s="230"/>
      <c r="M924" s="230"/>
      <c r="N924" s="230"/>
      <c r="O924" s="230"/>
      <c r="P924" s="230"/>
      <c r="Q924" s="230"/>
      <c r="R924" s="230"/>
      <c r="S924" s="230"/>
      <c r="T924" s="230"/>
      <c r="U924" s="230"/>
      <c r="V924" s="230"/>
      <c r="W924" s="230"/>
      <c r="X924" s="230"/>
      <c r="Y924" s="230"/>
      <c r="Z924" s="230"/>
    </row>
    <row r="925">
      <c r="A925" s="230"/>
      <c r="B925" s="230"/>
      <c r="C925" s="230"/>
      <c r="D925" s="230"/>
      <c r="E925" s="230"/>
      <c r="F925" s="230"/>
      <c r="G925" s="230"/>
      <c r="H925" s="230"/>
      <c r="I925" s="230"/>
      <c r="J925" s="230"/>
      <c r="K925" s="230"/>
      <c r="L925" s="230"/>
      <c r="M925" s="230"/>
      <c r="N925" s="230"/>
      <c r="O925" s="230"/>
      <c r="P925" s="230"/>
      <c r="Q925" s="230"/>
      <c r="R925" s="230"/>
      <c r="S925" s="230"/>
      <c r="T925" s="230"/>
      <c r="U925" s="230"/>
      <c r="V925" s="230"/>
      <c r="W925" s="230"/>
      <c r="X925" s="230"/>
      <c r="Y925" s="230"/>
      <c r="Z925" s="230"/>
    </row>
    <row r="926">
      <c r="A926" s="230"/>
      <c r="B926" s="230"/>
      <c r="C926" s="230"/>
      <c r="D926" s="230"/>
      <c r="E926" s="230"/>
      <c r="F926" s="230"/>
      <c r="G926" s="230"/>
      <c r="H926" s="230"/>
      <c r="I926" s="230"/>
      <c r="J926" s="230"/>
      <c r="K926" s="230"/>
      <c r="L926" s="230"/>
      <c r="M926" s="230"/>
      <c r="N926" s="230"/>
      <c r="O926" s="230"/>
      <c r="P926" s="230"/>
      <c r="Q926" s="230"/>
      <c r="R926" s="230"/>
      <c r="S926" s="230"/>
      <c r="T926" s="230"/>
      <c r="U926" s="230"/>
      <c r="V926" s="230"/>
      <c r="W926" s="230"/>
      <c r="X926" s="230"/>
      <c r="Y926" s="230"/>
      <c r="Z926" s="230"/>
    </row>
    <row r="927">
      <c r="A927" s="230"/>
      <c r="B927" s="230"/>
      <c r="C927" s="230"/>
      <c r="D927" s="230"/>
      <c r="E927" s="230"/>
      <c r="F927" s="230"/>
      <c r="G927" s="230"/>
      <c r="H927" s="230"/>
      <c r="I927" s="230"/>
      <c r="J927" s="230"/>
      <c r="K927" s="230"/>
      <c r="L927" s="230"/>
      <c r="M927" s="230"/>
      <c r="N927" s="230"/>
      <c r="O927" s="230"/>
      <c r="P927" s="230"/>
      <c r="Q927" s="230"/>
      <c r="R927" s="230"/>
      <c r="S927" s="230"/>
      <c r="T927" s="230"/>
      <c r="U927" s="230"/>
      <c r="V927" s="230"/>
      <c r="W927" s="230"/>
      <c r="X927" s="230"/>
      <c r="Y927" s="230"/>
      <c r="Z927" s="230"/>
    </row>
    <row r="928">
      <c r="A928" s="230"/>
      <c r="B928" s="230"/>
      <c r="C928" s="230"/>
      <c r="D928" s="230"/>
      <c r="E928" s="230"/>
      <c r="F928" s="230"/>
      <c r="G928" s="230"/>
      <c r="H928" s="230"/>
      <c r="I928" s="230"/>
      <c r="J928" s="230"/>
      <c r="K928" s="230"/>
      <c r="L928" s="230"/>
      <c r="M928" s="230"/>
      <c r="N928" s="230"/>
      <c r="O928" s="230"/>
      <c r="P928" s="230"/>
      <c r="Q928" s="230"/>
      <c r="R928" s="230"/>
      <c r="S928" s="230"/>
      <c r="T928" s="230"/>
      <c r="U928" s="230"/>
      <c r="V928" s="230"/>
      <c r="W928" s="230"/>
      <c r="X928" s="230"/>
      <c r="Y928" s="230"/>
      <c r="Z928" s="230"/>
    </row>
    <row r="929">
      <c r="A929" s="230"/>
      <c r="B929" s="230"/>
      <c r="C929" s="230"/>
      <c r="D929" s="230"/>
      <c r="E929" s="230"/>
      <c r="F929" s="230"/>
      <c r="G929" s="230"/>
      <c r="H929" s="230"/>
      <c r="I929" s="230"/>
      <c r="J929" s="230"/>
      <c r="K929" s="230"/>
      <c r="L929" s="230"/>
      <c r="M929" s="230"/>
      <c r="N929" s="230"/>
      <c r="O929" s="230"/>
      <c r="P929" s="230"/>
      <c r="Q929" s="230"/>
      <c r="R929" s="230"/>
      <c r="S929" s="230"/>
      <c r="T929" s="230"/>
      <c r="U929" s="230"/>
      <c r="V929" s="230"/>
      <c r="W929" s="230"/>
      <c r="X929" s="230"/>
      <c r="Y929" s="230"/>
      <c r="Z929" s="230"/>
    </row>
    <row r="930">
      <c r="A930" s="230"/>
      <c r="B930" s="230"/>
      <c r="C930" s="230"/>
      <c r="D930" s="230"/>
      <c r="E930" s="230"/>
      <c r="F930" s="230"/>
      <c r="G930" s="230"/>
      <c r="H930" s="230"/>
      <c r="I930" s="230"/>
      <c r="J930" s="230"/>
      <c r="K930" s="230"/>
      <c r="L930" s="230"/>
      <c r="M930" s="230"/>
      <c r="N930" s="230"/>
      <c r="O930" s="230"/>
      <c r="P930" s="230"/>
      <c r="Q930" s="230"/>
      <c r="R930" s="230"/>
      <c r="S930" s="230"/>
      <c r="T930" s="230"/>
      <c r="U930" s="230"/>
      <c r="V930" s="230"/>
      <c r="W930" s="230"/>
      <c r="X930" s="230"/>
      <c r="Y930" s="230"/>
      <c r="Z930" s="230"/>
    </row>
    <row r="931">
      <c r="A931" s="230"/>
      <c r="B931" s="230"/>
      <c r="C931" s="230"/>
      <c r="D931" s="230"/>
      <c r="E931" s="230"/>
      <c r="F931" s="230"/>
      <c r="G931" s="230"/>
      <c r="H931" s="230"/>
      <c r="I931" s="230"/>
      <c r="J931" s="230"/>
      <c r="K931" s="230"/>
      <c r="L931" s="230"/>
      <c r="M931" s="230"/>
      <c r="N931" s="230"/>
      <c r="O931" s="230"/>
      <c r="P931" s="230"/>
      <c r="Q931" s="230"/>
      <c r="R931" s="230"/>
      <c r="S931" s="230"/>
      <c r="T931" s="230"/>
      <c r="U931" s="230"/>
      <c r="V931" s="230"/>
      <c r="W931" s="230"/>
      <c r="X931" s="230"/>
      <c r="Y931" s="230"/>
      <c r="Z931" s="230"/>
    </row>
    <row r="932">
      <c r="A932" s="230"/>
      <c r="B932" s="230"/>
      <c r="C932" s="230"/>
      <c r="D932" s="230"/>
      <c r="E932" s="230"/>
      <c r="F932" s="230"/>
      <c r="G932" s="230"/>
      <c r="H932" s="230"/>
      <c r="I932" s="230"/>
      <c r="J932" s="230"/>
      <c r="K932" s="230"/>
      <c r="L932" s="230"/>
      <c r="M932" s="230"/>
      <c r="N932" s="230"/>
      <c r="O932" s="230"/>
      <c r="P932" s="230"/>
      <c r="Q932" s="230"/>
      <c r="R932" s="230"/>
      <c r="S932" s="230"/>
      <c r="T932" s="230"/>
      <c r="U932" s="230"/>
      <c r="V932" s="230"/>
      <c r="W932" s="230"/>
      <c r="X932" s="230"/>
      <c r="Y932" s="230"/>
      <c r="Z932" s="230"/>
    </row>
    <row r="933">
      <c r="A933" s="230"/>
      <c r="B933" s="230"/>
      <c r="C933" s="230"/>
      <c r="D933" s="230"/>
      <c r="E933" s="230"/>
      <c r="F933" s="230"/>
      <c r="G933" s="230"/>
      <c r="H933" s="230"/>
      <c r="I933" s="230"/>
      <c r="J933" s="230"/>
      <c r="K933" s="230"/>
      <c r="L933" s="230"/>
      <c r="M933" s="230"/>
      <c r="N933" s="230"/>
      <c r="O933" s="230"/>
      <c r="P933" s="230"/>
      <c r="Q933" s="230"/>
      <c r="R933" s="230"/>
      <c r="S933" s="230"/>
      <c r="T933" s="230"/>
      <c r="U933" s="230"/>
      <c r="V933" s="230"/>
      <c r="W933" s="230"/>
      <c r="X933" s="230"/>
      <c r="Y933" s="230"/>
      <c r="Z933" s="230"/>
    </row>
    <row r="934">
      <c r="A934" s="230"/>
      <c r="B934" s="230"/>
      <c r="C934" s="230"/>
      <c r="D934" s="230"/>
      <c r="E934" s="230"/>
      <c r="F934" s="230"/>
      <c r="G934" s="230"/>
      <c r="H934" s="230"/>
      <c r="I934" s="230"/>
      <c r="J934" s="230"/>
      <c r="K934" s="230"/>
      <c r="L934" s="230"/>
      <c r="M934" s="230"/>
      <c r="N934" s="230"/>
      <c r="O934" s="230"/>
      <c r="P934" s="230"/>
      <c r="Q934" s="230"/>
      <c r="R934" s="230"/>
      <c r="S934" s="230"/>
      <c r="T934" s="230"/>
      <c r="U934" s="230"/>
      <c r="V934" s="230"/>
      <c r="W934" s="230"/>
      <c r="X934" s="230"/>
      <c r="Y934" s="230"/>
      <c r="Z934" s="230"/>
    </row>
    <row r="935">
      <c r="A935" s="230"/>
      <c r="B935" s="230"/>
      <c r="C935" s="230"/>
      <c r="D935" s="230"/>
      <c r="E935" s="230"/>
      <c r="F935" s="230"/>
      <c r="G935" s="230"/>
      <c r="H935" s="230"/>
      <c r="I935" s="230"/>
      <c r="J935" s="230"/>
      <c r="K935" s="230"/>
      <c r="L935" s="230"/>
      <c r="M935" s="230"/>
      <c r="N935" s="230"/>
      <c r="O935" s="230"/>
      <c r="P935" s="230"/>
      <c r="Q935" s="230"/>
      <c r="R935" s="230"/>
      <c r="S935" s="230"/>
      <c r="T935" s="230"/>
      <c r="U935" s="230"/>
      <c r="V935" s="230"/>
      <c r="W935" s="230"/>
      <c r="X935" s="230"/>
      <c r="Y935" s="230"/>
      <c r="Z935" s="230"/>
    </row>
    <row r="936">
      <c r="A936" s="230"/>
      <c r="B936" s="230"/>
      <c r="C936" s="230"/>
      <c r="D936" s="230"/>
      <c r="E936" s="230"/>
      <c r="F936" s="230"/>
      <c r="G936" s="230"/>
      <c r="H936" s="230"/>
      <c r="I936" s="230"/>
      <c r="J936" s="230"/>
      <c r="K936" s="230"/>
      <c r="L936" s="230"/>
      <c r="M936" s="230"/>
      <c r="N936" s="230"/>
      <c r="O936" s="230"/>
      <c r="P936" s="230"/>
      <c r="Q936" s="230"/>
      <c r="R936" s="230"/>
      <c r="S936" s="230"/>
      <c r="T936" s="230"/>
      <c r="U936" s="230"/>
      <c r="V936" s="230"/>
      <c r="W936" s="230"/>
      <c r="X936" s="230"/>
      <c r="Y936" s="230"/>
      <c r="Z936" s="230"/>
    </row>
    <row r="937">
      <c r="A937" s="230"/>
      <c r="B937" s="230"/>
      <c r="C937" s="230"/>
      <c r="D937" s="230"/>
      <c r="E937" s="230"/>
      <c r="F937" s="230"/>
      <c r="G937" s="230"/>
      <c r="H937" s="230"/>
      <c r="I937" s="230"/>
      <c r="J937" s="230"/>
      <c r="K937" s="230"/>
      <c r="L937" s="230"/>
      <c r="M937" s="230"/>
      <c r="N937" s="230"/>
      <c r="O937" s="230"/>
      <c r="P937" s="230"/>
      <c r="Q937" s="230"/>
      <c r="R937" s="230"/>
      <c r="S937" s="230"/>
      <c r="T937" s="230"/>
      <c r="U937" s="230"/>
      <c r="V937" s="230"/>
      <c r="W937" s="230"/>
      <c r="X937" s="230"/>
      <c r="Y937" s="230"/>
      <c r="Z937" s="230"/>
    </row>
    <row r="938">
      <c r="A938" s="230"/>
      <c r="B938" s="230"/>
      <c r="C938" s="230"/>
      <c r="D938" s="230"/>
      <c r="E938" s="230"/>
      <c r="F938" s="230"/>
      <c r="G938" s="230"/>
      <c r="H938" s="230"/>
      <c r="I938" s="230"/>
      <c r="J938" s="230"/>
      <c r="K938" s="230"/>
      <c r="L938" s="230"/>
      <c r="M938" s="230"/>
      <c r="N938" s="230"/>
      <c r="O938" s="230"/>
      <c r="P938" s="230"/>
      <c r="Q938" s="230"/>
      <c r="R938" s="230"/>
      <c r="S938" s="230"/>
      <c r="T938" s="230"/>
      <c r="U938" s="230"/>
      <c r="V938" s="230"/>
      <c r="W938" s="230"/>
      <c r="X938" s="230"/>
      <c r="Y938" s="230"/>
      <c r="Z938" s="230"/>
    </row>
    <row r="939">
      <c r="A939" s="230"/>
      <c r="B939" s="230"/>
      <c r="C939" s="230"/>
      <c r="D939" s="230"/>
      <c r="E939" s="230"/>
      <c r="F939" s="230"/>
      <c r="G939" s="230"/>
      <c r="H939" s="230"/>
      <c r="I939" s="230"/>
      <c r="J939" s="230"/>
      <c r="K939" s="230"/>
      <c r="L939" s="230"/>
      <c r="M939" s="230"/>
      <c r="N939" s="230"/>
      <c r="O939" s="230"/>
      <c r="P939" s="230"/>
      <c r="Q939" s="230"/>
      <c r="R939" s="230"/>
      <c r="S939" s="230"/>
      <c r="T939" s="230"/>
      <c r="U939" s="230"/>
      <c r="V939" s="230"/>
      <c r="W939" s="230"/>
      <c r="X939" s="230"/>
      <c r="Y939" s="230"/>
      <c r="Z939" s="230"/>
    </row>
    <row r="940">
      <c r="A940" s="230"/>
      <c r="B940" s="230"/>
      <c r="C940" s="230"/>
      <c r="D940" s="230"/>
      <c r="E940" s="230"/>
      <c r="F940" s="230"/>
      <c r="G940" s="230"/>
      <c r="H940" s="230"/>
      <c r="I940" s="230"/>
      <c r="J940" s="230"/>
      <c r="K940" s="230"/>
      <c r="L940" s="230"/>
      <c r="M940" s="230"/>
      <c r="N940" s="230"/>
      <c r="O940" s="230"/>
      <c r="P940" s="230"/>
      <c r="Q940" s="230"/>
      <c r="R940" s="230"/>
      <c r="S940" s="230"/>
      <c r="T940" s="230"/>
      <c r="U940" s="230"/>
      <c r="V940" s="230"/>
      <c r="W940" s="230"/>
      <c r="X940" s="230"/>
      <c r="Y940" s="230"/>
      <c r="Z940" s="230"/>
    </row>
    <row r="941">
      <c r="A941" s="230"/>
      <c r="B941" s="230"/>
      <c r="C941" s="230"/>
      <c r="D941" s="230"/>
      <c r="E941" s="230"/>
      <c r="F941" s="230"/>
      <c r="G941" s="230"/>
      <c r="H941" s="230"/>
      <c r="I941" s="230"/>
      <c r="J941" s="230"/>
      <c r="K941" s="230"/>
      <c r="L941" s="230"/>
      <c r="M941" s="230"/>
      <c r="N941" s="230"/>
      <c r="O941" s="230"/>
      <c r="P941" s="230"/>
      <c r="Q941" s="230"/>
      <c r="R941" s="230"/>
      <c r="S941" s="230"/>
      <c r="T941" s="230"/>
      <c r="U941" s="230"/>
      <c r="V941" s="230"/>
      <c r="W941" s="230"/>
      <c r="X941" s="230"/>
      <c r="Y941" s="230"/>
      <c r="Z941" s="230"/>
    </row>
    <row r="942">
      <c r="A942" s="230"/>
      <c r="B942" s="230"/>
      <c r="C942" s="230"/>
      <c r="D942" s="230"/>
      <c r="E942" s="230"/>
      <c r="F942" s="230"/>
      <c r="G942" s="230"/>
      <c r="H942" s="230"/>
      <c r="I942" s="230"/>
      <c r="J942" s="230"/>
      <c r="K942" s="230"/>
      <c r="L942" s="230"/>
      <c r="M942" s="230"/>
      <c r="N942" s="230"/>
      <c r="O942" s="230"/>
      <c r="P942" s="230"/>
      <c r="Q942" s="230"/>
      <c r="R942" s="230"/>
      <c r="S942" s="230"/>
      <c r="T942" s="230"/>
      <c r="U942" s="230"/>
      <c r="V942" s="230"/>
      <c r="W942" s="230"/>
      <c r="X942" s="230"/>
      <c r="Y942" s="230"/>
      <c r="Z942" s="230"/>
    </row>
    <row r="943">
      <c r="A943" s="230"/>
      <c r="B943" s="230"/>
      <c r="C943" s="230"/>
      <c r="D943" s="230"/>
      <c r="E943" s="230"/>
      <c r="F943" s="230"/>
      <c r="G943" s="230"/>
      <c r="H943" s="230"/>
      <c r="I943" s="230"/>
      <c r="J943" s="230"/>
      <c r="K943" s="230"/>
      <c r="L943" s="230"/>
      <c r="M943" s="230"/>
      <c r="N943" s="230"/>
      <c r="O943" s="230"/>
      <c r="P943" s="230"/>
      <c r="Q943" s="230"/>
      <c r="R943" s="230"/>
      <c r="S943" s="230"/>
      <c r="T943" s="230"/>
      <c r="U943" s="230"/>
      <c r="V943" s="230"/>
      <c r="W943" s="230"/>
      <c r="X943" s="230"/>
      <c r="Y943" s="230"/>
      <c r="Z943" s="230"/>
    </row>
    <row r="944">
      <c r="A944" s="230"/>
      <c r="B944" s="230"/>
      <c r="C944" s="230"/>
      <c r="D944" s="230"/>
      <c r="E944" s="230"/>
      <c r="F944" s="230"/>
      <c r="G944" s="230"/>
      <c r="H944" s="230"/>
      <c r="I944" s="230"/>
      <c r="J944" s="230"/>
      <c r="K944" s="230"/>
      <c r="L944" s="230"/>
      <c r="M944" s="230"/>
      <c r="N944" s="230"/>
      <c r="O944" s="230"/>
      <c r="P944" s="230"/>
      <c r="Q944" s="230"/>
      <c r="R944" s="230"/>
      <c r="S944" s="230"/>
      <c r="T944" s="230"/>
      <c r="U944" s="230"/>
      <c r="V944" s="230"/>
      <c r="W944" s="230"/>
      <c r="X944" s="230"/>
      <c r="Y944" s="230"/>
      <c r="Z944" s="230"/>
    </row>
    <row r="945">
      <c r="A945" s="230"/>
      <c r="B945" s="230"/>
      <c r="C945" s="230"/>
      <c r="D945" s="230"/>
      <c r="E945" s="230"/>
      <c r="F945" s="230"/>
      <c r="G945" s="230"/>
      <c r="H945" s="230"/>
      <c r="I945" s="230"/>
      <c r="J945" s="230"/>
      <c r="K945" s="230"/>
      <c r="L945" s="230"/>
      <c r="M945" s="230"/>
      <c r="N945" s="230"/>
      <c r="O945" s="230"/>
      <c r="P945" s="230"/>
      <c r="Q945" s="230"/>
      <c r="R945" s="230"/>
      <c r="S945" s="230"/>
      <c r="T945" s="230"/>
      <c r="U945" s="230"/>
      <c r="V945" s="230"/>
      <c r="W945" s="230"/>
      <c r="X945" s="230"/>
      <c r="Y945" s="230"/>
      <c r="Z945" s="230"/>
    </row>
    <row r="946">
      <c r="A946" s="230"/>
      <c r="B946" s="230"/>
      <c r="C946" s="230"/>
      <c r="D946" s="230"/>
      <c r="E946" s="230"/>
      <c r="F946" s="230"/>
      <c r="G946" s="230"/>
      <c r="H946" s="230"/>
      <c r="I946" s="230"/>
      <c r="J946" s="230"/>
      <c r="K946" s="230"/>
      <c r="L946" s="230"/>
      <c r="M946" s="230"/>
      <c r="N946" s="230"/>
      <c r="O946" s="230"/>
      <c r="P946" s="230"/>
      <c r="Q946" s="230"/>
      <c r="R946" s="230"/>
      <c r="S946" s="230"/>
      <c r="T946" s="230"/>
      <c r="U946" s="230"/>
      <c r="V946" s="230"/>
      <c r="W946" s="230"/>
      <c r="X946" s="230"/>
      <c r="Y946" s="230"/>
      <c r="Z946" s="230"/>
    </row>
    <row r="947">
      <c r="A947" s="230"/>
      <c r="B947" s="230"/>
      <c r="C947" s="230"/>
      <c r="D947" s="230"/>
      <c r="E947" s="230"/>
      <c r="F947" s="230"/>
      <c r="G947" s="230"/>
      <c r="H947" s="230"/>
      <c r="I947" s="230"/>
      <c r="J947" s="230"/>
      <c r="K947" s="230"/>
      <c r="L947" s="230"/>
      <c r="M947" s="230"/>
      <c r="N947" s="230"/>
      <c r="O947" s="230"/>
      <c r="P947" s="230"/>
      <c r="Q947" s="230"/>
      <c r="R947" s="230"/>
      <c r="S947" s="230"/>
      <c r="T947" s="230"/>
      <c r="U947" s="230"/>
      <c r="V947" s="230"/>
      <c r="W947" s="230"/>
      <c r="X947" s="230"/>
      <c r="Y947" s="230"/>
      <c r="Z947" s="230"/>
    </row>
    <row r="948">
      <c r="A948" s="230"/>
      <c r="B948" s="230"/>
      <c r="C948" s="230"/>
      <c r="D948" s="230"/>
      <c r="E948" s="230"/>
      <c r="F948" s="230"/>
      <c r="G948" s="230"/>
      <c r="H948" s="230"/>
      <c r="I948" s="230"/>
      <c r="J948" s="230"/>
      <c r="K948" s="230"/>
      <c r="L948" s="230"/>
      <c r="M948" s="230"/>
      <c r="N948" s="230"/>
      <c r="O948" s="230"/>
      <c r="P948" s="230"/>
      <c r="Q948" s="230"/>
      <c r="R948" s="230"/>
      <c r="S948" s="230"/>
      <c r="T948" s="230"/>
      <c r="U948" s="230"/>
      <c r="V948" s="230"/>
      <c r="W948" s="230"/>
      <c r="X948" s="230"/>
      <c r="Y948" s="230"/>
      <c r="Z948" s="230"/>
    </row>
    <row r="949">
      <c r="A949" s="230"/>
      <c r="B949" s="230"/>
      <c r="C949" s="230"/>
      <c r="D949" s="230"/>
      <c r="E949" s="230"/>
      <c r="F949" s="230"/>
      <c r="G949" s="230"/>
      <c r="H949" s="230"/>
      <c r="I949" s="230"/>
      <c r="J949" s="230"/>
      <c r="K949" s="230"/>
      <c r="L949" s="230"/>
      <c r="M949" s="230"/>
      <c r="N949" s="230"/>
      <c r="O949" s="230"/>
      <c r="P949" s="230"/>
      <c r="Q949" s="230"/>
      <c r="R949" s="230"/>
      <c r="S949" s="230"/>
      <c r="T949" s="230"/>
      <c r="U949" s="230"/>
      <c r="V949" s="230"/>
      <c r="W949" s="230"/>
      <c r="X949" s="230"/>
      <c r="Y949" s="230"/>
      <c r="Z949" s="230"/>
    </row>
    <row r="950">
      <c r="A950" s="230"/>
      <c r="B950" s="230"/>
      <c r="C950" s="230"/>
      <c r="D950" s="230"/>
      <c r="E950" s="230"/>
      <c r="F950" s="230"/>
      <c r="G950" s="230"/>
      <c r="H950" s="230"/>
      <c r="I950" s="230"/>
      <c r="J950" s="230"/>
      <c r="K950" s="230"/>
      <c r="L950" s="230"/>
      <c r="M950" s="230"/>
      <c r="N950" s="230"/>
      <c r="O950" s="230"/>
      <c r="P950" s="230"/>
      <c r="Q950" s="230"/>
      <c r="R950" s="230"/>
      <c r="S950" s="230"/>
      <c r="T950" s="230"/>
      <c r="U950" s="230"/>
      <c r="V950" s="230"/>
      <c r="W950" s="230"/>
      <c r="X950" s="230"/>
      <c r="Y950" s="230"/>
      <c r="Z950" s="230"/>
    </row>
    <row r="951">
      <c r="A951" s="230"/>
      <c r="B951" s="230"/>
      <c r="C951" s="230"/>
      <c r="D951" s="230"/>
      <c r="E951" s="230"/>
      <c r="F951" s="230"/>
      <c r="G951" s="230"/>
      <c r="H951" s="230"/>
      <c r="I951" s="230"/>
      <c r="J951" s="230"/>
      <c r="K951" s="230"/>
      <c r="L951" s="230"/>
      <c r="M951" s="230"/>
      <c r="N951" s="230"/>
      <c r="O951" s="230"/>
      <c r="P951" s="230"/>
      <c r="Q951" s="230"/>
      <c r="R951" s="230"/>
      <c r="S951" s="230"/>
      <c r="T951" s="230"/>
      <c r="U951" s="230"/>
      <c r="V951" s="230"/>
      <c r="W951" s="230"/>
      <c r="X951" s="230"/>
      <c r="Y951" s="230"/>
      <c r="Z951" s="230"/>
    </row>
    <row r="952">
      <c r="A952" s="230"/>
      <c r="B952" s="230"/>
      <c r="C952" s="230"/>
      <c r="D952" s="230"/>
      <c r="E952" s="230"/>
      <c r="F952" s="230"/>
      <c r="G952" s="230"/>
      <c r="H952" s="230"/>
      <c r="I952" s="230"/>
      <c r="J952" s="230"/>
      <c r="K952" s="230"/>
      <c r="L952" s="230"/>
      <c r="M952" s="230"/>
      <c r="N952" s="230"/>
      <c r="O952" s="230"/>
      <c r="P952" s="230"/>
      <c r="Q952" s="230"/>
      <c r="R952" s="230"/>
      <c r="S952" s="230"/>
      <c r="T952" s="230"/>
      <c r="U952" s="230"/>
      <c r="V952" s="230"/>
      <c r="W952" s="230"/>
      <c r="X952" s="230"/>
      <c r="Y952" s="230"/>
      <c r="Z952" s="230"/>
    </row>
    <row r="953">
      <c r="A953" s="230"/>
      <c r="B953" s="230"/>
      <c r="C953" s="230"/>
      <c r="D953" s="230"/>
      <c r="E953" s="230"/>
      <c r="F953" s="230"/>
      <c r="G953" s="230"/>
      <c r="H953" s="230"/>
      <c r="I953" s="230"/>
      <c r="J953" s="230"/>
      <c r="K953" s="230"/>
      <c r="L953" s="230"/>
      <c r="M953" s="230"/>
      <c r="N953" s="230"/>
      <c r="O953" s="230"/>
      <c r="P953" s="230"/>
      <c r="Q953" s="230"/>
      <c r="R953" s="230"/>
      <c r="S953" s="230"/>
      <c r="T953" s="230"/>
      <c r="U953" s="230"/>
      <c r="V953" s="230"/>
      <c r="W953" s="230"/>
      <c r="X953" s="230"/>
      <c r="Y953" s="230"/>
      <c r="Z953" s="230"/>
    </row>
    <row r="954">
      <c r="A954" s="230"/>
      <c r="B954" s="230"/>
      <c r="C954" s="230"/>
      <c r="D954" s="230"/>
      <c r="E954" s="230"/>
      <c r="F954" s="230"/>
      <c r="G954" s="230"/>
      <c r="H954" s="230"/>
      <c r="I954" s="230"/>
      <c r="J954" s="230"/>
      <c r="K954" s="230"/>
      <c r="L954" s="230"/>
      <c r="M954" s="230"/>
      <c r="N954" s="230"/>
      <c r="O954" s="230"/>
      <c r="P954" s="230"/>
      <c r="Q954" s="230"/>
      <c r="R954" s="230"/>
      <c r="S954" s="230"/>
      <c r="T954" s="230"/>
      <c r="U954" s="230"/>
      <c r="V954" s="230"/>
      <c r="W954" s="230"/>
      <c r="X954" s="230"/>
      <c r="Y954" s="230"/>
      <c r="Z954" s="230"/>
    </row>
    <row r="955">
      <c r="A955" s="230"/>
      <c r="B955" s="230"/>
      <c r="C955" s="230"/>
      <c r="D955" s="230"/>
      <c r="E955" s="230"/>
      <c r="F955" s="230"/>
      <c r="G955" s="230"/>
      <c r="H955" s="230"/>
      <c r="I955" s="230"/>
      <c r="J955" s="230"/>
      <c r="K955" s="230"/>
      <c r="L955" s="230"/>
      <c r="M955" s="230"/>
      <c r="N955" s="230"/>
      <c r="O955" s="230"/>
      <c r="P955" s="230"/>
      <c r="Q955" s="230"/>
      <c r="R955" s="230"/>
      <c r="S955" s="230"/>
      <c r="T955" s="230"/>
      <c r="U955" s="230"/>
      <c r="V955" s="230"/>
      <c r="W955" s="230"/>
      <c r="X955" s="230"/>
      <c r="Y955" s="230"/>
      <c r="Z955" s="230"/>
    </row>
    <row r="956">
      <c r="A956" s="230"/>
      <c r="B956" s="230"/>
      <c r="C956" s="230"/>
      <c r="D956" s="230"/>
      <c r="E956" s="230"/>
      <c r="F956" s="230"/>
      <c r="G956" s="230"/>
      <c r="H956" s="230"/>
      <c r="I956" s="230"/>
      <c r="J956" s="230"/>
      <c r="K956" s="230"/>
      <c r="L956" s="230"/>
      <c r="M956" s="230"/>
      <c r="N956" s="230"/>
      <c r="O956" s="230"/>
      <c r="P956" s="230"/>
      <c r="Q956" s="230"/>
      <c r="R956" s="230"/>
      <c r="S956" s="230"/>
      <c r="T956" s="230"/>
      <c r="U956" s="230"/>
      <c r="V956" s="230"/>
      <c r="W956" s="230"/>
      <c r="X956" s="230"/>
      <c r="Y956" s="230"/>
      <c r="Z956" s="230"/>
    </row>
    <row r="957">
      <c r="A957" s="230"/>
      <c r="B957" s="230"/>
      <c r="C957" s="230"/>
      <c r="D957" s="230"/>
      <c r="E957" s="230"/>
      <c r="F957" s="230"/>
      <c r="G957" s="230"/>
      <c r="H957" s="230"/>
      <c r="I957" s="230"/>
      <c r="J957" s="230"/>
      <c r="K957" s="230"/>
      <c r="L957" s="230"/>
      <c r="M957" s="230"/>
      <c r="N957" s="230"/>
      <c r="O957" s="230"/>
      <c r="P957" s="230"/>
      <c r="Q957" s="230"/>
      <c r="R957" s="230"/>
      <c r="S957" s="230"/>
      <c r="T957" s="230"/>
      <c r="U957" s="230"/>
      <c r="V957" s="230"/>
      <c r="W957" s="230"/>
      <c r="X957" s="230"/>
      <c r="Y957" s="230"/>
      <c r="Z957" s="230"/>
    </row>
    <row r="958">
      <c r="A958" s="230"/>
      <c r="B958" s="230"/>
      <c r="C958" s="230"/>
      <c r="D958" s="230"/>
      <c r="E958" s="230"/>
      <c r="F958" s="230"/>
      <c r="G958" s="230"/>
      <c r="H958" s="230"/>
      <c r="I958" s="230"/>
      <c r="J958" s="230"/>
      <c r="K958" s="230"/>
      <c r="L958" s="230"/>
      <c r="M958" s="230"/>
      <c r="N958" s="230"/>
      <c r="O958" s="230"/>
      <c r="P958" s="230"/>
      <c r="Q958" s="230"/>
      <c r="R958" s="230"/>
      <c r="S958" s="230"/>
      <c r="T958" s="230"/>
      <c r="U958" s="230"/>
      <c r="V958" s="230"/>
      <c r="W958" s="230"/>
      <c r="X958" s="230"/>
      <c r="Y958" s="230"/>
      <c r="Z958" s="230"/>
    </row>
    <row r="959">
      <c r="A959" s="230"/>
      <c r="B959" s="230"/>
      <c r="C959" s="230"/>
      <c r="D959" s="230"/>
      <c r="E959" s="230"/>
      <c r="F959" s="230"/>
      <c r="G959" s="230"/>
      <c r="H959" s="230"/>
      <c r="I959" s="230"/>
      <c r="J959" s="230"/>
      <c r="K959" s="230"/>
      <c r="L959" s="230"/>
      <c r="M959" s="230"/>
      <c r="N959" s="230"/>
      <c r="O959" s="230"/>
      <c r="P959" s="230"/>
      <c r="Q959" s="230"/>
      <c r="R959" s="230"/>
      <c r="S959" s="230"/>
      <c r="T959" s="230"/>
      <c r="U959" s="230"/>
      <c r="V959" s="230"/>
      <c r="W959" s="230"/>
      <c r="X959" s="230"/>
      <c r="Y959" s="230"/>
      <c r="Z959" s="230"/>
    </row>
    <row r="960">
      <c r="A960" s="230"/>
      <c r="B960" s="230"/>
      <c r="C960" s="230"/>
      <c r="D960" s="230"/>
      <c r="E960" s="230"/>
      <c r="F960" s="230"/>
      <c r="G960" s="230"/>
      <c r="H960" s="230"/>
      <c r="I960" s="230"/>
      <c r="J960" s="230"/>
      <c r="K960" s="230"/>
      <c r="L960" s="230"/>
      <c r="M960" s="230"/>
      <c r="N960" s="230"/>
      <c r="O960" s="230"/>
      <c r="P960" s="230"/>
      <c r="Q960" s="230"/>
      <c r="R960" s="230"/>
      <c r="S960" s="230"/>
      <c r="T960" s="230"/>
      <c r="U960" s="230"/>
      <c r="V960" s="230"/>
      <c r="W960" s="230"/>
      <c r="X960" s="230"/>
      <c r="Y960" s="230"/>
      <c r="Z960" s="230"/>
    </row>
    <row r="961">
      <c r="A961" s="230"/>
      <c r="B961" s="230"/>
      <c r="C961" s="230"/>
      <c r="D961" s="230"/>
      <c r="E961" s="230"/>
      <c r="F961" s="230"/>
      <c r="G961" s="230"/>
      <c r="H961" s="230"/>
      <c r="I961" s="230"/>
      <c r="J961" s="230"/>
      <c r="K961" s="230"/>
      <c r="L961" s="230"/>
      <c r="M961" s="230"/>
      <c r="N961" s="230"/>
      <c r="O961" s="230"/>
      <c r="P961" s="230"/>
      <c r="Q961" s="230"/>
      <c r="R961" s="230"/>
      <c r="S961" s="230"/>
      <c r="T961" s="230"/>
      <c r="U961" s="230"/>
      <c r="V961" s="230"/>
      <c r="W961" s="230"/>
      <c r="X961" s="230"/>
      <c r="Y961" s="230"/>
      <c r="Z961" s="230"/>
    </row>
    <row r="962">
      <c r="A962" s="230"/>
      <c r="B962" s="230"/>
      <c r="C962" s="230"/>
      <c r="D962" s="230"/>
      <c r="E962" s="230"/>
      <c r="F962" s="230"/>
      <c r="G962" s="230"/>
      <c r="H962" s="230"/>
      <c r="I962" s="230"/>
      <c r="J962" s="230"/>
      <c r="K962" s="230"/>
      <c r="L962" s="230"/>
      <c r="M962" s="230"/>
      <c r="N962" s="230"/>
      <c r="O962" s="230"/>
      <c r="P962" s="230"/>
      <c r="Q962" s="230"/>
      <c r="R962" s="230"/>
      <c r="S962" s="230"/>
      <c r="T962" s="230"/>
      <c r="U962" s="230"/>
      <c r="V962" s="230"/>
      <c r="W962" s="230"/>
      <c r="X962" s="230"/>
      <c r="Y962" s="230"/>
      <c r="Z962" s="230"/>
    </row>
    <row r="963">
      <c r="A963" s="230"/>
      <c r="B963" s="230"/>
      <c r="C963" s="230"/>
      <c r="D963" s="230"/>
      <c r="E963" s="230"/>
      <c r="F963" s="230"/>
      <c r="G963" s="230"/>
      <c r="H963" s="230"/>
      <c r="I963" s="230"/>
      <c r="J963" s="230"/>
      <c r="K963" s="230"/>
      <c r="L963" s="230"/>
      <c r="M963" s="230"/>
      <c r="N963" s="230"/>
      <c r="O963" s="230"/>
      <c r="P963" s="230"/>
      <c r="Q963" s="230"/>
      <c r="R963" s="230"/>
      <c r="S963" s="230"/>
      <c r="T963" s="230"/>
      <c r="U963" s="230"/>
      <c r="V963" s="230"/>
      <c r="W963" s="230"/>
      <c r="X963" s="230"/>
      <c r="Y963" s="230"/>
      <c r="Z963" s="230"/>
    </row>
    <row r="964">
      <c r="A964" s="230"/>
      <c r="B964" s="230"/>
      <c r="C964" s="230"/>
      <c r="D964" s="230"/>
      <c r="E964" s="230"/>
      <c r="F964" s="230"/>
      <c r="G964" s="230"/>
      <c r="H964" s="230"/>
      <c r="I964" s="230"/>
      <c r="J964" s="230"/>
      <c r="K964" s="230"/>
      <c r="L964" s="230"/>
      <c r="M964" s="230"/>
      <c r="N964" s="230"/>
      <c r="O964" s="230"/>
      <c r="P964" s="230"/>
      <c r="Q964" s="230"/>
      <c r="R964" s="230"/>
      <c r="S964" s="230"/>
      <c r="T964" s="230"/>
      <c r="U964" s="230"/>
      <c r="V964" s="230"/>
      <c r="W964" s="230"/>
      <c r="X964" s="230"/>
      <c r="Y964" s="230"/>
      <c r="Z964" s="230"/>
    </row>
    <row r="965">
      <c r="A965" s="230"/>
      <c r="B965" s="230"/>
      <c r="C965" s="230"/>
      <c r="D965" s="230"/>
      <c r="E965" s="230"/>
      <c r="F965" s="230"/>
      <c r="G965" s="230"/>
      <c r="H965" s="230"/>
      <c r="I965" s="230"/>
      <c r="J965" s="230"/>
      <c r="K965" s="230"/>
      <c r="L965" s="230"/>
      <c r="M965" s="230"/>
      <c r="N965" s="230"/>
      <c r="O965" s="230"/>
      <c r="P965" s="230"/>
      <c r="Q965" s="230"/>
      <c r="R965" s="230"/>
      <c r="S965" s="230"/>
      <c r="T965" s="230"/>
      <c r="U965" s="230"/>
      <c r="V965" s="230"/>
      <c r="W965" s="230"/>
      <c r="X965" s="230"/>
      <c r="Y965" s="230"/>
      <c r="Z965" s="230"/>
    </row>
    <row r="966">
      <c r="A966" s="230"/>
      <c r="B966" s="230"/>
      <c r="C966" s="230"/>
      <c r="D966" s="230"/>
      <c r="E966" s="230"/>
      <c r="F966" s="230"/>
      <c r="G966" s="230"/>
      <c r="H966" s="230"/>
      <c r="I966" s="230"/>
      <c r="J966" s="230"/>
      <c r="K966" s="230"/>
      <c r="L966" s="230"/>
      <c r="M966" s="230"/>
      <c r="N966" s="230"/>
      <c r="O966" s="230"/>
      <c r="P966" s="230"/>
      <c r="Q966" s="230"/>
      <c r="R966" s="230"/>
      <c r="S966" s="230"/>
      <c r="T966" s="230"/>
      <c r="U966" s="230"/>
      <c r="V966" s="230"/>
      <c r="W966" s="230"/>
      <c r="X966" s="230"/>
      <c r="Y966" s="230"/>
      <c r="Z966" s="230"/>
    </row>
    <row r="967">
      <c r="A967" s="230"/>
      <c r="B967" s="230"/>
      <c r="C967" s="230"/>
      <c r="D967" s="230"/>
      <c r="E967" s="230"/>
      <c r="F967" s="230"/>
      <c r="G967" s="230"/>
      <c r="H967" s="230"/>
      <c r="I967" s="230"/>
      <c r="J967" s="230"/>
      <c r="K967" s="230"/>
      <c r="L967" s="230"/>
      <c r="M967" s="230"/>
      <c r="N967" s="230"/>
      <c r="O967" s="230"/>
      <c r="P967" s="230"/>
      <c r="Q967" s="230"/>
      <c r="R967" s="230"/>
      <c r="S967" s="230"/>
      <c r="T967" s="230"/>
      <c r="U967" s="230"/>
      <c r="V967" s="230"/>
      <c r="W967" s="230"/>
      <c r="X967" s="230"/>
      <c r="Y967" s="230"/>
      <c r="Z967" s="230"/>
    </row>
    <row r="968">
      <c r="A968" s="230"/>
      <c r="B968" s="230"/>
      <c r="C968" s="230"/>
      <c r="D968" s="230"/>
      <c r="E968" s="230"/>
      <c r="F968" s="230"/>
      <c r="G968" s="230"/>
      <c r="H968" s="230"/>
      <c r="I968" s="230"/>
      <c r="J968" s="230"/>
      <c r="K968" s="230"/>
      <c r="L968" s="230"/>
      <c r="M968" s="230"/>
      <c r="N968" s="230"/>
      <c r="O968" s="230"/>
      <c r="P968" s="230"/>
      <c r="Q968" s="230"/>
      <c r="R968" s="230"/>
      <c r="S968" s="230"/>
      <c r="T968" s="230"/>
      <c r="U968" s="230"/>
      <c r="V968" s="230"/>
      <c r="W968" s="230"/>
      <c r="X968" s="230"/>
      <c r="Y968" s="230"/>
      <c r="Z968" s="230"/>
    </row>
    <row r="969">
      <c r="A969" s="230"/>
      <c r="B969" s="230"/>
      <c r="C969" s="230"/>
      <c r="D969" s="230"/>
      <c r="E969" s="230"/>
      <c r="F969" s="230"/>
      <c r="G969" s="230"/>
      <c r="H969" s="230"/>
      <c r="I969" s="230"/>
      <c r="J969" s="230"/>
      <c r="K969" s="230"/>
      <c r="L969" s="230"/>
      <c r="M969" s="230"/>
      <c r="N969" s="230"/>
      <c r="O969" s="230"/>
      <c r="P969" s="230"/>
      <c r="Q969" s="230"/>
      <c r="R969" s="230"/>
      <c r="S969" s="230"/>
      <c r="T969" s="230"/>
      <c r="U969" s="230"/>
      <c r="V969" s="230"/>
      <c r="W969" s="230"/>
      <c r="X969" s="230"/>
      <c r="Y969" s="230"/>
      <c r="Z969" s="230"/>
    </row>
    <row r="970">
      <c r="A970" s="230"/>
      <c r="B970" s="230"/>
      <c r="C970" s="230"/>
      <c r="D970" s="230"/>
      <c r="E970" s="230"/>
      <c r="F970" s="230"/>
      <c r="G970" s="230"/>
      <c r="H970" s="230"/>
      <c r="I970" s="230"/>
      <c r="J970" s="230"/>
      <c r="K970" s="230"/>
      <c r="L970" s="230"/>
      <c r="M970" s="230"/>
      <c r="N970" s="230"/>
      <c r="O970" s="230"/>
      <c r="P970" s="230"/>
      <c r="Q970" s="230"/>
      <c r="R970" s="230"/>
      <c r="S970" s="230"/>
      <c r="T970" s="230"/>
      <c r="U970" s="230"/>
      <c r="V970" s="230"/>
      <c r="W970" s="230"/>
      <c r="X970" s="230"/>
      <c r="Y970" s="230"/>
      <c r="Z970" s="230"/>
    </row>
    <row r="971">
      <c r="A971" s="230"/>
      <c r="B971" s="230"/>
      <c r="C971" s="230"/>
      <c r="D971" s="230"/>
      <c r="E971" s="230"/>
      <c r="F971" s="230"/>
      <c r="G971" s="230"/>
      <c r="H971" s="230"/>
      <c r="I971" s="230"/>
      <c r="J971" s="230"/>
      <c r="K971" s="230"/>
      <c r="L971" s="230"/>
      <c r="M971" s="230"/>
      <c r="N971" s="230"/>
      <c r="O971" s="230"/>
      <c r="P971" s="230"/>
      <c r="Q971" s="230"/>
      <c r="R971" s="230"/>
      <c r="S971" s="230"/>
      <c r="T971" s="230"/>
      <c r="U971" s="230"/>
      <c r="V971" s="230"/>
      <c r="W971" s="230"/>
      <c r="X971" s="230"/>
      <c r="Y971" s="230"/>
      <c r="Z971" s="230"/>
    </row>
    <row r="972">
      <c r="A972" s="230"/>
      <c r="B972" s="230"/>
      <c r="C972" s="230"/>
      <c r="D972" s="230"/>
      <c r="E972" s="230"/>
      <c r="F972" s="230"/>
      <c r="G972" s="230"/>
      <c r="H972" s="230"/>
      <c r="I972" s="230"/>
      <c r="J972" s="230"/>
      <c r="K972" s="230"/>
      <c r="L972" s="230"/>
      <c r="M972" s="230"/>
      <c r="N972" s="230"/>
      <c r="O972" s="230"/>
      <c r="P972" s="230"/>
      <c r="Q972" s="230"/>
      <c r="R972" s="230"/>
      <c r="S972" s="230"/>
      <c r="T972" s="230"/>
      <c r="U972" s="230"/>
      <c r="V972" s="230"/>
      <c r="W972" s="230"/>
      <c r="X972" s="230"/>
      <c r="Y972" s="230"/>
      <c r="Z972" s="230"/>
    </row>
    <row r="973">
      <c r="A973" s="230"/>
      <c r="B973" s="230"/>
      <c r="C973" s="230"/>
      <c r="D973" s="230"/>
      <c r="E973" s="230"/>
      <c r="F973" s="230"/>
      <c r="G973" s="230"/>
      <c r="H973" s="230"/>
      <c r="I973" s="230"/>
      <c r="J973" s="230"/>
      <c r="K973" s="230"/>
      <c r="L973" s="230"/>
      <c r="M973" s="230"/>
      <c r="N973" s="230"/>
      <c r="O973" s="230"/>
      <c r="P973" s="230"/>
      <c r="Q973" s="230"/>
      <c r="R973" s="230"/>
      <c r="S973" s="230"/>
      <c r="T973" s="230"/>
      <c r="U973" s="230"/>
      <c r="V973" s="230"/>
      <c r="W973" s="230"/>
      <c r="X973" s="230"/>
      <c r="Y973" s="230"/>
      <c r="Z973" s="230"/>
    </row>
    <row r="974">
      <c r="A974" s="230"/>
      <c r="B974" s="230"/>
      <c r="C974" s="230"/>
      <c r="D974" s="230"/>
      <c r="E974" s="230"/>
      <c r="F974" s="230"/>
      <c r="G974" s="230"/>
      <c r="H974" s="230"/>
      <c r="I974" s="230"/>
      <c r="J974" s="230"/>
      <c r="K974" s="230"/>
      <c r="L974" s="230"/>
      <c r="M974" s="230"/>
      <c r="N974" s="230"/>
      <c r="O974" s="230"/>
      <c r="P974" s="230"/>
      <c r="Q974" s="230"/>
      <c r="R974" s="230"/>
      <c r="S974" s="230"/>
      <c r="T974" s="230"/>
      <c r="U974" s="230"/>
      <c r="V974" s="230"/>
      <c r="W974" s="230"/>
      <c r="X974" s="230"/>
      <c r="Y974" s="230"/>
      <c r="Z974" s="230"/>
    </row>
    <row r="975">
      <c r="A975" s="230"/>
      <c r="B975" s="230"/>
      <c r="C975" s="230"/>
      <c r="D975" s="230"/>
      <c r="E975" s="230"/>
      <c r="F975" s="230"/>
      <c r="G975" s="230"/>
      <c r="H975" s="230"/>
      <c r="I975" s="230"/>
      <c r="J975" s="230"/>
      <c r="K975" s="230"/>
      <c r="L975" s="230"/>
      <c r="M975" s="230"/>
      <c r="N975" s="230"/>
      <c r="O975" s="230"/>
      <c r="P975" s="230"/>
      <c r="Q975" s="230"/>
      <c r="R975" s="230"/>
      <c r="S975" s="230"/>
      <c r="T975" s="230"/>
      <c r="U975" s="230"/>
      <c r="V975" s="230"/>
      <c r="W975" s="230"/>
      <c r="X975" s="230"/>
      <c r="Y975" s="230"/>
      <c r="Z975" s="230"/>
    </row>
    <row r="976">
      <c r="A976" s="230"/>
      <c r="B976" s="230"/>
      <c r="C976" s="230"/>
      <c r="D976" s="230"/>
      <c r="E976" s="230"/>
      <c r="F976" s="230"/>
      <c r="G976" s="230"/>
      <c r="H976" s="230"/>
      <c r="I976" s="230"/>
      <c r="J976" s="230"/>
      <c r="K976" s="230"/>
      <c r="L976" s="230"/>
      <c r="M976" s="230"/>
      <c r="N976" s="230"/>
      <c r="O976" s="230"/>
      <c r="P976" s="230"/>
      <c r="Q976" s="230"/>
      <c r="R976" s="230"/>
      <c r="S976" s="230"/>
      <c r="T976" s="230"/>
      <c r="U976" s="230"/>
      <c r="V976" s="230"/>
      <c r="W976" s="230"/>
      <c r="X976" s="230"/>
      <c r="Y976" s="230"/>
      <c r="Z976" s="230"/>
    </row>
    <row r="977">
      <c r="A977" s="230"/>
      <c r="B977" s="230"/>
      <c r="C977" s="230"/>
      <c r="D977" s="230"/>
      <c r="E977" s="230"/>
      <c r="F977" s="230"/>
      <c r="G977" s="230"/>
      <c r="H977" s="230"/>
      <c r="I977" s="230"/>
      <c r="J977" s="230"/>
      <c r="K977" s="230"/>
      <c r="L977" s="230"/>
      <c r="M977" s="230"/>
      <c r="N977" s="230"/>
      <c r="O977" s="230"/>
      <c r="P977" s="230"/>
      <c r="Q977" s="230"/>
      <c r="R977" s="230"/>
      <c r="S977" s="230"/>
      <c r="T977" s="230"/>
      <c r="U977" s="230"/>
      <c r="V977" s="230"/>
      <c r="W977" s="230"/>
      <c r="X977" s="230"/>
      <c r="Y977" s="230"/>
      <c r="Z977" s="230"/>
    </row>
    <row r="978">
      <c r="A978" s="230"/>
      <c r="B978" s="230"/>
      <c r="C978" s="230"/>
      <c r="D978" s="230"/>
      <c r="E978" s="230"/>
      <c r="F978" s="230"/>
      <c r="G978" s="230"/>
      <c r="H978" s="230"/>
      <c r="I978" s="230"/>
      <c r="J978" s="230"/>
      <c r="K978" s="230"/>
      <c r="L978" s="230"/>
      <c r="M978" s="230"/>
      <c r="N978" s="230"/>
      <c r="O978" s="230"/>
      <c r="P978" s="230"/>
      <c r="Q978" s="230"/>
      <c r="R978" s="230"/>
      <c r="S978" s="230"/>
      <c r="T978" s="230"/>
      <c r="U978" s="230"/>
      <c r="V978" s="230"/>
      <c r="W978" s="230"/>
      <c r="X978" s="230"/>
      <c r="Y978" s="230"/>
      <c r="Z978" s="230"/>
    </row>
    <row r="979">
      <c r="A979" s="230"/>
      <c r="B979" s="230"/>
      <c r="C979" s="230"/>
      <c r="D979" s="230"/>
      <c r="E979" s="230"/>
      <c r="F979" s="230"/>
      <c r="G979" s="230"/>
      <c r="H979" s="230"/>
      <c r="I979" s="230"/>
      <c r="J979" s="230"/>
      <c r="K979" s="230"/>
      <c r="L979" s="230"/>
      <c r="M979" s="230"/>
      <c r="N979" s="230"/>
      <c r="O979" s="230"/>
      <c r="P979" s="230"/>
      <c r="Q979" s="230"/>
      <c r="R979" s="230"/>
      <c r="S979" s="230"/>
      <c r="T979" s="230"/>
      <c r="U979" s="230"/>
      <c r="V979" s="230"/>
      <c r="W979" s="230"/>
      <c r="X979" s="230"/>
      <c r="Y979" s="230"/>
      <c r="Z979" s="230"/>
    </row>
    <row r="980">
      <c r="A980" s="230"/>
      <c r="B980" s="230"/>
      <c r="C980" s="230"/>
      <c r="D980" s="230"/>
      <c r="E980" s="230"/>
      <c r="F980" s="230"/>
      <c r="G980" s="230"/>
      <c r="H980" s="230"/>
      <c r="I980" s="230"/>
      <c r="J980" s="230"/>
      <c r="K980" s="230"/>
      <c r="L980" s="230"/>
      <c r="M980" s="230"/>
      <c r="N980" s="230"/>
      <c r="O980" s="230"/>
      <c r="P980" s="230"/>
      <c r="Q980" s="230"/>
      <c r="R980" s="230"/>
      <c r="S980" s="230"/>
      <c r="T980" s="230"/>
      <c r="U980" s="230"/>
      <c r="V980" s="230"/>
      <c r="W980" s="230"/>
      <c r="X980" s="230"/>
      <c r="Y980" s="230"/>
      <c r="Z980" s="230"/>
    </row>
    <row r="981">
      <c r="A981" s="230"/>
      <c r="B981" s="230"/>
      <c r="C981" s="230"/>
      <c r="D981" s="230"/>
      <c r="E981" s="230"/>
      <c r="F981" s="230"/>
      <c r="G981" s="230"/>
      <c r="H981" s="230"/>
      <c r="I981" s="230"/>
      <c r="J981" s="230"/>
      <c r="K981" s="230"/>
      <c r="L981" s="230"/>
      <c r="M981" s="230"/>
      <c r="N981" s="230"/>
      <c r="O981" s="230"/>
      <c r="P981" s="230"/>
      <c r="Q981" s="230"/>
      <c r="R981" s="230"/>
      <c r="S981" s="230"/>
      <c r="T981" s="230"/>
      <c r="U981" s="230"/>
      <c r="V981" s="230"/>
      <c r="W981" s="230"/>
      <c r="X981" s="230"/>
      <c r="Y981" s="230"/>
      <c r="Z981" s="230"/>
    </row>
    <row r="982">
      <c r="A982" s="230"/>
      <c r="B982" s="230"/>
      <c r="C982" s="230"/>
      <c r="D982" s="230"/>
      <c r="E982" s="230"/>
      <c r="F982" s="230"/>
      <c r="G982" s="230"/>
      <c r="H982" s="230"/>
      <c r="I982" s="230"/>
      <c r="J982" s="230"/>
      <c r="K982" s="230"/>
      <c r="L982" s="230"/>
      <c r="M982" s="230"/>
      <c r="N982" s="230"/>
      <c r="O982" s="230"/>
      <c r="P982" s="230"/>
      <c r="Q982" s="230"/>
      <c r="R982" s="230"/>
      <c r="S982" s="230"/>
      <c r="T982" s="230"/>
      <c r="U982" s="230"/>
      <c r="V982" s="230"/>
      <c r="W982" s="230"/>
      <c r="X982" s="230"/>
      <c r="Y982" s="230"/>
      <c r="Z982" s="230"/>
    </row>
    <row r="983">
      <c r="A983" s="230"/>
      <c r="B983" s="230"/>
      <c r="C983" s="230"/>
      <c r="D983" s="230"/>
      <c r="E983" s="230"/>
      <c r="F983" s="230"/>
      <c r="G983" s="230"/>
      <c r="H983" s="230"/>
      <c r="I983" s="230"/>
      <c r="J983" s="230"/>
      <c r="K983" s="230"/>
      <c r="L983" s="230"/>
      <c r="M983" s="230"/>
      <c r="N983" s="230"/>
      <c r="O983" s="230"/>
      <c r="P983" s="230"/>
      <c r="Q983" s="230"/>
      <c r="R983" s="230"/>
      <c r="S983" s="230"/>
      <c r="T983" s="230"/>
      <c r="U983" s="230"/>
      <c r="V983" s="230"/>
      <c r="W983" s="230"/>
      <c r="X983" s="230"/>
      <c r="Y983" s="230"/>
      <c r="Z983" s="230"/>
    </row>
    <row r="984">
      <c r="A984" s="230"/>
      <c r="B984" s="230"/>
      <c r="C984" s="230"/>
      <c r="D984" s="230"/>
      <c r="E984" s="230"/>
      <c r="F984" s="230"/>
      <c r="G984" s="230"/>
      <c r="H984" s="230"/>
      <c r="I984" s="230"/>
      <c r="J984" s="230"/>
      <c r="K984" s="230"/>
      <c r="L984" s="230"/>
      <c r="M984" s="230"/>
      <c r="N984" s="230"/>
      <c r="O984" s="230"/>
      <c r="P984" s="230"/>
      <c r="Q984" s="230"/>
      <c r="R984" s="230"/>
      <c r="S984" s="230"/>
      <c r="T984" s="230"/>
      <c r="U984" s="230"/>
      <c r="V984" s="230"/>
      <c r="W984" s="230"/>
      <c r="X984" s="230"/>
      <c r="Y984" s="230"/>
      <c r="Z984" s="230"/>
    </row>
    <row r="985">
      <c r="A985" s="230"/>
      <c r="B985" s="230"/>
      <c r="C985" s="230"/>
      <c r="D985" s="230"/>
      <c r="E985" s="230"/>
      <c r="F985" s="230"/>
      <c r="G985" s="230"/>
      <c r="H985" s="230"/>
      <c r="I985" s="230"/>
      <c r="J985" s="230"/>
      <c r="K985" s="230"/>
      <c r="L985" s="230"/>
      <c r="M985" s="230"/>
      <c r="N985" s="230"/>
      <c r="O985" s="230"/>
      <c r="P985" s="230"/>
      <c r="Q985" s="230"/>
      <c r="R985" s="230"/>
      <c r="S985" s="230"/>
      <c r="T985" s="230"/>
      <c r="U985" s="230"/>
      <c r="V985" s="230"/>
      <c r="W985" s="230"/>
      <c r="X985" s="230"/>
      <c r="Y985" s="230"/>
      <c r="Z985" s="230"/>
    </row>
    <row r="986">
      <c r="A986" s="230"/>
      <c r="B986" s="230"/>
      <c r="C986" s="230"/>
      <c r="D986" s="230"/>
      <c r="E986" s="230"/>
      <c r="F986" s="230"/>
      <c r="G986" s="230"/>
      <c r="H986" s="230"/>
      <c r="I986" s="230"/>
      <c r="J986" s="230"/>
      <c r="K986" s="230"/>
      <c r="L986" s="230"/>
      <c r="M986" s="230"/>
      <c r="N986" s="230"/>
      <c r="O986" s="230"/>
      <c r="P986" s="230"/>
      <c r="Q986" s="230"/>
      <c r="R986" s="230"/>
      <c r="S986" s="230"/>
      <c r="T986" s="230"/>
      <c r="U986" s="230"/>
      <c r="V986" s="230"/>
      <c r="W986" s="230"/>
      <c r="X986" s="230"/>
      <c r="Y986" s="230"/>
      <c r="Z986" s="230"/>
    </row>
    <row r="987">
      <c r="A987" s="230"/>
      <c r="B987" s="230"/>
      <c r="C987" s="230"/>
      <c r="D987" s="230"/>
      <c r="E987" s="230"/>
      <c r="F987" s="230"/>
      <c r="G987" s="230"/>
      <c r="H987" s="230"/>
      <c r="I987" s="230"/>
      <c r="J987" s="230"/>
      <c r="K987" s="230"/>
      <c r="L987" s="230"/>
      <c r="M987" s="230"/>
      <c r="N987" s="230"/>
      <c r="O987" s="230"/>
      <c r="P987" s="230"/>
      <c r="Q987" s="230"/>
      <c r="R987" s="230"/>
      <c r="S987" s="230"/>
      <c r="T987" s="230"/>
      <c r="U987" s="230"/>
      <c r="V987" s="230"/>
      <c r="W987" s="230"/>
      <c r="X987" s="230"/>
      <c r="Y987" s="230"/>
      <c r="Z987" s="230"/>
    </row>
    <row r="988">
      <c r="A988" s="230"/>
      <c r="B988" s="230"/>
      <c r="C988" s="230"/>
      <c r="D988" s="230"/>
      <c r="E988" s="230"/>
      <c r="F988" s="230"/>
      <c r="G988" s="230"/>
      <c r="H988" s="230"/>
      <c r="I988" s="230"/>
      <c r="J988" s="230"/>
      <c r="K988" s="230"/>
      <c r="L988" s="230"/>
      <c r="M988" s="230"/>
      <c r="N988" s="230"/>
      <c r="O988" s="230"/>
      <c r="P988" s="230"/>
      <c r="Q988" s="230"/>
      <c r="R988" s="230"/>
      <c r="S988" s="230"/>
      <c r="T988" s="230"/>
      <c r="U988" s="230"/>
      <c r="V988" s="230"/>
      <c r="W988" s="230"/>
      <c r="X988" s="230"/>
      <c r="Y988" s="230"/>
      <c r="Z988" s="230"/>
    </row>
    <row r="989">
      <c r="A989" s="230"/>
      <c r="B989" s="230"/>
      <c r="C989" s="230"/>
      <c r="D989" s="230"/>
      <c r="E989" s="230"/>
      <c r="F989" s="230"/>
      <c r="G989" s="230"/>
      <c r="H989" s="230"/>
      <c r="I989" s="230"/>
      <c r="J989" s="230"/>
      <c r="K989" s="230"/>
      <c r="L989" s="230"/>
      <c r="M989" s="230"/>
      <c r="N989" s="230"/>
      <c r="O989" s="230"/>
      <c r="P989" s="230"/>
      <c r="Q989" s="230"/>
      <c r="R989" s="230"/>
      <c r="S989" s="230"/>
      <c r="T989" s="230"/>
      <c r="U989" s="230"/>
      <c r="V989" s="230"/>
      <c r="W989" s="230"/>
      <c r="X989" s="230"/>
      <c r="Y989" s="230"/>
      <c r="Z989" s="230"/>
    </row>
    <row r="990">
      <c r="A990" s="230"/>
      <c r="B990" s="230"/>
      <c r="C990" s="230"/>
      <c r="D990" s="230"/>
      <c r="E990" s="230"/>
      <c r="F990" s="230"/>
      <c r="G990" s="230"/>
      <c r="H990" s="230"/>
      <c r="I990" s="230"/>
      <c r="J990" s="230"/>
      <c r="K990" s="230"/>
      <c r="L990" s="230"/>
      <c r="M990" s="230"/>
      <c r="N990" s="230"/>
      <c r="O990" s="230"/>
      <c r="P990" s="230"/>
      <c r="Q990" s="230"/>
      <c r="R990" s="230"/>
      <c r="S990" s="230"/>
      <c r="T990" s="230"/>
      <c r="U990" s="230"/>
      <c r="V990" s="230"/>
      <c r="W990" s="230"/>
      <c r="X990" s="230"/>
      <c r="Y990" s="230"/>
      <c r="Z990" s="230"/>
    </row>
    <row r="991">
      <c r="A991" s="230"/>
      <c r="B991" s="230"/>
      <c r="C991" s="230"/>
      <c r="D991" s="230"/>
      <c r="E991" s="230"/>
      <c r="F991" s="230"/>
      <c r="G991" s="230"/>
      <c r="H991" s="230"/>
      <c r="I991" s="230"/>
      <c r="J991" s="230"/>
      <c r="K991" s="230"/>
      <c r="L991" s="230"/>
      <c r="M991" s="230"/>
      <c r="N991" s="230"/>
      <c r="O991" s="230"/>
      <c r="P991" s="230"/>
      <c r="Q991" s="230"/>
      <c r="R991" s="230"/>
      <c r="S991" s="230"/>
      <c r="T991" s="230"/>
      <c r="U991" s="230"/>
      <c r="V991" s="230"/>
      <c r="W991" s="230"/>
      <c r="X991" s="230"/>
      <c r="Y991" s="230"/>
      <c r="Z991" s="230"/>
    </row>
    <row r="992">
      <c r="A992" s="230"/>
      <c r="B992" s="230"/>
      <c r="C992" s="230"/>
      <c r="D992" s="230"/>
      <c r="E992" s="230"/>
      <c r="F992" s="230"/>
      <c r="G992" s="230"/>
      <c r="H992" s="230"/>
      <c r="I992" s="230"/>
      <c r="J992" s="230"/>
      <c r="K992" s="230"/>
      <c r="L992" s="230"/>
      <c r="M992" s="230"/>
      <c r="N992" s="230"/>
      <c r="O992" s="230"/>
      <c r="P992" s="230"/>
      <c r="Q992" s="230"/>
      <c r="R992" s="230"/>
      <c r="S992" s="230"/>
      <c r="T992" s="230"/>
      <c r="U992" s="230"/>
      <c r="V992" s="230"/>
      <c r="W992" s="230"/>
      <c r="X992" s="230"/>
      <c r="Y992" s="230"/>
      <c r="Z992" s="230"/>
    </row>
    <row r="993">
      <c r="A993" s="230"/>
      <c r="B993" s="230"/>
      <c r="C993" s="230"/>
      <c r="D993" s="230"/>
      <c r="E993" s="230"/>
      <c r="F993" s="230"/>
      <c r="G993" s="230"/>
      <c r="H993" s="230"/>
      <c r="I993" s="230"/>
      <c r="J993" s="230"/>
      <c r="K993" s="230"/>
      <c r="L993" s="230"/>
      <c r="M993" s="230"/>
      <c r="N993" s="230"/>
      <c r="O993" s="230"/>
      <c r="P993" s="230"/>
      <c r="Q993" s="230"/>
      <c r="R993" s="230"/>
      <c r="S993" s="230"/>
      <c r="T993" s="230"/>
      <c r="U993" s="230"/>
      <c r="V993" s="230"/>
      <c r="W993" s="230"/>
      <c r="X993" s="230"/>
      <c r="Y993" s="230"/>
      <c r="Z993" s="230"/>
    </row>
    <row r="994">
      <c r="A994" s="230"/>
      <c r="B994" s="230"/>
      <c r="C994" s="230"/>
      <c r="D994" s="230"/>
      <c r="E994" s="230"/>
      <c r="F994" s="230"/>
      <c r="G994" s="230"/>
      <c r="H994" s="230"/>
      <c r="I994" s="230"/>
      <c r="J994" s="230"/>
      <c r="K994" s="230"/>
      <c r="L994" s="230"/>
      <c r="M994" s="230"/>
      <c r="N994" s="230"/>
      <c r="O994" s="230"/>
      <c r="P994" s="230"/>
      <c r="Q994" s="230"/>
      <c r="R994" s="230"/>
      <c r="S994" s="230"/>
      <c r="T994" s="230"/>
      <c r="U994" s="230"/>
      <c r="V994" s="230"/>
      <c r="W994" s="230"/>
      <c r="X994" s="230"/>
      <c r="Y994" s="230"/>
      <c r="Z994" s="230"/>
    </row>
    <row r="995">
      <c r="A995" s="230"/>
      <c r="B995" s="230"/>
      <c r="C995" s="230"/>
      <c r="D995" s="230"/>
      <c r="E995" s="230"/>
      <c r="F995" s="230"/>
      <c r="G995" s="230"/>
      <c r="H995" s="230"/>
      <c r="I995" s="230"/>
      <c r="J995" s="230"/>
      <c r="K995" s="230"/>
      <c r="L995" s="230"/>
      <c r="M995" s="230"/>
      <c r="N995" s="230"/>
      <c r="O995" s="230"/>
      <c r="P995" s="230"/>
      <c r="Q995" s="230"/>
      <c r="R995" s="230"/>
      <c r="S995" s="230"/>
      <c r="T995" s="230"/>
      <c r="U995" s="230"/>
      <c r="V995" s="230"/>
      <c r="W995" s="230"/>
      <c r="X995" s="230"/>
      <c r="Y995" s="230"/>
      <c r="Z995" s="230"/>
    </row>
    <row r="996">
      <c r="A996" s="230"/>
      <c r="B996" s="230"/>
      <c r="C996" s="230"/>
      <c r="D996" s="230"/>
      <c r="E996" s="230"/>
      <c r="F996" s="230"/>
      <c r="G996" s="230"/>
      <c r="H996" s="230"/>
      <c r="I996" s="230"/>
      <c r="J996" s="230"/>
      <c r="K996" s="230"/>
      <c r="L996" s="230"/>
      <c r="M996" s="230"/>
      <c r="N996" s="230"/>
      <c r="O996" s="230"/>
      <c r="P996" s="230"/>
      <c r="Q996" s="230"/>
      <c r="R996" s="230"/>
      <c r="S996" s="230"/>
      <c r="T996" s="230"/>
      <c r="U996" s="230"/>
      <c r="V996" s="230"/>
      <c r="W996" s="230"/>
      <c r="X996" s="230"/>
      <c r="Y996" s="230"/>
      <c r="Z996" s="230"/>
    </row>
    <row r="997">
      <c r="A997" s="230"/>
      <c r="B997" s="230"/>
      <c r="C997" s="230"/>
      <c r="D997" s="230"/>
      <c r="E997" s="230"/>
      <c r="F997" s="230"/>
      <c r="G997" s="230"/>
      <c r="H997" s="230"/>
      <c r="I997" s="230"/>
      <c r="J997" s="230"/>
      <c r="K997" s="230"/>
      <c r="L997" s="230"/>
      <c r="M997" s="230"/>
      <c r="N997" s="230"/>
      <c r="O997" s="230"/>
      <c r="P997" s="230"/>
      <c r="Q997" s="230"/>
      <c r="R997" s="230"/>
      <c r="S997" s="230"/>
      <c r="T997" s="230"/>
      <c r="U997" s="230"/>
      <c r="V997" s="230"/>
      <c r="W997" s="230"/>
      <c r="X997" s="230"/>
      <c r="Y997" s="230"/>
      <c r="Z997" s="230"/>
    </row>
    <row r="998">
      <c r="A998" s="230"/>
      <c r="B998" s="230"/>
      <c r="C998" s="230"/>
      <c r="D998" s="230"/>
      <c r="E998" s="230"/>
      <c r="F998" s="230"/>
      <c r="G998" s="230"/>
      <c r="H998" s="230"/>
      <c r="I998" s="230"/>
      <c r="J998" s="230"/>
      <c r="K998" s="230"/>
      <c r="L998" s="230"/>
      <c r="M998" s="230"/>
      <c r="N998" s="230"/>
      <c r="O998" s="230"/>
      <c r="P998" s="230"/>
      <c r="Q998" s="230"/>
      <c r="R998" s="230"/>
      <c r="S998" s="230"/>
      <c r="T998" s="230"/>
      <c r="U998" s="230"/>
      <c r="V998" s="230"/>
      <c r="W998" s="230"/>
      <c r="X998" s="230"/>
      <c r="Y998" s="230"/>
      <c r="Z998" s="230"/>
    </row>
    <row r="999">
      <c r="A999" s="230"/>
      <c r="B999" s="230"/>
      <c r="C999" s="230"/>
      <c r="D999" s="230"/>
      <c r="E999" s="230"/>
      <c r="F999" s="230"/>
      <c r="G999" s="230"/>
      <c r="H999" s="230"/>
      <c r="I999" s="230"/>
      <c r="J999" s="230"/>
      <c r="K999" s="230"/>
      <c r="L999" s="230"/>
      <c r="M999" s="230"/>
      <c r="N999" s="230"/>
      <c r="O999" s="230"/>
      <c r="P999" s="230"/>
      <c r="Q999" s="230"/>
      <c r="R999" s="230"/>
      <c r="S999" s="230"/>
      <c r="T999" s="230"/>
      <c r="U999" s="230"/>
      <c r="V999" s="230"/>
      <c r="W999" s="230"/>
      <c r="X999" s="230"/>
      <c r="Y999" s="230"/>
      <c r="Z999" s="230"/>
    </row>
    <row r="1000">
      <c r="A1000" s="230"/>
      <c r="B1000" s="230"/>
      <c r="C1000" s="230"/>
      <c r="D1000" s="230"/>
      <c r="E1000" s="230"/>
      <c r="F1000" s="230"/>
      <c r="G1000" s="230"/>
      <c r="H1000" s="230"/>
      <c r="I1000" s="230"/>
      <c r="J1000" s="230"/>
      <c r="K1000" s="230"/>
      <c r="L1000" s="230"/>
      <c r="M1000" s="230"/>
      <c r="N1000" s="230"/>
      <c r="O1000" s="230"/>
      <c r="P1000" s="230"/>
      <c r="Q1000" s="230"/>
      <c r="R1000" s="230"/>
      <c r="S1000" s="230"/>
      <c r="T1000" s="230"/>
      <c r="U1000" s="230"/>
      <c r="V1000" s="230"/>
      <c r="W1000" s="230"/>
      <c r="X1000" s="230"/>
      <c r="Y1000" s="230"/>
      <c r="Z1000" s="23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s>
  <sheetData>
    <row r="1">
      <c r="B1" s="96" t="s">
        <v>128</v>
      </c>
    </row>
    <row r="2">
      <c r="B2" s="96">
        <v>0.0</v>
      </c>
      <c r="C2" s="96">
        <v>0.0</v>
      </c>
    </row>
    <row r="3">
      <c r="B3" s="96">
        <v>1.0</v>
      </c>
      <c r="C3" s="96">
        <v>20.0</v>
      </c>
    </row>
    <row r="4">
      <c r="B4" s="96">
        <v>2.0</v>
      </c>
      <c r="C4" s="96">
        <v>30.0</v>
      </c>
    </row>
    <row r="5">
      <c r="B5" s="96">
        <v>3.0</v>
      </c>
      <c r="C5" s="96">
        <v>40.0</v>
      </c>
    </row>
    <row r="6">
      <c r="B6" s="96">
        <v>4.0</v>
      </c>
      <c r="C6" s="96">
        <v>50.0</v>
      </c>
    </row>
    <row r="7">
      <c r="B7" s="96">
        <v>5.0</v>
      </c>
      <c r="C7" s="96">
        <v>60.0</v>
      </c>
    </row>
    <row r="8">
      <c r="B8" s="96">
        <v>6.0</v>
      </c>
      <c r="C8" s="96">
        <v>70.0</v>
      </c>
    </row>
    <row r="9">
      <c r="B9" s="96">
        <v>7.0</v>
      </c>
      <c r="C9" s="96">
        <v>80.0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1.5"/>
  </cols>
  <sheetData>
    <row r="1">
      <c r="A1" s="242" t="str">
        <f>IFERROR(__xludf.DUMMYFUNCTION("IMPORTRANGE(""https://docs.google.com/spreadsheets/d/1oJmkDK37Qizzdaxn4KCwh1BMwdNWuHCx3AGH8BC9yu0/edit#gid=781951868"",""キャラ!A:Z"")"),"作品ID")</f>
        <v>作品ID</v>
      </c>
      <c r="B1" s="242" t="str">
        <f>IFERROR(__xludf.DUMMYFUNCTION("""COMPUTED_VALUE"""),"作品名")</f>
        <v>作品名</v>
      </c>
      <c r="C1" s="242" t="str">
        <f>IFERROR(__xludf.DUMMYFUNCTION("""COMPUTED_VALUE"""),"識別ID")</f>
        <v>識別ID</v>
      </c>
      <c r="D1" s="243" t="str">
        <f>IFERROR(__xludf.DUMMYFUNCTION("""COMPUTED_VALUE"""),"キャラ_ID")</f>
        <v>キャラ_ID</v>
      </c>
      <c r="E1" s="244" t="str">
        <f>IFERROR(__xludf.DUMMYFUNCTION("""COMPUTED_VALUE"""),"キャラ名（仮）")</f>
        <v>キャラ名（仮）</v>
      </c>
      <c r="F1" s="242" t="str">
        <f>IFERROR(__xludf.DUMMYFUNCTION("""COMPUTED_VALUE"""),"キャラ名（監修FIX）")</f>
        <v>キャラ名（監修FIX）</v>
      </c>
      <c r="G1" s="242" t="str">
        <f>IFERROR(__xludf.DUMMYFUNCTION("""COMPUTED_VALUE"""),"必殺ワザ名（監修FIX）")</f>
        <v>必殺ワザ名（監修FIX）</v>
      </c>
      <c r="H1" s="242" t="str">
        <f>IFERROR(__xludf.DUMMYFUNCTION("""COMPUTED_VALUE"""),"レアリティ")</f>
        <v>レアリティ</v>
      </c>
      <c r="I1" s="242" t="str">
        <f>IFERROR(__xludf.DUMMYFUNCTION("""COMPUTED_VALUE"""),"ラベル")</f>
        <v>ラベル</v>
      </c>
      <c r="J1" s="242" t="str">
        <f>IFERROR(__xludf.DUMMYFUNCTION("""COMPUTED_VALUE"""),"属性")</f>
        <v>属性</v>
      </c>
      <c r="K1" s="242" t="str">
        <f>IFERROR(__xludf.DUMMYFUNCTION("""COMPUTED_VALUE"""),"キャラ立ち位置")</f>
        <v>キャラ立ち位置</v>
      </c>
      <c r="L1" s="242" t="str">
        <f>IFERROR(__xludf.DUMMYFUNCTION("""COMPUTED_VALUE"""),"ロール")</f>
        <v>ロール</v>
      </c>
      <c r="M1" s="242" t="str">
        <f>IFERROR(__xludf.DUMMYFUNCTION("""COMPUTED_VALUE"""),"通常攻撃モーション")</f>
        <v>通常攻撃モーション</v>
      </c>
      <c r="N1" s="245" t="str">
        <f>IFERROR(__xludf.DUMMYFUNCTION("""COMPUTED_VALUE"""),"攻撃射程")</f>
        <v>攻撃射程</v>
      </c>
      <c r="O1" s="245" t="str">
        <f>IFERROR(__xludf.DUMMYFUNCTION("""COMPUTED_VALUE"""),"必殺ワザモーション")</f>
        <v>必殺ワザモーション</v>
      </c>
      <c r="P1" s="245" t="str">
        <f>IFERROR(__xludf.DUMMYFUNCTION("""COMPUTED_VALUE"""),"必殺ワザ発動有無")</f>
        <v>必殺ワザ発動有無</v>
      </c>
      <c r="Q1" s="245" t="str">
        <f>IFERROR(__xludf.DUMMYFUNCTION("""COMPUTED_VALUE"""),"通常攻撃モーション")</f>
        <v>通常攻撃モーション</v>
      </c>
      <c r="R1" s="242" t="str">
        <f>IFERROR(__xludf.DUMMYFUNCTION("""COMPUTED_VALUE"""),"通常攻撃発生")</f>
        <v>通常攻撃発生</v>
      </c>
      <c r="S1" s="246" t="str">
        <f>IFERROR(__xludf.DUMMYFUNCTION("""COMPUTED_VALUE"""),"必殺攻撃モーション")</f>
        <v>必殺攻撃モーション</v>
      </c>
      <c r="T1" s="246" t="str">
        <f>IFERROR(__xludf.DUMMYFUNCTION("""COMPUTED_VALUE"""),"必殺攻撃発生")</f>
        <v>必殺攻撃発生</v>
      </c>
      <c r="U1" s="246" t="str">
        <f>IFERROR(__xludf.DUMMYFUNCTION("""COMPUTED_VALUE"""),"valid_start_date")</f>
        <v>valid_start_date</v>
      </c>
      <c r="V1" s="246" t="str">
        <f>IFERROR(__xludf.DUMMYFUNCTION("""COMPUTED_VALUE"""),"valid_end_date")</f>
        <v>valid_end_date</v>
      </c>
      <c r="W1" s="246" t="str">
        <f>IFERROR(__xludf.DUMMYFUNCTION("""COMPUTED_VALUE"""),"catch_copy_image_filename")</f>
        <v>catch_copy_image_filename</v>
      </c>
      <c r="X1" s="246" t="str">
        <f>IFERROR(__xludf.DUMMYFUNCTION("""COMPUTED_VALUE"""),"ノーマル敵専用アイコン_ID")</f>
        <v>ノーマル敵専用アイコン_ID</v>
      </c>
      <c r="Y1" s="246" t="str">
        <f>IFERROR(__xludf.DUMMYFUNCTION("""COMPUTED_VALUE"""),"BOSS専用アイコン_ID")</f>
        <v>BOSS専用アイコン_ID</v>
      </c>
      <c r="Z1" s="246" t="str">
        <f>IFERROR(__xludf.DUMMYFUNCTION("""COMPUTED_VALUE"""),"通常攻撃Asset")</f>
        <v>通常攻撃Asset</v>
      </c>
    </row>
    <row r="2">
      <c r="A2" s="247" t="str">
        <f>IFERROR(__xludf.DUMMYFUNCTION("""COMPUTED_VALUE"""),"spy")</f>
        <v>spy</v>
      </c>
      <c r="B2" s="248" t="str">
        <f>IFERROR(__xludf.DUMMYFUNCTION("""COMPUTED_VALUE"""),"SPY×FAMILY")</f>
        <v>SPY×FAMILY</v>
      </c>
      <c r="C2" s="248" t="str">
        <f>IFERROR(__xludf.DUMMYFUNCTION("""COMPUTED_VALUE"""),"00001")</f>
        <v>00001</v>
      </c>
      <c r="D2" s="249" t="str">
        <f>IFERROR(__xludf.DUMMYFUNCTION("""COMPUTED_VALUE"""),"chara_spy_00001")</f>
        <v>chara_spy_00001</v>
      </c>
      <c r="E2" s="248" t="str">
        <f>IFERROR(__xludf.DUMMYFUNCTION("""COMPUTED_VALUE"""),"わくわく アーニャ")</f>
        <v>わくわく アーニャ</v>
      </c>
      <c r="F2" s="248" t="str">
        <f>IFERROR(__xludf.DUMMYFUNCTION("""COMPUTED_VALUE"""),"わくわく アーニャ")</f>
        <v>わくわく アーニャ</v>
      </c>
      <c r="G2" s="247" t="str">
        <f>IFERROR(__xludf.DUMMYFUNCTION("""COMPUTED_VALUE"""),"せいふくのアーニャかわいい？")</f>
        <v>せいふくのアーニャかわいい？</v>
      </c>
      <c r="H2" s="248" t="str">
        <f>IFERROR(__xludf.DUMMYFUNCTION("""COMPUTED_VALUE"""),"UR")</f>
        <v>UR</v>
      </c>
      <c r="I2" s="248" t="str">
        <f>IFERROR(__xludf.DUMMYFUNCTION("""COMPUTED_VALUE"""),"PremiumUR")</f>
        <v>PremiumUR</v>
      </c>
      <c r="J2" s="248" t="str">
        <f>IFERROR(__xludf.DUMMYFUNCTION("""COMPUTED_VALUE"""),"無")</f>
        <v>無</v>
      </c>
      <c r="K2" s="248" t="str">
        <f>IFERROR(__xludf.DUMMYFUNCTION("""COMPUTED_VALUE"""),"chara")</f>
        <v>chara</v>
      </c>
      <c r="L2" s="250" t="str">
        <f>IFERROR(__xludf.DUMMYFUNCTION("""COMPUTED_VALUE"""),"スペシャル")</f>
        <v>スペシャル</v>
      </c>
      <c r="M2" s="250" t="str">
        <f>IFERROR(__xludf.DUMMYFUNCTION("""COMPUTED_VALUE"""),"-")</f>
        <v>-</v>
      </c>
      <c r="N2" s="250" t="str">
        <f>IFERROR(__xludf.DUMMYFUNCTION("""COMPUTED_VALUE"""),"ー")</f>
        <v>ー</v>
      </c>
      <c r="O2" s="248" t="str">
        <f>IFERROR(__xludf.DUMMYFUNCTION("""COMPUTED_VALUE"""),"-")</f>
        <v>-</v>
      </c>
      <c r="P2" s="248" t="str">
        <f>IFERROR(__xludf.DUMMYFUNCTION("""COMPUTED_VALUE"""),"00001")</f>
        <v>00001</v>
      </c>
      <c r="Q2" s="248" t="str">
        <f>IFERROR(__xludf.DUMMYFUNCTION("""COMPUTED_VALUE"""),"-")</f>
        <v>-</v>
      </c>
      <c r="R2" s="248" t="str">
        <f>IFERROR(__xludf.DUMMYFUNCTION("""COMPUTED_VALUE"""),"-")</f>
        <v>-</v>
      </c>
      <c r="S2" s="246" t="str">
        <f>IFERROR(__xludf.DUMMYFUNCTION("""COMPUTED_VALUE"""),"3.44")</f>
        <v>3.44</v>
      </c>
      <c r="T2" s="246" t="str">
        <f>IFERROR(__xludf.DUMMYFUNCTION("""COMPUTED_VALUE"""),"0")</f>
        <v>0</v>
      </c>
      <c r="U2" s="246">
        <f>IFERROR(__xludf.DUMMYFUNCTION("""COMPUTED_VALUE"""),45922.458333333336)</f>
        <v>45922.45833</v>
      </c>
      <c r="V2" s="246">
        <f>IFERROR(__xludf.DUMMYFUNCTION("""COMPUTED_VALUE"""),390812.49998842593)</f>
        <v>390812.5</v>
      </c>
      <c r="W2" s="246" t="str">
        <f>IFERROR(__xludf.DUMMYFUNCTION("""COMPUTED_VALUE"""),"catchcopy_character_chara_spy_00001.png")</f>
        <v>catchcopy_character_chara_spy_00001.png</v>
      </c>
      <c r="X2" s="246" t="str">
        <f>IFERROR(__xludf.DUMMYFUNCTION("""COMPUTED_VALUE"""),"enemy_icon_chara_spy_00001")</f>
        <v>enemy_icon_chara_spy_00001</v>
      </c>
      <c r="Y2" s="246" t="str">
        <f>IFERROR(__xludf.DUMMYFUNCTION("""COMPUTED_VALUE"""),"boss_icon_chara_spy_00001")</f>
        <v>boss_icon_chara_spy_00001</v>
      </c>
      <c r="Z2" s="246"/>
    </row>
    <row r="3">
      <c r="A3" s="247" t="str">
        <f>IFERROR(__xludf.DUMMYFUNCTION("""COMPUTED_VALUE"""),"spy")</f>
        <v>spy</v>
      </c>
      <c r="B3" s="248" t="str">
        <f>IFERROR(__xludf.DUMMYFUNCTION("""COMPUTED_VALUE"""),"SPY×FAMILY")</f>
        <v>SPY×FAMILY</v>
      </c>
      <c r="C3" s="248" t="str">
        <f>IFERROR(__xludf.DUMMYFUNCTION("""COMPUTED_VALUE"""),"00002")</f>
        <v>00002</v>
      </c>
      <c r="D3" s="249" t="str">
        <f>IFERROR(__xludf.DUMMYFUNCTION("""COMPUTED_VALUE"""),"chara_spy_00002")</f>
        <v>chara_spy_00002</v>
      </c>
      <c r="E3" s="248" t="str">
        <f>IFERROR(__xludf.DUMMYFUNCTION("""COMPUTED_VALUE"""),"アーニャ（ドレスアップ）")</f>
        <v>アーニャ（ドレスアップ）</v>
      </c>
      <c r="F3" s="248" t="str">
        <f>IFERROR(__xludf.DUMMYFUNCTION("""COMPUTED_VALUE"""),"選定中")</f>
        <v>選定中</v>
      </c>
      <c r="G3" s="247" t="str">
        <f>IFERROR(__xludf.DUMMYFUNCTION("""COMPUTED_VALUE"""),"わくわくっ！")</f>
        <v>わくわくっ！</v>
      </c>
      <c r="H3" s="248" t="str">
        <f>IFERROR(__xludf.DUMMYFUNCTION("""COMPUTED_VALUE"""),"SSR")</f>
        <v>SSR</v>
      </c>
      <c r="I3" s="248" t="str">
        <f>IFERROR(__xludf.DUMMYFUNCTION("""COMPUTED_VALUE"""),"FestivalSSR")</f>
        <v>FestivalSSR</v>
      </c>
      <c r="J3" s="248" t="str">
        <f>IFERROR(__xludf.DUMMYFUNCTION("""COMPUTED_VALUE"""),"無")</f>
        <v>無</v>
      </c>
      <c r="K3" s="248" t="str">
        <f>IFERROR(__xludf.DUMMYFUNCTION("""COMPUTED_VALUE"""),"chara")</f>
        <v>chara</v>
      </c>
      <c r="L3" s="250" t="str">
        <f>IFERROR(__xludf.DUMMYFUNCTION("""COMPUTED_VALUE"""),"スペシャル")</f>
        <v>スペシャル</v>
      </c>
      <c r="M3" s="250" t="str">
        <f>IFERROR(__xludf.DUMMYFUNCTION("""COMPUTED_VALUE"""),"-")</f>
        <v>-</v>
      </c>
      <c r="N3" s="250" t="str">
        <f>IFERROR(__xludf.DUMMYFUNCTION("""COMPUTED_VALUE"""),"ー")</f>
        <v>ー</v>
      </c>
      <c r="O3" s="248" t="str">
        <f>IFERROR(__xludf.DUMMYFUNCTION("""COMPUTED_VALUE"""),"-")</f>
        <v>-</v>
      </c>
      <c r="P3" s="248" t="str">
        <f>IFERROR(__xludf.DUMMYFUNCTION("""COMPUTED_VALUE"""),"00002")</f>
        <v>00002</v>
      </c>
      <c r="Q3" s="248" t="str">
        <f>IFERROR(__xludf.DUMMYFUNCTION("""COMPUTED_VALUE"""),"-")</f>
        <v>-</v>
      </c>
      <c r="R3" s="248" t="str">
        <f>IFERROR(__xludf.DUMMYFUNCTION("""COMPUTED_VALUE"""),"-")</f>
        <v>-</v>
      </c>
      <c r="S3" s="246" t="str">
        <f>IFERROR(__xludf.DUMMYFUNCTION("""COMPUTED_VALUE"""),"2.4")</f>
        <v>2.4</v>
      </c>
      <c r="T3" s="246" t="str">
        <f>IFERROR(__xludf.DUMMYFUNCTION("""COMPUTED_VALUE"""),"stop無:1.03")</f>
        <v>stop無:1.03</v>
      </c>
      <c r="U3" s="246" t="str">
        <f>IFERROR(__xludf.DUMMYFUNCTION("""COMPUTED_VALUE"""),"実装未定")</f>
        <v>実装未定</v>
      </c>
      <c r="V3" s="246">
        <f>IFERROR(__xludf.DUMMYFUNCTION("""COMPUTED_VALUE"""),390812.49998842593)</f>
        <v>390812.5</v>
      </c>
      <c r="W3" s="246" t="str">
        <f>IFERROR(__xludf.DUMMYFUNCTION("""COMPUTED_VALUE"""),"catchcopy_character_chara_spy_00002.png")</f>
        <v>catchcopy_character_chara_spy_00002.png</v>
      </c>
      <c r="X3" s="246" t="str">
        <f>IFERROR(__xludf.DUMMYFUNCTION("""COMPUTED_VALUE"""),"enemy_icon_chara_spy_00002")</f>
        <v>enemy_icon_chara_spy_00002</v>
      </c>
      <c r="Y3" s="246" t="str">
        <f>IFERROR(__xludf.DUMMYFUNCTION("""COMPUTED_VALUE"""),"boss_icon_chara_spy_00002")</f>
        <v>boss_icon_chara_spy_00002</v>
      </c>
      <c r="Z3" s="246"/>
    </row>
    <row r="4">
      <c r="A4" s="247" t="str">
        <f>IFERROR(__xludf.DUMMYFUNCTION("""COMPUTED_VALUE"""),"spy")</f>
        <v>spy</v>
      </c>
      <c r="B4" s="248" t="str">
        <f>IFERROR(__xludf.DUMMYFUNCTION("""COMPUTED_VALUE"""),"SPY×FAMILY")</f>
        <v>SPY×FAMILY</v>
      </c>
      <c r="C4" s="248" t="str">
        <f>IFERROR(__xludf.DUMMYFUNCTION("""COMPUTED_VALUE"""),"00101")</f>
        <v>00101</v>
      </c>
      <c r="D4" s="249" t="str">
        <f>IFERROR(__xludf.DUMMYFUNCTION("""COMPUTED_VALUE"""),"chara_spy_00101")</f>
        <v>chara_spy_00101</v>
      </c>
      <c r="E4" s="248" t="str">
        <f>IFERROR(__xludf.DUMMYFUNCTION("""COMPUTED_VALUE"""),"&lt;黄昏&gt; ロイド")</f>
        <v>&lt;黄昏&gt; ロイド</v>
      </c>
      <c r="F4" s="248" t="str">
        <f>IFERROR(__xludf.DUMMYFUNCTION("""COMPUTED_VALUE"""),"&lt;黄昏&gt; ロイド")</f>
        <v>&lt;黄昏&gt; ロイド</v>
      </c>
      <c r="G4" s="247" t="str">
        <f>IFERROR(__xludf.DUMMYFUNCTION("""COMPUTED_VALUE"""),"終わりにしよう")</f>
        <v>終わりにしよう</v>
      </c>
      <c r="H4" s="248" t="str">
        <f>IFERROR(__xludf.DUMMYFUNCTION("""COMPUTED_VALUE"""),"UR")</f>
        <v>UR</v>
      </c>
      <c r="I4" s="248" t="str">
        <f>IFERROR(__xludf.DUMMYFUNCTION("""COMPUTED_VALUE"""),"PremiumUR")</f>
        <v>PremiumUR</v>
      </c>
      <c r="J4" s="248" t="str">
        <f>IFERROR(__xludf.DUMMYFUNCTION("""COMPUTED_VALUE"""),"黄")</f>
        <v>黄</v>
      </c>
      <c r="K4" s="248" t="str">
        <f>IFERROR(__xludf.DUMMYFUNCTION("""COMPUTED_VALUE"""),"chara")</f>
        <v>chara</v>
      </c>
      <c r="L4" s="250" t="str">
        <f>IFERROR(__xludf.DUMMYFUNCTION("""COMPUTED_VALUE"""),"アタック")</f>
        <v>アタック</v>
      </c>
      <c r="M4" s="250" t="str">
        <f>IFERROR(__xludf.DUMMYFUNCTION("""COMPUTED_VALUE"""),"shageki_1")</f>
        <v>shageki_1</v>
      </c>
      <c r="N4" s="250" t="str">
        <f>IFERROR(__xludf.DUMMYFUNCTION("""COMPUTED_VALUE"""),"Long")</f>
        <v>Long</v>
      </c>
      <c r="O4" s="248" t="str">
        <f>IFERROR(__xludf.DUMMYFUNCTION("""COMPUTED_VALUE"""),"shageki_1")</f>
        <v>shageki_1</v>
      </c>
      <c r="P4" s="248" t="str">
        <f>IFERROR(__xludf.DUMMYFUNCTION("""COMPUTED_VALUE"""),"00101")</f>
        <v>00101</v>
      </c>
      <c r="Q4" s="248" t="str">
        <f>IFERROR(__xludf.DUMMYFUNCTION("""COMPUTED_VALUE"""),"1.64")</f>
        <v>1.64</v>
      </c>
      <c r="R4" s="248" t="str">
        <f>IFERROR(__xludf.DUMMYFUNCTION("""COMPUTED_VALUE"""),"0.83")</f>
        <v>0.83</v>
      </c>
      <c r="S4" s="246" t="str">
        <f>IFERROR(__xludf.DUMMYFUNCTION("""COMPUTED_VALUE"""),"2.50")</f>
        <v>2.50</v>
      </c>
      <c r="T4" s="246" t="str">
        <f>IFERROR(__xludf.DUMMYFUNCTION("""COMPUTED_VALUE"""),"1.33")</f>
        <v>1.33</v>
      </c>
      <c r="U4" s="246">
        <f>IFERROR(__xludf.DUMMYFUNCTION("""COMPUTED_VALUE"""),45922.458333333336)</f>
        <v>45922.45833</v>
      </c>
      <c r="V4" s="246">
        <f>IFERROR(__xludf.DUMMYFUNCTION("""COMPUTED_VALUE"""),390812.49998842593)</f>
        <v>390812.5</v>
      </c>
      <c r="W4" s="246" t="str">
        <f>IFERROR(__xludf.DUMMYFUNCTION("""COMPUTED_VALUE"""),"catchcopy_character_chara_spy_00101.png")</f>
        <v>catchcopy_character_chara_spy_00101.png</v>
      </c>
      <c r="X4" s="246" t="str">
        <f>IFERROR(__xludf.DUMMYFUNCTION("""COMPUTED_VALUE"""),"enemy_icon_chara_spy_00101")</f>
        <v>enemy_icon_chara_spy_00101</v>
      </c>
      <c r="Y4" s="246" t="str">
        <f>IFERROR(__xludf.DUMMYFUNCTION("""COMPUTED_VALUE"""),"boss_icon_chara_spy_00101")</f>
        <v>boss_icon_chara_spy_00101</v>
      </c>
      <c r="Z4" s="246" t="str">
        <f>IFERROR(__xludf.DUMMYFUNCTION("""COMPUTED_VALUE"""),"chara_spy_00101_normal")</f>
        <v>chara_spy_00101_normal</v>
      </c>
    </row>
    <row r="5">
      <c r="A5" s="247" t="str">
        <f>IFERROR(__xludf.DUMMYFUNCTION("""COMPUTED_VALUE"""),"spy")</f>
        <v>spy</v>
      </c>
      <c r="B5" s="248" t="str">
        <f>IFERROR(__xludf.DUMMYFUNCTION("""COMPUTED_VALUE"""),"SPY×FAMILY")</f>
        <v>SPY×FAMILY</v>
      </c>
      <c r="C5" s="248" t="str">
        <f>IFERROR(__xludf.DUMMYFUNCTION("""COMPUTED_VALUE"""),"00201")</f>
        <v>00201</v>
      </c>
      <c r="D5" s="249" t="str">
        <f>IFERROR(__xludf.DUMMYFUNCTION("""COMPUTED_VALUE"""),"chara_spy_00201")</f>
        <v>chara_spy_00201</v>
      </c>
      <c r="E5" s="248" t="str">
        <f>IFERROR(__xludf.DUMMYFUNCTION("""COMPUTED_VALUE"""),"&lt;いばら姫&gt; ヨル")</f>
        <v>&lt;いばら姫&gt; ヨル</v>
      </c>
      <c r="F5" s="248" t="str">
        <f>IFERROR(__xludf.DUMMYFUNCTION("""COMPUTED_VALUE"""),"&lt;いばら姫&gt; ヨル")</f>
        <v>&lt;いばら姫&gt; ヨル</v>
      </c>
      <c r="G5" s="247" t="str">
        <f>IFERROR(__xludf.DUMMYFUNCTION("""COMPUTED_VALUE"""),"この手が血で汚れても構わない")</f>
        <v>この手が血で汚れても構わない</v>
      </c>
      <c r="H5" s="248" t="str">
        <f>IFERROR(__xludf.DUMMYFUNCTION("""COMPUTED_VALUE"""),"UR")</f>
        <v>UR</v>
      </c>
      <c r="I5" s="248" t="str">
        <f>IFERROR(__xludf.DUMMYFUNCTION("""COMPUTED_VALUE"""),"PremiumUR")</f>
        <v>PremiumUR</v>
      </c>
      <c r="J5" s="248" t="str">
        <f>IFERROR(__xludf.DUMMYFUNCTION("""COMPUTED_VALUE"""),"赤")</f>
        <v>赤</v>
      </c>
      <c r="K5" s="248" t="str">
        <f>IFERROR(__xludf.DUMMYFUNCTION("""COMPUTED_VALUE"""),"chara")</f>
        <v>chara</v>
      </c>
      <c r="L5" s="250" t="str">
        <f>IFERROR(__xludf.DUMMYFUNCTION("""COMPUTED_VALUE"""),"アタック")</f>
        <v>アタック</v>
      </c>
      <c r="M5" s="250" t="str">
        <f>IFERROR(__xludf.DUMMYFUNCTION("""COMPUTED_VALUE"""),"zangeki_1")</f>
        <v>zangeki_1</v>
      </c>
      <c r="N5" s="250" t="str">
        <f>IFERROR(__xludf.DUMMYFUNCTION("""COMPUTED_VALUE"""),"Middle")</f>
        <v>Middle</v>
      </c>
      <c r="O5" s="248" t="str">
        <f>IFERROR(__xludf.DUMMYFUNCTION("""COMPUTED_VALUE"""),"dageki_1")</f>
        <v>dageki_1</v>
      </c>
      <c r="P5" s="248" t="str">
        <f>IFERROR(__xludf.DUMMYFUNCTION("""COMPUTED_VALUE"""),"00201")</f>
        <v>00201</v>
      </c>
      <c r="Q5" s="248" t="str">
        <f>IFERROR(__xludf.DUMMYFUNCTION("""COMPUTED_VALUE"""),"1.42")</f>
        <v>1.42</v>
      </c>
      <c r="R5" s="248" t="str">
        <f>IFERROR(__xludf.DUMMYFUNCTION("""COMPUTED_VALUE"""),"stop無:1回目 0.61")</f>
        <v>stop無:1回目 0.61</v>
      </c>
      <c r="S5" s="246" t="str">
        <f>IFERROR(__xludf.DUMMYFUNCTION("""COMPUTED_VALUE"""),"2.50")</f>
        <v>2.50</v>
      </c>
      <c r="T5" s="246" t="str">
        <f>IFERROR(__xludf.DUMMYFUNCTION("""COMPUTED_VALUE"""),"stop有:1回目 0.73")</f>
        <v>stop有:1回目 0.73</v>
      </c>
      <c r="U5" s="246">
        <f>IFERROR(__xludf.DUMMYFUNCTION("""COMPUTED_VALUE"""),45922.458333333336)</f>
        <v>45922.45833</v>
      </c>
      <c r="V5" s="246">
        <f>IFERROR(__xludf.DUMMYFUNCTION("""COMPUTED_VALUE"""),390812.49998842593)</f>
        <v>390812.5</v>
      </c>
      <c r="W5" s="246" t="str">
        <f>IFERROR(__xludf.DUMMYFUNCTION("""COMPUTED_VALUE"""),"catchcopy_character_chara_spy_00201.png")</f>
        <v>catchcopy_character_chara_spy_00201.png</v>
      </c>
      <c r="X5" s="246" t="str">
        <f>IFERROR(__xludf.DUMMYFUNCTION("""COMPUTED_VALUE"""),"enemy_icon_chara_spy_00201")</f>
        <v>enemy_icon_chara_spy_00201</v>
      </c>
      <c r="Y5" s="246" t="str">
        <f>IFERROR(__xludf.DUMMYFUNCTION("""COMPUTED_VALUE"""),"boss_icon_chara_spy_00201")</f>
        <v>boss_icon_chara_spy_00201</v>
      </c>
      <c r="Z5" s="246" t="str">
        <f>IFERROR(__xludf.DUMMYFUNCTION("""COMPUTED_VALUE"""),"chara_spy_00201_normal")</f>
        <v>chara_spy_00201_normal</v>
      </c>
    </row>
    <row r="6">
      <c r="A6" s="247" t="str">
        <f>IFERROR(__xludf.DUMMYFUNCTION("""COMPUTED_VALUE"""),"spy")</f>
        <v>spy</v>
      </c>
      <c r="B6" s="248" t="str">
        <f>IFERROR(__xludf.DUMMYFUNCTION("""COMPUTED_VALUE"""),"SPY×FAMILY")</f>
        <v>SPY×FAMILY</v>
      </c>
      <c r="C6" s="248" t="str">
        <f>IFERROR(__xludf.DUMMYFUNCTION("""COMPUTED_VALUE"""),"00301")</f>
        <v>00301</v>
      </c>
      <c r="D6" s="249" t="str">
        <f>IFERROR(__xludf.DUMMYFUNCTION("""COMPUTED_VALUE"""),"chara_spy_00301")</f>
        <v>chara_spy_00301</v>
      </c>
      <c r="E6" s="248" t="str">
        <f>IFERROR(__xludf.DUMMYFUNCTION("""COMPUTED_VALUE"""),"ダミアン・デズモンド")</f>
        <v>ダミアン・デズモンド</v>
      </c>
      <c r="F6" s="248" t="str">
        <f>IFERROR(__xludf.DUMMYFUNCTION("""COMPUTED_VALUE"""),"ダミアン・デズモンド")</f>
        <v>ダミアン・デズモンド</v>
      </c>
      <c r="G6" s="247" t="str">
        <f>IFERROR(__xludf.DUMMYFUNCTION("""COMPUTED_VALUE"""),"いい気になるなよ")</f>
        <v>いい気になるなよ</v>
      </c>
      <c r="H6" s="248" t="str">
        <f>IFERROR(__xludf.DUMMYFUNCTION("""COMPUTED_VALUE"""),"SR")</f>
        <v>SR</v>
      </c>
      <c r="I6" s="248" t="str">
        <f>IFERROR(__xludf.DUMMYFUNCTION("""COMPUTED_VALUE"""),"DropSR")</f>
        <v>DropSR</v>
      </c>
      <c r="J6" s="248" t="str">
        <f>IFERROR(__xludf.DUMMYFUNCTION("""COMPUTED_VALUE"""),"無")</f>
        <v>無</v>
      </c>
      <c r="K6" s="248" t="str">
        <f>IFERROR(__xludf.DUMMYFUNCTION("""COMPUTED_VALUE"""),"chara")</f>
        <v>chara</v>
      </c>
      <c r="L6" s="250" t="str">
        <f>IFERROR(__xludf.DUMMYFUNCTION("""COMPUTED_VALUE"""),"スペシャル")</f>
        <v>スペシャル</v>
      </c>
      <c r="M6" s="250" t="str">
        <f>IFERROR(__xludf.DUMMYFUNCTION("""COMPUTED_VALUE"""),"-")</f>
        <v>-</v>
      </c>
      <c r="N6" s="250" t="str">
        <f>IFERROR(__xludf.DUMMYFUNCTION("""COMPUTED_VALUE"""),"ー")</f>
        <v>ー</v>
      </c>
      <c r="O6" s="248" t="str">
        <f>IFERROR(__xludf.DUMMYFUNCTION("""COMPUTED_VALUE"""),"-")</f>
        <v>-</v>
      </c>
      <c r="P6" s="248" t="str">
        <f>IFERROR(__xludf.DUMMYFUNCTION("""COMPUTED_VALUE"""),"00301")</f>
        <v>00301</v>
      </c>
      <c r="Q6" s="248" t="str">
        <f>IFERROR(__xludf.DUMMYFUNCTION("""COMPUTED_VALUE"""),"-")</f>
        <v>-</v>
      </c>
      <c r="R6" s="248" t="str">
        <f>IFERROR(__xludf.DUMMYFUNCTION("""COMPUTED_VALUE"""),"-")</f>
        <v>-</v>
      </c>
      <c r="S6" s="246" t="str">
        <f>IFERROR(__xludf.DUMMYFUNCTION("""COMPUTED_VALUE"""),"2.10")</f>
        <v>2.10</v>
      </c>
      <c r="T6" s="246" t="str">
        <f>IFERROR(__xludf.DUMMYFUNCTION("""COMPUTED_VALUE"""),"0")</f>
        <v>0</v>
      </c>
      <c r="U6" s="246">
        <f>IFERROR(__xludf.DUMMYFUNCTION("""COMPUTED_VALUE"""),45936.625)</f>
        <v>45936.625</v>
      </c>
      <c r="V6" s="246">
        <f>IFERROR(__xludf.DUMMYFUNCTION("""COMPUTED_VALUE"""),390812.49998842593)</f>
        <v>390812.5</v>
      </c>
      <c r="W6" s="246" t="str">
        <f>IFERROR(__xludf.DUMMYFUNCTION("""COMPUTED_VALUE"""),"catchcopy_character_chara_spy_00301.png")</f>
        <v>catchcopy_character_chara_spy_00301.png</v>
      </c>
      <c r="X6" s="246" t="str">
        <f>IFERROR(__xludf.DUMMYFUNCTION("""COMPUTED_VALUE"""),"enemy_icon_chara_spy_00301")</f>
        <v>enemy_icon_chara_spy_00301</v>
      </c>
      <c r="Y6" s="246" t="str">
        <f>IFERROR(__xludf.DUMMYFUNCTION("""COMPUTED_VALUE"""),"boss_icon_chara_spy_00301")</f>
        <v>boss_icon_chara_spy_00301</v>
      </c>
      <c r="Z6" s="246"/>
    </row>
    <row r="7">
      <c r="A7" s="247" t="str">
        <f>IFERROR(__xludf.DUMMYFUNCTION("""COMPUTED_VALUE"""),"spy")</f>
        <v>spy</v>
      </c>
      <c r="B7" s="248" t="str">
        <f>IFERROR(__xludf.DUMMYFUNCTION("""COMPUTED_VALUE"""),"SPY×FAMILY")</f>
        <v>SPY×FAMILY</v>
      </c>
      <c r="C7" s="248" t="str">
        <f>IFERROR(__xludf.DUMMYFUNCTION("""COMPUTED_VALUE"""),"00401")</f>
        <v>00401</v>
      </c>
      <c r="D7" s="249" t="str">
        <f>IFERROR(__xludf.DUMMYFUNCTION("""COMPUTED_VALUE"""),"chara_spy_00401")</f>
        <v>chara_spy_00401</v>
      </c>
      <c r="E7" s="248" t="str">
        <f>IFERROR(__xludf.DUMMYFUNCTION("""COMPUTED_VALUE"""),"フランキー・フランクリン")</f>
        <v>フランキー・フランクリン</v>
      </c>
      <c r="F7" s="248" t="str">
        <f>IFERROR(__xludf.DUMMYFUNCTION("""COMPUTED_VALUE"""),"フランキー・フランクリン")</f>
        <v>フランキー・フランクリン</v>
      </c>
      <c r="G7" s="247" t="str">
        <f>IFERROR(__xludf.DUMMYFUNCTION("""COMPUTED_VALUE"""),"超人外骨格！！")</f>
        <v>超人外骨格！！</v>
      </c>
      <c r="H7" s="248" t="str">
        <f>IFERROR(__xludf.DUMMYFUNCTION("""COMPUTED_VALUE"""),"SR")</f>
        <v>SR</v>
      </c>
      <c r="I7" s="248" t="str">
        <f>IFERROR(__xludf.DUMMYFUNCTION("""COMPUTED_VALUE"""),"DropSR")</f>
        <v>DropSR</v>
      </c>
      <c r="J7" s="248" t="str">
        <f>IFERROR(__xludf.DUMMYFUNCTION("""COMPUTED_VALUE"""),"緑")</f>
        <v>緑</v>
      </c>
      <c r="K7" s="248" t="str">
        <f>IFERROR(__xludf.DUMMYFUNCTION("""COMPUTED_VALUE"""),"chara")</f>
        <v>chara</v>
      </c>
      <c r="L7" s="250" t="str">
        <f>IFERROR(__xludf.DUMMYFUNCTION("""COMPUTED_VALUE"""),"ディフェンス")</f>
        <v>ディフェンス</v>
      </c>
      <c r="M7" s="250" t="str">
        <f>IFERROR(__xludf.DUMMYFUNCTION("""COMPUTED_VALUE"""),"dageki_2")</f>
        <v>dageki_2</v>
      </c>
      <c r="N7" s="250" t="str">
        <f>IFERROR(__xludf.DUMMYFUNCTION("""COMPUTED_VALUE"""),"Short")</f>
        <v>Short</v>
      </c>
      <c r="O7" s="248" t="str">
        <f>IFERROR(__xludf.DUMMYFUNCTION("""COMPUTED_VALUE"""),"dageki_2")</f>
        <v>dageki_2</v>
      </c>
      <c r="P7" s="248" t="str">
        <f>IFERROR(__xludf.DUMMYFUNCTION("""COMPUTED_VALUE"""),"00401")</f>
        <v>00401</v>
      </c>
      <c r="Q7" s="248" t="str">
        <f>IFERROR(__xludf.DUMMYFUNCTION("""COMPUTED_VALUE"""),"1.20")</f>
        <v>1.20</v>
      </c>
      <c r="R7" s="248" t="str">
        <f>IFERROR(__xludf.DUMMYFUNCTION("""COMPUTED_VALUE"""),"0.50")</f>
        <v>0.50</v>
      </c>
      <c r="S7" s="246" t="str">
        <f>IFERROR(__xludf.DUMMYFUNCTION("""COMPUTED_VALUE"""),"2.75")</f>
        <v>2.75</v>
      </c>
      <c r="T7" s="246" t="str">
        <f>IFERROR(__xludf.DUMMYFUNCTION("""COMPUTED_VALUE"""),"1.34")</f>
        <v>1.34</v>
      </c>
      <c r="U7" s="246">
        <f>IFERROR(__xludf.DUMMYFUNCTION("""COMPUTED_VALUE"""),45936.625)</f>
        <v>45936.625</v>
      </c>
      <c r="V7" s="246">
        <f>IFERROR(__xludf.DUMMYFUNCTION("""COMPUTED_VALUE"""),390812.49998842593)</f>
        <v>390812.5</v>
      </c>
      <c r="W7" s="246" t="str">
        <f>IFERROR(__xludf.DUMMYFUNCTION("""COMPUTED_VALUE"""),"catchcopy_character_chara_spy_00401.png")</f>
        <v>catchcopy_character_chara_spy_00401.png</v>
      </c>
      <c r="X7" s="246" t="str">
        <f>IFERROR(__xludf.DUMMYFUNCTION("""COMPUTED_VALUE"""),"enemy_icon_chara_spy_00401")</f>
        <v>enemy_icon_chara_spy_00401</v>
      </c>
      <c r="Y7" s="246" t="str">
        <f>IFERROR(__xludf.DUMMYFUNCTION("""COMPUTED_VALUE"""),"boss_icon_chara_spy_00401")</f>
        <v>boss_icon_chara_spy_00401</v>
      </c>
      <c r="Z7" s="246" t="str">
        <f>IFERROR(__xludf.DUMMYFUNCTION("""COMPUTED_VALUE"""),"chara_spy_00401_normal")</f>
        <v>chara_spy_00401_normal</v>
      </c>
    </row>
    <row r="8">
      <c r="A8" s="247" t="str">
        <f>IFERROR(__xludf.DUMMYFUNCTION("""COMPUTED_VALUE"""),"spy")</f>
        <v>spy</v>
      </c>
      <c r="B8" s="248" t="str">
        <f>IFERROR(__xludf.DUMMYFUNCTION("""COMPUTED_VALUE"""),"SPY×FAMILY")</f>
        <v>SPY×FAMILY</v>
      </c>
      <c r="C8" s="248" t="str">
        <f>IFERROR(__xludf.DUMMYFUNCTION("""COMPUTED_VALUE"""),"00501")</f>
        <v>00501</v>
      </c>
      <c r="D8" s="249" t="str">
        <f>IFERROR(__xludf.DUMMYFUNCTION("""COMPUTED_VALUE"""),"chara_spy_00501")</f>
        <v>chara_spy_00501</v>
      </c>
      <c r="E8" s="248" t="str">
        <f>IFERROR(__xludf.DUMMYFUNCTION("""COMPUTED_VALUE"""),"ユーリ・ブライア")</f>
        <v>ユーリ・ブライア</v>
      </c>
      <c r="F8" s="248" t="str">
        <f>IFERROR(__xludf.DUMMYFUNCTION("""COMPUTED_VALUE"""),"姉を想う盲愛 ユーリ・ブライア")</f>
        <v>姉を想う盲愛 ユーリ・ブライア</v>
      </c>
      <c r="G8" s="247" t="str">
        <f>IFERROR(__xludf.DUMMYFUNCTION("""COMPUTED_VALUE"""),"姉さぁーーーん♡")</f>
        <v>姉さぁーーーん♡</v>
      </c>
      <c r="H8" s="248" t="str">
        <f>IFERROR(__xludf.DUMMYFUNCTION("""COMPUTED_VALUE"""),"UR")</f>
        <v>UR</v>
      </c>
      <c r="I8" s="248" t="str">
        <f>IFERROR(__xludf.DUMMYFUNCTION("""COMPUTED_VALUE"""),"PremiumUR")</f>
        <v>PremiumUR</v>
      </c>
      <c r="J8" s="248" t="str">
        <f>IFERROR(__xludf.DUMMYFUNCTION("""COMPUTED_VALUE"""),"青")</f>
        <v>青</v>
      </c>
      <c r="K8" s="248" t="str">
        <f>IFERROR(__xludf.DUMMYFUNCTION("""COMPUTED_VALUE"""),"chara")</f>
        <v>chara</v>
      </c>
      <c r="L8" s="250" t="str">
        <f>IFERROR(__xludf.DUMMYFUNCTION("""COMPUTED_VALUE"""),"ディフェンス")</f>
        <v>ディフェンス</v>
      </c>
      <c r="M8" s="250" t="str">
        <f>IFERROR(__xludf.DUMMYFUNCTION("""COMPUTED_VALUE"""),"dageki_1")</f>
        <v>dageki_1</v>
      </c>
      <c r="N8" s="250" t="str">
        <f>IFERROR(__xludf.DUMMYFUNCTION("""COMPUTED_VALUE"""),"Short")</f>
        <v>Short</v>
      </c>
      <c r="O8" s="248" t="str">
        <f>IFERROR(__xludf.DUMMYFUNCTION("""COMPUTED_VALUE"""),"-")</f>
        <v>-</v>
      </c>
      <c r="P8" s="248" t="str">
        <f>IFERROR(__xludf.DUMMYFUNCTION("""COMPUTED_VALUE"""),"00501")</f>
        <v>00501</v>
      </c>
      <c r="Q8" s="248" t="str">
        <f>IFERROR(__xludf.DUMMYFUNCTION("""COMPUTED_VALUE"""),"1.13")</f>
        <v>1.13</v>
      </c>
      <c r="R8" s="248" t="str">
        <f>IFERROR(__xludf.DUMMYFUNCTION("""COMPUTED_VALUE"""),"stop有:1回目 0.33")</f>
        <v>stop有:1回目 0.33</v>
      </c>
      <c r="S8" s="246" t="str">
        <f>IFERROR(__xludf.DUMMYFUNCTION("""COMPUTED_VALUE"""),"2.33")</f>
        <v>2.33</v>
      </c>
      <c r="T8" s="246" t="str">
        <f>IFERROR(__xludf.DUMMYFUNCTION("""COMPUTED_VALUE"""),"stop無:1回目 1.17")</f>
        <v>stop無:1回目 1.17</v>
      </c>
      <c r="U8" s="246">
        <f>IFERROR(__xludf.DUMMYFUNCTION("""COMPUTED_VALUE"""),45936.625)</f>
        <v>45936.625</v>
      </c>
      <c r="V8" s="246">
        <f>IFERROR(__xludf.DUMMYFUNCTION("""COMPUTED_VALUE"""),390812.49998842593)</f>
        <v>390812.5</v>
      </c>
      <c r="W8" s="246" t="str">
        <f>IFERROR(__xludf.DUMMYFUNCTION("""COMPUTED_VALUE"""),"catchcopy_character_chara_spy_00501.png")</f>
        <v>catchcopy_character_chara_spy_00501.png</v>
      </c>
      <c r="X8" s="246" t="str">
        <f>IFERROR(__xludf.DUMMYFUNCTION("""COMPUTED_VALUE"""),"enemy_icon_chara_spy_00501")</f>
        <v>enemy_icon_chara_spy_00501</v>
      </c>
      <c r="Y8" s="246" t="str">
        <f>IFERROR(__xludf.DUMMYFUNCTION("""COMPUTED_VALUE"""),"boss_icon_chara_spy_00501")</f>
        <v>boss_icon_chara_spy_00501</v>
      </c>
      <c r="Z8" s="246"/>
    </row>
    <row r="9">
      <c r="A9" s="247" t="str">
        <f>IFERROR(__xludf.DUMMYFUNCTION("""COMPUTED_VALUE"""),"aka")</f>
        <v>aka</v>
      </c>
      <c r="B9" s="248" t="str">
        <f>IFERROR(__xludf.DUMMYFUNCTION("""COMPUTED_VALUE"""),"ラーメン赤猫")</f>
        <v>ラーメン赤猫</v>
      </c>
      <c r="C9" s="248" t="str">
        <f>IFERROR(__xludf.DUMMYFUNCTION("""COMPUTED_VALUE"""),"00001")</f>
        <v>00001</v>
      </c>
      <c r="D9" s="249" t="str">
        <f>IFERROR(__xludf.DUMMYFUNCTION("""COMPUTED_VALUE"""),"chara_aka_00001")</f>
        <v>chara_aka_00001</v>
      </c>
      <c r="E9" s="248" t="str">
        <f>IFERROR(__xludf.DUMMYFUNCTION("""COMPUTED_VALUE"""),"佐々木")</f>
        <v>佐々木</v>
      </c>
      <c r="F9" s="248" t="str">
        <f>IFERROR(__xludf.DUMMYFUNCTION("""COMPUTED_VALUE"""),"佐々木")</f>
        <v>佐々木</v>
      </c>
      <c r="G9" s="247" t="str">
        <f>IFERROR(__xludf.DUMMYFUNCTION("""COMPUTED_VALUE"""),"ハチワレの猫の佐々木さん")</f>
        <v>ハチワレの猫の佐々木さん</v>
      </c>
      <c r="H9" s="248" t="str">
        <f>IFERROR(__xludf.DUMMYFUNCTION("""COMPUTED_VALUE"""),"R")</f>
        <v>R</v>
      </c>
      <c r="I9" s="248" t="str">
        <f>IFERROR(__xludf.DUMMYFUNCTION("""COMPUTED_VALUE"""),"PremiumR")</f>
        <v>PremiumR</v>
      </c>
      <c r="J9" s="248" t="str">
        <f>IFERROR(__xludf.DUMMYFUNCTION("""COMPUTED_VALUE"""),"赤")</f>
        <v>赤</v>
      </c>
      <c r="K9" s="248" t="str">
        <f>IFERROR(__xludf.DUMMYFUNCTION("""COMPUTED_VALUE"""),"chara")</f>
        <v>chara</v>
      </c>
      <c r="L9" s="250" t="str">
        <f>IFERROR(__xludf.DUMMYFUNCTION("""COMPUTED_VALUE"""),"ディフェンス")</f>
        <v>ディフェンス</v>
      </c>
      <c r="M9" s="250" t="str">
        <f>IFERROR(__xludf.DUMMYFUNCTION("""COMPUTED_VALUE"""),"dageki_1")</f>
        <v>dageki_1</v>
      </c>
      <c r="N9" s="250" t="str">
        <f>IFERROR(__xludf.DUMMYFUNCTION("""COMPUTED_VALUE"""),"Short")</f>
        <v>Short</v>
      </c>
      <c r="O9" s="248" t="str">
        <f>IFERROR(__xludf.DUMMYFUNCTION("""COMPUTED_VALUE"""),"zangeki_1")</f>
        <v>zangeki_1</v>
      </c>
      <c r="P9" s="248" t="str">
        <f>IFERROR(__xludf.DUMMYFUNCTION("""COMPUTED_VALUE"""),"00001")</f>
        <v>00001</v>
      </c>
      <c r="Q9" s="248" t="str">
        <f>IFERROR(__xludf.DUMMYFUNCTION("""COMPUTED_VALUE"""),"1.70")</f>
        <v>1.70</v>
      </c>
      <c r="R9" s="248" t="str">
        <f>IFERROR(__xludf.DUMMYFUNCTION("""COMPUTED_VALUE"""),"0.66")</f>
        <v>0.66</v>
      </c>
      <c r="S9" s="246"/>
      <c r="T9" s="246" t="str">
        <f>IFERROR(__xludf.DUMMYFUNCTION("""COMPUTED_VALUE"""),"1.33")</f>
        <v>1.33</v>
      </c>
      <c r="U9" s="246">
        <f>IFERROR(__xludf.DUMMYFUNCTION("""COMPUTED_VALUE"""),45922.458333333336)</f>
        <v>45922.45833</v>
      </c>
      <c r="V9" s="246">
        <f>IFERROR(__xludf.DUMMYFUNCTION("""COMPUTED_VALUE"""),390812.49998842593)</f>
        <v>390812.5</v>
      </c>
      <c r="W9" s="246" t="str">
        <f>IFERROR(__xludf.DUMMYFUNCTION("""COMPUTED_VALUE"""),"catchcopy_character_chara_aka_00001.png")</f>
        <v>catchcopy_character_chara_aka_00001.png</v>
      </c>
      <c r="X9" s="246" t="str">
        <f>IFERROR(__xludf.DUMMYFUNCTION("""COMPUTED_VALUE"""),"enemy_icon_chara_aka_00001")</f>
        <v>enemy_icon_chara_aka_00001</v>
      </c>
      <c r="Y9" s="246" t="str">
        <f>IFERROR(__xludf.DUMMYFUNCTION("""COMPUTED_VALUE"""),"boss_icon_chara_aka_00001")</f>
        <v>boss_icon_chara_aka_00001</v>
      </c>
      <c r="Z9" s="246"/>
    </row>
    <row r="10">
      <c r="A10" s="247" t="str">
        <f>IFERROR(__xludf.DUMMYFUNCTION("""COMPUTED_VALUE"""),"aka")</f>
        <v>aka</v>
      </c>
      <c r="B10" s="248" t="str">
        <f>IFERROR(__xludf.DUMMYFUNCTION("""COMPUTED_VALUE"""),"ラーメン赤猫")</f>
        <v>ラーメン赤猫</v>
      </c>
      <c r="C10" s="248" t="str">
        <f>IFERROR(__xludf.DUMMYFUNCTION("""COMPUTED_VALUE"""),"00101")</f>
        <v>00101</v>
      </c>
      <c r="D10" s="249" t="str">
        <f>IFERROR(__xludf.DUMMYFUNCTION("""COMPUTED_VALUE"""),"chara_aka_00101")</f>
        <v>chara_aka_00101</v>
      </c>
      <c r="E10" s="248" t="str">
        <f>IFERROR(__xludf.DUMMYFUNCTION("""COMPUTED_VALUE"""),"文蔵")</f>
        <v>文蔵</v>
      </c>
      <c r="F10" s="248" t="str">
        <f>IFERROR(__xludf.DUMMYFUNCTION("""COMPUTED_VALUE"""),"文蔵")</f>
        <v>文蔵</v>
      </c>
      <c r="G10" s="247" t="str">
        <f>IFERROR(__xludf.DUMMYFUNCTION("""COMPUTED_VALUE"""),"ラーメン赤猫の職人")</f>
        <v>ラーメン赤猫の職人</v>
      </c>
      <c r="H10" s="248" t="str">
        <f>IFERROR(__xludf.DUMMYFUNCTION("""COMPUTED_VALUE"""),"R")</f>
        <v>R</v>
      </c>
      <c r="I10" s="248" t="str">
        <f>IFERROR(__xludf.DUMMYFUNCTION("""COMPUTED_VALUE"""),"PremiumR")</f>
        <v>PremiumR</v>
      </c>
      <c r="J10" s="248" t="str">
        <f>IFERROR(__xludf.DUMMYFUNCTION("""COMPUTED_VALUE"""),"赤")</f>
        <v>赤</v>
      </c>
      <c r="K10" s="248" t="str">
        <f>IFERROR(__xludf.DUMMYFUNCTION("""COMPUTED_VALUE"""),"chara")</f>
        <v>chara</v>
      </c>
      <c r="L10" s="250" t="str">
        <f>IFERROR(__xludf.DUMMYFUNCTION("""COMPUTED_VALUE"""),"テクニカル")</f>
        <v>テクニカル</v>
      </c>
      <c r="M10" s="250" t="str">
        <f>IFERROR(__xludf.DUMMYFUNCTION("""COMPUTED_VALUE"""),"dageki_1")</f>
        <v>dageki_1</v>
      </c>
      <c r="N10" s="250" t="str">
        <f>IFERROR(__xludf.DUMMYFUNCTION("""COMPUTED_VALUE"""),"Short")</f>
        <v>Short</v>
      </c>
      <c r="O10" s="248" t="str">
        <f>IFERROR(__xludf.DUMMYFUNCTION("""COMPUTED_VALUE"""),"zangeki_1")</f>
        <v>zangeki_1</v>
      </c>
      <c r="P10" s="248" t="str">
        <f>IFERROR(__xludf.DUMMYFUNCTION("""COMPUTED_VALUE"""),"00101")</f>
        <v>00101</v>
      </c>
      <c r="Q10" s="248" t="str">
        <f>IFERROR(__xludf.DUMMYFUNCTION("""COMPUTED_VALUE"""),"1.50")</f>
        <v>1.50</v>
      </c>
      <c r="R10" s="248" t="str">
        <f>IFERROR(__xludf.DUMMYFUNCTION("""COMPUTED_VALUE"""),"stop無:1回目 0.54")</f>
        <v>stop無:1回目 0.54</v>
      </c>
      <c r="S10" s="246" t="str">
        <f>IFERROR(__xludf.DUMMYFUNCTION("""COMPUTED_VALUE"""),"4.50")</f>
        <v>4.50</v>
      </c>
      <c r="T10" s="246" t="str">
        <f>IFERROR(__xludf.DUMMYFUNCTION("""COMPUTED_VALUE"""),"stop無:1回目 1.37
stop無:2回目 1.63
stop有:3回目 2.67")</f>
        <v>stop無:1回目 1.37
stop無:2回目 1.63
stop有:3回目 2.67</v>
      </c>
      <c r="U10" s="246">
        <f>IFERROR(__xludf.DUMMYFUNCTION("""COMPUTED_VALUE"""),45922.458333333336)</f>
        <v>45922.45833</v>
      </c>
      <c r="V10" s="246">
        <f>IFERROR(__xludf.DUMMYFUNCTION("""COMPUTED_VALUE"""),390812.49998842593)</f>
        <v>390812.5</v>
      </c>
      <c r="W10" s="246" t="str">
        <f>IFERROR(__xludf.DUMMYFUNCTION("""COMPUTED_VALUE"""),"catchcopy_character_chara_aka_00101.png")</f>
        <v>catchcopy_character_chara_aka_00101.png</v>
      </c>
      <c r="X10" s="246" t="str">
        <f>IFERROR(__xludf.DUMMYFUNCTION("""COMPUTED_VALUE"""),"enemy_icon_chara_aka_00101")</f>
        <v>enemy_icon_chara_aka_00101</v>
      </c>
      <c r="Y10" s="246" t="str">
        <f>IFERROR(__xludf.DUMMYFUNCTION("""COMPUTED_VALUE"""),"boss_icon_chara_aka_00101")</f>
        <v>boss_icon_chara_aka_00101</v>
      </c>
      <c r="Z10" s="246" t="str">
        <f>IFERROR(__xludf.DUMMYFUNCTION("""COMPUTED_VALUE"""),"chara_aka_00101_normal")</f>
        <v>chara_aka_00101_normal</v>
      </c>
    </row>
    <row r="11">
      <c r="A11" s="247" t="str">
        <f>IFERROR(__xludf.DUMMYFUNCTION("""COMPUTED_VALUE"""),"aka")</f>
        <v>aka</v>
      </c>
      <c r="B11" s="248" t="str">
        <f>IFERROR(__xludf.DUMMYFUNCTION("""COMPUTED_VALUE"""),"ラーメン赤猫")</f>
        <v>ラーメン赤猫</v>
      </c>
      <c r="C11" s="248" t="str">
        <f>IFERROR(__xludf.DUMMYFUNCTION("""COMPUTED_VALUE"""),"00201")</f>
        <v>00201</v>
      </c>
      <c r="D11" s="249" t="str">
        <f>IFERROR(__xludf.DUMMYFUNCTION("""COMPUTED_VALUE"""),"chara_aka_00201")</f>
        <v>chara_aka_00201</v>
      </c>
      <c r="E11" s="248" t="str">
        <f>IFERROR(__xludf.DUMMYFUNCTION("""COMPUTED_VALUE"""),"ハナ")</f>
        <v>ハナ</v>
      </c>
      <c r="F11" s="248" t="str">
        <f>IFERROR(__xludf.DUMMYFUNCTION("""COMPUTED_VALUE"""),"ハナ")</f>
        <v>ハナ</v>
      </c>
      <c r="G11" s="247" t="str">
        <f>IFERROR(__xludf.DUMMYFUNCTION("""COMPUTED_VALUE"""),"ハナのほっこり接客術")</f>
        <v>ハナのほっこり接客術</v>
      </c>
      <c r="H11" s="248" t="str">
        <f>IFERROR(__xludf.DUMMYFUNCTION("""COMPUTED_VALUE"""),"SR")</f>
        <v>SR</v>
      </c>
      <c r="I11" s="248" t="str">
        <f>IFERROR(__xludf.DUMMYFUNCTION("""COMPUTED_VALUE"""),"DropSR")</f>
        <v>DropSR</v>
      </c>
      <c r="J11" s="248" t="str">
        <f>IFERROR(__xludf.DUMMYFUNCTION("""COMPUTED_VALUE"""),"赤")</f>
        <v>赤</v>
      </c>
      <c r="K11" s="248" t="str">
        <f>IFERROR(__xludf.DUMMYFUNCTION("""COMPUTED_VALUE"""),"chara")</f>
        <v>chara</v>
      </c>
      <c r="L11" s="250" t="str">
        <f>IFERROR(__xludf.DUMMYFUNCTION("""COMPUTED_VALUE"""),"サポート")</f>
        <v>サポート</v>
      </c>
      <c r="M11" s="250" t="str">
        <f>IFERROR(__xludf.DUMMYFUNCTION("""COMPUTED_VALUE"""),"-")</f>
        <v>-</v>
      </c>
      <c r="N11" s="250"/>
      <c r="O11" s="248" t="str">
        <f>IFERROR(__xludf.DUMMYFUNCTION("""COMPUTED_VALUE"""),"-")</f>
        <v>-</v>
      </c>
      <c r="P11" s="248"/>
      <c r="Q11" s="248" t="str">
        <f>IFERROR(__xludf.DUMMYFUNCTION("""COMPUTED_VALUE"""),"1.35")</f>
        <v>1.35</v>
      </c>
      <c r="R11" s="248" t="str">
        <f>IFERROR(__xludf.DUMMYFUNCTION("""COMPUTED_VALUE"""),"stop有:1回目 0.63")</f>
        <v>stop有:1回目 0.63</v>
      </c>
      <c r="S11" s="246" t="str">
        <f>IFERROR(__xludf.DUMMYFUNCTION("""COMPUTED_VALUE"""),"2.33")</f>
        <v>2.33</v>
      </c>
      <c r="T11" s="246" t="str">
        <f>IFERROR(__xludf.DUMMYFUNCTION("""COMPUTED_VALUE"""),"stop無:1回目 0.6")</f>
        <v>stop無:1回目 0.6</v>
      </c>
      <c r="U11" s="246" t="str">
        <f>IFERROR(__xludf.DUMMYFUNCTION("""COMPUTED_VALUE"""),"2026年5月中旬のアニマル祭りで実装予定")</f>
        <v>2026年5月中旬のアニマル祭りで実装予定</v>
      </c>
      <c r="V11" s="246">
        <f>IFERROR(__xludf.DUMMYFUNCTION("""COMPUTED_VALUE"""),390812.49998842593)</f>
        <v>390812.5</v>
      </c>
      <c r="W11" s="246" t="str">
        <f>IFERROR(__xludf.DUMMYFUNCTION("""COMPUTED_VALUE"""),"catchcopy_character_chara_aka_00201.png")</f>
        <v>catchcopy_character_chara_aka_00201.png</v>
      </c>
      <c r="X11" s="246" t="str">
        <f>IFERROR(__xludf.DUMMYFUNCTION("""COMPUTED_VALUE"""),"enemy_icon_chara_aka_00201")</f>
        <v>enemy_icon_chara_aka_00201</v>
      </c>
      <c r="Y11" s="246" t="str">
        <f>IFERROR(__xludf.DUMMYFUNCTION("""COMPUTED_VALUE"""),"boss_icon_chara_aka_00201")</f>
        <v>boss_icon_chara_aka_00201</v>
      </c>
      <c r="Z11" s="246" t="str">
        <f>IFERROR(__xludf.DUMMYFUNCTION("""COMPUTED_VALUE"""),"chara_aka_00101_normal")</f>
        <v>chara_aka_00101_normal</v>
      </c>
    </row>
    <row r="12">
      <c r="A12" s="247" t="str">
        <f>IFERROR(__xludf.DUMMYFUNCTION("""COMPUTED_VALUE"""),"aka")</f>
        <v>aka</v>
      </c>
      <c r="B12" s="248" t="str">
        <f>IFERROR(__xludf.DUMMYFUNCTION("""COMPUTED_VALUE"""),"ラーメン赤猫")</f>
        <v>ラーメン赤猫</v>
      </c>
      <c r="C12" s="248" t="str">
        <f>IFERROR(__xludf.DUMMYFUNCTION("""COMPUTED_VALUE"""),"00301")</f>
        <v>00301</v>
      </c>
      <c r="D12" s="249" t="str">
        <f>IFERROR(__xludf.DUMMYFUNCTION("""COMPUTED_VALUE"""),"chara_aka_00301")</f>
        <v>chara_aka_00301</v>
      </c>
      <c r="E12" s="248" t="str">
        <f>IFERROR(__xludf.DUMMYFUNCTION("""COMPUTED_VALUE"""),"サブ")</f>
        <v>サブ</v>
      </c>
      <c r="F12" s="248" t="str">
        <f>IFERROR(__xludf.DUMMYFUNCTION("""COMPUTED_VALUE"""),"サブ")</f>
        <v>サブ</v>
      </c>
      <c r="G12" s="247" t="str">
        <f>IFERROR(__xludf.DUMMYFUNCTION("""COMPUTED_VALUE"""),"プロゲーマーとか無理っすよ")</f>
        <v>プロゲーマーとか無理っすよ</v>
      </c>
      <c r="H12" s="248" t="str">
        <f>IFERROR(__xludf.DUMMYFUNCTION("""COMPUTED_VALUE"""),"SR")</f>
        <v>SR</v>
      </c>
      <c r="I12" s="248" t="str">
        <f>IFERROR(__xludf.DUMMYFUNCTION("""COMPUTED_VALUE"""),"DropSR")</f>
        <v>DropSR</v>
      </c>
      <c r="J12" s="248" t="str">
        <f>IFERROR(__xludf.DUMMYFUNCTION("""COMPUTED_VALUE"""),"緑")</f>
        <v>緑</v>
      </c>
      <c r="K12" s="248" t="str">
        <f>IFERROR(__xludf.DUMMYFUNCTION("""COMPUTED_VALUE"""),"chara")</f>
        <v>chara</v>
      </c>
      <c r="L12" s="250" t="str">
        <f>IFERROR(__xludf.DUMMYFUNCTION("""COMPUTED_VALUE"""),"アタック")</f>
        <v>アタック</v>
      </c>
      <c r="M12" s="250" t="str">
        <f>IFERROR(__xludf.DUMMYFUNCTION("""COMPUTED_VALUE"""),"dageki_1")</f>
        <v>dageki_1</v>
      </c>
      <c r="N12" s="250"/>
      <c r="O12" s="248" t="str">
        <f>IFERROR(__xludf.DUMMYFUNCTION("""COMPUTED_VALUE"""),"shageki_1")</f>
        <v>shageki_1</v>
      </c>
      <c r="P12" s="248"/>
      <c r="Q12" s="248" t="str">
        <f>IFERROR(__xludf.DUMMYFUNCTION("""COMPUTED_VALUE"""),"1.33")</f>
        <v>1.33</v>
      </c>
      <c r="R12" s="248" t="str">
        <f>IFERROR(__xludf.DUMMYFUNCTION("""COMPUTED_VALUE"""),"stop有:1回目 0.55")</f>
        <v>stop有:1回目 0.55</v>
      </c>
      <c r="S12" s="246" t="str">
        <f>IFERROR(__xludf.DUMMYFUNCTION("""COMPUTED_VALUE"""),"2.53")</f>
        <v>2.53</v>
      </c>
      <c r="T12" s="246" t="str">
        <f>IFERROR(__xludf.DUMMYFUNCTION("""COMPUTED_VALUE"""),"stop無:1回目 0.76
stop無:2回目 0.91
stop有:3回目 1.4")</f>
        <v>stop無:1回目 0.76
stop無:2回目 0.91
stop有:3回目 1.4</v>
      </c>
      <c r="U12" s="246" t="str">
        <f>IFERROR(__xludf.DUMMYFUNCTION("""COMPUTED_VALUE"""),"2026年5月中旬のアニマル祭りで実装予定")</f>
        <v>2026年5月中旬のアニマル祭りで実装予定</v>
      </c>
      <c r="V12" s="246">
        <f>IFERROR(__xludf.DUMMYFUNCTION("""COMPUTED_VALUE"""),390812.49998842593)</f>
        <v>390812.5</v>
      </c>
      <c r="W12" s="246" t="str">
        <f>IFERROR(__xludf.DUMMYFUNCTION("""COMPUTED_VALUE"""),"catchcopy_character_chara_aka_00301.png")</f>
        <v>catchcopy_character_chara_aka_00301.png</v>
      </c>
      <c r="X12" s="246" t="str">
        <f>IFERROR(__xludf.DUMMYFUNCTION("""COMPUTED_VALUE"""),"enemy_icon_chara_aka_00301")</f>
        <v>enemy_icon_chara_aka_00301</v>
      </c>
      <c r="Y12" s="246" t="str">
        <f>IFERROR(__xludf.DUMMYFUNCTION("""COMPUTED_VALUE"""),"boss_icon_chara_aka_00301")</f>
        <v>boss_icon_chara_aka_00301</v>
      </c>
      <c r="Z12" s="246" t="str">
        <f>IFERROR(__xludf.DUMMYFUNCTION("""COMPUTED_VALUE"""),"chara_aka_00101_normal")</f>
        <v>chara_aka_00101_normal</v>
      </c>
    </row>
    <row r="13">
      <c r="A13" s="247" t="str">
        <f>IFERROR(__xludf.DUMMYFUNCTION("""COMPUTED_VALUE"""),"rik")</f>
        <v>rik</v>
      </c>
      <c r="B13" s="248" t="str">
        <f>IFERROR(__xludf.DUMMYFUNCTION("""COMPUTED_VALUE"""),"トマトイプーのリコピン")</f>
        <v>トマトイプーのリコピン</v>
      </c>
      <c r="C13" s="248" t="str">
        <f>IFERROR(__xludf.DUMMYFUNCTION("""COMPUTED_VALUE"""),"00001")</f>
        <v>00001</v>
      </c>
      <c r="D13" s="249" t="str">
        <f>IFERROR(__xludf.DUMMYFUNCTION("""COMPUTED_VALUE"""),"chara_rik_00001")</f>
        <v>chara_rik_00001</v>
      </c>
      <c r="E13" s="248" t="str">
        <f>IFERROR(__xludf.DUMMYFUNCTION("""COMPUTED_VALUE"""),"リコピン")</f>
        <v>リコピン</v>
      </c>
      <c r="F13" s="248" t="str">
        <f>IFERROR(__xludf.DUMMYFUNCTION("""COMPUTED_VALUE"""),"リコピン")</f>
        <v>リコピン</v>
      </c>
      <c r="G13" s="247" t="str">
        <f>IFERROR(__xludf.DUMMYFUNCTION("""COMPUTED_VALUE"""),"トマト果汁は健康の証")</f>
        <v>トマト果汁は健康の証</v>
      </c>
      <c r="H13" s="248" t="str">
        <f>IFERROR(__xludf.DUMMYFUNCTION("""COMPUTED_VALUE"""),"R")</f>
        <v>R</v>
      </c>
      <c r="I13" s="248" t="str">
        <f>IFERROR(__xludf.DUMMYFUNCTION("""COMPUTED_VALUE"""),"PremiumR")</f>
        <v>PremiumR</v>
      </c>
      <c r="J13" s="248" t="str">
        <f>IFERROR(__xludf.DUMMYFUNCTION("""COMPUTED_VALUE"""),"赤")</f>
        <v>赤</v>
      </c>
      <c r="K13" s="248" t="str">
        <f>IFERROR(__xludf.DUMMYFUNCTION("""COMPUTED_VALUE"""),"chara")</f>
        <v>chara</v>
      </c>
      <c r="L13" s="250" t="str">
        <f>IFERROR(__xludf.DUMMYFUNCTION("""COMPUTED_VALUE"""),"アタック")</f>
        <v>アタック</v>
      </c>
      <c r="M13" s="250" t="str">
        <f>IFERROR(__xludf.DUMMYFUNCTION("""COMPUTED_VALUE"""),"dageki_2")</f>
        <v>dageki_2</v>
      </c>
      <c r="N13" s="250" t="str">
        <f>IFERROR(__xludf.DUMMYFUNCTION("""COMPUTED_VALUE"""),"Short")</f>
        <v>Short</v>
      </c>
      <c r="O13" s="248" t="str">
        <f>IFERROR(__xludf.DUMMYFUNCTION("""COMPUTED_VALUE"""),"dageki_2")</f>
        <v>dageki_2</v>
      </c>
      <c r="P13" s="248" t="str">
        <f>IFERROR(__xludf.DUMMYFUNCTION("""COMPUTED_VALUE"""),"00001")</f>
        <v>00001</v>
      </c>
      <c r="Q13" s="248" t="str">
        <f>IFERROR(__xludf.DUMMYFUNCTION("""COMPUTED_VALUE"""),"1.64")</f>
        <v>1.64</v>
      </c>
      <c r="R13" s="248" t="str">
        <f>IFERROR(__xludf.DUMMYFUNCTION("""COMPUTED_VALUE"""),"0.93")</f>
        <v>0.93</v>
      </c>
      <c r="S13" s="246" t="str">
        <f>IFERROR(__xludf.DUMMYFUNCTION("""COMPUTED_VALUE"""),"4.01")</f>
        <v>4.01</v>
      </c>
      <c r="T13" s="246" t="str">
        <f>IFERROR(__xludf.DUMMYFUNCTION("""COMPUTED_VALUE"""),"1回目：0.83
2回目：1.84
3回目：2.67")</f>
        <v>1回目：0.83
2回目：1.84
3回目：2.67</v>
      </c>
      <c r="U13" s="246">
        <f>IFERROR(__xludf.DUMMYFUNCTION("""COMPUTED_VALUE"""),45922.458333333336)</f>
        <v>45922.45833</v>
      </c>
      <c r="V13" s="246">
        <f>IFERROR(__xludf.DUMMYFUNCTION("""COMPUTED_VALUE"""),390812.49998842593)</f>
        <v>390812.5</v>
      </c>
      <c r="W13" s="246" t="str">
        <f>IFERROR(__xludf.DUMMYFUNCTION("""COMPUTED_VALUE"""),"catchcopy_character_chara_rik_00001.png")</f>
        <v>catchcopy_character_chara_rik_00001.png</v>
      </c>
      <c r="X13" s="246" t="str">
        <f>IFERROR(__xludf.DUMMYFUNCTION("""COMPUTED_VALUE"""),"enemy_icon_chara_rik_00001")</f>
        <v>enemy_icon_chara_rik_00001</v>
      </c>
      <c r="Y13" s="246" t="str">
        <f>IFERROR(__xludf.DUMMYFUNCTION("""COMPUTED_VALUE"""),"boss_icon_chara_rik_00001")</f>
        <v>boss_icon_chara_rik_00001</v>
      </c>
      <c r="Z13" s="246" t="str">
        <f>IFERROR(__xludf.DUMMYFUNCTION("""COMPUTED_VALUE"""),"chara_rik_00001_normal")</f>
        <v>chara_rik_00001_normal</v>
      </c>
    </row>
    <row r="14">
      <c r="A14" s="247" t="str">
        <f>IFERROR(__xludf.DUMMYFUNCTION("""COMPUTED_VALUE"""),"rik")</f>
        <v>rik</v>
      </c>
      <c r="B14" s="248" t="str">
        <f>IFERROR(__xludf.DUMMYFUNCTION("""COMPUTED_VALUE"""),"トマトイプーのリコピン")</f>
        <v>トマトイプーのリコピン</v>
      </c>
      <c r="C14" s="248" t="str">
        <f>IFERROR(__xludf.DUMMYFUNCTION("""COMPUTED_VALUE"""),"00101")</f>
        <v>00101</v>
      </c>
      <c r="D14" s="249" t="str">
        <f>IFERROR(__xludf.DUMMYFUNCTION("""COMPUTED_VALUE"""),"chara_rik_00101")</f>
        <v>chara_rik_00101</v>
      </c>
      <c r="E14" s="248" t="str">
        <f>IFERROR(__xludf.DUMMYFUNCTION("""COMPUTED_VALUE"""),"甘戸 めめ")</f>
        <v>甘戸 めめ</v>
      </c>
      <c r="F14" s="248" t="str">
        <f>IFERROR(__xludf.DUMMYFUNCTION("""COMPUTED_VALUE"""),"甘戸 めめ")</f>
        <v>甘戸 めめ</v>
      </c>
      <c r="G14" s="248" t="str">
        <f>IFERROR(__xludf.DUMMYFUNCTION("""COMPUTED_VALUE"""),"モンブランケーキ")</f>
        <v>モンブランケーキ</v>
      </c>
      <c r="H14" s="248" t="str">
        <f>IFERROR(__xludf.DUMMYFUNCTION("""COMPUTED_VALUE"""),"R")</f>
        <v>R</v>
      </c>
      <c r="I14" s="248" t="str">
        <f>IFERROR(__xludf.DUMMYFUNCTION("""COMPUTED_VALUE"""),"DropR")</f>
        <v>DropR</v>
      </c>
      <c r="J14" s="248" t="str">
        <f>IFERROR(__xludf.DUMMYFUNCTION("""COMPUTED_VALUE"""),"赤")</f>
        <v>赤</v>
      </c>
      <c r="K14" s="248" t="str">
        <f>IFERROR(__xludf.DUMMYFUNCTION("""COMPUTED_VALUE"""),"chara")</f>
        <v>chara</v>
      </c>
      <c r="L14" s="250" t="str">
        <f>IFERROR(__xludf.DUMMYFUNCTION("""COMPUTED_VALUE"""),"サポート")</f>
        <v>サポート</v>
      </c>
      <c r="M14" s="250" t="str">
        <f>IFERROR(__xludf.DUMMYFUNCTION("""COMPUTED_VALUE"""),"dageki_2")</f>
        <v>dageki_2</v>
      </c>
      <c r="N14" s="250" t="str">
        <f>IFERROR(__xludf.DUMMYFUNCTION("""COMPUTED_VALUE"""),"Middle")</f>
        <v>Middle</v>
      </c>
      <c r="O14" s="248" t="str">
        <f>IFERROR(__xludf.DUMMYFUNCTION("""COMPUTED_VALUE"""),"-")</f>
        <v>-</v>
      </c>
      <c r="P14" s="248" t="str">
        <f>IFERROR(__xludf.DUMMYFUNCTION("""COMPUTED_VALUE"""),"00101")</f>
        <v>00101</v>
      </c>
      <c r="Q14" s="248" t="str">
        <f>IFERROR(__xludf.DUMMYFUNCTION("""COMPUTED_VALUE"""),"1.57")</f>
        <v>1.57</v>
      </c>
      <c r="R14" s="248" t="str">
        <f>IFERROR(__xludf.DUMMYFUNCTION("""COMPUTED_VALUE"""),"0.87")</f>
        <v>0.87</v>
      </c>
      <c r="S14" s="246" t="str">
        <f>IFERROR(__xludf.DUMMYFUNCTION("""COMPUTED_VALUE"""),"2.67")</f>
        <v>2.67</v>
      </c>
      <c r="T14" s="246" t="str">
        <f>IFERROR(__xludf.DUMMYFUNCTION("""COMPUTED_VALUE"""),"stop無:1.00")</f>
        <v>stop無:1.00</v>
      </c>
      <c r="U14" s="246">
        <f>IFERROR(__xludf.DUMMYFUNCTION("""COMPUTED_VALUE"""),45922.458333333336)</f>
        <v>45922.45833</v>
      </c>
      <c r="V14" s="246">
        <f>IFERROR(__xludf.DUMMYFUNCTION("""COMPUTED_VALUE"""),390812.49998842593)</f>
        <v>390812.5</v>
      </c>
      <c r="W14" s="246" t="str">
        <f>IFERROR(__xludf.DUMMYFUNCTION("""COMPUTED_VALUE"""),"catchcopy_character_chara_rik_00101.png")</f>
        <v>catchcopy_character_chara_rik_00101.png</v>
      </c>
      <c r="X14" s="246" t="str">
        <f>IFERROR(__xludf.DUMMYFUNCTION("""COMPUTED_VALUE"""),"enemy_icon_chara_rik_00101")</f>
        <v>enemy_icon_chara_rik_00101</v>
      </c>
      <c r="Y14" s="246" t="str">
        <f>IFERROR(__xludf.DUMMYFUNCTION("""COMPUTED_VALUE"""),"boss_icon_chara_rik_00101")</f>
        <v>boss_icon_chara_rik_00101</v>
      </c>
      <c r="Z14" s="246" t="str">
        <f>IFERROR(__xludf.DUMMYFUNCTION("""COMPUTED_VALUE"""),"chara_rik_00101_normal")</f>
        <v>chara_rik_00101_normal</v>
      </c>
    </row>
    <row r="15">
      <c r="A15" s="247" t="str">
        <f>IFERROR(__xludf.DUMMYFUNCTION("""COMPUTED_VALUE"""),"dan")</f>
        <v>dan</v>
      </c>
      <c r="B15" s="248" t="str">
        <f>IFERROR(__xludf.DUMMYFUNCTION("""COMPUTED_VALUE"""),"ダンダダン")</f>
        <v>ダンダダン</v>
      </c>
      <c r="C15" s="248" t="str">
        <f>IFERROR(__xludf.DUMMYFUNCTION("""COMPUTED_VALUE"""),"00001")</f>
        <v>00001</v>
      </c>
      <c r="D15" s="249" t="str">
        <f>IFERROR(__xludf.DUMMYFUNCTION("""COMPUTED_VALUE"""),"chara_dan_00001")</f>
        <v>chara_dan_00001</v>
      </c>
      <c r="E15" s="248" t="str">
        <f>IFERROR(__xludf.DUMMYFUNCTION("""COMPUTED_VALUE"""),"オカルン")</f>
        <v>オカルン</v>
      </c>
      <c r="F15" s="248" t="str">
        <f>IFERROR(__xludf.DUMMYFUNCTION("""COMPUTED_VALUE"""),"オカルン")</f>
        <v>オカルン</v>
      </c>
      <c r="G15" s="248" t="str">
        <f>IFERROR(__xludf.DUMMYFUNCTION("""COMPUTED_VALUE"""),"友達ができたからだ！")</f>
        <v>友達ができたからだ！</v>
      </c>
      <c r="H15" s="248" t="str">
        <f>IFERROR(__xludf.DUMMYFUNCTION("""COMPUTED_VALUE"""),"R")</f>
        <v>R</v>
      </c>
      <c r="I15" s="248" t="str">
        <f>IFERROR(__xludf.DUMMYFUNCTION("""COMPUTED_VALUE"""),"PremiumR")</f>
        <v>PremiumR</v>
      </c>
      <c r="J15" s="248" t="str">
        <f>IFERROR(__xludf.DUMMYFUNCTION("""COMPUTED_VALUE"""),"赤")</f>
        <v>赤</v>
      </c>
      <c r="K15" s="248" t="str">
        <f>IFERROR(__xludf.DUMMYFUNCTION("""COMPUTED_VALUE"""),"chara")</f>
        <v>chara</v>
      </c>
      <c r="L15" s="250" t="str">
        <f>IFERROR(__xludf.DUMMYFUNCTION("""COMPUTED_VALUE"""),"ディフェンス")</f>
        <v>ディフェンス</v>
      </c>
      <c r="M15" s="250" t="str">
        <f>IFERROR(__xludf.DUMMYFUNCTION("""COMPUTED_VALUE"""),"dageki_1")</f>
        <v>dageki_1</v>
      </c>
      <c r="N15" s="250" t="str">
        <f>IFERROR(__xludf.DUMMYFUNCTION("""COMPUTED_VALUE"""),"Short")</f>
        <v>Short</v>
      </c>
      <c r="O15" s="248" t="str">
        <f>IFERROR(__xludf.DUMMYFUNCTION("""COMPUTED_VALUE"""),"-")</f>
        <v>-</v>
      </c>
      <c r="P15" s="248" t="str">
        <f>IFERROR(__xludf.DUMMYFUNCTION("""COMPUTED_VALUE"""),"00001")</f>
        <v>00001</v>
      </c>
      <c r="Q15" s="248" t="str">
        <f>IFERROR(__xludf.DUMMYFUNCTION("""COMPUTED_VALUE"""),"1.43")</f>
        <v>1.43</v>
      </c>
      <c r="R15" s="248" t="str">
        <f>IFERROR(__xludf.DUMMYFUNCTION("""COMPUTED_VALUE"""),"0.53")</f>
        <v>0.53</v>
      </c>
      <c r="S15" s="246" t="str">
        <f>IFERROR(__xludf.DUMMYFUNCTION("""COMPUTED_VALUE"""),"4.00")</f>
        <v>4.00</v>
      </c>
      <c r="T15" s="246" t="str">
        <f>IFERROR(__xludf.DUMMYFUNCTION("""COMPUTED_VALUE"""),"1.66")</f>
        <v>1.66</v>
      </c>
      <c r="U15" s="246">
        <f>IFERROR(__xludf.DUMMYFUNCTION("""COMPUTED_VALUE"""),45922.458333333336)</f>
        <v>45922.45833</v>
      </c>
      <c r="V15" s="246">
        <f>IFERROR(__xludf.DUMMYFUNCTION("""COMPUTED_VALUE"""),390812.49998842593)</f>
        <v>390812.5</v>
      </c>
      <c r="W15" s="246" t="str">
        <f>IFERROR(__xludf.DUMMYFUNCTION("""COMPUTED_VALUE"""),"catchcopy_character_chara_dan_00001.png")</f>
        <v>catchcopy_character_chara_dan_00001.png</v>
      </c>
      <c r="X15" s="246" t="str">
        <f>IFERROR(__xludf.DUMMYFUNCTION("""COMPUTED_VALUE"""),"enemy_icon_chara_dan_00001")</f>
        <v>enemy_icon_chara_dan_00001</v>
      </c>
      <c r="Y15" s="246" t="str">
        <f>IFERROR(__xludf.DUMMYFUNCTION("""COMPUTED_VALUE"""),"boss_icon_chara_dan_00001")</f>
        <v>boss_icon_chara_dan_00001</v>
      </c>
      <c r="Z15" s="246" t="str">
        <f>IFERROR(__xludf.DUMMYFUNCTION("""COMPUTED_VALUE"""),"chara_dan_00001_normal")</f>
        <v>chara_dan_00001_normal</v>
      </c>
    </row>
    <row r="16">
      <c r="A16" s="247" t="str">
        <f>IFERROR(__xludf.DUMMYFUNCTION("""COMPUTED_VALUE"""),"dan")</f>
        <v>dan</v>
      </c>
      <c r="B16" s="248" t="str">
        <f>IFERROR(__xludf.DUMMYFUNCTION("""COMPUTED_VALUE"""),"ダンダダン")</f>
        <v>ダンダダン</v>
      </c>
      <c r="C16" s="248" t="str">
        <f>IFERROR(__xludf.DUMMYFUNCTION("""COMPUTED_VALUE"""),"00002")</f>
        <v>00002</v>
      </c>
      <c r="D16" s="249" t="str">
        <f>IFERROR(__xludf.DUMMYFUNCTION("""COMPUTED_VALUE"""),"chara_dan_00002")</f>
        <v>chara_dan_00002</v>
      </c>
      <c r="E16" s="248" t="str">
        <f>IFERROR(__xludf.DUMMYFUNCTION("""COMPUTED_VALUE"""),"ターボババアの霊力 オカルン")</f>
        <v>ターボババアの霊力 オカルン</v>
      </c>
      <c r="F16" s="248" t="str">
        <f>IFERROR(__xludf.DUMMYFUNCTION("""COMPUTED_VALUE"""),"ターボババアの霊力 オカルン")</f>
        <v>ターボババアの霊力 オカルン</v>
      </c>
      <c r="G16" s="248" t="str">
        <f>IFERROR(__xludf.DUMMYFUNCTION("""COMPUTED_VALUE"""),"萎えるぜ")</f>
        <v>萎えるぜ</v>
      </c>
      <c r="H16" s="248" t="str">
        <f>IFERROR(__xludf.DUMMYFUNCTION("""COMPUTED_VALUE"""),"UR")</f>
        <v>UR</v>
      </c>
      <c r="I16" s="248" t="str">
        <f>IFERROR(__xludf.DUMMYFUNCTION("""COMPUTED_VALUE"""),"PremiumUR")</f>
        <v>PremiumUR</v>
      </c>
      <c r="J16" s="248" t="str">
        <f>IFERROR(__xludf.DUMMYFUNCTION("""COMPUTED_VALUE"""),"青")</f>
        <v>青</v>
      </c>
      <c r="K16" s="248" t="str">
        <f>IFERROR(__xludf.DUMMYFUNCTION("""COMPUTED_VALUE"""),"chara")</f>
        <v>chara</v>
      </c>
      <c r="L16" s="250" t="str">
        <f>IFERROR(__xludf.DUMMYFUNCTION("""COMPUTED_VALUE"""),"アタック")</f>
        <v>アタック</v>
      </c>
      <c r="M16" s="250" t="str">
        <f>IFERROR(__xludf.DUMMYFUNCTION("""COMPUTED_VALUE"""),"dageki_1")</f>
        <v>dageki_1</v>
      </c>
      <c r="N16" s="250" t="str">
        <f>IFERROR(__xludf.DUMMYFUNCTION("""COMPUTED_VALUE"""),"Middle")</f>
        <v>Middle</v>
      </c>
      <c r="O16" s="248" t="str">
        <f>IFERROR(__xludf.DUMMYFUNCTION("""COMPUTED_VALUE"""),"dageki_1")</f>
        <v>dageki_1</v>
      </c>
      <c r="P16" s="248" t="str">
        <f>IFERROR(__xludf.DUMMYFUNCTION("""COMPUTED_VALUE"""),"00002")</f>
        <v>00002</v>
      </c>
      <c r="Q16" s="248" t="str">
        <f>IFERROR(__xludf.DUMMYFUNCTION("""COMPUTED_VALUE"""),"1.84")</f>
        <v>1.84</v>
      </c>
      <c r="R16" s="248" t="str">
        <f>IFERROR(__xludf.DUMMYFUNCTION("""COMPUTED_VALUE"""),"stop有:1回目 0.66
stop有:2回目 1.27")</f>
        <v>stop有:1回目 0.66
stop有:2回目 1.27</v>
      </c>
      <c r="S16" s="246" t="str">
        <f>IFERROR(__xludf.DUMMYFUNCTION("""COMPUTED_VALUE"""),"5.21")</f>
        <v>5.21</v>
      </c>
      <c r="T16" s="246" t="str">
        <f>IFERROR(__xludf.DUMMYFUNCTION("""COMPUTED_VALUE"""),"stop有:1回目：1.78
stop有:2回目：3.34
stop無:3回目 3.76
stop無:4回目 3.92
stop無:5回目 4.09
stop無:6回目 4.26
stop無:7回目 4.42")</f>
        <v>stop有:1回目：1.78
stop有:2回目：3.34
stop無:3回目 3.76
stop無:4回目 3.92
stop無:5回目 4.09
stop無:6回目 4.26
stop無:7回目 4.42</v>
      </c>
      <c r="U16" s="246">
        <f>IFERROR(__xludf.DUMMYFUNCTION("""COMPUTED_VALUE"""),45922.458333333336)</f>
        <v>45922.45833</v>
      </c>
      <c r="V16" s="246">
        <f>IFERROR(__xludf.DUMMYFUNCTION("""COMPUTED_VALUE"""),390812.49998842593)</f>
        <v>390812.5</v>
      </c>
      <c r="W16" s="246" t="str">
        <f>IFERROR(__xludf.DUMMYFUNCTION("""COMPUTED_VALUE"""),"catchcopy_character_chara_dan_00002.png")</f>
        <v>catchcopy_character_chara_dan_00002.png</v>
      </c>
      <c r="X16" s="246" t="str">
        <f>IFERROR(__xludf.DUMMYFUNCTION("""COMPUTED_VALUE"""),"enemy_icon_chara_dan_00002")</f>
        <v>enemy_icon_chara_dan_00002</v>
      </c>
      <c r="Y16" s="246" t="str">
        <f>IFERROR(__xludf.DUMMYFUNCTION("""COMPUTED_VALUE"""),"boss_icon_chara_dan_00002")</f>
        <v>boss_icon_chara_dan_00002</v>
      </c>
      <c r="Z16" s="246"/>
    </row>
    <row r="17">
      <c r="A17" s="247" t="str">
        <f>IFERROR(__xludf.DUMMYFUNCTION("""COMPUTED_VALUE"""),"dan")</f>
        <v>dan</v>
      </c>
      <c r="B17" s="248" t="str">
        <f>IFERROR(__xludf.DUMMYFUNCTION("""COMPUTED_VALUE"""),"ダンダダン")</f>
        <v>ダンダダン</v>
      </c>
      <c r="C17" s="248" t="str">
        <f>IFERROR(__xludf.DUMMYFUNCTION("""COMPUTED_VALUE"""),"00101")</f>
        <v>00101</v>
      </c>
      <c r="D17" s="249" t="str">
        <f>IFERROR(__xludf.DUMMYFUNCTION("""COMPUTED_VALUE"""),"chara_dan_00101")</f>
        <v>chara_dan_00101</v>
      </c>
      <c r="E17" s="248" t="str">
        <f>IFERROR(__xludf.DUMMYFUNCTION("""COMPUTED_VALUE"""),"モモ")</f>
        <v>モモ</v>
      </c>
      <c r="F17" s="248" t="str">
        <f>IFERROR(__xludf.DUMMYFUNCTION("""COMPUTED_VALUE"""),"モモ")</f>
        <v>モモ</v>
      </c>
      <c r="G17" s="248" t="str">
        <f>IFERROR(__xludf.DUMMYFUNCTION("""COMPUTED_VALUE"""),"おっしゃあ いけえ!!")</f>
        <v>おっしゃあ いけえ!!</v>
      </c>
      <c r="H17" s="248" t="str">
        <f>IFERROR(__xludf.DUMMYFUNCTION("""COMPUTED_VALUE"""),"SSR")</f>
        <v>SSR</v>
      </c>
      <c r="I17" s="248" t="str">
        <f>IFERROR(__xludf.DUMMYFUNCTION("""COMPUTED_VALUE"""),"PremiumSSR")</f>
        <v>PremiumSSR</v>
      </c>
      <c r="J17" s="248" t="str">
        <f>IFERROR(__xludf.DUMMYFUNCTION("""COMPUTED_VALUE"""),"赤")</f>
        <v>赤</v>
      </c>
      <c r="K17" s="248" t="str">
        <f>IFERROR(__xludf.DUMMYFUNCTION("""COMPUTED_VALUE"""),"chara")</f>
        <v>chara</v>
      </c>
      <c r="L17" s="250" t="str">
        <f>IFERROR(__xludf.DUMMYFUNCTION("""COMPUTED_VALUE"""),"アタック")</f>
        <v>アタック</v>
      </c>
      <c r="M17" s="250" t="str">
        <f>IFERROR(__xludf.DUMMYFUNCTION("""COMPUTED_VALUE"""),"dageki_1")</f>
        <v>dageki_1</v>
      </c>
      <c r="N17" s="250" t="str">
        <f>IFERROR(__xludf.DUMMYFUNCTION("""COMPUTED_VALUE"""),"Middle")</f>
        <v>Middle</v>
      </c>
      <c r="O17" s="248" t="str">
        <f>IFERROR(__xludf.DUMMYFUNCTION("""COMPUTED_VALUE"""),"dageki_1")</f>
        <v>dageki_1</v>
      </c>
      <c r="P17" s="248" t="str">
        <f>IFERROR(__xludf.DUMMYFUNCTION("""COMPUTED_VALUE"""),"00101")</f>
        <v>00101</v>
      </c>
      <c r="Q17" s="248" t="str">
        <f>IFERROR(__xludf.DUMMYFUNCTION("""COMPUTED_VALUE"""),"1.00")</f>
        <v>1.00</v>
      </c>
      <c r="R17" s="248" t="str">
        <f>IFERROR(__xludf.DUMMYFUNCTION("""COMPUTED_VALUE"""),"0.50")</f>
        <v>0.50</v>
      </c>
      <c r="S17" s="246" t="str">
        <f>IFERROR(__xludf.DUMMYFUNCTION("""COMPUTED_VALUE"""),"2.00")</f>
        <v>2.00</v>
      </c>
      <c r="T17" s="246" t="str">
        <f>IFERROR(__xludf.DUMMYFUNCTION("""COMPUTED_VALUE"""),"1.00")</f>
        <v>1.00</v>
      </c>
      <c r="U17" s="246">
        <f>IFERROR(__xludf.DUMMYFUNCTION("""COMPUTED_VALUE"""),45922.458333333336)</f>
        <v>45922.45833</v>
      </c>
      <c r="V17" s="246">
        <f>IFERROR(__xludf.DUMMYFUNCTION("""COMPUTED_VALUE"""),390812.49998842593)</f>
        <v>390812.5</v>
      </c>
      <c r="W17" s="246" t="str">
        <f>IFERROR(__xludf.DUMMYFUNCTION("""COMPUTED_VALUE"""),"catchcopy_character_chara_dan_00101.png")</f>
        <v>catchcopy_character_chara_dan_00101.png</v>
      </c>
      <c r="X17" s="246" t="str">
        <f>IFERROR(__xludf.DUMMYFUNCTION("""COMPUTED_VALUE"""),"enemy_icon_chara_dan_00101")</f>
        <v>enemy_icon_chara_dan_00101</v>
      </c>
      <c r="Y17" s="246" t="str">
        <f>IFERROR(__xludf.DUMMYFUNCTION("""COMPUTED_VALUE"""),"boss_icon_chara_dan_00101")</f>
        <v>boss_icon_chara_dan_00101</v>
      </c>
      <c r="Z17" s="246" t="str">
        <f>IFERROR(__xludf.DUMMYFUNCTION("""COMPUTED_VALUE"""),"chara_dan_00101_normal")</f>
        <v>chara_dan_00101_normal</v>
      </c>
    </row>
    <row r="18">
      <c r="A18" s="247" t="str">
        <f>IFERROR(__xludf.DUMMYFUNCTION("""COMPUTED_VALUE"""),"dan")</f>
        <v>dan</v>
      </c>
      <c r="B18" s="248" t="str">
        <f>IFERROR(__xludf.DUMMYFUNCTION("""COMPUTED_VALUE"""),"ダンダダン")</f>
        <v>ダンダダン</v>
      </c>
      <c r="C18" s="248" t="str">
        <f>IFERROR(__xludf.DUMMYFUNCTION("""COMPUTED_VALUE"""),"00201")</f>
        <v>00201</v>
      </c>
      <c r="D18" s="249" t="str">
        <f>IFERROR(__xludf.DUMMYFUNCTION("""COMPUTED_VALUE"""),"chara_dan_00201")</f>
        <v>chara_dan_00201</v>
      </c>
      <c r="E18" s="248" t="str">
        <f>IFERROR(__xludf.DUMMYFUNCTION("""COMPUTED_VALUE"""),"アイラ")</f>
        <v>アイラ</v>
      </c>
      <c r="F18" s="248" t="str">
        <f>IFERROR(__xludf.DUMMYFUNCTION("""COMPUTED_VALUE"""),"アイラ")</f>
        <v>アイラ</v>
      </c>
      <c r="G18" s="248" t="str">
        <f>IFERROR(__xludf.DUMMYFUNCTION("""COMPUTED_VALUE"""),"私って美女すぎる")</f>
        <v>私って美女すぎる</v>
      </c>
      <c r="H18" s="248" t="str">
        <f>IFERROR(__xludf.DUMMYFUNCTION("""COMPUTED_VALUE"""),"SR")</f>
        <v>SR</v>
      </c>
      <c r="I18" s="248" t="str">
        <f>IFERROR(__xludf.DUMMYFUNCTION("""COMPUTED_VALUE"""),"DropSR")</f>
        <v>DropSR</v>
      </c>
      <c r="J18" s="248" t="str">
        <f>IFERROR(__xludf.DUMMYFUNCTION("""COMPUTED_VALUE"""),"青")</f>
        <v>青</v>
      </c>
      <c r="K18" s="248" t="str">
        <f>IFERROR(__xludf.DUMMYFUNCTION("""COMPUTED_VALUE"""),"chara")</f>
        <v>chara</v>
      </c>
      <c r="L18" s="250" t="str">
        <f>IFERROR(__xludf.DUMMYFUNCTION("""COMPUTED_VALUE"""),"サポート")</f>
        <v>サポート</v>
      </c>
      <c r="M18" s="250" t="str">
        <f>IFERROR(__xludf.DUMMYFUNCTION("""COMPUTED_VALUE"""),"dageki_2")</f>
        <v>dageki_2</v>
      </c>
      <c r="N18" s="250" t="str">
        <f>IFERROR(__xludf.DUMMYFUNCTION("""COMPUTED_VALUE"""),"Short")</f>
        <v>Short</v>
      </c>
      <c r="O18" s="248" t="str">
        <f>IFERROR(__xludf.DUMMYFUNCTION("""COMPUTED_VALUE"""),"-")</f>
        <v>-</v>
      </c>
      <c r="P18" s="248" t="str">
        <f>IFERROR(__xludf.DUMMYFUNCTION("""COMPUTED_VALUE"""),"00201")</f>
        <v>00201</v>
      </c>
      <c r="Q18" s="248" t="str">
        <f>IFERROR(__xludf.DUMMYFUNCTION("""COMPUTED_VALUE"""),"1.5")</f>
        <v>1.5</v>
      </c>
      <c r="R18" s="248" t="str">
        <f>IFERROR(__xludf.DUMMYFUNCTION("""COMPUTED_VALUE"""),"stop有:1回目 0.43")</f>
        <v>stop有:1回目 0.43</v>
      </c>
      <c r="S18" s="246" t="str">
        <f>IFERROR(__xludf.DUMMYFUNCTION("""COMPUTED_VALUE"""),"2.50")</f>
        <v>2.50</v>
      </c>
      <c r="T18" s="246" t="str">
        <f>IFERROR(__xludf.DUMMYFUNCTION("""COMPUTED_VALUE"""),"stop無:1回目：1.33")</f>
        <v>stop無:1回目：1.33</v>
      </c>
      <c r="U18" s="246">
        <f>IFERROR(__xludf.DUMMYFUNCTION("""COMPUTED_VALUE"""),45952.625)</f>
        <v>45952.625</v>
      </c>
      <c r="V18" s="246">
        <f>IFERROR(__xludf.DUMMYFUNCTION("""COMPUTED_VALUE"""),390812.49998842593)</f>
        <v>390812.5</v>
      </c>
      <c r="W18" s="246" t="str">
        <f>IFERROR(__xludf.DUMMYFUNCTION("""COMPUTED_VALUE"""),"catchcopy_character_chara_dan_00201.png")</f>
        <v>catchcopy_character_chara_dan_00201.png</v>
      </c>
      <c r="X18" s="246" t="str">
        <f>IFERROR(__xludf.DUMMYFUNCTION("""COMPUTED_VALUE"""),"enemy_icon_chara_dan_00201")</f>
        <v>enemy_icon_chara_dan_00201</v>
      </c>
      <c r="Y18" s="246" t="str">
        <f>IFERROR(__xludf.DUMMYFUNCTION("""COMPUTED_VALUE"""),"boss_icon_chara_dan_00201")</f>
        <v>boss_icon_chara_dan_00201</v>
      </c>
      <c r="Z18" s="246" t="str">
        <f>IFERROR(__xludf.DUMMYFUNCTION("""COMPUTED_VALUE"""),"chara_dan_00201_normal")</f>
        <v>chara_dan_00201_normal</v>
      </c>
    </row>
    <row r="19">
      <c r="A19" s="247" t="str">
        <f>IFERROR(__xludf.DUMMYFUNCTION("""COMPUTED_VALUE"""),"dan")</f>
        <v>dan</v>
      </c>
      <c r="B19" s="248" t="str">
        <f>IFERROR(__xludf.DUMMYFUNCTION("""COMPUTED_VALUE"""),"ダンダダン")</f>
        <v>ダンダダン</v>
      </c>
      <c r="C19" s="248" t="str">
        <f>IFERROR(__xludf.DUMMYFUNCTION("""COMPUTED_VALUE"""),"00202")</f>
        <v>00202</v>
      </c>
      <c r="D19" s="249" t="str">
        <f>IFERROR(__xludf.DUMMYFUNCTION("""COMPUTED_VALUE"""),"chara_dan_00202")</f>
        <v>chara_dan_00202</v>
      </c>
      <c r="E19" s="248" t="str">
        <f>IFERROR(__xludf.DUMMYFUNCTION("""COMPUTED_VALUE"""),"アクさらの愛 アイラ")</f>
        <v>アクさらの愛 アイラ</v>
      </c>
      <c r="F19" s="248" t="str">
        <f>IFERROR(__xludf.DUMMYFUNCTION("""COMPUTED_VALUE"""),"アクさらの愛 アイラ")</f>
        <v>アクさらの愛 アイラ</v>
      </c>
      <c r="G19" s="248" t="str">
        <f>IFERROR(__xludf.DUMMYFUNCTION("""COMPUTED_VALUE"""),"お放しなさい!!")</f>
        <v>お放しなさい!!</v>
      </c>
      <c r="H19" s="248" t="str">
        <f>IFERROR(__xludf.DUMMYFUNCTION("""COMPUTED_VALUE"""),"UR")</f>
        <v>UR</v>
      </c>
      <c r="I19" s="248" t="str">
        <f>IFERROR(__xludf.DUMMYFUNCTION("""COMPUTED_VALUE"""),"PremiumUR")</f>
        <v>PremiumUR</v>
      </c>
      <c r="J19" s="248" t="str">
        <f>IFERROR(__xludf.DUMMYFUNCTION("""COMPUTED_VALUE"""),"緑")</f>
        <v>緑</v>
      </c>
      <c r="K19" s="248" t="str">
        <f>IFERROR(__xludf.DUMMYFUNCTION("""COMPUTED_VALUE"""),"chara")</f>
        <v>chara</v>
      </c>
      <c r="L19" s="250" t="str">
        <f>IFERROR(__xludf.DUMMYFUNCTION("""COMPUTED_VALUE"""),"アタック")</f>
        <v>アタック</v>
      </c>
      <c r="M19" s="250" t="str">
        <f>IFERROR(__xludf.DUMMYFUNCTION("""COMPUTED_VALUE"""),"dageki_1")</f>
        <v>dageki_1</v>
      </c>
      <c r="N19" s="250" t="str">
        <f>IFERROR(__xludf.DUMMYFUNCTION("""COMPUTED_VALUE"""),"Middle")</f>
        <v>Middle</v>
      </c>
      <c r="O19" s="248" t="str">
        <f>IFERROR(__xludf.DUMMYFUNCTION("""COMPUTED_VALUE"""),"dageki_1")</f>
        <v>dageki_1</v>
      </c>
      <c r="P19" s="248" t="str">
        <f>IFERROR(__xludf.DUMMYFUNCTION("""COMPUTED_VALUE"""),"00202")</f>
        <v>00202</v>
      </c>
      <c r="Q19" s="248" t="str">
        <f>IFERROR(__xludf.DUMMYFUNCTION("""COMPUTED_VALUE"""),"1.37")</f>
        <v>1.37</v>
      </c>
      <c r="R19" s="248" t="str">
        <f>IFERROR(__xludf.DUMMYFUNCTION("""COMPUTED_VALUE"""),"0.45")</f>
        <v>0.45</v>
      </c>
      <c r="S19" s="246" t="str">
        <f>IFERROR(__xludf.DUMMYFUNCTION("""COMPUTED_VALUE"""),"2.44")</f>
        <v>2.44</v>
      </c>
      <c r="T19" s="246" t="str">
        <f>IFERROR(__xludf.DUMMYFUNCTION("""COMPUTED_VALUE"""),"stop無:1回目:0.30
stop無:2回目:0.65
stop有:3回目:1.05")</f>
        <v>stop無:1回目:0.30
stop無:2回目:0.65
stop有:3回目:1.05</v>
      </c>
      <c r="U19" s="246">
        <f>IFERROR(__xludf.DUMMYFUNCTION("""COMPUTED_VALUE"""),45952.625)</f>
        <v>45952.625</v>
      </c>
      <c r="V19" s="246">
        <f>IFERROR(__xludf.DUMMYFUNCTION("""COMPUTED_VALUE"""),390812.49998842593)</f>
        <v>390812.5</v>
      </c>
      <c r="W19" s="246" t="str">
        <f>IFERROR(__xludf.DUMMYFUNCTION("""COMPUTED_VALUE"""),"catchcopy_character_chara_dan_00202.png")</f>
        <v>catchcopy_character_chara_dan_00202.png</v>
      </c>
      <c r="X19" s="246" t="str">
        <f>IFERROR(__xludf.DUMMYFUNCTION("""COMPUTED_VALUE"""),"enemy_icon_chara_dan_00202")</f>
        <v>enemy_icon_chara_dan_00202</v>
      </c>
      <c r="Y19" s="246" t="str">
        <f>IFERROR(__xludf.DUMMYFUNCTION("""COMPUTED_VALUE"""),"boss_icon_chara_dan_00202")</f>
        <v>boss_icon_chara_dan_00202</v>
      </c>
      <c r="Z19" s="246" t="str">
        <f>IFERROR(__xludf.DUMMYFUNCTION("""COMPUTED_VALUE"""),"chara_dan_00202_normal")</f>
        <v>chara_dan_00202_normal</v>
      </c>
    </row>
    <row r="20">
      <c r="A20" s="247" t="str">
        <f>IFERROR(__xludf.DUMMYFUNCTION("""COMPUTED_VALUE"""),"dan")</f>
        <v>dan</v>
      </c>
      <c r="B20" s="248" t="str">
        <f>IFERROR(__xludf.DUMMYFUNCTION("""COMPUTED_VALUE"""),"ダンダダン")</f>
        <v>ダンダダン</v>
      </c>
      <c r="C20" s="248" t="str">
        <f>IFERROR(__xludf.DUMMYFUNCTION("""COMPUTED_VALUE"""),"00301")</f>
        <v>00301</v>
      </c>
      <c r="D20" s="249" t="str">
        <f>IFERROR(__xludf.DUMMYFUNCTION("""COMPUTED_VALUE"""),"chara_dan_00301")</f>
        <v>chara_dan_00301</v>
      </c>
      <c r="E20" s="248" t="str">
        <f>IFERROR(__xludf.DUMMYFUNCTION("""COMPUTED_VALUE"""),"招き猫 ターボババア")</f>
        <v>招き猫 ターボババア</v>
      </c>
      <c r="F20" s="248" t="str">
        <f>IFERROR(__xludf.DUMMYFUNCTION("""COMPUTED_VALUE"""),"招き猫 ターボババア")</f>
        <v>招き猫 ターボババア</v>
      </c>
      <c r="G20" s="248" t="str">
        <f>IFERROR(__xludf.DUMMYFUNCTION("""COMPUTED_VALUE"""),"クソだらあ!!")</f>
        <v>クソだらあ!!</v>
      </c>
      <c r="H20" s="248" t="str">
        <f>IFERROR(__xludf.DUMMYFUNCTION("""COMPUTED_VALUE"""),"SR")</f>
        <v>SR</v>
      </c>
      <c r="I20" s="248" t="str">
        <f>IFERROR(__xludf.DUMMYFUNCTION("""COMPUTED_VALUE"""),"DropSR")</f>
        <v>DropSR</v>
      </c>
      <c r="J20" s="248" t="str">
        <f>IFERROR(__xludf.DUMMYFUNCTION("""COMPUTED_VALUE"""),"黄")</f>
        <v>黄</v>
      </c>
      <c r="K20" s="248" t="str">
        <f>IFERROR(__xludf.DUMMYFUNCTION("""COMPUTED_VALUE"""),"chara")</f>
        <v>chara</v>
      </c>
      <c r="L20" s="250" t="str">
        <f>IFERROR(__xludf.DUMMYFUNCTION("""COMPUTED_VALUE"""),"ディフェンス")</f>
        <v>ディフェンス</v>
      </c>
      <c r="M20" s="250" t="str">
        <f>IFERROR(__xludf.DUMMYFUNCTION("""COMPUTED_VALUE"""),"dageki_1")</f>
        <v>dageki_1</v>
      </c>
      <c r="N20" s="250" t="str">
        <f>IFERROR(__xludf.DUMMYFUNCTION("""COMPUTED_VALUE"""),"Short")</f>
        <v>Short</v>
      </c>
      <c r="O20" s="248" t="str">
        <f>IFERROR(__xludf.DUMMYFUNCTION("""COMPUTED_VALUE"""),"-")</f>
        <v>-</v>
      </c>
      <c r="P20" s="248" t="str">
        <f>IFERROR(__xludf.DUMMYFUNCTION("""COMPUTED_VALUE"""),"00301")</f>
        <v>00301</v>
      </c>
      <c r="Q20" s="248" t="str">
        <f>IFERROR(__xludf.DUMMYFUNCTION("""COMPUTED_VALUE"""),"1.60")</f>
        <v>1.60</v>
      </c>
      <c r="R20" s="248" t="str">
        <f>IFERROR(__xludf.DUMMYFUNCTION("""COMPUTED_VALUE"""),"stop無:1回目 0.38
stop無:2回目 0.83
stop無:3回目 1.16")</f>
        <v>stop無:1回目 0.38
stop無:2回目 0.83
stop無:3回目 1.16</v>
      </c>
      <c r="S20" s="246" t="str">
        <f>IFERROR(__xludf.DUMMYFUNCTION("""COMPUTED_VALUE"""),"1.83")</f>
        <v>1.83</v>
      </c>
      <c r="T20" s="246" t="str">
        <f>IFERROR(__xludf.DUMMYFUNCTION("""COMPUTED_VALUE"""),"stop無:1回目：0.30")</f>
        <v>stop無:1回目：0.30</v>
      </c>
      <c r="U20" s="246">
        <f>IFERROR(__xludf.DUMMYFUNCTION("""COMPUTED_VALUE"""),45952.625)</f>
        <v>45952.625</v>
      </c>
      <c r="V20" s="246">
        <f>IFERROR(__xludf.DUMMYFUNCTION("""COMPUTED_VALUE"""),390812.49998842593)</f>
        <v>390812.5</v>
      </c>
      <c r="W20" s="246" t="str">
        <f>IFERROR(__xludf.DUMMYFUNCTION("""COMPUTED_VALUE"""),"catchcopy_character_chara_dan_00301.png")</f>
        <v>catchcopy_character_chara_dan_00301.png</v>
      </c>
      <c r="X20" s="246" t="str">
        <f>IFERROR(__xludf.DUMMYFUNCTION("""COMPUTED_VALUE"""),"enemy_icon_chara_dan_00301")</f>
        <v>enemy_icon_chara_dan_00301</v>
      </c>
      <c r="Y20" s="246" t="str">
        <f>IFERROR(__xludf.DUMMYFUNCTION("""COMPUTED_VALUE"""),"boss_icon_chara_dan_00301")</f>
        <v>boss_icon_chara_dan_00301</v>
      </c>
      <c r="Z20" s="246" t="str">
        <f>IFERROR(__xludf.DUMMYFUNCTION("""COMPUTED_VALUE"""),"chara_dan_00301_normal")</f>
        <v>chara_dan_00301_normal</v>
      </c>
    </row>
    <row r="21">
      <c r="A21" s="247" t="str">
        <f>IFERROR(__xludf.DUMMYFUNCTION("""COMPUTED_VALUE"""),"dan")</f>
        <v>dan</v>
      </c>
      <c r="B21" s="248" t="str">
        <f>IFERROR(__xludf.DUMMYFUNCTION("""COMPUTED_VALUE"""),"ダンダダン")</f>
        <v>ダンダダン</v>
      </c>
      <c r="C21" s="248" t="str">
        <f>IFERROR(__xludf.DUMMYFUNCTION("""COMPUTED_VALUE"""),"00501")</f>
        <v>00501</v>
      </c>
      <c r="D21" s="249" t="str">
        <f>IFERROR(__xludf.DUMMYFUNCTION("""COMPUTED_VALUE"""),"chara_dan_00501")</f>
        <v>chara_dan_00501</v>
      </c>
      <c r="E21" s="248" t="str">
        <f>IFERROR(__xludf.DUMMYFUNCTION("""COMPUTED_VALUE"""),"坂田 金太")</f>
        <v>坂田 金太</v>
      </c>
      <c r="F21" s="248" t="str">
        <f>IFERROR(__xludf.DUMMYFUNCTION("""COMPUTED_VALUE"""),"選定中")</f>
        <v>選定中</v>
      </c>
      <c r="G21" s="248"/>
      <c r="H21" s="248" t="str">
        <f>IFERROR(__xludf.DUMMYFUNCTION("""COMPUTED_VALUE"""),"SSR")</f>
        <v>SSR</v>
      </c>
      <c r="I21" s="248" t="str">
        <f>IFERROR(__xludf.DUMMYFUNCTION("""COMPUTED_VALUE"""),"DropSSR")</f>
        <v>DropSSR</v>
      </c>
      <c r="J21" s="248" t="str">
        <f>IFERROR(__xludf.DUMMYFUNCTION("""COMPUTED_VALUE"""),"青")</f>
        <v>青</v>
      </c>
      <c r="K21" s="248" t="str">
        <f>IFERROR(__xludf.DUMMYFUNCTION("""COMPUTED_VALUE"""),"chara")</f>
        <v>chara</v>
      </c>
      <c r="L21" s="250" t="str">
        <f>IFERROR(__xludf.DUMMYFUNCTION("""COMPUTED_VALUE"""),"ディフェンス")</f>
        <v>ディフェンス</v>
      </c>
      <c r="M21" s="250" t="str">
        <f>IFERROR(__xludf.DUMMYFUNCTION("""COMPUTED_VALUE"""),"dageki_2")</f>
        <v>dageki_2</v>
      </c>
      <c r="N21" s="250" t="str">
        <f>IFERROR(__xludf.DUMMYFUNCTION("""COMPUTED_VALUE"""),"Short")</f>
        <v>Short</v>
      </c>
      <c r="O21" s="248" t="str">
        <f>IFERROR(__xludf.DUMMYFUNCTION("""COMPUTED_VALUE"""),"dageki_1")</f>
        <v>dageki_1</v>
      </c>
      <c r="P21" s="248"/>
      <c r="Q21" s="248" t="str">
        <f>IFERROR(__xludf.DUMMYFUNCTION("""COMPUTED_VALUE"""),"1.6")</f>
        <v>1.6</v>
      </c>
      <c r="R21" s="248" t="str">
        <f>IFERROR(__xludf.DUMMYFUNCTION("""COMPUTED_VALUE"""),"0.92")</f>
        <v>0.92</v>
      </c>
      <c r="S21" s="246" t="str">
        <f>IFERROR(__xludf.DUMMYFUNCTION("""COMPUTED_VALUE"""),"2.67")</f>
        <v>2.67</v>
      </c>
      <c r="T21" s="246" t="str">
        <f>IFERROR(__xludf.DUMMYFUNCTION("""COMPUTED_VALUE"""),"stop有:1.05")</f>
        <v>stop有:1.05</v>
      </c>
      <c r="U21" s="246" t="str">
        <f>IFERROR(__xludf.DUMMYFUNCTION("""COMPUTED_VALUE"""),"実装未定")</f>
        <v>実装未定</v>
      </c>
      <c r="V21" s="246">
        <f>IFERROR(__xludf.DUMMYFUNCTION("""COMPUTED_VALUE"""),390812.49998842593)</f>
        <v>390812.5</v>
      </c>
      <c r="W21" s="246" t="str">
        <f>IFERROR(__xludf.DUMMYFUNCTION("""COMPUTED_VALUE"""),"catchcopy_character_chara_dan_00501.png")</f>
        <v>catchcopy_character_chara_dan_00501.png</v>
      </c>
      <c r="X21" s="246" t="str">
        <f>IFERROR(__xludf.DUMMYFUNCTION("""COMPUTED_VALUE"""),"enemy_icon_chara_dan_00501")</f>
        <v>enemy_icon_chara_dan_00501</v>
      </c>
      <c r="Y21" s="246" t="str">
        <f>IFERROR(__xludf.DUMMYFUNCTION("""COMPUTED_VALUE"""),"boss_icon_chara_dan_00501")</f>
        <v>boss_icon_chara_dan_00501</v>
      </c>
      <c r="Z21" s="246"/>
    </row>
    <row r="22">
      <c r="A22" s="247" t="str">
        <f>IFERROR(__xludf.DUMMYFUNCTION("""COMPUTED_VALUE"""),"dan")</f>
        <v>dan</v>
      </c>
      <c r="B22" s="248" t="str">
        <f>IFERROR(__xludf.DUMMYFUNCTION("""COMPUTED_VALUE"""),"ダンダダン")</f>
        <v>ダンダダン</v>
      </c>
      <c r="C22" s="248" t="str">
        <f>IFERROR(__xludf.DUMMYFUNCTION("""COMPUTED_VALUE"""),"00601")</f>
        <v>00601</v>
      </c>
      <c r="D22" s="249" t="str">
        <f>IFERROR(__xludf.DUMMYFUNCTION("""COMPUTED_VALUE"""),"chara_dan_00601")</f>
        <v>chara_dan_00601</v>
      </c>
      <c r="E22" s="248" t="str">
        <f>IFERROR(__xludf.DUMMYFUNCTION("""COMPUTED_VALUE"""),"星子")</f>
        <v>星子</v>
      </c>
      <c r="F22" s="248" t="str">
        <f>IFERROR(__xludf.DUMMYFUNCTION("""COMPUTED_VALUE"""),"選定中")</f>
        <v>選定中</v>
      </c>
      <c r="G22" s="248"/>
      <c r="H22" s="248" t="str">
        <f>IFERROR(__xludf.DUMMYFUNCTION("""COMPUTED_VALUE"""),"UR")</f>
        <v>UR</v>
      </c>
      <c r="I22" s="248" t="str">
        <f>IFERROR(__xludf.DUMMYFUNCTION("""COMPUTED_VALUE"""),"PremiumUR")</f>
        <v>PremiumUR</v>
      </c>
      <c r="J22" s="248" t="str">
        <f>IFERROR(__xludf.DUMMYFUNCTION("""COMPUTED_VALUE"""),"黄")</f>
        <v>黄</v>
      </c>
      <c r="K22" s="248" t="str">
        <f>IFERROR(__xludf.DUMMYFUNCTION("""COMPUTED_VALUE"""),"chara")</f>
        <v>chara</v>
      </c>
      <c r="L22" s="250" t="str">
        <f>IFERROR(__xludf.DUMMYFUNCTION("""COMPUTED_VALUE"""),"サポート")</f>
        <v>サポート</v>
      </c>
      <c r="M22" s="250" t="str">
        <f>IFERROR(__xludf.DUMMYFUNCTION("""COMPUTED_VALUE"""),"dageki_1")</f>
        <v>dageki_1</v>
      </c>
      <c r="N22" s="250" t="str">
        <f>IFERROR(__xludf.DUMMYFUNCTION("""COMPUTED_VALUE"""),"Short")</f>
        <v>Short</v>
      </c>
      <c r="O22" s="248" t="str">
        <f>IFERROR(__xludf.DUMMYFUNCTION("""COMPUTED_VALUE"""),"-")</f>
        <v>-</v>
      </c>
      <c r="P22" s="248"/>
      <c r="Q22" s="248" t="str">
        <f>IFERROR(__xludf.DUMMYFUNCTION("""COMPUTED_VALUE"""),"1.37")</f>
        <v>1.37</v>
      </c>
      <c r="R22" s="248" t="str">
        <f>IFERROR(__xludf.DUMMYFUNCTION("""COMPUTED_VALUE"""),"stop有:0.50")</f>
        <v>stop有:0.50</v>
      </c>
      <c r="S22" s="246" t="str">
        <f>IFERROR(__xludf.DUMMYFUNCTION("""COMPUTED_VALUE"""),"2.5")</f>
        <v>2.5</v>
      </c>
      <c r="T22" s="246" t="str">
        <f>IFERROR(__xludf.DUMMYFUNCTION("""COMPUTED_VALUE"""),"stop無:1.57")</f>
        <v>stop無:1.57</v>
      </c>
      <c r="U22" s="246" t="str">
        <f>IFERROR(__xludf.DUMMYFUNCTION("""COMPUTED_VALUE"""),"ハーフアニバ想定")</f>
        <v>ハーフアニバ想定</v>
      </c>
      <c r="V22" s="246">
        <f>IFERROR(__xludf.DUMMYFUNCTION("""COMPUTED_VALUE"""),390812.49998842593)</f>
        <v>390812.5</v>
      </c>
      <c r="W22" s="246" t="str">
        <f>IFERROR(__xludf.DUMMYFUNCTION("""COMPUTED_VALUE"""),"catchcopy_character_chara_dan_00601.png")</f>
        <v>catchcopy_character_chara_dan_00601.png</v>
      </c>
      <c r="X22" s="246" t="str">
        <f>IFERROR(__xludf.DUMMYFUNCTION("""COMPUTED_VALUE"""),"enemy_icon_chara_dan_00601")</f>
        <v>enemy_icon_chara_dan_00601</v>
      </c>
      <c r="Y22" s="246" t="str">
        <f>IFERROR(__xludf.DUMMYFUNCTION("""COMPUTED_VALUE"""),"boss_icon_chara_dan_00601")</f>
        <v>boss_icon_chara_dan_00601</v>
      </c>
      <c r="Z22" s="246"/>
    </row>
    <row r="23">
      <c r="A23" s="247" t="str">
        <f>IFERROR(__xludf.DUMMYFUNCTION("""COMPUTED_VALUE"""),"dan")</f>
        <v>dan</v>
      </c>
      <c r="B23" s="248" t="str">
        <f>IFERROR(__xludf.DUMMYFUNCTION("""COMPUTED_VALUE"""),"ダンダダン")</f>
        <v>ダンダダン</v>
      </c>
      <c r="C23" s="248" t="str">
        <f>IFERROR(__xludf.DUMMYFUNCTION("""COMPUTED_VALUE"""),"00701")</f>
        <v>00701</v>
      </c>
      <c r="D23" s="249" t="str">
        <f>IFERROR(__xludf.DUMMYFUNCTION("""COMPUTED_VALUE"""),"chara_dan_00701")</f>
        <v>chara_dan_00701</v>
      </c>
      <c r="E23" s="248" t="str">
        <f>IFERROR(__xludf.DUMMYFUNCTION("""COMPUTED_VALUE"""),"オカルン＆ターボババア")</f>
        <v>オカルン＆ターボババア</v>
      </c>
      <c r="F23" s="248" t="str">
        <f>IFERROR(__xludf.DUMMYFUNCTION("""COMPUTED_VALUE"""),"選定中")</f>
        <v>選定中</v>
      </c>
      <c r="G23" s="248"/>
      <c r="H23" s="248" t="str">
        <f>IFERROR(__xludf.DUMMYFUNCTION("""COMPUTED_VALUE"""),"UR")</f>
        <v>UR</v>
      </c>
      <c r="I23" s="248" t="str">
        <f>IFERROR(__xludf.DUMMYFUNCTION("""COMPUTED_VALUE"""),"FestivalUR")</f>
        <v>FestivalUR</v>
      </c>
      <c r="J23" s="248" t="str">
        <f>IFERROR(__xludf.DUMMYFUNCTION("""COMPUTED_VALUE"""),"黄")</f>
        <v>黄</v>
      </c>
      <c r="K23" s="248" t="str">
        <f>IFERROR(__xludf.DUMMYFUNCTION("""COMPUTED_VALUE"""),"chara")</f>
        <v>chara</v>
      </c>
      <c r="L23" s="250" t="str">
        <f>IFERROR(__xludf.DUMMYFUNCTION("""COMPUTED_VALUE"""),"テクニカル")</f>
        <v>テクニカル</v>
      </c>
      <c r="M23" s="250"/>
      <c r="N23" s="250"/>
      <c r="O23" s="248"/>
      <c r="P23" s="248"/>
      <c r="Q23" s="248"/>
      <c r="R23" s="248"/>
      <c r="S23" s="246"/>
      <c r="T23" s="246"/>
      <c r="U23" s="246"/>
      <c r="V23" s="246"/>
      <c r="W23" s="246"/>
      <c r="X23" s="246"/>
      <c r="Y23" s="246"/>
      <c r="Z23" s="246"/>
    </row>
    <row r="24">
      <c r="A24" s="247" t="str">
        <f>IFERROR(__xludf.DUMMYFUNCTION("""COMPUTED_VALUE"""),"gom")</f>
        <v>gom</v>
      </c>
      <c r="B24" s="248" t="str">
        <f>IFERROR(__xludf.DUMMYFUNCTION("""COMPUTED_VALUE"""),"姫様“拷問”の時間です")</f>
        <v>姫様“拷問”の時間です</v>
      </c>
      <c r="C24" s="248" t="str">
        <f>IFERROR(__xludf.DUMMYFUNCTION("""COMPUTED_VALUE"""),"00001")</f>
        <v>00001</v>
      </c>
      <c r="D24" s="249" t="str">
        <f>IFERROR(__xludf.DUMMYFUNCTION("""COMPUTED_VALUE"""),"chara_gom_00001")</f>
        <v>chara_gom_00001</v>
      </c>
      <c r="E24" s="248" t="str">
        <f>IFERROR(__xludf.DUMMYFUNCTION("""COMPUTED_VALUE"""),"囚われの王女 姫様")</f>
        <v>囚われの王女 姫様</v>
      </c>
      <c r="F24" s="248" t="str">
        <f>IFERROR(__xludf.DUMMYFUNCTION("""COMPUTED_VALUE"""),"囚われの王女 姫様")</f>
        <v>囚われの王女 姫様</v>
      </c>
      <c r="G24" s="248" t="str">
        <f>IFERROR(__xludf.DUMMYFUNCTION("""COMPUTED_VALUE"""),"決して屈しない！")</f>
        <v>決して屈しない！</v>
      </c>
      <c r="H24" s="248" t="str">
        <f>IFERROR(__xludf.DUMMYFUNCTION("""COMPUTED_VALUE"""),"UR")</f>
        <v>UR</v>
      </c>
      <c r="I24" s="248" t="str">
        <f>IFERROR(__xludf.DUMMYFUNCTION("""COMPUTED_VALUE"""),"PremiumUR")</f>
        <v>PremiumUR</v>
      </c>
      <c r="J24" s="248" t="str">
        <f>IFERROR(__xludf.DUMMYFUNCTION("""COMPUTED_VALUE"""),"緑")</f>
        <v>緑</v>
      </c>
      <c r="K24" s="248" t="str">
        <f>IFERROR(__xludf.DUMMYFUNCTION("""COMPUTED_VALUE"""),"chara")</f>
        <v>chara</v>
      </c>
      <c r="L24" s="250" t="str">
        <f>IFERROR(__xludf.DUMMYFUNCTION("""COMPUTED_VALUE"""),"ディフェンス")</f>
        <v>ディフェンス</v>
      </c>
      <c r="M24" s="250" t="str">
        <f>IFERROR(__xludf.DUMMYFUNCTION("""COMPUTED_VALUE"""),"dageki_1")</f>
        <v>dageki_1</v>
      </c>
      <c r="N24" s="250" t="str">
        <f>IFERROR(__xludf.DUMMYFUNCTION("""COMPUTED_VALUE"""),"Short")</f>
        <v>Short</v>
      </c>
      <c r="O24" s="248" t="str">
        <f>IFERROR(__xludf.DUMMYFUNCTION("""COMPUTED_VALUE"""),"-")</f>
        <v>-</v>
      </c>
      <c r="P24" s="248" t="str">
        <f>IFERROR(__xludf.DUMMYFUNCTION("""COMPUTED_VALUE"""),"00001")</f>
        <v>00001</v>
      </c>
      <c r="Q24" s="248" t="str">
        <f>IFERROR(__xludf.DUMMYFUNCTION("""COMPUTED_VALUE"""),"1.30")</f>
        <v>1.30</v>
      </c>
      <c r="R24" s="248" t="str">
        <f>IFERROR(__xludf.DUMMYFUNCTION("""COMPUTED_VALUE"""),"stop有:1回目 0.50")</f>
        <v>stop有:1回目 0.50</v>
      </c>
      <c r="S24" s="246" t="str">
        <f>IFERROR(__xludf.DUMMYFUNCTION("""COMPUTED_VALUE"""),"4.00")</f>
        <v>4.00</v>
      </c>
      <c r="T24" s="246" t="str">
        <f>IFERROR(__xludf.DUMMYFUNCTION("""COMPUTED_VALUE"""),"stop無:1回目 2.3")</f>
        <v>stop無:1回目 2.3</v>
      </c>
      <c r="U24" s="246">
        <f>IFERROR(__xludf.DUMMYFUNCTION("""COMPUTED_VALUE"""),45922.458333333336)</f>
        <v>45922.45833</v>
      </c>
      <c r="V24" s="246">
        <f>IFERROR(__xludf.DUMMYFUNCTION("""COMPUTED_VALUE"""),390812.49998842593)</f>
        <v>390812.5</v>
      </c>
      <c r="W24" s="246" t="str">
        <f>IFERROR(__xludf.DUMMYFUNCTION("""COMPUTED_VALUE"""),"catchcopy_character_chara_gom_00001.png")</f>
        <v>catchcopy_character_chara_gom_00001.png</v>
      </c>
      <c r="X24" s="246" t="str">
        <f>IFERROR(__xludf.DUMMYFUNCTION("""COMPUTED_VALUE"""),"enemy_icon_chara_gom_00001")</f>
        <v>enemy_icon_chara_gom_00001</v>
      </c>
      <c r="Y24" s="246" t="str">
        <f>IFERROR(__xludf.DUMMYFUNCTION("""COMPUTED_VALUE"""),"boss_icon_chara_gom_00001")</f>
        <v>boss_icon_chara_gom_00001</v>
      </c>
      <c r="Z24" s="246" t="str">
        <f>IFERROR(__xludf.DUMMYFUNCTION("""COMPUTED_VALUE"""),"chara_gom_00001_normal")</f>
        <v>chara_gom_00001_normal</v>
      </c>
    </row>
    <row r="25">
      <c r="A25" s="247" t="str">
        <f>IFERROR(__xludf.DUMMYFUNCTION("""COMPUTED_VALUE"""),"gom")</f>
        <v>gom</v>
      </c>
      <c r="B25" s="248" t="str">
        <f>IFERROR(__xludf.DUMMYFUNCTION("""COMPUTED_VALUE"""),"姫様“拷問”の時間です")</f>
        <v>姫様“拷問”の時間です</v>
      </c>
      <c r="C25" s="248" t="str">
        <f>IFERROR(__xludf.DUMMYFUNCTION("""COMPUTED_VALUE"""),"00101")</f>
        <v>00101</v>
      </c>
      <c r="D25" s="249" t="str">
        <f>IFERROR(__xludf.DUMMYFUNCTION("""COMPUTED_VALUE"""),"chara_gom_00101")</f>
        <v>chara_gom_00101</v>
      </c>
      <c r="E25" s="248" t="str">
        <f>IFERROR(__xludf.DUMMYFUNCTION("""COMPUTED_VALUE"""),"トーチャー・トルチュール")</f>
        <v>トーチャー・トルチュール</v>
      </c>
      <c r="F25" s="248" t="str">
        <f>IFERROR(__xludf.DUMMYFUNCTION("""COMPUTED_VALUE"""),"トーチャー・トルチュール")</f>
        <v>トーチャー・トルチュール</v>
      </c>
      <c r="G25" s="248" t="str">
        <f>IFERROR(__xludf.DUMMYFUNCTION("""COMPUTED_VALUE"""),"“拷問”の時間です")</f>
        <v>“拷問”の時間です</v>
      </c>
      <c r="H25" s="248" t="str">
        <f>IFERROR(__xludf.DUMMYFUNCTION("""COMPUTED_VALUE"""),"SR")</f>
        <v>SR</v>
      </c>
      <c r="I25" s="248" t="str">
        <f>IFERROR(__xludf.DUMMYFUNCTION("""COMPUTED_VALUE"""),"PremiumSR")</f>
        <v>PremiumSR</v>
      </c>
      <c r="J25" s="248" t="str">
        <f>IFERROR(__xludf.DUMMYFUNCTION("""COMPUTED_VALUE"""),"黄")</f>
        <v>黄</v>
      </c>
      <c r="K25" s="248" t="str">
        <f>IFERROR(__xludf.DUMMYFUNCTION("""COMPUTED_VALUE"""),"chara")</f>
        <v>chara</v>
      </c>
      <c r="L25" s="250" t="str">
        <f>IFERROR(__xludf.DUMMYFUNCTION("""COMPUTED_VALUE"""),"テクニカル")</f>
        <v>テクニカル</v>
      </c>
      <c r="M25" s="250" t="str">
        <f>IFERROR(__xludf.DUMMYFUNCTION("""COMPUTED_VALUE"""),"dageki_2")</f>
        <v>dageki_2</v>
      </c>
      <c r="N25" s="250" t="str">
        <f>IFERROR(__xludf.DUMMYFUNCTION("""COMPUTED_VALUE"""),"Short")</f>
        <v>Short</v>
      </c>
      <c r="O25" s="248" t="str">
        <f>IFERROR(__xludf.DUMMYFUNCTION("""COMPUTED_VALUE"""),"dageki_1")</f>
        <v>dageki_1</v>
      </c>
      <c r="P25" s="248" t="str">
        <f>IFERROR(__xludf.DUMMYFUNCTION("""COMPUTED_VALUE"""),"00101")</f>
        <v>00101</v>
      </c>
      <c r="Q25" s="248" t="str">
        <f>IFERROR(__xludf.DUMMYFUNCTION("""COMPUTED_VALUE"""),"1.34")</f>
        <v>1.34</v>
      </c>
      <c r="R25" s="248" t="str">
        <f>IFERROR(__xludf.DUMMYFUNCTION("""COMPUTED_VALUE"""),"stop無:1回目 0.43")</f>
        <v>stop無:1回目 0.43</v>
      </c>
      <c r="S25" s="246" t="str">
        <f>IFERROR(__xludf.DUMMYFUNCTION("""COMPUTED_VALUE"""),"4.84")</f>
        <v>4.84</v>
      </c>
      <c r="T25" s="246" t="str">
        <f>IFERROR(__xludf.DUMMYFUNCTION("""COMPUTED_VALUE"""),"stop無:1回目 3.00")</f>
        <v>stop無:1回目 3.00</v>
      </c>
      <c r="U25" s="246">
        <f>IFERROR(__xludf.DUMMYFUNCTION("""COMPUTED_VALUE"""),45922.458333333336)</f>
        <v>45922.45833</v>
      </c>
      <c r="V25" s="246">
        <f>IFERROR(__xludf.DUMMYFUNCTION("""COMPUTED_VALUE"""),390812.49998842593)</f>
        <v>390812.5</v>
      </c>
      <c r="W25" s="246" t="str">
        <f>IFERROR(__xludf.DUMMYFUNCTION("""COMPUTED_VALUE"""),"catchcopy_character_chara_gom_00101.png")</f>
        <v>catchcopy_character_chara_gom_00101.png</v>
      </c>
      <c r="X25" s="246" t="str">
        <f>IFERROR(__xludf.DUMMYFUNCTION("""COMPUTED_VALUE"""),"enemy_icon_chara_gom_00101")</f>
        <v>enemy_icon_chara_gom_00101</v>
      </c>
      <c r="Y25" s="246" t="str">
        <f>IFERROR(__xludf.DUMMYFUNCTION("""COMPUTED_VALUE"""),"boss_icon_chara_gom_00101")</f>
        <v>boss_icon_chara_gom_00101</v>
      </c>
      <c r="Z25" s="246" t="str">
        <f>IFERROR(__xludf.DUMMYFUNCTION("""COMPUTED_VALUE"""),"chara_gom_00101_normal")</f>
        <v>chara_gom_00101_normal</v>
      </c>
    </row>
    <row r="26">
      <c r="A26" s="247" t="str">
        <f>IFERROR(__xludf.DUMMYFUNCTION("""COMPUTED_VALUE"""),"gom")</f>
        <v>gom</v>
      </c>
      <c r="B26" s="248" t="str">
        <f>IFERROR(__xludf.DUMMYFUNCTION("""COMPUTED_VALUE"""),"姫様“拷問”の時間です")</f>
        <v>姫様“拷問”の時間です</v>
      </c>
      <c r="C26" s="248" t="str">
        <f>IFERROR(__xludf.DUMMYFUNCTION("""COMPUTED_VALUE"""),"00201")</f>
        <v>00201</v>
      </c>
      <c r="D26" s="249" t="str">
        <f>IFERROR(__xludf.DUMMYFUNCTION("""COMPUTED_VALUE"""),"chara_gom_00201")</f>
        <v>chara_gom_00201</v>
      </c>
      <c r="E26" s="248" t="str">
        <f>IFERROR(__xludf.DUMMYFUNCTION("""COMPUTED_VALUE"""),"クロル")</f>
        <v>クロル</v>
      </c>
      <c r="F26" s="248" t="str">
        <f>IFERROR(__xludf.DUMMYFUNCTION("""COMPUTED_VALUE"""),"クロル")</f>
        <v>クロル</v>
      </c>
      <c r="G26" s="248" t="str">
        <f>IFERROR(__xludf.DUMMYFUNCTION("""COMPUTED_VALUE"""),"ワンちゃん大量作戦だ☆")</f>
        <v>ワンちゃん大量作戦だ☆</v>
      </c>
      <c r="H26" s="248" t="str">
        <f>IFERROR(__xludf.DUMMYFUNCTION("""COMPUTED_VALUE"""),"R")</f>
        <v>R</v>
      </c>
      <c r="I26" s="248" t="str">
        <f>IFERROR(__xludf.DUMMYFUNCTION("""COMPUTED_VALUE"""),"DropR")</f>
        <v>DropR</v>
      </c>
      <c r="J26" s="248" t="str">
        <f>IFERROR(__xludf.DUMMYFUNCTION("""COMPUTED_VALUE"""),"黄")</f>
        <v>黄</v>
      </c>
      <c r="K26" s="248" t="str">
        <f>IFERROR(__xludf.DUMMYFUNCTION("""COMPUTED_VALUE"""),"chara")</f>
        <v>chara</v>
      </c>
      <c r="L26" s="250" t="str">
        <f>IFERROR(__xludf.DUMMYFUNCTION("""COMPUTED_VALUE"""),"アタック")</f>
        <v>アタック</v>
      </c>
      <c r="M26" s="250" t="str">
        <f>IFERROR(__xludf.DUMMYFUNCTION("""COMPUTED_VALUE"""),"dageki_1")</f>
        <v>dageki_1</v>
      </c>
      <c r="N26" s="250" t="str">
        <f>IFERROR(__xludf.DUMMYFUNCTION("""COMPUTED_VALUE"""),"Long")</f>
        <v>Long</v>
      </c>
      <c r="O26" s="248" t="str">
        <f>IFERROR(__xludf.DUMMYFUNCTION("""COMPUTED_VALUE"""),"dageki_1")</f>
        <v>dageki_1</v>
      </c>
      <c r="P26" s="248" t="str">
        <f>IFERROR(__xludf.DUMMYFUNCTION("""COMPUTED_VALUE"""),"00201")</f>
        <v>00201</v>
      </c>
      <c r="Q26" s="248" t="str">
        <f>IFERROR(__xludf.DUMMYFUNCTION("""COMPUTED_VALUE"""),"1.43")</f>
        <v>1.43</v>
      </c>
      <c r="R26" s="248" t="str">
        <f>IFERROR(__xludf.DUMMYFUNCTION("""COMPUTED_VALUE"""),"stop無:1回目 0.40
stop無:2回目 0.60
stop無:3回目 0.80")</f>
        <v>stop無:1回目 0.40
stop無:2回目 0.60
stop無:3回目 0.80</v>
      </c>
      <c r="S26" s="246" t="str">
        <f>IFERROR(__xludf.DUMMYFUNCTION("""COMPUTED_VALUE"""),"5.00")</f>
        <v>5.00</v>
      </c>
      <c r="T26" s="246" t="str">
        <f>IFERROR(__xludf.DUMMYFUNCTION("""COMPUTED_VALUE"""),"stop無:1回目 2.10
stop無:2回目 2.30
stop無:3回目 2.50
stop無:4回目 2.70
stop無:5回目 2.90
stop無:6回目 3.20
stop無:7回目 3.40
stop無:8回目 3.60
stop無:9回目 3.80")</f>
        <v>stop無:1回目 2.10
stop無:2回目 2.30
stop無:3回目 2.50
stop無:4回目 2.70
stop無:5回目 2.90
stop無:6回目 3.20
stop無:7回目 3.40
stop無:8回目 3.60
stop無:9回目 3.80</v>
      </c>
      <c r="U26" s="246">
        <f>IFERROR(__xludf.DUMMYFUNCTION("""COMPUTED_VALUE"""),45922.458333333336)</f>
        <v>45922.45833</v>
      </c>
      <c r="V26" s="246">
        <f>IFERROR(__xludf.DUMMYFUNCTION("""COMPUTED_VALUE"""),390812.49998842593)</f>
        <v>390812.5</v>
      </c>
      <c r="W26" s="246" t="str">
        <f>IFERROR(__xludf.DUMMYFUNCTION("""COMPUTED_VALUE"""),"catchcopy_character_chara_gom_00201.png")</f>
        <v>catchcopy_character_chara_gom_00201.png</v>
      </c>
      <c r="X26" s="246" t="str">
        <f>IFERROR(__xludf.DUMMYFUNCTION("""COMPUTED_VALUE"""),"enemy_icon_chara_gom_00201")</f>
        <v>enemy_icon_chara_gom_00201</v>
      </c>
      <c r="Y26" s="246" t="str">
        <f>IFERROR(__xludf.DUMMYFUNCTION("""COMPUTED_VALUE"""),"boss_icon_chara_gom_00201")</f>
        <v>boss_icon_chara_gom_00201</v>
      </c>
      <c r="Z26" s="246" t="str">
        <f>IFERROR(__xludf.DUMMYFUNCTION("""COMPUTED_VALUE"""),"chara_gom_00201_normal")</f>
        <v>chara_gom_00201_normal</v>
      </c>
    </row>
    <row r="27">
      <c r="A27" s="247" t="str">
        <f>IFERROR(__xludf.DUMMYFUNCTION("""COMPUTED_VALUE"""),"gom")</f>
        <v>gom</v>
      </c>
      <c r="B27" s="248" t="str">
        <f>IFERROR(__xludf.DUMMYFUNCTION("""COMPUTED_VALUE"""),"姫様“拷問”の時間です")</f>
        <v>姫様“拷問”の時間です</v>
      </c>
      <c r="C27" s="248" t="str">
        <f>IFERROR(__xludf.DUMMYFUNCTION("""COMPUTED_VALUE"""),"00301")</f>
        <v>00301</v>
      </c>
      <c r="D27" s="249" t="str">
        <f>IFERROR(__xludf.DUMMYFUNCTION("""COMPUTED_VALUE"""),"chara_gom_00301")</f>
        <v>chara_gom_00301</v>
      </c>
      <c r="E27" s="248" t="str">
        <f>IFERROR(__xludf.DUMMYFUNCTION("""COMPUTED_VALUE"""),"魔王 ゴッドサンダー")</f>
        <v>魔王 ゴッドサンダー</v>
      </c>
      <c r="F27" s="248" t="str">
        <f>IFERROR(__xludf.DUMMYFUNCTION("""COMPUTED_VALUE"""),"悪のカリスマ 魔王ゴッドサンダー")</f>
        <v>悪のカリスマ 魔王ゴッドサンダー</v>
      </c>
      <c r="G27" s="248" t="str">
        <f>IFERROR(__xludf.DUMMYFUNCTION("""COMPUTED_VALUE"""),"全欲望は我が物！")</f>
        <v>全欲望は我が物！</v>
      </c>
      <c r="H27" s="248" t="str">
        <f>IFERROR(__xludf.DUMMYFUNCTION("""COMPUTED_VALUE"""),"UR")</f>
        <v>UR</v>
      </c>
      <c r="I27" s="248" t="str">
        <f>IFERROR(__xludf.DUMMYFUNCTION("""COMPUTED_VALUE"""),"PremiumUR")</f>
        <v>PremiumUR</v>
      </c>
      <c r="J27" s="248" t="str">
        <f>IFERROR(__xludf.DUMMYFUNCTION("""COMPUTED_VALUE"""),"赤")</f>
        <v>赤</v>
      </c>
      <c r="K27" s="248" t="str">
        <f>IFERROR(__xludf.DUMMYFUNCTION("""COMPUTED_VALUE"""),"chara")</f>
        <v>chara</v>
      </c>
      <c r="L27" s="250" t="str">
        <f>IFERROR(__xludf.DUMMYFUNCTION("""COMPUTED_VALUE"""),"アタック")</f>
        <v>アタック</v>
      </c>
      <c r="M27" s="250"/>
      <c r="N27" s="251"/>
      <c r="O27" s="248"/>
      <c r="P27" s="248"/>
      <c r="Q27" s="248" t="str">
        <f>IFERROR(__xludf.DUMMYFUNCTION("""COMPUTED_VALUE"""),"1.37")</f>
        <v>1.37</v>
      </c>
      <c r="R27" s="248" t="str">
        <f>IFERROR(__xludf.DUMMYFUNCTION("""COMPUTED_VALUE"""),"stop有: 0.55")</f>
        <v>stop有: 0.55</v>
      </c>
      <c r="S27" s="246" t="str">
        <f>IFERROR(__xludf.DUMMYFUNCTION("""COMPUTED_VALUE"""),"2.67")</f>
        <v>2.67</v>
      </c>
      <c r="T27" s="246" t="str">
        <f>IFERROR(__xludf.DUMMYFUNCTION("""COMPUTED_VALUE"""),"stop有: 1.5")</f>
        <v>stop有: 1.5</v>
      </c>
      <c r="U27" s="246" t="str">
        <f>IFERROR(__xludf.DUMMYFUNCTION("""COMPUTED_VALUE"""),"(仮)2026/03/01 15:00:00")</f>
        <v>(仮)2026/03/01 15:00:00</v>
      </c>
      <c r="V27" s="246">
        <f>IFERROR(__xludf.DUMMYFUNCTION("""COMPUTED_VALUE"""),390812.49998842593)</f>
        <v>390812.5</v>
      </c>
      <c r="W27" s="246"/>
      <c r="X27" s="246" t="str">
        <f>IFERROR(__xludf.DUMMYFUNCTION("""COMPUTED_VALUE"""),"enemy_icon_chara_gom_00301")</f>
        <v>enemy_icon_chara_gom_00301</v>
      </c>
      <c r="Y27" s="246" t="str">
        <f>IFERROR(__xludf.DUMMYFUNCTION("""COMPUTED_VALUE"""),"boss_icon_chara_gom_00301")</f>
        <v>boss_icon_chara_gom_00301</v>
      </c>
      <c r="Z27" s="246"/>
    </row>
    <row r="28">
      <c r="A28" s="247" t="str">
        <f>IFERROR(__xludf.DUMMYFUNCTION("""COMPUTED_VALUE"""),"gom")</f>
        <v>gom</v>
      </c>
      <c r="B28" s="248" t="str">
        <f>IFERROR(__xludf.DUMMYFUNCTION("""COMPUTED_VALUE"""),"姫様“拷問”の時間です")</f>
        <v>姫様“拷問”の時間です</v>
      </c>
      <c r="C28" s="248" t="str">
        <f>IFERROR(__xludf.DUMMYFUNCTION("""COMPUTED_VALUE"""),"00401")</f>
        <v>00401</v>
      </c>
      <c r="D28" s="249" t="str">
        <f>IFERROR(__xludf.DUMMYFUNCTION("""COMPUTED_VALUE"""),"chara_gom_00401")</f>
        <v>chara_gom_00401</v>
      </c>
      <c r="E28" s="248" t="str">
        <f>IFERROR(__xludf.DUMMYFUNCTION("""COMPUTED_VALUE"""),"マオマオちゃん")</f>
        <v>マオマオちゃん</v>
      </c>
      <c r="F28" s="248" t="str">
        <f>IFERROR(__xludf.DUMMYFUNCTION("""COMPUTED_VALUE"""),"マオマオちゃん")</f>
        <v>マオマオちゃん</v>
      </c>
      <c r="G28" s="248" t="str">
        <f>IFERROR(__xludf.DUMMYFUNCTION("""COMPUTED_VALUE"""),"ごーもんの時間だよ！")</f>
        <v>ごーもんの時間だよ！</v>
      </c>
      <c r="H28" s="248" t="str">
        <f>IFERROR(__xludf.DUMMYFUNCTION("""COMPUTED_VALUE"""),"UR")</f>
        <v>UR</v>
      </c>
      <c r="I28" s="248" t="str">
        <f>IFERROR(__xludf.DUMMYFUNCTION("""COMPUTED_VALUE"""),"PremiumUR")</f>
        <v>PremiumUR</v>
      </c>
      <c r="J28" s="248" t="str">
        <f>IFERROR(__xludf.DUMMYFUNCTION("""COMPUTED_VALUE"""),"無")</f>
        <v>無</v>
      </c>
      <c r="K28" s="248" t="str">
        <f>IFERROR(__xludf.DUMMYFUNCTION("""COMPUTED_VALUE"""),"chara")</f>
        <v>chara</v>
      </c>
      <c r="L28" s="250" t="str">
        <f>IFERROR(__xludf.DUMMYFUNCTION("""COMPUTED_VALUE"""),"スペシャル")</f>
        <v>スペシャル</v>
      </c>
      <c r="M28" s="250" t="str">
        <f>IFERROR(__xludf.DUMMYFUNCTION("""COMPUTED_VALUE"""),"-")</f>
        <v>-</v>
      </c>
      <c r="N28" s="250"/>
      <c r="O28" s="248"/>
      <c r="P28" s="248"/>
      <c r="Q28" s="248" t="str">
        <f>IFERROR(__xludf.DUMMYFUNCTION("""COMPUTED_VALUE"""),"-")</f>
        <v>-</v>
      </c>
      <c r="R28" s="248" t="str">
        <f>IFERROR(__xludf.DUMMYFUNCTION("""COMPUTED_VALUE"""),"-")</f>
        <v>-</v>
      </c>
      <c r="S28" s="246" t="str">
        <f>IFERROR(__xludf.DUMMYFUNCTION("""COMPUTED_VALUE"""),"2.5")</f>
        <v>2.5</v>
      </c>
      <c r="T28" s="246" t="str">
        <f>IFERROR(__xludf.DUMMYFUNCTION("""COMPUTED_VALUE"""),"stop無: 1")</f>
        <v>stop無: 1</v>
      </c>
      <c r="U28" s="246" t="str">
        <f>IFERROR(__xludf.DUMMYFUNCTION("""COMPUTED_VALUE"""),"(仮)2026/03/01 15:00:00")</f>
        <v>(仮)2026/03/01 15:00:00</v>
      </c>
      <c r="V28" s="246">
        <f>IFERROR(__xludf.DUMMYFUNCTION("""COMPUTED_VALUE"""),390812.49998842593)</f>
        <v>390812.5</v>
      </c>
      <c r="W28" s="246"/>
      <c r="X28" s="246" t="str">
        <f>IFERROR(__xludf.DUMMYFUNCTION("""COMPUTED_VALUE"""),"enemy_icon_chara_gom_00401")</f>
        <v>enemy_icon_chara_gom_00401</v>
      </c>
      <c r="Y28" s="246" t="str">
        <f>IFERROR(__xludf.DUMMYFUNCTION("""COMPUTED_VALUE"""),"boss_icon_chara_gom_00401")</f>
        <v>boss_icon_chara_gom_00401</v>
      </c>
      <c r="Z28" s="246"/>
    </row>
    <row r="29">
      <c r="A29" s="247" t="str">
        <f>IFERROR(__xludf.DUMMYFUNCTION("""COMPUTED_VALUE"""),"gom")</f>
        <v>gom</v>
      </c>
      <c r="B29" s="248" t="str">
        <f>IFERROR(__xludf.DUMMYFUNCTION("""COMPUTED_VALUE"""),"姫様“拷問”の時間です")</f>
        <v>姫様“拷問”の時間です</v>
      </c>
      <c r="C29" s="248" t="str">
        <f>IFERROR(__xludf.DUMMYFUNCTION("""COMPUTED_VALUE"""),"00501")</f>
        <v>00501</v>
      </c>
      <c r="D29" s="249" t="str">
        <f>IFERROR(__xludf.DUMMYFUNCTION("""COMPUTED_VALUE"""),"chara_gom_00501")</f>
        <v>chara_gom_00501</v>
      </c>
      <c r="E29" s="248" t="str">
        <f>IFERROR(__xludf.DUMMYFUNCTION("""COMPUTED_VALUE"""),"陽鬼")</f>
        <v>陽鬼</v>
      </c>
      <c r="F29" s="248" t="str">
        <f>IFERROR(__xludf.DUMMYFUNCTION("""COMPUTED_VALUE"""),"陽鬼")</f>
        <v>陽鬼</v>
      </c>
      <c r="G29" s="248" t="str">
        <f>IFERROR(__xludf.DUMMYFUNCTION("""COMPUTED_VALUE"""),"私からやらせてもらうよ")</f>
        <v>私からやらせてもらうよ</v>
      </c>
      <c r="H29" s="248" t="str">
        <f>IFERROR(__xludf.DUMMYFUNCTION("""COMPUTED_VALUE"""),"SR")</f>
        <v>SR</v>
      </c>
      <c r="I29" s="248" t="str">
        <f>IFERROR(__xludf.DUMMYFUNCTION("""COMPUTED_VALUE"""),"DropSR")</f>
        <v>DropSR</v>
      </c>
      <c r="J29" s="248" t="str">
        <f>IFERROR(__xludf.DUMMYFUNCTION("""COMPUTED_VALUE"""),"緑")</f>
        <v>緑</v>
      </c>
      <c r="K29" s="248" t="str">
        <f>IFERROR(__xludf.DUMMYFUNCTION("""COMPUTED_VALUE"""),"chara")</f>
        <v>chara</v>
      </c>
      <c r="L29" s="250" t="str">
        <f>IFERROR(__xludf.DUMMYFUNCTION("""COMPUTED_VALUE"""),"アタック")</f>
        <v>アタック</v>
      </c>
      <c r="M29" s="250" t="str">
        <f>IFERROR(__xludf.DUMMYFUNCTION("""COMPUTED_VALUE"""),"shageki_1")</f>
        <v>shageki_1</v>
      </c>
      <c r="N29" s="250" t="str">
        <f>IFERROR(__xludf.DUMMYFUNCTION("""COMPUTED_VALUE"""),"Long")</f>
        <v>Long</v>
      </c>
      <c r="O29" s="248" t="str">
        <f>IFERROR(__xludf.DUMMYFUNCTION("""COMPUTED_VALUE"""),"shageki_1")</f>
        <v>shageki_1</v>
      </c>
      <c r="P29" s="248" t="str">
        <f>IFERROR(__xludf.DUMMYFUNCTION("""COMPUTED_VALUE"""),"Long")</f>
        <v>Long</v>
      </c>
      <c r="Q29" s="248" t="str">
        <f>IFERROR(__xludf.DUMMYFUNCTION("""COMPUTED_VALUE"""),"1.37")</f>
        <v>1.37</v>
      </c>
      <c r="R29" s="248" t="str">
        <f>IFERROR(__xludf.DUMMYFUNCTION("""COMPUTED_VALUE"""),"stop有: 0.51")</f>
        <v>stop有: 0.51</v>
      </c>
      <c r="S29" s="246" t="str">
        <f>IFERROR(__xludf.DUMMYFUNCTION("""COMPUTED_VALUE"""),"2.67")</f>
        <v>2.67</v>
      </c>
      <c r="T29" s="246" t="str">
        <f>IFERROR(__xludf.DUMMYFUNCTION("""COMPUTED_VALUE"""),"stop無:1回目 0.5
stop無:2回目 1.3
stop有:3回目 2.08")</f>
        <v>stop無:1回目 0.5
stop無:2回目 1.3
stop有:3回目 2.08</v>
      </c>
      <c r="U29" s="246" t="str">
        <f>IFERROR(__xludf.DUMMYFUNCTION("""COMPUTED_VALUE"""),"(仮)2026/03/01 15:00:00")</f>
        <v>(仮)2026/03/01 15:00:00</v>
      </c>
      <c r="V29" s="246">
        <f>IFERROR(__xludf.DUMMYFUNCTION("""COMPUTED_VALUE"""),390812.49998842593)</f>
        <v>390812.5</v>
      </c>
      <c r="W29" s="246"/>
      <c r="X29" s="246" t="str">
        <f>IFERROR(__xludf.DUMMYFUNCTION("""COMPUTED_VALUE"""),"enemy_icon_chara_gom_00501")</f>
        <v>enemy_icon_chara_gom_00501</v>
      </c>
      <c r="Y29" s="246" t="str">
        <f>IFERROR(__xludf.DUMMYFUNCTION("""COMPUTED_VALUE"""),"boss_icon_chara_gom_00501")</f>
        <v>boss_icon_chara_gom_00501</v>
      </c>
      <c r="Z29" s="246"/>
    </row>
    <row r="30">
      <c r="A30" s="247" t="str">
        <f>IFERROR(__xludf.DUMMYFUNCTION("""COMPUTED_VALUE"""),"gom")</f>
        <v>gom</v>
      </c>
      <c r="B30" s="248" t="str">
        <f>IFERROR(__xludf.DUMMYFUNCTION("""COMPUTED_VALUE"""),"姫様“拷問”の時間です")</f>
        <v>姫様“拷問”の時間です</v>
      </c>
      <c r="C30" s="248" t="str">
        <f>IFERROR(__xludf.DUMMYFUNCTION("""COMPUTED_VALUE"""),"00601")</f>
        <v>00601</v>
      </c>
      <c r="D30" s="249" t="str">
        <f>IFERROR(__xludf.DUMMYFUNCTION("""COMPUTED_VALUE"""),"chara_gom_00601")</f>
        <v>chara_gom_00601</v>
      </c>
      <c r="E30" s="248" t="str">
        <f>IFERROR(__xludf.DUMMYFUNCTION("""COMPUTED_VALUE"""),"陰鬼")</f>
        <v>陰鬼</v>
      </c>
      <c r="F30" s="248" t="str">
        <f>IFERROR(__xludf.DUMMYFUNCTION("""COMPUTED_VALUE"""),"陰鬼")</f>
        <v>陰鬼</v>
      </c>
      <c r="G30" s="248" t="str">
        <f>IFERROR(__xludf.DUMMYFUNCTION("""COMPUTED_VALUE"""),"仕事は仕事だよ")</f>
        <v>仕事は仕事だよ</v>
      </c>
      <c r="H30" s="248" t="str">
        <f>IFERROR(__xludf.DUMMYFUNCTION("""COMPUTED_VALUE"""),"SR")</f>
        <v>SR</v>
      </c>
      <c r="I30" s="248" t="str">
        <f>IFERROR(__xludf.DUMMYFUNCTION("""COMPUTED_VALUE"""),"DropSR")</f>
        <v>DropSR</v>
      </c>
      <c r="J30" s="248" t="str">
        <f>IFERROR(__xludf.DUMMYFUNCTION("""COMPUTED_VALUE"""),"赤")</f>
        <v>赤</v>
      </c>
      <c r="K30" s="248" t="str">
        <f>IFERROR(__xludf.DUMMYFUNCTION("""COMPUTED_VALUE"""),"chara")</f>
        <v>chara</v>
      </c>
      <c r="L30" s="250" t="str">
        <f>IFERROR(__xludf.DUMMYFUNCTION("""COMPUTED_VALUE"""),"テクニカル")</f>
        <v>テクニカル</v>
      </c>
      <c r="M30" s="250" t="str">
        <f>IFERROR(__xludf.DUMMYFUNCTION("""COMPUTED_VALUE"""),"dageki_2")</f>
        <v>dageki_2</v>
      </c>
      <c r="N30" s="250" t="str">
        <f>IFERROR(__xludf.DUMMYFUNCTION("""COMPUTED_VALUE"""),"Short")</f>
        <v>Short</v>
      </c>
      <c r="O30" s="248" t="str">
        <f>IFERROR(__xludf.DUMMYFUNCTION("""COMPUTED_VALUE"""),"dageki_2")</f>
        <v>dageki_2</v>
      </c>
      <c r="P30" s="248" t="str">
        <f>IFERROR(__xludf.DUMMYFUNCTION("""COMPUTED_VALUE"""),"Short")</f>
        <v>Short</v>
      </c>
      <c r="Q30" s="248" t="str">
        <f>IFERROR(__xludf.DUMMYFUNCTION("""COMPUTED_VALUE"""),"1.37")</f>
        <v>1.37</v>
      </c>
      <c r="R30" s="248" t="str">
        <f>IFERROR(__xludf.DUMMYFUNCTION("""COMPUTED_VALUE"""),"stop有: 0.33")</f>
        <v>stop有: 0.33</v>
      </c>
      <c r="S30" s="246" t="str">
        <f>IFERROR(__xludf.DUMMYFUNCTION("""COMPUTED_VALUE"""),"2.33")</f>
        <v>2.33</v>
      </c>
      <c r="T30" s="246" t="str">
        <f>IFERROR(__xludf.DUMMYFUNCTION("""COMPUTED_VALUE"""),"stop無:1回目 0.46
stop無:2回目 0.61
stop無:3回目 0.81
stop有:4回目 1.01")</f>
        <v>stop無:1回目 0.46
stop無:2回目 0.61
stop無:3回目 0.81
stop有:4回目 1.01</v>
      </c>
      <c r="U30" s="246" t="str">
        <f>IFERROR(__xludf.DUMMYFUNCTION("""COMPUTED_VALUE"""),"(仮)2026/03/01 15:00:00")</f>
        <v>(仮)2026/03/01 15:00:00</v>
      </c>
      <c r="V30" s="246">
        <f>IFERROR(__xludf.DUMMYFUNCTION("""COMPUTED_VALUE"""),390812.49998842593)</f>
        <v>390812.5</v>
      </c>
      <c r="W30" s="246"/>
      <c r="X30" s="246" t="str">
        <f>IFERROR(__xludf.DUMMYFUNCTION("""COMPUTED_VALUE"""),"enemy_icon_chara_gom_00601")</f>
        <v>enemy_icon_chara_gom_00601</v>
      </c>
      <c r="Y30" s="246" t="str">
        <f>IFERROR(__xludf.DUMMYFUNCTION("""COMPUTED_VALUE"""),"boss_icon_chara_gom_00601")</f>
        <v>boss_icon_chara_gom_00601</v>
      </c>
      <c r="Z30" s="246"/>
    </row>
    <row r="31">
      <c r="A31" s="247" t="str">
        <f>IFERROR(__xludf.DUMMYFUNCTION("""COMPUTED_VALUE"""),"gom")</f>
        <v>gom</v>
      </c>
      <c r="B31" s="248" t="str">
        <f>IFERROR(__xludf.DUMMYFUNCTION("""COMPUTED_VALUE"""),"姫様“拷問”の時間です")</f>
        <v>姫様“拷問”の時間です</v>
      </c>
      <c r="C31" s="248" t="str">
        <f>IFERROR(__xludf.DUMMYFUNCTION("""COMPUTED_VALUE"""),"00701")</f>
        <v>00701</v>
      </c>
      <c r="D31" s="249" t="str">
        <f>IFERROR(__xludf.DUMMYFUNCTION("""COMPUTED_VALUE"""),"chara_gom_00701")</f>
        <v>chara_gom_00701</v>
      </c>
      <c r="E31" s="248" t="str">
        <f>IFERROR(__xludf.DUMMYFUNCTION("""COMPUTED_VALUE"""),"カナッジ")</f>
        <v>カナッジ</v>
      </c>
      <c r="F31" s="248" t="str">
        <f>IFERROR(__xludf.DUMMYFUNCTION("""COMPUTED_VALUE"""),"カナッジ")</f>
        <v>カナッジ</v>
      </c>
      <c r="G31" s="248" t="str">
        <f>IFERROR(__xludf.DUMMYFUNCTION("""COMPUTED_VALUE"""),"魔王様!!")</f>
        <v>魔王様!!</v>
      </c>
      <c r="H31" s="248" t="str">
        <f>IFERROR(__xludf.DUMMYFUNCTION("""COMPUTED_VALUE"""),"SR")</f>
        <v>SR</v>
      </c>
      <c r="I31" s="248" t="str">
        <f>IFERROR(__xludf.DUMMYFUNCTION("""COMPUTED_VALUE"""),"DropSR")</f>
        <v>DropSR</v>
      </c>
      <c r="J31" s="248" t="str">
        <f>IFERROR(__xludf.DUMMYFUNCTION("""COMPUTED_VALUE"""),"赤")</f>
        <v>赤</v>
      </c>
      <c r="K31" s="248" t="str">
        <f>IFERROR(__xludf.DUMMYFUNCTION("""COMPUTED_VALUE"""),"chara")</f>
        <v>chara</v>
      </c>
      <c r="L31" s="250" t="str">
        <f>IFERROR(__xludf.DUMMYFUNCTION("""COMPUTED_VALUE"""),"テクニカル")</f>
        <v>テクニカル</v>
      </c>
      <c r="M31" s="250" t="str">
        <f>IFERROR(__xludf.DUMMYFUNCTION("""COMPUTED_VALUE"""),"dageki_1")</f>
        <v>dageki_1</v>
      </c>
      <c r="N31" s="250" t="str">
        <f>IFERROR(__xludf.DUMMYFUNCTION("""COMPUTED_VALUE"""),"Short")</f>
        <v>Short</v>
      </c>
      <c r="O31" s="248" t="str">
        <f>IFERROR(__xludf.DUMMYFUNCTION("""COMPUTED_VALUE"""),"dageki_1")</f>
        <v>dageki_1</v>
      </c>
      <c r="P31" s="248"/>
      <c r="Q31" s="248" t="str">
        <f>IFERROR(__xludf.DUMMYFUNCTION("""COMPUTED_VALUE"""),"1.57")</f>
        <v>1.57</v>
      </c>
      <c r="R31" s="248" t="str">
        <f>IFERROR(__xludf.DUMMYFUNCTION("""COMPUTED_VALUE"""),"stop有: 0.42")</f>
        <v>stop有: 0.42</v>
      </c>
      <c r="S31" s="246" t="str">
        <f>IFERROR(__xludf.DUMMYFUNCTION("""COMPUTED_VALUE"""),"2.27")</f>
        <v>2.27</v>
      </c>
      <c r="T31" s="246" t="str">
        <f>IFERROR(__xludf.DUMMYFUNCTION("""COMPUTED_VALUE"""),"stop無: 0.92")</f>
        <v>stop無: 0.92</v>
      </c>
      <c r="U31" s="246" t="str">
        <f>IFERROR(__xludf.DUMMYFUNCTION("""COMPUTED_VALUE"""),"実装未定")</f>
        <v>実装未定</v>
      </c>
      <c r="V31" s="246">
        <f>IFERROR(__xludf.DUMMYFUNCTION("""COMPUTED_VALUE"""),390812.49998842593)</f>
        <v>390812.5</v>
      </c>
      <c r="W31" s="246"/>
      <c r="X31" s="246" t="str">
        <f>IFERROR(__xludf.DUMMYFUNCTION("""COMPUTED_VALUE"""),"enemy_icon_chara_gom_00701")</f>
        <v>enemy_icon_chara_gom_00701</v>
      </c>
      <c r="Y31" s="246" t="str">
        <f>IFERROR(__xludf.DUMMYFUNCTION("""COMPUTED_VALUE"""),"boss_icon_chara_gom_00701")</f>
        <v>boss_icon_chara_gom_00701</v>
      </c>
      <c r="Z31" s="246"/>
    </row>
    <row r="32">
      <c r="A32" s="247" t="str">
        <f>IFERROR(__xludf.DUMMYFUNCTION("""COMPUTED_VALUE"""),"chi")</f>
        <v>chi</v>
      </c>
      <c r="B32" s="248" t="str">
        <f>IFERROR(__xludf.DUMMYFUNCTION("""COMPUTED_VALUE"""),"チェンソーマン")</f>
        <v>チェンソーマン</v>
      </c>
      <c r="C32" s="248" t="str">
        <f>IFERROR(__xludf.DUMMYFUNCTION("""COMPUTED_VALUE"""),"00001")</f>
        <v>00001</v>
      </c>
      <c r="D32" s="249" t="str">
        <f>IFERROR(__xludf.DUMMYFUNCTION("""COMPUTED_VALUE"""),"chara_chi_00001")</f>
        <v>chara_chi_00001</v>
      </c>
      <c r="E32" s="248" t="str">
        <f>IFERROR(__xludf.DUMMYFUNCTION("""COMPUTED_VALUE"""),"デンジ")</f>
        <v>デンジ</v>
      </c>
      <c r="F32" s="248" t="str">
        <f>IFERROR(__xludf.DUMMYFUNCTION("""COMPUTED_VALUE"""),"デンジ")</f>
        <v>デンジ</v>
      </c>
      <c r="G32" s="248" t="str">
        <f>IFERROR(__xludf.DUMMYFUNCTION("""COMPUTED_VALUE"""),"股間！しか！狙わねえ！")</f>
        <v>股間！しか！狙わねえ！</v>
      </c>
      <c r="H32" s="248" t="str">
        <f>IFERROR(__xludf.DUMMYFUNCTION("""COMPUTED_VALUE"""),"R")</f>
        <v>R</v>
      </c>
      <c r="I32" s="248" t="str">
        <f>IFERROR(__xludf.DUMMYFUNCTION("""COMPUTED_VALUE"""),"PremiumR")</f>
        <v>PremiumR</v>
      </c>
      <c r="J32" s="248" t="str">
        <f>IFERROR(__xludf.DUMMYFUNCTION("""COMPUTED_VALUE"""),"緑")</f>
        <v>緑</v>
      </c>
      <c r="K32" s="248" t="str">
        <f>IFERROR(__xludf.DUMMYFUNCTION("""COMPUTED_VALUE"""),"chara")</f>
        <v>chara</v>
      </c>
      <c r="L32" s="250" t="str">
        <f>IFERROR(__xludf.DUMMYFUNCTION("""COMPUTED_VALUE"""),"アタック")</f>
        <v>アタック</v>
      </c>
      <c r="M32" s="250" t="str">
        <f>IFERROR(__xludf.DUMMYFUNCTION("""COMPUTED_VALUE"""),"zangeki_1")</f>
        <v>zangeki_1</v>
      </c>
      <c r="N32" s="250" t="str">
        <f>IFERROR(__xludf.DUMMYFUNCTION("""COMPUTED_VALUE"""),"Short")</f>
        <v>Short</v>
      </c>
      <c r="O32" s="248" t="str">
        <f>IFERROR(__xludf.DUMMYFUNCTION("""COMPUTED_VALUE"""),"dageki_1")</f>
        <v>dageki_1</v>
      </c>
      <c r="P32" s="248" t="str">
        <f>IFERROR(__xludf.DUMMYFUNCTION("""COMPUTED_VALUE"""),"00001")</f>
        <v>00001</v>
      </c>
      <c r="Q32" s="248" t="str">
        <f>IFERROR(__xludf.DUMMYFUNCTION("""COMPUTED_VALUE"""),"1.40")</f>
        <v>1.40</v>
      </c>
      <c r="R32" s="248" t="str">
        <f>IFERROR(__xludf.DUMMYFUNCTION("""COMPUTED_VALUE"""),"0.53")</f>
        <v>0.53</v>
      </c>
      <c r="S32" s="246" t="str">
        <f>IFERROR(__xludf.DUMMYFUNCTION("""COMPUTED_VALUE"""),"3.37")</f>
        <v>3.37</v>
      </c>
      <c r="T32" s="246" t="str">
        <f>IFERROR(__xludf.DUMMYFUNCTION("""COMPUTED_VALUE"""),"1.57")</f>
        <v>1.57</v>
      </c>
      <c r="U32" s="246">
        <f>IFERROR(__xludf.DUMMYFUNCTION("""COMPUTED_VALUE"""),45922.458333333336)</f>
        <v>45922.45833</v>
      </c>
      <c r="V32" s="246">
        <f>IFERROR(__xludf.DUMMYFUNCTION("""COMPUTED_VALUE"""),390812.49998842593)</f>
        <v>390812.5</v>
      </c>
      <c r="W32" s="246" t="str">
        <f>IFERROR(__xludf.DUMMYFUNCTION("""COMPUTED_VALUE"""),"catchcopy_character_chara_chi_00001.png")</f>
        <v>catchcopy_character_chara_chi_00001.png</v>
      </c>
      <c r="X32" s="246" t="str">
        <f>IFERROR(__xludf.DUMMYFUNCTION("""COMPUTED_VALUE"""),"enemy_icon_chara_chi_00001")</f>
        <v>enemy_icon_chara_chi_00001</v>
      </c>
      <c r="Y32" s="246" t="str">
        <f>IFERROR(__xludf.DUMMYFUNCTION("""COMPUTED_VALUE"""),"boss_icon_chara_chi_00001")</f>
        <v>boss_icon_chara_chi_00001</v>
      </c>
      <c r="Z32" s="246" t="str">
        <f>IFERROR(__xludf.DUMMYFUNCTION("""COMPUTED_VALUE"""),"chara_chi_00001_normal")</f>
        <v>chara_chi_00001_normal</v>
      </c>
    </row>
    <row r="33">
      <c r="A33" s="247" t="str">
        <f>IFERROR(__xludf.DUMMYFUNCTION("""COMPUTED_VALUE"""),"chi")</f>
        <v>chi</v>
      </c>
      <c r="B33" s="248" t="str">
        <f>IFERROR(__xludf.DUMMYFUNCTION("""COMPUTED_VALUE"""),"チェンソーマン")</f>
        <v>チェンソーマン</v>
      </c>
      <c r="C33" s="248" t="str">
        <f>IFERROR(__xludf.DUMMYFUNCTION("""COMPUTED_VALUE"""),"00002")</f>
        <v>00002</v>
      </c>
      <c r="D33" s="249" t="str">
        <f>IFERROR(__xludf.DUMMYFUNCTION("""COMPUTED_VALUE"""),"chara_chi_00002")</f>
        <v>chara_chi_00002</v>
      </c>
      <c r="E33" s="248" t="str">
        <f>IFERROR(__xludf.DUMMYFUNCTION("""COMPUTED_VALUE"""),"悪魔が恐れる悪魔 チェンソーマン")</f>
        <v>悪魔が恐れる悪魔 チェンソーマン</v>
      </c>
      <c r="F33" s="248" t="str">
        <f>IFERROR(__xludf.DUMMYFUNCTION("""COMPUTED_VALUE"""),"悪魔が恐れる悪魔 チェンソーマン")</f>
        <v>悪魔が恐れる悪魔 チェンソーマン</v>
      </c>
      <c r="G33" s="248" t="str">
        <f>IFERROR(__xludf.DUMMYFUNCTION("""COMPUTED_VALUE"""),"ぶっ殺さねえとなあ！")</f>
        <v>ぶっ殺さねえとなあ！</v>
      </c>
      <c r="H33" s="248" t="str">
        <f>IFERROR(__xludf.DUMMYFUNCTION("""COMPUTED_VALUE"""),"UR")</f>
        <v>UR</v>
      </c>
      <c r="I33" s="248" t="str">
        <f>IFERROR(__xludf.DUMMYFUNCTION("""COMPUTED_VALUE"""),"PremiumUR")</f>
        <v>PremiumUR</v>
      </c>
      <c r="J33" s="248" t="str">
        <f>IFERROR(__xludf.DUMMYFUNCTION("""COMPUTED_VALUE"""),"黄")</f>
        <v>黄</v>
      </c>
      <c r="K33" s="248" t="str">
        <f>IFERROR(__xludf.DUMMYFUNCTION("""COMPUTED_VALUE"""),"chara")</f>
        <v>chara</v>
      </c>
      <c r="L33" s="250" t="str">
        <f>IFERROR(__xludf.DUMMYFUNCTION("""COMPUTED_VALUE"""),"テクニカル")</f>
        <v>テクニカル</v>
      </c>
      <c r="M33" s="250" t="str">
        <f>IFERROR(__xludf.DUMMYFUNCTION("""COMPUTED_VALUE"""),"zangeki_1")</f>
        <v>zangeki_1</v>
      </c>
      <c r="N33" s="250" t="str">
        <f>IFERROR(__xludf.DUMMYFUNCTION("""COMPUTED_VALUE"""),"Short")</f>
        <v>Short</v>
      </c>
      <c r="O33" s="248" t="str">
        <f>IFERROR(__xludf.DUMMYFUNCTION("""COMPUTED_VALUE"""),"zangeki_1")</f>
        <v>zangeki_1</v>
      </c>
      <c r="P33" s="248" t="str">
        <f>IFERROR(__xludf.DUMMYFUNCTION("""COMPUTED_VALUE"""),"00002")</f>
        <v>00002</v>
      </c>
      <c r="Q33" s="248" t="str">
        <f>IFERROR(__xludf.DUMMYFUNCTION("""COMPUTED_VALUE"""),"1.07")</f>
        <v>1.07</v>
      </c>
      <c r="R33" s="248" t="str">
        <f>IFERROR(__xludf.DUMMYFUNCTION("""COMPUTED_VALUE"""),"stop無:1回目 0.66")</f>
        <v>stop無:1回目 0.66</v>
      </c>
      <c r="S33" s="246" t="str">
        <f>IFERROR(__xludf.DUMMYFUNCTION("""COMPUTED_VALUE"""),"3.74")</f>
        <v>3.74</v>
      </c>
      <c r="T33" s="246" t="str">
        <f>IFERROR(__xludf.DUMMYFUNCTION("""COMPUTED_VALUE"""),"stop無:1回目 0.53
stop無:2回目 0.70
stop無:3回目 0.90
stop無:4回目 1.03
stop無:5回目 1.23
stop有:6回目 2.62")</f>
        <v>stop無:1回目 0.53
stop無:2回目 0.70
stop無:3回目 0.90
stop無:4回目 1.03
stop無:5回目 1.23
stop有:6回目 2.62</v>
      </c>
      <c r="U33" s="246">
        <f>IFERROR(__xludf.DUMMYFUNCTION("""COMPUTED_VALUE"""),45922.458333333336)</f>
        <v>45922.45833</v>
      </c>
      <c r="V33" s="246">
        <f>IFERROR(__xludf.DUMMYFUNCTION("""COMPUTED_VALUE"""),390812.49998842593)</f>
        <v>390812.5</v>
      </c>
      <c r="W33" s="246" t="str">
        <f>IFERROR(__xludf.DUMMYFUNCTION("""COMPUTED_VALUE"""),"catchcopy_character_chara_chi_00002.png")</f>
        <v>catchcopy_character_chara_chi_00002.png</v>
      </c>
      <c r="X33" s="246" t="str">
        <f>IFERROR(__xludf.DUMMYFUNCTION("""COMPUTED_VALUE"""),"enemy_icon_chara_chi_00002")</f>
        <v>enemy_icon_chara_chi_00002</v>
      </c>
      <c r="Y33" s="246" t="str">
        <f>IFERROR(__xludf.DUMMYFUNCTION("""COMPUTED_VALUE"""),"boss_icon_chara_chi_00002")</f>
        <v>boss_icon_chara_chi_00002</v>
      </c>
      <c r="Z33" s="246" t="str">
        <f>IFERROR(__xludf.DUMMYFUNCTION("""COMPUTED_VALUE"""),"chara_chi_00002_normal")</f>
        <v>chara_chi_00002_normal</v>
      </c>
    </row>
    <row r="34">
      <c r="A34" s="247" t="str">
        <f>IFERROR(__xludf.DUMMYFUNCTION("""COMPUTED_VALUE"""),"chi")</f>
        <v>chi</v>
      </c>
      <c r="B34" s="248" t="str">
        <f>IFERROR(__xludf.DUMMYFUNCTION("""COMPUTED_VALUE"""),"チェンソーマン")</f>
        <v>チェンソーマン</v>
      </c>
      <c r="C34" s="248" t="str">
        <f>IFERROR(__xludf.DUMMYFUNCTION("""COMPUTED_VALUE"""),"00201")</f>
        <v>00201</v>
      </c>
      <c r="D34" s="249" t="str">
        <f>IFERROR(__xludf.DUMMYFUNCTION("""COMPUTED_VALUE"""),"chara_chi_00201")</f>
        <v>chara_chi_00201</v>
      </c>
      <c r="E34" s="248" t="str">
        <f>IFERROR(__xludf.DUMMYFUNCTION("""COMPUTED_VALUE"""),"早川 アキ")</f>
        <v>早川 アキ</v>
      </c>
      <c r="F34" s="248" t="str">
        <f>IFERROR(__xludf.DUMMYFUNCTION("""COMPUTED_VALUE"""),"早川 アキ")</f>
        <v>早川 アキ</v>
      </c>
      <c r="G34" s="248" t="str">
        <f>IFERROR(__xludf.DUMMYFUNCTION("""COMPUTED_VALUE"""),"狐の悪魔")</f>
        <v>狐の悪魔</v>
      </c>
      <c r="H34" s="248" t="str">
        <f>IFERROR(__xludf.DUMMYFUNCTION("""COMPUTED_VALUE"""),"SSR")</f>
        <v>SSR</v>
      </c>
      <c r="I34" s="248" t="str">
        <f>IFERROR(__xludf.DUMMYFUNCTION("""COMPUTED_VALUE"""),"PremiumSSR")</f>
        <v>PremiumSSR</v>
      </c>
      <c r="J34" s="248" t="str">
        <f>IFERROR(__xludf.DUMMYFUNCTION("""COMPUTED_VALUE"""),"緑")</f>
        <v>緑</v>
      </c>
      <c r="K34" s="248" t="str">
        <f>IFERROR(__xludf.DUMMYFUNCTION("""COMPUTED_VALUE"""),"chara")</f>
        <v>chara</v>
      </c>
      <c r="L34" s="250" t="str">
        <f>IFERROR(__xludf.DUMMYFUNCTION("""COMPUTED_VALUE"""),"アタック")</f>
        <v>アタック</v>
      </c>
      <c r="M34" s="250" t="str">
        <f>IFERROR(__xludf.DUMMYFUNCTION("""COMPUTED_VALUE"""),"dageki_1")</f>
        <v>dageki_1</v>
      </c>
      <c r="N34" s="250" t="str">
        <f>IFERROR(__xludf.DUMMYFUNCTION("""COMPUTED_VALUE"""),"Short")</f>
        <v>Short</v>
      </c>
      <c r="O34" s="248" t="str">
        <f>IFERROR(__xludf.DUMMYFUNCTION("""COMPUTED_VALUE"""),"dageki_2")</f>
        <v>dageki_2</v>
      </c>
      <c r="P34" s="248" t="str">
        <f>IFERROR(__xludf.DUMMYFUNCTION("""COMPUTED_VALUE"""),"00201")</f>
        <v>00201</v>
      </c>
      <c r="Q34" s="248" t="str">
        <f>IFERROR(__xludf.DUMMYFUNCTION("""COMPUTED_VALUE"""),"1.60")</f>
        <v>1.60</v>
      </c>
      <c r="R34" s="248" t="str">
        <f>IFERROR(__xludf.DUMMYFUNCTION("""COMPUTED_VALUE"""),"0.84")</f>
        <v>0.84</v>
      </c>
      <c r="S34" s="246" t="str">
        <f>IFERROR(__xludf.DUMMYFUNCTION("""COMPUTED_VALUE"""),"2.44")</f>
        <v>2.44</v>
      </c>
      <c r="T34" s="246" t="str">
        <f>IFERROR(__xludf.DUMMYFUNCTION("""COMPUTED_VALUE"""),"1.64")</f>
        <v>1.64</v>
      </c>
      <c r="U34" s="246">
        <f>IFERROR(__xludf.DUMMYFUNCTION("""COMPUTED_VALUE"""),45922.458333333336)</f>
        <v>45922.45833</v>
      </c>
      <c r="V34" s="246">
        <f>IFERROR(__xludf.DUMMYFUNCTION("""COMPUTED_VALUE"""),390812.49998842593)</f>
        <v>390812.5</v>
      </c>
      <c r="W34" s="246" t="str">
        <f>IFERROR(__xludf.DUMMYFUNCTION("""COMPUTED_VALUE"""),"catchcopy_character_chara_chi_00201.png")</f>
        <v>catchcopy_character_chara_chi_00201.png</v>
      </c>
      <c r="X34" s="246" t="str">
        <f>IFERROR(__xludf.DUMMYFUNCTION("""COMPUTED_VALUE"""),"enemy_icon_chara_chi_00201")</f>
        <v>enemy_icon_chara_chi_00201</v>
      </c>
      <c r="Y34" s="246" t="str">
        <f>IFERROR(__xludf.DUMMYFUNCTION("""COMPUTED_VALUE"""),"boss_icon_chara_chi_00201")</f>
        <v>boss_icon_chara_chi_00201</v>
      </c>
      <c r="Z34" s="246" t="str">
        <f>IFERROR(__xludf.DUMMYFUNCTION("""COMPUTED_VALUE"""),"chara_chi_00201_normal")</f>
        <v>chara_chi_00201_normal</v>
      </c>
    </row>
    <row r="35">
      <c r="A35" s="247" t="str">
        <f>IFERROR(__xludf.DUMMYFUNCTION("""COMPUTED_VALUE"""),"chi")</f>
        <v>chi</v>
      </c>
      <c r="B35" s="248" t="str">
        <f>IFERROR(__xludf.DUMMYFUNCTION("""COMPUTED_VALUE"""),"チェンソーマン")</f>
        <v>チェンソーマン</v>
      </c>
      <c r="C35" s="248" t="str">
        <f>IFERROR(__xludf.DUMMYFUNCTION("""COMPUTED_VALUE"""),"00301")</f>
        <v>00301</v>
      </c>
      <c r="D35" s="249" t="str">
        <f>IFERROR(__xludf.DUMMYFUNCTION("""COMPUTED_VALUE"""),"chara_chi_00301")</f>
        <v>chara_chi_00301</v>
      </c>
      <c r="E35" s="248" t="str">
        <f>IFERROR(__xludf.DUMMYFUNCTION("""COMPUTED_VALUE"""),"パワー")</f>
        <v>パワー</v>
      </c>
      <c r="F35" s="248" t="str">
        <f>IFERROR(__xludf.DUMMYFUNCTION("""COMPUTED_VALUE"""),"パワー")</f>
        <v>パワー</v>
      </c>
      <c r="G35" s="248" t="str">
        <f>IFERROR(__xludf.DUMMYFUNCTION("""COMPUTED_VALUE"""),"血の匂いじゃ！")</f>
        <v>血の匂いじゃ！</v>
      </c>
      <c r="H35" s="248" t="str">
        <f>IFERROR(__xludf.DUMMYFUNCTION("""COMPUTED_VALUE"""),"SSR")</f>
        <v>SSR</v>
      </c>
      <c r="I35" s="248" t="str">
        <f>IFERROR(__xludf.DUMMYFUNCTION("""COMPUTED_VALUE"""),"PremiumSSR")</f>
        <v>PremiumSSR</v>
      </c>
      <c r="J35" s="248" t="str">
        <f>IFERROR(__xludf.DUMMYFUNCTION("""COMPUTED_VALUE"""),"青")</f>
        <v>青</v>
      </c>
      <c r="K35" s="248" t="str">
        <f>IFERROR(__xludf.DUMMYFUNCTION("""COMPUTED_VALUE"""),"chara")</f>
        <v>chara</v>
      </c>
      <c r="L35" s="250" t="str">
        <f>IFERROR(__xludf.DUMMYFUNCTION("""COMPUTED_VALUE"""),"アタック")</f>
        <v>アタック</v>
      </c>
      <c r="M35" s="250" t="str">
        <f>IFERROR(__xludf.DUMMYFUNCTION("""COMPUTED_VALUE"""),"dageki_1")</f>
        <v>dageki_1</v>
      </c>
      <c r="N35" s="250" t="str">
        <f>IFERROR(__xludf.DUMMYFUNCTION("""COMPUTED_VALUE"""),"Middle")</f>
        <v>Middle</v>
      </c>
      <c r="O35" s="248" t="str">
        <f>IFERROR(__xludf.DUMMYFUNCTION("""COMPUTED_VALUE"""),"dageki_1")</f>
        <v>dageki_1</v>
      </c>
      <c r="P35" s="248" t="str">
        <f>IFERROR(__xludf.DUMMYFUNCTION("""COMPUTED_VALUE"""),"00201")</f>
        <v>00201</v>
      </c>
      <c r="Q35" s="248" t="str">
        <f>IFERROR(__xludf.DUMMYFUNCTION("""COMPUTED_VALUE"""),"1.50")</f>
        <v>1.50</v>
      </c>
      <c r="R35" s="248" t="str">
        <f>IFERROR(__xludf.DUMMYFUNCTION("""COMPUTED_VALUE"""),"0.58")</f>
        <v>0.58</v>
      </c>
      <c r="S35" s="246" t="str">
        <f>IFERROR(__xludf.DUMMYFUNCTION("""COMPUTED_VALUE"""),"2.67")</f>
        <v>2.67</v>
      </c>
      <c r="T35" s="246" t="str">
        <f>IFERROR(__xludf.DUMMYFUNCTION("""COMPUTED_VALUE"""),"1.00")</f>
        <v>1.00</v>
      </c>
      <c r="U35" s="246">
        <f>IFERROR(__xludf.DUMMYFUNCTION("""COMPUTED_VALUE"""),45922.458333333336)</f>
        <v>45922.45833</v>
      </c>
      <c r="V35" s="246">
        <f>IFERROR(__xludf.DUMMYFUNCTION("""COMPUTED_VALUE"""),390812.49998842593)</f>
        <v>390812.5</v>
      </c>
      <c r="W35" s="246" t="str">
        <f>IFERROR(__xludf.DUMMYFUNCTION("""COMPUTED_VALUE"""),"catchcopy_character_chara_chi_00201.png")</f>
        <v>catchcopy_character_chara_chi_00201.png</v>
      </c>
      <c r="X35" s="246" t="str">
        <f>IFERROR(__xludf.DUMMYFUNCTION("""COMPUTED_VALUE"""),"enemy_icon_chara_chi_00301")</f>
        <v>enemy_icon_chara_chi_00301</v>
      </c>
      <c r="Y35" s="246" t="str">
        <f>IFERROR(__xludf.DUMMYFUNCTION("""COMPUTED_VALUE"""),"boss_icon_chara_chi_00301")</f>
        <v>boss_icon_chara_chi_00301</v>
      </c>
      <c r="Z35" s="246" t="str">
        <f>IFERROR(__xludf.DUMMYFUNCTION("""COMPUTED_VALUE"""),"chara_chi_00301_normal")</f>
        <v>chara_chi_00301_normal</v>
      </c>
    </row>
    <row r="36">
      <c r="A36" s="247" t="str">
        <f>IFERROR(__xludf.DUMMYFUNCTION("""COMPUTED_VALUE"""),"chi")</f>
        <v>chi</v>
      </c>
      <c r="B36" s="248" t="str">
        <f>IFERROR(__xludf.DUMMYFUNCTION("""COMPUTED_VALUE"""),"チェンソーマン")</f>
        <v>チェンソーマン</v>
      </c>
      <c r="C36" s="248" t="str">
        <f>IFERROR(__xludf.DUMMYFUNCTION("""COMPUTED_VALUE"""),"00401")</f>
        <v>00401</v>
      </c>
      <c r="D36" s="249" t="str">
        <f>IFERROR(__xludf.DUMMYFUNCTION("""COMPUTED_VALUE"""),"chara_chi_00401")</f>
        <v>chara_chi_00401</v>
      </c>
      <c r="E36" s="248" t="str">
        <f>IFERROR(__xludf.DUMMYFUNCTION("""COMPUTED_VALUE"""),"マキマ")</f>
        <v>マキマ</v>
      </c>
      <c r="F36" s="248" t="str">
        <f>IFERROR(__xludf.DUMMYFUNCTION("""COMPUTED_VALUE"""),"選定中")</f>
        <v>選定中</v>
      </c>
      <c r="G36" s="248"/>
      <c r="H36" s="248" t="str">
        <f>IFERROR(__xludf.DUMMYFUNCTION("""COMPUTED_VALUE"""),"UR")</f>
        <v>UR</v>
      </c>
      <c r="I36" s="248" t="str">
        <f>IFERROR(__xludf.DUMMYFUNCTION("""COMPUTED_VALUE"""),"PremiumUR")</f>
        <v>PremiumUR</v>
      </c>
      <c r="J36" s="248" t="str">
        <f>IFERROR(__xludf.DUMMYFUNCTION("""COMPUTED_VALUE"""),"調整中")</f>
        <v>調整中</v>
      </c>
      <c r="K36" s="248" t="str">
        <f>IFERROR(__xludf.DUMMYFUNCTION("""COMPUTED_VALUE"""),"chara")</f>
        <v>chara</v>
      </c>
      <c r="L36" s="250" t="str">
        <f>IFERROR(__xludf.DUMMYFUNCTION("""COMPUTED_VALUE"""),"調整中")</f>
        <v>調整中</v>
      </c>
      <c r="M36" s="250"/>
      <c r="N36" s="250"/>
      <c r="O36" s="248"/>
      <c r="P36" s="248"/>
      <c r="Q36" s="248" t="str">
        <f>IFERROR(__xludf.DUMMYFUNCTION("""COMPUTED_VALUE"""),"-")</f>
        <v>-</v>
      </c>
      <c r="R36" s="248" t="str">
        <f>IFERROR(__xludf.DUMMYFUNCTION("""COMPUTED_VALUE"""),"-")</f>
        <v>-</v>
      </c>
      <c r="S36" s="246" t="str">
        <f>IFERROR(__xludf.DUMMYFUNCTION("""COMPUTED_VALUE"""),"2.5")</f>
        <v>2.5</v>
      </c>
      <c r="T36" s="246" t="str">
        <f>IFERROR(__xludf.DUMMYFUNCTION("""COMPUTED_VALUE"""),"0")</f>
        <v>0</v>
      </c>
      <c r="U36" s="246" t="str">
        <f>IFERROR(__xludf.DUMMYFUNCTION("""COMPUTED_VALUE"""),"実装未定")</f>
        <v>実装未定</v>
      </c>
      <c r="V36" s="246">
        <f>IFERROR(__xludf.DUMMYFUNCTION("""COMPUTED_VALUE"""),390812.49998842593)</f>
        <v>390812.5</v>
      </c>
      <c r="W36" s="246"/>
      <c r="X36" s="246" t="str">
        <f>IFERROR(__xludf.DUMMYFUNCTION("""COMPUTED_VALUE"""),"enemy_icon_chara_chi_00401")</f>
        <v>enemy_icon_chara_chi_00401</v>
      </c>
      <c r="Y36" s="246" t="str">
        <f>IFERROR(__xludf.DUMMYFUNCTION("""COMPUTED_VALUE"""),"boss_icon_chara_chi_00401")</f>
        <v>boss_icon_chara_chi_00401</v>
      </c>
      <c r="Z36" s="246"/>
    </row>
    <row r="37">
      <c r="A37" s="247" t="str">
        <f>IFERROR(__xludf.DUMMYFUNCTION("""COMPUTED_VALUE"""),"chi")</f>
        <v>chi</v>
      </c>
      <c r="B37" s="248" t="str">
        <f>IFERROR(__xludf.DUMMYFUNCTION("""COMPUTED_VALUE"""),"チェンソーマン")</f>
        <v>チェンソーマン</v>
      </c>
      <c r="C37" s="248" t="str">
        <f>IFERROR(__xludf.DUMMYFUNCTION("""COMPUTED_VALUE"""),"00501")</f>
        <v>00501</v>
      </c>
      <c r="D37" s="249" t="str">
        <f>IFERROR(__xludf.DUMMYFUNCTION("""COMPUTED_VALUE"""),"chara_chi_00501")</f>
        <v>chara_chi_00501</v>
      </c>
      <c r="E37" s="248" t="str">
        <f>IFERROR(__xludf.DUMMYFUNCTION("""COMPUTED_VALUE"""),"姫野")</f>
        <v>姫野</v>
      </c>
      <c r="F37" s="248" t="str">
        <f>IFERROR(__xludf.DUMMYFUNCTION("""COMPUTED_VALUE"""),"選定中")</f>
        <v>選定中</v>
      </c>
      <c r="G37" s="248"/>
      <c r="H37" s="248" t="str">
        <f>IFERROR(__xludf.DUMMYFUNCTION("""COMPUTED_VALUE"""),"SSR")</f>
        <v>SSR</v>
      </c>
      <c r="I37" s="248" t="str">
        <f>IFERROR(__xludf.DUMMYFUNCTION("""COMPUTED_VALUE"""),"PremiumSSR")</f>
        <v>PremiumSSR</v>
      </c>
      <c r="J37" s="248" t="str">
        <f>IFERROR(__xludf.DUMMYFUNCTION("""COMPUTED_VALUE"""),"調整中")</f>
        <v>調整中</v>
      </c>
      <c r="K37" s="248" t="str">
        <f>IFERROR(__xludf.DUMMYFUNCTION("""COMPUTED_VALUE"""),"chara")</f>
        <v>chara</v>
      </c>
      <c r="L37" s="250" t="str">
        <f>IFERROR(__xludf.DUMMYFUNCTION("""COMPUTED_VALUE"""),"調整中")</f>
        <v>調整中</v>
      </c>
      <c r="M37" s="250"/>
      <c r="N37" s="250"/>
      <c r="O37" s="248"/>
      <c r="P37" s="248"/>
      <c r="Q37" s="248" t="str">
        <f>IFERROR(__xludf.DUMMYFUNCTION("""COMPUTED_VALUE"""),"1.17")</f>
        <v>1.17</v>
      </c>
      <c r="R37" s="248" t="str">
        <f>IFERROR(__xludf.DUMMYFUNCTION("""COMPUTED_VALUE"""),".5")</f>
        <v>.5</v>
      </c>
      <c r="S37" s="246" t="str">
        <f>IFERROR(__xludf.DUMMYFUNCTION("""COMPUTED_VALUE"""),"1.87")</f>
        <v>1.87</v>
      </c>
      <c r="T37" s="246" t="str">
        <f>IFERROR(__xludf.DUMMYFUNCTION("""COMPUTED_VALUE"""),"stop有:1")</f>
        <v>stop有:1</v>
      </c>
      <c r="U37" s="246" t="str">
        <f>IFERROR(__xludf.DUMMYFUNCTION("""COMPUTED_VALUE"""),"実装未定")</f>
        <v>実装未定</v>
      </c>
      <c r="V37" s="246">
        <f>IFERROR(__xludf.DUMMYFUNCTION("""COMPUTED_VALUE"""),390812.49998842593)</f>
        <v>390812.5</v>
      </c>
      <c r="W37" s="246"/>
      <c r="X37" s="246" t="str">
        <f>IFERROR(__xludf.DUMMYFUNCTION("""COMPUTED_VALUE"""),"enemy_icon_chara_chi_00501")</f>
        <v>enemy_icon_chara_chi_00501</v>
      </c>
      <c r="Y37" s="246" t="str">
        <f>IFERROR(__xludf.DUMMYFUNCTION("""COMPUTED_VALUE"""),"boss_icon_chara_chi_00501")</f>
        <v>boss_icon_chara_chi_00501</v>
      </c>
      <c r="Z37" s="246"/>
    </row>
    <row r="38">
      <c r="A38" s="247" t="str">
        <f>IFERROR(__xludf.DUMMYFUNCTION("""COMPUTED_VALUE"""),"chi")</f>
        <v>chi</v>
      </c>
      <c r="B38" s="248" t="str">
        <f>IFERROR(__xludf.DUMMYFUNCTION("""COMPUTED_VALUE"""),"チェンソーマン")</f>
        <v>チェンソーマン</v>
      </c>
      <c r="C38" s="248" t="str">
        <f>IFERROR(__xludf.DUMMYFUNCTION("""COMPUTED_VALUE"""),"00601")</f>
        <v>00601</v>
      </c>
      <c r="D38" s="249" t="str">
        <f>IFERROR(__xludf.DUMMYFUNCTION("""COMPUTED_VALUE"""),"chara_chi_00601")</f>
        <v>chara_chi_00601</v>
      </c>
      <c r="E38" s="248" t="str">
        <f>IFERROR(__xludf.DUMMYFUNCTION("""COMPUTED_VALUE"""),"小紅")</f>
        <v>小紅</v>
      </c>
      <c r="F38" s="248" t="str">
        <f>IFERROR(__xludf.DUMMYFUNCTION("""COMPUTED_VALUE"""),"選定中")</f>
        <v>選定中</v>
      </c>
      <c r="G38" s="248"/>
      <c r="H38" s="248" t="str">
        <f>IFERROR(__xludf.DUMMYFUNCTION("""COMPUTED_VALUE"""),"SR")</f>
        <v>SR</v>
      </c>
      <c r="I38" s="248" t="str">
        <f>IFERROR(__xludf.DUMMYFUNCTION("""COMPUTED_VALUE"""),"DropSR")</f>
        <v>DropSR</v>
      </c>
      <c r="J38" s="248" t="str">
        <f>IFERROR(__xludf.DUMMYFUNCTION("""COMPUTED_VALUE"""),"調整中")</f>
        <v>調整中</v>
      </c>
      <c r="K38" s="248" t="str">
        <f>IFERROR(__xludf.DUMMYFUNCTION("""COMPUTED_VALUE"""),"chara")</f>
        <v>chara</v>
      </c>
      <c r="L38" s="250" t="str">
        <f>IFERROR(__xludf.DUMMYFUNCTION("""COMPUTED_VALUE"""),"調整中")</f>
        <v>調整中</v>
      </c>
      <c r="M38" s="250"/>
      <c r="N38" s="250"/>
      <c r="O38" s="248"/>
      <c r="P38" s="248"/>
      <c r="Q38" s="248" t="str">
        <f>IFERROR(__xludf.DUMMYFUNCTION("""COMPUTED_VALUE"""),"1.30")</f>
        <v>1.30</v>
      </c>
      <c r="R38" s="248" t="str">
        <f>IFERROR(__xludf.DUMMYFUNCTION("""COMPUTED_VALUE"""),"stop有:1回目 0.36")</f>
        <v>stop有:1回目 0.36</v>
      </c>
      <c r="S38" s="246" t="str">
        <f>IFERROR(__xludf.DUMMYFUNCTION("""COMPUTED_VALUE"""),"2.07")</f>
        <v>2.07</v>
      </c>
      <c r="T38" s="246" t="str">
        <f>IFERROR(__xludf.DUMMYFUNCTION("""COMPUTED_VALUE"""),"stop有:1回目 1.20")</f>
        <v>stop有:1回目 1.20</v>
      </c>
      <c r="U38" s="246" t="str">
        <f>IFERROR(__xludf.DUMMYFUNCTION("""COMPUTED_VALUE"""),"実装未定")</f>
        <v>実装未定</v>
      </c>
      <c r="V38" s="246">
        <f>IFERROR(__xludf.DUMMYFUNCTION("""COMPUTED_VALUE"""),390812.49998842593)</f>
        <v>390812.5</v>
      </c>
      <c r="W38" s="246"/>
      <c r="X38" s="246" t="str">
        <f>IFERROR(__xludf.DUMMYFUNCTION("""COMPUTED_VALUE"""),"enemy_icon_chara_chi_00601")</f>
        <v>enemy_icon_chara_chi_00601</v>
      </c>
      <c r="Y38" s="246" t="str">
        <f>IFERROR(__xludf.DUMMYFUNCTION("""COMPUTED_VALUE"""),"boss_icon_chara_chi_00601")</f>
        <v>boss_icon_chara_chi_00601</v>
      </c>
      <c r="Z38" s="246"/>
    </row>
    <row r="39">
      <c r="A39" s="247" t="str">
        <f>IFERROR(__xludf.DUMMYFUNCTION("""COMPUTED_VALUE"""),"chi")</f>
        <v>chi</v>
      </c>
      <c r="B39" s="248" t="str">
        <f>IFERROR(__xludf.DUMMYFUNCTION("""COMPUTED_VALUE"""),"チェンソーマン")</f>
        <v>チェンソーマン</v>
      </c>
      <c r="C39" s="248" t="str">
        <f>IFERROR(__xludf.DUMMYFUNCTION("""COMPUTED_VALUE"""),"00701")</f>
        <v>00701</v>
      </c>
      <c r="D39" s="249" t="str">
        <f>IFERROR(__xludf.DUMMYFUNCTION("""COMPUTED_VALUE"""),"chara_chi_00701")</f>
        <v>chara_chi_00701</v>
      </c>
      <c r="E39" s="248" t="str">
        <f>IFERROR(__xludf.DUMMYFUNCTION("""COMPUTED_VALUE"""),"沢渡 アカネ")</f>
        <v>沢渡 アカネ</v>
      </c>
      <c r="F39" s="248" t="str">
        <f>IFERROR(__xludf.DUMMYFUNCTION("""COMPUTED_VALUE"""),"選定中")</f>
        <v>選定中</v>
      </c>
      <c r="G39" s="248"/>
      <c r="H39" s="248" t="str">
        <f>IFERROR(__xludf.DUMMYFUNCTION("""COMPUTED_VALUE"""),"SR")</f>
        <v>SR</v>
      </c>
      <c r="I39" s="248" t="str">
        <f>IFERROR(__xludf.DUMMYFUNCTION("""COMPUTED_VALUE"""),"DropSR")</f>
        <v>DropSR</v>
      </c>
      <c r="J39" s="248" t="str">
        <f>IFERROR(__xludf.DUMMYFUNCTION("""COMPUTED_VALUE"""),"調整中")</f>
        <v>調整中</v>
      </c>
      <c r="K39" s="248" t="str">
        <f>IFERROR(__xludf.DUMMYFUNCTION("""COMPUTED_VALUE"""),"chara")</f>
        <v>chara</v>
      </c>
      <c r="L39" s="250" t="str">
        <f>IFERROR(__xludf.DUMMYFUNCTION("""COMPUTED_VALUE"""),"調整中")</f>
        <v>調整中</v>
      </c>
      <c r="M39" s="250"/>
      <c r="N39" s="250"/>
      <c r="O39" s="248"/>
      <c r="P39" s="248"/>
      <c r="Q39" s="248" t="str">
        <f>IFERROR(__xludf.DUMMYFUNCTION("""COMPUTED_VALUE"""),"1.2")</f>
        <v>1.2</v>
      </c>
      <c r="R39" s="248" t="str">
        <f>IFERROR(__xludf.DUMMYFUNCTION("""COMPUTED_VALUE"""),"0.27")</f>
        <v>0.27</v>
      </c>
      <c r="S39" s="246" t="str">
        <f>IFERROR(__xludf.DUMMYFUNCTION("""COMPUTED_VALUE"""),"2.27")</f>
        <v>2.27</v>
      </c>
      <c r="T39" s="246" t="str">
        <f>IFERROR(__xludf.DUMMYFUNCTION("""COMPUTED_VALUE"""),"stop有:0.86")</f>
        <v>stop有:0.86</v>
      </c>
      <c r="U39" s="246" t="str">
        <f>IFERROR(__xludf.DUMMYFUNCTION("""COMPUTED_VALUE"""),"実装未定")</f>
        <v>実装未定</v>
      </c>
      <c r="V39" s="246">
        <f>IFERROR(__xludf.DUMMYFUNCTION("""COMPUTED_VALUE"""),390812.49998842593)</f>
        <v>390812.5</v>
      </c>
      <c r="W39" s="246"/>
      <c r="X39" s="246" t="str">
        <f>IFERROR(__xludf.DUMMYFUNCTION("""COMPUTED_VALUE"""),"enemy_icon_chara_chi_00701")</f>
        <v>enemy_icon_chara_chi_00701</v>
      </c>
      <c r="Y39" s="246" t="str">
        <f>IFERROR(__xludf.DUMMYFUNCTION("""COMPUTED_VALUE"""),"boss_icon_chara_chi_00701")</f>
        <v>boss_icon_chara_chi_00701</v>
      </c>
      <c r="Z39" s="246"/>
    </row>
    <row r="40">
      <c r="A40" s="247" t="str">
        <f>IFERROR(__xludf.DUMMYFUNCTION("""COMPUTED_VALUE"""),"chi")</f>
        <v>chi</v>
      </c>
      <c r="B40" s="248" t="str">
        <f>IFERROR(__xludf.DUMMYFUNCTION("""COMPUTED_VALUE"""),"チェンソーマン")</f>
        <v>チェンソーマン</v>
      </c>
      <c r="C40" s="248" t="str">
        <f>IFERROR(__xludf.DUMMYFUNCTION("""COMPUTED_VALUE"""),"00801")</f>
        <v>00801</v>
      </c>
      <c r="D40" s="249" t="str">
        <f>IFERROR(__xludf.DUMMYFUNCTION("""COMPUTED_VALUE"""),"chara_chi_00801")</f>
        <v>chara_chi_00801</v>
      </c>
      <c r="E40" s="248" t="str">
        <f>IFERROR(__xludf.DUMMYFUNCTION("""COMPUTED_VALUE"""),"サムライソード")</f>
        <v>サムライソード</v>
      </c>
      <c r="F40" s="248" t="str">
        <f>IFERROR(__xludf.DUMMYFUNCTION("""COMPUTED_VALUE"""),"選定中")</f>
        <v>選定中</v>
      </c>
      <c r="G40" s="248"/>
      <c r="H40" s="248" t="str">
        <f>IFERROR(__xludf.DUMMYFUNCTION("""COMPUTED_VALUE"""),"SR")</f>
        <v>SR</v>
      </c>
      <c r="I40" s="248" t="str">
        <f>IFERROR(__xludf.DUMMYFUNCTION("""COMPUTED_VALUE"""),"DropSR")</f>
        <v>DropSR</v>
      </c>
      <c r="J40" s="248" t="str">
        <f>IFERROR(__xludf.DUMMYFUNCTION("""COMPUTED_VALUE"""),"調整中")</f>
        <v>調整中</v>
      </c>
      <c r="K40" s="248" t="str">
        <f>IFERROR(__xludf.DUMMYFUNCTION("""COMPUTED_VALUE"""),"chara")</f>
        <v>chara</v>
      </c>
      <c r="L40" s="250" t="str">
        <f>IFERROR(__xludf.DUMMYFUNCTION("""COMPUTED_VALUE"""),"調整中")</f>
        <v>調整中</v>
      </c>
      <c r="M40" s="250"/>
      <c r="N40" s="250"/>
      <c r="O40" s="248"/>
      <c r="P40" s="248"/>
      <c r="Q40" s="248" t="str">
        <f>IFERROR(__xludf.DUMMYFUNCTION("""COMPUTED_VALUE"""),"1.37")</f>
        <v>1.37</v>
      </c>
      <c r="R40" s="248" t="str">
        <f>IFERROR(__xludf.DUMMYFUNCTION("""COMPUTED_VALUE"""),"stop有:1回目0.58")</f>
        <v>stop有:1回目0.58</v>
      </c>
      <c r="S40" s="246" t="str">
        <f>IFERROR(__xludf.DUMMYFUNCTION("""COMPUTED_VALUE"""),"2.07")</f>
        <v>2.07</v>
      </c>
      <c r="T40" s="246" t="str">
        <f>IFERROR(__xludf.DUMMYFUNCTION("""COMPUTED_VALUE"""),"stop有:1回目0.91")</f>
        <v>stop有:1回目0.91</v>
      </c>
      <c r="U40" s="246" t="str">
        <f>IFERROR(__xludf.DUMMYFUNCTION("""COMPUTED_VALUE"""),"実装未定")</f>
        <v>実装未定</v>
      </c>
      <c r="V40" s="246">
        <f>IFERROR(__xludf.DUMMYFUNCTION("""COMPUTED_VALUE"""),390812.49998842593)</f>
        <v>390812.5</v>
      </c>
      <c r="W40" s="246"/>
      <c r="X40" s="246" t="str">
        <f>IFERROR(__xludf.DUMMYFUNCTION("""COMPUTED_VALUE"""),"enemy_icon_chara_chi_00801")</f>
        <v>enemy_icon_chara_chi_00801</v>
      </c>
      <c r="Y40" s="246" t="str">
        <f>IFERROR(__xludf.DUMMYFUNCTION("""COMPUTED_VALUE"""),"boss_icon_chara_chi_00801")</f>
        <v>boss_icon_chara_chi_00801</v>
      </c>
      <c r="Z40" s="246"/>
    </row>
    <row r="41">
      <c r="A41" s="247" t="str">
        <f>IFERROR(__xludf.DUMMYFUNCTION("""COMPUTED_VALUE"""),"chi")</f>
        <v>chi</v>
      </c>
      <c r="B41" s="248" t="str">
        <f>IFERROR(__xludf.DUMMYFUNCTION("""COMPUTED_VALUE"""),"チェンソーマン")</f>
        <v>チェンソーマン</v>
      </c>
      <c r="C41" s="248" t="str">
        <f>IFERROR(__xludf.DUMMYFUNCTION("""COMPUTED_VALUE"""),"00901")</f>
        <v>00901</v>
      </c>
      <c r="D41" s="249" t="str">
        <f>IFERROR(__xludf.DUMMYFUNCTION("""COMPUTED_VALUE"""),"chara_chi_00901")</f>
        <v>chara_chi_00901</v>
      </c>
      <c r="E41" s="248" t="str">
        <f>IFERROR(__xludf.DUMMYFUNCTION("""COMPUTED_VALUE"""),"レゼ")</f>
        <v>レゼ</v>
      </c>
      <c r="F41" s="248" t="str">
        <f>IFERROR(__xludf.DUMMYFUNCTION("""COMPUTED_VALUE"""),"選定中")</f>
        <v>選定中</v>
      </c>
      <c r="G41" s="248"/>
      <c r="H41" s="248" t="str">
        <f>IFERROR(__xludf.DUMMYFUNCTION("""COMPUTED_VALUE"""),"UR")</f>
        <v>UR</v>
      </c>
      <c r="I41" s="248"/>
      <c r="J41" s="248"/>
      <c r="K41" s="248" t="str">
        <f>IFERROR(__xludf.DUMMYFUNCTION("""COMPUTED_VALUE"""),"chara")</f>
        <v>chara</v>
      </c>
      <c r="L41" s="250"/>
      <c r="M41" s="250"/>
      <c r="N41" s="250"/>
      <c r="O41" s="248"/>
      <c r="P41" s="248"/>
      <c r="Q41" s="248" t="str">
        <f>IFERROR(__xludf.DUMMYFUNCTION("""COMPUTED_VALUE"""),"1.23")</f>
        <v>1.23</v>
      </c>
      <c r="R41" s="248" t="str">
        <f>IFERROR(__xludf.DUMMYFUNCTION("""COMPUTED_VALUE"""),"stop有:1回目0.35")</f>
        <v>stop有:1回目0.35</v>
      </c>
      <c r="S41" s="246" t="str">
        <f>IFERROR(__xludf.DUMMYFUNCTION("""COMPUTED_VALUE"""),"4.63")</f>
        <v>4.63</v>
      </c>
      <c r="T41" s="246" t="str">
        <f>IFERROR(__xludf.DUMMYFUNCTION("""COMPUTED_VALUE"""),"stop有:1回目2.16")</f>
        <v>stop有:1回目2.16</v>
      </c>
      <c r="U41" s="246"/>
      <c r="V41" s="246"/>
      <c r="W41" s="246"/>
      <c r="X41" s="246"/>
      <c r="Y41" s="246"/>
      <c r="Z41" s="246"/>
    </row>
    <row r="42">
      <c r="A42" s="247" t="str">
        <f>IFERROR(__xludf.DUMMYFUNCTION("""COMPUTED_VALUE"""),"bat")</f>
        <v>bat</v>
      </c>
      <c r="B42" s="248" t="str">
        <f>IFERROR(__xludf.DUMMYFUNCTION("""COMPUTED_VALUE"""),"忘却バッテリー")</f>
        <v>忘却バッテリー</v>
      </c>
      <c r="C42" s="248" t="str">
        <f>IFERROR(__xludf.DUMMYFUNCTION("""COMPUTED_VALUE"""),"00001")</f>
        <v>00001</v>
      </c>
      <c r="D42" s="249" t="str">
        <f>IFERROR(__xludf.DUMMYFUNCTION("""COMPUTED_VALUE"""),"chara_bat_00001")</f>
        <v>chara_bat_00001</v>
      </c>
      <c r="E42" s="248" t="str">
        <f>IFERROR(__xludf.DUMMYFUNCTION("""COMPUTED_VALUE"""),"清峰 葉流火")</f>
        <v>清峰 葉流火</v>
      </c>
      <c r="F42" s="248" t="str">
        <f>IFERROR(__xludf.DUMMYFUNCTION("""COMPUTED_VALUE"""),"清峰 葉流火")</f>
        <v>清峰 葉流火</v>
      </c>
      <c r="G42" s="248" t="str">
        <f>IFERROR(__xludf.DUMMYFUNCTION("""COMPUTED_VALUE"""),"負ける気なんて毛頭ない")</f>
        <v>負ける気なんて毛頭ない</v>
      </c>
      <c r="H42" s="248" t="str">
        <f>IFERROR(__xludf.DUMMYFUNCTION("""COMPUTED_VALUE"""),"SR")</f>
        <v>SR</v>
      </c>
      <c r="I42" s="248" t="str">
        <f>IFERROR(__xludf.DUMMYFUNCTION("""COMPUTED_VALUE"""),"PremiumSR")</f>
        <v>PremiumSR</v>
      </c>
      <c r="J42" s="248" t="str">
        <f>IFERROR(__xludf.DUMMYFUNCTION("""COMPUTED_VALUE"""),"赤")</f>
        <v>赤</v>
      </c>
      <c r="K42" s="248" t="str">
        <f>IFERROR(__xludf.DUMMYFUNCTION("""COMPUTED_VALUE"""),"chara")</f>
        <v>chara</v>
      </c>
      <c r="L42" s="250" t="str">
        <f>IFERROR(__xludf.DUMMYFUNCTION("""COMPUTED_VALUE"""),"アタック")</f>
        <v>アタック</v>
      </c>
      <c r="M42" s="250" t="str">
        <f>IFERROR(__xludf.DUMMYFUNCTION("""COMPUTED_VALUE"""),"dageki_1")</f>
        <v>dageki_1</v>
      </c>
      <c r="N42" s="250" t="str">
        <f>IFERROR(__xludf.DUMMYFUNCTION("""COMPUTED_VALUE"""),"Long")</f>
        <v>Long</v>
      </c>
      <c r="O42" s="248" t="str">
        <f>IFERROR(__xludf.DUMMYFUNCTION("""COMPUTED_VALUE"""),"dageki_2")</f>
        <v>dageki_2</v>
      </c>
      <c r="P42" s="248" t="str">
        <f>IFERROR(__xludf.DUMMYFUNCTION("""COMPUTED_VALUE"""),"00001")</f>
        <v>00001</v>
      </c>
      <c r="Q42" s="248" t="str">
        <f>IFERROR(__xludf.DUMMYFUNCTION("""COMPUTED_VALUE"""),"1.97")</f>
        <v>1.97</v>
      </c>
      <c r="R42" s="248" t="str">
        <f>IFERROR(__xludf.DUMMYFUNCTION("""COMPUTED_VALUE"""),"0.70")</f>
        <v>0.70</v>
      </c>
      <c r="S42" s="246" t="str">
        <f>IFERROR(__xludf.DUMMYFUNCTION("""COMPUTED_VALUE"""),"2.07")</f>
        <v>2.07</v>
      </c>
      <c r="T42" s="246" t="str">
        <f>IFERROR(__xludf.DUMMYFUNCTION("""COMPUTED_VALUE"""),"0.96")</f>
        <v>0.96</v>
      </c>
      <c r="U42" s="246">
        <f>IFERROR(__xludf.DUMMYFUNCTION("""COMPUTED_VALUE"""),45922.458333333336)</f>
        <v>45922.45833</v>
      </c>
      <c r="V42" s="246">
        <f>IFERROR(__xludf.DUMMYFUNCTION("""COMPUTED_VALUE"""),390812.49998842593)</f>
        <v>390812.5</v>
      </c>
      <c r="W42" s="246" t="str">
        <f>IFERROR(__xludf.DUMMYFUNCTION("""COMPUTED_VALUE"""),"catchcopy_character_chara_bat_00001.png")</f>
        <v>catchcopy_character_chara_bat_00001.png</v>
      </c>
      <c r="X42" s="246" t="str">
        <f>IFERROR(__xludf.DUMMYFUNCTION("""COMPUTED_VALUE"""),"enemy_icon_chara_bat_00001")</f>
        <v>enemy_icon_chara_bat_00001</v>
      </c>
      <c r="Y42" s="246" t="str">
        <f>IFERROR(__xludf.DUMMYFUNCTION("""COMPUTED_VALUE"""),"boss_icon_chara_bat_00001")</f>
        <v>boss_icon_chara_bat_00001</v>
      </c>
      <c r="Z42" s="246" t="str">
        <f>IFERROR(__xludf.DUMMYFUNCTION("""COMPUTED_VALUE"""),"chara_bat_00001_normal")</f>
        <v>chara_bat_00001_normal</v>
      </c>
    </row>
    <row r="43">
      <c r="A43" s="247" t="str">
        <f>IFERROR(__xludf.DUMMYFUNCTION("""COMPUTED_VALUE"""),"bat")</f>
        <v>bat</v>
      </c>
      <c r="B43" s="248" t="str">
        <f>IFERROR(__xludf.DUMMYFUNCTION("""COMPUTED_VALUE"""),"忘却バッテリー")</f>
        <v>忘却バッテリー</v>
      </c>
      <c r="C43" s="248" t="str">
        <f>IFERROR(__xludf.DUMMYFUNCTION("""COMPUTED_VALUE"""),"00101")</f>
        <v>00101</v>
      </c>
      <c r="D43" s="249" t="str">
        <f>IFERROR(__xludf.DUMMYFUNCTION("""COMPUTED_VALUE"""),"chara_bat_00101")</f>
        <v>chara_bat_00101</v>
      </c>
      <c r="E43" s="248" t="str">
        <f>IFERROR(__xludf.DUMMYFUNCTION("""COMPUTED_VALUE"""),"要 圭")</f>
        <v>要 圭</v>
      </c>
      <c r="F43" s="248" t="str">
        <f>IFERROR(__xludf.DUMMYFUNCTION("""COMPUTED_VALUE"""),"要 圭")</f>
        <v>要 圭</v>
      </c>
      <c r="G43" s="248" t="str">
        <f>IFERROR(__xludf.DUMMYFUNCTION("""COMPUTED_VALUE"""),"天才捕手 要圭")</f>
        <v>天才捕手 要圭</v>
      </c>
      <c r="H43" s="248" t="str">
        <f>IFERROR(__xludf.DUMMYFUNCTION("""COMPUTED_VALUE"""),"SR")</f>
        <v>SR</v>
      </c>
      <c r="I43" s="248" t="str">
        <f>IFERROR(__xludf.DUMMYFUNCTION("""COMPUTED_VALUE"""),"PremiumSR")</f>
        <v>PremiumSR</v>
      </c>
      <c r="J43" s="248" t="str">
        <f>IFERROR(__xludf.DUMMYFUNCTION("""COMPUTED_VALUE"""),"赤")</f>
        <v>赤</v>
      </c>
      <c r="K43" s="248" t="str">
        <f>IFERROR(__xludf.DUMMYFUNCTION("""COMPUTED_VALUE"""),"chara")</f>
        <v>chara</v>
      </c>
      <c r="L43" s="250" t="str">
        <f>IFERROR(__xludf.DUMMYFUNCTION("""COMPUTED_VALUE"""),"ディフェンス")</f>
        <v>ディフェンス</v>
      </c>
      <c r="M43" s="250" t="str">
        <f>IFERROR(__xludf.DUMMYFUNCTION("""COMPUTED_VALUE"""),"dageki_1")</f>
        <v>dageki_1</v>
      </c>
      <c r="N43" s="250" t="str">
        <f>IFERROR(__xludf.DUMMYFUNCTION("""COMPUTED_VALUE"""),"Middle")</f>
        <v>Middle</v>
      </c>
      <c r="O43" s="248" t="str">
        <f>IFERROR(__xludf.DUMMYFUNCTION("""COMPUTED_VALUE"""),"-")</f>
        <v>-</v>
      </c>
      <c r="P43" s="248" t="str">
        <f>IFERROR(__xludf.DUMMYFUNCTION("""COMPUTED_VALUE"""),"00101")</f>
        <v>00101</v>
      </c>
      <c r="Q43" s="248"/>
      <c r="R43" s="248" t="str">
        <f>IFERROR(__xludf.DUMMYFUNCTION("""COMPUTED_VALUE"""),"0.75")</f>
        <v>0.75</v>
      </c>
      <c r="S43" s="246" t="str">
        <f>IFERROR(__xludf.DUMMYFUNCTION("""COMPUTED_VALUE"""),"3.00")</f>
        <v>3.00</v>
      </c>
      <c r="T43" s="246" t="str">
        <f>IFERROR(__xludf.DUMMYFUNCTION("""COMPUTED_VALUE"""),"1.20")</f>
        <v>1.20</v>
      </c>
      <c r="U43" s="246">
        <f>IFERROR(__xludf.DUMMYFUNCTION("""COMPUTED_VALUE"""),45922.458333333336)</f>
        <v>45922.45833</v>
      </c>
      <c r="V43" s="246">
        <f>IFERROR(__xludf.DUMMYFUNCTION("""COMPUTED_VALUE"""),390812.49998842593)</f>
        <v>390812.5</v>
      </c>
      <c r="W43" s="246" t="str">
        <f>IFERROR(__xludf.DUMMYFUNCTION("""COMPUTED_VALUE"""),"catchcopy_character_chara_bat_00101.png")</f>
        <v>catchcopy_character_chara_bat_00101.png</v>
      </c>
      <c r="X43" s="246" t="str">
        <f>IFERROR(__xludf.DUMMYFUNCTION("""COMPUTED_VALUE"""),"enemy_icon_chara_bat_00101")</f>
        <v>enemy_icon_chara_bat_00101</v>
      </c>
      <c r="Y43" s="246" t="str">
        <f>IFERROR(__xludf.DUMMYFUNCTION("""COMPUTED_VALUE"""),"boss_icon_chara_bat_00101")</f>
        <v>boss_icon_chara_bat_00101</v>
      </c>
      <c r="Z43" s="246" t="str">
        <f>IFERROR(__xludf.DUMMYFUNCTION("""COMPUTED_VALUE"""),"chara_bat_00101_normal")</f>
        <v>chara_bat_00101_normal</v>
      </c>
    </row>
    <row r="44">
      <c r="A44" s="247" t="str">
        <f>IFERROR(__xludf.DUMMYFUNCTION("""COMPUTED_VALUE"""),"bat")</f>
        <v>bat</v>
      </c>
      <c r="B44" s="248" t="str">
        <f>IFERROR(__xludf.DUMMYFUNCTION("""COMPUTED_VALUE"""),"忘却バッテリー")</f>
        <v>忘却バッテリー</v>
      </c>
      <c r="C44" s="248" t="str">
        <f>IFERROR(__xludf.DUMMYFUNCTION("""COMPUTED_VALUE"""),"00102")</f>
        <v>00102</v>
      </c>
      <c r="D44" s="249" t="str">
        <f>IFERROR(__xludf.DUMMYFUNCTION("""COMPUTED_VALUE"""),"chara_bat_00102")</f>
        <v>chara_bat_00102</v>
      </c>
      <c r="E44" s="248" t="str">
        <f>IFERROR(__xludf.DUMMYFUNCTION("""COMPUTED_VALUE"""),"智将 要 圭")</f>
        <v>智将 要 圭</v>
      </c>
      <c r="F44" s="248" t="str">
        <f>IFERROR(__xludf.DUMMYFUNCTION("""COMPUTED_VALUE"""),"選定中")</f>
        <v>選定中</v>
      </c>
      <c r="G44" s="248"/>
      <c r="H44" s="248" t="str">
        <f>IFERROR(__xludf.DUMMYFUNCTION("""COMPUTED_VALUE"""),"UR")</f>
        <v>UR</v>
      </c>
      <c r="I44" s="248" t="str">
        <f>IFERROR(__xludf.DUMMYFUNCTION("""COMPUTED_VALUE"""),"PremiumUR")</f>
        <v>PremiumUR</v>
      </c>
      <c r="J44" s="248" t="str">
        <f>IFERROR(__xludf.DUMMYFUNCTION("""COMPUTED_VALUE"""),"無")</f>
        <v>無</v>
      </c>
      <c r="K44" s="248" t="str">
        <f>IFERROR(__xludf.DUMMYFUNCTION("""COMPUTED_VALUE"""),"chara")</f>
        <v>chara</v>
      </c>
      <c r="L44" s="250" t="str">
        <f>IFERROR(__xludf.DUMMYFUNCTION("""COMPUTED_VALUE"""),"スペシャル")</f>
        <v>スペシャル</v>
      </c>
      <c r="M44" s="250"/>
      <c r="N44" s="250"/>
      <c r="O44" s="248"/>
      <c r="P44" s="248"/>
      <c r="Q44" s="248" t="str">
        <f>IFERROR(__xludf.DUMMYFUNCTION("""COMPUTED_VALUE"""),"-")</f>
        <v>-</v>
      </c>
      <c r="R44" s="248" t="str">
        <f>IFERROR(__xludf.DUMMYFUNCTION("""COMPUTED_VALUE"""),"-")</f>
        <v>-</v>
      </c>
      <c r="S44" s="246" t="str">
        <f>IFERROR(__xludf.DUMMYFUNCTION("""COMPUTED_VALUE"""),"2.5")</f>
        <v>2.5</v>
      </c>
      <c r="T44" s="246" t="str">
        <f>IFERROR(__xludf.DUMMYFUNCTION("""COMPUTED_VALUE"""),"stop無:1回目 1")</f>
        <v>stop無:1回目 1</v>
      </c>
      <c r="U44" s="246"/>
      <c r="V44" s="246"/>
      <c r="W44" s="246"/>
      <c r="X44" s="246"/>
      <c r="Y44" s="246"/>
      <c r="Z44" s="246"/>
    </row>
    <row r="45">
      <c r="A45" s="247" t="str">
        <f>IFERROR(__xludf.DUMMYFUNCTION("""COMPUTED_VALUE"""),"bat")</f>
        <v>bat</v>
      </c>
      <c r="B45" s="248" t="str">
        <f>IFERROR(__xludf.DUMMYFUNCTION("""COMPUTED_VALUE"""),"忘却バッテリー")</f>
        <v>忘却バッテリー</v>
      </c>
      <c r="C45" s="248" t="str">
        <f>IFERROR(__xludf.DUMMYFUNCTION("""COMPUTED_VALUE"""),"00201")</f>
        <v>00201</v>
      </c>
      <c r="D45" s="249" t="str">
        <f>IFERROR(__xludf.DUMMYFUNCTION("""COMPUTED_VALUE"""),"chara_bat_00201")</f>
        <v>chara_bat_00201</v>
      </c>
      <c r="E45" s="248" t="str">
        <f>IFERROR(__xludf.DUMMYFUNCTION("""COMPUTED_VALUE"""),"千早 瞬平")</f>
        <v>千早 瞬平</v>
      </c>
      <c r="F45" s="248" t="str">
        <f>IFERROR(__xludf.DUMMYFUNCTION("""COMPUTED_VALUE"""),"選定中")</f>
        <v>選定中</v>
      </c>
      <c r="G45" s="248"/>
      <c r="H45" s="248" t="str">
        <f>IFERROR(__xludf.DUMMYFUNCTION("""COMPUTED_VALUE"""),"SR")</f>
        <v>SR</v>
      </c>
      <c r="I45" s="248" t="str">
        <f>IFERROR(__xludf.DUMMYFUNCTION("""COMPUTED_VALUE"""),"DropSR")</f>
        <v>DropSR</v>
      </c>
      <c r="J45" s="248" t="str">
        <f>IFERROR(__xludf.DUMMYFUNCTION("""COMPUTED_VALUE"""),"緑")</f>
        <v>緑</v>
      </c>
      <c r="K45" s="248" t="str">
        <f>IFERROR(__xludf.DUMMYFUNCTION("""COMPUTED_VALUE"""),"chara")</f>
        <v>chara</v>
      </c>
      <c r="L45" s="250"/>
      <c r="M45" s="250"/>
      <c r="N45" s="250"/>
      <c r="O45" s="248"/>
      <c r="P45" s="248"/>
      <c r="Q45" s="248" t="str">
        <f>IFERROR(__xludf.DUMMYFUNCTION("""COMPUTED_VALUE"""),"1.55")</f>
        <v>1.55</v>
      </c>
      <c r="R45" s="248" t="str">
        <f>IFERROR(__xludf.DUMMYFUNCTION("""COMPUTED_VALUE"""),"stop有:1回目 0.38")</f>
        <v>stop有:1回目 0.38</v>
      </c>
      <c r="S45" s="246" t="str">
        <f>IFERROR(__xludf.DUMMYFUNCTION("""COMPUTED_VALUE"""),"2.65")</f>
        <v>2.65</v>
      </c>
      <c r="T45" s="246" t="str">
        <f>IFERROR(__xludf.DUMMYFUNCTION("""COMPUTED_VALUE"""),"stop有:1回目 1.08")</f>
        <v>stop有:1回目 1.08</v>
      </c>
      <c r="U45" s="246"/>
      <c r="V45" s="246"/>
      <c r="W45" s="246"/>
      <c r="X45" s="246"/>
      <c r="Y45" s="246"/>
      <c r="Z45" s="246"/>
    </row>
    <row r="46">
      <c r="A46" s="247" t="str">
        <f>IFERROR(__xludf.DUMMYFUNCTION("""COMPUTED_VALUE"""),"bat")</f>
        <v>bat</v>
      </c>
      <c r="B46" s="248" t="str">
        <f>IFERROR(__xludf.DUMMYFUNCTION("""COMPUTED_VALUE"""),"忘却バッテリー")</f>
        <v>忘却バッテリー</v>
      </c>
      <c r="C46" s="248" t="str">
        <f>IFERROR(__xludf.DUMMYFUNCTION("""COMPUTED_VALUE"""),"00301")</f>
        <v>00301</v>
      </c>
      <c r="D46" s="249" t="str">
        <f>IFERROR(__xludf.DUMMYFUNCTION("""COMPUTED_VALUE"""),"chara_bat_00301")</f>
        <v>chara_bat_00301</v>
      </c>
      <c r="E46" s="248" t="str">
        <f>IFERROR(__xludf.DUMMYFUNCTION("""COMPUTED_VALUE"""),"藤堂 葵")</f>
        <v>藤堂 葵</v>
      </c>
      <c r="F46" s="248" t="str">
        <f>IFERROR(__xludf.DUMMYFUNCTION("""COMPUTED_VALUE"""),"選定中")</f>
        <v>選定中</v>
      </c>
      <c r="G46" s="248"/>
      <c r="H46" s="248" t="str">
        <f>IFERROR(__xludf.DUMMYFUNCTION("""COMPUTED_VALUE"""),"SR")</f>
        <v>SR</v>
      </c>
      <c r="I46" s="248" t="str">
        <f>IFERROR(__xludf.DUMMYFUNCTION("""COMPUTED_VALUE"""),"DropSR")</f>
        <v>DropSR</v>
      </c>
      <c r="J46" s="248" t="str">
        <f>IFERROR(__xludf.DUMMYFUNCTION("""COMPUTED_VALUE"""),"青")</f>
        <v>青</v>
      </c>
      <c r="K46" s="248" t="str">
        <f>IFERROR(__xludf.DUMMYFUNCTION("""COMPUTED_VALUE"""),"chara")</f>
        <v>chara</v>
      </c>
      <c r="L46" s="250"/>
      <c r="M46" s="250"/>
      <c r="N46" s="250"/>
      <c r="O46" s="248"/>
      <c r="P46" s="248"/>
      <c r="Q46" s="248" t="str">
        <f>IFERROR(__xludf.DUMMYFUNCTION("""COMPUTED_VALUE"""),"1.77")</f>
        <v>1.77</v>
      </c>
      <c r="R46" s="248" t="str">
        <f>IFERROR(__xludf.DUMMYFUNCTION("""COMPUTED_VALUE"""),"stop有:1回目 0.7")</f>
        <v>stop有:1回目 0.7</v>
      </c>
      <c r="S46" s="246" t="str">
        <f>IFERROR(__xludf.DUMMYFUNCTION("""COMPUTED_VALUE"""),"2.67")</f>
        <v>2.67</v>
      </c>
      <c r="T46" s="246" t="str">
        <f>IFERROR(__xludf.DUMMYFUNCTION("""COMPUTED_VALUE"""),"stop有:1回目 1.15")</f>
        <v>stop有:1回目 1.15</v>
      </c>
      <c r="U46" s="246"/>
      <c r="V46" s="246"/>
      <c r="W46" s="246"/>
      <c r="X46" s="246"/>
      <c r="Y46" s="246"/>
      <c r="Z46" s="246"/>
    </row>
    <row r="47">
      <c r="A47" s="247" t="str">
        <f>IFERROR(__xludf.DUMMYFUNCTION("""COMPUTED_VALUE"""),"kai")</f>
        <v>kai</v>
      </c>
      <c r="B47" s="248" t="str">
        <f>IFERROR(__xludf.DUMMYFUNCTION("""COMPUTED_VALUE"""),"怪獣８号")</f>
        <v>怪獣８号</v>
      </c>
      <c r="C47" s="248" t="str">
        <f>IFERROR(__xludf.DUMMYFUNCTION("""COMPUTED_VALUE"""),"00001")</f>
        <v>00001</v>
      </c>
      <c r="D47" s="249" t="str">
        <f>IFERROR(__xludf.DUMMYFUNCTION("""COMPUTED_VALUE"""),"chara_kai_00001")</f>
        <v>chara_kai_00001</v>
      </c>
      <c r="E47" s="248" t="str">
        <f>IFERROR(__xludf.DUMMYFUNCTION("""COMPUTED_VALUE"""),"日比野 カフカ")</f>
        <v>日比野 カフカ</v>
      </c>
      <c r="F47" s="248" t="str">
        <f>IFERROR(__xludf.DUMMYFUNCTION("""COMPUTED_VALUE"""),"日比野 カフカ")</f>
        <v>日比野 カフカ</v>
      </c>
      <c r="G47" s="248" t="str">
        <f>IFERROR(__xludf.DUMMYFUNCTION("""COMPUTED_VALUE"""),"部分変身!!")</f>
        <v>部分変身!!</v>
      </c>
      <c r="H47" s="248" t="str">
        <f>IFERROR(__xludf.DUMMYFUNCTION("""COMPUTED_VALUE"""),"R")</f>
        <v>R</v>
      </c>
      <c r="I47" s="248" t="str">
        <f>IFERROR(__xludf.DUMMYFUNCTION("""COMPUTED_VALUE"""),"PremiumR")</f>
        <v>PremiumR</v>
      </c>
      <c r="J47" s="248" t="str">
        <f>IFERROR(__xludf.DUMMYFUNCTION("""COMPUTED_VALUE"""),"黄")</f>
        <v>黄</v>
      </c>
      <c r="K47" s="248" t="str">
        <f>IFERROR(__xludf.DUMMYFUNCTION("""COMPUTED_VALUE"""),"chara")</f>
        <v>chara</v>
      </c>
      <c r="L47" s="250" t="str">
        <f>IFERROR(__xludf.DUMMYFUNCTION("""COMPUTED_VALUE"""),"アタック")</f>
        <v>アタック</v>
      </c>
      <c r="M47" s="250" t="str">
        <f>IFERROR(__xludf.DUMMYFUNCTION("""COMPUTED_VALUE"""),"dageki_1")</f>
        <v>dageki_1</v>
      </c>
      <c r="N47" s="250" t="str">
        <f>IFERROR(__xludf.DUMMYFUNCTION("""COMPUTED_VALUE"""),"Short")</f>
        <v>Short</v>
      </c>
      <c r="O47" s="248" t="str">
        <f>IFERROR(__xludf.DUMMYFUNCTION("""COMPUTED_VALUE"""),"-")</f>
        <v>-</v>
      </c>
      <c r="P47" s="248" t="str">
        <f>IFERROR(__xludf.DUMMYFUNCTION("""COMPUTED_VALUE"""),"00001")</f>
        <v>00001</v>
      </c>
      <c r="Q47" s="248" t="str">
        <f>IFERROR(__xludf.DUMMYFUNCTION("""COMPUTED_VALUE"""),"1.83")</f>
        <v>1.83</v>
      </c>
      <c r="R47" s="248" t="str">
        <f>IFERROR(__xludf.DUMMYFUNCTION("""COMPUTED_VALUE"""),"1.00")</f>
        <v>1.00</v>
      </c>
      <c r="S47" s="246" t="str">
        <f>IFERROR(__xludf.DUMMYFUNCTION("""COMPUTED_VALUE"""),"2.33")</f>
        <v>2.33</v>
      </c>
      <c r="T47" s="246" t="str">
        <f>IFERROR(__xludf.DUMMYFUNCTION("""COMPUTED_VALUE"""),"1.33")</f>
        <v>1.33</v>
      </c>
      <c r="U47" s="246">
        <f>IFERROR(__xludf.DUMMYFUNCTION("""COMPUTED_VALUE"""),45922.458333333336)</f>
        <v>45922.45833</v>
      </c>
      <c r="V47" s="246">
        <f>IFERROR(__xludf.DUMMYFUNCTION("""COMPUTED_VALUE"""),390812.49998842593)</f>
        <v>390812.5</v>
      </c>
      <c r="W47" s="246" t="str">
        <f>IFERROR(__xludf.DUMMYFUNCTION("""COMPUTED_VALUE"""),"catchcopy_character_chara_kai_00001.png")</f>
        <v>catchcopy_character_chara_kai_00001.png</v>
      </c>
      <c r="X47" s="246" t="str">
        <f>IFERROR(__xludf.DUMMYFUNCTION("""COMPUTED_VALUE"""),"enemy_icon_chara_kai_00001")</f>
        <v>enemy_icon_chara_kai_00001</v>
      </c>
      <c r="Y47" s="246" t="str">
        <f>IFERROR(__xludf.DUMMYFUNCTION("""COMPUTED_VALUE"""),"boss_icon_chara_kai_00001")</f>
        <v>boss_icon_chara_kai_00001</v>
      </c>
      <c r="Z47" s="246"/>
    </row>
    <row r="48">
      <c r="A48" s="247" t="str">
        <f>IFERROR(__xludf.DUMMYFUNCTION("""COMPUTED_VALUE"""),"kai")</f>
        <v>kai</v>
      </c>
      <c r="B48" s="248" t="str">
        <f>IFERROR(__xludf.DUMMYFUNCTION("""COMPUTED_VALUE"""),"怪獣８号")</f>
        <v>怪獣８号</v>
      </c>
      <c r="C48" s="248" t="str">
        <f>IFERROR(__xludf.DUMMYFUNCTION("""COMPUTED_VALUE"""),"00002")</f>
        <v>00002</v>
      </c>
      <c r="D48" s="249" t="str">
        <f>IFERROR(__xludf.DUMMYFUNCTION("""COMPUTED_VALUE"""),"chara_kai_00002")</f>
        <v>chara_kai_00002</v>
      </c>
      <c r="E48" s="248" t="str">
        <f>IFERROR(__xludf.DUMMYFUNCTION("""COMPUTED_VALUE"""),"隠された英雄の姿 怪獣８号")</f>
        <v>隠された英雄の姿 怪獣８号</v>
      </c>
      <c r="F48" s="248" t="str">
        <f>IFERROR(__xludf.DUMMYFUNCTION("""COMPUTED_VALUE"""),"隠された英雄の姿 怪獣８号")</f>
        <v>隠された英雄の姿 怪獣８号</v>
      </c>
      <c r="G48" s="248" t="str">
        <f>IFERROR(__xludf.DUMMYFUNCTION("""COMPUTED_VALUE"""),"あとは俺に任せろ")</f>
        <v>あとは俺に任せろ</v>
      </c>
      <c r="H48" s="248" t="str">
        <f>IFERROR(__xludf.DUMMYFUNCTION("""COMPUTED_VALUE"""),"UR")</f>
        <v>UR</v>
      </c>
      <c r="I48" s="248" t="str">
        <f>IFERROR(__xludf.DUMMYFUNCTION("""COMPUTED_VALUE"""),"PremiumUR")</f>
        <v>PremiumUR</v>
      </c>
      <c r="J48" s="248" t="str">
        <f>IFERROR(__xludf.DUMMYFUNCTION("""COMPUTED_VALUE"""),"緑")</f>
        <v>緑</v>
      </c>
      <c r="K48" s="248" t="str">
        <f>IFERROR(__xludf.DUMMYFUNCTION("""COMPUTED_VALUE"""),"chara")</f>
        <v>chara</v>
      </c>
      <c r="L48" s="250" t="str">
        <f>IFERROR(__xludf.DUMMYFUNCTION("""COMPUTED_VALUE"""),"アタック")</f>
        <v>アタック</v>
      </c>
      <c r="M48" s="250" t="str">
        <f>IFERROR(__xludf.DUMMYFUNCTION("""COMPUTED_VALUE"""),"dageki_1")</f>
        <v>dageki_1</v>
      </c>
      <c r="N48" s="250" t="str">
        <f>IFERROR(__xludf.DUMMYFUNCTION("""COMPUTED_VALUE"""),"Short")</f>
        <v>Short</v>
      </c>
      <c r="O48" s="248" t="str">
        <f>IFERROR(__xludf.DUMMYFUNCTION("""COMPUTED_VALUE"""),"dageki_2")</f>
        <v>dageki_2</v>
      </c>
      <c r="P48" s="248" t="str">
        <f>IFERROR(__xludf.DUMMYFUNCTION("""COMPUTED_VALUE"""),"00002")</f>
        <v>00002</v>
      </c>
      <c r="Q48" s="248" t="str">
        <f>IFERROR(__xludf.DUMMYFUNCTION("""COMPUTED_VALUE"""),"1.50")</f>
        <v>1.50</v>
      </c>
      <c r="R48" s="248" t="str">
        <f>IFERROR(__xludf.DUMMYFUNCTION("""COMPUTED_VALUE"""),"stop無:1回目 0.54")</f>
        <v>stop無:1回目 0.54</v>
      </c>
      <c r="S48" s="246" t="str">
        <f>IFERROR(__xludf.DUMMYFUNCTION("""COMPUTED_VALUE"""),"2.40")</f>
        <v>2.40</v>
      </c>
      <c r="T48" s="246" t="str">
        <f>IFERROR(__xludf.DUMMYFUNCTION("""COMPUTED_VALUE"""),"stop有:1回目 1.00
stop無:2回目 1.37
stop無:3回目 1.54
stop無:4回目 1.70
stop無:5回目 1.87
stop無:6回目 2.04")</f>
        <v>stop有:1回目 1.00
stop無:2回目 1.37
stop無:3回目 1.54
stop無:4回目 1.70
stop無:5回目 1.87
stop無:6回目 2.04</v>
      </c>
      <c r="U48" s="246">
        <f>IFERROR(__xludf.DUMMYFUNCTION("""COMPUTED_VALUE"""),45922.458333333336)</f>
        <v>45922.45833</v>
      </c>
      <c r="V48" s="246">
        <f>IFERROR(__xludf.DUMMYFUNCTION("""COMPUTED_VALUE"""),390812.49998842593)</f>
        <v>390812.5</v>
      </c>
      <c r="W48" s="246" t="str">
        <f>IFERROR(__xludf.DUMMYFUNCTION("""COMPUTED_VALUE"""),"catchcopy_character_chara_kai_00002.png")</f>
        <v>catchcopy_character_chara_kai_00002.png</v>
      </c>
      <c r="X48" s="246" t="str">
        <f>IFERROR(__xludf.DUMMYFUNCTION("""COMPUTED_VALUE"""),"enemy_icon_chara_kai_00002")</f>
        <v>enemy_icon_chara_kai_00002</v>
      </c>
      <c r="Y48" s="246" t="str">
        <f>IFERROR(__xludf.DUMMYFUNCTION("""COMPUTED_VALUE"""),"boss_icon_chara_kai_00002")</f>
        <v>boss_icon_chara_kai_00002</v>
      </c>
      <c r="Z48" s="246" t="str">
        <f>IFERROR(__xludf.DUMMYFUNCTION("""COMPUTED_VALUE"""),"chara_kai_00002_normal")</f>
        <v>chara_kai_00002_normal</v>
      </c>
    </row>
    <row r="49">
      <c r="A49" s="247" t="str">
        <f>IFERROR(__xludf.DUMMYFUNCTION("""COMPUTED_VALUE"""),"kai")</f>
        <v>kai</v>
      </c>
      <c r="B49" s="248" t="str">
        <f>IFERROR(__xludf.DUMMYFUNCTION("""COMPUTED_VALUE"""),"怪獣８号")</f>
        <v>怪獣８号</v>
      </c>
      <c r="C49" s="248" t="str">
        <f>IFERROR(__xludf.DUMMYFUNCTION("""COMPUTED_VALUE"""),"00003")</f>
        <v>00003</v>
      </c>
      <c r="D49" s="249" t="str">
        <f>IFERROR(__xludf.DUMMYFUNCTION("""COMPUTED_VALUE"""),"chara_kai_00003")</f>
        <v>chara_kai_00003</v>
      </c>
      <c r="E49" s="248" t="str">
        <f>IFERROR(__xludf.DUMMYFUNCTION("""COMPUTED_VALUE"""),"ドレスアップ怪獣８号")</f>
        <v>ドレスアップ怪獣８号</v>
      </c>
      <c r="F49" s="248" t="str">
        <f>IFERROR(__xludf.DUMMYFUNCTION("""COMPUTED_VALUE"""),"選定中")</f>
        <v>選定中</v>
      </c>
      <c r="G49" s="248"/>
      <c r="H49" s="248" t="str">
        <f>IFERROR(__xludf.DUMMYFUNCTION("""COMPUTED_VALUE"""),"UR")</f>
        <v>UR</v>
      </c>
      <c r="I49" s="248" t="str">
        <f>IFERROR(__xludf.DUMMYFUNCTION("""COMPUTED_VALUE"""),"PremiumUR")</f>
        <v>PremiumUR</v>
      </c>
      <c r="J49" s="248"/>
      <c r="K49" s="248" t="str">
        <f>IFERROR(__xludf.DUMMYFUNCTION("""COMPUTED_VALUE"""),"chara")</f>
        <v>chara</v>
      </c>
      <c r="L49" s="250"/>
      <c r="M49" s="250"/>
      <c r="N49" s="250"/>
      <c r="O49" s="248"/>
      <c r="P49" s="248"/>
      <c r="Q49" s="248"/>
      <c r="R49" s="248"/>
      <c r="S49" s="246"/>
      <c r="T49" s="246"/>
      <c r="U49" s="246"/>
      <c r="V49" s="246"/>
      <c r="W49" s="246"/>
      <c r="X49" s="246"/>
      <c r="Y49" s="246"/>
      <c r="Z49" s="246"/>
    </row>
    <row r="50">
      <c r="A50" s="247" t="str">
        <f>IFERROR(__xludf.DUMMYFUNCTION("""COMPUTED_VALUE"""),"kai")</f>
        <v>kai</v>
      </c>
      <c r="B50" s="248" t="str">
        <f>IFERROR(__xludf.DUMMYFUNCTION("""COMPUTED_VALUE"""),"怪獣８号")</f>
        <v>怪獣８号</v>
      </c>
      <c r="C50" s="248" t="str">
        <f>IFERROR(__xludf.DUMMYFUNCTION("""COMPUTED_VALUE"""),"00101")</f>
        <v>00101</v>
      </c>
      <c r="D50" s="249" t="str">
        <f>IFERROR(__xludf.DUMMYFUNCTION("""COMPUTED_VALUE"""),"chara_kai_00101")</f>
        <v>chara_kai_00101</v>
      </c>
      <c r="E50" s="248" t="str">
        <f>IFERROR(__xludf.DUMMYFUNCTION("""COMPUTED_VALUE"""),"市川 レノ")</f>
        <v>市川 レノ</v>
      </c>
      <c r="F50" s="248" t="str">
        <f>IFERROR(__xludf.DUMMYFUNCTION("""COMPUTED_VALUE"""),"市川 レノ")</f>
        <v>市川 レノ</v>
      </c>
      <c r="G50" s="248" t="str">
        <f>IFERROR(__xludf.DUMMYFUNCTION("""COMPUTED_VALUE"""),"仲間のために体張れる男だ!!")</f>
        <v>仲間のために体張れる男だ!!</v>
      </c>
      <c r="H50" s="248" t="str">
        <f>IFERROR(__xludf.DUMMYFUNCTION("""COMPUTED_VALUE"""),"SR")</f>
        <v>SR</v>
      </c>
      <c r="I50" s="248" t="str">
        <f>IFERROR(__xludf.DUMMYFUNCTION("""COMPUTED_VALUE"""),"PremiumSR")</f>
        <v>PremiumSR</v>
      </c>
      <c r="J50" s="248" t="str">
        <f>IFERROR(__xludf.DUMMYFUNCTION("""COMPUTED_VALUE"""),"青")</f>
        <v>青</v>
      </c>
      <c r="K50" s="248" t="str">
        <f>IFERROR(__xludf.DUMMYFUNCTION("""COMPUTED_VALUE"""),"chara")</f>
        <v>chara</v>
      </c>
      <c r="L50" s="250" t="str">
        <f>IFERROR(__xludf.DUMMYFUNCTION("""COMPUTED_VALUE"""),"テクニカル")</f>
        <v>テクニカル</v>
      </c>
      <c r="M50" s="250" t="str">
        <f>IFERROR(__xludf.DUMMYFUNCTION("""COMPUTED_VALUE"""),"shageki_1")</f>
        <v>shageki_1</v>
      </c>
      <c r="N50" s="250" t="str">
        <f>IFERROR(__xludf.DUMMYFUNCTION("""COMPUTED_VALUE"""),"Long")</f>
        <v>Long</v>
      </c>
      <c r="O50" s="248" t="str">
        <f>IFERROR(__xludf.DUMMYFUNCTION("""COMPUTED_VALUE"""),"shageki_1")</f>
        <v>shageki_1</v>
      </c>
      <c r="P50" s="248" t="str">
        <f>IFERROR(__xludf.DUMMYFUNCTION("""COMPUTED_VALUE"""),"00101")</f>
        <v>00101</v>
      </c>
      <c r="Q50" s="248" t="str">
        <f>IFERROR(__xludf.DUMMYFUNCTION("""COMPUTED_VALUE"""),"1.40")</f>
        <v>1.40</v>
      </c>
      <c r="R50" s="248" t="str">
        <f>IFERROR(__xludf.DUMMYFUNCTION("""COMPUTED_VALUE"""),"stop無:1回目 0.91")</f>
        <v>stop無:1回目 0.91</v>
      </c>
      <c r="S50" s="246" t="str">
        <f>IFERROR(__xludf.DUMMYFUNCTION("""COMPUTED_VALUE"""),"3.17")</f>
        <v>3.17</v>
      </c>
      <c r="T50" s="246" t="str">
        <f>IFERROR(__xludf.DUMMYFUNCTION("""COMPUTED_VALUE"""),"stop無:1回目 1.05
stop無:2回目 1.33
stop無:3回目 1.76")</f>
        <v>stop無:1回目 1.05
stop無:2回目 1.33
stop無:3回目 1.76</v>
      </c>
      <c r="U50" s="246">
        <f>IFERROR(__xludf.DUMMYFUNCTION("""COMPUTED_VALUE"""),45922.458333333336)</f>
        <v>45922.45833</v>
      </c>
      <c r="V50" s="246">
        <f>IFERROR(__xludf.DUMMYFUNCTION("""COMPUTED_VALUE"""),390812.49998842593)</f>
        <v>390812.5</v>
      </c>
      <c r="W50" s="246" t="str">
        <f>IFERROR(__xludf.DUMMYFUNCTION("""COMPUTED_VALUE"""),"catchcopy_character_chara_kai_00101.png")</f>
        <v>catchcopy_character_chara_kai_00101.png</v>
      </c>
      <c r="X50" s="246" t="str">
        <f>IFERROR(__xludf.DUMMYFUNCTION("""COMPUTED_VALUE"""),"enemy_icon_chara_kai_00101")</f>
        <v>enemy_icon_chara_kai_00101</v>
      </c>
      <c r="Y50" s="246" t="str">
        <f>IFERROR(__xludf.DUMMYFUNCTION("""COMPUTED_VALUE"""),"boss_icon_chara_kai_00101")</f>
        <v>boss_icon_chara_kai_00101</v>
      </c>
      <c r="Z50" s="246" t="str">
        <f>IFERROR(__xludf.DUMMYFUNCTION("""COMPUTED_VALUE"""),"chara_kai_00101_normal")</f>
        <v>chara_kai_00101_normal</v>
      </c>
    </row>
    <row r="51">
      <c r="A51" s="247" t="str">
        <f>IFERROR(__xludf.DUMMYFUNCTION("""COMPUTED_VALUE"""),"kai")</f>
        <v>kai</v>
      </c>
      <c r="B51" s="248" t="str">
        <f>IFERROR(__xludf.DUMMYFUNCTION("""COMPUTED_VALUE"""),"怪獣８号")</f>
        <v>怪獣８号</v>
      </c>
      <c r="C51" s="248" t="str">
        <f>IFERROR(__xludf.DUMMYFUNCTION("""COMPUTED_VALUE"""),"00102")</f>
        <v>00102</v>
      </c>
      <c r="D51" s="249" t="str">
        <f>IFERROR(__xludf.DUMMYFUNCTION("""COMPUTED_VALUE"""),"chara_kai_00102")</f>
        <v>chara_kai_00102</v>
      </c>
      <c r="E51" s="248" t="str">
        <f>IFERROR(__xludf.DUMMYFUNCTION("""COMPUTED_VALUE"""),"識別怪獣兵器6 市川 レノ")</f>
        <v>識別怪獣兵器6 市川 レノ</v>
      </c>
      <c r="F51" s="248" t="str">
        <f>IFERROR(__xludf.DUMMYFUNCTION("""COMPUTED_VALUE"""),"識別怪獣兵器6 市川 レノ")</f>
        <v>識別怪獣兵器6 市川 レノ</v>
      </c>
      <c r="G51" s="248" t="str">
        <f>IFERROR(__xludf.DUMMYFUNCTION("""COMPUTED_VALUE"""),"俺が 切り開く")</f>
        <v>俺が 切り開く</v>
      </c>
      <c r="H51" s="248" t="str">
        <f>IFERROR(__xludf.DUMMYFUNCTION("""COMPUTED_VALUE"""),"UR")</f>
        <v>UR</v>
      </c>
      <c r="I51" s="248" t="str">
        <f>IFERROR(__xludf.DUMMYFUNCTION("""COMPUTED_VALUE"""),"PremiumUR")</f>
        <v>PremiumUR</v>
      </c>
      <c r="J51" s="248" t="str">
        <f>IFERROR(__xludf.DUMMYFUNCTION("""COMPUTED_VALUE"""),"黄")</f>
        <v>黄</v>
      </c>
      <c r="K51" s="248" t="str">
        <f>IFERROR(__xludf.DUMMYFUNCTION("""COMPUTED_VALUE"""),"chara")</f>
        <v>chara</v>
      </c>
      <c r="L51" s="250" t="str">
        <f>IFERROR(__xludf.DUMMYFUNCTION("""COMPUTED_VALUE"""),"テクニカル")</f>
        <v>テクニカル</v>
      </c>
      <c r="M51" s="250" t="str">
        <f>IFERROR(__xludf.DUMMYFUNCTION("""COMPUTED_VALUE"""),"shageki_1")</f>
        <v>shageki_1</v>
      </c>
      <c r="N51" s="250" t="str">
        <f>IFERROR(__xludf.DUMMYFUNCTION("""COMPUTED_VALUE"""),"Long")</f>
        <v>Long</v>
      </c>
      <c r="O51" s="248" t="str">
        <f>IFERROR(__xludf.DUMMYFUNCTION("""COMPUTED_VALUE"""),"shageki_1")</f>
        <v>shageki_1</v>
      </c>
      <c r="P51" s="248"/>
      <c r="Q51" s="248" t="str">
        <f>IFERROR(__xludf.DUMMYFUNCTION("""COMPUTED_VALUE"""),"1.77")</f>
        <v>1.77</v>
      </c>
      <c r="R51" s="248" t="str">
        <f>IFERROR(__xludf.DUMMYFUNCTION("""COMPUTED_VALUE"""),"stop無:1回目 0.5
stop無:2回目 0.58
stop有:3回目 0.63")</f>
        <v>stop無:1回目 0.5
stop無:2回目 0.58
stop有:3回目 0.63</v>
      </c>
      <c r="S51" s="246" t="str">
        <f>IFERROR(__xludf.DUMMYFUNCTION("""COMPUTED_VALUE"""),"3.17")</f>
        <v>3.17</v>
      </c>
      <c r="T51" s="246" t="str">
        <f>IFERROR(__xludf.DUMMYFUNCTION("""COMPUTED_VALUE"""),"stop有:1回目 1.53")</f>
        <v>stop有:1回目 1.53</v>
      </c>
      <c r="U51" s="246" t="str">
        <f>IFERROR(__xludf.DUMMYFUNCTION("""COMPUTED_VALUE"""),"2026/07/上旬")</f>
        <v>2026/07/上旬</v>
      </c>
      <c r="V51" s="246">
        <f>IFERROR(__xludf.DUMMYFUNCTION("""COMPUTED_VALUE"""),390812.49998842593)</f>
        <v>390812.5</v>
      </c>
      <c r="W51" s="246" t="str">
        <f>IFERROR(__xludf.DUMMYFUNCTION("""COMPUTED_VALUE"""),"catchcopy_character_chara_kai_00102.png")</f>
        <v>catchcopy_character_chara_kai_00102.png</v>
      </c>
      <c r="X51" s="246" t="str">
        <f>IFERROR(__xludf.DUMMYFUNCTION("""COMPUTED_VALUE"""),"enemy_icon_chara_kai_00102")</f>
        <v>enemy_icon_chara_kai_00102</v>
      </c>
      <c r="Y51" s="246" t="str">
        <f>IFERROR(__xludf.DUMMYFUNCTION("""COMPUTED_VALUE"""),"boss_icon_chara_kai_00102")</f>
        <v>boss_icon_chara_kai_00102</v>
      </c>
      <c r="Z51" s="246"/>
    </row>
    <row r="52">
      <c r="A52" s="247" t="str">
        <f>IFERROR(__xludf.DUMMYFUNCTION("""COMPUTED_VALUE"""),"kai")</f>
        <v>kai</v>
      </c>
      <c r="B52" s="248" t="str">
        <f>IFERROR(__xludf.DUMMYFUNCTION("""COMPUTED_VALUE"""),"怪獣８号")</f>
        <v>怪獣８号</v>
      </c>
      <c r="C52" s="248" t="str">
        <f>IFERROR(__xludf.DUMMYFUNCTION("""COMPUTED_VALUE"""),"00201")</f>
        <v>00201</v>
      </c>
      <c r="D52" s="249" t="str">
        <f>IFERROR(__xludf.DUMMYFUNCTION("""COMPUTED_VALUE"""),"chara_kai_00201")</f>
        <v>chara_kai_00201</v>
      </c>
      <c r="E52" s="248" t="str">
        <f>IFERROR(__xludf.DUMMYFUNCTION("""COMPUTED_VALUE"""),"第三部隊隊長 亜白 ミナ")</f>
        <v>第三部隊隊長 亜白 ミナ</v>
      </c>
      <c r="F52" s="248" t="str">
        <f>IFERROR(__xludf.DUMMYFUNCTION("""COMPUTED_VALUE"""),"第三部隊隊長 亜白 ミナ")</f>
        <v>第三部隊隊長 亜白 ミナ</v>
      </c>
      <c r="G52" s="248" t="str">
        <f>IFERROR(__xludf.DUMMYFUNCTION("""COMPUTED_VALUE"""),"解放戦力 96%")</f>
        <v>解放戦力 96%</v>
      </c>
      <c r="H52" s="248" t="str">
        <f>IFERROR(__xludf.DUMMYFUNCTION("""COMPUTED_VALUE"""),"UR")</f>
        <v>UR</v>
      </c>
      <c r="I52" s="248" t="str">
        <f>IFERROR(__xludf.DUMMYFUNCTION("""COMPUTED_VALUE"""),"PremiumUR")</f>
        <v>PremiumUR</v>
      </c>
      <c r="J52" s="248" t="str">
        <f>IFERROR(__xludf.DUMMYFUNCTION("""COMPUTED_VALUE"""),"青")</f>
        <v>青</v>
      </c>
      <c r="K52" s="248" t="str">
        <f>IFERROR(__xludf.DUMMYFUNCTION("""COMPUTED_VALUE"""),"chara")</f>
        <v>chara</v>
      </c>
      <c r="L52" s="250" t="str">
        <f>IFERROR(__xludf.DUMMYFUNCTION("""COMPUTED_VALUE"""),"アタック")</f>
        <v>アタック</v>
      </c>
      <c r="M52" s="250" t="str">
        <f>IFERROR(__xludf.DUMMYFUNCTION("""COMPUTED_VALUE"""),"shageki_1")</f>
        <v>shageki_1</v>
      </c>
      <c r="N52" s="250" t="str">
        <f>IFERROR(__xludf.DUMMYFUNCTION("""COMPUTED_VALUE"""),"Long")</f>
        <v>Long</v>
      </c>
      <c r="O52" s="248" t="str">
        <f>IFERROR(__xludf.DUMMYFUNCTION("""COMPUTED_VALUE"""),"shageki_1")</f>
        <v>shageki_1</v>
      </c>
      <c r="P52" s="248" t="str">
        <f>IFERROR(__xludf.DUMMYFUNCTION("""COMPUTED_VALUE"""),"00201")</f>
        <v>00201</v>
      </c>
      <c r="Q52" s="248" t="str">
        <f>IFERROR(__xludf.DUMMYFUNCTION("""COMPUTED_VALUE"""),"1.50")</f>
        <v>1.50</v>
      </c>
      <c r="R52" s="248" t="str">
        <f>IFERROR(__xludf.DUMMYFUNCTION("""COMPUTED_VALUE"""),"0.75")</f>
        <v>0.75</v>
      </c>
      <c r="S52" s="246" t="str">
        <f>IFERROR(__xludf.DUMMYFUNCTION("""COMPUTED_VALUE"""),"4.41")</f>
        <v>4.41</v>
      </c>
      <c r="T52" s="246" t="str">
        <f>IFERROR(__xludf.DUMMYFUNCTION("""COMPUTED_VALUE"""),"stop無:1回目 1.42
stop無:2回目 1.85
stop無:3回目 2.29
stop無:4回目 2.73
stop有:5回目 3.17")</f>
        <v>stop無:1回目 1.42
stop無:2回目 1.85
stop無:3回目 2.29
stop無:4回目 2.73
stop有:5回目 3.17</v>
      </c>
      <c r="U52" s="246">
        <f>IFERROR(__xludf.DUMMYFUNCTION("""COMPUTED_VALUE"""),45922.458333333336)</f>
        <v>45922.45833</v>
      </c>
      <c r="V52" s="246">
        <f>IFERROR(__xludf.DUMMYFUNCTION("""COMPUTED_VALUE"""),390812.49998842593)</f>
        <v>390812.5</v>
      </c>
      <c r="W52" s="246" t="str">
        <f>IFERROR(__xludf.DUMMYFUNCTION("""COMPUTED_VALUE"""),"catchcopy_character_chara_kai_00201.png")</f>
        <v>catchcopy_character_chara_kai_00201.png</v>
      </c>
      <c r="X52" s="246" t="str">
        <f>IFERROR(__xludf.DUMMYFUNCTION("""COMPUTED_VALUE"""),"enemy_icon_chara_kai_00201")</f>
        <v>enemy_icon_chara_kai_00201</v>
      </c>
      <c r="Y52" s="246" t="str">
        <f>IFERROR(__xludf.DUMMYFUNCTION("""COMPUTED_VALUE"""),"boss_icon_chara_kai_00201")</f>
        <v>boss_icon_chara_kai_00201</v>
      </c>
      <c r="Z52" s="246" t="str">
        <f>IFERROR(__xludf.DUMMYFUNCTION("""COMPUTED_VALUE"""),"chara_kai_00201_normal")</f>
        <v>chara_kai_00201_normal</v>
      </c>
    </row>
    <row r="53">
      <c r="A53" s="247" t="str">
        <f>IFERROR(__xludf.DUMMYFUNCTION("""COMPUTED_VALUE"""),"kai")</f>
        <v>kai</v>
      </c>
      <c r="B53" s="248" t="str">
        <f>IFERROR(__xludf.DUMMYFUNCTION("""COMPUTED_VALUE"""),"怪獣８号")</f>
        <v>怪獣８号</v>
      </c>
      <c r="C53" s="248" t="str">
        <f>IFERROR(__xludf.DUMMYFUNCTION("""COMPUTED_VALUE"""),"00202")</f>
        <v>00202</v>
      </c>
      <c r="D53" s="249" t="str">
        <f>IFERROR(__xludf.DUMMYFUNCTION("""COMPUTED_VALUE"""),"chara_kai_00202")</f>
        <v>chara_kai_00202</v>
      </c>
      <c r="E53" s="248" t="str">
        <f>IFERROR(__xludf.DUMMYFUNCTION("""COMPUTED_VALUE"""),"超大型キラー 亜白 ミナ")</f>
        <v>超大型キラー 亜白 ミナ</v>
      </c>
      <c r="F53" s="248" t="str">
        <f>IFERROR(__xludf.DUMMYFUNCTION("""COMPUTED_VALUE"""),"選定中")</f>
        <v>選定中</v>
      </c>
      <c r="G53" s="248"/>
      <c r="H53" s="248" t="str">
        <f>IFERROR(__xludf.DUMMYFUNCTION("""COMPUTED_VALUE"""),"UR")</f>
        <v>UR</v>
      </c>
      <c r="I53" s="248" t="str">
        <f>IFERROR(__xludf.DUMMYFUNCTION("""COMPUTED_VALUE"""),"FestivalUR")</f>
        <v>FestivalUR</v>
      </c>
      <c r="J53" s="248" t="str">
        <f>IFERROR(__xludf.DUMMYFUNCTION("""COMPUTED_VALUE"""),"無")</f>
        <v>無</v>
      </c>
      <c r="K53" s="248" t="str">
        <f>IFERROR(__xludf.DUMMYFUNCTION("""COMPUTED_VALUE"""),"chara")</f>
        <v>chara</v>
      </c>
      <c r="L53" s="250" t="str">
        <f>IFERROR(__xludf.DUMMYFUNCTION("""COMPUTED_VALUE"""),"スペシャル")</f>
        <v>スペシャル</v>
      </c>
      <c r="M53" s="250"/>
      <c r="N53" s="250"/>
      <c r="O53" s="248"/>
      <c r="P53" s="248"/>
      <c r="Q53" s="248"/>
      <c r="R53" s="248"/>
      <c r="S53" s="246"/>
      <c r="T53" s="246"/>
      <c r="U53" s="246"/>
      <c r="V53" s="246"/>
      <c r="W53" s="246"/>
      <c r="X53" s="246"/>
      <c r="Y53" s="246"/>
      <c r="Z53" s="246"/>
    </row>
    <row r="54">
      <c r="A54" s="247" t="str">
        <f>IFERROR(__xludf.DUMMYFUNCTION("""COMPUTED_VALUE"""),"kai")</f>
        <v>kai</v>
      </c>
      <c r="B54" s="248" t="str">
        <f>IFERROR(__xludf.DUMMYFUNCTION("""COMPUTED_VALUE"""),"怪獣８号")</f>
        <v>怪獣８号</v>
      </c>
      <c r="C54" s="248" t="str">
        <f>IFERROR(__xludf.DUMMYFUNCTION("""COMPUTED_VALUE"""),"00301")</f>
        <v>00301</v>
      </c>
      <c r="D54" s="249" t="str">
        <f>IFERROR(__xludf.DUMMYFUNCTION("""COMPUTED_VALUE"""),"chara_kai_00301")</f>
        <v>chara_kai_00301</v>
      </c>
      <c r="E54" s="248" t="str">
        <f>IFERROR(__xludf.DUMMYFUNCTION("""COMPUTED_VALUE"""),"四ノ宮 キコル")</f>
        <v>四ノ宮 キコル</v>
      </c>
      <c r="F54" s="248" t="str">
        <f>IFERROR(__xludf.DUMMYFUNCTION("""COMPUTED_VALUE"""),"四ノ宮 キコル")</f>
        <v>四ノ宮 キコル</v>
      </c>
      <c r="G54" s="248" t="str">
        <f>IFERROR(__xludf.DUMMYFUNCTION("""COMPUTED_VALUE"""),"隊式斧術1式　落雷")</f>
        <v>隊式斧術1式　落雷</v>
      </c>
      <c r="H54" s="248" t="str">
        <f>IFERROR(__xludf.DUMMYFUNCTION("""COMPUTED_VALUE"""),"SSR")</f>
        <v>SSR</v>
      </c>
      <c r="I54" s="248" t="str">
        <f>IFERROR(__xludf.DUMMYFUNCTION("""COMPUTED_VALUE"""),"PremiumSSR")</f>
        <v>PremiumSSR</v>
      </c>
      <c r="J54" s="248" t="str">
        <f>IFERROR(__xludf.DUMMYFUNCTION("""COMPUTED_VALUE"""),"黄")</f>
        <v>黄</v>
      </c>
      <c r="K54" s="248" t="str">
        <f>IFERROR(__xludf.DUMMYFUNCTION("""COMPUTED_VALUE"""),"chara")</f>
        <v>chara</v>
      </c>
      <c r="L54" s="250" t="str">
        <f>IFERROR(__xludf.DUMMYFUNCTION("""COMPUTED_VALUE"""),"ディフェンス")</f>
        <v>ディフェンス</v>
      </c>
      <c r="M54" s="250" t="str">
        <f>IFERROR(__xludf.DUMMYFUNCTION("""COMPUTED_VALUE"""),"zangeki_1")</f>
        <v>zangeki_1</v>
      </c>
      <c r="N54" s="250" t="str">
        <f>IFERROR(__xludf.DUMMYFUNCTION("""COMPUTED_VALUE"""),"Short")</f>
        <v>Short</v>
      </c>
      <c r="O54" s="248" t="str">
        <f>IFERROR(__xludf.DUMMYFUNCTION("""COMPUTED_VALUE"""),"zangeki_1")</f>
        <v>zangeki_1</v>
      </c>
      <c r="P54" s="248" t="str">
        <f>IFERROR(__xludf.DUMMYFUNCTION("""COMPUTED_VALUE"""),"00301")</f>
        <v>00301</v>
      </c>
      <c r="Q54" s="248" t="str">
        <f>IFERROR(__xludf.DUMMYFUNCTION("""COMPUTED_VALUE"""),"2.04")</f>
        <v>2.04</v>
      </c>
      <c r="R54" s="248" t="str">
        <f>IFERROR(__xludf.DUMMYFUNCTION("""COMPUTED_VALUE"""),"0.70")</f>
        <v>0.70</v>
      </c>
      <c r="S54" s="246" t="str">
        <f>IFERROR(__xludf.DUMMYFUNCTION("""COMPUTED_VALUE"""),"3.34")</f>
        <v>3.34</v>
      </c>
      <c r="T54" s="246" t="str">
        <f>IFERROR(__xludf.DUMMYFUNCTION("""COMPUTED_VALUE"""),"1.07")</f>
        <v>1.07</v>
      </c>
      <c r="U54" s="246">
        <f>IFERROR(__xludf.DUMMYFUNCTION("""COMPUTED_VALUE"""),45922.458333333336)</f>
        <v>45922.45833</v>
      </c>
      <c r="V54" s="246">
        <f>IFERROR(__xludf.DUMMYFUNCTION("""COMPUTED_VALUE"""),390812.49998842593)</f>
        <v>390812.5</v>
      </c>
      <c r="W54" s="246" t="str">
        <f>IFERROR(__xludf.DUMMYFUNCTION("""COMPUTED_VALUE"""),"catchcopy_character_chara_kai_00301.png")</f>
        <v>catchcopy_character_chara_kai_00301.png</v>
      </c>
      <c r="X54" s="246" t="str">
        <f>IFERROR(__xludf.DUMMYFUNCTION("""COMPUTED_VALUE"""),"enemy_icon_chara_kai_00301")</f>
        <v>enemy_icon_chara_kai_00301</v>
      </c>
      <c r="Y54" s="246" t="str">
        <f>IFERROR(__xludf.DUMMYFUNCTION("""COMPUTED_VALUE"""),"boss_icon_chara_kai_00301")</f>
        <v>boss_icon_chara_kai_00301</v>
      </c>
      <c r="Z54" s="246" t="str">
        <f>IFERROR(__xludf.DUMMYFUNCTION("""COMPUTED_VALUE"""),"chara_kai_00301_normal")</f>
        <v>chara_kai_00301_normal</v>
      </c>
    </row>
    <row r="55">
      <c r="A55" s="247" t="str">
        <f>IFERROR(__xludf.DUMMYFUNCTION("""COMPUTED_VALUE"""),"kai")</f>
        <v>kai</v>
      </c>
      <c r="B55" s="248" t="str">
        <f>IFERROR(__xludf.DUMMYFUNCTION("""COMPUTED_VALUE"""),"怪獣８号")</f>
        <v>怪獣８号</v>
      </c>
      <c r="C55" s="248" t="str">
        <f>IFERROR(__xludf.DUMMYFUNCTION("""COMPUTED_VALUE"""),"00302")</f>
        <v>00302</v>
      </c>
      <c r="D55" s="249" t="str">
        <f>IFERROR(__xludf.DUMMYFUNCTION("""COMPUTED_VALUE"""),"chara_kai_00302")</f>
        <v>chara_kai_00302</v>
      </c>
      <c r="E55" s="248" t="str">
        <f>IFERROR(__xludf.DUMMYFUNCTION("""COMPUTED_VALUE"""),"識別怪獣兵器4 四ノ宮 キコル")</f>
        <v>識別怪獣兵器4 四ノ宮 キコル</v>
      </c>
      <c r="F55" s="248" t="str">
        <f>IFERROR(__xludf.DUMMYFUNCTION("""COMPUTED_VALUE"""),"選定中")</f>
        <v>選定中</v>
      </c>
      <c r="G55" s="248"/>
      <c r="H55" s="248" t="str">
        <f>IFERROR(__xludf.DUMMYFUNCTION("""COMPUTED_VALUE"""),"UR")</f>
        <v>UR</v>
      </c>
      <c r="I55" s="248" t="str">
        <f>IFERROR(__xludf.DUMMYFUNCTION("""COMPUTED_VALUE"""),"PremiumUR")</f>
        <v>PremiumUR</v>
      </c>
      <c r="J55" s="248" t="str">
        <f>IFERROR(__xludf.DUMMYFUNCTION("""COMPUTED_VALUE"""),"赤")</f>
        <v>赤</v>
      </c>
      <c r="K55" s="248" t="str">
        <f>IFERROR(__xludf.DUMMYFUNCTION("""COMPUTED_VALUE"""),"chara")</f>
        <v>chara</v>
      </c>
      <c r="L55" s="250" t="str">
        <f>IFERROR(__xludf.DUMMYFUNCTION("""COMPUTED_VALUE"""),"アタック")</f>
        <v>アタック</v>
      </c>
      <c r="M55" s="250"/>
      <c r="N55" s="250"/>
      <c r="O55" s="248"/>
      <c r="P55" s="248"/>
      <c r="Q55" s="248" t="str">
        <f>IFERROR(__xludf.DUMMYFUNCTION("""COMPUTED_VALUE"""),"1.77")</f>
        <v>1.77</v>
      </c>
      <c r="R55" s="248" t="str">
        <f>IFERROR(__xludf.DUMMYFUNCTION("""COMPUTED_VALUE"""),"stop有:1回目 0.51")</f>
        <v>stop有:1回目 0.51</v>
      </c>
      <c r="S55" s="246" t="str">
        <f>IFERROR(__xludf.DUMMYFUNCTION("""COMPUTED_VALUE"""),"2.84")</f>
        <v>2.84</v>
      </c>
      <c r="T55" s="246" t="str">
        <f>IFERROR(__xludf.DUMMYFUNCTION("""COMPUTED_VALUE"""),"stop無:1回目 1.05
stop無:2回目 1.18
stop無:3回目 1.35
stop無:4回目 1.44
stop無:5回目 1.51
stop無:6回目 2.00
stop無:7回目 2.11
stop無:8回目 2.23
stop有:9回目 2.35")</f>
        <v>stop無:1回目 1.05
stop無:2回目 1.18
stop無:3回目 1.35
stop無:4回目 1.44
stop無:5回目 1.51
stop無:6回目 2.00
stop無:7回目 2.11
stop無:8回目 2.23
stop有:9回目 2.35</v>
      </c>
      <c r="U55" s="246"/>
      <c r="V55" s="246"/>
      <c r="W55" s="246"/>
      <c r="X55" s="246"/>
      <c r="Y55" s="246"/>
      <c r="Z55" s="246"/>
    </row>
    <row r="56">
      <c r="A56" s="247" t="str">
        <f>IFERROR(__xludf.DUMMYFUNCTION("""COMPUTED_VALUE"""),"kai")</f>
        <v>kai</v>
      </c>
      <c r="B56" s="248" t="str">
        <f>IFERROR(__xludf.DUMMYFUNCTION("""COMPUTED_VALUE"""),"怪獣８号")</f>
        <v>怪獣８号</v>
      </c>
      <c r="C56" s="248" t="str">
        <f>IFERROR(__xludf.DUMMYFUNCTION("""COMPUTED_VALUE"""),"00401")</f>
        <v>00401</v>
      </c>
      <c r="D56" s="249" t="str">
        <f>IFERROR(__xludf.DUMMYFUNCTION("""COMPUTED_VALUE"""),"chara_kai_00401")</f>
        <v>chara_kai_00401</v>
      </c>
      <c r="E56" s="248" t="str">
        <f>IFERROR(__xludf.DUMMYFUNCTION("""COMPUTED_VALUE"""),"保科 宗四郎")</f>
        <v>保科 宗四郎</v>
      </c>
      <c r="F56" s="248" t="str">
        <f>IFERROR(__xludf.DUMMYFUNCTION("""COMPUTED_VALUE"""),"保科 宗四郎")</f>
        <v>保科 宗四郎</v>
      </c>
      <c r="G56" s="248" t="str">
        <f>IFERROR(__xludf.DUMMYFUNCTION("""COMPUTED_VALUE"""),"6式 八重討ち")</f>
        <v>6式 八重討ち</v>
      </c>
      <c r="H56" s="248" t="str">
        <f>IFERROR(__xludf.DUMMYFUNCTION("""COMPUTED_VALUE"""),"SSR")</f>
        <v>SSR</v>
      </c>
      <c r="I56" s="248" t="str">
        <f>IFERROR(__xludf.DUMMYFUNCTION("""COMPUTED_VALUE"""),"PremiumSSR")</f>
        <v>PremiumSSR</v>
      </c>
      <c r="J56" s="248" t="str">
        <f>IFERROR(__xludf.DUMMYFUNCTION("""COMPUTED_VALUE"""),"青")</f>
        <v>青</v>
      </c>
      <c r="K56" s="248" t="str">
        <f>IFERROR(__xludf.DUMMYFUNCTION("""COMPUTED_VALUE"""),"chara")</f>
        <v>chara</v>
      </c>
      <c r="L56" s="250" t="str">
        <f>IFERROR(__xludf.DUMMYFUNCTION("""COMPUTED_VALUE"""),"アタック")</f>
        <v>アタック</v>
      </c>
      <c r="M56" s="250" t="str">
        <f>IFERROR(__xludf.DUMMYFUNCTION("""COMPUTED_VALUE"""),"zangeki_1")</f>
        <v>zangeki_1</v>
      </c>
      <c r="N56" s="250" t="str">
        <f>IFERROR(__xludf.DUMMYFUNCTION("""COMPUTED_VALUE"""),"Short")</f>
        <v>Short</v>
      </c>
      <c r="O56" s="248" t="str">
        <f>IFERROR(__xludf.DUMMYFUNCTION("""COMPUTED_VALUE"""),"zangeki_1")</f>
        <v>zangeki_1</v>
      </c>
      <c r="P56" s="248"/>
      <c r="Q56" s="248" t="str">
        <f>IFERROR(__xludf.DUMMYFUNCTION("""COMPUTED_VALUE"""),"1.27")</f>
        <v>1.27</v>
      </c>
      <c r="R56" s="248" t="str">
        <f>IFERROR(__xludf.DUMMYFUNCTION("""COMPUTED_VALUE"""),"stop有:1回目 0.43")</f>
        <v>stop有:1回目 0.43</v>
      </c>
      <c r="S56" s="246" t="str">
        <f>IFERROR(__xludf.DUMMYFUNCTION("""COMPUTED_VALUE"""),"2.67")</f>
        <v>2.67</v>
      </c>
      <c r="T56" s="246" t="str">
        <f>IFERROR(__xludf.DUMMYFUNCTION("""COMPUTED_VALUE"""),"stop無:1回目 0.25
stop無:2回目 0.91
stop無:3回目 1.05
stop無:4回目 1.15
stop有:5回目 1.66")</f>
        <v>stop無:1回目 0.25
stop無:2回目 0.91
stop無:3回目 1.05
stop無:4回目 1.15
stop有:5回目 1.66</v>
      </c>
      <c r="U56" s="246">
        <f>IFERROR(__xludf.DUMMYFUNCTION("""COMPUTED_VALUE"""),45922.458333333336)</f>
        <v>45922.45833</v>
      </c>
      <c r="V56" s="246">
        <f>IFERROR(__xludf.DUMMYFUNCTION("""COMPUTED_VALUE"""),390812.49998842593)</f>
        <v>390812.5</v>
      </c>
      <c r="W56" s="246"/>
      <c r="X56" s="246" t="str">
        <f>IFERROR(__xludf.DUMMYFUNCTION("""COMPUTED_VALUE"""),"enemy_icon_chara_kai_00401")</f>
        <v>enemy_icon_chara_kai_00401</v>
      </c>
      <c r="Y56" s="246" t="str">
        <f>IFERROR(__xludf.DUMMYFUNCTION("""COMPUTED_VALUE"""),"boss_icon_chara_kai_00401")</f>
        <v>boss_icon_chara_kai_00401</v>
      </c>
      <c r="Z56" s="246" t="str">
        <f>IFERROR(__xludf.DUMMYFUNCTION("""COMPUTED_VALUE"""),"chara_kai_00401_normal")</f>
        <v>chara_kai_00401_normal</v>
      </c>
    </row>
    <row r="57">
      <c r="A57" s="247" t="str">
        <f>IFERROR(__xludf.DUMMYFUNCTION("""COMPUTED_VALUE"""),"kai")</f>
        <v>kai</v>
      </c>
      <c r="B57" s="248" t="str">
        <f>IFERROR(__xludf.DUMMYFUNCTION("""COMPUTED_VALUE"""),"怪獣８号")</f>
        <v>怪獣８号</v>
      </c>
      <c r="C57" s="248" t="str">
        <f>IFERROR(__xludf.DUMMYFUNCTION("""COMPUTED_VALUE"""),"00501")</f>
        <v>00501</v>
      </c>
      <c r="D57" s="249" t="str">
        <f>IFERROR(__xludf.DUMMYFUNCTION("""COMPUTED_VALUE"""),"chara_kai_00501")</f>
        <v>chara_kai_00501</v>
      </c>
      <c r="E57" s="248" t="str">
        <f>IFERROR(__xludf.DUMMYFUNCTION("""COMPUTED_VALUE"""),"四ノ宮 功")</f>
        <v>四ノ宮 功</v>
      </c>
      <c r="F57" s="248" t="str">
        <f>IFERROR(__xludf.DUMMYFUNCTION("""COMPUTED_VALUE"""),"四ノ宮 功")</f>
        <v>四ノ宮 功</v>
      </c>
      <c r="G57" s="248" t="str">
        <f>IFERROR(__xludf.DUMMYFUNCTION("""COMPUTED_VALUE"""),"隊式格闘術2式 発破")</f>
        <v>隊式格闘術2式 発破</v>
      </c>
      <c r="H57" s="248" t="str">
        <f>IFERROR(__xludf.DUMMYFUNCTION("""COMPUTED_VALUE"""),"SR")</f>
        <v>SR</v>
      </c>
      <c r="I57" s="248" t="str">
        <f>IFERROR(__xludf.DUMMYFUNCTION("""COMPUTED_VALUE"""),"DropSR")</f>
        <v>DropSR</v>
      </c>
      <c r="J57" s="248" t="str">
        <f>IFERROR(__xludf.DUMMYFUNCTION("""COMPUTED_VALUE"""),"黄")</f>
        <v>黄</v>
      </c>
      <c r="K57" s="248" t="str">
        <f>IFERROR(__xludf.DUMMYFUNCTION("""COMPUTED_VALUE"""),"chara")</f>
        <v>chara</v>
      </c>
      <c r="L57" s="250" t="str">
        <f>IFERROR(__xludf.DUMMYFUNCTION("""COMPUTED_VALUE"""),"アタック")</f>
        <v>アタック</v>
      </c>
      <c r="M57" s="250" t="str">
        <f>IFERROR(__xludf.DUMMYFUNCTION("""COMPUTED_VALUE"""),"dageki_1")</f>
        <v>dageki_1</v>
      </c>
      <c r="N57" s="250" t="str">
        <f>IFERROR(__xludf.DUMMYFUNCTION("""COMPUTED_VALUE"""),"Short")</f>
        <v>Short</v>
      </c>
      <c r="O57" s="248" t="str">
        <f>IFERROR(__xludf.DUMMYFUNCTION("""COMPUTED_VALUE"""),"dageki_1")</f>
        <v>dageki_1</v>
      </c>
      <c r="P57" s="248"/>
      <c r="Q57" s="248" t="str">
        <f>IFERROR(__xludf.DUMMYFUNCTION("""COMPUTED_VALUE"""),"1.97")</f>
        <v>1.97</v>
      </c>
      <c r="R57" s="248" t="str">
        <f>IFERROR(__xludf.DUMMYFUNCTION("""COMPUTED_VALUE"""),"1.10")</f>
        <v>1.10</v>
      </c>
      <c r="S57" s="246" t="str">
        <f>IFERROR(__xludf.DUMMYFUNCTION("""COMPUTED_VALUE"""),"2.67")</f>
        <v>2.67</v>
      </c>
      <c r="T57" s="246" t="str">
        <f>IFERROR(__xludf.DUMMYFUNCTION("""COMPUTED_VALUE"""),"1.62")</f>
        <v>1.62</v>
      </c>
      <c r="U57" s="246">
        <f>IFERROR(__xludf.DUMMYFUNCTION("""COMPUTED_VALUE"""),45922.458333333336)</f>
        <v>45922.45833</v>
      </c>
      <c r="V57" s="246">
        <f>IFERROR(__xludf.DUMMYFUNCTION("""COMPUTED_VALUE"""),390812.49998842593)</f>
        <v>390812.5</v>
      </c>
      <c r="W57" s="246"/>
      <c r="X57" s="246" t="str">
        <f>IFERROR(__xludf.DUMMYFUNCTION("""COMPUTED_VALUE"""),"enemy_icon_chara_kai_00501")</f>
        <v>enemy_icon_chara_kai_00501</v>
      </c>
      <c r="Y57" s="246" t="str">
        <f>IFERROR(__xludf.DUMMYFUNCTION("""COMPUTED_VALUE"""),"boss_icon_chara_kai_00501")</f>
        <v>boss_icon_chara_kai_00501</v>
      </c>
      <c r="Z57" s="246" t="str">
        <f>IFERROR(__xludf.DUMMYFUNCTION("""COMPUTED_VALUE"""),"chara_kai_00501_normal")</f>
        <v>chara_kai_00501_normal</v>
      </c>
    </row>
    <row r="58">
      <c r="A58" s="247" t="str">
        <f>IFERROR(__xludf.DUMMYFUNCTION("""COMPUTED_VALUE"""),"kai")</f>
        <v>kai</v>
      </c>
      <c r="B58" s="248" t="str">
        <f>IFERROR(__xludf.DUMMYFUNCTION("""COMPUTED_VALUE"""),"怪獣８号")</f>
        <v>怪獣８号</v>
      </c>
      <c r="C58" s="248" t="str">
        <f>IFERROR(__xludf.DUMMYFUNCTION("""COMPUTED_VALUE"""),"00601")</f>
        <v>00601</v>
      </c>
      <c r="D58" s="249" t="str">
        <f>IFERROR(__xludf.DUMMYFUNCTION("""COMPUTED_VALUE"""),"chara_kai_00601")</f>
        <v>chara_kai_00601</v>
      </c>
      <c r="E58" s="248" t="str">
        <f>IFERROR(__xludf.DUMMYFUNCTION("""COMPUTED_VALUE"""),"古橋 伊春")</f>
        <v>古橋 伊春</v>
      </c>
      <c r="F58" s="248" t="str">
        <f>IFERROR(__xludf.DUMMYFUNCTION("""COMPUTED_VALUE"""),"古橋 伊春")</f>
        <v>古橋 伊春</v>
      </c>
      <c r="G58" s="248" t="str">
        <f>IFERROR(__xludf.DUMMYFUNCTION("""COMPUTED_VALUE"""),"俺がお前を守るんだ バカヤロー")</f>
        <v>俺がお前を守るんだ バカヤロー</v>
      </c>
      <c r="H58" s="248" t="str">
        <f>IFERROR(__xludf.DUMMYFUNCTION("""COMPUTED_VALUE"""),"SR")</f>
        <v>SR</v>
      </c>
      <c r="I58" s="248" t="str">
        <f>IFERROR(__xludf.DUMMYFUNCTION("""COMPUTED_VALUE"""),"DropSR")</f>
        <v>DropSR</v>
      </c>
      <c r="J58" s="248" t="str">
        <f>IFERROR(__xludf.DUMMYFUNCTION("""COMPUTED_VALUE"""),"緑")</f>
        <v>緑</v>
      </c>
      <c r="K58" s="248" t="str">
        <f>IFERROR(__xludf.DUMMYFUNCTION("""COMPUTED_VALUE"""),"chara")</f>
        <v>chara</v>
      </c>
      <c r="L58" s="250" t="str">
        <f>IFERROR(__xludf.DUMMYFUNCTION("""COMPUTED_VALUE"""),"ディフェンス")</f>
        <v>ディフェンス</v>
      </c>
      <c r="M58" s="250" t="str">
        <f>IFERROR(__xludf.DUMMYFUNCTION("""COMPUTED_VALUE"""),"shageki_1")</f>
        <v>shageki_1</v>
      </c>
      <c r="N58" s="250" t="str">
        <f>IFERROR(__xludf.DUMMYFUNCTION("""COMPUTED_VALUE"""),"Middle")</f>
        <v>Middle</v>
      </c>
      <c r="O58" s="248" t="str">
        <f>IFERROR(__xludf.DUMMYFUNCTION("""COMPUTED_VALUE"""),"-")</f>
        <v>-</v>
      </c>
      <c r="P58" s="248"/>
      <c r="Q58" s="248" t="str">
        <f>IFERROR(__xludf.DUMMYFUNCTION("""COMPUTED_VALUE"""),"1.37")</f>
        <v>1.37</v>
      </c>
      <c r="R58" s="248" t="str">
        <f>IFERROR(__xludf.DUMMYFUNCTION("""COMPUTED_VALUE"""),"stop有:1回目 0.71")</f>
        <v>stop有:1回目 0.71</v>
      </c>
      <c r="S58" s="246" t="str">
        <f>IFERROR(__xludf.DUMMYFUNCTION("""COMPUTED_VALUE"""),"1.83")</f>
        <v>1.83</v>
      </c>
      <c r="T58" s="246" t="str">
        <f>IFERROR(__xludf.DUMMYFUNCTION("""COMPUTED_VALUE"""),"stop無:1回目 0.93")</f>
        <v>stop無:1回目 0.93</v>
      </c>
      <c r="U58" s="246">
        <f>IFERROR(__xludf.DUMMYFUNCTION("""COMPUTED_VALUE"""),45922.458333333336)</f>
        <v>45922.45833</v>
      </c>
      <c r="V58" s="246">
        <f>IFERROR(__xludf.DUMMYFUNCTION("""COMPUTED_VALUE"""),390812.49998842593)</f>
        <v>390812.5</v>
      </c>
      <c r="W58" s="246"/>
      <c r="X58" s="246" t="str">
        <f>IFERROR(__xludf.DUMMYFUNCTION("""COMPUTED_VALUE"""),"enemy_icon_chara_kai_00601")</f>
        <v>enemy_icon_chara_kai_00601</v>
      </c>
      <c r="Y58" s="246" t="str">
        <f>IFERROR(__xludf.DUMMYFUNCTION("""COMPUTED_VALUE"""),"boss_icon_chara_kai_00601")</f>
        <v>boss_icon_chara_kai_00601</v>
      </c>
      <c r="Z58" s="246" t="str">
        <f>IFERROR(__xludf.DUMMYFUNCTION("""COMPUTED_VALUE"""),"chara_kai_00601_normal")</f>
        <v>chara_kai_00601_normal</v>
      </c>
    </row>
    <row r="59">
      <c r="A59" s="247" t="str">
        <f>IFERROR(__xludf.DUMMYFUNCTION("""COMPUTED_VALUE"""),"kai")</f>
        <v>kai</v>
      </c>
      <c r="B59" s="248" t="str">
        <f>IFERROR(__xludf.DUMMYFUNCTION("""COMPUTED_VALUE"""),"怪獣８号")</f>
        <v>怪獣８号</v>
      </c>
      <c r="C59" s="248" t="str">
        <f>IFERROR(__xludf.DUMMYFUNCTION("""COMPUTED_VALUE"""),"00701")</f>
        <v>00701</v>
      </c>
      <c r="D59" s="249" t="str">
        <f>IFERROR(__xludf.DUMMYFUNCTION("""COMPUTED_VALUE"""),"chara_kai_00701")</f>
        <v>chara_kai_00701</v>
      </c>
      <c r="E59" s="248" t="str">
        <f>IFERROR(__xludf.DUMMYFUNCTION("""COMPUTED_VALUE"""),"識別怪獣兵器1 鳴海 弦")</f>
        <v>識別怪獣兵器1 鳴海 弦</v>
      </c>
      <c r="F59" s="248" t="str">
        <f>IFERROR(__xludf.DUMMYFUNCTION("""COMPUTED_VALUE"""),"識別怪獣兵器1 鳴海 弦")</f>
        <v>識別怪獣兵器1 鳴海 弦</v>
      </c>
      <c r="G59" s="248" t="str">
        <f>IFERROR(__xludf.DUMMYFUNCTION("""COMPUTED_VALUE"""),"隊式銃剣術6式 七枝刀")</f>
        <v>隊式銃剣術6式 七枝刀</v>
      </c>
      <c r="H59" s="248" t="str">
        <f>IFERROR(__xludf.DUMMYFUNCTION("""COMPUTED_VALUE"""),"UR")</f>
        <v>UR</v>
      </c>
      <c r="I59" s="248" t="str">
        <f>IFERROR(__xludf.DUMMYFUNCTION("""COMPUTED_VALUE"""),"FestivalUR")</f>
        <v>FestivalUR</v>
      </c>
      <c r="J59" s="248" t="str">
        <f>IFERROR(__xludf.DUMMYFUNCTION("""COMPUTED_VALUE"""),"黄")</f>
        <v>黄</v>
      </c>
      <c r="K59" s="248" t="str">
        <f>IFERROR(__xludf.DUMMYFUNCTION("""COMPUTED_VALUE"""),"chara")</f>
        <v>chara</v>
      </c>
      <c r="L59" s="250" t="str">
        <f>IFERROR(__xludf.DUMMYFUNCTION("""COMPUTED_VALUE"""),"ディフェンス")</f>
        <v>ディフェンス</v>
      </c>
      <c r="M59" s="250"/>
      <c r="N59" s="250"/>
      <c r="O59" s="248"/>
      <c r="P59" s="248"/>
      <c r="Q59" s="248" t="str">
        <f>IFERROR(__xludf.DUMMYFUNCTION("""COMPUTED_VALUE"""),"1.3")</f>
        <v>1.3</v>
      </c>
      <c r="R59" s="248" t="str">
        <f>IFERROR(__xludf.DUMMYFUNCTION("""COMPUTED_VALUE"""),"stop有:1回目 0.13")</f>
        <v>stop有:1回目 0.13</v>
      </c>
      <c r="S59" s="246" t="str">
        <f>IFERROR(__xludf.DUMMYFUNCTION("""COMPUTED_VALUE"""),"2.88")</f>
        <v>2.88</v>
      </c>
      <c r="T59" s="246" t="str">
        <f>IFERROR(__xludf.DUMMYFUNCTION("""COMPUTED_VALUE"""),"stop有:1回目 1.2")</f>
        <v>stop有:1回目 1.2</v>
      </c>
      <c r="U59" s="246" t="str">
        <f>IFERROR(__xludf.DUMMYFUNCTION("""COMPUTED_VALUE"""),"2026/07/上旬")</f>
        <v>2026/07/上旬</v>
      </c>
      <c r="V59" s="246">
        <f>IFERROR(__xludf.DUMMYFUNCTION("""COMPUTED_VALUE"""),390812.49998842593)</f>
        <v>390812.5</v>
      </c>
      <c r="W59" s="246" t="str">
        <f>IFERROR(__xludf.DUMMYFUNCTION("""COMPUTED_VALUE"""),"catchcopy_character_chara_kai_00701.png")</f>
        <v>catchcopy_character_chara_kai_00701.png</v>
      </c>
      <c r="X59" s="246" t="str">
        <f>IFERROR(__xludf.DUMMYFUNCTION("""COMPUTED_VALUE"""),"enemy_icon_chara_kai_00701")</f>
        <v>enemy_icon_chara_kai_00701</v>
      </c>
      <c r="Y59" s="246" t="str">
        <f>IFERROR(__xludf.DUMMYFUNCTION("""COMPUTED_VALUE"""),"boss_icon_chara_kai_00701")</f>
        <v>boss_icon_chara_kai_00701</v>
      </c>
      <c r="Z59" s="246"/>
    </row>
    <row r="60">
      <c r="A60" s="247" t="str">
        <f>IFERROR(__xludf.DUMMYFUNCTION("""COMPUTED_VALUE"""),"kai")</f>
        <v>kai</v>
      </c>
      <c r="B60" s="248" t="str">
        <f>IFERROR(__xludf.DUMMYFUNCTION("""COMPUTED_VALUE"""),"怪獣８号")</f>
        <v>怪獣８号</v>
      </c>
      <c r="C60" s="248" t="str">
        <f>IFERROR(__xludf.DUMMYFUNCTION("""COMPUTED_VALUE"""),"00801")</f>
        <v>00801</v>
      </c>
      <c r="D60" s="249" t="str">
        <f>IFERROR(__xludf.DUMMYFUNCTION("""COMPUTED_VALUE"""),"chara_kai_00801")</f>
        <v>chara_kai_00801</v>
      </c>
      <c r="E60" s="248" t="str">
        <f>IFERROR(__xludf.DUMMYFUNCTION("""COMPUTED_VALUE"""),"東雲 りん")</f>
        <v>東雲 りん</v>
      </c>
      <c r="F60" s="248" t="str">
        <f>IFERROR(__xludf.DUMMYFUNCTION("""COMPUTED_VALUE"""),"選定中")</f>
        <v>選定中</v>
      </c>
      <c r="G60" s="248"/>
      <c r="H60" s="248" t="str">
        <f>IFERROR(__xludf.DUMMYFUNCTION("""COMPUTED_VALUE"""),"SR")</f>
        <v>SR</v>
      </c>
      <c r="I60" s="248" t="str">
        <f>IFERROR(__xludf.DUMMYFUNCTION("""COMPUTED_VALUE"""),"DropSR")</f>
        <v>DropSR</v>
      </c>
      <c r="J60" s="248" t="str">
        <f>IFERROR(__xludf.DUMMYFUNCTION("""COMPUTED_VALUE"""),"黄")</f>
        <v>黄</v>
      </c>
      <c r="K60" s="248" t="str">
        <f>IFERROR(__xludf.DUMMYFUNCTION("""COMPUTED_VALUE"""),"chara")</f>
        <v>chara</v>
      </c>
      <c r="L60" s="250" t="str">
        <f>IFERROR(__xludf.DUMMYFUNCTION("""COMPUTED_VALUE"""),"ディフェンス")</f>
        <v>ディフェンス</v>
      </c>
      <c r="M60" s="250"/>
      <c r="N60" s="250"/>
      <c r="O60" s="248"/>
      <c r="P60" s="248"/>
      <c r="Q60" s="248" t="str">
        <f>IFERROR(__xludf.DUMMYFUNCTION("""COMPUTED_VALUE"""),"1.6")</f>
        <v>1.6</v>
      </c>
      <c r="R60" s="248" t="str">
        <f>IFERROR(__xludf.DUMMYFUNCTION("""COMPUTED_VALUE"""),"stop無:1回目 0.6
stop無:2回目 0.58
stop無:3回目 0.63")</f>
        <v>stop無:1回目 0.6
stop無:2回目 0.58
stop無:3回目 0.63</v>
      </c>
      <c r="S60" s="246" t="str">
        <f>IFERROR(__xludf.DUMMYFUNCTION("""COMPUTED_VALUE"""),"2.5")</f>
        <v>2.5</v>
      </c>
      <c r="T60" s="246" t="str">
        <f>IFERROR(__xludf.DUMMYFUNCTION("""COMPUTED_VALUE"""),"stop無:1回目 0.77
stop無:2回目 0.98
stop無:3回目 1.18
stop無:4回目 1.39
stop有:5回目 1.6")</f>
        <v>stop無:1回目 0.77
stop無:2回目 0.98
stop無:3回目 1.18
stop無:4回目 1.39
stop有:5回目 1.6</v>
      </c>
      <c r="U60" s="246" t="str">
        <f>IFERROR(__xludf.DUMMYFUNCTION("""COMPUTED_VALUE"""),"2026/07/上旬")</f>
        <v>2026/07/上旬</v>
      </c>
      <c r="V60" s="246">
        <f>IFERROR(__xludf.DUMMYFUNCTION("""COMPUTED_VALUE"""),390812.49998842593)</f>
        <v>390812.5</v>
      </c>
      <c r="W60" s="246" t="str">
        <f>IFERROR(__xludf.DUMMYFUNCTION("""COMPUTED_VALUE"""),"catchcopy_character_chara_kai_00801.png")</f>
        <v>catchcopy_character_chara_kai_00801.png</v>
      </c>
      <c r="X60" s="246" t="str">
        <f>IFERROR(__xludf.DUMMYFUNCTION("""COMPUTED_VALUE"""),"enemy_icon_chara_kai_00801")</f>
        <v>enemy_icon_chara_kai_00801</v>
      </c>
      <c r="Y60" s="246" t="str">
        <f>IFERROR(__xludf.DUMMYFUNCTION("""COMPUTED_VALUE"""),"boss_icon_chara_kai_00801")</f>
        <v>boss_icon_chara_kai_00801</v>
      </c>
      <c r="Z60" s="246"/>
    </row>
    <row r="61">
      <c r="A61" s="247" t="str">
        <f>IFERROR(__xludf.DUMMYFUNCTION("""COMPUTED_VALUE"""),"kai")</f>
        <v>kai</v>
      </c>
      <c r="B61" s="248" t="str">
        <f>IFERROR(__xludf.DUMMYFUNCTION("""COMPUTED_VALUE"""),"怪獣８号")</f>
        <v>怪獣８号</v>
      </c>
      <c r="C61" s="248" t="str">
        <f>IFERROR(__xludf.DUMMYFUNCTION("""COMPUTED_VALUE"""),"00901")</f>
        <v>00901</v>
      </c>
      <c r="D61" s="249" t="str">
        <f>IFERROR(__xludf.DUMMYFUNCTION("""COMPUTED_VALUE"""),"chara_kai_00901")</f>
        <v>chara_kai_00901</v>
      </c>
      <c r="E61" s="248" t="str">
        <f>IFERROR(__xludf.DUMMYFUNCTION("""COMPUTED_VALUE"""),"四ノ宮ヒカリ")</f>
        <v>四ノ宮ヒカリ</v>
      </c>
      <c r="F61" s="248" t="str">
        <f>IFERROR(__xludf.DUMMYFUNCTION("""COMPUTED_VALUE"""),"選定中")</f>
        <v>選定中</v>
      </c>
      <c r="G61" s="248"/>
      <c r="H61" s="248" t="str">
        <f>IFERROR(__xludf.DUMMYFUNCTION("""COMPUTED_VALUE"""),"SSR")</f>
        <v>SSR</v>
      </c>
      <c r="I61" s="248" t="str">
        <f>IFERROR(__xludf.DUMMYFUNCTION("""COMPUTED_VALUE"""),"PremiumSSR")</f>
        <v>PremiumSSR</v>
      </c>
      <c r="J61" s="248" t="str">
        <f>IFERROR(__xludf.DUMMYFUNCTION("""COMPUTED_VALUE"""),"無")</f>
        <v>無</v>
      </c>
      <c r="K61" s="248" t="str">
        <f>IFERROR(__xludf.DUMMYFUNCTION("""COMPUTED_VALUE"""),"chara")</f>
        <v>chara</v>
      </c>
      <c r="L61" s="250" t="str">
        <f>IFERROR(__xludf.DUMMYFUNCTION("""COMPUTED_VALUE"""),"スペシャル")</f>
        <v>スペシャル</v>
      </c>
      <c r="M61" s="250"/>
      <c r="N61" s="250"/>
      <c r="O61" s="248"/>
      <c r="P61" s="248"/>
      <c r="Q61" s="248" t="str">
        <f>IFERROR(__xludf.DUMMYFUNCTION("""COMPUTED_VALUE"""),"-")</f>
        <v>-</v>
      </c>
      <c r="R61" s="248" t="str">
        <f>IFERROR(__xludf.DUMMYFUNCTION("""COMPUTED_VALUE"""),"-")</f>
        <v>-</v>
      </c>
      <c r="S61" s="246" t="str">
        <f>IFERROR(__xludf.DUMMYFUNCTION("""COMPUTED_VALUE"""),"3.65")</f>
        <v>3.65</v>
      </c>
      <c r="T61" s="246" t="str">
        <f>IFERROR(__xludf.DUMMYFUNCTION("""COMPUTED_VALUE"""),"stop無:1回目 0.51")</f>
        <v>stop無:1回目 0.51</v>
      </c>
      <c r="U61" s="246" t="str">
        <f>IFERROR(__xludf.DUMMYFUNCTION("""COMPUTED_VALUE"""),"2026/07/上旬")</f>
        <v>2026/07/上旬</v>
      </c>
      <c r="V61" s="246">
        <f>IFERROR(__xludf.DUMMYFUNCTION("""COMPUTED_VALUE"""),390812.49998842593)</f>
        <v>390812.5</v>
      </c>
      <c r="W61" s="246" t="str">
        <f>IFERROR(__xludf.DUMMYFUNCTION("""COMPUTED_VALUE"""),"catchcopy_character_chara_kai_00901.png")</f>
        <v>catchcopy_character_chara_kai_00901.png</v>
      </c>
      <c r="X61" s="246" t="str">
        <f>IFERROR(__xludf.DUMMYFUNCTION("""COMPUTED_VALUE"""),"enemy_icon_chara_kai_00901")</f>
        <v>enemy_icon_chara_kai_00901</v>
      </c>
      <c r="Y61" s="246" t="str">
        <f>IFERROR(__xludf.DUMMYFUNCTION("""COMPUTED_VALUE"""),"boss_icon_chara_kai_00901")</f>
        <v>boss_icon_chara_kai_00901</v>
      </c>
      <c r="Z61" s="246"/>
    </row>
    <row r="62">
      <c r="A62" s="247" t="str">
        <f>IFERROR(__xludf.DUMMYFUNCTION("""COMPUTED_VALUE"""),"kai")</f>
        <v>kai</v>
      </c>
      <c r="B62" s="248" t="str">
        <f>IFERROR(__xludf.DUMMYFUNCTION("""COMPUTED_VALUE"""),"怪獣８号")</f>
        <v>怪獣８号</v>
      </c>
      <c r="C62" s="248" t="str">
        <f>IFERROR(__xludf.DUMMYFUNCTION("""COMPUTED_VALUE"""),"01001")</f>
        <v>01001</v>
      </c>
      <c r="D62" s="249" t="str">
        <f>IFERROR(__xludf.DUMMYFUNCTION("""COMPUTED_VALUE"""),"chara_kai_01001")</f>
        <v>chara_kai_01001</v>
      </c>
      <c r="E62" s="248" t="str">
        <f>IFERROR(__xludf.DUMMYFUNCTION("""COMPUTED_VALUE"""),"怪獣15号")</f>
        <v>怪獣15号</v>
      </c>
      <c r="F62" s="248" t="str">
        <f>IFERROR(__xludf.DUMMYFUNCTION("""COMPUTED_VALUE"""),"選定中")</f>
        <v>選定中</v>
      </c>
      <c r="G62" s="248"/>
      <c r="H62" s="248" t="str">
        <f>IFERROR(__xludf.DUMMYFUNCTION("""COMPUTED_VALUE"""),"SR")</f>
        <v>SR</v>
      </c>
      <c r="I62" s="248" t="str">
        <f>IFERROR(__xludf.DUMMYFUNCTION("""COMPUTED_VALUE"""),"DropSR")</f>
        <v>DropSR</v>
      </c>
      <c r="J62" s="248" t="str">
        <f>IFERROR(__xludf.DUMMYFUNCTION("""COMPUTED_VALUE"""),"青")</f>
        <v>青</v>
      </c>
      <c r="K62" s="248" t="str">
        <f>IFERROR(__xludf.DUMMYFUNCTION("""COMPUTED_VALUE"""),"chara")</f>
        <v>chara</v>
      </c>
      <c r="L62" s="250"/>
      <c r="M62" s="250"/>
      <c r="N62" s="250"/>
      <c r="O62" s="248"/>
      <c r="P62" s="248"/>
      <c r="Q62" s="248"/>
      <c r="R62" s="248"/>
      <c r="S62" s="246"/>
      <c r="T62" s="246"/>
      <c r="U62" s="246"/>
      <c r="V62" s="246"/>
      <c r="W62" s="246"/>
      <c r="X62" s="246"/>
      <c r="Y62" s="246"/>
      <c r="Z62" s="246"/>
    </row>
    <row r="63">
      <c r="A63" s="247" t="str">
        <f>IFERROR(__xludf.DUMMYFUNCTION("""COMPUTED_VALUE"""),"yuw")</f>
        <v>yuw</v>
      </c>
      <c r="B63" s="248" t="str">
        <f>IFERROR(__xludf.DUMMYFUNCTION("""COMPUTED_VALUE"""),"2.5次元の誘惑")</f>
        <v>2.5次元の誘惑</v>
      </c>
      <c r="C63" s="248" t="str">
        <f>IFERROR(__xludf.DUMMYFUNCTION("""COMPUTED_VALUE"""),"00001")</f>
        <v>00001</v>
      </c>
      <c r="D63" s="249" t="str">
        <f>IFERROR(__xludf.DUMMYFUNCTION("""COMPUTED_VALUE"""),"chara_yuw_00001")</f>
        <v>chara_yuw_00001</v>
      </c>
      <c r="E63" s="248" t="str">
        <f>IFERROR(__xludf.DUMMYFUNCTION("""COMPUTED_VALUE"""),"リリエルに捧ぐ愛 天乃 リリサ")</f>
        <v>リリエルに捧ぐ愛 天乃 リリサ</v>
      </c>
      <c r="F63" s="248" t="str">
        <f>IFERROR(__xludf.DUMMYFUNCTION("""COMPUTED_VALUE"""),"リリエルに捧ぐ愛 天乃 リリサ")</f>
        <v>リリエルに捧ぐ愛 天乃 リリサ</v>
      </c>
      <c r="G63" s="248" t="str">
        <f>IFERROR(__xludf.DUMMYFUNCTION("""COMPUTED_VALUE"""),"リリエル爆破!!")</f>
        <v>リリエル爆破!!</v>
      </c>
      <c r="H63" s="248" t="str">
        <f>IFERROR(__xludf.DUMMYFUNCTION("""COMPUTED_VALUE"""),"UR")</f>
        <v>UR</v>
      </c>
      <c r="I63" s="248" t="str">
        <f>IFERROR(__xludf.DUMMYFUNCTION("""COMPUTED_VALUE"""),"PremiumUR")</f>
        <v>PremiumUR</v>
      </c>
      <c r="J63" s="248" t="str">
        <f>IFERROR(__xludf.DUMMYFUNCTION("""COMPUTED_VALUE"""),"黄")</f>
        <v>黄</v>
      </c>
      <c r="K63" s="248" t="str">
        <f>IFERROR(__xludf.DUMMYFUNCTION("""COMPUTED_VALUE"""),"chara")</f>
        <v>chara</v>
      </c>
      <c r="L63" s="250" t="str">
        <f>IFERROR(__xludf.DUMMYFUNCTION("""COMPUTED_VALUE"""),"アタック")</f>
        <v>アタック</v>
      </c>
      <c r="M63" s="250" t="str">
        <f>IFERROR(__xludf.DUMMYFUNCTION("""COMPUTED_VALUE"""),"dageki_2")</f>
        <v>dageki_2</v>
      </c>
      <c r="N63" s="250" t="str">
        <f>IFERROR(__xludf.DUMMYFUNCTION("""COMPUTED_VALUE"""),"Middle")</f>
        <v>Middle</v>
      </c>
      <c r="O63" s="248" t="str">
        <f>IFERROR(__xludf.DUMMYFUNCTION("""COMPUTED_VALUE"""),"-")</f>
        <v>-</v>
      </c>
      <c r="P63" s="248" t="str">
        <f>IFERROR(__xludf.DUMMYFUNCTION("""COMPUTED_VALUE"""),"00001")</f>
        <v>00001</v>
      </c>
      <c r="Q63" s="248" t="str">
        <f>IFERROR(__xludf.DUMMYFUNCTION("""COMPUTED_VALUE"""),"1.54")</f>
        <v>1.54</v>
      </c>
      <c r="R63" s="248" t="str">
        <f>IFERROR(__xludf.DUMMYFUNCTION("""COMPUTED_VALUE"""),"0.50")</f>
        <v>0.50</v>
      </c>
      <c r="S63" s="246" t="str">
        <f>IFERROR(__xludf.DUMMYFUNCTION("""COMPUTED_VALUE"""),"3.67")</f>
        <v>3.67</v>
      </c>
      <c r="T63" s="246" t="str">
        <f>IFERROR(__xludf.DUMMYFUNCTION("""COMPUTED_VALUE"""),"2.44")</f>
        <v>2.44</v>
      </c>
      <c r="U63" s="246">
        <f>IFERROR(__xludf.DUMMYFUNCTION("""COMPUTED_VALUE"""),45922.458333333336)</f>
        <v>45922.45833</v>
      </c>
      <c r="V63" s="246">
        <f>IFERROR(__xludf.DUMMYFUNCTION("""COMPUTED_VALUE"""),390812.49998842593)</f>
        <v>390812.5</v>
      </c>
      <c r="W63" s="246" t="str">
        <f>IFERROR(__xludf.DUMMYFUNCTION("""COMPUTED_VALUE"""),"catchcopy_character_chara_yuw_00001.png")</f>
        <v>catchcopy_character_chara_yuw_00001.png</v>
      </c>
      <c r="X63" s="246" t="str">
        <f>IFERROR(__xludf.DUMMYFUNCTION("""COMPUTED_VALUE"""),"enemy_icon_chara_yuw_00001")</f>
        <v>enemy_icon_chara_yuw_00001</v>
      </c>
      <c r="Y63" s="246" t="str">
        <f>IFERROR(__xludf.DUMMYFUNCTION("""COMPUTED_VALUE"""),"boss_icon_chara_yuw_00001")</f>
        <v>boss_icon_chara_yuw_00001</v>
      </c>
      <c r="Z63" s="246" t="str">
        <f>IFERROR(__xludf.DUMMYFUNCTION("""COMPUTED_VALUE"""),"chara_yuw_00001_normal")</f>
        <v>chara_yuw_00001_normal</v>
      </c>
    </row>
    <row r="64">
      <c r="A64" s="247" t="str">
        <f>IFERROR(__xludf.DUMMYFUNCTION("""COMPUTED_VALUE"""),"yuw")</f>
        <v>yuw</v>
      </c>
      <c r="B64" s="248" t="str">
        <f>IFERROR(__xludf.DUMMYFUNCTION("""COMPUTED_VALUE"""),"2.5次元の誘惑")</f>
        <v>2.5次元の誘惑</v>
      </c>
      <c r="C64" s="248" t="str">
        <f>IFERROR(__xludf.DUMMYFUNCTION("""COMPUTED_VALUE"""),"00002")</f>
        <v>00002</v>
      </c>
      <c r="D64" s="249" t="str">
        <f>IFERROR(__xludf.DUMMYFUNCTION("""COMPUTED_VALUE"""),"chara_yuw_00002")</f>
        <v>chara_yuw_00002</v>
      </c>
      <c r="E64" s="248" t="str">
        <f>IFERROR(__xludf.DUMMYFUNCTION("""COMPUTED_VALUE"""),"天乃 リリサ(クリスマス)")</f>
        <v>天乃 リリサ(クリスマス)</v>
      </c>
      <c r="F64" s="248" t="str">
        <f>IFERROR(__xludf.DUMMYFUNCTION("""COMPUTED_VALUE"""),"選定中")</f>
        <v>選定中</v>
      </c>
      <c r="G64" s="248"/>
      <c r="H64" s="248" t="str">
        <f>IFERROR(__xludf.DUMMYFUNCTION("""COMPUTED_VALUE"""),"UR")</f>
        <v>UR</v>
      </c>
      <c r="I64" s="248" t="str">
        <f>IFERROR(__xludf.DUMMYFUNCTION("""COMPUTED_VALUE"""),"PremiumUR")</f>
        <v>PremiumUR</v>
      </c>
      <c r="J64" s="248" t="str">
        <f>IFERROR(__xludf.DUMMYFUNCTION("""COMPUTED_VALUE"""),"緑")</f>
        <v>緑</v>
      </c>
      <c r="K64" s="248" t="str">
        <f>IFERROR(__xludf.DUMMYFUNCTION("""COMPUTED_VALUE"""),"chara")</f>
        <v>chara</v>
      </c>
      <c r="L64" s="250" t="str">
        <f>IFERROR(__xludf.DUMMYFUNCTION("""COMPUTED_VALUE"""),"サポート")</f>
        <v>サポート</v>
      </c>
      <c r="M64" s="250"/>
      <c r="N64" s="250"/>
      <c r="O64" s="248"/>
      <c r="P64" s="248"/>
      <c r="Q64" s="248"/>
      <c r="R64" s="248"/>
      <c r="S64" s="246"/>
      <c r="T64" s="246"/>
      <c r="U64" s="246" t="str">
        <f>IFERROR(__xludf.DUMMYFUNCTION("""COMPUTED_VALUE"""),"実装未定")</f>
        <v>実装未定</v>
      </c>
      <c r="V64" s="246">
        <f>IFERROR(__xludf.DUMMYFUNCTION("""COMPUTED_VALUE"""),390812.49998842593)</f>
        <v>390812.5</v>
      </c>
      <c r="W64" s="246"/>
      <c r="X64" s="246" t="str">
        <f>IFERROR(__xludf.DUMMYFUNCTION("""COMPUTED_VALUE"""),"enemy_icon_chara_yuw_00002")</f>
        <v>enemy_icon_chara_yuw_00002</v>
      </c>
      <c r="Y64" s="246" t="str">
        <f>IFERROR(__xludf.DUMMYFUNCTION("""COMPUTED_VALUE"""),"boss_icon_chara_yuw_00002")</f>
        <v>boss_icon_chara_yuw_00002</v>
      </c>
      <c r="Z64" s="246"/>
    </row>
    <row r="65">
      <c r="A65" s="247" t="str">
        <f>IFERROR(__xludf.DUMMYFUNCTION("""COMPUTED_VALUE"""),"yuw")</f>
        <v>yuw</v>
      </c>
      <c r="B65" s="248" t="str">
        <f>IFERROR(__xludf.DUMMYFUNCTION("""COMPUTED_VALUE"""),"2.5次元の誘惑")</f>
        <v>2.5次元の誘惑</v>
      </c>
      <c r="C65" s="248" t="str">
        <f>IFERROR(__xludf.DUMMYFUNCTION("""COMPUTED_VALUE"""),"00101")</f>
        <v>00101</v>
      </c>
      <c r="D65" s="249" t="str">
        <f>IFERROR(__xludf.DUMMYFUNCTION("""COMPUTED_VALUE"""),"chara_yuw_00101")</f>
        <v>chara_yuw_00101</v>
      </c>
      <c r="E65" s="248" t="str">
        <f>IFERROR(__xludf.DUMMYFUNCTION("""COMPUTED_VALUE"""),"コスプレに託す乙女心 橘 美花莉")</f>
        <v>コスプレに託す乙女心 橘 美花莉</v>
      </c>
      <c r="F65" s="248" t="str">
        <f>IFERROR(__xludf.DUMMYFUNCTION("""COMPUTED_VALUE"""),"コスプレに託す乙女心 橘 美花莉")</f>
        <v>コスプレに託す乙女心 橘 美花莉</v>
      </c>
      <c r="G65" s="248" t="str">
        <f>IFERROR(__xludf.DUMMYFUNCTION("""COMPUTED_VALUE"""),"私を見てよ！")</f>
        <v>私を見てよ！</v>
      </c>
      <c r="H65" s="248" t="str">
        <f>IFERROR(__xludf.DUMMYFUNCTION("""COMPUTED_VALUE"""),"UR")</f>
        <v>UR</v>
      </c>
      <c r="I65" s="248" t="str">
        <f>IFERROR(__xludf.DUMMYFUNCTION("""COMPUTED_VALUE"""),"PremiumUR")</f>
        <v>PremiumUR</v>
      </c>
      <c r="J65" s="248" t="str">
        <f>IFERROR(__xludf.DUMMYFUNCTION("""COMPUTED_VALUE"""),"緑")</f>
        <v>緑</v>
      </c>
      <c r="K65" s="248" t="str">
        <f>IFERROR(__xludf.DUMMYFUNCTION("""COMPUTED_VALUE"""),"chara")</f>
        <v>chara</v>
      </c>
      <c r="L65" s="250" t="str">
        <f>IFERROR(__xludf.DUMMYFUNCTION("""COMPUTED_VALUE"""),"テクニカル")</f>
        <v>テクニカル</v>
      </c>
      <c r="M65" s="250" t="str">
        <f>IFERROR(__xludf.DUMMYFUNCTION("""COMPUTED_VALUE"""),"dageki_1")</f>
        <v>dageki_1</v>
      </c>
      <c r="N65" s="250" t="str">
        <f>IFERROR(__xludf.DUMMYFUNCTION("""COMPUTED_VALUE"""),"Short")</f>
        <v>Short</v>
      </c>
      <c r="O65" s="248" t="str">
        <f>IFERROR(__xludf.DUMMYFUNCTION("""COMPUTED_VALUE"""),"-")</f>
        <v>-</v>
      </c>
      <c r="P65" s="248" t="str">
        <f>IFERROR(__xludf.DUMMYFUNCTION("""COMPUTED_VALUE"""),"00101")</f>
        <v>00101</v>
      </c>
      <c r="Q65" s="248" t="str">
        <f>IFERROR(__xludf.DUMMYFUNCTION("""COMPUTED_VALUE"""),"1.50")</f>
        <v>1.50</v>
      </c>
      <c r="R65" s="248"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S65" s="246" t="str">
        <f>IFERROR(__xludf.DUMMYFUNCTION("""COMPUTED_VALUE"""),"3.50")</f>
        <v>3.50</v>
      </c>
      <c r="T65" s="246" t="str">
        <f>IFERROR(__xludf.DUMMYFUNCTION("""COMPUTED_VALUE"""),"stop無: 1回目 3.20")</f>
        <v>stop無: 1回目 3.20</v>
      </c>
      <c r="U65" s="246">
        <f>IFERROR(__xludf.DUMMYFUNCTION("""COMPUTED_VALUE"""),45922.458333333336)</f>
        <v>45922.45833</v>
      </c>
      <c r="V65" s="246">
        <f>IFERROR(__xludf.DUMMYFUNCTION("""COMPUTED_VALUE"""),390812.49998842593)</f>
        <v>390812.5</v>
      </c>
      <c r="W65" s="246" t="str">
        <f>IFERROR(__xludf.DUMMYFUNCTION("""COMPUTED_VALUE"""),"catchcopy_character_chara_yuw_00101.png")</f>
        <v>catchcopy_character_chara_yuw_00101.png</v>
      </c>
      <c r="X65" s="246" t="str">
        <f>IFERROR(__xludf.DUMMYFUNCTION("""COMPUTED_VALUE"""),"enemy_icon_chara_yuw_00101")</f>
        <v>enemy_icon_chara_yuw_00101</v>
      </c>
      <c r="Y65" s="246" t="str">
        <f>IFERROR(__xludf.DUMMYFUNCTION("""COMPUTED_VALUE"""),"boss_icon_chara_yuw_00101")</f>
        <v>boss_icon_chara_yuw_00101</v>
      </c>
      <c r="Z65" s="246" t="str">
        <f>IFERROR(__xludf.DUMMYFUNCTION("""COMPUTED_VALUE"""),"chara_yuw_00101_normal")</f>
        <v>chara_yuw_00101_normal</v>
      </c>
    </row>
    <row r="66">
      <c r="A66" s="247" t="str">
        <f>IFERROR(__xludf.DUMMYFUNCTION("""COMPUTED_VALUE"""),"yuw")</f>
        <v>yuw</v>
      </c>
      <c r="B66" s="248" t="str">
        <f>IFERROR(__xludf.DUMMYFUNCTION("""COMPUTED_VALUE"""),"2.5次元の誘惑")</f>
        <v>2.5次元の誘惑</v>
      </c>
      <c r="C66" s="248" t="str">
        <f>IFERROR(__xludf.DUMMYFUNCTION("""COMPUTED_VALUE"""),"00102")</f>
        <v>00102</v>
      </c>
      <c r="D66" s="249" t="str">
        <f>IFERROR(__xludf.DUMMYFUNCTION("""COMPUTED_VALUE"""),"chara_yuw_00102")</f>
        <v>chara_yuw_00102</v>
      </c>
      <c r="E66" s="248" t="str">
        <f>IFERROR(__xludf.DUMMYFUNCTION("""COMPUTED_VALUE"""),"クリスマス 橘 美花莉")</f>
        <v>クリスマス 橘 美花莉</v>
      </c>
      <c r="F66" s="248" t="str">
        <f>IFERROR(__xludf.DUMMYFUNCTION("""COMPUTED_VALUE"""),"愛届ける聖夜のサンタ 橘 美花莉")</f>
        <v>愛届ける聖夜のサンタ 橘 美花莉</v>
      </c>
      <c r="G66" s="248" t="str">
        <f>IFERROR(__xludf.DUMMYFUNCTION("""COMPUTED_VALUE"""),"プレゼントは私だよ〜♡")</f>
        <v>プレゼントは私だよ〜♡</v>
      </c>
      <c r="H66" s="248" t="str">
        <f>IFERROR(__xludf.DUMMYFUNCTION("""COMPUTED_VALUE"""),"UR")</f>
        <v>UR</v>
      </c>
      <c r="I66" s="248" t="str">
        <f>IFERROR(__xludf.DUMMYFUNCTION("""COMPUTED_VALUE"""),"FestivalUR")</f>
        <v>FestivalUR</v>
      </c>
      <c r="J66" s="248" t="str">
        <f>IFERROR(__xludf.DUMMYFUNCTION("""COMPUTED_VALUE"""),"緑")</f>
        <v>緑</v>
      </c>
      <c r="K66" s="248" t="str">
        <f>IFERROR(__xludf.DUMMYFUNCTION("""COMPUTED_VALUE"""),"chara")</f>
        <v>chara</v>
      </c>
      <c r="L66" s="250" t="str">
        <f>IFERROR(__xludf.DUMMYFUNCTION("""COMPUTED_VALUE"""),"サポート")</f>
        <v>サポート</v>
      </c>
      <c r="M66" s="250" t="str">
        <f>IFERROR(__xludf.DUMMYFUNCTION("""COMPUTED_VALUE"""),"dageki_1")</f>
        <v>dageki_1</v>
      </c>
      <c r="N66" s="250" t="str">
        <f>IFERROR(__xludf.DUMMYFUNCTION("""COMPUTED_VALUE"""),"Short")</f>
        <v>Short</v>
      </c>
      <c r="O66" s="248" t="str">
        <f>IFERROR(__xludf.DUMMYFUNCTION("""COMPUTED_VALUE"""),"-")</f>
        <v>-</v>
      </c>
      <c r="P66" s="248"/>
      <c r="Q66" s="248" t="str">
        <f>IFERROR(__xludf.DUMMYFUNCTION("""COMPUTED_VALUE"""),"1.67")</f>
        <v>1.67</v>
      </c>
      <c r="R66" s="248" t="str">
        <f>IFERROR(__xludf.DUMMYFUNCTION("""COMPUTED_VALUE"""),"stop有:1回目 0.50")</f>
        <v>stop有:1回目 0.50</v>
      </c>
      <c r="S66" s="246" t="str">
        <f>IFERROR(__xludf.DUMMYFUNCTION("""COMPUTED_VALUE"""),"3.5")</f>
        <v>3.5</v>
      </c>
      <c r="T66" s="246" t="str">
        <f>IFERROR(__xludf.DUMMYFUNCTION("""COMPUTED_VALUE"""),"stop無: 1回目 2.00")</f>
        <v>stop無: 1回目 2.00</v>
      </c>
      <c r="U66" s="246">
        <f>IFERROR(__xludf.DUMMYFUNCTION("""COMPUTED_VALUE"""),46013.5)</f>
        <v>46013.5</v>
      </c>
      <c r="V66" s="246">
        <f>IFERROR(__xludf.DUMMYFUNCTION("""COMPUTED_VALUE"""),390812.49998842593)</f>
        <v>390812.5</v>
      </c>
      <c r="W66" s="246" t="str">
        <f>IFERROR(__xludf.DUMMYFUNCTION("""COMPUTED_VALUE"""),"catchcopy_character_chara_yuw_00102.png")</f>
        <v>catchcopy_character_chara_yuw_00102.png</v>
      </c>
      <c r="X66" s="246" t="str">
        <f>IFERROR(__xludf.DUMMYFUNCTION("""COMPUTED_VALUE"""),"enemy_icon_chara_yuw_00102")</f>
        <v>enemy_icon_chara_yuw_00102</v>
      </c>
      <c r="Y66" s="246" t="str">
        <f>IFERROR(__xludf.DUMMYFUNCTION("""COMPUTED_VALUE"""),"boss_icon_chara_yuw_00102")</f>
        <v>boss_icon_chara_yuw_00102</v>
      </c>
      <c r="Z66" s="246" t="str">
        <f>IFERROR(__xludf.DUMMYFUNCTION("""COMPUTED_VALUE"""),"chara_yuw_00101_normal")</f>
        <v>chara_yuw_00101_normal</v>
      </c>
    </row>
    <row r="67">
      <c r="A67" s="247" t="str">
        <f>IFERROR(__xludf.DUMMYFUNCTION("""COMPUTED_VALUE"""),"yuw")</f>
        <v>yuw</v>
      </c>
      <c r="B67" s="248" t="str">
        <f>IFERROR(__xludf.DUMMYFUNCTION("""COMPUTED_VALUE"""),"2.5次元の誘惑")</f>
        <v>2.5次元の誘惑</v>
      </c>
      <c r="C67" s="248" t="str">
        <f>IFERROR(__xludf.DUMMYFUNCTION("""COMPUTED_VALUE"""),"00201")</f>
        <v>00201</v>
      </c>
      <c r="D67" s="249" t="str">
        <f>IFERROR(__xludf.DUMMYFUNCTION("""COMPUTED_VALUE"""),"chara_yuw_00201")</f>
        <v>chara_yuw_00201</v>
      </c>
      <c r="E67" s="248" t="str">
        <f>IFERROR(__xludf.DUMMYFUNCTION("""COMPUTED_VALUE"""),"羽生 まゆり")</f>
        <v>羽生 まゆり</v>
      </c>
      <c r="F67" s="248" t="str">
        <f>IFERROR(__xludf.DUMMYFUNCTION("""COMPUTED_VALUE"""),"羽生 まゆり")</f>
        <v>羽生 まゆり</v>
      </c>
      <c r="G67" s="248" t="str">
        <f>IFERROR(__xludf.DUMMYFUNCTION("""COMPUTED_VALUE"""),"先生がもう一肌脱ぐしかないわね")</f>
        <v>先生がもう一肌脱ぐしかないわね</v>
      </c>
      <c r="H67" s="248" t="str">
        <f>IFERROR(__xludf.DUMMYFUNCTION("""COMPUTED_VALUE"""),"SSR")</f>
        <v>SSR</v>
      </c>
      <c r="I67" s="248" t="str">
        <f>IFERROR(__xludf.DUMMYFUNCTION("""COMPUTED_VALUE"""),"PremiumSSR")</f>
        <v>PremiumSSR</v>
      </c>
      <c r="J67" s="248" t="str">
        <f>IFERROR(__xludf.DUMMYFUNCTION("""COMPUTED_VALUE"""),"青")</f>
        <v>青</v>
      </c>
      <c r="K67" s="248" t="str">
        <f>IFERROR(__xludf.DUMMYFUNCTION("""COMPUTED_VALUE"""),"chara")</f>
        <v>chara</v>
      </c>
      <c r="L67" s="250" t="str">
        <f>IFERROR(__xludf.DUMMYFUNCTION("""COMPUTED_VALUE"""),"テクニカル")</f>
        <v>テクニカル</v>
      </c>
      <c r="M67" s="250" t="str">
        <f>IFERROR(__xludf.DUMMYFUNCTION("""COMPUTED_VALUE"""),"dageki_2")</f>
        <v>dageki_2</v>
      </c>
      <c r="N67" s="250" t="str">
        <f>IFERROR(__xludf.DUMMYFUNCTION("""COMPUTED_VALUE"""),"Short")</f>
        <v>Short</v>
      </c>
      <c r="O67" s="248" t="str">
        <f>IFERROR(__xludf.DUMMYFUNCTION("""COMPUTED_VALUE"""),"dageki_1")</f>
        <v>dageki_1</v>
      </c>
      <c r="P67" s="248" t="str">
        <f>IFERROR(__xludf.DUMMYFUNCTION("""COMPUTED_VALUE"""),"00201")</f>
        <v>00201</v>
      </c>
      <c r="Q67" s="248" t="str">
        <f>IFERROR(__xludf.DUMMYFUNCTION("""COMPUTED_VALUE"""),"1.06")</f>
        <v>1.06</v>
      </c>
      <c r="R67" s="248" t="str">
        <f>IFERROR(__xludf.DUMMYFUNCTION("""COMPUTED_VALUE"""),"0.34")</f>
        <v>0.34</v>
      </c>
      <c r="S67" s="246" t="str">
        <f>IFERROR(__xludf.DUMMYFUNCTION("""COMPUTED_VALUE"""),"4.67")</f>
        <v>4.67</v>
      </c>
      <c r="T67" s="246" t="str">
        <f>IFERROR(__xludf.DUMMYFUNCTION("""COMPUTED_VALUE"""),"3.50")</f>
        <v>3.50</v>
      </c>
      <c r="U67" s="246">
        <f>IFERROR(__xludf.DUMMYFUNCTION("""COMPUTED_VALUE"""),45986.625)</f>
        <v>45986.625</v>
      </c>
      <c r="V67" s="246">
        <f>IFERROR(__xludf.DUMMYFUNCTION("""COMPUTED_VALUE"""),390812.49998842593)</f>
        <v>390812.5</v>
      </c>
      <c r="W67" s="246" t="str">
        <f>IFERROR(__xludf.DUMMYFUNCTION("""COMPUTED_VALUE"""),"catchcopy_character_chara_yuw_00201.png")</f>
        <v>catchcopy_character_chara_yuw_00201.png</v>
      </c>
      <c r="X67" s="246" t="str">
        <f>IFERROR(__xludf.DUMMYFUNCTION("""COMPUTED_VALUE"""),"enemy_icon_chara_yuw_00201")</f>
        <v>enemy_icon_chara_yuw_00201</v>
      </c>
      <c r="Y67" s="246" t="str">
        <f>IFERROR(__xludf.DUMMYFUNCTION("""COMPUTED_VALUE"""),"boss_icon_chara_yuw_00201")</f>
        <v>boss_icon_chara_yuw_00201</v>
      </c>
      <c r="Z67" s="246"/>
    </row>
    <row r="68">
      <c r="A68" s="247" t="str">
        <f>IFERROR(__xludf.DUMMYFUNCTION("""COMPUTED_VALUE"""),"yuw")</f>
        <v>yuw</v>
      </c>
      <c r="B68" s="248" t="str">
        <f>IFERROR(__xludf.DUMMYFUNCTION("""COMPUTED_VALUE"""),"2.5次元の誘惑")</f>
        <v>2.5次元の誘惑</v>
      </c>
      <c r="C68" s="248" t="str">
        <f>IFERROR(__xludf.DUMMYFUNCTION("""COMPUTED_VALUE"""),"00301")</f>
        <v>00301</v>
      </c>
      <c r="D68" s="249" t="str">
        <f>IFERROR(__xludf.DUMMYFUNCTION("""COMPUTED_VALUE"""),"chara_yuw_00301")</f>
        <v>chara_yuw_00301</v>
      </c>
      <c r="E68" s="248" t="str">
        <f>IFERROR(__xludf.DUMMYFUNCTION("""COMPUTED_VALUE"""),"勇気を纏うコスプレ 乃愛")</f>
        <v>勇気を纏うコスプレ 乃愛</v>
      </c>
      <c r="F68" s="248" t="str">
        <f>IFERROR(__xludf.DUMMYFUNCTION("""COMPUTED_VALUE"""),"勇気を纏うコスプレ 乃愛")</f>
        <v>勇気を纏うコスプレ 乃愛</v>
      </c>
      <c r="G68" s="248" t="str">
        <f>IFERROR(__xludf.DUMMYFUNCTION("""COMPUTED_VALUE"""),"命に換えてもお守りします")</f>
        <v>命に換えてもお守りします</v>
      </c>
      <c r="H68" s="248" t="str">
        <f>IFERROR(__xludf.DUMMYFUNCTION("""COMPUTED_VALUE"""),"UR")</f>
        <v>UR</v>
      </c>
      <c r="I68" s="248" t="str">
        <f>IFERROR(__xludf.DUMMYFUNCTION("""COMPUTED_VALUE"""),"PremiumUR")</f>
        <v>PremiumUR</v>
      </c>
      <c r="J68" s="248" t="str">
        <f>IFERROR(__xludf.DUMMYFUNCTION("""COMPUTED_VALUE"""),"青")</f>
        <v>青</v>
      </c>
      <c r="K68" s="248" t="str">
        <f>IFERROR(__xludf.DUMMYFUNCTION("""COMPUTED_VALUE"""),"chara")</f>
        <v>chara</v>
      </c>
      <c r="L68" s="250" t="str">
        <f>IFERROR(__xludf.DUMMYFUNCTION("""COMPUTED_VALUE"""),"サポート")</f>
        <v>サポート</v>
      </c>
      <c r="M68" s="250" t="str">
        <f>IFERROR(__xludf.DUMMYFUNCTION("""COMPUTED_VALUE"""),"dageki_2")</f>
        <v>dageki_2</v>
      </c>
      <c r="N68" s="250" t="str">
        <f>IFERROR(__xludf.DUMMYFUNCTION("""COMPUTED_VALUE"""),"Short")</f>
        <v>Short</v>
      </c>
      <c r="O68" s="248" t="str">
        <f>IFERROR(__xludf.DUMMYFUNCTION("""COMPUTED_VALUE"""),"-")</f>
        <v>-</v>
      </c>
      <c r="P68" s="248" t="str">
        <f>IFERROR(__xludf.DUMMYFUNCTION("""COMPUTED_VALUE"""),"00301")</f>
        <v>00301</v>
      </c>
      <c r="Q68" s="248" t="str">
        <f>IFERROR(__xludf.DUMMYFUNCTION("""COMPUTED_VALUE"""),"1.57")</f>
        <v>1.57</v>
      </c>
      <c r="R68" s="248" t="str">
        <f>IFERROR(__xludf.DUMMYFUNCTION("""COMPUTED_VALUE"""),"stop無:1回目 0.50
stop無:2回目 1.00")</f>
        <v>stop無:1回目 0.50
stop無:2回目 1.00</v>
      </c>
      <c r="S68" s="246" t="str">
        <f>IFERROR(__xludf.DUMMYFUNCTION("""COMPUTED_VALUE"""),"3.50")</f>
        <v>3.50</v>
      </c>
      <c r="T68" s="246" t="str">
        <f>IFERROR(__xludf.DUMMYFUNCTION("""COMPUTED_VALUE"""),"stop無: 1回目 3.20")</f>
        <v>stop無: 1回目 3.20</v>
      </c>
      <c r="U68" s="246">
        <f>IFERROR(__xludf.DUMMYFUNCTION("""COMPUTED_VALUE"""),45986.625)</f>
        <v>45986.625</v>
      </c>
      <c r="V68" s="246">
        <f>IFERROR(__xludf.DUMMYFUNCTION("""COMPUTED_VALUE"""),390812.49998842593)</f>
        <v>390812.5</v>
      </c>
      <c r="W68" s="246" t="str">
        <f>IFERROR(__xludf.DUMMYFUNCTION("""COMPUTED_VALUE"""),"catchcopy_character_chara_yuw_00301.png")</f>
        <v>catchcopy_character_chara_yuw_00301.png</v>
      </c>
      <c r="X68" s="246" t="str">
        <f>IFERROR(__xludf.DUMMYFUNCTION("""COMPUTED_VALUE"""),"enemy_icon_chara_yuw_00301")</f>
        <v>enemy_icon_chara_yuw_00301</v>
      </c>
      <c r="Y68" s="246" t="str">
        <f>IFERROR(__xludf.DUMMYFUNCTION("""COMPUTED_VALUE"""),"boss_icon_chara_yuw_00301")</f>
        <v>boss_icon_chara_yuw_00301</v>
      </c>
      <c r="Z68" s="246" t="str">
        <f>IFERROR(__xludf.DUMMYFUNCTION("""COMPUTED_VALUE"""),"chara_yuw_00301_normal")</f>
        <v>chara_yuw_00301_normal</v>
      </c>
    </row>
    <row r="69">
      <c r="A69" s="247" t="str">
        <f>IFERROR(__xludf.DUMMYFUNCTION("""COMPUTED_VALUE"""),"yuw")</f>
        <v>yuw</v>
      </c>
      <c r="B69" s="248" t="str">
        <f>IFERROR(__xludf.DUMMYFUNCTION("""COMPUTED_VALUE"""),"2.5次元の誘惑")</f>
        <v>2.5次元の誘惑</v>
      </c>
      <c r="C69" s="248" t="str">
        <f>IFERROR(__xludf.DUMMYFUNCTION("""COMPUTED_VALUE"""),"00401")</f>
        <v>00401</v>
      </c>
      <c r="D69" s="249" t="str">
        <f>IFERROR(__xludf.DUMMYFUNCTION("""COMPUTED_VALUE"""),"chara_yuw_00401")</f>
        <v>chara_yuw_00401</v>
      </c>
      <c r="E69" s="248" t="str">
        <f>IFERROR(__xludf.DUMMYFUNCTION("""COMPUTED_VALUE"""),"伝えたいウチの想い　喜咲 アリア")</f>
        <v>伝えたいウチの想い　喜咲 アリア</v>
      </c>
      <c r="F69" s="248" t="str">
        <f>IFERROR(__xludf.DUMMYFUNCTION("""COMPUTED_VALUE"""),"伝えたいウチの想い 喜咲 アリア")</f>
        <v>伝えたいウチの想い 喜咲 アリア</v>
      </c>
      <c r="G69" s="248" t="str">
        <f>IFERROR(__xludf.DUMMYFUNCTION("""COMPUTED_VALUE"""),"アタシに任せてよ!!")</f>
        <v>アタシに任せてよ!!</v>
      </c>
      <c r="H69" s="248" t="str">
        <f>IFERROR(__xludf.DUMMYFUNCTION("""COMPUTED_VALUE"""),"UR")</f>
        <v>UR</v>
      </c>
      <c r="I69" s="248" t="str">
        <f>IFERROR(__xludf.DUMMYFUNCTION("""COMPUTED_VALUE"""),"PremiumUR")</f>
        <v>PremiumUR</v>
      </c>
      <c r="J69" s="248" t="str">
        <f>IFERROR(__xludf.DUMMYFUNCTION("""COMPUTED_VALUE"""),"赤")</f>
        <v>赤</v>
      </c>
      <c r="K69" s="248" t="str">
        <f>IFERROR(__xludf.DUMMYFUNCTION("""COMPUTED_VALUE"""),"chara")</f>
        <v>chara</v>
      </c>
      <c r="L69" s="250" t="str">
        <f>IFERROR(__xludf.DUMMYFUNCTION("""COMPUTED_VALUE"""),"ディフェンス")</f>
        <v>ディフェンス</v>
      </c>
      <c r="M69" s="250" t="str">
        <f>IFERROR(__xludf.DUMMYFUNCTION("""COMPUTED_VALUE"""),"dageki_2")</f>
        <v>dageki_2</v>
      </c>
      <c r="N69" s="250" t="str">
        <f>IFERROR(__xludf.DUMMYFUNCTION("""COMPUTED_VALUE"""),"Short")</f>
        <v>Short</v>
      </c>
      <c r="O69" s="248" t="str">
        <f>IFERROR(__xludf.DUMMYFUNCTION("""COMPUTED_VALUE"""),"zangeki_1")</f>
        <v>zangeki_1</v>
      </c>
      <c r="P69" s="248" t="str">
        <f>IFERROR(__xludf.DUMMYFUNCTION("""COMPUTED_VALUE"""),"00401")</f>
        <v>00401</v>
      </c>
      <c r="Q69" s="248" t="str">
        <f>IFERROR(__xludf.DUMMYFUNCTION("""COMPUTED_VALUE"""),"1.17")</f>
        <v>1.17</v>
      </c>
      <c r="R69" s="248" t="str">
        <f>IFERROR(__xludf.DUMMYFUNCTION("""COMPUTED_VALUE"""),"0.34")</f>
        <v>0.34</v>
      </c>
      <c r="S69" s="246" t="str">
        <f>IFERROR(__xludf.DUMMYFUNCTION("""COMPUTED_VALUE"""),"2.67")</f>
        <v>2.67</v>
      </c>
      <c r="T69" s="246" t="str">
        <f>IFERROR(__xludf.DUMMYFUNCTION("""COMPUTED_VALUE"""),"1.64")</f>
        <v>1.64</v>
      </c>
      <c r="U69" s="246">
        <f>IFERROR(__xludf.DUMMYFUNCTION("""COMPUTED_VALUE"""),45986.625)</f>
        <v>45986.625</v>
      </c>
      <c r="V69" s="246">
        <f>IFERROR(__xludf.DUMMYFUNCTION("""COMPUTED_VALUE"""),390812.49998842593)</f>
        <v>390812.5</v>
      </c>
      <c r="W69" s="246" t="str">
        <f>IFERROR(__xludf.DUMMYFUNCTION("""COMPUTED_VALUE"""),"catchcopy_character_chara_yuw_00401.png")</f>
        <v>catchcopy_character_chara_yuw_00401.png</v>
      </c>
      <c r="X69" s="246" t="str">
        <f>IFERROR(__xludf.DUMMYFUNCTION("""COMPUTED_VALUE"""),"enemy_icon_chara_yuw_00401")</f>
        <v>enemy_icon_chara_yuw_00401</v>
      </c>
      <c r="Y69" s="246" t="str">
        <f>IFERROR(__xludf.DUMMYFUNCTION("""COMPUTED_VALUE"""),"boss_icon_chara_yuw_00401")</f>
        <v>boss_icon_chara_yuw_00401</v>
      </c>
      <c r="Z69" s="246"/>
    </row>
    <row r="70">
      <c r="A70" s="247" t="str">
        <f>IFERROR(__xludf.DUMMYFUNCTION("""COMPUTED_VALUE"""),"yuw")</f>
        <v>yuw</v>
      </c>
      <c r="B70" s="248" t="str">
        <f>IFERROR(__xludf.DUMMYFUNCTION("""COMPUTED_VALUE"""),"2.5次元の誘惑")</f>
        <v>2.5次元の誘惑</v>
      </c>
      <c r="C70" s="248" t="str">
        <f>IFERROR(__xludf.DUMMYFUNCTION("""COMPUTED_VALUE"""),"00501")</f>
        <v>00501</v>
      </c>
      <c r="D70" s="249" t="str">
        <f>IFERROR(__xludf.DUMMYFUNCTION("""COMPUTED_VALUE"""),"chara_yuw_00501")</f>
        <v>chara_yuw_00501</v>
      </c>
      <c r="E70" s="248" t="str">
        <f>IFERROR(__xludf.DUMMYFUNCTION("""COMPUTED_VALUE"""),"753♡")</f>
        <v>753♡</v>
      </c>
      <c r="F70" s="248" t="str">
        <f>IFERROR(__xludf.DUMMYFUNCTION("""COMPUTED_VALUE"""),"753♡")</f>
        <v>753♡</v>
      </c>
      <c r="G70" s="248" t="str">
        <f>IFERROR(__xludf.DUMMYFUNCTION("""COMPUTED_VALUE"""),"どっちがコスプレを愛してる？")</f>
        <v>どっちがコスプレを愛してる？</v>
      </c>
      <c r="H70" s="248" t="str">
        <f>IFERROR(__xludf.DUMMYFUNCTION("""COMPUTED_VALUE"""),"SR")</f>
        <v>SR</v>
      </c>
      <c r="I70" s="248" t="str">
        <f>IFERROR(__xludf.DUMMYFUNCTION("""COMPUTED_VALUE"""),"DropSR")</f>
        <v>DropSR</v>
      </c>
      <c r="J70" s="248" t="str">
        <f>IFERROR(__xludf.DUMMYFUNCTION("""COMPUTED_VALUE"""),"赤")</f>
        <v>赤</v>
      </c>
      <c r="K70" s="248" t="str">
        <f>IFERROR(__xludf.DUMMYFUNCTION("""COMPUTED_VALUE"""),"chara")</f>
        <v>chara</v>
      </c>
      <c r="L70" s="250" t="str">
        <f>IFERROR(__xludf.DUMMYFUNCTION("""COMPUTED_VALUE"""),"サポート")</f>
        <v>サポート</v>
      </c>
      <c r="M70" s="250" t="str">
        <f>IFERROR(__xludf.DUMMYFUNCTION("""COMPUTED_VALUE"""),"dageki_2")</f>
        <v>dageki_2</v>
      </c>
      <c r="N70" s="250" t="str">
        <f>IFERROR(__xludf.DUMMYFUNCTION("""COMPUTED_VALUE"""),"Short")</f>
        <v>Short</v>
      </c>
      <c r="O70" s="248" t="str">
        <f>IFERROR(__xludf.DUMMYFUNCTION("""COMPUTED_VALUE"""),"-")</f>
        <v>-</v>
      </c>
      <c r="P70" s="248" t="str">
        <f>IFERROR(__xludf.DUMMYFUNCTION("""COMPUTED_VALUE"""),"00501")</f>
        <v>00501</v>
      </c>
      <c r="Q70" s="248" t="str">
        <f>IFERROR(__xludf.DUMMYFUNCTION("""COMPUTED_VALUE"""),"1.24")</f>
        <v>1.24</v>
      </c>
      <c r="R70" s="248" t="str">
        <f>IFERROR(__xludf.DUMMYFUNCTION("""COMPUTED_VALUE"""),"stop有:1回目 0.43")</f>
        <v>stop有:1回目 0.43</v>
      </c>
      <c r="S70" s="246" t="str">
        <f>IFERROR(__xludf.DUMMYFUNCTION("""COMPUTED_VALUE"""),"2.17")</f>
        <v>2.17</v>
      </c>
      <c r="T70" s="246" t="str">
        <f>IFERROR(__xludf.DUMMYFUNCTION("""COMPUTED_VALUE"""),"stop無: 1回目 1.50")</f>
        <v>stop無: 1回目 1.50</v>
      </c>
      <c r="U70" s="246">
        <f>IFERROR(__xludf.DUMMYFUNCTION("""COMPUTED_VALUE"""),45986.625)</f>
        <v>45986.625</v>
      </c>
      <c r="V70" s="246">
        <f>IFERROR(__xludf.DUMMYFUNCTION("""COMPUTED_VALUE"""),390812.49998842593)</f>
        <v>390812.5</v>
      </c>
      <c r="W70" s="246" t="str">
        <f>IFERROR(__xludf.DUMMYFUNCTION("""COMPUTED_VALUE"""),"catchcopy_character_chara_yuw_00501.png")</f>
        <v>catchcopy_character_chara_yuw_00501.png</v>
      </c>
      <c r="X70" s="246" t="str">
        <f>IFERROR(__xludf.DUMMYFUNCTION("""COMPUTED_VALUE"""),"enemy_icon_chara_yuw_00501")</f>
        <v>enemy_icon_chara_yuw_00501</v>
      </c>
      <c r="Y70" s="246" t="str">
        <f>IFERROR(__xludf.DUMMYFUNCTION("""COMPUTED_VALUE"""),"boss_icon_chara_yuw_00501")</f>
        <v>boss_icon_chara_yuw_00501</v>
      </c>
      <c r="Z70" s="246" t="str">
        <f>IFERROR(__xludf.DUMMYFUNCTION("""COMPUTED_VALUE"""),"chara_yuw_00501_normal")</f>
        <v>chara_yuw_00501_normal</v>
      </c>
    </row>
    <row r="71">
      <c r="A71" s="247" t="str">
        <f>IFERROR(__xludf.DUMMYFUNCTION("""COMPUTED_VALUE"""),"yuw")</f>
        <v>yuw</v>
      </c>
      <c r="B71" s="248" t="str">
        <f>IFERROR(__xludf.DUMMYFUNCTION("""COMPUTED_VALUE"""),"2.5次元の誘惑")</f>
        <v>2.5次元の誘惑</v>
      </c>
      <c r="C71" s="248" t="str">
        <f>IFERROR(__xludf.DUMMYFUNCTION("""COMPUTED_VALUE"""),"00502")</f>
        <v>00502</v>
      </c>
      <c r="D71" s="249" t="str">
        <f>IFERROR(__xludf.DUMMYFUNCTION("""COMPUTED_VALUE"""),"chara_yuw_00502")</f>
        <v>chara_yuw_00502</v>
      </c>
      <c r="E71" s="248" t="str">
        <f>IFERROR(__xludf.DUMMYFUNCTION("""COMPUTED_VALUE"""),"753♡(魔女コスプレ)")</f>
        <v>753♡(魔女コスプレ)</v>
      </c>
      <c r="F71" s="248" t="str">
        <f>IFERROR(__xludf.DUMMYFUNCTION("""COMPUTED_VALUE"""),"選定中")</f>
        <v>選定中</v>
      </c>
      <c r="G71" s="248"/>
      <c r="H71" s="248" t="str">
        <f>IFERROR(__xludf.DUMMYFUNCTION("""COMPUTED_VALUE"""),"UR")</f>
        <v>UR</v>
      </c>
      <c r="I71" s="248" t="str">
        <f>IFERROR(__xludf.DUMMYFUNCTION("""COMPUTED_VALUE"""),"PremiumUR")</f>
        <v>PremiumUR</v>
      </c>
      <c r="J71" s="248" t="str">
        <f>IFERROR(__xludf.DUMMYFUNCTION("""COMPUTED_VALUE"""),"黄")</f>
        <v>黄</v>
      </c>
      <c r="K71" s="248" t="str">
        <f>IFERROR(__xludf.DUMMYFUNCTION("""COMPUTED_VALUE"""),"chara")</f>
        <v>chara</v>
      </c>
      <c r="L71" s="250" t="str">
        <f>IFERROR(__xludf.DUMMYFUNCTION("""COMPUTED_VALUE"""),"テクニカル")</f>
        <v>テクニカル</v>
      </c>
      <c r="M71" s="250"/>
      <c r="N71" s="250"/>
      <c r="O71" s="248"/>
      <c r="P71" s="248"/>
      <c r="Q71" s="248"/>
      <c r="R71" s="248"/>
      <c r="S71" s="246"/>
      <c r="T71" s="246"/>
      <c r="U71" s="246" t="str">
        <f>IFERROR(__xludf.DUMMYFUNCTION("""COMPUTED_VALUE"""),"実装未定")</f>
        <v>実装未定</v>
      </c>
      <c r="V71" s="246">
        <f>IFERROR(__xludf.DUMMYFUNCTION("""COMPUTED_VALUE"""),390812.49998842593)</f>
        <v>390812.5</v>
      </c>
      <c r="W71" s="246"/>
      <c r="X71" s="246" t="str">
        <f>IFERROR(__xludf.DUMMYFUNCTION("""COMPUTED_VALUE"""),"enemy_icon_chara_yuw_00502")</f>
        <v>enemy_icon_chara_yuw_00502</v>
      </c>
      <c r="Y71" s="246" t="str">
        <f>IFERROR(__xludf.DUMMYFUNCTION("""COMPUTED_VALUE"""),"boss_icon_chara_yuw_00502")</f>
        <v>boss_icon_chara_yuw_00502</v>
      </c>
      <c r="Z71" s="246"/>
    </row>
    <row r="72">
      <c r="A72" s="248" t="str">
        <f>IFERROR(__xludf.DUMMYFUNCTION("""COMPUTED_VALUE"""),"yuw")</f>
        <v>yuw</v>
      </c>
      <c r="B72" s="248" t="str">
        <f>IFERROR(__xludf.DUMMYFUNCTION("""COMPUTED_VALUE"""),"2.5次元の誘惑")</f>
        <v>2.5次元の誘惑</v>
      </c>
      <c r="C72" s="248" t="str">
        <f>IFERROR(__xludf.DUMMYFUNCTION("""COMPUTED_VALUE"""),"00601")</f>
        <v>00601</v>
      </c>
      <c r="D72" s="248" t="str">
        <f>IFERROR(__xludf.DUMMYFUNCTION("""COMPUTED_VALUE"""),"chara_yuw_00601")</f>
        <v>chara_yuw_00601</v>
      </c>
      <c r="E72" s="248" t="str">
        <f>IFERROR(__xludf.DUMMYFUNCTION("""COMPUTED_VALUE"""),"奥村 正宗")</f>
        <v>奥村 正宗</v>
      </c>
      <c r="F72" s="248" t="str">
        <f>IFERROR(__xludf.DUMMYFUNCTION("""COMPUTED_VALUE"""),"奥村 正宗")</f>
        <v>奥村 正宗</v>
      </c>
      <c r="G72" s="248" t="str">
        <f>IFERROR(__xludf.DUMMYFUNCTION("""COMPUTED_VALUE"""),"事実だけ言ってやる!!")</f>
        <v>事実だけ言ってやる!!</v>
      </c>
      <c r="H72" s="248" t="str">
        <f>IFERROR(__xludf.DUMMYFUNCTION("""COMPUTED_VALUE"""),"SR")</f>
        <v>SR</v>
      </c>
      <c r="I72" s="248" t="str">
        <f>IFERROR(__xludf.DUMMYFUNCTION("""COMPUTED_VALUE"""),"DropSR")</f>
        <v>DropSR</v>
      </c>
      <c r="J72" s="248" t="str">
        <f>IFERROR(__xludf.DUMMYFUNCTION("""COMPUTED_VALUE"""),"黄")</f>
        <v>黄</v>
      </c>
      <c r="K72" s="248" t="str">
        <f>IFERROR(__xludf.DUMMYFUNCTION("""COMPUTED_VALUE"""),"chara")</f>
        <v>chara</v>
      </c>
      <c r="L72" s="248" t="str">
        <f>IFERROR(__xludf.DUMMYFUNCTION("""COMPUTED_VALUE"""),"ディフェンス")</f>
        <v>ディフェンス</v>
      </c>
      <c r="M72" s="248" t="str">
        <f>IFERROR(__xludf.DUMMYFUNCTION("""COMPUTED_VALUE"""),"dageki_1")</f>
        <v>dageki_1</v>
      </c>
      <c r="N72" s="250" t="str">
        <f>IFERROR(__xludf.DUMMYFUNCTION("""COMPUTED_VALUE"""),"Short")</f>
        <v>Short</v>
      </c>
      <c r="O72" s="248" t="str">
        <f>IFERROR(__xludf.DUMMYFUNCTION("""COMPUTED_VALUE"""),"-")</f>
        <v>-</v>
      </c>
      <c r="P72" s="248" t="str">
        <f>IFERROR(__xludf.DUMMYFUNCTION("""COMPUTED_VALUE"""),"00601")</f>
        <v>00601</v>
      </c>
      <c r="Q72" s="248" t="str">
        <f>IFERROR(__xludf.DUMMYFUNCTION("""COMPUTED_VALUE"""),"1.20")</f>
        <v>1.20</v>
      </c>
      <c r="R72" s="248" t="str">
        <f>IFERROR(__xludf.DUMMYFUNCTION("""COMPUTED_VALUE"""),"0.67")</f>
        <v>0.67</v>
      </c>
      <c r="S72" s="246" t="str">
        <f>IFERROR(__xludf.DUMMYFUNCTION("""COMPUTED_VALUE"""),"1.84")</f>
        <v>1.84</v>
      </c>
      <c r="T72" s="246" t="str">
        <f>IFERROR(__xludf.DUMMYFUNCTION("""COMPUTED_VALUE"""),"stop無: 1回目 0.68")</f>
        <v>stop無: 1回目 0.68</v>
      </c>
      <c r="U72" s="246">
        <f>IFERROR(__xludf.DUMMYFUNCTION("""COMPUTED_VALUE"""),45986.625)</f>
        <v>45986.625</v>
      </c>
      <c r="V72" s="246">
        <f>IFERROR(__xludf.DUMMYFUNCTION("""COMPUTED_VALUE"""),390812.49998842593)</f>
        <v>390812.5</v>
      </c>
      <c r="W72" s="246" t="str">
        <f>IFERROR(__xludf.DUMMYFUNCTION("""COMPUTED_VALUE"""),"catchcopy_character_chara_yuw_00601.png")</f>
        <v>catchcopy_character_chara_yuw_00601.png</v>
      </c>
      <c r="X72" s="246" t="str">
        <f>IFERROR(__xludf.DUMMYFUNCTION("""COMPUTED_VALUE"""),"enemy_icon_chara_yuw_00601")</f>
        <v>enemy_icon_chara_yuw_00601</v>
      </c>
      <c r="Y72" s="246" t="str">
        <f>IFERROR(__xludf.DUMMYFUNCTION("""COMPUTED_VALUE"""),"boss_icon_chara_yuw_00601")</f>
        <v>boss_icon_chara_yuw_00601</v>
      </c>
      <c r="Z72" s="246" t="str">
        <f>IFERROR(__xludf.DUMMYFUNCTION("""COMPUTED_VALUE"""),"chara_yuw_00601_normal")</f>
        <v>chara_yuw_00601_normal</v>
      </c>
    </row>
    <row r="73">
      <c r="A73" s="248" t="str">
        <f>IFERROR(__xludf.DUMMYFUNCTION("""COMPUTED_VALUE"""),"sur")</f>
        <v>sur</v>
      </c>
      <c r="B73" s="248" t="str">
        <f>IFERROR(__xludf.DUMMYFUNCTION("""COMPUTED_VALUE"""),"魔都精兵のスレイブ")</f>
        <v>魔都精兵のスレイブ</v>
      </c>
      <c r="C73" s="248" t="str">
        <f>IFERROR(__xludf.DUMMYFUNCTION("""COMPUTED_VALUE"""),"00001")</f>
        <v>00001</v>
      </c>
      <c r="D73" s="248" t="str">
        <f>IFERROR(__xludf.DUMMYFUNCTION("""COMPUTED_VALUE"""),"chara_sur_00001")</f>
        <v>chara_sur_00001</v>
      </c>
      <c r="E73" s="248" t="str">
        <f>IFERROR(__xludf.DUMMYFUNCTION("""COMPUTED_VALUE"""),"和倉 優希")</f>
        <v>和倉 優希</v>
      </c>
      <c r="F73" s="248" t="str">
        <f>IFERROR(__xludf.DUMMYFUNCTION("""COMPUTED_VALUE"""),"和倉 優希")</f>
        <v>和倉 優希</v>
      </c>
      <c r="G73" s="248" t="str">
        <f>IFERROR(__xludf.DUMMYFUNCTION("""COMPUTED_VALUE"""),"張り切っちゃうぜ！")</f>
        <v>張り切っちゃうぜ！</v>
      </c>
      <c r="H73" s="248" t="str">
        <f>IFERROR(__xludf.DUMMYFUNCTION("""COMPUTED_VALUE"""),"R")</f>
        <v>R</v>
      </c>
      <c r="I73" s="248" t="str">
        <f>IFERROR(__xludf.DUMMYFUNCTION("""COMPUTED_VALUE"""),"PremiumR")</f>
        <v>PremiumR</v>
      </c>
      <c r="J73" s="248" t="str">
        <f>IFERROR(__xludf.DUMMYFUNCTION("""COMPUTED_VALUE"""),"緑")</f>
        <v>緑</v>
      </c>
      <c r="K73" s="248" t="str">
        <f>IFERROR(__xludf.DUMMYFUNCTION("""COMPUTED_VALUE"""),"chara")</f>
        <v>chara</v>
      </c>
      <c r="L73" s="248" t="str">
        <f>IFERROR(__xludf.DUMMYFUNCTION("""COMPUTED_VALUE"""),"サポート")</f>
        <v>サポート</v>
      </c>
      <c r="M73" s="248" t="str">
        <f>IFERROR(__xludf.DUMMYFUNCTION("""COMPUTED_VALUE"""),"dageki_2")</f>
        <v>dageki_2</v>
      </c>
      <c r="N73" s="250" t="str">
        <f>IFERROR(__xludf.DUMMYFUNCTION("""COMPUTED_VALUE"""),"Short")</f>
        <v>Short</v>
      </c>
      <c r="O73" s="248" t="str">
        <f>IFERROR(__xludf.DUMMYFUNCTION("""COMPUTED_VALUE"""),"-")</f>
        <v>-</v>
      </c>
      <c r="P73" s="248" t="str">
        <f>IFERROR(__xludf.DUMMYFUNCTION("""COMPUTED_VALUE"""),"00001")</f>
        <v>00001</v>
      </c>
      <c r="Q73" s="248" t="str">
        <f>IFERROR(__xludf.DUMMYFUNCTION("""COMPUTED_VALUE"""),"1.17")</f>
        <v>1.17</v>
      </c>
      <c r="R73" s="248" t="str">
        <f>IFERROR(__xludf.DUMMYFUNCTION("""COMPUTED_VALUE"""),"stop有:1回目 0.30")</f>
        <v>stop有:1回目 0.30</v>
      </c>
      <c r="S73" s="246" t="str">
        <f>IFERROR(__xludf.DUMMYFUNCTION("""COMPUTED_VALUE"""),"2.80")</f>
        <v>2.80</v>
      </c>
      <c r="T73" s="246" t="str">
        <f>IFERROR(__xludf.DUMMYFUNCTION("""COMPUTED_VALUE"""),"stop無:1回目 2.00")</f>
        <v>stop無:1回目 2.00</v>
      </c>
      <c r="U73" s="246">
        <f>IFERROR(__xludf.DUMMYFUNCTION("""COMPUTED_VALUE"""),45922.458333333336)</f>
        <v>45922.45833</v>
      </c>
      <c r="V73" s="246">
        <f>IFERROR(__xludf.DUMMYFUNCTION("""COMPUTED_VALUE"""),390812.49998842593)</f>
        <v>390812.5</v>
      </c>
      <c r="W73" s="246" t="str">
        <f>IFERROR(__xludf.DUMMYFUNCTION("""COMPUTED_VALUE"""),"catchcopy_character_chara_sur_00001.png")</f>
        <v>catchcopy_character_chara_sur_00001.png</v>
      </c>
      <c r="X73" s="246" t="str">
        <f>IFERROR(__xludf.DUMMYFUNCTION("""COMPUTED_VALUE"""),"enemy_icon_chara_sur_00001")</f>
        <v>enemy_icon_chara_sur_00001</v>
      </c>
      <c r="Y73" s="246" t="str">
        <f>IFERROR(__xludf.DUMMYFUNCTION("""COMPUTED_VALUE"""),"boss_icon_chara_sur_00001")</f>
        <v>boss_icon_chara_sur_00001</v>
      </c>
      <c r="Z73" s="246"/>
    </row>
    <row r="74">
      <c r="A74" s="248" t="str">
        <f>IFERROR(__xludf.DUMMYFUNCTION("""COMPUTED_VALUE"""),"sur")</f>
        <v>sur</v>
      </c>
      <c r="B74" s="248" t="str">
        <f>IFERROR(__xludf.DUMMYFUNCTION("""COMPUTED_VALUE"""),"魔都精兵のスレイブ")</f>
        <v>魔都精兵のスレイブ</v>
      </c>
      <c r="C74" s="248" t="str">
        <f>IFERROR(__xludf.DUMMYFUNCTION("""COMPUTED_VALUE"""),"00101")</f>
        <v>00101</v>
      </c>
      <c r="D74" s="248" t="str">
        <f>IFERROR(__xludf.DUMMYFUNCTION("""COMPUTED_VALUE"""),"chara_sur_00101")</f>
        <v>chara_sur_00101</v>
      </c>
      <c r="E74" s="248" t="str">
        <f>IFERROR(__xludf.DUMMYFUNCTION("""COMPUTED_VALUE"""),"誇り高き魔都の剣姫 羽前京香")</f>
        <v>誇り高き魔都の剣姫 羽前京香</v>
      </c>
      <c r="F74" s="248" t="str">
        <f>IFERROR(__xludf.DUMMYFUNCTION("""COMPUTED_VALUE"""),"誇り高き魔都の剣姫 羽前 京香")</f>
        <v>誇り高き魔都の剣姫 羽前 京香</v>
      </c>
      <c r="G74" s="248" t="str">
        <f>IFERROR(__xludf.DUMMYFUNCTION("""COMPUTED_VALUE"""),"乱れ山桜")</f>
        <v>乱れ山桜</v>
      </c>
      <c r="H74" s="248" t="str">
        <f>IFERROR(__xludf.DUMMYFUNCTION("""COMPUTED_VALUE"""),"UR")</f>
        <v>UR</v>
      </c>
      <c r="I74" s="248" t="str">
        <f>IFERROR(__xludf.DUMMYFUNCTION("""COMPUTED_VALUE"""),"PremiumUR")</f>
        <v>PremiumUR</v>
      </c>
      <c r="J74" s="248" t="str">
        <f>IFERROR(__xludf.DUMMYFUNCTION("""COMPUTED_VALUE"""),"緑")</f>
        <v>緑</v>
      </c>
      <c r="K74" s="248" t="str">
        <f>IFERROR(__xludf.DUMMYFUNCTION("""COMPUTED_VALUE"""),"chara")</f>
        <v>chara</v>
      </c>
      <c r="L74" s="248" t="str">
        <f>IFERROR(__xludf.DUMMYFUNCTION("""COMPUTED_VALUE"""),"アタック")</f>
        <v>アタック</v>
      </c>
      <c r="M74" s="248" t="str">
        <f>IFERROR(__xludf.DUMMYFUNCTION("""COMPUTED_VALUE"""),"zangeki_1")</f>
        <v>zangeki_1</v>
      </c>
      <c r="N74" s="250" t="str">
        <f>IFERROR(__xludf.DUMMYFUNCTION("""COMPUTED_VALUE"""),"Middle")</f>
        <v>Middle</v>
      </c>
      <c r="O74" s="248" t="str">
        <f>IFERROR(__xludf.DUMMYFUNCTION("""COMPUTED_VALUE"""),"zangeki_1")</f>
        <v>zangeki_1</v>
      </c>
      <c r="P74" s="248" t="str">
        <f>IFERROR(__xludf.DUMMYFUNCTION("""COMPUTED_VALUE"""),"00101")</f>
        <v>00101</v>
      </c>
      <c r="Q74" s="248" t="str">
        <f>IFERROR(__xludf.DUMMYFUNCTION("""COMPUTED_VALUE"""),"1.40")</f>
        <v>1.40</v>
      </c>
      <c r="R74" s="248" t="str">
        <f>IFERROR(__xludf.DUMMYFUNCTION("""COMPUTED_VALUE"""),"stop無:1回目 0.33")</f>
        <v>stop無:1回目 0.33</v>
      </c>
      <c r="S74" s="246" t="str">
        <f>IFERROR(__xludf.DUMMYFUNCTION("""COMPUTED_VALUE"""),"2.67")</f>
        <v>2.67</v>
      </c>
      <c r="T74" s="246"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U74" s="246">
        <f>IFERROR(__xludf.DUMMYFUNCTION("""COMPUTED_VALUE"""),45922.458333333336)</f>
        <v>45922.45833</v>
      </c>
      <c r="V74" s="246">
        <f>IFERROR(__xludf.DUMMYFUNCTION("""COMPUTED_VALUE"""),390812.49998842593)</f>
        <v>390812.5</v>
      </c>
      <c r="W74" s="246" t="str">
        <f>IFERROR(__xludf.DUMMYFUNCTION("""COMPUTED_VALUE"""),"catchcopy_character_chara_sur_00101.png")</f>
        <v>catchcopy_character_chara_sur_00101.png</v>
      </c>
      <c r="X74" s="246" t="str">
        <f>IFERROR(__xludf.DUMMYFUNCTION("""COMPUTED_VALUE"""),"enemy_icon_chara_sur_00101")</f>
        <v>enemy_icon_chara_sur_00101</v>
      </c>
      <c r="Y74" s="246" t="str">
        <f>IFERROR(__xludf.DUMMYFUNCTION("""COMPUTED_VALUE"""),"boss_icon_chara_sur_00101")</f>
        <v>boss_icon_chara_sur_00101</v>
      </c>
      <c r="Z74" s="246" t="str">
        <f>IFERROR(__xludf.DUMMYFUNCTION("""COMPUTED_VALUE"""),"chara_sur_00101_normal")</f>
        <v>chara_sur_00101_normal</v>
      </c>
    </row>
    <row r="75">
      <c r="A75" s="248" t="str">
        <f>IFERROR(__xludf.DUMMYFUNCTION("""COMPUTED_VALUE"""),"sur")</f>
        <v>sur</v>
      </c>
      <c r="B75" s="248" t="str">
        <f>IFERROR(__xludf.DUMMYFUNCTION("""COMPUTED_VALUE"""),"魔都精兵のスレイブ")</f>
        <v>魔都精兵のスレイブ</v>
      </c>
      <c r="C75" s="248" t="str">
        <f>IFERROR(__xludf.DUMMYFUNCTION("""COMPUTED_VALUE"""),"00201")</f>
        <v>00201</v>
      </c>
      <c r="D75" s="248" t="str">
        <f>IFERROR(__xludf.DUMMYFUNCTION("""COMPUTED_VALUE"""),"chara_sur_00201")</f>
        <v>chara_sur_00201</v>
      </c>
      <c r="E75" s="248" t="str">
        <f>IFERROR(__xludf.DUMMYFUNCTION("""COMPUTED_VALUE"""),"東 日万凛")</f>
        <v>東 日万凛</v>
      </c>
      <c r="F75" s="248" t="str">
        <f>IFERROR(__xludf.DUMMYFUNCTION("""COMPUTED_VALUE"""),"東 日万凛")</f>
        <v>東 日万凛</v>
      </c>
      <c r="G75" s="248" t="str">
        <f>IFERROR(__xludf.DUMMYFUNCTION("""COMPUTED_VALUE"""),"武装小町")</f>
        <v>武装小町</v>
      </c>
      <c r="H75" s="248" t="str">
        <f>IFERROR(__xludf.DUMMYFUNCTION("""COMPUTED_VALUE"""),"SR")</f>
        <v>SR</v>
      </c>
      <c r="I75" s="248" t="str">
        <f>IFERROR(__xludf.DUMMYFUNCTION("""COMPUTED_VALUE"""),"PremiumSR")</f>
        <v>PremiumSR</v>
      </c>
      <c r="J75" s="248" t="str">
        <f>IFERROR(__xludf.DUMMYFUNCTION("""COMPUTED_VALUE"""),"青")</f>
        <v>青</v>
      </c>
      <c r="K75" s="248" t="str">
        <f>IFERROR(__xludf.DUMMYFUNCTION("""COMPUTED_VALUE"""),"chara")</f>
        <v>chara</v>
      </c>
      <c r="L75" s="248" t="str">
        <f>IFERROR(__xludf.DUMMYFUNCTION("""COMPUTED_VALUE"""),"アタック")</f>
        <v>アタック</v>
      </c>
      <c r="M75" s="248" t="str">
        <f>IFERROR(__xludf.DUMMYFUNCTION("""COMPUTED_VALUE"""),"shageki_1")</f>
        <v>shageki_1</v>
      </c>
      <c r="N75" s="250" t="str">
        <f>IFERROR(__xludf.DUMMYFUNCTION("""COMPUTED_VALUE"""),"Short")</f>
        <v>Short</v>
      </c>
      <c r="O75" s="248" t="str">
        <f>IFERROR(__xludf.DUMMYFUNCTION("""COMPUTED_VALUE"""),"shageki_1")</f>
        <v>shageki_1</v>
      </c>
      <c r="P75" s="248" t="str">
        <f>IFERROR(__xludf.DUMMYFUNCTION("""COMPUTED_VALUE"""),"00201")</f>
        <v>00201</v>
      </c>
      <c r="Q75" s="248" t="str">
        <f>IFERROR(__xludf.DUMMYFUNCTION("""COMPUTED_VALUE"""),"1.47")</f>
        <v>1.47</v>
      </c>
      <c r="R75" s="248" t="str">
        <f>IFERROR(__xludf.DUMMYFUNCTION("""COMPUTED_VALUE"""),"stop無:1回目 0.37")</f>
        <v>stop無:1回目 0.37</v>
      </c>
      <c r="S75" s="246" t="str">
        <f>IFERROR(__xludf.DUMMYFUNCTION("""COMPUTED_VALUE"""),"2.67")</f>
        <v>2.67</v>
      </c>
      <c r="T75" s="246"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U75" s="246">
        <f>IFERROR(__xludf.DUMMYFUNCTION("""COMPUTED_VALUE"""),45922.458333333336)</f>
        <v>45922.45833</v>
      </c>
      <c r="V75" s="246">
        <f>IFERROR(__xludf.DUMMYFUNCTION("""COMPUTED_VALUE"""),390812.49998842593)</f>
        <v>390812.5</v>
      </c>
      <c r="W75" s="246" t="str">
        <f>IFERROR(__xludf.DUMMYFUNCTION("""COMPUTED_VALUE"""),"catchcopy_character_chara_sur_00201.png")</f>
        <v>catchcopy_character_chara_sur_00201.png</v>
      </c>
      <c r="X75" s="246" t="str">
        <f>IFERROR(__xludf.DUMMYFUNCTION("""COMPUTED_VALUE"""),"enemy_icon_chara_sur_00201")</f>
        <v>enemy_icon_chara_sur_00201</v>
      </c>
      <c r="Y75" s="246" t="str">
        <f>IFERROR(__xludf.DUMMYFUNCTION("""COMPUTED_VALUE"""),"boss_icon_chara_sur_00201")</f>
        <v>boss_icon_chara_sur_00201</v>
      </c>
      <c r="Z75" s="246"/>
    </row>
    <row r="76">
      <c r="A76" s="248" t="str">
        <f>IFERROR(__xludf.DUMMYFUNCTION("""COMPUTED_VALUE"""),"sur")</f>
        <v>sur</v>
      </c>
      <c r="B76" s="248" t="str">
        <f>IFERROR(__xludf.DUMMYFUNCTION("""COMPUTED_VALUE"""),"魔都精兵のスレイブ")</f>
        <v>魔都精兵のスレイブ</v>
      </c>
      <c r="C76" s="248" t="str">
        <f>IFERROR(__xludf.DUMMYFUNCTION("""COMPUTED_VALUE"""),"00301")</f>
        <v>00301</v>
      </c>
      <c r="D76" s="248" t="str">
        <f>IFERROR(__xludf.DUMMYFUNCTION("""COMPUTED_VALUE"""),"chara_sur_00301")</f>
        <v>chara_sur_00301</v>
      </c>
      <c r="E76" s="248" t="str">
        <f>IFERROR(__xludf.DUMMYFUNCTION("""COMPUTED_VALUE"""),"駿河 朱々")</f>
        <v>駿河 朱々</v>
      </c>
      <c r="F76" s="248" t="str">
        <f>IFERROR(__xludf.DUMMYFUNCTION("""COMPUTED_VALUE"""),"駿河 朱々")</f>
        <v>駿河 朱々</v>
      </c>
      <c r="G76" s="248" t="str">
        <f>IFERROR(__xludf.DUMMYFUNCTION("""COMPUTED_VALUE"""),"玉体革命")</f>
        <v>玉体革命</v>
      </c>
      <c r="H76" s="248" t="str">
        <f>IFERROR(__xludf.DUMMYFUNCTION("""COMPUTED_VALUE"""),"SR")</f>
        <v>SR</v>
      </c>
      <c r="I76" s="248" t="str">
        <f>IFERROR(__xludf.DUMMYFUNCTION("""COMPUTED_VALUE"""),"PremiumSR")</f>
        <v>PremiumSR</v>
      </c>
      <c r="J76" s="248" t="str">
        <f>IFERROR(__xludf.DUMMYFUNCTION("""COMPUTED_VALUE"""),"黄")</f>
        <v>黄</v>
      </c>
      <c r="K76" s="248" t="str">
        <f>IFERROR(__xludf.DUMMYFUNCTION("""COMPUTED_VALUE"""),"chara")</f>
        <v>chara</v>
      </c>
      <c r="L76" s="248" t="str">
        <f>IFERROR(__xludf.DUMMYFUNCTION("""COMPUTED_VALUE"""),"ディフェンス")</f>
        <v>ディフェンス</v>
      </c>
      <c r="M76" s="248" t="str">
        <f>IFERROR(__xludf.DUMMYFUNCTION("""COMPUTED_VALUE"""),"dageki_1")</f>
        <v>dageki_1</v>
      </c>
      <c r="N76" s="250" t="str">
        <f>IFERROR(__xludf.DUMMYFUNCTION("""COMPUTED_VALUE"""),"Short")</f>
        <v>Short</v>
      </c>
      <c r="O76" s="248" t="str">
        <f>IFERROR(__xludf.DUMMYFUNCTION("""COMPUTED_VALUE"""),"dageki_2")</f>
        <v>dageki_2</v>
      </c>
      <c r="P76" s="248" t="str">
        <f>IFERROR(__xludf.DUMMYFUNCTION("""COMPUTED_VALUE"""),"00301")</f>
        <v>00301</v>
      </c>
      <c r="Q76" s="248" t="str">
        <f>IFERROR(__xludf.DUMMYFUNCTION("""COMPUTED_VALUE"""),"1.56")</f>
        <v>1.56</v>
      </c>
      <c r="R76" s="248" t="str">
        <f>IFERROR(__xludf.DUMMYFUNCTION("""COMPUTED_VALUE"""),"0.66")</f>
        <v>0.66</v>
      </c>
      <c r="S76" s="246" t="str">
        <f>IFERROR(__xludf.DUMMYFUNCTION("""COMPUTED_VALUE"""),"1.91")</f>
        <v>1.91</v>
      </c>
      <c r="T76" s="246" t="str">
        <f>IFERROR(__xludf.DUMMYFUNCTION("""COMPUTED_VALUE"""),"0.73")</f>
        <v>0.73</v>
      </c>
      <c r="U76" s="246">
        <f>IFERROR(__xludf.DUMMYFUNCTION("""COMPUTED_VALUE"""),45922.458333333336)</f>
        <v>45922.45833</v>
      </c>
      <c r="V76" s="246">
        <f>IFERROR(__xludf.DUMMYFUNCTION("""COMPUTED_VALUE"""),390812.49998842593)</f>
        <v>390812.5</v>
      </c>
      <c r="W76" s="246" t="str">
        <f>IFERROR(__xludf.DUMMYFUNCTION("""COMPUTED_VALUE"""),"catchcopy_character_chara_sur_00301.png")</f>
        <v>catchcopy_character_chara_sur_00301.png</v>
      </c>
      <c r="X76" s="246" t="str">
        <f>IFERROR(__xludf.DUMMYFUNCTION("""COMPUTED_VALUE"""),"enemy_icon_chara_sur_00301")</f>
        <v>enemy_icon_chara_sur_00301</v>
      </c>
      <c r="Y76" s="246" t="str">
        <f>IFERROR(__xludf.DUMMYFUNCTION("""COMPUTED_VALUE"""),"boss_icon_chara_sur_00301")</f>
        <v>boss_icon_chara_sur_00301</v>
      </c>
      <c r="Z76" s="246" t="str">
        <f>IFERROR(__xludf.DUMMYFUNCTION("""COMPUTED_VALUE"""),"chara_sur_00301_normal")</f>
        <v>chara_sur_00301_normal</v>
      </c>
    </row>
    <row r="77">
      <c r="A77" s="248" t="str">
        <f>IFERROR(__xludf.DUMMYFUNCTION("""COMPUTED_VALUE"""),"sur")</f>
        <v>sur</v>
      </c>
      <c r="B77" s="248" t="str">
        <f>IFERROR(__xludf.DUMMYFUNCTION("""COMPUTED_VALUE"""),"魔都精兵のスレイブ")</f>
        <v>魔都精兵のスレイブ</v>
      </c>
      <c r="C77" s="248" t="str">
        <f>IFERROR(__xludf.DUMMYFUNCTION("""COMPUTED_VALUE"""),"00401")</f>
        <v>00401</v>
      </c>
      <c r="D77" s="248" t="str">
        <f>IFERROR(__xludf.DUMMYFUNCTION("""COMPUTED_VALUE"""),"chara_sur_00401")</f>
        <v>chara_sur_00401</v>
      </c>
      <c r="E77" s="248" t="str">
        <f>IFERROR(__xludf.DUMMYFUNCTION("""COMPUTED_VALUE"""),"大川村 寧")</f>
        <v>大川村 寧</v>
      </c>
      <c r="F77" s="248" t="str">
        <f>IFERROR(__xludf.DUMMYFUNCTION("""COMPUTED_VALUE"""),"大川村 寧")</f>
        <v>大川村 寧</v>
      </c>
      <c r="G77" s="248" t="str">
        <f>IFERROR(__xludf.DUMMYFUNCTION("""COMPUTED_VALUE"""),"きっと見つける")</f>
        <v>きっと見つける</v>
      </c>
      <c r="H77" s="248" t="str">
        <f>IFERROR(__xludf.DUMMYFUNCTION("""COMPUTED_VALUE"""),"SR")</f>
        <v>SR</v>
      </c>
      <c r="I77" s="248" t="str">
        <f>IFERROR(__xludf.DUMMYFUNCTION("""COMPUTED_VALUE"""),"DropSR")</f>
        <v>DropSR</v>
      </c>
      <c r="J77" s="248" t="str">
        <f>IFERROR(__xludf.DUMMYFUNCTION("""COMPUTED_VALUE"""),"無")</f>
        <v>無</v>
      </c>
      <c r="K77" s="248" t="str">
        <f>IFERROR(__xludf.DUMMYFUNCTION("""COMPUTED_VALUE"""),"chara")</f>
        <v>chara</v>
      </c>
      <c r="L77" s="248" t="str">
        <f>IFERROR(__xludf.DUMMYFUNCTION("""COMPUTED_VALUE"""),"スペシャル")</f>
        <v>スペシャル</v>
      </c>
      <c r="M77" s="248" t="str">
        <f>IFERROR(__xludf.DUMMYFUNCTION("""COMPUTED_VALUE"""),"-")</f>
        <v>-</v>
      </c>
      <c r="N77" s="250" t="str">
        <f>IFERROR(__xludf.DUMMYFUNCTION("""COMPUTED_VALUE"""),"ー")</f>
        <v>ー</v>
      </c>
      <c r="O77" s="248" t="str">
        <f>IFERROR(__xludf.DUMMYFUNCTION("""COMPUTED_VALUE"""),"-")</f>
        <v>-</v>
      </c>
      <c r="P77" s="248" t="str">
        <f>IFERROR(__xludf.DUMMYFUNCTION("""COMPUTED_VALUE"""),"00401")</f>
        <v>00401</v>
      </c>
      <c r="Q77" s="248" t="str">
        <f>IFERROR(__xludf.DUMMYFUNCTION("""COMPUTED_VALUE"""),"-")</f>
        <v>-</v>
      </c>
      <c r="R77" s="248" t="str">
        <f>IFERROR(__xludf.DUMMYFUNCTION("""COMPUTED_VALUE"""),"-")</f>
        <v>-</v>
      </c>
      <c r="S77" s="246" t="str">
        <f>IFERROR(__xludf.DUMMYFUNCTION("""COMPUTED_VALUE"""),"2.50")</f>
        <v>2.50</v>
      </c>
      <c r="T77" s="246" t="str">
        <f>IFERROR(__xludf.DUMMYFUNCTION("""COMPUTED_VALUE"""),"0")</f>
        <v>0</v>
      </c>
      <c r="U77" s="246">
        <f>IFERROR(__xludf.DUMMYFUNCTION("""COMPUTED_VALUE"""),45922.458333333336)</f>
        <v>45922.45833</v>
      </c>
      <c r="V77" s="246">
        <f>IFERROR(__xludf.DUMMYFUNCTION("""COMPUTED_VALUE"""),390812.49998842593)</f>
        <v>390812.5</v>
      </c>
      <c r="W77" s="246" t="str">
        <f>IFERROR(__xludf.DUMMYFUNCTION("""COMPUTED_VALUE"""),"catchcopy_character_chara_sur_00401.png")</f>
        <v>catchcopy_character_chara_sur_00401.png</v>
      </c>
      <c r="X77" s="246" t="str">
        <f>IFERROR(__xludf.DUMMYFUNCTION("""COMPUTED_VALUE"""),"enemy_icon_chara_sur_00401")</f>
        <v>enemy_icon_chara_sur_00401</v>
      </c>
      <c r="Y77" s="246" t="str">
        <f>IFERROR(__xludf.DUMMYFUNCTION("""COMPUTED_VALUE"""),"boss_icon_chara_sur_00401")</f>
        <v>boss_icon_chara_sur_00401</v>
      </c>
      <c r="Z77" s="246"/>
    </row>
    <row r="78">
      <c r="A78" s="248" t="str">
        <f>IFERROR(__xludf.DUMMYFUNCTION("""COMPUTED_VALUE"""),"sur")</f>
        <v>sur</v>
      </c>
      <c r="B78" s="248" t="str">
        <f>IFERROR(__xludf.DUMMYFUNCTION("""COMPUTED_VALUE"""),"魔都精兵のスレイブ")</f>
        <v>魔都精兵のスレイブ</v>
      </c>
      <c r="C78" s="248" t="str">
        <f>IFERROR(__xludf.DUMMYFUNCTION("""COMPUTED_VALUE"""),"00501")</f>
        <v>00501</v>
      </c>
      <c r="D78" s="248" t="str">
        <f>IFERROR(__xludf.DUMMYFUNCTION("""COMPUTED_VALUE"""),"chara_sur_00501")</f>
        <v>chara_sur_00501</v>
      </c>
      <c r="E78" s="248" t="str">
        <f>IFERROR(__xludf.DUMMYFUNCTION("""COMPUTED_VALUE"""),"出雲 天花")</f>
        <v>出雲 天花</v>
      </c>
      <c r="F78" s="248" t="str">
        <f>IFERROR(__xludf.DUMMYFUNCTION("""COMPUTED_VALUE"""),"空間を操る六番組組長 出雲 天花")</f>
        <v>空間を操る六番組組長 出雲 天花</v>
      </c>
      <c r="G78" s="248" t="str">
        <f>IFERROR(__xludf.DUMMYFUNCTION("""COMPUTED_VALUE"""),"天御鳥命")</f>
        <v>天御鳥命</v>
      </c>
      <c r="H78" s="248" t="str">
        <f>IFERROR(__xludf.DUMMYFUNCTION("""COMPUTED_VALUE"""),"UR")</f>
        <v>UR</v>
      </c>
      <c r="I78" s="248" t="str">
        <f>IFERROR(__xludf.DUMMYFUNCTION("""COMPUTED_VALUE"""),"PremiumUR")</f>
        <v>PremiumUR</v>
      </c>
      <c r="J78" s="248" t="str">
        <f>IFERROR(__xludf.DUMMYFUNCTION("""COMPUTED_VALUE"""),"黄")</f>
        <v>黄</v>
      </c>
      <c r="K78" s="248" t="str">
        <f>IFERROR(__xludf.DUMMYFUNCTION("""COMPUTED_VALUE"""),"chara")</f>
        <v>chara</v>
      </c>
      <c r="L78" s="248" t="str">
        <f>IFERROR(__xludf.DUMMYFUNCTION("""COMPUTED_VALUE"""),"テクニカル")</f>
        <v>テクニカル</v>
      </c>
      <c r="M78" s="248" t="str">
        <f>IFERROR(__xludf.DUMMYFUNCTION("""COMPUTED_VALUE"""),"dageki_1")</f>
        <v>dageki_1</v>
      </c>
      <c r="N78" s="250" t="str">
        <f>IFERROR(__xludf.DUMMYFUNCTION("""COMPUTED_VALUE"""),"Long")</f>
        <v>Long</v>
      </c>
      <c r="O78" s="248" t="str">
        <f>IFERROR(__xludf.DUMMYFUNCTION("""COMPUTED_VALUE"""),"dageki_1")</f>
        <v>dageki_1</v>
      </c>
      <c r="P78" s="248" t="str">
        <f>IFERROR(__xludf.DUMMYFUNCTION("""COMPUTED_VALUE"""),"00501")</f>
        <v>00501</v>
      </c>
      <c r="Q78" s="248" t="str">
        <f>IFERROR(__xludf.DUMMYFUNCTION("""COMPUTED_VALUE"""),"1.71")</f>
        <v>1.71</v>
      </c>
      <c r="R78" s="248" t="str">
        <f>IFERROR(__xludf.DUMMYFUNCTION("""COMPUTED_VALUE"""),"stop有:1回目 0.93")</f>
        <v>stop有:1回目 0.93</v>
      </c>
      <c r="S78" s="246" t="str">
        <f>IFERROR(__xludf.DUMMYFUNCTION("""COMPUTED_VALUE"""),"2.67")</f>
        <v>2.67</v>
      </c>
      <c r="T78" s="246" t="str">
        <f>IFERROR(__xludf.DUMMYFUNCTION("""COMPUTED_VALUE"""),"stop有:1回目 1.53")</f>
        <v>stop有:1回目 1.53</v>
      </c>
      <c r="U78" s="246">
        <f>IFERROR(__xludf.DUMMYFUNCTION("""COMPUTED_VALUE"""),45999.5)</f>
        <v>45999.5</v>
      </c>
      <c r="V78" s="246">
        <f>IFERROR(__xludf.DUMMYFUNCTION("""COMPUTED_VALUE"""),390812.49998842593)</f>
        <v>390812.5</v>
      </c>
      <c r="W78" s="246" t="str">
        <f>IFERROR(__xludf.DUMMYFUNCTION("""COMPUTED_VALUE"""),"catchcopy_character_chara_sur_00501.png")</f>
        <v>catchcopy_character_chara_sur_00501.png</v>
      </c>
      <c r="X78" s="246" t="str">
        <f>IFERROR(__xludf.DUMMYFUNCTION("""COMPUTED_VALUE"""),"enemy_icon_chara_sur_00501")</f>
        <v>enemy_icon_chara_sur_00501</v>
      </c>
      <c r="Y78" s="246" t="str">
        <f>IFERROR(__xludf.DUMMYFUNCTION("""COMPUTED_VALUE"""),"boss_icon_chara_sur_00501")</f>
        <v>boss_icon_chara_sur_00501</v>
      </c>
      <c r="Z78" s="246"/>
    </row>
    <row r="79">
      <c r="A79" s="248" t="str">
        <f>IFERROR(__xludf.DUMMYFUNCTION("""COMPUTED_VALUE"""),"sur")</f>
        <v>sur</v>
      </c>
      <c r="B79" s="248" t="str">
        <f>IFERROR(__xludf.DUMMYFUNCTION("""COMPUTED_VALUE"""),"魔都精兵のスレイブ")</f>
        <v>魔都精兵のスレイブ</v>
      </c>
      <c r="C79" s="248" t="str">
        <f>IFERROR(__xludf.DUMMYFUNCTION("""COMPUTED_VALUE"""),"00601")</f>
        <v>00601</v>
      </c>
      <c r="D79" s="248" t="str">
        <f>IFERROR(__xludf.DUMMYFUNCTION("""COMPUTED_VALUE"""),"chara_sur_00601")</f>
        <v>chara_sur_00601</v>
      </c>
      <c r="E79" s="248" t="str">
        <f>IFERROR(__xludf.DUMMYFUNCTION("""COMPUTED_VALUE"""),"東 八千穂")</f>
        <v>東 八千穂</v>
      </c>
      <c r="F79" s="248" t="str">
        <f>IFERROR(__xludf.DUMMYFUNCTION("""COMPUTED_VALUE"""),"東 八千穂")</f>
        <v>東 八千穂</v>
      </c>
      <c r="G79" s="248" t="str">
        <f>IFERROR(__xludf.DUMMYFUNCTION("""COMPUTED_VALUE"""),"東の辰刻")</f>
        <v>東の辰刻</v>
      </c>
      <c r="H79" s="248" t="str">
        <f>IFERROR(__xludf.DUMMYFUNCTION("""COMPUTED_VALUE"""),"SSR")</f>
        <v>SSR</v>
      </c>
      <c r="I79" s="248" t="str">
        <f>IFERROR(__xludf.DUMMYFUNCTION("""COMPUTED_VALUE"""),"PremiumSSR")</f>
        <v>PremiumSSR</v>
      </c>
      <c r="J79" s="248" t="str">
        <f>IFERROR(__xludf.DUMMYFUNCTION("""COMPUTED_VALUE"""),"赤")</f>
        <v>赤</v>
      </c>
      <c r="K79" s="248" t="str">
        <f>IFERROR(__xludf.DUMMYFUNCTION("""COMPUTED_VALUE"""),"chara")</f>
        <v>chara</v>
      </c>
      <c r="L79" s="248" t="str">
        <f>IFERROR(__xludf.DUMMYFUNCTION("""COMPUTED_VALUE"""),"テクニカル")</f>
        <v>テクニカル</v>
      </c>
      <c r="M79" s="248" t="str">
        <f>IFERROR(__xludf.DUMMYFUNCTION("""COMPUTED_VALUE"""),"shageki_1")</f>
        <v>shageki_1</v>
      </c>
      <c r="N79" s="250" t="str">
        <f>IFERROR(__xludf.DUMMYFUNCTION("""COMPUTED_VALUE"""),"Middle")</f>
        <v>Middle</v>
      </c>
      <c r="O79" s="248" t="str">
        <f>IFERROR(__xludf.DUMMYFUNCTION("""COMPUTED_VALUE"""),"dageki_1")</f>
        <v>dageki_1</v>
      </c>
      <c r="P79" s="248" t="str">
        <f>IFERROR(__xludf.DUMMYFUNCTION("""COMPUTED_VALUE"""),"00601")</f>
        <v>00601</v>
      </c>
      <c r="Q79" s="248" t="str">
        <f>IFERROR(__xludf.DUMMYFUNCTION("""COMPUTED_VALUE"""),"1.64")</f>
        <v>1.64</v>
      </c>
      <c r="R79" s="248" t="str">
        <f>IFERROR(__xludf.DUMMYFUNCTION("""COMPUTED_VALUE"""),"stop有:1回目 0.75")</f>
        <v>stop有:1回目 0.75</v>
      </c>
      <c r="S79" s="246" t="str">
        <f>IFERROR(__xludf.DUMMYFUNCTION("""COMPUTED_VALUE"""),"3.34")</f>
        <v>3.34</v>
      </c>
      <c r="T79" s="246" t="str">
        <f>IFERROR(__xludf.DUMMYFUNCTION("""COMPUTED_VALUE"""),"stop有:1回目 1.2")</f>
        <v>stop有:1回目 1.2</v>
      </c>
      <c r="U79" s="246">
        <f>IFERROR(__xludf.DUMMYFUNCTION("""COMPUTED_VALUE"""),45999.5)</f>
        <v>45999.5</v>
      </c>
      <c r="V79" s="246">
        <f>IFERROR(__xludf.DUMMYFUNCTION("""COMPUTED_VALUE"""),390812.49998842593)</f>
        <v>390812.5</v>
      </c>
      <c r="W79" s="246" t="str">
        <f>IFERROR(__xludf.DUMMYFUNCTION("""COMPUTED_VALUE"""),"catchcopy_character_chara_sur_00601.png")</f>
        <v>catchcopy_character_chara_sur_00601.png</v>
      </c>
      <c r="X79" s="246" t="str">
        <f>IFERROR(__xludf.DUMMYFUNCTION("""COMPUTED_VALUE"""),"enemy_icon_chara_sur_00601")</f>
        <v>enemy_icon_chara_sur_00601</v>
      </c>
      <c r="Y79" s="246" t="str">
        <f>IFERROR(__xludf.DUMMYFUNCTION("""COMPUTED_VALUE"""),"boss_icon_chara_sur_00601")</f>
        <v>boss_icon_chara_sur_00601</v>
      </c>
      <c r="Z79" s="246"/>
    </row>
    <row r="80">
      <c r="A80" s="248" t="str">
        <f>IFERROR(__xludf.DUMMYFUNCTION("""COMPUTED_VALUE"""),"sur")</f>
        <v>sur</v>
      </c>
      <c r="B80" s="248" t="str">
        <f>IFERROR(__xludf.DUMMYFUNCTION("""COMPUTED_VALUE"""),"魔都精兵のスレイブ")</f>
        <v>魔都精兵のスレイブ</v>
      </c>
      <c r="C80" s="248" t="str">
        <f>IFERROR(__xludf.DUMMYFUNCTION("""COMPUTED_VALUE"""),"00701")</f>
        <v>00701</v>
      </c>
      <c r="D80" s="248" t="str">
        <f>IFERROR(__xludf.DUMMYFUNCTION("""COMPUTED_VALUE"""),"chara_sur_00701")</f>
        <v>chara_sur_00701</v>
      </c>
      <c r="E80" s="248" t="str">
        <f>IFERROR(__xludf.DUMMYFUNCTION("""COMPUTED_VALUE"""),"和倉 青羽")</f>
        <v>和倉 青羽</v>
      </c>
      <c r="F80" s="248" t="str">
        <f>IFERROR(__xludf.DUMMYFUNCTION("""COMPUTED_VALUE"""),"和倉 青羽")</f>
        <v>和倉 青羽</v>
      </c>
      <c r="G80" s="248" t="str">
        <f>IFERROR(__xludf.DUMMYFUNCTION("""COMPUTED_VALUE"""),"弟について喋ってるでしょ")</f>
        <v>弟について喋ってるでしょ</v>
      </c>
      <c r="H80" s="248" t="str">
        <f>IFERROR(__xludf.DUMMYFUNCTION("""COMPUTED_VALUE"""),"SR")</f>
        <v>SR</v>
      </c>
      <c r="I80" s="248" t="str">
        <f>IFERROR(__xludf.DUMMYFUNCTION("""COMPUTED_VALUE"""),"DropSR")</f>
        <v>DropSR</v>
      </c>
      <c r="J80" s="248" t="str">
        <f>IFERROR(__xludf.DUMMYFUNCTION("""COMPUTED_VALUE"""),"青")</f>
        <v>青</v>
      </c>
      <c r="K80" s="248" t="str">
        <f>IFERROR(__xludf.DUMMYFUNCTION("""COMPUTED_VALUE"""),"chara")</f>
        <v>chara</v>
      </c>
      <c r="L80" s="248" t="str">
        <f>IFERROR(__xludf.DUMMYFUNCTION("""COMPUTED_VALUE"""),"アタック")</f>
        <v>アタック</v>
      </c>
      <c r="M80" s="248" t="str">
        <f>IFERROR(__xludf.DUMMYFUNCTION("""COMPUTED_VALUE"""),"dageki_1")</f>
        <v>dageki_1</v>
      </c>
      <c r="N80" s="250" t="str">
        <f>IFERROR(__xludf.DUMMYFUNCTION("""COMPUTED_VALUE"""),"Short")</f>
        <v>Short</v>
      </c>
      <c r="O80" s="248" t="str">
        <f>IFERROR(__xludf.DUMMYFUNCTION("""COMPUTED_VALUE"""),"dageki_1")</f>
        <v>dageki_1</v>
      </c>
      <c r="P80" s="248" t="str">
        <f>IFERROR(__xludf.DUMMYFUNCTION("""COMPUTED_VALUE"""),"00701")</f>
        <v>00701</v>
      </c>
      <c r="Q80" s="248" t="str">
        <f>IFERROR(__xludf.DUMMYFUNCTION("""COMPUTED_VALUE"""),"1.07")</f>
        <v>1.07</v>
      </c>
      <c r="R80" s="248" t="str">
        <f>IFERROR(__xludf.DUMMYFUNCTION("""COMPUTED_VALUE"""),"0.28")</f>
        <v>0.28</v>
      </c>
      <c r="S80" s="246" t="str">
        <f>IFERROR(__xludf.DUMMYFUNCTION("""COMPUTED_VALUE"""),"2.01")</f>
        <v>2.01</v>
      </c>
      <c r="T80" s="246" t="str">
        <f>IFERROR(__xludf.DUMMYFUNCTION("""COMPUTED_VALUE"""),"stop無:1回目 0.67
stop無:2回目 0.84
stop無:3回目 1
stop有:4回目 1.25")</f>
        <v>stop無:1回目 0.67
stop無:2回目 0.84
stop無:3回目 1
stop有:4回目 1.25</v>
      </c>
      <c r="U80" s="246">
        <f>IFERROR(__xludf.DUMMYFUNCTION("""COMPUTED_VALUE"""),45999.625)</f>
        <v>45999.625</v>
      </c>
      <c r="V80" s="246">
        <f>IFERROR(__xludf.DUMMYFUNCTION("""COMPUTED_VALUE"""),390812.49998842593)</f>
        <v>390812.5</v>
      </c>
      <c r="W80" s="246" t="str">
        <f>IFERROR(__xludf.DUMMYFUNCTION("""COMPUTED_VALUE"""),"catchcopy_character_chara_sur_00701.png")</f>
        <v>catchcopy_character_chara_sur_00701.png</v>
      </c>
      <c r="X80" s="246" t="str">
        <f>IFERROR(__xludf.DUMMYFUNCTION("""COMPUTED_VALUE"""),"enemy_icon_chara_sur_00701")</f>
        <v>enemy_icon_chara_sur_00701</v>
      </c>
      <c r="Y80" s="246" t="str">
        <f>IFERROR(__xludf.DUMMYFUNCTION("""COMPUTED_VALUE"""),"boss_icon_chara_sur_00701")</f>
        <v>boss_icon_chara_sur_00701</v>
      </c>
      <c r="Z80" s="246"/>
    </row>
    <row r="81">
      <c r="A81" s="248" t="str">
        <f>IFERROR(__xludf.DUMMYFUNCTION("""COMPUTED_VALUE"""),"sur")</f>
        <v>sur</v>
      </c>
      <c r="B81" s="248" t="str">
        <f>IFERROR(__xludf.DUMMYFUNCTION("""COMPUTED_VALUE"""),"魔都精兵のスレイブ")</f>
        <v>魔都精兵のスレイブ</v>
      </c>
      <c r="C81" s="248" t="str">
        <f>IFERROR(__xludf.DUMMYFUNCTION("""COMPUTED_VALUE"""),"00801")</f>
        <v>00801</v>
      </c>
      <c r="D81" s="248" t="str">
        <f>IFERROR(__xludf.DUMMYFUNCTION("""COMPUTED_VALUE"""),"chara_sur_00801")</f>
        <v>chara_sur_00801</v>
      </c>
      <c r="E81" s="248" t="str">
        <f>IFERROR(__xludf.DUMMYFUNCTION("""COMPUTED_VALUE"""),"和倉優希（変身）")</f>
        <v>和倉優希（変身）</v>
      </c>
      <c r="F81" s="248" t="str">
        <f>IFERROR(__xludf.DUMMYFUNCTION("""COMPUTED_VALUE"""),"無窮の鎖 和倉 優希")</f>
        <v>無窮の鎖 和倉 優希</v>
      </c>
      <c r="G81" s="248" t="str">
        <f>IFERROR(__xludf.DUMMYFUNCTION("""COMPUTED_VALUE"""),"隷架拳")</f>
        <v>隷架拳</v>
      </c>
      <c r="H81" s="248" t="str">
        <f>IFERROR(__xludf.DUMMYFUNCTION("""COMPUTED_VALUE"""),"SR")</f>
        <v>SR</v>
      </c>
      <c r="I81" s="248" t="str">
        <f>IFERROR(__xludf.DUMMYFUNCTION("""COMPUTED_VALUE"""),"DropSR")</f>
        <v>DropSR</v>
      </c>
      <c r="J81" s="248" t="str">
        <f>IFERROR(__xludf.DUMMYFUNCTION("""COMPUTED_VALUE"""),"黄")</f>
        <v>黄</v>
      </c>
      <c r="K81" s="248" t="str">
        <f>IFERROR(__xludf.DUMMYFUNCTION("""COMPUTED_VALUE"""),"chara")</f>
        <v>chara</v>
      </c>
      <c r="L81" s="248" t="str">
        <f>IFERROR(__xludf.DUMMYFUNCTION("""COMPUTED_VALUE"""),"ディフェンス")</f>
        <v>ディフェンス</v>
      </c>
      <c r="M81" s="248" t="str">
        <f>IFERROR(__xludf.DUMMYFUNCTION("""COMPUTED_VALUE"""),"dageki_1")</f>
        <v>dageki_1</v>
      </c>
      <c r="N81" s="250" t="str">
        <f>IFERROR(__xludf.DUMMYFUNCTION("""COMPUTED_VALUE"""),"Short")</f>
        <v>Short</v>
      </c>
      <c r="O81" s="248" t="str">
        <f>IFERROR(__xludf.DUMMYFUNCTION("""COMPUTED_VALUE"""),"dageki_1")</f>
        <v>dageki_1</v>
      </c>
      <c r="P81" s="248" t="str">
        <f>IFERROR(__xludf.DUMMYFUNCTION("""COMPUTED_VALUE"""),"00801")</f>
        <v>00801</v>
      </c>
      <c r="Q81" s="248" t="str">
        <f>IFERROR(__xludf.DUMMYFUNCTION("""COMPUTED_VALUE"""),"1.24")</f>
        <v>1.24</v>
      </c>
      <c r="R81" s="248" t="str">
        <f>IFERROR(__xludf.DUMMYFUNCTION("""COMPUTED_VALUE"""),"stop有:1回目 0.66")</f>
        <v>stop有:1回目 0.66</v>
      </c>
      <c r="S81" s="246" t="str">
        <f>IFERROR(__xludf.DUMMYFUNCTION("""COMPUTED_VALUE"""),"2.01")</f>
        <v>2.01</v>
      </c>
      <c r="T81" s="246" t="str">
        <f>IFERROR(__xludf.DUMMYFUNCTION("""COMPUTED_VALUE"""),"stop有:1回目 1.06")</f>
        <v>stop有:1回目 1.06</v>
      </c>
      <c r="U81" s="246">
        <f>IFERROR(__xludf.DUMMYFUNCTION("""COMPUTED_VALUE"""),45999.625)</f>
        <v>45999.625</v>
      </c>
      <c r="V81" s="246">
        <f>IFERROR(__xludf.DUMMYFUNCTION("""COMPUTED_VALUE"""),390812.49998842593)</f>
        <v>390812.5</v>
      </c>
      <c r="W81" s="246" t="str">
        <f>IFERROR(__xludf.DUMMYFUNCTION("""COMPUTED_VALUE"""),"catchcopy_character_chara_sur_00801.png")</f>
        <v>catchcopy_character_chara_sur_00801.png</v>
      </c>
      <c r="X81" s="246" t="str">
        <f>IFERROR(__xludf.DUMMYFUNCTION("""COMPUTED_VALUE"""),"enemy_icon_chara_sur_00801")</f>
        <v>enemy_icon_chara_sur_00801</v>
      </c>
      <c r="Y81" s="246" t="str">
        <f>IFERROR(__xludf.DUMMYFUNCTION("""COMPUTED_VALUE"""),"boss_icon_chara_sur_00801")</f>
        <v>boss_icon_chara_sur_00801</v>
      </c>
      <c r="Z81" s="246"/>
    </row>
    <row r="82">
      <c r="A82" s="248" t="str">
        <f>IFERROR(__xludf.DUMMYFUNCTION("""COMPUTED_VALUE"""),"sur")</f>
        <v>sur</v>
      </c>
      <c r="B82" s="248" t="str">
        <f>IFERROR(__xludf.DUMMYFUNCTION("""COMPUTED_VALUE"""),"魔都精兵のスレイブ")</f>
        <v>魔都精兵のスレイブ</v>
      </c>
      <c r="C82" s="248" t="str">
        <f>IFERROR(__xludf.DUMMYFUNCTION("""COMPUTED_VALUE"""),"00901")</f>
        <v>00901</v>
      </c>
      <c r="D82" s="248" t="str">
        <f>IFERROR(__xludf.DUMMYFUNCTION("""COMPUTED_VALUE"""),"chara_sur_00901")</f>
        <v>chara_sur_00901</v>
      </c>
      <c r="E82" s="248" t="str">
        <f>IFERROR(__xludf.DUMMYFUNCTION("""COMPUTED_VALUE"""),"山城 恋")</f>
        <v>山城 恋</v>
      </c>
      <c r="F82" s="248" t="str">
        <f>IFERROR(__xludf.DUMMYFUNCTION("""COMPUTED_VALUE"""),"万物を統べる総組長 山城 恋")</f>
        <v>万物を統べる総組長 山城 恋</v>
      </c>
      <c r="G82" s="248" t="str">
        <f>IFERROR(__xludf.DUMMYFUNCTION("""COMPUTED_VALUE"""),"万物を総該した無限宇宙の全一")</f>
        <v>万物を総該した無限宇宙の全一</v>
      </c>
      <c r="H82" s="248" t="str">
        <f>IFERROR(__xludf.DUMMYFUNCTION("""COMPUTED_VALUE"""),"UR")</f>
        <v>UR</v>
      </c>
      <c r="I82" s="248" t="str">
        <f>IFERROR(__xludf.DUMMYFUNCTION("""COMPUTED_VALUE"""),"FestivalUR")</f>
        <v>FestivalUR</v>
      </c>
      <c r="J82" s="248" t="str">
        <f>IFERROR(__xludf.DUMMYFUNCTION("""COMPUTED_VALUE"""),"青")</f>
        <v>青</v>
      </c>
      <c r="K82" s="248" t="str">
        <f>IFERROR(__xludf.DUMMYFUNCTION("""COMPUTED_VALUE"""),"chara")</f>
        <v>chara</v>
      </c>
      <c r="L82" s="248" t="str">
        <f>IFERROR(__xludf.DUMMYFUNCTION("""COMPUTED_VALUE"""),"アタック")</f>
        <v>アタック</v>
      </c>
      <c r="M82" s="248" t="str">
        <f>IFERROR(__xludf.DUMMYFUNCTION("""COMPUTED_VALUE"""),"dageki_1")</f>
        <v>dageki_1</v>
      </c>
      <c r="N82" s="250" t="str">
        <f>IFERROR(__xludf.DUMMYFUNCTION("""COMPUTED_VALUE"""),"Middle")</f>
        <v>Middle</v>
      </c>
      <c r="O82" s="248" t="str">
        <f>IFERROR(__xludf.DUMMYFUNCTION("""COMPUTED_VALUE"""),"shageki_1")</f>
        <v>shageki_1</v>
      </c>
      <c r="P82" s="248"/>
      <c r="Q82" s="248" t="str">
        <f>IFERROR(__xludf.DUMMYFUNCTION("""COMPUTED_VALUE"""),"1.17")</f>
        <v>1.17</v>
      </c>
      <c r="R82" s="248" t="str">
        <f>IFERROR(__xludf.DUMMYFUNCTION("""COMPUTED_VALUE"""),"stop有 : 0.43")</f>
        <v>stop有 : 0.43</v>
      </c>
      <c r="S82" s="246" t="str">
        <f>IFERROR(__xludf.DUMMYFUNCTION("""COMPUTED_VALUE"""),"2.92")</f>
        <v>2.92</v>
      </c>
      <c r="T82" s="246" t="str">
        <f>IFERROR(__xludf.DUMMYFUNCTION("""COMPUTED_VALUE"""),"stop有 : 1.31")</f>
        <v>stop有 : 1.31</v>
      </c>
      <c r="U82" s="246" t="str">
        <f>IFERROR(__xludf.DUMMYFUNCTION("""COMPUTED_VALUE"""),"実装未定")</f>
        <v>実装未定</v>
      </c>
      <c r="V82" s="246">
        <f>IFERROR(__xludf.DUMMYFUNCTION("""COMPUTED_VALUE"""),390812.49998842593)</f>
        <v>390812.5</v>
      </c>
      <c r="W82" s="246" t="str">
        <f>IFERROR(__xludf.DUMMYFUNCTION("""COMPUTED_VALUE"""),"catchcopy_character_chara_sur_00901.png")</f>
        <v>catchcopy_character_chara_sur_00901.png</v>
      </c>
      <c r="X82" s="246" t="str">
        <f>IFERROR(__xludf.DUMMYFUNCTION("""COMPUTED_VALUE"""),"enemy_icon_chara_sur_00901")</f>
        <v>enemy_icon_chara_sur_00901</v>
      </c>
      <c r="Y82" s="246" t="str">
        <f>IFERROR(__xludf.DUMMYFUNCTION("""COMPUTED_VALUE"""),"boss_icon_chara_sur_00901")</f>
        <v>boss_icon_chara_sur_00901</v>
      </c>
      <c r="Z82" s="246"/>
    </row>
    <row r="83">
      <c r="A83" s="248" t="str">
        <f>IFERROR(__xludf.DUMMYFUNCTION("""COMPUTED_VALUE"""),"ron")</f>
        <v>ron</v>
      </c>
      <c r="B83" s="248" t="str">
        <f>IFERROR(__xludf.DUMMYFUNCTION("""COMPUTED_VALUE"""),"鴨乃橋ロンの禁断推理")</f>
        <v>鴨乃橋ロンの禁断推理</v>
      </c>
      <c r="C83" s="248" t="str">
        <f>IFERROR(__xludf.DUMMYFUNCTION("""COMPUTED_VALUE"""),"00001")</f>
        <v>00001</v>
      </c>
      <c r="D83" s="248" t="str">
        <f>IFERROR(__xludf.DUMMYFUNCTION("""COMPUTED_VALUE"""),"chara_ron_00001")</f>
        <v>chara_ron_00001</v>
      </c>
      <c r="E83" s="248" t="str">
        <f>IFERROR(__xludf.DUMMYFUNCTION("""COMPUTED_VALUE"""),"鴨乃橋 ロン")</f>
        <v>鴨乃橋 ロン</v>
      </c>
      <c r="F83" s="248" t="str">
        <f>IFERROR(__xludf.DUMMYFUNCTION("""COMPUTED_VALUE"""),"鴨乃橋 ロン")</f>
        <v>鴨乃橋 ロン</v>
      </c>
      <c r="G83" s="248" t="str">
        <f>IFERROR(__xludf.DUMMYFUNCTION("""COMPUTED_VALUE"""),"今からそれを証明してみせる")</f>
        <v>今からそれを証明してみせる</v>
      </c>
      <c r="H83" s="248" t="str">
        <f>IFERROR(__xludf.DUMMYFUNCTION("""COMPUTED_VALUE"""),"SSR")</f>
        <v>SSR</v>
      </c>
      <c r="I83" s="248" t="str">
        <f>IFERROR(__xludf.DUMMYFUNCTION("""COMPUTED_VALUE"""),"PremiumSSR")</f>
        <v>PremiumSSR</v>
      </c>
      <c r="J83" s="248" t="str">
        <f>IFERROR(__xludf.DUMMYFUNCTION("""COMPUTED_VALUE"""),"青")</f>
        <v>青</v>
      </c>
      <c r="K83" s="248" t="str">
        <f>IFERROR(__xludf.DUMMYFUNCTION("""COMPUTED_VALUE"""),"chara")</f>
        <v>chara</v>
      </c>
      <c r="L83" s="248" t="str">
        <f>IFERROR(__xludf.DUMMYFUNCTION("""COMPUTED_VALUE"""),"テクニカル")</f>
        <v>テクニカル</v>
      </c>
      <c r="M83" s="248" t="str">
        <f>IFERROR(__xludf.DUMMYFUNCTION("""COMPUTED_VALUE"""),"dageki_2")</f>
        <v>dageki_2</v>
      </c>
      <c r="N83" s="250" t="str">
        <f>IFERROR(__xludf.DUMMYFUNCTION("""COMPUTED_VALUE"""),"Middle")</f>
        <v>Middle</v>
      </c>
      <c r="O83" s="248" t="str">
        <f>IFERROR(__xludf.DUMMYFUNCTION("""COMPUTED_VALUE"""),"dageki_1")</f>
        <v>dageki_1</v>
      </c>
      <c r="P83" s="248" t="str">
        <f>IFERROR(__xludf.DUMMYFUNCTION("""COMPUTED_VALUE"""),"00001")</f>
        <v>00001</v>
      </c>
      <c r="Q83" s="248" t="str">
        <f>IFERROR(__xludf.DUMMYFUNCTION("""COMPUTED_VALUE"""),"1.67")</f>
        <v>1.67</v>
      </c>
      <c r="R83" s="248" t="str">
        <f>IFERROR(__xludf.DUMMYFUNCTION("""COMPUTED_VALUE"""),"stop有:1回目 0.92")</f>
        <v>stop有:1回目 0.92</v>
      </c>
      <c r="S83" s="246" t="str">
        <f>IFERROR(__xludf.DUMMYFUNCTION("""COMPUTED_VALUE"""),"2.74")</f>
        <v>2.74</v>
      </c>
      <c r="T83" s="246" t="str">
        <f>IFERROR(__xludf.DUMMYFUNCTION("""COMPUTED_VALUE"""),"stop有:1回目 1.17
stop無:2回目 1.50
stop無:3回目 1.67
stop無:4回目 1.84
stop無:5回目 1.97")</f>
        <v>stop有:1回目 1.17
stop無:2回目 1.50
stop無:3回目 1.67
stop無:4回目 1.84
stop無:5回目 1.97</v>
      </c>
      <c r="U83" s="246">
        <f>IFERROR(__xludf.DUMMYFUNCTION("""COMPUTED_VALUE"""),45922.458333333336)</f>
        <v>45922.45833</v>
      </c>
      <c r="V83" s="246">
        <f>IFERROR(__xludf.DUMMYFUNCTION("""COMPUTED_VALUE"""),390812.49998842593)</f>
        <v>390812.5</v>
      </c>
      <c r="W83" s="246" t="str">
        <f>IFERROR(__xludf.DUMMYFUNCTION("""COMPUTED_VALUE"""),"catchcopy_character_chara_ron_00001.png")</f>
        <v>catchcopy_character_chara_ron_00001.png</v>
      </c>
      <c r="X83" s="246" t="str">
        <f>IFERROR(__xludf.DUMMYFUNCTION("""COMPUTED_VALUE"""),"enemy_icon_chara_ron_00001")</f>
        <v>enemy_icon_chara_ron_00001</v>
      </c>
      <c r="Y83" s="246" t="str">
        <f>IFERROR(__xludf.DUMMYFUNCTION("""COMPUTED_VALUE"""),"boss_icon_chara_ron_00001")</f>
        <v>boss_icon_chara_ron_00001</v>
      </c>
      <c r="Z83" s="246" t="str">
        <f>IFERROR(__xludf.DUMMYFUNCTION("""COMPUTED_VALUE"""),"chara_ron_00001_normal")</f>
        <v>chara_ron_00001_normal</v>
      </c>
    </row>
    <row r="84">
      <c r="A84" s="248" t="str">
        <f>IFERROR(__xludf.DUMMYFUNCTION("""COMPUTED_VALUE"""),"ron")</f>
        <v>ron</v>
      </c>
      <c r="B84" s="248" t="str">
        <f>IFERROR(__xludf.DUMMYFUNCTION("""COMPUTED_VALUE"""),"鴨乃橋ロンの禁断推理")</f>
        <v>鴨乃橋ロンの禁断推理</v>
      </c>
      <c r="C84" s="248" t="str">
        <f>IFERROR(__xludf.DUMMYFUNCTION("""COMPUTED_VALUE"""),"00101")</f>
        <v>00101</v>
      </c>
      <c r="D84" s="248" t="str">
        <f>IFERROR(__xludf.DUMMYFUNCTION("""COMPUTED_VALUE"""),"chara_ron_00101")</f>
        <v>chara_ron_00101</v>
      </c>
      <c r="E84" s="248" t="str">
        <f>IFERROR(__xludf.DUMMYFUNCTION("""COMPUTED_VALUE"""),"一色 都々丸")</f>
        <v>一色 都々丸</v>
      </c>
      <c r="F84" s="248" t="str">
        <f>IFERROR(__xludf.DUMMYFUNCTION("""COMPUTED_VALUE"""),"一色 都々丸")</f>
        <v>一色 都々丸</v>
      </c>
      <c r="G84" s="248" t="str">
        <f>IFERROR(__xludf.DUMMYFUNCTION("""COMPUTED_VALUE"""),"ピュアでマヌケな名探偵")</f>
        <v>ピュアでマヌケな名探偵</v>
      </c>
      <c r="H84" s="248" t="str">
        <f>IFERROR(__xludf.DUMMYFUNCTION("""COMPUTED_VALUE"""),"R")</f>
        <v>R</v>
      </c>
      <c r="I84" s="248" t="str">
        <f>IFERROR(__xludf.DUMMYFUNCTION("""COMPUTED_VALUE"""),"PremiumR")</f>
        <v>PremiumR</v>
      </c>
      <c r="J84" s="248" t="str">
        <f>IFERROR(__xludf.DUMMYFUNCTION("""COMPUTED_VALUE"""),"青")</f>
        <v>青</v>
      </c>
      <c r="K84" s="248" t="str">
        <f>IFERROR(__xludf.DUMMYFUNCTION("""COMPUTED_VALUE"""),"chara")</f>
        <v>chara</v>
      </c>
      <c r="L84" s="248" t="str">
        <f>IFERROR(__xludf.DUMMYFUNCTION("""COMPUTED_VALUE"""),"ディフェンス")</f>
        <v>ディフェンス</v>
      </c>
      <c r="M84" s="248" t="str">
        <f>IFERROR(__xludf.DUMMYFUNCTION("""COMPUTED_VALUE"""),"dageki_2")</f>
        <v>dageki_2</v>
      </c>
      <c r="N84" s="250" t="str">
        <f>IFERROR(__xludf.DUMMYFUNCTION("""COMPUTED_VALUE"""),"Middle")</f>
        <v>Middle</v>
      </c>
      <c r="O84" s="248" t="str">
        <f>IFERROR(__xludf.DUMMYFUNCTION("""COMPUTED_VALUE"""),"dageki_1")</f>
        <v>dageki_1</v>
      </c>
      <c r="P84" s="248" t="str">
        <f>IFERROR(__xludf.DUMMYFUNCTION("""COMPUTED_VALUE"""),"00101")</f>
        <v>00101</v>
      </c>
      <c r="Q84" s="248" t="str">
        <f>IFERROR(__xludf.DUMMYFUNCTION("""COMPUTED_VALUE"""),"1.67")</f>
        <v>1.67</v>
      </c>
      <c r="R84" s="248" t="str">
        <f>IFERROR(__xludf.DUMMYFUNCTION("""COMPUTED_VALUE"""),"0.70")</f>
        <v>0.70</v>
      </c>
      <c r="S84" s="246" t="str">
        <f>IFERROR(__xludf.DUMMYFUNCTION("""COMPUTED_VALUE"""),"2.67")</f>
        <v>2.67</v>
      </c>
      <c r="T84" s="246" t="str">
        <f>IFERROR(__xludf.DUMMYFUNCTION("""COMPUTED_VALUE"""),"1.44")</f>
        <v>1.44</v>
      </c>
      <c r="U84" s="246">
        <f>IFERROR(__xludf.DUMMYFUNCTION("""COMPUTED_VALUE"""),45922.458333333336)</f>
        <v>45922.45833</v>
      </c>
      <c r="V84" s="246">
        <f>IFERROR(__xludf.DUMMYFUNCTION("""COMPUTED_VALUE"""),390812.49998842593)</f>
        <v>390812.5</v>
      </c>
      <c r="W84" s="246" t="str">
        <f>IFERROR(__xludf.DUMMYFUNCTION("""COMPUTED_VALUE"""),"catchcopy_character_chara_ron_00101.png")</f>
        <v>catchcopy_character_chara_ron_00101.png</v>
      </c>
      <c r="X84" s="246" t="str">
        <f>IFERROR(__xludf.DUMMYFUNCTION("""COMPUTED_VALUE"""),"enemy_icon_chara_ron_00101")</f>
        <v>enemy_icon_chara_ron_00101</v>
      </c>
      <c r="Y84" s="246" t="str">
        <f>IFERROR(__xludf.DUMMYFUNCTION("""COMPUTED_VALUE"""),"boss_icon_chara_ron_00101")</f>
        <v>boss_icon_chara_ron_00101</v>
      </c>
      <c r="Z84" s="246" t="str">
        <f>IFERROR(__xludf.DUMMYFUNCTION("""COMPUTED_VALUE"""),"chara_ron_00101_normal")</f>
        <v>chara_ron_00101_normal</v>
      </c>
    </row>
    <row r="85">
      <c r="A85" s="248" t="str">
        <f>IFERROR(__xludf.DUMMYFUNCTION("""COMPUTED_VALUE"""),"aha")</f>
        <v>aha</v>
      </c>
      <c r="B85" s="248" t="str">
        <f>IFERROR(__xludf.DUMMYFUNCTION("""COMPUTED_VALUE"""),"阿波連さんははかれない")</f>
        <v>阿波連さんははかれない</v>
      </c>
      <c r="C85" s="248" t="str">
        <f>IFERROR(__xludf.DUMMYFUNCTION("""COMPUTED_VALUE"""),"00001")</f>
        <v>00001</v>
      </c>
      <c r="D85" s="248" t="str">
        <f>IFERROR(__xludf.DUMMYFUNCTION("""COMPUTED_VALUE"""),"chara_aha_00001")</f>
        <v>chara_aha_00001</v>
      </c>
      <c r="E85" s="248" t="str">
        <f>IFERROR(__xludf.DUMMYFUNCTION("""COMPUTED_VALUE"""),"ライドウ")</f>
        <v>ライドウ</v>
      </c>
      <c r="F85" s="248" t="str">
        <f>IFERROR(__xludf.DUMMYFUNCTION("""COMPUTED_VALUE"""),"ライドウ")</f>
        <v>ライドウ</v>
      </c>
      <c r="G85" s="248" t="str">
        <f>IFERROR(__xludf.DUMMYFUNCTION("""COMPUTED_VALUE"""),"公園は皆のものだから")</f>
        <v>公園は皆のものだから</v>
      </c>
      <c r="H85" s="248" t="str">
        <f>IFERROR(__xludf.DUMMYFUNCTION("""COMPUTED_VALUE"""),"SR")</f>
        <v>SR</v>
      </c>
      <c r="I85" s="248" t="str">
        <f>IFERROR(__xludf.DUMMYFUNCTION("""COMPUTED_VALUE"""),"PremiumSR")</f>
        <v>PremiumSR</v>
      </c>
      <c r="J85" s="248" t="str">
        <f>IFERROR(__xludf.DUMMYFUNCTION("""COMPUTED_VALUE"""),"黄")</f>
        <v>黄</v>
      </c>
      <c r="K85" s="248" t="str">
        <f>IFERROR(__xludf.DUMMYFUNCTION("""COMPUTED_VALUE"""),"chara")</f>
        <v>chara</v>
      </c>
      <c r="L85" s="248" t="str">
        <f>IFERROR(__xludf.DUMMYFUNCTION("""COMPUTED_VALUE"""),"ディフェンス")</f>
        <v>ディフェンス</v>
      </c>
      <c r="M85" s="248" t="str">
        <f>IFERROR(__xludf.DUMMYFUNCTION("""COMPUTED_VALUE"""),"dageki_2")</f>
        <v>dageki_2</v>
      </c>
      <c r="N85" s="250" t="str">
        <f>IFERROR(__xludf.DUMMYFUNCTION("""COMPUTED_VALUE"""),"Short")</f>
        <v>Short</v>
      </c>
      <c r="O85" s="248" t="str">
        <f>IFERROR(__xludf.DUMMYFUNCTION("""COMPUTED_VALUE"""),"dageki_1")</f>
        <v>dageki_1</v>
      </c>
      <c r="P85" s="248" t="str">
        <f>IFERROR(__xludf.DUMMYFUNCTION("""COMPUTED_VALUE"""),"00001")</f>
        <v>00001</v>
      </c>
      <c r="Q85" s="248" t="str">
        <f>IFERROR(__xludf.DUMMYFUNCTION("""COMPUTED_VALUE"""),"1.60")</f>
        <v>1.60</v>
      </c>
      <c r="R85" s="248" t="str">
        <f>IFERROR(__xludf.DUMMYFUNCTION("""COMPUTED_VALUE"""),"0.67")</f>
        <v>0.67</v>
      </c>
      <c r="S85" s="246" t="str">
        <f>IFERROR(__xludf.DUMMYFUNCTION("""COMPUTED_VALUE"""),"2.67")</f>
        <v>2.67</v>
      </c>
      <c r="T85" s="246" t="str">
        <f>IFERROR(__xludf.DUMMYFUNCTION("""COMPUTED_VALUE"""),"1.05")</f>
        <v>1.05</v>
      </c>
      <c r="U85" s="246">
        <f>IFERROR(__xludf.DUMMYFUNCTION("""COMPUTED_VALUE"""),45922.458333333336)</f>
        <v>45922.45833</v>
      </c>
      <c r="V85" s="246">
        <f>IFERROR(__xludf.DUMMYFUNCTION("""COMPUTED_VALUE"""),390812.49998842593)</f>
        <v>390812.5</v>
      </c>
      <c r="W85" s="246" t="str">
        <f>IFERROR(__xludf.DUMMYFUNCTION("""COMPUTED_VALUE"""),"catchcopy_character_chara_aha_00001.png")</f>
        <v>catchcopy_character_chara_aha_00001.png</v>
      </c>
      <c r="X85" s="246" t="str">
        <f>IFERROR(__xludf.DUMMYFUNCTION("""COMPUTED_VALUE"""),"enemy_icon_chara_aha_00001")</f>
        <v>enemy_icon_chara_aha_00001</v>
      </c>
      <c r="Y85" s="246" t="str">
        <f>IFERROR(__xludf.DUMMYFUNCTION("""COMPUTED_VALUE"""),"boss_icon_chara_aha_00001")</f>
        <v>boss_icon_chara_aha_00001</v>
      </c>
      <c r="Z85" s="246"/>
    </row>
    <row r="86">
      <c r="A86" s="248" t="str">
        <f>IFERROR(__xludf.DUMMYFUNCTION("""COMPUTED_VALUE"""),"aha")</f>
        <v>aha</v>
      </c>
      <c r="B86" s="248" t="str">
        <f>IFERROR(__xludf.DUMMYFUNCTION("""COMPUTED_VALUE"""),"阿波連さんははかれない")</f>
        <v>阿波連さんははかれない</v>
      </c>
      <c r="C86" s="248" t="str">
        <f>IFERROR(__xludf.DUMMYFUNCTION("""COMPUTED_VALUE"""),"00101")</f>
        <v>00101</v>
      </c>
      <c r="D86" s="248" t="str">
        <f>IFERROR(__xludf.DUMMYFUNCTION("""COMPUTED_VALUE"""),"chara_aha_00101")</f>
        <v>chara_aha_00101</v>
      </c>
      <c r="E86" s="248" t="str">
        <f>IFERROR(__xludf.DUMMYFUNCTION("""COMPUTED_VALUE"""),"阿波連 れいな")</f>
        <v>阿波連 れいな</v>
      </c>
      <c r="F86" s="248" t="str">
        <f>IFERROR(__xludf.DUMMYFUNCTION("""COMPUTED_VALUE"""),"阿波連 れいな")</f>
        <v>阿波連 れいな</v>
      </c>
      <c r="G86" s="248" t="str">
        <f>IFERROR(__xludf.DUMMYFUNCTION("""COMPUTED_VALUE"""),"さっきはありがとう")</f>
        <v>さっきはありがとう</v>
      </c>
      <c r="H86" s="248" t="str">
        <f>IFERROR(__xludf.DUMMYFUNCTION("""COMPUTED_VALUE"""),"SSR")</f>
        <v>SSR</v>
      </c>
      <c r="I86" s="248" t="str">
        <f>IFERROR(__xludf.DUMMYFUNCTION("""COMPUTED_VALUE"""),"PremiumSSR")</f>
        <v>PremiumSSR</v>
      </c>
      <c r="J86" s="248" t="str">
        <f>IFERROR(__xludf.DUMMYFUNCTION("""COMPUTED_VALUE"""),"黄")</f>
        <v>黄</v>
      </c>
      <c r="K86" s="248" t="str">
        <f>IFERROR(__xludf.DUMMYFUNCTION("""COMPUTED_VALUE"""),"chara")</f>
        <v>chara</v>
      </c>
      <c r="L86" s="248" t="str">
        <f>IFERROR(__xludf.DUMMYFUNCTION("""COMPUTED_VALUE"""),"サポート")</f>
        <v>サポート</v>
      </c>
      <c r="M86" s="248" t="str">
        <f>IFERROR(__xludf.DUMMYFUNCTION("""COMPUTED_VALUE"""),"dageki_1")</f>
        <v>dageki_1</v>
      </c>
      <c r="N86" s="250" t="str">
        <f>IFERROR(__xludf.DUMMYFUNCTION("""COMPUTED_VALUE"""),"Short")</f>
        <v>Short</v>
      </c>
      <c r="O86" s="248" t="str">
        <f>IFERROR(__xludf.DUMMYFUNCTION("""COMPUTED_VALUE"""),"-")</f>
        <v>-</v>
      </c>
      <c r="P86" s="248" t="str">
        <f>IFERROR(__xludf.DUMMYFUNCTION("""COMPUTED_VALUE"""),"00101")</f>
        <v>00101</v>
      </c>
      <c r="Q86" s="248" t="str">
        <f>IFERROR(__xludf.DUMMYFUNCTION("""COMPUTED_VALUE"""),"1.27")</f>
        <v>1.27</v>
      </c>
      <c r="R86" s="248" t="str">
        <f>IFERROR(__xludf.DUMMYFUNCTION("""COMPUTED_VALUE"""),"stop有:1回目 0.46")</f>
        <v>stop有:1回目 0.46</v>
      </c>
      <c r="S86" s="246" t="str">
        <f>IFERROR(__xludf.DUMMYFUNCTION("""COMPUTED_VALUE"""),"3.17")</f>
        <v>3.17</v>
      </c>
      <c r="T86" s="246" t="str">
        <f>IFERROR(__xludf.DUMMYFUNCTION("""COMPUTED_VALUE"""),"stop無:1回目 2.00")</f>
        <v>stop無:1回目 2.00</v>
      </c>
      <c r="U86" s="246">
        <f>IFERROR(__xludf.DUMMYFUNCTION("""COMPUTED_VALUE"""),45922.458333333336)</f>
        <v>45922.45833</v>
      </c>
      <c r="V86" s="246">
        <f>IFERROR(__xludf.DUMMYFUNCTION("""COMPUTED_VALUE"""),390812.49998842593)</f>
        <v>390812.5</v>
      </c>
      <c r="W86" s="246" t="str">
        <f>IFERROR(__xludf.DUMMYFUNCTION("""COMPUTED_VALUE"""),"catchcopy_character_chara_aha_00101.png")</f>
        <v>catchcopy_character_chara_aha_00101.png</v>
      </c>
      <c r="X86" s="246" t="str">
        <f>IFERROR(__xludf.DUMMYFUNCTION("""COMPUTED_VALUE"""),"enemy_icon_chara_aha_00101")</f>
        <v>enemy_icon_chara_aha_00101</v>
      </c>
      <c r="Y86" s="246" t="str">
        <f>IFERROR(__xludf.DUMMYFUNCTION("""COMPUTED_VALUE"""),"boss_icon_chara_aha_00101")</f>
        <v>boss_icon_chara_aha_00101</v>
      </c>
      <c r="Z86" s="246" t="str">
        <f>IFERROR(__xludf.DUMMYFUNCTION("""COMPUTED_VALUE"""),"chara_aha_00101_normal")</f>
        <v>chara_aha_00101_normal</v>
      </c>
    </row>
    <row r="87">
      <c r="A87" s="248" t="str">
        <f>IFERROR(__xludf.DUMMYFUNCTION("""COMPUTED_VALUE"""),"tak")</f>
        <v>tak</v>
      </c>
      <c r="B87" s="248" t="str">
        <f>IFERROR(__xludf.DUMMYFUNCTION("""COMPUTED_VALUE"""),"タコピーの原罪")</f>
        <v>タコピーの原罪</v>
      </c>
      <c r="C87" s="248" t="str">
        <f>IFERROR(__xludf.DUMMYFUNCTION("""COMPUTED_VALUE"""),"00001")</f>
        <v>00001</v>
      </c>
      <c r="D87" s="248" t="str">
        <f>IFERROR(__xludf.DUMMYFUNCTION("""COMPUTED_VALUE"""),"chara_tak_00001")</f>
        <v>chara_tak_00001</v>
      </c>
      <c r="E87" s="248" t="str">
        <f>IFERROR(__xludf.DUMMYFUNCTION("""COMPUTED_VALUE"""),"ハッピー星からの使者 タコピー")</f>
        <v>ハッピー星からの使者 タコピー</v>
      </c>
      <c r="F87" s="248" t="str">
        <f>IFERROR(__xludf.DUMMYFUNCTION("""COMPUTED_VALUE"""),"ハッピー星からの使者 タコピー")</f>
        <v>ハッピー星からの使者 タコピー</v>
      </c>
      <c r="G87" s="248" t="str">
        <f>IFERROR(__xludf.DUMMYFUNCTION("""COMPUTED_VALUE"""),"笑ってもらえるように")</f>
        <v>笑ってもらえるように</v>
      </c>
      <c r="H87" s="248" t="str">
        <f>IFERROR(__xludf.DUMMYFUNCTION("""COMPUTED_VALUE"""),"UR")</f>
        <v>UR</v>
      </c>
      <c r="I87" s="248" t="str">
        <f>IFERROR(__xludf.DUMMYFUNCTION("""COMPUTED_VALUE"""),"PremiumUR")</f>
        <v>PremiumUR</v>
      </c>
      <c r="J87" s="248" t="str">
        <f>IFERROR(__xludf.DUMMYFUNCTION("""COMPUTED_VALUE"""),"黄")</f>
        <v>黄</v>
      </c>
      <c r="K87" s="248" t="str">
        <f>IFERROR(__xludf.DUMMYFUNCTION("""COMPUTED_VALUE"""),"chara")</f>
        <v>chara</v>
      </c>
      <c r="L87" s="248" t="str">
        <f>IFERROR(__xludf.DUMMYFUNCTION("""COMPUTED_VALUE"""),"ディフェンス")</f>
        <v>ディフェンス</v>
      </c>
      <c r="M87" s="248" t="str">
        <f>IFERROR(__xludf.DUMMYFUNCTION("""COMPUTED_VALUE"""),"dageki_1")</f>
        <v>dageki_1</v>
      </c>
      <c r="N87" s="250" t="str">
        <f>IFERROR(__xludf.DUMMYFUNCTION("""COMPUTED_VALUE"""),"Short")</f>
        <v>Short</v>
      </c>
      <c r="O87" s="248" t="str">
        <f>IFERROR(__xludf.DUMMYFUNCTION("""COMPUTED_VALUE"""),"-")</f>
        <v>-</v>
      </c>
      <c r="P87" s="248" t="str">
        <f>IFERROR(__xludf.DUMMYFUNCTION("""COMPUTED_VALUE"""),"00001")</f>
        <v>00001</v>
      </c>
      <c r="Q87" s="248" t="str">
        <f>IFERROR(__xludf.DUMMYFUNCTION("""COMPUTED_VALUE"""),"1.00")</f>
        <v>1.00</v>
      </c>
      <c r="R87" s="248" t="str">
        <f>IFERROR(__xludf.DUMMYFUNCTION("""COMPUTED_VALUE"""),"0.44")</f>
        <v>0.44</v>
      </c>
      <c r="S87" s="246" t="str">
        <f>IFERROR(__xludf.DUMMYFUNCTION("""COMPUTED_VALUE"""),"3.34")</f>
        <v>3.34</v>
      </c>
      <c r="T87" s="246" t="str">
        <f>IFERROR(__xludf.DUMMYFUNCTION("""COMPUTED_VALUE"""),"0.75")</f>
        <v>0.75</v>
      </c>
      <c r="U87" s="246">
        <f>IFERROR(__xludf.DUMMYFUNCTION("""COMPUTED_VALUE"""),45922.458333333336)</f>
        <v>45922.45833</v>
      </c>
      <c r="V87" s="246">
        <f>IFERROR(__xludf.DUMMYFUNCTION("""COMPUTED_VALUE"""),390812.49998842593)</f>
        <v>390812.5</v>
      </c>
      <c r="W87" s="246" t="str">
        <f>IFERROR(__xludf.DUMMYFUNCTION("""COMPUTED_VALUE"""),"catchcopy_character_chara_tak_00001.png")</f>
        <v>catchcopy_character_chara_tak_00001.png</v>
      </c>
      <c r="X87" s="246" t="str">
        <f>IFERROR(__xludf.DUMMYFUNCTION("""COMPUTED_VALUE"""),"enemy_icon_chara_tak_00001")</f>
        <v>enemy_icon_chara_tak_00001</v>
      </c>
      <c r="Y87" s="246" t="str">
        <f>IFERROR(__xludf.DUMMYFUNCTION("""COMPUTED_VALUE"""),"boss_icon_chara_tak_00001")</f>
        <v>boss_icon_chara_tak_00001</v>
      </c>
      <c r="Z87" s="246" t="str">
        <f>IFERROR(__xludf.DUMMYFUNCTION("""COMPUTED_VALUE"""),"chara_tak_00001_normal")</f>
        <v>chara_tak_00001_normal</v>
      </c>
    </row>
    <row r="88">
      <c r="A88" s="248" t="str">
        <f>IFERROR(__xludf.DUMMYFUNCTION("""COMPUTED_VALUE"""),"tak")</f>
        <v>tak</v>
      </c>
      <c r="B88" s="248" t="str">
        <f>IFERROR(__xludf.DUMMYFUNCTION("""COMPUTED_VALUE"""),"タコピーの原罪")</f>
        <v>タコピーの原罪</v>
      </c>
      <c r="C88" s="248" t="str">
        <f>IFERROR(__xludf.DUMMYFUNCTION("""COMPUTED_VALUE"""),"00101")</f>
        <v>00101</v>
      </c>
      <c r="D88" s="248" t="str">
        <f>IFERROR(__xludf.DUMMYFUNCTION("""COMPUTED_VALUE"""),"chara_tak_00101")</f>
        <v>chara_tak_00101</v>
      </c>
      <c r="E88" s="248" t="str">
        <f>IFERROR(__xludf.DUMMYFUNCTION("""COMPUTED_VALUE"""),"久世 しずか＆タコピー")</f>
        <v>久世 しずか＆タコピー</v>
      </c>
      <c r="F88" s="248" t="str">
        <f>IFERROR(__xludf.DUMMYFUNCTION("""COMPUTED_VALUE"""),"選定中")</f>
        <v>選定中</v>
      </c>
      <c r="G88" s="248"/>
      <c r="H88" s="248" t="str">
        <f>IFERROR(__xludf.DUMMYFUNCTION("""COMPUTED_VALUE"""),"UR")</f>
        <v>UR</v>
      </c>
      <c r="I88" s="248" t="str">
        <f>IFERROR(__xludf.DUMMYFUNCTION("""COMPUTED_VALUE"""),"PremiumUR")</f>
        <v>PremiumUR</v>
      </c>
      <c r="J88" s="248" t="str">
        <f>IFERROR(__xludf.DUMMYFUNCTION("""COMPUTED_VALUE"""),"無")</f>
        <v>無</v>
      </c>
      <c r="K88" s="248" t="str">
        <f>IFERROR(__xludf.DUMMYFUNCTION("""COMPUTED_VALUE"""),"chara")</f>
        <v>chara</v>
      </c>
      <c r="L88" s="248"/>
      <c r="M88" s="248"/>
      <c r="N88" s="250"/>
      <c r="O88" s="248"/>
      <c r="P88" s="248"/>
      <c r="Q88" s="248" t="str">
        <f>IFERROR(__xludf.DUMMYFUNCTION("""COMPUTED_VALUE"""),"1.57")</f>
        <v>1.57</v>
      </c>
      <c r="R88" s="248" t="str">
        <f>IFERROR(__xludf.DUMMYFUNCTION("""COMPUTED_VALUE"""),"stop有:1回目 0.51")</f>
        <v>stop有:1回目 0.51</v>
      </c>
      <c r="S88" s="246" t="str">
        <f>IFERROR(__xludf.DUMMYFUNCTION("""COMPUTED_VALUE"""),"3.95")</f>
        <v>3.95</v>
      </c>
      <c r="T88" s="246" t="str">
        <f>IFERROR(__xludf.DUMMYFUNCTION("""COMPUTED_VALUE"""),"stop有:1回目2.36")</f>
        <v>stop有:1回目2.36</v>
      </c>
      <c r="U88" s="246"/>
      <c r="V88" s="246"/>
      <c r="W88" s="246"/>
      <c r="X88" s="246"/>
      <c r="Y88" s="246"/>
      <c r="Z88" s="246"/>
    </row>
    <row r="89">
      <c r="A89" s="248" t="str">
        <f>IFERROR(__xludf.DUMMYFUNCTION("""COMPUTED_VALUE"""),"tak")</f>
        <v>tak</v>
      </c>
      <c r="B89" s="248" t="str">
        <f>IFERROR(__xludf.DUMMYFUNCTION("""COMPUTED_VALUE"""),"タコピーの原罪")</f>
        <v>タコピーの原罪</v>
      </c>
      <c r="C89" s="248" t="str">
        <f>IFERROR(__xludf.DUMMYFUNCTION("""COMPUTED_VALUE"""),"00201")</f>
        <v>00201</v>
      </c>
      <c r="D89" s="248" t="str">
        <f>IFERROR(__xludf.DUMMYFUNCTION("""COMPUTED_VALUE"""),"chara_tak_00201")</f>
        <v>chara_tak_00201</v>
      </c>
      <c r="E89" s="248" t="str">
        <f>IFERROR(__xludf.DUMMYFUNCTION("""COMPUTED_VALUE"""),"雲母坂 まりな")</f>
        <v>雲母坂 まりな</v>
      </c>
      <c r="F89" s="248" t="str">
        <f>IFERROR(__xludf.DUMMYFUNCTION("""COMPUTED_VALUE"""),"選定中")</f>
        <v>選定中</v>
      </c>
      <c r="G89" s="248"/>
      <c r="H89" s="248" t="str">
        <f>IFERROR(__xludf.DUMMYFUNCTION("""COMPUTED_VALUE"""),"SR")</f>
        <v>SR</v>
      </c>
      <c r="I89" s="248" t="str">
        <f>IFERROR(__xludf.DUMMYFUNCTION("""COMPUTED_VALUE"""),"DropSR")</f>
        <v>DropSR</v>
      </c>
      <c r="J89" s="248" t="str">
        <f>IFERROR(__xludf.DUMMYFUNCTION("""COMPUTED_VALUE"""),"緑")</f>
        <v>緑</v>
      </c>
      <c r="K89" s="248" t="str">
        <f>IFERROR(__xludf.DUMMYFUNCTION("""COMPUTED_VALUE"""),"chara")</f>
        <v>chara</v>
      </c>
      <c r="L89" s="248"/>
      <c r="M89" s="248"/>
      <c r="N89" s="250"/>
      <c r="O89" s="248"/>
      <c r="P89" s="248"/>
      <c r="Q89" s="248"/>
      <c r="R89" s="248"/>
      <c r="S89" s="246"/>
      <c r="T89" s="246"/>
      <c r="U89" s="246"/>
      <c r="V89" s="246"/>
      <c r="W89" s="246"/>
      <c r="X89" s="246"/>
      <c r="Y89" s="246"/>
      <c r="Z89" s="246"/>
    </row>
    <row r="90">
      <c r="A90" s="248" t="str">
        <f>IFERROR(__xludf.DUMMYFUNCTION("""COMPUTED_VALUE"""),"jig")</f>
        <v>jig</v>
      </c>
      <c r="B90" s="248" t="str">
        <f>IFERROR(__xludf.DUMMYFUNCTION("""COMPUTED_VALUE"""),"地獄楽")</f>
        <v>地獄楽</v>
      </c>
      <c r="C90" s="248" t="str">
        <f>IFERROR(__xludf.DUMMYFUNCTION("""COMPUTED_VALUE"""),"00001")</f>
        <v>00001</v>
      </c>
      <c r="D90" s="248" t="str">
        <f>IFERROR(__xludf.DUMMYFUNCTION("""COMPUTED_VALUE"""),"chara_jig_00001")</f>
        <v>chara_jig_00001</v>
      </c>
      <c r="E90" s="248" t="str">
        <f>IFERROR(__xludf.DUMMYFUNCTION("""COMPUTED_VALUE"""),"がらんの画眉丸")</f>
        <v>がらんの画眉丸</v>
      </c>
      <c r="F90" s="248" t="str">
        <f>IFERROR(__xludf.DUMMYFUNCTION("""COMPUTED_VALUE"""),"がらんの画眉丸")</f>
        <v>がらんの画眉丸</v>
      </c>
      <c r="G90" s="248" t="str">
        <f>IFERROR(__xludf.DUMMYFUNCTION("""COMPUTED_VALUE"""),"忍法 火法師")</f>
        <v>忍法 火法師</v>
      </c>
      <c r="H90" s="248" t="str">
        <f>IFERROR(__xludf.DUMMYFUNCTION("""COMPUTED_VALUE"""),"UR")</f>
        <v>UR</v>
      </c>
      <c r="I90" s="248" t="str">
        <f>IFERROR(__xludf.DUMMYFUNCTION("""COMPUTED_VALUE"""),"PremiumUR")</f>
        <v>PremiumUR</v>
      </c>
      <c r="J90" s="248" t="str">
        <f>IFERROR(__xludf.DUMMYFUNCTION("""COMPUTED_VALUE"""),"赤")</f>
        <v>赤</v>
      </c>
      <c r="K90" s="248" t="str">
        <f>IFERROR(__xludf.DUMMYFUNCTION("""COMPUTED_VALUE"""),"chara")</f>
        <v>chara</v>
      </c>
      <c r="L90" s="248" t="str">
        <f>IFERROR(__xludf.DUMMYFUNCTION("""COMPUTED_VALUE"""),"テクニカル")</f>
        <v>テクニカル</v>
      </c>
      <c r="M90" s="248" t="str">
        <f>IFERROR(__xludf.DUMMYFUNCTION("""COMPUTED_VALUE"""),"dageki_1")</f>
        <v>dageki_1</v>
      </c>
      <c r="N90" s="250" t="str">
        <f>IFERROR(__xludf.DUMMYFUNCTION("""COMPUTED_VALUE"""),"Short")</f>
        <v>Short</v>
      </c>
      <c r="O90" s="248" t="str">
        <f>IFERROR(__xludf.DUMMYFUNCTION("""COMPUTED_VALUE"""),"dageki_1")</f>
        <v>dageki_1</v>
      </c>
      <c r="P90" s="248" t="str">
        <f>IFERROR(__xludf.DUMMYFUNCTION("""COMPUTED_VALUE"""),"00001")</f>
        <v>00001</v>
      </c>
      <c r="Q90" s="248" t="str">
        <f>IFERROR(__xludf.DUMMYFUNCTION("""COMPUTED_VALUE"""),"1.17")</f>
        <v>1.17</v>
      </c>
      <c r="R90" s="248" t="str">
        <f>IFERROR(__xludf.DUMMYFUNCTION("""COMPUTED_VALUE"""),"stop有:1回目0.20")</f>
        <v>stop有:1回目0.20</v>
      </c>
      <c r="S90" s="246" t="str">
        <f>IFERROR(__xludf.DUMMYFUNCTION("""COMPUTED_VALUE"""),"2.30")</f>
        <v>2.30</v>
      </c>
      <c r="T90" s="246" t="str">
        <f>IFERROR(__xludf.DUMMYFUNCTION("""COMPUTED_VALUE"""),"stop有:1回目 0.08
stop有:2回目 0.90
stop有:3回目 1.50")</f>
        <v>stop有:1回目 0.08
stop有:2回目 0.90
stop有:3回目 1.50</v>
      </c>
      <c r="U90" s="246">
        <f>IFERROR(__xludf.DUMMYFUNCTION("""COMPUTED_VALUE"""),45922.458333333336)</f>
        <v>45922.45833</v>
      </c>
      <c r="V90" s="246">
        <f>IFERROR(__xludf.DUMMYFUNCTION("""COMPUTED_VALUE"""),390812.49998842593)</f>
        <v>390812.5</v>
      </c>
      <c r="W90" s="246" t="str">
        <f>IFERROR(__xludf.DUMMYFUNCTION("""COMPUTED_VALUE"""),"catchcopy_character_chara_jig_00001.png")</f>
        <v>catchcopy_character_chara_jig_00001.png</v>
      </c>
      <c r="X90" s="246" t="str">
        <f>IFERROR(__xludf.DUMMYFUNCTION("""COMPUTED_VALUE"""),"enemy_icon_chara_jig_00001")</f>
        <v>enemy_icon_chara_jig_00001</v>
      </c>
      <c r="Y90" s="246" t="str">
        <f>IFERROR(__xludf.DUMMYFUNCTION("""COMPUTED_VALUE"""),"boss_icon_chara_jig_00001")</f>
        <v>boss_icon_chara_jig_00001</v>
      </c>
      <c r="Z90" s="246" t="str">
        <f>IFERROR(__xludf.DUMMYFUNCTION("""COMPUTED_VALUE"""),"chara_jig_00001_normal")</f>
        <v>chara_jig_00001_normal</v>
      </c>
    </row>
    <row r="91">
      <c r="A91" s="248" t="str">
        <f>IFERROR(__xludf.DUMMYFUNCTION("""COMPUTED_VALUE"""),"jig")</f>
        <v>jig</v>
      </c>
      <c r="B91" s="248" t="str">
        <f>IFERROR(__xludf.DUMMYFUNCTION("""COMPUTED_VALUE"""),"地獄楽")</f>
        <v>地獄楽</v>
      </c>
      <c r="C91" s="248" t="str">
        <f>IFERROR(__xludf.DUMMYFUNCTION("""COMPUTED_VALUE"""),"00101")</f>
        <v>00101</v>
      </c>
      <c r="D91" s="248" t="str">
        <f>IFERROR(__xludf.DUMMYFUNCTION("""COMPUTED_VALUE"""),"chara_jig_00101")</f>
        <v>chara_jig_00101</v>
      </c>
      <c r="E91" s="248" t="str">
        <f>IFERROR(__xludf.DUMMYFUNCTION("""COMPUTED_VALUE"""),"山田浅ェ門 佐切")</f>
        <v>山田浅ェ門 佐切</v>
      </c>
      <c r="F91" s="248" t="str">
        <f>IFERROR(__xludf.DUMMYFUNCTION("""COMPUTED_VALUE"""),"山田浅ェ門 佐切")</f>
        <v>山田浅ェ門 佐切</v>
      </c>
      <c r="G91" s="248" t="str">
        <f>IFERROR(__xludf.DUMMYFUNCTION("""COMPUTED_VALUE"""),"試一刀流 具足割")</f>
        <v>試一刀流 具足割</v>
      </c>
      <c r="H91" s="248" t="str">
        <f>IFERROR(__xludf.DUMMYFUNCTION("""COMPUTED_VALUE"""),"SSR")</f>
        <v>SSR</v>
      </c>
      <c r="I91" s="248" t="str">
        <f>IFERROR(__xludf.DUMMYFUNCTION("""COMPUTED_VALUE"""),"PremiumSSR")</f>
        <v>PremiumSSR</v>
      </c>
      <c r="J91" s="248" t="str">
        <f>IFERROR(__xludf.DUMMYFUNCTION("""COMPUTED_VALUE"""),"赤")</f>
        <v>赤</v>
      </c>
      <c r="K91" s="248" t="str">
        <f>IFERROR(__xludf.DUMMYFUNCTION("""COMPUTED_VALUE"""),"chara")</f>
        <v>chara</v>
      </c>
      <c r="L91" s="248" t="str">
        <f>IFERROR(__xludf.DUMMYFUNCTION("""COMPUTED_VALUE"""),"アタック")</f>
        <v>アタック</v>
      </c>
      <c r="M91" s="248" t="str">
        <f>IFERROR(__xludf.DUMMYFUNCTION("""COMPUTED_VALUE"""),"zangeki_1")</f>
        <v>zangeki_1</v>
      </c>
      <c r="N91" s="250" t="str">
        <f>IFERROR(__xludf.DUMMYFUNCTION("""COMPUTED_VALUE"""),"Short")</f>
        <v>Short</v>
      </c>
      <c r="O91" s="248" t="str">
        <f>IFERROR(__xludf.DUMMYFUNCTION("""COMPUTED_VALUE"""),"zangeki_1")</f>
        <v>zangeki_1</v>
      </c>
      <c r="P91" s="248" t="str">
        <f>IFERROR(__xludf.DUMMYFUNCTION("""COMPUTED_VALUE"""),"00101")</f>
        <v>00101</v>
      </c>
      <c r="Q91" s="248" t="str">
        <f>IFERROR(__xludf.DUMMYFUNCTION("""COMPUTED_VALUE"""),"1.5")</f>
        <v>1.5</v>
      </c>
      <c r="R91" s="248" t="str">
        <f>IFERROR(__xludf.DUMMYFUNCTION("""COMPUTED_VALUE"""),"0.50")</f>
        <v>0.50</v>
      </c>
      <c r="S91" s="246" t="str">
        <f>IFERROR(__xludf.DUMMYFUNCTION("""COMPUTED_VALUE"""),"2.50")</f>
        <v>2.50</v>
      </c>
      <c r="T91" s="246" t="str">
        <f>IFERROR(__xludf.DUMMYFUNCTION("""COMPUTED_VALUE"""),"1.20")</f>
        <v>1.20</v>
      </c>
      <c r="U91" s="246">
        <f>IFERROR(__xludf.DUMMYFUNCTION("""COMPUTED_VALUE"""),45922.458333333336)</f>
        <v>45922.45833</v>
      </c>
      <c r="V91" s="246">
        <f>IFERROR(__xludf.DUMMYFUNCTION("""COMPUTED_VALUE"""),390812.49998842593)</f>
        <v>390812.5</v>
      </c>
      <c r="W91" s="246" t="str">
        <f>IFERROR(__xludf.DUMMYFUNCTION("""COMPUTED_VALUE"""),"catchcopy_character_chara_jig_00101.png")</f>
        <v>catchcopy_character_chara_jig_00101.png</v>
      </c>
      <c r="X91" s="246" t="str">
        <f>IFERROR(__xludf.DUMMYFUNCTION("""COMPUTED_VALUE"""),"enemy_icon_chara_jig_00101")</f>
        <v>enemy_icon_chara_jig_00101</v>
      </c>
      <c r="Y91" s="246" t="str">
        <f>IFERROR(__xludf.DUMMYFUNCTION("""COMPUTED_VALUE"""),"boss_icon_chara_jig_00101")</f>
        <v>boss_icon_chara_jig_00101</v>
      </c>
      <c r="Z91" s="246" t="str">
        <f>IFERROR(__xludf.DUMMYFUNCTION("""COMPUTED_VALUE"""),"chara_jig_00101_normal")</f>
        <v>chara_jig_00101_normal</v>
      </c>
    </row>
    <row r="92">
      <c r="A92" s="248" t="str">
        <f>IFERROR(__xludf.DUMMYFUNCTION("""COMPUTED_VALUE"""),"jig")</f>
        <v>jig</v>
      </c>
      <c r="B92" s="248" t="str">
        <f>IFERROR(__xludf.DUMMYFUNCTION("""COMPUTED_VALUE"""),"地獄楽")</f>
        <v>地獄楽</v>
      </c>
      <c r="C92" s="248" t="str">
        <f>IFERROR(__xludf.DUMMYFUNCTION("""COMPUTED_VALUE"""),"00201")</f>
        <v>00201</v>
      </c>
      <c r="D92" s="248" t="str">
        <f>IFERROR(__xludf.DUMMYFUNCTION("""COMPUTED_VALUE"""),"chara_jig_00201")</f>
        <v>chara_jig_00201</v>
      </c>
      <c r="E92" s="248" t="str">
        <f>IFERROR(__xludf.DUMMYFUNCTION("""COMPUTED_VALUE"""),"杠")</f>
        <v>杠</v>
      </c>
      <c r="F92" s="248" t="str">
        <f>IFERROR(__xludf.DUMMYFUNCTION("""COMPUTED_VALUE"""),"杠")</f>
        <v>杠</v>
      </c>
      <c r="G92" s="248" t="str">
        <f>IFERROR(__xludf.DUMMYFUNCTION("""COMPUTED_VALUE"""),"忍法 線斬行 ")</f>
        <v>忍法 線斬行 </v>
      </c>
      <c r="H92" s="248" t="str">
        <f>IFERROR(__xludf.DUMMYFUNCTION("""COMPUTED_VALUE"""),"SSR")</f>
        <v>SSR</v>
      </c>
      <c r="I92" s="248" t="str">
        <f>IFERROR(__xludf.DUMMYFUNCTION("""COMPUTED_VALUE"""),"DropSSR")</f>
        <v>DropSSR</v>
      </c>
      <c r="J92" s="248" t="str">
        <f>IFERROR(__xludf.DUMMYFUNCTION("""COMPUTED_VALUE"""),"緑")</f>
        <v>緑</v>
      </c>
      <c r="K92" s="248" t="str">
        <f>IFERROR(__xludf.DUMMYFUNCTION("""COMPUTED_VALUE"""),"chara")</f>
        <v>chara</v>
      </c>
      <c r="L92" s="248" t="str">
        <f>IFERROR(__xludf.DUMMYFUNCTION("""COMPUTED_VALUE"""),"テクニカル")</f>
        <v>テクニカル</v>
      </c>
      <c r="M92" s="248" t="str">
        <f>IFERROR(__xludf.DUMMYFUNCTION("""COMPUTED_VALUE"""),"shageki_1")</f>
        <v>shageki_1</v>
      </c>
      <c r="N92" s="250" t="str">
        <f>IFERROR(__xludf.DUMMYFUNCTION("""COMPUTED_VALUE"""),"Middle")</f>
        <v>Middle</v>
      </c>
      <c r="O92" s="248" t="str">
        <f>IFERROR(__xludf.DUMMYFUNCTION("""COMPUTED_VALUE"""),"shageki_1")</f>
        <v>shageki_1</v>
      </c>
      <c r="P92" s="248" t="str">
        <f>IFERROR(__xludf.DUMMYFUNCTION("""COMPUTED_VALUE"""),"00201")</f>
        <v>00201</v>
      </c>
      <c r="Q92" s="248" t="str">
        <f>IFERROR(__xludf.DUMMYFUNCTION("""COMPUTED_VALUE"""),"1.67")</f>
        <v>1.67</v>
      </c>
      <c r="R92" s="248" t="str">
        <f>IFERROR(__xludf.DUMMYFUNCTION("""COMPUTED_VALUE"""),"stop有:1回目 1")</f>
        <v>stop有:1回目 1</v>
      </c>
      <c r="S92" s="246" t="str">
        <f>IFERROR(__xludf.DUMMYFUNCTION("""COMPUTED_VALUE"""),"2.56")</f>
        <v>2.56</v>
      </c>
      <c r="T92" s="246" t="str">
        <f>IFERROR(__xludf.DUMMYFUNCTION("""COMPUTED_VALUE"""),"stop有:1回目1.66")</f>
        <v>stop有:1回目1.66</v>
      </c>
      <c r="U92" s="246">
        <f>IFERROR(__xludf.DUMMYFUNCTION("""COMPUTED_VALUE"""),45922.458333333336)</f>
        <v>45922.45833</v>
      </c>
      <c r="V92" s="246">
        <f>IFERROR(__xludf.DUMMYFUNCTION("""COMPUTED_VALUE"""),390812.49998842593)</f>
        <v>390812.5</v>
      </c>
      <c r="W92" s="246" t="str">
        <f>IFERROR(__xludf.DUMMYFUNCTION("""COMPUTED_VALUE"""),"catchcopy_character_chara_jig_00201.png")</f>
        <v>catchcopy_character_chara_jig_00201.png</v>
      </c>
      <c r="X92" s="246" t="str">
        <f>IFERROR(__xludf.DUMMYFUNCTION("""COMPUTED_VALUE"""),"enemy_icon_chara_jig_00201")</f>
        <v>enemy_icon_chara_jig_00201</v>
      </c>
      <c r="Y92" s="246" t="str">
        <f>IFERROR(__xludf.DUMMYFUNCTION("""COMPUTED_VALUE"""),"boss_icon_chara_jig_00201")</f>
        <v>boss_icon_chara_jig_00201</v>
      </c>
      <c r="Z92" s="246" t="str">
        <f>IFERROR(__xludf.DUMMYFUNCTION("""COMPUTED_VALUE"""),"chara_jig_00201_normal")</f>
        <v>chara_jig_00201_normal</v>
      </c>
    </row>
    <row r="93">
      <c r="A93" s="248" t="str">
        <f>IFERROR(__xludf.DUMMYFUNCTION("""COMPUTED_VALUE"""),"jig")</f>
        <v>jig</v>
      </c>
      <c r="B93" s="248" t="str">
        <f>IFERROR(__xludf.DUMMYFUNCTION("""COMPUTED_VALUE"""),"地獄楽")</f>
        <v>地獄楽</v>
      </c>
      <c r="C93" s="248" t="str">
        <f>IFERROR(__xludf.DUMMYFUNCTION("""COMPUTED_VALUE"""),"00301")</f>
        <v>00301</v>
      </c>
      <c r="D93" s="248" t="str">
        <f>IFERROR(__xludf.DUMMYFUNCTION("""COMPUTED_VALUE"""),"chara_jig_00301")</f>
        <v>chara_jig_00301</v>
      </c>
      <c r="E93" s="248" t="str">
        <f>IFERROR(__xludf.DUMMYFUNCTION("""COMPUTED_VALUE"""),"山田浅ェ門 仙汰")</f>
        <v>山田浅ェ門 仙汰</v>
      </c>
      <c r="F93" s="248" t="str">
        <f>IFERROR(__xludf.DUMMYFUNCTION("""COMPUTED_VALUE"""),"山田浅ェ門 仙汰")</f>
        <v>山田浅ェ門 仙汰</v>
      </c>
      <c r="G93" s="248" t="str">
        <f>IFERROR(__xludf.DUMMYFUNCTION("""COMPUTED_VALUE"""),"僕を通して貰わないと")</f>
        <v>僕を通して貰わないと</v>
      </c>
      <c r="H93" s="248" t="str">
        <f>IFERROR(__xludf.DUMMYFUNCTION("""COMPUTED_VALUE"""),"SR")</f>
        <v>SR</v>
      </c>
      <c r="I93" s="248" t="str">
        <f>IFERROR(__xludf.DUMMYFUNCTION("""COMPUTED_VALUE"""),"PremiumSR")</f>
        <v>PremiumSR</v>
      </c>
      <c r="J93" s="248" t="str">
        <f>IFERROR(__xludf.DUMMYFUNCTION("""COMPUTED_VALUE"""),"緑")</f>
        <v>緑</v>
      </c>
      <c r="K93" s="248" t="str">
        <f>IFERROR(__xludf.DUMMYFUNCTION("""COMPUTED_VALUE"""),"chara")</f>
        <v>chara</v>
      </c>
      <c r="L93" s="248" t="str">
        <f>IFERROR(__xludf.DUMMYFUNCTION("""COMPUTED_VALUE"""),"ディフェンス")</f>
        <v>ディフェンス</v>
      </c>
      <c r="M93" s="248" t="str">
        <f>IFERROR(__xludf.DUMMYFUNCTION("""COMPUTED_VALUE"""),"zangeki_1")</f>
        <v>zangeki_1</v>
      </c>
      <c r="N93" s="250" t="str">
        <f>IFERROR(__xludf.DUMMYFUNCTION("""COMPUTED_VALUE"""),"Short")</f>
        <v>Short</v>
      </c>
      <c r="O93" s="248" t="str">
        <f>IFERROR(__xludf.DUMMYFUNCTION("""COMPUTED_VALUE"""),"zangeki_1")</f>
        <v>zangeki_1</v>
      </c>
      <c r="P93" s="248" t="str">
        <f>IFERROR(__xludf.DUMMYFUNCTION("""COMPUTED_VALUE"""),"00301")</f>
        <v>00301</v>
      </c>
      <c r="Q93" s="248" t="str">
        <f>IFERROR(__xludf.DUMMYFUNCTION("""COMPUTED_VALUE"""),"1.80")</f>
        <v>1.80</v>
      </c>
      <c r="R93" s="248" t="str">
        <f>IFERROR(__xludf.DUMMYFUNCTION("""COMPUTED_VALUE"""),"stop有0.50")</f>
        <v>stop有0.50</v>
      </c>
      <c r="S93" s="246" t="str">
        <f>IFERROR(__xludf.DUMMYFUNCTION("""COMPUTED_VALUE"""),"2.34")</f>
        <v>2.34</v>
      </c>
      <c r="T93" s="246" t="str">
        <f>IFERROR(__xludf.DUMMYFUNCTION("""COMPUTED_VALUE"""),"stop無:1回目：0.35
stop無:2回目：0.50
stop無:3回目 0.62
stop無:4回目 0.78
stop有:5回目 1.00")</f>
        <v>stop無:1回目：0.35
stop無:2回目：0.50
stop無:3回目 0.62
stop無:4回目 0.78
stop有:5回目 1.00</v>
      </c>
      <c r="U93" s="246">
        <f>IFERROR(__xludf.DUMMYFUNCTION("""COMPUTED_VALUE"""),45922.458333333336)</f>
        <v>45922.45833</v>
      </c>
      <c r="V93" s="246">
        <f>IFERROR(__xludf.DUMMYFUNCTION("""COMPUTED_VALUE"""),390812.49998842593)</f>
        <v>390812.5</v>
      </c>
      <c r="W93" s="246" t="str">
        <f>IFERROR(__xludf.DUMMYFUNCTION("""COMPUTED_VALUE"""),"catchcopy_character_chara_jig_00301.png")</f>
        <v>catchcopy_character_chara_jig_00301.png</v>
      </c>
      <c r="X93" s="246" t="str">
        <f>IFERROR(__xludf.DUMMYFUNCTION("""COMPUTED_VALUE"""),"enemy_icon_chara_jig_00301")</f>
        <v>enemy_icon_chara_jig_00301</v>
      </c>
      <c r="Y93" s="246" t="str">
        <f>IFERROR(__xludf.DUMMYFUNCTION("""COMPUTED_VALUE"""),"boss_icon_chara_jig_00301")</f>
        <v>boss_icon_chara_jig_00301</v>
      </c>
      <c r="Z93" s="246"/>
    </row>
    <row r="94">
      <c r="A94" s="248" t="str">
        <f>IFERROR(__xludf.DUMMYFUNCTION("""COMPUTED_VALUE"""),"jig")</f>
        <v>jig</v>
      </c>
      <c r="B94" s="248" t="str">
        <f>IFERROR(__xludf.DUMMYFUNCTION("""COMPUTED_VALUE"""),"地獄楽")</f>
        <v>地獄楽</v>
      </c>
      <c r="C94" s="248" t="str">
        <f>IFERROR(__xludf.DUMMYFUNCTION("""COMPUTED_VALUE"""),"00401")</f>
        <v>00401</v>
      </c>
      <c r="D94" s="248" t="str">
        <f>IFERROR(__xludf.DUMMYFUNCTION("""COMPUTED_VALUE"""),"chara_jig_00401")</f>
        <v>chara_jig_00401</v>
      </c>
      <c r="E94" s="248" t="str">
        <f>IFERROR(__xludf.DUMMYFUNCTION("""COMPUTED_VALUE"""),"賊王 亜左 弔兵衛")</f>
        <v>賊王 亜左 弔兵衛</v>
      </c>
      <c r="F94" s="248" t="str">
        <f>IFERROR(__xludf.DUMMYFUNCTION("""COMPUTED_VALUE"""),"賊王 亜左 弔兵衛")</f>
        <v>賊王 亜左 弔兵衛</v>
      </c>
      <c r="G94" s="248" t="str">
        <f>IFERROR(__xludf.DUMMYFUNCTION("""COMPUTED_VALUE"""),"オレの神もオレだ!!")</f>
        <v>オレの神もオレだ!!</v>
      </c>
      <c r="H94" s="248" t="str">
        <f>IFERROR(__xludf.DUMMYFUNCTION("""COMPUTED_VALUE"""),"UR")</f>
        <v>UR</v>
      </c>
      <c r="I94" s="248" t="str">
        <f>IFERROR(__xludf.DUMMYFUNCTION("""COMPUTED_VALUE"""),"PremiumUR")</f>
        <v>PremiumUR</v>
      </c>
      <c r="J94" s="248" t="str">
        <f>IFERROR(__xludf.DUMMYFUNCTION("""COMPUTED_VALUE"""),"無")</f>
        <v>無</v>
      </c>
      <c r="K94" s="248" t="str">
        <f>IFERROR(__xludf.DUMMYFUNCTION("""COMPUTED_VALUE"""),"chara")</f>
        <v>chara</v>
      </c>
      <c r="L94" s="248" t="str">
        <f>IFERROR(__xludf.DUMMYFUNCTION("""COMPUTED_VALUE"""),"テクニカル")</f>
        <v>テクニカル</v>
      </c>
      <c r="M94" s="248" t="str">
        <f>IFERROR(__xludf.DUMMYFUNCTION("""COMPUTED_VALUE"""),"zangeki_1")</f>
        <v>zangeki_1</v>
      </c>
      <c r="N94" s="250" t="str">
        <f>IFERROR(__xludf.DUMMYFUNCTION("""COMPUTED_VALUE"""),"Short")</f>
        <v>Short</v>
      </c>
      <c r="O94" s="248" t="str">
        <f>IFERROR(__xludf.DUMMYFUNCTION("""COMPUTED_VALUE"""),"zangeki_1")</f>
        <v>zangeki_1</v>
      </c>
      <c r="P94" s="248" t="str">
        <f>IFERROR(__xludf.DUMMYFUNCTION("""COMPUTED_VALUE"""),"00401")</f>
        <v>00401</v>
      </c>
      <c r="Q94" s="248" t="str">
        <f>IFERROR(__xludf.DUMMYFUNCTION("""COMPUTED_VALUE"""),"1.67")</f>
        <v>1.67</v>
      </c>
      <c r="R94" s="248" t="str">
        <f>IFERROR(__xludf.DUMMYFUNCTION("""COMPUTED_VALUE"""),"stop有:1回目0.50")</f>
        <v>stop有:1回目0.50</v>
      </c>
      <c r="S94" s="246" t="str">
        <f>IFERROR(__xludf.DUMMYFUNCTION("""COMPUTED_VALUE"""),"2.67")</f>
        <v>2.67</v>
      </c>
      <c r="T94" s="246" t="str">
        <f>IFERROR(__xludf.DUMMYFUNCTION("""COMPUTED_VALUE"""),"stop有:1回目1.57")</f>
        <v>stop有:1回目1.57</v>
      </c>
      <c r="U94" s="246">
        <f>IFERROR(__xludf.DUMMYFUNCTION("""COMPUTED_VALUE"""),46038.625)</f>
        <v>46038.625</v>
      </c>
      <c r="V94" s="246">
        <f>IFERROR(__xludf.DUMMYFUNCTION("""COMPUTED_VALUE"""),390812.49998842593)</f>
        <v>390812.5</v>
      </c>
      <c r="W94" s="246" t="str">
        <f>IFERROR(__xludf.DUMMYFUNCTION("""COMPUTED_VALUE"""),"catchcopy_character_chara_jig_00401.png")</f>
        <v>catchcopy_character_chara_jig_00401.png</v>
      </c>
      <c r="X94" s="246" t="str">
        <f>IFERROR(__xludf.DUMMYFUNCTION("""COMPUTED_VALUE"""),"enemy_icon_chara_jig_00401")</f>
        <v>enemy_icon_chara_jig_00401</v>
      </c>
      <c r="Y94" s="246" t="str">
        <f>IFERROR(__xludf.DUMMYFUNCTION("""COMPUTED_VALUE"""),"boss_icon_chara_jig_00401")</f>
        <v>boss_icon_chara_jig_00401</v>
      </c>
      <c r="Z94" s="246"/>
    </row>
    <row r="95">
      <c r="A95" s="248" t="str">
        <f>IFERROR(__xludf.DUMMYFUNCTION("""COMPUTED_VALUE"""),"jig")</f>
        <v>jig</v>
      </c>
      <c r="B95" s="248" t="str">
        <f>IFERROR(__xludf.DUMMYFUNCTION("""COMPUTED_VALUE"""),"地獄楽")</f>
        <v>地獄楽</v>
      </c>
      <c r="C95" s="248" t="str">
        <f>IFERROR(__xludf.DUMMYFUNCTION("""COMPUTED_VALUE"""),"00501")</f>
        <v>00501</v>
      </c>
      <c r="D95" s="248" t="str">
        <f>IFERROR(__xludf.DUMMYFUNCTION("""COMPUTED_VALUE"""),"chara_jig_00501")</f>
        <v>chara_jig_00501</v>
      </c>
      <c r="E95" s="248" t="str">
        <f>IFERROR(__xludf.DUMMYFUNCTION("""COMPUTED_VALUE"""),"山田浅ェ門 桐馬")</f>
        <v>山田浅ェ門 桐馬</v>
      </c>
      <c r="F95" s="248" t="str">
        <f>IFERROR(__xludf.DUMMYFUNCTION("""COMPUTED_VALUE"""),"山田浅ェ門 桐馬")</f>
        <v>山田浅ェ門 桐馬</v>
      </c>
      <c r="G95" s="248" t="str">
        <f>IFERROR(__xludf.DUMMYFUNCTION("""COMPUTED_VALUE"""),"兄さんは強いんだ")</f>
        <v>兄さんは強いんだ</v>
      </c>
      <c r="H95" s="248" t="str">
        <f>IFERROR(__xludf.DUMMYFUNCTION("""COMPUTED_VALUE"""),"SSR")</f>
        <v>SSR</v>
      </c>
      <c r="I95" s="248" t="str">
        <f>IFERROR(__xludf.DUMMYFUNCTION("""COMPUTED_VALUE"""),"PremiumSSR")</f>
        <v>PremiumSSR</v>
      </c>
      <c r="J95" s="248" t="str">
        <f>IFERROR(__xludf.DUMMYFUNCTION("""COMPUTED_VALUE"""),"緑")</f>
        <v>緑</v>
      </c>
      <c r="K95" s="248" t="str">
        <f>IFERROR(__xludf.DUMMYFUNCTION("""COMPUTED_VALUE"""),"chara")</f>
        <v>chara</v>
      </c>
      <c r="L95" s="248" t="str">
        <f>IFERROR(__xludf.DUMMYFUNCTION("""COMPUTED_VALUE"""),"サポート")</f>
        <v>サポート</v>
      </c>
      <c r="M95" s="248" t="str">
        <f>IFERROR(__xludf.DUMMYFUNCTION("""COMPUTED_VALUE"""),"zangeki_1")</f>
        <v>zangeki_1</v>
      </c>
      <c r="N95" s="250" t="str">
        <f>IFERROR(__xludf.DUMMYFUNCTION("""COMPUTED_VALUE"""),"Short")</f>
        <v>Short</v>
      </c>
      <c r="O95" s="248" t="str">
        <f>IFERROR(__xludf.DUMMYFUNCTION("""COMPUTED_VALUE"""),"-")</f>
        <v>-</v>
      </c>
      <c r="P95" s="248" t="str">
        <f>IFERROR(__xludf.DUMMYFUNCTION("""COMPUTED_VALUE"""),"00501")</f>
        <v>00501</v>
      </c>
      <c r="Q95" s="248" t="str">
        <f>IFERROR(__xludf.DUMMYFUNCTION("""COMPUTED_VALUE"""),"1.6")</f>
        <v>1.6</v>
      </c>
      <c r="R95" s="248" t="str">
        <f>IFERROR(__xludf.DUMMYFUNCTION("""COMPUTED_VALUE"""),"stop有:1回目0.4")</f>
        <v>stop有:1回目0.4</v>
      </c>
      <c r="S95" s="246" t="str">
        <f>IFERROR(__xludf.DUMMYFUNCTION("""COMPUTED_VALUE"""),"3.33")</f>
        <v>3.33</v>
      </c>
      <c r="T95" s="246" t="str">
        <f>IFERROR(__xludf.DUMMYFUNCTION("""COMPUTED_VALUE"""),"stop無:1.67")</f>
        <v>stop無:1.67</v>
      </c>
      <c r="U95" s="246">
        <f>IFERROR(__xludf.DUMMYFUNCTION("""COMPUTED_VALUE"""),46038.625)</f>
        <v>46038.625</v>
      </c>
      <c r="V95" s="246">
        <f>IFERROR(__xludf.DUMMYFUNCTION("""COMPUTED_VALUE"""),390812.49998842593)</f>
        <v>390812.5</v>
      </c>
      <c r="W95" s="246" t="str">
        <f>IFERROR(__xludf.DUMMYFUNCTION("""COMPUTED_VALUE"""),"catchcopy_character_chara_jig_00501.png")</f>
        <v>catchcopy_character_chara_jig_00501.png</v>
      </c>
      <c r="X95" s="246" t="str">
        <f>IFERROR(__xludf.DUMMYFUNCTION("""COMPUTED_VALUE"""),"enemy_icon_chara_jig_00501")</f>
        <v>enemy_icon_chara_jig_00501</v>
      </c>
      <c r="Y95" s="246" t="str">
        <f>IFERROR(__xludf.DUMMYFUNCTION("""COMPUTED_VALUE"""),"boss_icon_chara_jig_00501")</f>
        <v>boss_icon_chara_jig_00501</v>
      </c>
      <c r="Z95" s="246"/>
    </row>
    <row r="96">
      <c r="A96" s="248" t="str">
        <f>IFERROR(__xludf.DUMMYFUNCTION("""COMPUTED_VALUE"""),"jig")</f>
        <v>jig</v>
      </c>
      <c r="B96" s="248" t="str">
        <f>IFERROR(__xludf.DUMMYFUNCTION("""COMPUTED_VALUE"""),"地獄楽")</f>
        <v>地獄楽</v>
      </c>
      <c r="C96" s="248" t="str">
        <f>IFERROR(__xludf.DUMMYFUNCTION("""COMPUTED_VALUE"""),"00601")</f>
        <v>00601</v>
      </c>
      <c r="D96" s="248" t="str">
        <f>IFERROR(__xludf.DUMMYFUNCTION("""COMPUTED_VALUE"""),"chara_jig_00601")</f>
        <v>chara_jig_00601</v>
      </c>
      <c r="E96" s="248" t="str">
        <f>IFERROR(__xludf.DUMMYFUNCTION("""COMPUTED_VALUE"""),"民谷 巌鉄斎")</f>
        <v>民谷 巌鉄斎</v>
      </c>
      <c r="F96" s="248" t="str">
        <f>IFERROR(__xludf.DUMMYFUNCTION("""COMPUTED_VALUE"""),"民谷 巌鉄斎")</f>
        <v>民谷 巌鉄斎</v>
      </c>
      <c r="G96" s="248" t="str">
        <f>IFERROR(__xludf.DUMMYFUNCTION("""COMPUTED_VALUE"""),"真の不老不死だ!!")</f>
        <v>真の不老不死だ!!</v>
      </c>
      <c r="H96" s="248" t="str">
        <f>IFERROR(__xludf.DUMMYFUNCTION("""COMPUTED_VALUE"""),"SR")</f>
        <v>SR</v>
      </c>
      <c r="I96" s="248" t="str">
        <f>IFERROR(__xludf.DUMMYFUNCTION("""COMPUTED_VALUE"""),"DropSR")</f>
        <v>DropSR</v>
      </c>
      <c r="J96" s="248" t="str">
        <f>IFERROR(__xludf.DUMMYFUNCTION("""COMPUTED_VALUE"""),"青")</f>
        <v>青</v>
      </c>
      <c r="K96" s="248" t="str">
        <f>IFERROR(__xludf.DUMMYFUNCTION("""COMPUTED_VALUE"""),"chara")</f>
        <v>chara</v>
      </c>
      <c r="L96" s="248" t="str">
        <f>IFERROR(__xludf.DUMMYFUNCTION("""COMPUTED_VALUE"""),"ディフェンス")</f>
        <v>ディフェンス</v>
      </c>
      <c r="M96" s="248" t="str">
        <f>IFERROR(__xludf.DUMMYFUNCTION("""COMPUTED_VALUE"""),"zangeki_1")</f>
        <v>zangeki_1</v>
      </c>
      <c r="N96" s="250" t="str">
        <f>IFERROR(__xludf.DUMMYFUNCTION("""COMPUTED_VALUE"""),"Short")</f>
        <v>Short</v>
      </c>
      <c r="O96" s="248" t="str">
        <f>IFERROR(__xludf.DUMMYFUNCTION("""COMPUTED_VALUE"""),"zangeki_1")</f>
        <v>zangeki_1</v>
      </c>
      <c r="P96" s="248" t="str">
        <f>IFERROR(__xludf.DUMMYFUNCTION("""COMPUTED_VALUE"""),"00601")</f>
        <v>00601</v>
      </c>
      <c r="Q96" s="248" t="str">
        <f>IFERROR(__xludf.DUMMYFUNCTION("""COMPUTED_VALUE"""),"1.67")</f>
        <v>1.67</v>
      </c>
      <c r="R96" s="248" t="str">
        <f>IFERROR(__xludf.DUMMYFUNCTION("""COMPUTED_VALUE"""),"stop有:1回目0.6")</f>
        <v>stop有:1回目0.6</v>
      </c>
      <c r="S96" s="246" t="str">
        <f>IFERROR(__xludf.DUMMYFUNCTION("""COMPUTED_VALUE"""),"2.67")</f>
        <v>2.67</v>
      </c>
      <c r="T96" s="246" t="str">
        <f>IFERROR(__xludf.DUMMYFUNCTION("""COMPUTED_VALUE"""),"stop有:1.5")</f>
        <v>stop有:1.5</v>
      </c>
      <c r="U96" s="246">
        <f>IFERROR(__xludf.DUMMYFUNCTION("""COMPUTED_VALUE"""),46038.625)</f>
        <v>46038.625</v>
      </c>
      <c r="V96" s="246">
        <f>IFERROR(__xludf.DUMMYFUNCTION("""COMPUTED_VALUE"""),390812.49998842593)</f>
        <v>390812.5</v>
      </c>
      <c r="W96" s="246" t="str">
        <f>IFERROR(__xludf.DUMMYFUNCTION("""COMPUTED_VALUE"""),"catchcopy_character_chara_jig_00601.png")</f>
        <v>catchcopy_character_chara_jig_00601.png</v>
      </c>
      <c r="X96" s="246" t="str">
        <f>IFERROR(__xludf.DUMMYFUNCTION("""COMPUTED_VALUE"""),"enemy_icon_chara_jig_00601")</f>
        <v>enemy_icon_chara_jig_00601</v>
      </c>
      <c r="Y96" s="246" t="str">
        <f>IFERROR(__xludf.DUMMYFUNCTION("""COMPUTED_VALUE"""),"boss_icon_chara_jig_00601")</f>
        <v>boss_icon_chara_jig_00601</v>
      </c>
      <c r="Z96" s="246"/>
    </row>
    <row r="97">
      <c r="A97" s="248" t="str">
        <f>IFERROR(__xludf.DUMMYFUNCTION("""COMPUTED_VALUE"""),"jig")</f>
        <v>jig</v>
      </c>
      <c r="B97" s="248" t="str">
        <f>IFERROR(__xludf.DUMMYFUNCTION("""COMPUTED_VALUE"""),"地獄楽")</f>
        <v>地獄楽</v>
      </c>
      <c r="C97" s="248" t="str">
        <f>IFERROR(__xludf.DUMMYFUNCTION("""COMPUTED_VALUE"""),"00701")</f>
        <v>00701</v>
      </c>
      <c r="D97" s="248" t="str">
        <f>IFERROR(__xludf.DUMMYFUNCTION("""COMPUTED_VALUE"""),"chara_jig_00701")</f>
        <v>chara_jig_00701</v>
      </c>
      <c r="E97" s="248" t="str">
        <f>IFERROR(__xludf.DUMMYFUNCTION("""COMPUTED_VALUE"""),"メイ")</f>
        <v>メイ</v>
      </c>
      <c r="F97" s="248" t="str">
        <f>IFERROR(__xludf.DUMMYFUNCTION("""COMPUTED_VALUE"""),"メイ")</f>
        <v>メイ</v>
      </c>
      <c r="G97" s="248" t="str">
        <f>IFERROR(__xludf.DUMMYFUNCTION("""COMPUTED_VALUE"""),"強イモ弱イモ ゼンブダイジ")</f>
        <v>強イモ弱イモ ゼンブダイジ</v>
      </c>
      <c r="H97" s="248" t="str">
        <f>IFERROR(__xludf.DUMMYFUNCTION("""COMPUTED_VALUE"""),"SR")</f>
        <v>SR</v>
      </c>
      <c r="I97" s="248" t="str">
        <f>IFERROR(__xludf.DUMMYFUNCTION("""COMPUTED_VALUE"""),"DropSR")</f>
        <v>DropSR</v>
      </c>
      <c r="J97" s="248" t="str">
        <f>IFERROR(__xludf.DUMMYFUNCTION("""COMPUTED_VALUE"""),"無")</f>
        <v>無</v>
      </c>
      <c r="K97" s="248" t="str">
        <f>IFERROR(__xludf.DUMMYFUNCTION("""COMPUTED_VALUE"""),"chara")</f>
        <v>chara</v>
      </c>
      <c r="L97" s="248" t="str">
        <f>IFERROR(__xludf.DUMMYFUNCTION("""COMPUTED_VALUE"""),"スペシャル")</f>
        <v>スペシャル</v>
      </c>
      <c r="M97" s="248" t="str">
        <f>IFERROR(__xludf.DUMMYFUNCTION("""COMPUTED_VALUE"""),"-")</f>
        <v>-</v>
      </c>
      <c r="N97" s="250" t="str">
        <f>IFERROR(__xludf.DUMMYFUNCTION("""COMPUTED_VALUE"""),"ー")</f>
        <v>ー</v>
      </c>
      <c r="O97" s="248" t="str">
        <f>IFERROR(__xludf.DUMMYFUNCTION("""COMPUTED_VALUE"""),"-")</f>
        <v>-</v>
      </c>
      <c r="P97" s="248" t="str">
        <f>IFERROR(__xludf.DUMMYFUNCTION("""COMPUTED_VALUE"""),"00701")</f>
        <v>00701</v>
      </c>
      <c r="Q97" s="248" t="str">
        <f>IFERROR(__xludf.DUMMYFUNCTION("""COMPUTED_VALUE"""),"-")</f>
        <v>-</v>
      </c>
      <c r="R97" s="248" t="str">
        <f>IFERROR(__xludf.DUMMYFUNCTION("""COMPUTED_VALUE"""),"-")</f>
        <v>-</v>
      </c>
      <c r="S97" s="246" t="str">
        <f>IFERROR(__xludf.DUMMYFUNCTION("""COMPUTED_VALUE"""),"2.4")</f>
        <v>2.4</v>
      </c>
      <c r="T97" s="246" t="str">
        <f>IFERROR(__xludf.DUMMYFUNCTION("""COMPUTED_VALUE"""),"0")</f>
        <v>0</v>
      </c>
      <c r="U97" s="246">
        <f>IFERROR(__xludf.DUMMYFUNCTION("""COMPUTED_VALUE"""),46038.625)</f>
        <v>46038.625</v>
      </c>
      <c r="V97" s="246">
        <f>IFERROR(__xludf.DUMMYFUNCTION("""COMPUTED_VALUE"""),390812.49998842593)</f>
        <v>390812.5</v>
      </c>
      <c r="W97" s="246" t="str">
        <f>IFERROR(__xludf.DUMMYFUNCTION("""COMPUTED_VALUE"""),"catchcopy_character_chara_jig_00701.png")</f>
        <v>catchcopy_character_chara_jig_00701.png</v>
      </c>
      <c r="X97" s="246" t="str">
        <f>IFERROR(__xludf.DUMMYFUNCTION("""COMPUTED_VALUE"""),"enemy_icon_chara_jig_00701")</f>
        <v>enemy_icon_chara_jig_00701</v>
      </c>
      <c r="Y97" s="246" t="str">
        <f>IFERROR(__xludf.DUMMYFUNCTION("""COMPUTED_VALUE"""),"boss_icon_chara_jig_00701")</f>
        <v>boss_icon_chara_jig_00701</v>
      </c>
      <c r="Z97" s="246"/>
    </row>
    <row r="98">
      <c r="A98" s="248" t="str">
        <f>IFERROR(__xludf.DUMMYFUNCTION("""COMPUTED_VALUE"""),"mag")</f>
        <v>mag</v>
      </c>
      <c r="B98" s="248" t="str">
        <f>IFERROR(__xludf.DUMMYFUNCTION("""COMPUTED_VALUE"""),"株式会社マジルミエ")</f>
        <v>株式会社マジルミエ</v>
      </c>
      <c r="C98" s="248" t="str">
        <f>IFERROR(__xludf.DUMMYFUNCTION("""COMPUTED_VALUE"""),"00001")</f>
        <v>00001</v>
      </c>
      <c r="D98" s="248" t="str">
        <f>IFERROR(__xludf.DUMMYFUNCTION("""COMPUTED_VALUE"""),"chara_mag_00001")</f>
        <v>chara_mag_00001</v>
      </c>
      <c r="E98" s="248" t="str">
        <f>IFERROR(__xludf.DUMMYFUNCTION("""COMPUTED_VALUE"""),"新人魔法少女 桜木 カナ")</f>
        <v>新人魔法少女 桜木 カナ</v>
      </c>
      <c r="F98" s="248" t="str">
        <f>IFERROR(__xludf.DUMMYFUNCTION("""COMPUTED_VALUE"""),"新人魔法少女 桜木 カナ")</f>
        <v>新人魔法少女 桜木 カナ</v>
      </c>
      <c r="G98" s="248" t="str">
        <f>IFERROR(__xludf.DUMMYFUNCTION("""COMPUTED_VALUE"""),"私は役に立てる")</f>
        <v>私は役に立てる</v>
      </c>
      <c r="H98" s="248" t="str">
        <f>IFERROR(__xludf.DUMMYFUNCTION("""COMPUTED_VALUE"""),"UR")</f>
        <v>UR</v>
      </c>
      <c r="I98" s="248" t="str">
        <f>IFERROR(__xludf.DUMMYFUNCTION("""COMPUTED_VALUE"""),"PremiumUR")</f>
        <v>PremiumUR</v>
      </c>
      <c r="J98" s="248" t="str">
        <f>IFERROR(__xludf.DUMMYFUNCTION("""COMPUTED_VALUE"""),"青")</f>
        <v>青</v>
      </c>
      <c r="K98" s="248" t="str">
        <f>IFERROR(__xludf.DUMMYFUNCTION("""COMPUTED_VALUE"""),"chara")</f>
        <v>chara</v>
      </c>
      <c r="L98" s="248" t="str">
        <f>IFERROR(__xludf.DUMMYFUNCTION("""COMPUTED_VALUE"""),"アタック")</f>
        <v>アタック</v>
      </c>
      <c r="M98" s="248" t="str">
        <f>IFERROR(__xludf.DUMMYFUNCTION("""COMPUTED_VALUE"""),"shageki_1")</f>
        <v>shageki_1</v>
      </c>
      <c r="N98" s="250" t="str">
        <f>IFERROR(__xludf.DUMMYFUNCTION("""COMPUTED_VALUE"""),"Long")</f>
        <v>Long</v>
      </c>
      <c r="O98" s="248" t="str">
        <f>IFERROR(__xludf.DUMMYFUNCTION("""COMPUTED_VALUE"""),"shageki_1")</f>
        <v>shageki_1</v>
      </c>
      <c r="P98" s="248" t="str">
        <f>IFERROR(__xludf.DUMMYFUNCTION("""COMPUTED_VALUE"""),"00001")</f>
        <v>00001</v>
      </c>
      <c r="Q98" s="248" t="str">
        <f>IFERROR(__xludf.DUMMYFUNCTION("""COMPUTED_VALUE"""),"1.77")</f>
        <v>1.77</v>
      </c>
      <c r="R98" s="248" t="str">
        <f>IFERROR(__xludf.DUMMYFUNCTION("""COMPUTED_VALUE"""),"stop有:1回目 0.92")</f>
        <v>stop有:1回目 0.92</v>
      </c>
      <c r="S98" s="246" t="str">
        <f>IFERROR(__xludf.DUMMYFUNCTION("""COMPUTED_VALUE"""),"2.33")</f>
        <v>2.33</v>
      </c>
      <c r="T98" s="246" t="str">
        <f>IFERROR(__xludf.DUMMYFUNCTION("""COMPUTED_VALUE"""),"stop無:1回目 0.75
stop無:2回目 0.92
stop無:3回目 1.08
stop無:4回目 1.25
stop無:5回目 1.42
stop無:6回目 1.58")</f>
        <v>stop無:1回目 0.75
stop無:2回目 0.92
stop無:3回目 1.08
stop無:4回目 1.25
stop無:5回目 1.42
stop無:6回目 1.58</v>
      </c>
      <c r="U98" s="246">
        <f>IFERROR(__xludf.DUMMYFUNCTION("""COMPUTED_VALUE"""),45922.458333333336)</f>
        <v>45922.45833</v>
      </c>
      <c r="V98" s="246">
        <f>IFERROR(__xludf.DUMMYFUNCTION("""COMPUTED_VALUE"""),390812.49998842593)</f>
        <v>390812.5</v>
      </c>
      <c r="W98" s="246" t="str">
        <f>IFERROR(__xludf.DUMMYFUNCTION("""COMPUTED_VALUE"""),"catchcopy_character_chara_mag_00001.png")</f>
        <v>catchcopy_character_chara_mag_00001.png</v>
      </c>
      <c r="X98" s="246" t="str">
        <f>IFERROR(__xludf.DUMMYFUNCTION("""COMPUTED_VALUE"""),"enemy_icon_chara_mag_00001")</f>
        <v>enemy_icon_chara_mag_00001</v>
      </c>
      <c r="Y98" s="246" t="str">
        <f>IFERROR(__xludf.DUMMYFUNCTION("""COMPUTED_VALUE"""),"boss_icon_chara_mag_00001")</f>
        <v>boss_icon_chara_mag_00001</v>
      </c>
      <c r="Z98" s="246" t="str">
        <f>IFERROR(__xludf.DUMMYFUNCTION("""COMPUTED_VALUE"""),"chara_mag_00001_normal")</f>
        <v>chara_mag_00001_normal</v>
      </c>
    </row>
    <row r="99">
      <c r="A99" s="248" t="str">
        <f>IFERROR(__xludf.DUMMYFUNCTION("""COMPUTED_VALUE"""),"mag")</f>
        <v>mag</v>
      </c>
      <c r="B99" s="248" t="str">
        <f>IFERROR(__xludf.DUMMYFUNCTION("""COMPUTED_VALUE"""),"株式会社マジルミエ")</f>
        <v>株式会社マジルミエ</v>
      </c>
      <c r="C99" s="248" t="str">
        <f>IFERROR(__xludf.DUMMYFUNCTION("""COMPUTED_VALUE"""),"00101")</f>
        <v>00101</v>
      </c>
      <c r="D99" s="248" t="str">
        <f>IFERROR(__xludf.DUMMYFUNCTION("""COMPUTED_VALUE"""),"chara_mag_00101")</f>
        <v>chara_mag_00101</v>
      </c>
      <c r="E99" s="248" t="str">
        <f>IFERROR(__xludf.DUMMYFUNCTION("""COMPUTED_VALUE"""),"越谷 仁美")</f>
        <v>越谷 仁美</v>
      </c>
      <c r="F99" s="248" t="str">
        <f>IFERROR(__xludf.DUMMYFUNCTION("""COMPUTED_VALUE"""),"越谷 仁美")</f>
        <v>越谷 仁美</v>
      </c>
      <c r="G99" s="248" t="str">
        <f>IFERROR(__xludf.DUMMYFUNCTION("""COMPUTED_VALUE"""),"まずァ一発！")</f>
        <v>まずァ一発！</v>
      </c>
      <c r="H99" s="248" t="str">
        <f>IFERROR(__xludf.DUMMYFUNCTION("""COMPUTED_VALUE"""),"SR")</f>
        <v>SR</v>
      </c>
      <c r="I99" s="248" t="str">
        <f>IFERROR(__xludf.DUMMYFUNCTION("""COMPUTED_VALUE"""),"PremiumSR")</f>
        <v>PremiumSR</v>
      </c>
      <c r="J99" s="248" t="str">
        <f>IFERROR(__xludf.DUMMYFUNCTION("""COMPUTED_VALUE"""),"黄")</f>
        <v>黄</v>
      </c>
      <c r="K99" s="248" t="str">
        <f>IFERROR(__xludf.DUMMYFUNCTION("""COMPUTED_VALUE"""),"chara")</f>
        <v>chara</v>
      </c>
      <c r="L99" s="248" t="str">
        <f>IFERROR(__xludf.DUMMYFUNCTION("""COMPUTED_VALUE"""),"アタック")</f>
        <v>アタック</v>
      </c>
      <c r="M99" s="248" t="str">
        <f>IFERROR(__xludf.DUMMYFUNCTION("""COMPUTED_VALUE"""),"shageki_1")</f>
        <v>shageki_1</v>
      </c>
      <c r="N99" s="250" t="str">
        <f>IFERROR(__xludf.DUMMYFUNCTION("""COMPUTED_VALUE"""),"Middle")</f>
        <v>Middle</v>
      </c>
      <c r="O99" s="248" t="str">
        <f>IFERROR(__xludf.DUMMYFUNCTION("""COMPUTED_VALUE"""),"shageki_1")</f>
        <v>shageki_1</v>
      </c>
      <c r="P99" s="248" t="str">
        <f>IFERROR(__xludf.DUMMYFUNCTION("""COMPUTED_VALUE"""),"00101")</f>
        <v>00101</v>
      </c>
      <c r="Q99" s="248" t="str">
        <f>IFERROR(__xludf.DUMMYFUNCTION("""COMPUTED_VALUE"""),"1.90")</f>
        <v>1.90</v>
      </c>
      <c r="R99" s="248" t="str">
        <f>IFERROR(__xludf.DUMMYFUNCTION("""COMPUTED_VALUE"""),"0.84")</f>
        <v>0.84</v>
      </c>
      <c r="S99" s="246" t="str">
        <f>IFERROR(__xludf.DUMMYFUNCTION("""COMPUTED_VALUE"""),"2.67")</f>
        <v>2.67</v>
      </c>
      <c r="T99" s="246" t="str">
        <f>IFERROR(__xludf.DUMMYFUNCTION("""COMPUTED_VALUE"""),"1.50")</f>
        <v>1.50</v>
      </c>
      <c r="U99" s="246">
        <f>IFERROR(__xludf.DUMMYFUNCTION("""COMPUTED_VALUE"""),45922.458333333336)</f>
        <v>45922.45833</v>
      </c>
      <c r="V99" s="246">
        <f>IFERROR(__xludf.DUMMYFUNCTION("""COMPUTED_VALUE"""),390812.49998842593)</f>
        <v>390812.5</v>
      </c>
      <c r="W99" s="246" t="str">
        <f>IFERROR(__xludf.DUMMYFUNCTION("""COMPUTED_VALUE"""),"catchcopy_character_chara_mag_00101.png")</f>
        <v>catchcopy_character_chara_mag_00101.png</v>
      </c>
      <c r="X99" s="246" t="str">
        <f>IFERROR(__xludf.DUMMYFUNCTION("""COMPUTED_VALUE"""),"enemy_icon_chara_mag_00101")</f>
        <v>enemy_icon_chara_mag_00101</v>
      </c>
      <c r="Y99" s="246" t="str">
        <f>IFERROR(__xludf.DUMMYFUNCTION("""COMPUTED_VALUE"""),"boss_icon_chara_mag_00101")</f>
        <v>boss_icon_chara_mag_00101</v>
      </c>
      <c r="Z99" s="246" t="str">
        <f>IFERROR(__xludf.DUMMYFUNCTION("""COMPUTED_VALUE"""),"chara_mag_00101_normal")</f>
        <v>chara_mag_00101_normal</v>
      </c>
    </row>
    <row r="100">
      <c r="A100" s="248" t="str">
        <f>IFERROR(__xludf.DUMMYFUNCTION("""COMPUTED_VALUE"""),"mag")</f>
        <v>mag</v>
      </c>
      <c r="B100" s="248" t="str">
        <f>IFERROR(__xludf.DUMMYFUNCTION("""COMPUTED_VALUE"""),"株式会社マジルミエ")</f>
        <v>株式会社マジルミエ</v>
      </c>
      <c r="C100" s="248" t="str">
        <f>IFERROR(__xludf.DUMMYFUNCTION("""COMPUTED_VALUE"""),"00201")</f>
        <v>00201</v>
      </c>
      <c r="D100" s="248" t="str">
        <f>IFERROR(__xludf.DUMMYFUNCTION("""COMPUTED_VALUE"""),"chara_mag_00201")</f>
        <v>chara_mag_00201</v>
      </c>
      <c r="E100" s="248" t="str">
        <f>IFERROR(__xludf.DUMMYFUNCTION("""COMPUTED_VALUE"""),"土刃 メイ")</f>
        <v>土刃 メイ</v>
      </c>
      <c r="F100" s="248" t="str">
        <f>IFERROR(__xludf.DUMMYFUNCTION("""COMPUTED_VALUE"""),"絶対効率の体現者 土刃 メイ")</f>
        <v>絶対効率の体現者 土刃 メイ</v>
      </c>
      <c r="G100" s="248" t="str">
        <f>IFERROR(__xludf.DUMMYFUNCTION("""COMPUTED_VALUE"""),"これが仕事です")</f>
        <v>これが仕事です</v>
      </c>
      <c r="H100" s="248" t="str">
        <f>IFERROR(__xludf.DUMMYFUNCTION("""COMPUTED_VALUE"""),"UR")</f>
        <v>UR</v>
      </c>
      <c r="I100" s="248" t="str">
        <f>IFERROR(__xludf.DUMMYFUNCTION("""COMPUTED_VALUE"""),"PremiumUR")</f>
        <v>PremiumUR</v>
      </c>
      <c r="J100" s="248" t="str">
        <f>IFERROR(__xludf.DUMMYFUNCTION("""COMPUTED_VALUE"""),"赤")</f>
        <v>赤</v>
      </c>
      <c r="K100" s="248" t="str">
        <f>IFERROR(__xludf.DUMMYFUNCTION("""COMPUTED_VALUE"""),"chara")</f>
        <v>chara</v>
      </c>
      <c r="L100" s="248" t="str">
        <f>IFERROR(__xludf.DUMMYFUNCTION("""COMPUTED_VALUE"""),"アタック")</f>
        <v>アタック</v>
      </c>
      <c r="M100" s="248" t="str">
        <f>IFERROR(__xludf.DUMMYFUNCTION("""COMPUTED_VALUE"""),"shageki_1")</f>
        <v>shageki_1</v>
      </c>
      <c r="N100" s="250" t="str">
        <f>IFERROR(__xludf.DUMMYFUNCTION("""COMPUTED_VALUE"""),"Long")</f>
        <v>Long</v>
      </c>
      <c r="O100" s="248" t="str">
        <f>IFERROR(__xludf.DUMMYFUNCTION("""COMPUTED_VALUE"""),"dageki_1")</f>
        <v>dageki_1</v>
      </c>
      <c r="P100" s="248"/>
      <c r="Q100" s="248" t="str">
        <f>IFERROR(__xludf.DUMMYFUNCTION("""COMPUTED_VALUE"""),"1.17")</f>
        <v>1.17</v>
      </c>
      <c r="R100" s="248" t="str">
        <f>IFERROR(__xludf.DUMMYFUNCTION("""COMPUTED_VALUE"""),"stop有:1回目 0.42")</f>
        <v>stop有:1回目 0.42</v>
      </c>
      <c r="S100" s="246" t="str">
        <f>IFERROR(__xludf.DUMMYFUNCTION("""COMPUTED_VALUE"""),"2.71")</f>
        <v>2.71</v>
      </c>
      <c r="T100" s="246" t="str">
        <f>IFERROR(__xludf.DUMMYFUNCTION("""COMPUTED_VALUE"""),"stop有:1回目 0.38
stop無:2回目 1.55
stop無:3回目 1.8
stop無:4回目 2.1")</f>
        <v>stop有:1回目 0.38
stop無:2回目 1.55
stop無:3回目 1.8
stop無:4回目 2.1</v>
      </c>
      <c r="U100" s="246">
        <f>IFERROR(__xludf.DUMMYFUNCTION("""COMPUTED_VALUE"""),45967.625)</f>
        <v>45967.625</v>
      </c>
      <c r="V100" s="246">
        <f>IFERROR(__xludf.DUMMYFUNCTION("""COMPUTED_VALUE"""),390812.49998842593)</f>
        <v>390812.5</v>
      </c>
      <c r="W100" s="246"/>
      <c r="X100" s="246" t="str">
        <f>IFERROR(__xludf.DUMMYFUNCTION("""COMPUTED_VALUE"""),"enemy_icon_chara_mag_00201")</f>
        <v>enemy_icon_chara_mag_00201</v>
      </c>
      <c r="Y100" s="246" t="str">
        <f>IFERROR(__xludf.DUMMYFUNCTION("""COMPUTED_VALUE"""),"boss_icon_chara_mag_00201")</f>
        <v>boss_icon_chara_mag_00201</v>
      </c>
      <c r="Z100" s="246"/>
    </row>
    <row r="101">
      <c r="A101" s="246" t="str">
        <f>IFERROR(__xludf.DUMMYFUNCTION("""COMPUTED_VALUE"""),"mag")</f>
        <v>mag</v>
      </c>
      <c r="B101" s="246" t="str">
        <f>IFERROR(__xludf.DUMMYFUNCTION("""COMPUTED_VALUE"""),"株式会社マジルミエ")</f>
        <v>株式会社マジルミエ</v>
      </c>
      <c r="C101" s="246" t="str">
        <f>IFERROR(__xludf.DUMMYFUNCTION("""COMPUTED_VALUE"""),"00301")</f>
        <v>00301</v>
      </c>
      <c r="D101" s="246" t="str">
        <f>IFERROR(__xludf.DUMMYFUNCTION("""COMPUTED_VALUE"""),"chara_mag_00301")</f>
        <v>chara_mag_00301</v>
      </c>
      <c r="E101" s="246" t="str">
        <f>IFERROR(__xludf.DUMMYFUNCTION("""COMPUTED_VALUE"""),"葵 リリー")</f>
        <v>葵 リリー</v>
      </c>
      <c r="F101" s="246" t="str">
        <f>IFERROR(__xludf.DUMMYFUNCTION("""COMPUTED_VALUE"""),"葵 リリー")</f>
        <v>葵 リリー</v>
      </c>
      <c r="G101" s="246" t="str">
        <f>IFERROR(__xludf.DUMMYFUNCTION("""COMPUTED_VALUE"""),"笑って")</f>
        <v>笑って</v>
      </c>
      <c r="H101" s="246" t="str">
        <f>IFERROR(__xludf.DUMMYFUNCTION("""COMPUTED_VALUE"""),"SSR")</f>
        <v>SSR</v>
      </c>
      <c r="I101" s="246" t="str">
        <f>IFERROR(__xludf.DUMMYFUNCTION("""COMPUTED_VALUE"""),"PremiumSSR")</f>
        <v>PremiumSSR</v>
      </c>
      <c r="J101" s="246" t="str">
        <f>IFERROR(__xludf.DUMMYFUNCTION("""COMPUTED_VALUE"""),"緑")</f>
        <v>緑</v>
      </c>
      <c r="K101" s="246" t="str">
        <f>IFERROR(__xludf.DUMMYFUNCTION("""COMPUTED_VALUE"""),"chara")</f>
        <v>chara</v>
      </c>
      <c r="L101" s="246" t="str">
        <f>IFERROR(__xludf.DUMMYFUNCTION("""COMPUTED_VALUE"""),"ディフェンス")</f>
        <v>ディフェンス</v>
      </c>
      <c r="M101" s="246" t="str">
        <f>IFERROR(__xludf.DUMMYFUNCTION("""COMPUTED_VALUE"""),"dageki_1")</f>
        <v>dageki_1</v>
      </c>
      <c r="N101" s="252" t="str">
        <f>IFERROR(__xludf.DUMMYFUNCTION("""COMPUTED_VALUE"""),"Middle")</f>
        <v>Middle</v>
      </c>
      <c r="O101" s="246" t="str">
        <f>IFERROR(__xludf.DUMMYFUNCTION("""COMPUTED_VALUE"""),"-")</f>
        <v>-</v>
      </c>
      <c r="P101" s="246"/>
      <c r="Q101" s="246" t="str">
        <f>IFERROR(__xludf.DUMMYFUNCTION("""COMPUTED_VALUE"""),"1.6")</f>
        <v>1.6</v>
      </c>
      <c r="R101" s="246" t="str">
        <f>IFERROR(__xludf.DUMMYFUNCTION("""COMPUTED_VALUE"""),"stop有:0.6")</f>
        <v>stop有:0.6</v>
      </c>
      <c r="S101" s="246" t="str">
        <f>IFERROR(__xludf.DUMMYFUNCTION("""COMPUTED_VALUE"""),"2.5")</f>
        <v>2.5</v>
      </c>
      <c r="T101" s="246" t="str">
        <f>IFERROR(__xludf.DUMMYFUNCTION("""COMPUTED_VALUE"""),"stop無 1")</f>
        <v>stop無 1</v>
      </c>
      <c r="U101" s="246">
        <f>IFERROR(__xludf.DUMMYFUNCTION("""COMPUTED_VALUE"""),45967.625)</f>
        <v>45967.625</v>
      </c>
      <c r="V101" s="246">
        <f>IFERROR(__xludf.DUMMYFUNCTION("""COMPUTED_VALUE"""),390812.49998842593)</f>
        <v>390812.5</v>
      </c>
      <c r="W101" s="246"/>
      <c r="X101" s="246" t="str">
        <f>IFERROR(__xludf.DUMMYFUNCTION("""COMPUTED_VALUE"""),"enemy_icon_chara_mag_00301")</f>
        <v>enemy_icon_chara_mag_00301</v>
      </c>
      <c r="Y101" s="246" t="str">
        <f>IFERROR(__xludf.DUMMYFUNCTION("""COMPUTED_VALUE"""),"boss_icon_chara_mag_00301")</f>
        <v>boss_icon_chara_mag_00301</v>
      </c>
      <c r="Z101" s="246"/>
    </row>
    <row r="102">
      <c r="A102" s="246" t="str">
        <f>IFERROR(__xludf.DUMMYFUNCTION("""COMPUTED_VALUE"""),"mag")</f>
        <v>mag</v>
      </c>
      <c r="B102" s="246" t="str">
        <f>IFERROR(__xludf.DUMMYFUNCTION("""COMPUTED_VALUE"""),"株式会社マジルミエ")</f>
        <v>株式会社マジルミエ</v>
      </c>
      <c r="C102" s="246" t="str">
        <f>IFERROR(__xludf.DUMMYFUNCTION("""COMPUTED_VALUE"""),"00401")</f>
        <v>00401</v>
      </c>
      <c r="D102" s="246" t="str">
        <f>IFERROR(__xludf.DUMMYFUNCTION("""COMPUTED_VALUE"""),"chara_mag_00401")</f>
        <v>chara_mag_00401</v>
      </c>
      <c r="E102" s="246" t="str">
        <f>IFERROR(__xludf.DUMMYFUNCTION("""COMPUTED_VALUE"""),"槇野 あかね")</f>
        <v>槇野 あかね</v>
      </c>
      <c r="F102" s="246" t="str">
        <f>IFERROR(__xludf.DUMMYFUNCTION("""COMPUTED_VALUE"""),"槇野 あかね")</f>
        <v>槇野 あかね</v>
      </c>
      <c r="G102" s="246" t="str">
        <f>IFERROR(__xludf.DUMMYFUNCTION("""COMPUTED_VALUE"""),"花散一閃")</f>
        <v>花散一閃</v>
      </c>
      <c r="H102" s="246" t="str">
        <f>IFERROR(__xludf.DUMMYFUNCTION("""COMPUTED_VALUE"""),"SR")</f>
        <v>SR</v>
      </c>
      <c r="I102" s="246" t="str">
        <f>IFERROR(__xludf.DUMMYFUNCTION("""COMPUTED_VALUE"""),"DropSR")</f>
        <v>DropSR</v>
      </c>
      <c r="J102" s="246" t="str">
        <f>IFERROR(__xludf.DUMMYFUNCTION("""COMPUTED_VALUE"""),"赤")</f>
        <v>赤</v>
      </c>
      <c r="K102" s="246" t="str">
        <f>IFERROR(__xludf.DUMMYFUNCTION("""COMPUTED_VALUE"""),"chara")</f>
        <v>chara</v>
      </c>
      <c r="L102" s="246" t="str">
        <f>IFERROR(__xludf.DUMMYFUNCTION("""COMPUTED_VALUE"""),"テクニカル")</f>
        <v>テクニカル</v>
      </c>
      <c r="M102" s="246" t="str">
        <f>IFERROR(__xludf.DUMMYFUNCTION("""COMPUTED_VALUE"""),"zangeki_1")</f>
        <v>zangeki_1</v>
      </c>
      <c r="N102" s="252" t="str">
        <f>IFERROR(__xludf.DUMMYFUNCTION("""COMPUTED_VALUE"""),"Short")</f>
        <v>Short</v>
      </c>
      <c r="O102" s="246" t="str">
        <f>IFERROR(__xludf.DUMMYFUNCTION("""COMPUTED_VALUE"""),"zangeki_1")</f>
        <v>zangeki_1</v>
      </c>
      <c r="P102" s="246"/>
      <c r="Q102" s="246" t="str">
        <f>IFERROR(__xludf.DUMMYFUNCTION("""COMPUTED_VALUE"""),"1.31")</f>
        <v>1.31</v>
      </c>
      <c r="R102" s="246" t="str">
        <f>IFERROR(__xludf.DUMMYFUNCTION("""COMPUTED_VALUE"""),"stop有 :1回目 0.6")</f>
        <v>stop有 :1回目 0.6</v>
      </c>
      <c r="S102" s="246" t="str">
        <f>IFERROR(__xludf.DUMMYFUNCTION("""COMPUTED_VALUE"""),"1.87")</f>
        <v>1.87</v>
      </c>
      <c r="T102" s="246" t="str">
        <f>IFERROR(__xludf.DUMMYFUNCTION("""COMPUTED_VALUE"""),"stop有 :1回目 0.62")</f>
        <v>stop有 :1回目 0.62</v>
      </c>
      <c r="U102" s="246">
        <f>IFERROR(__xludf.DUMMYFUNCTION("""COMPUTED_VALUE"""),45967.625)</f>
        <v>45967.625</v>
      </c>
      <c r="V102" s="246">
        <f>IFERROR(__xludf.DUMMYFUNCTION("""COMPUTED_VALUE"""),390812.49998842593)</f>
        <v>390812.5</v>
      </c>
      <c r="W102" s="246"/>
      <c r="X102" s="246" t="str">
        <f>IFERROR(__xludf.DUMMYFUNCTION("""COMPUTED_VALUE"""),"enemy_icon_chara_mag_00401")</f>
        <v>enemy_icon_chara_mag_00401</v>
      </c>
      <c r="Y102" s="246" t="str">
        <f>IFERROR(__xludf.DUMMYFUNCTION("""COMPUTED_VALUE"""),"boss_icon_chara_mag_00401")</f>
        <v>boss_icon_chara_mag_00401</v>
      </c>
      <c r="Z102" s="246"/>
    </row>
    <row r="103">
      <c r="A103" s="246" t="str">
        <f>IFERROR(__xludf.DUMMYFUNCTION("""COMPUTED_VALUE"""),"mag")</f>
        <v>mag</v>
      </c>
      <c r="B103" s="246" t="str">
        <f>IFERROR(__xludf.DUMMYFUNCTION("""COMPUTED_VALUE"""),"株式会社マジルミエ")</f>
        <v>株式会社マジルミエ</v>
      </c>
      <c r="C103" s="246" t="str">
        <f>IFERROR(__xludf.DUMMYFUNCTION("""COMPUTED_VALUE"""),"00501")</f>
        <v>00501</v>
      </c>
      <c r="D103" s="246" t="str">
        <f>IFERROR(__xludf.DUMMYFUNCTION("""COMPUTED_VALUE"""),"chara_mag_00501")</f>
        <v>chara_mag_00501</v>
      </c>
      <c r="E103" s="246" t="str">
        <f>IFERROR(__xludf.DUMMYFUNCTION("""COMPUTED_VALUE"""),"重本 浩司")</f>
        <v>重本 浩司</v>
      </c>
      <c r="F103" s="246" t="str">
        <f>IFERROR(__xludf.DUMMYFUNCTION("""COMPUTED_VALUE"""),"重本 浩司")</f>
        <v>重本 浩司</v>
      </c>
      <c r="G103" s="246" t="str">
        <f>IFERROR(__xludf.DUMMYFUNCTION("""COMPUTED_VALUE"""),"心配いらんぞ")</f>
        <v>心配いらんぞ</v>
      </c>
      <c r="H103" s="246" t="str">
        <f>IFERROR(__xludf.DUMMYFUNCTION("""COMPUTED_VALUE"""),"SR")</f>
        <v>SR</v>
      </c>
      <c r="I103" s="246" t="str">
        <f>IFERROR(__xludf.DUMMYFUNCTION("""COMPUTED_VALUE"""),"DropSR")</f>
        <v>DropSR</v>
      </c>
      <c r="J103" s="246" t="str">
        <f>IFERROR(__xludf.DUMMYFUNCTION("""COMPUTED_VALUE"""),"無")</f>
        <v>無</v>
      </c>
      <c r="K103" s="246" t="str">
        <f>IFERROR(__xludf.DUMMYFUNCTION("""COMPUTED_VALUE"""),"chara")</f>
        <v>chara</v>
      </c>
      <c r="L103" s="246" t="str">
        <f>IFERROR(__xludf.DUMMYFUNCTION("""COMPUTED_VALUE"""),"スペシャル")</f>
        <v>スペシャル</v>
      </c>
      <c r="M103" s="246" t="str">
        <f>IFERROR(__xludf.DUMMYFUNCTION("""COMPUTED_VALUE"""),"-")</f>
        <v>-</v>
      </c>
      <c r="N103" s="252"/>
      <c r="O103" s="246" t="str">
        <f>IFERROR(__xludf.DUMMYFUNCTION("""COMPUTED_VALUE"""),"-")</f>
        <v>-</v>
      </c>
      <c r="P103" s="246"/>
      <c r="Q103" s="246" t="str">
        <f>IFERROR(__xludf.DUMMYFUNCTION("""COMPUTED_VALUE"""),"-")</f>
        <v>-</v>
      </c>
      <c r="R103" s="246" t="str">
        <f>IFERROR(__xludf.DUMMYFUNCTION("""COMPUTED_VALUE"""),"-")</f>
        <v>-</v>
      </c>
      <c r="S103" s="246" t="str">
        <f>IFERROR(__xludf.DUMMYFUNCTION("""COMPUTED_VALUE"""),"2.34")</f>
        <v>2.34</v>
      </c>
      <c r="T103" s="246" t="str">
        <f>IFERROR(__xludf.DUMMYFUNCTION("""COMPUTED_VALUE"""),"0")</f>
        <v>0</v>
      </c>
      <c r="U103" s="246">
        <f>IFERROR(__xludf.DUMMYFUNCTION("""COMPUTED_VALUE"""),45967.625)</f>
        <v>45967.625</v>
      </c>
      <c r="V103" s="246">
        <f>IFERROR(__xludf.DUMMYFUNCTION("""COMPUTED_VALUE"""),390812.49998842593)</f>
        <v>390812.5</v>
      </c>
      <c r="W103" s="246"/>
      <c r="X103" s="246" t="str">
        <f>IFERROR(__xludf.DUMMYFUNCTION("""COMPUTED_VALUE"""),"enemy_icon_chara_mag_00501")</f>
        <v>enemy_icon_chara_mag_00501</v>
      </c>
      <c r="Y103" s="246" t="str">
        <f>IFERROR(__xludf.DUMMYFUNCTION("""COMPUTED_VALUE"""),"boss_icon_chara_mag_00501")</f>
        <v>boss_icon_chara_mag_00501</v>
      </c>
      <c r="Z103" s="246"/>
    </row>
    <row r="104">
      <c r="A104" s="246" t="str">
        <f>IFERROR(__xludf.DUMMYFUNCTION("""COMPUTED_VALUE"""),"dos")</f>
        <v>dos</v>
      </c>
      <c r="B104" s="246" t="str">
        <f>IFERROR(__xludf.DUMMYFUNCTION("""COMPUTED_VALUE"""),"道産子ギャルはなまらめんこい")</f>
        <v>道産子ギャルはなまらめんこい</v>
      </c>
      <c r="C104" s="246" t="str">
        <f>IFERROR(__xludf.DUMMYFUNCTION("""COMPUTED_VALUE"""),"00001")</f>
        <v>00001</v>
      </c>
      <c r="D104" s="246" t="str">
        <f>IFERROR(__xludf.DUMMYFUNCTION("""COMPUTED_VALUE"""),"chara_dos_00001")</f>
        <v>chara_dos_00001</v>
      </c>
      <c r="E104" s="246" t="str">
        <f>IFERROR(__xludf.DUMMYFUNCTION("""COMPUTED_VALUE"""),"冬木 美波")</f>
        <v>冬木 美波</v>
      </c>
      <c r="F104" s="246" t="str">
        <f>IFERROR(__xludf.DUMMYFUNCTION("""COMPUTED_VALUE"""),"冬木 美波")</f>
        <v>冬木 美波</v>
      </c>
      <c r="G104" s="246" t="str">
        <f>IFERROR(__xludf.DUMMYFUNCTION("""COMPUTED_VALUE"""),"明日家来る？")</f>
        <v>明日家来る？</v>
      </c>
      <c r="H104" s="246" t="str">
        <f>IFERROR(__xludf.DUMMYFUNCTION("""COMPUTED_VALUE"""),"SSR")</f>
        <v>SSR</v>
      </c>
      <c r="I104" s="246" t="str">
        <f>IFERROR(__xludf.DUMMYFUNCTION("""COMPUTED_VALUE"""),"PremiumSSR")</f>
        <v>PremiumSSR</v>
      </c>
      <c r="J104" s="246" t="str">
        <f>IFERROR(__xludf.DUMMYFUNCTION("""COMPUTED_VALUE"""),"青")</f>
        <v>青</v>
      </c>
      <c r="K104" s="246" t="str">
        <f>IFERROR(__xludf.DUMMYFUNCTION("""COMPUTED_VALUE"""),"chara")</f>
        <v>chara</v>
      </c>
      <c r="L104" s="246" t="str">
        <f>IFERROR(__xludf.DUMMYFUNCTION("""COMPUTED_VALUE"""),"サポート")</f>
        <v>サポート</v>
      </c>
      <c r="M104" s="246" t="str">
        <f>IFERROR(__xludf.DUMMYFUNCTION("""COMPUTED_VALUE"""),"dageki_1")</f>
        <v>dageki_1</v>
      </c>
      <c r="N104" s="252" t="str">
        <f>IFERROR(__xludf.DUMMYFUNCTION("""COMPUTED_VALUE"""),"Long")</f>
        <v>Long</v>
      </c>
      <c r="O104" s="246" t="str">
        <f>IFERROR(__xludf.DUMMYFUNCTION("""COMPUTED_VALUE"""),"dageki_1")</f>
        <v>dageki_1</v>
      </c>
      <c r="P104" s="246" t="str">
        <f>IFERROR(__xludf.DUMMYFUNCTION("""COMPUTED_VALUE"""),"00001")</f>
        <v>00001</v>
      </c>
      <c r="Q104" s="246" t="str">
        <f>IFERROR(__xludf.DUMMYFUNCTION("""COMPUTED_VALUE"""),"1.17")</f>
        <v>1.17</v>
      </c>
      <c r="R104" s="246" t="str">
        <f>IFERROR(__xludf.DUMMYFUNCTION("""COMPUTED_VALUE"""),"0.60")</f>
        <v>0.60</v>
      </c>
      <c r="S104" s="246" t="str">
        <f>IFERROR(__xludf.DUMMYFUNCTION("""COMPUTED_VALUE"""),"2.60")</f>
        <v>2.60</v>
      </c>
      <c r="T104" s="246" t="str">
        <f>IFERROR(__xludf.DUMMYFUNCTION("""COMPUTED_VALUE"""),"1.40")</f>
        <v>1.40</v>
      </c>
      <c r="U104" s="246">
        <f>IFERROR(__xludf.DUMMYFUNCTION("""COMPUTED_VALUE"""),45922.458333333336)</f>
        <v>45922.45833</v>
      </c>
      <c r="V104" s="246">
        <f>IFERROR(__xludf.DUMMYFUNCTION("""COMPUTED_VALUE"""),390812.49998842593)</f>
        <v>390812.5</v>
      </c>
      <c r="W104" s="246" t="str">
        <f>IFERROR(__xludf.DUMMYFUNCTION("""COMPUTED_VALUE"""),"catchcopy_character_chara_dos_00001.png")</f>
        <v>catchcopy_character_chara_dos_00001.png</v>
      </c>
      <c r="X104" s="246" t="str">
        <f>IFERROR(__xludf.DUMMYFUNCTION("""COMPUTED_VALUE"""),"enemy_icon_chara_dos_00001")</f>
        <v>enemy_icon_chara_dos_00001</v>
      </c>
      <c r="Y104" s="246" t="str">
        <f>IFERROR(__xludf.DUMMYFUNCTION("""COMPUTED_VALUE"""),"boss_icon_chara_dos_00001")</f>
        <v>boss_icon_chara_dos_00001</v>
      </c>
      <c r="Z104" s="246" t="str">
        <f>IFERROR(__xludf.DUMMYFUNCTION("""COMPUTED_VALUE"""),"chara_dos_00001_normal")</f>
        <v>chara_dos_00001_normal</v>
      </c>
    </row>
    <row r="105">
      <c r="A105" s="246" t="str">
        <f>IFERROR(__xludf.DUMMYFUNCTION("""COMPUTED_VALUE"""),"dos")</f>
        <v>dos</v>
      </c>
      <c r="B105" s="246" t="str">
        <f>IFERROR(__xludf.DUMMYFUNCTION("""COMPUTED_VALUE"""),"道産子ギャルはなまらめんこい")</f>
        <v>道産子ギャルはなまらめんこい</v>
      </c>
      <c r="C105" s="246" t="str">
        <f>IFERROR(__xludf.DUMMYFUNCTION("""COMPUTED_VALUE"""),"00101")</f>
        <v>00101</v>
      </c>
      <c r="D105" s="246" t="str">
        <f>IFERROR(__xludf.DUMMYFUNCTION("""COMPUTED_VALUE"""),"chara_dos_00101")</f>
        <v>chara_dos_00101</v>
      </c>
      <c r="E105" s="246" t="str">
        <f>IFERROR(__xludf.DUMMYFUNCTION("""COMPUTED_VALUE"""),"秋野 沙友理")</f>
        <v>秋野 沙友理</v>
      </c>
      <c r="F105" s="246" t="str">
        <f>IFERROR(__xludf.DUMMYFUNCTION("""COMPUTED_VALUE"""),"秋野 沙友理")</f>
        <v>秋野 沙友理</v>
      </c>
      <c r="G105" s="246" t="str">
        <f>IFERROR(__xludf.DUMMYFUNCTION("""COMPUTED_VALUE"""),"誰にも負けない")</f>
        <v>誰にも負けない</v>
      </c>
      <c r="H105" s="246" t="str">
        <f>IFERROR(__xludf.DUMMYFUNCTION("""COMPUTED_VALUE"""),"SSR")</f>
        <v>SSR</v>
      </c>
      <c r="I105" s="246" t="str">
        <f>IFERROR(__xludf.DUMMYFUNCTION("""COMPUTED_VALUE"""),"PremiumSSR")</f>
        <v>PremiumSSR</v>
      </c>
      <c r="J105" s="246" t="str">
        <f>IFERROR(__xludf.DUMMYFUNCTION("""COMPUTED_VALUE"""),"無")</f>
        <v>無</v>
      </c>
      <c r="K105" s="246" t="str">
        <f>IFERROR(__xludf.DUMMYFUNCTION("""COMPUTED_VALUE"""),"chara")</f>
        <v>chara</v>
      </c>
      <c r="L105" s="246" t="str">
        <f>IFERROR(__xludf.DUMMYFUNCTION("""COMPUTED_VALUE"""),"スペシャル")</f>
        <v>スペシャル</v>
      </c>
      <c r="M105" s="246" t="str">
        <f>IFERROR(__xludf.DUMMYFUNCTION("""COMPUTED_VALUE"""),"-")</f>
        <v>-</v>
      </c>
      <c r="N105" s="252" t="str">
        <f>IFERROR(__xludf.DUMMYFUNCTION("""COMPUTED_VALUE"""),"ー")</f>
        <v>ー</v>
      </c>
      <c r="O105" s="246" t="str">
        <f>IFERROR(__xludf.DUMMYFUNCTION("""COMPUTED_VALUE"""),"-")</f>
        <v>-</v>
      </c>
      <c r="P105" s="246" t="str">
        <f>IFERROR(__xludf.DUMMYFUNCTION("""COMPUTED_VALUE"""),"00101")</f>
        <v>00101</v>
      </c>
      <c r="Q105" s="246" t="str">
        <f>IFERROR(__xludf.DUMMYFUNCTION("""COMPUTED_VALUE"""),"-")</f>
        <v>-</v>
      </c>
      <c r="R105" s="246" t="str">
        <f>IFERROR(__xludf.DUMMYFUNCTION("""COMPUTED_VALUE"""),"-")</f>
        <v>-</v>
      </c>
      <c r="S105" s="246" t="str">
        <f>IFERROR(__xludf.DUMMYFUNCTION("""COMPUTED_VALUE"""),"4.84")</f>
        <v>4.84</v>
      </c>
      <c r="T105" s="246" t="str">
        <f>IFERROR(__xludf.DUMMYFUNCTION("""COMPUTED_VALUE"""),"0")</f>
        <v>0</v>
      </c>
      <c r="U105" s="246">
        <f>IFERROR(__xludf.DUMMYFUNCTION("""COMPUTED_VALUE"""),45922.458333333336)</f>
        <v>45922.45833</v>
      </c>
      <c r="V105" s="246">
        <f>IFERROR(__xludf.DUMMYFUNCTION("""COMPUTED_VALUE"""),390812.49998842593)</f>
        <v>390812.5</v>
      </c>
      <c r="W105" s="246" t="str">
        <f>IFERROR(__xludf.DUMMYFUNCTION("""COMPUTED_VALUE"""),"catchcopy_character_chara_dos_00101.png")</f>
        <v>catchcopy_character_chara_dos_00101.png</v>
      </c>
      <c r="X105" s="246" t="str">
        <f>IFERROR(__xludf.DUMMYFUNCTION("""COMPUTED_VALUE"""),"enemy_icon_chara_dos_00101")</f>
        <v>enemy_icon_chara_dos_00101</v>
      </c>
      <c r="Y105" s="246" t="str">
        <f>IFERROR(__xludf.DUMMYFUNCTION("""COMPUTED_VALUE"""),"boss_icon_chara_dos_00101")</f>
        <v>boss_icon_chara_dos_00101</v>
      </c>
      <c r="Z105" s="246"/>
    </row>
    <row r="106">
      <c r="A106" s="246" t="str">
        <f>IFERROR(__xludf.DUMMYFUNCTION("""COMPUTED_VALUE"""),"sum")</f>
        <v>sum</v>
      </c>
      <c r="B106" s="246" t="str">
        <f>IFERROR(__xludf.DUMMYFUNCTION("""COMPUTED_VALUE"""),"サマータイムレンダ")</f>
        <v>サマータイムレンダ</v>
      </c>
      <c r="C106" s="246" t="str">
        <f>IFERROR(__xludf.DUMMYFUNCTION("""COMPUTED_VALUE"""),"00001")</f>
        <v>00001</v>
      </c>
      <c r="D106" s="246" t="str">
        <f>IFERROR(__xludf.DUMMYFUNCTION("""COMPUTED_VALUE"""),"chara_sum_00001")</f>
        <v>chara_sum_00001</v>
      </c>
      <c r="E106" s="246" t="str">
        <f>IFERROR(__xludf.DUMMYFUNCTION("""COMPUTED_VALUE"""),"網代 慎平")</f>
        <v>網代 慎平</v>
      </c>
      <c r="F106" s="246" t="str">
        <f>IFERROR(__xludf.DUMMYFUNCTION("""COMPUTED_VALUE"""),"網代 慎平")</f>
        <v>網代 慎平</v>
      </c>
      <c r="G106" s="246" t="str">
        <f>IFERROR(__xludf.DUMMYFUNCTION("""COMPUTED_VALUE"""),"フカンしろ!!")</f>
        <v>フカンしろ!!</v>
      </c>
      <c r="H106" s="246" t="str">
        <f>IFERROR(__xludf.DUMMYFUNCTION("""COMPUTED_VALUE"""),"R")</f>
        <v>R</v>
      </c>
      <c r="I106" s="246" t="str">
        <f>IFERROR(__xludf.DUMMYFUNCTION("""COMPUTED_VALUE"""),"PremiumR")</f>
        <v>PremiumR</v>
      </c>
      <c r="J106" s="246" t="str">
        <f>IFERROR(__xludf.DUMMYFUNCTION("""COMPUTED_VALUE"""),"青")</f>
        <v>青</v>
      </c>
      <c r="K106" s="246" t="str">
        <f>IFERROR(__xludf.DUMMYFUNCTION("""COMPUTED_VALUE"""),"chara")</f>
        <v>chara</v>
      </c>
      <c r="L106" s="246" t="str">
        <f>IFERROR(__xludf.DUMMYFUNCTION("""COMPUTED_VALUE"""),"テクニカル")</f>
        <v>テクニカル</v>
      </c>
      <c r="M106" s="246" t="str">
        <f>IFERROR(__xludf.DUMMYFUNCTION("""COMPUTED_VALUE"""),"shageki_1")</f>
        <v>shageki_1</v>
      </c>
      <c r="N106" s="252" t="str">
        <f>IFERROR(__xludf.DUMMYFUNCTION("""COMPUTED_VALUE"""),"Long")</f>
        <v>Long</v>
      </c>
      <c r="O106" s="246" t="str">
        <f>IFERROR(__xludf.DUMMYFUNCTION("""COMPUTED_VALUE"""),"shageki_1")</f>
        <v>shageki_1</v>
      </c>
      <c r="P106" s="246" t="str">
        <f>IFERROR(__xludf.DUMMYFUNCTION("""COMPUTED_VALUE"""),"00001")</f>
        <v>00001</v>
      </c>
      <c r="Q106" s="246" t="str">
        <f>IFERROR(__xludf.DUMMYFUNCTION("""COMPUTED_VALUE"""),"1.40")</f>
        <v>1.40</v>
      </c>
      <c r="R106" s="246" t="str">
        <f>IFERROR(__xludf.DUMMYFUNCTION("""COMPUTED_VALUE"""),"stop無:1回目 0.65")</f>
        <v>stop無:1回目 0.65</v>
      </c>
      <c r="S106" s="246" t="str">
        <f>IFERROR(__xludf.DUMMYFUNCTION("""COMPUTED_VALUE"""),"2.33")</f>
        <v>2.33</v>
      </c>
      <c r="T106" s="246" t="str">
        <f>IFERROR(__xludf.DUMMYFUNCTION("""COMPUTED_VALUE"""),"stop無:1回目 0.75
stop無:2回目 0.93
stop無:3回目 1.15")</f>
        <v>stop無:1回目 0.75
stop無:2回目 0.93
stop無:3回目 1.15</v>
      </c>
      <c r="U106" s="246">
        <f>IFERROR(__xludf.DUMMYFUNCTION("""COMPUTED_VALUE"""),45922.458333333336)</f>
        <v>45922.45833</v>
      </c>
      <c r="V106" s="246">
        <f>IFERROR(__xludf.DUMMYFUNCTION("""COMPUTED_VALUE"""),390812.49998842593)</f>
        <v>390812.5</v>
      </c>
      <c r="W106" s="246" t="str">
        <f>IFERROR(__xludf.DUMMYFUNCTION("""COMPUTED_VALUE"""),"catchcopy_character_chara_sum_00001.png")</f>
        <v>catchcopy_character_chara_sum_00001.png</v>
      </c>
      <c r="X106" s="246" t="str">
        <f>IFERROR(__xludf.DUMMYFUNCTION("""COMPUTED_VALUE"""),"enemy_icon_chara_sum_00001")</f>
        <v>enemy_icon_chara_sum_00001</v>
      </c>
      <c r="Y106" s="246" t="str">
        <f>IFERROR(__xludf.DUMMYFUNCTION("""COMPUTED_VALUE"""),"boss_icon_chara_sum_00001")</f>
        <v>boss_icon_chara_sum_00001</v>
      </c>
      <c r="Z106" s="246" t="str">
        <f>IFERROR(__xludf.DUMMYFUNCTION("""COMPUTED_VALUE"""),"chara_sum_00001_normal")</f>
        <v>chara_sum_00001_normal</v>
      </c>
    </row>
    <row r="107">
      <c r="A107" s="246" t="str">
        <f>IFERROR(__xludf.DUMMYFUNCTION("""COMPUTED_VALUE"""),"sum")</f>
        <v>sum</v>
      </c>
      <c r="B107" s="246" t="str">
        <f>IFERROR(__xludf.DUMMYFUNCTION("""COMPUTED_VALUE"""),"サマータイムレンダ")</f>
        <v>サマータイムレンダ</v>
      </c>
      <c r="C107" s="246" t="str">
        <f>IFERROR(__xludf.DUMMYFUNCTION("""COMPUTED_VALUE"""),"00101")</f>
        <v>00101</v>
      </c>
      <c r="D107" s="246" t="str">
        <f>IFERROR(__xludf.DUMMYFUNCTION("""COMPUTED_VALUE"""),"chara_sum_00101")</f>
        <v>chara_sum_00101</v>
      </c>
      <c r="E107" s="246" t="str">
        <f>IFERROR(__xludf.DUMMYFUNCTION("""COMPUTED_VALUE"""),"影のウシオ 小舟 潮")</f>
        <v>影のウシオ 小舟 潮</v>
      </c>
      <c r="F107" s="246" t="str">
        <f>IFERROR(__xludf.DUMMYFUNCTION("""COMPUTED_VALUE"""),"影のウシオ 小舟 潮")</f>
        <v>影のウシオ 小舟 潮</v>
      </c>
      <c r="G107" s="246" t="str">
        <f>IFERROR(__xludf.DUMMYFUNCTION("""COMPUTED_VALUE"""),"守っちゃってね")</f>
        <v>守っちゃってね</v>
      </c>
      <c r="H107" s="246" t="str">
        <f>IFERROR(__xludf.DUMMYFUNCTION("""COMPUTED_VALUE"""),"UR")</f>
        <v>UR</v>
      </c>
      <c r="I107" s="246" t="str">
        <f>IFERROR(__xludf.DUMMYFUNCTION("""COMPUTED_VALUE"""),"PremiumUR")</f>
        <v>PremiumUR</v>
      </c>
      <c r="J107" s="246" t="str">
        <f>IFERROR(__xludf.DUMMYFUNCTION("""COMPUTED_VALUE"""),"青")</f>
        <v>青</v>
      </c>
      <c r="K107" s="246" t="str">
        <f>IFERROR(__xludf.DUMMYFUNCTION("""COMPUTED_VALUE"""),"chara")</f>
        <v>chara</v>
      </c>
      <c r="L107" s="246" t="str">
        <f>IFERROR(__xludf.DUMMYFUNCTION("""COMPUTED_VALUE"""),"サポート")</f>
        <v>サポート</v>
      </c>
      <c r="M107" s="246" t="str">
        <f>IFERROR(__xludf.DUMMYFUNCTION("""COMPUTED_VALUE"""),"zangeki_1")</f>
        <v>zangeki_1</v>
      </c>
      <c r="N107" s="252" t="str">
        <f>IFERROR(__xludf.DUMMYFUNCTION("""COMPUTED_VALUE"""),"Middle")</f>
        <v>Middle</v>
      </c>
      <c r="O107" s="246" t="str">
        <f>IFERROR(__xludf.DUMMYFUNCTION("""COMPUTED_VALUE"""),"-")</f>
        <v>-</v>
      </c>
      <c r="P107" s="246" t="str">
        <f>IFERROR(__xludf.DUMMYFUNCTION("""COMPUTED_VALUE"""),"00101")</f>
        <v>00101</v>
      </c>
      <c r="Q107" s="246" t="str">
        <f>IFERROR(__xludf.DUMMYFUNCTION("""COMPUTED_VALUE"""),"1.13")</f>
        <v>1.13</v>
      </c>
      <c r="R107" s="246" t="str">
        <f>IFERROR(__xludf.DUMMYFUNCTION("""COMPUTED_VALUE"""),"0.50")</f>
        <v>0.50</v>
      </c>
      <c r="S107" s="246" t="str">
        <f>IFERROR(__xludf.DUMMYFUNCTION("""COMPUTED_VALUE"""),"2.20")</f>
        <v>2.20</v>
      </c>
      <c r="T107" s="246" t="str">
        <f>IFERROR(__xludf.DUMMYFUNCTION("""COMPUTED_VALUE"""),"1.00")</f>
        <v>1.00</v>
      </c>
      <c r="U107" s="246">
        <f>IFERROR(__xludf.DUMMYFUNCTION("""COMPUTED_VALUE"""),45922.458333333336)</f>
        <v>45922.45833</v>
      </c>
      <c r="V107" s="246">
        <f>IFERROR(__xludf.DUMMYFUNCTION("""COMPUTED_VALUE"""),390812.49998842593)</f>
        <v>390812.5</v>
      </c>
      <c r="W107" s="246" t="str">
        <f>IFERROR(__xludf.DUMMYFUNCTION("""COMPUTED_VALUE"""),"catchcopy_character_chara_sum_00101.png")</f>
        <v>catchcopy_character_chara_sum_00101.png</v>
      </c>
      <c r="X107" s="246" t="str">
        <f>IFERROR(__xludf.DUMMYFUNCTION("""COMPUTED_VALUE"""),"enemy_icon_chara_sum_00101")</f>
        <v>enemy_icon_chara_sum_00101</v>
      </c>
      <c r="Y107" s="246" t="str">
        <f>IFERROR(__xludf.DUMMYFUNCTION("""COMPUTED_VALUE"""),"boss_icon_chara_sum_00101")</f>
        <v>boss_icon_chara_sum_00101</v>
      </c>
      <c r="Z107" s="246" t="str">
        <f>IFERROR(__xludf.DUMMYFUNCTION("""COMPUTED_VALUE"""),"chara_sum_00101_normal")</f>
        <v>chara_sum_00101_normal</v>
      </c>
    </row>
    <row r="108">
      <c r="A108" s="246" t="str">
        <f>IFERROR(__xludf.DUMMYFUNCTION("""COMPUTED_VALUE"""),"sum")</f>
        <v>sum</v>
      </c>
      <c r="B108" s="246" t="str">
        <f>IFERROR(__xludf.DUMMYFUNCTION("""COMPUTED_VALUE"""),"サマータイムレンダ")</f>
        <v>サマータイムレンダ</v>
      </c>
      <c r="C108" s="246" t="str">
        <f>IFERROR(__xludf.DUMMYFUNCTION("""COMPUTED_VALUE"""),"00201")</f>
        <v>00201</v>
      </c>
      <c r="D108" s="246" t="str">
        <f>IFERROR(__xludf.DUMMYFUNCTION("""COMPUTED_VALUE"""),"chara_sum_00201")</f>
        <v>chara_sum_00201</v>
      </c>
      <c r="E108" s="246" t="str">
        <f>IFERROR(__xludf.DUMMYFUNCTION("""COMPUTED_VALUE"""),"小舟 澪")</f>
        <v>小舟 澪</v>
      </c>
      <c r="F108" s="246" t="str">
        <f>IFERROR(__xludf.DUMMYFUNCTION("""COMPUTED_VALUE"""),"小舟 澪")</f>
        <v>小舟 澪</v>
      </c>
      <c r="G108" s="246" t="str">
        <f>IFERROR(__xludf.DUMMYFUNCTION("""COMPUTED_VALUE"""),"おかえり慎ちゃん!!")</f>
        <v>おかえり慎ちゃん!!</v>
      </c>
      <c r="H108" s="246" t="str">
        <f>IFERROR(__xludf.DUMMYFUNCTION("""COMPUTED_VALUE"""),"SR")</f>
        <v>SR</v>
      </c>
      <c r="I108" s="246" t="str">
        <f>IFERROR(__xludf.DUMMYFUNCTION("""COMPUTED_VALUE"""),"PremiumSR")</f>
        <v>PremiumSR</v>
      </c>
      <c r="J108" s="246" t="str">
        <f>IFERROR(__xludf.DUMMYFUNCTION("""COMPUTED_VALUE"""),"青")</f>
        <v>青</v>
      </c>
      <c r="K108" s="246" t="str">
        <f>IFERROR(__xludf.DUMMYFUNCTION("""COMPUTED_VALUE"""),"chara")</f>
        <v>chara</v>
      </c>
      <c r="L108" s="246" t="str">
        <f>IFERROR(__xludf.DUMMYFUNCTION("""COMPUTED_VALUE"""),"アタック")</f>
        <v>アタック</v>
      </c>
      <c r="M108" s="246" t="str">
        <f>IFERROR(__xludf.DUMMYFUNCTION("""COMPUTED_VALUE"""),"dageki_1")</f>
        <v>dageki_1</v>
      </c>
      <c r="N108" s="252" t="str">
        <f>IFERROR(__xludf.DUMMYFUNCTION("""COMPUTED_VALUE"""),"Short")</f>
        <v>Short</v>
      </c>
      <c r="O108" s="246" t="str">
        <f>IFERROR(__xludf.DUMMYFUNCTION("""COMPUTED_VALUE"""),"shageki_1")</f>
        <v>shageki_1</v>
      </c>
      <c r="P108" s="246" t="str">
        <f>IFERROR(__xludf.DUMMYFUNCTION("""COMPUTED_VALUE"""),"00201")</f>
        <v>00201</v>
      </c>
      <c r="Q108" s="246" t="str">
        <f>IFERROR(__xludf.DUMMYFUNCTION("""COMPUTED_VALUE"""),"2.37")</f>
        <v>2.37</v>
      </c>
      <c r="R108" s="246" t="str">
        <f>IFERROR(__xludf.DUMMYFUNCTION("""COMPUTED_VALUE"""),"stop有 :1回目 0.67")</f>
        <v>stop有 :1回目 0.67</v>
      </c>
      <c r="S108" s="246" t="str">
        <f>IFERROR(__xludf.DUMMYFUNCTION("""COMPUTED_VALUE"""),"3.67")</f>
        <v>3.67</v>
      </c>
      <c r="T108" s="246" t="str">
        <f>IFERROR(__xludf.DUMMYFUNCTION("""COMPUTED_VALUE"""),"stop有 :1回目 1.70")</f>
        <v>stop有 :1回目 1.70</v>
      </c>
      <c r="U108" s="246">
        <f>IFERROR(__xludf.DUMMYFUNCTION("""COMPUTED_VALUE"""),45922.458333333336)</f>
        <v>45922.45833</v>
      </c>
      <c r="V108" s="246">
        <f>IFERROR(__xludf.DUMMYFUNCTION("""COMPUTED_VALUE"""),390812.49998842593)</f>
        <v>390812.5</v>
      </c>
      <c r="W108" s="246" t="str">
        <f>IFERROR(__xludf.DUMMYFUNCTION("""COMPUTED_VALUE"""),"catchcopy_character_chara_sum_00201.png")</f>
        <v>catchcopy_character_chara_sum_00201.png</v>
      </c>
      <c r="X108" s="246" t="str">
        <f>IFERROR(__xludf.DUMMYFUNCTION("""COMPUTED_VALUE"""),"enemy_icon_chara_sum_00201")</f>
        <v>enemy_icon_chara_sum_00201</v>
      </c>
      <c r="Y108" s="246" t="str">
        <f>IFERROR(__xludf.DUMMYFUNCTION("""COMPUTED_VALUE"""),"boss_icon_chara_sum_00201")</f>
        <v>boss_icon_chara_sum_00201</v>
      </c>
      <c r="Z108" s="246" t="str">
        <f>IFERROR(__xludf.DUMMYFUNCTION("""COMPUTED_VALUE"""),"chara_sum_00201_normal")</f>
        <v>chara_sum_00201_normal</v>
      </c>
    </row>
    <row r="109">
      <c r="A109" s="246" t="str">
        <f>IFERROR(__xludf.DUMMYFUNCTION("""COMPUTED_VALUE"""),"sum")</f>
        <v>sum</v>
      </c>
      <c r="B109" s="246" t="str">
        <f>IFERROR(__xludf.DUMMYFUNCTION("""COMPUTED_VALUE"""),"サマータイムレンダ")</f>
        <v>サマータイムレンダ</v>
      </c>
      <c r="C109" s="246" t="str">
        <f>IFERROR(__xludf.DUMMYFUNCTION("""COMPUTED_VALUE"""),"00301")</f>
        <v>00301</v>
      </c>
      <c r="D109" s="246" t="str">
        <f>IFERROR(__xludf.DUMMYFUNCTION("""COMPUTED_VALUE"""),"chara_sum_00301")</f>
        <v>chara_sum_00301</v>
      </c>
      <c r="E109" s="246" t="str">
        <f>IFERROR(__xludf.DUMMYFUNCTION("""COMPUTED_VALUE"""),"南方 ひづる")</f>
        <v>南方 ひづる</v>
      </c>
      <c r="F109" s="246" t="str">
        <f>IFERROR(__xludf.DUMMYFUNCTION("""COMPUTED_VALUE"""),"選定中")</f>
        <v>選定中</v>
      </c>
      <c r="G109" s="246"/>
      <c r="H109" s="246" t="str">
        <f>IFERROR(__xludf.DUMMYFUNCTION("""COMPUTED_VALUE"""),"SSR")</f>
        <v>SSR</v>
      </c>
      <c r="I109" s="246" t="str">
        <f>IFERROR(__xludf.DUMMYFUNCTION("""COMPUTED_VALUE"""),"PremiumSSR")</f>
        <v>PremiumSSR</v>
      </c>
      <c r="J109" s="246" t="str">
        <f>IFERROR(__xludf.DUMMYFUNCTION("""COMPUTED_VALUE"""),"赤")</f>
        <v>赤</v>
      </c>
      <c r="K109" s="246" t="str">
        <f>IFERROR(__xludf.DUMMYFUNCTION("""COMPUTED_VALUE"""),"chara")</f>
        <v>chara</v>
      </c>
      <c r="L109" s="246" t="str">
        <f>IFERROR(__xludf.DUMMYFUNCTION("""COMPUTED_VALUE"""),"調整中")</f>
        <v>調整中</v>
      </c>
      <c r="M109" s="246"/>
      <c r="N109" s="252"/>
      <c r="O109" s="246"/>
      <c r="P109" s="246" t="str">
        <f>IFERROR(__xludf.DUMMYFUNCTION("""COMPUTED_VALUE"""),"00301")</f>
        <v>00301</v>
      </c>
      <c r="Q109" s="246"/>
      <c r="R109" s="246"/>
      <c r="S109" s="246"/>
      <c r="T109" s="246"/>
      <c r="U109" s="246">
        <f>IFERROR(__xludf.DUMMYFUNCTION("""COMPUTED_VALUE"""),45658.0)</f>
        <v>45658</v>
      </c>
      <c r="V109" s="246">
        <f>IFERROR(__xludf.DUMMYFUNCTION("""COMPUTED_VALUE"""),390812.49998842593)</f>
        <v>390812.5</v>
      </c>
      <c r="W109" s="246" t="str">
        <f>IFERROR(__xludf.DUMMYFUNCTION("""COMPUTED_VALUE"""),"catchcopy_character_chara_sum_00301.png")</f>
        <v>catchcopy_character_chara_sum_00301.png</v>
      </c>
      <c r="X109" s="246" t="str">
        <f>IFERROR(__xludf.DUMMYFUNCTION("""COMPUTED_VALUE"""),"enemy_icon_chara_sum_00301")</f>
        <v>enemy_icon_chara_sum_00301</v>
      </c>
      <c r="Y109" s="246" t="str">
        <f>IFERROR(__xludf.DUMMYFUNCTION("""COMPUTED_VALUE"""),"boss_icon_chara_sum_00301")</f>
        <v>boss_icon_chara_sum_00301</v>
      </c>
      <c r="Z109" s="246"/>
    </row>
    <row r="110">
      <c r="A110" s="246" t="str">
        <f>IFERROR(__xludf.DUMMYFUNCTION("""COMPUTED_VALUE"""),"sum")</f>
        <v>sum</v>
      </c>
      <c r="B110" s="246" t="str">
        <f>IFERROR(__xludf.DUMMYFUNCTION("""COMPUTED_VALUE"""),"サマータイムレンダ")</f>
        <v>サマータイムレンダ</v>
      </c>
      <c r="C110" s="246" t="str">
        <f>IFERROR(__xludf.DUMMYFUNCTION("""COMPUTED_VALUE"""),"00401")</f>
        <v>00401</v>
      </c>
      <c r="D110" s="246" t="str">
        <f>IFERROR(__xludf.DUMMYFUNCTION("""COMPUTED_VALUE"""),"chara_sum_00401")</f>
        <v>chara_sum_00401</v>
      </c>
      <c r="E110" s="246" t="str">
        <f>IFERROR(__xludf.DUMMYFUNCTION("""COMPUTED_VALUE"""),"小舟 澪の影")</f>
        <v>小舟 澪の影</v>
      </c>
      <c r="F110" s="246" t="str">
        <f>IFERROR(__xludf.DUMMYFUNCTION("""COMPUTED_VALUE"""),"選定中")</f>
        <v>選定中</v>
      </c>
      <c r="G110" s="246"/>
      <c r="H110" s="246" t="str">
        <f>IFERROR(__xludf.DUMMYFUNCTION("""COMPUTED_VALUE"""),"SR")</f>
        <v>SR</v>
      </c>
      <c r="I110" s="246" t="str">
        <f>IFERROR(__xludf.DUMMYFUNCTION("""COMPUTED_VALUE"""),"DropSSR")</f>
        <v>DropSSR</v>
      </c>
      <c r="J110" s="246" t="str">
        <f>IFERROR(__xludf.DUMMYFUNCTION("""COMPUTED_VALUE"""),"黄")</f>
        <v>黄</v>
      </c>
      <c r="K110" s="246" t="str">
        <f>IFERROR(__xludf.DUMMYFUNCTION("""COMPUTED_VALUE"""),"chara")</f>
        <v>chara</v>
      </c>
      <c r="L110" s="246"/>
      <c r="M110" s="246"/>
      <c r="N110" s="252"/>
      <c r="O110" s="246"/>
      <c r="P110" s="246"/>
      <c r="Q110" s="246" t="str">
        <f>IFERROR(__xludf.DUMMYFUNCTION("""COMPUTED_VALUE"""),"1.57")</f>
        <v>1.57</v>
      </c>
      <c r="R110" s="246" t="str">
        <f>IFERROR(__xludf.DUMMYFUNCTION("""COMPUTED_VALUE"""),"stop有 :1回目 0.63")</f>
        <v>stop有 :1回目 0.63</v>
      </c>
      <c r="S110" s="246" t="str">
        <f>IFERROR(__xludf.DUMMYFUNCTION("""COMPUTED_VALUE"""),"2.67")</f>
        <v>2.67</v>
      </c>
      <c r="T110" s="246" t="str">
        <f>IFERROR(__xludf.DUMMYFUNCTION("""COMPUTED_VALUE"""),"stop無:1回目 0.43
stop有:2回目 1.81")</f>
        <v>stop無:1回目 0.43
stop有:2回目 1.81</v>
      </c>
      <c r="U110" s="246"/>
      <c r="V110" s="246"/>
      <c r="W110" s="246"/>
      <c r="X110" s="246"/>
      <c r="Y110" s="246"/>
      <c r="Z110" s="246"/>
    </row>
    <row r="111">
      <c r="A111" s="246" t="str">
        <f>IFERROR(__xludf.DUMMYFUNCTION("""COMPUTED_VALUE"""),"sum")</f>
        <v>sum</v>
      </c>
      <c r="B111" s="246" t="str">
        <f>IFERROR(__xludf.DUMMYFUNCTION("""COMPUTED_VALUE"""),"サマータイムレンダ")</f>
        <v>サマータイムレンダ</v>
      </c>
      <c r="C111" s="246" t="str">
        <f>IFERROR(__xludf.DUMMYFUNCTION("""COMPUTED_VALUE"""),"00501")</f>
        <v>00501</v>
      </c>
      <c r="D111" s="246" t="str">
        <f>IFERROR(__xludf.DUMMYFUNCTION("""COMPUTED_VALUE"""),"chara_sum_00501")</f>
        <v>chara_sum_00501</v>
      </c>
      <c r="E111" s="246" t="str">
        <f>IFERROR(__xludf.DUMMYFUNCTION("""COMPUTED_VALUE"""),"ハイネ＆シデ")</f>
        <v>ハイネ＆シデ</v>
      </c>
      <c r="F111" s="246" t="str">
        <f>IFERROR(__xludf.DUMMYFUNCTION("""COMPUTED_VALUE"""),"選定中")</f>
        <v>選定中</v>
      </c>
      <c r="G111" s="246"/>
      <c r="H111" s="246" t="str">
        <f>IFERROR(__xludf.DUMMYFUNCTION("""COMPUTED_VALUE"""),"UR")</f>
        <v>UR</v>
      </c>
      <c r="I111" s="246" t="str">
        <f>IFERROR(__xludf.DUMMYFUNCTION("""COMPUTED_VALUE"""),"FestivalUR")</f>
        <v>FestivalUR</v>
      </c>
      <c r="J111" s="246" t="str">
        <f>IFERROR(__xludf.DUMMYFUNCTION("""COMPUTED_VALUE"""),"緑")</f>
        <v>緑</v>
      </c>
      <c r="K111" s="246" t="str">
        <f>IFERROR(__xludf.DUMMYFUNCTION("""COMPUTED_VALUE"""),"chara")</f>
        <v>chara</v>
      </c>
      <c r="L111" s="246"/>
      <c r="M111" s="246"/>
      <c r="N111" s="252"/>
      <c r="O111" s="246"/>
      <c r="P111" s="246"/>
      <c r="Q111" s="246" t="str">
        <f>IFERROR(__xludf.DUMMYFUNCTION("""COMPUTED_VALUE"""),"1.37")</f>
        <v>1.37</v>
      </c>
      <c r="R111" s="246" t="str">
        <f>IFERROR(__xludf.DUMMYFUNCTION("""COMPUTED_VALUE"""),"stop有 :1回目 0.55")</f>
        <v>stop有 :1回目 0.55</v>
      </c>
      <c r="S111" s="246" t="str">
        <f>IFERROR(__xludf.DUMMYFUNCTION("""COMPUTED_VALUE"""),"3.33")</f>
        <v>3.33</v>
      </c>
      <c r="T111" s="246" t="str">
        <f>IFERROR(__xludf.DUMMYFUNCTION("""COMPUTED_VALUE"""),"stop有:1回目 1.46")</f>
        <v>stop有:1回目 1.46</v>
      </c>
      <c r="U111" s="246"/>
      <c r="V111" s="246"/>
      <c r="W111" s="246"/>
      <c r="X111" s="246"/>
      <c r="Y111" s="246"/>
      <c r="Z111" s="246"/>
    </row>
    <row r="112">
      <c r="A112" s="246" t="str">
        <f>IFERROR(__xludf.DUMMYFUNCTION("""COMPUTED_VALUE"""),"sum")</f>
        <v>sum</v>
      </c>
      <c r="B112" s="246" t="str">
        <f>IFERROR(__xludf.DUMMYFUNCTION("""COMPUTED_VALUE"""),"サマータイムレンダ")</f>
        <v>サマータイムレンダ</v>
      </c>
      <c r="C112" s="246" t="str">
        <f>IFERROR(__xludf.DUMMYFUNCTION("""COMPUTED_VALUE"""),"00502")</f>
        <v>00502</v>
      </c>
      <c r="D112" s="246" t="str">
        <f>IFERROR(__xludf.DUMMYFUNCTION("""COMPUTED_VALUE"""),"chara_sum_00502")</f>
        <v>chara_sum_00502</v>
      </c>
      <c r="E112" s="246" t="str">
        <f>IFERROR(__xludf.DUMMYFUNCTION("""COMPUTED_VALUE"""),"ハイネ＆シデ(シデのみ)")</f>
        <v>ハイネ＆シデ(シデのみ)</v>
      </c>
      <c r="F112" s="246"/>
      <c r="G112" s="246"/>
      <c r="H112" s="246"/>
      <c r="I112" s="246"/>
      <c r="J112" s="246"/>
      <c r="K112" s="246" t="str">
        <f>IFERROR(__xludf.DUMMYFUNCTION("""COMPUTED_VALUE"""),"chara")</f>
        <v>chara</v>
      </c>
      <c r="L112" s="246"/>
      <c r="M112" s="246"/>
      <c r="N112" s="252"/>
      <c r="O112" s="246"/>
      <c r="P112" s="246"/>
      <c r="Q112" s="246" t="str">
        <f>IFERROR(__xludf.DUMMYFUNCTION("""COMPUTED_VALUE"""),"1.57")</f>
        <v>1.57</v>
      </c>
      <c r="R112" s="246" t="str">
        <f>IFERROR(__xludf.DUMMYFUNCTION("""COMPUTED_VALUE"""),"stop有 :1回目 0.15")</f>
        <v>stop有 :1回目 0.15</v>
      </c>
      <c r="S112" s="246" t="str">
        <f>IFERROR(__xludf.DUMMYFUNCTION("""COMPUTED_VALUE"""),"-")</f>
        <v>-</v>
      </c>
      <c r="T112" s="246" t="str">
        <f>IFERROR(__xludf.DUMMYFUNCTION("""COMPUTED_VALUE"""),"-")</f>
        <v>-</v>
      </c>
      <c r="U112" s="246"/>
      <c r="V112" s="246"/>
      <c r="W112" s="246"/>
      <c r="X112" s="246"/>
      <c r="Y112" s="246"/>
      <c r="Z112" s="246"/>
    </row>
    <row r="113">
      <c r="A113" s="246" t="str">
        <f>IFERROR(__xludf.DUMMYFUNCTION("""COMPUTED_VALUE"""),"osh")</f>
        <v>osh</v>
      </c>
      <c r="B113" s="246" t="str">
        <f>IFERROR(__xludf.DUMMYFUNCTION("""COMPUTED_VALUE"""),"【推しの子】")</f>
        <v>【推しの子】</v>
      </c>
      <c r="C113" s="246" t="str">
        <f>IFERROR(__xludf.DUMMYFUNCTION("""COMPUTED_VALUE"""),"00001")</f>
        <v>00001</v>
      </c>
      <c r="D113" s="246" t="str">
        <f>IFERROR(__xludf.DUMMYFUNCTION("""COMPUTED_VALUE"""),"chara_osh_00001")</f>
        <v>chara_osh_00001</v>
      </c>
      <c r="E113" s="246" t="str">
        <f>IFERROR(__xludf.DUMMYFUNCTION("""COMPUTED_VALUE"""),"星野 アイ")</f>
        <v>星野 アイ</v>
      </c>
      <c r="F113" s="246" t="str">
        <f>IFERROR(__xludf.DUMMYFUNCTION("""COMPUTED_VALUE"""),"B小町不動のセンター アイ")</f>
        <v>B小町不動のセンター アイ</v>
      </c>
      <c r="G113" s="246" t="str">
        <f>IFERROR(__xludf.DUMMYFUNCTION("""COMPUTED_VALUE"""),"究極のアイドル")</f>
        <v>究極のアイドル</v>
      </c>
      <c r="H113" s="246" t="str">
        <f>IFERROR(__xludf.DUMMYFUNCTION("""COMPUTED_VALUE"""),"UR")</f>
        <v>UR</v>
      </c>
      <c r="I113" s="246" t="str">
        <f>IFERROR(__xludf.DUMMYFUNCTION("""COMPUTED_VALUE"""),"FestivalUR")</f>
        <v>FestivalUR</v>
      </c>
      <c r="J113" s="246" t="str">
        <f>IFERROR(__xludf.DUMMYFUNCTION("""COMPUTED_VALUE"""),"赤")</f>
        <v>赤</v>
      </c>
      <c r="K113" s="246" t="str">
        <f>IFERROR(__xludf.DUMMYFUNCTION("""COMPUTED_VALUE"""),"chara")</f>
        <v>chara</v>
      </c>
      <c r="L113" s="246" t="str">
        <f>IFERROR(__xludf.DUMMYFUNCTION("""COMPUTED_VALUE"""),"テクニカル")</f>
        <v>テクニカル</v>
      </c>
      <c r="M113" s="246" t="str">
        <f>IFERROR(__xludf.DUMMYFUNCTION("""COMPUTED_VALUE"""),"shageki_1")</f>
        <v>shageki_1</v>
      </c>
      <c r="N113" s="252" t="str">
        <f>IFERROR(__xludf.DUMMYFUNCTION("""COMPUTED_VALUE"""),"Middle")</f>
        <v>Middle</v>
      </c>
      <c r="O113" s="246" t="str">
        <f>IFERROR(__xludf.DUMMYFUNCTION("""COMPUTED_VALUE"""),"-")</f>
        <v>-</v>
      </c>
      <c r="P113" s="246"/>
      <c r="Q113" s="246" t="str">
        <f>IFERROR(__xludf.DUMMYFUNCTION("""COMPUTED_VALUE"""),"1.60")</f>
        <v>1.60</v>
      </c>
      <c r="R113" s="246" t="str">
        <f>IFERROR(__xludf.DUMMYFUNCTION("""COMPUTED_VALUE"""),"stop有:1回目 0.43")</f>
        <v>stop有:1回目 0.43</v>
      </c>
      <c r="S113" s="246" t="str">
        <f>IFERROR(__xludf.DUMMYFUNCTION("""COMPUTED_VALUE"""),"3.24")</f>
        <v>3.24</v>
      </c>
      <c r="T113" s="246" t="str">
        <f>IFERROR(__xludf.DUMMYFUNCTION("""COMPUTED_VALUE"""),"stop無:1回目 1.83")</f>
        <v>stop無:1回目 1.83</v>
      </c>
      <c r="U113" s="246">
        <f>IFERROR(__xludf.DUMMYFUNCTION("""COMPUTED_VALUE"""),46023.0)</f>
        <v>46023</v>
      </c>
      <c r="V113" s="246">
        <f>IFERROR(__xludf.DUMMYFUNCTION("""COMPUTED_VALUE"""),390812.49998842593)</f>
        <v>390812.5</v>
      </c>
      <c r="W113" s="246" t="str">
        <f>IFERROR(__xludf.DUMMYFUNCTION("""COMPUTED_VALUE"""),"catchcopy_character_chara_osh_00001.png")</f>
        <v>catchcopy_character_chara_osh_00001.png</v>
      </c>
      <c r="X113" s="246" t="str">
        <f>IFERROR(__xludf.DUMMYFUNCTION("""COMPUTED_VALUE"""),"enemy_icon_chara_osh_00001")</f>
        <v>enemy_icon_chara_osh_00001</v>
      </c>
      <c r="Y113" s="246" t="str">
        <f>IFERROR(__xludf.DUMMYFUNCTION("""COMPUTED_VALUE"""),"boss_icon_chara_osh_00001")</f>
        <v>boss_icon_chara_osh_00001</v>
      </c>
      <c r="Z113" s="246"/>
    </row>
    <row r="114">
      <c r="A114" s="246" t="str">
        <f>IFERROR(__xludf.DUMMYFUNCTION("""COMPUTED_VALUE"""),"osh")</f>
        <v>osh</v>
      </c>
      <c r="B114" s="246" t="str">
        <f>IFERROR(__xludf.DUMMYFUNCTION("""COMPUTED_VALUE"""),"【推しの子】")</f>
        <v>【推しの子】</v>
      </c>
      <c r="C114" s="246" t="str">
        <f>IFERROR(__xludf.DUMMYFUNCTION("""COMPUTED_VALUE"""),"00101")</f>
        <v>00101</v>
      </c>
      <c r="D114" s="246" t="str">
        <f>IFERROR(__xludf.DUMMYFUNCTION("""COMPUTED_VALUE"""),"chara_osh_00101")</f>
        <v>chara_osh_00101</v>
      </c>
      <c r="E114" s="246" t="str">
        <f>IFERROR(__xludf.DUMMYFUNCTION("""COMPUTED_VALUE"""),"星野 アクア")</f>
        <v>星野 アクア</v>
      </c>
      <c r="F114" s="246" t="str">
        <f>IFERROR(__xludf.DUMMYFUNCTION("""COMPUTED_VALUE"""),"復讐を誓う片星 星野 アクア")</f>
        <v>復讐を誓う片星 星野 アクア</v>
      </c>
      <c r="G114" s="246" t="str">
        <f>IFERROR(__xludf.DUMMYFUNCTION("""COMPUTED_VALUE"""),"同じ轍を踏ませない")</f>
        <v>同じ轍を踏ませない</v>
      </c>
      <c r="H114" s="246" t="str">
        <f>IFERROR(__xludf.DUMMYFUNCTION("""COMPUTED_VALUE"""),"UR")</f>
        <v>UR</v>
      </c>
      <c r="I114" s="246" t="str">
        <f>IFERROR(__xludf.DUMMYFUNCTION("""COMPUTED_VALUE"""),"PremiumUR")</f>
        <v>PremiumUR</v>
      </c>
      <c r="J114" s="246" t="str">
        <f>IFERROR(__xludf.DUMMYFUNCTION("""COMPUTED_VALUE"""),"無")</f>
        <v>無</v>
      </c>
      <c r="K114" s="246" t="str">
        <f>IFERROR(__xludf.DUMMYFUNCTION("""COMPUTED_VALUE"""),"chara")</f>
        <v>chara</v>
      </c>
      <c r="L114" s="246" t="str">
        <f>IFERROR(__xludf.DUMMYFUNCTION("""COMPUTED_VALUE"""),"スペシャル")</f>
        <v>スペシャル</v>
      </c>
      <c r="M114" s="246" t="str">
        <f>IFERROR(__xludf.DUMMYFUNCTION("""COMPUTED_VALUE"""),"-")</f>
        <v>-</v>
      </c>
      <c r="N114" s="252" t="str">
        <f>IFERROR(__xludf.DUMMYFUNCTION("""COMPUTED_VALUE"""),"ー")</f>
        <v>ー</v>
      </c>
      <c r="O114" s="246" t="str">
        <f>IFERROR(__xludf.DUMMYFUNCTION("""COMPUTED_VALUE"""),"dageki_2")</f>
        <v>dageki_2</v>
      </c>
      <c r="P114" s="246"/>
      <c r="Q114" s="246" t="str">
        <f>IFERROR(__xludf.DUMMYFUNCTION("""COMPUTED_VALUE"""),"-")</f>
        <v>-</v>
      </c>
      <c r="R114" s="246" t="str">
        <f>IFERROR(__xludf.DUMMYFUNCTION("""COMPUTED_VALUE"""),"-")</f>
        <v>-</v>
      </c>
      <c r="S114" s="246" t="str">
        <f>IFERROR(__xludf.DUMMYFUNCTION("""COMPUTED_VALUE"""),"2.34")</f>
        <v>2.34</v>
      </c>
      <c r="T114" s="246" t="str">
        <f>IFERROR(__xludf.DUMMYFUNCTION("""COMPUTED_VALUE"""),"0.67")</f>
        <v>0.67</v>
      </c>
      <c r="U114" s="246">
        <f>IFERROR(__xludf.DUMMYFUNCTION("""COMPUTED_VALUE"""),46023.0)</f>
        <v>46023</v>
      </c>
      <c r="V114" s="246">
        <f>IFERROR(__xludf.DUMMYFUNCTION("""COMPUTED_VALUE"""),390812.49998842593)</f>
        <v>390812.5</v>
      </c>
      <c r="W114" s="246" t="str">
        <f>IFERROR(__xludf.DUMMYFUNCTION("""COMPUTED_VALUE"""),"catchcopy_character_chara_osh_00101.png")</f>
        <v>catchcopy_character_chara_osh_00101.png</v>
      </c>
      <c r="X114" s="246" t="str">
        <f>IFERROR(__xludf.DUMMYFUNCTION("""COMPUTED_VALUE"""),"enemy_icon_chara_osh_00101")</f>
        <v>enemy_icon_chara_osh_00101</v>
      </c>
      <c r="Y114" s="246" t="str">
        <f>IFERROR(__xludf.DUMMYFUNCTION("""COMPUTED_VALUE"""),"boss_icon_chara_osh_00101")</f>
        <v>boss_icon_chara_osh_00101</v>
      </c>
      <c r="Z114" s="246"/>
    </row>
    <row r="115">
      <c r="A115" s="246" t="str">
        <f>IFERROR(__xludf.DUMMYFUNCTION("""COMPUTED_VALUE"""),"osh")</f>
        <v>osh</v>
      </c>
      <c r="B115" s="246" t="str">
        <f>IFERROR(__xludf.DUMMYFUNCTION("""COMPUTED_VALUE"""),"【推しの子】")</f>
        <v>【推しの子】</v>
      </c>
      <c r="C115" s="246" t="str">
        <f>IFERROR(__xludf.DUMMYFUNCTION("""COMPUTED_VALUE"""),"00102")</f>
        <v>00102</v>
      </c>
      <c r="D115" s="246" t="str">
        <f>IFERROR(__xludf.DUMMYFUNCTION("""COMPUTED_VALUE"""),"chara_osh_00102")</f>
        <v>chara_osh_00102</v>
      </c>
      <c r="E115" s="246" t="str">
        <f>IFERROR(__xludf.DUMMYFUNCTION("""COMPUTED_VALUE"""),"星野 アクア (東京ブレイド編ver.)")</f>
        <v>星野 アクア (東京ブレイド編ver.)</v>
      </c>
      <c r="F115" s="246" t="str">
        <f>IFERROR(__xludf.DUMMYFUNCTION("""COMPUTED_VALUE"""),"選定中")</f>
        <v>選定中</v>
      </c>
      <c r="G115" s="246"/>
      <c r="H115" s="246" t="str">
        <f>IFERROR(__xludf.DUMMYFUNCTION("""COMPUTED_VALUE"""),"SR")</f>
        <v>SR</v>
      </c>
      <c r="I115" s="246" t="str">
        <f>IFERROR(__xludf.DUMMYFUNCTION("""COMPUTED_VALUE"""),"DropSR")</f>
        <v>DropSR</v>
      </c>
      <c r="J115" s="246" t="str">
        <f>IFERROR(__xludf.DUMMYFUNCTION("""COMPUTED_VALUE"""),"青")</f>
        <v>青</v>
      </c>
      <c r="K115" s="246" t="str">
        <f>IFERROR(__xludf.DUMMYFUNCTION("""COMPUTED_VALUE"""),"chara")</f>
        <v>chara</v>
      </c>
      <c r="L115" s="246" t="str">
        <f>IFERROR(__xludf.DUMMYFUNCTION("""COMPUTED_VALUE"""),"ディフェンス")</f>
        <v>ディフェンス</v>
      </c>
      <c r="M115" s="246"/>
      <c r="N115" s="252"/>
      <c r="O115" s="246"/>
      <c r="P115" s="246"/>
      <c r="Q115" s="246"/>
      <c r="R115" s="246"/>
      <c r="S115" s="246"/>
      <c r="T115" s="246"/>
      <c r="U115" s="246"/>
      <c r="V115" s="246"/>
      <c r="W115" s="246"/>
      <c r="X115" s="246"/>
      <c r="Y115" s="246"/>
      <c r="Z115" s="246"/>
    </row>
    <row r="116">
      <c r="A116" s="246" t="str">
        <f>IFERROR(__xludf.DUMMYFUNCTION("""COMPUTED_VALUE"""),"osh")</f>
        <v>osh</v>
      </c>
      <c r="B116" s="246" t="str">
        <f>IFERROR(__xludf.DUMMYFUNCTION("""COMPUTED_VALUE"""),"【推しの子】")</f>
        <v>【推しの子】</v>
      </c>
      <c r="C116" s="246" t="str">
        <f>IFERROR(__xludf.DUMMYFUNCTION("""COMPUTED_VALUE"""),"00201")</f>
        <v>00201</v>
      </c>
      <c r="D116" s="246" t="str">
        <f>IFERROR(__xludf.DUMMYFUNCTION("""COMPUTED_VALUE"""),"chara_osh_00201")</f>
        <v>chara_osh_00201</v>
      </c>
      <c r="E116" s="246" t="str">
        <f>IFERROR(__xludf.DUMMYFUNCTION("""COMPUTED_VALUE"""),"星野 ルビー")</f>
        <v>星野 ルビー</v>
      </c>
      <c r="F116" s="246" t="str">
        <f>IFERROR(__xludf.DUMMYFUNCTION("""COMPUTED_VALUE"""),"星野 ルビー")</f>
        <v>星野 ルビー</v>
      </c>
      <c r="G116" s="246" t="str">
        <f>IFERROR(__xludf.DUMMYFUNCTION("""COMPUTED_VALUE"""),"憧れのアイドルへ!!")</f>
        <v>憧れのアイドルへ!!</v>
      </c>
      <c r="H116" s="246" t="str">
        <f>IFERROR(__xludf.DUMMYFUNCTION("""COMPUTED_VALUE"""),"SSR")</f>
        <v>SSR</v>
      </c>
      <c r="I116" s="246" t="str">
        <f>IFERROR(__xludf.DUMMYFUNCTION("""COMPUTED_VALUE"""),"PremiumSSR")</f>
        <v>PremiumSSR</v>
      </c>
      <c r="J116" s="246" t="str">
        <f>IFERROR(__xludf.DUMMYFUNCTION("""COMPUTED_VALUE"""),"赤")</f>
        <v>赤</v>
      </c>
      <c r="K116" s="246" t="str">
        <f>IFERROR(__xludf.DUMMYFUNCTION("""COMPUTED_VALUE"""),"chara")</f>
        <v>chara</v>
      </c>
      <c r="L116" s="246" t="str">
        <f>IFERROR(__xludf.DUMMYFUNCTION("""COMPUTED_VALUE"""),"アタック")</f>
        <v>アタック</v>
      </c>
      <c r="M116" s="246" t="str">
        <f>IFERROR(__xludf.DUMMYFUNCTION("""COMPUTED_VALUE"""),"dageki_2")</f>
        <v>dageki_2</v>
      </c>
      <c r="N116" s="252" t="str">
        <f>IFERROR(__xludf.DUMMYFUNCTION("""COMPUTED_VALUE"""),"Short")</f>
        <v>Short</v>
      </c>
      <c r="O116" s="246" t="str">
        <f>IFERROR(__xludf.DUMMYFUNCTION("""COMPUTED_VALUE"""),"-")</f>
        <v>-</v>
      </c>
      <c r="P116" s="246"/>
      <c r="Q116" s="246" t="str">
        <f>IFERROR(__xludf.DUMMYFUNCTION("""COMPUTED_VALUE"""),"1.37")</f>
        <v>1.37</v>
      </c>
      <c r="R116" s="246" t="str">
        <f>IFERROR(__xludf.DUMMYFUNCTION("""COMPUTED_VALUE"""),"stop有:1回目 0.30
stop有:2回目 0.60")</f>
        <v>stop有:1回目 0.30
stop有:2回目 0.60</v>
      </c>
      <c r="S116" s="246" t="str">
        <f>IFERROR(__xludf.DUMMYFUNCTION("""COMPUTED_VALUE"""),"3.00")</f>
        <v>3.00</v>
      </c>
      <c r="T116" s="246" t="str">
        <f>IFERROR(__xludf.DUMMYFUNCTION("""COMPUTED_VALUE"""),"stop無:1回目 1.66")</f>
        <v>stop無:1回目 1.66</v>
      </c>
      <c r="U116" s="246">
        <f>IFERROR(__xludf.DUMMYFUNCTION("""COMPUTED_VALUE"""),46023.0)</f>
        <v>46023</v>
      </c>
      <c r="V116" s="246">
        <f>IFERROR(__xludf.DUMMYFUNCTION("""COMPUTED_VALUE"""),390812.49998842593)</f>
        <v>390812.5</v>
      </c>
      <c r="W116" s="246" t="str">
        <f>IFERROR(__xludf.DUMMYFUNCTION("""COMPUTED_VALUE"""),"catchcopy_character_chara_osh_00201.png")</f>
        <v>catchcopy_character_chara_osh_00201.png</v>
      </c>
      <c r="X116" s="246" t="str">
        <f>IFERROR(__xludf.DUMMYFUNCTION("""COMPUTED_VALUE"""),"enemy_icon_chara_osh_00201")</f>
        <v>enemy_icon_chara_osh_00201</v>
      </c>
      <c r="Y116" s="246" t="str">
        <f>IFERROR(__xludf.DUMMYFUNCTION("""COMPUTED_VALUE"""),"boss_icon_chara_osh_00201")</f>
        <v>boss_icon_chara_osh_00201</v>
      </c>
      <c r="Z116" s="246"/>
    </row>
    <row r="117">
      <c r="A117" s="246" t="str">
        <f>IFERROR(__xludf.DUMMYFUNCTION("""COMPUTED_VALUE"""),"osh")</f>
        <v>osh</v>
      </c>
      <c r="B117" s="246" t="str">
        <f>IFERROR(__xludf.DUMMYFUNCTION("""COMPUTED_VALUE"""),"【推しの子】")</f>
        <v>【推しの子】</v>
      </c>
      <c r="C117" s="246" t="str">
        <f>IFERROR(__xludf.DUMMYFUNCTION("""COMPUTED_VALUE"""),"00202")</f>
        <v>00202</v>
      </c>
      <c r="D117" s="246" t="str">
        <f>IFERROR(__xludf.DUMMYFUNCTION("""COMPUTED_VALUE"""),"chara_osh_00202")</f>
        <v>chara_osh_00202</v>
      </c>
      <c r="E117" s="246" t="str">
        <f>IFERROR(__xludf.DUMMYFUNCTION("""COMPUTED_VALUE"""),"星野 ルビー（闇堕ち演技ver）")</f>
        <v>星野 ルビー（闇堕ち演技ver）</v>
      </c>
      <c r="F117" s="246" t="str">
        <f>IFERROR(__xludf.DUMMYFUNCTION("""COMPUTED_VALUE"""),"選定中")</f>
        <v>選定中</v>
      </c>
      <c r="G117" s="246"/>
      <c r="H117" s="246" t="str">
        <f>IFERROR(__xludf.DUMMYFUNCTION("""COMPUTED_VALUE"""),"SR")</f>
        <v>SR</v>
      </c>
      <c r="I117" s="246" t="str">
        <f>IFERROR(__xludf.DUMMYFUNCTION("""COMPUTED_VALUE"""),"DropSR")</f>
        <v>DropSR</v>
      </c>
      <c r="J117" s="246" t="str">
        <f>IFERROR(__xludf.DUMMYFUNCTION("""COMPUTED_VALUE"""),"無")</f>
        <v>無</v>
      </c>
      <c r="K117" s="246" t="str">
        <f>IFERROR(__xludf.DUMMYFUNCTION("""COMPUTED_VALUE"""),"chara")</f>
        <v>chara</v>
      </c>
      <c r="L117" s="246" t="str">
        <f>IFERROR(__xludf.DUMMYFUNCTION("""COMPUTED_VALUE"""),"スペシャル")</f>
        <v>スペシャル</v>
      </c>
      <c r="M117" s="246"/>
      <c r="N117" s="252"/>
      <c r="O117" s="246"/>
      <c r="P117" s="246"/>
      <c r="Q117" s="246"/>
      <c r="R117" s="246"/>
      <c r="S117" s="246"/>
      <c r="T117" s="246"/>
      <c r="U117" s="246"/>
      <c r="V117" s="246"/>
      <c r="W117" s="246"/>
      <c r="X117" s="246"/>
      <c r="Y117" s="246"/>
      <c r="Z117" s="246"/>
    </row>
    <row r="118">
      <c r="A118" s="246" t="str">
        <f>IFERROR(__xludf.DUMMYFUNCTION("""COMPUTED_VALUE"""),"osh")</f>
        <v>osh</v>
      </c>
      <c r="B118" s="246" t="str">
        <f>IFERROR(__xludf.DUMMYFUNCTION("""COMPUTED_VALUE"""),"【推しの子】")</f>
        <v>【推しの子】</v>
      </c>
      <c r="C118" s="246" t="str">
        <f>IFERROR(__xludf.DUMMYFUNCTION("""COMPUTED_VALUE"""),"00301")</f>
        <v>00301</v>
      </c>
      <c r="D118" s="246" t="str">
        <f>IFERROR(__xludf.DUMMYFUNCTION("""COMPUTED_VALUE"""),"chara_osh_00301")</f>
        <v>chara_osh_00301</v>
      </c>
      <c r="E118" s="246" t="str">
        <f>IFERROR(__xludf.DUMMYFUNCTION("""COMPUTED_VALUE"""),"MEMちょ")</f>
        <v>MEMちょ</v>
      </c>
      <c r="F118" s="246" t="str">
        <f>IFERROR(__xludf.DUMMYFUNCTION("""COMPUTED_VALUE"""),"MEMちょ")</f>
        <v>MEMちょ</v>
      </c>
      <c r="G118" s="246" t="str">
        <f>IFERROR(__xludf.DUMMYFUNCTION("""COMPUTED_VALUE"""),"バズらせのプロ")</f>
        <v>バズらせのプロ</v>
      </c>
      <c r="H118" s="246" t="str">
        <f>IFERROR(__xludf.DUMMYFUNCTION("""COMPUTED_VALUE"""),"SSR")</f>
        <v>SSR</v>
      </c>
      <c r="I118" s="246" t="str">
        <f>IFERROR(__xludf.DUMMYFUNCTION("""COMPUTED_VALUE"""),"PremiumSSR")</f>
        <v>PremiumSSR</v>
      </c>
      <c r="J118" s="246" t="str">
        <f>IFERROR(__xludf.DUMMYFUNCTION("""COMPUTED_VALUE"""),"黄")</f>
        <v>黄</v>
      </c>
      <c r="K118" s="246" t="str">
        <f>IFERROR(__xludf.DUMMYFUNCTION("""COMPUTED_VALUE"""),"chara")</f>
        <v>chara</v>
      </c>
      <c r="L118" s="246" t="str">
        <f>IFERROR(__xludf.DUMMYFUNCTION("""COMPUTED_VALUE"""),"サポート")</f>
        <v>サポート</v>
      </c>
      <c r="M118" s="246" t="str">
        <f>IFERROR(__xludf.DUMMYFUNCTION("""COMPUTED_VALUE"""),"dageki_1")</f>
        <v>dageki_1</v>
      </c>
      <c r="N118" s="252" t="str">
        <f>IFERROR(__xludf.DUMMYFUNCTION("""COMPUTED_VALUE"""),"Short")</f>
        <v>Short</v>
      </c>
      <c r="O118" s="246" t="str">
        <f>IFERROR(__xludf.DUMMYFUNCTION("""COMPUTED_VALUE"""),"-")</f>
        <v>-</v>
      </c>
      <c r="P118" s="246"/>
      <c r="Q118" s="246" t="str">
        <f>IFERROR(__xludf.DUMMYFUNCTION("""COMPUTED_VALUE"""),"1.13")</f>
        <v>1.13</v>
      </c>
      <c r="R118" s="246" t="str">
        <f>IFERROR(__xludf.DUMMYFUNCTION("""COMPUTED_VALUE"""),"stop無:1回目 0.18
stop無:1回目 0.35
stop無:1回目 0.52")</f>
        <v>stop無:1回目 0.18
stop無:1回目 0.35
stop無:1回目 0.52</v>
      </c>
      <c r="S118" s="246" t="str">
        <f>IFERROR(__xludf.DUMMYFUNCTION("""COMPUTED_VALUE"""),"3.33")</f>
        <v>3.33</v>
      </c>
      <c r="T118" s="246" t="str">
        <f>IFERROR(__xludf.DUMMYFUNCTION("""COMPUTED_VALUE"""),"stop無:1回目 1.78")</f>
        <v>stop無:1回目 1.78</v>
      </c>
      <c r="U118" s="246">
        <f>IFERROR(__xludf.DUMMYFUNCTION("""COMPUTED_VALUE"""),46023.0)</f>
        <v>46023</v>
      </c>
      <c r="V118" s="246">
        <f>IFERROR(__xludf.DUMMYFUNCTION("""COMPUTED_VALUE"""),390812.49998842593)</f>
        <v>390812.5</v>
      </c>
      <c r="W118" s="246" t="str">
        <f>IFERROR(__xludf.DUMMYFUNCTION("""COMPUTED_VALUE"""),"catchcopy_character_chara_osh_00301.png")</f>
        <v>catchcopy_character_chara_osh_00301.png</v>
      </c>
      <c r="X118" s="246" t="str">
        <f>IFERROR(__xludf.DUMMYFUNCTION("""COMPUTED_VALUE"""),"enemy_icon_chara_osh_00301")</f>
        <v>enemy_icon_chara_osh_00301</v>
      </c>
      <c r="Y118" s="246" t="str">
        <f>IFERROR(__xludf.DUMMYFUNCTION("""COMPUTED_VALUE"""),"boss_icon_chara_osh_00301")</f>
        <v>boss_icon_chara_osh_00301</v>
      </c>
      <c r="Z118" s="246"/>
    </row>
    <row r="119">
      <c r="A119" s="246" t="str">
        <f>IFERROR(__xludf.DUMMYFUNCTION("""COMPUTED_VALUE"""),"osh")</f>
        <v>osh</v>
      </c>
      <c r="B119" s="246" t="str">
        <f>IFERROR(__xludf.DUMMYFUNCTION("""COMPUTED_VALUE"""),"【推しの子】")</f>
        <v>【推しの子】</v>
      </c>
      <c r="C119" s="246" t="str">
        <f>IFERROR(__xludf.DUMMYFUNCTION("""COMPUTED_VALUE"""),"00401")</f>
        <v>00401</v>
      </c>
      <c r="D119" s="246" t="str">
        <f>IFERROR(__xludf.DUMMYFUNCTION("""COMPUTED_VALUE"""),"chara_osh_00401")</f>
        <v>chara_osh_00401</v>
      </c>
      <c r="E119" s="246" t="str">
        <f>IFERROR(__xludf.DUMMYFUNCTION("""COMPUTED_VALUE"""),"有馬 かな")</f>
        <v>有馬 かな</v>
      </c>
      <c r="F119" s="246" t="str">
        <f>IFERROR(__xludf.DUMMYFUNCTION("""COMPUTED_VALUE"""),"有馬 かな")</f>
        <v>有馬 かな</v>
      </c>
      <c r="G119" s="246" t="str">
        <f>IFERROR(__xludf.DUMMYFUNCTION("""COMPUTED_VALUE"""),"光はあるから")</f>
        <v>光はあるから</v>
      </c>
      <c r="H119" s="246" t="str">
        <f>IFERROR(__xludf.DUMMYFUNCTION("""COMPUTED_VALUE"""),"SSR")</f>
        <v>SSR</v>
      </c>
      <c r="I119" s="246" t="str">
        <f>IFERROR(__xludf.DUMMYFUNCTION("""COMPUTED_VALUE"""),"PremiumSSR")</f>
        <v>PremiumSSR</v>
      </c>
      <c r="J119" s="246" t="str">
        <f>IFERROR(__xludf.DUMMYFUNCTION("""COMPUTED_VALUE"""),"緑")</f>
        <v>緑</v>
      </c>
      <c r="K119" s="246" t="str">
        <f>IFERROR(__xludf.DUMMYFUNCTION("""COMPUTED_VALUE"""),"chara")</f>
        <v>chara</v>
      </c>
      <c r="L119" s="246" t="str">
        <f>IFERROR(__xludf.DUMMYFUNCTION("""COMPUTED_VALUE"""),"テクニカル")</f>
        <v>テクニカル</v>
      </c>
      <c r="M119" s="246" t="str">
        <f>IFERROR(__xludf.DUMMYFUNCTION("""COMPUTED_VALUE"""),"dageki_2")</f>
        <v>dageki_2</v>
      </c>
      <c r="N119" s="252" t="str">
        <f>IFERROR(__xludf.DUMMYFUNCTION("""COMPUTED_VALUE"""),"Short")</f>
        <v>Short</v>
      </c>
      <c r="O119" s="246" t="str">
        <f>IFERROR(__xludf.DUMMYFUNCTION("""COMPUTED_VALUE"""),"dageki_2")</f>
        <v>dageki_2</v>
      </c>
      <c r="P119" s="246"/>
      <c r="Q119" s="246" t="str">
        <f>IFERROR(__xludf.DUMMYFUNCTION("""COMPUTED_VALUE"""),"1.17")</f>
        <v>1.17</v>
      </c>
      <c r="R119" s="246" t="str">
        <f>IFERROR(__xludf.DUMMYFUNCTION("""COMPUTED_VALUE"""),"0.5")</f>
        <v>0.5</v>
      </c>
      <c r="S119" s="246" t="str">
        <f>IFERROR(__xludf.DUMMYFUNCTION("""COMPUTED_VALUE"""),"2.47")</f>
        <v>2.47</v>
      </c>
      <c r="T119" s="246" t="str">
        <f>IFERROR(__xludf.DUMMYFUNCTION("""COMPUTED_VALUE"""),"stop無:1回目 1.00")</f>
        <v>stop無:1回目 1.00</v>
      </c>
      <c r="U119" s="246">
        <f>IFERROR(__xludf.DUMMYFUNCTION("""COMPUTED_VALUE"""),46023.0)</f>
        <v>46023</v>
      </c>
      <c r="V119" s="246">
        <f>IFERROR(__xludf.DUMMYFUNCTION("""COMPUTED_VALUE"""),390812.49998842593)</f>
        <v>390812.5</v>
      </c>
      <c r="W119" s="246" t="str">
        <f>IFERROR(__xludf.DUMMYFUNCTION("""COMPUTED_VALUE"""),"catchcopy_character_chara_osh_00401.png")</f>
        <v>catchcopy_character_chara_osh_00401.png</v>
      </c>
      <c r="X119" s="246" t="str">
        <f>IFERROR(__xludf.DUMMYFUNCTION("""COMPUTED_VALUE"""),"enemy_icon_chara_osh_00401")</f>
        <v>enemy_icon_chara_osh_00401</v>
      </c>
      <c r="Y119" s="246" t="str">
        <f>IFERROR(__xludf.DUMMYFUNCTION("""COMPUTED_VALUE"""),"boss_icon_chara_osh_00401")</f>
        <v>boss_icon_chara_osh_00401</v>
      </c>
      <c r="Z119" s="246"/>
    </row>
    <row r="120">
      <c r="A120" s="246" t="str">
        <f>IFERROR(__xludf.DUMMYFUNCTION("""COMPUTED_VALUE"""),"osh")</f>
        <v>osh</v>
      </c>
      <c r="B120" s="246" t="str">
        <f>IFERROR(__xludf.DUMMYFUNCTION("""COMPUTED_VALUE"""),"【推しの子】")</f>
        <v>【推しの子】</v>
      </c>
      <c r="C120" s="246" t="str">
        <f>IFERROR(__xludf.DUMMYFUNCTION("""COMPUTED_VALUE"""),"00402")</f>
        <v>00402</v>
      </c>
      <c r="D120" s="246" t="str">
        <f>IFERROR(__xludf.DUMMYFUNCTION("""COMPUTED_VALUE"""),"chara_osh_00402")</f>
        <v>chara_osh_00402</v>
      </c>
      <c r="E120" s="246" t="str">
        <f>IFERROR(__xludf.DUMMYFUNCTION("""COMPUTED_VALUE"""),"有馬 かな (東京ブレイド編ver.)")</f>
        <v>有馬 かな (東京ブレイド編ver.)</v>
      </c>
      <c r="F120" s="246" t="str">
        <f>IFERROR(__xludf.DUMMYFUNCTION("""COMPUTED_VALUE"""),"選定中")</f>
        <v>選定中</v>
      </c>
      <c r="G120" s="246"/>
      <c r="H120" s="246" t="str">
        <f>IFERROR(__xludf.DUMMYFUNCTION("""COMPUTED_VALUE"""),"UR")</f>
        <v>UR</v>
      </c>
      <c r="I120" s="246" t="str">
        <f>IFERROR(__xludf.DUMMYFUNCTION("""COMPUTED_VALUE"""),"PremiumUR")</f>
        <v>PremiumUR</v>
      </c>
      <c r="J120" s="246" t="str">
        <f>IFERROR(__xludf.DUMMYFUNCTION("""COMPUTED_VALUE"""),"青")</f>
        <v>青</v>
      </c>
      <c r="K120" s="246" t="str">
        <f>IFERROR(__xludf.DUMMYFUNCTION("""COMPUTED_VALUE"""),"chara")</f>
        <v>chara</v>
      </c>
      <c r="L120" s="246" t="str">
        <f>IFERROR(__xludf.DUMMYFUNCTION("""COMPUTED_VALUE"""),"アタック")</f>
        <v>アタック</v>
      </c>
      <c r="M120" s="246"/>
      <c r="N120" s="252"/>
      <c r="O120" s="246"/>
      <c r="P120" s="246"/>
      <c r="Q120" s="246"/>
      <c r="R120" s="246"/>
      <c r="S120" s="246"/>
      <c r="T120" s="246"/>
      <c r="U120" s="246"/>
      <c r="V120" s="246"/>
      <c r="W120" s="246"/>
      <c r="X120" s="246"/>
      <c r="Y120" s="246"/>
      <c r="Z120" s="246"/>
    </row>
    <row r="121">
      <c r="A121" s="246" t="str">
        <f>IFERROR(__xludf.DUMMYFUNCTION("""COMPUTED_VALUE"""),"osh")</f>
        <v>osh</v>
      </c>
      <c r="B121" s="246" t="str">
        <f>IFERROR(__xludf.DUMMYFUNCTION("""COMPUTED_VALUE"""),"【推しの子】")</f>
        <v>【推しの子】</v>
      </c>
      <c r="C121" s="246" t="str">
        <f>IFERROR(__xludf.DUMMYFUNCTION("""COMPUTED_VALUE"""),"00501")</f>
        <v>00501</v>
      </c>
      <c r="D121" s="246" t="str">
        <f>IFERROR(__xludf.DUMMYFUNCTION("""COMPUTED_VALUE"""),"chara_osh_00501")</f>
        <v>chara_osh_00501</v>
      </c>
      <c r="E121" s="246" t="str">
        <f>IFERROR(__xludf.DUMMYFUNCTION("""COMPUTED_VALUE"""),"黒川 あかね")</f>
        <v>黒川 あかね</v>
      </c>
      <c r="F121" s="246" t="str">
        <f>IFERROR(__xludf.DUMMYFUNCTION("""COMPUTED_VALUE"""),"黒川 あかね")</f>
        <v>黒川 あかね</v>
      </c>
      <c r="G121" s="246" t="str">
        <f>IFERROR(__xludf.DUMMYFUNCTION("""COMPUTED_VALUE"""),"あっ　もうカメラ回ってる？")</f>
        <v>あっ　もうカメラ回ってる？</v>
      </c>
      <c r="H121" s="246" t="str">
        <f>IFERROR(__xludf.DUMMYFUNCTION("""COMPUTED_VALUE"""),"SSR")</f>
        <v>SSR</v>
      </c>
      <c r="I121" s="246" t="str">
        <f>IFERROR(__xludf.DUMMYFUNCTION("""COMPUTED_VALUE"""),"PremiumSSR")</f>
        <v>PremiumSSR</v>
      </c>
      <c r="J121" s="246" t="str">
        <f>IFERROR(__xludf.DUMMYFUNCTION("""COMPUTED_VALUE"""),"青")</f>
        <v>青</v>
      </c>
      <c r="K121" s="246" t="str">
        <f>IFERROR(__xludf.DUMMYFUNCTION("""COMPUTED_VALUE"""),"chara")</f>
        <v>chara</v>
      </c>
      <c r="L121" s="246" t="str">
        <f>IFERROR(__xludf.DUMMYFUNCTION("""COMPUTED_VALUE"""),"テクニカル")</f>
        <v>テクニカル</v>
      </c>
      <c r="M121" s="246" t="str">
        <f>IFERROR(__xludf.DUMMYFUNCTION("""COMPUTED_VALUE"""),"dageki_1")</f>
        <v>dageki_1</v>
      </c>
      <c r="N121" s="252" t="str">
        <f>IFERROR(__xludf.DUMMYFUNCTION("""COMPUTED_VALUE"""),"Short")</f>
        <v>Short</v>
      </c>
      <c r="O121" s="246" t="str">
        <f>IFERROR(__xludf.DUMMYFUNCTION("""COMPUTED_VALUE"""),"dageki_1")</f>
        <v>dageki_1</v>
      </c>
      <c r="P121" s="246"/>
      <c r="Q121" s="246" t="str">
        <f>IFERROR(__xludf.DUMMYFUNCTION("""COMPUTED_VALUE"""),"1.06")</f>
        <v>1.06</v>
      </c>
      <c r="R121" s="246" t="str">
        <f>IFERROR(__xludf.DUMMYFUNCTION("""COMPUTED_VALUE"""),"0.3")</f>
        <v>0.3</v>
      </c>
      <c r="S121" s="246" t="str">
        <f>IFERROR(__xludf.DUMMYFUNCTION("""COMPUTED_VALUE"""),"2.67")</f>
        <v>2.67</v>
      </c>
      <c r="T121" s="246" t="str">
        <f>IFERROR(__xludf.DUMMYFUNCTION("""COMPUTED_VALUE"""),"1.78")</f>
        <v>1.78</v>
      </c>
      <c r="U121" s="246">
        <f>IFERROR(__xludf.DUMMYFUNCTION("""COMPUTED_VALUE"""),46023.0)</f>
        <v>46023</v>
      </c>
      <c r="V121" s="246">
        <f>IFERROR(__xludf.DUMMYFUNCTION("""COMPUTED_VALUE"""),390812.49998842593)</f>
        <v>390812.5</v>
      </c>
      <c r="W121" s="246" t="str">
        <f>IFERROR(__xludf.DUMMYFUNCTION("""COMPUTED_VALUE"""),"catchcopy_character_chara_osh_00501.png")</f>
        <v>catchcopy_character_chara_osh_00501.png</v>
      </c>
      <c r="X121" s="246" t="str">
        <f>IFERROR(__xludf.DUMMYFUNCTION("""COMPUTED_VALUE"""),"enemy_icon_chara_osh_00501")</f>
        <v>enemy_icon_chara_osh_00501</v>
      </c>
      <c r="Y121" s="246" t="str">
        <f>IFERROR(__xludf.DUMMYFUNCTION("""COMPUTED_VALUE"""),"boss_icon_chara_osh_00501")</f>
        <v>boss_icon_chara_osh_00501</v>
      </c>
      <c r="Z121" s="246"/>
    </row>
    <row r="122">
      <c r="A122" s="246" t="str">
        <f>IFERROR(__xludf.DUMMYFUNCTION("""COMPUTED_VALUE"""),"osh")</f>
        <v>osh</v>
      </c>
      <c r="B122" s="246" t="str">
        <f>IFERROR(__xludf.DUMMYFUNCTION("""COMPUTED_VALUE"""),"【推しの子】")</f>
        <v>【推しの子】</v>
      </c>
      <c r="C122" s="246" t="str">
        <f>IFERROR(__xludf.DUMMYFUNCTION("""COMPUTED_VALUE"""),"00502")</f>
        <v>00502</v>
      </c>
      <c r="D122" s="246" t="str">
        <f>IFERROR(__xludf.DUMMYFUNCTION("""COMPUTED_VALUE"""),"chara_osh_00502")</f>
        <v>chara_osh_00502</v>
      </c>
      <c r="E122" s="246" t="str">
        <f>IFERROR(__xludf.DUMMYFUNCTION("""COMPUTED_VALUE"""),"黒川 あかね (東京ブレイド編ver.)")</f>
        <v>黒川 あかね (東京ブレイド編ver.)</v>
      </c>
      <c r="F122" s="246" t="str">
        <f>IFERROR(__xludf.DUMMYFUNCTION("""COMPUTED_VALUE"""),"選定中")</f>
        <v>選定中</v>
      </c>
      <c r="G122" s="246"/>
      <c r="H122" s="246" t="str">
        <f>IFERROR(__xludf.DUMMYFUNCTION("""COMPUTED_VALUE"""),"UR")</f>
        <v>UR</v>
      </c>
      <c r="I122" s="246" t="str">
        <f>IFERROR(__xludf.DUMMYFUNCTION("""COMPUTED_VALUE"""),"PremiumUR")</f>
        <v>PremiumUR</v>
      </c>
      <c r="J122" s="246" t="str">
        <f>IFERROR(__xludf.DUMMYFUNCTION("""COMPUTED_VALUE"""),"黄")</f>
        <v>黄</v>
      </c>
      <c r="K122" s="246" t="str">
        <f>IFERROR(__xludf.DUMMYFUNCTION("""COMPUTED_VALUE"""),"chara")</f>
        <v>chara</v>
      </c>
      <c r="L122" s="246" t="str">
        <f>IFERROR(__xludf.DUMMYFUNCTION("""COMPUTED_VALUE"""),"サポート")</f>
        <v>サポート</v>
      </c>
      <c r="M122" s="246"/>
      <c r="N122" s="252"/>
      <c r="O122" s="246"/>
      <c r="P122" s="246"/>
      <c r="Q122" s="246"/>
      <c r="R122" s="246"/>
      <c r="S122" s="246"/>
      <c r="T122" s="246"/>
      <c r="U122" s="246"/>
      <c r="V122" s="246"/>
      <c r="W122" s="246"/>
      <c r="X122" s="246"/>
      <c r="Y122" s="246"/>
      <c r="Z122" s="246"/>
    </row>
    <row r="123">
      <c r="A123" s="246" t="str">
        <f>IFERROR(__xludf.DUMMYFUNCTION("""COMPUTED_VALUE"""),"osh")</f>
        <v>osh</v>
      </c>
      <c r="B123" s="246" t="str">
        <f>IFERROR(__xludf.DUMMYFUNCTION("""COMPUTED_VALUE"""),"【推しの子】")</f>
        <v>【推しの子】</v>
      </c>
      <c r="C123" s="246" t="str">
        <f>IFERROR(__xludf.DUMMYFUNCTION("""COMPUTED_VALUE"""),"00601")</f>
        <v>00601</v>
      </c>
      <c r="D123" s="246" t="str">
        <f>IFERROR(__xludf.DUMMYFUNCTION("""COMPUTED_VALUE"""),"chara_osh_00601")</f>
        <v>chara_osh_00601</v>
      </c>
      <c r="E123" s="246" t="str">
        <f>IFERROR(__xludf.DUMMYFUNCTION("""COMPUTED_VALUE"""),"ぴえヨン")</f>
        <v>ぴえヨン</v>
      </c>
      <c r="F123" s="246" t="str">
        <f>IFERROR(__xludf.DUMMYFUNCTION("""COMPUTED_VALUE"""),"ぴえヨン")</f>
        <v>ぴえヨン</v>
      </c>
      <c r="G123" s="246" t="str">
        <f>IFERROR(__xludf.DUMMYFUNCTION("""COMPUTED_VALUE"""),"ぴえヨンブートダンス")</f>
        <v>ぴえヨンブートダンス</v>
      </c>
      <c r="H123" s="246" t="str">
        <f>IFERROR(__xludf.DUMMYFUNCTION("""COMPUTED_VALUE"""),"SR")</f>
        <v>SR</v>
      </c>
      <c r="I123" s="246" t="str">
        <f>IFERROR(__xludf.DUMMYFUNCTION("""COMPUTED_VALUE"""),"DropSR")</f>
        <v>DropSR</v>
      </c>
      <c r="J123" s="246" t="str">
        <f>IFERROR(__xludf.DUMMYFUNCTION("""COMPUTED_VALUE"""),"緑")</f>
        <v>緑</v>
      </c>
      <c r="K123" s="246" t="str">
        <f>IFERROR(__xludf.DUMMYFUNCTION("""COMPUTED_VALUE"""),"chara")</f>
        <v>chara</v>
      </c>
      <c r="L123" s="246" t="str">
        <f>IFERROR(__xludf.DUMMYFUNCTION("""COMPUTED_VALUE"""),"ディフェンス")</f>
        <v>ディフェンス</v>
      </c>
      <c r="M123" s="246" t="str">
        <f>IFERROR(__xludf.DUMMYFUNCTION("""COMPUTED_VALUE"""),"dageki_1")</f>
        <v>dageki_1</v>
      </c>
      <c r="N123" s="252" t="str">
        <f>IFERROR(__xludf.DUMMYFUNCTION("""COMPUTED_VALUE"""),"Short")</f>
        <v>Short</v>
      </c>
      <c r="O123" s="246" t="str">
        <f>IFERROR(__xludf.DUMMYFUNCTION("""COMPUTED_VALUE"""),"dageki_2")</f>
        <v>dageki_2</v>
      </c>
      <c r="P123" s="246"/>
      <c r="Q123" s="246" t="str">
        <f>IFERROR(__xludf.DUMMYFUNCTION("""COMPUTED_VALUE"""),"1.10")</f>
        <v>1.10</v>
      </c>
      <c r="R123" s="246" t="str">
        <f>IFERROR(__xludf.DUMMYFUNCTION("""COMPUTED_VALUE"""),"stop無:1回目 0.28
stop無:2回目 0.70")</f>
        <v>stop無:1回目 0.28
stop無:2回目 0.70</v>
      </c>
      <c r="S123" s="246" t="str">
        <f>IFERROR(__xludf.DUMMYFUNCTION("""COMPUTED_VALUE"""),"1.90")</f>
        <v>1.90</v>
      </c>
      <c r="T123" s="246" t="str">
        <f>IFERROR(__xludf.DUMMYFUNCTION("""COMPUTED_VALUE"""),"stop無:1回目 0.50
stop無:2回目 0.83
stop無:3回目 1.16
stop無:4回目 1.50")</f>
        <v>stop無:1回目 0.50
stop無:2回目 0.83
stop無:3回目 1.16
stop無:4回目 1.50</v>
      </c>
      <c r="U123" s="246">
        <f>IFERROR(__xludf.DUMMYFUNCTION("""COMPUTED_VALUE"""),46023.0)</f>
        <v>46023</v>
      </c>
      <c r="V123" s="246">
        <f>IFERROR(__xludf.DUMMYFUNCTION("""COMPUTED_VALUE"""),390812.49998842593)</f>
        <v>390812.5</v>
      </c>
      <c r="W123" s="246" t="str">
        <f>IFERROR(__xludf.DUMMYFUNCTION("""COMPUTED_VALUE"""),"catchcopy_character_chara_osh_00601.png")</f>
        <v>catchcopy_character_chara_osh_00601.png</v>
      </c>
      <c r="X123" s="246" t="str">
        <f>IFERROR(__xludf.DUMMYFUNCTION("""COMPUTED_VALUE"""),"enemy_icon_chara_osh_00601")</f>
        <v>enemy_icon_chara_osh_00601</v>
      </c>
      <c r="Y123" s="246" t="str">
        <f>IFERROR(__xludf.DUMMYFUNCTION("""COMPUTED_VALUE"""),"boss_icon_chara_osh_00601")</f>
        <v>boss_icon_chara_osh_00601</v>
      </c>
      <c r="Z123" s="246"/>
    </row>
    <row r="124">
      <c r="A124" s="246" t="str">
        <f>IFERROR(__xludf.DUMMYFUNCTION("""COMPUTED_VALUE"""),"osh")</f>
        <v>osh</v>
      </c>
      <c r="B124" s="246" t="str">
        <f>IFERROR(__xludf.DUMMYFUNCTION("""COMPUTED_VALUE"""),"【推しの子】")</f>
        <v>【推しの子】</v>
      </c>
      <c r="C124" s="246" t="str">
        <f>IFERROR(__xludf.DUMMYFUNCTION("""COMPUTED_VALUE"""),"00701")</f>
        <v>00701</v>
      </c>
      <c r="D124" s="246" t="str">
        <f>IFERROR(__xludf.DUMMYFUNCTION("""COMPUTED_VALUE"""),"chara_osh_00701")</f>
        <v>chara_osh_00701</v>
      </c>
      <c r="E124" s="246" t="str">
        <f>IFERROR(__xludf.DUMMYFUNCTION("""COMPUTED_VALUE"""),"雨宮 吾郎")</f>
        <v>雨宮 吾郎</v>
      </c>
      <c r="F124" s="246" t="str">
        <f>IFERROR(__xludf.DUMMYFUNCTION("""COMPUTED_VALUE"""),"雨宮 吾郎")</f>
        <v>雨宮 吾郎</v>
      </c>
      <c r="G124" s="246" t="str">
        <f>IFERROR(__xludf.DUMMYFUNCTION("""COMPUTED_VALUE"""),"君の奴隷(ファン)だ")</f>
        <v>君の奴隷(ファン)だ</v>
      </c>
      <c r="H124" s="246" t="str">
        <f>IFERROR(__xludf.DUMMYFUNCTION("""COMPUTED_VALUE"""),"SR")</f>
        <v>SR</v>
      </c>
      <c r="I124" s="246" t="str">
        <f>IFERROR(__xludf.DUMMYFUNCTION("""COMPUTED_VALUE"""),"DropSR")</f>
        <v>DropSR</v>
      </c>
      <c r="J124" s="246" t="str">
        <f>IFERROR(__xludf.DUMMYFUNCTION("""COMPUTED_VALUE"""),"無")</f>
        <v>無</v>
      </c>
      <c r="K124" s="246" t="str">
        <f>IFERROR(__xludf.DUMMYFUNCTION("""COMPUTED_VALUE"""),"chara")</f>
        <v>chara</v>
      </c>
      <c r="L124" s="246" t="str">
        <f>IFERROR(__xludf.DUMMYFUNCTION("""COMPUTED_VALUE"""),"スペシャル")</f>
        <v>スペシャル</v>
      </c>
      <c r="M124" s="246" t="str">
        <f>IFERROR(__xludf.DUMMYFUNCTION("""COMPUTED_VALUE"""),"-")</f>
        <v>-</v>
      </c>
      <c r="N124" s="252"/>
      <c r="O124" s="246" t="str">
        <f>IFERROR(__xludf.DUMMYFUNCTION("""COMPUTED_VALUE"""),"-")</f>
        <v>-</v>
      </c>
      <c r="P124" s="246"/>
      <c r="Q124" s="246" t="str">
        <f>IFERROR(__xludf.DUMMYFUNCTION("""COMPUTED_VALUE"""),"-")</f>
        <v>-</v>
      </c>
      <c r="R124" s="246" t="str">
        <f>IFERROR(__xludf.DUMMYFUNCTION("""COMPUTED_VALUE"""),"-")</f>
        <v>-</v>
      </c>
      <c r="S124" s="246" t="str">
        <f>IFERROR(__xludf.DUMMYFUNCTION("""COMPUTED_VALUE"""),"2.14")</f>
        <v>2.14</v>
      </c>
      <c r="T124" s="246" t="str">
        <f>IFERROR(__xludf.DUMMYFUNCTION("""COMPUTED_VALUE"""),"stop無:0.6")</f>
        <v>stop無:0.6</v>
      </c>
      <c r="U124" s="246">
        <f>IFERROR(__xludf.DUMMYFUNCTION("""COMPUTED_VALUE"""),46023.0)</f>
        <v>46023</v>
      </c>
      <c r="V124" s="246">
        <f>IFERROR(__xludf.DUMMYFUNCTION("""COMPUTED_VALUE"""),390812.49998842593)</f>
        <v>390812.5</v>
      </c>
      <c r="W124" s="246" t="str">
        <f>IFERROR(__xludf.DUMMYFUNCTION("""COMPUTED_VALUE"""),"catchcopy_character_chara_osh_00701.png")</f>
        <v>catchcopy_character_chara_osh_00701.png</v>
      </c>
      <c r="X124" s="246" t="str">
        <f>IFERROR(__xludf.DUMMYFUNCTION("""COMPUTED_VALUE"""),"enemy_icon_chara_osh_00701")</f>
        <v>enemy_icon_chara_osh_00701</v>
      </c>
      <c r="Y124" s="246" t="str">
        <f>IFERROR(__xludf.DUMMYFUNCTION("""COMPUTED_VALUE"""),"boss_icon_chara_osh_00701")</f>
        <v>boss_icon_chara_osh_00701</v>
      </c>
      <c r="Z124" s="246"/>
    </row>
    <row r="125">
      <c r="A125" s="246" t="str">
        <f>IFERROR(__xludf.DUMMYFUNCTION("""COMPUTED_VALUE"""),"osh")</f>
        <v>osh</v>
      </c>
      <c r="B125" s="246" t="str">
        <f>IFERROR(__xludf.DUMMYFUNCTION("""COMPUTED_VALUE"""),"【推しの子】")</f>
        <v>【推しの子】</v>
      </c>
      <c r="C125" s="246" t="str">
        <f>IFERROR(__xludf.DUMMYFUNCTION("""COMPUTED_VALUE"""),"00801")</f>
        <v>00801</v>
      </c>
      <c r="D125" s="246" t="str">
        <f>IFERROR(__xludf.DUMMYFUNCTION("""COMPUTED_VALUE"""),"chara_osh_00801")</f>
        <v>chara_osh_00801</v>
      </c>
      <c r="E125" s="246" t="str">
        <f>IFERROR(__xludf.DUMMYFUNCTION("""COMPUTED_VALUE"""),"斉藤 ミヤコ")</f>
        <v>斉藤 ミヤコ</v>
      </c>
      <c r="F125" s="246" t="str">
        <f>IFERROR(__xludf.DUMMYFUNCTION("""COMPUTED_VALUE"""),"斉藤 ミヤコ")</f>
        <v>斉藤 ミヤコ</v>
      </c>
      <c r="G125" s="246" t="str">
        <f>IFERROR(__xludf.DUMMYFUNCTION("""COMPUTED_VALUE"""),"推さない 駆けない 喋らない！")</f>
        <v>推さない 駆けない 喋らない！</v>
      </c>
      <c r="H125" s="246" t="str">
        <f>IFERROR(__xludf.DUMMYFUNCTION("""COMPUTED_VALUE"""),"SSR")</f>
        <v>SSR</v>
      </c>
      <c r="I125" s="246" t="str">
        <f>IFERROR(__xludf.DUMMYFUNCTION("""COMPUTED_VALUE"""),"PremiumSSR")</f>
        <v>PremiumSSR</v>
      </c>
      <c r="J125" s="246" t="str">
        <f>IFERROR(__xludf.DUMMYFUNCTION("""COMPUTED_VALUE"""),"無")</f>
        <v>無</v>
      </c>
      <c r="K125" s="246" t="str">
        <f>IFERROR(__xludf.DUMMYFUNCTION("""COMPUTED_VALUE"""),"chara")</f>
        <v>chara</v>
      </c>
      <c r="L125" s="246" t="str">
        <f>IFERROR(__xludf.DUMMYFUNCTION("""COMPUTED_VALUE"""),"スペシャル")</f>
        <v>スペシャル</v>
      </c>
      <c r="M125" s="246" t="str">
        <f>IFERROR(__xludf.DUMMYFUNCTION("""COMPUTED_VALUE"""),"-")</f>
        <v>-</v>
      </c>
      <c r="N125" s="252"/>
      <c r="O125" s="246" t="str">
        <f>IFERROR(__xludf.DUMMYFUNCTION("""COMPUTED_VALUE"""),"-")</f>
        <v>-</v>
      </c>
      <c r="P125" s="246"/>
      <c r="Q125" s="246" t="str">
        <f>IFERROR(__xludf.DUMMYFUNCTION("""COMPUTED_VALUE"""),"-")</f>
        <v>-</v>
      </c>
      <c r="R125" s="246" t="str">
        <f>IFERROR(__xludf.DUMMYFUNCTION("""COMPUTED_VALUE"""),"-")</f>
        <v>-</v>
      </c>
      <c r="S125" s="246" t="str">
        <f>IFERROR(__xludf.DUMMYFUNCTION("""COMPUTED_VALUE"""),"3")</f>
        <v>3</v>
      </c>
      <c r="T125" s="246" t="str">
        <f>IFERROR(__xludf.DUMMYFUNCTION("""COMPUTED_VALUE"""),"stop無 : 0.66")</f>
        <v>stop無 : 0.66</v>
      </c>
      <c r="U125" s="246" t="str">
        <f>IFERROR(__xludf.DUMMYFUNCTION("""COMPUTED_VALUE"""),"ハーフアニバ想定")</f>
        <v>ハーフアニバ想定</v>
      </c>
      <c r="V125" s="246">
        <f>IFERROR(__xludf.DUMMYFUNCTION("""COMPUTED_VALUE"""),390812.49998842593)</f>
        <v>390812.5</v>
      </c>
      <c r="W125" s="246" t="str">
        <f>IFERROR(__xludf.DUMMYFUNCTION("""COMPUTED_VALUE"""),"catchcopy_character_chara_osh_00801.png")</f>
        <v>catchcopy_character_chara_osh_00801.png</v>
      </c>
      <c r="X125" s="246" t="str">
        <f>IFERROR(__xludf.DUMMYFUNCTION("""COMPUTED_VALUE"""),"enemy_icon_chara_osh_00801")</f>
        <v>enemy_icon_chara_osh_00801</v>
      </c>
      <c r="Y125" s="246" t="str">
        <f>IFERROR(__xludf.DUMMYFUNCTION("""COMPUTED_VALUE"""),"boss_icon_chara_osh_00801")</f>
        <v>boss_icon_chara_osh_00801</v>
      </c>
      <c r="Z125" s="246"/>
    </row>
    <row r="126">
      <c r="A126" s="246" t="str">
        <f>IFERROR(__xludf.DUMMYFUNCTION("""COMPUTED_VALUE"""),"you")</f>
        <v>you</v>
      </c>
      <c r="B126" s="246" t="str">
        <f>IFERROR(__xludf.DUMMYFUNCTION("""COMPUTED_VALUE"""),"幼稚園WARS")</f>
        <v>幼稚園WARS</v>
      </c>
      <c r="C126" s="246" t="str">
        <f>IFERROR(__xludf.DUMMYFUNCTION("""COMPUTED_VALUE"""),"00001")</f>
        <v>00001</v>
      </c>
      <c r="D126" s="246" t="str">
        <f>IFERROR(__xludf.DUMMYFUNCTION("""COMPUTED_VALUE"""),"chara_you_00001")</f>
        <v>chara_you_00001</v>
      </c>
      <c r="E126" s="246" t="str">
        <f>IFERROR(__xludf.DUMMYFUNCTION("""COMPUTED_VALUE"""),"リタ")</f>
        <v>リタ</v>
      </c>
      <c r="F126" s="246" t="str">
        <f>IFERROR(__xludf.DUMMYFUNCTION("""COMPUTED_VALUE"""),"元殺し屋の新人教諭 リタ")</f>
        <v>元殺し屋の新人教諭 リタ</v>
      </c>
      <c r="G126" s="246" t="str">
        <f>IFERROR(__xludf.DUMMYFUNCTION("""COMPUTED_VALUE"""),"お遊戯の時間です ")</f>
        <v>お遊戯の時間です </v>
      </c>
      <c r="H126" s="246" t="str">
        <f>IFERROR(__xludf.DUMMYFUNCTION("""COMPUTED_VALUE"""),"UR")</f>
        <v>UR</v>
      </c>
      <c r="I126" s="246" t="str">
        <f>IFERROR(__xludf.DUMMYFUNCTION("""COMPUTED_VALUE"""),"PremiumUR")</f>
        <v>PremiumUR</v>
      </c>
      <c r="J126" s="246" t="str">
        <f>IFERROR(__xludf.DUMMYFUNCTION("""COMPUTED_VALUE"""),"赤")</f>
        <v>赤</v>
      </c>
      <c r="K126" s="246" t="str">
        <f>IFERROR(__xludf.DUMMYFUNCTION("""COMPUTED_VALUE"""),"chara")</f>
        <v>chara</v>
      </c>
      <c r="L126" s="246" t="str">
        <f>IFERROR(__xludf.DUMMYFUNCTION("""COMPUTED_VALUE"""),"アタック")</f>
        <v>アタック</v>
      </c>
      <c r="M126" s="246" t="str">
        <f>IFERROR(__xludf.DUMMYFUNCTION("""COMPUTED_VALUE"""),"dageki_1")</f>
        <v>dageki_1</v>
      </c>
      <c r="N126" s="252" t="str">
        <f>IFERROR(__xludf.DUMMYFUNCTION("""COMPUTED_VALUE"""),"Middle")</f>
        <v>Middle</v>
      </c>
      <c r="O126" s="246" t="str">
        <f>IFERROR(__xludf.DUMMYFUNCTION("""COMPUTED_VALUE"""),"shageki_1")</f>
        <v>shageki_1</v>
      </c>
      <c r="P126" s="246"/>
      <c r="Q126" s="246" t="str">
        <f>IFERROR(__xludf.DUMMYFUNCTION("""COMPUTED_VALUE"""),"1.34")</f>
        <v>1.34</v>
      </c>
      <c r="R126" s="246" t="str">
        <f>IFERROR(__xludf.DUMMYFUNCTION("""COMPUTED_VALUE"""),"stop有:1回目 0.45")</f>
        <v>stop有:1回目 0.45</v>
      </c>
      <c r="S126" s="246" t="str">
        <f>IFERROR(__xludf.DUMMYFUNCTION("""COMPUTED_VALUE"""),"1.77")</f>
        <v>1.77</v>
      </c>
      <c r="T126" s="246" t="str">
        <f>IFERROR(__xludf.DUMMYFUNCTION("""COMPUTED_VALUE"""),"stop無:1回目 0.72
stop無:2回目 0.88
stop有:3回目 1.12")</f>
        <v>stop無:1回目 0.72
stop無:2回目 0.88
stop有:3回目 1.12</v>
      </c>
      <c r="U126" s="246">
        <f>IFERROR(__xludf.DUMMYFUNCTION("""COMPUTED_VALUE"""),46055.625)</f>
        <v>46055.625</v>
      </c>
      <c r="V126" s="246">
        <f>IFERROR(__xludf.DUMMYFUNCTION("""COMPUTED_VALUE"""),390812.49998842593)</f>
        <v>390812.5</v>
      </c>
      <c r="W126" s="246" t="str">
        <f>IFERROR(__xludf.DUMMYFUNCTION("""COMPUTED_VALUE"""),"catchcopy_character_chara_you_00001.png")</f>
        <v>catchcopy_character_chara_you_00001.png</v>
      </c>
      <c r="X126" s="246" t="str">
        <f>IFERROR(__xludf.DUMMYFUNCTION("""COMPUTED_VALUE"""),"enemy_icon_chara_you_00001")</f>
        <v>enemy_icon_chara_you_00001</v>
      </c>
      <c r="Y126" s="246" t="str">
        <f>IFERROR(__xludf.DUMMYFUNCTION("""COMPUTED_VALUE"""),"boss_icon_chara_you_00001")</f>
        <v>boss_icon_chara_you_00001</v>
      </c>
      <c r="Z126" s="246"/>
    </row>
    <row r="127">
      <c r="A127" s="246" t="str">
        <f>IFERROR(__xludf.DUMMYFUNCTION("""COMPUTED_VALUE"""),"you")</f>
        <v>you</v>
      </c>
      <c r="B127" s="246" t="str">
        <f>IFERROR(__xludf.DUMMYFUNCTION("""COMPUTED_VALUE"""),"幼稚園WARS")</f>
        <v>幼稚園WARS</v>
      </c>
      <c r="C127" s="246" t="str">
        <f>IFERROR(__xludf.DUMMYFUNCTION("""COMPUTED_VALUE"""),"00002")</f>
        <v>00002</v>
      </c>
      <c r="D127" s="246" t="str">
        <f>IFERROR(__xludf.DUMMYFUNCTION("""COMPUTED_VALUE"""),"chara_you_00002")</f>
        <v>chara_you_00002</v>
      </c>
      <c r="E127" s="246" t="str">
        <f>IFERROR(__xludf.DUMMYFUNCTION("""COMPUTED_VALUE"""),"リタ（ドレスアップ）")</f>
        <v>リタ（ドレスアップ）</v>
      </c>
      <c r="F127" s="246" t="str">
        <f>IFERROR(__xludf.DUMMYFUNCTION("""COMPUTED_VALUE"""),"選定中")</f>
        <v>選定中</v>
      </c>
      <c r="G127" s="246" t="str">
        <f>IFERROR(__xludf.DUMMYFUNCTION("""COMPUTED_VALUE"""),"選定中")</f>
        <v>選定中</v>
      </c>
      <c r="H127" s="246" t="str">
        <f>IFERROR(__xludf.DUMMYFUNCTION("""COMPUTED_VALUE"""),"SR")</f>
        <v>SR</v>
      </c>
      <c r="I127" s="246" t="str">
        <f>IFERROR(__xludf.DUMMYFUNCTION("""COMPUTED_VALUE"""),"DropSR")</f>
        <v>DropSR</v>
      </c>
      <c r="J127" s="246" t="str">
        <f>IFERROR(__xludf.DUMMYFUNCTION("""COMPUTED_VALUE"""),"赤")</f>
        <v>赤</v>
      </c>
      <c r="K127" s="246" t="str">
        <f>IFERROR(__xludf.DUMMYFUNCTION("""COMPUTED_VALUE"""),"chara")</f>
        <v>chara</v>
      </c>
      <c r="L127" s="246" t="str">
        <f>IFERROR(__xludf.DUMMYFUNCTION("""COMPUTED_VALUE"""),"アタック")</f>
        <v>アタック</v>
      </c>
      <c r="M127" s="246"/>
      <c r="N127" s="252"/>
      <c r="O127" s="246"/>
      <c r="P127" s="246"/>
      <c r="Q127" s="246"/>
      <c r="R127" s="246"/>
      <c r="S127" s="246"/>
      <c r="T127" s="246"/>
      <c r="U127" s="246"/>
      <c r="V127" s="246"/>
      <c r="W127" s="246"/>
      <c r="X127" s="246"/>
      <c r="Y127" s="246"/>
      <c r="Z127" s="246"/>
    </row>
    <row r="128">
      <c r="A128" s="246" t="str">
        <f>IFERROR(__xludf.DUMMYFUNCTION("""COMPUTED_VALUE"""),"you")</f>
        <v>you</v>
      </c>
      <c r="B128" s="246" t="str">
        <f>IFERROR(__xludf.DUMMYFUNCTION("""COMPUTED_VALUE"""),"幼稚園WARS")</f>
        <v>幼稚園WARS</v>
      </c>
      <c r="C128" s="246" t="str">
        <f>IFERROR(__xludf.DUMMYFUNCTION("""COMPUTED_VALUE"""),"00101")</f>
        <v>00101</v>
      </c>
      <c r="D128" s="246" t="str">
        <f>IFERROR(__xludf.DUMMYFUNCTION("""COMPUTED_VALUE"""),"chara_you_00101")</f>
        <v>chara_you_00101</v>
      </c>
      <c r="E128" s="246" t="str">
        <f>IFERROR(__xludf.DUMMYFUNCTION("""COMPUTED_VALUE"""),"ルーク")</f>
        <v>ルーク</v>
      </c>
      <c r="F128" s="246" t="str">
        <f>IFERROR(__xludf.DUMMYFUNCTION("""COMPUTED_VALUE"""),"ルーク")</f>
        <v>ルーク</v>
      </c>
      <c r="G128" s="246" t="str">
        <f>IFERROR(__xludf.DUMMYFUNCTION("""COMPUTED_VALUE"""),"さよならのお時間だ")</f>
        <v>さよならのお時間だ</v>
      </c>
      <c r="H128" s="246" t="str">
        <f>IFERROR(__xludf.DUMMYFUNCTION("""COMPUTED_VALUE"""),"SSR")</f>
        <v>SSR</v>
      </c>
      <c r="I128" s="246" t="str">
        <f>IFERROR(__xludf.DUMMYFUNCTION("""COMPUTED_VALUE"""),"PremiumSSR")</f>
        <v>PremiumSSR</v>
      </c>
      <c r="J128" s="246" t="str">
        <f>IFERROR(__xludf.DUMMYFUNCTION("""COMPUTED_VALUE"""),"黄")</f>
        <v>黄</v>
      </c>
      <c r="K128" s="246" t="str">
        <f>IFERROR(__xludf.DUMMYFUNCTION("""COMPUTED_VALUE"""),"chara")</f>
        <v>chara</v>
      </c>
      <c r="L128" s="246" t="str">
        <f>IFERROR(__xludf.DUMMYFUNCTION("""COMPUTED_VALUE"""),"テクニカル")</f>
        <v>テクニカル</v>
      </c>
      <c r="M128" s="246" t="str">
        <f>IFERROR(__xludf.DUMMYFUNCTION("""COMPUTED_VALUE"""),"dageki_1")</f>
        <v>dageki_1</v>
      </c>
      <c r="N128" s="252" t="str">
        <f>IFERROR(__xludf.DUMMYFUNCTION("""COMPUTED_VALUE"""),"Short")</f>
        <v>Short</v>
      </c>
      <c r="O128" s="246" t="str">
        <f>IFERROR(__xludf.DUMMYFUNCTION("""COMPUTED_VALUE"""),"shageki_1")</f>
        <v>shageki_1</v>
      </c>
      <c r="P128" s="246"/>
      <c r="Q128" s="246" t="str">
        <f>IFERROR(__xludf.DUMMYFUNCTION("""COMPUTED_VALUE"""),"1.64")</f>
        <v>1.64</v>
      </c>
      <c r="R128" s="246" t="str">
        <f>IFERROR(__xludf.DUMMYFUNCTION("""COMPUTED_VALUE"""),"stop有:1回目 0.65")</f>
        <v>stop有:1回目 0.65</v>
      </c>
      <c r="S128" s="246" t="str">
        <f>IFERROR(__xludf.DUMMYFUNCTION("""COMPUTED_VALUE"""),"3.57")</f>
        <v>3.57</v>
      </c>
      <c r="T128" s="246" t="str">
        <f>IFERROR(__xludf.DUMMYFUNCTION("""COMPUTED_VALUE"""),"stop無:1回目 0.97
stop無:2回目 1.08
stop無:3回目 1.2
stop無:4回目 1.32
stop有:5回目 1.48")</f>
        <v>stop無:1回目 0.97
stop無:2回目 1.08
stop無:3回目 1.2
stop無:4回目 1.32
stop有:5回目 1.48</v>
      </c>
      <c r="U128" s="246">
        <f>IFERROR(__xludf.DUMMYFUNCTION("""COMPUTED_VALUE"""),46055.625)</f>
        <v>46055.625</v>
      </c>
      <c r="V128" s="246">
        <f>IFERROR(__xludf.DUMMYFUNCTION("""COMPUTED_VALUE"""),390812.49998842593)</f>
        <v>390812.5</v>
      </c>
      <c r="W128" s="246" t="str">
        <f>IFERROR(__xludf.DUMMYFUNCTION("""COMPUTED_VALUE"""),"catchcopy_character_chara_you_00101.png")</f>
        <v>catchcopy_character_chara_you_00101.png</v>
      </c>
      <c r="X128" s="246" t="str">
        <f>IFERROR(__xludf.DUMMYFUNCTION("""COMPUTED_VALUE"""),"enemy_icon_chara_you_00101")</f>
        <v>enemy_icon_chara_you_00101</v>
      </c>
      <c r="Y128" s="246" t="str">
        <f>IFERROR(__xludf.DUMMYFUNCTION("""COMPUTED_VALUE"""),"boss_icon_chara_you_00101")</f>
        <v>boss_icon_chara_you_00101</v>
      </c>
      <c r="Z128" s="246"/>
    </row>
    <row r="129">
      <c r="A129" s="246" t="str">
        <f>IFERROR(__xludf.DUMMYFUNCTION("""COMPUTED_VALUE"""),"you")</f>
        <v>you</v>
      </c>
      <c r="B129" s="246" t="str">
        <f>IFERROR(__xludf.DUMMYFUNCTION("""COMPUTED_VALUE"""),"幼稚園WARS")</f>
        <v>幼稚園WARS</v>
      </c>
      <c r="C129" s="246" t="str">
        <f>IFERROR(__xludf.DUMMYFUNCTION("""COMPUTED_VALUE"""),"00201")</f>
        <v>00201</v>
      </c>
      <c r="D129" s="246" t="str">
        <f>IFERROR(__xludf.DUMMYFUNCTION("""COMPUTED_VALUE"""),"chara_you_00201")</f>
        <v>chara_you_00201</v>
      </c>
      <c r="E129" s="246" t="str">
        <f>IFERROR(__xludf.DUMMYFUNCTION("""COMPUTED_VALUE"""),"ダグ")</f>
        <v>ダグ</v>
      </c>
      <c r="F129" s="246" t="str">
        <f>IFERROR(__xludf.DUMMYFUNCTION("""COMPUTED_VALUE"""),"ダグ")</f>
        <v>ダグ</v>
      </c>
      <c r="G129" s="246" t="str">
        <f>IFERROR(__xludf.DUMMYFUNCTION("""COMPUTED_VALUE"""),"これで貸しはチャラだ ")</f>
        <v>これで貸しはチャラだ </v>
      </c>
      <c r="H129" s="246" t="str">
        <f>IFERROR(__xludf.DUMMYFUNCTION("""COMPUTED_VALUE"""),"SR")</f>
        <v>SR</v>
      </c>
      <c r="I129" s="246" t="str">
        <f>IFERROR(__xludf.DUMMYFUNCTION("""COMPUTED_VALUE"""),"DropSR")</f>
        <v>DropSR</v>
      </c>
      <c r="J129" s="246" t="str">
        <f>IFERROR(__xludf.DUMMYFUNCTION("""COMPUTED_VALUE"""),"緑")</f>
        <v>緑</v>
      </c>
      <c r="K129" s="246" t="str">
        <f>IFERROR(__xludf.DUMMYFUNCTION("""COMPUTED_VALUE"""),"chara")</f>
        <v>chara</v>
      </c>
      <c r="L129" s="246" t="str">
        <f>IFERROR(__xludf.DUMMYFUNCTION("""COMPUTED_VALUE"""),"テクニカル")</f>
        <v>テクニカル</v>
      </c>
      <c r="M129" s="246" t="str">
        <f>IFERROR(__xludf.DUMMYFUNCTION("""COMPUTED_VALUE"""),"shageki_1")</f>
        <v>shageki_1</v>
      </c>
      <c r="N129" s="252" t="str">
        <f>IFERROR(__xludf.DUMMYFUNCTION("""COMPUTED_VALUE"""),"Middle")</f>
        <v>Middle</v>
      </c>
      <c r="O129" s="246" t="str">
        <f>IFERROR(__xludf.DUMMYFUNCTION("""COMPUTED_VALUE"""),"shageki_1")</f>
        <v>shageki_1</v>
      </c>
      <c r="P129" s="246"/>
      <c r="Q129" s="246" t="str">
        <f>IFERROR(__xludf.DUMMYFUNCTION("""COMPUTED_VALUE"""),"1.67")</f>
        <v>1.67</v>
      </c>
      <c r="R129" s="246" t="str">
        <f>IFERROR(__xludf.DUMMYFUNCTION("""COMPUTED_VALUE"""),"stop有:1回目 0.63")</f>
        <v>stop有:1回目 0.63</v>
      </c>
      <c r="S129" s="246" t="str">
        <f>IFERROR(__xludf.DUMMYFUNCTION("""COMPUTED_VALUE"""),"3.17")</f>
        <v>3.17</v>
      </c>
      <c r="T129" s="246" t="str">
        <f>IFERROR(__xludf.DUMMYFUNCTION("""COMPUTED_VALUE"""),"stop無:1回目 1.00
stop無:2回目 1.26
stop無:3回目 1.50
stop有:4回目 1.70")</f>
        <v>stop無:1回目 1.00
stop無:2回目 1.26
stop無:3回目 1.50
stop有:4回目 1.70</v>
      </c>
      <c r="U129" s="246">
        <f>IFERROR(__xludf.DUMMYFUNCTION("""COMPUTED_VALUE"""),46055.625)</f>
        <v>46055.625</v>
      </c>
      <c r="V129" s="246">
        <f>IFERROR(__xludf.DUMMYFUNCTION("""COMPUTED_VALUE"""),390812.49998842593)</f>
        <v>390812.5</v>
      </c>
      <c r="W129" s="246" t="str">
        <f>IFERROR(__xludf.DUMMYFUNCTION("""COMPUTED_VALUE"""),"catchcopy_character_chara_you_00201.png")</f>
        <v>catchcopy_character_chara_you_00201.png</v>
      </c>
      <c r="X129" s="246" t="str">
        <f>IFERROR(__xludf.DUMMYFUNCTION("""COMPUTED_VALUE"""),"enemy_icon_chara_you_00201")</f>
        <v>enemy_icon_chara_you_00201</v>
      </c>
      <c r="Y129" s="246" t="str">
        <f>IFERROR(__xludf.DUMMYFUNCTION("""COMPUTED_VALUE"""),"boss_icon_chara_you_00201")</f>
        <v>boss_icon_chara_you_00201</v>
      </c>
      <c r="Z129" s="246"/>
    </row>
    <row r="130">
      <c r="A130" s="246" t="str">
        <f>IFERROR(__xludf.DUMMYFUNCTION("""COMPUTED_VALUE"""),"you")</f>
        <v>you</v>
      </c>
      <c r="B130" s="246" t="str">
        <f>IFERROR(__xludf.DUMMYFUNCTION("""COMPUTED_VALUE"""),"幼稚園WARS")</f>
        <v>幼稚園WARS</v>
      </c>
      <c r="C130" s="246" t="str">
        <f>IFERROR(__xludf.DUMMYFUNCTION("""COMPUTED_VALUE"""),"00301")</f>
        <v>00301</v>
      </c>
      <c r="D130" s="246" t="str">
        <f>IFERROR(__xludf.DUMMYFUNCTION("""COMPUTED_VALUE"""),"chara_you_00301")</f>
        <v>chara_you_00301</v>
      </c>
      <c r="E130" s="246" t="str">
        <f>IFERROR(__xludf.DUMMYFUNCTION("""COMPUTED_VALUE"""),"ハナ")</f>
        <v>ハナ</v>
      </c>
      <c r="F130" s="246" t="str">
        <f>IFERROR(__xludf.DUMMYFUNCTION("""COMPUTED_VALUE"""),"ハナ")</f>
        <v>ハナ</v>
      </c>
      <c r="G130" s="246" t="str">
        <f>IFERROR(__xludf.DUMMYFUNCTION("""COMPUTED_VALUE"""),"大丈夫だ")</f>
        <v>大丈夫だ</v>
      </c>
      <c r="H130" s="246" t="str">
        <f>IFERROR(__xludf.DUMMYFUNCTION("""COMPUTED_VALUE"""),"SR")</f>
        <v>SR</v>
      </c>
      <c r="I130" s="246" t="str">
        <f>IFERROR(__xludf.DUMMYFUNCTION("""COMPUTED_VALUE"""),"DropSR")</f>
        <v>DropSR</v>
      </c>
      <c r="J130" s="246" t="str">
        <f>IFERROR(__xludf.DUMMYFUNCTION("""COMPUTED_VALUE"""),"青")</f>
        <v>青</v>
      </c>
      <c r="K130" s="246" t="str">
        <f>IFERROR(__xludf.DUMMYFUNCTION("""COMPUTED_VALUE"""),"chara")</f>
        <v>chara</v>
      </c>
      <c r="L130" s="246" t="str">
        <f>IFERROR(__xludf.DUMMYFUNCTION("""COMPUTED_VALUE"""),"アタック")</f>
        <v>アタック</v>
      </c>
      <c r="M130" s="246" t="str">
        <f>IFERROR(__xludf.DUMMYFUNCTION("""COMPUTED_VALUE"""),"dageki_1")</f>
        <v>dageki_1</v>
      </c>
      <c r="N130" s="252" t="str">
        <f>IFERROR(__xludf.DUMMYFUNCTION("""COMPUTED_VALUE"""),"Short")</f>
        <v>Short</v>
      </c>
      <c r="O130" s="246" t="str">
        <f>IFERROR(__xludf.DUMMYFUNCTION("""COMPUTED_VALUE"""),"shageki_1")</f>
        <v>shageki_1</v>
      </c>
      <c r="P130" s="246"/>
      <c r="Q130" s="246" t="str">
        <f>IFERROR(__xludf.DUMMYFUNCTION("""COMPUTED_VALUE"""),"1.77")</f>
        <v>1.77</v>
      </c>
      <c r="R130" s="246" t="str">
        <f>IFERROR(__xludf.DUMMYFUNCTION("""COMPUTED_VALUE"""),"stop有:1回目 0.7")</f>
        <v>stop有:1回目 0.7</v>
      </c>
      <c r="S130" s="246" t="str">
        <f>IFERROR(__xludf.DUMMYFUNCTION("""COMPUTED_VALUE"""),"3.67")</f>
        <v>3.67</v>
      </c>
      <c r="T130" s="246" t="str">
        <f>IFERROR(__xludf.DUMMYFUNCTION("""COMPUTED_VALUE"""),"stop有 :1回目 2.2")</f>
        <v>stop有 :1回目 2.2</v>
      </c>
      <c r="U130" s="246">
        <f>IFERROR(__xludf.DUMMYFUNCTION("""COMPUTED_VALUE"""),46055.625)</f>
        <v>46055.625</v>
      </c>
      <c r="V130" s="246">
        <f>IFERROR(__xludf.DUMMYFUNCTION("""COMPUTED_VALUE"""),390812.49998842593)</f>
        <v>390812.5</v>
      </c>
      <c r="W130" s="246" t="str">
        <f>IFERROR(__xludf.DUMMYFUNCTION("""COMPUTED_VALUE"""),"catchcopy_character_chara_you_00301.png")</f>
        <v>catchcopy_character_chara_you_00301.png</v>
      </c>
      <c r="X130" s="246" t="str">
        <f>IFERROR(__xludf.DUMMYFUNCTION("""COMPUTED_VALUE"""),"enemy_icon_chara_you_00301")</f>
        <v>enemy_icon_chara_you_00301</v>
      </c>
      <c r="Y130" s="246" t="str">
        <f>IFERROR(__xludf.DUMMYFUNCTION("""COMPUTED_VALUE"""),"boss_icon_chara_you_00301")</f>
        <v>boss_icon_chara_you_00301</v>
      </c>
      <c r="Z130" s="246"/>
    </row>
    <row r="131">
      <c r="A131" s="246" t="str">
        <f>IFERROR(__xludf.DUMMYFUNCTION("""COMPUTED_VALUE"""),"kim")</f>
        <v>kim</v>
      </c>
      <c r="B131" s="246" t="str">
        <f>IFERROR(__xludf.DUMMYFUNCTION("""COMPUTED_VALUE"""),"君のことが大大大大大好きな100人の彼女")</f>
        <v>君のことが大大大大大好きな100人の彼女</v>
      </c>
      <c r="C131" s="246" t="str">
        <f>IFERROR(__xludf.DUMMYFUNCTION("""COMPUTED_VALUE"""),"00001")</f>
        <v>00001</v>
      </c>
      <c r="D131" s="246" t="str">
        <f>IFERROR(__xludf.DUMMYFUNCTION("""COMPUTED_VALUE"""),"chara_kim_00001")</f>
        <v>chara_kim_00001</v>
      </c>
      <c r="E131" s="246" t="str">
        <f>IFERROR(__xludf.DUMMYFUNCTION("""COMPUTED_VALUE"""),"花園羽々里")</f>
        <v>花園羽々里</v>
      </c>
      <c r="F131" s="246" t="str">
        <f>IFERROR(__xludf.DUMMYFUNCTION("""COMPUTED_VALUE"""),"溢れる母性 花園 羽々里")</f>
        <v>溢れる母性 花園 羽々里</v>
      </c>
      <c r="G131" s="246" t="str">
        <f>IFERROR(__xludf.DUMMYFUNCTION("""COMPUTED_VALUE"""),"私と付き合ってちょうだい!!")</f>
        <v>私と付き合ってちょうだい!!</v>
      </c>
      <c r="H131" s="246" t="str">
        <f>IFERROR(__xludf.DUMMYFUNCTION("""COMPUTED_VALUE"""),"UR")</f>
        <v>UR</v>
      </c>
      <c r="I131" s="246" t="str">
        <f>IFERROR(__xludf.DUMMYFUNCTION("""COMPUTED_VALUE"""),"PremiumUR")</f>
        <v>PremiumUR</v>
      </c>
      <c r="J131" s="246" t="str">
        <f>IFERROR(__xludf.DUMMYFUNCTION("""COMPUTED_VALUE"""),"青")</f>
        <v>青</v>
      </c>
      <c r="K131" s="246" t="str">
        <f>IFERROR(__xludf.DUMMYFUNCTION("""COMPUTED_VALUE"""),"chara")</f>
        <v>chara</v>
      </c>
      <c r="L131" s="246" t="str">
        <f>IFERROR(__xludf.DUMMYFUNCTION("""COMPUTED_VALUE"""),"ディフェンス")</f>
        <v>ディフェンス</v>
      </c>
      <c r="M131" s="246" t="str">
        <f>IFERROR(__xludf.DUMMYFUNCTION("""COMPUTED_VALUE"""),"dageki_1")</f>
        <v>dageki_1</v>
      </c>
      <c r="N131" s="252"/>
      <c r="O131" s="246" t="str">
        <f>IFERROR(__xludf.DUMMYFUNCTION("""COMPUTED_VALUE"""),"dageki_1")</f>
        <v>dageki_1</v>
      </c>
      <c r="P131" s="246"/>
      <c r="Q131" s="246" t="str">
        <f>IFERROR(__xludf.DUMMYFUNCTION("""COMPUTED_VALUE"""),"1.3")</f>
        <v>1.3</v>
      </c>
      <c r="R131" s="246" t="str">
        <f>IFERROR(__xludf.DUMMYFUNCTION("""COMPUTED_VALUE"""),"stop有:1回目 0.67")</f>
        <v>stop有:1回目 0.67</v>
      </c>
      <c r="S131" s="246" t="str">
        <f>IFERROR(__xludf.DUMMYFUNCTION("""COMPUTED_VALUE"""),"2.5")</f>
        <v>2.5</v>
      </c>
      <c r="T131" s="246" t="str">
        <f>IFERROR(__xludf.DUMMYFUNCTION("""COMPUTED_VALUE"""),"stop無:1回目 0.63
stop無:2回目 0.8
stop無:3回目 0.99
stop無:4回目 1.2
stop有:5回目 1.60")</f>
        <v>stop無:1回目 0.63
stop無:2回目 0.8
stop無:3回目 0.99
stop無:4回目 1.2
stop有:5回目 1.60</v>
      </c>
      <c r="U131" s="246" t="str">
        <f>IFERROR(__xludf.DUMMYFUNCTION("""COMPUTED_VALUE"""),"2026/02中旬")</f>
        <v>2026/02中旬</v>
      </c>
      <c r="V131" s="246">
        <f>IFERROR(__xludf.DUMMYFUNCTION("""COMPUTED_VALUE"""),390812.49998842593)</f>
        <v>390812.5</v>
      </c>
      <c r="W131" s="246" t="str">
        <f>IFERROR(__xludf.DUMMYFUNCTION("""COMPUTED_VALUE"""),"catchcopy_character_chara_kim_00001.png")</f>
        <v>catchcopy_character_chara_kim_00001.png</v>
      </c>
      <c r="X131" s="246" t="str">
        <f>IFERROR(__xludf.DUMMYFUNCTION("""COMPUTED_VALUE"""),"enemy_icon_chara_kim_00001")</f>
        <v>enemy_icon_chara_kim_00001</v>
      </c>
      <c r="Y131" s="246" t="str">
        <f>IFERROR(__xludf.DUMMYFUNCTION("""COMPUTED_VALUE"""),"boss_icon_chara_kim_00001")</f>
        <v>boss_icon_chara_kim_00001</v>
      </c>
      <c r="Z131" s="246"/>
    </row>
    <row r="132">
      <c r="A132" s="246" t="str">
        <f>IFERROR(__xludf.DUMMYFUNCTION("""COMPUTED_VALUE"""),"kim")</f>
        <v>kim</v>
      </c>
      <c r="B132" s="246" t="str">
        <f>IFERROR(__xludf.DUMMYFUNCTION("""COMPUTED_VALUE"""),"君のことが大大大大大好きな100人の彼女")</f>
        <v>君のことが大大大大大好きな100人の彼女</v>
      </c>
      <c r="C132" s="246" t="str">
        <f>IFERROR(__xludf.DUMMYFUNCTION("""COMPUTED_VALUE"""),"00101")</f>
        <v>00101</v>
      </c>
      <c r="D132" s="246" t="str">
        <f>IFERROR(__xludf.DUMMYFUNCTION("""COMPUTED_VALUE"""),"chara_kim_00101")</f>
        <v>chara_kim_00101</v>
      </c>
      <c r="E132" s="246" t="str">
        <f>IFERROR(__xludf.DUMMYFUNCTION("""COMPUTED_VALUE"""),"花園羽香里")</f>
        <v>花園羽香里</v>
      </c>
      <c r="F132" s="246" t="str">
        <f>IFERROR(__xludf.DUMMYFUNCTION("""COMPUTED_VALUE"""),"花園 羽香里")</f>
        <v>花園 羽香里</v>
      </c>
      <c r="G132" s="246" t="str">
        <f>IFERROR(__xludf.DUMMYFUNCTION("""COMPUTED_VALUE"""),"付き合ってください……！")</f>
        <v>付き合ってください……！</v>
      </c>
      <c r="H132" s="246" t="str">
        <f>IFERROR(__xludf.DUMMYFUNCTION("""COMPUTED_VALUE"""),"SSR")</f>
        <v>SSR</v>
      </c>
      <c r="I132" s="246" t="str">
        <f>IFERROR(__xludf.DUMMYFUNCTION("""COMPUTED_VALUE"""),"PremiumSSR")</f>
        <v>PremiumSSR</v>
      </c>
      <c r="J132" s="246" t="str">
        <f>IFERROR(__xludf.DUMMYFUNCTION("""COMPUTED_VALUE"""),"緑")</f>
        <v>緑</v>
      </c>
      <c r="K132" s="246" t="str">
        <f>IFERROR(__xludf.DUMMYFUNCTION("""COMPUTED_VALUE"""),"chara")</f>
        <v>chara</v>
      </c>
      <c r="L132" s="246" t="str">
        <f>IFERROR(__xludf.DUMMYFUNCTION("""COMPUTED_VALUE"""),"アタック")</f>
        <v>アタック</v>
      </c>
      <c r="M132" s="246" t="str">
        <f>IFERROR(__xludf.DUMMYFUNCTION("""COMPUTED_VALUE"""),"dageki_1")</f>
        <v>dageki_1</v>
      </c>
      <c r="N132" s="252"/>
      <c r="O132" s="246" t="str">
        <f>IFERROR(__xludf.DUMMYFUNCTION("""COMPUTED_VALUE"""),"dageki_1")</f>
        <v>dageki_1</v>
      </c>
      <c r="P132" s="246"/>
      <c r="Q132" s="246" t="str">
        <f>IFERROR(__xludf.DUMMYFUNCTION("""COMPUTED_VALUE"""),"1.23")</f>
        <v>1.23</v>
      </c>
      <c r="R132" s="246" t="str">
        <f>IFERROR(__xludf.DUMMYFUNCTION("""COMPUTED_VALUE"""),"stop有:1回目 0.25")</f>
        <v>stop有:1回目 0.25</v>
      </c>
      <c r="S132" s="246" t="str">
        <f>IFERROR(__xludf.DUMMYFUNCTION("""COMPUTED_VALUE"""),"3.5")</f>
        <v>3.5</v>
      </c>
      <c r="T132" s="246" t="str">
        <f>IFERROR(__xludf.DUMMYFUNCTION("""COMPUTED_VALUE"""),"stop無:1回目 1.11
stop無:2回目 1.33
stop無:3回目 1.53
stop無:4回目 1.75
stop有:5回目 1.93")</f>
        <v>stop無:1回目 1.11
stop無:2回目 1.33
stop無:3回目 1.53
stop無:4回目 1.75
stop有:5回目 1.93</v>
      </c>
      <c r="U132" s="246" t="str">
        <f>IFERROR(__xludf.DUMMYFUNCTION("""COMPUTED_VALUE"""),"2026/02中旬")</f>
        <v>2026/02中旬</v>
      </c>
      <c r="V132" s="246">
        <f>IFERROR(__xludf.DUMMYFUNCTION("""COMPUTED_VALUE"""),390812.49998842593)</f>
        <v>390812.5</v>
      </c>
      <c r="W132" s="246" t="str">
        <f>IFERROR(__xludf.DUMMYFUNCTION("""COMPUTED_VALUE"""),"catchcopy_character_chara_kim_00101.png")</f>
        <v>catchcopy_character_chara_kim_00101.png</v>
      </c>
      <c r="X132" s="246" t="str">
        <f>IFERROR(__xludf.DUMMYFUNCTION("""COMPUTED_VALUE"""),"enemy_icon_chara_kim_00101")</f>
        <v>enemy_icon_chara_kim_00101</v>
      </c>
      <c r="Y132" s="246" t="str">
        <f>IFERROR(__xludf.DUMMYFUNCTION("""COMPUTED_VALUE"""),"boss_icon_chara_kim_00101")</f>
        <v>boss_icon_chara_kim_00101</v>
      </c>
      <c r="Z132" s="246"/>
    </row>
    <row r="133">
      <c r="A133" s="246" t="str">
        <f>IFERROR(__xludf.DUMMYFUNCTION("""COMPUTED_VALUE"""),"kim")</f>
        <v>kim</v>
      </c>
      <c r="B133" s="246" t="str">
        <f>IFERROR(__xludf.DUMMYFUNCTION("""COMPUTED_VALUE"""),"君のことが大大大大大好きな100人の彼女")</f>
        <v>君のことが大大大大大好きな100人の彼女</v>
      </c>
      <c r="C133" s="246" t="str">
        <f>IFERROR(__xludf.DUMMYFUNCTION("""COMPUTED_VALUE"""),"00201")</f>
        <v>00201</v>
      </c>
      <c r="D133" s="246" t="str">
        <f>IFERROR(__xludf.DUMMYFUNCTION("""COMPUTED_VALUE"""),"chara_kim_00201")</f>
        <v>chara_kim_00201</v>
      </c>
      <c r="E133" s="246" t="str">
        <f>IFERROR(__xludf.DUMMYFUNCTION("""COMPUTED_VALUE"""),"院田唐音")</f>
        <v>院田唐音</v>
      </c>
      <c r="F133" s="246" t="str">
        <f>IFERROR(__xludf.DUMMYFUNCTION("""COMPUTED_VALUE"""),"院田 唐音")</f>
        <v>院田 唐音</v>
      </c>
      <c r="G133" s="246" t="str">
        <f>IFERROR(__xludf.DUMMYFUNCTION("""COMPUTED_VALUE"""),"付き合ってください……！")</f>
        <v>付き合ってください……！</v>
      </c>
      <c r="H133" s="246" t="str">
        <f>IFERROR(__xludf.DUMMYFUNCTION("""COMPUTED_VALUE"""),"SSR")</f>
        <v>SSR</v>
      </c>
      <c r="I133" s="246" t="str">
        <f>IFERROR(__xludf.DUMMYFUNCTION("""COMPUTED_VALUE"""),"PremiumSSR")</f>
        <v>PremiumSSR</v>
      </c>
      <c r="J133" s="246" t="str">
        <f>IFERROR(__xludf.DUMMYFUNCTION("""COMPUTED_VALUE"""),"赤")</f>
        <v>赤</v>
      </c>
      <c r="K133" s="246" t="str">
        <f>IFERROR(__xludf.DUMMYFUNCTION("""COMPUTED_VALUE"""),"chara")</f>
        <v>chara</v>
      </c>
      <c r="L133" s="246" t="str">
        <f>IFERROR(__xludf.DUMMYFUNCTION("""COMPUTED_VALUE"""),"テクニカル")</f>
        <v>テクニカル</v>
      </c>
      <c r="M133" s="246" t="str">
        <f>IFERROR(__xludf.DUMMYFUNCTION("""COMPUTED_VALUE"""),"dageki_1")</f>
        <v>dageki_1</v>
      </c>
      <c r="N133" s="252" t="str">
        <f>IFERROR(__xludf.DUMMYFUNCTION("""COMPUTED_VALUE"""),"Short")</f>
        <v>Short</v>
      </c>
      <c r="O133" s="246" t="str">
        <f>IFERROR(__xludf.DUMMYFUNCTION("""COMPUTED_VALUE"""),"dageki_1")</f>
        <v>dageki_1</v>
      </c>
      <c r="P133" s="246"/>
      <c r="Q133" s="246" t="str">
        <f>IFERROR(__xludf.DUMMYFUNCTION("""COMPUTED_VALUE"""),"1.37")</f>
        <v>1.37</v>
      </c>
      <c r="R133" s="246" t="str">
        <f>IFERROR(__xludf.DUMMYFUNCTION("""COMPUTED_VALUE"""),"stop有:1回目 0.2")</f>
        <v>stop有:1回目 0.2</v>
      </c>
      <c r="S133" s="246" t="str">
        <f>IFERROR(__xludf.DUMMYFUNCTION("""COMPUTED_VALUE"""),"2.4")</f>
        <v>2.4</v>
      </c>
      <c r="T133" s="246" t="str">
        <f>IFERROR(__xludf.DUMMYFUNCTION("""COMPUTED_VALUE"""),"stop無 :1回目 1.2")</f>
        <v>stop無 :1回目 1.2</v>
      </c>
      <c r="U133" s="246" t="str">
        <f>IFERROR(__xludf.DUMMYFUNCTION("""COMPUTED_VALUE"""),"2026/02中旬")</f>
        <v>2026/02中旬</v>
      </c>
      <c r="V133" s="246">
        <f>IFERROR(__xludf.DUMMYFUNCTION("""COMPUTED_VALUE"""),390812.49998842593)</f>
        <v>390812.5</v>
      </c>
      <c r="W133" s="246" t="str">
        <f>IFERROR(__xludf.DUMMYFUNCTION("""COMPUTED_VALUE"""),"catchcopy_character_chara_kim_00201.png")</f>
        <v>catchcopy_character_chara_kim_00201.png</v>
      </c>
      <c r="X133" s="246" t="str">
        <f>IFERROR(__xludf.DUMMYFUNCTION("""COMPUTED_VALUE"""),"enemy_icon_chara_kim_00201")</f>
        <v>enemy_icon_chara_kim_00201</v>
      </c>
      <c r="Y133" s="246" t="str">
        <f>IFERROR(__xludf.DUMMYFUNCTION("""COMPUTED_VALUE"""),"boss_icon_chara_kim_00201")</f>
        <v>boss_icon_chara_kim_00201</v>
      </c>
      <c r="Z133" s="246"/>
    </row>
    <row r="134">
      <c r="A134" s="246" t="str">
        <f>IFERROR(__xludf.DUMMYFUNCTION("""COMPUTED_VALUE"""),"kim")</f>
        <v>kim</v>
      </c>
      <c r="B134" s="246" t="str">
        <f>IFERROR(__xludf.DUMMYFUNCTION("""COMPUTED_VALUE"""),"君のことが大大大大大好きな100人の彼女")</f>
        <v>君のことが大大大大大好きな100人の彼女</v>
      </c>
      <c r="C134" s="246" t="str">
        <f>IFERROR(__xludf.DUMMYFUNCTION("""COMPUTED_VALUE"""),"00301")</f>
        <v>00301</v>
      </c>
      <c r="D134" s="246" t="str">
        <f>IFERROR(__xludf.DUMMYFUNCTION("""COMPUTED_VALUE"""),"chara_kim_00301")</f>
        <v>chara_kim_00301</v>
      </c>
      <c r="E134" s="246" t="str">
        <f>IFERROR(__xludf.DUMMYFUNCTION("""COMPUTED_VALUE"""),"好本 静")</f>
        <v>好本 静</v>
      </c>
      <c r="F134" s="246" t="str">
        <f>IFERROR(__xludf.DUMMYFUNCTION("""COMPUTED_VALUE"""),"好本 静")</f>
        <v>好本 静</v>
      </c>
      <c r="G134" s="246" t="str">
        <f>IFERROR(__xludf.DUMMYFUNCTION("""COMPUTED_VALUE"""),"「好きです」")</f>
        <v>「好きです」</v>
      </c>
      <c r="H134" s="246" t="str">
        <f>IFERROR(__xludf.DUMMYFUNCTION("""COMPUTED_VALUE"""),"SSR")</f>
        <v>SSR</v>
      </c>
      <c r="I134" s="246" t="str">
        <f>IFERROR(__xludf.DUMMYFUNCTION("""COMPUTED_VALUE"""),"PremiumSSR")</f>
        <v>PremiumSSR</v>
      </c>
      <c r="J134" s="246" t="str">
        <f>IFERROR(__xludf.DUMMYFUNCTION("""COMPUTED_VALUE"""),"黄")</f>
        <v>黄</v>
      </c>
      <c r="K134" s="246" t="str">
        <f>IFERROR(__xludf.DUMMYFUNCTION("""COMPUTED_VALUE"""),"chara")</f>
        <v>chara</v>
      </c>
      <c r="L134" s="246" t="str">
        <f>IFERROR(__xludf.DUMMYFUNCTION("""COMPUTED_VALUE"""),"サポート")</f>
        <v>サポート</v>
      </c>
      <c r="M134" s="246" t="str">
        <f>IFERROR(__xludf.DUMMYFUNCTION("""COMPUTED_VALUE"""),"dageki_1")</f>
        <v>dageki_1</v>
      </c>
      <c r="N134" s="252" t="str">
        <f>IFERROR(__xludf.DUMMYFUNCTION("""COMPUTED_VALUE"""),"Middle")</f>
        <v>Middle</v>
      </c>
      <c r="O134" s="246" t="str">
        <f>IFERROR(__xludf.DUMMYFUNCTION("""COMPUTED_VALUE"""),"-")</f>
        <v>-</v>
      </c>
      <c r="P134" s="246"/>
      <c r="Q134" s="246" t="str">
        <f>IFERROR(__xludf.DUMMYFUNCTION("""COMPUTED_VALUE"""),"1.75")</f>
        <v>1.75</v>
      </c>
      <c r="R134" s="246" t="str">
        <f>IFERROR(__xludf.DUMMYFUNCTION("""COMPUTED_VALUE"""),"stop有:1回目 0.78")</f>
        <v>stop有:1回目 0.78</v>
      </c>
      <c r="S134" s="246" t="str">
        <f>IFERROR(__xludf.DUMMYFUNCTION("""COMPUTED_VALUE"""),"3.6")</f>
        <v>3.6</v>
      </c>
      <c r="T134" s="246" t="str">
        <f>IFERROR(__xludf.DUMMYFUNCTION("""COMPUTED_VALUE"""),"stop無 :1回目 1.2")</f>
        <v>stop無 :1回目 1.2</v>
      </c>
      <c r="U134" s="246" t="str">
        <f>IFERROR(__xludf.DUMMYFUNCTION("""COMPUTED_VALUE"""),"2026/02中旬")</f>
        <v>2026/02中旬</v>
      </c>
      <c r="V134" s="246">
        <f>IFERROR(__xludf.DUMMYFUNCTION("""COMPUTED_VALUE"""),390812.49998842593)</f>
        <v>390812.5</v>
      </c>
      <c r="W134" s="246" t="str">
        <f>IFERROR(__xludf.DUMMYFUNCTION("""COMPUTED_VALUE"""),"catchcopy_character_chara_kim_00301.png")</f>
        <v>catchcopy_character_chara_kim_00301.png</v>
      </c>
      <c r="X134" s="246" t="str">
        <f>IFERROR(__xludf.DUMMYFUNCTION("""COMPUTED_VALUE"""),"enemy_icon_chara_kim_00301")</f>
        <v>enemy_icon_chara_kim_00301</v>
      </c>
      <c r="Y134" s="246" t="str">
        <f>IFERROR(__xludf.DUMMYFUNCTION("""COMPUTED_VALUE"""),"boss_icon_chara_kim_00301")</f>
        <v>boss_icon_chara_kim_00301</v>
      </c>
      <c r="Z134" s="246"/>
    </row>
    <row r="135">
      <c r="A135" s="246" t="str">
        <f>IFERROR(__xludf.DUMMYFUNCTION("""COMPUTED_VALUE"""),"hut")</f>
        <v>hut</v>
      </c>
      <c r="B135" s="246" t="str">
        <f>IFERROR(__xludf.DUMMYFUNCTION("""COMPUTED_VALUE"""),"ふつうの軽音部")</f>
        <v>ふつうの軽音部</v>
      </c>
      <c r="C135" s="246" t="str">
        <f>IFERROR(__xludf.DUMMYFUNCTION("""COMPUTED_VALUE"""),"00001")</f>
        <v>00001</v>
      </c>
      <c r="D135" s="246" t="str">
        <f>IFERROR(__xludf.DUMMYFUNCTION("""COMPUTED_VALUE"""),"chara_hut_00001")</f>
        <v>chara_hut_00001</v>
      </c>
      <c r="E135" s="246" t="str">
        <f>IFERROR(__xludf.DUMMYFUNCTION("""COMPUTED_VALUE"""),"鳩野 ちひろ")</f>
        <v>鳩野 ちひろ</v>
      </c>
      <c r="F135" s="246" t="str">
        <f>IFERROR(__xludf.DUMMYFUNCTION("""COMPUTED_VALUE"""),"ひたむきギタリスト 鳩野 ちひろ")</f>
        <v>ひたむきギタリスト 鳩野 ちひろ</v>
      </c>
      <c r="G135" s="246" t="str">
        <f>IFERROR(__xludf.DUMMYFUNCTION("""COMPUTED_VALUE"""),"いつか私たちの演奏で")</f>
        <v>いつか私たちの演奏で</v>
      </c>
      <c r="H135" s="246" t="str">
        <f>IFERROR(__xludf.DUMMYFUNCTION("""COMPUTED_VALUE"""),"UR")</f>
        <v>UR</v>
      </c>
      <c r="I135" s="246" t="str">
        <f>IFERROR(__xludf.DUMMYFUNCTION("""COMPUTED_VALUE"""),"PremiumUR")</f>
        <v>PremiumUR</v>
      </c>
      <c r="J135" s="246" t="str">
        <f>IFERROR(__xludf.DUMMYFUNCTION("""COMPUTED_VALUE"""),"緑")</f>
        <v>緑</v>
      </c>
      <c r="K135" s="246" t="str">
        <f>IFERROR(__xludf.DUMMYFUNCTION("""COMPUTED_VALUE"""),"chara")</f>
        <v>chara</v>
      </c>
      <c r="L135" s="246" t="str">
        <f>IFERROR(__xludf.DUMMYFUNCTION("""COMPUTED_VALUE"""),"ディフェンス")</f>
        <v>ディフェンス</v>
      </c>
      <c r="M135" s="246" t="str">
        <f>IFERROR(__xludf.DUMMYFUNCTION("""COMPUTED_VALUE"""),"dageki_1")</f>
        <v>dageki_1</v>
      </c>
      <c r="N135" s="252" t="str">
        <f>IFERROR(__xludf.DUMMYFUNCTION("""COMPUTED_VALUE"""),"Short")</f>
        <v>Short</v>
      </c>
      <c r="O135" s="246" t="str">
        <f>IFERROR(__xludf.DUMMYFUNCTION("""COMPUTED_VALUE"""),"dageki_1")</f>
        <v>dageki_1</v>
      </c>
      <c r="P135" s="246"/>
      <c r="Q135" s="246" t="str">
        <f>IFERROR(__xludf.DUMMYFUNCTION("""COMPUTED_VALUE"""),"1.47")</f>
        <v>1.47</v>
      </c>
      <c r="R135" s="246" t="str">
        <f>IFERROR(__xludf.DUMMYFUNCTION("""COMPUTED_VALUE"""),"stop有 :1回目 0.15")</f>
        <v>stop有 :1回目 0.15</v>
      </c>
      <c r="S135" s="246" t="str">
        <f>IFERROR(__xludf.DUMMYFUNCTION("""COMPUTED_VALUE"""),"2.8")</f>
        <v>2.8</v>
      </c>
      <c r="T135" s="246" t="str">
        <f>IFERROR(__xludf.DUMMYFUNCTION("""COMPUTED_VALUE"""),"stop有:1回目 0.87")</f>
        <v>stop有:1回目 0.87</v>
      </c>
      <c r="U135" s="246" t="str">
        <f>IFERROR(__xludf.DUMMYFUNCTION("""COMPUTED_VALUE"""),"2026/03上旬")</f>
        <v>2026/03上旬</v>
      </c>
      <c r="V135" s="246">
        <f>IFERROR(__xludf.DUMMYFUNCTION("""COMPUTED_VALUE"""),390812.49998842593)</f>
        <v>390812.5</v>
      </c>
      <c r="W135" s="246" t="str">
        <f>IFERROR(__xludf.DUMMYFUNCTION("""COMPUTED_VALUE"""),"catchcopy_character_chara_hut_00001.png")</f>
        <v>catchcopy_character_chara_hut_00001.png</v>
      </c>
      <c r="X135" s="246" t="str">
        <f>IFERROR(__xludf.DUMMYFUNCTION("""COMPUTED_VALUE"""),"enemy_icon_chara_hut_00001")</f>
        <v>enemy_icon_chara_hut_00001</v>
      </c>
      <c r="Y135" s="246" t="str">
        <f>IFERROR(__xludf.DUMMYFUNCTION("""COMPUTED_VALUE"""),"boss_icon_chara_hut_00001")</f>
        <v>boss_icon_chara_hut_00001</v>
      </c>
      <c r="Z135" s="246"/>
    </row>
    <row r="136">
      <c r="A136" s="246" t="str">
        <f>IFERROR(__xludf.DUMMYFUNCTION("""COMPUTED_VALUE"""),"hut")</f>
        <v>hut</v>
      </c>
      <c r="B136" s="246" t="str">
        <f>IFERROR(__xludf.DUMMYFUNCTION("""COMPUTED_VALUE"""),"ふつうの軽音部")</f>
        <v>ふつうの軽音部</v>
      </c>
      <c r="C136" s="246" t="str">
        <f>IFERROR(__xludf.DUMMYFUNCTION("""COMPUTED_VALUE"""),"00101")</f>
        <v>00101</v>
      </c>
      <c r="D136" s="246" t="str">
        <f>IFERROR(__xludf.DUMMYFUNCTION("""COMPUTED_VALUE"""),"chara_hut_00101")</f>
        <v>chara_hut_00101</v>
      </c>
      <c r="E136" s="246" t="str">
        <f>IFERROR(__xludf.DUMMYFUNCTION("""COMPUTED_VALUE"""),"幸山 厘")</f>
        <v>幸山 厘</v>
      </c>
      <c r="F136" s="246" t="str">
        <f>IFERROR(__xludf.DUMMYFUNCTION("""COMPUTED_VALUE"""),"幸山 厘")</f>
        <v>幸山 厘</v>
      </c>
      <c r="G136" s="246" t="str">
        <f>IFERROR(__xludf.DUMMYFUNCTION("""COMPUTED_VALUE"""),"はとちゃん あなたは神")</f>
        <v>はとちゃん あなたは神</v>
      </c>
      <c r="H136" s="246" t="str">
        <f>IFERROR(__xludf.DUMMYFUNCTION("""COMPUTED_VALUE"""),"SSR")</f>
        <v>SSR</v>
      </c>
      <c r="I136" s="246" t="str">
        <f>IFERROR(__xludf.DUMMYFUNCTION("""COMPUTED_VALUE"""),"PremiumSSR")</f>
        <v>PremiumSSR</v>
      </c>
      <c r="J136" s="246" t="str">
        <f>IFERROR(__xludf.DUMMYFUNCTION("""COMPUTED_VALUE"""),"青")</f>
        <v>青</v>
      </c>
      <c r="K136" s="246" t="str">
        <f>IFERROR(__xludf.DUMMYFUNCTION("""COMPUTED_VALUE"""),"chara")</f>
        <v>chara</v>
      </c>
      <c r="L136" s="246" t="str">
        <f>IFERROR(__xludf.DUMMYFUNCTION("""COMPUTED_VALUE"""),"サポート")</f>
        <v>サポート</v>
      </c>
      <c r="M136" s="246" t="str">
        <f>IFERROR(__xludf.DUMMYFUNCTION("""COMPUTED_VALUE"""),"dageki_1")</f>
        <v>dageki_1</v>
      </c>
      <c r="N136" s="252" t="str">
        <f>IFERROR(__xludf.DUMMYFUNCTION("""COMPUTED_VALUE"""),"Middle")</f>
        <v>Middle</v>
      </c>
      <c r="O136" s="246" t="str">
        <f>IFERROR(__xludf.DUMMYFUNCTION("""COMPUTED_VALUE"""),"dageki_1")</f>
        <v>dageki_1</v>
      </c>
      <c r="P136" s="246"/>
      <c r="Q136" s="246" t="str">
        <f>IFERROR(__xludf.DUMMYFUNCTION("""COMPUTED_VALUE"""),"1.58")</f>
        <v>1.58</v>
      </c>
      <c r="R136" s="246" t="str">
        <f>IFERROR(__xludf.DUMMYFUNCTION("""COMPUTED_VALUE"""),"stop有 :1回目 0.75")</f>
        <v>stop有 :1回目 0.75</v>
      </c>
      <c r="S136" s="246" t="str">
        <f>IFERROR(__xludf.DUMMYFUNCTION("""COMPUTED_VALUE"""),"2.58")</f>
        <v>2.58</v>
      </c>
      <c r="T136" s="246" t="str">
        <f>IFERROR(__xludf.DUMMYFUNCTION("""COMPUTED_VALUE"""),"stop有:1回目 0.33
stop無:2回目 0.78
stop無:3回目 1.0
stop無:4回目 1.27
stop無:5回目 1.58")</f>
        <v>stop有:1回目 0.33
stop無:2回目 0.78
stop無:3回目 1.0
stop無:4回目 1.27
stop無:5回目 1.58</v>
      </c>
      <c r="U136" s="246" t="str">
        <f>IFERROR(__xludf.DUMMYFUNCTION("""COMPUTED_VALUE"""),"2026/03上旬")</f>
        <v>2026/03上旬</v>
      </c>
      <c r="V136" s="246">
        <f>IFERROR(__xludf.DUMMYFUNCTION("""COMPUTED_VALUE"""),390812.49998842593)</f>
        <v>390812.5</v>
      </c>
      <c r="W136" s="246" t="str">
        <f>IFERROR(__xludf.DUMMYFUNCTION("""COMPUTED_VALUE"""),"catchcopy_character_chara_hut_00101.png")</f>
        <v>catchcopy_character_chara_hut_00101.png</v>
      </c>
      <c r="X136" s="246" t="str">
        <f>IFERROR(__xludf.DUMMYFUNCTION("""COMPUTED_VALUE"""),"enemy_icon_chara_hut_00101")</f>
        <v>enemy_icon_chara_hut_00101</v>
      </c>
      <c r="Y136" s="246" t="str">
        <f>IFERROR(__xludf.DUMMYFUNCTION("""COMPUTED_VALUE"""),"boss_icon_chara_hut_00101")</f>
        <v>boss_icon_chara_hut_00101</v>
      </c>
      <c r="Z136" s="246"/>
    </row>
    <row r="137">
      <c r="A137" s="246" t="str">
        <f>IFERROR(__xludf.DUMMYFUNCTION("""COMPUTED_VALUE"""),"hut")</f>
        <v>hut</v>
      </c>
      <c r="B137" s="246" t="str">
        <f>IFERROR(__xludf.DUMMYFUNCTION("""COMPUTED_VALUE"""),"ふつうの軽音部")</f>
        <v>ふつうの軽音部</v>
      </c>
      <c r="C137" s="246" t="str">
        <f>IFERROR(__xludf.DUMMYFUNCTION("""COMPUTED_VALUE"""),"00201")</f>
        <v>00201</v>
      </c>
      <c r="D137" s="246" t="str">
        <f>IFERROR(__xludf.DUMMYFUNCTION("""COMPUTED_VALUE"""),"chara_hut_00201")</f>
        <v>chara_hut_00201</v>
      </c>
      <c r="E137" s="246" t="str">
        <f>IFERROR(__xludf.DUMMYFUNCTION("""COMPUTED_VALUE"""),"内田 桃")</f>
        <v>内田 桃</v>
      </c>
      <c r="F137" s="246" t="str">
        <f>IFERROR(__xludf.DUMMYFUNCTION("""COMPUTED_VALUE"""),"内田 桃")</f>
        <v>内田 桃</v>
      </c>
      <c r="G137" s="246" t="str">
        <f>IFERROR(__xludf.DUMMYFUNCTION("""COMPUTED_VALUE"""),"どれだけ未熟でも")</f>
        <v>どれだけ未熟でも</v>
      </c>
      <c r="H137" s="246" t="str">
        <f>IFERROR(__xludf.DUMMYFUNCTION("""COMPUTED_VALUE"""),"SR")</f>
        <v>SR</v>
      </c>
      <c r="I137" s="246" t="str">
        <f>IFERROR(__xludf.DUMMYFUNCTION("""COMPUTED_VALUE"""),"DropSR")</f>
        <v>DropSR</v>
      </c>
      <c r="J137" s="246" t="str">
        <f>IFERROR(__xludf.DUMMYFUNCTION("""COMPUTED_VALUE"""),"黄")</f>
        <v>黄</v>
      </c>
      <c r="K137" s="246" t="str">
        <f>IFERROR(__xludf.DUMMYFUNCTION("""COMPUTED_VALUE"""),"chara")</f>
        <v>chara</v>
      </c>
      <c r="L137" s="246" t="str">
        <f>IFERROR(__xludf.DUMMYFUNCTION("""COMPUTED_VALUE"""),"テクニカル")</f>
        <v>テクニカル</v>
      </c>
      <c r="M137" s="246" t="str">
        <f>IFERROR(__xludf.DUMMYFUNCTION("""COMPUTED_VALUE"""),"dageki_1")</f>
        <v>dageki_1</v>
      </c>
      <c r="N137" s="252" t="str">
        <f>IFERROR(__xludf.DUMMYFUNCTION("""COMPUTED_VALUE"""),"Long")</f>
        <v>Long</v>
      </c>
      <c r="O137" s="246" t="str">
        <f>IFERROR(__xludf.DUMMYFUNCTION("""COMPUTED_VALUE"""),"dageki_1")</f>
        <v>dageki_1</v>
      </c>
      <c r="P137" s="246"/>
      <c r="Q137" s="246" t="str">
        <f>IFERROR(__xludf.DUMMYFUNCTION("""COMPUTED_VALUE"""),"1.2")</f>
        <v>1.2</v>
      </c>
      <c r="R137" s="246" t="str">
        <f>IFERROR(__xludf.DUMMYFUNCTION("""COMPUTED_VALUE"""),"stop有 :1回目 0.34")</f>
        <v>stop有 :1回目 0.34</v>
      </c>
      <c r="S137" s="246" t="str">
        <f>IFERROR(__xludf.DUMMYFUNCTION("""COMPUTED_VALUE"""),"2.84")</f>
        <v>2.84</v>
      </c>
      <c r="T137" s="246" t="str">
        <f>IFERROR(__xludf.DUMMYFUNCTION("""COMPUTED_VALUE"""),"stop無:1回目 1.1
stop無:2回目 1.44
stop有:3回目 1.97")</f>
        <v>stop無:1回目 1.1
stop無:2回目 1.44
stop有:3回目 1.97</v>
      </c>
      <c r="U137" s="246" t="str">
        <f>IFERROR(__xludf.DUMMYFUNCTION("""COMPUTED_VALUE"""),"2026/03上旬")</f>
        <v>2026/03上旬</v>
      </c>
      <c r="V137" s="246">
        <f>IFERROR(__xludf.DUMMYFUNCTION("""COMPUTED_VALUE"""),390812.49998842593)</f>
        <v>390812.5</v>
      </c>
      <c r="W137" s="246" t="str">
        <f>IFERROR(__xludf.DUMMYFUNCTION("""COMPUTED_VALUE"""),"catchcopy_character_chara_hut_00201.png")</f>
        <v>catchcopy_character_chara_hut_00201.png</v>
      </c>
      <c r="X137" s="246" t="str">
        <f>IFERROR(__xludf.DUMMYFUNCTION("""COMPUTED_VALUE"""),"enemy_icon_chara_hut_00201")</f>
        <v>enemy_icon_chara_hut_00201</v>
      </c>
      <c r="Y137" s="246" t="str">
        <f>IFERROR(__xludf.DUMMYFUNCTION("""COMPUTED_VALUE"""),"boss_icon_chara_hut_00201")</f>
        <v>boss_icon_chara_hut_00201</v>
      </c>
      <c r="Z137" s="246"/>
    </row>
    <row r="138">
      <c r="A138" s="246" t="str">
        <f>IFERROR(__xludf.DUMMYFUNCTION("""COMPUTED_VALUE"""),"hut")</f>
        <v>hut</v>
      </c>
      <c r="B138" s="246" t="str">
        <f>IFERROR(__xludf.DUMMYFUNCTION("""COMPUTED_VALUE"""),"ふつうの軽音部")</f>
        <v>ふつうの軽音部</v>
      </c>
      <c r="C138" s="246" t="str">
        <f>IFERROR(__xludf.DUMMYFUNCTION("""COMPUTED_VALUE"""),"00301")</f>
        <v>00301</v>
      </c>
      <c r="D138" s="246" t="str">
        <f>IFERROR(__xludf.DUMMYFUNCTION("""COMPUTED_VALUE"""),"chara_hut_00301")</f>
        <v>chara_hut_00301</v>
      </c>
      <c r="E138" s="246" t="str">
        <f>IFERROR(__xludf.DUMMYFUNCTION("""COMPUTED_VALUE"""),"藤井 彩目")</f>
        <v>藤井 彩目</v>
      </c>
      <c r="F138" s="246" t="str">
        <f>IFERROR(__xludf.DUMMYFUNCTION("""COMPUTED_VALUE"""),"藤井 彩目")</f>
        <v>藤井 彩目</v>
      </c>
      <c r="G138" s="246" t="str">
        <f>IFERROR(__xludf.DUMMYFUNCTION("""COMPUTED_VALUE"""),"かましたらなあかんやろ！")</f>
        <v>かましたらなあかんやろ！</v>
      </c>
      <c r="H138" s="246" t="str">
        <f>IFERROR(__xludf.DUMMYFUNCTION("""COMPUTED_VALUE"""),"SR")</f>
        <v>SR</v>
      </c>
      <c r="I138" s="246" t="str">
        <f>IFERROR(__xludf.DUMMYFUNCTION("""COMPUTED_VALUE"""),"DropSR")</f>
        <v>DropSR</v>
      </c>
      <c r="J138" s="246" t="str">
        <f>IFERROR(__xludf.DUMMYFUNCTION("""COMPUTED_VALUE"""),"赤")</f>
        <v>赤</v>
      </c>
      <c r="K138" s="246" t="str">
        <f>IFERROR(__xludf.DUMMYFUNCTION("""COMPUTED_VALUE"""),"chara")</f>
        <v>chara</v>
      </c>
      <c r="L138" s="246" t="str">
        <f>IFERROR(__xludf.DUMMYFUNCTION("""COMPUTED_VALUE"""),"アタック")</f>
        <v>アタック</v>
      </c>
      <c r="M138" s="246" t="str">
        <f>IFERROR(__xludf.DUMMYFUNCTION("""COMPUTED_VALUE"""),"dageki_1")</f>
        <v>dageki_1</v>
      </c>
      <c r="N138" s="252" t="str">
        <f>IFERROR(__xludf.DUMMYFUNCTION("""COMPUTED_VALUE"""),"Middle")</f>
        <v>Middle</v>
      </c>
      <c r="O138" s="246" t="str">
        <f>IFERROR(__xludf.DUMMYFUNCTION("""COMPUTED_VALUE"""),"dageki_1")</f>
        <v>dageki_1</v>
      </c>
      <c r="P138" s="246"/>
      <c r="Q138" s="246" t="str">
        <f>IFERROR(__xludf.DUMMYFUNCTION("""COMPUTED_VALUE"""),"1.33")</f>
        <v>1.33</v>
      </c>
      <c r="R138" s="246" t="str">
        <f>IFERROR(__xludf.DUMMYFUNCTION("""COMPUTED_VALUE"""),"stop有 :1回目 0.33")</f>
        <v>stop有 :1回目 0.33</v>
      </c>
      <c r="S138" s="246" t="str">
        <f>IFERROR(__xludf.DUMMYFUNCTION("""COMPUTED_VALUE"""),"2.42")</f>
        <v>2.42</v>
      </c>
      <c r="T138" s="246" t="str">
        <f>IFERROR(__xludf.DUMMYFUNCTION("""COMPUTED_VALUE"""),"stop無:1回目 0.3
stop無:2回目 0.61
stop無:3回目 0.93
stop無:4回目 1.25
stop有:5回目 1.6")</f>
        <v>stop無:1回目 0.3
stop無:2回目 0.61
stop無:3回目 0.93
stop無:4回目 1.25
stop有:5回目 1.6</v>
      </c>
      <c r="U138" s="246" t="str">
        <f>IFERROR(__xludf.DUMMYFUNCTION("""COMPUTED_VALUE"""),"2026/03上旬")</f>
        <v>2026/03上旬</v>
      </c>
      <c r="V138" s="246">
        <f>IFERROR(__xludf.DUMMYFUNCTION("""COMPUTED_VALUE"""),390812.49998842593)</f>
        <v>390812.5</v>
      </c>
      <c r="W138" s="246" t="str">
        <f>IFERROR(__xludf.DUMMYFUNCTION("""COMPUTED_VALUE"""),"catchcopy_character_chara_hut_00301.png")</f>
        <v>catchcopy_character_chara_hut_00301.png</v>
      </c>
      <c r="X138" s="246" t="str">
        <f>IFERROR(__xludf.DUMMYFUNCTION("""COMPUTED_VALUE"""),"enemy_icon_chara_hut_00301")</f>
        <v>enemy_icon_chara_hut_00301</v>
      </c>
      <c r="Y138" s="246" t="str">
        <f>IFERROR(__xludf.DUMMYFUNCTION("""COMPUTED_VALUE"""),"boss_icon_chara_hut_00301")</f>
        <v>boss_icon_chara_hut_00301</v>
      </c>
      <c r="Z138" s="246"/>
    </row>
    <row r="139">
      <c r="A139" s="246" t="str">
        <f>IFERROR(__xludf.DUMMYFUNCTION("""COMPUTED_VALUE"""),"rur")</f>
        <v>rur</v>
      </c>
      <c r="B139" s="246" t="str">
        <f>IFERROR(__xludf.DUMMYFUNCTION("""COMPUTED_VALUE"""),"ルリドラゴン")</f>
        <v>ルリドラゴン</v>
      </c>
      <c r="C139" s="246" t="str">
        <f>IFERROR(__xludf.DUMMYFUNCTION("""COMPUTED_VALUE"""),"00001")</f>
        <v>00001</v>
      </c>
      <c r="D139" s="246" t="str">
        <f>IFERROR(__xludf.DUMMYFUNCTION("""COMPUTED_VALUE"""),"chara_rur_00001")</f>
        <v>chara_rur_00001</v>
      </c>
      <c r="E139" s="246" t="str">
        <f>IFERROR(__xludf.DUMMYFUNCTION("""COMPUTED_VALUE"""),"青木 瑠璃")</f>
        <v>青木 瑠璃</v>
      </c>
      <c r="F139" s="246" t="str">
        <f>IFERROR(__xludf.DUMMYFUNCTION("""COMPUTED_VALUE"""),"監修NG")</f>
        <v>監修NG</v>
      </c>
      <c r="G139" s="246"/>
      <c r="H139" s="246" t="str">
        <f>IFERROR(__xludf.DUMMYFUNCTION("""COMPUTED_VALUE"""),"UR")</f>
        <v>UR</v>
      </c>
      <c r="I139" s="246" t="str">
        <f>IFERROR(__xludf.DUMMYFUNCTION("""COMPUTED_VALUE"""),"PremiumUR")</f>
        <v>PremiumUR</v>
      </c>
      <c r="J139" s="246" t="str">
        <f>IFERROR(__xludf.DUMMYFUNCTION("""COMPUTED_VALUE"""),"青")</f>
        <v>青</v>
      </c>
      <c r="K139" s="246" t="str">
        <f>IFERROR(__xludf.DUMMYFUNCTION("""COMPUTED_VALUE"""),"chara")</f>
        <v>chara</v>
      </c>
      <c r="L139" s="246" t="str">
        <f>IFERROR(__xludf.DUMMYFUNCTION("""COMPUTED_VALUE"""),"テクニカル")</f>
        <v>テクニカル</v>
      </c>
      <c r="M139" s="246"/>
      <c r="N139" s="252"/>
      <c r="O139" s="246"/>
      <c r="P139" s="246"/>
      <c r="Q139" s="246"/>
      <c r="R139" s="246"/>
      <c r="S139" s="246"/>
      <c r="T139" s="246"/>
      <c r="U139" s="246" t="str">
        <f>IFERROR(__xludf.DUMMYFUNCTION("""COMPUTED_VALUE"""),"ハーフアニバ想定")</f>
        <v>ハーフアニバ想定</v>
      </c>
      <c r="V139" s="246">
        <f>IFERROR(__xludf.DUMMYFUNCTION("""COMPUTED_VALUE"""),390812.49998842593)</f>
        <v>390812.5</v>
      </c>
      <c r="W139" s="246" t="str">
        <f>IFERROR(__xludf.DUMMYFUNCTION("""COMPUTED_VALUE"""),"catchcopy_character_chara_rur_00001.png")</f>
        <v>catchcopy_character_chara_rur_00001.png</v>
      </c>
      <c r="X139" s="246" t="str">
        <f>IFERROR(__xludf.DUMMYFUNCTION("""COMPUTED_VALUE"""),"enemy_icon_chara_rur_00001")</f>
        <v>enemy_icon_chara_rur_00001</v>
      </c>
      <c r="Y139" s="246" t="str">
        <f>IFERROR(__xludf.DUMMYFUNCTION("""COMPUTED_VALUE"""),"boss_icon_chara_rur_00001")</f>
        <v>boss_icon_chara_rur_00001</v>
      </c>
      <c r="Z139" s="246"/>
    </row>
    <row r="140">
      <c r="A140" s="246" t="str">
        <f>IFERROR(__xludf.DUMMYFUNCTION("""COMPUTED_VALUE"""),"hyp")</f>
        <v>hyp</v>
      </c>
      <c r="B140" s="246" t="str">
        <f>IFERROR(__xludf.DUMMYFUNCTION("""COMPUTED_VALUE"""),"ハイパーインフレーション")</f>
        <v>ハイパーインフレーション</v>
      </c>
      <c r="C140" s="246" t="str">
        <f>IFERROR(__xludf.DUMMYFUNCTION("""COMPUTED_VALUE"""),"00001")</f>
        <v>00001</v>
      </c>
      <c r="D140" s="246" t="str">
        <f>IFERROR(__xludf.DUMMYFUNCTION("""COMPUTED_VALUE"""),"chara_hyp_00001")</f>
        <v>chara_hyp_00001</v>
      </c>
      <c r="E140" s="246" t="str">
        <f>IFERROR(__xludf.DUMMYFUNCTION("""COMPUTED_VALUE"""),"ルーク")</f>
        <v>ルーク</v>
      </c>
      <c r="F140" s="246" t="str">
        <f>IFERROR(__xludf.DUMMYFUNCTION("""COMPUTED_VALUE"""),"ルーク")</f>
        <v>ルーク</v>
      </c>
      <c r="G140" s="246" t="str">
        <f>IFERROR(__xludf.DUMMYFUNCTION("""COMPUTED_VALUE"""),"カネが欲しいッ!!")</f>
        <v>カネが欲しいッ!!</v>
      </c>
      <c r="H140" s="246" t="str">
        <f>IFERROR(__xludf.DUMMYFUNCTION("""COMPUTED_VALUE"""),"SSR")</f>
        <v>SSR</v>
      </c>
      <c r="I140" s="246" t="str">
        <f>IFERROR(__xludf.DUMMYFUNCTION("""COMPUTED_VALUE"""),"DropSSR")</f>
        <v>DropSSR</v>
      </c>
      <c r="J140" s="246" t="str">
        <f>IFERROR(__xludf.DUMMYFUNCTION("""COMPUTED_VALUE"""),"緑")</f>
        <v>緑</v>
      </c>
      <c r="K140" s="246" t="str">
        <f>IFERROR(__xludf.DUMMYFUNCTION("""COMPUTED_VALUE"""),"chara")</f>
        <v>chara</v>
      </c>
      <c r="L140" s="246" t="str">
        <f>IFERROR(__xludf.DUMMYFUNCTION("""COMPUTED_VALUE"""),"サポート")</f>
        <v>サポート</v>
      </c>
      <c r="M140" s="246" t="str">
        <f>IFERROR(__xludf.DUMMYFUNCTION("""COMPUTED_VALUE"""),"dageki_1")</f>
        <v>dageki_1</v>
      </c>
      <c r="N140" s="252" t="str">
        <f>IFERROR(__xludf.DUMMYFUNCTION("""COMPUTED_VALUE"""),"Short")</f>
        <v>Short</v>
      </c>
      <c r="O140" s="246" t="str">
        <f>IFERROR(__xludf.DUMMYFUNCTION("""COMPUTED_VALUE"""),"-")</f>
        <v>-</v>
      </c>
      <c r="P140" s="246"/>
      <c r="Q140" s="246" t="str">
        <f>IFERROR(__xludf.DUMMYFUNCTION("""COMPUTED_VALUE"""),"1.57")</f>
        <v>1.57</v>
      </c>
      <c r="R140" s="246" t="str">
        <f>IFERROR(__xludf.DUMMYFUNCTION("""COMPUTED_VALUE"""),"stop有 :1回目 0.45")</f>
        <v>stop有 :1回目 0.45</v>
      </c>
      <c r="S140" s="246" t="str">
        <f>IFERROR(__xludf.DUMMYFUNCTION("""COMPUTED_VALUE"""),"2.45")</f>
        <v>2.45</v>
      </c>
      <c r="T140" s="246" t="str">
        <f>IFERROR(__xludf.DUMMYFUNCTION("""COMPUTED_VALUE"""),"stop無:1回目 0.85")</f>
        <v>stop無:1回目 0.85</v>
      </c>
      <c r="U140" s="246" t="str">
        <f>IFERROR(__xludf.DUMMYFUNCTION("""COMPUTED_VALUE"""),"ハーフアニバ想定")</f>
        <v>ハーフアニバ想定</v>
      </c>
      <c r="V140" s="246">
        <f>IFERROR(__xludf.DUMMYFUNCTION("""COMPUTED_VALUE"""),390812.49998842593)</f>
        <v>390812.5</v>
      </c>
      <c r="W140" s="246" t="str">
        <f>IFERROR(__xludf.DUMMYFUNCTION("""COMPUTED_VALUE"""),"catchcopy_character_chara_hyp_00001.png")</f>
        <v>catchcopy_character_chara_hyp_00001.png</v>
      </c>
      <c r="X140" s="246" t="str">
        <f>IFERROR(__xludf.DUMMYFUNCTION("""COMPUTED_VALUE"""),"enemy_icon_chara_hyp_00001")</f>
        <v>enemy_icon_chara_hyp_00001</v>
      </c>
      <c r="Y140" s="246" t="str">
        <f>IFERROR(__xludf.DUMMYFUNCTION("""COMPUTED_VALUE"""),"boss_icon_chara_hyp_00001")</f>
        <v>boss_icon_chara_hyp_00001</v>
      </c>
      <c r="Z140" s="246"/>
    </row>
    <row r="141">
      <c r="A141" s="246" t="str">
        <f>IFERROR(__xludf.DUMMYFUNCTION("""COMPUTED_VALUE"""),"gam")</f>
        <v>gam</v>
      </c>
      <c r="B141" s="246" t="str">
        <f>IFERROR(__xludf.DUMMYFUNCTION("""COMPUTED_VALUE"""),"ゲーミングお嬢様")</f>
        <v>ゲーミングお嬢様</v>
      </c>
      <c r="C141" s="246" t="str">
        <f>IFERROR(__xludf.DUMMYFUNCTION("""COMPUTED_VALUE"""),"00001")</f>
        <v>00001</v>
      </c>
      <c r="D141" s="246" t="str">
        <f>IFERROR(__xludf.DUMMYFUNCTION("""COMPUTED_VALUE"""),"chara_gam_00001")</f>
        <v>chara_gam_00001</v>
      </c>
      <c r="E141" s="246" t="str">
        <f>IFERROR(__xludf.DUMMYFUNCTION("""COMPUTED_VALUE"""),"祥龍院隆子")</f>
        <v>祥龍院隆子</v>
      </c>
      <c r="F141" s="246" t="str">
        <f>IFERROR(__xludf.DUMMYFUNCTION("""COMPUTED_VALUE"""),"祥龍院 隆子")</f>
        <v>祥龍院 隆子</v>
      </c>
      <c r="G141" s="246" t="str">
        <f>IFERROR(__xludf.DUMMYFUNCTION("""COMPUTED_VALUE"""),"お嬢様は“完璧”であるべき")</f>
        <v>お嬢様は“完璧”であるべき</v>
      </c>
      <c r="H141" s="246" t="str">
        <f>IFERROR(__xludf.DUMMYFUNCTION("""COMPUTED_VALUE"""),"SSR")</f>
        <v>SSR</v>
      </c>
      <c r="I141" s="246" t="str">
        <f>IFERROR(__xludf.DUMMYFUNCTION("""COMPUTED_VALUE"""),"PremiumSSR")</f>
        <v>PremiumSSR</v>
      </c>
      <c r="J141" s="246" t="str">
        <f>IFERROR(__xludf.DUMMYFUNCTION("""COMPUTED_VALUE"""),"黄")</f>
        <v>黄</v>
      </c>
      <c r="K141" s="246" t="str">
        <f>IFERROR(__xludf.DUMMYFUNCTION("""COMPUTED_VALUE"""),"chara")</f>
        <v>chara</v>
      </c>
      <c r="L141" s="246" t="str">
        <f>IFERROR(__xludf.DUMMYFUNCTION("""COMPUTED_VALUE"""),"アタック")</f>
        <v>アタック</v>
      </c>
      <c r="M141" s="246" t="str">
        <f>IFERROR(__xludf.DUMMYFUNCTION("""COMPUTED_VALUE"""),"dageki_1")</f>
        <v>dageki_1</v>
      </c>
      <c r="N141" s="252" t="str">
        <f>IFERROR(__xludf.DUMMYFUNCTION("""COMPUTED_VALUE"""),"Short")</f>
        <v>Short</v>
      </c>
      <c r="O141" s="246" t="str">
        <f>IFERROR(__xludf.DUMMYFUNCTION("""COMPUTED_VALUE"""),"-")</f>
        <v>-</v>
      </c>
      <c r="P141" s="246"/>
      <c r="Q141" s="246" t="str">
        <f>IFERROR(__xludf.DUMMYFUNCTION("""COMPUTED_VALUE"""),"1.08")</f>
        <v>1.08</v>
      </c>
      <c r="R141" s="246" t="str">
        <f>IFERROR(__xludf.DUMMYFUNCTION("""COMPUTED_VALUE"""),"stop有 : 0.55")</f>
        <v>stop有 : 0.55</v>
      </c>
      <c r="S141" s="246" t="str">
        <f>IFERROR(__xludf.DUMMYFUNCTION("""COMPUTED_VALUE"""),"3.45")</f>
        <v>3.45</v>
      </c>
      <c r="T141" s="246" t="str">
        <f>IFERROR(__xludf.DUMMYFUNCTION("""COMPUTED_VALUE"""),"stop有 : 0.73")</f>
        <v>stop有 : 0.73</v>
      </c>
      <c r="U141" s="246" t="str">
        <f>IFERROR(__xludf.DUMMYFUNCTION("""COMPUTED_VALUE"""),"ハーフアニバ想定")</f>
        <v>ハーフアニバ想定</v>
      </c>
      <c r="V141" s="246">
        <f>IFERROR(__xludf.DUMMYFUNCTION("""COMPUTED_VALUE"""),390812.49998842593)</f>
        <v>390812.5</v>
      </c>
      <c r="W141" s="246" t="str">
        <f>IFERROR(__xludf.DUMMYFUNCTION("""COMPUTED_VALUE"""),"catchcopy_character_chara_gam_00001.png")</f>
        <v>catchcopy_character_chara_gam_00001.png</v>
      </c>
      <c r="X141" s="246" t="str">
        <f>IFERROR(__xludf.DUMMYFUNCTION("""COMPUTED_VALUE"""),"enemy_icon_chara_gam_00001")</f>
        <v>enemy_icon_chara_gam_00001</v>
      </c>
      <c r="Y141" s="246" t="str">
        <f>IFERROR(__xludf.DUMMYFUNCTION("""COMPUTED_VALUE"""),"boss_icon_chara_gam_00001")</f>
        <v>boss_icon_chara_gam_00001</v>
      </c>
      <c r="Z141" s="246"/>
    </row>
    <row r="142">
      <c r="A142" s="246" t="str">
        <f>IFERROR(__xludf.DUMMYFUNCTION("""COMPUTED_VALUE"""),"ara")</f>
        <v>ara</v>
      </c>
      <c r="B142" s="246" t="str">
        <f>IFERROR(__xludf.DUMMYFUNCTION("""COMPUTED_VALUE"""),"アラガネの子")</f>
        <v>アラガネの子</v>
      </c>
      <c r="C142" s="246" t="str">
        <f>IFERROR(__xludf.DUMMYFUNCTION("""COMPUTED_VALUE"""),"00001")</f>
        <v>00001</v>
      </c>
      <c r="D142" s="246" t="str">
        <f>IFERROR(__xludf.DUMMYFUNCTION("""COMPUTED_VALUE"""),"chara_ara_00001")</f>
        <v>chara_ara_00001</v>
      </c>
      <c r="E142" s="246" t="str">
        <f>IFERROR(__xludf.DUMMYFUNCTION("""COMPUTED_VALUE"""),"灰（アラガネの子）")</f>
        <v>灰（アラガネの子）</v>
      </c>
      <c r="F142" s="246" t="str">
        <f>IFERROR(__xludf.DUMMYFUNCTION("""COMPUTED_VALUE"""),"灰")</f>
        <v>灰</v>
      </c>
      <c r="G142" s="246" t="str">
        <f>IFERROR(__xludf.DUMMYFUNCTION("""COMPUTED_VALUE"""),"金剛石 煌反閃転")</f>
        <v>金剛石 煌反閃転</v>
      </c>
      <c r="H142" s="246" t="str">
        <f>IFERROR(__xludf.DUMMYFUNCTION("""COMPUTED_VALUE"""),"SR")</f>
        <v>SR</v>
      </c>
      <c r="I142" s="246" t="str">
        <f>IFERROR(__xludf.DUMMYFUNCTION("""COMPUTED_VALUE"""),"DropSR")</f>
        <v>DropSR</v>
      </c>
      <c r="J142" s="246" t="str">
        <f>IFERROR(__xludf.DUMMYFUNCTION("""COMPUTED_VALUE"""),"緑")</f>
        <v>緑</v>
      </c>
      <c r="K142" s="246" t="str">
        <f>IFERROR(__xludf.DUMMYFUNCTION("""COMPUTED_VALUE"""),"chara")</f>
        <v>chara</v>
      </c>
      <c r="L142" s="246" t="str">
        <f>IFERROR(__xludf.DUMMYFUNCTION("""COMPUTED_VALUE"""),"アタック")</f>
        <v>アタック</v>
      </c>
      <c r="M142" s="246" t="str">
        <f>IFERROR(__xludf.DUMMYFUNCTION("""COMPUTED_VALUE"""),"zangeki_1")</f>
        <v>zangeki_1</v>
      </c>
      <c r="N142" s="252" t="str">
        <f>IFERROR(__xludf.DUMMYFUNCTION("""COMPUTED_VALUE"""),"Middle")</f>
        <v>Middle</v>
      </c>
      <c r="O142" s="246" t="str">
        <f>IFERROR(__xludf.DUMMYFUNCTION("""COMPUTED_VALUE"""),"-")</f>
        <v>-</v>
      </c>
      <c r="P142" s="246"/>
      <c r="Q142" s="246" t="str">
        <f>IFERROR(__xludf.DUMMYFUNCTION("""COMPUTED_VALUE"""),"1.37")</f>
        <v>1.37</v>
      </c>
      <c r="R142" s="246" t="str">
        <f>IFERROR(__xludf.DUMMYFUNCTION("""COMPUTED_VALUE"""),"stop有 :1回目 0.3")</f>
        <v>stop有 :1回目 0.3</v>
      </c>
      <c r="S142" s="246" t="str">
        <f>IFERROR(__xludf.DUMMYFUNCTION("""COMPUTED_VALUE"""),"2.67")</f>
        <v>2.67</v>
      </c>
      <c r="T142" s="246" t="str">
        <f>IFERROR(__xludf.DUMMYFUNCTION("""COMPUTED_VALUE"""),"stop有 : 0.7")</f>
        <v>stop有 : 0.7</v>
      </c>
      <c r="U142" s="246" t="str">
        <f>IFERROR(__xludf.DUMMYFUNCTION("""COMPUTED_VALUE"""),"ハーフアニバ想定")</f>
        <v>ハーフアニバ想定</v>
      </c>
      <c r="V142" s="246">
        <f>IFERROR(__xludf.DUMMYFUNCTION("""COMPUTED_VALUE"""),390812.49998842593)</f>
        <v>390812.5</v>
      </c>
      <c r="W142" s="246" t="str">
        <f>IFERROR(__xludf.DUMMYFUNCTION("""COMPUTED_VALUE"""),"catchcopy_character_chara_ara_00001.png")</f>
        <v>catchcopy_character_chara_ara_00001.png</v>
      </c>
      <c r="X142" s="246" t="str">
        <f>IFERROR(__xludf.DUMMYFUNCTION("""COMPUTED_VALUE"""),"enemy_icon_chara_ara_00001")</f>
        <v>enemy_icon_chara_ara_00001</v>
      </c>
      <c r="Y142" s="246" t="str">
        <f>IFERROR(__xludf.DUMMYFUNCTION("""COMPUTED_VALUE"""),"boss_icon_chara_ara_00001")</f>
        <v>boss_icon_chara_ara_00001</v>
      </c>
      <c r="Z142" s="246"/>
    </row>
    <row r="143">
      <c r="A143" s="246" t="str">
        <f>IFERROR(__xludf.DUMMYFUNCTION("""COMPUTED_VALUE"""),"aya")</f>
        <v>aya</v>
      </c>
      <c r="B143" s="246" t="str">
        <f>IFERROR(__xludf.DUMMYFUNCTION("""COMPUTED_VALUE"""),"あやかしトライアングル")</f>
        <v>あやかしトライアングル</v>
      </c>
      <c r="C143" s="246" t="str">
        <f>IFERROR(__xludf.DUMMYFUNCTION("""COMPUTED_VALUE"""),"00001")</f>
        <v>00001</v>
      </c>
      <c r="D143" s="246" t="str">
        <f>IFERROR(__xludf.DUMMYFUNCTION("""COMPUTED_VALUE"""),"chara_aya_00001")</f>
        <v>chara_aya_00001</v>
      </c>
      <c r="E143" s="246" t="str">
        <f>IFERROR(__xludf.DUMMYFUNCTION("""COMPUTED_VALUE"""),"風巻 祭里")</f>
        <v>風巻 祭里</v>
      </c>
      <c r="F143" s="246" t="str">
        <f>IFERROR(__xludf.DUMMYFUNCTION("""COMPUTED_VALUE"""),"一子相伝の風使い 風巻 祭里")</f>
        <v>一子相伝の風使い 風巻 祭里</v>
      </c>
      <c r="G143" s="246" t="str">
        <f>IFERROR(__xludf.DUMMYFUNCTION("""COMPUTED_VALUE"""),"風巻流・祓忍法 螺旋突")</f>
        <v>風巻流・祓忍法 螺旋突</v>
      </c>
      <c r="H143" s="246" t="str">
        <f>IFERROR(__xludf.DUMMYFUNCTION("""COMPUTED_VALUE"""),"UR")</f>
        <v>UR</v>
      </c>
      <c r="I143" s="246" t="str">
        <f>IFERROR(__xludf.DUMMYFUNCTION("""COMPUTED_VALUE"""),"PremiumUR")</f>
        <v>PremiumUR</v>
      </c>
      <c r="J143" s="246" t="str">
        <f>IFERROR(__xludf.DUMMYFUNCTION("""COMPUTED_VALUE"""),"赤")</f>
        <v>赤</v>
      </c>
      <c r="K143" s="246" t="str">
        <f>IFERROR(__xludf.DUMMYFUNCTION("""COMPUTED_VALUE"""),"chara")</f>
        <v>chara</v>
      </c>
      <c r="L143" s="246" t="str">
        <f>IFERROR(__xludf.DUMMYFUNCTION("""COMPUTED_VALUE"""),"テクニカル")</f>
        <v>テクニカル</v>
      </c>
      <c r="M143" s="246" t="str">
        <f>IFERROR(__xludf.DUMMYFUNCTION("""COMPUTED_VALUE"""),"zangeki_1")</f>
        <v>zangeki_1</v>
      </c>
      <c r="N143" s="252"/>
      <c r="O143" s="246" t="str">
        <f>IFERROR(__xludf.DUMMYFUNCTION("""COMPUTED_VALUE"""),"zangeki_1")</f>
        <v>zangeki_1</v>
      </c>
      <c r="P143" s="246"/>
      <c r="Q143" s="246" t="str">
        <f>IFERROR(__xludf.DUMMYFUNCTION("""COMPUTED_VALUE"""),"1.37")</f>
        <v>1.37</v>
      </c>
      <c r="R143" s="246" t="str">
        <f>IFERROR(__xludf.DUMMYFUNCTION("""COMPUTED_VALUE"""),"stop有 :1回目 0.55")</f>
        <v>stop有 :1回目 0.55</v>
      </c>
      <c r="S143" s="246" t="str">
        <f>IFERROR(__xludf.DUMMYFUNCTION("""COMPUTED_VALUE"""),"2.75")</f>
        <v>2.75</v>
      </c>
      <c r="T143" s="246" t="str">
        <f>IFERROR(__xludf.DUMMYFUNCTION("""COMPUTED_VALUE"""),"stop有:1回目 0.38
stop無:2回目 1.5")</f>
        <v>stop有:1回目 0.38
stop無:2回目 1.5</v>
      </c>
      <c r="U143" s="246" t="str">
        <f>IFERROR(__xludf.DUMMYFUNCTION("""COMPUTED_VALUE"""),"2026/04/中旬")</f>
        <v>2026/04/中旬</v>
      </c>
      <c r="V143" s="246">
        <f>IFERROR(__xludf.DUMMYFUNCTION("""COMPUTED_VALUE"""),390812.49998842593)</f>
        <v>390812.5</v>
      </c>
      <c r="W143" s="246" t="str">
        <f>IFERROR(__xludf.DUMMYFUNCTION("""COMPUTED_VALUE"""),"catchcopy_character_chara_aya_00001.png")</f>
        <v>catchcopy_character_chara_aya_00001.png</v>
      </c>
      <c r="X143" s="246" t="str">
        <f>IFERROR(__xludf.DUMMYFUNCTION("""COMPUTED_VALUE"""),"enemy_icon_chara_aya_00001")</f>
        <v>enemy_icon_chara_aya_00001</v>
      </c>
      <c r="Y143" s="246" t="str">
        <f>IFERROR(__xludf.DUMMYFUNCTION("""COMPUTED_VALUE"""),"boss_icon_chara_aya_00001")</f>
        <v>boss_icon_chara_aya_00001</v>
      </c>
      <c r="Z143" s="246"/>
    </row>
    <row r="144">
      <c r="A144" s="246" t="str">
        <f>IFERROR(__xludf.DUMMYFUNCTION("""COMPUTED_VALUE"""),"aya")</f>
        <v>aya</v>
      </c>
      <c r="B144" s="246" t="str">
        <f>IFERROR(__xludf.DUMMYFUNCTION("""COMPUTED_VALUE"""),"あやかしトライアングル")</f>
        <v>あやかしトライアングル</v>
      </c>
      <c r="C144" s="246" t="str">
        <f>IFERROR(__xludf.DUMMYFUNCTION("""COMPUTED_VALUE"""),"00101")</f>
        <v>00101</v>
      </c>
      <c r="D144" s="246" t="str">
        <f>IFERROR(__xludf.DUMMYFUNCTION("""COMPUTED_VALUE"""),"chara_aya_00101")</f>
        <v>chara_aya_00101</v>
      </c>
      <c r="E144" s="246" t="str">
        <f>IFERROR(__xludf.DUMMYFUNCTION("""COMPUTED_VALUE"""),"花奏 すず")</f>
        <v>花奏 すず</v>
      </c>
      <c r="F144" s="246" t="str">
        <f>IFERROR(__xludf.DUMMYFUNCTION("""COMPUTED_VALUE"""),"花奏 すず")</f>
        <v>花奏 すず</v>
      </c>
      <c r="G144" s="246" t="str">
        <f>IFERROR(__xludf.DUMMYFUNCTION("""COMPUTED_VALUE"""),"妖巫女の覚悟")</f>
        <v>妖巫女の覚悟</v>
      </c>
      <c r="H144" s="246" t="str">
        <f>IFERROR(__xludf.DUMMYFUNCTION("""COMPUTED_VALUE"""),"SSR")</f>
        <v>SSR</v>
      </c>
      <c r="I144" s="246" t="str">
        <f>IFERROR(__xludf.DUMMYFUNCTION("""COMPUTED_VALUE"""),"PremiumSSR")</f>
        <v>PremiumSSR</v>
      </c>
      <c r="J144" s="246" t="str">
        <f>IFERROR(__xludf.DUMMYFUNCTION("""COMPUTED_VALUE"""),"赤")</f>
        <v>赤</v>
      </c>
      <c r="K144" s="246" t="str">
        <f>IFERROR(__xludf.DUMMYFUNCTION("""COMPUTED_VALUE"""),"chara")</f>
        <v>chara</v>
      </c>
      <c r="L144" s="246" t="str">
        <f>IFERROR(__xludf.DUMMYFUNCTION("""COMPUTED_VALUE"""),"ディフェンス")</f>
        <v>ディフェンス</v>
      </c>
      <c r="M144" s="246" t="str">
        <f>IFERROR(__xludf.DUMMYFUNCTION("""COMPUTED_VALUE"""),"zangeki_1")</f>
        <v>zangeki_1</v>
      </c>
      <c r="N144" s="252"/>
      <c r="O144" s="246" t="str">
        <f>IFERROR(__xludf.DUMMYFUNCTION("""COMPUTED_VALUE"""),"zangeki_1")</f>
        <v>zangeki_1</v>
      </c>
      <c r="P144" s="246"/>
      <c r="Q144" s="246" t="str">
        <f>IFERROR(__xludf.DUMMYFUNCTION("""COMPUTED_VALUE"""),"1.37")</f>
        <v>1.37</v>
      </c>
      <c r="R144" s="246" t="str">
        <f>IFERROR(__xludf.DUMMYFUNCTION("""COMPUTED_VALUE"""),"stop有 :1回目 0.6")</f>
        <v>stop有 :1回目 0.6</v>
      </c>
      <c r="S144" s="246" t="str">
        <f>IFERROR(__xludf.DUMMYFUNCTION("""COMPUTED_VALUE"""),"2.57")</f>
        <v>2.57</v>
      </c>
      <c r="T144" s="246" t="str">
        <f>IFERROR(__xludf.DUMMYFUNCTION("""COMPUTED_VALUE"""),"stop有 : 1.13")</f>
        <v>stop有 : 1.13</v>
      </c>
      <c r="U144" s="246" t="str">
        <f>IFERROR(__xludf.DUMMYFUNCTION("""COMPUTED_VALUE"""),"2026/04/中旬")</f>
        <v>2026/04/中旬</v>
      </c>
      <c r="V144" s="246">
        <f>IFERROR(__xludf.DUMMYFUNCTION("""COMPUTED_VALUE"""),390812.49998842593)</f>
        <v>390812.5</v>
      </c>
      <c r="W144" s="246" t="str">
        <f>IFERROR(__xludf.DUMMYFUNCTION("""COMPUTED_VALUE"""),"catchcopy_character_chara_aya_00101.png")</f>
        <v>catchcopy_character_chara_aya_00101.png</v>
      </c>
      <c r="X144" s="246" t="str">
        <f>IFERROR(__xludf.DUMMYFUNCTION("""COMPUTED_VALUE"""),"enemy_icon_chara_aya_00101")</f>
        <v>enemy_icon_chara_aya_00101</v>
      </c>
      <c r="Y144" s="246" t="str">
        <f>IFERROR(__xludf.DUMMYFUNCTION("""COMPUTED_VALUE"""),"boss_icon_chara_aya_00101")</f>
        <v>boss_icon_chara_aya_00101</v>
      </c>
      <c r="Z144" s="246"/>
    </row>
    <row r="145">
      <c r="A145" s="246" t="str">
        <f>IFERROR(__xludf.DUMMYFUNCTION("""COMPUTED_VALUE"""),"aya")</f>
        <v>aya</v>
      </c>
      <c r="B145" s="246" t="str">
        <f>IFERROR(__xludf.DUMMYFUNCTION("""COMPUTED_VALUE"""),"あやかしトライアングル")</f>
        <v>あやかしトライアングル</v>
      </c>
      <c r="C145" s="246" t="str">
        <f>IFERROR(__xludf.DUMMYFUNCTION("""COMPUTED_VALUE"""),"00201")</f>
        <v>00201</v>
      </c>
      <c r="D145" s="246" t="str">
        <f>IFERROR(__xludf.DUMMYFUNCTION("""COMPUTED_VALUE"""),"chara_aya_00201")</f>
        <v>chara_aya_00201</v>
      </c>
      <c r="E145" s="246" t="str">
        <f>IFERROR(__xludf.DUMMYFUNCTION("""COMPUTED_VALUE"""),"香炉木 恋緒")</f>
        <v>香炉木 恋緒</v>
      </c>
      <c r="F145" s="246" t="str">
        <f>IFERROR(__xludf.DUMMYFUNCTION("""COMPUTED_VALUE"""),"香炉木 恋緒")</f>
        <v>香炉木 恋緒</v>
      </c>
      <c r="G145" s="246" t="str">
        <f>IFERROR(__xludf.DUMMYFUNCTION("""COMPUTED_VALUE"""),"サポートする責任があるんです")</f>
        <v>サポートする責任があるんです</v>
      </c>
      <c r="H145" s="246" t="str">
        <f>IFERROR(__xludf.DUMMYFUNCTION("""COMPUTED_VALUE"""),"SR")</f>
        <v>SR</v>
      </c>
      <c r="I145" s="246" t="str">
        <f>IFERROR(__xludf.DUMMYFUNCTION("""COMPUTED_VALUE"""),"DropSR")</f>
        <v>DropSR</v>
      </c>
      <c r="J145" s="246" t="str">
        <f>IFERROR(__xludf.DUMMYFUNCTION("""COMPUTED_VALUE"""),"黄")</f>
        <v>黄</v>
      </c>
      <c r="K145" s="246" t="str">
        <f>IFERROR(__xludf.DUMMYFUNCTION("""COMPUTED_VALUE"""),"chara")</f>
        <v>chara</v>
      </c>
      <c r="L145" s="246" t="str">
        <f>IFERROR(__xludf.DUMMYFUNCTION("""COMPUTED_VALUE"""),"サポート")</f>
        <v>サポート</v>
      </c>
      <c r="M145" s="246" t="str">
        <f>IFERROR(__xludf.DUMMYFUNCTION("""COMPUTED_VALUE"""),"dageki_1")</f>
        <v>dageki_1</v>
      </c>
      <c r="N145" s="252" t="str">
        <f>IFERROR(__xludf.DUMMYFUNCTION("""COMPUTED_VALUE"""),"Middle")</f>
        <v>Middle</v>
      </c>
      <c r="O145" s="246" t="str">
        <f>IFERROR(__xludf.DUMMYFUNCTION("""COMPUTED_VALUE"""),"-")</f>
        <v>-</v>
      </c>
      <c r="P145" s="246"/>
      <c r="Q145" s="246" t="str">
        <f>IFERROR(__xludf.DUMMYFUNCTION("""COMPUTED_VALUE"""),"1.33")</f>
        <v>1.33</v>
      </c>
      <c r="R145" s="246" t="str">
        <f>IFERROR(__xludf.DUMMYFUNCTION("""COMPUTED_VALUE"""),"stop有 :1回目 0.58")</f>
        <v>stop有 :1回目 0.58</v>
      </c>
      <c r="S145" s="246" t="str">
        <f>IFERROR(__xludf.DUMMYFUNCTION("""COMPUTED_VALUE"""),"2.33")</f>
        <v>2.33</v>
      </c>
      <c r="T145" s="246" t="str">
        <f>IFERROR(__xludf.DUMMYFUNCTION("""COMPUTED_VALUE"""),"stopud無 : 1.33")</f>
        <v>stopud無 : 1.33</v>
      </c>
      <c r="U145" s="246" t="str">
        <f>IFERROR(__xludf.DUMMYFUNCTION("""COMPUTED_VALUE"""),"2026/04/中旬")</f>
        <v>2026/04/中旬</v>
      </c>
      <c r="V145" s="246">
        <f>IFERROR(__xludf.DUMMYFUNCTION("""COMPUTED_VALUE"""),390812.49998842593)</f>
        <v>390812.5</v>
      </c>
      <c r="W145" s="246" t="str">
        <f>IFERROR(__xludf.DUMMYFUNCTION("""COMPUTED_VALUE"""),"catchcopy_character_chara_aya_00201.png")</f>
        <v>catchcopy_character_chara_aya_00201.png</v>
      </c>
      <c r="X145" s="246" t="str">
        <f>IFERROR(__xludf.DUMMYFUNCTION("""COMPUTED_VALUE"""),"enemy_icon_chara_aya_00201")</f>
        <v>enemy_icon_chara_aya_00201</v>
      </c>
      <c r="Y145" s="246" t="str">
        <f>IFERROR(__xludf.DUMMYFUNCTION("""COMPUTED_VALUE"""),"boss_icon_chara_aya_00201")</f>
        <v>boss_icon_chara_aya_00201</v>
      </c>
      <c r="Z145" s="246"/>
    </row>
    <row r="146">
      <c r="A146" s="246" t="str">
        <f>IFERROR(__xludf.DUMMYFUNCTION("""COMPUTED_VALUE"""),"aya")</f>
        <v>aya</v>
      </c>
      <c r="B146" s="246" t="str">
        <f>IFERROR(__xludf.DUMMYFUNCTION("""COMPUTED_VALUE"""),"あやかしトライアングル")</f>
        <v>あやかしトライアングル</v>
      </c>
      <c r="C146" s="246" t="str">
        <f>IFERROR(__xludf.DUMMYFUNCTION("""COMPUTED_VALUE"""),"00301")</f>
        <v>00301</v>
      </c>
      <c r="D146" s="246" t="str">
        <f>IFERROR(__xludf.DUMMYFUNCTION("""COMPUTED_VALUE"""),"chara_aya_00301")</f>
        <v>chara_aya_00301</v>
      </c>
      <c r="E146" s="246" t="str">
        <f>IFERROR(__xludf.DUMMYFUNCTION("""COMPUTED_VALUE"""),"ニノ曲 宗牙")</f>
        <v>ニノ曲 宗牙</v>
      </c>
      <c r="F146" s="246" t="str">
        <f>IFERROR(__xludf.DUMMYFUNCTION("""COMPUTED_VALUE"""),"二ノ曲 宗牙")</f>
        <v>二ノ曲 宗牙</v>
      </c>
      <c r="G146" s="246" t="str">
        <f>IFERROR(__xludf.DUMMYFUNCTION("""COMPUTED_VALUE"""),"ニノ曲流・祓忍法 迅雷跳断")</f>
        <v>ニノ曲流・祓忍法 迅雷跳断</v>
      </c>
      <c r="H146" s="246" t="str">
        <f>IFERROR(__xludf.DUMMYFUNCTION("""COMPUTED_VALUE"""),"SR")</f>
        <v>SR</v>
      </c>
      <c r="I146" s="246" t="str">
        <f>IFERROR(__xludf.DUMMYFUNCTION("""COMPUTED_VALUE"""),"DropSR")</f>
        <v>DropSR</v>
      </c>
      <c r="J146" s="246" t="str">
        <f>IFERROR(__xludf.DUMMYFUNCTION("""COMPUTED_VALUE"""),"緑")</f>
        <v>緑</v>
      </c>
      <c r="K146" s="246" t="str">
        <f>IFERROR(__xludf.DUMMYFUNCTION("""COMPUTED_VALUE"""),"chara")</f>
        <v>chara</v>
      </c>
      <c r="L146" s="246" t="str">
        <f>IFERROR(__xludf.DUMMYFUNCTION("""COMPUTED_VALUE"""),"アタック")</f>
        <v>アタック</v>
      </c>
      <c r="M146" s="246" t="str">
        <f>IFERROR(__xludf.DUMMYFUNCTION("""COMPUTED_VALUE"""),"zangeki_1")</f>
        <v>zangeki_1</v>
      </c>
      <c r="N146" s="252" t="str">
        <f>IFERROR(__xludf.DUMMYFUNCTION("""COMPUTED_VALUE"""),"Short")</f>
        <v>Short</v>
      </c>
      <c r="O146" s="246" t="str">
        <f>IFERROR(__xludf.DUMMYFUNCTION("""COMPUTED_VALUE"""),"zangeki_1")</f>
        <v>zangeki_1</v>
      </c>
      <c r="P146" s="246"/>
      <c r="Q146" s="246" t="str">
        <f>IFERROR(__xludf.DUMMYFUNCTION("""COMPUTED_VALUE"""),"1.31")</f>
        <v>1.31</v>
      </c>
      <c r="R146" s="246" t="str">
        <f>IFERROR(__xludf.DUMMYFUNCTION("""COMPUTED_VALUE"""),"stop有 :1回目 0.5")</f>
        <v>stop有 :1回目 0.5</v>
      </c>
      <c r="S146" s="246" t="str">
        <f>IFERROR(__xludf.DUMMYFUNCTION("""COMPUTED_VALUE"""),"1.37")</f>
        <v>1.37</v>
      </c>
      <c r="T146" s="246" t="str">
        <f>IFERROR(__xludf.DUMMYFUNCTION("""COMPUTED_VALUE"""),"stop無:1回目 0.62
stop無:2回目 0.78
stop無:3回目 1
stop無:4回目 1.19
stop有:5回目 1.5")</f>
        <v>stop無:1回目 0.62
stop無:2回目 0.78
stop無:3回目 1
stop無:4回目 1.19
stop有:5回目 1.5</v>
      </c>
      <c r="U146" s="246" t="str">
        <f>IFERROR(__xludf.DUMMYFUNCTION("""COMPUTED_VALUE"""),"2026/04/中旬")</f>
        <v>2026/04/中旬</v>
      </c>
      <c r="V146" s="246">
        <f>IFERROR(__xludf.DUMMYFUNCTION("""COMPUTED_VALUE"""),390812.49998842593)</f>
        <v>390812.5</v>
      </c>
      <c r="W146" s="246" t="str">
        <f>IFERROR(__xludf.DUMMYFUNCTION("""COMPUTED_VALUE"""),"catchcopy_character_chara_aya_00301.png")</f>
        <v>catchcopy_character_chara_aya_00301.png</v>
      </c>
      <c r="X146" s="246" t="str">
        <f>IFERROR(__xludf.DUMMYFUNCTION("""COMPUTED_VALUE"""),"enemy_icon_chara_aya_00301")</f>
        <v>enemy_icon_chara_aya_00301</v>
      </c>
      <c r="Y146" s="246" t="str">
        <f>IFERROR(__xludf.DUMMYFUNCTION("""COMPUTED_VALUE"""),"boss_icon_chara_aya_00301")</f>
        <v>boss_icon_chara_aya_00301</v>
      </c>
      <c r="Z146" s="246"/>
    </row>
    <row r="147">
      <c r="A147" s="246" t="str">
        <f>IFERROR(__xludf.DUMMYFUNCTION("""COMPUTED_VALUE"""),"mar")</f>
        <v>mar</v>
      </c>
      <c r="B147" s="246" t="str">
        <f>IFERROR(__xludf.DUMMYFUNCTION("""COMPUTED_VALUE"""),"マリッジトキシン")</f>
        <v>マリッジトキシン</v>
      </c>
      <c r="C147" s="246" t="str">
        <f>IFERROR(__xludf.DUMMYFUNCTION("""COMPUTED_VALUE"""),"00001")</f>
        <v>00001</v>
      </c>
      <c r="D147" s="246" t="str">
        <f>IFERROR(__xludf.DUMMYFUNCTION("""COMPUTED_VALUE"""),"chara_mar_00001")</f>
        <v>chara_mar_00001</v>
      </c>
      <c r="E147" s="246" t="str">
        <f>IFERROR(__xludf.DUMMYFUNCTION("""COMPUTED_VALUE"""),"下呂 ヒカル")</f>
        <v>下呂 ヒカル</v>
      </c>
      <c r="F147" s="246" t="str">
        <f>IFERROR(__xludf.DUMMYFUNCTION("""COMPUTED_VALUE"""),"不器用な毒使い 下呂 ヒカル")</f>
        <v>不器用な毒使い 下呂 ヒカル</v>
      </c>
      <c r="G147" s="246" t="str">
        <f>IFERROR(__xludf.DUMMYFUNCTION("""COMPUTED_VALUE"""),"毒薬二連【舛】×【戈】")</f>
        <v>毒薬二連【舛】×【戈】</v>
      </c>
      <c r="H147" s="246" t="str">
        <f>IFERROR(__xludf.DUMMYFUNCTION("""COMPUTED_VALUE"""),"UR")</f>
        <v>UR</v>
      </c>
      <c r="I147" s="246" t="str">
        <f>IFERROR(__xludf.DUMMYFUNCTION("""COMPUTED_VALUE"""),"PremiumUR")</f>
        <v>PremiumUR</v>
      </c>
      <c r="J147" s="246" t="str">
        <f>IFERROR(__xludf.DUMMYFUNCTION("""COMPUTED_VALUE"""),"緑")</f>
        <v>緑</v>
      </c>
      <c r="K147" s="246" t="str">
        <f>IFERROR(__xludf.DUMMYFUNCTION("""COMPUTED_VALUE"""),"chara")</f>
        <v>chara</v>
      </c>
      <c r="L147" s="246" t="str">
        <f>IFERROR(__xludf.DUMMYFUNCTION("""COMPUTED_VALUE"""),"テクニカル")</f>
        <v>テクニカル</v>
      </c>
      <c r="M147" s="246" t="str">
        <f>IFERROR(__xludf.DUMMYFUNCTION("""COMPUTED_VALUE"""),"dageki_1")</f>
        <v>dageki_1</v>
      </c>
      <c r="N147" s="252"/>
      <c r="O147" s="246" t="str">
        <f>IFERROR(__xludf.DUMMYFUNCTION("""COMPUTED_VALUE"""),"shageki_1")</f>
        <v>shageki_1</v>
      </c>
      <c r="P147" s="246"/>
      <c r="Q147" s="246" t="str">
        <f>IFERROR(__xludf.DUMMYFUNCTION("""COMPUTED_VALUE"""),"1.34")</f>
        <v>1.34</v>
      </c>
      <c r="R147" s="246" t="str">
        <f>IFERROR(__xludf.DUMMYFUNCTION("""COMPUTED_VALUE"""),"stop有 :1回目 0.34")</f>
        <v>stop有 :1回目 0.34</v>
      </c>
      <c r="S147" s="246" t="str">
        <f>IFERROR(__xludf.DUMMYFUNCTION("""COMPUTED_VALUE"""),"2.62")</f>
        <v>2.62</v>
      </c>
      <c r="T147" s="246" t="str">
        <f>IFERROR(__xludf.DUMMYFUNCTION("""COMPUTED_VALUE"""),"stop有 :1回目 1.2")</f>
        <v>stop有 :1回目 1.2</v>
      </c>
      <c r="U147" s="246" t="str">
        <f>IFERROR(__xludf.DUMMYFUNCTION("""COMPUTED_VALUE"""),"2026/04/中旬")</f>
        <v>2026/04/中旬</v>
      </c>
      <c r="V147" s="246">
        <f>IFERROR(__xludf.DUMMYFUNCTION("""COMPUTED_VALUE"""),390812.49998842593)</f>
        <v>390812.5</v>
      </c>
      <c r="W147" s="246" t="str">
        <f>IFERROR(__xludf.DUMMYFUNCTION("""COMPUTED_VALUE"""),"catchcopy_character_chara_mar_00001.png")</f>
        <v>catchcopy_character_chara_mar_00001.png</v>
      </c>
      <c r="X147" s="246" t="str">
        <f>IFERROR(__xludf.DUMMYFUNCTION("""COMPUTED_VALUE"""),"enemy_icon_chara_mar_00001")</f>
        <v>enemy_icon_chara_mar_00001</v>
      </c>
      <c r="Y147" s="246" t="str">
        <f>IFERROR(__xludf.DUMMYFUNCTION("""COMPUTED_VALUE"""),"boss_icon_chara_mar_00001")</f>
        <v>boss_icon_chara_mar_00001</v>
      </c>
      <c r="Z147" s="246"/>
    </row>
    <row r="148">
      <c r="A148" s="246" t="str">
        <f>IFERROR(__xludf.DUMMYFUNCTION("""COMPUTED_VALUE"""),"mar")</f>
        <v>mar</v>
      </c>
      <c r="B148" s="246" t="str">
        <f>IFERROR(__xludf.DUMMYFUNCTION("""COMPUTED_VALUE"""),"マリッジトキシン")</f>
        <v>マリッジトキシン</v>
      </c>
      <c r="C148" s="246" t="str">
        <f>IFERROR(__xludf.DUMMYFUNCTION("""COMPUTED_VALUE"""),"00002")</f>
        <v>00002</v>
      </c>
      <c r="D148" s="246" t="str">
        <f>IFERROR(__xludf.DUMMYFUNCTION("""COMPUTED_VALUE"""),"chara_mar_00002")</f>
        <v>chara_mar_00002</v>
      </c>
      <c r="E148" s="246" t="str">
        <f>IFERROR(__xludf.DUMMYFUNCTION("""COMPUTED_VALUE"""),"下呂 ヒカル（ドレスアップ）")</f>
        <v>下呂 ヒカル（ドレスアップ）</v>
      </c>
      <c r="F148" s="246" t="str">
        <f>IFERROR(__xludf.DUMMYFUNCTION("""COMPUTED_VALUE"""),"選定中")</f>
        <v>選定中</v>
      </c>
      <c r="G148" s="246"/>
      <c r="H148" s="246" t="str">
        <f>IFERROR(__xludf.DUMMYFUNCTION("""COMPUTED_VALUE"""),"SR")</f>
        <v>SR</v>
      </c>
      <c r="I148" s="246" t="str">
        <f>IFERROR(__xludf.DUMMYFUNCTION("""COMPUTED_VALUE"""),"DropSR")</f>
        <v>DropSR</v>
      </c>
      <c r="J148" s="246" t="str">
        <f>IFERROR(__xludf.DUMMYFUNCTION("""COMPUTED_VALUE"""),"青")</f>
        <v>青</v>
      </c>
      <c r="K148" s="246" t="str">
        <f>IFERROR(__xludf.DUMMYFUNCTION("""COMPUTED_VALUE"""),"chara")</f>
        <v>chara</v>
      </c>
      <c r="L148" s="246" t="str">
        <f>IFERROR(__xludf.DUMMYFUNCTION("""COMPUTED_VALUE"""),"テクニカル")</f>
        <v>テクニカル</v>
      </c>
      <c r="M148" s="246"/>
      <c r="N148" s="252"/>
      <c r="O148" s="246"/>
      <c r="P148" s="246"/>
      <c r="Q148" s="246"/>
      <c r="R148" s="246"/>
      <c r="S148" s="246"/>
      <c r="T148" s="246"/>
      <c r="U148" s="246"/>
      <c r="V148" s="246"/>
      <c r="W148" s="246"/>
      <c r="X148" s="246"/>
      <c r="Y148" s="246"/>
      <c r="Z148" s="246"/>
    </row>
    <row r="149">
      <c r="A149" s="246" t="str">
        <f>IFERROR(__xludf.DUMMYFUNCTION("""COMPUTED_VALUE"""),"mar")</f>
        <v>mar</v>
      </c>
      <c r="B149" s="246" t="str">
        <f>IFERROR(__xludf.DUMMYFUNCTION("""COMPUTED_VALUE"""),"マリッジトキシン")</f>
        <v>マリッジトキシン</v>
      </c>
      <c r="C149" s="246" t="str">
        <f>IFERROR(__xludf.DUMMYFUNCTION("""COMPUTED_VALUE"""),"00101")</f>
        <v>00101</v>
      </c>
      <c r="D149" s="246" t="str">
        <f>IFERROR(__xludf.DUMMYFUNCTION("""COMPUTED_VALUE"""),"chara_mar_00101")</f>
        <v>chara_mar_00101</v>
      </c>
      <c r="E149" s="246" t="str">
        <f>IFERROR(__xludf.DUMMYFUNCTION("""COMPUTED_VALUE"""),"城崎 メイ")</f>
        <v>城崎 メイ</v>
      </c>
      <c r="F149" s="246" t="str">
        <f>IFERROR(__xludf.DUMMYFUNCTION("""COMPUTED_VALUE"""),"城崎 メイ")</f>
        <v>城崎 メイ</v>
      </c>
      <c r="G149" s="246" t="str">
        <f>IFERROR(__xludf.DUMMYFUNCTION("""COMPUTED_VALUE"""),"そんな提案初めて")</f>
        <v>そんな提案初めて</v>
      </c>
      <c r="H149" s="246" t="str">
        <f>IFERROR(__xludf.DUMMYFUNCTION("""COMPUTED_VALUE"""),"SSR")</f>
        <v>SSR</v>
      </c>
      <c r="I149" s="246" t="str">
        <f>IFERROR(__xludf.DUMMYFUNCTION("""COMPUTED_VALUE"""),"PremiumSSR")</f>
        <v>PremiumSSR</v>
      </c>
      <c r="J149" s="246" t="str">
        <f>IFERROR(__xludf.DUMMYFUNCTION("""COMPUTED_VALUE"""),"黄")</f>
        <v>黄</v>
      </c>
      <c r="K149" s="246" t="str">
        <f>IFERROR(__xludf.DUMMYFUNCTION("""COMPUTED_VALUE"""),"chara")</f>
        <v>chara</v>
      </c>
      <c r="L149" s="246" t="str">
        <f>IFERROR(__xludf.DUMMYFUNCTION("""COMPUTED_VALUE"""),"サポート")</f>
        <v>サポート</v>
      </c>
      <c r="M149" s="246" t="str">
        <f>IFERROR(__xludf.DUMMYFUNCTION("""COMPUTED_VALUE"""),"dageki_1")</f>
        <v>dageki_1</v>
      </c>
      <c r="N149" s="252"/>
      <c r="O149" s="246" t="str">
        <f>IFERROR(__xludf.DUMMYFUNCTION("""COMPUTED_VALUE"""),"-")</f>
        <v>-</v>
      </c>
      <c r="P149" s="246"/>
      <c r="Q149" s="246" t="str">
        <f>IFERROR(__xludf.DUMMYFUNCTION("""COMPUTED_VALUE"""),"1.37")</f>
        <v>1.37</v>
      </c>
      <c r="R149" s="246" t="str">
        <f>IFERROR(__xludf.DUMMYFUNCTION("""COMPUTED_VALUE"""),"stop有 :1回目 0.65")</f>
        <v>stop有 :1回目 0.65</v>
      </c>
      <c r="S149" s="246" t="str">
        <f>IFERROR(__xludf.DUMMYFUNCTION("""COMPUTED_VALUE"""),"2.67")</f>
        <v>2.67</v>
      </c>
      <c r="T149" s="246" t="str">
        <f>IFERROR(__xludf.DUMMYFUNCTION("""COMPUTED_VALUE"""),"stop有 :1回目 0.83")</f>
        <v>stop有 :1回目 0.83</v>
      </c>
      <c r="U149" s="246" t="str">
        <f>IFERROR(__xludf.DUMMYFUNCTION("""COMPUTED_VALUE"""),"2026/04/中旬")</f>
        <v>2026/04/中旬</v>
      </c>
      <c r="V149" s="246">
        <f>IFERROR(__xludf.DUMMYFUNCTION("""COMPUTED_VALUE"""),390812.49998842593)</f>
        <v>390812.5</v>
      </c>
      <c r="W149" s="246" t="str">
        <f>IFERROR(__xludf.DUMMYFUNCTION("""COMPUTED_VALUE"""),"catchcopy_character_chara_mar_00101.png")</f>
        <v>catchcopy_character_chara_mar_00101.png</v>
      </c>
      <c r="X149" s="246" t="str">
        <f>IFERROR(__xludf.DUMMYFUNCTION("""COMPUTED_VALUE"""),"enemy_icon_chara_mar_00101")</f>
        <v>enemy_icon_chara_mar_00101</v>
      </c>
      <c r="Y149" s="246" t="str">
        <f>IFERROR(__xludf.DUMMYFUNCTION("""COMPUTED_VALUE"""),"boss_icon_chara_mar_00101")</f>
        <v>boss_icon_chara_mar_00101</v>
      </c>
      <c r="Z149" s="246"/>
    </row>
    <row r="150">
      <c r="A150" s="246" t="str">
        <f>IFERROR(__xludf.DUMMYFUNCTION("""COMPUTED_VALUE"""),"mar")</f>
        <v>mar</v>
      </c>
      <c r="B150" s="246" t="str">
        <f>IFERROR(__xludf.DUMMYFUNCTION("""COMPUTED_VALUE"""),"マリッジトキシン")</f>
        <v>マリッジトキシン</v>
      </c>
      <c r="C150" s="246" t="str">
        <f>IFERROR(__xludf.DUMMYFUNCTION("""COMPUTED_VALUE"""),"00201")</f>
        <v>00201</v>
      </c>
      <c r="D150" s="246" t="str">
        <f>IFERROR(__xludf.DUMMYFUNCTION("""COMPUTED_VALUE"""),"chara_mar_00201")</f>
        <v>chara_mar_00201</v>
      </c>
      <c r="E150" s="246" t="str">
        <f>IFERROR(__xludf.DUMMYFUNCTION("""COMPUTED_VALUE"""),"姫川 杏子")</f>
        <v>姫川 杏子</v>
      </c>
      <c r="F150" s="246" t="str">
        <f>IFERROR(__xludf.DUMMYFUNCTION("""COMPUTED_VALUE"""),"姫川 杏子")</f>
        <v>姫川 杏子</v>
      </c>
      <c r="G150" s="246" t="str">
        <f>IFERROR(__xludf.DUMMYFUNCTION("""COMPUTED_VALUE"""),"サメフレのサメ重")</f>
        <v>サメフレのサメ重</v>
      </c>
      <c r="H150" s="246" t="str">
        <f>IFERROR(__xludf.DUMMYFUNCTION("""COMPUTED_VALUE"""),"SR")</f>
        <v>SR</v>
      </c>
      <c r="I150" s="246" t="str">
        <f>IFERROR(__xludf.DUMMYFUNCTION("""COMPUTED_VALUE"""),"DropSR")</f>
        <v>DropSR</v>
      </c>
      <c r="J150" s="246" t="str">
        <f>IFERROR(__xludf.DUMMYFUNCTION("""COMPUTED_VALUE"""),"青")</f>
        <v>青</v>
      </c>
      <c r="K150" s="246" t="str">
        <f>IFERROR(__xludf.DUMMYFUNCTION("""COMPUTED_VALUE"""),"chara")</f>
        <v>chara</v>
      </c>
      <c r="L150" s="246" t="str">
        <f>IFERROR(__xludf.DUMMYFUNCTION("""COMPUTED_VALUE"""),"ディフェンス")</f>
        <v>ディフェンス</v>
      </c>
      <c r="M150" s="246" t="str">
        <f>IFERROR(__xludf.DUMMYFUNCTION("""COMPUTED_VALUE"""),"dageki_1")</f>
        <v>dageki_1</v>
      </c>
      <c r="N150" s="252"/>
      <c r="O150" s="246" t="str">
        <f>IFERROR(__xludf.DUMMYFUNCTION("""COMPUTED_VALUE"""),"dageki_1")</f>
        <v>dageki_1</v>
      </c>
      <c r="P150" s="246"/>
      <c r="Q150" s="246" t="str">
        <f>IFERROR(__xludf.DUMMYFUNCTION("""COMPUTED_VALUE"""),"1.37")</f>
        <v>1.37</v>
      </c>
      <c r="R150" s="246" t="str">
        <f>IFERROR(__xludf.DUMMYFUNCTION("""COMPUTED_VALUE"""),"stop有 :1回目 0.6")</f>
        <v>stop有 :1回目 0.6</v>
      </c>
      <c r="S150" s="246" t="str">
        <f>IFERROR(__xludf.DUMMYFUNCTION("""COMPUTED_VALUE"""),"2.51")</f>
        <v>2.51</v>
      </c>
      <c r="T150" s="246" t="str">
        <f>IFERROR(__xludf.DUMMYFUNCTION("""COMPUTED_VALUE"""),"stop有 :1回目 1.0")</f>
        <v>stop有 :1回目 1.0</v>
      </c>
      <c r="U150" s="246" t="str">
        <f>IFERROR(__xludf.DUMMYFUNCTION("""COMPUTED_VALUE"""),"2026/04/中旬")</f>
        <v>2026/04/中旬</v>
      </c>
      <c r="V150" s="246">
        <f>IFERROR(__xludf.DUMMYFUNCTION("""COMPUTED_VALUE"""),390812.49998842593)</f>
        <v>390812.5</v>
      </c>
      <c r="W150" s="246" t="str">
        <f>IFERROR(__xludf.DUMMYFUNCTION("""COMPUTED_VALUE"""),"catchcopy_character_chara_mar_00201.png")</f>
        <v>catchcopy_character_chara_mar_00201.png</v>
      </c>
      <c r="X150" s="246" t="str">
        <f>IFERROR(__xludf.DUMMYFUNCTION("""COMPUTED_VALUE"""),"enemy_icon_chara_mar_00201")</f>
        <v>enemy_icon_chara_mar_00201</v>
      </c>
      <c r="Y150" s="246" t="str">
        <f>IFERROR(__xludf.DUMMYFUNCTION("""COMPUTED_VALUE"""),"boss_icon_chara_mar_00201")</f>
        <v>boss_icon_chara_mar_00201</v>
      </c>
      <c r="Z150" s="246"/>
    </row>
    <row r="151">
      <c r="A151" s="246" t="str">
        <f>IFERROR(__xludf.DUMMYFUNCTION("""COMPUTED_VALUE"""),"mar")</f>
        <v>mar</v>
      </c>
      <c r="B151" s="246" t="str">
        <f>IFERROR(__xludf.DUMMYFUNCTION("""COMPUTED_VALUE"""),"マリッジトキシン")</f>
        <v>マリッジトキシン</v>
      </c>
      <c r="C151" s="246" t="str">
        <f>IFERROR(__xludf.DUMMYFUNCTION("""COMPUTED_VALUE"""),"00301")</f>
        <v>00301</v>
      </c>
      <c r="D151" s="246" t="str">
        <f>IFERROR(__xludf.DUMMYFUNCTION("""COMPUTED_VALUE"""),"chara_mar_00301")</f>
        <v>chara_mar_00301</v>
      </c>
      <c r="E151" s="246" t="str">
        <f>IFERROR(__xludf.DUMMYFUNCTION("""COMPUTED_VALUE"""),"嬉野 シオリ")</f>
        <v>嬉野 シオリ</v>
      </c>
      <c r="F151" s="246" t="str">
        <f>IFERROR(__xludf.DUMMYFUNCTION("""COMPUTED_VALUE"""),"選定中")</f>
        <v>選定中</v>
      </c>
      <c r="G151" s="246"/>
      <c r="H151" s="246" t="str">
        <f>IFERROR(__xludf.DUMMYFUNCTION("""COMPUTED_VALUE"""),"SR")</f>
        <v>SR</v>
      </c>
      <c r="I151" s="246" t="str">
        <f>IFERROR(__xludf.DUMMYFUNCTION("""COMPUTED_VALUE"""),"DropSR")</f>
        <v>DropSR</v>
      </c>
      <c r="J151" s="246" t="str">
        <f>IFERROR(__xludf.DUMMYFUNCTION("""COMPUTED_VALUE"""),"青")</f>
        <v>青</v>
      </c>
      <c r="K151" s="246" t="str">
        <f>IFERROR(__xludf.DUMMYFUNCTION("""COMPUTED_VALUE"""),"chara")</f>
        <v>chara</v>
      </c>
      <c r="L151" s="246" t="str">
        <f>IFERROR(__xludf.DUMMYFUNCTION("""COMPUTED_VALUE"""),"ディフェンス")</f>
        <v>ディフェンス</v>
      </c>
      <c r="M151" s="246"/>
      <c r="N151" s="252"/>
      <c r="O151" s="246"/>
      <c r="P151" s="246"/>
      <c r="Q151" s="246"/>
      <c r="R151" s="246"/>
      <c r="S151" s="246"/>
      <c r="T151" s="246"/>
      <c r="U151" s="246" t="str">
        <f>IFERROR(__xludf.DUMMYFUNCTION("""COMPUTED_VALUE"""),"2026/04/中旬")</f>
        <v>2026/04/中旬</v>
      </c>
      <c r="V151" s="246">
        <f>IFERROR(__xludf.DUMMYFUNCTION("""COMPUTED_VALUE"""),390812.49998842593)</f>
        <v>390812.5</v>
      </c>
      <c r="W151" s="246" t="str">
        <f>IFERROR(__xludf.DUMMYFUNCTION("""COMPUTED_VALUE"""),"catchcopy_character_chara_mar_00301.png")</f>
        <v>catchcopy_character_chara_mar_00301.png</v>
      </c>
      <c r="X151" s="246" t="str">
        <f>IFERROR(__xludf.DUMMYFUNCTION("""COMPUTED_VALUE"""),"enemy_icon_chara_mar_00301")</f>
        <v>enemy_icon_chara_mar_00301</v>
      </c>
      <c r="Y151" s="246" t="str">
        <f>IFERROR(__xludf.DUMMYFUNCTION("""COMPUTED_VALUE"""),"boss_icon_chara_mar_00301")</f>
        <v>boss_icon_chara_mar_00301</v>
      </c>
      <c r="Z151" s="246"/>
    </row>
    <row r="152">
      <c r="A152" s="246" t="str">
        <f>IFERROR(__xludf.DUMMYFUNCTION("""COMPUTED_VALUE"""),"mar")</f>
        <v>mar</v>
      </c>
      <c r="B152" s="246" t="str">
        <f>IFERROR(__xludf.DUMMYFUNCTION("""COMPUTED_VALUE"""),"マリッジトキシン")</f>
        <v>マリッジトキシン</v>
      </c>
      <c r="C152" s="246" t="str">
        <f>IFERROR(__xludf.DUMMYFUNCTION("""COMPUTED_VALUE"""),"00401")</f>
        <v>00401</v>
      </c>
      <c r="D152" s="246" t="str">
        <f>IFERROR(__xludf.DUMMYFUNCTION("""COMPUTED_VALUE"""),"chara_mar_00401")</f>
        <v>chara_mar_00401</v>
      </c>
      <c r="E152" s="246" t="str">
        <f>IFERROR(__xludf.DUMMYFUNCTION("""COMPUTED_VALUE"""),"鳴子")</f>
        <v>鳴子</v>
      </c>
      <c r="F152" s="246" t="str">
        <f>IFERROR(__xludf.DUMMYFUNCTION("""COMPUTED_VALUE"""),"音使い 鳴子")</f>
        <v>音使い 鳴子</v>
      </c>
      <c r="G152" s="246" t="str">
        <f>IFERROR(__xludf.DUMMYFUNCTION("""COMPUTED_VALUE"""),"変性血統＋＋【谺】")</f>
        <v>変性血統＋＋【谺】</v>
      </c>
      <c r="H152" s="246" t="str">
        <f>IFERROR(__xludf.DUMMYFUNCTION("""COMPUTED_VALUE"""),"SR")</f>
        <v>SR</v>
      </c>
      <c r="I152" s="246" t="str">
        <f>IFERROR(__xludf.DUMMYFUNCTION("""COMPUTED_VALUE"""),"DropSR")</f>
        <v>DropSR</v>
      </c>
      <c r="J152" s="246" t="str">
        <f>IFERROR(__xludf.DUMMYFUNCTION("""COMPUTED_VALUE"""),"赤")</f>
        <v>赤</v>
      </c>
      <c r="K152" s="246" t="str">
        <f>IFERROR(__xludf.DUMMYFUNCTION("""COMPUTED_VALUE"""),"chara")</f>
        <v>chara</v>
      </c>
      <c r="L152" s="246" t="str">
        <f>IFERROR(__xludf.DUMMYFUNCTION("""COMPUTED_VALUE"""),"テクニカル")</f>
        <v>テクニカル</v>
      </c>
      <c r="M152" s="246" t="str">
        <f>IFERROR(__xludf.DUMMYFUNCTION("""COMPUTED_VALUE"""),"shageki_1")</f>
        <v>shageki_1</v>
      </c>
      <c r="N152" s="252"/>
      <c r="O152" s="246" t="str">
        <f>IFERROR(__xludf.DUMMYFUNCTION("""COMPUTED_VALUE"""),"zangeki_1")</f>
        <v>zangeki_1</v>
      </c>
      <c r="P152" s="246"/>
      <c r="Q152" s="246" t="str">
        <f>IFERROR(__xludf.DUMMYFUNCTION("""COMPUTED_VALUE"""),"2.23")</f>
        <v>2.23</v>
      </c>
      <c r="R152" s="246" t="str">
        <f>IFERROR(__xludf.DUMMYFUNCTION("""COMPUTED_VALUE"""),"stop有 :1回目 1")</f>
        <v>stop有 :1回目 1</v>
      </c>
      <c r="S152" s="246" t="str">
        <f>IFERROR(__xludf.DUMMYFUNCTION("""COMPUTED_VALUE"""),"2.27")</f>
        <v>2.27</v>
      </c>
      <c r="T152" s="246" t="str">
        <f>IFERROR(__xludf.DUMMYFUNCTION("""COMPUTED_VALUE"""),"stop有 :1回目 1.5")</f>
        <v>stop有 :1回目 1.5</v>
      </c>
      <c r="U152" s="246" t="str">
        <f>IFERROR(__xludf.DUMMYFUNCTION("""COMPUTED_VALUE"""),"2026/04/中旬")</f>
        <v>2026/04/中旬</v>
      </c>
      <c r="V152" s="246">
        <f>IFERROR(__xludf.DUMMYFUNCTION("""COMPUTED_VALUE"""),390812.49998842593)</f>
        <v>390812.5</v>
      </c>
      <c r="W152" s="246" t="str">
        <f>IFERROR(__xludf.DUMMYFUNCTION("""COMPUTED_VALUE"""),"catchcopy_character_chara_mar_00401.png")</f>
        <v>catchcopy_character_chara_mar_00401.png</v>
      </c>
      <c r="X152" s="246" t="str">
        <f>IFERROR(__xludf.DUMMYFUNCTION("""COMPUTED_VALUE"""),"enemy_icon_chara_mar_00401")</f>
        <v>enemy_icon_chara_mar_00401</v>
      </c>
      <c r="Y152" s="246" t="str">
        <f>IFERROR(__xludf.DUMMYFUNCTION("""COMPUTED_VALUE"""),"boss_icon_chara_mar_00401")</f>
        <v>boss_icon_chara_mar_00401</v>
      </c>
      <c r="Z152" s="246"/>
    </row>
    <row r="153">
      <c r="A153" s="246" t="str">
        <f>IFERROR(__xludf.DUMMYFUNCTION("""COMPUTED_VALUE"""),"sib")</f>
        <v>sib</v>
      </c>
      <c r="B153" s="246" t="str">
        <f>IFERROR(__xludf.DUMMYFUNCTION("""COMPUTED_VALUE"""),"シバつき物件")</f>
        <v>シバつき物件</v>
      </c>
      <c r="C153" s="246" t="str">
        <f>IFERROR(__xludf.DUMMYFUNCTION("""COMPUTED_VALUE"""),"00001")</f>
        <v>00001</v>
      </c>
      <c r="D153" s="246" t="str">
        <f>IFERROR(__xludf.DUMMYFUNCTION("""COMPUTED_VALUE"""),"chara_sib_00001")</f>
        <v>chara_sib_00001</v>
      </c>
      <c r="E153" s="246" t="str">
        <f>IFERROR(__xludf.DUMMYFUNCTION("""COMPUTED_VALUE"""),"百瀬 氷")</f>
        <v>百瀬 氷</v>
      </c>
      <c r="F153" s="246" t="str">
        <f>IFERROR(__xludf.DUMMYFUNCTION("""COMPUTED_VALUE"""),"ホラー音痴の同居人 百瀬 氷")</f>
        <v>ホラー音痴の同居人 百瀬 氷</v>
      </c>
      <c r="G153" s="246" t="str">
        <f>IFERROR(__xludf.DUMMYFUNCTION("""COMPUTED_VALUE"""),"地縛霊のむうちゃん")</f>
        <v>地縛霊のむうちゃん</v>
      </c>
      <c r="H153" s="246" t="str">
        <f>IFERROR(__xludf.DUMMYFUNCTION("""COMPUTED_VALUE"""),"UR")</f>
        <v>UR</v>
      </c>
      <c r="I153" s="246" t="str">
        <f>IFERROR(__xludf.DUMMYFUNCTION("""COMPUTED_VALUE"""),"PremiumUR")</f>
        <v>PremiumUR</v>
      </c>
      <c r="J153" s="246" t="str">
        <f>IFERROR(__xludf.DUMMYFUNCTION("""COMPUTED_VALUE"""),"黄")</f>
        <v>黄</v>
      </c>
      <c r="K153" s="246" t="str">
        <f>IFERROR(__xludf.DUMMYFUNCTION("""COMPUTED_VALUE"""),"chara")</f>
        <v>chara</v>
      </c>
      <c r="L153" s="246" t="str">
        <f>IFERROR(__xludf.DUMMYFUNCTION("""COMPUTED_VALUE"""),"ディフェンス")</f>
        <v>ディフェンス</v>
      </c>
      <c r="M153" s="246"/>
      <c r="N153" s="252"/>
      <c r="O153" s="246"/>
      <c r="P153" s="246"/>
      <c r="Q153" s="246" t="str">
        <f>IFERROR(__xludf.DUMMYFUNCTION("""COMPUTED_VALUE"""),"1.37")</f>
        <v>1.37</v>
      </c>
      <c r="R153" s="246" t="str">
        <f>IFERROR(__xludf.DUMMYFUNCTION("""COMPUTED_VALUE"""),"stop有 :1回目 0.43")</f>
        <v>stop有 :1回目 0.43</v>
      </c>
      <c r="S153" s="246" t="str">
        <f>IFERROR(__xludf.DUMMYFUNCTION("""COMPUTED_VALUE"""),"2.5")</f>
        <v>2.5</v>
      </c>
      <c r="T153" s="246" t="str">
        <f>IFERROR(__xludf.DUMMYFUNCTION("""COMPUTED_VALUE"""),"stop無 :1回目 0.96")</f>
        <v>stop無 :1回目 0.96</v>
      </c>
      <c r="U153" s="246" t="str">
        <f>IFERROR(__xludf.DUMMYFUNCTION("""COMPUTED_VALUE"""),"2026/04/中旬")</f>
        <v>2026/04/中旬</v>
      </c>
      <c r="V153" s="246">
        <f>IFERROR(__xludf.DUMMYFUNCTION("""COMPUTED_VALUE"""),390812.49998842593)</f>
        <v>390812.5</v>
      </c>
      <c r="W153" s="246" t="str">
        <f>IFERROR(__xludf.DUMMYFUNCTION("""COMPUTED_VALUE"""),"catchcopy_character_chara_sib_00001.png")</f>
        <v>catchcopy_character_chara_sib_00001.png</v>
      </c>
      <c r="X153" s="246" t="str">
        <f>IFERROR(__xludf.DUMMYFUNCTION("""COMPUTED_VALUE"""),"enemy_icon_chara_sib_00001")</f>
        <v>enemy_icon_chara_sib_00001</v>
      </c>
      <c r="Y153" s="246" t="str">
        <f>IFERROR(__xludf.DUMMYFUNCTION("""COMPUTED_VALUE"""),"boss_icon_chara_sib_00001")</f>
        <v>boss_icon_chara_sib_00001</v>
      </c>
      <c r="Z153" s="246"/>
    </row>
    <row r="154">
      <c r="A154" s="246" t="str">
        <f>IFERROR(__xludf.DUMMYFUNCTION("""COMPUTED_VALUE"""),"nek")</f>
        <v>nek</v>
      </c>
      <c r="B154" s="246" t="str">
        <f>IFERROR(__xludf.DUMMYFUNCTION("""COMPUTED_VALUE"""),"猫田びより")</f>
        <v>猫田びより</v>
      </c>
      <c r="C154" s="246" t="str">
        <f>IFERROR(__xludf.DUMMYFUNCTION("""COMPUTED_VALUE"""),"00001")</f>
        <v>00001</v>
      </c>
      <c r="D154" s="246" t="str">
        <f>IFERROR(__xludf.DUMMYFUNCTION("""COMPUTED_VALUE"""),"chara_nek_00001")</f>
        <v>chara_nek_00001</v>
      </c>
      <c r="E154" s="246" t="str">
        <f>IFERROR(__xludf.DUMMYFUNCTION("""COMPUTED_VALUE"""),"猫田さん")</f>
        <v>猫田さん</v>
      </c>
      <c r="F154" s="246" t="str">
        <f>IFERROR(__xludf.DUMMYFUNCTION("""COMPUTED_VALUE"""),"猫田さん")</f>
        <v>猫田さん</v>
      </c>
      <c r="G154" s="246" t="str">
        <f>IFERROR(__xludf.DUMMYFUNCTION("""COMPUTED_VALUE"""),"何も生み出せない事を教えてやるぜ")</f>
        <v>何も生み出せない事を教えてやるぜ</v>
      </c>
      <c r="H154" s="246" t="str">
        <f>IFERROR(__xludf.DUMMYFUNCTION("""COMPUTED_VALUE"""),"SSR")</f>
        <v>SSR</v>
      </c>
      <c r="I154" s="246" t="str">
        <f>IFERROR(__xludf.DUMMYFUNCTION("""COMPUTED_VALUE"""),"PremiumSSR")</f>
        <v>PremiumSSR</v>
      </c>
      <c r="J154" s="246" t="str">
        <f>IFERROR(__xludf.DUMMYFUNCTION("""COMPUTED_VALUE"""),"黄")</f>
        <v>黄</v>
      </c>
      <c r="K154" s="246" t="str">
        <f>IFERROR(__xludf.DUMMYFUNCTION("""COMPUTED_VALUE"""),"chara")</f>
        <v>chara</v>
      </c>
      <c r="L154" s="246" t="str">
        <f>IFERROR(__xludf.DUMMYFUNCTION("""COMPUTED_VALUE"""),"アタック")</f>
        <v>アタック</v>
      </c>
      <c r="M154" s="246" t="str">
        <f>IFERROR(__xludf.DUMMYFUNCTION("""COMPUTED_VALUE"""),"dageki_1")</f>
        <v>dageki_1</v>
      </c>
      <c r="N154" s="252"/>
      <c r="O154" s="246" t="str">
        <f>IFERROR(__xludf.DUMMYFUNCTION("""COMPUTED_VALUE"""),"dageki_1")</f>
        <v>dageki_1</v>
      </c>
      <c r="P154" s="246"/>
      <c r="Q154" s="246" t="str">
        <f>IFERROR(__xludf.DUMMYFUNCTION("""COMPUTED_VALUE"""),"1.37")</f>
        <v>1.37</v>
      </c>
      <c r="R154" s="246" t="str">
        <f>IFERROR(__xludf.DUMMYFUNCTION("""COMPUTED_VALUE"""),"stop有 :1回目 0.5")</f>
        <v>stop有 :1回目 0.5</v>
      </c>
      <c r="S154" s="246" t="str">
        <f>IFERROR(__xludf.DUMMYFUNCTION("""COMPUTED_VALUE"""),"1.9")</f>
        <v>1.9</v>
      </c>
      <c r="T154" s="246" t="str">
        <f>IFERROR(__xludf.DUMMYFUNCTION("""COMPUTED_VALUE"""),"stop有 :1回目 0.85")</f>
        <v>stop有 :1回目 0.85</v>
      </c>
      <c r="U154" s="246" t="str">
        <f>IFERROR(__xludf.DUMMYFUNCTION("""COMPUTED_VALUE"""),"2026/04/中旬")</f>
        <v>2026/04/中旬</v>
      </c>
      <c r="V154" s="246">
        <f>IFERROR(__xludf.DUMMYFUNCTION("""COMPUTED_VALUE"""),390812.49998842593)</f>
        <v>390812.5</v>
      </c>
      <c r="W154" s="246" t="str">
        <f>IFERROR(__xludf.DUMMYFUNCTION("""COMPUTED_VALUE"""),"catchcopy_character_chara_nek_00001.png")</f>
        <v>catchcopy_character_chara_nek_00001.png</v>
      </c>
      <c r="X154" s="246" t="str">
        <f>IFERROR(__xludf.DUMMYFUNCTION("""COMPUTED_VALUE"""),"enemy_icon_chara_nek_00001")</f>
        <v>enemy_icon_chara_nek_00001</v>
      </c>
      <c r="Y154" s="246" t="str">
        <f>IFERROR(__xludf.DUMMYFUNCTION("""COMPUTED_VALUE"""),"boss_icon_chara_nek_00001")</f>
        <v>boss_icon_chara_nek_00001</v>
      </c>
      <c r="Z154" s="246"/>
    </row>
    <row r="155">
      <c r="A155" s="246" t="str">
        <f>IFERROR(__xludf.DUMMYFUNCTION("""COMPUTED_VALUE"""),"mad")</f>
        <v>mad</v>
      </c>
      <c r="B155" s="246" t="str">
        <f>IFERROR(__xludf.DUMMYFUNCTION("""COMPUTED_VALUE"""),"MAD")</f>
        <v>MAD</v>
      </c>
      <c r="C155" s="246" t="str">
        <f>IFERROR(__xludf.DUMMYFUNCTION("""COMPUTED_VALUE"""),"00001")</f>
        <v>00001</v>
      </c>
      <c r="D155" s="246" t="str">
        <f>IFERROR(__xludf.DUMMYFUNCTION("""COMPUTED_VALUE"""),"chara_mad_00001")</f>
        <v>chara_mad_00001</v>
      </c>
      <c r="E155" s="246" t="str">
        <f>IFERROR(__xludf.DUMMYFUNCTION("""COMPUTED_VALUE"""),"ジョン（エイリアン形態）")</f>
        <v>ジョン（エイリアン形態）</v>
      </c>
      <c r="F155" s="246" t="str">
        <f>IFERROR(__xludf.DUMMYFUNCTION("""COMPUTED_VALUE"""),"覚醒せし異形 ジョン")</f>
        <v>覚醒せし異形 ジョン</v>
      </c>
      <c r="G155" s="246"/>
      <c r="H155" s="246" t="str">
        <f>IFERROR(__xludf.DUMMYFUNCTION("""COMPUTED_VALUE"""),"UR")</f>
        <v>UR</v>
      </c>
      <c r="I155" s="246" t="str">
        <f>IFERROR(__xludf.DUMMYFUNCTION("""COMPUTED_VALUE"""),"PremiumUR")</f>
        <v>PremiumUR</v>
      </c>
      <c r="J155" s="246" t="str">
        <f>IFERROR(__xludf.DUMMYFUNCTION("""COMPUTED_VALUE"""),"青")</f>
        <v>青</v>
      </c>
      <c r="K155" s="246" t="str">
        <f>IFERROR(__xludf.DUMMYFUNCTION("""COMPUTED_VALUE"""),"chara")</f>
        <v>chara</v>
      </c>
      <c r="L155" s="246" t="str">
        <f>IFERROR(__xludf.DUMMYFUNCTION("""COMPUTED_VALUE"""),"アタック")</f>
        <v>アタック</v>
      </c>
      <c r="M155" s="246"/>
      <c r="N155" s="252"/>
      <c r="O155" s="246"/>
      <c r="P155" s="246"/>
      <c r="Q155" s="246" t="str">
        <f>IFERROR(__xludf.DUMMYFUNCTION("""COMPUTED_VALUE"""),"1.17")</f>
        <v>1.17</v>
      </c>
      <c r="R155" s="246" t="str">
        <f>IFERROR(__xludf.DUMMYFUNCTION("""COMPUTED_VALUE"""),"stop有 :1回目 0.3")</f>
        <v>stop有 :1回目 0.3</v>
      </c>
      <c r="S155" s="246" t="str">
        <f>IFERROR(__xludf.DUMMYFUNCTION("""COMPUTED_VALUE"""),"3.33")</f>
        <v>3.33</v>
      </c>
      <c r="T155" s="246" t="str">
        <f>IFERROR(__xludf.DUMMYFUNCTION("""COMPUTED_VALUE"""),"stop有 :1回目 0.75")</f>
        <v>stop有 :1回目 0.75</v>
      </c>
      <c r="U155" s="246" t="str">
        <f>IFERROR(__xludf.DUMMYFUNCTION("""COMPUTED_VALUE"""),"2026/06/上旬")</f>
        <v>2026/06/上旬</v>
      </c>
      <c r="V155" s="246">
        <f>IFERROR(__xludf.DUMMYFUNCTION("""COMPUTED_VALUE"""),390812.49998842593)</f>
        <v>390812.5</v>
      </c>
      <c r="W155" s="246" t="str">
        <f>IFERROR(__xludf.DUMMYFUNCTION("""COMPUTED_VALUE"""),"catchcopy_character_chara_mad_00001.png")</f>
        <v>catchcopy_character_chara_mad_00001.png</v>
      </c>
      <c r="X155" s="246" t="str">
        <f>IFERROR(__xludf.DUMMYFUNCTION("""COMPUTED_VALUE"""),"enemy_icon_chara_mad_00001")</f>
        <v>enemy_icon_chara_mad_00001</v>
      </c>
      <c r="Y155" s="246" t="str">
        <f>IFERROR(__xludf.DUMMYFUNCTION("""COMPUTED_VALUE"""),"boss_icon_chara_mad_00001")</f>
        <v>boss_icon_chara_mad_00001</v>
      </c>
      <c r="Z155" s="246"/>
    </row>
    <row r="156">
      <c r="A156" s="246" t="str">
        <f>IFERROR(__xludf.DUMMYFUNCTION("""COMPUTED_VALUE"""),"mad")</f>
        <v>mad</v>
      </c>
      <c r="B156" s="246" t="str">
        <f>IFERROR(__xludf.DUMMYFUNCTION("""COMPUTED_VALUE"""),"MAD")</f>
        <v>MAD</v>
      </c>
      <c r="C156" s="246" t="str">
        <f>IFERROR(__xludf.DUMMYFUNCTION("""COMPUTED_VALUE"""),"00101")</f>
        <v>00101</v>
      </c>
      <c r="D156" s="246" t="str">
        <f>IFERROR(__xludf.DUMMYFUNCTION("""COMPUTED_VALUE"""),"chara_mad_00101")</f>
        <v>chara_mad_00101</v>
      </c>
      <c r="E156" s="246" t="str">
        <f>IFERROR(__xludf.DUMMYFUNCTION("""COMPUTED_VALUE"""),"パノ")</f>
        <v>パノ</v>
      </c>
      <c r="F156" s="246" t="str">
        <f>IFERROR(__xludf.DUMMYFUNCTION("""COMPUTED_VALUE"""),"白の先導者 パノ")</f>
        <v>白の先導者 パノ</v>
      </c>
      <c r="G156" s="246"/>
      <c r="H156" s="246" t="str">
        <f>IFERROR(__xludf.DUMMYFUNCTION("""COMPUTED_VALUE"""),"UR")</f>
        <v>UR</v>
      </c>
      <c r="I156" s="246" t="str">
        <f>IFERROR(__xludf.DUMMYFUNCTION("""COMPUTED_VALUE"""),"PremiumUR")</f>
        <v>PremiumUR</v>
      </c>
      <c r="J156" s="246" t="str">
        <f>IFERROR(__xludf.DUMMYFUNCTION("""COMPUTED_VALUE"""),"赤")</f>
        <v>赤</v>
      </c>
      <c r="K156" s="246" t="str">
        <f>IFERROR(__xludf.DUMMYFUNCTION("""COMPUTED_VALUE"""),"chara")</f>
        <v>chara</v>
      </c>
      <c r="L156" s="246" t="str">
        <f>IFERROR(__xludf.DUMMYFUNCTION("""COMPUTED_VALUE"""),"テクニカル")</f>
        <v>テクニカル</v>
      </c>
      <c r="M156" s="246"/>
      <c r="N156" s="252"/>
      <c r="O156" s="246"/>
      <c r="P156" s="246"/>
      <c r="Q156" s="246" t="str">
        <f>IFERROR(__xludf.DUMMYFUNCTION("""COMPUTED_VALUE"""),"1.23")</f>
        <v>1.23</v>
      </c>
      <c r="R156" s="246" t="str">
        <f>IFERROR(__xludf.DUMMYFUNCTION("""COMPUTED_VALUE"""),"0.4")</f>
        <v>0.4</v>
      </c>
      <c r="S156" s="246" t="str">
        <f>IFERROR(__xludf.DUMMYFUNCTION("""COMPUTED_VALUE"""),"3.17")</f>
        <v>3.17</v>
      </c>
      <c r="T156" s="246" t="str">
        <f>IFERROR(__xludf.DUMMYFUNCTION("""COMPUTED_VALUE"""),"stop有 :1回目 1")</f>
        <v>stop有 :1回目 1</v>
      </c>
      <c r="U156" s="246" t="str">
        <f>IFERROR(__xludf.DUMMYFUNCTION("""COMPUTED_VALUE"""),"2026/06/上旬")</f>
        <v>2026/06/上旬</v>
      </c>
      <c r="V156" s="246">
        <f>IFERROR(__xludf.DUMMYFUNCTION("""COMPUTED_VALUE"""),390812.49998842593)</f>
        <v>390812.5</v>
      </c>
      <c r="W156" s="246" t="str">
        <f>IFERROR(__xludf.DUMMYFUNCTION("""COMPUTED_VALUE"""),"catchcopy_character_chara_mad_00101.png")</f>
        <v>catchcopy_character_chara_mad_00101.png</v>
      </c>
      <c r="X156" s="246" t="str">
        <f>IFERROR(__xludf.DUMMYFUNCTION("""COMPUTED_VALUE"""),"enemy_icon_chara_mad_00101")</f>
        <v>enemy_icon_chara_mad_00101</v>
      </c>
      <c r="Y156" s="246" t="str">
        <f>IFERROR(__xludf.DUMMYFUNCTION("""COMPUTED_VALUE"""),"boss_icon_chara_mad_00101")</f>
        <v>boss_icon_chara_mad_00101</v>
      </c>
      <c r="Z156" s="246"/>
    </row>
    <row r="157">
      <c r="A157" s="246" t="str">
        <f>IFERROR(__xludf.DUMMYFUNCTION("""COMPUTED_VALUE"""),"mad")</f>
        <v>mad</v>
      </c>
      <c r="B157" s="246" t="str">
        <f>IFERROR(__xludf.DUMMYFUNCTION("""COMPUTED_VALUE"""),"MAD")</f>
        <v>MAD</v>
      </c>
      <c r="C157" s="246" t="str">
        <f>IFERROR(__xludf.DUMMYFUNCTION("""COMPUTED_VALUE"""),"00201")</f>
        <v>00201</v>
      </c>
      <c r="D157" s="246" t="str">
        <f>IFERROR(__xludf.DUMMYFUNCTION("""COMPUTED_VALUE"""),"chara_mad_00201")</f>
        <v>chara_mad_00201</v>
      </c>
      <c r="E157" s="246" t="str">
        <f>IFERROR(__xludf.DUMMYFUNCTION("""COMPUTED_VALUE"""),"アルダ")</f>
        <v>アルダ</v>
      </c>
      <c r="F157" s="246" t="str">
        <f>IFERROR(__xludf.DUMMYFUNCTION("""COMPUTED_VALUE"""),"アルダ")</f>
        <v>アルダ</v>
      </c>
      <c r="G157" s="246"/>
      <c r="H157" s="246" t="str">
        <f>IFERROR(__xludf.DUMMYFUNCTION("""COMPUTED_VALUE"""),"SR")</f>
        <v>SR</v>
      </c>
      <c r="I157" s="246" t="str">
        <f>IFERROR(__xludf.DUMMYFUNCTION("""COMPUTED_VALUE"""),"DropSR")</f>
        <v>DropSR</v>
      </c>
      <c r="J157" s="246" t="str">
        <f>IFERROR(__xludf.DUMMYFUNCTION("""COMPUTED_VALUE"""),"赤")</f>
        <v>赤</v>
      </c>
      <c r="K157" s="246" t="str">
        <f>IFERROR(__xludf.DUMMYFUNCTION("""COMPUTED_VALUE"""),"chara")</f>
        <v>chara</v>
      </c>
      <c r="L157" s="246" t="str">
        <f>IFERROR(__xludf.DUMMYFUNCTION("""COMPUTED_VALUE"""),"ディフェンス")</f>
        <v>ディフェンス</v>
      </c>
      <c r="M157" s="246"/>
      <c r="N157" s="252"/>
      <c r="O157" s="246"/>
      <c r="P157" s="246"/>
      <c r="Q157" s="246" t="str">
        <f>IFERROR(__xludf.DUMMYFUNCTION("""COMPUTED_VALUE"""),"1.33")</f>
        <v>1.33</v>
      </c>
      <c r="R157" s="246" t="str">
        <f>IFERROR(__xludf.DUMMYFUNCTION("""COMPUTED_VALUE"""),"stop有 :1回目 0.43")</f>
        <v>stop有 :1回目 0.43</v>
      </c>
      <c r="S157" s="246" t="str">
        <f>IFERROR(__xludf.DUMMYFUNCTION("""COMPUTED_VALUE"""),"2.4")</f>
        <v>2.4</v>
      </c>
      <c r="T157" s="246" t="str">
        <f>IFERROR(__xludf.DUMMYFUNCTION("""COMPUTED_VALUE"""),"stop無:1回目 0.26
stop無:2回目 0.4
stop有:3回目 1.23")</f>
        <v>stop無:1回目 0.26
stop無:2回目 0.4
stop有:3回目 1.23</v>
      </c>
      <c r="U157" s="246" t="str">
        <f>IFERROR(__xludf.DUMMYFUNCTION("""COMPUTED_VALUE"""),"2026/06/上旬")</f>
        <v>2026/06/上旬</v>
      </c>
      <c r="V157" s="246">
        <f>IFERROR(__xludf.DUMMYFUNCTION("""COMPUTED_VALUE"""),390812.49998842593)</f>
        <v>390812.5</v>
      </c>
      <c r="W157" s="246" t="str">
        <f>IFERROR(__xludf.DUMMYFUNCTION("""COMPUTED_VALUE"""),"catchcopy_character_chara_mad_00201.png")</f>
        <v>catchcopy_character_chara_mad_00201.png</v>
      </c>
      <c r="X157" s="246" t="str">
        <f>IFERROR(__xludf.DUMMYFUNCTION("""COMPUTED_VALUE"""),"enemy_icon_chara_mad_00201")</f>
        <v>enemy_icon_chara_mad_00201</v>
      </c>
      <c r="Y157" s="246" t="str">
        <f>IFERROR(__xludf.DUMMYFUNCTION("""COMPUTED_VALUE"""),"boss_icon_chara_mad_00201")</f>
        <v>boss_icon_chara_mad_00201</v>
      </c>
      <c r="Z157" s="246"/>
    </row>
    <row r="158">
      <c r="A158" s="246" t="str">
        <f>IFERROR(__xludf.DUMMYFUNCTION("""COMPUTED_VALUE"""),"mad")</f>
        <v>mad</v>
      </c>
      <c r="B158" s="246" t="str">
        <f>IFERROR(__xludf.DUMMYFUNCTION("""COMPUTED_VALUE"""),"MAD")</f>
        <v>MAD</v>
      </c>
      <c r="C158" s="246" t="str">
        <f>IFERROR(__xludf.DUMMYFUNCTION("""COMPUTED_VALUE"""),"00301")</f>
        <v>00301</v>
      </c>
      <c r="D158" s="246" t="str">
        <f>IFERROR(__xludf.DUMMYFUNCTION("""COMPUTED_VALUE"""),"chara_mad_00301")</f>
        <v>chara_mad_00301</v>
      </c>
      <c r="E158" s="246" t="str">
        <f>IFERROR(__xludf.DUMMYFUNCTION("""COMPUTED_VALUE"""),"ボブ")</f>
        <v>ボブ</v>
      </c>
      <c r="F158" s="246" t="str">
        <f>IFERROR(__xludf.DUMMYFUNCTION("""COMPUTED_VALUE"""),"ボブ")</f>
        <v>ボブ</v>
      </c>
      <c r="G158" s="246"/>
      <c r="H158" s="246" t="str">
        <f>IFERROR(__xludf.DUMMYFUNCTION("""COMPUTED_VALUE"""),"SR")</f>
        <v>SR</v>
      </c>
      <c r="I158" s="246" t="str">
        <f>IFERROR(__xludf.DUMMYFUNCTION("""COMPUTED_VALUE"""),"DropSR")</f>
        <v>DropSR</v>
      </c>
      <c r="J158" s="246" t="str">
        <f>IFERROR(__xludf.DUMMYFUNCTION("""COMPUTED_VALUE"""),"緑")</f>
        <v>緑</v>
      </c>
      <c r="K158" s="246" t="str">
        <f>IFERROR(__xludf.DUMMYFUNCTION("""COMPUTED_VALUE"""),"chara")</f>
        <v>chara</v>
      </c>
      <c r="L158" s="246" t="str">
        <f>IFERROR(__xludf.DUMMYFUNCTION("""COMPUTED_VALUE"""),"サポート")</f>
        <v>サポート</v>
      </c>
      <c r="M158" s="246"/>
      <c r="N158" s="252"/>
      <c r="O158" s="246"/>
      <c r="P158" s="246"/>
      <c r="Q158" s="246" t="str">
        <f>IFERROR(__xludf.DUMMYFUNCTION("""COMPUTED_VALUE"""),"1.72")</f>
        <v>1.72</v>
      </c>
      <c r="R158" s="246" t="str">
        <f>IFERROR(__xludf.DUMMYFUNCTION("""COMPUTED_VALUE"""),"stop有 :1回目 0.71")</f>
        <v>stop有 :1回目 0.71</v>
      </c>
      <c r="S158" s="246" t="str">
        <f>IFERROR(__xludf.DUMMYFUNCTION("""COMPUTED_VALUE"""),"2.13")</f>
        <v>2.13</v>
      </c>
      <c r="T158" s="246" t="str">
        <f>IFERROR(__xludf.DUMMYFUNCTION("""COMPUTED_VALUE"""),"stop無:1回目 0.5")</f>
        <v>stop無:1回目 0.5</v>
      </c>
      <c r="U158" s="246" t="str">
        <f>IFERROR(__xludf.DUMMYFUNCTION("""COMPUTED_VALUE"""),"2026/06/上旬")</f>
        <v>2026/06/上旬</v>
      </c>
      <c r="V158" s="246">
        <f>IFERROR(__xludf.DUMMYFUNCTION("""COMPUTED_VALUE"""),390812.49998842593)</f>
        <v>390812.5</v>
      </c>
      <c r="W158" s="246" t="str">
        <f>IFERROR(__xludf.DUMMYFUNCTION("""COMPUTED_VALUE"""),"catchcopy_character_chara_mad_00301.png")</f>
        <v>catchcopy_character_chara_mad_00301.png</v>
      </c>
      <c r="X158" s="246" t="str">
        <f>IFERROR(__xludf.DUMMYFUNCTION("""COMPUTED_VALUE"""),"enemy_icon_chara_mad_00301")</f>
        <v>enemy_icon_chara_mad_00301</v>
      </c>
      <c r="Y158" s="246" t="str">
        <f>IFERROR(__xludf.DUMMYFUNCTION("""COMPUTED_VALUE"""),"boss_icon_chara_mad_00301")</f>
        <v>boss_icon_chara_mad_00301</v>
      </c>
      <c r="Z158" s="246"/>
    </row>
    <row r="159">
      <c r="A159" s="246" t="str">
        <f>IFERROR(__xludf.DUMMYFUNCTION("""COMPUTED_VALUE"""),"syu")</f>
        <v>syu</v>
      </c>
      <c r="B159" s="246" t="str">
        <f>IFERROR(__xludf.DUMMYFUNCTION("""COMPUTED_VALUE"""),"終末のハーレム")</f>
        <v>終末のハーレム</v>
      </c>
      <c r="C159" s="246" t="str">
        <f>IFERROR(__xludf.DUMMYFUNCTION("""COMPUTED_VALUE"""),"00001")</f>
        <v>00001</v>
      </c>
      <c r="D159" s="246" t="str">
        <f>IFERROR(__xludf.DUMMYFUNCTION("""COMPUTED_VALUE"""),"chara_syu_00001")</f>
        <v>chara_syu_00001</v>
      </c>
      <c r="E159" s="246" t="str">
        <f>IFERROR(__xludf.DUMMYFUNCTION("""COMPUTED_VALUE"""),"周防 美来")</f>
        <v>周防 美来</v>
      </c>
      <c r="F159" s="246" t="str">
        <f>IFERROR(__xludf.DUMMYFUNCTION("""COMPUTED_VALUE"""),"選定中")</f>
        <v>選定中</v>
      </c>
      <c r="G159" s="246"/>
      <c r="H159" s="246" t="str">
        <f>IFERROR(__xludf.DUMMYFUNCTION("""COMPUTED_VALUE"""),"UR")</f>
        <v>UR</v>
      </c>
      <c r="I159" s="246" t="str">
        <f>IFERROR(__xludf.DUMMYFUNCTION("""COMPUTED_VALUE"""),"PremiumUR")</f>
        <v>PremiumUR</v>
      </c>
      <c r="J159" s="246" t="str">
        <f>IFERROR(__xludf.DUMMYFUNCTION("""COMPUTED_VALUE"""),"緑")</f>
        <v>緑</v>
      </c>
      <c r="K159" s="246" t="str">
        <f>IFERROR(__xludf.DUMMYFUNCTION("""COMPUTED_VALUE"""),"chara")</f>
        <v>chara</v>
      </c>
      <c r="L159" s="246" t="str">
        <f>IFERROR(__xludf.DUMMYFUNCTION("""COMPUTED_VALUE"""),"サポート")</f>
        <v>サポート</v>
      </c>
      <c r="M159" s="246"/>
      <c r="N159" s="252"/>
      <c r="O159" s="246"/>
      <c r="P159" s="246"/>
      <c r="Q159" s="246" t="str">
        <f>IFERROR(__xludf.DUMMYFUNCTION("""COMPUTED_VALUE"""),"1.70")</f>
        <v>1.70</v>
      </c>
      <c r="R159" s="246" t="str">
        <f>IFERROR(__xludf.DUMMYFUNCTION("""COMPUTED_VALUE"""),"stop有 :1回目 0.66")</f>
        <v>stop有 :1回目 0.66</v>
      </c>
      <c r="S159" s="246" t="str">
        <f>IFERROR(__xludf.DUMMYFUNCTION("""COMPUTED_VALUE"""),"3.1")</f>
        <v>3.1</v>
      </c>
      <c r="T159" s="246" t="str">
        <f>IFERROR(__xludf.DUMMYFUNCTION("""COMPUTED_VALUE"""),"stop無:1回目 1.18")</f>
        <v>stop無:1回目 1.18</v>
      </c>
      <c r="U159" s="246" t="str">
        <f>IFERROR(__xludf.DUMMYFUNCTION("""COMPUTED_VALUE"""),"2026/06/中旬")</f>
        <v>2026/06/中旬</v>
      </c>
      <c r="V159" s="246">
        <f>IFERROR(__xludf.DUMMYFUNCTION("""COMPUTED_VALUE"""),390812.49998842593)</f>
        <v>390812.5</v>
      </c>
      <c r="W159" s="246" t="str">
        <f>IFERROR(__xludf.DUMMYFUNCTION("""COMPUTED_VALUE"""),"catchcopy_character_chara_syu_00001.png")</f>
        <v>catchcopy_character_chara_syu_00001.png</v>
      </c>
      <c r="X159" s="246" t="str">
        <f>IFERROR(__xludf.DUMMYFUNCTION("""COMPUTED_VALUE"""),"enemy_icon_chara_syu_00001")</f>
        <v>enemy_icon_chara_syu_00001</v>
      </c>
      <c r="Y159" s="246" t="str">
        <f>IFERROR(__xludf.DUMMYFUNCTION("""COMPUTED_VALUE"""),"boss_icon_chara_syu_00001")</f>
        <v>boss_icon_chara_syu_00001</v>
      </c>
      <c r="Z159" s="246"/>
    </row>
    <row r="160">
      <c r="A160" s="246" t="str">
        <f>IFERROR(__xludf.DUMMYFUNCTION("""COMPUTED_VALUE"""),"aft")</f>
        <v>aft</v>
      </c>
      <c r="B160" s="246" t="str">
        <f>IFERROR(__xludf.DUMMYFUNCTION("""COMPUTED_VALUE"""),"終末のハーレム After World")</f>
        <v>終末のハーレム After World</v>
      </c>
      <c r="C160" s="246" t="str">
        <f>IFERROR(__xludf.DUMMYFUNCTION("""COMPUTED_VALUE"""),"00001")</f>
        <v>00001</v>
      </c>
      <c r="D160" s="246" t="str">
        <f>IFERROR(__xludf.DUMMYFUNCTION("""COMPUTED_VALUE"""),"chara_aft_00001")</f>
        <v>chara_aft_00001</v>
      </c>
      <c r="E160" s="246" t="str">
        <f>IFERROR(__xludf.DUMMYFUNCTION("""COMPUTED_VALUE"""),"溝下 乃薔薇")</f>
        <v>溝下 乃薔薇</v>
      </c>
      <c r="F160" s="246" t="str">
        <f>IFERROR(__xludf.DUMMYFUNCTION("""COMPUTED_VALUE"""),"選定中")</f>
        <v>選定中</v>
      </c>
      <c r="G160" s="246"/>
      <c r="H160" s="246" t="str">
        <f>IFERROR(__xludf.DUMMYFUNCTION("""COMPUTED_VALUE"""),"UR")</f>
        <v>UR</v>
      </c>
      <c r="I160" s="246" t="str">
        <f>IFERROR(__xludf.DUMMYFUNCTION("""COMPUTED_VALUE"""),"PremiumUR")</f>
        <v>PremiumUR</v>
      </c>
      <c r="J160" s="246" t="str">
        <f>IFERROR(__xludf.DUMMYFUNCTION("""COMPUTED_VALUE"""),"赤")</f>
        <v>赤</v>
      </c>
      <c r="K160" s="246" t="str">
        <f>IFERROR(__xludf.DUMMYFUNCTION("""COMPUTED_VALUE"""),"chara")</f>
        <v>chara</v>
      </c>
      <c r="L160" s="246" t="str">
        <f>IFERROR(__xludf.DUMMYFUNCTION("""COMPUTED_VALUE"""),"ディフェンス")</f>
        <v>ディフェンス</v>
      </c>
      <c r="M160" s="246"/>
      <c r="N160" s="252"/>
      <c r="O160" s="246"/>
      <c r="P160" s="246"/>
      <c r="Q160" s="246" t="str">
        <f>IFERROR(__xludf.DUMMYFUNCTION("""COMPUTED_VALUE"""),"1.75")</f>
        <v>1.75</v>
      </c>
      <c r="R160" s="246" t="str">
        <f>IFERROR(__xludf.DUMMYFUNCTION("""COMPUTED_VALUE"""),"stop有:1回目 1.08")</f>
        <v>stop有:1回目 1.08</v>
      </c>
      <c r="S160" s="246" t="str">
        <f>IFERROR(__xludf.DUMMYFUNCTION("""COMPUTED_VALUE"""),"3.63")</f>
        <v>3.63</v>
      </c>
      <c r="T160" s="246" t="str">
        <f>IFERROR(__xludf.DUMMYFUNCTION("""COMPUTED_VALUE"""),"stop無:1回目 1.08")</f>
        <v>stop無:1回目 1.08</v>
      </c>
      <c r="U160" s="246" t="str">
        <f>IFERROR(__xludf.DUMMYFUNCTION("""COMPUTED_VALUE"""),"2026/06/中旬")</f>
        <v>2026/06/中旬</v>
      </c>
      <c r="V160" s="246">
        <f>IFERROR(__xludf.DUMMYFUNCTION("""COMPUTED_VALUE"""),390812.49998842593)</f>
        <v>390812.5</v>
      </c>
      <c r="W160" s="246" t="str">
        <f>IFERROR(__xludf.DUMMYFUNCTION("""COMPUTED_VALUE"""),"catchcopy_character_chara_aft_00001.png")</f>
        <v>catchcopy_character_chara_aft_00001.png</v>
      </c>
      <c r="X160" s="246" t="str">
        <f>IFERROR(__xludf.DUMMYFUNCTION("""COMPUTED_VALUE"""),"enemy_icon_chara_aft_00001")</f>
        <v>enemy_icon_chara_aft_00001</v>
      </c>
      <c r="Y160" s="246" t="str">
        <f>IFERROR(__xludf.DUMMYFUNCTION("""COMPUTED_VALUE"""),"boss_icon_chara_aft_00001")</f>
        <v>boss_icon_chara_aft_00001</v>
      </c>
      <c r="Z160" s="246"/>
    </row>
    <row r="161">
      <c r="A161" s="246" t="str">
        <f>IFERROR(__xludf.DUMMYFUNCTION("""COMPUTED_VALUE"""),"kut")</f>
        <v>kut</v>
      </c>
      <c r="B161" s="246" t="str">
        <f>IFERROR(__xludf.DUMMYFUNCTION("""COMPUTED_VALUE"""),"口が裂けても君には")</f>
        <v>口が裂けても君には</v>
      </c>
      <c r="C161" s="246" t="str">
        <f>IFERROR(__xludf.DUMMYFUNCTION("""COMPUTED_VALUE"""),"00001")</f>
        <v>00001</v>
      </c>
      <c r="D161" s="246" t="str">
        <f>IFERROR(__xludf.DUMMYFUNCTION("""COMPUTED_VALUE"""),"chara_kut_00001")</f>
        <v>chara_kut_00001</v>
      </c>
      <c r="E161" s="246" t="str">
        <f>IFERROR(__xludf.DUMMYFUNCTION("""COMPUTED_VALUE"""),"みろく")</f>
        <v>みろく</v>
      </c>
      <c r="F161" s="246" t="str">
        <f>IFERROR(__xludf.DUMMYFUNCTION("""COMPUTED_VALUE"""),"選定中")</f>
        <v>選定中</v>
      </c>
      <c r="G161" s="246"/>
      <c r="H161" s="246" t="str">
        <f>IFERROR(__xludf.DUMMYFUNCTION("""COMPUTED_VALUE"""),"UR")</f>
        <v>UR</v>
      </c>
      <c r="I161" s="246" t="str">
        <f>IFERROR(__xludf.DUMMYFUNCTION("""COMPUTED_VALUE"""),"PremiumUR")</f>
        <v>PremiumUR</v>
      </c>
      <c r="J161" s="246" t="str">
        <f>IFERROR(__xludf.DUMMYFUNCTION("""COMPUTED_VALUE"""),"青")</f>
        <v>青</v>
      </c>
      <c r="K161" s="246" t="str">
        <f>IFERROR(__xludf.DUMMYFUNCTION("""COMPUTED_VALUE"""),"chara")</f>
        <v>chara</v>
      </c>
      <c r="L161" s="246" t="str">
        <f>IFERROR(__xludf.DUMMYFUNCTION("""COMPUTED_VALUE"""),"テクニカル")</f>
        <v>テクニカル</v>
      </c>
      <c r="M161" s="246"/>
      <c r="N161" s="252"/>
      <c r="O161" s="246"/>
      <c r="P161" s="246"/>
      <c r="Q161" s="246" t="str">
        <f>IFERROR(__xludf.DUMMYFUNCTION("""COMPUTED_VALUE"""),"1.67")</f>
        <v>1.67</v>
      </c>
      <c r="R161" s="246" t="str">
        <f>IFERROR(__xludf.DUMMYFUNCTION("""COMPUTED_VALUE"""),"stop有:1回目 0.5")</f>
        <v>stop有:1回目 0.5</v>
      </c>
      <c r="S161" s="246" t="str">
        <f>IFERROR(__xludf.DUMMYFUNCTION("""COMPUTED_VALUE"""),"3.43")</f>
        <v>3.43</v>
      </c>
      <c r="T161" s="246" t="str">
        <f>IFERROR(__xludf.DUMMYFUNCTION("""COMPUTED_VALUE"""),"stop無:1回目 0.61")</f>
        <v>stop無:1回目 0.61</v>
      </c>
      <c r="U161" s="246" t="str">
        <f>IFERROR(__xludf.DUMMYFUNCTION("""COMPUTED_VALUE"""),"2026/06/中旬")</f>
        <v>2026/06/中旬</v>
      </c>
      <c r="V161" s="246">
        <f>IFERROR(__xludf.DUMMYFUNCTION("""COMPUTED_VALUE"""),390812.49998842593)</f>
        <v>390812.5</v>
      </c>
      <c r="W161" s="246" t="str">
        <f>IFERROR(__xludf.DUMMYFUNCTION("""COMPUTED_VALUE"""),"catchcopy_character_chara_kut_00001.png")</f>
        <v>catchcopy_character_chara_kut_00001.png</v>
      </c>
      <c r="X161" s="246" t="str">
        <f>IFERROR(__xludf.DUMMYFUNCTION("""COMPUTED_VALUE"""),"enemy_icon_chara_kut_00001")</f>
        <v>enemy_icon_chara_kut_00001</v>
      </c>
      <c r="Y161" s="246" t="str">
        <f>IFERROR(__xludf.DUMMYFUNCTION("""COMPUTED_VALUE"""),"boss_icon_chara_kut_00001")</f>
        <v>boss_icon_chara_kut_00001</v>
      </c>
      <c r="Z161" s="246"/>
    </row>
    <row r="162">
      <c r="A162" s="246" t="str">
        <f>IFERROR(__xludf.DUMMYFUNCTION("""COMPUTED_VALUE"""),"san")</f>
        <v>san</v>
      </c>
      <c r="B162" s="246" t="str">
        <f>IFERROR(__xludf.DUMMYFUNCTION("""COMPUTED_VALUE"""),"サンキューピッチ")</f>
        <v>サンキューピッチ</v>
      </c>
      <c r="C162" s="246" t="str">
        <f>IFERROR(__xludf.DUMMYFUNCTION("""COMPUTED_VALUE"""),"00001")</f>
        <v>00001</v>
      </c>
      <c r="D162" s="246" t="str">
        <f>IFERROR(__xludf.DUMMYFUNCTION("""COMPUTED_VALUE"""),"chara_san_00001")</f>
        <v>chara_san_00001</v>
      </c>
      <c r="E162" s="246" t="str">
        <f>IFERROR(__xludf.DUMMYFUNCTION("""COMPUTED_VALUE"""),"桐山 不折")</f>
        <v>桐山 不折</v>
      </c>
      <c r="F162" s="246" t="str">
        <f>IFERROR(__xludf.DUMMYFUNCTION("""COMPUTED_VALUE"""),"野球部狩り 桐山 不折")</f>
        <v>野球部狩り 桐山 不折</v>
      </c>
      <c r="G162" s="246" t="str">
        <f>IFERROR(__xludf.DUMMYFUNCTION("""COMPUTED_VALUE"""),"ナイアガラフォーク")</f>
        <v>ナイアガラフォーク</v>
      </c>
      <c r="H162" s="246" t="str">
        <f>IFERROR(__xludf.DUMMYFUNCTION("""COMPUTED_VALUE"""),"UR")</f>
        <v>UR</v>
      </c>
      <c r="I162" s="246" t="str">
        <f>IFERROR(__xludf.DUMMYFUNCTION("""COMPUTED_VALUE"""),"PremiumUR")</f>
        <v>PremiumUR</v>
      </c>
      <c r="J162" s="246" t="str">
        <f>IFERROR(__xludf.DUMMYFUNCTION("""COMPUTED_VALUE"""),"黄")</f>
        <v>黄</v>
      </c>
      <c r="K162" s="246" t="str">
        <f>IFERROR(__xludf.DUMMYFUNCTION("""COMPUTED_VALUE"""),"chara")</f>
        <v>chara</v>
      </c>
      <c r="L162" s="246" t="str">
        <f>IFERROR(__xludf.DUMMYFUNCTION("""COMPUTED_VALUE"""),"アタック")</f>
        <v>アタック</v>
      </c>
      <c r="M162" s="246"/>
      <c r="N162" s="252"/>
      <c r="O162" s="246"/>
      <c r="P162" s="246"/>
      <c r="Q162" s="246" t="str">
        <f>IFERROR(__xludf.DUMMYFUNCTION("""COMPUTED_VALUE"""),"1.63")</f>
        <v>1.63</v>
      </c>
      <c r="R162" s="246" t="str">
        <f>IFERROR(__xludf.DUMMYFUNCTION("""COMPUTED_VALUE"""),"stop有:1回目 0.58")</f>
        <v>stop有:1回目 0.58</v>
      </c>
      <c r="S162" s="246" t="str">
        <f>IFERROR(__xludf.DUMMYFUNCTION("""COMPUTED_VALUE"""),"2.85")</f>
        <v>2.85</v>
      </c>
      <c r="T162" s="246" t="str">
        <f>IFERROR(__xludf.DUMMYFUNCTION("""COMPUTED_VALUE"""),"stop有 :1回目 1.18")</f>
        <v>stop有 :1回目 1.18</v>
      </c>
      <c r="U162" s="246"/>
      <c r="V162" s="246"/>
      <c r="W162" s="246"/>
      <c r="X162" s="246"/>
      <c r="Y162" s="246"/>
      <c r="Z162" s="246"/>
    </row>
    <row r="163">
      <c r="A163" s="246" t="str">
        <f>IFERROR(__xludf.DUMMYFUNCTION("""COMPUTED_VALUE"""),"san")</f>
        <v>san</v>
      </c>
      <c r="B163" s="246" t="str">
        <f>IFERROR(__xludf.DUMMYFUNCTION("""COMPUTED_VALUE"""),"サンキューピッチ")</f>
        <v>サンキューピッチ</v>
      </c>
      <c r="C163" s="246" t="str">
        <f>IFERROR(__xludf.DUMMYFUNCTION("""COMPUTED_VALUE"""),"00101")</f>
        <v>00101</v>
      </c>
      <c r="D163" s="246" t="str">
        <f>IFERROR(__xludf.DUMMYFUNCTION("""COMPUTED_VALUE"""),"chara_san_00101")</f>
        <v>chara_san_00101</v>
      </c>
      <c r="E163" s="246" t="str">
        <f>IFERROR(__xludf.DUMMYFUNCTION("""COMPUTED_VALUE"""),"三馬 正磨")</f>
        <v>三馬 正磨</v>
      </c>
      <c r="F163" s="246" t="str">
        <f>IFERROR(__xludf.DUMMYFUNCTION("""COMPUTED_VALUE"""),"三馬 正磨")</f>
        <v>三馬 正磨</v>
      </c>
      <c r="G163" s="246" t="str">
        <f>IFERROR(__xludf.DUMMYFUNCTION("""COMPUTED_VALUE"""),"俺は無敵になれんだよ")</f>
        <v>俺は無敵になれんだよ</v>
      </c>
      <c r="H163" s="246" t="str">
        <f>IFERROR(__xludf.DUMMYFUNCTION("""COMPUTED_VALUE"""),"SR")</f>
        <v>SR</v>
      </c>
      <c r="I163" s="246" t="str">
        <f>IFERROR(__xludf.DUMMYFUNCTION("""COMPUTED_VALUE"""),"DropSR")</f>
        <v>DropSR</v>
      </c>
      <c r="J163" s="246" t="str">
        <f>IFERROR(__xludf.DUMMYFUNCTION("""COMPUTED_VALUE"""),"赤")</f>
        <v>赤</v>
      </c>
      <c r="K163" s="246" t="str">
        <f>IFERROR(__xludf.DUMMYFUNCTION("""COMPUTED_VALUE"""),"chara")</f>
        <v>chara</v>
      </c>
      <c r="L163" s="246" t="str">
        <f>IFERROR(__xludf.DUMMYFUNCTION("""COMPUTED_VALUE"""),"アタック")</f>
        <v>アタック</v>
      </c>
      <c r="M163" s="246"/>
      <c r="N163" s="252"/>
      <c r="O163" s="246"/>
      <c r="P163" s="246"/>
      <c r="Q163" s="246" t="str">
        <f>IFERROR(__xludf.DUMMYFUNCTION("""COMPUTED_VALUE"""),"1.57")</f>
        <v>1.57</v>
      </c>
      <c r="R163" s="246" t="str">
        <f>IFERROR(__xludf.DUMMYFUNCTION("""COMPUTED_VALUE"""),"stop有:1回目 0.81")</f>
        <v>stop有:1回目 0.81</v>
      </c>
      <c r="S163" s="246" t="str">
        <f>IFERROR(__xludf.DUMMYFUNCTION("""COMPUTED_VALUE"""),"2.67")</f>
        <v>2.67</v>
      </c>
      <c r="T163" s="246" t="str">
        <f>IFERROR(__xludf.DUMMYFUNCTION("""COMPUTED_VALUE"""),"stop有 :1回目 1.6")</f>
        <v>stop有 :1回目 1.6</v>
      </c>
      <c r="U163" s="246"/>
      <c r="V163" s="246"/>
      <c r="W163" s="246"/>
      <c r="X163" s="246"/>
      <c r="Y163" s="246"/>
      <c r="Z163" s="246"/>
    </row>
    <row r="164">
      <c r="A164" s="246" t="str">
        <f>IFERROR(__xludf.DUMMYFUNCTION("""COMPUTED_VALUE"""),"sei")</f>
        <v>sei</v>
      </c>
      <c r="B164" s="246" t="str">
        <f>IFERROR(__xludf.DUMMYFUNCTION("""COMPUTED_VALUE"""),"正反対な君と僕")</f>
        <v>正反対な君と僕</v>
      </c>
      <c r="C164" s="246" t="str">
        <f>IFERROR(__xludf.DUMMYFUNCTION("""COMPUTED_VALUE"""),"00001")</f>
        <v>00001</v>
      </c>
      <c r="D164" s="246" t="str">
        <f>IFERROR(__xludf.DUMMYFUNCTION("""COMPUTED_VALUE"""),"chara_sei_00001")</f>
        <v>chara_sei_00001</v>
      </c>
      <c r="E164" s="246" t="str">
        <f>IFERROR(__xludf.DUMMYFUNCTION("""COMPUTED_VALUE"""),"鈴木 みゆ")</f>
        <v>鈴木 みゆ</v>
      </c>
      <c r="F164" s="246" t="str">
        <f>IFERROR(__xludf.DUMMYFUNCTION("""COMPUTED_VALUE"""),"選定中")</f>
        <v>選定中</v>
      </c>
      <c r="G164" s="246"/>
      <c r="H164" s="246" t="str">
        <f>IFERROR(__xludf.DUMMYFUNCTION("""COMPUTED_VALUE"""),"UR")</f>
        <v>UR</v>
      </c>
      <c r="I164" s="246" t="str">
        <f>IFERROR(__xludf.DUMMYFUNCTION("""COMPUTED_VALUE"""),"PremiumUR")</f>
        <v>PremiumUR</v>
      </c>
      <c r="J164" s="246" t="str">
        <f>IFERROR(__xludf.DUMMYFUNCTION("""COMPUTED_VALUE"""),"赤")</f>
        <v>赤</v>
      </c>
      <c r="K164" s="246" t="str">
        <f>IFERROR(__xludf.DUMMYFUNCTION("""COMPUTED_VALUE"""),"chara")</f>
        <v>chara</v>
      </c>
      <c r="L164" s="246" t="str">
        <f>IFERROR(__xludf.DUMMYFUNCTION("""COMPUTED_VALUE"""),"ディフェンス")</f>
        <v>ディフェンス</v>
      </c>
      <c r="M164" s="246"/>
      <c r="N164" s="252"/>
      <c r="O164" s="246"/>
      <c r="P164" s="246"/>
      <c r="Q164" s="246"/>
      <c r="R164" s="246"/>
      <c r="S164" s="246"/>
      <c r="T164" s="246"/>
      <c r="U164" s="246"/>
      <c r="V164" s="246"/>
      <c r="W164" s="246"/>
      <c r="X164" s="246"/>
      <c r="Y164" s="246"/>
      <c r="Z164" s="246"/>
    </row>
    <row r="165">
      <c r="A165" s="246" t="str">
        <f>IFERROR(__xludf.DUMMYFUNCTION("""COMPUTED_VALUE"""),"kus")</f>
        <v>kus</v>
      </c>
      <c r="B165" s="246" t="str">
        <f>IFERROR(__xludf.DUMMYFUNCTION("""COMPUTED_VALUE"""),"クソ女に幸あれ")</f>
        <v>クソ女に幸あれ</v>
      </c>
      <c r="C165" s="246" t="str">
        <f>IFERROR(__xludf.DUMMYFUNCTION("""COMPUTED_VALUE"""),"00001")</f>
        <v>00001</v>
      </c>
      <c r="D165" s="246" t="str">
        <f>IFERROR(__xludf.DUMMYFUNCTION("""COMPUTED_VALUE"""),"chara_kus_00001")</f>
        <v>chara_kus_00001</v>
      </c>
      <c r="E165" s="246" t="str">
        <f>IFERROR(__xludf.DUMMYFUNCTION("""COMPUTED_VALUE"""),"西川 檸檬
")</f>
        <v>西川 檸檬
</v>
      </c>
      <c r="F165" s="246" t="str">
        <f>IFERROR(__xludf.DUMMYFUNCTION("""COMPUTED_VALUE"""),"選定中")</f>
        <v>選定中</v>
      </c>
      <c r="G165" s="246"/>
      <c r="H165" s="246" t="str">
        <f>IFERROR(__xludf.DUMMYFUNCTION("""COMPUTED_VALUE"""),"UR")</f>
        <v>UR</v>
      </c>
      <c r="I165" s="246" t="str">
        <f>IFERROR(__xludf.DUMMYFUNCTION("""COMPUTED_VALUE"""),"PremiumUR")</f>
        <v>PremiumUR</v>
      </c>
      <c r="J165" s="246" t="str">
        <f>IFERROR(__xludf.DUMMYFUNCTION("""COMPUTED_VALUE"""),"青")</f>
        <v>青</v>
      </c>
      <c r="K165" s="246" t="str">
        <f>IFERROR(__xludf.DUMMYFUNCTION("""COMPUTED_VALUE"""),"chara")</f>
        <v>chara</v>
      </c>
      <c r="L165" s="246" t="str">
        <f>IFERROR(__xludf.DUMMYFUNCTION("""COMPUTED_VALUE"""),"テクニカル")</f>
        <v>テクニカル</v>
      </c>
      <c r="M165" s="246"/>
      <c r="N165" s="252"/>
      <c r="O165" s="246"/>
      <c r="P165" s="246"/>
      <c r="Q165" s="246"/>
      <c r="R165" s="246"/>
      <c r="S165" s="246"/>
      <c r="T165" s="246"/>
      <c r="U165" s="246"/>
      <c r="V165" s="246"/>
      <c r="W165" s="246"/>
      <c r="X165" s="246"/>
      <c r="Y165" s="246"/>
      <c r="Z165" s="246"/>
    </row>
    <row r="166">
      <c r="A166" s="246" t="str">
        <f>IFERROR(__xludf.DUMMYFUNCTION("""COMPUTED_VALUE"""),"han")</f>
        <v>han</v>
      </c>
      <c r="B166" s="246" t="str">
        <f>IFERROR(__xludf.DUMMYFUNCTION("""COMPUTED_VALUE"""),"半人前の恋人")</f>
        <v>半人前の恋人</v>
      </c>
      <c r="C166" s="246" t="str">
        <f>IFERROR(__xludf.DUMMYFUNCTION("""COMPUTED_VALUE"""),"00001")</f>
        <v>00001</v>
      </c>
      <c r="D166" s="246" t="str">
        <f>IFERROR(__xludf.DUMMYFUNCTION("""COMPUTED_VALUE"""),"chara_han_00001")</f>
        <v>chara_han_00001</v>
      </c>
      <c r="E166" s="246" t="str">
        <f>IFERROR(__xludf.DUMMYFUNCTION("""COMPUTED_VALUE"""),"杉崎 響子
")</f>
        <v>杉崎 響子
</v>
      </c>
      <c r="F166" s="246" t="str">
        <f>IFERROR(__xludf.DUMMYFUNCTION("""COMPUTED_VALUE"""),"選定中")</f>
        <v>選定中</v>
      </c>
      <c r="G166" s="246"/>
      <c r="H166" s="246" t="str">
        <f>IFERROR(__xludf.DUMMYFUNCTION("""COMPUTED_VALUE"""),"SSR")</f>
        <v>SSR</v>
      </c>
      <c r="I166" s="246" t="str">
        <f>IFERROR(__xludf.DUMMYFUNCTION("""COMPUTED_VALUE"""),"PremiumSSR")</f>
        <v>PremiumSSR</v>
      </c>
      <c r="J166" s="246" t="str">
        <f>IFERROR(__xludf.DUMMYFUNCTION("""COMPUTED_VALUE"""),"赤")</f>
        <v>赤</v>
      </c>
      <c r="K166" s="246" t="str">
        <f>IFERROR(__xludf.DUMMYFUNCTION("""COMPUTED_VALUE"""),"chara")</f>
        <v>chara</v>
      </c>
      <c r="L166" s="246" t="str">
        <f>IFERROR(__xludf.DUMMYFUNCTION("""COMPUTED_VALUE"""),"ディフェンス")</f>
        <v>ディフェンス</v>
      </c>
      <c r="M166" s="246"/>
      <c r="N166" s="252"/>
      <c r="O166" s="246"/>
      <c r="P166" s="246"/>
      <c r="Q166" s="246"/>
      <c r="R166" s="246"/>
      <c r="S166" s="246"/>
      <c r="T166" s="246"/>
      <c r="U166" s="246"/>
      <c r="V166" s="246"/>
      <c r="W166" s="246"/>
      <c r="X166" s="246"/>
      <c r="Y166" s="246"/>
      <c r="Z166" s="246"/>
    </row>
    <row r="167">
      <c r="A167" s="246" t="str">
        <f>IFERROR(__xludf.DUMMYFUNCTION("""COMPUTED_VALUE"""),"kub")</f>
        <v>kub</v>
      </c>
      <c r="B167" s="246" t="str">
        <f>IFERROR(__xludf.DUMMYFUNCTION("""COMPUTED_VALUE"""),"久保さんは僕を許さない")</f>
        <v>久保さんは僕を許さない</v>
      </c>
      <c r="C167" s="246" t="str">
        <f>IFERROR(__xludf.DUMMYFUNCTION("""COMPUTED_VALUE"""),"00001")</f>
        <v>00001</v>
      </c>
      <c r="D167" s="246" t="str">
        <f>IFERROR(__xludf.DUMMYFUNCTION("""COMPUTED_VALUE"""),"chara_kub_00001")</f>
        <v>chara_kub_00001</v>
      </c>
      <c r="E167" s="246" t="str">
        <f>IFERROR(__xludf.DUMMYFUNCTION("""COMPUTED_VALUE"""),"久保 渚咲
")</f>
        <v>久保 渚咲
</v>
      </c>
      <c r="F167" s="246" t="str">
        <f>IFERROR(__xludf.DUMMYFUNCTION("""COMPUTED_VALUE"""),"選定中")</f>
        <v>選定中</v>
      </c>
      <c r="G167" s="246"/>
      <c r="H167" s="246" t="str">
        <f>IFERROR(__xludf.DUMMYFUNCTION("""COMPUTED_VALUE"""),"SR")</f>
        <v>SR</v>
      </c>
      <c r="I167" s="246" t="str">
        <f>IFERROR(__xludf.DUMMYFUNCTION("""COMPUTED_VALUE"""),"DropSR")</f>
        <v>DropSR</v>
      </c>
      <c r="J167" s="246" t="str">
        <f>IFERROR(__xludf.DUMMYFUNCTION("""COMPUTED_VALUE"""),"緑")</f>
        <v>緑</v>
      </c>
      <c r="K167" s="246" t="str">
        <f>IFERROR(__xludf.DUMMYFUNCTION("""COMPUTED_VALUE"""),"chara")</f>
        <v>chara</v>
      </c>
      <c r="L167" s="246" t="str">
        <f>IFERROR(__xludf.DUMMYFUNCTION("""COMPUTED_VALUE"""),"アタック")</f>
        <v>アタック</v>
      </c>
      <c r="M167" s="246"/>
      <c r="N167" s="252"/>
      <c r="O167" s="246"/>
      <c r="P167" s="246"/>
      <c r="Q167" s="246"/>
      <c r="R167" s="246"/>
      <c r="S167" s="246"/>
      <c r="T167" s="246"/>
      <c r="U167" s="246"/>
      <c r="V167" s="246"/>
      <c r="W167" s="246"/>
      <c r="X167" s="246"/>
      <c r="Y167" s="246"/>
      <c r="Z167" s="246"/>
    </row>
    <row r="168">
      <c r="A168" s="246" t="str">
        <f>IFERROR(__xludf.DUMMYFUNCTION("""COMPUTED_VALUE"""),"c8m")</f>
        <v>c8m</v>
      </c>
      <c r="B168" s="246" t="str">
        <f>IFERROR(__xludf.DUMMYFUNCTION("""COMPUTED_VALUE"""),"ちえりの恋は8メートル")</f>
        <v>ちえりの恋は8メートル</v>
      </c>
      <c r="C168" s="246" t="str">
        <f>IFERROR(__xludf.DUMMYFUNCTION("""COMPUTED_VALUE"""),"00001")</f>
        <v>00001</v>
      </c>
      <c r="D168" s="246" t="str">
        <f>IFERROR(__xludf.DUMMYFUNCTION("""COMPUTED_VALUE"""),"chara_c8m_00001")</f>
        <v>chara_c8m_00001</v>
      </c>
      <c r="E168" s="246" t="str">
        <f>IFERROR(__xludf.DUMMYFUNCTION("""COMPUTED_VALUE"""),"大峰 ちえり
")</f>
        <v>大峰 ちえり
</v>
      </c>
      <c r="F168" s="246" t="str">
        <f>IFERROR(__xludf.DUMMYFUNCTION("""COMPUTED_VALUE"""),"選定中")</f>
        <v>選定中</v>
      </c>
      <c r="G168" s="246"/>
      <c r="H168" s="246" t="str">
        <f>IFERROR(__xludf.DUMMYFUNCTION("""COMPUTED_VALUE"""),"SR")</f>
        <v>SR</v>
      </c>
      <c r="I168" s="246" t="str">
        <f>IFERROR(__xludf.DUMMYFUNCTION("""COMPUTED_VALUE"""),"DropSR")</f>
        <v>DropSR</v>
      </c>
      <c r="J168" s="246" t="str">
        <f>IFERROR(__xludf.DUMMYFUNCTION("""COMPUTED_VALUE"""),"無")</f>
        <v>無</v>
      </c>
      <c r="K168" s="246" t="str">
        <f>IFERROR(__xludf.DUMMYFUNCTION("""COMPUTED_VALUE"""),"chara")</f>
        <v>chara</v>
      </c>
      <c r="L168" s="246" t="str">
        <f>IFERROR(__xludf.DUMMYFUNCTION("""COMPUTED_VALUE"""),"スペシャル")</f>
        <v>スペシャル</v>
      </c>
      <c r="M168" s="246"/>
      <c r="N168" s="252"/>
      <c r="O168" s="246"/>
      <c r="P168" s="246"/>
      <c r="Q168" s="246"/>
      <c r="R168" s="246"/>
      <c r="S168" s="246"/>
      <c r="T168" s="246"/>
      <c r="U168" s="246"/>
      <c r="V168" s="246"/>
      <c r="W168" s="246"/>
      <c r="X168" s="246"/>
      <c r="Y168" s="246"/>
      <c r="Z168" s="246"/>
    </row>
    <row r="169">
      <c r="A169" s="246" t="str">
        <f>IFERROR(__xludf.DUMMYFUNCTION("""COMPUTED_VALUE"""),"fan")</f>
        <v>fan</v>
      </c>
      <c r="B169" s="246" t="str">
        <f>IFERROR(__xludf.DUMMYFUNCTION("""COMPUTED_VALUE"""),"終末のハーレム ファンタジア")</f>
        <v>終末のハーレム ファンタジア</v>
      </c>
      <c r="C169" s="246" t="str">
        <f>IFERROR(__xludf.DUMMYFUNCTION("""COMPUTED_VALUE"""),"00001")</f>
        <v>00001</v>
      </c>
      <c r="D169" s="246" t="str">
        <f>IFERROR(__xludf.DUMMYFUNCTION("""COMPUTED_VALUE"""),"chara_fan_00001")</f>
        <v>chara_fan_00001</v>
      </c>
      <c r="E169" s="246" t="str">
        <f>IFERROR(__xludf.DUMMYFUNCTION("""COMPUTED_VALUE"""),"ラティ")</f>
        <v>ラティ</v>
      </c>
      <c r="F169" s="246" t="str">
        <f>IFERROR(__xludf.DUMMYFUNCTION("""COMPUTED_VALUE"""),"選定中")</f>
        <v>選定中</v>
      </c>
      <c r="G169" s="246"/>
      <c r="H169" s="246" t="str">
        <f>IFERROR(__xludf.DUMMYFUNCTION("""COMPUTED_VALUE"""),"UR")</f>
        <v>UR</v>
      </c>
      <c r="I169" s="246" t="str">
        <f>IFERROR(__xludf.DUMMYFUNCTION("""COMPUTED_VALUE"""),"PremiumUR")</f>
        <v>PremiumUR</v>
      </c>
      <c r="J169" s="246" t="str">
        <f>IFERROR(__xludf.DUMMYFUNCTION("""COMPUTED_VALUE"""),"青")</f>
        <v>青</v>
      </c>
      <c r="K169" s="246" t="str">
        <f>IFERROR(__xludf.DUMMYFUNCTION("""COMPUTED_VALUE"""),"chara")</f>
        <v>chara</v>
      </c>
      <c r="L169" s="246" t="str">
        <f>IFERROR(__xludf.DUMMYFUNCTION("""COMPUTED_VALUE"""),"テクニカル")</f>
        <v>テクニカル</v>
      </c>
      <c r="M169" s="246"/>
      <c r="N169" s="252"/>
      <c r="O169" s="246"/>
      <c r="P169" s="246"/>
      <c r="Q169" s="246"/>
      <c r="R169" s="246"/>
      <c r="S169" s="246"/>
      <c r="T169" s="246"/>
      <c r="U169" s="246"/>
      <c r="V169" s="246"/>
      <c r="W169" s="246"/>
      <c r="X169" s="246"/>
      <c r="Y169" s="246"/>
      <c r="Z169" s="246"/>
    </row>
    <row r="170">
      <c r="A170" s="246" t="str">
        <f>IFERROR(__xludf.DUMMYFUNCTION("""COMPUTED_VALUE"""),"kaw")</f>
        <v>kaw</v>
      </c>
      <c r="B170" s="246" t="str">
        <f>IFERROR(__xludf.DUMMYFUNCTION("""COMPUTED_VALUE"""),"カワイスギクライシス")</f>
        <v>カワイスギクライシス</v>
      </c>
      <c r="C170" s="246" t="str">
        <f>IFERROR(__xludf.DUMMYFUNCTION("""COMPUTED_VALUE"""),"00001")</f>
        <v>00001</v>
      </c>
      <c r="D170" s="246" t="str">
        <f>IFERROR(__xludf.DUMMYFUNCTION("""COMPUTED_VALUE"""),"chara_kaw_00001")</f>
        <v>chara_kaw_00001</v>
      </c>
      <c r="E170" s="246" t="str">
        <f>IFERROR(__xludf.DUMMYFUNCTION("""COMPUTED_VALUE"""),"リザ・ルーナ")</f>
        <v>リザ・ルーナ</v>
      </c>
      <c r="F170" s="246" t="str">
        <f>IFERROR(__xludf.DUMMYFUNCTION("""COMPUTED_VALUE"""),"選定中")</f>
        <v>選定中</v>
      </c>
      <c r="G170" s="246"/>
      <c r="H170" s="246" t="str">
        <f>IFERROR(__xludf.DUMMYFUNCTION("""COMPUTED_VALUE"""),"SR")</f>
        <v>SR</v>
      </c>
      <c r="I170" s="246" t="str">
        <f>IFERROR(__xludf.DUMMYFUNCTION("""COMPUTED_VALUE"""),"DropSR")</f>
        <v>DropSR</v>
      </c>
      <c r="J170" s="246" t="str">
        <f>IFERROR(__xludf.DUMMYFUNCTION("""COMPUTED_VALUE"""),"赤")</f>
        <v>赤</v>
      </c>
      <c r="K170" s="246" t="str">
        <f>IFERROR(__xludf.DUMMYFUNCTION("""COMPUTED_VALUE"""),"chara")</f>
        <v>chara</v>
      </c>
      <c r="L170" s="246" t="str">
        <f>IFERROR(__xludf.DUMMYFUNCTION("""COMPUTED_VALUE"""),"アタック")</f>
        <v>アタック</v>
      </c>
      <c r="M170" s="246"/>
      <c r="N170" s="252"/>
      <c r="O170" s="246"/>
      <c r="P170" s="246"/>
      <c r="Q170" s="246"/>
      <c r="R170" s="246"/>
      <c r="S170" s="246"/>
      <c r="T170" s="246"/>
      <c r="U170" s="246"/>
      <c r="V170" s="246"/>
      <c r="W170" s="246"/>
      <c r="X170" s="246"/>
      <c r="Y170" s="246"/>
      <c r="Z170" s="246"/>
    </row>
    <row r="171">
      <c r="A171" s="246" t="str">
        <f>IFERROR(__xludf.DUMMYFUNCTION("""COMPUTED_VALUE"""),"vig")</f>
        <v>vig</v>
      </c>
      <c r="B171" s="246" t="str">
        <f>IFERROR(__xludf.DUMMYFUNCTION("""COMPUTED_VALUE"""),"ヴィジランテ-僕のヒーローアカデミア ILLEGALS-")</f>
        <v>ヴィジランテ-僕のヒーローアカデミア ILLEGALS-</v>
      </c>
      <c r="C171" s="246" t="str">
        <f>IFERROR(__xludf.DUMMYFUNCTION("""COMPUTED_VALUE"""),"00001")</f>
        <v>00001</v>
      </c>
      <c r="D171" s="246" t="str">
        <f>IFERROR(__xludf.DUMMYFUNCTION("""COMPUTED_VALUE"""),"chara_vig_00001")</f>
        <v>chara_vig_00001</v>
      </c>
      <c r="E171" s="246" t="str">
        <f>IFERROR(__xludf.DUMMYFUNCTION("""COMPUTED_VALUE"""),"灰廻 航一")</f>
        <v>灰廻 航一</v>
      </c>
      <c r="F171" s="246" t="str">
        <f>IFERROR(__xludf.DUMMYFUNCTION("""COMPUTED_VALUE"""),"選定中")</f>
        <v>選定中</v>
      </c>
      <c r="G171" s="246"/>
      <c r="H171" s="246" t="str">
        <f>IFERROR(__xludf.DUMMYFUNCTION("""COMPUTED_VALUE"""),"UR")</f>
        <v>UR</v>
      </c>
      <c r="I171" s="246" t="str">
        <f>IFERROR(__xludf.DUMMYFUNCTION("""COMPUTED_VALUE"""),"PremiumUR")</f>
        <v>PremiumUR</v>
      </c>
      <c r="J171" s="246" t="str">
        <f>IFERROR(__xludf.DUMMYFUNCTION("""COMPUTED_VALUE"""),"黄")</f>
        <v>黄</v>
      </c>
      <c r="K171" s="246" t="str">
        <f>IFERROR(__xludf.DUMMYFUNCTION("""COMPUTED_VALUE"""),"chara")</f>
        <v>chara</v>
      </c>
      <c r="L171" s="246" t="str">
        <f>IFERROR(__xludf.DUMMYFUNCTION("""COMPUTED_VALUE"""),"アタック")</f>
        <v>アタック</v>
      </c>
      <c r="M171" s="246"/>
      <c r="N171" s="252"/>
      <c r="O171" s="246"/>
      <c r="P171" s="246"/>
      <c r="Q171" s="246"/>
      <c r="R171" s="246"/>
      <c r="S171" s="246"/>
      <c r="T171" s="246"/>
      <c r="U171" s="246"/>
      <c r="V171" s="246"/>
      <c r="W171" s="246"/>
      <c r="X171" s="246"/>
      <c r="Y171" s="246"/>
      <c r="Z171" s="246"/>
    </row>
    <row r="172">
      <c r="A172" s="246" t="str">
        <f>IFERROR(__xludf.DUMMYFUNCTION("""COMPUTED_VALUE"""),"vig")</f>
        <v>vig</v>
      </c>
      <c r="B172" s="246" t="str">
        <f>IFERROR(__xludf.DUMMYFUNCTION("""COMPUTED_VALUE"""),"ヴィジランテ-僕のヒーローアカデミア ILLEGALS-")</f>
        <v>ヴィジランテ-僕のヒーローアカデミア ILLEGALS-</v>
      </c>
      <c r="C172" s="246" t="str">
        <f>IFERROR(__xludf.DUMMYFUNCTION("""COMPUTED_VALUE"""),"00101")</f>
        <v>00101</v>
      </c>
      <c r="D172" s="246" t="str">
        <f>IFERROR(__xludf.DUMMYFUNCTION("""COMPUTED_VALUE"""),"chara_vig_00101")</f>
        <v>chara_vig_00101</v>
      </c>
      <c r="E172" s="246" t="str">
        <f>IFERROR(__xludf.DUMMYFUNCTION("""COMPUTED_VALUE"""),"ポップ⭐︎ステップ")</f>
        <v>ポップ⭐︎ステップ</v>
      </c>
      <c r="F172" s="246" t="str">
        <f>IFERROR(__xludf.DUMMYFUNCTION("""COMPUTED_VALUE"""),"選定中")</f>
        <v>選定中</v>
      </c>
      <c r="G172" s="246"/>
      <c r="H172" s="246" t="str">
        <f>IFERROR(__xludf.DUMMYFUNCTION("""COMPUTED_VALUE"""),"SR")</f>
        <v>SR</v>
      </c>
      <c r="I172" s="246" t="str">
        <f>IFERROR(__xludf.DUMMYFUNCTION("""COMPUTED_VALUE"""),"DropSR")</f>
        <v>DropSR</v>
      </c>
      <c r="J172" s="246" t="str">
        <f>IFERROR(__xludf.DUMMYFUNCTION("""COMPUTED_VALUE"""),"緑")</f>
        <v>緑</v>
      </c>
      <c r="K172" s="246" t="str">
        <f>IFERROR(__xludf.DUMMYFUNCTION("""COMPUTED_VALUE"""),"chara")</f>
        <v>chara</v>
      </c>
      <c r="L172" s="246" t="str">
        <f>IFERROR(__xludf.DUMMYFUNCTION("""COMPUTED_VALUE"""),"サポート")</f>
        <v>サポート</v>
      </c>
      <c r="M172" s="246"/>
      <c r="N172" s="252"/>
      <c r="O172" s="246"/>
      <c r="P172" s="246"/>
      <c r="Q172" s="246"/>
      <c r="R172" s="246"/>
      <c r="S172" s="246"/>
      <c r="T172" s="246"/>
      <c r="U172" s="246"/>
      <c r="V172" s="246"/>
      <c r="W172" s="246"/>
      <c r="X172" s="246"/>
      <c r="Y172" s="246"/>
      <c r="Z172" s="246"/>
    </row>
    <row r="173">
      <c r="A173" s="246" t="str">
        <f>IFERROR(__xludf.DUMMYFUNCTION("""COMPUTED_VALUE"""),"vig")</f>
        <v>vig</v>
      </c>
      <c r="B173" s="246" t="str">
        <f>IFERROR(__xludf.DUMMYFUNCTION("""COMPUTED_VALUE"""),"ヴィジランテ-僕のヒーローアカデミア ILLEGALS-")</f>
        <v>ヴィジランテ-僕のヒーローアカデミア ILLEGALS-</v>
      </c>
      <c r="C173" s="246" t="str">
        <f>IFERROR(__xludf.DUMMYFUNCTION("""COMPUTED_VALUE"""),"00201")</f>
        <v>00201</v>
      </c>
      <c r="D173" s="246" t="str">
        <f>IFERROR(__xludf.DUMMYFUNCTION("""COMPUTED_VALUE"""),"chara_vig_00201")</f>
        <v>chara_vig_00201</v>
      </c>
      <c r="E173" s="246" t="str">
        <f>IFERROR(__xludf.DUMMYFUNCTION("""COMPUTED_VALUE"""),"ナックルダスター")</f>
        <v>ナックルダスター</v>
      </c>
      <c r="F173" s="246" t="str">
        <f>IFERROR(__xludf.DUMMYFUNCTION("""COMPUTED_VALUE"""),"選定中")</f>
        <v>選定中</v>
      </c>
      <c r="G173" s="246"/>
      <c r="H173" s="246" t="str">
        <f>IFERROR(__xludf.DUMMYFUNCTION("""COMPUTED_VALUE"""),"SSR")</f>
        <v>SSR</v>
      </c>
      <c r="I173" s="246" t="str">
        <f>IFERROR(__xludf.DUMMYFUNCTION("""COMPUTED_VALUE"""),"PremiumSSR")</f>
        <v>PremiumSSR</v>
      </c>
      <c r="J173" s="246" t="str">
        <f>IFERROR(__xludf.DUMMYFUNCTION("""COMPUTED_VALUE"""),"黄")</f>
        <v>黄</v>
      </c>
      <c r="K173" s="246" t="str">
        <f>IFERROR(__xludf.DUMMYFUNCTION("""COMPUTED_VALUE"""),"chara")</f>
        <v>chara</v>
      </c>
      <c r="L173" s="246" t="str">
        <f>IFERROR(__xludf.DUMMYFUNCTION("""COMPUTED_VALUE"""),"ディフェンス")</f>
        <v>ディフェンス</v>
      </c>
      <c r="M173" s="246"/>
      <c r="N173" s="252"/>
      <c r="O173" s="246"/>
      <c r="P173" s="246"/>
      <c r="Q173" s="246"/>
      <c r="R173" s="246"/>
      <c r="S173" s="246"/>
      <c r="T173" s="246"/>
      <c r="U173" s="246"/>
      <c r="V173" s="246"/>
      <c r="W173" s="246"/>
      <c r="X173" s="246"/>
      <c r="Y173" s="246"/>
      <c r="Z173" s="246"/>
    </row>
    <row r="174">
      <c r="A174" s="246" t="str">
        <f>IFERROR(__xludf.DUMMYFUNCTION("""COMPUTED_VALUE"""),"vig")</f>
        <v>vig</v>
      </c>
      <c r="B174" s="246" t="str">
        <f>IFERROR(__xludf.DUMMYFUNCTION("""COMPUTED_VALUE"""),"ヴィジランテ-僕のヒーローアカデミア ILLEGALS-")</f>
        <v>ヴィジランテ-僕のヒーローアカデミア ILLEGALS-</v>
      </c>
      <c r="C174" s="246" t="str">
        <f>IFERROR(__xludf.DUMMYFUNCTION("""COMPUTED_VALUE"""),"00301")</f>
        <v>00301</v>
      </c>
      <c r="D174" s="246" t="str">
        <f>IFERROR(__xludf.DUMMYFUNCTION("""COMPUTED_VALUE"""),"chara_vig_00301")</f>
        <v>chara_vig_00301</v>
      </c>
      <c r="E174" s="246" t="str">
        <f>IFERROR(__xludf.DUMMYFUNCTION("""COMPUTED_VALUE"""),"蜂須賀九印")</f>
        <v>蜂須賀九印</v>
      </c>
      <c r="F174" s="246" t="str">
        <f>IFERROR(__xludf.DUMMYFUNCTION("""COMPUTED_VALUE"""),"選定中")</f>
        <v>選定中</v>
      </c>
      <c r="G174" s="246"/>
      <c r="H174" s="246" t="str">
        <f>IFERROR(__xludf.DUMMYFUNCTION("""COMPUTED_VALUE"""),"SR")</f>
        <v>SR</v>
      </c>
      <c r="I174" s="246" t="str">
        <f>IFERROR(__xludf.DUMMYFUNCTION("""COMPUTED_VALUE"""),"DropSR")</f>
        <v>DropSR</v>
      </c>
      <c r="J174" s="246" t="str">
        <f>IFERROR(__xludf.DUMMYFUNCTION("""COMPUTED_VALUE"""),"青")</f>
        <v>青</v>
      </c>
      <c r="K174" s="246" t="str">
        <f>IFERROR(__xludf.DUMMYFUNCTION("""COMPUTED_VALUE"""),"chara")</f>
        <v>chara</v>
      </c>
      <c r="L174" s="246" t="str">
        <f>IFERROR(__xludf.DUMMYFUNCTION("""COMPUTED_VALUE"""),"テクニカル")</f>
        <v>テクニカル</v>
      </c>
      <c r="M174" s="246"/>
      <c r="N174" s="252"/>
      <c r="O174" s="246"/>
      <c r="P174" s="246"/>
      <c r="Q174" s="246"/>
      <c r="R174" s="246"/>
      <c r="S174" s="246"/>
      <c r="T174" s="246"/>
      <c r="U174" s="246"/>
      <c r="V174" s="246"/>
      <c r="W174" s="246"/>
      <c r="X174" s="246"/>
      <c r="Y174" s="246"/>
      <c r="Z174" s="246"/>
    </row>
    <row r="175">
      <c r="A175" s="246" t="str">
        <f>IFERROR(__xludf.DUMMYFUNCTION("""COMPUTED_VALUE"""),"vig")</f>
        <v>vig</v>
      </c>
      <c r="B175" s="246" t="str">
        <f>IFERROR(__xludf.DUMMYFUNCTION("""COMPUTED_VALUE"""),"ヴィジランテ-僕のヒーローアカデミア ILLEGALS-")</f>
        <v>ヴィジランテ-僕のヒーローアカデミア ILLEGALS-</v>
      </c>
      <c r="C175" s="246"/>
      <c r="D175" s="246" t="str">
        <f>IFERROR(__xludf.DUMMYFUNCTION("""COMPUTED_VALUE"""),"chara_vig_")</f>
        <v>chara_vig_</v>
      </c>
      <c r="E175" s="246" t="str">
        <f>IFERROR(__xludf.DUMMYFUNCTION("""COMPUTED_VALUE"""),"イレイザーヘッド")</f>
        <v>イレイザーヘッド</v>
      </c>
      <c r="F175" s="246" t="str">
        <f>IFERROR(__xludf.DUMMYFUNCTION("""COMPUTED_VALUE"""),"選定中(出していいかの協議中)")</f>
        <v>選定中(出していいかの協議中)</v>
      </c>
      <c r="G175" s="246"/>
      <c r="H175" s="246" t="str">
        <f>IFERROR(__xludf.DUMMYFUNCTION("""COMPUTED_VALUE"""),"UR")</f>
        <v>UR</v>
      </c>
      <c r="I175" s="246" t="str">
        <f>IFERROR(__xludf.DUMMYFUNCTION("""COMPUTED_VALUE"""),"FestivalUR")</f>
        <v>FestivalUR</v>
      </c>
      <c r="J175" s="246" t="str">
        <f>IFERROR(__xludf.DUMMYFUNCTION("""COMPUTED_VALUE"""),"青")</f>
        <v>青</v>
      </c>
      <c r="K175" s="246" t="str">
        <f>IFERROR(__xludf.DUMMYFUNCTION("""COMPUTED_VALUE"""),"chara")</f>
        <v>chara</v>
      </c>
      <c r="L175" s="246" t="str">
        <f>IFERROR(__xludf.DUMMYFUNCTION("""COMPUTED_VALUE"""),"テクニカル")</f>
        <v>テクニカル</v>
      </c>
      <c r="M175" s="246"/>
      <c r="N175" s="252"/>
      <c r="O175" s="246"/>
      <c r="P175" s="246"/>
      <c r="Q175" s="246"/>
      <c r="R175" s="246"/>
      <c r="S175" s="246"/>
      <c r="T175" s="246"/>
      <c r="U175" s="246"/>
      <c r="V175" s="246"/>
      <c r="W175" s="246"/>
      <c r="X175" s="246"/>
      <c r="Y175" s="246"/>
      <c r="Z175" s="246"/>
    </row>
    <row r="176">
      <c r="A176" s="246" t="str">
        <f>IFERROR(__xludf.DUMMYFUNCTION("""COMPUTED_VALUE"""),"chi2")</f>
        <v>chi2</v>
      </c>
      <c r="B176" s="246" t="str">
        <f>IFERROR(__xludf.DUMMYFUNCTION("""COMPUTED_VALUE"""),"チェンソーマン 第二部")</f>
        <v>チェンソーマン 第二部</v>
      </c>
      <c r="C176" s="246" t="str">
        <f>IFERROR(__xludf.DUMMYFUNCTION("""COMPUTED_VALUE"""),"00001")</f>
        <v>00001</v>
      </c>
      <c r="D176" s="246" t="str">
        <f>IFERROR(__xludf.DUMMYFUNCTION("""COMPUTED_VALUE"""),"chara_chi2_00001")</f>
        <v>chara_chi2_00001</v>
      </c>
      <c r="E176" s="246" t="str">
        <f>IFERROR(__xludf.DUMMYFUNCTION("""COMPUTED_VALUE"""),"三鷹 アサ&amp;ヨル")</f>
        <v>三鷹 アサ&amp;ヨル</v>
      </c>
      <c r="F176" s="246" t="str">
        <f>IFERROR(__xludf.DUMMYFUNCTION("""COMPUTED_VALUE"""),"選定中")</f>
        <v>選定中</v>
      </c>
      <c r="G176" s="246"/>
      <c r="H176" s="246" t="str">
        <f>IFERROR(__xludf.DUMMYFUNCTION("""COMPUTED_VALUE"""),"UR")</f>
        <v>UR</v>
      </c>
      <c r="I176" s="246" t="str">
        <f>IFERROR(__xludf.DUMMYFUNCTION("""COMPUTED_VALUE"""),"FestivalUR")</f>
        <v>FestivalUR</v>
      </c>
      <c r="J176" s="246" t="str">
        <f>IFERROR(__xludf.DUMMYFUNCTION("""COMPUTED_VALUE"""),"緑")</f>
        <v>緑</v>
      </c>
      <c r="K176" s="246" t="str">
        <f>IFERROR(__xludf.DUMMYFUNCTION("""COMPUTED_VALUE"""),"chara")</f>
        <v>chara</v>
      </c>
      <c r="L176" s="246" t="str">
        <f>IFERROR(__xludf.DUMMYFUNCTION("""COMPUTED_VALUE"""),"アタック")</f>
        <v>アタック</v>
      </c>
      <c r="M176" s="246"/>
      <c r="N176" s="252"/>
      <c r="O176" s="246"/>
      <c r="P176" s="246"/>
      <c r="Q176" s="246"/>
      <c r="R176" s="246"/>
      <c r="S176" s="246"/>
      <c r="T176" s="246"/>
      <c r="U176" s="246"/>
      <c r="V176" s="246"/>
      <c r="W176" s="246"/>
      <c r="X176" s="246"/>
      <c r="Y176" s="246"/>
      <c r="Z176" s="246"/>
    </row>
    <row r="177">
      <c r="A177" s="246" t="str">
        <f>IFERROR(__xludf.DUMMYFUNCTION("""COMPUTED_VALUE"""),"ssm")</f>
        <v>ssm</v>
      </c>
      <c r="B177" s="246" t="str">
        <f>IFERROR(__xludf.DUMMYFUNCTION("""COMPUTED_VALUE"""),"すすめ！ジャンプへっぽこ探検隊！")</f>
        <v>すすめ！ジャンプへっぽこ探検隊！</v>
      </c>
      <c r="C177" s="246" t="str">
        <f>IFERROR(__xludf.DUMMYFUNCTION("""COMPUTED_VALUE"""),"00001")</f>
        <v>00001</v>
      </c>
      <c r="D177" s="246" t="str">
        <f>IFERROR(__xludf.DUMMYFUNCTION("""COMPUTED_VALUE"""),"chara_ssm_00001")</f>
        <v>chara_ssm_00001</v>
      </c>
      <c r="E177" s="246" t="str">
        <f>IFERROR(__xludf.DUMMYFUNCTION("""COMPUTED_VALUE"""),"サクライ タケシ 先生")</f>
        <v>サクライ タケシ 先生</v>
      </c>
      <c r="F177" s="246" t="str">
        <f>IFERROR(__xludf.DUMMYFUNCTION("""COMPUTED_VALUE"""),"選定中")</f>
        <v>選定中</v>
      </c>
      <c r="G177" s="246"/>
      <c r="H177" s="246" t="str">
        <f>IFERROR(__xludf.DUMMYFUNCTION("""COMPUTED_VALUE"""),"SSR")</f>
        <v>SSR</v>
      </c>
      <c r="I177" s="246" t="str">
        <f>IFERROR(__xludf.DUMMYFUNCTION("""COMPUTED_VALUE"""),"PremiumSR")</f>
        <v>PremiumSR</v>
      </c>
      <c r="J177" s="246" t="str">
        <f>IFERROR(__xludf.DUMMYFUNCTION("""COMPUTED_VALUE"""),"無")</f>
        <v>無</v>
      </c>
      <c r="K177" s="246" t="str">
        <f>IFERROR(__xludf.DUMMYFUNCTION("""COMPUTED_VALUE"""),"chara")</f>
        <v>chara</v>
      </c>
      <c r="L177" s="246" t="str">
        <f>IFERROR(__xludf.DUMMYFUNCTION("""COMPUTED_VALUE"""),"ディフェンス")</f>
        <v>ディフェンス</v>
      </c>
      <c r="M177" s="246"/>
      <c r="N177" s="252"/>
      <c r="O177" s="246"/>
      <c r="P177" s="246"/>
      <c r="Q177" s="246"/>
      <c r="R177" s="246"/>
      <c r="S177" s="246"/>
      <c r="T177" s="246"/>
      <c r="U177" s="246"/>
      <c r="V177" s="246"/>
      <c r="W177" s="246"/>
      <c r="X177" s="246"/>
      <c r="Y177" s="246"/>
      <c r="Z177" s="246"/>
    </row>
    <row r="178">
      <c r="A178" s="246" t="str">
        <f>IFERROR(__xludf.DUMMYFUNCTION("""COMPUTED_VALUE"""),"eiu")</f>
        <v>eiu</v>
      </c>
      <c r="B178" s="246" t="str">
        <f>IFERROR(__xludf.DUMMYFUNCTION("""COMPUTED_VALUE"""),"英雄機関")</f>
        <v>英雄機関</v>
      </c>
      <c r="C178" s="246" t="str">
        <f>IFERROR(__xludf.DUMMYFUNCTION("""COMPUTED_VALUE"""),"00001")</f>
        <v>00001</v>
      </c>
      <c r="D178" s="246" t="str">
        <f>IFERROR(__xludf.DUMMYFUNCTION("""COMPUTED_VALUE"""),"chara_eiu_00001")</f>
        <v>chara_eiu_00001</v>
      </c>
      <c r="E178" s="246" t="str">
        <f>IFERROR(__xludf.DUMMYFUNCTION("""COMPUTED_VALUE"""),"レオニダス・タイラー")</f>
        <v>レオニダス・タイラー</v>
      </c>
      <c r="F178" s="246" t="str">
        <f>IFERROR(__xludf.DUMMYFUNCTION("""COMPUTED_VALUE"""),"選定中")</f>
        <v>選定中</v>
      </c>
      <c r="G178" s="246"/>
      <c r="H178" s="246" t="str">
        <f>IFERROR(__xludf.DUMMYFUNCTION("""COMPUTED_VALUE"""),"SR")</f>
        <v>SR</v>
      </c>
      <c r="I178" s="246" t="str">
        <f>IFERROR(__xludf.DUMMYFUNCTION("""COMPUTED_VALUE"""),"DropSR")</f>
        <v>DropSR</v>
      </c>
      <c r="J178" s="246" t="str">
        <f>IFERROR(__xludf.DUMMYFUNCTION("""COMPUTED_VALUE"""),"緑")</f>
        <v>緑</v>
      </c>
      <c r="K178" s="246" t="str">
        <f>IFERROR(__xludf.DUMMYFUNCTION("""COMPUTED_VALUE"""),"chara")</f>
        <v>chara</v>
      </c>
      <c r="L178" s="246" t="str">
        <f>IFERROR(__xludf.DUMMYFUNCTION("""COMPUTED_VALUE"""),"アタック")</f>
        <v>アタック</v>
      </c>
      <c r="M178" s="246"/>
      <c r="N178" s="252"/>
      <c r="O178" s="246"/>
      <c r="P178" s="246"/>
      <c r="Q178" s="246"/>
      <c r="R178" s="246"/>
      <c r="S178" s="246"/>
      <c r="T178" s="246"/>
      <c r="U178" s="246"/>
      <c r="V178" s="246"/>
      <c r="W178" s="246"/>
      <c r="X178" s="246"/>
      <c r="Y178" s="246"/>
      <c r="Z178" s="246"/>
    </row>
    <row r="179">
      <c r="A179" s="246" t="str">
        <f>IFERROR(__xludf.DUMMYFUNCTION("""COMPUTED_VALUE"""),"exo")</f>
        <v>exo</v>
      </c>
      <c r="B179" s="246" t="str">
        <f>IFERROR(__xludf.DUMMYFUNCTION("""COMPUTED_VALUE"""),"エクソシストを堕とせない")</f>
        <v>エクソシストを堕とせない</v>
      </c>
      <c r="C179" s="246" t="str">
        <f>IFERROR(__xludf.DUMMYFUNCTION("""COMPUTED_VALUE"""),"00001")</f>
        <v>00001</v>
      </c>
      <c r="D179" s="246" t="str">
        <f>IFERROR(__xludf.DUMMYFUNCTION("""COMPUTED_VALUE"""),"chara_exo_00001")</f>
        <v>chara_exo_00001</v>
      </c>
      <c r="E179" s="246" t="str">
        <f>IFERROR(__xludf.DUMMYFUNCTION("""COMPUTED_VALUE"""),"少年神父")</f>
        <v>少年神父</v>
      </c>
      <c r="F179" s="246" t="str">
        <f>IFERROR(__xludf.DUMMYFUNCTION("""COMPUTED_VALUE"""),"選定中")</f>
        <v>選定中</v>
      </c>
      <c r="G179" s="246"/>
      <c r="H179" s="246" t="str">
        <f>IFERROR(__xludf.DUMMYFUNCTION("""COMPUTED_VALUE"""),"SR")</f>
        <v>SR</v>
      </c>
      <c r="I179" s="246" t="str">
        <f>IFERROR(__xludf.DUMMYFUNCTION("""COMPUTED_VALUE"""),"DropSR")</f>
        <v>DropSR</v>
      </c>
      <c r="J179" s="246" t="str">
        <f>IFERROR(__xludf.DUMMYFUNCTION("""COMPUTED_VALUE"""),"黄")</f>
        <v>黄</v>
      </c>
      <c r="K179" s="246" t="str">
        <f>IFERROR(__xludf.DUMMYFUNCTION("""COMPUTED_VALUE"""),"chara")</f>
        <v>chara</v>
      </c>
      <c r="L179" s="246" t="str">
        <f>IFERROR(__xludf.DUMMYFUNCTION("""COMPUTED_VALUE"""),"アタック")</f>
        <v>アタック</v>
      </c>
      <c r="M179" s="246"/>
      <c r="N179" s="252"/>
      <c r="O179" s="246"/>
      <c r="P179" s="246"/>
      <c r="Q179" s="246"/>
      <c r="R179" s="246"/>
      <c r="S179" s="246"/>
      <c r="T179" s="246"/>
      <c r="U179" s="246"/>
      <c r="V179" s="246"/>
      <c r="W179" s="246"/>
      <c r="X179" s="246"/>
      <c r="Y179" s="246"/>
      <c r="Z179" s="246"/>
    </row>
    <row r="180">
      <c r="A180" s="246" t="str">
        <f>IFERROR(__xludf.DUMMYFUNCTION("""COMPUTED_VALUE"""),"oto")</f>
        <v>oto</v>
      </c>
      <c r="B180" s="246" t="str">
        <f>IFERROR(__xludf.DUMMYFUNCTION("""COMPUTED_VALUE"""),"大人大戦")</f>
        <v>大人大戦</v>
      </c>
      <c r="C180" s="246" t="str">
        <f>IFERROR(__xludf.DUMMYFUNCTION("""COMPUTED_VALUE"""),"00001")</f>
        <v>00001</v>
      </c>
      <c r="D180" s="246" t="str">
        <f>IFERROR(__xludf.DUMMYFUNCTION("""COMPUTED_VALUE"""),"chara_oto_00001")</f>
        <v>chara_oto_00001</v>
      </c>
      <c r="E180" s="246" t="str">
        <f>IFERROR(__xludf.DUMMYFUNCTION("""COMPUTED_VALUE"""),"浦島 優太郎")</f>
        <v>浦島 優太郎</v>
      </c>
      <c r="F180" s="246"/>
      <c r="G180" s="246"/>
      <c r="H180" s="246" t="str">
        <f>IFERROR(__xludf.DUMMYFUNCTION("""COMPUTED_VALUE"""),"SR")</f>
        <v>SR</v>
      </c>
      <c r="I180" s="246" t="str">
        <f>IFERROR(__xludf.DUMMYFUNCTION("""COMPUTED_VALUE"""),"DropSR")</f>
        <v>DropSR</v>
      </c>
      <c r="J180" s="246" t="str">
        <f>IFERROR(__xludf.DUMMYFUNCTION("""COMPUTED_VALUE"""),"赤")</f>
        <v>赤</v>
      </c>
      <c r="K180" s="246" t="str">
        <f>IFERROR(__xludf.DUMMYFUNCTION("""COMPUTED_VALUE"""),"chara")</f>
        <v>chara</v>
      </c>
      <c r="L180" s="246" t="str">
        <f>IFERROR(__xludf.DUMMYFUNCTION("""COMPUTED_VALUE"""),"サポート")</f>
        <v>サポート</v>
      </c>
      <c r="M180" s="246"/>
      <c r="N180" s="252"/>
      <c r="O180" s="246"/>
      <c r="P180" s="246"/>
      <c r="Q180" s="246"/>
      <c r="R180" s="246"/>
      <c r="S180" s="246"/>
      <c r="T180" s="246"/>
      <c r="U180" s="246"/>
      <c r="V180" s="246"/>
      <c r="W180" s="246"/>
      <c r="X180" s="246"/>
      <c r="Y180" s="246"/>
      <c r="Z180" s="246"/>
    </row>
    <row r="181">
      <c r="A181" s="246"/>
      <c r="B181" s="246" t="str">
        <f>IFERROR(__xludf.DUMMYFUNCTION("""COMPUTED_VALUE"""),"error")</f>
        <v>error</v>
      </c>
      <c r="C181" s="246"/>
      <c r="D181" s="246" t="str">
        <f>IFERROR(__xludf.DUMMYFUNCTION("""COMPUTED_VALUE"""),"__")</f>
        <v>__</v>
      </c>
      <c r="E181" s="246"/>
      <c r="F181" s="246"/>
      <c r="G181" s="246"/>
      <c r="H181" s="246"/>
      <c r="I181" s="246"/>
      <c r="J181" s="246"/>
      <c r="K181" s="246"/>
      <c r="L181" s="246"/>
      <c r="M181" s="246"/>
      <c r="N181" s="252"/>
      <c r="O181" s="246"/>
      <c r="P181" s="246"/>
      <c r="Q181" s="246"/>
      <c r="R181" s="246"/>
      <c r="S181" s="246"/>
      <c r="T181" s="246"/>
      <c r="U181" s="246"/>
      <c r="V181" s="246"/>
      <c r="W181" s="246"/>
      <c r="X181" s="246"/>
      <c r="Y181" s="246"/>
      <c r="Z181" s="246"/>
    </row>
    <row r="182">
      <c r="A182" s="246"/>
      <c r="B182" s="246" t="str">
        <f>IFERROR(__xludf.DUMMYFUNCTION("""COMPUTED_VALUE"""),"error")</f>
        <v>error</v>
      </c>
      <c r="C182" s="246"/>
      <c r="D182" s="246" t="str">
        <f>IFERROR(__xludf.DUMMYFUNCTION("""COMPUTED_VALUE"""),"__")</f>
        <v>__</v>
      </c>
      <c r="E182" s="246"/>
      <c r="F182" s="246"/>
      <c r="G182" s="246"/>
      <c r="H182" s="246"/>
      <c r="I182" s="246"/>
      <c r="J182" s="246"/>
      <c r="K182" s="246"/>
      <c r="L182" s="246"/>
      <c r="M182" s="246"/>
      <c r="N182" s="252"/>
      <c r="O182" s="246"/>
      <c r="P182" s="246"/>
      <c r="Q182" s="246"/>
      <c r="R182" s="246"/>
      <c r="S182" s="246"/>
      <c r="T182" s="246"/>
      <c r="U182" s="246"/>
      <c r="V182" s="246"/>
      <c r="W182" s="246"/>
      <c r="X182" s="246"/>
      <c r="Y182" s="246"/>
      <c r="Z182" s="246"/>
    </row>
    <row r="183">
      <c r="A183" s="246"/>
      <c r="B183" s="246" t="str">
        <f>IFERROR(__xludf.DUMMYFUNCTION("""COMPUTED_VALUE"""),"error")</f>
        <v>error</v>
      </c>
      <c r="C183" s="246"/>
      <c r="D183" s="246" t="str">
        <f>IFERROR(__xludf.DUMMYFUNCTION("""COMPUTED_VALUE"""),"__")</f>
        <v>__</v>
      </c>
      <c r="E183" s="246"/>
      <c r="F183" s="246"/>
      <c r="G183" s="246"/>
      <c r="H183" s="246"/>
      <c r="I183" s="246"/>
      <c r="J183" s="246"/>
      <c r="K183" s="246"/>
      <c r="L183" s="246"/>
      <c r="M183" s="246"/>
      <c r="N183" s="252"/>
      <c r="O183" s="246"/>
      <c r="P183" s="246"/>
      <c r="Q183" s="246"/>
      <c r="R183" s="246"/>
      <c r="S183" s="246"/>
      <c r="T183" s="246"/>
      <c r="U183" s="246"/>
      <c r="V183" s="246"/>
      <c r="W183" s="246"/>
      <c r="X183" s="246"/>
      <c r="Y183" s="246"/>
      <c r="Z183" s="246"/>
    </row>
    <row r="184">
      <c r="A184" s="246"/>
      <c r="B184" s="246" t="str">
        <f>IFERROR(__xludf.DUMMYFUNCTION("""COMPUTED_VALUE"""),"error")</f>
        <v>error</v>
      </c>
      <c r="C184" s="246"/>
      <c r="D184" s="246" t="str">
        <f>IFERROR(__xludf.DUMMYFUNCTION("""COMPUTED_VALUE"""),"__")</f>
        <v>__</v>
      </c>
      <c r="E184" s="246"/>
      <c r="F184" s="246"/>
      <c r="G184" s="246"/>
      <c r="H184" s="246"/>
      <c r="I184" s="246"/>
      <c r="J184" s="246"/>
      <c r="K184" s="246"/>
      <c r="L184" s="246"/>
      <c r="M184" s="246"/>
      <c r="N184" s="252"/>
      <c r="O184" s="246"/>
      <c r="P184" s="246"/>
      <c r="Q184" s="246"/>
      <c r="R184" s="246"/>
      <c r="S184" s="246"/>
      <c r="T184" s="246"/>
      <c r="U184" s="246"/>
      <c r="V184" s="246"/>
      <c r="W184" s="246"/>
      <c r="X184" s="246"/>
      <c r="Y184" s="246"/>
      <c r="Z184" s="246"/>
    </row>
    <row r="185">
      <c r="A185" s="246"/>
      <c r="B185" s="246" t="str">
        <f>IFERROR(__xludf.DUMMYFUNCTION("""COMPUTED_VALUE"""),"error")</f>
        <v>error</v>
      </c>
      <c r="C185" s="246"/>
      <c r="D185" s="246" t="str">
        <f>IFERROR(__xludf.DUMMYFUNCTION("""COMPUTED_VALUE"""),"__")</f>
        <v>__</v>
      </c>
      <c r="E185" s="246"/>
      <c r="F185" s="246"/>
      <c r="G185" s="246"/>
      <c r="H185" s="246"/>
      <c r="I185" s="246"/>
      <c r="J185" s="246"/>
      <c r="K185" s="246"/>
      <c r="L185" s="246"/>
      <c r="M185" s="246"/>
      <c r="N185" s="252"/>
      <c r="O185" s="246"/>
      <c r="P185" s="246"/>
      <c r="Q185" s="246"/>
      <c r="R185" s="246"/>
      <c r="S185" s="246"/>
      <c r="T185" s="246"/>
      <c r="U185" s="246"/>
      <c r="V185" s="246"/>
      <c r="W185" s="246"/>
      <c r="X185" s="246"/>
      <c r="Y185" s="246"/>
      <c r="Z185" s="246"/>
    </row>
    <row r="186">
      <c r="A186" s="246"/>
      <c r="B186" s="246" t="str">
        <f>IFERROR(__xludf.DUMMYFUNCTION("""COMPUTED_VALUE"""),"error")</f>
        <v>error</v>
      </c>
      <c r="C186" s="246"/>
      <c r="D186" s="246" t="str">
        <f>IFERROR(__xludf.DUMMYFUNCTION("""COMPUTED_VALUE"""),"__")</f>
        <v>__</v>
      </c>
      <c r="E186" s="246"/>
      <c r="F186" s="246"/>
      <c r="G186" s="246"/>
      <c r="H186" s="246"/>
      <c r="I186" s="246"/>
      <c r="J186" s="246"/>
      <c r="K186" s="246"/>
      <c r="L186" s="246"/>
      <c r="M186" s="246"/>
      <c r="N186" s="252"/>
      <c r="O186" s="246"/>
      <c r="P186" s="246"/>
      <c r="Q186" s="246"/>
      <c r="R186" s="246"/>
      <c r="S186" s="246"/>
      <c r="T186" s="246"/>
      <c r="U186" s="246"/>
      <c r="V186" s="246"/>
      <c r="W186" s="246"/>
      <c r="X186" s="246"/>
      <c r="Y186" s="246"/>
      <c r="Z186" s="246"/>
    </row>
    <row r="187">
      <c r="A187" s="246"/>
      <c r="B187" s="246" t="str">
        <f>IFERROR(__xludf.DUMMYFUNCTION("""COMPUTED_VALUE"""),"error")</f>
        <v>error</v>
      </c>
      <c r="C187" s="246"/>
      <c r="D187" s="246" t="str">
        <f>IFERROR(__xludf.DUMMYFUNCTION("""COMPUTED_VALUE"""),"__")</f>
        <v>__</v>
      </c>
      <c r="E187" s="246"/>
      <c r="F187" s="246"/>
      <c r="G187" s="246"/>
      <c r="H187" s="246"/>
      <c r="I187" s="246"/>
      <c r="J187" s="246"/>
      <c r="K187" s="246"/>
      <c r="L187" s="246"/>
      <c r="M187" s="246"/>
      <c r="N187" s="252"/>
      <c r="O187" s="246"/>
      <c r="P187" s="246"/>
      <c r="Q187" s="246"/>
      <c r="R187" s="246"/>
      <c r="S187" s="246"/>
      <c r="T187" s="246"/>
      <c r="U187" s="246"/>
      <c r="V187" s="246"/>
      <c r="W187" s="246"/>
      <c r="X187" s="246"/>
      <c r="Y187" s="246"/>
      <c r="Z187" s="246"/>
    </row>
    <row r="188">
      <c r="A188" s="246"/>
      <c r="B188" s="246" t="str">
        <f>IFERROR(__xludf.DUMMYFUNCTION("""COMPUTED_VALUE"""),"error")</f>
        <v>error</v>
      </c>
      <c r="C188" s="246"/>
      <c r="D188" s="246" t="str">
        <f>IFERROR(__xludf.DUMMYFUNCTION("""COMPUTED_VALUE"""),"__")</f>
        <v>__</v>
      </c>
      <c r="E188" s="246"/>
      <c r="F188" s="246"/>
      <c r="G188" s="246"/>
      <c r="H188" s="246"/>
      <c r="I188" s="246"/>
      <c r="J188" s="246"/>
      <c r="K188" s="246"/>
      <c r="L188" s="246"/>
      <c r="M188" s="246"/>
      <c r="N188" s="252"/>
      <c r="O188" s="246"/>
      <c r="P188" s="246"/>
      <c r="Q188" s="246"/>
      <c r="R188" s="246"/>
      <c r="S188" s="246"/>
      <c r="T188" s="246"/>
      <c r="U188" s="246"/>
      <c r="V188" s="246"/>
      <c r="W188" s="246"/>
      <c r="X188" s="246"/>
      <c r="Y188" s="246"/>
      <c r="Z188" s="246"/>
    </row>
    <row r="189">
      <c r="A189" s="246"/>
      <c r="B189" s="246" t="str">
        <f>IFERROR(__xludf.DUMMYFUNCTION("""COMPUTED_VALUE"""),"error")</f>
        <v>error</v>
      </c>
      <c r="C189" s="246"/>
      <c r="D189" s="246" t="str">
        <f>IFERROR(__xludf.DUMMYFUNCTION("""COMPUTED_VALUE"""),"__")</f>
        <v>__</v>
      </c>
      <c r="E189" s="246"/>
      <c r="F189" s="246"/>
      <c r="G189" s="246"/>
      <c r="H189" s="246"/>
      <c r="I189" s="246"/>
      <c r="J189" s="246"/>
      <c r="K189" s="246"/>
      <c r="L189" s="246"/>
      <c r="M189" s="246"/>
      <c r="N189" s="252"/>
      <c r="O189" s="246"/>
      <c r="P189" s="246"/>
      <c r="Q189" s="246"/>
      <c r="R189" s="246"/>
      <c r="S189" s="246"/>
      <c r="T189" s="246"/>
      <c r="U189" s="246"/>
      <c r="V189" s="246"/>
      <c r="W189" s="246"/>
      <c r="X189" s="246"/>
      <c r="Y189" s="246"/>
      <c r="Z189" s="246"/>
    </row>
    <row r="190">
      <c r="A190" s="246"/>
      <c r="B190" s="246" t="str">
        <f>IFERROR(__xludf.DUMMYFUNCTION("""COMPUTED_VALUE"""),"error")</f>
        <v>error</v>
      </c>
      <c r="C190" s="246"/>
      <c r="D190" s="246" t="str">
        <f>IFERROR(__xludf.DUMMYFUNCTION("""COMPUTED_VALUE"""),"__")</f>
        <v>__</v>
      </c>
      <c r="E190" s="246"/>
      <c r="F190" s="246"/>
      <c r="G190" s="246"/>
      <c r="H190" s="246"/>
      <c r="I190" s="246"/>
      <c r="J190" s="246"/>
      <c r="K190" s="246"/>
      <c r="L190" s="246"/>
      <c r="M190" s="246"/>
      <c r="N190" s="252"/>
      <c r="O190" s="246"/>
      <c r="P190" s="246"/>
      <c r="Q190" s="246"/>
      <c r="R190" s="246"/>
      <c r="S190" s="246"/>
      <c r="T190" s="246"/>
      <c r="U190" s="246"/>
      <c r="V190" s="246"/>
      <c r="W190" s="246"/>
      <c r="X190" s="246"/>
      <c r="Y190" s="246"/>
      <c r="Z190" s="246"/>
    </row>
    <row r="191">
      <c r="A191" s="246" t="str">
        <f>IFERROR(__xludf.DUMMYFUNCTION("""COMPUTED_VALUE"""),"以下エネミーを記載")</f>
        <v>以下エネミーを記載</v>
      </c>
      <c r="B191" s="246"/>
      <c r="C191" s="246"/>
      <c r="D191" s="246"/>
      <c r="E191" s="246"/>
      <c r="F191" s="246" t="str">
        <f>IFERROR(__xludf.DUMMYFUNCTION("""COMPUTED_VALUE"""),"以下エネミーを記載")</f>
        <v>以下エネミーを記載</v>
      </c>
      <c r="G191" s="246"/>
      <c r="H191" s="246"/>
      <c r="I191" s="246"/>
      <c r="J191" s="246"/>
      <c r="K191" s="246" t="str">
        <f>IFERROR(__xludf.DUMMYFUNCTION("""COMPUTED_VALUE"""),"以下エネミーを記載")</f>
        <v>以下エネミーを記載</v>
      </c>
      <c r="L191" s="246"/>
      <c r="M191" s="246"/>
      <c r="N191" s="252"/>
      <c r="O191" s="246"/>
      <c r="P191" s="246"/>
      <c r="Q191" s="246" t="str">
        <f>IFERROR(__xludf.DUMMYFUNCTION("""COMPUTED_VALUE"""),"以下エネミーを記載")</f>
        <v>以下エネミーを記載</v>
      </c>
      <c r="R191" s="246"/>
      <c r="S191" s="246"/>
      <c r="T191" s="246"/>
      <c r="U191" s="246"/>
      <c r="V191" s="246" t="str">
        <f>IFERROR(__xludf.DUMMYFUNCTION("""COMPUTED_VALUE"""),"以下エネミーを記載")</f>
        <v>以下エネミーを記載</v>
      </c>
      <c r="W191" s="246"/>
      <c r="X191" s="246"/>
      <c r="Y191" s="246"/>
      <c r="Z191" s="246"/>
    </row>
    <row r="192">
      <c r="A192" s="246"/>
      <c r="B192" s="246"/>
      <c r="C192" s="246"/>
      <c r="D192" s="246"/>
      <c r="E192" s="246"/>
      <c r="F192" s="246"/>
      <c r="G192" s="246"/>
      <c r="H192" s="246"/>
      <c r="I192" s="246"/>
      <c r="J192" s="246"/>
      <c r="K192" s="246"/>
      <c r="L192" s="246"/>
      <c r="M192" s="246"/>
      <c r="N192" s="252"/>
      <c r="O192" s="246"/>
      <c r="P192" s="246"/>
      <c r="Q192" s="246"/>
      <c r="R192" s="246"/>
      <c r="S192" s="246"/>
      <c r="T192" s="246"/>
      <c r="U192" s="246"/>
      <c r="V192" s="246"/>
      <c r="W192" s="246"/>
      <c r="X192" s="246"/>
      <c r="Y192" s="246"/>
      <c r="Z192" s="246"/>
    </row>
    <row r="193">
      <c r="A193" s="246" t="str">
        <f>IFERROR(__xludf.DUMMYFUNCTION("""COMPUTED_VALUE"""),"spy")</f>
        <v>spy</v>
      </c>
      <c r="B193" s="246" t="str">
        <f>IFERROR(__xludf.DUMMYFUNCTION("""COMPUTED_VALUE"""),"SPY×FAMILY")</f>
        <v>SPY×FAMILY</v>
      </c>
      <c r="C193" s="246" t="str">
        <f>IFERROR(__xludf.DUMMYFUNCTION("""COMPUTED_VALUE"""),"00001")</f>
        <v>00001</v>
      </c>
      <c r="D193" s="246" t="str">
        <f>IFERROR(__xludf.DUMMYFUNCTION("""COMPUTED_VALUE"""),"enemy_spy_00001")</f>
        <v>enemy_spy_00001</v>
      </c>
      <c r="E193" s="246" t="str">
        <f>IFERROR(__xludf.DUMMYFUNCTION("""COMPUTED_VALUE"""),"密輸組織の残党")</f>
        <v>密輸組織の残党</v>
      </c>
      <c r="F193" s="246" t="str">
        <f>IFERROR(__xludf.DUMMYFUNCTION("""COMPUTED_VALUE"""),"密輸組織の残党")</f>
        <v>密輸組織の残党</v>
      </c>
      <c r="G193" s="246"/>
      <c r="H193" s="246"/>
      <c r="I193" s="246"/>
      <c r="J193" s="246"/>
      <c r="K193" s="246" t="str">
        <f>IFERROR(__xludf.DUMMYFUNCTION("""COMPUTED_VALUE"""),"enemy")</f>
        <v>enemy</v>
      </c>
      <c r="L193" s="246"/>
      <c r="M193" s="246" t="str">
        <f>IFERROR(__xludf.DUMMYFUNCTION("""COMPUTED_VALUE"""),"shageki_1")</f>
        <v>shageki_1</v>
      </c>
      <c r="N193" s="252" t="str">
        <f>IFERROR(__xludf.DUMMYFUNCTION("""COMPUTED_VALUE"""),"Short")</f>
        <v>Short</v>
      </c>
      <c r="O193" s="246"/>
      <c r="P193" s="246"/>
      <c r="Q193" s="246" t="str">
        <f>IFERROR(__xludf.DUMMYFUNCTION("""COMPUTED_VALUE"""),"1.00")</f>
        <v>1.00</v>
      </c>
      <c r="R193" s="246" t="str">
        <f>IFERROR(__xludf.DUMMYFUNCTION("""COMPUTED_VALUE"""),"0.17")</f>
        <v>0.17</v>
      </c>
      <c r="S193" s="246" t="str">
        <f>IFERROR(__xludf.DUMMYFUNCTION("""COMPUTED_VALUE"""),"-")</f>
        <v>-</v>
      </c>
      <c r="T193" s="246" t="str">
        <f>IFERROR(__xludf.DUMMYFUNCTION("""COMPUTED_VALUE"""),"-")</f>
        <v>-</v>
      </c>
      <c r="U193" s="246">
        <f>IFERROR(__xludf.DUMMYFUNCTION("""COMPUTED_VALUE"""),45658.0)</f>
        <v>45658</v>
      </c>
      <c r="V193" s="246">
        <f>IFERROR(__xludf.DUMMYFUNCTION("""COMPUTED_VALUE"""),390812.49998842593)</f>
        <v>390812.5</v>
      </c>
      <c r="W193" s="246" t="str">
        <f>IFERROR(__xludf.DUMMYFUNCTION("""COMPUTED_VALUE"""),"catchcopy_character_enemy_spy_00001.png")</f>
        <v>catchcopy_character_enemy_spy_00001.png</v>
      </c>
      <c r="X193" s="246" t="str">
        <f>IFERROR(__xludf.DUMMYFUNCTION("""COMPUTED_VALUE"""),"enemy_icon_enemy_spy_00001")</f>
        <v>enemy_icon_enemy_spy_00001</v>
      </c>
      <c r="Y193" s="246" t="str">
        <f>IFERROR(__xludf.DUMMYFUNCTION("""COMPUTED_VALUE"""),"boss_icon_enemy_spy_00001")</f>
        <v>boss_icon_enemy_spy_00001</v>
      </c>
      <c r="Z193" s="246" t="str">
        <f>IFERROR(__xludf.DUMMYFUNCTION("""COMPUTED_VALUE"""),"enemy_spy_00001_normal")</f>
        <v>enemy_spy_00001_normal</v>
      </c>
    </row>
    <row r="194">
      <c r="A194" s="246" t="str">
        <f>IFERROR(__xludf.DUMMYFUNCTION("""COMPUTED_VALUE"""),"spy")</f>
        <v>spy</v>
      </c>
      <c r="B194" s="246" t="str">
        <f>IFERROR(__xludf.DUMMYFUNCTION("""COMPUTED_VALUE"""),"SPY×FAMILY")</f>
        <v>SPY×FAMILY</v>
      </c>
      <c r="C194" s="246" t="str">
        <f>IFERROR(__xludf.DUMMYFUNCTION("""COMPUTED_VALUE"""),"00101")</f>
        <v>00101</v>
      </c>
      <c r="D194" s="246" t="str">
        <f>IFERROR(__xludf.DUMMYFUNCTION("""COMPUTED_VALUE"""),"enemy_spy_00101")</f>
        <v>enemy_spy_00101</v>
      </c>
      <c r="E194" s="246" t="str">
        <f>IFERROR(__xludf.DUMMYFUNCTION("""COMPUTED_VALUE"""),"グエン")</f>
        <v>グエン</v>
      </c>
      <c r="F194" s="246" t="str">
        <f>IFERROR(__xludf.DUMMYFUNCTION("""COMPUTED_VALUE"""),"グエン")</f>
        <v>グエン</v>
      </c>
      <c r="G194" s="246"/>
      <c r="H194" s="246"/>
      <c r="I194" s="246"/>
      <c r="J194" s="246"/>
      <c r="K194" s="246" t="str">
        <f>IFERROR(__xludf.DUMMYFUNCTION("""COMPUTED_VALUE"""),"enemy")</f>
        <v>enemy</v>
      </c>
      <c r="L194" s="246"/>
      <c r="M194" s="246" t="str">
        <f>IFERROR(__xludf.DUMMYFUNCTION("""COMPUTED_VALUE"""),"dageki_1")</f>
        <v>dageki_1</v>
      </c>
      <c r="N194" s="252" t="str">
        <f>IFERROR(__xludf.DUMMYFUNCTION("""COMPUTED_VALUE"""),"Long")</f>
        <v>Long</v>
      </c>
      <c r="O194" s="246"/>
      <c r="P194" s="246"/>
      <c r="Q194" s="246" t="str">
        <f>IFERROR(__xludf.DUMMYFUNCTION("""COMPUTED_VALUE"""),"1.20")</f>
        <v>1.20</v>
      </c>
      <c r="R194" s="246" t="str">
        <f>IFERROR(__xludf.DUMMYFUNCTION("""COMPUTED_VALUE"""),"0.50")</f>
        <v>0.50</v>
      </c>
      <c r="S194" s="246" t="str">
        <f>IFERROR(__xludf.DUMMYFUNCTION("""COMPUTED_VALUE"""),"-")</f>
        <v>-</v>
      </c>
      <c r="T194" s="246" t="str">
        <f>IFERROR(__xludf.DUMMYFUNCTION("""COMPUTED_VALUE"""),"-")</f>
        <v>-</v>
      </c>
      <c r="U194" s="246">
        <f>IFERROR(__xludf.DUMMYFUNCTION("""COMPUTED_VALUE"""),45658.0)</f>
        <v>45658</v>
      </c>
      <c r="V194" s="246">
        <f>IFERROR(__xludf.DUMMYFUNCTION("""COMPUTED_VALUE"""),390812.49998842593)</f>
        <v>390812.5</v>
      </c>
      <c r="W194" s="246" t="str">
        <f>IFERROR(__xludf.DUMMYFUNCTION("""COMPUTED_VALUE"""),"catchcopy_character_enemy_spy_00101.png")</f>
        <v>catchcopy_character_enemy_spy_00101.png</v>
      </c>
      <c r="X194" s="246" t="str">
        <f>IFERROR(__xludf.DUMMYFUNCTION("""COMPUTED_VALUE"""),"enemy_icon_enemy_spy_00101")</f>
        <v>enemy_icon_enemy_spy_00101</v>
      </c>
      <c r="Y194" s="246" t="str">
        <f>IFERROR(__xludf.DUMMYFUNCTION("""COMPUTED_VALUE"""),"boss_icon_enemy_spy_00101")</f>
        <v>boss_icon_enemy_spy_00101</v>
      </c>
      <c r="Z194" s="246" t="str">
        <f>IFERROR(__xludf.DUMMYFUNCTION("""COMPUTED_VALUE"""),"enemy_spy_00101_normal")</f>
        <v>enemy_spy_00101_normal</v>
      </c>
    </row>
    <row r="195">
      <c r="A195" s="246" t="str">
        <f>IFERROR(__xludf.DUMMYFUNCTION("""COMPUTED_VALUE"""),"spy")</f>
        <v>spy</v>
      </c>
      <c r="B195" s="246" t="str">
        <f>IFERROR(__xludf.DUMMYFUNCTION("""COMPUTED_VALUE"""),"SPY×FAMILY")</f>
        <v>SPY×FAMILY</v>
      </c>
      <c r="C195" s="246" t="str">
        <f>IFERROR(__xludf.DUMMYFUNCTION("""COMPUTED_VALUE"""),"00201")</f>
        <v>00201</v>
      </c>
      <c r="D195" s="246" t="str">
        <f>IFERROR(__xludf.DUMMYFUNCTION("""COMPUTED_VALUE"""),"enemy_spy_00201")</f>
        <v>enemy_spy_00201</v>
      </c>
      <c r="E195" s="246" t="str">
        <f>IFERROR(__xludf.DUMMYFUNCTION("""COMPUTED_VALUE"""),"鎖窯使いのバーナビー")</f>
        <v>鎖窯使いのバーナビー</v>
      </c>
      <c r="F195" s="246"/>
      <c r="G195" s="246"/>
      <c r="H195" s="246"/>
      <c r="I195" s="246"/>
      <c r="J195" s="246"/>
      <c r="K195" s="246" t="str">
        <f>IFERROR(__xludf.DUMMYFUNCTION("""COMPUTED_VALUE"""),"enemy")</f>
        <v>enemy</v>
      </c>
      <c r="L195" s="246"/>
      <c r="M195" s="246"/>
      <c r="N195" s="252" t="str">
        <f>IFERROR(__xludf.DUMMYFUNCTION("""COMPUTED_VALUE"""),"Long")</f>
        <v>Long</v>
      </c>
      <c r="O195" s="246"/>
      <c r="P195" s="246"/>
      <c r="Q195" s="246"/>
      <c r="R195" s="246"/>
      <c r="S195" s="246" t="str">
        <f>IFERROR(__xludf.DUMMYFUNCTION("""COMPUTED_VALUE"""),"-")</f>
        <v>-</v>
      </c>
      <c r="T195" s="246" t="str">
        <f>IFERROR(__xludf.DUMMYFUNCTION("""COMPUTED_VALUE"""),"-")</f>
        <v>-</v>
      </c>
      <c r="U195" s="246">
        <f>IFERROR(__xludf.DUMMYFUNCTION("""COMPUTED_VALUE"""),45658.0)</f>
        <v>45658</v>
      </c>
      <c r="V195" s="246">
        <f>IFERROR(__xludf.DUMMYFUNCTION("""COMPUTED_VALUE"""),390812.49998842593)</f>
        <v>390812.5</v>
      </c>
      <c r="W195" s="246" t="str">
        <f>IFERROR(__xludf.DUMMYFUNCTION("""COMPUTED_VALUE"""),"catchcopy_character_enemy_spy_00201.png")</f>
        <v>catchcopy_character_enemy_spy_00201.png</v>
      </c>
      <c r="X195" s="246" t="str">
        <f>IFERROR(__xludf.DUMMYFUNCTION("""COMPUTED_VALUE"""),"enemy_icon_enemy_spy_00201")</f>
        <v>enemy_icon_enemy_spy_00201</v>
      </c>
      <c r="Y195" s="246" t="str">
        <f>IFERROR(__xludf.DUMMYFUNCTION("""COMPUTED_VALUE"""),"boss_icon_enemy_spy_00201")</f>
        <v>boss_icon_enemy_spy_00201</v>
      </c>
      <c r="Z195" s="246"/>
    </row>
    <row r="196">
      <c r="A196" s="246" t="str">
        <f>IFERROR(__xludf.DUMMYFUNCTION("""COMPUTED_VALUE"""),"spy")</f>
        <v>spy</v>
      </c>
      <c r="B196" s="246" t="str">
        <f>IFERROR(__xludf.DUMMYFUNCTION("""COMPUTED_VALUE"""),"SPY×FAMILY")</f>
        <v>SPY×FAMILY</v>
      </c>
      <c r="C196" s="246" t="str">
        <f>IFERROR(__xludf.DUMMYFUNCTION("""COMPUTED_VALUE"""),"00301")</f>
        <v>00301</v>
      </c>
      <c r="D196" s="246" t="str">
        <f>IFERROR(__xludf.DUMMYFUNCTION("""COMPUTED_VALUE"""),"enemy_spy_00301")</f>
        <v>enemy_spy_00301</v>
      </c>
      <c r="E196" s="246" t="str">
        <f>IFERROR(__xludf.DUMMYFUNCTION("""COMPUTED_VALUE"""),"毒霧使い")</f>
        <v>毒霧使い</v>
      </c>
      <c r="F196" s="246"/>
      <c r="G196" s="246"/>
      <c r="H196" s="246"/>
      <c r="I196" s="246"/>
      <c r="J196" s="246"/>
      <c r="K196" s="246" t="str">
        <f>IFERROR(__xludf.DUMMYFUNCTION("""COMPUTED_VALUE"""),"enemy")</f>
        <v>enemy</v>
      </c>
      <c r="L196" s="246"/>
      <c r="M196" s="246"/>
      <c r="N196" s="252" t="str">
        <f>IFERROR(__xludf.DUMMYFUNCTION("""COMPUTED_VALUE"""),"Middle")</f>
        <v>Middle</v>
      </c>
      <c r="O196" s="246"/>
      <c r="P196" s="246"/>
      <c r="Q196" s="246"/>
      <c r="R196" s="246"/>
      <c r="S196" s="246" t="str">
        <f>IFERROR(__xludf.DUMMYFUNCTION("""COMPUTED_VALUE"""),"-")</f>
        <v>-</v>
      </c>
      <c r="T196" s="246" t="str">
        <f>IFERROR(__xludf.DUMMYFUNCTION("""COMPUTED_VALUE"""),"-")</f>
        <v>-</v>
      </c>
      <c r="U196" s="246">
        <f>IFERROR(__xludf.DUMMYFUNCTION("""COMPUTED_VALUE"""),45658.0)</f>
        <v>45658</v>
      </c>
      <c r="V196" s="246">
        <f>IFERROR(__xludf.DUMMYFUNCTION("""COMPUTED_VALUE"""),390812.49998842593)</f>
        <v>390812.5</v>
      </c>
      <c r="W196" s="246" t="str">
        <f>IFERROR(__xludf.DUMMYFUNCTION("""COMPUTED_VALUE"""),"catchcopy_character_enemy_spy_00301.png")</f>
        <v>catchcopy_character_enemy_spy_00301.png</v>
      </c>
      <c r="X196" s="246" t="str">
        <f>IFERROR(__xludf.DUMMYFUNCTION("""COMPUTED_VALUE"""),"enemy_icon_enemy_spy_00301")</f>
        <v>enemy_icon_enemy_spy_00301</v>
      </c>
      <c r="Y196" s="246" t="str">
        <f>IFERROR(__xludf.DUMMYFUNCTION("""COMPUTED_VALUE"""),"boss_icon_enemy_spy_00301")</f>
        <v>boss_icon_enemy_spy_00301</v>
      </c>
      <c r="Z196" s="246"/>
    </row>
    <row r="197">
      <c r="A197" s="246" t="str">
        <f>IFERROR(__xludf.DUMMYFUNCTION("""COMPUTED_VALUE"""),"dan")</f>
        <v>dan</v>
      </c>
      <c r="B197" s="246" t="str">
        <f>IFERROR(__xludf.DUMMYFUNCTION("""COMPUTED_VALUE"""),"ダンダダン")</f>
        <v>ダンダダン</v>
      </c>
      <c r="C197" s="246" t="str">
        <f>IFERROR(__xludf.DUMMYFUNCTION("""COMPUTED_VALUE"""),"00001")</f>
        <v>00001</v>
      </c>
      <c r="D197" s="246" t="str">
        <f>IFERROR(__xludf.DUMMYFUNCTION("""COMPUTED_VALUE"""),"enemy_dan_00001")</f>
        <v>enemy_dan_00001</v>
      </c>
      <c r="E197" s="246" t="str">
        <f>IFERROR(__xludf.DUMMYFUNCTION("""COMPUTED_VALUE"""),"セルポ星人")</f>
        <v>セルポ星人</v>
      </c>
      <c r="F197" s="246" t="str">
        <f>IFERROR(__xludf.DUMMYFUNCTION("""COMPUTED_VALUE"""),"セルポ星人")</f>
        <v>セルポ星人</v>
      </c>
      <c r="G197" s="246" t="str">
        <f>IFERROR(__xludf.DUMMYFUNCTION("""COMPUTED_VALUE"""),"ー")</f>
        <v>ー</v>
      </c>
      <c r="H197" s="246"/>
      <c r="I197" s="246"/>
      <c r="J197" s="246"/>
      <c r="K197" s="246" t="str">
        <f>IFERROR(__xludf.DUMMYFUNCTION("""COMPUTED_VALUE"""),"enemy")</f>
        <v>enemy</v>
      </c>
      <c r="L197" s="246"/>
      <c r="M197" s="246" t="str">
        <f>IFERROR(__xludf.DUMMYFUNCTION("""COMPUTED_VALUE"""),"dageki_1")</f>
        <v>dageki_1</v>
      </c>
      <c r="N197" s="252"/>
      <c r="O197" s="246"/>
      <c r="P197" s="246"/>
      <c r="Q197" s="246" t="str">
        <f>IFERROR(__xludf.DUMMYFUNCTION("""COMPUTED_VALUE"""),"1.16")</f>
        <v>1.16</v>
      </c>
      <c r="R197" s="246" t="str">
        <f>IFERROR(__xludf.DUMMYFUNCTION("""COMPUTED_VALUE"""),"0.50")</f>
        <v>0.50</v>
      </c>
      <c r="S197" s="246" t="str">
        <f>IFERROR(__xludf.DUMMYFUNCTION("""COMPUTED_VALUE"""),"-")</f>
        <v>-</v>
      </c>
      <c r="T197" s="246" t="str">
        <f>IFERROR(__xludf.DUMMYFUNCTION("""COMPUTED_VALUE"""),"-")</f>
        <v>-</v>
      </c>
      <c r="U197" s="246">
        <f>IFERROR(__xludf.DUMMYFUNCTION("""COMPUTED_VALUE"""),45658.0)</f>
        <v>45658</v>
      </c>
      <c r="V197" s="246">
        <f>IFERROR(__xludf.DUMMYFUNCTION("""COMPUTED_VALUE"""),390812.49998842593)</f>
        <v>390812.5</v>
      </c>
      <c r="W197" s="246" t="str">
        <f>IFERROR(__xludf.DUMMYFUNCTION("""COMPUTED_VALUE"""),"catchcopy_character_enemy_dan_00001.png")</f>
        <v>catchcopy_character_enemy_dan_00001.png</v>
      </c>
      <c r="X197" s="246" t="str">
        <f>IFERROR(__xludf.DUMMYFUNCTION("""COMPUTED_VALUE"""),"enemy_icon_enemy_dan_00001")</f>
        <v>enemy_icon_enemy_dan_00001</v>
      </c>
      <c r="Y197" s="246" t="str">
        <f>IFERROR(__xludf.DUMMYFUNCTION("""COMPUTED_VALUE"""),"boss_icon_enemy_dan_00001")</f>
        <v>boss_icon_enemy_dan_00001</v>
      </c>
      <c r="Z197" s="246"/>
    </row>
    <row r="198">
      <c r="A198" s="246" t="str">
        <f>IFERROR(__xludf.DUMMYFUNCTION("""COMPUTED_VALUE"""),"dan")</f>
        <v>dan</v>
      </c>
      <c r="B198" s="246" t="str">
        <f>IFERROR(__xludf.DUMMYFUNCTION("""COMPUTED_VALUE"""),"ダンダダン")</f>
        <v>ダンダダン</v>
      </c>
      <c r="C198" s="246" t="str">
        <f>IFERROR(__xludf.DUMMYFUNCTION("""COMPUTED_VALUE"""),"00101")</f>
        <v>00101</v>
      </c>
      <c r="D198" s="246" t="str">
        <f>IFERROR(__xludf.DUMMYFUNCTION("""COMPUTED_VALUE"""),"enemy_dan_00101")</f>
        <v>enemy_dan_00101</v>
      </c>
      <c r="E198" s="246" t="str">
        <f>IFERROR(__xludf.DUMMYFUNCTION("""COMPUTED_VALUE"""),"セルポ星人（変身）")</f>
        <v>セルポ星人（変身）</v>
      </c>
      <c r="F198" s="246" t="str">
        <f>IFERROR(__xludf.DUMMYFUNCTION("""COMPUTED_VALUE"""),"セルポ星人(変身)")</f>
        <v>セルポ星人(変身)</v>
      </c>
      <c r="G198" s="246" t="str">
        <f>IFERROR(__xludf.DUMMYFUNCTION("""COMPUTED_VALUE"""),"ー")</f>
        <v>ー</v>
      </c>
      <c r="H198" s="246"/>
      <c r="I198" s="246"/>
      <c r="J198" s="246"/>
      <c r="K198" s="246" t="str">
        <f>IFERROR(__xludf.DUMMYFUNCTION("""COMPUTED_VALUE"""),"enemy")</f>
        <v>enemy</v>
      </c>
      <c r="L198" s="246"/>
      <c r="M198" s="246" t="str">
        <f>IFERROR(__xludf.DUMMYFUNCTION("""COMPUTED_VALUE"""),"dageki_1")</f>
        <v>dageki_1</v>
      </c>
      <c r="N198" s="252"/>
      <c r="O198" s="246"/>
      <c r="P198" s="246"/>
      <c r="Q198" s="246" t="str">
        <f>IFERROR(__xludf.DUMMYFUNCTION("""COMPUTED_VALUE"""),"1.40")</f>
        <v>1.40</v>
      </c>
      <c r="R198" s="246" t="str">
        <f>IFERROR(__xludf.DUMMYFUNCTION("""COMPUTED_VALUE"""),"0.70")</f>
        <v>0.70</v>
      </c>
      <c r="S198" s="246" t="str">
        <f>IFERROR(__xludf.DUMMYFUNCTION("""COMPUTED_VALUE"""),"-")</f>
        <v>-</v>
      </c>
      <c r="T198" s="246" t="str">
        <f>IFERROR(__xludf.DUMMYFUNCTION("""COMPUTED_VALUE"""),"-")</f>
        <v>-</v>
      </c>
      <c r="U198" s="246">
        <f>IFERROR(__xludf.DUMMYFUNCTION("""COMPUTED_VALUE"""),45658.0)</f>
        <v>45658</v>
      </c>
      <c r="V198" s="246">
        <f>IFERROR(__xludf.DUMMYFUNCTION("""COMPUTED_VALUE"""),390812.49998842593)</f>
        <v>390812.5</v>
      </c>
      <c r="W198" s="246" t="str">
        <f>IFERROR(__xludf.DUMMYFUNCTION("""COMPUTED_VALUE"""),"catchcopy_character_enemy_dan_00101.png")</f>
        <v>catchcopy_character_enemy_dan_00101.png</v>
      </c>
      <c r="X198" s="246" t="str">
        <f>IFERROR(__xludf.DUMMYFUNCTION("""COMPUTED_VALUE"""),"enemy_icon_enemy_dan_00101")</f>
        <v>enemy_icon_enemy_dan_00101</v>
      </c>
      <c r="Y198" s="246" t="str">
        <f>IFERROR(__xludf.DUMMYFUNCTION("""COMPUTED_VALUE"""),"boss_icon_enemy_dan_00101")</f>
        <v>boss_icon_enemy_dan_00101</v>
      </c>
      <c r="Z198" s="246" t="str">
        <f>IFERROR(__xludf.DUMMYFUNCTION("""COMPUTED_VALUE"""),"enemy_dan_00101_normal")</f>
        <v>enemy_dan_00101_normal</v>
      </c>
    </row>
    <row r="199">
      <c r="A199" s="246" t="str">
        <f>IFERROR(__xludf.DUMMYFUNCTION("""COMPUTED_VALUE"""),"dan")</f>
        <v>dan</v>
      </c>
      <c r="B199" s="246" t="str">
        <f>IFERROR(__xludf.DUMMYFUNCTION("""COMPUTED_VALUE"""),"ダンダダン")</f>
        <v>ダンダダン</v>
      </c>
      <c r="C199" s="246" t="str">
        <f>IFERROR(__xludf.DUMMYFUNCTION("""COMPUTED_VALUE"""),"00201")</f>
        <v>00201</v>
      </c>
      <c r="D199" s="246" t="str">
        <f>IFERROR(__xludf.DUMMYFUNCTION("""COMPUTED_VALUE"""),"enemy_dan_00201")</f>
        <v>enemy_dan_00201</v>
      </c>
      <c r="E199" s="246" t="str">
        <f>IFERROR(__xludf.DUMMYFUNCTION("""COMPUTED_VALUE"""),"ターボババア")</f>
        <v>ターボババア</v>
      </c>
      <c r="F199" s="246" t="str">
        <f>IFERROR(__xludf.DUMMYFUNCTION("""COMPUTED_VALUE"""),"ターボババア")</f>
        <v>ターボババア</v>
      </c>
      <c r="G199" s="246" t="str">
        <f>IFERROR(__xludf.DUMMYFUNCTION("""COMPUTED_VALUE"""),"ー")</f>
        <v>ー</v>
      </c>
      <c r="H199" s="246"/>
      <c r="I199" s="246"/>
      <c r="J199" s="246"/>
      <c r="K199" s="246" t="str">
        <f>IFERROR(__xludf.DUMMYFUNCTION("""COMPUTED_VALUE"""),"enemy")</f>
        <v>enemy</v>
      </c>
      <c r="L199" s="246"/>
      <c r="M199" s="246" t="str">
        <f>IFERROR(__xludf.DUMMYFUNCTION("""COMPUTED_VALUE"""),"dageki_1")</f>
        <v>dageki_1</v>
      </c>
      <c r="N199" s="252"/>
      <c r="O199" s="246"/>
      <c r="P199" s="246"/>
      <c r="Q199" s="246" t="str">
        <f>IFERROR(__xludf.DUMMYFUNCTION("""COMPUTED_VALUE"""),"1.50")</f>
        <v>1.50</v>
      </c>
      <c r="R199" s="246" t="str">
        <f>IFERROR(__xludf.DUMMYFUNCTION("""COMPUTED_VALUE"""),"0.40")</f>
        <v>0.40</v>
      </c>
      <c r="S199" s="246" t="str">
        <f>IFERROR(__xludf.DUMMYFUNCTION("""COMPUTED_VALUE"""),"-")</f>
        <v>-</v>
      </c>
      <c r="T199" s="246" t="str">
        <f>IFERROR(__xludf.DUMMYFUNCTION("""COMPUTED_VALUE"""),"-")</f>
        <v>-</v>
      </c>
      <c r="U199" s="246">
        <f>IFERROR(__xludf.DUMMYFUNCTION("""COMPUTED_VALUE"""),45658.0)</f>
        <v>45658</v>
      </c>
      <c r="V199" s="246">
        <f>IFERROR(__xludf.DUMMYFUNCTION("""COMPUTED_VALUE"""),390812.49998842593)</f>
        <v>390812.5</v>
      </c>
      <c r="W199" s="246" t="str">
        <f>IFERROR(__xludf.DUMMYFUNCTION("""COMPUTED_VALUE"""),"catchcopy_character_enemy_dan_00201.png")</f>
        <v>catchcopy_character_enemy_dan_00201.png</v>
      </c>
      <c r="X199" s="246" t="str">
        <f>IFERROR(__xludf.DUMMYFUNCTION("""COMPUTED_VALUE"""),"enemy_icon_enemy_dan_00201")</f>
        <v>enemy_icon_enemy_dan_00201</v>
      </c>
      <c r="Y199" s="246" t="str">
        <f>IFERROR(__xludf.DUMMYFUNCTION("""COMPUTED_VALUE"""),"boss_icon_enemy_dan_00201")</f>
        <v>boss_icon_enemy_dan_00201</v>
      </c>
      <c r="Z199" s="246"/>
    </row>
    <row r="200">
      <c r="A200" s="246" t="str">
        <f>IFERROR(__xludf.DUMMYFUNCTION("""COMPUTED_VALUE"""),"dan")</f>
        <v>dan</v>
      </c>
      <c r="B200" s="246" t="str">
        <f>IFERROR(__xludf.DUMMYFUNCTION("""COMPUTED_VALUE"""),"ダンダダン")</f>
        <v>ダンダダン</v>
      </c>
      <c r="C200" s="246" t="str">
        <f>IFERROR(__xludf.DUMMYFUNCTION("""COMPUTED_VALUE"""),"00301")</f>
        <v>00301</v>
      </c>
      <c r="D200" s="246" t="str">
        <f>IFERROR(__xludf.DUMMYFUNCTION("""COMPUTED_VALUE"""),"enemy_dan_00301")</f>
        <v>enemy_dan_00301</v>
      </c>
      <c r="E200" s="246" t="str">
        <f>IFERROR(__xludf.DUMMYFUNCTION("""COMPUTED_VALUE"""),"アクロバティックさらさら")</f>
        <v>アクロバティックさらさら</v>
      </c>
      <c r="F200" s="246" t="str">
        <f>IFERROR(__xludf.DUMMYFUNCTION("""COMPUTED_VALUE"""),"アクロバティックさらさら")</f>
        <v>アクロバティックさらさら</v>
      </c>
      <c r="G200" s="246" t="str">
        <f>IFERROR(__xludf.DUMMYFUNCTION("""COMPUTED_VALUE"""),"ー")</f>
        <v>ー</v>
      </c>
      <c r="H200" s="246"/>
      <c r="I200" s="246"/>
      <c r="J200" s="246"/>
      <c r="K200" s="246" t="str">
        <f>IFERROR(__xludf.DUMMYFUNCTION("""COMPUTED_VALUE"""),"enemy")</f>
        <v>enemy</v>
      </c>
      <c r="L200" s="246"/>
      <c r="M200" s="246" t="str">
        <f>IFERROR(__xludf.DUMMYFUNCTION("""COMPUTED_VALUE"""),"dageki_1")</f>
        <v>dageki_1</v>
      </c>
      <c r="N200" s="252" t="str">
        <f>IFERROR(__xludf.DUMMYFUNCTION("""COMPUTED_VALUE"""),"Middle")</f>
        <v>Middle</v>
      </c>
      <c r="O200" s="246"/>
      <c r="P200" s="246"/>
      <c r="Q200" s="246" t="str">
        <f>IFERROR(__xludf.DUMMYFUNCTION("""COMPUTED_VALUE"""),"1.20")</f>
        <v>1.20</v>
      </c>
      <c r="R200" s="246" t="str">
        <f>IFERROR(__xludf.DUMMYFUNCTION("""COMPUTED_VALUE"""),"0.27")</f>
        <v>0.27</v>
      </c>
      <c r="S200" s="246" t="str">
        <f>IFERROR(__xludf.DUMMYFUNCTION("""COMPUTED_VALUE"""),"-")</f>
        <v>-</v>
      </c>
      <c r="T200" s="246" t="str">
        <f>IFERROR(__xludf.DUMMYFUNCTION("""COMPUTED_VALUE"""),"-")</f>
        <v>-</v>
      </c>
      <c r="U200" s="246">
        <f>IFERROR(__xludf.DUMMYFUNCTION("""COMPUTED_VALUE"""),45658.0)</f>
        <v>45658</v>
      </c>
      <c r="V200" s="246">
        <f>IFERROR(__xludf.DUMMYFUNCTION("""COMPUTED_VALUE"""),390812.49998842593)</f>
        <v>390812.5</v>
      </c>
      <c r="W200" s="246" t="str">
        <f>IFERROR(__xludf.DUMMYFUNCTION("""COMPUTED_VALUE"""),"catchcopy_character_enemy_dan_00301.png")</f>
        <v>catchcopy_character_enemy_dan_00301.png</v>
      </c>
      <c r="X200" s="246" t="str">
        <f>IFERROR(__xludf.DUMMYFUNCTION("""COMPUTED_VALUE"""),"enemy_icon_enemy_dan_00301")</f>
        <v>enemy_icon_enemy_dan_00301</v>
      </c>
      <c r="Y200" s="246" t="str">
        <f>IFERROR(__xludf.DUMMYFUNCTION("""COMPUTED_VALUE"""),"boss_icon_enemy_dan_00301")</f>
        <v>boss_icon_enemy_dan_00301</v>
      </c>
      <c r="Z200" s="246" t="str">
        <f>IFERROR(__xludf.DUMMYFUNCTION("""COMPUTED_VALUE"""),"enemy_dan_00301_normal")</f>
        <v>enemy_dan_00301_normal</v>
      </c>
    </row>
    <row r="201">
      <c r="A201" s="246" t="str">
        <f>IFERROR(__xludf.DUMMYFUNCTION("""COMPUTED_VALUE"""),"gom")</f>
        <v>gom</v>
      </c>
      <c r="B201" s="246" t="str">
        <f>IFERROR(__xludf.DUMMYFUNCTION("""COMPUTED_VALUE"""),"姫様“拷問”の時間です")</f>
        <v>姫様“拷問”の時間です</v>
      </c>
      <c r="C201" s="246" t="str">
        <f>IFERROR(__xludf.DUMMYFUNCTION("""COMPUTED_VALUE"""),"00101")</f>
        <v>00101</v>
      </c>
      <c r="D201" s="246" t="str">
        <f>IFERROR(__xludf.DUMMYFUNCTION("""COMPUTED_VALUE"""),"enemy_gom_00101")</f>
        <v>enemy_gom_00101</v>
      </c>
      <c r="E201" s="246" t="str">
        <f>IFERROR(__xludf.DUMMYFUNCTION("""COMPUTED_VALUE"""),"トーチャー・トルチュール")</f>
        <v>トーチャー・トルチュール</v>
      </c>
      <c r="F201" s="246" t="str">
        <f>IFERROR(__xludf.DUMMYFUNCTION("""COMPUTED_VALUE"""),"トーチャー・トルチュール")</f>
        <v>トーチャー・トルチュール</v>
      </c>
      <c r="G201" s="246" t="str">
        <f>IFERROR(__xludf.DUMMYFUNCTION("""COMPUTED_VALUE"""),"""拷問""の時間です")</f>
        <v>"拷問"の時間です</v>
      </c>
      <c r="H201" s="246"/>
      <c r="I201" s="246"/>
      <c r="J201" s="246"/>
      <c r="K201" s="246" t="str">
        <f>IFERROR(__xludf.DUMMYFUNCTION("""COMPUTED_VALUE"""),"enemy")</f>
        <v>enemy</v>
      </c>
      <c r="L201" s="246" t="str">
        <f>IFERROR(__xludf.DUMMYFUNCTION("""COMPUTED_VALUE"""),"テクニカル")</f>
        <v>テクニカル</v>
      </c>
      <c r="M201" s="246" t="str">
        <f>IFERROR(__xludf.DUMMYFUNCTION("""COMPUTED_VALUE"""),"dageki_2")</f>
        <v>dageki_2</v>
      </c>
      <c r="N201" s="252"/>
      <c r="O201" s="246"/>
      <c r="P201" s="246" t="str">
        <f>IFERROR(__xludf.DUMMYFUNCTION("""COMPUTED_VALUE"""),"00101")</f>
        <v>00101</v>
      </c>
      <c r="Q201" s="246" t="str">
        <f>IFERROR(__xludf.DUMMYFUNCTION("""COMPUTED_VALUE"""),"2.90")</f>
        <v>2.90</v>
      </c>
      <c r="R201" s="246" t="str">
        <f>IFERROR(__xludf.DUMMYFUNCTION("""COMPUTED_VALUE"""),"1.00")</f>
        <v>1.00</v>
      </c>
      <c r="S201" s="246" t="str">
        <f>IFERROR(__xludf.DUMMYFUNCTION("""COMPUTED_VALUE"""),"-")</f>
        <v>-</v>
      </c>
      <c r="T201" s="246" t="str">
        <f>IFERROR(__xludf.DUMMYFUNCTION("""COMPUTED_VALUE"""),"-")</f>
        <v>-</v>
      </c>
      <c r="U201" s="246">
        <f>IFERROR(__xludf.DUMMYFUNCTION("""COMPUTED_VALUE"""),45658.0)</f>
        <v>45658</v>
      </c>
      <c r="V201" s="246">
        <f>IFERROR(__xludf.DUMMYFUNCTION("""COMPUTED_VALUE"""),390812.49998842593)</f>
        <v>390812.5</v>
      </c>
      <c r="W201" s="246" t="str">
        <f>IFERROR(__xludf.DUMMYFUNCTION("""COMPUTED_VALUE"""),"catchcopy_character_enemy_gom_00101.png")</f>
        <v>catchcopy_character_enemy_gom_00101.png</v>
      </c>
      <c r="X201" s="246" t="str">
        <f>IFERROR(__xludf.DUMMYFUNCTION("""COMPUTED_VALUE"""),"enemy_icon_enemy_gom_00101")</f>
        <v>enemy_icon_enemy_gom_00101</v>
      </c>
      <c r="Y201" s="246" t="str">
        <f>IFERROR(__xludf.DUMMYFUNCTION("""COMPUTED_VALUE"""),"boss_icon_enemy_gom_00101")</f>
        <v>boss_icon_enemy_gom_00101</v>
      </c>
      <c r="Z201" s="246" t="str">
        <f>IFERROR(__xludf.DUMMYFUNCTION("""COMPUTED_VALUE"""),"chara_gom_00101_normal")</f>
        <v>chara_gom_00101_normal</v>
      </c>
    </row>
    <row r="202">
      <c r="A202" s="246" t="str">
        <f>IFERROR(__xludf.DUMMYFUNCTION("""COMPUTED_VALUE"""),"gom")</f>
        <v>gom</v>
      </c>
      <c r="B202" s="246" t="str">
        <f>IFERROR(__xludf.DUMMYFUNCTION("""COMPUTED_VALUE"""),"姫様“拷問”の時間です")</f>
        <v>姫様“拷問”の時間です</v>
      </c>
      <c r="C202" s="246" t="str">
        <f>IFERROR(__xludf.DUMMYFUNCTION("""COMPUTED_VALUE"""),"00001")</f>
        <v>00001</v>
      </c>
      <c r="D202" s="246" t="str">
        <f>IFERROR(__xludf.DUMMYFUNCTION("""COMPUTED_VALUE"""),"enemy_gom_00001")</f>
        <v>enemy_gom_00001</v>
      </c>
      <c r="E202" s="246" t="str">
        <f>IFERROR(__xludf.DUMMYFUNCTION("""COMPUTED_VALUE"""),"カナッジ")</f>
        <v>カナッジ</v>
      </c>
      <c r="F202" s="246" t="str">
        <f>IFERROR(__xludf.DUMMYFUNCTION("""COMPUTED_VALUE"""),"カナッジ")</f>
        <v>カナッジ</v>
      </c>
      <c r="G202" s="246" t="str">
        <f>IFERROR(__xludf.DUMMYFUNCTION("""COMPUTED_VALUE"""),"ー")</f>
        <v>ー</v>
      </c>
      <c r="H202" s="246"/>
      <c r="I202" s="246"/>
      <c r="J202" s="246" t="str">
        <f>IFERROR(__xludf.DUMMYFUNCTION("""COMPUTED_VALUE"""),"無")</f>
        <v>無</v>
      </c>
      <c r="K202" s="246" t="str">
        <f>IFERROR(__xludf.DUMMYFUNCTION("""COMPUTED_VALUE"""),"enemy")</f>
        <v>enemy</v>
      </c>
      <c r="L202" s="246"/>
      <c r="M202" s="246"/>
      <c r="N202" s="252"/>
      <c r="O202" s="246"/>
      <c r="P202" s="246"/>
      <c r="Q202" s="246" t="str">
        <f>IFERROR(__xludf.DUMMYFUNCTION("""COMPUTED_VALUE"""),"1.60")</f>
        <v>1.60</v>
      </c>
      <c r="R202" s="246" t="str">
        <f>IFERROR(__xludf.DUMMYFUNCTION("""COMPUTED_VALUE"""),"0.50")</f>
        <v>0.50</v>
      </c>
      <c r="S202" s="246" t="str">
        <f>IFERROR(__xludf.DUMMYFUNCTION("""COMPUTED_VALUE"""),"-")</f>
        <v>-</v>
      </c>
      <c r="T202" s="246" t="str">
        <f>IFERROR(__xludf.DUMMYFUNCTION("""COMPUTED_VALUE"""),"-")</f>
        <v>-</v>
      </c>
      <c r="U202" s="246">
        <f>IFERROR(__xludf.DUMMYFUNCTION("""COMPUTED_VALUE"""),45658.0)</f>
        <v>45658</v>
      </c>
      <c r="V202" s="246">
        <f>IFERROR(__xludf.DUMMYFUNCTION("""COMPUTED_VALUE"""),390812.49998842593)</f>
        <v>390812.5</v>
      </c>
      <c r="W202" s="246" t="str">
        <f>IFERROR(__xludf.DUMMYFUNCTION("""COMPUTED_VALUE"""),"catchcopy_character_enemy_gom_00001.png")</f>
        <v>catchcopy_character_enemy_gom_00001.png</v>
      </c>
      <c r="X202" s="246" t="str">
        <f>IFERROR(__xludf.DUMMYFUNCTION("""COMPUTED_VALUE"""),"enemy_icon_enemy_gom_00001")</f>
        <v>enemy_icon_enemy_gom_00001</v>
      </c>
      <c r="Y202" s="246" t="str">
        <f>IFERROR(__xludf.DUMMYFUNCTION("""COMPUTED_VALUE"""),"boss_icon_enemy_gom_00001")</f>
        <v>boss_icon_enemy_gom_00001</v>
      </c>
      <c r="Z202" s="246"/>
    </row>
    <row r="203">
      <c r="A203" s="246" t="str">
        <f>IFERROR(__xludf.DUMMYFUNCTION("""COMPUTED_VALUE"""),"gom")</f>
        <v>gom</v>
      </c>
      <c r="B203" s="246" t="str">
        <f>IFERROR(__xludf.DUMMYFUNCTION("""COMPUTED_VALUE"""),"姫様“拷問”の時間です")</f>
        <v>姫様“拷問”の時間です</v>
      </c>
      <c r="C203" s="246" t="str">
        <f>IFERROR(__xludf.DUMMYFUNCTION("""COMPUTED_VALUE"""),"00201")</f>
        <v>00201</v>
      </c>
      <c r="D203" s="246" t="str">
        <f>IFERROR(__xludf.DUMMYFUNCTION("""COMPUTED_VALUE"""),"enemy_gom_00201")</f>
        <v>enemy_gom_00201</v>
      </c>
      <c r="E203" s="246" t="str">
        <f>IFERROR(__xludf.DUMMYFUNCTION("""COMPUTED_VALUE"""),"クロル")</f>
        <v>クロル</v>
      </c>
      <c r="F203" s="246" t="str">
        <f>IFERROR(__xludf.DUMMYFUNCTION("""COMPUTED_VALUE"""),"クロル")</f>
        <v>クロル</v>
      </c>
      <c r="G203" s="246" t="str">
        <f>IFERROR(__xludf.DUMMYFUNCTION("""COMPUTED_VALUE"""),"ー")</f>
        <v>ー</v>
      </c>
      <c r="H203" s="246"/>
      <c r="I203" s="246"/>
      <c r="J203" s="246"/>
      <c r="K203" s="246" t="str">
        <f>IFERROR(__xludf.DUMMYFUNCTION("""COMPUTED_VALUE"""),"enemy")</f>
        <v>enemy</v>
      </c>
      <c r="L203" s="246"/>
      <c r="M203" s="246" t="str">
        <f>IFERROR(__xludf.DUMMYFUNCTION("""COMPUTED_VALUE"""),"dageki_1")</f>
        <v>dageki_1</v>
      </c>
      <c r="N203" s="252"/>
      <c r="O203" s="246"/>
      <c r="P203" s="246"/>
      <c r="Q203" s="246" t="str">
        <f>IFERROR(__xludf.DUMMYFUNCTION("""COMPUTED_VALUE"""),"1.30")</f>
        <v>1.30</v>
      </c>
      <c r="R203" s="246" t="str">
        <f>IFERROR(__xludf.DUMMYFUNCTION("""COMPUTED_VALUE"""),"0.30")</f>
        <v>0.30</v>
      </c>
      <c r="S203" s="246" t="str">
        <f>IFERROR(__xludf.DUMMYFUNCTION("""COMPUTED_VALUE"""),"-")</f>
        <v>-</v>
      </c>
      <c r="T203" s="246" t="str">
        <f>IFERROR(__xludf.DUMMYFUNCTION("""COMPUTED_VALUE"""),"-")</f>
        <v>-</v>
      </c>
      <c r="U203" s="246">
        <f>IFERROR(__xludf.DUMMYFUNCTION("""COMPUTED_VALUE"""),45658.0)</f>
        <v>45658</v>
      </c>
      <c r="V203" s="246">
        <f>IFERROR(__xludf.DUMMYFUNCTION("""COMPUTED_VALUE"""),390812.49998842593)</f>
        <v>390812.5</v>
      </c>
      <c r="W203" s="246" t="str">
        <f>IFERROR(__xludf.DUMMYFUNCTION("""COMPUTED_VALUE"""),"catchcopy_character_enemy_gom_00201.png")</f>
        <v>catchcopy_character_enemy_gom_00201.png</v>
      </c>
      <c r="X203" s="246" t="str">
        <f>IFERROR(__xludf.DUMMYFUNCTION("""COMPUTED_VALUE"""),"enemy_icon_enemy_gom_00201")</f>
        <v>enemy_icon_enemy_gom_00201</v>
      </c>
      <c r="Y203" s="246" t="str">
        <f>IFERROR(__xludf.DUMMYFUNCTION("""COMPUTED_VALUE"""),"boss_icon_enemy_gom_00201")</f>
        <v>boss_icon_enemy_gom_00201</v>
      </c>
      <c r="Z203" s="246"/>
    </row>
    <row r="204">
      <c r="A204" s="246" t="str">
        <f>IFERROR(__xludf.DUMMYFUNCTION("""COMPUTED_VALUE"""),"gom")</f>
        <v>gom</v>
      </c>
      <c r="B204" s="246" t="str">
        <f>IFERROR(__xludf.DUMMYFUNCTION("""COMPUTED_VALUE"""),"姫様“拷問”の時間です")</f>
        <v>姫様“拷問”の時間です</v>
      </c>
      <c r="C204" s="246" t="str">
        <f>IFERROR(__xludf.DUMMYFUNCTION("""COMPUTED_VALUE"""),"00301")</f>
        <v>00301</v>
      </c>
      <c r="D204" s="246" t="str">
        <f>IFERROR(__xludf.DUMMYFUNCTION("""COMPUTED_VALUE"""),"enemy_gom_00301")</f>
        <v>enemy_gom_00301</v>
      </c>
      <c r="E204" s="246" t="str">
        <f>IFERROR(__xludf.DUMMYFUNCTION("""COMPUTED_VALUE"""),"キュイ")</f>
        <v>キュイ</v>
      </c>
      <c r="F204" s="246" t="str">
        <f>IFERROR(__xludf.DUMMYFUNCTION("""COMPUTED_VALUE"""),"キュイ")</f>
        <v>キュイ</v>
      </c>
      <c r="G204" s="246" t="str">
        <f>IFERROR(__xludf.DUMMYFUNCTION("""COMPUTED_VALUE"""),"ー")</f>
        <v>ー</v>
      </c>
      <c r="H204" s="246"/>
      <c r="I204" s="246"/>
      <c r="J204" s="246"/>
      <c r="K204" s="246" t="str">
        <f>IFERROR(__xludf.DUMMYFUNCTION("""COMPUTED_VALUE"""),"enemy")</f>
        <v>enemy</v>
      </c>
      <c r="L204" s="246" t="str">
        <f>IFERROR(__xludf.DUMMYFUNCTION("""COMPUTED_VALUE"""),"ディフェンス")</f>
        <v>ディフェンス</v>
      </c>
      <c r="M204" s="246" t="str">
        <f>IFERROR(__xludf.DUMMYFUNCTION("""COMPUTED_VALUE"""),"dageki_1")</f>
        <v>dageki_1</v>
      </c>
      <c r="N204" s="252"/>
      <c r="O204" s="246"/>
      <c r="P204" s="246"/>
      <c r="Q204" s="246" t="str">
        <f>IFERROR(__xludf.DUMMYFUNCTION("""COMPUTED_VALUE"""),"2.76")</f>
        <v>2.76</v>
      </c>
      <c r="R204" s="246" t="str">
        <f>IFERROR(__xludf.DUMMYFUNCTION("""COMPUTED_VALUE"""),"1.50")</f>
        <v>1.50</v>
      </c>
      <c r="S204" s="246" t="str">
        <f>IFERROR(__xludf.DUMMYFUNCTION("""COMPUTED_VALUE"""),"-")</f>
        <v>-</v>
      </c>
      <c r="T204" s="246" t="str">
        <f>IFERROR(__xludf.DUMMYFUNCTION("""COMPUTED_VALUE"""),"-")</f>
        <v>-</v>
      </c>
      <c r="U204" s="246">
        <f>IFERROR(__xludf.DUMMYFUNCTION("""COMPUTED_VALUE"""),45658.0)</f>
        <v>45658</v>
      </c>
      <c r="V204" s="246">
        <f>IFERROR(__xludf.DUMMYFUNCTION("""COMPUTED_VALUE"""),390812.49998842593)</f>
        <v>390812.5</v>
      </c>
      <c r="W204" s="246" t="str">
        <f>IFERROR(__xludf.DUMMYFUNCTION("""COMPUTED_VALUE"""),"catchcopy_character_enemy_gom_00001.png")</f>
        <v>catchcopy_character_enemy_gom_00001.png</v>
      </c>
      <c r="X204" s="246" t="str">
        <f>IFERROR(__xludf.DUMMYFUNCTION("""COMPUTED_VALUE"""),"enemy_icon_enemy_gom_00301")</f>
        <v>enemy_icon_enemy_gom_00301</v>
      </c>
      <c r="Y204" s="246" t="str">
        <f>IFERROR(__xludf.DUMMYFUNCTION("""COMPUTED_VALUE"""),"boss_icon_enemy_gom_00301")</f>
        <v>boss_icon_enemy_gom_00301</v>
      </c>
      <c r="Z204" s="246"/>
    </row>
    <row r="205">
      <c r="A205" s="246" t="str">
        <f>IFERROR(__xludf.DUMMYFUNCTION("""COMPUTED_VALUE"""),"gom")</f>
        <v>gom</v>
      </c>
      <c r="B205" s="246" t="str">
        <f>IFERROR(__xludf.DUMMYFUNCTION("""COMPUTED_VALUE"""),"姫様“拷問”の時間です")</f>
        <v>姫様“拷問”の時間です</v>
      </c>
      <c r="C205" s="246" t="str">
        <f>IFERROR(__xludf.DUMMYFUNCTION("""COMPUTED_VALUE"""),"00401")</f>
        <v>00401</v>
      </c>
      <c r="D205" s="246" t="str">
        <f>IFERROR(__xludf.DUMMYFUNCTION("""COMPUTED_VALUE"""),"enemy_gom_00401")</f>
        <v>enemy_gom_00401</v>
      </c>
      <c r="E205" s="246" t="str">
        <f>IFERROR(__xludf.DUMMYFUNCTION("""COMPUTED_VALUE"""),"たこ焼きくん")</f>
        <v>たこ焼きくん</v>
      </c>
      <c r="F205" s="246" t="str">
        <f>IFERROR(__xludf.DUMMYFUNCTION("""COMPUTED_VALUE"""),"たこ焼きくん")</f>
        <v>たこ焼きくん</v>
      </c>
      <c r="G205" s="246" t="str">
        <f>IFERROR(__xludf.DUMMYFUNCTION("""COMPUTED_VALUE"""),"ー")</f>
        <v>ー</v>
      </c>
      <c r="H205" s="246"/>
      <c r="I205" s="246"/>
      <c r="J205" s="246"/>
      <c r="K205" s="246" t="str">
        <f>IFERROR(__xludf.DUMMYFUNCTION("""COMPUTED_VALUE"""),"enemy")</f>
        <v>enemy</v>
      </c>
      <c r="L205" s="246" t="str">
        <f>IFERROR(__xludf.DUMMYFUNCTION("""COMPUTED_VALUE"""),"アタック")</f>
        <v>アタック</v>
      </c>
      <c r="M205" s="246" t="str">
        <f>IFERROR(__xludf.DUMMYFUNCTION("""COMPUTED_VALUE"""),"dageki_1")</f>
        <v>dageki_1</v>
      </c>
      <c r="N205" s="252"/>
      <c r="O205" s="246"/>
      <c r="P205" s="246"/>
      <c r="Q205" s="246" t="str">
        <f>IFERROR(__xludf.DUMMYFUNCTION("""COMPUTED_VALUE"""),"1.00")</f>
        <v>1.00</v>
      </c>
      <c r="R205" s="246" t="str">
        <f>IFERROR(__xludf.DUMMYFUNCTION("""COMPUTED_VALUE"""),"0.833")</f>
        <v>0.833</v>
      </c>
      <c r="S205" s="246" t="str">
        <f>IFERROR(__xludf.DUMMYFUNCTION("""COMPUTED_VALUE"""),"-")</f>
        <v>-</v>
      </c>
      <c r="T205" s="246" t="str">
        <f>IFERROR(__xludf.DUMMYFUNCTION("""COMPUTED_VALUE"""),"-")</f>
        <v>-</v>
      </c>
      <c r="U205" s="246">
        <f>IFERROR(__xludf.DUMMYFUNCTION("""COMPUTED_VALUE"""),45658.0)</f>
        <v>45658</v>
      </c>
      <c r="V205" s="246">
        <f>IFERROR(__xludf.DUMMYFUNCTION("""COMPUTED_VALUE"""),390812.49998842593)</f>
        <v>390812.5</v>
      </c>
      <c r="W205" s="246" t="str">
        <f>IFERROR(__xludf.DUMMYFUNCTION("""COMPUTED_VALUE"""),"catchcopy_character_enemy_gom_00002.png")</f>
        <v>catchcopy_character_enemy_gom_00002.png</v>
      </c>
      <c r="X205" s="246" t="str">
        <f>IFERROR(__xludf.DUMMYFUNCTION("""COMPUTED_VALUE"""),"enemy_icon_enemy_gom_00401")</f>
        <v>enemy_icon_enemy_gom_00401</v>
      </c>
      <c r="Y205" s="246" t="str">
        <f>IFERROR(__xludf.DUMMYFUNCTION("""COMPUTED_VALUE"""),"boss_icon_enemy_gom_00401")</f>
        <v>boss_icon_enemy_gom_00401</v>
      </c>
      <c r="Z205" s="246" t="str">
        <f>IFERROR(__xludf.DUMMYFUNCTION("""COMPUTED_VALUE"""),"enemy_dan_00401_normal")</f>
        <v>enemy_dan_00401_normal</v>
      </c>
    </row>
    <row r="206">
      <c r="A206" s="246" t="str">
        <f>IFERROR(__xludf.DUMMYFUNCTION("""COMPUTED_VALUE"""),"gom")</f>
        <v>gom</v>
      </c>
      <c r="B206" s="246" t="str">
        <f>IFERROR(__xludf.DUMMYFUNCTION("""COMPUTED_VALUE"""),"姫様“拷問”の時間です")</f>
        <v>姫様“拷問”の時間です</v>
      </c>
      <c r="C206" s="246" t="str">
        <f>IFERROR(__xludf.DUMMYFUNCTION("""COMPUTED_VALUE"""),"00402")</f>
        <v>00402</v>
      </c>
      <c r="D206" s="246" t="str">
        <f>IFERROR(__xludf.DUMMYFUNCTION("""COMPUTED_VALUE"""),"enemy_gom_00402")</f>
        <v>enemy_gom_00402</v>
      </c>
      <c r="E206" s="246" t="str">
        <f>IFERROR(__xludf.DUMMYFUNCTION("""COMPUTED_VALUE"""),"たこ焼き")</f>
        <v>たこ焼き</v>
      </c>
      <c r="F206" s="246" t="str">
        <f>IFERROR(__xludf.DUMMYFUNCTION("""COMPUTED_VALUE"""),"たこ焼き")</f>
        <v>たこ焼き</v>
      </c>
      <c r="G206" s="246" t="str">
        <f>IFERROR(__xludf.DUMMYFUNCTION("""COMPUTED_VALUE"""),"ー")</f>
        <v>ー</v>
      </c>
      <c r="H206" s="246"/>
      <c r="I206" s="246"/>
      <c r="J206" s="246"/>
      <c r="K206" s="246" t="str">
        <f>IFERROR(__xludf.DUMMYFUNCTION("""COMPUTED_VALUE"""),"enemy")</f>
        <v>enemy</v>
      </c>
      <c r="L206" s="246" t="str">
        <f>IFERROR(__xludf.DUMMYFUNCTION("""COMPUTED_VALUE"""),"アタック")</f>
        <v>アタック</v>
      </c>
      <c r="M206" s="246" t="str">
        <f>IFERROR(__xludf.DUMMYFUNCTION("""COMPUTED_VALUE"""),"dageki_1")</f>
        <v>dageki_1</v>
      </c>
      <c r="N206" s="252"/>
      <c r="O206" s="246"/>
      <c r="P206" s="246"/>
      <c r="Q206" s="246" t="str">
        <f>IFERROR(__xludf.DUMMYFUNCTION("""COMPUTED_VALUE"""),"1.00")</f>
        <v>1.00</v>
      </c>
      <c r="R206" s="246" t="str">
        <f>IFERROR(__xludf.DUMMYFUNCTION("""COMPUTED_VALUE"""),"0.833")</f>
        <v>0.833</v>
      </c>
      <c r="S206" s="246" t="str">
        <f>IFERROR(__xludf.DUMMYFUNCTION("""COMPUTED_VALUE"""),"-")</f>
        <v>-</v>
      </c>
      <c r="T206" s="246" t="str">
        <f>IFERROR(__xludf.DUMMYFUNCTION("""COMPUTED_VALUE"""),"-")</f>
        <v>-</v>
      </c>
      <c r="U206" s="246">
        <f>IFERROR(__xludf.DUMMYFUNCTION("""COMPUTED_VALUE"""),45658.0)</f>
        <v>45658</v>
      </c>
      <c r="V206" s="246">
        <f>IFERROR(__xludf.DUMMYFUNCTION("""COMPUTED_VALUE"""),390812.49998842593)</f>
        <v>390812.5</v>
      </c>
      <c r="W206" s="246" t="str">
        <f>IFERROR(__xludf.DUMMYFUNCTION("""COMPUTED_VALUE"""),"catchcopy_character_enemy_gom_00001.png")</f>
        <v>catchcopy_character_enemy_gom_00001.png</v>
      </c>
      <c r="X206" s="246" t="str">
        <f>IFERROR(__xludf.DUMMYFUNCTION("""COMPUTED_VALUE"""),"enemy_icon_enemy_gom_00402")</f>
        <v>enemy_icon_enemy_gom_00402</v>
      </c>
      <c r="Y206" s="246" t="str">
        <f>IFERROR(__xludf.DUMMYFUNCTION("""COMPUTED_VALUE"""),"boss_icon_enemy_gom_00402")</f>
        <v>boss_icon_enemy_gom_00402</v>
      </c>
      <c r="Z206" s="246"/>
    </row>
    <row r="207">
      <c r="A207" s="246" t="str">
        <f>IFERROR(__xludf.DUMMYFUNCTION("""COMPUTED_VALUE"""),"gom")</f>
        <v>gom</v>
      </c>
      <c r="B207" s="246" t="str">
        <f>IFERROR(__xludf.DUMMYFUNCTION("""COMPUTED_VALUE"""),"姫様“拷問”の時間です")</f>
        <v>姫様“拷問”の時間です</v>
      </c>
      <c r="C207" s="246" t="str">
        <f>IFERROR(__xludf.DUMMYFUNCTION("""COMPUTED_VALUE"""),"00501")</f>
        <v>00501</v>
      </c>
      <c r="D207" s="246" t="str">
        <f>IFERROR(__xludf.DUMMYFUNCTION("""COMPUTED_VALUE"""),"enemy_gom_00501")</f>
        <v>enemy_gom_00501</v>
      </c>
      <c r="E207" s="246" t="str">
        <f>IFERROR(__xludf.DUMMYFUNCTION("""COMPUTED_VALUE"""),"バタートースト")</f>
        <v>バタートースト</v>
      </c>
      <c r="F207" s="246" t="str">
        <f>IFERROR(__xludf.DUMMYFUNCTION("""COMPUTED_VALUE"""),"バタートースト")</f>
        <v>バタートースト</v>
      </c>
      <c r="G207" s="246" t="str">
        <f>IFERROR(__xludf.DUMMYFUNCTION("""COMPUTED_VALUE"""),"ー")</f>
        <v>ー</v>
      </c>
      <c r="H207" s="246"/>
      <c r="I207" s="246"/>
      <c r="J207" s="246"/>
      <c r="K207" s="246" t="str">
        <f>IFERROR(__xludf.DUMMYFUNCTION("""COMPUTED_VALUE"""),"enemy")</f>
        <v>enemy</v>
      </c>
      <c r="L207" s="246" t="str">
        <f>IFERROR(__xludf.DUMMYFUNCTION("""COMPUTED_VALUE"""),"ディフェンス")</f>
        <v>ディフェンス</v>
      </c>
      <c r="M207" s="246" t="str">
        <f>IFERROR(__xludf.DUMMYFUNCTION("""COMPUTED_VALUE"""),"dageki_1")</f>
        <v>dageki_1</v>
      </c>
      <c r="N207" s="252"/>
      <c r="O207" s="246"/>
      <c r="P207" s="246"/>
      <c r="Q207" s="246" t="str">
        <f>IFERROR(__xludf.DUMMYFUNCTION("""COMPUTED_VALUE"""),"1.00")</f>
        <v>1.00</v>
      </c>
      <c r="R207" s="246" t="str">
        <f>IFERROR(__xludf.DUMMYFUNCTION("""COMPUTED_VALUE"""),"0.833")</f>
        <v>0.833</v>
      </c>
      <c r="S207" s="246" t="str">
        <f>IFERROR(__xludf.DUMMYFUNCTION("""COMPUTED_VALUE"""),"-")</f>
        <v>-</v>
      </c>
      <c r="T207" s="246" t="str">
        <f>IFERROR(__xludf.DUMMYFUNCTION("""COMPUTED_VALUE"""),"-")</f>
        <v>-</v>
      </c>
      <c r="U207" s="246">
        <f>IFERROR(__xludf.DUMMYFUNCTION("""COMPUTED_VALUE"""),45658.0)</f>
        <v>45658</v>
      </c>
      <c r="V207" s="246">
        <f>IFERROR(__xludf.DUMMYFUNCTION("""COMPUTED_VALUE"""),390812.49998842593)</f>
        <v>390812.5</v>
      </c>
      <c r="W207" s="246" t="str">
        <f>IFERROR(__xludf.DUMMYFUNCTION("""COMPUTED_VALUE"""),"catchcopy_character_enemy_gom_00001.png")</f>
        <v>catchcopy_character_enemy_gom_00001.png</v>
      </c>
      <c r="X207" s="246" t="str">
        <f>IFERROR(__xludf.DUMMYFUNCTION("""COMPUTED_VALUE"""),"enemy_icon_enemy_gom_00501")</f>
        <v>enemy_icon_enemy_gom_00501</v>
      </c>
      <c r="Y207" s="246" t="str">
        <f>IFERROR(__xludf.DUMMYFUNCTION("""COMPUTED_VALUE"""),"boss_icon_enemy_gom_00501")</f>
        <v>boss_icon_enemy_gom_00501</v>
      </c>
      <c r="Z207" s="246"/>
    </row>
    <row r="208">
      <c r="A208" s="246" t="str">
        <f>IFERROR(__xludf.DUMMYFUNCTION("""COMPUTED_VALUE"""),"gom")</f>
        <v>gom</v>
      </c>
      <c r="B208" s="246" t="str">
        <f>IFERROR(__xludf.DUMMYFUNCTION("""COMPUTED_VALUE"""),"姫様“拷問”の時間です")</f>
        <v>姫様“拷問”の時間です</v>
      </c>
      <c r="C208" s="246" t="str">
        <f>IFERROR(__xludf.DUMMYFUNCTION("""COMPUTED_VALUE"""),"00502")</f>
        <v>00502</v>
      </c>
      <c r="D208" s="246" t="str">
        <f>IFERROR(__xludf.DUMMYFUNCTION("""COMPUTED_VALUE"""),"enemy_gom_00502")</f>
        <v>enemy_gom_00502</v>
      </c>
      <c r="E208" s="246" t="str">
        <f>IFERROR(__xludf.DUMMYFUNCTION("""COMPUTED_VALUE"""),"割きトースト")</f>
        <v>割きトースト</v>
      </c>
      <c r="F208" s="246" t="str">
        <f>IFERROR(__xludf.DUMMYFUNCTION("""COMPUTED_VALUE"""),"割きトースト")</f>
        <v>割きトースト</v>
      </c>
      <c r="G208" s="246" t="str">
        <f>IFERROR(__xludf.DUMMYFUNCTION("""COMPUTED_VALUE"""),"ー")</f>
        <v>ー</v>
      </c>
      <c r="H208" s="246"/>
      <c r="I208" s="246"/>
      <c r="J208" s="246"/>
      <c r="K208" s="246" t="str">
        <f>IFERROR(__xludf.DUMMYFUNCTION("""COMPUTED_VALUE"""),"enemy")</f>
        <v>enemy</v>
      </c>
      <c r="L208" s="246" t="str">
        <f>IFERROR(__xludf.DUMMYFUNCTION("""COMPUTED_VALUE"""),"アタック")</f>
        <v>アタック</v>
      </c>
      <c r="M208" s="246" t="str">
        <f>IFERROR(__xludf.DUMMYFUNCTION("""COMPUTED_VALUE"""),"dageki_1")</f>
        <v>dageki_1</v>
      </c>
      <c r="N208" s="252"/>
      <c r="O208" s="246"/>
      <c r="P208" s="246"/>
      <c r="Q208" s="246" t="str">
        <f>IFERROR(__xludf.DUMMYFUNCTION("""COMPUTED_VALUE"""),"1.00")</f>
        <v>1.00</v>
      </c>
      <c r="R208" s="246" t="str">
        <f>IFERROR(__xludf.DUMMYFUNCTION("""COMPUTED_VALUE"""),"0.833")</f>
        <v>0.833</v>
      </c>
      <c r="S208" s="246" t="str">
        <f>IFERROR(__xludf.DUMMYFUNCTION("""COMPUTED_VALUE"""),"-")</f>
        <v>-</v>
      </c>
      <c r="T208" s="246" t="str">
        <f>IFERROR(__xludf.DUMMYFUNCTION("""COMPUTED_VALUE"""),"-")</f>
        <v>-</v>
      </c>
      <c r="U208" s="246">
        <f>IFERROR(__xludf.DUMMYFUNCTION("""COMPUTED_VALUE"""),45658.0)</f>
        <v>45658</v>
      </c>
      <c r="V208" s="246">
        <f>IFERROR(__xludf.DUMMYFUNCTION("""COMPUTED_VALUE"""),390812.49998842593)</f>
        <v>390812.5</v>
      </c>
      <c r="W208" s="246" t="str">
        <f>IFERROR(__xludf.DUMMYFUNCTION("""COMPUTED_VALUE"""),"catchcopy_character_enemy_gom_00001.png")</f>
        <v>catchcopy_character_enemy_gom_00001.png</v>
      </c>
      <c r="X208" s="246" t="str">
        <f>IFERROR(__xludf.DUMMYFUNCTION("""COMPUTED_VALUE"""),"enemy_icon_enemy_gom_00502")</f>
        <v>enemy_icon_enemy_gom_00502</v>
      </c>
      <c r="Y208" s="246" t="str">
        <f>IFERROR(__xludf.DUMMYFUNCTION("""COMPUTED_VALUE"""),"boss_icon_enemy_gom_00502")</f>
        <v>boss_icon_enemy_gom_00502</v>
      </c>
      <c r="Z208" s="246"/>
    </row>
    <row r="209">
      <c r="A209" s="246" t="str">
        <f>IFERROR(__xludf.DUMMYFUNCTION("""COMPUTED_VALUE"""),"gom")</f>
        <v>gom</v>
      </c>
      <c r="B209" s="246" t="str">
        <f>IFERROR(__xludf.DUMMYFUNCTION("""COMPUTED_VALUE"""),"姫様“拷問”の時間です")</f>
        <v>姫様“拷問”の時間です</v>
      </c>
      <c r="C209" s="246" t="str">
        <f>IFERROR(__xludf.DUMMYFUNCTION("""COMPUTED_VALUE"""),"00601")</f>
        <v>00601</v>
      </c>
      <c r="D209" s="246" t="str">
        <f>IFERROR(__xludf.DUMMYFUNCTION("""COMPUTED_VALUE"""),"enemy_gom_00601")</f>
        <v>enemy_gom_00601</v>
      </c>
      <c r="E209" s="246" t="str">
        <f>IFERROR(__xludf.DUMMYFUNCTION("""COMPUTED_VALUE"""),"ゴリラのマーチA")</f>
        <v>ゴリラのマーチA</v>
      </c>
      <c r="F209" s="246" t="str">
        <f>IFERROR(__xludf.DUMMYFUNCTION("""COMPUTED_VALUE"""),"ゴリラのマーチ")</f>
        <v>ゴリラのマーチ</v>
      </c>
      <c r="G209" s="246" t="str">
        <f>IFERROR(__xludf.DUMMYFUNCTION("""COMPUTED_VALUE"""),"ー")</f>
        <v>ー</v>
      </c>
      <c r="H209" s="246"/>
      <c r="I209" s="246"/>
      <c r="J209" s="246"/>
      <c r="K209" s="246" t="str">
        <f>IFERROR(__xludf.DUMMYFUNCTION("""COMPUTED_VALUE"""),"enemy")</f>
        <v>enemy</v>
      </c>
      <c r="L209" s="246" t="str">
        <f>IFERROR(__xludf.DUMMYFUNCTION("""COMPUTED_VALUE"""),"アタック")</f>
        <v>アタック</v>
      </c>
      <c r="M209" s="246" t="str">
        <f>IFERROR(__xludf.DUMMYFUNCTION("""COMPUTED_VALUE"""),"dageki_1")</f>
        <v>dageki_1</v>
      </c>
      <c r="N209" s="252"/>
      <c r="O209" s="246"/>
      <c r="P209" s="246"/>
      <c r="Q209" s="246" t="str">
        <f>IFERROR(__xludf.DUMMYFUNCTION("""COMPUTED_VALUE"""),"1")</f>
        <v>1</v>
      </c>
      <c r="R209" s="246" t="str">
        <f>IFERROR(__xludf.DUMMYFUNCTION("""COMPUTED_VALUE"""),"0.833")</f>
        <v>0.833</v>
      </c>
      <c r="S209" s="246" t="str">
        <f>IFERROR(__xludf.DUMMYFUNCTION("""COMPUTED_VALUE"""),"-")</f>
        <v>-</v>
      </c>
      <c r="T209" s="246" t="str">
        <f>IFERROR(__xludf.DUMMYFUNCTION("""COMPUTED_VALUE"""),"-")</f>
        <v>-</v>
      </c>
      <c r="U209" s="246">
        <f>IFERROR(__xludf.DUMMYFUNCTION("""COMPUTED_VALUE"""),45658.0)</f>
        <v>45658</v>
      </c>
      <c r="V209" s="246">
        <f>IFERROR(__xludf.DUMMYFUNCTION("""COMPUTED_VALUE"""),390812.49998842593)</f>
        <v>390812.5</v>
      </c>
      <c r="W209" s="246" t="str">
        <f>IFERROR(__xludf.DUMMYFUNCTION("""COMPUTED_VALUE"""),"catchcopy_character_enemy_gom_00001.png")</f>
        <v>catchcopy_character_enemy_gom_00001.png</v>
      </c>
      <c r="X209" s="246" t="str">
        <f>IFERROR(__xludf.DUMMYFUNCTION("""COMPUTED_VALUE"""),"enemy_icon_enemy_gom_00601")</f>
        <v>enemy_icon_enemy_gom_00601</v>
      </c>
      <c r="Y209" s="246" t="str">
        <f>IFERROR(__xludf.DUMMYFUNCTION("""COMPUTED_VALUE"""),"boss_icon_enemy_gom_00601")</f>
        <v>boss_icon_enemy_gom_00601</v>
      </c>
      <c r="Z209" s="246"/>
    </row>
    <row r="210">
      <c r="A210" s="246" t="str">
        <f>IFERROR(__xludf.DUMMYFUNCTION("""COMPUTED_VALUE"""),"gom")</f>
        <v>gom</v>
      </c>
      <c r="B210" s="246" t="str">
        <f>IFERROR(__xludf.DUMMYFUNCTION("""COMPUTED_VALUE"""),"姫様“拷問”の時間です")</f>
        <v>姫様“拷問”の時間です</v>
      </c>
      <c r="C210" s="246" t="str">
        <f>IFERROR(__xludf.DUMMYFUNCTION("""COMPUTED_VALUE"""),"00611")</f>
        <v>00611</v>
      </c>
      <c r="D210" s="246" t="str">
        <f>IFERROR(__xludf.DUMMYFUNCTION("""COMPUTED_VALUE"""),"enemy_gom_00611")</f>
        <v>enemy_gom_00611</v>
      </c>
      <c r="E210" s="246" t="str">
        <f>IFERROR(__xludf.DUMMYFUNCTION("""COMPUTED_VALUE"""),"ゴリラのマーチB")</f>
        <v>ゴリラのマーチB</v>
      </c>
      <c r="F210" s="246" t="str">
        <f>IFERROR(__xludf.DUMMYFUNCTION("""COMPUTED_VALUE"""),"ゴリラのマーチ")</f>
        <v>ゴリラのマーチ</v>
      </c>
      <c r="G210" s="246" t="str">
        <f>IFERROR(__xludf.DUMMYFUNCTION("""COMPUTED_VALUE"""),"ー")</f>
        <v>ー</v>
      </c>
      <c r="H210" s="246"/>
      <c r="I210" s="246"/>
      <c r="J210" s="246"/>
      <c r="K210" s="246" t="str">
        <f>IFERROR(__xludf.DUMMYFUNCTION("""COMPUTED_VALUE"""),"enemy")</f>
        <v>enemy</v>
      </c>
      <c r="L210" s="246" t="str">
        <f>IFERROR(__xludf.DUMMYFUNCTION("""COMPUTED_VALUE"""),"アタック")</f>
        <v>アタック</v>
      </c>
      <c r="M210" s="246" t="str">
        <f>IFERROR(__xludf.DUMMYFUNCTION("""COMPUTED_VALUE"""),"dageki_1")</f>
        <v>dageki_1</v>
      </c>
      <c r="N210" s="252"/>
      <c r="O210" s="246"/>
      <c r="P210" s="246"/>
      <c r="Q210" s="246" t="str">
        <f>IFERROR(__xludf.DUMMYFUNCTION("""COMPUTED_VALUE"""),"1")</f>
        <v>1</v>
      </c>
      <c r="R210" s="246" t="str">
        <f>IFERROR(__xludf.DUMMYFUNCTION("""COMPUTED_VALUE"""),"0.833")</f>
        <v>0.833</v>
      </c>
      <c r="S210" s="246" t="str">
        <f>IFERROR(__xludf.DUMMYFUNCTION("""COMPUTED_VALUE"""),"-")</f>
        <v>-</v>
      </c>
      <c r="T210" s="246" t="str">
        <f>IFERROR(__xludf.DUMMYFUNCTION("""COMPUTED_VALUE"""),"-")</f>
        <v>-</v>
      </c>
      <c r="U210" s="246">
        <f>IFERROR(__xludf.DUMMYFUNCTION("""COMPUTED_VALUE"""),45658.0)</f>
        <v>45658</v>
      </c>
      <c r="V210" s="246">
        <f>IFERROR(__xludf.DUMMYFUNCTION("""COMPUTED_VALUE"""),390812.49998842593)</f>
        <v>390812.5</v>
      </c>
      <c r="W210" s="246" t="str">
        <f>IFERROR(__xludf.DUMMYFUNCTION("""COMPUTED_VALUE"""),"catchcopy_character_enemy_gom_00001.png")</f>
        <v>catchcopy_character_enemy_gom_00001.png</v>
      </c>
      <c r="X210" s="246" t="str">
        <f>IFERROR(__xludf.DUMMYFUNCTION("""COMPUTED_VALUE"""),"enemy_icon_enemy_gom_00611")</f>
        <v>enemy_icon_enemy_gom_00611</v>
      </c>
      <c r="Y210" s="246" t="str">
        <f>IFERROR(__xludf.DUMMYFUNCTION("""COMPUTED_VALUE"""),"boss_icon_enemy_gom_00611")</f>
        <v>boss_icon_enemy_gom_00611</v>
      </c>
      <c r="Z210" s="246"/>
    </row>
    <row r="211">
      <c r="A211" s="246" t="str">
        <f>IFERROR(__xludf.DUMMYFUNCTION("""COMPUTED_VALUE"""),"gom")</f>
        <v>gom</v>
      </c>
      <c r="B211" s="246" t="str">
        <f>IFERROR(__xludf.DUMMYFUNCTION("""COMPUTED_VALUE"""),"姫様“拷問”の時間です")</f>
        <v>姫様“拷問”の時間です</v>
      </c>
      <c r="C211" s="246" t="str">
        <f>IFERROR(__xludf.DUMMYFUNCTION("""COMPUTED_VALUE"""),"00621")</f>
        <v>00621</v>
      </c>
      <c r="D211" s="246" t="str">
        <f>IFERROR(__xludf.DUMMYFUNCTION("""COMPUTED_VALUE"""),"enemy_gom_00621")</f>
        <v>enemy_gom_00621</v>
      </c>
      <c r="E211" s="246" t="str">
        <f>IFERROR(__xludf.DUMMYFUNCTION("""COMPUTED_VALUE"""),"ゴリラのマーチC")</f>
        <v>ゴリラのマーチC</v>
      </c>
      <c r="F211" s="246" t="str">
        <f>IFERROR(__xludf.DUMMYFUNCTION("""COMPUTED_VALUE"""),"ゴリラのマーチ")</f>
        <v>ゴリラのマーチ</v>
      </c>
      <c r="G211" s="246" t="str">
        <f>IFERROR(__xludf.DUMMYFUNCTION("""COMPUTED_VALUE"""),"ー")</f>
        <v>ー</v>
      </c>
      <c r="H211" s="246"/>
      <c r="I211" s="246"/>
      <c r="J211" s="246"/>
      <c r="K211" s="246" t="str">
        <f>IFERROR(__xludf.DUMMYFUNCTION("""COMPUTED_VALUE"""),"enemy")</f>
        <v>enemy</v>
      </c>
      <c r="L211" s="246" t="str">
        <f>IFERROR(__xludf.DUMMYFUNCTION("""COMPUTED_VALUE"""),"アタック")</f>
        <v>アタック</v>
      </c>
      <c r="M211" s="246" t="str">
        <f>IFERROR(__xludf.DUMMYFUNCTION("""COMPUTED_VALUE"""),"dageki_1")</f>
        <v>dageki_1</v>
      </c>
      <c r="N211" s="252"/>
      <c r="O211" s="246"/>
      <c r="P211" s="246"/>
      <c r="Q211" s="246" t="str">
        <f>IFERROR(__xludf.DUMMYFUNCTION("""COMPUTED_VALUE"""),"1")</f>
        <v>1</v>
      </c>
      <c r="R211" s="246" t="str">
        <f>IFERROR(__xludf.DUMMYFUNCTION("""COMPUTED_VALUE"""),"0.833")</f>
        <v>0.833</v>
      </c>
      <c r="S211" s="246" t="str">
        <f>IFERROR(__xludf.DUMMYFUNCTION("""COMPUTED_VALUE"""),"-")</f>
        <v>-</v>
      </c>
      <c r="T211" s="246" t="str">
        <f>IFERROR(__xludf.DUMMYFUNCTION("""COMPUTED_VALUE"""),"-")</f>
        <v>-</v>
      </c>
      <c r="U211" s="246">
        <f>IFERROR(__xludf.DUMMYFUNCTION("""COMPUTED_VALUE"""),45658.0)</f>
        <v>45658</v>
      </c>
      <c r="V211" s="246">
        <f>IFERROR(__xludf.DUMMYFUNCTION("""COMPUTED_VALUE"""),390812.49998842593)</f>
        <v>390812.5</v>
      </c>
      <c r="W211" s="246" t="str">
        <f>IFERROR(__xludf.DUMMYFUNCTION("""COMPUTED_VALUE"""),"catchcopy_character_enemy_gom_00001.png")</f>
        <v>catchcopy_character_enemy_gom_00001.png</v>
      </c>
      <c r="X211" s="246" t="str">
        <f>IFERROR(__xludf.DUMMYFUNCTION("""COMPUTED_VALUE"""),"enemy_icon_enemy_gom_00621")</f>
        <v>enemy_icon_enemy_gom_00621</v>
      </c>
      <c r="Y211" s="246" t="str">
        <f>IFERROR(__xludf.DUMMYFUNCTION("""COMPUTED_VALUE"""),"boss_icon_enemy_gom_00621")</f>
        <v>boss_icon_enemy_gom_00621</v>
      </c>
      <c r="Z211" s="246"/>
    </row>
    <row r="212">
      <c r="A212" s="246" t="str">
        <f>IFERROR(__xludf.DUMMYFUNCTION("""COMPUTED_VALUE"""),"gom")</f>
        <v>gom</v>
      </c>
      <c r="B212" s="246" t="str">
        <f>IFERROR(__xludf.DUMMYFUNCTION("""COMPUTED_VALUE"""),"姫様“拷問”の時間です")</f>
        <v>姫様“拷問”の時間です</v>
      </c>
      <c r="C212" s="246" t="str">
        <f>IFERROR(__xludf.DUMMYFUNCTION("""COMPUTED_VALUE"""),"00631")</f>
        <v>00631</v>
      </c>
      <c r="D212" s="246" t="str">
        <f>IFERROR(__xludf.DUMMYFUNCTION("""COMPUTED_VALUE"""),"enemy_gom_00631")</f>
        <v>enemy_gom_00631</v>
      </c>
      <c r="E212" s="246" t="str">
        <f>IFERROR(__xludf.DUMMYFUNCTION("""COMPUTED_VALUE"""),"ゴリラのマーチD")</f>
        <v>ゴリラのマーチD</v>
      </c>
      <c r="F212" s="246" t="str">
        <f>IFERROR(__xludf.DUMMYFUNCTION("""COMPUTED_VALUE"""),"ゴリラのマーチ")</f>
        <v>ゴリラのマーチ</v>
      </c>
      <c r="G212" s="246" t="str">
        <f>IFERROR(__xludf.DUMMYFUNCTION("""COMPUTED_VALUE"""),"ー")</f>
        <v>ー</v>
      </c>
      <c r="H212" s="246"/>
      <c r="I212" s="246"/>
      <c r="J212" s="246"/>
      <c r="K212" s="246" t="str">
        <f>IFERROR(__xludf.DUMMYFUNCTION("""COMPUTED_VALUE"""),"enemy")</f>
        <v>enemy</v>
      </c>
      <c r="L212" s="246" t="str">
        <f>IFERROR(__xludf.DUMMYFUNCTION("""COMPUTED_VALUE"""),"アタック")</f>
        <v>アタック</v>
      </c>
      <c r="M212" s="246" t="str">
        <f>IFERROR(__xludf.DUMMYFUNCTION("""COMPUTED_VALUE"""),"dageki_1")</f>
        <v>dageki_1</v>
      </c>
      <c r="N212" s="252"/>
      <c r="O212" s="246"/>
      <c r="P212" s="246"/>
      <c r="Q212" s="246" t="str">
        <f>IFERROR(__xludf.DUMMYFUNCTION("""COMPUTED_VALUE"""),"1")</f>
        <v>1</v>
      </c>
      <c r="R212" s="246" t="str">
        <f>IFERROR(__xludf.DUMMYFUNCTION("""COMPUTED_VALUE"""),"0.833")</f>
        <v>0.833</v>
      </c>
      <c r="S212" s="246" t="str">
        <f>IFERROR(__xludf.DUMMYFUNCTION("""COMPUTED_VALUE"""),"-")</f>
        <v>-</v>
      </c>
      <c r="T212" s="246" t="str">
        <f>IFERROR(__xludf.DUMMYFUNCTION("""COMPUTED_VALUE"""),"-")</f>
        <v>-</v>
      </c>
      <c r="U212" s="246">
        <f>IFERROR(__xludf.DUMMYFUNCTION("""COMPUTED_VALUE"""),45658.0)</f>
        <v>45658</v>
      </c>
      <c r="V212" s="246">
        <f>IFERROR(__xludf.DUMMYFUNCTION("""COMPUTED_VALUE"""),390812.49998842593)</f>
        <v>390812.5</v>
      </c>
      <c r="W212" s="246" t="str">
        <f>IFERROR(__xludf.DUMMYFUNCTION("""COMPUTED_VALUE"""),"catchcopy_character_enemy_gom_00001.png")</f>
        <v>catchcopy_character_enemy_gom_00001.png</v>
      </c>
      <c r="X212" s="246" t="str">
        <f>IFERROR(__xludf.DUMMYFUNCTION("""COMPUTED_VALUE"""),"enemy_icon_enemy_gom_00631")</f>
        <v>enemy_icon_enemy_gom_00631</v>
      </c>
      <c r="Y212" s="246" t="str">
        <f>IFERROR(__xludf.DUMMYFUNCTION("""COMPUTED_VALUE"""),"boss_icon_enemy_gom_00631")</f>
        <v>boss_icon_enemy_gom_00631</v>
      </c>
      <c r="Z212" s="246"/>
    </row>
    <row r="213">
      <c r="A213" s="246" t="str">
        <f>IFERROR(__xludf.DUMMYFUNCTION("""COMPUTED_VALUE"""),"gom")</f>
        <v>gom</v>
      </c>
      <c r="B213" s="246" t="str">
        <f>IFERROR(__xludf.DUMMYFUNCTION("""COMPUTED_VALUE"""),"姫様“拷問”の時間です")</f>
        <v>姫様“拷問”の時間です</v>
      </c>
      <c r="C213" s="246" t="str">
        <f>IFERROR(__xludf.DUMMYFUNCTION("""COMPUTED_VALUE"""),"00701")</f>
        <v>00701</v>
      </c>
      <c r="D213" s="246" t="str">
        <f>IFERROR(__xludf.DUMMYFUNCTION("""COMPUTED_VALUE"""),"enemy_gom_00701")</f>
        <v>enemy_gom_00701</v>
      </c>
      <c r="E213" s="246" t="str">
        <f>IFERROR(__xludf.DUMMYFUNCTION("""COMPUTED_VALUE"""),"ラーメン")</f>
        <v>ラーメン</v>
      </c>
      <c r="F213" s="246" t="str">
        <f>IFERROR(__xludf.DUMMYFUNCTION("""COMPUTED_VALUE"""),"ラーメン")</f>
        <v>ラーメン</v>
      </c>
      <c r="G213" s="246" t="str">
        <f>IFERROR(__xludf.DUMMYFUNCTION("""COMPUTED_VALUE"""),"ー")</f>
        <v>ー</v>
      </c>
      <c r="H213" s="246"/>
      <c r="I213" s="246"/>
      <c r="J213" s="246"/>
      <c r="K213" s="246" t="str">
        <f>IFERROR(__xludf.DUMMYFUNCTION("""COMPUTED_VALUE"""),"enemy")</f>
        <v>enemy</v>
      </c>
      <c r="L213" s="246" t="str">
        <f>IFERROR(__xludf.DUMMYFUNCTION("""COMPUTED_VALUE"""),"アタック")</f>
        <v>アタック</v>
      </c>
      <c r="M213" s="246" t="str">
        <f>IFERROR(__xludf.DUMMYFUNCTION("""COMPUTED_VALUE"""),"dageki_1")</f>
        <v>dageki_1</v>
      </c>
      <c r="N213" s="252"/>
      <c r="O213" s="246"/>
      <c r="P213" s="246"/>
      <c r="Q213" s="246" t="str">
        <f>IFERROR(__xludf.DUMMYFUNCTION("""COMPUTED_VALUE"""),"1.00")</f>
        <v>1.00</v>
      </c>
      <c r="R213" s="246" t="str">
        <f>IFERROR(__xludf.DUMMYFUNCTION("""COMPUTED_VALUE"""),"0.833")</f>
        <v>0.833</v>
      </c>
      <c r="S213" s="246" t="str">
        <f>IFERROR(__xludf.DUMMYFUNCTION("""COMPUTED_VALUE"""),"-")</f>
        <v>-</v>
      </c>
      <c r="T213" s="246" t="str">
        <f>IFERROR(__xludf.DUMMYFUNCTION("""COMPUTED_VALUE"""),"-")</f>
        <v>-</v>
      </c>
      <c r="U213" s="246">
        <f>IFERROR(__xludf.DUMMYFUNCTION("""COMPUTED_VALUE"""),45658.0)</f>
        <v>45658</v>
      </c>
      <c r="V213" s="246">
        <f>IFERROR(__xludf.DUMMYFUNCTION("""COMPUTED_VALUE"""),390812.49998842593)</f>
        <v>390812.5</v>
      </c>
      <c r="W213" s="246" t="str">
        <f>IFERROR(__xludf.DUMMYFUNCTION("""COMPUTED_VALUE"""),"catchcopy_character_enemy_gom_00001.png")</f>
        <v>catchcopy_character_enemy_gom_00001.png</v>
      </c>
      <c r="X213" s="246" t="str">
        <f>IFERROR(__xludf.DUMMYFUNCTION("""COMPUTED_VALUE"""),"enemy_icon_enemy_gom_00701")</f>
        <v>enemy_icon_enemy_gom_00701</v>
      </c>
      <c r="Y213" s="246" t="str">
        <f>IFERROR(__xludf.DUMMYFUNCTION("""COMPUTED_VALUE"""),"boss_icon_enemy_gom_00701")</f>
        <v>boss_icon_enemy_gom_00701</v>
      </c>
      <c r="Z213" s="246"/>
    </row>
    <row r="214">
      <c r="A214" s="246" t="str">
        <f>IFERROR(__xludf.DUMMYFUNCTION("""COMPUTED_VALUE"""),"gom")</f>
        <v>gom</v>
      </c>
      <c r="B214" s="246" t="str">
        <f>IFERROR(__xludf.DUMMYFUNCTION("""COMPUTED_VALUE"""),"姫様“拷問”の時間です")</f>
        <v>姫様“拷問”の時間です</v>
      </c>
      <c r="C214" s="246" t="str">
        <f>IFERROR(__xludf.DUMMYFUNCTION("""COMPUTED_VALUE"""),"00801")</f>
        <v>00801</v>
      </c>
      <c r="D214" s="246" t="str">
        <f>IFERROR(__xludf.DUMMYFUNCTION("""COMPUTED_VALUE"""),"enemy_gom_00801")</f>
        <v>enemy_gom_00801</v>
      </c>
      <c r="E214" s="246" t="str">
        <f>IFERROR(__xludf.DUMMYFUNCTION("""COMPUTED_VALUE"""),"ライス")</f>
        <v>ライス</v>
      </c>
      <c r="F214" s="246" t="str">
        <f>IFERROR(__xludf.DUMMYFUNCTION("""COMPUTED_VALUE"""),"ライス")</f>
        <v>ライス</v>
      </c>
      <c r="G214" s="246" t="str">
        <f>IFERROR(__xludf.DUMMYFUNCTION("""COMPUTED_VALUE"""),"ー")</f>
        <v>ー</v>
      </c>
      <c r="H214" s="246"/>
      <c r="I214" s="246"/>
      <c r="J214" s="246"/>
      <c r="K214" s="246" t="str">
        <f>IFERROR(__xludf.DUMMYFUNCTION("""COMPUTED_VALUE"""),"enemy")</f>
        <v>enemy</v>
      </c>
      <c r="L214" s="246" t="str">
        <f>IFERROR(__xludf.DUMMYFUNCTION("""COMPUTED_VALUE"""),"ディフェンス")</f>
        <v>ディフェンス</v>
      </c>
      <c r="M214" s="246" t="str">
        <f>IFERROR(__xludf.DUMMYFUNCTION("""COMPUTED_VALUE"""),"dageki_1")</f>
        <v>dageki_1</v>
      </c>
      <c r="N214" s="252"/>
      <c r="O214" s="246"/>
      <c r="P214" s="246"/>
      <c r="Q214" s="246" t="str">
        <f>IFERROR(__xludf.DUMMYFUNCTION("""COMPUTED_VALUE"""),"1.00")</f>
        <v>1.00</v>
      </c>
      <c r="R214" s="246" t="str">
        <f>IFERROR(__xludf.DUMMYFUNCTION("""COMPUTED_VALUE"""),"0.833")</f>
        <v>0.833</v>
      </c>
      <c r="S214" s="246" t="str">
        <f>IFERROR(__xludf.DUMMYFUNCTION("""COMPUTED_VALUE"""),"-")</f>
        <v>-</v>
      </c>
      <c r="T214" s="246" t="str">
        <f>IFERROR(__xludf.DUMMYFUNCTION("""COMPUTED_VALUE"""),"-")</f>
        <v>-</v>
      </c>
      <c r="U214" s="246">
        <f>IFERROR(__xludf.DUMMYFUNCTION("""COMPUTED_VALUE"""),45658.0)</f>
        <v>45658</v>
      </c>
      <c r="V214" s="246">
        <f>IFERROR(__xludf.DUMMYFUNCTION("""COMPUTED_VALUE"""),390812.49998842593)</f>
        <v>390812.5</v>
      </c>
      <c r="W214" s="246" t="str">
        <f>IFERROR(__xludf.DUMMYFUNCTION("""COMPUTED_VALUE"""),"catchcopy_character_enemy_gom_00001.png")</f>
        <v>catchcopy_character_enemy_gom_00001.png</v>
      </c>
      <c r="X214" s="246" t="str">
        <f>IFERROR(__xludf.DUMMYFUNCTION("""COMPUTED_VALUE"""),"enemy_icon_enemy_gom_00801")</f>
        <v>enemy_icon_enemy_gom_00801</v>
      </c>
      <c r="Y214" s="246" t="str">
        <f>IFERROR(__xludf.DUMMYFUNCTION("""COMPUTED_VALUE"""),"boss_icon_enemy_gom_00801")</f>
        <v>boss_icon_enemy_gom_00801</v>
      </c>
      <c r="Z214" s="246"/>
    </row>
    <row r="215">
      <c r="A215" s="246" t="str">
        <f>IFERROR(__xludf.DUMMYFUNCTION("""COMPUTED_VALUE"""),"gom")</f>
        <v>gom</v>
      </c>
      <c r="B215" s="246" t="str">
        <f>IFERROR(__xludf.DUMMYFUNCTION("""COMPUTED_VALUE"""),"姫様“拷問”の時間です")</f>
        <v>姫様“拷問”の時間です</v>
      </c>
      <c r="C215" s="246" t="str">
        <f>IFERROR(__xludf.DUMMYFUNCTION("""COMPUTED_VALUE"""),"00901")</f>
        <v>00901</v>
      </c>
      <c r="D215" s="246" t="str">
        <f>IFERROR(__xludf.DUMMYFUNCTION("""COMPUTED_VALUE"""),"enemy_gom_00901")</f>
        <v>enemy_gom_00901</v>
      </c>
      <c r="E215" s="246" t="str">
        <f>IFERROR(__xludf.DUMMYFUNCTION("""COMPUTED_VALUE"""),"ライス(海苔)")</f>
        <v>ライス(海苔)</v>
      </c>
      <c r="F215" s="246" t="str">
        <f>IFERROR(__xludf.DUMMYFUNCTION("""COMPUTED_VALUE"""),"ライス (海苔)")</f>
        <v>ライス (海苔)</v>
      </c>
      <c r="G215" s="246" t="str">
        <f>IFERROR(__xludf.DUMMYFUNCTION("""COMPUTED_VALUE"""),"ー")</f>
        <v>ー</v>
      </c>
      <c r="H215" s="246"/>
      <c r="I215" s="246"/>
      <c r="J215" s="246"/>
      <c r="K215" s="246" t="str">
        <f>IFERROR(__xludf.DUMMYFUNCTION("""COMPUTED_VALUE"""),"enemy")</f>
        <v>enemy</v>
      </c>
      <c r="L215" s="246" t="str">
        <f>IFERROR(__xludf.DUMMYFUNCTION("""COMPUTED_VALUE"""),"アタック")</f>
        <v>アタック</v>
      </c>
      <c r="M215" s="246" t="str">
        <f>IFERROR(__xludf.DUMMYFUNCTION("""COMPUTED_VALUE"""),"dageki_1")</f>
        <v>dageki_1</v>
      </c>
      <c r="N215" s="252"/>
      <c r="O215" s="246"/>
      <c r="P215" s="246"/>
      <c r="Q215" s="246" t="str">
        <f>IFERROR(__xludf.DUMMYFUNCTION("""COMPUTED_VALUE"""),"1.00")</f>
        <v>1.00</v>
      </c>
      <c r="R215" s="246" t="str">
        <f>IFERROR(__xludf.DUMMYFUNCTION("""COMPUTED_VALUE"""),"0.833")</f>
        <v>0.833</v>
      </c>
      <c r="S215" s="246" t="str">
        <f>IFERROR(__xludf.DUMMYFUNCTION("""COMPUTED_VALUE"""),"-")</f>
        <v>-</v>
      </c>
      <c r="T215" s="246" t="str">
        <f>IFERROR(__xludf.DUMMYFUNCTION("""COMPUTED_VALUE"""),"-")</f>
        <v>-</v>
      </c>
      <c r="U215" s="246">
        <f>IFERROR(__xludf.DUMMYFUNCTION("""COMPUTED_VALUE"""),45658.0)</f>
        <v>45658</v>
      </c>
      <c r="V215" s="246">
        <f>IFERROR(__xludf.DUMMYFUNCTION("""COMPUTED_VALUE"""),390812.49998842593)</f>
        <v>390812.5</v>
      </c>
      <c r="W215" s="246" t="str">
        <f>IFERROR(__xludf.DUMMYFUNCTION("""COMPUTED_VALUE"""),"catchcopy_character_enemy_gom_00001.png")</f>
        <v>catchcopy_character_enemy_gom_00001.png</v>
      </c>
      <c r="X215" s="246" t="str">
        <f>IFERROR(__xludf.DUMMYFUNCTION("""COMPUTED_VALUE"""),"enemy_icon_enemy_gom_00901")</f>
        <v>enemy_icon_enemy_gom_00901</v>
      </c>
      <c r="Y215" s="246" t="str">
        <f>IFERROR(__xludf.DUMMYFUNCTION("""COMPUTED_VALUE"""),"boss_icon_enemy_gom_00901")</f>
        <v>boss_icon_enemy_gom_00901</v>
      </c>
      <c r="Z215" s="246"/>
    </row>
    <row r="216">
      <c r="A216" s="246" t="str">
        <f>IFERROR(__xludf.DUMMYFUNCTION("""COMPUTED_VALUE"""),"gom")</f>
        <v>gom</v>
      </c>
      <c r="B216" s="246" t="str">
        <f>IFERROR(__xludf.DUMMYFUNCTION("""COMPUTED_VALUE"""),"姫様“拷問”の時間です")</f>
        <v>姫様“拷問”の時間です</v>
      </c>
      <c r="C216" s="246" t="str">
        <f>IFERROR(__xludf.DUMMYFUNCTION("""COMPUTED_VALUE"""),"01001")</f>
        <v>01001</v>
      </c>
      <c r="D216" s="246" t="str">
        <f>IFERROR(__xludf.DUMMYFUNCTION("""COMPUTED_VALUE"""),"enemy_gom_01001")</f>
        <v>enemy_gom_01001</v>
      </c>
      <c r="E216" s="246" t="str">
        <f>IFERROR(__xludf.DUMMYFUNCTION("""COMPUTED_VALUE"""),"あんぱん")</f>
        <v>あんぱん</v>
      </c>
      <c r="F216" s="246" t="str">
        <f>IFERROR(__xludf.DUMMYFUNCTION("""COMPUTED_VALUE"""),"あんぱん")</f>
        <v>あんぱん</v>
      </c>
      <c r="G216" s="246" t="str">
        <f>IFERROR(__xludf.DUMMYFUNCTION("""COMPUTED_VALUE"""),"ー")</f>
        <v>ー</v>
      </c>
      <c r="H216" s="246"/>
      <c r="I216" s="246"/>
      <c r="J216" s="246"/>
      <c r="K216" s="246" t="str">
        <f>IFERROR(__xludf.DUMMYFUNCTION("""COMPUTED_VALUE"""),"enemy")</f>
        <v>enemy</v>
      </c>
      <c r="L216" s="246"/>
      <c r="M216" s="246"/>
      <c r="N216" s="252"/>
      <c r="O216" s="246"/>
      <c r="P216" s="246"/>
      <c r="Q216" s="246"/>
      <c r="R216" s="246"/>
      <c r="S216" s="246" t="str">
        <f>IFERROR(__xludf.DUMMYFUNCTION("""COMPUTED_VALUE"""),"-")</f>
        <v>-</v>
      </c>
      <c r="T216" s="246" t="str">
        <f>IFERROR(__xludf.DUMMYFUNCTION("""COMPUTED_VALUE"""),"-")</f>
        <v>-</v>
      </c>
      <c r="U216" s="246">
        <f>IFERROR(__xludf.DUMMYFUNCTION("""COMPUTED_VALUE"""),45658.0)</f>
        <v>45658</v>
      </c>
      <c r="V216" s="246">
        <f>IFERROR(__xludf.DUMMYFUNCTION("""COMPUTED_VALUE"""),390812.49998842593)</f>
        <v>390812.5</v>
      </c>
      <c r="W216" s="246" t="str">
        <f>IFERROR(__xludf.DUMMYFUNCTION("""COMPUTED_VALUE"""),"catchcopy_character_enemy_gom_00001.png")</f>
        <v>catchcopy_character_enemy_gom_00001.png</v>
      </c>
      <c r="X216" s="246" t="str">
        <f>IFERROR(__xludf.DUMMYFUNCTION("""COMPUTED_VALUE"""),"enemy_icon_enemy_gom_01001")</f>
        <v>enemy_icon_enemy_gom_01001</v>
      </c>
      <c r="Y216" s="246" t="str">
        <f>IFERROR(__xludf.DUMMYFUNCTION("""COMPUTED_VALUE"""),"boss_icon_enemy_gom_01001")</f>
        <v>boss_icon_enemy_gom_01001</v>
      </c>
      <c r="Z216" s="246"/>
    </row>
    <row r="217">
      <c r="A217" s="246" t="str">
        <f>IFERROR(__xludf.DUMMYFUNCTION("""COMPUTED_VALUE"""),"gom")</f>
        <v>gom</v>
      </c>
      <c r="B217" s="246" t="str">
        <f>IFERROR(__xludf.DUMMYFUNCTION("""COMPUTED_VALUE"""),"姫様“拷問”の時間です")</f>
        <v>姫様“拷問”の時間です</v>
      </c>
      <c r="C217" s="246" t="str">
        <f>IFERROR(__xludf.DUMMYFUNCTION("""COMPUTED_VALUE"""),"01002")</f>
        <v>01002</v>
      </c>
      <c r="D217" s="246" t="str">
        <f>IFERROR(__xludf.DUMMYFUNCTION("""COMPUTED_VALUE"""),"enemy_gom_01002")</f>
        <v>enemy_gom_01002</v>
      </c>
      <c r="E217" s="246" t="str">
        <f>IFERROR(__xludf.DUMMYFUNCTION("""COMPUTED_VALUE"""),"トーストあんぱん")</f>
        <v>トーストあんぱん</v>
      </c>
      <c r="F217" s="246" t="str">
        <f>IFERROR(__xludf.DUMMYFUNCTION("""COMPUTED_VALUE"""),"トーストあんぱん")</f>
        <v>トーストあんぱん</v>
      </c>
      <c r="G217" s="246" t="str">
        <f>IFERROR(__xludf.DUMMYFUNCTION("""COMPUTED_VALUE"""),"ー")</f>
        <v>ー</v>
      </c>
      <c r="H217" s="246"/>
      <c r="I217" s="246"/>
      <c r="J217" s="246"/>
      <c r="K217" s="246" t="str">
        <f>IFERROR(__xludf.DUMMYFUNCTION("""COMPUTED_VALUE"""),"enemy")</f>
        <v>enemy</v>
      </c>
      <c r="L217" s="246"/>
      <c r="M217" s="246"/>
      <c r="N217" s="252"/>
      <c r="O217" s="246"/>
      <c r="P217" s="246"/>
      <c r="Q217" s="246"/>
      <c r="R217" s="246"/>
      <c r="S217" s="246" t="str">
        <f>IFERROR(__xludf.DUMMYFUNCTION("""COMPUTED_VALUE"""),"-")</f>
        <v>-</v>
      </c>
      <c r="T217" s="246" t="str">
        <f>IFERROR(__xludf.DUMMYFUNCTION("""COMPUTED_VALUE"""),"-")</f>
        <v>-</v>
      </c>
      <c r="U217" s="246">
        <f>IFERROR(__xludf.DUMMYFUNCTION("""COMPUTED_VALUE"""),45658.0)</f>
        <v>45658</v>
      </c>
      <c r="V217" s="246">
        <f>IFERROR(__xludf.DUMMYFUNCTION("""COMPUTED_VALUE"""),390812.49998842593)</f>
        <v>390812.5</v>
      </c>
      <c r="W217" s="246" t="str">
        <f>IFERROR(__xludf.DUMMYFUNCTION("""COMPUTED_VALUE"""),"catchcopy_character_enemy_gom_00001.png")</f>
        <v>catchcopy_character_enemy_gom_00001.png</v>
      </c>
      <c r="X217" s="246" t="str">
        <f>IFERROR(__xludf.DUMMYFUNCTION("""COMPUTED_VALUE"""),"enemy_icon_enemy_gom_01002")</f>
        <v>enemy_icon_enemy_gom_01002</v>
      </c>
      <c r="Y217" s="246" t="str">
        <f>IFERROR(__xludf.DUMMYFUNCTION("""COMPUTED_VALUE"""),"boss_icon_enemy_gom_01002")</f>
        <v>boss_icon_enemy_gom_01002</v>
      </c>
      <c r="Z217" s="246"/>
    </row>
    <row r="218">
      <c r="A218" s="246" t="str">
        <f>IFERROR(__xludf.DUMMYFUNCTION("""COMPUTED_VALUE"""),"gom")</f>
        <v>gom</v>
      </c>
      <c r="B218" s="246" t="str">
        <f>IFERROR(__xludf.DUMMYFUNCTION("""COMPUTED_VALUE"""),"姫様“拷問”の時間です")</f>
        <v>姫様“拷問”の時間です</v>
      </c>
      <c r="C218" s="246" t="str">
        <f>IFERROR(__xludf.DUMMYFUNCTION("""COMPUTED_VALUE"""),"01101")</f>
        <v>01101</v>
      </c>
      <c r="D218" s="246" t="str">
        <f>IFERROR(__xludf.DUMMYFUNCTION("""COMPUTED_VALUE"""),"enemy_gom_01101")</f>
        <v>enemy_gom_01101</v>
      </c>
      <c r="E218" s="246" t="str">
        <f>IFERROR(__xludf.DUMMYFUNCTION("""COMPUTED_VALUE"""),"魔王ゴッドサンダー")</f>
        <v>魔王ゴッドサンダー</v>
      </c>
      <c r="F218" s="246" t="str">
        <f>IFERROR(__xludf.DUMMYFUNCTION("""COMPUTED_VALUE"""),"魔王ゴッドサンダー")</f>
        <v>魔王ゴッドサンダー</v>
      </c>
      <c r="G218" s="246" t="str">
        <f>IFERROR(__xludf.DUMMYFUNCTION("""COMPUTED_VALUE"""),"ー")</f>
        <v>ー</v>
      </c>
      <c r="H218" s="246"/>
      <c r="I218" s="246"/>
      <c r="J218" s="246"/>
      <c r="K218" s="246" t="str">
        <f>IFERROR(__xludf.DUMMYFUNCTION("""COMPUTED_VALUE"""),"enemy")</f>
        <v>enemy</v>
      </c>
      <c r="L218" s="246"/>
      <c r="M218" s="246"/>
      <c r="N218" s="252"/>
      <c r="O218" s="246"/>
      <c r="P218" s="246"/>
      <c r="Q218" s="246"/>
      <c r="R218" s="246"/>
      <c r="S218" s="246" t="str">
        <f>IFERROR(__xludf.DUMMYFUNCTION("""COMPUTED_VALUE"""),"-")</f>
        <v>-</v>
      </c>
      <c r="T218" s="246" t="str">
        <f>IFERROR(__xludf.DUMMYFUNCTION("""COMPUTED_VALUE"""),"-")</f>
        <v>-</v>
      </c>
      <c r="U218" s="246">
        <f>IFERROR(__xludf.DUMMYFUNCTION("""COMPUTED_VALUE"""),45658.0)</f>
        <v>45658</v>
      </c>
      <c r="V218" s="246">
        <f>IFERROR(__xludf.DUMMYFUNCTION("""COMPUTED_VALUE"""),390812.49998842593)</f>
        <v>390812.5</v>
      </c>
      <c r="W218" s="246" t="str">
        <f>IFERROR(__xludf.DUMMYFUNCTION("""COMPUTED_VALUE"""),"catchcopy_character_enemy_gom_00001.png")</f>
        <v>catchcopy_character_enemy_gom_00001.png</v>
      </c>
      <c r="X218" s="246" t="str">
        <f>IFERROR(__xludf.DUMMYFUNCTION("""COMPUTED_VALUE"""),"enemy_icon_enemy_gom_01101")</f>
        <v>enemy_icon_enemy_gom_01101</v>
      </c>
      <c r="Y218" s="246" t="str">
        <f>IFERROR(__xludf.DUMMYFUNCTION("""COMPUTED_VALUE"""),"boss_icon_enemy_gom_01101")</f>
        <v>boss_icon_enemy_gom_01101</v>
      </c>
      <c r="Z218" s="246"/>
    </row>
    <row r="219">
      <c r="A219" s="246" t="str">
        <f>IFERROR(__xludf.DUMMYFUNCTION("""COMPUTED_VALUE"""),"chi")</f>
        <v>chi</v>
      </c>
      <c r="B219" s="246" t="str">
        <f>IFERROR(__xludf.DUMMYFUNCTION("""COMPUTED_VALUE"""),"チェンソーマン")</f>
        <v>チェンソーマン</v>
      </c>
      <c r="C219" s="246" t="str">
        <f>IFERROR(__xludf.DUMMYFUNCTION("""COMPUTED_VALUE"""),"00001")</f>
        <v>00001</v>
      </c>
      <c r="D219" s="246" t="str">
        <f>IFERROR(__xludf.DUMMYFUNCTION("""COMPUTED_VALUE"""),"enemy_chi_00001")</f>
        <v>enemy_chi_00001</v>
      </c>
      <c r="E219" s="246" t="str">
        <f>IFERROR(__xludf.DUMMYFUNCTION("""COMPUTED_VALUE"""),"ゾンビの悪魔")</f>
        <v>ゾンビの悪魔</v>
      </c>
      <c r="F219" s="246" t="str">
        <f>IFERROR(__xludf.DUMMYFUNCTION("""COMPUTED_VALUE"""),"ゾンビの悪魔")</f>
        <v>ゾンビの悪魔</v>
      </c>
      <c r="G219" s="246" t="str">
        <f>IFERROR(__xludf.DUMMYFUNCTION("""COMPUTED_VALUE"""),"ー")</f>
        <v>ー</v>
      </c>
      <c r="H219" s="246"/>
      <c r="I219" s="246"/>
      <c r="J219" s="246"/>
      <c r="K219" s="246" t="str">
        <f>IFERROR(__xludf.DUMMYFUNCTION("""COMPUTED_VALUE"""),"enemy")</f>
        <v>enemy</v>
      </c>
      <c r="L219" s="246"/>
      <c r="M219" s="246" t="str">
        <f>IFERROR(__xludf.DUMMYFUNCTION("""COMPUTED_VALUE"""),"dageki_2")</f>
        <v>dageki_2</v>
      </c>
      <c r="N219" s="252"/>
      <c r="O219" s="246"/>
      <c r="P219" s="246"/>
      <c r="Q219" s="246" t="str">
        <f>IFERROR(__xludf.DUMMYFUNCTION("""COMPUTED_VALUE"""),"1.13")</f>
        <v>1.13</v>
      </c>
      <c r="R219" s="246" t="str">
        <f>IFERROR(__xludf.DUMMYFUNCTION("""COMPUTED_VALUE"""),"0.20")</f>
        <v>0.20</v>
      </c>
      <c r="S219" s="246" t="str">
        <f>IFERROR(__xludf.DUMMYFUNCTION("""COMPUTED_VALUE"""),"-")</f>
        <v>-</v>
      </c>
      <c r="T219" s="246" t="str">
        <f>IFERROR(__xludf.DUMMYFUNCTION("""COMPUTED_VALUE"""),"-")</f>
        <v>-</v>
      </c>
      <c r="U219" s="246">
        <f>IFERROR(__xludf.DUMMYFUNCTION("""COMPUTED_VALUE"""),45658.0)</f>
        <v>45658</v>
      </c>
      <c r="V219" s="246">
        <f>IFERROR(__xludf.DUMMYFUNCTION("""COMPUTED_VALUE"""),390812.49998842593)</f>
        <v>390812.5</v>
      </c>
      <c r="W219" s="246" t="str">
        <f>IFERROR(__xludf.DUMMYFUNCTION("""COMPUTED_VALUE"""),"catchcopy_character_enemy_chi_00001.png")</f>
        <v>catchcopy_character_enemy_chi_00001.png</v>
      </c>
      <c r="X219" s="246" t="str">
        <f>IFERROR(__xludf.DUMMYFUNCTION("""COMPUTED_VALUE"""),"enemy_icon_enemy_chi_00001")</f>
        <v>enemy_icon_enemy_chi_00001</v>
      </c>
      <c r="Y219" s="246" t="str">
        <f>IFERROR(__xludf.DUMMYFUNCTION("""COMPUTED_VALUE"""),"boss_icon_enemy_chi_00001")</f>
        <v>boss_icon_enemy_chi_00001</v>
      </c>
      <c r="Z219" s="246" t="str">
        <f>IFERROR(__xludf.DUMMYFUNCTION("""COMPUTED_VALUE"""),"enemy_chi_00001_normal")</f>
        <v>enemy_chi_00001_normal</v>
      </c>
    </row>
    <row r="220">
      <c r="A220" s="246" t="str">
        <f>IFERROR(__xludf.DUMMYFUNCTION("""COMPUTED_VALUE"""),"chi")</f>
        <v>chi</v>
      </c>
      <c r="B220" s="246" t="str">
        <f>IFERROR(__xludf.DUMMYFUNCTION("""COMPUTED_VALUE"""),"チェンソーマン")</f>
        <v>チェンソーマン</v>
      </c>
      <c r="C220" s="246" t="str">
        <f>IFERROR(__xludf.DUMMYFUNCTION("""COMPUTED_VALUE"""),"00101")</f>
        <v>00101</v>
      </c>
      <c r="D220" s="246" t="str">
        <f>IFERROR(__xludf.DUMMYFUNCTION("""COMPUTED_VALUE"""),"enemy_chi_00101")</f>
        <v>enemy_chi_00101</v>
      </c>
      <c r="E220" s="246" t="str">
        <f>IFERROR(__xludf.DUMMYFUNCTION("""COMPUTED_VALUE"""),"ゾンビ")</f>
        <v>ゾンビ</v>
      </c>
      <c r="F220" s="246" t="str">
        <f>IFERROR(__xludf.DUMMYFUNCTION("""COMPUTED_VALUE"""),"ゾンビ")</f>
        <v>ゾンビ</v>
      </c>
      <c r="G220" s="246" t="str">
        <f>IFERROR(__xludf.DUMMYFUNCTION("""COMPUTED_VALUE"""),"ー")</f>
        <v>ー</v>
      </c>
      <c r="H220" s="246"/>
      <c r="I220" s="246"/>
      <c r="J220" s="246"/>
      <c r="K220" s="246" t="str">
        <f>IFERROR(__xludf.DUMMYFUNCTION("""COMPUTED_VALUE"""),"enemy")</f>
        <v>enemy</v>
      </c>
      <c r="L220" s="246"/>
      <c r="M220" s="246" t="str">
        <f>IFERROR(__xludf.DUMMYFUNCTION("""COMPUTED_VALUE"""),"dageki_1")</f>
        <v>dageki_1</v>
      </c>
      <c r="N220" s="252"/>
      <c r="O220" s="246"/>
      <c r="P220" s="246"/>
      <c r="Q220" s="246" t="str">
        <f>IFERROR(__xludf.DUMMYFUNCTION("""COMPUTED_VALUE"""),"1.90")</f>
        <v>1.90</v>
      </c>
      <c r="R220" s="246" t="str">
        <f>IFERROR(__xludf.DUMMYFUNCTION("""COMPUTED_VALUE"""),"0.66")</f>
        <v>0.66</v>
      </c>
      <c r="S220" s="246" t="str">
        <f>IFERROR(__xludf.DUMMYFUNCTION("""COMPUTED_VALUE"""),"-")</f>
        <v>-</v>
      </c>
      <c r="T220" s="246" t="str">
        <f>IFERROR(__xludf.DUMMYFUNCTION("""COMPUTED_VALUE"""),"-")</f>
        <v>-</v>
      </c>
      <c r="U220" s="246">
        <f>IFERROR(__xludf.DUMMYFUNCTION("""COMPUTED_VALUE"""),45658.0)</f>
        <v>45658</v>
      </c>
      <c r="V220" s="246">
        <f>IFERROR(__xludf.DUMMYFUNCTION("""COMPUTED_VALUE"""),390812.49998842593)</f>
        <v>390812.5</v>
      </c>
      <c r="W220" s="246" t="str">
        <f>IFERROR(__xludf.DUMMYFUNCTION("""COMPUTED_VALUE"""),"catchcopy_character_enemy_chi_00101.png")</f>
        <v>catchcopy_character_enemy_chi_00101.png</v>
      </c>
      <c r="X220" s="246" t="str">
        <f>IFERROR(__xludf.DUMMYFUNCTION("""COMPUTED_VALUE"""),"enemy_icon_enemy_chi_00101")</f>
        <v>enemy_icon_enemy_chi_00101</v>
      </c>
      <c r="Y220" s="246" t="str">
        <f>IFERROR(__xludf.DUMMYFUNCTION("""COMPUTED_VALUE"""),"boss_icon_enemy_chi_00101")</f>
        <v>boss_icon_enemy_chi_00101</v>
      </c>
      <c r="Z220" s="246"/>
    </row>
    <row r="221">
      <c r="A221" s="246" t="str">
        <f>IFERROR(__xludf.DUMMYFUNCTION("""COMPUTED_VALUE"""),"chi")</f>
        <v>chi</v>
      </c>
      <c r="B221" s="246" t="str">
        <f>IFERROR(__xludf.DUMMYFUNCTION("""COMPUTED_VALUE"""),"チェンソーマン")</f>
        <v>チェンソーマン</v>
      </c>
      <c r="C221" s="246" t="str">
        <f>IFERROR(__xludf.DUMMYFUNCTION("""COMPUTED_VALUE"""),"00201")</f>
        <v>00201</v>
      </c>
      <c r="D221" s="246" t="str">
        <f>IFERROR(__xludf.DUMMYFUNCTION("""COMPUTED_VALUE"""),"enemy_chi_00201")</f>
        <v>enemy_chi_00201</v>
      </c>
      <c r="E221" s="246" t="str">
        <f>IFERROR(__xludf.DUMMYFUNCTION("""COMPUTED_VALUE"""),"コウモリの悪魔")</f>
        <v>コウモリの悪魔</v>
      </c>
      <c r="F221" s="246" t="str">
        <f>IFERROR(__xludf.DUMMYFUNCTION("""COMPUTED_VALUE"""),"コウモリの悪魔")</f>
        <v>コウモリの悪魔</v>
      </c>
      <c r="G221" s="246" t="str">
        <f>IFERROR(__xludf.DUMMYFUNCTION("""COMPUTED_VALUE"""),"ー")</f>
        <v>ー</v>
      </c>
      <c r="H221" s="246"/>
      <c r="I221" s="246"/>
      <c r="J221" s="246"/>
      <c r="K221" s="246" t="str">
        <f>IFERROR(__xludf.DUMMYFUNCTION("""COMPUTED_VALUE"""),"enemy")</f>
        <v>enemy</v>
      </c>
      <c r="L221" s="246"/>
      <c r="M221" s="246" t="str">
        <f>IFERROR(__xludf.DUMMYFUNCTION("""COMPUTED_VALUE"""),"dageki_1")</f>
        <v>dageki_1</v>
      </c>
      <c r="N221" s="252"/>
      <c r="O221" s="246"/>
      <c r="P221" s="246"/>
      <c r="Q221" s="246" t="str">
        <f>IFERROR(__xludf.DUMMYFUNCTION("""COMPUTED_VALUE"""),"1.34")</f>
        <v>1.34</v>
      </c>
      <c r="R221" s="246" t="str">
        <f>IFERROR(__xludf.DUMMYFUNCTION("""COMPUTED_VALUE"""),"0.33")</f>
        <v>0.33</v>
      </c>
      <c r="S221" s="246" t="str">
        <f>IFERROR(__xludf.DUMMYFUNCTION("""COMPUTED_VALUE"""),"-")</f>
        <v>-</v>
      </c>
      <c r="T221" s="246" t="str">
        <f>IFERROR(__xludf.DUMMYFUNCTION("""COMPUTED_VALUE"""),"-")</f>
        <v>-</v>
      </c>
      <c r="U221" s="246">
        <f>IFERROR(__xludf.DUMMYFUNCTION("""COMPUTED_VALUE"""),45658.0)</f>
        <v>45658</v>
      </c>
      <c r="V221" s="246">
        <f>IFERROR(__xludf.DUMMYFUNCTION("""COMPUTED_VALUE"""),390812.49998842593)</f>
        <v>390812.5</v>
      </c>
      <c r="W221" s="246" t="str">
        <f>IFERROR(__xludf.DUMMYFUNCTION("""COMPUTED_VALUE"""),"catchcopy_character_enemy_chi_00201.png")</f>
        <v>catchcopy_character_enemy_chi_00201.png</v>
      </c>
      <c r="X221" s="246" t="str">
        <f>IFERROR(__xludf.DUMMYFUNCTION("""COMPUTED_VALUE"""),"enemy_icon_enemy_chi_00201")</f>
        <v>enemy_icon_enemy_chi_00201</v>
      </c>
      <c r="Y221" s="246" t="str">
        <f>IFERROR(__xludf.DUMMYFUNCTION("""COMPUTED_VALUE"""),"boss_icon_enemy_chi_00201")</f>
        <v>boss_icon_enemy_chi_00201</v>
      </c>
      <c r="Z221" s="246" t="str">
        <f>IFERROR(__xludf.DUMMYFUNCTION("""COMPUTED_VALUE"""),"enemy_chi_00201_normal")</f>
        <v>enemy_chi_00201_normal</v>
      </c>
    </row>
    <row r="222">
      <c r="A222" s="246" t="str">
        <f>IFERROR(__xludf.DUMMYFUNCTION("""COMPUTED_VALUE"""),"kai")</f>
        <v>kai</v>
      </c>
      <c r="B222" s="246" t="str">
        <f>IFERROR(__xludf.DUMMYFUNCTION("""COMPUTED_VALUE"""),"怪獣８号")</f>
        <v>怪獣８号</v>
      </c>
      <c r="C222" s="246" t="str">
        <f>IFERROR(__xludf.DUMMYFUNCTION("""COMPUTED_VALUE"""),"00001")</f>
        <v>00001</v>
      </c>
      <c r="D222" s="246" t="str">
        <f>IFERROR(__xludf.DUMMYFUNCTION("""COMPUTED_VALUE"""),"enemy_kai_00001")</f>
        <v>enemy_kai_00001</v>
      </c>
      <c r="E222" s="246" t="str">
        <f>IFERROR(__xludf.DUMMYFUNCTION("""COMPUTED_VALUE"""),"怪獣 本獣")</f>
        <v>怪獣 本獣</v>
      </c>
      <c r="F222" s="246" t="str">
        <f>IFERROR(__xludf.DUMMYFUNCTION("""COMPUTED_VALUE"""),"怪獣 本獣")</f>
        <v>怪獣 本獣</v>
      </c>
      <c r="G222" s="246" t="str">
        <f>IFERROR(__xludf.DUMMYFUNCTION("""COMPUTED_VALUE"""),"ー")</f>
        <v>ー</v>
      </c>
      <c r="H222" s="246"/>
      <c r="I222" s="246"/>
      <c r="J222" s="246"/>
      <c r="K222" s="246" t="str">
        <f>IFERROR(__xludf.DUMMYFUNCTION("""COMPUTED_VALUE"""),"enemy")</f>
        <v>enemy</v>
      </c>
      <c r="L222" s="246"/>
      <c r="M222" s="246" t="str">
        <f>IFERROR(__xludf.DUMMYFUNCTION("""COMPUTED_VALUE"""),"dageki_1")</f>
        <v>dageki_1</v>
      </c>
      <c r="N222" s="252"/>
      <c r="O222" s="246"/>
      <c r="P222" s="246"/>
      <c r="Q222" s="246" t="str">
        <f>IFERROR(__xludf.DUMMYFUNCTION("""COMPUTED_VALUE"""),"2.34")</f>
        <v>2.34</v>
      </c>
      <c r="R222" s="246" t="str">
        <f>IFERROR(__xludf.DUMMYFUNCTION("""COMPUTED_VALUE"""),"stop有:1回目 1.00")</f>
        <v>stop有:1回目 1.00</v>
      </c>
      <c r="S222" s="246" t="str">
        <f>IFERROR(__xludf.DUMMYFUNCTION("""COMPUTED_VALUE"""),"-")</f>
        <v>-</v>
      </c>
      <c r="T222" s="246" t="str">
        <f>IFERROR(__xludf.DUMMYFUNCTION("""COMPUTED_VALUE"""),"-")</f>
        <v>-</v>
      </c>
      <c r="U222" s="246">
        <f>IFERROR(__xludf.DUMMYFUNCTION("""COMPUTED_VALUE"""),45658.0)</f>
        <v>45658</v>
      </c>
      <c r="V222" s="246">
        <f>IFERROR(__xludf.DUMMYFUNCTION("""COMPUTED_VALUE"""),390812.49998842593)</f>
        <v>390812.5</v>
      </c>
      <c r="W222" s="246" t="str">
        <f>IFERROR(__xludf.DUMMYFUNCTION("""COMPUTED_VALUE"""),"catchcopy_character_enemy_kai_00001.png")</f>
        <v>catchcopy_character_enemy_kai_00001.png</v>
      </c>
      <c r="X222" s="246" t="str">
        <f>IFERROR(__xludf.DUMMYFUNCTION("""COMPUTED_VALUE"""),"enemy_icon_enemy_kai_00001")</f>
        <v>enemy_icon_enemy_kai_00001</v>
      </c>
      <c r="Y222" s="246" t="str">
        <f>IFERROR(__xludf.DUMMYFUNCTION("""COMPUTED_VALUE"""),"boss_icon_enemy_kai_00001")</f>
        <v>boss_icon_enemy_kai_00001</v>
      </c>
      <c r="Z222" s="246"/>
    </row>
    <row r="223">
      <c r="A223" s="246" t="str">
        <f>IFERROR(__xludf.DUMMYFUNCTION("""COMPUTED_VALUE"""),"kai")</f>
        <v>kai</v>
      </c>
      <c r="B223" s="246" t="str">
        <f>IFERROR(__xludf.DUMMYFUNCTION("""COMPUTED_VALUE"""),"怪獣８号")</f>
        <v>怪獣８号</v>
      </c>
      <c r="C223" s="246" t="str">
        <f>IFERROR(__xludf.DUMMYFUNCTION("""COMPUTED_VALUE"""),"00101")</f>
        <v>00101</v>
      </c>
      <c r="D223" s="246" t="str">
        <f>IFERROR(__xludf.DUMMYFUNCTION("""COMPUTED_VALUE"""),"enemy_kai_00101")</f>
        <v>enemy_kai_00101</v>
      </c>
      <c r="E223" s="246" t="str">
        <f>IFERROR(__xludf.DUMMYFUNCTION("""COMPUTED_VALUE"""),"怪獣 余獣")</f>
        <v>怪獣 余獣</v>
      </c>
      <c r="F223" s="246" t="str">
        <f>IFERROR(__xludf.DUMMYFUNCTION("""COMPUTED_VALUE"""),"怪獣 余獣")</f>
        <v>怪獣 余獣</v>
      </c>
      <c r="G223" s="246" t="str">
        <f>IFERROR(__xludf.DUMMYFUNCTION("""COMPUTED_VALUE"""),"ー")</f>
        <v>ー</v>
      </c>
      <c r="H223" s="246"/>
      <c r="I223" s="246"/>
      <c r="J223" s="246"/>
      <c r="K223" s="246" t="str">
        <f>IFERROR(__xludf.DUMMYFUNCTION("""COMPUTED_VALUE"""),"enemy")</f>
        <v>enemy</v>
      </c>
      <c r="L223" s="246"/>
      <c r="M223" s="246" t="str">
        <f>IFERROR(__xludf.DUMMYFUNCTION("""COMPUTED_VALUE"""),"dageki_1")</f>
        <v>dageki_1</v>
      </c>
      <c r="N223" s="252"/>
      <c r="O223" s="246"/>
      <c r="P223" s="246"/>
      <c r="Q223" s="246" t="str">
        <f>IFERROR(__xludf.DUMMYFUNCTION("""COMPUTED_VALUE"""),"1.23")</f>
        <v>1.23</v>
      </c>
      <c r="R223" s="246" t="str">
        <f>IFERROR(__xludf.DUMMYFUNCTION("""COMPUTED_VALUE"""),"stop有:1回目 0.56")</f>
        <v>stop有:1回目 0.56</v>
      </c>
      <c r="S223" s="246" t="str">
        <f>IFERROR(__xludf.DUMMYFUNCTION("""COMPUTED_VALUE"""),"-")</f>
        <v>-</v>
      </c>
      <c r="T223" s="246" t="str">
        <f>IFERROR(__xludf.DUMMYFUNCTION("""COMPUTED_VALUE"""),"-")</f>
        <v>-</v>
      </c>
      <c r="U223" s="246">
        <f>IFERROR(__xludf.DUMMYFUNCTION("""COMPUTED_VALUE"""),45658.0)</f>
        <v>45658</v>
      </c>
      <c r="V223" s="246">
        <f>IFERROR(__xludf.DUMMYFUNCTION("""COMPUTED_VALUE"""),390812.49998842593)</f>
        <v>390812.5</v>
      </c>
      <c r="W223" s="246" t="str">
        <f>IFERROR(__xludf.DUMMYFUNCTION("""COMPUTED_VALUE"""),"catchcopy_character_enemy_kai_00101.png")</f>
        <v>catchcopy_character_enemy_kai_00101.png</v>
      </c>
      <c r="X223" s="246" t="str">
        <f>IFERROR(__xludf.DUMMYFUNCTION("""COMPUTED_VALUE"""),"enemy_icon_enemy_kai_00101")</f>
        <v>enemy_icon_enemy_kai_00101</v>
      </c>
      <c r="Y223" s="246" t="str">
        <f>IFERROR(__xludf.DUMMYFUNCTION("""COMPUTED_VALUE"""),"boss_icon_enemy_kai_00101")</f>
        <v>boss_icon_enemy_kai_00101</v>
      </c>
      <c r="Z223" s="246"/>
    </row>
    <row r="224">
      <c r="A224" s="246" t="str">
        <f>IFERROR(__xludf.DUMMYFUNCTION("""COMPUTED_VALUE"""),"kai")</f>
        <v>kai</v>
      </c>
      <c r="B224" s="246" t="str">
        <f>IFERROR(__xludf.DUMMYFUNCTION("""COMPUTED_VALUE"""),"怪獣８号")</f>
        <v>怪獣８号</v>
      </c>
      <c r="C224" s="246" t="str">
        <f>IFERROR(__xludf.DUMMYFUNCTION("""COMPUTED_VALUE"""),"00201")</f>
        <v>00201</v>
      </c>
      <c r="D224" s="246" t="str">
        <f>IFERROR(__xludf.DUMMYFUNCTION("""COMPUTED_VALUE"""),"enemy_kai_00201")</f>
        <v>enemy_kai_00201</v>
      </c>
      <c r="E224" s="246" t="str">
        <f>IFERROR(__xludf.DUMMYFUNCTION("""COMPUTED_VALUE"""),"怪獣９号")</f>
        <v>怪獣９号</v>
      </c>
      <c r="F224" s="246" t="str">
        <f>IFERROR(__xludf.DUMMYFUNCTION("""COMPUTED_VALUE"""),"怪獣９号")</f>
        <v>怪獣９号</v>
      </c>
      <c r="G224" s="246" t="str">
        <f>IFERROR(__xludf.DUMMYFUNCTION("""COMPUTED_VALUE"""),"ー")</f>
        <v>ー</v>
      </c>
      <c r="H224" s="246"/>
      <c r="I224" s="246"/>
      <c r="J224" s="246"/>
      <c r="K224" s="246" t="str">
        <f>IFERROR(__xludf.DUMMYFUNCTION("""COMPUTED_VALUE"""),"enemy")</f>
        <v>enemy</v>
      </c>
      <c r="L224" s="246"/>
      <c r="M224" s="246" t="str">
        <f>IFERROR(__xludf.DUMMYFUNCTION("""COMPUTED_VALUE"""),"shageki_1")</f>
        <v>shageki_1</v>
      </c>
      <c r="N224" s="252"/>
      <c r="O224" s="246"/>
      <c r="P224" s="246"/>
      <c r="Q224" s="246" t="str">
        <f>IFERROR(__xludf.DUMMYFUNCTION("""COMPUTED_VALUE"""),"2.47")</f>
        <v>2.47</v>
      </c>
      <c r="R224" s="246" t="str">
        <f>IFERROR(__xludf.DUMMYFUNCTION("""COMPUTED_VALUE"""),"stop有:1回目 1.26")</f>
        <v>stop有:1回目 1.26</v>
      </c>
      <c r="S224" s="246" t="str">
        <f>IFERROR(__xludf.DUMMYFUNCTION("""COMPUTED_VALUE"""),"-")</f>
        <v>-</v>
      </c>
      <c r="T224" s="246" t="str">
        <f>IFERROR(__xludf.DUMMYFUNCTION("""COMPUTED_VALUE"""),"-")</f>
        <v>-</v>
      </c>
      <c r="U224" s="246">
        <f>IFERROR(__xludf.DUMMYFUNCTION("""COMPUTED_VALUE"""),45658.0)</f>
        <v>45658</v>
      </c>
      <c r="V224" s="246">
        <f>IFERROR(__xludf.DUMMYFUNCTION("""COMPUTED_VALUE"""),390812.49998842593)</f>
        <v>390812.5</v>
      </c>
      <c r="W224" s="246" t="str">
        <f>IFERROR(__xludf.DUMMYFUNCTION("""COMPUTED_VALUE"""),"catchcopy_character_enemy_kai_00201.png")</f>
        <v>catchcopy_character_enemy_kai_00201.png</v>
      </c>
      <c r="X224" s="246" t="str">
        <f>IFERROR(__xludf.DUMMYFUNCTION("""COMPUTED_VALUE"""),"enemy_icon_enemy_kai_00201")</f>
        <v>enemy_icon_enemy_kai_00201</v>
      </c>
      <c r="Y224" s="246" t="str">
        <f>IFERROR(__xludf.DUMMYFUNCTION("""COMPUTED_VALUE"""),"boss_icon_enemy_kai_00201")</f>
        <v>boss_icon_enemy_kai_00201</v>
      </c>
      <c r="Z224" s="246"/>
    </row>
    <row r="225">
      <c r="A225" s="246" t="str">
        <f>IFERROR(__xludf.DUMMYFUNCTION("""COMPUTED_VALUE"""),"kai")</f>
        <v>kai</v>
      </c>
      <c r="B225" s="246" t="str">
        <f>IFERROR(__xludf.DUMMYFUNCTION("""COMPUTED_VALUE"""),"怪獣８号")</f>
        <v>怪獣８号</v>
      </c>
      <c r="C225" s="246" t="str">
        <f>IFERROR(__xludf.DUMMYFUNCTION("""COMPUTED_VALUE"""),"00301")</f>
        <v>00301</v>
      </c>
      <c r="D225" s="246" t="str">
        <f>IFERROR(__xludf.DUMMYFUNCTION("""COMPUTED_VALUE"""),"enemy_kai_00301")</f>
        <v>enemy_kai_00301</v>
      </c>
      <c r="E225" s="246" t="str">
        <f>IFERROR(__xludf.DUMMYFUNCTION("""COMPUTED_VALUE"""),"蜘蛛の怪獣")</f>
        <v>蜘蛛の怪獣</v>
      </c>
      <c r="F225" s="246" t="str">
        <f>IFERROR(__xludf.DUMMYFUNCTION("""COMPUTED_VALUE"""),"蜘蛛の怪獣")</f>
        <v>蜘蛛の怪獣</v>
      </c>
      <c r="G225" s="246" t="str">
        <f>IFERROR(__xludf.DUMMYFUNCTION("""COMPUTED_VALUE"""),"ー")</f>
        <v>ー</v>
      </c>
      <c r="H225" s="246"/>
      <c r="I225" s="246"/>
      <c r="J225" s="246"/>
      <c r="K225" s="246" t="str">
        <f>IFERROR(__xludf.DUMMYFUNCTION("""COMPUTED_VALUE"""),"enemy")</f>
        <v>enemy</v>
      </c>
      <c r="L225" s="246"/>
      <c r="M225" s="246" t="str">
        <f>IFERROR(__xludf.DUMMYFUNCTION("""COMPUTED_VALUE"""),"dageki_1")</f>
        <v>dageki_1</v>
      </c>
      <c r="N225" s="252"/>
      <c r="O225" s="246"/>
      <c r="P225" s="246"/>
      <c r="Q225" s="246" t="str">
        <f>IFERROR(__xludf.DUMMYFUNCTION("""COMPUTED_VALUE"""),"1.00")</f>
        <v>1.00</v>
      </c>
      <c r="R225" s="246" t="str">
        <f>IFERROR(__xludf.DUMMYFUNCTION("""COMPUTED_VALUE"""),"0.40")</f>
        <v>0.40</v>
      </c>
      <c r="S225" s="246" t="str">
        <f>IFERROR(__xludf.DUMMYFUNCTION("""COMPUTED_VALUE"""),"-")</f>
        <v>-</v>
      </c>
      <c r="T225" s="246" t="str">
        <f>IFERROR(__xludf.DUMMYFUNCTION("""COMPUTED_VALUE"""),"-")</f>
        <v>-</v>
      </c>
      <c r="U225" s="246"/>
      <c r="V225" s="246"/>
      <c r="W225" s="246"/>
      <c r="X225" s="246"/>
      <c r="Y225" s="246"/>
      <c r="Z225" s="246"/>
    </row>
    <row r="226">
      <c r="A226" s="246" t="str">
        <f>IFERROR(__xludf.DUMMYFUNCTION("""COMPUTED_VALUE"""),"kai")</f>
        <v>kai</v>
      </c>
      <c r="B226" s="246" t="str">
        <f>IFERROR(__xludf.DUMMYFUNCTION("""COMPUTED_VALUE"""),"怪獣８号")</f>
        <v>怪獣８号</v>
      </c>
      <c r="C226" s="246" t="str">
        <f>IFERROR(__xludf.DUMMYFUNCTION("""COMPUTED_VALUE"""),"00401")</f>
        <v>00401</v>
      </c>
      <c r="D226" s="246" t="str">
        <f>IFERROR(__xludf.DUMMYFUNCTION("""COMPUTED_VALUE"""),"enemy_kai_00401")</f>
        <v>enemy_kai_00401</v>
      </c>
      <c r="E226" s="246" t="str">
        <f>IFERROR(__xludf.DUMMYFUNCTION("""COMPUTED_VALUE"""),"怪獣１０号")</f>
        <v>怪獣１０号</v>
      </c>
      <c r="F226" s="246" t="str">
        <f>IFERROR(__xludf.DUMMYFUNCTION("""COMPUTED_VALUE"""),"怪獣１０号")</f>
        <v>怪獣１０号</v>
      </c>
      <c r="G226" s="246" t="str">
        <f>IFERROR(__xludf.DUMMYFUNCTION("""COMPUTED_VALUE"""),"ー")</f>
        <v>ー</v>
      </c>
      <c r="H226" s="246"/>
      <c r="I226" s="246"/>
      <c r="J226" s="246"/>
      <c r="K226" s="246" t="str">
        <f>IFERROR(__xludf.DUMMYFUNCTION("""COMPUTED_VALUE"""),"enemy")</f>
        <v>enemy</v>
      </c>
      <c r="L226" s="246"/>
      <c r="M226" s="246" t="str">
        <f>IFERROR(__xludf.DUMMYFUNCTION("""COMPUTED_VALUE"""),"dageki_1")</f>
        <v>dageki_1</v>
      </c>
      <c r="N226" s="252"/>
      <c r="O226" s="246"/>
      <c r="P226" s="246"/>
      <c r="Q226" s="246" t="str">
        <f>IFERROR(__xludf.DUMMYFUNCTION("""COMPUTED_VALUE"""),"1.30")</f>
        <v>1.30</v>
      </c>
      <c r="R226" s="246" t="str">
        <f>IFERROR(__xludf.DUMMYFUNCTION("""COMPUTED_VALUE"""),"stop有:1回目 0.55")</f>
        <v>stop有:1回目 0.55</v>
      </c>
      <c r="S226" s="246" t="str">
        <f>IFERROR(__xludf.DUMMYFUNCTION("""COMPUTED_VALUE"""),"-")</f>
        <v>-</v>
      </c>
      <c r="T226" s="246" t="str">
        <f>IFERROR(__xludf.DUMMYFUNCTION("""COMPUTED_VALUE"""),"-")</f>
        <v>-</v>
      </c>
      <c r="U226" s="246"/>
      <c r="V226" s="246"/>
      <c r="W226" s="246"/>
      <c r="X226" s="246"/>
      <c r="Y226" s="246"/>
      <c r="Z226" s="246"/>
    </row>
    <row r="227">
      <c r="A227" s="246" t="str">
        <f>IFERROR(__xludf.DUMMYFUNCTION("""COMPUTED_VALUE"""),"sur")</f>
        <v>sur</v>
      </c>
      <c r="B227" s="246" t="str">
        <f>IFERROR(__xludf.DUMMYFUNCTION("""COMPUTED_VALUE"""),"魔都精兵のスレイブ")</f>
        <v>魔都精兵のスレイブ</v>
      </c>
      <c r="C227" s="246" t="str">
        <f>IFERROR(__xludf.DUMMYFUNCTION("""COMPUTED_VALUE"""),"00001")</f>
        <v>00001</v>
      </c>
      <c r="D227" s="246" t="str">
        <f>IFERROR(__xludf.DUMMYFUNCTION("""COMPUTED_VALUE"""),"enemy_sur_00001")</f>
        <v>enemy_sur_00001</v>
      </c>
      <c r="E227" s="246" t="str">
        <f>IFERROR(__xludf.DUMMYFUNCTION("""COMPUTED_VALUE"""),"和倉 青羽")</f>
        <v>和倉 青羽</v>
      </c>
      <c r="F227" s="246" t="str">
        <f>IFERROR(__xludf.DUMMYFUNCTION("""COMPUTED_VALUE"""),"和倉 青羽")</f>
        <v>和倉 青羽</v>
      </c>
      <c r="G227" s="246" t="str">
        <f>IFERROR(__xludf.DUMMYFUNCTION("""COMPUTED_VALUE"""),"ー")</f>
        <v>ー</v>
      </c>
      <c r="H227" s="246"/>
      <c r="I227" s="246"/>
      <c r="J227" s="246"/>
      <c r="K227" s="246" t="str">
        <f>IFERROR(__xludf.DUMMYFUNCTION("""COMPUTED_VALUE"""),"enemy")</f>
        <v>enemy</v>
      </c>
      <c r="L227" s="246"/>
      <c r="M227" s="246" t="str">
        <f>IFERROR(__xludf.DUMMYFUNCTION("""COMPUTED_VALUE"""),"dageki_1")</f>
        <v>dageki_1</v>
      </c>
      <c r="N227" s="252"/>
      <c r="O227" s="246"/>
      <c r="P227" s="246"/>
      <c r="Q227" s="246" t="str">
        <f>IFERROR(__xludf.DUMMYFUNCTION("""COMPUTED_VALUE"""),"1.24")</f>
        <v>1.24</v>
      </c>
      <c r="R227" s="246" t="str">
        <f>IFERROR(__xludf.DUMMYFUNCTION("""COMPUTED_VALUE"""),"stop有:1回目 0.50")</f>
        <v>stop有:1回目 0.50</v>
      </c>
      <c r="S227" s="246" t="str">
        <f>IFERROR(__xludf.DUMMYFUNCTION("""COMPUTED_VALUE"""),"-")</f>
        <v>-</v>
      </c>
      <c r="T227" s="246" t="str">
        <f>IFERROR(__xludf.DUMMYFUNCTION("""COMPUTED_VALUE"""),"-")</f>
        <v>-</v>
      </c>
      <c r="U227" s="246">
        <f>IFERROR(__xludf.DUMMYFUNCTION("""COMPUTED_VALUE"""),45658.0)</f>
        <v>45658</v>
      </c>
      <c r="V227" s="246">
        <f>IFERROR(__xludf.DUMMYFUNCTION("""COMPUTED_VALUE"""),390812.49998842593)</f>
        <v>390812.5</v>
      </c>
      <c r="W227" s="246" t="str">
        <f>IFERROR(__xludf.DUMMYFUNCTION("""COMPUTED_VALUE"""),"catchcopy_character_enemy_sur_00001.png")</f>
        <v>catchcopy_character_enemy_sur_00001.png</v>
      </c>
      <c r="X227" s="246" t="str">
        <f>IFERROR(__xludf.DUMMYFUNCTION("""COMPUTED_VALUE"""),"enemy_icon_enemy_sur_00001")</f>
        <v>enemy_icon_enemy_sur_00001</v>
      </c>
      <c r="Y227" s="246" t="str">
        <f>IFERROR(__xludf.DUMMYFUNCTION("""COMPUTED_VALUE"""),"boss_icon_enemy_sur_00001")</f>
        <v>boss_icon_enemy_sur_00001</v>
      </c>
      <c r="Z227" s="246"/>
    </row>
    <row r="228">
      <c r="A228" s="246" t="str">
        <f>IFERROR(__xludf.DUMMYFUNCTION("""COMPUTED_VALUE"""),"sur")</f>
        <v>sur</v>
      </c>
      <c r="B228" s="246" t="str">
        <f>IFERROR(__xludf.DUMMYFUNCTION("""COMPUTED_VALUE"""),"魔都精兵のスレイブ")</f>
        <v>魔都精兵のスレイブ</v>
      </c>
      <c r="C228" s="246" t="str">
        <f>IFERROR(__xludf.DUMMYFUNCTION("""COMPUTED_VALUE"""),"00101")</f>
        <v>00101</v>
      </c>
      <c r="D228" s="246" t="str">
        <f>IFERROR(__xludf.DUMMYFUNCTION("""COMPUTED_VALUE"""),"enemy_sur_00101")</f>
        <v>enemy_sur_00101</v>
      </c>
      <c r="E228" s="246" t="str">
        <f>IFERROR(__xludf.DUMMYFUNCTION("""COMPUTED_VALUE"""),"醜鬼")</f>
        <v>醜鬼</v>
      </c>
      <c r="F228" s="246" t="str">
        <f>IFERROR(__xludf.DUMMYFUNCTION("""COMPUTED_VALUE"""),"醜鬼")</f>
        <v>醜鬼</v>
      </c>
      <c r="G228" s="246" t="str">
        <f>IFERROR(__xludf.DUMMYFUNCTION("""COMPUTED_VALUE"""),"ー")</f>
        <v>ー</v>
      </c>
      <c r="H228" s="246"/>
      <c r="I228" s="246"/>
      <c r="J228" s="246"/>
      <c r="K228" s="246" t="str">
        <f>IFERROR(__xludf.DUMMYFUNCTION("""COMPUTED_VALUE"""),"enemy")</f>
        <v>enemy</v>
      </c>
      <c r="L228" s="246" t="str">
        <f>IFERROR(__xludf.DUMMYFUNCTION("""COMPUTED_VALUE"""),"ディフェンス")</f>
        <v>ディフェンス</v>
      </c>
      <c r="M228" s="246" t="str">
        <f>IFERROR(__xludf.DUMMYFUNCTION("""COMPUTED_VALUE"""),"dageki_1")</f>
        <v>dageki_1</v>
      </c>
      <c r="N228" s="252"/>
      <c r="O228" s="246"/>
      <c r="P228" s="246"/>
      <c r="Q228" s="246" t="str">
        <f>IFERROR(__xludf.DUMMYFUNCTION("""COMPUTED_VALUE"""),"0.80")</f>
        <v>0.80</v>
      </c>
      <c r="R228" s="246" t="str">
        <f>IFERROR(__xludf.DUMMYFUNCTION("""COMPUTED_VALUE"""),"0.30")</f>
        <v>0.30</v>
      </c>
      <c r="S228" s="246" t="str">
        <f>IFERROR(__xludf.DUMMYFUNCTION("""COMPUTED_VALUE"""),"-")</f>
        <v>-</v>
      </c>
      <c r="T228" s="246" t="str">
        <f>IFERROR(__xludf.DUMMYFUNCTION("""COMPUTED_VALUE"""),"-")</f>
        <v>-</v>
      </c>
      <c r="U228" s="246">
        <f>IFERROR(__xludf.DUMMYFUNCTION("""COMPUTED_VALUE"""),45658.0)</f>
        <v>45658</v>
      </c>
      <c r="V228" s="246">
        <f>IFERROR(__xludf.DUMMYFUNCTION("""COMPUTED_VALUE"""),390812.49998842593)</f>
        <v>390812.5</v>
      </c>
      <c r="W228" s="246" t="str">
        <f>IFERROR(__xludf.DUMMYFUNCTION("""COMPUTED_VALUE"""),"catchcopy_character_enemy_sur_00101.png")</f>
        <v>catchcopy_character_enemy_sur_00101.png</v>
      </c>
      <c r="X228" s="246" t="str">
        <f>IFERROR(__xludf.DUMMYFUNCTION("""COMPUTED_VALUE"""),"enemy_icon_enemy_sur_00101")</f>
        <v>enemy_icon_enemy_sur_00101</v>
      </c>
      <c r="Y228" s="246" t="str">
        <f>IFERROR(__xludf.DUMMYFUNCTION("""COMPUTED_VALUE"""),"boss_icon_enemy_sur_00101")</f>
        <v>boss_icon_enemy_sur_00101</v>
      </c>
      <c r="Z228" s="246"/>
    </row>
    <row r="229">
      <c r="A229" s="246" t="str">
        <f>IFERROR(__xludf.DUMMYFUNCTION("""COMPUTED_VALUE"""),"jig")</f>
        <v>jig</v>
      </c>
      <c r="B229" s="246" t="str">
        <f>IFERROR(__xludf.DUMMYFUNCTION("""COMPUTED_VALUE"""),"地獄楽")</f>
        <v>地獄楽</v>
      </c>
      <c r="C229" s="246" t="str">
        <f>IFERROR(__xludf.DUMMYFUNCTION("""COMPUTED_VALUE"""),"00001")</f>
        <v>00001</v>
      </c>
      <c r="D229" s="246" t="str">
        <f>IFERROR(__xludf.DUMMYFUNCTION("""COMPUTED_VALUE"""),"enemy_jig_00001")</f>
        <v>enemy_jig_00001</v>
      </c>
      <c r="E229" s="246" t="str">
        <f>IFERROR(__xludf.DUMMYFUNCTION("""COMPUTED_VALUE"""),"門神")</f>
        <v>門神</v>
      </c>
      <c r="F229" s="246" t="str">
        <f>IFERROR(__xludf.DUMMYFUNCTION("""COMPUTED_VALUE"""),"門神")</f>
        <v>門神</v>
      </c>
      <c r="G229" s="246" t="str">
        <f>IFERROR(__xludf.DUMMYFUNCTION("""COMPUTED_VALUE"""),"ー")</f>
        <v>ー</v>
      </c>
      <c r="H229" s="246"/>
      <c r="I229" s="246"/>
      <c r="J229" s="246"/>
      <c r="K229" s="246" t="str">
        <f>IFERROR(__xludf.DUMMYFUNCTION("""COMPUTED_VALUE"""),"enemy")</f>
        <v>enemy</v>
      </c>
      <c r="L229" s="246" t="str">
        <f>IFERROR(__xludf.DUMMYFUNCTION("""COMPUTED_VALUE"""),"ディフェンス")</f>
        <v>ディフェンス</v>
      </c>
      <c r="M229" s="246" t="str">
        <f>IFERROR(__xludf.DUMMYFUNCTION("""COMPUTED_VALUE"""),"dageki_1")</f>
        <v>dageki_1</v>
      </c>
      <c r="N229" s="252"/>
      <c r="O229" s="246"/>
      <c r="P229" s="246"/>
      <c r="Q229" s="246" t="str">
        <f>IFERROR(__xludf.DUMMYFUNCTION("""COMPUTED_VALUE"""),"1.83")</f>
        <v>1.83</v>
      </c>
      <c r="R229" s="246" t="str">
        <f>IFERROR(__xludf.DUMMYFUNCTION("""COMPUTED_VALUE"""),"0.83")</f>
        <v>0.83</v>
      </c>
      <c r="S229" s="246" t="str">
        <f>IFERROR(__xludf.DUMMYFUNCTION("""COMPUTED_VALUE"""),"-")</f>
        <v>-</v>
      </c>
      <c r="T229" s="246" t="str">
        <f>IFERROR(__xludf.DUMMYFUNCTION("""COMPUTED_VALUE"""),"-")</f>
        <v>-</v>
      </c>
      <c r="U229" s="246">
        <f>IFERROR(__xludf.DUMMYFUNCTION("""COMPUTED_VALUE"""),45658.0)</f>
        <v>45658</v>
      </c>
      <c r="V229" s="246">
        <f>IFERROR(__xludf.DUMMYFUNCTION("""COMPUTED_VALUE"""),390812.49998842593)</f>
        <v>390812.5</v>
      </c>
      <c r="W229" s="246" t="str">
        <f>IFERROR(__xludf.DUMMYFUNCTION("""COMPUTED_VALUE"""),"catchcopy_character_enemy_jig_00001.png")</f>
        <v>catchcopy_character_enemy_jig_00001.png</v>
      </c>
      <c r="X229" s="246" t="str">
        <f>IFERROR(__xludf.DUMMYFUNCTION("""COMPUTED_VALUE"""),"enemy_icon_enemy_jig_00001")</f>
        <v>enemy_icon_enemy_jig_00001</v>
      </c>
      <c r="Y229" s="246" t="str">
        <f>IFERROR(__xludf.DUMMYFUNCTION("""COMPUTED_VALUE"""),"boss_icon_enemy_jig_00001")</f>
        <v>boss_icon_enemy_jig_00001</v>
      </c>
      <c r="Z229" s="246" t="str">
        <f>IFERROR(__xludf.DUMMYFUNCTION("""COMPUTED_VALUE"""),"enemy_jig_00001_normal")</f>
        <v>enemy_jig_00001_normal</v>
      </c>
    </row>
    <row r="230">
      <c r="A230" s="246" t="str">
        <f>IFERROR(__xludf.DUMMYFUNCTION("""COMPUTED_VALUE"""),"jig")</f>
        <v>jig</v>
      </c>
      <c r="B230" s="246" t="str">
        <f>IFERROR(__xludf.DUMMYFUNCTION("""COMPUTED_VALUE"""),"地獄楽")</f>
        <v>地獄楽</v>
      </c>
      <c r="C230" s="246" t="str">
        <f>IFERROR(__xludf.DUMMYFUNCTION("""COMPUTED_VALUE"""),"00101")</f>
        <v>00101</v>
      </c>
      <c r="D230" s="246" t="str">
        <f>IFERROR(__xludf.DUMMYFUNCTION("""COMPUTED_VALUE"""),"enemy_jig_00101")</f>
        <v>enemy_jig_00101</v>
      </c>
      <c r="E230" s="246" t="str">
        <f>IFERROR(__xludf.DUMMYFUNCTION("""COMPUTED_VALUE"""),"門神 （小）")</f>
        <v>門神 （小）</v>
      </c>
      <c r="F230" s="246" t="str">
        <f>IFERROR(__xludf.DUMMYFUNCTION("""COMPUTED_VALUE"""),"門神 (小)")</f>
        <v>門神 (小)</v>
      </c>
      <c r="G230" s="246" t="str">
        <f>IFERROR(__xludf.DUMMYFUNCTION("""COMPUTED_VALUE"""),"ー")</f>
        <v>ー</v>
      </c>
      <c r="H230" s="246"/>
      <c r="I230" s="246"/>
      <c r="J230" s="246"/>
      <c r="K230" s="246" t="str">
        <f>IFERROR(__xludf.DUMMYFUNCTION("""COMPUTED_VALUE"""),"enemy")</f>
        <v>enemy</v>
      </c>
      <c r="L230" s="246" t="str">
        <f>IFERROR(__xludf.DUMMYFUNCTION("""COMPUTED_VALUE"""),"ディフェンス")</f>
        <v>ディフェンス</v>
      </c>
      <c r="M230" s="246" t="str">
        <f>IFERROR(__xludf.DUMMYFUNCTION("""COMPUTED_VALUE"""),"dageki_1")</f>
        <v>dageki_1</v>
      </c>
      <c r="N230" s="252"/>
      <c r="O230" s="246"/>
      <c r="P230" s="246"/>
      <c r="Q230" s="246" t="str">
        <f>IFERROR(__xludf.DUMMYFUNCTION("""COMPUTED_VALUE"""),"1.83")</f>
        <v>1.83</v>
      </c>
      <c r="R230" s="246" t="str">
        <f>IFERROR(__xludf.DUMMYFUNCTION("""COMPUTED_VALUE"""),"0.83")</f>
        <v>0.83</v>
      </c>
      <c r="S230" s="246" t="str">
        <f>IFERROR(__xludf.DUMMYFUNCTION("""COMPUTED_VALUE"""),"-")</f>
        <v>-</v>
      </c>
      <c r="T230" s="246" t="str">
        <f>IFERROR(__xludf.DUMMYFUNCTION("""COMPUTED_VALUE"""),"-")</f>
        <v>-</v>
      </c>
      <c r="U230" s="246">
        <f>IFERROR(__xludf.DUMMYFUNCTION("""COMPUTED_VALUE"""),45658.0)</f>
        <v>45658</v>
      </c>
      <c r="V230" s="246">
        <f>IFERROR(__xludf.DUMMYFUNCTION("""COMPUTED_VALUE"""),390812.49998842593)</f>
        <v>390812.5</v>
      </c>
      <c r="W230" s="246" t="str">
        <f>IFERROR(__xludf.DUMMYFUNCTION("""COMPUTED_VALUE"""),"catchcopy_character_enemy_jig_00101.png")</f>
        <v>catchcopy_character_enemy_jig_00101.png</v>
      </c>
      <c r="X230" s="246" t="str">
        <f>IFERROR(__xludf.DUMMYFUNCTION("""COMPUTED_VALUE"""),"enemy_icon_enemy_jig_00101")</f>
        <v>enemy_icon_enemy_jig_00101</v>
      </c>
      <c r="Y230" s="246" t="str">
        <f>IFERROR(__xludf.DUMMYFUNCTION("""COMPUTED_VALUE"""),"boss_icon_enemy_jig_00101")</f>
        <v>boss_icon_enemy_jig_00101</v>
      </c>
      <c r="Z230" s="246" t="str">
        <f>IFERROR(__xludf.DUMMYFUNCTION("""COMPUTED_VALUE"""),"enemy_jig_00101_normal")</f>
        <v>enemy_jig_00101_normal</v>
      </c>
    </row>
    <row r="231">
      <c r="A231" s="246" t="str">
        <f>IFERROR(__xludf.DUMMYFUNCTION("""COMPUTED_VALUE"""),"jig")</f>
        <v>jig</v>
      </c>
      <c r="B231" s="246" t="str">
        <f>IFERROR(__xludf.DUMMYFUNCTION("""COMPUTED_VALUE"""),"地獄楽")</f>
        <v>地獄楽</v>
      </c>
      <c r="C231" s="246" t="str">
        <f>IFERROR(__xludf.DUMMYFUNCTION("""COMPUTED_VALUE"""),"00201")</f>
        <v>00201</v>
      </c>
      <c r="D231" s="246" t="str">
        <f>IFERROR(__xludf.DUMMYFUNCTION("""COMPUTED_VALUE"""),"enemy_jig_00201")</f>
        <v>enemy_jig_00201</v>
      </c>
      <c r="E231" s="246" t="str">
        <f>IFERROR(__xludf.DUMMYFUNCTION("""COMPUTED_VALUE"""),"門神 （大）")</f>
        <v>門神 （大）</v>
      </c>
      <c r="F231" s="246" t="str">
        <f>IFERROR(__xludf.DUMMYFUNCTION("""COMPUTED_VALUE"""),"門神 (大)")</f>
        <v>門神 (大)</v>
      </c>
      <c r="G231" s="246" t="str">
        <f>IFERROR(__xludf.DUMMYFUNCTION("""COMPUTED_VALUE"""),"ー")</f>
        <v>ー</v>
      </c>
      <c r="H231" s="246"/>
      <c r="I231" s="246"/>
      <c r="J231" s="246"/>
      <c r="K231" s="246" t="str">
        <f>IFERROR(__xludf.DUMMYFUNCTION("""COMPUTED_VALUE"""),"enemy")</f>
        <v>enemy</v>
      </c>
      <c r="L231" s="246" t="str">
        <f>IFERROR(__xludf.DUMMYFUNCTION("""COMPUTED_VALUE"""),"ディフェンス")</f>
        <v>ディフェンス</v>
      </c>
      <c r="M231" s="246" t="str">
        <f>IFERROR(__xludf.DUMMYFUNCTION("""COMPUTED_VALUE"""),"dageki_1")</f>
        <v>dageki_1</v>
      </c>
      <c r="N231" s="252"/>
      <c r="O231" s="246"/>
      <c r="P231" s="246"/>
      <c r="Q231" s="246" t="str">
        <f>IFERROR(__xludf.DUMMYFUNCTION("""COMPUTED_VALUE"""),"1.83")</f>
        <v>1.83</v>
      </c>
      <c r="R231" s="246" t="str">
        <f>IFERROR(__xludf.DUMMYFUNCTION("""COMPUTED_VALUE"""),"0.83")</f>
        <v>0.83</v>
      </c>
      <c r="S231" s="246" t="str">
        <f>IFERROR(__xludf.DUMMYFUNCTION("""COMPUTED_VALUE"""),"-")</f>
        <v>-</v>
      </c>
      <c r="T231" s="246" t="str">
        <f>IFERROR(__xludf.DUMMYFUNCTION("""COMPUTED_VALUE"""),"-")</f>
        <v>-</v>
      </c>
      <c r="U231" s="246">
        <f>IFERROR(__xludf.DUMMYFUNCTION("""COMPUTED_VALUE"""),45658.0)</f>
        <v>45658</v>
      </c>
      <c r="V231" s="246">
        <f>IFERROR(__xludf.DUMMYFUNCTION("""COMPUTED_VALUE"""),390812.49998842593)</f>
        <v>390812.5</v>
      </c>
      <c r="W231" s="246" t="str">
        <f>IFERROR(__xludf.DUMMYFUNCTION("""COMPUTED_VALUE"""),"catchcopy_character_enemy_jig_00201.png")</f>
        <v>catchcopy_character_enemy_jig_00201.png</v>
      </c>
      <c r="X231" s="246" t="str">
        <f>IFERROR(__xludf.DUMMYFUNCTION("""COMPUTED_VALUE"""),"enemy_icon_enemy_jig_00201")</f>
        <v>enemy_icon_enemy_jig_00201</v>
      </c>
      <c r="Y231" s="246" t="str">
        <f>IFERROR(__xludf.DUMMYFUNCTION("""COMPUTED_VALUE"""),"boss_icon_enemy_jig_00201")</f>
        <v>boss_icon_enemy_jig_00201</v>
      </c>
      <c r="Z231" s="246" t="str">
        <f>IFERROR(__xludf.DUMMYFUNCTION("""COMPUTED_VALUE"""),"enemy_jig_00201_normal")</f>
        <v>enemy_jig_00201_normal</v>
      </c>
    </row>
    <row r="232">
      <c r="A232" s="246" t="str">
        <f>IFERROR(__xludf.DUMMYFUNCTION("""COMPUTED_VALUE"""),"jig")</f>
        <v>jig</v>
      </c>
      <c r="B232" s="246" t="str">
        <f>IFERROR(__xludf.DUMMYFUNCTION("""COMPUTED_VALUE"""),"地獄楽")</f>
        <v>地獄楽</v>
      </c>
      <c r="C232" s="246" t="str">
        <f>IFERROR(__xludf.DUMMYFUNCTION("""COMPUTED_VALUE"""),"00301")</f>
        <v>00301</v>
      </c>
      <c r="D232" s="246" t="str">
        <f>IFERROR(__xludf.DUMMYFUNCTION("""COMPUTED_VALUE"""),"enemy_jig_00301")</f>
        <v>enemy_jig_00301</v>
      </c>
      <c r="E232" s="246" t="str">
        <f>IFERROR(__xludf.DUMMYFUNCTION("""COMPUTED_VALUE"""),"竈神 魚")</f>
        <v>竈神 魚</v>
      </c>
      <c r="F232" s="246" t="str">
        <f>IFERROR(__xludf.DUMMYFUNCTION("""COMPUTED_VALUE"""),"竈神 魚")</f>
        <v>竈神 魚</v>
      </c>
      <c r="G232" s="246" t="str">
        <f>IFERROR(__xludf.DUMMYFUNCTION("""COMPUTED_VALUE"""),"ー")</f>
        <v>ー</v>
      </c>
      <c r="H232" s="246"/>
      <c r="I232" s="246"/>
      <c r="J232" s="246"/>
      <c r="K232" s="246" t="str">
        <f>IFERROR(__xludf.DUMMYFUNCTION("""COMPUTED_VALUE"""),"enemy")</f>
        <v>enemy</v>
      </c>
      <c r="L232" s="246" t="str">
        <f>IFERROR(__xludf.DUMMYFUNCTION("""COMPUTED_VALUE"""),"アタック")</f>
        <v>アタック</v>
      </c>
      <c r="M232" s="246" t="str">
        <f>IFERROR(__xludf.DUMMYFUNCTION("""COMPUTED_VALUE"""),"dageki_1")</f>
        <v>dageki_1</v>
      </c>
      <c r="N232" s="252"/>
      <c r="O232" s="246"/>
      <c r="P232" s="246"/>
      <c r="Q232" s="246" t="str">
        <f>IFERROR(__xludf.DUMMYFUNCTION("""COMPUTED_VALUE"""),"1.50")</f>
        <v>1.50</v>
      </c>
      <c r="R232" s="246" t="str">
        <f>IFERROR(__xludf.DUMMYFUNCTION("""COMPUTED_VALUE"""),"0.66")</f>
        <v>0.66</v>
      </c>
      <c r="S232" s="246" t="str">
        <f>IFERROR(__xludf.DUMMYFUNCTION("""COMPUTED_VALUE"""),"-")</f>
        <v>-</v>
      </c>
      <c r="T232" s="246" t="str">
        <f>IFERROR(__xludf.DUMMYFUNCTION("""COMPUTED_VALUE"""),"-")</f>
        <v>-</v>
      </c>
      <c r="U232" s="246">
        <f>IFERROR(__xludf.DUMMYFUNCTION("""COMPUTED_VALUE"""),45658.0)</f>
        <v>45658</v>
      </c>
      <c r="V232" s="246">
        <f>IFERROR(__xludf.DUMMYFUNCTION("""COMPUTED_VALUE"""),390812.49998842593)</f>
        <v>390812.5</v>
      </c>
      <c r="W232" s="246" t="str">
        <f>IFERROR(__xludf.DUMMYFUNCTION("""COMPUTED_VALUE"""),"catchcopy_character_enemy_jig_00301.png")</f>
        <v>catchcopy_character_enemy_jig_00301.png</v>
      </c>
      <c r="X232" s="246" t="str">
        <f>IFERROR(__xludf.DUMMYFUNCTION("""COMPUTED_VALUE"""),"enemy_icon_enemy_jig_00301")</f>
        <v>enemy_icon_enemy_jig_00301</v>
      </c>
      <c r="Y232" s="246" t="str">
        <f>IFERROR(__xludf.DUMMYFUNCTION("""COMPUTED_VALUE"""),"boss_icon_enemy_jig_00301")</f>
        <v>boss_icon_enemy_jig_00301</v>
      </c>
      <c r="Z232" s="246"/>
    </row>
    <row r="233">
      <c r="A233" s="246" t="str">
        <f>IFERROR(__xludf.DUMMYFUNCTION("""COMPUTED_VALUE"""),"jig")</f>
        <v>jig</v>
      </c>
      <c r="B233" s="246" t="str">
        <f>IFERROR(__xludf.DUMMYFUNCTION("""COMPUTED_VALUE"""),"地獄楽")</f>
        <v>地獄楽</v>
      </c>
      <c r="C233" s="246" t="str">
        <f>IFERROR(__xludf.DUMMYFUNCTION("""COMPUTED_VALUE"""),"00401")</f>
        <v>00401</v>
      </c>
      <c r="D233" s="246" t="str">
        <f>IFERROR(__xludf.DUMMYFUNCTION("""COMPUTED_VALUE"""),"enemy_jig_00401")</f>
        <v>enemy_jig_00401</v>
      </c>
      <c r="E233" s="246" t="str">
        <f>IFERROR(__xludf.DUMMYFUNCTION("""COMPUTED_VALUE"""),"極楽蝶")</f>
        <v>極楽蝶</v>
      </c>
      <c r="F233" s="246" t="str">
        <f>IFERROR(__xludf.DUMMYFUNCTION("""COMPUTED_VALUE"""),"極楽蝶")</f>
        <v>極楽蝶</v>
      </c>
      <c r="G233" s="246" t="str">
        <f>IFERROR(__xludf.DUMMYFUNCTION("""COMPUTED_VALUE"""),"ー")</f>
        <v>ー</v>
      </c>
      <c r="H233" s="246"/>
      <c r="I233" s="246"/>
      <c r="J233" s="246"/>
      <c r="K233" s="246" t="str">
        <f>IFERROR(__xludf.DUMMYFUNCTION("""COMPUTED_VALUE"""),"enemy")</f>
        <v>enemy</v>
      </c>
      <c r="L233" s="246" t="str">
        <f>IFERROR(__xludf.DUMMYFUNCTION("""COMPUTED_VALUE"""),"アタック")</f>
        <v>アタック</v>
      </c>
      <c r="M233" s="246" t="str">
        <f>IFERROR(__xludf.DUMMYFUNCTION("""COMPUTED_VALUE"""),"dageki_2")</f>
        <v>dageki_2</v>
      </c>
      <c r="N233" s="252"/>
      <c r="O233" s="246"/>
      <c r="P233" s="246"/>
      <c r="Q233" s="246" t="str">
        <f>IFERROR(__xludf.DUMMYFUNCTION("""COMPUTED_VALUE"""),"1.30")</f>
        <v>1.30</v>
      </c>
      <c r="R233" s="246" t="str">
        <f>IFERROR(__xludf.DUMMYFUNCTION("""COMPUTED_VALUE"""),"0.66")</f>
        <v>0.66</v>
      </c>
      <c r="S233" s="246" t="str">
        <f>IFERROR(__xludf.DUMMYFUNCTION("""COMPUTED_VALUE"""),"-")</f>
        <v>-</v>
      </c>
      <c r="T233" s="246" t="str">
        <f>IFERROR(__xludf.DUMMYFUNCTION("""COMPUTED_VALUE"""),"-")</f>
        <v>-</v>
      </c>
      <c r="U233" s="246">
        <f>IFERROR(__xludf.DUMMYFUNCTION("""COMPUTED_VALUE"""),45658.0)</f>
        <v>45658</v>
      </c>
      <c r="V233" s="246">
        <f>IFERROR(__xludf.DUMMYFUNCTION("""COMPUTED_VALUE"""),390812.49998842593)</f>
        <v>390812.5</v>
      </c>
      <c r="W233" s="246" t="str">
        <f>IFERROR(__xludf.DUMMYFUNCTION("""COMPUTED_VALUE"""),"catchcopy_character_enemy_jig_00401.png")</f>
        <v>catchcopy_character_enemy_jig_00401.png</v>
      </c>
      <c r="X233" s="246" t="str">
        <f>IFERROR(__xludf.DUMMYFUNCTION("""COMPUTED_VALUE"""),"enemy_icon_enemy_jig_00401")</f>
        <v>enemy_icon_enemy_jig_00401</v>
      </c>
      <c r="Y233" s="246" t="str">
        <f>IFERROR(__xludf.DUMMYFUNCTION("""COMPUTED_VALUE"""),"boss_icon_enemy_jig_00401")</f>
        <v>boss_icon_enemy_jig_00401</v>
      </c>
      <c r="Z233" s="246"/>
    </row>
    <row r="234">
      <c r="A234" s="246" t="str">
        <f>IFERROR(__xludf.DUMMYFUNCTION("""COMPUTED_VALUE"""),"jig")</f>
        <v>jig</v>
      </c>
      <c r="B234" s="246" t="str">
        <f>IFERROR(__xludf.DUMMYFUNCTION("""COMPUTED_VALUE"""),"地獄楽")</f>
        <v>地獄楽</v>
      </c>
      <c r="C234" s="246" t="str">
        <f>IFERROR(__xludf.DUMMYFUNCTION("""COMPUTED_VALUE"""),"00402")</f>
        <v>00402</v>
      </c>
      <c r="D234" s="246" t="str">
        <f>IFERROR(__xludf.DUMMYFUNCTION("""COMPUTED_VALUE"""),"enemy_jig_00402")</f>
        <v>enemy_jig_00402</v>
      </c>
      <c r="E234" s="246" t="str">
        <f>IFERROR(__xludf.DUMMYFUNCTION("""COMPUTED_VALUE"""),"極楽蝶")</f>
        <v>極楽蝶</v>
      </c>
      <c r="F234" s="246" t="str">
        <f>IFERROR(__xludf.DUMMYFUNCTION("""COMPUTED_VALUE"""),"極楽蝶")</f>
        <v>極楽蝶</v>
      </c>
      <c r="G234" s="246" t="str">
        <f>IFERROR(__xludf.DUMMYFUNCTION("""COMPUTED_VALUE"""),"ー")</f>
        <v>ー</v>
      </c>
      <c r="H234" s="246"/>
      <c r="I234" s="246"/>
      <c r="J234" s="246"/>
      <c r="K234" s="246" t="str">
        <f>IFERROR(__xludf.DUMMYFUNCTION("""COMPUTED_VALUE"""),"enemy")</f>
        <v>enemy</v>
      </c>
      <c r="L234" s="246" t="str">
        <f>IFERROR(__xludf.DUMMYFUNCTION("""COMPUTED_VALUE"""),"アタック")</f>
        <v>アタック</v>
      </c>
      <c r="M234" s="246" t="str">
        <f>IFERROR(__xludf.DUMMYFUNCTION("""COMPUTED_VALUE"""),"dageki_2")</f>
        <v>dageki_2</v>
      </c>
      <c r="N234" s="252"/>
      <c r="O234" s="246"/>
      <c r="P234" s="246"/>
      <c r="Q234" s="246" t="str">
        <f>IFERROR(__xludf.DUMMYFUNCTION("""COMPUTED_VALUE"""),"2.10")</f>
        <v>2.10</v>
      </c>
      <c r="R234" s="246" t="str">
        <f>IFERROR(__xludf.DUMMYFUNCTION("""COMPUTED_VALUE"""),"0.60")</f>
        <v>0.60</v>
      </c>
      <c r="S234" s="246" t="str">
        <f>IFERROR(__xludf.DUMMYFUNCTION("""COMPUTED_VALUE"""),"-")</f>
        <v>-</v>
      </c>
      <c r="T234" s="246" t="str">
        <f>IFERROR(__xludf.DUMMYFUNCTION("""COMPUTED_VALUE"""),"-")</f>
        <v>-</v>
      </c>
      <c r="U234" s="246">
        <f>IFERROR(__xludf.DUMMYFUNCTION("""COMPUTED_VALUE"""),45658.0)</f>
        <v>45658</v>
      </c>
      <c r="V234" s="246">
        <f>IFERROR(__xludf.DUMMYFUNCTION("""COMPUTED_VALUE"""),390812.49998842593)</f>
        <v>390812.5</v>
      </c>
      <c r="W234" s="246" t="str">
        <f>IFERROR(__xludf.DUMMYFUNCTION("""COMPUTED_VALUE"""),"catchcopy_character_enemy_jig_00402.png")</f>
        <v>catchcopy_character_enemy_jig_00402.png</v>
      </c>
      <c r="X234" s="246" t="str">
        <f>IFERROR(__xludf.DUMMYFUNCTION("""COMPUTED_VALUE"""),"enemy_icon_enemy_jig_00402")</f>
        <v>enemy_icon_enemy_jig_00402</v>
      </c>
      <c r="Y234" s="246" t="str">
        <f>IFERROR(__xludf.DUMMYFUNCTION("""COMPUTED_VALUE"""),"boss_icon_enemy_jig_00402")</f>
        <v>boss_icon_enemy_jig_00402</v>
      </c>
      <c r="Z234" s="246" t="str">
        <f>IFERROR(__xludf.DUMMYFUNCTION("""COMPUTED_VALUE"""),"enemy_jig_00402_normal")</f>
        <v>enemy_jig_00402_normal</v>
      </c>
    </row>
    <row r="235">
      <c r="A235" s="246" t="str">
        <f>IFERROR(__xludf.DUMMYFUNCTION("""COMPUTED_VALUE"""),"jig")</f>
        <v>jig</v>
      </c>
      <c r="B235" s="246" t="str">
        <f>IFERROR(__xludf.DUMMYFUNCTION("""COMPUTED_VALUE"""),"地獄楽")</f>
        <v>地獄楽</v>
      </c>
      <c r="C235" s="246" t="str">
        <f>IFERROR(__xludf.DUMMYFUNCTION("""COMPUTED_VALUE"""),"00501")</f>
        <v>00501</v>
      </c>
      <c r="D235" s="246" t="str">
        <f>IFERROR(__xludf.DUMMYFUNCTION("""COMPUTED_VALUE"""),"enemy_jig_00501")</f>
        <v>enemy_jig_00501</v>
      </c>
      <c r="E235" s="246" t="str">
        <f>IFERROR(__xludf.DUMMYFUNCTION("""COMPUTED_VALUE"""),"山田浅ェ門 源嗣")</f>
        <v>山田浅ェ門 源嗣</v>
      </c>
      <c r="F235" s="246" t="str">
        <f>IFERROR(__xludf.DUMMYFUNCTION("""COMPUTED_VALUE"""),"山田浅ェ門 源嗣")</f>
        <v>山田浅ェ門 源嗣</v>
      </c>
      <c r="G235" s="246" t="str">
        <f>IFERROR(__xludf.DUMMYFUNCTION("""COMPUTED_VALUE"""),"ー")</f>
        <v>ー</v>
      </c>
      <c r="H235" s="246"/>
      <c r="I235" s="246"/>
      <c r="J235" s="246"/>
      <c r="K235" s="246" t="str">
        <f>IFERROR(__xludf.DUMMYFUNCTION("""COMPUTED_VALUE"""),"enemy")</f>
        <v>enemy</v>
      </c>
      <c r="L235" s="246" t="str">
        <f>IFERROR(__xludf.DUMMYFUNCTION("""COMPUTED_VALUE"""),"ディフェンス")</f>
        <v>ディフェンス</v>
      </c>
      <c r="M235" s="246" t="str">
        <f>IFERROR(__xludf.DUMMYFUNCTION("""COMPUTED_VALUE"""),"zangeki_1")</f>
        <v>zangeki_1</v>
      </c>
      <c r="N235" s="252"/>
      <c r="O235" s="246"/>
      <c r="P235" s="246"/>
      <c r="Q235" s="246" t="str">
        <f>IFERROR(__xludf.DUMMYFUNCTION("""COMPUTED_VALUE"""),"1.43")</f>
        <v>1.43</v>
      </c>
      <c r="R235" s="246" t="str">
        <f>IFERROR(__xludf.DUMMYFUNCTION("""COMPUTED_VALUE"""),"0.66")</f>
        <v>0.66</v>
      </c>
      <c r="S235" s="246" t="str">
        <f>IFERROR(__xludf.DUMMYFUNCTION("""COMPUTED_VALUE"""),"-")</f>
        <v>-</v>
      </c>
      <c r="T235" s="246" t="str">
        <f>IFERROR(__xludf.DUMMYFUNCTION("""COMPUTED_VALUE"""),"-")</f>
        <v>-</v>
      </c>
      <c r="U235" s="246">
        <f>IFERROR(__xludf.DUMMYFUNCTION("""COMPUTED_VALUE"""),45658.0)</f>
        <v>45658</v>
      </c>
      <c r="V235" s="246">
        <f>IFERROR(__xludf.DUMMYFUNCTION("""COMPUTED_VALUE"""),390812.49998842593)</f>
        <v>390812.5</v>
      </c>
      <c r="W235" s="246" t="str">
        <f>IFERROR(__xludf.DUMMYFUNCTION("""COMPUTED_VALUE"""),"catchcopy_character_enemy_jig_00501.png")</f>
        <v>catchcopy_character_enemy_jig_00501.png</v>
      </c>
      <c r="X235" s="246" t="str">
        <f>IFERROR(__xludf.DUMMYFUNCTION("""COMPUTED_VALUE"""),"enemy_icon_enemy_jig_00501")</f>
        <v>enemy_icon_enemy_jig_00501</v>
      </c>
      <c r="Y235" s="246" t="str">
        <f>IFERROR(__xludf.DUMMYFUNCTION("""COMPUTED_VALUE"""),"boss_icon_enemy_jig_00501")</f>
        <v>boss_icon_enemy_jig_00501</v>
      </c>
      <c r="Z235" s="246" t="str">
        <f>IFERROR(__xludf.DUMMYFUNCTION("""COMPUTED_VALUE"""),"enemy_jig_00501_normal")</f>
        <v>enemy_jig_00501_normal</v>
      </c>
    </row>
    <row r="236">
      <c r="A236" s="246" t="str">
        <f>IFERROR(__xludf.DUMMYFUNCTION("""COMPUTED_VALUE"""),"jig")</f>
        <v>jig</v>
      </c>
      <c r="B236" s="246" t="str">
        <f>IFERROR(__xludf.DUMMYFUNCTION("""COMPUTED_VALUE"""),"地獄楽")</f>
        <v>地獄楽</v>
      </c>
      <c r="C236" s="246" t="str">
        <f>IFERROR(__xludf.DUMMYFUNCTION("""COMPUTED_VALUE"""),"00601")</f>
        <v>00601</v>
      </c>
      <c r="D236" s="246" t="str">
        <f>IFERROR(__xludf.DUMMYFUNCTION("""COMPUTED_VALUE"""),"enemy_jig_00601")</f>
        <v>enemy_jig_00601</v>
      </c>
      <c r="E236" s="246" t="str">
        <f>IFERROR(__xludf.DUMMYFUNCTION("""COMPUTED_VALUE"""),"朱槿")</f>
        <v>朱槿</v>
      </c>
      <c r="F236" s="246" t="str">
        <f>IFERROR(__xludf.DUMMYFUNCTION("""COMPUTED_VALUE"""),"朱槿")</f>
        <v>朱槿</v>
      </c>
      <c r="G236" s="246" t="str">
        <f>IFERROR(__xludf.DUMMYFUNCTION("""COMPUTED_VALUE"""),"ー")</f>
        <v>ー</v>
      </c>
      <c r="H236" s="246"/>
      <c r="I236" s="246"/>
      <c r="J236" s="246"/>
      <c r="K236" s="246" t="str">
        <f>IFERROR(__xludf.DUMMYFUNCTION("""COMPUTED_VALUE"""),"enemy")</f>
        <v>enemy</v>
      </c>
      <c r="L236" s="246"/>
      <c r="M236" s="246"/>
      <c r="N236" s="252"/>
      <c r="O236" s="246"/>
      <c r="P236" s="246"/>
      <c r="Q236" s="246" t="str">
        <f>IFERROR(__xludf.DUMMYFUNCTION("""COMPUTED_VALUE"""),"1.5")</f>
        <v>1.5</v>
      </c>
      <c r="R236" s="246" t="str">
        <f>IFERROR(__xludf.DUMMYFUNCTION("""COMPUTED_VALUE"""),"0.75")</f>
        <v>0.75</v>
      </c>
      <c r="S236" s="246" t="str">
        <f>IFERROR(__xludf.DUMMYFUNCTION("""COMPUTED_VALUE"""),"-")</f>
        <v>-</v>
      </c>
      <c r="T236" s="246" t="str">
        <f>IFERROR(__xludf.DUMMYFUNCTION("""COMPUTED_VALUE"""),"-")</f>
        <v>-</v>
      </c>
      <c r="U236" s="246">
        <f>IFERROR(__xludf.DUMMYFUNCTION("""COMPUTED_VALUE"""),46038.625)</f>
        <v>46038.625</v>
      </c>
      <c r="V236" s="246">
        <f>IFERROR(__xludf.DUMMYFUNCTION("""COMPUTED_VALUE"""),390812.49998842593)</f>
        <v>390812.5</v>
      </c>
      <c r="W236" s="246" t="str">
        <f>IFERROR(__xludf.DUMMYFUNCTION("""COMPUTED_VALUE"""),"catchcopy_character_enemy_jig_00601.png")</f>
        <v>catchcopy_character_enemy_jig_00601.png</v>
      </c>
      <c r="X236" s="246" t="str">
        <f>IFERROR(__xludf.DUMMYFUNCTION("""COMPUTED_VALUE"""),"enemy_icon_enemy_jig_00601")</f>
        <v>enemy_icon_enemy_jig_00601</v>
      </c>
      <c r="Y236" s="246" t="str">
        <f>IFERROR(__xludf.DUMMYFUNCTION("""COMPUTED_VALUE"""),"boss_icon_enemy_jig_00501")</f>
        <v>boss_icon_enemy_jig_00501</v>
      </c>
      <c r="Z236" s="246"/>
    </row>
    <row r="237">
      <c r="A237" s="246" t="str">
        <f>IFERROR(__xludf.DUMMYFUNCTION("""COMPUTED_VALUE"""),"mag")</f>
        <v>mag</v>
      </c>
      <c r="B237" s="246" t="str">
        <f>IFERROR(__xludf.DUMMYFUNCTION("""COMPUTED_VALUE"""),"株式会社マジルミエ")</f>
        <v>株式会社マジルミエ</v>
      </c>
      <c r="C237" s="246" t="str">
        <f>IFERROR(__xludf.DUMMYFUNCTION("""COMPUTED_VALUE"""),"00001")</f>
        <v>00001</v>
      </c>
      <c r="D237" s="246" t="str">
        <f>IFERROR(__xludf.DUMMYFUNCTION("""COMPUTED_VALUE"""),"enemy_mag_00001")</f>
        <v>enemy_mag_00001</v>
      </c>
      <c r="E237" s="246" t="str">
        <f>IFERROR(__xludf.DUMMYFUNCTION("""COMPUTED_VALUE"""),"冷却系の怪異")</f>
        <v>冷却系の怪異</v>
      </c>
      <c r="F237" s="246" t="str">
        <f>IFERROR(__xludf.DUMMYFUNCTION("""COMPUTED_VALUE"""),"冷却系怪異")</f>
        <v>冷却系怪異</v>
      </c>
      <c r="G237" s="246" t="str">
        <f>IFERROR(__xludf.DUMMYFUNCTION("""COMPUTED_VALUE"""),"ー")</f>
        <v>ー</v>
      </c>
      <c r="H237" s="246"/>
      <c r="I237" s="246"/>
      <c r="J237" s="246"/>
      <c r="K237" s="246" t="str">
        <f>IFERROR(__xludf.DUMMYFUNCTION("""COMPUTED_VALUE"""),"enemy")</f>
        <v>enemy</v>
      </c>
      <c r="L237" s="246"/>
      <c r="M237" s="246" t="str">
        <f>IFERROR(__xludf.DUMMYFUNCTION("""COMPUTED_VALUE"""),"shageki_1")</f>
        <v>shageki_1</v>
      </c>
      <c r="N237" s="252"/>
      <c r="O237" s="246"/>
      <c r="P237" s="246" t="str">
        <f>IFERROR(__xludf.DUMMYFUNCTION("""COMPUTED_VALUE"""),"00001")</f>
        <v>00001</v>
      </c>
      <c r="Q237" s="246" t="str">
        <f>IFERROR(__xludf.DUMMYFUNCTION("""COMPUTED_VALUE"""),"1.50")</f>
        <v>1.50</v>
      </c>
      <c r="R237" s="246" t="str">
        <f>IFERROR(__xludf.DUMMYFUNCTION("""COMPUTED_VALUE"""),"0.80")</f>
        <v>0.80</v>
      </c>
      <c r="S237" s="246" t="str">
        <f>IFERROR(__xludf.DUMMYFUNCTION("""COMPUTED_VALUE"""),"-")</f>
        <v>-</v>
      </c>
      <c r="T237" s="246" t="str">
        <f>IFERROR(__xludf.DUMMYFUNCTION("""COMPUTED_VALUE"""),"-")</f>
        <v>-</v>
      </c>
      <c r="U237" s="246">
        <f>IFERROR(__xludf.DUMMYFUNCTION("""COMPUTED_VALUE"""),45658.0)</f>
        <v>45658</v>
      </c>
      <c r="V237" s="246">
        <f>IFERROR(__xludf.DUMMYFUNCTION("""COMPUTED_VALUE"""),390812.49998842593)</f>
        <v>390812.5</v>
      </c>
      <c r="W237" s="246" t="str">
        <f>IFERROR(__xludf.DUMMYFUNCTION("""COMPUTED_VALUE"""),"catchcopy_character_enemy_mag_00001.png")</f>
        <v>catchcopy_character_enemy_mag_00001.png</v>
      </c>
      <c r="X237" s="246" t="str">
        <f>IFERROR(__xludf.DUMMYFUNCTION("""COMPUTED_VALUE"""),"enemy_icon_enemy_mag_00001")</f>
        <v>enemy_icon_enemy_mag_00001</v>
      </c>
      <c r="Y237" s="246" t="str">
        <f>IFERROR(__xludf.DUMMYFUNCTION("""COMPUTED_VALUE"""),"boss_icon_enemy_mag_00001")</f>
        <v>boss_icon_enemy_mag_00001</v>
      </c>
      <c r="Z237" s="246" t="str">
        <f>IFERROR(__xludf.DUMMYFUNCTION("""COMPUTED_VALUE"""),"enemy_mag_00001_normal")</f>
        <v>enemy_mag_00001_normal</v>
      </c>
    </row>
    <row r="238">
      <c r="A238" s="246" t="str">
        <f>IFERROR(__xludf.DUMMYFUNCTION("""COMPUTED_VALUE"""),"mag")</f>
        <v>mag</v>
      </c>
      <c r="B238" s="246" t="str">
        <f>IFERROR(__xludf.DUMMYFUNCTION("""COMPUTED_VALUE"""),"株式会社マジルミエ")</f>
        <v>株式会社マジルミエ</v>
      </c>
      <c r="C238" s="246" t="str">
        <f>IFERROR(__xludf.DUMMYFUNCTION("""COMPUTED_VALUE"""),"00101")</f>
        <v>00101</v>
      </c>
      <c r="D238" s="246" t="str">
        <f>IFERROR(__xludf.DUMMYFUNCTION("""COMPUTED_VALUE"""),"enemy_mag_00101")</f>
        <v>enemy_mag_00101</v>
      </c>
      <c r="E238" s="246" t="str">
        <f>IFERROR(__xludf.DUMMYFUNCTION("""COMPUTED_VALUE"""),"つらら")</f>
        <v>つらら</v>
      </c>
      <c r="F238" s="246" t="str">
        <f>IFERROR(__xludf.DUMMYFUNCTION("""COMPUTED_VALUE"""),"つらら")</f>
        <v>つらら</v>
      </c>
      <c r="G238" s="246" t="str">
        <f>IFERROR(__xludf.DUMMYFUNCTION("""COMPUTED_VALUE"""),"ー")</f>
        <v>ー</v>
      </c>
      <c r="H238" s="246"/>
      <c r="I238" s="246"/>
      <c r="J238" s="246"/>
      <c r="K238" s="246" t="str">
        <f>IFERROR(__xludf.DUMMYFUNCTION("""COMPUTED_VALUE"""),"enemy")</f>
        <v>enemy</v>
      </c>
      <c r="L238" s="246"/>
      <c r="M238" s="246" t="str">
        <f>IFERROR(__xludf.DUMMYFUNCTION("""COMPUTED_VALUE"""),"zangeki_1")</f>
        <v>zangeki_1</v>
      </c>
      <c r="N238" s="252"/>
      <c r="O238" s="246"/>
      <c r="P238" s="246" t="str">
        <f>IFERROR(__xludf.DUMMYFUNCTION("""COMPUTED_VALUE"""),"00101")</f>
        <v>00101</v>
      </c>
      <c r="Q238" s="246" t="str">
        <f>IFERROR(__xludf.DUMMYFUNCTION("""COMPUTED_VALUE"""),"0.37")</f>
        <v>0.37</v>
      </c>
      <c r="R238" s="246" t="str">
        <f>IFERROR(__xludf.DUMMYFUNCTION("""COMPUTED_VALUE"""),"stop有:1回目 0.20")</f>
        <v>stop有:1回目 0.20</v>
      </c>
      <c r="S238" s="246" t="str">
        <f>IFERROR(__xludf.DUMMYFUNCTION("""COMPUTED_VALUE"""),"-")</f>
        <v>-</v>
      </c>
      <c r="T238" s="246" t="str">
        <f>IFERROR(__xludf.DUMMYFUNCTION("""COMPUTED_VALUE"""),"-")</f>
        <v>-</v>
      </c>
      <c r="U238" s="246">
        <f>IFERROR(__xludf.DUMMYFUNCTION("""COMPUTED_VALUE"""),45658.0)</f>
        <v>45658</v>
      </c>
      <c r="V238" s="246">
        <f>IFERROR(__xludf.DUMMYFUNCTION("""COMPUTED_VALUE"""),390812.49998842593)</f>
        <v>390812.5</v>
      </c>
      <c r="W238" s="246" t="str">
        <f>IFERROR(__xludf.DUMMYFUNCTION("""COMPUTED_VALUE"""),"catchcopy_character_enemy_mag_00101.png")</f>
        <v>catchcopy_character_enemy_mag_00101.png</v>
      </c>
      <c r="X238" s="246" t="str">
        <f>IFERROR(__xludf.DUMMYFUNCTION("""COMPUTED_VALUE"""),"enemy_icon_enemy_mag_00101")</f>
        <v>enemy_icon_enemy_mag_00101</v>
      </c>
      <c r="Y238" s="246" t="str">
        <f>IFERROR(__xludf.DUMMYFUNCTION("""COMPUTED_VALUE"""),"boss_icon_enemy_mag_00101")</f>
        <v>boss_icon_enemy_mag_00101</v>
      </c>
      <c r="Z238" s="246"/>
    </row>
    <row r="239">
      <c r="A239" s="246" t="str">
        <f>IFERROR(__xludf.DUMMYFUNCTION("""COMPUTED_VALUE"""),"mag")</f>
        <v>mag</v>
      </c>
      <c r="B239" s="246" t="str">
        <f>IFERROR(__xludf.DUMMYFUNCTION("""COMPUTED_VALUE"""),"株式会社マジルミエ")</f>
        <v>株式会社マジルミエ</v>
      </c>
      <c r="C239" s="246" t="str">
        <f>IFERROR(__xludf.DUMMYFUNCTION("""COMPUTED_VALUE"""),"00201")</f>
        <v>00201</v>
      </c>
      <c r="D239" s="246" t="str">
        <f>IFERROR(__xludf.DUMMYFUNCTION("""COMPUTED_VALUE"""),"enemy_mag_00201")</f>
        <v>enemy_mag_00201</v>
      </c>
      <c r="E239" s="246" t="str">
        <f>IFERROR(__xludf.DUMMYFUNCTION("""COMPUTED_VALUE"""),"建造物寄生型の怪異（大）")</f>
        <v>建造物寄生型の怪異（大）</v>
      </c>
      <c r="F239" s="246" t="str">
        <f>IFERROR(__xludf.DUMMYFUNCTION("""COMPUTED_VALUE"""),"建造物寄生型の怪異 (大)")</f>
        <v>建造物寄生型の怪異 (大)</v>
      </c>
      <c r="G239" s="246" t="str">
        <f>IFERROR(__xludf.DUMMYFUNCTION("""COMPUTED_VALUE"""),"ー")</f>
        <v>ー</v>
      </c>
      <c r="H239" s="246"/>
      <c r="I239" s="246"/>
      <c r="J239" s="246"/>
      <c r="K239" s="246" t="str">
        <f>IFERROR(__xludf.DUMMYFUNCTION("""COMPUTED_VALUE"""),"enemy")</f>
        <v>enemy</v>
      </c>
      <c r="L239" s="246"/>
      <c r="M239" s="246" t="str">
        <f>IFERROR(__xludf.DUMMYFUNCTION("""COMPUTED_VALUE"""),"dageki_1")</f>
        <v>dageki_1</v>
      </c>
      <c r="N239" s="252"/>
      <c r="O239" s="246"/>
      <c r="P239" s="246" t="str">
        <f>IFERROR(__xludf.DUMMYFUNCTION("""COMPUTED_VALUE"""),"00201")</f>
        <v>00201</v>
      </c>
      <c r="Q239" s="246" t="str">
        <f>IFERROR(__xludf.DUMMYFUNCTION("""COMPUTED_VALUE"""),"1.50")</f>
        <v>1.50</v>
      </c>
      <c r="R239" s="246" t="str">
        <f>IFERROR(__xludf.DUMMYFUNCTION("""COMPUTED_VALUE"""),"0.74")</f>
        <v>0.74</v>
      </c>
      <c r="S239" s="246" t="str">
        <f>IFERROR(__xludf.DUMMYFUNCTION("""COMPUTED_VALUE"""),"-")</f>
        <v>-</v>
      </c>
      <c r="T239" s="246" t="str">
        <f>IFERROR(__xludf.DUMMYFUNCTION("""COMPUTED_VALUE"""),"-")</f>
        <v>-</v>
      </c>
      <c r="U239" s="246">
        <f>IFERROR(__xludf.DUMMYFUNCTION("""COMPUTED_VALUE"""),45658.0)</f>
        <v>45658</v>
      </c>
      <c r="V239" s="246">
        <f>IFERROR(__xludf.DUMMYFUNCTION("""COMPUTED_VALUE"""),390812.49998842593)</f>
        <v>390812.5</v>
      </c>
      <c r="W239" s="246" t="str">
        <f>IFERROR(__xludf.DUMMYFUNCTION("""COMPUTED_VALUE"""),"catchcopy_character_enemy_mag_00201.png")</f>
        <v>catchcopy_character_enemy_mag_00201.png</v>
      </c>
      <c r="X239" s="246" t="str">
        <f>IFERROR(__xludf.DUMMYFUNCTION("""COMPUTED_VALUE"""),"enemy_icon_enemy_mag_00201")</f>
        <v>enemy_icon_enemy_mag_00201</v>
      </c>
      <c r="Y239" s="246" t="str">
        <f>IFERROR(__xludf.DUMMYFUNCTION("""COMPUTED_VALUE"""),"boss_icon_enemy_mag_00201")</f>
        <v>boss_icon_enemy_mag_00201</v>
      </c>
      <c r="Z239" s="246" t="str">
        <f>IFERROR(__xludf.DUMMYFUNCTION("""COMPUTED_VALUE"""),"enemy_mag_00201_normal")</f>
        <v>enemy_mag_00201_normal</v>
      </c>
    </row>
    <row r="240">
      <c r="A240" s="246" t="str">
        <f>IFERROR(__xludf.DUMMYFUNCTION("""COMPUTED_VALUE"""),"mag")</f>
        <v>mag</v>
      </c>
      <c r="B240" s="246" t="str">
        <f>IFERROR(__xludf.DUMMYFUNCTION("""COMPUTED_VALUE"""),"株式会社マジルミエ")</f>
        <v>株式会社マジルミエ</v>
      </c>
      <c r="C240" s="246" t="str">
        <f>IFERROR(__xludf.DUMMYFUNCTION("""COMPUTED_VALUE"""),"00301")</f>
        <v>00301</v>
      </c>
      <c r="D240" s="246" t="str">
        <f>IFERROR(__xludf.DUMMYFUNCTION("""COMPUTED_VALUE"""),"enemy_mag_00301")</f>
        <v>enemy_mag_00301</v>
      </c>
      <c r="E240" s="246" t="str">
        <f>IFERROR(__xludf.DUMMYFUNCTION("""COMPUTED_VALUE"""),"建造物寄生型の怪異（小）")</f>
        <v>建造物寄生型の怪異（小）</v>
      </c>
      <c r="F240" s="246" t="str">
        <f>IFERROR(__xludf.DUMMYFUNCTION("""COMPUTED_VALUE"""),"建造物寄生型の怪異")</f>
        <v>建造物寄生型の怪異</v>
      </c>
      <c r="G240" s="246" t="str">
        <f>IFERROR(__xludf.DUMMYFUNCTION("""COMPUTED_VALUE"""),"ー")</f>
        <v>ー</v>
      </c>
      <c r="H240" s="246"/>
      <c r="I240" s="246"/>
      <c r="J240" s="246"/>
      <c r="K240" s="246" t="str">
        <f>IFERROR(__xludf.DUMMYFUNCTION("""COMPUTED_VALUE"""),"enemy")</f>
        <v>enemy</v>
      </c>
      <c r="L240" s="246"/>
      <c r="M240" s="246" t="str">
        <f>IFERROR(__xludf.DUMMYFUNCTION("""COMPUTED_VALUE"""),"dageki_2")</f>
        <v>dageki_2</v>
      </c>
      <c r="N240" s="252"/>
      <c r="O240" s="246"/>
      <c r="P240" s="246" t="str">
        <f>IFERROR(__xludf.DUMMYFUNCTION("""COMPUTED_VALUE"""),"00301")</f>
        <v>00301</v>
      </c>
      <c r="Q240" s="246" t="str">
        <f>IFERROR(__xludf.DUMMYFUNCTION("""COMPUTED_VALUE"""),"1.50")</f>
        <v>1.50</v>
      </c>
      <c r="R240" s="246" t="str">
        <f>IFERROR(__xludf.DUMMYFUNCTION("""COMPUTED_VALUE"""),"0.74")</f>
        <v>0.74</v>
      </c>
      <c r="S240" s="246" t="str">
        <f>IFERROR(__xludf.DUMMYFUNCTION("""COMPUTED_VALUE"""),"-")</f>
        <v>-</v>
      </c>
      <c r="T240" s="246" t="str">
        <f>IFERROR(__xludf.DUMMYFUNCTION("""COMPUTED_VALUE"""),"-")</f>
        <v>-</v>
      </c>
      <c r="U240" s="246">
        <f>IFERROR(__xludf.DUMMYFUNCTION("""COMPUTED_VALUE"""),45658.0)</f>
        <v>45658</v>
      </c>
      <c r="V240" s="246">
        <f>IFERROR(__xludf.DUMMYFUNCTION("""COMPUTED_VALUE"""),390812.49998842593)</f>
        <v>390812.5</v>
      </c>
      <c r="W240" s="246" t="str">
        <f>IFERROR(__xludf.DUMMYFUNCTION("""COMPUTED_VALUE"""),"catchcopy_character_enemy_mag_00301.png")</f>
        <v>catchcopy_character_enemy_mag_00301.png</v>
      </c>
      <c r="X240" s="246" t="str">
        <f>IFERROR(__xludf.DUMMYFUNCTION("""COMPUTED_VALUE"""),"enemy_icon_enemy_mag_00301")</f>
        <v>enemy_icon_enemy_mag_00301</v>
      </c>
      <c r="Y240" s="246" t="str">
        <f>IFERROR(__xludf.DUMMYFUNCTION("""COMPUTED_VALUE"""),"boss_icon_enemy_mag_00301")</f>
        <v>boss_icon_enemy_mag_00301</v>
      </c>
      <c r="Z240" s="246"/>
    </row>
    <row r="241">
      <c r="A241" s="246" t="str">
        <f>IFERROR(__xludf.DUMMYFUNCTION("""COMPUTED_VALUE"""),"mag")</f>
        <v>mag</v>
      </c>
      <c r="B241" s="246" t="str">
        <f>IFERROR(__xludf.DUMMYFUNCTION("""COMPUTED_VALUE"""),"株式会社マジルミエ")</f>
        <v>株式会社マジルミエ</v>
      </c>
      <c r="C241" s="246" t="str">
        <f>IFERROR(__xludf.DUMMYFUNCTION("""COMPUTED_VALUE"""),"00401")</f>
        <v>00401</v>
      </c>
      <c r="D241" s="246" t="str">
        <f>IFERROR(__xludf.DUMMYFUNCTION("""COMPUTED_VALUE"""),"enemy_mag_00401")</f>
        <v>enemy_mag_00401</v>
      </c>
      <c r="E241" s="246" t="str">
        <f>IFERROR(__xludf.DUMMYFUNCTION("""COMPUTED_VALUE"""),"工事現場の怪異")</f>
        <v>工事現場の怪異</v>
      </c>
      <c r="F241" s="246" t="str">
        <f>IFERROR(__xludf.DUMMYFUNCTION("""COMPUTED_VALUE"""),"工事現場の怪異")</f>
        <v>工事現場の怪異</v>
      </c>
      <c r="G241" s="246"/>
      <c r="H241" s="246"/>
      <c r="I241" s="246"/>
      <c r="J241" s="246"/>
      <c r="K241" s="246" t="str">
        <f>IFERROR(__xludf.DUMMYFUNCTION("""COMPUTED_VALUE"""),"enemy")</f>
        <v>enemy</v>
      </c>
      <c r="L241" s="246"/>
      <c r="M241" s="246"/>
      <c r="N241" s="252"/>
      <c r="O241" s="246"/>
      <c r="P241" s="246"/>
      <c r="Q241" s="246" t="str">
        <f>IFERROR(__xludf.DUMMYFUNCTION("""COMPUTED_VALUE"""),"1.67")</f>
        <v>1.67</v>
      </c>
      <c r="R241" s="246" t="str">
        <f>IFERROR(__xludf.DUMMYFUNCTION("""COMPUTED_VALUE"""),"stop有:0.84")</f>
        <v>stop有:0.84</v>
      </c>
      <c r="S241" s="246" t="str">
        <f>IFERROR(__xludf.DUMMYFUNCTION("""COMPUTED_VALUE"""),"-")</f>
        <v>-</v>
      </c>
      <c r="T241" s="246" t="str">
        <f>IFERROR(__xludf.DUMMYFUNCTION("""COMPUTED_VALUE"""),"-")</f>
        <v>-</v>
      </c>
      <c r="U241" s="246"/>
      <c r="V241" s="246"/>
      <c r="W241" s="246"/>
      <c r="X241" s="246"/>
      <c r="Y241" s="246"/>
      <c r="Z241" s="246"/>
    </row>
    <row r="242">
      <c r="A242" s="246" t="str">
        <f>IFERROR(__xludf.DUMMYFUNCTION("""COMPUTED_VALUE"""),"sum")</f>
        <v>sum</v>
      </c>
      <c r="B242" s="246" t="str">
        <f>IFERROR(__xludf.DUMMYFUNCTION("""COMPUTED_VALUE"""),"サマータイムレンダ")</f>
        <v>サマータイムレンダ</v>
      </c>
      <c r="C242" s="246" t="str">
        <f>IFERROR(__xludf.DUMMYFUNCTION("""COMPUTED_VALUE"""),"00001")</f>
        <v>00001</v>
      </c>
      <c r="D242" s="246" t="str">
        <f>IFERROR(__xludf.DUMMYFUNCTION("""COMPUTED_VALUE"""),"enemy_sum_00001")</f>
        <v>enemy_sum_00001</v>
      </c>
      <c r="E242" s="246" t="str">
        <f>IFERROR(__xludf.DUMMYFUNCTION("""COMPUTED_VALUE"""),"影")</f>
        <v>影</v>
      </c>
      <c r="F242" s="246" t="str">
        <f>IFERROR(__xludf.DUMMYFUNCTION("""COMPUTED_VALUE"""),"影")</f>
        <v>影</v>
      </c>
      <c r="G242" s="246" t="str">
        <f>IFERROR(__xludf.DUMMYFUNCTION("""COMPUTED_VALUE"""),"ー")</f>
        <v>ー</v>
      </c>
      <c r="H242" s="246"/>
      <c r="I242" s="246"/>
      <c r="J242" s="246"/>
      <c r="K242" s="246" t="str">
        <f>IFERROR(__xludf.DUMMYFUNCTION("""COMPUTED_VALUE"""),"enemy")</f>
        <v>enemy</v>
      </c>
      <c r="L242" s="246" t="str">
        <f>IFERROR(__xludf.DUMMYFUNCTION("""COMPUTED_VALUE"""),"ディフェンス")</f>
        <v>ディフェンス</v>
      </c>
      <c r="M242" s="246" t="str">
        <f>IFERROR(__xludf.DUMMYFUNCTION("""COMPUTED_VALUE"""),"dageki_1")</f>
        <v>dageki_1</v>
      </c>
      <c r="N242" s="252"/>
      <c r="O242" s="246"/>
      <c r="P242" s="246" t="str">
        <f>IFERROR(__xludf.DUMMYFUNCTION("""COMPUTED_VALUE"""),"00001")</f>
        <v>00001</v>
      </c>
      <c r="Q242" s="246" t="str">
        <f>IFERROR(__xludf.DUMMYFUNCTION("""COMPUTED_VALUE"""),"1.50")</f>
        <v>1.50</v>
      </c>
      <c r="R242" s="246" t="str">
        <f>IFERROR(__xludf.DUMMYFUNCTION("""COMPUTED_VALUE"""),"0.66")</f>
        <v>0.66</v>
      </c>
      <c r="S242" s="246" t="str">
        <f>IFERROR(__xludf.DUMMYFUNCTION("""COMPUTED_VALUE"""),"-")</f>
        <v>-</v>
      </c>
      <c r="T242" s="246" t="str">
        <f>IFERROR(__xludf.DUMMYFUNCTION("""COMPUTED_VALUE"""),"-")</f>
        <v>-</v>
      </c>
      <c r="U242" s="246">
        <f>IFERROR(__xludf.DUMMYFUNCTION("""COMPUTED_VALUE"""),45658.0)</f>
        <v>45658</v>
      </c>
      <c r="V242" s="246">
        <f>IFERROR(__xludf.DUMMYFUNCTION("""COMPUTED_VALUE"""),390812.49998842593)</f>
        <v>390812.5</v>
      </c>
      <c r="W242" s="246" t="str">
        <f>IFERROR(__xludf.DUMMYFUNCTION("""COMPUTED_VALUE"""),"catchcopy_character_enemy_sum_00001.png")</f>
        <v>catchcopy_character_enemy_sum_00001.png</v>
      </c>
      <c r="X242" s="246" t="str">
        <f>IFERROR(__xludf.DUMMYFUNCTION("""COMPUTED_VALUE"""),"enemy_icon_enemy_sum_00001")</f>
        <v>enemy_icon_enemy_sum_00001</v>
      </c>
      <c r="Y242" s="246" t="str">
        <f>IFERROR(__xludf.DUMMYFUNCTION("""COMPUTED_VALUE"""),"boss_icon_enemy_sum_00001")</f>
        <v>boss_icon_enemy_sum_00001</v>
      </c>
      <c r="Z242" s="246" t="str">
        <f>IFERROR(__xludf.DUMMYFUNCTION("""COMPUTED_VALUE"""),"enemy_sum_00001_normal")</f>
        <v>enemy_sum_00001_normal</v>
      </c>
    </row>
    <row r="243">
      <c r="A243" s="246" t="str">
        <f>IFERROR(__xludf.DUMMYFUNCTION("""COMPUTED_VALUE"""),"sum")</f>
        <v>sum</v>
      </c>
      <c r="B243" s="246" t="str">
        <f>IFERROR(__xludf.DUMMYFUNCTION("""COMPUTED_VALUE"""),"サマータイムレンダ")</f>
        <v>サマータイムレンダ</v>
      </c>
      <c r="C243" s="246" t="str">
        <f>IFERROR(__xludf.DUMMYFUNCTION("""COMPUTED_VALUE"""),"00101")</f>
        <v>00101</v>
      </c>
      <c r="D243" s="246" t="str">
        <f>IFERROR(__xludf.DUMMYFUNCTION("""COMPUTED_VALUE"""),"enemy_sum_00101")</f>
        <v>enemy_sum_00101</v>
      </c>
      <c r="E243" s="246" t="str">
        <f>IFERROR(__xludf.DUMMYFUNCTION("""COMPUTED_VALUE"""),"小舟 澪(影)_拳銃")</f>
        <v>小舟 澪(影)_拳銃</v>
      </c>
      <c r="F243" s="246" t="str">
        <f>IFERROR(__xludf.DUMMYFUNCTION("""COMPUTED_VALUE"""),"小舟 澪の影 (拳銃)")</f>
        <v>小舟 澪の影 (拳銃)</v>
      </c>
      <c r="G243" s="246" t="str">
        <f>IFERROR(__xludf.DUMMYFUNCTION("""COMPUTED_VALUE"""),"ー")</f>
        <v>ー</v>
      </c>
      <c r="H243" s="246"/>
      <c r="I243" s="246"/>
      <c r="J243" s="246"/>
      <c r="K243" s="246" t="str">
        <f>IFERROR(__xludf.DUMMYFUNCTION("""COMPUTED_VALUE"""),"enemy")</f>
        <v>enemy</v>
      </c>
      <c r="L243" s="246" t="str">
        <f>IFERROR(__xludf.DUMMYFUNCTION("""COMPUTED_VALUE"""),"アタック")</f>
        <v>アタック</v>
      </c>
      <c r="M243" s="246" t="str">
        <f>IFERROR(__xludf.DUMMYFUNCTION("""COMPUTED_VALUE"""),"shageki_1")</f>
        <v>shageki_1</v>
      </c>
      <c r="N243" s="252"/>
      <c r="O243" s="246"/>
      <c r="P243" s="246" t="str">
        <f>IFERROR(__xludf.DUMMYFUNCTION("""COMPUTED_VALUE"""),"00101")</f>
        <v>00101</v>
      </c>
      <c r="Q243" s="246" t="str">
        <f>IFERROR(__xludf.DUMMYFUNCTION("""COMPUTED_VALUE"""),"1.40")</f>
        <v>1.40</v>
      </c>
      <c r="R243" s="246" t="str">
        <f>IFERROR(__xludf.DUMMYFUNCTION("""COMPUTED_VALUE"""),"0.60")</f>
        <v>0.60</v>
      </c>
      <c r="S243" s="246" t="str">
        <f>IFERROR(__xludf.DUMMYFUNCTION("""COMPUTED_VALUE"""),"-")</f>
        <v>-</v>
      </c>
      <c r="T243" s="246" t="str">
        <f>IFERROR(__xludf.DUMMYFUNCTION("""COMPUTED_VALUE"""),"-")</f>
        <v>-</v>
      </c>
      <c r="U243" s="246">
        <f>IFERROR(__xludf.DUMMYFUNCTION("""COMPUTED_VALUE"""),45658.0)</f>
        <v>45658</v>
      </c>
      <c r="V243" s="246">
        <f>IFERROR(__xludf.DUMMYFUNCTION("""COMPUTED_VALUE"""),390812.49998842593)</f>
        <v>390812.5</v>
      </c>
      <c r="W243" s="246" t="str">
        <f>IFERROR(__xludf.DUMMYFUNCTION("""COMPUTED_VALUE"""),"catchcopy_character_enemy_sum_00101.png")</f>
        <v>catchcopy_character_enemy_sum_00101.png</v>
      </c>
      <c r="X243" s="246" t="str">
        <f>IFERROR(__xludf.DUMMYFUNCTION("""COMPUTED_VALUE"""),"enemy_icon_enemy_sum_00101")</f>
        <v>enemy_icon_enemy_sum_00101</v>
      </c>
      <c r="Y243" s="246" t="str">
        <f>IFERROR(__xludf.DUMMYFUNCTION("""COMPUTED_VALUE"""),"boss_icon_enemy_sum_00101")</f>
        <v>boss_icon_enemy_sum_00101</v>
      </c>
      <c r="Z243" s="246" t="str">
        <f>IFERROR(__xludf.DUMMYFUNCTION("""COMPUTED_VALUE"""),"enemy_sum_00101_normal")</f>
        <v>enemy_sum_00101_normal</v>
      </c>
    </row>
    <row r="244">
      <c r="A244" s="246" t="str">
        <f>IFERROR(__xludf.DUMMYFUNCTION("""COMPUTED_VALUE"""),"sum")</f>
        <v>sum</v>
      </c>
      <c r="B244" s="246" t="str">
        <f>IFERROR(__xludf.DUMMYFUNCTION("""COMPUTED_VALUE"""),"サマータイムレンダ")</f>
        <v>サマータイムレンダ</v>
      </c>
      <c r="C244" s="246" t="str">
        <f>IFERROR(__xludf.DUMMYFUNCTION("""COMPUTED_VALUE"""),"00201")</f>
        <v>00201</v>
      </c>
      <c r="D244" s="246" t="str">
        <f>IFERROR(__xludf.DUMMYFUNCTION("""COMPUTED_VALUE"""),"enemy_sum_00201")</f>
        <v>enemy_sum_00201</v>
      </c>
      <c r="E244" s="246" t="str">
        <f>IFERROR(__xludf.DUMMYFUNCTION("""COMPUTED_VALUE"""),"小舟 澪(影)_包丁")</f>
        <v>小舟 澪(影)_包丁</v>
      </c>
      <c r="F244" s="246" t="str">
        <f>IFERROR(__xludf.DUMMYFUNCTION("""COMPUTED_VALUE"""),"小舟 澪の影 (包丁)")</f>
        <v>小舟 澪の影 (包丁)</v>
      </c>
      <c r="G244" s="246" t="str">
        <f>IFERROR(__xludf.DUMMYFUNCTION("""COMPUTED_VALUE"""),"ー")</f>
        <v>ー</v>
      </c>
      <c r="H244" s="246"/>
      <c r="I244" s="246"/>
      <c r="J244" s="246"/>
      <c r="K244" s="246" t="str">
        <f>IFERROR(__xludf.DUMMYFUNCTION("""COMPUTED_VALUE"""),"enemy")</f>
        <v>enemy</v>
      </c>
      <c r="L244" s="246" t="str">
        <f>IFERROR(__xludf.DUMMYFUNCTION("""COMPUTED_VALUE"""),"アタック")</f>
        <v>アタック</v>
      </c>
      <c r="M244" s="246" t="str">
        <f>IFERROR(__xludf.DUMMYFUNCTION("""COMPUTED_VALUE"""),"zangeki_1")</f>
        <v>zangeki_1</v>
      </c>
      <c r="N244" s="252"/>
      <c r="O244" s="246"/>
      <c r="P244" s="246" t="str">
        <f>IFERROR(__xludf.DUMMYFUNCTION("""COMPUTED_VALUE"""),"00201")</f>
        <v>00201</v>
      </c>
      <c r="Q244" s="246" t="str">
        <f>IFERROR(__xludf.DUMMYFUNCTION("""COMPUTED_VALUE"""),"1.40")</f>
        <v>1.40</v>
      </c>
      <c r="R244" s="246" t="str">
        <f>IFERROR(__xludf.DUMMYFUNCTION("""COMPUTED_VALUE"""),"0.66")</f>
        <v>0.66</v>
      </c>
      <c r="S244" s="246" t="str">
        <f>IFERROR(__xludf.DUMMYFUNCTION("""COMPUTED_VALUE"""),"-")</f>
        <v>-</v>
      </c>
      <c r="T244" s="246" t="str">
        <f>IFERROR(__xludf.DUMMYFUNCTION("""COMPUTED_VALUE"""),"-")</f>
        <v>-</v>
      </c>
      <c r="U244" s="246">
        <f>IFERROR(__xludf.DUMMYFUNCTION("""COMPUTED_VALUE"""),45658.0)</f>
        <v>45658</v>
      </c>
      <c r="V244" s="246">
        <f>IFERROR(__xludf.DUMMYFUNCTION("""COMPUTED_VALUE"""),390812.49998842593)</f>
        <v>390812.5</v>
      </c>
      <c r="W244" s="246" t="str">
        <f>IFERROR(__xludf.DUMMYFUNCTION("""COMPUTED_VALUE"""),"catchcopy_character_enemy_sum_00201.png")</f>
        <v>catchcopy_character_enemy_sum_00201.png</v>
      </c>
      <c r="X244" s="246" t="str">
        <f>IFERROR(__xludf.DUMMYFUNCTION("""COMPUTED_VALUE"""),"enemy_icon_enemy_sum_00201")</f>
        <v>enemy_icon_enemy_sum_00201</v>
      </c>
      <c r="Y244" s="246" t="str">
        <f>IFERROR(__xludf.DUMMYFUNCTION("""COMPUTED_VALUE"""),"boss_icon_enemy_sum_00201")</f>
        <v>boss_icon_enemy_sum_00201</v>
      </c>
      <c r="Z244" s="246" t="str">
        <f>IFERROR(__xludf.DUMMYFUNCTION("""COMPUTED_VALUE"""),"enemy_sum_00201_normal")</f>
        <v>enemy_sum_00201_normal</v>
      </c>
    </row>
    <row r="245">
      <c r="A245" s="246" t="str">
        <f>IFERROR(__xludf.DUMMYFUNCTION("""COMPUTED_VALUE"""),"you")</f>
        <v>you</v>
      </c>
      <c r="B245" s="246" t="str">
        <f>IFERROR(__xludf.DUMMYFUNCTION("""COMPUTED_VALUE"""),"幼稚園WARS")</f>
        <v>幼稚園WARS</v>
      </c>
      <c r="C245" s="246" t="str">
        <f>IFERROR(__xludf.DUMMYFUNCTION("""COMPUTED_VALUE"""),"00001")</f>
        <v>00001</v>
      </c>
      <c r="D245" s="246" t="str">
        <f>IFERROR(__xludf.DUMMYFUNCTION("""COMPUTED_VALUE"""),"enemy_you_00001")</f>
        <v>enemy_you_00001</v>
      </c>
      <c r="E245" s="246" t="str">
        <f>IFERROR(__xludf.DUMMYFUNCTION("""COMPUTED_VALUE"""),"暗殺者（近）")</f>
        <v>暗殺者（近）</v>
      </c>
      <c r="F245" s="246" t="str">
        <f>IFERROR(__xludf.DUMMYFUNCTION("""COMPUTED_VALUE"""),"不良系金髪イケメン")</f>
        <v>不良系金髪イケメン</v>
      </c>
      <c r="G245" s="246" t="str">
        <f>IFERROR(__xludf.DUMMYFUNCTION("""COMPUTED_VALUE"""),"ー")</f>
        <v>ー</v>
      </c>
      <c r="H245" s="246"/>
      <c r="I245" s="246"/>
      <c r="J245" s="246"/>
      <c r="K245" s="246" t="str">
        <f>IFERROR(__xludf.DUMMYFUNCTION("""COMPUTED_VALUE"""),"enemy")</f>
        <v>enemy</v>
      </c>
      <c r="L245" s="246" t="str">
        <f>IFERROR(__xludf.DUMMYFUNCTION("""COMPUTED_VALUE"""),"アタック")</f>
        <v>アタック</v>
      </c>
      <c r="M245" s="246" t="str">
        <f>IFERROR(__xludf.DUMMYFUNCTION("""COMPUTED_VALUE"""),"zangeki_1")</f>
        <v>zangeki_1</v>
      </c>
      <c r="N245" s="252"/>
      <c r="O245" s="246"/>
      <c r="P245" s="246"/>
      <c r="Q245" s="246" t="str">
        <f>IFERROR(__xludf.DUMMYFUNCTION("""COMPUTED_VALUE"""),"1.27")</f>
        <v>1.27</v>
      </c>
      <c r="R245" s="246" t="str">
        <f>IFERROR(__xludf.DUMMYFUNCTION("""COMPUTED_VALUE"""),"stop有0.5")</f>
        <v>stop有0.5</v>
      </c>
      <c r="S245" s="246" t="str">
        <f>IFERROR(__xludf.DUMMYFUNCTION("""COMPUTED_VALUE"""),"-")</f>
        <v>-</v>
      </c>
      <c r="T245" s="246" t="str">
        <f>IFERROR(__xludf.DUMMYFUNCTION("""COMPUTED_VALUE"""),"-")</f>
        <v>-</v>
      </c>
      <c r="U245" s="246">
        <f>IFERROR(__xludf.DUMMYFUNCTION("""COMPUTED_VALUE"""),46055.625)</f>
        <v>46055.625</v>
      </c>
      <c r="V245" s="246">
        <f>IFERROR(__xludf.DUMMYFUNCTION("""COMPUTED_VALUE"""),390812.49998842593)</f>
        <v>390812.5</v>
      </c>
      <c r="W245" s="246" t="str">
        <f>IFERROR(__xludf.DUMMYFUNCTION("""COMPUTED_VALUE"""),"catchcopy_character_enemy_you_00001.png")</f>
        <v>catchcopy_character_enemy_you_00001.png</v>
      </c>
      <c r="X245" s="246" t="str">
        <f>IFERROR(__xludf.DUMMYFUNCTION("""COMPUTED_VALUE"""),"enemy_icon_enemy_you_00001")</f>
        <v>enemy_icon_enemy_you_00001</v>
      </c>
      <c r="Y245" s="246" t="str">
        <f>IFERROR(__xludf.DUMMYFUNCTION("""COMPUTED_VALUE"""),"boss_icon_enemy_you_00001")</f>
        <v>boss_icon_enemy_you_00001</v>
      </c>
      <c r="Z245" s="246"/>
    </row>
    <row r="246">
      <c r="A246" s="246" t="str">
        <f>IFERROR(__xludf.DUMMYFUNCTION("""COMPUTED_VALUE"""),"you")</f>
        <v>you</v>
      </c>
      <c r="B246" s="246" t="str">
        <f>IFERROR(__xludf.DUMMYFUNCTION("""COMPUTED_VALUE"""),"幼稚園WARS")</f>
        <v>幼稚園WARS</v>
      </c>
      <c r="C246" s="246" t="str">
        <f>IFERROR(__xludf.DUMMYFUNCTION("""COMPUTED_VALUE"""),"00101")</f>
        <v>00101</v>
      </c>
      <c r="D246" s="246" t="str">
        <f>IFERROR(__xludf.DUMMYFUNCTION("""COMPUTED_VALUE"""),"enemy_you_00101")</f>
        <v>enemy_you_00101</v>
      </c>
      <c r="E246" s="246" t="str">
        <f>IFERROR(__xludf.DUMMYFUNCTION("""COMPUTED_VALUE"""),"暗殺者（遠）")</f>
        <v>暗殺者（遠）</v>
      </c>
      <c r="F246" s="246" t="str">
        <f>IFERROR(__xludf.DUMMYFUNCTION("""COMPUTED_VALUE"""),"イケメンじゃない殺し屋")</f>
        <v>イケメンじゃない殺し屋</v>
      </c>
      <c r="G246" s="246" t="str">
        <f>IFERROR(__xludf.DUMMYFUNCTION("""COMPUTED_VALUE"""),"ー")</f>
        <v>ー</v>
      </c>
      <c r="H246" s="246"/>
      <c r="I246" s="246"/>
      <c r="J246" s="246"/>
      <c r="K246" s="246" t="str">
        <f>IFERROR(__xludf.DUMMYFUNCTION("""COMPUTED_VALUE"""),"enemy")</f>
        <v>enemy</v>
      </c>
      <c r="L246" s="246" t="str">
        <f>IFERROR(__xludf.DUMMYFUNCTION("""COMPUTED_VALUE"""),"アタック")</f>
        <v>アタック</v>
      </c>
      <c r="M246" s="246" t="str">
        <f>IFERROR(__xludf.DUMMYFUNCTION("""COMPUTED_VALUE"""),"shageki_1")</f>
        <v>shageki_1</v>
      </c>
      <c r="N246" s="252"/>
      <c r="O246" s="246"/>
      <c r="P246" s="246"/>
      <c r="Q246" s="246" t="str">
        <f>IFERROR(__xludf.DUMMYFUNCTION("""COMPUTED_VALUE"""),"1.27")</f>
        <v>1.27</v>
      </c>
      <c r="R246" s="246" t="str">
        <f>IFERROR(__xludf.DUMMYFUNCTION("""COMPUTED_VALUE"""),"0.56")</f>
        <v>0.56</v>
      </c>
      <c r="S246" s="246" t="str">
        <f>IFERROR(__xludf.DUMMYFUNCTION("""COMPUTED_VALUE"""),"-")</f>
        <v>-</v>
      </c>
      <c r="T246" s="246" t="str">
        <f>IFERROR(__xludf.DUMMYFUNCTION("""COMPUTED_VALUE"""),"-")</f>
        <v>-</v>
      </c>
      <c r="U246" s="246">
        <f>IFERROR(__xludf.DUMMYFUNCTION("""COMPUTED_VALUE"""),46055.625)</f>
        <v>46055.625</v>
      </c>
      <c r="V246" s="246">
        <f>IFERROR(__xludf.DUMMYFUNCTION("""COMPUTED_VALUE"""),390812.49998842593)</f>
        <v>390812.5</v>
      </c>
      <c r="W246" s="246" t="str">
        <f>IFERROR(__xludf.DUMMYFUNCTION("""COMPUTED_VALUE"""),"catchcopy_character_enemy_you_00101.png")</f>
        <v>catchcopy_character_enemy_you_00101.png</v>
      </c>
      <c r="X246" s="246" t="str">
        <f>IFERROR(__xludf.DUMMYFUNCTION("""COMPUTED_VALUE"""),"enemy_icon_enemy_you_00101")</f>
        <v>enemy_icon_enemy_you_00101</v>
      </c>
      <c r="Y246" s="246" t="str">
        <f>IFERROR(__xludf.DUMMYFUNCTION("""COMPUTED_VALUE"""),"boss_icon_enemy_you_00101")</f>
        <v>boss_icon_enemy_you_00101</v>
      </c>
      <c r="Z246" s="246"/>
    </row>
    <row r="247">
      <c r="A247" s="246" t="str">
        <f>IFERROR(__xludf.DUMMYFUNCTION("""COMPUTED_VALUE"""),"kim")</f>
        <v>kim</v>
      </c>
      <c r="B247" s="246" t="str">
        <f>IFERROR(__xludf.DUMMYFUNCTION("""COMPUTED_VALUE"""),"君のことが大大大大大好きな100人の彼女")</f>
        <v>君のことが大大大大大好きな100人の彼女</v>
      </c>
      <c r="C247" s="246" t="str">
        <f>IFERROR(__xludf.DUMMYFUNCTION("""COMPUTED_VALUE"""),"00001")</f>
        <v>00001</v>
      </c>
      <c r="D247" s="246" t="str">
        <f>IFERROR(__xludf.DUMMYFUNCTION("""COMPUTED_VALUE"""),"enemy_kim_00001")</f>
        <v>enemy_kim_00001</v>
      </c>
      <c r="E247" s="246" t="str">
        <f>IFERROR(__xludf.DUMMYFUNCTION("""COMPUTED_VALUE"""),"愛城 恋太郎")</f>
        <v>愛城 恋太郎</v>
      </c>
      <c r="F247" s="246" t="str">
        <f>IFERROR(__xludf.DUMMYFUNCTION("""COMPUTED_VALUE"""),"愛城 恋太郎")</f>
        <v>愛城 恋太郎</v>
      </c>
      <c r="G247" s="246" t="str">
        <f>IFERROR(__xludf.DUMMYFUNCTION("""COMPUTED_VALUE"""),"ー")</f>
        <v>ー</v>
      </c>
      <c r="H247" s="246"/>
      <c r="I247" s="246"/>
      <c r="J247" s="246"/>
      <c r="K247" s="246" t="str">
        <f>IFERROR(__xludf.DUMMYFUNCTION("""COMPUTED_VALUE"""),"enemy")</f>
        <v>enemy</v>
      </c>
      <c r="L247" s="246" t="str">
        <f>IFERROR(__xludf.DUMMYFUNCTION("""COMPUTED_VALUE"""),"アタック")</f>
        <v>アタック</v>
      </c>
      <c r="M247" s="246"/>
      <c r="N247" s="252"/>
      <c r="O247" s="246"/>
      <c r="P247" s="246"/>
      <c r="Q247" s="246" t="str">
        <f>IFERROR(__xludf.DUMMYFUNCTION("""COMPUTED_VALUE"""),"1.27")</f>
        <v>1.27</v>
      </c>
      <c r="R247" s="246" t="str">
        <f>IFERROR(__xludf.DUMMYFUNCTION("""COMPUTED_VALUE"""),"stop有:0.2")</f>
        <v>stop有:0.2</v>
      </c>
      <c r="S247" s="246" t="str">
        <f>IFERROR(__xludf.DUMMYFUNCTION("""COMPUTED_VALUE"""),"-")</f>
        <v>-</v>
      </c>
      <c r="T247" s="246" t="str">
        <f>IFERROR(__xludf.DUMMYFUNCTION("""COMPUTED_VALUE"""),"-")</f>
        <v>-</v>
      </c>
      <c r="U247" s="246">
        <f>IFERROR(__xludf.DUMMYFUNCTION("""COMPUTED_VALUE"""),45658.0)</f>
        <v>45658</v>
      </c>
      <c r="V247" s="246">
        <f>IFERROR(__xludf.DUMMYFUNCTION("""COMPUTED_VALUE"""),390812.49998842593)</f>
        <v>390812.5</v>
      </c>
      <c r="W247" s="246" t="str">
        <f>IFERROR(__xludf.DUMMYFUNCTION("""COMPUTED_VALUE"""),"catchcopy_character_enemy_kim_00001.png")</f>
        <v>catchcopy_character_enemy_kim_00001.png</v>
      </c>
      <c r="X247" s="246" t="str">
        <f>IFERROR(__xludf.DUMMYFUNCTION("""COMPUTED_VALUE"""),"enemy_icon_enemy_kim_00001")</f>
        <v>enemy_icon_enemy_kim_00001</v>
      </c>
      <c r="Y247" s="246" t="str">
        <f>IFERROR(__xludf.DUMMYFUNCTION("""COMPUTED_VALUE"""),"boss_icon_enemy_kim_00001")</f>
        <v>boss_icon_enemy_kim_00001</v>
      </c>
      <c r="Z247" s="246"/>
    </row>
    <row r="248">
      <c r="A248" s="246" t="str">
        <f>IFERROR(__xludf.DUMMYFUNCTION("""COMPUTED_VALUE"""),"kim")</f>
        <v>kim</v>
      </c>
      <c r="B248" s="246" t="str">
        <f>IFERROR(__xludf.DUMMYFUNCTION("""COMPUTED_VALUE"""),"君のことが大大大大大好きな100人の彼女")</f>
        <v>君のことが大大大大大好きな100人の彼女</v>
      </c>
      <c r="C248" s="246" t="str">
        <f>IFERROR(__xludf.DUMMYFUNCTION("""COMPUTED_VALUE"""),"00101")</f>
        <v>00101</v>
      </c>
      <c r="D248" s="246" t="str">
        <f>IFERROR(__xludf.DUMMYFUNCTION("""COMPUTED_VALUE"""),"enemy_kim_00101")</f>
        <v>enemy_kim_00101</v>
      </c>
      <c r="E248" s="246" t="str">
        <f>IFERROR(__xludf.DUMMYFUNCTION("""COMPUTED_VALUE"""),"学生A（男）")</f>
        <v>学生A（男）</v>
      </c>
      <c r="F248" s="246"/>
      <c r="G248" s="246" t="str">
        <f>IFERROR(__xludf.DUMMYFUNCTION("""COMPUTED_VALUE"""),"ー")</f>
        <v>ー</v>
      </c>
      <c r="H248" s="246"/>
      <c r="I248" s="246"/>
      <c r="J248" s="246"/>
      <c r="K248" s="246" t="str">
        <f>IFERROR(__xludf.DUMMYFUNCTION("""COMPUTED_VALUE"""),"enemy")</f>
        <v>enemy</v>
      </c>
      <c r="L248" s="246" t="str">
        <f>IFERROR(__xludf.DUMMYFUNCTION("""COMPUTED_VALUE"""),"アタック")</f>
        <v>アタック</v>
      </c>
      <c r="M248" s="246"/>
      <c r="N248" s="252"/>
      <c r="O248" s="246"/>
      <c r="P248" s="246"/>
      <c r="Q248" s="246"/>
      <c r="R248" s="246"/>
      <c r="S248" s="246" t="str">
        <f>IFERROR(__xludf.DUMMYFUNCTION("""COMPUTED_VALUE"""),"-")</f>
        <v>-</v>
      </c>
      <c r="T248" s="246" t="str">
        <f>IFERROR(__xludf.DUMMYFUNCTION("""COMPUTED_VALUE"""),"-")</f>
        <v>-</v>
      </c>
      <c r="U248" s="246">
        <f>IFERROR(__xludf.DUMMYFUNCTION("""COMPUTED_VALUE"""),45658.0)</f>
        <v>45658</v>
      </c>
      <c r="V248" s="246">
        <f>IFERROR(__xludf.DUMMYFUNCTION("""COMPUTED_VALUE"""),390812.49998842593)</f>
        <v>390812.5</v>
      </c>
      <c r="W248" s="246" t="str">
        <f>IFERROR(__xludf.DUMMYFUNCTION("""COMPUTED_VALUE"""),"catchcopy_character_enemy_kim_00101.png")</f>
        <v>catchcopy_character_enemy_kim_00101.png</v>
      </c>
      <c r="X248" s="246" t="str">
        <f>IFERROR(__xludf.DUMMYFUNCTION("""COMPUTED_VALUE"""),"enemy_icon_enemy_kim_00101")</f>
        <v>enemy_icon_enemy_kim_00101</v>
      </c>
      <c r="Y248" s="246" t="str">
        <f>IFERROR(__xludf.DUMMYFUNCTION("""COMPUTED_VALUE"""),"boss_icon_enemy_kim_00101")</f>
        <v>boss_icon_enemy_kim_00101</v>
      </c>
      <c r="Z248" s="246"/>
    </row>
    <row r="249">
      <c r="A249" s="246" t="str">
        <f>IFERROR(__xludf.DUMMYFUNCTION("""COMPUTED_VALUE"""),"hut")</f>
        <v>hut</v>
      </c>
      <c r="B249" s="246" t="str">
        <f>IFERROR(__xludf.DUMMYFUNCTION("""COMPUTED_VALUE"""),"ふつうの軽音部")</f>
        <v>ふつうの軽音部</v>
      </c>
      <c r="C249" s="246" t="str">
        <f>IFERROR(__xludf.DUMMYFUNCTION("""COMPUTED_VALUE"""),"00001")</f>
        <v>00001</v>
      </c>
      <c r="D249" s="246" t="str">
        <f>IFERROR(__xludf.DUMMYFUNCTION("""COMPUTED_VALUE"""),"enemy_hut_00001")</f>
        <v>enemy_hut_00001</v>
      </c>
      <c r="E249" s="246" t="str">
        <f>IFERROR(__xludf.DUMMYFUNCTION("""COMPUTED_VALUE"""),"鷹見 項希")</f>
        <v>鷹見 項希</v>
      </c>
      <c r="F249" s="246" t="str">
        <f>IFERROR(__xludf.DUMMYFUNCTION("""COMPUTED_VALUE"""),"鷹見 項希")</f>
        <v>鷹見 項希</v>
      </c>
      <c r="G249" s="246" t="str">
        <f>IFERROR(__xludf.DUMMYFUNCTION("""COMPUTED_VALUE"""),"ー")</f>
        <v>ー</v>
      </c>
      <c r="H249" s="246"/>
      <c r="I249" s="246"/>
      <c r="J249" s="246"/>
      <c r="K249" s="246" t="str">
        <f>IFERROR(__xludf.DUMMYFUNCTION("""COMPUTED_VALUE"""),"enemy")</f>
        <v>enemy</v>
      </c>
      <c r="L249" s="246" t="str">
        <f>IFERROR(__xludf.DUMMYFUNCTION("""COMPUTED_VALUE"""),"アタック")</f>
        <v>アタック</v>
      </c>
      <c r="M249" s="246"/>
      <c r="N249" s="252"/>
      <c r="O249" s="246"/>
      <c r="P249" s="246"/>
      <c r="Q249" s="246" t="str">
        <f>IFERROR(__xludf.DUMMYFUNCTION("""COMPUTED_VALUE"""),"1.37")</f>
        <v>1.37</v>
      </c>
      <c r="R249" s="246" t="str">
        <f>IFERROR(__xludf.DUMMYFUNCTION("""COMPUTED_VALUE"""),"stop有:0.51")</f>
        <v>stop有:0.51</v>
      </c>
      <c r="S249" s="246" t="str">
        <f>IFERROR(__xludf.DUMMYFUNCTION("""COMPUTED_VALUE"""),"-")</f>
        <v>-</v>
      </c>
      <c r="T249" s="246" t="str">
        <f>IFERROR(__xludf.DUMMYFUNCTION("""COMPUTED_VALUE"""),"-")</f>
        <v>-</v>
      </c>
      <c r="U249" s="246">
        <f>IFERROR(__xludf.DUMMYFUNCTION("""COMPUTED_VALUE"""),45658.0)</f>
        <v>45658</v>
      </c>
      <c r="V249" s="246">
        <f>IFERROR(__xludf.DUMMYFUNCTION("""COMPUTED_VALUE"""),390812.49998842593)</f>
        <v>390812.5</v>
      </c>
      <c r="W249" s="246" t="str">
        <f>IFERROR(__xludf.DUMMYFUNCTION("""COMPUTED_VALUE"""),"catchcopy_character_enemy_hut_00001.png")</f>
        <v>catchcopy_character_enemy_hut_00001.png</v>
      </c>
      <c r="X249" s="246" t="str">
        <f>IFERROR(__xludf.DUMMYFUNCTION("""COMPUTED_VALUE"""),"enemy_icon_enemy_hut_00001")</f>
        <v>enemy_icon_enemy_hut_00001</v>
      </c>
      <c r="Y249" s="246" t="str">
        <f>IFERROR(__xludf.DUMMYFUNCTION("""COMPUTED_VALUE"""),"boss_icon_enemy_hut_00001")</f>
        <v>boss_icon_enemy_hut_00001</v>
      </c>
      <c r="Z249" s="246"/>
    </row>
    <row r="250">
      <c r="A250" s="246" t="str">
        <f>IFERROR(__xludf.DUMMYFUNCTION("""COMPUTED_VALUE"""),"hut")</f>
        <v>hut</v>
      </c>
      <c r="B250" s="246" t="str">
        <f>IFERROR(__xludf.DUMMYFUNCTION("""COMPUTED_VALUE"""),"ふつうの軽音部")</f>
        <v>ふつうの軽音部</v>
      </c>
      <c r="C250" s="246" t="str">
        <f>IFERROR(__xludf.DUMMYFUNCTION("""COMPUTED_VALUE"""),"00101")</f>
        <v>00101</v>
      </c>
      <c r="D250" s="246" t="str">
        <f>IFERROR(__xludf.DUMMYFUNCTION("""COMPUTED_VALUE"""),"enemy_hut_00101")</f>
        <v>enemy_hut_00101</v>
      </c>
      <c r="E250" s="246" t="str">
        <f>IFERROR(__xludf.DUMMYFUNCTION("""COMPUTED_VALUE"""),"学生B")</f>
        <v>学生B</v>
      </c>
      <c r="F250" s="246" t="str">
        <f>IFERROR(__xludf.DUMMYFUNCTION("""COMPUTED_VALUE"""),"学生A")</f>
        <v>学生A</v>
      </c>
      <c r="G250" s="246" t="str">
        <f>IFERROR(__xludf.DUMMYFUNCTION("""COMPUTED_VALUE"""),"ー")</f>
        <v>ー</v>
      </c>
      <c r="H250" s="246"/>
      <c r="I250" s="246"/>
      <c r="J250" s="246"/>
      <c r="K250" s="246" t="str">
        <f>IFERROR(__xludf.DUMMYFUNCTION("""COMPUTED_VALUE"""),"enemy")</f>
        <v>enemy</v>
      </c>
      <c r="L250" s="246" t="str">
        <f>IFERROR(__xludf.DUMMYFUNCTION("""COMPUTED_VALUE"""),"アタック")</f>
        <v>アタック</v>
      </c>
      <c r="M250" s="246"/>
      <c r="N250" s="252"/>
      <c r="O250" s="246"/>
      <c r="P250" s="246"/>
      <c r="Q250" s="246" t="str">
        <f>IFERROR(__xludf.DUMMYFUNCTION("""COMPUTED_VALUE"""),"1.28")</f>
        <v>1.28</v>
      </c>
      <c r="R250" s="246" t="str">
        <f>IFERROR(__xludf.DUMMYFUNCTION("""COMPUTED_VALUE"""),"stop有:0.25")</f>
        <v>stop有:0.25</v>
      </c>
      <c r="S250" s="246" t="str">
        <f>IFERROR(__xludf.DUMMYFUNCTION("""COMPUTED_VALUE"""),"-")</f>
        <v>-</v>
      </c>
      <c r="T250" s="246" t="str">
        <f>IFERROR(__xludf.DUMMYFUNCTION("""COMPUTED_VALUE"""),"-")</f>
        <v>-</v>
      </c>
      <c r="U250" s="246">
        <f>IFERROR(__xludf.DUMMYFUNCTION("""COMPUTED_VALUE"""),45658.0)</f>
        <v>45658</v>
      </c>
      <c r="V250" s="246">
        <f>IFERROR(__xludf.DUMMYFUNCTION("""COMPUTED_VALUE"""),390812.49998842593)</f>
        <v>390812.5</v>
      </c>
      <c r="W250" s="246" t="str">
        <f>IFERROR(__xludf.DUMMYFUNCTION("""COMPUTED_VALUE"""),"catchcopy_character_enemy_hut_00101.png")</f>
        <v>catchcopy_character_enemy_hut_00101.png</v>
      </c>
      <c r="X250" s="246" t="str">
        <f>IFERROR(__xludf.DUMMYFUNCTION("""COMPUTED_VALUE"""),"enemy_icon_enemy_hut_00101")</f>
        <v>enemy_icon_enemy_hut_00101</v>
      </c>
      <c r="Y250" s="246" t="str">
        <f>IFERROR(__xludf.DUMMYFUNCTION("""COMPUTED_VALUE"""),"boss_icon_enemy_hut_00101")</f>
        <v>boss_icon_enemy_hut_00101</v>
      </c>
      <c r="Z250" s="246"/>
    </row>
    <row r="251">
      <c r="A251" s="246" t="str">
        <f>IFERROR(__xludf.DUMMYFUNCTION("""COMPUTED_VALUE"""),"aya")</f>
        <v>aya</v>
      </c>
      <c r="B251" s="246" t="str">
        <f>IFERROR(__xludf.DUMMYFUNCTION("""COMPUTED_VALUE"""),"あやかしトライアングル")</f>
        <v>あやかしトライアングル</v>
      </c>
      <c r="C251" s="246" t="str">
        <f>IFERROR(__xludf.DUMMYFUNCTION("""COMPUTED_VALUE"""),"00001")</f>
        <v>00001</v>
      </c>
      <c r="D251" s="246" t="str">
        <f>IFERROR(__xludf.DUMMYFUNCTION("""COMPUTED_VALUE"""),"enemy_aya_00001")</f>
        <v>enemy_aya_00001</v>
      </c>
      <c r="E251" s="246" t="str">
        <f>IFERROR(__xludf.DUMMYFUNCTION("""COMPUTED_VALUE"""),"シロガネ")</f>
        <v>シロガネ</v>
      </c>
      <c r="F251" s="246" t="str">
        <f>IFERROR(__xludf.DUMMYFUNCTION("""COMPUTED_VALUE"""),"シロガネ")</f>
        <v>シロガネ</v>
      </c>
      <c r="G251" s="246" t="str">
        <f>IFERROR(__xludf.DUMMYFUNCTION("""COMPUTED_VALUE"""),"ー")</f>
        <v>ー</v>
      </c>
      <c r="H251" s="246"/>
      <c r="I251" s="246"/>
      <c r="J251" s="246"/>
      <c r="K251" s="246" t="str">
        <f>IFERROR(__xludf.DUMMYFUNCTION("""COMPUTED_VALUE"""),"enemy")</f>
        <v>enemy</v>
      </c>
      <c r="L251" s="246" t="str">
        <f>IFERROR(__xludf.DUMMYFUNCTION("""COMPUTED_VALUE"""),"アタック")</f>
        <v>アタック</v>
      </c>
      <c r="M251" s="246"/>
      <c r="N251" s="252"/>
      <c r="O251" s="246"/>
      <c r="P251" s="246"/>
      <c r="Q251" s="246"/>
      <c r="R251" s="246" t="str">
        <f>IFERROR(__xludf.DUMMYFUNCTION("""COMPUTED_VALUE"""),"stop有:0.63")</f>
        <v>stop有:0.63</v>
      </c>
      <c r="S251" s="246" t="str">
        <f>IFERROR(__xludf.DUMMYFUNCTION("""COMPUTED_VALUE"""),"-")</f>
        <v>-</v>
      </c>
      <c r="T251" s="246" t="str">
        <f>IFERROR(__xludf.DUMMYFUNCTION("""COMPUTED_VALUE"""),"-")</f>
        <v>-</v>
      </c>
      <c r="U251" s="246" t="str">
        <f>IFERROR(__xludf.DUMMYFUNCTION("""COMPUTED_VALUE"""),"2026/04/中旬")</f>
        <v>2026/04/中旬</v>
      </c>
      <c r="V251" s="246">
        <f>IFERROR(__xludf.DUMMYFUNCTION("""COMPUTED_VALUE"""),390812.49998842593)</f>
        <v>390812.5</v>
      </c>
      <c r="W251" s="246" t="str">
        <f>IFERROR(__xludf.DUMMYFUNCTION("""COMPUTED_VALUE"""),"catchcopy_character_enemy_aya_00001.png")</f>
        <v>catchcopy_character_enemy_aya_00001.png</v>
      </c>
      <c r="X251" s="246" t="str">
        <f>IFERROR(__xludf.DUMMYFUNCTION("""COMPUTED_VALUE"""),"enemy_icon_enemy_aya_00001")</f>
        <v>enemy_icon_enemy_aya_00001</v>
      </c>
      <c r="Y251" s="246" t="str">
        <f>IFERROR(__xludf.DUMMYFUNCTION("""COMPUTED_VALUE"""),"boss_icon_enemy_aya_00001")</f>
        <v>boss_icon_enemy_aya_00001</v>
      </c>
      <c r="Z251" s="246"/>
    </row>
    <row r="252">
      <c r="A252" s="246" t="str">
        <f>IFERROR(__xludf.DUMMYFUNCTION("""COMPUTED_VALUE"""),"mar")</f>
        <v>mar</v>
      </c>
      <c r="B252" s="246" t="str">
        <f>IFERROR(__xludf.DUMMYFUNCTION("""COMPUTED_VALUE"""),"マリッジトキシン")</f>
        <v>マリッジトキシン</v>
      </c>
      <c r="C252" s="246" t="str">
        <f>IFERROR(__xludf.DUMMYFUNCTION("""COMPUTED_VALUE"""),"00001")</f>
        <v>00001</v>
      </c>
      <c r="D252" s="246" t="str">
        <f>IFERROR(__xludf.DUMMYFUNCTION("""COMPUTED_VALUE"""),"enemy_mar_00001")</f>
        <v>enemy_mar_00001</v>
      </c>
      <c r="E252" s="246" t="str">
        <f>IFERROR(__xludf.DUMMYFUNCTION("""COMPUTED_VALUE"""),"水使い")</f>
        <v>水使い</v>
      </c>
      <c r="F252" s="246" t="str">
        <f>IFERROR(__xludf.DUMMYFUNCTION("""COMPUTED_VALUE"""),"水使い 潮")</f>
        <v>水使い 潮</v>
      </c>
      <c r="G252" s="246" t="str">
        <f>IFERROR(__xludf.DUMMYFUNCTION("""COMPUTED_VALUE"""),"ー")</f>
        <v>ー</v>
      </c>
      <c r="H252" s="246"/>
      <c r="I252" s="246"/>
      <c r="J252" s="246"/>
      <c r="K252" s="246" t="str">
        <f>IFERROR(__xludf.DUMMYFUNCTION("""COMPUTED_VALUE"""),"enemy")</f>
        <v>enemy</v>
      </c>
      <c r="L252" s="246" t="str">
        <f>IFERROR(__xludf.DUMMYFUNCTION("""COMPUTED_VALUE"""),"アタック")</f>
        <v>アタック</v>
      </c>
      <c r="M252" s="246" t="str">
        <f>IFERROR(__xludf.DUMMYFUNCTION("""COMPUTED_VALUE"""),"dageki_1")</f>
        <v>dageki_1</v>
      </c>
      <c r="N252" s="252"/>
      <c r="O252" s="246"/>
      <c r="P252" s="246"/>
      <c r="Q252" s="246" t="str">
        <f>IFERROR(__xludf.DUMMYFUNCTION("""COMPUTED_VALUE"""),"1.22")</f>
        <v>1.22</v>
      </c>
      <c r="R252" s="246" t="str">
        <f>IFERROR(__xludf.DUMMYFUNCTION("""COMPUTED_VALUE"""),"stop無:1回目 0.28
stop無:2回目 0.46
stop無:3回目 0.66
stop有:4回目 0.76")</f>
        <v>stop無:1回目 0.28
stop無:2回目 0.46
stop無:3回目 0.66
stop有:4回目 0.76</v>
      </c>
      <c r="S252" s="246" t="str">
        <f>IFERROR(__xludf.DUMMYFUNCTION("""COMPUTED_VALUE"""),"-")</f>
        <v>-</v>
      </c>
      <c r="T252" s="246" t="str">
        <f>IFERROR(__xludf.DUMMYFUNCTION("""COMPUTED_VALUE"""),"-")</f>
        <v>-</v>
      </c>
      <c r="U252" s="246" t="str">
        <f>IFERROR(__xludf.DUMMYFUNCTION("""COMPUTED_VALUE"""),"2026/05/上旬マリッジトキシン")</f>
        <v>2026/05/上旬マリッジトキシン</v>
      </c>
      <c r="V252" s="246">
        <f>IFERROR(__xludf.DUMMYFUNCTION("""COMPUTED_VALUE"""),390812.49998842593)</f>
        <v>390812.5</v>
      </c>
      <c r="W252" s="246" t="str">
        <f>IFERROR(__xludf.DUMMYFUNCTION("""COMPUTED_VALUE"""),"catchcopy_character_enemy_mar_00001.png")</f>
        <v>catchcopy_character_enemy_mar_00001.png</v>
      </c>
      <c r="X252" s="246" t="str">
        <f>IFERROR(__xludf.DUMMYFUNCTION("""COMPUTED_VALUE"""),"enemy_icon_enemy_mar_00001")</f>
        <v>enemy_icon_enemy_mar_00001</v>
      </c>
      <c r="Y252" s="246" t="str">
        <f>IFERROR(__xludf.DUMMYFUNCTION("""COMPUTED_VALUE"""),"boss_icon_enemy_mar_00001")</f>
        <v>boss_icon_enemy_mar_00001</v>
      </c>
      <c r="Z252" s="246"/>
    </row>
    <row r="253">
      <c r="A253" s="246" t="str">
        <f>IFERROR(__xludf.DUMMYFUNCTION("""COMPUTED_VALUE"""),"mad")</f>
        <v>mad</v>
      </c>
      <c r="B253" s="246" t="str">
        <f>IFERROR(__xludf.DUMMYFUNCTION("""COMPUTED_VALUE"""),"MAD")</f>
        <v>MAD</v>
      </c>
      <c r="C253" s="246" t="str">
        <f>IFERROR(__xludf.DUMMYFUNCTION("""COMPUTED_VALUE"""),"00001")</f>
        <v>00001</v>
      </c>
      <c r="D253" s="246" t="str">
        <f>IFERROR(__xludf.DUMMYFUNCTION("""COMPUTED_VALUE"""),"enemy_mad_00001")</f>
        <v>enemy_mad_00001</v>
      </c>
      <c r="E253" s="246" t="str">
        <f>IFERROR(__xludf.DUMMYFUNCTION("""COMPUTED_VALUE"""),"エイリアン")</f>
        <v>エイリアン</v>
      </c>
      <c r="F253" s="246"/>
      <c r="G253" s="246"/>
      <c r="H253" s="246"/>
      <c r="I253" s="246"/>
      <c r="J253" s="246"/>
      <c r="K253" s="246" t="str">
        <f>IFERROR(__xludf.DUMMYFUNCTION("""COMPUTED_VALUE"""),"enemy")</f>
        <v>enemy</v>
      </c>
      <c r="L253" s="246" t="str">
        <f>IFERROR(__xludf.DUMMYFUNCTION("""COMPUTED_VALUE"""),"アタック")</f>
        <v>アタック</v>
      </c>
      <c r="M253" s="246"/>
      <c r="N253" s="252"/>
      <c r="O253" s="246"/>
      <c r="P253" s="246"/>
      <c r="Q253" s="246" t="str">
        <f>IFERROR(__xludf.DUMMYFUNCTION("""COMPUTED_VALUE"""),"1.63")</f>
        <v>1.63</v>
      </c>
      <c r="R253" s="246" t="str">
        <f>IFERROR(__xludf.DUMMYFUNCTION("""COMPUTED_VALUE"""),"stop有:0.7")</f>
        <v>stop有:0.7</v>
      </c>
      <c r="S253" s="246" t="str">
        <f>IFERROR(__xludf.DUMMYFUNCTION("""COMPUTED_VALUE"""),"-")</f>
        <v>-</v>
      </c>
      <c r="T253" s="246" t="str">
        <f>IFERROR(__xludf.DUMMYFUNCTION("""COMPUTED_VALUE"""),"-")</f>
        <v>-</v>
      </c>
      <c r="U253" s="246" t="str">
        <f>IFERROR(__xludf.DUMMYFUNCTION("""COMPUTED_VALUE"""),"26/06上旬MAD")</f>
        <v>26/06上旬MAD</v>
      </c>
      <c r="V253" s="246">
        <f>IFERROR(__xludf.DUMMYFUNCTION("""COMPUTED_VALUE"""),390812.49998842593)</f>
        <v>390812.5</v>
      </c>
      <c r="W253" s="246" t="str">
        <f>IFERROR(__xludf.DUMMYFUNCTION("""COMPUTED_VALUE"""),"catchcopy_character_enemy_mad_00001.png")</f>
        <v>catchcopy_character_enemy_mad_00001.png</v>
      </c>
      <c r="X253" s="246" t="str">
        <f>IFERROR(__xludf.DUMMYFUNCTION("""COMPUTED_VALUE"""),"enemy_icon_enemy_mad_00001")</f>
        <v>enemy_icon_enemy_mad_00001</v>
      </c>
      <c r="Y253" s="246" t="str">
        <f>IFERROR(__xludf.DUMMYFUNCTION("""COMPUTED_VALUE"""),"boss_icon_enemy_mad_00001")</f>
        <v>boss_icon_enemy_mad_00001</v>
      </c>
      <c r="Z253" s="246"/>
    </row>
    <row r="254">
      <c r="A254" s="246" t="str">
        <f>IFERROR(__xludf.DUMMYFUNCTION("""COMPUTED_VALUE"""),"syu")</f>
        <v>syu</v>
      </c>
      <c r="B254" s="246" t="str">
        <f>IFERROR(__xludf.DUMMYFUNCTION("""COMPUTED_VALUE"""),"終末のハーレム")</f>
        <v>終末のハーレム</v>
      </c>
      <c r="C254" s="246" t="str">
        <f>IFERROR(__xludf.DUMMYFUNCTION("""COMPUTED_VALUE"""),"00001")</f>
        <v>00001</v>
      </c>
      <c r="D254" s="246" t="str">
        <f>IFERROR(__xludf.DUMMYFUNCTION("""COMPUTED_VALUE"""),"enemy_syu_00001")</f>
        <v>enemy_syu_00001</v>
      </c>
      <c r="E254" s="246" t="str">
        <f>IFERROR(__xludf.DUMMYFUNCTION("""COMPUTED_VALUE"""),"水原 怜人")</f>
        <v>水原 怜人</v>
      </c>
      <c r="F254" s="246"/>
      <c r="G254" s="246"/>
      <c r="H254" s="246"/>
      <c r="I254" s="246"/>
      <c r="J254" s="246"/>
      <c r="K254" s="246" t="str">
        <f>IFERROR(__xludf.DUMMYFUNCTION("""COMPUTED_VALUE"""),"enemy")</f>
        <v>enemy</v>
      </c>
      <c r="L254" s="246" t="str">
        <f>IFERROR(__xludf.DUMMYFUNCTION("""COMPUTED_VALUE"""),"アタック")</f>
        <v>アタック</v>
      </c>
      <c r="M254" s="246"/>
      <c r="N254" s="252"/>
      <c r="O254" s="246"/>
      <c r="P254" s="246"/>
      <c r="Q254" s="246" t="str">
        <f>IFERROR(__xludf.DUMMYFUNCTION("""COMPUTED_VALUE"""),"1.57")</f>
        <v>1.57</v>
      </c>
      <c r="R254" s="246" t="str">
        <f>IFERROR(__xludf.DUMMYFUNCTION("""COMPUTED_VALUE"""),"stop有:0.58")</f>
        <v>stop有:0.58</v>
      </c>
      <c r="S254" s="246"/>
      <c r="T254" s="246"/>
      <c r="U254" s="246" t="str">
        <f>IFERROR(__xludf.DUMMYFUNCTION("""COMPUTED_VALUE"""),"26/06中旬ジュンブラ")</f>
        <v>26/06中旬ジュンブラ</v>
      </c>
      <c r="V254" s="246">
        <f>IFERROR(__xludf.DUMMYFUNCTION("""COMPUTED_VALUE"""),390812.49998842593)</f>
        <v>390812.5</v>
      </c>
      <c r="W254" s="246" t="str">
        <f>IFERROR(__xludf.DUMMYFUNCTION("""COMPUTED_VALUE"""),"catchcopy_character_enemy_syu_00001.png")</f>
        <v>catchcopy_character_enemy_syu_00001.png</v>
      </c>
      <c r="X254" s="246" t="str">
        <f>IFERROR(__xludf.DUMMYFUNCTION("""COMPUTED_VALUE"""),"enemy_icon_enemy_syu_00001")</f>
        <v>enemy_icon_enemy_syu_00001</v>
      </c>
      <c r="Y254" s="246" t="str">
        <f>IFERROR(__xludf.DUMMYFUNCTION("""COMPUTED_VALUE"""),"boss_icon_enemy_syu_00001")</f>
        <v>boss_icon_enemy_syu_00001</v>
      </c>
      <c r="Z254" s="246"/>
    </row>
    <row r="255">
      <c r="A255" s="246" t="str">
        <f>IFERROR(__xludf.DUMMYFUNCTION("""COMPUTED_VALUE"""),"aft")</f>
        <v>aft</v>
      </c>
      <c r="B255" s="246" t="str">
        <f>IFERROR(__xludf.DUMMYFUNCTION("""COMPUTED_VALUE"""),"終末のハーレム After World")</f>
        <v>終末のハーレム After World</v>
      </c>
      <c r="C255" s="246" t="str">
        <f>IFERROR(__xludf.DUMMYFUNCTION("""COMPUTED_VALUE"""),"00001")</f>
        <v>00001</v>
      </c>
      <c r="D255" s="246" t="str">
        <f>IFERROR(__xludf.DUMMYFUNCTION("""COMPUTED_VALUE"""),"enemy_aft_00001")</f>
        <v>enemy_aft_00001</v>
      </c>
      <c r="E255" s="246" t="str">
        <f>IFERROR(__xludf.DUMMYFUNCTION("""COMPUTED_VALUE"""),"金村 陸")</f>
        <v>金村 陸</v>
      </c>
      <c r="F255" s="246"/>
      <c r="G255" s="246"/>
      <c r="H255" s="246"/>
      <c r="I255" s="246"/>
      <c r="J255" s="246"/>
      <c r="K255" s="246" t="str">
        <f>IFERROR(__xludf.DUMMYFUNCTION("""COMPUTED_VALUE"""),"enemy")</f>
        <v>enemy</v>
      </c>
      <c r="L255" s="246" t="str">
        <f>IFERROR(__xludf.DUMMYFUNCTION("""COMPUTED_VALUE"""),"アタック")</f>
        <v>アタック</v>
      </c>
      <c r="M255" s="246"/>
      <c r="N255" s="252"/>
      <c r="O255" s="246"/>
      <c r="P255" s="246"/>
      <c r="Q255" s="246" t="str">
        <f>IFERROR(__xludf.DUMMYFUNCTION("""COMPUTED_VALUE"""),"1.57")</f>
        <v>1.57</v>
      </c>
      <c r="R255" s="246" t="str">
        <f>IFERROR(__xludf.DUMMYFUNCTION("""COMPUTED_VALUE"""),"stop有:0.41")</f>
        <v>stop有:0.41</v>
      </c>
      <c r="S255" s="246"/>
      <c r="T255" s="246"/>
      <c r="U255" s="246" t="str">
        <f>IFERROR(__xludf.DUMMYFUNCTION("""COMPUTED_VALUE"""),"26/06中旬ジュンブラ")</f>
        <v>26/06中旬ジュンブラ</v>
      </c>
      <c r="V255" s="246">
        <f>IFERROR(__xludf.DUMMYFUNCTION("""COMPUTED_VALUE"""),390812.49998842593)</f>
        <v>390812.5</v>
      </c>
      <c r="W255" s="246" t="str">
        <f>IFERROR(__xludf.DUMMYFUNCTION("""COMPUTED_VALUE"""),"catchcopy_character_enemy_aft_00001.png")</f>
        <v>catchcopy_character_enemy_aft_00001.png</v>
      </c>
      <c r="X255" s="246" t="str">
        <f>IFERROR(__xludf.DUMMYFUNCTION("""COMPUTED_VALUE"""),"enemy_icon_enemy_aft_00001")</f>
        <v>enemy_icon_enemy_aft_00001</v>
      </c>
      <c r="Y255" s="246" t="str">
        <f>IFERROR(__xludf.DUMMYFUNCTION("""COMPUTED_VALUE"""),"boss_icon_enemy_aft_00001")</f>
        <v>boss_icon_enemy_aft_00001</v>
      </c>
      <c r="Z255" s="246"/>
    </row>
    <row r="256">
      <c r="A256" s="246" t="str">
        <f>IFERROR(__xludf.DUMMYFUNCTION("""COMPUTED_VALUE"""),"kut")</f>
        <v>kut</v>
      </c>
      <c r="B256" s="246" t="str">
        <f>IFERROR(__xludf.DUMMYFUNCTION("""COMPUTED_VALUE"""),"口が裂けても君には")</f>
        <v>口が裂けても君には</v>
      </c>
      <c r="C256" s="246" t="str">
        <f>IFERROR(__xludf.DUMMYFUNCTION("""COMPUTED_VALUE"""),"00001")</f>
        <v>00001</v>
      </c>
      <c r="D256" s="246" t="str">
        <f>IFERROR(__xludf.DUMMYFUNCTION("""COMPUTED_VALUE"""),"enemy_kut_00001")</f>
        <v>enemy_kut_00001</v>
      </c>
      <c r="E256" s="246" t="str">
        <f>IFERROR(__xludf.DUMMYFUNCTION("""COMPUTED_VALUE"""),"茶乃 紅一")</f>
        <v>茶乃 紅一</v>
      </c>
      <c r="F256" s="246"/>
      <c r="G256" s="246"/>
      <c r="H256" s="246"/>
      <c r="I256" s="246"/>
      <c r="J256" s="246"/>
      <c r="K256" s="246" t="str">
        <f>IFERROR(__xludf.DUMMYFUNCTION("""COMPUTED_VALUE"""),"enemy")</f>
        <v>enemy</v>
      </c>
      <c r="L256" s="246" t="str">
        <f>IFERROR(__xludf.DUMMYFUNCTION("""COMPUTED_VALUE"""),"ディフェンス")</f>
        <v>ディフェンス</v>
      </c>
      <c r="M256" s="246"/>
      <c r="N256" s="252"/>
      <c r="O256" s="246"/>
      <c r="P256" s="246"/>
      <c r="Q256" s="246" t="str">
        <f>IFERROR(__xludf.DUMMYFUNCTION("""COMPUTED_VALUE"""),"1.55")</f>
        <v>1.55</v>
      </c>
      <c r="R256" s="246" t="str">
        <f>IFERROR(__xludf.DUMMYFUNCTION("""COMPUTED_VALUE"""),"stop有:0.55")</f>
        <v>stop有:0.55</v>
      </c>
      <c r="S256" s="246"/>
      <c r="T256" s="246"/>
      <c r="U256" s="246" t="str">
        <f>IFERROR(__xludf.DUMMYFUNCTION("""COMPUTED_VALUE"""),"26/06中旬ジュンブラ")</f>
        <v>26/06中旬ジュンブラ</v>
      </c>
      <c r="V256" s="246">
        <f>IFERROR(__xludf.DUMMYFUNCTION("""COMPUTED_VALUE"""),390812.49998842593)</f>
        <v>390812.5</v>
      </c>
      <c r="W256" s="246" t="str">
        <f>IFERROR(__xludf.DUMMYFUNCTION("""COMPUTED_VALUE"""),"catchcopy_character_enemy_kut_00001.png")</f>
        <v>catchcopy_character_enemy_kut_00001.png</v>
      </c>
      <c r="X256" s="246" t="str">
        <f>IFERROR(__xludf.DUMMYFUNCTION("""COMPUTED_VALUE"""),"enemy_icon_enemy_kut_00001")</f>
        <v>enemy_icon_enemy_kut_00001</v>
      </c>
      <c r="Y256" s="246" t="str">
        <f>IFERROR(__xludf.DUMMYFUNCTION("""COMPUTED_VALUE"""),"boss_icon_enemy_kut_00001")</f>
        <v>boss_icon_enemy_kut_00001</v>
      </c>
      <c r="Z256" s="246"/>
    </row>
    <row r="257">
      <c r="A257" s="246" t="str">
        <f>IFERROR(__xludf.DUMMYFUNCTION("""COMPUTED_VALUE"""),"kai")</f>
        <v>kai</v>
      </c>
      <c r="B257" s="246" t="str">
        <f>IFERROR(__xludf.DUMMYFUNCTION("""COMPUTED_VALUE"""),"怪獣８号")</f>
        <v>怪獣８号</v>
      </c>
      <c r="C257" s="246" t="str">
        <f>IFERROR(__xludf.DUMMYFUNCTION("""COMPUTED_VALUE"""),"00002")</f>
        <v>00002</v>
      </c>
      <c r="D257" s="246" t="str">
        <f>IFERROR(__xludf.DUMMYFUNCTION("""COMPUTED_VALUE"""),"enemy_kai_00002")</f>
        <v>enemy_kai_00002</v>
      </c>
      <c r="E257" s="246" t="str">
        <f>IFERROR(__xludf.DUMMYFUNCTION("""COMPUTED_VALUE"""),"本獣(8巻ver.)")</f>
        <v>本獣(8巻ver.)</v>
      </c>
      <c r="F257" s="246"/>
      <c r="G257" s="246"/>
      <c r="H257" s="246"/>
      <c r="I257" s="246"/>
      <c r="J257" s="246"/>
      <c r="K257" s="246" t="str">
        <f>IFERROR(__xludf.DUMMYFUNCTION("""COMPUTED_VALUE"""),"enemy")</f>
        <v>enemy</v>
      </c>
      <c r="L257" s="246" t="str">
        <f>IFERROR(__xludf.DUMMYFUNCTION("""COMPUTED_VALUE"""),"アタック")</f>
        <v>アタック</v>
      </c>
      <c r="M257" s="246"/>
      <c r="N257" s="252"/>
      <c r="O257" s="246"/>
      <c r="P257" s="246"/>
      <c r="Q257" s="246"/>
      <c r="R257" s="246"/>
      <c r="S257" s="246"/>
      <c r="T257" s="246"/>
      <c r="U257" s="246" t="str">
        <f>IFERROR(__xludf.DUMMYFUNCTION("""COMPUTED_VALUE"""),"26/07上旬怪獣8号")</f>
        <v>26/07上旬怪獣8号</v>
      </c>
      <c r="V257" s="246">
        <f>IFERROR(__xludf.DUMMYFUNCTION("""COMPUTED_VALUE"""),390812.49998842593)</f>
        <v>390812.5</v>
      </c>
      <c r="W257" s="246" t="str">
        <f>IFERROR(__xludf.DUMMYFUNCTION("""COMPUTED_VALUE"""),"catchcopy_character_enemy_kai_00002.png")</f>
        <v>catchcopy_character_enemy_kai_00002.png</v>
      </c>
      <c r="X257" s="246" t="str">
        <f>IFERROR(__xludf.DUMMYFUNCTION("""COMPUTED_VALUE"""),"enemy_icon_enemy_kai_00002")</f>
        <v>enemy_icon_enemy_kai_00002</v>
      </c>
      <c r="Y257" s="246" t="str">
        <f>IFERROR(__xludf.DUMMYFUNCTION("""COMPUTED_VALUE"""),"boss_icon_enemy_kai_00002")</f>
        <v>boss_icon_enemy_kai_00002</v>
      </c>
      <c r="Z257" s="246"/>
    </row>
    <row r="258">
      <c r="A258" s="246" t="str">
        <f>IFERROR(__xludf.DUMMYFUNCTION("""COMPUTED_VALUE"""),"kai")</f>
        <v>kai</v>
      </c>
      <c r="B258" s="246" t="str">
        <f>IFERROR(__xludf.DUMMYFUNCTION("""COMPUTED_VALUE"""),"怪獣８号")</f>
        <v>怪獣８号</v>
      </c>
      <c r="C258" s="246" t="str">
        <f>IFERROR(__xludf.DUMMYFUNCTION("""COMPUTED_VALUE"""),"00501")</f>
        <v>00501</v>
      </c>
      <c r="D258" s="246" t="str">
        <f>IFERROR(__xludf.DUMMYFUNCTION("""COMPUTED_VALUE"""),"enemy_kai_00501")</f>
        <v>enemy_kai_00501</v>
      </c>
      <c r="E258" s="246" t="str">
        <f>IFERROR(__xludf.DUMMYFUNCTION("""COMPUTED_VALUE"""),"怪獣9号(差分)")</f>
        <v>怪獣9号(差分)</v>
      </c>
      <c r="F258" s="246"/>
      <c r="G258" s="246"/>
      <c r="H258" s="246"/>
      <c r="I258" s="246"/>
      <c r="J258" s="246"/>
      <c r="K258" s="246" t="str">
        <f>IFERROR(__xludf.DUMMYFUNCTION("""COMPUTED_VALUE"""),"enemy")</f>
        <v>enemy</v>
      </c>
      <c r="L258" s="246" t="str">
        <f>IFERROR(__xludf.DUMMYFUNCTION("""COMPUTED_VALUE"""),"アタック")</f>
        <v>アタック</v>
      </c>
      <c r="M258" s="246"/>
      <c r="N258" s="252"/>
      <c r="O258" s="246"/>
      <c r="P258" s="246"/>
      <c r="Q258" s="246"/>
      <c r="R258" s="246"/>
      <c r="S258" s="246"/>
      <c r="T258" s="246"/>
      <c r="U258" s="246" t="str">
        <f>IFERROR(__xludf.DUMMYFUNCTION("""COMPUTED_VALUE"""),"26/07上旬怪獣8号")</f>
        <v>26/07上旬怪獣8号</v>
      </c>
      <c r="V258" s="246">
        <f>IFERROR(__xludf.DUMMYFUNCTION("""COMPUTED_VALUE"""),390812.49998842593)</f>
        <v>390812.5</v>
      </c>
      <c r="W258" s="246" t="str">
        <f>IFERROR(__xludf.DUMMYFUNCTION("""COMPUTED_VALUE"""),"catchcopy_character_enemy_kai_00501.png")</f>
        <v>catchcopy_character_enemy_kai_00501.png</v>
      </c>
      <c r="X258" s="246" t="str">
        <f>IFERROR(__xludf.DUMMYFUNCTION("""COMPUTED_VALUE"""),"enemy_icon_enemy_kai_00501")</f>
        <v>enemy_icon_enemy_kai_00501</v>
      </c>
      <c r="Y258" s="246" t="str">
        <f>IFERROR(__xludf.DUMMYFUNCTION("""COMPUTED_VALUE"""),"boss_icon_enemy_kai_00501")</f>
        <v>boss_icon_enemy_kai_00501</v>
      </c>
      <c r="Z258" s="246"/>
    </row>
    <row r="259">
      <c r="A259" s="246" t="str">
        <f>IFERROR(__xludf.DUMMYFUNCTION("""COMPUTED_VALUE"""),"osh")</f>
        <v>osh</v>
      </c>
      <c r="B259" s="246" t="str">
        <f>IFERROR(__xludf.DUMMYFUNCTION("""COMPUTED_VALUE"""),"【推しの子】")</f>
        <v>【推しの子】</v>
      </c>
      <c r="C259" s="246" t="str">
        <f>IFERROR(__xludf.DUMMYFUNCTION("""COMPUTED_VALUE"""),"00001")</f>
        <v>00001</v>
      </c>
      <c r="D259" s="246" t="str">
        <f>IFERROR(__xludf.DUMMYFUNCTION("""COMPUTED_VALUE"""),"enemy_osh_00001")</f>
        <v>enemy_osh_00001</v>
      </c>
      <c r="E259" s="246" t="str">
        <f>IFERROR(__xludf.DUMMYFUNCTION("""COMPUTED_VALUE"""),"姫川 大輝 (東京ブレイド編ver.)")</f>
        <v>姫川 大輝 (東京ブレイド編ver.)</v>
      </c>
      <c r="F259" s="246"/>
      <c r="G259" s="246"/>
      <c r="H259" s="246"/>
      <c r="I259" s="246"/>
      <c r="J259" s="246"/>
      <c r="K259" s="246" t="str">
        <f>IFERROR(__xludf.DUMMYFUNCTION("""COMPUTED_VALUE"""),"enemy")</f>
        <v>enemy</v>
      </c>
      <c r="L259" s="246"/>
      <c r="M259" s="246"/>
      <c r="N259" s="252"/>
      <c r="O259" s="246"/>
      <c r="P259" s="246"/>
      <c r="Q259" s="246"/>
      <c r="R259" s="246"/>
      <c r="S259" s="246"/>
      <c r="T259" s="246"/>
      <c r="U259" s="246"/>
      <c r="V259" s="246"/>
      <c r="W259" s="246"/>
      <c r="X259" s="246"/>
      <c r="Y259" s="246"/>
      <c r="Z259" s="246"/>
    </row>
    <row r="260">
      <c r="A260" s="246" t="str">
        <f>IFERROR(__xludf.DUMMYFUNCTION("""COMPUTED_VALUE"""),"osh")</f>
        <v>osh</v>
      </c>
      <c r="B260" s="246" t="str">
        <f>IFERROR(__xludf.DUMMYFUNCTION("""COMPUTED_VALUE"""),"【推しの子】")</f>
        <v>【推しの子】</v>
      </c>
      <c r="C260" s="246" t="str">
        <f>IFERROR(__xludf.DUMMYFUNCTION("""COMPUTED_VALUE"""),"00101")</f>
        <v>00101</v>
      </c>
      <c r="D260" s="246" t="str">
        <f>IFERROR(__xludf.DUMMYFUNCTION("""COMPUTED_VALUE"""),"enemy_osh_00101")</f>
        <v>enemy_osh_00101</v>
      </c>
      <c r="E260" s="246" t="str">
        <f>IFERROR(__xludf.DUMMYFUNCTION("""COMPUTED_VALUE"""),"鳴嶋 メルト (東京ブレイド編ver.)")</f>
        <v>鳴嶋 メルト (東京ブレイド編ver.)</v>
      </c>
      <c r="F260" s="246"/>
      <c r="G260" s="246"/>
      <c r="H260" s="246"/>
      <c r="I260" s="246"/>
      <c r="J260" s="246"/>
      <c r="K260" s="246" t="str">
        <f>IFERROR(__xludf.DUMMYFUNCTION("""COMPUTED_VALUE"""),"enemy")</f>
        <v>enemy</v>
      </c>
      <c r="L260" s="246"/>
      <c r="M260" s="246"/>
      <c r="N260" s="252"/>
      <c r="O260" s="246"/>
      <c r="P260" s="246"/>
      <c r="Q260" s="246"/>
      <c r="R260" s="246"/>
      <c r="S260" s="246"/>
      <c r="T260" s="246"/>
      <c r="U260" s="246"/>
      <c r="V260" s="246"/>
      <c r="W260" s="246"/>
      <c r="X260" s="246"/>
      <c r="Y260" s="246"/>
      <c r="Z260" s="246"/>
    </row>
    <row r="261">
      <c r="A261" s="246" t="str">
        <f>IFERROR(__xludf.DUMMYFUNCTION("""COMPUTED_VALUE"""),"osh")</f>
        <v>osh</v>
      </c>
      <c r="B261" s="246" t="str">
        <f>IFERROR(__xludf.DUMMYFUNCTION("""COMPUTED_VALUE"""),"【推しの子】")</f>
        <v>【推しの子】</v>
      </c>
      <c r="C261" s="246" t="str">
        <f>IFERROR(__xludf.DUMMYFUNCTION("""COMPUTED_VALUE"""),"00201")</f>
        <v>00201</v>
      </c>
      <c r="D261" s="246" t="str">
        <f>IFERROR(__xludf.DUMMYFUNCTION("""COMPUTED_VALUE"""),"enemy_osh_00201")</f>
        <v>enemy_osh_00201</v>
      </c>
      <c r="E261" s="246" t="str">
        <f>IFERROR(__xludf.DUMMYFUNCTION("""COMPUTED_VALUE"""),"鴨志田 朔夜 (東京ブレイド編ver.)")</f>
        <v>鴨志田 朔夜 (東京ブレイド編ver.)</v>
      </c>
      <c r="F261" s="246"/>
      <c r="G261" s="246"/>
      <c r="H261" s="246"/>
      <c r="I261" s="246"/>
      <c r="J261" s="246"/>
      <c r="K261" s="246" t="str">
        <f>IFERROR(__xludf.DUMMYFUNCTION("""COMPUTED_VALUE"""),"enemy")</f>
        <v>enemy</v>
      </c>
      <c r="L261" s="246"/>
      <c r="M261" s="246"/>
      <c r="N261" s="252"/>
      <c r="O261" s="246"/>
      <c r="P261" s="246"/>
      <c r="Q261" s="246"/>
      <c r="R261" s="246"/>
      <c r="S261" s="246"/>
      <c r="T261" s="246"/>
      <c r="U261" s="246"/>
      <c r="V261" s="246"/>
      <c r="W261" s="246"/>
      <c r="X261" s="246"/>
      <c r="Y261" s="246"/>
      <c r="Z261" s="246"/>
    </row>
    <row r="262">
      <c r="A262" s="246" t="str">
        <f>IFERROR(__xludf.DUMMYFUNCTION("""COMPUTED_VALUE"""),"eiu")</f>
        <v>eiu</v>
      </c>
      <c r="B262" s="246" t="str">
        <f>IFERROR(__xludf.DUMMYFUNCTION("""COMPUTED_VALUE"""),"英雄機関")</f>
        <v>英雄機関</v>
      </c>
      <c r="C262" s="246" t="str">
        <f>IFERROR(__xludf.DUMMYFUNCTION("""COMPUTED_VALUE"""),"00001")</f>
        <v>00001</v>
      </c>
      <c r="D262" s="246" t="str">
        <f>IFERROR(__xludf.DUMMYFUNCTION("""COMPUTED_VALUE"""),"enemy_eiu_00001")</f>
        <v>enemy_eiu_00001</v>
      </c>
      <c r="E262" s="246" t="str">
        <f>IFERROR(__xludf.DUMMYFUNCTION("""COMPUTED_VALUE"""),"星獣")</f>
        <v>星獣</v>
      </c>
      <c r="F262" s="246" t="str">
        <f>IFERROR(__xludf.DUMMYFUNCTION("""COMPUTED_VALUE"""),"選定中")</f>
        <v>選定中</v>
      </c>
      <c r="G262" s="246"/>
      <c r="H262" s="246"/>
      <c r="I262" s="246"/>
      <c r="J262" s="246"/>
      <c r="K262" s="246" t="str">
        <f>IFERROR(__xludf.DUMMYFUNCTION("""COMPUTED_VALUE"""),"enemy")</f>
        <v>enemy</v>
      </c>
      <c r="L262" s="246"/>
      <c r="M262" s="246"/>
      <c r="N262" s="252"/>
      <c r="O262" s="246"/>
      <c r="P262" s="246"/>
      <c r="Q262" s="246"/>
      <c r="R262" s="246"/>
      <c r="S262" s="246"/>
      <c r="T262" s="246"/>
      <c r="U262" s="246"/>
      <c r="V262" s="246"/>
      <c r="W262" s="246"/>
      <c r="X262" s="246"/>
      <c r="Y262" s="246"/>
      <c r="Z262" s="246"/>
    </row>
    <row r="263">
      <c r="A263" s="246"/>
      <c r="B263" s="246" t="str">
        <f>IFERROR(__xludf.DUMMYFUNCTION("""COMPUTED_VALUE"""),"error")</f>
        <v>error</v>
      </c>
      <c r="C263" s="246"/>
      <c r="D263" s="246" t="str">
        <f>IFERROR(__xludf.DUMMYFUNCTION("""COMPUTED_VALUE"""),"__")</f>
        <v>__</v>
      </c>
      <c r="E263" s="246"/>
      <c r="F263" s="246"/>
      <c r="G263" s="246"/>
      <c r="H263" s="246"/>
      <c r="I263" s="246"/>
      <c r="J263" s="246"/>
      <c r="K263" s="246"/>
      <c r="L263" s="246"/>
      <c r="M263" s="246"/>
      <c r="N263" s="252"/>
      <c r="O263" s="246"/>
      <c r="P263" s="246"/>
      <c r="Q263" s="246"/>
      <c r="R263" s="246"/>
      <c r="S263" s="246"/>
      <c r="T263" s="246"/>
      <c r="U263" s="246"/>
      <c r="V263" s="246"/>
      <c r="W263" s="246"/>
      <c r="X263" s="246"/>
      <c r="Y263" s="246"/>
      <c r="Z263" s="246"/>
    </row>
    <row r="264">
      <c r="A264" s="246"/>
      <c r="B264" s="246" t="str">
        <f>IFERROR(__xludf.DUMMYFUNCTION("""COMPUTED_VALUE"""),"error")</f>
        <v>error</v>
      </c>
      <c r="C264" s="246"/>
      <c r="D264" s="246" t="str">
        <f>IFERROR(__xludf.DUMMYFUNCTION("""COMPUTED_VALUE"""),"__")</f>
        <v>__</v>
      </c>
      <c r="E264" s="246"/>
      <c r="F264" s="246"/>
      <c r="G264" s="246"/>
      <c r="H264" s="246"/>
      <c r="I264" s="246"/>
      <c r="J264" s="246"/>
      <c r="K264" s="246"/>
      <c r="L264" s="246"/>
      <c r="M264" s="246"/>
      <c r="N264" s="252"/>
      <c r="O264" s="246"/>
      <c r="P264" s="246"/>
      <c r="Q264" s="246"/>
      <c r="R264" s="246"/>
      <c r="S264" s="246"/>
      <c r="T264" s="246"/>
      <c r="U264" s="246"/>
      <c r="V264" s="246"/>
      <c r="W264" s="246"/>
      <c r="X264" s="246"/>
      <c r="Y264" s="246"/>
      <c r="Z264" s="246"/>
    </row>
    <row r="265">
      <c r="A265" s="246"/>
      <c r="B265" s="246" t="str">
        <f>IFERROR(__xludf.DUMMYFUNCTION("""COMPUTED_VALUE"""),"error")</f>
        <v>error</v>
      </c>
      <c r="C265" s="246"/>
      <c r="D265" s="246" t="str">
        <f>IFERROR(__xludf.DUMMYFUNCTION("""COMPUTED_VALUE"""),"__")</f>
        <v>__</v>
      </c>
      <c r="E265" s="246"/>
      <c r="F265" s="246"/>
      <c r="G265" s="246"/>
      <c r="H265" s="246"/>
      <c r="I265" s="246"/>
      <c r="J265" s="246"/>
      <c r="K265" s="246"/>
      <c r="L265" s="246"/>
      <c r="M265" s="246"/>
      <c r="N265" s="252"/>
      <c r="O265" s="246"/>
      <c r="P265" s="246"/>
      <c r="Q265" s="246"/>
      <c r="R265" s="246"/>
      <c r="S265" s="246"/>
      <c r="T265" s="246"/>
      <c r="U265" s="246"/>
      <c r="V265" s="246"/>
      <c r="W265" s="246"/>
      <c r="X265" s="246"/>
      <c r="Y265" s="246"/>
      <c r="Z265" s="246"/>
    </row>
    <row r="266">
      <c r="A266" s="246"/>
      <c r="B266" s="246" t="str">
        <f>IFERROR(__xludf.DUMMYFUNCTION("""COMPUTED_VALUE"""),"error")</f>
        <v>error</v>
      </c>
      <c r="C266" s="246"/>
      <c r="D266" s="246" t="str">
        <f>IFERROR(__xludf.DUMMYFUNCTION("""COMPUTED_VALUE"""),"__")</f>
        <v>__</v>
      </c>
      <c r="E266" s="246"/>
      <c r="F266" s="246"/>
      <c r="G266" s="246"/>
      <c r="H266" s="246"/>
      <c r="I266" s="246"/>
      <c r="J266" s="246"/>
      <c r="K266" s="246"/>
      <c r="L266" s="246"/>
      <c r="M266" s="246"/>
      <c r="N266" s="252"/>
      <c r="O266" s="246"/>
      <c r="P266" s="246"/>
      <c r="Q266" s="246"/>
      <c r="R266" s="246"/>
      <c r="S266" s="246"/>
      <c r="T266" s="246"/>
      <c r="U266" s="246"/>
      <c r="V266" s="246"/>
      <c r="W266" s="246"/>
      <c r="X266" s="246"/>
      <c r="Y266" s="246"/>
      <c r="Z266" s="246"/>
    </row>
    <row r="267">
      <c r="A267" s="246"/>
      <c r="B267" s="246" t="str">
        <f>IFERROR(__xludf.DUMMYFUNCTION("""COMPUTED_VALUE"""),"error")</f>
        <v>error</v>
      </c>
      <c r="C267" s="246"/>
      <c r="D267" s="246" t="str">
        <f>IFERROR(__xludf.DUMMYFUNCTION("""COMPUTED_VALUE"""),"__")</f>
        <v>__</v>
      </c>
      <c r="E267" s="246"/>
      <c r="F267" s="246"/>
      <c r="G267" s="246"/>
      <c r="H267" s="246"/>
      <c r="I267" s="246"/>
      <c r="J267" s="246"/>
      <c r="K267" s="246"/>
      <c r="L267" s="246"/>
      <c r="M267" s="246"/>
      <c r="N267" s="252"/>
      <c r="O267" s="246"/>
      <c r="P267" s="246"/>
      <c r="Q267" s="246"/>
      <c r="R267" s="246"/>
      <c r="S267" s="246"/>
      <c r="T267" s="246"/>
      <c r="U267" s="246"/>
      <c r="V267" s="246"/>
      <c r="W267" s="246"/>
      <c r="X267" s="246"/>
      <c r="Y267" s="246"/>
      <c r="Z267" s="246"/>
    </row>
    <row r="268">
      <c r="A268" s="246"/>
      <c r="B268" s="246" t="str">
        <f>IFERROR(__xludf.DUMMYFUNCTION("""COMPUTED_VALUE"""),"error")</f>
        <v>error</v>
      </c>
      <c r="C268" s="246"/>
      <c r="D268" s="246" t="str">
        <f>IFERROR(__xludf.DUMMYFUNCTION("""COMPUTED_VALUE"""),"__")</f>
        <v>__</v>
      </c>
      <c r="E268" s="246"/>
      <c r="F268" s="246"/>
      <c r="G268" s="246"/>
      <c r="H268" s="246"/>
      <c r="I268" s="246"/>
      <c r="J268" s="246"/>
      <c r="K268" s="246"/>
      <c r="L268" s="246"/>
      <c r="M268" s="246"/>
      <c r="N268" s="252"/>
      <c r="O268" s="246"/>
      <c r="P268" s="246"/>
      <c r="Q268" s="246"/>
      <c r="R268" s="246"/>
      <c r="S268" s="246"/>
      <c r="T268" s="246"/>
      <c r="U268" s="246"/>
      <c r="V268" s="246"/>
      <c r="W268" s="246"/>
      <c r="X268" s="246"/>
      <c r="Y268" s="246"/>
      <c r="Z268" s="246"/>
    </row>
    <row r="269">
      <c r="A269" s="246"/>
      <c r="B269" s="246" t="str">
        <f>IFERROR(__xludf.DUMMYFUNCTION("""COMPUTED_VALUE"""),"error")</f>
        <v>error</v>
      </c>
      <c r="C269" s="246"/>
      <c r="D269" s="246" t="str">
        <f>IFERROR(__xludf.DUMMYFUNCTION("""COMPUTED_VALUE"""),"__")</f>
        <v>__</v>
      </c>
      <c r="E269" s="246"/>
      <c r="F269" s="246"/>
      <c r="G269" s="246"/>
      <c r="H269" s="246"/>
      <c r="I269" s="246"/>
      <c r="J269" s="246"/>
      <c r="K269" s="246"/>
      <c r="L269" s="246"/>
      <c r="M269" s="246"/>
      <c r="N269" s="252"/>
      <c r="O269" s="246"/>
      <c r="P269" s="246"/>
      <c r="Q269" s="246"/>
      <c r="R269" s="246"/>
      <c r="S269" s="246"/>
      <c r="T269" s="246"/>
      <c r="U269" s="246"/>
      <c r="V269" s="246"/>
      <c r="W269" s="246"/>
      <c r="X269" s="246"/>
      <c r="Y269" s="246"/>
      <c r="Z269" s="246"/>
    </row>
    <row r="270">
      <c r="A270" s="246"/>
      <c r="B270" s="246" t="str">
        <f>IFERROR(__xludf.DUMMYFUNCTION("""COMPUTED_VALUE"""),"error")</f>
        <v>error</v>
      </c>
      <c r="C270" s="246"/>
      <c r="D270" s="246" t="str">
        <f>IFERROR(__xludf.DUMMYFUNCTION("""COMPUTED_VALUE"""),"__")</f>
        <v>__</v>
      </c>
      <c r="E270" s="246"/>
      <c r="F270" s="246"/>
      <c r="G270" s="246"/>
      <c r="H270" s="246"/>
      <c r="I270" s="246"/>
      <c r="J270" s="246"/>
      <c r="K270" s="246"/>
      <c r="L270" s="246"/>
      <c r="M270" s="246"/>
      <c r="N270" s="252"/>
      <c r="O270" s="246"/>
      <c r="P270" s="246"/>
      <c r="Q270" s="246"/>
      <c r="R270" s="246"/>
      <c r="S270" s="246"/>
      <c r="T270" s="246"/>
      <c r="U270" s="246"/>
      <c r="V270" s="246"/>
      <c r="W270" s="246"/>
      <c r="X270" s="246"/>
      <c r="Y270" s="246"/>
      <c r="Z270" s="246"/>
    </row>
    <row r="271">
      <c r="A271" s="246"/>
      <c r="B271" s="246" t="str">
        <f>IFERROR(__xludf.DUMMYFUNCTION("""COMPUTED_VALUE"""),"error")</f>
        <v>error</v>
      </c>
      <c r="C271" s="246"/>
      <c r="D271" s="246" t="str">
        <f>IFERROR(__xludf.DUMMYFUNCTION("""COMPUTED_VALUE"""),"__")</f>
        <v>__</v>
      </c>
      <c r="E271" s="246"/>
      <c r="F271" s="246"/>
      <c r="G271" s="246"/>
      <c r="H271" s="246"/>
      <c r="I271" s="246"/>
      <c r="J271" s="246"/>
      <c r="K271" s="246"/>
      <c r="L271" s="246"/>
      <c r="M271" s="246"/>
      <c r="N271" s="252"/>
      <c r="O271" s="246"/>
      <c r="P271" s="246"/>
      <c r="Q271" s="246"/>
      <c r="R271" s="246"/>
      <c r="S271" s="246"/>
      <c r="T271" s="246"/>
      <c r="U271" s="246"/>
      <c r="V271" s="246"/>
      <c r="W271" s="246"/>
      <c r="X271" s="246"/>
      <c r="Y271" s="246"/>
      <c r="Z271" s="246"/>
    </row>
    <row r="272">
      <c r="A272" s="246" t="str">
        <f>IFERROR(__xludf.DUMMYFUNCTION("""COMPUTED_VALUE"""),"glo")</f>
        <v>glo</v>
      </c>
      <c r="B272" s="246" t="str">
        <f>IFERROR(__xludf.DUMMYFUNCTION("""COMPUTED_VALUE"""),"GLOW")</f>
        <v>GLOW</v>
      </c>
      <c r="C272" s="246" t="str">
        <f>IFERROR(__xludf.DUMMYFUNCTION("""COMPUTED_VALUE"""),"00001")</f>
        <v>00001</v>
      </c>
      <c r="D272" s="246" t="str">
        <f>IFERROR(__xludf.DUMMYFUNCTION("""COMPUTED_VALUE"""),"enemy_glo_00001")</f>
        <v>enemy_glo_00001</v>
      </c>
      <c r="E272" s="246" t="str">
        <f>IFERROR(__xludf.DUMMYFUNCTION("""COMPUTED_VALUE"""),"ファントム")</f>
        <v>ファントム</v>
      </c>
      <c r="F272" s="246" t="str">
        <f>IFERROR(__xludf.DUMMYFUNCTION("""COMPUTED_VALUE"""),"ファントム")</f>
        <v>ファントム</v>
      </c>
      <c r="G272" s="246" t="str">
        <f>IFERROR(__xludf.DUMMYFUNCTION("""COMPUTED_VALUE"""),"ー")</f>
        <v>ー</v>
      </c>
      <c r="H272" s="246"/>
      <c r="I272" s="246"/>
      <c r="J272" s="246"/>
      <c r="K272" s="246" t="str">
        <f>IFERROR(__xludf.DUMMYFUNCTION("""COMPUTED_VALUE"""),"enemy")</f>
        <v>enemy</v>
      </c>
      <c r="L272" s="246" t="str">
        <f>IFERROR(__xludf.DUMMYFUNCTION("""COMPUTED_VALUE"""),"アタック")</f>
        <v>アタック</v>
      </c>
      <c r="M272" s="246" t="str">
        <f>IFERROR(__xludf.DUMMYFUNCTION("""COMPUTED_VALUE"""),"dageki_1")</f>
        <v>dageki_1</v>
      </c>
      <c r="N272" s="252"/>
      <c r="O272" s="246"/>
      <c r="P272" s="246" t="str">
        <f>IFERROR(__xludf.DUMMYFUNCTION("""COMPUTED_VALUE"""),"00001")</f>
        <v>00001</v>
      </c>
      <c r="Q272" s="246" t="str">
        <f>IFERROR(__xludf.DUMMYFUNCTION("""COMPUTED_VALUE"""),"1.00")</f>
        <v>1.00</v>
      </c>
      <c r="R272" s="246" t="str">
        <f>IFERROR(__xludf.DUMMYFUNCTION("""COMPUTED_VALUE"""),"0.50")</f>
        <v>0.50</v>
      </c>
      <c r="S272" s="246"/>
      <c r="T272" s="246"/>
      <c r="U272" s="246">
        <f>IFERROR(__xludf.DUMMYFUNCTION("""COMPUTED_VALUE"""),45658.0)</f>
        <v>45658</v>
      </c>
      <c r="V272" s="246">
        <f>IFERROR(__xludf.DUMMYFUNCTION("""COMPUTED_VALUE"""),390812.49998842593)</f>
        <v>390812.5</v>
      </c>
      <c r="W272" s="246" t="str">
        <f>IFERROR(__xludf.DUMMYFUNCTION("""COMPUTED_VALUE"""),"catchcopy_character_enemy_glo_00001.png")</f>
        <v>catchcopy_character_enemy_glo_00001.png</v>
      </c>
      <c r="X272" s="246" t="str">
        <f>IFERROR(__xludf.DUMMYFUNCTION("""COMPUTED_VALUE"""),"enemy_icon_enemy_glo_00001")</f>
        <v>enemy_icon_enemy_glo_00001</v>
      </c>
      <c r="Y272" s="246" t="str">
        <f>IFERROR(__xludf.DUMMYFUNCTION("""COMPUTED_VALUE"""),"boss_icon_enemy_glo_00001")</f>
        <v>boss_icon_enemy_glo_00001</v>
      </c>
      <c r="Z272" s="246" t="str">
        <f>IFERROR(__xludf.DUMMYFUNCTION("""COMPUTED_VALUE"""),"enemy_glo_00001_normal")</f>
        <v>enemy_glo_00001_normal</v>
      </c>
    </row>
    <row r="273">
      <c r="A273" s="246" t="str">
        <f>IFERROR(__xludf.DUMMYFUNCTION("""COMPUTED_VALUE"""),"glo")</f>
        <v>glo</v>
      </c>
      <c r="B273" s="246" t="str">
        <f>IFERROR(__xludf.DUMMYFUNCTION("""COMPUTED_VALUE"""),"GLOW")</f>
        <v>GLOW</v>
      </c>
      <c r="C273" s="246" t="str">
        <f>IFERROR(__xludf.DUMMYFUNCTION("""COMPUTED_VALUE"""),"00002")</f>
        <v>00002</v>
      </c>
      <c r="D273" s="246" t="str">
        <f>IFERROR(__xludf.DUMMYFUNCTION("""COMPUTED_VALUE"""),"enemy_glo_00002")</f>
        <v>enemy_glo_00002</v>
      </c>
      <c r="E273" s="246" t="str">
        <f>IFERROR(__xludf.DUMMYFUNCTION("""COMPUTED_VALUE"""),"サイリウム持ちファントム")</f>
        <v>サイリウム持ちファントム</v>
      </c>
      <c r="F273" s="246" t="str">
        <f>IFERROR(__xludf.DUMMYFUNCTION("""COMPUTED_VALUE"""),"推し活ファントム")</f>
        <v>推し活ファントム</v>
      </c>
      <c r="G273" s="246" t="str">
        <f>IFERROR(__xludf.DUMMYFUNCTION("""COMPUTED_VALUE"""),"ー")</f>
        <v>ー</v>
      </c>
      <c r="H273" s="246"/>
      <c r="I273" s="246"/>
      <c r="J273" s="246"/>
      <c r="K273" s="246" t="str">
        <f>IFERROR(__xludf.DUMMYFUNCTION("""COMPUTED_VALUE"""),"enemy")</f>
        <v>enemy</v>
      </c>
      <c r="L273" s="246" t="str">
        <f>IFERROR(__xludf.DUMMYFUNCTION("""COMPUTED_VALUE"""),"アタック")</f>
        <v>アタック</v>
      </c>
      <c r="M273" s="246" t="str">
        <f>IFERROR(__xludf.DUMMYFUNCTION("""COMPUTED_VALUE"""),"dageki_1")</f>
        <v>dageki_1</v>
      </c>
      <c r="N273" s="252"/>
      <c r="O273" s="246"/>
      <c r="P273" s="246" t="str">
        <f>IFERROR(__xludf.DUMMYFUNCTION("""COMPUTED_VALUE"""),"00002")</f>
        <v>00002</v>
      </c>
      <c r="Q273" s="246" t="str">
        <f>IFERROR(__xludf.DUMMYFUNCTION("""COMPUTED_VALUE"""),"1.17")</f>
        <v>1.17</v>
      </c>
      <c r="R273" s="246" t="str">
        <f>IFERROR(__xludf.DUMMYFUNCTION("""COMPUTED_VALUE"""),"stop有:1回目 0.6")</f>
        <v>stop有:1回目 0.6</v>
      </c>
      <c r="S273" s="246"/>
      <c r="T273" s="246"/>
      <c r="U273" s="246">
        <f>IFERROR(__xludf.DUMMYFUNCTION("""COMPUTED_VALUE"""),45658.0)</f>
        <v>45658</v>
      </c>
      <c r="V273" s="246">
        <f>IFERROR(__xludf.DUMMYFUNCTION("""COMPUTED_VALUE"""),390812.49998842593)</f>
        <v>390812.5</v>
      </c>
      <c r="W273" s="246" t="str">
        <f>IFERROR(__xludf.DUMMYFUNCTION("""COMPUTED_VALUE"""),"catchcopy_character_enemy_glo_00002.png")</f>
        <v>catchcopy_character_enemy_glo_00002.png</v>
      </c>
      <c r="X273" s="246" t="str">
        <f>IFERROR(__xludf.DUMMYFUNCTION("""COMPUTED_VALUE"""),"enemy_icon_enemy_glo_00002")</f>
        <v>enemy_icon_enemy_glo_00002</v>
      </c>
      <c r="Y273" s="246" t="str">
        <f>IFERROR(__xludf.DUMMYFUNCTION("""COMPUTED_VALUE"""),"boss_icon_enemy_glo_00002")</f>
        <v>boss_icon_enemy_glo_00002</v>
      </c>
      <c r="Z273" s="246"/>
    </row>
    <row r="274">
      <c r="A274" s="246" t="str">
        <f>IFERROR(__xludf.DUMMYFUNCTION("""COMPUTED_VALUE"""),"glo")</f>
        <v>glo</v>
      </c>
      <c r="B274" s="246" t="str">
        <f>IFERROR(__xludf.DUMMYFUNCTION("""COMPUTED_VALUE"""),"GLOW")</f>
        <v>GLOW</v>
      </c>
      <c r="C274" s="246" t="str">
        <f>IFERROR(__xludf.DUMMYFUNCTION("""COMPUTED_VALUE"""),"00003")</f>
        <v>00003</v>
      </c>
      <c r="D274" s="246" t="str">
        <f>IFERROR(__xludf.DUMMYFUNCTION("""COMPUTED_VALUE"""),"enemy_glo_00003")</f>
        <v>enemy_glo_00003</v>
      </c>
      <c r="E274" s="246" t="str">
        <f>IFERROR(__xludf.DUMMYFUNCTION("""COMPUTED_VALUE"""),"バッターファントム")</f>
        <v>バッターファントム</v>
      </c>
      <c r="F274" s="246"/>
      <c r="G274" s="246"/>
      <c r="H274" s="246"/>
      <c r="I274" s="246"/>
      <c r="J274" s="246"/>
      <c r="K274" s="246" t="str">
        <f>IFERROR(__xludf.DUMMYFUNCTION("""COMPUTED_VALUE"""),"enemy")</f>
        <v>enemy</v>
      </c>
      <c r="L274" s="246"/>
      <c r="M274" s="246"/>
      <c r="N274" s="252"/>
      <c r="O274" s="246"/>
      <c r="P274" s="246"/>
      <c r="Q274" s="246" t="str">
        <f>IFERROR(__xludf.DUMMYFUNCTION("""COMPUTED_VALUE"""),"1.57")</f>
        <v>1.57</v>
      </c>
      <c r="R274" s="246" t="str">
        <f>IFERROR(__xludf.DUMMYFUNCTION("""COMPUTED_VALUE"""),"stop有:1回目 0.68")</f>
        <v>stop有:1回目 0.68</v>
      </c>
      <c r="S274" s="246"/>
      <c r="T274" s="246"/>
      <c r="U274" s="246"/>
      <c r="V274" s="246"/>
      <c r="W274" s="246"/>
      <c r="X274" s="246"/>
      <c r="Y274" s="246"/>
      <c r="Z274" s="246"/>
    </row>
    <row r="275">
      <c r="A275" s="246" t="str">
        <f>IFERROR(__xludf.DUMMYFUNCTION("""COMPUTED_VALUE"""),"glo")</f>
        <v>glo</v>
      </c>
      <c r="B275" s="246" t="str">
        <f>IFERROR(__xludf.DUMMYFUNCTION("""COMPUTED_VALUE"""),"GLOW")</f>
        <v>GLOW</v>
      </c>
      <c r="C275" s="246" t="str">
        <f>IFERROR(__xludf.DUMMYFUNCTION("""COMPUTED_VALUE"""),"00004")</f>
        <v>00004</v>
      </c>
      <c r="D275" s="246" t="str">
        <f>IFERROR(__xludf.DUMMYFUNCTION("""COMPUTED_VALUE"""),"enemy_glo_00004")</f>
        <v>enemy_glo_00004</v>
      </c>
      <c r="E275" s="246" t="str">
        <f>IFERROR(__xludf.DUMMYFUNCTION("""COMPUTED_VALUE"""),"ピッチャーファントム")</f>
        <v>ピッチャーファントム</v>
      </c>
      <c r="F275" s="246"/>
      <c r="G275" s="246"/>
      <c r="H275" s="246"/>
      <c r="I275" s="246"/>
      <c r="J275" s="246"/>
      <c r="K275" s="246" t="str">
        <f>IFERROR(__xludf.DUMMYFUNCTION("""COMPUTED_VALUE"""),"enemy")</f>
        <v>enemy</v>
      </c>
      <c r="L275" s="246"/>
      <c r="M275" s="246"/>
      <c r="N275" s="252"/>
      <c r="O275" s="246"/>
      <c r="P275" s="246"/>
      <c r="Q275" s="246" t="str">
        <f>IFERROR(__xludf.DUMMYFUNCTION("""COMPUTED_VALUE"""),"1.6")</f>
        <v>1.6</v>
      </c>
      <c r="R275" s="246" t="str">
        <f>IFERROR(__xludf.DUMMYFUNCTION("""COMPUTED_VALUE"""),"stop有:1回目 0.7")</f>
        <v>stop有:1回目 0.7</v>
      </c>
      <c r="S275" s="246"/>
      <c r="T275" s="246"/>
      <c r="U275" s="246"/>
      <c r="V275" s="246"/>
      <c r="W275" s="246"/>
      <c r="X275" s="246"/>
      <c r="Y275" s="246"/>
      <c r="Z275" s="246"/>
    </row>
    <row r="276">
      <c r="A276" s="246" t="str">
        <f>IFERROR(__xludf.DUMMYFUNCTION("""COMPUTED_VALUE"""),"glo")</f>
        <v>glo</v>
      </c>
      <c r="B276" s="246" t="str">
        <f>IFERROR(__xludf.DUMMYFUNCTION("""COMPUTED_VALUE"""),"GLOW")</f>
        <v>GLOW</v>
      </c>
      <c r="C276" s="246" t="str">
        <f>IFERROR(__xludf.DUMMYFUNCTION("""COMPUTED_VALUE"""),"00005")</f>
        <v>00005</v>
      </c>
      <c r="D276" s="246" t="str">
        <f>IFERROR(__xludf.DUMMYFUNCTION("""COMPUTED_VALUE"""),"enemy_glo_00005")</f>
        <v>enemy_glo_00005</v>
      </c>
      <c r="E276" s="246" t="str">
        <f>IFERROR(__xludf.DUMMYFUNCTION("""COMPUTED_VALUE"""),"野球帽ファントム")</f>
        <v>野球帽ファントム</v>
      </c>
      <c r="F276" s="246"/>
      <c r="G276" s="246"/>
      <c r="H276" s="246"/>
      <c r="I276" s="246"/>
      <c r="J276" s="246"/>
      <c r="K276" s="246" t="str">
        <f>IFERROR(__xludf.DUMMYFUNCTION("""COMPUTED_VALUE"""),"enemy")</f>
        <v>enemy</v>
      </c>
      <c r="L276" s="246"/>
      <c r="M276" s="246"/>
      <c r="N276" s="252"/>
      <c r="O276" s="246"/>
      <c r="P276" s="246"/>
      <c r="Q276" s="246" t="str">
        <f>IFERROR(__xludf.DUMMYFUNCTION("""COMPUTED_VALUE"""),"1.57")</f>
        <v>1.57</v>
      </c>
      <c r="R276" s="246" t="str">
        <f>IFERROR(__xludf.DUMMYFUNCTION("""COMPUTED_VALUE"""),"stop有:1回目 0.6")</f>
        <v>stop有:1回目 0.6</v>
      </c>
      <c r="S276" s="246" t="str">
        <f>IFERROR(__xludf.DUMMYFUNCTION("""COMPUTED_VALUE"""),"-")</f>
        <v>-</v>
      </c>
      <c r="T276" s="246" t="str">
        <f>IFERROR(__xludf.DUMMYFUNCTION("""COMPUTED_VALUE"""),"-")</f>
        <v>-</v>
      </c>
      <c r="U276" s="246"/>
      <c r="V276" s="246"/>
      <c r="W276" s="246"/>
      <c r="X276" s="246"/>
      <c r="Y276" s="246"/>
      <c r="Z276" s="246"/>
    </row>
    <row r="277">
      <c r="A277" s="246" t="str">
        <f>IFERROR(__xludf.DUMMYFUNCTION("""COMPUTED_VALUE"""),"glo")</f>
        <v>glo</v>
      </c>
      <c r="B277" s="246" t="str">
        <f>IFERROR(__xludf.DUMMYFUNCTION("""COMPUTED_VALUE"""),"GLOW")</f>
        <v>GLOW</v>
      </c>
      <c r="C277" s="246" t="str">
        <f>IFERROR(__xludf.DUMMYFUNCTION("""COMPUTED_VALUE"""),"00006")</f>
        <v>00006</v>
      </c>
      <c r="D277" s="246" t="str">
        <f>IFERROR(__xludf.DUMMYFUNCTION("""COMPUTED_VALUE"""),"enemy_glo_00006")</f>
        <v>enemy_glo_00006</v>
      </c>
      <c r="E277" s="246" t="str">
        <f>IFERROR(__xludf.DUMMYFUNCTION("""COMPUTED_VALUE"""),"ジューンブライドファントム")</f>
        <v>ジューンブライドファントム</v>
      </c>
      <c r="F277" s="246"/>
      <c r="G277" s="246"/>
      <c r="H277" s="246"/>
      <c r="I277" s="246"/>
      <c r="J277" s="246"/>
      <c r="K277" s="246" t="str">
        <f>IFERROR(__xludf.DUMMYFUNCTION("""COMPUTED_VALUE"""),"enemy")</f>
        <v>enemy</v>
      </c>
      <c r="L277" s="246"/>
      <c r="M277" s="246"/>
      <c r="N277" s="252"/>
      <c r="O277" s="246"/>
      <c r="P277" s="246"/>
      <c r="Q277" s="246" t="str">
        <f>IFERROR(__xludf.DUMMYFUNCTION("""COMPUTED_VALUE"""),"1.17")</f>
        <v>1.17</v>
      </c>
      <c r="R277" s="246" t="str">
        <f>IFERROR(__xludf.DUMMYFUNCTION("""COMPUTED_VALUE"""),"stop有:1回目 0.6")</f>
        <v>stop有:1回目 0.6</v>
      </c>
      <c r="S277" s="246" t="str">
        <f>IFERROR(__xludf.DUMMYFUNCTION("""COMPUTED_VALUE"""),"-")</f>
        <v>-</v>
      </c>
      <c r="T277" s="246" t="str">
        <f>IFERROR(__xludf.DUMMYFUNCTION("""COMPUTED_VALUE"""),"-")</f>
        <v>-</v>
      </c>
      <c r="U277" s="246"/>
      <c r="V277" s="246"/>
      <c r="W277" s="246"/>
      <c r="X277" s="246"/>
      <c r="Y277" s="246"/>
      <c r="Z277" s="246"/>
    </row>
    <row r="278">
      <c r="A278" s="246" t="str">
        <f>IFERROR(__xludf.DUMMYFUNCTION("""COMPUTED_VALUE"""),"glo")</f>
        <v>glo</v>
      </c>
      <c r="B278" s="246" t="str">
        <f>IFERROR(__xludf.DUMMYFUNCTION("""COMPUTED_VALUE"""),"GLOW")</f>
        <v>GLOW</v>
      </c>
      <c r="C278" s="246" t="str">
        <f>IFERROR(__xludf.DUMMYFUNCTION("""COMPUTED_VALUE"""),"00007")</f>
        <v>00007</v>
      </c>
      <c r="D278" s="246" t="str">
        <f>IFERROR(__xludf.DUMMYFUNCTION("""COMPUTED_VALUE"""),"enemy_glo_00007")</f>
        <v>enemy_glo_00007</v>
      </c>
      <c r="E278" s="246" t="str">
        <f>IFERROR(__xludf.DUMMYFUNCTION("""COMPUTED_VALUE"""),"黒服ファントム")</f>
        <v>黒服ファントム</v>
      </c>
      <c r="F278" s="246"/>
      <c r="G278" s="246"/>
      <c r="H278" s="246"/>
      <c r="I278" s="246"/>
      <c r="J278" s="246"/>
      <c r="K278" s="246" t="str">
        <f>IFERROR(__xludf.DUMMYFUNCTION("""COMPUTED_VALUE"""),"enemy")</f>
        <v>enemy</v>
      </c>
      <c r="L278" s="246"/>
      <c r="M278" s="246"/>
      <c r="N278" s="252"/>
      <c r="O278" s="246"/>
      <c r="P278" s="246"/>
      <c r="Q278" s="246"/>
      <c r="R278" s="246"/>
      <c r="S278" s="246"/>
      <c r="T278" s="246"/>
      <c r="U278" s="246"/>
      <c r="V278" s="246"/>
      <c r="W278" s="246"/>
      <c r="X278" s="246"/>
      <c r="Y278" s="246"/>
      <c r="Z278" s="246"/>
    </row>
    <row r="279">
      <c r="A279" s="246" t="str">
        <f>IFERROR(__xludf.DUMMYFUNCTION("""COMPUTED_VALUE"""),"glo")</f>
        <v>glo</v>
      </c>
      <c r="B279" s="246" t="str">
        <f>IFERROR(__xludf.DUMMYFUNCTION("""COMPUTED_VALUE"""),"GLOW")</f>
        <v>GLOW</v>
      </c>
      <c r="C279" s="246" t="str">
        <f>IFERROR(__xludf.DUMMYFUNCTION("""COMPUTED_VALUE"""),"00008")</f>
        <v>00008</v>
      </c>
      <c r="D279" s="246" t="str">
        <f>IFERROR(__xludf.DUMMYFUNCTION("""COMPUTED_VALUE"""),"enemy_glo_00008")</f>
        <v>enemy_glo_00008</v>
      </c>
      <c r="E279" s="246" t="str">
        <f>IFERROR(__xludf.DUMMYFUNCTION("""COMPUTED_VALUE"""),"金色ファントム")</f>
        <v>金色ファントム</v>
      </c>
      <c r="F279" s="246"/>
      <c r="G279" s="246"/>
      <c r="H279" s="246"/>
      <c r="I279" s="246"/>
      <c r="J279" s="246"/>
      <c r="K279" s="246" t="str">
        <f>IFERROR(__xludf.DUMMYFUNCTION("""COMPUTED_VALUE"""),"enemy")</f>
        <v>enemy</v>
      </c>
      <c r="L279" s="246"/>
      <c r="M279" s="246"/>
      <c r="N279" s="252"/>
      <c r="O279" s="246"/>
      <c r="P279" s="246"/>
      <c r="Q279" s="246" t="str">
        <f>IFERROR(__xludf.DUMMYFUNCTION("""COMPUTED_VALUE"""),"1.00")</f>
        <v>1.00</v>
      </c>
      <c r="R279" s="246" t="str">
        <f>IFERROR(__xludf.DUMMYFUNCTION("""COMPUTED_VALUE"""),"stop有:1回目 0.50")</f>
        <v>stop有:1回目 0.50</v>
      </c>
      <c r="S279" s="246" t="str">
        <f>IFERROR(__xludf.DUMMYFUNCTION("""COMPUTED_VALUE"""),"-")</f>
        <v>-</v>
      </c>
      <c r="T279" s="246" t="str">
        <f>IFERROR(__xludf.DUMMYFUNCTION("""COMPUTED_VALUE"""),"-")</f>
        <v>-</v>
      </c>
      <c r="U279" s="246"/>
      <c r="V279" s="246"/>
      <c r="W279" s="246"/>
      <c r="X279" s="246"/>
      <c r="Y279" s="246"/>
      <c r="Z279" s="246"/>
    </row>
    <row r="280">
      <c r="A280" s="246" t="str">
        <f>IFERROR(__xludf.DUMMYFUNCTION("""COMPUTED_VALUE"""),"glo")</f>
        <v>glo</v>
      </c>
      <c r="B280" s="246" t="str">
        <f>IFERROR(__xludf.DUMMYFUNCTION("""COMPUTED_VALUE"""),"GLOW")</f>
        <v>GLOW</v>
      </c>
      <c r="C280" s="246" t="str">
        <f>IFERROR(__xludf.DUMMYFUNCTION("""COMPUTED_VALUE"""),"00101")</f>
        <v>00101</v>
      </c>
      <c r="D280" s="246" t="str">
        <f>IFERROR(__xludf.DUMMYFUNCTION("""COMPUTED_VALUE"""),"enemy_glo_00101")</f>
        <v>enemy_glo_00101</v>
      </c>
      <c r="E280" s="246" t="str">
        <f>IFERROR(__xludf.DUMMYFUNCTION("""COMPUTED_VALUE"""),"中ボスエネミー")</f>
        <v>中ボスエネミー</v>
      </c>
      <c r="F280" s="246" t="str">
        <f>IFERROR(__xludf.DUMMYFUNCTION("""COMPUTED_VALUE"""),"ボスファントム")</f>
        <v>ボスファントム</v>
      </c>
      <c r="G280" s="246" t="str">
        <f>IFERROR(__xludf.DUMMYFUNCTION("""COMPUTED_VALUE"""),"ー")</f>
        <v>ー</v>
      </c>
      <c r="H280" s="246"/>
      <c r="I280" s="246"/>
      <c r="J280" s="246"/>
      <c r="K280" s="246" t="str">
        <f>IFERROR(__xludf.DUMMYFUNCTION("""COMPUTED_VALUE"""),"enemy")</f>
        <v>enemy</v>
      </c>
      <c r="L280" s="246" t="str">
        <f>IFERROR(__xludf.DUMMYFUNCTION("""COMPUTED_VALUE"""),"アタック")</f>
        <v>アタック</v>
      </c>
      <c r="M280" s="246" t="str">
        <f>IFERROR(__xludf.DUMMYFUNCTION("""COMPUTED_VALUE"""),"-")</f>
        <v>-</v>
      </c>
      <c r="N280" s="252"/>
      <c r="O280" s="246"/>
      <c r="P280" s="246" t="str">
        <f>IFERROR(__xludf.DUMMYFUNCTION("""COMPUTED_VALUE"""),"00101")</f>
        <v>00101</v>
      </c>
      <c r="Q280" s="246" t="str">
        <f>IFERROR(__xludf.DUMMYFUNCTION("""COMPUTED_VALUE"""),"1.17")</f>
        <v>1.17</v>
      </c>
      <c r="R280" s="246" t="str">
        <f>IFERROR(__xludf.DUMMYFUNCTION("""COMPUTED_VALUE"""),"stop有:1回目 0.56")</f>
        <v>stop有:1回目 0.56</v>
      </c>
      <c r="S280" s="246" t="str">
        <f>IFERROR(__xludf.DUMMYFUNCTION("""COMPUTED_VALUE"""),"-")</f>
        <v>-</v>
      </c>
      <c r="T280" s="246" t="str">
        <f>IFERROR(__xludf.DUMMYFUNCTION("""COMPUTED_VALUE"""),"-")</f>
        <v>-</v>
      </c>
      <c r="U280" s="246">
        <f>IFERROR(__xludf.DUMMYFUNCTION("""COMPUTED_VALUE"""),45658.0)</f>
        <v>45658</v>
      </c>
      <c r="V280" s="246">
        <f>IFERROR(__xludf.DUMMYFUNCTION("""COMPUTED_VALUE"""),390812.49998842593)</f>
        <v>390812.5</v>
      </c>
      <c r="W280" s="246" t="str">
        <f>IFERROR(__xludf.DUMMYFUNCTION("""COMPUTED_VALUE"""),"catchcopy_character_enemy_glo_00101.png")</f>
        <v>catchcopy_character_enemy_glo_00101.png</v>
      </c>
      <c r="X280" s="246" t="str">
        <f>IFERROR(__xludf.DUMMYFUNCTION("""COMPUTED_VALUE"""),"enemy_icon_enemy_glo_00101")</f>
        <v>enemy_icon_enemy_glo_00101</v>
      </c>
      <c r="Y280" s="246" t="str">
        <f>IFERROR(__xludf.DUMMYFUNCTION("""COMPUTED_VALUE"""),"boss_icon_enemy_glo_00101")</f>
        <v>boss_icon_enemy_glo_00101</v>
      </c>
      <c r="Z280" s="246"/>
    </row>
    <row r="281">
      <c r="A281" s="246" t="str">
        <f>IFERROR(__xludf.DUMMYFUNCTION("""COMPUTED_VALUE"""),"glo")</f>
        <v>glo</v>
      </c>
      <c r="B281" s="246" t="str">
        <f>IFERROR(__xludf.DUMMYFUNCTION("""COMPUTED_VALUE"""),"GLOW")</f>
        <v>GLOW</v>
      </c>
      <c r="C281" s="246" t="str">
        <f>IFERROR(__xludf.DUMMYFUNCTION("""COMPUTED_VALUE"""),"00901")</f>
        <v>00901</v>
      </c>
      <c r="D281" s="246" t="str">
        <f>IFERROR(__xludf.DUMMYFUNCTION("""COMPUTED_VALUE"""),"enemy_glo_00901")</f>
        <v>enemy_glo_00901</v>
      </c>
      <c r="E281" s="246" t="str">
        <f>IFERROR(__xludf.DUMMYFUNCTION("""COMPUTED_VALUE"""),"宝箱")</f>
        <v>宝箱</v>
      </c>
      <c r="F281" s="246" t="str">
        <f>IFERROR(__xludf.DUMMYFUNCTION("""COMPUTED_VALUE"""),"宝箱")</f>
        <v>宝箱</v>
      </c>
      <c r="G281" s="246" t="str">
        <f>IFERROR(__xludf.DUMMYFUNCTION("""COMPUTED_VALUE"""),"ー")</f>
        <v>ー</v>
      </c>
      <c r="H281" s="246"/>
      <c r="I281" s="246"/>
      <c r="J281" s="246" t="str">
        <f>IFERROR(__xludf.DUMMYFUNCTION("""COMPUTED_VALUE"""),"無")</f>
        <v>無</v>
      </c>
      <c r="K281" s="246" t="str">
        <f>IFERROR(__xludf.DUMMYFUNCTION("""COMPUTED_VALUE"""),"enemy")</f>
        <v>enemy</v>
      </c>
      <c r="L281" s="246" t="str">
        <f>IFERROR(__xludf.DUMMYFUNCTION("""COMPUTED_VALUE"""),"アタック")</f>
        <v>アタック</v>
      </c>
      <c r="M281" s="246" t="str">
        <f>IFERROR(__xludf.DUMMYFUNCTION("""COMPUTED_VALUE"""),"-")</f>
        <v>-</v>
      </c>
      <c r="N281" s="252"/>
      <c r="O281" s="246"/>
      <c r="P281" s="246" t="str">
        <f>IFERROR(__xludf.DUMMYFUNCTION("""COMPUTED_VALUE"""),"00901")</f>
        <v>00901</v>
      </c>
      <c r="Q281" s="246"/>
      <c r="R281" s="246"/>
      <c r="S281" s="246"/>
      <c r="T281" s="246"/>
      <c r="U281" s="246">
        <f>IFERROR(__xludf.DUMMYFUNCTION("""COMPUTED_VALUE"""),45658.0)</f>
        <v>45658</v>
      </c>
      <c r="V281" s="246">
        <f>IFERROR(__xludf.DUMMYFUNCTION("""COMPUTED_VALUE"""),390812.49998842593)</f>
        <v>390812.5</v>
      </c>
      <c r="W281" s="246" t="str">
        <f>IFERROR(__xludf.DUMMYFUNCTION("""COMPUTED_VALUE"""),"catchcopy_character_enemy_glo_00901.png")</f>
        <v>catchcopy_character_enemy_glo_00901.png</v>
      </c>
      <c r="X281" s="246" t="str">
        <f>IFERROR(__xludf.DUMMYFUNCTION("""COMPUTED_VALUE"""),"enemy_icon_enemy_glo_00901")</f>
        <v>enemy_icon_enemy_glo_00901</v>
      </c>
      <c r="Y281" s="246" t="str">
        <f>IFERROR(__xludf.DUMMYFUNCTION("""COMPUTED_VALUE"""),"boss_icon_enemy_glo_00901")</f>
        <v>boss_icon_enemy_glo_00901</v>
      </c>
      <c r="Z281" s="246"/>
    </row>
    <row r="282">
      <c r="A282" s="246"/>
      <c r="B282" s="246"/>
      <c r="C282" s="246"/>
      <c r="D282" s="246"/>
      <c r="E282" s="246"/>
      <c r="F282" s="246"/>
      <c r="G282" s="246"/>
      <c r="H282" s="246"/>
      <c r="I282" s="246"/>
      <c r="J282" s="246" t="str">
        <f>IFERROR(__xludf.DUMMYFUNCTION("""COMPUTED_VALUE"""),"無")</f>
        <v>無</v>
      </c>
      <c r="K282" s="246"/>
      <c r="L282" s="246" t="str">
        <f>IFERROR(__xludf.DUMMYFUNCTION("""COMPUTED_VALUE"""),"アタック")</f>
        <v>アタック</v>
      </c>
      <c r="M282" s="246"/>
      <c r="N282" s="252"/>
      <c r="O282" s="246"/>
      <c r="P282" s="246"/>
      <c r="Q282" s="246"/>
      <c r="R282" s="246"/>
      <c r="S282" s="246"/>
      <c r="T282" s="246"/>
      <c r="U282" s="246"/>
      <c r="V282" s="246"/>
      <c r="W282" s="246"/>
      <c r="X282" s="246"/>
      <c r="Y282" s="246"/>
      <c r="Z282" s="246"/>
    </row>
    <row r="283">
      <c r="A283" s="246"/>
      <c r="B283" s="246"/>
      <c r="C283" s="246"/>
      <c r="D283" s="246"/>
      <c r="E283" s="246"/>
      <c r="F283" s="246"/>
      <c r="G283" s="246"/>
      <c r="H283" s="246"/>
      <c r="I283" s="246"/>
      <c r="J283" s="246"/>
      <c r="K283" s="246"/>
      <c r="L283" s="246"/>
      <c r="M283" s="246"/>
      <c r="N283" s="252"/>
      <c r="O283" s="246"/>
      <c r="P283" s="246"/>
      <c r="Q283" s="246"/>
      <c r="R283" s="246"/>
      <c r="S283" s="246"/>
      <c r="T283" s="246"/>
      <c r="U283" s="246"/>
      <c r="V283" s="246"/>
      <c r="W283" s="246"/>
      <c r="X283" s="246"/>
      <c r="Y283" s="246"/>
      <c r="Z283" s="246"/>
    </row>
    <row r="284">
      <c r="A284" s="246"/>
      <c r="B284" s="246"/>
      <c r="C284" s="246"/>
      <c r="D284" s="246"/>
      <c r="E284" s="246"/>
      <c r="F284" s="246"/>
      <c r="G284" s="246"/>
      <c r="H284" s="246"/>
      <c r="I284" s="246"/>
      <c r="J284" s="246"/>
      <c r="K284" s="246"/>
      <c r="L284" s="246"/>
      <c r="M284" s="246"/>
      <c r="N284" s="252"/>
      <c r="O284" s="246"/>
      <c r="P284" s="246"/>
      <c r="Q284" s="246"/>
      <c r="R284" s="246"/>
      <c r="S284" s="246"/>
      <c r="T284" s="246"/>
      <c r="U284" s="246"/>
      <c r="V284" s="246"/>
      <c r="W284" s="246"/>
      <c r="X284" s="246"/>
      <c r="Y284" s="246"/>
      <c r="Z284" s="246"/>
    </row>
    <row r="285">
      <c r="A285" s="246"/>
      <c r="B285" s="246"/>
      <c r="C285" s="246"/>
      <c r="D285" s="246"/>
      <c r="E285" s="246"/>
      <c r="F285" s="246"/>
      <c r="G285" s="246"/>
      <c r="H285" s="246"/>
      <c r="I285" s="246"/>
      <c r="J285" s="246"/>
      <c r="K285" s="246"/>
      <c r="L285" s="246"/>
      <c r="M285" s="246"/>
      <c r="N285" s="252"/>
      <c r="O285" s="246"/>
      <c r="P285" s="246"/>
      <c r="Q285" s="246"/>
      <c r="R285" s="246"/>
      <c r="S285" s="246"/>
      <c r="T285" s="246"/>
      <c r="U285" s="246"/>
      <c r="V285" s="246"/>
      <c r="W285" s="246"/>
      <c r="X285" s="246"/>
      <c r="Y285" s="246"/>
      <c r="Z285" s="246"/>
    </row>
    <row r="286">
      <c r="A286" s="246"/>
      <c r="B286" s="246"/>
      <c r="C286" s="246"/>
      <c r="D286" s="246"/>
      <c r="E286" s="246"/>
      <c r="F286" s="246"/>
      <c r="G286" s="246"/>
      <c r="H286" s="246"/>
      <c r="I286" s="246"/>
      <c r="J286" s="246"/>
      <c r="K286" s="246"/>
      <c r="L286" s="246"/>
      <c r="M286" s="246"/>
      <c r="N286" s="252"/>
      <c r="O286" s="246"/>
      <c r="P286" s="246"/>
      <c r="Q286" s="246"/>
      <c r="R286" s="246"/>
      <c r="S286" s="246"/>
      <c r="T286" s="246"/>
      <c r="U286" s="246"/>
      <c r="V286" s="246"/>
      <c r="W286" s="246"/>
      <c r="X286" s="246"/>
      <c r="Y286" s="246"/>
      <c r="Z286" s="246"/>
    </row>
    <row r="287">
      <c r="A287" s="246"/>
      <c r="B287" s="246"/>
      <c r="C287" s="246"/>
      <c r="D287" s="246"/>
      <c r="E287" s="246"/>
      <c r="F287" s="246"/>
      <c r="G287" s="246"/>
      <c r="H287" s="246"/>
      <c r="I287" s="246"/>
      <c r="J287" s="246"/>
      <c r="K287" s="246"/>
      <c r="L287" s="246"/>
      <c r="M287" s="246"/>
      <c r="N287" s="252"/>
      <c r="O287" s="246"/>
      <c r="P287" s="246"/>
      <c r="Q287" s="246"/>
      <c r="R287" s="246"/>
      <c r="S287" s="246"/>
      <c r="T287" s="246"/>
      <c r="U287" s="246"/>
      <c r="V287" s="246"/>
      <c r="W287" s="246"/>
      <c r="X287" s="246"/>
      <c r="Y287" s="246"/>
      <c r="Z287" s="246"/>
    </row>
    <row r="288">
      <c r="A288" s="246"/>
      <c r="B288" s="246"/>
      <c r="C288" s="246"/>
      <c r="D288" s="246"/>
      <c r="E288" s="246"/>
      <c r="F288" s="246"/>
      <c r="G288" s="246"/>
      <c r="H288" s="246"/>
      <c r="I288" s="246"/>
      <c r="J288" s="246"/>
      <c r="K288" s="246"/>
      <c r="L288" s="246"/>
      <c r="M288" s="246"/>
      <c r="N288" s="252"/>
      <c r="O288" s="246"/>
      <c r="P288" s="246"/>
      <c r="Q288" s="246"/>
      <c r="R288" s="246"/>
      <c r="S288" s="246"/>
      <c r="T288" s="246"/>
      <c r="U288" s="246"/>
      <c r="V288" s="246"/>
      <c r="W288" s="246"/>
      <c r="X288" s="246"/>
      <c r="Y288" s="246"/>
      <c r="Z288" s="246"/>
    </row>
    <row r="289">
      <c r="A289" s="246"/>
      <c r="B289" s="246"/>
      <c r="C289" s="246"/>
      <c r="D289" s="246"/>
      <c r="E289" s="246"/>
      <c r="F289" s="246"/>
      <c r="G289" s="246"/>
      <c r="H289" s="246"/>
      <c r="I289" s="246"/>
      <c r="J289" s="246"/>
      <c r="K289" s="246"/>
      <c r="L289" s="246"/>
      <c r="M289" s="246"/>
      <c r="N289" s="252"/>
      <c r="O289" s="246"/>
      <c r="P289" s="246"/>
      <c r="Q289" s="246"/>
      <c r="R289" s="246"/>
      <c r="S289" s="246"/>
      <c r="T289" s="246"/>
      <c r="U289" s="246"/>
      <c r="V289" s="246"/>
      <c r="W289" s="246"/>
      <c r="X289" s="246"/>
      <c r="Y289" s="246"/>
      <c r="Z289" s="246"/>
    </row>
    <row r="290">
      <c r="A290" s="246"/>
      <c r="B290" s="246"/>
      <c r="C290" s="246"/>
      <c r="D290" s="246"/>
      <c r="E290" s="246"/>
      <c r="F290" s="246"/>
      <c r="G290" s="246"/>
      <c r="H290" s="246"/>
      <c r="I290" s="246"/>
      <c r="J290" s="246"/>
      <c r="K290" s="246"/>
      <c r="L290" s="246"/>
      <c r="M290" s="246"/>
      <c r="N290" s="252"/>
      <c r="O290" s="246"/>
      <c r="P290" s="246"/>
      <c r="Q290" s="246"/>
      <c r="R290" s="246"/>
      <c r="S290" s="246"/>
      <c r="T290" s="246"/>
      <c r="U290" s="246"/>
      <c r="V290" s="246"/>
      <c r="W290" s="246"/>
      <c r="X290" s="246"/>
      <c r="Y290" s="246"/>
      <c r="Z290" s="246"/>
    </row>
    <row r="291">
      <c r="A291" s="246"/>
      <c r="B291" s="246"/>
      <c r="C291" s="246"/>
      <c r="D291" s="246"/>
      <c r="E291" s="246"/>
      <c r="F291" s="246"/>
      <c r="G291" s="246"/>
      <c r="H291" s="246"/>
      <c r="I291" s="246"/>
      <c r="J291" s="246"/>
      <c r="K291" s="246"/>
      <c r="L291" s="246"/>
      <c r="M291" s="246"/>
      <c r="N291" s="252"/>
      <c r="O291" s="246"/>
      <c r="P291" s="246"/>
      <c r="Q291" s="246"/>
      <c r="R291" s="246"/>
      <c r="S291" s="246"/>
      <c r="T291" s="246"/>
      <c r="U291" s="246"/>
      <c r="V291" s="246"/>
      <c r="W291" s="246"/>
      <c r="X291" s="246"/>
      <c r="Y291" s="246"/>
      <c r="Z291" s="246"/>
    </row>
    <row r="292">
      <c r="A292" s="246"/>
      <c r="B292" s="246"/>
      <c r="C292" s="246"/>
      <c r="D292" s="246"/>
      <c r="E292" s="246"/>
      <c r="F292" s="246"/>
      <c r="G292" s="246"/>
      <c r="H292" s="246"/>
      <c r="I292" s="246"/>
      <c r="J292" s="246"/>
      <c r="K292" s="246"/>
      <c r="L292" s="246"/>
      <c r="M292" s="246"/>
      <c r="N292" s="252"/>
      <c r="O292" s="246"/>
      <c r="P292" s="246"/>
      <c r="Q292" s="246"/>
      <c r="R292" s="246"/>
      <c r="S292" s="246"/>
      <c r="T292" s="246"/>
      <c r="U292" s="246"/>
      <c r="V292" s="246"/>
      <c r="W292" s="246"/>
      <c r="X292" s="246"/>
      <c r="Y292" s="246"/>
      <c r="Z292" s="246"/>
    </row>
    <row r="293">
      <c r="A293" s="246"/>
      <c r="B293" s="246"/>
      <c r="C293" s="246"/>
      <c r="D293" s="246"/>
      <c r="E293" s="246"/>
      <c r="F293" s="246"/>
      <c r="G293" s="246"/>
      <c r="H293" s="246"/>
      <c r="I293" s="246"/>
      <c r="J293" s="246"/>
      <c r="K293" s="246"/>
      <c r="L293" s="246"/>
      <c r="M293" s="246"/>
      <c r="N293" s="252"/>
      <c r="O293" s="246"/>
      <c r="P293" s="246"/>
      <c r="Q293" s="246"/>
      <c r="R293" s="246"/>
      <c r="S293" s="246"/>
      <c r="T293" s="246"/>
      <c r="U293" s="246"/>
      <c r="V293" s="246"/>
      <c r="W293" s="246"/>
      <c r="X293" s="246"/>
      <c r="Y293" s="246"/>
      <c r="Z293" s="246"/>
    </row>
    <row r="294">
      <c r="A294" s="246"/>
      <c r="B294" s="246"/>
      <c r="C294" s="246"/>
      <c r="D294" s="246"/>
      <c r="E294" s="246"/>
      <c r="F294" s="246"/>
      <c r="G294" s="246"/>
      <c r="H294" s="246"/>
      <c r="I294" s="246"/>
      <c r="J294" s="246"/>
      <c r="K294" s="246"/>
      <c r="L294" s="246"/>
      <c r="M294" s="246"/>
      <c r="N294" s="252"/>
      <c r="O294" s="246"/>
      <c r="P294" s="246"/>
      <c r="Q294" s="246"/>
      <c r="R294" s="246"/>
      <c r="S294" s="246"/>
      <c r="T294" s="246"/>
      <c r="U294" s="246"/>
      <c r="V294" s="246"/>
      <c r="W294" s="246"/>
      <c r="X294" s="246"/>
      <c r="Y294" s="246"/>
      <c r="Z294" s="246"/>
    </row>
    <row r="295">
      <c r="A295" s="246"/>
      <c r="B295" s="246"/>
      <c r="C295" s="246"/>
      <c r="D295" s="246"/>
      <c r="E295" s="246"/>
      <c r="F295" s="246"/>
      <c r="G295" s="246"/>
      <c r="H295" s="246"/>
      <c r="I295" s="246"/>
      <c r="J295" s="246"/>
      <c r="K295" s="246"/>
      <c r="L295" s="246"/>
      <c r="M295" s="246"/>
      <c r="N295" s="252"/>
      <c r="O295" s="246"/>
      <c r="P295" s="246"/>
      <c r="Q295" s="246"/>
      <c r="R295" s="246"/>
      <c r="S295" s="246"/>
      <c r="T295" s="246"/>
      <c r="U295" s="246"/>
      <c r="V295" s="246"/>
      <c r="W295" s="246"/>
      <c r="X295" s="246"/>
      <c r="Y295" s="246"/>
      <c r="Z295" s="246"/>
    </row>
    <row r="296">
      <c r="A296" s="246"/>
      <c r="B296" s="246"/>
      <c r="C296" s="246"/>
      <c r="D296" s="246"/>
      <c r="E296" s="246"/>
      <c r="F296" s="246"/>
      <c r="G296" s="246"/>
      <c r="H296" s="246"/>
      <c r="I296" s="246"/>
      <c r="J296" s="246"/>
      <c r="K296" s="246"/>
      <c r="L296" s="246"/>
      <c r="M296" s="246"/>
      <c r="N296" s="252"/>
      <c r="O296" s="246"/>
      <c r="P296" s="246"/>
      <c r="Q296" s="246"/>
      <c r="R296" s="246"/>
      <c r="S296" s="246"/>
      <c r="T296" s="246"/>
      <c r="U296" s="246"/>
      <c r="V296" s="246"/>
      <c r="W296" s="246"/>
      <c r="X296" s="246"/>
      <c r="Y296" s="246"/>
      <c r="Z296" s="246"/>
    </row>
    <row r="297">
      <c r="A297" s="246"/>
      <c r="B297" s="246"/>
      <c r="C297" s="246"/>
      <c r="D297" s="246"/>
      <c r="E297" s="246"/>
      <c r="F297" s="246"/>
      <c r="G297" s="246"/>
      <c r="H297" s="246"/>
      <c r="I297" s="246"/>
      <c r="J297" s="246"/>
      <c r="K297" s="246"/>
      <c r="L297" s="246"/>
      <c r="M297" s="246"/>
      <c r="N297" s="252"/>
      <c r="O297" s="246"/>
      <c r="P297" s="246"/>
      <c r="Q297" s="246"/>
      <c r="R297" s="246"/>
      <c r="S297" s="246"/>
      <c r="T297" s="246"/>
      <c r="U297" s="246"/>
      <c r="V297" s="246"/>
      <c r="W297" s="246"/>
      <c r="X297" s="246"/>
      <c r="Y297" s="246"/>
      <c r="Z297" s="246"/>
    </row>
    <row r="298">
      <c r="A298" s="246"/>
      <c r="B298" s="246"/>
      <c r="C298" s="246"/>
      <c r="D298" s="246"/>
      <c r="E298" s="246"/>
      <c r="F298" s="246"/>
      <c r="G298" s="246"/>
      <c r="H298" s="246"/>
      <c r="I298" s="246"/>
      <c r="J298" s="246"/>
      <c r="K298" s="246"/>
      <c r="L298" s="246"/>
      <c r="M298" s="246"/>
      <c r="N298" s="252"/>
      <c r="O298" s="246"/>
      <c r="P298" s="246"/>
      <c r="Q298" s="246"/>
      <c r="R298" s="246"/>
      <c r="S298" s="246"/>
      <c r="T298" s="246"/>
      <c r="U298" s="246"/>
      <c r="V298" s="246"/>
      <c r="W298" s="246"/>
      <c r="X298" s="246"/>
      <c r="Y298" s="246"/>
      <c r="Z298" s="246"/>
    </row>
    <row r="299">
      <c r="A299" s="246"/>
      <c r="B299" s="246"/>
      <c r="C299" s="246"/>
      <c r="D299" s="246"/>
      <c r="E299" s="246"/>
      <c r="F299" s="246"/>
      <c r="G299" s="246"/>
      <c r="H299" s="246"/>
      <c r="I299" s="246"/>
      <c r="J299" s="246"/>
      <c r="K299" s="246"/>
      <c r="L299" s="246"/>
      <c r="M299" s="246"/>
      <c r="N299" s="252"/>
      <c r="O299" s="246"/>
      <c r="P299" s="246"/>
      <c r="Q299" s="246"/>
      <c r="R299" s="246"/>
      <c r="S299" s="246"/>
      <c r="T299" s="246"/>
      <c r="U299" s="246"/>
      <c r="V299" s="246"/>
      <c r="W299" s="246"/>
      <c r="X299" s="246"/>
      <c r="Y299" s="246"/>
      <c r="Z299" s="246"/>
    </row>
    <row r="300">
      <c r="A300" s="246"/>
      <c r="B300" s="246"/>
      <c r="C300" s="246"/>
      <c r="D300" s="246"/>
      <c r="E300" s="246"/>
      <c r="F300" s="246"/>
      <c r="G300" s="246"/>
      <c r="H300" s="246"/>
      <c r="I300" s="246"/>
      <c r="J300" s="246"/>
      <c r="K300" s="246"/>
      <c r="L300" s="246"/>
      <c r="M300" s="246"/>
      <c r="N300" s="252"/>
      <c r="O300" s="246"/>
      <c r="P300" s="246"/>
      <c r="Q300" s="246"/>
      <c r="R300" s="246"/>
      <c r="S300" s="246"/>
      <c r="T300" s="246"/>
      <c r="U300" s="246"/>
      <c r="V300" s="246"/>
      <c r="W300" s="246"/>
      <c r="X300" s="246"/>
      <c r="Y300" s="246"/>
      <c r="Z300" s="246"/>
    </row>
    <row r="301">
      <c r="A301" s="246"/>
      <c r="B301" s="246"/>
      <c r="C301" s="246"/>
      <c r="D301" s="246"/>
      <c r="E301" s="246"/>
      <c r="F301" s="246"/>
      <c r="G301" s="246"/>
      <c r="H301" s="246"/>
      <c r="I301" s="246"/>
      <c r="J301" s="246"/>
      <c r="K301" s="246"/>
      <c r="L301" s="246"/>
      <c r="M301" s="246"/>
      <c r="N301" s="252"/>
      <c r="O301" s="246"/>
      <c r="P301" s="246"/>
      <c r="Q301" s="246"/>
      <c r="R301" s="246"/>
      <c r="S301" s="246"/>
      <c r="T301" s="246"/>
      <c r="U301" s="246"/>
      <c r="V301" s="246"/>
      <c r="W301" s="246"/>
      <c r="X301" s="246"/>
      <c r="Y301" s="246"/>
      <c r="Z301" s="246"/>
    </row>
    <row r="302">
      <c r="A302" s="246"/>
      <c r="B302" s="246"/>
      <c r="C302" s="246"/>
      <c r="D302" s="246"/>
      <c r="E302" s="246"/>
      <c r="F302" s="246"/>
      <c r="G302" s="246"/>
      <c r="H302" s="246"/>
      <c r="I302" s="246"/>
      <c r="J302" s="246"/>
      <c r="K302" s="246"/>
      <c r="L302" s="246"/>
      <c r="M302" s="246"/>
      <c r="N302" s="252"/>
      <c r="O302" s="246"/>
      <c r="P302" s="246"/>
      <c r="Q302" s="246"/>
      <c r="R302" s="246"/>
      <c r="S302" s="246"/>
      <c r="T302" s="246"/>
      <c r="U302" s="246"/>
      <c r="V302" s="246"/>
      <c r="W302" s="246"/>
      <c r="X302" s="246"/>
      <c r="Y302" s="246"/>
      <c r="Z302" s="246"/>
    </row>
    <row r="303">
      <c r="A303" s="246"/>
      <c r="B303" s="246"/>
      <c r="C303" s="246"/>
      <c r="D303" s="246"/>
      <c r="E303" s="246"/>
      <c r="F303" s="246"/>
      <c r="G303" s="246"/>
      <c r="H303" s="246"/>
      <c r="I303" s="246"/>
      <c r="J303" s="246"/>
      <c r="K303" s="246"/>
      <c r="L303" s="246"/>
      <c r="M303" s="246"/>
      <c r="N303" s="252"/>
      <c r="O303" s="246"/>
      <c r="P303" s="246"/>
      <c r="Q303" s="246"/>
      <c r="R303" s="246"/>
      <c r="S303" s="246"/>
      <c r="T303" s="246"/>
      <c r="U303" s="246"/>
      <c r="V303" s="246"/>
      <c r="W303" s="246"/>
      <c r="X303" s="246"/>
      <c r="Y303" s="246"/>
      <c r="Z303" s="246"/>
    </row>
    <row r="304">
      <c r="A304" s="246"/>
      <c r="B304" s="246"/>
      <c r="C304" s="246"/>
      <c r="D304" s="246"/>
      <c r="E304" s="246"/>
      <c r="F304" s="246"/>
      <c r="G304" s="246"/>
      <c r="H304" s="246"/>
      <c r="I304" s="246"/>
      <c r="J304" s="246"/>
      <c r="K304" s="246"/>
      <c r="L304" s="246"/>
      <c r="M304" s="246"/>
      <c r="N304" s="252"/>
      <c r="O304" s="246"/>
      <c r="P304" s="246"/>
      <c r="Q304" s="246"/>
      <c r="R304" s="246"/>
      <c r="S304" s="246"/>
      <c r="T304" s="246"/>
      <c r="U304" s="246"/>
      <c r="V304" s="246"/>
      <c r="W304" s="246"/>
      <c r="X304" s="246"/>
      <c r="Y304" s="246"/>
      <c r="Z304" s="246"/>
    </row>
    <row r="305">
      <c r="A305" s="246"/>
      <c r="B305" s="246"/>
      <c r="C305" s="246"/>
      <c r="D305" s="246"/>
      <c r="E305" s="246"/>
      <c r="F305" s="246"/>
      <c r="G305" s="246"/>
      <c r="H305" s="246"/>
      <c r="I305" s="246"/>
      <c r="J305" s="246"/>
      <c r="K305" s="246"/>
      <c r="L305" s="246"/>
      <c r="M305" s="246"/>
      <c r="N305" s="252"/>
      <c r="O305" s="246"/>
      <c r="P305" s="246"/>
      <c r="Q305" s="246"/>
      <c r="R305" s="246"/>
      <c r="S305" s="246"/>
      <c r="T305" s="246"/>
      <c r="U305" s="246"/>
      <c r="V305" s="246"/>
      <c r="W305" s="246"/>
      <c r="X305" s="246"/>
      <c r="Y305" s="246"/>
      <c r="Z305" s="246"/>
    </row>
    <row r="306">
      <c r="A306" s="246"/>
      <c r="B306" s="246"/>
      <c r="C306" s="246"/>
      <c r="D306" s="246"/>
      <c r="E306" s="246"/>
      <c r="F306" s="246"/>
      <c r="G306" s="246"/>
      <c r="H306" s="246"/>
      <c r="I306" s="246"/>
      <c r="J306" s="246"/>
      <c r="K306" s="246"/>
      <c r="L306" s="246"/>
      <c r="M306" s="246"/>
      <c r="N306" s="252"/>
      <c r="O306" s="246"/>
      <c r="P306" s="246"/>
      <c r="Q306" s="246"/>
      <c r="R306" s="246"/>
      <c r="S306" s="246"/>
      <c r="T306" s="246"/>
      <c r="U306" s="246"/>
      <c r="V306" s="246"/>
      <c r="W306" s="246"/>
      <c r="X306" s="246"/>
      <c r="Y306" s="246"/>
      <c r="Z306" s="246"/>
    </row>
    <row r="307">
      <c r="A307" s="246"/>
      <c r="B307" s="246"/>
      <c r="C307" s="246"/>
      <c r="D307" s="246"/>
      <c r="E307" s="246"/>
      <c r="F307" s="246"/>
      <c r="G307" s="246"/>
      <c r="H307" s="246"/>
      <c r="I307" s="246"/>
      <c r="J307" s="246"/>
      <c r="K307" s="246"/>
      <c r="L307" s="246"/>
      <c r="M307" s="246"/>
      <c r="N307" s="252"/>
      <c r="O307" s="246"/>
      <c r="P307" s="246"/>
      <c r="Q307" s="246"/>
      <c r="R307" s="246"/>
      <c r="S307" s="246"/>
      <c r="T307" s="246"/>
      <c r="U307" s="246"/>
      <c r="V307" s="246"/>
      <c r="W307" s="246"/>
      <c r="X307" s="246"/>
      <c r="Y307" s="246"/>
      <c r="Z307" s="246"/>
    </row>
    <row r="308">
      <c r="A308" s="246"/>
      <c r="B308" s="246"/>
      <c r="C308" s="246"/>
      <c r="D308" s="246"/>
      <c r="E308" s="246"/>
      <c r="F308" s="246"/>
      <c r="G308" s="246"/>
      <c r="H308" s="246"/>
      <c r="I308" s="246"/>
      <c r="J308" s="246"/>
      <c r="K308" s="246"/>
      <c r="L308" s="246"/>
      <c r="M308" s="246"/>
      <c r="N308" s="252"/>
      <c r="O308" s="246"/>
      <c r="P308" s="246"/>
      <c r="Q308" s="246"/>
      <c r="R308" s="246"/>
      <c r="S308" s="246"/>
      <c r="T308" s="246"/>
      <c r="U308" s="246"/>
      <c r="V308" s="246"/>
      <c r="W308" s="246"/>
      <c r="X308" s="246"/>
      <c r="Y308" s="246"/>
      <c r="Z308" s="246"/>
    </row>
    <row r="309">
      <c r="A309" s="246"/>
      <c r="B309" s="246"/>
      <c r="C309" s="246"/>
      <c r="D309" s="246"/>
      <c r="E309" s="246"/>
      <c r="F309" s="246"/>
      <c r="G309" s="246"/>
      <c r="H309" s="246"/>
      <c r="I309" s="246"/>
      <c r="J309" s="246"/>
      <c r="K309" s="246"/>
      <c r="L309" s="246"/>
      <c r="M309" s="246"/>
      <c r="N309" s="252"/>
      <c r="O309" s="246"/>
      <c r="P309" s="246"/>
      <c r="Q309" s="246"/>
      <c r="R309" s="246"/>
      <c r="S309" s="246"/>
      <c r="T309" s="246"/>
      <c r="U309" s="246"/>
      <c r="V309" s="246"/>
      <c r="W309" s="246"/>
      <c r="X309" s="246"/>
      <c r="Y309" s="246"/>
      <c r="Z309" s="246"/>
    </row>
    <row r="310">
      <c r="A310" s="246"/>
      <c r="B310" s="246"/>
      <c r="C310" s="246"/>
      <c r="D310" s="246"/>
      <c r="E310" s="246"/>
      <c r="F310" s="246"/>
      <c r="G310" s="246"/>
      <c r="H310" s="246"/>
      <c r="I310" s="246"/>
      <c r="J310" s="246"/>
      <c r="K310" s="246"/>
      <c r="L310" s="246"/>
      <c r="M310" s="246"/>
      <c r="N310" s="252"/>
      <c r="O310" s="246"/>
      <c r="P310" s="246"/>
      <c r="Q310" s="246"/>
      <c r="R310" s="246"/>
      <c r="S310" s="246"/>
      <c r="T310" s="246"/>
      <c r="U310" s="246"/>
      <c r="V310" s="246"/>
      <c r="W310" s="246"/>
      <c r="X310" s="246"/>
      <c r="Y310" s="246"/>
      <c r="Z310" s="246"/>
    </row>
    <row r="311">
      <c r="A311" s="246"/>
      <c r="B311" s="246"/>
      <c r="C311" s="246"/>
      <c r="D311" s="246"/>
      <c r="E311" s="246"/>
      <c r="F311" s="246"/>
      <c r="G311" s="246"/>
      <c r="H311" s="246"/>
      <c r="I311" s="246"/>
      <c r="J311" s="246"/>
      <c r="K311" s="246"/>
      <c r="L311" s="246"/>
      <c r="M311" s="246"/>
      <c r="N311" s="252"/>
      <c r="O311" s="246"/>
      <c r="P311" s="246"/>
      <c r="Q311" s="246"/>
      <c r="R311" s="246"/>
      <c r="S311" s="246"/>
      <c r="T311" s="246"/>
      <c r="U311" s="246"/>
      <c r="V311" s="246"/>
      <c r="W311" s="246"/>
      <c r="X311" s="246"/>
      <c r="Y311" s="246"/>
      <c r="Z311" s="246"/>
    </row>
    <row r="312">
      <c r="A312" s="246"/>
      <c r="B312" s="246"/>
      <c r="C312" s="246"/>
      <c r="D312" s="246"/>
      <c r="E312" s="246"/>
      <c r="F312" s="246"/>
      <c r="G312" s="246"/>
      <c r="H312" s="246"/>
      <c r="I312" s="246"/>
      <c r="J312" s="246"/>
      <c r="K312" s="246"/>
      <c r="L312" s="246"/>
      <c r="M312" s="246"/>
      <c r="N312" s="252"/>
      <c r="O312" s="246"/>
      <c r="P312" s="246"/>
      <c r="Q312" s="246"/>
      <c r="R312" s="246"/>
      <c r="S312" s="246"/>
      <c r="T312" s="246"/>
      <c r="U312" s="246"/>
      <c r="V312" s="246"/>
      <c r="W312" s="246"/>
      <c r="X312" s="246"/>
      <c r="Y312" s="246"/>
      <c r="Z312" s="246"/>
    </row>
    <row r="313">
      <c r="A313" s="246"/>
      <c r="B313" s="246"/>
      <c r="C313" s="246"/>
      <c r="D313" s="246"/>
      <c r="E313" s="246"/>
      <c r="F313" s="246"/>
      <c r="G313" s="246"/>
      <c r="H313" s="246"/>
      <c r="I313" s="246"/>
      <c r="J313" s="246"/>
      <c r="K313" s="246"/>
      <c r="L313" s="246"/>
      <c r="M313" s="246"/>
      <c r="N313" s="252"/>
      <c r="O313" s="246"/>
      <c r="P313" s="246"/>
      <c r="Q313" s="246"/>
      <c r="R313" s="246"/>
      <c r="S313" s="246"/>
      <c r="T313" s="246"/>
      <c r="U313" s="246"/>
      <c r="V313" s="246"/>
      <c r="W313" s="246"/>
      <c r="X313" s="246"/>
      <c r="Y313" s="246"/>
      <c r="Z313" s="246"/>
    </row>
    <row r="314">
      <c r="A314" s="246"/>
      <c r="B314" s="246"/>
      <c r="C314" s="246"/>
      <c r="D314" s="246"/>
      <c r="E314" s="246"/>
      <c r="F314" s="246"/>
      <c r="G314" s="246"/>
      <c r="H314" s="246"/>
      <c r="I314" s="246"/>
      <c r="J314" s="246"/>
      <c r="K314" s="246"/>
      <c r="L314" s="246"/>
      <c r="M314" s="246"/>
      <c r="N314" s="252"/>
      <c r="O314" s="246"/>
      <c r="P314" s="246"/>
      <c r="Q314" s="246"/>
      <c r="R314" s="246"/>
      <c r="S314" s="246"/>
      <c r="T314" s="246"/>
      <c r="U314" s="246"/>
      <c r="V314" s="246"/>
      <c r="W314" s="246"/>
      <c r="X314" s="246"/>
      <c r="Y314" s="246"/>
      <c r="Z314" s="246"/>
    </row>
    <row r="315">
      <c r="A315" s="246"/>
      <c r="B315" s="246"/>
      <c r="C315" s="246"/>
      <c r="D315" s="246"/>
      <c r="E315" s="246"/>
      <c r="F315" s="246"/>
      <c r="G315" s="246"/>
      <c r="H315" s="246"/>
      <c r="I315" s="246"/>
      <c r="J315" s="246"/>
      <c r="K315" s="246"/>
      <c r="L315" s="246"/>
      <c r="M315" s="246"/>
      <c r="N315" s="252"/>
      <c r="O315" s="246"/>
      <c r="P315" s="246"/>
      <c r="Q315" s="246"/>
      <c r="R315" s="246"/>
      <c r="S315" s="246"/>
      <c r="T315" s="246"/>
      <c r="U315" s="246"/>
      <c r="V315" s="246"/>
      <c r="W315" s="246"/>
      <c r="X315" s="246"/>
      <c r="Y315" s="246"/>
      <c r="Z315" s="246"/>
    </row>
    <row r="316">
      <c r="A316" s="246"/>
      <c r="B316" s="246"/>
      <c r="C316" s="246"/>
      <c r="D316" s="246"/>
      <c r="E316" s="246"/>
      <c r="F316" s="246"/>
      <c r="G316" s="246"/>
      <c r="H316" s="246"/>
      <c r="I316" s="246"/>
      <c r="J316" s="246"/>
      <c r="K316" s="246"/>
      <c r="L316" s="246"/>
      <c r="M316" s="246"/>
      <c r="N316" s="252"/>
      <c r="O316" s="246"/>
      <c r="P316" s="246"/>
      <c r="Q316" s="246"/>
      <c r="R316" s="246"/>
      <c r="S316" s="246"/>
      <c r="T316" s="246"/>
      <c r="U316" s="246"/>
      <c r="V316" s="246"/>
      <c r="W316" s="246"/>
      <c r="X316" s="246"/>
      <c r="Y316" s="246"/>
      <c r="Z316" s="246"/>
    </row>
    <row r="317">
      <c r="A317" s="246"/>
      <c r="B317" s="246"/>
      <c r="C317" s="246"/>
      <c r="D317" s="246"/>
      <c r="E317" s="246"/>
      <c r="F317" s="246"/>
      <c r="G317" s="246"/>
      <c r="H317" s="246"/>
      <c r="I317" s="246"/>
      <c r="J317" s="246"/>
      <c r="K317" s="246"/>
      <c r="L317" s="246"/>
      <c r="M317" s="246"/>
      <c r="N317" s="252"/>
      <c r="O317" s="246"/>
      <c r="P317" s="246"/>
      <c r="Q317" s="246"/>
      <c r="R317" s="246"/>
      <c r="S317" s="246"/>
      <c r="T317" s="246"/>
      <c r="U317" s="246"/>
      <c r="V317" s="246"/>
      <c r="W317" s="246"/>
      <c r="X317" s="246"/>
      <c r="Y317" s="246"/>
      <c r="Z317" s="246"/>
    </row>
    <row r="318">
      <c r="A318" s="246"/>
      <c r="B318" s="246"/>
      <c r="C318" s="246"/>
      <c r="D318" s="246"/>
      <c r="E318" s="246"/>
      <c r="F318" s="246"/>
      <c r="G318" s="246"/>
      <c r="H318" s="246"/>
      <c r="I318" s="246"/>
      <c r="J318" s="246"/>
      <c r="K318" s="246"/>
      <c r="L318" s="246"/>
      <c r="M318" s="246"/>
      <c r="N318" s="252"/>
      <c r="O318" s="246"/>
      <c r="P318" s="246"/>
      <c r="Q318" s="246"/>
      <c r="R318" s="246"/>
      <c r="S318" s="246"/>
      <c r="T318" s="246"/>
      <c r="U318" s="246"/>
      <c r="V318" s="246"/>
      <c r="W318" s="246"/>
      <c r="X318" s="246"/>
      <c r="Y318" s="246"/>
      <c r="Z318" s="246"/>
    </row>
    <row r="319">
      <c r="A319" s="246"/>
      <c r="B319" s="246"/>
      <c r="C319" s="246"/>
      <c r="D319" s="246"/>
      <c r="E319" s="246"/>
      <c r="F319" s="246"/>
      <c r="G319" s="246"/>
      <c r="H319" s="246"/>
      <c r="I319" s="246"/>
      <c r="J319" s="246"/>
      <c r="K319" s="246"/>
      <c r="L319" s="246"/>
      <c r="M319" s="246"/>
      <c r="N319" s="252"/>
      <c r="O319" s="246"/>
      <c r="P319" s="246"/>
      <c r="Q319" s="246"/>
      <c r="R319" s="246"/>
      <c r="S319" s="246"/>
      <c r="T319" s="246"/>
      <c r="U319" s="246"/>
      <c r="V319" s="246"/>
      <c r="W319" s="246"/>
      <c r="X319" s="246"/>
      <c r="Y319" s="246"/>
      <c r="Z319" s="246"/>
    </row>
    <row r="320">
      <c r="A320" s="246"/>
      <c r="B320" s="246"/>
      <c r="C320" s="246"/>
      <c r="D320" s="246"/>
      <c r="E320" s="246"/>
      <c r="F320" s="246"/>
      <c r="G320" s="246"/>
      <c r="H320" s="246"/>
      <c r="I320" s="246"/>
      <c r="J320" s="246"/>
      <c r="K320" s="246"/>
      <c r="L320" s="246"/>
      <c r="M320" s="246"/>
      <c r="N320" s="252"/>
      <c r="O320" s="246"/>
      <c r="P320" s="246"/>
      <c r="Q320" s="246"/>
      <c r="R320" s="246"/>
      <c r="S320" s="246"/>
      <c r="T320" s="246"/>
      <c r="U320" s="246"/>
      <c r="V320" s="246"/>
      <c r="W320" s="246"/>
      <c r="X320" s="246"/>
      <c r="Y320" s="246"/>
      <c r="Z320" s="246"/>
    </row>
    <row r="321">
      <c r="A321" s="246"/>
      <c r="B321" s="246"/>
      <c r="C321" s="246"/>
      <c r="D321" s="246"/>
      <c r="E321" s="246"/>
      <c r="F321" s="246"/>
      <c r="G321" s="246"/>
      <c r="H321" s="246"/>
      <c r="I321" s="246"/>
      <c r="J321" s="246"/>
      <c r="K321" s="246"/>
      <c r="L321" s="246"/>
      <c r="M321" s="246"/>
      <c r="N321" s="252"/>
      <c r="O321" s="246"/>
      <c r="P321" s="246"/>
      <c r="Q321" s="246"/>
      <c r="R321" s="246"/>
      <c r="S321" s="246"/>
      <c r="T321" s="246"/>
      <c r="U321" s="246"/>
      <c r="V321" s="246"/>
      <c r="W321" s="246"/>
      <c r="X321" s="246"/>
      <c r="Y321" s="246"/>
      <c r="Z321" s="246"/>
    </row>
    <row r="322">
      <c r="A322" s="246"/>
      <c r="B322" s="246"/>
      <c r="C322" s="246"/>
      <c r="D322" s="246"/>
      <c r="E322" s="246"/>
      <c r="F322" s="246"/>
      <c r="G322" s="246"/>
      <c r="H322" s="246"/>
      <c r="I322" s="246"/>
      <c r="J322" s="246"/>
      <c r="K322" s="246"/>
      <c r="L322" s="246"/>
      <c r="M322" s="246"/>
      <c r="N322" s="252"/>
      <c r="O322" s="246"/>
      <c r="P322" s="246"/>
      <c r="Q322" s="246"/>
      <c r="R322" s="246"/>
      <c r="S322" s="246"/>
      <c r="T322" s="246"/>
      <c r="U322" s="246"/>
      <c r="V322" s="246"/>
      <c r="W322" s="246"/>
      <c r="X322" s="246"/>
      <c r="Y322" s="246"/>
      <c r="Z322" s="246"/>
    </row>
    <row r="323">
      <c r="A323" s="246"/>
      <c r="B323" s="246"/>
      <c r="C323" s="246"/>
      <c r="D323" s="246"/>
      <c r="E323" s="246"/>
      <c r="F323" s="246"/>
      <c r="G323" s="246"/>
      <c r="H323" s="246"/>
      <c r="I323" s="246"/>
      <c r="J323" s="246"/>
      <c r="K323" s="246"/>
      <c r="L323" s="246"/>
      <c r="M323" s="246"/>
      <c r="N323" s="252"/>
      <c r="O323" s="246"/>
      <c r="P323" s="246"/>
      <c r="Q323" s="246"/>
      <c r="R323" s="246"/>
      <c r="S323" s="246"/>
      <c r="T323" s="246"/>
      <c r="U323" s="246"/>
      <c r="V323" s="246"/>
      <c r="W323" s="246"/>
      <c r="X323" s="246"/>
      <c r="Y323" s="246"/>
      <c r="Z323" s="246"/>
    </row>
    <row r="324">
      <c r="A324" s="246"/>
      <c r="B324" s="246"/>
      <c r="C324" s="246"/>
      <c r="D324" s="246"/>
      <c r="E324" s="246"/>
      <c r="F324" s="246"/>
      <c r="G324" s="246"/>
      <c r="H324" s="246"/>
      <c r="I324" s="246"/>
      <c r="J324" s="246"/>
      <c r="K324" s="246"/>
      <c r="L324" s="246"/>
      <c r="M324" s="246"/>
      <c r="N324" s="252"/>
      <c r="O324" s="246"/>
      <c r="P324" s="246"/>
      <c r="Q324" s="246"/>
      <c r="R324" s="246"/>
      <c r="S324" s="246"/>
      <c r="T324" s="246"/>
      <c r="U324" s="246"/>
      <c r="V324" s="246"/>
      <c r="W324" s="246"/>
      <c r="X324" s="246"/>
      <c r="Y324" s="246"/>
      <c r="Z324" s="246"/>
    </row>
    <row r="325">
      <c r="A325" s="246"/>
      <c r="B325" s="246"/>
      <c r="C325" s="246"/>
      <c r="D325" s="246"/>
      <c r="E325" s="246"/>
      <c r="F325" s="246"/>
      <c r="G325" s="246"/>
      <c r="H325" s="246"/>
      <c r="I325" s="246"/>
      <c r="J325" s="246"/>
      <c r="K325" s="246"/>
      <c r="L325" s="246"/>
      <c r="M325" s="246"/>
      <c r="N325" s="252"/>
      <c r="O325" s="246"/>
      <c r="P325" s="246"/>
      <c r="Q325" s="246"/>
      <c r="R325" s="246"/>
      <c r="S325" s="246"/>
      <c r="T325" s="246"/>
      <c r="U325" s="246"/>
      <c r="V325" s="246"/>
      <c r="W325" s="246"/>
      <c r="X325" s="246"/>
      <c r="Y325" s="246"/>
      <c r="Z325" s="246"/>
    </row>
    <row r="326">
      <c r="A326" s="246"/>
      <c r="B326" s="246"/>
      <c r="C326" s="246"/>
      <c r="D326" s="246"/>
      <c r="E326" s="246"/>
      <c r="F326" s="246"/>
      <c r="G326" s="246"/>
      <c r="H326" s="246"/>
      <c r="I326" s="246"/>
      <c r="J326" s="246"/>
      <c r="K326" s="246"/>
      <c r="L326" s="246"/>
      <c r="M326" s="246"/>
      <c r="N326" s="252"/>
      <c r="O326" s="246"/>
      <c r="P326" s="246"/>
      <c r="Q326" s="246"/>
      <c r="R326" s="246"/>
      <c r="S326" s="246"/>
      <c r="T326" s="246"/>
      <c r="U326" s="246"/>
      <c r="V326" s="246"/>
      <c r="W326" s="246"/>
      <c r="X326" s="246"/>
      <c r="Y326" s="246"/>
      <c r="Z326" s="246"/>
    </row>
    <row r="327">
      <c r="A327" s="246"/>
      <c r="B327" s="246"/>
      <c r="C327" s="246"/>
      <c r="D327" s="246"/>
      <c r="E327" s="246"/>
      <c r="F327" s="246"/>
      <c r="G327" s="246"/>
      <c r="H327" s="246"/>
      <c r="I327" s="246"/>
      <c r="J327" s="246"/>
      <c r="K327" s="246"/>
      <c r="L327" s="246"/>
      <c r="M327" s="246"/>
      <c r="N327" s="252"/>
      <c r="O327" s="246"/>
      <c r="P327" s="246"/>
      <c r="Q327" s="246"/>
      <c r="R327" s="246"/>
      <c r="S327" s="246"/>
      <c r="T327" s="246"/>
      <c r="U327" s="246"/>
      <c r="V327" s="246"/>
      <c r="W327" s="246"/>
      <c r="X327" s="246"/>
      <c r="Y327" s="246"/>
      <c r="Z327" s="246"/>
    </row>
    <row r="328">
      <c r="A328" s="246"/>
      <c r="B328" s="246"/>
      <c r="C328" s="246"/>
      <c r="D328" s="246"/>
      <c r="E328" s="246"/>
      <c r="F328" s="246"/>
      <c r="G328" s="246"/>
      <c r="H328" s="246"/>
      <c r="I328" s="246"/>
      <c r="J328" s="246"/>
      <c r="K328" s="246"/>
      <c r="L328" s="246"/>
      <c r="M328" s="246"/>
      <c r="N328" s="252"/>
      <c r="O328" s="246"/>
      <c r="P328" s="246"/>
      <c r="Q328" s="246"/>
      <c r="R328" s="246"/>
      <c r="S328" s="246"/>
      <c r="T328" s="246"/>
      <c r="U328" s="246"/>
      <c r="V328" s="246"/>
      <c r="W328" s="246"/>
      <c r="X328" s="246"/>
      <c r="Y328" s="246"/>
      <c r="Z328" s="246"/>
    </row>
    <row r="329">
      <c r="A329" s="246"/>
      <c r="B329" s="246"/>
      <c r="C329" s="246"/>
      <c r="D329" s="246"/>
      <c r="E329" s="246"/>
      <c r="F329" s="246"/>
      <c r="G329" s="246"/>
      <c r="H329" s="246"/>
      <c r="I329" s="246"/>
      <c r="J329" s="246"/>
      <c r="K329" s="246"/>
      <c r="L329" s="246"/>
      <c r="M329" s="246"/>
      <c r="N329" s="252"/>
      <c r="O329" s="246"/>
      <c r="P329" s="246"/>
      <c r="Q329" s="246"/>
      <c r="R329" s="246"/>
      <c r="S329" s="246"/>
      <c r="T329" s="246"/>
      <c r="U329" s="246"/>
      <c r="V329" s="246"/>
      <c r="W329" s="246"/>
      <c r="X329" s="246"/>
      <c r="Y329" s="246"/>
      <c r="Z329" s="246"/>
    </row>
    <row r="330">
      <c r="A330" s="246"/>
      <c r="B330" s="246"/>
      <c r="C330" s="246"/>
      <c r="D330" s="246"/>
      <c r="E330" s="246"/>
      <c r="F330" s="246"/>
      <c r="G330" s="246"/>
      <c r="H330" s="246"/>
      <c r="I330" s="246"/>
      <c r="J330" s="246"/>
      <c r="K330" s="246"/>
      <c r="L330" s="246"/>
      <c r="M330" s="246"/>
      <c r="N330" s="252"/>
      <c r="O330" s="246"/>
      <c r="P330" s="246"/>
      <c r="Q330" s="246"/>
      <c r="R330" s="246"/>
      <c r="S330" s="246"/>
      <c r="T330" s="246"/>
      <c r="U330" s="246"/>
      <c r="V330" s="246"/>
      <c r="W330" s="246"/>
      <c r="X330" s="246"/>
      <c r="Y330" s="246"/>
      <c r="Z330" s="246"/>
    </row>
    <row r="331">
      <c r="A331" s="246"/>
      <c r="B331" s="246"/>
      <c r="C331" s="246"/>
      <c r="D331" s="246"/>
      <c r="E331" s="246"/>
      <c r="F331" s="246"/>
      <c r="G331" s="246"/>
      <c r="H331" s="246"/>
      <c r="I331" s="246"/>
      <c r="J331" s="246"/>
      <c r="K331" s="246"/>
      <c r="L331" s="246"/>
      <c r="M331" s="246"/>
      <c r="N331" s="252"/>
      <c r="O331" s="246"/>
      <c r="P331" s="246"/>
      <c r="Q331" s="246"/>
      <c r="R331" s="246"/>
      <c r="S331" s="246"/>
      <c r="T331" s="246"/>
      <c r="U331" s="246"/>
      <c r="V331" s="246"/>
      <c r="W331" s="246"/>
      <c r="X331" s="246"/>
      <c r="Y331" s="246"/>
      <c r="Z331" s="246"/>
    </row>
    <row r="332">
      <c r="A332" s="246"/>
      <c r="B332" s="246"/>
      <c r="C332" s="246"/>
      <c r="D332" s="246"/>
      <c r="E332" s="246"/>
      <c r="F332" s="246"/>
      <c r="G332" s="246"/>
      <c r="H332" s="246"/>
      <c r="I332" s="246"/>
      <c r="J332" s="246"/>
      <c r="K332" s="246"/>
      <c r="L332" s="246"/>
      <c r="M332" s="246"/>
      <c r="N332" s="252"/>
      <c r="O332" s="246"/>
      <c r="P332" s="246"/>
      <c r="Q332" s="246"/>
      <c r="R332" s="246"/>
      <c r="S332" s="246"/>
      <c r="T332" s="246"/>
      <c r="U332" s="246"/>
      <c r="V332" s="246"/>
      <c r="W332" s="246"/>
      <c r="X332" s="246"/>
      <c r="Y332" s="246"/>
      <c r="Z332" s="246"/>
    </row>
    <row r="333">
      <c r="A333" s="246"/>
      <c r="B333" s="246"/>
      <c r="C333" s="246"/>
      <c r="D333" s="246"/>
      <c r="E333" s="246"/>
      <c r="F333" s="246"/>
      <c r="G333" s="246"/>
      <c r="H333" s="246"/>
      <c r="I333" s="246"/>
      <c r="J333" s="246"/>
      <c r="K333" s="246"/>
      <c r="L333" s="246"/>
      <c r="M333" s="246"/>
      <c r="N333" s="252"/>
      <c r="O333" s="246"/>
      <c r="P333" s="246"/>
      <c r="Q333" s="246"/>
      <c r="R333" s="246"/>
      <c r="S333" s="246"/>
      <c r="T333" s="246"/>
      <c r="U333" s="246"/>
      <c r="V333" s="246"/>
      <c r="W333" s="246"/>
      <c r="X333" s="246"/>
      <c r="Y333" s="246"/>
      <c r="Z333" s="246"/>
    </row>
    <row r="334">
      <c r="A334" s="246"/>
      <c r="B334" s="246"/>
      <c r="C334" s="246"/>
      <c r="D334" s="246"/>
      <c r="E334" s="246"/>
      <c r="F334" s="246"/>
      <c r="G334" s="246"/>
      <c r="H334" s="246"/>
      <c r="I334" s="246"/>
      <c r="J334" s="246"/>
      <c r="K334" s="246"/>
      <c r="L334" s="246"/>
      <c r="M334" s="246"/>
      <c r="N334" s="252"/>
      <c r="O334" s="246"/>
      <c r="P334" s="246"/>
      <c r="Q334" s="246"/>
      <c r="R334" s="246"/>
      <c r="S334" s="246"/>
      <c r="T334" s="246"/>
      <c r="U334" s="246"/>
      <c r="V334" s="246"/>
      <c r="W334" s="246"/>
      <c r="X334" s="246"/>
      <c r="Y334" s="246"/>
      <c r="Z334" s="246"/>
    </row>
    <row r="335">
      <c r="A335" s="246"/>
      <c r="B335" s="246"/>
      <c r="C335" s="246"/>
      <c r="D335" s="246"/>
      <c r="E335" s="246"/>
      <c r="F335" s="246"/>
      <c r="G335" s="246"/>
      <c r="H335" s="246"/>
      <c r="I335" s="246"/>
      <c r="J335" s="246"/>
      <c r="K335" s="246"/>
      <c r="L335" s="246"/>
      <c r="M335" s="246"/>
      <c r="N335" s="252"/>
      <c r="O335" s="246"/>
      <c r="P335" s="246"/>
      <c r="Q335" s="246"/>
      <c r="R335" s="246"/>
      <c r="S335" s="246"/>
      <c r="T335" s="246"/>
      <c r="U335" s="246"/>
      <c r="V335" s="246"/>
      <c r="W335" s="246"/>
      <c r="X335" s="246"/>
      <c r="Y335" s="246"/>
      <c r="Z335" s="246"/>
    </row>
    <row r="336">
      <c r="A336" s="246"/>
      <c r="B336" s="246"/>
      <c r="C336" s="246"/>
      <c r="D336" s="246"/>
      <c r="E336" s="246"/>
      <c r="F336" s="246"/>
      <c r="G336" s="246"/>
      <c r="H336" s="246"/>
      <c r="I336" s="246"/>
      <c r="J336" s="246"/>
      <c r="K336" s="246"/>
      <c r="L336" s="246"/>
      <c r="M336" s="246"/>
      <c r="N336" s="252"/>
      <c r="O336" s="246"/>
      <c r="P336" s="246"/>
      <c r="Q336" s="246"/>
      <c r="R336" s="246"/>
      <c r="S336" s="246"/>
      <c r="T336" s="246"/>
      <c r="U336" s="246"/>
      <c r="V336" s="246"/>
      <c r="W336" s="246"/>
      <c r="X336" s="246"/>
      <c r="Y336" s="246"/>
      <c r="Z336" s="246"/>
    </row>
    <row r="337">
      <c r="A337" s="246"/>
      <c r="B337" s="246"/>
      <c r="C337" s="246"/>
      <c r="D337" s="246"/>
      <c r="E337" s="246"/>
      <c r="F337" s="246"/>
      <c r="G337" s="246"/>
      <c r="H337" s="246"/>
      <c r="I337" s="246"/>
      <c r="J337" s="246"/>
      <c r="K337" s="246"/>
      <c r="L337" s="246"/>
      <c r="M337" s="246"/>
      <c r="N337" s="252"/>
      <c r="O337" s="246"/>
      <c r="P337" s="246"/>
      <c r="Q337" s="246"/>
      <c r="R337" s="246"/>
      <c r="S337" s="246"/>
      <c r="T337" s="246"/>
      <c r="U337" s="246"/>
      <c r="V337" s="246"/>
      <c r="W337" s="246"/>
      <c r="X337" s="246"/>
      <c r="Y337" s="246"/>
      <c r="Z337" s="246"/>
    </row>
    <row r="338">
      <c r="A338" s="246"/>
      <c r="B338" s="246"/>
      <c r="C338" s="246"/>
      <c r="D338" s="246"/>
      <c r="E338" s="246"/>
      <c r="F338" s="246"/>
      <c r="G338" s="246"/>
      <c r="H338" s="246"/>
      <c r="I338" s="246"/>
      <c r="J338" s="246"/>
      <c r="K338" s="246"/>
      <c r="L338" s="246"/>
      <c r="M338" s="246"/>
      <c r="N338" s="252"/>
      <c r="O338" s="246"/>
      <c r="P338" s="246"/>
      <c r="Q338" s="246"/>
      <c r="R338" s="246"/>
      <c r="S338" s="246"/>
      <c r="T338" s="246"/>
      <c r="U338" s="246"/>
      <c r="V338" s="246"/>
      <c r="W338" s="246"/>
      <c r="X338" s="246"/>
      <c r="Y338" s="246"/>
      <c r="Z338" s="246"/>
    </row>
    <row r="339">
      <c r="A339" s="246"/>
      <c r="B339" s="246"/>
      <c r="C339" s="246"/>
      <c r="D339" s="246"/>
      <c r="E339" s="246"/>
      <c r="F339" s="246"/>
      <c r="G339" s="246"/>
      <c r="H339" s="246"/>
      <c r="I339" s="246"/>
      <c r="J339" s="246"/>
      <c r="K339" s="246"/>
      <c r="L339" s="246"/>
      <c r="M339" s="246"/>
      <c r="N339" s="252"/>
      <c r="O339" s="246"/>
      <c r="P339" s="246"/>
      <c r="Q339" s="246"/>
      <c r="R339" s="246"/>
      <c r="S339" s="246"/>
      <c r="T339" s="246"/>
      <c r="U339" s="246"/>
      <c r="V339" s="246"/>
      <c r="W339" s="246"/>
      <c r="X339" s="246"/>
      <c r="Y339" s="246"/>
      <c r="Z339" s="246"/>
    </row>
    <row r="340">
      <c r="A340" s="246"/>
      <c r="B340" s="246"/>
      <c r="C340" s="246"/>
      <c r="D340" s="246"/>
      <c r="E340" s="246"/>
      <c r="F340" s="246"/>
      <c r="G340" s="246"/>
      <c r="H340" s="246"/>
      <c r="I340" s="246"/>
      <c r="J340" s="246"/>
      <c r="K340" s="246"/>
      <c r="L340" s="246"/>
      <c r="M340" s="246"/>
      <c r="N340" s="252"/>
      <c r="O340" s="246"/>
      <c r="P340" s="246"/>
      <c r="Q340" s="246"/>
      <c r="R340" s="246"/>
      <c r="S340" s="246"/>
      <c r="T340" s="246"/>
      <c r="U340" s="246"/>
      <c r="V340" s="246"/>
      <c r="W340" s="246"/>
      <c r="X340" s="246"/>
      <c r="Y340" s="246"/>
      <c r="Z340" s="246"/>
    </row>
    <row r="341">
      <c r="A341" s="246"/>
      <c r="B341" s="246"/>
      <c r="C341" s="246"/>
      <c r="D341" s="246"/>
      <c r="E341" s="246"/>
      <c r="F341" s="246"/>
      <c r="G341" s="246"/>
      <c r="H341" s="246"/>
      <c r="I341" s="246"/>
      <c r="J341" s="246"/>
      <c r="K341" s="246"/>
      <c r="L341" s="246"/>
      <c r="M341" s="246"/>
      <c r="N341" s="252"/>
      <c r="O341" s="246"/>
      <c r="P341" s="246"/>
      <c r="Q341" s="246"/>
      <c r="R341" s="246"/>
      <c r="S341" s="246"/>
      <c r="T341" s="246"/>
      <c r="U341" s="246"/>
      <c r="V341" s="246"/>
      <c r="W341" s="246"/>
      <c r="X341" s="246"/>
      <c r="Y341" s="246"/>
      <c r="Z341" s="246"/>
    </row>
    <row r="342">
      <c r="A342" s="246"/>
      <c r="B342" s="246"/>
      <c r="C342" s="246"/>
      <c r="D342" s="246"/>
      <c r="E342" s="246"/>
      <c r="F342" s="246"/>
      <c r="G342" s="246"/>
      <c r="H342" s="246"/>
      <c r="I342" s="246"/>
      <c r="J342" s="246"/>
      <c r="K342" s="246"/>
      <c r="L342" s="246"/>
      <c r="M342" s="246"/>
      <c r="N342" s="252"/>
      <c r="O342" s="246"/>
      <c r="P342" s="246"/>
      <c r="Q342" s="246"/>
      <c r="R342" s="246"/>
      <c r="S342" s="246"/>
      <c r="T342" s="246"/>
      <c r="U342" s="246"/>
      <c r="V342" s="246"/>
      <c r="W342" s="246"/>
      <c r="X342" s="246"/>
      <c r="Y342" s="246"/>
      <c r="Z342" s="246"/>
    </row>
    <row r="343">
      <c r="A343" s="246"/>
      <c r="B343" s="246"/>
      <c r="C343" s="246"/>
      <c r="D343" s="246"/>
      <c r="E343" s="246"/>
      <c r="F343" s="246"/>
      <c r="G343" s="246"/>
      <c r="H343" s="246"/>
      <c r="I343" s="246"/>
      <c r="J343" s="246"/>
      <c r="K343" s="246"/>
      <c r="L343" s="246"/>
      <c r="M343" s="246"/>
      <c r="N343" s="252"/>
      <c r="O343" s="246"/>
      <c r="P343" s="246"/>
      <c r="Q343" s="246"/>
      <c r="R343" s="246"/>
      <c r="S343" s="246"/>
      <c r="T343" s="246"/>
      <c r="U343" s="246"/>
      <c r="V343" s="246"/>
      <c r="W343" s="246"/>
      <c r="X343" s="246"/>
      <c r="Y343" s="246"/>
      <c r="Z343" s="246"/>
    </row>
    <row r="344">
      <c r="A344" s="246"/>
      <c r="B344" s="246"/>
      <c r="C344" s="246"/>
      <c r="D344" s="246"/>
      <c r="E344" s="246"/>
      <c r="F344" s="246"/>
      <c r="G344" s="246"/>
      <c r="H344" s="246"/>
      <c r="I344" s="246"/>
      <c r="J344" s="246"/>
      <c r="K344" s="246"/>
      <c r="L344" s="246"/>
      <c r="M344" s="246"/>
      <c r="N344" s="252"/>
      <c r="O344" s="246"/>
      <c r="P344" s="246"/>
      <c r="Q344" s="246"/>
      <c r="R344" s="246"/>
      <c r="S344" s="246"/>
      <c r="T344" s="246"/>
      <c r="U344" s="246"/>
      <c r="V344" s="246"/>
      <c r="W344" s="246"/>
      <c r="X344" s="246"/>
      <c r="Y344" s="246"/>
      <c r="Z344" s="246"/>
    </row>
    <row r="345">
      <c r="A345" s="246"/>
      <c r="B345" s="246"/>
      <c r="C345" s="246"/>
      <c r="D345" s="246"/>
      <c r="E345" s="246"/>
      <c r="F345" s="246"/>
      <c r="G345" s="246"/>
      <c r="H345" s="246"/>
      <c r="I345" s="246"/>
      <c r="J345" s="246"/>
      <c r="K345" s="246"/>
      <c r="L345" s="246"/>
      <c r="M345" s="246"/>
      <c r="N345" s="252"/>
      <c r="O345" s="246"/>
      <c r="P345" s="246"/>
      <c r="Q345" s="246"/>
      <c r="R345" s="246"/>
      <c r="S345" s="246"/>
      <c r="T345" s="246"/>
      <c r="U345" s="246"/>
      <c r="V345" s="246"/>
      <c r="W345" s="246"/>
      <c r="X345" s="246"/>
      <c r="Y345" s="246"/>
      <c r="Z345" s="246"/>
    </row>
    <row r="346">
      <c r="A346" s="246"/>
      <c r="B346" s="246"/>
      <c r="C346" s="246"/>
      <c r="D346" s="246"/>
      <c r="E346" s="246"/>
      <c r="F346" s="246"/>
      <c r="G346" s="246"/>
      <c r="H346" s="246"/>
      <c r="I346" s="246"/>
      <c r="J346" s="246"/>
      <c r="K346" s="246"/>
      <c r="L346" s="246"/>
      <c r="M346" s="246"/>
      <c r="N346" s="252"/>
      <c r="O346" s="246"/>
      <c r="P346" s="246"/>
      <c r="Q346" s="246"/>
      <c r="R346" s="246"/>
      <c r="S346" s="246"/>
      <c r="T346" s="246"/>
      <c r="U346" s="246"/>
      <c r="V346" s="246"/>
      <c r="W346" s="246"/>
      <c r="X346" s="246"/>
      <c r="Y346" s="246"/>
      <c r="Z346" s="246"/>
    </row>
    <row r="347">
      <c r="A347" s="246"/>
      <c r="B347" s="246"/>
      <c r="C347" s="246"/>
      <c r="D347" s="246"/>
      <c r="E347" s="246"/>
      <c r="F347" s="246"/>
      <c r="G347" s="246"/>
      <c r="H347" s="246"/>
      <c r="I347" s="246"/>
      <c r="J347" s="246"/>
      <c r="K347" s="246"/>
      <c r="L347" s="246"/>
      <c r="M347" s="246"/>
      <c r="N347" s="252"/>
      <c r="O347" s="246"/>
      <c r="P347" s="246"/>
      <c r="Q347" s="246"/>
      <c r="R347" s="246"/>
      <c r="S347" s="246"/>
      <c r="T347" s="246"/>
      <c r="U347" s="246"/>
      <c r="V347" s="246"/>
      <c r="W347" s="246"/>
      <c r="X347" s="246"/>
      <c r="Y347" s="246"/>
      <c r="Z347" s="246"/>
    </row>
    <row r="348">
      <c r="A348" s="246"/>
      <c r="B348" s="246"/>
      <c r="C348" s="246"/>
      <c r="D348" s="246"/>
      <c r="E348" s="246"/>
      <c r="F348" s="246"/>
      <c r="G348" s="246"/>
      <c r="H348" s="246"/>
      <c r="I348" s="246"/>
      <c r="J348" s="246"/>
      <c r="K348" s="246"/>
      <c r="L348" s="246"/>
      <c r="M348" s="246"/>
      <c r="N348" s="252"/>
      <c r="O348" s="246"/>
      <c r="P348" s="246"/>
      <c r="Q348" s="246"/>
      <c r="R348" s="246"/>
      <c r="S348" s="246"/>
      <c r="T348" s="246"/>
      <c r="U348" s="246"/>
      <c r="V348" s="246"/>
      <c r="W348" s="246"/>
      <c r="X348" s="246"/>
      <c r="Y348" s="246"/>
      <c r="Z348" s="246"/>
    </row>
    <row r="349">
      <c r="A349" s="246"/>
      <c r="B349" s="246"/>
      <c r="C349" s="246"/>
      <c r="D349" s="246"/>
      <c r="E349" s="246"/>
      <c r="F349" s="246"/>
      <c r="G349" s="246"/>
      <c r="H349" s="246"/>
      <c r="I349" s="246"/>
      <c r="J349" s="246"/>
      <c r="K349" s="246"/>
      <c r="L349" s="246"/>
      <c r="M349" s="246"/>
      <c r="N349" s="252"/>
      <c r="O349" s="246"/>
      <c r="P349" s="246"/>
      <c r="Q349" s="246"/>
      <c r="R349" s="246"/>
      <c r="S349" s="246"/>
      <c r="T349" s="246"/>
      <c r="U349" s="246"/>
      <c r="V349" s="246"/>
      <c r="W349" s="246"/>
      <c r="X349" s="246"/>
      <c r="Y349" s="246"/>
      <c r="Z349" s="246"/>
    </row>
    <row r="350">
      <c r="A350" s="246"/>
      <c r="B350" s="246"/>
      <c r="C350" s="246"/>
      <c r="D350" s="246"/>
      <c r="E350" s="246"/>
      <c r="F350" s="246"/>
      <c r="G350" s="246"/>
      <c r="H350" s="246"/>
      <c r="I350" s="246"/>
      <c r="J350" s="246"/>
      <c r="K350" s="246"/>
      <c r="L350" s="246"/>
      <c r="M350" s="246"/>
      <c r="N350" s="252"/>
      <c r="O350" s="246"/>
      <c r="P350" s="246"/>
      <c r="Q350" s="246"/>
      <c r="R350" s="246"/>
      <c r="S350" s="246"/>
      <c r="T350" s="246"/>
      <c r="U350" s="246"/>
      <c r="V350" s="246"/>
      <c r="W350" s="246"/>
      <c r="X350" s="246"/>
      <c r="Y350" s="246"/>
      <c r="Z350" s="246"/>
    </row>
    <row r="351">
      <c r="A351" s="246"/>
      <c r="B351" s="246"/>
      <c r="C351" s="246"/>
      <c r="D351" s="246"/>
      <c r="E351" s="246"/>
      <c r="F351" s="246"/>
      <c r="G351" s="246"/>
      <c r="H351" s="246"/>
      <c r="I351" s="246"/>
      <c r="J351" s="246"/>
      <c r="K351" s="246"/>
      <c r="L351" s="246"/>
      <c r="M351" s="246"/>
      <c r="N351" s="252"/>
      <c r="O351" s="246"/>
      <c r="P351" s="246"/>
      <c r="Q351" s="246"/>
      <c r="R351" s="246"/>
      <c r="S351" s="246"/>
      <c r="T351" s="246"/>
      <c r="U351" s="246"/>
      <c r="V351" s="246"/>
      <c r="W351" s="246"/>
      <c r="X351" s="246"/>
      <c r="Y351" s="246"/>
      <c r="Z351" s="246"/>
    </row>
    <row r="352">
      <c r="A352" s="246"/>
      <c r="B352" s="246"/>
      <c r="C352" s="246"/>
      <c r="D352" s="246"/>
      <c r="E352" s="246"/>
      <c r="F352" s="246"/>
      <c r="G352" s="246"/>
      <c r="H352" s="246"/>
      <c r="I352" s="246"/>
      <c r="J352" s="246"/>
      <c r="K352" s="246"/>
      <c r="L352" s="246"/>
      <c r="M352" s="246"/>
      <c r="N352" s="252"/>
      <c r="O352" s="246"/>
      <c r="P352" s="246"/>
      <c r="Q352" s="246"/>
      <c r="R352" s="246"/>
      <c r="S352" s="246"/>
      <c r="T352" s="246"/>
      <c r="U352" s="246"/>
      <c r="V352" s="246"/>
      <c r="W352" s="246"/>
      <c r="X352" s="246"/>
      <c r="Y352" s="246"/>
      <c r="Z352" s="246"/>
    </row>
    <row r="353">
      <c r="A353" s="246"/>
      <c r="B353" s="246"/>
      <c r="C353" s="246"/>
      <c r="D353" s="246"/>
      <c r="E353" s="246"/>
      <c r="F353" s="246"/>
      <c r="G353" s="246"/>
      <c r="H353" s="246"/>
      <c r="I353" s="246"/>
      <c r="J353" s="246"/>
      <c r="K353" s="246"/>
      <c r="L353" s="246"/>
      <c r="M353" s="246"/>
      <c r="N353" s="252"/>
      <c r="O353" s="246"/>
      <c r="P353" s="246"/>
      <c r="Q353" s="246"/>
      <c r="R353" s="246"/>
      <c r="S353" s="246"/>
      <c r="T353" s="246"/>
      <c r="U353" s="246"/>
      <c r="V353" s="246"/>
      <c r="W353" s="246"/>
      <c r="X353" s="246"/>
      <c r="Y353" s="246"/>
      <c r="Z353" s="246"/>
    </row>
    <row r="354">
      <c r="A354" s="246"/>
      <c r="B354" s="246"/>
      <c r="C354" s="246"/>
      <c r="D354" s="246"/>
      <c r="E354" s="246"/>
      <c r="F354" s="246"/>
      <c r="G354" s="246"/>
      <c r="H354" s="246"/>
      <c r="I354" s="246"/>
      <c r="J354" s="246"/>
      <c r="K354" s="246"/>
      <c r="L354" s="246"/>
      <c r="M354" s="246"/>
      <c r="N354" s="252"/>
      <c r="O354" s="246"/>
      <c r="P354" s="246"/>
      <c r="Q354" s="246"/>
      <c r="R354" s="246"/>
      <c r="S354" s="246"/>
      <c r="T354" s="246"/>
      <c r="U354" s="246"/>
      <c r="V354" s="246"/>
      <c r="W354" s="246"/>
      <c r="X354" s="246"/>
      <c r="Y354" s="246"/>
      <c r="Z354" s="246"/>
    </row>
    <row r="355">
      <c r="A355" s="246"/>
      <c r="B355" s="246"/>
      <c r="C355" s="246"/>
      <c r="D355" s="246"/>
      <c r="E355" s="246"/>
      <c r="F355" s="246"/>
      <c r="G355" s="246"/>
      <c r="H355" s="246"/>
      <c r="I355" s="246"/>
      <c r="J355" s="246"/>
      <c r="K355" s="246"/>
      <c r="L355" s="246"/>
      <c r="M355" s="246"/>
      <c r="N355" s="252"/>
      <c r="O355" s="246"/>
      <c r="P355" s="246"/>
      <c r="Q355" s="246"/>
      <c r="R355" s="246"/>
      <c r="S355" s="246"/>
      <c r="T355" s="246"/>
      <c r="U355" s="246"/>
      <c r="V355" s="246"/>
      <c r="W355" s="246"/>
      <c r="X355" s="246"/>
      <c r="Y355" s="246"/>
      <c r="Z355" s="246"/>
    </row>
    <row r="356">
      <c r="A356" s="246"/>
      <c r="B356" s="246"/>
      <c r="C356" s="246"/>
      <c r="D356" s="246"/>
      <c r="E356" s="246"/>
      <c r="F356" s="246"/>
      <c r="G356" s="246"/>
      <c r="H356" s="246"/>
      <c r="I356" s="246"/>
      <c r="J356" s="246"/>
      <c r="K356" s="246"/>
      <c r="L356" s="246"/>
      <c r="M356" s="246"/>
      <c r="N356" s="252"/>
      <c r="O356" s="246"/>
      <c r="P356" s="246"/>
      <c r="Q356" s="246"/>
      <c r="R356" s="246"/>
      <c r="S356" s="246"/>
      <c r="T356" s="246"/>
      <c r="U356" s="246"/>
      <c r="V356" s="246"/>
      <c r="W356" s="246"/>
      <c r="X356" s="246"/>
      <c r="Y356" s="246"/>
      <c r="Z356" s="246"/>
    </row>
    <row r="357">
      <c r="A357" s="246"/>
      <c r="B357" s="246"/>
      <c r="C357" s="246"/>
      <c r="D357" s="246"/>
      <c r="E357" s="246"/>
      <c r="F357" s="246"/>
      <c r="G357" s="246"/>
      <c r="H357" s="246"/>
      <c r="I357" s="246"/>
      <c r="J357" s="246"/>
      <c r="K357" s="246"/>
      <c r="L357" s="246"/>
      <c r="M357" s="246"/>
      <c r="N357" s="252"/>
      <c r="O357" s="246"/>
      <c r="P357" s="246"/>
      <c r="Q357" s="246"/>
      <c r="R357" s="246"/>
      <c r="S357" s="246"/>
      <c r="T357" s="246"/>
      <c r="U357" s="246"/>
      <c r="V357" s="246"/>
      <c r="W357" s="246"/>
      <c r="X357" s="246"/>
      <c r="Y357" s="246"/>
      <c r="Z357" s="246"/>
    </row>
    <row r="358">
      <c r="A358" s="246"/>
      <c r="B358" s="246"/>
      <c r="C358" s="246"/>
      <c r="D358" s="246"/>
      <c r="E358" s="246"/>
      <c r="F358" s="246"/>
      <c r="G358" s="246"/>
      <c r="H358" s="246"/>
      <c r="I358" s="246"/>
      <c r="J358" s="246"/>
      <c r="K358" s="246"/>
      <c r="L358" s="246"/>
      <c r="M358" s="246"/>
      <c r="N358" s="252"/>
      <c r="O358" s="246"/>
      <c r="P358" s="246"/>
      <c r="Q358" s="246"/>
      <c r="R358" s="246"/>
      <c r="S358" s="246"/>
      <c r="T358" s="246"/>
      <c r="U358" s="246"/>
      <c r="V358" s="246"/>
      <c r="W358" s="246"/>
      <c r="X358" s="246"/>
      <c r="Y358" s="246"/>
      <c r="Z358" s="246"/>
    </row>
    <row r="359">
      <c r="A359" s="246"/>
      <c r="B359" s="246"/>
      <c r="C359" s="246"/>
      <c r="D359" s="246"/>
      <c r="E359" s="246"/>
      <c r="F359" s="246"/>
      <c r="G359" s="246"/>
      <c r="H359" s="246"/>
      <c r="I359" s="246"/>
      <c r="J359" s="246"/>
      <c r="K359" s="246"/>
      <c r="L359" s="246"/>
      <c r="M359" s="246"/>
      <c r="N359" s="252"/>
      <c r="O359" s="246"/>
      <c r="P359" s="246"/>
      <c r="Q359" s="246"/>
      <c r="R359" s="246"/>
      <c r="S359" s="246"/>
      <c r="T359" s="246"/>
      <c r="U359" s="246"/>
      <c r="V359" s="246"/>
      <c r="W359" s="246"/>
      <c r="X359" s="246"/>
      <c r="Y359" s="246"/>
      <c r="Z359" s="246"/>
    </row>
    <row r="360">
      <c r="A360" s="246"/>
      <c r="B360" s="246"/>
      <c r="C360" s="246"/>
      <c r="D360" s="246"/>
      <c r="E360" s="246"/>
      <c r="F360" s="246"/>
      <c r="G360" s="246"/>
      <c r="H360" s="246"/>
      <c r="I360" s="246"/>
      <c r="J360" s="246"/>
      <c r="K360" s="246"/>
      <c r="L360" s="246"/>
      <c r="M360" s="246"/>
      <c r="N360" s="252"/>
      <c r="O360" s="246"/>
      <c r="P360" s="246"/>
      <c r="Q360" s="246"/>
      <c r="R360" s="246"/>
      <c r="S360" s="246"/>
      <c r="T360" s="246"/>
      <c r="U360" s="246"/>
      <c r="V360" s="246"/>
      <c r="W360" s="246"/>
      <c r="X360" s="246"/>
      <c r="Y360" s="246"/>
      <c r="Z360" s="246"/>
    </row>
    <row r="361">
      <c r="A361" s="246"/>
      <c r="B361" s="246"/>
      <c r="C361" s="246"/>
      <c r="D361" s="246"/>
      <c r="E361" s="246"/>
      <c r="F361" s="246"/>
      <c r="G361" s="246"/>
      <c r="H361" s="246"/>
      <c r="I361" s="246"/>
      <c r="J361" s="246"/>
      <c r="K361" s="246"/>
      <c r="L361" s="246"/>
      <c r="M361" s="246"/>
      <c r="N361" s="252"/>
      <c r="O361" s="246"/>
      <c r="P361" s="246"/>
      <c r="Q361" s="246"/>
      <c r="R361" s="246"/>
      <c r="S361" s="246"/>
      <c r="T361" s="246"/>
      <c r="U361" s="246"/>
      <c r="V361" s="246"/>
      <c r="W361" s="246"/>
      <c r="X361" s="246"/>
      <c r="Y361" s="246"/>
      <c r="Z361" s="246"/>
    </row>
    <row r="362">
      <c r="A362" s="246"/>
      <c r="B362" s="246"/>
      <c r="C362" s="246"/>
      <c r="D362" s="246"/>
      <c r="E362" s="246"/>
      <c r="F362" s="246"/>
      <c r="G362" s="246"/>
      <c r="H362" s="246"/>
      <c r="I362" s="246"/>
      <c r="J362" s="246"/>
      <c r="K362" s="246"/>
      <c r="L362" s="246"/>
      <c r="M362" s="246"/>
      <c r="N362" s="252"/>
      <c r="O362" s="246"/>
      <c r="P362" s="246"/>
      <c r="Q362" s="246"/>
      <c r="R362" s="246"/>
      <c r="S362" s="246"/>
      <c r="T362" s="246"/>
      <c r="U362" s="246"/>
      <c r="V362" s="246"/>
      <c r="W362" s="246"/>
      <c r="X362" s="246"/>
      <c r="Y362" s="246"/>
      <c r="Z362" s="246"/>
    </row>
    <row r="363">
      <c r="A363" s="246"/>
      <c r="B363" s="246"/>
      <c r="C363" s="246"/>
      <c r="D363" s="246"/>
      <c r="E363" s="246"/>
      <c r="F363" s="246"/>
      <c r="G363" s="246"/>
      <c r="H363" s="246"/>
      <c r="I363" s="246"/>
      <c r="J363" s="246"/>
      <c r="K363" s="246"/>
      <c r="L363" s="246"/>
      <c r="M363" s="246"/>
      <c r="N363" s="252"/>
      <c r="O363" s="246"/>
      <c r="P363" s="246"/>
      <c r="Q363" s="246"/>
      <c r="R363" s="246"/>
      <c r="S363" s="246"/>
      <c r="T363" s="246"/>
      <c r="U363" s="246"/>
      <c r="V363" s="246"/>
      <c r="W363" s="246"/>
      <c r="X363" s="246"/>
      <c r="Y363" s="246"/>
      <c r="Z363" s="246"/>
    </row>
    <row r="364">
      <c r="A364" s="246"/>
      <c r="B364" s="246"/>
      <c r="C364" s="246"/>
      <c r="D364" s="246"/>
      <c r="E364" s="246"/>
      <c r="F364" s="246"/>
      <c r="G364" s="246"/>
      <c r="H364" s="246"/>
      <c r="I364" s="246"/>
      <c r="J364" s="246"/>
      <c r="K364" s="246"/>
      <c r="L364" s="246"/>
      <c r="M364" s="246"/>
      <c r="N364" s="252"/>
      <c r="O364" s="246"/>
      <c r="P364" s="246"/>
      <c r="Q364" s="246"/>
      <c r="R364" s="246"/>
      <c r="S364" s="246"/>
      <c r="T364" s="246"/>
      <c r="U364" s="246"/>
      <c r="V364" s="246"/>
      <c r="W364" s="246"/>
      <c r="X364" s="246"/>
      <c r="Y364" s="246"/>
      <c r="Z364" s="246"/>
    </row>
    <row r="365">
      <c r="A365" s="246"/>
      <c r="B365" s="246"/>
      <c r="C365" s="246"/>
      <c r="D365" s="246"/>
      <c r="E365" s="246"/>
      <c r="F365" s="246"/>
      <c r="G365" s="246"/>
      <c r="H365" s="246"/>
      <c r="I365" s="246"/>
      <c r="J365" s="246"/>
      <c r="K365" s="246"/>
      <c r="L365" s="246"/>
      <c r="M365" s="246"/>
      <c r="N365" s="252"/>
      <c r="O365" s="246"/>
      <c r="P365" s="246"/>
      <c r="Q365" s="246"/>
      <c r="R365" s="246"/>
      <c r="S365" s="246"/>
      <c r="T365" s="246"/>
      <c r="U365" s="246"/>
      <c r="V365" s="246"/>
      <c r="W365" s="246"/>
      <c r="X365" s="246"/>
      <c r="Y365" s="246"/>
      <c r="Z365" s="246"/>
    </row>
    <row r="366">
      <c r="A366" s="246"/>
      <c r="B366" s="246"/>
      <c r="C366" s="246"/>
      <c r="D366" s="246"/>
      <c r="E366" s="246"/>
      <c r="F366" s="246"/>
      <c r="G366" s="246"/>
      <c r="H366" s="246"/>
      <c r="I366" s="246"/>
      <c r="J366" s="246"/>
      <c r="K366" s="246"/>
      <c r="L366" s="246"/>
      <c r="M366" s="246"/>
      <c r="N366" s="252"/>
      <c r="O366" s="246"/>
      <c r="P366" s="246"/>
      <c r="Q366" s="246"/>
      <c r="R366" s="246"/>
      <c r="S366" s="246"/>
      <c r="T366" s="246"/>
      <c r="U366" s="246"/>
      <c r="V366" s="246"/>
      <c r="W366" s="246"/>
      <c r="X366" s="246"/>
      <c r="Y366" s="246"/>
      <c r="Z366" s="246"/>
    </row>
    <row r="367">
      <c r="A367" s="246"/>
      <c r="B367" s="246"/>
      <c r="C367" s="246"/>
      <c r="D367" s="246"/>
      <c r="E367" s="246"/>
      <c r="F367" s="246"/>
      <c r="G367" s="246"/>
      <c r="H367" s="246"/>
      <c r="I367" s="246"/>
      <c r="J367" s="246"/>
      <c r="K367" s="246"/>
      <c r="L367" s="246"/>
      <c r="M367" s="246"/>
      <c r="N367" s="252"/>
      <c r="O367" s="246"/>
      <c r="P367" s="246"/>
      <c r="Q367" s="246"/>
      <c r="R367" s="246"/>
      <c r="S367" s="246"/>
      <c r="T367" s="246"/>
      <c r="U367" s="246"/>
      <c r="V367" s="246"/>
      <c r="W367" s="246"/>
      <c r="X367" s="246"/>
      <c r="Y367" s="246"/>
      <c r="Z367" s="246"/>
    </row>
    <row r="368">
      <c r="A368" s="246"/>
      <c r="B368" s="246"/>
      <c r="C368" s="246"/>
      <c r="D368" s="246"/>
      <c r="E368" s="246"/>
      <c r="F368" s="246"/>
      <c r="G368" s="246"/>
      <c r="H368" s="246"/>
      <c r="I368" s="246"/>
      <c r="J368" s="246"/>
      <c r="K368" s="246"/>
      <c r="L368" s="246"/>
      <c r="M368" s="246"/>
      <c r="N368" s="252"/>
      <c r="O368" s="246"/>
      <c r="P368" s="246"/>
      <c r="Q368" s="246"/>
      <c r="R368" s="246"/>
      <c r="S368" s="246"/>
      <c r="T368" s="246"/>
      <c r="U368" s="246"/>
      <c r="V368" s="246"/>
      <c r="W368" s="246"/>
      <c r="X368" s="246"/>
      <c r="Y368" s="246"/>
      <c r="Z368" s="246"/>
    </row>
    <row r="369">
      <c r="A369" s="246"/>
      <c r="B369" s="246"/>
      <c r="C369" s="246"/>
      <c r="D369" s="246"/>
      <c r="E369" s="246"/>
      <c r="F369" s="246"/>
      <c r="G369" s="246"/>
      <c r="H369" s="246"/>
      <c r="I369" s="246"/>
      <c r="J369" s="246"/>
      <c r="K369" s="246"/>
      <c r="L369" s="246"/>
      <c r="M369" s="246"/>
      <c r="N369" s="252"/>
      <c r="O369" s="246"/>
      <c r="P369" s="246"/>
      <c r="Q369" s="246"/>
      <c r="R369" s="246"/>
      <c r="S369" s="246"/>
      <c r="T369" s="246"/>
      <c r="U369" s="246"/>
      <c r="V369" s="246"/>
      <c r="W369" s="246"/>
      <c r="X369" s="246"/>
      <c r="Y369" s="246"/>
      <c r="Z369" s="246"/>
    </row>
    <row r="370">
      <c r="A370" s="246"/>
      <c r="B370" s="246"/>
      <c r="C370" s="246"/>
      <c r="D370" s="246"/>
      <c r="E370" s="246"/>
      <c r="F370" s="246"/>
      <c r="G370" s="246"/>
      <c r="H370" s="246"/>
      <c r="I370" s="246"/>
      <c r="J370" s="246"/>
      <c r="K370" s="246"/>
      <c r="L370" s="246"/>
      <c r="M370" s="246"/>
      <c r="N370" s="252"/>
      <c r="O370" s="246"/>
      <c r="P370" s="246"/>
      <c r="Q370" s="246"/>
      <c r="R370" s="246"/>
      <c r="S370" s="246"/>
      <c r="T370" s="246"/>
      <c r="U370" s="246"/>
      <c r="V370" s="246"/>
      <c r="W370" s="246"/>
      <c r="X370" s="246"/>
      <c r="Y370" s="246"/>
      <c r="Z370" s="246"/>
    </row>
    <row r="371">
      <c r="A371" s="246"/>
      <c r="B371" s="246"/>
      <c r="C371" s="246"/>
      <c r="D371" s="246"/>
      <c r="E371" s="246"/>
      <c r="F371" s="246"/>
      <c r="G371" s="246"/>
      <c r="H371" s="246"/>
      <c r="I371" s="246"/>
      <c r="J371" s="246"/>
      <c r="K371" s="246"/>
      <c r="L371" s="246"/>
      <c r="M371" s="246"/>
      <c r="N371" s="252"/>
      <c r="O371" s="246"/>
      <c r="P371" s="246"/>
      <c r="Q371" s="246"/>
      <c r="R371" s="246"/>
      <c r="S371" s="246"/>
      <c r="T371" s="246"/>
      <c r="U371" s="246"/>
      <c r="V371" s="246"/>
      <c r="W371" s="246"/>
      <c r="X371" s="246"/>
      <c r="Y371" s="246"/>
      <c r="Z371" s="246"/>
    </row>
    <row r="372">
      <c r="A372" s="246"/>
      <c r="B372" s="246"/>
      <c r="C372" s="246"/>
      <c r="D372" s="246"/>
      <c r="E372" s="246"/>
      <c r="F372" s="246"/>
      <c r="G372" s="246"/>
      <c r="H372" s="246"/>
      <c r="I372" s="246"/>
      <c r="J372" s="246"/>
      <c r="K372" s="246"/>
      <c r="L372" s="246"/>
      <c r="M372" s="246"/>
      <c r="N372" s="252"/>
      <c r="O372" s="246"/>
      <c r="P372" s="246"/>
      <c r="Q372" s="246"/>
      <c r="R372" s="246"/>
      <c r="S372" s="246"/>
      <c r="T372" s="246"/>
      <c r="U372" s="246"/>
      <c r="V372" s="246"/>
      <c r="W372" s="246"/>
      <c r="X372" s="246"/>
      <c r="Y372" s="246"/>
      <c r="Z372" s="246"/>
    </row>
    <row r="373">
      <c r="A373" s="246"/>
      <c r="B373" s="246"/>
      <c r="C373" s="246"/>
      <c r="D373" s="246"/>
      <c r="E373" s="246"/>
      <c r="F373" s="246"/>
      <c r="G373" s="246"/>
      <c r="H373" s="246"/>
      <c r="I373" s="246"/>
      <c r="J373" s="246"/>
      <c r="K373" s="246"/>
      <c r="L373" s="246"/>
      <c r="M373" s="246"/>
      <c r="N373" s="252"/>
      <c r="O373" s="246"/>
      <c r="P373" s="246"/>
      <c r="Q373" s="246"/>
      <c r="R373" s="246"/>
      <c r="S373" s="246"/>
      <c r="T373" s="246"/>
      <c r="U373" s="246"/>
      <c r="V373" s="246"/>
      <c r="W373" s="246"/>
      <c r="X373" s="246"/>
      <c r="Y373" s="246"/>
      <c r="Z373" s="246"/>
    </row>
    <row r="374">
      <c r="A374" s="246"/>
      <c r="B374" s="246"/>
      <c r="C374" s="246"/>
      <c r="D374" s="246"/>
      <c r="E374" s="246"/>
      <c r="F374" s="246"/>
      <c r="G374" s="246"/>
      <c r="H374" s="246"/>
      <c r="I374" s="246"/>
      <c r="J374" s="246"/>
      <c r="K374" s="246"/>
      <c r="L374" s="246"/>
      <c r="M374" s="246"/>
      <c r="N374" s="252"/>
      <c r="O374" s="246"/>
      <c r="P374" s="246"/>
      <c r="Q374" s="246"/>
      <c r="R374" s="246"/>
      <c r="S374" s="246"/>
      <c r="T374" s="246"/>
      <c r="U374" s="246"/>
      <c r="V374" s="246"/>
      <c r="W374" s="246"/>
      <c r="X374" s="246"/>
      <c r="Y374" s="246"/>
      <c r="Z374" s="246"/>
    </row>
    <row r="375">
      <c r="A375" s="246"/>
      <c r="B375" s="246"/>
      <c r="C375" s="246"/>
      <c r="D375" s="246"/>
      <c r="E375" s="246"/>
      <c r="F375" s="246"/>
      <c r="G375" s="246"/>
      <c r="H375" s="246"/>
      <c r="I375" s="246"/>
      <c r="J375" s="246"/>
      <c r="K375" s="246"/>
      <c r="L375" s="246"/>
      <c r="M375" s="246"/>
      <c r="N375" s="252"/>
      <c r="O375" s="246"/>
      <c r="P375" s="246"/>
      <c r="Q375" s="246"/>
      <c r="R375" s="246"/>
      <c r="S375" s="246"/>
      <c r="T375" s="246"/>
      <c r="U375" s="246"/>
      <c r="V375" s="246"/>
      <c r="W375" s="246"/>
      <c r="X375" s="246"/>
      <c r="Y375" s="246"/>
      <c r="Z375" s="246"/>
    </row>
    <row r="376">
      <c r="A376" s="246"/>
      <c r="B376" s="246"/>
      <c r="C376" s="246"/>
      <c r="D376" s="246"/>
      <c r="E376" s="246"/>
      <c r="F376" s="246"/>
      <c r="G376" s="246"/>
      <c r="H376" s="246"/>
      <c r="I376" s="246"/>
      <c r="J376" s="246"/>
      <c r="K376" s="246"/>
      <c r="L376" s="246"/>
      <c r="M376" s="246"/>
      <c r="N376" s="252"/>
      <c r="O376" s="246"/>
      <c r="P376" s="246"/>
      <c r="Q376" s="246"/>
      <c r="R376" s="246"/>
      <c r="S376" s="246"/>
      <c r="T376" s="246"/>
      <c r="U376" s="246"/>
      <c r="V376" s="246"/>
      <c r="W376" s="246"/>
      <c r="X376" s="246"/>
      <c r="Y376" s="246"/>
      <c r="Z376" s="246"/>
    </row>
    <row r="377">
      <c r="A377" s="246"/>
      <c r="B377" s="246"/>
      <c r="C377" s="246"/>
      <c r="D377" s="246"/>
      <c r="E377" s="246"/>
      <c r="F377" s="246"/>
      <c r="G377" s="246"/>
      <c r="H377" s="246"/>
      <c r="I377" s="246"/>
      <c r="J377" s="246"/>
      <c r="K377" s="246"/>
      <c r="L377" s="246"/>
      <c r="M377" s="246"/>
      <c r="N377" s="252"/>
      <c r="O377" s="246"/>
      <c r="P377" s="246"/>
      <c r="Q377" s="246"/>
      <c r="R377" s="246"/>
      <c r="S377" s="246"/>
      <c r="T377" s="246"/>
      <c r="U377" s="246"/>
      <c r="V377" s="246"/>
      <c r="W377" s="246"/>
      <c r="X377" s="246"/>
      <c r="Y377" s="246"/>
      <c r="Z377" s="246"/>
    </row>
    <row r="378">
      <c r="A378" s="246"/>
      <c r="B378" s="246"/>
      <c r="C378" s="246"/>
      <c r="D378" s="246"/>
      <c r="E378" s="246"/>
      <c r="F378" s="246"/>
      <c r="G378" s="246"/>
      <c r="H378" s="246"/>
      <c r="I378" s="246"/>
      <c r="J378" s="246"/>
      <c r="K378" s="246"/>
      <c r="L378" s="246"/>
      <c r="M378" s="246"/>
      <c r="N378" s="252"/>
      <c r="O378" s="246"/>
      <c r="P378" s="246"/>
      <c r="Q378" s="246"/>
      <c r="R378" s="246"/>
      <c r="S378" s="246"/>
      <c r="T378" s="246"/>
      <c r="U378" s="246"/>
      <c r="V378" s="246"/>
      <c r="W378" s="246"/>
      <c r="X378" s="246"/>
      <c r="Y378" s="246"/>
      <c r="Z378" s="246"/>
    </row>
    <row r="379">
      <c r="A379" s="246"/>
      <c r="B379" s="246"/>
      <c r="C379" s="246"/>
      <c r="D379" s="246"/>
      <c r="E379" s="246"/>
      <c r="F379" s="246"/>
      <c r="G379" s="246"/>
      <c r="H379" s="246"/>
      <c r="I379" s="246"/>
      <c r="J379" s="246"/>
      <c r="K379" s="246"/>
      <c r="L379" s="246"/>
      <c r="M379" s="246"/>
      <c r="N379" s="252"/>
      <c r="O379" s="246"/>
      <c r="P379" s="246"/>
      <c r="Q379" s="246"/>
      <c r="R379" s="246"/>
      <c r="S379" s="246"/>
      <c r="T379" s="246"/>
      <c r="U379" s="246"/>
      <c r="V379" s="246"/>
      <c r="W379" s="246"/>
      <c r="X379" s="246"/>
      <c r="Y379" s="246"/>
      <c r="Z379" s="246"/>
    </row>
    <row r="380">
      <c r="A380" s="246"/>
      <c r="B380" s="246"/>
      <c r="C380" s="246"/>
      <c r="D380" s="246"/>
      <c r="E380" s="246"/>
      <c r="F380" s="246"/>
      <c r="G380" s="246"/>
      <c r="H380" s="246"/>
      <c r="I380" s="246"/>
      <c r="J380" s="246"/>
      <c r="K380" s="246"/>
      <c r="L380" s="246"/>
      <c r="M380" s="246"/>
      <c r="N380" s="252"/>
      <c r="O380" s="246"/>
      <c r="P380" s="246"/>
      <c r="Q380" s="246"/>
      <c r="R380" s="246"/>
      <c r="S380" s="246"/>
      <c r="T380" s="246"/>
      <c r="U380" s="246"/>
      <c r="V380" s="246"/>
      <c r="W380" s="246"/>
      <c r="X380" s="246"/>
      <c r="Y380" s="246"/>
      <c r="Z380" s="246"/>
    </row>
    <row r="381">
      <c r="A381" s="246"/>
      <c r="B381" s="246"/>
      <c r="C381" s="246"/>
      <c r="D381" s="246"/>
      <c r="E381" s="246"/>
      <c r="F381" s="246"/>
      <c r="G381" s="246"/>
      <c r="H381" s="246"/>
      <c r="I381" s="246"/>
      <c r="J381" s="246"/>
      <c r="K381" s="246"/>
      <c r="L381" s="246"/>
      <c r="M381" s="246"/>
      <c r="N381" s="252"/>
      <c r="O381" s="246"/>
      <c r="P381" s="246"/>
      <c r="Q381" s="246"/>
      <c r="R381" s="246"/>
      <c r="S381" s="246"/>
      <c r="T381" s="246"/>
      <c r="U381" s="246"/>
      <c r="V381" s="246"/>
      <c r="W381" s="246"/>
      <c r="X381" s="246"/>
      <c r="Y381" s="246"/>
      <c r="Z381" s="246"/>
    </row>
    <row r="382">
      <c r="A382" s="246"/>
      <c r="B382" s="246"/>
      <c r="C382" s="246"/>
      <c r="D382" s="246"/>
      <c r="E382" s="246"/>
      <c r="F382" s="246"/>
      <c r="G382" s="246"/>
      <c r="H382" s="246"/>
      <c r="I382" s="246"/>
      <c r="J382" s="246"/>
      <c r="K382" s="246"/>
      <c r="L382" s="246"/>
      <c r="M382" s="246"/>
      <c r="N382" s="252"/>
      <c r="O382" s="246"/>
      <c r="P382" s="246"/>
      <c r="Q382" s="246"/>
      <c r="R382" s="246"/>
      <c r="S382" s="246"/>
      <c r="T382" s="246"/>
      <c r="U382" s="246"/>
      <c r="V382" s="246"/>
      <c r="W382" s="246"/>
      <c r="X382" s="246"/>
      <c r="Y382" s="246"/>
      <c r="Z382" s="246"/>
    </row>
    <row r="383">
      <c r="A383" s="246"/>
      <c r="B383" s="246"/>
      <c r="C383" s="246"/>
      <c r="D383" s="246"/>
      <c r="E383" s="246"/>
      <c r="F383" s="246"/>
      <c r="G383" s="246"/>
      <c r="H383" s="246"/>
      <c r="I383" s="246"/>
      <c r="J383" s="246"/>
      <c r="K383" s="246"/>
      <c r="L383" s="246"/>
      <c r="M383" s="246"/>
      <c r="N383" s="252"/>
      <c r="O383" s="246"/>
      <c r="P383" s="246"/>
      <c r="Q383" s="246"/>
      <c r="R383" s="246"/>
      <c r="S383" s="246"/>
      <c r="T383" s="246"/>
      <c r="U383" s="246"/>
      <c r="V383" s="246"/>
      <c r="W383" s="246"/>
      <c r="X383" s="246"/>
      <c r="Y383" s="246"/>
      <c r="Z383" s="246"/>
    </row>
    <row r="384">
      <c r="A384" s="246"/>
      <c r="B384" s="246"/>
      <c r="C384" s="246"/>
      <c r="D384" s="246"/>
      <c r="E384" s="246"/>
      <c r="F384" s="246"/>
      <c r="G384" s="246"/>
      <c r="H384" s="246"/>
      <c r="I384" s="246"/>
      <c r="J384" s="246"/>
      <c r="K384" s="246"/>
      <c r="L384" s="246"/>
      <c r="M384" s="246"/>
      <c r="N384" s="252"/>
      <c r="O384" s="246"/>
      <c r="P384" s="246"/>
      <c r="Q384" s="246"/>
      <c r="R384" s="246"/>
      <c r="S384" s="246"/>
      <c r="T384" s="246"/>
      <c r="U384" s="246"/>
      <c r="V384" s="246"/>
      <c r="W384" s="246"/>
      <c r="X384" s="246"/>
      <c r="Y384" s="246"/>
      <c r="Z384" s="246"/>
    </row>
    <row r="385">
      <c r="A385" s="246"/>
      <c r="B385" s="246"/>
      <c r="C385" s="246"/>
      <c r="D385" s="246"/>
      <c r="E385" s="246"/>
      <c r="F385" s="246"/>
      <c r="G385" s="246"/>
      <c r="H385" s="246"/>
      <c r="I385" s="246"/>
      <c r="J385" s="246"/>
      <c r="K385" s="246"/>
      <c r="L385" s="246"/>
      <c r="M385" s="246"/>
      <c r="N385" s="252"/>
      <c r="O385" s="246"/>
      <c r="P385" s="246"/>
      <c r="Q385" s="246"/>
      <c r="R385" s="246"/>
      <c r="S385" s="246"/>
      <c r="T385" s="246"/>
      <c r="U385" s="246"/>
      <c r="V385" s="246"/>
      <c r="W385" s="246"/>
      <c r="X385" s="246"/>
      <c r="Y385" s="246"/>
      <c r="Z385" s="246"/>
    </row>
    <row r="386">
      <c r="A386" s="246"/>
      <c r="B386" s="246"/>
      <c r="C386" s="246"/>
      <c r="D386" s="246"/>
      <c r="E386" s="246"/>
      <c r="F386" s="246"/>
      <c r="G386" s="246"/>
      <c r="H386" s="246"/>
      <c r="I386" s="246"/>
      <c r="J386" s="246"/>
      <c r="K386" s="246"/>
      <c r="L386" s="246"/>
      <c r="M386" s="246"/>
      <c r="N386" s="252"/>
      <c r="O386" s="246"/>
      <c r="P386" s="246"/>
      <c r="Q386" s="246"/>
      <c r="R386" s="246"/>
      <c r="S386" s="246"/>
      <c r="T386" s="246"/>
      <c r="U386" s="246"/>
      <c r="V386" s="246"/>
      <c r="W386" s="246"/>
      <c r="X386" s="246"/>
      <c r="Y386" s="246"/>
      <c r="Z386" s="246"/>
    </row>
    <row r="387">
      <c r="A387" s="246"/>
      <c r="B387" s="246"/>
      <c r="C387" s="246"/>
      <c r="D387" s="246"/>
      <c r="E387" s="246"/>
      <c r="F387" s="246"/>
      <c r="G387" s="246"/>
      <c r="H387" s="246"/>
      <c r="I387" s="246"/>
      <c r="J387" s="246"/>
      <c r="K387" s="246"/>
      <c r="L387" s="246"/>
      <c r="M387" s="246"/>
      <c r="N387" s="252"/>
      <c r="O387" s="246"/>
      <c r="P387" s="246"/>
      <c r="Q387" s="246"/>
      <c r="R387" s="246"/>
      <c r="S387" s="246"/>
      <c r="T387" s="246"/>
      <c r="U387" s="246"/>
      <c r="V387" s="246"/>
      <c r="W387" s="246"/>
      <c r="X387" s="246"/>
      <c r="Y387" s="246"/>
      <c r="Z387" s="246"/>
    </row>
    <row r="388">
      <c r="A388" s="246"/>
      <c r="B388" s="246"/>
      <c r="C388" s="246"/>
      <c r="D388" s="246"/>
      <c r="E388" s="246"/>
      <c r="F388" s="246"/>
      <c r="G388" s="246"/>
      <c r="H388" s="246"/>
      <c r="I388" s="246"/>
      <c r="J388" s="246"/>
      <c r="K388" s="246"/>
      <c r="L388" s="246"/>
      <c r="M388" s="246"/>
      <c r="N388" s="252"/>
      <c r="O388" s="246"/>
      <c r="P388" s="246"/>
      <c r="Q388" s="246"/>
      <c r="R388" s="246"/>
      <c r="S388" s="246"/>
      <c r="T388" s="246"/>
      <c r="U388" s="246"/>
      <c r="V388" s="246"/>
      <c r="W388" s="246"/>
      <c r="X388" s="246"/>
      <c r="Y388" s="246"/>
      <c r="Z388" s="246"/>
    </row>
    <row r="389">
      <c r="A389" s="246"/>
      <c r="B389" s="246"/>
      <c r="C389" s="246"/>
      <c r="D389" s="246"/>
      <c r="E389" s="246"/>
      <c r="F389" s="246"/>
      <c r="G389" s="246"/>
      <c r="H389" s="246"/>
      <c r="I389" s="246"/>
      <c r="J389" s="246"/>
      <c r="K389" s="246"/>
      <c r="L389" s="246"/>
      <c r="M389" s="246"/>
      <c r="N389" s="252"/>
      <c r="O389" s="246"/>
      <c r="P389" s="246"/>
      <c r="Q389" s="246"/>
      <c r="R389" s="246"/>
      <c r="S389" s="246"/>
      <c r="T389" s="246"/>
      <c r="U389" s="246"/>
      <c r="V389" s="246"/>
      <c r="W389" s="246"/>
      <c r="X389" s="246"/>
      <c r="Y389" s="246"/>
      <c r="Z389" s="246"/>
    </row>
    <row r="390">
      <c r="A390" s="246"/>
      <c r="B390" s="246"/>
      <c r="C390" s="246"/>
      <c r="D390" s="246"/>
      <c r="E390" s="246"/>
      <c r="F390" s="246"/>
      <c r="G390" s="246"/>
      <c r="H390" s="246"/>
      <c r="I390" s="246"/>
      <c r="J390" s="246"/>
      <c r="K390" s="246"/>
      <c r="L390" s="246"/>
      <c r="M390" s="246"/>
      <c r="N390" s="252"/>
      <c r="O390" s="246"/>
      <c r="P390" s="246"/>
      <c r="Q390" s="246"/>
      <c r="R390" s="246"/>
      <c r="S390" s="246"/>
      <c r="T390" s="246"/>
      <c r="U390" s="246"/>
      <c r="V390" s="246"/>
      <c r="W390" s="246"/>
      <c r="X390" s="246"/>
      <c r="Y390" s="246"/>
      <c r="Z390" s="246"/>
    </row>
    <row r="391">
      <c r="A391" s="246"/>
      <c r="B391" s="246"/>
      <c r="C391" s="246"/>
      <c r="D391" s="246"/>
      <c r="E391" s="246"/>
      <c r="F391" s="246"/>
      <c r="G391" s="246"/>
      <c r="H391" s="246"/>
      <c r="I391" s="246"/>
      <c r="J391" s="246"/>
      <c r="K391" s="246"/>
      <c r="L391" s="246"/>
      <c r="M391" s="246"/>
      <c r="N391" s="252"/>
      <c r="O391" s="246"/>
      <c r="P391" s="246"/>
      <c r="Q391" s="246"/>
      <c r="R391" s="246"/>
      <c r="S391" s="246"/>
      <c r="T391" s="246"/>
      <c r="U391" s="246"/>
      <c r="V391" s="246"/>
      <c r="W391" s="246"/>
      <c r="X391" s="246"/>
      <c r="Y391" s="246"/>
      <c r="Z391" s="246"/>
    </row>
    <row r="392">
      <c r="A392" s="246"/>
      <c r="B392" s="246"/>
      <c r="C392" s="246"/>
      <c r="D392" s="246"/>
      <c r="E392" s="246"/>
      <c r="F392" s="246"/>
      <c r="G392" s="246"/>
      <c r="H392" s="246"/>
      <c r="I392" s="246"/>
      <c r="J392" s="246"/>
      <c r="K392" s="246"/>
      <c r="L392" s="246"/>
      <c r="M392" s="246"/>
      <c r="N392" s="252"/>
      <c r="O392" s="246"/>
      <c r="P392" s="246"/>
      <c r="Q392" s="246"/>
      <c r="R392" s="246"/>
      <c r="S392" s="246"/>
      <c r="T392" s="246"/>
      <c r="U392" s="246"/>
      <c r="V392" s="246"/>
      <c r="W392" s="246"/>
      <c r="X392" s="246"/>
      <c r="Y392" s="246"/>
      <c r="Z392" s="246"/>
    </row>
    <row r="393">
      <c r="A393" s="246"/>
      <c r="B393" s="246"/>
      <c r="C393" s="246"/>
      <c r="D393" s="246"/>
      <c r="E393" s="246"/>
      <c r="F393" s="246"/>
      <c r="G393" s="246"/>
      <c r="H393" s="246"/>
      <c r="I393" s="246"/>
      <c r="J393" s="246"/>
      <c r="K393" s="246"/>
      <c r="L393" s="246"/>
      <c r="M393" s="246"/>
      <c r="N393" s="252"/>
      <c r="O393" s="246"/>
      <c r="P393" s="246"/>
      <c r="Q393" s="246"/>
      <c r="R393" s="246"/>
      <c r="S393" s="246"/>
      <c r="T393" s="246"/>
      <c r="U393" s="246"/>
      <c r="V393" s="246"/>
      <c r="W393" s="246"/>
      <c r="X393" s="246"/>
      <c r="Y393" s="246"/>
      <c r="Z393" s="246"/>
    </row>
    <row r="394">
      <c r="A394" s="246"/>
      <c r="B394" s="246"/>
      <c r="C394" s="246"/>
      <c r="D394" s="246"/>
      <c r="E394" s="246"/>
      <c r="F394" s="246"/>
      <c r="G394" s="246"/>
      <c r="H394" s="246"/>
      <c r="I394" s="246"/>
      <c r="J394" s="246"/>
      <c r="K394" s="246"/>
      <c r="L394" s="246"/>
      <c r="M394" s="246"/>
      <c r="N394" s="252"/>
      <c r="O394" s="246"/>
      <c r="P394" s="246"/>
      <c r="Q394" s="246"/>
      <c r="R394" s="246"/>
      <c r="S394" s="246"/>
      <c r="T394" s="246"/>
      <c r="U394" s="246"/>
      <c r="V394" s="246"/>
      <c r="W394" s="246"/>
      <c r="X394" s="246"/>
      <c r="Y394" s="246"/>
      <c r="Z394" s="246"/>
    </row>
    <row r="395">
      <c r="A395" s="246"/>
      <c r="B395" s="246"/>
      <c r="C395" s="246"/>
      <c r="D395" s="246"/>
      <c r="E395" s="246"/>
      <c r="F395" s="246"/>
      <c r="G395" s="246"/>
      <c r="H395" s="246"/>
      <c r="I395" s="246"/>
      <c r="J395" s="246"/>
      <c r="K395" s="246"/>
      <c r="L395" s="246"/>
      <c r="M395" s="246"/>
      <c r="N395" s="252"/>
      <c r="O395" s="246"/>
      <c r="P395" s="246"/>
      <c r="Q395" s="246"/>
      <c r="R395" s="246"/>
      <c r="S395" s="246"/>
      <c r="T395" s="246"/>
      <c r="U395" s="246"/>
      <c r="V395" s="246"/>
      <c r="W395" s="246"/>
      <c r="X395" s="246"/>
      <c r="Y395" s="246"/>
      <c r="Z395" s="246"/>
    </row>
    <row r="396">
      <c r="A396" s="246"/>
      <c r="B396" s="246"/>
      <c r="C396" s="246"/>
      <c r="D396" s="246"/>
      <c r="E396" s="246"/>
      <c r="F396" s="246"/>
      <c r="G396" s="246"/>
      <c r="H396" s="246"/>
      <c r="I396" s="246"/>
      <c r="J396" s="246"/>
      <c r="K396" s="246"/>
      <c r="L396" s="246"/>
      <c r="M396" s="246"/>
      <c r="N396" s="252"/>
      <c r="O396" s="246"/>
      <c r="P396" s="246"/>
      <c r="Q396" s="246"/>
      <c r="R396" s="246"/>
      <c r="S396" s="246"/>
      <c r="T396" s="246"/>
      <c r="U396" s="246"/>
      <c r="V396" s="246"/>
      <c r="W396" s="246"/>
      <c r="X396" s="246"/>
      <c r="Y396" s="246"/>
      <c r="Z396" s="246"/>
    </row>
    <row r="397">
      <c r="A397" s="246"/>
      <c r="B397" s="246"/>
      <c r="C397" s="246"/>
      <c r="D397" s="246"/>
      <c r="E397" s="246"/>
      <c r="F397" s="246"/>
      <c r="G397" s="246"/>
      <c r="H397" s="246"/>
      <c r="I397" s="246"/>
      <c r="J397" s="246"/>
      <c r="K397" s="246"/>
      <c r="L397" s="246"/>
      <c r="M397" s="246"/>
      <c r="N397" s="252"/>
      <c r="O397" s="246"/>
      <c r="P397" s="246"/>
      <c r="Q397" s="246"/>
      <c r="R397" s="246"/>
      <c r="S397" s="246"/>
      <c r="T397" s="246"/>
      <c r="U397" s="246"/>
      <c r="V397" s="246"/>
      <c r="W397" s="246"/>
      <c r="X397" s="246"/>
      <c r="Y397" s="246"/>
      <c r="Z397" s="246"/>
    </row>
    <row r="398">
      <c r="A398" s="246"/>
      <c r="B398" s="246"/>
      <c r="C398" s="246"/>
      <c r="D398" s="246"/>
      <c r="E398" s="246"/>
      <c r="F398" s="246"/>
      <c r="G398" s="246"/>
      <c r="H398" s="246"/>
      <c r="I398" s="246"/>
      <c r="J398" s="246"/>
      <c r="K398" s="246"/>
      <c r="L398" s="246"/>
      <c r="M398" s="246"/>
      <c r="N398" s="252"/>
      <c r="O398" s="246"/>
      <c r="P398" s="246"/>
      <c r="Q398" s="246"/>
      <c r="R398" s="246"/>
      <c r="S398" s="246"/>
      <c r="T398" s="246"/>
      <c r="U398" s="246"/>
      <c r="V398" s="246"/>
      <c r="W398" s="246"/>
      <c r="X398" s="246"/>
      <c r="Y398" s="246"/>
      <c r="Z398" s="246"/>
    </row>
    <row r="399">
      <c r="A399" s="246"/>
      <c r="B399" s="246"/>
      <c r="C399" s="246"/>
      <c r="D399" s="246"/>
      <c r="E399" s="246"/>
      <c r="F399" s="246"/>
      <c r="G399" s="246"/>
      <c r="H399" s="246"/>
      <c r="I399" s="246"/>
      <c r="J399" s="246"/>
      <c r="K399" s="246"/>
      <c r="L399" s="246"/>
      <c r="M399" s="246"/>
      <c r="N399" s="252"/>
      <c r="O399" s="246"/>
      <c r="P399" s="246"/>
      <c r="Q399" s="246"/>
      <c r="R399" s="246"/>
      <c r="S399" s="246"/>
      <c r="T399" s="246"/>
      <c r="U399" s="246"/>
      <c r="V399" s="246"/>
      <c r="W399" s="246"/>
      <c r="X399" s="246"/>
      <c r="Y399" s="246"/>
      <c r="Z399" s="246"/>
    </row>
    <row r="400">
      <c r="A400" s="246"/>
      <c r="B400" s="246"/>
      <c r="C400" s="246"/>
      <c r="D400" s="246"/>
      <c r="E400" s="246"/>
      <c r="F400" s="246"/>
      <c r="G400" s="246"/>
      <c r="H400" s="246"/>
      <c r="I400" s="246"/>
      <c r="J400" s="246"/>
      <c r="K400" s="246"/>
      <c r="L400" s="246"/>
      <c r="M400" s="246"/>
      <c r="N400" s="252"/>
      <c r="O400" s="246"/>
      <c r="P400" s="246"/>
      <c r="Q400" s="246"/>
      <c r="R400" s="246"/>
      <c r="S400" s="246"/>
      <c r="T400" s="246"/>
      <c r="U400" s="246"/>
      <c r="V400" s="246"/>
      <c r="W400" s="246"/>
      <c r="X400" s="246"/>
      <c r="Y400" s="246"/>
      <c r="Z400" s="246"/>
    </row>
    <row r="401">
      <c r="A401" s="246"/>
      <c r="B401" s="246"/>
      <c r="C401" s="246"/>
      <c r="D401" s="246"/>
      <c r="E401" s="246"/>
      <c r="F401" s="246"/>
      <c r="G401" s="246"/>
      <c r="H401" s="246"/>
      <c r="I401" s="246"/>
      <c r="J401" s="246"/>
      <c r="K401" s="246"/>
      <c r="L401" s="246"/>
      <c r="M401" s="246"/>
      <c r="N401" s="252"/>
      <c r="O401" s="246"/>
      <c r="P401" s="246"/>
      <c r="Q401" s="246"/>
      <c r="R401" s="246"/>
      <c r="S401" s="246"/>
      <c r="T401" s="246"/>
      <c r="U401" s="246"/>
      <c r="V401" s="246"/>
      <c r="W401" s="246"/>
      <c r="X401" s="246"/>
      <c r="Y401" s="246"/>
      <c r="Z401" s="246"/>
    </row>
    <row r="402">
      <c r="A402" s="246"/>
      <c r="B402" s="246"/>
      <c r="C402" s="246"/>
      <c r="D402" s="246"/>
      <c r="E402" s="246"/>
      <c r="F402" s="246"/>
      <c r="G402" s="246"/>
      <c r="H402" s="246"/>
      <c r="I402" s="246"/>
      <c r="J402" s="246"/>
      <c r="K402" s="246"/>
      <c r="L402" s="246"/>
      <c r="M402" s="246"/>
      <c r="N402" s="252"/>
      <c r="O402" s="246"/>
      <c r="P402" s="246"/>
      <c r="Q402" s="246"/>
      <c r="R402" s="246"/>
      <c r="S402" s="246"/>
      <c r="T402" s="246"/>
      <c r="U402" s="246"/>
      <c r="V402" s="246"/>
      <c r="W402" s="246"/>
      <c r="X402" s="246"/>
      <c r="Y402" s="246"/>
      <c r="Z402" s="246"/>
    </row>
    <row r="403">
      <c r="A403" s="246"/>
      <c r="B403" s="246"/>
      <c r="C403" s="246"/>
      <c r="D403" s="246"/>
      <c r="E403" s="246"/>
      <c r="F403" s="246"/>
      <c r="G403" s="246"/>
      <c r="H403" s="246"/>
      <c r="I403" s="246"/>
      <c r="J403" s="246"/>
      <c r="K403" s="246"/>
      <c r="L403" s="246"/>
      <c r="M403" s="246"/>
      <c r="N403" s="252"/>
      <c r="O403" s="246"/>
      <c r="P403" s="246"/>
      <c r="Q403" s="246"/>
      <c r="R403" s="246"/>
      <c r="S403" s="246"/>
      <c r="T403" s="246"/>
      <c r="U403" s="246"/>
      <c r="V403" s="246"/>
      <c r="W403" s="246"/>
      <c r="X403" s="246"/>
      <c r="Y403" s="246"/>
      <c r="Z403" s="246"/>
    </row>
    <row r="404">
      <c r="A404" s="246"/>
      <c r="B404" s="246"/>
      <c r="C404" s="246"/>
      <c r="D404" s="246"/>
      <c r="E404" s="246"/>
      <c r="F404" s="246"/>
      <c r="G404" s="246"/>
      <c r="H404" s="246"/>
      <c r="I404" s="246"/>
      <c r="J404" s="246"/>
      <c r="K404" s="246"/>
      <c r="L404" s="246"/>
      <c r="M404" s="246"/>
      <c r="N404" s="252"/>
      <c r="O404" s="246"/>
      <c r="P404" s="246"/>
      <c r="Q404" s="246"/>
      <c r="R404" s="246"/>
      <c r="S404" s="246"/>
      <c r="T404" s="246"/>
      <c r="U404" s="246"/>
      <c r="V404" s="246"/>
      <c r="W404" s="246"/>
      <c r="X404" s="246"/>
      <c r="Y404" s="246"/>
      <c r="Z404" s="246"/>
    </row>
    <row r="405">
      <c r="A405" s="246"/>
      <c r="B405" s="246"/>
      <c r="C405" s="246"/>
      <c r="D405" s="246"/>
      <c r="E405" s="246"/>
      <c r="F405" s="246"/>
      <c r="G405" s="246"/>
      <c r="H405" s="246"/>
      <c r="I405" s="246"/>
      <c r="J405" s="246"/>
      <c r="K405" s="246"/>
      <c r="L405" s="246"/>
      <c r="M405" s="246"/>
      <c r="N405" s="252"/>
      <c r="O405" s="246"/>
      <c r="P405" s="246"/>
      <c r="Q405" s="246"/>
      <c r="R405" s="246"/>
      <c r="S405" s="246"/>
      <c r="T405" s="246"/>
      <c r="U405" s="246"/>
      <c r="V405" s="246"/>
      <c r="W405" s="246"/>
      <c r="X405" s="246"/>
      <c r="Y405" s="246"/>
      <c r="Z405" s="246"/>
    </row>
    <row r="406">
      <c r="A406" s="246"/>
      <c r="B406" s="246"/>
      <c r="C406" s="246"/>
      <c r="D406" s="246"/>
      <c r="E406" s="246"/>
      <c r="F406" s="246"/>
      <c r="G406" s="246"/>
      <c r="H406" s="246"/>
      <c r="I406" s="246"/>
      <c r="J406" s="246"/>
      <c r="K406" s="246"/>
      <c r="L406" s="246"/>
      <c r="M406" s="246"/>
      <c r="N406" s="252"/>
      <c r="O406" s="246"/>
      <c r="P406" s="246"/>
      <c r="Q406" s="246"/>
      <c r="R406" s="246"/>
      <c r="S406" s="246"/>
      <c r="T406" s="246"/>
      <c r="U406" s="246"/>
      <c r="V406" s="246"/>
      <c r="W406" s="246"/>
      <c r="X406" s="246"/>
      <c r="Y406" s="246"/>
      <c r="Z406" s="246"/>
    </row>
    <row r="407">
      <c r="A407" s="246"/>
      <c r="B407" s="246"/>
      <c r="C407" s="246"/>
      <c r="D407" s="246"/>
      <c r="E407" s="246"/>
      <c r="F407" s="246"/>
      <c r="G407" s="246"/>
      <c r="H407" s="246"/>
      <c r="I407" s="246"/>
      <c r="J407" s="246"/>
      <c r="K407" s="246"/>
      <c r="L407" s="246"/>
      <c r="M407" s="246"/>
      <c r="N407" s="252"/>
      <c r="O407" s="246"/>
      <c r="P407" s="246"/>
      <c r="Q407" s="246"/>
      <c r="R407" s="246"/>
      <c r="S407" s="246"/>
      <c r="T407" s="246"/>
      <c r="U407" s="246"/>
      <c r="V407" s="246"/>
      <c r="W407" s="246"/>
      <c r="X407" s="246"/>
      <c r="Y407" s="246"/>
      <c r="Z407" s="246"/>
    </row>
    <row r="408">
      <c r="A408" s="246"/>
      <c r="B408" s="246"/>
      <c r="C408" s="246"/>
      <c r="D408" s="246"/>
      <c r="E408" s="246"/>
      <c r="F408" s="246"/>
      <c r="G408" s="246"/>
      <c r="H408" s="246"/>
      <c r="I408" s="246"/>
      <c r="J408" s="246"/>
      <c r="K408" s="246"/>
      <c r="L408" s="246"/>
      <c r="M408" s="246"/>
      <c r="N408" s="252"/>
      <c r="O408" s="246"/>
      <c r="P408" s="246"/>
      <c r="Q408" s="246"/>
      <c r="R408" s="246"/>
      <c r="S408" s="246"/>
      <c r="T408" s="246"/>
      <c r="U408" s="246"/>
      <c r="V408" s="246"/>
      <c r="W408" s="246"/>
      <c r="X408" s="246"/>
      <c r="Y408" s="246"/>
      <c r="Z408" s="246"/>
    </row>
    <row r="409">
      <c r="A409" s="246"/>
      <c r="B409" s="246"/>
      <c r="C409" s="246"/>
      <c r="D409" s="246"/>
      <c r="E409" s="246"/>
      <c r="F409" s="246"/>
      <c r="G409" s="246"/>
      <c r="H409" s="246"/>
      <c r="I409" s="246"/>
      <c r="J409" s="246"/>
      <c r="K409" s="246"/>
      <c r="L409" s="246"/>
      <c r="M409" s="246"/>
      <c r="N409" s="252"/>
      <c r="O409" s="246"/>
      <c r="P409" s="246"/>
      <c r="Q409" s="246"/>
      <c r="R409" s="246"/>
      <c r="S409" s="246"/>
      <c r="T409" s="246"/>
      <c r="U409" s="246"/>
      <c r="V409" s="246"/>
      <c r="W409" s="246"/>
      <c r="X409" s="246"/>
      <c r="Y409" s="246"/>
      <c r="Z409" s="246"/>
    </row>
    <row r="410">
      <c r="A410" s="246"/>
      <c r="B410" s="246"/>
      <c r="C410" s="246"/>
      <c r="D410" s="246"/>
      <c r="E410" s="246"/>
      <c r="F410" s="246"/>
      <c r="G410" s="246"/>
      <c r="H410" s="246"/>
      <c r="I410" s="246"/>
      <c r="J410" s="246"/>
      <c r="K410" s="246"/>
      <c r="L410" s="246"/>
      <c r="M410" s="246"/>
      <c r="N410" s="252"/>
      <c r="O410" s="246"/>
      <c r="P410" s="246"/>
      <c r="Q410" s="246"/>
      <c r="R410" s="246"/>
      <c r="S410" s="246"/>
      <c r="T410" s="246"/>
      <c r="U410" s="246"/>
      <c r="V410" s="246"/>
      <c r="W410" s="246"/>
      <c r="X410" s="246"/>
      <c r="Y410" s="246"/>
      <c r="Z410" s="246"/>
    </row>
    <row r="411">
      <c r="A411" s="246"/>
      <c r="B411" s="246"/>
      <c r="C411" s="246"/>
      <c r="D411" s="246"/>
      <c r="E411" s="246"/>
      <c r="F411" s="246"/>
      <c r="G411" s="246"/>
      <c r="H411" s="246"/>
      <c r="I411" s="246"/>
      <c r="J411" s="246"/>
      <c r="K411" s="246"/>
      <c r="L411" s="246"/>
      <c r="M411" s="246"/>
      <c r="N411" s="252"/>
      <c r="O411" s="246"/>
      <c r="P411" s="246"/>
      <c r="Q411" s="246"/>
      <c r="R411" s="246"/>
      <c r="S411" s="246"/>
      <c r="T411" s="246"/>
      <c r="U411" s="246"/>
      <c r="V411" s="246"/>
      <c r="W411" s="246"/>
      <c r="X411" s="246"/>
      <c r="Y411" s="246"/>
      <c r="Z411" s="246"/>
    </row>
    <row r="412">
      <c r="A412" s="246"/>
      <c r="B412" s="246"/>
      <c r="C412" s="246"/>
      <c r="D412" s="246"/>
      <c r="E412" s="246"/>
      <c r="F412" s="246"/>
      <c r="G412" s="246"/>
      <c r="H412" s="246"/>
      <c r="I412" s="246"/>
      <c r="J412" s="246"/>
      <c r="K412" s="246"/>
      <c r="L412" s="246"/>
      <c r="M412" s="246"/>
      <c r="N412" s="252"/>
      <c r="O412" s="246"/>
      <c r="P412" s="246"/>
      <c r="Q412" s="246"/>
      <c r="R412" s="246"/>
      <c r="S412" s="246"/>
      <c r="T412" s="246"/>
      <c r="U412" s="246"/>
      <c r="V412" s="246"/>
      <c r="W412" s="246"/>
      <c r="X412" s="246"/>
      <c r="Y412" s="246"/>
      <c r="Z412" s="246"/>
    </row>
    <row r="413">
      <c r="A413" s="246"/>
      <c r="B413" s="246"/>
      <c r="C413" s="246"/>
      <c r="D413" s="246"/>
      <c r="E413" s="246"/>
      <c r="F413" s="246"/>
      <c r="G413" s="246"/>
      <c r="H413" s="246"/>
      <c r="I413" s="246"/>
      <c r="J413" s="246"/>
      <c r="K413" s="246"/>
      <c r="L413" s="246"/>
      <c r="M413" s="246"/>
      <c r="N413" s="252"/>
      <c r="O413" s="246"/>
      <c r="P413" s="246"/>
      <c r="Q413" s="246"/>
      <c r="R413" s="246"/>
      <c r="S413" s="246"/>
      <c r="T413" s="246"/>
      <c r="U413" s="246"/>
      <c r="V413" s="246"/>
      <c r="W413" s="246"/>
      <c r="X413" s="246"/>
      <c r="Y413" s="246"/>
      <c r="Z413" s="246"/>
    </row>
    <row r="414">
      <c r="A414" s="246"/>
      <c r="B414" s="246"/>
      <c r="C414" s="246"/>
      <c r="D414" s="246"/>
      <c r="E414" s="246"/>
      <c r="F414" s="246"/>
      <c r="G414" s="246"/>
      <c r="H414" s="246"/>
      <c r="I414" s="246"/>
      <c r="J414" s="246"/>
      <c r="K414" s="246"/>
      <c r="L414" s="246"/>
      <c r="M414" s="246"/>
      <c r="N414" s="252"/>
      <c r="O414" s="246"/>
      <c r="P414" s="246"/>
      <c r="Q414" s="246"/>
      <c r="R414" s="246"/>
      <c r="S414" s="246"/>
      <c r="T414" s="246"/>
      <c r="U414" s="246"/>
      <c r="V414" s="246"/>
      <c r="W414" s="246"/>
      <c r="X414" s="246"/>
      <c r="Y414" s="246"/>
      <c r="Z414" s="246"/>
    </row>
    <row r="415">
      <c r="A415" s="246"/>
      <c r="B415" s="246"/>
      <c r="C415" s="246"/>
      <c r="D415" s="246"/>
      <c r="E415" s="246"/>
      <c r="F415" s="246"/>
      <c r="G415" s="246"/>
      <c r="H415" s="246"/>
      <c r="I415" s="246"/>
      <c r="J415" s="246"/>
      <c r="K415" s="246"/>
      <c r="L415" s="246"/>
      <c r="M415" s="246"/>
      <c r="N415" s="252"/>
      <c r="O415" s="246"/>
      <c r="P415" s="246"/>
      <c r="Q415" s="246"/>
      <c r="R415" s="246"/>
      <c r="S415" s="246"/>
      <c r="T415" s="246"/>
      <c r="U415" s="246"/>
      <c r="V415" s="246"/>
      <c r="W415" s="246"/>
      <c r="X415" s="246"/>
      <c r="Y415" s="246"/>
      <c r="Z415" s="246"/>
    </row>
    <row r="416">
      <c r="A416" s="246"/>
      <c r="B416" s="246"/>
      <c r="C416" s="246"/>
      <c r="D416" s="246"/>
      <c r="E416" s="246"/>
      <c r="F416" s="246"/>
      <c r="G416" s="246"/>
      <c r="H416" s="246"/>
      <c r="I416" s="246"/>
      <c r="J416" s="246"/>
      <c r="K416" s="246"/>
      <c r="L416" s="246"/>
      <c r="M416" s="246"/>
      <c r="N416" s="252"/>
      <c r="O416" s="246"/>
      <c r="P416" s="246"/>
      <c r="Q416" s="246"/>
      <c r="R416" s="246"/>
      <c r="S416" s="246"/>
      <c r="T416" s="246"/>
      <c r="U416" s="246"/>
      <c r="V416" s="246"/>
      <c r="W416" s="246"/>
      <c r="X416" s="246"/>
      <c r="Y416" s="246"/>
      <c r="Z416" s="246"/>
    </row>
    <row r="417">
      <c r="A417" s="246"/>
      <c r="B417" s="246"/>
      <c r="C417" s="246"/>
      <c r="D417" s="246"/>
      <c r="E417" s="246"/>
      <c r="F417" s="246"/>
      <c r="G417" s="246"/>
      <c r="H417" s="246"/>
      <c r="I417" s="246"/>
      <c r="J417" s="246"/>
      <c r="K417" s="246"/>
      <c r="L417" s="246"/>
      <c r="M417" s="246"/>
      <c r="N417" s="252"/>
      <c r="O417" s="246"/>
      <c r="P417" s="246"/>
      <c r="Q417" s="246"/>
      <c r="R417" s="246"/>
      <c r="S417" s="246"/>
      <c r="T417" s="246"/>
      <c r="U417" s="246"/>
      <c r="V417" s="246"/>
      <c r="W417" s="246"/>
      <c r="X417" s="246"/>
      <c r="Y417" s="246"/>
      <c r="Z417" s="246"/>
    </row>
    <row r="418">
      <c r="A418" s="246"/>
      <c r="B418" s="246"/>
      <c r="C418" s="246"/>
      <c r="D418" s="246"/>
      <c r="E418" s="246"/>
      <c r="F418" s="246"/>
      <c r="G418" s="246"/>
      <c r="H418" s="246"/>
      <c r="I418" s="246"/>
      <c r="J418" s="246"/>
      <c r="K418" s="246"/>
      <c r="L418" s="246"/>
      <c r="M418" s="246"/>
      <c r="N418" s="252"/>
      <c r="O418" s="246"/>
      <c r="P418" s="246"/>
      <c r="Q418" s="246"/>
      <c r="R418" s="246"/>
      <c r="S418" s="246"/>
      <c r="T418" s="246"/>
      <c r="U418" s="246"/>
      <c r="V418" s="246"/>
      <c r="W418" s="246"/>
      <c r="X418" s="246"/>
      <c r="Y418" s="246"/>
      <c r="Z418" s="246"/>
    </row>
    <row r="419">
      <c r="A419" s="246"/>
      <c r="B419" s="246"/>
      <c r="C419" s="246"/>
      <c r="D419" s="246"/>
      <c r="E419" s="246"/>
      <c r="F419" s="246"/>
      <c r="G419" s="246"/>
      <c r="H419" s="246"/>
      <c r="I419" s="246"/>
      <c r="J419" s="246"/>
      <c r="K419" s="246"/>
      <c r="L419" s="246"/>
      <c r="M419" s="246"/>
      <c r="N419" s="252"/>
      <c r="O419" s="246"/>
      <c r="P419" s="246"/>
      <c r="Q419" s="246"/>
      <c r="R419" s="246"/>
      <c r="S419" s="246"/>
      <c r="T419" s="246"/>
      <c r="U419" s="246"/>
      <c r="V419" s="246"/>
      <c r="W419" s="246"/>
      <c r="X419" s="246"/>
      <c r="Y419" s="246"/>
      <c r="Z419" s="246"/>
    </row>
    <row r="420">
      <c r="A420" s="246"/>
      <c r="B420" s="246"/>
      <c r="C420" s="246"/>
      <c r="D420" s="246"/>
      <c r="E420" s="246"/>
      <c r="F420" s="246"/>
      <c r="G420" s="246"/>
      <c r="H420" s="246"/>
      <c r="I420" s="246"/>
      <c r="J420" s="246"/>
      <c r="K420" s="246"/>
      <c r="L420" s="246"/>
      <c r="M420" s="246"/>
      <c r="N420" s="252"/>
      <c r="O420" s="246"/>
      <c r="P420" s="246"/>
      <c r="Q420" s="246"/>
      <c r="R420" s="246"/>
      <c r="S420" s="246"/>
      <c r="T420" s="246"/>
      <c r="U420" s="246"/>
      <c r="V420" s="246"/>
      <c r="W420" s="246"/>
      <c r="X420" s="246"/>
      <c r="Y420" s="246"/>
      <c r="Z420" s="246"/>
    </row>
    <row r="421">
      <c r="A421" s="246"/>
      <c r="B421" s="246"/>
      <c r="C421" s="246"/>
      <c r="D421" s="246"/>
      <c r="E421" s="246"/>
      <c r="F421" s="246"/>
      <c r="G421" s="246"/>
      <c r="H421" s="246"/>
      <c r="I421" s="246"/>
      <c r="J421" s="246"/>
      <c r="K421" s="246"/>
      <c r="L421" s="246"/>
      <c r="M421" s="246"/>
      <c r="N421" s="252"/>
      <c r="O421" s="246"/>
      <c r="P421" s="246"/>
      <c r="Q421" s="246"/>
      <c r="R421" s="246"/>
      <c r="S421" s="246"/>
      <c r="T421" s="246"/>
      <c r="U421" s="246"/>
      <c r="V421" s="246"/>
      <c r="W421" s="246"/>
      <c r="X421" s="246"/>
      <c r="Y421" s="246"/>
      <c r="Z421" s="246"/>
    </row>
    <row r="422">
      <c r="A422" s="246"/>
      <c r="B422" s="246"/>
      <c r="C422" s="246"/>
      <c r="D422" s="246"/>
      <c r="E422" s="246"/>
      <c r="F422" s="246"/>
      <c r="G422" s="246"/>
      <c r="H422" s="246"/>
      <c r="I422" s="246"/>
      <c r="J422" s="246"/>
      <c r="K422" s="246"/>
      <c r="L422" s="246"/>
      <c r="M422" s="246"/>
      <c r="N422" s="252"/>
      <c r="O422" s="246"/>
      <c r="P422" s="246"/>
      <c r="Q422" s="246"/>
      <c r="R422" s="246"/>
      <c r="S422" s="246"/>
      <c r="T422" s="246"/>
      <c r="U422" s="246"/>
      <c r="V422" s="246"/>
      <c r="W422" s="246"/>
      <c r="X422" s="246"/>
      <c r="Y422" s="246"/>
      <c r="Z422" s="246"/>
    </row>
    <row r="423">
      <c r="A423" s="246"/>
      <c r="B423" s="246"/>
      <c r="C423" s="246"/>
      <c r="D423" s="246"/>
      <c r="E423" s="246"/>
      <c r="F423" s="246"/>
      <c r="G423" s="246"/>
      <c r="H423" s="246"/>
      <c r="I423" s="246"/>
      <c r="J423" s="246"/>
      <c r="K423" s="246"/>
      <c r="L423" s="246"/>
      <c r="M423" s="246"/>
      <c r="N423" s="252"/>
      <c r="O423" s="246"/>
      <c r="P423" s="246"/>
      <c r="Q423" s="246"/>
      <c r="R423" s="246"/>
      <c r="S423" s="246"/>
      <c r="T423" s="246"/>
      <c r="U423" s="246"/>
      <c r="V423" s="246"/>
      <c r="W423" s="246"/>
      <c r="X423" s="246"/>
      <c r="Y423" s="246"/>
      <c r="Z423" s="246"/>
    </row>
    <row r="424">
      <c r="A424" s="246"/>
      <c r="B424" s="246"/>
      <c r="C424" s="246"/>
      <c r="D424" s="246"/>
      <c r="E424" s="246"/>
      <c r="F424" s="246"/>
      <c r="G424" s="246"/>
      <c r="H424" s="246"/>
      <c r="I424" s="246"/>
      <c r="J424" s="246"/>
      <c r="K424" s="246"/>
      <c r="L424" s="246"/>
      <c r="M424" s="246"/>
      <c r="N424" s="252"/>
      <c r="O424" s="246"/>
      <c r="P424" s="246"/>
      <c r="Q424" s="246"/>
      <c r="R424" s="246"/>
      <c r="S424" s="246"/>
      <c r="T424" s="246"/>
      <c r="U424" s="246"/>
      <c r="V424" s="246"/>
      <c r="W424" s="246"/>
      <c r="X424" s="246"/>
      <c r="Y424" s="246"/>
      <c r="Z424" s="246"/>
    </row>
    <row r="425">
      <c r="A425" s="246"/>
      <c r="B425" s="246"/>
      <c r="C425" s="246"/>
      <c r="D425" s="246"/>
      <c r="E425" s="246"/>
      <c r="F425" s="246"/>
      <c r="G425" s="246"/>
      <c r="H425" s="246"/>
      <c r="I425" s="246"/>
      <c r="J425" s="246"/>
      <c r="K425" s="246"/>
      <c r="L425" s="246"/>
      <c r="M425" s="246"/>
      <c r="N425" s="252"/>
      <c r="O425" s="246"/>
      <c r="P425" s="246"/>
      <c r="Q425" s="246"/>
      <c r="R425" s="246"/>
      <c r="S425" s="246"/>
      <c r="T425" s="246"/>
      <c r="U425" s="246"/>
      <c r="V425" s="246"/>
      <c r="W425" s="246"/>
      <c r="X425" s="246"/>
      <c r="Y425" s="246"/>
      <c r="Z425" s="246"/>
    </row>
    <row r="426">
      <c r="A426" s="246"/>
      <c r="B426" s="246"/>
      <c r="C426" s="246"/>
      <c r="D426" s="246"/>
      <c r="E426" s="246"/>
      <c r="F426" s="246"/>
      <c r="G426" s="246"/>
      <c r="H426" s="246"/>
      <c r="I426" s="246"/>
      <c r="J426" s="246"/>
      <c r="K426" s="246"/>
      <c r="L426" s="246"/>
      <c r="M426" s="246"/>
      <c r="N426" s="252"/>
      <c r="O426" s="246"/>
      <c r="P426" s="246"/>
      <c r="Q426" s="246"/>
      <c r="R426" s="246"/>
      <c r="S426" s="246"/>
      <c r="T426" s="246"/>
      <c r="U426" s="246"/>
      <c r="V426" s="246"/>
      <c r="W426" s="246"/>
      <c r="X426" s="246"/>
      <c r="Y426" s="246"/>
      <c r="Z426" s="246"/>
    </row>
    <row r="427">
      <c r="A427" s="246"/>
      <c r="B427" s="246"/>
      <c r="C427" s="246"/>
      <c r="D427" s="246"/>
      <c r="E427" s="246"/>
      <c r="F427" s="246"/>
      <c r="G427" s="246"/>
      <c r="H427" s="246"/>
      <c r="I427" s="246"/>
      <c r="J427" s="246"/>
      <c r="K427" s="246"/>
      <c r="L427" s="246"/>
      <c r="M427" s="246"/>
      <c r="N427" s="252"/>
      <c r="O427" s="246"/>
      <c r="P427" s="246"/>
      <c r="Q427" s="246"/>
      <c r="R427" s="246"/>
      <c r="S427" s="246"/>
      <c r="T427" s="246"/>
      <c r="U427" s="246"/>
      <c r="V427" s="246"/>
      <c r="W427" s="246"/>
      <c r="X427" s="246"/>
      <c r="Y427" s="246"/>
      <c r="Z427" s="246"/>
    </row>
    <row r="428">
      <c r="A428" s="246"/>
      <c r="B428" s="246"/>
      <c r="C428" s="246"/>
      <c r="D428" s="246"/>
      <c r="E428" s="246"/>
      <c r="F428" s="246"/>
      <c r="G428" s="246"/>
      <c r="H428" s="246"/>
      <c r="I428" s="246"/>
      <c r="J428" s="246"/>
      <c r="K428" s="246"/>
      <c r="L428" s="246"/>
      <c r="M428" s="246"/>
      <c r="N428" s="252"/>
      <c r="O428" s="246"/>
      <c r="P428" s="246"/>
      <c r="Q428" s="246"/>
      <c r="R428" s="246"/>
      <c r="S428" s="246"/>
      <c r="T428" s="246"/>
      <c r="U428" s="246"/>
      <c r="V428" s="246"/>
      <c r="W428" s="246"/>
      <c r="X428" s="246"/>
      <c r="Y428" s="246"/>
      <c r="Z428" s="246"/>
    </row>
    <row r="429">
      <c r="A429" s="246"/>
      <c r="B429" s="246"/>
      <c r="C429" s="246"/>
      <c r="D429" s="246"/>
      <c r="E429" s="246"/>
      <c r="F429" s="246"/>
      <c r="G429" s="246"/>
      <c r="H429" s="246"/>
      <c r="I429" s="246"/>
      <c r="J429" s="246"/>
      <c r="K429" s="246"/>
      <c r="L429" s="246"/>
      <c r="M429" s="246"/>
      <c r="N429" s="252"/>
      <c r="O429" s="246"/>
      <c r="P429" s="246"/>
      <c r="Q429" s="246"/>
      <c r="R429" s="246"/>
      <c r="S429" s="246"/>
      <c r="T429" s="246"/>
      <c r="U429" s="246"/>
      <c r="V429" s="246"/>
      <c r="W429" s="246"/>
      <c r="X429" s="246"/>
      <c r="Y429" s="246"/>
      <c r="Z429" s="246"/>
    </row>
    <row r="430">
      <c r="A430" s="246"/>
      <c r="B430" s="246"/>
      <c r="C430" s="246"/>
      <c r="D430" s="246"/>
      <c r="E430" s="246"/>
      <c r="F430" s="246"/>
      <c r="G430" s="246"/>
      <c r="H430" s="246"/>
      <c r="I430" s="246"/>
      <c r="J430" s="246"/>
      <c r="K430" s="246"/>
      <c r="L430" s="246"/>
      <c r="M430" s="246"/>
      <c r="N430" s="252"/>
      <c r="O430" s="246"/>
      <c r="P430" s="246"/>
      <c r="Q430" s="246"/>
      <c r="R430" s="246"/>
      <c r="S430" s="246"/>
      <c r="T430" s="246"/>
      <c r="U430" s="246"/>
      <c r="V430" s="246"/>
      <c r="W430" s="246"/>
      <c r="X430" s="246"/>
      <c r="Y430" s="246"/>
      <c r="Z430" s="246"/>
    </row>
    <row r="431">
      <c r="A431" s="246"/>
      <c r="B431" s="246"/>
      <c r="C431" s="246"/>
      <c r="D431" s="246"/>
      <c r="E431" s="246"/>
      <c r="F431" s="246"/>
      <c r="G431" s="246"/>
      <c r="H431" s="246"/>
      <c r="I431" s="246"/>
      <c r="J431" s="246"/>
      <c r="K431" s="246"/>
      <c r="L431" s="246"/>
      <c r="M431" s="246"/>
      <c r="N431" s="252"/>
      <c r="O431" s="246"/>
      <c r="P431" s="246"/>
      <c r="Q431" s="246"/>
      <c r="R431" s="246"/>
      <c r="S431" s="246"/>
      <c r="T431" s="246"/>
      <c r="U431" s="246"/>
      <c r="V431" s="246"/>
      <c r="W431" s="246"/>
      <c r="X431" s="246"/>
      <c r="Y431" s="246"/>
      <c r="Z431" s="246"/>
    </row>
    <row r="432">
      <c r="A432" s="246"/>
      <c r="B432" s="246"/>
      <c r="C432" s="246"/>
      <c r="D432" s="246"/>
      <c r="E432" s="246"/>
      <c r="F432" s="246"/>
      <c r="G432" s="246"/>
      <c r="H432" s="246"/>
      <c r="I432" s="246"/>
      <c r="J432" s="246"/>
      <c r="K432" s="246"/>
      <c r="L432" s="246"/>
      <c r="M432" s="246"/>
      <c r="N432" s="252"/>
      <c r="O432" s="246"/>
      <c r="P432" s="246"/>
      <c r="Q432" s="246"/>
      <c r="R432" s="246"/>
      <c r="S432" s="246"/>
      <c r="T432" s="246"/>
      <c r="U432" s="246"/>
      <c r="V432" s="246"/>
      <c r="W432" s="246"/>
      <c r="X432" s="246"/>
      <c r="Y432" s="246"/>
      <c r="Z432" s="246"/>
    </row>
    <row r="433">
      <c r="A433" s="246"/>
      <c r="B433" s="246"/>
      <c r="C433" s="246"/>
      <c r="D433" s="246"/>
      <c r="E433" s="246"/>
      <c r="F433" s="246"/>
      <c r="G433" s="246"/>
      <c r="H433" s="246"/>
      <c r="I433" s="246"/>
      <c r="J433" s="246"/>
      <c r="K433" s="246"/>
      <c r="L433" s="246"/>
      <c r="M433" s="246"/>
      <c r="N433" s="252"/>
      <c r="O433" s="246"/>
      <c r="P433" s="246"/>
      <c r="Q433" s="246"/>
      <c r="R433" s="246"/>
      <c r="S433" s="246"/>
      <c r="T433" s="246"/>
      <c r="U433" s="246"/>
      <c r="V433" s="246"/>
      <c r="W433" s="246"/>
      <c r="X433" s="246"/>
      <c r="Y433" s="246"/>
      <c r="Z433" s="246"/>
    </row>
    <row r="434">
      <c r="A434" s="246"/>
      <c r="B434" s="246"/>
      <c r="C434" s="246"/>
      <c r="D434" s="246"/>
      <c r="E434" s="246"/>
      <c r="F434" s="246"/>
      <c r="G434" s="246"/>
      <c r="H434" s="246"/>
      <c r="I434" s="246"/>
      <c r="J434" s="246"/>
      <c r="K434" s="246"/>
      <c r="L434" s="246"/>
      <c r="M434" s="246"/>
      <c r="N434" s="252"/>
      <c r="O434" s="246"/>
      <c r="P434" s="246"/>
      <c r="Q434" s="246"/>
      <c r="R434" s="246"/>
      <c r="S434" s="246"/>
      <c r="T434" s="246"/>
      <c r="U434" s="246"/>
      <c r="V434" s="246"/>
      <c r="W434" s="246"/>
      <c r="X434" s="246"/>
      <c r="Y434" s="246"/>
      <c r="Z434" s="246"/>
    </row>
    <row r="435">
      <c r="A435" s="246"/>
      <c r="B435" s="246"/>
      <c r="C435" s="246"/>
      <c r="D435" s="246"/>
      <c r="E435" s="246"/>
      <c r="F435" s="246"/>
      <c r="G435" s="246"/>
      <c r="H435" s="246"/>
      <c r="I435" s="246"/>
      <c r="J435" s="246"/>
      <c r="K435" s="246"/>
      <c r="L435" s="246"/>
      <c r="M435" s="246"/>
      <c r="N435" s="252"/>
      <c r="O435" s="246"/>
      <c r="P435" s="246"/>
      <c r="Q435" s="246"/>
      <c r="R435" s="246"/>
      <c r="S435" s="246"/>
      <c r="T435" s="246"/>
      <c r="U435" s="246"/>
      <c r="V435" s="246"/>
      <c r="W435" s="246"/>
      <c r="X435" s="246"/>
      <c r="Y435" s="246"/>
      <c r="Z435" s="246"/>
    </row>
    <row r="436">
      <c r="A436" s="246"/>
      <c r="B436" s="246"/>
      <c r="C436" s="246"/>
      <c r="D436" s="246"/>
      <c r="E436" s="246"/>
      <c r="F436" s="246"/>
      <c r="G436" s="246"/>
      <c r="H436" s="246"/>
      <c r="I436" s="246"/>
      <c r="J436" s="246"/>
      <c r="K436" s="246"/>
      <c r="L436" s="246"/>
      <c r="M436" s="246"/>
      <c r="N436" s="252"/>
      <c r="O436" s="246"/>
      <c r="P436" s="246"/>
      <c r="Q436" s="246"/>
      <c r="R436" s="246"/>
      <c r="S436" s="246"/>
      <c r="T436" s="246"/>
      <c r="U436" s="246"/>
      <c r="V436" s="246"/>
      <c r="W436" s="246"/>
      <c r="X436" s="246"/>
      <c r="Y436" s="246"/>
      <c r="Z436" s="246"/>
    </row>
    <row r="437">
      <c r="A437" s="246"/>
      <c r="B437" s="246"/>
      <c r="C437" s="246"/>
      <c r="D437" s="246"/>
      <c r="E437" s="246"/>
      <c r="F437" s="246"/>
      <c r="G437" s="246"/>
      <c r="H437" s="246"/>
      <c r="I437" s="246"/>
      <c r="J437" s="246"/>
      <c r="K437" s="246"/>
      <c r="L437" s="246"/>
      <c r="M437" s="246"/>
      <c r="N437" s="252"/>
      <c r="O437" s="246"/>
      <c r="P437" s="246"/>
      <c r="Q437" s="246"/>
      <c r="R437" s="246"/>
      <c r="S437" s="246"/>
      <c r="T437" s="246"/>
      <c r="U437" s="246"/>
      <c r="V437" s="246"/>
      <c r="W437" s="246"/>
      <c r="X437" s="246"/>
      <c r="Y437" s="246"/>
      <c r="Z437" s="246"/>
    </row>
    <row r="438">
      <c r="A438" s="246"/>
      <c r="B438" s="246"/>
      <c r="C438" s="246"/>
      <c r="D438" s="246"/>
      <c r="E438" s="246"/>
      <c r="F438" s="246"/>
      <c r="G438" s="246"/>
      <c r="H438" s="246"/>
      <c r="I438" s="246"/>
      <c r="J438" s="246"/>
      <c r="K438" s="246"/>
      <c r="L438" s="246"/>
      <c r="M438" s="246"/>
      <c r="N438" s="252"/>
      <c r="O438" s="246"/>
      <c r="P438" s="246"/>
      <c r="Q438" s="246"/>
      <c r="R438" s="246"/>
      <c r="S438" s="246"/>
      <c r="T438" s="246"/>
      <c r="U438" s="246"/>
      <c r="V438" s="246"/>
      <c r="W438" s="246"/>
      <c r="X438" s="246"/>
      <c r="Y438" s="246"/>
      <c r="Z438" s="246"/>
    </row>
    <row r="439">
      <c r="A439" s="246"/>
      <c r="B439" s="246"/>
      <c r="C439" s="246"/>
      <c r="D439" s="246"/>
      <c r="E439" s="246"/>
      <c r="F439" s="246"/>
      <c r="G439" s="246"/>
      <c r="H439" s="246"/>
      <c r="I439" s="246"/>
      <c r="J439" s="246"/>
      <c r="K439" s="246"/>
      <c r="L439" s="246"/>
      <c r="M439" s="246"/>
      <c r="N439" s="252"/>
      <c r="O439" s="246"/>
      <c r="P439" s="246"/>
      <c r="Q439" s="246"/>
      <c r="R439" s="246"/>
      <c r="S439" s="246"/>
      <c r="T439" s="246"/>
      <c r="U439" s="246"/>
      <c r="V439" s="246"/>
      <c r="W439" s="246"/>
      <c r="X439" s="246"/>
      <c r="Y439" s="246"/>
      <c r="Z439" s="246"/>
    </row>
    <row r="440">
      <c r="A440" s="246"/>
      <c r="B440" s="246"/>
      <c r="C440" s="246"/>
      <c r="D440" s="246"/>
      <c r="E440" s="246"/>
      <c r="F440" s="246"/>
      <c r="G440" s="246"/>
      <c r="H440" s="246"/>
      <c r="I440" s="246"/>
      <c r="J440" s="246"/>
      <c r="K440" s="246"/>
      <c r="L440" s="246"/>
      <c r="M440" s="246"/>
      <c r="N440" s="252"/>
      <c r="O440" s="246"/>
      <c r="P440" s="246"/>
      <c r="Q440" s="246"/>
      <c r="R440" s="246"/>
      <c r="S440" s="246"/>
      <c r="T440" s="246"/>
      <c r="U440" s="246"/>
      <c r="V440" s="246"/>
      <c r="W440" s="246"/>
      <c r="X440" s="246"/>
      <c r="Y440" s="246"/>
      <c r="Z440" s="246"/>
    </row>
    <row r="441">
      <c r="A441" s="246"/>
      <c r="B441" s="246"/>
      <c r="C441" s="246"/>
      <c r="D441" s="246"/>
      <c r="E441" s="246"/>
      <c r="F441" s="246"/>
      <c r="G441" s="246"/>
      <c r="H441" s="246"/>
      <c r="I441" s="246"/>
      <c r="J441" s="246"/>
      <c r="K441" s="246"/>
      <c r="L441" s="246"/>
      <c r="M441" s="246"/>
      <c r="N441" s="252"/>
      <c r="O441" s="246"/>
      <c r="P441" s="246"/>
      <c r="Q441" s="246"/>
      <c r="R441" s="246"/>
      <c r="S441" s="246"/>
      <c r="T441" s="246"/>
      <c r="U441" s="246"/>
      <c r="V441" s="246"/>
      <c r="W441" s="246"/>
      <c r="X441" s="246"/>
      <c r="Y441" s="246"/>
      <c r="Z441" s="246"/>
    </row>
    <row r="442">
      <c r="A442" s="246"/>
      <c r="B442" s="246"/>
      <c r="C442" s="246"/>
      <c r="D442" s="246"/>
      <c r="E442" s="246"/>
      <c r="F442" s="246"/>
      <c r="G442" s="246"/>
      <c r="H442" s="246"/>
      <c r="I442" s="246"/>
      <c r="J442" s="246"/>
      <c r="K442" s="246"/>
      <c r="L442" s="246"/>
      <c r="M442" s="246"/>
      <c r="N442" s="252"/>
      <c r="O442" s="246"/>
      <c r="P442" s="246"/>
      <c r="Q442" s="246"/>
      <c r="R442" s="246"/>
      <c r="S442" s="246"/>
      <c r="T442" s="246"/>
      <c r="U442" s="246"/>
      <c r="V442" s="246"/>
      <c r="W442" s="246"/>
      <c r="X442" s="246"/>
      <c r="Y442" s="246"/>
      <c r="Z442" s="246"/>
    </row>
    <row r="443">
      <c r="A443" s="246"/>
      <c r="B443" s="246"/>
      <c r="C443" s="246"/>
      <c r="D443" s="246"/>
      <c r="E443" s="246"/>
      <c r="F443" s="246"/>
      <c r="G443" s="246"/>
      <c r="H443" s="246"/>
      <c r="I443" s="246"/>
      <c r="J443" s="246"/>
      <c r="K443" s="246"/>
      <c r="L443" s="246"/>
      <c r="M443" s="246"/>
      <c r="N443" s="252"/>
      <c r="O443" s="246"/>
      <c r="P443" s="246"/>
      <c r="Q443" s="246"/>
      <c r="R443" s="246"/>
      <c r="S443" s="246"/>
      <c r="T443" s="246"/>
      <c r="U443" s="246"/>
      <c r="V443" s="246"/>
      <c r="W443" s="246"/>
      <c r="X443" s="246"/>
      <c r="Y443" s="246"/>
      <c r="Z443" s="246"/>
    </row>
    <row r="444">
      <c r="A444" s="246"/>
      <c r="B444" s="246"/>
      <c r="C444" s="246"/>
      <c r="D444" s="246"/>
      <c r="E444" s="246"/>
      <c r="F444" s="246"/>
      <c r="G444" s="246"/>
      <c r="H444" s="246"/>
      <c r="I444" s="246"/>
      <c r="J444" s="246"/>
      <c r="K444" s="246"/>
      <c r="L444" s="246"/>
      <c r="M444" s="246"/>
      <c r="N444" s="252"/>
      <c r="O444" s="246"/>
      <c r="P444" s="246"/>
      <c r="Q444" s="246"/>
      <c r="R444" s="246"/>
      <c r="S444" s="246"/>
      <c r="T444" s="246"/>
      <c r="U444" s="246"/>
      <c r="V444" s="246"/>
      <c r="W444" s="246"/>
      <c r="X444" s="246"/>
      <c r="Y444" s="246"/>
      <c r="Z444" s="246"/>
    </row>
    <row r="445">
      <c r="A445" s="246"/>
      <c r="B445" s="246"/>
      <c r="C445" s="246"/>
      <c r="D445" s="246"/>
      <c r="E445" s="246"/>
      <c r="F445" s="246"/>
      <c r="G445" s="246"/>
      <c r="H445" s="246"/>
      <c r="I445" s="246"/>
      <c r="J445" s="246"/>
      <c r="K445" s="246"/>
      <c r="L445" s="246"/>
      <c r="M445" s="246"/>
      <c r="N445" s="252"/>
      <c r="O445" s="246"/>
      <c r="P445" s="246"/>
      <c r="Q445" s="246"/>
      <c r="R445" s="246"/>
      <c r="S445" s="246"/>
      <c r="T445" s="246"/>
      <c r="U445" s="246"/>
      <c r="V445" s="246"/>
      <c r="W445" s="246"/>
      <c r="X445" s="246"/>
      <c r="Y445" s="246"/>
      <c r="Z445" s="246"/>
    </row>
    <row r="446">
      <c r="A446" s="246"/>
      <c r="B446" s="246"/>
      <c r="C446" s="246"/>
      <c r="D446" s="246"/>
      <c r="E446" s="246"/>
      <c r="F446" s="246"/>
      <c r="G446" s="246"/>
      <c r="H446" s="246"/>
      <c r="I446" s="246"/>
      <c r="J446" s="246"/>
      <c r="K446" s="246"/>
      <c r="L446" s="246"/>
      <c r="M446" s="246"/>
      <c r="N446" s="252"/>
      <c r="O446" s="246"/>
      <c r="P446" s="246"/>
      <c r="Q446" s="246"/>
      <c r="R446" s="246"/>
      <c r="S446" s="246"/>
      <c r="T446" s="246"/>
      <c r="U446" s="246"/>
      <c r="V446" s="246"/>
      <c r="W446" s="246"/>
      <c r="X446" s="246"/>
      <c r="Y446" s="246"/>
      <c r="Z446" s="246"/>
    </row>
    <row r="447">
      <c r="A447" s="246"/>
      <c r="B447" s="246"/>
      <c r="C447" s="246"/>
      <c r="D447" s="246"/>
      <c r="E447" s="246"/>
      <c r="F447" s="246"/>
      <c r="G447" s="246"/>
      <c r="H447" s="246"/>
      <c r="I447" s="246"/>
      <c r="J447" s="246"/>
      <c r="K447" s="246"/>
      <c r="L447" s="246"/>
      <c r="M447" s="246"/>
      <c r="N447" s="252"/>
      <c r="O447" s="246"/>
      <c r="P447" s="246"/>
      <c r="Q447" s="246"/>
      <c r="R447" s="246"/>
      <c r="S447" s="246"/>
      <c r="T447" s="246"/>
      <c r="U447" s="246"/>
      <c r="V447" s="246"/>
      <c r="W447" s="246"/>
      <c r="X447" s="246"/>
      <c r="Y447" s="246"/>
      <c r="Z447" s="246"/>
    </row>
    <row r="448">
      <c r="A448" s="246"/>
      <c r="B448" s="246"/>
      <c r="C448" s="246"/>
      <c r="D448" s="246"/>
      <c r="E448" s="246"/>
      <c r="F448" s="246"/>
      <c r="G448" s="246"/>
      <c r="H448" s="246"/>
      <c r="I448" s="246"/>
      <c r="J448" s="246"/>
      <c r="K448" s="246"/>
      <c r="L448" s="246"/>
      <c r="M448" s="246"/>
      <c r="N448" s="252"/>
      <c r="O448" s="246"/>
      <c r="P448" s="246"/>
      <c r="Q448" s="246"/>
      <c r="R448" s="246"/>
      <c r="S448" s="246"/>
      <c r="T448" s="246"/>
      <c r="U448" s="246"/>
      <c r="V448" s="246"/>
      <c r="W448" s="246"/>
      <c r="X448" s="246"/>
      <c r="Y448" s="246"/>
      <c r="Z448" s="246"/>
    </row>
    <row r="449">
      <c r="A449" s="246"/>
      <c r="B449" s="246"/>
      <c r="C449" s="246"/>
      <c r="D449" s="246"/>
      <c r="E449" s="246"/>
      <c r="F449" s="246"/>
      <c r="G449" s="246"/>
      <c r="H449" s="246"/>
      <c r="I449" s="246"/>
      <c r="J449" s="246"/>
      <c r="K449" s="246"/>
      <c r="L449" s="246"/>
      <c r="M449" s="246"/>
      <c r="N449" s="252"/>
      <c r="O449" s="246"/>
      <c r="P449" s="246"/>
      <c r="Q449" s="246"/>
      <c r="R449" s="246"/>
      <c r="S449" s="246"/>
      <c r="T449" s="246"/>
      <c r="U449" s="246"/>
      <c r="V449" s="246"/>
      <c r="W449" s="246"/>
      <c r="X449" s="246"/>
      <c r="Y449" s="246"/>
      <c r="Z449" s="246"/>
    </row>
    <row r="450">
      <c r="A450" s="246"/>
      <c r="B450" s="246"/>
      <c r="C450" s="246"/>
      <c r="D450" s="246"/>
      <c r="E450" s="246"/>
      <c r="F450" s="246"/>
      <c r="G450" s="246"/>
      <c r="H450" s="246"/>
      <c r="I450" s="246"/>
      <c r="J450" s="246"/>
      <c r="K450" s="246"/>
      <c r="L450" s="246"/>
      <c r="M450" s="246"/>
      <c r="N450" s="252"/>
      <c r="O450" s="246"/>
      <c r="P450" s="246"/>
      <c r="Q450" s="246"/>
      <c r="R450" s="246"/>
      <c r="S450" s="246"/>
      <c r="T450" s="246"/>
      <c r="U450" s="246"/>
      <c r="V450" s="246"/>
      <c r="W450" s="246"/>
      <c r="X450" s="246"/>
      <c r="Y450" s="246"/>
      <c r="Z450" s="246"/>
    </row>
    <row r="451">
      <c r="A451" s="246"/>
      <c r="B451" s="246"/>
      <c r="C451" s="246"/>
      <c r="D451" s="246"/>
      <c r="E451" s="246"/>
      <c r="F451" s="246"/>
      <c r="G451" s="246"/>
      <c r="H451" s="246"/>
      <c r="I451" s="246"/>
      <c r="J451" s="246"/>
      <c r="K451" s="246"/>
      <c r="L451" s="246"/>
      <c r="M451" s="246"/>
      <c r="N451" s="252"/>
      <c r="O451" s="246"/>
      <c r="P451" s="246"/>
      <c r="Q451" s="246"/>
      <c r="R451" s="246"/>
      <c r="S451" s="246"/>
      <c r="T451" s="246"/>
      <c r="U451" s="246"/>
      <c r="V451" s="246"/>
      <c r="W451" s="246"/>
      <c r="X451" s="246"/>
      <c r="Y451" s="246"/>
      <c r="Z451" s="246"/>
    </row>
    <row r="452">
      <c r="A452" s="246"/>
      <c r="B452" s="246"/>
      <c r="C452" s="246"/>
      <c r="D452" s="246"/>
      <c r="E452" s="246"/>
      <c r="F452" s="246"/>
      <c r="G452" s="246"/>
      <c r="H452" s="246"/>
      <c r="I452" s="246"/>
      <c r="J452" s="246"/>
      <c r="K452" s="246"/>
      <c r="L452" s="246"/>
      <c r="M452" s="246"/>
      <c r="N452" s="252"/>
      <c r="O452" s="246"/>
      <c r="P452" s="246"/>
      <c r="Q452" s="246"/>
      <c r="R452" s="246"/>
      <c r="S452" s="246"/>
      <c r="T452" s="246"/>
      <c r="U452" s="246"/>
      <c r="V452" s="246"/>
      <c r="W452" s="246"/>
      <c r="X452" s="246"/>
      <c r="Y452" s="246"/>
      <c r="Z452" s="246"/>
    </row>
    <row r="453">
      <c r="A453" s="246"/>
      <c r="B453" s="246"/>
      <c r="C453" s="246"/>
      <c r="D453" s="246"/>
      <c r="E453" s="246"/>
      <c r="F453" s="246"/>
      <c r="G453" s="246"/>
      <c r="H453" s="246"/>
      <c r="I453" s="246"/>
      <c r="J453" s="246"/>
      <c r="K453" s="246"/>
      <c r="L453" s="246"/>
      <c r="M453" s="246"/>
      <c r="N453" s="252"/>
      <c r="O453" s="246"/>
      <c r="P453" s="246"/>
      <c r="Q453" s="246"/>
      <c r="R453" s="246"/>
      <c r="S453" s="246"/>
      <c r="T453" s="246"/>
      <c r="U453" s="246"/>
      <c r="V453" s="246"/>
      <c r="W453" s="246"/>
      <c r="X453" s="246"/>
      <c r="Y453" s="246"/>
      <c r="Z453" s="246"/>
    </row>
    <row r="454">
      <c r="A454" s="246"/>
      <c r="B454" s="246"/>
      <c r="C454" s="246"/>
      <c r="D454" s="246"/>
      <c r="E454" s="246"/>
      <c r="F454" s="246"/>
      <c r="G454" s="246"/>
      <c r="H454" s="246"/>
      <c r="I454" s="246"/>
      <c r="J454" s="246"/>
      <c r="K454" s="246"/>
      <c r="L454" s="246"/>
      <c r="M454" s="246"/>
      <c r="N454" s="252"/>
      <c r="O454" s="246"/>
      <c r="P454" s="246"/>
      <c r="Q454" s="246"/>
      <c r="R454" s="246"/>
      <c r="S454" s="246"/>
      <c r="T454" s="246"/>
      <c r="U454" s="246"/>
      <c r="V454" s="246"/>
      <c r="W454" s="246"/>
      <c r="X454" s="246"/>
      <c r="Y454" s="246"/>
      <c r="Z454" s="246"/>
    </row>
    <row r="455">
      <c r="A455" s="246"/>
      <c r="B455" s="246"/>
      <c r="C455" s="246"/>
      <c r="D455" s="246"/>
      <c r="E455" s="246"/>
      <c r="F455" s="246"/>
      <c r="G455" s="246"/>
      <c r="H455" s="246"/>
      <c r="I455" s="246"/>
      <c r="J455" s="246"/>
      <c r="K455" s="246"/>
      <c r="L455" s="246"/>
      <c r="M455" s="246"/>
      <c r="N455" s="252"/>
      <c r="O455" s="246"/>
      <c r="P455" s="246"/>
      <c r="Q455" s="246"/>
      <c r="R455" s="246"/>
      <c r="S455" s="246"/>
      <c r="T455" s="246"/>
      <c r="U455" s="246"/>
      <c r="V455" s="246"/>
      <c r="W455" s="246"/>
      <c r="X455" s="246"/>
      <c r="Y455" s="246"/>
      <c r="Z455" s="246"/>
    </row>
    <row r="456">
      <c r="A456" s="246"/>
      <c r="B456" s="246"/>
      <c r="C456" s="246"/>
      <c r="D456" s="246"/>
      <c r="E456" s="246"/>
      <c r="F456" s="246"/>
      <c r="G456" s="246"/>
      <c r="H456" s="246"/>
      <c r="I456" s="246"/>
      <c r="J456" s="246"/>
      <c r="K456" s="246"/>
      <c r="L456" s="246"/>
      <c r="M456" s="246"/>
      <c r="N456" s="252"/>
      <c r="O456" s="246"/>
      <c r="P456" s="246"/>
      <c r="Q456" s="246"/>
      <c r="R456" s="246"/>
      <c r="S456" s="246"/>
      <c r="T456" s="246"/>
      <c r="U456" s="246"/>
      <c r="V456" s="246"/>
      <c r="W456" s="246"/>
      <c r="X456" s="246"/>
      <c r="Y456" s="246"/>
      <c r="Z456" s="246"/>
    </row>
    <row r="457">
      <c r="A457" s="246"/>
      <c r="B457" s="246"/>
      <c r="C457" s="246"/>
      <c r="D457" s="246"/>
      <c r="E457" s="246"/>
      <c r="F457" s="246"/>
      <c r="G457" s="246"/>
      <c r="H457" s="246"/>
      <c r="I457" s="246"/>
      <c r="J457" s="246"/>
      <c r="K457" s="246"/>
      <c r="L457" s="246"/>
      <c r="M457" s="246"/>
      <c r="N457" s="252"/>
      <c r="O457" s="246"/>
      <c r="P457" s="246"/>
      <c r="Q457" s="246"/>
      <c r="R457" s="246"/>
      <c r="S457" s="246"/>
      <c r="T457" s="246"/>
      <c r="U457" s="246"/>
      <c r="V457" s="246"/>
      <c r="W457" s="246"/>
      <c r="X457" s="246"/>
      <c r="Y457" s="246"/>
      <c r="Z457" s="246"/>
    </row>
    <row r="458">
      <c r="A458" s="246"/>
      <c r="B458" s="246"/>
      <c r="C458" s="246"/>
      <c r="D458" s="246"/>
      <c r="E458" s="246"/>
      <c r="F458" s="246"/>
      <c r="G458" s="246"/>
      <c r="H458" s="246"/>
      <c r="I458" s="246"/>
      <c r="J458" s="246"/>
      <c r="K458" s="246"/>
      <c r="L458" s="246"/>
      <c r="M458" s="246"/>
      <c r="N458" s="252"/>
      <c r="O458" s="246"/>
      <c r="P458" s="246"/>
      <c r="Q458" s="246"/>
      <c r="R458" s="246"/>
      <c r="S458" s="246"/>
      <c r="T458" s="246"/>
      <c r="U458" s="246"/>
      <c r="V458" s="246"/>
      <c r="W458" s="246"/>
      <c r="X458" s="246"/>
      <c r="Y458" s="246"/>
      <c r="Z458" s="246"/>
    </row>
    <row r="459">
      <c r="A459" s="246"/>
      <c r="B459" s="246"/>
      <c r="C459" s="246"/>
      <c r="D459" s="246"/>
      <c r="E459" s="246"/>
      <c r="F459" s="246"/>
      <c r="G459" s="246"/>
      <c r="H459" s="246"/>
      <c r="I459" s="246"/>
      <c r="J459" s="246"/>
      <c r="K459" s="246"/>
      <c r="L459" s="246"/>
      <c r="M459" s="246"/>
      <c r="N459" s="252"/>
      <c r="O459" s="246"/>
      <c r="P459" s="246"/>
      <c r="Q459" s="246"/>
      <c r="R459" s="246"/>
      <c r="S459" s="246"/>
      <c r="T459" s="246"/>
      <c r="U459" s="246"/>
      <c r="V459" s="246"/>
      <c r="W459" s="246"/>
      <c r="X459" s="246"/>
      <c r="Y459" s="246"/>
      <c r="Z459" s="246"/>
    </row>
    <row r="460">
      <c r="A460" s="246"/>
      <c r="B460" s="246"/>
      <c r="C460" s="246"/>
      <c r="D460" s="246"/>
      <c r="E460" s="246"/>
      <c r="F460" s="246"/>
      <c r="G460" s="246"/>
      <c r="H460" s="246"/>
      <c r="I460" s="246"/>
      <c r="J460" s="246"/>
      <c r="K460" s="246"/>
      <c r="L460" s="246"/>
      <c r="M460" s="246"/>
      <c r="N460" s="252"/>
      <c r="O460" s="246"/>
      <c r="P460" s="246"/>
      <c r="Q460" s="246"/>
      <c r="R460" s="246"/>
      <c r="S460" s="246"/>
      <c r="T460" s="246"/>
      <c r="U460" s="246"/>
      <c r="V460" s="246"/>
      <c r="W460" s="246"/>
      <c r="X460" s="246"/>
      <c r="Y460" s="246"/>
      <c r="Z460" s="246"/>
    </row>
    <row r="461">
      <c r="A461" s="246"/>
      <c r="B461" s="246"/>
      <c r="C461" s="246"/>
      <c r="D461" s="246"/>
      <c r="E461" s="246"/>
      <c r="F461" s="246"/>
      <c r="G461" s="246"/>
      <c r="H461" s="246"/>
      <c r="I461" s="246"/>
      <c r="J461" s="246"/>
      <c r="K461" s="246"/>
      <c r="L461" s="246"/>
      <c r="M461" s="246"/>
      <c r="N461" s="252"/>
      <c r="O461" s="246"/>
      <c r="P461" s="246"/>
      <c r="Q461" s="246"/>
      <c r="R461" s="246"/>
      <c r="S461" s="246"/>
      <c r="T461" s="246"/>
      <c r="U461" s="246"/>
      <c r="V461" s="246"/>
      <c r="W461" s="246"/>
      <c r="X461" s="246"/>
      <c r="Y461" s="246"/>
      <c r="Z461" s="246"/>
    </row>
    <row r="462">
      <c r="A462" s="246"/>
      <c r="B462" s="246"/>
      <c r="C462" s="246"/>
      <c r="D462" s="246"/>
      <c r="E462" s="246"/>
      <c r="F462" s="246"/>
      <c r="G462" s="246"/>
      <c r="H462" s="246"/>
      <c r="I462" s="246"/>
      <c r="J462" s="246"/>
      <c r="K462" s="246"/>
      <c r="L462" s="246"/>
      <c r="M462" s="246"/>
      <c r="N462" s="252"/>
      <c r="O462" s="246"/>
      <c r="P462" s="246"/>
      <c r="Q462" s="246"/>
      <c r="R462" s="246"/>
      <c r="S462" s="246"/>
      <c r="T462" s="246"/>
      <c r="U462" s="246"/>
      <c r="V462" s="246"/>
      <c r="W462" s="246"/>
      <c r="X462" s="246"/>
      <c r="Y462" s="246"/>
      <c r="Z462" s="246"/>
    </row>
    <row r="463">
      <c r="A463" s="246"/>
      <c r="B463" s="246"/>
      <c r="C463" s="246"/>
      <c r="D463" s="246"/>
      <c r="E463" s="246"/>
      <c r="F463" s="246"/>
      <c r="G463" s="246"/>
      <c r="H463" s="246"/>
      <c r="I463" s="246"/>
      <c r="J463" s="246"/>
      <c r="K463" s="246"/>
      <c r="L463" s="246"/>
      <c r="M463" s="246"/>
      <c r="N463" s="252"/>
      <c r="O463" s="246"/>
      <c r="P463" s="246"/>
      <c r="Q463" s="246"/>
      <c r="R463" s="246"/>
      <c r="S463" s="246"/>
      <c r="T463" s="246"/>
      <c r="U463" s="246"/>
      <c r="V463" s="246"/>
      <c r="W463" s="246"/>
      <c r="X463" s="246"/>
      <c r="Y463" s="246"/>
      <c r="Z463" s="246"/>
    </row>
    <row r="464">
      <c r="A464" s="246"/>
      <c r="B464" s="246"/>
      <c r="C464" s="246"/>
      <c r="D464" s="246"/>
      <c r="E464" s="246"/>
      <c r="F464" s="246"/>
      <c r="G464" s="246"/>
      <c r="H464" s="246"/>
      <c r="I464" s="246"/>
      <c r="J464" s="246"/>
      <c r="K464" s="246"/>
      <c r="L464" s="246"/>
      <c r="M464" s="246"/>
      <c r="N464" s="252"/>
      <c r="O464" s="246"/>
      <c r="P464" s="246"/>
      <c r="Q464" s="246"/>
      <c r="R464" s="246"/>
      <c r="S464" s="246"/>
      <c r="T464" s="246"/>
      <c r="U464" s="246"/>
      <c r="V464" s="246"/>
      <c r="W464" s="246"/>
      <c r="X464" s="246"/>
      <c r="Y464" s="246"/>
      <c r="Z464" s="246"/>
    </row>
    <row r="465">
      <c r="A465" s="246"/>
      <c r="B465" s="246"/>
      <c r="C465" s="246"/>
      <c r="D465" s="246"/>
      <c r="E465" s="246"/>
      <c r="F465" s="246"/>
      <c r="G465" s="246"/>
      <c r="H465" s="246"/>
      <c r="I465" s="246"/>
      <c r="J465" s="246"/>
      <c r="K465" s="246"/>
      <c r="L465" s="246"/>
      <c r="M465" s="246"/>
      <c r="N465" s="252"/>
      <c r="O465" s="246"/>
      <c r="P465" s="246"/>
      <c r="Q465" s="246"/>
      <c r="R465" s="246"/>
      <c r="S465" s="246"/>
      <c r="T465" s="246"/>
      <c r="U465" s="246"/>
      <c r="V465" s="246"/>
      <c r="W465" s="246"/>
      <c r="X465" s="246"/>
      <c r="Y465" s="246"/>
      <c r="Z465" s="246"/>
    </row>
    <row r="466">
      <c r="A466" s="246"/>
      <c r="B466" s="246"/>
      <c r="C466" s="246"/>
      <c r="D466" s="246"/>
      <c r="E466" s="246"/>
      <c r="F466" s="246"/>
      <c r="G466" s="246"/>
      <c r="H466" s="246"/>
      <c r="I466" s="246"/>
      <c r="J466" s="246"/>
      <c r="K466" s="246"/>
      <c r="L466" s="246"/>
      <c r="M466" s="246"/>
      <c r="N466" s="252"/>
      <c r="O466" s="246"/>
      <c r="P466" s="246"/>
      <c r="Q466" s="246"/>
      <c r="R466" s="246"/>
      <c r="S466" s="246"/>
      <c r="T466" s="246"/>
      <c r="U466" s="246"/>
      <c r="V466" s="246"/>
      <c r="W466" s="246"/>
      <c r="X466" s="246"/>
      <c r="Y466" s="246"/>
      <c r="Z466" s="246"/>
    </row>
    <row r="467">
      <c r="A467" s="246"/>
      <c r="B467" s="246"/>
      <c r="C467" s="246"/>
      <c r="D467" s="246"/>
      <c r="E467" s="246"/>
      <c r="F467" s="246"/>
      <c r="G467" s="246"/>
      <c r="H467" s="246"/>
      <c r="I467" s="246"/>
      <c r="J467" s="246"/>
      <c r="K467" s="246"/>
      <c r="L467" s="246"/>
      <c r="M467" s="246"/>
      <c r="N467" s="252"/>
      <c r="O467" s="246"/>
      <c r="P467" s="246"/>
      <c r="Q467" s="246"/>
      <c r="R467" s="246"/>
      <c r="S467" s="246"/>
      <c r="T467" s="246"/>
      <c r="U467" s="246"/>
      <c r="V467" s="246"/>
      <c r="W467" s="246"/>
      <c r="X467" s="246"/>
      <c r="Y467" s="246"/>
      <c r="Z467" s="246"/>
    </row>
    <row r="468">
      <c r="A468" s="246"/>
      <c r="B468" s="246"/>
      <c r="C468" s="246"/>
      <c r="D468" s="246"/>
      <c r="E468" s="246"/>
      <c r="F468" s="246"/>
      <c r="G468" s="246"/>
      <c r="H468" s="246"/>
      <c r="I468" s="246"/>
      <c r="J468" s="246"/>
      <c r="K468" s="246"/>
      <c r="L468" s="246"/>
      <c r="M468" s="246"/>
      <c r="N468" s="252"/>
      <c r="O468" s="246"/>
      <c r="P468" s="246"/>
      <c r="Q468" s="246"/>
      <c r="R468" s="246"/>
      <c r="S468" s="246"/>
      <c r="T468" s="246"/>
      <c r="U468" s="246"/>
      <c r="V468" s="246"/>
      <c r="W468" s="246"/>
      <c r="X468" s="246"/>
      <c r="Y468" s="246"/>
      <c r="Z468" s="246"/>
    </row>
    <row r="469">
      <c r="A469" s="246"/>
      <c r="B469" s="246"/>
      <c r="C469" s="246"/>
      <c r="D469" s="246"/>
      <c r="E469" s="246"/>
      <c r="F469" s="246"/>
      <c r="G469" s="246"/>
      <c r="H469" s="246"/>
      <c r="I469" s="246"/>
      <c r="J469" s="246"/>
      <c r="K469" s="246"/>
      <c r="L469" s="246"/>
      <c r="M469" s="246"/>
      <c r="N469" s="252"/>
      <c r="O469" s="246"/>
      <c r="P469" s="246"/>
      <c r="Q469" s="246"/>
      <c r="R469" s="246"/>
      <c r="S469" s="246"/>
      <c r="T469" s="246"/>
      <c r="U469" s="246"/>
      <c r="V469" s="246"/>
      <c r="W469" s="246"/>
      <c r="X469" s="246"/>
      <c r="Y469" s="246"/>
      <c r="Z469" s="246"/>
    </row>
    <row r="470">
      <c r="A470" s="246"/>
      <c r="B470" s="246"/>
      <c r="C470" s="246"/>
      <c r="D470" s="246"/>
      <c r="E470" s="246"/>
      <c r="F470" s="246"/>
      <c r="G470" s="246"/>
      <c r="H470" s="246"/>
      <c r="I470" s="246"/>
      <c r="J470" s="246"/>
      <c r="K470" s="246"/>
      <c r="L470" s="246"/>
      <c r="M470" s="246"/>
      <c r="N470" s="252"/>
      <c r="O470" s="246"/>
      <c r="P470" s="246"/>
      <c r="Q470" s="246"/>
      <c r="R470" s="246"/>
      <c r="S470" s="246"/>
      <c r="T470" s="246"/>
      <c r="U470" s="246"/>
      <c r="V470" s="246"/>
      <c r="W470" s="246"/>
      <c r="X470" s="246"/>
      <c r="Y470" s="246"/>
      <c r="Z470" s="246"/>
    </row>
    <row r="471">
      <c r="A471" s="246"/>
      <c r="B471" s="246"/>
      <c r="C471" s="246"/>
      <c r="D471" s="246"/>
      <c r="E471" s="246"/>
      <c r="F471" s="246"/>
      <c r="G471" s="246"/>
      <c r="H471" s="246"/>
      <c r="I471" s="246"/>
      <c r="J471" s="246"/>
      <c r="K471" s="246"/>
      <c r="L471" s="246"/>
      <c r="M471" s="246"/>
      <c r="N471" s="252"/>
      <c r="O471" s="246"/>
      <c r="P471" s="246"/>
      <c r="Q471" s="246"/>
      <c r="R471" s="246"/>
      <c r="S471" s="246"/>
      <c r="T471" s="246"/>
      <c r="U471" s="246"/>
      <c r="V471" s="246"/>
      <c r="W471" s="246"/>
      <c r="X471" s="246"/>
      <c r="Y471" s="246"/>
      <c r="Z471" s="246"/>
    </row>
    <row r="472">
      <c r="A472" s="246"/>
      <c r="B472" s="246"/>
      <c r="C472" s="246"/>
      <c r="D472" s="246"/>
      <c r="E472" s="246"/>
      <c r="F472" s="246"/>
      <c r="G472" s="246"/>
      <c r="H472" s="246"/>
      <c r="I472" s="246"/>
      <c r="J472" s="246"/>
      <c r="K472" s="246"/>
      <c r="L472" s="246"/>
      <c r="M472" s="246"/>
      <c r="N472" s="252"/>
      <c r="O472" s="246"/>
      <c r="P472" s="246"/>
      <c r="Q472" s="246"/>
      <c r="R472" s="246"/>
      <c r="S472" s="246"/>
      <c r="T472" s="246"/>
      <c r="U472" s="246"/>
      <c r="V472" s="246"/>
      <c r="W472" s="246"/>
      <c r="X472" s="246"/>
      <c r="Y472" s="246"/>
      <c r="Z472" s="246"/>
    </row>
    <row r="473">
      <c r="A473" s="246"/>
      <c r="B473" s="246"/>
      <c r="C473" s="246"/>
      <c r="D473" s="246"/>
      <c r="E473" s="246"/>
      <c r="F473" s="246"/>
      <c r="G473" s="246"/>
      <c r="H473" s="246"/>
      <c r="I473" s="246"/>
      <c r="J473" s="246"/>
      <c r="K473" s="246"/>
      <c r="L473" s="246"/>
      <c r="M473" s="246"/>
      <c r="N473" s="252"/>
      <c r="O473" s="246"/>
      <c r="P473" s="246"/>
      <c r="Q473" s="246"/>
      <c r="R473" s="246"/>
      <c r="S473" s="246"/>
      <c r="T473" s="246"/>
      <c r="U473" s="246"/>
      <c r="V473" s="246"/>
      <c r="W473" s="246"/>
      <c r="X473" s="246"/>
      <c r="Y473" s="246"/>
      <c r="Z473" s="246"/>
    </row>
    <row r="474">
      <c r="A474" s="246"/>
      <c r="B474" s="246"/>
      <c r="C474" s="246"/>
      <c r="D474" s="246"/>
      <c r="E474" s="246"/>
      <c r="F474" s="246"/>
      <c r="G474" s="246"/>
      <c r="H474" s="246"/>
      <c r="I474" s="246"/>
      <c r="J474" s="246"/>
      <c r="K474" s="246"/>
      <c r="L474" s="246"/>
      <c r="M474" s="246"/>
      <c r="N474" s="252"/>
      <c r="O474" s="246"/>
      <c r="P474" s="246"/>
      <c r="Q474" s="246"/>
      <c r="R474" s="246"/>
      <c r="S474" s="246"/>
      <c r="T474" s="246"/>
      <c r="U474" s="246"/>
      <c r="V474" s="246"/>
      <c r="W474" s="246"/>
      <c r="X474" s="246"/>
      <c r="Y474" s="246"/>
      <c r="Z474" s="246"/>
    </row>
    <row r="475">
      <c r="A475" s="246"/>
      <c r="B475" s="246"/>
      <c r="C475" s="246"/>
      <c r="D475" s="246"/>
      <c r="E475" s="246"/>
      <c r="F475" s="246"/>
      <c r="G475" s="246"/>
      <c r="H475" s="246"/>
      <c r="I475" s="246"/>
      <c r="J475" s="246"/>
      <c r="K475" s="246"/>
      <c r="L475" s="246"/>
      <c r="M475" s="246"/>
      <c r="N475" s="252"/>
      <c r="O475" s="246"/>
      <c r="P475" s="246"/>
      <c r="Q475" s="246"/>
      <c r="R475" s="246"/>
      <c r="S475" s="246"/>
      <c r="T475" s="246"/>
      <c r="U475" s="246"/>
      <c r="V475" s="246"/>
      <c r="W475" s="246"/>
      <c r="X475" s="246"/>
      <c r="Y475" s="246"/>
      <c r="Z475" s="246"/>
    </row>
    <row r="476">
      <c r="A476" s="246"/>
      <c r="B476" s="246"/>
      <c r="C476" s="246"/>
      <c r="D476" s="246"/>
      <c r="E476" s="246"/>
      <c r="F476" s="246"/>
      <c r="G476" s="246"/>
      <c r="H476" s="246"/>
      <c r="I476" s="246"/>
      <c r="J476" s="246"/>
      <c r="K476" s="246"/>
      <c r="L476" s="246"/>
      <c r="M476" s="246"/>
      <c r="N476" s="252"/>
      <c r="O476" s="246"/>
      <c r="P476" s="246"/>
      <c r="Q476" s="246"/>
      <c r="R476" s="246"/>
      <c r="S476" s="246"/>
      <c r="T476" s="246"/>
      <c r="U476" s="246"/>
      <c r="V476" s="246"/>
      <c r="W476" s="246"/>
      <c r="X476" s="246"/>
      <c r="Y476" s="246"/>
      <c r="Z476" s="246"/>
    </row>
    <row r="477">
      <c r="A477" s="246"/>
      <c r="B477" s="246"/>
      <c r="C477" s="246"/>
      <c r="D477" s="246"/>
      <c r="E477" s="246"/>
      <c r="F477" s="246"/>
      <c r="G477" s="246"/>
      <c r="H477" s="246"/>
      <c r="I477" s="246"/>
      <c r="J477" s="246"/>
      <c r="K477" s="246"/>
      <c r="L477" s="246"/>
      <c r="M477" s="246"/>
      <c r="N477" s="252"/>
      <c r="O477" s="246"/>
      <c r="P477" s="246"/>
      <c r="Q477" s="246"/>
      <c r="R477" s="246"/>
      <c r="S477" s="246"/>
      <c r="T477" s="246"/>
      <c r="U477" s="246"/>
      <c r="V477" s="246"/>
      <c r="W477" s="246"/>
      <c r="X477" s="246"/>
      <c r="Y477" s="246"/>
      <c r="Z477" s="246"/>
    </row>
    <row r="478">
      <c r="A478" s="246"/>
      <c r="B478" s="246"/>
      <c r="C478" s="246"/>
      <c r="D478" s="246"/>
      <c r="E478" s="246"/>
      <c r="F478" s="246"/>
      <c r="G478" s="246"/>
      <c r="H478" s="246"/>
      <c r="I478" s="246"/>
      <c r="J478" s="246"/>
      <c r="K478" s="246"/>
      <c r="L478" s="246"/>
      <c r="M478" s="246"/>
      <c r="N478" s="252"/>
      <c r="O478" s="246"/>
      <c r="P478" s="246"/>
      <c r="Q478" s="246"/>
      <c r="R478" s="246"/>
      <c r="S478" s="246"/>
      <c r="T478" s="246"/>
      <c r="U478" s="246"/>
      <c r="V478" s="246"/>
      <c r="W478" s="246"/>
      <c r="X478" s="246"/>
      <c r="Y478" s="246"/>
      <c r="Z478" s="246"/>
    </row>
    <row r="479">
      <c r="A479" s="246"/>
      <c r="B479" s="246"/>
      <c r="C479" s="246"/>
      <c r="D479" s="246"/>
      <c r="E479" s="246"/>
      <c r="F479" s="246"/>
      <c r="G479" s="246"/>
      <c r="H479" s="246"/>
      <c r="I479" s="246"/>
      <c r="J479" s="246"/>
      <c r="K479" s="246"/>
      <c r="L479" s="246"/>
      <c r="M479" s="246"/>
      <c r="N479" s="252"/>
      <c r="O479" s="246"/>
      <c r="P479" s="246"/>
      <c r="Q479" s="246"/>
      <c r="R479" s="246"/>
      <c r="S479" s="246"/>
      <c r="T479" s="246"/>
      <c r="U479" s="246"/>
      <c r="V479" s="246"/>
      <c r="W479" s="246"/>
      <c r="X479" s="246"/>
      <c r="Y479" s="246"/>
      <c r="Z479" s="246"/>
    </row>
    <row r="480">
      <c r="A480" s="246"/>
      <c r="B480" s="246"/>
      <c r="C480" s="246"/>
      <c r="D480" s="246"/>
      <c r="E480" s="246"/>
      <c r="F480" s="246"/>
      <c r="G480" s="246"/>
      <c r="H480" s="246"/>
      <c r="I480" s="246"/>
      <c r="J480" s="246"/>
      <c r="K480" s="246"/>
      <c r="L480" s="246"/>
      <c r="M480" s="246"/>
      <c r="N480" s="252"/>
      <c r="O480" s="246"/>
      <c r="P480" s="246"/>
      <c r="Q480" s="246"/>
      <c r="R480" s="246"/>
      <c r="S480" s="246"/>
      <c r="T480" s="246"/>
      <c r="U480" s="246"/>
      <c r="V480" s="246"/>
      <c r="W480" s="246"/>
      <c r="X480" s="246"/>
      <c r="Y480" s="246"/>
      <c r="Z480" s="246"/>
    </row>
    <row r="481">
      <c r="A481" s="246"/>
      <c r="B481" s="246"/>
      <c r="C481" s="246"/>
      <c r="D481" s="246"/>
      <c r="E481" s="246"/>
      <c r="F481" s="246"/>
      <c r="G481" s="246"/>
      <c r="H481" s="246"/>
      <c r="I481" s="246"/>
      <c r="J481" s="246"/>
      <c r="K481" s="246"/>
      <c r="L481" s="246"/>
      <c r="M481" s="246"/>
      <c r="N481" s="252"/>
      <c r="O481" s="246"/>
      <c r="P481" s="246"/>
      <c r="Q481" s="246"/>
      <c r="R481" s="246"/>
      <c r="S481" s="246"/>
      <c r="T481" s="246"/>
      <c r="U481" s="246"/>
      <c r="V481" s="246"/>
      <c r="W481" s="246"/>
      <c r="X481" s="246"/>
      <c r="Y481" s="246"/>
      <c r="Z481" s="246"/>
    </row>
    <row r="482">
      <c r="A482" s="246"/>
      <c r="B482" s="246"/>
      <c r="C482" s="246"/>
      <c r="D482" s="246"/>
      <c r="E482" s="246"/>
      <c r="F482" s="246"/>
      <c r="G482" s="246"/>
      <c r="H482" s="246"/>
      <c r="I482" s="246"/>
      <c r="J482" s="246"/>
      <c r="K482" s="246"/>
      <c r="L482" s="246"/>
      <c r="M482" s="246"/>
      <c r="N482" s="252"/>
      <c r="O482" s="246"/>
      <c r="P482" s="246"/>
      <c r="Q482" s="246"/>
      <c r="R482" s="246"/>
      <c r="S482" s="246"/>
      <c r="T482" s="246"/>
      <c r="U482" s="246"/>
      <c r="V482" s="246"/>
      <c r="W482" s="246"/>
      <c r="X482" s="246"/>
      <c r="Y482" s="246"/>
      <c r="Z482" s="246"/>
    </row>
    <row r="483">
      <c r="A483" s="246"/>
      <c r="B483" s="246"/>
      <c r="C483" s="246"/>
      <c r="D483" s="246"/>
      <c r="E483" s="246"/>
      <c r="F483" s="246"/>
      <c r="G483" s="246"/>
      <c r="H483" s="246"/>
      <c r="I483" s="246"/>
      <c r="J483" s="246"/>
      <c r="K483" s="246"/>
      <c r="L483" s="246"/>
      <c r="M483" s="246"/>
      <c r="N483" s="252"/>
      <c r="O483" s="246"/>
      <c r="P483" s="246"/>
      <c r="Q483" s="246"/>
      <c r="R483" s="246"/>
      <c r="S483" s="246"/>
      <c r="T483" s="246"/>
      <c r="U483" s="246"/>
      <c r="V483" s="246"/>
      <c r="W483" s="246"/>
      <c r="X483" s="246"/>
      <c r="Y483" s="246"/>
      <c r="Z483" s="246"/>
    </row>
    <row r="484">
      <c r="A484" s="246"/>
      <c r="B484" s="246"/>
      <c r="C484" s="246"/>
      <c r="D484" s="246"/>
      <c r="E484" s="246"/>
      <c r="F484" s="246"/>
      <c r="G484" s="246"/>
      <c r="H484" s="246"/>
      <c r="I484" s="246"/>
      <c r="J484" s="246"/>
      <c r="K484" s="246"/>
      <c r="L484" s="246"/>
      <c r="M484" s="246"/>
      <c r="N484" s="252"/>
      <c r="O484" s="246"/>
      <c r="P484" s="246"/>
      <c r="Q484" s="246"/>
      <c r="R484" s="246"/>
      <c r="S484" s="246"/>
      <c r="T484" s="246"/>
      <c r="U484" s="246"/>
      <c r="V484" s="246"/>
      <c r="W484" s="246"/>
      <c r="X484" s="246"/>
      <c r="Y484" s="246"/>
      <c r="Z484" s="246"/>
    </row>
    <row r="485">
      <c r="A485" s="246"/>
      <c r="B485" s="246"/>
      <c r="C485" s="246"/>
      <c r="D485" s="246"/>
      <c r="E485" s="246"/>
      <c r="F485" s="246"/>
      <c r="G485" s="246"/>
      <c r="H485" s="246"/>
      <c r="I485" s="246"/>
      <c r="J485" s="246"/>
      <c r="K485" s="246"/>
      <c r="L485" s="246"/>
      <c r="M485" s="246"/>
      <c r="N485" s="252"/>
      <c r="O485" s="246"/>
      <c r="P485" s="246"/>
      <c r="Q485" s="246"/>
      <c r="R485" s="246"/>
      <c r="S485" s="246"/>
      <c r="T485" s="246"/>
      <c r="U485" s="246"/>
      <c r="V485" s="246"/>
      <c r="W485" s="246"/>
      <c r="X485" s="246"/>
      <c r="Y485" s="246"/>
      <c r="Z485" s="246"/>
    </row>
    <row r="486">
      <c r="A486" s="246"/>
      <c r="B486" s="246"/>
      <c r="C486" s="246"/>
      <c r="D486" s="246"/>
      <c r="E486" s="246"/>
      <c r="F486" s="246"/>
      <c r="G486" s="246"/>
      <c r="H486" s="246"/>
      <c r="I486" s="246"/>
      <c r="J486" s="246"/>
      <c r="K486" s="246"/>
      <c r="L486" s="246"/>
      <c r="M486" s="246"/>
      <c r="N486" s="252"/>
      <c r="O486" s="246"/>
      <c r="P486" s="246"/>
      <c r="Q486" s="246"/>
      <c r="R486" s="246"/>
      <c r="S486" s="246"/>
      <c r="T486" s="246"/>
      <c r="U486" s="246"/>
      <c r="V486" s="246"/>
      <c r="W486" s="246"/>
      <c r="X486" s="246"/>
      <c r="Y486" s="246"/>
      <c r="Z486" s="246"/>
    </row>
    <row r="487">
      <c r="A487" s="246"/>
      <c r="B487" s="246"/>
      <c r="C487" s="246"/>
      <c r="D487" s="246"/>
      <c r="E487" s="246"/>
      <c r="F487" s="246"/>
      <c r="G487" s="246"/>
      <c r="H487" s="246"/>
      <c r="I487" s="246"/>
      <c r="J487" s="246"/>
      <c r="K487" s="246"/>
      <c r="L487" s="246"/>
      <c r="M487" s="246"/>
      <c r="N487" s="252"/>
      <c r="O487" s="246"/>
      <c r="P487" s="246"/>
      <c r="Q487" s="246"/>
      <c r="R487" s="246"/>
      <c r="S487" s="246"/>
      <c r="T487" s="246"/>
      <c r="U487" s="246"/>
      <c r="V487" s="246"/>
      <c r="W487" s="246"/>
      <c r="X487" s="246"/>
      <c r="Y487" s="246"/>
      <c r="Z487" s="246"/>
    </row>
    <row r="488">
      <c r="A488" s="246"/>
      <c r="B488" s="246"/>
      <c r="C488" s="246"/>
      <c r="D488" s="246"/>
      <c r="E488" s="246"/>
      <c r="F488" s="246"/>
      <c r="G488" s="246"/>
      <c r="H488" s="246"/>
      <c r="I488" s="246"/>
      <c r="J488" s="246"/>
      <c r="K488" s="246"/>
      <c r="L488" s="246"/>
      <c r="M488" s="246"/>
      <c r="N488" s="252"/>
      <c r="O488" s="246"/>
      <c r="P488" s="246"/>
      <c r="Q488" s="246"/>
      <c r="R488" s="246"/>
      <c r="S488" s="246"/>
      <c r="T488" s="246"/>
      <c r="U488" s="246"/>
      <c r="V488" s="246"/>
      <c r="W488" s="246"/>
      <c r="X488" s="246"/>
      <c r="Y488" s="246"/>
      <c r="Z488" s="246"/>
    </row>
    <row r="489">
      <c r="A489" s="246"/>
      <c r="B489" s="246"/>
      <c r="C489" s="246"/>
      <c r="D489" s="246"/>
      <c r="E489" s="246"/>
      <c r="F489" s="246"/>
      <c r="G489" s="246"/>
      <c r="H489" s="246"/>
      <c r="I489" s="246"/>
      <c r="J489" s="246"/>
      <c r="K489" s="246"/>
      <c r="L489" s="246"/>
      <c r="M489" s="246"/>
      <c r="N489" s="252"/>
      <c r="O489" s="246"/>
      <c r="P489" s="246"/>
      <c r="Q489" s="246"/>
      <c r="R489" s="246"/>
      <c r="S489" s="246"/>
      <c r="T489" s="246"/>
      <c r="U489" s="246"/>
      <c r="V489" s="246"/>
      <c r="W489" s="246"/>
      <c r="X489" s="246"/>
      <c r="Y489" s="246"/>
      <c r="Z489" s="246"/>
    </row>
    <row r="490">
      <c r="A490" s="246"/>
      <c r="B490" s="246"/>
      <c r="C490" s="246"/>
      <c r="D490" s="246"/>
      <c r="E490" s="246"/>
      <c r="F490" s="246"/>
      <c r="G490" s="246"/>
      <c r="H490" s="246"/>
      <c r="I490" s="246"/>
      <c r="J490" s="246"/>
      <c r="K490" s="246"/>
      <c r="L490" s="246"/>
      <c r="M490" s="246"/>
      <c r="N490" s="252"/>
      <c r="O490" s="246"/>
      <c r="P490" s="246"/>
      <c r="Q490" s="246"/>
      <c r="R490" s="246"/>
      <c r="S490" s="246"/>
      <c r="T490" s="246"/>
      <c r="U490" s="246"/>
      <c r="V490" s="246"/>
      <c r="W490" s="246"/>
      <c r="X490" s="246"/>
      <c r="Y490" s="246"/>
      <c r="Z490" s="246"/>
    </row>
    <row r="491">
      <c r="A491" s="246"/>
      <c r="B491" s="246"/>
      <c r="C491" s="246"/>
      <c r="D491" s="246"/>
      <c r="E491" s="246"/>
      <c r="F491" s="246"/>
      <c r="G491" s="246"/>
      <c r="H491" s="246"/>
      <c r="I491" s="246"/>
      <c r="J491" s="246"/>
      <c r="K491" s="246"/>
      <c r="L491" s="246"/>
      <c r="M491" s="246"/>
      <c r="N491" s="252"/>
      <c r="O491" s="246"/>
      <c r="P491" s="246"/>
      <c r="Q491" s="246"/>
      <c r="R491" s="246"/>
      <c r="S491" s="246"/>
      <c r="T491" s="246"/>
      <c r="U491" s="246"/>
      <c r="V491" s="246"/>
      <c r="W491" s="246"/>
      <c r="X491" s="246"/>
      <c r="Y491" s="246"/>
      <c r="Z491" s="246"/>
    </row>
    <row r="492">
      <c r="A492" s="246"/>
      <c r="B492" s="246"/>
      <c r="C492" s="246"/>
      <c r="D492" s="246"/>
      <c r="E492" s="246"/>
      <c r="F492" s="246"/>
      <c r="G492" s="246"/>
      <c r="H492" s="246"/>
      <c r="I492" s="246"/>
      <c r="J492" s="246"/>
      <c r="K492" s="246"/>
      <c r="L492" s="246"/>
      <c r="M492" s="246"/>
      <c r="N492" s="252"/>
      <c r="O492" s="246"/>
      <c r="P492" s="246"/>
      <c r="Q492" s="246"/>
      <c r="R492" s="246"/>
      <c r="S492" s="246"/>
      <c r="T492" s="246"/>
      <c r="U492" s="246"/>
      <c r="V492" s="246"/>
      <c r="W492" s="246"/>
      <c r="X492" s="246"/>
      <c r="Y492" s="246"/>
      <c r="Z492" s="246"/>
    </row>
    <row r="493">
      <c r="A493" s="246"/>
      <c r="B493" s="246"/>
      <c r="C493" s="246"/>
      <c r="D493" s="246"/>
      <c r="E493" s="246"/>
      <c r="F493" s="246"/>
      <c r="G493" s="246"/>
      <c r="H493" s="246"/>
      <c r="I493" s="246"/>
      <c r="J493" s="246"/>
      <c r="K493" s="246"/>
      <c r="L493" s="246"/>
      <c r="M493" s="246"/>
      <c r="N493" s="252"/>
      <c r="O493" s="246"/>
      <c r="P493" s="246"/>
      <c r="Q493" s="246"/>
      <c r="R493" s="246"/>
      <c r="S493" s="246"/>
      <c r="T493" s="246"/>
      <c r="U493" s="246"/>
      <c r="V493" s="246"/>
      <c r="W493" s="246"/>
      <c r="X493" s="246"/>
      <c r="Y493" s="246"/>
      <c r="Z493" s="246"/>
    </row>
    <row r="494">
      <c r="A494" s="246"/>
      <c r="B494" s="246"/>
      <c r="C494" s="246"/>
      <c r="D494" s="246"/>
      <c r="E494" s="246"/>
      <c r="F494" s="246"/>
      <c r="G494" s="246"/>
      <c r="H494" s="246"/>
      <c r="I494" s="246"/>
      <c r="J494" s="246"/>
      <c r="K494" s="246"/>
      <c r="L494" s="246"/>
      <c r="M494" s="246"/>
      <c r="N494" s="252"/>
      <c r="O494" s="246"/>
      <c r="P494" s="246"/>
      <c r="Q494" s="246"/>
      <c r="R494" s="246"/>
      <c r="S494" s="246"/>
      <c r="T494" s="246"/>
      <c r="U494" s="246"/>
      <c r="V494" s="246"/>
      <c r="W494" s="246"/>
      <c r="X494" s="246"/>
      <c r="Y494" s="246"/>
      <c r="Z494" s="246"/>
    </row>
    <row r="495">
      <c r="A495" s="246"/>
      <c r="B495" s="246"/>
      <c r="C495" s="246"/>
      <c r="D495" s="246"/>
      <c r="E495" s="246"/>
      <c r="F495" s="246"/>
      <c r="G495" s="246"/>
      <c r="H495" s="246"/>
      <c r="I495" s="246"/>
      <c r="J495" s="246"/>
      <c r="K495" s="246"/>
      <c r="L495" s="246"/>
      <c r="M495" s="246"/>
      <c r="N495" s="252"/>
      <c r="O495" s="246"/>
      <c r="P495" s="246"/>
      <c r="Q495" s="246"/>
      <c r="R495" s="246"/>
      <c r="S495" s="246"/>
      <c r="T495" s="246"/>
      <c r="U495" s="246"/>
      <c r="V495" s="246"/>
      <c r="W495" s="246"/>
      <c r="X495" s="246"/>
      <c r="Y495" s="246"/>
      <c r="Z495" s="246"/>
    </row>
    <row r="496">
      <c r="A496" s="246"/>
      <c r="B496" s="246"/>
      <c r="C496" s="246"/>
      <c r="D496" s="246"/>
      <c r="E496" s="246"/>
      <c r="F496" s="246"/>
      <c r="G496" s="246"/>
      <c r="H496" s="246"/>
      <c r="I496" s="246"/>
      <c r="J496" s="246"/>
      <c r="K496" s="246"/>
      <c r="L496" s="246"/>
      <c r="M496" s="246"/>
      <c r="N496" s="252"/>
      <c r="O496" s="246"/>
      <c r="P496" s="246"/>
      <c r="Q496" s="246"/>
      <c r="R496" s="246"/>
      <c r="S496" s="246"/>
      <c r="T496" s="246"/>
      <c r="U496" s="246"/>
      <c r="V496" s="246"/>
      <c r="W496" s="246"/>
      <c r="X496" s="246"/>
      <c r="Y496" s="246"/>
      <c r="Z496" s="246"/>
    </row>
    <row r="497">
      <c r="A497" s="246"/>
      <c r="B497" s="246"/>
      <c r="C497" s="246"/>
      <c r="D497" s="246"/>
      <c r="E497" s="246"/>
      <c r="F497" s="246"/>
      <c r="G497" s="246"/>
      <c r="H497" s="246"/>
      <c r="I497" s="246"/>
      <c r="J497" s="246"/>
      <c r="K497" s="246"/>
      <c r="L497" s="246"/>
      <c r="M497" s="246"/>
      <c r="N497" s="252"/>
      <c r="O497" s="246"/>
      <c r="P497" s="246"/>
      <c r="Q497" s="246"/>
      <c r="R497" s="246"/>
      <c r="S497" s="246"/>
      <c r="T497" s="246"/>
      <c r="U497" s="246"/>
      <c r="V497" s="246"/>
      <c r="W497" s="246"/>
      <c r="X497" s="246"/>
      <c r="Y497" s="246"/>
      <c r="Z497" s="246"/>
    </row>
    <row r="498">
      <c r="A498" s="246"/>
      <c r="B498" s="246"/>
      <c r="C498" s="246"/>
      <c r="D498" s="246"/>
      <c r="E498" s="246"/>
      <c r="F498" s="246"/>
      <c r="G498" s="246"/>
      <c r="H498" s="246"/>
      <c r="I498" s="246"/>
      <c r="J498" s="246"/>
      <c r="K498" s="246"/>
      <c r="L498" s="246"/>
      <c r="M498" s="246"/>
      <c r="N498" s="252"/>
      <c r="O498" s="246"/>
      <c r="P498" s="246"/>
      <c r="Q498" s="246"/>
      <c r="R498" s="246"/>
      <c r="S498" s="246"/>
      <c r="T498" s="246"/>
      <c r="U498" s="246"/>
      <c r="V498" s="246"/>
      <c r="W498" s="246"/>
      <c r="X498" s="246"/>
      <c r="Y498" s="246"/>
      <c r="Z498" s="246"/>
    </row>
    <row r="499">
      <c r="A499" s="246"/>
      <c r="B499" s="246"/>
      <c r="C499" s="246"/>
      <c r="D499" s="246"/>
      <c r="E499" s="246"/>
      <c r="F499" s="246"/>
      <c r="G499" s="246"/>
      <c r="H499" s="246"/>
      <c r="I499" s="246"/>
      <c r="J499" s="246"/>
      <c r="K499" s="246"/>
      <c r="L499" s="246"/>
      <c r="M499" s="246"/>
      <c r="N499" s="252"/>
      <c r="O499" s="246"/>
      <c r="P499" s="246"/>
      <c r="Q499" s="246"/>
      <c r="R499" s="246"/>
      <c r="S499" s="246"/>
      <c r="T499" s="246"/>
      <c r="U499" s="246"/>
      <c r="V499" s="246"/>
      <c r="W499" s="246"/>
      <c r="X499" s="246"/>
      <c r="Y499" s="246"/>
      <c r="Z499" s="246"/>
    </row>
    <row r="500">
      <c r="A500" s="246"/>
      <c r="B500" s="246"/>
      <c r="C500" s="246"/>
      <c r="D500" s="246"/>
      <c r="E500" s="246"/>
      <c r="F500" s="246"/>
      <c r="G500" s="246"/>
      <c r="H500" s="246"/>
      <c r="I500" s="246"/>
      <c r="J500" s="246"/>
      <c r="K500" s="246"/>
      <c r="L500" s="246"/>
      <c r="M500" s="246"/>
      <c r="N500" s="252"/>
      <c r="O500" s="246"/>
      <c r="P500" s="246"/>
      <c r="Q500" s="246"/>
      <c r="R500" s="246"/>
      <c r="S500" s="246"/>
      <c r="T500" s="246"/>
      <c r="U500" s="246"/>
      <c r="V500" s="246"/>
      <c r="W500" s="246"/>
      <c r="X500" s="246"/>
      <c r="Y500" s="246"/>
      <c r="Z500" s="246"/>
    </row>
    <row r="501">
      <c r="A501" s="246"/>
      <c r="B501" s="246"/>
      <c r="C501" s="246"/>
      <c r="D501" s="246"/>
      <c r="E501" s="246"/>
      <c r="F501" s="246"/>
      <c r="G501" s="246"/>
      <c r="H501" s="246"/>
      <c r="I501" s="246"/>
      <c r="J501" s="246"/>
      <c r="K501" s="246"/>
      <c r="L501" s="246"/>
      <c r="M501" s="246"/>
      <c r="N501" s="252"/>
      <c r="O501" s="246"/>
      <c r="P501" s="246"/>
      <c r="Q501" s="246"/>
      <c r="R501" s="246"/>
      <c r="S501" s="246"/>
      <c r="T501" s="246"/>
      <c r="U501" s="246"/>
      <c r="V501" s="246"/>
      <c r="W501" s="246"/>
      <c r="X501" s="246"/>
      <c r="Y501" s="246"/>
      <c r="Z501" s="246"/>
    </row>
    <row r="502">
      <c r="A502" s="246"/>
      <c r="B502" s="246"/>
      <c r="C502" s="246"/>
      <c r="D502" s="246"/>
      <c r="E502" s="246"/>
      <c r="F502" s="246"/>
      <c r="G502" s="246"/>
      <c r="H502" s="246"/>
      <c r="I502" s="246"/>
      <c r="J502" s="246"/>
      <c r="K502" s="246"/>
      <c r="L502" s="246"/>
      <c r="M502" s="246"/>
      <c r="N502" s="252"/>
      <c r="O502" s="246"/>
      <c r="P502" s="246"/>
      <c r="Q502" s="246"/>
      <c r="R502" s="246"/>
      <c r="S502" s="246"/>
      <c r="T502" s="246"/>
      <c r="U502" s="246"/>
      <c r="V502" s="246"/>
      <c r="W502" s="246"/>
      <c r="X502" s="246"/>
      <c r="Y502" s="246"/>
      <c r="Z502" s="246"/>
    </row>
    <row r="503">
      <c r="A503" s="246"/>
      <c r="B503" s="246"/>
      <c r="C503" s="246"/>
      <c r="D503" s="246"/>
      <c r="E503" s="246"/>
      <c r="F503" s="246"/>
      <c r="G503" s="246"/>
      <c r="H503" s="246"/>
      <c r="I503" s="246"/>
      <c r="J503" s="246"/>
      <c r="K503" s="246"/>
      <c r="L503" s="246"/>
      <c r="M503" s="246"/>
      <c r="N503" s="252"/>
      <c r="O503" s="246"/>
      <c r="P503" s="246"/>
      <c r="Q503" s="246"/>
      <c r="R503" s="246"/>
      <c r="S503" s="246"/>
      <c r="T503" s="246"/>
      <c r="U503" s="246"/>
      <c r="V503" s="246"/>
      <c r="W503" s="246"/>
      <c r="X503" s="246"/>
      <c r="Y503" s="246"/>
      <c r="Z503" s="246"/>
    </row>
    <row r="504">
      <c r="A504" s="246"/>
      <c r="B504" s="246"/>
      <c r="C504" s="246"/>
      <c r="D504" s="246"/>
      <c r="E504" s="246"/>
      <c r="F504" s="246"/>
      <c r="G504" s="246"/>
      <c r="H504" s="246"/>
      <c r="I504" s="246"/>
      <c r="J504" s="246"/>
      <c r="K504" s="246"/>
      <c r="L504" s="246"/>
      <c r="M504" s="246"/>
      <c r="N504" s="252"/>
      <c r="O504" s="246"/>
      <c r="P504" s="246"/>
      <c r="Q504" s="246"/>
      <c r="R504" s="246"/>
      <c r="S504" s="246"/>
      <c r="T504" s="246"/>
      <c r="U504" s="246"/>
      <c r="V504" s="246"/>
      <c r="W504" s="246"/>
      <c r="X504" s="246"/>
      <c r="Y504" s="246"/>
      <c r="Z504" s="246"/>
    </row>
    <row r="505">
      <c r="A505" s="246"/>
      <c r="B505" s="246"/>
      <c r="C505" s="246"/>
      <c r="D505" s="246"/>
      <c r="E505" s="246"/>
      <c r="F505" s="246"/>
      <c r="G505" s="246"/>
      <c r="H505" s="246"/>
      <c r="I505" s="246"/>
      <c r="J505" s="246"/>
      <c r="K505" s="246"/>
      <c r="L505" s="246"/>
      <c r="M505" s="246"/>
      <c r="N505" s="252"/>
      <c r="O505" s="246"/>
      <c r="P505" s="246"/>
      <c r="Q505" s="246"/>
      <c r="R505" s="246"/>
      <c r="S505" s="246"/>
      <c r="T505" s="246"/>
      <c r="U505" s="246"/>
      <c r="V505" s="246"/>
      <c r="W505" s="246"/>
      <c r="X505" s="246"/>
      <c r="Y505" s="246"/>
      <c r="Z505" s="246"/>
    </row>
    <row r="506">
      <c r="A506" s="246"/>
      <c r="B506" s="246"/>
      <c r="C506" s="246"/>
      <c r="D506" s="246"/>
      <c r="E506" s="246"/>
      <c r="F506" s="246"/>
      <c r="G506" s="246"/>
      <c r="H506" s="246"/>
      <c r="I506" s="246"/>
      <c r="J506" s="246"/>
      <c r="K506" s="246"/>
      <c r="L506" s="246"/>
      <c r="M506" s="246"/>
      <c r="N506" s="252"/>
      <c r="O506" s="246"/>
      <c r="P506" s="246"/>
      <c r="Q506" s="246"/>
      <c r="R506" s="246"/>
      <c r="S506" s="246"/>
      <c r="T506" s="246"/>
      <c r="U506" s="246"/>
      <c r="V506" s="246"/>
      <c r="W506" s="246"/>
      <c r="X506" s="246"/>
      <c r="Y506" s="246"/>
      <c r="Z506" s="246"/>
    </row>
    <row r="507">
      <c r="A507" s="246"/>
      <c r="B507" s="246"/>
      <c r="C507" s="246"/>
      <c r="D507" s="246"/>
      <c r="E507" s="246"/>
      <c r="F507" s="246"/>
      <c r="G507" s="246"/>
      <c r="H507" s="246"/>
      <c r="I507" s="246"/>
      <c r="J507" s="246"/>
      <c r="K507" s="246"/>
      <c r="L507" s="246"/>
      <c r="M507" s="246"/>
      <c r="N507" s="252"/>
      <c r="O507" s="246"/>
      <c r="P507" s="246"/>
      <c r="Q507" s="246"/>
      <c r="R507" s="246"/>
      <c r="S507" s="246"/>
      <c r="T507" s="246"/>
      <c r="U507" s="246"/>
      <c r="V507" s="246"/>
      <c r="W507" s="246"/>
      <c r="X507" s="246"/>
      <c r="Y507" s="246"/>
      <c r="Z507" s="246"/>
    </row>
    <row r="508">
      <c r="A508" s="246"/>
      <c r="B508" s="246"/>
      <c r="C508" s="246"/>
      <c r="D508" s="246"/>
      <c r="E508" s="246"/>
      <c r="F508" s="246"/>
      <c r="G508" s="246"/>
      <c r="H508" s="246"/>
      <c r="I508" s="246"/>
      <c r="J508" s="246"/>
      <c r="K508" s="246"/>
      <c r="L508" s="246"/>
      <c r="M508" s="246"/>
      <c r="N508" s="252"/>
      <c r="O508" s="246"/>
      <c r="P508" s="246"/>
      <c r="Q508" s="246"/>
      <c r="R508" s="246"/>
      <c r="S508" s="246"/>
      <c r="T508" s="246"/>
      <c r="U508" s="246"/>
      <c r="V508" s="246"/>
      <c r="W508" s="246"/>
      <c r="X508" s="246"/>
      <c r="Y508" s="246"/>
      <c r="Z508" s="246"/>
    </row>
    <row r="509">
      <c r="A509" s="246"/>
      <c r="B509" s="246"/>
      <c r="C509" s="246"/>
      <c r="D509" s="246"/>
      <c r="E509" s="246"/>
      <c r="F509" s="246"/>
      <c r="G509" s="246"/>
      <c r="H509" s="246"/>
      <c r="I509" s="246"/>
      <c r="J509" s="246"/>
      <c r="K509" s="246"/>
      <c r="L509" s="246"/>
      <c r="M509" s="246"/>
      <c r="N509" s="252"/>
      <c r="O509" s="246"/>
      <c r="P509" s="246"/>
      <c r="Q509" s="246"/>
      <c r="R509" s="246"/>
      <c r="S509" s="246"/>
      <c r="T509" s="246"/>
      <c r="U509" s="246"/>
      <c r="V509" s="246"/>
      <c r="W509" s="246"/>
      <c r="X509" s="246"/>
      <c r="Y509" s="246"/>
      <c r="Z509" s="246"/>
    </row>
    <row r="510">
      <c r="A510" s="246"/>
      <c r="B510" s="246"/>
      <c r="C510" s="246"/>
      <c r="D510" s="246"/>
      <c r="E510" s="246"/>
      <c r="F510" s="246"/>
      <c r="G510" s="246"/>
      <c r="H510" s="246"/>
      <c r="I510" s="246"/>
      <c r="J510" s="246"/>
      <c r="K510" s="246"/>
      <c r="L510" s="246"/>
      <c r="M510" s="246"/>
      <c r="N510" s="252"/>
      <c r="O510" s="246"/>
      <c r="P510" s="246"/>
      <c r="Q510" s="246"/>
      <c r="R510" s="246"/>
      <c r="S510" s="246"/>
      <c r="T510" s="246"/>
      <c r="U510" s="246"/>
      <c r="V510" s="246"/>
      <c r="W510" s="246"/>
      <c r="X510" s="246"/>
      <c r="Y510" s="246"/>
      <c r="Z510" s="246"/>
    </row>
    <row r="511">
      <c r="A511" s="246"/>
      <c r="B511" s="246"/>
      <c r="C511" s="246"/>
      <c r="D511" s="246"/>
      <c r="E511" s="246"/>
      <c r="F511" s="246"/>
      <c r="G511" s="246"/>
      <c r="H511" s="246"/>
      <c r="I511" s="246"/>
      <c r="J511" s="246"/>
      <c r="K511" s="246"/>
      <c r="L511" s="246"/>
      <c r="M511" s="246"/>
      <c r="N511" s="252"/>
      <c r="O511" s="246"/>
      <c r="P511" s="246"/>
      <c r="Q511" s="246"/>
      <c r="R511" s="246"/>
      <c r="S511" s="246"/>
      <c r="T511" s="246"/>
      <c r="U511" s="246"/>
      <c r="V511" s="246"/>
      <c r="W511" s="246"/>
      <c r="X511" s="246"/>
      <c r="Y511" s="246"/>
      <c r="Z511" s="246"/>
    </row>
    <row r="512">
      <c r="A512" s="246"/>
      <c r="B512" s="246"/>
      <c r="C512" s="246"/>
      <c r="D512" s="246"/>
      <c r="E512" s="246"/>
      <c r="F512" s="246"/>
      <c r="G512" s="246"/>
      <c r="H512" s="246"/>
      <c r="I512" s="246"/>
      <c r="J512" s="246"/>
      <c r="K512" s="246"/>
      <c r="L512" s="246"/>
      <c r="M512" s="246"/>
      <c r="N512" s="252"/>
      <c r="O512" s="246"/>
      <c r="P512" s="246"/>
      <c r="Q512" s="246"/>
      <c r="R512" s="246"/>
      <c r="S512" s="246"/>
      <c r="T512" s="246"/>
      <c r="U512" s="246"/>
      <c r="V512" s="246"/>
      <c r="W512" s="246"/>
      <c r="X512" s="246"/>
      <c r="Y512" s="246"/>
      <c r="Z512" s="246"/>
    </row>
    <row r="513">
      <c r="A513" s="246"/>
      <c r="B513" s="246"/>
      <c r="C513" s="246"/>
      <c r="D513" s="246"/>
      <c r="E513" s="246"/>
      <c r="F513" s="246"/>
      <c r="G513" s="246"/>
      <c r="H513" s="246"/>
      <c r="I513" s="246"/>
      <c r="J513" s="246"/>
      <c r="K513" s="246"/>
      <c r="L513" s="246"/>
      <c r="M513" s="246"/>
      <c r="N513" s="252"/>
      <c r="O513" s="246"/>
      <c r="P513" s="246"/>
      <c r="Q513" s="246"/>
      <c r="R513" s="246"/>
      <c r="S513" s="246"/>
      <c r="T513" s="246"/>
      <c r="U513" s="246"/>
      <c r="V513" s="246"/>
      <c r="W513" s="246"/>
      <c r="X513" s="246"/>
      <c r="Y513" s="246"/>
      <c r="Z513" s="246"/>
    </row>
    <row r="514">
      <c r="A514" s="246"/>
      <c r="B514" s="246"/>
      <c r="C514" s="246"/>
      <c r="D514" s="246"/>
      <c r="E514" s="246"/>
      <c r="F514" s="246"/>
      <c r="G514" s="246"/>
      <c r="H514" s="246"/>
      <c r="I514" s="246"/>
      <c r="J514" s="246"/>
      <c r="K514" s="246"/>
      <c r="L514" s="246"/>
      <c r="M514" s="246"/>
      <c r="N514" s="252"/>
      <c r="O514" s="246"/>
      <c r="P514" s="246"/>
      <c r="Q514" s="246"/>
      <c r="R514" s="246"/>
      <c r="S514" s="246"/>
      <c r="T514" s="246"/>
      <c r="U514" s="246"/>
      <c r="V514" s="246"/>
      <c r="W514" s="246"/>
      <c r="X514" s="246"/>
      <c r="Y514" s="246"/>
      <c r="Z514" s="246"/>
    </row>
    <row r="515">
      <c r="A515" s="246"/>
      <c r="B515" s="246"/>
      <c r="C515" s="246"/>
      <c r="D515" s="246"/>
      <c r="E515" s="246"/>
      <c r="F515" s="246"/>
      <c r="G515" s="246"/>
      <c r="H515" s="246"/>
      <c r="I515" s="246"/>
      <c r="J515" s="246"/>
      <c r="K515" s="246"/>
      <c r="L515" s="246"/>
      <c r="M515" s="246"/>
      <c r="N515" s="252"/>
      <c r="O515" s="246"/>
      <c r="P515" s="246"/>
      <c r="Q515" s="246"/>
      <c r="R515" s="246"/>
      <c r="S515" s="246"/>
      <c r="T515" s="246"/>
      <c r="U515" s="246"/>
      <c r="V515" s="246"/>
      <c r="W515" s="246"/>
      <c r="X515" s="246"/>
      <c r="Y515" s="246"/>
      <c r="Z515" s="246"/>
    </row>
    <row r="516">
      <c r="A516" s="246"/>
      <c r="B516" s="246"/>
      <c r="C516" s="246"/>
      <c r="D516" s="246"/>
      <c r="E516" s="246"/>
      <c r="F516" s="246"/>
      <c r="G516" s="246"/>
      <c r="H516" s="246"/>
      <c r="I516" s="246"/>
      <c r="J516" s="246"/>
      <c r="K516" s="246"/>
      <c r="L516" s="246"/>
      <c r="M516" s="246"/>
      <c r="N516" s="252"/>
      <c r="O516" s="246"/>
      <c r="P516" s="246"/>
      <c r="Q516" s="246"/>
      <c r="R516" s="246"/>
      <c r="S516" s="246"/>
      <c r="T516" s="246"/>
      <c r="U516" s="246"/>
      <c r="V516" s="246"/>
      <c r="W516" s="246"/>
      <c r="X516" s="246"/>
      <c r="Y516" s="246"/>
      <c r="Z516" s="246"/>
    </row>
    <row r="517">
      <c r="A517" s="246"/>
      <c r="B517" s="246"/>
      <c r="C517" s="246"/>
      <c r="D517" s="246"/>
      <c r="E517" s="246"/>
      <c r="F517" s="246"/>
      <c r="G517" s="246"/>
      <c r="H517" s="246"/>
      <c r="I517" s="246"/>
      <c r="J517" s="246"/>
      <c r="K517" s="246"/>
      <c r="L517" s="246"/>
      <c r="M517" s="246"/>
      <c r="N517" s="252"/>
      <c r="O517" s="246"/>
      <c r="P517" s="246"/>
      <c r="Q517" s="246"/>
      <c r="R517" s="246"/>
      <c r="S517" s="246"/>
      <c r="T517" s="246"/>
      <c r="U517" s="246"/>
      <c r="V517" s="246"/>
      <c r="W517" s="246"/>
      <c r="X517" s="246"/>
      <c r="Y517" s="246"/>
      <c r="Z517" s="246"/>
    </row>
    <row r="518">
      <c r="A518" s="246"/>
      <c r="B518" s="246"/>
      <c r="C518" s="246"/>
      <c r="D518" s="246"/>
      <c r="E518" s="246"/>
      <c r="F518" s="246"/>
      <c r="G518" s="246"/>
      <c r="H518" s="246"/>
      <c r="I518" s="246"/>
      <c r="J518" s="246"/>
      <c r="K518" s="246"/>
      <c r="L518" s="246"/>
      <c r="M518" s="246"/>
      <c r="N518" s="252"/>
      <c r="O518" s="246"/>
      <c r="P518" s="246"/>
      <c r="Q518" s="246"/>
      <c r="R518" s="246"/>
      <c r="S518" s="246"/>
      <c r="T518" s="246"/>
      <c r="U518" s="246"/>
      <c r="V518" s="246"/>
      <c r="W518" s="246"/>
      <c r="X518" s="246"/>
      <c r="Y518" s="246"/>
      <c r="Z518" s="246"/>
    </row>
    <row r="519">
      <c r="A519" s="246"/>
      <c r="B519" s="246"/>
      <c r="C519" s="246"/>
      <c r="D519" s="246"/>
      <c r="E519" s="246"/>
      <c r="F519" s="246"/>
      <c r="G519" s="246"/>
      <c r="H519" s="246"/>
      <c r="I519" s="246"/>
      <c r="J519" s="246"/>
      <c r="K519" s="246"/>
      <c r="L519" s="246"/>
      <c r="M519" s="246"/>
      <c r="N519" s="252"/>
      <c r="O519" s="246"/>
      <c r="P519" s="246"/>
      <c r="Q519" s="246"/>
      <c r="R519" s="246"/>
      <c r="S519" s="246"/>
      <c r="T519" s="246"/>
      <c r="U519" s="246"/>
      <c r="V519" s="246"/>
      <c r="W519" s="246"/>
      <c r="X519" s="246"/>
      <c r="Y519" s="246"/>
      <c r="Z519" s="246"/>
    </row>
    <row r="520">
      <c r="A520" s="246"/>
      <c r="B520" s="246"/>
      <c r="C520" s="246"/>
      <c r="D520" s="246"/>
      <c r="E520" s="246"/>
      <c r="F520" s="246"/>
      <c r="G520" s="246"/>
      <c r="H520" s="246"/>
      <c r="I520" s="246"/>
      <c r="J520" s="246"/>
      <c r="K520" s="246"/>
      <c r="L520" s="246"/>
      <c r="M520" s="246"/>
      <c r="N520" s="252"/>
      <c r="O520" s="246"/>
      <c r="P520" s="246"/>
      <c r="Q520" s="246"/>
      <c r="R520" s="246"/>
      <c r="S520" s="246"/>
      <c r="T520" s="246"/>
      <c r="U520" s="246"/>
      <c r="V520" s="246"/>
      <c r="W520" s="246"/>
      <c r="X520" s="246"/>
      <c r="Y520" s="246"/>
      <c r="Z520" s="246"/>
    </row>
    <row r="521">
      <c r="A521" s="246"/>
      <c r="B521" s="246"/>
      <c r="C521" s="246"/>
      <c r="D521" s="246"/>
      <c r="E521" s="246"/>
      <c r="F521" s="246"/>
      <c r="G521" s="246"/>
      <c r="H521" s="246"/>
      <c r="I521" s="246"/>
      <c r="J521" s="246"/>
      <c r="K521" s="246"/>
      <c r="L521" s="246"/>
      <c r="M521" s="246"/>
      <c r="N521" s="252"/>
      <c r="O521" s="246"/>
      <c r="P521" s="246"/>
      <c r="Q521" s="246"/>
      <c r="R521" s="246"/>
      <c r="S521" s="246"/>
      <c r="T521" s="246"/>
      <c r="U521" s="246"/>
      <c r="V521" s="246"/>
      <c r="W521" s="246"/>
      <c r="X521" s="246"/>
      <c r="Y521" s="246"/>
      <c r="Z521" s="246"/>
    </row>
    <row r="522">
      <c r="A522" s="246"/>
      <c r="B522" s="246"/>
      <c r="C522" s="246"/>
      <c r="D522" s="246"/>
      <c r="E522" s="246"/>
      <c r="F522" s="246"/>
      <c r="G522" s="246"/>
      <c r="H522" s="246"/>
      <c r="I522" s="246"/>
      <c r="J522" s="246"/>
      <c r="K522" s="246"/>
      <c r="L522" s="246"/>
      <c r="M522" s="246"/>
      <c r="N522" s="252"/>
      <c r="O522" s="246"/>
      <c r="P522" s="246"/>
      <c r="Q522" s="246"/>
      <c r="R522" s="246"/>
      <c r="S522" s="246"/>
      <c r="T522" s="246"/>
      <c r="U522" s="246"/>
      <c r="V522" s="246"/>
      <c r="W522" s="246"/>
      <c r="X522" s="246"/>
      <c r="Y522" s="246"/>
      <c r="Z522" s="246"/>
    </row>
    <row r="523">
      <c r="A523" s="246"/>
      <c r="B523" s="246"/>
      <c r="C523" s="246"/>
      <c r="D523" s="246"/>
      <c r="E523" s="246"/>
      <c r="F523" s="246"/>
      <c r="G523" s="246"/>
      <c r="H523" s="246"/>
      <c r="I523" s="246"/>
      <c r="J523" s="246"/>
      <c r="K523" s="246"/>
      <c r="L523" s="246"/>
      <c r="M523" s="246"/>
      <c r="N523" s="252"/>
      <c r="O523" s="246"/>
      <c r="P523" s="246"/>
      <c r="Q523" s="246"/>
      <c r="R523" s="246"/>
      <c r="S523" s="246"/>
      <c r="T523" s="246"/>
      <c r="U523" s="246"/>
      <c r="V523" s="246"/>
      <c r="W523" s="246"/>
      <c r="X523" s="246"/>
      <c r="Y523" s="246"/>
      <c r="Z523" s="246"/>
    </row>
    <row r="524">
      <c r="A524" s="246"/>
      <c r="B524" s="246"/>
      <c r="C524" s="246"/>
      <c r="D524" s="246"/>
      <c r="E524" s="246"/>
      <c r="F524" s="246"/>
      <c r="G524" s="246"/>
      <c r="H524" s="246"/>
      <c r="I524" s="246"/>
      <c r="J524" s="246"/>
      <c r="K524" s="246"/>
      <c r="L524" s="246"/>
      <c r="M524" s="246"/>
      <c r="N524" s="252"/>
      <c r="O524" s="246"/>
      <c r="P524" s="246"/>
      <c r="Q524" s="246"/>
      <c r="R524" s="246"/>
      <c r="S524" s="246"/>
      <c r="T524" s="246"/>
      <c r="U524" s="246"/>
      <c r="V524" s="246"/>
      <c r="W524" s="246"/>
      <c r="X524" s="246"/>
      <c r="Y524" s="246"/>
      <c r="Z524" s="246"/>
    </row>
    <row r="525">
      <c r="A525" s="246"/>
      <c r="B525" s="246"/>
      <c r="C525" s="246"/>
      <c r="D525" s="246"/>
      <c r="E525" s="246"/>
      <c r="F525" s="246"/>
      <c r="G525" s="246"/>
      <c r="H525" s="246"/>
      <c r="I525" s="246"/>
      <c r="J525" s="246"/>
      <c r="K525" s="246"/>
      <c r="L525" s="246"/>
      <c r="M525" s="246"/>
      <c r="N525" s="252"/>
      <c r="O525" s="246"/>
      <c r="P525" s="246"/>
      <c r="Q525" s="246"/>
      <c r="R525" s="246"/>
      <c r="S525" s="246"/>
      <c r="T525" s="246"/>
      <c r="U525" s="246"/>
      <c r="V525" s="246"/>
      <c r="W525" s="246"/>
      <c r="X525" s="246"/>
      <c r="Y525" s="246"/>
      <c r="Z525" s="246"/>
    </row>
    <row r="526">
      <c r="A526" s="246"/>
      <c r="B526" s="246"/>
      <c r="C526" s="246"/>
      <c r="D526" s="246"/>
      <c r="E526" s="246"/>
      <c r="F526" s="246"/>
      <c r="G526" s="246"/>
      <c r="H526" s="246"/>
      <c r="I526" s="246"/>
      <c r="J526" s="246"/>
      <c r="K526" s="246"/>
      <c r="L526" s="246"/>
      <c r="M526" s="246"/>
      <c r="N526" s="252"/>
      <c r="O526" s="246"/>
      <c r="P526" s="246"/>
      <c r="Q526" s="246"/>
      <c r="R526" s="246"/>
      <c r="S526" s="246"/>
      <c r="T526" s="246"/>
      <c r="U526" s="246"/>
      <c r="V526" s="246"/>
      <c r="W526" s="246"/>
      <c r="X526" s="246"/>
      <c r="Y526" s="246"/>
      <c r="Z526" s="246"/>
    </row>
    <row r="527">
      <c r="A527" s="246"/>
      <c r="B527" s="246"/>
      <c r="C527" s="246"/>
      <c r="D527" s="246"/>
      <c r="E527" s="246"/>
      <c r="F527" s="246"/>
      <c r="G527" s="246"/>
      <c r="H527" s="246"/>
      <c r="I527" s="246"/>
      <c r="J527" s="246"/>
      <c r="K527" s="246"/>
      <c r="L527" s="246"/>
      <c r="M527" s="246"/>
      <c r="N527" s="252"/>
      <c r="O527" s="246"/>
      <c r="P527" s="246"/>
      <c r="Q527" s="246"/>
      <c r="R527" s="246"/>
      <c r="S527" s="246"/>
      <c r="T527" s="246"/>
      <c r="U527" s="246"/>
      <c r="V527" s="246"/>
      <c r="W527" s="246"/>
      <c r="X527" s="246"/>
      <c r="Y527" s="246"/>
      <c r="Z527" s="246"/>
    </row>
    <row r="528">
      <c r="A528" s="246"/>
      <c r="B528" s="246"/>
      <c r="C528" s="246"/>
      <c r="D528" s="246"/>
      <c r="E528" s="246"/>
      <c r="F528" s="246"/>
      <c r="G528" s="246"/>
      <c r="H528" s="246"/>
      <c r="I528" s="246"/>
      <c r="J528" s="246"/>
      <c r="K528" s="246"/>
      <c r="L528" s="246"/>
      <c r="M528" s="246"/>
      <c r="N528" s="252"/>
      <c r="O528" s="246"/>
      <c r="P528" s="246"/>
      <c r="Q528" s="246"/>
      <c r="R528" s="246"/>
      <c r="S528" s="246"/>
      <c r="T528" s="246"/>
      <c r="U528" s="246"/>
      <c r="V528" s="246"/>
      <c r="W528" s="246"/>
      <c r="X528" s="246"/>
      <c r="Y528" s="246"/>
      <c r="Z528" s="246"/>
    </row>
    <row r="529">
      <c r="A529" s="246"/>
      <c r="B529" s="246"/>
      <c r="C529" s="246"/>
      <c r="D529" s="246"/>
      <c r="E529" s="246"/>
      <c r="F529" s="246"/>
      <c r="G529" s="246"/>
      <c r="H529" s="246"/>
      <c r="I529" s="246"/>
      <c r="J529" s="246"/>
      <c r="K529" s="246"/>
      <c r="L529" s="246"/>
      <c r="M529" s="246"/>
      <c r="N529" s="252"/>
      <c r="O529" s="246"/>
      <c r="P529" s="246"/>
      <c r="Q529" s="246"/>
      <c r="R529" s="246"/>
      <c r="S529" s="246"/>
      <c r="T529" s="246"/>
      <c r="U529" s="246"/>
      <c r="V529" s="246"/>
      <c r="W529" s="246"/>
      <c r="X529" s="246"/>
      <c r="Y529" s="246"/>
      <c r="Z529" s="246"/>
    </row>
    <row r="530">
      <c r="A530" s="246"/>
      <c r="B530" s="246"/>
      <c r="C530" s="246"/>
      <c r="D530" s="246"/>
      <c r="E530" s="246"/>
      <c r="F530" s="246"/>
      <c r="G530" s="246"/>
      <c r="H530" s="246"/>
      <c r="I530" s="246"/>
      <c r="J530" s="246"/>
      <c r="K530" s="246"/>
      <c r="L530" s="246"/>
      <c r="M530" s="246"/>
      <c r="N530" s="252"/>
      <c r="O530" s="246"/>
      <c r="P530" s="246"/>
      <c r="Q530" s="246"/>
      <c r="R530" s="246"/>
      <c r="S530" s="246"/>
      <c r="T530" s="246"/>
      <c r="U530" s="246"/>
      <c r="V530" s="246"/>
      <c r="W530" s="246"/>
      <c r="X530" s="246"/>
      <c r="Y530" s="246"/>
      <c r="Z530" s="246"/>
    </row>
    <row r="531">
      <c r="A531" s="246"/>
      <c r="B531" s="246"/>
      <c r="C531" s="246"/>
      <c r="D531" s="246"/>
      <c r="E531" s="246"/>
      <c r="F531" s="246"/>
      <c r="G531" s="246"/>
      <c r="H531" s="246"/>
      <c r="I531" s="246"/>
      <c r="J531" s="246"/>
      <c r="K531" s="246"/>
      <c r="L531" s="246"/>
      <c r="M531" s="246"/>
      <c r="N531" s="252"/>
      <c r="O531" s="246"/>
      <c r="P531" s="246"/>
      <c r="Q531" s="246"/>
      <c r="R531" s="246"/>
      <c r="S531" s="246"/>
      <c r="T531" s="246"/>
      <c r="U531" s="246"/>
      <c r="V531" s="246"/>
      <c r="W531" s="246"/>
      <c r="X531" s="246"/>
      <c r="Y531" s="246"/>
      <c r="Z531" s="246"/>
    </row>
    <row r="532">
      <c r="A532" s="246"/>
      <c r="B532" s="246"/>
      <c r="C532" s="246"/>
      <c r="D532" s="246"/>
      <c r="E532" s="246"/>
      <c r="F532" s="246"/>
      <c r="G532" s="246"/>
      <c r="H532" s="246"/>
      <c r="I532" s="246"/>
      <c r="J532" s="246"/>
      <c r="K532" s="246"/>
      <c r="L532" s="246"/>
      <c r="M532" s="246"/>
      <c r="N532" s="252"/>
      <c r="O532" s="246"/>
      <c r="P532" s="246"/>
      <c r="Q532" s="246"/>
      <c r="R532" s="246"/>
      <c r="S532" s="246"/>
      <c r="T532" s="246"/>
      <c r="U532" s="246"/>
      <c r="V532" s="246"/>
      <c r="W532" s="246"/>
      <c r="X532" s="246"/>
      <c r="Y532" s="246"/>
      <c r="Z532" s="246"/>
    </row>
    <row r="533">
      <c r="A533" s="246"/>
      <c r="B533" s="246"/>
      <c r="C533" s="246"/>
      <c r="D533" s="246"/>
      <c r="E533" s="246"/>
      <c r="F533" s="246"/>
      <c r="G533" s="246"/>
      <c r="H533" s="246"/>
      <c r="I533" s="246"/>
      <c r="J533" s="246"/>
      <c r="K533" s="246"/>
      <c r="L533" s="246"/>
      <c r="M533" s="246"/>
      <c r="N533" s="252"/>
      <c r="O533" s="246"/>
      <c r="P533" s="246"/>
      <c r="Q533" s="246"/>
      <c r="R533" s="246"/>
      <c r="S533" s="246"/>
      <c r="T533" s="246"/>
      <c r="U533" s="246"/>
      <c r="V533" s="246"/>
      <c r="W533" s="246"/>
      <c r="X533" s="246"/>
      <c r="Y533" s="246"/>
      <c r="Z533" s="246"/>
    </row>
    <row r="534">
      <c r="A534" s="246"/>
      <c r="B534" s="246"/>
      <c r="C534" s="246"/>
      <c r="D534" s="246"/>
      <c r="E534" s="246"/>
      <c r="F534" s="246"/>
      <c r="G534" s="246"/>
      <c r="H534" s="246"/>
      <c r="I534" s="246"/>
      <c r="J534" s="246"/>
      <c r="K534" s="246"/>
      <c r="L534" s="246"/>
      <c r="M534" s="246"/>
      <c r="N534" s="252"/>
      <c r="O534" s="246"/>
      <c r="P534" s="246"/>
      <c r="Q534" s="246"/>
      <c r="R534" s="246"/>
      <c r="S534" s="246"/>
      <c r="T534" s="246"/>
      <c r="U534" s="246"/>
      <c r="V534" s="246"/>
      <c r="W534" s="246"/>
      <c r="X534" s="246"/>
      <c r="Y534" s="246"/>
      <c r="Z534" s="246"/>
    </row>
    <row r="535">
      <c r="A535" s="246"/>
      <c r="B535" s="246"/>
      <c r="C535" s="246"/>
      <c r="D535" s="246"/>
      <c r="E535" s="246"/>
      <c r="F535" s="246"/>
      <c r="G535" s="246"/>
      <c r="H535" s="246"/>
      <c r="I535" s="246"/>
      <c r="J535" s="246"/>
      <c r="K535" s="246"/>
      <c r="L535" s="246"/>
      <c r="M535" s="246"/>
      <c r="N535" s="252"/>
      <c r="O535" s="246"/>
      <c r="P535" s="246"/>
      <c r="Q535" s="246"/>
      <c r="R535" s="246"/>
      <c r="S535" s="246"/>
      <c r="T535" s="246"/>
      <c r="U535" s="246"/>
      <c r="V535" s="246"/>
      <c r="W535" s="246"/>
      <c r="X535" s="246"/>
      <c r="Y535" s="246"/>
      <c r="Z535" s="246"/>
    </row>
    <row r="536">
      <c r="A536" s="246"/>
      <c r="B536" s="246"/>
      <c r="C536" s="246"/>
      <c r="D536" s="246"/>
      <c r="E536" s="246"/>
      <c r="F536" s="246"/>
      <c r="G536" s="246"/>
      <c r="H536" s="246"/>
      <c r="I536" s="246"/>
      <c r="J536" s="246"/>
      <c r="K536" s="246"/>
      <c r="L536" s="246"/>
      <c r="M536" s="246"/>
      <c r="N536" s="252"/>
      <c r="O536" s="246"/>
      <c r="P536" s="246"/>
      <c r="Q536" s="246"/>
      <c r="R536" s="246"/>
      <c r="S536" s="246"/>
      <c r="T536" s="246"/>
      <c r="U536" s="246"/>
      <c r="V536" s="246"/>
      <c r="W536" s="246"/>
      <c r="X536" s="246"/>
      <c r="Y536" s="246"/>
      <c r="Z536" s="246"/>
    </row>
    <row r="537">
      <c r="A537" s="246"/>
      <c r="B537" s="246"/>
      <c r="C537" s="246"/>
      <c r="D537" s="246"/>
      <c r="E537" s="246"/>
      <c r="F537" s="246"/>
      <c r="G537" s="246"/>
      <c r="H537" s="246"/>
      <c r="I537" s="246"/>
      <c r="J537" s="246"/>
      <c r="K537" s="246"/>
      <c r="L537" s="246"/>
      <c r="M537" s="246"/>
      <c r="N537" s="252"/>
      <c r="O537" s="246"/>
      <c r="P537" s="246"/>
      <c r="Q537" s="246"/>
      <c r="R537" s="246"/>
      <c r="S537" s="246"/>
      <c r="T537" s="246"/>
      <c r="U537" s="246"/>
      <c r="V537" s="246"/>
      <c r="W537" s="246"/>
      <c r="X537" s="246"/>
      <c r="Y537" s="246"/>
      <c r="Z537" s="246"/>
    </row>
    <row r="538">
      <c r="A538" s="246"/>
      <c r="B538" s="246"/>
      <c r="C538" s="246"/>
      <c r="D538" s="246"/>
      <c r="E538" s="246"/>
      <c r="F538" s="246"/>
      <c r="G538" s="246"/>
      <c r="H538" s="246"/>
      <c r="I538" s="246"/>
      <c r="J538" s="246"/>
      <c r="K538" s="246"/>
      <c r="L538" s="246"/>
      <c r="M538" s="246"/>
      <c r="N538" s="252"/>
      <c r="O538" s="246"/>
      <c r="P538" s="246"/>
      <c r="Q538" s="246"/>
      <c r="R538" s="246"/>
      <c r="S538" s="246"/>
      <c r="T538" s="246"/>
      <c r="U538" s="246"/>
      <c r="V538" s="246"/>
      <c r="W538" s="246"/>
      <c r="X538" s="246"/>
      <c r="Y538" s="246"/>
      <c r="Z538" s="246"/>
    </row>
    <row r="539">
      <c r="A539" s="246"/>
      <c r="B539" s="246"/>
      <c r="C539" s="246"/>
      <c r="D539" s="246"/>
      <c r="E539" s="246"/>
      <c r="F539" s="246"/>
      <c r="G539" s="246"/>
      <c r="H539" s="246"/>
      <c r="I539" s="246"/>
      <c r="J539" s="246"/>
      <c r="K539" s="246"/>
      <c r="L539" s="246"/>
      <c r="M539" s="246"/>
      <c r="N539" s="252"/>
      <c r="O539" s="246"/>
      <c r="P539" s="246"/>
      <c r="Q539" s="246"/>
      <c r="R539" s="246"/>
      <c r="S539" s="246"/>
      <c r="T539" s="246"/>
      <c r="U539" s="246"/>
      <c r="V539" s="246"/>
      <c r="W539" s="246"/>
      <c r="X539" s="246"/>
      <c r="Y539" s="246"/>
      <c r="Z539" s="246"/>
    </row>
    <row r="540">
      <c r="A540" s="246"/>
      <c r="B540" s="246"/>
      <c r="C540" s="246"/>
      <c r="D540" s="246"/>
      <c r="E540" s="246"/>
      <c r="F540" s="246"/>
      <c r="G540" s="246"/>
      <c r="H540" s="246"/>
      <c r="I540" s="246"/>
      <c r="J540" s="246"/>
      <c r="K540" s="246"/>
      <c r="L540" s="246"/>
      <c r="M540" s="246"/>
      <c r="N540" s="252"/>
      <c r="O540" s="246"/>
      <c r="P540" s="246"/>
      <c r="Q540" s="246"/>
      <c r="R540" s="246"/>
      <c r="S540" s="246"/>
      <c r="T540" s="246"/>
      <c r="U540" s="246"/>
      <c r="V540" s="246"/>
      <c r="W540" s="246"/>
      <c r="X540" s="246"/>
      <c r="Y540" s="246"/>
      <c r="Z540" s="246"/>
    </row>
    <row r="541">
      <c r="A541" s="246"/>
      <c r="B541" s="246"/>
      <c r="C541" s="246"/>
      <c r="D541" s="246"/>
      <c r="E541" s="246"/>
      <c r="F541" s="246"/>
      <c r="G541" s="246"/>
      <c r="H541" s="246"/>
      <c r="I541" s="246"/>
      <c r="J541" s="246"/>
      <c r="K541" s="246"/>
      <c r="L541" s="246"/>
      <c r="M541" s="246"/>
      <c r="N541" s="252"/>
      <c r="O541" s="246"/>
      <c r="P541" s="246"/>
      <c r="Q541" s="246"/>
      <c r="R541" s="246"/>
      <c r="S541" s="246"/>
      <c r="T541" s="246"/>
      <c r="U541" s="246"/>
      <c r="V541" s="246"/>
      <c r="W541" s="246"/>
      <c r="X541" s="246"/>
      <c r="Y541" s="246"/>
      <c r="Z541" s="246"/>
    </row>
    <row r="542">
      <c r="A542" s="246"/>
      <c r="B542" s="246"/>
      <c r="C542" s="246"/>
      <c r="D542" s="246"/>
      <c r="E542" s="246"/>
      <c r="F542" s="246"/>
      <c r="G542" s="246"/>
      <c r="H542" s="246"/>
      <c r="I542" s="246"/>
      <c r="J542" s="246"/>
      <c r="K542" s="246"/>
      <c r="L542" s="246"/>
      <c r="M542" s="246"/>
      <c r="N542" s="252"/>
      <c r="O542" s="246"/>
      <c r="P542" s="246"/>
      <c r="Q542" s="246"/>
      <c r="R542" s="246"/>
      <c r="S542" s="246"/>
      <c r="T542" s="246"/>
      <c r="U542" s="246"/>
      <c r="V542" s="246"/>
      <c r="W542" s="246"/>
      <c r="X542" s="246"/>
      <c r="Y542" s="246"/>
      <c r="Z542" s="246"/>
    </row>
    <row r="543">
      <c r="A543" s="246"/>
      <c r="B543" s="246"/>
      <c r="C543" s="246"/>
      <c r="D543" s="246"/>
      <c r="E543" s="246"/>
      <c r="F543" s="246"/>
      <c r="G543" s="246"/>
      <c r="H543" s="246"/>
      <c r="I543" s="246"/>
      <c r="J543" s="246"/>
      <c r="K543" s="246"/>
      <c r="L543" s="246"/>
      <c r="M543" s="246"/>
      <c r="N543" s="252"/>
      <c r="O543" s="246"/>
      <c r="P543" s="246"/>
      <c r="Q543" s="246"/>
      <c r="R543" s="246"/>
      <c r="S543" s="246"/>
      <c r="T543" s="246"/>
      <c r="U543" s="246"/>
      <c r="V543" s="246"/>
      <c r="W543" s="246"/>
      <c r="X543" s="246"/>
      <c r="Y543" s="246"/>
      <c r="Z543" s="246"/>
    </row>
    <row r="544">
      <c r="A544" s="246"/>
      <c r="B544" s="246"/>
      <c r="C544" s="246"/>
      <c r="D544" s="246"/>
      <c r="E544" s="246"/>
      <c r="F544" s="246"/>
      <c r="G544" s="246"/>
      <c r="H544" s="246"/>
      <c r="I544" s="246"/>
      <c r="J544" s="246"/>
      <c r="K544" s="246"/>
      <c r="L544" s="246"/>
      <c r="M544" s="246"/>
      <c r="N544" s="252"/>
      <c r="O544" s="246"/>
      <c r="P544" s="246"/>
      <c r="Q544" s="246"/>
      <c r="R544" s="246"/>
      <c r="S544" s="246"/>
      <c r="T544" s="246"/>
      <c r="U544" s="246"/>
      <c r="V544" s="246"/>
      <c r="W544" s="246"/>
      <c r="X544" s="246"/>
      <c r="Y544" s="246"/>
      <c r="Z544" s="246"/>
    </row>
    <row r="545">
      <c r="A545" s="246"/>
      <c r="B545" s="246"/>
      <c r="C545" s="246"/>
      <c r="D545" s="246"/>
      <c r="E545" s="246"/>
      <c r="F545" s="246"/>
      <c r="G545" s="246"/>
      <c r="H545" s="246"/>
      <c r="I545" s="246"/>
      <c r="J545" s="246"/>
      <c r="K545" s="246"/>
      <c r="L545" s="246"/>
      <c r="M545" s="246"/>
      <c r="N545" s="252"/>
      <c r="O545" s="246"/>
      <c r="P545" s="246"/>
      <c r="Q545" s="246"/>
      <c r="R545" s="246"/>
      <c r="S545" s="246"/>
      <c r="T545" s="246"/>
      <c r="U545" s="246"/>
      <c r="V545" s="246"/>
      <c r="W545" s="246"/>
      <c r="X545" s="246"/>
      <c r="Y545" s="246"/>
      <c r="Z545" s="246"/>
    </row>
    <row r="546">
      <c r="A546" s="246"/>
      <c r="B546" s="246"/>
      <c r="C546" s="246"/>
      <c r="D546" s="246"/>
      <c r="E546" s="246"/>
      <c r="F546" s="246"/>
      <c r="G546" s="246"/>
      <c r="H546" s="246"/>
      <c r="I546" s="246"/>
      <c r="J546" s="246"/>
      <c r="K546" s="246"/>
      <c r="L546" s="246"/>
      <c r="M546" s="246"/>
      <c r="N546" s="252"/>
      <c r="O546" s="246"/>
      <c r="P546" s="246"/>
      <c r="Q546" s="246"/>
      <c r="R546" s="246"/>
      <c r="S546" s="246"/>
      <c r="T546" s="246"/>
      <c r="U546" s="246"/>
      <c r="V546" s="246"/>
      <c r="W546" s="246"/>
      <c r="X546" s="246"/>
      <c r="Y546" s="246"/>
      <c r="Z546" s="246"/>
    </row>
    <row r="547">
      <c r="A547" s="246"/>
      <c r="B547" s="246"/>
      <c r="C547" s="246"/>
      <c r="D547" s="246"/>
      <c r="E547" s="246"/>
      <c r="F547" s="246"/>
      <c r="G547" s="246"/>
      <c r="H547" s="246"/>
      <c r="I547" s="246"/>
      <c r="J547" s="246"/>
      <c r="K547" s="246"/>
      <c r="L547" s="246"/>
      <c r="M547" s="246"/>
      <c r="N547" s="252"/>
      <c r="O547" s="246"/>
      <c r="P547" s="246"/>
      <c r="Q547" s="246"/>
      <c r="R547" s="246"/>
      <c r="S547" s="246"/>
      <c r="T547" s="246"/>
      <c r="U547" s="246"/>
      <c r="V547" s="246"/>
      <c r="W547" s="246"/>
      <c r="X547" s="246"/>
      <c r="Y547" s="246"/>
      <c r="Z547" s="246"/>
    </row>
    <row r="548">
      <c r="A548" s="246"/>
      <c r="B548" s="246"/>
      <c r="C548" s="246"/>
      <c r="D548" s="246"/>
      <c r="E548" s="246"/>
      <c r="F548" s="246"/>
      <c r="G548" s="246"/>
      <c r="H548" s="246"/>
      <c r="I548" s="246"/>
      <c r="J548" s="246"/>
      <c r="K548" s="246"/>
      <c r="L548" s="246"/>
      <c r="M548" s="246"/>
      <c r="N548" s="252"/>
      <c r="O548" s="246"/>
      <c r="P548" s="246"/>
      <c r="Q548" s="246"/>
      <c r="R548" s="246"/>
      <c r="S548" s="246"/>
      <c r="T548" s="246"/>
      <c r="U548" s="246"/>
      <c r="V548" s="246"/>
      <c r="W548" s="246"/>
      <c r="X548" s="246"/>
      <c r="Y548" s="246"/>
      <c r="Z548" s="246"/>
    </row>
    <row r="549">
      <c r="A549" s="246"/>
      <c r="B549" s="246"/>
      <c r="C549" s="246"/>
      <c r="D549" s="246"/>
      <c r="E549" s="246"/>
      <c r="F549" s="246"/>
      <c r="G549" s="246"/>
      <c r="H549" s="246"/>
      <c r="I549" s="246"/>
      <c r="J549" s="246"/>
      <c r="K549" s="246"/>
      <c r="L549" s="246"/>
      <c r="M549" s="246"/>
      <c r="N549" s="252"/>
      <c r="O549" s="246"/>
      <c r="P549" s="246"/>
      <c r="Q549" s="246"/>
      <c r="R549" s="246"/>
      <c r="S549" s="246"/>
      <c r="T549" s="246"/>
      <c r="U549" s="246"/>
      <c r="V549" s="246"/>
      <c r="W549" s="246"/>
      <c r="X549" s="246"/>
      <c r="Y549" s="246"/>
      <c r="Z549" s="246"/>
    </row>
    <row r="550">
      <c r="A550" s="246"/>
      <c r="B550" s="246"/>
      <c r="C550" s="246"/>
      <c r="D550" s="246"/>
      <c r="E550" s="246"/>
      <c r="F550" s="246"/>
      <c r="G550" s="246"/>
      <c r="H550" s="246"/>
      <c r="I550" s="246"/>
      <c r="J550" s="246"/>
      <c r="K550" s="246"/>
      <c r="L550" s="246"/>
      <c r="M550" s="246"/>
      <c r="N550" s="252"/>
      <c r="O550" s="246"/>
      <c r="P550" s="246"/>
      <c r="Q550" s="246"/>
      <c r="R550" s="246"/>
      <c r="S550" s="246"/>
      <c r="T550" s="246"/>
      <c r="U550" s="246"/>
      <c r="V550" s="246"/>
      <c r="W550" s="246"/>
      <c r="X550" s="246"/>
      <c r="Y550" s="246"/>
      <c r="Z550" s="246"/>
    </row>
    <row r="551">
      <c r="A551" s="246"/>
      <c r="B551" s="246"/>
      <c r="C551" s="246"/>
      <c r="D551" s="246"/>
      <c r="E551" s="246"/>
      <c r="F551" s="246"/>
      <c r="G551" s="246"/>
      <c r="H551" s="246"/>
      <c r="I551" s="246"/>
      <c r="J551" s="246"/>
      <c r="K551" s="246"/>
      <c r="L551" s="246"/>
      <c r="M551" s="246"/>
      <c r="N551" s="252"/>
      <c r="O551" s="246"/>
      <c r="P551" s="246"/>
      <c r="Q551" s="246"/>
      <c r="R551" s="246"/>
      <c r="S551" s="246"/>
      <c r="T551" s="246"/>
      <c r="U551" s="246"/>
      <c r="V551" s="246"/>
      <c r="W551" s="246"/>
      <c r="X551" s="246"/>
      <c r="Y551" s="246"/>
      <c r="Z551" s="246"/>
    </row>
    <row r="552">
      <c r="A552" s="246"/>
      <c r="B552" s="246"/>
      <c r="C552" s="246"/>
      <c r="D552" s="246"/>
      <c r="E552" s="246"/>
      <c r="F552" s="246"/>
      <c r="G552" s="246"/>
      <c r="H552" s="246"/>
      <c r="I552" s="246"/>
      <c r="J552" s="246"/>
      <c r="K552" s="246"/>
      <c r="L552" s="246"/>
      <c r="M552" s="246"/>
      <c r="N552" s="252"/>
      <c r="O552" s="246"/>
      <c r="P552" s="246"/>
      <c r="Q552" s="246"/>
      <c r="R552" s="246"/>
      <c r="S552" s="246"/>
      <c r="T552" s="246"/>
      <c r="U552" s="246"/>
      <c r="V552" s="246"/>
      <c r="W552" s="246"/>
      <c r="X552" s="246"/>
      <c r="Y552" s="246"/>
      <c r="Z552" s="246"/>
    </row>
    <row r="553">
      <c r="A553" s="246"/>
      <c r="B553" s="246"/>
      <c r="C553" s="246"/>
      <c r="D553" s="246"/>
      <c r="E553" s="246"/>
      <c r="F553" s="246"/>
      <c r="G553" s="246"/>
      <c r="H553" s="246"/>
      <c r="I553" s="246"/>
      <c r="J553" s="246"/>
      <c r="K553" s="246"/>
      <c r="L553" s="246"/>
      <c r="M553" s="246"/>
      <c r="N553" s="252"/>
      <c r="O553" s="246"/>
      <c r="P553" s="246"/>
      <c r="Q553" s="246"/>
      <c r="R553" s="246"/>
      <c r="S553" s="246"/>
      <c r="T553" s="246"/>
      <c r="U553" s="246"/>
      <c r="V553" s="246"/>
      <c r="W553" s="246"/>
      <c r="X553" s="246"/>
      <c r="Y553" s="246"/>
      <c r="Z553" s="246"/>
    </row>
    <row r="554">
      <c r="A554" s="246"/>
      <c r="B554" s="246"/>
      <c r="C554" s="246"/>
      <c r="D554" s="246"/>
      <c r="E554" s="246"/>
      <c r="F554" s="246"/>
      <c r="G554" s="246"/>
      <c r="H554" s="246"/>
      <c r="I554" s="246"/>
      <c r="J554" s="246"/>
      <c r="K554" s="246"/>
      <c r="L554" s="246"/>
      <c r="M554" s="246"/>
      <c r="N554" s="252"/>
      <c r="O554" s="246"/>
      <c r="P554" s="246"/>
      <c r="Q554" s="246"/>
      <c r="R554" s="246"/>
      <c r="S554" s="246"/>
      <c r="T554" s="246"/>
      <c r="U554" s="246"/>
      <c r="V554" s="246"/>
      <c r="W554" s="246"/>
      <c r="X554" s="246"/>
      <c r="Y554" s="246"/>
      <c r="Z554" s="246"/>
    </row>
    <row r="555">
      <c r="A555" s="246"/>
      <c r="B555" s="246"/>
      <c r="C555" s="246"/>
      <c r="D555" s="246"/>
      <c r="E555" s="246"/>
      <c r="F555" s="246"/>
      <c r="G555" s="246"/>
      <c r="H555" s="246"/>
      <c r="I555" s="246"/>
      <c r="J555" s="246"/>
      <c r="K555" s="246"/>
      <c r="L555" s="246"/>
      <c r="M555" s="246"/>
      <c r="N555" s="252"/>
      <c r="O555" s="246"/>
      <c r="P555" s="246"/>
      <c r="Q555" s="246"/>
      <c r="R555" s="246"/>
      <c r="S555" s="246"/>
      <c r="T555" s="246"/>
      <c r="U555" s="246"/>
      <c r="V555" s="246"/>
      <c r="W555" s="246"/>
      <c r="X555" s="246"/>
      <c r="Y555" s="246"/>
      <c r="Z555" s="246"/>
    </row>
    <row r="556">
      <c r="A556" s="246"/>
      <c r="B556" s="246"/>
      <c r="C556" s="246"/>
      <c r="D556" s="246"/>
      <c r="E556" s="246"/>
      <c r="F556" s="246"/>
      <c r="G556" s="246"/>
      <c r="H556" s="246"/>
      <c r="I556" s="246"/>
      <c r="J556" s="246"/>
      <c r="K556" s="246"/>
      <c r="L556" s="246"/>
      <c r="M556" s="246"/>
      <c r="N556" s="252"/>
      <c r="O556" s="246"/>
      <c r="P556" s="246"/>
      <c r="Q556" s="246"/>
      <c r="R556" s="246"/>
      <c r="S556" s="246"/>
      <c r="T556" s="246"/>
      <c r="U556" s="246"/>
      <c r="V556" s="246"/>
      <c r="W556" s="246"/>
      <c r="X556" s="246"/>
      <c r="Y556" s="246"/>
      <c r="Z556" s="246"/>
    </row>
    <row r="557">
      <c r="A557" s="246"/>
      <c r="B557" s="246"/>
      <c r="C557" s="246"/>
      <c r="D557" s="246"/>
      <c r="E557" s="246"/>
      <c r="F557" s="246"/>
      <c r="G557" s="246"/>
      <c r="H557" s="246"/>
      <c r="I557" s="246"/>
      <c r="J557" s="246"/>
      <c r="K557" s="246"/>
      <c r="L557" s="246"/>
      <c r="M557" s="246"/>
      <c r="N557" s="252"/>
      <c r="O557" s="246"/>
      <c r="P557" s="246"/>
      <c r="Q557" s="246"/>
      <c r="R557" s="246"/>
      <c r="S557" s="246"/>
      <c r="T557" s="246"/>
      <c r="U557" s="246"/>
      <c r="V557" s="246"/>
      <c r="W557" s="246"/>
      <c r="X557" s="246"/>
      <c r="Y557" s="246"/>
      <c r="Z557" s="246"/>
    </row>
    <row r="558">
      <c r="A558" s="246"/>
      <c r="B558" s="246"/>
      <c r="C558" s="246"/>
      <c r="D558" s="246"/>
      <c r="E558" s="246"/>
      <c r="F558" s="246"/>
      <c r="G558" s="246"/>
      <c r="H558" s="246"/>
      <c r="I558" s="246"/>
      <c r="J558" s="246"/>
      <c r="K558" s="246"/>
      <c r="L558" s="246"/>
      <c r="M558" s="246"/>
      <c r="N558" s="252"/>
      <c r="O558" s="246"/>
      <c r="P558" s="246"/>
      <c r="Q558" s="246"/>
      <c r="R558" s="246"/>
      <c r="S558" s="246"/>
      <c r="T558" s="246"/>
      <c r="U558" s="246"/>
      <c r="V558" s="246"/>
      <c r="W558" s="246"/>
      <c r="X558" s="246"/>
      <c r="Y558" s="246"/>
      <c r="Z558" s="246"/>
    </row>
    <row r="559">
      <c r="A559" s="246"/>
      <c r="B559" s="246"/>
      <c r="C559" s="246"/>
      <c r="D559" s="246"/>
      <c r="E559" s="246"/>
      <c r="F559" s="246"/>
      <c r="G559" s="246"/>
      <c r="H559" s="246"/>
      <c r="I559" s="246"/>
      <c r="J559" s="246"/>
      <c r="K559" s="246"/>
      <c r="L559" s="246"/>
      <c r="M559" s="246"/>
      <c r="N559" s="252"/>
      <c r="O559" s="246"/>
      <c r="P559" s="246"/>
      <c r="Q559" s="246"/>
      <c r="R559" s="246"/>
      <c r="S559" s="246"/>
      <c r="T559" s="246"/>
      <c r="U559" s="246"/>
      <c r="V559" s="246"/>
      <c r="W559" s="246"/>
      <c r="X559" s="246"/>
      <c r="Y559" s="246"/>
      <c r="Z559" s="246"/>
    </row>
    <row r="560">
      <c r="A560" s="246"/>
      <c r="B560" s="246"/>
      <c r="C560" s="246"/>
      <c r="D560" s="246"/>
      <c r="E560" s="246"/>
      <c r="F560" s="246"/>
      <c r="G560" s="246"/>
      <c r="H560" s="246"/>
      <c r="I560" s="246"/>
      <c r="J560" s="246"/>
      <c r="K560" s="246"/>
      <c r="L560" s="246"/>
      <c r="M560" s="246"/>
      <c r="N560" s="252"/>
      <c r="O560" s="246"/>
      <c r="P560" s="246"/>
      <c r="Q560" s="246"/>
      <c r="R560" s="246"/>
      <c r="S560" s="246"/>
      <c r="T560" s="246"/>
      <c r="U560" s="246"/>
      <c r="V560" s="246"/>
      <c r="W560" s="246"/>
      <c r="X560" s="246"/>
      <c r="Y560" s="246"/>
      <c r="Z560" s="246"/>
    </row>
    <row r="561">
      <c r="A561" s="246"/>
      <c r="B561" s="246"/>
      <c r="C561" s="246"/>
      <c r="D561" s="246"/>
      <c r="E561" s="246"/>
      <c r="F561" s="246"/>
      <c r="G561" s="246"/>
      <c r="H561" s="246"/>
      <c r="I561" s="246"/>
      <c r="J561" s="246"/>
      <c r="K561" s="246"/>
      <c r="L561" s="246"/>
      <c r="M561" s="246"/>
      <c r="N561" s="252"/>
      <c r="O561" s="246"/>
      <c r="P561" s="246"/>
      <c r="Q561" s="246"/>
      <c r="R561" s="246"/>
      <c r="S561" s="246"/>
      <c r="T561" s="246"/>
      <c r="U561" s="246"/>
      <c r="V561" s="246"/>
      <c r="W561" s="246"/>
      <c r="X561" s="246"/>
      <c r="Y561" s="246"/>
      <c r="Z561" s="246"/>
    </row>
    <row r="562">
      <c r="A562" s="246"/>
      <c r="B562" s="246"/>
      <c r="C562" s="246"/>
      <c r="D562" s="246"/>
      <c r="E562" s="246"/>
      <c r="F562" s="246"/>
      <c r="G562" s="246"/>
      <c r="H562" s="246"/>
      <c r="I562" s="246"/>
      <c r="J562" s="246"/>
      <c r="K562" s="246"/>
      <c r="L562" s="246"/>
      <c r="M562" s="246"/>
      <c r="N562" s="252"/>
      <c r="O562" s="246"/>
      <c r="P562" s="246"/>
      <c r="Q562" s="246"/>
      <c r="R562" s="246"/>
      <c r="S562" s="246"/>
      <c r="T562" s="246"/>
      <c r="U562" s="246"/>
      <c r="V562" s="246"/>
      <c r="W562" s="246"/>
      <c r="X562" s="246"/>
      <c r="Y562" s="246"/>
      <c r="Z562" s="246"/>
    </row>
    <row r="563">
      <c r="A563" s="246"/>
      <c r="B563" s="246"/>
      <c r="C563" s="246"/>
      <c r="D563" s="246"/>
      <c r="E563" s="246"/>
      <c r="F563" s="246"/>
      <c r="G563" s="246"/>
      <c r="H563" s="246"/>
      <c r="I563" s="246"/>
      <c r="J563" s="246"/>
      <c r="K563" s="246"/>
      <c r="L563" s="246"/>
      <c r="M563" s="246"/>
      <c r="N563" s="252"/>
      <c r="O563" s="246"/>
      <c r="P563" s="246"/>
      <c r="Q563" s="246"/>
      <c r="R563" s="246"/>
      <c r="S563" s="246"/>
      <c r="T563" s="246"/>
      <c r="U563" s="246"/>
      <c r="V563" s="246"/>
      <c r="W563" s="246"/>
      <c r="X563" s="246"/>
      <c r="Y563" s="246"/>
      <c r="Z563" s="246"/>
    </row>
    <row r="564">
      <c r="A564" s="246"/>
      <c r="B564" s="246"/>
      <c r="C564" s="246"/>
      <c r="D564" s="246"/>
      <c r="E564" s="246"/>
      <c r="F564" s="246"/>
      <c r="G564" s="246"/>
      <c r="H564" s="246"/>
      <c r="I564" s="246"/>
      <c r="J564" s="246"/>
      <c r="K564" s="246"/>
      <c r="L564" s="246"/>
      <c r="M564" s="246"/>
      <c r="N564" s="252"/>
      <c r="O564" s="246"/>
      <c r="P564" s="246"/>
      <c r="Q564" s="246"/>
      <c r="R564" s="246"/>
      <c r="S564" s="246"/>
      <c r="T564" s="246"/>
      <c r="U564" s="246"/>
      <c r="V564" s="246"/>
      <c r="W564" s="246"/>
      <c r="X564" s="246"/>
      <c r="Y564" s="246"/>
      <c r="Z564" s="246"/>
    </row>
    <row r="565">
      <c r="A565" s="246"/>
      <c r="B565" s="246"/>
      <c r="C565" s="246"/>
      <c r="D565" s="246"/>
      <c r="E565" s="246"/>
      <c r="F565" s="246"/>
      <c r="G565" s="246"/>
      <c r="H565" s="246"/>
      <c r="I565" s="246"/>
      <c r="J565" s="246"/>
      <c r="K565" s="246"/>
      <c r="L565" s="246"/>
      <c r="M565" s="246"/>
      <c r="N565" s="252"/>
      <c r="O565" s="246"/>
      <c r="P565" s="246"/>
      <c r="Q565" s="246"/>
      <c r="R565" s="246"/>
      <c r="S565" s="246"/>
      <c r="T565" s="246"/>
      <c r="U565" s="246"/>
      <c r="V565" s="246"/>
      <c r="W565" s="246"/>
      <c r="X565" s="246"/>
      <c r="Y565" s="246"/>
      <c r="Z565" s="246"/>
    </row>
    <row r="566">
      <c r="A566" s="246"/>
      <c r="B566" s="246"/>
      <c r="C566" s="246"/>
      <c r="D566" s="246"/>
      <c r="E566" s="246"/>
      <c r="F566" s="246"/>
      <c r="G566" s="246"/>
      <c r="H566" s="246"/>
      <c r="I566" s="246"/>
      <c r="J566" s="246"/>
      <c r="K566" s="246"/>
      <c r="L566" s="246"/>
      <c r="M566" s="246"/>
      <c r="N566" s="252"/>
      <c r="O566" s="246"/>
      <c r="P566" s="246"/>
      <c r="Q566" s="246"/>
      <c r="R566" s="246"/>
      <c r="S566" s="246"/>
      <c r="T566" s="246"/>
      <c r="U566" s="246"/>
      <c r="V566" s="246"/>
      <c r="W566" s="246"/>
      <c r="X566" s="246"/>
      <c r="Y566" s="246"/>
      <c r="Z566" s="246"/>
    </row>
    <row r="567">
      <c r="A567" s="246"/>
      <c r="B567" s="246"/>
      <c r="C567" s="246"/>
      <c r="D567" s="246"/>
      <c r="E567" s="246"/>
      <c r="F567" s="246"/>
      <c r="G567" s="246"/>
      <c r="H567" s="246"/>
      <c r="I567" s="246"/>
      <c r="J567" s="246"/>
      <c r="K567" s="246"/>
      <c r="L567" s="246"/>
      <c r="M567" s="246"/>
      <c r="N567" s="252"/>
      <c r="O567" s="246"/>
      <c r="P567" s="246"/>
      <c r="Q567" s="246"/>
      <c r="R567" s="246"/>
      <c r="S567" s="246"/>
      <c r="T567" s="246"/>
      <c r="U567" s="246"/>
      <c r="V567" s="246"/>
      <c r="W567" s="246"/>
      <c r="X567" s="246"/>
      <c r="Y567" s="246"/>
      <c r="Z567" s="246"/>
    </row>
    <row r="568">
      <c r="A568" s="246"/>
      <c r="B568" s="246"/>
      <c r="C568" s="246"/>
      <c r="D568" s="246"/>
      <c r="E568" s="246"/>
      <c r="F568" s="246"/>
      <c r="G568" s="246"/>
      <c r="H568" s="246"/>
      <c r="I568" s="246"/>
      <c r="J568" s="246"/>
      <c r="K568" s="246"/>
      <c r="L568" s="246"/>
      <c r="M568" s="246"/>
      <c r="N568" s="252"/>
      <c r="O568" s="246"/>
      <c r="P568" s="246"/>
      <c r="Q568" s="246"/>
      <c r="R568" s="246"/>
      <c r="S568" s="246"/>
      <c r="T568" s="246"/>
      <c r="U568" s="246"/>
      <c r="V568" s="246"/>
      <c r="W568" s="246"/>
      <c r="X568" s="246"/>
      <c r="Y568" s="246"/>
      <c r="Z568" s="246"/>
    </row>
    <row r="569">
      <c r="A569" s="246"/>
      <c r="B569" s="246"/>
      <c r="C569" s="246"/>
      <c r="D569" s="246"/>
      <c r="E569" s="246"/>
      <c r="F569" s="246"/>
      <c r="G569" s="246"/>
      <c r="H569" s="246"/>
      <c r="I569" s="246"/>
      <c r="J569" s="246"/>
      <c r="K569" s="246"/>
      <c r="L569" s="246"/>
      <c r="M569" s="246"/>
      <c r="N569" s="252"/>
      <c r="O569" s="246"/>
      <c r="P569" s="246"/>
      <c r="Q569" s="246"/>
      <c r="R569" s="246"/>
      <c r="S569" s="246"/>
      <c r="T569" s="246"/>
      <c r="U569" s="246"/>
      <c r="V569" s="246"/>
      <c r="W569" s="246"/>
      <c r="X569" s="246"/>
      <c r="Y569" s="246"/>
      <c r="Z569" s="246"/>
    </row>
    <row r="570">
      <c r="A570" s="246"/>
      <c r="B570" s="246"/>
      <c r="C570" s="246"/>
      <c r="D570" s="246"/>
      <c r="E570" s="246"/>
      <c r="F570" s="246"/>
      <c r="G570" s="246"/>
      <c r="H570" s="246"/>
      <c r="I570" s="246"/>
      <c r="J570" s="246"/>
      <c r="K570" s="246"/>
      <c r="L570" s="246"/>
      <c r="M570" s="246"/>
      <c r="N570" s="252"/>
      <c r="O570" s="246"/>
      <c r="P570" s="246"/>
      <c r="Q570" s="246"/>
      <c r="R570" s="246"/>
      <c r="S570" s="246"/>
      <c r="T570" s="246"/>
      <c r="U570" s="246"/>
      <c r="V570" s="246"/>
      <c r="W570" s="246"/>
      <c r="X570" s="246"/>
      <c r="Y570" s="246"/>
      <c r="Z570" s="246"/>
    </row>
    <row r="571">
      <c r="A571" s="246"/>
      <c r="B571" s="246"/>
      <c r="C571" s="246"/>
      <c r="D571" s="246"/>
      <c r="E571" s="246"/>
      <c r="F571" s="246"/>
      <c r="G571" s="246"/>
      <c r="H571" s="246"/>
      <c r="I571" s="246"/>
      <c r="J571" s="246"/>
      <c r="K571" s="246"/>
      <c r="L571" s="246"/>
      <c r="M571" s="246"/>
      <c r="N571" s="252"/>
      <c r="O571" s="246"/>
      <c r="P571" s="246"/>
      <c r="Q571" s="246"/>
      <c r="R571" s="246"/>
      <c r="S571" s="246"/>
      <c r="T571" s="246"/>
      <c r="U571" s="246"/>
      <c r="V571" s="246"/>
      <c r="W571" s="246"/>
      <c r="X571" s="246"/>
      <c r="Y571" s="246"/>
      <c r="Z571" s="246"/>
    </row>
    <row r="572">
      <c r="A572" s="246"/>
      <c r="B572" s="246"/>
      <c r="C572" s="246"/>
      <c r="D572" s="246"/>
      <c r="E572" s="246"/>
      <c r="F572" s="246"/>
      <c r="G572" s="246"/>
      <c r="H572" s="246"/>
      <c r="I572" s="246"/>
      <c r="J572" s="246"/>
      <c r="K572" s="246"/>
      <c r="L572" s="246"/>
      <c r="M572" s="246"/>
      <c r="N572" s="252"/>
      <c r="O572" s="246"/>
      <c r="P572" s="246"/>
      <c r="Q572" s="246"/>
      <c r="R572" s="246"/>
      <c r="S572" s="246"/>
      <c r="T572" s="246"/>
      <c r="U572" s="246"/>
      <c r="V572" s="246"/>
      <c r="W572" s="246"/>
      <c r="X572" s="246"/>
      <c r="Y572" s="246"/>
      <c r="Z572" s="246"/>
    </row>
    <row r="573">
      <c r="A573" s="246"/>
      <c r="B573" s="246"/>
      <c r="C573" s="246"/>
      <c r="D573" s="246"/>
      <c r="E573" s="246"/>
      <c r="F573" s="246"/>
      <c r="G573" s="246"/>
      <c r="H573" s="246"/>
      <c r="I573" s="246"/>
      <c r="J573" s="246"/>
      <c r="K573" s="246"/>
      <c r="L573" s="246"/>
      <c r="M573" s="246"/>
      <c r="N573" s="252"/>
      <c r="O573" s="246"/>
      <c r="P573" s="246"/>
      <c r="Q573" s="246"/>
      <c r="R573" s="246"/>
      <c r="S573" s="246"/>
      <c r="T573" s="246"/>
      <c r="U573" s="246"/>
      <c r="V573" s="246"/>
      <c r="W573" s="246"/>
      <c r="X573" s="246"/>
      <c r="Y573" s="246"/>
      <c r="Z573" s="246"/>
    </row>
    <row r="574">
      <c r="A574" s="246"/>
      <c r="B574" s="246"/>
      <c r="C574" s="246"/>
      <c r="D574" s="246"/>
      <c r="E574" s="246"/>
      <c r="F574" s="246"/>
      <c r="G574" s="246"/>
      <c r="H574" s="246"/>
      <c r="I574" s="246"/>
      <c r="J574" s="246"/>
      <c r="K574" s="246"/>
      <c r="L574" s="246"/>
      <c r="M574" s="246"/>
      <c r="N574" s="252"/>
      <c r="O574" s="246"/>
      <c r="P574" s="246"/>
      <c r="Q574" s="246"/>
      <c r="R574" s="246"/>
      <c r="S574" s="246"/>
      <c r="T574" s="246"/>
      <c r="U574" s="246"/>
      <c r="V574" s="246"/>
      <c r="W574" s="246"/>
      <c r="X574" s="246"/>
      <c r="Y574" s="246"/>
      <c r="Z574" s="246"/>
    </row>
    <row r="575">
      <c r="A575" s="246"/>
      <c r="B575" s="246"/>
      <c r="C575" s="246"/>
      <c r="D575" s="246"/>
      <c r="E575" s="246"/>
      <c r="F575" s="246"/>
      <c r="G575" s="246"/>
      <c r="H575" s="246"/>
      <c r="I575" s="246"/>
      <c r="J575" s="246"/>
      <c r="K575" s="246"/>
      <c r="L575" s="246"/>
      <c r="M575" s="246"/>
      <c r="N575" s="252"/>
      <c r="O575" s="246"/>
      <c r="P575" s="246"/>
      <c r="Q575" s="246"/>
      <c r="R575" s="246"/>
      <c r="S575" s="246"/>
      <c r="T575" s="246"/>
      <c r="U575" s="246"/>
      <c r="V575" s="246"/>
      <c r="W575" s="246"/>
      <c r="X575" s="246"/>
      <c r="Y575" s="246"/>
      <c r="Z575" s="246"/>
    </row>
    <row r="576">
      <c r="A576" s="246"/>
      <c r="B576" s="246"/>
      <c r="C576" s="246"/>
      <c r="D576" s="246"/>
      <c r="E576" s="246"/>
      <c r="F576" s="246"/>
      <c r="G576" s="246"/>
      <c r="H576" s="246"/>
      <c r="I576" s="246"/>
      <c r="J576" s="246"/>
      <c r="K576" s="246"/>
      <c r="L576" s="246"/>
      <c r="M576" s="246"/>
      <c r="N576" s="252"/>
      <c r="O576" s="246"/>
      <c r="P576" s="246"/>
      <c r="Q576" s="246"/>
      <c r="R576" s="246"/>
      <c r="S576" s="246"/>
      <c r="T576" s="246"/>
      <c r="U576" s="246"/>
      <c r="V576" s="246"/>
      <c r="W576" s="246"/>
      <c r="X576" s="246"/>
      <c r="Y576" s="246"/>
      <c r="Z576" s="246"/>
    </row>
    <row r="577">
      <c r="A577" s="246"/>
      <c r="B577" s="246"/>
      <c r="C577" s="246"/>
      <c r="D577" s="246"/>
      <c r="E577" s="246"/>
      <c r="F577" s="246"/>
      <c r="G577" s="246"/>
      <c r="H577" s="246"/>
      <c r="I577" s="246"/>
      <c r="J577" s="246"/>
      <c r="K577" s="246"/>
      <c r="L577" s="246"/>
      <c r="M577" s="246"/>
      <c r="N577" s="252"/>
      <c r="O577" s="246"/>
      <c r="P577" s="246"/>
      <c r="Q577" s="246"/>
      <c r="R577" s="246"/>
      <c r="S577" s="246"/>
      <c r="T577" s="246"/>
      <c r="U577" s="246"/>
      <c r="V577" s="246"/>
      <c r="W577" s="246"/>
      <c r="X577" s="246"/>
      <c r="Y577" s="246"/>
      <c r="Z577" s="246"/>
    </row>
    <row r="578">
      <c r="A578" s="246"/>
      <c r="B578" s="246"/>
      <c r="C578" s="246"/>
      <c r="D578" s="246"/>
      <c r="E578" s="246"/>
      <c r="F578" s="246"/>
      <c r="G578" s="246"/>
      <c r="H578" s="246"/>
      <c r="I578" s="246"/>
      <c r="J578" s="246"/>
      <c r="K578" s="246"/>
      <c r="L578" s="246"/>
      <c r="M578" s="246"/>
      <c r="N578" s="252"/>
      <c r="O578" s="246"/>
      <c r="P578" s="246"/>
      <c r="Q578" s="246"/>
      <c r="R578" s="246"/>
      <c r="S578" s="246"/>
      <c r="T578" s="246"/>
      <c r="U578" s="246"/>
      <c r="V578" s="246"/>
      <c r="W578" s="246"/>
      <c r="X578" s="246"/>
      <c r="Y578" s="246"/>
      <c r="Z578" s="246"/>
    </row>
    <row r="579">
      <c r="A579" s="246"/>
      <c r="B579" s="246"/>
      <c r="C579" s="246"/>
      <c r="D579" s="246"/>
      <c r="E579" s="246"/>
      <c r="F579" s="246"/>
      <c r="G579" s="246"/>
      <c r="H579" s="246"/>
      <c r="I579" s="246"/>
      <c r="J579" s="246"/>
      <c r="K579" s="246"/>
      <c r="L579" s="246"/>
      <c r="M579" s="246"/>
      <c r="N579" s="252"/>
      <c r="O579" s="246"/>
      <c r="P579" s="246"/>
      <c r="Q579" s="246"/>
      <c r="R579" s="246"/>
      <c r="S579" s="246"/>
      <c r="T579" s="246"/>
      <c r="U579" s="246"/>
      <c r="V579" s="246"/>
      <c r="W579" s="246"/>
      <c r="X579" s="246"/>
      <c r="Y579" s="246"/>
      <c r="Z579" s="246"/>
    </row>
    <row r="580">
      <c r="A580" s="246"/>
      <c r="B580" s="246"/>
      <c r="C580" s="246"/>
      <c r="D580" s="246"/>
      <c r="E580" s="246"/>
      <c r="F580" s="246"/>
      <c r="G580" s="246"/>
      <c r="H580" s="246"/>
      <c r="I580" s="246"/>
      <c r="J580" s="246"/>
      <c r="K580" s="246"/>
      <c r="L580" s="246"/>
      <c r="M580" s="246"/>
      <c r="N580" s="252"/>
      <c r="O580" s="246"/>
      <c r="P580" s="246"/>
      <c r="Q580" s="246"/>
      <c r="R580" s="246"/>
      <c r="S580" s="246"/>
      <c r="T580" s="246"/>
      <c r="U580" s="246"/>
      <c r="V580" s="246"/>
      <c r="W580" s="246"/>
      <c r="X580" s="246"/>
      <c r="Y580" s="246"/>
      <c r="Z580" s="246"/>
    </row>
    <row r="581">
      <c r="A581" s="246"/>
      <c r="B581" s="246"/>
      <c r="C581" s="246"/>
      <c r="D581" s="246"/>
      <c r="E581" s="246"/>
      <c r="F581" s="246"/>
      <c r="G581" s="246"/>
      <c r="H581" s="246"/>
      <c r="I581" s="246"/>
      <c r="J581" s="246"/>
      <c r="K581" s="246"/>
      <c r="L581" s="246"/>
      <c r="M581" s="246"/>
      <c r="N581" s="252"/>
      <c r="O581" s="246"/>
      <c r="P581" s="246"/>
      <c r="Q581" s="246"/>
      <c r="R581" s="246"/>
      <c r="S581" s="246"/>
      <c r="T581" s="246"/>
      <c r="U581" s="246"/>
      <c r="V581" s="246"/>
      <c r="W581" s="246"/>
      <c r="X581" s="246"/>
      <c r="Y581" s="246"/>
      <c r="Z581" s="246"/>
    </row>
    <row r="582">
      <c r="A582" s="246"/>
      <c r="B582" s="246"/>
      <c r="C582" s="246"/>
      <c r="D582" s="246"/>
      <c r="E582" s="246"/>
      <c r="F582" s="246"/>
      <c r="G582" s="246"/>
      <c r="H582" s="246"/>
      <c r="I582" s="246"/>
      <c r="J582" s="246"/>
      <c r="K582" s="246"/>
      <c r="L582" s="246"/>
      <c r="M582" s="246"/>
      <c r="N582" s="252"/>
      <c r="O582" s="246"/>
      <c r="P582" s="246"/>
      <c r="Q582" s="246"/>
      <c r="R582" s="246"/>
      <c r="S582" s="246"/>
      <c r="T582" s="246"/>
      <c r="U582" s="246"/>
      <c r="V582" s="246"/>
      <c r="W582" s="246"/>
      <c r="X582" s="246"/>
      <c r="Y582" s="246"/>
      <c r="Z582" s="246"/>
    </row>
    <row r="583">
      <c r="A583" s="246"/>
      <c r="B583" s="246"/>
      <c r="C583" s="246"/>
      <c r="D583" s="246"/>
      <c r="E583" s="246"/>
      <c r="F583" s="246"/>
      <c r="G583" s="246"/>
      <c r="H583" s="246"/>
      <c r="I583" s="246"/>
      <c r="J583" s="246"/>
      <c r="K583" s="246"/>
      <c r="L583" s="246"/>
      <c r="M583" s="246"/>
      <c r="N583" s="252"/>
      <c r="O583" s="246"/>
      <c r="P583" s="246"/>
      <c r="Q583" s="246"/>
      <c r="R583" s="246"/>
      <c r="S583" s="246"/>
      <c r="T583" s="246"/>
      <c r="U583" s="246"/>
      <c r="V583" s="246"/>
      <c r="W583" s="246"/>
      <c r="X583" s="246"/>
      <c r="Y583" s="246"/>
      <c r="Z583" s="246"/>
    </row>
    <row r="584">
      <c r="A584" s="246"/>
      <c r="B584" s="246"/>
      <c r="C584" s="246"/>
      <c r="D584" s="246"/>
      <c r="E584" s="246"/>
      <c r="F584" s="246"/>
      <c r="G584" s="246"/>
      <c r="H584" s="246"/>
      <c r="I584" s="246"/>
      <c r="J584" s="246"/>
      <c r="K584" s="246"/>
      <c r="L584" s="246"/>
      <c r="M584" s="246"/>
      <c r="N584" s="252"/>
      <c r="O584" s="246"/>
      <c r="P584" s="246"/>
      <c r="Q584" s="246"/>
      <c r="R584" s="246"/>
      <c r="S584" s="246"/>
      <c r="T584" s="246"/>
      <c r="U584" s="246"/>
      <c r="V584" s="246"/>
      <c r="W584" s="246"/>
      <c r="X584" s="246"/>
      <c r="Y584" s="246"/>
      <c r="Z584" s="246"/>
    </row>
    <row r="585">
      <c r="A585" s="246"/>
      <c r="B585" s="246"/>
      <c r="C585" s="246"/>
      <c r="D585" s="246"/>
      <c r="E585" s="246"/>
      <c r="F585" s="246"/>
      <c r="G585" s="246"/>
      <c r="H585" s="246"/>
      <c r="I585" s="246"/>
      <c r="J585" s="246"/>
      <c r="K585" s="246"/>
      <c r="L585" s="246"/>
      <c r="M585" s="246"/>
      <c r="N585" s="252"/>
      <c r="O585" s="246"/>
      <c r="P585" s="246"/>
      <c r="Q585" s="246"/>
      <c r="R585" s="246"/>
      <c r="S585" s="246"/>
      <c r="T585" s="246"/>
      <c r="U585" s="246"/>
      <c r="V585" s="246"/>
      <c r="W585" s="246"/>
      <c r="X585" s="246"/>
      <c r="Y585" s="246"/>
      <c r="Z585" s="246"/>
    </row>
    <row r="586">
      <c r="A586" s="246"/>
      <c r="B586" s="246"/>
      <c r="C586" s="246"/>
      <c r="D586" s="246"/>
      <c r="E586" s="246"/>
      <c r="F586" s="246"/>
      <c r="G586" s="246"/>
      <c r="H586" s="246"/>
      <c r="I586" s="246"/>
      <c r="J586" s="246"/>
      <c r="K586" s="246"/>
      <c r="L586" s="246"/>
      <c r="M586" s="246"/>
      <c r="N586" s="252"/>
      <c r="O586" s="246"/>
      <c r="P586" s="246"/>
      <c r="Q586" s="246"/>
      <c r="R586" s="246"/>
      <c r="S586" s="246"/>
      <c r="T586" s="246"/>
      <c r="U586" s="246"/>
      <c r="V586" s="246"/>
      <c r="W586" s="246"/>
      <c r="X586" s="246"/>
      <c r="Y586" s="246"/>
      <c r="Z586" s="246"/>
    </row>
    <row r="587">
      <c r="A587" s="246"/>
      <c r="B587" s="246"/>
      <c r="C587" s="246"/>
      <c r="D587" s="246"/>
      <c r="E587" s="246"/>
      <c r="F587" s="246"/>
      <c r="G587" s="246"/>
      <c r="H587" s="246"/>
      <c r="I587" s="246"/>
      <c r="J587" s="246"/>
      <c r="K587" s="246"/>
      <c r="L587" s="246"/>
      <c r="M587" s="246"/>
      <c r="N587" s="252"/>
      <c r="O587" s="246"/>
      <c r="P587" s="246"/>
      <c r="Q587" s="246"/>
      <c r="R587" s="246"/>
      <c r="S587" s="246"/>
      <c r="T587" s="246"/>
      <c r="U587" s="246"/>
      <c r="V587" s="246"/>
      <c r="W587" s="246"/>
      <c r="X587" s="246"/>
      <c r="Y587" s="246"/>
      <c r="Z587" s="246"/>
    </row>
    <row r="588">
      <c r="A588" s="246"/>
      <c r="B588" s="246"/>
      <c r="C588" s="246"/>
      <c r="D588" s="246"/>
      <c r="E588" s="246"/>
      <c r="F588" s="246"/>
      <c r="G588" s="246"/>
      <c r="H588" s="246"/>
      <c r="I588" s="246"/>
      <c r="J588" s="246"/>
      <c r="K588" s="246"/>
      <c r="L588" s="246"/>
      <c r="M588" s="246"/>
      <c r="N588" s="252"/>
      <c r="O588" s="246"/>
      <c r="P588" s="246"/>
      <c r="Q588" s="246"/>
      <c r="R588" s="246"/>
      <c r="S588" s="246"/>
      <c r="T588" s="246"/>
      <c r="U588" s="246"/>
      <c r="V588" s="246"/>
      <c r="W588" s="246"/>
      <c r="X588" s="246"/>
      <c r="Y588" s="246"/>
      <c r="Z588" s="246"/>
    </row>
    <row r="589">
      <c r="A589" s="246"/>
      <c r="B589" s="246"/>
      <c r="C589" s="246"/>
      <c r="D589" s="246"/>
      <c r="E589" s="246"/>
      <c r="F589" s="246"/>
      <c r="G589" s="246"/>
      <c r="H589" s="246"/>
      <c r="I589" s="246"/>
      <c r="J589" s="246"/>
      <c r="K589" s="246"/>
      <c r="L589" s="246"/>
      <c r="M589" s="246"/>
      <c r="N589" s="252"/>
      <c r="O589" s="246"/>
      <c r="P589" s="246"/>
      <c r="Q589" s="246"/>
      <c r="R589" s="246"/>
      <c r="S589" s="246"/>
      <c r="T589" s="246"/>
      <c r="U589" s="246"/>
      <c r="V589" s="246"/>
      <c r="W589" s="246"/>
      <c r="X589" s="246"/>
      <c r="Y589" s="246"/>
      <c r="Z589" s="246"/>
    </row>
    <row r="590">
      <c r="A590" s="246"/>
      <c r="B590" s="246"/>
      <c r="C590" s="246"/>
      <c r="D590" s="246"/>
      <c r="E590" s="246"/>
      <c r="F590" s="246"/>
      <c r="G590" s="246"/>
      <c r="H590" s="246"/>
      <c r="I590" s="246"/>
      <c r="J590" s="246"/>
      <c r="K590" s="246"/>
      <c r="L590" s="246"/>
      <c r="M590" s="246"/>
      <c r="N590" s="252"/>
      <c r="O590" s="246"/>
      <c r="P590" s="246"/>
      <c r="Q590" s="246"/>
      <c r="R590" s="246"/>
      <c r="S590" s="246"/>
      <c r="T590" s="246"/>
      <c r="U590" s="246"/>
      <c r="V590" s="246"/>
      <c r="W590" s="246"/>
      <c r="X590" s="246"/>
      <c r="Y590" s="246"/>
      <c r="Z590" s="246"/>
    </row>
    <row r="591">
      <c r="A591" s="246"/>
      <c r="B591" s="246"/>
      <c r="C591" s="246"/>
      <c r="D591" s="246"/>
      <c r="E591" s="246"/>
      <c r="F591" s="246"/>
      <c r="G591" s="246"/>
      <c r="H591" s="246"/>
      <c r="I591" s="246"/>
      <c r="J591" s="246"/>
      <c r="K591" s="246"/>
      <c r="L591" s="246"/>
      <c r="M591" s="246"/>
      <c r="N591" s="252"/>
      <c r="O591" s="246"/>
      <c r="P591" s="246"/>
      <c r="Q591" s="246"/>
      <c r="R591" s="246"/>
      <c r="S591" s="246"/>
      <c r="T591" s="246"/>
      <c r="U591" s="246"/>
      <c r="V591" s="246"/>
      <c r="W591" s="246"/>
      <c r="X591" s="246"/>
      <c r="Y591" s="246"/>
      <c r="Z591" s="246"/>
    </row>
    <row r="592">
      <c r="A592" s="246"/>
      <c r="B592" s="246"/>
      <c r="C592" s="246"/>
      <c r="D592" s="246"/>
      <c r="E592" s="246"/>
      <c r="F592" s="246"/>
      <c r="G592" s="246"/>
      <c r="H592" s="246"/>
      <c r="I592" s="246"/>
      <c r="J592" s="246"/>
      <c r="K592" s="246"/>
      <c r="L592" s="246"/>
      <c r="M592" s="246"/>
      <c r="N592" s="252"/>
      <c r="O592" s="246"/>
      <c r="P592" s="246"/>
      <c r="Q592" s="246"/>
      <c r="R592" s="246"/>
      <c r="S592" s="246"/>
      <c r="T592" s="246"/>
      <c r="U592" s="246"/>
      <c r="V592" s="246"/>
      <c r="W592" s="246"/>
      <c r="X592" s="246"/>
      <c r="Y592" s="246"/>
      <c r="Z592" s="246"/>
    </row>
    <row r="593">
      <c r="A593" s="246"/>
      <c r="B593" s="246"/>
      <c r="C593" s="246"/>
      <c r="D593" s="246"/>
      <c r="E593" s="246"/>
      <c r="F593" s="246"/>
      <c r="G593" s="246"/>
      <c r="H593" s="246"/>
      <c r="I593" s="246"/>
      <c r="J593" s="246"/>
      <c r="K593" s="246"/>
      <c r="L593" s="246"/>
      <c r="M593" s="246"/>
      <c r="N593" s="252"/>
      <c r="O593" s="246"/>
      <c r="P593" s="246"/>
      <c r="Q593" s="246"/>
      <c r="R593" s="246"/>
      <c r="S593" s="246"/>
      <c r="T593" s="246"/>
      <c r="U593" s="246"/>
      <c r="V593" s="246"/>
      <c r="W593" s="246"/>
      <c r="X593" s="246"/>
      <c r="Y593" s="246"/>
      <c r="Z593" s="246"/>
    </row>
    <row r="594">
      <c r="A594" s="246"/>
      <c r="B594" s="246"/>
      <c r="C594" s="246"/>
      <c r="D594" s="246"/>
      <c r="E594" s="246"/>
      <c r="F594" s="246"/>
      <c r="G594" s="246"/>
      <c r="H594" s="246"/>
      <c r="I594" s="246"/>
      <c r="J594" s="246"/>
      <c r="K594" s="246"/>
      <c r="L594" s="246"/>
      <c r="M594" s="246"/>
      <c r="N594" s="252"/>
      <c r="O594" s="246"/>
      <c r="P594" s="246"/>
      <c r="Q594" s="246"/>
      <c r="R594" s="246"/>
      <c r="S594" s="246"/>
      <c r="T594" s="246"/>
      <c r="U594" s="246"/>
      <c r="V594" s="246"/>
      <c r="W594" s="246"/>
      <c r="X594" s="246"/>
      <c r="Y594" s="246"/>
      <c r="Z594" s="246"/>
    </row>
    <row r="595">
      <c r="A595" s="246"/>
      <c r="B595" s="246"/>
      <c r="C595" s="246"/>
      <c r="D595" s="246"/>
      <c r="E595" s="246"/>
      <c r="F595" s="246"/>
      <c r="G595" s="246"/>
      <c r="H595" s="246"/>
      <c r="I595" s="246"/>
      <c r="J595" s="246"/>
      <c r="K595" s="246"/>
      <c r="L595" s="246"/>
      <c r="M595" s="246"/>
      <c r="N595" s="252"/>
      <c r="O595" s="246"/>
      <c r="P595" s="246"/>
      <c r="Q595" s="246"/>
      <c r="R595" s="246"/>
      <c r="S595" s="246"/>
      <c r="T595" s="246"/>
      <c r="U595" s="246"/>
      <c r="V595" s="246"/>
      <c r="W595" s="246"/>
      <c r="X595" s="246"/>
      <c r="Y595" s="246"/>
      <c r="Z595" s="246"/>
    </row>
    <row r="596">
      <c r="A596" s="246"/>
      <c r="B596" s="246"/>
      <c r="C596" s="246"/>
      <c r="D596" s="246"/>
      <c r="E596" s="246"/>
      <c r="F596" s="246"/>
      <c r="G596" s="246"/>
      <c r="H596" s="246"/>
      <c r="I596" s="246"/>
      <c r="J596" s="246"/>
      <c r="K596" s="246"/>
      <c r="L596" s="246"/>
      <c r="M596" s="246"/>
      <c r="N596" s="252"/>
      <c r="O596" s="246"/>
      <c r="P596" s="246"/>
      <c r="Q596" s="246"/>
      <c r="R596" s="246"/>
      <c r="S596" s="246"/>
      <c r="T596" s="246"/>
      <c r="U596" s="246"/>
      <c r="V596" s="246"/>
      <c r="W596" s="246"/>
      <c r="X596" s="246"/>
      <c r="Y596" s="246"/>
      <c r="Z596" s="246"/>
    </row>
    <row r="597">
      <c r="A597" s="246"/>
      <c r="B597" s="246"/>
      <c r="C597" s="246"/>
      <c r="D597" s="246"/>
      <c r="E597" s="246"/>
      <c r="F597" s="246"/>
      <c r="G597" s="246"/>
      <c r="H597" s="246"/>
      <c r="I597" s="246"/>
      <c r="J597" s="246"/>
      <c r="K597" s="246"/>
      <c r="L597" s="246"/>
      <c r="M597" s="246"/>
      <c r="N597" s="252"/>
      <c r="O597" s="246"/>
      <c r="P597" s="246"/>
      <c r="Q597" s="246"/>
      <c r="R597" s="246"/>
      <c r="S597" s="246"/>
      <c r="T597" s="246"/>
      <c r="U597" s="246"/>
      <c r="V597" s="246"/>
      <c r="W597" s="246"/>
      <c r="X597" s="246"/>
      <c r="Y597" s="246"/>
      <c r="Z597" s="246"/>
    </row>
    <row r="598">
      <c r="A598" s="246"/>
      <c r="B598" s="246"/>
      <c r="C598" s="246"/>
      <c r="D598" s="246"/>
      <c r="E598" s="246"/>
      <c r="F598" s="246"/>
      <c r="G598" s="246"/>
      <c r="H598" s="246"/>
      <c r="I598" s="246"/>
      <c r="J598" s="246"/>
      <c r="K598" s="246"/>
      <c r="L598" s="246"/>
      <c r="M598" s="246"/>
      <c r="N598" s="252"/>
      <c r="O598" s="246"/>
      <c r="P598" s="246"/>
      <c r="Q598" s="246"/>
      <c r="R598" s="246"/>
      <c r="S598" s="246"/>
      <c r="T598" s="246"/>
      <c r="U598" s="246"/>
      <c r="V598" s="246"/>
      <c r="W598" s="246"/>
      <c r="X598" s="246"/>
      <c r="Y598" s="246"/>
      <c r="Z598" s="246"/>
    </row>
    <row r="599">
      <c r="A599" s="246"/>
      <c r="B599" s="246"/>
      <c r="C599" s="246"/>
      <c r="D599" s="246"/>
      <c r="E599" s="246"/>
      <c r="F599" s="246"/>
      <c r="G599" s="246"/>
      <c r="H599" s="246"/>
      <c r="I599" s="246"/>
      <c r="J599" s="246"/>
      <c r="K599" s="246"/>
      <c r="L599" s="246"/>
      <c r="M599" s="246"/>
      <c r="N599" s="252"/>
      <c r="O599" s="246"/>
      <c r="P599" s="246"/>
      <c r="Q599" s="246"/>
      <c r="R599" s="246"/>
      <c r="S599" s="246"/>
      <c r="T599" s="246"/>
      <c r="U599" s="246"/>
      <c r="V599" s="246"/>
      <c r="W599" s="246"/>
      <c r="X599" s="246"/>
      <c r="Y599" s="246"/>
      <c r="Z599" s="246"/>
    </row>
    <row r="600">
      <c r="A600" s="246"/>
      <c r="B600" s="246"/>
      <c r="C600" s="246"/>
      <c r="D600" s="246"/>
      <c r="E600" s="246"/>
      <c r="F600" s="246"/>
      <c r="G600" s="246"/>
      <c r="H600" s="246"/>
      <c r="I600" s="246"/>
      <c r="J600" s="246"/>
      <c r="K600" s="246"/>
      <c r="L600" s="246"/>
      <c r="M600" s="246"/>
      <c r="N600" s="252"/>
      <c r="O600" s="246"/>
      <c r="P600" s="246"/>
      <c r="Q600" s="246"/>
      <c r="R600" s="246"/>
      <c r="S600" s="246"/>
      <c r="T600" s="246"/>
      <c r="U600" s="246"/>
      <c r="V600" s="246"/>
      <c r="W600" s="246"/>
      <c r="X600" s="246"/>
      <c r="Y600" s="246"/>
      <c r="Z600" s="246"/>
    </row>
    <row r="601">
      <c r="A601" s="246"/>
      <c r="B601" s="246"/>
      <c r="C601" s="246"/>
      <c r="D601" s="246"/>
      <c r="E601" s="246"/>
      <c r="F601" s="246"/>
      <c r="G601" s="246"/>
      <c r="H601" s="246"/>
      <c r="I601" s="246"/>
      <c r="J601" s="246"/>
      <c r="K601" s="246"/>
      <c r="L601" s="246"/>
      <c r="M601" s="246"/>
      <c r="N601" s="252"/>
      <c r="O601" s="246"/>
      <c r="P601" s="246"/>
      <c r="Q601" s="246"/>
      <c r="R601" s="246"/>
      <c r="S601" s="246"/>
      <c r="T601" s="246"/>
      <c r="U601" s="246"/>
      <c r="V601" s="246"/>
      <c r="W601" s="246"/>
      <c r="X601" s="246"/>
      <c r="Y601" s="246"/>
      <c r="Z601" s="246"/>
    </row>
    <row r="602">
      <c r="A602" s="246"/>
      <c r="B602" s="246"/>
      <c r="C602" s="246"/>
      <c r="D602" s="246"/>
      <c r="E602" s="246"/>
      <c r="F602" s="246"/>
      <c r="G602" s="246"/>
      <c r="H602" s="246"/>
      <c r="I602" s="246"/>
      <c r="J602" s="246"/>
      <c r="K602" s="246"/>
      <c r="L602" s="246"/>
      <c r="M602" s="246"/>
      <c r="N602" s="252"/>
      <c r="O602" s="246"/>
      <c r="P602" s="246"/>
      <c r="Q602" s="246"/>
      <c r="R602" s="246"/>
      <c r="S602" s="246"/>
      <c r="T602" s="246"/>
      <c r="U602" s="246"/>
      <c r="V602" s="246"/>
      <c r="W602" s="246"/>
      <c r="X602" s="246"/>
      <c r="Y602" s="246"/>
      <c r="Z602" s="246"/>
    </row>
    <row r="603">
      <c r="A603" s="246"/>
      <c r="B603" s="246"/>
      <c r="C603" s="246"/>
      <c r="D603" s="246"/>
      <c r="E603" s="246"/>
      <c r="F603" s="246"/>
      <c r="G603" s="246"/>
      <c r="H603" s="246"/>
      <c r="I603" s="246"/>
      <c r="J603" s="246"/>
      <c r="K603" s="246"/>
      <c r="L603" s="246"/>
      <c r="M603" s="246"/>
      <c r="N603" s="252"/>
      <c r="O603" s="246"/>
      <c r="P603" s="246"/>
      <c r="Q603" s="246"/>
      <c r="R603" s="246"/>
      <c r="S603" s="246"/>
      <c r="T603" s="246"/>
      <c r="U603" s="246"/>
      <c r="V603" s="246"/>
      <c r="W603" s="246"/>
      <c r="X603" s="246"/>
      <c r="Y603" s="246"/>
      <c r="Z603" s="246"/>
    </row>
    <row r="604">
      <c r="A604" s="246"/>
      <c r="B604" s="246"/>
      <c r="C604" s="246"/>
      <c r="D604" s="246"/>
      <c r="E604" s="246"/>
      <c r="F604" s="246"/>
      <c r="G604" s="246"/>
      <c r="H604" s="246"/>
      <c r="I604" s="246"/>
      <c r="J604" s="246"/>
      <c r="K604" s="246"/>
      <c r="L604" s="246"/>
      <c r="M604" s="246"/>
      <c r="N604" s="252"/>
      <c r="O604" s="246"/>
      <c r="P604" s="246"/>
      <c r="Q604" s="246"/>
      <c r="R604" s="246"/>
      <c r="S604" s="246"/>
      <c r="T604" s="246"/>
      <c r="U604" s="246"/>
      <c r="V604" s="246"/>
      <c r="W604" s="246"/>
      <c r="X604" s="246"/>
      <c r="Y604" s="246"/>
      <c r="Z604" s="246"/>
    </row>
    <row r="605">
      <c r="A605" s="246"/>
      <c r="B605" s="246"/>
      <c r="C605" s="246"/>
      <c r="D605" s="246"/>
      <c r="E605" s="246"/>
      <c r="F605" s="246"/>
      <c r="G605" s="246"/>
      <c r="H605" s="246"/>
      <c r="I605" s="246"/>
      <c r="J605" s="246"/>
      <c r="K605" s="246"/>
      <c r="L605" s="246"/>
      <c r="M605" s="246"/>
      <c r="N605" s="252"/>
      <c r="O605" s="246"/>
      <c r="P605" s="246"/>
      <c r="Q605" s="246"/>
      <c r="R605" s="246"/>
      <c r="S605" s="246"/>
      <c r="T605" s="246"/>
      <c r="U605" s="246"/>
      <c r="V605" s="246"/>
      <c r="W605" s="246"/>
      <c r="X605" s="246"/>
      <c r="Y605" s="246"/>
      <c r="Z605" s="246"/>
    </row>
    <row r="606">
      <c r="A606" s="246"/>
      <c r="B606" s="246"/>
      <c r="C606" s="246"/>
      <c r="D606" s="246"/>
      <c r="E606" s="246"/>
      <c r="F606" s="246"/>
      <c r="G606" s="246"/>
      <c r="H606" s="246"/>
      <c r="I606" s="246"/>
      <c r="J606" s="246"/>
      <c r="K606" s="246"/>
      <c r="L606" s="246"/>
      <c r="M606" s="246"/>
      <c r="N606" s="252"/>
      <c r="O606" s="246"/>
      <c r="P606" s="246"/>
      <c r="Q606" s="246"/>
      <c r="R606" s="246"/>
      <c r="S606" s="246"/>
      <c r="T606" s="246"/>
      <c r="U606" s="246"/>
      <c r="V606" s="246"/>
      <c r="W606" s="246"/>
      <c r="X606" s="246"/>
      <c r="Y606" s="246"/>
      <c r="Z606" s="246"/>
    </row>
    <row r="607">
      <c r="A607" s="246"/>
      <c r="B607" s="246"/>
      <c r="C607" s="246"/>
      <c r="D607" s="246"/>
      <c r="E607" s="246"/>
      <c r="F607" s="246"/>
      <c r="G607" s="246"/>
      <c r="H607" s="246"/>
      <c r="I607" s="246"/>
      <c r="J607" s="246"/>
      <c r="K607" s="246"/>
      <c r="L607" s="246"/>
      <c r="M607" s="246"/>
      <c r="N607" s="252"/>
      <c r="O607" s="246"/>
      <c r="P607" s="246"/>
      <c r="Q607" s="246"/>
      <c r="R607" s="246"/>
      <c r="S607" s="246"/>
      <c r="T607" s="246"/>
      <c r="U607" s="246"/>
      <c r="V607" s="246"/>
      <c r="W607" s="246"/>
      <c r="X607" s="246"/>
      <c r="Y607" s="246"/>
      <c r="Z607" s="246"/>
    </row>
    <row r="608">
      <c r="A608" s="246"/>
      <c r="B608" s="246"/>
      <c r="C608" s="246"/>
      <c r="D608" s="246"/>
      <c r="E608" s="246"/>
      <c r="F608" s="246"/>
      <c r="G608" s="246"/>
      <c r="H608" s="246"/>
      <c r="I608" s="246"/>
      <c r="J608" s="246"/>
      <c r="K608" s="246"/>
      <c r="L608" s="246"/>
      <c r="M608" s="246"/>
      <c r="N608" s="252"/>
      <c r="O608" s="246"/>
      <c r="P608" s="246"/>
      <c r="Q608" s="246"/>
      <c r="R608" s="246"/>
      <c r="S608" s="246"/>
      <c r="T608" s="246"/>
      <c r="U608" s="246"/>
      <c r="V608" s="246"/>
      <c r="W608" s="246"/>
      <c r="X608" s="246"/>
      <c r="Y608" s="246"/>
      <c r="Z608" s="246"/>
    </row>
    <row r="609">
      <c r="A609" s="246"/>
      <c r="B609" s="246"/>
      <c r="C609" s="246"/>
      <c r="D609" s="246"/>
      <c r="E609" s="246"/>
      <c r="F609" s="246"/>
      <c r="G609" s="246"/>
      <c r="H609" s="246"/>
      <c r="I609" s="246"/>
      <c r="J609" s="246"/>
      <c r="K609" s="246"/>
      <c r="L609" s="246"/>
      <c r="M609" s="246"/>
      <c r="N609" s="252"/>
      <c r="O609" s="246"/>
      <c r="P609" s="246"/>
      <c r="Q609" s="246"/>
      <c r="R609" s="246"/>
      <c r="S609" s="246"/>
      <c r="T609" s="246"/>
      <c r="U609" s="246"/>
      <c r="V609" s="246"/>
      <c r="W609" s="246"/>
      <c r="X609" s="246"/>
      <c r="Y609" s="246"/>
      <c r="Z609" s="246"/>
    </row>
    <row r="610">
      <c r="A610" s="246"/>
      <c r="B610" s="246"/>
      <c r="C610" s="246"/>
      <c r="D610" s="246"/>
      <c r="E610" s="246"/>
      <c r="F610" s="246"/>
      <c r="G610" s="246"/>
      <c r="H610" s="246"/>
      <c r="I610" s="246"/>
      <c r="J610" s="246"/>
      <c r="K610" s="246"/>
      <c r="L610" s="246"/>
      <c r="M610" s="246"/>
      <c r="N610" s="252"/>
      <c r="O610" s="246"/>
      <c r="P610" s="246"/>
      <c r="Q610" s="246"/>
      <c r="R610" s="246"/>
      <c r="S610" s="246"/>
      <c r="T610" s="246"/>
      <c r="U610" s="246"/>
      <c r="V610" s="246"/>
      <c r="W610" s="246"/>
      <c r="X610" s="246"/>
      <c r="Y610" s="246"/>
      <c r="Z610" s="246"/>
    </row>
    <row r="611">
      <c r="A611" s="246"/>
      <c r="B611" s="246"/>
      <c r="C611" s="246"/>
      <c r="D611" s="246"/>
      <c r="E611" s="246"/>
      <c r="F611" s="246"/>
      <c r="G611" s="246"/>
      <c r="H611" s="246"/>
      <c r="I611" s="246"/>
      <c r="J611" s="246"/>
      <c r="K611" s="246"/>
      <c r="L611" s="246"/>
      <c r="M611" s="246"/>
      <c r="N611" s="252"/>
      <c r="O611" s="246"/>
      <c r="P611" s="246"/>
      <c r="Q611" s="246"/>
      <c r="R611" s="246"/>
      <c r="S611" s="246"/>
      <c r="T611" s="246"/>
      <c r="U611" s="246"/>
      <c r="V611" s="246"/>
      <c r="W611" s="246"/>
      <c r="X611" s="246"/>
      <c r="Y611" s="246"/>
      <c r="Z611" s="246"/>
    </row>
    <row r="612">
      <c r="A612" s="246"/>
      <c r="B612" s="246"/>
      <c r="C612" s="246"/>
      <c r="D612" s="246"/>
      <c r="E612" s="246"/>
      <c r="F612" s="246"/>
      <c r="G612" s="246"/>
      <c r="H612" s="246"/>
      <c r="I612" s="246"/>
      <c r="J612" s="246"/>
      <c r="K612" s="246"/>
      <c r="L612" s="246"/>
      <c r="M612" s="246"/>
      <c r="N612" s="252"/>
      <c r="O612" s="246"/>
      <c r="P612" s="246"/>
      <c r="Q612" s="246"/>
      <c r="R612" s="246"/>
      <c r="S612" s="246"/>
      <c r="T612" s="246"/>
      <c r="U612" s="246"/>
      <c r="V612" s="246"/>
      <c r="W612" s="246"/>
      <c r="X612" s="246"/>
      <c r="Y612" s="246"/>
      <c r="Z612" s="246"/>
    </row>
    <row r="613">
      <c r="A613" s="246"/>
      <c r="B613" s="246"/>
      <c r="C613" s="246"/>
      <c r="D613" s="246"/>
      <c r="E613" s="246"/>
      <c r="F613" s="246"/>
      <c r="G613" s="246"/>
      <c r="H613" s="246"/>
      <c r="I613" s="246"/>
      <c r="J613" s="246"/>
      <c r="K613" s="246"/>
      <c r="L613" s="246"/>
      <c r="M613" s="246"/>
      <c r="N613" s="252"/>
      <c r="O613" s="246"/>
      <c r="P613" s="246"/>
      <c r="Q613" s="246"/>
      <c r="R613" s="246"/>
      <c r="S613" s="246"/>
      <c r="T613" s="246"/>
      <c r="U613" s="246"/>
      <c r="V613" s="246"/>
      <c r="W613" s="246"/>
      <c r="X613" s="246"/>
      <c r="Y613" s="246"/>
      <c r="Z613" s="246"/>
    </row>
    <row r="614">
      <c r="A614" s="246"/>
      <c r="B614" s="246"/>
      <c r="C614" s="246"/>
      <c r="D614" s="246"/>
      <c r="E614" s="246"/>
      <c r="F614" s="246"/>
      <c r="G614" s="246"/>
      <c r="H614" s="246"/>
      <c r="I614" s="246"/>
      <c r="J614" s="246"/>
      <c r="K614" s="246"/>
      <c r="L614" s="246"/>
      <c r="M614" s="246"/>
      <c r="N614" s="252"/>
      <c r="O614" s="246"/>
      <c r="P614" s="246"/>
      <c r="Q614" s="246"/>
      <c r="R614" s="246"/>
      <c r="S614" s="246"/>
      <c r="T614" s="246"/>
      <c r="U614" s="246"/>
      <c r="V614" s="246"/>
      <c r="W614" s="246"/>
      <c r="X614" s="246"/>
      <c r="Y614" s="246"/>
      <c r="Z614" s="246"/>
    </row>
    <row r="615">
      <c r="A615" s="246"/>
      <c r="B615" s="246"/>
      <c r="C615" s="246"/>
      <c r="D615" s="246"/>
      <c r="E615" s="246"/>
      <c r="F615" s="246"/>
      <c r="G615" s="246"/>
      <c r="H615" s="246"/>
      <c r="I615" s="246"/>
      <c r="J615" s="246"/>
      <c r="K615" s="246"/>
      <c r="L615" s="246"/>
      <c r="M615" s="246"/>
      <c r="N615" s="252"/>
      <c r="O615" s="246"/>
      <c r="P615" s="246"/>
      <c r="Q615" s="246"/>
      <c r="R615" s="246"/>
      <c r="S615" s="246"/>
      <c r="T615" s="246"/>
      <c r="U615" s="246"/>
      <c r="V615" s="246"/>
      <c r="W615" s="246"/>
      <c r="X615" s="246"/>
      <c r="Y615" s="246"/>
      <c r="Z615" s="246"/>
    </row>
    <row r="616">
      <c r="A616" s="246"/>
      <c r="B616" s="246"/>
      <c r="C616" s="246"/>
      <c r="D616" s="246"/>
      <c r="E616" s="246"/>
      <c r="F616" s="246"/>
      <c r="G616" s="246"/>
      <c r="H616" s="246"/>
      <c r="I616" s="246"/>
      <c r="J616" s="246"/>
      <c r="K616" s="246"/>
      <c r="L616" s="246"/>
      <c r="M616" s="246"/>
      <c r="N616" s="252"/>
      <c r="O616" s="246"/>
      <c r="P616" s="246"/>
      <c r="Q616" s="246"/>
      <c r="R616" s="246"/>
      <c r="S616" s="246"/>
      <c r="T616" s="246"/>
      <c r="U616" s="246"/>
      <c r="V616" s="246"/>
      <c r="W616" s="246"/>
      <c r="X616" s="246"/>
      <c r="Y616" s="246"/>
      <c r="Z616" s="246"/>
    </row>
    <row r="617">
      <c r="A617" s="246"/>
      <c r="B617" s="246"/>
      <c r="C617" s="246"/>
      <c r="D617" s="246"/>
      <c r="E617" s="246"/>
      <c r="F617" s="246"/>
      <c r="G617" s="246"/>
      <c r="H617" s="246"/>
      <c r="I617" s="246"/>
      <c r="J617" s="246"/>
      <c r="K617" s="246"/>
      <c r="L617" s="246"/>
      <c r="M617" s="246"/>
      <c r="N617" s="252"/>
      <c r="O617" s="246"/>
      <c r="P617" s="246"/>
      <c r="Q617" s="246"/>
      <c r="R617" s="246"/>
      <c r="S617" s="246"/>
      <c r="T617" s="246"/>
      <c r="U617" s="246"/>
      <c r="V617" s="246"/>
      <c r="W617" s="246"/>
      <c r="X617" s="246"/>
      <c r="Y617" s="246"/>
      <c r="Z617" s="246"/>
    </row>
    <row r="618">
      <c r="A618" s="246"/>
      <c r="B618" s="246"/>
      <c r="C618" s="246"/>
      <c r="D618" s="246"/>
      <c r="E618" s="246"/>
      <c r="F618" s="246"/>
      <c r="G618" s="246"/>
      <c r="H618" s="246"/>
      <c r="I618" s="246"/>
      <c r="J618" s="246"/>
      <c r="K618" s="246"/>
      <c r="L618" s="246"/>
      <c r="M618" s="246"/>
      <c r="N618" s="252"/>
      <c r="O618" s="246"/>
      <c r="P618" s="246"/>
      <c r="Q618" s="246"/>
      <c r="R618" s="246"/>
      <c r="S618" s="246"/>
      <c r="T618" s="246"/>
      <c r="U618" s="246"/>
      <c r="V618" s="246"/>
      <c r="W618" s="246"/>
      <c r="X618" s="246"/>
      <c r="Y618" s="246"/>
      <c r="Z618" s="246"/>
    </row>
    <row r="619">
      <c r="A619" s="246"/>
      <c r="B619" s="246"/>
      <c r="C619" s="246"/>
      <c r="D619" s="246"/>
      <c r="E619" s="246"/>
      <c r="F619" s="246"/>
      <c r="G619" s="246"/>
      <c r="H619" s="246"/>
      <c r="I619" s="246"/>
      <c r="J619" s="246"/>
      <c r="K619" s="246"/>
      <c r="L619" s="246"/>
      <c r="M619" s="246"/>
      <c r="N619" s="252"/>
      <c r="O619" s="246"/>
      <c r="P619" s="246"/>
      <c r="Q619" s="246"/>
      <c r="R619" s="246"/>
      <c r="S619" s="246"/>
      <c r="T619" s="246"/>
      <c r="U619" s="246"/>
      <c r="V619" s="246"/>
      <c r="W619" s="246"/>
      <c r="X619" s="246"/>
      <c r="Y619" s="246"/>
      <c r="Z619" s="246"/>
    </row>
    <row r="620">
      <c r="A620" s="246"/>
      <c r="B620" s="246"/>
      <c r="C620" s="246"/>
      <c r="D620" s="246"/>
      <c r="E620" s="246"/>
      <c r="F620" s="246"/>
      <c r="G620" s="246"/>
      <c r="H620" s="246"/>
      <c r="I620" s="246"/>
      <c r="J620" s="246"/>
      <c r="K620" s="246"/>
      <c r="L620" s="246"/>
      <c r="M620" s="246"/>
      <c r="N620" s="252"/>
      <c r="O620" s="246"/>
      <c r="P620" s="246"/>
      <c r="Q620" s="246"/>
      <c r="R620" s="246"/>
      <c r="S620" s="246"/>
      <c r="T620" s="246"/>
      <c r="U620" s="246"/>
      <c r="V620" s="246"/>
      <c r="W620" s="246"/>
      <c r="X620" s="246"/>
      <c r="Y620" s="246"/>
      <c r="Z620" s="246"/>
    </row>
    <row r="621">
      <c r="A621" s="246"/>
      <c r="B621" s="246"/>
      <c r="C621" s="246"/>
      <c r="D621" s="246"/>
      <c r="E621" s="246"/>
      <c r="F621" s="246"/>
      <c r="G621" s="246"/>
      <c r="H621" s="246"/>
      <c r="I621" s="246"/>
      <c r="J621" s="246"/>
      <c r="K621" s="246"/>
      <c r="L621" s="246"/>
      <c r="M621" s="246"/>
      <c r="N621" s="252"/>
      <c r="O621" s="246"/>
      <c r="P621" s="246"/>
      <c r="Q621" s="246"/>
      <c r="R621" s="246"/>
      <c r="S621" s="246"/>
      <c r="T621" s="246"/>
      <c r="U621" s="246"/>
      <c r="V621" s="246"/>
      <c r="W621" s="246"/>
      <c r="X621" s="246"/>
      <c r="Y621" s="246"/>
      <c r="Z621" s="246"/>
    </row>
    <row r="622">
      <c r="A622" s="246"/>
      <c r="B622" s="246"/>
      <c r="C622" s="246"/>
      <c r="D622" s="246"/>
      <c r="E622" s="246"/>
      <c r="F622" s="246"/>
      <c r="G622" s="246"/>
      <c r="H622" s="246"/>
      <c r="I622" s="246"/>
      <c r="J622" s="246"/>
      <c r="K622" s="246"/>
      <c r="L622" s="246"/>
      <c r="M622" s="246"/>
      <c r="N622" s="252"/>
      <c r="O622" s="246"/>
      <c r="P622" s="246"/>
      <c r="Q622" s="246"/>
      <c r="R622" s="246"/>
      <c r="S622" s="246"/>
      <c r="T622" s="246"/>
      <c r="U622" s="246"/>
      <c r="V622" s="246"/>
      <c r="W622" s="246"/>
      <c r="X622" s="246"/>
      <c r="Y622" s="246"/>
      <c r="Z622" s="246"/>
    </row>
    <row r="623">
      <c r="A623" s="246"/>
      <c r="B623" s="246"/>
      <c r="C623" s="246"/>
      <c r="D623" s="246"/>
      <c r="E623" s="246"/>
      <c r="F623" s="246"/>
      <c r="G623" s="246"/>
      <c r="H623" s="246"/>
      <c r="I623" s="246"/>
      <c r="J623" s="246"/>
      <c r="K623" s="246"/>
      <c r="L623" s="246"/>
      <c r="M623" s="246"/>
      <c r="N623" s="252"/>
      <c r="O623" s="246"/>
      <c r="P623" s="246"/>
      <c r="Q623" s="246"/>
      <c r="R623" s="246"/>
      <c r="S623" s="246"/>
      <c r="T623" s="246"/>
      <c r="U623" s="246"/>
      <c r="V623" s="246"/>
      <c r="W623" s="246"/>
      <c r="X623" s="246"/>
      <c r="Y623" s="246"/>
      <c r="Z623" s="246"/>
    </row>
    <row r="624">
      <c r="A624" s="246"/>
      <c r="B624" s="246"/>
      <c r="C624" s="246"/>
      <c r="D624" s="246"/>
      <c r="E624" s="246"/>
      <c r="F624" s="246"/>
      <c r="G624" s="246"/>
      <c r="H624" s="246"/>
      <c r="I624" s="246"/>
      <c r="J624" s="246"/>
      <c r="K624" s="246"/>
      <c r="L624" s="246"/>
      <c r="M624" s="246"/>
      <c r="N624" s="252"/>
      <c r="O624" s="246"/>
      <c r="P624" s="246"/>
      <c r="Q624" s="246"/>
      <c r="R624" s="246"/>
      <c r="S624" s="246"/>
      <c r="T624" s="246"/>
      <c r="U624" s="246"/>
      <c r="V624" s="246"/>
      <c r="W624" s="246"/>
      <c r="X624" s="246"/>
      <c r="Y624" s="246"/>
      <c r="Z624" s="246"/>
    </row>
    <row r="625">
      <c r="A625" s="246"/>
      <c r="B625" s="246"/>
      <c r="C625" s="246"/>
      <c r="D625" s="246"/>
      <c r="E625" s="246"/>
      <c r="F625" s="246"/>
      <c r="G625" s="246"/>
      <c r="H625" s="246"/>
      <c r="I625" s="246"/>
      <c r="J625" s="246"/>
      <c r="K625" s="246"/>
      <c r="L625" s="246"/>
      <c r="M625" s="246"/>
      <c r="N625" s="252"/>
      <c r="O625" s="246"/>
      <c r="P625" s="246"/>
      <c r="Q625" s="246"/>
      <c r="R625" s="246"/>
      <c r="S625" s="246"/>
      <c r="T625" s="246"/>
      <c r="U625" s="246"/>
      <c r="V625" s="246"/>
      <c r="W625" s="246"/>
      <c r="X625" s="246"/>
      <c r="Y625" s="246"/>
      <c r="Z625" s="246"/>
    </row>
    <row r="626">
      <c r="A626" s="246"/>
      <c r="B626" s="246"/>
      <c r="C626" s="246"/>
      <c r="D626" s="246"/>
      <c r="E626" s="246"/>
      <c r="F626" s="246"/>
      <c r="G626" s="246"/>
      <c r="H626" s="246"/>
      <c r="I626" s="246"/>
      <c r="J626" s="246"/>
      <c r="K626" s="246"/>
      <c r="L626" s="246"/>
      <c r="M626" s="246"/>
      <c r="N626" s="252"/>
      <c r="O626" s="246"/>
      <c r="P626" s="246"/>
      <c r="Q626" s="246"/>
      <c r="R626" s="246"/>
      <c r="S626" s="246"/>
      <c r="T626" s="246"/>
      <c r="U626" s="246"/>
      <c r="V626" s="246"/>
      <c r="W626" s="246"/>
      <c r="X626" s="246"/>
      <c r="Y626" s="246"/>
      <c r="Z626" s="246"/>
    </row>
    <row r="627">
      <c r="A627" s="246"/>
      <c r="B627" s="246"/>
      <c r="C627" s="246"/>
      <c r="D627" s="246"/>
      <c r="E627" s="246"/>
      <c r="F627" s="246"/>
      <c r="G627" s="246"/>
      <c r="H627" s="246"/>
      <c r="I627" s="246"/>
      <c r="J627" s="246"/>
      <c r="K627" s="246"/>
      <c r="L627" s="246"/>
      <c r="M627" s="246"/>
      <c r="N627" s="252"/>
      <c r="O627" s="246"/>
      <c r="P627" s="246"/>
      <c r="Q627" s="246"/>
      <c r="R627" s="246"/>
      <c r="S627" s="246"/>
      <c r="T627" s="246"/>
      <c r="U627" s="246"/>
      <c r="V627" s="246"/>
      <c r="W627" s="246"/>
      <c r="X627" s="246"/>
      <c r="Y627" s="246"/>
      <c r="Z627" s="246"/>
    </row>
    <row r="628">
      <c r="A628" s="246"/>
      <c r="B628" s="246"/>
      <c r="C628" s="246"/>
      <c r="D628" s="246"/>
      <c r="E628" s="246"/>
      <c r="F628" s="246"/>
      <c r="G628" s="246"/>
      <c r="H628" s="246"/>
      <c r="I628" s="246"/>
      <c r="J628" s="246"/>
      <c r="K628" s="246"/>
      <c r="L628" s="246"/>
      <c r="M628" s="246"/>
      <c r="N628" s="252"/>
      <c r="O628" s="246"/>
      <c r="P628" s="246"/>
      <c r="Q628" s="246"/>
      <c r="R628" s="246"/>
      <c r="S628" s="246"/>
      <c r="T628" s="246"/>
      <c r="U628" s="246"/>
      <c r="V628" s="246"/>
      <c r="W628" s="246"/>
      <c r="X628" s="246"/>
      <c r="Y628" s="246"/>
      <c r="Z628" s="246"/>
    </row>
    <row r="629">
      <c r="A629" s="246"/>
      <c r="B629" s="246"/>
      <c r="C629" s="246"/>
      <c r="D629" s="246"/>
      <c r="E629" s="246"/>
      <c r="F629" s="246"/>
      <c r="G629" s="246"/>
      <c r="H629" s="246"/>
      <c r="I629" s="246"/>
      <c r="J629" s="246"/>
      <c r="K629" s="246"/>
      <c r="L629" s="246"/>
      <c r="M629" s="246"/>
      <c r="N629" s="252"/>
      <c r="O629" s="246"/>
      <c r="P629" s="246"/>
      <c r="Q629" s="246"/>
      <c r="R629" s="246"/>
      <c r="S629" s="246"/>
      <c r="T629" s="246"/>
      <c r="U629" s="246"/>
      <c r="V629" s="246"/>
      <c r="W629" s="246"/>
      <c r="X629" s="246"/>
      <c r="Y629" s="246"/>
      <c r="Z629" s="246"/>
    </row>
    <row r="630">
      <c r="A630" s="246"/>
      <c r="B630" s="246"/>
      <c r="C630" s="246"/>
      <c r="D630" s="246"/>
      <c r="E630" s="246"/>
      <c r="F630" s="246"/>
      <c r="G630" s="246"/>
      <c r="H630" s="246"/>
      <c r="I630" s="246"/>
      <c r="J630" s="246"/>
      <c r="K630" s="246"/>
      <c r="L630" s="246"/>
      <c r="M630" s="246"/>
      <c r="N630" s="252"/>
      <c r="O630" s="246"/>
      <c r="P630" s="246"/>
      <c r="Q630" s="246"/>
      <c r="R630" s="246"/>
      <c r="S630" s="246"/>
      <c r="T630" s="246"/>
      <c r="U630" s="246"/>
      <c r="V630" s="246"/>
      <c r="W630" s="246"/>
      <c r="X630" s="246"/>
      <c r="Y630" s="246"/>
      <c r="Z630" s="246"/>
    </row>
    <row r="631">
      <c r="A631" s="246"/>
      <c r="B631" s="246"/>
      <c r="C631" s="246"/>
      <c r="D631" s="246"/>
      <c r="E631" s="246"/>
      <c r="F631" s="246"/>
      <c r="G631" s="246"/>
      <c r="H631" s="246"/>
      <c r="I631" s="246"/>
      <c r="J631" s="246"/>
      <c r="K631" s="246"/>
      <c r="L631" s="246"/>
      <c r="M631" s="246"/>
      <c r="N631" s="252"/>
      <c r="O631" s="246"/>
      <c r="P631" s="246"/>
      <c r="Q631" s="246"/>
      <c r="R631" s="246"/>
      <c r="S631" s="246"/>
      <c r="T631" s="246"/>
      <c r="U631" s="246"/>
      <c r="V631" s="246"/>
      <c r="W631" s="246"/>
      <c r="X631" s="246"/>
      <c r="Y631" s="246"/>
      <c r="Z631" s="246"/>
    </row>
    <row r="632">
      <c r="A632" s="246"/>
      <c r="B632" s="246"/>
      <c r="C632" s="246"/>
      <c r="D632" s="246"/>
      <c r="E632" s="246"/>
      <c r="F632" s="246"/>
      <c r="G632" s="246"/>
      <c r="H632" s="246"/>
      <c r="I632" s="246"/>
      <c r="J632" s="246"/>
      <c r="K632" s="246"/>
      <c r="L632" s="246"/>
      <c r="M632" s="246"/>
      <c r="N632" s="252"/>
      <c r="O632" s="246"/>
      <c r="P632" s="246"/>
      <c r="Q632" s="246"/>
      <c r="R632" s="246"/>
      <c r="S632" s="246"/>
      <c r="T632" s="246"/>
      <c r="U632" s="246"/>
      <c r="V632" s="246"/>
      <c r="W632" s="246"/>
      <c r="X632" s="246"/>
      <c r="Y632" s="246"/>
      <c r="Z632" s="246"/>
    </row>
    <row r="633">
      <c r="A633" s="246"/>
      <c r="B633" s="246"/>
      <c r="C633" s="246"/>
      <c r="D633" s="246"/>
      <c r="E633" s="246"/>
      <c r="F633" s="246"/>
      <c r="G633" s="246"/>
      <c r="H633" s="246"/>
      <c r="I633" s="246"/>
      <c r="J633" s="246"/>
      <c r="K633" s="246"/>
      <c r="L633" s="246"/>
      <c r="M633" s="246"/>
      <c r="N633" s="252"/>
      <c r="O633" s="246"/>
      <c r="P633" s="246"/>
      <c r="Q633" s="246"/>
      <c r="R633" s="246"/>
      <c r="S633" s="246"/>
      <c r="T633" s="246"/>
      <c r="U633" s="246"/>
      <c r="V633" s="246"/>
      <c r="W633" s="246"/>
      <c r="X633" s="246"/>
      <c r="Y633" s="246"/>
      <c r="Z633" s="246"/>
    </row>
    <row r="634">
      <c r="A634" s="246"/>
      <c r="B634" s="246"/>
      <c r="C634" s="246"/>
      <c r="D634" s="246"/>
      <c r="E634" s="246"/>
      <c r="F634" s="246"/>
      <c r="G634" s="246"/>
      <c r="H634" s="246"/>
      <c r="I634" s="246"/>
      <c r="J634" s="246"/>
      <c r="K634" s="246"/>
      <c r="L634" s="246"/>
      <c r="M634" s="246"/>
      <c r="N634" s="252"/>
      <c r="O634" s="246"/>
      <c r="P634" s="246"/>
      <c r="Q634" s="246"/>
      <c r="R634" s="246"/>
      <c r="S634" s="246"/>
      <c r="T634" s="246"/>
      <c r="U634" s="246"/>
      <c r="V634" s="246"/>
      <c r="W634" s="246"/>
      <c r="X634" s="246"/>
      <c r="Y634" s="246"/>
      <c r="Z634" s="246"/>
    </row>
    <row r="635">
      <c r="A635" s="246"/>
      <c r="B635" s="246"/>
      <c r="C635" s="246"/>
      <c r="D635" s="246"/>
      <c r="E635" s="246"/>
      <c r="F635" s="246"/>
      <c r="G635" s="246"/>
      <c r="H635" s="246"/>
      <c r="I635" s="246"/>
      <c r="J635" s="246"/>
      <c r="K635" s="246"/>
      <c r="L635" s="246"/>
      <c r="M635" s="246"/>
      <c r="N635" s="252"/>
      <c r="O635" s="246"/>
      <c r="P635" s="246"/>
      <c r="Q635" s="246"/>
      <c r="R635" s="246"/>
      <c r="S635" s="246"/>
      <c r="T635" s="246"/>
      <c r="U635" s="246"/>
      <c r="V635" s="246"/>
      <c r="W635" s="246"/>
      <c r="X635" s="246"/>
      <c r="Y635" s="246"/>
      <c r="Z635" s="246"/>
    </row>
    <row r="636">
      <c r="A636" s="246"/>
      <c r="B636" s="246"/>
      <c r="C636" s="246"/>
      <c r="D636" s="246"/>
      <c r="E636" s="246"/>
      <c r="F636" s="246"/>
      <c r="G636" s="246"/>
      <c r="H636" s="246"/>
      <c r="I636" s="246"/>
      <c r="J636" s="246"/>
      <c r="K636" s="246"/>
      <c r="L636" s="246"/>
      <c r="M636" s="246"/>
      <c r="N636" s="252"/>
      <c r="O636" s="246"/>
      <c r="P636" s="246"/>
      <c r="Q636" s="246"/>
      <c r="R636" s="246"/>
      <c r="S636" s="246"/>
      <c r="T636" s="246"/>
      <c r="U636" s="246"/>
      <c r="V636" s="246"/>
      <c r="W636" s="246"/>
      <c r="X636" s="246"/>
      <c r="Y636" s="246"/>
      <c r="Z636" s="246"/>
    </row>
    <row r="637">
      <c r="A637" s="246"/>
      <c r="B637" s="246"/>
      <c r="C637" s="246"/>
      <c r="D637" s="246"/>
      <c r="E637" s="246"/>
      <c r="F637" s="246"/>
      <c r="G637" s="246"/>
      <c r="H637" s="246"/>
      <c r="I637" s="246"/>
      <c r="J637" s="246"/>
      <c r="K637" s="246"/>
      <c r="L637" s="246"/>
      <c r="M637" s="246"/>
      <c r="N637" s="252"/>
      <c r="O637" s="246"/>
      <c r="P637" s="246"/>
      <c r="Q637" s="246"/>
      <c r="R637" s="246"/>
      <c r="S637" s="246"/>
      <c r="T637" s="246"/>
      <c r="U637" s="246"/>
      <c r="V637" s="246"/>
      <c r="W637" s="246"/>
      <c r="X637" s="246"/>
      <c r="Y637" s="246"/>
      <c r="Z637" s="246"/>
    </row>
    <row r="638">
      <c r="A638" s="246"/>
      <c r="B638" s="246"/>
      <c r="C638" s="246"/>
      <c r="D638" s="246"/>
      <c r="E638" s="246"/>
      <c r="F638" s="246"/>
      <c r="G638" s="246"/>
      <c r="H638" s="246"/>
      <c r="I638" s="246"/>
      <c r="J638" s="246"/>
      <c r="K638" s="246"/>
      <c r="L638" s="246"/>
      <c r="M638" s="246"/>
      <c r="N638" s="252"/>
      <c r="O638" s="246"/>
      <c r="P638" s="246"/>
      <c r="Q638" s="246"/>
      <c r="R638" s="246"/>
      <c r="S638" s="246"/>
      <c r="T638" s="246"/>
      <c r="U638" s="246"/>
      <c r="V638" s="246"/>
      <c r="W638" s="246"/>
      <c r="X638" s="246"/>
      <c r="Y638" s="246"/>
      <c r="Z638" s="246"/>
    </row>
    <row r="639">
      <c r="A639" s="246"/>
      <c r="B639" s="246"/>
      <c r="C639" s="246"/>
      <c r="D639" s="246"/>
      <c r="E639" s="246"/>
      <c r="F639" s="246"/>
      <c r="G639" s="246"/>
      <c r="H639" s="246"/>
      <c r="I639" s="246"/>
      <c r="J639" s="246"/>
      <c r="K639" s="246"/>
      <c r="L639" s="246"/>
      <c r="M639" s="246"/>
      <c r="N639" s="252"/>
      <c r="O639" s="246"/>
      <c r="P639" s="246"/>
      <c r="Q639" s="246"/>
      <c r="R639" s="246"/>
      <c r="S639" s="246"/>
      <c r="T639" s="246"/>
      <c r="U639" s="246"/>
      <c r="V639" s="246"/>
      <c r="W639" s="246"/>
      <c r="X639" s="246"/>
      <c r="Y639" s="246"/>
      <c r="Z639" s="246"/>
    </row>
    <row r="640">
      <c r="A640" s="246"/>
      <c r="B640" s="246"/>
      <c r="C640" s="246"/>
      <c r="D640" s="246"/>
      <c r="E640" s="246"/>
      <c r="F640" s="246"/>
      <c r="G640" s="246"/>
      <c r="H640" s="246"/>
      <c r="I640" s="246"/>
      <c r="J640" s="246"/>
      <c r="K640" s="246"/>
      <c r="L640" s="246"/>
      <c r="M640" s="246"/>
      <c r="N640" s="252"/>
      <c r="O640" s="246"/>
      <c r="P640" s="246"/>
      <c r="Q640" s="246"/>
      <c r="R640" s="246"/>
      <c r="S640" s="246"/>
      <c r="T640" s="246"/>
      <c r="U640" s="246"/>
      <c r="V640" s="246"/>
      <c r="W640" s="246"/>
      <c r="X640" s="246"/>
      <c r="Y640" s="246"/>
      <c r="Z640" s="246"/>
    </row>
    <row r="641">
      <c r="A641" s="246"/>
      <c r="B641" s="246"/>
      <c r="C641" s="246"/>
      <c r="D641" s="246"/>
      <c r="E641" s="246"/>
      <c r="F641" s="246"/>
      <c r="G641" s="246"/>
      <c r="H641" s="246"/>
      <c r="I641" s="246"/>
      <c r="J641" s="246"/>
      <c r="K641" s="246"/>
      <c r="L641" s="246"/>
      <c r="M641" s="246"/>
      <c r="N641" s="252"/>
      <c r="O641" s="246"/>
      <c r="P641" s="246"/>
      <c r="Q641" s="246"/>
      <c r="R641" s="246"/>
      <c r="S641" s="246"/>
      <c r="T641" s="246"/>
      <c r="U641" s="246"/>
      <c r="V641" s="246"/>
      <c r="W641" s="246"/>
      <c r="X641" s="246"/>
      <c r="Y641" s="246"/>
      <c r="Z641" s="246"/>
    </row>
    <row r="642">
      <c r="A642" s="246"/>
      <c r="B642" s="246"/>
      <c r="C642" s="246"/>
      <c r="D642" s="246"/>
      <c r="E642" s="246"/>
      <c r="F642" s="246"/>
      <c r="G642" s="246"/>
      <c r="H642" s="246"/>
      <c r="I642" s="246"/>
      <c r="J642" s="246"/>
      <c r="K642" s="246"/>
      <c r="L642" s="246"/>
      <c r="M642" s="246"/>
      <c r="N642" s="252"/>
      <c r="O642" s="246"/>
      <c r="P642" s="246"/>
      <c r="Q642" s="246"/>
      <c r="R642" s="246"/>
      <c r="S642" s="246"/>
      <c r="T642" s="246"/>
      <c r="U642" s="246"/>
      <c r="V642" s="246"/>
      <c r="W642" s="246"/>
      <c r="X642" s="246"/>
      <c r="Y642" s="246"/>
      <c r="Z642" s="246"/>
    </row>
    <row r="643">
      <c r="A643" s="246"/>
      <c r="B643" s="246"/>
      <c r="C643" s="246"/>
      <c r="D643" s="246"/>
      <c r="E643" s="246"/>
      <c r="F643" s="246"/>
      <c r="G643" s="246"/>
      <c r="H643" s="246"/>
      <c r="I643" s="246"/>
      <c r="J643" s="246"/>
      <c r="K643" s="246"/>
      <c r="L643" s="246"/>
      <c r="M643" s="246"/>
      <c r="N643" s="252"/>
      <c r="O643" s="246"/>
      <c r="P643" s="246"/>
      <c r="Q643" s="246"/>
      <c r="R643" s="246"/>
      <c r="S643" s="246"/>
      <c r="T643" s="246"/>
      <c r="U643" s="246"/>
      <c r="V643" s="246"/>
      <c r="W643" s="246"/>
      <c r="X643" s="246"/>
      <c r="Y643" s="246"/>
      <c r="Z643" s="246"/>
    </row>
    <row r="644">
      <c r="A644" s="246"/>
      <c r="B644" s="246"/>
      <c r="C644" s="246"/>
      <c r="D644" s="246"/>
      <c r="E644" s="246"/>
      <c r="F644" s="246"/>
      <c r="G644" s="246"/>
      <c r="H644" s="246"/>
      <c r="I644" s="246"/>
      <c r="J644" s="246"/>
      <c r="K644" s="246"/>
      <c r="L644" s="246"/>
      <c r="M644" s="246"/>
      <c r="N644" s="252"/>
      <c r="O644" s="246"/>
      <c r="P644" s="246"/>
      <c r="Q644" s="246"/>
      <c r="R644" s="246"/>
      <c r="S644" s="246"/>
      <c r="T644" s="246"/>
      <c r="U644" s="246"/>
      <c r="V644" s="246"/>
      <c r="W644" s="246"/>
      <c r="X644" s="246"/>
      <c r="Y644" s="246"/>
      <c r="Z644" s="246"/>
    </row>
    <row r="645">
      <c r="A645" s="246"/>
      <c r="B645" s="246"/>
      <c r="C645" s="246"/>
      <c r="D645" s="246"/>
      <c r="E645" s="246"/>
      <c r="F645" s="246"/>
      <c r="G645" s="246"/>
      <c r="H645" s="246"/>
      <c r="I645" s="246"/>
      <c r="J645" s="246"/>
      <c r="K645" s="246"/>
      <c r="L645" s="246"/>
      <c r="M645" s="246"/>
      <c r="N645" s="252"/>
      <c r="O645" s="246"/>
      <c r="P645" s="246"/>
      <c r="Q645" s="246"/>
      <c r="R645" s="246"/>
      <c r="S645" s="246"/>
      <c r="T645" s="246"/>
      <c r="U645" s="246"/>
      <c r="V645" s="246"/>
      <c r="W645" s="246"/>
      <c r="X645" s="246"/>
      <c r="Y645" s="246"/>
      <c r="Z645" s="246"/>
    </row>
    <row r="646">
      <c r="A646" s="246"/>
      <c r="B646" s="246"/>
      <c r="C646" s="246"/>
      <c r="D646" s="246"/>
      <c r="E646" s="246"/>
      <c r="F646" s="246"/>
      <c r="G646" s="246"/>
      <c r="H646" s="246"/>
      <c r="I646" s="246"/>
      <c r="J646" s="246"/>
      <c r="K646" s="246"/>
      <c r="L646" s="246"/>
      <c r="M646" s="246"/>
      <c r="N646" s="252"/>
      <c r="O646" s="246"/>
      <c r="P646" s="246"/>
      <c r="Q646" s="246"/>
      <c r="R646" s="246"/>
      <c r="S646" s="246"/>
      <c r="T646" s="246"/>
      <c r="U646" s="246"/>
      <c r="V646" s="246"/>
      <c r="W646" s="246"/>
      <c r="X646" s="246"/>
      <c r="Y646" s="246"/>
      <c r="Z646" s="246"/>
    </row>
    <row r="647">
      <c r="A647" s="246"/>
      <c r="B647" s="246"/>
      <c r="C647" s="246"/>
      <c r="D647" s="246"/>
      <c r="E647" s="246"/>
      <c r="F647" s="246"/>
      <c r="G647" s="246"/>
      <c r="H647" s="246"/>
      <c r="I647" s="246"/>
      <c r="J647" s="246"/>
      <c r="K647" s="246"/>
      <c r="L647" s="246"/>
      <c r="M647" s="246"/>
      <c r="N647" s="252"/>
      <c r="O647" s="246"/>
      <c r="P647" s="246"/>
      <c r="Q647" s="246"/>
      <c r="R647" s="246"/>
      <c r="S647" s="246"/>
      <c r="T647" s="246"/>
      <c r="U647" s="246"/>
      <c r="V647" s="246"/>
      <c r="W647" s="246"/>
      <c r="X647" s="246"/>
      <c r="Y647" s="246"/>
      <c r="Z647" s="246"/>
    </row>
    <row r="648">
      <c r="A648" s="246"/>
      <c r="B648" s="246"/>
      <c r="C648" s="246"/>
      <c r="D648" s="246"/>
      <c r="E648" s="246"/>
      <c r="F648" s="246"/>
      <c r="G648" s="246"/>
      <c r="H648" s="246"/>
      <c r="I648" s="246"/>
      <c r="J648" s="246"/>
      <c r="K648" s="246"/>
      <c r="L648" s="246"/>
      <c r="M648" s="246"/>
      <c r="N648" s="252"/>
      <c r="O648" s="246"/>
      <c r="P648" s="246"/>
      <c r="Q648" s="246"/>
      <c r="R648" s="246"/>
      <c r="S648" s="246"/>
      <c r="T648" s="246"/>
      <c r="U648" s="246"/>
      <c r="V648" s="246"/>
      <c r="W648" s="246"/>
      <c r="X648" s="246"/>
      <c r="Y648" s="246"/>
      <c r="Z648" s="246"/>
    </row>
    <row r="649">
      <c r="A649" s="246"/>
      <c r="B649" s="246"/>
      <c r="C649" s="246"/>
      <c r="D649" s="246"/>
      <c r="E649" s="246"/>
      <c r="F649" s="246"/>
      <c r="G649" s="246"/>
      <c r="H649" s="246"/>
      <c r="I649" s="246"/>
      <c r="J649" s="246"/>
      <c r="K649" s="246"/>
      <c r="L649" s="246"/>
      <c r="M649" s="246"/>
      <c r="N649" s="252"/>
      <c r="O649" s="246"/>
      <c r="P649" s="246"/>
      <c r="Q649" s="246"/>
      <c r="R649" s="246"/>
      <c r="S649" s="246"/>
      <c r="T649" s="246"/>
      <c r="U649" s="246"/>
      <c r="V649" s="246"/>
      <c r="W649" s="246"/>
      <c r="X649" s="246"/>
      <c r="Y649" s="246"/>
      <c r="Z649" s="246"/>
    </row>
    <row r="650">
      <c r="A650" s="246"/>
      <c r="B650" s="246"/>
      <c r="C650" s="246"/>
      <c r="D650" s="246"/>
      <c r="E650" s="246"/>
      <c r="F650" s="246"/>
      <c r="G650" s="246"/>
      <c r="H650" s="246"/>
      <c r="I650" s="246"/>
      <c r="J650" s="246"/>
      <c r="K650" s="246"/>
      <c r="L650" s="246"/>
      <c r="M650" s="246"/>
      <c r="N650" s="252"/>
      <c r="O650" s="246"/>
      <c r="P650" s="246"/>
      <c r="Q650" s="246"/>
      <c r="R650" s="246"/>
      <c r="S650" s="246"/>
      <c r="T650" s="246"/>
      <c r="U650" s="246"/>
      <c r="V650" s="246"/>
      <c r="W650" s="246"/>
      <c r="X650" s="246"/>
      <c r="Y650" s="246"/>
      <c r="Z650" s="246"/>
    </row>
    <row r="651">
      <c r="A651" s="246"/>
      <c r="B651" s="246"/>
      <c r="C651" s="246"/>
      <c r="D651" s="246"/>
      <c r="E651" s="246"/>
      <c r="F651" s="246"/>
      <c r="G651" s="246"/>
      <c r="H651" s="246"/>
      <c r="I651" s="246"/>
      <c r="J651" s="246"/>
      <c r="K651" s="246"/>
      <c r="L651" s="246"/>
      <c r="M651" s="246"/>
      <c r="N651" s="252"/>
      <c r="O651" s="246"/>
      <c r="P651" s="246"/>
      <c r="Q651" s="246"/>
      <c r="R651" s="246"/>
      <c r="S651" s="246"/>
      <c r="T651" s="246"/>
      <c r="U651" s="246"/>
      <c r="V651" s="246"/>
      <c r="W651" s="246"/>
      <c r="X651" s="246"/>
      <c r="Y651" s="246"/>
      <c r="Z651" s="246"/>
    </row>
    <row r="652">
      <c r="A652" s="246"/>
      <c r="B652" s="246"/>
      <c r="C652" s="246"/>
      <c r="D652" s="246"/>
      <c r="E652" s="246"/>
      <c r="F652" s="246"/>
      <c r="G652" s="246"/>
      <c r="H652" s="246"/>
      <c r="I652" s="246"/>
      <c r="J652" s="246"/>
      <c r="K652" s="246"/>
      <c r="L652" s="246"/>
      <c r="M652" s="246"/>
      <c r="N652" s="252"/>
      <c r="O652" s="246"/>
      <c r="P652" s="246"/>
      <c r="Q652" s="246"/>
      <c r="R652" s="246"/>
      <c r="S652" s="246"/>
      <c r="T652" s="246"/>
      <c r="U652" s="246"/>
      <c r="V652" s="246"/>
      <c r="W652" s="246"/>
      <c r="X652" s="246"/>
      <c r="Y652" s="246"/>
      <c r="Z652" s="246"/>
    </row>
    <row r="653">
      <c r="A653" s="246"/>
      <c r="B653" s="246"/>
      <c r="C653" s="246"/>
      <c r="D653" s="246"/>
      <c r="E653" s="246"/>
      <c r="F653" s="246"/>
      <c r="G653" s="246"/>
      <c r="H653" s="246"/>
      <c r="I653" s="246"/>
      <c r="J653" s="246"/>
      <c r="K653" s="246"/>
      <c r="L653" s="246"/>
      <c r="M653" s="246"/>
      <c r="N653" s="252"/>
      <c r="O653" s="246"/>
      <c r="P653" s="246"/>
      <c r="Q653" s="246"/>
      <c r="R653" s="246"/>
      <c r="S653" s="246"/>
      <c r="T653" s="246"/>
      <c r="U653" s="246"/>
      <c r="V653" s="246"/>
      <c r="W653" s="246"/>
      <c r="X653" s="246"/>
      <c r="Y653" s="246"/>
      <c r="Z653" s="246"/>
    </row>
    <row r="654">
      <c r="A654" s="246"/>
      <c r="B654" s="246"/>
      <c r="C654" s="246"/>
      <c r="D654" s="246"/>
      <c r="E654" s="246"/>
      <c r="F654" s="246"/>
      <c r="G654" s="246"/>
      <c r="H654" s="246"/>
      <c r="I654" s="246"/>
      <c r="J654" s="246"/>
      <c r="K654" s="246"/>
      <c r="L654" s="246"/>
      <c r="M654" s="246"/>
      <c r="N654" s="252"/>
      <c r="O654" s="246"/>
      <c r="P654" s="246"/>
      <c r="Q654" s="246"/>
      <c r="R654" s="246"/>
      <c r="S654" s="246"/>
      <c r="T654" s="246"/>
      <c r="U654" s="246"/>
      <c r="V654" s="246"/>
      <c r="W654" s="246"/>
      <c r="X654" s="246"/>
      <c r="Y654" s="246"/>
      <c r="Z654" s="246"/>
    </row>
    <row r="655">
      <c r="A655" s="246"/>
      <c r="B655" s="246"/>
      <c r="C655" s="246"/>
      <c r="D655" s="246"/>
      <c r="E655" s="246"/>
      <c r="F655" s="246"/>
      <c r="G655" s="246"/>
      <c r="H655" s="246"/>
      <c r="I655" s="246"/>
      <c r="J655" s="246"/>
      <c r="K655" s="246"/>
      <c r="L655" s="246"/>
      <c r="M655" s="246"/>
      <c r="N655" s="252"/>
      <c r="O655" s="246"/>
      <c r="P655" s="246"/>
      <c r="Q655" s="246"/>
      <c r="R655" s="246"/>
      <c r="S655" s="246"/>
      <c r="T655" s="246"/>
      <c r="U655" s="246"/>
      <c r="V655" s="246"/>
      <c r="W655" s="246"/>
      <c r="X655" s="246"/>
      <c r="Y655" s="246"/>
      <c r="Z655" s="246"/>
    </row>
    <row r="656">
      <c r="A656" s="246"/>
      <c r="B656" s="246"/>
      <c r="C656" s="246"/>
      <c r="D656" s="246"/>
      <c r="E656" s="246"/>
      <c r="F656" s="246"/>
      <c r="G656" s="246"/>
      <c r="H656" s="246"/>
      <c r="I656" s="246"/>
      <c r="J656" s="246"/>
      <c r="K656" s="246"/>
      <c r="L656" s="246"/>
      <c r="M656" s="246"/>
      <c r="N656" s="252"/>
      <c r="O656" s="246"/>
      <c r="P656" s="246"/>
      <c r="Q656" s="246"/>
      <c r="R656" s="246"/>
      <c r="S656" s="246"/>
      <c r="T656" s="246"/>
      <c r="U656" s="246"/>
      <c r="V656" s="246"/>
      <c r="W656" s="246"/>
      <c r="X656" s="246"/>
      <c r="Y656" s="246"/>
      <c r="Z656" s="246"/>
    </row>
    <row r="657">
      <c r="A657" s="246"/>
      <c r="B657" s="246"/>
      <c r="C657" s="246"/>
      <c r="D657" s="246"/>
      <c r="E657" s="246"/>
      <c r="F657" s="246"/>
      <c r="G657" s="246"/>
      <c r="H657" s="246"/>
      <c r="I657" s="246"/>
      <c r="J657" s="246"/>
      <c r="K657" s="246"/>
      <c r="L657" s="246"/>
      <c r="M657" s="246"/>
      <c r="N657" s="252"/>
      <c r="O657" s="246"/>
      <c r="P657" s="246"/>
      <c r="Q657" s="246"/>
      <c r="R657" s="246"/>
      <c r="S657" s="246"/>
      <c r="T657" s="246"/>
      <c r="U657" s="246"/>
      <c r="V657" s="246"/>
      <c r="W657" s="246"/>
      <c r="X657" s="246"/>
      <c r="Y657" s="246"/>
      <c r="Z657" s="246"/>
    </row>
    <row r="658">
      <c r="A658" s="246"/>
      <c r="B658" s="246"/>
      <c r="C658" s="246"/>
      <c r="D658" s="246"/>
      <c r="E658" s="246"/>
      <c r="F658" s="246"/>
      <c r="G658" s="246"/>
      <c r="H658" s="246"/>
      <c r="I658" s="246"/>
      <c r="J658" s="246"/>
      <c r="K658" s="246"/>
      <c r="L658" s="246"/>
      <c r="M658" s="246"/>
      <c r="N658" s="252"/>
      <c r="O658" s="246"/>
      <c r="P658" s="246"/>
      <c r="Q658" s="246"/>
      <c r="R658" s="246"/>
      <c r="S658" s="246"/>
      <c r="T658" s="246"/>
      <c r="U658" s="246"/>
      <c r="V658" s="246"/>
      <c r="W658" s="246"/>
      <c r="X658" s="246"/>
      <c r="Y658" s="246"/>
      <c r="Z658" s="246"/>
    </row>
    <row r="659">
      <c r="A659" s="246"/>
      <c r="B659" s="246"/>
      <c r="C659" s="246"/>
      <c r="D659" s="246"/>
      <c r="E659" s="246"/>
      <c r="F659" s="246"/>
      <c r="G659" s="246"/>
      <c r="H659" s="246"/>
      <c r="I659" s="246"/>
      <c r="J659" s="246"/>
      <c r="K659" s="246"/>
      <c r="L659" s="246"/>
      <c r="M659" s="246"/>
      <c r="N659" s="252"/>
      <c r="O659" s="246"/>
      <c r="P659" s="246"/>
      <c r="Q659" s="246"/>
      <c r="R659" s="246"/>
      <c r="S659" s="246"/>
      <c r="T659" s="246"/>
      <c r="U659" s="246"/>
      <c r="V659" s="246"/>
      <c r="W659" s="246"/>
      <c r="X659" s="246"/>
      <c r="Y659" s="246"/>
      <c r="Z659" s="246"/>
    </row>
    <row r="660">
      <c r="A660" s="246"/>
      <c r="B660" s="246"/>
      <c r="C660" s="246"/>
      <c r="D660" s="246"/>
      <c r="E660" s="246"/>
      <c r="F660" s="246"/>
      <c r="G660" s="246"/>
      <c r="H660" s="246"/>
      <c r="I660" s="246"/>
      <c r="J660" s="246"/>
      <c r="K660" s="246"/>
      <c r="L660" s="246"/>
      <c r="M660" s="246"/>
      <c r="N660" s="252"/>
      <c r="O660" s="246"/>
      <c r="P660" s="246"/>
      <c r="Q660" s="246"/>
      <c r="R660" s="246"/>
      <c r="S660" s="246"/>
      <c r="T660" s="246"/>
      <c r="U660" s="246"/>
      <c r="V660" s="246"/>
      <c r="W660" s="246"/>
      <c r="X660" s="246"/>
      <c r="Y660" s="246"/>
      <c r="Z660" s="246"/>
    </row>
    <row r="661">
      <c r="A661" s="246"/>
      <c r="B661" s="246"/>
      <c r="C661" s="246"/>
      <c r="D661" s="246"/>
      <c r="E661" s="246"/>
      <c r="F661" s="246"/>
      <c r="G661" s="246"/>
      <c r="H661" s="246"/>
      <c r="I661" s="246"/>
      <c r="J661" s="246"/>
      <c r="K661" s="246"/>
      <c r="L661" s="246"/>
      <c r="M661" s="246"/>
      <c r="N661" s="252"/>
      <c r="O661" s="246"/>
      <c r="P661" s="246"/>
      <c r="Q661" s="246"/>
      <c r="R661" s="246"/>
      <c r="S661" s="246"/>
      <c r="T661" s="246"/>
      <c r="U661" s="246"/>
      <c r="V661" s="246"/>
      <c r="W661" s="246"/>
      <c r="X661" s="246"/>
      <c r="Y661" s="246"/>
      <c r="Z661" s="246"/>
    </row>
    <row r="662">
      <c r="A662" s="246"/>
      <c r="B662" s="246"/>
      <c r="C662" s="246"/>
      <c r="D662" s="246"/>
      <c r="E662" s="246"/>
      <c r="F662" s="246"/>
      <c r="G662" s="246"/>
      <c r="H662" s="246"/>
      <c r="I662" s="246"/>
      <c r="J662" s="246"/>
      <c r="K662" s="246"/>
      <c r="L662" s="246"/>
      <c r="M662" s="246"/>
      <c r="N662" s="252"/>
      <c r="O662" s="246"/>
      <c r="P662" s="246"/>
      <c r="Q662" s="246"/>
      <c r="R662" s="246"/>
      <c r="S662" s="246"/>
      <c r="T662" s="246"/>
      <c r="U662" s="246"/>
      <c r="V662" s="246"/>
      <c r="W662" s="246"/>
      <c r="X662" s="246"/>
      <c r="Y662" s="246"/>
      <c r="Z662" s="246"/>
    </row>
    <row r="663">
      <c r="A663" s="246"/>
      <c r="B663" s="246"/>
      <c r="C663" s="246"/>
      <c r="D663" s="246"/>
      <c r="E663" s="246"/>
      <c r="F663" s="246"/>
      <c r="G663" s="246"/>
      <c r="H663" s="246"/>
      <c r="I663" s="246"/>
      <c r="J663" s="246"/>
      <c r="K663" s="246"/>
      <c r="L663" s="246"/>
      <c r="M663" s="246"/>
      <c r="N663" s="252"/>
      <c r="O663" s="246"/>
      <c r="P663" s="246"/>
      <c r="Q663" s="246"/>
      <c r="R663" s="246"/>
      <c r="S663" s="246"/>
      <c r="T663" s="246"/>
      <c r="U663" s="246"/>
      <c r="V663" s="246"/>
      <c r="W663" s="246"/>
      <c r="X663" s="246"/>
      <c r="Y663" s="246"/>
      <c r="Z663" s="246"/>
    </row>
    <row r="664">
      <c r="A664" s="246"/>
      <c r="B664" s="246"/>
      <c r="C664" s="246"/>
      <c r="D664" s="246"/>
      <c r="E664" s="246"/>
      <c r="F664" s="246"/>
      <c r="G664" s="246"/>
      <c r="H664" s="246"/>
      <c r="I664" s="246"/>
      <c r="J664" s="246"/>
      <c r="K664" s="246"/>
      <c r="L664" s="246"/>
      <c r="M664" s="246"/>
      <c r="N664" s="252"/>
      <c r="O664" s="246"/>
      <c r="P664" s="246"/>
      <c r="Q664" s="246"/>
      <c r="R664" s="246"/>
      <c r="S664" s="246"/>
      <c r="T664" s="246"/>
      <c r="U664" s="246"/>
      <c r="V664" s="246"/>
      <c r="W664" s="246"/>
      <c r="X664" s="246"/>
      <c r="Y664" s="246"/>
      <c r="Z664" s="246"/>
    </row>
    <row r="665">
      <c r="A665" s="246"/>
      <c r="B665" s="246"/>
      <c r="C665" s="246"/>
      <c r="D665" s="246"/>
      <c r="E665" s="246"/>
      <c r="F665" s="246"/>
      <c r="G665" s="246"/>
      <c r="H665" s="246"/>
      <c r="I665" s="246"/>
      <c r="J665" s="246"/>
      <c r="K665" s="246"/>
      <c r="L665" s="246"/>
      <c r="M665" s="246"/>
      <c r="N665" s="252"/>
      <c r="O665" s="246"/>
      <c r="P665" s="246"/>
      <c r="Q665" s="246"/>
      <c r="R665" s="246"/>
      <c r="S665" s="246"/>
      <c r="T665" s="246"/>
      <c r="U665" s="246"/>
      <c r="V665" s="246"/>
      <c r="W665" s="246"/>
      <c r="X665" s="246"/>
      <c r="Y665" s="246"/>
      <c r="Z665" s="246"/>
    </row>
    <row r="666">
      <c r="A666" s="246"/>
      <c r="B666" s="246"/>
      <c r="C666" s="246"/>
      <c r="D666" s="246"/>
      <c r="E666" s="246"/>
      <c r="F666" s="246"/>
      <c r="G666" s="246"/>
      <c r="H666" s="246"/>
      <c r="I666" s="246"/>
      <c r="J666" s="246"/>
      <c r="K666" s="246"/>
      <c r="L666" s="246"/>
      <c r="M666" s="246"/>
      <c r="N666" s="252"/>
      <c r="O666" s="246"/>
      <c r="P666" s="246"/>
      <c r="Q666" s="246"/>
      <c r="R666" s="246"/>
      <c r="S666" s="246"/>
      <c r="T666" s="246"/>
      <c r="U666" s="246"/>
      <c r="V666" s="246"/>
      <c r="W666" s="246"/>
      <c r="X666" s="246"/>
      <c r="Y666" s="246"/>
      <c r="Z666" s="246"/>
    </row>
    <row r="667">
      <c r="A667" s="246"/>
      <c r="B667" s="246"/>
      <c r="C667" s="246"/>
      <c r="D667" s="246"/>
      <c r="E667" s="246"/>
      <c r="F667" s="246"/>
      <c r="G667" s="246"/>
      <c r="H667" s="246"/>
      <c r="I667" s="246"/>
      <c r="J667" s="246"/>
      <c r="K667" s="246"/>
      <c r="L667" s="246"/>
      <c r="M667" s="246"/>
      <c r="N667" s="252"/>
      <c r="O667" s="246"/>
      <c r="P667" s="246"/>
      <c r="Q667" s="246"/>
      <c r="R667" s="246"/>
      <c r="S667" s="246"/>
      <c r="T667" s="246"/>
      <c r="U667" s="246"/>
      <c r="V667" s="246"/>
      <c r="W667" s="246"/>
      <c r="X667" s="246"/>
      <c r="Y667" s="246"/>
      <c r="Z667" s="246"/>
    </row>
    <row r="668">
      <c r="A668" s="246"/>
      <c r="B668" s="246"/>
      <c r="C668" s="246"/>
      <c r="D668" s="246"/>
      <c r="E668" s="246"/>
      <c r="F668" s="246"/>
      <c r="G668" s="246"/>
      <c r="H668" s="246"/>
      <c r="I668" s="246"/>
      <c r="J668" s="246"/>
      <c r="K668" s="246"/>
      <c r="L668" s="246"/>
      <c r="M668" s="246"/>
      <c r="N668" s="252"/>
      <c r="O668" s="246"/>
      <c r="P668" s="246"/>
      <c r="Q668" s="246"/>
      <c r="R668" s="246"/>
      <c r="S668" s="246"/>
      <c r="T668" s="246"/>
      <c r="U668" s="246"/>
      <c r="V668" s="246"/>
      <c r="W668" s="246"/>
      <c r="X668" s="246"/>
      <c r="Y668" s="246"/>
      <c r="Z668" s="246"/>
    </row>
    <row r="669">
      <c r="A669" s="246"/>
      <c r="B669" s="246"/>
      <c r="C669" s="246"/>
      <c r="D669" s="246"/>
      <c r="E669" s="246"/>
      <c r="F669" s="246"/>
      <c r="G669" s="246"/>
      <c r="H669" s="246"/>
      <c r="I669" s="246"/>
      <c r="J669" s="246"/>
      <c r="K669" s="246"/>
      <c r="L669" s="246"/>
      <c r="M669" s="246"/>
      <c r="N669" s="252"/>
      <c r="O669" s="246"/>
      <c r="P669" s="246"/>
      <c r="Q669" s="246"/>
      <c r="R669" s="246"/>
      <c r="S669" s="246"/>
      <c r="T669" s="246"/>
      <c r="U669" s="246"/>
      <c r="V669" s="246"/>
      <c r="W669" s="246"/>
      <c r="X669" s="246"/>
      <c r="Y669" s="246"/>
      <c r="Z669" s="246"/>
    </row>
    <row r="670">
      <c r="A670" s="246"/>
      <c r="B670" s="246"/>
      <c r="C670" s="246"/>
      <c r="D670" s="246"/>
      <c r="E670" s="246"/>
      <c r="F670" s="246"/>
      <c r="G670" s="246"/>
      <c r="H670" s="246"/>
      <c r="I670" s="246"/>
      <c r="J670" s="246"/>
      <c r="K670" s="246"/>
      <c r="L670" s="246"/>
      <c r="M670" s="246"/>
      <c r="N670" s="252"/>
      <c r="O670" s="246"/>
      <c r="P670" s="246"/>
      <c r="Q670" s="246"/>
      <c r="R670" s="246"/>
      <c r="S670" s="246"/>
      <c r="T670" s="246"/>
      <c r="U670" s="246"/>
      <c r="V670" s="246"/>
      <c r="W670" s="246"/>
      <c r="X670" s="246"/>
      <c r="Y670" s="246"/>
      <c r="Z670" s="246"/>
    </row>
    <row r="671">
      <c r="A671" s="246"/>
      <c r="B671" s="246"/>
      <c r="C671" s="246"/>
      <c r="D671" s="246"/>
      <c r="E671" s="246"/>
      <c r="F671" s="246"/>
      <c r="G671" s="246"/>
      <c r="H671" s="246"/>
      <c r="I671" s="246"/>
      <c r="J671" s="246"/>
      <c r="K671" s="246"/>
      <c r="L671" s="246"/>
      <c r="M671" s="246"/>
      <c r="N671" s="252"/>
      <c r="O671" s="246"/>
      <c r="P671" s="246"/>
      <c r="Q671" s="246"/>
      <c r="R671" s="246"/>
      <c r="S671" s="246"/>
      <c r="T671" s="246"/>
      <c r="U671" s="246"/>
      <c r="V671" s="246"/>
      <c r="W671" s="246"/>
      <c r="X671" s="246"/>
      <c r="Y671" s="246"/>
      <c r="Z671" s="246"/>
    </row>
    <row r="672">
      <c r="A672" s="246"/>
      <c r="B672" s="246"/>
      <c r="C672" s="246"/>
      <c r="D672" s="246"/>
      <c r="E672" s="246"/>
      <c r="F672" s="246"/>
      <c r="G672" s="246"/>
      <c r="H672" s="246"/>
      <c r="I672" s="246"/>
      <c r="J672" s="246"/>
      <c r="K672" s="246"/>
      <c r="L672" s="246"/>
      <c r="M672" s="246"/>
      <c r="N672" s="252"/>
      <c r="O672" s="246"/>
      <c r="P672" s="246"/>
      <c r="Q672" s="246"/>
      <c r="R672" s="246"/>
      <c r="S672" s="246"/>
      <c r="T672" s="246"/>
      <c r="U672" s="246"/>
      <c r="V672" s="246"/>
      <c r="W672" s="246"/>
      <c r="X672" s="246"/>
      <c r="Y672" s="246"/>
      <c r="Z672" s="246"/>
    </row>
    <row r="673">
      <c r="A673" s="246"/>
      <c r="B673" s="246"/>
      <c r="C673" s="246"/>
      <c r="D673" s="246"/>
      <c r="E673" s="246"/>
      <c r="F673" s="246"/>
      <c r="G673" s="246"/>
      <c r="H673" s="246"/>
      <c r="I673" s="246"/>
      <c r="J673" s="246"/>
      <c r="K673" s="246"/>
      <c r="L673" s="246"/>
      <c r="M673" s="246"/>
      <c r="N673" s="252"/>
      <c r="O673" s="246"/>
      <c r="P673" s="246"/>
      <c r="Q673" s="246"/>
      <c r="R673" s="246"/>
      <c r="S673" s="246"/>
      <c r="T673" s="246"/>
      <c r="U673" s="246"/>
      <c r="V673" s="246"/>
      <c r="W673" s="246"/>
      <c r="X673" s="246"/>
      <c r="Y673" s="246"/>
      <c r="Z673" s="246"/>
    </row>
    <row r="674">
      <c r="A674" s="246"/>
      <c r="B674" s="246"/>
      <c r="C674" s="246"/>
      <c r="D674" s="246"/>
      <c r="E674" s="246"/>
      <c r="F674" s="246"/>
      <c r="G674" s="246"/>
      <c r="H674" s="246"/>
      <c r="I674" s="246"/>
      <c r="J674" s="246"/>
      <c r="K674" s="246"/>
      <c r="L674" s="246"/>
      <c r="M674" s="246"/>
      <c r="N674" s="252"/>
      <c r="O674" s="246"/>
      <c r="P674" s="246"/>
      <c r="Q674" s="246"/>
      <c r="R674" s="246"/>
      <c r="S674" s="246"/>
      <c r="T674" s="246"/>
      <c r="U674" s="246"/>
      <c r="V674" s="246"/>
      <c r="W674" s="246"/>
      <c r="X674" s="246"/>
      <c r="Y674" s="246"/>
      <c r="Z674" s="246"/>
    </row>
    <row r="675">
      <c r="A675" s="246"/>
      <c r="B675" s="246"/>
      <c r="C675" s="246"/>
      <c r="D675" s="246"/>
      <c r="E675" s="246"/>
      <c r="F675" s="246"/>
      <c r="G675" s="246"/>
      <c r="H675" s="246"/>
      <c r="I675" s="246"/>
      <c r="J675" s="246"/>
      <c r="K675" s="246"/>
      <c r="L675" s="246"/>
      <c r="M675" s="246"/>
      <c r="N675" s="252"/>
      <c r="O675" s="246"/>
      <c r="P675" s="246"/>
      <c r="Q675" s="246"/>
      <c r="R675" s="246"/>
      <c r="S675" s="246"/>
      <c r="T675" s="246"/>
      <c r="U675" s="246"/>
      <c r="V675" s="246"/>
      <c r="W675" s="246"/>
      <c r="X675" s="246"/>
      <c r="Y675" s="246"/>
      <c r="Z675" s="246"/>
    </row>
    <row r="676">
      <c r="A676" s="246"/>
      <c r="B676" s="246"/>
      <c r="C676" s="246"/>
      <c r="D676" s="246"/>
      <c r="E676" s="246"/>
      <c r="F676" s="246"/>
      <c r="G676" s="246"/>
      <c r="H676" s="246"/>
      <c r="I676" s="246"/>
      <c r="J676" s="246"/>
      <c r="K676" s="246"/>
      <c r="L676" s="246"/>
      <c r="M676" s="246"/>
      <c r="N676" s="252"/>
      <c r="O676" s="246"/>
      <c r="P676" s="246"/>
      <c r="Q676" s="246"/>
      <c r="R676" s="246"/>
      <c r="S676" s="246"/>
      <c r="T676" s="246"/>
      <c r="U676" s="246"/>
      <c r="V676" s="246"/>
      <c r="W676" s="246"/>
      <c r="X676" s="246"/>
      <c r="Y676" s="246"/>
      <c r="Z676" s="246"/>
    </row>
    <row r="677">
      <c r="A677" s="246"/>
      <c r="B677" s="246"/>
      <c r="C677" s="246"/>
      <c r="D677" s="246"/>
      <c r="E677" s="246"/>
      <c r="F677" s="246"/>
      <c r="G677" s="246"/>
      <c r="H677" s="246"/>
      <c r="I677" s="246"/>
      <c r="J677" s="246"/>
      <c r="K677" s="246"/>
      <c r="L677" s="246"/>
      <c r="M677" s="246"/>
      <c r="N677" s="252"/>
      <c r="O677" s="246"/>
      <c r="P677" s="246"/>
      <c r="Q677" s="246"/>
      <c r="R677" s="246"/>
      <c r="S677" s="246"/>
      <c r="T677" s="246"/>
      <c r="U677" s="246"/>
      <c r="V677" s="246"/>
      <c r="W677" s="246"/>
      <c r="X677" s="246"/>
      <c r="Y677" s="246"/>
      <c r="Z677" s="246"/>
    </row>
    <row r="678">
      <c r="A678" s="246"/>
      <c r="B678" s="246"/>
      <c r="C678" s="246"/>
      <c r="D678" s="246"/>
      <c r="E678" s="246"/>
      <c r="F678" s="246"/>
      <c r="G678" s="246"/>
      <c r="H678" s="246"/>
      <c r="I678" s="246"/>
      <c r="J678" s="246"/>
      <c r="K678" s="246"/>
      <c r="L678" s="246"/>
      <c r="M678" s="246"/>
      <c r="N678" s="252"/>
      <c r="O678" s="246"/>
      <c r="P678" s="246"/>
      <c r="Q678" s="246"/>
      <c r="R678" s="246"/>
      <c r="S678" s="246"/>
      <c r="T678" s="246"/>
      <c r="U678" s="246"/>
      <c r="V678" s="246"/>
      <c r="W678" s="246"/>
      <c r="X678" s="246"/>
      <c r="Y678" s="246"/>
      <c r="Z678" s="246"/>
    </row>
    <row r="679">
      <c r="A679" s="246"/>
      <c r="B679" s="246"/>
      <c r="C679" s="246"/>
      <c r="D679" s="246"/>
      <c r="E679" s="246"/>
      <c r="F679" s="246"/>
      <c r="G679" s="246"/>
      <c r="H679" s="246"/>
      <c r="I679" s="246"/>
      <c r="J679" s="246"/>
      <c r="K679" s="246"/>
      <c r="L679" s="246"/>
      <c r="M679" s="246"/>
      <c r="N679" s="252"/>
      <c r="O679" s="246"/>
      <c r="P679" s="246"/>
      <c r="Q679" s="246"/>
      <c r="R679" s="246"/>
      <c r="S679" s="246"/>
      <c r="T679" s="246"/>
      <c r="U679" s="246"/>
      <c r="V679" s="246"/>
      <c r="W679" s="246"/>
      <c r="X679" s="246"/>
      <c r="Y679" s="246"/>
      <c r="Z679" s="246"/>
    </row>
    <row r="680">
      <c r="A680" s="246"/>
      <c r="B680" s="246"/>
      <c r="C680" s="246"/>
      <c r="D680" s="246"/>
      <c r="E680" s="246"/>
      <c r="F680" s="246"/>
      <c r="G680" s="246"/>
      <c r="H680" s="246"/>
      <c r="I680" s="246"/>
      <c r="J680" s="246"/>
      <c r="K680" s="246"/>
      <c r="L680" s="246"/>
      <c r="M680" s="246"/>
      <c r="N680" s="252"/>
      <c r="O680" s="246"/>
      <c r="P680" s="246"/>
      <c r="Q680" s="246"/>
      <c r="R680" s="246"/>
      <c r="S680" s="246"/>
      <c r="T680" s="246"/>
      <c r="U680" s="246"/>
      <c r="V680" s="246"/>
      <c r="W680" s="246"/>
      <c r="X680" s="246"/>
      <c r="Y680" s="246"/>
      <c r="Z680" s="246"/>
    </row>
    <row r="681">
      <c r="A681" s="246"/>
      <c r="B681" s="246"/>
      <c r="C681" s="246"/>
      <c r="D681" s="246"/>
      <c r="E681" s="246"/>
      <c r="F681" s="246"/>
      <c r="G681" s="246"/>
      <c r="H681" s="246"/>
      <c r="I681" s="246"/>
      <c r="J681" s="246"/>
      <c r="K681" s="246"/>
      <c r="L681" s="246"/>
      <c r="M681" s="246"/>
      <c r="N681" s="252"/>
      <c r="O681" s="246"/>
      <c r="P681" s="246"/>
      <c r="Q681" s="246"/>
      <c r="R681" s="246"/>
      <c r="S681" s="246"/>
      <c r="T681" s="246"/>
      <c r="U681" s="246"/>
      <c r="V681" s="246"/>
      <c r="W681" s="246"/>
      <c r="X681" s="246"/>
      <c r="Y681" s="246"/>
      <c r="Z681" s="246"/>
    </row>
    <row r="682">
      <c r="A682" s="246"/>
      <c r="B682" s="246"/>
      <c r="C682" s="246"/>
      <c r="D682" s="246"/>
      <c r="E682" s="246"/>
      <c r="F682" s="246"/>
      <c r="G682" s="246"/>
      <c r="H682" s="246"/>
      <c r="I682" s="246"/>
      <c r="J682" s="246"/>
      <c r="K682" s="246"/>
      <c r="L682" s="246"/>
      <c r="M682" s="246"/>
      <c r="N682" s="252"/>
      <c r="O682" s="246"/>
      <c r="P682" s="246"/>
      <c r="Q682" s="246"/>
      <c r="R682" s="246"/>
      <c r="S682" s="246"/>
      <c r="T682" s="246"/>
      <c r="U682" s="246"/>
      <c r="V682" s="246"/>
      <c r="W682" s="246"/>
      <c r="X682" s="246"/>
      <c r="Y682" s="246"/>
      <c r="Z682" s="246"/>
    </row>
    <row r="683">
      <c r="A683" s="246"/>
      <c r="B683" s="246"/>
      <c r="C683" s="246"/>
      <c r="D683" s="246"/>
      <c r="E683" s="246"/>
      <c r="F683" s="246"/>
      <c r="G683" s="246"/>
      <c r="H683" s="246"/>
      <c r="I683" s="246"/>
      <c r="J683" s="246"/>
      <c r="K683" s="246"/>
      <c r="L683" s="246"/>
      <c r="M683" s="246"/>
      <c r="N683" s="252"/>
      <c r="O683" s="246"/>
      <c r="P683" s="246"/>
      <c r="Q683" s="246"/>
      <c r="R683" s="246"/>
      <c r="S683" s="246"/>
      <c r="T683" s="246"/>
      <c r="U683" s="246"/>
      <c r="V683" s="246"/>
      <c r="W683" s="246"/>
      <c r="X683" s="246"/>
      <c r="Y683" s="246"/>
      <c r="Z683" s="246"/>
    </row>
    <row r="684">
      <c r="A684" s="246"/>
      <c r="B684" s="246"/>
      <c r="C684" s="246"/>
      <c r="D684" s="246"/>
      <c r="E684" s="246"/>
      <c r="F684" s="246"/>
      <c r="G684" s="246"/>
      <c r="H684" s="246"/>
      <c r="I684" s="246"/>
      <c r="J684" s="246"/>
      <c r="K684" s="246"/>
      <c r="L684" s="246"/>
      <c r="M684" s="246"/>
      <c r="N684" s="252"/>
      <c r="O684" s="246"/>
      <c r="P684" s="246"/>
      <c r="Q684" s="246"/>
      <c r="R684" s="246"/>
      <c r="S684" s="246"/>
      <c r="T684" s="246"/>
      <c r="U684" s="246"/>
      <c r="V684" s="246"/>
      <c r="W684" s="246"/>
      <c r="X684" s="246"/>
      <c r="Y684" s="246"/>
      <c r="Z684" s="246"/>
    </row>
    <row r="685">
      <c r="A685" s="246"/>
      <c r="B685" s="246"/>
      <c r="C685" s="246"/>
      <c r="D685" s="246"/>
      <c r="E685" s="246"/>
      <c r="F685" s="246"/>
      <c r="G685" s="246"/>
      <c r="H685" s="246"/>
      <c r="I685" s="246"/>
      <c r="J685" s="246"/>
      <c r="K685" s="246"/>
      <c r="L685" s="246"/>
      <c r="M685" s="246"/>
      <c r="N685" s="252"/>
      <c r="O685" s="246"/>
      <c r="P685" s="246"/>
      <c r="Q685" s="246"/>
      <c r="R685" s="246"/>
      <c r="S685" s="246"/>
      <c r="T685" s="246"/>
      <c r="U685" s="246"/>
      <c r="V685" s="246"/>
      <c r="W685" s="246"/>
      <c r="X685" s="246"/>
      <c r="Y685" s="246"/>
      <c r="Z685" s="246"/>
    </row>
    <row r="686">
      <c r="A686" s="246"/>
      <c r="B686" s="246"/>
      <c r="C686" s="246"/>
      <c r="D686" s="246"/>
      <c r="E686" s="246"/>
      <c r="F686" s="246"/>
      <c r="G686" s="246"/>
      <c r="H686" s="246"/>
      <c r="I686" s="246"/>
      <c r="J686" s="246"/>
      <c r="K686" s="246"/>
      <c r="L686" s="246"/>
      <c r="M686" s="246"/>
      <c r="N686" s="252"/>
      <c r="O686" s="246"/>
      <c r="P686" s="246"/>
      <c r="Q686" s="246"/>
      <c r="R686" s="246"/>
      <c r="S686" s="246"/>
      <c r="T686" s="246"/>
      <c r="U686" s="246"/>
      <c r="V686" s="246"/>
      <c r="W686" s="246"/>
      <c r="X686" s="246"/>
      <c r="Y686" s="246"/>
      <c r="Z686" s="246"/>
    </row>
    <row r="687">
      <c r="A687" s="246"/>
      <c r="B687" s="246"/>
      <c r="C687" s="246"/>
      <c r="D687" s="246"/>
      <c r="E687" s="246"/>
      <c r="F687" s="246"/>
      <c r="G687" s="246"/>
      <c r="H687" s="246"/>
      <c r="I687" s="246"/>
      <c r="J687" s="246"/>
      <c r="K687" s="246"/>
      <c r="L687" s="246"/>
      <c r="M687" s="246"/>
      <c r="N687" s="252"/>
      <c r="O687" s="246"/>
      <c r="P687" s="246"/>
      <c r="Q687" s="246"/>
      <c r="R687" s="246"/>
      <c r="S687" s="246"/>
      <c r="T687" s="246"/>
      <c r="U687" s="246"/>
      <c r="V687" s="246"/>
      <c r="W687" s="246"/>
      <c r="X687" s="246"/>
      <c r="Y687" s="246"/>
      <c r="Z687" s="246"/>
    </row>
    <row r="688">
      <c r="A688" s="246"/>
      <c r="B688" s="246"/>
      <c r="C688" s="246"/>
      <c r="D688" s="246"/>
      <c r="E688" s="246"/>
      <c r="F688" s="246"/>
      <c r="G688" s="246"/>
      <c r="H688" s="246"/>
      <c r="I688" s="246"/>
      <c r="J688" s="246"/>
      <c r="K688" s="246"/>
      <c r="L688" s="246"/>
      <c r="M688" s="246"/>
      <c r="N688" s="252"/>
      <c r="O688" s="246"/>
      <c r="P688" s="246"/>
      <c r="Q688" s="246"/>
      <c r="R688" s="246"/>
      <c r="S688" s="246"/>
      <c r="T688" s="246"/>
      <c r="U688" s="246"/>
      <c r="V688" s="246"/>
      <c r="W688" s="246"/>
      <c r="X688" s="246"/>
      <c r="Y688" s="246"/>
      <c r="Z688" s="246"/>
    </row>
    <row r="689">
      <c r="A689" s="246"/>
      <c r="B689" s="246"/>
      <c r="C689" s="246"/>
      <c r="D689" s="246"/>
      <c r="E689" s="246"/>
      <c r="F689" s="246"/>
      <c r="G689" s="246"/>
      <c r="H689" s="246"/>
      <c r="I689" s="246"/>
      <c r="J689" s="246"/>
      <c r="K689" s="246"/>
      <c r="L689" s="246"/>
      <c r="M689" s="246"/>
      <c r="N689" s="252"/>
      <c r="O689" s="246"/>
      <c r="P689" s="246"/>
      <c r="Q689" s="246"/>
      <c r="R689" s="246"/>
      <c r="S689" s="246"/>
      <c r="T689" s="246"/>
      <c r="U689" s="246"/>
      <c r="V689" s="246"/>
      <c r="W689" s="246"/>
      <c r="X689" s="246"/>
      <c r="Y689" s="246"/>
      <c r="Z689" s="246"/>
    </row>
    <row r="690">
      <c r="A690" s="246"/>
      <c r="B690" s="246"/>
      <c r="C690" s="246"/>
      <c r="D690" s="246"/>
      <c r="E690" s="246"/>
      <c r="F690" s="246"/>
      <c r="G690" s="246"/>
      <c r="H690" s="246"/>
      <c r="I690" s="246"/>
      <c r="J690" s="246"/>
      <c r="K690" s="246"/>
      <c r="L690" s="246"/>
      <c r="M690" s="246"/>
      <c r="N690" s="252"/>
      <c r="O690" s="246"/>
      <c r="P690" s="246"/>
      <c r="Q690" s="246"/>
      <c r="R690" s="246"/>
      <c r="S690" s="246"/>
      <c r="T690" s="246"/>
      <c r="U690" s="246"/>
      <c r="V690" s="246"/>
      <c r="W690" s="246"/>
      <c r="X690" s="246"/>
      <c r="Y690" s="246"/>
      <c r="Z690" s="246"/>
    </row>
    <row r="691">
      <c r="A691" s="246"/>
      <c r="B691" s="246"/>
      <c r="C691" s="246"/>
      <c r="D691" s="246"/>
      <c r="E691" s="246"/>
      <c r="F691" s="246"/>
      <c r="G691" s="246"/>
      <c r="H691" s="246"/>
      <c r="I691" s="246"/>
      <c r="J691" s="246"/>
      <c r="K691" s="246"/>
      <c r="L691" s="246"/>
      <c r="M691" s="246"/>
      <c r="N691" s="252"/>
      <c r="O691" s="246"/>
      <c r="P691" s="246"/>
      <c r="Q691" s="246"/>
      <c r="R691" s="246"/>
      <c r="S691" s="246"/>
      <c r="T691" s="246"/>
      <c r="U691" s="246"/>
      <c r="V691" s="246"/>
      <c r="W691" s="246"/>
      <c r="X691" s="246"/>
      <c r="Y691" s="246"/>
      <c r="Z691" s="246"/>
    </row>
    <row r="692">
      <c r="A692" s="246"/>
      <c r="B692" s="246"/>
      <c r="C692" s="246"/>
      <c r="D692" s="246"/>
      <c r="E692" s="246"/>
      <c r="F692" s="246"/>
      <c r="G692" s="246"/>
      <c r="H692" s="246"/>
      <c r="I692" s="246"/>
      <c r="J692" s="246"/>
      <c r="K692" s="246"/>
      <c r="L692" s="246"/>
      <c r="M692" s="246"/>
      <c r="N692" s="252"/>
      <c r="O692" s="246"/>
      <c r="P692" s="246"/>
      <c r="Q692" s="246"/>
      <c r="R692" s="246"/>
      <c r="S692" s="246"/>
      <c r="T692" s="246"/>
      <c r="U692" s="246"/>
      <c r="V692" s="246"/>
      <c r="W692" s="246"/>
      <c r="X692" s="246"/>
      <c r="Y692" s="246"/>
      <c r="Z692" s="246"/>
    </row>
    <row r="693">
      <c r="A693" s="246"/>
      <c r="B693" s="246"/>
      <c r="C693" s="246"/>
      <c r="D693" s="246"/>
      <c r="E693" s="246"/>
      <c r="F693" s="246"/>
      <c r="G693" s="246"/>
      <c r="H693" s="246"/>
      <c r="I693" s="246"/>
      <c r="J693" s="246"/>
      <c r="K693" s="246"/>
      <c r="L693" s="246"/>
      <c r="M693" s="246"/>
      <c r="N693" s="252"/>
      <c r="O693" s="246"/>
      <c r="P693" s="246"/>
      <c r="Q693" s="246"/>
      <c r="R693" s="246"/>
      <c r="S693" s="246"/>
      <c r="T693" s="246"/>
      <c r="U693" s="246"/>
      <c r="V693" s="246"/>
      <c r="W693" s="246"/>
      <c r="X693" s="246"/>
      <c r="Y693" s="246"/>
      <c r="Z693" s="246"/>
    </row>
    <row r="694">
      <c r="A694" s="246"/>
      <c r="B694" s="246"/>
      <c r="C694" s="246"/>
      <c r="D694" s="246"/>
      <c r="E694" s="246"/>
      <c r="F694" s="246"/>
      <c r="G694" s="246"/>
      <c r="H694" s="246"/>
      <c r="I694" s="246"/>
      <c r="J694" s="246"/>
      <c r="K694" s="246"/>
      <c r="L694" s="246"/>
      <c r="M694" s="246"/>
      <c r="N694" s="252"/>
      <c r="O694" s="246"/>
      <c r="P694" s="246"/>
      <c r="Q694" s="246"/>
      <c r="R694" s="246"/>
      <c r="S694" s="246"/>
      <c r="T694" s="246"/>
      <c r="U694" s="246"/>
      <c r="V694" s="246"/>
      <c r="W694" s="246"/>
      <c r="X694" s="246"/>
      <c r="Y694" s="246"/>
      <c r="Z694" s="246"/>
    </row>
    <row r="695">
      <c r="A695" s="246"/>
      <c r="B695" s="246"/>
      <c r="C695" s="246"/>
      <c r="D695" s="246"/>
      <c r="E695" s="246"/>
      <c r="F695" s="246"/>
      <c r="G695" s="246"/>
      <c r="H695" s="246"/>
      <c r="I695" s="246"/>
      <c r="J695" s="246"/>
      <c r="K695" s="246"/>
      <c r="L695" s="246"/>
      <c r="M695" s="246"/>
      <c r="N695" s="252"/>
      <c r="O695" s="246"/>
      <c r="P695" s="246"/>
      <c r="Q695" s="246"/>
      <c r="R695" s="246"/>
      <c r="S695" s="246"/>
      <c r="T695" s="246"/>
      <c r="U695" s="246"/>
      <c r="V695" s="246"/>
      <c r="W695" s="246"/>
      <c r="X695" s="246"/>
      <c r="Y695" s="246"/>
      <c r="Z695" s="246"/>
    </row>
    <row r="696">
      <c r="A696" s="246"/>
      <c r="B696" s="246"/>
      <c r="C696" s="246"/>
      <c r="D696" s="246"/>
      <c r="E696" s="246"/>
      <c r="F696" s="246"/>
      <c r="G696" s="246"/>
      <c r="H696" s="246"/>
      <c r="I696" s="246"/>
      <c r="J696" s="246"/>
      <c r="K696" s="246"/>
      <c r="L696" s="246"/>
      <c r="M696" s="246"/>
      <c r="N696" s="252"/>
      <c r="O696" s="246"/>
      <c r="P696" s="246"/>
      <c r="Q696" s="246"/>
      <c r="R696" s="246"/>
      <c r="S696" s="246"/>
      <c r="T696" s="246"/>
      <c r="U696" s="246"/>
      <c r="V696" s="246"/>
      <c r="W696" s="246"/>
      <c r="X696" s="246"/>
      <c r="Y696" s="246"/>
      <c r="Z696" s="246"/>
    </row>
    <row r="697">
      <c r="A697" s="246"/>
      <c r="B697" s="246"/>
      <c r="C697" s="246"/>
      <c r="D697" s="246"/>
      <c r="E697" s="246"/>
      <c r="F697" s="246"/>
      <c r="G697" s="246"/>
      <c r="H697" s="246"/>
      <c r="I697" s="246"/>
      <c r="J697" s="246"/>
      <c r="K697" s="246"/>
      <c r="L697" s="246"/>
      <c r="M697" s="246"/>
      <c r="N697" s="252"/>
      <c r="O697" s="246"/>
      <c r="P697" s="246"/>
      <c r="Q697" s="246"/>
      <c r="R697" s="246"/>
      <c r="S697" s="246"/>
      <c r="T697" s="246"/>
      <c r="U697" s="246"/>
      <c r="V697" s="246"/>
      <c r="W697" s="246"/>
      <c r="X697" s="246"/>
      <c r="Y697" s="246"/>
      <c r="Z697" s="246"/>
    </row>
    <row r="698">
      <c r="A698" s="246"/>
      <c r="B698" s="246"/>
      <c r="C698" s="246"/>
      <c r="D698" s="246"/>
      <c r="E698" s="246"/>
      <c r="F698" s="246"/>
      <c r="G698" s="246"/>
      <c r="H698" s="246"/>
      <c r="I698" s="246"/>
      <c r="J698" s="246"/>
      <c r="K698" s="246"/>
      <c r="L698" s="246"/>
      <c r="M698" s="246"/>
      <c r="N698" s="252"/>
      <c r="O698" s="246"/>
      <c r="P698" s="246"/>
      <c r="Q698" s="246"/>
      <c r="R698" s="246"/>
      <c r="S698" s="246"/>
      <c r="T698" s="246"/>
      <c r="U698" s="246"/>
      <c r="V698" s="246"/>
      <c r="W698" s="246"/>
      <c r="X698" s="246"/>
      <c r="Y698" s="246"/>
      <c r="Z698" s="246"/>
    </row>
    <row r="699">
      <c r="A699" s="246"/>
      <c r="B699" s="246"/>
      <c r="C699" s="246"/>
      <c r="D699" s="246"/>
      <c r="E699" s="246"/>
      <c r="F699" s="246"/>
      <c r="G699" s="246"/>
      <c r="H699" s="246"/>
      <c r="I699" s="246"/>
      <c r="J699" s="246"/>
      <c r="K699" s="246"/>
      <c r="L699" s="246"/>
      <c r="M699" s="246"/>
      <c r="N699" s="252"/>
      <c r="O699" s="246"/>
      <c r="P699" s="246"/>
      <c r="Q699" s="246"/>
      <c r="R699" s="246"/>
      <c r="S699" s="246"/>
      <c r="T699" s="246"/>
      <c r="U699" s="246"/>
      <c r="V699" s="246"/>
      <c r="W699" s="246"/>
      <c r="X699" s="246"/>
      <c r="Y699" s="246"/>
      <c r="Z699" s="246"/>
    </row>
    <row r="700">
      <c r="A700" s="246"/>
      <c r="B700" s="246"/>
      <c r="C700" s="246"/>
      <c r="D700" s="246"/>
      <c r="E700" s="246"/>
      <c r="F700" s="246"/>
      <c r="G700" s="246"/>
      <c r="H700" s="246"/>
      <c r="I700" s="246"/>
      <c r="J700" s="246"/>
      <c r="K700" s="246"/>
      <c r="L700" s="246"/>
      <c r="M700" s="246"/>
      <c r="N700" s="252"/>
      <c r="O700" s="246"/>
      <c r="P700" s="246"/>
      <c r="Q700" s="246"/>
      <c r="R700" s="246"/>
      <c r="S700" s="246"/>
      <c r="T700" s="246"/>
      <c r="U700" s="246"/>
      <c r="V700" s="246"/>
      <c r="W700" s="246"/>
      <c r="X700" s="246"/>
      <c r="Y700" s="246"/>
      <c r="Z700" s="246"/>
    </row>
    <row r="701">
      <c r="A701" s="246"/>
      <c r="B701" s="246"/>
      <c r="C701" s="246"/>
      <c r="D701" s="246"/>
      <c r="E701" s="246"/>
      <c r="F701" s="246"/>
      <c r="G701" s="246"/>
      <c r="H701" s="246"/>
      <c r="I701" s="246"/>
      <c r="J701" s="246"/>
      <c r="K701" s="246"/>
      <c r="L701" s="246"/>
      <c r="M701" s="246"/>
      <c r="N701" s="252"/>
      <c r="O701" s="246"/>
      <c r="P701" s="246"/>
      <c r="Q701" s="246"/>
      <c r="R701" s="246"/>
      <c r="S701" s="246"/>
      <c r="T701" s="246"/>
      <c r="U701" s="246"/>
      <c r="V701" s="246"/>
      <c r="W701" s="246"/>
      <c r="X701" s="246"/>
      <c r="Y701" s="246"/>
      <c r="Z701" s="246"/>
    </row>
    <row r="702">
      <c r="A702" s="246"/>
      <c r="B702" s="246"/>
      <c r="C702" s="246"/>
      <c r="D702" s="246"/>
      <c r="E702" s="246"/>
      <c r="F702" s="246"/>
      <c r="G702" s="246"/>
      <c r="H702" s="246"/>
      <c r="I702" s="246"/>
      <c r="J702" s="246"/>
      <c r="K702" s="246"/>
      <c r="L702" s="246"/>
      <c r="M702" s="246"/>
      <c r="N702" s="252"/>
      <c r="O702" s="246"/>
      <c r="P702" s="246"/>
      <c r="Q702" s="246"/>
      <c r="R702" s="246"/>
      <c r="S702" s="246"/>
      <c r="T702" s="246"/>
      <c r="U702" s="246"/>
      <c r="V702" s="246"/>
      <c r="W702" s="246"/>
      <c r="X702" s="246"/>
      <c r="Y702" s="246"/>
      <c r="Z702" s="246"/>
    </row>
    <row r="703">
      <c r="A703" s="246"/>
      <c r="B703" s="246"/>
      <c r="C703" s="246"/>
      <c r="D703" s="246"/>
      <c r="E703" s="246"/>
      <c r="F703" s="246"/>
      <c r="G703" s="246"/>
      <c r="H703" s="246"/>
      <c r="I703" s="246"/>
      <c r="J703" s="246"/>
      <c r="K703" s="246"/>
      <c r="L703" s="246"/>
      <c r="M703" s="246"/>
      <c r="N703" s="252"/>
      <c r="O703" s="246"/>
      <c r="P703" s="246"/>
      <c r="Q703" s="246"/>
      <c r="R703" s="246"/>
      <c r="S703" s="246"/>
      <c r="T703" s="246"/>
      <c r="U703" s="246"/>
      <c r="V703" s="246"/>
      <c r="W703" s="246"/>
      <c r="X703" s="246"/>
      <c r="Y703" s="246"/>
      <c r="Z703" s="246"/>
    </row>
    <row r="704">
      <c r="A704" s="246"/>
      <c r="B704" s="246"/>
      <c r="C704" s="246"/>
      <c r="D704" s="246"/>
      <c r="E704" s="246"/>
      <c r="F704" s="246"/>
      <c r="G704" s="246"/>
      <c r="H704" s="246"/>
      <c r="I704" s="246"/>
      <c r="J704" s="246"/>
      <c r="K704" s="246"/>
      <c r="L704" s="246"/>
      <c r="M704" s="246"/>
      <c r="N704" s="252"/>
      <c r="O704" s="246"/>
      <c r="P704" s="246"/>
      <c r="Q704" s="246"/>
      <c r="R704" s="246"/>
      <c r="S704" s="246"/>
      <c r="T704" s="246"/>
      <c r="U704" s="246"/>
      <c r="V704" s="246"/>
      <c r="W704" s="246"/>
      <c r="X704" s="246"/>
      <c r="Y704" s="246"/>
      <c r="Z704" s="246"/>
    </row>
    <row r="705">
      <c r="A705" s="246"/>
      <c r="B705" s="246"/>
      <c r="C705" s="246"/>
      <c r="D705" s="246"/>
      <c r="E705" s="246"/>
      <c r="F705" s="246"/>
      <c r="G705" s="246"/>
      <c r="H705" s="246"/>
      <c r="I705" s="246"/>
      <c r="J705" s="246"/>
      <c r="K705" s="246"/>
      <c r="L705" s="246"/>
      <c r="M705" s="246"/>
      <c r="N705" s="252"/>
      <c r="O705" s="246"/>
      <c r="P705" s="246"/>
      <c r="Q705" s="246"/>
      <c r="R705" s="246"/>
      <c r="S705" s="246"/>
      <c r="T705" s="246"/>
      <c r="U705" s="246"/>
      <c r="V705" s="246"/>
      <c r="W705" s="246"/>
      <c r="X705" s="246"/>
      <c r="Y705" s="246"/>
      <c r="Z705" s="246"/>
    </row>
    <row r="706">
      <c r="A706" s="246"/>
      <c r="B706" s="246"/>
      <c r="C706" s="246"/>
      <c r="D706" s="246"/>
      <c r="E706" s="246"/>
      <c r="F706" s="246"/>
      <c r="G706" s="246"/>
      <c r="H706" s="246"/>
      <c r="I706" s="246"/>
      <c r="J706" s="246"/>
      <c r="K706" s="246"/>
      <c r="L706" s="246"/>
      <c r="M706" s="246"/>
      <c r="N706" s="252"/>
      <c r="O706" s="246"/>
      <c r="P706" s="246"/>
      <c r="Q706" s="246"/>
      <c r="R706" s="246"/>
      <c r="S706" s="246"/>
      <c r="T706" s="246"/>
      <c r="U706" s="246"/>
      <c r="V706" s="246"/>
      <c r="W706" s="246"/>
      <c r="X706" s="246"/>
      <c r="Y706" s="246"/>
      <c r="Z706" s="246"/>
    </row>
    <row r="707">
      <c r="A707" s="246"/>
      <c r="B707" s="246"/>
      <c r="C707" s="246"/>
      <c r="D707" s="246"/>
      <c r="E707" s="246"/>
      <c r="F707" s="246"/>
      <c r="G707" s="246"/>
      <c r="H707" s="246"/>
      <c r="I707" s="246"/>
      <c r="J707" s="246"/>
      <c r="K707" s="246"/>
      <c r="L707" s="246"/>
      <c r="M707" s="246"/>
      <c r="N707" s="252"/>
      <c r="O707" s="246"/>
      <c r="P707" s="246"/>
      <c r="Q707" s="246"/>
      <c r="R707" s="246"/>
      <c r="S707" s="246"/>
      <c r="T707" s="246"/>
      <c r="U707" s="246"/>
      <c r="V707" s="246"/>
      <c r="W707" s="246"/>
      <c r="X707" s="246"/>
      <c r="Y707" s="246"/>
      <c r="Z707" s="246"/>
    </row>
    <row r="708">
      <c r="A708" s="246"/>
      <c r="B708" s="246"/>
      <c r="C708" s="246"/>
      <c r="D708" s="246"/>
      <c r="E708" s="246"/>
      <c r="F708" s="246"/>
      <c r="G708" s="246"/>
      <c r="H708" s="246"/>
      <c r="I708" s="246"/>
      <c r="J708" s="246"/>
      <c r="K708" s="246"/>
      <c r="L708" s="246"/>
      <c r="M708" s="246"/>
      <c r="N708" s="252"/>
      <c r="O708" s="246"/>
      <c r="P708" s="246"/>
      <c r="Q708" s="246"/>
      <c r="R708" s="246"/>
      <c r="S708" s="246"/>
      <c r="T708" s="246"/>
      <c r="U708" s="246"/>
      <c r="V708" s="246"/>
      <c r="W708" s="246"/>
      <c r="X708" s="246"/>
      <c r="Y708" s="246"/>
      <c r="Z708" s="246"/>
    </row>
    <row r="709">
      <c r="A709" s="246"/>
      <c r="B709" s="246"/>
      <c r="C709" s="246"/>
      <c r="D709" s="246"/>
      <c r="E709" s="246"/>
      <c r="F709" s="246"/>
      <c r="G709" s="246"/>
      <c r="H709" s="246"/>
      <c r="I709" s="246"/>
      <c r="J709" s="246"/>
      <c r="K709" s="246"/>
      <c r="L709" s="246"/>
      <c r="M709" s="246"/>
      <c r="N709" s="252"/>
      <c r="O709" s="246"/>
      <c r="P709" s="246"/>
      <c r="Q709" s="246"/>
      <c r="R709" s="246"/>
      <c r="S709" s="246"/>
      <c r="T709" s="246"/>
      <c r="U709" s="246"/>
      <c r="V709" s="246"/>
      <c r="W709" s="246"/>
      <c r="X709" s="246"/>
      <c r="Y709" s="246"/>
      <c r="Z709" s="246"/>
    </row>
    <row r="710">
      <c r="A710" s="246"/>
      <c r="B710" s="246"/>
      <c r="C710" s="246"/>
      <c r="D710" s="246"/>
      <c r="E710" s="246"/>
      <c r="F710" s="246"/>
      <c r="G710" s="246"/>
      <c r="H710" s="246"/>
      <c r="I710" s="246"/>
      <c r="J710" s="246"/>
      <c r="K710" s="246"/>
      <c r="L710" s="246"/>
      <c r="M710" s="246"/>
      <c r="N710" s="252"/>
      <c r="O710" s="246"/>
      <c r="P710" s="246"/>
      <c r="Q710" s="246"/>
      <c r="R710" s="246"/>
      <c r="S710" s="246"/>
      <c r="T710" s="246"/>
      <c r="U710" s="246"/>
      <c r="V710" s="246"/>
      <c r="W710" s="246"/>
      <c r="X710" s="246"/>
      <c r="Y710" s="246"/>
      <c r="Z710" s="246"/>
    </row>
    <row r="711">
      <c r="A711" s="246"/>
      <c r="B711" s="246"/>
      <c r="C711" s="246"/>
      <c r="D711" s="246"/>
      <c r="E711" s="246"/>
      <c r="F711" s="246"/>
      <c r="G711" s="246"/>
      <c r="H711" s="246"/>
      <c r="I711" s="246"/>
      <c r="J711" s="246"/>
      <c r="K711" s="246"/>
      <c r="L711" s="246"/>
      <c r="M711" s="246"/>
      <c r="N711" s="252"/>
      <c r="O711" s="246"/>
      <c r="P711" s="246"/>
      <c r="Q711" s="246"/>
      <c r="R711" s="246"/>
      <c r="S711" s="246"/>
      <c r="T711" s="246"/>
      <c r="U711" s="246"/>
      <c r="V711" s="246"/>
      <c r="W711" s="246"/>
      <c r="X711" s="246"/>
      <c r="Y711" s="246"/>
      <c r="Z711" s="246"/>
    </row>
    <row r="712">
      <c r="A712" s="246"/>
      <c r="B712" s="246"/>
      <c r="C712" s="246"/>
      <c r="D712" s="246"/>
      <c r="E712" s="246"/>
      <c r="F712" s="246"/>
      <c r="G712" s="246"/>
      <c r="H712" s="246"/>
      <c r="I712" s="246"/>
      <c r="J712" s="246"/>
      <c r="K712" s="246"/>
      <c r="L712" s="246"/>
      <c r="M712" s="246"/>
      <c r="N712" s="252"/>
      <c r="O712" s="246"/>
      <c r="P712" s="246"/>
      <c r="Q712" s="246"/>
      <c r="R712" s="246"/>
      <c r="S712" s="246"/>
      <c r="T712" s="246"/>
      <c r="U712" s="246"/>
      <c r="V712" s="246"/>
      <c r="W712" s="246"/>
      <c r="X712" s="246"/>
      <c r="Y712" s="246"/>
      <c r="Z712" s="246"/>
    </row>
    <row r="713">
      <c r="A713" s="246"/>
      <c r="B713" s="246"/>
      <c r="C713" s="246"/>
      <c r="D713" s="246"/>
      <c r="E713" s="246"/>
      <c r="F713" s="246"/>
      <c r="G713" s="246"/>
      <c r="H713" s="246"/>
      <c r="I713" s="246"/>
      <c r="J713" s="246"/>
      <c r="K713" s="246"/>
      <c r="L713" s="246"/>
      <c r="M713" s="246"/>
      <c r="N713" s="252"/>
      <c r="O713" s="246"/>
      <c r="P713" s="246"/>
      <c r="Q713" s="246"/>
      <c r="R713" s="246"/>
      <c r="S713" s="246"/>
      <c r="T713" s="246"/>
      <c r="U713" s="246"/>
      <c r="V713" s="246"/>
      <c r="W713" s="246"/>
      <c r="X713" s="246"/>
      <c r="Y713" s="246"/>
      <c r="Z713" s="246"/>
    </row>
    <row r="714">
      <c r="A714" s="246"/>
      <c r="B714" s="246"/>
      <c r="C714" s="246"/>
      <c r="D714" s="246"/>
      <c r="E714" s="246"/>
      <c r="F714" s="246"/>
      <c r="G714" s="246"/>
      <c r="H714" s="246"/>
      <c r="I714" s="246"/>
      <c r="J714" s="246"/>
      <c r="K714" s="246"/>
      <c r="L714" s="246"/>
      <c r="M714" s="246"/>
      <c r="N714" s="252"/>
      <c r="O714" s="246"/>
      <c r="P714" s="246"/>
      <c r="Q714" s="246"/>
      <c r="R714" s="246"/>
      <c r="S714" s="246"/>
      <c r="T714" s="246"/>
      <c r="U714" s="246"/>
      <c r="V714" s="246"/>
      <c r="W714" s="246"/>
      <c r="X714" s="246"/>
      <c r="Y714" s="246"/>
      <c r="Z714" s="246"/>
    </row>
    <row r="715">
      <c r="A715" s="246"/>
      <c r="B715" s="246"/>
      <c r="C715" s="246"/>
      <c r="D715" s="246"/>
      <c r="E715" s="246"/>
      <c r="F715" s="246"/>
      <c r="G715" s="246"/>
      <c r="H715" s="246"/>
      <c r="I715" s="246"/>
      <c r="J715" s="246"/>
      <c r="K715" s="246"/>
      <c r="L715" s="246"/>
      <c r="M715" s="246"/>
      <c r="N715" s="252"/>
      <c r="O715" s="246"/>
      <c r="P715" s="246"/>
      <c r="Q715" s="246"/>
      <c r="R715" s="246"/>
      <c r="S715" s="246"/>
      <c r="T715" s="246"/>
      <c r="U715" s="246"/>
      <c r="V715" s="246"/>
      <c r="W715" s="246"/>
      <c r="X715" s="246"/>
      <c r="Y715" s="246"/>
      <c r="Z715" s="246"/>
    </row>
    <row r="716">
      <c r="A716" s="246"/>
      <c r="B716" s="246"/>
      <c r="C716" s="246"/>
      <c r="D716" s="246"/>
      <c r="E716" s="246"/>
      <c r="F716" s="246"/>
      <c r="G716" s="246"/>
      <c r="H716" s="246"/>
      <c r="I716" s="246"/>
      <c r="J716" s="246"/>
      <c r="K716" s="246"/>
      <c r="L716" s="246"/>
      <c r="M716" s="246"/>
      <c r="N716" s="252"/>
      <c r="O716" s="246"/>
      <c r="P716" s="246"/>
      <c r="Q716" s="246"/>
      <c r="R716" s="246"/>
      <c r="S716" s="246"/>
      <c r="T716" s="246"/>
      <c r="U716" s="246"/>
      <c r="V716" s="246"/>
      <c r="W716" s="246"/>
      <c r="X716" s="246"/>
      <c r="Y716" s="246"/>
      <c r="Z716" s="246"/>
    </row>
    <row r="717">
      <c r="A717" s="246"/>
      <c r="B717" s="246"/>
      <c r="C717" s="246"/>
      <c r="D717" s="246"/>
      <c r="E717" s="246"/>
      <c r="F717" s="246"/>
      <c r="G717" s="246"/>
      <c r="H717" s="246"/>
      <c r="I717" s="246"/>
      <c r="J717" s="246"/>
      <c r="K717" s="246"/>
      <c r="L717" s="246"/>
      <c r="M717" s="246"/>
      <c r="N717" s="252"/>
      <c r="O717" s="246"/>
      <c r="P717" s="246"/>
      <c r="Q717" s="246"/>
      <c r="R717" s="246"/>
      <c r="S717" s="246"/>
      <c r="T717" s="246"/>
      <c r="U717" s="246"/>
      <c r="V717" s="246"/>
      <c r="W717" s="246"/>
      <c r="X717" s="246"/>
      <c r="Y717" s="246"/>
      <c r="Z717" s="246"/>
    </row>
    <row r="718">
      <c r="A718" s="246"/>
      <c r="B718" s="246"/>
      <c r="C718" s="246"/>
      <c r="D718" s="246"/>
      <c r="E718" s="246"/>
      <c r="F718" s="246"/>
      <c r="G718" s="246"/>
      <c r="H718" s="246"/>
      <c r="I718" s="246"/>
      <c r="J718" s="246"/>
      <c r="K718" s="246"/>
      <c r="L718" s="246"/>
      <c r="M718" s="246"/>
      <c r="N718" s="252"/>
      <c r="O718" s="246"/>
      <c r="P718" s="246"/>
      <c r="Q718" s="246"/>
      <c r="R718" s="246"/>
      <c r="S718" s="246"/>
      <c r="T718" s="246"/>
      <c r="U718" s="246"/>
      <c r="V718" s="246"/>
      <c r="W718" s="246"/>
      <c r="X718" s="246"/>
      <c r="Y718" s="246"/>
      <c r="Z718" s="246"/>
    </row>
    <row r="719">
      <c r="A719" s="246"/>
      <c r="B719" s="246"/>
      <c r="C719" s="246"/>
      <c r="D719" s="246"/>
      <c r="E719" s="246"/>
      <c r="F719" s="246"/>
      <c r="G719" s="246"/>
      <c r="H719" s="246"/>
      <c r="I719" s="246"/>
      <c r="J719" s="246"/>
      <c r="K719" s="246"/>
      <c r="L719" s="246"/>
      <c r="M719" s="246"/>
      <c r="N719" s="252"/>
      <c r="O719" s="246"/>
      <c r="P719" s="246"/>
      <c r="Q719" s="246"/>
      <c r="R719" s="246"/>
      <c r="S719" s="246"/>
      <c r="T719" s="246"/>
      <c r="U719" s="246"/>
      <c r="V719" s="246"/>
      <c r="W719" s="246"/>
      <c r="X719" s="246"/>
      <c r="Y719" s="246"/>
      <c r="Z719" s="246"/>
    </row>
    <row r="720">
      <c r="A720" s="246"/>
      <c r="B720" s="246"/>
      <c r="C720" s="246"/>
      <c r="D720" s="246"/>
      <c r="E720" s="246"/>
      <c r="F720" s="246"/>
      <c r="G720" s="246"/>
      <c r="H720" s="246"/>
      <c r="I720" s="246"/>
      <c r="J720" s="246"/>
      <c r="K720" s="246"/>
      <c r="L720" s="246"/>
      <c r="M720" s="246"/>
      <c r="N720" s="252"/>
      <c r="O720" s="246"/>
      <c r="P720" s="246"/>
      <c r="Q720" s="246"/>
      <c r="R720" s="246"/>
      <c r="S720" s="246"/>
      <c r="T720" s="246"/>
      <c r="U720" s="246"/>
      <c r="V720" s="246"/>
      <c r="W720" s="246"/>
      <c r="X720" s="246"/>
      <c r="Y720" s="246"/>
      <c r="Z720" s="246"/>
    </row>
    <row r="721">
      <c r="A721" s="246"/>
      <c r="B721" s="246"/>
      <c r="C721" s="246"/>
      <c r="D721" s="246"/>
      <c r="E721" s="246"/>
      <c r="F721" s="246"/>
      <c r="G721" s="246"/>
      <c r="H721" s="246"/>
      <c r="I721" s="246"/>
      <c r="J721" s="246"/>
      <c r="K721" s="246"/>
      <c r="L721" s="246"/>
      <c r="M721" s="246"/>
      <c r="N721" s="252"/>
      <c r="O721" s="246"/>
      <c r="P721" s="246"/>
      <c r="Q721" s="246"/>
      <c r="R721" s="246"/>
      <c r="S721" s="246"/>
      <c r="T721" s="246"/>
      <c r="U721" s="246"/>
      <c r="V721" s="246"/>
      <c r="W721" s="246"/>
      <c r="X721" s="246"/>
      <c r="Y721" s="246"/>
      <c r="Z721" s="246"/>
    </row>
    <row r="722">
      <c r="A722" s="246"/>
      <c r="B722" s="246"/>
      <c r="C722" s="246"/>
      <c r="D722" s="246"/>
      <c r="E722" s="246"/>
      <c r="F722" s="246"/>
      <c r="G722" s="246"/>
      <c r="H722" s="246"/>
      <c r="I722" s="246"/>
      <c r="J722" s="246"/>
      <c r="K722" s="246"/>
      <c r="L722" s="246"/>
      <c r="M722" s="246"/>
      <c r="N722" s="252"/>
      <c r="O722" s="246"/>
      <c r="P722" s="246"/>
      <c r="Q722" s="246"/>
      <c r="R722" s="246"/>
      <c r="S722" s="246"/>
      <c r="T722" s="246"/>
      <c r="U722" s="246"/>
      <c r="V722" s="246"/>
      <c r="W722" s="246"/>
      <c r="X722" s="246"/>
      <c r="Y722" s="246"/>
      <c r="Z722" s="246"/>
    </row>
    <row r="723">
      <c r="A723" s="246"/>
      <c r="B723" s="246"/>
      <c r="C723" s="246"/>
      <c r="D723" s="246"/>
      <c r="E723" s="246"/>
      <c r="F723" s="246"/>
      <c r="G723" s="246"/>
      <c r="H723" s="246"/>
      <c r="I723" s="246"/>
      <c r="J723" s="246"/>
      <c r="K723" s="246"/>
      <c r="L723" s="246"/>
      <c r="M723" s="246"/>
      <c r="N723" s="252"/>
      <c r="O723" s="246"/>
      <c r="P723" s="246"/>
      <c r="Q723" s="246"/>
      <c r="R723" s="246"/>
      <c r="S723" s="246"/>
      <c r="T723" s="246"/>
      <c r="U723" s="246"/>
      <c r="V723" s="246"/>
      <c r="W723" s="246"/>
      <c r="X723" s="246"/>
      <c r="Y723" s="246"/>
      <c r="Z723" s="246"/>
    </row>
    <row r="724">
      <c r="A724" s="246"/>
      <c r="B724" s="246"/>
      <c r="C724" s="246"/>
      <c r="D724" s="246"/>
      <c r="E724" s="246"/>
      <c r="F724" s="246"/>
      <c r="G724" s="246"/>
      <c r="H724" s="246"/>
      <c r="I724" s="246"/>
      <c r="J724" s="246"/>
      <c r="K724" s="246"/>
      <c r="L724" s="246"/>
      <c r="M724" s="246"/>
      <c r="N724" s="252"/>
      <c r="O724" s="246"/>
      <c r="P724" s="246"/>
      <c r="Q724" s="246"/>
      <c r="R724" s="246"/>
      <c r="S724" s="246"/>
      <c r="T724" s="246"/>
      <c r="U724" s="246"/>
      <c r="V724" s="246"/>
      <c r="W724" s="246"/>
      <c r="X724" s="246"/>
      <c r="Y724" s="246"/>
      <c r="Z724" s="246"/>
    </row>
    <row r="725">
      <c r="A725" s="246"/>
      <c r="B725" s="246"/>
      <c r="C725" s="246"/>
      <c r="D725" s="246"/>
      <c r="E725" s="246"/>
      <c r="F725" s="246"/>
      <c r="G725" s="246"/>
      <c r="H725" s="246"/>
      <c r="I725" s="246"/>
      <c r="J725" s="246"/>
      <c r="K725" s="246"/>
      <c r="L725" s="246"/>
      <c r="M725" s="246"/>
      <c r="N725" s="252"/>
      <c r="O725" s="246"/>
      <c r="P725" s="246"/>
      <c r="Q725" s="246"/>
      <c r="R725" s="246"/>
      <c r="S725" s="246"/>
      <c r="T725" s="246"/>
      <c r="U725" s="246"/>
      <c r="V725" s="246"/>
      <c r="W725" s="246"/>
      <c r="X725" s="246"/>
      <c r="Y725" s="246"/>
      <c r="Z725" s="246"/>
    </row>
    <row r="726">
      <c r="A726" s="246"/>
      <c r="B726" s="246"/>
      <c r="C726" s="246"/>
      <c r="D726" s="246"/>
      <c r="E726" s="246"/>
      <c r="F726" s="246"/>
      <c r="G726" s="246"/>
      <c r="H726" s="246"/>
      <c r="I726" s="246"/>
      <c r="J726" s="246"/>
      <c r="K726" s="246"/>
      <c r="L726" s="246"/>
      <c r="M726" s="246"/>
      <c r="N726" s="252"/>
      <c r="O726" s="246"/>
      <c r="P726" s="246"/>
      <c r="Q726" s="246"/>
      <c r="R726" s="246"/>
      <c r="S726" s="246"/>
      <c r="T726" s="246"/>
      <c r="U726" s="246"/>
      <c r="V726" s="246"/>
      <c r="W726" s="246"/>
      <c r="X726" s="246"/>
      <c r="Y726" s="246"/>
      <c r="Z726" s="246"/>
    </row>
    <row r="727">
      <c r="A727" s="246"/>
      <c r="B727" s="246"/>
      <c r="C727" s="246"/>
      <c r="D727" s="246"/>
      <c r="E727" s="246"/>
      <c r="F727" s="246"/>
      <c r="G727" s="246"/>
      <c r="H727" s="246"/>
      <c r="I727" s="246"/>
      <c r="J727" s="246"/>
      <c r="K727" s="246"/>
      <c r="L727" s="246"/>
      <c r="M727" s="246"/>
      <c r="N727" s="252"/>
      <c r="O727" s="246"/>
      <c r="P727" s="246"/>
      <c r="Q727" s="246"/>
      <c r="R727" s="246"/>
      <c r="S727" s="246"/>
      <c r="T727" s="246"/>
      <c r="U727" s="246"/>
      <c r="V727" s="246"/>
      <c r="W727" s="246"/>
      <c r="X727" s="246"/>
      <c r="Y727" s="246"/>
      <c r="Z727" s="246"/>
    </row>
    <row r="728">
      <c r="A728" s="246"/>
      <c r="B728" s="246"/>
      <c r="C728" s="246"/>
      <c r="D728" s="246"/>
      <c r="E728" s="246"/>
      <c r="F728" s="246"/>
      <c r="G728" s="246"/>
      <c r="H728" s="246"/>
      <c r="I728" s="246"/>
      <c r="J728" s="246"/>
      <c r="K728" s="246"/>
      <c r="L728" s="246"/>
      <c r="M728" s="246"/>
      <c r="N728" s="252"/>
      <c r="O728" s="246"/>
      <c r="P728" s="246"/>
      <c r="Q728" s="246"/>
      <c r="R728" s="246"/>
      <c r="S728" s="246"/>
      <c r="T728" s="246"/>
      <c r="U728" s="246"/>
      <c r="V728" s="246"/>
      <c r="W728" s="246"/>
      <c r="X728" s="246"/>
      <c r="Y728" s="246"/>
      <c r="Z728" s="246"/>
    </row>
    <row r="729">
      <c r="A729" s="246"/>
      <c r="B729" s="246"/>
      <c r="C729" s="246"/>
      <c r="D729" s="246"/>
      <c r="E729" s="246"/>
      <c r="F729" s="246"/>
      <c r="G729" s="246"/>
      <c r="H729" s="246"/>
      <c r="I729" s="246"/>
      <c r="J729" s="246"/>
      <c r="K729" s="246"/>
      <c r="L729" s="246"/>
      <c r="M729" s="246"/>
      <c r="N729" s="252"/>
      <c r="O729" s="246"/>
      <c r="P729" s="246"/>
      <c r="Q729" s="246"/>
      <c r="R729" s="246"/>
      <c r="S729" s="246"/>
      <c r="T729" s="246"/>
      <c r="U729" s="246"/>
      <c r="V729" s="246"/>
      <c r="W729" s="246"/>
      <c r="X729" s="246"/>
      <c r="Y729" s="246"/>
      <c r="Z729" s="246"/>
    </row>
    <row r="730">
      <c r="A730" s="246"/>
      <c r="B730" s="246"/>
      <c r="C730" s="246"/>
      <c r="D730" s="246"/>
      <c r="E730" s="246"/>
      <c r="F730" s="246"/>
      <c r="G730" s="246"/>
      <c r="H730" s="246"/>
      <c r="I730" s="246"/>
      <c r="J730" s="246"/>
      <c r="K730" s="246"/>
      <c r="L730" s="246"/>
      <c r="M730" s="246"/>
      <c r="N730" s="252"/>
      <c r="O730" s="246"/>
      <c r="P730" s="246"/>
      <c r="Q730" s="246"/>
      <c r="R730" s="246"/>
      <c r="S730" s="246"/>
      <c r="T730" s="246"/>
      <c r="U730" s="246"/>
      <c r="V730" s="246"/>
      <c r="W730" s="246"/>
      <c r="X730" s="246"/>
      <c r="Y730" s="246"/>
      <c r="Z730" s="246"/>
    </row>
    <row r="731">
      <c r="A731" s="246"/>
      <c r="B731" s="246"/>
      <c r="C731" s="246"/>
      <c r="D731" s="246"/>
      <c r="E731" s="246"/>
      <c r="F731" s="246"/>
      <c r="G731" s="246"/>
      <c r="H731" s="246"/>
      <c r="I731" s="246"/>
      <c r="J731" s="246"/>
      <c r="K731" s="246"/>
      <c r="L731" s="246"/>
      <c r="M731" s="246"/>
      <c r="N731" s="252"/>
      <c r="O731" s="246"/>
      <c r="P731" s="246"/>
      <c r="Q731" s="246"/>
      <c r="R731" s="246"/>
      <c r="S731" s="246"/>
      <c r="T731" s="246"/>
      <c r="U731" s="246"/>
      <c r="V731" s="246"/>
      <c r="W731" s="246"/>
      <c r="X731" s="246"/>
      <c r="Y731" s="246"/>
      <c r="Z731" s="246"/>
    </row>
    <row r="732">
      <c r="A732" s="246"/>
      <c r="B732" s="246"/>
      <c r="C732" s="246"/>
      <c r="D732" s="246"/>
      <c r="E732" s="246"/>
      <c r="F732" s="246"/>
      <c r="G732" s="246"/>
      <c r="H732" s="246"/>
      <c r="I732" s="246"/>
      <c r="J732" s="246"/>
      <c r="K732" s="246"/>
      <c r="L732" s="246"/>
      <c r="M732" s="246"/>
      <c r="N732" s="252"/>
      <c r="O732" s="246"/>
      <c r="P732" s="246"/>
      <c r="Q732" s="246"/>
      <c r="R732" s="246"/>
      <c r="S732" s="246"/>
      <c r="T732" s="246"/>
      <c r="U732" s="246"/>
      <c r="V732" s="246"/>
      <c r="W732" s="246"/>
      <c r="X732" s="246"/>
      <c r="Y732" s="246"/>
      <c r="Z732" s="246"/>
    </row>
    <row r="733">
      <c r="A733" s="246"/>
      <c r="B733" s="246"/>
      <c r="C733" s="246"/>
      <c r="D733" s="246"/>
      <c r="E733" s="246"/>
      <c r="F733" s="246"/>
      <c r="G733" s="246"/>
      <c r="H733" s="246"/>
      <c r="I733" s="246"/>
      <c r="J733" s="246"/>
      <c r="K733" s="246"/>
      <c r="L733" s="246"/>
      <c r="M733" s="246"/>
      <c r="N733" s="252"/>
      <c r="O733" s="246"/>
      <c r="P733" s="246"/>
      <c r="Q733" s="246"/>
      <c r="R733" s="246"/>
      <c r="S733" s="246"/>
      <c r="T733" s="246"/>
      <c r="U733" s="246"/>
      <c r="V733" s="246"/>
      <c r="W733" s="246"/>
      <c r="X733" s="246"/>
      <c r="Y733" s="246"/>
      <c r="Z733" s="246"/>
    </row>
    <row r="734">
      <c r="A734" s="246"/>
      <c r="B734" s="246"/>
      <c r="C734" s="246"/>
      <c r="D734" s="246"/>
      <c r="E734" s="246"/>
      <c r="F734" s="246"/>
      <c r="G734" s="246"/>
      <c r="H734" s="246"/>
      <c r="I734" s="246"/>
      <c r="J734" s="246"/>
      <c r="K734" s="246"/>
      <c r="L734" s="246"/>
      <c r="M734" s="246"/>
      <c r="N734" s="252"/>
      <c r="O734" s="246"/>
      <c r="P734" s="246"/>
      <c r="Q734" s="246"/>
      <c r="R734" s="246"/>
      <c r="S734" s="246"/>
      <c r="T734" s="246"/>
      <c r="U734" s="246"/>
      <c r="V734" s="246"/>
      <c r="W734" s="246"/>
      <c r="X734" s="246"/>
      <c r="Y734" s="246"/>
      <c r="Z734" s="246"/>
    </row>
    <row r="735">
      <c r="A735" s="246"/>
      <c r="B735" s="246"/>
      <c r="C735" s="246"/>
      <c r="D735" s="246"/>
      <c r="E735" s="246"/>
      <c r="F735" s="246"/>
      <c r="G735" s="246"/>
      <c r="H735" s="246"/>
      <c r="I735" s="246"/>
      <c r="J735" s="246"/>
      <c r="K735" s="246"/>
      <c r="L735" s="246"/>
      <c r="M735" s="246"/>
      <c r="N735" s="252"/>
      <c r="O735" s="246"/>
      <c r="P735" s="246"/>
      <c r="Q735" s="246"/>
      <c r="R735" s="246"/>
      <c r="S735" s="246"/>
      <c r="T735" s="246"/>
      <c r="U735" s="246"/>
      <c r="V735" s="246"/>
      <c r="W735" s="246"/>
      <c r="X735" s="246"/>
      <c r="Y735" s="246"/>
      <c r="Z735" s="246"/>
    </row>
    <row r="736">
      <c r="A736" s="246"/>
      <c r="B736" s="246"/>
      <c r="C736" s="246"/>
      <c r="D736" s="246"/>
      <c r="E736" s="246"/>
      <c r="F736" s="246"/>
      <c r="G736" s="246"/>
      <c r="H736" s="246"/>
      <c r="I736" s="246"/>
      <c r="J736" s="246"/>
      <c r="K736" s="246"/>
      <c r="L736" s="246"/>
      <c r="M736" s="246"/>
      <c r="N736" s="252"/>
      <c r="O736" s="246"/>
      <c r="P736" s="246"/>
      <c r="Q736" s="246"/>
      <c r="R736" s="246"/>
      <c r="S736" s="246"/>
      <c r="T736" s="246"/>
      <c r="U736" s="246"/>
      <c r="V736" s="246"/>
      <c r="W736" s="246"/>
      <c r="X736" s="246"/>
      <c r="Y736" s="246"/>
      <c r="Z736" s="246"/>
    </row>
    <row r="737">
      <c r="A737" s="246"/>
      <c r="B737" s="246"/>
      <c r="C737" s="246"/>
      <c r="D737" s="246"/>
      <c r="E737" s="246"/>
      <c r="F737" s="246"/>
      <c r="G737" s="246"/>
      <c r="H737" s="246"/>
      <c r="I737" s="246"/>
      <c r="J737" s="246"/>
      <c r="K737" s="246"/>
      <c r="L737" s="246"/>
      <c r="M737" s="246"/>
      <c r="N737" s="252"/>
      <c r="O737" s="246"/>
      <c r="P737" s="246"/>
      <c r="Q737" s="246"/>
      <c r="R737" s="246"/>
      <c r="S737" s="246"/>
      <c r="T737" s="246"/>
      <c r="U737" s="246"/>
      <c r="V737" s="246"/>
      <c r="W737" s="246"/>
      <c r="X737" s="246"/>
      <c r="Y737" s="246"/>
      <c r="Z737" s="246"/>
    </row>
    <row r="738">
      <c r="A738" s="246"/>
      <c r="B738" s="246"/>
      <c r="C738" s="246"/>
      <c r="D738" s="246"/>
      <c r="E738" s="246"/>
      <c r="F738" s="246"/>
      <c r="G738" s="246"/>
      <c r="H738" s="246"/>
      <c r="I738" s="246"/>
      <c r="J738" s="246"/>
      <c r="K738" s="246"/>
      <c r="L738" s="246"/>
      <c r="M738" s="246"/>
      <c r="N738" s="252"/>
      <c r="O738" s="246"/>
      <c r="P738" s="246"/>
      <c r="Q738" s="246"/>
      <c r="R738" s="246"/>
      <c r="S738" s="246"/>
      <c r="T738" s="246"/>
      <c r="U738" s="246"/>
      <c r="V738" s="246"/>
      <c r="W738" s="246"/>
      <c r="X738" s="246"/>
      <c r="Y738" s="246"/>
      <c r="Z738" s="246"/>
    </row>
    <row r="739">
      <c r="A739" s="246"/>
      <c r="B739" s="246"/>
      <c r="C739" s="246"/>
      <c r="D739" s="246"/>
      <c r="E739" s="246"/>
      <c r="F739" s="246"/>
      <c r="G739" s="246"/>
      <c r="H739" s="246"/>
      <c r="I739" s="246"/>
      <c r="J739" s="246"/>
      <c r="K739" s="246"/>
      <c r="L739" s="246"/>
      <c r="M739" s="246"/>
      <c r="N739" s="252"/>
      <c r="O739" s="246"/>
      <c r="P739" s="246"/>
      <c r="Q739" s="246"/>
      <c r="R739" s="246"/>
      <c r="S739" s="246"/>
      <c r="T739" s="246"/>
      <c r="U739" s="246"/>
      <c r="V739" s="246"/>
      <c r="W739" s="246"/>
      <c r="X739" s="246"/>
      <c r="Y739" s="246"/>
      <c r="Z739" s="246"/>
    </row>
    <row r="740">
      <c r="A740" s="246"/>
      <c r="B740" s="246"/>
      <c r="C740" s="246"/>
      <c r="D740" s="246"/>
      <c r="E740" s="246"/>
      <c r="F740" s="246"/>
      <c r="G740" s="246"/>
      <c r="H740" s="246"/>
      <c r="I740" s="246"/>
      <c r="J740" s="246"/>
      <c r="K740" s="246"/>
      <c r="L740" s="246"/>
      <c r="M740" s="246"/>
      <c r="N740" s="252"/>
      <c r="O740" s="246"/>
      <c r="P740" s="246"/>
      <c r="Q740" s="246"/>
      <c r="R740" s="246"/>
      <c r="S740" s="246"/>
      <c r="T740" s="246"/>
      <c r="U740" s="246"/>
      <c r="V740" s="246"/>
      <c r="W740" s="246"/>
      <c r="X740" s="246"/>
      <c r="Y740" s="246"/>
      <c r="Z740" s="246"/>
    </row>
    <row r="741">
      <c r="A741" s="246"/>
      <c r="B741" s="246"/>
      <c r="C741" s="246"/>
      <c r="D741" s="246"/>
      <c r="E741" s="246"/>
      <c r="F741" s="246"/>
      <c r="G741" s="246"/>
      <c r="H741" s="246"/>
      <c r="I741" s="246"/>
      <c r="J741" s="246"/>
      <c r="K741" s="246"/>
      <c r="L741" s="246"/>
      <c r="M741" s="246"/>
      <c r="N741" s="252"/>
      <c r="O741" s="246"/>
      <c r="P741" s="246"/>
      <c r="Q741" s="246"/>
      <c r="R741" s="246"/>
      <c r="S741" s="246"/>
      <c r="T741" s="246"/>
      <c r="U741" s="246"/>
      <c r="V741" s="246"/>
      <c r="W741" s="246"/>
      <c r="X741" s="246"/>
      <c r="Y741" s="246"/>
      <c r="Z741" s="246"/>
    </row>
    <row r="742">
      <c r="A742" s="246"/>
      <c r="B742" s="246"/>
      <c r="C742" s="246"/>
      <c r="D742" s="246"/>
      <c r="E742" s="246"/>
      <c r="F742" s="246"/>
      <c r="G742" s="246"/>
      <c r="H742" s="246"/>
      <c r="I742" s="246"/>
      <c r="J742" s="246"/>
      <c r="K742" s="246"/>
      <c r="L742" s="246"/>
      <c r="M742" s="246"/>
      <c r="N742" s="252"/>
      <c r="O742" s="246"/>
      <c r="P742" s="246"/>
      <c r="Q742" s="246"/>
      <c r="R742" s="246"/>
      <c r="S742" s="246"/>
      <c r="T742" s="246"/>
      <c r="U742" s="246"/>
      <c r="V742" s="246"/>
      <c r="W742" s="246"/>
      <c r="X742" s="246"/>
      <c r="Y742" s="246"/>
      <c r="Z742" s="246"/>
    </row>
    <row r="743">
      <c r="A743" s="246"/>
      <c r="B743" s="246"/>
      <c r="C743" s="246"/>
      <c r="D743" s="246"/>
      <c r="E743" s="246"/>
      <c r="F743" s="246"/>
      <c r="G743" s="246"/>
      <c r="H743" s="246"/>
      <c r="I743" s="246"/>
      <c r="J743" s="246"/>
      <c r="K743" s="246"/>
      <c r="L743" s="246"/>
      <c r="M743" s="246"/>
      <c r="N743" s="252"/>
      <c r="O743" s="246"/>
      <c r="P743" s="246"/>
      <c r="Q743" s="246"/>
      <c r="R743" s="246"/>
      <c r="S743" s="246"/>
      <c r="T743" s="246"/>
      <c r="U743" s="246"/>
      <c r="V743" s="246"/>
      <c r="W743" s="246"/>
      <c r="X743" s="246"/>
      <c r="Y743" s="246"/>
      <c r="Z743" s="246"/>
    </row>
    <row r="744">
      <c r="A744" s="246"/>
      <c r="B744" s="246"/>
      <c r="C744" s="246"/>
      <c r="D744" s="246"/>
      <c r="E744" s="246"/>
      <c r="F744" s="246"/>
      <c r="G744" s="246"/>
      <c r="H744" s="246"/>
      <c r="I744" s="246"/>
      <c r="J744" s="246"/>
      <c r="K744" s="246"/>
      <c r="L744" s="246"/>
      <c r="M744" s="246"/>
      <c r="N744" s="252"/>
      <c r="O744" s="246"/>
      <c r="P744" s="246"/>
      <c r="Q744" s="246"/>
      <c r="R744" s="246"/>
      <c r="S744" s="246"/>
      <c r="T744" s="246"/>
      <c r="U744" s="246"/>
      <c r="V744" s="246"/>
      <c r="W744" s="246"/>
      <c r="X744" s="246"/>
      <c r="Y744" s="246"/>
      <c r="Z744" s="246"/>
    </row>
    <row r="745">
      <c r="A745" s="246"/>
      <c r="B745" s="246"/>
      <c r="C745" s="246"/>
      <c r="D745" s="246"/>
      <c r="E745" s="246"/>
      <c r="F745" s="246"/>
      <c r="G745" s="246"/>
      <c r="H745" s="246"/>
      <c r="I745" s="246"/>
      <c r="J745" s="246"/>
      <c r="K745" s="246"/>
      <c r="L745" s="246"/>
      <c r="M745" s="246"/>
      <c r="N745" s="252"/>
      <c r="O745" s="246"/>
      <c r="P745" s="246"/>
      <c r="Q745" s="246"/>
      <c r="R745" s="246"/>
      <c r="S745" s="246"/>
      <c r="T745" s="246"/>
      <c r="U745" s="246"/>
      <c r="V745" s="246"/>
      <c r="W745" s="246"/>
      <c r="X745" s="246"/>
      <c r="Y745" s="246"/>
      <c r="Z745" s="246"/>
    </row>
    <row r="746">
      <c r="A746" s="246"/>
      <c r="B746" s="246"/>
      <c r="C746" s="246"/>
      <c r="D746" s="246"/>
      <c r="E746" s="246"/>
      <c r="F746" s="246"/>
      <c r="G746" s="246"/>
      <c r="H746" s="246"/>
      <c r="I746" s="246"/>
      <c r="J746" s="246"/>
      <c r="K746" s="246"/>
      <c r="L746" s="246"/>
      <c r="M746" s="246"/>
      <c r="N746" s="252"/>
      <c r="O746" s="246"/>
      <c r="P746" s="246"/>
      <c r="Q746" s="246"/>
      <c r="R746" s="246"/>
      <c r="S746" s="246"/>
      <c r="T746" s="246"/>
      <c r="U746" s="246"/>
      <c r="V746" s="246"/>
      <c r="W746" s="246"/>
      <c r="X746" s="246"/>
      <c r="Y746" s="246"/>
      <c r="Z746" s="246"/>
    </row>
    <row r="747">
      <c r="A747" s="246"/>
      <c r="B747" s="246"/>
      <c r="C747" s="246"/>
      <c r="D747" s="246"/>
      <c r="E747" s="246"/>
      <c r="F747" s="246"/>
      <c r="G747" s="246"/>
      <c r="H747" s="246"/>
      <c r="I747" s="246"/>
      <c r="J747" s="246"/>
      <c r="K747" s="246"/>
      <c r="L747" s="246"/>
      <c r="M747" s="246"/>
      <c r="N747" s="252"/>
      <c r="O747" s="246"/>
      <c r="P747" s="246"/>
      <c r="Q747" s="246"/>
      <c r="R747" s="246"/>
      <c r="S747" s="246"/>
      <c r="T747" s="246"/>
      <c r="U747" s="246"/>
      <c r="V747" s="246"/>
      <c r="W747" s="246"/>
      <c r="X747" s="246"/>
      <c r="Y747" s="246"/>
      <c r="Z747" s="246"/>
    </row>
    <row r="748">
      <c r="A748" s="246"/>
      <c r="B748" s="246"/>
      <c r="C748" s="246"/>
      <c r="D748" s="246"/>
      <c r="E748" s="246"/>
      <c r="F748" s="246"/>
      <c r="G748" s="246"/>
      <c r="H748" s="246"/>
      <c r="I748" s="246"/>
      <c r="J748" s="246"/>
      <c r="K748" s="246"/>
      <c r="L748" s="246"/>
      <c r="M748" s="246"/>
      <c r="N748" s="252"/>
      <c r="O748" s="246"/>
      <c r="P748" s="246"/>
      <c r="Q748" s="246"/>
      <c r="R748" s="246"/>
      <c r="S748" s="246"/>
      <c r="T748" s="246"/>
      <c r="U748" s="246"/>
      <c r="V748" s="246"/>
      <c r="W748" s="246"/>
      <c r="X748" s="246"/>
      <c r="Y748" s="246"/>
      <c r="Z748" s="246"/>
    </row>
    <row r="749">
      <c r="A749" s="246"/>
      <c r="B749" s="246"/>
      <c r="C749" s="246"/>
      <c r="D749" s="246"/>
      <c r="E749" s="246"/>
      <c r="F749" s="246"/>
      <c r="G749" s="246"/>
      <c r="H749" s="246"/>
      <c r="I749" s="246"/>
      <c r="J749" s="246"/>
      <c r="K749" s="246"/>
      <c r="L749" s="246"/>
      <c r="M749" s="246"/>
      <c r="N749" s="252"/>
      <c r="O749" s="246"/>
      <c r="P749" s="246"/>
      <c r="Q749" s="246"/>
      <c r="R749" s="246"/>
      <c r="S749" s="246"/>
      <c r="T749" s="246"/>
      <c r="U749" s="246"/>
      <c r="V749" s="246"/>
      <c r="W749" s="246"/>
      <c r="X749" s="246"/>
      <c r="Y749" s="246"/>
      <c r="Z749" s="246"/>
    </row>
    <row r="750">
      <c r="A750" s="246"/>
      <c r="B750" s="246"/>
      <c r="C750" s="246"/>
      <c r="D750" s="246"/>
      <c r="E750" s="246"/>
      <c r="F750" s="246"/>
      <c r="G750" s="246"/>
      <c r="H750" s="246"/>
      <c r="I750" s="246"/>
      <c r="J750" s="246"/>
      <c r="K750" s="246"/>
      <c r="L750" s="246"/>
      <c r="M750" s="246"/>
      <c r="N750" s="252"/>
      <c r="O750" s="246"/>
      <c r="P750" s="246"/>
      <c r="Q750" s="246"/>
      <c r="R750" s="246"/>
      <c r="S750" s="246"/>
      <c r="T750" s="246"/>
      <c r="U750" s="246"/>
      <c r="V750" s="246"/>
      <c r="W750" s="246"/>
      <c r="X750" s="246"/>
      <c r="Y750" s="246"/>
      <c r="Z750" s="246"/>
    </row>
    <row r="751">
      <c r="A751" s="246"/>
      <c r="B751" s="246"/>
      <c r="C751" s="246"/>
      <c r="D751" s="246"/>
      <c r="E751" s="246"/>
      <c r="F751" s="246"/>
      <c r="G751" s="246"/>
      <c r="H751" s="246"/>
      <c r="I751" s="246"/>
      <c r="J751" s="246"/>
      <c r="K751" s="246"/>
      <c r="L751" s="246"/>
      <c r="M751" s="246"/>
      <c r="N751" s="252"/>
      <c r="O751" s="246"/>
      <c r="P751" s="246"/>
      <c r="Q751" s="246"/>
      <c r="R751" s="246"/>
      <c r="S751" s="246"/>
      <c r="T751" s="246"/>
      <c r="U751" s="246"/>
      <c r="V751" s="246"/>
      <c r="W751" s="246"/>
      <c r="X751" s="246"/>
      <c r="Y751" s="246"/>
      <c r="Z751" s="246"/>
    </row>
    <row r="752">
      <c r="A752" s="246"/>
      <c r="B752" s="246"/>
      <c r="C752" s="246"/>
      <c r="D752" s="246"/>
      <c r="E752" s="246"/>
      <c r="F752" s="246"/>
      <c r="G752" s="246"/>
      <c r="H752" s="246"/>
      <c r="I752" s="246"/>
      <c r="J752" s="246"/>
      <c r="K752" s="246"/>
      <c r="L752" s="246"/>
      <c r="M752" s="246"/>
      <c r="N752" s="252"/>
      <c r="O752" s="246"/>
      <c r="P752" s="246"/>
      <c r="Q752" s="246"/>
      <c r="R752" s="246"/>
      <c r="S752" s="246"/>
      <c r="T752" s="246"/>
      <c r="U752" s="246"/>
      <c r="V752" s="246"/>
      <c r="W752" s="246"/>
      <c r="X752" s="246"/>
      <c r="Y752" s="246"/>
      <c r="Z752" s="246"/>
    </row>
    <row r="753">
      <c r="A753" s="246"/>
      <c r="B753" s="246"/>
      <c r="C753" s="246"/>
      <c r="D753" s="246"/>
      <c r="E753" s="246"/>
      <c r="F753" s="246"/>
      <c r="G753" s="246"/>
      <c r="H753" s="246"/>
      <c r="I753" s="246"/>
      <c r="J753" s="246"/>
      <c r="K753" s="246"/>
      <c r="L753" s="246"/>
      <c r="M753" s="246"/>
      <c r="N753" s="252"/>
      <c r="O753" s="246"/>
      <c r="P753" s="246"/>
      <c r="Q753" s="246"/>
      <c r="R753" s="246"/>
      <c r="S753" s="246"/>
      <c r="T753" s="246"/>
      <c r="U753" s="246"/>
      <c r="V753" s="246"/>
      <c r="W753" s="246"/>
      <c r="X753" s="246"/>
      <c r="Y753" s="246"/>
      <c r="Z753" s="246"/>
    </row>
    <row r="754">
      <c r="A754" s="246"/>
      <c r="B754" s="246"/>
      <c r="C754" s="246"/>
      <c r="D754" s="246"/>
      <c r="E754" s="246"/>
      <c r="F754" s="246"/>
      <c r="G754" s="246"/>
      <c r="H754" s="246"/>
      <c r="I754" s="246"/>
      <c r="J754" s="246"/>
      <c r="K754" s="246"/>
      <c r="L754" s="246"/>
      <c r="M754" s="246"/>
      <c r="N754" s="252"/>
      <c r="O754" s="246"/>
      <c r="P754" s="246"/>
      <c r="Q754" s="246"/>
      <c r="R754" s="246"/>
      <c r="S754" s="246"/>
      <c r="T754" s="246"/>
      <c r="U754" s="246"/>
      <c r="V754" s="246"/>
      <c r="W754" s="246"/>
      <c r="X754" s="246"/>
      <c r="Y754" s="246"/>
      <c r="Z754" s="246"/>
    </row>
    <row r="755">
      <c r="A755" s="246"/>
      <c r="B755" s="246"/>
      <c r="C755" s="246"/>
      <c r="D755" s="246"/>
      <c r="E755" s="246"/>
      <c r="F755" s="246"/>
      <c r="G755" s="246"/>
      <c r="H755" s="246"/>
      <c r="I755" s="246"/>
      <c r="J755" s="246"/>
      <c r="K755" s="246"/>
      <c r="L755" s="246"/>
      <c r="M755" s="246"/>
      <c r="N755" s="252"/>
      <c r="O755" s="246"/>
      <c r="P755" s="246"/>
      <c r="Q755" s="246"/>
      <c r="R755" s="246"/>
      <c r="S755" s="246"/>
      <c r="T755" s="246"/>
      <c r="U755" s="246"/>
      <c r="V755" s="246"/>
      <c r="W755" s="246"/>
      <c r="X755" s="246"/>
      <c r="Y755" s="246"/>
      <c r="Z755" s="246"/>
    </row>
    <row r="756">
      <c r="A756" s="246"/>
      <c r="B756" s="246"/>
      <c r="C756" s="246"/>
      <c r="D756" s="246"/>
      <c r="E756" s="246"/>
      <c r="F756" s="246"/>
      <c r="G756" s="246"/>
      <c r="H756" s="246"/>
      <c r="I756" s="246"/>
      <c r="J756" s="246"/>
      <c r="K756" s="246"/>
      <c r="L756" s="246"/>
      <c r="M756" s="246"/>
      <c r="N756" s="252"/>
      <c r="O756" s="246"/>
      <c r="P756" s="246"/>
      <c r="Q756" s="246"/>
      <c r="R756" s="246"/>
      <c r="S756" s="246"/>
      <c r="T756" s="246"/>
      <c r="U756" s="246"/>
      <c r="V756" s="246"/>
      <c r="W756" s="246"/>
      <c r="X756" s="246"/>
      <c r="Y756" s="246"/>
      <c r="Z756" s="246"/>
    </row>
    <row r="757">
      <c r="A757" s="246"/>
      <c r="B757" s="246"/>
      <c r="C757" s="246"/>
      <c r="D757" s="246"/>
      <c r="E757" s="246"/>
      <c r="F757" s="246"/>
      <c r="G757" s="246"/>
      <c r="H757" s="246"/>
      <c r="I757" s="246"/>
      <c r="J757" s="246"/>
      <c r="K757" s="246"/>
      <c r="L757" s="246"/>
      <c r="M757" s="246"/>
      <c r="N757" s="252"/>
      <c r="O757" s="246"/>
      <c r="P757" s="246"/>
      <c r="Q757" s="246"/>
      <c r="R757" s="246"/>
      <c r="S757" s="246"/>
      <c r="T757" s="246"/>
      <c r="U757" s="246"/>
      <c r="V757" s="246"/>
      <c r="W757" s="246"/>
      <c r="X757" s="246"/>
      <c r="Y757" s="246"/>
      <c r="Z757" s="246"/>
    </row>
    <row r="758">
      <c r="A758" s="246"/>
      <c r="B758" s="246"/>
      <c r="C758" s="246"/>
      <c r="D758" s="246"/>
      <c r="E758" s="246"/>
      <c r="F758" s="246"/>
      <c r="G758" s="246"/>
      <c r="H758" s="246"/>
      <c r="I758" s="246"/>
      <c r="J758" s="246"/>
      <c r="K758" s="246"/>
      <c r="L758" s="246"/>
      <c r="M758" s="246"/>
      <c r="N758" s="252"/>
      <c r="O758" s="246"/>
      <c r="P758" s="246"/>
      <c r="Q758" s="246"/>
      <c r="R758" s="246"/>
      <c r="S758" s="246"/>
      <c r="T758" s="246"/>
      <c r="U758" s="246"/>
      <c r="V758" s="246"/>
      <c r="W758" s="246"/>
      <c r="X758" s="246"/>
      <c r="Y758" s="246"/>
      <c r="Z758" s="246"/>
    </row>
    <row r="759">
      <c r="A759" s="246"/>
      <c r="B759" s="246"/>
      <c r="C759" s="246"/>
      <c r="D759" s="246"/>
      <c r="E759" s="246"/>
      <c r="F759" s="246"/>
      <c r="G759" s="246"/>
      <c r="H759" s="246"/>
      <c r="I759" s="246"/>
      <c r="J759" s="246"/>
      <c r="K759" s="246"/>
      <c r="L759" s="246"/>
      <c r="M759" s="246"/>
      <c r="N759" s="252"/>
      <c r="O759" s="246"/>
      <c r="P759" s="246"/>
      <c r="Q759" s="246"/>
      <c r="R759" s="246"/>
      <c r="S759" s="246"/>
      <c r="T759" s="246"/>
      <c r="U759" s="246"/>
      <c r="V759" s="246"/>
      <c r="W759" s="246"/>
      <c r="X759" s="246"/>
      <c r="Y759" s="246"/>
      <c r="Z759" s="246"/>
    </row>
    <row r="760">
      <c r="A760" s="246"/>
      <c r="B760" s="246"/>
      <c r="C760" s="246"/>
      <c r="D760" s="246"/>
      <c r="E760" s="246"/>
      <c r="F760" s="246"/>
      <c r="G760" s="246"/>
      <c r="H760" s="246"/>
      <c r="I760" s="246"/>
      <c r="J760" s="246"/>
      <c r="K760" s="246"/>
      <c r="L760" s="246"/>
      <c r="M760" s="246"/>
      <c r="N760" s="252"/>
      <c r="O760" s="246"/>
      <c r="P760" s="246"/>
      <c r="Q760" s="246"/>
      <c r="R760" s="246"/>
      <c r="S760" s="246"/>
      <c r="T760" s="246"/>
      <c r="U760" s="246"/>
      <c r="V760" s="246"/>
      <c r="W760" s="246"/>
      <c r="X760" s="246"/>
      <c r="Y760" s="246"/>
      <c r="Z760" s="246"/>
    </row>
    <row r="761">
      <c r="A761" s="246"/>
      <c r="B761" s="246"/>
      <c r="C761" s="246"/>
      <c r="D761" s="246"/>
      <c r="E761" s="246"/>
      <c r="F761" s="246"/>
      <c r="G761" s="246"/>
      <c r="H761" s="246"/>
      <c r="I761" s="246"/>
      <c r="J761" s="246"/>
      <c r="K761" s="246"/>
      <c r="L761" s="246"/>
      <c r="M761" s="246"/>
      <c r="N761" s="252"/>
      <c r="O761" s="246"/>
      <c r="P761" s="246"/>
      <c r="Q761" s="246"/>
      <c r="R761" s="246"/>
      <c r="S761" s="246"/>
      <c r="T761" s="246"/>
      <c r="U761" s="246"/>
      <c r="V761" s="246"/>
      <c r="W761" s="246"/>
      <c r="X761" s="246"/>
      <c r="Y761" s="246"/>
      <c r="Z761" s="246"/>
    </row>
    <row r="762">
      <c r="A762" s="246"/>
      <c r="B762" s="246"/>
      <c r="C762" s="246"/>
      <c r="D762" s="246"/>
      <c r="E762" s="246"/>
      <c r="F762" s="246"/>
      <c r="G762" s="246"/>
      <c r="H762" s="246"/>
      <c r="I762" s="246"/>
      <c r="J762" s="246"/>
      <c r="K762" s="246"/>
      <c r="L762" s="246"/>
      <c r="M762" s="246"/>
      <c r="N762" s="252"/>
      <c r="O762" s="246"/>
      <c r="P762" s="246"/>
      <c r="Q762" s="246"/>
      <c r="R762" s="246"/>
      <c r="S762" s="246"/>
      <c r="T762" s="246"/>
      <c r="U762" s="246"/>
      <c r="V762" s="246"/>
      <c r="W762" s="246"/>
      <c r="X762" s="246"/>
      <c r="Y762" s="246"/>
      <c r="Z762" s="246"/>
    </row>
    <row r="763">
      <c r="A763" s="246"/>
      <c r="B763" s="246"/>
      <c r="C763" s="246"/>
      <c r="D763" s="246"/>
      <c r="E763" s="246"/>
      <c r="F763" s="246"/>
      <c r="G763" s="246"/>
      <c r="H763" s="246"/>
      <c r="I763" s="246"/>
      <c r="J763" s="246"/>
      <c r="K763" s="246"/>
      <c r="L763" s="246"/>
      <c r="M763" s="246"/>
      <c r="N763" s="252"/>
      <c r="O763" s="246"/>
      <c r="P763" s="246"/>
      <c r="Q763" s="246"/>
      <c r="R763" s="246"/>
      <c r="S763" s="246"/>
      <c r="T763" s="246"/>
      <c r="U763" s="246"/>
      <c r="V763" s="246"/>
      <c r="W763" s="246"/>
      <c r="X763" s="246"/>
      <c r="Y763" s="246"/>
      <c r="Z763" s="246"/>
    </row>
    <row r="764">
      <c r="A764" s="246"/>
      <c r="B764" s="246"/>
      <c r="C764" s="246"/>
      <c r="D764" s="246"/>
      <c r="E764" s="246"/>
      <c r="F764" s="246"/>
      <c r="G764" s="246"/>
      <c r="H764" s="246"/>
      <c r="I764" s="246"/>
      <c r="J764" s="246"/>
      <c r="K764" s="246"/>
      <c r="L764" s="246"/>
      <c r="M764" s="246"/>
      <c r="N764" s="252"/>
      <c r="O764" s="246"/>
      <c r="P764" s="246"/>
      <c r="Q764" s="246"/>
      <c r="R764" s="246"/>
      <c r="S764" s="246"/>
      <c r="T764" s="246"/>
      <c r="U764" s="246"/>
      <c r="V764" s="246"/>
      <c r="W764" s="246"/>
      <c r="X764" s="246"/>
      <c r="Y764" s="246"/>
      <c r="Z764" s="246"/>
    </row>
    <row r="765">
      <c r="A765" s="246"/>
      <c r="B765" s="246"/>
      <c r="C765" s="246"/>
      <c r="D765" s="246"/>
      <c r="E765" s="246"/>
      <c r="F765" s="246"/>
      <c r="G765" s="246"/>
      <c r="H765" s="246"/>
      <c r="I765" s="246"/>
      <c r="J765" s="246"/>
      <c r="K765" s="246"/>
      <c r="L765" s="246"/>
      <c r="M765" s="246"/>
      <c r="N765" s="252"/>
      <c r="O765" s="246"/>
      <c r="P765" s="246"/>
      <c r="Q765" s="246"/>
      <c r="R765" s="246"/>
      <c r="S765" s="246"/>
      <c r="T765" s="246"/>
      <c r="U765" s="246"/>
      <c r="V765" s="246"/>
      <c r="W765" s="246"/>
      <c r="X765" s="246"/>
      <c r="Y765" s="246"/>
      <c r="Z765" s="246"/>
    </row>
    <row r="766">
      <c r="A766" s="246"/>
      <c r="B766" s="246"/>
      <c r="C766" s="246"/>
      <c r="D766" s="246"/>
      <c r="E766" s="246"/>
      <c r="F766" s="246"/>
      <c r="G766" s="246"/>
      <c r="H766" s="246"/>
      <c r="I766" s="246"/>
      <c r="J766" s="246"/>
      <c r="K766" s="246"/>
      <c r="L766" s="246"/>
      <c r="M766" s="246"/>
      <c r="N766" s="252"/>
      <c r="O766" s="246"/>
      <c r="P766" s="246"/>
      <c r="Q766" s="246"/>
      <c r="R766" s="246"/>
      <c r="S766" s="246"/>
      <c r="T766" s="246"/>
      <c r="U766" s="246"/>
      <c r="V766" s="246"/>
      <c r="W766" s="246"/>
      <c r="X766" s="246"/>
      <c r="Y766" s="246"/>
      <c r="Z766" s="246"/>
    </row>
    <row r="767">
      <c r="A767" s="246"/>
      <c r="B767" s="246"/>
      <c r="C767" s="246"/>
      <c r="D767" s="246"/>
      <c r="E767" s="246"/>
      <c r="F767" s="246"/>
      <c r="G767" s="246"/>
      <c r="H767" s="246"/>
      <c r="I767" s="246"/>
      <c r="J767" s="246"/>
      <c r="K767" s="246"/>
      <c r="L767" s="246"/>
      <c r="M767" s="246"/>
      <c r="N767" s="252"/>
      <c r="O767" s="246"/>
      <c r="P767" s="246"/>
      <c r="Q767" s="246"/>
      <c r="R767" s="246"/>
      <c r="S767" s="246"/>
      <c r="T767" s="246"/>
      <c r="U767" s="246"/>
      <c r="V767" s="246"/>
      <c r="W767" s="246"/>
      <c r="X767" s="246"/>
      <c r="Y767" s="246"/>
      <c r="Z767" s="246"/>
    </row>
    <row r="768">
      <c r="A768" s="246"/>
      <c r="B768" s="246"/>
      <c r="C768" s="246"/>
      <c r="D768" s="246"/>
      <c r="E768" s="246"/>
      <c r="F768" s="246"/>
      <c r="G768" s="246"/>
      <c r="H768" s="246"/>
      <c r="I768" s="246"/>
      <c r="J768" s="246"/>
      <c r="K768" s="246"/>
      <c r="L768" s="246"/>
      <c r="M768" s="246"/>
      <c r="N768" s="252"/>
      <c r="O768" s="246"/>
      <c r="P768" s="246"/>
      <c r="Q768" s="246"/>
      <c r="R768" s="246"/>
      <c r="S768" s="246"/>
      <c r="T768" s="246"/>
      <c r="U768" s="246"/>
      <c r="V768" s="246"/>
      <c r="W768" s="246"/>
      <c r="X768" s="246"/>
      <c r="Y768" s="246"/>
      <c r="Z768" s="246"/>
    </row>
    <row r="769">
      <c r="A769" s="246"/>
      <c r="B769" s="246"/>
      <c r="C769" s="246"/>
      <c r="D769" s="246"/>
      <c r="E769" s="246"/>
      <c r="F769" s="246"/>
      <c r="G769" s="246"/>
      <c r="H769" s="246"/>
      <c r="I769" s="246"/>
      <c r="J769" s="246"/>
      <c r="K769" s="246"/>
      <c r="L769" s="246"/>
      <c r="M769" s="246"/>
      <c r="N769" s="252"/>
      <c r="O769" s="246"/>
      <c r="P769" s="246"/>
      <c r="Q769" s="246"/>
      <c r="R769" s="246"/>
      <c r="S769" s="246"/>
      <c r="T769" s="246"/>
      <c r="U769" s="246"/>
      <c r="V769" s="246"/>
      <c r="W769" s="246"/>
      <c r="X769" s="246"/>
      <c r="Y769" s="246"/>
      <c r="Z769" s="246"/>
    </row>
    <row r="770">
      <c r="A770" s="246"/>
      <c r="B770" s="246"/>
      <c r="C770" s="246"/>
      <c r="D770" s="246"/>
      <c r="E770" s="246"/>
      <c r="F770" s="246"/>
      <c r="G770" s="246"/>
      <c r="H770" s="246"/>
      <c r="I770" s="246"/>
      <c r="J770" s="246"/>
      <c r="K770" s="246"/>
      <c r="L770" s="246"/>
      <c r="M770" s="246"/>
      <c r="N770" s="252"/>
      <c r="O770" s="246"/>
      <c r="P770" s="246"/>
      <c r="Q770" s="246"/>
      <c r="R770" s="246"/>
      <c r="S770" s="246"/>
      <c r="T770" s="246"/>
      <c r="U770" s="246"/>
      <c r="V770" s="246"/>
      <c r="W770" s="246"/>
      <c r="X770" s="246"/>
      <c r="Y770" s="246"/>
      <c r="Z770" s="246"/>
    </row>
    <row r="771">
      <c r="A771" s="246"/>
      <c r="B771" s="246"/>
      <c r="C771" s="246"/>
      <c r="D771" s="246"/>
      <c r="E771" s="246"/>
      <c r="F771" s="246"/>
      <c r="G771" s="246"/>
      <c r="H771" s="246"/>
      <c r="I771" s="246"/>
      <c r="J771" s="246"/>
      <c r="K771" s="246"/>
      <c r="L771" s="246"/>
      <c r="M771" s="246"/>
      <c r="N771" s="252"/>
      <c r="O771" s="246"/>
      <c r="P771" s="246"/>
      <c r="Q771" s="246"/>
      <c r="R771" s="246"/>
      <c r="S771" s="246"/>
      <c r="T771" s="246"/>
      <c r="U771" s="246"/>
      <c r="V771" s="246"/>
      <c r="W771" s="246"/>
      <c r="X771" s="246"/>
      <c r="Y771" s="246"/>
      <c r="Z771" s="246"/>
    </row>
    <row r="772">
      <c r="A772" s="246"/>
      <c r="B772" s="246"/>
      <c r="C772" s="246"/>
      <c r="D772" s="246"/>
      <c r="E772" s="246"/>
      <c r="F772" s="246"/>
      <c r="G772" s="246"/>
      <c r="H772" s="246"/>
      <c r="I772" s="246"/>
      <c r="J772" s="246"/>
      <c r="K772" s="246"/>
      <c r="L772" s="246"/>
      <c r="M772" s="246"/>
      <c r="N772" s="252"/>
      <c r="O772" s="246"/>
      <c r="P772" s="246"/>
      <c r="Q772" s="246"/>
      <c r="R772" s="246"/>
      <c r="S772" s="246"/>
      <c r="T772" s="246"/>
      <c r="U772" s="246"/>
      <c r="V772" s="246"/>
      <c r="W772" s="246"/>
      <c r="X772" s="246"/>
      <c r="Y772" s="246"/>
      <c r="Z772" s="246"/>
    </row>
    <row r="773">
      <c r="A773" s="246"/>
      <c r="B773" s="246"/>
      <c r="C773" s="246"/>
      <c r="D773" s="246"/>
      <c r="E773" s="246"/>
      <c r="F773" s="246"/>
      <c r="G773" s="246"/>
      <c r="H773" s="246"/>
      <c r="I773" s="246"/>
      <c r="J773" s="246"/>
      <c r="K773" s="246"/>
      <c r="L773" s="246"/>
      <c r="M773" s="246"/>
      <c r="N773" s="252"/>
      <c r="O773" s="246"/>
      <c r="P773" s="246"/>
      <c r="Q773" s="246"/>
      <c r="R773" s="246"/>
      <c r="S773" s="246"/>
      <c r="T773" s="246"/>
      <c r="U773" s="246"/>
      <c r="V773" s="246"/>
      <c r="W773" s="246"/>
      <c r="X773" s="246"/>
      <c r="Y773" s="246"/>
      <c r="Z773" s="246"/>
    </row>
    <row r="774">
      <c r="A774" s="246"/>
      <c r="B774" s="246"/>
      <c r="C774" s="246"/>
      <c r="D774" s="246"/>
      <c r="E774" s="246"/>
      <c r="F774" s="246"/>
      <c r="G774" s="246"/>
      <c r="H774" s="246"/>
      <c r="I774" s="246"/>
      <c r="J774" s="246"/>
      <c r="K774" s="246"/>
      <c r="L774" s="246"/>
      <c r="M774" s="246"/>
      <c r="N774" s="252"/>
      <c r="O774" s="246"/>
      <c r="P774" s="246"/>
      <c r="Q774" s="246"/>
      <c r="R774" s="246"/>
      <c r="S774" s="246"/>
      <c r="T774" s="246"/>
      <c r="U774" s="246"/>
      <c r="V774" s="246"/>
      <c r="W774" s="246"/>
      <c r="X774" s="246"/>
      <c r="Y774" s="246"/>
      <c r="Z774" s="246"/>
    </row>
    <row r="775">
      <c r="A775" s="246"/>
      <c r="B775" s="246"/>
      <c r="C775" s="246"/>
      <c r="D775" s="246"/>
      <c r="E775" s="246"/>
      <c r="F775" s="246"/>
      <c r="G775" s="246"/>
      <c r="H775" s="246"/>
      <c r="I775" s="246"/>
      <c r="J775" s="246"/>
      <c r="K775" s="246"/>
      <c r="L775" s="246"/>
      <c r="M775" s="246"/>
      <c r="N775" s="252"/>
      <c r="O775" s="246"/>
      <c r="P775" s="246"/>
      <c r="Q775" s="246"/>
      <c r="R775" s="246"/>
      <c r="S775" s="246"/>
      <c r="T775" s="246"/>
      <c r="U775" s="246"/>
      <c r="V775" s="246"/>
      <c r="W775" s="246"/>
      <c r="X775" s="246"/>
      <c r="Y775" s="246"/>
      <c r="Z775" s="246"/>
    </row>
    <row r="776">
      <c r="A776" s="246"/>
      <c r="B776" s="246"/>
      <c r="C776" s="246"/>
      <c r="D776" s="246"/>
      <c r="E776" s="246"/>
      <c r="F776" s="246"/>
      <c r="G776" s="246"/>
      <c r="H776" s="246"/>
      <c r="I776" s="246"/>
      <c r="J776" s="246"/>
      <c r="K776" s="246"/>
      <c r="L776" s="246"/>
      <c r="M776" s="246"/>
      <c r="N776" s="252"/>
      <c r="O776" s="246"/>
      <c r="P776" s="246"/>
      <c r="Q776" s="246"/>
      <c r="R776" s="246"/>
      <c r="S776" s="246"/>
      <c r="T776" s="246"/>
      <c r="U776" s="246"/>
      <c r="V776" s="246"/>
      <c r="W776" s="246"/>
      <c r="X776" s="246"/>
      <c r="Y776" s="246"/>
      <c r="Z776" s="246"/>
    </row>
    <row r="777">
      <c r="A777" s="246"/>
      <c r="B777" s="246"/>
      <c r="C777" s="246"/>
      <c r="D777" s="246"/>
      <c r="E777" s="246"/>
      <c r="F777" s="246"/>
      <c r="G777" s="246"/>
      <c r="H777" s="246"/>
      <c r="I777" s="246"/>
      <c r="J777" s="246"/>
      <c r="K777" s="246"/>
      <c r="L777" s="246"/>
      <c r="M777" s="246"/>
      <c r="N777" s="252"/>
      <c r="O777" s="246"/>
      <c r="P777" s="246"/>
      <c r="Q777" s="246"/>
      <c r="R777" s="246"/>
      <c r="S777" s="246"/>
      <c r="T777" s="246"/>
      <c r="U777" s="246"/>
      <c r="V777" s="246"/>
      <c r="W777" s="246"/>
      <c r="X777" s="246"/>
      <c r="Y777" s="246"/>
      <c r="Z777" s="246"/>
    </row>
    <row r="778">
      <c r="A778" s="246"/>
      <c r="B778" s="246"/>
      <c r="C778" s="246"/>
      <c r="D778" s="246"/>
      <c r="E778" s="246"/>
      <c r="F778" s="246"/>
      <c r="G778" s="246"/>
      <c r="H778" s="246"/>
      <c r="I778" s="246"/>
      <c r="J778" s="246"/>
      <c r="K778" s="246"/>
      <c r="L778" s="246"/>
      <c r="M778" s="246"/>
      <c r="N778" s="252"/>
      <c r="O778" s="246"/>
      <c r="P778" s="246"/>
      <c r="Q778" s="246"/>
      <c r="R778" s="246"/>
      <c r="S778" s="246"/>
      <c r="T778" s="246"/>
      <c r="U778" s="246"/>
      <c r="V778" s="246"/>
      <c r="W778" s="246"/>
      <c r="X778" s="246"/>
      <c r="Y778" s="246"/>
      <c r="Z778" s="246"/>
    </row>
    <row r="779">
      <c r="A779" s="246"/>
      <c r="B779" s="246"/>
      <c r="C779" s="246"/>
      <c r="D779" s="246"/>
      <c r="E779" s="246"/>
      <c r="F779" s="246"/>
      <c r="G779" s="246"/>
      <c r="H779" s="246"/>
      <c r="I779" s="246"/>
      <c r="J779" s="246"/>
      <c r="K779" s="246"/>
      <c r="L779" s="246"/>
      <c r="M779" s="246"/>
      <c r="N779" s="252"/>
      <c r="O779" s="246"/>
      <c r="P779" s="246"/>
      <c r="Q779" s="246"/>
      <c r="R779" s="246"/>
      <c r="S779" s="246"/>
      <c r="T779" s="246"/>
      <c r="U779" s="246"/>
      <c r="V779" s="246"/>
      <c r="W779" s="246"/>
      <c r="X779" s="246"/>
      <c r="Y779" s="246"/>
      <c r="Z779" s="246"/>
    </row>
    <row r="780">
      <c r="A780" s="246"/>
      <c r="B780" s="246"/>
      <c r="C780" s="246"/>
      <c r="D780" s="246"/>
      <c r="E780" s="246"/>
      <c r="F780" s="246"/>
      <c r="G780" s="246"/>
      <c r="H780" s="246"/>
      <c r="I780" s="246"/>
      <c r="J780" s="246"/>
      <c r="K780" s="246"/>
      <c r="L780" s="246"/>
      <c r="M780" s="246"/>
      <c r="N780" s="252"/>
      <c r="O780" s="246"/>
      <c r="P780" s="246"/>
      <c r="Q780" s="246"/>
      <c r="R780" s="246"/>
      <c r="S780" s="246"/>
      <c r="T780" s="246"/>
      <c r="U780" s="246"/>
      <c r="V780" s="246"/>
      <c r="W780" s="246"/>
      <c r="X780" s="246"/>
      <c r="Y780" s="246"/>
      <c r="Z780" s="246"/>
    </row>
    <row r="781">
      <c r="A781" s="246"/>
      <c r="B781" s="246"/>
      <c r="C781" s="246"/>
      <c r="D781" s="246"/>
      <c r="E781" s="246"/>
      <c r="F781" s="246"/>
      <c r="G781" s="246"/>
      <c r="H781" s="246"/>
      <c r="I781" s="246"/>
      <c r="J781" s="246"/>
      <c r="K781" s="246"/>
      <c r="L781" s="246"/>
      <c r="M781" s="246"/>
      <c r="N781" s="252"/>
      <c r="O781" s="246"/>
      <c r="P781" s="246"/>
      <c r="Q781" s="246"/>
      <c r="R781" s="246"/>
      <c r="S781" s="246"/>
      <c r="T781" s="246"/>
      <c r="U781" s="246"/>
      <c r="V781" s="246"/>
      <c r="W781" s="246"/>
      <c r="X781" s="246"/>
      <c r="Y781" s="246"/>
      <c r="Z781" s="246"/>
    </row>
    <row r="782">
      <c r="A782" s="246"/>
      <c r="B782" s="246"/>
      <c r="C782" s="246"/>
      <c r="D782" s="246"/>
      <c r="E782" s="246"/>
      <c r="F782" s="246"/>
      <c r="G782" s="246"/>
      <c r="H782" s="246"/>
      <c r="I782" s="246"/>
      <c r="J782" s="246"/>
      <c r="K782" s="246"/>
      <c r="L782" s="246"/>
      <c r="M782" s="246"/>
      <c r="N782" s="252"/>
      <c r="O782" s="246"/>
      <c r="P782" s="246"/>
      <c r="Q782" s="246"/>
      <c r="R782" s="246"/>
      <c r="S782" s="246"/>
      <c r="T782" s="246"/>
      <c r="U782" s="246"/>
      <c r="V782" s="246"/>
      <c r="W782" s="246"/>
      <c r="X782" s="246"/>
      <c r="Y782" s="246"/>
      <c r="Z782" s="246"/>
    </row>
    <row r="783">
      <c r="A783" s="246"/>
      <c r="B783" s="246"/>
      <c r="C783" s="246"/>
      <c r="D783" s="246"/>
      <c r="E783" s="246"/>
      <c r="F783" s="246"/>
      <c r="G783" s="246"/>
      <c r="H783" s="246"/>
      <c r="I783" s="246"/>
      <c r="J783" s="246"/>
      <c r="K783" s="246"/>
      <c r="L783" s="246"/>
      <c r="M783" s="246"/>
      <c r="N783" s="252"/>
      <c r="O783" s="246"/>
      <c r="P783" s="246"/>
      <c r="Q783" s="246"/>
      <c r="R783" s="246"/>
      <c r="S783" s="246"/>
      <c r="T783" s="246"/>
      <c r="U783" s="246"/>
      <c r="V783" s="246"/>
      <c r="W783" s="246"/>
      <c r="X783" s="246"/>
      <c r="Y783" s="246"/>
      <c r="Z783" s="246"/>
    </row>
    <row r="784">
      <c r="A784" s="246"/>
      <c r="B784" s="246"/>
      <c r="C784" s="246"/>
      <c r="D784" s="246"/>
      <c r="E784" s="246"/>
      <c r="F784" s="246"/>
      <c r="G784" s="246"/>
      <c r="H784" s="246"/>
      <c r="I784" s="246"/>
      <c r="J784" s="246"/>
      <c r="K784" s="246"/>
      <c r="L784" s="246"/>
      <c r="M784" s="246"/>
      <c r="N784" s="252"/>
      <c r="O784" s="246"/>
      <c r="P784" s="246"/>
      <c r="Q784" s="246"/>
      <c r="R784" s="246"/>
      <c r="S784" s="246"/>
      <c r="T784" s="246"/>
      <c r="U784" s="246"/>
      <c r="V784" s="246"/>
      <c r="W784" s="246"/>
      <c r="X784" s="246"/>
      <c r="Y784" s="246"/>
      <c r="Z784" s="246"/>
    </row>
    <row r="785">
      <c r="A785" s="246"/>
      <c r="B785" s="246"/>
      <c r="C785" s="246"/>
      <c r="D785" s="246"/>
      <c r="E785" s="246"/>
      <c r="F785" s="246"/>
      <c r="G785" s="246"/>
      <c r="H785" s="246"/>
      <c r="I785" s="246"/>
      <c r="J785" s="246"/>
      <c r="K785" s="246"/>
      <c r="L785" s="246"/>
      <c r="M785" s="246"/>
      <c r="N785" s="252"/>
      <c r="O785" s="246"/>
      <c r="P785" s="246"/>
      <c r="Q785" s="246"/>
      <c r="R785" s="246"/>
      <c r="S785" s="246"/>
      <c r="T785" s="246"/>
      <c r="U785" s="246"/>
      <c r="V785" s="246"/>
      <c r="W785" s="246"/>
      <c r="X785" s="246"/>
      <c r="Y785" s="246"/>
      <c r="Z785" s="246"/>
    </row>
    <row r="786">
      <c r="A786" s="246"/>
      <c r="B786" s="246"/>
      <c r="C786" s="246"/>
      <c r="D786" s="246"/>
      <c r="E786" s="246"/>
      <c r="F786" s="246"/>
      <c r="G786" s="246"/>
      <c r="H786" s="246"/>
      <c r="I786" s="246"/>
      <c r="J786" s="246"/>
      <c r="K786" s="246"/>
      <c r="L786" s="246"/>
      <c r="M786" s="246"/>
      <c r="N786" s="252"/>
      <c r="O786" s="246"/>
      <c r="P786" s="246"/>
      <c r="Q786" s="246"/>
      <c r="R786" s="246"/>
      <c r="S786" s="246"/>
      <c r="T786" s="246"/>
      <c r="U786" s="246"/>
      <c r="V786" s="246"/>
      <c r="W786" s="246"/>
      <c r="X786" s="246"/>
      <c r="Y786" s="246"/>
      <c r="Z786" s="246"/>
    </row>
    <row r="787">
      <c r="A787" s="246"/>
      <c r="B787" s="246"/>
      <c r="C787" s="246"/>
      <c r="D787" s="246"/>
      <c r="E787" s="246"/>
      <c r="F787" s="246"/>
      <c r="G787" s="246"/>
      <c r="H787" s="246"/>
      <c r="I787" s="246"/>
      <c r="J787" s="246"/>
      <c r="K787" s="246"/>
      <c r="L787" s="246"/>
      <c r="M787" s="246"/>
      <c r="N787" s="252"/>
      <c r="O787" s="246"/>
      <c r="P787" s="246"/>
      <c r="Q787" s="246"/>
      <c r="R787" s="246"/>
      <c r="S787" s="246"/>
      <c r="T787" s="246"/>
      <c r="U787" s="246"/>
      <c r="V787" s="246"/>
      <c r="W787" s="246"/>
      <c r="X787" s="246"/>
      <c r="Y787" s="246"/>
      <c r="Z787" s="246"/>
    </row>
    <row r="788">
      <c r="A788" s="246"/>
      <c r="B788" s="246"/>
      <c r="C788" s="246"/>
      <c r="D788" s="246"/>
      <c r="E788" s="246"/>
      <c r="F788" s="246"/>
      <c r="G788" s="246"/>
      <c r="H788" s="246"/>
      <c r="I788" s="246"/>
      <c r="J788" s="246"/>
      <c r="K788" s="246"/>
      <c r="L788" s="246"/>
      <c r="M788" s="246"/>
      <c r="N788" s="252"/>
      <c r="O788" s="246"/>
      <c r="P788" s="246"/>
      <c r="Q788" s="246"/>
      <c r="R788" s="246"/>
      <c r="S788" s="246"/>
      <c r="T788" s="246"/>
      <c r="U788" s="246"/>
      <c r="V788" s="246"/>
      <c r="W788" s="246"/>
      <c r="X788" s="246"/>
      <c r="Y788" s="246"/>
      <c r="Z788" s="246"/>
    </row>
    <row r="789">
      <c r="A789" s="246"/>
      <c r="B789" s="246"/>
      <c r="C789" s="246"/>
      <c r="D789" s="246"/>
      <c r="E789" s="246"/>
      <c r="F789" s="246"/>
      <c r="G789" s="246"/>
      <c r="H789" s="246"/>
      <c r="I789" s="246"/>
      <c r="J789" s="246"/>
      <c r="K789" s="246"/>
      <c r="L789" s="246"/>
      <c r="M789" s="246"/>
      <c r="N789" s="252"/>
      <c r="O789" s="246"/>
      <c r="P789" s="246"/>
      <c r="Q789" s="246"/>
      <c r="R789" s="246"/>
      <c r="S789" s="246"/>
      <c r="T789" s="246"/>
      <c r="U789" s="246"/>
      <c r="V789" s="246"/>
      <c r="W789" s="246"/>
      <c r="X789" s="246"/>
      <c r="Y789" s="246"/>
      <c r="Z789" s="246"/>
    </row>
    <row r="790">
      <c r="A790" s="246"/>
      <c r="B790" s="246"/>
      <c r="C790" s="246"/>
      <c r="D790" s="246"/>
      <c r="E790" s="246"/>
      <c r="F790" s="246"/>
      <c r="G790" s="246"/>
      <c r="H790" s="246"/>
      <c r="I790" s="246"/>
      <c r="J790" s="246"/>
      <c r="K790" s="246"/>
      <c r="L790" s="246"/>
      <c r="M790" s="246"/>
      <c r="N790" s="252"/>
      <c r="O790" s="246"/>
      <c r="P790" s="246"/>
      <c r="Q790" s="246"/>
      <c r="R790" s="246"/>
      <c r="S790" s="246"/>
      <c r="T790" s="246"/>
      <c r="U790" s="246"/>
      <c r="V790" s="246"/>
      <c r="W790" s="246"/>
      <c r="X790" s="246"/>
      <c r="Y790" s="246"/>
      <c r="Z790" s="246"/>
    </row>
    <row r="791">
      <c r="A791" s="246"/>
      <c r="B791" s="246"/>
      <c r="C791" s="246"/>
      <c r="D791" s="246"/>
      <c r="E791" s="246"/>
      <c r="F791" s="246"/>
      <c r="G791" s="246"/>
      <c r="H791" s="246"/>
      <c r="I791" s="246"/>
      <c r="J791" s="246"/>
      <c r="K791" s="246"/>
      <c r="L791" s="246"/>
      <c r="M791" s="246"/>
      <c r="N791" s="252"/>
      <c r="O791" s="246"/>
      <c r="P791" s="246"/>
      <c r="Q791" s="246"/>
      <c r="R791" s="246"/>
      <c r="S791" s="246"/>
      <c r="T791" s="246"/>
      <c r="U791" s="246"/>
      <c r="V791" s="246"/>
      <c r="W791" s="246"/>
      <c r="X791" s="246"/>
      <c r="Y791" s="246"/>
      <c r="Z791" s="246"/>
    </row>
    <row r="792">
      <c r="A792" s="246"/>
      <c r="B792" s="246"/>
      <c r="C792" s="246"/>
      <c r="D792" s="246"/>
      <c r="E792" s="246"/>
      <c r="F792" s="246"/>
      <c r="G792" s="246"/>
      <c r="H792" s="246"/>
      <c r="I792" s="246"/>
      <c r="J792" s="246"/>
      <c r="K792" s="246"/>
      <c r="L792" s="246"/>
      <c r="M792" s="246"/>
      <c r="N792" s="252"/>
      <c r="O792" s="246"/>
      <c r="P792" s="246"/>
      <c r="Q792" s="246"/>
      <c r="R792" s="246"/>
      <c r="S792" s="246"/>
      <c r="T792" s="246"/>
      <c r="U792" s="246"/>
      <c r="V792" s="246"/>
      <c r="W792" s="246"/>
      <c r="X792" s="246"/>
      <c r="Y792" s="246"/>
      <c r="Z792" s="246"/>
    </row>
    <row r="793">
      <c r="A793" s="246"/>
      <c r="B793" s="246"/>
      <c r="C793" s="246"/>
      <c r="D793" s="246"/>
      <c r="E793" s="246"/>
      <c r="F793" s="246"/>
      <c r="G793" s="246"/>
      <c r="H793" s="246"/>
      <c r="I793" s="246"/>
      <c r="J793" s="246"/>
      <c r="K793" s="246"/>
      <c r="L793" s="246"/>
      <c r="M793" s="246"/>
      <c r="N793" s="252"/>
      <c r="O793" s="246"/>
      <c r="P793" s="246"/>
      <c r="Q793" s="246"/>
      <c r="R793" s="246"/>
      <c r="S793" s="246"/>
      <c r="T793" s="246"/>
      <c r="U793" s="246"/>
      <c r="V793" s="246"/>
      <c r="W793" s="246"/>
      <c r="X793" s="246"/>
      <c r="Y793" s="246"/>
      <c r="Z793" s="246"/>
    </row>
    <row r="794">
      <c r="A794" s="246"/>
      <c r="B794" s="246"/>
      <c r="C794" s="246"/>
      <c r="D794" s="246"/>
      <c r="E794" s="246"/>
      <c r="F794" s="246"/>
      <c r="G794" s="246"/>
      <c r="H794" s="246"/>
      <c r="I794" s="246"/>
      <c r="J794" s="246"/>
      <c r="K794" s="246"/>
      <c r="L794" s="246"/>
      <c r="M794" s="246"/>
      <c r="N794" s="252"/>
      <c r="O794" s="246"/>
      <c r="P794" s="246"/>
      <c r="Q794" s="246"/>
      <c r="R794" s="246"/>
      <c r="S794" s="246"/>
      <c r="T794" s="246"/>
      <c r="U794" s="246"/>
      <c r="V794" s="246"/>
      <c r="W794" s="246"/>
      <c r="X794" s="246"/>
      <c r="Y794" s="246"/>
      <c r="Z794" s="246"/>
    </row>
    <row r="795">
      <c r="A795" s="246"/>
      <c r="B795" s="246"/>
      <c r="C795" s="246"/>
      <c r="D795" s="246"/>
      <c r="E795" s="246"/>
      <c r="F795" s="246"/>
      <c r="G795" s="246"/>
      <c r="H795" s="246"/>
      <c r="I795" s="246"/>
      <c r="J795" s="246"/>
      <c r="K795" s="246"/>
      <c r="L795" s="246"/>
      <c r="M795" s="246"/>
      <c r="N795" s="252"/>
      <c r="O795" s="246"/>
      <c r="P795" s="246"/>
      <c r="Q795" s="246"/>
      <c r="R795" s="246"/>
      <c r="S795" s="246"/>
      <c r="T795" s="246"/>
      <c r="U795" s="246"/>
      <c r="V795" s="246"/>
      <c r="W795" s="246"/>
      <c r="X795" s="246"/>
      <c r="Y795" s="246"/>
      <c r="Z795" s="246"/>
    </row>
    <row r="796">
      <c r="A796" s="246"/>
      <c r="B796" s="246"/>
      <c r="C796" s="246"/>
      <c r="D796" s="246"/>
      <c r="E796" s="246"/>
      <c r="F796" s="246"/>
      <c r="G796" s="246"/>
      <c r="H796" s="246"/>
      <c r="I796" s="246"/>
      <c r="J796" s="246"/>
      <c r="K796" s="246"/>
      <c r="L796" s="246"/>
      <c r="M796" s="246"/>
      <c r="N796" s="252"/>
      <c r="O796" s="246"/>
      <c r="P796" s="246"/>
      <c r="Q796" s="246"/>
      <c r="R796" s="246"/>
      <c r="S796" s="246"/>
      <c r="T796" s="246"/>
      <c r="U796" s="246"/>
      <c r="V796" s="246"/>
      <c r="W796" s="246"/>
      <c r="X796" s="246"/>
      <c r="Y796" s="246"/>
      <c r="Z796" s="246"/>
    </row>
    <row r="797">
      <c r="A797" s="246"/>
      <c r="B797" s="246"/>
      <c r="C797" s="246"/>
      <c r="D797" s="246"/>
      <c r="E797" s="246"/>
      <c r="F797" s="246"/>
      <c r="G797" s="246"/>
      <c r="H797" s="246"/>
      <c r="I797" s="246"/>
      <c r="J797" s="246"/>
      <c r="K797" s="246"/>
      <c r="L797" s="246"/>
      <c r="M797" s="246"/>
      <c r="N797" s="252"/>
      <c r="O797" s="246"/>
      <c r="P797" s="246"/>
      <c r="Q797" s="246"/>
      <c r="R797" s="246"/>
      <c r="S797" s="246"/>
      <c r="T797" s="246"/>
      <c r="U797" s="246"/>
      <c r="V797" s="246"/>
      <c r="W797" s="246"/>
      <c r="X797" s="246"/>
      <c r="Y797" s="246"/>
      <c r="Z797" s="246"/>
    </row>
    <row r="798">
      <c r="A798" s="246"/>
      <c r="B798" s="246"/>
      <c r="C798" s="246"/>
      <c r="D798" s="246"/>
      <c r="E798" s="246"/>
      <c r="F798" s="246"/>
      <c r="G798" s="246"/>
      <c r="H798" s="246"/>
      <c r="I798" s="246"/>
      <c r="J798" s="246"/>
      <c r="K798" s="246"/>
      <c r="L798" s="246"/>
      <c r="M798" s="246"/>
      <c r="N798" s="252"/>
      <c r="O798" s="246"/>
      <c r="P798" s="246"/>
      <c r="Q798" s="246"/>
      <c r="R798" s="246"/>
      <c r="S798" s="246"/>
      <c r="T798" s="246"/>
      <c r="U798" s="246"/>
      <c r="V798" s="246"/>
      <c r="W798" s="246"/>
      <c r="X798" s="246"/>
      <c r="Y798" s="246"/>
      <c r="Z798" s="246"/>
    </row>
    <row r="799">
      <c r="A799" s="246"/>
      <c r="B799" s="246"/>
      <c r="C799" s="246"/>
      <c r="D799" s="246"/>
      <c r="E799" s="246"/>
      <c r="F799" s="246"/>
      <c r="G799" s="246"/>
      <c r="H799" s="246"/>
      <c r="I799" s="246"/>
      <c r="J799" s="246"/>
      <c r="K799" s="246"/>
      <c r="L799" s="246"/>
      <c r="M799" s="246"/>
      <c r="N799" s="252"/>
      <c r="O799" s="246"/>
      <c r="P799" s="246"/>
      <c r="Q799" s="246"/>
      <c r="R799" s="246"/>
      <c r="S799" s="246"/>
      <c r="T799" s="246"/>
      <c r="U799" s="246"/>
      <c r="V799" s="246"/>
      <c r="W799" s="246"/>
      <c r="X799" s="246"/>
      <c r="Y799" s="246"/>
      <c r="Z799" s="246"/>
    </row>
    <row r="800">
      <c r="A800" s="246"/>
      <c r="B800" s="246"/>
      <c r="C800" s="246"/>
      <c r="D800" s="246"/>
      <c r="E800" s="246"/>
      <c r="F800" s="246"/>
      <c r="G800" s="246"/>
      <c r="H800" s="246"/>
      <c r="I800" s="246"/>
      <c r="J800" s="246"/>
      <c r="K800" s="246"/>
      <c r="L800" s="246"/>
      <c r="M800" s="246"/>
      <c r="N800" s="252"/>
      <c r="O800" s="246"/>
      <c r="P800" s="246"/>
      <c r="Q800" s="246"/>
      <c r="R800" s="246"/>
      <c r="S800" s="246"/>
      <c r="T800" s="246"/>
      <c r="U800" s="246"/>
      <c r="V800" s="246"/>
      <c r="W800" s="246"/>
      <c r="X800" s="246"/>
      <c r="Y800" s="246"/>
      <c r="Z800" s="246"/>
    </row>
    <row r="801">
      <c r="A801" s="246"/>
      <c r="B801" s="246"/>
      <c r="C801" s="246"/>
      <c r="D801" s="246"/>
      <c r="E801" s="246"/>
      <c r="F801" s="246"/>
      <c r="G801" s="246"/>
      <c r="H801" s="246"/>
      <c r="I801" s="246"/>
      <c r="J801" s="246"/>
      <c r="K801" s="246"/>
      <c r="L801" s="246"/>
      <c r="M801" s="246"/>
      <c r="N801" s="252"/>
      <c r="O801" s="246"/>
      <c r="P801" s="246"/>
      <c r="Q801" s="246"/>
      <c r="R801" s="246"/>
      <c r="S801" s="246"/>
      <c r="T801" s="246"/>
      <c r="U801" s="246"/>
      <c r="V801" s="246"/>
      <c r="W801" s="246"/>
      <c r="X801" s="246"/>
      <c r="Y801" s="246"/>
      <c r="Z801" s="246"/>
    </row>
    <row r="802">
      <c r="A802" s="246"/>
      <c r="B802" s="246"/>
      <c r="C802" s="246"/>
      <c r="D802" s="246"/>
      <c r="E802" s="246"/>
      <c r="F802" s="246"/>
      <c r="G802" s="246"/>
      <c r="H802" s="246"/>
      <c r="I802" s="246"/>
      <c r="J802" s="246"/>
      <c r="K802" s="246"/>
      <c r="L802" s="246"/>
      <c r="M802" s="246"/>
      <c r="N802" s="252"/>
      <c r="O802" s="246"/>
      <c r="P802" s="246"/>
      <c r="Q802" s="246"/>
      <c r="R802" s="246"/>
      <c r="S802" s="246"/>
      <c r="T802" s="246"/>
      <c r="U802" s="246"/>
      <c r="V802" s="246"/>
      <c r="W802" s="246"/>
      <c r="X802" s="246"/>
      <c r="Y802" s="246"/>
      <c r="Z802" s="246"/>
    </row>
    <row r="803">
      <c r="A803" s="246"/>
      <c r="B803" s="246"/>
      <c r="C803" s="246"/>
      <c r="D803" s="246"/>
      <c r="E803" s="246"/>
      <c r="F803" s="246"/>
      <c r="G803" s="246"/>
      <c r="H803" s="246"/>
      <c r="I803" s="246"/>
      <c r="J803" s="246"/>
      <c r="K803" s="246"/>
      <c r="L803" s="246"/>
      <c r="M803" s="246"/>
      <c r="N803" s="252"/>
      <c r="O803" s="246"/>
      <c r="P803" s="246"/>
      <c r="Q803" s="246"/>
      <c r="R803" s="246"/>
      <c r="S803" s="246"/>
      <c r="T803" s="246"/>
      <c r="U803" s="246"/>
      <c r="V803" s="246"/>
      <c r="W803" s="246"/>
      <c r="X803" s="246"/>
      <c r="Y803" s="246"/>
      <c r="Z803" s="246"/>
    </row>
    <row r="804">
      <c r="A804" s="246"/>
      <c r="B804" s="246"/>
      <c r="C804" s="246"/>
      <c r="D804" s="246"/>
      <c r="E804" s="246"/>
      <c r="F804" s="246"/>
      <c r="G804" s="246"/>
      <c r="H804" s="246"/>
      <c r="I804" s="246"/>
      <c r="J804" s="246"/>
      <c r="K804" s="246"/>
      <c r="L804" s="246"/>
      <c r="M804" s="246"/>
      <c r="N804" s="252"/>
      <c r="O804" s="246"/>
      <c r="P804" s="246"/>
      <c r="Q804" s="246"/>
      <c r="R804" s="246"/>
      <c r="S804" s="246"/>
      <c r="T804" s="246"/>
      <c r="U804" s="246"/>
      <c r="V804" s="246"/>
      <c r="W804" s="246"/>
      <c r="X804" s="246"/>
      <c r="Y804" s="246"/>
      <c r="Z804" s="246"/>
    </row>
    <row r="805">
      <c r="A805" s="246"/>
      <c r="B805" s="246"/>
      <c r="C805" s="246"/>
      <c r="D805" s="246"/>
      <c r="E805" s="246"/>
      <c r="F805" s="246"/>
      <c r="G805" s="246"/>
      <c r="H805" s="246"/>
      <c r="I805" s="246"/>
      <c r="J805" s="246"/>
      <c r="K805" s="246"/>
      <c r="L805" s="246"/>
      <c r="M805" s="246"/>
      <c r="N805" s="252"/>
      <c r="O805" s="246"/>
      <c r="P805" s="246"/>
      <c r="Q805" s="246"/>
      <c r="R805" s="246"/>
      <c r="S805" s="246"/>
      <c r="T805" s="246"/>
      <c r="U805" s="246"/>
      <c r="V805" s="246"/>
      <c r="W805" s="246"/>
      <c r="X805" s="246"/>
      <c r="Y805" s="246"/>
      <c r="Z805" s="246"/>
    </row>
    <row r="806">
      <c r="A806" s="246"/>
      <c r="B806" s="246"/>
      <c r="C806" s="246"/>
      <c r="D806" s="246"/>
      <c r="E806" s="246"/>
      <c r="F806" s="246"/>
      <c r="G806" s="246"/>
      <c r="H806" s="246"/>
      <c r="I806" s="246"/>
      <c r="J806" s="246"/>
      <c r="K806" s="246"/>
      <c r="L806" s="246"/>
      <c r="M806" s="246"/>
      <c r="N806" s="252"/>
      <c r="O806" s="246"/>
      <c r="P806" s="246"/>
      <c r="Q806" s="246"/>
      <c r="R806" s="246"/>
      <c r="S806" s="246"/>
      <c r="T806" s="246"/>
      <c r="U806" s="246"/>
      <c r="V806" s="246"/>
      <c r="W806" s="246"/>
      <c r="X806" s="246"/>
      <c r="Y806" s="246"/>
      <c r="Z806" s="246"/>
    </row>
    <row r="807">
      <c r="A807" s="246"/>
      <c r="B807" s="246"/>
      <c r="C807" s="246"/>
      <c r="D807" s="246"/>
      <c r="E807" s="246"/>
      <c r="F807" s="246"/>
      <c r="G807" s="246"/>
      <c r="H807" s="246"/>
      <c r="I807" s="246"/>
      <c r="J807" s="246"/>
      <c r="K807" s="246"/>
      <c r="L807" s="246"/>
      <c r="M807" s="246"/>
      <c r="N807" s="252"/>
      <c r="O807" s="246"/>
      <c r="P807" s="246"/>
      <c r="Q807" s="246"/>
      <c r="R807" s="246"/>
      <c r="S807" s="246"/>
      <c r="T807" s="246"/>
      <c r="U807" s="246"/>
      <c r="V807" s="246"/>
      <c r="W807" s="246"/>
      <c r="X807" s="246"/>
      <c r="Y807" s="246"/>
      <c r="Z807" s="246"/>
    </row>
    <row r="808">
      <c r="A808" s="246"/>
      <c r="B808" s="246"/>
      <c r="C808" s="246"/>
      <c r="D808" s="246"/>
      <c r="E808" s="246"/>
      <c r="F808" s="246"/>
      <c r="G808" s="246"/>
      <c r="H808" s="246"/>
      <c r="I808" s="246"/>
      <c r="J808" s="246"/>
      <c r="K808" s="246"/>
      <c r="L808" s="246"/>
      <c r="M808" s="246"/>
      <c r="N808" s="252"/>
      <c r="O808" s="246"/>
      <c r="P808" s="246"/>
      <c r="Q808" s="246"/>
      <c r="R808" s="246"/>
      <c r="S808" s="246"/>
      <c r="T808" s="246"/>
      <c r="U808" s="246"/>
      <c r="V808" s="246"/>
      <c r="W808" s="246"/>
      <c r="X808" s="246"/>
      <c r="Y808" s="246"/>
      <c r="Z808" s="246"/>
    </row>
    <row r="809">
      <c r="A809" s="246"/>
      <c r="B809" s="246"/>
      <c r="C809" s="246"/>
      <c r="D809" s="246"/>
      <c r="E809" s="246"/>
      <c r="F809" s="246"/>
      <c r="G809" s="246"/>
      <c r="H809" s="246"/>
      <c r="I809" s="246"/>
      <c r="J809" s="246"/>
      <c r="K809" s="246"/>
      <c r="L809" s="246"/>
      <c r="M809" s="246"/>
      <c r="N809" s="252"/>
      <c r="O809" s="246"/>
      <c r="P809" s="246"/>
      <c r="Q809" s="246"/>
      <c r="R809" s="246"/>
      <c r="S809" s="246"/>
      <c r="T809" s="246"/>
      <c r="U809" s="246"/>
      <c r="V809" s="246"/>
      <c r="W809" s="246"/>
      <c r="X809" s="246"/>
      <c r="Y809" s="246"/>
      <c r="Z809" s="246"/>
    </row>
    <row r="810">
      <c r="A810" s="246"/>
      <c r="B810" s="246"/>
      <c r="C810" s="246"/>
      <c r="D810" s="246"/>
      <c r="E810" s="246"/>
      <c r="F810" s="246"/>
      <c r="G810" s="246"/>
      <c r="H810" s="246"/>
      <c r="I810" s="246"/>
      <c r="J810" s="246"/>
      <c r="K810" s="246"/>
      <c r="L810" s="246"/>
      <c r="M810" s="246"/>
      <c r="N810" s="252"/>
      <c r="O810" s="246"/>
      <c r="P810" s="246"/>
      <c r="Q810" s="246"/>
      <c r="R810" s="246"/>
      <c r="S810" s="246"/>
      <c r="T810" s="246"/>
      <c r="U810" s="246"/>
      <c r="V810" s="246"/>
      <c r="W810" s="246"/>
      <c r="X810" s="246"/>
      <c r="Y810" s="246"/>
      <c r="Z810" s="246"/>
    </row>
    <row r="811">
      <c r="A811" s="246"/>
      <c r="B811" s="246"/>
      <c r="C811" s="246"/>
      <c r="D811" s="246"/>
      <c r="E811" s="246"/>
      <c r="F811" s="246"/>
      <c r="G811" s="246"/>
      <c r="H811" s="246"/>
      <c r="I811" s="246"/>
      <c r="J811" s="246"/>
      <c r="K811" s="246"/>
      <c r="L811" s="246"/>
      <c r="M811" s="246"/>
      <c r="N811" s="252"/>
      <c r="O811" s="246"/>
      <c r="P811" s="246"/>
      <c r="Q811" s="246"/>
      <c r="R811" s="246"/>
      <c r="S811" s="246"/>
      <c r="T811" s="246"/>
      <c r="U811" s="246"/>
      <c r="V811" s="246"/>
      <c r="W811" s="246"/>
      <c r="X811" s="246"/>
      <c r="Y811" s="246"/>
      <c r="Z811" s="246"/>
    </row>
    <row r="812">
      <c r="A812" s="246"/>
      <c r="B812" s="246"/>
      <c r="C812" s="246"/>
      <c r="D812" s="246"/>
      <c r="E812" s="246"/>
      <c r="F812" s="246"/>
      <c r="G812" s="246"/>
      <c r="H812" s="246"/>
      <c r="I812" s="246"/>
      <c r="J812" s="246"/>
      <c r="K812" s="246"/>
      <c r="L812" s="246"/>
      <c r="M812" s="246"/>
      <c r="N812" s="252"/>
      <c r="O812" s="246"/>
      <c r="P812" s="246"/>
      <c r="Q812" s="246"/>
      <c r="R812" s="246"/>
      <c r="S812" s="246"/>
      <c r="T812" s="246"/>
      <c r="U812" s="246"/>
      <c r="V812" s="246"/>
      <c r="W812" s="246"/>
      <c r="X812" s="246"/>
      <c r="Y812" s="246"/>
      <c r="Z812" s="246"/>
    </row>
    <row r="813">
      <c r="A813" s="246"/>
      <c r="B813" s="246"/>
      <c r="C813" s="246"/>
      <c r="D813" s="246"/>
      <c r="E813" s="246"/>
      <c r="F813" s="246"/>
      <c r="G813" s="246"/>
      <c r="H813" s="246"/>
      <c r="I813" s="246"/>
      <c r="J813" s="246"/>
      <c r="K813" s="246"/>
      <c r="L813" s="246"/>
      <c r="M813" s="246"/>
      <c r="N813" s="252"/>
      <c r="O813" s="246"/>
      <c r="P813" s="246"/>
      <c r="Q813" s="246"/>
      <c r="R813" s="246"/>
      <c r="S813" s="246"/>
      <c r="T813" s="246"/>
      <c r="U813" s="246"/>
      <c r="V813" s="246"/>
      <c r="W813" s="246"/>
      <c r="X813" s="246"/>
      <c r="Y813" s="246"/>
      <c r="Z813" s="246"/>
    </row>
    <row r="814">
      <c r="A814" s="246"/>
      <c r="B814" s="246"/>
      <c r="C814" s="246"/>
      <c r="D814" s="246"/>
      <c r="E814" s="246"/>
      <c r="F814" s="246"/>
      <c r="G814" s="246"/>
      <c r="H814" s="246"/>
      <c r="I814" s="246"/>
      <c r="J814" s="246"/>
      <c r="K814" s="246"/>
      <c r="L814" s="246"/>
      <c r="M814" s="246"/>
      <c r="N814" s="252"/>
      <c r="O814" s="246"/>
      <c r="P814" s="246"/>
      <c r="Q814" s="246"/>
      <c r="R814" s="246"/>
      <c r="S814" s="246"/>
      <c r="T814" s="246"/>
      <c r="U814" s="246"/>
      <c r="V814" s="246"/>
      <c r="W814" s="246"/>
      <c r="X814" s="246"/>
      <c r="Y814" s="246"/>
      <c r="Z814" s="246"/>
    </row>
    <row r="815">
      <c r="A815" s="246"/>
      <c r="B815" s="246"/>
      <c r="C815" s="246"/>
      <c r="D815" s="246"/>
      <c r="E815" s="246"/>
      <c r="F815" s="246"/>
      <c r="G815" s="246"/>
      <c r="H815" s="246"/>
      <c r="I815" s="246"/>
      <c r="J815" s="246"/>
      <c r="K815" s="246"/>
      <c r="L815" s="246"/>
      <c r="M815" s="246"/>
      <c r="N815" s="252"/>
      <c r="O815" s="246"/>
      <c r="P815" s="246"/>
      <c r="Q815" s="246"/>
      <c r="R815" s="246"/>
      <c r="S815" s="246"/>
      <c r="T815" s="246"/>
      <c r="U815" s="246"/>
      <c r="V815" s="246"/>
      <c r="W815" s="246"/>
      <c r="X815" s="246"/>
      <c r="Y815" s="246"/>
      <c r="Z815" s="246"/>
    </row>
    <row r="816">
      <c r="A816" s="246"/>
      <c r="B816" s="246"/>
      <c r="C816" s="246"/>
      <c r="D816" s="246"/>
      <c r="E816" s="246"/>
      <c r="F816" s="246"/>
      <c r="G816" s="246"/>
      <c r="H816" s="246"/>
      <c r="I816" s="246"/>
      <c r="J816" s="246"/>
      <c r="K816" s="246"/>
      <c r="L816" s="246"/>
      <c r="M816" s="246"/>
      <c r="N816" s="252"/>
      <c r="O816" s="246"/>
      <c r="P816" s="246"/>
      <c r="Q816" s="246"/>
      <c r="R816" s="246"/>
      <c r="S816" s="246"/>
      <c r="T816" s="246"/>
      <c r="U816" s="246"/>
      <c r="V816" s="246"/>
      <c r="W816" s="246"/>
      <c r="X816" s="246"/>
      <c r="Y816" s="246"/>
      <c r="Z816" s="246"/>
    </row>
    <row r="817">
      <c r="A817" s="246"/>
      <c r="B817" s="246"/>
      <c r="C817" s="246"/>
      <c r="D817" s="246"/>
      <c r="E817" s="246"/>
      <c r="F817" s="246"/>
      <c r="G817" s="246"/>
      <c r="H817" s="246"/>
      <c r="I817" s="246"/>
      <c r="J817" s="246"/>
      <c r="K817" s="246"/>
      <c r="L817" s="246"/>
      <c r="M817" s="246"/>
      <c r="N817" s="252"/>
      <c r="O817" s="246"/>
      <c r="P817" s="246"/>
      <c r="Q817" s="246"/>
      <c r="R817" s="246"/>
      <c r="S817" s="246"/>
      <c r="T817" s="246"/>
      <c r="U817" s="246"/>
      <c r="V817" s="246"/>
      <c r="W817" s="246"/>
      <c r="X817" s="246"/>
      <c r="Y817" s="246"/>
      <c r="Z817" s="246"/>
    </row>
    <row r="818">
      <c r="A818" s="246"/>
      <c r="B818" s="246"/>
      <c r="C818" s="246"/>
      <c r="D818" s="246"/>
      <c r="E818" s="246"/>
      <c r="F818" s="246"/>
      <c r="G818" s="246"/>
      <c r="H818" s="246"/>
      <c r="I818" s="246"/>
      <c r="J818" s="246"/>
      <c r="K818" s="246"/>
      <c r="L818" s="246"/>
      <c r="M818" s="246"/>
      <c r="N818" s="252"/>
      <c r="O818" s="246"/>
      <c r="P818" s="246"/>
      <c r="Q818" s="246"/>
      <c r="R818" s="246"/>
      <c r="S818" s="246"/>
      <c r="T818" s="246"/>
      <c r="U818" s="246"/>
      <c r="V818" s="246"/>
      <c r="W818" s="246"/>
      <c r="X818" s="246"/>
      <c r="Y818" s="246"/>
      <c r="Z818" s="246"/>
    </row>
    <row r="819">
      <c r="A819" s="246"/>
      <c r="B819" s="246"/>
      <c r="C819" s="246"/>
      <c r="D819" s="246"/>
      <c r="E819" s="246"/>
      <c r="F819" s="246"/>
      <c r="G819" s="246"/>
      <c r="H819" s="246"/>
      <c r="I819" s="246"/>
      <c r="J819" s="246"/>
      <c r="K819" s="246"/>
      <c r="L819" s="246"/>
      <c r="M819" s="246"/>
      <c r="N819" s="252"/>
      <c r="O819" s="246"/>
      <c r="P819" s="246"/>
      <c r="Q819" s="246"/>
      <c r="R819" s="246"/>
      <c r="S819" s="246"/>
      <c r="T819" s="246"/>
      <c r="U819" s="246"/>
      <c r="V819" s="246"/>
      <c r="W819" s="246"/>
      <c r="X819" s="246"/>
      <c r="Y819" s="246"/>
      <c r="Z819" s="246"/>
    </row>
    <row r="820">
      <c r="A820" s="246"/>
      <c r="B820" s="246"/>
      <c r="C820" s="246"/>
      <c r="D820" s="246"/>
      <c r="E820" s="246"/>
      <c r="F820" s="246"/>
      <c r="G820" s="246"/>
      <c r="H820" s="246"/>
      <c r="I820" s="246"/>
      <c r="J820" s="246"/>
      <c r="K820" s="246"/>
      <c r="L820" s="246"/>
      <c r="M820" s="246"/>
      <c r="N820" s="252"/>
      <c r="O820" s="246"/>
      <c r="P820" s="246"/>
      <c r="Q820" s="246"/>
      <c r="R820" s="246"/>
      <c r="S820" s="246"/>
      <c r="T820" s="246"/>
      <c r="U820" s="246"/>
      <c r="V820" s="246"/>
      <c r="W820" s="246"/>
      <c r="X820" s="246"/>
      <c r="Y820" s="246"/>
      <c r="Z820" s="246"/>
    </row>
    <row r="821">
      <c r="A821" s="246"/>
      <c r="B821" s="246"/>
      <c r="C821" s="246"/>
      <c r="D821" s="246"/>
      <c r="E821" s="246"/>
      <c r="F821" s="246"/>
      <c r="G821" s="246"/>
      <c r="H821" s="246"/>
      <c r="I821" s="246"/>
      <c r="J821" s="246"/>
      <c r="K821" s="246"/>
      <c r="L821" s="246"/>
      <c r="M821" s="246"/>
      <c r="N821" s="252"/>
      <c r="O821" s="246"/>
      <c r="P821" s="246"/>
      <c r="Q821" s="246"/>
      <c r="R821" s="246"/>
      <c r="S821" s="246"/>
      <c r="T821" s="246"/>
      <c r="U821" s="246"/>
      <c r="V821" s="246"/>
      <c r="W821" s="246"/>
      <c r="X821" s="246"/>
      <c r="Y821" s="246"/>
      <c r="Z821" s="246"/>
    </row>
    <row r="822">
      <c r="A822" s="246"/>
      <c r="B822" s="246"/>
      <c r="C822" s="246"/>
      <c r="D822" s="246"/>
      <c r="E822" s="246"/>
      <c r="F822" s="246"/>
      <c r="G822" s="246"/>
      <c r="H822" s="246"/>
      <c r="I822" s="246"/>
      <c r="J822" s="246"/>
      <c r="K822" s="246"/>
      <c r="L822" s="246"/>
      <c r="M822" s="246"/>
      <c r="N822" s="252"/>
      <c r="O822" s="246"/>
      <c r="P822" s="246"/>
      <c r="Q822" s="246"/>
      <c r="R822" s="246"/>
      <c r="S822" s="246"/>
      <c r="T822" s="246"/>
      <c r="U822" s="246"/>
      <c r="V822" s="246"/>
      <c r="W822" s="246"/>
      <c r="X822" s="246"/>
      <c r="Y822" s="246"/>
      <c r="Z822" s="246"/>
    </row>
    <row r="823">
      <c r="A823" s="246"/>
      <c r="B823" s="246"/>
      <c r="C823" s="246"/>
      <c r="D823" s="246"/>
      <c r="E823" s="246"/>
      <c r="F823" s="246"/>
      <c r="G823" s="246"/>
      <c r="H823" s="246"/>
      <c r="I823" s="246"/>
      <c r="J823" s="246"/>
      <c r="K823" s="246"/>
      <c r="L823" s="246"/>
      <c r="M823" s="246"/>
      <c r="N823" s="252"/>
      <c r="O823" s="246"/>
      <c r="P823" s="246"/>
      <c r="Q823" s="246"/>
      <c r="R823" s="246"/>
      <c r="S823" s="246"/>
      <c r="T823" s="246"/>
      <c r="U823" s="246"/>
      <c r="V823" s="246"/>
      <c r="W823" s="246"/>
      <c r="X823" s="246"/>
      <c r="Y823" s="246"/>
      <c r="Z823" s="246"/>
    </row>
    <row r="824">
      <c r="A824" s="246"/>
      <c r="B824" s="246"/>
      <c r="C824" s="246"/>
      <c r="D824" s="246"/>
      <c r="E824" s="246"/>
      <c r="F824" s="246"/>
      <c r="G824" s="246"/>
      <c r="H824" s="246"/>
      <c r="I824" s="246"/>
      <c r="J824" s="246"/>
      <c r="K824" s="246"/>
      <c r="L824" s="246"/>
      <c r="M824" s="246"/>
      <c r="N824" s="252"/>
      <c r="O824" s="246"/>
      <c r="P824" s="246"/>
      <c r="Q824" s="246"/>
      <c r="R824" s="246"/>
      <c r="S824" s="246"/>
      <c r="T824" s="246"/>
      <c r="U824" s="246"/>
      <c r="V824" s="246"/>
      <c r="W824" s="246"/>
      <c r="X824" s="246"/>
      <c r="Y824" s="246"/>
      <c r="Z824" s="246"/>
    </row>
    <row r="825">
      <c r="A825" s="246"/>
      <c r="B825" s="246"/>
      <c r="C825" s="246"/>
      <c r="D825" s="246"/>
      <c r="E825" s="246"/>
      <c r="F825" s="246"/>
      <c r="G825" s="246"/>
      <c r="H825" s="246"/>
      <c r="I825" s="246"/>
      <c r="J825" s="246"/>
      <c r="K825" s="246"/>
      <c r="L825" s="246"/>
      <c r="M825" s="246"/>
      <c r="N825" s="252"/>
      <c r="O825" s="246"/>
      <c r="P825" s="246"/>
      <c r="Q825" s="246"/>
      <c r="R825" s="246"/>
      <c r="S825" s="246"/>
      <c r="T825" s="246"/>
      <c r="U825" s="246"/>
      <c r="V825" s="246"/>
      <c r="W825" s="246"/>
      <c r="X825" s="246"/>
      <c r="Y825" s="246"/>
      <c r="Z825" s="246"/>
    </row>
    <row r="826">
      <c r="A826" s="246"/>
      <c r="B826" s="246"/>
      <c r="C826" s="246"/>
      <c r="D826" s="246"/>
      <c r="E826" s="246"/>
      <c r="F826" s="246"/>
      <c r="G826" s="246"/>
      <c r="H826" s="246"/>
      <c r="I826" s="246"/>
      <c r="J826" s="246"/>
      <c r="K826" s="246"/>
      <c r="L826" s="246"/>
      <c r="M826" s="246"/>
      <c r="N826" s="252"/>
      <c r="O826" s="246"/>
      <c r="P826" s="246"/>
      <c r="Q826" s="246"/>
      <c r="R826" s="246"/>
      <c r="S826" s="246"/>
      <c r="T826" s="246"/>
      <c r="U826" s="246"/>
      <c r="V826" s="246"/>
      <c r="W826" s="246"/>
      <c r="X826" s="246"/>
      <c r="Y826" s="246"/>
      <c r="Z826" s="246"/>
    </row>
    <row r="827">
      <c r="A827" s="246"/>
      <c r="B827" s="246"/>
      <c r="C827" s="246"/>
      <c r="D827" s="246"/>
      <c r="E827" s="246"/>
      <c r="F827" s="246"/>
      <c r="G827" s="246"/>
      <c r="H827" s="246"/>
      <c r="I827" s="246"/>
      <c r="J827" s="246"/>
      <c r="K827" s="246"/>
      <c r="L827" s="246"/>
      <c r="M827" s="246"/>
      <c r="N827" s="252"/>
      <c r="O827" s="246"/>
      <c r="P827" s="246"/>
      <c r="Q827" s="246"/>
      <c r="R827" s="246"/>
      <c r="S827" s="246"/>
      <c r="T827" s="246"/>
      <c r="U827" s="246"/>
      <c r="V827" s="246"/>
      <c r="W827" s="246"/>
      <c r="X827" s="246"/>
      <c r="Y827" s="246"/>
      <c r="Z827" s="246"/>
    </row>
    <row r="828">
      <c r="A828" s="246"/>
      <c r="B828" s="246"/>
      <c r="C828" s="246"/>
      <c r="D828" s="246"/>
      <c r="E828" s="246"/>
      <c r="F828" s="246"/>
      <c r="G828" s="246"/>
      <c r="H828" s="246"/>
      <c r="I828" s="246"/>
      <c r="J828" s="246"/>
      <c r="K828" s="246"/>
      <c r="L828" s="246"/>
      <c r="M828" s="246"/>
      <c r="N828" s="252"/>
      <c r="O828" s="246"/>
      <c r="P828" s="246"/>
      <c r="Q828" s="246"/>
      <c r="R828" s="246"/>
      <c r="S828" s="246"/>
      <c r="T828" s="246"/>
      <c r="U828" s="246"/>
      <c r="V828" s="246"/>
      <c r="W828" s="246"/>
      <c r="X828" s="246"/>
      <c r="Y828" s="246"/>
      <c r="Z828" s="246"/>
    </row>
    <row r="829">
      <c r="A829" s="246"/>
      <c r="B829" s="246"/>
      <c r="C829" s="246"/>
      <c r="D829" s="246"/>
      <c r="E829" s="246"/>
      <c r="F829" s="246"/>
      <c r="G829" s="246"/>
      <c r="H829" s="246"/>
      <c r="I829" s="246"/>
      <c r="J829" s="246"/>
      <c r="K829" s="246"/>
      <c r="L829" s="246"/>
      <c r="M829" s="246"/>
      <c r="N829" s="252"/>
      <c r="O829" s="246"/>
      <c r="P829" s="246"/>
      <c r="Q829" s="246"/>
      <c r="R829" s="246"/>
      <c r="S829" s="246"/>
      <c r="T829" s="246"/>
      <c r="U829" s="246"/>
      <c r="V829" s="246"/>
      <c r="W829" s="246"/>
      <c r="X829" s="246"/>
      <c r="Y829" s="246"/>
      <c r="Z829" s="246"/>
    </row>
    <row r="830">
      <c r="A830" s="246"/>
      <c r="B830" s="246"/>
      <c r="C830" s="246"/>
      <c r="D830" s="246"/>
      <c r="E830" s="246"/>
      <c r="F830" s="246"/>
      <c r="G830" s="246"/>
      <c r="H830" s="246"/>
      <c r="I830" s="246"/>
      <c r="J830" s="246"/>
      <c r="K830" s="246"/>
      <c r="L830" s="246"/>
      <c r="M830" s="246"/>
      <c r="N830" s="252"/>
      <c r="O830" s="246"/>
      <c r="P830" s="246"/>
      <c r="Q830" s="246"/>
      <c r="R830" s="246"/>
      <c r="S830" s="246"/>
      <c r="T830" s="246"/>
      <c r="U830" s="246"/>
      <c r="V830" s="246"/>
      <c r="W830" s="246"/>
      <c r="X830" s="246"/>
      <c r="Y830" s="246"/>
      <c r="Z830" s="246"/>
    </row>
    <row r="831">
      <c r="A831" s="246"/>
      <c r="B831" s="246"/>
      <c r="C831" s="246"/>
      <c r="D831" s="246"/>
      <c r="E831" s="246"/>
      <c r="F831" s="246"/>
      <c r="G831" s="246"/>
      <c r="H831" s="246"/>
      <c r="I831" s="246"/>
      <c r="J831" s="246"/>
      <c r="K831" s="246"/>
      <c r="L831" s="246"/>
      <c r="M831" s="246"/>
      <c r="N831" s="252"/>
      <c r="O831" s="246"/>
      <c r="P831" s="246"/>
      <c r="Q831" s="246"/>
      <c r="R831" s="246"/>
      <c r="S831" s="246"/>
      <c r="T831" s="246"/>
      <c r="U831" s="246"/>
      <c r="V831" s="246"/>
      <c r="W831" s="246"/>
      <c r="X831" s="246"/>
      <c r="Y831" s="246"/>
      <c r="Z831" s="246"/>
    </row>
    <row r="832">
      <c r="A832" s="246"/>
      <c r="B832" s="246"/>
      <c r="C832" s="246"/>
      <c r="D832" s="246"/>
      <c r="E832" s="246"/>
      <c r="F832" s="246"/>
      <c r="G832" s="246"/>
      <c r="H832" s="246"/>
      <c r="I832" s="246"/>
      <c r="J832" s="246"/>
      <c r="K832" s="246"/>
      <c r="L832" s="246"/>
      <c r="M832" s="246"/>
      <c r="N832" s="252"/>
      <c r="O832" s="246"/>
      <c r="P832" s="246"/>
      <c r="Q832" s="246"/>
      <c r="R832" s="246"/>
      <c r="S832" s="246"/>
      <c r="T832" s="246"/>
      <c r="U832" s="246"/>
      <c r="V832" s="246"/>
      <c r="W832" s="246"/>
      <c r="X832" s="246"/>
      <c r="Y832" s="246"/>
      <c r="Z832" s="246"/>
    </row>
    <row r="833">
      <c r="A833" s="246"/>
      <c r="B833" s="246"/>
      <c r="C833" s="246"/>
      <c r="D833" s="246"/>
      <c r="E833" s="246"/>
      <c r="F833" s="246"/>
      <c r="G833" s="246"/>
      <c r="H833" s="246"/>
      <c r="I833" s="246"/>
      <c r="J833" s="246"/>
      <c r="K833" s="246"/>
      <c r="L833" s="246"/>
      <c r="M833" s="246"/>
      <c r="N833" s="252"/>
      <c r="O833" s="246"/>
      <c r="P833" s="246"/>
      <c r="Q833" s="246"/>
      <c r="R833" s="246"/>
      <c r="S833" s="246"/>
      <c r="T833" s="246"/>
      <c r="U833" s="246"/>
      <c r="V833" s="246"/>
      <c r="W833" s="246"/>
      <c r="X833" s="246"/>
      <c r="Y833" s="246"/>
      <c r="Z833" s="246"/>
    </row>
    <row r="834">
      <c r="A834" s="246"/>
      <c r="B834" s="246"/>
      <c r="C834" s="246"/>
      <c r="D834" s="246"/>
      <c r="E834" s="246"/>
      <c r="F834" s="246"/>
      <c r="G834" s="246"/>
      <c r="H834" s="246"/>
      <c r="I834" s="246"/>
      <c r="J834" s="246"/>
      <c r="K834" s="246"/>
      <c r="L834" s="246"/>
      <c r="M834" s="246"/>
      <c r="N834" s="252"/>
      <c r="O834" s="246"/>
      <c r="P834" s="246"/>
      <c r="Q834" s="246"/>
      <c r="R834" s="246"/>
      <c r="S834" s="246"/>
      <c r="T834" s="246"/>
      <c r="U834" s="246"/>
      <c r="V834" s="246"/>
      <c r="W834" s="246"/>
      <c r="X834" s="246"/>
      <c r="Y834" s="246"/>
      <c r="Z834" s="246"/>
    </row>
    <row r="835">
      <c r="A835" s="246"/>
      <c r="B835" s="246"/>
      <c r="C835" s="246"/>
      <c r="D835" s="246"/>
      <c r="E835" s="246"/>
      <c r="F835" s="246"/>
      <c r="G835" s="246"/>
      <c r="H835" s="246"/>
      <c r="I835" s="246"/>
      <c r="J835" s="246"/>
      <c r="K835" s="246"/>
      <c r="L835" s="246"/>
      <c r="M835" s="246"/>
      <c r="N835" s="252"/>
      <c r="O835" s="246"/>
      <c r="P835" s="246"/>
      <c r="Q835" s="246"/>
      <c r="R835" s="246"/>
      <c r="S835" s="246"/>
      <c r="T835" s="246"/>
      <c r="U835" s="246"/>
      <c r="V835" s="246"/>
      <c r="W835" s="246"/>
      <c r="X835" s="246"/>
      <c r="Y835" s="246"/>
      <c r="Z835" s="246"/>
    </row>
    <row r="836">
      <c r="A836" s="246"/>
      <c r="B836" s="246"/>
      <c r="C836" s="246"/>
      <c r="D836" s="246"/>
      <c r="E836" s="246"/>
      <c r="F836" s="246"/>
      <c r="G836" s="246"/>
      <c r="H836" s="246"/>
      <c r="I836" s="246"/>
      <c r="J836" s="246"/>
      <c r="K836" s="246"/>
      <c r="L836" s="246"/>
      <c r="M836" s="246"/>
      <c r="N836" s="252"/>
      <c r="O836" s="246"/>
      <c r="P836" s="246"/>
      <c r="Q836" s="246"/>
      <c r="R836" s="246"/>
      <c r="S836" s="246"/>
      <c r="T836" s="246"/>
      <c r="U836" s="246"/>
      <c r="V836" s="246"/>
      <c r="W836" s="246"/>
      <c r="X836" s="246"/>
      <c r="Y836" s="246"/>
      <c r="Z836" s="246"/>
    </row>
    <row r="837">
      <c r="A837" s="246"/>
      <c r="B837" s="246"/>
      <c r="C837" s="246"/>
      <c r="D837" s="246"/>
      <c r="E837" s="246"/>
      <c r="F837" s="246"/>
      <c r="G837" s="246"/>
      <c r="H837" s="246"/>
      <c r="I837" s="246"/>
      <c r="J837" s="246"/>
      <c r="K837" s="246"/>
      <c r="L837" s="246"/>
      <c r="M837" s="246"/>
      <c r="N837" s="252"/>
      <c r="O837" s="246"/>
      <c r="P837" s="246"/>
      <c r="Q837" s="246"/>
      <c r="R837" s="246"/>
      <c r="S837" s="246"/>
      <c r="T837" s="246"/>
      <c r="U837" s="246"/>
      <c r="V837" s="246"/>
      <c r="W837" s="246"/>
      <c r="X837" s="246"/>
      <c r="Y837" s="246"/>
      <c r="Z837" s="246"/>
    </row>
    <row r="838">
      <c r="A838" s="246"/>
      <c r="B838" s="246"/>
      <c r="C838" s="246"/>
      <c r="D838" s="246"/>
      <c r="E838" s="246"/>
      <c r="F838" s="246"/>
      <c r="G838" s="246"/>
      <c r="H838" s="246"/>
      <c r="I838" s="246"/>
      <c r="J838" s="246"/>
      <c r="K838" s="246"/>
      <c r="L838" s="246"/>
      <c r="M838" s="246"/>
      <c r="N838" s="252"/>
      <c r="O838" s="246"/>
      <c r="P838" s="246"/>
      <c r="Q838" s="246"/>
      <c r="R838" s="246"/>
      <c r="S838" s="246"/>
      <c r="T838" s="246"/>
      <c r="U838" s="246"/>
      <c r="V838" s="246"/>
      <c r="W838" s="246"/>
      <c r="X838" s="246"/>
      <c r="Y838" s="246"/>
      <c r="Z838" s="246"/>
    </row>
    <row r="839">
      <c r="A839" s="246"/>
      <c r="B839" s="246"/>
      <c r="C839" s="246"/>
      <c r="D839" s="246"/>
      <c r="E839" s="246"/>
      <c r="F839" s="246"/>
      <c r="G839" s="246"/>
      <c r="H839" s="246"/>
      <c r="I839" s="246"/>
      <c r="J839" s="246"/>
      <c r="K839" s="246"/>
      <c r="L839" s="246"/>
      <c r="M839" s="246"/>
      <c r="N839" s="252"/>
      <c r="O839" s="246"/>
      <c r="P839" s="246"/>
      <c r="Q839" s="246"/>
      <c r="R839" s="246"/>
      <c r="S839" s="246"/>
      <c r="T839" s="246"/>
      <c r="U839" s="246"/>
      <c r="V839" s="246"/>
      <c r="W839" s="246"/>
      <c r="X839" s="246"/>
      <c r="Y839" s="246"/>
      <c r="Z839" s="246"/>
    </row>
    <row r="840">
      <c r="A840" s="246"/>
      <c r="B840" s="246"/>
      <c r="C840" s="246"/>
      <c r="D840" s="246"/>
      <c r="E840" s="246"/>
      <c r="F840" s="246"/>
      <c r="G840" s="246"/>
      <c r="H840" s="246"/>
      <c r="I840" s="246"/>
      <c r="J840" s="246"/>
      <c r="K840" s="246"/>
      <c r="L840" s="246"/>
      <c r="M840" s="246"/>
      <c r="N840" s="252"/>
      <c r="O840" s="246"/>
      <c r="P840" s="246"/>
      <c r="Q840" s="246"/>
      <c r="R840" s="246"/>
      <c r="S840" s="246"/>
      <c r="T840" s="246"/>
      <c r="U840" s="246"/>
      <c r="V840" s="246"/>
      <c r="W840" s="246"/>
      <c r="X840" s="246"/>
      <c r="Y840" s="246"/>
      <c r="Z840" s="246"/>
    </row>
    <row r="841">
      <c r="A841" s="246"/>
      <c r="B841" s="246"/>
      <c r="C841" s="246"/>
      <c r="D841" s="246"/>
      <c r="E841" s="246"/>
      <c r="F841" s="246"/>
      <c r="G841" s="246"/>
      <c r="H841" s="246"/>
      <c r="I841" s="246"/>
      <c r="J841" s="246"/>
      <c r="K841" s="246"/>
      <c r="L841" s="246"/>
      <c r="M841" s="246"/>
      <c r="N841" s="252"/>
      <c r="O841" s="246"/>
      <c r="P841" s="246"/>
      <c r="Q841" s="246"/>
      <c r="R841" s="246"/>
      <c r="S841" s="246"/>
      <c r="T841" s="246"/>
      <c r="U841" s="246"/>
      <c r="V841" s="246"/>
      <c r="W841" s="246"/>
      <c r="X841" s="246"/>
      <c r="Y841" s="246"/>
      <c r="Z841" s="246"/>
    </row>
    <row r="842">
      <c r="A842" s="246"/>
      <c r="B842" s="246"/>
      <c r="C842" s="246"/>
      <c r="D842" s="246"/>
      <c r="E842" s="246"/>
      <c r="F842" s="246"/>
      <c r="G842" s="246"/>
      <c r="H842" s="246"/>
      <c r="I842" s="246"/>
      <c r="J842" s="246"/>
      <c r="K842" s="246"/>
      <c r="L842" s="246"/>
      <c r="M842" s="246"/>
      <c r="N842" s="252"/>
      <c r="O842" s="246"/>
      <c r="P842" s="246"/>
      <c r="Q842" s="246"/>
      <c r="R842" s="246"/>
      <c r="S842" s="246"/>
      <c r="T842" s="246"/>
      <c r="U842" s="246"/>
      <c r="V842" s="246"/>
      <c r="W842" s="246"/>
      <c r="X842" s="246"/>
      <c r="Y842" s="246"/>
      <c r="Z842" s="246"/>
    </row>
    <row r="843">
      <c r="A843" s="246"/>
      <c r="B843" s="246"/>
      <c r="C843" s="246"/>
      <c r="D843" s="246"/>
      <c r="E843" s="246"/>
      <c r="F843" s="246"/>
      <c r="G843" s="246"/>
      <c r="H843" s="246"/>
      <c r="I843" s="246"/>
      <c r="J843" s="246"/>
      <c r="K843" s="246"/>
      <c r="L843" s="246"/>
      <c r="M843" s="246"/>
      <c r="N843" s="252"/>
      <c r="O843" s="246"/>
      <c r="P843" s="246"/>
      <c r="Q843" s="246"/>
      <c r="R843" s="246"/>
      <c r="S843" s="246"/>
      <c r="T843" s="246"/>
      <c r="U843" s="246"/>
      <c r="V843" s="246"/>
      <c r="W843" s="246"/>
      <c r="X843" s="246"/>
      <c r="Y843" s="246"/>
      <c r="Z843" s="246"/>
    </row>
    <row r="844">
      <c r="A844" s="246"/>
      <c r="B844" s="246"/>
      <c r="C844" s="246"/>
      <c r="D844" s="246"/>
      <c r="E844" s="246"/>
      <c r="F844" s="246"/>
      <c r="G844" s="246"/>
      <c r="H844" s="246"/>
      <c r="I844" s="246"/>
      <c r="J844" s="246"/>
      <c r="K844" s="246"/>
      <c r="L844" s="246"/>
      <c r="M844" s="246"/>
      <c r="N844" s="252"/>
      <c r="O844" s="246"/>
      <c r="P844" s="246"/>
      <c r="Q844" s="246"/>
      <c r="R844" s="246"/>
      <c r="S844" s="246"/>
      <c r="T844" s="246"/>
      <c r="U844" s="246"/>
      <c r="V844" s="246"/>
      <c r="W844" s="246"/>
      <c r="X844" s="246"/>
      <c r="Y844" s="246"/>
      <c r="Z844" s="246"/>
    </row>
    <row r="845">
      <c r="A845" s="246"/>
      <c r="B845" s="246"/>
      <c r="C845" s="246"/>
      <c r="D845" s="246"/>
      <c r="E845" s="246"/>
      <c r="F845" s="246"/>
      <c r="G845" s="246"/>
      <c r="H845" s="246"/>
      <c r="I845" s="246"/>
      <c r="J845" s="246"/>
      <c r="K845" s="246"/>
      <c r="L845" s="246"/>
      <c r="M845" s="246"/>
      <c r="N845" s="252"/>
      <c r="O845" s="246"/>
      <c r="P845" s="246"/>
      <c r="Q845" s="246"/>
      <c r="R845" s="246"/>
      <c r="S845" s="246"/>
      <c r="T845" s="246"/>
      <c r="U845" s="246"/>
      <c r="V845" s="246"/>
      <c r="W845" s="246"/>
      <c r="X845" s="246"/>
      <c r="Y845" s="246"/>
      <c r="Z845" s="246"/>
    </row>
    <row r="846">
      <c r="A846" s="246"/>
      <c r="B846" s="246"/>
      <c r="C846" s="246"/>
      <c r="D846" s="246"/>
      <c r="E846" s="246"/>
      <c r="F846" s="246"/>
      <c r="G846" s="246"/>
      <c r="H846" s="246"/>
      <c r="I846" s="246"/>
      <c r="J846" s="246"/>
      <c r="K846" s="246"/>
      <c r="L846" s="246"/>
      <c r="M846" s="246"/>
      <c r="N846" s="252"/>
      <c r="O846" s="246"/>
      <c r="P846" s="246"/>
      <c r="Q846" s="246"/>
      <c r="R846" s="246"/>
      <c r="S846" s="246"/>
      <c r="T846" s="246"/>
      <c r="U846" s="246"/>
      <c r="V846" s="246"/>
      <c r="W846" s="246"/>
      <c r="X846" s="246"/>
      <c r="Y846" s="246"/>
      <c r="Z846" s="246"/>
    </row>
    <row r="847">
      <c r="A847" s="246"/>
      <c r="B847" s="246"/>
      <c r="C847" s="246"/>
      <c r="D847" s="246"/>
      <c r="E847" s="246"/>
      <c r="F847" s="246"/>
      <c r="G847" s="246"/>
      <c r="H847" s="246"/>
      <c r="I847" s="246"/>
      <c r="J847" s="246"/>
      <c r="K847" s="246"/>
      <c r="L847" s="246"/>
      <c r="M847" s="246"/>
      <c r="N847" s="252"/>
      <c r="O847" s="246"/>
      <c r="P847" s="246"/>
      <c r="Q847" s="246"/>
      <c r="R847" s="246"/>
      <c r="S847" s="246"/>
      <c r="T847" s="246"/>
      <c r="U847" s="246"/>
      <c r="V847" s="246"/>
      <c r="W847" s="246"/>
      <c r="X847" s="246"/>
      <c r="Y847" s="246"/>
      <c r="Z847" s="246"/>
    </row>
    <row r="848">
      <c r="A848" s="246"/>
      <c r="B848" s="246"/>
      <c r="C848" s="246"/>
      <c r="D848" s="246"/>
      <c r="E848" s="246"/>
      <c r="F848" s="246"/>
      <c r="G848" s="246"/>
      <c r="H848" s="246"/>
      <c r="I848" s="246"/>
      <c r="J848" s="246"/>
      <c r="K848" s="246"/>
      <c r="L848" s="246"/>
      <c r="M848" s="246"/>
      <c r="N848" s="252"/>
      <c r="O848" s="246"/>
      <c r="P848" s="246"/>
      <c r="Q848" s="246"/>
      <c r="R848" s="246"/>
      <c r="S848" s="246"/>
      <c r="T848" s="246"/>
      <c r="U848" s="246"/>
      <c r="V848" s="246"/>
      <c r="W848" s="246"/>
      <c r="X848" s="246"/>
      <c r="Y848" s="246"/>
      <c r="Z848" s="246"/>
    </row>
    <row r="849">
      <c r="A849" s="246"/>
      <c r="B849" s="246"/>
      <c r="C849" s="246"/>
      <c r="D849" s="246"/>
      <c r="E849" s="246"/>
      <c r="F849" s="246"/>
      <c r="G849" s="246"/>
      <c r="H849" s="246"/>
      <c r="I849" s="246"/>
      <c r="J849" s="246"/>
      <c r="K849" s="246"/>
      <c r="L849" s="246"/>
      <c r="M849" s="246"/>
      <c r="N849" s="252"/>
      <c r="O849" s="246"/>
      <c r="P849" s="246"/>
      <c r="Q849" s="246"/>
      <c r="R849" s="246"/>
      <c r="S849" s="246"/>
      <c r="T849" s="246"/>
      <c r="U849" s="246"/>
      <c r="V849" s="246"/>
      <c r="W849" s="246"/>
      <c r="X849" s="246"/>
      <c r="Y849" s="246"/>
      <c r="Z849" s="246"/>
    </row>
    <row r="850">
      <c r="A850" s="246"/>
      <c r="B850" s="246"/>
      <c r="C850" s="246"/>
      <c r="D850" s="246"/>
      <c r="E850" s="246"/>
      <c r="F850" s="246"/>
      <c r="G850" s="246"/>
      <c r="H850" s="246"/>
      <c r="I850" s="246"/>
      <c r="J850" s="246"/>
      <c r="K850" s="246"/>
      <c r="L850" s="246"/>
      <c r="M850" s="246"/>
      <c r="N850" s="252"/>
      <c r="O850" s="246"/>
      <c r="P850" s="246"/>
      <c r="Q850" s="246"/>
      <c r="R850" s="246"/>
      <c r="S850" s="246"/>
      <c r="T850" s="246"/>
      <c r="U850" s="246"/>
      <c r="V850" s="246"/>
      <c r="W850" s="246"/>
      <c r="X850" s="246"/>
      <c r="Y850" s="246"/>
      <c r="Z850" s="246"/>
    </row>
    <row r="851">
      <c r="A851" s="246"/>
      <c r="B851" s="246"/>
      <c r="C851" s="246"/>
      <c r="D851" s="246"/>
      <c r="E851" s="246"/>
      <c r="F851" s="246"/>
      <c r="G851" s="246"/>
      <c r="H851" s="246"/>
      <c r="I851" s="246"/>
      <c r="J851" s="246"/>
      <c r="K851" s="246"/>
      <c r="L851" s="246"/>
      <c r="M851" s="246"/>
      <c r="N851" s="252"/>
      <c r="O851" s="246"/>
      <c r="P851" s="246"/>
      <c r="Q851" s="246"/>
      <c r="R851" s="246"/>
      <c r="S851" s="246"/>
      <c r="T851" s="246"/>
      <c r="U851" s="246"/>
      <c r="V851" s="246"/>
      <c r="W851" s="246"/>
      <c r="X851" s="246"/>
      <c r="Y851" s="246"/>
      <c r="Z851" s="246"/>
    </row>
    <row r="852">
      <c r="A852" s="246"/>
      <c r="B852" s="246"/>
      <c r="C852" s="246"/>
      <c r="D852" s="246"/>
      <c r="E852" s="246"/>
      <c r="F852" s="246"/>
      <c r="G852" s="246"/>
      <c r="H852" s="246"/>
      <c r="I852" s="246"/>
      <c r="J852" s="246"/>
      <c r="K852" s="246"/>
      <c r="L852" s="246"/>
      <c r="M852" s="246"/>
      <c r="N852" s="252"/>
      <c r="O852" s="246"/>
      <c r="P852" s="246"/>
      <c r="Q852" s="246"/>
      <c r="R852" s="246"/>
      <c r="S852" s="246"/>
      <c r="T852" s="246"/>
      <c r="U852" s="246"/>
      <c r="V852" s="246"/>
      <c r="W852" s="246"/>
      <c r="X852" s="246"/>
      <c r="Y852" s="246"/>
      <c r="Z852" s="246"/>
    </row>
    <row r="853">
      <c r="A853" s="246"/>
      <c r="B853" s="246"/>
      <c r="C853" s="246"/>
      <c r="D853" s="246"/>
      <c r="E853" s="246"/>
      <c r="F853" s="246"/>
      <c r="G853" s="246"/>
      <c r="H853" s="246"/>
      <c r="I853" s="246"/>
      <c r="J853" s="246"/>
      <c r="K853" s="246"/>
      <c r="L853" s="246"/>
      <c r="M853" s="246"/>
      <c r="N853" s="252"/>
      <c r="O853" s="246"/>
      <c r="P853" s="246"/>
      <c r="Q853" s="246"/>
      <c r="R853" s="246"/>
      <c r="S853" s="246"/>
      <c r="T853" s="246"/>
      <c r="U853" s="246"/>
      <c r="V853" s="246"/>
      <c r="W853" s="246"/>
      <c r="X853" s="246"/>
      <c r="Y853" s="246"/>
      <c r="Z853" s="246"/>
    </row>
    <row r="854">
      <c r="A854" s="246"/>
      <c r="B854" s="246"/>
      <c r="C854" s="246"/>
      <c r="D854" s="246"/>
      <c r="E854" s="246"/>
      <c r="F854" s="246"/>
      <c r="G854" s="246"/>
      <c r="H854" s="246"/>
      <c r="I854" s="246"/>
      <c r="J854" s="246"/>
      <c r="K854" s="246"/>
      <c r="L854" s="246"/>
      <c r="M854" s="246"/>
      <c r="N854" s="252"/>
      <c r="O854" s="246"/>
      <c r="P854" s="246"/>
      <c r="Q854" s="246"/>
      <c r="R854" s="246"/>
      <c r="S854" s="246"/>
      <c r="T854" s="246"/>
      <c r="U854" s="246"/>
      <c r="V854" s="246"/>
      <c r="W854" s="246"/>
      <c r="X854" s="246"/>
      <c r="Y854" s="246"/>
      <c r="Z854" s="246"/>
    </row>
    <row r="855">
      <c r="A855" s="246"/>
      <c r="B855" s="246"/>
      <c r="C855" s="246"/>
      <c r="D855" s="246"/>
      <c r="E855" s="246"/>
      <c r="F855" s="246"/>
      <c r="G855" s="246"/>
      <c r="H855" s="246"/>
      <c r="I855" s="246"/>
      <c r="J855" s="246"/>
      <c r="K855" s="246"/>
      <c r="L855" s="246"/>
      <c r="M855" s="246"/>
      <c r="N855" s="252"/>
      <c r="O855" s="246"/>
      <c r="P855" s="246"/>
      <c r="Q855" s="246"/>
      <c r="R855" s="246"/>
      <c r="S855" s="246"/>
      <c r="T855" s="246"/>
      <c r="U855" s="246"/>
      <c r="V855" s="246"/>
      <c r="W855" s="246"/>
      <c r="X855" s="246"/>
      <c r="Y855" s="246"/>
      <c r="Z855" s="246"/>
    </row>
    <row r="856">
      <c r="A856" s="246"/>
      <c r="B856" s="246"/>
      <c r="C856" s="246"/>
      <c r="D856" s="246"/>
      <c r="E856" s="246"/>
      <c r="F856" s="246"/>
      <c r="G856" s="246"/>
      <c r="H856" s="246"/>
      <c r="I856" s="246"/>
      <c r="J856" s="246"/>
      <c r="K856" s="246"/>
      <c r="L856" s="246"/>
      <c r="M856" s="246"/>
      <c r="N856" s="252"/>
      <c r="O856" s="246"/>
      <c r="P856" s="246"/>
      <c r="Q856" s="246"/>
      <c r="R856" s="246"/>
      <c r="S856" s="246"/>
      <c r="T856" s="246"/>
      <c r="U856" s="246"/>
      <c r="V856" s="246"/>
      <c r="W856" s="246"/>
      <c r="X856" s="246"/>
      <c r="Y856" s="246"/>
      <c r="Z856" s="246"/>
    </row>
    <row r="857">
      <c r="A857" s="246"/>
      <c r="B857" s="246"/>
      <c r="C857" s="246"/>
      <c r="D857" s="246"/>
      <c r="E857" s="246"/>
      <c r="F857" s="246"/>
      <c r="G857" s="246"/>
      <c r="H857" s="246"/>
      <c r="I857" s="246"/>
      <c r="J857" s="246"/>
      <c r="K857" s="246"/>
      <c r="L857" s="246"/>
      <c r="M857" s="246"/>
      <c r="N857" s="252"/>
      <c r="O857" s="246"/>
      <c r="P857" s="246"/>
      <c r="Q857" s="246"/>
      <c r="R857" s="246"/>
      <c r="S857" s="246"/>
      <c r="T857" s="246"/>
      <c r="U857" s="246"/>
      <c r="V857" s="246"/>
      <c r="W857" s="246"/>
      <c r="X857" s="246"/>
      <c r="Y857" s="246"/>
      <c r="Z857" s="246"/>
    </row>
    <row r="858">
      <c r="A858" s="246"/>
      <c r="B858" s="246"/>
      <c r="C858" s="246"/>
      <c r="D858" s="246"/>
      <c r="E858" s="246"/>
      <c r="F858" s="246"/>
      <c r="G858" s="246"/>
      <c r="H858" s="246"/>
      <c r="I858" s="246"/>
      <c r="J858" s="246"/>
      <c r="K858" s="246"/>
      <c r="L858" s="246"/>
      <c r="M858" s="246"/>
      <c r="N858" s="252"/>
      <c r="O858" s="246"/>
      <c r="P858" s="246"/>
      <c r="Q858" s="246"/>
      <c r="R858" s="246"/>
      <c r="S858" s="246"/>
      <c r="T858" s="246"/>
      <c r="U858" s="246"/>
      <c r="V858" s="246"/>
      <c r="W858" s="246"/>
      <c r="X858" s="246"/>
      <c r="Y858" s="246"/>
      <c r="Z858" s="246"/>
    </row>
    <row r="859">
      <c r="A859" s="246"/>
      <c r="B859" s="246"/>
      <c r="C859" s="246"/>
      <c r="D859" s="246"/>
      <c r="E859" s="246"/>
      <c r="F859" s="246"/>
      <c r="G859" s="246"/>
      <c r="H859" s="246"/>
      <c r="I859" s="246"/>
      <c r="J859" s="246"/>
      <c r="K859" s="246"/>
      <c r="L859" s="246"/>
      <c r="M859" s="246"/>
      <c r="N859" s="252"/>
      <c r="O859" s="246"/>
      <c r="P859" s="246"/>
      <c r="Q859" s="246"/>
      <c r="R859" s="246"/>
      <c r="S859" s="246"/>
      <c r="T859" s="246"/>
      <c r="U859" s="246"/>
      <c r="V859" s="246"/>
      <c r="W859" s="246"/>
      <c r="X859" s="246"/>
      <c r="Y859" s="246"/>
      <c r="Z859" s="246"/>
    </row>
    <row r="860">
      <c r="A860" s="246"/>
      <c r="B860" s="246"/>
      <c r="C860" s="246"/>
      <c r="D860" s="246"/>
      <c r="E860" s="246"/>
      <c r="F860" s="246"/>
      <c r="G860" s="246"/>
      <c r="H860" s="246"/>
      <c r="I860" s="246"/>
      <c r="J860" s="246"/>
      <c r="K860" s="246"/>
      <c r="L860" s="246"/>
      <c r="M860" s="246"/>
      <c r="N860" s="252"/>
      <c r="O860" s="246"/>
      <c r="P860" s="246"/>
      <c r="Q860" s="246"/>
      <c r="R860" s="246"/>
      <c r="S860" s="246"/>
      <c r="T860" s="246"/>
      <c r="U860" s="246"/>
      <c r="V860" s="246"/>
      <c r="W860" s="246"/>
      <c r="X860" s="246"/>
      <c r="Y860" s="246"/>
      <c r="Z860" s="246"/>
    </row>
    <row r="861">
      <c r="A861" s="246"/>
      <c r="B861" s="246"/>
      <c r="C861" s="246"/>
      <c r="D861" s="246"/>
      <c r="E861" s="246"/>
      <c r="F861" s="246"/>
      <c r="G861" s="246"/>
      <c r="H861" s="246"/>
      <c r="I861" s="246"/>
      <c r="J861" s="246"/>
      <c r="K861" s="246"/>
      <c r="L861" s="246"/>
      <c r="M861" s="246"/>
      <c r="N861" s="252"/>
      <c r="O861" s="246"/>
      <c r="P861" s="246"/>
      <c r="Q861" s="246"/>
      <c r="R861" s="246"/>
      <c r="S861" s="246"/>
      <c r="T861" s="246"/>
      <c r="U861" s="246"/>
      <c r="V861" s="246"/>
      <c r="W861" s="246"/>
      <c r="X861" s="246"/>
      <c r="Y861" s="246"/>
      <c r="Z861" s="246"/>
    </row>
    <row r="862">
      <c r="A862" s="246"/>
      <c r="B862" s="246"/>
      <c r="C862" s="246"/>
      <c r="D862" s="246"/>
      <c r="E862" s="246"/>
      <c r="F862" s="246"/>
      <c r="G862" s="246"/>
      <c r="H862" s="246"/>
      <c r="I862" s="246"/>
      <c r="J862" s="246"/>
      <c r="K862" s="246"/>
      <c r="L862" s="246"/>
      <c r="M862" s="246"/>
      <c r="N862" s="252"/>
      <c r="O862" s="246"/>
      <c r="P862" s="246"/>
      <c r="Q862" s="246"/>
      <c r="R862" s="246"/>
      <c r="S862" s="246"/>
      <c r="T862" s="246"/>
      <c r="U862" s="246"/>
      <c r="V862" s="246"/>
      <c r="W862" s="246"/>
      <c r="X862" s="246"/>
      <c r="Y862" s="246"/>
      <c r="Z862" s="246"/>
    </row>
    <row r="863">
      <c r="A863" s="246"/>
      <c r="B863" s="246"/>
      <c r="C863" s="246"/>
      <c r="D863" s="246"/>
      <c r="E863" s="246"/>
      <c r="F863" s="246"/>
      <c r="G863" s="246"/>
      <c r="H863" s="246"/>
      <c r="I863" s="246"/>
      <c r="J863" s="246"/>
      <c r="K863" s="246"/>
      <c r="L863" s="246"/>
      <c r="M863" s="246"/>
      <c r="N863" s="252"/>
      <c r="O863" s="246"/>
      <c r="P863" s="246"/>
      <c r="Q863" s="246"/>
      <c r="R863" s="246"/>
      <c r="S863" s="246"/>
      <c r="T863" s="246"/>
      <c r="U863" s="246"/>
      <c r="V863" s="246"/>
      <c r="W863" s="246"/>
      <c r="X863" s="246"/>
      <c r="Y863" s="246"/>
      <c r="Z863" s="246"/>
    </row>
    <row r="864">
      <c r="A864" s="246"/>
      <c r="B864" s="246"/>
      <c r="C864" s="246"/>
      <c r="D864" s="246"/>
      <c r="E864" s="246"/>
      <c r="F864" s="246"/>
      <c r="G864" s="246"/>
      <c r="H864" s="246"/>
      <c r="I864" s="246"/>
      <c r="J864" s="246"/>
      <c r="K864" s="246"/>
      <c r="L864" s="246"/>
      <c r="M864" s="246"/>
      <c r="N864" s="252"/>
      <c r="O864" s="246"/>
      <c r="P864" s="246"/>
      <c r="Q864" s="246"/>
      <c r="R864" s="246"/>
      <c r="S864" s="246"/>
      <c r="T864" s="246"/>
      <c r="U864" s="246"/>
      <c r="V864" s="246"/>
      <c r="W864" s="246"/>
      <c r="X864" s="246"/>
      <c r="Y864" s="246"/>
      <c r="Z864" s="246"/>
    </row>
    <row r="865">
      <c r="A865" s="246"/>
      <c r="B865" s="246"/>
      <c r="C865" s="246"/>
      <c r="D865" s="246"/>
      <c r="E865" s="246"/>
      <c r="F865" s="246"/>
      <c r="G865" s="246"/>
      <c r="H865" s="246"/>
      <c r="I865" s="246"/>
      <c r="J865" s="246"/>
      <c r="K865" s="246"/>
      <c r="L865" s="246"/>
      <c r="M865" s="246"/>
      <c r="N865" s="252"/>
      <c r="O865" s="246"/>
      <c r="P865" s="246"/>
      <c r="Q865" s="246"/>
      <c r="R865" s="246"/>
      <c r="S865" s="246"/>
      <c r="T865" s="246"/>
      <c r="U865" s="246"/>
      <c r="V865" s="246"/>
      <c r="W865" s="246"/>
      <c r="X865" s="246"/>
      <c r="Y865" s="246"/>
      <c r="Z865" s="246"/>
    </row>
    <row r="866">
      <c r="A866" s="246"/>
      <c r="B866" s="246"/>
      <c r="C866" s="246"/>
      <c r="D866" s="246"/>
      <c r="E866" s="246"/>
      <c r="F866" s="246"/>
      <c r="G866" s="246"/>
      <c r="H866" s="246"/>
      <c r="I866" s="246"/>
      <c r="J866" s="246"/>
      <c r="K866" s="246"/>
      <c r="L866" s="246"/>
      <c r="M866" s="246"/>
      <c r="N866" s="252"/>
      <c r="O866" s="246"/>
      <c r="P866" s="246"/>
      <c r="Q866" s="246"/>
      <c r="R866" s="246"/>
      <c r="S866" s="246"/>
      <c r="T866" s="246"/>
      <c r="U866" s="246"/>
      <c r="V866" s="246"/>
      <c r="W866" s="246"/>
      <c r="X866" s="246"/>
      <c r="Y866" s="246"/>
      <c r="Z866" s="246"/>
    </row>
    <row r="867">
      <c r="A867" s="246"/>
      <c r="B867" s="246"/>
      <c r="C867" s="246"/>
      <c r="D867" s="246"/>
      <c r="E867" s="246"/>
      <c r="F867" s="246"/>
      <c r="G867" s="246"/>
      <c r="H867" s="246"/>
      <c r="I867" s="246"/>
      <c r="J867" s="246"/>
      <c r="K867" s="246"/>
      <c r="L867" s="246"/>
      <c r="M867" s="246"/>
      <c r="N867" s="252"/>
      <c r="O867" s="246"/>
      <c r="P867" s="246"/>
      <c r="Q867" s="246"/>
      <c r="R867" s="246"/>
      <c r="S867" s="246"/>
      <c r="T867" s="246"/>
      <c r="U867" s="246"/>
      <c r="V867" s="246"/>
      <c r="W867" s="246"/>
      <c r="X867" s="246"/>
      <c r="Y867" s="246"/>
      <c r="Z867" s="246"/>
    </row>
    <row r="868">
      <c r="A868" s="246"/>
      <c r="B868" s="246"/>
      <c r="C868" s="246"/>
      <c r="D868" s="246"/>
      <c r="E868" s="246"/>
      <c r="F868" s="246"/>
      <c r="G868" s="246"/>
      <c r="H868" s="246"/>
      <c r="I868" s="246"/>
      <c r="J868" s="246"/>
      <c r="K868" s="246"/>
      <c r="L868" s="246"/>
      <c r="M868" s="246"/>
      <c r="N868" s="252"/>
      <c r="O868" s="246"/>
      <c r="P868" s="246"/>
      <c r="Q868" s="246"/>
      <c r="R868" s="246"/>
      <c r="S868" s="246"/>
      <c r="T868" s="246"/>
      <c r="U868" s="246"/>
      <c r="V868" s="246"/>
      <c r="W868" s="246"/>
      <c r="X868" s="246"/>
      <c r="Y868" s="246"/>
      <c r="Z868" s="246"/>
    </row>
    <row r="869">
      <c r="A869" s="246"/>
      <c r="B869" s="246"/>
      <c r="C869" s="246"/>
      <c r="D869" s="246"/>
      <c r="E869" s="246"/>
      <c r="F869" s="246"/>
      <c r="G869" s="246"/>
      <c r="H869" s="246"/>
      <c r="I869" s="246"/>
      <c r="J869" s="246"/>
      <c r="K869" s="246"/>
      <c r="L869" s="246"/>
      <c r="M869" s="246"/>
      <c r="N869" s="252"/>
      <c r="O869" s="246"/>
      <c r="P869" s="246"/>
      <c r="Q869" s="246"/>
      <c r="R869" s="246"/>
      <c r="S869" s="246"/>
      <c r="T869" s="246"/>
      <c r="U869" s="246"/>
      <c r="V869" s="246"/>
      <c r="W869" s="246"/>
      <c r="X869" s="246"/>
      <c r="Y869" s="246"/>
      <c r="Z869" s="246"/>
    </row>
    <row r="870">
      <c r="A870" s="246"/>
      <c r="B870" s="246"/>
      <c r="C870" s="246"/>
      <c r="D870" s="246"/>
      <c r="E870" s="246"/>
      <c r="F870" s="246"/>
      <c r="G870" s="246"/>
      <c r="H870" s="246"/>
      <c r="I870" s="246"/>
      <c r="J870" s="246"/>
      <c r="K870" s="246"/>
      <c r="L870" s="246"/>
      <c r="M870" s="246"/>
      <c r="N870" s="252"/>
      <c r="O870" s="246"/>
      <c r="P870" s="246"/>
      <c r="Q870" s="246"/>
      <c r="R870" s="246"/>
      <c r="S870" s="246"/>
      <c r="T870" s="246"/>
      <c r="U870" s="246"/>
      <c r="V870" s="246"/>
      <c r="W870" s="246"/>
      <c r="X870" s="246"/>
      <c r="Y870" s="246"/>
      <c r="Z870" s="246"/>
    </row>
    <row r="871">
      <c r="A871" s="246"/>
      <c r="B871" s="246"/>
      <c r="C871" s="246"/>
      <c r="D871" s="246"/>
      <c r="E871" s="246"/>
      <c r="F871" s="246"/>
      <c r="G871" s="246"/>
      <c r="H871" s="246"/>
      <c r="I871" s="246"/>
      <c r="J871" s="246"/>
      <c r="K871" s="246"/>
      <c r="L871" s="246"/>
      <c r="M871" s="246"/>
      <c r="N871" s="252"/>
      <c r="O871" s="246"/>
      <c r="P871" s="246"/>
      <c r="Q871" s="246"/>
      <c r="R871" s="246"/>
      <c r="S871" s="246"/>
      <c r="T871" s="246"/>
      <c r="U871" s="246"/>
      <c r="V871" s="246"/>
      <c r="W871" s="246"/>
      <c r="X871" s="246"/>
      <c r="Y871" s="246"/>
      <c r="Z871" s="246"/>
    </row>
    <row r="872">
      <c r="A872" s="246"/>
      <c r="B872" s="246"/>
      <c r="C872" s="246"/>
      <c r="D872" s="246"/>
      <c r="E872" s="246"/>
      <c r="F872" s="246"/>
      <c r="G872" s="246"/>
      <c r="H872" s="246"/>
      <c r="I872" s="246"/>
      <c r="J872" s="246"/>
      <c r="K872" s="246"/>
      <c r="L872" s="246"/>
      <c r="M872" s="246"/>
      <c r="N872" s="252"/>
      <c r="O872" s="246"/>
      <c r="P872" s="246"/>
      <c r="Q872" s="246"/>
      <c r="R872" s="246"/>
      <c r="S872" s="246"/>
      <c r="T872" s="246"/>
      <c r="U872" s="246"/>
      <c r="V872" s="246"/>
      <c r="W872" s="246"/>
      <c r="X872" s="246"/>
      <c r="Y872" s="246"/>
      <c r="Z872" s="246"/>
    </row>
    <row r="873">
      <c r="A873" s="246"/>
      <c r="B873" s="246"/>
      <c r="C873" s="246"/>
      <c r="D873" s="246"/>
      <c r="E873" s="246"/>
      <c r="F873" s="246"/>
      <c r="G873" s="246"/>
      <c r="H873" s="246"/>
      <c r="I873" s="246"/>
      <c r="J873" s="246"/>
      <c r="K873" s="246"/>
      <c r="L873" s="246"/>
      <c r="M873" s="246"/>
      <c r="N873" s="252"/>
      <c r="O873" s="246"/>
      <c r="P873" s="246"/>
      <c r="Q873" s="246"/>
      <c r="R873" s="246"/>
      <c r="S873" s="246"/>
      <c r="T873" s="246"/>
      <c r="U873" s="246"/>
      <c r="V873" s="246"/>
      <c r="W873" s="246"/>
      <c r="X873" s="246"/>
      <c r="Y873" s="246"/>
      <c r="Z873" s="246"/>
    </row>
    <row r="874">
      <c r="A874" s="246"/>
      <c r="B874" s="246"/>
      <c r="C874" s="246"/>
      <c r="D874" s="246"/>
      <c r="E874" s="246"/>
      <c r="F874" s="246"/>
      <c r="G874" s="246"/>
      <c r="H874" s="246"/>
      <c r="I874" s="246"/>
      <c r="J874" s="246"/>
      <c r="K874" s="246"/>
      <c r="L874" s="246"/>
      <c r="M874" s="246"/>
      <c r="N874" s="252"/>
      <c r="O874" s="246"/>
      <c r="P874" s="246"/>
      <c r="Q874" s="246"/>
      <c r="R874" s="246"/>
      <c r="S874" s="246"/>
      <c r="T874" s="246"/>
      <c r="U874" s="246"/>
      <c r="V874" s="246"/>
      <c r="W874" s="246"/>
      <c r="X874" s="246"/>
      <c r="Y874" s="246"/>
      <c r="Z874" s="246"/>
    </row>
    <row r="875">
      <c r="A875" s="246"/>
      <c r="B875" s="246"/>
      <c r="C875" s="246"/>
      <c r="D875" s="246"/>
      <c r="E875" s="246"/>
      <c r="F875" s="246"/>
      <c r="G875" s="246"/>
      <c r="H875" s="246"/>
      <c r="I875" s="246"/>
      <c r="J875" s="246"/>
      <c r="K875" s="246"/>
      <c r="L875" s="246"/>
      <c r="M875" s="246"/>
      <c r="N875" s="252"/>
      <c r="O875" s="246"/>
      <c r="P875" s="246"/>
      <c r="Q875" s="246"/>
      <c r="R875" s="246"/>
      <c r="S875" s="246"/>
      <c r="T875" s="246"/>
      <c r="U875" s="246"/>
      <c r="V875" s="246"/>
      <c r="W875" s="246"/>
      <c r="X875" s="246"/>
      <c r="Y875" s="246"/>
      <c r="Z875" s="246"/>
    </row>
    <row r="876">
      <c r="A876" s="246"/>
      <c r="B876" s="246"/>
      <c r="C876" s="246"/>
      <c r="D876" s="246"/>
      <c r="E876" s="246"/>
      <c r="F876" s="246"/>
      <c r="G876" s="246"/>
      <c r="H876" s="246"/>
      <c r="I876" s="246"/>
      <c r="J876" s="246"/>
      <c r="K876" s="246"/>
      <c r="L876" s="246"/>
      <c r="M876" s="246"/>
      <c r="N876" s="252"/>
      <c r="O876" s="246"/>
      <c r="P876" s="246"/>
      <c r="Q876" s="246"/>
      <c r="R876" s="246"/>
      <c r="S876" s="246"/>
      <c r="T876" s="246"/>
      <c r="U876" s="246"/>
      <c r="V876" s="246"/>
      <c r="W876" s="246"/>
      <c r="X876" s="246"/>
      <c r="Y876" s="246"/>
      <c r="Z876" s="246"/>
    </row>
    <row r="877">
      <c r="A877" s="246"/>
      <c r="B877" s="246"/>
      <c r="C877" s="246"/>
      <c r="D877" s="246"/>
      <c r="E877" s="246"/>
      <c r="F877" s="246"/>
      <c r="G877" s="246"/>
      <c r="H877" s="246"/>
      <c r="I877" s="246"/>
      <c r="J877" s="246"/>
      <c r="K877" s="246"/>
      <c r="L877" s="246"/>
      <c r="M877" s="246"/>
      <c r="N877" s="252"/>
      <c r="O877" s="246"/>
      <c r="P877" s="246"/>
      <c r="Q877" s="246"/>
      <c r="R877" s="246"/>
      <c r="S877" s="246"/>
      <c r="T877" s="246"/>
      <c r="U877" s="246"/>
      <c r="V877" s="246"/>
      <c r="W877" s="246"/>
      <c r="X877" s="246"/>
      <c r="Y877" s="246"/>
      <c r="Z877" s="246"/>
    </row>
    <row r="878">
      <c r="A878" s="246"/>
      <c r="B878" s="246"/>
      <c r="C878" s="246"/>
      <c r="D878" s="246"/>
      <c r="E878" s="246"/>
      <c r="F878" s="246"/>
      <c r="G878" s="246"/>
      <c r="H878" s="246"/>
      <c r="I878" s="246"/>
      <c r="J878" s="246"/>
      <c r="K878" s="246"/>
      <c r="L878" s="246"/>
      <c r="M878" s="246"/>
      <c r="N878" s="252"/>
      <c r="O878" s="246"/>
      <c r="P878" s="246"/>
      <c r="Q878" s="246"/>
      <c r="R878" s="246"/>
      <c r="S878" s="246"/>
      <c r="T878" s="246"/>
      <c r="U878" s="246"/>
      <c r="V878" s="246"/>
      <c r="W878" s="246"/>
      <c r="X878" s="246"/>
      <c r="Y878" s="246"/>
      <c r="Z878" s="246"/>
    </row>
    <row r="879">
      <c r="A879" s="246"/>
      <c r="B879" s="246"/>
      <c r="C879" s="246"/>
      <c r="D879" s="246"/>
      <c r="E879" s="246"/>
      <c r="F879" s="246"/>
      <c r="G879" s="246"/>
      <c r="H879" s="246"/>
      <c r="I879" s="246"/>
      <c r="J879" s="246"/>
      <c r="K879" s="246"/>
      <c r="L879" s="246"/>
      <c r="M879" s="246"/>
      <c r="N879" s="252"/>
      <c r="O879" s="246"/>
      <c r="P879" s="246"/>
      <c r="Q879" s="246"/>
      <c r="R879" s="246"/>
      <c r="S879" s="246"/>
      <c r="T879" s="246"/>
      <c r="U879" s="246"/>
      <c r="V879" s="246"/>
      <c r="W879" s="246"/>
      <c r="X879" s="246"/>
      <c r="Y879" s="246"/>
      <c r="Z879" s="246"/>
    </row>
    <row r="880">
      <c r="A880" s="246"/>
      <c r="B880" s="246"/>
      <c r="C880" s="246"/>
      <c r="D880" s="246"/>
      <c r="E880" s="246"/>
      <c r="F880" s="246"/>
      <c r="G880" s="246"/>
      <c r="H880" s="246"/>
      <c r="I880" s="246"/>
      <c r="J880" s="246"/>
      <c r="K880" s="246"/>
      <c r="L880" s="246"/>
      <c r="M880" s="246"/>
      <c r="N880" s="252"/>
      <c r="O880" s="246"/>
      <c r="P880" s="246"/>
      <c r="Q880" s="246"/>
      <c r="R880" s="246"/>
      <c r="S880" s="246"/>
      <c r="T880" s="246"/>
      <c r="U880" s="246"/>
      <c r="V880" s="246"/>
      <c r="W880" s="246"/>
      <c r="X880" s="246"/>
      <c r="Y880" s="246"/>
      <c r="Z880" s="246"/>
    </row>
    <row r="881">
      <c r="A881" s="246"/>
      <c r="B881" s="246"/>
      <c r="C881" s="246"/>
      <c r="D881" s="246"/>
      <c r="E881" s="246"/>
      <c r="F881" s="246"/>
      <c r="G881" s="246"/>
      <c r="H881" s="246"/>
      <c r="I881" s="246"/>
      <c r="J881" s="246"/>
      <c r="K881" s="246"/>
      <c r="L881" s="246"/>
      <c r="M881" s="246"/>
      <c r="N881" s="252"/>
      <c r="O881" s="246"/>
      <c r="P881" s="246"/>
      <c r="Q881" s="246"/>
      <c r="R881" s="246"/>
      <c r="S881" s="246"/>
      <c r="T881" s="246"/>
      <c r="U881" s="246"/>
      <c r="V881" s="246"/>
      <c r="W881" s="246"/>
      <c r="X881" s="246"/>
      <c r="Y881" s="246"/>
      <c r="Z881" s="246"/>
    </row>
    <row r="882">
      <c r="A882" s="246"/>
      <c r="B882" s="246"/>
      <c r="C882" s="246"/>
      <c r="D882" s="246"/>
      <c r="E882" s="246"/>
      <c r="F882" s="246"/>
      <c r="G882" s="246"/>
      <c r="H882" s="246"/>
      <c r="I882" s="246"/>
      <c r="J882" s="246"/>
      <c r="K882" s="246"/>
      <c r="L882" s="246"/>
      <c r="M882" s="246"/>
      <c r="N882" s="252"/>
      <c r="O882" s="246"/>
      <c r="P882" s="246"/>
      <c r="Q882" s="246"/>
      <c r="R882" s="246"/>
      <c r="S882" s="246"/>
      <c r="T882" s="246"/>
      <c r="U882" s="246"/>
      <c r="V882" s="246"/>
      <c r="W882" s="246"/>
      <c r="X882" s="246"/>
      <c r="Y882" s="246"/>
      <c r="Z882" s="246"/>
    </row>
    <row r="883">
      <c r="A883" s="246"/>
      <c r="B883" s="246"/>
      <c r="C883" s="246"/>
      <c r="D883" s="246"/>
      <c r="E883" s="246"/>
      <c r="F883" s="246"/>
      <c r="G883" s="246"/>
      <c r="H883" s="246"/>
      <c r="I883" s="246"/>
      <c r="J883" s="246"/>
      <c r="K883" s="246"/>
      <c r="L883" s="246"/>
      <c r="M883" s="246"/>
      <c r="N883" s="252"/>
      <c r="O883" s="246"/>
      <c r="P883" s="246"/>
      <c r="Q883" s="246"/>
      <c r="R883" s="246"/>
      <c r="S883" s="246"/>
      <c r="T883" s="246"/>
      <c r="U883" s="246"/>
      <c r="V883" s="246"/>
      <c r="W883" s="246"/>
      <c r="X883" s="246"/>
      <c r="Y883" s="246"/>
      <c r="Z883" s="246"/>
    </row>
    <row r="884">
      <c r="A884" s="246"/>
      <c r="B884" s="246"/>
      <c r="C884" s="246"/>
      <c r="D884" s="246"/>
      <c r="E884" s="246"/>
      <c r="F884" s="246"/>
      <c r="G884" s="246"/>
      <c r="H884" s="246"/>
      <c r="I884" s="246"/>
      <c r="J884" s="246"/>
      <c r="K884" s="246"/>
      <c r="L884" s="246"/>
      <c r="M884" s="246"/>
      <c r="N884" s="252"/>
      <c r="O884" s="246"/>
      <c r="P884" s="246"/>
      <c r="Q884" s="246"/>
      <c r="R884" s="246"/>
      <c r="S884" s="246"/>
      <c r="T884" s="246"/>
      <c r="U884" s="246"/>
      <c r="V884" s="246"/>
      <c r="W884" s="246"/>
      <c r="X884" s="246"/>
      <c r="Y884" s="246"/>
      <c r="Z884" s="246"/>
    </row>
    <row r="885">
      <c r="A885" s="246"/>
      <c r="B885" s="246"/>
      <c r="C885" s="246"/>
      <c r="D885" s="246"/>
      <c r="E885" s="246"/>
      <c r="F885" s="246"/>
      <c r="G885" s="246"/>
      <c r="H885" s="246"/>
      <c r="I885" s="246"/>
      <c r="J885" s="246"/>
      <c r="K885" s="246"/>
      <c r="L885" s="246"/>
      <c r="M885" s="246"/>
      <c r="N885" s="252"/>
      <c r="O885" s="246"/>
      <c r="P885" s="246"/>
      <c r="Q885" s="246"/>
      <c r="R885" s="246"/>
      <c r="S885" s="246"/>
      <c r="T885" s="246"/>
      <c r="U885" s="246"/>
      <c r="V885" s="246"/>
      <c r="W885" s="246"/>
      <c r="X885" s="246"/>
      <c r="Y885" s="246"/>
      <c r="Z885" s="246"/>
    </row>
    <row r="886">
      <c r="A886" s="246"/>
      <c r="B886" s="246"/>
      <c r="C886" s="246"/>
      <c r="D886" s="246"/>
      <c r="E886" s="246"/>
      <c r="F886" s="246"/>
      <c r="G886" s="246"/>
      <c r="H886" s="246"/>
      <c r="I886" s="246"/>
      <c r="J886" s="246"/>
      <c r="K886" s="246"/>
      <c r="L886" s="246"/>
      <c r="M886" s="246"/>
      <c r="N886" s="252"/>
      <c r="O886" s="246"/>
      <c r="P886" s="246"/>
      <c r="Q886" s="246"/>
      <c r="R886" s="246"/>
      <c r="S886" s="246"/>
      <c r="T886" s="246"/>
      <c r="U886" s="246"/>
      <c r="V886" s="246"/>
      <c r="W886" s="246"/>
      <c r="X886" s="246"/>
      <c r="Y886" s="246"/>
      <c r="Z886" s="246"/>
    </row>
    <row r="887">
      <c r="A887" s="246"/>
      <c r="B887" s="246"/>
      <c r="C887" s="246"/>
      <c r="D887" s="246"/>
      <c r="E887" s="246"/>
      <c r="F887" s="246"/>
      <c r="G887" s="246"/>
      <c r="H887" s="246"/>
      <c r="I887" s="246"/>
      <c r="J887" s="246"/>
      <c r="K887" s="246"/>
      <c r="L887" s="246"/>
      <c r="M887" s="246"/>
      <c r="N887" s="252"/>
      <c r="O887" s="246"/>
      <c r="P887" s="246"/>
      <c r="Q887" s="246"/>
      <c r="R887" s="246"/>
      <c r="S887" s="246"/>
      <c r="T887" s="246"/>
      <c r="U887" s="246"/>
      <c r="V887" s="246"/>
      <c r="W887" s="246"/>
      <c r="X887" s="246"/>
      <c r="Y887" s="246"/>
      <c r="Z887" s="246"/>
    </row>
    <row r="888">
      <c r="A888" s="246"/>
      <c r="B888" s="246"/>
      <c r="C888" s="246"/>
      <c r="D888" s="246"/>
      <c r="E888" s="246"/>
      <c r="F888" s="246"/>
      <c r="G888" s="246"/>
      <c r="H888" s="246"/>
      <c r="I888" s="246"/>
      <c r="J888" s="246"/>
      <c r="K888" s="246"/>
      <c r="L888" s="246"/>
      <c r="M888" s="246"/>
      <c r="N888" s="252"/>
      <c r="O888" s="246"/>
      <c r="P888" s="246"/>
      <c r="Q888" s="246"/>
      <c r="R888" s="246"/>
      <c r="S888" s="246"/>
      <c r="T888" s="246"/>
      <c r="U888" s="246"/>
      <c r="V888" s="246"/>
      <c r="W888" s="246"/>
      <c r="X888" s="246"/>
      <c r="Y888" s="246"/>
      <c r="Z888" s="246"/>
    </row>
    <row r="889">
      <c r="A889" s="246"/>
      <c r="B889" s="246"/>
      <c r="C889" s="246"/>
      <c r="D889" s="246"/>
      <c r="E889" s="246"/>
      <c r="F889" s="246"/>
      <c r="G889" s="246"/>
      <c r="H889" s="246"/>
      <c r="I889" s="246"/>
      <c r="J889" s="246"/>
      <c r="K889" s="246"/>
      <c r="L889" s="246"/>
      <c r="M889" s="246"/>
      <c r="N889" s="252"/>
      <c r="O889" s="246"/>
      <c r="P889" s="246"/>
      <c r="Q889" s="246"/>
      <c r="R889" s="246"/>
      <c r="S889" s="246"/>
      <c r="T889" s="246"/>
      <c r="U889" s="246"/>
      <c r="V889" s="246"/>
      <c r="W889" s="246"/>
      <c r="X889" s="246"/>
      <c r="Y889" s="246"/>
      <c r="Z889" s="246"/>
    </row>
    <row r="890">
      <c r="A890" s="246"/>
      <c r="B890" s="246"/>
      <c r="C890" s="246"/>
      <c r="D890" s="246"/>
      <c r="E890" s="246"/>
      <c r="F890" s="246"/>
      <c r="G890" s="246"/>
      <c r="H890" s="246"/>
      <c r="I890" s="246"/>
      <c r="J890" s="246"/>
      <c r="K890" s="246"/>
      <c r="L890" s="246"/>
      <c r="M890" s="246"/>
      <c r="N890" s="252"/>
      <c r="O890" s="246"/>
      <c r="P890" s="246"/>
      <c r="Q890" s="246"/>
      <c r="R890" s="246"/>
      <c r="S890" s="246"/>
      <c r="T890" s="246"/>
      <c r="U890" s="246"/>
      <c r="V890" s="246"/>
      <c r="W890" s="246"/>
      <c r="X890" s="246"/>
      <c r="Y890" s="246"/>
      <c r="Z890" s="246"/>
    </row>
    <row r="891">
      <c r="A891" s="246"/>
      <c r="B891" s="246"/>
      <c r="C891" s="246"/>
      <c r="D891" s="246"/>
      <c r="E891" s="246"/>
      <c r="F891" s="246"/>
      <c r="G891" s="246"/>
      <c r="H891" s="246"/>
      <c r="I891" s="246"/>
      <c r="J891" s="246"/>
      <c r="K891" s="246"/>
      <c r="L891" s="246"/>
      <c r="M891" s="246"/>
      <c r="N891" s="252"/>
      <c r="O891" s="246"/>
      <c r="P891" s="246"/>
      <c r="Q891" s="246"/>
      <c r="R891" s="246"/>
      <c r="S891" s="246"/>
      <c r="T891" s="246"/>
      <c r="U891" s="246"/>
      <c r="V891" s="246"/>
      <c r="W891" s="246"/>
      <c r="X891" s="246"/>
      <c r="Y891" s="246"/>
      <c r="Z891" s="246"/>
    </row>
    <row r="892">
      <c r="A892" s="246"/>
      <c r="B892" s="246"/>
      <c r="C892" s="246"/>
      <c r="D892" s="246"/>
      <c r="E892" s="246"/>
      <c r="F892" s="246"/>
      <c r="G892" s="246"/>
      <c r="H892" s="246"/>
      <c r="I892" s="246"/>
      <c r="J892" s="246"/>
      <c r="K892" s="246"/>
      <c r="L892" s="246"/>
      <c r="M892" s="246"/>
      <c r="N892" s="252"/>
      <c r="O892" s="246"/>
      <c r="P892" s="246"/>
      <c r="Q892" s="246"/>
      <c r="R892" s="246"/>
      <c r="S892" s="246"/>
      <c r="T892" s="246"/>
      <c r="U892" s="246"/>
      <c r="V892" s="246"/>
      <c r="W892" s="246"/>
      <c r="X892" s="246"/>
      <c r="Y892" s="246"/>
      <c r="Z892" s="246"/>
    </row>
    <row r="893">
      <c r="A893" s="246"/>
      <c r="B893" s="246"/>
      <c r="C893" s="246"/>
      <c r="D893" s="246"/>
      <c r="E893" s="246"/>
      <c r="F893" s="246"/>
      <c r="G893" s="246"/>
      <c r="H893" s="246"/>
      <c r="I893" s="246"/>
      <c r="J893" s="246"/>
      <c r="K893" s="246"/>
      <c r="L893" s="246"/>
      <c r="M893" s="246"/>
      <c r="N893" s="252"/>
      <c r="O893" s="246"/>
      <c r="P893" s="246"/>
      <c r="Q893" s="246"/>
      <c r="R893" s="246"/>
      <c r="S893" s="246"/>
      <c r="T893" s="246"/>
      <c r="U893" s="246"/>
      <c r="V893" s="246"/>
      <c r="W893" s="246"/>
      <c r="X893" s="246"/>
      <c r="Y893" s="246"/>
      <c r="Z893" s="246"/>
    </row>
    <row r="894">
      <c r="A894" s="246"/>
      <c r="B894" s="246"/>
      <c r="C894" s="246"/>
      <c r="D894" s="246"/>
      <c r="E894" s="246"/>
      <c r="F894" s="246"/>
      <c r="G894" s="246"/>
      <c r="H894" s="246"/>
      <c r="I894" s="246"/>
      <c r="J894" s="246"/>
      <c r="K894" s="246"/>
      <c r="L894" s="246"/>
      <c r="M894" s="246"/>
      <c r="N894" s="252"/>
      <c r="O894" s="246"/>
      <c r="P894" s="246"/>
      <c r="Q894" s="246"/>
      <c r="R894" s="246"/>
      <c r="S894" s="246"/>
      <c r="T894" s="246"/>
      <c r="U894" s="246"/>
      <c r="V894" s="246"/>
      <c r="W894" s="246"/>
      <c r="X894" s="246"/>
      <c r="Y894" s="246"/>
      <c r="Z894" s="246"/>
    </row>
    <row r="895">
      <c r="A895" s="246"/>
      <c r="B895" s="246"/>
      <c r="C895" s="246"/>
      <c r="D895" s="246"/>
      <c r="E895" s="246"/>
      <c r="F895" s="246"/>
      <c r="G895" s="246"/>
      <c r="H895" s="246"/>
      <c r="I895" s="246"/>
      <c r="J895" s="246"/>
      <c r="K895" s="246"/>
      <c r="L895" s="246"/>
      <c r="M895" s="246"/>
      <c r="N895" s="252"/>
      <c r="O895" s="246"/>
      <c r="P895" s="246"/>
      <c r="Q895" s="246"/>
      <c r="R895" s="246"/>
      <c r="S895" s="246"/>
      <c r="T895" s="246"/>
      <c r="U895" s="246"/>
      <c r="V895" s="246"/>
      <c r="W895" s="246"/>
      <c r="X895" s="246"/>
      <c r="Y895" s="246"/>
      <c r="Z895" s="246"/>
    </row>
    <row r="896">
      <c r="A896" s="246"/>
      <c r="B896" s="246"/>
      <c r="C896" s="246"/>
      <c r="D896" s="246"/>
      <c r="E896" s="246"/>
      <c r="F896" s="246"/>
      <c r="G896" s="246"/>
      <c r="H896" s="246"/>
      <c r="I896" s="246"/>
      <c r="J896" s="246"/>
      <c r="K896" s="246"/>
      <c r="L896" s="246"/>
      <c r="M896" s="246"/>
      <c r="N896" s="252"/>
      <c r="O896" s="246"/>
      <c r="P896" s="246"/>
      <c r="Q896" s="246"/>
      <c r="R896" s="246"/>
      <c r="S896" s="246"/>
      <c r="T896" s="246"/>
      <c r="U896" s="246"/>
      <c r="V896" s="246"/>
      <c r="W896" s="246"/>
      <c r="X896" s="246"/>
      <c r="Y896" s="246"/>
      <c r="Z896" s="246"/>
    </row>
    <row r="897">
      <c r="A897" s="246"/>
      <c r="B897" s="246"/>
      <c r="C897" s="246"/>
      <c r="D897" s="246"/>
      <c r="E897" s="246"/>
      <c r="F897" s="246"/>
      <c r="G897" s="246"/>
      <c r="H897" s="246"/>
      <c r="I897" s="246"/>
      <c r="J897" s="246"/>
      <c r="K897" s="246"/>
      <c r="L897" s="246"/>
      <c r="M897" s="246"/>
      <c r="N897" s="252"/>
      <c r="O897" s="246"/>
      <c r="P897" s="246"/>
      <c r="Q897" s="246"/>
      <c r="R897" s="246"/>
      <c r="S897" s="246"/>
      <c r="T897" s="246"/>
      <c r="U897" s="246"/>
      <c r="V897" s="246"/>
      <c r="W897" s="246"/>
      <c r="X897" s="246"/>
      <c r="Y897" s="246"/>
      <c r="Z897" s="246"/>
    </row>
    <row r="898">
      <c r="A898" s="246"/>
      <c r="B898" s="246"/>
      <c r="C898" s="246"/>
      <c r="D898" s="246"/>
      <c r="E898" s="246"/>
      <c r="F898" s="246"/>
      <c r="G898" s="246"/>
      <c r="H898" s="246"/>
      <c r="I898" s="246"/>
      <c r="J898" s="246"/>
      <c r="K898" s="246"/>
      <c r="L898" s="246"/>
      <c r="M898" s="246"/>
      <c r="N898" s="252"/>
      <c r="O898" s="246"/>
      <c r="P898" s="246"/>
      <c r="Q898" s="246"/>
      <c r="R898" s="246"/>
      <c r="S898" s="246"/>
      <c r="T898" s="246"/>
      <c r="U898" s="246"/>
      <c r="V898" s="246"/>
      <c r="W898" s="246"/>
      <c r="X898" s="246"/>
      <c r="Y898" s="246"/>
      <c r="Z898" s="246"/>
    </row>
    <row r="899">
      <c r="A899" s="246"/>
      <c r="B899" s="246"/>
      <c r="C899" s="246"/>
      <c r="D899" s="246"/>
      <c r="E899" s="246"/>
      <c r="F899" s="246"/>
      <c r="G899" s="246"/>
      <c r="H899" s="246"/>
      <c r="I899" s="246"/>
      <c r="J899" s="246"/>
      <c r="K899" s="246"/>
      <c r="L899" s="246"/>
      <c r="M899" s="246"/>
      <c r="N899" s="252"/>
      <c r="O899" s="246"/>
      <c r="P899" s="246"/>
      <c r="Q899" s="246"/>
      <c r="R899" s="246"/>
      <c r="S899" s="246"/>
      <c r="T899" s="246"/>
      <c r="U899" s="246"/>
      <c r="V899" s="246"/>
      <c r="W899" s="246"/>
      <c r="X899" s="246"/>
      <c r="Y899" s="246"/>
      <c r="Z899" s="246"/>
    </row>
    <row r="900">
      <c r="A900" s="246"/>
      <c r="B900" s="246"/>
      <c r="C900" s="246"/>
      <c r="D900" s="246"/>
      <c r="E900" s="246"/>
      <c r="F900" s="246"/>
      <c r="G900" s="246"/>
      <c r="H900" s="246"/>
      <c r="I900" s="246"/>
      <c r="J900" s="246"/>
      <c r="K900" s="246"/>
      <c r="L900" s="246"/>
      <c r="M900" s="246"/>
      <c r="N900" s="252"/>
      <c r="O900" s="246"/>
      <c r="P900" s="246"/>
      <c r="Q900" s="246"/>
      <c r="R900" s="246"/>
      <c r="S900" s="246"/>
      <c r="T900" s="246"/>
      <c r="U900" s="246"/>
      <c r="V900" s="246"/>
      <c r="W900" s="246"/>
      <c r="X900" s="246"/>
      <c r="Y900" s="246"/>
      <c r="Z900" s="246"/>
    </row>
    <row r="901">
      <c r="A901" s="246"/>
      <c r="B901" s="246"/>
      <c r="C901" s="246"/>
      <c r="D901" s="246"/>
      <c r="E901" s="246"/>
      <c r="F901" s="246"/>
      <c r="G901" s="246"/>
      <c r="H901" s="246"/>
      <c r="I901" s="246"/>
      <c r="J901" s="246"/>
      <c r="K901" s="246"/>
      <c r="L901" s="246"/>
      <c r="M901" s="246"/>
      <c r="N901" s="252"/>
      <c r="O901" s="246"/>
      <c r="P901" s="246"/>
      <c r="Q901" s="246"/>
      <c r="R901" s="246"/>
      <c r="S901" s="246"/>
      <c r="T901" s="246"/>
      <c r="U901" s="246"/>
      <c r="V901" s="246"/>
      <c r="W901" s="246"/>
      <c r="X901" s="246"/>
      <c r="Y901" s="246"/>
      <c r="Z901" s="246"/>
    </row>
    <row r="902">
      <c r="A902" s="246"/>
      <c r="B902" s="246"/>
      <c r="C902" s="246"/>
      <c r="D902" s="246"/>
      <c r="E902" s="246"/>
      <c r="F902" s="246"/>
      <c r="G902" s="246"/>
      <c r="H902" s="246"/>
      <c r="I902" s="246"/>
      <c r="J902" s="246"/>
      <c r="K902" s="246"/>
      <c r="L902" s="246"/>
      <c r="M902" s="246"/>
      <c r="N902" s="252"/>
      <c r="O902" s="246"/>
      <c r="P902" s="246"/>
      <c r="Q902" s="246"/>
      <c r="R902" s="246"/>
      <c r="S902" s="246"/>
      <c r="T902" s="246"/>
      <c r="U902" s="246"/>
      <c r="V902" s="246"/>
      <c r="W902" s="246"/>
      <c r="X902" s="246"/>
      <c r="Y902" s="246"/>
      <c r="Z902" s="246"/>
    </row>
    <row r="903">
      <c r="A903" s="246"/>
      <c r="B903" s="246"/>
      <c r="C903" s="246"/>
      <c r="D903" s="246"/>
      <c r="E903" s="246"/>
      <c r="F903" s="246"/>
      <c r="G903" s="246"/>
      <c r="H903" s="246"/>
      <c r="I903" s="246"/>
      <c r="J903" s="246"/>
      <c r="K903" s="246"/>
      <c r="L903" s="246"/>
      <c r="M903" s="246"/>
      <c r="N903" s="252"/>
      <c r="O903" s="246"/>
      <c r="P903" s="246"/>
      <c r="Q903" s="246"/>
      <c r="R903" s="246"/>
      <c r="S903" s="246"/>
      <c r="T903" s="246"/>
      <c r="U903" s="246"/>
      <c r="V903" s="246"/>
      <c r="W903" s="246"/>
      <c r="X903" s="246"/>
      <c r="Y903" s="246"/>
      <c r="Z903" s="246"/>
    </row>
    <row r="904">
      <c r="A904" s="246"/>
      <c r="B904" s="246"/>
      <c r="C904" s="246"/>
      <c r="D904" s="246"/>
      <c r="E904" s="246"/>
      <c r="F904" s="246"/>
      <c r="G904" s="246"/>
      <c r="H904" s="246"/>
      <c r="I904" s="246"/>
      <c r="J904" s="246"/>
      <c r="K904" s="246"/>
      <c r="L904" s="246"/>
      <c r="M904" s="246"/>
      <c r="N904" s="252"/>
      <c r="O904" s="246"/>
      <c r="P904" s="246"/>
      <c r="Q904" s="246"/>
      <c r="R904" s="246"/>
      <c r="S904" s="246"/>
      <c r="T904" s="246"/>
      <c r="U904" s="246"/>
      <c r="V904" s="246"/>
      <c r="W904" s="246"/>
      <c r="X904" s="246"/>
      <c r="Y904" s="246"/>
      <c r="Z904" s="246"/>
    </row>
    <row r="905">
      <c r="A905" s="246"/>
      <c r="B905" s="246"/>
      <c r="C905" s="246"/>
      <c r="D905" s="246"/>
      <c r="E905" s="246"/>
      <c r="F905" s="246"/>
      <c r="G905" s="246"/>
      <c r="H905" s="246"/>
      <c r="I905" s="246"/>
      <c r="J905" s="246"/>
      <c r="K905" s="246"/>
      <c r="L905" s="246"/>
      <c r="M905" s="246"/>
      <c r="N905" s="252"/>
      <c r="O905" s="246"/>
      <c r="P905" s="246"/>
      <c r="Q905" s="246"/>
      <c r="R905" s="246"/>
      <c r="S905" s="246"/>
      <c r="T905" s="246"/>
      <c r="U905" s="246"/>
      <c r="V905" s="246"/>
      <c r="W905" s="246"/>
      <c r="X905" s="246"/>
      <c r="Y905" s="246"/>
      <c r="Z905" s="246"/>
    </row>
    <row r="906">
      <c r="A906" s="246"/>
      <c r="B906" s="246"/>
      <c r="C906" s="246"/>
      <c r="D906" s="246"/>
      <c r="E906" s="246"/>
      <c r="F906" s="246"/>
      <c r="G906" s="246"/>
      <c r="H906" s="246"/>
      <c r="I906" s="246"/>
      <c r="J906" s="246"/>
      <c r="K906" s="246"/>
      <c r="L906" s="246"/>
      <c r="M906" s="246"/>
      <c r="N906" s="252"/>
      <c r="O906" s="246"/>
      <c r="P906" s="246"/>
      <c r="Q906" s="246"/>
      <c r="R906" s="246"/>
      <c r="S906" s="246"/>
      <c r="T906" s="246"/>
      <c r="U906" s="246"/>
      <c r="V906" s="246"/>
      <c r="W906" s="246"/>
      <c r="X906" s="246"/>
      <c r="Y906" s="246"/>
      <c r="Z906" s="246"/>
    </row>
    <row r="907">
      <c r="A907" s="246"/>
      <c r="B907" s="246"/>
      <c r="C907" s="246"/>
      <c r="D907" s="246"/>
      <c r="E907" s="246"/>
      <c r="F907" s="246"/>
      <c r="G907" s="246"/>
      <c r="H907" s="246"/>
      <c r="I907" s="246"/>
      <c r="J907" s="246"/>
      <c r="K907" s="246"/>
      <c r="L907" s="246"/>
      <c r="M907" s="246"/>
      <c r="N907" s="252"/>
      <c r="O907" s="246"/>
      <c r="P907" s="246"/>
      <c r="Q907" s="246"/>
      <c r="R907" s="246"/>
      <c r="S907" s="246"/>
      <c r="T907" s="246"/>
      <c r="U907" s="246"/>
      <c r="V907" s="246"/>
      <c r="W907" s="246"/>
      <c r="X907" s="246"/>
      <c r="Y907" s="246"/>
      <c r="Z907" s="246"/>
    </row>
    <row r="908">
      <c r="A908" s="246"/>
      <c r="B908" s="246"/>
      <c r="C908" s="246"/>
      <c r="D908" s="246"/>
      <c r="E908" s="246"/>
      <c r="F908" s="246"/>
      <c r="G908" s="246"/>
      <c r="H908" s="246"/>
      <c r="I908" s="246"/>
      <c r="J908" s="246"/>
      <c r="K908" s="246"/>
      <c r="L908" s="246"/>
      <c r="M908" s="246"/>
      <c r="N908" s="252"/>
      <c r="O908" s="246"/>
      <c r="P908" s="246"/>
      <c r="Q908" s="246"/>
      <c r="R908" s="246"/>
      <c r="S908" s="246"/>
      <c r="T908" s="246"/>
      <c r="U908" s="246"/>
      <c r="V908" s="246"/>
      <c r="W908" s="246"/>
      <c r="X908" s="246"/>
      <c r="Y908" s="246"/>
      <c r="Z908" s="246"/>
    </row>
    <row r="909">
      <c r="A909" s="246"/>
      <c r="B909" s="246"/>
      <c r="C909" s="246"/>
      <c r="D909" s="246"/>
      <c r="E909" s="246"/>
      <c r="F909" s="246"/>
      <c r="G909" s="246"/>
      <c r="H909" s="246"/>
      <c r="I909" s="246"/>
      <c r="J909" s="246"/>
      <c r="K909" s="246"/>
      <c r="L909" s="246"/>
      <c r="M909" s="246"/>
      <c r="N909" s="252"/>
      <c r="O909" s="246"/>
      <c r="P909" s="246"/>
      <c r="Q909" s="246"/>
      <c r="R909" s="246"/>
      <c r="S909" s="246"/>
      <c r="T909" s="246"/>
      <c r="U909" s="246"/>
      <c r="V909" s="246"/>
      <c r="W909" s="246"/>
      <c r="X909" s="246"/>
      <c r="Y909" s="246"/>
      <c r="Z909" s="246"/>
    </row>
    <row r="910">
      <c r="A910" s="246"/>
      <c r="B910" s="246"/>
      <c r="C910" s="246"/>
      <c r="D910" s="246"/>
      <c r="E910" s="246"/>
      <c r="F910" s="246"/>
      <c r="G910" s="246"/>
      <c r="H910" s="246"/>
      <c r="I910" s="246"/>
      <c r="J910" s="246"/>
      <c r="K910" s="246"/>
      <c r="L910" s="246"/>
      <c r="M910" s="246"/>
      <c r="N910" s="252"/>
      <c r="O910" s="246"/>
      <c r="P910" s="246"/>
      <c r="Q910" s="246"/>
      <c r="R910" s="246"/>
      <c r="S910" s="246"/>
      <c r="T910" s="246"/>
      <c r="U910" s="246"/>
      <c r="V910" s="246"/>
      <c r="W910" s="246"/>
      <c r="X910" s="246"/>
      <c r="Y910" s="246"/>
      <c r="Z910" s="246"/>
    </row>
    <row r="911">
      <c r="A911" s="246"/>
      <c r="B911" s="246"/>
      <c r="C911" s="246"/>
      <c r="D911" s="246"/>
      <c r="E911" s="246"/>
      <c r="F911" s="246"/>
      <c r="G911" s="246"/>
      <c r="H911" s="246"/>
      <c r="I911" s="246"/>
      <c r="J911" s="246"/>
      <c r="K911" s="246"/>
      <c r="L911" s="246"/>
      <c r="M911" s="246"/>
      <c r="N911" s="252"/>
      <c r="O911" s="246"/>
      <c r="P911" s="246"/>
      <c r="Q911" s="246"/>
      <c r="R911" s="246"/>
      <c r="S911" s="246"/>
      <c r="T911" s="246"/>
      <c r="U911" s="246"/>
      <c r="V911" s="246"/>
      <c r="W911" s="246"/>
      <c r="X911" s="246"/>
      <c r="Y911" s="246"/>
      <c r="Z911" s="246"/>
    </row>
    <row r="912">
      <c r="A912" s="246"/>
      <c r="B912" s="246"/>
      <c r="C912" s="246"/>
      <c r="D912" s="246"/>
      <c r="E912" s="246"/>
      <c r="F912" s="246"/>
      <c r="G912" s="246"/>
      <c r="H912" s="246"/>
      <c r="I912" s="246"/>
      <c r="J912" s="246"/>
      <c r="K912" s="246"/>
      <c r="L912" s="246"/>
      <c r="M912" s="246"/>
      <c r="N912" s="252"/>
      <c r="O912" s="246"/>
      <c r="P912" s="246"/>
      <c r="Q912" s="246"/>
      <c r="R912" s="246"/>
      <c r="S912" s="246"/>
      <c r="T912" s="246"/>
      <c r="U912" s="246"/>
      <c r="V912" s="246"/>
      <c r="W912" s="246"/>
      <c r="X912" s="246"/>
      <c r="Y912" s="246"/>
      <c r="Z912" s="246"/>
    </row>
    <row r="913">
      <c r="A913" s="246"/>
      <c r="B913" s="246"/>
      <c r="C913" s="246"/>
      <c r="D913" s="246"/>
      <c r="E913" s="246"/>
      <c r="F913" s="246"/>
      <c r="G913" s="246"/>
      <c r="H913" s="246"/>
      <c r="I913" s="246"/>
      <c r="J913" s="246"/>
      <c r="K913" s="246"/>
      <c r="L913" s="246"/>
      <c r="M913" s="246"/>
      <c r="N913" s="252"/>
      <c r="O913" s="246"/>
      <c r="P913" s="246"/>
      <c r="Q913" s="246"/>
      <c r="R913" s="246"/>
      <c r="S913" s="246"/>
      <c r="T913" s="246"/>
      <c r="U913" s="246"/>
      <c r="V913" s="246"/>
      <c r="W913" s="246"/>
      <c r="X913" s="246"/>
      <c r="Y913" s="246"/>
      <c r="Z913" s="246"/>
    </row>
    <row r="914">
      <c r="A914" s="246"/>
      <c r="B914" s="246"/>
      <c r="C914" s="246"/>
      <c r="D914" s="246"/>
      <c r="E914" s="246"/>
      <c r="F914" s="246"/>
      <c r="G914" s="246"/>
      <c r="H914" s="246"/>
      <c r="I914" s="246"/>
      <c r="J914" s="246"/>
      <c r="K914" s="246"/>
      <c r="L914" s="246"/>
      <c r="M914" s="246"/>
      <c r="N914" s="252"/>
      <c r="O914" s="246"/>
      <c r="P914" s="246"/>
      <c r="Q914" s="246"/>
      <c r="R914" s="246"/>
      <c r="S914" s="246"/>
      <c r="T914" s="246"/>
      <c r="U914" s="246"/>
      <c r="V914" s="246"/>
      <c r="W914" s="246"/>
      <c r="X914" s="246"/>
      <c r="Y914" s="246"/>
      <c r="Z914" s="246"/>
    </row>
    <row r="915">
      <c r="A915" s="246"/>
      <c r="B915" s="246"/>
      <c r="C915" s="246"/>
      <c r="D915" s="246"/>
      <c r="E915" s="246"/>
      <c r="F915" s="246"/>
      <c r="G915" s="246"/>
      <c r="H915" s="246"/>
      <c r="I915" s="246"/>
      <c r="J915" s="246"/>
      <c r="K915" s="246"/>
      <c r="L915" s="246"/>
      <c r="M915" s="246"/>
      <c r="N915" s="252"/>
      <c r="O915" s="246"/>
      <c r="P915" s="246"/>
      <c r="Q915" s="246"/>
      <c r="R915" s="246"/>
      <c r="S915" s="246"/>
      <c r="T915" s="246"/>
      <c r="U915" s="246"/>
      <c r="V915" s="246"/>
      <c r="W915" s="246"/>
      <c r="X915" s="246"/>
      <c r="Y915" s="246"/>
      <c r="Z915" s="246"/>
    </row>
    <row r="916">
      <c r="A916" s="246"/>
      <c r="B916" s="246"/>
      <c r="C916" s="246"/>
      <c r="D916" s="246"/>
      <c r="E916" s="246"/>
      <c r="F916" s="246"/>
      <c r="G916" s="246"/>
      <c r="H916" s="246"/>
      <c r="I916" s="246"/>
      <c r="J916" s="246"/>
      <c r="K916" s="246"/>
      <c r="L916" s="246"/>
      <c r="M916" s="246"/>
      <c r="N916" s="252"/>
      <c r="O916" s="246"/>
      <c r="P916" s="246"/>
      <c r="Q916" s="246"/>
      <c r="R916" s="246"/>
      <c r="S916" s="246"/>
      <c r="T916" s="246"/>
      <c r="U916" s="246"/>
      <c r="V916" s="246"/>
      <c r="W916" s="246"/>
      <c r="X916" s="246"/>
      <c r="Y916" s="246"/>
      <c r="Z916" s="246"/>
    </row>
    <row r="917">
      <c r="A917" s="246"/>
      <c r="B917" s="246"/>
      <c r="C917" s="246"/>
      <c r="D917" s="246"/>
      <c r="E917" s="246"/>
      <c r="F917" s="246"/>
      <c r="G917" s="246"/>
      <c r="H917" s="246"/>
      <c r="I917" s="246"/>
      <c r="J917" s="246"/>
      <c r="K917" s="246"/>
      <c r="L917" s="246"/>
      <c r="M917" s="246"/>
      <c r="N917" s="252"/>
      <c r="O917" s="246"/>
      <c r="P917" s="246"/>
      <c r="Q917" s="246"/>
      <c r="R917" s="246"/>
      <c r="S917" s="246"/>
      <c r="T917" s="246"/>
      <c r="U917" s="246"/>
      <c r="V917" s="246"/>
      <c r="W917" s="246"/>
      <c r="X917" s="246"/>
      <c r="Y917" s="246"/>
      <c r="Z917" s="246"/>
    </row>
    <row r="918">
      <c r="A918" s="246"/>
      <c r="B918" s="246"/>
      <c r="C918" s="246"/>
      <c r="D918" s="246"/>
      <c r="E918" s="246"/>
      <c r="F918" s="246"/>
      <c r="G918" s="246"/>
      <c r="H918" s="246"/>
      <c r="I918" s="246"/>
      <c r="J918" s="246"/>
      <c r="K918" s="246"/>
      <c r="L918" s="246"/>
      <c r="M918" s="246"/>
      <c r="N918" s="252"/>
      <c r="O918" s="246"/>
      <c r="P918" s="246"/>
      <c r="Q918" s="246"/>
      <c r="R918" s="246"/>
      <c r="S918" s="246"/>
      <c r="T918" s="246"/>
      <c r="U918" s="246"/>
      <c r="V918" s="246"/>
      <c r="W918" s="246"/>
      <c r="X918" s="246"/>
      <c r="Y918" s="246"/>
      <c r="Z918" s="246"/>
    </row>
    <row r="919">
      <c r="A919" s="246"/>
      <c r="B919" s="246"/>
      <c r="C919" s="246"/>
      <c r="D919" s="246"/>
      <c r="E919" s="246"/>
      <c r="F919" s="246"/>
      <c r="G919" s="246"/>
      <c r="H919" s="246"/>
      <c r="I919" s="246"/>
      <c r="J919" s="246"/>
      <c r="K919" s="246"/>
      <c r="L919" s="246"/>
      <c r="M919" s="246"/>
      <c r="N919" s="252"/>
      <c r="O919" s="246"/>
      <c r="P919" s="246"/>
      <c r="Q919" s="246"/>
      <c r="R919" s="246"/>
      <c r="S919" s="246"/>
      <c r="T919" s="246"/>
      <c r="U919" s="246"/>
      <c r="V919" s="246"/>
      <c r="W919" s="246"/>
      <c r="X919" s="246"/>
      <c r="Y919" s="246"/>
      <c r="Z919" s="246"/>
    </row>
    <row r="920">
      <c r="A920" s="246"/>
      <c r="B920" s="246"/>
      <c r="C920" s="246"/>
      <c r="D920" s="246"/>
      <c r="E920" s="246"/>
      <c r="F920" s="246"/>
      <c r="G920" s="246"/>
      <c r="H920" s="246"/>
      <c r="I920" s="246"/>
      <c r="J920" s="246"/>
      <c r="K920" s="246"/>
      <c r="L920" s="246"/>
      <c r="M920" s="246"/>
      <c r="N920" s="252"/>
      <c r="O920" s="246"/>
      <c r="P920" s="246"/>
      <c r="Q920" s="246"/>
      <c r="R920" s="246"/>
      <c r="S920" s="246"/>
      <c r="T920" s="246"/>
      <c r="U920" s="246"/>
      <c r="V920" s="246"/>
      <c r="W920" s="246"/>
      <c r="X920" s="246"/>
      <c r="Y920" s="246"/>
      <c r="Z920" s="246"/>
    </row>
    <row r="921">
      <c r="A921" s="246"/>
      <c r="B921" s="246"/>
      <c r="C921" s="246"/>
      <c r="D921" s="246"/>
      <c r="E921" s="246"/>
      <c r="F921" s="246"/>
      <c r="G921" s="246"/>
      <c r="H921" s="246"/>
      <c r="I921" s="246"/>
      <c r="J921" s="246"/>
      <c r="K921" s="246"/>
      <c r="L921" s="246"/>
      <c r="M921" s="246"/>
      <c r="N921" s="252"/>
      <c r="O921" s="246"/>
      <c r="P921" s="246"/>
      <c r="Q921" s="246"/>
      <c r="R921" s="246"/>
      <c r="S921" s="246"/>
      <c r="T921" s="246"/>
      <c r="U921" s="246"/>
      <c r="V921" s="246"/>
      <c r="W921" s="246"/>
      <c r="X921" s="246"/>
      <c r="Y921" s="246"/>
      <c r="Z921" s="246"/>
    </row>
    <row r="922">
      <c r="A922" s="246"/>
      <c r="B922" s="246"/>
      <c r="C922" s="246"/>
      <c r="D922" s="246"/>
      <c r="E922" s="246"/>
      <c r="F922" s="246"/>
      <c r="G922" s="246"/>
      <c r="H922" s="246"/>
      <c r="I922" s="246"/>
      <c r="J922" s="246"/>
      <c r="K922" s="246"/>
      <c r="L922" s="246"/>
      <c r="M922" s="246"/>
      <c r="N922" s="252"/>
      <c r="O922" s="246"/>
      <c r="P922" s="246"/>
      <c r="Q922" s="246"/>
      <c r="R922" s="246"/>
      <c r="S922" s="246"/>
      <c r="T922" s="246"/>
      <c r="U922" s="246"/>
      <c r="V922" s="246"/>
      <c r="W922" s="246"/>
      <c r="X922" s="246"/>
      <c r="Y922" s="246"/>
      <c r="Z922" s="246"/>
    </row>
    <row r="923">
      <c r="A923" s="246"/>
      <c r="B923" s="246"/>
      <c r="C923" s="246"/>
      <c r="D923" s="246"/>
      <c r="E923" s="246"/>
      <c r="F923" s="246"/>
      <c r="G923" s="246"/>
      <c r="H923" s="246"/>
      <c r="I923" s="246"/>
      <c r="J923" s="246"/>
      <c r="K923" s="246"/>
      <c r="L923" s="246"/>
      <c r="M923" s="246"/>
      <c r="N923" s="252"/>
      <c r="O923" s="246"/>
      <c r="P923" s="246"/>
      <c r="Q923" s="246"/>
      <c r="R923" s="246"/>
      <c r="S923" s="246"/>
      <c r="T923" s="246"/>
      <c r="U923" s="246"/>
      <c r="V923" s="246"/>
      <c r="W923" s="246"/>
      <c r="X923" s="246"/>
      <c r="Y923" s="246"/>
      <c r="Z923" s="246"/>
    </row>
    <row r="924">
      <c r="A924" s="246"/>
      <c r="B924" s="246"/>
      <c r="C924" s="246"/>
      <c r="D924" s="246"/>
      <c r="E924" s="246"/>
      <c r="F924" s="246"/>
      <c r="G924" s="246"/>
      <c r="H924" s="246"/>
      <c r="I924" s="246"/>
      <c r="J924" s="246"/>
      <c r="K924" s="246"/>
      <c r="L924" s="246"/>
      <c r="M924" s="246"/>
      <c r="N924" s="252"/>
      <c r="O924" s="246"/>
      <c r="P924" s="246"/>
      <c r="Q924" s="246"/>
      <c r="R924" s="246"/>
      <c r="S924" s="246"/>
      <c r="T924" s="246"/>
      <c r="U924" s="246"/>
      <c r="V924" s="246"/>
      <c r="W924" s="246"/>
      <c r="X924" s="246"/>
      <c r="Y924" s="246"/>
      <c r="Z924" s="246"/>
    </row>
    <row r="925">
      <c r="A925" s="246"/>
      <c r="B925" s="246"/>
      <c r="C925" s="246"/>
      <c r="D925" s="246"/>
      <c r="E925" s="246"/>
      <c r="F925" s="246"/>
      <c r="G925" s="246"/>
      <c r="H925" s="246"/>
      <c r="I925" s="246"/>
      <c r="J925" s="246"/>
      <c r="K925" s="246"/>
      <c r="L925" s="246"/>
      <c r="M925" s="246"/>
      <c r="N925" s="252"/>
      <c r="O925" s="246"/>
      <c r="P925" s="246"/>
      <c r="Q925" s="246"/>
      <c r="R925" s="246"/>
      <c r="S925" s="246"/>
      <c r="T925" s="246"/>
      <c r="U925" s="246"/>
      <c r="V925" s="246"/>
      <c r="W925" s="246"/>
      <c r="X925" s="246"/>
      <c r="Y925" s="246"/>
      <c r="Z925" s="246"/>
    </row>
    <row r="926">
      <c r="A926" s="246"/>
      <c r="B926" s="246"/>
      <c r="C926" s="246"/>
      <c r="D926" s="246"/>
      <c r="E926" s="246"/>
      <c r="F926" s="246"/>
      <c r="G926" s="246"/>
      <c r="H926" s="246"/>
      <c r="I926" s="246"/>
      <c r="J926" s="246"/>
      <c r="K926" s="246"/>
      <c r="L926" s="246"/>
      <c r="M926" s="246"/>
      <c r="N926" s="252"/>
      <c r="O926" s="246"/>
      <c r="P926" s="246"/>
      <c r="Q926" s="246"/>
      <c r="R926" s="246"/>
      <c r="S926" s="246"/>
      <c r="T926" s="246"/>
      <c r="U926" s="246"/>
      <c r="V926" s="246"/>
      <c r="W926" s="246"/>
      <c r="X926" s="246"/>
      <c r="Y926" s="246"/>
      <c r="Z926" s="246"/>
    </row>
    <row r="927">
      <c r="A927" s="246"/>
      <c r="B927" s="246"/>
      <c r="C927" s="246"/>
      <c r="D927" s="246"/>
      <c r="E927" s="246"/>
      <c r="F927" s="246"/>
      <c r="G927" s="246"/>
      <c r="H927" s="246"/>
      <c r="I927" s="246"/>
      <c r="J927" s="246"/>
      <c r="K927" s="246"/>
      <c r="L927" s="246"/>
      <c r="M927" s="246"/>
      <c r="N927" s="252"/>
      <c r="O927" s="246"/>
      <c r="P927" s="246"/>
      <c r="Q927" s="246"/>
      <c r="R927" s="246"/>
      <c r="S927" s="246"/>
      <c r="T927" s="246"/>
      <c r="U927" s="246"/>
      <c r="V927" s="246"/>
      <c r="W927" s="246"/>
      <c r="X927" s="246"/>
      <c r="Y927" s="246"/>
      <c r="Z927" s="246"/>
    </row>
    <row r="928">
      <c r="A928" s="246"/>
      <c r="B928" s="246"/>
      <c r="C928" s="246"/>
      <c r="D928" s="246"/>
      <c r="E928" s="246"/>
      <c r="F928" s="246"/>
      <c r="G928" s="246"/>
      <c r="H928" s="246"/>
      <c r="I928" s="246"/>
      <c r="J928" s="246"/>
      <c r="K928" s="246"/>
      <c r="L928" s="246"/>
      <c r="M928" s="246"/>
      <c r="N928" s="252"/>
      <c r="O928" s="246"/>
      <c r="P928" s="246"/>
      <c r="Q928" s="246"/>
      <c r="R928" s="246"/>
      <c r="S928" s="246"/>
      <c r="T928" s="246"/>
      <c r="U928" s="246"/>
      <c r="V928" s="246"/>
      <c r="W928" s="246"/>
      <c r="X928" s="246"/>
      <c r="Y928" s="246"/>
      <c r="Z928" s="246"/>
    </row>
    <row r="929">
      <c r="A929" s="246"/>
      <c r="B929" s="246"/>
      <c r="C929" s="246"/>
      <c r="D929" s="246"/>
      <c r="E929" s="246"/>
      <c r="F929" s="246"/>
      <c r="G929" s="246"/>
      <c r="H929" s="246"/>
      <c r="I929" s="246"/>
      <c r="J929" s="246"/>
      <c r="K929" s="246"/>
      <c r="L929" s="246"/>
      <c r="M929" s="246"/>
      <c r="N929" s="252"/>
      <c r="O929" s="246"/>
      <c r="P929" s="246"/>
      <c r="Q929" s="246"/>
      <c r="R929" s="246"/>
      <c r="S929" s="246"/>
      <c r="T929" s="246"/>
      <c r="U929" s="246"/>
      <c r="V929" s="246"/>
      <c r="W929" s="246"/>
      <c r="X929" s="246"/>
      <c r="Y929" s="246"/>
      <c r="Z929" s="246"/>
    </row>
    <row r="930">
      <c r="A930" s="246"/>
      <c r="B930" s="246"/>
      <c r="C930" s="246"/>
      <c r="D930" s="246"/>
      <c r="E930" s="246"/>
      <c r="F930" s="246"/>
      <c r="G930" s="246"/>
      <c r="H930" s="246"/>
      <c r="I930" s="246"/>
      <c r="J930" s="246"/>
      <c r="K930" s="246"/>
      <c r="L930" s="246"/>
      <c r="M930" s="246"/>
      <c r="N930" s="252"/>
      <c r="O930" s="246"/>
      <c r="P930" s="246"/>
      <c r="Q930" s="246"/>
      <c r="R930" s="246"/>
      <c r="S930" s="246"/>
      <c r="T930" s="246"/>
      <c r="U930" s="246"/>
      <c r="V930" s="246"/>
      <c r="W930" s="246"/>
      <c r="X930" s="246"/>
      <c r="Y930" s="246"/>
      <c r="Z930" s="246"/>
    </row>
    <row r="931">
      <c r="A931" s="246"/>
      <c r="B931" s="246"/>
      <c r="C931" s="246"/>
      <c r="D931" s="246"/>
      <c r="E931" s="246"/>
      <c r="F931" s="246"/>
      <c r="G931" s="246"/>
      <c r="H931" s="246"/>
      <c r="I931" s="246"/>
      <c r="J931" s="246"/>
      <c r="K931" s="246"/>
      <c r="L931" s="246"/>
      <c r="M931" s="246"/>
      <c r="N931" s="252"/>
      <c r="O931" s="246"/>
      <c r="P931" s="246"/>
      <c r="Q931" s="246"/>
      <c r="R931" s="246"/>
      <c r="S931" s="246"/>
      <c r="T931" s="246"/>
      <c r="U931" s="246"/>
      <c r="V931" s="246"/>
      <c r="W931" s="246"/>
      <c r="X931" s="246"/>
      <c r="Y931" s="246"/>
      <c r="Z931" s="246"/>
    </row>
    <row r="932">
      <c r="A932" s="246"/>
      <c r="B932" s="246"/>
      <c r="C932" s="246"/>
      <c r="D932" s="246"/>
      <c r="E932" s="246"/>
      <c r="F932" s="246"/>
      <c r="G932" s="246"/>
      <c r="H932" s="246"/>
      <c r="I932" s="246"/>
      <c r="J932" s="246"/>
      <c r="K932" s="246"/>
      <c r="L932" s="246"/>
      <c r="M932" s="246"/>
      <c r="N932" s="252"/>
      <c r="O932" s="246"/>
      <c r="P932" s="246"/>
      <c r="Q932" s="246"/>
      <c r="R932" s="246"/>
      <c r="S932" s="246"/>
      <c r="T932" s="246"/>
      <c r="U932" s="246"/>
      <c r="V932" s="246"/>
      <c r="W932" s="246"/>
      <c r="X932" s="246"/>
      <c r="Y932" s="246"/>
      <c r="Z932" s="246"/>
    </row>
    <row r="933">
      <c r="A933" s="246"/>
      <c r="B933" s="246"/>
      <c r="C933" s="246"/>
      <c r="D933" s="246"/>
      <c r="E933" s="246"/>
      <c r="F933" s="246"/>
      <c r="G933" s="246"/>
      <c r="H933" s="246"/>
      <c r="I933" s="246"/>
      <c r="J933" s="246"/>
      <c r="K933" s="246"/>
      <c r="L933" s="246"/>
      <c r="M933" s="246"/>
      <c r="N933" s="252"/>
      <c r="O933" s="246"/>
      <c r="P933" s="246"/>
      <c r="Q933" s="246"/>
      <c r="R933" s="246"/>
      <c r="S933" s="246"/>
      <c r="T933" s="246"/>
      <c r="U933" s="246"/>
      <c r="V933" s="246"/>
      <c r="W933" s="246"/>
      <c r="X933" s="246"/>
      <c r="Y933" s="246"/>
      <c r="Z933" s="246"/>
    </row>
    <row r="934">
      <c r="A934" s="246"/>
      <c r="B934" s="246"/>
      <c r="C934" s="246"/>
      <c r="D934" s="246"/>
      <c r="E934" s="246"/>
      <c r="F934" s="246"/>
      <c r="G934" s="246"/>
      <c r="H934" s="246"/>
      <c r="I934" s="246"/>
      <c r="J934" s="246"/>
      <c r="K934" s="246"/>
      <c r="L934" s="246"/>
      <c r="M934" s="246"/>
      <c r="N934" s="252"/>
      <c r="O934" s="246"/>
      <c r="P934" s="246"/>
      <c r="Q934" s="246"/>
      <c r="R934" s="246"/>
      <c r="S934" s="246"/>
      <c r="T934" s="246"/>
      <c r="U934" s="246"/>
      <c r="V934" s="246"/>
      <c r="W934" s="246"/>
      <c r="X934" s="246"/>
      <c r="Y934" s="246"/>
      <c r="Z934" s="246"/>
    </row>
    <row r="935">
      <c r="A935" s="246"/>
      <c r="B935" s="246"/>
      <c r="C935" s="246"/>
      <c r="D935" s="246"/>
      <c r="E935" s="246"/>
      <c r="F935" s="246"/>
      <c r="G935" s="246"/>
      <c r="H935" s="246"/>
      <c r="I935" s="246"/>
      <c r="J935" s="246"/>
      <c r="K935" s="246"/>
      <c r="L935" s="246"/>
      <c r="M935" s="246"/>
      <c r="N935" s="252"/>
      <c r="O935" s="246"/>
      <c r="P935" s="246"/>
      <c r="Q935" s="246"/>
      <c r="R935" s="246"/>
      <c r="S935" s="246"/>
      <c r="T935" s="246"/>
      <c r="U935" s="246"/>
      <c r="V935" s="246"/>
      <c r="W935" s="246"/>
      <c r="X935" s="246"/>
      <c r="Y935" s="246"/>
      <c r="Z935" s="246"/>
    </row>
    <row r="936">
      <c r="A936" s="246"/>
      <c r="B936" s="246"/>
      <c r="C936" s="246"/>
      <c r="D936" s="246"/>
      <c r="E936" s="246"/>
      <c r="F936" s="246"/>
      <c r="G936" s="246"/>
      <c r="H936" s="246"/>
      <c r="I936" s="246"/>
      <c r="J936" s="246"/>
      <c r="K936" s="246"/>
      <c r="L936" s="246"/>
      <c r="M936" s="246"/>
      <c r="N936" s="252"/>
      <c r="O936" s="246"/>
      <c r="P936" s="246"/>
      <c r="Q936" s="246"/>
      <c r="R936" s="246"/>
      <c r="S936" s="246"/>
      <c r="T936" s="246"/>
      <c r="U936" s="246"/>
      <c r="V936" s="246"/>
      <c r="W936" s="246"/>
      <c r="X936" s="246"/>
      <c r="Y936" s="246"/>
      <c r="Z936" s="246"/>
    </row>
    <row r="937">
      <c r="A937" s="246"/>
      <c r="B937" s="246"/>
      <c r="C937" s="246"/>
      <c r="D937" s="246"/>
      <c r="E937" s="246"/>
      <c r="F937" s="246"/>
      <c r="G937" s="246"/>
      <c r="H937" s="246"/>
      <c r="I937" s="246"/>
      <c r="J937" s="246"/>
      <c r="K937" s="246"/>
      <c r="L937" s="246"/>
      <c r="M937" s="246"/>
      <c r="N937" s="252"/>
      <c r="O937" s="246"/>
      <c r="P937" s="246"/>
      <c r="Q937" s="246"/>
      <c r="R937" s="246"/>
      <c r="S937" s="246"/>
      <c r="T937" s="246"/>
      <c r="U937" s="246"/>
      <c r="V937" s="246"/>
      <c r="W937" s="246"/>
      <c r="X937" s="246"/>
      <c r="Y937" s="246"/>
      <c r="Z937" s="246"/>
    </row>
    <row r="938">
      <c r="A938" s="246"/>
      <c r="B938" s="246"/>
      <c r="C938" s="246"/>
      <c r="D938" s="246"/>
      <c r="E938" s="246"/>
      <c r="F938" s="246"/>
      <c r="G938" s="246"/>
      <c r="H938" s="246"/>
      <c r="I938" s="246"/>
      <c r="J938" s="246"/>
      <c r="K938" s="246"/>
      <c r="L938" s="246"/>
      <c r="M938" s="246"/>
      <c r="N938" s="252"/>
      <c r="O938" s="246"/>
      <c r="P938" s="246"/>
      <c r="Q938" s="246"/>
      <c r="R938" s="246"/>
      <c r="S938" s="246"/>
      <c r="T938" s="246"/>
      <c r="U938" s="246"/>
      <c r="V938" s="246"/>
      <c r="W938" s="246"/>
      <c r="X938" s="246"/>
      <c r="Y938" s="246"/>
      <c r="Z938" s="246"/>
    </row>
    <row r="939">
      <c r="A939" s="246"/>
      <c r="B939" s="246"/>
      <c r="C939" s="246"/>
      <c r="D939" s="246"/>
      <c r="E939" s="246"/>
      <c r="F939" s="246"/>
      <c r="G939" s="246"/>
      <c r="H939" s="246"/>
      <c r="I939" s="246"/>
      <c r="J939" s="246"/>
      <c r="K939" s="246"/>
      <c r="L939" s="246"/>
      <c r="M939" s="246"/>
      <c r="N939" s="252"/>
      <c r="O939" s="246"/>
      <c r="P939" s="246"/>
      <c r="Q939" s="246"/>
      <c r="R939" s="246"/>
      <c r="S939" s="246"/>
      <c r="T939" s="246"/>
      <c r="U939" s="246"/>
      <c r="V939" s="246"/>
      <c r="W939" s="246"/>
      <c r="X939" s="246"/>
      <c r="Y939" s="246"/>
      <c r="Z939" s="246"/>
    </row>
    <row r="940">
      <c r="A940" s="246"/>
      <c r="B940" s="246"/>
      <c r="C940" s="246"/>
      <c r="D940" s="246"/>
      <c r="E940" s="246"/>
      <c r="F940" s="246"/>
      <c r="G940" s="246"/>
      <c r="H940" s="246"/>
      <c r="I940" s="246"/>
      <c r="J940" s="246"/>
      <c r="K940" s="246"/>
      <c r="L940" s="246"/>
      <c r="M940" s="246"/>
      <c r="N940" s="252"/>
      <c r="O940" s="246"/>
      <c r="P940" s="246"/>
      <c r="Q940" s="246"/>
      <c r="R940" s="246"/>
      <c r="S940" s="246"/>
      <c r="T940" s="246"/>
      <c r="U940" s="246"/>
      <c r="V940" s="246"/>
      <c r="W940" s="246"/>
      <c r="X940" s="246"/>
      <c r="Y940" s="246"/>
      <c r="Z940" s="246"/>
    </row>
    <row r="941">
      <c r="A941" s="246"/>
      <c r="B941" s="246"/>
      <c r="C941" s="246"/>
      <c r="D941" s="246"/>
      <c r="E941" s="246"/>
      <c r="F941" s="246"/>
      <c r="G941" s="246"/>
      <c r="H941" s="246"/>
      <c r="I941" s="246"/>
      <c r="J941" s="246"/>
      <c r="K941" s="246"/>
      <c r="L941" s="246"/>
      <c r="M941" s="246"/>
      <c r="N941" s="252"/>
      <c r="O941" s="246"/>
      <c r="P941" s="246"/>
      <c r="Q941" s="246"/>
      <c r="R941" s="246"/>
      <c r="S941" s="246"/>
      <c r="T941" s="246"/>
      <c r="U941" s="246"/>
      <c r="V941" s="246"/>
      <c r="W941" s="246"/>
      <c r="X941" s="246"/>
      <c r="Y941" s="246"/>
      <c r="Z941" s="246"/>
    </row>
    <row r="942">
      <c r="A942" s="246"/>
      <c r="B942" s="246"/>
      <c r="C942" s="246"/>
      <c r="D942" s="246"/>
      <c r="E942" s="246"/>
      <c r="F942" s="246"/>
      <c r="G942" s="246"/>
      <c r="H942" s="246"/>
      <c r="I942" s="246"/>
      <c r="J942" s="246"/>
      <c r="K942" s="246"/>
      <c r="L942" s="246"/>
      <c r="M942" s="246"/>
      <c r="N942" s="252"/>
      <c r="O942" s="246"/>
      <c r="P942" s="246"/>
      <c r="Q942" s="246"/>
      <c r="R942" s="246"/>
      <c r="S942" s="246"/>
      <c r="T942" s="246"/>
      <c r="U942" s="246"/>
      <c r="V942" s="246"/>
      <c r="W942" s="246"/>
      <c r="X942" s="246"/>
      <c r="Y942" s="246"/>
      <c r="Z942" s="246"/>
    </row>
    <row r="943">
      <c r="A943" s="246"/>
      <c r="B943" s="246"/>
      <c r="C943" s="246"/>
      <c r="D943" s="246"/>
      <c r="E943" s="246"/>
      <c r="F943" s="246"/>
      <c r="G943" s="246"/>
      <c r="H943" s="246"/>
      <c r="I943" s="246"/>
      <c r="J943" s="246"/>
      <c r="K943" s="246"/>
      <c r="L943" s="246"/>
      <c r="M943" s="246"/>
      <c r="N943" s="252"/>
      <c r="O943" s="246"/>
      <c r="P943" s="246"/>
      <c r="Q943" s="246"/>
      <c r="R943" s="246"/>
      <c r="S943" s="246"/>
      <c r="T943" s="246"/>
      <c r="U943" s="246"/>
      <c r="V943" s="246"/>
      <c r="W943" s="246"/>
      <c r="X943" s="246"/>
      <c r="Y943" s="246"/>
      <c r="Z943" s="246"/>
    </row>
    <row r="944">
      <c r="A944" s="246"/>
      <c r="B944" s="246"/>
      <c r="C944" s="246"/>
      <c r="D944" s="246"/>
      <c r="E944" s="246"/>
      <c r="F944" s="246"/>
      <c r="G944" s="246"/>
      <c r="H944" s="246"/>
      <c r="I944" s="246"/>
      <c r="J944" s="246"/>
      <c r="K944" s="246"/>
      <c r="L944" s="246"/>
      <c r="M944" s="246"/>
      <c r="N944" s="252"/>
      <c r="O944" s="246"/>
      <c r="P944" s="246"/>
      <c r="Q944" s="246"/>
      <c r="R944" s="246"/>
      <c r="S944" s="246"/>
      <c r="T944" s="246"/>
      <c r="U944" s="246"/>
      <c r="V944" s="246"/>
      <c r="W944" s="246"/>
      <c r="X944" s="246"/>
      <c r="Y944" s="246"/>
      <c r="Z944" s="246"/>
    </row>
    <row r="945">
      <c r="A945" s="246"/>
      <c r="B945" s="246"/>
      <c r="C945" s="246"/>
      <c r="D945" s="246"/>
      <c r="E945" s="246"/>
      <c r="F945" s="246"/>
      <c r="G945" s="246"/>
      <c r="H945" s="246"/>
      <c r="I945" s="246"/>
      <c r="J945" s="246"/>
      <c r="K945" s="246"/>
      <c r="L945" s="246"/>
      <c r="M945" s="246"/>
      <c r="N945" s="252"/>
      <c r="O945" s="246"/>
      <c r="P945" s="246"/>
      <c r="Q945" s="246"/>
      <c r="R945" s="246"/>
      <c r="S945" s="246"/>
      <c r="T945" s="246"/>
      <c r="U945" s="246"/>
      <c r="V945" s="246"/>
      <c r="W945" s="246"/>
      <c r="X945" s="246"/>
      <c r="Y945" s="246"/>
      <c r="Z945" s="246"/>
    </row>
    <row r="946">
      <c r="A946" s="246"/>
      <c r="B946" s="246"/>
      <c r="C946" s="246"/>
      <c r="D946" s="246"/>
      <c r="E946" s="246"/>
      <c r="F946" s="246"/>
      <c r="G946" s="246"/>
      <c r="H946" s="246"/>
      <c r="I946" s="246"/>
      <c r="J946" s="246"/>
      <c r="K946" s="246"/>
      <c r="L946" s="246"/>
      <c r="M946" s="246"/>
      <c r="N946" s="252"/>
      <c r="O946" s="246"/>
      <c r="P946" s="246"/>
      <c r="Q946" s="246"/>
      <c r="R946" s="246"/>
      <c r="S946" s="246"/>
      <c r="T946" s="246"/>
      <c r="U946" s="246"/>
      <c r="V946" s="246"/>
      <c r="W946" s="246"/>
      <c r="X946" s="246"/>
      <c r="Y946" s="246"/>
      <c r="Z946" s="246"/>
    </row>
    <row r="947">
      <c r="A947" s="246"/>
      <c r="B947" s="246"/>
      <c r="C947" s="246"/>
      <c r="D947" s="246"/>
      <c r="E947" s="246"/>
      <c r="F947" s="246"/>
      <c r="G947" s="246"/>
      <c r="H947" s="246"/>
      <c r="I947" s="246"/>
      <c r="J947" s="246"/>
      <c r="K947" s="246"/>
      <c r="L947" s="246"/>
      <c r="M947" s="246"/>
      <c r="N947" s="252"/>
      <c r="O947" s="246"/>
      <c r="P947" s="246"/>
      <c r="Q947" s="246"/>
      <c r="R947" s="246"/>
      <c r="S947" s="246"/>
      <c r="T947" s="246"/>
      <c r="U947" s="246"/>
      <c r="V947" s="246"/>
      <c r="W947" s="246"/>
      <c r="X947" s="246"/>
      <c r="Y947" s="246"/>
      <c r="Z947" s="246"/>
    </row>
    <row r="948">
      <c r="A948" s="246"/>
      <c r="B948" s="246"/>
      <c r="C948" s="246"/>
      <c r="D948" s="246"/>
      <c r="E948" s="246"/>
      <c r="F948" s="246"/>
      <c r="G948" s="246"/>
      <c r="H948" s="246"/>
      <c r="I948" s="246"/>
      <c r="J948" s="246"/>
      <c r="K948" s="246"/>
      <c r="L948" s="246"/>
      <c r="M948" s="246"/>
      <c r="N948" s="252"/>
      <c r="O948" s="246"/>
      <c r="P948" s="246"/>
      <c r="Q948" s="246"/>
      <c r="R948" s="246"/>
      <c r="S948" s="246"/>
      <c r="T948" s="246"/>
      <c r="U948" s="246"/>
      <c r="V948" s="246"/>
      <c r="W948" s="246"/>
      <c r="X948" s="246"/>
      <c r="Y948" s="246"/>
      <c r="Z948" s="246"/>
    </row>
    <row r="949">
      <c r="A949" s="246"/>
      <c r="B949" s="246"/>
      <c r="C949" s="246"/>
      <c r="D949" s="246"/>
      <c r="E949" s="246"/>
      <c r="F949" s="246"/>
      <c r="G949" s="246"/>
      <c r="H949" s="246"/>
      <c r="I949" s="246"/>
      <c r="J949" s="246"/>
      <c r="K949" s="246"/>
      <c r="L949" s="246"/>
      <c r="M949" s="246"/>
      <c r="N949" s="252"/>
      <c r="O949" s="246"/>
      <c r="P949" s="246"/>
      <c r="Q949" s="246"/>
      <c r="R949" s="246"/>
      <c r="S949" s="246"/>
      <c r="T949" s="246"/>
      <c r="U949" s="246"/>
      <c r="V949" s="246"/>
      <c r="W949" s="246"/>
      <c r="X949" s="246"/>
      <c r="Y949" s="246"/>
      <c r="Z949" s="246"/>
    </row>
    <row r="950">
      <c r="A950" s="246"/>
      <c r="B950" s="246"/>
      <c r="C950" s="246"/>
      <c r="D950" s="246"/>
      <c r="E950" s="246"/>
      <c r="F950" s="246"/>
      <c r="G950" s="246"/>
      <c r="H950" s="246"/>
      <c r="I950" s="246"/>
      <c r="J950" s="246"/>
      <c r="K950" s="246"/>
      <c r="L950" s="246"/>
      <c r="M950" s="246"/>
      <c r="N950" s="252"/>
      <c r="O950" s="246"/>
      <c r="P950" s="246"/>
      <c r="Q950" s="246"/>
      <c r="R950" s="246"/>
      <c r="S950" s="246"/>
      <c r="T950" s="246"/>
      <c r="U950" s="246"/>
      <c r="V950" s="246"/>
      <c r="W950" s="246"/>
      <c r="X950" s="246"/>
      <c r="Y950" s="246"/>
      <c r="Z950" s="246"/>
    </row>
    <row r="951">
      <c r="A951" s="246"/>
      <c r="B951" s="246"/>
      <c r="C951" s="246"/>
      <c r="D951" s="246"/>
      <c r="E951" s="246"/>
      <c r="F951" s="246"/>
      <c r="G951" s="246"/>
      <c r="H951" s="246"/>
      <c r="I951" s="246"/>
      <c r="J951" s="246"/>
      <c r="K951" s="246"/>
      <c r="L951" s="246"/>
      <c r="M951" s="246"/>
      <c r="N951" s="252"/>
      <c r="O951" s="246"/>
      <c r="P951" s="246"/>
      <c r="Q951" s="246"/>
      <c r="R951" s="246"/>
      <c r="S951" s="246"/>
      <c r="T951" s="246"/>
      <c r="U951" s="246"/>
      <c r="V951" s="246"/>
      <c r="W951" s="246"/>
      <c r="X951" s="246"/>
      <c r="Y951" s="246"/>
      <c r="Z951" s="246"/>
    </row>
    <row r="952">
      <c r="A952" s="246"/>
      <c r="B952" s="246"/>
      <c r="C952" s="246"/>
      <c r="D952" s="246"/>
      <c r="E952" s="246"/>
      <c r="F952" s="246"/>
      <c r="G952" s="246"/>
      <c r="H952" s="246"/>
      <c r="I952" s="246"/>
      <c r="J952" s="246"/>
      <c r="K952" s="246"/>
      <c r="L952" s="246"/>
      <c r="M952" s="246"/>
      <c r="N952" s="252"/>
      <c r="O952" s="246"/>
      <c r="P952" s="246"/>
      <c r="Q952" s="246"/>
      <c r="R952" s="246"/>
      <c r="S952" s="246"/>
      <c r="T952" s="246"/>
      <c r="U952" s="246"/>
      <c r="V952" s="246"/>
      <c r="W952" s="246"/>
      <c r="X952" s="246"/>
      <c r="Y952" s="246"/>
      <c r="Z952" s="246"/>
    </row>
    <row r="953">
      <c r="A953" s="246"/>
      <c r="B953" s="246"/>
      <c r="C953" s="246"/>
      <c r="D953" s="246"/>
      <c r="E953" s="246"/>
      <c r="F953" s="246"/>
      <c r="G953" s="246"/>
      <c r="H953" s="246"/>
      <c r="I953" s="246"/>
      <c r="J953" s="246"/>
      <c r="K953" s="246"/>
      <c r="L953" s="246"/>
      <c r="M953" s="246"/>
      <c r="N953" s="252"/>
      <c r="O953" s="246"/>
      <c r="P953" s="246"/>
      <c r="Q953" s="246"/>
      <c r="R953" s="246"/>
      <c r="S953" s="246"/>
      <c r="T953" s="246"/>
      <c r="U953" s="246"/>
      <c r="V953" s="246"/>
      <c r="W953" s="246"/>
      <c r="X953" s="246"/>
      <c r="Y953" s="246"/>
      <c r="Z953" s="246"/>
    </row>
    <row r="954">
      <c r="A954" s="246"/>
      <c r="B954" s="246"/>
      <c r="C954" s="246"/>
      <c r="D954" s="246"/>
      <c r="E954" s="246"/>
      <c r="F954" s="246"/>
      <c r="G954" s="246"/>
      <c r="H954" s="246"/>
      <c r="I954" s="246"/>
      <c r="J954" s="246"/>
      <c r="K954" s="246"/>
      <c r="L954" s="246"/>
      <c r="M954" s="246"/>
      <c r="N954" s="252"/>
      <c r="O954" s="246"/>
      <c r="P954" s="246"/>
      <c r="Q954" s="246"/>
      <c r="R954" s="246"/>
      <c r="S954" s="246"/>
      <c r="T954" s="246"/>
      <c r="U954" s="246"/>
      <c r="V954" s="246"/>
      <c r="W954" s="246"/>
      <c r="X954" s="246"/>
      <c r="Y954" s="246"/>
      <c r="Z954" s="246"/>
    </row>
    <row r="955">
      <c r="A955" s="246"/>
      <c r="B955" s="246"/>
      <c r="C955" s="246"/>
      <c r="D955" s="246"/>
      <c r="E955" s="246"/>
      <c r="F955" s="246"/>
      <c r="G955" s="246"/>
      <c r="H955" s="246"/>
      <c r="I955" s="246"/>
      <c r="J955" s="246"/>
      <c r="K955" s="246"/>
      <c r="L955" s="246"/>
      <c r="M955" s="246"/>
      <c r="N955" s="252"/>
      <c r="O955" s="246"/>
      <c r="P955" s="246"/>
      <c r="Q955" s="246"/>
      <c r="R955" s="246"/>
      <c r="S955" s="246"/>
      <c r="T955" s="246"/>
      <c r="U955" s="246"/>
      <c r="V955" s="246"/>
      <c r="W955" s="246"/>
      <c r="X955" s="246"/>
      <c r="Y955" s="246"/>
      <c r="Z955" s="246"/>
    </row>
    <row r="956">
      <c r="A956" s="246"/>
      <c r="B956" s="246"/>
      <c r="C956" s="246"/>
      <c r="D956" s="246"/>
      <c r="E956" s="246"/>
      <c r="F956" s="246"/>
      <c r="G956" s="246"/>
      <c r="H956" s="246"/>
      <c r="I956" s="246"/>
      <c r="J956" s="246"/>
      <c r="K956" s="246"/>
      <c r="L956" s="246"/>
      <c r="M956" s="246"/>
      <c r="N956" s="252"/>
      <c r="O956" s="246"/>
      <c r="P956" s="246"/>
      <c r="Q956" s="246"/>
      <c r="R956" s="246"/>
      <c r="S956" s="246"/>
      <c r="T956" s="246"/>
      <c r="U956" s="246"/>
      <c r="V956" s="246"/>
      <c r="W956" s="246"/>
      <c r="X956" s="246"/>
      <c r="Y956" s="246"/>
      <c r="Z956" s="246"/>
    </row>
    <row r="957">
      <c r="A957" s="246"/>
      <c r="B957" s="246"/>
      <c r="C957" s="246"/>
      <c r="D957" s="246"/>
      <c r="E957" s="246"/>
      <c r="F957" s="246"/>
      <c r="G957" s="246"/>
      <c r="H957" s="246"/>
      <c r="I957" s="246"/>
      <c r="J957" s="246"/>
      <c r="K957" s="246"/>
      <c r="L957" s="246"/>
      <c r="M957" s="246"/>
      <c r="N957" s="252"/>
      <c r="O957" s="246"/>
      <c r="P957" s="246"/>
      <c r="Q957" s="246"/>
      <c r="R957" s="246"/>
      <c r="S957" s="246"/>
      <c r="T957" s="246"/>
      <c r="U957" s="246"/>
      <c r="V957" s="246"/>
      <c r="W957" s="246"/>
      <c r="X957" s="246"/>
      <c r="Y957" s="246"/>
      <c r="Z957" s="246"/>
    </row>
    <row r="958">
      <c r="A958" s="246"/>
      <c r="B958" s="246"/>
      <c r="C958" s="246"/>
      <c r="D958" s="246"/>
      <c r="E958" s="246"/>
      <c r="F958" s="246"/>
      <c r="G958" s="246"/>
      <c r="H958" s="246"/>
      <c r="I958" s="246"/>
      <c r="J958" s="246"/>
      <c r="K958" s="246"/>
      <c r="L958" s="246"/>
      <c r="M958" s="246"/>
      <c r="N958" s="252"/>
      <c r="O958" s="246"/>
      <c r="P958" s="246"/>
      <c r="Q958" s="246"/>
      <c r="R958" s="246"/>
      <c r="S958" s="246"/>
      <c r="T958" s="246"/>
      <c r="U958" s="246"/>
      <c r="V958" s="246"/>
      <c r="W958" s="246"/>
      <c r="X958" s="246"/>
      <c r="Y958" s="246"/>
      <c r="Z958" s="246"/>
    </row>
    <row r="959">
      <c r="A959" s="246"/>
      <c r="B959" s="246"/>
      <c r="C959" s="246"/>
      <c r="D959" s="246"/>
      <c r="E959" s="246"/>
      <c r="F959" s="246"/>
      <c r="G959" s="246"/>
      <c r="H959" s="246"/>
      <c r="I959" s="246"/>
      <c r="J959" s="246"/>
      <c r="K959" s="246"/>
      <c r="L959" s="246"/>
      <c r="M959" s="246"/>
      <c r="N959" s="252"/>
      <c r="O959" s="246"/>
      <c r="P959" s="246"/>
      <c r="Q959" s="246"/>
      <c r="R959" s="246"/>
      <c r="S959" s="246"/>
      <c r="T959" s="246"/>
      <c r="U959" s="246"/>
      <c r="V959" s="246"/>
      <c r="W959" s="246"/>
      <c r="X959" s="246"/>
      <c r="Y959" s="246"/>
      <c r="Z959" s="246"/>
    </row>
    <row r="960">
      <c r="A960" s="246"/>
      <c r="B960" s="246"/>
      <c r="C960" s="246"/>
      <c r="D960" s="246"/>
      <c r="E960" s="246"/>
      <c r="F960" s="246"/>
      <c r="G960" s="246"/>
      <c r="H960" s="246"/>
      <c r="I960" s="246"/>
      <c r="J960" s="246"/>
      <c r="K960" s="246"/>
      <c r="L960" s="246"/>
      <c r="M960" s="246"/>
      <c r="N960" s="252"/>
      <c r="O960" s="246"/>
      <c r="P960" s="246"/>
      <c r="Q960" s="246"/>
      <c r="R960" s="246"/>
      <c r="S960" s="246"/>
      <c r="T960" s="246"/>
      <c r="U960" s="246"/>
      <c r="V960" s="246"/>
      <c r="W960" s="246"/>
      <c r="X960" s="246"/>
      <c r="Y960" s="246"/>
      <c r="Z960" s="246"/>
    </row>
    <row r="961">
      <c r="A961" s="246"/>
      <c r="B961" s="246"/>
      <c r="C961" s="246"/>
      <c r="D961" s="246"/>
      <c r="E961" s="246"/>
      <c r="F961" s="246"/>
      <c r="G961" s="246"/>
      <c r="H961" s="246"/>
      <c r="I961" s="246"/>
      <c r="J961" s="246"/>
      <c r="K961" s="246"/>
      <c r="L961" s="246"/>
      <c r="M961" s="246"/>
      <c r="N961" s="252"/>
      <c r="O961" s="246"/>
      <c r="P961" s="246"/>
      <c r="Q961" s="246"/>
      <c r="R961" s="246"/>
      <c r="S961" s="246"/>
      <c r="T961" s="246"/>
      <c r="U961" s="246"/>
      <c r="V961" s="246"/>
      <c r="W961" s="246"/>
      <c r="X961" s="246"/>
      <c r="Y961" s="246"/>
      <c r="Z961" s="246"/>
    </row>
    <row r="962">
      <c r="A962" s="246"/>
      <c r="B962" s="246"/>
      <c r="C962" s="246"/>
      <c r="D962" s="246"/>
      <c r="E962" s="246"/>
      <c r="F962" s="246"/>
      <c r="G962" s="246"/>
      <c r="H962" s="246"/>
      <c r="I962" s="246"/>
      <c r="J962" s="246"/>
      <c r="K962" s="246"/>
      <c r="L962" s="246"/>
      <c r="M962" s="246"/>
      <c r="N962" s="252"/>
      <c r="O962" s="246"/>
      <c r="P962" s="246"/>
      <c r="Q962" s="246"/>
      <c r="R962" s="246"/>
      <c r="S962" s="246"/>
      <c r="T962" s="246"/>
      <c r="U962" s="246"/>
      <c r="V962" s="246"/>
      <c r="W962" s="246"/>
      <c r="X962" s="246"/>
      <c r="Y962" s="246"/>
      <c r="Z962" s="246"/>
    </row>
    <row r="963">
      <c r="A963" s="246"/>
      <c r="B963" s="246"/>
      <c r="C963" s="246"/>
      <c r="D963" s="246"/>
      <c r="E963" s="246"/>
      <c r="F963" s="246"/>
      <c r="G963" s="246"/>
      <c r="H963" s="246"/>
      <c r="I963" s="246"/>
      <c r="J963" s="246"/>
      <c r="K963" s="246"/>
      <c r="L963" s="246"/>
      <c r="M963" s="246"/>
      <c r="N963" s="252"/>
      <c r="O963" s="246"/>
      <c r="P963" s="246"/>
      <c r="Q963" s="246"/>
      <c r="R963" s="246"/>
      <c r="S963" s="246"/>
      <c r="T963" s="246"/>
      <c r="U963" s="246"/>
      <c r="V963" s="246"/>
      <c r="W963" s="246"/>
      <c r="X963" s="246"/>
      <c r="Y963" s="246"/>
      <c r="Z963" s="246"/>
    </row>
    <row r="964">
      <c r="A964" s="246"/>
      <c r="B964" s="246"/>
      <c r="C964" s="246"/>
      <c r="D964" s="246"/>
      <c r="E964" s="246"/>
      <c r="F964" s="246"/>
      <c r="G964" s="246"/>
      <c r="H964" s="246"/>
      <c r="I964" s="246"/>
      <c r="J964" s="246"/>
      <c r="K964" s="246"/>
      <c r="L964" s="246"/>
      <c r="M964" s="246"/>
      <c r="N964" s="252"/>
      <c r="O964" s="246"/>
      <c r="P964" s="246"/>
      <c r="Q964" s="246"/>
      <c r="R964" s="246"/>
      <c r="S964" s="246"/>
      <c r="T964" s="246"/>
      <c r="U964" s="246"/>
      <c r="V964" s="246"/>
      <c r="W964" s="246"/>
      <c r="X964" s="246"/>
      <c r="Y964" s="246"/>
      <c r="Z964" s="246"/>
    </row>
    <row r="965">
      <c r="A965" s="246"/>
      <c r="B965" s="246"/>
      <c r="C965" s="246"/>
      <c r="D965" s="246"/>
      <c r="E965" s="246"/>
      <c r="F965" s="246"/>
      <c r="G965" s="246"/>
      <c r="H965" s="246"/>
      <c r="I965" s="246"/>
      <c r="J965" s="246"/>
      <c r="K965" s="246"/>
      <c r="L965" s="246"/>
      <c r="M965" s="246"/>
      <c r="N965" s="252"/>
      <c r="O965" s="246"/>
      <c r="P965" s="246"/>
      <c r="Q965" s="246"/>
      <c r="R965" s="246"/>
      <c r="S965" s="246"/>
      <c r="T965" s="246"/>
      <c r="U965" s="246"/>
      <c r="V965" s="246"/>
      <c r="W965" s="246"/>
      <c r="X965" s="246"/>
      <c r="Y965" s="246"/>
      <c r="Z965" s="246"/>
    </row>
    <row r="966">
      <c r="A966" s="246"/>
      <c r="B966" s="246"/>
      <c r="C966" s="246"/>
      <c r="D966" s="246"/>
      <c r="E966" s="246"/>
      <c r="F966" s="246"/>
      <c r="G966" s="246"/>
      <c r="H966" s="246"/>
      <c r="I966" s="246"/>
      <c r="J966" s="246"/>
      <c r="K966" s="246"/>
      <c r="L966" s="246"/>
      <c r="M966" s="246"/>
      <c r="N966" s="252"/>
      <c r="O966" s="246"/>
      <c r="P966" s="246"/>
      <c r="Q966" s="246"/>
      <c r="R966" s="246"/>
      <c r="S966" s="246"/>
      <c r="T966" s="246"/>
      <c r="U966" s="246"/>
      <c r="V966" s="246"/>
      <c r="W966" s="246"/>
      <c r="X966" s="246"/>
      <c r="Y966" s="246"/>
      <c r="Z966" s="246"/>
    </row>
    <row r="967">
      <c r="A967" s="246"/>
      <c r="B967" s="246"/>
      <c r="C967" s="246"/>
      <c r="D967" s="246"/>
      <c r="E967" s="246"/>
      <c r="F967" s="246"/>
      <c r="G967" s="246"/>
      <c r="H967" s="246"/>
      <c r="I967" s="246"/>
      <c r="J967" s="246"/>
      <c r="K967" s="246"/>
      <c r="L967" s="246"/>
      <c r="M967" s="246"/>
      <c r="N967" s="252"/>
      <c r="O967" s="246"/>
      <c r="P967" s="246"/>
      <c r="Q967" s="246"/>
      <c r="R967" s="246"/>
      <c r="S967" s="246"/>
      <c r="T967" s="246"/>
      <c r="U967" s="246"/>
      <c r="V967" s="246"/>
      <c r="W967" s="246"/>
      <c r="X967" s="246"/>
      <c r="Y967" s="246"/>
      <c r="Z967" s="246"/>
    </row>
    <row r="968">
      <c r="A968" s="246"/>
      <c r="B968" s="246"/>
      <c r="C968" s="246"/>
      <c r="D968" s="246"/>
      <c r="E968" s="246"/>
      <c r="F968" s="246"/>
      <c r="G968" s="246"/>
      <c r="H968" s="246"/>
      <c r="I968" s="246"/>
      <c r="J968" s="246"/>
      <c r="K968" s="246"/>
      <c r="L968" s="246"/>
      <c r="M968" s="246"/>
      <c r="N968" s="252"/>
      <c r="O968" s="246"/>
      <c r="P968" s="246"/>
      <c r="Q968" s="246"/>
      <c r="R968" s="246"/>
      <c r="S968" s="246"/>
      <c r="T968" s="246"/>
      <c r="U968" s="246"/>
      <c r="V968" s="246"/>
      <c r="W968" s="246"/>
      <c r="X968" s="246"/>
      <c r="Y968" s="246"/>
      <c r="Z968" s="246"/>
    </row>
    <row r="969">
      <c r="A969" s="246"/>
      <c r="B969" s="246"/>
      <c r="C969" s="246"/>
      <c r="D969" s="246"/>
      <c r="E969" s="246"/>
      <c r="F969" s="246"/>
      <c r="G969" s="246"/>
      <c r="H969" s="246"/>
      <c r="I969" s="246"/>
      <c r="J969" s="246"/>
      <c r="K969" s="246"/>
      <c r="L969" s="246"/>
      <c r="M969" s="246"/>
      <c r="N969" s="252"/>
      <c r="O969" s="246"/>
      <c r="P969" s="246"/>
      <c r="Q969" s="246"/>
      <c r="R969" s="246"/>
      <c r="S969" s="246"/>
      <c r="T969" s="246"/>
      <c r="U969" s="246"/>
      <c r="V969" s="246"/>
      <c r="W969" s="246"/>
      <c r="X969" s="246"/>
      <c r="Y969" s="246"/>
      <c r="Z969" s="246"/>
    </row>
    <row r="970">
      <c r="A970" s="246"/>
      <c r="B970" s="246"/>
      <c r="C970" s="246"/>
      <c r="D970" s="246"/>
      <c r="E970" s="246"/>
      <c r="F970" s="246"/>
      <c r="G970" s="246"/>
      <c r="H970" s="246"/>
      <c r="I970" s="246"/>
      <c r="J970" s="246"/>
      <c r="K970" s="246"/>
      <c r="L970" s="246"/>
      <c r="M970" s="246"/>
      <c r="N970" s="252"/>
      <c r="O970" s="246"/>
      <c r="P970" s="246"/>
      <c r="Q970" s="246"/>
      <c r="R970" s="246"/>
      <c r="S970" s="246"/>
      <c r="T970" s="246"/>
      <c r="U970" s="246"/>
      <c r="V970" s="246"/>
      <c r="W970" s="246"/>
      <c r="X970" s="246"/>
      <c r="Y970" s="246"/>
      <c r="Z970" s="246"/>
    </row>
    <row r="971">
      <c r="A971" s="246"/>
      <c r="B971" s="246"/>
      <c r="C971" s="246"/>
      <c r="D971" s="246"/>
      <c r="E971" s="246"/>
      <c r="F971" s="246"/>
      <c r="G971" s="246"/>
      <c r="H971" s="246"/>
      <c r="I971" s="246"/>
      <c r="J971" s="246"/>
      <c r="K971" s="246"/>
      <c r="L971" s="246"/>
      <c r="M971" s="246"/>
      <c r="N971" s="252"/>
      <c r="O971" s="246"/>
      <c r="P971" s="246"/>
      <c r="Q971" s="246"/>
      <c r="R971" s="246"/>
      <c r="S971" s="246"/>
      <c r="T971" s="246"/>
      <c r="U971" s="246"/>
      <c r="V971" s="246"/>
      <c r="W971" s="246"/>
      <c r="X971" s="246"/>
      <c r="Y971" s="246"/>
      <c r="Z971" s="246"/>
    </row>
    <row r="972">
      <c r="A972" s="246"/>
      <c r="B972" s="246"/>
      <c r="C972" s="246"/>
      <c r="D972" s="246"/>
      <c r="E972" s="246"/>
      <c r="F972" s="246"/>
      <c r="G972" s="246"/>
      <c r="H972" s="246"/>
      <c r="I972" s="246"/>
      <c r="J972" s="246"/>
      <c r="K972" s="246"/>
      <c r="L972" s="246"/>
      <c r="M972" s="246"/>
      <c r="N972" s="252"/>
      <c r="O972" s="246"/>
      <c r="P972" s="246"/>
      <c r="Q972" s="246"/>
      <c r="R972" s="246"/>
      <c r="S972" s="246"/>
      <c r="T972" s="246"/>
      <c r="U972" s="246"/>
      <c r="V972" s="246"/>
      <c r="W972" s="246"/>
      <c r="X972" s="246"/>
      <c r="Y972" s="246"/>
      <c r="Z972" s="246"/>
    </row>
    <row r="973">
      <c r="A973" s="246"/>
      <c r="B973" s="246"/>
      <c r="C973" s="246"/>
      <c r="D973" s="246"/>
      <c r="E973" s="246"/>
      <c r="F973" s="246"/>
      <c r="G973" s="246"/>
      <c r="H973" s="246"/>
      <c r="I973" s="246"/>
      <c r="J973" s="246"/>
      <c r="K973" s="246"/>
      <c r="L973" s="246"/>
      <c r="M973" s="246"/>
      <c r="N973" s="252"/>
      <c r="O973" s="246"/>
      <c r="P973" s="246"/>
      <c r="Q973" s="246"/>
      <c r="R973" s="246"/>
      <c r="S973" s="246"/>
      <c r="T973" s="246"/>
      <c r="U973" s="246"/>
      <c r="V973" s="246"/>
      <c r="W973" s="246"/>
      <c r="X973" s="246"/>
      <c r="Y973" s="246"/>
      <c r="Z973" s="246"/>
    </row>
    <row r="974">
      <c r="A974" s="246"/>
      <c r="B974" s="246"/>
      <c r="C974" s="246"/>
      <c r="D974" s="246"/>
      <c r="E974" s="246"/>
      <c r="F974" s="246"/>
      <c r="G974" s="246"/>
      <c r="H974" s="246"/>
      <c r="I974" s="246"/>
      <c r="J974" s="246"/>
      <c r="K974" s="246"/>
      <c r="L974" s="246"/>
      <c r="M974" s="246"/>
      <c r="N974" s="252"/>
      <c r="O974" s="246"/>
      <c r="P974" s="246"/>
      <c r="Q974" s="246"/>
      <c r="R974" s="246"/>
      <c r="S974" s="246"/>
      <c r="T974" s="246"/>
      <c r="U974" s="246"/>
      <c r="V974" s="246"/>
      <c r="W974" s="246"/>
      <c r="X974" s="246"/>
      <c r="Y974" s="246"/>
      <c r="Z974" s="246"/>
    </row>
    <row r="975">
      <c r="A975" s="246"/>
      <c r="B975" s="246"/>
      <c r="C975" s="246"/>
      <c r="D975" s="246"/>
      <c r="E975" s="246"/>
      <c r="F975" s="246"/>
      <c r="G975" s="246"/>
      <c r="H975" s="246"/>
      <c r="I975" s="246"/>
      <c r="J975" s="246"/>
      <c r="K975" s="246"/>
      <c r="L975" s="246"/>
      <c r="M975" s="246"/>
      <c r="N975" s="252"/>
      <c r="O975" s="246"/>
      <c r="P975" s="246"/>
      <c r="Q975" s="246"/>
      <c r="R975" s="246"/>
      <c r="S975" s="246"/>
      <c r="T975" s="246"/>
      <c r="U975" s="246"/>
      <c r="V975" s="246"/>
      <c r="W975" s="246"/>
      <c r="X975" s="246"/>
      <c r="Y975" s="246"/>
      <c r="Z975" s="246"/>
    </row>
    <row r="976">
      <c r="A976" s="246"/>
      <c r="B976" s="246"/>
      <c r="C976" s="246"/>
      <c r="D976" s="246"/>
      <c r="E976" s="246"/>
      <c r="F976" s="246"/>
      <c r="G976" s="246"/>
      <c r="H976" s="246"/>
      <c r="I976" s="246"/>
      <c r="J976" s="246"/>
      <c r="K976" s="246"/>
      <c r="L976" s="246"/>
      <c r="M976" s="246"/>
      <c r="N976" s="252"/>
      <c r="O976" s="246"/>
      <c r="P976" s="246"/>
      <c r="Q976" s="246"/>
      <c r="R976" s="246"/>
      <c r="S976" s="246"/>
      <c r="T976" s="246"/>
      <c r="U976" s="246"/>
      <c r="V976" s="246"/>
      <c r="W976" s="246"/>
      <c r="X976" s="246"/>
      <c r="Y976" s="246"/>
      <c r="Z976" s="246"/>
    </row>
    <row r="977">
      <c r="A977" s="246"/>
      <c r="B977" s="246"/>
      <c r="C977" s="246"/>
      <c r="D977" s="246"/>
      <c r="E977" s="246"/>
      <c r="F977" s="246"/>
      <c r="G977" s="246"/>
      <c r="H977" s="246"/>
      <c r="I977" s="246"/>
      <c r="J977" s="246"/>
      <c r="K977" s="246"/>
      <c r="L977" s="246"/>
      <c r="M977" s="246"/>
      <c r="N977" s="252"/>
      <c r="O977" s="246"/>
      <c r="P977" s="246"/>
      <c r="Q977" s="246"/>
      <c r="R977" s="246"/>
      <c r="S977" s="246"/>
      <c r="T977" s="246"/>
      <c r="U977" s="246"/>
      <c r="V977" s="246"/>
      <c r="W977" s="246"/>
      <c r="X977" s="246"/>
      <c r="Y977" s="246"/>
      <c r="Z977" s="246"/>
    </row>
    <row r="978">
      <c r="A978" s="246"/>
      <c r="B978" s="246"/>
      <c r="C978" s="246"/>
      <c r="D978" s="246"/>
      <c r="E978" s="246"/>
      <c r="F978" s="246"/>
      <c r="G978" s="246"/>
      <c r="H978" s="246"/>
      <c r="I978" s="246"/>
      <c r="J978" s="246"/>
      <c r="K978" s="246"/>
      <c r="L978" s="246"/>
      <c r="M978" s="246"/>
      <c r="N978" s="252"/>
      <c r="O978" s="246"/>
      <c r="P978" s="246"/>
      <c r="Q978" s="246"/>
      <c r="R978" s="246"/>
      <c r="S978" s="246"/>
      <c r="T978" s="246"/>
      <c r="U978" s="246"/>
      <c r="V978" s="246"/>
      <c r="W978" s="246"/>
      <c r="X978" s="246"/>
      <c r="Y978" s="246"/>
      <c r="Z978" s="246"/>
    </row>
    <row r="979">
      <c r="A979" s="246"/>
      <c r="B979" s="246"/>
      <c r="C979" s="246"/>
      <c r="D979" s="246"/>
      <c r="E979" s="246"/>
      <c r="F979" s="246"/>
      <c r="G979" s="246"/>
      <c r="H979" s="246"/>
      <c r="I979" s="246"/>
      <c r="J979" s="246"/>
      <c r="K979" s="246"/>
      <c r="L979" s="246"/>
      <c r="M979" s="246"/>
      <c r="N979" s="252"/>
      <c r="O979" s="246"/>
      <c r="P979" s="246"/>
      <c r="Q979" s="246"/>
      <c r="R979" s="246"/>
      <c r="S979" s="246"/>
      <c r="T979" s="246"/>
      <c r="U979" s="246"/>
      <c r="V979" s="246"/>
      <c r="W979" s="246"/>
      <c r="X979" s="246"/>
      <c r="Y979" s="246"/>
      <c r="Z979" s="246"/>
    </row>
    <row r="980">
      <c r="A980" s="246"/>
      <c r="B980" s="246"/>
      <c r="C980" s="246"/>
      <c r="D980" s="246"/>
      <c r="E980" s="246"/>
      <c r="F980" s="246"/>
      <c r="G980" s="246"/>
      <c r="H980" s="246"/>
      <c r="I980" s="246"/>
      <c r="J980" s="246"/>
      <c r="K980" s="246"/>
      <c r="L980" s="246"/>
      <c r="M980" s="246"/>
      <c r="N980" s="252"/>
      <c r="O980" s="246"/>
      <c r="P980" s="246"/>
      <c r="Q980" s="246"/>
      <c r="R980" s="246"/>
      <c r="S980" s="246"/>
      <c r="T980" s="246"/>
      <c r="U980" s="246"/>
      <c r="V980" s="246"/>
      <c r="W980" s="246"/>
      <c r="X980" s="246"/>
      <c r="Y980" s="246"/>
      <c r="Z980" s="246"/>
    </row>
    <row r="981">
      <c r="A981" s="246"/>
      <c r="B981" s="246"/>
      <c r="C981" s="246"/>
      <c r="D981" s="246"/>
      <c r="E981" s="246"/>
      <c r="F981" s="246"/>
      <c r="G981" s="246"/>
      <c r="H981" s="246"/>
      <c r="I981" s="246"/>
      <c r="J981" s="246"/>
      <c r="K981" s="246"/>
      <c r="L981" s="246"/>
      <c r="M981" s="246"/>
      <c r="N981" s="252"/>
      <c r="O981" s="246"/>
      <c r="P981" s="246"/>
      <c r="Q981" s="246"/>
      <c r="R981" s="246"/>
      <c r="S981" s="246"/>
      <c r="T981" s="246"/>
      <c r="U981" s="246"/>
      <c r="V981" s="246"/>
      <c r="W981" s="246"/>
      <c r="X981" s="246"/>
      <c r="Y981" s="246"/>
      <c r="Z981" s="246"/>
    </row>
    <row r="982">
      <c r="A982" s="246"/>
      <c r="B982" s="246"/>
      <c r="C982" s="246"/>
      <c r="D982" s="246"/>
      <c r="E982" s="246"/>
      <c r="F982" s="246"/>
      <c r="G982" s="246"/>
      <c r="H982" s="246"/>
      <c r="I982" s="246"/>
      <c r="J982" s="246"/>
      <c r="K982" s="246"/>
      <c r="L982" s="246"/>
      <c r="M982" s="246"/>
      <c r="N982" s="252"/>
      <c r="O982" s="246"/>
      <c r="P982" s="246"/>
      <c r="Q982" s="246"/>
      <c r="R982" s="246"/>
      <c r="S982" s="246"/>
      <c r="T982" s="246"/>
      <c r="U982" s="246"/>
      <c r="V982" s="246"/>
      <c r="W982" s="246"/>
      <c r="X982" s="246"/>
      <c r="Y982" s="246"/>
      <c r="Z982" s="246"/>
    </row>
    <row r="983">
      <c r="A983" s="246"/>
      <c r="B983" s="246"/>
      <c r="C983" s="246"/>
      <c r="D983" s="246"/>
      <c r="E983" s="246"/>
      <c r="F983" s="246"/>
      <c r="G983" s="246"/>
      <c r="H983" s="246"/>
      <c r="I983" s="246"/>
      <c r="J983" s="246"/>
      <c r="K983" s="246"/>
      <c r="L983" s="246"/>
      <c r="M983" s="246"/>
      <c r="N983" s="252"/>
      <c r="O983" s="246"/>
      <c r="P983" s="246"/>
      <c r="Q983" s="246"/>
      <c r="R983" s="246"/>
      <c r="S983" s="246"/>
      <c r="T983" s="246"/>
      <c r="U983" s="246"/>
      <c r="V983" s="246"/>
      <c r="W983" s="246"/>
      <c r="X983" s="246"/>
      <c r="Y983" s="246"/>
      <c r="Z983" s="246"/>
    </row>
    <row r="984">
      <c r="A984" s="246"/>
      <c r="B984" s="246"/>
      <c r="C984" s="246"/>
      <c r="D984" s="246"/>
      <c r="E984" s="246"/>
      <c r="F984" s="246"/>
      <c r="G984" s="246"/>
      <c r="H984" s="246"/>
      <c r="I984" s="246"/>
      <c r="J984" s="246"/>
      <c r="K984" s="246"/>
      <c r="L984" s="246"/>
      <c r="M984" s="246"/>
      <c r="N984" s="252"/>
      <c r="O984" s="246"/>
      <c r="P984" s="246"/>
      <c r="Q984" s="246"/>
      <c r="R984" s="246"/>
      <c r="S984" s="246"/>
      <c r="T984" s="246"/>
      <c r="U984" s="246"/>
      <c r="V984" s="246"/>
      <c r="W984" s="246"/>
      <c r="X984" s="246"/>
      <c r="Y984" s="246"/>
      <c r="Z984" s="246"/>
    </row>
    <row r="985">
      <c r="A985" s="246"/>
      <c r="B985" s="246"/>
      <c r="C985" s="246"/>
      <c r="D985" s="246"/>
      <c r="E985" s="246"/>
      <c r="F985" s="246"/>
      <c r="G985" s="246"/>
      <c r="H985" s="246"/>
      <c r="I985" s="246"/>
      <c r="J985" s="246"/>
      <c r="K985" s="246"/>
      <c r="L985" s="246"/>
      <c r="M985" s="246"/>
      <c r="N985" s="252"/>
      <c r="O985" s="246"/>
      <c r="P985" s="246"/>
      <c r="Q985" s="246"/>
      <c r="R985" s="246"/>
      <c r="S985" s="246"/>
      <c r="T985" s="246"/>
      <c r="U985" s="246"/>
      <c r="V985" s="246"/>
      <c r="W985" s="246"/>
      <c r="X985" s="246"/>
      <c r="Y985" s="246"/>
      <c r="Z985" s="246"/>
    </row>
    <row r="986">
      <c r="A986" s="246"/>
      <c r="B986" s="246"/>
      <c r="C986" s="246"/>
      <c r="D986" s="246"/>
      <c r="E986" s="246"/>
      <c r="F986" s="246"/>
      <c r="G986" s="246"/>
      <c r="H986" s="246"/>
      <c r="I986" s="246"/>
      <c r="J986" s="246"/>
      <c r="K986" s="246"/>
      <c r="L986" s="246"/>
      <c r="M986" s="246"/>
      <c r="N986" s="252"/>
      <c r="O986" s="246"/>
      <c r="P986" s="246"/>
      <c r="Q986" s="246"/>
      <c r="R986" s="246"/>
      <c r="S986" s="246"/>
      <c r="T986" s="246"/>
      <c r="U986" s="246"/>
      <c r="V986" s="246"/>
      <c r="W986" s="246"/>
      <c r="X986" s="246"/>
      <c r="Y986" s="246"/>
      <c r="Z986" s="246"/>
    </row>
    <row r="987">
      <c r="A987" s="246"/>
      <c r="B987" s="246"/>
      <c r="C987" s="246"/>
      <c r="D987" s="246"/>
      <c r="E987" s="246"/>
      <c r="F987" s="246"/>
      <c r="G987" s="246"/>
      <c r="H987" s="246"/>
      <c r="I987" s="246"/>
      <c r="J987" s="246"/>
      <c r="K987" s="246"/>
      <c r="L987" s="246"/>
      <c r="M987" s="246"/>
      <c r="N987" s="252"/>
      <c r="O987" s="246"/>
      <c r="P987" s="246"/>
      <c r="Q987" s="246"/>
      <c r="R987" s="246"/>
      <c r="S987" s="246"/>
      <c r="T987" s="246"/>
      <c r="U987" s="246"/>
      <c r="V987" s="246"/>
      <c r="W987" s="246"/>
      <c r="X987" s="246"/>
      <c r="Y987" s="246"/>
      <c r="Z987" s="246"/>
    </row>
    <row r="988">
      <c r="A988" s="246"/>
      <c r="B988" s="246"/>
      <c r="C988" s="246"/>
      <c r="D988" s="246"/>
      <c r="E988" s="246"/>
      <c r="F988" s="246"/>
      <c r="G988" s="246"/>
      <c r="H988" s="246"/>
      <c r="I988" s="246"/>
      <c r="J988" s="246"/>
      <c r="K988" s="246"/>
      <c r="L988" s="246"/>
      <c r="M988" s="246"/>
      <c r="N988" s="252"/>
      <c r="O988" s="246"/>
      <c r="P988" s="246"/>
      <c r="Q988" s="246"/>
      <c r="R988" s="246"/>
      <c r="S988" s="246"/>
      <c r="T988" s="246"/>
      <c r="U988" s="246"/>
      <c r="V988" s="246"/>
      <c r="W988" s="246"/>
      <c r="X988" s="246"/>
      <c r="Y988" s="246"/>
      <c r="Z988" s="246"/>
    </row>
    <row r="989">
      <c r="A989" s="246"/>
      <c r="B989" s="246"/>
      <c r="C989" s="246"/>
      <c r="D989" s="246"/>
      <c r="E989" s="246"/>
      <c r="F989" s="246"/>
      <c r="G989" s="246"/>
      <c r="H989" s="246"/>
      <c r="I989" s="246"/>
      <c r="J989" s="246"/>
      <c r="K989" s="246"/>
      <c r="L989" s="246"/>
      <c r="M989" s="246"/>
      <c r="N989" s="252"/>
      <c r="O989" s="246"/>
      <c r="P989" s="246"/>
      <c r="Q989" s="246"/>
      <c r="R989" s="246"/>
      <c r="S989" s="246"/>
      <c r="T989" s="246"/>
      <c r="U989" s="246"/>
      <c r="V989" s="246"/>
      <c r="W989" s="246"/>
      <c r="X989" s="246"/>
      <c r="Y989" s="246"/>
      <c r="Z989" s="246"/>
    </row>
    <row r="990">
      <c r="A990" s="246"/>
      <c r="B990" s="246"/>
      <c r="C990" s="246"/>
      <c r="D990" s="246"/>
      <c r="E990" s="246"/>
      <c r="F990" s="246"/>
      <c r="G990" s="246"/>
      <c r="H990" s="246"/>
      <c r="I990" s="246"/>
      <c r="J990" s="246"/>
      <c r="K990" s="246"/>
      <c r="L990" s="246"/>
      <c r="M990" s="246"/>
      <c r="N990" s="252"/>
      <c r="O990" s="246"/>
      <c r="P990" s="246"/>
      <c r="Q990" s="246"/>
      <c r="R990" s="246"/>
      <c r="S990" s="246"/>
      <c r="T990" s="246"/>
      <c r="U990" s="246"/>
      <c r="V990" s="246"/>
      <c r="W990" s="246"/>
      <c r="X990" s="246"/>
      <c r="Y990" s="246"/>
      <c r="Z990" s="246"/>
    </row>
    <row r="991">
      <c r="A991" s="246"/>
      <c r="B991" s="246"/>
      <c r="C991" s="246"/>
      <c r="D991" s="246"/>
      <c r="E991" s="246"/>
      <c r="F991" s="246"/>
      <c r="G991" s="246"/>
      <c r="H991" s="246"/>
      <c r="I991" s="246"/>
      <c r="J991" s="246"/>
      <c r="K991" s="246"/>
      <c r="L991" s="246"/>
      <c r="M991" s="246"/>
      <c r="N991" s="252"/>
      <c r="O991" s="246"/>
      <c r="P991" s="246"/>
      <c r="Q991" s="246"/>
      <c r="R991" s="246"/>
      <c r="S991" s="246"/>
      <c r="T991" s="246"/>
      <c r="U991" s="246"/>
      <c r="V991" s="246"/>
      <c r="W991" s="246"/>
      <c r="X991" s="246"/>
      <c r="Y991" s="246"/>
      <c r="Z991" s="246"/>
    </row>
    <row r="992">
      <c r="A992" s="246"/>
      <c r="B992" s="246"/>
      <c r="C992" s="246"/>
      <c r="D992" s="246"/>
      <c r="E992" s="246"/>
      <c r="F992" s="246"/>
      <c r="G992" s="246"/>
      <c r="H992" s="246"/>
      <c r="I992" s="246"/>
      <c r="J992" s="246"/>
      <c r="K992" s="246"/>
      <c r="L992" s="246"/>
      <c r="M992" s="246"/>
      <c r="N992" s="252"/>
      <c r="O992" s="246"/>
      <c r="P992" s="246"/>
      <c r="Q992" s="246"/>
      <c r="R992" s="246"/>
      <c r="S992" s="246"/>
      <c r="T992" s="246"/>
      <c r="U992" s="246"/>
      <c r="V992" s="246"/>
      <c r="W992" s="246"/>
      <c r="X992" s="246"/>
      <c r="Y992" s="246"/>
      <c r="Z992" s="246"/>
    </row>
    <row r="993">
      <c r="A993" s="246"/>
      <c r="B993" s="246"/>
      <c r="C993" s="246"/>
      <c r="D993" s="246"/>
      <c r="E993" s="246"/>
      <c r="F993" s="246"/>
      <c r="G993" s="246"/>
      <c r="H993" s="246"/>
      <c r="I993" s="246"/>
      <c r="J993" s="246"/>
      <c r="K993" s="246"/>
      <c r="L993" s="246"/>
      <c r="M993" s="246"/>
      <c r="N993" s="252"/>
      <c r="O993" s="246"/>
      <c r="P993" s="246"/>
      <c r="Q993" s="246"/>
      <c r="R993" s="246"/>
      <c r="S993" s="246"/>
      <c r="T993" s="246"/>
      <c r="U993" s="246"/>
      <c r="V993" s="246"/>
      <c r="W993" s="246"/>
      <c r="X993" s="246"/>
      <c r="Y993" s="246"/>
      <c r="Z993" s="246"/>
    </row>
    <row r="994">
      <c r="A994" s="246"/>
      <c r="B994" s="246"/>
      <c r="C994" s="246"/>
      <c r="D994" s="246"/>
      <c r="E994" s="246"/>
      <c r="F994" s="246"/>
      <c r="G994" s="246"/>
      <c r="H994" s="246"/>
      <c r="I994" s="246"/>
      <c r="J994" s="246"/>
      <c r="K994" s="246"/>
      <c r="L994" s="246"/>
      <c r="M994" s="246"/>
      <c r="N994" s="252"/>
      <c r="O994" s="246"/>
      <c r="P994" s="246"/>
      <c r="Q994" s="246"/>
      <c r="R994" s="246"/>
      <c r="S994" s="246"/>
      <c r="T994" s="246"/>
      <c r="U994" s="246"/>
      <c r="V994" s="246"/>
      <c r="W994" s="246"/>
      <c r="X994" s="246"/>
      <c r="Y994" s="246"/>
      <c r="Z994" s="246"/>
    </row>
    <row r="995">
      <c r="A995" s="246"/>
      <c r="B995" s="246"/>
      <c r="C995" s="246"/>
      <c r="D995" s="246"/>
      <c r="E995" s="246"/>
      <c r="F995" s="246"/>
      <c r="G995" s="246"/>
      <c r="H995" s="246"/>
      <c r="I995" s="246"/>
      <c r="J995" s="246"/>
      <c r="K995" s="246"/>
      <c r="L995" s="246"/>
      <c r="M995" s="246"/>
      <c r="N995" s="252"/>
      <c r="O995" s="246"/>
      <c r="P995" s="246"/>
      <c r="Q995" s="246"/>
      <c r="R995" s="246"/>
      <c r="S995" s="246"/>
      <c r="T995" s="246"/>
      <c r="U995" s="246"/>
      <c r="V995" s="246"/>
      <c r="W995" s="246"/>
      <c r="X995" s="246"/>
      <c r="Y995" s="246"/>
      <c r="Z995" s="246"/>
    </row>
    <row r="996">
      <c r="A996" s="246"/>
      <c r="B996" s="246"/>
      <c r="C996" s="246"/>
      <c r="D996" s="246"/>
      <c r="E996" s="246"/>
      <c r="F996" s="246"/>
      <c r="G996" s="246"/>
      <c r="H996" s="246"/>
      <c r="I996" s="246"/>
      <c r="J996" s="246"/>
      <c r="K996" s="246"/>
      <c r="L996" s="246"/>
      <c r="M996" s="246"/>
      <c r="N996" s="252"/>
      <c r="O996" s="246"/>
      <c r="P996" s="246"/>
      <c r="Q996" s="246"/>
      <c r="R996" s="246"/>
      <c r="S996" s="246"/>
      <c r="T996" s="246"/>
      <c r="U996" s="246"/>
      <c r="V996" s="246"/>
      <c r="W996" s="246"/>
      <c r="X996" s="246"/>
      <c r="Y996" s="246"/>
      <c r="Z996" s="246"/>
    </row>
    <row r="997">
      <c r="A997" s="246"/>
      <c r="B997" s="246"/>
      <c r="C997" s="246"/>
      <c r="D997" s="246"/>
      <c r="E997" s="246"/>
      <c r="F997" s="246"/>
      <c r="G997" s="246"/>
      <c r="H997" s="246"/>
      <c r="I997" s="246"/>
      <c r="J997" s="246"/>
      <c r="K997" s="246"/>
      <c r="L997" s="246"/>
      <c r="M997" s="246"/>
      <c r="N997" s="252"/>
      <c r="O997" s="246"/>
      <c r="P997" s="246"/>
      <c r="Q997" s="246"/>
      <c r="R997" s="246"/>
      <c r="S997" s="246"/>
      <c r="T997" s="246"/>
      <c r="U997" s="246"/>
      <c r="V997" s="246"/>
      <c r="W997" s="246"/>
      <c r="X997" s="246"/>
      <c r="Y997" s="246"/>
      <c r="Z997" s="246"/>
    </row>
    <row r="998">
      <c r="A998" s="246"/>
      <c r="B998" s="246"/>
      <c r="C998" s="246"/>
      <c r="D998" s="246"/>
      <c r="E998" s="246"/>
      <c r="F998" s="246"/>
      <c r="G998" s="246"/>
      <c r="H998" s="246"/>
      <c r="I998" s="246"/>
      <c r="J998" s="246"/>
      <c r="K998" s="246"/>
      <c r="L998" s="246"/>
      <c r="M998" s="246"/>
      <c r="N998" s="252"/>
      <c r="O998" s="246"/>
      <c r="P998" s="246"/>
      <c r="Q998" s="246"/>
      <c r="R998" s="246"/>
      <c r="S998" s="246"/>
      <c r="T998" s="246"/>
      <c r="U998" s="246"/>
      <c r="V998" s="246"/>
      <c r="W998" s="246"/>
      <c r="X998" s="246"/>
      <c r="Y998" s="246"/>
      <c r="Z998" s="246"/>
    </row>
    <row r="999">
      <c r="A999" s="246"/>
      <c r="B999" s="246"/>
      <c r="C999" s="246"/>
      <c r="D999" s="246"/>
      <c r="E999" s="246"/>
      <c r="F999" s="246"/>
      <c r="G999" s="246"/>
      <c r="H999" s="246"/>
      <c r="I999" s="246"/>
      <c r="J999" s="246"/>
      <c r="K999" s="246"/>
      <c r="L999" s="246"/>
      <c r="M999" s="246"/>
      <c r="N999" s="252"/>
      <c r="O999" s="246"/>
      <c r="P999" s="246"/>
      <c r="Q999" s="246"/>
      <c r="R999" s="246"/>
      <c r="S999" s="246"/>
      <c r="T999" s="246"/>
      <c r="U999" s="246"/>
      <c r="V999" s="246"/>
      <c r="W999" s="246"/>
      <c r="X999" s="246"/>
      <c r="Y999" s="246"/>
      <c r="Z999" s="246"/>
    </row>
    <row r="1000">
      <c r="A1000" s="246"/>
      <c r="B1000" s="246"/>
      <c r="C1000" s="246"/>
      <c r="D1000" s="246"/>
      <c r="E1000" s="246"/>
      <c r="F1000" s="246"/>
      <c r="G1000" s="246"/>
      <c r="H1000" s="246"/>
      <c r="I1000" s="246"/>
      <c r="J1000" s="246"/>
      <c r="K1000" s="246"/>
      <c r="L1000" s="246"/>
      <c r="M1000" s="246"/>
      <c r="N1000" s="252"/>
      <c r="O1000" s="246"/>
      <c r="P1000" s="246"/>
      <c r="Q1000" s="246"/>
      <c r="R1000" s="246"/>
      <c r="S1000" s="246"/>
      <c r="T1000" s="246"/>
      <c r="U1000" s="246"/>
      <c r="V1000" s="246"/>
      <c r="W1000" s="246"/>
      <c r="X1000" s="246"/>
      <c r="Y1000" s="246"/>
      <c r="Z1000" s="246"/>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4" width="7.0"/>
    <col customWidth="1" min="5" max="5" width="5.63"/>
    <col customWidth="1" min="6" max="6" width="6.63"/>
    <col customWidth="1" min="7" max="7" width="7.63"/>
    <col customWidth="1" min="8" max="8" width="8.5"/>
    <col customWidth="1" min="9" max="9" width="9.5"/>
    <col customWidth="1" min="10" max="10" width="10.5"/>
    <col customWidth="1" min="11" max="11" width="9.63"/>
    <col customWidth="1" min="12" max="12" width="8.75"/>
    <col customWidth="1" min="13" max="15" width="7.0"/>
    <col customWidth="1" min="16" max="16" width="5.63"/>
    <col customWidth="1" min="17" max="17" width="6.63"/>
    <col customWidth="1" min="18" max="18" width="7.63"/>
    <col customWidth="1" min="19" max="19" width="8.5"/>
    <col customWidth="1" min="20" max="20" width="9.5"/>
    <col customWidth="1" min="21" max="21" width="10.5"/>
    <col customWidth="1" min="22" max="22" width="9.63"/>
    <col customWidth="1" min="23" max="23" width="8.75"/>
    <col customWidth="1" min="24" max="26" width="7.0"/>
    <col customWidth="1" min="27" max="27" width="5.63"/>
    <col customWidth="1" min="28" max="28" width="6.63"/>
    <col customWidth="1" min="29" max="29" width="7.63"/>
    <col customWidth="1" min="30" max="30" width="8.5"/>
    <col customWidth="1" min="31" max="31" width="9.5"/>
    <col customWidth="1" min="32" max="32" width="10.5"/>
    <col customWidth="1" min="33" max="33" width="9.63"/>
    <col customWidth="1" min="34" max="34" width="8.75"/>
    <col customWidth="1" min="35" max="37" width="7.0"/>
    <col customWidth="1" min="38" max="38" width="5.63"/>
    <col customWidth="1" min="39" max="39" width="6.63"/>
    <col customWidth="1" min="40" max="40" width="7.63"/>
    <col customWidth="1" min="41" max="41" width="8.5"/>
    <col customWidth="1" min="42" max="42" width="9.5"/>
    <col customWidth="1" min="43" max="43" width="10.5"/>
    <col customWidth="1" min="44" max="44" width="9.63"/>
    <col customWidth="1" min="45" max="45" width="8.75"/>
    <col customWidth="1" min="46" max="46" width="8.0"/>
    <col customWidth="1" min="47" max="48" width="7.0"/>
    <col customWidth="1" min="49" max="49" width="5.63"/>
    <col customWidth="1" min="50" max="50" width="6.63"/>
    <col customWidth="1" min="51" max="51" width="7.63"/>
    <col customWidth="1" min="52" max="52" width="8.5"/>
    <col customWidth="1" min="53" max="53" width="9.5"/>
    <col customWidth="1" min="54" max="54" width="10.5"/>
    <col customWidth="1" min="55" max="55" width="9.63"/>
    <col customWidth="1" min="56" max="56" width="8.75"/>
    <col customWidth="1" min="57" max="57" width="12.5"/>
    <col customWidth="1" min="58" max="59" width="7.0"/>
    <col customWidth="1" min="60" max="60" width="5.63"/>
    <col customWidth="1" min="61" max="61" width="6.63"/>
    <col customWidth="1" min="62" max="62" width="7.63"/>
    <col customWidth="1" min="63" max="63" width="8.5"/>
    <col customWidth="1" min="64" max="64" width="9.5"/>
    <col customWidth="1" min="65" max="65" width="10.5"/>
    <col customWidth="1" min="66" max="66" width="9.63"/>
    <col customWidth="1" min="67" max="67" width="8.75"/>
  </cols>
  <sheetData>
    <row r="1">
      <c r="A1" s="253" t="str">
        <f>IFERROR(__xludf.DUMMYFUNCTION("IMPORTRANGE(""https://docs.google.com/spreadsheets/d/1tAaChe98Zh7vhMfGMK5Y4_ijmNb40fr519GtdZkkDUY/edit?gid=889896918#gid=889896918"",""必殺ワザレギュ_グレード差分(全範囲一覧)!A:BO"")"),"")</f>
        <v/>
      </c>
      <c r="B1" s="253"/>
      <c r="C1" s="253"/>
      <c r="D1" s="253"/>
      <c r="E1" s="254"/>
      <c r="F1" s="254"/>
      <c r="G1" s="253"/>
      <c r="H1" s="254"/>
      <c r="I1" s="254"/>
      <c r="J1" s="254"/>
      <c r="K1" s="254"/>
      <c r="L1" s="254"/>
      <c r="M1" s="255"/>
      <c r="N1" s="255"/>
      <c r="O1" s="255"/>
      <c r="P1" s="254"/>
      <c r="Q1" s="254"/>
      <c r="R1" s="254"/>
      <c r="S1" s="254"/>
      <c r="T1" s="254"/>
      <c r="U1" s="254"/>
      <c r="V1" s="254"/>
      <c r="W1" s="254"/>
      <c r="X1" s="255"/>
      <c r="Y1" s="255"/>
      <c r="Z1" s="255"/>
      <c r="AA1" s="254"/>
      <c r="AB1" s="254"/>
      <c r="AC1" s="254"/>
      <c r="AD1" s="254"/>
      <c r="AE1" s="254"/>
      <c r="AF1" s="254"/>
      <c r="AG1" s="254"/>
      <c r="AH1" s="254"/>
      <c r="AI1" s="255"/>
      <c r="AJ1" s="255"/>
      <c r="AK1" s="255"/>
      <c r="AL1" s="254"/>
      <c r="AM1" s="254"/>
      <c r="AN1" s="254"/>
      <c r="AO1" s="254"/>
      <c r="AP1" s="254"/>
      <c r="AQ1" s="254"/>
      <c r="AR1" s="254"/>
      <c r="AS1" s="254"/>
      <c r="AT1" s="255"/>
      <c r="AU1" s="255"/>
      <c r="AV1" s="255"/>
      <c r="AW1" s="254"/>
      <c r="AX1" s="254"/>
      <c r="AY1" s="254"/>
      <c r="AZ1" s="254"/>
      <c r="BA1" s="254"/>
      <c r="BB1" s="254"/>
      <c r="BC1" s="254"/>
      <c r="BD1" s="254"/>
      <c r="BE1" s="255"/>
      <c r="BF1" s="255"/>
      <c r="BG1" s="255"/>
      <c r="BH1" s="254"/>
      <c r="BI1" s="254"/>
      <c r="BJ1" s="254"/>
      <c r="BK1" s="254"/>
      <c r="BL1" s="254"/>
      <c r="BM1" s="254"/>
      <c r="BN1" s="254"/>
      <c r="BO1" s="254"/>
    </row>
    <row r="2">
      <c r="A2" s="253"/>
      <c r="B2" s="253"/>
      <c r="C2" s="253"/>
      <c r="D2" s="253"/>
      <c r="E2" s="254"/>
      <c r="F2" s="253"/>
      <c r="G2" s="253"/>
      <c r="H2" s="254"/>
      <c r="I2" s="254"/>
      <c r="J2" s="254"/>
      <c r="K2" s="254"/>
      <c r="L2" s="254"/>
      <c r="M2" s="255"/>
      <c r="N2" s="255"/>
      <c r="O2" s="255"/>
      <c r="P2" s="254"/>
      <c r="Q2" s="254"/>
      <c r="R2" s="254"/>
      <c r="S2" s="254"/>
      <c r="T2" s="254"/>
      <c r="U2" s="254"/>
      <c r="V2" s="254"/>
      <c r="W2" s="254"/>
      <c r="X2" s="255"/>
      <c r="Y2" s="255"/>
      <c r="Z2" s="255"/>
      <c r="AA2" s="254"/>
      <c r="AB2" s="254"/>
      <c r="AC2" s="254"/>
      <c r="AD2" s="254"/>
      <c r="AE2" s="254"/>
      <c r="AF2" s="254"/>
      <c r="AG2" s="254"/>
      <c r="AH2" s="254"/>
      <c r="AI2" s="255"/>
      <c r="AJ2" s="255"/>
      <c r="AK2" s="255"/>
      <c r="AL2" s="254"/>
      <c r="AM2" s="254"/>
      <c r="AN2" s="254"/>
      <c r="AO2" s="254"/>
      <c r="AP2" s="254"/>
      <c r="AQ2" s="254"/>
      <c r="AR2" s="254"/>
      <c r="AS2" s="254"/>
      <c r="AT2" s="255"/>
      <c r="AU2" s="255"/>
      <c r="AV2" s="255"/>
      <c r="AW2" s="254"/>
      <c r="AX2" s="254"/>
      <c r="AY2" s="254"/>
      <c r="AZ2" s="254"/>
      <c r="BA2" s="254"/>
      <c r="BB2" s="254"/>
      <c r="BC2" s="254"/>
      <c r="BD2" s="254"/>
      <c r="BE2" s="255"/>
      <c r="BF2" s="255"/>
      <c r="BG2" s="255"/>
      <c r="BH2" s="254"/>
      <c r="BI2" s="254"/>
      <c r="BJ2" s="254"/>
      <c r="BK2" s="254"/>
      <c r="BL2" s="254"/>
      <c r="BM2" s="254"/>
      <c r="BN2" s="254"/>
      <c r="BO2" s="254"/>
    </row>
    <row r="3">
      <c r="A3" s="253"/>
      <c r="B3" s="253"/>
      <c r="C3" s="253"/>
      <c r="D3" s="253"/>
      <c r="E3" s="254"/>
      <c r="F3" s="253"/>
      <c r="G3" s="253"/>
      <c r="H3" s="254"/>
      <c r="I3" s="254"/>
      <c r="J3" s="254"/>
      <c r="K3" s="254"/>
      <c r="L3" s="254"/>
      <c r="M3" s="255"/>
      <c r="N3" s="255"/>
      <c r="O3" s="255"/>
      <c r="P3" s="254"/>
      <c r="Q3" s="254"/>
      <c r="R3" s="254"/>
      <c r="S3" s="254"/>
      <c r="T3" s="254"/>
      <c r="U3" s="254"/>
      <c r="V3" s="254"/>
      <c r="W3" s="254"/>
      <c r="X3" s="255"/>
      <c r="Y3" s="255"/>
      <c r="Z3" s="255"/>
      <c r="AA3" s="254"/>
      <c r="AB3" s="254"/>
      <c r="AC3" s="254"/>
      <c r="AD3" s="254"/>
      <c r="AE3" s="254"/>
      <c r="AF3" s="254"/>
      <c r="AG3" s="254"/>
      <c r="AH3" s="254"/>
      <c r="AI3" s="255"/>
      <c r="AJ3" s="255"/>
      <c r="AK3" s="255"/>
      <c r="AL3" s="254"/>
      <c r="AM3" s="254"/>
      <c r="AN3" s="254"/>
      <c r="AO3" s="254"/>
      <c r="AP3" s="254"/>
      <c r="AQ3" s="254"/>
      <c r="AR3" s="254"/>
      <c r="AS3" s="254"/>
      <c r="AT3" s="255"/>
      <c r="AU3" s="255"/>
      <c r="AV3" s="255"/>
      <c r="AW3" s="254"/>
      <c r="AX3" s="254"/>
      <c r="AY3" s="254"/>
      <c r="AZ3" s="254"/>
      <c r="BA3" s="254"/>
      <c r="BB3" s="254"/>
      <c r="BC3" s="254"/>
      <c r="BD3" s="254"/>
      <c r="BE3" s="255"/>
      <c r="BF3" s="255"/>
      <c r="BG3" s="255"/>
      <c r="BH3" s="254"/>
      <c r="BI3" s="254"/>
      <c r="BJ3" s="254"/>
      <c r="BK3" s="254"/>
      <c r="BL3" s="254"/>
      <c r="BM3" s="254"/>
      <c r="BN3" s="254"/>
      <c r="BO3" s="254"/>
    </row>
    <row r="4">
      <c r="A4" s="253"/>
      <c r="B4" s="253"/>
      <c r="C4" s="253"/>
      <c r="D4" s="255"/>
      <c r="E4" s="254"/>
      <c r="F4" s="254"/>
      <c r="G4" s="254"/>
      <c r="H4" s="254"/>
      <c r="I4" s="254"/>
      <c r="J4" s="254"/>
      <c r="K4" s="254"/>
      <c r="L4" s="254"/>
      <c r="M4" s="255"/>
      <c r="N4" s="255"/>
      <c r="O4" s="255"/>
      <c r="P4" s="254"/>
      <c r="Q4" s="254"/>
      <c r="R4" s="254"/>
      <c r="S4" s="254"/>
      <c r="T4" s="254"/>
      <c r="U4" s="254"/>
      <c r="V4" s="254"/>
      <c r="W4" s="254"/>
      <c r="X4" s="255"/>
      <c r="Y4" s="255"/>
      <c r="Z4" s="255"/>
      <c r="AA4" s="254"/>
      <c r="AB4" s="254"/>
      <c r="AC4" s="254"/>
      <c r="AD4" s="254"/>
      <c r="AE4" s="254"/>
      <c r="AF4" s="254"/>
      <c r="AG4" s="254"/>
      <c r="AH4" s="254"/>
      <c r="AI4" s="255"/>
      <c r="AJ4" s="255"/>
      <c r="AK4" s="255"/>
      <c r="AL4" s="254"/>
      <c r="AM4" s="254"/>
      <c r="AN4" s="254"/>
      <c r="AO4" s="254"/>
      <c r="AP4" s="254"/>
      <c r="AQ4" s="254"/>
      <c r="AR4" s="254"/>
      <c r="AS4" s="254"/>
      <c r="AT4" s="255"/>
      <c r="AU4" s="255"/>
      <c r="AV4" s="255"/>
      <c r="AW4" s="254"/>
      <c r="AX4" s="254"/>
      <c r="AY4" s="254"/>
      <c r="AZ4" s="254"/>
      <c r="BA4" s="254"/>
      <c r="BB4" s="254"/>
      <c r="BC4" s="254"/>
      <c r="BD4" s="254"/>
      <c r="BE4" s="255"/>
      <c r="BF4" s="255"/>
      <c r="BG4" s="255"/>
      <c r="BH4" s="254"/>
      <c r="BI4" s="254"/>
      <c r="BJ4" s="254"/>
      <c r="BK4" s="254"/>
      <c r="BL4" s="254"/>
      <c r="BM4" s="254"/>
      <c r="BN4" s="254"/>
      <c r="BO4" s="254"/>
    </row>
    <row r="5">
      <c r="A5" s="253"/>
      <c r="B5" s="253"/>
      <c r="C5" s="253"/>
      <c r="D5" s="255"/>
      <c r="E5" s="254"/>
      <c r="F5" s="254"/>
      <c r="G5" s="255"/>
      <c r="H5" s="254"/>
      <c r="I5" s="254"/>
      <c r="J5" s="254"/>
      <c r="K5" s="254"/>
      <c r="L5" s="254"/>
      <c r="M5" s="255"/>
      <c r="N5" s="255"/>
      <c r="O5" s="255"/>
      <c r="P5" s="254"/>
      <c r="Q5" s="254"/>
      <c r="R5" s="254"/>
      <c r="S5" s="254"/>
      <c r="T5" s="254"/>
      <c r="U5" s="254"/>
      <c r="V5" s="254"/>
      <c r="W5" s="254"/>
      <c r="X5" s="255"/>
      <c r="Y5" s="255"/>
      <c r="Z5" s="255"/>
      <c r="AA5" s="254"/>
      <c r="AB5" s="254"/>
      <c r="AC5" s="254"/>
      <c r="AD5" s="254"/>
      <c r="AE5" s="254"/>
      <c r="AF5" s="254"/>
      <c r="AG5" s="254"/>
      <c r="AH5" s="254"/>
      <c r="AI5" s="255"/>
      <c r="AJ5" s="255"/>
      <c r="AK5" s="255"/>
      <c r="AL5" s="254"/>
      <c r="AM5" s="254"/>
      <c r="AN5" s="254"/>
      <c r="AO5" s="254"/>
      <c r="AP5" s="254"/>
      <c r="AQ5" s="254"/>
      <c r="AR5" s="254"/>
      <c r="AS5" s="254"/>
      <c r="AT5" s="255"/>
      <c r="AU5" s="255"/>
      <c r="AV5" s="255"/>
      <c r="AW5" s="254"/>
      <c r="AX5" s="254"/>
      <c r="AY5" s="254"/>
      <c r="AZ5" s="254"/>
      <c r="BA5" s="254"/>
      <c r="BB5" s="254"/>
      <c r="BC5" s="254"/>
      <c r="BD5" s="254"/>
      <c r="BE5" s="255"/>
      <c r="BF5" s="255"/>
      <c r="BG5" s="255"/>
      <c r="BH5" s="254"/>
      <c r="BI5" s="254"/>
      <c r="BJ5" s="254"/>
      <c r="BK5" s="254"/>
      <c r="BL5" s="254"/>
      <c r="BM5" s="254"/>
      <c r="BN5" s="254"/>
      <c r="BO5" s="254"/>
    </row>
    <row r="6">
      <c r="A6" s="253"/>
      <c r="B6" s="253"/>
      <c r="C6" s="253"/>
      <c r="D6" s="255"/>
      <c r="E6" s="254"/>
      <c r="F6" s="254"/>
      <c r="G6" s="255"/>
      <c r="H6" s="254"/>
      <c r="I6" s="254"/>
      <c r="J6" s="254"/>
      <c r="K6" s="254"/>
      <c r="L6" s="254"/>
      <c r="M6" s="255"/>
      <c r="N6" s="255"/>
      <c r="O6" s="255"/>
      <c r="P6" s="254"/>
      <c r="Q6" s="254"/>
      <c r="R6" s="254"/>
      <c r="S6" s="254"/>
      <c r="T6" s="254"/>
      <c r="U6" s="254"/>
      <c r="V6" s="254"/>
      <c r="W6" s="254"/>
      <c r="X6" s="255"/>
      <c r="Y6" s="255"/>
      <c r="Z6" s="255"/>
      <c r="AA6" s="254"/>
      <c r="AB6" s="254"/>
      <c r="AC6" s="254"/>
      <c r="AD6" s="254"/>
      <c r="AE6" s="254"/>
      <c r="AF6" s="254"/>
      <c r="AG6" s="254"/>
      <c r="AH6" s="254"/>
      <c r="AI6" s="255"/>
      <c r="AJ6" s="255"/>
      <c r="AK6" s="255"/>
      <c r="AL6" s="254"/>
      <c r="AM6" s="254"/>
      <c r="AN6" s="254"/>
      <c r="AO6" s="254"/>
      <c r="AP6" s="254"/>
      <c r="AQ6" s="254"/>
      <c r="AR6" s="254"/>
      <c r="AS6" s="254"/>
      <c r="AT6" s="255"/>
      <c r="AU6" s="255"/>
      <c r="AV6" s="255"/>
      <c r="AW6" s="254"/>
      <c r="AX6" s="254"/>
      <c r="AY6" s="254"/>
      <c r="AZ6" s="254"/>
      <c r="BA6" s="254"/>
      <c r="BB6" s="254"/>
      <c r="BC6" s="254"/>
      <c r="BD6" s="254"/>
      <c r="BE6" s="255"/>
      <c r="BF6" s="255"/>
      <c r="BG6" s="255"/>
      <c r="BH6" s="254"/>
      <c r="BI6" s="254"/>
      <c r="BJ6" s="254"/>
      <c r="BK6" s="254"/>
      <c r="BL6" s="254"/>
      <c r="BM6" s="254"/>
      <c r="BN6" s="254"/>
      <c r="BO6" s="254"/>
    </row>
    <row r="7">
      <c r="A7" s="255" t="str">
        <f>IFERROR(__xludf.DUMMYFUNCTION("""COMPUTED_VALUE"""),"グレード倍率")</f>
        <v>グレード倍率</v>
      </c>
      <c r="B7" s="255"/>
      <c r="C7" s="255"/>
      <c r="D7" s="255"/>
      <c r="E7" s="254"/>
      <c r="F7" s="254"/>
      <c r="G7" s="254"/>
      <c r="H7" s="254"/>
      <c r="I7" s="254"/>
      <c r="J7" s="254"/>
      <c r="K7" s="254"/>
      <c r="L7" s="254"/>
      <c r="M7" s="255"/>
      <c r="N7" s="255"/>
      <c r="O7" s="255"/>
      <c r="P7" s="254"/>
      <c r="Q7" s="254"/>
      <c r="R7" s="254"/>
      <c r="S7" s="254"/>
      <c r="T7" s="254"/>
      <c r="U7" s="254"/>
      <c r="V7" s="254"/>
      <c r="W7" s="254"/>
      <c r="X7" s="255"/>
      <c r="Y7" s="255"/>
      <c r="Z7" s="255"/>
      <c r="AA7" s="254"/>
      <c r="AB7" s="254"/>
      <c r="AC7" s="254"/>
      <c r="AD7" s="254"/>
      <c r="AE7" s="254"/>
      <c r="AF7" s="254"/>
      <c r="AG7" s="254"/>
      <c r="AH7" s="254"/>
      <c r="AI7" s="255"/>
      <c r="AJ7" s="255"/>
      <c r="AK7" s="255"/>
      <c r="AL7" s="254"/>
      <c r="AM7" s="254"/>
      <c r="AN7" s="254"/>
      <c r="AO7" s="254"/>
      <c r="AP7" s="254"/>
      <c r="AQ7" s="254"/>
      <c r="AR7" s="254"/>
      <c r="AS7" s="254"/>
      <c r="AT7" s="255"/>
      <c r="AU7" s="255"/>
      <c r="AV7" s="255"/>
      <c r="AW7" s="254"/>
      <c r="AX7" s="254"/>
      <c r="AY7" s="254"/>
      <c r="AZ7" s="254"/>
      <c r="BA7" s="254"/>
      <c r="BB7" s="254"/>
      <c r="BC7" s="254"/>
      <c r="BD7" s="254"/>
      <c r="BE7" s="255"/>
      <c r="BF7" s="255"/>
      <c r="BG7" s="255"/>
      <c r="BH7" s="254"/>
      <c r="BI7" s="254"/>
      <c r="BJ7" s="254"/>
      <c r="BK7" s="254"/>
      <c r="BL7" s="254"/>
      <c r="BM7" s="254"/>
      <c r="BN7" s="254"/>
      <c r="BO7" s="254"/>
    </row>
    <row r="8">
      <c r="A8" s="256" t="str">
        <f>IFERROR(__xludf.DUMMYFUNCTION("""COMPUTED_VALUE"""),"必殺ワザ")</f>
        <v>必殺ワザ</v>
      </c>
      <c r="B8" s="257" t="str">
        <f>IFERROR(__xludf.DUMMYFUNCTION("""COMPUTED_VALUE"""),"攻撃範囲")</f>
        <v>攻撃範囲</v>
      </c>
      <c r="C8" s="257" t="str">
        <f>IFERROR(__xludf.DUMMYFUNCTION("""COMPUTED_VALUE"""),"グレード")</f>
        <v>グレード</v>
      </c>
      <c r="D8" s="257" t="str">
        <f>IFERROR(__xludf.DUMMYFUNCTION("""COMPUTED_VALUE"""),"効果種別")</f>
        <v>効果種別</v>
      </c>
      <c r="E8" s="258" t="str">
        <f>IFERROR(__xludf.DUMMYFUNCTION("""COMPUTED_VALUE"""),"DropR")</f>
        <v>DropR</v>
      </c>
      <c r="F8" s="258" t="str">
        <f>IFERROR(__xludf.DUMMYFUNCTION("""COMPUTED_VALUE"""),"DropSR")</f>
        <v>DropSR</v>
      </c>
      <c r="G8" s="258" t="str">
        <f>IFERROR(__xludf.DUMMYFUNCTION("""COMPUTED_VALUE"""),"DropSSR")</f>
        <v>DropSSR</v>
      </c>
      <c r="H8" s="258" t="str">
        <f>IFERROR(__xludf.DUMMYFUNCTION("""COMPUTED_VALUE"""),"PremiumR")</f>
        <v>PremiumR</v>
      </c>
      <c r="I8" s="258" t="str">
        <f>IFERROR(__xludf.DUMMYFUNCTION("""COMPUTED_VALUE"""),"PremiumSR")</f>
        <v>PremiumSR</v>
      </c>
      <c r="J8" s="258" t="str">
        <f>IFERROR(__xludf.DUMMYFUNCTION("""COMPUTED_VALUE"""),"PremiumSSR")</f>
        <v>PremiumSSR</v>
      </c>
      <c r="K8" s="258" t="str">
        <f>IFERROR(__xludf.DUMMYFUNCTION("""COMPUTED_VALUE"""),"PremiumUR")</f>
        <v>PremiumUR</v>
      </c>
      <c r="L8" s="258" t="str">
        <f>IFERROR(__xludf.DUMMYFUNCTION("""COMPUTED_VALUE"""),"FestivalUR")</f>
        <v>FestivalUR</v>
      </c>
      <c r="M8" s="257" t="str">
        <f>IFERROR(__xludf.DUMMYFUNCTION("""COMPUTED_VALUE"""),"攻撃範囲")</f>
        <v>攻撃範囲</v>
      </c>
      <c r="N8" s="257" t="str">
        <f>IFERROR(__xludf.DUMMYFUNCTION("""COMPUTED_VALUE"""),"グレード")</f>
        <v>グレード</v>
      </c>
      <c r="O8" s="257" t="str">
        <f>IFERROR(__xludf.DUMMYFUNCTION("""COMPUTED_VALUE"""),"効果種別")</f>
        <v>効果種別</v>
      </c>
      <c r="P8" s="258" t="str">
        <f>IFERROR(__xludf.DUMMYFUNCTION("""COMPUTED_VALUE"""),"DropR")</f>
        <v>DropR</v>
      </c>
      <c r="Q8" s="258" t="str">
        <f>IFERROR(__xludf.DUMMYFUNCTION("""COMPUTED_VALUE"""),"DropSR")</f>
        <v>DropSR</v>
      </c>
      <c r="R8" s="258" t="str">
        <f>IFERROR(__xludf.DUMMYFUNCTION("""COMPUTED_VALUE"""),"DropSSR")</f>
        <v>DropSSR</v>
      </c>
      <c r="S8" s="258" t="str">
        <f>IFERROR(__xludf.DUMMYFUNCTION("""COMPUTED_VALUE"""),"PremiumR")</f>
        <v>PremiumR</v>
      </c>
      <c r="T8" s="258" t="str">
        <f>IFERROR(__xludf.DUMMYFUNCTION("""COMPUTED_VALUE"""),"PremiumSR")</f>
        <v>PremiumSR</v>
      </c>
      <c r="U8" s="258" t="str">
        <f>IFERROR(__xludf.DUMMYFUNCTION("""COMPUTED_VALUE"""),"PremiumSSR")</f>
        <v>PremiumSSR</v>
      </c>
      <c r="V8" s="258" t="str">
        <f>IFERROR(__xludf.DUMMYFUNCTION("""COMPUTED_VALUE"""),"PremiumUR")</f>
        <v>PremiumUR</v>
      </c>
      <c r="W8" s="258" t="str">
        <f>IFERROR(__xludf.DUMMYFUNCTION("""COMPUTED_VALUE"""),"FestivalUR")</f>
        <v>FestivalUR</v>
      </c>
      <c r="X8" s="257" t="str">
        <f>IFERROR(__xludf.DUMMYFUNCTION("""COMPUTED_VALUE"""),"攻撃範囲")</f>
        <v>攻撃範囲</v>
      </c>
      <c r="Y8" s="257" t="str">
        <f>IFERROR(__xludf.DUMMYFUNCTION("""COMPUTED_VALUE"""),"グレード")</f>
        <v>グレード</v>
      </c>
      <c r="Z8" s="257" t="str">
        <f>IFERROR(__xludf.DUMMYFUNCTION("""COMPUTED_VALUE"""),"効果種別")</f>
        <v>効果種別</v>
      </c>
      <c r="AA8" s="258" t="str">
        <f>IFERROR(__xludf.DUMMYFUNCTION("""COMPUTED_VALUE"""),"DropR")</f>
        <v>DropR</v>
      </c>
      <c r="AB8" s="258" t="str">
        <f>IFERROR(__xludf.DUMMYFUNCTION("""COMPUTED_VALUE"""),"DropSR")</f>
        <v>DropSR</v>
      </c>
      <c r="AC8" s="258" t="str">
        <f>IFERROR(__xludf.DUMMYFUNCTION("""COMPUTED_VALUE"""),"DropSSR")</f>
        <v>DropSSR</v>
      </c>
      <c r="AD8" s="258" t="str">
        <f>IFERROR(__xludf.DUMMYFUNCTION("""COMPUTED_VALUE"""),"PremiumR")</f>
        <v>PremiumR</v>
      </c>
      <c r="AE8" s="258" t="str">
        <f>IFERROR(__xludf.DUMMYFUNCTION("""COMPUTED_VALUE"""),"PremiumSR")</f>
        <v>PremiumSR</v>
      </c>
      <c r="AF8" s="258" t="str">
        <f>IFERROR(__xludf.DUMMYFUNCTION("""COMPUTED_VALUE"""),"PremiumSSR")</f>
        <v>PremiumSSR</v>
      </c>
      <c r="AG8" s="258" t="str">
        <f>IFERROR(__xludf.DUMMYFUNCTION("""COMPUTED_VALUE"""),"PremiumUR")</f>
        <v>PremiumUR</v>
      </c>
      <c r="AH8" s="258" t="str">
        <f>IFERROR(__xludf.DUMMYFUNCTION("""COMPUTED_VALUE"""),"FestivalUR")</f>
        <v>FestivalUR</v>
      </c>
      <c r="AI8" s="257" t="str">
        <f>IFERROR(__xludf.DUMMYFUNCTION("""COMPUTED_VALUE"""),"攻撃範囲")</f>
        <v>攻撃範囲</v>
      </c>
      <c r="AJ8" s="257" t="str">
        <f>IFERROR(__xludf.DUMMYFUNCTION("""COMPUTED_VALUE"""),"グレード")</f>
        <v>グレード</v>
      </c>
      <c r="AK8" s="257" t="str">
        <f>IFERROR(__xludf.DUMMYFUNCTION("""COMPUTED_VALUE"""),"効果種別")</f>
        <v>効果種別</v>
      </c>
      <c r="AL8" s="258" t="str">
        <f>IFERROR(__xludf.DUMMYFUNCTION("""COMPUTED_VALUE"""),"DropR")</f>
        <v>DropR</v>
      </c>
      <c r="AM8" s="258" t="str">
        <f>IFERROR(__xludf.DUMMYFUNCTION("""COMPUTED_VALUE"""),"DropSR")</f>
        <v>DropSR</v>
      </c>
      <c r="AN8" s="258" t="str">
        <f>IFERROR(__xludf.DUMMYFUNCTION("""COMPUTED_VALUE"""),"DropSSR")</f>
        <v>DropSSR</v>
      </c>
      <c r="AO8" s="258" t="str">
        <f>IFERROR(__xludf.DUMMYFUNCTION("""COMPUTED_VALUE"""),"PremiumR")</f>
        <v>PremiumR</v>
      </c>
      <c r="AP8" s="258" t="str">
        <f>IFERROR(__xludf.DUMMYFUNCTION("""COMPUTED_VALUE"""),"PremiumSR")</f>
        <v>PremiumSR</v>
      </c>
      <c r="AQ8" s="258" t="str">
        <f>IFERROR(__xludf.DUMMYFUNCTION("""COMPUTED_VALUE"""),"PremiumSSR")</f>
        <v>PremiumSSR</v>
      </c>
      <c r="AR8" s="258" t="str">
        <f>IFERROR(__xludf.DUMMYFUNCTION("""COMPUTED_VALUE"""),"PremiumUR")</f>
        <v>PremiumUR</v>
      </c>
      <c r="AS8" s="258" t="str">
        <f>IFERROR(__xludf.DUMMYFUNCTION("""COMPUTED_VALUE"""),"FestivalUR")</f>
        <v>FestivalUR</v>
      </c>
      <c r="AT8" s="257" t="str">
        <f>IFERROR(__xludf.DUMMYFUNCTION("""COMPUTED_VALUE"""),"攻撃範囲")</f>
        <v>攻撃範囲</v>
      </c>
      <c r="AU8" s="257" t="str">
        <f>IFERROR(__xludf.DUMMYFUNCTION("""COMPUTED_VALUE"""),"グレード")</f>
        <v>グレード</v>
      </c>
      <c r="AV8" s="257" t="str">
        <f>IFERROR(__xludf.DUMMYFUNCTION("""COMPUTED_VALUE"""),"効果種別")</f>
        <v>効果種別</v>
      </c>
      <c r="AW8" s="258" t="str">
        <f>IFERROR(__xludf.DUMMYFUNCTION("""COMPUTED_VALUE"""),"DropR")</f>
        <v>DropR</v>
      </c>
      <c r="AX8" s="258" t="str">
        <f>IFERROR(__xludf.DUMMYFUNCTION("""COMPUTED_VALUE"""),"DropSR")</f>
        <v>DropSR</v>
      </c>
      <c r="AY8" s="258" t="str">
        <f>IFERROR(__xludf.DUMMYFUNCTION("""COMPUTED_VALUE"""),"DropSSR")</f>
        <v>DropSSR</v>
      </c>
      <c r="AZ8" s="258" t="str">
        <f>IFERROR(__xludf.DUMMYFUNCTION("""COMPUTED_VALUE"""),"PremiumR")</f>
        <v>PremiumR</v>
      </c>
      <c r="BA8" s="258" t="str">
        <f>IFERROR(__xludf.DUMMYFUNCTION("""COMPUTED_VALUE"""),"PremiumSR")</f>
        <v>PremiumSR</v>
      </c>
      <c r="BB8" s="258" t="str">
        <f>IFERROR(__xludf.DUMMYFUNCTION("""COMPUTED_VALUE"""),"PremiumSSR")</f>
        <v>PremiumSSR</v>
      </c>
      <c r="BC8" s="258" t="str">
        <f>IFERROR(__xludf.DUMMYFUNCTION("""COMPUTED_VALUE"""),"PremiumUR")</f>
        <v>PremiumUR</v>
      </c>
      <c r="BD8" s="258" t="str">
        <f>IFERROR(__xludf.DUMMYFUNCTION("""COMPUTED_VALUE"""),"FestivalUR")</f>
        <v>FestivalUR</v>
      </c>
      <c r="BE8" s="257" t="str">
        <f>IFERROR(__xludf.DUMMYFUNCTION("""COMPUTED_VALUE"""),"攻撃範囲")</f>
        <v>攻撃範囲</v>
      </c>
      <c r="BF8" s="257" t="str">
        <f>IFERROR(__xludf.DUMMYFUNCTION("""COMPUTED_VALUE"""),"グレード")</f>
        <v>グレード</v>
      </c>
      <c r="BG8" s="257" t="str">
        <f>IFERROR(__xludf.DUMMYFUNCTION("""COMPUTED_VALUE"""),"効果種別")</f>
        <v>効果種別</v>
      </c>
      <c r="BH8" s="258" t="str">
        <f>IFERROR(__xludf.DUMMYFUNCTION("""COMPUTED_VALUE"""),"DropR")</f>
        <v>DropR</v>
      </c>
      <c r="BI8" s="258" t="str">
        <f>IFERROR(__xludf.DUMMYFUNCTION("""COMPUTED_VALUE"""),"DropSR")</f>
        <v>DropSR</v>
      </c>
      <c r="BJ8" s="258" t="str">
        <f>IFERROR(__xludf.DUMMYFUNCTION("""COMPUTED_VALUE"""),"DropSSR")</f>
        <v>DropSSR</v>
      </c>
      <c r="BK8" s="258" t="str">
        <f>IFERROR(__xludf.DUMMYFUNCTION("""COMPUTED_VALUE"""),"PremiumR")</f>
        <v>PremiumR</v>
      </c>
      <c r="BL8" s="258" t="str">
        <f>IFERROR(__xludf.DUMMYFUNCTION("""COMPUTED_VALUE"""),"PremiumSR")</f>
        <v>PremiumSR</v>
      </c>
      <c r="BM8" s="258" t="str">
        <f>IFERROR(__xludf.DUMMYFUNCTION("""COMPUTED_VALUE"""),"PremiumSSR")</f>
        <v>PremiumSSR</v>
      </c>
      <c r="BN8" s="258" t="str">
        <f>IFERROR(__xludf.DUMMYFUNCTION("""COMPUTED_VALUE"""),"PremiumUR")</f>
        <v>PremiumUR</v>
      </c>
      <c r="BO8" s="258" t="str">
        <f>IFERROR(__xludf.DUMMYFUNCTION("""COMPUTED_VALUE"""),"FestivalUR")</f>
        <v>FestivalUR</v>
      </c>
    </row>
    <row r="9">
      <c r="A9" s="259" t="str">
        <f>IFERROR(__xludf.DUMMYFUNCTION("""COMPUTED_VALUE"""),"攻撃(必殺)")</f>
        <v>攻撃(必殺)</v>
      </c>
      <c r="B9" s="260" t="str">
        <f>IFERROR(__xludf.DUMMYFUNCTION("""COMPUTED_VALUE"""),"単体")</f>
        <v>単体</v>
      </c>
      <c r="C9" s="261">
        <f>IFERROR(__xludf.DUMMYFUNCTION("""COMPUTED_VALUE"""),1.0)</f>
        <v>1</v>
      </c>
      <c r="D9" s="262" t="str">
        <f>IFERROR(__xludf.DUMMYFUNCTION("""COMPUTED_VALUE"""),"効果値")</f>
        <v>効果値</v>
      </c>
      <c r="E9" s="263">
        <f>IFERROR(__xludf.DUMMYFUNCTION("""COMPUTED_VALUE"""),105.0)</f>
        <v>105</v>
      </c>
      <c r="F9" s="264">
        <f>IFERROR(__xludf.DUMMYFUNCTION("""COMPUTED_VALUE"""),109.0)</f>
        <v>109</v>
      </c>
      <c r="G9" s="265">
        <f>IFERROR(__xludf.DUMMYFUNCTION("""COMPUTED_VALUE"""),113.0)</f>
        <v>113</v>
      </c>
      <c r="H9" s="265">
        <f>IFERROR(__xludf.DUMMYFUNCTION("""COMPUTED_VALUE"""),116.0)</f>
        <v>116</v>
      </c>
      <c r="I9" s="265">
        <f>IFERROR(__xludf.DUMMYFUNCTION("""COMPUTED_VALUE"""),120.0)</f>
        <v>120</v>
      </c>
      <c r="J9" s="265">
        <f>IFERROR(__xludf.DUMMYFUNCTION("""COMPUTED_VALUE"""),130.0)</f>
        <v>130</v>
      </c>
      <c r="K9" s="265">
        <f>IFERROR(__xludf.DUMMYFUNCTION("""COMPUTED_VALUE"""),150.0)</f>
        <v>150</v>
      </c>
      <c r="L9" s="266">
        <f>IFERROR(__xludf.DUMMYFUNCTION("""COMPUTED_VALUE"""),150.0)</f>
        <v>150</v>
      </c>
      <c r="M9" s="267" t="str">
        <f>IFERROR(__xludf.DUMMYFUNCTION("""COMPUTED_VALUE"""),"範囲(小)")</f>
        <v>範囲(小)</v>
      </c>
      <c r="N9" s="261">
        <f>IFERROR(__xludf.DUMMYFUNCTION("""COMPUTED_VALUE"""),1.0)</f>
        <v>1</v>
      </c>
      <c r="O9" s="262" t="str">
        <f>IFERROR(__xludf.DUMMYFUNCTION("""COMPUTED_VALUE"""),"効果値")</f>
        <v>効果値</v>
      </c>
      <c r="P9" s="268">
        <f>IFERROR(__xludf.DUMMYFUNCTION("""COMPUTED_VALUE"""),79.0)</f>
        <v>79</v>
      </c>
      <c r="Q9" s="268">
        <f>IFERROR(__xludf.DUMMYFUNCTION("""COMPUTED_VALUE"""),82.0)</f>
        <v>82</v>
      </c>
      <c r="R9" s="268">
        <f>IFERROR(__xludf.DUMMYFUNCTION("""COMPUTED_VALUE"""),84.0)</f>
        <v>84</v>
      </c>
      <c r="S9" s="268">
        <f>IFERROR(__xludf.DUMMYFUNCTION("""COMPUTED_VALUE"""),87.0)</f>
        <v>87</v>
      </c>
      <c r="T9" s="268">
        <f>IFERROR(__xludf.DUMMYFUNCTION("""COMPUTED_VALUE"""),90.0)</f>
        <v>90</v>
      </c>
      <c r="U9" s="268">
        <f>IFERROR(__xludf.DUMMYFUNCTION("""COMPUTED_VALUE"""),98.0)</f>
        <v>98</v>
      </c>
      <c r="V9" s="268">
        <f>IFERROR(__xludf.DUMMYFUNCTION("""COMPUTED_VALUE"""),113.0)</f>
        <v>113</v>
      </c>
      <c r="W9" s="269">
        <f>IFERROR(__xludf.DUMMYFUNCTION("""COMPUTED_VALUE"""),113.0)</f>
        <v>113</v>
      </c>
      <c r="X9" s="267" t="str">
        <f>IFERROR(__xludf.DUMMYFUNCTION("""COMPUTED_VALUE"""),"範囲(中)")</f>
        <v>範囲(中)</v>
      </c>
      <c r="Y9" s="261">
        <f>IFERROR(__xludf.DUMMYFUNCTION("""COMPUTED_VALUE"""),1.0)</f>
        <v>1</v>
      </c>
      <c r="Z9" s="262" t="str">
        <f>IFERROR(__xludf.DUMMYFUNCTION("""COMPUTED_VALUE"""),"効果値")</f>
        <v>効果値</v>
      </c>
      <c r="AA9" s="268">
        <f>IFERROR(__xludf.DUMMYFUNCTION("""COMPUTED_VALUE"""),68.0)</f>
        <v>68</v>
      </c>
      <c r="AB9" s="268">
        <f>IFERROR(__xludf.DUMMYFUNCTION("""COMPUTED_VALUE"""),71.0)</f>
        <v>71</v>
      </c>
      <c r="AC9" s="268">
        <f>IFERROR(__xludf.DUMMYFUNCTION("""COMPUTED_VALUE"""),73.0)</f>
        <v>73</v>
      </c>
      <c r="AD9" s="268">
        <f>IFERROR(__xludf.DUMMYFUNCTION("""COMPUTED_VALUE"""),76.0)</f>
        <v>76</v>
      </c>
      <c r="AE9" s="268">
        <f>IFERROR(__xludf.DUMMYFUNCTION("""COMPUTED_VALUE"""),78.0)</f>
        <v>78</v>
      </c>
      <c r="AF9" s="268">
        <f>IFERROR(__xludf.DUMMYFUNCTION("""COMPUTED_VALUE"""),85.0)</f>
        <v>85</v>
      </c>
      <c r="AG9" s="268">
        <f>IFERROR(__xludf.DUMMYFUNCTION("""COMPUTED_VALUE"""),98.0)</f>
        <v>98</v>
      </c>
      <c r="AH9" s="269">
        <f>IFERROR(__xludf.DUMMYFUNCTION("""COMPUTED_VALUE"""),98.0)</f>
        <v>98</v>
      </c>
      <c r="AI9" s="267" t="str">
        <f>IFERROR(__xludf.DUMMYFUNCTION("""COMPUTED_VALUE"""),"範囲(大)")</f>
        <v>範囲(大)</v>
      </c>
      <c r="AJ9" s="261">
        <f>IFERROR(__xludf.DUMMYFUNCTION("""COMPUTED_VALUE"""),1.0)</f>
        <v>1</v>
      </c>
      <c r="AK9" s="262" t="str">
        <f>IFERROR(__xludf.DUMMYFUNCTION("""COMPUTED_VALUE"""),"効果値")</f>
        <v>効果値</v>
      </c>
      <c r="AL9" s="268">
        <f>IFERROR(__xludf.DUMMYFUNCTION("""COMPUTED_VALUE"""),58.0)</f>
        <v>58</v>
      </c>
      <c r="AM9" s="268">
        <f>IFERROR(__xludf.DUMMYFUNCTION("""COMPUTED_VALUE"""),60.0)</f>
        <v>60</v>
      </c>
      <c r="AN9" s="268">
        <f>IFERROR(__xludf.DUMMYFUNCTION("""COMPUTED_VALUE"""),62.0)</f>
        <v>62</v>
      </c>
      <c r="AO9" s="268">
        <f>IFERROR(__xludf.DUMMYFUNCTION("""COMPUTED_VALUE"""),64.0)</f>
        <v>64</v>
      </c>
      <c r="AP9" s="268">
        <f>IFERROR(__xludf.DUMMYFUNCTION("""COMPUTED_VALUE"""),66.0)</f>
        <v>66</v>
      </c>
      <c r="AQ9" s="268">
        <f>IFERROR(__xludf.DUMMYFUNCTION("""COMPUTED_VALUE"""),72.0)</f>
        <v>72</v>
      </c>
      <c r="AR9" s="268">
        <f>IFERROR(__xludf.DUMMYFUNCTION("""COMPUTED_VALUE"""),83.0)</f>
        <v>83</v>
      </c>
      <c r="AS9" s="269">
        <f>IFERROR(__xludf.DUMMYFUNCTION("""COMPUTED_VALUE"""),83.0)</f>
        <v>83</v>
      </c>
      <c r="AT9" s="267" t="str">
        <f>IFERROR(__xludf.DUMMYFUNCTION("""COMPUTED_VALUE"""),"範囲(特大)")</f>
        <v>範囲(特大)</v>
      </c>
      <c r="AU9" s="261">
        <f>IFERROR(__xludf.DUMMYFUNCTION("""COMPUTED_VALUE"""),1.0)</f>
        <v>1</v>
      </c>
      <c r="AV9" s="262" t="str">
        <f>IFERROR(__xludf.DUMMYFUNCTION("""COMPUTED_VALUE"""),"効果値")</f>
        <v>効果値</v>
      </c>
      <c r="AW9" s="268">
        <f>IFERROR(__xludf.DUMMYFUNCTION("""COMPUTED_VALUE"""),53.0)</f>
        <v>53</v>
      </c>
      <c r="AX9" s="268">
        <f>IFERROR(__xludf.DUMMYFUNCTION("""COMPUTED_VALUE"""),54.0)</f>
        <v>54</v>
      </c>
      <c r="AY9" s="268">
        <f>IFERROR(__xludf.DUMMYFUNCTION("""COMPUTED_VALUE"""),56.0)</f>
        <v>56</v>
      </c>
      <c r="AZ9" s="268">
        <f>IFERROR(__xludf.DUMMYFUNCTION("""COMPUTED_VALUE"""),58.0)</f>
        <v>58</v>
      </c>
      <c r="BA9" s="268">
        <f>IFERROR(__xludf.DUMMYFUNCTION("""COMPUTED_VALUE"""),60.0)</f>
        <v>60</v>
      </c>
      <c r="BB9" s="268">
        <f>IFERROR(__xludf.DUMMYFUNCTION("""COMPUTED_VALUE"""),65.0)</f>
        <v>65</v>
      </c>
      <c r="BC9" s="268">
        <f>IFERROR(__xludf.DUMMYFUNCTION("""COMPUTED_VALUE"""),75.0)</f>
        <v>75</v>
      </c>
      <c r="BD9" s="269">
        <f>IFERROR(__xludf.DUMMYFUNCTION("""COMPUTED_VALUE"""),75.0)</f>
        <v>75</v>
      </c>
      <c r="BE9" s="270" t="str">
        <f>IFERROR(__xludf.DUMMYFUNCTION("""COMPUTED_VALUE"""),"範囲(小：威力減)")</f>
        <v>範囲(小：威力減)</v>
      </c>
      <c r="BF9" s="261">
        <f>IFERROR(__xludf.DUMMYFUNCTION("""COMPUTED_VALUE"""),1.0)</f>
        <v>1</v>
      </c>
      <c r="BG9" s="262" t="str">
        <f>IFERROR(__xludf.DUMMYFUNCTION("""COMPUTED_VALUE"""),"効果値")</f>
        <v>効果値</v>
      </c>
      <c r="BH9" s="268">
        <f>IFERROR(__xludf.DUMMYFUNCTION("""COMPUTED_VALUE"""),53.0)</f>
        <v>53</v>
      </c>
      <c r="BI9" s="268">
        <f>IFERROR(__xludf.DUMMYFUNCTION("""COMPUTED_VALUE"""),54.0)</f>
        <v>54</v>
      </c>
      <c r="BJ9" s="268">
        <f>IFERROR(__xludf.DUMMYFUNCTION("""COMPUTED_VALUE"""),56.0)</f>
        <v>56</v>
      </c>
      <c r="BK9" s="268">
        <f>IFERROR(__xludf.DUMMYFUNCTION("""COMPUTED_VALUE"""),58.0)</f>
        <v>58</v>
      </c>
      <c r="BL9" s="268">
        <f>IFERROR(__xludf.DUMMYFUNCTION("""COMPUTED_VALUE"""),60.0)</f>
        <v>60</v>
      </c>
      <c r="BM9" s="268">
        <f>IFERROR(__xludf.DUMMYFUNCTION("""COMPUTED_VALUE"""),65.0)</f>
        <v>65</v>
      </c>
      <c r="BN9" s="268">
        <f>IFERROR(__xludf.DUMMYFUNCTION("""COMPUTED_VALUE"""),75.0)</f>
        <v>75</v>
      </c>
      <c r="BO9" s="269">
        <f>IFERROR(__xludf.DUMMYFUNCTION("""COMPUTED_VALUE"""),75.0)</f>
        <v>75</v>
      </c>
    </row>
    <row r="10">
      <c r="A10" s="271" t="str">
        <f>IFERROR(__xludf.DUMMYFUNCTION("""COMPUTED_VALUE"""),"攻撃(必殺)")</f>
        <v>攻撃(必殺)</v>
      </c>
      <c r="B10" s="272" t="str">
        <f>IFERROR(__xludf.DUMMYFUNCTION("""COMPUTED_VALUE"""),"単体")</f>
        <v>単体</v>
      </c>
      <c r="C10" s="273">
        <f>IFERROR(__xludf.DUMMYFUNCTION("""COMPUTED_VALUE"""),2.0)</f>
        <v>2</v>
      </c>
      <c r="D10" s="274" t="str">
        <f>IFERROR(__xludf.DUMMYFUNCTION("""COMPUTED_VALUE"""),"効果値")</f>
        <v>効果値</v>
      </c>
      <c r="E10" s="275">
        <f>IFERROR(__xludf.DUMMYFUNCTION("""COMPUTED_VALUE"""),123.0)</f>
        <v>123</v>
      </c>
      <c r="F10" s="275">
        <f>IFERROR(__xludf.DUMMYFUNCTION("""COMPUTED_VALUE"""),126.0)</f>
        <v>126</v>
      </c>
      <c r="G10" s="275">
        <f>IFERROR(__xludf.DUMMYFUNCTION("""COMPUTED_VALUE"""),129.0)</f>
        <v>129</v>
      </c>
      <c r="H10" s="275">
        <f>IFERROR(__xludf.DUMMYFUNCTION("""COMPUTED_VALUE"""),133.0)</f>
        <v>133</v>
      </c>
      <c r="I10" s="275">
        <f>IFERROR(__xludf.DUMMYFUNCTION("""COMPUTED_VALUE"""),136.0)</f>
        <v>136</v>
      </c>
      <c r="J10" s="275">
        <f>IFERROR(__xludf.DUMMYFUNCTION("""COMPUTED_VALUE"""),150.0)</f>
        <v>150</v>
      </c>
      <c r="K10" s="275">
        <f>IFERROR(__xludf.DUMMYFUNCTION("""COMPUTED_VALUE"""),170.0)</f>
        <v>170</v>
      </c>
      <c r="L10" s="275">
        <f>IFERROR(__xludf.DUMMYFUNCTION("""COMPUTED_VALUE"""),172.0)</f>
        <v>172</v>
      </c>
      <c r="M10" s="276" t="str">
        <f>IFERROR(__xludf.DUMMYFUNCTION("""COMPUTED_VALUE"""),"範囲(小)")</f>
        <v>範囲(小)</v>
      </c>
      <c r="N10" s="273">
        <f>IFERROR(__xludf.DUMMYFUNCTION("""COMPUTED_VALUE"""),2.0)</f>
        <v>2</v>
      </c>
      <c r="O10" s="274" t="str">
        <f>IFERROR(__xludf.DUMMYFUNCTION("""COMPUTED_VALUE"""),"効果値")</f>
        <v>効果値</v>
      </c>
      <c r="P10" s="277">
        <f>IFERROR(__xludf.DUMMYFUNCTION("""COMPUTED_VALUE"""),92.0)</f>
        <v>92</v>
      </c>
      <c r="Q10" s="277">
        <f>IFERROR(__xludf.DUMMYFUNCTION("""COMPUTED_VALUE"""),95.0)</f>
        <v>95</v>
      </c>
      <c r="R10" s="277">
        <f>IFERROR(__xludf.DUMMYFUNCTION("""COMPUTED_VALUE"""),97.0)</f>
        <v>97</v>
      </c>
      <c r="S10" s="277">
        <f>IFERROR(__xludf.DUMMYFUNCTION("""COMPUTED_VALUE"""),100.0)</f>
        <v>100</v>
      </c>
      <c r="T10" s="277">
        <f>IFERROR(__xludf.DUMMYFUNCTION("""COMPUTED_VALUE"""),102.0)</f>
        <v>102</v>
      </c>
      <c r="U10" s="277">
        <f>IFERROR(__xludf.DUMMYFUNCTION("""COMPUTED_VALUE"""),112.0)</f>
        <v>112</v>
      </c>
      <c r="V10" s="277">
        <f>IFERROR(__xludf.DUMMYFUNCTION("""COMPUTED_VALUE"""),127.0)</f>
        <v>127</v>
      </c>
      <c r="W10" s="278">
        <f>IFERROR(__xludf.DUMMYFUNCTION("""COMPUTED_VALUE"""),129.0)</f>
        <v>129</v>
      </c>
      <c r="X10" s="276" t="str">
        <f>IFERROR(__xludf.DUMMYFUNCTION("""COMPUTED_VALUE"""),"範囲(中)")</f>
        <v>範囲(中)</v>
      </c>
      <c r="Y10" s="273">
        <f>IFERROR(__xludf.DUMMYFUNCTION("""COMPUTED_VALUE"""),2.0)</f>
        <v>2</v>
      </c>
      <c r="Z10" s="274" t="str">
        <f>IFERROR(__xludf.DUMMYFUNCTION("""COMPUTED_VALUE"""),"効果値")</f>
        <v>効果値</v>
      </c>
      <c r="AA10" s="277">
        <f>IFERROR(__xludf.DUMMYFUNCTION("""COMPUTED_VALUE"""),80.0)</f>
        <v>80</v>
      </c>
      <c r="AB10" s="277">
        <f>IFERROR(__xludf.DUMMYFUNCTION("""COMPUTED_VALUE"""),82.0)</f>
        <v>82</v>
      </c>
      <c r="AC10" s="277">
        <f>IFERROR(__xludf.DUMMYFUNCTION("""COMPUTED_VALUE"""),84.0)</f>
        <v>84</v>
      </c>
      <c r="AD10" s="277">
        <f>IFERROR(__xludf.DUMMYFUNCTION("""COMPUTED_VALUE"""),86.0)</f>
        <v>86</v>
      </c>
      <c r="AE10" s="277">
        <f>IFERROR(__xludf.DUMMYFUNCTION("""COMPUTED_VALUE"""),88.0)</f>
        <v>88</v>
      </c>
      <c r="AF10" s="277">
        <f>IFERROR(__xludf.DUMMYFUNCTION("""COMPUTED_VALUE"""),97.0)</f>
        <v>97</v>
      </c>
      <c r="AG10" s="277">
        <f>IFERROR(__xludf.DUMMYFUNCTION("""COMPUTED_VALUE"""),110.0)</f>
        <v>110</v>
      </c>
      <c r="AH10" s="278">
        <f>IFERROR(__xludf.DUMMYFUNCTION("""COMPUTED_VALUE"""),112.0)</f>
        <v>112</v>
      </c>
      <c r="AI10" s="276" t="str">
        <f>IFERROR(__xludf.DUMMYFUNCTION("""COMPUTED_VALUE"""),"範囲(大)")</f>
        <v>範囲(大)</v>
      </c>
      <c r="AJ10" s="273">
        <f>IFERROR(__xludf.DUMMYFUNCTION("""COMPUTED_VALUE"""),2.0)</f>
        <v>2</v>
      </c>
      <c r="AK10" s="274" t="str">
        <f>IFERROR(__xludf.DUMMYFUNCTION("""COMPUTED_VALUE"""),"効果値")</f>
        <v>効果値</v>
      </c>
      <c r="AL10" s="277">
        <f>IFERROR(__xludf.DUMMYFUNCTION("""COMPUTED_VALUE"""),68.0)</f>
        <v>68</v>
      </c>
      <c r="AM10" s="277">
        <f>IFERROR(__xludf.DUMMYFUNCTION("""COMPUTED_VALUE"""),69.0)</f>
        <v>69</v>
      </c>
      <c r="AN10" s="277">
        <f>IFERROR(__xludf.DUMMYFUNCTION("""COMPUTED_VALUE"""),71.0)</f>
        <v>71</v>
      </c>
      <c r="AO10" s="277">
        <f>IFERROR(__xludf.DUMMYFUNCTION("""COMPUTED_VALUE"""),73.0)</f>
        <v>73</v>
      </c>
      <c r="AP10" s="277">
        <f>IFERROR(__xludf.DUMMYFUNCTION("""COMPUTED_VALUE"""),75.0)</f>
        <v>75</v>
      </c>
      <c r="AQ10" s="277">
        <f>IFERROR(__xludf.DUMMYFUNCTION("""COMPUTED_VALUE"""),82.0)</f>
        <v>82</v>
      </c>
      <c r="AR10" s="277">
        <f>IFERROR(__xludf.DUMMYFUNCTION("""COMPUTED_VALUE"""),93.0)</f>
        <v>93</v>
      </c>
      <c r="AS10" s="278">
        <f>IFERROR(__xludf.DUMMYFUNCTION("""COMPUTED_VALUE"""),95.0)</f>
        <v>95</v>
      </c>
      <c r="AT10" s="276" t="str">
        <f>IFERROR(__xludf.DUMMYFUNCTION("""COMPUTED_VALUE"""),"範囲(特大)")</f>
        <v>範囲(特大)</v>
      </c>
      <c r="AU10" s="273">
        <f>IFERROR(__xludf.DUMMYFUNCTION("""COMPUTED_VALUE"""),2.0)</f>
        <v>2</v>
      </c>
      <c r="AV10" s="274" t="str">
        <f>IFERROR(__xludf.DUMMYFUNCTION("""COMPUTED_VALUE"""),"効果値")</f>
        <v>効果値</v>
      </c>
      <c r="AW10" s="277">
        <f>IFERROR(__xludf.DUMMYFUNCTION("""COMPUTED_VALUE"""),61.0)</f>
        <v>61</v>
      </c>
      <c r="AX10" s="277">
        <f>IFERROR(__xludf.DUMMYFUNCTION("""COMPUTED_VALUE"""),63.0)</f>
        <v>63</v>
      </c>
      <c r="AY10" s="277">
        <f>IFERROR(__xludf.DUMMYFUNCTION("""COMPUTED_VALUE"""),65.0)</f>
        <v>65</v>
      </c>
      <c r="AZ10" s="277">
        <f>IFERROR(__xludf.DUMMYFUNCTION("""COMPUTED_VALUE"""),66.0)</f>
        <v>66</v>
      </c>
      <c r="BA10" s="277">
        <f>IFERROR(__xludf.DUMMYFUNCTION("""COMPUTED_VALUE"""),68.0)</f>
        <v>68</v>
      </c>
      <c r="BB10" s="277">
        <f>IFERROR(__xludf.DUMMYFUNCTION("""COMPUTED_VALUE"""),75.0)</f>
        <v>75</v>
      </c>
      <c r="BC10" s="277">
        <f>IFERROR(__xludf.DUMMYFUNCTION("""COMPUTED_VALUE"""),85.0)</f>
        <v>85</v>
      </c>
      <c r="BD10" s="278">
        <f>IFERROR(__xludf.DUMMYFUNCTION("""COMPUTED_VALUE"""),86.0)</f>
        <v>86</v>
      </c>
      <c r="BE10" s="279" t="str">
        <f>IFERROR(__xludf.DUMMYFUNCTION("""COMPUTED_VALUE"""),"範囲(小：威力減)")</f>
        <v>範囲(小：威力減)</v>
      </c>
      <c r="BF10" s="273">
        <f>IFERROR(__xludf.DUMMYFUNCTION("""COMPUTED_VALUE"""),2.0)</f>
        <v>2</v>
      </c>
      <c r="BG10" s="274" t="str">
        <f>IFERROR(__xludf.DUMMYFUNCTION("""COMPUTED_VALUE"""),"効果値")</f>
        <v>効果値</v>
      </c>
      <c r="BH10" s="277">
        <f>IFERROR(__xludf.DUMMYFUNCTION("""COMPUTED_VALUE"""),61.0)</f>
        <v>61</v>
      </c>
      <c r="BI10" s="277">
        <f>IFERROR(__xludf.DUMMYFUNCTION("""COMPUTED_VALUE"""),63.0)</f>
        <v>63</v>
      </c>
      <c r="BJ10" s="277">
        <f>IFERROR(__xludf.DUMMYFUNCTION("""COMPUTED_VALUE"""),65.0)</f>
        <v>65</v>
      </c>
      <c r="BK10" s="277">
        <f>IFERROR(__xludf.DUMMYFUNCTION("""COMPUTED_VALUE"""),66.0)</f>
        <v>66</v>
      </c>
      <c r="BL10" s="277">
        <f>IFERROR(__xludf.DUMMYFUNCTION("""COMPUTED_VALUE"""),68.0)</f>
        <v>68</v>
      </c>
      <c r="BM10" s="277">
        <f>IFERROR(__xludf.DUMMYFUNCTION("""COMPUTED_VALUE"""),75.0)</f>
        <v>75</v>
      </c>
      <c r="BN10" s="277">
        <f>IFERROR(__xludf.DUMMYFUNCTION("""COMPUTED_VALUE"""),85.0)</f>
        <v>85</v>
      </c>
      <c r="BO10" s="278">
        <f>IFERROR(__xludf.DUMMYFUNCTION("""COMPUTED_VALUE"""),86.0)</f>
        <v>86</v>
      </c>
    </row>
    <row r="11">
      <c r="A11" s="271" t="str">
        <f>IFERROR(__xludf.DUMMYFUNCTION("""COMPUTED_VALUE"""),"攻撃(必殺)")</f>
        <v>攻撃(必殺)</v>
      </c>
      <c r="B11" s="272" t="str">
        <f>IFERROR(__xludf.DUMMYFUNCTION("""COMPUTED_VALUE"""),"単体")</f>
        <v>単体</v>
      </c>
      <c r="C11" s="273">
        <f>IFERROR(__xludf.DUMMYFUNCTION("""COMPUTED_VALUE"""),3.0)</f>
        <v>3</v>
      </c>
      <c r="D11" s="274" t="str">
        <f>IFERROR(__xludf.DUMMYFUNCTION("""COMPUTED_VALUE"""),"効果値")</f>
        <v>効果値</v>
      </c>
      <c r="E11" s="275">
        <f>IFERROR(__xludf.DUMMYFUNCTION("""COMPUTED_VALUE"""),135.0)</f>
        <v>135</v>
      </c>
      <c r="F11" s="280">
        <f>IFERROR(__xludf.DUMMYFUNCTION("""COMPUTED_VALUE"""),138.0)</f>
        <v>138</v>
      </c>
      <c r="G11" s="275">
        <f>IFERROR(__xludf.DUMMYFUNCTION("""COMPUTED_VALUE"""),141.0)</f>
        <v>141</v>
      </c>
      <c r="H11" s="275">
        <f>IFERROR(__xludf.DUMMYFUNCTION("""COMPUTED_VALUE"""),144.0)</f>
        <v>144</v>
      </c>
      <c r="I11" s="275">
        <f>IFERROR(__xludf.DUMMYFUNCTION("""COMPUTED_VALUE"""),147.0)</f>
        <v>147</v>
      </c>
      <c r="J11" s="275">
        <f>IFERROR(__xludf.DUMMYFUNCTION("""COMPUTED_VALUE"""),163.0)</f>
        <v>163</v>
      </c>
      <c r="K11" s="275">
        <f>IFERROR(__xludf.DUMMYFUNCTION("""COMPUTED_VALUE"""),183.0)</f>
        <v>183</v>
      </c>
      <c r="L11" s="275">
        <f>IFERROR(__xludf.DUMMYFUNCTION("""COMPUTED_VALUE"""),187.0)</f>
        <v>187</v>
      </c>
      <c r="M11" s="276" t="str">
        <f>IFERROR(__xludf.DUMMYFUNCTION("""COMPUTED_VALUE"""),"範囲(小)")</f>
        <v>範囲(小)</v>
      </c>
      <c r="N11" s="273">
        <f>IFERROR(__xludf.DUMMYFUNCTION("""COMPUTED_VALUE"""),3.0)</f>
        <v>3</v>
      </c>
      <c r="O11" s="274" t="str">
        <f>IFERROR(__xludf.DUMMYFUNCTION("""COMPUTED_VALUE"""),"効果値")</f>
        <v>効果値</v>
      </c>
      <c r="P11" s="277">
        <f>IFERROR(__xludf.DUMMYFUNCTION("""COMPUTED_VALUE"""),101.0)</f>
        <v>101</v>
      </c>
      <c r="Q11" s="277">
        <f>IFERROR(__xludf.DUMMYFUNCTION("""COMPUTED_VALUE"""),103.0)</f>
        <v>103</v>
      </c>
      <c r="R11" s="277">
        <f>IFERROR(__xludf.DUMMYFUNCTION("""COMPUTED_VALUE"""),106.0)</f>
        <v>106</v>
      </c>
      <c r="S11" s="277">
        <f>IFERROR(__xludf.DUMMYFUNCTION("""COMPUTED_VALUE"""),108.0)</f>
        <v>108</v>
      </c>
      <c r="T11" s="277">
        <f>IFERROR(__xludf.DUMMYFUNCTION("""COMPUTED_VALUE"""),110.0)</f>
        <v>110</v>
      </c>
      <c r="U11" s="277">
        <f>IFERROR(__xludf.DUMMYFUNCTION("""COMPUTED_VALUE"""),122.0)</f>
        <v>122</v>
      </c>
      <c r="V11" s="277">
        <f>IFERROR(__xludf.DUMMYFUNCTION("""COMPUTED_VALUE"""),137.0)</f>
        <v>137</v>
      </c>
      <c r="W11" s="278">
        <f>IFERROR(__xludf.DUMMYFUNCTION("""COMPUTED_VALUE"""),140.0)</f>
        <v>140</v>
      </c>
      <c r="X11" s="276" t="str">
        <f>IFERROR(__xludf.DUMMYFUNCTION("""COMPUTED_VALUE"""),"範囲(中)")</f>
        <v>範囲(中)</v>
      </c>
      <c r="Y11" s="273">
        <f>IFERROR(__xludf.DUMMYFUNCTION("""COMPUTED_VALUE"""),3.0)</f>
        <v>3</v>
      </c>
      <c r="Z11" s="274" t="str">
        <f>IFERROR(__xludf.DUMMYFUNCTION("""COMPUTED_VALUE"""),"効果値")</f>
        <v>効果値</v>
      </c>
      <c r="AA11" s="277">
        <f>IFERROR(__xludf.DUMMYFUNCTION("""COMPUTED_VALUE"""),88.0)</f>
        <v>88</v>
      </c>
      <c r="AB11" s="277">
        <f>IFERROR(__xludf.DUMMYFUNCTION("""COMPUTED_VALUE"""),90.0)</f>
        <v>90</v>
      </c>
      <c r="AC11" s="277">
        <f>IFERROR(__xludf.DUMMYFUNCTION("""COMPUTED_VALUE"""),91.0)</f>
        <v>91</v>
      </c>
      <c r="AD11" s="277">
        <f>IFERROR(__xludf.DUMMYFUNCTION("""COMPUTED_VALUE"""),93.0)</f>
        <v>93</v>
      </c>
      <c r="AE11" s="277">
        <f>IFERROR(__xludf.DUMMYFUNCTION("""COMPUTED_VALUE"""),95.0)</f>
        <v>95</v>
      </c>
      <c r="AF11" s="277">
        <f>IFERROR(__xludf.DUMMYFUNCTION("""COMPUTED_VALUE"""),106.0)</f>
        <v>106</v>
      </c>
      <c r="AG11" s="277">
        <f>IFERROR(__xludf.DUMMYFUNCTION("""COMPUTED_VALUE"""),119.0)</f>
        <v>119</v>
      </c>
      <c r="AH11" s="278">
        <f>IFERROR(__xludf.DUMMYFUNCTION("""COMPUTED_VALUE"""),121.0)</f>
        <v>121</v>
      </c>
      <c r="AI11" s="276" t="str">
        <f>IFERROR(__xludf.DUMMYFUNCTION("""COMPUTED_VALUE"""),"範囲(大)")</f>
        <v>範囲(大)</v>
      </c>
      <c r="AJ11" s="273">
        <f>IFERROR(__xludf.DUMMYFUNCTION("""COMPUTED_VALUE"""),3.0)</f>
        <v>3</v>
      </c>
      <c r="AK11" s="274" t="str">
        <f>IFERROR(__xludf.DUMMYFUNCTION("""COMPUTED_VALUE"""),"効果値")</f>
        <v>効果値</v>
      </c>
      <c r="AL11" s="277">
        <f>IFERROR(__xludf.DUMMYFUNCTION("""COMPUTED_VALUE"""),74.0)</f>
        <v>74</v>
      </c>
      <c r="AM11" s="277">
        <f>IFERROR(__xludf.DUMMYFUNCTION("""COMPUTED_VALUE"""),76.0)</f>
        <v>76</v>
      </c>
      <c r="AN11" s="277">
        <f>IFERROR(__xludf.DUMMYFUNCTION("""COMPUTED_VALUE"""),77.0)</f>
        <v>77</v>
      </c>
      <c r="AO11" s="277">
        <f>IFERROR(__xludf.DUMMYFUNCTION("""COMPUTED_VALUE"""),79.0)</f>
        <v>79</v>
      </c>
      <c r="AP11" s="277">
        <f>IFERROR(__xludf.DUMMYFUNCTION("""COMPUTED_VALUE"""),81.0)</f>
        <v>81</v>
      </c>
      <c r="AQ11" s="277">
        <f>IFERROR(__xludf.DUMMYFUNCTION("""COMPUTED_VALUE"""),90.0)</f>
        <v>90</v>
      </c>
      <c r="AR11" s="277">
        <f>IFERROR(__xludf.DUMMYFUNCTION("""COMPUTED_VALUE"""),101.0)</f>
        <v>101</v>
      </c>
      <c r="AS11" s="278">
        <f>IFERROR(__xludf.DUMMYFUNCTION("""COMPUTED_VALUE"""),103.0)</f>
        <v>103</v>
      </c>
      <c r="AT11" s="276" t="str">
        <f>IFERROR(__xludf.DUMMYFUNCTION("""COMPUTED_VALUE"""),"範囲(特大)")</f>
        <v>範囲(特大)</v>
      </c>
      <c r="AU11" s="273">
        <f>IFERROR(__xludf.DUMMYFUNCTION("""COMPUTED_VALUE"""),3.0)</f>
        <v>3</v>
      </c>
      <c r="AV11" s="274" t="str">
        <f>IFERROR(__xludf.DUMMYFUNCTION("""COMPUTED_VALUE"""),"効果値")</f>
        <v>効果値</v>
      </c>
      <c r="AW11" s="277">
        <f>IFERROR(__xludf.DUMMYFUNCTION("""COMPUTED_VALUE"""),67.0)</f>
        <v>67</v>
      </c>
      <c r="AX11" s="277">
        <f>IFERROR(__xludf.DUMMYFUNCTION("""COMPUTED_VALUE"""),69.0)</f>
        <v>69</v>
      </c>
      <c r="AY11" s="277">
        <f>IFERROR(__xludf.DUMMYFUNCTION("""COMPUTED_VALUE"""),70.0)</f>
        <v>70</v>
      </c>
      <c r="AZ11" s="277">
        <f>IFERROR(__xludf.DUMMYFUNCTION("""COMPUTED_VALUE"""),72.0)</f>
        <v>72</v>
      </c>
      <c r="BA11" s="277">
        <f>IFERROR(__xludf.DUMMYFUNCTION("""COMPUTED_VALUE"""),73.0)</f>
        <v>73</v>
      </c>
      <c r="BB11" s="277">
        <f>IFERROR(__xludf.DUMMYFUNCTION("""COMPUTED_VALUE"""),82.0)</f>
        <v>82</v>
      </c>
      <c r="BC11" s="277">
        <f>IFERROR(__xludf.DUMMYFUNCTION("""COMPUTED_VALUE"""),92.0)</f>
        <v>92</v>
      </c>
      <c r="BD11" s="278">
        <f>IFERROR(__xludf.DUMMYFUNCTION("""COMPUTED_VALUE"""),93.0)</f>
        <v>93</v>
      </c>
      <c r="BE11" s="279" t="str">
        <f>IFERROR(__xludf.DUMMYFUNCTION("""COMPUTED_VALUE"""),"範囲(小：威力減)")</f>
        <v>範囲(小：威力減)</v>
      </c>
      <c r="BF11" s="273">
        <f>IFERROR(__xludf.DUMMYFUNCTION("""COMPUTED_VALUE"""),3.0)</f>
        <v>3</v>
      </c>
      <c r="BG11" s="274" t="str">
        <f>IFERROR(__xludf.DUMMYFUNCTION("""COMPUTED_VALUE"""),"効果値")</f>
        <v>効果値</v>
      </c>
      <c r="BH11" s="277">
        <f>IFERROR(__xludf.DUMMYFUNCTION("""COMPUTED_VALUE"""),67.0)</f>
        <v>67</v>
      </c>
      <c r="BI11" s="277">
        <f>IFERROR(__xludf.DUMMYFUNCTION("""COMPUTED_VALUE"""),69.0)</f>
        <v>69</v>
      </c>
      <c r="BJ11" s="277">
        <f>IFERROR(__xludf.DUMMYFUNCTION("""COMPUTED_VALUE"""),70.0)</f>
        <v>70</v>
      </c>
      <c r="BK11" s="277">
        <f>IFERROR(__xludf.DUMMYFUNCTION("""COMPUTED_VALUE"""),72.0)</f>
        <v>72</v>
      </c>
      <c r="BL11" s="277">
        <f>IFERROR(__xludf.DUMMYFUNCTION("""COMPUTED_VALUE"""),73.0)</f>
        <v>73</v>
      </c>
      <c r="BM11" s="277">
        <f>IFERROR(__xludf.DUMMYFUNCTION("""COMPUTED_VALUE"""),82.0)</f>
        <v>82</v>
      </c>
      <c r="BN11" s="277">
        <f>IFERROR(__xludf.DUMMYFUNCTION("""COMPUTED_VALUE"""),92.0)</f>
        <v>92</v>
      </c>
      <c r="BO11" s="278">
        <f>IFERROR(__xludf.DUMMYFUNCTION("""COMPUTED_VALUE"""),93.0)</f>
        <v>93</v>
      </c>
    </row>
    <row r="12">
      <c r="A12" s="271" t="str">
        <f>IFERROR(__xludf.DUMMYFUNCTION("""COMPUTED_VALUE"""),"攻撃(必殺)")</f>
        <v>攻撃(必殺)</v>
      </c>
      <c r="B12" s="272" t="str">
        <f>IFERROR(__xludf.DUMMYFUNCTION("""COMPUTED_VALUE"""),"単体")</f>
        <v>単体</v>
      </c>
      <c r="C12" s="273">
        <f>IFERROR(__xludf.DUMMYFUNCTION("""COMPUTED_VALUE"""),4.0)</f>
        <v>4</v>
      </c>
      <c r="D12" s="274" t="str">
        <f>IFERROR(__xludf.DUMMYFUNCTION("""COMPUTED_VALUE"""),"効果値")</f>
        <v>効果値</v>
      </c>
      <c r="E12" s="275">
        <f>IFERROR(__xludf.DUMMYFUNCTION("""COMPUTED_VALUE"""),144.0)</f>
        <v>144</v>
      </c>
      <c r="F12" s="275">
        <f>IFERROR(__xludf.DUMMYFUNCTION("""COMPUTED_VALUE"""),147.0)</f>
        <v>147</v>
      </c>
      <c r="G12" s="275">
        <f>IFERROR(__xludf.DUMMYFUNCTION("""COMPUTED_VALUE"""),149.0)</f>
        <v>149</v>
      </c>
      <c r="H12" s="275">
        <f>IFERROR(__xludf.DUMMYFUNCTION("""COMPUTED_VALUE"""),152.0)</f>
        <v>152</v>
      </c>
      <c r="I12" s="275">
        <f>IFERROR(__xludf.DUMMYFUNCTION("""COMPUTED_VALUE"""),155.0)</f>
        <v>155</v>
      </c>
      <c r="J12" s="275">
        <f>IFERROR(__xludf.DUMMYFUNCTION("""COMPUTED_VALUE"""),173.0)</f>
        <v>173</v>
      </c>
      <c r="K12" s="275">
        <f>IFERROR(__xludf.DUMMYFUNCTION("""COMPUTED_VALUE"""),193.0)</f>
        <v>193</v>
      </c>
      <c r="L12" s="275">
        <f>IFERROR(__xludf.DUMMYFUNCTION("""COMPUTED_VALUE"""),198.0)</f>
        <v>198</v>
      </c>
      <c r="M12" s="276" t="str">
        <f>IFERROR(__xludf.DUMMYFUNCTION("""COMPUTED_VALUE"""),"範囲(小)")</f>
        <v>範囲(小)</v>
      </c>
      <c r="N12" s="273">
        <f>IFERROR(__xludf.DUMMYFUNCTION("""COMPUTED_VALUE"""),4.0)</f>
        <v>4</v>
      </c>
      <c r="O12" s="274" t="str">
        <f>IFERROR(__xludf.DUMMYFUNCTION("""COMPUTED_VALUE"""),"効果値")</f>
        <v>効果値</v>
      </c>
      <c r="P12" s="277">
        <f>IFERROR(__xludf.DUMMYFUNCTION("""COMPUTED_VALUE"""),108.0)</f>
        <v>108</v>
      </c>
      <c r="Q12" s="277">
        <f>IFERROR(__xludf.DUMMYFUNCTION("""COMPUTED_VALUE"""),110.0)</f>
        <v>110</v>
      </c>
      <c r="R12" s="277">
        <f>IFERROR(__xludf.DUMMYFUNCTION("""COMPUTED_VALUE"""),112.0)</f>
        <v>112</v>
      </c>
      <c r="S12" s="277">
        <f>IFERROR(__xludf.DUMMYFUNCTION("""COMPUTED_VALUE"""),114.0)</f>
        <v>114</v>
      </c>
      <c r="T12" s="277">
        <f>IFERROR(__xludf.DUMMYFUNCTION("""COMPUTED_VALUE"""),116.0)</f>
        <v>116</v>
      </c>
      <c r="U12" s="277">
        <f>IFERROR(__xludf.DUMMYFUNCTION("""COMPUTED_VALUE"""),130.0)</f>
        <v>130</v>
      </c>
      <c r="V12" s="277">
        <f>IFERROR(__xludf.DUMMYFUNCTION("""COMPUTED_VALUE"""),145.0)</f>
        <v>145</v>
      </c>
      <c r="W12" s="278">
        <f>IFERROR(__xludf.DUMMYFUNCTION("""COMPUTED_VALUE"""),148.0)</f>
        <v>148</v>
      </c>
      <c r="X12" s="276" t="str">
        <f>IFERROR(__xludf.DUMMYFUNCTION("""COMPUTED_VALUE"""),"範囲(中)")</f>
        <v>範囲(中)</v>
      </c>
      <c r="Y12" s="273">
        <f>IFERROR(__xludf.DUMMYFUNCTION("""COMPUTED_VALUE"""),4.0)</f>
        <v>4</v>
      </c>
      <c r="Z12" s="274" t="str">
        <f>IFERROR(__xludf.DUMMYFUNCTION("""COMPUTED_VALUE"""),"効果値")</f>
        <v>効果値</v>
      </c>
      <c r="AA12" s="277">
        <f>IFERROR(__xludf.DUMMYFUNCTION("""COMPUTED_VALUE"""),94.0)</f>
        <v>94</v>
      </c>
      <c r="AB12" s="277">
        <f>IFERROR(__xludf.DUMMYFUNCTION("""COMPUTED_VALUE"""),95.0)</f>
        <v>95</v>
      </c>
      <c r="AC12" s="277">
        <f>IFERROR(__xludf.DUMMYFUNCTION("""COMPUTED_VALUE"""),97.0)</f>
        <v>97</v>
      </c>
      <c r="AD12" s="277">
        <f>IFERROR(__xludf.DUMMYFUNCTION("""COMPUTED_VALUE"""),99.0)</f>
        <v>99</v>
      </c>
      <c r="AE12" s="277">
        <f>IFERROR(__xludf.DUMMYFUNCTION("""COMPUTED_VALUE"""),101.0)</f>
        <v>101</v>
      </c>
      <c r="AF12" s="277">
        <f>IFERROR(__xludf.DUMMYFUNCTION("""COMPUTED_VALUE"""),113.0)</f>
        <v>113</v>
      </c>
      <c r="AG12" s="277">
        <f>IFERROR(__xludf.DUMMYFUNCTION("""COMPUTED_VALUE"""),126.0)</f>
        <v>126</v>
      </c>
      <c r="AH12" s="278">
        <f>IFERROR(__xludf.DUMMYFUNCTION("""COMPUTED_VALUE"""),128.0)</f>
        <v>128</v>
      </c>
      <c r="AI12" s="276" t="str">
        <f>IFERROR(__xludf.DUMMYFUNCTION("""COMPUTED_VALUE"""),"範囲(大)")</f>
        <v>範囲(大)</v>
      </c>
      <c r="AJ12" s="273">
        <f>IFERROR(__xludf.DUMMYFUNCTION("""COMPUTED_VALUE"""),4.0)</f>
        <v>4</v>
      </c>
      <c r="AK12" s="274" t="str">
        <f>IFERROR(__xludf.DUMMYFUNCTION("""COMPUTED_VALUE"""),"効果値")</f>
        <v>効果値</v>
      </c>
      <c r="AL12" s="277">
        <f>IFERROR(__xludf.DUMMYFUNCTION("""COMPUTED_VALUE"""),79.0)</f>
        <v>79</v>
      </c>
      <c r="AM12" s="277">
        <f>IFERROR(__xludf.DUMMYFUNCTION("""COMPUTED_VALUE"""),81.0)</f>
        <v>81</v>
      </c>
      <c r="AN12" s="277">
        <f>IFERROR(__xludf.DUMMYFUNCTION("""COMPUTED_VALUE"""),82.0)</f>
        <v>82</v>
      </c>
      <c r="AO12" s="277">
        <f>IFERROR(__xludf.DUMMYFUNCTION("""COMPUTED_VALUE"""),84.0)</f>
        <v>84</v>
      </c>
      <c r="AP12" s="277">
        <f>IFERROR(__xludf.DUMMYFUNCTION("""COMPUTED_VALUE"""),85.0)</f>
        <v>85</v>
      </c>
      <c r="AQ12" s="277">
        <f>IFERROR(__xludf.DUMMYFUNCTION("""COMPUTED_VALUE"""),95.0)</f>
        <v>95</v>
      </c>
      <c r="AR12" s="277">
        <f>IFERROR(__xludf.DUMMYFUNCTION("""COMPUTED_VALUE"""),106.0)</f>
        <v>106</v>
      </c>
      <c r="AS12" s="278">
        <f>IFERROR(__xludf.DUMMYFUNCTION("""COMPUTED_VALUE"""),109.0)</f>
        <v>109</v>
      </c>
      <c r="AT12" s="276" t="str">
        <f>IFERROR(__xludf.DUMMYFUNCTION("""COMPUTED_VALUE"""),"範囲(特大)")</f>
        <v>範囲(特大)</v>
      </c>
      <c r="AU12" s="273">
        <f>IFERROR(__xludf.DUMMYFUNCTION("""COMPUTED_VALUE"""),4.0)</f>
        <v>4</v>
      </c>
      <c r="AV12" s="274" t="str">
        <f>IFERROR(__xludf.DUMMYFUNCTION("""COMPUTED_VALUE"""),"効果値")</f>
        <v>効果値</v>
      </c>
      <c r="AW12" s="277">
        <f>IFERROR(__xludf.DUMMYFUNCTION("""COMPUTED_VALUE"""),72.0)</f>
        <v>72</v>
      </c>
      <c r="AX12" s="277">
        <f>IFERROR(__xludf.DUMMYFUNCTION("""COMPUTED_VALUE"""),73.0)</f>
        <v>73</v>
      </c>
      <c r="AY12" s="277">
        <f>IFERROR(__xludf.DUMMYFUNCTION("""COMPUTED_VALUE"""),75.0)</f>
        <v>75</v>
      </c>
      <c r="AZ12" s="277">
        <f>IFERROR(__xludf.DUMMYFUNCTION("""COMPUTED_VALUE"""),76.0)</f>
        <v>76</v>
      </c>
      <c r="BA12" s="277">
        <f>IFERROR(__xludf.DUMMYFUNCTION("""COMPUTED_VALUE"""),77.0)</f>
        <v>77</v>
      </c>
      <c r="BB12" s="277">
        <f>IFERROR(__xludf.DUMMYFUNCTION("""COMPUTED_VALUE"""),87.0)</f>
        <v>87</v>
      </c>
      <c r="BC12" s="277">
        <f>IFERROR(__xludf.DUMMYFUNCTION("""COMPUTED_VALUE"""),97.0)</f>
        <v>97</v>
      </c>
      <c r="BD12" s="278">
        <f>IFERROR(__xludf.DUMMYFUNCTION("""COMPUTED_VALUE"""),99.0)</f>
        <v>99</v>
      </c>
      <c r="BE12" s="279" t="str">
        <f>IFERROR(__xludf.DUMMYFUNCTION("""COMPUTED_VALUE"""),"範囲(小：威力減)")</f>
        <v>範囲(小：威力減)</v>
      </c>
      <c r="BF12" s="273">
        <f>IFERROR(__xludf.DUMMYFUNCTION("""COMPUTED_VALUE"""),4.0)</f>
        <v>4</v>
      </c>
      <c r="BG12" s="274" t="str">
        <f>IFERROR(__xludf.DUMMYFUNCTION("""COMPUTED_VALUE"""),"効果値")</f>
        <v>効果値</v>
      </c>
      <c r="BH12" s="277">
        <f>IFERROR(__xludf.DUMMYFUNCTION("""COMPUTED_VALUE"""),72.0)</f>
        <v>72</v>
      </c>
      <c r="BI12" s="277">
        <f>IFERROR(__xludf.DUMMYFUNCTION("""COMPUTED_VALUE"""),73.0)</f>
        <v>73</v>
      </c>
      <c r="BJ12" s="277">
        <f>IFERROR(__xludf.DUMMYFUNCTION("""COMPUTED_VALUE"""),75.0)</f>
        <v>75</v>
      </c>
      <c r="BK12" s="277">
        <f>IFERROR(__xludf.DUMMYFUNCTION("""COMPUTED_VALUE"""),76.0)</f>
        <v>76</v>
      </c>
      <c r="BL12" s="277">
        <f>IFERROR(__xludf.DUMMYFUNCTION("""COMPUTED_VALUE"""),77.0)</f>
        <v>77</v>
      </c>
      <c r="BM12" s="277">
        <f>IFERROR(__xludf.DUMMYFUNCTION("""COMPUTED_VALUE"""),87.0)</f>
        <v>87</v>
      </c>
      <c r="BN12" s="277">
        <f>IFERROR(__xludf.DUMMYFUNCTION("""COMPUTED_VALUE"""),97.0)</f>
        <v>97</v>
      </c>
      <c r="BO12" s="278">
        <f>IFERROR(__xludf.DUMMYFUNCTION("""COMPUTED_VALUE"""),99.0)</f>
        <v>99</v>
      </c>
    </row>
    <row r="13">
      <c r="A13" s="281" t="str">
        <f>IFERROR(__xludf.DUMMYFUNCTION("""COMPUTED_VALUE"""),"攻撃(必殺)")</f>
        <v>攻撃(必殺)</v>
      </c>
      <c r="B13" s="282" t="str">
        <f>IFERROR(__xludf.DUMMYFUNCTION("""COMPUTED_VALUE"""),"単体")</f>
        <v>単体</v>
      </c>
      <c r="C13" s="283">
        <f>IFERROR(__xludf.DUMMYFUNCTION("""COMPUTED_VALUE"""),5.0)</f>
        <v>5</v>
      </c>
      <c r="D13" s="284" t="str">
        <f>IFERROR(__xludf.DUMMYFUNCTION("""COMPUTED_VALUE"""),"効果値")</f>
        <v>効果値</v>
      </c>
      <c r="E13" s="285">
        <f>IFERROR(__xludf.DUMMYFUNCTION("""COMPUTED_VALUE"""),150.0)</f>
        <v>150</v>
      </c>
      <c r="F13" s="286">
        <f>IFERROR(__xludf.DUMMYFUNCTION("""COMPUTED_VALUE"""),153.0)</f>
        <v>153</v>
      </c>
      <c r="G13" s="287">
        <f>IFERROR(__xludf.DUMMYFUNCTION("""COMPUTED_VALUE"""),155.0)</f>
        <v>155</v>
      </c>
      <c r="H13" s="287">
        <f>IFERROR(__xludf.DUMMYFUNCTION("""COMPUTED_VALUE"""),158.0)</f>
        <v>158</v>
      </c>
      <c r="I13" s="287">
        <f>IFERROR(__xludf.DUMMYFUNCTION("""COMPUTED_VALUE"""),160.0)</f>
        <v>160</v>
      </c>
      <c r="J13" s="287">
        <f>IFERROR(__xludf.DUMMYFUNCTION("""COMPUTED_VALUE"""),180.0)</f>
        <v>180</v>
      </c>
      <c r="K13" s="287">
        <f>IFERROR(__xludf.DUMMYFUNCTION("""COMPUTED_VALUE"""),200.0)</f>
        <v>200</v>
      </c>
      <c r="L13" s="288">
        <f>IFERROR(__xludf.DUMMYFUNCTION("""COMPUTED_VALUE"""),205.0)</f>
        <v>205</v>
      </c>
      <c r="M13" s="276" t="str">
        <f>IFERROR(__xludf.DUMMYFUNCTION("""COMPUTED_VALUE"""),"範囲(小)")</f>
        <v>範囲(小)</v>
      </c>
      <c r="N13" s="283">
        <f>IFERROR(__xludf.DUMMYFUNCTION("""COMPUTED_VALUE"""),5.0)</f>
        <v>5</v>
      </c>
      <c r="O13" s="284" t="str">
        <f>IFERROR(__xludf.DUMMYFUNCTION("""COMPUTED_VALUE"""),"効果値")</f>
        <v>効果値</v>
      </c>
      <c r="P13" s="289">
        <f>IFERROR(__xludf.DUMMYFUNCTION("""COMPUTED_VALUE"""),113.0)</f>
        <v>113</v>
      </c>
      <c r="Q13" s="289">
        <f>IFERROR(__xludf.DUMMYFUNCTION("""COMPUTED_VALUE"""),114.0)</f>
        <v>114</v>
      </c>
      <c r="R13" s="289">
        <f>IFERROR(__xludf.DUMMYFUNCTION("""COMPUTED_VALUE"""),116.0)</f>
        <v>116</v>
      </c>
      <c r="S13" s="289">
        <f>IFERROR(__xludf.DUMMYFUNCTION("""COMPUTED_VALUE"""),118.0)</f>
        <v>118</v>
      </c>
      <c r="T13" s="289">
        <f>IFERROR(__xludf.DUMMYFUNCTION("""COMPUTED_VALUE"""),120.0)</f>
        <v>120</v>
      </c>
      <c r="U13" s="289">
        <f>IFERROR(__xludf.DUMMYFUNCTION("""COMPUTED_VALUE"""),135.0)</f>
        <v>135</v>
      </c>
      <c r="V13" s="289">
        <f>IFERROR(__xludf.DUMMYFUNCTION("""COMPUTED_VALUE"""),150.0)</f>
        <v>150</v>
      </c>
      <c r="W13" s="290">
        <f>IFERROR(__xludf.DUMMYFUNCTION("""COMPUTED_VALUE"""),154.0)</f>
        <v>154</v>
      </c>
      <c r="X13" s="276" t="str">
        <f>IFERROR(__xludf.DUMMYFUNCTION("""COMPUTED_VALUE"""),"範囲(中)")</f>
        <v>範囲(中)</v>
      </c>
      <c r="Y13" s="283">
        <f>IFERROR(__xludf.DUMMYFUNCTION("""COMPUTED_VALUE"""),5.0)</f>
        <v>5</v>
      </c>
      <c r="Z13" s="284" t="str">
        <f>IFERROR(__xludf.DUMMYFUNCTION("""COMPUTED_VALUE"""),"効果値")</f>
        <v>効果値</v>
      </c>
      <c r="AA13" s="289">
        <f>IFERROR(__xludf.DUMMYFUNCTION("""COMPUTED_VALUE"""),98.0)</f>
        <v>98</v>
      </c>
      <c r="AB13" s="289">
        <f>IFERROR(__xludf.DUMMYFUNCTION("""COMPUTED_VALUE"""),99.0)</f>
        <v>99</v>
      </c>
      <c r="AC13" s="289">
        <f>IFERROR(__xludf.DUMMYFUNCTION("""COMPUTED_VALUE"""),101.0)</f>
        <v>101</v>
      </c>
      <c r="AD13" s="289">
        <f>IFERROR(__xludf.DUMMYFUNCTION("""COMPUTED_VALUE"""),102.0)</f>
        <v>102</v>
      </c>
      <c r="AE13" s="289">
        <f>IFERROR(__xludf.DUMMYFUNCTION("""COMPUTED_VALUE"""),104.0)</f>
        <v>104</v>
      </c>
      <c r="AF13" s="289">
        <f>IFERROR(__xludf.DUMMYFUNCTION("""COMPUTED_VALUE"""),117.0)</f>
        <v>117</v>
      </c>
      <c r="AG13" s="289">
        <f>IFERROR(__xludf.DUMMYFUNCTION("""COMPUTED_VALUE"""),130.0)</f>
        <v>130</v>
      </c>
      <c r="AH13" s="290">
        <f>IFERROR(__xludf.DUMMYFUNCTION("""COMPUTED_VALUE"""),133.0)</f>
        <v>133</v>
      </c>
      <c r="AI13" s="276" t="str">
        <f>IFERROR(__xludf.DUMMYFUNCTION("""COMPUTED_VALUE"""),"範囲(大)")</f>
        <v>範囲(大)</v>
      </c>
      <c r="AJ13" s="283">
        <f>IFERROR(__xludf.DUMMYFUNCTION("""COMPUTED_VALUE"""),5.0)</f>
        <v>5</v>
      </c>
      <c r="AK13" s="284" t="str">
        <f>IFERROR(__xludf.DUMMYFUNCTION("""COMPUTED_VALUE"""),"効果値")</f>
        <v>効果値</v>
      </c>
      <c r="AL13" s="289">
        <f>IFERROR(__xludf.DUMMYFUNCTION("""COMPUTED_VALUE"""),83.0)</f>
        <v>83</v>
      </c>
      <c r="AM13" s="289">
        <f>IFERROR(__xludf.DUMMYFUNCTION("""COMPUTED_VALUE"""),84.0)</f>
        <v>84</v>
      </c>
      <c r="AN13" s="289">
        <f>IFERROR(__xludf.DUMMYFUNCTION("""COMPUTED_VALUE"""),85.0)</f>
        <v>85</v>
      </c>
      <c r="AO13" s="289">
        <f>IFERROR(__xludf.DUMMYFUNCTION("""COMPUTED_VALUE"""),87.0)</f>
        <v>87</v>
      </c>
      <c r="AP13" s="289">
        <f>IFERROR(__xludf.DUMMYFUNCTION("""COMPUTED_VALUE"""),88.0)</f>
        <v>88</v>
      </c>
      <c r="AQ13" s="289">
        <f>IFERROR(__xludf.DUMMYFUNCTION("""COMPUTED_VALUE"""),99.0)</f>
        <v>99</v>
      </c>
      <c r="AR13" s="289">
        <f>IFERROR(__xludf.DUMMYFUNCTION("""COMPUTED_VALUE"""),110.0)</f>
        <v>110</v>
      </c>
      <c r="AS13" s="290">
        <f>IFERROR(__xludf.DUMMYFUNCTION("""COMPUTED_VALUE"""),113.0)</f>
        <v>113</v>
      </c>
      <c r="AT13" s="276" t="str">
        <f>IFERROR(__xludf.DUMMYFUNCTION("""COMPUTED_VALUE"""),"範囲(特大)")</f>
        <v>範囲(特大)</v>
      </c>
      <c r="AU13" s="283">
        <f>IFERROR(__xludf.DUMMYFUNCTION("""COMPUTED_VALUE"""),5.0)</f>
        <v>5</v>
      </c>
      <c r="AV13" s="284" t="str">
        <f>IFERROR(__xludf.DUMMYFUNCTION("""COMPUTED_VALUE"""),"効果値")</f>
        <v>効果値</v>
      </c>
      <c r="AW13" s="289">
        <f>IFERROR(__xludf.DUMMYFUNCTION("""COMPUTED_VALUE"""),75.0)</f>
        <v>75</v>
      </c>
      <c r="AX13" s="289">
        <f>IFERROR(__xludf.DUMMYFUNCTION("""COMPUTED_VALUE"""),76.0)</f>
        <v>76</v>
      </c>
      <c r="AY13" s="289">
        <f>IFERROR(__xludf.DUMMYFUNCTION("""COMPUTED_VALUE"""),78.0)</f>
        <v>78</v>
      </c>
      <c r="AZ13" s="289">
        <f>IFERROR(__xludf.DUMMYFUNCTION("""COMPUTED_VALUE"""),79.0)</f>
        <v>79</v>
      </c>
      <c r="BA13" s="289">
        <f>IFERROR(__xludf.DUMMYFUNCTION("""COMPUTED_VALUE"""),80.0)</f>
        <v>80</v>
      </c>
      <c r="BB13" s="289">
        <f>IFERROR(__xludf.DUMMYFUNCTION("""COMPUTED_VALUE"""),90.0)</f>
        <v>90</v>
      </c>
      <c r="BC13" s="289">
        <f>IFERROR(__xludf.DUMMYFUNCTION("""COMPUTED_VALUE"""),100.0)</f>
        <v>100</v>
      </c>
      <c r="BD13" s="290">
        <f>IFERROR(__xludf.DUMMYFUNCTION("""COMPUTED_VALUE"""),103.0)</f>
        <v>103</v>
      </c>
      <c r="BE13" s="279" t="str">
        <f>IFERROR(__xludf.DUMMYFUNCTION("""COMPUTED_VALUE"""),"範囲(小：威力減)")</f>
        <v>範囲(小：威力減)</v>
      </c>
      <c r="BF13" s="283">
        <f>IFERROR(__xludf.DUMMYFUNCTION("""COMPUTED_VALUE"""),5.0)</f>
        <v>5</v>
      </c>
      <c r="BG13" s="284" t="str">
        <f>IFERROR(__xludf.DUMMYFUNCTION("""COMPUTED_VALUE"""),"効果値")</f>
        <v>効果値</v>
      </c>
      <c r="BH13" s="289">
        <f>IFERROR(__xludf.DUMMYFUNCTION("""COMPUTED_VALUE"""),75.0)</f>
        <v>75</v>
      </c>
      <c r="BI13" s="289">
        <f>IFERROR(__xludf.DUMMYFUNCTION("""COMPUTED_VALUE"""),76.0)</f>
        <v>76</v>
      </c>
      <c r="BJ13" s="289">
        <f>IFERROR(__xludf.DUMMYFUNCTION("""COMPUTED_VALUE"""),78.0)</f>
        <v>78</v>
      </c>
      <c r="BK13" s="289">
        <f>IFERROR(__xludf.DUMMYFUNCTION("""COMPUTED_VALUE"""),79.0)</f>
        <v>79</v>
      </c>
      <c r="BL13" s="289">
        <f>IFERROR(__xludf.DUMMYFUNCTION("""COMPUTED_VALUE"""),80.0)</f>
        <v>80</v>
      </c>
      <c r="BM13" s="289">
        <f>IFERROR(__xludf.DUMMYFUNCTION("""COMPUTED_VALUE"""),90.0)</f>
        <v>90</v>
      </c>
      <c r="BN13" s="289">
        <f>IFERROR(__xludf.DUMMYFUNCTION("""COMPUTED_VALUE"""),100.0)</f>
        <v>100</v>
      </c>
      <c r="BO13" s="290">
        <f>IFERROR(__xludf.DUMMYFUNCTION("""COMPUTED_VALUE"""),103.0)</f>
        <v>103</v>
      </c>
    </row>
    <row r="14">
      <c r="A14" s="259" t="str">
        <f>IFERROR(__xludf.DUMMYFUNCTION("""COMPUTED_VALUE"""),"キラー攻撃")</f>
        <v>キラー攻撃</v>
      </c>
      <c r="B14" s="260" t="str">
        <f>IFERROR(__xludf.DUMMYFUNCTION("""COMPUTED_VALUE"""),"単体")</f>
        <v>単体</v>
      </c>
      <c r="C14" s="261">
        <f>IFERROR(__xludf.DUMMYFUNCTION("""COMPUTED_VALUE"""),1.0)</f>
        <v>1</v>
      </c>
      <c r="D14" s="262" t="str">
        <f>IFERROR(__xludf.DUMMYFUNCTION("""COMPUTED_VALUE"""),"効果値")</f>
        <v>効果値</v>
      </c>
      <c r="E14" s="263">
        <f>IFERROR(__xludf.DUMMYFUNCTION("""COMPUTED_VALUE"""),105.0)</f>
        <v>105</v>
      </c>
      <c r="F14" s="265">
        <f>IFERROR(__xludf.DUMMYFUNCTION("""COMPUTED_VALUE"""),105.0)</f>
        <v>105</v>
      </c>
      <c r="G14" s="265">
        <f>IFERROR(__xludf.DUMMYFUNCTION("""COMPUTED_VALUE"""),105.0)</f>
        <v>105</v>
      </c>
      <c r="H14" s="265">
        <f>IFERROR(__xludf.DUMMYFUNCTION("""COMPUTED_VALUE"""),105.0)</f>
        <v>105</v>
      </c>
      <c r="I14" s="265">
        <f>IFERROR(__xludf.DUMMYFUNCTION("""COMPUTED_VALUE"""),105.0)</f>
        <v>105</v>
      </c>
      <c r="J14" s="265">
        <f>IFERROR(__xludf.DUMMYFUNCTION("""COMPUTED_VALUE"""),110.0)</f>
        <v>110</v>
      </c>
      <c r="K14" s="265">
        <f>IFERROR(__xludf.DUMMYFUNCTION("""COMPUTED_VALUE"""),120.0)</f>
        <v>120</v>
      </c>
      <c r="L14" s="266">
        <f>IFERROR(__xludf.DUMMYFUNCTION("""COMPUTED_VALUE"""),120.0)</f>
        <v>120</v>
      </c>
      <c r="M14" s="267" t="str">
        <f>IFERROR(__xludf.DUMMYFUNCTION("""COMPUTED_VALUE"""),"範囲(小)")</f>
        <v>範囲(小)</v>
      </c>
      <c r="N14" s="261">
        <f>IFERROR(__xludf.DUMMYFUNCTION("""COMPUTED_VALUE"""),1.0)</f>
        <v>1</v>
      </c>
      <c r="O14" s="262" t="str">
        <f>IFERROR(__xludf.DUMMYFUNCTION("""COMPUTED_VALUE"""),"効果値")</f>
        <v>効果値</v>
      </c>
      <c r="P14" s="268">
        <f>IFERROR(__xludf.DUMMYFUNCTION("""COMPUTED_VALUE"""),78.7)</f>
        <v>78.7</v>
      </c>
      <c r="Q14" s="268">
        <f>IFERROR(__xludf.DUMMYFUNCTION("""COMPUTED_VALUE"""),78.7)</f>
        <v>78.7</v>
      </c>
      <c r="R14" s="268">
        <f>IFERROR(__xludf.DUMMYFUNCTION("""COMPUTED_VALUE"""),78.7)</f>
        <v>78.7</v>
      </c>
      <c r="S14" s="268">
        <f>IFERROR(__xludf.DUMMYFUNCTION("""COMPUTED_VALUE"""),78.7)</f>
        <v>78.7</v>
      </c>
      <c r="T14" s="268">
        <f>IFERROR(__xludf.DUMMYFUNCTION("""COMPUTED_VALUE"""),78.7)</f>
        <v>78.7</v>
      </c>
      <c r="U14" s="268">
        <f>IFERROR(__xludf.DUMMYFUNCTION("""COMPUTED_VALUE"""),82.5)</f>
        <v>82.5</v>
      </c>
      <c r="V14" s="268">
        <f>IFERROR(__xludf.DUMMYFUNCTION("""COMPUTED_VALUE"""),90.0)</f>
        <v>90</v>
      </c>
      <c r="W14" s="269">
        <f>IFERROR(__xludf.DUMMYFUNCTION("""COMPUTED_VALUE"""),90.0)</f>
        <v>90</v>
      </c>
      <c r="X14" s="267" t="str">
        <f>IFERROR(__xludf.DUMMYFUNCTION("""COMPUTED_VALUE"""),"範囲(中)")</f>
        <v>範囲(中)</v>
      </c>
      <c r="Y14" s="261">
        <f>IFERROR(__xludf.DUMMYFUNCTION("""COMPUTED_VALUE"""),1.0)</f>
        <v>1</v>
      </c>
      <c r="Z14" s="262" t="str">
        <f>IFERROR(__xludf.DUMMYFUNCTION("""COMPUTED_VALUE"""),"効果値")</f>
        <v>効果値</v>
      </c>
      <c r="AA14" s="268">
        <f>IFERROR(__xludf.DUMMYFUNCTION("""COMPUTED_VALUE"""),68.2)</f>
        <v>68.2</v>
      </c>
      <c r="AB14" s="268">
        <f>IFERROR(__xludf.DUMMYFUNCTION("""COMPUTED_VALUE"""),68.2)</f>
        <v>68.2</v>
      </c>
      <c r="AC14" s="268">
        <f>IFERROR(__xludf.DUMMYFUNCTION("""COMPUTED_VALUE"""),68.2)</f>
        <v>68.2</v>
      </c>
      <c r="AD14" s="268">
        <f>IFERROR(__xludf.DUMMYFUNCTION("""COMPUTED_VALUE"""),68.2)</f>
        <v>68.2</v>
      </c>
      <c r="AE14" s="268">
        <f>IFERROR(__xludf.DUMMYFUNCTION("""COMPUTED_VALUE"""),68.2)</f>
        <v>68.2</v>
      </c>
      <c r="AF14" s="268">
        <f>IFERROR(__xludf.DUMMYFUNCTION("""COMPUTED_VALUE"""),71.5)</f>
        <v>71.5</v>
      </c>
      <c r="AG14" s="268">
        <f>IFERROR(__xludf.DUMMYFUNCTION("""COMPUTED_VALUE"""),78.0)</f>
        <v>78</v>
      </c>
      <c r="AH14" s="269">
        <f>IFERROR(__xludf.DUMMYFUNCTION("""COMPUTED_VALUE"""),78.0)</f>
        <v>78</v>
      </c>
      <c r="AI14" s="267" t="str">
        <f>IFERROR(__xludf.DUMMYFUNCTION("""COMPUTED_VALUE"""),"範囲(大)")</f>
        <v>範囲(大)</v>
      </c>
      <c r="AJ14" s="261">
        <f>IFERROR(__xludf.DUMMYFUNCTION("""COMPUTED_VALUE"""),1.0)</f>
        <v>1</v>
      </c>
      <c r="AK14" s="262" t="str">
        <f>IFERROR(__xludf.DUMMYFUNCTION("""COMPUTED_VALUE"""),"効果値")</f>
        <v>効果値</v>
      </c>
      <c r="AL14" s="268">
        <f>IFERROR(__xludf.DUMMYFUNCTION("""COMPUTED_VALUE"""),57.7)</f>
        <v>57.7</v>
      </c>
      <c r="AM14" s="268">
        <f>IFERROR(__xludf.DUMMYFUNCTION("""COMPUTED_VALUE"""),57.7)</f>
        <v>57.7</v>
      </c>
      <c r="AN14" s="268">
        <f>IFERROR(__xludf.DUMMYFUNCTION("""COMPUTED_VALUE"""),57.7)</f>
        <v>57.7</v>
      </c>
      <c r="AO14" s="268">
        <f>IFERROR(__xludf.DUMMYFUNCTION("""COMPUTED_VALUE"""),57.7)</f>
        <v>57.7</v>
      </c>
      <c r="AP14" s="268">
        <f>IFERROR(__xludf.DUMMYFUNCTION("""COMPUTED_VALUE"""),57.7)</f>
        <v>57.7</v>
      </c>
      <c r="AQ14" s="268">
        <f>IFERROR(__xludf.DUMMYFUNCTION("""COMPUTED_VALUE"""),60.5)</f>
        <v>60.5</v>
      </c>
      <c r="AR14" s="268">
        <f>IFERROR(__xludf.DUMMYFUNCTION("""COMPUTED_VALUE"""),66.0)</f>
        <v>66</v>
      </c>
      <c r="AS14" s="269">
        <f>IFERROR(__xludf.DUMMYFUNCTION("""COMPUTED_VALUE"""),66.0)</f>
        <v>66</v>
      </c>
      <c r="AT14" s="267" t="str">
        <f>IFERROR(__xludf.DUMMYFUNCTION("""COMPUTED_VALUE"""),"範囲(特大)")</f>
        <v>範囲(特大)</v>
      </c>
      <c r="AU14" s="261">
        <f>IFERROR(__xludf.DUMMYFUNCTION("""COMPUTED_VALUE"""),1.0)</f>
        <v>1</v>
      </c>
      <c r="AV14" s="262" t="str">
        <f>IFERROR(__xludf.DUMMYFUNCTION("""COMPUTED_VALUE"""),"効果値")</f>
        <v>効果値</v>
      </c>
      <c r="AW14" s="268">
        <f>IFERROR(__xludf.DUMMYFUNCTION("""COMPUTED_VALUE"""),52.5)</f>
        <v>52.5</v>
      </c>
      <c r="AX14" s="268">
        <f>IFERROR(__xludf.DUMMYFUNCTION("""COMPUTED_VALUE"""),52.5)</f>
        <v>52.5</v>
      </c>
      <c r="AY14" s="268">
        <f>IFERROR(__xludf.DUMMYFUNCTION("""COMPUTED_VALUE"""),52.5)</f>
        <v>52.5</v>
      </c>
      <c r="AZ14" s="268">
        <f>IFERROR(__xludf.DUMMYFUNCTION("""COMPUTED_VALUE"""),52.5)</f>
        <v>52.5</v>
      </c>
      <c r="BA14" s="268">
        <f>IFERROR(__xludf.DUMMYFUNCTION("""COMPUTED_VALUE"""),52.5)</f>
        <v>52.5</v>
      </c>
      <c r="BB14" s="268">
        <f>IFERROR(__xludf.DUMMYFUNCTION("""COMPUTED_VALUE"""),55.0)</f>
        <v>55</v>
      </c>
      <c r="BC14" s="268">
        <f>IFERROR(__xludf.DUMMYFUNCTION("""COMPUTED_VALUE"""),60.0)</f>
        <v>60</v>
      </c>
      <c r="BD14" s="269">
        <f>IFERROR(__xludf.DUMMYFUNCTION("""COMPUTED_VALUE"""),60.0)</f>
        <v>60</v>
      </c>
      <c r="BE14" s="270" t="str">
        <f>IFERROR(__xludf.DUMMYFUNCTION("""COMPUTED_VALUE"""),"範囲(小：威力減)")</f>
        <v>範囲(小：威力減)</v>
      </c>
      <c r="BF14" s="261">
        <f>IFERROR(__xludf.DUMMYFUNCTION("""COMPUTED_VALUE"""),1.0)</f>
        <v>1</v>
      </c>
      <c r="BG14" s="262" t="str">
        <f>IFERROR(__xludf.DUMMYFUNCTION("""COMPUTED_VALUE"""),"効果値")</f>
        <v>効果値</v>
      </c>
      <c r="BH14" s="268">
        <f>IFERROR(__xludf.DUMMYFUNCTION("""COMPUTED_VALUE"""),52.5)</f>
        <v>52.5</v>
      </c>
      <c r="BI14" s="268">
        <f>IFERROR(__xludf.DUMMYFUNCTION("""COMPUTED_VALUE"""),52.5)</f>
        <v>52.5</v>
      </c>
      <c r="BJ14" s="268">
        <f>IFERROR(__xludf.DUMMYFUNCTION("""COMPUTED_VALUE"""),52.5)</f>
        <v>52.5</v>
      </c>
      <c r="BK14" s="268">
        <f>IFERROR(__xludf.DUMMYFUNCTION("""COMPUTED_VALUE"""),52.5)</f>
        <v>52.5</v>
      </c>
      <c r="BL14" s="268">
        <f>IFERROR(__xludf.DUMMYFUNCTION("""COMPUTED_VALUE"""),52.5)</f>
        <v>52.5</v>
      </c>
      <c r="BM14" s="268">
        <f>IFERROR(__xludf.DUMMYFUNCTION("""COMPUTED_VALUE"""),55.0)</f>
        <v>55</v>
      </c>
      <c r="BN14" s="268">
        <f>IFERROR(__xludf.DUMMYFUNCTION("""COMPUTED_VALUE"""),60.0)</f>
        <v>60</v>
      </c>
      <c r="BO14" s="269">
        <f>IFERROR(__xludf.DUMMYFUNCTION("""COMPUTED_VALUE"""),60.0)</f>
        <v>60</v>
      </c>
    </row>
    <row r="15">
      <c r="A15" s="291" t="str">
        <f>IFERROR(__xludf.DUMMYFUNCTION("""COMPUTED_VALUE"""),"キラー攻撃")</f>
        <v>キラー攻撃</v>
      </c>
      <c r="B15" s="272" t="str">
        <f>IFERROR(__xludf.DUMMYFUNCTION("""COMPUTED_VALUE"""),"単体")</f>
        <v>単体</v>
      </c>
      <c r="C15" s="273">
        <f>IFERROR(__xludf.DUMMYFUNCTION("""COMPUTED_VALUE"""),2.0)</f>
        <v>2</v>
      </c>
      <c r="D15" s="274" t="str">
        <f>IFERROR(__xludf.DUMMYFUNCTION("""COMPUTED_VALUE"""),"効果値")</f>
        <v>効果値</v>
      </c>
      <c r="E15" s="275">
        <f>IFERROR(__xludf.DUMMYFUNCTION("""COMPUTED_VALUE"""),110.0)</f>
        <v>110</v>
      </c>
      <c r="F15" s="275">
        <f>IFERROR(__xludf.DUMMYFUNCTION("""COMPUTED_VALUE"""),112.0)</f>
        <v>112</v>
      </c>
      <c r="G15" s="275">
        <f>IFERROR(__xludf.DUMMYFUNCTION("""COMPUTED_VALUE"""),114.0)</f>
        <v>114</v>
      </c>
      <c r="H15" s="275">
        <f>IFERROR(__xludf.DUMMYFUNCTION("""COMPUTED_VALUE"""),116.0)</f>
        <v>116</v>
      </c>
      <c r="I15" s="275">
        <f>IFERROR(__xludf.DUMMYFUNCTION("""COMPUTED_VALUE"""),118.0)</f>
        <v>118</v>
      </c>
      <c r="J15" s="275">
        <f>IFERROR(__xludf.DUMMYFUNCTION("""COMPUTED_VALUE"""),125.0)</f>
        <v>125</v>
      </c>
      <c r="K15" s="275">
        <f>IFERROR(__xludf.DUMMYFUNCTION("""COMPUTED_VALUE"""),139.0)</f>
        <v>139</v>
      </c>
      <c r="L15" s="275">
        <f>IFERROR(__xludf.DUMMYFUNCTION("""COMPUTED_VALUE"""),141.0)</f>
        <v>141</v>
      </c>
      <c r="M15" s="276" t="str">
        <f>IFERROR(__xludf.DUMMYFUNCTION("""COMPUTED_VALUE"""),"範囲(小)")</f>
        <v>範囲(小)</v>
      </c>
      <c r="N15" s="273">
        <f>IFERROR(__xludf.DUMMYFUNCTION("""COMPUTED_VALUE"""),2.0)</f>
        <v>2</v>
      </c>
      <c r="O15" s="274" t="str">
        <f>IFERROR(__xludf.DUMMYFUNCTION("""COMPUTED_VALUE"""),"効果値")</f>
        <v>効果値</v>
      </c>
      <c r="P15" s="277">
        <f>IFERROR(__xludf.DUMMYFUNCTION("""COMPUTED_VALUE"""),82.5)</f>
        <v>82.5</v>
      </c>
      <c r="Q15" s="277">
        <f>IFERROR(__xludf.DUMMYFUNCTION("""COMPUTED_VALUE"""),84.0)</f>
        <v>84</v>
      </c>
      <c r="R15" s="277">
        <f>IFERROR(__xludf.DUMMYFUNCTION("""COMPUTED_VALUE"""),85.5)</f>
        <v>85.5</v>
      </c>
      <c r="S15" s="277">
        <f>IFERROR(__xludf.DUMMYFUNCTION("""COMPUTED_VALUE"""),87.0)</f>
        <v>87</v>
      </c>
      <c r="T15" s="277">
        <f>IFERROR(__xludf.DUMMYFUNCTION("""COMPUTED_VALUE"""),88.5)</f>
        <v>88.5</v>
      </c>
      <c r="U15" s="277">
        <f>IFERROR(__xludf.DUMMYFUNCTION("""COMPUTED_VALUE"""),93.7)</f>
        <v>93.7</v>
      </c>
      <c r="V15" s="277">
        <f>IFERROR(__xludf.DUMMYFUNCTION("""COMPUTED_VALUE"""),104.2)</f>
        <v>104.2</v>
      </c>
      <c r="W15" s="278">
        <f>IFERROR(__xludf.DUMMYFUNCTION("""COMPUTED_VALUE"""),105.7)</f>
        <v>105.7</v>
      </c>
      <c r="X15" s="276" t="str">
        <f>IFERROR(__xludf.DUMMYFUNCTION("""COMPUTED_VALUE"""),"範囲(中)")</f>
        <v>範囲(中)</v>
      </c>
      <c r="Y15" s="273">
        <f>IFERROR(__xludf.DUMMYFUNCTION("""COMPUTED_VALUE"""),2.0)</f>
        <v>2</v>
      </c>
      <c r="Z15" s="274" t="str">
        <f>IFERROR(__xludf.DUMMYFUNCTION("""COMPUTED_VALUE"""),"効果値")</f>
        <v>効果値</v>
      </c>
      <c r="AA15" s="277">
        <f>IFERROR(__xludf.DUMMYFUNCTION("""COMPUTED_VALUE"""),71.5)</f>
        <v>71.5</v>
      </c>
      <c r="AB15" s="277">
        <f>IFERROR(__xludf.DUMMYFUNCTION("""COMPUTED_VALUE"""),72.8)</f>
        <v>72.8</v>
      </c>
      <c r="AC15" s="277">
        <f>IFERROR(__xludf.DUMMYFUNCTION("""COMPUTED_VALUE"""),74.1)</f>
        <v>74.1</v>
      </c>
      <c r="AD15" s="277">
        <f>IFERROR(__xludf.DUMMYFUNCTION("""COMPUTED_VALUE"""),75.4)</f>
        <v>75.4</v>
      </c>
      <c r="AE15" s="277">
        <f>IFERROR(__xludf.DUMMYFUNCTION("""COMPUTED_VALUE"""),76.7)</f>
        <v>76.7</v>
      </c>
      <c r="AF15" s="277">
        <f>IFERROR(__xludf.DUMMYFUNCTION("""COMPUTED_VALUE"""),81.2)</f>
        <v>81.2</v>
      </c>
      <c r="AG15" s="277">
        <f>IFERROR(__xludf.DUMMYFUNCTION("""COMPUTED_VALUE"""),90.3)</f>
        <v>90.3</v>
      </c>
      <c r="AH15" s="278">
        <f>IFERROR(__xludf.DUMMYFUNCTION("""COMPUTED_VALUE"""),91.6)</f>
        <v>91.6</v>
      </c>
      <c r="AI15" s="276" t="str">
        <f>IFERROR(__xludf.DUMMYFUNCTION("""COMPUTED_VALUE"""),"範囲(大)")</f>
        <v>範囲(大)</v>
      </c>
      <c r="AJ15" s="273">
        <f>IFERROR(__xludf.DUMMYFUNCTION("""COMPUTED_VALUE"""),2.0)</f>
        <v>2</v>
      </c>
      <c r="AK15" s="274" t="str">
        <f>IFERROR(__xludf.DUMMYFUNCTION("""COMPUTED_VALUE"""),"効果値")</f>
        <v>効果値</v>
      </c>
      <c r="AL15" s="277">
        <f>IFERROR(__xludf.DUMMYFUNCTION("""COMPUTED_VALUE"""),60.5)</f>
        <v>60.5</v>
      </c>
      <c r="AM15" s="277">
        <f>IFERROR(__xludf.DUMMYFUNCTION("""COMPUTED_VALUE"""),61.6)</f>
        <v>61.6</v>
      </c>
      <c r="AN15" s="277">
        <f>IFERROR(__xludf.DUMMYFUNCTION("""COMPUTED_VALUE"""),62.7)</f>
        <v>62.7</v>
      </c>
      <c r="AO15" s="277">
        <f>IFERROR(__xludf.DUMMYFUNCTION("""COMPUTED_VALUE"""),63.8)</f>
        <v>63.8</v>
      </c>
      <c r="AP15" s="277">
        <f>IFERROR(__xludf.DUMMYFUNCTION("""COMPUTED_VALUE"""),64.9)</f>
        <v>64.9</v>
      </c>
      <c r="AQ15" s="277">
        <f>IFERROR(__xludf.DUMMYFUNCTION("""COMPUTED_VALUE"""),68.7)</f>
        <v>68.7</v>
      </c>
      <c r="AR15" s="277">
        <f>IFERROR(__xludf.DUMMYFUNCTION("""COMPUTED_VALUE"""),76.4)</f>
        <v>76.4</v>
      </c>
      <c r="AS15" s="278">
        <f>IFERROR(__xludf.DUMMYFUNCTION("""COMPUTED_VALUE"""),77.5)</f>
        <v>77.5</v>
      </c>
      <c r="AT15" s="276" t="str">
        <f>IFERROR(__xludf.DUMMYFUNCTION("""COMPUTED_VALUE"""),"範囲(特大)")</f>
        <v>範囲(特大)</v>
      </c>
      <c r="AU15" s="273">
        <f>IFERROR(__xludf.DUMMYFUNCTION("""COMPUTED_VALUE"""),2.0)</f>
        <v>2</v>
      </c>
      <c r="AV15" s="274" t="str">
        <f>IFERROR(__xludf.DUMMYFUNCTION("""COMPUTED_VALUE"""),"効果値")</f>
        <v>効果値</v>
      </c>
      <c r="AW15" s="277">
        <f>IFERROR(__xludf.DUMMYFUNCTION("""COMPUTED_VALUE"""),55.0)</f>
        <v>55</v>
      </c>
      <c r="AX15" s="277">
        <f>IFERROR(__xludf.DUMMYFUNCTION("""COMPUTED_VALUE"""),56.0)</f>
        <v>56</v>
      </c>
      <c r="AY15" s="277">
        <f>IFERROR(__xludf.DUMMYFUNCTION("""COMPUTED_VALUE"""),57.0)</f>
        <v>57</v>
      </c>
      <c r="AZ15" s="277">
        <f>IFERROR(__xludf.DUMMYFUNCTION("""COMPUTED_VALUE"""),58.0)</f>
        <v>58</v>
      </c>
      <c r="BA15" s="277">
        <f>IFERROR(__xludf.DUMMYFUNCTION("""COMPUTED_VALUE"""),59.0)</f>
        <v>59</v>
      </c>
      <c r="BB15" s="277">
        <f>IFERROR(__xludf.DUMMYFUNCTION("""COMPUTED_VALUE"""),62.5)</f>
        <v>62.5</v>
      </c>
      <c r="BC15" s="277">
        <f>IFERROR(__xludf.DUMMYFUNCTION("""COMPUTED_VALUE"""),69.5)</f>
        <v>69.5</v>
      </c>
      <c r="BD15" s="278">
        <f>IFERROR(__xludf.DUMMYFUNCTION("""COMPUTED_VALUE"""),70.5)</f>
        <v>70.5</v>
      </c>
      <c r="BE15" s="279" t="str">
        <f>IFERROR(__xludf.DUMMYFUNCTION("""COMPUTED_VALUE"""),"範囲(小：威力減)")</f>
        <v>範囲(小：威力減)</v>
      </c>
      <c r="BF15" s="273">
        <f>IFERROR(__xludf.DUMMYFUNCTION("""COMPUTED_VALUE"""),2.0)</f>
        <v>2</v>
      </c>
      <c r="BG15" s="274" t="str">
        <f>IFERROR(__xludf.DUMMYFUNCTION("""COMPUTED_VALUE"""),"効果値")</f>
        <v>効果値</v>
      </c>
      <c r="BH15" s="277">
        <f>IFERROR(__xludf.DUMMYFUNCTION("""COMPUTED_VALUE"""),55.0)</f>
        <v>55</v>
      </c>
      <c r="BI15" s="277">
        <f>IFERROR(__xludf.DUMMYFUNCTION("""COMPUTED_VALUE"""),56.0)</f>
        <v>56</v>
      </c>
      <c r="BJ15" s="277">
        <f>IFERROR(__xludf.DUMMYFUNCTION("""COMPUTED_VALUE"""),57.0)</f>
        <v>57</v>
      </c>
      <c r="BK15" s="277">
        <f>IFERROR(__xludf.DUMMYFUNCTION("""COMPUTED_VALUE"""),58.0)</f>
        <v>58</v>
      </c>
      <c r="BL15" s="277">
        <f>IFERROR(__xludf.DUMMYFUNCTION("""COMPUTED_VALUE"""),59.0)</f>
        <v>59</v>
      </c>
      <c r="BM15" s="277">
        <f>IFERROR(__xludf.DUMMYFUNCTION("""COMPUTED_VALUE"""),62.5)</f>
        <v>62.5</v>
      </c>
      <c r="BN15" s="277">
        <f>IFERROR(__xludf.DUMMYFUNCTION("""COMPUTED_VALUE"""),69.5)</f>
        <v>69.5</v>
      </c>
      <c r="BO15" s="278">
        <f>IFERROR(__xludf.DUMMYFUNCTION("""COMPUTED_VALUE"""),70.5)</f>
        <v>70.5</v>
      </c>
    </row>
    <row r="16">
      <c r="A16" s="271" t="str">
        <f>IFERROR(__xludf.DUMMYFUNCTION("""COMPUTED_VALUE"""),"キラー攻撃")</f>
        <v>キラー攻撃</v>
      </c>
      <c r="B16" s="272" t="str">
        <f>IFERROR(__xludf.DUMMYFUNCTION("""COMPUTED_VALUE"""),"単体")</f>
        <v>単体</v>
      </c>
      <c r="C16" s="273">
        <f>IFERROR(__xludf.DUMMYFUNCTION("""COMPUTED_VALUE"""),3.0)</f>
        <v>3</v>
      </c>
      <c r="D16" s="274" t="str">
        <f>IFERROR(__xludf.DUMMYFUNCTION("""COMPUTED_VALUE"""),"効果値")</f>
        <v>効果値</v>
      </c>
      <c r="E16" s="275">
        <f>IFERROR(__xludf.DUMMYFUNCTION("""COMPUTED_VALUE"""),114.0)</f>
        <v>114</v>
      </c>
      <c r="F16" s="275">
        <f>IFERROR(__xludf.DUMMYFUNCTION("""COMPUTED_VALUE"""),118.0)</f>
        <v>118</v>
      </c>
      <c r="G16" s="275">
        <f>IFERROR(__xludf.DUMMYFUNCTION("""COMPUTED_VALUE"""),121.0)</f>
        <v>121</v>
      </c>
      <c r="H16" s="275">
        <f>IFERROR(__xludf.DUMMYFUNCTION("""COMPUTED_VALUE"""),124.0)</f>
        <v>124</v>
      </c>
      <c r="I16" s="275">
        <f>IFERROR(__xludf.DUMMYFUNCTION("""COMPUTED_VALUE"""),128.0)</f>
        <v>128</v>
      </c>
      <c r="J16" s="275">
        <f>IFERROR(__xludf.DUMMYFUNCTION("""COMPUTED_VALUE"""),136.0)</f>
        <v>136</v>
      </c>
      <c r="K16" s="275">
        <f>IFERROR(__xludf.DUMMYFUNCTION("""COMPUTED_VALUE"""),153.0)</f>
        <v>153</v>
      </c>
      <c r="L16" s="275">
        <f>IFERROR(__xludf.DUMMYFUNCTION("""COMPUTED_VALUE"""),156.0)</f>
        <v>156</v>
      </c>
      <c r="M16" s="276" t="str">
        <f>IFERROR(__xludf.DUMMYFUNCTION("""COMPUTED_VALUE"""),"範囲(小)")</f>
        <v>範囲(小)</v>
      </c>
      <c r="N16" s="273">
        <f>IFERROR(__xludf.DUMMYFUNCTION("""COMPUTED_VALUE"""),3.0)</f>
        <v>3</v>
      </c>
      <c r="O16" s="274" t="str">
        <f>IFERROR(__xludf.DUMMYFUNCTION("""COMPUTED_VALUE"""),"効果値")</f>
        <v>効果値</v>
      </c>
      <c r="P16" s="277">
        <f>IFERROR(__xludf.DUMMYFUNCTION("""COMPUTED_VALUE"""),85.5)</f>
        <v>85.5</v>
      </c>
      <c r="Q16" s="277">
        <f>IFERROR(__xludf.DUMMYFUNCTION("""COMPUTED_VALUE"""),88.5)</f>
        <v>88.5</v>
      </c>
      <c r="R16" s="277">
        <f>IFERROR(__xludf.DUMMYFUNCTION("""COMPUTED_VALUE"""),90.7)</f>
        <v>90.7</v>
      </c>
      <c r="S16" s="277">
        <f>IFERROR(__xludf.DUMMYFUNCTION("""COMPUTED_VALUE"""),93.0)</f>
        <v>93</v>
      </c>
      <c r="T16" s="277">
        <f>IFERROR(__xludf.DUMMYFUNCTION("""COMPUTED_VALUE"""),96.0)</f>
        <v>96</v>
      </c>
      <c r="U16" s="277">
        <f>IFERROR(__xludf.DUMMYFUNCTION("""COMPUTED_VALUE"""),102.0)</f>
        <v>102</v>
      </c>
      <c r="V16" s="277">
        <f>IFERROR(__xludf.DUMMYFUNCTION("""COMPUTED_VALUE"""),114.7)</f>
        <v>114.7</v>
      </c>
      <c r="W16" s="278">
        <f>IFERROR(__xludf.DUMMYFUNCTION("""COMPUTED_VALUE"""),117.0)</f>
        <v>117</v>
      </c>
      <c r="X16" s="276" t="str">
        <f>IFERROR(__xludf.DUMMYFUNCTION("""COMPUTED_VALUE"""),"範囲(中)")</f>
        <v>範囲(中)</v>
      </c>
      <c r="Y16" s="273">
        <f>IFERROR(__xludf.DUMMYFUNCTION("""COMPUTED_VALUE"""),3.0)</f>
        <v>3</v>
      </c>
      <c r="Z16" s="274" t="str">
        <f>IFERROR(__xludf.DUMMYFUNCTION("""COMPUTED_VALUE"""),"効果値")</f>
        <v>効果値</v>
      </c>
      <c r="AA16" s="277">
        <f>IFERROR(__xludf.DUMMYFUNCTION("""COMPUTED_VALUE"""),74.1)</f>
        <v>74.1</v>
      </c>
      <c r="AB16" s="277">
        <f>IFERROR(__xludf.DUMMYFUNCTION("""COMPUTED_VALUE"""),76.7)</f>
        <v>76.7</v>
      </c>
      <c r="AC16" s="277">
        <f>IFERROR(__xludf.DUMMYFUNCTION("""COMPUTED_VALUE"""),78.6)</f>
        <v>78.6</v>
      </c>
      <c r="AD16" s="277">
        <f>IFERROR(__xludf.DUMMYFUNCTION("""COMPUTED_VALUE"""),80.6)</f>
        <v>80.6</v>
      </c>
      <c r="AE16" s="277">
        <f>IFERROR(__xludf.DUMMYFUNCTION("""COMPUTED_VALUE"""),83.2)</f>
        <v>83.2</v>
      </c>
      <c r="AF16" s="277">
        <f>IFERROR(__xludf.DUMMYFUNCTION("""COMPUTED_VALUE"""),88.4)</f>
        <v>88.4</v>
      </c>
      <c r="AG16" s="277">
        <f>IFERROR(__xludf.DUMMYFUNCTION("""COMPUTED_VALUE"""),99.4)</f>
        <v>99.4</v>
      </c>
      <c r="AH16" s="278">
        <f>IFERROR(__xludf.DUMMYFUNCTION("""COMPUTED_VALUE"""),101.4)</f>
        <v>101.4</v>
      </c>
      <c r="AI16" s="276" t="str">
        <f>IFERROR(__xludf.DUMMYFUNCTION("""COMPUTED_VALUE"""),"範囲(大)")</f>
        <v>範囲(大)</v>
      </c>
      <c r="AJ16" s="273">
        <f>IFERROR(__xludf.DUMMYFUNCTION("""COMPUTED_VALUE"""),3.0)</f>
        <v>3</v>
      </c>
      <c r="AK16" s="274" t="str">
        <f>IFERROR(__xludf.DUMMYFUNCTION("""COMPUTED_VALUE"""),"効果値")</f>
        <v>効果値</v>
      </c>
      <c r="AL16" s="277">
        <f>IFERROR(__xludf.DUMMYFUNCTION("""COMPUTED_VALUE"""),62.7)</f>
        <v>62.7</v>
      </c>
      <c r="AM16" s="277">
        <f>IFERROR(__xludf.DUMMYFUNCTION("""COMPUTED_VALUE"""),64.9)</f>
        <v>64.9</v>
      </c>
      <c r="AN16" s="277">
        <f>IFERROR(__xludf.DUMMYFUNCTION("""COMPUTED_VALUE"""),66.5)</f>
        <v>66.5</v>
      </c>
      <c r="AO16" s="277">
        <f>IFERROR(__xludf.DUMMYFUNCTION("""COMPUTED_VALUE"""),68.2)</f>
        <v>68.2</v>
      </c>
      <c r="AP16" s="277">
        <f>IFERROR(__xludf.DUMMYFUNCTION("""COMPUTED_VALUE"""),70.4)</f>
        <v>70.4</v>
      </c>
      <c r="AQ16" s="277">
        <f>IFERROR(__xludf.DUMMYFUNCTION("""COMPUTED_VALUE"""),74.8)</f>
        <v>74.8</v>
      </c>
      <c r="AR16" s="277">
        <f>IFERROR(__xludf.DUMMYFUNCTION("""COMPUTED_VALUE"""),84.1)</f>
        <v>84.1</v>
      </c>
      <c r="AS16" s="278">
        <f>IFERROR(__xludf.DUMMYFUNCTION("""COMPUTED_VALUE"""),85.8)</f>
        <v>85.8</v>
      </c>
      <c r="AT16" s="276" t="str">
        <f>IFERROR(__xludf.DUMMYFUNCTION("""COMPUTED_VALUE"""),"範囲(特大)")</f>
        <v>範囲(特大)</v>
      </c>
      <c r="AU16" s="273">
        <f>IFERROR(__xludf.DUMMYFUNCTION("""COMPUTED_VALUE"""),3.0)</f>
        <v>3</v>
      </c>
      <c r="AV16" s="274" t="str">
        <f>IFERROR(__xludf.DUMMYFUNCTION("""COMPUTED_VALUE"""),"効果値")</f>
        <v>効果値</v>
      </c>
      <c r="AW16" s="277">
        <f>IFERROR(__xludf.DUMMYFUNCTION("""COMPUTED_VALUE"""),57.0)</f>
        <v>57</v>
      </c>
      <c r="AX16" s="277">
        <f>IFERROR(__xludf.DUMMYFUNCTION("""COMPUTED_VALUE"""),59.0)</f>
        <v>59</v>
      </c>
      <c r="AY16" s="277">
        <f>IFERROR(__xludf.DUMMYFUNCTION("""COMPUTED_VALUE"""),60.5)</f>
        <v>60.5</v>
      </c>
      <c r="AZ16" s="277">
        <f>IFERROR(__xludf.DUMMYFUNCTION("""COMPUTED_VALUE"""),62.0)</f>
        <v>62</v>
      </c>
      <c r="BA16" s="277">
        <f>IFERROR(__xludf.DUMMYFUNCTION("""COMPUTED_VALUE"""),64.0)</f>
        <v>64</v>
      </c>
      <c r="BB16" s="277">
        <f>IFERROR(__xludf.DUMMYFUNCTION("""COMPUTED_VALUE"""),68.0)</f>
        <v>68</v>
      </c>
      <c r="BC16" s="277">
        <f>IFERROR(__xludf.DUMMYFUNCTION("""COMPUTED_VALUE"""),76.5)</f>
        <v>76.5</v>
      </c>
      <c r="BD16" s="278">
        <f>IFERROR(__xludf.DUMMYFUNCTION("""COMPUTED_VALUE"""),78.0)</f>
        <v>78</v>
      </c>
      <c r="BE16" s="279" t="str">
        <f>IFERROR(__xludf.DUMMYFUNCTION("""COMPUTED_VALUE"""),"範囲(小：威力減)")</f>
        <v>範囲(小：威力減)</v>
      </c>
      <c r="BF16" s="273">
        <f>IFERROR(__xludf.DUMMYFUNCTION("""COMPUTED_VALUE"""),3.0)</f>
        <v>3</v>
      </c>
      <c r="BG16" s="274" t="str">
        <f>IFERROR(__xludf.DUMMYFUNCTION("""COMPUTED_VALUE"""),"効果値")</f>
        <v>効果値</v>
      </c>
      <c r="BH16" s="277">
        <f>IFERROR(__xludf.DUMMYFUNCTION("""COMPUTED_VALUE"""),57.0)</f>
        <v>57</v>
      </c>
      <c r="BI16" s="277">
        <f>IFERROR(__xludf.DUMMYFUNCTION("""COMPUTED_VALUE"""),59.0)</f>
        <v>59</v>
      </c>
      <c r="BJ16" s="277">
        <f>IFERROR(__xludf.DUMMYFUNCTION("""COMPUTED_VALUE"""),60.5)</f>
        <v>60.5</v>
      </c>
      <c r="BK16" s="277">
        <f>IFERROR(__xludf.DUMMYFUNCTION("""COMPUTED_VALUE"""),62.0)</f>
        <v>62</v>
      </c>
      <c r="BL16" s="277">
        <f>IFERROR(__xludf.DUMMYFUNCTION("""COMPUTED_VALUE"""),64.0)</f>
        <v>64</v>
      </c>
      <c r="BM16" s="277">
        <f>IFERROR(__xludf.DUMMYFUNCTION("""COMPUTED_VALUE"""),68.0)</f>
        <v>68</v>
      </c>
      <c r="BN16" s="277">
        <f>IFERROR(__xludf.DUMMYFUNCTION("""COMPUTED_VALUE"""),76.5)</f>
        <v>76.5</v>
      </c>
      <c r="BO16" s="278">
        <f>IFERROR(__xludf.DUMMYFUNCTION("""COMPUTED_VALUE"""),78.0)</f>
        <v>78</v>
      </c>
    </row>
    <row r="17">
      <c r="A17" s="271" t="str">
        <f>IFERROR(__xludf.DUMMYFUNCTION("""COMPUTED_VALUE"""),"キラー攻撃")</f>
        <v>キラー攻撃</v>
      </c>
      <c r="B17" s="272" t="str">
        <f>IFERROR(__xludf.DUMMYFUNCTION("""COMPUTED_VALUE"""),"単体")</f>
        <v>単体</v>
      </c>
      <c r="C17" s="273">
        <f>IFERROR(__xludf.DUMMYFUNCTION("""COMPUTED_VALUE"""),4.0)</f>
        <v>4</v>
      </c>
      <c r="D17" s="274" t="str">
        <f>IFERROR(__xludf.DUMMYFUNCTION("""COMPUTED_VALUE"""),"効果値")</f>
        <v>効果値</v>
      </c>
      <c r="E17" s="275">
        <f>IFERROR(__xludf.DUMMYFUNCTION("""COMPUTED_VALUE"""),117.0)</f>
        <v>117</v>
      </c>
      <c r="F17" s="275">
        <f>IFERROR(__xludf.DUMMYFUNCTION("""COMPUTED_VALUE"""),122.0)</f>
        <v>122</v>
      </c>
      <c r="G17" s="275">
        <f>IFERROR(__xludf.DUMMYFUNCTION("""COMPUTED_VALUE"""),126.0)</f>
        <v>126</v>
      </c>
      <c r="H17" s="275">
        <f>IFERROR(__xludf.DUMMYFUNCTION("""COMPUTED_VALUE"""),130.0)</f>
        <v>130</v>
      </c>
      <c r="I17" s="275">
        <f>IFERROR(__xludf.DUMMYFUNCTION("""COMPUTED_VALUE"""),135.0)</f>
        <v>135</v>
      </c>
      <c r="J17" s="275">
        <f>IFERROR(__xludf.DUMMYFUNCTION("""COMPUTED_VALUE"""),144.0)</f>
        <v>144</v>
      </c>
      <c r="K17" s="275">
        <f>IFERROR(__xludf.DUMMYFUNCTION("""COMPUTED_VALUE"""),163.0)</f>
        <v>163</v>
      </c>
      <c r="L17" s="275">
        <f>IFERROR(__xludf.DUMMYFUNCTION("""COMPUTED_VALUE"""),167.0)</f>
        <v>167</v>
      </c>
      <c r="M17" s="276" t="str">
        <f>IFERROR(__xludf.DUMMYFUNCTION("""COMPUTED_VALUE"""),"範囲(小)")</f>
        <v>範囲(小)</v>
      </c>
      <c r="N17" s="273">
        <f>IFERROR(__xludf.DUMMYFUNCTION("""COMPUTED_VALUE"""),4.0)</f>
        <v>4</v>
      </c>
      <c r="O17" s="274" t="str">
        <f>IFERROR(__xludf.DUMMYFUNCTION("""COMPUTED_VALUE"""),"効果値")</f>
        <v>効果値</v>
      </c>
      <c r="P17" s="277">
        <f>IFERROR(__xludf.DUMMYFUNCTION("""COMPUTED_VALUE"""),87.7)</f>
        <v>87.7</v>
      </c>
      <c r="Q17" s="277">
        <f>IFERROR(__xludf.DUMMYFUNCTION("""COMPUTED_VALUE"""),91.5)</f>
        <v>91.5</v>
      </c>
      <c r="R17" s="277">
        <f>IFERROR(__xludf.DUMMYFUNCTION("""COMPUTED_VALUE"""),94.5)</f>
        <v>94.5</v>
      </c>
      <c r="S17" s="277">
        <f>IFERROR(__xludf.DUMMYFUNCTION("""COMPUTED_VALUE"""),97.5)</f>
        <v>97.5</v>
      </c>
      <c r="T17" s="277">
        <f>IFERROR(__xludf.DUMMYFUNCTION("""COMPUTED_VALUE"""),101.2)</f>
        <v>101.2</v>
      </c>
      <c r="U17" s="277">
        <f>IFERROR(__xludf.DUMMYFUNCTION("""COMPUTED_VALUE"""),108.0)</f>
        <v>108</v>
      </c>
      <c r="V17" s="277">
        <f>IFERROR(__xludf.DUMMYFUNCTION("""COMPUTED_VALUE"""),122.2)</f>
        <v>122.2</v>
      </c>
      <c r="W17" s="278">
        <f>IFERROR(__xludf.DUMMYFUNCTION("""COMPUTED_VALUE"""),125.2)</f>
        <v>125.2</v>
      </c>
      <c r="X17" s="276" t="str">
        <f>IFERROR(__xludf.DUMMYFUNCTION("""COMPUTED_VALUE"""),"範囲(中)")</f>
        <v>範囲(中)</v>
      </c>
      <c r="Y17" s="273">
        <f>IFERROR(__xludf.DUMMYFUNCTION("""COMPUTED_VALUE"""),4.0)</f>
        <v>4</v>
      </c>
      <c r="Z17" s="274" t="str">
        <f>IFERROR(__xludf.DUMMYFUNCTION("""COMPUTED_VALUE"""),"効果値")</f>
        <v>効果値</v>
      </c>
      <c r="AA17" s="277">
        <f>IFERROR(__xludf.DUMMYFUNCTION("""COMPUTED_VALUE"""),76.0)</f>
        <v>76</v>
      </c>
      <c r="AB17" s="277">
        <f>IFERROR(__xludf.DUMMYFUNCTION("""COMPUTED_VALUE"""),79.3)</f>
        <v>79.3</v>
      </c>
      <c r="AC17" s="277">
        <f>IFERROR(__xludf.DUMMYFUNCTION("""COMPUTED_VALUE"""),81.9)</f>
        <v>81.9</v>
      </c>
      <c r="AD17" s="277">
        <f>IFERROR(__xludf.DUMMYFUNCTION("""COMPUTED_VALUE"""),84.5)</f>
        <v>84.5</v>
      </c>
      <c r="AE17" s="277">
        <f>IFERROR(__xludf.DUMMYFUNCTION("""COMPUTED_VALUE"""),87.7)</f>
        <v>87.7</v>
      </c>
      <c r="AF17" s="277">
        <f>IFERROR(__xludf.DUMMYFUNCTION("""COMPUTED_VALUE"""),93.6)</f>
        <v>93.6</v>
      </c>
      <c r="AG17" s="277">
        <f>IFERROR(__xludf.DUMMYFUNCTION("""COMPUTED_VALUE"""),105.9)</f>
        <v>105.9</v>
      </c>
      <c r="AH17" s="278">
        <f>IFERROR(__xludf.DUMMYFUNCTION("""COMPUTED_VALUE"""),108.5)</f>
        <v>108.5</v>
      </c>
      <c r="AI17" s="276" t="str">
        <f>IFERROR(__xludf.DUMMYFUNCTION("""COMPUTED_VALUE"""),"範囲(大)")</f>
        <v>範囲(大)</v>
      </c>
      <c r="AJ17" s="273">
        <f>IFERROR(__xludf.DUMMYFUNCTION("""COMPUTED_VALUE"""),4.0)</f>
        <v>4</v>
      </c>
      <c r="AK17" s="274" t="str">
        <f>IFERROR(__xludf.DUMMYFUNCTION("""COMPUTED_VALUE"""),"効果値")</f>
        <v>効果値</v>
      </c>
      <c r="AL17" s="277">
        <f>IFERROR(__xludf.DUMMYFUNCTION("""COMPUTED_VALUE"""),64.3)</f>
        <v>64.3</v>
      </c>
      <c r="AM17" s="277">
        <f>IFERROR(__xludf.DUMMYFUNCTION("""COMPUTED_VALUE"""),67.1)</f>
        <v>67.1</v>
      </c>
      <c r="AN17" s="277">
        <f>IFERROR(__xludf.DUMMYFUNCTION("""COMPUTED_VALUE"""),69.3)</f>
        <v>69.3</v>
      </c>
      <c r="AO17" s="277">
        <f>IFERROR(__xludf.DUMMYFUNCTION("""COMPUTED_VALUE"""),71.5)</f>
        <v>71.5</v>
      </c>
      <c r="AP17" s="277">
        <f>IFERROR(__xludf.DUMMYFUNCTION("""COMPUTED_VALUE"""),74.2)</f>
        <v>74.2</v>
      </c>
      <c r="AQ17" s="277">
        <f>IFERROR(__xludf.DUMMYFUNCTION("""COMPUTED_VALUE"""),79.2)</f>
        <v>79.2</v>
      </c>
      <c r="AR17" s="277">
        <f>IFERROR(__xludf.DUMMYFUNCTION("""COMPUTED_VALUE"""),89.6)</f>
        <v>89.6</v>
      </c>
      <c r="AS17" s="278">
        <f>IFERROR(__xludf.DUMMYFUNCTION("""COMPUTED_VALUE"""),91.8)</f>
        <v>91.8</v>
      </c>
      <c r="AT17" s="276" t="str">
        <f>IFERROR(__xludf.DUMMYFUNCTION("""COMPUTED_VALUE"""),"範囲(特大)")</f>
        <v>範囲(特大)</v>
      </c>
      <c r="AU17" s="273">
        <f>IFERROR(__xludf.DUMMYFUNCTION("""COMPUTED_VALUE"""),4.0)</f>
        <v>4</v>
      </c>
      <c r="AV17" s="274" t="str">
        <f>IFERROR(__xludf.DUMMYFUNCTION("""COMPUTED_VALUE"""),"効果値")</f>
        <v>効果値</v>
      </c>
      <c r="AW17" s="277">
        <f>IFERROR(__xludf.DUMMYFUNCTION("""COMPUTED_VALUE"""),58.5)</f>
        <v>58.5</v>
      </c>
      <c r="AX17" s="277">
        <f>IFERROR(__xludf.DUMMYFUNCTION("""COMPUTED_VALUE"""),61.0)</f>
        <v>61</v>
      </c>
      <c r="AY17" s="277">
        <f>IFERROR(__xludf.DUMMYFUNCTION("""COMPUTED_VALUE"""),63.0)</f>
        <v>63</v>
      </c>
      <c r="AZ17" s="277">
        <f>IFERROR(__xludf.DUMMYFUNCTION("""COMPUTED_VALUE"""),65.0)</f>
        <v>65</v>
      </c>
      <c r="BA17" s="277">
        <f>IFERROR(__xludf.DUMMYFUNCTION("""COMPUTED_VALUE"""),67.5)</f>
        <v>67.5</v>
      </c>
      <c r="BB17" s="277">
        <f>IFERROR(__xludf.DUMMYFUNCTION("""COMPUTED_VALUE"""),72.0)</f>
        <v>72</v>
      </c>
      <c r="BC17" s="277">
        <f>IFERROR(__xludf.DUMMYFUNCTION("""COMPUTED_VALUE"""),81.5)</f>
        <v>81.5</v>
      </c>
      <c r="BD17" s="278">
        <f>IFERROR(__xludf.DUMMYFUNCTION("""COMPUTED_VALUE"""),83.5)</f>
        <v>83.5</v>
      </c>
      <c r="BE17" s="279" t="str">
        <f>IFERROR(__xludf.DUMMYFUNCTION("""COMPUTED_VALUE"""),"範囲(小：威力減)")</f>
        <v>範囲(小：威力減)</v>
      </c>
      <c r="BF17" s="273">
        <f>IFERROR(__xludf.DUMMYFUNCTION("""COMPUTED_VALUE"""),4.0)</f>
        <v>4</v>
      </c>
      <c r="BG17" s="274" t="str">
        <f>IFERROR(__xludf.DUMMYFUNCTION("""COMPUTED_VALUE"""),"効果値")</f>
        <v>効果値</v>
      </c>
      <c r="BH17" s="277">
        <f>IFERROR(__xludf.DUMMYFUNCTION("""COMPUTED_VALUE"""),58.5)</f>
        <v>58.5</v>
      </c>
      <c r="BI17" s="277">
        <f>IFERROR(__xludf.DUMMYFUNCTION("""COMPUTED_VALUE"""),61.0)</f>
        <v>61</v>
      </c>
      <c r="BJ17" s="277">
        <f>IFERROR(__xludf.DUMMYFUNCTION("""COMPUTED_VALUE"""),63.0)</f>
        <v>63</v>
      </c>
      <c r="BK17" s="277">
        <f>IFERROR(__xludf.DUMMYFUNCTION("""COMPUTED_VALUE"""),65.0)</f>
        <v>65</v>
      </c>
      <c r="BL17" s="277">
        <f>IFERROR(__xludf.DUMMYFUNCTION("""COMPUTED_VALUE"""),67.5)</f>
        <v>67.5</v>
      </c>
      <c r="BM17" s="277">
        <f>IFERROR(__xludf.DUMMYFUNCTION("""COMPUTED_VALUE"""),72.0)</f>
        <v>72</v>
      </c>
      <c r="BN17" s="277">
        <f>IFERROR(__xludf.DUMMYFUNCTION("""COMPUTED_VALUE"""),81.5)</f>
        <v>81.5</v>
      </c>
      <c r="BO17" s="278">
        <f>IFERROR(__xludf.DUMMYFUNCTION("""COMPUTED_VALUE"""),83.5)</f>
        <v>83.5</v>
      </c>
    </row>
    <row r="18">
      <c r="A18" s="271" t="str">
        <f>IFERROR(__xludf.DUMMYFUNCTION("""COMPUTED_VALUE"""),"キラー攻撃")</f>
        <v>キラー攻撃</v>
      </c>
      <c r="B18" s="272" t="str">
        <f>IFERROR(__xludf.DUMMYFUNCTION("""COMPUTED_VALUE"""),"単体")</f>
        <v>単体</v>
      </c>
      <c r="C18" s="283">
        <f>IFERROR(__xludf.DUMMYFUNCTION("""COMPUTED_VALUE"""),5.0)</f>
        <v>5</v>
      </c>
      <c r="D18" s="284" t="str">
        <f>IFERROR(__xludf.DUMMYFUNCTION("""COMPUTED_VALUE"""),"効果値")</f>
        <v>効果値</v>
      </c>
      <c r="E18" s="285">
        <f>IFERROR(__xludf.DUMMYFUNCTION("""COMPUTED_VALUE"""),120.0)</f>
        <v>120</v>
      </c>
      <c r="F18" s="287">
        <f>IFERROR(__xludf.DUMMYFUNCTION("""COMPUTED_VALUE"""),125.0)</f>
        <v>125</v>
      </c>
      <c r="G18" s="287">
        <f>IFERROR(__xludf.DUMMYFUNCTION("""COMPUTED_VALUE"""),130.0)</f>
        <v>130</v>
      </c>
      <c r="H18" s="287">
        <f>IFERROR(__xludf.DUMMYFUNCTION("""COMPUTED_VALUE"""),135.0)</f>
        <v>135</v>
      </c>
      <c r="I18" s="287">
        <f>IFERROR(__xludf.DUMMYFUNCTION("""COMPUTED_VALUE"""),140.0)</f>
        <v>140</v>
      </c>
      <c r="J18" s="287">
        <f>IFERROR(__xludf.DUMMYFUNCTION("""COMPUTED_VALUE"""),150.0)</f>
        <v>150</v>
      </c>
      <c r="K18" s="287">
        <f>IFERROR(__xludf.DUMMYFUNCTION("""COMPUTED_VALUE"""),170.0)</f>
        <v>170</v>
      </c>
      <c r="L18" s="288">
        <f>IFERROR(__xludf.DUMMYFUNCTION("""COMPUTED_VALUE"""),175.0)</f>
        <v>175</v>
      </c>
      <c r="M18" s="276" t="str">
        <f>IFERROR(__xludf.DUMMYFUNCTION("""COMPUTED_VALUE"""),"範囲(小)")</f>
        <v>範囲(小)</v>
      </c>
      <c r="N18" s="283">
        <f>IFERROR(__xludf.DUMMYFUNCTION("""COMPUTED_VALUE"""),5.0)</f>
        <v>5</v>
      </c>
      <c r="O18" s="284" t="str">
        <f>IFERROR(__xludf.DUMMYFUNCTION("""COMPUTED_VALUE"""),"効果値")</f>
        <v>効果値</v>
      </c>
      <c r="P18" s="289">
        <f>IFERROR(__xludf.DUMMYFUNCTION("""COMPUTED_VALUE"""),90.0)</f>
        <v>90</v>
      </c>
      <c r="Q18" s="289">
        <f>IFERROR(__xludf.DUMMYFUNCTION("""COMPUTED_VALUE"""),93.7)</f>
        <v>93.7</v>
      </c>
      <c r="R18" s="289">
        <f>IFERROR(__xludf.DUMMYFUNCTION("""COMPUTED_VALUE"""),97.5)</f>
        <v>97.5</v>
      </c>
      <c r="S18" s="289">
        <f>IFERROR(__xludf.DUMMYFUNCTION("""COMPUTED_VALUE"""),101.2)</f>
        <v>101.2</v>
      </c>
      <c r="T18" s="289">
        <f>IFERROR(__xludf.DUMMYFUNCTION("""COMPUTED_VALUE"""),105.0)</f>
        <v>105</v>
      </c>
      <c r="U18" s="289">
        <f>IFERROR(__xludf.DUMMYFUNCTION("""COMPUTED_VALUE"""),112.5)</f>
        <v>112.5</v>
      </c>
      <c r="V18" s="289">
        <f>IFERROR(__xludf.DUMMYFUNCTION("""COMPUTED_VALUE"""),127.5)</f>
        <v>127.5</v>
      </c>
      <c r="W18" s="290">
        <f>IFERROR(__xludf.DUMMYFUNCTION("""COMPUTED_VALUE"""),131.2)</f>
        <v>131.2</v>
      </c>
      <c r="X18" s="276" t="str">
        <f>IFERROR(__xludf.DUMMYFUNCTION("""COMPUTED_VALUE"""),"範囲(中)")</f>
        <v>範囲(中)</v>
      </c>
      <c r="Y18" s="283">
        <f>IFERROR(__xludf.DUMMYFUNCTION("""COMPUTED_VALUE"""),5.0)</f>
        <v>5</v>
      </c>
      <c r="Z18" s="284" t="str">
        <f>IFERROR(__xludf.DUMMYFUNCTION("""COMPUTED_VALUE"""),"効果値")</f>
        <v>効果値</v>
      </c>
      <c r="AA18" s="289">
        <f>IFERROR(__xludf.DUMMYFUNCTION("""COMPUTED_VALUE"""),78.0)</f>
        <v>78</v>
      </c>
      <c r="AB18" s="289">
        <f>IFERROR(__xludf.DUMMYFUNCTION("""COMPUTED_VALUE"""),81.2)</f>
        <v>81.2</v>
      </c>
      <c r="AC18" s="289">
        <f>IFERROR(__xludf.DUMMYFUNCTION("""COMPUTED_VALUE"""),84.5)</f>
        <v>84.5</v>
      </c>
      <c r="AD18" s="289">
        <f>IFERROR(__xludf.DUMMYFUNCTION("""COMPUTED_VALUE"""),87.7)</f>
        <v>87.7</v>
      </c>
      <c r="AE18" s="289">
        <f>IFERROR(__xludf.DUMMYFUNCTION("""COMPUTED_VALUE"""),91.0)</f>
        <v>91</v>
      </c>
      <c r="AF18" s="289">
        <f>IFERROR(__xludf.DUMMYFUNCTION("""COMPUTED_VALUE"""),97.5)</f>
        <v>97.5</v>
      </c>
      <c r="AG18" s="289">
        <f>IFERROR(__xludf.DUMMYFUNCTION("""COMPUTED_VALUE"""),110.5)</f>
        <v>110.5</v>
      </c>
      <c r="AH18" s="290">
        <f>IFERROR(__xludf.DUMMYFUNCTION("""COMPUTED_VALUE"""),113.7)</f>
        <v>113.7</v>
      </c>
      <c r="AI18" s="276" t="str">
        <f>IFERROR(__xludf.DUMMYFUNCTION("""COMPUTED_VALUE"""),"範囲(大)")</f>
        <v>範囲(大)</v>
      </c>
      <c r="AJ18" s="283">
        <f>IFERROR(__xludf.DUMMYFUNCTION("""COMPUTED_VALUE"""),5.0)</f>
        <v>5</v>
      </c>
      <c r="AK18" s="284" t="str">
        <f>IFERROR(__xludf.DUMMYFUNCTION("""COMPUTED_VALUE"""),"効果値")</f>
        <v>効果値</v>
      </c>
      <c r="AL18" s="289">
        <f>IFERROR(__xludf.DUMMYFUNCTION("""COMPUTED_VALUE"""),66.0)</f>
        <v>66</v>
      </c>
      <c r="AM18" s="289">
        <f>IFERROR(__xludf.DUMMYFUNCTION("""COMPUTED_VALUE"""),68.7)</f>
        <v>68.7</v>
      </c>
      <c r="AN18" s="289">
        <f>IFERROR(__xludf.DUMMYFUNCTION("""COMPUTED_VALUE"""),71.5)</f>
        <v>71.5</v>
      </c>
      <c r="AO18" s="289">
        <f>IFERROR(__xludf.DUMMYFUNCTION("""COMPUTED_VALUE"""),74.2)</f>
        <v>74.2</v>
      </c>
      <c r="AP18" s="289">
        <f>IFERROR(__xludf.DUMMYFUNCTION("""COMPUTED_VALUE"""),77.0)</f>
        <v>77</v>
      </c>
      <c r="AQ18" s="289">
        <f>IFERROR(__xludf.DUMMYFUNCTION("""COMPUTED_VALUE"""),82.5)</f>
        <v>82.5</v>
      </c>
      <c r="AR18" s="289">
        <f>IFERROR(__xludf.DUMMYFUNCTION("""COMPUTED_VALUE"""),93.5)</f>
        <v>93.5</v>
      </c>
      <c r="AS18" s="290">
        <f>IFERROR(__xludf.DUMMYFUNCTION("""COMPUTED_VALUE"""),96.2)</f>
        <v>96.2</v>
      </c>
      <c r="AT18" s="276" t="str">
        <f>IFERROR(__xludf.DUMMYFUNCTION("""COMPUTED_VALUE"""),"範囲(特大)")</f>
        <v>範囲(特大)</v>
      </c>
      <c r="AU18" s="283">
        <f>IFERROR(__xludf.DUMMYFUNCTION("""COMPUTED_VALUE"""),5.0)</f>
        <v>5</v>
      </c>
      <c r="AV18" s="284" t="str">
        <f>IFERROR(__xludf.DUMMYFUNCTION("""COMPUTED_VALUE"""),"効果値")</f>
        <v>効果値</v>
      </c>
      <c r="AW18" s="289">
        <f>IFERROR(__xludf.DUMMYFUNCTION("""COMPUTED_VALUE"""),60.0)</f>
        <v>60</v>
      </c>
      <c r="AX18" s="289">
        <f>IFERROR(__xludf.DUMMYFUNCTION("""COMPUTED_VALUE"""),62.5)</f>
        <v>62.5</v>
      </c>
      <c r="AY18" s="289">
        <f>IFERROR(__xludf.DUMMYFUNCTION("""COMPUTED_VALUE"""),65.0)</f>
        <v>65</v>
      </c>
      <c r="AZ18" s="289">
        <f>IFERROR(__xludf.DUMMYFUNCTION("""COMPUTED_VALUE"""),67.5)</f>
        <v>67.5</v>
      </c>
      <c r="BA18" s="289">
        <f>IFERROR(__xludf.DUMMYFUNCTION("""COMPUTED_VALUE"""),70.0)</f>
        <v>70</v>
      </c>
      <c r="BB18" s="289">
        <f>IFERROR(__xludf.DUMMYFUNCTION("""COMPUTED_VALUE"""),75.0)</f>
        <v>75</v>
      </c>
      <c r="BC18" s="289">
        <f>IFERROR(__xludf.DUMMYFUNCTION("""COMPUTED_VALUE"""),85.0)</f>
        <v>85</v>
      </c>
      <c r="BD18" s="290">
        <f>IFERROR(__xludf.DUMMYFUNCTION("""COMPUTED_VALUE"""),87.5)</f>
        <v>87.5</v>
      </c>
      <c r="BE18" s="279" t="str">
        <f>IFERROR(__xludf.DUMMYFUNCTION("""COMPUTED_VALUE"""),"範囲(小：威力減)")</f>
        <v>範囲(小：威力減)</v>
      </c>
      <c r="BF18" s="283">
        <f>IFERROR(__xludf.DUMMYFUNCTION("""COMPUTED_VALUE"""),5.0)</f>
        <v>5</v>
      </c>
      <c r="BG18" s="284" t="str">
        <f>IFERROR(__xludf.DUMMYFUNCTION("""COMPUTED_VALUE"""),"効果値")</f>
        <v>効果値</v>
      </c>
      <c r="BH18" s="289">
        <f>IFERROR(__xludf.DUMMYFUNCTION("""COMPUTED_VALUE"""),60.0)</f>
        <v>60</v>
      </c>
      <c r="BI18" s="289">
        <f>IFERROR(__xludf.DUMMYFUNCTION("""COMPUTED_VALUE"""),62.5)</f>
        <v>62.5</v>
      </c>
      <c r="BJ18" s="289">
        <f>IFERROR(__xludf.DUMMYFUNCTION("""COMPUTED_VALUE"""),65.0)</f>
        <v>65</v>
      </c>
      <c r="BK18" s="289">
        <f>IFERROR(__xludf.DUMMYFUNCTION("""COMPUTED_VALUE"""),67.5)</f>
        <v>67.5</v>
      </c>
      <c r="BL18" s="289">
        <f>IFERROR(__xludf.DUMMYFUNCTION("""COMPUTED_VALUE"""),70.0)</f>
        <v>70</v>
      </c>
      <c r="BM18" s="289">
        <f>IFERROR(__xludf.DUMMYFUNCTION("""COMPUTED_VALUE"""),75.0)</f>
        <v>75</v>
      </c>
      <c r="BN18" s="289">
        <f>IFERROR(__xludf.DUMMYFUNCTION("""COMPUTED_VALUE"""),85.0)</f>
        <v>85</v>
      </c>
      <c r="BO18" s="290">
        <f>IFERROR(__xludf.DUMMYFUNCTION("""COMPUTED_VALUE"""),87.5)</f>
        <v>87.5</v>
      </c>
    </row>
    <row r="19">
      <c r="A19" s="267" t="str">
        <f>IFERROR(__xludf.DUMMYFUNCTION("""COMPUTED_VALUE"""),"キラー攻撃(赤)")</f>
        <v>キラー攻撃(赤)</v>
      </c>
      <c r="B19" s="260" t="str">
        <f>IFERROR(__xludf.DUMMYFUNCTION("""COMPUTED_VALUE"""),"単体")</f>
        <v>単体</v>
      </c>
      <c r="C19" s="261">
        <f>IFERROR(__xludf.DUMMYFUNCTION("""COMPUTED_VALUE"""),1.0)</f>
        <v>1</v>
      </c>
      <c r="D19" s="262" t="str">
        <f>IFERROR(__xludf.DUMMYFUNCTION("""COMPUTED_VALUE"""),"効果値")</f>
        <v>効果値</v>
      </c>
      <c r="E19" s="263">
        <f>IFERROR(__xludf.DUMMYFUNCTION("""COMPUTED_VALUE"""),105.0)</f>
        <v>105</v>
      </c>
      <c r="F19" s="265">
        <f>IFERROR(__xludf.DUMMYFUNCTION("""COMPUTED_VALUE"""),105.0)</f>
        <v>105</v>
      </c>
      <c r="G19" s="265">
        <f>IFERROR(__xludf.DUMMYFUNCTION("""COMPUTED_VALUE"""),105.0)</f>
        <v>105</v>
      </c>
      <c r="H19" s="265">
        <f>IFERROR(__xludf.DUMMYFUNCTION("""COMPUTED_VALUE"""),105.0)</f>
        <v>105</v>
      </c>
      <c r="I19" s="265">
        <f>IFERROR(__xludf.DUMMYFUNCTION("""COMPUTED_VALUE"""),105.0)</f>
        <v>105</v>
      </c>
      <c r="J19" s="265">
        <f>IFERROR(__xludf.DUMMYFUNCTION("""COMPUTED_VALUE"""),110.0)</f>
        <v>110</v>
      </c>
      <c r="K19" s="265">
        <f>IFERROR(__xludf.DUMMYFUNCTION("""COMPUTED_VALUE"""),120.0)</f>
        <v>120</v>
      </c>
      <c r="L19" s="266">
        <f>IFERROR(__xludf.DUMMYFUNCTION("""COMPUTED_VALUE"""),120.0)</f>
        <v>120</v>
      </c>
      <c r="M19" s="267" t="str">
        <f>IFERROR(__xludf.DUMMYFUNCTION("""COMPUTED_VALUE"""),"範囲(小)")</f>
        <v>範囲(小)</v>
      </c>
      <c r="N19" s="261">
        <f>IFERROR(__xludf.DUMMYFUNCTION("""COMPUTED_VALUE"""),1.0)</f>
        <v>1</v>
      </c>
      <c r="O19" s="262" t="str">
        <f>IFERROR(__xludf.DUMMYFUNCTION("""COMPUTED_VALUE"""),"効果値")</f>
        <v>効果値</v>
      </c>
      <c r="P19" s="268">
        <f>IFERROR(__xludf.DUMMYFUNCTION("""COMPUTED_VALUE"""),78.7)</f>
        <v>78.7</v>
      </c>
      <c r="Q19" s="268">
        <f>IFERROR(__xludf.DUMMYFUNCTION("""COMPUTED_VALUE"""),78.7)</f>
        <v>78.7</v>
      </c>
      <c r="R19" s="268">
        <f>IFERROR(__xludf.DUMMYFUNCTION("""COMPUTED_VALUE"""),78.7)</f>
        <v>78.7</v>
      </c>
      <c r="S19" s="268">
        <f>IFERROR(__xludf.DUMMYFUNCTION("""COMPUTED_VALUE"""),78.7)</f>
        <v>78.7</v>
      </c>
      <c r="T19" s="268">
        <f>IFERROR(__xludf.DUMMYFUNCTION("""COMPUTED_VALUE"""),78.7)</f>
        <v>78.7</v>
      </c>
      <c r="U19" s="268">
        <f>IFERROR(__xludf.DUMMYFUNCTION("""COMPUTED_VALUE"""),82.5)</f>
        <v>82.5</v>
      </c>
      <c r="V19" s="268">
        <f>IFERROR(__xludf.DUMMYFUNCTION("""COMPUTED_VALUE"""),90.0)</f>
        <v>90</v>
      </c>
      <c r="W19" s="269">
        <f>IFERROR(__xludf.DUMMYFUNCTION("""COMPUTED_VALUE"""),90.0)</f>
        <v>90</v>
      </c>
      <c r="X19" s="267" t="str">
        <f>IFERROR(__xludf.DUMMYFUNCTION("""COMPUTED_VALUE"""),"範囲(中)")</f>
        <v>範囲(中)</v>
      </c>
      <c r="Y19" s="261">
        <f>IFERROR(__xludf.DUMMYFUNCTION("""COMPUTED_VALUE"""),1.0)</f>
        <v>1</v>
      </c>
      <c r="Z19" s="262" t="str">
        <f>IFERROR(__xludf.DUMMYFUNCTION("""COMPUTED_VALUE"""),"効果値")</f>
        <v>効果値</v>
      </c>
      <c r="AA19" s="268">
        <f>IFERROR(__xludf.DUMMYFUNCTION("""COMPUTED_VALUE"""),68.2)</f>
        <v>68.2</v>
      </c>
      <c r="AB19" s="268">
        <f>IFERROR(__xludf.DUMMYFUNCTION("""COMPUTED_VALUE"""),68.2)</f>
        <v>68.2</v>
      </c>
      <c r="AC19" s="268">
        <f>IFERROR(__xludf.DUMMYFUNCTION("""COMPUTED_VALUE"""),68.2)</f>
        <v>68.2</v>
      </c>
      <c r="AD19" s="268">
        <f>IFERROR(__xludf.DUMMYFUNCTION("""COMPUTED_VALUE"""),68.2)</f>
        <v>68.2</v>
      </c>
      <c r="AE19" s="268">
        <f>IFERROR(__xludf.DUMMYFUNCTION("""COMPUTED_VALUE"""),68.2)</f>
        <v>68.2</v>
      </c>
      <c r="AF19" s="268">
        <f>IFERROR(__xludf.DUMMYFUNCTION("""COMPUTED_VALUE"""),71.5)</f>
        <v>71.5</v>
      </c>
      <c r="AG19" s="268">
        <f>IFERROR(__xludf.DUMMYFUNCTION("""COMPUTED_VALUE"""),78.0)</f>
        <v>78</v>
      </c>
      <c r="AH19" s="269">
        <f>IFERROR(__xludf.DUMMYFUNCTION("""COMPUTED_VALUE"""),78.0)</f>
        <v>78</v>
      </c>
      <c r="AI19" s="267" t="str">
        <f>IFERROR(__xludf.DUMMYFUNCTION("""COMPUTED_VALUE"""),"範囲(大)")</f>
        <v>範囲(大)</v>
      </c>
      <c r="AJ19" s="261">
        <f>IFERROR(__xludf.DUMMYFUNCTION("""COMPUTED_VALUE"""),1.0)</f>
        <v>1</v>
      </c>
      <c r="AK19" s="262" t="str">
        <f>IFERROR(__xludf.DUMMYFUNCTION("""COMPUTED_VALUE"""),"効果値")</f>
        <v>効果値</v>
      </c>
      <c r="AL19" s="268">
        <f>IFERROR(__xludf.DUMMYFUNCTION("""COMPUTED_VALUE"""),57.7)</f>
        <v>57.7</v>
      </c>
      <c r="AM19" s="268">
        <f>IFERROR(__xludf.DUMMYFUNCTION("""COMPUTED_VALUE"""),57.7)</f>
        <v>57.7</v>
      </c>
      <c r="AN19" s="268">
        <f>IFERROR(__xludf.DUMMYFUNCTION("""COMPUTED_VALUE"""),57.7)</f>
        <v>57.7</v>
      </c>
      <c r="AO19" s="268">
        <f>IFERROR(__xludf.DUMMYFUNCTION("""COMPUTED_VALUE"""),57.7)</f>
        <v>57.7</v>
      </c>
      <c r="AP19" s="268">
        <f>IFERROR(__xludf.DUMMYFUNCTION("""COMPUTED_VALUE"""),57.7)</f>
        <v>57.7</v>
      </c>
      <c r="AQ19" s="268">
        <f>IFERROR(__xludf.DUMMYFUNCTION("""COMPUTED_VALUE"""),60.5)</f>
        <v>60.5</v>
      </c>
      <c r="AR19" s="268">
        <f>IFERROR(__xludf.DUMMYFUNCTION("""COMPUTED_VALUE"""),66.0)</f>
        <v>66</v>
      </c>
      <c r="AS19" s="269">
        <f>IFERROR(__xludf.DUMMYFUNCTION("""COMPUTED_VALUE"""),66.0)</f>
        <v>66</v>
      </c>
      <c r="AT19" s="267" t="str">
        <f>IFERROR(__xludf.DUMMYFUNCTION("""COMPUTED_VALUE"""),"範囲(特大)")</f>
        <v>範囲(特大)</v>
      </c>
      <c r="AU19" s="261">
        <f>IFERROR(__xludf.DUMMYFUNCTION("""COMPUTED_VALUE"""),1.0)</f>
        <v>1</v>
      </c>
      <c r="AV19" s="262" t="str">
        <f>IFERROR(__xludf.DUMMYFUNCTION("""COMPUTED_VALUE"""),"効果値")</f>
        <v>効果値</v>
      </c>
      <c r="AW19" s="268">
        <f>IFERROR(__xludf.DUMMYFUNCTION("""COMPUTED_VALUE"""),52.5)</f>
        <v>52.5</v>
      </c>
      <c r="AX19" s="268">
        <f>IFERROR(__xludf.DUMMYFUNCTION("""COMPUTED_VALUE"""),52.5)</f>
        <v>52.5</v>
      </c>
      <c r="AY19" s="268">
        <f>IFERROR(__xludf.DUMMYFUNCTION("""COMPUTED_VALUE"""),52.5)</f>
        <v>52.5</v>
      </c>
      <c r="AZ19" s="268">
        <f>IFERROR(__xludf.DUMMYFUNCTION("""COMPUTED_VALUE"""),52.5)</f>
        <v>52.5</v>
      </c>
      <c r="BA19" s="268">
        <f>IFERROR(__xludf.DUMMYFUNCTION("""COMPUTED_VALUE"""),52.5)</f>
        <v>52.5</v>
      </c>
      <c r="BB19" s="268">
        <f>IFERROR(__xludf.DUMMYFUNCTION("""COMPUTED_VALUE"""),55.0)</f>
        <v>55</v>
      </c>
      <c r="BC19" s="268">
        <f>IFERROR(__xludf.DUMMYFUNCTION("""COMPUTED_VALUE"""),60.0)</f>
        <v>60</v>
      </c>
      <c r="BD19" s="269">
        <f>IFERROR(__xludf.DUMMYFUNCTION("""COMPUTED_VALUE"""),60.0)</f>
        <v>60</v>
      </c>
      <c r="BE19" s="270" t="str">
        <f>IFERROR(__xludf.DUMMYFUNCTION("""COMPUTED_VALUE"""),"範囲(小：威力減)")</f>
        <v>範囲(小：威力減)</v>
      </c>
      <c r="BF19" s="261">
        <f>IFERROR(__xludf.DUMMYFUNCTION("""COMPUTED_VALUE"""),1.0)</f>
        <v>1</v>
      </c>
      <c r="BG19" s="262" t="str">
        <f>IFERROR(__xludf.DUMMYFUNCTION("""COMPUTED_VALUE"""),"効果値")</f>
        <v>効果値</v>
      </c>
      <c r="BH19" s="268">
        <f>IFERROR(__xludf.DUMMYFUNCTION("""COMPUTED_VALUE"""),52.5)</f>
        <v>52.5</v>
      </c>
      <c r="BI19" s="268">
        <f>IFERROR(__xludf.DUMMYFUNCTION("""COMPUTED_VALUE"""),52.5)</f>
        <v>52.5</v>
      </c>
      <c r="BJ19" s="268">
        <f>IFERROR(__xludf.DUMMYFUNCTION("""COMPUTED_VALUE"""),52.5)</f>
        <v>52.5</v>
      </c>
      <c r="BK19" s="268">
        <f>IFERROR(__xludf.DUMMYFUNCTION("""COMPUTED_VALUE"""),52.5)</f>
        <v>52.5</v>
      </c>
      <c r="BL19" s="268">
        <f>IFERROR(__xludf.DUMMYFUNCTION("""COMPUTED_VALUE"""),52.5)</f>
        <v>52.5</v>
      </c>
      <c r="BM19" s="268">
        <f>IFERROR(__xludf.DUMMYFUNCTION("""COMPUTED_VALUE"""),55.0)</f>
        <v>55</v>
      </c>
      <c r="BN19" s="268">
        <f>IFERROR(__xludf.DUMMYFUNCTION("""COMPUTED_VALUE"""),60.0)</f>
        <v>60</v>
      </c>
      <c r="BO19" s="269">
        <f>IFERROR(__xludf.DUMMYFUNCTION("""COMPUTED_VALUE"""),60.0)</f>
        <v>60</v>
      </c>
    </row>
    <row r="20">
      <c r="A20" s="292" t="str">
        <f>IFERROR(__xludf.DUMMYFUNCTION("""COMPUTED_VALUE"""),"キラー攻撃(赤)")</f>
        <v>キラー攻撃(赤)</v>
      </c>
      <c r="B20" s="272" t="str">
        <f>IFERROR(__xludf.DUMMYFUNCTION("""COMPUTED_VALUE"""),"単体")</f>
        <v>単体</v>
      </c>
      <c r="C20" s="273">
        <f>IFERROR(__xludf.DUMMYFUNCTION("""COMPUTED_VALUE"""),2.0)</f>
        <v>2</v>
      </c>
      <c r="D20" s="274" t="str">
        <f>IFERROR(__xludf.DUMMYFUNCTION("""COMPUTED_VALUE"""),"効果値")</f>
        <v>効果値</v>
      </c>
      <c r="E20" s="275">
        <f>IFERROR(__xludf.DUMMYFUNCTION("""COMPUTED_VALUE"""),110.0)</f>
        <v>110</v>
      </c>
      <c r="F20" s="275">
        <f>IFERROR(__xludf.DUMMYFUNCTION("""COMPUTED_VALUE"""),112.0)</f>
        <v>112</v>
      </c>
      <c r="G20" s="275">
        <f>IFERROR(__xludf.DUMMYFUNCTION("""COMPUTED_VALUE"""),114.0)</f>
        <v>114</v>
      </c>
      <c r="H20" s="275">
        <f>IFERROR(__xludf.DUMMYFUNCTION("""COMPUTED_VALUE"""),116.0)</f>
        <v>116</v>
      </c>
      <c r="I20" s="275">
        <f>IFERROR(__xludf.DUMMYFUNCTION("""COMPUTED_VALUE"""),118.0)</f>
        <v>118</v>
      </c>
      <c r="J20" s="275">
        <f>IFERROR(__xludf.DUMMYFUNCTION("""COMPUTED_VALUE"""),125.0)</f>
        <v>125</v>
      </c>
      <c r="K20" s="275">
        <f>IFERROR(__xludf.DUMMYFUNCTION("""COMPUTED_VALUE"""),139.0)</f>
        <v>139</v>
      </c>
      <c r="L20" s="275">
        <f>IFERROR(__xludf.DUMMYFUNCTION("""COMPUTED_VALUE"""),141.0)</f>
        <v>141</v>
      </c>
      <c r="M20" s="276" t="str">
        <f>IFERROR(__xludf.DUMMYFUNCTION("""COMPUTED_VALUE"""),"範囲(小)")</f>
        <v>範囲(小)</v>
      </c>
      <c r="N20" s="273">
        <f>IFERROR(__xludf.DUMMYFUNCTION("""COMPUTED_VALUE"""),2.0)</f>
        <v>2</v>
      </c>
      <c r="O20" s="274" t="str">
        <f>IFERROR(__xludf.DUMMYFUNCTION("""COMPUTED_VALUE"""),"効果値")</f>
        <v>効果値</v>
      </c>
      <c r="P20" s="277">
        <f>IFERROR(__xludf.DUMMYFUNCTION("""COMPUTED_VALUE"""),82.5)</f>
        <v>82.5</v>
      </c>
      <c r="Q20" s="277">
        <f>IFERROR(__xludf.DUMMYFUNCTION("""COMPUTED_VALUE"""),84.0)</f>
        <v>84</v>
      </c>
      <c r="R20" s="277">
        <f>IFERROR(__xludf.DUMMYFUNCTION("""COMPUTED_VALUE"""),85.5)</f>
        <v>85.5</v>
      </c>
      <c r="S20" s="277">
        <f>IFERROR(__xludf.DUMMYFUNCTION("""COMPUTED_VALUE"""),87.0)</f>
        <v>87</v>
      </c>
      <c r="T20" s="277">
        <f>IFERROR(__xludf.DUMMYFUNCTION("""COMPUTED_VALUE"""),88.5)</f>
        <v>88.5</v>
      </c>
      <c r="U20" s="277">
        <f>IFERROR(__xludf.DUMMYFUNCTION("""COMPUTED_VALUE"""),93.7)</f>
        <v>93.7</v>
      </c>
      <c r="V20" s="277">
        <f>IFERROR(__xludf.DUMMYFUNCTION("""COMPUTED_VALUE"""),104.2)</f>
        <v>104.2</v>
      </c>
      <c r="W20" s="278">
        <f>IFERROR(__xludf.DUMMYFUNCTION("""COMPUTED_VALUE"""),105.7)</f>
        <v>105.7</v>
      </c>
      <c r="X20" s="276" t="str">
        <f>IFERROR(__xludf.DUMMYFUNCTION("""COMPUTED_VALUE"""),"範囲(中)")</f>
        <v>範囲(中)</v>
      </c>
      <c r="Y20" s="273">
        <f>IFERROR(__xludf.DUMMYFUNCTION("""COMPUTED_VALUE"""),2.0)</f>
        <v>2</v>
      </c>
      <c r="Z20" s="274" t="str">
        <f>IFERROR(__xludf.DUMMYFUNCTION("""COMPUTED_VALUE"""),"効果値")</f>
        <v>効果値</v>
      </c>
      <c r="AA20" s="277">
        <f>IFERROR(__xludf.DUMMYFUNCTION("""COMPUTED_VALUE"""),71.5)</f>
        <v>71.5</v>
      </c>
      <c r="AB20" s="277">
        <f>IFERROR(__xludf.DUMMYFUNCTION("""COMPUTED_VALUE"""),72.8)</f>
        <v>72.8</v>
      </c>
      <c r="AC20" s="277">
        <f>IFERROR(__xludf.DUMMYFUNCTION("""COMPUTED_VALUE"""),74.1)</f>
        <v>74.1</v>
      </c>
      <c r="AD20" s="277">
        <f>IFERROR(__xludf.DUMMYFUNCTION("""COMPUTED_VALUE"""),75.4)</f>
        <v>75.4</v>
      </c>
      <c r="AE20" s="277">
        <f>IFERROR(__xludf.DUMMYFUNCTION("""COMPUTED_VALUE"""),76.7)</f>
        <v>76.7</v>
      </c>
      <c r="AF20" s="277">
        <f>IFERROR(__xludf.DUMMYFUNCTION("""COMPUTED_VALUE"""),81.2)</f>
        <v>81.2</v>
      </c>
      <c r="AG20" s="277">
        <f>IFERROR(__xludf.DUMMYFUNCTION("""COMPUTED_VALUE"""),90.3)</f>
        <v>90.3</v>
      </c>
      <c r="AH20" s="278">
        <f>IFERROR(__xludf.DUMMYFUNCTION("""COMPUTED_VALUE"""),91.6)</f>
        <v>91.6</v>
      </c>
      <c r="AI20" s="276" t="str">
        <f>IFERROR(__xludf.DUMMYFUNCTION("""COMPUTED_VALUE"""),"範囲(大)")</f>
        <v>範囲(大)</v>
      </c>
      <c r="AJ20" s="273">
        <f>IFERROR(__xludf.DUMMYFUNCTION("""COMPUTED_VALUE"""),2.0)</f>
        <v>2</v>
      </c>
      <c r="AK20" s="274" t="str">
        <f>IFERROR(__xludf.DUMMYFUNCTION("""COMPUTED_VALUE"""),"効果値")</f>
        <v>効果値</v>
      </c>
      <c r="AL20" s="277">
        <f>IFERROR(__xludf.DUMMYFUNCTION("""COMPUTED_VALUE"""),60.5)</f>
        <v>60.5</v>
      </c>
      <c r="AM20" s="277">
        <f>IFERROR(__xludf.DUMMYFUNCTION("""COMPUTED_VALUE"""),61.6)</f>
        <v>61.6</v>
      </c>
      <c r="AN20" s="277">
        <f>IFERROR(__xludf.DUMMYFUNCTION("""COMPUTED_VALUE"""),62.7)</f>
        <v>62.7</v>
      </c>
      <c r="AO20" s="277">
        <f>IFERROR(__xludf.DUMMYFUNCTION("""COMPUTED_VALUE"""),63.8)</f>
        <v>63.8</v>
      </c>
      <c r="AP20" s="277">
        <f>IFERROR(__xludf.DUMMYFUNCTION("""COMPUTED_VALUE"""),64.9)</f>
        <v>64.9</v>
      </c>
      <c r="AQ20" s="277">
        <f>IFERROR(__xludf.DUMMYFUNCTION("""COMPUTED_VALUE"""),68.7)</f>
        <v>68.7</v>
      </c>
      <c r="AR20" s="277">
        <f>IFERROR(__xludf.DUMMYFUNCTION("""COMPUTED_VALUE"""),76.4)</f>
        <v>76.4</v>
      </c>
      <c r="AS20" s="278">
        <f>IFERROR(__xludf.DUMMYFUNCTION("""COMPUTED_VALUE"""),77.5)</f>
        <v>77.5</v>
      </c>
      <c r="AT20" s="276" t="str">
        <f>IFERROR(__xludf.DUMMYFUNCTION("""COMPUTED_VALUE"""),"範囲(特大)")</f>
        <v>範囲(特大)</v>
      </c>
      <c r="AU20" s="273">
        <f>IFERROR(__xludf.DUMMYFUNCTION("""COMPUTED_VALUE"""),2.0)</f>
        <v>2</v>
      </c>
      <c r="AV20" s="274" t="str">
        <f>IFERROR(__xludf.DUMMYFUNCTION("""COMPUTED_VALUE"""),"効果値")</f>
        <v>効果値</v>
      </c>
      <c r="AW20" s="277">
        <f>IFERROR(__xludf.DUMMYFUNCTION("""COMPUTED_VALUE"""),55.0)</f>
        <v>55</v>
      </c>
      <c r="AX20" s="277">
        <f>IFERROR(__xludf.DUMMYFUNCTION("""COMPUTED_VALUE"""),56.0)</f>
        <v>56</v>
      </c>
      <c r="AY20" s="277">
        <f>IFERROR(__xludf.DUMMYFUNCTION("""COMPUTED_VALUE"""),57.0)</f>
        <v>57</v>
      </c>
      <c r="AZ20" s="277">
        <f>IFERROR(__xludf.DUMMYFUNCTION("""COMPUTED_VALUE"""),58.0)</f>
        <v>58</v>
      </c>
      <c r="BA20" s="277">
        <f>IFERROR(__xludf.DUMMYFUNCTION("""COMPUTED_VALUE"""),59.0)</f>
        <v>59</v>
      </c>
      <c r="BB20" s="277">
        <f>IFERROR(__xludf.DUMMYFUNCTION("""COMPUTED_VALUE"""),62.5)</f>
        <v>62.5</v>
      </c>
      <c r="BC20" s="277">
        <f>IFERROR(__xludf.DUMMYFUNCTION("""COMPUTED_VALUE"""),69.5)</f>
        <v>69.5</v>
      </c>
      <c r="BD20" s="278">
        <f>IFERROR(__xludf.DUMMYFUNCTION("""COMPUTED_VALUE"""),70.5)</f>
        <v>70.5</v>
      </c>
      <c r="BE20" s="279" t="str">
        <f>IFERROR(__xludf.DUMMYFUNCTION("""COMPUTED_VALUE"""),"範囲(小：威力減)")</f>
        <v>範囲(小：威力減)</v>
      </c>
      <c r="BF20" s="273">
        <f>IFERROR(__xludf.DUMMYFUNCTION("""COMPUTED_VALUE"""),2.0)</f>
        <v>2</v>
      </c>
      <c r="BG20" s="274" t="str">
        <f>IFERROR(__xludf.DUMMYFUNCTION("""COMPUTED_VALUE"""),"効果値")</f>
        <v>効果値</v>
      </c>
      <c r="BH20" s="277">
        <f>IFERROR(__xludf.DUMMYFUNCTION("""COMPUTED_VALUE"""),55.0)</f>
        <v>55</v>
      </c>
      <c r="BI20" s="277">
        <f>IFERROR(__xludf.DUMMYFUNCTION("""COMPUTED_VALUE"""),56.0)</f>
        <v>56</v>
      </c>
      <c r="BJ20" s="277">
        <f>IFERROR(__xludf.DUMMYFUNCTION("""COMPUTED_VALUE"""),57.0)</f>
        <v>57</v>
      </c>
      <c r="BK20" s="277">
        <f>IFERROR(__xludf.DUMMYFUNCTION("""COMPUTED_VALUE"""),58.0)</f>
        <v>58</v>
      </c>
      <c r="BL20" s="277">
        <f>IFERROR(__xludf.DUMMYFUNCTION("""COMPUTED_VALUE"""),59.0)</f>
        <v>59</v>
      </c>
      <c r="BM20" s="277">
        <f>IFERROR(__xludf.DUMMYFUNCTION("""COMPUTED_VALUE"""),62.5)</f>
        <v>62.5</v>
      </c>
      <c r="BN20" s="277">
        <f>IFERROR(__xludf.DUMMYFUNCTION("""COMPUTED_VALUE"""),69.5)</f>
        <v>69.5</v>
      </c>
      <c r="BO20" s="278">
        <f>IFERROR(__xludf.DUMMYFUNCTION("""COMPUTED_VALUE"""),70.5)</f>
        <v>70.5</v>
      </c>
    </row>
    <row r="21">
      <c r="A21" s="276" t="str">
        <f>IFERROR(__xludf.DUMMYFUNCTION("""COMPUTED_VALUE"""),"キラー攻撃(赤)")</f>
        <v>キラー攻撃(赤)</v>
      </c>
      <c r="B21" s="272" t="str">
        <f>IFERROR(__xludf.DUMMYFUNCTION("""COMPUTED_VALUE"""),"単体")</f>
        <v>単体</v>
      </c>
      <c r="C21" s="273">
        <f>IFERROR(__xludf.DUMMYFUNCTION("""COMPUTED_VALUE"""),3.0)</f>
        <v>3</v>
      </c>
      <c r="D21" s="274" t="str">
        <f>IFERROR(__xludf.DUMMYFUNCTION("""COMPUTED_VALUE"""),"効果値")</f>
        <v>効果値</v>
      </c>
      <c r="E21" s="275">
        <f>IFERROR(__xludf.DUMMYFUNCTION("""COMPUTED_VALUE"""),114.0)</f>
        <v>114</v>
      </c>
      <c r="F21" s="275">
        <f>IFERROR(__xludf.DUMMYFUNCTION("""COMPUTED_VALUE"""),118.0)</f>
        <v>118</v>
      </c>
      <c r="G21" s="275">
        <f>IFERROR(__xludf.DUMMYFUNCTION("""COMPUTED_VALUE"""),121.0)</f>
        <v>121</v>
      </c>
      <c r="H21" s="275">
        <f>IFERROR(__xludf.DUMMYFUNCTION("""COMPUTED_VALUE"""),124.0)</f>
        <v>124</v>
      </c>
      <c r="I21" s="275">
        <f>IFERROR(__xludf.DUMMYFUNCTION("""COMPUTED_VALUE"""),128.0)</f>
        <v>128</v>
      </c>
      <c r="J21" s="275">
        <f>IFERROR(__xludf.DUMMYFUNCTION("""COMPUTED_VALUE"""),136.0)</f>
        <v>136</v>
      </c>
      <c r="K21" s="275">
        <f>IFERROR(__xludf.DUMMYFUNCTION("""COMPUTED_VALUE"""),153.0)</f>
        <v>153</v>
      </c>
      <c r="L21" s="275">
        <f>IFERROR(__xludf.DUMMYFUNCTION("""COMPUTED_VALUE"""),156.0)</f>
        <v>156</v>
      </c>
      <c r="M21" s="276" t="str">
        <f>IFERROR(__xludf.DUMMYFUNCTION("""COMPUTED_VALUE"""),"範囲(小)")</f>
        <v>範囲(小)</v>
      </c>
      <c r="N21" s="273">
        <f>IFERROR(__xludf.DUMMYFUNCTION("""COMPUTED_VALUE"""),3.0)</f>
        <v>3</v>
      </c>
      <c r="O21" s="274" t="str">
        <f>IFERROR(__xludf.DUMMYFUNCTION("""COMPUTED_VALUE"""),"効果値")</f>
        <v>効果値</v>
      </c>
      <c r="P21" s="277">
        <f>IFERROR(__xludf.DUMMYFUNCTION("""COMPUTED_VALUE"""),85.5)</f>
        <v>85.5</v>
      </c>
      <c r="Q21" s="277">
        <f>IFERROR(__xludf.DUMMYFUNCTION("""COMPUTED_VALUE"""),88.5)</f>
        <v>88.5</v>
      </c>
      <c r="R21" s="277">
        <f>IFERROR(__xludf.DUMMYFUNCTION("""COMPUTED_VALUE"""),90.7)</f>
        <v>90.7</v>
      </c>
      <c r="S21" s="277">
        <f>IFERROR(__xludf.DUMMYFUNCTION("""COMPUTED_VALUE"""),93.0)</f>
        <v>93</v>
      </c>
      <c r="T21" s="277">
        <f>IFERROR(__xludf.DUMMYFUNCTION("""COMPUTED_VALUE"""),96.0)</f>
        <v>96</v>
      </c>
      <c r="U21" s="277">
        <f>IFERROR(__xludf.DUMMYFUNCTION("""COMPUTED_VALUE"""),102.0)</f>
        <v>102</v>
      </c>
      <c r="V21" s="277">
        <f>IFERROR(__xludf.DUMMYFUNCTION("""COMPUTED_VALUE"""),114.7)</f>
        <v>114.7</v>
      </c>
      <c r="W21" s="278">
        <f>IFERROR(__xludf.DUMMYFUNCTION("""COMPUTED_VALUE"""),117.0)</f>
        <v>117</v>
      </c>
      <c r="X21" s="276" t="str">
        <f>IFERROR(__xludf.DUMMYFUNCTION("""COMPUTED_VALUE"""),"範囲(中)")</f>
        <v>範囲(中)</v>
      </c>
      <c r="Y21" s="273">
        <f>IFERROR(__xludf.DUMMYFUNCTION("""COMPUTED_VALUE"""),3.0)</f>
        <v>3</v>
      </c>
      <c r="Z21" s="274" t="str">
        <f>IFERROR(__xludf.DUMMYFUNCTION("""COMPUTED_VALUE"""),"効果値")</f>
        <v>効果値</v>
      </c>
      <c r="AA21" s="277">
        <f>IFERROR(__xludf.DUMMYFUNCTION("""COMPUTED_VALUE"""),74.1)</f>
        <v>74.1</v>
      </c>
      <c r="AB21" s="277">
        <f>IFERROR(__xludf.DUMMYFUNCTION("""COMPUTED_VALUE"""),76.7)</f>
        <v>76.7</v>
      </c>
      <c r="AC21" s="277">
        <f>IFERROR(__xludf.DUMMYFUNCTION("""COMPUTED_VALUE"""),78.6)</f>
        <v>78.6</v>
      </c>
      <c r="AD21" s="277">
        <f>IFERROR(__xludf.DUMMYFUNCTION("""COMPUTED_VALUE"""),80.6)</f>
        <v>80.6</v>
      </c>
      <c r="AE21" s="277">
        <f>IFERROR(__xludf.DUMMYFUNCTION("""COMPUTED_VALUE"""),83.2)</f>
        <v>83.2</v>
      </c>
      <c r="AF21" s="277">
        <f>IFERROR(__xludf.DUMMYFUNCTION("""COMPUTED_VALUE"""),88.4)</f>
        <v>88.4</v>
      </c>
      <c r="AG21" s="277">
        <f>IFERROR(__xludf.DUMMYFUNCTION("""COMPUTED_VALUE"""),99.4)</f>
        <v>99.4</v>
      </c>
      <c r="AH21" s="278">
        <f>IFERROR(__xludf.DUMMYFUNCTION("""COMPUTED_VALUE"""),101.4)</f>
        <v>101.4</v>
      </c>
      <c r="AI21" s="276" t="str">
        <f>IFERROR(__xludf.DUMMYFUNCTION("""COMPUTED_VALUE"""),"範囲(大)")</f>
        <v>範囲(大)</v>
      </c>
      <c r="AJ21" s="273">
        <f>IFERROR(__xludf.DUMMYFUNCTION("""COMPUTED_VALUE"""),3.0)</f>
        <v>3</v>
      </c>
      <c r="AK21" s="274" t="str">
        <f>IFERROR(__xludf.DUMMYFUNCTION("""COMPUTED_VALUE"""),"効果値")</f>
        <v>効果値</v>
      </c>
      <c r="AL21" s="277">
        <f>IFERROR(__xludf.DUMMYFUNCTION("""COMPUTED_VALUE"""),62.7)</f>
        <v>62.7</v>
      </c>
      <c r="AM21" s="277">
        <f>IFERROR(__xludf.DUMMYFUNCTION("""COMPUTED_VALUE"""),64.9)</f>
        <v>64.9</v>
      </c>
      <c r="AN21" s="277">
        <f>IFERROR(__xludf.DUMMYFUNCTION("""COMPUTED_VALUE"""),66.5)</f>
        <v>66.5</v>
      </c>
      <c r="AO21" s="277">
        <f>IFERROR(__xludf.DUMMYFUNCTION("""COMPUTED_VALUE"""),68.2)</f>
        <v>68.2</v>
      </c>
      <c r="AP21" s="277">
        <f>IFERROR(__xludf.DUMMYFUNCTION("""COMPUTED_VALUE"""),70.4)</f>
        <v>70.4</v>
      </c>
      <c r="AQ21" s="277">
        <f>IFERROR(__xludf.DUMMYFUNCTION("""COMPUTED_VALUE"""),74.8)</f>
        <v>74.8</v>
      </c>
      <c r="AR21" s="277">
        <f>IFERROR(__xludf.DUMMYFUNCTION("""COMPUTED_VALUE"""),84.1)</f>
        <v>84.1</v>
      </c>
      <c r="AS21" s="278">
        <f>IFERROR(__xludf.DUMMYFUNCTION("""COMPUTED_VALUE"""),85.8)</f>
        <v>85.8</v>
      </c>
      <c r="AT21" s="276" t="str">
        <f>IFERROR(__xludf.DUMMYFUNCTION("""COMPUTED_VALUE"""),"範囲(特大)")</f>
        <v>範囲(特大)</v>
      </c>
      <c r="AU21" s="273">
        <f>IFERROR(__xludf.DUMMYFUNCTION("""COMPUTED_VALUE"""),3.0)</f>
        <v>3</v>
      </c>
      <c r="AV21" s="274" t="str">
        <f>IFERROR(__xludf.DUMMYFUNCTION("""COMPUTED_VALUE"""),"効果値")</f>
        <v>効果値</v>
      </c>
      <c r="AW21" s="277">
        <f>IFERROR(__xludf.DUMMYFUNCTION("""COMPUTED_VALUE"""),57.0)</f>
        <v>57</v>
      </c>
      <c r="AX21" s="277">
        <f>IFERROR(__xludf.DUMMYFUNCTION("""COMPUTED_VALUE"""),59.0)</f>
        <v>59</v>
      </c>
      <c r="AY21" s="277">
        <f>IFERROR(__xludf.DUMMYFUNCTION("""COMPUTED_VALUE"""),60.5)</f>
        <v>60.5</v>
      </c>
      <c r="AZ21" s="277">
        <f>IFERROR(__xludf.DUMMYFUNCTION("""COMPUTED_VALUE"""),62.0)</f>
        <v>62</v>
      </c>
      <c r="BA21" s="277">
        <f>IFERROR(__xludf.DUMMYFUNCTION("""COMPUTED_VALUE"""),64.0)</f>
        <v>64</v>
      </c>
      <c r="BB21" s="277">
        <f>IFERROR(__xludf.DUMMYFUNCTION("""COMPUTED_VALUE"""),68.0)</f>
        <v>68</v>
      </c>
      <c r="BC21" s="277">
        <f>IFERROR(__xludf.DUMMYFUNCTION("""COMPUTED_VALUE"""),76.5)</f>
        <v>76.5</v>
      </c>
      <c r="BD21" s="278">
        <f>IFERROR(__xludf.DUMMYFUNCTION("""COMPUTED_VALUE"""),78.0)</f>
        <v>78</v>
      </c>
      <c r="BE21" s="279" t="str">
        <f>IFERROR(__xludf.DUMMYFUNCTION("""COMPUTED_VALUE"""),"範囲(小：威力減)")</f>
        <v>範囲(小：威力減)</v>
      </c>
      <c r="BF21" s="273">
        <f>IFERROR(__xludf.DUMMYFUNCTION("""COMPUTED_VALUE"""),3.0)</f>
        <v>3</v>
      </c>
      <c r="BG21" s="274" t="str">
        <f>IFERROR(__xludf.DUMMYFUNCTION("""COMPUTED_VALUE"""),"効果値")</f>
        <v>効果値</v>
      </c>
      <c r="BH21" s="277">
        <f>IFERROR(__xludf.DUMMYFUNCTION("""COMPUTED_VALUE"""),57.0)</f>
        <v>57</v>
      </c>
      <c r="BI21" s="277">
        <f>IFERROR(__xludf.DUMMYFUNCTION("""COMPUTED_VALUE"""),59.0)</f>
        <v>59</v>
      </c>
      <c r="BJ21" s="277">
        <f>IFERROR(__xludf.DUMMYFUNCTION("""COMPUTED_VALUE"""),60.5)</f>
        <v>60.5</v>
      </c>
      <c r="BK21" s="277">
        <f>IFERROR(__xludf.DUMMYFUNCTION("""COMPUTED_VALUE"""),62.0)</f>
        <v>62</v>
      </c>
      <c r="BL21" s="277">
        <f>IFERROR(__xludf.DUMMYFUNCTION("""COMPUTED_VALUE"""),64.0)</f>
        <v>64</v>
      </c>
      <c r="BM21" s="277">
        <f>IFERROR(__xludf.DUMMYFUNCTION("""COMPUTED_VALUE"""),68.0)</f>
        <v>68</v>
      </c>
      <c r="BN21" s="277">
        <f>IFERROR(__xludf.DUMMYFUNCTION("""COMPUTED_VALUE"""),76.5)</f>
        <v>76.5</v>
      </c>
      <c r="BO21" s="278">
        <f>IFERROR(__xludf.DUMMYFUNCTION("""COMPUTED_VALUE"""),78.0)</f>
        <v>78</v>
      </c>
    </row>
    <row r="22">
      <c r="A22" s="276" t="str">
        <f>IFERROR(__xludf.DUMMYFUNCTION("""COMPUTED_VALUE"""),"キラー攻撃(赤)")</f>
        <v>キラー攻撃(赤)</v>
      </c>
      <c r="B22" s="272" t="str">
        <f>IFERROR(__xludf.DUMMYFUNCTION("""COMPUTED_VALUE"""),"単体")</f>
        <v>単体</v>
      </c>
      <c r="C22" s="273">
        <f>IFERROR(__xludf.DUMMYFUNCTION("""COMPUTED_VALUE"""),4.0)</f>
        <v>4</v>
      </c>
      <c r="D22" s="274" t="str">
        <f>IFERROR(__xludf.DUMMYFUNCTION("""COMPUTED_VALUE"""),"効果値")</f>
        <v>効果値</v>
      </c>
      <c r="E22" s="275">
        <f>IFERROR(__xludf.DUMMYFUNCTION("""COMPUTED_VALUE"""),117.0)</f>
        <v>117</v>
      </c>
      <c r="F22" s="275">
        <f>IFERROR(__xludf.DUMMYFUNCTION("""COMPUTED_VALUE"""),122.0)</f>
        <v>122</v>
      </c>
      <c r="G22" s="275">
        <f>IFERROR(__xludf.DUMMYFUNCTION("""COMPUTED_VALUE"""),126.0)</f>
        <v>126</v>
      </c>
      <c r="H22" s="275">
        <f>IFERROR(__xludf.DUMMYFUNCTION("""COMPUTED_VALUE"""),130.0)</f>
        <v>130</v>
      </c>
      <c r="I22" s="275">
        <f>IFERROR(__xludf.DUMMYFUNCTION("""COMPUTED_VALUE"""),135.0)</f>
        <v>135</v>
      </c>
      <c r="J22" s="275">
        <f>IFERROR(__xludf.DUMMYFUNCTION("""COMPUTED_VALUE"""),144.0)</f>
        <v>144</v>
      </c>
      <c r="K22" s="275">
        <f>IFERROR(__xludf.DUMMYFUNCTION("""COMPUTED_VALUE"""),163.0)</f>
        <v>163</v>
      </c>
      <c r="L22" s="275">
        <f>IFERROR(__xludf.DUMMYFUNCTION("""COMPUTED_VALUE"""),167.0)</f>
        <v>167</v>
      </c>
      <c r="M22" s="276" t="str">
        <f>IFERROR(__xludf.DUMMYFUNCTION("""COMPUTED_VALUE"""),"範囲(小)")</f>
        <v>範囲(小)</v>
      </c>
      <c r="N22" s="273">
        <f>IFERROR(__xludf.DUMMYFUNCTION("""COMPUTED_VALUE"""),4.0)</f>
        <v>4</v>
      </c>
      <c r="O22" s="274" t="str">
        <f>IFERROR(__xludf.DUMMYFUNCTION("""COMPUTED_VALUE"""),"効果値")</f>
        <v>効果値</v>
      </c>
      <c r="P22" s="277">
        <f>IFERROR(__xludf.DUMMYFUNCTION("""COMPUTED_VALUE"""),87.7)</f>
        <v>87.7</v>
      </c>
      <c r="Q22" s="277">
        <f>IFERROR(__xludf.DUMMYFUNCTION("""COMPUTED_VALUE"""),91.5)</f>
        <v>91.5</v>
      </c>
      <c r="R22" s="277">
        <f>IFERROR(__xludf.DUMMYFUNCTION("""COMPUTED_VALUE"""),94.5)</f>
        <v>94.5</v>
      </c>
      <c r="S22" s="277">
        <f>IFERROR(__xludf.DUMMYFUNCTION("""COMPUTED_VALUE"""),97.5)</f>
        <v>97.5</v>
      </c>
      <c r="T22" s="277">
        <f>IFERROR(__xludf.DUMMYFUNCTION("""COMPUTED_VALUE"""),101.2)</f>
        <v>101.2</v>
      </c>
      <c r="U22" s="277">
        <f>IFERROR(__xludf.DUMMYFUNCTION("""COMPUTED_VALUE"""),108.0)</f>
        <v>108</v>
      </c>
      <c r="V22" s="277">
        <f>IFERROR(__xludf.DUMMYFUNCTION("""COMPUTED_VALUE"""),122.2)</f>
        <v>122.2</v>
      </c>
      <c r="W22" s="278">
        <f>IFERROR(__xludf.DUMMYFUNCTION("""COMPUTED_VALUE"""),125.2)</f>
        <v>125.2</v>
      </c>
      <c r="X22" s="276" t="str">
        <f>IFERROR(__xludf.DUMMYFUNCTION("""COMPUTED_VALUE"""),"範囲(中)")</f>
        <v>範囲(中)</v>
      </c>
      <c r="Y22" s="273">
        <f>IFERROR(__xludf.DUMMYFUNCTION("""COMPUTED_VALUE"""),4.0)</f>
        <v>4</v>
      </c>
      <c r="Z22" s="274" t="str">
        <f>IFERROR(__xludf.DUMMYFUNCTION("""COMPUTED_VALUE"""),"効果値")</f>
        <v>効果値</v>
      </c>
      <c r="AA22" s="277">
        <f>IFERROR(__xludf.DUMMYFUNCTION("""COMPUTED_VALUE"""),76.0)</f>
        <v>76</v>
      </c>
      <c r="AB22" s="277">
        <f>IFERROR(__xludf.DUMMYFUNCTION("""COMPUTED_VALUE"""),79.3)</f>
        <v>79.3</v>
      </c>
      <c r="AC22" s="277">
        <f>IFERROR(__xludf.DUMMYFUNCTION("""COMPUTED_VALUE"""),81.9)</f>
        <v>81.9</v>
      </c>
      <c r="AD22" s="277">
        <f>IFERROR(__xludf.DUMMYFUNCTION("""COMPUTED_VALUE"""),84.5)</f>
        <v>84.5</v>
      </c>
      <c r="AE22" s="277">
        <f>IFERROR(__xludf.DUMMYFUNCTION("""COMPUTED_VALUE"""),87.7)</f>
        <v>87.7</v>
      </c>
      <c r="AF22" s="277">
        <f>IFERROR(__xludf.DUMMYFUNCTION("""COMPUTED_VALUE"""),93.6)</f>
        <v>93.6</v>
      </c>
      <c r="AG22" s="277">
        <f>IFERROR(__xludf.DUMMYFUNCTION("""COMPUTED_VALUE"""),105.9)</f>
        <v>105.9</v>
      </c>
      <c r="AH22" s="278">
        <f>IFERROR(__xludf.DUMMYFUNCTION("""COMPUTED_VALUE"""),108.5)</f>
        <v>108.5</v>
      </c>
      <c r="AI22" s="276" t="str">
        <f>IFERROR(__xludf.DUMMYFUNCTION("""COMPUTED_VALUE"""),"範囲(大)")</f>
        <v>範囲(大)</v>
      </c>
      <c r="AJ22" s="273">
        <f>IFERROR(__xludf.DUMMYFUNCTION("""COMPUTED_VALUE"""),4.0)</f>
        <v>4</v>
      </c>
      <c r="AK22" s="274" t="str">
        <f>IFERROR(__xludf.DUMMYFUNCTION("""COMPUTED_VALUE"""),"効果値")</f>
        <v>効果値</v>
      </c>
      <c r="AL22" s="277">
        <f>IFERROR(__xludf.DUMMYFUNCTION("""COMPUTED_VALUE"""),64.3)</f>
        <v>64.3</v>
      </c>
      <c r="AM22" s="277">
        <f>IFERROR(__xludf.DUMMYFUNCTION("""COMPUTED_VALUE"""),67.1)</f>
        <v>67.1</v>
      </c>
      <c r="AN22" s="277">
        <f>IFERROR(__xludf.DUMMYFUNCTION("""COMPUTED_VALUE"""),69.3)</f>
        <v>69.3</v>
      </c>
      <c r="AO22" s="277">
        <f>IFERROR(__xludf.DUMMYFUNCTION("""COMPUTED_VALUE"""),71.5)</f>
        <v>71.5</v>
      </c>
      <c r="AP22" s="277">
        <f>IFERROR(__xludf.DUMMYFUNCTION("""COMPUTED_VALUE"""),74.2)</f>
        <v>74.2</v>
      </c>
      <c r="AQ22" s="277">
        <f>IFERROR(__xludf.DUMMYFUNCTION("""COMPUTED_VALUE"""),79.2)</f>
        <v>79.2</v>
      </c>
      <c r="AR22" s="277">
        <f>IFERROR(__xludf.DUMMYFUNCTION("""COMPUTED_VALUE"""),89.6)</f>
        <v>89.6</v>
      </c>
      <c r="AS22" s="278">
        <f>IFERROR(__xludf.DUMMYFUNCTION("""COMPUTED_VALUE"""),91.8)</f>
        <v>91.8</v>
      </c>
      <c r="AT22" s="276" t="str">
        <f>IFERROR(__xludf.DUMMYFUNCTION("""COMPUTED_VALUE"""),"範囲(特大)")</f>
        <v>範囲(特大)</v>
      </c>
      <c r="AU22" s="273">
        <f>IFERROR(__xludf.DUMMYFUNCTION("""COMPUTED_VALUE"""),4.0)</f>
        <v>4</v>
      </c>
      <c r="AV22" s="274" t="str">
        <f>IFERROR(__xludf.DUMMYFUNCTION("""COMPUTED_VALUE"""),"効果値")</f>
        <v>効果値</v>
      </c>
      <c r="AW22" s="277">
        <f>IFERROR(__xludf.DUMMYFUNCTION("""COMPUTED_VALUE"""),58.5)</f>
        <v>58.5</v>
      </c>
      <c r="AX22" s="277">
        <f>IFERROR(__xludf.DUMMYFUNCTION("""COMPUTED_VALUE"""),61.0)</f>
        <v>61</v>
      </c>
      <c r="AY22" s="277">
        <f>IFERROR(__xludf.DUMMYFUNCTION("""COMPUTED_VALUE"""),63.0)</f>
        <v>63</v>
      </c>
      <c r="AZ22" s="277">
        <f>IFERROR(__xludf.DUMMYFUNCTION("""COMPUTED_VALUE"""),65.0)</f>
        <v>65</v>
      </c>
      <c r="BA22" s="277">
        <f>IFERROR(__xludf.DUMMYFUNCTION("""COMPUTED_VALUE"""),67.5)</f>
        <v>67.5</v>
      </c>
      <c r="BB22" s="277">
        <f>IFERROR(__xludf.DUMMYFUNCTION("""COMPUTED_VALUE"""),72.0)</f>
        <v>72</v>
      </c>
      <c r="BC22" s="277">
        <f>IFERROR(__xludf.DUMMYFUNCTION("""COMPUTED_VALUE"""),81.5)</f>
        <v>81.5</v>
      </c>
      <c r="BD22" s="278">
        <f>IFERROR(__xludf.DUMMYFUNCTION("""COMPUTED_VALUE"""),83.5)</f>
        <v>83.5</v>
      </c>
      <c r="BE22" s="279" t="str">
        <f>IFERROR(__xludf.DUMMYFUNCTION("""COMPUTED_VALUE"""),"範囲(小：威力減)")</f>
        <v>範囲(小：威力減)</v>
      </c>
      <c r="BF22" s="273">
        <f>IFERROR(__xludf.DUMMYFUNCTION("""COMPUTED_VALUE"""),4.0)</f>
        <v>4</v>
      </c>
      <c r="BG22" s="274" t="str">
        <f>IFERROR(__xludf.DUMMYFUNCTION("""COMPUTED_VALUE"""),"効果値")</f>
        <v>効果値</v>
      </c>
      <c r="BH22" s="277">
        <f>IFERROR(__xludf.DUMMYFUNCTION("""COMPUTED_VALUE"""),58.5)</f>
        <v>58.5</v>
      </c>
      <c r="BI22" s="277">
        <f>IFERROR(__xludf.DUMMYFUNCTION("""COMPUTED_VALUE"""),61.0)</f>
        <v>61</v>
      </c>
      <c r="BJ22" s="277">
        <f>IFERROR(__xludf.DUMMYFUNCTION("""COMPUTED_VALUE"""),63.0)</f>
        <v>63</v>
      </c>
      <c r="BK22" s="277">
        <f>IFERROR(__xludf.DUMMYFUNCTION("""COMPUTED_VALUE"""),65.0)</f>
        <v>65</v>
      </c>
      <c r="BL22" s="277">
        <f>IFERROR(__xludf.DUMMYFUNCTION("""COMPUTED_VALUE"""),67.5)</f>
        <v>67.5</v>
      </c>
      <c r="BM22" s="277">
        <f>IFERROR(__xludf.DUMMYFUNCTION("""COMPUTED_VALUE"""),72.0)</f>
        <v>72</v>
      </c>
      <c r="BN22" s="277">
        <f>IFERROR(__xludf.DUMMYFUNCTION("""COMPUTED_VALUE"""),81.5)</f>
        <v>81.5</v>
      </c>
      <c r="BO22" s="278">
        <f>IFERROR(__xludf.DUMMYFUNCTION("""COMPUTED_VALUE"""),83.5)</f>
        <v>83.5</v>
      </c>
    </row>
    <row r="23">
      <c r="A23" s="276" t="str">
        <f>IFERROR(__xludf.DUMMYFUNCTION("""COMPUTED_VALUE"""),"キラー攻撃(赤)")</f>
        <v>キラー攻撃(赤)</v>
      </c>
      <c r="B23" s="272" t="str">
        <f>IFERROR(__xludf.DUMMYFUNCTION("""COMPUTED_VALUE"""),"単体")</f>
        <v>単体</v>
      </c>
      <c r="C23" s="283">
        <f>IFERROR(__xludf.DUMMYFUNCTION("""COMPUTED_VALUE"""),5.0)</f>
        <v>5</v>
      </c>
      <c r="D23" s="284" t="str">
        <f>IFERROR(__xludf.DUMMYFUNCTION("""COMPUTED_VALUE"""),"効果値")</f>
        <v>効果値</v>
      </c>
      <c r="E23" s="285">
        <f>IFERROR(__xludf.DUMMYFUNCTION("""COMPUTED_VALUE"""),120.0)</f>
        <v>120</v>
      </c>
      <c r="F23" s="287">
        <f>IFERROR(__xludf.DUMMYFUNCTION("""COMPUTED_VALUE"""),125.0)</f>
        <v>125</v>
      </c>
      <c r="G23" s="287">
        <f>IFERROR(__xludf.DUMMYFUNCTION("""COMPUTED_VALUE"""),130.0)</f>
        <v>130</v>
      </c>
      <c r="H23" s="287">
        <f>IFERROR(__xludf.DUMMYFUNCTION("""COMPUTED_VALUE"""),135.0)</f>
        <v>135</v>
      </c>
      <c r="I23" s="287">
        <f>IFERROR(__xludf.DUMMYFUNCTION("""COMPUTED_VALUE"""),140.0)</f>
        <v>140</v>
      </c>
      <c r="J23" s="287">
        <f>IFERROR(__xludf.DUMMYFUNCTION("""COMPUTED_VALUE"""),150.0)</f>
        <v>150</v>
      </c>
      <c r="K23" s="287">
        <f>IFERROR(__xludf.DUMMYFUNCTION("""COMPUTED_VALUE"""),170.0)</f>
        <v>170</v>
      </c>
      <c r="L23" s="288">
        <f>IFERROR(__xludf.DUMMYFUNCTION("""COMPUTED_VALUE"""),175.0)</f>
        <v>175</v>
      </c>
      <c r="M23" s="276" t="str">
        <f>IFERROR(__xludf.DUMMYFUNCTION("""COMPUTED_VALUE"""),"範囲(小)")</f>
        <v>範囲(小)</v>
      </c>
      <c r="N23" s="283">
        <f>IFERROR(__xludf.DUMMYFUNCTION("""COMPUTED_VALUE"""),5.0)</f>
        <v>5</v>
      </c>
      <c r="O23" s="284" t="str">
        <f>IFERROR(__xludf.DUMMYFUNCTION("""COMPUTED_VALUE"""),"効果値")</f>
        <v>効果値</v>
      </c>
      <c r="P23" s="289">
        <f>IFERROR(__xludf.DUMMYFUNCTION("""COMPUTED_VALUE"""),90.0)</f>
        <v>90</v>
      </c>
      <c r="Q23" s="289">
        <f>IFERROR(__xludf.DUMMYFUNCTION("""COMPUTED_VALUE"""),93.7)</f>
        <v>93.7</v>
      </c>
      <c r="R23" s="289">
        <f>IFERROR(__xludf.DUMMYFUNCTION("""COMPUTED_VALUE"""),97.5)</f>
        <v>97.5</v>
      </c>
      <c r="S23" s="289">
        <f>IFERROR(__xludf.DUMMYFUNCTION("""COMPUTED_VALUE"""),101.2)</f>
        <v>101.2</v>
      </c>
      <c r="T23" s="289">
        <f>IFERROR(__xludf.DUMMYFUNCTION("""COMPUTED_VALUE"""),105.0)</f>
        <v>105</v>
      </c>
      <c r="U23" s="289">
        <f>IFERROR(__xludf.DUMMYFUNCTION("""COMPUTED_VALUE"""),112.5)</f>
        <v>112.5</v>
      </c>
      <c r="V23" s="289">
        <f>IFERROR(__xludf.DUMMYFUNCTION("""COMPUTED_VALUE"""),127.5)</f>
        <v>127.5</v>
      </c>
      <c r="W23" s="290">
        <f>IFERROR(__xludf.DUMMYFUNCTION("""COMPUTED_VALUE"""),131.2)</f>
        <v>131.2</v>
      </c>
      <c r="X23" s="276" t="str">
        <f>IFERROR(__xludf.DUMMYFUNCTION("""COMPUTED_VALUE"""),"範囲(中)")</f>
        <v>範囲(中)</v>
      </c>
      <c r="Y23" s="283">
        <f>IFERROR(__xludf.DUMMYFUNCTION("""COMPUTED_VALUE"""),5.0)</f>
        <v>5</v>
      </c>
      <c r="Z23" s="284" t="str">
        <f>IFERROR(__xludf.DUMMYFUNCTION("""COMPUTED_VALUE"""),"効果値")</f>
        <v>効果値</v>
      </c>
      <c r="AA23" s="289">
        <f>IFERROR(__xludf.DUMMYFUNCTION("""COMPUTED_VALUE"""),78.0)</f>
        <v>78</v>
      </c>
      <c r="AB23" s="289">
        <f>IFERROR(__xludf.DUMMYFUNCTION("""COMPUTED_VALUE"""),81.2)</f>
        <v>81.2</v>
      </c>
      <c r="AC23" s="289">
        <f>IFERROR(__xludf.DUMMYFUNCTION("""COMPUTED_VALUE"""),84.5)</f>
        <v>84.5</v>
      </c>
      <c r="AD23" s="289">
        <f>IFERROR(__xludf.DUMMYFUNCTION("""COMPUTED_VALUE"""),87.7)</f>
        <v>87.7</v>
      </c>
      <c r="AE23" s="289">
        <f>IFERROR(__xludf.DUMMYFUNCTION("""COMPUTED_VALUE"""),91.0)</f>
        <v>91</v>
      </c>
      <c r="AF23" s="289">
        <f>IFERROR(__xludf.DUMMYFUNCTION("""COMPUTED_VALUE"""),97.5)</f>
        <v>97.5</v>
      </c>
      <c r="AG23" s="289">
        <f>IFERROR(__xludf.DUMMYFUNCTION("""COMPUTED_VALUE"""),110.5)</f>
        <v>110.5</v>
      </c>
      <c r="AH23" s="290">
        <f>IFERROR(__xludf.DUMMYFUNCTION("""COMPUTED_VALUE"""),113.7)</f>
        <v>113.7</v>
      </c>
      <c r="AI23" s="276" t="str">
        <f>IFERROR(__xludf.DUMMYFUNCTION("""COMPUTED_VALUE"""),"範囲(大)")</f>
        <v>範囲(大)</v>
      </c>
      <c r="AJ23" s="283">
        <f>IFERROR(__xludf.DUMMYFUNCTION("""COMPUTED_VALUE"""),5.0)</f>
        <v>5</v>
      </c>
      <c r="AK23" s="284" t="str">
        <f>IFERROR(__xludf.DUMMYFUNCTION("""COMPUTED_VALUE"""),"効果値")</f>
        <v>効果値</v>
      </c>
      <c r="AL23" s="289">
        <f>IFERROR(__xludf.DUMMYFUNCTION("""COMPUTED_VALUE"""),66.0)</f>
        <v>66</v>
      </c>
      <c r="AM23" s="289">
        <f>IFERROR(__xludf.DUMMYFUNCTION("""COMPUTED_VALUE"""),68.7)</f>
        <v>68.7</v>
      </c>
      <c r="AN23" s="289">
        <f>IFERROR(__xludf.DUMMYFUNCTION("""COMPUTED_VALUE"""),71.5)</f>
        <v>71.5</v>
      </c>
      <c r="AO23" s="289">
        <f>IFERROR(__xludf.DUMMYFUNCTION("""COMPUTED_VALUE"""),74.2)</f>
        <v>74.2</v>
      </c>
      <c r="AP23" s="289">
        <f>IFERROR(__xludf.DUMMYFUNCTION("""COMPUTED_VALUE"""),77.0)</f>
        <v>77</v>
      </c>
      <c r="AQ23" s="289">
        <f>IFERROR(__xludf.DUMMYFUNCTION("""COMPUTED_VALUE"""),82.5)</f>
        <v>82.5</v>
      </c>
      <c r="AR23" s="289">
        <f>IFERROR(__xludf.DUMMYFUNCTION("""COMPUTED_VALUE"""),93.5)</f>
        <v>93.5</v>
      </c>
      <c r="AS23" s="290">
        <f>IFERROR(__xludf.DUMMYFUNCTION("""COMPUTED_VALUE"""),96.2)</f>
        <v>96.2</v>
      </c>
      <c r="AT23" s="276" t="str">
        <f>IFERROR(__xludf.DUMMYFUNCTION("""COMPUTED_VALUE"""),"範囲(特大)")</f>
        <v>範囲(特大)</v>
      </c>
      <c r="AU23" s="283">
        <f>IFERROR(__xludf.DUMMYFUNCTION("""COMPUTED_VALUE"""),5.0)</f>
        <v>5</v>
      </c>
      <c r="AV23" s="284" t="str">
        <f>IFERROR(__xludf.DUMMYFUNCTION("""COMPUTED_VALUE"""),"効果値")</f>
        <v>効果値</v>
      </c>
      <c r="AW23" s="289">
        <f>IFERROR(__xludf.DUMMYFUNCTION("""COMPUTED_VALUE"""),60.0)</f>
        <v>60</v>
      </c>
      <c r="AX23" s="289">
        <f>IFERROR(__xludf.DUMMYFUNCTION("""COMPUTED_VALUE"""),62.5)</f>
        <v>62.5</v>
      </c>
      <c r="AY23" s="289">
        <f>IFERROR(__xludf.DUMMYFUNCTION("""COMPUTED_VALUE"""),65.0)</f>
        <v>65</v>
      </c>
      <c r="AZ23" s="289">
        <f>IFERROR(__xludf.DUMMYFUNCTION("""COMPUTED_VALUE"""),67.5)</f>
        <v>67.5</v>
      </c>
      <c r="BA23" s="289">
        <f>IFERROR(__xludf.DUMMYFUNCTION("""COMPUTED_VALUE"""),70.0)</f>
        <v>70</v>
      </c>
      <c r="BB23" s="289">
        <f>IFERROR(__xludf.DUMMYFUNCTION("""COMPUTED_VALUE"""),75.0)</f>
        <v>75</v>
      </c>
      <c r="BC23" s="289">
        <f>IFERROR(__xludf.DUMMYFUNCTION("""COMPUTED_VALUE"""),85.0)</f>
        <v>85</v>
      </c>
      <c r="BD23" s="290">
        <f>IFERROR(__xludf.DUMMYFUNCTION("""COMPUTED_VALUE"""),87.5)</f>
        <v>87.5</v>
      </c>
      <c r="BE23" s="279" t="str">
        <f>IFERROR(__xludf.DUMMYFUNCTION("""COMPUTED_VALUE"""),"範囲(小：威力減)")</f>
        <v>範囲(小：威力減)</v>
      </c>
      <c r="BF23" s="283">
        <f>IFERROR(__xludf.DUMMYFUNCTION("""COMPUTED_VALUE"""),5.0)</f>
        <v>5</v>
      </c>
      <c r="BG23" s="284" t="str">
        <f>IFERROR(__xludf.DUMMYFUNCTION("""COMPUTED_VALUE"""),"効果値")</f>
        <v>効果値</v>
      </c>
      <c r="BH23" s="289">
        <f>IFERROR(__xludf.DUMMYFUNCTION("""COMPUTED_VALUE"""),60.0)</f>
        <v>60</v>
      </c>
      <c r="BI23" s="289">
        <f>IFERROR(__xludf.DUMMYFUNCTION("""COMPUTED_VALUE"""),62.5)</f>
        <v>62.5</v>
      </c>
      <c r="BJ23" s="289">
        <f>IFERROR(__xludf.DUMMYFUNCTION("""COMPUTED_VALUE"""),65.0)</f>
        <v>65</v>
      </c>
      <c r="BK23" s="289">
        <f>IFERROR(__xludf.DUMMYFUNCTION("""COMPUTED_VALUE"""),67.5)</f>
        <v>67.5</v>
      </c>
      <c r="BL23" s="289">
        <f>IFERROR(__xludf.DUMMYFUNCTION("""COMPUTED_VALUE"""),70.0)</f>
        <v>70</v>
      </c>
      <c r="BM23" s="289">
        <f>IFERROR(__xludf.DUMMYFUNCTION("""COMPUTED_VALUE"""),75.0)</f>
        <v>75</v>
      </c>
      <c r="BN23" s="289">
        <f>IFERROR(__xludf.DUMMYFUNCTION("""COMPUTED_VALUE"""),85.0)</f>
        <v>85</v>
      </c>
      <c r="BO23" s="290">
        <f>IFERROR(__xludf.DUMMYFUNCTION("""COMPUTED_VALUE"""),87.5)</f>
        <v>87.5</v>
      </c>
    </row>
    <row r="24">
      <c r="A24" s="267" t="str">
        <f>IFERROR(__xludf.DUMMYFUNCTION("""COMPUTED_VALUE"""),"キラー攻撃(青)")</f>
        <v>キラー攻撃(青)</v>
      </c>
      <c r="B24" s="260" t="str">
        <f>IFERROR(__xludf.DUMMYFUNCTION("""COMPUTED_VALUE"""),"単体")</f>
        <v>単体</v>
      </c>
      <c r="C24" s="261">
        <f>IFERROR(__xludf.DUMMYFUNCTION("""COMPUTED_VALUE"""),1.0)</f>
        <v>1</v>
      </c>
      <c r="D24" s="262" t="str">
        <f>IFERROR(__xludf.DUMMYFUNCTION("""COMPUTED_VALUE"""),"効果値")</f>
        <v>効果値</v>
      </c>
      <c r="E24" s="263">
        <f>IFERROR(__xludf.DUMMYFUNCTION("""COMPUTED_VALUE"""),105.0)</f>
        <v>105</v>
      </c>
      <c r="F24" s="265">
        <f>IFERROR(__xludf.DUMMYFUNCTION("""COMPUTED_VALUE"""),105.0)</f>
        <v>105</v>
      </c>
      <c r="G24" s="265">
        <f>IFERROR(__xludf.DUMMYFUNCTION("""COMPUTED_VALUE"""),105.0)</f>
        <v>105</v>
      </c>
      <c r="H24" s="265">
        <f>IFERROR(__xludf.DUMMYFUNCTION("""COMPUTED_VALUE"""),105.0)</f>
        <v>105</v>
      </c>
      <c r="I24" s="265">
        <f>IFERROR(__xludf.DUMMYFUNCTION("""COMPUTED_VALUE"""),105.0)</f>
        <v>105</v>
      </c>
      <c r="J24" s="265">
        <f>IFERROR(__xludf.DUMMYFUNCTION("""COMPUTED_VALUE"""),110.0)</f>
        <v>110</v>
      </c>
      <c r="K24" s="265">
        <f>IFERROR(__xludf.DUMMYFUNCTION("""COMPUTED_VALUE"""),120.0)</f>
        <v>120</v>
      </c>
      <c r="L24" s="266">
        <f>IFERROR(__xludf.DUMMYFUNCTION("""COMPUTED_VALUE"""),120.0)</f>
        <v>120</v>
      </c>
      <c r="M24" s="267" t="str">
        <f>IFERROR(__xludf.DUMMYFUNCTION("""COMPUTED_VALUE"""),"範囲(小)")</f>
        <v>範囲(小)</v>
      </c>
      <c r="N24" s="261">
        <f>IFERROR(__xludf.DUMMYFUNCTION("""COMPUTED_VALUE"""),1.0)</f>
        <v>1</v>
      </c>
      <c r="O24" s="262" t="str">
        <f>IFERROR(__xludf.DUMMYFUNCTION("""COMPUTED_VALUE"""),"効果値")</f>
        <v>効果値</v>
      </c>
      <c r="P24" s="268">
        <f>IFERROR(__xludf.DUMMYFUNCTION("""COMPUTED_VALUE"""),78.7)</f>
        <v>78.7</v>
      </c>
      <c r="Q24" s="268">
        <f>IFERROR(__xludf.DUMMYFUNCTION("""COMPUTED_VALUE"""),78.7)</f>
        <v>78.7</v>
      </c>
      <c r="R24" s="268">
        <f>IFERROR(__xludf.DUMMYFUNCTION("""COMPUTED_VALUE"""),78.7)</f>
        <v>78.7</v>
      </c>
      <c r="S24" s="268">
        <f>IFERROR(__xludf.DUMMYFUNCTION("""COMPUTED_VALUE"""),78.7)</f>
        <v>78.7</v>
      </c>
      <c r="T24" s="268">
        <f>IFERROR(__xludf.DUMMYFUNCTION("""COMPUTED_VALUE"""),78.7)</f>
        <v>78.7</v>
      </c>
      <c r="U24" s="268">
        <f>IFERROR(__xludf.DUMMYFUNCTION("""COMPUTED_VALUE"""),82.5)</f>
        <v>82.5</v>
      </c>
      <c r="V24" s="268">
        <f>IFERROR(__xludf.DUMMYFUNCTION("""COMPUTED_VALUE"""),90.0)</f>
        <v>90</v>
      </c>
      <c r="W24" s="269">
        <f>IFERROR(__xludf.DUMMYFUNCTION("""COMPUTED_VALUE"""),90.0)</f>
        <v>90</v>
      </c>
      <c r="X24" s="267" t="str">
        <f>IFERROR(__xludf.DUMMYFUNCTION("""COMPUTED_VALUE"""),"範囲(中)")</f>
        <v>範囲(中)</v>
      </c>
      <c r="Y24" s="261">
        <f>IFERROR(__xludf.DUMMYFUNCTION("""COMPUTED_VALUE"""),1.0)</f>
        <v>1</v>
      </c>
      <c r="Z24" s="262" t="str">
        <f>IFERROR(__xludf.DUMMYFUNCTION("""COMPUTED_VALUE"""),"効果値")</f>
        <v>効果値</v>
      </c>
      <c r="AA24" s="268">
        <f>IFERROR(__xludf.DUMMYFUNCTION("""COMPUTED_VALUE"""),68.2)</f>
        <v>68.2</v>
      </c>
      <c r="AB24" s="268">
        <f>IFERROR(__xludf.DUMMYFUNCTION("""COMPUTED_VALUE"""),68.2)</f>
        <v>68.2</v>
      </c>
      <c r="AC24" s="268">
        <f>IFERROR(__xludf.DUMMYFUNCTION("""COMPUTED_VALUE"""),68.2)</f>
        <v>68.2</v>
      </c>
      <c r="AD24" s="268">
        <f>IFERROR(__xludf.DUMMYFUNCTION("""COMPUTED_VALUE"""),68.2)</f>
        <v>68.2</v>
      </c>
      <c r="AE24" s="268">
        <f>IFERROR(__xludf.DUMMYFUNCTION("""COMPUTED_VALUE"""),68.2)</f>
        <v>68.2</v>
      </c>
      <c r="AF24" s="268">
        <f>IFERROR(__xludf.DUMMYFUNCTION("""COMPUTED_VALUE"""),71.5)</f>
        <v>71.5</v>
      </c>
      <c r="AG24" s="268">
        <f>IFERROR(__xludf.DUMMYFUNCTION("""COMPUTED_VALUE"""),78.0)</f>
        <v>78</v>
      </c>
      <c r="AH24" s="269">
        <f>IFERROR(__xludf.DUMMYFUNCTION("""COMPUTED_VALUE"""),78.0)</f>
        <v>78</v>
      </c>
      <c r="AI24" s="267" t="str">
        <f>IFERROR(__xludf.DUMMYFUNCTION("""COMPUTED_VALUE"""),"範囲(大)")</f>
        <v>範囲(大)</v>
      </c>
      <c r="AJ24" s="261">
        <f>IFERROR(__xludf.DUMMYFUNCTION("""COMPUTED_VALUE"""),1.0)</f>
        <v>1</v>
      </c>
      <c r="AK24" s="262" t="str">
        <f>IFERROR(__xludf.DUMMYFUNCTION("""COMPUTED_VALUE"""),"効果値")</f>
        <v>効果値</v>
      </c>
      <c r="AL24" s="268">
        <f>IFERROR(__xludf.DUMMYFUNCTION("""COMPUTED_VALUE"""),57.7)</f>
        <v>57.7</v>
      </c>
      <c r="AM24" s="268">
        <f>IFERROR(__xludf.DUMMYFUNCTION("""COMPUTED_VALUE"""),57.7)</f>
        <v>57.7</v>
      </c>
      <c r="AN24" s="268">
        <f>IFERROR(__xludf.DUMMYFUNCTION("""COMPUTED_VALUE"""),57.7)</f>
        <v>57.7</v>
      </c>
      <c r="AO24" s="268">
        <f>IFERROR(__xludf.DUMMYFUNCTION("""COMPUTED_VALUE"""),57.7)</f>
        <v>57.7</v>
      </c>
      <c r="AP24" s="268">
        <f>IFERROR(__xludf.DUMMYFUNCTION("""COMPUTED_VALUE"""),57.7)</f>
        <v>57.7</v>
      </c>
      <c r="AQ24" s="268">
        <f>IFERROR(__xludf.DUMMYFUNCTION("""COMPUTED_VALUE"""),60.5)</f>
        <v>60.5</v>
      </c>
      <c r="AR24" s="268">
        <f>IFERROR(__xludf.DUMMYFUNCTION("""COMPUTED_VALUE"""),66.0)</f>
        <v>66</v>
      </c>
      <c r="AS24" s="269">
        <f>IFERROR(__xludf.DUMMYFUNCTION("""COMPUTED_VALUE"""),66.0)</f>
        <v>66</v>
      </c>
      <c r="AT24" s="267" t="str">
        <f>IFERROR(__xludf.DUMMYFUNCTION("""COMPUTED_VALUE"""),"範囲(特大)")</f>
        <v>範囲(特大)</v>
      </c>
      <c r="AU24" s="261">
        <f>IFERROR(__xludf.DUMMYFUNCTION("""COMPUTED_VALUE"""),1.0)</f>
        <v>1</v>
      </c>
      <c r="AV24" s="262" t="str">
        <f>IFERROR(__xludf.DUMMYFUNCTION("""COMPUTED_VALUE"""),"効果値")</f>
        <v>効果値</v>
      </c>
      <c r="AW24" s="268">
        <f>IFERROR(__xludf.DUMMYFUNCTION("""COMPUTED_VALUE"""),52.5)</f>
        <v>52.5</v>
      </c>
      <c r="AX24" s="268">
        <f>IFERROR(__xludf.DUMMYFUNCTION("""COMPUTED_VALUE"""),52.5)</f>
        <v>52.5</v>
      </c>
      <c r="AY24" s="268">
        <f>IFERROR(__xludf.DUMMYFUNCTION("""COMPUTED_VALUE"""),52.5)</f>
        <v>52.5</v>
      </c>
      <c r="AZ24" s="268">
        <f>IFERROR(__xludf.DUMMYFUNCTION("""COMPUTED_VALUE"""),52.5)</f>
        <v>52.5</v>
      </c>
      <c r="BA24" s="268">
        <f>IFERROR(__xludf.DUMMYFUNCTION("""COMPUTED_VALUE"""),52.5)</f>
        <v>52.5</v>
      </c>
      <c r="BB24" s="268">
        <f>IFERROR(__xludf.DUMMYFUNCTION("""COMPUTED_VALUE"""),55.0)</f>
        <v>55</v>
      </c>
      <c r="BC24" s="268">
        <f>IFERROR(__xludf.DUMMYFUNCTION("""COMPUTED_VALUE"""),60.0)</f>
        <v>60</v>
      </c>
      <c r="BD24" s="269">
        <f>IFERROR(__xludf.DUMMYFUNCTION("""COMPUTED_VALUE"""),60.0)</f>
        <v>60</v>
      </c>
      <c r="BE24" s="270" t="str">
        <f>IFERROR(__xludf.DUMMYFUNCTION("""COMPUTED_VALUE"""),"範囲(小：威力減)")</f>
        <v>範囲(小：威力減)</v>
      </c>
      <c r="BF24" s="261">
        <f>IFERROR(__xludf.DUMMYFUNCTION("""COMPUTED_VALUE"""),1.0)</f>
        <v>1</v>
      </c>
      <c r="BG24" s="262" t="str">
        <f>IFERROR(__xludf.DUMMYFUNCTION("""COMPUTED_VALUE"""),"効果値")</f>
        <v>効果値</v>
      </c>
      <c r="BH24" s="268">
        <f>IFERROR(__xludf.DUMMYFUNCTION("""COMPUTED_VALUE"""),52.5)</f>
        <v>52.5</v>
      </c>
      <c r="BI24" s="268">
        <f>IFERROR(__xludf.DUMMYFUNCTION("""COMPUTED_VALUE"""),52.5)</f>
        <v>52.5</v>
      </c>
      <c r="BJ24" s="268">
        <f>IFERROR(__xludf.DUMMYFUNCTION("""COMPUTED_VALUE"""),52.5)</f>
        <v>52.5</v>
      </c>
      <c r="BK24" s="268">
        <f>IFERROR(__xludf.DUMMYFUNCTION("""COMPUTED_VALUE"""),52.5)</f>
        <v>52.5</v>
      </c>
      <c r="BL24" s="268">
        <f>IFERROR(__xludf.DUMMYFUNCTION("""COMPUTED_VALUE"""),52.5)</f>
        <v>52.5</v>
      </c>
      <c r="BM24" s="268">
        <f>IFERROR(__xludf.DUMMYFUNCTION("""COMPUTED_VALUE"""),55.0)</f>
        <v>55</v>
      </c>
      <c r="BN24" s="268">
        <f>IFERROR(__xludf.DUMMYFUNCTION("""COMPUTED_VALUE"""),60.0)</f>
        <v>60</v>
      </c>
      <c r="BO24" s="269">
        <f>IFERROR(__xludf.DUMMYFUNCTION("""COMPUTED_VALUE"""),60.0)</f>
        <v>60</v>
      </c>
    </row>
    <row r="25">
      <c r="A25" s="292" t="str">
        <f>IFERROR(__xludf.DUMMYFUNCTION("""COMPUTED_VALUE"""),"キラー攻撃(青)")</f>
        <v>キラー攻撃(青)</v>
      </c>
      <c r="B25" s="272" t="str">
        <f>IFERROR(__xludf.DUMMYFUNCTION("""COMPUTED_VALUE"""),"単体")</f>
        <v>単体</v>
      </c>
      <c r="C25" s="273">
        <f>IFERROR(__xludf.DUMMYFUNCTION("""COMPUTED_VALUE"""),2.0)</f>
        <v>2</v>
      </c>
      <c r="D25" s="274" t="str">
        <f>IFERROR(__xludf.DUMMYFUNCTION("""COMPUTED_VALUE"""),"効果値")</f>
        <v>効果値</v>
      </c>
      <c r="E25" s="275">
        <f>IFERROR(__xludf.DUMMYFUNCTION("""COMPUTED_VALUE"""),110.0)</f>
        <v>110</v>
      </c>
      <c r="F25" s="275">
        <f>IFERROR(__xludf.DUMMYFUNCTION("""COMPUTED_VALUE"""),112.0)</f>
        <v>112</v>
      </c>
      <c r="G25" s="275">
        <f>IFERROR(__xludf.DUMMYFUNCTION("""COMPUTED_VALUE"""),114.0)</f>
        <v>114</v>
      </c>
      <c r="H25" s="275">
        <f>IFERROR(__xludf.DUMMYFUNCTION("""COMPUTED_VALUE"""),116.0)</f>
        <v>116</v>
      </c>
      <c r="I25" s="275">
        <f>IFERROR(__xludf.DUMMYFUNCTION("""COMPUTED_VALUE"""),118.0)</f>
        <v>118</v>
      </c>
      <c r="J25" s="275">
        <f>IFERROR(__xludf.DUMMYFUNCTION("""COMPUTED_VALUE"""),125.0)</f>
        <v>125</v>
      </c>
      <c r="K25" s="275">
        <f>IFERROR(__xludf.DUMMYFUNCTION("""COMPUTED_VALUE"""),139.0)</f>
        <v>139</v>
      </c>
      <c r="L25" s="275">
        <f>IFERROR(__xludf.DUMMYFUNCTION("""COMPUTED_VALUE"""),141.0)</f>
        <v>141</v>
      </c>
      <c r="M25" s="276" t="str">
        <f>IFERROR(__xludf.DUMMYFUNCTION("""COMPUTED_VALUE"""),"範囲(小)")</f>
        <v>範囲(小)</v>
      </c>
      <c r="N25" s="273">
        <f>IFERROR(__xludf.DUMMYFUNCTION("""COMPUTED_VALUE"""),2.0)</f>
        <v>2</v>
      </c>
      <c r="O25" s="274" t="str">
        <f>IFERROR(__xludf.DUMMYFUNCTION("""COMPUTED_VALUE"""),"効果値")</f>
        <v>効果値</v>
      </c>
      <c r="P25" s="277">
        <f>IFERROR(__xludf.DUMMYFUNCTION("""COMPUTED_VALUE"""),82.5)</f>
        <v>82.5</v>
      </c>
      <c r="Q25" s="277">
        <f>IFERROR(__xludf.DUMMYFUNCTION("""COMPUTED_VALUE"""),84.0)</f>
        <v>84</v>
      </c>
      <c r="R25" s="277">
        <f>IFERROR(__xludf.DUMMYFUNCTION("""COMPUTED_VALUE"""),85.5)</f>
        <v>85.5</v>
      </c>
      <c r="S25" s="277">
        <f>IFERROR(__xludf.DUMMYFUNCTION("""COMPUTED_VALUE"""),87.0)</f>
        <v>87</v>
      </c>
      <c r="T25" s="277">
        <f>IFERROR(__xludf.DUMMYFUNCTION("""COMPUTED_VALUE"""),88.5)</f>
        <v>88.5</v>
      </c>
      <c r="U25" s="277">
        <f>IFERROR(__xludf.DUMMYFUNCTION("""COMPUTED_VALUE"""),93.7)</f>
        <v>93.7</v>
      </c>
      <c r="V25" s="277">
        <f>IFERROR(__xludf.DUMMYFUNCTION("""COMPUTED_VALUE"""),104.2)</f>
        <v>104.2</v>
      </c>
      <c r="W25" s="278">
        <f>IFERROR(__xludf.DUMMYFUNCTION("""COMPUTED_VALUE"""),105.7)</f>
        <v>105.7</v>
      </c>
      <c r="X25" s="276" t="str">
        <f>IFERROR(__xludf.DUMMYFUNCTION("""COMPUTED_VALUE"""),"範囲(中)")</f>
        <v>範囲(中)</v>
      </c>
      <c r="Y25" s="273">
        <f>IFERROR(__xludf.DUMMYFUNCTION("""COMPUTED_VALUE"""),2.0)</f>
        <v>2</v>
      </c>
      <c r="Z25" s="274" t="str">
        <f>IFERROR(__xludf.DUMMYFUNCTION("""COMPUTED_VALUE"""),"効果値")</f>
        <v>効果値</v>
      </c>
      <c r="AA25" s="277">
        <f>IFERROR(__xludf.DUMMYFUNCTION("""COMPUTED_VALUE"""),71.5)</f>
        <v>71.5</v>
      </c>
      <c r="AB25" s="277">
        <f>IFERROR(__xludf.DUMMYFUNCTION("""COMPUTED_VALUE"""),72.8)</f>
        <v>72.8</v>
      </c>
      <c r="AC25" s="277">
        <f>IFERROR(__xludf.DUMMYFUNCTION("""COMPUTED_VALUE"""),74.1)</f>
        <v>74.1</v>
      </c>
      <c r="AD25" s="277">
        <f>IFERROR(__xludf.DUMMYFUNCTION("""COMPUTED_VALUE"""),75.4)</f>
        <v>75.4</v>
      </c>
      <c r="AE25" s="277">
        <f>IFERROR(__xludf.DUMMYFUNCTION("""COMPUTED_VALUE"""),76.7)</f>
        <v>76.7</v>
      </c>
      <c r="AF25" s="277">
        <f>IFERROR(__xludf.DUMMYFUNCTION("""COMPUTED_VALUE"""),81.2)</f>
        <v>81.2</v>
      </c>
      <c r="AG25" s="277">
        <f>IFERROR(__xludf.DUMMYFUNCTION("""COMPUTED_VALUE"""),90.3)</f>
        <v>90.3</v>
      </c>
      <c r="AH25" s="278">
        <f>IFERROR(__xludf.DUMMYFUNCTION("""COMPUTED_VALUE"""),91.6)</f>
        <v>91.6</v>
      </c>
      <c r="AI25" s="276" t="str">
        <f>IFERROR(__xludf.DUMMYFUNCTION("""COMPUTED_VALUE"""),"範囲(大)")</f>
        <v>範囲(大)</v>
      </c>
      <c r="AJ25" s="273">
        <f>IFERROR(__xludf.DUMMYFUNCTION("""COMPUTED_VALUE"""),2.0)</f>
        <v>2</v>
      </c>
      <c r="AK25" s="274" t="str">
        <f>IFERROR(__xludf.DUMMYFUNCTION("""COMPUTED_VALUE"""),"効果値")</f>
        <v>効果値</v>
      </c>
      <c r="AL25" s="277">
        <f>IFERROR(__xludf.DUMMYFUNCTION("""COMPUTED_VALUE"""),60.5)</f>
        <v>60.5</v>
      </c>
      <c r="AM25" s="277">
        <f>IFERROR(__xludf.DUMMYFUNCTION("""COMPUTED_VALUE"""),61.6)</f>
        <v>61.6</v>
      </c>
      <c r="AN25" s="277">
        <f>IFERROR(__xludf.DUMMYFUNCTION("""COMPUTED_VALUE"""),62.7)</f>
        <v>62.7</v>
      </c>
      <c r="AO25" s="277">
        <f>IFERROR(__xludf.DUMMYFUNCTION("""COMPUTED_VALUE"""),63.8)</f>
        <v>63.8</v>
      </c>
      <c r="AP25" s="277">
        <f>IFERROR(__xludf.DUMMYFUNCTION("""COMPUTED_VALUE"""),64.9)</f>
        <v>64.9</v>
      </c>
      <c r="AQ25" s="277">
        <f>IFERROR(__xludf.DUMMYFUNCTION("""COMPUTED_VALUE"""),68.7)</f>
        <v>68.7</v>
      </c>
      <c r="AR25" s="277">
        <f>IFERROR(__xludf.DUMMYFUNCTION("""COMPUTED_VALUE"""),76.4)</f>
        <v>76.4</v>
      </c>
      <c r="AS25" s="278">
        <f>IFERROR(__xludf.DUMMYFUNCTION("""COMPUTED_VALUE"""),77.5)</f>
        <v>77.5</v>
      </c>
      <c r="AT25" s="276" t="str">
        <f>IFERROR(__xludf.DUMMYFUNCTION("""COMPUTED_VALUE"""),"範囲(特大)")</f>
        <v>範囲(特大)</v>
      </c>
      <c r="AU25" s="273">
        <f>IFERROR(__xludf.DUMMYFUNCTION("""COMPUTED_VALUE"""),2.0)</f>
        <v>2</v>
      </c>
      <c r="AV25" s="274" t="str">
        <f>IFERROR(__xludf.DUMMYFUNCTION("""COMPUTED_VALUE"""),"効果値")</f>
        <v>効果値</v>
      </c>
      <c r="AW25" s="277">
        <f>IFERROR(__xludf.DUMMYFUNCTION("""COMPUTED_VALUE"""),55.0)</f>
        <v>55</v>
      </c>
      <c r="AX25" s="277">
        <f>IFERROR(__xludf.DUMMYFUNCTION("""COMPUTED_VALUE"""),56.0)</f>
        <v>56</v>
      </c>
      <c r="AY25" s="277">
        <f>IFERROR(__xludf.DUMMYFUNCTION("""COMPUTED_VALUE"""),57.0)</f>
        <v>57</v>
      </c>
      <c r="AZ25" s="277">
        <f>IFERROR(__xludf.DUMMYFUNCTION("""COMPUTED_VALUE"""),58.0)</f>
        <v>58</v>
      </c>
      <c r="BA25" s="277">
        <f>IFERROR(__xludf.DUMMYFUNCTION("""COMPUTED_VALUE"""),59.0)</f>
        <v>59</v>
      </c>
      <c r="BB25" s="277">
        <f>IFERROR(__xludf.DUMMYFUNCTION("""COMPUTED_VALUE"""),62.5)</f>
        <v>62.5</v>
      </c>
      <c r="BC25" s="277">
        <f>IFERROR(__xludf.DUMMYFUNCTION("""COMPUTED_VALUE"""),69.5)</f>
        <v>69.5</v>
      </c>
      <c r="BD25" s="278">
        <f>IFERROR(__xludf.DUMMYFUNCTION("""COMPUTED_VALUE"""),70.5)</f>
        <v>70.5</v>
      </c>
      <c r="BE25" s="279" t="str">
        <f>IFERROR(__xludf.DUMMYFUNCTION("""COMPUTED_VALUE"""),"範囲(小：威力減)")</f>
        <v>範囲(小：威力減)</v>
      </c>
      <c r="BF25" s="273">
        <f>IFERROR(__xludf.DUMMYFUNCTION("""COMPUTED_VALUE"""),2.0)</f>
        <v>2</v>
      </c>
      <c r="BG25" s="274" t="str">
        <f>IFERROR(__xludf.DUMMYFUNCTION("""COMPUTED_VALUE"""),"効果値")</f>
        <v>効果値</v>
      </c>
      <c r="BH25" s="277">
        <f>IFERROR(__xludf.DUMMYFUNCTION("""COMPUTED_VALUE"""),55.0)</f>
        <v>55</v>
      </c>
      <c r="BI25" s="277">
        <f>IFERROR(__xludf.DUMMYFUNCTION("""COMPUTED_VALUE"""),56.0)</f>
        <v>56</v>
      </c>
      <c r="BJ25" s="277">
        <f>IFERROR(__xludf.DUMMYFUNCTION("""COMPUTED_VALUE"""),57.0)</f>
        <v>57</v>
      </c>
      <c r="BK25" s="277">
        <f>IFERROR(__xludf.DUMMYFUNCTION("""COMPUTED_VALUE"""),58.0)</f>
        <v>58</v>
      </c>
      <c r="BL25" s="277">
        <f>IFERROR(__xludf.DUMMYFUNCTION("""COMPUTED_VALUE"""),59.0)</f>
        <v>59</v>
      </c>
      <c r="BM25" s="277">
        <f>IFERROR(__xludf.DUMMYFUNCTION("""COMPUTED_VALUE"""),62.5)</f>
        <v>62.5</v>
      </c>
      <c r="BN25" s="277">
        <f>IFERROR(__xludf.DUMMYFUNCTION("""COMPUTED_VALUE"""),69.5)</f>
        <v>69.5</v>
      </c>
      <c r="BO25" s="278">
        <f>IFERROR(__xludf.DUMMYFUNCTION("""COMPUTED_VALUE"""),70.5)</f>
        <v>70.5</v>
      </c>
    </row>
    <row r="26">
      <c r="A26" s="276" t="str">
        <f>IFERROR(__xludf.DUMMYFUNCTION("""COMPUTED_VALUE"""),"キラー攻撃(青)")</f>
        <v>キラー攻撃(青)</v>
      </c>
      <c r="B26" s="272" t="str">
        <f>IFERROR(__xludf.DUMMYFUNCTION("""COMPUTED_VALUE"""),"単体")</f>
        <v>単体</v>
      </c>
      <c r="C26" s="273">
        <f>IFERROR(__xludf.DUMMYFUNCTION("""COMPUTED_VALUE"""),3.0)</f>
        <v>3</v>
      </c>
      <c r="D26" s="274" t="str">
        <f>IFERROR(__xludf.DUMMYFUNCTION("""COMPUTED_VALUE"""),"効果値")</f>
        <v>効果値</v>
      </c>
      <c r="E26" s="275">
        <f>IFERROR(__xludf.DUMMYFUNCTION("""COMPUTED_VALUE"""),114.0)</f>
        <v>114</v>
      </c>
      <c r="F26" s="275">
        <f>IFERROR(__xludf.DUMMYFUNCTION("""COMPUTED_VALUE"""),118.0)</f>
        <v>118</v>
      </c>
      <c r="G26" s="275">
        <f>IFERROR(__xludf.DUMMYFUNCTION("""COMPUTED_VALUE"""),121.0)</f>
        <v>121</v>
      </c>
      <c r="H26" s="275">
        <f>IFERROR(__xludf.DUMMYFUNCTION("""COMPUTED_VALUE"""),124.0)</f>
        <v>124</v>
      </c>
      <c r="I26" s="275">
        <f>IFERROR(__xludf.DUMMYFUNCTION("""COMPUTED_VALUE"""),128.0)</f>
        <v>128</v>
      </c>
      <c r="J26" s="275">
        <f>IFERROR(__xludf.DUMMYFUNCTION("""COMPUTED_VALUE"""),136.0)</f>
        <v>136</v>
      </c>
      <c r="K26" s="275">
        <f>IFERROR(__xludf.DUMMYFUNCTION("""COMPUTED_VALUE"""),153.0)</f>
        <v>153</v>
      </c>
      <c r="L26" s="275">
        <f>IFERROR(__xludf.DUMMYFUNCTION("""COMPUTED_VALUE"""),156.0)</f>
        <v>156</v>
      </c>
      <c r="M26" s="276" t="str">
        <f>IFERROR(__xludf.DUMMYFUNCTION("""COMPUTED_VALUE"""),"範囲(小)")</f>
        <v>範囲(小)</v>
      </c>
      <c r="N26" s="273">
        <f>IFERROR(__xludf.DUMMYFUNCTION("""COMPUTED_VALUE"""),3.0)</f>
        <v>3</v>
      </c>
      <c r="O26" s="274" t="str">
        <f>IFERROR(__xludf.DUMMYFUNCTION("""COMPUTED_VALUE"""),"効果値")</f>
        <v>効果値</v>
      </c>
      <c r="P26" s="277">
        <f>IFERROR(__xludf.DUMMYFUNCTION("""COMPUTED_VALUE"""),85.5)</f>
        <v>85.5</v>
      </c>
      <c r="Q26" s="277">
        <f>IFERROR(__xludf.DUMMYFUNCTION("""COMPUTED_VALUE"""),88.5)</f>
        <v>88.5</v>
      </c>
      <c r="R26" s="277">
        <f>IFERROR(__xludf.DUMMYFUNCTION("""COMPUTED_VALUE"""),90.7)</f>
        <v>90.7</v>
      </c>
      <c r="S26" s="277">
        <f>IFERROR(__xludf.DUMMYFUNCTION("""COMPUTED_VALUE"""),93.0)</f>
        <v>93</v>
      </c>
      <c r="T26" s="277">
        <f>IFERROR(__xludf.DUMMYFUNCTION("""COMPUTED_VALUE"""),96.0)</f>
        <v>96</v>
      </c>
      <c r="U26" s="277">
        <f>IFERROR(__xludf.DUMMYFUNCTION("""COMPUTED_VALUE"""),102.0)</f>
        <v>102</v>
      </c>
      <c r="V26" s="277">
        <f>IFERROR(__xludf.DUMMYFUNCTION("""COMPUTED_VALUE"""),114.7)</f>
        <v>114.7</v>
      </c>
      <c r="W26" s="278">
        <f>IFERROR(__xludf.DUMMYFUNCTION("""COMPUTED_VALUE"""),117.0)</f>
        <v>117</v>
      </c>
      <c r="X26" s="276" t="str">
        <f>IFERROR(__xludf.DUMMYFUNCTION("""COMPUTED_VALUE"""),"範囲(中)")</f>
        <v>範囲(中)</v>
      </c>
      <c r="Y26" s="273">
        <f>IFERROR(__xludf.DUMMYFUNCTION("""COMPUTED_VALUE"""),3.0)</f>
        <v>3</v>
      </c>
      <c r="Z26" s="274" t="str">
        <f>IFERROR(__xludf.DUMMYFUNCTION("""COMPUTED_VALUE"""),"効果値")</f>
        <v>効果値</v>
      </c>
      <c r="AA26" s="277">
        <f>IFERROR(__xludf.DUMMYFUNCTION("""COMPUTED_VALUE"""),74.1)</f>
        <v>74.1</v>
      </c>
      <c r="AB26" s="277">
        <f>IFERROR(__xludf.DUMMYFUNCTION("""COMPUTED_VALUE"""),76.7)</f>
        <v>76.7</v>
      </c>
      <c r="AC26" s="277">
        <f>IFERROR(__xludf.DUMMYFUNCTION("""COMPUTED_VALUE"""),78.6)</f>
        <v>78.6</v>
      </c>
      <c r="AD26" s="277">
        <f>IFERROR(__xludf.DUMMYFUNCTION("""COMPUTED_VALUE"""),80.6)</f>
        <v>80.6</v>
      </c>
      <c r="AE26" s="277">
        <f>IFERROR(__xludf.DUMMYFUNCTION("""COMPUTED_VALUE"""),83.2)</f>
        <v>83.2</v>
      </c>
      <c r="AF26" s="277">
        <f>IFERROR(__xludf.DUMMYFUNCTION("""COMPUTED_VALUE"""),88.4)</f>
        <v>88.4</v>
      </c>
      <c r="AG26" s="277">
        <f>IFERROR(__xludf.DUMMYFUNCTION("""COMPUTED_VALUE"""),99.4)</f>
        <v>99.4</v>
      </c>
      <c r="AH26" s="278">
        <f>IFERROR(__xludf.DUMMYFUNCTION("""COMPUTED_VALUE"""),101.4)</f>
        <v>101.4</v>
      </c>
      <c r="AI26" s="276" t="str">
        <f>IFERROR(__xludf.DUMMYFUNCTION("""COMPUTED_VALUE"""),"範囲(大)")</f>
        <v>範囲(大)</v>
      </c>
      <c r="AJ26" s="273">
        <f>IFERROR(__xludf.DUMMYFUNCTION("""COMPUTED_VALUE"""),3.0)</f>
        <v>3</v>
      </c>
      <c r="AK26" s="274" t="str">
        <f>IFERROR(__xludf.DUMMYFUNCTION("""COMPUTED_VALUE"""),"効果値")</f>
        <v>効果値</v>
      </c>
      <c r="AL26" s="277">
        <f>IFERROR(__xludf.DUMMYFUNCTION("""COMPUTED_VALUE"""),62.7)</f>
        <v>62.7</v>
      </c>
      <c r="AM26" s="277">
        <f>IFERROR(__xludf.DUMMYFUNCTION("""COMPUTED_VALUE"""),64.9)</f>
        <v>64.9</v>
      </c>
      <c r="AN26" s="277">
        <f>IFERROR(__xludf.DUMMYFUNCTION("""COMPUTED_VALUE"""),66.5)</f>
        <v>66.5</v>
      </c>
      <c r="AO26" s="277">
        <f>IFERROR(__xludf.DUMMYFUNCTION("""COMPUTED_VALUE"""),68.2)</f>
        <v>68.2</v>
      </c>
      <c r="AP26" s="277">
        <f>IFERROR(__xludf.DUMMYFUNCTION("""COMPUTED_VALUE"""),70.4)</f>
        <v>70.4</v>
      </c>
      <c r="AQ26" s="277">
        <f>IFERROR(__xludf.DUMMYFUNCTION("""COMPUTED_VALUE"""),74.8)</f>
        <v>74.8</v>
      </c>
      <c r="AR26" s="277">
        <f>IFERROR(__xludf.DUMMYFUNCTION("""COMPUTED_VALUE"""),84.1)</f>
        <v>84.1</v>
      </c>
      <c r="AS26" s="278">
        <f>IFERROR(__xludf.DUMMYFUNCTION("""COMPUTED_VALUE"""),85.8)</f>
        <v>85.8</v>
      </c>
      <c r="AT26" s="276" t="str">
        <f>IFERROR(__xludf.DUMMYFUNCTION("""COMPUTED_VALUE"""),"範囲(特大)")</f>
        <v>範囲(特大)</v>
      </c>
      <c r="AU26" s="273">
        <f>IFERROR(__xludf.DUMMYFUNCTION("""COMPUTED_VALUE"""),3.0)</f>
        <v>3</v>
      </c>
      <c r="AV26" s="274" t="str">
        <f>IFERROR(__xludf.DUMMYFUNCTION("""COMPUTED_VALUE"""),"効果値")</f>
        <v>効果値</v>
      </c>
      <c r="AW26" s="277">
        <f>IFERROR(__xludf.DUMMYFUNCTION("""COMPUTED_VALUE"""),57.0)</f>
        <v>57</v>
      </c>
      <c r="AX26" s="277">
        <f>IFERROR(__xludf.DUMMYFUNCTION("""COMPUTED_VALUE"""),59.0)</f>
        <v>59</v>
      </c>
      <c r="AY26" s="277">
        <f>IFERROR(__xludf.DUMMYFUNCTION("""COMPUTED_VALUE"""),60.5)</f>
        <v>60.5</v>
      </c>
      <c r="AZ26" s="277">
        <f>IFERROR(__xludf.DUMMYFUNCTION("""COMPUTED_VALUE"""),62.0)</f>
        <v>62</v>
      </c>
      <c r="BA26" s="277">
        <f>IFERROR(__xludf.DUMMYFUNCTION("""COMPUTED_VALUE"""),64.0)</f>
        <v>64</v>
      </c>
      <c r="BB26" s="277">
        <f>IFERROR(__xludf.DUMMYFUNCTION("""COMPUTED_VALUE"""),68.0)</f>
        <v>68</v>
      </c>
      <c r="BC26" s="277">
        <f>IFERROR(__xludf.DUMMYFUNCTION("""COMPUTED_VALUE"""),76.5)</f>
        <v>76.5</v>
      </c>
      <c r="BD26" s="278">
        <f>IFERROR(__xludf.DUMMYFUNCTION("""COMPUTED_VALUE"""),78.0)</f>
        <v>78</v>
      </c>
      <c r="BE26" s="279" t="str">
        <f>IFERROR(__xludf.DUMMYFUNCTION("""COMPUTED_VALUE"""),"範囲(小：威力減)")</f>
        <v>範囲(小：威力減)</v>
      </c>
      <c r="BF26" s="273">
        <f>IFERROR(__xludf.DUMMYFUNCTION("""COMPUTED_VALUE"""),3.0)</f>
        <v>3</v>
      </c>
      <c r="BG26" s="274" t="str">
        <f>IFERROR(__xludf.DUMMYFUNCTION("""COMPUTED_VALUE"""),"効果値")</f>
        <v>効果値</v>
      </c>
      <c r="BH26" s="277">
        <f>IFERROR(__xludf.DUMMYFUNCTION("""COMPUTED_VALUE"""),57.0)</f>
        <v>57</v>
      </c>
      <c r="BI26" s="277">
        <f>IFERROR(__xludf.DUMMYFUNCTION("""COMPUTED_VALUE"""),59.0)</f>
        <v>59</v>
      </c>
      <c r="BJ26" s="277">
        <f>IFERROR(__xludf.DUMMYFUNCTION("""COMPUTED_VALUE"""),60.5)</f>
        <v>60.5</v>
      </c>
      <c r="BK26" s="277">
        <f>IFERROR(__xludf.DUMMYFUNCTION("""COMPUTED_VALUE"""),62.0)</f>
        <v>62</v>
      </c>
      <c r="BL26" s="277">
        <f>IFERROR(__xludf.DUMMYFUNCTION("""COMPUTED_VALUE"""),64.0)</f>
        <v>64</v>
      </c>
      <c r="BM26" s="277">
        <f>IFERROR(__xludf.DUMMYFUNCTION("""COMPUTED_VALUE"""),68.0)</f>
        <v>68</v>
      </c>
      <c r="BN26" s="277">
        <f>IFERROR(__xludf.DUMMYFUNCTION("""COMPUTED_VALUE"""),76.5)</f>
        <v>76.5</v>
      </c>
      <c r="BO26" s="278">
        <f>IFERROR(__xludf.DUMMYFUNCTION("""COMPUTED_VALUE"""),78.0)</f>
        <v>78</v>
      </c>
    </row>
    <row r="27">
      <c r="A27" s="276" t="str">
        <f>IFERROR(__xludf.DUMMYFUNCTION("""COMPUTED_VALUE"""),"キラー攻撃(青)")</f>
        <v>キラー攻撃(青)</v>
      </c>
      <c r="B27" s="272" t="str">
        <f>IFERROR(__xludf.DUMMYFUNCTION("""COMPUTED_VALUE"""),"単体")</f>
        <v>単体</v>
      </c>
      <c r="C27" s="273">
        <f>IFERROR(__xludf.DUMMYFUNCTION("""COMPUTED_VALUE"""),4.0)</f>
        <v>4</v>
      </c>
      <c r="D27" s="274" t="str">
        <f>IFERROR(__xludf.DUMMYFUNCTION("""COMPUTED_VALUE"""),"効果値")</f>
        <v>効果値</v>
      </c>
      <c r="E27" s="275">
        <f>IFERROR(__xludf.DUMMYFUNCTION("""COMPUTED_VALUE"""),117.0)</f>
        <v>117</v>
      </c>
      <c r="F27" s="275">
        <f>IFERROR(__xludf.DUMMYFUNCTION("""COMPUTED_VALUE"""),122.0)</f>
        <v>122</v>
      </c>
      <c r="G27" s="275">
        <f>IFERROR(__xludf.DUMMYFUNCTION("""COMPUTED_VALUE"""),126.0)</f>
        <v>126</v>
      </c>
      <c r="H27" s="275">
        <f>IFERROR(__xludf.DUMMYFUNCTION("""COMPUTED_VALUE"""),130.0)</f>
        <v>130</v>
      </c>
      <c r="I27" s="275">
        <f>IFERROR(__xludf.DUMMYFUNCTION("""COMPUTED_VALUE"""),135.0)</f>
        <v>135</v>
      </c>
      <c r="J27" s="275">
        <f>IFERROR(__xludf.DUMMYFUNCTION("""COMPUTED_VALUE"""),144.0)</f>
        <v>144</v>
      </c>
      <c r="K27" s="275">
        <f>IFERROR(__xludf.DUMMYFUNCTION("""COMPUTED_VALUE"""),163.0)</f>
        <v>163</v>
      </c>
      <c r="L27" s="275">
        <f>IFERROR(__xludf.DUMMYFUNCTION("""COMPUTED_VALUE"""),167.0)</f>
        <v>167</v>
      </c>
      <c r="M27" s="276" t="str">
        <f>IFERROR(__xludf.DUMMYFUNCTION("""COMPUTED_VALUE"""),"範囲(小)")</f>
        <v>範囲(小)</v>
      </c>
      <c r="N27" s="273">
        <f>IFERROR(__xludf.DUMMYFUNCTION("""COMPUTED_VALUE"""),4.0)</f>
        <v>4</v>
      </c>
      <c r="O27" s="274" t="str">
        <f>IFERROR(__xludf.DUMMYFUNCTION("""COMPUTED_VALUE"""),"効果値")</f>
        <v>効果値</v>
      </c>
      <c r="P27" s="277">
        <f>IFERROR(__xludf.DUMMYFUNCTION("""COMPUTED_VALUE"""),87.7)</f>
        <v>87.7</v>
      </c>
      <c r="Q27" s="277">
        <f>IFERROR(__xludf.DUMMYFUNCTION("""COMPUTED_VALUE"""),91.5)</f>
        <v>91.5</v>
      </c>
      <c r="R27" s="277">
        <f>IFERROR(__xludf.DUMMYFUNCTION("""COMPUTED_VALUE"""),94.5)</f>
        <v>94.5</v>
      </c>
      <c r="S27" s="277">
        <f>IFERROR(__xludf.DUMMYFUNCTION("""COMPUTED_VALUE"""),97.5)</f>
        <v>97.5</v>
      </c>
      <c r="T27" s="277">
        <f>IFERROR(__xludf.DUMMYFUNCTION("""COMPUTED_VALUE"""),101.2)</f>
        <v>101.2</v>
      </c>
      <c r="U27" s="277">
        <f>IFERROR(__xludf.DUMMYFUNCTION("""COMPUTED_VALUE"""),108.0)</f>
        <v>108</v>
      </c>
      <c r="V27" s="277">
        <f>IFERROR(__xludf.DUMMYFUNCTION("""COMPUTED_VALUE"""),122.2)</f>
        <v>122.2</v>
      </c>
      <c r="W27" s="278">
        <f>IFERROR(__xludf.DUMMYFUNCTION("""COMPUTED_VALUE"""),125.2)</f>
        <v>125.2</v>
      </c>
      <c r="X27" s="276" t="str">
        <f>IFERROR(__xludf.DUMMYFUNCTION("""COMPUTED_VALUE"""),"範囲(中)")</f>
        <v>範囲(中)</v>
      </c>
      <c r="Y27" s="273">
        <f>IFERROR(__xludf.DUMMYFUNCTION("""COMPUTED_VALUE"""),4.0)</f>
        <v>4</v>
      </c>
      <c r="Z27" s="274" t="str">
        <f>IFERROR(__xludf.DUMMYFUNCTION("""COMPUTED_VALUE"""),"効果値")</f>
        <v>効果値</v>
      </c>
      <c r="AA27" s="277">
        <f>IFERROR(__xludf.DUMMYFUNCTION("""COMPUTED_VALUE"""),76.0)</f>
        <v>76</v>
      </c>
      <c r="AB27" s="277">
        <f>IFERROR(__xludf.DUMMYFUNCTION("""COMPUTED_VALUE"""),79.3)</f>
        <v>79.3</v>
      </c>
      <c r="AC27" s="277">
        <f>IFERROR(__xludf.DUMMYFUNCTION("""COMPUTED_VALUE"""),81.9)</f>
        <v>81.9</v>
      </c>
      <c r="AD27" s="277">
        <f>IFERROR(__xludf.DUMMYFUNCTION("""COMPUTED_VALUE"""),84.5)</f>
        <v>84.5</v>
      </c>
      <c r="AE27" s="277">
        <f>IFERROR(__xludf.DUMMYFUNCTION("""COMPUTED_VALUE"""),87.7)</f>
        <v>87.7</v>
      </c>
      <c r="AF27" s="277">
        <f>IFERROR(__xludf.DUMMYFUNCTION("""COMPUTED_VALUE"""),93.6)</f>
        <v>93.6</v>
      </c>
      <c r="AG27" s="277">
        <f>IFERROR(__xludf.DUMMYFUNCTION("""COMPUTED_VALUE"""),105.9)</f>
        <v>105.9</v>
      </c>
      <c r="AH27" s="278">
        <f>IFERROR(__xludf.DUMMYFUNCTION("""COMPUTED_VALUE"""),108.5)</f>
        <v>108.5</v>
      </c>
      <c r="AI27" s="276" t="str">
        <f>IFERROR(__xludf.DUMMYFUNCTION("""COMPUTED_VALUE"""),"範囲(大)")</f>
        <v>範囲(大)</v>
      </c>
      <c r="AJ27" s="273">
        <f>IFERROR(__xludf.DUMMYFUNCTION("""COMPUTED_VALUE"""),4.0)</f>
        <v>4</v>
      </c>
      <c r="AK27" s="274" t="str">
        <f>IFERROR(__xludf.DUMMYFUNCTION("""COMPUTED_VALUE"""),"効果値")</f>
        <v>効果値</v>
      </c>
      <c r="AL27" s="277">
        <f>IFERROR(__xludf.DUMMYFUNCTION("""COMPUTED_VALUE"""),64.3)</f>
        <v>64.3</v>
      </c>
      <c r="AM27" s="277">
        <f>IFERROR(__xludf.DUMMYFUNCTION("""COMPUTED_VALUE"""),67.1)</f>
        <v>67.1</v>
      </c>
      <c r="AN27" s="277">
        <f>IFERROR(__xludf.DUMMYFUNCTION("""COMPUTED_VALUE"""),69.3)</f>
        <v>69.3</v>
      </c>
      <c r="AO27" s="277">
        <f>IFERROR(__xludf.DUMMYFUNCTION("""COMPUTED_VALUE"""),71.5)</f>
        <v>71.5</v>
      </c>
      <c r="AP27" s="277">
        <f>IFERROR(__xludf.DUMMYFUNCTION("""COMPUTED_VALUE"""),74.2)</f>
        <v>74.2</v>
      </c>
      <c r="AQ27" s="277">
        <f>IFERROR(__xludf.DUMMYFUNCTION("""COMPUTED_VALUE"""),79.2)</f>
        <v>79.2</v>
      </c>
      <c r="AR27" s="277">
        <f>IFERROR(__xludf.DUMMYFUNCTION("""COMPUTED_VALUE"""),89.6)</f>
        <v>89.6</v>
      </c>
      <c r="AS27" s="278">
        <f>IFERROR(__xludf.DUMMYFUNCTION("""COMPUTED_VALUE"""),91.8)</f>
        <v>91.8</v>
      </c>
      <c r="AT27" s="276" t="str">
        <f>IFERROR(__xludf.DUMMYFUNCTION("""COMPUTED_VALUE"""),"範囲(特大)")</f>
        <v>範囲(特大)</v>
      </c>
      <c r="AU27" s="273">
        <f>IFERROR(__xludf.DUMMYFUNCTION("""COMPUTED_VALUE"""),4.0)</f>
        <v>4</v>
      </c>
      <c r="AV27" s="274" t="str">
        <f>IFERROR(__xludf.DUMMYFUNCTION("""COMPUTED_VALUE"""),"効果値")</f>
        <v>効果値</v>
      </c>
      <c r="AW27" s="277">
        <f>IFERROR(__xludf.DUMMYFUNCTION("""COMPUTED_VALUE"""),58.5)</f>
        <v>58.5</v>
      </c>
      <c r="AX27" s="277">
        <f>IFERROR(__xludf.DUMMYFUNCTION("""COMPUTED_VALUE"""),61.0)</f>
        <v>61</v>
      </c>
      <c r="AY27" s="277">
        <f>IFERROR(__xludf.DUMMYFUNCTION("""COMPUTED_VALUE"""),63.0)</f>
        <v>63</v>
      </c>
      <c r="AZ27" s="277">
        <f>IFERROR(__xludf.DUMMYFUNCTION("""COMPUTED_VALUE"""),65.0)</f>
        <v>65</v>
      </c>
      <c r="BA27" s="277">
        <f>IFERROR(__xludf.DUMMYFUNCTION("""COMPUTED_VALUE"""),67.5)</f>
        <v>67.5</v>
      </c>
      <c r="BB27" s="277">
        <f>IFERROR(__xludf.DUMMYFUNCTION("""COMPUTED_VALUE"""),72.0)</f>
        <v>72</v>
      </c>
      <c r="BC27" s="277">
        <f>IFERROR(__xludf.DUMMYFUNCTION("""COMPUTED_VALUE"""),81.5)</f>
        <v>81.5</v>
      </c>
      <c r="BD27" s="278">
        <f>IFERROR(__xludf.DUMMYFUNCTION("""COMPUTED_VALUE"""),83.5)</f>
        <v>83.5</v>
      </c>
      <c r="BE27" s="279" t="str">
        <f>IFERROR(__xludf.DUMMYFUNCTION("""COMPUTED_VALUE"""),"範囲(小：威力減)")</f>
        <v>範囲(小：威力減)</v>
      </c>
      <c r="BF27" s="273">
        <f>IFERROR(__xludf.DUMMYFUNCTION("""COMPUTED_VALUE"""),4.0)</f>
        <v>4</v>
      </c>
      <c r="BG27" s="274" t="str">
        <f>IFERROR(__xludf.DUMMYFUNCTION("""COMPUTED_VALUE"""),"効果値")</f>
        <v>効果値</v>
      </c>
      <c r="BH27" s="277">
        <f>IFERROR(__xludf.DUMMYFUNCTION("""COMPUTED_VALUE"""),58.5)</f>
        <v>58.5</v>
      </c>
      <c r="BI27" s="277">
        <f>IFERROR(__xludf.DUMMYFUNCTION("""COMPUTED_VALUE"""),61.0)</f>
        <v>61</v>
      </c>
      <c r="BJ27" s="277">
        <f>IFERROR(__xludf.DUMMYFUNCTION("""COMPUTED_VALUE"""),63.0)</f>
        <v>63</v>
      </c>
      <c r="BK27" s="277">
        <f>IFERROR(__xludf.DUMMYFUNCTION("""COMPUTED_VALUE"""),65.0)</f>
        <v>65</v>
      </c>
      <c r="BL27" s="277">
        <f>IFERROR(__xludf.DUMMYFUNCTION("""COMPUTED_VALUE"""),67.5)</f>
        <v>67.5</v>
      </c>
      <c r="BM27" s="277">
        <f>IFERROR(__xludf.DUMMYFUNCTION("""COMPUTED_VALUE"""),72.0)</f>
        <v>72</v>
      </c>
      <c r="BN27" s="277">
        <f>IFERROR(__xludf.DUMMYFUNCTION("""COMPUTED_VALUE"""),81.5)</f>
        <v>81.5</v>
      </c>
      <c r="BO27" s="278">
        <f>IFERROR(__xludf.DUMMYFUNCTION("""COMPUTED_VALUE"""),83.5)</f>
        <v>83.5</v>
      </c>
    </row>
    <row r="28">
      <c r="A28" s="276" t="str">
        <f>IFERROR(__xludf.DUMMYFUNCTION("""COMPUTED_VALUE"""),"キラー攻撃(青)")</f>
        <v>キラー攻撃(青)</v>
      </c>
      <c r="B28" s="272" t="str">
        <f>IFERROR(__xludf.DUMMYFUNCTION("""COMPUTED_VALUE"""),"単体")</f>
        <v>単体</v>
      </c>
      <c r="C28" s="283">
        <f>IFERROR(__xludf.DUMMYFUNCTION("""COMPUTED_VALUE"""),5.0)</f>
        <v>5</v>
      </c>
      <c r="D28" s="284" t="str">
        <f>IFERROR(__xludf.DUMMYFUNCTION("""COMPUTED_VALUE"""),"効果値")</f>
        <v>効果値</v>
      </c>
      <c r="E28" s="285">
        <f>IFERROR(__xludf.DUMMYFUNCTION("""COMPUTED_VALUE"""),120.0)</f>
        <v>120</v>
      </c>
      <c r="F28" s="287">
        <f>IFERROR(__xludf.DUMMYFUNCTION("""COMPUTED_VALUE"""),125.0)</f>
        <v>125</v>
      </c>
      <c r="G28" s="287">
        <f>IFERROR(__xludf.DUMMYFUNCTION("""COMPUTED_VALUE"""),130.0)</f>
        <v>130</v>
      </c>
      <c r="H28" s="287">
        <f>IFERROR(__xludf.DUMMYFUNCTION("""COMPUTED_VALUE"""),135.0)</f>
        <v>135</v>
      </c>
      <c r="I28" s="287">
        <f>IFERROR(__xludf.DUMMYFUNCTION("""COMPUTED_VALUE"""),140.0)</f>
        <v>140</v>
      </c>
      <c r="J28" s="287">
        <f>IFERROR(__xludf.DUMMYFUNCTION("""COMPUTED_VALUE"""),150.0)</f>
        <v>150</v>
      </c>
      <c r="K28" s="287">
        <f>IFERROR(__xludf.DUMMYFUNCTION("""COMPUTED_VALUE"""),170.0)</f>
        <v>170</v>
      </c>
      <c r="L28" s="288">
        <f>IFERROR(__xludf.DUMMYFUNCTION("""COMPUTED_VALUE"""),175.0)</f>
        <v>175</v>
      </c>
      <c r="M28" s="276" t="str">
        <f>IFERROR(__xludf.DUMMYFUNCTION("""COMPUTED_VALUE"""),"範囲(小)")</f>
        <v>範囲(小)</v>
      </c>
      <c r="N28" s="283">
        <f>IFERROR(__xludf.DUMMYFUNCTION("""COMPUTED_VALUE"""),5.0)</f>
        <v>5</v>
      </c>
      <c r="O28" s="284" t="str">
        <f>IFERROR(__xludf.DUMMYFUNCTION("""COMPUTED_VALUE"""),"効果値")</f>
        <v>効果値</v>
      </c>
      <c r="P28" s="289">
        <f>IFERROR(__xludf.DUMMYFUNCTION("""COMPUTED_VALUE"""),90.0)</f>
        <v>90</v>
      </c>
      <c r="Q28" s="289">
        <f>IFERROR(__xludf.DUMMYFUNCTION("""COMPUTED_VALUE"""),93.7)</f>
        <v>93.7</v>
      </c>
      <c r="R28" s="289">
        <f>IFERROR(__xludf.DUMMYFUNCTION("""COMPUTED_VALUE"""),97.5)</f>
        <v>97.5</v>
      </c>
      <c r="S28" s="289">
        <f>IFERROR(__xludf.DUMMYFUNCTION("""COMPUTED_VALUE"""),101.2)</f>
        <v>101.2</v>
      </c>
      <c r="T28" s="289">
        <f>IFERROR(__xludf.DUMMYFUNCTION("""COMPUTED_VALUE"""),105.0)</f>
        <v>105</v>
      </c>
      <c r="U28" s="289">
        <f>IFERROR(__xludf.DUMMYFUNCTION("""COMPUTED_VALUE"""),112.5)</f>
        <v>112.5</v>
      </c>
      <c r="V28" s="289">
        <f>IFERROR(__xludf.DUMMYFUNCTION("""COMPUTED_VALUE"""),127.5)</f>
        <v>127.5</v>
      </c>
      <c r="W28" s="290">
        <f>IFERROR(__xludf.DUMMYFUNCTION("""COMPUTED_VALUE"""),131.2)</f>
        <v>131.2</v>
      </c>
      <c r="X28" s="276" t="str">
        <f>IFERROR(__xludf.DUMMYFUNCTION("""COMPUTED_VALUE"""),"範囲(中)")</f>
        <v>範囲(中)</v>
      </c>
      <c r="Y28" s="283">
        <f>IFERROR(__xludf.DUMMYFUNCTION("""COMPUTED_VALUE"""),5.0)</f>
        <v>5</v>
      </c>
      <c r="Z28" s="284" t="str">
        <f>IFERROR(__xludf.DUMMYFUNCTION("""COMPUTED_VALUE"""),"効果値")</f>
        <v>効果値</v>
      </c>
      <c r="AA28" s="289">
        <f>IFERROR(__xludf.DUMMYFUNCTION("""COMPUTED_VALUE"""),78.0)</f>
        <v>78</v>
      </c>
      <c r="AB28" s="289">
        <f>IFERROR(__xludf.DUMMYFUNCTION("""COMPUTED_VALUE"""),81.2)</f>
        <v>81.2</v>
      </c>
      <c r="AC28" s="289">
        <f>IFERROR(__xludf.DUMMYFUNCTION("""COMPUTED_VALUE"""),84.5)</f>
        <v>84.5</v>
      </c>
      <c r="AD28" s="289">
        <f>IFERROR(__xludf.DUMMYFUNCTION("""COMPUTED_VALUE"""),87.7)</f>
        <v>87.7</v>
      </c>
      <c r="AE28" s="289">
        <f>IFERROR(__xludf.DUMMYFUNCTION("""COMPUTED_VALUE"""),91.0)</f>
        <v>91</v>
      </c>
      <c r="AF28" s="289">
        <f>IFERROR(__xludf.DUMMYFUNCTION("""COMPUTED_VALUE"""),97.5)</f>
        <v>97.5</v>
      </c>
      <c r="AG28" s="289">
        <f>IFERROR(__xludf.DUMMYFUNCTION("""COMPUTED_VALUE"""),110.5)</f>
        <v>110.5</v>
      </c>
      <c r="AH28" s="290">
        <f>IFERROR(__xludf.DUMMYFUNCTION("""COMPUTED_VALUE"""),113.7)</f>
        <v>113.7</v>
      </c>
      <c r="AI28" s="276" t="str">
        <f>IFERROR(__xludf.DUMMYFUNCTION("""COMPUTED_VALUE"""),"範囲(大)")</f>
        <v>範囲(大)</v>
      </c>
      <c r="AJ28" s="283">
        <f>IFERROR(__xludf.DUMMYFUNCTION("""COMPUTED_VALUE"""),5.0)</f>
        <v>5</v>
      </c>
      <c r="AK28" s="284" t="str">
        <f>IFERROR(__xludf.DUMMYFUNCTION("""COMPUTED_VALUE"""),"効果値")</f>
        <v>効果値</v>
      </c>
      <c r="AL28" s="289">
        <f>IFERROR(__xludf.DUMMYFUNCTION("""COMPUTED_VALUE"""),66.0)</f>
        <v>66</v>
      </c>
      <c r="AM28" s="289">
        <f>IFERROR(__xludf.DUMMYFUNCTION("""COMPUTED_VALUE"""),68.7)</f>
        <v>68.7</v>
      </c>
      <c r="AN28" s="289">
        <f>IFERROR(__xludf.DUMMYFUNCTION("""COMPUTED_VALUE"""),71.5)</f>
        <v>71.5</v>
      </c>
      <c r="AO28" s="289">
        <f>IFERROR(__xludf.DUMMYFUNCTION("""COMPUTED_VALUE"""),74.2)</f>
        <v>74.2</v>
      </c>
      <c r="AP28" s="289">
        <f>IFERROR(__xludf.DUMMYFUNCTION("""COMPUTED_VALUE"""),77.0)</f>
        <v>77</v>
      </c>
      <c r="AQ28" s="289">
        <f>IFERROR(__xludf.DUMMYFUNCTION("""COMPUTED_VALUE"""),82.5)</f>
        <v>82.5</v>
      </c>
      <c r="AR28" s="289">
        <f>IFERROR(__xludf.DUMMYFUNCTION("""COMPUTED_VALUE"""),93.5)</f>
        <v>93.5</v>
      </c>
      <c r="AS28" s="290">
        <f>IFERROR(__xludf.DUMMYFUNCTION("""COMPUTED_VALUE"""),96.2)</f>
        <v>96.2</v>
      </c>
      <c r="AT28" s="276" t="str">
        <f>IFERROR(__xludf.DUMMYFUNCTION("""COMPUTED_VALUE"""),"範囲(特大)")</f>
        <v>範囲(特大)</v>
      </c>
      <c r="AU28" s="283">
        <f>IFERROR(__xludf.DUMMYFUNCTION("""COMPUTED_VALUE"""),5.0)</f>
        <v>5</v>
      </c>
      <c r="AV28" s="284" t="str">
        <f>IFERROR(__xludf.DUMMYFUNCTION("""COMPUTED_VALUE"""),"効果値")</f>
        <v>効果値</v>
      </c>
      <c r="AW28" s="289">
        <f>IFERROR(__xludf.DUMMYFUNCTION("""COMPUTED_VALUE"""),60.0)</f>
        <v>60</v>
      </c>
      <c r="AX28" s="289">
        <f>IFERROR(__xludf.DUMMYFUNCTION("""COMPUTED_VALUE"""),62.5)</f>
        <v>62.5</v>
      </c>
      <c r="AY28" s="289">
        <f>IFERROR(__xludf.DUMMYFUNCTION("""COMPUTED_VALUE"""),65.0)</f>
        <v>65</v>
      </c>
      <c r="AZ28" s="289">
        <f>IFERROR(__xludf.DUMMYFUNCTION("""COMPUTED_VALUE"""),67.5)</f>
        <v>67.5</v>
      </c>
      <c r="BA28" s="289">
        <f>IFERROR(__xludf.DUMMYFUNCTION("""COMPUTED_VALUE"""),70.0)</f>
        <v>70</v>
      </c>
      <c r="BB28" s="289">
        <f>IFERROR(__xludf.DUMMYFUNCTION("""COMPUTED_VALUE"""),75.0)</f>
        <v>75</v>
      </c>
      <c r="BC28" s="289">
        <f>IFERROR(__xludf.DUMMYFUNCTION("""COMPUTED_VALUE"""),85.0)</f>
        <v>85</v>
      </c>
      <c r="BD28" s="290">
        <f>IFERROR(__xludf.DUMMYFUNCTION("""COMPUTED_VALUE"""),87.5)</f>
        <v>87.5</v>
      </c>
      <c r="BE28" s="279" t="str">
        <f>IFERROR(__xludf.DUMMYFUNCTION("""COMPUTED_VALUE"""),"範囲(小：威力減)")</f>
        <v>範囲(小：威力減)</v>
      </c>
      <c r="BF28" s="283">
        <f>IFERROR(__xludf.DUMMYFUNCTION("""COMPUTED_VALUE"""),5.0)</f>
        <v>5</v>
      </c>
      <c r="BG28" s="284" t="str">
        <f>IFERROR(__xludf.DUMMYFUNCTION("""COMPUTED_VALUE"""),"効果値")</f>
        <v>効果値</v>
      </c>
      <c r="BH28" s="289">
        <f>IFERROR(__xludf.DUMMYFUNCTION("""COMPUTED_VALUE"""),60.0)</f>
        <v>60</v>
      </c>
      <c r="BI28" s="289">
        <f>IFERROR(__xludf.DUMMYFUNCTION("""COMPUTED_VALUE"""),62.5)</f>
        <v>62.5</v>
      </c>
      <c r="BJ28" s="289">
        <f>IFERROR(__xludf.DUMMYFUNCTION("""COMPUTED_VALUE"""),65.0)</f>
        <v>65</v>
      </c>
      <c r="BK28" s="289">
        <f>IFERROR(__xludf.DUMMYFUNCTION("""COMPUTED_VALUE"""),67.5)</f>
        <v>67.5</v>
      </c>
      <c r="BL28" s="289">
        <f>IFERROR(__xludf.DUMMYFUNCTION("""COMPUTED_VALUE"""),70.0)</f>
        <v>70</v>
      </c>
      <c r="BM28" s="289">
        <f>IFERROR(__xludf.DUMMYFUNCTION("""COMPUTED_VALUE"""),75.0)</f>
        <v>75</v>
      </c>
      <c r="BN28" s="289">
        <f>IFERROR(__xludf.DUMMYFUNCTION("""COMPUTED_VALUE"""),85.0)</f>
        <v>85</v>
      </c>
      <c r="BO28" s="290">
        <f>IFERROR(__xludf.DUMMYFUNCTION("""COMPUTED_VALUE"""),87.5)</f>
        <v>87.5</v>
      </c>
    </row>
    <row r="29">
      <c r="A29" s="267" t="str">
        <f>IFERROR(__xludf.DUMMYFUNCTION("""COMPUTED_VALUE"""),"キラー攻撃(緑)")</f>
        <v>キラー攻撃(緑)</v>
      </c>
      <c r="B29" s="260" t="str">
        <f>IFERROR(__xludf.DUMMYFUNCTION("""COMPUTED_VALUE"""),"単体")</f>
        <v>単体</v>
      </c>
      <c r="C29" s="261">
        <f>IFERROR(__xludf.DUMMYFUNCTION("""COMPUTED_VALUE"""),1.0)</f>
        <v>1</v>
      </c>
      <c r="D29" s="262" t="str">
        <f>IFERROR(__xludf.DUMMYFUNCTION("""COMPUTED_VALUE"""),"効果値")</f>
        <v>効果値</v>
      </c>
      <c r="E29" s="263">
        <f>IFERROR(__xludf.DUMMYFUNCTION("""COMPUTED_VALUE"""),105.0)</f>
        <v>105</v>
      </c>
      <c r="F29" s="265">
        <f>IFERROR(__xludf.DUMMYFUNCTION("""COMPUTED_VALUE"""),105.0)</f>
        <v>105</v>
      </c>
      <c r="G29" s="265">
        <f>IFERROR(__xludf.DUMMYFUNCTION("""COMPUTED_VALUE"""),105.0)</f>
        <v>105</v>
      </c>
      <c r="H29" s="265">
        <f>IFERROR(__xludf.DUMMYFUNCTION("""COMPUTED_VALUE"""),105.0)</f>
        <v>105</v>
      </c>
      <c r="I29" s="265">
        <f>IFERROR(__xludf.DUMMYFUNCTION("""COMPUTED_VALUE"""),105.0)</f>
        <v>105</v>
      </c>
      <c r="J29" s="265">
        <f>IFERROR(__xludf.DUMMYFUNCTION("""COMPUTED_VALUE"""),110.0)</f>
        <v>110</v>
      </c>
      <c r="K29" s="265">
        <f>IFERROR(__xludf.DUMMYFUNCTION("""COMPUTED_VALUE"""),120.0)</f>
        <v>120</v>
      </c>
      <c r="L29" s="266">
        <f>IFERROR(__xludf.DUMMYFUNCTION("""COMPUTED_VALUE"""),120.0)</f>
        <v>120</v>
      </c>
      <c r="M29" s="267" t="str">
        <f>IFERROR(__xludf.DUMMYFUNCTION("""COMPUTED_VALUE"""),"範囲(小)")</f>
        <v>範囲(小)</v>
      </c>
      <c r="N29" s="261">
        <f>IFERROR(__xludf.DUMMYFUNCTION("""COMPUTED_VALUE"""),1.0)</f>
        <v>1</v>
      </c>
      <c r="O29" s="262" t="str">
        <f>IFERROR(__xludf.DUMMYFUNCTION("""COMPUTED_VALUE"""),"効果値")</f>
        <v>効果値</v>
      </c>
      <c r="P29" s="268">
        <f>IFERROR(__xludf.DUMMYFUNCTION("""COMPUTED_VALUE"""),78.7)</f>
        <v>78.7</v>
      </c>
      <c r="Q29" s="268">
        <f>IFERROR(__xludf.DUMMYFUNCTION("""COMPUTED_VALUE"""),78.7)</f>
        <v>78.7</v>
      </c>
      <c r="R29" s="268">
        <f>IFERROR(__xludf.DUMMYFUNCTION("""COMPUTED_VALUE"""),78.7)</f>
        <v>78.7</v>
      </c>
      <c r="S29" s="268">
        <f>IFERROR(__xludf.DUMMYFUNCTION("""COMPUTED_VALUE"""),78.7)</f>
        <v>78.7</v>
      </c>
      <c r="T29" s="268">
        <f>IFERROR(__xludf.DUMMYFUNCTION("""COMPUTED_VALUE"""),78.7)</f>
        <v>78.7</v>
      </c>
      <c r="U29" s="268">
        <f>IFERROR(__xludf.DUMMYFUNCTION("""COMPUTED_VALUE"""),82.5)</f>
        <v>82.5</v>
      </c>
      <c r="V29" s="268">
        <f>IFERROR(__xludf.DUMMYFUNCTION("""COMPUTED_VALUE"""),90.0)</f>
        <v>90</v>
      </c>
      <c r="W29" s="269">
        <f>IFERROR(__xludf.DUMMYFUNCTION("""COMPUTED_VALUE"""),90.0)</f>
        <v>90</v>
      </c>
      <c r="X29" s="267" t="str">
        <f>IFERROR(__xludf.DUMMYFUNCTION("""COMPUTED_VALUE"""),"範囲(中)")</f>
        <v>範囲(中)</v>
      </c>
      <c r="Y29" s="261">
        <f>IFERROR(__xludf.DUMMYFUNCTION("""COMPUTED_VALUE"""),1.0)</f>
        <v>1</v>
      </c>
      <c r="Z29" s="262" t="str">
        <f>IFERROR(__xludf.DUMMYFUNCTION("""COMPUTED_VALUE"""),"効果値")</f>
        <v>効果値</v>
      </c>
      <c r="AA29" s="268">
        <f>IFERROR(__xludf.DUMMYFUNCTION("""COMPUTED_VALUE"""),68.2)</f>
        <v>68.2</v>
      </c>
      <c r="AB29" s="268">
        <f>IFERROR(__xludf.DUMMYFUNCTION("""COMPUTED_VALUE"""),68.2)</f>
        <v>68.2</v>
      </c>
      <c r="AC29" s="268">
        <f>IFERROR(__xludf.DUMMYFUNCTION("""COMPUTED_VALUE"""),68.2)</f>
        <v>68.2</v>
      </c>
      <c r="AD29" s="268">
        <f>IFERROR(__xludf.DUMMYFUNCTION("""COMPUTED_VALUE"""),68.2)</f>
        <v>68.2</v>
      </c>
      <c r="AE29" s="268">
        <f>IFERROR(__xludf.DUMMYFUNCTION("""COMPUTED_VALUE"""),68.2)</f>
        <v>68.2</v>
      </c>
      <c r="AF29" s="268">
        <f>IFERROR(__xludf.DUMMYFUNCTION("""COMPUTED_VALUE"""),71.5)</f>
        <v>71.5</v>
      </c>
      <c r="AG29" s="268">
        <f>IFERROR(__xludf.DUMMYFUNCTION("""COMPUTED_VALUE"""),78.0)</f>
        <v>78</v>
      </c>
      <c r="AH29" s="269">
        <f>IFERROR(__xludf.DUMMYFUNCTION("""COMPUTED_VALUE"""),78.0)</f>
        <v>78</v>
      </c>
      <c r="AI29" s="267" t="str">
        <f>IFERROR(__xludf.DUMMYFUNCTION("""COMPUTED_VALUE"""),"範囲(大)")</f>
        <v>範囲(大)</v>
      </c>
      <c r="AJ29" s="261">
        <f>IFERROR(__xludf.DUMMYFUNCTION("""COMPUTED_VALUE"""),1.0)</f>
        <v>1</v>
      </c>
      <c r="AK29" s="262" t="str">
        <f>IFERROR(__xludf.DUMMYFUNCTION("""COMPUTED_VALUE"""),"効果値")</f>
        <v>効果値</v>
      </c>
      <c r="AL29" s="268">
        <f>IFERROR(__xludf.DUMMYFUNCTION("""COMPUTED_VALUE"""),57.7)</f>
        <v>57.7</v>
      </c>
      <c r="AM29" s="268">
        <f>IFERROR(__xludf.DUMMYFUNCTION("""COMPUTED_VALUE"""),57.7)</f>
        <v>57.7</v>
      </c>
      <c r="AN29" s="268">
        <f>IFERROR(__xludf.DUMMYFUNCTION("""COMPUTED_VALUE"""),57.7)</f>
        <v>57.7</v>
      </c>
      <c r="AO29" s="268">
        <f>IFERROR(__xludf.DUMMYFUNCTION("""COMPUTED_VALUE"""),57.7)</f>
        <v>57.7</v>
      </c>
      <c r="AP29" s="268">
        <f>IFERROR(__xludf.DUMMYFUNCTION("""COMPUTED_VALUE"""),57.7)</f>
        <v>57.7</v>
      </c>
      <c r="AQ29" s="268">
        <f>IFERROR(__xludf.DUMMYFUNCTION("""COMPUTED_VALUE"""),60.5)</f>
        <v>60.5</v>
      </c>
      <c r="AR29" s="268">
        <f>IFERROR(__xludf.DUMMYFUNCTION("""COMPUTED_VALUE"""),66.0)</f>
        <v>66</v>
      </c>
      <c r="AS29" s="269">
        <f>IFERROR(__xludf.DUMMYFUNCTION("""COMPUTED_VALUE"""),66.0)</f>
        <v>66</v>
      </c>
      <c r="AT29" s="267" t="str">
        <f>IFERROR(__xludf.DUMMYFUNCTION("""COMPUTED_VALUE"""),"範囲(特大)")</f>
        <v>範囲(特大)</v>
      </c>
      <c r="AU29" s="261">
        <f>IFERROR(__xludf.DUMMYFUNCTION("""COMPUTED_VALUE"""),1.0)</f>
        <v>1</v>
      </c>
      <c r="AV29" s="262" t="str">
        <f>IFERROR(__xludf.DUMMYFUNCTION("""COMPUTED_VALUE"""),"効果値")</f>
        <v>効果値</v>
      </c>
      <c r="AW29" s="268">
        <f>IFERROR(__xludf.DUMMYFUNCTION("""COMPUTED_VALUE"""),52.5)</f>
        <v>52.5</v>
      </c>
      <c r="AX29" s="268">
        <f>IFERROR(__xludf.DUMMYFUNCTION("""COMPUTED_VALUE"""),52.5)</f>
        <v>52.5</v>
      </c>
      <c r="AY29" s="268">
        <f>IFERROR(__xludf.DUMMYFUNCTION("""COMPUTED_VALUE"""),52.5)</f>
        <v>52.5</v>
      </c>
      <c r="AZ29" s="268">
        <f>IFERROR(__xludf.DUMMYFUNCTION("""COMPUTED_VALUE"""),52.5)</f>
        <v>52.5</v>
      </c>
      <c r="BA29" s="268">
        <f>IFERROR(__xludf.DUMMYFUNCTION("""COMPUTED_VALUE"""),52.5)</f>
        <v>52.5</v>
      </c>
      <c r="BB29" s="268">
        <f>IFERROR(__xludf.DUMMYFUNCTION("""COMPUTED_VALUE"""),55.0)</f>
        <v>55</v>
      </c>
      <c r="BC29" s="268">
        <f>IFERROR(__xludf.DUMMYFUNCTION("""COMPUTED_VALUE"""),60.0)</f>
        <v>60</v>
      </c>
      <c r="BD29" s="269">
        <f>IFERROR(__xludf.DUMMYFUNCTION("""COMPUTED_VALUE"""),60.0)</f>
        <v>60</v>
      </c>
      <c r="BE29" s="270" t="str">
        <f>IFERROR(__xludf.DUMMYFUNCTION("""COMPUTED_VALUE"""),"範囲(小：威力減)")</f>
        <v>範囲(小：威力減)</v>
      </c>
      <c r="BF29" s="261">
        <f>IFERROR(__xludf.DUMMYFUNCTION("""COMPUTED_VALUE"""),1.0)</f>
        <v>1</v>
      </c>
      <c r="BG29" s="262" t="str">
        <f>IFERROR(__xludf.DUMMYFUNCTION("""COMPUTED_VALUE"""),"効果値")</f>
        <v>効果値</v>
      </c>
      <c r="BH29" s="268">
        <f>IFERROR(__xludf.DUMMYFUNCTION("""COMPUTED_VALUE"""),52.5)</f>
        <v>52.5</v>
      </c>
      <c r="BI29" s="268">
        <f>IFERROR(__xludf.DUMMYFUNCTION("""COMPUTED_VALUE"""),52.5)</f>
        <v>52.5</v>
      </c>
      <c r="BJ29" s="268">
        <f>IFERROR(__xludf.DUMMYFUNCTION("""COMPUTED_VALUE"""),52.5)</f>
        <v>52.5</v>
      </c>
      <c r="BK29" s="268">
        <f>IFERROR(__xludf.DUMMYFUNCTION("""COMPUTED_VALUE"""),52.5)</f>
        <v>52.5</v>
      </c>
      <c r="BL29" s="268">
        <f>IFERROR(__xludf.DUMMYFUNCTION("""COMPUTED_VALUE"""),52.5)</f>
        <v>52.5</v>
      </c>
      <c r="BM29" s="268">
        <f>IFERROR(__xludf.DUMMYFUNCTION("""COMPUTED_VALUE"""),55.0)</f>
        <v>55</v>
      </c>
      <c r="BN29" s="268">
        <f>IFERROR(__xludf.DUMMYFUNCTION("""COMPUTED_VALUE"""),60.0)</f>
        <v>60</v>
      </c>
      <c r="BO29" s="269">
        <f>IFERROR(__xludf.DUMMYFUNCTION("""COMPUTED_VALUE"""),60.0)</f>
        <v>60</v>
      </c>
    </row>
    <row r="30">
      <c r="A30" s="292" t="str">
        <f>IFERROR(__xludf.DUMMYFUNCTION("""COMPUTED_VALUE"""),"キラー攻撃(緑)")</f>
        <v>キラー攻撃(緑)</v>
      </c>
      <c r="B30" s="272" t="str">
        <f>IFERROR(__xludf.DUMMYFUNCTION("""COMPUTED_VALUE"""),"単体")</f>
        <v>単体</v>
      </c>
      <c r="C30" s="273">
        <f>IFERROR(__xludf.DUMMYFUNCTION("""COMPUTED_VALUE"""),2.0)</f>
        <v>2</v>
      </c>
      <c r="D30" s="274" t="str">
        <f>IFERROR(__xludf.DUMMYFUNCTION("""COMPUTED_VALUE"""),"効果値")</f>
        <v>効果値</v>
      </c>
      <c r="E30" s="275">
        <f>IFERROR(__xludf.DUMMYFUNCTION("""COMPUTED_VALUE"""),110.0)</f>
        <v>110</v>
      </c>
      <c r="F30" s="275">
        <f>IFERROR(__xludf.DUMMYFUNCTION("""COMPUTED_VALUE"""),112.0)</f>
        <v>112</v>
      </c>
      <c r="G30" s="275">
        <f>IFERROR(__xludf.DUMMYFUNCTION("""COMPUTED_VALUE"""),114.0)</f>
        <v>114</v>
      </c>
      <c r="H30" s="275">
        <f>IFERROR(__xludf.DUMMYFUNCTION("""COMPUTED_VALUE"""),116.0)</f>
        <v>116</v>
      </c>
      <c r="I30" s="275">
        <f>IFERROR(__xludf.DUMMYFUNCTION("""COMPUTED_VALUE"""),118.0)</f>
        <v>118</v>
      </c>
      <c r="J30" s="275">
        <f>IFERROR(__xludf.DUMMYFUNCTION("""COMPUTED_VALUE"""),125.0)</f>
        <v>125</v>
      </c>
      <c r="K30" s="275">
        <f>IFERROR(__xludf.DUMMYFUNCTION("""COMPUTED_VALUE"""),139.0)</f>
        <v>139</v>
      </c>
      <c r="L30" s="275">
        <f>IFERROR(__xludf.DUMMYFUNCTION("""COMPUTED_VALUE"""),141.0)</f>
        <v>141</v>
      </c>
      <c r="M30" s="276" t="str">
        <f>IFERROR(__xludf.DUMMYFUNCTION("""COMPUTED_VALUE"""),"範囲(小)")</f>
        <v>範囲(小)</v>
      </c>
      <c r="N30" s="273">
        <f>IFERROR(__xludf.DUMMYFUNCTION("""COMPUTED_VALUE"""),2.0)</f>
        <v>2</v>
      </c>
      <c r="O30" s="274" t="str">
        <f>IFERROR(__xludf.DUMMYFUNCTION("""COMPUTED_VALUE"""),"効果値")</f>
        <v>効果値</v>
      </c>
      <c r="P30" s="277">
        <f>IFERROR(__xludf.DUMMYFUNCTION("""COMPUTED_VALUE"""),82.5)</f>
        <v>82.5</v>
      </c>
      <c r="Q30" s="277">
        <f>IFERROR(__xludf.DUMMYFUNCTION("""COMPUTED_VALUE"""),84.0)</f>
        <v>84</v>
      </c>
      <c r="R30" s="277">
        <f>IFERROR(__xludf.DUMMYFUNCTION("""COMPUTED_VALUE"""),85.5)</f>
        <v>85.5</v>
      </c>
      <c r="S30" s="277">
        <f>IFERROR(__xludf.DUMMYFUNCTION("""COMPUTED_VALUE"""),87.0)</f>
        <v>87</v>
      </c>
      <c r="T30" s="277">
        <f>IFERROR(__xludf.DUMMYFUNCTION("""COMPUTED_VALUE"""),88.5)</f>
        <v>88.5</v>
      </c>
      <c r="U30" s="277">
        <f>IFERROR(__xludf.DUMMYFUNCTION("""COMPUTED_VALUE"""),93.7)</f>
        <v>93.7</v>
      </c>
      <c r="V30" s="277">
        <f>IFERROR(__xludf.DUMMYFUNCTION("""COMPUTED_VALUE"""),104.2)</f>
        <v>104.2</v>
      </c>
      <c r="W30" s="278">
        <f>IFERROR(__xludf.DUMMYFUNCTION("""COMPUTED_VALUE"""),105.7)</f>
        <v>105.7</v>
      </c>
      <c r="X30" s="276" t="str">
        <f>IFERROR(__xludf.DUMMYFUNCTION("""COMPUTED_VALUE"""),"範囲(中)")</f>
        <v>範囲(中)</v>
      </c>
      <c r="Y30" s="273">
        <f>IFERROR(__xludf.DUMMYFUNCTION("""COMPUTED_VALUE"""),2.0)</f>
        <v>2</v>
      </c>
      <c r="Z30" s="274" t="str">
        <f>IFERROR(__xludf.DUMMYFUNCTION("""COMPUTED_VALUE"""),"効果値")</f>
        <v>効果値</v>
      </c>
      <c r="AA30" s="277">
        <f>IFERROR(__xludf.DUMMYFUNCTION("""COMPUTED_VALUE"""),71.5)</f>
        <v>71.5</v>
      </c>
      <c r="AB30" s="277">
        <f>IFERROR(__xludf.DUMMYFUNCTION("""COMPUTED_VALUE"""),72.8)</f>
        <v>72.8</v>
      </c>
      <c r="AC30" s="277">
        <f>IFERROR(__xludf.DUMMYFUNCTION("""COMPUTED_VALUE"""),74.1)</f>
        <v>74.1</v>
      </c>
      <c r="AD30" s="277">
        <f>IFERROR(__xludf.DUMMYFUNCTION("""COMPUTED_VALUE"""),75.4)</f>
        <v>75.4</v>
      </c>
      <c r="AE30" s="277">
        <f>IFERROR(__xludf.DUMMYFUNCTION("""COMPUTED_VALUE"""),76.7)</f>
        <v>76.7</v>
      </c>
      <c r="AF30" s="277">
        <f>IFERROR(__xludf.DUMMYFUNCTION("""COMPUTED_VALUE"""),81.2)</f>
        <v>81.2</v>
      </c>
      <c r="AG30" s="277">
        <f>IFERROR(__xludf.DUMMYFUNCTION("""COMPUTED_VALUE"""),90.3)</f>
        <v>90.3</v>
      </c>
      <c r="AH30" s="278">
        <f>IFERROR(__xludf.DUMMYFUNCTION("""COMPUTED_VALUE"""),91.6)</f>
        <v>91.6</v>
      </c>
      <c r="AI30" s="276" t="str">
        <f>IFERROR(__xludf.DUMMYFUNCTION("""COMPUTED_VALUE"""),"範囲(大)")</f>
        <v>範囲(大)</v>
      </c>
      <c r="AJ30" s="273">
        <f>IFERROR(__xludf.DUMMYFUNCTION("""COMPUTED_VALUE"""),2.0)</f>
        <v>2</v>
      </c>
      <c r="AK30" s="274" t="str">
        <f>IFERROR(__xludf.DUMMYFUNCTION("""COMPUTED_VALUE"""),"効果値")</f>
        <v>効果値</v>
      </c>
      <c r="AL30" s="277">
        <f>IFERROR(__xludf.DUMMYFUNCTION("""COMPUTED_VALUE"""),60.5)</f>
        <v>60.5</v>
      </c>
      <c r="AM30" s="277">
        <f>IFERROR(__xludf.DUMMYFUNCTION("""COMPUTED_VALUE"""),61.6)</f>
        <v>61.6</v>
      </c>
      <c r="AN30" s="277">
        <f>IFERROR(__xludf.DUMMYFUNCTION("""COMPUTED_VALUE"""),62.7)</f>
        <v>62.7</v>
      </c>
      <c r="AO30" s="277">
        <f>IFERROR(__xludf.DUMMYFUNCTION("""COMPUTED_VALUE"""),63.8)</f>
        <v>63.8</v>
      </c>
      <c r="AP30" s="277">
        <f>IFERROR(__xludf.DUMMYFUNCTION("""COMPUTED_VALUE"""),64.9)</f>
        <v>64.9</v>
      </c>
      <c r="AQ30" s="277">
        <f>IFERROR(__xludf.DUMMYFUNCTION("""COMPUTED_VALUE"""),68.7)</f>
        <v>68.7</v>
      </c>
      <c r="AR30" s="277">
        <f>IFERROR(__xludf.DUMMYFUNCTION("""COMPUTED_VALUE"""),76.4)</f>
        <v>76.4</v>
      </c>
      <c r="AS30" s="278">
        <f>IFERROR(__xludf.DUMMYFUNCTION("""COMPUTED_VALUE"""),77.5)</f>
        <v>77.5</v>
      </c>
      <c r="AT30" s="276" t="str">
        <f>IFERROR(__xludf.DUMMYFUNCTION("""COMPUTED_VALUE"""),"範囲(特大)")</f>
        <v>範囲(特大)</v>
      </c>
      <c r="AU30" s="273">
        <f>IFERROR(__xludf.DUMMYFUNCTION("""COMPUTED_VALUE"""),2.0)</f>
        <v>2</v>
      </c>
      <c r="AV30" s="274" t="str">
        <f>IFERROR(__xludf.DUMMYFUNCTION("""COMPUTED_VALUE"""),"効果値")</f>
        <v>効果値</v>
      </c>
      <c r="AW30" s="277">
        <f>IFERROR(__xludf.DUMMYFUNCTION("""COMPUTED_VALUE"""),55.0)</f>
        <v>55</v>
      </c>
      <c r="AX30" s="277">
        <f>IFERROR(__xludf.DUMMYFUNCTION("""COMPUTED_VALUE"""),56.0)</f>
        <v>56</v>
      </c>
      <c r="AY30" s="277">
        <f>IFERROR(__xludf.DUMMYFUNCTION("""COMPUTED_VALUE"""),57.0)</f>
        <v>57</v>
      </c>
      <c r="AZ30" s="277">
        <f>IFERROR(__xludf.DUMMYFUNCTION("""COMPUTED_VALUE"""),58.0)</f>
        <v>58</v>
      </c>
      <c r="BA30" s="277">
        <f>IFERROR(__xludf.DUMMYFUNCTION("""COMPUTED_VALUE"""),59.0)</f>
        <v>59</v>
      </c>
      <c r="BB30" s="277">
        <f>IFERROR(__xludf.DUMMYFUNCTION("""COMPUTED_VALUE"""),62.5)</f>
        <v>62.5</v>
      </c>
      <c r="BC30" s="277">
        <f>IFERROR(__xludf.DUMMYFUNCTION("""COMPUTED_VALUE"""),69.5)</f>
        <v>69.5</v>
      </c>
      <c r="BD30" s="278">
        <f>IFERROR(__xludf.DUMMYFUNCTION("""COMPUTED_VALUE"""),70.5)</f>
        <v>70.5</v>
      </c>
      <c r="BE30" s="279" t="str">
        <f>IFERROR(__xludf.DUMMYFUNCTION("""COMPUTED_VALUE"""),"範囲(小：威力減)")</f>
        <v>範囲(小：威力減)</v>
      </c>
      <c r="BF30" s="273">
        <f>IFERROR(__xludf.DUMMYFUNCTION("""COMPUTED_VALUE"""),2.0)</f>
        <v>2</v>
      </c>
      <c r="BG30" s="274" t="str">
        <f>IFERROR(__xludf.DUMMYFUNCTION("""COMPUTED_VALUE"""),"効果値")</f>
        <v>効果値</v>
      </c>
      <c r="BH30" s="277">
        <f>IFERROR(__xludf.DUMMYFUNCTION("""COMPUTED_VALUE"""),55.0)</f>
        <v>55</v>
      </c>
      <c r="BI30" s="277">
        <f>IFERROR(__xludf.DUMMYFUNCTION("""COMPUTED_VALUE"""),56.0)</f>
        <v>56</v>
      </c>
      <c r="BJ30" s="277">
        <f>IFERROR(__xludf.DUMMYFUNCTION("""COMPUTED_VALUE"""),57.0)</f>
        <v>57</v>
      </c>
      <c r="BK30" s="277">
        <f>IFERROR(__xludf.DUMMYFUNCTION("""COMPUTED_VALUE"""),58.0)</f>
        <v>58</v>
      </c>
      <c r="BL30" s="277">
        <f>IFERROR(__xludf.DUMMYFUNCTION("""COMPUTED_VALUE"""),59.0)</f>
        <v>59</v>
      </c>
      <c r="BM30" s="277">
        <f>IFERROR(__xludf.DUMMYFUNCTION("""COMPUTED_VALUE"""),62.5)</f>
        <v>62.5</v>
      </c>
      <c r="BN30" s="277">
        <f>IFERROR(__xludf.DUMMYFUNCTION("""COMPUTED_VALUE"""),69.5)</f>
        <v>69.5</v>
      </c>
      <c r="BO30" s="278">
        <f>IFERROR(__xludf.DUMMYFUNCTION("""COMPUTED_VALUE"""),70.5)</f>
        <v>70.5</v>
      </c>
    </row>
    <row r="31">
      <c r="A31" s="276" t="str">
        <f>IFERROR(__xludf.DUMMYFUNCTION("""COMPUTED_VALUE"""),"キラー攻撃(緑)")</f>
        <v>キラー攻撃(緑)</v>
      </c>
      <c r="B31" s="272" t="str">
        <f>IFERROR(__xludf.DUMMYFUNCTION("""COMPUTED_VALUE"""),"単体")</f>
        <v>単体</v>
      </c>
      <c r="C31" s="273">
        <f>IFERROR(__xludf.DUMMYFUNCTION("""COMPUTED_VALUE"""),3.0)</f>
        <v>3</v>
      </c>
      <c r="D31" s="274" t="str">
        <f>IFERROR(__xludf.DUMMYFUNCTION("""COMPUTED_VALUE"""),"効果値")</f>
        <v>効果値</v>
      </c>
      <c r="E31" s="275">
        <f>IFERROR(__xludf.DUMMYFUNCTION("""COMPUTED_VALUE"""),114.0)</f>
        <v>114</v>
      </c>
      <c r="F31" s="275">
        <f>IFERROR(__xludf.DUMMYFUNCTION("""COMPUTED_VALUE"""),118.0)</f>
        <v>118</v>
      </c>
      <c r="G31" s="275">
        <f>IFERROR(__xludf.DUMMYFUNCTION("""COMPUTED_VALUE"""),121.0)</f>
        <v>121</v>
      </c>
      <c r="H31" s="275">
        <f>IFERROR(__xludf.DUMMYFUNCTION("""COMPUTED_VALUE"""),124.0)</f>
        <v>124</v>
      </c>
      <c r="I31" s="275">
        <f>IFERROR(__xludf.DUMMYFUNCTION("""COMPUTED_VALUE"""),128.0)</f>
        <v>128</v>
      </c>
      <c r="J31" s="275">
        <f>IFERROR(__xludf.DUMMYFUNCTION("""COMPUTED_VALUE"""),136.0)</f>
        <v>136</v>
      </c>
      <c r="K31" s="275">
        <f>IFERROR(__xludf.DUMMYFUNCTION("""COMPUTED_VALUE"""),153.0)</f>
        <v>153</v>
      </c>
      <c r="L31" s="275">
        <f>IFERROR(__xludf.DUMMYFUNCTION("""COMPUTED_VALUE"""),156.0)</f>
        <v>156</v>
      </c>
      <c r="M31" s="276" t="str">
        <f>IFERROR(__xludf.DUMMYFUNCTION("""COMPUTED_VALUE"""),"範囲(小)")</f>
        <v>範囲(小)</v>
      </c>
      <c r="N31" s="273">
        <f>IFERROR(__xludf.DUMMYFUNCTION("""COMPUTED_VALUE"""),3.0)</f>
        <v>3</v>
      </c>
      <c r="O31" s="274" t="str">
        <f>IFERROR(__xludf.DUMMYFUNCTION("""COMPUTED_VALUE"""),"効果値")</f>
        <v>効果値</v>
      </c>
      <c r="P31" s="277">
        <f>IFERROR(__xludf.DUMMYFUNCTION("""COMPUTED_VALUE"""),85.5)</f>
        <v>85.5</v>
      </c>
      <c r="Q31" s="277">
        <f>IFERROR(__xludf.DUMMYFUNCTION("""COMPUTED_VALUE"""),88.5)</f>
        <v>88.5</v>
      </c>
      <c r="R31" s="277">
        <f>IFERROR(__xludf.DUMMYFUNCTION("""COMPUTED_VALUE"""),90.7)</f>
        <v>90.7</v>
      </c>
      <c r="S31" s="277">
        <f>IFERROR(__xludf.DUMMYFUNCTION("""COMPUTED_VALUE"""),93.0)</f>
        <v>93</v>
      </c>
      <c r="T31" s="277">
        <f>IFERROR(__xludf.DUMMYFUNCTION("""COMPUTED_VALUE"""),96.0)</f>
        <v>96</v>
      </c>
      <c r="U31" s="277">
        <f>IFERROR(__xludf.DUMMYFUNCTION("""COMPUTED_VALUE"""),102.0)</f>
        <v>102</v>
      </c>
      <c r="V31" s="277">
        <f>IFERROR(__xludf.DUMMYFUNCTION("""COMPUTED_VALUE"""),114.7)</f>
        <v>114.7</v>
      </c>
      <c r="W31" s="278">
        <f>IFERROR(__xludf.DUMMYFUNCTION("""COMPUTED_VALUE"""),117.0)</f>
        <v>117</v>
      </c>
      <c r="X31" s="276" t="str">
        <f>IFERROR(__xludf.DUMMYFUNCTION("""COMPUTED_VALUE"""),"範囲(中)")</f>
        <v>範囲(中)</v>
      </c>
      <c r="Y31" s="273">
        <f>IFERROR(__xludf.DUMMYFUNCTION("""COMPUTED_VALUE"""),3.0)</f>
        <v>3</v>
      </c>
      <c r="Z31" s="274" t="str">
        <f>IFERROR(__xludf.DUMMYFUNCTION("""COMPUTED_VALUE"""),"効果値")</f>
        <v>効果値</v>
      </c>
      <c r="AA31" s="277">
        <f>IFERROR(__xludf.DUMMYFUNCTION("""COMPUTED_VALUE"""),74.1)</f>
        <v>74.1</v>
      </c>
      <c r="AB31" s="277">
        <f>IFERROR(__xludf.DUMMYFUNCTION("""COMPUTED_VALUE"""),76.7)</f>
        <v>76.7</v>
      </c>
      <c r="AC31" s="277">
        <f>IFERROR(__xludf.DUMMYFUNCTION("""COMPUTED_VALUE"""),78.6)</f>
        <v>78.6</v>
      </c>
      <c r="AD31" s="277">
        <f>IFERROR(__xludf.DUMMYFUNCTION("""COMPUTED_VALUE"""),80.6)</f>
        <v>80.6</v>
      </c>
      <c r="AE31" s="277">
        <f>IFERROR(__xludf.DUMMYFUNCTION("""COMPUTED_VALUE"""),83.2)</f>
        <v>83.2</v>
      </c>
      <c r="AF31" s="277">
        <f>IFERROR(__xludf.DUMMYFUNCTION("""COMPUTED_VALUE"""),88.4)</f>
        <v>88.4</v>
      </c>
      <c r="AG31" s="277">
        <f>IFERROR(__xludf.DUMMYFUNCTION("""COMPUTED_VALUE"""),99.4)</f>
        <v>99.4</v>
      </c>
      <c r="AH31" s="278">
        <f>IFERROR(__xludf.DUMMYFUNCTION("""COMPUTED_VALUE"""),101.4)</f>
        <v>101.4</v>
      </c>
      <c r="AI31" s="276" t="str">
        <f>IFERROR(__xludf.DUMMYFUNCTION("""COMPUTED_VALUE"""),"範囲(大)")</f>
        <v>範囲(大)</v>
      </c>
      <c r="AJ31" s="273">
        <f>IFERROR(__xludf.DUMMYFUNCTION("""COMPUTED_VALUE"""),3.0)</f>
        <v>3</v>
      </c>
      <c r="AK31" s="274" t="str">
        <f>IFERROR(__xludf.DUMMYFUNCTION("""COMPUTED_VALUE"""),"効果値")</f>
        <v>効果値</v>
      </c>
      <c r="AL31" s="277">
        <f>IFERROR(__xludf.DUMMYFUNCTION("""COMPUTED_VALUE"""),62.7)</f>
        <v>62.7</v>
      </c>
      <c r="AM31" s="277">
        <f>IFERROR(__xludf.DUMMYFUNCTION("""COMPUTED_VALUE"""),64.9)</f>
        <v>64.9</v>
      </c>
      <c r="AN31" s="277">
        <f>IFERROR(__xludf.DUMMYFUNCTION("""COMPUTED_VALUE"""),66.5)</f>
        <v>66.5</v>
      </c>
      <c r="AO31" s="277">
        <f>IFERROR(__xludf.DUMMYFUNCTION("""COMPUTED_VALUE"""),68.2)</f>
        <v>68.2</v>
      </c>
      <c r="AP31" s="277">
        <f>IFERROR(__xludf.DUMMYFUNCTION("""COMPUTED_VALUE"""),70.4)</f>
        <v>70.4</v>
      </c>
      <c r="AQ31" s="277">
        <f>IFERROR(__xludf.DUMMYFUNCTION("""COMPUTED_VALUE"""),74.8)</f>
        <v>74.8</v>
      </c>
      <c r="AR31" s="277">
        <f>IFERROR(__xludf.DUMMYFUNCTION("""COMPUTED_VALUE"""),84.1)</f>
        <v>84.1</v>
      </c>
      <c r="AS31" s="278">
        <f>IFERROR(__xludf.DUMMYFUNCTION("""COMPUTED_VALUE"""),85.8)</f>
        <v>85.8</v>
      </c>
      <c r="AT31" s="276" t="str">
        <f>IFERROR(__xludf.DUMMYFUNCTION("""COMPUTED_VALUE"""),"範囲(特大)")</f>
        <v>範囲(特大)</v>
      </c>
      <c r="AU31" s="273">
        <f>IFERROR(__xludf.DUMMYFUNCTION("""COMPUTED_VALUE"""),3.0)</f>
        <v>3</v>
      </c>
      <c r="AV31" s="274" t="str">
        <f>IFERROR(__xludf.DUMMYFUNCTION("""COMPUTED_VALUE"""),"効果値")</f>
        <v>効果値</v>
      </c>
      <c r="AW31" s="277">
        <f>IFERROR(__xludf.DUMMYFUNCTION("""COMPUTED_VALUE"""),57.0)</f>
        <v>57</v>
      </c>
      <c r="AX31" s="277">
        <f>IFERROR(__xludf.DUMMYFUNCTION("""COMPUTED_VALUE"""),59.0)</f>
        <v>59</v>
      </c>
      <c r="AY31" s="277">
        <f>IFERROR(__xludf.DUMMYFUNCTION("""COMPUTED_VALUE"""),60.5)</f>
        <v>60.5</v>
      </c>
      <c r="AZ31" s="277">
        <f>IFERROR(__xludf.DUMMYFUNCTION("""COMPUTED_VALUE"""),62.0)</f>
        <v>62</v>
      </c>
      <c r="BA31" s="277">
        <f>IFERROR(__xludf.DUMMYFUNCTION("""COMPUTED_VALUE"""),64.0)</f>
        <v>64</v>
      </c>
      <c r="BB31" s="277">
        <f>IFERROR(__xludf.DUMMYFUNCTION("""COMPUTED_VALUE"""),68.0)</f>
        <v>68</v>
      </c>
      <c r="BC31" s="277">
        <f>IFERROR(__xludf.DUMMYFUNCTION("""COMPUTED_VALUE"""),76.5)</f>
        <v>76.5</v>
      </c>
      <c r="BD31" s="278">
        <f>IFERROR(__xludf.DUMMYFUNCTION("""COMPUTED_VALUE"""),78.0)</f>
        <v>78</v>
      </c>
      <c r="BE31" s="279" t="str">
        <f>IFERROR(__xludf.DUMMYFUNCTION("""COMPUTED_VALUE"""),"範囲(小：威力減)")</f>
        <v>範囲(小：威力減)</v>
      </c>
      <c r="BF31" s="273">
        <f>IFERROR(__xludf.DUMMYFUNCTION("""COMPUTED_VALUE"""),3.0)</f>
        <v>3</v>
      </c>
      <c r="BG31" s="274" t="str">
        <f>IFERROR(__xludf.DUMMYFUNCTION("""COMPUTED_VALUE"""),"効果値")</f>
        <v>効果値</v>
      </c>
      <c r="BH31" s="277">
        <f>IFERROR(__xludf.DUMMYFUNCTION("""COMPUTED_VALUE"""),57.0)</f>
        <v>57</v>
      </c>
      <c r="BI31" s="277">
        <f>IFERROR(__xludf.DUMMYFUNCTION("""COMPUTED_VALUE"""),59.0)</f>
        <v>59</v>
      </c>
      <c r="BJ31" s="277">
        <f>IFERROR(__xludf.DUMMYFUNCTION("""COMPUTED_VALUE"""),60.5)</f>
        <v>60.5</v>
      </c>
      <c r="BK31" s="277">
        <f>IFERROR(__xludf.DUMMYFUNCTION("""COMPUTED_VALUE"""),62.0)</f>
        <v>62</v>
      </c>
      <c r="BL31" s="277">
        <f>IFERROR(__xludf.DUMMYFUNCTION("""COMPUTED_VALUE"""),64.0)</f>
        <v>64</v>
      </c>
      <c r="BM31" s="277">
        <f>IFERROR(__xludf.DUMMYFUNCTION("""COMPUTED_VALUE"""),68.0)</f>
        <v>68</v>
      </c>
      <c r="BN31" s="277">
        <f>IFERROR(__xludf.DUMMYFUNCTION("""COMPUTED_VALUE"""),76.5)</f>
        <v>76.5</v>
      </c>
      <c r="BO31" s="278">
        <f>IFERROR(__xludf.DUMMYFUNCTION("""COMPUTED_VALUE"""),78.0)</f>
        <v>78</v>
      </c>
    </row>
    <row r="32">
      <c r="A32" s="276" t="str">
        <f>IFERROR(__xludf.DUMMYFUNCTION("""COMPUTED_VALUE"""),"キラー攻撃(緑)")</f>
        <v>キラー攻撃(緑)</v>
      </c>
      <c r="B32" s="272" t="str">
        <f>IFERROR(__xludf.DUMMYFUNCTION("""COMPUTED_VALUE"""),"単体")</f>
        <v>単体</v>
      </c>
      <c r="C32" s="273">
        <f>IFERROR(__xludf.DUMMYFUNCTION("""COMPUTED_VALUE"""),4.0)</f>
        <v>4</v>
      </c>
      <c r="D32" s="274" t="str">
        <f>IFERROR(__xludf.DUMMYFUNCTION("""COMPUTED_VALUE"""),"効果値")</f>
        <v>効果値</v>
      </c>
      <c r="E32" s="275">
        <f>IFERROR(__xludf.DUMMYFUNCTION("""COMPUTED_VALUE"""),117.0)</f>
        <v>117</v>
      </c>
      <c r="F32" s="275">
        <f>IFERROR(__xludf.DUMMYFUNCTION("""COMPUTED_VALUE"""),122.0)</f>
        <v>122</v>
      </c>
      <c r="G32" s="275">
        <f>IFERROR(__xludf.DUMMYFUNCTION("""COMPUTED_VALUE"""),126.0)</f>
        <v>126</v>
      </c>
      <c r="H32" s="275">
        <f>IFERROR(__xludf.DUMMYFUNCTION("""COMPUTED_VALUE"""),130.0)</f>
        <v>130</v>
      </c>
      <c r="I32" s="275">
        <f>IFERROR(__xludf.DUMMYFUNCTION("""COMPUTED_VALUE"""),135.0)</f>
        <v>135</v>
      </c>
      <c r="J32" s="275">
        <f>IFERROR(__xludf.DUMMYFUNCTION("""COMPUTED_VALUE"""),144.0)</f>
        <v>144</v>
      </c>
      <c r="K32" s="275">
        <f>IFERROR(__xludf.DUMMYFUNCTION("""COMPUTED_VALUE"""),163.0)</f>
        <v>163</v>
      </c>
      <c r="L32" s="275">
        <f>IFERROR(__xludf.DUMMYFUNCTION("""COMPUTED_VALUE"""),167.0)</f>
        <v>167</v>
      </c>
      <c r="M32" s="276" t="str">
        <f>IFERROR(__xludf.DUMMYFUNCTION("""COMPUTED_VALUE"""),"範囲(小)")</f>
        <v>範囲(小)</v>
      </c>
      <c r="N32" s="273">
        <f>IFERROR(__xludf.DUMMYFUNCTION("""COMPUTED_VALUE"""),4.0)</f>
        <v>4</v>
      </c>
      <c r="O32" s="274" t="str">
        <f>IFERROR(__xludf.DUMMYFUNCTION("""COMPUTED_VALUE"""),"効果値")</f>
        <v>効果値</v>
      </c>
      <c r="P32" s="277">
        <f>IFERROR(__xludf.DUMMYFUNCTION("""COMPUTED_VALUE"""),87.7)</f>
        <v>87.7</v>
      </c>
      <c r="Q32" s="277">
        <f>IFERROR(__xludf.DUMMYFUNCTION("""COMPUTED_VALUE"""),91.5)</f>
        <v>91.5</v>
      </c>
      <c r="R32" s="277">
        <f>IFERROR(__xludf.DUMMYFUNCTION("""COMPUTED_VALUE"""),94.5)</f>
        <v>94.5</v>
      </c>
      <c r="S32" s="277">
        <f>IFERROR(__xludf.DUMMYFUNCTION("""COMPUTED_VALUE"""),97.5)</f>
        <v>97.5</v>
      </c>
      <c r="T32" s="277">
        <f>IFERROR(__xludf.DUMMYFUNCTION("""COMPUTED_VALUE"""),101.2)</f>
        <v>101.2</v>
      </c>
      <c r="U32" s="277">
        <f>IFERROR(__xludf.DUMMYFUNCTION("""COMPUTED_VALUE"""),108.0)</f>
        <v>108</v>
      </c>
      <c r="V32" s="277">
        <f>IFERROR(__xludf.DUMMYFUNCTION("""COMPUTED_VALUE"""),122.2)</f>
        <v>122.2</v>
      </c>
      <c r="W32" s="278">
        <f>IFERROR(__xludf.DUMMYFUNCTION("""COMPUTED_VALUE"""),125.2)</f>
        <v>125.2</v>
      </c>
      <c r="X32" s="276" t="str">
        <f>IFERROR(__xludf.DUMMYFUNCTION("""COMPUTED_VALUE"""),"範囲(中)")</f>
        <v>範囲(中)</v>
      </c>
      <c r="Y32" s="273">
        <f>IFERROR(__xludf.DUMMYFUNCTION("""COMPUTED_VALUE"""),4.0)</f>
        <v>4</v>
      </c>
      <c r="Z32" s="274" t="str">
        <f>IFERROR(__xludf.DUMMYFUNCTION("""COMPUTED_VALUE"""),"効果値")</f>
        <v>効果値</v>
      </c>
      <c r="AA32" s="277">
        <f>IFERROR(__xludf.DUMMYFUNCTION("""COMPUTED_VALUE"""),76.0)</f>
        <v>76</v>
      </c>
      <c r="AB32" s="277">
        <f>IFERROR(__xludf.DUMMYFUNCTION("""COMPUTED_VALUE"""),79.3)</f>
        <v>79.3</v>
      </c>
      <c r="AC32" s="277">
        <f>IFERROR(__xludf.DUMMYFUNCTION("""COMPUTED_VALUE"""),81.9)</f>
        <v>81.9</v>
      </c>
      <c r="AD32" s="277">
        <f>IFERROR(__xludf.DUMMYFUNCTION("""COMPUTED_VALUE"""),84.5)</f>
        <v>84.5</v>
      </c>
      <c r="AE32" s="277">
        <f>IFERROR(__xludf.DUMMYFUNCTION("""COMPUTED_VALUE"""),87.7)</f>
        <v>87.7</v>
      </c>
      <c r="AF32" s="277">
        <f>IFERROR(__xludf.DUMMYFUNCTION("""COMPUTED_VALUE"""),93.6)</f>
        <v>93.6</v>
      </c>
      <c r="AG32" s="277">
        <f>IFERROR(__xludf.DUMMYFUNCTION("""COMPUTED_VALUE"""),105.9)</f>
        <v>105.9</v>
      </c>
      <c r="AH32" s="278">
        <f>IFERROR(__xludf.DUMMYFUNCTION("""COMPUTED_VALUE"""),108.5)</f>
        <v>108.5</v>
      </c>
      <c r="AI32" s="276" t="str">
        <f>IFERROR(__xludf.DUMMYFUNCTION("""COMPUTED_VALUE"""),"範囲(大)")</f>
        <v>範囲(大)</v>
      </c>
      <c r="AJ32" s="273">
        <f>IFERROR(__xludf.DUMMYFUNCTION("""COMPUTED_VALUE"""),4.0)</f>
        <v>4</v>
      </c>
      <c r="AK32" s="274" t="str">
        <f>IFERROR(__xludf.DUMMYFUNCTION("""COMPUTED_VALUE"""),"効果値")</f>
        <v>効果値</v>
      </c>
      <c r="AL32" s="277">
        <f>IFERROR(__xludf.DUMMYFUNCTION("""COMPUTED_VALUE"""),64.3)</f>
        <v>64.3</v>
      </c>
      <c r="AM32" s="277">
        <f>IFERROR(__xludf.DUMMYFUNCTION("""COMPUTED_VALUE"""),67.1)</f>
        <v>67.1</v>
      </c>
      <c r="AN32" s="277">
        <f>IFERROR(__xludf.DUMMYFUNCTION("""COMPUTED_VALUE"""),69.3)</f>
        <v>69.3</v>
      </c>
      <c r="AO32" s="277">
        <f>IFERROR(__xludf.DUMMYFUNCTION("""COMPUTED_VALUE"""),71.5)</f>
        <v>71.5</v>
      </c>
      <c r="AP32" s="277">
        <f>IFERROR(__xludf.DUMMYFUNCTION("""COMPUTED_VALUE"""),74.2)</f>
        <v>74.2</v>
      </c>
      <c r="AQ32" s="277">
        <f>IFERROR(__xludf.DUMMYFUNCTION("""COMPUTED_VALUE"""),79.2)</f>
        <v>79.2</v>
      </c>
      <c r="AR32" s="277">
        <f>IFERROR(__xludf.DUMMYFUNCTION("""COMPUTED_VALUE"""),89.6)</f>
        <v>89.6</v>
      </c>
      <c r="AS32" s="278">
        <f>IFERROR(__xludf.DUMMYFUNCTION("""COMPUTED_VALUE"""),91.8)</f>
        <v>91.8</v>
      </c>
      <c r="AT32" s="276" t="str">
        <f>IFERROR(__xludf.DUMMYFUNCTION("""COMPUTED_VALUE"""),"範囲(特大)")</f>
        <v>範囲(特大)</v>
      </c>
      <c r="AU32" s="273">
        <f>IFERROR(__xludf.DUMMYFUNCTION("""COMPUTED_VALUE"""),4.0)</f>
        <v>4</v>
      </c>
      <c r="AV32" s="274" t="str">
        <f>IFERROR(__xludf.DUMMYFUNCTION("""COMPUTED_VALUE"""),"効果値")</f>
        <v>効果値</v>
      </c>
      <c r="AW32" s="277">
        <f>IFERROR(__xludf.DUMMYFUNCTION("""COMPUTED_VALUE"""),58.5)</f>
        <v>58.5</v>
      </c>
      <c r="AX32" s="277">
        <f>IFERROR(__xludf.DUMMYFUNCTION("""COMPUTED_VALUE"""),61.0)</f>
        <v>61</v>
      </c>
      <c r="AY32" s="277">
        <f>IFERROR(__xludf.DUMMYFUNCTION("""COMPUTED_VALUE"""),63.0)</f>
        <v>63</v>
      </c>
      <c r="AZ32" s="277">
        <f>IFERROR(__xludf.DUMMYFUNCTION("""COMPUTED_VALUE"""),65.0)</f>
        <v>65</v>
      </c>
      <c r="BA32" s="277">
        <f>IFERROR(__xludf.DUMMYFUNCTION("""COMPUTED_VALUE"""),67.5)</f>
        <v>67.5</v>
      </c>
      <c r="BB32" s="277">
        <f>IFERROR(__xludf.DUMMYFUNCTION("""COMPUTED_VALUE"""),72.0)</f>
        <v>72</v>
      </c>
      <c r="BC32" s="277">
        <f>IFERROR(__xludf.DUMMYFUNCTION("""COMPUTED_VALUE"""),81.5)</f>
        <v>81.5</v>
      </c>
      <c r="BD32" s="278">
        <f>IFERROR(__xludf.DUMMYFUNCTION("""COMPUTED_VALUE"""),83.5)</f>
        <v>83.5</v>
      </c>
      <c r="BE32" s="279" t="str">
        <f>IFERROR(__xludf.DUMMYFUNCTION("""COMPUTED_VALUE"""),"範囲(小：威力減)")</f>
        <v>範囲(小：威力減)</v>
      </c>
      <c r="BF32" s="273">
        <f>IFERROR(__xludf.DUMMYFUNCTION("""COMPUTED_VALUE"""),4.0)</f>
        <v>4</v>
      </c>
      <c r="BG32" s="274" t="str">
        <f>IFERROR(__xludf.DUMMYFUNCTION("""COMPUTED_VALUE"""),"効果値")</f>
        <v>効果値</v>
      </c>
      <c r="BH32" s="277">
        <f>IFERROR(__xludf.DUMMYFUNCTION("""COMPUTED_VALUE"""),58.5)</f>
        <v>58.5</v>
      </c>
      <c r="BI32" s="277">
        <f>IFERROR(__xludf.DUMMYFUNCTION("""COMPUTED_VALUE"""),61.0)</f>
        <v>61</v>
      </c>
      <c r="BJ32" s="277">
        <f>IFERROR(__xludf.DUMMYFUNCTION("""COMPUTED_VALUE"""),63.0)</f>
        <v>63</v>
      </c>
      <c r="BK32" s="277">
        <f>IFERROR(__xludf.DUMMYFUNCTION("""COMPUTED_VALUE"""),65.0)</f>
        <v>65</v>
      </c>
      <c r="BL32" s="277">
        <f>IFERROR(__xludf.DUMMYFUNCTION("""COMPUTED_VALUE"""),67.5)</f>
        <v>67.5</v>
      </c>
      <c r="BM32" s="277">
        <f>IFERROR(__xludf.DUMMYFUNCTION("""COMPUTED_VALUE"""),72.0)</f>
        <v>72</v>
      </c>
      <c r="BN32" s="277">
        <f>IFERROR(__xludf.DUMMYFUNCTION("""COMPUTED_VALUE"""),81.5)</f>
        <v>81.5</v>
      </c>
      <c r="BO32" s="278">
        <f>IFERROR(__xludf.DUMMYFUNCTION("""COMPUTED_VALUE"""),83.5)</f>
        <v>83.5</v>
      </c>
    </row>
    <row r="33">
      <c r="A33" s="276" t="str">
        <f>IFERROR(__xludf.DUMMYFUNCTION("""COMPUTED_VALUE"""),"キラー攻撃(緑)")</f>
        <v>キラー攻撃(緑)</v>
      </c>
      <c r="B33" s="272" t="str">
        <f>IFERROR(__xludf.DUMMYFUNCTION("""COMPUTED_VALUE"""),"単体")</f>
        <v>単体</v>
      </c>
      <c r="C33" s="283">
        <f>IFERROR(__xludf.DUMMYFUNCTION("""COMPUTED_VALUE"""),5.0)</f>
        <v>5</v>
      </c>
      <c r="D33" s="284" t="str">
        <f>IFERROR(__xludf.DUMMYFUNCTION("""COMPUTED_VALUE"""),"効果値")</f>
        <v>効果値</v>
      </c>
      <c r="E33" s="285">
        <f>IFERROR(__xludf.DUMMYFUNCTION("""COMPUTED_VALUE"""),120.0)</f>
        <v>120</v>
      </c>
      <c r="F33" s="287">
        <f>IFERROR(__xludf.DUMMYFUNCTION("""COMPUTED_VALUE"""),125.0)</f>
        <v>125</v>
      </c>
      <c r="G33" s="287">
        <f>IFERROR(__xludf.DUMMYFUNCTION("""COMPUTED_VALUE"""),130.0)</f>
        <v>130</v>
      </c>
      <c r="H33" s="287">
        <f>IFERROR(__xludf.DUMMYFUNCTION("""COMPUTED_VALUE"""),135.0)</f>
        <v>135</v>
      </c>
      <c r="I33" s="287">
        <f>IFERROR(__xludf.DUMMYFUNCTION("""COMPUTED_VALUE"""),140.0)</f>
        <v>140</v>
      </c>
      <c r="J33" s="287">
        <f>IFERROR(__xludf.DUMMYFUNCTION("""COMPUTED_VALUE"""),150.0)</f>
        <v>150</v>
      </c>
      <c r="K33" s="287">
        <f>IFERROR(__xludf.DUMMYFUNCTION("""COMPUTED_VALUE"""),170.0)</f>
        <v>170</v>
      </c>
      <c r="L33" s="288">
        <f>IFERROR(__xludf.DUMMYFUNCTION("""COMPUTED_VALUE"""),175.0)</f>
        <v>175</v>
      </c>
      <c r="M33" s="276" t="str">
        <f>IFERROR(__xludf.DUMMYFUNCTION("""COMPUTED_VALUE"""),"範囲(小)")</f>
        <v>範囲(小)</v>
      </c>
      <c r="N33" s="283">
        <f>IFERROR(__xludf.DUMMYFUNCTION("""COMPUTED_VALUE"""),5.0)</f>
        <v>5</v>
      </c>
      <c r="O33" s="284" t="str">
        <f>IFERROR(__xludf.DUMMYFUNCTION("""COMPUTED_VALUE"""),"効果値")</f>
        <v>効果値</v>
      </c>
      <c r="P33" s="289">
        <f>IFERROR(__xludf.DUMMYFUNCTION("""COMPUTED_VALUE"""),90.0)</f>
        <v>90</v>
      </c>
      <c r="Q33" s="289">
        <f>IFERROR(__xludf.DUMMYFUNCTION("""COMPUTED_VALUE"""),93.7)</f>
        <v>93.7</v>
      </c>
      <c r="R33" s="289">
        <f>IFERROR(__xludf.DUMMYFUNCTION("""COMPUTED_VALUE"""),97.5)</f>
        <v>97.5</v>
      </c>
      <c r="S33" s="289">
        <f>IFERROR(__xludf.DUMMYFUNCTION("""COMPUTED_VALUE"""),101.2)</f>
        <v>101.2</v>
      </c>
      <c r="T33" s="289">
        <f>IFERROR(__xludf.DUMMYFUNCTION("""COMPUTED_VALUE"""),105.0)</f>
        <v>105</v>
      </c>
      <c r="U33" s="289">
        <f>IFERROR(__xludf.DUMMYFUNCTION("""COMPUTED_VALUE"""),112.5)</f>
        <v>112.5</v>
      </c>
      <c r="V33" s="289">
        <f>IFERROR(__xludf.DUMMYFUNCTION("""COMPUTED_VALUE"""),127.5)</f>
        <v>127.5</v>
      </c>
      <c r="W33" s="290">
        <f>IFERROR(__xludf.DUMMYFUNCTION("""COMPUTED_VALUE"""),131.2)</f>
        <v>131.2</v>
      </c>
      <c r="X33" s="276" t="str">
        <f>IFERROR(__xludf.DUMMYFUNCTION("""COMPUTED_VALUE"""),"範囲(中)")</f>
        <v>範囲(中)</v>
      </c>
      <c r="Y33" s="283">
        <f>IFERROR(__xludf.DUMMYFUNCTION("""COMPUTED_VALUE"""),5.0)</f>
        <v>5</v>
      </c>
      <c r="Z33" s="284" t="str">
        <f>IFERROR(__xludf.DUMMYFUNCTION("""COMPUTED_VALUE"""),"効果値")</f>
        <v>効果値</v>
      </c>
      <c r="AA33" s="289">
        <f>IFERROR(__xludf.DUMMYFUNCTION("""COMPUTED_VALUE"""),78.0)</f>
        <v>78</v>
      </c>
      <c r="AB33" s="289">
        <f>IFERROR(__xludf.DUMMYFUNCTION("""COMPUTED_VALUE"""),81.2)</f>
        <v>81.2</v>
      </c>
      <c r="AC33" s="289">
        <f>IFERROR(__xludf.DUMMYFUNCTION("""COMPUTED_VALUE"""),84.5)</f>
        <v>84.5</v>
      </c>
      <c r="AD33" s="289">
        <f>IFERROR(__xludf.DUMMYFUNCTION("""COMPUTED_VALUE"""),87.7)</f>
        <v>87.7</v>
      </c>
      <c r="AE33" s="289">
        <f>IFERROR(__xludf.DUMMYFUNCTION("""COMPUTED_VALUE"""),91.0)</f>
        <v>91</v>
      </c>
      <c r="AF33" s="289">
        <f>IFERROR(__xludf.DUMMYFUNCTION("""COMPUTED_VALUE"""),97.5)</f>
        <v>97.5</v>
      </c>
      <c r="AG33" s="289">
        <f>IFERROR(__xludf.DUMMYFUNCTION("""COMPUTED_VALUE"""),110.5)</f>
        <v>110.5</v>
      </c>
      <c r="AH33" s="290">
        <f>IFERROR(__xludf.DUMMYFUNCTION("""COMPUTED_VALUE"""),113.7)</f>
        <v>113.7</v>
      </c>
      <c r="AI33" s="276" t="str">
        <f>IFERROR(__xludf.DUMMYFUNCTION("""COMPUTED_VALUE"""),"範囲(大)")</f>
        <v>範囲(大)</v>
      </c>
      <c r="AJ33" s="283">
        <f>IFERROR(__xludf.DUMMYFUNCTION("""COMPUTED_VALUE"""),5.0)</f>
        <v>5</v>
      </c>
      <c r="AK33" s="284" t="str">
        <f>IFERROR(__xludf.DUMMYFUNCTION("""COMPUTED_VALUE"""),"効果値")</f>
        <v>効果値</v>
      </c>
      <c r="AL33" s="289">
        <f>IFERROR(__xludf.DUMMYFUNCTION("""COMPUTED_VALUE"""),66.0)</f>
        <v>66</v>
      </c>
      <c r="AM33" s="289">
        <f>IFERROR(__xludf.DUMMYFUNCTION("""COMPUTED_VALUE"""),68.7)</f>
        <v>68.7</v>
      </c>
      <c r="AN33" s="289">
        <f>IFERROR(__xludf.DUMMYFUNCTION("""COMPUTED_VALUE"""),71.5)</f>
        <v>71.5</v>
      </c>
      <c r="AO33" s="289">
        <f>IFERROR(__xludf.DUMMYFUNCTION("""COMPUTED_VALUE"""),74.2)</f>
        <v>74.2</v>
      </c>
      <c r="AP33" s="289">
        <f>IFERROR(__xludf.DUMMYFUNCTION("""COMPUTED_VALUE"""),77.0)</f>
        <v>77</v>
      </c>
      <c r="AQ33" s="289">
        <f>IFERROR(__xludf.DUMMYFUNCTION("""COMPUTED_VALUE"""),82.5)</f>
        <v>82.5</v>
      </c>
      <c r="AR33" s="289">
        <f>IFERROR(__xludf.DUMMYFUNCTION("""COMPUTED_VALUE"""),93.5)</f>
        <v>93.5</v>
      </c>
      <c r="AS33" s="290">
        <f>IFERROR(__xludf.DUMMYFUNCTION("""COMPUTED_VALUE"""),96.2)</f>
        <v>96.2</v>
      </c>
      <c r="AT33" s="276" t="str">
        <f>IFERROR(__xludf.DUMMYFUNCTION("""COMPUTED_VALUE"""),"範囲(特大)")</f>
        <v>範囲(特大)</v>
      </c>
      <c r="AU33" s="283">
        <f>IFERROR(__xludf.DUMMYFUNCTION("""COMPUTED_VALUE"""),5.0)</f>
        <v>5</v>
      </c>
      <c r="AV33" s="284" t="str">
        <f>IFERROR(__xludf.DUMMYFUNCTION("""COMPUTED_VALUE"""),"効果値")</f>
        <v>効果値</v>
      </c>
      <c r="AW33" s="289">
        <f>IFERROR(__xludf.DUMMYFUNCTION("""COMPUTED_VALUE"""),60.0)</f>
        <v>60</v>
      </c>
      <c r="AX33" s="289">
        <f>IFERROR(__xludf.DUMMYFUNCTION("""COMPUTED_VALUE"""),62.5)</f>
        <v>62.5</v>
      </c>
      <c r="AY33" s="289">
        <f>IFERROR(__xludf.DUMMYFUNCTION("""COMPUTED_VALUE"""),65.0)</f>
        <v>65</v>
      </c>
      <c r="AZ33" s="289">
        <f>IFERROR(__xludf.DUMMYFUNCTION("""COMPUTED_VALUE"""),67.5)</f>
        <v>67.5</v>
      </c>
      <c r="BA33" s="289">
        <f>IFERROR(__xludf.DUMMYFUNCTION("""COMPUTED_VALUE"""),70.0)</f>
        <v>70</v>
      </c>
      <c r="BB33" s="289">
        <f>IFERROR(__xludf.DUMMYFUNCTION("""COMPUTED_VALUE"""),75.0)</f>
        <v>75</v>
      </c>
      <c r="BC33" s="289">
        <f>IFERROR(__xludf.DUMMYFUNCTION("""COMPUTED_VALUE"""),85.0)</f>
        <v>85</v>
      </c>
      <c r="BD33" s="290">
        <f>IFERROR(__xludf.DUMMYFUNCTION("""COMPUTED_VALUE"""),87.5)</f>
        <v>87.5</v>
      </c>
      <c r="BE33" s="279" t="str">
        <f>IFERROR(__xludf.DUMMYFUNCTION("""COMPUTED_VALUE"""),"範囲(小：威力減)")</f>
        <v>範囲(小：威力減)</v>
      </c>
      <c r="BF33" s="283">
        <f>IFERROR(__xludf.DUMMYFUNCTION("""COMPUTED_VALUE"""),5.0)</f>
        <v>5</v>
      </c>
      <c r="BG33" s="284" t="str">
        <f>IFERROR(__xludf.DUMMYFUNCTION("""COMPUTED_VALUE"""),"効果値")</f>
        <v>効果値</v>
      </c>
      <c r="BH33" s="289">
        <f>IFERROR(__xludf.DUMMYFUNCTION("""COMPUTED_VALUE"""),60.0)</f>
        <v>60</v>
      </c>
      <c r="BI33" s="289">
        <f>IFERROR(__xludf.DUMMYFUNCTION("""COMPUTED_VALUE"""),62.5)</f>
        <v>62.5</v>
      </c>
      <c r="BJ33" s="289">
        <f>IFERROR(__xludf.DUMMYFUNCTION("""COMPUTED_VALUE"""),65.0)</f>
        <v>65</v>
      </c>
      <c r="BK33" s="289">
        <f>IFERROR(__xludf.DUMMYFUNCTION("""COMPUTED_VALUE"""),67.5)</f>
        <v>67.5</v>
      </c>
      <c r="BL33" s="289">
        <f>IFERROR(__xludf.DUMMYFUNCTION("""COMPUTED_VALUE"""),70.0)</f>
        <v>70</v>
      </c>
      <c r="BM33" s="289">
        <f>IFERROR(__xludf.DUMMYFUNCTION("""COMPUTED_VALUE"""),75.0)</f>
        <v>75</v>
      </c>
      <c r="BN33" s="289">
        <f>IFERROR(__xludf.DUMMYFUNCTION("""COMPUTED_VALUE"""),85.0)</f>
        <v>85</v>
      </c>
      <c r="BO33" s="290">
        <f>IFERROR(__xludf.DUMMYFUNCTION("""COMPUTED_VALUE"""),87.5)</f>
        <v>87.5</v>
      </c>
    </row>
    <row r="34">
      <c r="A34" s="267" t="str">
        <f>IFERROR(__xludf.DUMMYFUNCTION("""COMPUTED_VALUE"""),"キラー攻撃(黄)")</f>
        <v>キラー攻撃(黄)</v>
      </c>
      <c r="B34" s="260" t="str">
        <f>IFERROR(__xludf.DUMMYFUNCTION("""COMPUTED_VALUE"""),"単体")</f>
        <v>単体</v>
      </c>
      <c r="C34" s="261">
        <f>IFERROR(__xludf.DUMMYFUNCTION("""COMPUTED_VALUE"""),1.0)</f>
        <v>1</v>
      </c>
      <c r="D34" s="262" t="str">
        <f>IFERROR(__xludf.DUMMYFUNCTION("""COMPUTED_VALUE"""),"効果値")</f>
        <v>効果値</v>
      </c>
      <c r="E34" s="263">
        <f>IFERROR(__xludf.DUMMYFUNCTION("""COMPUTED_VALUE"""),105.0)</f>
        <v>105</v>
      </c>
      <c r="F34" s="265">
        <f>IFERROR(__xludf.DUMMYFUNCTION("""COMPUTED_VALUE"""),105.0)</f>
        <v>105</v>
      </c>
      <c r="G34" s="265">
        <f>IFERROR(__xludf.DUMMYFUNCTION("""COMPUTED_VALUE"""),105.0)</f>
        <v>105</v>
      </c>
      <c r="H34" s="265">
        <f>IFERROR(__xludf.DUMMYFUNCTION("""COMPUTED_VALUE"""),105.0)</f>
        <v>105</v>
      </c>
      <c r="I34" s="265">
        <f>IFERROR(__xludf.DUMMYFUNCTION("""COMPUTED_VALUE"""),105.0)</f>
        <v>105</v>
      </c>
      <c r="J34" s="265">
        <f>IFERROR(__xludf.DUMMYFUNCTION("""COMPUTED_VALUE"""),110.0)</f>
        <v>110</v>
      </c>
      <c r="K34" s="265">
        <f>IFERROR(__xludf.DUMMYFUNCTION("""COMPUTED_VALUE"""),120.0)</f>
        <v>120</v>
      </c>
      <c r="L34" s="266">
        <f>IFERROR(__xludf.DUMMYFUNCTION("""COMPUTED_VALUE"""),120.0)</f>
        <v>120</v>
      </c>
      <c r="M34" s="267" t="str">
        <f>IFERROR(__xludf.DUMMYFUNCTION("""COMPUTED_VALUE"""),"範囲(小)")</f>
        <v>範囲(小)</v>
      </c>
      <c r="N34" s="261">
        <f>IFERROR(__xludf.DUMMYFUNCTION("""COMPUTED_VALUE"""),1.0)</f>
        <v>1</v>
      </c>
      <c r="O34" s="262" t="str">
        <f>IFERROR(__xludf.DUMMYFUNCTION("""COMPUTED_VALUE"""),"効果値")</f>
        <v>効果値</v>
      </c>
      <c r="P34" s="268">
        <f>IFERROR(__xludf.DUMMYFUNCTION("""COMPUTED_VALUE"""),78.7)</f>
        <v>78.7</v>
      </c>
      <c r="Q34" s="268">
        <f>IFERROR(__xludf.DUMMYFUNCTION("""COMPUTED_VALUE"""),78.7)</f>
        <v>78.7</v>
      </c>
      <c r="R34" s="268">
        <f>IFERROR(__xludf.DUMMYFUNCTION("""COMPUTED_VALUE"""),78.7)</f>
        <v>78.7</v>
      </c>
      <c r="S34" s="268">
        <f>IFERROR(__xludf.DUMMYFUNCTION("""COMPUTED_VALUE"""),78.7)</f>
        <v>78.7</v>
      </c>
      <c r="T34" s="268">
        <f>IFERROR(__xludf.DUMMYFUNCTION("""COMPUTED_VALUE"""),78.7)</f>
        <v>78.7</v>
      </c>
      <c r="U34" s="268">
        <f>IFERROR(__xludf.DUMMYFUNCTION("""COMPUTED_VALUE"""),82.5)</f>
        <v>82.5</v>
      </c>
      <c r="V34" s="268">
        <f>IFERROR(__xludf.DUMMYFUNCTION("""COMPUTED_VALUE"""),90.0)</f>
        <v>90</v>
      </c>
      <c r="W34" s="269">
        <f>IFERROR(__xludf.DUMMYFUNCTION("""COMPUTED_VALUE"""),90.0)</f>
        <v>90</v>
      </c>
      <c r="X34" s="267" t="str">
        <f>IFERROR(__xludf.DUMMYFUNCTION("""COMPUTED_VALUE"""),"範囲(中)")</f>
        <v>範囲(中)</v>
      </c>
      <c r="Y34" s="261">
        <f>IFERROR(__xludf.DUMMYFUNCTION("""COMPUTED_VALUE"""),1.0)</f>
        <v>1</v>
      </c>
      <c r="Z34" s="262" t="str">
        <f>IFERROR(__xludf.DUMMYFUNCTION("""COMPUTED_VALUE"""),"効果値")</f>
        <v>効果値</v>
      </c>
      <c r="AA34" s="268">
        <f>IFERROR(__xludf.DUMMYFUNCTION("""COMPUTED_VALUE"""),68.2)</f>
        <v>68.2</v>
      </c>
      <c r="AB34" s="268">
        <f>IFERROR(__xludf.DUMMYFUNCTION("""COMPUTED_VALUE"""),68.2)</f>
        <v>68.2</v>
      </c>
      <c r="AC34" s="268">
        <f>IFERROR(__xludf.DUMMYFUNCTION("""COMPUTED_VALUE"""),68.2)</f>
        <v>68.2</v>
      </c>
      <c r="AD34" s="268">
        <f>IFERROR(__xludf.DUMMYFUNCTION("""COMPUTED_VALUE"""),68.2)</f>
        <v>68.2</v>
      </c>
      <c r="AE34" s="268">
        <f>IFERROR(__xludf.DUMMYFUNCTION("""COMPUTED_VALUE"""),68.2)</f>
        <v>68.2</v>
      </c>
      <c r="AF34" s="268">
        <f>IFERROR(__xludf.DUMMYFUNCTION("""COMPUTED_VALUE"""),71.5)</f>
        <v>71.5</v>
      </c>
      <c r="AG34" s="268">
        <f>IFERROR(__xludf.DUMMYFUNCTION("""COMPUTED_VALUE"""),78.0)</f>
        <v>78</v>
      </c>
      <c r="AH34" s="269">
        <f>IFERROR(__xludf.DUMMYFUNCTION("""COMPUTED_VALUE"""),78.0)</f>
        <v>78</v>
      </c>
      <c r="AI34" s="267" t="str">
        <f>IFERROR(__xludf.DUMMYFUNCTION("""COMPUTED_VALUE"""),"範囲(大)")</f>
        <v>範囲(大)</v>
      </c>
      <c r="AJ34" s="261">
        <f>IFERROR(__xludf.DUMMYFUNCTION("""COMPUTED_VALUE"""),1.0)</f>
        <v>1</v>
      </c>
      <c r="AK34" s="262" t="str">
        <f>IFERROR(__xludf.DUMMYFUNCTION("""COMPUTED_VALUE"""),"効果値")</f>
        <v>効果値</v>
      </c>
      <c r="AL34" s="268">
        <f>IFERROR(__xludf.DUMMYFUNCTION("""COMPUTED_VALUE"""),57.7)</f>
        <v>57.7</v>
      </c>
      <c r="AM34" s="268">
        <f>IFERROR(__xludf.DUMMYFUNCTION("""COMPUTED_VALUE"""),57.7)</f>
        <v>57.7</v>
      </c>
      <c r="AN34" s="268">
        <f>IFERROR(__xludf.DUMMYFUNCTION("""COMPUTED_VALUE"""),57.7)</f>
        <v>57.7</v>
      </c>
      <c r="AO34" s="268">
        <f>IFERROR(__xludf.DUMMYFUNCTION("""COMPUTED_VALUE"""),57.7)</f>
        <v>57.7</v>
      </c>
      <c r="AP34" s="268">
        <f>IFERROR(__xludf.DUMMYFUNCTION("""COMPUTED_VALUE"""),57.7)</f>
        <v>57.7</v>
      </c>
      <c r="AQ34" s="268">
        <f>IFERROR(__xludf.DUMMYFUNCTION("""COMPUTED_VALUE"""),60.5)</f>
        <v>60.5</v>
      </c>
      <c r="AR34" s="268">
        <f>IFERROR(__xludf.DUMMYFUNCTION("""COMPUTED_VALUE"""),66.0)</f>
        <v>66</v>
      </c>
      <c r="AS34" s="269">
        <f>IFERROR(__xludf.DUMMYFUNCTION("""COMPUTED_VALUE"""),66.0)</f>
        <v>66</v>
      </c>
      <c r="AT34" s="267" t="str">
        <f>IFERROR(__xludf.DUMMYFUNCTION("""COMPUTED_VALUE"""),"範囲(特大)")</f>
        <v>範囲(特大)</v>
      </c>
      <c r="AU34" s="261">
        <f>IFERROR(__xludf.DUMMYFUNCTION("""COMPUTED_VALUE"""),1.0)</f>
        <v>1</v>
      </c>
      <c r="AV34" s="262" t="str">
        <f>IFERROR(__xludf.DUMMYFUNCTION("""COMPUTED_VALUE"""),"効果値")</f>
        <v>効果値</v>
      </c>
      <c r="AW34" s="268">
        <f>IFERROR(__xludf.DUMMYFUNCTION("""COMPUTED_VALUE"""),52.5)</f>
        <v>52.5</v>
      </c>
      <c r="AX34" s="268">
        <f>IFERROR(__xludf.DUMMYFUNCTION("""COMPUTED_VALUE"""),52.5)</f>
        <v>52.5</v>
      </c>
      <c r="AY34" s="268">
        <f>IFERROR(__xludf.DUMMYFUNCTION("""COMPUTED_VALUE"""),52.5)</f>
        <v>52.5</v>
      </c>
      <c r="AZ34" s="268">
        <f>IFERROR(__xludf.DUMMYFUNCTION("""COMPUTED_VALUE"""),52.5)</f>
        <v>52.5</v>
      </c>
      <c r="BA34" s="268">
        <f>IFERROR(__xludf.DUMMYFUNCTION("""COMPUTED_VALUE"""),52.5)</f>
        <v>52.5</v>
      </c>
      <c r="BB34" s="268">
        <f>IFERROR(__xludf.DUMMYFUNCTION("""COMPUTED_VALUE"""),55.0)</f>
        <v>55</v>
      </c>
      <c r="BC34" s="268">
        <f>IFERROR(__xludf.DUMMYFUNCTION("""COMPUTED_VALUE"""),60.0)</f>
        <v>60</v>
      </c>
      <c r="BD34" s="269">
        <f>IFERROR(__xludf.DUMMYFUNCTION("""COMPUTED_VALUE"""),60.0)</f>
        <v>60</v>
      </c>
      <c r="BE34" s="270" t="str">
        <f>IFERROR(__xludf.DUMMYFUNCTION("""COMPUTED_VALUE"""),"範囲(小：威力減)")</f>
        <v>範囲(小：威力減)</v>
      </c>
      <c r="BF34" s="261">
        <f>IFERROR(__xludf.DUMMYFUNCTION("""COMPUTED_VALUE"""),1.0)</f>
        <v>1</v>
      </c>
      <c r="BG34" s="262" t="str">
        <f>IFERROR(__xludf.DUMMYFUNCTION("""COMPUTED_VALUE"""),"効果値")</f>
        <v>効果値</v>
      </c>
      <c r="BH34" s="268">
        <f>IFERROR(__xludf.DUMMYFUNCTION("""COMPUTED_VALUE"""),52.5)</f>
        <v>52.5</v>
      </c>
      <c r="BI34" s="268">
        <f>IFERROR(__xludf.DUMMYFUNCTION("""COMPUTED_VALUE"""),52.5)</f>
        <v>52.5</v>
      </c>
      <c r="BJ34" s="268">
        <f>IFERROR(__xludf.DUMMYFUNCTION("""COMPUTED_VALUE"""),52.5)</f>
        <v>52.5</v>
      </c>
      <c r="BK34" s="268">
        <f>IFERROR(__xludf.DUMMYFUNCTION("""COMPUTED_VALUE"""),52.5)</f>
        <v>52.5</v>
      </c>
      <c r="BL34" s="268">
        <f>IFERROR(__xludf.DUMMYFUNCTION("""COMPUTED_VALUE"""),52.5)</f>
        <v>52.5</v>
      </c>
      <c r="BM34" s="268">
        <f>IFERROR(__xludf.DUMMYFUNCTION("""COMPUTED_VALUE"""),55.0)</f>
        <v>55</v>
      </c>
      <c r="BN34" s="268">
        <f>IFERROR(__xludf.DUMMYFUNCTION("""COMPUTED_VALUE"""),60.0)</f>
        <v>60</v>
      </c>
      <c r="BO34" s="269">
        <f>IFERROR(__xludf.DUMMYFUNCTION("""COMPUTED_VALUE"""),60.0)</f>
        <v>60</v>
      </c>
    </row>
    <row r="35">
      <c r="A35" s="292" t="str">
        <f>IFERROR(__xludf.DUMMYFUNCTION("""COMPUTED_VALUE"""),"キラー攻撃(黄)")</f>
        <v>キラー攻撃(黄)</v>
      </c>
      <c r="B35" s="272" t="str">
        <f>IFERROR(__xludf.DUMMYFUNCTION("""COMPUTED_VALUE"""),"単体")</f>
        <v>単体</v>
      </c>
      <c r="C35" s="273">
        <f>IFERROR(__xludf.DUMMYFUNCTION("""COMPUTED_VALUE"""),2.0)</f>
        <v>2</v>
      </c>
      <c r="D35" s="274" t="str">
        <f>IFERROR(__xludf.DUMMYFUNCTION("""COMPUTED_VALUE"""),"効果値")</f>
        <v>効果値</v>
      </c>
      <c r="E35" s="275">
        <f>IFERROR(__xludf.DUMMYFUNCTION("""COMPUTED_VALUE"""),110.0)</f>
        <v>110</v>
      </c>
      <c r="F35" s="275">
        <f>IFERROR(__xludf.DUMMYFUNCTION("""COMPUTED_VALUE"""),112.0)</f>
        <v>112</v>
      </c>
      <c r="G35" s="275">
        <f>IFERROR(__xludf.DUMMYFUNCTION("""COMPUTED_VALUE"""),114.0)</f>
        <v>114</v>
      </c>
      <c r="H35" s="275">
        <f>IFERROR(__xludf.DUMMYFUNCTION("""COMPUTED_VALUE"""),116.0)</f>
        <v>116</v>
      </c>
      <c r="I35" s="275">
        <f>IFERROR(__xludf.DUMMYFUNCTION("""COMPUTED_VALUE"""),118.0)</f>
        <v>118</v>
      </c>
      <c r="J35" s="275">
        <f>IFERROR(__xludf.DUMMYFUNCTION("""COMPUTED_VALUE"""),125.0)</f>
        <v>125</v>
      </c>
      <c r="K35" s="275">
        <f>IFERROR(__xludf.DUMMYFUNCTION("""COMPUTED_VALUE"""),139.0)</f>
        <v>139</v>
      </c>
      <c r="L35" s="275">
        <f>IFERROR(__xludf.DUMMYFUNCTION("""COMPUTED_VALUE"""),141.0)</f>
        <v>141</v>
      </c>
      <c r="M35" s="276" t="str">
        <f>IFERROR(__xludf.DUMMYFUNCTION("""COMPUTED_VALUE"""),"範囲(小)")</f>
        <v>範囲(小)</v>
      </c>
      <c r="N35" s="273">
        <f>IFERROR(__xludf.DUMMYFUNCTION("""COMPUTED_VALUE"""),2.0)</f>
        <v>2</v>
      </c>
      <c r="O35" s="274" t="str">
        <f>IFERROR(__xludf.DUMMYFUNCTION("""COMPUTED_VALUE"""),"効果値")</f>
        <v>効果値</v>
      </c>
      <c r="P35" s="277">
        <f>IFERROR(__xludf.DUMMYFUNCTION("""COMPUTED_VALUE"""),82.5)</f>
        <v>82.5</v>
      </c>
      <c r="Q35" s="277">
        <f>IFERROR(__xludf.DUMMYFUNCTION("""COMPUTED_VALUE"""),84.0)</f>
        <v>84</v>
      </c>
      <c r="R35" s="277">
        <f>IFERROR(__xludf.DUMMYFUNCTION("""COMPUTED_VALUE"""),85.5)</f>
        <v>85.5</v>
      </c>
      <c r="S35" s="277">
        <f>IFERROR(__xludf.DUMMYFUNCTION("""COMPUTED_VALUE"""),87.0)</f>
        <v>87</v>
      </c>
      <c r="T35" s="277">
        <f>IFERROR(__xludf.DUMMYFUNCTION("""COMPUTED_VALUE"""),88.5)</f>
        <v>88.5</v>
      </c>
      <c r="U35" s="277">
        <f>IFERROR(__xludf.DUMMYFUNCTION("""COMPUTED_VALUE"""),93.7)</f>
        <v>93.7</v>
      </c>
      <c r="V35" s="277">
        <f>IFERROR(__xludf.DUMMYFUNCTION("""COMPUTED_VALUE"""),104.2)</f>
        <v>104.2</v>
      </c>
      <c r="W35" s="278">
        <f>IFERROR(__xludf.DUMMYFUNCTION("""COMPUTED_VALUE"""),105.7)</f>
        <v>105.7</v>
      </c>
      <c r="X35" s="276" t="str">
        <f>IFERROR(__xludf.DUMMYFUNCTION("""COMPUTED_VALUE"""),"範囲(中)")</f>
        <v>範囲(中)</v>
      </c>
      <c r="Y35" s="273">
        <f>IFERROR(__xludf.DUMMYFUNCTION("""COMPUTED_VALUE"""),2.0)</f>
        <v>2</v>
      </c>
      <c r="Z35" s="274" t="str">
        <f>IFERROR(__xludf.DUMMYFUNCTION("""COMPUTED_VALUE"""),"効果値")</f>
        <v>効果値</v>
      </c>
      <c r="AA35" s="277">
        <f>IFERROR(__xludf.DUMMYFUNCTION("""COMPUTED_VALUE"""),71.5)</f>
        <v>71.5</v>
      </c>
      <c r="AB35" s="277">
        <f>IFERROR(__xludf.DUMMYFUNCTION("""COMPUTED_VALUE"""),72.8)</f>
        <v>72.8</v>
      </c>
      <c r="AC35" s="277">
        <f>IFERROR(__xludf.DUMMYFUNCTION("""COMPUTED_VALUE"""),74.1)</f>
        <v>74.1</v>
      </c>
      <c r="AD35" s="277">
        <f>IFERROR(__xludf.DUMMYFUNCTION("""COMPUTED_VALUE"""),75.4)</f>
        <v>75.4</v>
      </c>
      <c r="AE35" s="277">
        <f>IFERROR(__xludf.DUMMYFUNCTION("""COMPUTED_VALUE"""),76.7)</f>
        <v>76.7</v>
      </c>
      <c r="AF35" s="277">
        <f>IFERROR(__xludf.DUMMYFUNCTION("""COMPUTED_VALUE"""),81.2)</f>
        <v>81.2</v>
      </c>
      <c r="AG35" s="277">
        <f>IFERROR(__xludf.DUMMYFUNCTION("""COMPUTED_VALUE"""),90.3)</f>
        <v>90.3</v>
      </c>
      <c r="AH35" s="278">
        <f>IFERROR(__xludf.DUMMYFUNCTION("""COMPUTED_VALUE"""),91.6)</f>
        <v>91.6</v>
      </c>
      <c r="AI35" s="276" t="str">
        <f>IFERROR(__xludf.DUMMYFUNCTION("""COMPUTED_VALUE"""),"範囲(大)")</f>
        <v>範囲(大)</v>
      </c>
      <c r="AJ35" s="273">
        <f>IFERROR(__xludf.DUMMYFUNCTION("""COMPUTED_VALUE"""),2.0)</f>
        <v>2</v>
      </c>
      <c r="AK35" s="274" t="str">
        <f>IFERROR(__xludf.DUMMYFUNCTION("""COMPUTED_VALUE"""),"効果値")</f>
        <v>効果値</v>
      </c>
      <c r="AL35" s="277">
        <f>IFERROR(__xludf.DUMMYFUNCTION("""COMPUTED_VALUE"""),60.5)</f>
        <v>60.5</v>
      </c>
      <c r="AM35" s="277">
        <f>IFERROR(__xludf.DUMMYFUNCTION("""COMPUTED_VALUE"""),61.6)</f>
        <v>61.6</v>
      </c>
      <c r="AN35" s="277">
        <f>IFERROR(__xludf.DUMMYFUNCTION("""COMPUTED_VALUE"""),62.7)</f>
        <v>62.7</v>
      </c>
      <c r="AO35" s="277">
        <f>IFERROR(__xludf.DUMMYFUNCTION("""COMPUTED_VALUE"""),63.8)</f>
        <v>63.8</v>
      </c>
      <c r="AP35" s="277">
        <f>IFERROR(__xludf.DUMMYFUNCTION("""COMPUTED_VALUE"""),64.9)</f>
        <v>64.9</v>
      </c>
      <c r="AQ35" s="277">
        <f>IFERROR(__xludf.DUMMYFUNCTION("""COMPUTED_VALUE"""),68.7)</f>
        <v>68.7</v>
      </c>
      <c r="AR35" s="277">
        <f>IFERROR(__xludf.DUMMYFUNCTION("""COMPUTED_VALUE"""),76.4)</f>
        <v>76.4</v>
      </c>
      <c r="AS35" s="278">
        <f>IFERROR(__xludf.DUMMYFUNCTION("""COMPUTED_VALUE"""),77.5)</f>
        <v>77.5</v>
      </c>
      <c r="AT35" s="276" t="str">
        <f>IFERROR(__xludf.DUMMYFUNCTION("""COMPUTED_VALUE"""),"範囲(特大)")</f>
        <v>範囲(特大)</v>
      </c>
      <c r="AU35" s="273">
        <f>IFERROR(__xludf.DUMMYFUNCTION("""COMPUTED_VALUE"""),2.0)</f>
        <v>2</v>
      </c>
      <c r="AV35" s="274" t="str">
        <f>IFERROR(__xludf.DUMMYFUNCTION("""COMPUTED_VALUE"""),"効果値")</f>
        <v>効果値</v>
      </c>
      <c r="AW35" s="277">
        <f>IFERROR(__xludf.DUMMYFUNCTION("""COMPUTED_VALUE"""),55.0)</f>
        <v>55</v>
      </c>
      <c r="AX35" s="277">
        <f>IFERROR(__xludf.DUMMYFUNCTION("""COMPUTED_VALUE"""),56.0)</f>
        <v>56</v>
      </c>
      <c r="AY35" s="277">
        <f>IFERROR(__xludf.DUMMYFUNCTION("""COMPUTED_VALUE"""),57.0)</f>
        <v>57</v>
      </c>
      <c r="AZ35" s="277">
        <f>IFERROR(__xludf.DUMMYFUNCTION("""COMPUTED_VALUE"""),58.0)</f>
        <v>58</v>
      </c>
      <c r="BA35" s="277">
        <f>IFERROR(__xludf.DUMMYFUNCTION("""COMPUTED_VALUE"""),59.0)</f>
        <v>59</v>
      </c>
      <c r="BB35" s="277">
        <f>IFERROR(__xludf.DUMMYFUNCTION("""COMPUTED_VALUE"""),62.5)</f>
        <v>62.5</v>
      </c>
      <c r="BC35" s="277">
        <f>IFERROR(__xludf.DUMMYFUNCTION("""COMPUTED_VALUE"""),69.5)</f>
        <v>69.5</v>
      </c>
      <c r="BD35" s="278">
        <f>IFERROR(__xludf.DUMMYFUNCTION("""COMPUTED_VALUE"""),70.5)</f>
        <v>70.5</v>
      </c>
      <c r="BE35" s="279" t="str">
        <f>IFERROR(__xludf.DUMMYFUNCTION("""COMPUTED_VALUE"""),"範囲(小：威力減)")</f>
        <v>範囲(小：威力減)</v>
      </c>
      <c r="BF35" s="273">
        <f>IFERROR(__xludf.DUMMYFUNCTION("""COMPUTED_VALUE"""),2.0)</f>
        <v>2</v>
      </c>
      <c r="BG35" s="274" t="str">
        <f>IFERROR(__xludf.DUMMYFUNCTION("""COMPUTED_VALUE"""),"効果値")</f>
        <v>効果値</v>
      </c>
      <c r="BH35" s="277">
        <f>IFERROR(__xludf.DUMMYFUNCTION("""COMPUTED_VALUE"""),55.0)</f>
        <v>55</v>
      </c>
      <c r="BI35" s="277">
        <f>IFERROR(__xludf.DUMMYFUNCTION("""COMPUTED_VALUE"""),56.0)</f>
        <v>56</v>
      </c>
      <c r="BJ35" s="277">
        <f>IFERROR(__xludf.DUMMYFUNCTION("""COMPUTED_VALUE"""),57.0)</f>
        <v>57</v>
      </c>
      <c r="BK35" s="277">
        <f>IFERROR(__xludf.DUMMYFUNCTION("""COMPUTED_VALUE"""),58.0)</f>
        <v>58</v>
      </c>
      <c r="BL35" s="277">
        <f>IFERROR(__xludf.DUMMYFUNCTION("""COMPUTED_VALUE"""),59.0)</f>
        <v>59</v>
      </c>
      <c r="BM35" s="277">
        <f>IFERROR(__xludf.DUMMYFUNCTION("""COMPUTED_VALUE"""),62.5)</f>
        <v>62.5</v>
      </c>
      <c r="BN35" s="277">
        <f>IFERROR(__xludf.DUMMYFUNCTION("""COMPUTED_VALUE"""),69.5)</f>
        <v>69.5</v>
      </c>
      <c r="BO35" s="278">
        <f>IFERROR(__xludf.DUMMYFUNCTION("""COMPUTED_VALUE"""),70.5)</f>
        <v>70.5</v>
      </c>
    </row>
    <row r="36">
      <c r="A36" s="276" t="str">
        <f>IFERROR(__xludf.DUMMYFUNCTION("""COMPUTED_VALUE"""),"キラー攻撃(黄)")</f>
        <v>キラー攻撃(黄)</v>
      </c>
      <c r="B36" s="272" t="str">
        <f>IFERROR(__xludf.DUMMYFUNCTION("""COMPUTED_VALUE"""),"単体")</f>
        <v>単体</v>
      </c>
      <c r="C36" s="273">
        <f>IFERROR(__xludf.DUMMYFUNCTION("""COMPUTED_VALUE"""),3.0)</f>
        <v>3</v>
      </c>
      <c r="D36" s="274" t="str">
        <f>IFERROR(__xludf.DUMMYFUNCTION("""COMPUTED_VALUE"""),"効果値")</f>
        <v>効果値</v>
      </c>
      <c r="E36" s="275">
        <f>IFERROR(__xludf.DUMMYFUNCTION("""COMPUTED_VALUE"""),114.0)</f>
        <v>114</v>
      </c>
      <c r="F36" s="275">
        <f>IFERROR(__xludf.DUMMYFUNCTION("""COMPUTED_VALUE"""),118.0)</f>
        <v>118</v>
      </c>
      <c r="G36" s="275">
        <f>IFERROR(__xludf.DUMMYFUNCTION("""COMPUTED_VALUE"""),121.0)</f>
        <v>121</v>
      </c>
      <c r="H36" s="275">
        <f>IFERROR(__xludf.DUMMYFUNCTION("""COMPUTED_VALUE"""),124.0)</f>
        <v>124</v>
      </c>
      <c r="I36" s="275">
        <f>IFERROR(__xludf.DUMMYFUNCTION("""COMPUTED_VALUE"""),128.0)</f>
        <v>128</v>
      </c>
      <c r="J36" s="275">
        <f>IFERROR(__xludf.DUMMYFUNCTION("""COMPUTED_VALUE"""),136.0)</f>
        <v>136</v>
      </c>
      <c r="K36" s="275">
        <f>IFERROR(__xludf.DUMMYFUNCTION("""COMPUTED_VALUE"""),153.0)</f>
        <v>153</v>
      </c>
      <c r="L36" s="275">
        <f>IFERROR(__xludf.DUMMYFUNCTION("""COMPUTED_VALUE"""),156.0)</f>
        <v>156</v>
      </c>
      <c r="M36" s="276" t="str">
        <f>IFERROR(__xludf.DUMMYFUNCTION("""COMPUTED_VALUE"""),"範囲(小)")</f>
        <v>範囲(小)</v>
      </c>
      <c r="N36" s="273">
        <f>IFERROR(__xludf.DUMMYFUNCTION("""COMPUTED_VALUE"""),3.0)</f>
        <v>3</v>
      </c>
      <c r="O36" s="274" t="str">
        <f>IFERROR(__xludf.DUMMYFUNCTION("""COMPUTED_VALUE"""),"効果値")</f>
        <v>効果値</v>
      </c>
      <c r="P36" s="277">
        <f>IFERROR(__xludf.DUMMYFUNCTION("""COMPUTED_VALUE"""),85.5)</f>
        <v>85.5</v>
      </c>
      <c r="Q36" s="277">
        <f>IFERROR(__xludf.DUMMYFUNCTION("""COMPUTED_VALUE"""),88.5)</f>
        <v>88.5</v>
      </c>
      <c r="R36" s="277">
        <f>IFERROR(__xludf.DUMMYFUNCTION("""COMPUTED_VALUE"""),90.7)</f>
        <v>90.7</v>
      </c>
      <c r="S36" s="277">
        <f>IFERROR(__xludf.DUMMYFUNCTION("""COMPUTED_VALUE"""),93.0)</f>
        <v>93</v>
      </c>
      <c r="T36" s="277">
        <f>IFERROR(__xludf.DUMMYFUNCTION("""COMPUTED_VALUE"""),96.0)</f>
        <v>96</v>
      </c>
      <c r="U36" s="277">
        <f>IFERROR(__xludf.DUMMYFUNCTION("""COMPUTED_VALUE"""),102.0)</f>
        <v>102</v>
      </c>
      <c r="V36" s="277">
        <f>IFERROR(__xludf.DUMMYFUNCTION("""COMPUTED_VALUE"""),114.7)</f>
        <v>114.7</v>
      </c>
      <c r="W36" s="278">
        <f>IFERROR(__xludf.DUMMYFUNCTION("""COMPUTED_VALUE"""),117.0)</f>
        <v>117</v>
      </c>
      <c r="X36" s="276" t="str">
        <f>IFERROR(__xludf.DUMMYFUNCTION("""COMPUTED_VALUE"""),"範囲(中)")</f>
        <v>範囲(中)</v>
      </c>
      <c r="Y36" s="273">
        <f>IFERROR(__xludf.DUMMYFUNCTION("""COMPUTED_VALUE"""),3.0)</f>
        <v>3</v>
      </c>
      <c r="Z36" s="274" t="str">
        <f>IFERROR(__xludf.DUMMYFUNCTION("""COMPUTED_VALUE"""),"効果値")</f>
        <v>効果値</v>
      </c>
      <c r="AA36" s="277">
        <f>IFERROR(__xludf.DUMMYFUNCTION("""COMPUTED_VALUE"""),74.1)</f>
        <v>74.1</v>
      </c>
      <c r="AB36" s="277">
        <f>IFERROR(__xludf.DUMMYFUNCTION("""COMPUTED_VALUE"""),76.7)</f>
        <v>76.7</v>
      </c>
      <c r="AC36" s="277">
        <f>IFERROR(__xludf.DUMMYFUNCTION("""COMPUTED_VALUE"""),78.6)</f>
        <v>78.6</v>
      </c>
      <c r="AD36" s="277">
        <f>IFERROR(__xludf.DUMMYFUNCTION("""COMPUTED_VALUE"""),80.6)</f>
        <v>80.6</v>
      </c>
      <c r="AE36" s="277">
        <f>IFERROR(__xludf.DUMMYFUNCTION("""COMPUTED_VALUE"""),83.2)</f>
        <v>83.2</v>
      </c>
      <c r="AF36" s="277">
        <f>IFERROR(__xludf.DUMMYFUNCTION("""COMPUTED_VALUE"""),88.4)</f>
        <v>88.4</v>
      </c>
      <c r="AG36" s="277">
        <f>IFERROR(__xludf.DUMMYFUNCTION("""COMPUTED_VALUE"""),99.4)</f>
        <v>99.4</v>
      </c>
      <c r="AH36" s="278">
        <f>IFERROR(__xludf.DUMMYFUNCTION("""COMPUTED_VALUE"""),101.4)</f>
        <v>101.4</v>
      </c>
      <c r="AI36" s="276" t="str">
        <f>IFERROR(__xludf.DUMMYFUNCTION("""COMPUTED_VALUE"""),"範囲(大)")</f>
        <v>範囲(大)</v>
      </c>
      <c r="AJ36" s="273">
        <f>IFERROR(__xludf.DUMMYFUNCTION("""COMPUTED_VALUE"""),3.0)</f>
        <v>3</v>
      </c>
      <c r="AK36" s="274" t="str">
        <f>IFERROR(__xludf.DUMMYFUNCTION("""COMPUTED_VALUE"""),"効果値")</f>
        <v>効果値</v>
      </c>
      <c r="AL36" s="277">
        <f>IFERROR(__xludf.DUMMYFUNCTION("""COMPUTED_VALUE"""),62.7)</f>
        <v>62.7</v>
      </c>
      <c r="AM36" s="277">
        <f>IFERROR(__xludf.DUMMYFUNCTION("""COMPUTED_VALUE"""),64.9)</f>
        <v>64.9</v>
      </c>
      <c r="AN36" s="277">
        <f>IFERROR(__xludf.DUMMYFUNCTION("""COMPUTED_VALUE"""),66.5)</f>
        <v>66.5</v>
      </c>
      <c r="AO36" s="277">
        <f>IFERROR(__xludf.DUMMYFUNCTION("""COMPUTED_VALUE"""),68.2)</f>
        <v>68.2</v>
      </c>
      <c r="AP36" s="277">
        <f>IFERROR(__xludf.DUMMYFUNCTION("""COMPUTED_VALUE"""),70.4)</f>
        <v>70.4</v>
      </c>
      <c r="AQ36" s="277">
        <f>IFERROR(__xludf.DUMMYFUNCTION("""COMPUTED_VALUE"""),74.8)</f>
        <v>74.8</v>
      </c>
      <c r="AR36" s="277">
        <f>IFERROR(__xludf.DUMMYFUNCTION("""COMPUTED_VALUE"""),84.1)</f>
        <v>84.1</v>
      </c>
      <c r="AS36" s="278">
        <f>IFERROR(__xludf.DUMMYFUNCTION("""COMPUTED_VALUE"""),85.8)</f>
        <v>85.8</v>
      </c>
      <c r="AT36" s="276" t="str">
        <f>IFERROR(__xludf.DUMMYFUNCTION("""COMPUTED_VALUE"""),"範囲(特大)")</f>
        <v>範囲(特大)</v>
      </c>
      <c r="AU36" s="273">
        <f>IFERROR(__xludf.DUMMYFUNCTION("""COMPUTED_VALUE"""),3.0)</f>
        <v>3</v>
      </c>
      <c r="AV36" s="274" t="str">
        <f>IFERROR(__xludf.DUMMYFUNCTION("""COMPUTED_VALUE"""),"効果値")</f>
        <v>効果値</v>
      </c>
      <c r="AW36" s="277">
        <f>IFERROR(__xludf.DUMMYFUNCTION("""COMPUTED_VALUE"""),57.0)</f>
        <v>57</v>
      </c>
      <c r="AX36" s="277">
        <f>IFERROR(__xludf.DUMMYFUNCTION("""COMPUTED_VALUE"""),59.0)</f>
        <v>59</v>
      </c>
      <c r="AY36" s="277">
        <f>IFERROR(__xludf.DUMMYFUNCTION("""COMPUTED_VALUE"""),60.5)</f>
        <v>60.5</v>
      </c>
      <c r="AZ36" s="277">
        <f>IFERROR(__xludf.DUMMYFUNCTION("""COMPUTED_VALUE"""),62.0)</f>
        <v>62</v>
      </c>
      <c r="BA36" s="277">
        <f>IFERROR(__xludf.DUMMYFUNCTION("""COMPUTED_VALUE"""),64.0)</f>
        <v>64</v>
      </c>
      <c r="BB36" s="277">
        <f>IFERROR(__xludf.DUMMYFUNCTION("""COMPUTED_VALUE"""),68.0)</f>
        <v>68</v>
      </c>
      <c r="BC36" s="277">
        <f>IFERROR(__xludf.DUMMYFUNCTION("""COMPUTED_VALUE"""),76.5)</f>
        <v>76.5</v>
      </c>
      <c r="BD36" s="278">
        <f>IFERROR(__xludf.DUMMYFUNCTION("""COMPUTED_VALUE"""),78.0)</f>
        <v>78</v>
      </c>
      <c r="BE36" s="279" t="str">
        <f>IFERROR(__xludf.DUMMYFUNCTION("""COMPUTED_VALUE"""),"範囲(小：威力減)")</f>
        <v>範囲(小：威力減)</v>
      </c>
      <c r="BF36" s="273">
        <f>IFERROR(__xludf.DUMMYFUNCTION("""COMPUTED_VALUE"""),3.0)</f>
        <v>3</v>
      </c>
      <c r="BG36" s="274" t="str">
        <f>IFERROR(__xludf.DUMMYFUNCTION("""COMPUTED_VALUE"""),"効果値")</f>
        <v>効果値</v>
      </c>
      <c r="BH36" s="277">
        <f>IFERROR(__xludf.DUMMYFUNCTION("""COMPUTED_VALUE"""),57.0)</f>
        <v>57</v>
      </c>
      <c r="BI36" s="277">
        <f>IFERROR(__xludf.DUMMYFUNCTION("""COMPUTED_VALUE"""),59.0)</f>
        <v>59</v>
      </c>
      <c r="BJ36" s="277">
        <f>IFERROR(__xludf.DUMMYFUNCTION("""COMPUTED_VALUE"""),60.5)</f>
        <v>60.5</v>
      </c>
      <c r="BK36" s="277">
        <f>IFERROR(__xludf.DUMMYFUNCTION("""COMPUTED_VALUE"""),62.0)</f>
        <v>62</v>
      </c>
      <c r="BL36" s="277">
        <f>IFERROR(__xludf.DUMMYFUNCTION("""COMPUTED_VALUE"""),64.0)</f>
        <v>64</v>
      </c>
      <c r="BM36" s="277">
        <f>IFERROR(__xludf.DUMMYFUNCTION("""COMPUTED_VALUE"""),68.0)</f>
        <v>68</v>
      </c>
      <c r="BN36" s="277">
        <f>IFERROR(__xludf.DUMMYFUNCTION("""COMPUTED_VALUE"""),76.5)</f>
        <v>76.5</v>
      </c>
      <c r="BO36" s="278">
        <f>IFERROR(__xludf.DUMMYFUNCTION("""COMPUTED_VALUE"""),78.0)</f>
        <v>78</v>
      </c>
    </row>
    <row r="37">
      <c r="A37" s="276" t="str">
        <f>IFERROR(__xludf.DUMMYFUNCTION("""COMPUTED_VALUE"""),"キラー攻撃(黄)")</f>
        <v>キラー攻撃(黄)</v>
      </c>
      <c r="B37" s="272" t="str">
        <f>IFERROR(__xludf.DUMMYFUNCTION("""COMPUTED_VALUE"""),"単体")</f>
        <v>単体</v>
      </c>
      <c r="C37" s="273">
        <f>IFERROR(__xludf.DUMMYFUNCTION("""COMPUTED_VALUE"""),4.0)</f>
        <v>4</v>
      </c>
      <c r="D37" s="274" t="str">
        <f>IFERROR(__xludf.DUMMYFUNCTION("""COMPUTED_VALUE"""),"効果値")</f>
        <v>効果値</v>
      </c>
      <c r="E37" s="275">
        <f>IFERROR(__xludf.DUMMYFUNCTION("""COMPUTED_VALUE"""),117.0)</f>
        <v>117</v>
      </c>
      <c r="F37" s="275">
        <f>IFERROR(__xludf.DUMMYFUNCTION("""COMPUTED_VALUE"""),122.0)</f>
        <v>122</v>
      </c>
      <c r="G37" s="275">
        <f>IFERROR(__xludf.DUMMYFUNCTION("""COMPUTED_VALUE"""),126.0)</f>
        <v>126</v>
      </c>
      <c r="H37" s="275">
        <f>IFERROR(__xludf.DUMMYFUNCTION("""COMPUTED_VALUE"""),130.0)</f>
        <v>130</v>
      </c>
      <c r="I37" s="275">
        <f>IFERROR(__xludf.DUMMYFUNCTION("""COMPUTED_VALUE"""),135.0)</f>
        <v>135</v>
      </c>
      <c r="J37" s="275">
        <f>IFERROR(__xludf.DUMMYFUNCTION("""COMPUTED_VALUE"""),144.0)</f>
        <v>144</v>
      </c>
      <c r="K37" s="275">
        <f>IFERROR(__xludf.DUMMYFUNCTION("""COMPUTED_VALUE"""),163.0)</f>
        <v>163</v>
      </c>
      <c r="L37" s="275">
        <f>IFERROR(__xludf.DUMMYFUNCTION("""COMPUTED_VALUE"""),167.0)</f>
        <v>167</v>
      </c>
      <c r="M37" s="276" t="str">
        <f>IFERROR(__xludf.DUMMYFUNCTION("""COMPUTED_VALUE"""),"範囲(小)")</f>
        <v>範囲(小)</v>
      </c>
      <c r="N37" s="273">
        <f>IFERROR(__xludf.DUMMYFUNCTION("""COMPUTED_VALUE"""),4.0)</f>
        <v>4</v>
      </c>
      <c r="O37" s="274" t="str">
        <f>IFERROR(__xludf.DUMMYFUNCTION("""COMPUTED_VALUE"""),"効果値")</f>
        <v>効果値</v>
      </c>
      <c r="P37" s="277">
        <f>IFERROR(__xludf.DUMMYFUNCTION("""COMPUTED_VALUE"""),87.7)</f>
        <v>87.7</v>
      </c>
      <c r="Q37" s="277">
        <f>IFERROR(__xludf.DUMMYFUNCTION("""COMPUTED_VALUE"""),91.5)</f>
        <v>91.5</v>
      </c>
      <c r="R37" s="277">
        <f>IFERROR(__xludf.DUMMYFUNCTION("""COMPUTED_VALUE"""),94.5)</f>
        <v>94.5</v>
      </c>
      <c r="S37" s="277">
        <f>IFERROR(__xludf.DUMMYFUNCTION("""COMPUTED_VALUE"""),97.5)</f>
        <v>97.5</v>
      </c>
      <c r="T37" s="277">
        <f>IFERROR(__xludf.DUMMYFUNCTION("""COMPUTED_VALUE"""),101.2)</f>
        <v>101.2</v>
      </c>
      <c r="U37" s="277">
        <f>IFERROR(__xludf.DUMMYFUNCTION("""COMPUTED_VALUE"""),108.0)</f>
        <v>108</v>
      </c>
      <c r="V37" s="277">
        <f>IFERROR(__xludf.DUMMYFUNCTION("""COMPUTED_VALUE"""),122.2)</f>
        <v>122.2</v>
      </c>
      <c r="W37" s="278">
        <f>IFERROR(__xludf.DUMMYFUNCTION("""COMPUTED_VALUE"""),125.2)</f>
        <v>125.2</v>
      </c>
      <c r="X37" s="276" t="str">
        <f>IFERROR(__xludf.DUMMYFUNCTION("""COMPUTED_VALUE"""),"範囲(中)")</f>
        <v>範囲(中)</v>
      </c>
      <c r="Y37" s="273">
        <f>IFERROR(__xludf.DUMMYFUNCTION("""COMPUTED_VALUE"""),4.0)</f>
        <v>4</v>
      </c>
      <c r="Z37" s="274" t="str">
        <f>IFERROR(__xludf.DUMMYFUNCTION("""COMPUTED_VALUE"""),"効果値")</f>
        <v>効果値</v>
      </c>
      <c r="AA37" s="277">
        <f>IFERROR(__xludf.DUMMYFUNCTION("""COMPUTED_VALUE"""),76.0)</f>
        <v>76</v>
      </c>
      <c r="AB37" s="277">
        <f>IFERROR(__xludf.DUMMYFUNCTION("""COMPUTED_VALUE"""),79.3)</f>
        <v>79.3</v>
      </c>
      <c r="AC37" s="277">
        <f>IFERROR(__xludf.DUMMYFUNCTION("""COMPUTED_VALUE"""),81.9)</f>
        <v>81.9</v>
      </c>
      <c r="AD37" s="277">
        <f>IFERROR(__xludf.DUMMYFUNCTION("""COMPUTED_VALUE"""),84.5)</f>
        <v>84.5</v>
      </c>
      <c r="AE37" s="277">
        <f>IFERROR(__xludf.DUMMYFUNCTION("""COMPUTED_VALUE"""),87.7)</f>
        <v>87.7</v>
      </c>
      <c r="AF37" s="277">
        <f>IFERROR(__xludf.DUMMYFUNCTION("""COMPUTED_VALUE"""),93.6)</f>
        <v>93.6</v>
      </c>
      <c r="AG37" s="277">
        <f>IFERROR(__xludf.DUMMYFUNCTION("""COMPUTED_VALUE"""),105.9)</f>
        <v>105.9</v>
      </c>
      <c r="AH37" s="278">
        <f>IFERROR(__xludf.DUMMYFUNCTION("""COMPUTED_VALUE"""),108.5)</f>
        <v>108.5</v>
      </c>
      <c r="AI37" s="276" t="str">
        <f>IFERROR(__xludf.DUMMYFUNCTION("""COMPUTED_VALUE"""),"範囲(大)")</f>
        <v>範囲(大)</v>
      </c>
      <c r="AJ37" s="273">
        <f>IFERROR(__xludf.DUMMYFUNCTION("""COMPUTED_VALUE"""),4.0)</f>
        <v>4</v>
      </c>
      <c r="AK37" s="274" t="str">
        <f>IFERROR(__xludf.DUMMYFUNCTION("""COMPUTED_VALUE"""),"効果値")</f>
        <v>効果値</v>
      </c>
      <c r="AL37" s="277">
        <f>IFERROR(__xludf.DUMMYFUNCTION("""COMPUTED_VALUE"""),64.3)</f>
        <v>64.3</v>
      </c>
      <c r="AM37" s="277">
        <f>IFERROR(__xludf.DUMMYFUNCTION("""COMPUTED_VALUE"""),67.1)</f>
        <v>67.1</v>
      </c>
      <c r="AN37" s="277">
        <f>IFERROR(__xludf.DUMMYFUNCTION("""COMPUTED_VALUE"""),69.3)</f>
        <v>69.3</v>
      </c>
      <c r="AO37" s="277">
        <f>IFERROR(__xludf.DUMMYFUNCTION("""COMPUTED_VALUE"""),71.5)</f>
        <v>71.5</v>
      </c>
      <c r="AP37" s="277">
        <f>IFERROR(__xludf.DUMMYFUNCTION("""COMPUTED_VALUE"""),74.2)</f>
        <v>74.2</v>
      </c>
      <c r="AQ37" s="277">
        <f>IFERROR(__xludf.DUMMYFUNCTION("""COMPUTED_VALUE"""),79.2)</f>
        <v>79.2</v>
      </c>
      <c r="AR37" s="277">
        <f>IFERROR(__xludf.DUMMYFUNCTION("""COMPUTED_VALUE"""),89.6)</f>
        <v>89.6</v>
      </c>
      <c r="AS37" s="278">
        <f>IFERROR(__xludf.DUMMYFUNCTION("""COMPUTED_VALUE"""),91.8)</f>
        <v>91.8</v>
      </c>
      <c r="AT37" s="276" t="str">
        <f>IFERROR(__xludf.DUMMYFUNCTION("""COMPUTED_VALUE"""),"範囲(特大)")</f>
        <v>範囲(特大)</v>
      </c>
      <c r="AU37" s="273">
        <f>IFERROR(__xludf.DUMMYFUNCTION("""COMPUTED_VALUE"""),4.0)</f>
        <v>4</v>
      </c>
      <c r="AV37" s="274" t="str">
        <f>IFERROR(__xludf.DUMMYFUNCTION("""COMPUTED_VALUE"""),"効果値")</f>
        <v>効果値</v>
      </c>
      <c r="AW37" s="277">
        <f>IFERROR(__xludf.DUMMYFUNCTION("""COMPUTED_VALUE"""),58.5)</f>
        <v>58.5</v>
      </c>
      <c r="AX37" s="277">
        <f>IFERROR(__xludf.DUMMYFUNCTION("""COMPUTED_VALUE"""),61.0)</f>
        <v>61</v>
      </c>
      <c r="AY37" s="277">
        <f>IFERROR(__xludf.DUMMYFUNCTION("""COMPUTED_VALUE"""),63.0)</f>
        <v>63</v>
      </c>
      <c r="AZ37" s="277">
        <f>IFERROR(__xludf.DUMMYFUNCTION("""COMPUTED_VALUE"""),65.0)</f>
        <v>65</v>
      </c>
      <c r="BA37" s="277">
        <f>IFERROR(__xludf.DUMMYFUNCTION("""COMPUTED_VALUE"""),67.5)</f>
        <v>67.5</v>
      </c>
      <c r="BB37" s="277">
        <f>IFERROR(__xludf.DUMMYFUNCTION("""COMPUTED_VALUE"""),72.0)</f>
        <v>72</v>
      </c>
      <c r="BC37" s="277">
        <f>IFERROR(__xludf.DUMMYFUNCTION("""COMPUTED_VALUE"""),81.5)</f>
        <v>81.5</v>
      </c>
      <c r="BD37" s="278">
        <f>IFERROR(__xludf.DUMMYFUNCTION("""COMPUTED_VALUE"""),83.5)</f>
        <v>83.5</v>
      </c>
      <c r="BE37" s="279" t="str">
        <f>IFERROR(__xludf.DUMMYFUNCTION("""COMPUTED_VALUE"""),"範囲(小：威力減)")</f>
        <v>範囲(小：威力減)</v>
      </c>
      <c r="BF37" s="273">
        <f>IFERROR(__xludf.DUMMYFUNCTION("""COMPUTED_VALUE"""),4.0)</f>
        <v>4</v>
      </c>
      <c r="BG37" s="274" t="str">
        <f>IFERROR(__xludf.DUMMYFUNCTION("""COMPUTED_VALUE"""),"効果値")</f>
        <v>効果値</v>
      </c>
      <c r="BH37" s="277">
        <f>IFERROR(__xludf.DUMMYFUNCTION("""COMPUTED_VALUE"""),58.5)</f>
        <v>58.5</v>
      </c>
      <c r="BI37" s="277">
        <f>IFERROR(__xludf.DUMMYFUNCTION("""COMPUTED_VALUE"""),61.0)</f>
        <v>61</v>
      </c>
      <c r="BJ37" s="277">
        <f>IFERROR(__xludf.DUMMYFUNCTION("""COMPUTED_VALUE"""),63.0)</f>
        <v>63</v>
      </c>
      <c r="BK37" s="277">
        <f>IFERROR(__xludf.DUMMYFUNCTION("""COMPUTED_VALUE"""),65.0)</f>
        <v>65</v>
      </c>
      <c r="BL37" s="277">
        <f>IFERROR(__xludf.DUMMYFUNCTION("""COMPUTED_VALUE"""),67.5)</f>
        <v>67.5</v>
      </c>
      <c r="BM37" s="277">
        <f>IFERROR(__xludf.DUMMYFUNCTION("""COMPUTED_VALUE"""),72.0)</f>
        <v>72</v>
      </c>
      <c r="BN37" s="277">
        <f>IFERROR(__xludf.DUMMYFUNCTION("""COMPUTED_VALUE"""),81.5)</f>
        <v>81.5</v>
      </c>
      <c r="BO37" s="278">
        <f>IFERROR(__xludf.DUMMYFUNCTION("""COMPUTED_VALUE"""),83.5)</f>
        <v>83.5</v>
      </c>
    </row>
    <row r="38">
      <c r="A38" s="276" t="str">
        <f>IFERROR(__xludf.DUMMYFUNCTION("""COMPUTED_VALUE"""),"キラー攻撃(黄)")</f>
        <v>キラー攻撃(黄)</v>
      </c>
      <c r="B38" s="272" t="str">
        <f>IFERROR(__xludf.DUMMYFUNCTION("""COMPUTED_VALUE"""),"単体")</f>
        <v>単体</v>
      </c>
      <c r="C38" s="283">
        <f>IFERROR(__xludf.DUMMYFUNCTION("""COMPUTED_VALUE"""),5.0)</f>
        <v>5</v>
      </c>
      <c r="D38" s="284" t="str">
        <f>IFERROR(__xludf.DUMMYFUNCTION("""COMPUTED_VALUE"""),"効果値")</f>
        <v>効果値</v>
      </c>
      <c r="E38" s="285">
        <f>IFERROR(__xludf.DUMMYFUNCTION("""COMPUTED_VALUE"""),120.0)</f>
        <v>120</v>
      </c>
      <c r="F38" s="287">
        <f>IFERROR(__xludf.DUMMYFUNCTION("""COMPUTED_VALUE"""),125.0)</f>
        <v>125</v>
      </c>
      <c r="G38" s="287">
        <f>IFERROR(__xludf.DUMMYFUNCTION("""COMPUTED_VALUE"""),130.0)</f>
        <v>130</v>
      </c>
      <c r="H38" s="287">
        <f>IFERROR(__xludf.DUMMYFUNCTION("""COMPUTED_VALUE"""),135.0)</f>
        <v>135</v>
      </c>
      <c r="I38" s="287">
        <f>IFERROR(__xludf.DUMMYFUNCTION("""COMPUTED_VALUE"""),140.0)</f>
        <v>140</v>
      </c>
      <c r="J38" s="287">
        <f>IFERROR(__xludf.DUMMYFUNCTION("""COMPUTED_VALUE"""),150.0)</f>
        <v>150</v>
      </c>
      <c r="K38" s="287">
        <f>IFERROR(__xludf.DUMMYFUNCTION("""COMPUTED_VALUE"""),170.0)</f>
        <v>170</v>
      </c>
      <c r="L38" s="288">
        <f>IFERROR(__xludf.DUMMYFUNCTION("""COMPUTED_VALUE"""),175.0)</f>
        <v>175</v>
      </c>
      <c r="M38" s="276" t="str">
        <f>IFERROR(__xludf.DUMMYFUNCTION("""COMPUTED_VALUE"""),"範囲(小)")</f>
        <v>範囲(小)</v>
      </c>
      <c r="N38" s="283">
        <f>IFERROR(__xludf.DUMMYFUNCTION("""COMPUTED_VALUE"""),5.0)</f>
        <v>5</v>
      </c>
      <c r="O38" s="284" t="str">
        <f>IFERROR(__xludf.DUMMYFUNCTION("""COMPUTED_VALUE"""),"効果値")</f>
        <v>効果値</v>
      </c>
      <c r="P38" s="289">
        <f>IFERROR(__xludf.DUMMYFUNCTION("""COMPUTED_VALUE"""),90.0)</f>
        <v>90</v>
      </c>
      <c r="Q38" s="289">
        <f>IFERROR(__xludf.DUMMYFUNCTION("""COMPUTED_VALUE"""),93.7)</f>
        <v>93.7</v>
      </c>
      <c r="R38" s="289">
        <f>IFERROR(__xludf.DUMMYFUNCTION("""COMPUTED_VALUE"""),97.5)</f>
        <v>97.5</v>
      </c>
      <c r="S38" s="289">
        <f>IFERROR(__xludf.DUMMYFUNCTION("""COMPUTED_VALUE"""),101.2)</f>
        <v>101.2</v>
      </c>
      <c r="T38" s="289">
        <f>IFERROR(__xludf.DUMMYFUNCTION("""COMPUTED_VALUE"""),105.0)</f>
        <v>105</v>
      </c>
      <c r="U38" s="289">
        <f>IFERROR(__xludf.DUMMYFUNCTION("""COMPUTED_VALUE"""),112.5)</f>
        <v>112.5</v>
      </c>
      <c r="V38" s="289">
        <f>IFERROR(__xludf.DUMMYFUNCTION("""COMPUTED_VALUE"""),127.5)</f>
        <v>127.5</v>
      </c>
      <c r="W38" s="290">
        <f>IFERROR(__xludf.DUMMYFUNCTION("""COMPUTED_VALUE"""),131.2)</f>
        <v>131.2</v>
      </c>
      <c r="X38" s="276" t="str">
        <f>IFERROR(__xludf.DUMMYFUNCTION("""COMPUTED_VALUE"""),"範囲(中)")</f>
        <v>範囲(中)</v>
      </c>
      <c r="Y38" s="283">
        <f>IFERROR(__xludf.DUMMYFUNCTION("""COMPUTED_VALUE"""),5.0)</f>
        <v>5</v>
      </c>
      <c r="Z38" s="284" t="str">
        <f>IFERROR(__xludf.DUMMYFUNCTION("""COMPUTED_VALUE"""),"効果値")</f>
        <v>効果値</v>
      </c>
      <c r="AA38" s="289">
        <f>IFERROR(__xludf.DUMMYFUNCTION("""COMPUTED_VALUE"""),78.0)</f>
        <v>78</v>
      </c>
      <c r="AB38" s="289">
        <f>IFERROR(__xludf.DUMMYFUNCTION("""COMPUTED_VALUE"""),81.2)</f>
        <v>81.2</v>
      </c>
      <c r="AC38" s="289">
        <f>IFERROR(__xludf.DUMMYFUNCTION("""COMPUTED_VALUE"""),84.5)</f>
        <v>84.5</v>
      </c>
      <c r="AD38" s="289">
        <f>IFERROR(__xludf.DUMMYFUNCTION("""COMPUTED_VALUE"""),87.7)</f>
        <v>87.7</v>
      </c>
      <c r="AE38" s="289">
        <f>IFERROR(__xludf.DUMMYFUNCTION("""COMPUTED_VALUE"""),91.0)</f>
        <v>91</v>
      </c>
      <c r="AF38" s="289">
        <f>IFERROR(__xludf.DUMMYFUNCTION("""COMPUTED_VALUE"""),97.5)</f>
        <v>97.5</v>
      </c>
      <c r="AG38" s="289">
        <f>IFERROR(__xludf.DUMMYFUNCTION("""COMPUTED_VALUE"""),110.5)</f>
        <v>110.5</v>
      </c>
      <c r="AH38" s="290">
        <f>IFERROR(__xludf.DUMMYFUNCTION("""COMPUTED_VALUE"""),113.7)</f>
        <v>113.7</v>
      </c>
      <c r="AI38" s="276" t="str">
        <f>IFERROR(__xludf.DUMMYFUNCTION("""COMPUTED_VALUE"""),"範囲(大)")</f>
        <v>範囲(大)</v>
      </c>
      <c r="AJ38" s="283">
        <f>IFERROR(__xludf.DUMMYFUNCTION("""COMPUTED_VALUE"""),5.0)</f>
        <v>5</v>
      </c>
      <c r="AK38" s="284" t="str">
        <f>IFERROR(__xludf.DUMMYFUNCTION("""COMPUTED_VALUE"""),"効果値")</f>
        <v>効果値</v>
      </c>
      <c r="AL38" s="289">
        <f>IFERROR(__xludf.DUMMYFUNCTION("""COMPUTED_VALUE"""),66.0)</f>
        <v>66</v>
      </c>
      <c r="AM38" s="289">
        <f>IFERROR(__xludf.DUMMYFUNCTION("""COMPUTED_VALUE"""),68.7)</f>
        <v>68.7</v>
      </c>
      <c r="AN38" s="289">
        <f>IFERROR(__xludf.DUMMYFUNCTION("""COMPUTED_VALUE"""),71.5)</f>
        <v>71.5</v>
      </c>
      <c r="AO38" s="289">
        <f>IFERROR(__xludf.DUMMYFUNCTION("""COMPUTED_VALUE"""),74.2)</f>
        <v>74.2</v>
      </c>
      <c r="AP38" s="289">
        <f>IFERROR(__xludf.DUMMYFUNCTION("""COMPUTED_VALUE"""),77.0)</f>
        <v>77</v>
      </c>
      <c r="AQ38" s="289">
        <f>IFERROR(__xludf.DUMMYFUNCTION("""COMPUTED_VALUE"""),82.5)</f>
        <v>82.5</v>
      </c>
      <c r="AR38" s="289">
        <f>IFERROR(__xludf.DUMMYFUNCTION("""COMPUTED_VALUE"""),93.5)</f>
        <v>93.5</v>
      </c>
      <c r="AS38" s="290">
        <f>IFERROR(__xludf.DUMMYFUNCTION("""COMPUTED_VALUE"""),96.2)</f>
        <v>96.2</v>
      </c>
      <c r="AT38" s="276" t="str">
        <f>IFERROR(__xludf.DUMMYFUNCTION("""COMPUTED_VALUE"""),"範囲(特大)")</f>
        <v>範囲(特大)</v>
      </c>
      <c r="AU38" s="283">
        <f>IFERROR(__xludf.DUMMYFUNCTION("""COMPUTED_VALUE"""),5.0)</f>
        <v>5</v>
      </c>
      <c r="AV38" s="284" t="str">
        <f>IFERROR(__xludf.DUMMYFUNCTION("""COMPUTED_VALUE"""),"効果値")</f>
        <v>効果値</v>
      </c>
      <c r="AW38" s="289">
        <f>IFERROR(__xludf.DUMMYFUNCTION("""COMPUTED_VALUE"""),60.0)</f>
        <v>60</v>
      </c>
      <c r="AX38" s="289">
        <f>IFERROR(__xludf.DUMMYFUNCTION("""COMPUTED_VALUE"""),62.5)</f>
        <v>62.5</v>
      </c>
      <c r="AY38" s="289">
        <f>IFERROR(__xludf.DUMMYFUNCTION("""COMPUTED_VALUE"""),65.0)</f>
        <v>65</v>
      </c>
      <c r="AZ38" s="289">
        <f>IFERROR(__xludf.DUMMYFUNCTION("""COMPUTED_VALUE"""),67.5)</f>
        <v>67.5</v>
      </c>
      <c r="BA38" s="289">
        <f>IFERROR(__xludf.DUMMYFUNCTION("""COMPUTED_VALUE"""),70.0)</f>
        <v>70</v>
      </c>
      <c r="BB38" s="289">
        <f>IFERROR(__xludf.DUMMYFUNCTION("""COMPUTED_VALUE"""),75.0)</f>
        <v>75</v>
      </c>
      <c r="BC38" s="289">
        <f>IFERROR(__xludf.DUMMYFUNCTION("""COMPUTED_VALUE"""),85.0)</f>
        <v>85</v>
      </c>
      <c r="BD38" s="290">
        <f>IFERROR(__xludf.DUMMYFUNCTION("""COMPUTED_VALUE"""),87.5)</f>
        <v>87.5</v>
      </c>
      <c r="BE38" s="279" t="str">
        <f>IFERROR(__xludf.DUMMYFUNCTION("""COMPUTED_VALUE"""),"範囲(小：威力減)")</f>
        <v>範囲(小：威力減)</v>
      </c>
      <c r="BF38" s="283">
        <f>IFERROR(__xludf.DUMMYFUNCTION("""COMPUTED_VALUE"""),5.0)</f>
        <v>5</v>
      </c>
      <c r="BG38" s="284" t="str">
        <f>IFERROR(__xludf.DUMMYFUNCTION("""COMPUTED_VALUE"""),"効果値")</f>
        <v>効果値</v>
      </c>
      <c r="BH38" s="289">
        <f>IFERROR(__xludf.DUMMYFUNCTION("""COMPUTED_VALUE"""),60.0)</f>
        <v>60</v>
      </c>
      <c r="BI38" s="289">
        <f>IFERROR(__xludf.DUMMYFUNCTION("""COMPUTED_VALUE"""),62.5)</f>
        <v>62.5</v>
      </c>
      <c r="BJ38" s="289">
        <f>IFERROR(__xludf.DUMMYFUNCTION("""COMPUTED_VALUE"""),65.0)</f>
        <v>65</v>
      </c>
      <c r="BK38" s="289">
        <f>IFERROR(__xludf.DUMMYFUNCTION("""COMPUTED_VALUE"""),67.5)</f>
        <v>67.5</v>
      </c>
      <c r="BL38" s="289">
        <f>IFERROR(__xludf.DUMMYFUNCTION("""COMPUTED_VALUE"""),70.0)</f>
        <v>70</v>
      </c>
      <c r="BM38" s="289">
        <f>IFERROR(__xludf.DUMMYFUNCTION("""COMPUTED_VALUE"""),75.0)</f>
        <v>75</v>
      </c>
      <c r="BN38" s="289">
        <f>IFERROR(__xludf.DUMMYFUNCTION("""COMPUTED_VALUE"""),85.0)</f>
        <v>85</v>
      </c>
      <c r="BO38" s="290">
        <f>IFERROR(__xludf.DUMMYFUNCTION("""COMPUTED_VALUE"""),87.5)</f>
        <v>87.5</v>
      </c>
    </row>
    <row r="39">
      <c r="A39" s="259" t="str">
        <f>IFERROR(__xludf.DUMMYFUNCTION("""COMPUTED_VALUE"""),"連続攻撃")</f>
        <v>連続攻撃</v>
      </c>
      <c r="B39" s="260" t="str">
        <f>IFERROR(__xludf.DUMMYFUNCTION("""COMPUTED_VALUE"""),"単体")</f>
        <v>単体</v>
      </c>
      <c r="C39" s="261">
        <f>IFERROR(__xludf.DUMMYFUNCTION("""COMPUTED_VALUE"""),1.0)</f>
        <v>1</v>
      </c>
      <c r="D39" s="262" t="str">
        <f>IFERROR(__xludf.DUMMYFUNCTION("""COMPUTED_VALUE"""),"効果値")</f>
        <v>効果値</v>
      </c>
      <c r="E39" s="263">
        <f>IFERROR(__xludf.DUMMYFUNCTION("""COMPUTED_VALUE"""),120.0)</f>
        <v>120</v>
      </c>
      <c r="F39" s="265">
        <f>IFERROR(__xludf.DUMMYFUNCTION("""COMPUTED_VALUE"""),125.0)</f>
        <v>125</v>
      </c>
      <c r="G39" s="265">
        <f>IFERROR(__xludf.DUMMYFUNCTION("""COMPUTED_VALUE"""),130.0)</f>
        <v>130</v>
      </c>
      <c r="H39" s="265">
        <f>IFERROR(__xludf.DUMMYFUNCTION("""COMPUTED_VALUE"""),135.0)</f>
        <v>135</v>
      </c>
      <c r="I39" s="265">
        <f>IFERROR(__xludf.DUMMYFUNCTION("""COMPUTED_VALUE"""),140.0)</f>
        <v>140</v>
      </c>
      <c r="J39" s="265">
        <f>IFERROR(__xludf.DUMMYFUNCTION("""COMPUTED_VALUE"""),150.0)</f>
        <v>150</v>
      </c>
      <c r="K39" s="265">
        <f>IFERROR(__xludf.DUMMYFUNCTION("""COMPUTED_VALUE"""),170.0)</f>
        <v>170</v>
      </c>
      <c r="L39" s="266">
        <f>IFERROR(__xludf.DUMMYFUNCTION("""COMPUTED_VALUE"""),170.0)</f>
        <v>170</v>
      </c>
      <c r="M39" s="267" t="str">
        <f>IFERROR(__xludf.DUMMYFUNCTION("""COMPUTED_VALUE"""),"範囲(小)")</f>
        <v>範囲(小)</v>
      </c>
      <c r="N39" s="261">
        <f>IFERROR(__xludf.DUMMYFUNCTION("""COMPUTED_VALUE"""),1.0)</f>
        <v>1</v>
      </c>
      <c r="O39" s="262" t="str">
        <f>IFERROR(__xludf.DUMMYFUNCTION("""COMPUTED_VALUE"""),"効果値")</f>
        <v>効果値</v>
      </c>
      <c r="P39" s="268">
        <f>IFERROR(__xludf.DUMMYFUNCTION("""COMPUTED_VALUE"""),90.0)</f>
        <v>90</v>
      </c>
      <c r="Q39" s="268">
        <f>IFERROR(__xludf.DUMMYFUNCTION("""COMPUTED_VALUE"""),94.0)</f>
        <v>94</v>
      </c>
      <c r="R39" s="268">
        <f>IFERROR(__xludf.DUMMYFUNCTION("""COMPUTED_VALUE"""),98.0)</f>
        <v>98</v>
      </c>
      <c r="S39" s="268">
        <f>IFERROR(__xludf.DUMMYFUNCTION("""COMPUTED_VALUE"""),101.0)</f>
        <v>101</v>
      </c>
      <c r="T39" s="268">
        <f>IFERROR(__xludf.DUMMYFUNCTION("""COMPUTED_VALUE"""),105.0)</f>
        <v>105</v>
      </c>
      <c r="U39" s="268">
        <f>IFERROR(__xludf.DUMMYFUNCTION("""COMPUTED_VALUE"""),113.0)</f>
        <v>113</v>
      </c>
      <c r="V39" s="268">
        <f>IFERROR(__xludf.DUMMYFUNCTION("""COMPUTED_VALUE"""),128.0)</f>
        <v>128</v>
      </c>
      <c r="W39" s="269">
        <f>IFERROR(__xludf.DUMMYFUNCTION("""COMPUTED_VALUE"""),128.0)</f>
        <v>128</v>
      </c>
      <c r="X39" s="267" t="str">
        <f>IFERROR(__xludf.DUMMYFUNCTION("""COMPUTED_VALUE"""),"範囲(中)")</f>
        <v>範囲(中)</v>
      </c>
      <c r="Y39" s="261">
        <f>IFERROR(__xludf.DUMMYFUNCTION("""COMPUTED_VALUE"""),1.0)</f>
        <v>1</v>
      </c>
      <c r="Z39" s="262" t="str">
        <f>IFERROR(__xludf.DUMMYFUNCTION("""COMPUTED_VALUE"""),"効果値")</f>
        <v>効果値</v>
      </c>
      <c r="AA39" s="268">
        <f>IFERROR(__xludf.DUMMYFUNCTION("""COMPUTED_VALUE"""),78.0)</f>
        <v>78</v>
      </c>
      <c r="AB39" s="268">
        <f>IFERROR(__xludf.DUMMYFUNCTION("""COMPUTED_VALUE"""),81.0)</f>
        <v>81</v>
      </c>
      <c r="AC39" s="268">
        <f>IFERROR(__xludf.DUMMYFUNCTION("""COMPUTED_VALUE"""),85.0)</f>
        <v>85</v>
      </c>
      <c r="AD39" s="268">
        <f>IFERROR(__xludf.DUMMYFUNCTION("""COMPUTED_VALUE"""),88.0)</f>
        <v>88</v>
      </c>
      <c r="AE39" s="268">
        <f>IFERROR(__xludf.DUMMYFUNCTION("""COMPUTED_VALUE"""),91.0)</f>
        <v>91</v>
      </c>
      <c r="AF39" s="268">
        <f>IFERROR(__xludf.DUMMYFUNCTION("""COMPUTED_VALUE"""),98.0)</f>
        <v>98</v>
      </c>
      <c r="AG39" s="268">
        <f>IFERROR(__xludf.DUMMYFUNCTION("""COMPUTED_VALUE"""),111.0)</f>
        <v>111</v>
      </c>
      <c r="AH39" s="269">
        <f>IFERROR(__xludf.DUMMYFUNCTION("""COMPUTED_VALUE"""),111.0)</f>
        <v>111</v>
      </c>
      <c r="AI39" s="267" t="str">
        <f>IFERROR(__xludf.DUMMYFUNCTION("""COMPUTED_VALUE"""),"範囲(大)")</f>
        <v>範囲(大)</v>
      </c>
      <c r="AJ39" s="261">
        <f>IFERROR(__xludf.DUMMYFUNCTION("""COMPUTED_VALUE"""),1.0)</f>
        <v>1</v>
      </c>
      <c r="AK39" s="262" t="str">
        <f>IFERROR(__xludf.DUMMYFUNCTION("""COMPUTED_VALUE"""),"効果値")</f>
        <v>効果値</v>
      </c>
      <c r="AL39" s="268">
        <f>IFERROR(__xludf.DUMMYFUNCTION("""COMPUTED_VALUE"""),66.0)</f>
        <v>66</v>
      </c>
      <c r="AM39" s="268">
        <f>IFERROR(__xludf.DUMMYFUNCTION("""COMPUTED_VALUE"""),69.0)</f>
        <v>69</v>
      </c>
      <c r="AN39" s="268">
        <f>IFERROR(__xludf.DUMMYFUNCTION("""COMPUTED_VALUE"""),72.0)</f>
        <v>72</v>
      </c>
      <c r="AO39" s="268">
        <f>IFERROR(__xludf.DUMMYFUNCTION("""COMPUTED_VALUE"""),74.0)</f>
        <v>74</v>
      </c>
      <c r="AP39" s="268">
        <f>IFERROR(__xludf.DUMMYFUNCTION("""COMPUTED_VALUE"""),77.0)</f>
        <v>77</v>
      </c>
      <c r="AQ39" s="268">
        <f>IFERROR(__xludf.DUMMYFUNCTION("""COMPUTED_VALUE"""),83.0)</f>
        <v>83</v>
      </c>
      <c r="AR39" s="268">
        <f>IFERROR(__xludf.DUMMYFUNCTION("""COMPUTED_VALUE"""),94.0)</f>
        <v>94</v>
      </c>
      <c r="AS39" s="269">
        <f>IFERROR(__xludf.DUMMYFUNCTION("""COMPUTED_VALUE"""),94.0)</f>
        <v>94</v>
      </c>
      <c r="AT39" s="267" t="str">
        <f>IFERROR(__xludf.DUMMYFUNCTION("""COMPUTED_VALUE"""),"範囲(特大)")</f>
        <v>範囲(特大)</v>
      </c>
      <c r="AU39" s="261">
        <f>IFERROR(__xludf.DUMMYFUNCTION("""COMPUTED_VALUE"""),1.0)</f>
        <v>1</v>
      </c>
      <c r="AV39" s="262" t="str">
        <f>IFERROR(__xludf.DUMMYFUNCTION("""COMPUTED_VALUE"""),"効果値")</f>
        <v>効果値</v>
      </c>
      <c r="AW39" s="268">
        <f>IFERROR(__xludf.DUMMYFUNCTION("""COMPUTED_VALUE"""),60.0)</f>
        <v>60</v>
      </c>
      <c r="AX39" s="268">
        <f>IFERROR(__xludf.DUMMYFUNCTION("""COMPUTED_VALUE"""),63.0)</f>
        <v>63</v>
      </c>
      <c r="AY39" s="268">
        <f>IFERROR(__xludf.DUMMYFUNCTION("""COMPUTED_VALUE"""),65.0)</f>
        <v>65</v>
      </c>
      <c r="AZ39" s="268">
        <f>IFERROR(__xludf.DUMMYFUNCTION("""COMPUTED_VALUE"""),68.0)</f>
        <v>68</v>
      </c>
      <c r="BA39" s="268">
        <f>IFERROR(__xludf.DUMMYFUNCTION("""COMPUTED_VALUE"""),70.0)</f>
        <v>70</v>
      </c>
      <c r="BB39" s="268">
        <f>IFERROR(__xludf.DUMMYFUNCTION("""COMPUTED_VALUE"""),75.0)</f>
        <v>75</v>
      </c>
      <c r="BC39" s="268">
        <f>IFERROR(__xludf.DUMMYFUNCTION("""COMPUTED_VALUE"""),85.0)</f>
        <v>85</v>
      </c>
      <c r="BD39" s="269">
        <f>IFERROR(__xludf.DUMMYFUNCTION("""COMPUTED_VALUE"""),85.0)</f>
        <v>85</v>
      </c>
      <c r="BE39" s="270" t="str">
        <f>IFERROR(__xludf.DUMMYFUNCTION("""COMPUTED_VALUE"""),"範囲(小：威力減)")</f>
        <v>範囲(小：威力減)</v>
      </c>
      <c r="BF39" s="261">
        <f>IFERROR(__xludf.DUMMYFUNCTION("""COMPUTED_VALUE"""),1.0)</f>
        <v>1</v>
      </c>
      <c r="BG39" s="262" t="str">
        <f>IFERROR(__xludf.DUMMYFUNCTION("""COMPUTED_VALUE"""),"効果値")</f>
        <v>効果値</v>
      </c>
      <c r="BH39" s="268">
        <f>IFERROR(__xludf.DUMMYFUNCTION("""COMPUTED_VALUE"""),60.0)</f>
        <v>60</v>
      </c>
      <c r="BI39" s="268">
        <f>IFERROR(__xludf.DUMMYFUNCTION("""COMPUTED_VALUE"""),63.0)</f>
        <v>63</v>
      </c>
      <c r="BJ39" s="268">
        <f>IFERROR(__xludf.DUMMYFUNCTION("""COMPUTED_VALUE"""),65.0)</f>
        <v>65</v>
      </c>
      <c r="BK39" s="268">
        <f>IFERROR(__xludf.DUMMYFUNCTION("""COMPUTED_VALUE"""),68.0)</f>
        <v>68</v>
      </c>
      <c r="BL39" s="268">
        <f>IFERROR(__xludf.DUMMYFUNCTION("""COMPUTED_VALUE"""),70.0)</f>
        <v>70</v>
      </c>
      <c r="BM39" s="268">
        <f>IFERROR(__xludf.DUMMYFUNCTION("""COMPUTED_VALUE"""),75.0)</f>
        <v>75</v>
      </c>
      <c r="BN39" s="268">
        <f>IFERROR(__xludf.DUMMYFUNCTION("""COMPUTED_VALUE"""),85.0)</f>
        <v>85</v>
      </c>
      <c r="BO39" s="269">
        <f>IFERROR(__xludf.DUMMYFUNCTION("""COMPUTED_VALUE"""),85.0)</f>
        <v>85</v>
      </c>
    </row>
    <row r="40">
      <c r="A40" s="293" t="str">
        <f>IFERROR(__xludf.DUMMYFUNCTION("""COMPUTED_VALUE"""),"連続攻撃")</f>
        <v>連続攻撃</v>
      </c>
      <c r="B40" s="272" t="str">
        <f>IFERROR(__xludf.DUMMYFUNCTION("""COMPUTED_VALUE"""),"単体")</f>
        <v>単体</v>
      </c>
      <c r="C40" s="273">
        <f>IFERROR(__xludf.DUMMYFUNCTION("""COMPUTED_VALUE"""),2.0)</f>
        <v>2</v>
      </c>
      <c r="D40" s="274" t="str">
        <f>IFERROR(__xludf.DUMMYFUNCTION("""COMPUTED_VALUE"""),"効果値")</f>
        <v>効果値</v>
      </c>
      <c r="E40" s="275">
        <f>IFERROR(__xludf.DUMMYFUNCTION("""COMPUTED_VALUE"""),140.0)</f>
        <v>140</v>
      </c>
      <c r="F40" s="275">
        <f>IFERROR(__xludf.DUMMYFUNCTION("""COMPUTED_VALUE"""),144.0)</f>
        <v>144</v>
      </c>
      <c r="G40" s="275">
        <f>IFERROR(__xludf.DUMMYFUNCTION("""COMPUTED_VALUE"""),148.0)</f>
        <v>148</v>
      </c>
      <c r="H40" s="275">
        <f>IFERROR(__xludf.DUMMYFUNCTION("""COMPUTED_VALUE"""),152.0)</f>
        <v>152</v>
      </c>
      <c r="I40" s="275">
        <f>IFERROR(__xludf.DUMMYFUNCTION("""COMPUTED_VALUE"""),156.0)</f>
        <v>156</v>
      </c>
      <c r="J40" s="275">
        <f>IFERROR(__xludf.DUMMYFUNCTION("""COMPUTED_VALUE"""),170.0)</f>
        <v>170</v>
      </c>
      <c r="K40" s="275">
        <f>IFERROR(__xludf.DUMMYFUNCTION("""COMPUTED_VALUE"""),192.0)</f>
        <v>192</v>
      </c>
      <c r="L40" s="275">
        <f>IFERROR(__xludf.DUMMYFUNCTION("""COMPUTED_VALUE"""),194.0)</f>
        <v>194</v>
      </c>
      <c r="M40" s="276" t="str">
        <f>IFERROR(__xludf.DUMMYFUNCTION("""COMPUTED_VALUE"""),"範囲(小)")</f>
        <v>範囲(小)</v>
      </c>
      <c r="N40" s="273">
        <f>IFERROR(__xludf.DUMMYFUNCTION("""COMPUTED_VALUE"""),2.0)</f>
        <v>2</v>
      </c>
      <c r="O40" s="274" t="str">
        <f>IFERROR(__xludf.DUMMYFUNCTION("""COMPUTED_VALUE"""),"効果値")</f>
        <v>効果値</v>
      </c>
      <c r="P40" s="277">
        <f>IFERROR(__xludf.DUMMYFUNCTION("""COMPUTED_VALUE"""),105.0)</f>
        <v>105</v>
      </c>
      <c r="Q40" s="277">
        <f>IFERROR(__xludf.DUMMYFUNCTION("""COMPUTED_VALUE"""),108.0)</f>
        <v>108</v>
      </c>
      <c r="R40" s="277">
        <f>IFERROR(__xludf.DUMMYFUNCTION("""COMPUTED_VALUE"""),111.0)</f>
        <v>111</v>
      </c>
      <c r="S40" s="277">
        <f>IFERROR(__xludf.DUMMYFUNCTION("""COMPUTED_VALUE"""),114.0)</f>
        <v>114</v>
      </c>
      <c r="T40" s="277">
        <f>IFERROR(__xludf.DUMMYFUNCTION("""COMPUTED_VALUE"""),117.0)</f>
        <v>117</v>
      </c>
      <c r="U40" s="277">
        <f>IFERROR(__xludf.DUMMYFUNCTION("""COMPUTED_VALUE"""),127.0)</f>
        <v>127</v>
      </c>
      <c r="V40" s="277">
        <f>IFERROR(__xludf.DUMMYFUNCTION("""COMPUTED_VALUE"""),144.0)</f>
        <v>144</v>
      </c>
      <c r="W40" s="278">
        <f>IFERROR(__xludf.DUMMYFUNCTION("""COMPUTED_VALUE"""),145.0)</f>
        <v>145</v>
      </c>
      <c r="X40" s="276" t="str">
        <f>IFERROR(__xludf.DUMMYFUNCTION("""COMPUTED_VALUE"""),"範囲(中)")</f>
        <v>範囲(中)</v>
      </c>
      <c r="Y40" s="273">
        <f>IFERROR(__xludf.DUMMYFUNCTION("""COMPUTED_VALUE"""),2.0)</f>
        <v>2</v>
      </c>
      <c r="Z40" s="274" t="str">
        <f>IFERROR(__xludf.DUMMYFUNCTION("""COMPUTED_VALUE"""),"効果値")</f>
        <v>効果値</v>
      </c>
      <c r="AA40" s="277">
        <f>IFERROR(__xludf.DUMMYFUNCTION("""COMPUTED_VALUE"""),91.0)</f>
        <v>91</v>
      </c>
      <c r="AB40" s="277">
        <f>IFERROR(__xludf.DUMMYFUNCTION("""COMPUTED_VALUE"""),94.0)</f>
        <v>94</v>
      </c>
      <c r="AC40" s="277">
        <f>IFERROR(__xludf.DUMMYFUNCTION("""COMPUTED_VALUE"""),96.0)</f>
        <v>96</v>
      </c>
      <c r="AD40" s="277">
        <f>IFERROR(__xludf.DUMMYFUNCTION("""COMPUTED_VALUE"""),99.0)</f>
        <v>99</v>
      </c>
      <c r="AE40" s="277">
        <f>IFERROR(__xludf.DUMMYFUNCTION("""COMPUTED_VALUE"""),101.0)</f>
        <v>101</v>
      </c>
      <c r="AF40" s="277">
        <f>IFERROR(__xludf.DUMMYFUNCTION("""COMPUTED_VALUE"""),110.0)</f>
        <v>110</v>
      </c>
      <c r="AG40" s="277">
        <f>IFERROR(__xludf.DUMMYFUNCTION("""COMPUTED_VALUE"""),125.0)</f>
        <v>125</v>
      </c>
      <c r="AH40" s="278">
        <f>IFERROR(__xludf.DUMMYFUNCTION("""COMPUTED_VALUE"""),126.0)</f>
        <v>126</v>
      </c>
      <c r="AI40" s="276" t="str">
        <f>IFERROR(__xludf.DUMMYFUNCTION("""COMPUTED_VALUE"""),"範囲(大)")</f>
        <v>範囲(大)</v>
      </c>
      <c r="AJ40" s="273">
        <f>IFERROR(__xludf.DUMMYFUNCTION("""COMPUTED_VALUE"""),2.0)</f>
        <v>2</v>
      </c>
      <c r="AK40" s="274" t="str">
        <f>IFERROR(__xludf.DUMMYFUNCTION("""COMPUTED_VALUE"""),"効果値")</f>
        <v>効果値</v>
      </c>
      <c r="AL40" s="277">
        <f>IFERROR(__xludf.DUMMYFUNCTION("""COMPUTED_VALUE"""),77.0)</f>
        <v>77</v>
      </c>
      <c r="AM40" s="277">
        <f>IFERROR(__xludf.DUMMYFUNCTION("""COMPUTED_VALUE"""),79.0)</f>
        <v>79</v>
      </c>
      <c r="AN40" s="277">
        <f>IFERROR(__xludf.DUMMYFUNCTION("""COMPUTED_VALUE"""),81.0)</f>
        <v>81</v>
      </c>
      <c r="AO40" s="277">
        <f>IFERROR(__xludf.DUMMYFUNCTION("""COMPUTED_VALUE"""),84.0)</f>
        <v>84</v>
      </c>
      <c r="AP40" s="277">
        <f>IFERROR(__xludf.DUMMYFUNCTION("""COMPUTED_VALUE"""),86.0)</f>
        <v>86</v>
      </c>
      <c r="AQ40" s="277">
        <f>IFERROR(__xludf.DUMMYFUNCTION("""COMPUTED_VALUE"""),93.0)</f>
        <v>93</v>
      </c>
      <c r="AR40" s="277">
        <f>IFERROR(__xludf.DUMMYFUNCTION("""COMPUTED_VALUE"""),106.0)</f>
        <v>106</v>
      </c>
      <c r="AS40" s="278">
        <f>IFERROR(__xludf.DUMMYFUNCTION("""COMPUTED_VALUE"""),107.0)</f>
        <v>107</v>
      </c>
      <c r="AT40" s="276" t="str">
        <f>IFERROR(__xludf.DUMMYFUNCTION("""COMPUTED_VALUE"""),"範囲(特大)")</f>
        <v>範囲(特大)</v>
      </c>
      <c r="AU40" s="273">
        <f>IFERROR(__xludf.DUMMYFUNCTION("""COMPUTED_VALUE"""),2.0)</f>
        <v>2</v>
      </c>
      <c r="AV40" s="274" t="str">
        <f>IFERROR(__xludf.DUMMYFUNCTION("""COMPUTED_VALUE"""),"効果値")</f>
        <v>効果値</v>
      </c>
      <c r="AW40" s="277">
        <f>IFERROR(__xludf.DUMMYFUNCTION("""COMPUTED_VALUE"""),70.0)</f>
        <v>70</v>
      </c>
      <c r="AX40" s="277">
        <f>IFERROR(__xludf.DUMMYFUNCTION("""COMPUTED_VALUE"""),72.0)</f>
        <v>72</v>
      </c>
      <c r="AY40" s="277">
        <f>IFERROR(__xludf.DUMMYFUNCTION("""COMPUTED_VALUE"""),74.0)</f>
        <v>74</v>
      </c>
      <c r="AZ40" s="277">
        <f>IFERROR(__xludf.DUMMYFUNCTION("""COMPUTED_VALUE"""),76.0)</f>
        <v>76</v>
      </c>
      <c r="BA40" s="277">
        <f>IFERROR(__xludf.DUMMYFUNCTION("""COMPUTED_VALUE"""),78.0)</f>
        <v>78</v>
      </c>
      <c r="BB40" s="277">
        <f>IFERROR(__xludf.DUMMYFUNCTION("""COMPUTED_VALUE"""),85.0)</f>
        <v>85</v>
      </c>
      <c r="BC40" s="277">
        <f>IFERROR(__xludf.DUMMYFUNCTION("""COMPUTED_VALUE"""),96.0)</f>
        <v>96</v>
      </c>
      <c r="BD40" s="278">
        <f>IFERROR(__xludf.DUMMYFUNCTION("""COMPUTED_VALUE"""),97.0)</f>
        <v>97</v>
      </c>
      <c r="BE40" s="279" t="str">
        <f>IFERROR(__xludf.DUMMYFUNCTION("""COMPUTED_VALUE"""),"範囲(小：威力減)")</f>
        <v>範囲(小：威力減)</v>
      </c>
      <c r="BF40" s="273">
        <f>IFERROR(__xludf.DUMMYFUNCTION("""COMPUTED_VALUE"""),2.0)</f>
        <v>2</v>
      </c>
      <c r="BG40" s="274" t="str">
        <f>IFERROR(__xludf.DUMMYFUNCTION("""COMPUTED_VALUE"""),"効果値")</f>
        <v>効果値</v>
      </c>
      <c r="BH40" s="277">
        <f>IFERROR(__xludf.DUMMYFUNCTION("""COMPUTED_VALUE"""),70.0)</f>
        <v>70</v>
      </c>
      <c r="BI40" s="277">
        <f>IFERROR(__xludf.DUMMYFUNCTION("""COMPUTED_VALUE"""),72.0)</f>
        <v>72</v>
      </c>
      <c r="BJ40" s="277">
        <f>IFERROR(__xludf.DUMMYFUNCTION("""COMPUTED_VALUE"""),74.0)</f>
        <v>74</v>
      </c>
      <c r="BK40" s="277">
        <f>IFERROR(__xludf.DUMMYFUNCTION("""COMPUTED_VALUE"""),76.0)</f>
        <v>76</v>
      </c>
      <c r="BL40" s="277">
        <f>IFERROR(__xludf.DUMMYFUNCTION("""COMPUTED_VALUE"""),78.0)</f>
        <v>78</v>
      </c>
      <c r="BM40" s="277">
        <f>IFERROR(__xludf.DUMMYFUNCTION("""COMPUTED_VALUE"""),85.0)</f>
        <v>85</v>
      </c>
      <c r="BN40" s="277">
        <f>IFERROR(__xludf.DUMMYFUNCTION("""COMPUTED_VALUE"""),96.0)</f>
        <v>96</v>
      </c>
      <c r="BO40" s="278">
        <f>IFERROR(__xludf.DUMMYFUNCTION("""COMPUTED_VALUE"""),97.0)</f>
        <v>97</v>
      </c>
    </row>
    <row r="41">
      <c r="A41" s="293" t="str">
        <f>IFERROR(__xludf.DUMMYFUNCTION("""COMPUTED_VALUE"""),"連続攻撃")</f>
        <v>連続攻撃</v>
      </c>
      <c r="B41" s="272" t="str">
        <f>IFERROR(__xludf.DUMMYFUNCTION("""COMPUTED_VALUE"""),"単体")</f>
        <v>単体</v>
      </c>
      <c r="C41" s="273">
        <f>IFERROR(__xludf.DUMMYFUNCTION("""COMPUTED_VALUE"""),3.0)</f>
        <v>3</v>
      </c>
      <c r="D41" s="274" t="str">
        <f>IFERROR(__xludf.DUMMYFUNCTION("""COMPUTED_VALUE"""),"効果値")</f>
        <v>効果値</v>
      </c>
      <c r="E41" s="275">
        <f>IFERROR(__xludf.DUMMYFUNCTION("""COMPUTED_VALUE"""),153.0)</f>
        <v>153</v>
      </c>
      <c r="F41" s="275">
        <f>IFERROR(__xludf.DUMMYFUNCTION("""COMPUTED_VALUE"""),157.0)</f>
        <v>157</v>
      </c>
      <c r="G41" s="275">
        <f>IFERROR(__xludf.DUMMYFUNCTION("""COMPUTED_VALUE"""),160.0)</f>
        <v>160</v>
      </c>
      <c r="H41" s="275">
        <f>IFERROR(__xludf.DUMMYFUNCTION("""COMPUTED_VALUE"""),163.0)</f>
        <v>163</v>
      </c>
      <c r="I41" s="275">
        <f>IFERROR(__xludf.DUMMYFUNCTION("""COMPUTED_VALUE"""),167.0)</f>
        <v>167</v>
      </c>
      <c r="J41" s="275">
        <f>IFERROR(__xludf.DUMMYFUNCTION("""COMPUTED_VALUE"""),183.0)</f>
        <v>183</v>
      </c>
      <c r="K41" s="275">
        <f>IFERROR(__xludf.DUMMYFUNCTION("""COMPUTED_VALUE"""),207.0)</f>
        <v>207</v>
      </c>
      <c r="L41" s="275">
        <f>IFERROR(__xludf.DUMMYFUNCTION("""COMPUTED_VALUE"""),210.0)</f>
        <v>210</v>
      </c>
      <c r="M41" s="276" t="str">
        <f>IFERROR(__xludf.DUMMYFUNCTION("""COMPUTED_VALUE"""),"範囲(小)")</f>
        <v>範囲(小)</v>
      </c>
      <c r="N41" s="273">
        <f>IFERROR(__xludf.DUMMYFUNCTION("""COMPUTED_VALUE"""),3.0)</f>
        <v>3</v>
      </c>
      <c r="O41" s="274" t="str">
        <f>IFERROR(__xludf.DUMMYFUNCTION("""COMPUTED_VALUE"""),"効果値")</f>
        <v>効果値</v>
      </c>
      <c r="P41" s="277">
        <f>IFERROR(__xludf.DUMMYFUNCTION("""COMPUTED_VALUE"""),115.0)</f>
        <v>115</v>
      </c>
      <c r="Q41" s="277">
        <f>IFERROR(__xludf.DUMMYFUNCTION("""COMPUTED_VALUE"""),117.0)</f>
        <v>117</v>
      </c>
      <c r="R41" s="277">
        <f>IFERROR(__xludf.DUMMYFUNCTION("""COMPUTED_VALUE"""),120.0)</f>
        <v>120</v>
      </c>
      <c r="S41" s="277">
        <f>IFERROR(__xludf.DUMMYFUNCTION("""COMPUTED_VALUE"""),122.0)</f>
        <v>122</v>
      </c>
      <c r="T41" s="277">
        <f>IFERROR(__xludf.DUMMYFUNCTION("""COMPUTED_VALUE"""),125.0)</f>
        <v>125</v>
      </c>
      <c r="U41" s="277">
        <f>IFERROR(__xludf.DUMMYFUNCTION("""COMPUTED_VALUE"""),137.0)</f>
        <v>137</v>
      </c>
      <c r="V41" s="277">
        <f>IFERROR(__xludf.DUMMYFUNCTION("""COMPUTED_VALUE"""),155.0)</f>
        <v>155</v>
      </c>
      <c r="W41" s="278">
        <f>IFERROR(__xludf.DUMMYFUNCTION("""COMPUTED_VALUE"""),157.0)</f>
        <v>157</v>
      </c>
      <c r="X41" s="276" t="str">
        <f>IFERROR(__xludf.DUMMYFUNCTION("""COMPUTED_VALUE"""),"範囲(中)")</f>
        <v>範囲(中)</v>
      </c>
      <c r="Y41" s="273">
        <f>IFERROR(__xludf.DUMMYFUNCTION("""COMPUTED_VALUE"""),3.0)</f>
        <v>3</v>
      </c>
      <c r="Z41" s="274" t="str">
        <f>IFERROR(__xludf.DUMMYFUNCTION("""COMPUTED_VALUE"""),"効果値")</f>
        <v>効果値</v>
      </c>
      <c r="AA41" s="277">
        <f>IFERROR(__xludf.DUMMYFUNCTION("""COMPUTED_VALUE"""),100.0)</f>
        <v>100</v>
      </c>
      <c r="AB41" s="277">
        <f>IFERROR(__xludf.DUMMYFUNCTION("""COMPUTED_VALUE"""),102.0)</f>
        <v>102</v>
      </c>
      <c r="AC41" s="277">
        <f>IFERROR(__xludf.DUMMYFUNCTION("""COMPUTED_VALUE"""),104.0)</f>
        <v>104</v>
      </c>
      <c r="AD41" s="277">
        <f>IFERROR(__xludf.DUMMYFUNCTION("""COMPUTED_VALUE"""),106.0)</f>
        <v>106</v>
      </c>
      <c r="AE41" s="277">
        <f>IFERROR(__xludf.DUMMYFUNCTION("""COMPUTED_VALUE"""),108.0)</f>
        <v>108</v>
      </c>
      <c r="AF41" s="277">
        <f>IFERROR(__xludf.DUMMYFUNCTION("""COMPUTED_VALUE"""),119.0)</f>
        <v>119</v>
      </c>
      <c r="AG41" s="277">
        <f>IFERROR(__xludf.DUMMYFUNCTION("""COMPUTED_VALUE"""),134.0)</f>
        <v>134</v>
      </c>
      <c r="AH41" s="278">
        <f>IFERROR(__xludf.DUMMYFUNCTION("""COMPUTED_VALUE"""),136.0)</f>
        <v>136</v>
      </c>
      <c r="AI41" s="276" t="str">
        <f>IFERROR(__xludf.DUMMYFUNCTION("""COMPUTED_VALUE"""),"範囲(大)")</f>
        <v>範囲(大)</v>
      </c>
      <c r="AJ41" s="273">
        <f>IFERROR(__xludf.DUMMYFUNCTION("""COMPUTED_VALUE"""),3.0)</f>
        <v>3</v>
      </c>
      <c r="AK41" s="274" t="str">
        <f>IFERROR(__xludf.DUMMYFUNCTION("""COMPUTED_VALUE"""),"効果値")</f>
        <v>効果値</v>
      </c>
      <c r="AL41" s="277">
        <f>IFERROR(__xludf.DUMMYFUNCTION("""COMPUTED_VALUE"""),84.0)</f>
        <v>84</v>
      </c>
      <c r="AM41" s="277">
        <f>IFERROR(__xludf.DUMMYFUNCTION("""COMPUTED_VALUE"""),86.0)</f>
        <v>86</v>
      </c>
      <c r="AN41" s="277">
        <f>IFERROR(__xludf.DUMMYFUNCTION("""COMPUTED_VALUE"""),88.0)</f>
        <v>88</v>
      </c>
      <c r="AO41" s="277">
        <f>IFERROR(__xludf.DUMMYFUNCTION("""COMPUTED_VALUE"""),90.0)</f>
        <v>90</v>
      </c>
      <c r="AP41" s="277">
        <f>IFERROR(__xludf.DUMMYFUNCTION("""COMPUTED_VALUE"""),92.0)</f>
        <v>92</v>
      </c>
      <c r="AQ41" s="277">
        <f>IFERROR(__xludf.DUMMYFUNCTION("""COMPUTED_VALUE"""),101.0)</f>
        <v>101</v>
      </c>
      <c r="AR41" s="277">
        <f>IFERROR(__xludf.DUMMYFUNCTION("""COMPUTED_VALUE"""),114.0)</f>
        <v>114</v>
      </c>
      <c r="AS41" s="278">
        <f>IFERROR(__xludf.DUMMYFUNCTION("""COMPUTED_VALUE"""),115.0)</f>
        <v>115</v>
      </c>
      <c r="AT41" s="276" t="str">
        <f>IFERROR(__xludf.DUMMYFUNCTION("""COMPUTED_VALUE"""),"範囲(特大)")</f>
        <v>範囲(特大)</v>
      </c>
      <c r="AU41" s="273">
        <f>IFERROR(__xludf.DUMMYFUNCTION("""COMPUTED_VALUE"""),3.0)</f>
        <v>3</v>
      </c>
      <c r="AV41" s="274" t="str">
        <f>IFERROR(__xludf.DUMMYFUNCTION("""COMPUTED_VALUE"""),"効果値")</f>
        <v>効果値</v>
      </c>
      <c r="AW41" s="277">
        <f>IFERROR(__xludf.DUMMYFUNCTION("""COMPUTED_VALUE"""),77.0)</f>
        <v>77</v>
      </c>
      <c r="AX41" s="277">
        <f>IFERROR(__xludf.DUMMYFUNCTION("""COMPUTED_VALUE"""),78.0)</f>
        <v>78</v>
      </c>
      <c r="AY41" s="277">
        <f>IFERROR(__xludf.DUMMYFUNCTION("""COMPUTED_VALUE"""),80.0)</f>
        <v>80</v>
      </c>
      <c r="AZ41" s="277">
        <f>IFERROR(__xludf.DUMMYFUNCTION("""COMPUTED_VALUE"""),82.0)</f>
        <v>82</v>
      </c>
      <c r="BA41" s="277">
        <f>IFERROR(__xludf.DUMMYFUNCTION("""COMPUTED_VALUE"""),83.0)</f>
        <v>83</v>
      </c>
      <c r="BB41" s="277">
        <f>IFERROR(__xludf.DUMMYFUNCTION("""COMPUTED_VALUE"""),92.0)</f>
        <v>92</v>
      </c>
      <c r="BC41" s="277">
        <f>IFERROR(__xludf.DUMMYFUNCTION("""COMPUTED_VALUE"""),103.0)</f>
        <v>103</v>
      </c>
      <c r="BD41" s="278">
        <f>IFERROR(__xludf.DUMMYFUNCTION("""COMPUTED_VALUE"""),105.0)</f>
        <v>105</v>
      </c>
      <c r="BE41" s="279" t="str">
        <f>IFERROR(__xludf.DUMMYFUNCTION("""COMPUTED_VALUE"""),"範囲(小：威力減)")</f>
        <v>範囲(小：威力減)</v>
      </c>
      <c r="BF41" s="273">
        <f>IFERROR(__xludf.DUMMYFUNCTION("""COMPUTED_VALUE"""),3.0)</f>
        <v>3</v>
      </c>
      <c r="BG41" s="274" t="str">
        <f>IFERROR(__xludf.DUMMYFUNCTION("""COMPUTED_VALUE"""),"効果値")</f>
        <v>効果値</v>
      </c>
      <c r="BH41" s="277">
        <f>IFERROR(__xludf.DUMMYFUNCTION("""COMPUTED_VALUE"""),77.0)</f>
        <v>77</v>
      </c>
      <c r="BI41" s="277">
        <f>IFERROR(__xludf.DUMMYFUNCTION("""COMPUTED_VALUE"""),78.0)</f>
        <v>78</v>
      </c>
      <c r="BJ41" s="277">
        <f>IFERROR(__xludf.DUMMYFUNCTION("""COMPUTED_VALUE"""),80.0)</f>
        <v>80</v>
      </c>
      <c r="BK41" s="277">
        <f>IFERROR(__xludf.DUMMYFUNCTION("""COMPUTED_VALUE"""),82.0)</f>
        <v>82</v>
      </c>
      <c r="BL41" s="277">
        <f>IFERROR(__xludf.DUMMYFUNCTION("""COMPUTED_VALUE"""),83.0)</f>
        <v>83</v>
      </c>
      <c r="BM41" s="277">
        <f>IFERROR(__xludf.DUMMYFUNCTION("""COMPUTED_VALUE"""),92.0)</f>
        <v>92</v>
      </c>
      <c r="BN41" s="277">
        <f>IFERROR(__xludf.DUMMYFUNCTION("""COMPUTED_VALUE"""),103.0)</f>
        <v>103</v>
      </c>
      <c r="BO41" s="278">
        <f>IFERROR(__xludf.DUMMYFUNCTION("""COMPUTED_VALUE"""),105.0)</f>
        <v>105</v>
      </c>
    </row>
    <row r="42">
      <c r="A42" s="271" t="str">
        <f>IFERROR(__xludf.DUMMYFUNCTION("""COMPUTED_VALUE"""),"連続攻撃")</f>
        <v>連続攻撃</v>
      </c>
      <c r="B42" s="272" t="str">
        <f>IFERROR(__xludf.DUMMYFUNCTION("""COMPUTED_VALUE"""),"単体")</f>
        <v>単体</v>
      </c>
      <c r="C42" s="273">
        <f>IFERROR(__xludf.DUMMYFUNCTION("""COMPUTED_VALUE"""),4.0)</f>
        <v>4</v>
      </c>
      <c r="D42" s="274" t="str">
        <f>IFERROR(__xludf.DUMMYFUNCTION("""COMPUTED_VALUE"""),"効果値")</f>
        <v>効果値</v>
      </c>
      <c r="E42" s="275">
        <f>IFERROR(__xludf.DUMMYFUNCTION("""COMPUTED_VALUE"""),163.0)</f>
        <v>163</v>
      </c>
      <c r="F42" s="275">
        <f>IFERROR(__xludf.DUMMYFUNCTION("""COMPUTED_VALUE"""),166.0)</f>
        <v>166</v>
      </c>
      <c r="G42" s="275">
        <f>IFERROR(__xludf.DUMMYFUNCTION("""COMPUTED_VALUE"""),169.0)</f>
        <v>169</v>
      </c>
      <c r="H42" s="275">
        <f>IFERROR(__xludf.DUMMYFUNCTION("""COMPUTED_VALUE"""),172.0)</f>
        <v>172</v>
      </c>
      <c r="I42" s="275">
        <f>IFERROR(__xludf.DUMMYFUNCTION("""COMPUTED_VALUE"""),175.0)</f>
        <v>175</v>
      </c>
      <c r="J42" s="275">
        <f>IFERROR(__xludf.DUMMYFUNCTION("""COMPUTED_VALUE"""),193.0)</f>
        <v>193</v>
      </c>
      <c r="K42" s="275">
        <f>IFERROR(__xludf.DUMMYFUNCTION("""COMPUTED_VALUE"""),218.0)</f>
        <v>218</v>
      </c>
      <c r="L42" s="275">
        <f>IFERROR(__xludf.DUMMYFUNCTION("""COMPUTED_VALUE"""),222.0)</f>
        <v>222</v>
      </c>
      <c r="M42" s="276" t="str">
        <f>IFERROR(__xludf.DUMMYFUNCTION("""COMPUTED_VALUE"""),"範囲(小)")</f>
        <v>範囲(小)</v>
      </c>
      <c r="N42" s="273">
        <f>IFERROR(__xludf.DUMMYFUNCTION("""COMPUTED_VALUE"""),4.0)</f>
        <v>4</v>
      </c>
      <c r="O42" s="274" t="str">
        <f>IFERROR(__xludf.DUMMYFUNCTION("""COMPUTED_VALUE"""),"効果値")</f>
        <v>効果値</v>
      </c>
      <c r="P42" s="277">
        <f>IFERROR(__xludf.DUMMYFUNCTION("""COMPUTED_VALUE"""),122.0)</f>
        <v>122</v>
      </c>
      <c r="Q42" s="277">
        <f>IFERROR(__xludf.DUMMYFUNCTION("""COMPUTED_VALUE"""),125.0)</f>
        <v>125</v>
      </c>
      <c r="R42" s="277">
        <f>IFERROR(__xludf.DUMMYFUNCTION("""COMPUTED_VALUE"""),127.0)</f>
        <v>127</v>
      </c>
      <c r="S42" s="277">
        <f>IFERROR(__xludf.DUMMYFUNCTION("""COMPUTED_VALUE"""),129.0)</f>
        <v>129</v>
      </c>
      <c r="T42" s="277">
        <f>IFERROR(__xludf.DUMMYFUNCTION("""COMPUTED_VALUE"""),131.0)</f>
        <v>131</v>
      </c>
      <c r="U42" s="277">
        <f>IFERROR(__xludf.DUMMYFUNCTION("""COMPUTED_VALUE"""),145.0)</f>
        <v>145</v>
      </c>
      <c r="V42" s="277">
        <f>IFERROR(__xludf.DUMMYFUNCTION("""COMPUTED_VALUE"""),163.0)</f>
        <v>163</v>
      </c>
      <c r="W42" s="278">
        <f>IFERROR(__xludf.DUMMYFUNCTION("""COMPUTED_VALUE"""),166.0)</f>
        <v>166</v>
      </c>
      <c r="X42" s="276" t="str">
        <f>IFERROR(__xludf.DUMMYFUNCTION("""COMPUTED_VALUE"""),"範囲(中)")</f>
        <v>範囲(中)</v>
      </c>
      <c r="Y42" s="273">
        <f>IFERROR(__xludf.DUMMYFUNCTION("""COMPUTED_VALUE"""),4.0)</f>
        <v>4</v>
      </c>
      <c r="Z42" s="274" t="str">
        <f>IFERROR(__xludf.DUMMYFUNCTION("""COMPUTED_VALUE"""),"効果値")</f>
        <v>効果値</v>
      </c>
      <c r="AA42" s="277">
        <f>IFERROR(__xludf.DUMMYFUNCTION("""COMPUTED_VALUE"""),106.0)</f>
        <v>106</v>
      </c>
      <c r="AB42" s="277">
        <f>IFERROR(__xludf.DUMMYFUNCTION("""COMPUTED_VALUE"""),108.0)</f>
        <v>108</v>
      </c>
      <c r="AC42" s="277">
        <f>IFERROR(__xludf.DUMMYFUNCTION("""COMPUTED_VALUE"""),110.0)</f>
        <v>110</v>
      </c>
      <c r="AD42" s="277">
        <f>IFERROR(__xludf.DUMMYFUNCTION("""COMPUTED_VALUE"""),112.0)</f>
        <v>112</v>
      </c>
      <c r="AE42" s="277">
        <f>IFERROR(__xludf.DUMMYFUNCTION("""COMPUTED_VALUE"""),114.0)</f>
        <v>114</v>
      </c>
      <c r="AF42" s="277">
        <f>IFERROR(__xludf.DUMMYFUNCTION("""COMPUTED_VALUE"""),126.0)</f>
        <v>126</v>
      </c>
      <c r="AG42" s="277">
        <f>IFERROR(__xludf.DUMMYFUNCTION("""COMPUTED_VALUE"""),141.0)</f>
        <v>141</v>
      </c>
      <c r="AH42" s="278">
        <f>IFERROR(__xludf.DUMMYFUNCTION("""COMPUTED_VALUE"""),144.0)</f>
        <v>144</v>
      </c>
      <c r="AI42" s="276" t="str">
        <f>IFERROR(__xludf.DUMMYFUNCTION("""COMPUTED_VALUE"""),"範囲(大)")</f>
        <v>範囲(大)</v>
      </c>
      <c r="AJ42" s="273">
        <f>IFERROR(__xludf.DUMMYFUNCTION("""COMPUTED_VALUE"""),4.0)</f>
        <v>4</v>
      </c>
      <c r="AK42" s="274" t="str">
        <f>IFERROR(__xludf.DUMMYFUNCTION("""COMPUTED_VALUE"""),"効果値")</f>
        <v>効果値</v>
      </c>
      <c r="AL42" s="277">
        <f>IFERROR(__xludf.DUMMYFUNCTION("""COMPUTED_VALUE"""),90.0)</f>
        <v>90</v>
      </c>
      <c r="AM42" s="277">
        <f>IFERROR(__xludf.DUMMYFUNCTION("""COMPUTED_VALUE"""),91.0)</f>
        <v>91</v>
      </c>
      <c r="AN42" s="277">
        <f>IFERROR(__xludf.DUMMYFUNCTION("""COMPUTED_VALUE"""),93.0)</f>
        <v>93</v>
      </c>
      <c r="AO42" s="277">
        <f>IFERROR(__xludf.DUMMYFUNCTION("""COMPUTED_VALUE"""),94.0)</f>
        <v>94</v>
      </c>
      <c r="AP42" s="277">
        <f>IFERROR(__xludf.DUMMYFUNCTION("""COMPUTED_VALUE"""),96.0)</f>
        <v>96</v>
      </c>
      <c r="AQ42" s="277">
        <f>IFERROR(__xludf.DUMMYFUNCTION("""COMPUTED_VALUE"""),106.0)</f>
        <v>106</v>
      </c>
      <c r="AR42" s="277">
        <f>IFERROR(__xludf.DUMMYFUNCTION("""COMPUTED_VALUE"""),120.0)</f>
        <v>120</v>
      </c>
      <c r="AS42" s="278">
        <f>IFERROR(__xludf.DUMMYFUNCTION("""COMPUTED_VALUE"""),122.0)</f>
        <v>122</v>
      </c>
      <c r="AT42" s="276" t="str">
        <f>IFERROR(__xludf.DUMMYFUNCTION("""COMPUTED_VALUE"""),"範囲(特大)")</f>
        <v>範囲(特大)</v>
      </c>
      <c r="AU42" s="273">
        <f>IFERROR(__xludf.DUMMYFUNCTION("""COMPUTED_VALUE"""),4.0)</f>
        <v>4</v>
      </c>
      <c r="AV42" s="274" t="str">
        <f>IFERROR(__xludf.DUMMYFUNCTION("""COMPUTED_VALUE"""),"効果値")</f>
        <v>効果値</v>
      </c>
      <c r="AW42" s="277">
        <f>IFERROR(__xludf.DUMMYFUNCTION("""COMPUTED_VALUE"""),82.0)</f>
        <v>82</v>
      </c>
      <c r="AX42" s="277">
        <f>IFERROR(__xludf.DUMMYFUNCTION("""COMPUTED_VALUE"""),83.0)</f>
        <v>83</v>
      </c>
      <c r="AY42" s="277">
        <f>IFERROR(__xludf.DUMMYFUNCTION("""COMPUTED_VALUE"""),84.0)</f>
        <v>84</v>
      </c>
      <c r="AZ42" s="277">
        <f>IFERROR(__xludf.DUMMYFUNCTION("""COMPUTED_VALUE"""),86.0)</f>
        <v>86</v>
      </c>
      <c r="BA42" s="277">
        <f>IFERROR(__xludf.DUMMYFUNCTION("""COMPUTED_VALUE"""),87.0)</f>
        <v>87</v>
      </c>
      <c r="BB42" s="277">
        <f>IFERROR(__xludf.DUMMYFUNCTION("""COMPUTED_VALUE"""),97.0)</f>
        <v>97</v>
      </c>
      <c r="BC42" s="277">
        <f>IFERROR(__xludf.DUMMYFUNCTION("""COMPUTED_VALUE"""),109.0)</f>
        <v>109</v>
      </c>
      <c r="BD42" s="278">
        <f>IFERROR(__xludf.DUMMYFUNCTION("""COMPUTED_VALUE"""),111.0)</f>
        <v>111</v>
      </c>
      <c r="BE42" s="279" t="str">
        <f>IFERROR(__xludf.DUMMYFUNCTION("""COMPUTED_VALUE"""),"範囲(小：威力減)")</f>
        <v>範囲(小：威力減)</v>
      </c>
      <c r="BF42" s="273">
        <f>IFERROR(__xludf.DUMMYFUNCTION("""COMPUTED_VALUE"""),4.0)</f>
        <v>4</v>
      </c>
      <c r="BG42" s="274" t="str">
        <f>IFERROR(__xludf.DUMMYFUNCTION("""COMPUTED_VALUE"""),"効果値")</f>
        <v>効果値</v>
      </c>
      <c r="BH42" s="277">
        <f>IFERROR(__xludf.DUMMYFUNCTION("""COMPUTED_VALUE"""),82.0)</f>
        <v>82</v>
      </c>
      <c r="BI42" s="277">
        <f>IFERROR(__xludf.DUMMYFUNCTION("""COMPUTED_VALUE"""),83.0)</f>
        <v>83</v>
      </c>
      <c r="BJ42" s="277">
        <f>IFERROR(__xludf.DUMMYFUNCTION("""COMPUTED_VALUE"""),84.0)</f>
        <v>84</v>
      </c>
      <c r="BK42" s="277">
        <f>IFERROR(__xludf.DUMMYFUNCTION("""COMPUTED_VALUE"""),86.0)</f>
        <v>86</v>
      </c>
      <c r="BL42" s="277">
        <f>IFERROR(__xludf.DUMMYFUNCTION("""COMPUTED_VALUE"""),87.0)</f>
        <v>87</v>
      </c>
      <c r="BM42" s="277">
        <f>IFERROR(__xludf.DUMMYFUNCTION("""COMPUTED_VALUE"""),97.0)</f>
        <v>97</v>
      </c>
      <c r="BN42" s="277">
        <f>IFERROR(__xludf.DUMMYFUNCTION("""COMPUTED_VALUE"""),109.0)</f>
        <v>109</v>
      </c>
      <c r="BO42" s="278">
        <f>IFERROR(__xludf.DUMMYFUNCTION("""COMPUTED_VALUE"""),111.0)</f>
        <v>111</v>
      </c>
    </row>
    <row r="43">
      <c r="A43" s="271" t="str">
        <f>IFERROR(__xludf.DUMMYFUNCTION("""COMPUTED_VALUE"""),"連続攻撃")</f>
        <v>連続攻撃</v>
      </c>
      <c r="B43" s="272" t="str">
        <f>IFERROR(__xludf.DUMMYFUNCTION("""COMPUTED_VALUE"""),"単体")</f>
        <v>単体</v>
      </c>
      <c r="C43" s="283">
        <f>IFERROR(__xludf.DUMMYFUNCTION("""COMPUTED_VALUE"""),5.0)</f>
        <v>5</v>
      </c>
      <c r="D43" s="284" t="str">
        <f>IFERROR(__xludf.DUMMYFUNCTION("""COMPUTED_VALUE"""),"効果値")</f>
        <v>効果値</v>
      </c>
      <c r="E43" s="285">
        <f>IFERROR(__xludf.DUMMYFUNCTION("""COMPUTED_VALUE"""),170.0)</f>
        <v>170</v>
      </c>
      <c r="F43" s="287">
        <f>IFERROR(__xludf.DUMMYFUNCTION("""COMPUTED_VALUE"""),173.0)</f>
        <v>173</v>
      </c>
      <c r="G43" s="287">
        <f>IFERROR(__xludf.DUMMYFUNCTION("""COMPUTED_VALUE"""),175.0)</f>
        <v>175</v>
      </c>
      <c r="H43" s="287">
        <f>IFERROR(__xludf.DUMMYFUNCTION("""COMPUTED_VALUE"""),178.0)</f>
        <v>178</v>
      </c>
      <c r="I43" s="287">
        <f>IFERROR(__xludf.DUMMYFUNCTION("""COMPUTED_VALUE"""),180.0)</f>
        <v>180</v>
      </c>
      <c r="J43" s="287">
        <f>IFERROR(__xludf.DUMMYFUNCTION("""COMPUTED_VALUE"""),200.0)</f>
        <v>200</v>
      </c>
      <c r="K43" s="287">
        <f>IFERROR(__xludf.DUMMYFUNCTION("""COMPUTED_VALUE"""),225.0)</f>
        <v>225</v>
      </c>
      <c r="L43" s="288">
        <f>IFERROR(__xludf.DUMMYFUNCTION("""COMPUTED_VALUE"""),230.0)</f>
        <v>230</v>
      </c>
      <c r="M43" s="276" t="str">
        <f>IFERROR(__xludf.DUMMYFUNCTION("""COMPUTED_VALUE"""),"範囲(小)")</f>
        <v>範囲(小)</v>
      </c>
      <c r="N43" s="283">
        <f>IFERROR(__xludf.DUMMYFUNCTION("""COMPUTED_VALUE"""),5.0)</f>
        <v>5</v>
      </c>
      <c r="O43" s="284" t="str">
        <f>IFERROR(__xludf.DUMMYFUNCTION("""COMPUTED_VALUE"""),"効果値")</f>
        <v>効果値</v>
      </c>
      <c r="P43" s="289">
        <f>IFERROR(__xludf.DUMMYFUNCTION("""COMPUTED_VALUE"""),128.0)</f>
        <v>128</v>
      </c>
      <c r="Q43" s="289">
        <f>IFERROR(__xludf.DUMMYFUNCTION("""COMPUTED_VALUE"""),129.0)</f>
        <v>129</v>
      </c>
      <c r="R43" s="289">
        <f>IFERROR(__xludf.DUMMYFUNCTION("""COMPUTED_VALUE"""),131.0)</f>
        <v>131</v>
      </c>
      <c r="S43" s="289">
        <f>IFERROR(__xludf.DUMMYFUNCTION("""COMPUTED_VALUE"""),133.0)</f>
        <v>133</v>
      </c>
      <c r="T43" s="289">
        <f>IFERROR(__xludf.DUMMYFUNCTION("""COMPUTED_VALUE"""),135.0)</f>
        <v>135</v>
      </c>
      <c r="U43" s="289">
        <f>IFERROR(__xludf.DUMMYFUNCTION("""COMPUTED_VALUE"""),150.0)</f>
        <v>150</v>
      </c>
      <c r="V43" s="289">
        <f>IFERROR(__xludf.DUMMYFUNCTION("""COMPUTED_VALUE"""),169.0)</f>
        <v>169</v>
      </c>
      <c r="W43" s="290">
        <f>IFERROR(__xludf.DUMMYFUNCTION("""COMPUTED_VALUE"""),173.0)</f>
        <v>173</v>
      </c>
      <c r="X43" s="276" t="str">
        <f>IFERROR(__xludf.DUMMYFUNCTION("""COMPUTED_VALUE"""),"範囲(中)")</f>
        <v>範囲(中)</v>
      </c>
      <c r="Y43" s="283">
        <f>IFERROR(__xludf.DUMMYFUNCTION("""COMPUTED_VALUE"""),5.0)</f>
        <v>5</v>
      </c>
      <c r="Z43" s="284" t="str">
        <f>IFERROR(__xludf.DUMMYFUNCTION("""COMPUTED_VALUE"""),"効果値")</f>
        <v>効果値</v>
      </c>
      <c r="AA43" s="289">
        <f>IFERROR(__xludf.DUMMYFUNCTION("""COMPUTED_VALUE"""),111.0)</f>
        <v>111</v>
      </c>
      <c r="AB43" s="289">
        <f>IFERROR(__xludf.DUMMYFUNCTION("""COMPUTED_VALUE"""),112.0)</f>
        <v>112</v>
      </c>
      <c r="AC43" s="289">
        <f>IFERROR(__xludf.DUMMYFUNCTION("""COMPUTED_VALUE"""),114.0)</f>
        <v>114</v>
      </c>
      <c r="AD43" s="289">
        <f>IFERROR(__xludf.DUMMYFUNCTION("""COMPUTED_VALUE"""),115.0)</f>
        <v>115</v>
      </c>
      <c r="AE43" s="289">
        <f>IFERROR(__xludf.DUMMYFUNCTION("""COMPUTED_VALUE"""),117.0)</f>
        <v>117</v>
      </c>
      <c r="AF43" s="289">
        <f>IFERROR(__xludf.DUMMYFUNCTION("""COMPUTED_VALUE"""),130.0)</f>
        <v>130</v>
      </c>
      <c r="AG43" s="289">
        <f>IFERROR(__xludf.DUMMYFUNCTION("""COMPUTED_VALUE"""),146.0)</f>
        <v>146</v>
      </c>
      <c r="AH43" s="290">
        <f>IFERROR(__xludf.DUMMYFUNCTION("""COMPUTED_VALUE"""),150.0)</f>
        <v>150</v>
      </c>
      <c r="AI43" s="276" t="str">
        <f>IFERROR(__xludf.DUMMYFUNCTION("""COMPUTED_VALUE"""),"範囲(大)")</f>
        <v>範囲(大)</v>
      </c>
      <c r="AJ43" s="283">
        <f>IFERROR(__xludf.DUMMYFUNCTION("""COMPUTED_VALUE"""),5.0)</f>
        <v>5</v>
      </c>
      <c r="AK43" s="284" t="str">
        <f>IFERROR(__xludf.DUMMYFUNCTION("""COMPUTED_VALUE"""),"効果値")</f>
        <v>効果値</v>
      </c>
      <c r="AL43" s="289">
        <f>IFERROR(__xludf.DUMMYFUNCTION("""COMPUTED_VALUE"""),94.0)</f>
        <v>94</v>
      </c>
      <c r="AM43" s="289">
        <f>IFERROR(__xludf.DUMMYFUNCTION("""COMPUTED_VALUE"""),95.0)</f>
        <v>95</v>
      </c>
      <c r="AN43" s="289">
        <f>IFERROR(__xludf.DUMMYFUNCTION("""COMPUTED_VALUE"""),96.0)</f>
        <v>96</v>
      </c>
      <c r="AO43" s="289">
        <f>IFERROR(__xludf.DUMMYFUNCTION("""COMPUTED_VALUE"""),98.0)</f>
        <v>98</v>
      </c>
      <c r="AP43" s="289">
        <f>IFERROR(__xludf.DUMMYFUNCTION("""COMPUTED_VALUE"""),99.0)</f>
        <v>99</v>
      </c>
      <c r="AQ43" s="289">
        <f>IFERROR(__xludf.DUMMYFUNCTION("""COMPUTED_VALUE"""),110.0)</f>
        <v>110</v>
      </c>
      <c r="AR43" s="289">
        <f>IFERROR(__xludf.DUMMYFUNCTION("""COMPUTED_VALUE"""),124.0)</f>
        <v>124</v>
      </c>
      <c r="AS43" s="290">
        <f>IFERROR(__xludf.DUMMYFUNCTION("""COMPUTED_VALUE"""),127.0)</f>
        <v>127</v>
      </c>
      <c r="AT43" s="276" t="str">
        <f>IFERROR(__xludf.DUMMYFUNCTION("""COMPUTED_VALUE"""),"範囲(特大)")</f>
        <v>範囲(特大)</v>
      </c>
      <c r="AU43" s="283">
        <f>IFERROR(__xludf.DUMMYFUNCTION("""COMPUTED_VALUE"""),5.0)</f>
        <v>5</v>
      </c>
      <c r="AV43" s="284" t="str">
        <f>IFERROR(__xludf.DUMMYFUNCTION("""COMPUTED_VALUE"""),"効果値")</f>
        <v>効果値</v>
      </c>
      <c r="AW43" s="289">
        <f>IFERROR(__xludf.DUMMYFUNCTION("""COMPUTED_VALUE"""),85.0)</f>
        <v>85</v>
      </c>
      <c r="AX43" s="289">
        <f>IFERROR(__xludf.DUMMYFUNCTION("""COMPUTED_VALUE"""),86.0)</f>
        <v>86</v>
      </c>
      <c r="AY43" s="289">
        <f>IFERROR(__xludf.DUMMYFUNCTION("""COMPUTED_VALUE"""),88.0)</f>
        <v>88</v>
      </c>
      <c r="AZ43" s="289">
        <f>IFERROR(__xludf.DUMMYFUNCTION("""COMPUTED_VALUE"""),89.0)</f>
        <v>89</v>
      </c>
      <c r="BA43" s="289">
        <f>IFERROR(__xludf.DUMMYFUNCTION("""COMPUTED_VALUE"""),90.0)</f>
        <v>90</v>
      </c>
      <c r="BB43" s="289">
        <f>IFERROR(__xludf.DUMMYFUNCTION("""COMPUTED_VALUE"""),100.0)</f>
        <v>100</v>
      </c>
      <c r="BC43" s="289">
        <f>IFERROR(__xludf.DUMMYFUNCTION("""COMPUTED_VALUE"""),113.0)</f>
        <v>113</v>
      </c>
      <c r="BD43" s="290">
        <f>IFERROR(__xludf.DUMMYFUNCTION("""COMPUTED_VALUE"""),115.0)</f>
        <v>115</v>
      </c>
      <c r="BE43" s="279" t="str">
        <f>IFERROR(__xludf.DUMMYFUNCTION("""COMPUTED_VALUE"""),"範囲(小：威力減)")</f>
        <v>範囲(小：威力減)</v>
      </c>
      <c r="BF43" s="283">
        <f>IFERROR(__xludf.DUMMYFUNCTION("""COMPUTED_VALUE"""),5.0)</f>
        <v>5</v>
      </c>
      <c r="BG43" s="284" t="str">
        <f>IFERROR(__xludf.DUMMYFUNCTION("""COMPUTED_VALUE"""),"効果値")</f>
        <v>効果値</v>
      </c>
      <c r="BH43" s="289">
        <f>IFERROR(__xludf.DUMMYFUNCTION("""COMPUTED_VALUE"""),85.0)</f>
        <v>85</v>
      </c>
      <c r="BI43" s="289">
        <f>IFERROR(__xludf.DUMMYFUNCTION("""COMPUTED_VALUE"""),86.0)</f>
        <v>86</v>
      </c>
      <c r="BJ43" s="289">
        <f>IFERROR(__xludf.DUMMYFUNCTION("""COMPUTED_VALUE"""),88.0)</f>
        <v>88</v>
      </c>
      <c r="BK43" s="289">
        <f>IFERROR(__xludf.DUMMYFUNCTION("""COMPUTED_VALUE"""),89.0)</f>
        <v>89</v>
      </c>
      <c r="BL43" s="289">
        <f>IFERROR(__xludf.DUMMYFUNCTION("""COMPUTED_VALUE"""),90.0)</f>
        <v>90</v>
      </c>
      <c r="BM43" s="289">
        <f>IFERROR(__xludf.DUMMYFUNCTION("""COMPUTED_VALUE"""),100.0)</f>
        <v>100</v>
      </c>
      <c r="BN43" s="289">
        <f>IFERROR(__xludf.DUMMYFUNCTION("""COMPUTED_VALUE"""),113.0)</f>
        <v>113</v>
      </c>
      <c r="BO43" s="290">
        <f>IFERROR(__xludf.DUMMYFUNCTION("""COMPUTED_VALUE"""),115.0)</f>
        <v>115</v>
      </c>
    </row>
    <row r="44">
      <c r="A44" s="259" t="str">
        <f>IFERROR(__xludf.DUMMYFUNCTION("""COMPUTED_VALUE"""),"HP吸収攻撃")</f>
        <v>HP吸収攻撃</v>
      </c>
      <c r="B44" s="260" t="str">
        <f>IFERROR(__xludf.DUMMYFUNCTION("""COMPUTED_VALUE"""),"単体")</f>
        <v>単体</v>
      </c>
      <c r="C44" s="261">
        <f>IFERROR(__xludf.DUMMYFUNCTION("""COMPUTED_VALUE"""),1.0)</f>
        <v>1</v>
      </c>
      <c r="D44" s="262" t="str">
        <f>IFERROR(__xludf.DUMMYFUNCTION("""COMPUTED_VALUE"""),"効果値")</f>
        <v>効果値</v>
      </c>
      <c r="E44" s="263">
        <f>IFERROR(__xludf.DUMMYFUNCTION("""COMPUTED_VALUE"""),5.0)</f>
        <v>5</v>
      </c>
      <c r="F44" s="265">
        <f>IFERROR(__xludf.DUMMYFUNCTION("""COMPUTED_VALUE"""),5.0)</f>
        <v>5</v>
      </c>
      <c r="G44" s="265">
        <f>IFERROR(__xludf.DUMMYFUNCTION("""COMPUTED_VALUE"""),5.0)</f>
        <v>5</v>
      </c>
      <c r="H44" s="265">
        <f>IFERROR(__xludf.DUMMYFUNCTION("""COMPUTED_VALUE"""),5.0)</f>
        <v>5</v>
      </c>
      <c r="I44" s="265">
        <f>IFERROR(__xludf.DUMMYFUNCTION("""COMPUTED_VALUE"""),5.0)</f>
        <v>5</v>
      </c>
      <c r="J44" s="265">
        <f>IFERROR(__xludf.DUMMYFUNCTION("""COMPUTED_VALUE"""),10.0)</f>
        <v>10</v>
      </c>
      <c r="K44" s="265">
        <f>IFERROR(__xludf.DUMMYFUNCTION("""COMPUTED_VALUE"""),15.0)</f>
        <v>15</v>
      </c>
      <c r="L44" s="266">
        <f>IFERROR(__xludf.DUMMYFUNCTION("""COMPUTED_VALUE"""),15.0)</f>
        <v>15</v>
      </c>
      <c r="M44" s="267" t="str">
        <f>IFERROR(__xludf.DUMMYFUNCTION("""COMPUTED_VALUE"""),"範囲(小)")</f>
        <v>範囲(小)</v>
      </c>
      <c r="N44" s="261">
        <f>IFERROR(__xludf.DUMMYFUNCTION("""COMPUTED_VALUE"""),1.0)</f>
        <v>1</v>
      </c>
      <c r="O44" s="262" t="str">
        <f>IFERROR(__xludf.DUMMYFUNCTION("""COMPUTED_VALUE"""),"効果値")</f>
        <v>効果値</v>
      </c>
      <c r="P44" s="268">
        <f>IFERROR(__xludf.DUMMYFUNCTION("""COMPUTED_VALUE"""),4.0)</f>
        <v>4</v>
      </c>
      <c r="Q44" s="268">
        <f>IFERROR(__xludf.DUMMYFUNCTION("""COMPUTED_VALUE"""),4.0)</f>
        <v>4</v>
      </c>
      <c r="R44" s="268">
        <f>IFERROR(__xludf.DUMMYFUNCTION("""COMPUTED_VALUE"""),4.0)</f>
        <v>4</v>
      </c>
      <c r="S44" s="268">
        <f>IFERROR(__xludf.DUMMYFUNCTION("""COMPUTED_VALUE"""),4.0)</f>
        <v>4</v>
      </c>
      <c r="T44" s="268">
        <f>IFERROR(__xludf.DUMMYFUNCTION("""COMPUTED_VALUE"""),4.0)</f>
        <v>4</v>
      </c>
      <c r="U44" s="268">
        <f>IFERROR(__xludf.DUMMYFUNCTION("""COMPUTED_VALUE"""),8.0)</f>
        <v>8</v>
      </c>
      <c r="V44" s="268">
        <f>IFERROR(__xludf.DUMMYFUNCTION("""COMPUTED_VALUE"""),11.0)</f>
        <v>11</v>
      </c>
      <c r="W44" s="269">
        <f>IFERROR(__xludf.DUMMYFUNCTION("""COMPUTED_VALUE"""),11.0)</f>
        <v>11</v>
      </c>
      <c r="X44" s="267" t="str">
        <f>IFERROR(__xludf.DUMMYFUNCTION("""COMPUTED_VALUE"""),"範囲(中)")</f>
        <v>範囲(中)</v>
      </c>
      <c r="Y44" s="261">
        <f>IFERROR(__xludf.DUMMYFUNCTION("""COMPUTED_VALUE"""),1.0)</f>
        <v>1</v>
      </c>
      <c r="Z44" s="262" t="str">
        <f>IFERROR(__xludf.DUMMYFUNCTION("""COMPUTED_VALUE"""),"効果値")</f>
        <v>効果値</v>
      </c>
      <c r="AA44" s="268">
        <f>IFERROR(__xludf.DUMMYFUNCTION("""COMPUTED_VALUE"""),3.0)</f>
        <v>3</v>
      </c>
      <c r="AB44" s="268">
        <f>IFERROR(__xludf.DUMMYFUNCTION("""COMPUTED_VALUE"""),3.0)</f>
        <v>3</v>
      </c>
      <c r="AC44" s="268">
        <f>IFERROR(__xludf.DUMMYFUNCTION("""COMPUTED_VALUE"""),3.0)</f>
        <v>3</v>
      </c>
      <c r="AD44" s="268">
        <f>IFERROR(__xludf.DUMMYFUNCTION("""COMPUTED_VALUE"""),3.0)</f>
        <v>3</v>
      </c>
      <c r="AE44" s="268">
        <f>IFERROR(__xludf.DUMMYFUNCTION("""COMPUTED_VALUE"""),3.0)</f>
        <v>3</v>
      </c>
      <c r="AF44" s="268">
        <f>IFERROR(__xludf.DUMMYFUNCTION("""COMPUTED_VALUE"""),7.0)</f>
        <v>7</v>
      </c>
      <c r="AG44" s="268">
        <f>IFERROR(__xludf.DUMMYFUNCTION("""COMPUTED_VALUE"""),10.0)</f>
        <v>10</v>
      </c>
      <c r="AH44" s="269">
        <f>IFERROR(__xludf.DUMMYFUNCTION("""COMPUTED_VALUE"""),10.0)</f>
        <v>10</v>
      </c>
      <c r="AI44" s="267" t="str">
        <f>IFERROR(__xludf.DUMMYFUNCTION("""COMPUTED_VALUE"""),"範囲(大)")</f>
        <v>範囲(大)</v>
      </c>
      <c r="AJ44" s="261">
        <f>IFERROR(__xludf.DUMMYFUNCTION("""COMPUTED_VALUE"""),1.0)</f>
        <v>1</v>
      </c>
      <c r="AK44" s="262" t="str">
        <f>IFERROR(__xludf.DUMMYFUNCTION("""COMPUTED_VALUE"""),"効果値")</f>
        <v>効果値</v>
      </c>
      <c r="AL44" s="268">
        <f>IFERROR(__xludf.DUMMYFUNCTION("""COMPUTED_VALUE"""),3.0)</f>
        <v>3</v>
      </c>
      <c r="AM44" s="268">
        <f>IFERROR(__xludf.DUMMYFUNCTION("""COMPUTED_VALUE"""),3.0)</f>
        <v>3</v>
      </c>
      <c r="AN44" s="268">
        <f>IFERROR(__xludf.DUMMYFUNCTION("""COMPUTED_VALUE"""),3.0)</f>
        <v>3</v>
      </c>
      <c r="AO44" s="268">
        <f>IFERROR(__xludf.DUMMYFUNCTION("""COMPUTED_VALUE"""),3.0)</f>
        <v>3</v>
      </c>
      <c r="AP44" s="268">
        <f>IFERROR(__xludf.DUMMYFUNCTION("""COMPUTED_VALUE"""),3.0)</f>
        <v>3</v>
      </c>
      <c r="AQ44" s="268">
        <f>IFERROR(__xludf.DUMMYFUNCTION("""COMPUTED_VALUE"""),6.0)</f>
        <v>6</v>
      </c>
      <c r="AR44" s="268">
        <f>IFERROR(__xludf.DUMMYFUNCTION("""COMPUTED_VALUE"""),8.0)</f>
        <v>8</v>
      </c>
      <c r="AS44" s="269">
        <f>IFERROR(__xludf.DUMMYFUNCTION("""COMPUTED_VALUE"""),8.0)</f>
        <v>8</v>
      </c>
      <c r="AT44" s="267" t="str">
        <f>IFERROR(__xludf.DUMMYFUNCTION("""COMPUTED_VALUE"""),"範囲(特大)")</f>
        <v>範囲(特大)</v>
      </c>
      <c r="AU44" s="261">
        <f>IFERROR(__xludf.DUMMYFUNCTION("""COMPUTED_VALUE"""),1.0)</f>
        <v>1</v>
      </c>
      <c r="AV44" s="262" t="str">
        <f>IFERROR(__xludf.DUMMYFUNCTION("""COMPUTED_VALUE"""),"効果値")</f>
        <v>効果値</v>
      </c>
      <c r="AW44" s="268">
        <f>IFERROR(__xludf.DUMMYFUNCTION("""COMPUTED_VALUE"""),3.0)</f>
        <v>3</v>
      </c>
      <c r="AX44" s="268">
        <f>IFERROR(__xludf.DUMMYFUNCTION("""COMPUTED_VALUE"""),3.0)</f>
        <v>3</v>
      </c>
      <c r="AY44" s="268">
        <f>IFERROR(__xludf.DUMMYFUNCTION("""COMPUTED_VALUE"""),3.0)</f>
        <v>3</v>
      </c>
      <c r="AZ44" s="268">
        <f>IFERROR(__xludf.DUMMYFUNCTION("""COMPUTED_VALUE"""),3.0)</f>
        <v>3</v>
      </c>
      <c r="BA44" s="268">
        <f>IFERROR(__xludf.DUMMYFUNCTION("""COMPUTED_VALUE"""),3.0)</f>
        <v>3</v>
      </c>
      <c r="BB44" s="268">
        <f>IFERROR(__xludf.DUMMYFUNCTION("""COMPUTED_VALUE"""),5.0)</f>
        <v>5</v>
      </c>
      <c r="BC44" s="268">
        <f>IFERROR(__xludf.DUMMYFUNCTION("""COMPUTED_VALUE"""),8.0)</f>
        <v>8</v>
      </c>
      <c r="BD44" s="269">
        <f>IFERROR(__xludf.DUMMYFUNCTION("""COMPUTED_VALUE"""),8.0)</f>
        <v>8</v>
      </c>
      <c r="BE44" s="270" t="str">
        <f>IFERROR(__xludf.DUMMYFUNCTION("""COMPUTED_VALUE"""),"範囲(小：威力減)")</f>
        <v>範囲(小：威力減)</v>
      </c>
      <c r="BF44" s="261">
        <f>IFERROR(__xludf.DUMMYFUNCTION("""COMPUTED_VALUE"""),1.0)</f>
        <v>1</v>
      </c>
      <c r="BG44" s="262" t="str">
        <f>IFERROR(__xludf.DUMMYFUNCTION("""COMPUTED_VALUE"""),"効果値")</f>
        <v>効果値</v>
      </c>
      <c r="BH44" s="268">
        <f>IFERROR(__xludf.DUMMYFUNCTION("""COMPUTED_VALUE"""),3.0)</f>
        <v>3</v>
      </c>
      <c r="BI44" s="268">
        <f>IFERROR(__xludf.DUMMYFUNCTION("""COMPUTED_VALUE"""),3.0)</f>
        <v>3</v>
      </c>
      <c r="BJ44" s="268">
        <f>IFERROR(__xludf.DUMMYFUNCTION("""COMPUTED_VALUE"""),3.0)</f>
        <v>3</v>
      </c>
      <c r="BK44" s="268">
        <f>IFERROR(__xludf.DUMMYFUNCTION("""COMPUTED_VALUE"""),3.0)</f>
        <v>3</v>
      </c>
      <c r="BL44" s="268">
        <f>IFERROR(__xludf.DUMMYFUNCTION("""COMPUTED_VALUE"""),3.0)</f>
        <v>3</v>
      </c>
      <c r="BM44" s="268">
        <f>IFERROR(__xludf.DUMMYFUNCTION("""COMPUTED_VALUE"""),5.0)</f>
        <v>5</v>
      </c>
      <c r="BN44" s="268">
        <f>IFERROR(__xludf.DUMMYFUNCTION("""COMPUTED_VALUE"""),8.0)</f>
        <v>8</v>
      </c>
      <c r="BO44" s="269">
        <f>IFERROR(__xludf.DUMMYFUNCTION("""COMPUTED_VALUE"""),8.0)</f>
        <v>8</v>
      </c>
    </row>
    <row r="45">
      <c r="A45" s="271" t="str">
        <f>IFERROR(__xludf.DUMMYFUNCTION("""COMPUTED_VALUE"""),"HP吸収攻撃")</f>
        <v>HP吸収攻撃</v>
      </c>
      <c r="B45" s="272" t="str">
        <f>IFERROR(__xludf.DUMMYFUNCTION("""COMPUTED_VALUE"""),"単体")</f>
        <v>単体</v>
      </c>
      <c r="C45" s="273">
        <f>IFERROR(__xludf.DUMMYFUNCTION("""COMPUTED_VALUE"""),2.0)</f>
        <v>2</v>
      </c>
      <c r="D45" s="274" t="str">
        <f>IFERROR(__xludf.DUMMYFUNCTION("""COMPUTED_VALUE"""),"効果値")</f>
        <v>効果値</v>
      </c>
      <c r="E45" s="275">
        <f>IFERROR(__xludf.DUMMYFUNCTION("""COMPUTED_VALUE"""),9.0)</f>
        <v>9</v>
      </c>
      <c r="F45" s="275">
        <f>IFERROR(__xludf.DUMMYFUNCTION("""COMPUTED_VALUE"""),9.0)</f>
        <v>9</v>
      </c>
      <c r="G45" s="275">
        <f>IFERROR(__xludf.DUMMYFUNCTION("""COMPUTED_VALUE"""),10.0)</f>
        <v>10</v>
      </c>
      <c r="H45" s="275">
        <f>IFERROR(__xludf.DUMMYFUNCTION("""COMPUTED_VALUE"""),10.0)</f>
        <v>10</v>
      </c>
      <c r="I45" s="275">
        <f>IFERROR(__xludf.DUMMYFUNCTION("""COMPUTED_VALUE"""),11.0)</f>
        <v>11</v>
      </c>
      <c r="J45" s="275">
        <f>IFERROR(__xludf.DUMMYFUNCTION("""COMPUTED_VALUE"""),18.0)</f>
        <v>18</v>
      </c>
      <c r="K45" s="275">
        <f>IFERROR(__xludf.DUMMYFUNCTION("""COMPUTED_VALUE"""),27.0)</f>
        <v>27</v>
      </c>
      <c r="L45" s="275">
        <f>IFERROR(__xludf.DUMMYFUNCTION("""COMPUTED_VALUE"""),29.0)</f>
        <v>29</v>
      </c>
      <c r="M45" s="276" t="str">
        <f>IFERROR(__xludf.DUMMYFUNCTION("""COMPUTED_VALUE"""),"範囲(小)")</f>
        <v>範囲(小)</v>
      </c>
      <c r="N45" s="273">
        <f>IFERROR(__xludf.DUMMYFUNCTION("""COMPUTED_VALUE"""),2.0)</f>
        <v>2</v>
      </c>
      <c r="O45" s="274" t="str">
        <f>IFERROR(__xludf.DUMMYFUNCTION("""COMPUTED_VALUE"""),"効果値")</f>
        <v>効果値</v>
      </c>
      <c r="P45" s="277">
        <f>IFERROR(__xludf.DUMMYFUNCTION("""COMPUTED_VALUE"""),7.0)</f>
        <v>7</v>
      </c>
      <c r="Q45" s="277">
        <f>IFERROR(__xludf.DUMMYFUNCTION("""COMPUTED_VALUE"""),7.0)</f>
        <v>7</v>
      </c>
      <c r="R45" s="277">
        <f>IFERROR(__xludf.DUMMYFUNCTION("""COMPUTED_VALUE"""),7.0)</f>
        <v>7</v>
      </c>
      <c r="S45" s="277">
        <f>IFERROR(__xludf.DUMMYFUNCTION("""COMPUTED_VALUE"""),8.0)</f>
        <v>8</v>
      </c>
      <c r="T45" s="277">
        <f>IFERROR(__xludf.DUMMYFUNCTION("""COMPUTED_VALUE"""),8.0)</f>
        <v>8</v>
      </c>
      <c r="U45" s="277">
        <f>IFERROR(__xludf.DUMMYFUNCTION("""COMPUTED_VALUE"""),13.0)</f>
        <v>13</v>
      </c>
      <c r="V45" s="277">
        <f>IFERROR(__xludf.DUMMYFUNCTION("""COMPUTED_VALUE"""),20.0)</f>
        <v>20</v>
      </c>
      <c r="W45" s="278">
        <f>IFERROR(__xludf.DUMMYFUNCTION("""COMPUTED_VALUE"""),22.0)</f>
        <v>22</v>
      </c>
      <c r="X45" s="276" t="str">
        <f>IFERROR(__xludf.DUMMYFUNCTION("""COMPUTED_VALUE"""),"範囲(中)")</f>
        <v>範囲(中)</v>
      </c>
      <c r="Y45" s="273">
        <f>IFERROR(__xludf.DUMMYFUNCTION("""COMPUTED_VALUE"""),2.0)</f>
        <v>2</v>
      </c>
      <c r="Z45" s="274" t="str">
        <f>IFERROR(__xludf.DUMMYFUNCTION("""COMPUTED_VALUE"""),"効果値")</f>
        <v>効果値</v>
      </c>
      <c r="AA45" s="277">
        <f>IFERROR(__xludf.DUMMYFUNCTION("""COMPUTED_VALUE"""),6.0)</f>
        <v>6</v>
      </c>
      <c r="AB45" s="277">
        <f>IFERROR(__xludf.DUMMYFUNCTION("""COMPUTED_VALUE"""),6.0)</f>
        <v>6</v>
      </c>
      <c r="AC45" s="277">
        <f>IFERROR(__xludf.DUMMYFUNCTION("""COMPUTED_VALUE"""),6.0)</f>
        <v>6</v>
      </c>
      <c r="AD45" s="277">
        <f>IFERROR(__xludf.DUMMYFUNCTION("""COMPUTED_VALUE"""),7.0)</f>
        <v>7</v>
      </c>
      <c r="AE45" s="277">
        <f>IFERROR(__xludf.DUMMYFUNCTION("""COMPUTED_VALUE"""),7.0)</f>
        <v>7</v>
      </c>
      <c r="AF45" s="277">
        <f>IFERROR(__xludf.DUMMYFUNCTION("""COMPUTED_VALUE"""),12.0)</f>
        <v>12</v>
      </c>
      <c r="AG45" s="277">
        <f>IFERROR(__xludf.DUMMYFUNCTION("""COMPUTED_VALUE"""),18.0)</f>
        <v>18</v>
      </c>
      <c r="AH45" s="278">
        <f>IFERROR(__xludf.DUMMYFUNCTION("""COMPUTED_VALUE"""),19.0)</f>
        <v>19</v>
      </c>
      <c r="AI45" s="276" t="str">
        <f>IFERROR(__xludf.DUMMYFUNCTION("""COMPUTED_VALUE"""),"範囲(大)")</f>
        <v>範囲(大)</v>
      </c>
      <c r="AJ45" s="273">
        <f>IFERROR(__xludf.DUMMYFUNCTION("""COMPUTED_VALUE"""),2.0)</f>
        <v>2</v>
      </c>
      <c r="AK45" s="274" t="str">
        <f>IFERROR(__xludf.DUMMYFUNCTION("""COMPUTED_VALUE"""),"効果値")</f>
        <v>効果値</v>
      </c>
      <c r="AL45" s="277">
        <f>IFERROR(__xludf.DUMMYFUNCTION("""COMPUTED_VALUE"""),5.0)</f>
        <v>5</v>
      </c>
      <c r="AM45" s="277">
        <f>IFERROR(__xludf.DUMMYFUNCTION("""COMPUTED_VALUE"""),5.0)</f>
        <v>5</v>
      </c>
      <c r="AN45" s="277">
        <f>IFERROR(__xludf.DUMMYFUNCTION("""COMPUTED_VALUE"""),5.0)</f>
        <v>5</v>
      </c>
      <c r="AO45" s="277">
        <f>IFERROR(__xludf.DUMMYFUNCTION("""COMPUTED_VALUE"""),6.0)</f>
        <v>6</v>
      </c>
      <c r="AP45" s="277">
        <f>IFERROR(__xludf.DUMMYFUNCTION("""COMPUTED_VALUE"""),6.0)</f>
        <v>6</v>
      </c>
      <c r="AQ45" s="277">
        <f>IFERROR(__xludf.DUMMYFUNCTION("""COMPUTED_VALUE"""),10.0)</f>
        <v>10</v>
      </c>
      <c r="AR45" s="277">
        <f>IFERROR(__xludf.DUMMYFUNCTION("""COMPUTED_VALUE"""),15.0)</f>
        <v>15</v>
      </c>
      <c r="AS45" s="278">
        <f>IFERROR(__xludf.DUMMYFUNCTION("""COMPUTED_VALUE"""),16.0)</f>
        <v>16</v>
      </c>
      <c r="AT45" s="276" t="str">
        <f>IFERROR(__xludf.DUMMYFUNCTION("""COMPUTED_VALUE"""),"範囲(特大)")</f>
        <v>範囲(特大)</v>
      </c>
      <c r="AU45" s="273">
        <f>IFERROR(__xludf.DUMMYFUNCTION("""COMPUTED_VALUE"""),2.0)</f>
        <v>2</v>
      </c>
      <c r="AV45" s="274" t="str">
        <f>IFERROR(__xludf.DUMMYFUNCTION("""COMPUTED_VALUE"""),"効果値")</f>
        <v>効果値</v>
      </c>
      <c r="AW45" s="277">
        <f>IFERROR(__xludf.DUMMYFUNCTION("""COMPUTED_VALUE"""),4.0)</f>
        <v>4</v>
      </c>
      <c r="AX45" s="277">
        <f>IFERROR(__xludf.DUMMYFUNCTION("""COMPUTED_VALUE"""),5.0)</f>
        <v>5</v>
      </c>
      <c r="AY45" s="277">
        <f>IFERROR(__xludf.DUMMYFUNCTION("""COMPUTED_VALUE"""),5.0)</f>
        <v>5</v>
      </c>
      <c r="AZ45" s="277">
        <f>IFERROR(__xludf.DUMMYFUNCTION("""COMPUTED_VALUE"""),5.0)</f>
        <v>5</v>
      </c>
      <c r="BA45" s="277">
        <f>IFERROR(__xludf.DUMMYFUNCTION("""COMPUTED_VALUE"""),5.0)</f>
        <v>5</v>
      </c>
      <c r="BB45" s="277">
        <f>IFERROR(__xludf.DUMMYFUNCTION("""COMPUTED_VALUE"""),9.0)</f>
        <v>9</v>
      </c>
      <c r="BC45" s="277">
        <f>IFERROR(__xludf.DUMMYFUNCTION("""COMPUTED_VALUE"""),13.0)</f>
        <v>13</v>
      </c>
      <c r="BD45" s="278">
        <f>IFERROR(__xludf.DUMMYFUNCTION("""COMPUTED_VALUE"""),14.0)</f>
        <v>14</v>
      </c>
      <c r="BE45" s="279" t="str">
        <f>IFERROR(__xludf.DUMMYFUNCTION("""COMPUTED_VALUE"""),"範囲(小：威力減)")</f>
        <v>範囲(小：威力減)</v>
      </c>
      <c r="BF45" s="273">
        <f>IFERROR(__xludf.DUMMYFUNCTION("""COMPUTED_VALUE"""),2.0)</f>
        <v>2</v>
      </c>
      <c r="BG45" s="274" t="str">
        <f>IFERROR(__xludf.DUMMYFUNCTION("""COMPUTED_VALUE"""),"効果値")</f>
        <v>効果値</v>
      </c>
      <c r="BH45" s="277">
        <f>IFERROR(__xludf.DUMMYFUNCTION("""COMPUTED_VALUE"""),4.0)</f>
        <v>4</v>
      </c>
      <c r="BI45" s="277">
        <f>IFERROR(__xludf.DUMMYFUNCTION("""COMPUTED_VALUE"""),5.0)</f>
        <v>5</v>
      </c>
      <c r="BJ45" s="277">
        <f>IFERROR(__xludf.DUMMYFUNCTION("""COMPUTED_VALUE"""),5.0)</f>
        <v>5</v>
      </c>
      <c r="BK45" s="277">
        <f>IFERROR(__xludf.DUMMYFUNCTION("""COMPUTED_VALUE"""),5.0)</f>
        <v>5</v>
      </c>
      <c r="BL45" s="277">
        <f>IFERROR(__xludf.DUMMYFUNCTION("""COMPUTED_VALUE"""),5.0)</f>
        <v>5</v>
      </c>
      <c r="BM45" s="277">
        <f>IFERROR(__xludf.DUMMYFUNCTION("""COMPUTED_VALUE"""),9.0)</f>
        <v>9</v>
      </c>
      <c r="BN45" s="277">
        <f>IFERROR(__xludf.DUMMYFUNCTION("""COMPUTED_VALUE"""),13.0)</f>
        <v>13</v>
      </c>
      <c r="BO45" s="278">
        <f>IFERROR(__xludf.DUMMYFUNCTION("""COMPUTED_VALUE"""),14.0)</f>
        <v>14</v>
      </c>
    </row>
    <row r="46">
      <c r="A46" s="271" t="str">
        <f>IFERROR(__xludf.DUMMYFUNCTION("""COMPUTED_VALUE"""),"HP吸収攻撃")</f>
        <v>HP吸収攻撃</v>
      </c>
      <c r="B46" s="272" t="str">
        <f>IFERROR(__xludf.DUMMYFUNCTION("""COMPUTED_VALUE"""),"単体")</f>
        <v>単体</v>
      </c>
      <c r="C46" s="273">
        <f>IFERROR(__xludf.DUMMYFUNCTION("""COMPUTED_VALUE"""),3.0)</f>
        <v>3</v>
      </c>
      <c r="D46" s="274" t="str">
        <f>IFERROR(__xludf.DUMMYFUNCTION("""COMPUTED_VALUE"""),"効果値")</f>
        <v>効果値</v>
      </c>
      <c r="E46" s="275">
        <f>IFERROR(__xludf.DUMMYFUNCTION("""COMPUTED_VALUE"""),12.0)</f>
        <v>12</v>
      </c>
      <c r="F46" s="275">
        <f>IFERROR(__xludf.DUMMYFUNCTION("""COMPUTED_VALUE"""),12.0)</f>
        <v>12</v>
      </c>
      <c r="G46" s="275">
        <f>IFERROR(__xludf.DUMMYFUNCTION("""COMPUTED_VALUE"""),13.0)</f>
        <v>13</v>
      </c>
      <c r="H46" s="275">
        <f>IFERROR(__xludf.DUMMYFUNCTION("""COMPUTED_VALUE"""),14.0)</f>
        <v>14</v>
      </c>
      <c r="I46" s="275">
        <f>IFERROR(__xludf.DUMMYFUNCTION("""COMPUTED_VALUE"""),15.0)</f>
        <v>15</v>
      </c>
      <c r="J46" s="275">
        <f>IFERROR(__xludf.DUMMYFUNCTION("""COMPUTED_VALUE"""),23.0)</f>
        <v>23</v>
      </c>
      <c r="K46" s="275">
        <f>IFERROR(__xludf.DUMMYFUNCTION("""COMPUTED_VALUE"""),35.0)</f>
        <v>35</v>
      </c>
      <c r="L46" s="275">
        <f>IFERROR(__xludf.DUMMYFUNCTION("""COMPUTED_VALUE"""),38.0)</f>
        <v>38</v>
      </c>
      <c r="M46" s="276" t="str">
        <f>IFERROR(__xludf.DUMMYFUNCTION("""COMPUTED_VALUE"""),"範囲(小)")</f>
        <v>範囲(小)</v>
      </c>
      <c r="N46" s="273">
        <f>IFERROR(__xludf.DUMMYFUNCTION("""COMPUTED_VALUE"""),3.0)</f>
        <v>3</v>
      </c>
      <c r="O46" s="274" t="str">
        <f>IFERROR(__xludf.DUMMYFUNCTION("""COMPUTED_VALUE"""),"効果値")</f>
        <v>効果値</v>
      </c>
      <c r="P46" s="277">
        <f>IFERROR(__xludf.DUMMYFUNCTION("""COMPUTED_VALUE"""),9.0)</f>
        <v>9</v>
      </c>
      <c r="Q46" s="277">
        <f>IFERROR(__xludf.DUMMYFUNCTION("""COMPUTED_VALUE"""),9.0)</f>
        <v>9</v>
      </c>
      <c r="R46" s="277">
        <f>IFERROR(__xludf.DUMMYFUNCTION("""COMPUTED_VALUE"""),10.0)</f>
        <v>10</v>
      </c>
      <c r="S46" s="277">
        <f>IFERROR(__xludf.DUMMYFUNCTION("""COMPUTED_VALUE"""),11.0)</f>
        <v>11</v>
      </c>
      <c r="T46" s="277">
        <f>IFERROR(__xludf.DUMMYFUNCTION("""COMPUTED_VALUE"""),11.0)</f>
        <v>11</v>
      </c>
      <c r="U46" s="277">
        <f>IFERROR(__xludf.DUMMYFUNCTION("""COMPUTED_VALUE"""),17.0)</f>
        <v>17</v>
      </c>
      <c r="V46" s="277">
        <f>IFERROR(__xludf.DUMMYFUNCTION("""COMPUTED_VALUE"""),26.0)</f>
        <v>26</v>
      </c>
      <c r="W46" s="278">
        <f>IFERROR(__xludf.DUMMYFUNCTION("""COMPUTED_VALUE"""),29.0)</f>
        <v>29</v>
      </c>
      <c r="X46" s="276" t="str">
        <f>IFERROR(__xludf.DUMMYFUNCTION("""COMPUTED_VALUE"""),"範囲(中)")</f>
        <v>範囲(中)</v>
      </c>
      <c r="Y46" s="273">
        <f>IFERROR(__xludf.DUMMYFUNCTION("""COMPUTED_VALUE"""),3.0)</f>
        <v>3</v>
      </c>
      <c r="Z46" s="274" t="str">
        <f>IFERROR(__xludf.DUMMYFUNCTION("""COMPUTED_VALUE"""),"効果値")</f>
        <v>効果値</v>
      </c>
      <c r="AA46" s="277">
        <f>IFERROR(__xludf.DUMMYFUNCTION("""COMPUTED_VALUE"""),8.0)</f>
        <v>8</v>
      </c>
      <c r="AB46" s="277">
        <f>IFERROR(__xludf.DUMMYFUNCTION("""COMPUTED_VALUE"""),8.0)</f>
        <v>8</v>
      </c>
      <c r="AC46" s="277">
        <f>IFERROR(__xludf.DUMMYFUNCTION("""COMPUTED_VALUE"""),9.0)</f>
        <v>9</v>
      </c>
      <c r="AD46" s="277">
        <f>IFERROR(__xludf.DUMMYFUNCTION("""COMPUTED_VALUE"""),9.0)</f>
        <v>9</v>
      </c>
      <c r="AE46" s="277">
        <f>IFERROR(__xludf.DUMMYFUNCTION("""COMPUTED_VALUE"""),10.0)</f>
        <v>10</v>
      </c>
      <c r="AF46" s="277">
        <f>IFERROR(__xludf.DUMMYFUNCTION("""COMPUTED_VALUE"""),15.0)</f>
        <v>15</v>
      </c>
      <c r="AG46" s="277">
        <f>IFERROR(__xludf.DUMMYFUNCTION("""COMPUTED_VALUE"""),23.0)</f>
        <v>23</v>
      </c>
      <c r="AH46" s="278">
        <f>IFERROR(__xludf.DUMMYFUNCTION("""COMPUTED_VALUE"""),25.0)</f>
        <v>25</v>
      </c>
      <c r="AI46" s="276" t="str">
        <f>IFERROR(__xludf.DUMMYFUNCTION("""COMPUTED_VALUE"""),"範囲(大)")</f>
        <v>範囲(大)</v>
      </c>
      <c r="AJ46" s="273">
        <f>IFERROR(__xludf.DUMMYFUNCTION("""COMPUTED_VALUE"""),3.0)</f>
        <v>3</v>
      </c>
      <c r="AK46" s="274" t="str">
        <f>IFERROR(__xludf.DUMMYFUNCTION("""COMPUTED_VALUE"""),"効果値")</f>
        <v>効果値</v>
      </c>
      <c r="AL46" s="277">
        <f>IFERROR(__xludf.DUMMYFUNCTION("""COMPUTED_VALUE"""),6.0)</f>
        <v>6</v>
      </c>
      <c r="AM46" s="277">
        <f>IFERROR(__xludf.DUMMYFUNCTION("""COMPUTED_VALUE"""),7.0)</f>
        <v>7</v>
      </c>
      <c r="AN46" s="277">
        <f>IFERROR(__xludf.DUMMYFUNCTION("""COMPUTED_VALUE"""),7.0)</f>
        <v>7</v>
      </c>
      <c r="AO46" s="277">
        <f>IFERROR(__xludf.DUMMYFUNCTION("""COMPUTED_VALUE"""),8.0)</f>
        <v>8</v>
      </c>
      <c r="AP46" s="277">
        <f>IFERROR(__xludf.DUMMYFUNCTION("""COMPUTED_VALUE"""),8.0)</f>
        <v>8</v>
      </c>
      <c r="AQ46" s="277">
        <f>IFERROR(__xludf.DUMMYFUNCTION("""COMPUTED_VALUE"""),13.0)</f>
        <v>13</v>
      </c>
      <c r="AR46" s="277">
        <f>IFERROR(__xludf.DUMMYFUNCTION("""COMPUTED_VALUE"""),19.0)</f>
        <v>19</v>
      </c>
      <c r="AS46" s="278">
        <f>IFERROR(__xludf.DUMMYFUNCTION("""COMPUTED_VALUE"""),21.0)</f>
        <v>21</v>
      </c>
      <c r="AT46" s="276" t="str">
        <f>IFERROR(__xludf.DUMMYFUNCTION("""COMPUTED_VALUE"""),"範囲(特大)")</f>
        <v>範囲(特大)</v>
      </c>
      <c r="AU46" s="273">
        <f>IFERROR(__xludf.DUMMYFUNCTION("""COMPUTED_VALUE"""),3.0)</f>
        <v>3</v>
      </c>
      <c r="AV46" s="274" t="str">
        <f>IFERROR(__xludf.DUMMYFUNCTION("""COMPUTED_VALUE"""),"効果値")</f>
        <v>効果値</v>
      </c>
      <c r="AW46" s="277">
        <f>IFERROR(__xludf.DUMMYFUNCTION("""COMPUTED_VALUE"""),6.0)</f>
        <v>6</v>
      </c>
      <c r="AX46" s="277">
        <f>IFERROR(__xludf.DUMMYFUNCTION("""COMPUTED_VALUE"""),6.0)</f>
        <v>6</v>
      </c>
      <c r="AY46" s="277">
        <f>IFERROR(__xludf.DUMMYFUNCTION("""COMPUTED_VALUE"""),7.0)</f>
        <v>7</v>
      </c>
      <c r="AZ46" s="277">
        <f>IFERROR(__xludf.DUMMYFUNCTION("""COMPUTED_VALUE"""),7.0)</f>
        <v>7</v>
      </c>
      <c r="BA46" s="277">
        <f>IFERROR(__xludf.DUMMYFUNCTION("""COMPUTED_VALUE"""),7.0)</f>
        <v>7</v>
      </c>
      <c r="BB46" s="277">
        <f>IFERROR(__xludf.DUMMYFUNCTION("""COMPUTED_VALUE"""),12.0)</f>
        <v>12</v>
      </c>
      <c r="BC46" s="277">
        <f>IFERROR(__xludf.DUMMYFUNCTION("""COMPUTED_VALUE"""),17.0)</f>
        <v>17</v>
      </c>
      <c r="BD46" s="278">
        <f>IFERROR(__xludf.DUMMYFUNCTION("""COMPUTED_VALUE"""),19.0)</f>
        <v>19</v>
      </c>
      <c r="BE46" s="279" t="str">
        <f>IFERROR(__xludf.DUMMYFUNCTION("""COMPUTED_VALUE"""),"範囲(小：威力減)")</f>
        <v>範囲(小：威力減)</v>
      </c>
      <c r="BF46" s="273">
        <f>IFERROR(__xludf.DUMMYFUNCTION("""COMPUTED_VALUE"""),3.0)</f>
        <v>3</v>
      </c>
      <c r="BG46" s="274" t="str">
        <f>IFERROR(__xludf.DUMMYFUNCTION("""COMPUTED_VALUE"""),"効果値")</f>
        <v>効果値</v>
      </c>
      <c r="BH46" s="277">
        <f>IFERROR(__xludf.DUMMYFUNCTION("""COMPUTED_VALUE"""),6.0)</f>
        <v>6</v>
      </c>
      <c r="BI46" s="277">
        <f>IFERROR(__xludf.DUMMYFUNCTION("""COMPUTED_VALUE"""),6.0)</f>
        <v>6</v>
      </c>
      <c r="BJ46" s="277">
        <f>IFERROR(__xludf.DUMMYFUNCTION("""COMPUTED_VALUE"""),7.0)</f>
        <v>7</v>
      </c>
      <c r="BK46" s="277">
        <f>IFERROR(__xludf.DUMMYFUNCTION("""COMPUTED_VALUE"""),7.0)</f>
        <v>7</v>
      </c>
      <c r="BL46" s="277">
        <f>IFERROR(__xludf.DUMMYFUNCTION("""COMPUTED_VALUE"""),7.0)</f>
        <v>7</v>
      </c>
      <c r="BM46" s="277">
        <f>IFERROR(__xludf.DUMMYFUNCTION("""COMPUTED_VALUE"""),12.0)</f>
        <v>12</v>
      </c>
      <c r="BN46" s="277">
        <f>IFERROR(__xludf.DUMMYFUNCTION("""COMPUTED_VALUE"""),17.0)</f>
        <v>17</v>
      </c>
      <c r="BO46" s="278">
        <f>IFERROR(__xludf.DUMMYFUNCTION("""COMPUTED_VALUE"""),19.0)</f>
        <v>19</v>
      </c>
    </row>
    <row r="47">
      <c r="A47" s="271" t="str">
        <f>IFERROR(__xludf.DUMMYFUNCTION("""COMPUTED_VALUE"""),"HP吸収攻撃")</f>
        <v>HP吸収攻撃</v>
      </c>
      <c r="B47" s="272" t="str">
        <f>IFERROR(__xludf.DUMMYFUNCTION("""COMPUTED_VALUE"""),"単体")</f>
        <v>単体</v>
      </c>
      <c r="C47" s="273">
        <f>IFERROR(__xludf.DUMMYFUNCTION("""COMPUTED_VALUE"""),4.0)</f>
        <v>4</v>
      </c>
      <c r="D47" s="274" t="str">
        <f>IFERROR(__xludf.DUMMYFUNCTION("""COMPUTED_VALUE"""),"効果値")</f>
        <v>効果値</v>
      </c>
      <c r="E47" s="275">
        <f>IFERROR(__xludf.DUMMYFUNCTION("""COMPUTED_VALUE"""),14.0)</f>
        <v>14</v>
      </c>
      <c r="F47" s="275">
        <f>IFERROR(__xludf.DUMMYFUNCTION("""COMPUTED_VALUE"""),15.0)</f>
        <v>15</v>
      </c>
      <c r="G47" s="275">
        <f>IFERROR(__xludf.DUMMYFUNCTION("""COMPUTED_VALUE"""),16.0)</f>
        <v>16</v>
      </c>
      <c r="H47" s="275">
        <f>IFERROR(__xludf.DUMMYFUNCTION("""COMPUTED_VALUE"""),17.0)</f>
        <v>17</v>
      </c>
      <c r="I47" s="275">
        <f>IFERROR(__xludf.DUMMYFUNCTION("""COMPUTED_VALUE"""),18.0)</f>
        <v>18</v>
      </c>
      <c r="J47" s="275">
        <f>IFERROR(__xludf.DUMMYFUNCTION("""COMPUTED_VALUE"""),27.0)</f>
        <v>27</v>
      </c>
      <c r="K47" s="275">
        <f>IFERROR(__xludf.DUMMYFUNCTION("""COMPUTED_VALUE"""),41.0)</f>
        <v>41</v>
      </c>
      <c r="L47" s="275">
        <f>IFERROR(__xludf.DUMMYFUNCTION("""COMPUTED_VALUE"""),45.0)</f>
        <v>45</v>
      </c>
      <c r="M47" s="276" t="str">
        <f>IFERROR(__xludf.DUMMYFUNCTION("""COMPUTED_VALUE"""),"範囲(小)")</f>
        <v>範囲(小)</v>
      </c>
      <c r="N47" s="273">
        <f>IFERROR(__xludf.DUMMYFUNCTION("""COMPUTED_VALUE"""),4.0)</f>
        <v>4</v>
      </c>
      <c r="O47" s="274" t="str">
        <f>IFERROR(__xludf.DUMMYFUNCTION("""COMPUTED_VALUE"""),"効果値")</f>
        <v>効果値</v>
      </c>
      <c r="P47" s="277">
        <f>IFERROR(__xludf.DUMMYFUNCTION("""COMPUTED_VALUE"""),10.0)</f>
        <v>10</v>
      </c>
      <c r="Q47" s="277">
        <f>IFERROR(__xludf.DUMMYFUNCTION("""COMPUTED_VALUE"""),11.0)</f>
        <v>11</v>
      </c>
      <c r="R47" s="277">
        <f>IFERROR(__xludf.DUMMYFUNCTION("""COMPUTED_VALUE"""),12.0)</f>
        <v>12</v>
      </c>
      <c r="S47" s="277">
        <f>IFERROR(__xludf.DUMMYFUNCTION("""COMPUTED_VALUE"""),13.0)</f>
        <v>13</v>
      </c>
      <c r="T47" s="277">
        <f>IFERROR(__xludf.DUMMYFUNCTION("""COMPUTED_VALUE"""),13.0)</f>
        <v>13</v>
      </c>
      <c r="U47" s="277">
        <f>IFERROR(__xludf.DUMMYFUNCTION("""COMPUTED_VALUE"""),20.0)</f>
        <v>20</v>
      </c>
      <c r="V47" s="277">
        <f>IFERROR(__xludf.DUMMYFUNCTION("""COMPUTED_VALUE"""),31.0)</f>
        <v>31</v>
      </c>
      <c r="W47" s="278">
        <f>IFERROR(__xludf.DUMMYFUNCTION("""COMPUTED_VALUE"""),34.0)</f>
        <v>34</v>
      </c>
      <c r="X47" s="276" t="str">
        <f>IFERROR(__xludf.DUMMYFUNCTION("""COMPUTED_VALUE"""),"範囲(中)")</f>
        <v>範囲(中)</v>
      </c>
      <c r="Y47" s="273">
        <f>IFERROR(__xludf.DUMMYFUNCTION("""COMPUTED_VALUE"""),4.0)</f>
        <v>4</v>
      </c>
      <c r="Z47" s="274" t="str">
        <f>IFERROR(__xludf.DUMMYFUNCTION("""COMPUTED_VALUE"""),"効果値")</f>
        <v>効果値</v>
      </c>
      <c r="AA47" s="277">
        <f>IFERROR(__xludf.DUMMYFUNCTION("""COMPUTED_VALUE"""),9.0)</f>
        <v>9</v>
      </c>
      <c r="AB47" s="277">
        <f>IFERROR(__xludf.DUMMYFUNCTION("""COMPUTED_VALUE"""),10.0)</f>
        <v>10</v>
      </c>
      <c r="AC47" s="277">
        <f>IFERROR(__xludf.DUMMYFUNCTION("""COMPUTED_VALUE"""),10.0)</f>
        <v>10</v>
      </c>
      <c r="AD47" s="277">
        <f>IFERROR(__xludf.DUMMYFUNCTION("""COMPUTED_VALUE"""),11.0)</f>
        <v>11</v>
      </c>
      <c r="AE47" s="277">
        <f>IFERROR(__xludf.DUMMYFUNCTION("""COMPUTED_VALUE"""),12.0)</f>
        <v>12</v>
      </c>
      <c r="AF47" s="277">
        <f>IFERROR(__xludf.DUMMYFUNCTION("""COMPUTED_VALUE"""),18.0)</f>
        <v>18</v>
      </c>
      <c r="AG47" s="277">
        <f>IFERROR(__xludf.DUMMYFUNCTION("""COMPUTED_VALUE"""),27.0)</f>
        <v>27</v>
      </c>
      <c r="AH47" s="278">
        <f>IFERROR(__xludf.DUMMYFUNCTION("""COMPUTED_VALUE"""),29.0)</f>
        <v>29</v>
      </c>
      <c r="AI47" s="276" t="str">
        <f>IFERROR(__xludf.DUMMYFUNCTION("""COMPUTED_VALUE"""),"範囲(大)")</f>
        <v>範囲(大)</v>
      </c>
      <c r="AJ47" s="273">
        <f>IFERROR(__xludf.DUMMYFUNCTION("""COMPUTED_VALUE"""),4.0)</f>
        <v>4</v>
      </c>
      <c r="AK47" s="274" t="str">
        <f>IFERROR(__xludf.DUMMYFUNCTION("""COMPUTED_VALUE"""),"効果値")</f>
        <v>効果値</v>
      </c>
      <c r="AL47" s="277">
        <f>IFERROR(__xludf.DUMMYFUNCTION("""COMPUTED_VALUE"""),8.0)</f>
        <v>8</v>
      </c>
      <c r="AM47" s="277">
        <f>IFERROR(__xludf.DUMMYFUNCTION("""COMPUTED_VALUE"""),8.0)</f>
        <v>8</v>
      </c>
      <c r="AN47" s="277">
        <f>IFERROR(__xludf.DUMMYFUNCTION("""COMPUTED_VALUE"""),9.0)</f>
        <v>9</v>
      </c>
      <c r="AO47" s="277">
        <f>IFERROR(__xludf.DUMMYFUNCTION("""COMPUTED_VALUE"""),9.0)</f>
        <v>9</v>
      </c>
      <c r="AP47" s="277">
        <f>IFERROR(__xludf.DUMMYFUNCTION("""COMPUTED_VALUE"""),10.0)</f>
        <v>10</v>
      </c>
      <c r="AQ47" s="277">
        <f>IFERROR(__xludf.DUMMYFUNCTION("""COMPUTED_VALUE"""),15.0)</f>
        <v>15</v>
      </c>
      <c r="AR47" s="277">
        <f>IFERROR(__xludf.DUMMYFUNCTION("""COMPUTED_VALUE"""),23.0)</f>
        <v>23</v>
      </c>
      <c r="AS47" s="278">
        <f>IFERROR(__xludf.DUMMYFUNCTION("""COMPUTED_VALUE"""),25.0)</f>
        <v>25</v>
      </c>
      <c r="AT47" s="276" t="str">
        <f>IFERROR(__xludf.DUMMYFUNCTION("""COMPUTED_VALUE"""),"範囲(特大)")</f>
        <v>範囲(特大)</v>
      </c>
      <c r="AU47" s="273">
        <f>IFERROR(__xludf.DUMMYFUNCTION("""COMPUTED_VALUE"""),4.0)</f>
        <v>4</v>
      </c>
      <c r="AV47" s="274" t="str">
        <f>IFERROR(__xludf.DUMMYFUNCTION("""COMPUTED_VALUE"""),"効果値")</f>
        <v>効果値</v>
      </c>
      <c r="AW47" s="277">
        <f>IFERROR(__xludf.DUMMYFUNCTION("""COMPUTED_VALUE"""),7.0)</f>
        <v>7</v>
      </c>
      <c r="AX47" s="277">
        <f>IFERROR(__xludf.DUMMYFUNCTION("""COMPUTED_VALUE"""),7.0)</f>
        <v>7</v>
      </c>
      <c r="AY47" s="277">
        <f>IFERROR(__xludf.DUMMYFUNCTION("""COMPUTED_VALUE"""),8.0)</f>
        <v>8</v>
      </c>
      <c r="AZ47" s="277">
        <f>IFERROR(__xludf.DUMMYFUNCTION("""COMPUTED_VALUE"""),8.0)</f>
        <v>8</v>
      </c>
      <c r="BA47" s="277">
        <f>IFERROR(__xludf.DUMMYFUNCTION("""COMPUTED_VALUE"""),9.0)</f>
        <v>9</v>
      </c>
      <c r="BB47" s="277">
        <f>IFERROR(__xludf.DUMMYFUNCTION("""COMPUTED_VALUE"""),14.0)</f>
        <v>14</v>
      </c>
      <c r="BC47" s="277">
        <f>IFERROR(__xludf.DUMMYFUNCTION("""COMPUTED_VALUE"""),20.0)</f>
        <v>20</v>
      </c>
      <c r="BD47" s="278">
        <f>IFERROR(__xludf.DUMMYFUNCTION("""COMPUTED_VALUE"""),23.0)</f>
        <v>23</v>
      </c>
      <c r="BE47" s="279" t="str">
        <f>IFERROR(__xludf.DUMMYFUNCTION("""COMPUTED_VALUE"""),"範囲(小：威力減)")</f>
        <v>範囲(小：威力減)</v>
      </c>
      <c r="BF47" s="273">
        <f>IFERROR(__xludf.DUMMYFUNCTION("""COMPUTED_VALUE"""),4.0)</f>
        <v>4</v>
      </c>
      <c r="BG47" s="274" t="str">
        <f>IFERROR(__xludf.DUMMYFUNCTION("""COMPUTED_VALUE"""),"効果値")</f>
        <v>効果値</v>
      </c>
      <c r="BH47" s="277">
        <f>IFERROR(__xludf.DUMMYFUNCTION("""COMPUTED_VALUE"""),7.0)</f>
        <v>7</v>
      </c>
      <c r="BI47" s="277">
        <f>IFERROR(__xludf.DUMMYFUNCTION("""COMPUTED_VALUE"""),7.0)</f>
        <v>7</v>
      </c>
      <c r="BJ47" s="277">
        <f>IFERROR(__xludf.DUMMYFUNCTION("""COMPUTED_VALUE"""),8.0)</f>
        <v>8</v>
      </c>
      <c r="BK47" s="277">
        <f>IFERROR(__xludf.DUMMYFUNCTION("""COMPUTED_VALUE"""),8.0)</f>
        <v>8</v>
      </c>
      <c r="BL47" s="277">
        <f>IFERROR(__xludf.DUMMYFUNCTION("""COMPUTED_VALUE"""),9.0)</f>
        <v>9</v>
      </c>
      <c r="BM47" s="277">
        <f>IFERROR(__xludf.DUMMYFUNCTION("""COMPUTED_VALUE"""),14.0)</f>
        <v>14</v>
      </c>
      <c r="BN47" s="277">
        <f>IFERROR(__xludf.DUMMYFUNCTION("""COMPUTED_VALUE"""),20.0)</f>
        <v>20</v>
      </c>
      <c r="BO47" s="278">
        <f>IFERROR(__xludf.DUMMYFUNCTION("""COMPUTED_VALUE"""),23.0)</f>
        <v>23</v>
      </c>
    </row>
    <row r="48">
      <c r="A48" s="271" t="str">
        <f>IFERROR(__xludf.DUMMYFUNCTION("""COMPUTED_VALUE"""),"HP吸収攻撃")</f>
        <v>HP吸収攻撃</v>
      </c>
      <c r="B48" s="272" t="str">
        <f>IFERROR(__xludf.DUMMYFUNCTION("""COMPUTED_VALUE"""),"単体")</f>
        <v>単体</v>
      </c>
      <c r="C48" s="283">
        <f>IFERROR(__xludf.DUMMYFUNCTION("""COMPUTED_VALUE"""),5.0)</f>
        <v>5</v>
      </c>
      <c r="D48" s="284" t="str">
        <f>IFERROR(__xludf.DUMMYFUNCTION("""COMPUTED_VALUE"""),"効果値")</f>
        <v>効果値</v>
      </c>
      <c r="E48" s="285">
        <f>IFERROR(__xludf.DUMMYFUNCTION("""COMPUTED_VALUE"""),15.0)</f>
        <v>15</v>
      </c>
      <c r="F48" s="287">
        <f>IFERROR(__xludf.DUMMYFUNCTION("""COMPUTED_VALUE"""),16.0)</f>
        <v>16</v>
      </c>
      <c r="G48" s="287">
        <f>IFERROR(__xludf.DUMMYFUNCTION("""COMPUTED_VALUE"""),18.0)</f>
        <v>18</v>
      </c>
      <c r="H48" s="287">
        <f>IFERROR(__xludf.DUMMYFUNCTION("""COMPUTED_VALUE"""),19.0)</f>
        <v>19</v>
      </c>
      <c r="I48" s="287">
        <f>IFERROR(__xludf.DUMMYFUNCTION("""COMPUTED_VALUE"""),20.0)</f>
        <v>20</v>
      </c>
      <c r="J48" s="287">
        <f>IFERROR(__xludf.DUMMYFUNCTION("""COMPUTED_VALUE"""),30.0)</f>
        <v>30</v>
      </c>
      <c r="K48" s="287">
        <f>IFERROR(__xludf.DUMMYFUNCTION("""COMPUTED_VALUE"""),45.0)</f>
        <v>45</v>
      </c>
      <c r="L48" s="288">
        <f>IFERROR(__xludf.DUMMYFUNCTION("""COMPUTED_VALUE"""),50.0)</f>
        <v>50</v>
      </c>
      <c r="M48" s="276" t="str">
        <f>IFERROR(__xludf.DUMMYFUNCTION("""COMPUTED_VALUE"""),"範囲(小)")</f>
        <v>範囲(小)</v>
      </c>
      <c r="N48" s="283">
        <f>IFERROR(__xludf.DUMMYFUNCTION("""COMPUTED_VALUE"""),5.0)</f>
        <v>5</v>
      </c>
      <c r="O48" s="284" t="str">
        <f>IFERROR(__xludf.DUMMYFUNCTION("""COMPUTED_VALUE"""),"効果値")</f>
        <v>効果値</v>
      </c>
      <c r="P48" s="289">
        <f>IFERROR(__xludf.DUMMYFUNCTION("""COMPUTED_VALUE"""),11.0)</f>
        <v>11</v>
      </c>
      <c r="Q48" s="289">
        <f>IFERROR(__xludf.DUMMYFUNCTION("""COMPUTED_VALUE"""),12.0)</f>
        <v>12</v>
      </c>
      <c r="R48" s="289">
        <f>IFERROR(__xludf.DUMMYFUNCTION("""COMPUTED_VALUE"""),13.0)</f>
        <v>13</v>
      </c>
      <c r="S48" s="289">
        <f>IFERROR(__xludf.DUMMYFUNCTION("""COMPUTED_VALUE"""),14.0)</f>
        <v>14</v>
      </c>
      <c r="T48" s="289">
        <f>IFERROR(__xludf.DUMMYFUNCTION("""COMPUTED_VALUE"""),15.0)</f>
        <v>15</v>
      </c>
      <c r="U48" s="289">
        <f>IFERROR(__xludf.DUMMYFUNCTION("""COMPUTED_VALUE"""),23.0)</f>
        <v>23</v>
      </c>
      <c r="V48" s="289">
        <f>IFERROR(__xludf.DUMMYFUNCTION("""COMPUTED_VALUE"""),34.0)</f>
        <v>34</v>
      </c>
      <c r="W48" s="290">
        <f>IFERROR(__xludf.DUMMYFUNCTION("""COMPUTED_VALUE"""),38.0)</f>
        <v>38</v>
      </c>
      <c r="X48" s="276" t="str">
        <f>IFERROR(__xludf.DUMMYFUNCTION("""COMPUTED_VALUE"""),"範囲(中)")</f>
        <v>範囲(中)</v>
      </c>
      <c r="Y48" s="283">
        <f>IFERROR(__xludf.DUMMYFUNCTION("""COMPUTED_VALUE"""),5.0)</f>
        <v>5</v>
      </c>
      <c r="Z48" s="284" t="str">
        <f>IFERROR(__xludf.DUMMYFUNCTION("""COMPUTED_VALUE"""),"効果値")</f>
        <v>効果値</v>
      </c>
      <c r="AA48" s="289">
        <f>IFERROR(__xludf.DUMMYFUNCTION("""COMPUTED_VALUE"""),10.0)</f>
        <v>10</v>
      </c>
      <c r="AB48" s="289">
        <f>IFERROR(__xludf.DUMMYFUNCTION("""COMPUTED_VALUE"""),11.0)</f>
        <v>11</v>
      </c>
      <c r="AC48" s="289">
        <f>IFERROR(__xludf.DUMMYFUNCTION("""COMPUTED_VALUE"""),11.0)</f>
        <v>11</v>
      </c>
      <c r="AD48" s="289">
        <f>IFERROR(__xludf.DUMMYFUNCTION("""COMPUTED_VALUE"""),12.0)</f>
        <v>12</v>
      </c>
      <c r="AE48" s="289">
        <f>IFERROR(__xludf.DUMMYFUNCTION("""COMPUTED_VALUE"""),13.0)</f>
        <v>13</v>
      </c>
      <c r="AF48" s="289">
        <f>IFERROR(__xludf.DUMMYFUNCTION("""COMPUTED_VALUE"""),20.0)</f>
        <v>20</v>
      </c>
      <c r="AG48" s="289">
        <f>IFERROR(__xludf.DUMMYFUNCTION("""COMPUTED_VALUE"""),29.0)</f>
        <v>29</v>
      </c>
      <c r="AH48" s="290">
        <f>IFERROR(__xludf.DUMMYFUNCTION("""COMPUTED_VALUE"""),33.0)</f>
        <v>33</v>
      </c>
      <c r="AI48" s="276" t="str">
        <f>IFERROR(__xludf.DUMMYFUNCTION("""COMPUTED_VALUE"""),"範囲(大)")</f>
        <v>範囲(大)</v>
      </c>
      <c r="AJ48" s="283">
        <f>IFERROR(__xludf.DUMMYFUNCTION("""COMPUTED_VALUE"""),5.0)</f>
        <v>5</v>
      </c>
      <c r="AK48" s="284" t="str">
        <f>IFERROR(__xludf.DUMMYFUNCTION("""COMPUTED_VALUE"""),"効果値")</f>
        <v>効果値</v>
      </c>
      <c r="AL48" s="289">
        <f>IFERROR(__xludf.DUMMYFUNCTION("""COMPUTED_VALUE"""),8.0)</f>
        <v>8</v>
      </c>
      <c r="AM48" s="289">
        <f>IFERROR(__xludf.DUMMYFUNCTION("""COMPUTED_VALUE"""),9.0)</f>
        <v>9</v>
      </c>
      <c r="AN48" s="289">
        <f>IFERROR(__xludf.DUMMYFUNCTION("""COMPUTED_VALUE"""),10.0)</f>
        <v>10</v>
      </c>
      <c r="AO48" s="289">
        <f>IFERROR(__xludf.DUMMYFUNCTION("""COMPUTED_VALUE"""),10.0)</f>
        <v>10</v>
      </c>
      <c r="AP48" s="289">
        <f>IFERROR(__xludf.DUMMYFUNCTION("""COMPUTED_VALUE"""),11.0)</f>
        <v>11</v>
      </c>
      <c r="AQ48" s="289">
        <f>IFERROR(__xludf.DUMMYFUNCTION("""COMPUTED_VALUE"""),17.0)</f>
        <v>17</v>
      </c>
      <c r="AR48" s="289">
        <f>IFERROR(__xludf.DUMMYFUNCTION("""COMPUTED_VALUE"""),25.0)</f>
        <v>25</v>
      </c>
      <c r="AS48" s="290">
        <f>IFERROR(__xludf.DUMMYFUNCTION("""COMPUTED_VALUE"""),28.0)</f>
        <v>28</v>
      </c>
      <c r="AT48" s="276" t="str">
        <f>IFERROR(__xludf.DUMMYFUNCTION("""COMPUTED_VALUE"""),"範囲(特大)")</f>
        <v>範囲(特大)</v>
      </c>
      <c r="AU48" s="283">
        <f>IFERROR(__xludf.DUMMYFUNCTION("""COMPUTED_VALUE"""),5.0)</f>
        <v>5</v>
      </c>
      <c r="AV48" s="284" t="str">
        <f>IFERROR(__xludf.DUMMYFUNCTION("""COMPUTED_VALUE"""),"効果値")</f>
        <v>効果値</v>
      </c>
      <c r="AW48" s="289">
        <f>IFERROR(__xludf.DUMMYFUNCTION("""COMPUTED_VALUE"""),8.0)</f>
        <v>8</v>
      </c>
      <c r="AX48" s="289">
        <f>IFERROR(__xludf.DUMMYFUNCTION("""COMPUTED_VALUE"""),8.0)</f>
        <v>8</v>
      </c>
      <c r="AY48" s="289">
        <f>IFERROR(__xludf.DUMMYFUNCTION("""COMPUTED_VALUE"""),9.0)</f>
        <v>9</v>
      </c>
      <c r="AZ48" s="289">
        <f>IFERROR(__xludf.DUMMYFUNCTION("""COMPUTED_VALUE"""),9.0)</f>
        <v>9</v>
      </c>
      <c r="BA48" s="289">
        <f>IFERROR(__xludf.DUMMYFUNCTION("""COMPUTED_VALUE"""),10.0)</f>
        <v>10</v>
      </c>
      <c r="BB48" s="289">
        <f>IFERROR(__xludf.DUMMYFUNCTION("""COMPUTED_VALUE"""),15.0)</f>
        <v>15</v>
      </c>
      <c r="BC48" s="289">
        <f>IFERROR(__xludf.DUMMYFUNCTION("""COMPUTED_VALUE"""),23.0)</f>
        <v>23</v>
      </c>
      <c r="BD48" s="290">
        <f>IFERROR(__xludf.DUMMYFUNCTION("""COMPUTED_VALUE"""),25.0)</f>
        <v>25</v>
      </c>
      <c r="BE48" s="279" t="str">
        <f>IFERROR(__xludf.DUMMYFUNCTION("""COMPUTED_VALUE"""),"範囲(小：威力減)")</f>
        <v>範囲(小：威力減)</v>
      </c>
      <c r="BF48" s="283">
        <f>IFERROR(__xludf.DUMMYFUNCTION("""COMPUTED_VALUE"""),5.0)</f>
        <v>5</v>
      </c>
      <c r="BG48" s="284" t="str">
        <f>IFERROR(__xludf.DUMMYFUNCTION("""COMPUTED_VALUE"""),"効果値")</f>
        <v>効果値</v>
      </c>
      <c r="BH48" s="289">
        <f>IFERROR(__xludf.DUMMYFUNCTION("""COMPUTED_VALUE"""),8.0)</f>
        <v>8</v>
      </c>
      <c r="BI48" s="289">
        <f>IFERROR(__xludf.DUMMYFUNCTION("""COMPUTED_VALUE"""),8.0)</f>
        <v>8</v>
      </c>
      <c r="BJ48" s="289">
        <f>IFERROR(__xludf.DUMMYFUNCTION("""COMPUTED_VALUE"""),9.0)</f>
        <v>9</v>
      </c>
      <c r="BK48" s="289">
        <f>IFERROR(__xludf.DUMMYFUNCTION("""COMPUTED_VALUE"""),9.0)</f>
        <v>9</v>
      </c>
      <c r="BL48" s="289">
        <f>IFERROR(__xludf.DUMMYFUNCTION("""COMPUTED_VALUE"""),10.0)</f>
        <v>10</v>
      </c>
      <c r="BM48" s="289">
        <f>IFERROR(__xludf.DUMMYFUNCTION("""COMPUTED_VALUE"""),15.0)</f>
        <v>15</v>
      </c>
      <c r="BN48" s="289">
        <f>IFERROR(__xludf.DUMMYFUNCTION("""COMPUTED_VALUE"""),23.0)</f>
        <v>23</v>
      </c>
      <c r="BO48" s="290">
        <f>IFERROR(__xludf.DUMMYFUNCTION("""COMPUTED_VALUE"""),25.0)</f>
        <v>25</v>
      </c>
    </row>
    <row r="49">
      <c r="A49" s="259" t="str">
        <f>IFERROR(__xludf.DUMMYFUNCTION("""COMPUTED_VALUE"""),"ノックバック")</f>
        <v>ノックバック</v>
      </c>
      <c r="B49" s="260" t="str">
        <f>IFERROR(__xludf.DUMMYFUNCTION("""COMPUTED_VALUE"""),"単体")</f>
        <v>単体</v>
      </c>
      <c r="C49" s="261">
        <f>IFERROR(__xludf.DUMMYFUNCTION("""COMPUTED_VALUE"""),1.0)</f>
        <v>1</v>
      </c>
      <c r="D49" s="262" t="str">
        <f>IFERROR(__xludf.DUMMYFUNCTION("""COMPUTED_VALUE"""),"効果値")</f>
        <v>効果値</v>
      </c>
      <c r="E49" s="266">
        <f>IFERROR(__xludf.DUMMYFUNCTION("""COMPUTED_VALUE"""),1.0)</f>
        <v>1</v>
      </c>
      <c r="F49" s="263">
        <f>IFERROR(__xludf.DUMMYFUNCTION("""COMPUTED_VALUE"""),1.0)</f>
        <v>1</v>
      </c>
      <c r="G49" s="263">
        <f>IFERROR(__xludf.DUMMYFUNCTION("""COMPUTED_VALUE"""),1.0)</f>
        <v>1</v>
      </c>
      <c r="H49" s="263">
        <f>IFERROR(__xludf.DUMMYFUNCTION("""COMPUTED_VALUE"""),1.0)</f>
        <v>1</v>
      </c>
      <c r="I49" s="263">
        <f>IFERROR(__xludf.DUMMYFUNCTION("""COMPUTED_VALUE"""),1.0)</f>
        <v>1</v>
      </c>
      <c r="J49" s="263">
        <f>IFERROR(__xludf.DUMMYFUNCTION("""COMPUTED_VALUE"""),1.0)</f>
        <v>1</v>
      </c>
      <c r="K49" s="263">
        <f>IFERROR(__xludf.DUMMYFUNCTION("""COMPUTED_VALUE"""),1.0)</f>
        <v>1</v>
      </c>
      <c r="L49" s="266">
        <f>IFERROR(__xludf.DUMMYFUNCTION("""COMPUTED_VALUE"""),1.0)</f>
        <v>1</v>
      </c>
      <c r="M49" s="267" t="str">
        <f>IFERROR(__xludf.DUMMYFUNCTION("""COMPUTED_VALUE"""),"範囲(小)")</f>
        <v>範囲(小)</v>
      </c>
      <c r="N49" s="261">
        <f>IFERROR(__xludf.DUMMYFUNCTION("""COMPUTED_VALUE"""),1.0)</f>
        <v>1</v>
      </c>
      <c r="O49" s="262" t="str">
        <f>IFERROR(__xludf.DUMMYFUNCTION("""COMPUTED_VALUE"""),"効果値")</f>
        <v>効果値</v>
      </c>
      <c r="P49" s="294">
        <f>IFERROR(__xludf.DUMMYFUNCTION("""COMPUTED_VALUE"""),1.0)</f>
        <v>1</v>
      </c>
      <c r="Q49" s="294">
        <f>IFERROR(__xludf.DUMMYFUNCTION("""COMPUTED_VALUE"""),1.0)</f>
        <v>1</v>
      </c>
      <c r="R49" s="294">
        <f>IFERROR(__xludf.DUMMYFUNCTION("""COMPUTED_VALUE"""),1.0)</f>
        <v>1</v>
      </c>
      <c r="S49" s="294">
        <f>IFERROR(__xludf.DUMMYFUNCTION("""COMPUTED_VALUE"""),1.0)</f>
        <v>1</v>
      </c>
      <c r="T49" s="294">
        <f>IFERROR(__xludf.DUMMYFUNCTION("""COMPUTED_VALUE"""),1.0)</f>
        <v>1</v>
      </c>
      <c r="U49" s="294">
        <f>IFERROR(__xludf.DUMMYFUNCTION("""COMPUTED_VALUE"""),1.0)</f>
        <v>1</v>
      </c>
      <c r="V49" s="294">
        <f>IFERROR(__xludf.DUMMYFUNCTION("""COMPUTED_VALUE"""),1.0)</f>
        <v>1</v>
      </c>
      <c r="W49" s="295">
        <f>IFERROR(__xludf.DUMMYFUNCTION("""COMPUTED_VALUE"""),1.0)</f>
        <v>1</v>
      </c>
      <c r="X49" s="267" t="str">
        <f>IFERROR(__xludf.DUMMYFUNCTION("""COMPUTED_VALUE"""),"範囲(中)")</f>
        <v>範囲(中)</v>
      </c>
      <c r="Y49" s="261">
        <f>IFERROR(__xludf.DUMMYFUNCTION("""COMPUTED_VALUE"""),1.0)</f>
        <v>1</v>
      </c>
      <c r="Z49" s="262" t="str">
        <f>IFERROR(__xludf.DUMMYFUNCTION("""COMPUTED_VALUE"""),"効果値")</f>
        <v>効果値</v>
      </c>
      <c r="AA49" s="294">
        <f>IFERROR(__xludf.DUMMYFUNCTION("""COMPUTED_VALUE"""),1.0)</f>
        <v>1</v>
      </c>
      <c r="AB49" s="294">
        <f>IFERROR(__xludf.DUMMYFUNCTION("""COMPUTED_VALUE"""),1.0)</f>
        <v>1</v>
      </c>
      <c r="AC49" s="294">
        <f>IFERROR(__xludf.DUMMYFUNCTION("""COMPUTED_VALUE"""),1.0)</f>
        <v>1</v>
      </c>
      <c r="AD49" s="294">
        <f>IFERROR(__xludf.DUMMYFUNCTION("""COMPUTED_VALUE"""),1.0)</f>
        <v>1</v>
      </c>
      <c r="AE49" s="294">
        <f>IFERROR(__xludf.DUMMYFUNCTION("""COMPUTED_VALUE"""),1.0)</f>
        <v>1</v>
      </c>
      <c r="AF49" s="294">
        <f>IFERROR(__xludf.DUMMYFUNCTION("""COMPUTED_VALUE"""),1.0)</f>
        <v>1</v>
      </c>
      <c r="AG49" s="294">
        <f>IFERROR(__xludf.DUMMYFUNCTION("""COMPUTED_VALUE"""),1.0)</f>
        <v>1</v>
      </c>
      <c r="AH49" s="295">
        <f>IFERROR(__xludf.DUMMYFUNCTION("""COMPUTED_VALUE"""),1.0)</f>
        <v>1</v>
      </c>
      <c r="AI49" s="267" t="str">
        <f>IFERROR(__xludf.DUMMYFUNCTION("""COMPUTED_VALUE"""),"範囲(大)")</f>
        <v>範囲(大)</v>
      </c>
      <c r="AJ49" s="261">
        <f>IFERROR(__xludf.DUMMYFUNCTION("""COMPUTED_VALUE"""),1.0)</f>
        <v>1</v>
      </c>
      <c r="AK49" s="262" t="str">
        <f>IFERROR(__xludf.DUMMYFUNCTION("""COMPUTED_VALUE"""),"効果値")</f>
        <v>効果値</v>
      </c>
      <c r="AL49" s="294">
        <f>IFERROR(__xludf.DUMMYFUNCTION("""COMPUTED_VALUE"""),1.0)</f>
        <v>1</v>
      </c>
      <c r="AM49" s="294">
        <f>IFERROR(__xludf.DUMMYFUNCTION("""COMPUTED_VALUE"""),1.0)</f>
        <v>1</v>
      </c>
      <c r="AN49" s="294">
        <f>IFERROR(__xludf.DUMMYFUNCTION("""COMPUTED_VALUE"""),1.0)</f>
        <v>1</v>
      </c>
      <c r="AO49" s="294">
        <f>IFERROR(__xludf.DUMMYFUNCTION("""COMPUTED_VALUE"""),1.0)</f>
        <v>1</v>
      </c>
      <c r="AP49" s="294">
        <f>IFERROR(__xludf.DUMMYFUNCTION("""COMPUTED_VALUE"""),1.0)</f>
        <v>1</v>
      </c>
      <c r="AQ49" s="294">
        <f>IFERROR(__xludf.DUMMYFUNCTION("""COMPUTED_VALUE"""),1.0)</f>
        <v>1</v>
      </c>
      <c r="AR49" s="294">
        <f>IFERROR(__xludf.DUMMYFUNCTION("""COMPUTED_VALUE"""),1.0)</f>
        <v>1</v>
      </c>
      <c r="AS49" s="295">
        <f>IFERROR(__xludf.DUMMYFUNCTION("""COMPUTED_VALUE"""),1.0)</f>
        <v>1</v>
      </c>
      <c r="AT49" s="267" t="str">
        <f>IFERROR(__xludf.DUMMYFUNCTION("""COMPUTED_VALUE"""),"範囲(特大)")</f>
        <v>範囲(特大)</v>
      </c>
      <c r="AU49" s="261">
        <f>IFERROR(__xludf.DUMMYFUNCTION("""COMPUTED_VALUE"""),1.0)</f>
        <v>1</v>
      </c>
      <c r="AV49" s="262" t="str">
        <f>IFERROR(__xludf.DUMMYFUNCTION("""COMPUTED_VALUE"""),"効果値")</f>
        <v>効果値</v>
      </c>
      <c r="AW49" s="294">
        <f>IFERROR(__xludf.DUMMYFUNCTION("""COMPUTED_VALUE"""),1.0)</f>
        <v>1</v>
      </c>
      <c r="AX49" s="294">
        <f>IFERROR(__xludf.DUMMYFUNCTION("""COMPUTED_VALUE"""),1.0)</f>
        <v>1</v>
      </c>
      <c r="AY49" s="294">
        <f>IFERROR(__xludf.DUMMYFUNCTION("""COMPUTED_VALUE"""),1.0)</f>
        <v>1</v>
      </c>
      <c r="AZ49" s="294">
        <f>IFERROR(__xludf.DUMMYFUNCTION("""COMPUTED_VALUE"""),1.0)</f>
        <v>1</v>
      </c>
      <c r="BA49" s="294">
        <f>IFERROR(__xludf.DUMMYFUNCTION("""COMPUTED_VALUE"""),1.0)</f>
        <v>1</v>
      </c>
      <c r="BB49" s="294">
        <f>IFERROR(__xludf.DUMMYFUNCTION("""COMPUTED_VALUE"""),1.0)</f>
        <v>1</v>
      </c>
      <c r="BC49" s="294">
        <f>IFERROR(__xludf.DUMMYFUNCTION("""COMPUTED_VALUE"""),1.0)</f>
        <v>1</v>
      </c>
      <c r="BD49" s="295">
        <f>IFERROR(__xludf.DUMMYFUNCTION("""COMPUTED_VALUE"""),1.0)</f>
        <v>1</v>
      </c>
      <c r="BE49" s="270" t="str">
        <f>IFERROR(__xludf.DUMMYFUNCTION("""COMPUTED_VALUE"""),"範囲(小：威力減)")</f>
        <v>範囲(小：威力減)</v>
      </c>
      <c r="BF49" s="261">
        <f>IFERROR(__xludf.DUMMYFUNCTION("""COMPUTED_VALUE"""),1.0)</f>
        <v>1</v>
      </c>
      <c r="BG49" s="262" t="str">
        <f>IFERROR(__xludf.DUMMYFUNCTION("""COMPUTED_VALUE"""),"効果値")</f>
        <v>効果値</v>
      </c>
      <c r="BH49" s="294">
        <f>IFERROR(__xludf.DUMMYFUNCTION("""COMPUTED_VALUE"""),1.0)</f>
        <v>1</v>
      </c>
      <c r="BI49" s="294">
        <f>IFERROR(__xludf.DUMMYFUNCTION("""COMPUTED_VALUE"""),1.0)</f>
        <v>1</v>
      </c>
      <c r="BJ49" s="294">
        <f>IFERROR(__xludf.DUMMYFUNCTION("""COMPUTED_VALUE"""),1.0)</f>
        <v>1</v>
      </c>
      <c r="BK49" s="294">
        <f>IFERROR(__xludf.DUMMYFUNCTION("""COMPUTED_VALUE"""),1.0)</f>
        <v>1</v>
      </c>
      <c r="BL49" s="294">
        <f>IFERROR(__xludf.DUMMYFUNCTION("""COMPUTED_VALUE"""),1.0)</f>
        <v>1</v>
      </c>
      <c r="BM49" s="294">
        <f>IFERROR(__xludf.DUMMYFUNCTION("""COMPUTED_VALUE"""),1.0)</f>
        <v>1</v>
      </c>
      <c r="BN49" s="294">
        <f>IFERROR(__xludf.DUMMYFUNCTION("""COMPUTED_VALUE"""),1.0)</f>
        <v>1</v>
      </c>
      <c r="BO49" s="295">
        <f>IFERROR(__xludf.DUMMYFUNCTION("""COMPUTED_VALUE"""),1.0)</f>
        <v>1</v>
      </c>
    </row>
    <row r="50">
      <c r="A50" s="271" t="str">
        <f>IFERROR(__xludf.DUMMYFUNCTION("""COMPUTED_VALUE"""),"ノックバック")</f>
        <v>ノックバック</v>
      </c>
      <c r="B50" s="272" t="str">
        <f>IFERROR(__xludf.DUMMYFUNCTION("""COMPUTED_VALUE"""),"単体")</f>
        <v>単体</v>
      </c>
      <c r="C50" s="273">
        <f>IFERROR(__xludf.DUMMYFUNCTION("""COMPUTED_VALUE"""),2.0)</f>
        <v>2</v>
      </c>
      <c r="D50" s="274" t="str">
        <f>IFERROR(__xludf.DUMMYFUNCTION("""COMPUTED_VALUE"""),"効果値")</f>
        <v>効果値</v>
      </c>
      <c r="E50" s="296">
        <f>IFERROR(__xludf.DUMMYFUNCTION("""COMPUTED_VALUE"""),1.0)</f>
        <v>1</v>
      </c>
      <c r="F50" s="280">
        <f>IFERROR(__xludf.DUMMYFUNCTION("""COMPUTED_VALUE"""),1.0)</f>
        <v>1</v>
      </c>
      <c r="G50" s="280">
        <f>IFERROR(__xludf.DUMMYFUNCTION("""COMPUTED_VALUE"""),1.0)</f>
        <v>1</v>
      </c>
      <c r="H50" s="280">
        <f>IFERROR(__xludf.DUMMYFUNCTION("""COMPUTED_VALUE"""),1.0)</f>
        <v>1</v>
      </c>
      <c r="I50" s="280">
        <f>IFERROR(__xludf.DUMMYFUNCTION("""COMPUTED_VALUE"""),1.0)</f>
        <v>1</v>
      </c>
      <c r="J50" s="280">
        <f>IFERROR(__xludf.DUMMYFUNCTION("""COMPUTED_VALUE"""),1.0)</f>
        <v>1</v>
      </c>
      <c r="K50" s="280">
        <f>IFERROR(__xludf.DUMMYFUNCTION("""COMPUTED_VALUE"""),1.0)</f>
        <v>1</v>
      </c>
      <c r="L50" s="280">
        <f>IFERROR(__xludf.DUMMYFUNCTION("""COMPUTED_VALUE"""),2.0)</f>
        <v>2</v>
      </c>
      <c r="M50" s="276" t="str">
        <f>IFERROR(__xludf.DUMMYFUNCTION("""COMPUTED_VALUE"""),"範囲(小)")</f>
        <v>範囲(小)</v>
      </c>
      <c r="N50" s="273">
        <f>IFERROR(__xludf.DUMMYFUNCTION("""COMPUTED_VALUE"""),2.0)</f>
        <v>2</v>
      </c>
      <c r="O50" s="274" t="str">
        <f>IFERROR(__xludf.DUMMYFUNCTION("""COMPUTED_VALUE"""),"効果値")</f>
        <v>効果値</v>
      </c>
      <c r="P50" s="297">
        <f>IFERROR(__xludf.DUMMYFUNCTION("""COMPUTED_VALUE"""),1.0)</f>
        <v>1</v>
      </c>
      <c r="Q50" s="297">
        <f>IFERROR(__xludf.DUMMYFUNCTION("""COMPUTED_VALUE"""),1.0)</f>
        <v>1</v>
      </c>
      <c r="R50" s="297">
        <f>IFERROR(__xludf.DUMMYFUNCTION("""COMPUTED_VALUE"""),1.0)</f>
        <v>1</v>
      </c>
      <c r="S50" s="297">
        <f>IFERROR(__xludf.DUMMYFUNCTION("""COMPUTED_VALUE"""),1.0)</f>
        <v>1</v>
      </c>
      <c r="T50" s="297">
        <f>IFERROR(__xludf.DUMMYFUNCTION("""COMPUTED_VALUE"""),1.0)</f>
        <v>1</v>
      </c>
      <c r="U50" s="297">
        <f>IFERROR(__xludf.DUMMYFUNCTION("""COMPUTED_VALUE"""),1.0)</f>
        <v>1</v>
      </c>
      <c r="V50" s="297">
        <f>IFERROR(__xludf.DUMMYFUNCTION("""COMPUTED_VALUE"""),1.0)</f>
        <v>1</v>
      </c>
      <c r="W50" s="298">
        <f>IFERROR(__xludf.DUMMYFUNCTION("""COMPUTED_VALUE"""),2.0)</f>
        <v>2</v>
      </c>
      <c r="X50" s="276" t="str">
        <f>IFERROR(__xludf.DUMMYFUNCTION("""COMPUTED_VALUE"""),"範囲(中)")</f>
        <v>範囲(中)</v>
      </c>
      <c r="Y50" s="273">
        <f>IFERROR(__xludf.DUMMYFUNCTION("""COMPUTED_VALUE"""),2.0)</f>
        <v>2</v>
      </c>
      <c r="Z50" s="274" t="str">
        <f>IFERROR(__xludf.DUMMYFUNCTION("""COMPUTED_VALUE"""),"効果値")</f>
        <v>効果値</v>
      </c>
      <c r="AA50" s="297">
        <f>IFERROR(__xludf.DUMMYFUNCTION("""COMPUTED_VALUE"""),1.0)</f>
        <v>1</v>
      </c>
      <c r="AB50" s="297">
        <f>IFERROR(__xludf.DUMMYFUNCTION("""COMPUTED_VALUE"""),1.0)</f>
        <v>1</v>
      </c>
      <c r="AC50" s="297">
        <f>IFERROR(__xludf.DUMMYFUNCTION("""COMPUTED_VALUE"""),1.0)</f>
        <v>1</v>
      </c>
      <c r="AD50" s="297">
        <f>IFERROR(__xludf.DUMMYFUNCTION("""COMPUTED_VALUE"""),1.0)</f>
        <v>1</v>
      </c>
      <c r="AE50" s="297">
        <f>IFERROR(__xludf.DUMMYFUNCTION("""COMPUTED_VALUE"""),1.0)</f>
        <v>1</v>
      </c>
      <c r="AF50" s="297">
        <f>IFERROR(__xludf.DUMMYFUNCTION("""COMPUTED_VALUE"""),1.0)</f>
        <v>1</v>
      </c>
      <c r="AG50" s="297">
        <f>IFERROR(__xludf.DUMMYFUNCTION("""COMPUTED_VALUE"""),1.0)</f>
        <v>1</v>
      </c>
      <c r="AH50" s="298">
        <f>IFERROR(__xludf.DUMMYFUNCTION("""COMPUTED_VALUE"""),2.0)</f>
        <v>2</v>
      </c>
      <c r="AI50" s="276" t="str">
        <f>IFERROR(__xludf.DUMMYFUNCTION("""COMPUTED_VALUE"""),"範囲(大)")</f>
        <v>範囲(大)</v>
      </c>
      <c r="AJ50" s="273">
        <f>IFERROR(__xludf.DUMMYFUNCTION("""COMPUTED_VALUE"""),2.0)</f>
        <v>2</v>
      </c>
      <c r="AK50" s="274" t="str">
        <f>IFERROR(__xludf.DUMMYFUNCTION("""COMPUTED_VALUE"""),"効果値")</f>
        <v>効果値</v>
      </c>
      <c r="AL50" s="297">
        <f>IFERROR(__xludf.DUMMYFUNCTION("""COMPUTED_VALUE"""),1.0)</f>
        <v>1</v>
      </c>
      <c r="AM50" s="297">
        <f>IFERROR(__xludf.DUMMYFUNCTION("""COMPUTED_VALUE"""),1.0)</f>
        <v>1</v>
      </c>
      <c r="AN50" s="297">
        <f>IFERROR(__xludf.DUMMYFUNCTION("""COMPUTED_VALUE"""),1.0)</f>
        <v>1</v>
      </c>
      <c r="AO50" s="297">
        <f>IFERROR(__xludf.DUMMYFUNCTION("""COMPUTED_VALUE"""),1.0)</f>
        <v>1</v>
      </c>
      <c r="AP50" s="297">
        <f>IFERROR(__xludf.DUMMYFUNCTION("""COMPUTED_VALUE"""),1.0)</f>
        <v>1</v>
      </c>
      <c r="AQ50" s="297">
        <f>IFERROR(__xludf.DUMMYFUNCTION("""COMPUTED_VALUE"""),1.0)</f>
        <v>1</v>
      </c>
      <c r="AR50" s="297">
        <f>IFERROR(__xludf.DUMMYFUNCTION("""COMPUTED_VALUE"""),1.0)</f>
        <v>1</v>
      </c>
      <c r="AS50" s="298">
        <f>IFERROR(__xludf.DUMMYFUNCTION("""COMPUTED_VALUE"""),2.0)</f>
        <v>2</v>
      </c>
      <c r="AT50" s="276" t="str">
        <f>IFERROR(__xludf.DUMMYFUNCTION("""COMPUTED_VALUE"""),"範囲(特大)")</f>
        <v>範囲(特大)</v>
      </c>
      <c r="AU50" s="273">
        <f>IFERROR(__xludf.DUMMYFUNCTION("""COMPUTED_VALUE"""),2.0)</f>
        <v>2</v>
      </c>
      <c r="AV50" s="274" t="str">
        <f>IFERROR(__xludf.DUMMYFUNCTION("""COMPUTED_VALUE"""),"効果値")</f>
        <v>効果値</v>
      </c>
      <c r="AW50" s="297">
        <f>IFERROR(__xludf.DUMMYFUNCTION("""COMPUTED_VALUE"""),1.0)</f>
        <v>1</v>
      </c>
      <c r="AX50" s="297">
        <f>IFERROR(__xludf.DUMMYFUNCTION("""COMPUTED_VALUE"""),1.0)</f>
        <v>1</v>
      </c>
      <c r="AY50" s="297">
        <f>IFERROR(__xludf.DUMMYFUNCTION("""COMPUTED_VALUE"""),1.0)</f>
        <v>1</v>
      </c>
      <c r="AZ50" s="297">
        <f>IFERROR(__xludf.DUMMYFUNCTION("""COMPUTED_VALUE"""),1.0)</f>
        <v>1</v>
      </c>
      <c r="BA50" s="297">
        <f>IFERROR(__xludf.DUMMYFUNCTION("""COMPUTED_VALUE"""),1.0)</f>
        <v>1</v>
      </c>
      <c r="BB50" s="297">
        <f>IFERROR(__xludf.DUMMYFUNCTION("""COMPUTED_VALUE"""),1.0)</f>
        <v>1</v>
      </c>
      <c r="BC50" s="297">
        <f>IFERROR(__xludf.DUMMYFUNCTION("""COMPUTED_VALUE"""),1.0)</f>
        <v>1</v>
      </c>
      <c r="BD50" s="298">
        <f>IFERROR(__xludf.DUMMYFUNCTION("""COMPUTED_VALUE"""),2.0)</f>
        <v>2</v>
      </c>
      <c r="BE50" s="279" t="str">
        <f>IFERROR(__xludf.DUMMYFUNCTION("""COMPUTED_VALUE"""),"範囲(小：威力減)")</f>
        <v>範囲(小：威力減)</v>
      </c>
      <c r="BF50" s="273">
        <f>IFERROR(__xludf.DUMMYFUNCTION("""COMPUTED_VALUE"""),2.0)</f>
        <v>2</v>
      </c>
      <c r="BG50" s="274" t="str">
        <f>IFERROR(__xludf.DUMMYFUNCTION("""COMPUTED_VALUE"""),"効果値")</f>
        <v>効果値</v>
      </c>
      <c r="BH50" s="297">
        <f>IFERROR(__xludf.DUMMYFUNCTION("""COMPUTED_VALUE"""),1.0)</f>
        <v>1</v>
      </c>
      <c r="BI50" s="297">
        <f>IFERROR(__xludf.DUMMYFUNCTION("""COMPUTED_VALUE"""),1.0)</f>
        <v>1</v>
      </c>
      <c r="BJ50" s="297">
        <f>IFERROR(__xludf.DUMMYFUNCTION("""COMPUTED_VALUE"""),1.0)</f>
        <v>1</v>
      </c>
      <c r="BK50" s="297">
        <f>IFERROR(__xludf.DUMMYFUNCTION("""COMPUTED_VALUE"""),1.0)</f>
        <v>1</v>
      </c>
      <c r="BL50" s="297">
        <f>IFERROR(__xludf.DUMMYFUNCTION("""COMPUTED_VALUE"""),1.0)</f>
        <v>1</v>
      </c>
      <c r="BM50" s="297">
        <f>IFERROR(__xludf.DUMMYFUNCTION("""COMPUTED_VALUE"""),1.0)</f>
        <v>1</v>
      </c>
      <c r="BN50" s="297">
        <f>IFERROR(__xludf.DUMMYFUNCTION("""COMPUTED_VALUE"""),1.0)</f>
        <v>1</v>
      </c>
      <c r="BO50" s="298">
        <f>IFERROR(__xludf.DUMMYFUNCTION("""COMPUTED_VALUE"""),2.0)</f>
        <v>2</v>
      </c>
    </row>
    <row r="51">
      <c r="A51" s="271" t="str">
        <f>IFERROR(__xludf.DUMMYFUNCTION("""COMPUTED_VALUE"""),"ノックバック")</f>
        <v>ノックバック</v>
      </c>
      <c r="B51" s="272" t="str">
        <f>IFERROR(__xludf.DUMMYFUNCTION("""COMPUTED_VALUE"""),"単体")</f>
        <v>単体</v>
      </c>
      <c r="C51" s="273">
        <f>IFERROR(__xludf.DUMMYFUNCTION("""COMPUTED_VALUE"""),3.0)</f>
        <v>3</v>
      </c>
      <c r="D51" s="274" t="str">
        <f>IFERROR(__xludf.DUMMYFUNCTION("""COMPUTED_VALUE"""),"効果値")</f>
        <v>効果値</v>
      </c>
      <c r="E51" s="296">
        <f>IFERROR(__xludf.DUMMYFUNCTION("""COMPUTED_VALUE"""),1.0)</f>
        <v>1</v>
      </c>
      <c r="F51" s="280">
        <f>IFERROR(__xludf.DUMMYFUNCTION("""COMPUTED_VALUE"""),1.0)</f>
        <v>1</v>
      </c>
      <c r="G51" s="280">
        <f>IFERROR(__xludf.DUMMYFUNCTION("""COMPUTED_VALUE"""),1.0)</f>
        <v>1</v>
      </c>
      <c r="H51" s="280">
        <f>IFERROR(__xludf.DUMMYFUNCTION("""COMPUTED_VALUE"""),1.0)</f>
        <v>1</v>
      </c>
      <c r="I51" s="280">
        <f>IFERROR(__xludf.DUMMYFUNCTION("""COMPUTED_VALUE"""),1.0)</f>
        <v>1</v>
      </c>
      <c r="J51" s="280">
        <f>IFERROR(__xludf.DUMMYFUNCTION("""COMPUTED_VALUE"""),1.0)</f>
        <v>1</v>
      </c>
      <c r="K51" s="280">
        <f>IFERROR(__xludf.DUMMYFUNCTION("""COMPUTED_VALUE"""),2.0)</f>
        <v>2</v>
      </c>
      <c r="L51" s="280">
        <f>IFERROR(__xludf.DUMMYFUNCTION("""COMPUTED_VALUE"""),2.0)</f>
        <v>2</v>
      </c>
      <c r="M51" s="276" t="str">
        <f>IFERROR(__xludf.DUMMYFUNCTION("""COMPUTED_VALUE"""),"範囲(小)")</f>
        <v>範囲(小)</v>
      </c>
      <c r="N51" s="273">
        <f>IFERROR(__xludf.DUMMYFUNCTION("""COMPUTED_VALUE"""),3.0)</f>
        <v>3</v>
      </c>
      <c r="O51" s="274" t="str">
        <f>IFERROR(__xludf.DUMMYFUNCTION("""COMPUTED_VALUE"""),"効果値")</f>
        <v>効果値</v>
      </c>
      <c r="P51" s="297">
        <f>IFERROR(__xludf.DUMMYFUNCTION("""COMPUTED_VALUE"""),1.0)</f>
        <v>1</v>
      </c>
      <c r="Q51" s="297">
        <f>IFERROR(__xludf.DUMMYFUNCTION("""COMPUTED_VALUE"""),1.0)</f>
        <v>1</v>
      </c>
      <c r="R51" s="297">
        <f>IFERROR(__xludf.DUMMYFUNCTION("""COMPUTED_VALUE"""),1.0)</f>
        <v>1</v>
      </c>
      <c r="S51" s="297">
        <f>IFERROR(__xludf.DUMMYFUNCTION("""COMPUTED_VALUE"""),1.0)</f>
        <v>1</v>
      </c>
      <c r="T51" s="297">
        <f>IFERROR(__xludf.DUMMYFUNCTION("""COMPUTED_VALUE"""),1.0)</f>
        <v>1</v>
      </c>
      <c r="U51" s="297">
        <f>IFERROR(__xludf.DUMMYFUNCTION("""COMPUTED_VALUE"""),1.0)</f>
        <v>1</v>
      </c>
      <c r="V51" s="297">
        <f>IFERROR(__xludf.DUMMYFUNCTION("""COMPUTED_VALUE"""),2.0)</f>
        <v>2</v>
      </c>
      <c r="W51" s="298">
        <f>IFERROR(__xludf.DUMMYFUNCTION("""COMPUTED_VALUE"""),2.0)</f>
        <v>2</v>
      </c>
      <c r="X51" s="276" t="str">
        <f>IFERROR(__xludf.DUMMYFUNCTION("""COMPUTED_VALUE"""),"範囲(中)")</f>
        <v>範囲(中)</v>
      </c>
      <c r="Y51" s="273">
        <f>IFERROR(__xludf.DUMMYFUNCTION("""COMPUTED_VALUE"""),3.0)</f>
        <v>3</v>
      </c>
      <c r="Z51" s="274" t="str">
        <f>IFERROR(__xludf.DUMMYFUNCTION("""COMPUTED_VALUE"""),"効果値")</f>
        <v>効果値</v>
      </c>
      <c r="AA51" s="297">
        <f>IFERROR(__xludf.DUMMYFUNCTION("""COMPUTED_VALUE"""),1.0)</f>
        <v>1</v>
      </c>
      <c r="AB51" s="297">
        <f>IFERROR(__xludf.DUMMYFUNCTION("""COMPUTED_VALUE"""),1.0)</f>
        <v>1</v>
      </c>
      <c r="AC51" s="297">
        <f>IFERROR(__xludf.DUMMYFUNCTION("""COMPUTED_VALUE"""),1.0)</f>
        <v>1</v>
      </c>
      <c r="AD51" s="297">
        <f>IFERROR(__xludf.DUMMYFUNCTION("""COMPUTED_VALUE"""),1.0)</f>
        <v>1</v>
      </c>
      <c r="AE51" s="297">
        <f>IFERROR(__xludf.DUMMYFUNCTION("""COMPUTED_VALUE"""),1.0)</f>
        <v>1</v>
      </c>
      <c r="AF51" s="297">
        <f>IFERROR(__xludf.DUMMYFUNCTION("""COMPUTED_VALUE"""),1.0)</f>
        <v>1</v>
      </c>
      <c r="AG51" s="297">
        <f>IFERROR(__xludf.DUMMYFUNCTION("""COMPUTED_VALUE"""),2.0)</f>
        <v>2</v>
      </c>
      <c r="AH51" s="298">
        <f>IFERROR(__xludf.DUMMYFUNCTION("""COMPUTED_VALUE"""),2.0)</f>
        <v>2</v>
      </c>
      <c r="AI51" s="276" t="str">
        <f>IFERROR(__xludf.DUMMYFUNCTION("""COMPUTED_VALUE"""),"範囲(大)")</f>
        <v>範囲(大)</v>
      </c>
      <c r="AJ51" s="273">
        <f>IFERROR(__xludf.DUMMYFUNCTION("""COMPUTED_VALUE"""),3.0)</f>
        <v>3</v>
      </c>
      <c r="AK51" s="274" t="str">
        <f>IFERROR(__xludf.DUMMYFUNCTION("""COMPUTED_VALUE"""),"効果値")</f>
        <v>効果値</v>
      </c>
      <c r="AL51" s="297">
        <f>IFERROR(__xludf.DUMMYFUNCTION("""COMPUTED_VALUE"""),1.0)</f>
        <v>1</v>
      </c>
      <c r="AM51" s="297">
        <f>IFERROR(__xludf.DUMMYFUNCTION("""COMPUTED_VALUE"""),1.0)</f>
        <v>1</v>
      </c>
      <c r="AN51" s="297">
        <f>IFERROR(__xludf.DUMMYFUNCTION("""COMPUTED_VALUE"""),1.0)</f>
        <v>1</v>
      </c>
      <c r="AO51" s="297">
        <f>IFERROR(__xludf.DUMMYFUNCTION("""COMPUTED_VALUE"""),1.0)</f>
        <v>1</v>
      </c>
      <c r="AP51" s="297">
        <f>IFERROR(__xludf.DUMMYFUNCTION("""COMPUTED_VALUE"""),1.0)</f>
        <v>1</v>
      </c>
      <c r="AQ51" s="297">
        <f>IFERROR(__xludf.DUMMYFUNCTION("""COMPUTED_VALUE"""),1.0)</f>
        <v>1</v>
      </c>
      <c r="AR51" s="297">
        <f>IFERROR(__xludf.DUMMYFUNCTION("""COMPUTED_VALUE"""),2.0)</f>
        <v>2</v>
      </c>
      <c r="AS51" s="298">
        <f>IFERROR(__xludf.DUMMYFUNCTION("""COMPUTED_VALUE"""),2.0)</f>
        <v>2</v>
      </c>
      <c r="AT51" s="276" t="str">
        <f>IFERROR(__xludf.DUMMYFUNCTION("""COMPUTED_VALUE"""),"範囲(特大)")</f>
        <v>範囲(特大)</v>
      </c>
      <c r="AU51" s="273">
        <f>IFERROR(__xludf.DUMMYFUNCTION("""COMPUTED_VALUE"""),3.0)</f>
        <v>3</v>
      </c>
      <c r="AV51" s="274" t="str">
        <f>IFERROR(__xludf.DUMMYFUNCTION("""COMPUTED_VALUE"""),"効果値")</f>
        <v>効果値</v>
      </c>
      <c r="AW51" s="297">
        <f>IFERROR(__xludf.DUMMYFUNCTION("""COMPUTED_VALUE"""),1.0)</f>
        <v>1</v>
      </c>
      <c r="AX51" s="297">
        <f>IFERROR(__xludf.DUMMYFUNCTION("""COMPUTED_VALUE"""),1.0)</f>
        <v>1</v>
      </c>
      <c r="AY51" s="297">
        <f>IFERROR(__xludf.DUMMYFUNCTION("""COMPUTED_VALUE"""),1.0)</f>
        <v>1</v>
      </c>
      <c r="AZ51" s="297">
        <f>IFERROR(__xludf.DUMMYFUNCTION("""COMPUTED_VALUE"""),1.0)</f>
        <v>1</v>
      </c>
      <c r="BA51" s="297">
        <f>IFERROR(__xludf.DUMMYFUNCTION("""COMPUTED_VALUE"""),1.0)</f>
        <v>1</v>
      </c>
      <c r="BB51" s="297">
        <f>IFERROR(__xludf.DUMMYFUNCTION("""COMPUTED_VALUE"""),1.0)</f>
        <v>1</v>
      </c>
      <c r="BC51" s="297">
        <f>IFERROR(__xludf.DUMMYFUNCTION("""COMPUTED_VALUE"""),2.0)</f>
        <v>2</v>
      </c>
      <c r="BD51" s="298">
        <f>IFERROR(__xludf.DUMMYFUNCTION("""COMPUTED_VALUE"""),2.0)</f>
        <v>2</v>
      </c>
      <c r="BE51" s="279" t="str">
        <f>IFERROR(__xludf.DUMMYFUNCTION("""COMPUTED_VALUE"""),"範囲(小：威力減)")</f>
        <v>範囲(小：威力減)</v>
      </c>
      <c r="BF51" s="273">
        <f>IFERROR(__xludf.DUMMYFUNCTION("""COMPUTED_VALUE"""),3.0)</f>
        <v>3</v>
      </c>
      <c r="BG51" s="274" t="str">
        <f>IFERROR(__xludf.DUMMYFUNCTION("""COMPUTED_VALUE"""),"効果値")</f>
        <v>効果値</v>
      </c>
      <c r="BH51" s="297">
        <f>IFERROR(__xludf.DUMMYFUNCTION("""COMPUTED_VALUE"""),1.0)</f>
        <v>1</v>
      </c>
      <c r="BI51" s="297">
        <f>IFERROR(__xludf.DUMMYFUNCTION("""COMPUTED_VALUE"""),1.0)</f>
        <v>1</v>
      </c>
      <c r="BJ51" s="297">
        <f>IFERROR(__xludf.DUMMYFUNCTION("""COMPUTED_VALUE"""),1.0)</f>
        <v>1</v>
      </c>
      <c r="BK51" s="297">
        <f>IFERROR(__xludf.DUMMYFUNCTION("""COMPUTED_VALUE"""),1.0)</f>
        <v>1</v>
      </c>
      <c r="BL51" s="297">
        <f>IFERROR(__xludf.DUMMYFUNCTION("""COMPUTED_VALUE"""),1.0)</f>
        <v>1</v>
      </c>
      <c r="BM51" s="297">
        <f>IFERROR(__xludf.DUMMYFUNCTION("""COMPUTED_VALUE"""),1.0)</f>
        <v>1</v>
      </c>
      <c r="BN51" s="297">
        <f>IFERROR(__xludf.DUMMYFUNCTION("""COMPUTED_VALUE"""),2.0)</f>
        <v>2</v>
      </c>
      <c r="BO51" s="298">
        <f>IFERROR(__xludf.DUMMYFUNCTION("""COMPUTED_VALUE"""),2.0)</f>
        <v>2</v>
      </c>
    </row>
    <row r="52">
      <c r="A52" s="271" t="str">
        <f>IFERROR(__xludf.DUMMYFUNCTION("""COMPUTED_VALUE"""),"ノックバック")</f>
        <v>ノックバック</v>
      </c>
      <c r="B52" s="272" t="str">
        <f>IFERROR(__xludf.DUMMYFUNCTION("""COMPUTED_VALUE"""),"単体")</f>
        <v>単体</v>
      </c>
      <c r="C52" s="273">
        <f>IFERROR(__xludf.DUMMYFUNCTION("""COMPUTED_VALUE"""),4.0)</f>
        <v>4</v>
      </c>
      <c r="D52" s="274" t="str">
        <f>IFERROR(__xludf.DUMMYFUNCTION("""COMPUTED_VALUE"""),"効果値")</f>
        <v>効果値</v>
      </c>
      <c r="E52" s="296">
        <f>IFERROR(__xludf.DUMMYFUNCTION("""COMPUTED_VALUE"""),1.0)</f>
        <v>1</v>
      </c>
      <c r="F52" s="280">
        <f>IFERROR(__xludf.DUMMYFUNCTION("""COMPUTED_VALUE"""),1.0)</f>
        <v>1</v>
      </c>
      <c r="G52" s="280">
        <f>IFERROR(__xludf.DUMMYFUNCTION("""COMPUTED_VALUE"""),1.0)</f>
        <v>1</v>
      </c>
      <c r="H52" s="280">
        <f>IFERROR(__xludf.DUMMYFUNCTION("""COMPUTED_VALUE"""),1.0)</f>
        <v>1</v>
      </c>
      <c r="I52" s="280">
        <f>IFERROR(__xludf.DUMMYFUNCTION("""COMPUTED_VALUE"""),1.0)</f>
        <v>1</v>
      </c>
      <c r="J52" s="280">
        <f>IFERROR(__xludf.DUMMYFUNCTION("""COMPUTED_VALUE"""),2.0)</f>
        <v>2</v>
      </c>
      <c r="K52" s="280">
        <f>IFERROR(__xludf.DUMMYFUNCTION("""COMPUTED_VALUE"""),3.0)</f>
        <v>3</v>
      </c>
      <c r="L52" s="280">
        <f>IFERROR(__xludf.DUMMYFUNCTION("""COMPUTED_VALUE"""),3.0)</f>
        <v>3</v>
      </c>
      <c r="M52" s="276" t="str">
        <f>IFERROR(__xludf.DUMMYFUNCTION("""COMPUTED_VALUE"""),"範囲(小)")</f>
        <v>範囲(小)</v>
      </c>
      <c r="N52" s="273">
        <f>IFERROR(__xludf.DUMMYFUNCTION("""COMPUTED_VALUE"""),4.0)</f>
        <v>4</v>
      </c>
      <c r="O52" s="274" t="str">
        <f>IFERROR(__xludf.DUMMYFUNCTION("""COMPUTED_VALUE"""),"効果値")</f>
        <v>効果値</v>
      </c>
      <c r="P52" s="297">
        <f>IFERROR(__xludf.DUMMYFUNCTION("""COMPUTED_VALUE"""),1.0)</f>
        <v>1</v>
      </c>
      <c r="Q52" s="297">
        <f>IFERROR(__xludf.DUMMYFUNCTION("""COMPUTED_VALUE"""),1.0)</f>
        <v>1</v>
      </c>
      <c r="R52" s="297">
        <f>IFERROR(__xludf.DUMMYFUNCTION("""COMPUTED_VALUE"""),1.0)</f>
        <v>1</v>
      </c>
      <c r="S52" s="297">
        <f>IFERROR(__xludf.DUMMYFUNCTION("""COMPUTED_VALUE"""),1.0)</f>
        <v>1</v>
      </c>
      <c r="T52" s="297">
        <f>IFERROR(__xludf.DUMMYFUNCTION("""COMPUTED_VALUE"""),1.0)</f>
        <v>1</v>
      </c>
      <c r="U52" s="297">
        <f>IFERROR(__xludf.DUMMYFUNCTION("""COMPUTED_VALUE"""),2.0)</f>
        <v>2</v>
      </c>
      <c r="V52" s="297">
        <f>IFERROR(__xludf.DUMMYFUNCTION("""COMPUTED_VALUE"""),2.0)</f>
        <v>2</v>
      </c>
      <c r="W52" s="298">
        <f>IFERROR(__xludf.DUMMYFUNCTION("""COMPUTED_VALUE"""),2.0)</f>
        <v>2</v>
      </c>
      <c r="X52" s="276" t="str">
        <f>IFERROR(__xludf.DUMMYFUNCTION("""COMPUTED_VALUE"""),"範囲(中)")</f>
        <v>範囲(中)</v>
      </c>
      <c r="Y52" s="273">
        <f>IFERROR(__xludf.DUMMYFUNCTION("""COMPUTED_VALUE"""),4.0)</f>
        <v>4</v>
      </c>
      <c r="Z52" s="274" t="str">
        <f>IFERROR(__xludf.DUMMYFUNCTION("""COMPUTED_VALUE"""),"効果値")</f>
        <v>効果値</v>
      </c>
      <c r="AA52" s="297">
        <f>IFERROR(__xludf.DUMMYFUNCTION("""COMPUTED_VALUE"""),1.0)</f>
        <v>1</v>
      </c>
      <c r="AB52" s="297">
        <f>IFERROR(__xludf.DUMMYFUNCTION("""COMPUTED_VALUE"""),1.0)</f>
        <v>1</v>
      </c>
      <c r="AC52" s="297">
        <f>IFERROR(__xludf.DUMMYFUNCTION("""COMPUTED_VALUE"""),1.0)</f>
        <v>1</v>
      </c>
      <c r="AD52" s="297">
        <f>IFERROR(__xludf.DUMMYFUNCTION("""COMPUTED_VALUE"""),1.0)</f>
        <v>1</v>
      </c>
      <c r="AE52" s="297">
        <f>IFERROR(__xludf.DUMMYFUNCTION("""COMPUTED_VALUE"""),1.0)</f>
        <v>1</v>
      </c>
      <c r="AF52" s="297">
        <f>IFERROR(__xludf.DUMMYFUNCTION("""COMPUTED_VALUE"""),2.0)</f>
        <v>2</v>
      </c>
      <c r="AG52" s="297">
        <f>IFERROR(__xludf.DUMMYFUNCTION("""COMPUTED_VALUE"""),2.0)</f>
        <v>2</v>
      </c>
      <c r="AH52" s="298">
        <f>IFERROR(__xludf.DUMMYFUNCTION("""COMPUTED_VALUE"""),2.0)</f>
        <v>2</v>
      </c>
      <c r="AI52" s="276" t="str">
        <f>IFERROR(__xludf.DUMMYFUNCTION("""COMPUTED_VALUE"""),"範囲(大)")</f>
        <v>範囲(大)</v>
      </c>
      <c r="AJ52" s="273">
        <f>IFERROR(__xludf.DUMMYFUNCTION("""COMPUTED_VALUE"""),4.0)</f>
        <v>4</v>
      </c>
      <c r="AK52" s="274" t="str">
        <f>IFERROR(__xludf.DUMMYFUNCTION("""COMPUTED_VALUE"""),"効果値")</f>
        <v>効果値</v>
      </c>
      <c r="AL52" s="297">
        <f>IFERROR(__xludf.DUMMYFUNCTION("""COMPUTED_VALUE"""),1.0)</f>
        <v>1</v>
      </c>
      <c r="AM52" s="297">
        <f>IFERROR(__xludf.DUMMYFUNCTION("""COMPUTED_VALUE"""),1.0)</f>
        <v>1</v>
      </c>
      <c r="AN52" s="297">
        <f>IFERROR(__xludf.DUMMYFUNCTION("""COMPUTED_VALUE"""),1.0)</f>
        <v>1</v>
      </c>
      <c r="AO52" s="297">
        <f>IFERROR(__xludf.DUMMYFUNCTION("""COMPUTED_VALUE"""),1.0)</f>
        <v>1</v>
      </c>
      <c r="AP52" s="297">
        <f>IFERROR(__xludf.DUMMYFUNCTION("""COMPUTED_VALUE"""),1.0)</f>
        <v>1</v>
      </c>
      <c r="AQ52" s="297">
        <f>IFERROR(__xludf.DUMMYFUNCTION("""COMPUTED_VALUE"""),2.0)</f>
        <v>2</v>
      </c>
      <c r="AR52" s="297">
        <f>IFERROR(__xludf.DUMMYFUNCTION("""COMPUTED_VALUE"""),2.0)</f>
        <v>2</v>
      </c>
      <c r="AS52" s="298">
        <f>IFERROR(__xludf.DUMMYFUNCTION("""COMPUTED_VALUE"""),2.0)</f>
        <v>2</v>
      </c>
      <c r="AT52" s="276" t="str">
        <f>IFERROR(__xludf.DUMMYFUNCTION("""COMPUTED_VALUE"""),"範囲(特大)")</f>
        <v>範囲(特大)</v>
      </c>
      <c r="AU52" s="273">
        <f>IFERROR(__xludf.DUMMYFUNCTION("""COMPUTED_VALUE"""),4.0)</f>
        <v>4</v>
      </c>
      <c r="AV52" s="274" t="str">
        <f>IFERROR(__xludf.DUMMYFUNCTION("""COMPUTED_VALUE"""),"効果値")</f>
        <v>効果値</v>
      </c>
      <c r="AW52" s="297">
        <f>IFERROR(__xludf.DUMMYFUNCTION("""COMPUTED_VALUE"""),1.0)</f>
        <v>1</v>
      </c>
      <c r="AX52" s="297">
        <f>IFERROR(__xludf.DUMMYFUNCTION("""COMPUTED_VALUE"""),1.0)</f>
        <v>1</v>
      </c>
      <c r="AY52" s="297">
        <f>IFERROR(__xludf.DUMMYFUNCTION("""COMPUTED_VALUE"""),1.0)</f>
        <v>1</v>
      </c>
      <c r="AZ52" s="297">
        <f>IFERROR(__xludf.DUMMYFUNCTION("""COMPUTED_VALUE"""),1.0)</f>
        <v>1</v>
      </c>
      <c r="BA52" s="297">
        <f>IFERROR(__xludf.DUMMYFUNCTION("""COMPUTED_VALUE"""),1.0)</f>
        <v>1</v>
      </c>
      <c r="BB52" s="297">
        <f>IFERROR(__xludf.DUMMYFUNCTION("""COMPUTED_VALUE"""),2.0)</f>
        <v>2</v>
      </c>
      <c r="BC52" s="297">
        <f>IFERROR(__xludf.DUMMYFUNCTION("""COMPUTED_VALUE"""),2.0)</f>
        <v>2</v>
      </c>
      <c r="BD52" s="298">
        <f>IFERROR(__xludf.DUMMYFUNCTION("""COMPUTED_VALUE"""),2.0)</f>
        <v>2</v>
      </c>
      <c r="BE52" s="279" t="str">
        <f>IFERROR(__xludf.DUMMYFUNCTION("""COMPUTED_VALUE"""),"範囲(小：威力減)")</f>
        <v>範囲(小：威力減)</v>
      </c>
      <c r="BF52" s="273">
        <f>IFERROR(__xludf.DUMMYFUNCTION("""COMPUTED_VALUE"""),4.0)</f>
        <v>4</v>
      </c>
      <c r="BG52" s="274" t="str">
        <f>IFERROR(__xludf.DUMMYFUNCTION("""COMPUTED_VALUE"""),"効果値")</f>
        <v>効果値</v>
      </c>
      <c r="BH52" s="297">
        <f>IFERROR(__xludf.DUMMYFUNCTION("""COMPUTED_VALUE"""),1.0)</f>
        <v>1</v>
      </c>
      <c r="BI52" s="297">
        <f>IFERROR(__xludf.DUMMYFUNCTION("""COMPUTED_VALUE"""),1.0)</f>
        <v>1</v>
      </c>
      <c r="BJ52" s="297">
        <f>IFERROR(__xludf.DUMMYFUNCTION("""COMPUTED_VALUE"""),1.0)</f>
        <v>1</v>
      </c>
      <c r="BK52" s="297">
        <f>IFERROR(__xludf.DUMMYFUNCTION("""COMPUTED_VALUE"""),1.0)</f>
        <v>1</v>
      </c>
      <c r="BL52" s="297">
        <f>IFERROR(__xludf.DUMMYFUNCTION("""COMPUTED_VALUE"""),1.0)</f>
        <v>1</v>
      </c>
      <c r="BM52" s="297">
        <f>IFERROR(__xludf.DUMMYFUNCTION("""COMPUTED_VALUE"""),2.0)</f>
        <v>2</v>
      </c>
      <c r="BN52" s="297">
        <f>IFERROR(__xludf.DUMMYFUNCTION("""COMPUTED_VALUE"""),2.0)</f>
        <v>2</v>
      </c>
      <c r="BO52" s="298">
        <f>IFERROR(__xludf.DUMMYFUNCTION("""COMPUTED_VALUE"""),2.0)</f>
        <v>2</v>
      </c>
    </row>
    <row r="53">
      <c r="A53" s="271" t="str">
        <f>IFERROR(__xludf.DUMMYFUNCTION("""COMPUTED_VALUE"""),"ノックバック")</f>
        <v>ノックバック</v>
      </c>
      <c r="B53" s="272" t="str">
        <f>IFERROR(__xludf.DUMMYFUNCTION("""COMPUTED_VALUE"""),"単体")</f>
        <v>単体</v>
      </c>
      <c r="C53" s="299">
        <f>IFERROR(__xludf.DUMMYFUNCTION("""COMPUTED_VALUE"""),5.0)</f>
        <v>5</v>
      </c>
      <c r="D53" s="300" t="str">
        <f>IFERROR(__xludf.DUMMYFUNCTION("""COMPUTED_VALUE"""),"効果値")</f>
        <v>効果値</v>
      </c>
      <c r="E53" s="301">
        <f>IFERROR(__xludf.DUMMYFUNCTION("""COMPUTED_VALUE"""),1.0)</f>
        <v>1</v>
      </c>
      <c r="F53" s="302">
        <f>IFERROR(__xludf.DUMMYFUNCTION("""COMPUTED_VALUE"""),1.0)</f>
        <v>1</v>
      </c>
      <c r="G53" s="302">
        <f>IFERROR(__xludf.DUMMYFUNCTION("""COMPUTED_VALUE"""),1.0)</f>
        <v>1</v>
      </c>
      <c r="H53" s="302">
        <f>IFERROR(__xludf.DUMMYFUNCTION("""COMPUTED_VALUE"""),1.0)</f>
        <v>1</v>
      </c>
      <c r="I53" s="302">
        <f>IFERROR(__xludf.DUMMYFUNCTION("""COMPUTED_VALUE"""),1.0)</f>
        <v>1</v>
      </c>
      <c r="J53" s="302">
        <f>IFERROR(__xludf.DUMMYFUNCTION("""COMPUTED_VALUE"""),2.0)</f>
        <v>2</v>
      </c>
      <c r="K53" s="302">
        <f>IFERROR(__xludf.DUMMYFUNCTION("""COMPUTED_VALUE"""),3.0)</f>
        <v>3</v>
      </c>
      <c r="L53" s="303">
        <f>IFERROR(__xludf.DUMMYFUNCTION("""COMPUTED_VALUE"""),3.0)</f>
        <v>3</v>
      </c>
      <c r="M53" s="276" t="str">
        <f>IFERROR(__xludf.DUMMYFUNCTION("""COMPUTED_VALUE"""),"範囲(小)")</f>
        <v>範囲(小)</v>
      </c>
      <c r="N53" s="299">
        <f>IFERROR(__xludf.DUMMYFUNCTION("""COMPUTED_VALUE"""),5.0)</f>
        <v>5</v>
      </c>
      <c r="O53" s="300" t="str">
        <f>IFERROR(__xludf.DUMMYFUNCTION("""COMPUTED_VALUE"""),"効果値")</f>
        <v>効果値</v>
      </c>
      <c r="P53" s="304">
        <f>IFERROR(__xludf.DUMMYFUNCTION("""COMPUTED_VALUE"""),1.0)</f>
        <v>1</v>
      </c>
      <c r="Q53" s="304">
        <f>IFERROR(__xludf.DUMMYFUNCTION("""COMPUTED_VALUE"""),1.0)</f>
        <v>1</v>
      </c>
      <c r="R53" s="304">
        <f>IFERROR(__xludf.DUMMYFUNCTION("""COMPUTED_VALUE"""),1.0)</f>
        <v>1</v>
      </c>
      <c r="S53" s="304">
        <f>IFERROR(__xludf.DUMMYFUNCTION("""COMPUTED_VALUE"""),1.0)</f>
        <v>1</v>
      </c>
      <c r="T53" s="304">
        <f>IFERROR(__xludf.DUMMYFUNCTION("""COMPUTED_VALUE"""),1.0)</f>
        <v>1</v>
      </c>
      <c r="U53" s="304">
        <f>IFERROR(__xludf.DUMMYFUNCTION("""COMPUTED_VALUE"""),2.0)</f>
        <v>2</v>
      </c>
      <c r="V53" s="304">
        <f>IFERROR(__xludf.DUMMYFUNCTION("""COMPUTED_VALUE"""),2.0)</f>
        <v>2</v>
      </c>
      <c r="W53" s="305">
        <f>IFERROR(__xludf.DUMMYFUNCTION("""COMPUTED_VALUE"""),2.0)</f>
        <v>2</v>
      </c>
      <c r="X53" s="276" t="str">
        <f>IFERROR(__xludf.DUMMYFUNCTION("""COMPUTED_VALUE"""),"範囲(中)")</f>
        <v>範囲(中)</v>
      </c>
      <c r="Y53" s="299">
        <f>IFERROR(__xludf.DUMMYFUNCTION("""COMPUTED_VALUE"""),5.0)</f>
        <v>5</v>
      </c>
      <c r="Z53" s="300" t="str">
        <f>IFERROR(__xludf.DUMMYFUNCTION("""COMPUTED_VALUE"""),"効果値")</f>
        <v>効果値</v>
      </c>
      <c r="AA53" s="304">
        <f>IFERROR(__xludf.DUMMYFUNCTION("""COMPUTED_VALUE"""),1.0)</f>
        <v>1</v>
      </c>
      <c r="AB53" s="304">
        <f>IFERROR(__xludf.DUMMYFUNCTION("""COMPUTED_VALUE"""),1.0)</f>
        <v>1</v>
      </c>
      <c r="AC53" s="304">
        <f>IFERROR(__xludf.DUMMYFUNCTION("""COMPUTED_VALUE"""),1.0)</f>
        <v>1</v>
      </c>
      <c r="AD53" s="304">
        <f>IFERROR(__xludf.DUMMYFUNCTION("""COMPUTED_VALUE"""),1.0)</f>
        <v>1</v>
      </c>
      <c r="AE53" s="304">
        <f>IFERROR(__xludf.DUMMYFUNCTION("""COMPUTED_VALUE"""),1.0)</f>
        <v>1</v>
      </c>
      <c r="AF53" s="304">
        <f>IFERROR(__xludf.DUMMYFUNCTION("""COMPUTED_VALUE"""),2.0)</f>
        <v>2</v>
      </c>
      <c r="AG53" s="304">
        <f>IFERROR(__xludf.DUMMYFUNCTION("""COMPUTED_VALUE"""),2.0)</f>
        <v>2</v>
      </c>
      <c r="AH53" s="305">
        <f>IFERROR(__xludf.DUMMYFUNCTION("""COMPUTED_VALUE"""),2.0)</f>
        <v>2</v>
      </c>
      <c r="AI53" s="276" t="str">
        <f>IFERROR(__xludf.DUMMYFUNCTION("""COMPUTED_VALUE"""),"範囲(大)")</f>
        <v>範囲(大)</v>
      </c>
      <c r="AJ53" s="299">
        <f>IFERROR(__xludf.DUMMYFUNCTION("""COMPUTED_VALUE"""),5.0)</f>
        <v>5</v>
      </c>
      <c r="AK53" s="300" t="str">
        <f>IFERROR(__xludf.DUMMYFUNCTION("""COMPUTED_VALUE"""),"効果値")</f>
        <v>効果値</v>
      </c>
      <c r="AL53" s="304">
        <f>IFERROR(__xludf.DUMMYFUNCTION("""COMPUTED_VALUE"""),1.0)</f>
        <v>1</v>
      </c>
      <c r="AM53" s="304">
        <f>IFERROR(__xludf.DUMMYFUNCTION("""COMPUTED_VALUE"""),1.0)</f>
        <v>1</v>
      </c>
      <c r="AN53" s="304">
        <f>IFERROR(__xludf.DUMMYFUNCTION("""COMPUTED_VALUE"""),1.0)</f>
        <v>1</v>
      </c>
      <c r="AO53" s="304">
        <f>IFERROR(__xludf.DUMMYFUNCTION("""COMPUTED_VALUE"""),1.0)</f>
        <v>1</v>
      </c>
      <c r="AP53" s="304">
        <f>IFERROR(__xludf.DUMMYFUNCTION("""COMPUTED_VALUE"""),1.0)</f>
        <v>1</v>
      </c>
      <c r="AQ53" s="304">
        <f>IFERROR(__xludf.DUMMYFUNCTION("""COMPUTED_VALUE"""),2.0)</f>
        <v>2</v>
      </c>
      <c r="AR53" s="304">
        <f>IFERROR(__xludf.DUMMYFUNCTION("""COMPUTED_VALUE"""),2.0)</f>
        <v>2</v>
      </c>
      <c r="AS53" s="305">
        <f>IFERROR(__xludf.DUMMYFUNCTION("""COMPUTED_VALUE"""),2.0)</f>
        <v>2</v>
      </c>
      <c r="AT53" s="276" t="str">
        <f>IFERROR(__xludf.DUMMYFUNCTION("""COMPUTED_VALUE"""),"範囲(特大)")</f>
        <v>範囲(特大)</v>
      </c>
      <c r="AU53" s="299">
        <f>IFERROR(__xludf.DUMMYFUNCTION("""COMPUTED_VALUE"""),5.0)</f>
        <v>5</v>
      </c>
      <c r="AV53" s="300" t="str">
        <f>IFERROR(__xludf.DUMMYFUNCTION("""COMPUTED_VALUE"""),"効果値")</f>
        <v>効果値</v>
      </c>
      <c r="AW53" s="304">
        <f>IFERROR(__xludf.DUMMYFUNCTION("""COMPUTED_VALUE"""),1.0)</f>
        <v>1</v>
      </c>
      <c r="AX53" s="304">
        <f>IFERROR(__xludf.DUMMYFUNCTION("""COMPUTED_VALUE"""),1.0)</f>
        <v>1</v>
      </c>
      <c r="AY53" s="304">
        <f>IFERROR(__xludf.DUMMYFUNCTION("""COMPUTED_VALUE"""),1.0)</f>
        <v>1</v>
      </c>
      <c r="AZ53" s="304">
        <f>IFERROR(__xludf.DUMMYFUNCTION("""COMPUTED_VALUE"""),1.0)</f>
        <v>1</v>
      </c>
      <c r="BA53" s="304">
        <f>IFERROR(__xludf.DUMMYFUNCTION("""COMPUTED_VALUE"""),1.0)</f>
        <v>1</v>
      </c>
      <c r="BB53" s="304">
        <f>IFERROR(__xludf.DUMMYFUNCTION("""COMPUTED_VALUE"""),2.0)</f>
        <v>2</v>
      </c>
      <c r="BC53" s="304">
        <f>IFERROR(__xludf.DUMMYFUNCTION("""COMPUTED_VALUE"""),2.0)</f>
        <v>2</v>
      </c>
      <c r="BD53" s="305">
        <f>IFERROR(__xludf.DUMMYFUNCTION("""COMPUTED_VALUE"""),2.0)</f>
        <v>2</v>
      </c>
      <c r="BE53" s="279" t="str">
        <f>IFERROR(__xludf.DUMMYFUNCTION("""COMPUTED_VALUE"""),"範囲(小：威力減)")</f>
        <v>範囲(小：威力減)</v>
      </c>
      <c r="BF53" s="299">
        <f>IFERROR(__xludf.DUMMYFUNCTION("""COMPUTED_VALUE"""),5.0)</f>
        <v>5</v>
      </c>
      <c r="BG53" s="300" t="str">
        <f>IFERROR(__xludf.DUMMYFUNCTION("""COMPUTED_VALUE"""),"効果値")</f>
        <v>効果値</v>
      </c>
      <c r="BH53" s="304">
        <f>IFERROR(__xludf.DUMMYFUNCTION("""COMPUTED_VALUE"""),1.0)</f>
        <v>1</v>
      </c>
      <c r="BI53" s="304">
        <f>IFERROR(__xludf.DUMMYFUNCTION("""COMPUTED_VALUE"""),1.0)</f>
        <v>1</v>
      </c>
      <c r="BJ53" s="304">
        <f>IFERROR(__xludf.DUMMYFUNCTION("""COMPUTED_VALUE"""),1.0)</f>
        <v>1</v>
      </c>
      <c r="BK53" s="304">
        <f>IFERROR(__xludf.DUMMYFUNCTION("""COMPUTED_VALUE"""),1.0)</f>
        <v>1</v>
      </c>
      <c r="BL53" s="304">
        <f>IFERROR(__xludf.DUMMYFUNCTION("""COMPUTED_VALUE"""),1.0)</f>
        <v>1</v>
      </c>
      <c r="BM53" s="304">
        <f>IFERROR(__xludf.DUMMYFUNCTION("""COMPUTED_VALUE"""),2.0)</f>
        <v>2</v>
      </c>
      <c r="BN53" s="304">
        <f>IFERROR(__xludf.DUMMYFUNCTION("""COMPUTED_VALUE"""),2.0)</f>
        <v>2</v>
      </c>
      <c r="BO53" s="305">
        <f>IFERROR(__xludf.DUMMYFUNCTION("""COMPUTED_VALUE"""),2.0)</f>
        <v>2</v>
      </c>
    </row>
    <row r="54">
      <c r="A54" s="306" t="str">
        <f>IFERROR(__xludf.DUMMYFUNCTION("""COMPUTED_VALUE"""),"スタン")</f>
        <v>スタン</v>
      </c>
      <c r="B54" s="260" t="str">
        <f>IFERROR(__xludf.DUMMYFUNCTION("""COMPUTED_VALUE"""),"単体")</f>
        <v>単体</v>
      </c>
      <c r="C54" s="261">
        <f>IFERROR(__xludf.DUMMYFUNCTION("""COMPUTED_VALUE"""),1.0)</f>
        <v>1</v>
      </c>
      <c r="D54" s="261" t="str">
        <f>IFERROR(__xludf.DUMMYFUNCTION("""COMPUTED_VALUE"""),"効果時間")</f>
        <v>効果時間</v>
      </c>
      <c r="E54" s="266">
        <f>IFERROR(__xludf.DUMMYFUNCTION("""COMPUTED_VALUE"""),50.0)</f>
        <v>50</v>
      </c>
      <c r="F54" s="263">
        <f>IFERROR(__xludf.DUMMYFUNCTION("""COMPUTED_VALUE"""),50.0)</f>
        <v>50</v>
      </c>
      <c r="G54" s="266">
        <f>IFERROR(__xludf.DUMMYFUNCTION("""COMPUTED_VALUE"""),50.0)</f>
        <v>50</v>
      </c>
      <c r="H54" s="263">
        <f>IFERROR(__xludf.DUMMYFUNCTION("""COMPUTED_VALUE"""),50.0)</f>
        <v>50</v>
      </c>
      <c r="I54" s="266">
        <f>IFERROR(__xludf.DUMMYFUNCTION("""COMPUTED_VALUE"""),60.0)</f>
        <v>60</v>
      </c>
      <c r="J54" s="263">
        <f>IFERROR(__xludf.DUMMYFUNCTION("""COMPUTED_VALUE"""),75.0)</f>
        <v>75</v>
      </c>
      <c r="K54" s="266">
        <f>IFERROR(__xludf.DUMMYFUNCTION("""COMPUTED_VALUE"""),100.0)</f>
        <v>100</v>
      </c>
      <c r="L54" s="266">
        <f>IFERROR(__xludf.DUMMYFUNCTION("""COMPUTED_VALUE"""),125.0)</f>
        <v>125</v>
      </c>
      <c r="M54" s="267" t="str">
        <f>IFERROR(__xludf.DUMMYFUNCTION("""COMPUTED_VALUE"""),"範囲(小)")</f>
        <v>範囲(小)</v>
      </c>
      <c r="N54" s="261">
        <f>IFERROR(__xludf.DUMMYFUNCTION("""COMPUTED_VALUE"""),1.0)</f>
        <v>1</v>
      </c>
      <c r="O54" s="261" t="str">
        <f>IFERROR(__xludf.DUMMYFUNCTION("""COMPUTED_VALUE"""),"効果時間")</f>
        <v>効果時間</v>
      </c>
      <c r="P54" s="268">
        <f>IFERROR(__xludf.DUMMYFUNCTION("""COMPUTED_VALUE"""),50.0)</f>
        <v>50</v>
      </c>
      <c r="Q54" s="268">
        <f>IFERROR(__xludf.DUMMYFUNCTION("""COMPUTED_VALUE"""),50.0)</f>
        <v>50</v>
      </c>
      <c r="R54" s="268">
        <f>IFERROR(__xludf.DUMMYFUNCTION("""COMPUTED_VALUE"""),50.0)</f>
        <v>50</v>
      </c>
      <c r="S54" s="268">
        <f>IFERROR(__xludf.DUMMYFUNCTION("""COMPUTED_VALUE"""),50.0)</f>
        <v>50</v>
      </c>
      <c r="T54" s="268">
        <f>IFERROR(__xludf.DUMMYFUNCTION("""COMPUTED_VALUE"""),50.0)</f>
        <v>50</v>
      </c>
      <c r="U54" s="268">
        <f>IFERROR(__xludf.DUMMYFUNCTION("""COMPUTED_VALUE"""),60.0)</f>
        <v>60</v>
      </c>
      <c r="V54" s="268">
        <f>IFERROR(__xludf.DUMMYFUNCTION("""COMPUTED_VALUE"""),75.0)</f>
        <v>75</v>
      </c>
      <c r="W54" s="269">
        <f>IFERROR(__xludf.DUMMYFUNCTION("""COMPUTED_VALUE"""),95.0)</f>
        <v>95</v>
      </c>
      <c r="X54" s="267" t="str">
        <f>IFERROR(__xludf.DUMMYFUNCTION("""COMPUTED_VALUE"""),"範囲(中)")</f>
        <v>範囲(中)</v>
      </c>
      <c r="Y54" s="261">
        <f>IFERROR(__xludf.DUMMYFUNCTION("""COMPUTED_VALUE"""),1.0)</f>
        <v>1</v>
      </c>
      <c r="Z54" s="261" t="str">
        <f>IFERROR(__xludf.DUMMYFUNCTION("""COMPUTED_VALUE"""),"効果時間")</f>
        <v>効果時間</v>
      </c>
      <c r="AA54" s="268">
        <f>IFERROR(__xludf.DUMMYFUNCTION("""COMPUTED_VALUE"""),50.0)</f>
        <v>50</v>
      </c>
      <c r="AB54" s="268">
        <f>IFERROR(__xludf.DUMMYFUNCTION("""COMPUTED_VALUE"""),50.0)</f>
        <v>50</v>
      </c>
      <c r="AC54" s="268">
        <f>IFERROR(__xludf.DUMMYFUNCTION("""COMPUTED_VALUE"""),50.0)</f>
        <v>50</v>
      </c>
      <c r="AD54" s="268">
        <f>IFERROR(__xludf.DUMMYFUNCTION("""COMPUTED_VALUE"""),50.0)</f>
        <v>50</v>
      </c>
      <c r="AE54" s="268">
        <f>IFERROR(__xludf.DUMMYFUNCTION("""COMPUTED_VALUE"""),50.0)</f>
        <v>50</v>
      </c>
      <c r="AF54" s="268">
        <f>IFERROR(__xludf.DUMMYFUNCTION("""COMPUTED_VALUE"""),50.0)</f>
        <v>50</v>
      </c>
      <c r="AG54" s="268">
        <f>IFERROR(__xludf.DUMMYFUNCTION("""COMPUTED_VALUE"""),65.0)</f>
        <v>65</v>
      </c>
      <c r="AH54" s="269">
        <f>IFERROR(__xludf.DUMMYFUNCTION("""COMPUTED_VALUE"""),85.0)</f>
        <v>85</v>
      </c>
      <c r="AI54" s="267" t="str">
        <f>IFERROR(__xludf.DUMMYFUNCTION("""COMPUTED_VALUE"""),"範囲(大)")</f>
        <v>範囲(大)</v>
      </c>
      <c r="AJ54" s="261">
        <f>IFERROR(__xludf.DUMMYFUNCTION("""COMPUTED_VALUE"""),1.0)</f>
        <v>1</v>
      </c>
      <c r="AK54" s="261" t="str">
        <f>IFERROR(__xludf.DUMMYFUNCTION("""COMPUTED_VALUE"""),"効果時間")</f>
        <v>効果時間</v>
      </c>
      <c r="AL54" s="268">
        <f>IFERROR(__xludf.DUMMYFUNCTION("""COMPUTED_VALUE"""),50.0)</f>
        <v>50</v>
      </c>
      <c r="AM54" s="268">
        <f>IFERROR(__xludf.DUMMYFUNCTION("""COMPUTED_VALUE"""),50.0)</f>
        <v>50</v>
      </c>
      <c r="AN54" s="268">
        <f>IFERROR(__xludf.DUMMYFUNCTION("""COMPUTED_VALUE"""),50.0)</f>
        <v>50</v>
      </c>
      <c r="AO54" s="268">
        <f>IFERROR(__xludf.DUMMYFUNCTION("""COMPUTED_VALUE"""),50.0)</f>
        <v>50</v>
      </c>
      <c r="AP54" s="268">
        <f>IFERROR(__xludf.DUMMYFUNCTION("""COMPUTED_VALUE"""),50.0)</f>
        <v>50</v>
      </c>
      <c r="AQ54" s="268">
        <f>IFERROR(__xludf.DUMMYFUNCTION("""COMPUTED_VALUE"""),50.0)</f>
        <v>50</v>
      </c>
      <c r="AR54" s="268">
        <f>IFERROR(__xludf.DUMMYFUNCTION("""COMPUTED_VALUE"""),55.0)</f>
        <v>55</v>
      </c>
      <c r="AS54" s="269">
        <f>IFERROR(__xludf.DUMMYFUNCTION("""COMPUTED_VALUE"""),70.0)</f>
        <v>70</v>
      </c>
      <c r="AT54" s="267" t="str">
        <f>IFERROR(__xludf.DUMMYFUNCTION("""COMPUTED_VALUE"""),"範囲(特大)")</f>
        <v>範囲(特大)</v>
      </c>
      <c r="AU54" s="261">
        <f>IFERROR(__xludf.DUMMYFUNCTION("""COMPUTED_VALUE"""),1.0)</f>
        <v>1</v>
      </c>
      <c r="AV54" s="261" t="str">
        <f>IFERROR(__xludf.DUMMYFUNCTION("""COMPUTED_VALUE"""),"効果時間")</f>
        <v>効果時間</v>
      </c>
      <c r="AW54" s="268">
        <f>IFERROR(__xludf.DUMMYFUNCTION("""COMPUTED_VALUE"""),50.0)</f>
        <v>50</v>
      </c>
      <c r="AX54" s="268">
        <f>IFERROR(__xludf.DUMMYFUNCTION("""COMPUTED_VALUE"""),50.0)</f>
        <v>50</v>
      </c>
      <c r="AY54" s="268">
        <f>IFERROR(__xludf.DUMMYFUNCTION("""COMPUTED_VALUE"""),50.0)</f>
        <v>50</v>
      </c>
      <c r="AZ54" s="268">
        <f>IFERROR(__xludf.DUMMYFUNCTION("""COMPUTED_VALUE"""),50.0)</f>
        <v>50</v>
      </c>
      <c r="BA54" s="268">
        <f>IFERROR(__xludf.DUMMYFUNCTION("""COMPUTED_VALUE"""),50.0)</f>
        <v>50</v>
      </c>
      <c r="BB54" s="268">
        <f>IFERROR(__xludf.DUMMYFUNCTION("""COMPUTED_VALUE"""),50.0)</f>
        <v>50</v>
      </c>
      <c r="BC54" s="268">
        <f>IFERROR(__xludf.DUMMYFUNCTION("""COMPUTED_VALUE"""),50.0)</f>
        <v>50</v>
      </c>
      <c r="BD54" s="269">
        <f>IFERROR(__xludf.DUMMYFUNCTION("""COMPUTED_VALUE"""),65.0)</f>
        <v>65</v>
      </c>
      <c r="BE54" s="270" t="str">
        <f>IFERROR(__xludf.DUMMYFUNCTION("""COMPUTED_VALUE"""),"範囲(小：威力減)")</f>
        <v>範囲(小：威力減)</v>
      </c>
      <c r="BF54" s="261">
        <f>IFERROR(__xludf.DUMMYFUNCTION("""COMPUTED_VALUE"""),1.0)</f>
        <v>1</v>
      </c>
      <c r="BG54" s="261" t="str">
        <f>IFERROR(__xludf.DUMMYFUNCTION("""COMPUTED_VALUE"""),"効果時間")</f>
        <v>効果時間</v>
      </c>
      <c r="BH54" s="268">
        <f>IFERROR(__xludf.DUMMYFUNCTION("""COMPUTED_VALUE"""),50.0)</f>
        <v>50</v>
      </c>
      <c r="BI54" s="268">
        <f>IFERROR(__xludf.DUMMYFUNCTION("""COMPUTED_VALUE"""),50.0)</f>
        <v>50</v>
      </c>
      <c r="BJ54" s="268">
        <f>IFERROR(__xludf.DUMMYFUNCTION("""COMPUTED_VALUE"""),50.0)</f>
        <v>50</v>
      </c>
      <c r="BK54" s="268">
        <f>IFERROR(__xludf.DUMMYFUNCTION("""COMPUTED_VALUE"""),50.0)</f>
        <v>50</v>
      </c>
      <c r="BL54" s="268">
        <f>IFERROR(__xludf.DUMMYFUNCTION("""COMPUTED_VALUE"""),50.0)</f>
        <v>50</v>
      </c>
      <c r="BM54" s="268">
        <f>IFERROR(__xludf.DUMMYFUNCTION("""COMPUTED_VALUE"""),50.0)</f>
        <v>50</v>
      </c>
      <c r="BN54" s="268">
        <f>IFERROR(__xludf.DUMMYFUNCTION("""COMPUTED_VALUE"""),50.0)</f>
        <v>50</v>
      </c>
      <c r="BO54" s="269">
        <f>IFERROR(__xludf.DUMMYFUNCTION("""COMPUTED_VALUE"""),65.0)</f>
        <v>65</v>
      </c>
    </row>
    <row r="55">
      <c r="A55" s="307" t="str">
        <f>IFERROR(__xludf.DUMMYFUNCTION("""COMPUTED_VALUE"""),"スタン")</f>
        <v>スタン</v>
      </c>
      <c r="B55" s="272" t="str">
        <f>IFERROR(__xludf.DUMMYFUNCTION("""COMPUTED_VALUE"""),"単体")</f>
        <v>単体</v>
      </c>
      <c r="C55" s="308">
        <f>IFERROR(__xludf.DUMMYFUNCTION("""COMPUTED_VALUE"""),1.0)</f>
        <v>1</v>
      </c>
      <c r="D55" s="308" t="str">
        <f>IFERROR(__xludf.DUMMYFUNCTION("""COMPUTED_VALUE"""),"発動確率")</f>
        <v>発動確率</v>
      </c>
      <c r="E55" s="309">
        <f>IFERROR(__xludf.DUMMYFUNCTION("""COMPUTED_VALUE"""),100.0)</f>
        <v>100</v>
      </c>
      <c r="F55" s="310">
        <f>IFERROR(__xludf.DUMMYFUNCTION("""COMPUTED_VALUE"""),100.0)</f>
        <v>100</v>
      </c>
      <c r="G55" s="311">
        <f>IFERROR(__xludf.DUMMYFUNCTION("""COMPUTED_VALUE"""),100.0)</f>
        <v>100</v>
      </c>
      <c r="H55" s="310">
        <f>IFERROR(__xludf.DUMMYFUNCTION("""COMPUTED_VALUE"""),100.0)</f>
        <v>100</v>
      </c>
      <c r="I55" s="311">
        <f>IFERROR(__xludf.DUMMYFUNCTION("""COMPUTED_VALUE"""),100.0)</f>
        <v>100</v>
      </c>
      <c r="J55" s="310">
        <f>IFERROR(__xludf.DUMMYFUNCTION("""COMPUTED_VALUE"""),100.0)</f>
        <v>100</v>
      </c>
      <c r="K55" s="311">
        <f>IFERROR(__xludf.DUMMYFUNCTION("""COMPUTED_VALUE"""),100.0)</f>
        <v>100</v>
      </c>
      <c r="L55" s="309">
        <f>IFERROR(__xludf.DUMMYFUNCTION("""COMPUTED_VALUE"""),100.0)</f>
        <v>100</v>
      </c>
      <c r="M55" s="276" t="str">
        <f>IFERROR(__xludf.DUMMYFUNCTION("""COMPUTED_VALUE"""),"範囲(小)")</f>
        <v>範囲(小)</v>
      </c>
      <c r="N55" s="308">
        <f>IFERROR(__xludf.DUMMYFUNCTION("""COMPUTED_VALUE"""),1.0)</f>
        <v>1</v>
      </c>
      <c r="O55" s="308" t="str">
        <f>IFERROR(__xludf.DUMMYFUNCTION("""COMPUTED_VALUE"""),"発動確率")</f>
        <v>発動確率</v>
      </c>
      <c r="P55" s="312">
        <f>IFERROR(__xludf.DUMMYFUNCTION("""COMPUTED_VALUE"""),100.0)</f>
        <v>100</v>
      </c>
      <c r="Q55" s="313">
        <f>IFERROR(__xludf.DUMMYFUNCTION("""COMPUTED_VALUE"""),100.0)</f>
        <v>100</v>
      </c>
      <c r="R55" s="314">
        <f>IFERROR(__xludf.DUMMYFUNCTION("""COMPUTED_VALUE"""),100.0)</f>
        <v>100</v>
      </c>
      <c r="S55" s="313">
        <f>IFERROR(__xludf.DUMMYFUNCTION("""COMPUTED_VALUE"""),100.0)</f>
        <v>100</v>
      </c>
      <c r="T55" s="314">
        <f>IFERROR(__xludf.DUMMYFUNCTION("""COMPUTED_VALUE"""),100.0)</f>
        <v>100</v>
      </c>
      <c r="U55" s="313">
        <f>IFERROR(__xludf.DUMMYFUNCTION("""COMPUTED_VALUE"""),100.0)</f>
        <v>100</v>
      </c>
      <c r="V55" s="314">
        <f>IFERROR(__xludf.DUMMYFUNCTION("""COMPUTED_VALUE"""),100.0)</f>
        <v>100</v>
      </c>
      <c r="W55" s="315">
        <f>IFERROR(__xludf.DUMMYFUNCTION("""COMPUTED_VALUE"""),100.0)</f>
        <v>100</v>
      </c>
      <c r="X55" s="276" t="str">
        <f>IFERROR(__xludf.DUMMYFUNCTION("""COMPUTED_VALUE"""),"範囲(中)")</f>
        <v>範囲(中)</v>
      </c>
      <c r="Y55" s="308">
        <f>IFERROR(__xludf.DUMMYFUNCTION("""COMPUTED_VALUE"""),1.0)</f>
        <v>1</v>
      </c>
      <c r="Z55" s="308" t="str">
        <f>IFERROR(__xludf.DUMMYFUNCTION("""COMPUTED_VALUE"""),"発動確率")</f>
        <v>発動確率</v>
      </c>
      <c r="AA55" s="312">
        <f>IFERROR(__xludf.DUMMYFUNCTION("""COMPUTED_VALUE"""),100.0)</f>
        <v>100</v>
      </c>
      <c r="AB55" s="313">
        <f>IFERROR(__xludf.DUMMYFUNCTION("""COMPUTED_VALUE"""),100.0)</f>
        <v>100</v>
      </c>
      <c r="AC55" s="314">
        <f>IFERROR(__xludf.DUMMYFUNCTION("""COMPUTED_VALUE"""),100.0)</f>
        <v>100</v>
      </c>
      <c r="AD55" s="313">
        <f>IFERROR(__xludf.DUMMYFUNCTION("""COMPUTED_VALUE"""),100.0)</f>
        <v>100</v>
      </c>
      <c r="AE55" s="314">
        <f>IFERROR(__xludf.DUMMYFUNCTION("""COMPUTED_VALUE"""),100.0)</f>
        <v>100</v>
      </c>
      <c r="AF55" s="313">
        <f>IFERROR(__xludf.DUMMYFUNCTION("""COMPUTED_VALUE"""),100.0)</f>
        <v>100</v>
      </c>
      <c r="AG55" s="314">
        <f>IFERROR(__xludf.DUMMYFUNCTION("""COMPUTED_VALUE"""),100.0)</f>
        <v>100</v>
      </c>
      <c r="AH55" s="315">
        <f>IFERROR(__xludf.DUMMYFUNCTION("""COMPUTED_VALUE"""),100.0)</f>
        <v>100</v>
      </c>
      <c r="AI55" s="276" t="str">
        <f>IFERROR(__xludf.DUMMYFUNCTION("""COMPUTED_VALUE"""),"範囲(大)")</f>
        <v>範囲(大)</v>
      </c>
      <c r="AJ55" s="308">
        <f>IFERROR(__xludf.DUMMYFUNCTION("""COMPUTED_VALUE"""),1.0)</f>
        <v>1</v>
      </c>
      <c r="AK55" s="308" t="str">
        <f>IFERROR(__xludf.DUMMYFUNCTION("""COMPUTED_VALUE"""),"発動確率")</f>
        <v>発動確率</v>
      </c>
      <c r="AL55" s="312">
        <f>IFERROR(__xludf.DUMMYFUNCTION("""COMPUTED_VALUE"""),100.0)</f>
        <v>100</v>
      </c>
      <c r="AM55" s="313">
        <f>IFERROR(__xludf.DUMMYFUNCTION("""COMPUTED_VALUE"""),100.0)</f>
        <v>100</v>
      </c>
      <c r="AN55" s="314">
        <f>IFERROR(__xludf.DUMMYFUNCTION("""COMPUTED_VALUE"""),100.0)</f>
        <v>100</v>
      </c>
      <c r="AO55" s="313">
        <f>IFERROR(__xludf.DUMMYFUNCTION("""COMPUTED_VALUE"""),100.0)</f>
        <v>100</v>
      </c>
      <c r="AP55" s="314">
        <f>IFERROR(__xludf.DUMMYFUNCTION("""COMPUTED_VALUE"""),100.0)</f>
        <v>100</v>
      </c>
      <c r="AQ55" s="313">
        <f>IFERROR(__xludf.DUMMYFUNCTION("""COMPUTED_VALUE"""),100.0)</f>
        <v>100</v>
      </c>
      <c r="AR55" s="314">
        <f>IFERROR(__xludf.DUMMYFUNCTION("""COMPUTED_VALUE"""),100.0)</f>
        <v>100</v>
      </c>
      <c r="AS55" s="315">
        <f>IFERROR(__xludf.DUMMYFUNCTION("""COMPUTED_VALUE"""),100.0)</f>
        <v>100</v>
      </c>
      <c r="AT55" s="276" t="str">
        <f>IFERROR(__xludf.DUMMYFUNCTION("""COMPUTED_VALUE"""),"範囲(特大)")</f>
        <v>範囲(特大)</v>
      </c>
      <c r="AU55" s="308">
        <f>IFERROR(__xludf.DUMMYFUNCTION("""COMPUTED_VALUE"""),1.0)</f>
        <v>1</v>
      </c>
      <c r="AV55" s="308" t="str">
        <f>IFERROR(__xludf.DUMMYFUNCTION("""COMPUTED_VALUE"""),"発動確率")</f>
        <v>発動確率</v>
      </c>
      <c r="AW55" s="312">
        <f>IFERROR(__xludf.DUMMYFUNCTION("""COMPUTED_VALUE"""),100.0)</f>
        <v>100</v>
      </c>
      <c r="AX55" s="313">
        <f>IFERROR(__xludf.DUMMYFUNCTION("""COMPUTED_VALUE"""),100.0)</f>
        <v>100</v>
      </c>
      <c r="AY55" s="314">
        <f>IFERROR(__xludf.DUMMYFUNCTION("""COMPUTED_VALUE"""),100.0)</f>
        <v>100</v>
      </c>
      <c r="AZ55" s="313">
        <f>IFERROR(__xludf.DUMMYFUNCTION("""COMPUTED_VALUE"""),100.0)</f>
        <v>100</v>
      </c>
      <c r="BA55" s="314">
        <f>IFERROR(__xludf.DUMMYFUNCTION("""COMPUTED_VALUE"""),100.0)</f>
        <v>100</v>
      </c>
      <c r="BB55" s="313">
        <f>IFERROR(__xludf.DUMMYFUNCTION("""COMPUTED_VALUE"""),100.0)</f>
        <v>100</v>
      </c>
      <c r="BC55" s="314">
        <f>IFERROR(__xludf.DUMMYFUNCTION("""COMPUTED_VALUE"""),100.0)</f>
        <v>100</v>
      </c>
      <c r="BD55" s="315">
        <f>IFERROR(__xludf.DUMMYFUNCTION("""COMPUTED_VALUE"""),100.0)</f>
        <v>100</v>
      </c>
      <c r="BE55" s="279" t="str">
        <f>IFERROR(__xludf.DUMMYFUNCTION("""COMPUTED_VALUE"""),"範囲(小：威力減)")</f>
        <v>範囲(小：威力減)</v>
      </c>
      <c r="BF55" s="308">
        <f>IFERROR(__xludf.DUMMYFUNCTION("""COMPUTED_VALUE"""),1.0)</f>
        <v>1</v>
      </c>
      <c r="BG55" s="308" t="str">
        <f>IFERROR(__xludf.DUMMYFUNCTION("""COMPUTED_VALUE"""),"発動確率")</f>
        <v>発動確率</v>
      </c>
      <c r="BH55" s="312">
        <f>IFERROR(__xludf.DUMMYFUNCTION("""COMPUTED_VALUE"""),100.0)</f>
        <v>100</v>
      </c>
      <c r="BI55" s="313">
        <f>IFERROR(__xludf.DUMMYFUNCTION("""COMPUTED_VALUE"""),100.0)</f>
        <v>100</v>
      </c>
      <c r="BJ55" s="314">
        <f>IFERROR(__xludf.DUMMYFUNCTION("""COMPUTED_VALUE"""),100.0)</f>
        <v>100</v>
      </c>
      <c r="BK55" s="313">
        <f>IFERROR(__xludf.DUMMYFUNCTION("""COMPUTED_VALUE"""),100.0)</f>
        <v>100</v>
      </c>
      <c r="BL55" s="314">
        <f>IFERROR(__xludf.DUMMYFUNCTION("""COMPUTED_VALUE"""),100.0)</f>
        <v>100</v>
      </c>
      <c r="BM55" s="313">
        <f>IFERROR(__xludf.DUMMYFUNCTION("""COMPUTED_VALUE"""),100.0)</f>
        <v>100</v>
      </c>
      <c r="BN55" s="314">
        <f>IFERROR(__xludf.DUMMYFUNCTION("""COMPUTED_VALUE"""),100.0)</f>
        <v>100</v>
      </c>
      <c r="BO55" s="315">
        <f>IFERROR(__xludf.DUMMYFUNCTION("""COMPUTED_VALUE"""),100.0)</f>
        <v>100</v>
      </c>
    </row>
    <row r="56">
      <c r="A56" s="307" t="str">
        <f>IFERROR(__xludf.DUMMYFUNCTION("""COMPUTED_VALUE"""),"スタン")</f>
        <v>スタン</v>
      </c>
      <c r="B56" s="272" t="str">
        <f>IFERROR(__xludf.DUMMYFUNCTION("""COMPUTED_VALUE"""),"単体")</f>
        <v>単体</v>
      </c>
      <c r="C56" s="316">
        <f>IFERROR(__xludf.DUMMYFUNCTION("""COMPUTED_VALUE"""),2.0)</f>
        <v>2</v>
      </c>
      <c r="D56" s="316" t="str">
        <f>IFERROR(__xludf.DUMMYFUNCTION("""COMPUTED_VALUE"""),"効果時間")</f>
        <v>効果時間</v>
      </c>
      <c r="E56" s="317">
        <f>IFERROR(__xludf.DUMMYFUNCTION("""COMPUTED_VALUE"""),50.0)</f>
        <v>50</v>
      </c>
      <c r="F56" s="317">
        <f>IFERROR(__xludf.DUMMYFUNCTION("""COMPUTED_VALUE"""),60.0)</f>
        <v>60</v>
      </c>
      <c r="G56" s="317">
        <f>IFERROR(__xludf.DUMMYFUNCTION("""COMPUTED_VALUE"""),65.0)</f>
        <v>65</v>
      </c>
      <c r="H56" s="317">
        <f>IFERROR(__xludf.DUMMYFUNCTION("""COMPUTED_VALUE"""),60.0)</f>
        <v>60</v>
      </c>
      <c r="I56" s="317">
        <f>IFERROR(__xludf.DUMMYFUNCTION("""COMPUTED_VALUE"""),80.0)</f>
        <v>80</v>
      </c>
      <c r="J56" s="317">
        <f>IFERROR(__xludf.DUMMYFUNCTION("""COMPUTED_VALUE"""),105.0)</f>
        <v>105</v>
      </c>
      <c r="K56" s="317">
        <f>IFERROR(__xludf.DUMMYFUNCTION("""COMPUTED_VALUE"""),160.0)</f>
        <v>160</v>
      </c>
      <c r="L56" s="317">
        <f>IFERROR(__xludf.DUMMYFUNCTION("""COMPUTED_VALUE"""),190.0)</f>
        <v>190</v>
      </c>
      <c r="M56" s="276" t="str">
        <f>IFERROR(__xludf.DUMMYFUNCTION("""COMPUTED_VALUE"""),"範囲(小)")</f>
        <v>範囲(小)</v>
      </c>
      <c r="N56" s="316">
        <f>IFERROR(__xludf.DUMMYFUNCTION("""COMPUTED_VALUE"""),2.0)</f>
        <v>2</v>
      </c>
      <c r="O56" s="316" t="str">
        <f>IFERROR(__xludf.DUMMYFUNCTION("""COMPUTED_VALUE"""),"効果時間")</f>
        <v>効果時間</v>
      </c>
      <c r="P56" s="318">
        <f>IFERROR(__xludf.DUMMYFUNCTION("""COMPUTED_VALUE"""),50.0)</f>
        <v>50</v>
      </c>
      <c r="Q56" s="318">
        <f>IFERROR(__xludf.DUMMYFUNCTION("""COMPUTED_VALUE"""),50.0)</f>
        <v>50</v>
      </c>
      <c r="R56" s="318">
        <f>IFERROR(__xludf.DUMMYFUNCTION("""COMPUTED_VALUE"""),50.0)</f>
        <v>50</v>
      </c>
      <c r="S56" s="318">
        <f>IFERROR(__xludf.DUMMYFUNCTION("""COMPUTED_VALUE"""),50.0)</f>
        <v>50</v>
      </c>
      <c r="T56" s="318">
        <f>IFERROR(__xludf.DUMMYFUNCTION("""COMPUTED_VALUE"""),60.0)</f>
        <v>60</v>
      </c>
      <c r="U56" s="318">
        <f>IFERROR(__xludf.DUMMYFUNCTION("""COMPUTED_VALUE"""),80.0)</f>
        <v>80</v>
      </c>
      <c r="V56" s="318">
        <f>IFERROR(__xludf.DUMMYFUNCTION("""COMPUTED_VALUE"""),120.0)</f>
        <v>120</v>
      </c>
      <c r="W56" s="319">
        <f>IFERROR(__xludf.DUMMYFUNCTION("""COMPUTED_VALUE"""),145.0)</f>
        <v>145</v>
      </c>
      <c r="X56" s="276" t="str">
        <f>IFERROR(__xludf.DUMMYFUNCTION("""COMPUTED_VALUE"""),"範囲(中)")</f>
        <v>範囲(中)</v>
      </c>
      <c r="Y56" s="316">
        <f>IFERROR(__xludf.DUMMYFUNCTION("""COMPUTED_VALUE"""),2.0)</f>
        <v>2</v>
      </c>
      <c r="Z56" s="316" t="str">
        <f>IFERROR(__xludf.DUMMYFUNCTION("""COMPUTED_VALUE"""),"効果時間")</f>
        <v>効果時間</v>
      </c>
      <c r="AA56" s="318">
        <f>IFERROR(__xludf.DUMMYFUNCTION("""COMPUTED_VALUE"""),50.0)</f>
        <v>50</v>
      </c>
      <c r="AB56" s="318">
        <f>IFERROR(__xludf.DUMMYFUNCTION("""COMPUTED_VALUE"""),50.0)</f>
        <v>50</v>
      </c>
      <c r="AC56" s="318">
        <f>IFERROR(__xludf.DUMMYFUNCTION("""COMPUTED_VALUE"""),50.0)</f>
        <v>50</v>
      </c>
      <c r="AD56" s="318">
        <f>IFERROR(__xludf.DUMMYFUNCTION("""COMPUTED_VALUE"""),50.0)</f>
        <v>50</v>
      </c>
      <c r="AE56" s="318">
        <f>IFERROR(__xludf.DUMMYFUNCTION("""COMPUTED_VALUE"""),55.0)</f>
        <v>55</v>
      </c>
      <c r="AF56" s="318">
        <f>IFERROR(__xludf.DUMMYFUNCTION("""COMPUTED_VALUE"""),70.0)</f>
        <v>70</v>
      </c>
      <c r="AG56" s="318">
        <f>IFERROR(__xludf.DUMMYFUNCTION("""COMPUTED_VALUE"""),105.0)</f>
        <v>105</v>
      </c>
      <c r="AH56" s="319">
        <f>IFERROR(__xludf.DUMMYFUNCTION("""COMPUTED_VALUE"""),125.0)</f>
        <v>125</v>
      </c>
      <c r="AI56" s="276" t="str">
        <f>IFERROR(__xludf.DUMMYFUNCTION("""COMPUTED_VALUE"""),"範囲(大)")</f>
        <v>範囲(大)</v>
      </c>
      <c r="AJ56" s="316">
        <f>IFERROR(__xludf.DUMMYFUNCTION("""COMPUTED_VALUE"""),2.0)</f>
        <v>2</v>
      </c>
      <c r="AK56" s="316" t="str">
        <f>IFERROR(__xludf.DUMMYFUNCTION("""COMPUTED_VALUE"""),"効果時間")</f>
        <v>効果時間</v>
      </c>
      <c r="AL56" s="318">
        <f>IFERROR(__xludf.DUMMYFUNCTION("""COMPUTED_VALUE"""),50.0)</f>
        <v>50</v>
      </c>
      <c r="AM56" s="318">
        <f>IFERROR(__xludf.DUMMYFUNCTION("""COMPUTED_VALUE"""),50.0)</f>
        <v>50</v>
      </c>
      <c r="AN56" s="318">
        <f>IFERROR(__xludf.DUMMYFUNCTION("""COMPUTED_VALUE"""),50.0)</f>
        <v>50</v>
      </c>
      <c r="AO56" s="318">
        <f>IFERROR(__xludf.DUMMYFUNCTION("""COMPUTED_VALUE"""),50.0)</f>
        <v>50</v>
      </c>
      <c r="AP56" s="318">
        <f>IFERROR(__xludf.DUMMYFUNCTION("""COMPUTED_VALUE"""),50.0)</f>
        <v>50</v>
      </c>
      <c r="AQ56" s="318">
        <f>IFERROR(__xludf.DUMMYFUNCTION("""COMPUTED_VALUE"""),60.0)</f>
        <v>60</v>
      </c>
      <c r="AR56" s="318">
        <f>IFERROR(__xludf.DUMMYFUNCTION("""COMPUTED_VALUE"""),90.0)</f>
        <v>90</v>
      </c>
      <c r="AS56" s="319">
        <f>IFERROR(__xludf.DUMMYFUNCTION("""COMPUTED_VALUE"""),105.0)</f>
        <v>105</v>
      </c>
      <c r="AT56" s="276" t="str">
        <f>IFERROR(__xludf.DUMMYFUNCTION("""COMPUTED_VALUE"""),"範囲(特大)")</f>
        <v>範囲(特大)</v>
      </c>
      <c r="AU56" s="316">
        <f>IFERROR(__xludf.DUMMYFUNCTION("""COMPUTED_VALUE"""),2.0)</f>
        <v>2</v>
      </c>
      <c r="AV56" s="316" t="str">
        <f>IFERROR(__xludf.DUMMYFUNCTION("""COMPUTED_VALUE"""),"効果時間")</f>
        <v>効果時間</v>
      </c>
      <c r="AW56" s="318">
        <f>IFERROR(__xludf.DUMMYFUNCTION("""COMPUTED_VALUE"""),50.0)</f>
        <v>50</v>
      </c>
      <c r="AX56" s="318">
        <f>IFERROR(__xludf.DUMMYFUNCTION("""COMPUTED_VALUE"""),50.0)</f>
        <v>50</v>
      </c>
      <c r="AY56" s="318">
        <f>IFERROR(__xludf.DUMMYFUNCTION("""COMPUTED_VALUE"""),50.0)</f>
        <v>50</v>
      </c>
      <c r="AZ56" s="318">
        <f>IFERROR(__xludf.DUMMYFUNCTION("""COMPUTED_VALUE"""),50.0)</f>
        <v>50</v>
      </c>
      <c r="BA56" s="318">
        <f>IFERROR(__xludf.DUMMYFUNCTION("""COMPUTED_VALUE"""),50.0)</f>
        <v>50</v>
      </c>
      <c r="BB56" s="318">
        <f>IFERROR(__xludf.DUMMYFUNCTION("""COMPUTED_VALUE"""),55.0)</f>
        <v>55</v>
      </c>
      <c r="BC56" s="318">
        <f>IFERROR(__xludf.DUMMYFUNCTION("""COMPUTED_VALUE"""),80.0)</f>
        <v>80</v>
      </c>
      <c r="BD56" s="319">
        <f>IFERROR(__xludf.DUMMYFUNCTION("""COMPUTED_VALUE"""),95.0)</f>
        <v>95</v>
      </c>
      <c r="BE56" s="279" t="str">
        <f>IFERROR(__xludf.DUMMYFUNCTION("""COMPUTED_VALUE"""),"範囲(小：威力減)")</f>
        <v>範囲(小：威力減)</v>
      </c>
      <c r="BF56" s="316">
        <f>IFERROR(__xludf.DUMMYFUNCTION("""COMPUTED_VALUE"""),2.0)</f>
        <v>2</v>
      </c>
      <c r="BG56" s="316" t="str">
        <f>IFERROR(__xludf.DUMMYFUNCTION("""COMPUTED_VALUE"""),"効果時間")</f>
        <v>効果時間</v>
      </c>
      <c r="BH56" s="318">
        <f>IFERROR(__xludf.DUMMYFUNCTION("""COMPUTED_VALUE"""),50.0)</f>
        <v>50</v>
      </c>
      <c r="BI56" s="318">
        <f>IFERROR(__xludf.DUMMYFUNCTION("""COMPUTED_VALUE"""),50.0)</f>
        <v>50</v>
      </c>
      <c r="BJ56" s="318">
        <f>IFERROR(__xludf.DUMMYFUNCTION("""COMPUTED_VALUE"""),50.0)</f>
        <v>50</v>
      </c>
      <c r="BK56" s="318">
        <f>IFERROR(__xludf.DUMMYFUNCTION("""COMPUTED_VALUE"""),50.0)</f>
        <v>50</v>
      </c>
      <c r="BL56" s="318">
        <f>IFERROR(__xludf.DUMMYFUNCTION("""COMPUTED_VALUE"""),50.0)</f>
        <v>50</v>
      </c>
      <c r="BM56" s="318">
        <f>IFERROR(__xludf.DUMMYFUNCTION("""COMPUTED_VALUE"""),55.0)</f>
        <v>55</v>
      </c>
      <c r="BN56" s="318">
        <f>IFERROR(__xludf.DUMMYFUNCTION("""COMPUTED_VALUE"""),80.0)</f>
        <v>80</v>
      </c>
      <c r="BO56" s="319">
        <f>IFERROR(__xludf.DUMMYFUNCTION("""COMPUTED_VALUE"""),95.0)</f>
        <v>95</v>
      </c>
    </row>
    <row r="57">
      <c r="A57" s="320" t="str">
        <f>IFERROR(__xludf.DUMMYFUNCTION("""COMPUTED_VALUE"""),"スタン")</f>
        <v>スタン</v>
      </c>
      <c r="B57" s="272" t="str">
        <f>IFERROR(__xludf.DUMMYFUNCTION("""COMPUTED_VALUE"""),"単体")</f>
        <v>単体</v>
      </c>
      <c r="C57" s="308">
        <f>IFERROR(__xludf.DUMMYFUNCTION("""COMPUTED_VALUE"""),2.0)</f>
        <v>2</v>
      </c>
      <c r="D57" s="308" t="str">
        <f>IFERROR(__xludf.DUMMYFUNCTION("""COMPUTED_VALUE"""),"発動確率")</f>
        <v>発動確率</v>
      </c>
      <c r="E57" s="309">
        <f>IFERROR(__xludf.DUMMYFUNCTION("""COMPUTED_VALUE"""),100.0)</f>
        <v>100</v>
      </c>
      <c r="F57" s="310">
        <f>IFERROR(__xludf.DUMMYFUNCTION("""COMPUTED_VALUE"""),100.0)</f>
        <v>100</v>
      </c>
      <c r="G57" s="311">
        <f>IFERROR(__xludf.DUMMYFUNCTION("""COMPUTED_VALUE"""),100.0)</f>
        <v>100</v>
      </c>
      <c r="H57" s="310">
        <f>IFERROR(__xludf.DUMMYFUNCTION("""COMPUTED_VALUE"""),100.0)</f>
        <v>100</v>
      </c>
      <c r="I57" s="311">
        <f>IFERROR(__xludf.DUMMYFUNCTION("""COMPUTED_VALUE"""),100.0)</f>
        <v>100</v>
      </c>
      <c r="J57" s="310">
        <f>IFERROR(__xludf.DUMMYFUNCTION("""COMPUTED_VALUE"""),100.0)</f>
        <v>100</v>
      </c>
      <c r="K57" s="311">
        <f>IFERROR(__xludf.DUMMYFUNCTION("""COMPUTED_VALUE"""),100.0)</f>
        <v>100</v>
      </c>
      <c r="L57" s="309">
        <f>IFERROR(__xludf.DUMMYFUNCTION("""COMPUTED_VALUE"""),100.0)</f>
        <v>100</v>
      </c>
      <c r="M57" s="276" t="str">
        <f>IFERROR(__xludf.DUMMYFUNCTION("""COMPUTED_VALUE"""),"範囲(小)")</f>
        <v>範囲(小)</v>
      </c>
      <c r="N57" s="308">
        <f>IFERROR(__xludf.DUMMYFUNCTION("""COMPUTED_VALUE"""),2.0)</f>
        <v>2</v>
      </c>
      <c r="O57" s="308" t="str">
        <f>IFERROR(__xludf.DUMMYFUNCTION("""COMPUTED_VALUE"""),"発動確率")</f>
        <v>発動確率</v>
      </c>
      <c r="P57" s="321">
        <f>IFERROR(__xludf.DUMMYFUNCTION("""COMPUTED_VALUE"""),100.0)</f>
        <v>100</v>
      </c>
      <c r="Q57" s="322">
        <f>IFERROR(__xludf.DUMMYFUNCTION("""COMPUTED_VALUE"""),100.0)</f>
        <v>100</v>
      </c>
      <c r="R57" s="323">
        <f>IFERROR(__xludf.DUMMYFUNCTION("""COMPUTED_VALUE"""),100.0)</f>
        <v>100</v>
      </c>
      <c r="S57" s="322">
        <f>IFERROR(__xludf.DUMMYFUNCTION("""COMPUTED_VALUE"""),100.0)</f>
        <v>100</v>
      </c>
      <c r="T57" s="323">
        <f>IFERROR(__xludf.DUMMYFUNCTION("""COMPUTED_VALUE"""),100.0)</f>
        <v>100</v>
      </c>
      <c r="U57" s="322">
        <f>IFERROR(__xludf.DUMMYFUNCTION("""COMPUTED_VALUE"""),100.0)</f>
        <v>100</v>
      </c>
      <c r="V57" s="323">
        <f>IFERROR(__xludf.DUMMYFUNCTION("""COMPUTED_VALUE"""),100.0)</f>
        <v>100</v>
      </c>
      <c r="W57" s="324">
        <f>IFERROR(__xludf.DUMMYFUNCTION("""COMPUTED_VALUE"""),100.0)</f>
        <v>100</v>
      </c>
      <c r="X57" s="276" t="str">
        <f>IFERROR(__xludf.DUMMYFUNCTION("""COMPUTED_VALUE"""),"範囲(中)")</f>
        <v>範囲(中)</v>
      </c>
      <c r="Y57" s="308">
        <f>IFERROR(__xludf.DUMMYFUNCTION("""COMPUTED_VALUE"""),2.0)</f>
        <v>2</v>
      </c>
      <c r="Z57" s="308" t="str">
        <f>IFERROR(__xludf.DUMMYFUNCTION("""COMPUTED_VALUE"""),"発動確率")</f>
        <v>発動確率</v>
      </c>
      <c r="AA57" s="321">
        <f>IFERROR(__xludf.DUMMYFUNCTION("""COMPUTED_VALUE"""),100.0)</f>
        <v>100</v>
      </c>
      <c r="AB57" s="322">
        <f>IFERROR(__xludf.DUMMYFUNCTION("""COMPUTED_VALUE"""),100.0)</f>
        <v>100</v>
      </c>
      <c r="AC57" s="323">
        <f>IFERROR(__xludf.DUMMYFUNCTION("""COMPUTED_VALUE"""),100.0)</f>
        <v>100</v>
      </c>
      <c r="AD57" s="322">
        <f>IFERROR(__xludf.DUMMYFUNCTION("""COMPUTED_VALUE"""),100.0)</f>
        <v>100</v>
      </c>
      <c r="AE57" s="323">
        <f>IFERROR(__xludf.DUMMYFUNCTION("""COMPUTED_VALUE"""),100.0)</f>
        <v>100</v>
      </c>
      <c r="AF57" s="322">
        <f>IFERROR(__xludf.DUMMYFUNCTION("""COMPUTED_VALUE"""),100.0)</f>
        <v>100</v>
      </c>
      <c r="AG57" s="323">
        <f>IFERROR(__xludf.DUMMYFUNCTION("""COMPUTED_VALUE"""),100.0)</f>
        <v>100</v>
      </c>
      <c r="AH57" s="324">
        <f>IFERROR(__xludf.DUMMYFUNCTION("""COMPUTED_VALUE"""),100.0)</f>
        <v>100</v>
      </c>
      <c r="AI57" s="276" t="str">
        <f>IFERROR(__xludf.DUMMYFUNCTION("""COMPUTED_VALUE"""),"範囲(大)")</f>
        <v>範囲(大)</v>
      </c>
      <c r="AJ57" s="308">
        <f>IFERROR(__xludf.DUMMYFUNCTION("""COMPUTED_VALUE"""),2.0)</f>
        <v>2</v>
      </c>
      <c r="AK57" s="308" t="str">
        <f>IFERROR(__xludf.DUMMYFUNCTION("""COMPUTED_VALUE"""),"発動確率")</f>
        <v>発動確率</v>
      </c>
      <c r="AL57" s="321">
        <f>IFERROR(__xludf.DUMMYFUNCTION("""COMPUTED_VALUE"""),100.0)</f>
        <v>100</v>
      </c>
      <c r="AM57" s="322">
        <f>IFERROR(__xludf.DUMMYFUNCTION("""COMPUTED_VALUE"""),100.0)</f>
        <v>100</v>
      </c>
      <c r="AN57" s="323">
        <f>IFERROR(__xludf.DUMMYFUNCTION("""COMPUTED_VALUE"""),100.0)</f>
        <v>100</v>
      </c>
      <c r="AO57" s="322">
        <f>IFERROR(__xludf.DUMMYFUNCTION("""COMPUTED_VALUE"""),100.0)</f>
        <v>100</v>
      </c>
      <c r="AP57" s="323">
        <f>IFERROR(__xludf.DUMMYFUNCTION("""COMPUTED_VALUE"""),100.0)</f>
        <v>100</v>
      </c>
      <c r="AQ57" s="322">
        <f>IFERROR(__xludf.DUMMYFUNCTION("""COMPUTED_VALUE"""),100.0)</f>
        <v>100</v>
      </c>
      <c r="AR57" s="323">
        <f>IFERROR(__xludf.DUMMYFUNCTION("""COMPUTED_VALUE"""),100.0)</f>
        <v>100</v>
      </c>
      <c r="AS57" s="324">
        <f>IFERROR(__xludf.DUMMYFUNCTION("""COMPUTED_VALUE"""),100.0)</f>
        <v>100</v>
      </c>
      <c r="AT57" s="276" t="str">
        <f>IFERROR(__xludf.DUMMYFUNCTION("""COMPUTED_VALUE"""),"範囲(特大)")</f>
        <v>範囲(特大)</v>
      </c>
      <c r="AU57" s="308">
        <f>IFERROR(__xludf.DUMMYFUNCTION("""COMPUTED_VALUE"""),2.0)</f>
        <v>2</v>
      </c>
      <c r="AV57" s="308" t="str">
        <f>IFERROR(__xludf.DUMMYFUNCTION("""COMPUTED_VALUE"""),"発動確率")</f>
        <v>発動確率</v>
      </c>
      <c r="AW57" s="321">
        <f>IFERROR(__xludf.DUMMYFUNCTION("""COMPUTED_VALUE"""),100.0)</f>
        <v>100</v>
      </c>
      <c r="AX57" s="322">
        <f>IFERROR(__xludf.DUMMYFUNCTION("""COMPUTED_VALUE"""),100.0)</f>
        <v>100</v>
      </c>
      <c r="AY57" s="323">
        <f>IFERROR(__xludf.DUMMYFUNCTION("""COMPUTED_VALUE"""),100.0)</f>
        <v>100</v>
      </c>
      <c r="AZ57" s="322">
        <f>IFERROR(__xludf.DUMMYFUNCTION("""COMPUTED_VALUE"""),100.0)</f>
        <v>100</v>
      </c>
      <c r="BA57" s="323">
        <f>IFERROR(__xludf.DUMMYFUNCTION("""COMPUTED_VALUE"""),100.0)</f>
        <v>100</v>
      </c>
      <c r="BB57" s="322">
        <f>IFERROR(__xludf.DUMMYFUNCTION("""COMPUTED_VALUE"""),100.0)</f>
        <v>100</v>
      </c>
      <c r="BC57" s="323">
        <f>IFERROR(__xludf.DUMMYFUNCTION("""COMPUTED_VALUE"""),100.0)</f>
        <v>100</v>
      </c>
      <c r="BD57" s="324">
        <f>IFERROR(__xludf.DUMMYFUNCTION("""COMPUTED_VALUE"""),100.0)</f>
        <v>100</v>
      </c>
      <c r="BE57" s="279" t="str">
        <f>IFERROR(__xludf.DUMMYFUNCTION("""COMPUTED_VALUE"""),"範囲(小：威力減)")</f>
        <v>範囲(小：威力減)</v>
      </c>
      <c r="BF57" s="308">
        <f>IFERROR(__xludf.DUMMYFUNCTION("""COMPUTED_VALUE"""),2.0)</f>
        <v>2</v>
      </c>
      <c r="BG57" s="308" t="str">
        <f>IFERROR(__xludf.DUMMYFUNCTION("""COMPUTED_VALUE"""),"発動確率")</f>
        <v>発動確率</v>
      </c>
      <c r="BH57" s="321">
        <f>IFERROR(__xludf.DUMMYFUNCTION("""COMPUTED_VALUE"""),100.0)</f>
        <v>100</v>
      </c>
      <c r="BI57" s="322">
        <f>IFERROR(__xludf.DUMMYFUNCTION("""COMPUTED_VALUE"""),100.0)</f>
        <v>100</v>
      </c>
      <c r="BJ57" s="323">
        <f>IFERROR(__xludf.DUMMYFUNCTION("""COMPUTED_VALUE"""),100.0)</f>
        <v>100</v>
      </c>
      <c r="BK57" s="322">
        <f>IFERROR(__xludf.DUMMYFUNCTION("""COMPUTED_VALUE"""),100.0)</f>
        <v>100</v>
      </c>
      <c r="BL57" s="323">
        <f>IFERROR(__xludf.DUMMYFUNCTION("""COMPUTED_VALUE"""),100.0)</f>
        <v>100</v>
      </c>
      <c r="BM57" s="322">
        <f>IFERROR(__xludf.DUMMYFUNCTION("""COMPUTED_VALUE"""),100.0)</f>
        <v>100</v>
      </c>
      <c r="BN57" s="323">
        <f>IFERROR(__xludf.DUMMYFUNCTION("""COMPUTED_VALUE"""),100.0)</f>
        <v>100</v>
      </c>
      <c r="BO57" s="324">
        <f>IFERROR(__xludf.DUMMYFUNCTION("""COMPUTED_VALUE"""),100.0)</f>
        <v>100</v>
      </c>
    </row>
    <row r="58">
      <c r="A58" s="307" t="str">
        <f>IFERROR(__xludf.DUMMYFUNCTION("""COMPUTED_VALUE"""),"スタン")</f>
        <v>スタン</v>
      </c>
      <c r="B58" s="272" t="str">
        <f>IFERROR(__xludf.DUMMYFUNCTION("""COMPUTED_VALUE"""),"単体")</f>
        <v>単体</v>
      </c>
      <c r="C58" s="316">
        <f>IFERROR(__xludf.DUMMYFUNCTION("""COMPUTED_VALUE"""),3.0)</f>
        <v>3</v>
      </c>
      <c r="D58" s="316" t="str">
        <f>IFERROR(__xludf.DUMMYFUNCTION("""COMPUTED_VALUE"""),"効果時間")</f>
        <v>効果時間</v>
      </c>
      <c r="E58" s="317">
        <f>IFERROR(__xludf.DUMMYFUNCTION("""COMPUTED_VALUE"""),55.0)</f>
        <v>55</v>
      </c>
      <c r="F58" s="317">
        <f>IFERROR(__xludf.DUMMYFUNCTION("""COMPUTED_VALUE"""),65.0)</f>
        <v>65</v>
      </c>
      <c r="G58" s="317">
        <f>IFERROR(__xludf.DUMMYFUNCTION("""COMPUTED_VALUE"""),70.0)</f>
        <v>70</v>
      </c>
      <c r="H58" s="317">
        <f>IFERROR(__xludf.DUMMYFUNCTION("""COMPUTED_VALUE"""),65.0)</f>
        <v>65</v>
      </c>
      <c r="I58" s="317">
        <f>IFERROR(__xludf.DUMMYFUNCTION("""COMPUTED_VALUE"""),90.0)</f>
        <v>90</v>
      </c>
      <c r="J58" s="317">
        <f>IFERROR(__xludf.DUMMYFUNCTION("""COMPUTED_VALUE"""),125.0)</f>
        <v>125</v>
      </c>
      <c r="K58" s="317">
        <f>IFERROR(__xludf.DUMMYFUNCTION("""COMPUTED_VALUE"""),195.0)</f>
        <v>195</v>
      </c>
      <c r="L58" s="317">
        <f>IFERROR(__xludf.DUMMYFUNCTION("""COMPUTED_VALUE"""),230.0)</f>
        <v>230</v>
      </c>
      <c r="M58" s="276" t="str">
        <f>IFERROR(__xludf.DUMMYFUNCTION("""COMPUTED_VALUE"""),"範囲(小)")</f>
        <v>範囲(小)</v>
      </c>
      <c r="N58" s="316">
        <f>IFERROR(__xludf.DUMMYFUNCTION("""COMPUTED_VALUE"""),3.0)</f>
        <v>3</v>
      </c>
      <c r="O58" s="316" t="str">
        <f>IFERROR(__xludf.DUMMYFUNCTION("""COMPUTED_VALUE"""),"効果時間")</f>
        <v>効果時間</v>
      </c>
      <c r="P58" s="325">
        <f>IFERROR(__xludf.DUMMYFUNCTION("""COMPUTED_VALUE"""),50.0)</f>
        <v>50</v>
      </c>
      <c r="Q58" s="325">
        <f>IFERROR(__xludf.DUMMYFUNCTION("""COMPUTED_VALUE"""),50.0)</f>
        <v>50</v>
      </c>
      <c r="R58" s="325">
        <f>IFERROR(__xludf.DUMMYFUNCTION("""COMPUTED_VALUE"""),55.0)</f>
        <v>55</v>
      </c>
      <c r="S58" s="325">
        <f>IFERROR(__xludf.DUMMYFUNCTION("""COMPUTED_VALUE"""),50.0)</f>
        <v>50</v>
      </c>
      <c r="T58" s="325">
        <f>IFERROR(__xludf.DUMMYFUNCTION("""COMPUTED_VALUE"""),70.0)</f>
        <v>70</v>
      </c>
      <c r="U58" s="325">
        <f>IFERROR(__xludf.DUMMYFUNCTION("""COMPUTED_VALUE"""),95.0)</f>
        <v>95</v>
      </c>
      <c r="V58" s="325">
        <f>IFERROR(__xludf.DUMMYFUNCTION("""COMPUTED_VALUE"""),150.0)</f>
        <v>150</v>
      </c>
      <c r="W58" s="326">
        <f>IFERROR(__xludf.DUMMYFUNCTION("""COMPUTED_VALUE"""),175.0)</f>
        <v>175</v>
      </c>
      <c r="X58" s="276" t="str">
        <f>IFERROR(__xludf.DUMMYFUNCTION("""COMPUTED_VALUE"""),"範囲(中)")</f>
        <v>範囲(中)</v>
      </c>
      <c r="Y58" s="316">
        <f>IFERROR(__xludf.DUMMYFUNCTION("""COMPUTED_VALUE"""),3.0)</f>
        <v>3</v>
      </c>
      <c r="Z58" s="316" t="str">
        <f>IFERROR(__xludf.DUMMYFUNCTION("""COMPUTED_VALUE"""),"効果時間")</f>
        <v>効果時間</v>
      </c>
      <c r="AA58" s="325">
        <f>IFERROR(__xludf.DUMMYFUNCTION("""COMPUTED_VALUE"""),50.0)</f>
        <v>50</v>
      </c>
      <c r="AB58" s="325">
        <f>IFERROR(__xludf.DUMMYFUNCTION("""COMPUTED_VALUE"""),50.0)</f>
        <v>50</v>
      </c>
      <c r="AC58" s="325">
        <f>IFERROR(__xludf.DUMMYFUNCTION("""COMPUTED_VALUE"""),50.0)</f>
        <v>50</v>
      </c>
      <c r="AD58" s="325">
        <f>IFERROR(__xludf.DUMMYFUNCTION("""COMPUTED_VALUE"""),50.0)</f>
        <v>50</v>
      </c>
      <c r="AE58" s="325">
        <f>IFERROR(__xludf.DUMMYFUNCTION("""COMPUTED_VALUE"""),60.0)</f>
        <v>60</v>
      </c>
      <c r="AF58" s="325">
        <f>IFERROR(__xludf.DUMMYFUNCTION("""COMPUTED_VALUE"""),85.0)</f>
        <v>85</v>
      </c>
      <c r="AG58" s="325">
        <f>IFERROR(__xludf.DUMMYFUNCTION("""COMPUTED_VALUE"""),130.0)</f>
        <v>130</v>
      </c>
      <c r="AH58" s="326">
        <f>IFERROR(__xludf.DUMMYFUNCTION("""COMPUTED_VALUE"""),150.0)</f>
        <v>150</v>
      </c>
      <c r="AI58" s="276" t="str">
        <f>IFERROR(__xludf.DUMMYFUNCTION("""COMPUTED_VALUE"""),"範囲(大)")</f>
        <v>範囲(大)</v>
      </c>
      <c r="AJ58" s="316">
        <f>IFERROR(__xludf.DUMMYFUNCTION("""COMPUTED_VALUE"""),3.0)</f>
        <v>3</v>
      </c>
      <c r="AK58" s="316" t="str">
        <f>IFERROR(__xludf.DUMMYFUNCTION("""COMPUTED_VALUE"""),"効果時間")</f>
        <v>効果時間</v>
      </c>
      <c r="AL58" s="325">
        <f>IFERROR(__xludf.DUMMYFUNCTION("""COMPUTED_VALUE"""),50.0)</f>
        <v>50</v>
      </c>
      <c r="AM58" s="325">
        <f>IFERROR(__xludf.DUMMYFUNCTION("""COMPUTED_VALUE"""),50.0)</f>
        <v>50</v>
      </c>
      <c r="AN58" s="325">
        <f>IFERROR(__xludf.DUMMYFUNCTION("""COMPUTED_VALUE"""),50.0)</f>
        <v>50</v>
      </c>
      <c r="AO58" s="325">
        <f>IFERROR(__xludf.DUMMYFUNCTION("""COMPUTED_VALUE"""),50.0)</f>
        <v>50</v>
      </c>
      <c r="AP58" s="325">
        <f>IFERROR(__xludf.DUMMYFUNCTION("""COMPUTED_VALUE"""),50.0)</f>
        <v>50</v>
      </c>
      <c r="AQ58" s="325">
        <f>IFERROR(__xludf.DUMMYFUNCTION("""COMPUTED_VALUE"""),70.0)</f>
        <v>70</v>
      </c>
      <c r="AR58" s="325">
        <f>IFERROR(__xludf.DUMMYFUNCTION("""COMPUTED_VALUE"""),110.0)</f>
        <v>110</v>
      </c>
      <c r="AS58" s="326">
        <f>IFERROR(__xludf.DUMMYFUNCTION("""COMPUTED_VALUE"""),130.0)</f>
        <v>130</v>
      </c>
      <c r="AT58" s="276" t="str">
        <f>IFERROR(__xludf.DUMMYFUNCTION("""COMPUTED_VALUE"""),"範囲(特大)")</f>
        <v>範囲(特大)</v>
      </c>
      <c r="AU58" s="316">
        <f>IFERROR(__xludf.DUMMYFUNCTION("""COMPUTED_VALUE"""),3.0)</f>
        <v>3</v>
      </c>
      <c r="AV58" s="316" t="str">
        <f>IFERROR(__xludf.DUMMYFUNCTION("""COMPUTED_VALUE"""),"効果時間")</f>
        <v>効果時間</v>
      </c>
      <c r="AW58" s="325">
        <f>IFERROR(__xludf.DUMMYFUNCTION("""COMPUTED_VALUE"""),50.0)</f>
        <v>50</v>
      </c>
      <c r="AX58" s="325">
        <f>IFERROR(__xludf.DUMMYFUNCTION("""COMPUTED_VALUE"""),50.0)</f>
        <v>50</v>
      </c>
      <c r="AY58" s="325">
        <f>IFERROR(__xludf.DUMMYFUNCTION("""COMPUTED_VALUE"""),50.0)</f>
        <v>50</v>
      </c>
      <c r="AZ58" s="325">
        <f>IFERROR(__xludf.DUMMYFUNCTION("""COMPUTED_VALUE"""),50.0)</f>
        <v>50</v>
      </c>
      <c r="BA58" s="325">
        <f>IFERROR(__xludf.DUMMYFUNCTION("""COMPUTED_VALUE"""),50.0)</f>
        <v>50</v>
      </c>
      <c r="BB58" s="325">
        <f>IFERROR(__xludf.DUMMYFUNCTION("""COMPUTED_VALUE"""),65.0)</f>
        <v>65</v>
      </c>
      <c r="BC58" s="325">
        <f>IFERROR(__xludf.DUMMYFUNCTION("""COMPUTED_VALUE"""),100.0)</f>
        <v>100</v>
      </c>
      <c r="BD58" s="326">
        <f>IFERROR(__xludf.DUMMYFUNCTION("""COMPUTED_VALUE"""),115.0)</f>
        <v>115</v>
      </c>
      <c r="BE58" s="279" t="str">
        <f>IFERROR(__xludf.DUMMYFUNCTION("""COMPUTED_VALUE"""),"範囲(小：威力減)")</f>
        <v>範囲(小：威力減)</v>
      </c>
      <c r="BF58" s="316">
        <f>IFERROR(__xludf.DUMMYFUNCTION("""COMPUTED_VALUE"""),3.0)</f>
        <v>3</v>
      </c>
      <c r="BG58" s="316" t="str">
        <f>IFERROR(__xludf.DUMMYFUNCTION("""COMPUTED_VALUE"""),"効果時間")</f>
        <v>効果時間</v>
      </c>
      <c r="BH58" s="325">
        <f>IFERROR(__xludf.DUMMYFUNCTION("""COMPUTED_VALUE"""),50.0)</f>
        <v>50</v>
      </c>
      <c r="BI58" s="325">
        <f>IFERROR(__xludf.DUMMYFUNCTION("""COMPUTED_VALUE"""),50.0)</f>
        <v>50</v>
      </c>
      <c r="BJ58" s="325">
        <f>IFERROR(__xludf.DUMMYFUNCTION("""COMPUTED_VALUE"""),50.0)</f>
        <v>50</v>
      </c>
      <c r="BK58" s="325">
        <f>IFERROR(__xludf.DUMMYFUNCTION("""COMPUTED_VALUE"""),50.0)</f>
        <v>50</v>
      </c>
      <c r="BL58" s="325">
        <f>IFERROR(__xludf.DUMMYFUNCTION("""COMPUTED_VALUE"""),50.0)</f>
        <v>50</v>
      </c>
      <c r="BM58" s="325">
        <f>IFERROR(__xludf.DUMMYFUNCTION("""COMPUTED_VALUE"""),65.0)</f>
        <v>65</v>
      </c>
      <c r="BN58" s="325">
        <f>IFERROR(__xludf.DUMMYFUNCTION("""COMPUTED_VALUE"""),100.0)</f>
        <v>100</v>
      </c>
      <c r="BO58" s="326">
        <f>IFERROR(__xludf.DUMMYFUNCTION("""COMPUTED_VALUE"""),115.0)</f>
        <v>115</v>
      </c>
    </row>
    <row r="59">
      <c r="A59" s="307" t="str">
        <f>IFERROR(__xludf.DUMMYFUNCTION("""COMPUTED_VALUE"""),"スタン")</f>
        <v>スタン</v>
      </c>
      <c r="B59" s="272" t="str">
        <f>IFERROR(__xludf.DUMMYFUNCTION("""COMPUTED_VALUE"""),"単体")</f>
        <v>単体</v>
      </c>
      <c r="C59" s="308">
        <f>IFERROR(__xludf.DUMMYFUNCTION("""COMPUTED_VALUE"""),3.0)</f>
        <v>3</v>
      </c>
      <c r="D59" s="308" t="str">
        <f>IFERROR(__xludf.DUMMYFUNCTION("""COMPUTED_VALUE"""),"発動確率")</f>
        <v>発動確率</v>
      </c>
      <c r="E59" s="309">
        <f>IFERROR(__xludf.DUMMYFUNCTION("""COMPUTED_VALUE"""),100.0)</f>
        <v>100</v>
      </c>
      <c r="F59" s="310">
        <f>IFERROR(__xludf.DUMMYFUNCTION("""COMPUTED_VALUE"""),100.0)</f>
        <v>100</v>
      </c>
      <c r="G59" s="311">
        <f>IFERROR(__xludf.DUMMYFUNCTION("""COMPUTED_VALUE"""),100.0)</f>
        <v>100</v>
      </c>
      <c r="H59" s="310">
        <f>IFERROR(__xludf.DUMMYFUNCTION("""COMPUTED_VALUE"""),100.0)</f>
        <v>100</v>
      </c>
      <c r="I59" s="311">
        <f>IFERROR(__xludf.DUMMYFUNCTION("""COMPUTED_VALUE"""),100.0)</f>
        <v>100</v>
      </c>
      <c r="J59" s="310">
        <f>IFERROR(__xludf.DUMMYFUNCTION("""COMPUTED_VALUE"""),100.0)</f>
        <v>100</v>
      </c>
      <c r="K59" s="311">
        <f>IFERROR(__xludf.DUMMYFUNCTION("""COMPUTED_VALUE"""),100.0)</f>
        <v>100</v>
      </c>
      <c r="L59" s="309">
        <f>IFERROR(__xludf.DUMMYFUNCTION("""COMPUTED_VALUE"""),100.0)</f>
        <v>100</v>
      </c>
      <c r="M59" s="276" t="str">
        <f>IFERROR(__xludf.DUMMYFUNCTION("""COMPUTED_VALUE"""),"範囲(小)")</f>
        <v>範囲(小)</v>
      </c>
      <c r="N59" s="308">
        <f>IFERROR(__xludf.DUMMYFUNCTION("""COMPUTED_VALUE"""),3.0)</f>
        <v>3</v>
      </c>
      <c r="O59" s="308" t="str">
        <f>IFERROR(__xludf.DUMMYFUNCTION("""COMPUTED_VALUE"""),"発動確率")</f>
        <v>発動確率</v>
      </c>
      <c r="P59" s="321">
        <f>IFERROR(__xludf.DUMMYFUNCTION("""COMPUTED_VALUE"""),100.0)</f>
        <v>100</v>
      </c>
      <c r="Q59" s="322">
        <f>IFERROR(__xludf.DUMMYFUNCTION("""COMPUTED_VALUE"""),100.0)</f>
        <v>100</v>
      </c>
      <c r="R59" s="323">
        <f>IFERROR(__xludf.DUMMYFUNCTION("""COMPUTED_VALUE"""),100.0)</f>
        <v>100</v>
      </c>
      <c r="S59" s="322">
        <f>IFERROR(__xludf.DUMMYFUNCTION("""COMPUTED_VALUE"""),100.0)</f>
        <v>100</v>
      </c>
      <c r="T59" s="323">
        <f>IFERROR(__xludf.DUMMYFUNCTION("""COMPUTED_VALUE"""),100.0)</f>
        <v>100</v>
      </c>
      <c r="U59" s="322">
        <f>IFERROR(__xludf.DUMMYFUNCTION("""COMPUTED_VALUE"""),100.0)</f>
        <v>100</v>
      </c>
      <c r="V59" s="323">
        <f>IFERROR(__xludf.DUMMYFUNCTION("""COMPUTED_VALUE"""),100.0)</f>
        <v>100</v>
      </c>
      <c r="W59" s="324">
        <f>IFERROR(__xludf.DUMMYFUNCTION("""COMPUTED_VALUE"""),100.0)</f>
        <v>100</v>
      </c>
      <c r="X59" s="276" t="str">
        <f>IFERROR(__xludf.DUMMYFUNCTION("""COMPUTED_VALUE"""),"範囲(中)")</f>
        <v>範囲(中)</v>
      </c>
      <c r="Y59" s="308">
        <f>IFERROR(__xludf.DUMMYFUNCTION("""COMPUTED_VALUE"""),3.0)</f>
        <v>3</v>
      </c>
      <c r="Z59" s="308" t="str">
        <f>IFERROR(__xludf.DUMMYFUNCTION("""COMPUTED_VALUE"""),"発動確率")</f>
        <v>発動確率</v>
      </c>
      <c r="AA59" s="321">
        <f>IFERROR(__xludf.DUMMYFUNCTION("""COMPUTED_VALUE"""),100.0)</f>
        <v>100</v>
      </c>
      <c r="AB59" s="322">
        <f>IFERROR(__xludf.DUMMYFUNCTION("""COMPUTED_VALUE"""),100.0)</f>
        <v>100</v>
      </c>
      <c r="AC59" s="323">
        <f>IFERROR(__xludf.DUMMYFUNCTION("""COMPUTED_VALUE"""),100.0)</f>
        <v>100</v>
      </c>
      <c r="AD59" s="322">
        <f>IFERROR(__xludf.DUMMYFUNCTION("""COMPUTED_VALUE"""),100.0)</f>
        <v>100</v>
      </c>
      <c r="AE59" s="323">
        <f>IFERROR(__xludf.DUMMYFUNCTION("""COMPUTED_VALUE"""),100.0)</f>
        <v>100</v>
      </c>
      <c r="AF59" s="322">
        <f>IFERROR(__xludf.DUMMYFUNCTION("""COMPUTED_VALUE"""),100.0)</f>
        <v>100</v>
      </c>
      <c r="AG59" s="323">
        <f>IFERROR(__xludf.DUMMYFUNCTION("""COMPUTED_VALUE"""),100.0)</f>
        <v>100</v>
      </c>
      <c r="AH59" s="324">
        <f>IFERROR(__xludf.DUMMYFUNCTION("""COMPUTED_VALUE"""),100.0)</f>
        <v>100</v>
      </c>
      <c r="AI59" s="276" t="str">
        <f>IFERROR(__xludf.DUMMYFUNCTION("""COMPUTED_VALUE"""),"範囲(大)")</f>
        <v>範囲(大)</v>
      </c>
      <c r="AJ59" s="308">
        <f>IFERROR(__xludf.DUMMYFUNCTION("""COMPUTED_VALUE"""),3.0)</f>
        <v>3</v>
      </c>
      <c r="AK59" s="308" t="str">
        <f>IFERROR(__xludf.DUMMYFUNCTION("""COMPUTED_VALUE"""),"発動確率")</f>
        <v>発動確率</v>
      </c>
      <c r="AL59" s="321">
        <f>IFERROR(__xludf.DUMMYFUNCTION("""COMPUTED_VALUE"""),100.0)</f>
        <v>100</v>
      </c>
      <c r="AM59" s="322">
        <f>IFERROR(__xludf.DUMMYFUNCTION("""COMPUTED_VALUE"""),100.0)</f>
        <v>100</v>
      </c>
      <c r="AN59" s="323">
        <f>IFERROR(__xludf.DUMMYFUNCTION("""COMPUTED_VALUE"""),100.0)</f>
        <v>100</v>
      </c>
      <c r="AO59" s="322">
        <f>IFERROR(__xludf.DUMMYFUNCTION("""COMPUTED_VALUE"""),100.0)</f>
        <v>100</v>
      </c>
      <c r="AP59" s="323">
        <f>IFERROR(__xludf.DUMMYFUNCTION("""COMPUTED_VALUE"""),100.0)</f>
        <v>100</v>
      </c>
      <c r="AQ59" s="322">
        <f>IFERROR(__xludf.DUMMYFUNCTION("""COMPUTED_VALUE"""),100.0)</f>
        <v>100</v>
      </c>
      <c r="AR59" s="323">
        <f>IFERROR(__xludf.DUMMYFUNCTION("""COMPUTED_VALUE"""),100.0)</f>
        <v>100</v>
      </c>
      <c r="AS59" s="324">
        <f>IFERROR(__xludf.DUMMYFUNCTION("""COMPUTED_VALUE"""),100.0)</f>
        <v>100</v>
      </c>
      <c r="AT59" s="276" t="str">
        <f>IFERROR(__xludf.DUMMYFUNCTION("""COMPUTED_VALUE"""),"範囲(特大)")</f>
        <v>範囲(特大)</v>
      </c>
      <c r="AU59" s="308">
        <f>IFERROR(__xludf.DUMMYFUNCTION("""COMPUTED_VALUE"""),3.0)</f>
        <v>3</v>
      </c>
      <c r="AV59" s="308" t="str">
        <f>IFERROR(__xludf.DUMMYFUNCTION("""COMPUTED_VALUE"""),"発動確率")</f>
        <v>発動確率</v>
      </c>
      <c r="AW59" s="321">
        <f>IFERROR(__xludf.DUMMYFUNCTION("""COMPUTED_VALUE"""),100.0)</f>
        <v>100</v>
      </c>
      <c r="AX59" s="322">
        <f>IFERROR(__xludf.DUMMYFUNCTION("""COMPUTED_VALUE"""),100.0)</f>
        <v>100</v>
      </c>
      <c r="AY59" s="323">
        <f>IFERROR(__xludf.DUMMYFUNCTION("""COMPUTED_VALUE"""),100.0)</f>
        <v>100</v>
      </c>
      <c r="AZ59" s="322">
        <f>IFERROR(__xludf.DUMMYFUNCTION("""COMPUTED_VALUE"""),100.0)</f>
        <v>100</v>
      </c>
      <c r="BA59" s="323">
        <f>IFERROR(__xludf.DUMMYFUNCTION("""COMPUTED_VALUE"""),100.0)</f>
        <v>100</v>
      </c>
      <c r="BB59" s="322">
        <f>IFERROR(__xludf.DUMMYFUNCTION("""COMPUTED_VALUE"""),100.0)</f>
        <v>100</v>
      </c>
      <c r="BC59" s="323">
        <f>IFERROR(__xludf.DUMMYFUNCTION("""COMPUTED_VALUE"""),100.0)</f>
        <v>100</v>
      </c>
      <c r="BD59" s="324">
        <f>IFERROR(__xludf.DUMMYFUNCTION("""COMPUTED_VALUE"""),100.0)</f>
        <v>100</v>
      </c>
      <c r="BE59" s="279" t="str">
        <f>IFERROR(__xludf.DUMMYFUNCTION("""COMPUTED_VALUE"""),"範囲(小：威力減)")</f>
        <v>範囲(小：威力減)</v>
      </c>
      <c r="BF59" s="308">
        <f>IFERROR(__xludf.DUMMYFUNCTION("""COMPUTED_VALUE"""),3.0)</f>
        <v>3</v>
      </c>
      <c r="BG59" s="308" t="str">
        <f>IFERROR(__xludf.DUMMYFUNCTION("""COMPUTED_VALUE"""),"発動確率")</f>
        <v>発動確率</v>
      </c>
      <c r="BH59" s="321">
        <f>IFERROR(__xludf.DUMMYFUNCTION("""COMPUTED_VALUE"""),100.0)</f>
        <v>100</v>
      </c>
      <c r="BI59" s="322">
        <f>IFERROR(__xludf.DUMMYFUNCTION("""COMPUTED_VALUE"""),100.0)</f>
        <v>100</v>
      </c>
      <c r="BJ59" s="323">
        <f>IFERROR(__xludf.DUMMYFUNCTION("""COMPUTED_VALUE"""),100.0)</f>
        <v>100</v>
      </c>
      <c r="BK59" s="322">
        <f>IFERROR(__xludf.DUMMYFUNCTION("""COMPUTED_VALUE"""),100.0)</f>
        <v>100</v>
      </c>
      <c r="BL59" s="323">
        <f>IFERROR(__xludf.DUMMYFUNCTION("""COMPUTED_VALUE"""),100.0)</f>
        <v>100</v>
      </c>
      <c r="BM59" s="322">
        <f>IFERROR(__xludf.DUMMYFUNCTION("""COMPUTED_VALUE"""),100.0)</f>
        <v>100</v>
      </c>
      <c r="BN59" s="323">
        <f>IFERROR(__xludf.DUMMYFUNCTION("""COMPUTED_VALUE"""),100.0)</f>
        <v>100</v>
      </c>
      <c r="BO59" s="324">
        <f>IFERROR(__xludf.DUMMYFUNCTION("""COMPUTED_VALUE"""),100.0)</f>
        <v>100</v>
      </c>
    </row>
    <row r="60">
      <c r="A60" s="307" t="str">
        <f>IFERROR(__xludf.DUMMYFUNCTION("""COMPUTED_VALUE"""),"スタン")</f>
        <v>スタン</v>
      </c>
      <c r="B60" s="272" t="str">
        <f>IFERROR(__xludf.DUMMYFUNCTION("""COMPUTED_VALUE"""),"単体")</f>
        <v>単体</v>
      </c>
      <c r="C60" s="316">
        <f>IFERROR(__xludf.DUMMYFUNCTION("""COMPUTED_VALUE"""),4.0)</f>
        <v>4</v>
      </c>
      <c r="D60" s="316" t="str">
        <f>IFERROR(__xludf.DUMMYFUNCTION("""COMPUTED_VALUE"""),"効果時間")</f>
        <v>効果時間</v>
      </c>
      <c r="E60" s="317">
        <f>IFERROR(__xludf.DUMMYFUNCTION("""COMPUTED_VALUE"""),55.0)</f>
        <v>55</v>
      </c>
      <c r="F60" s="317">
        <f>IFERROR(__xludf.DUMMYFUNCTION("""COMPUTED_VALUE"""),70.0)</f>
        <v>70</v>
      </c>
      <c r="G60" s="317">
        <f>IFERROR(__xludf.DUMMYFUNCTION("""COMPUTED_VALUE"""),90.0)</f>
        <v>90</v>
      </c>
      <c r="H60" s="317">
        <f>IFERROR(__xludf.DUMMYFUNCTION("""COMPUTED_VALUE"""),70.0)</f>
        <v>70</v>
      </c>
      <c r="I60" s="317">
        <f>IFERROR(__xludf.DUMMYFUNCTION("""COMPUTED_VALUE"""),115.0)</f>
        <v>115</v>
      </c>
      <c r="J60" s="317">
        <f>IFERROR(__xludf.DUMMYFUNCTION("""COMPUTED_VALUE"""),155.0)</f>
        <v>155</v>
      </c>
      <c r="K60" s="317">
        <f>IFERROR(__xludf.DUMMYFUNCTION("""COMPUTED_VALUE"""),245.0)</f>
        <v>245</v>
      </c>
      <c r="L60" s="317">
        <f>IFERROR(__xludf.DUMMYFUNCTION("""COMPUTED_VALUE"""),290.0)</f>
        <v>290</v>
      </c>
      <c r="M60" s="276" t="str">
        <f>IFERROR(__xludf.DUMMYFUNCTION("""COMPUTED_VALUE"""),"範囲(小)")</f>
        <v>範囲(小)</v>
      </c>
      <c r="N60" s="316">
        <f>IFERROR(__xludf.DUMMYFUNCTION("""COMPUTED_VALUE"""),4.0)</f>
        <v>4</v>
      </c>
      <c r="O60" s="316" t="str">
        <f>IFERROR(__xludf.DUMMYFUNCTION("""COMPUTED_VALUE"""),"効果時間")</f>
        <v>効果時間</v>
      </c>
      <c r="P60" s="318">
        <f>IFERROR(__xludf.DUMMYFUNCTION("""COMPUTED_VALUE"""),50.0)</f>
        <v>50</v>
      </c>
      <c r="Q60" s="318">
        <f>IFERROR(__xludf.DUMMYFUNCTION("""COMPUTED_VALUE"""),55.0)</f>
        <v>55</v>
      </c>
      <c r="R60" s="318">
        <f>IFERROR(__xludf.DUMMYFUNCTION("""COMPUTED_VALUE"""),70.0)</f>
        <v>70</v>
      </c>
      <c r="S60" s="318">
        <f>IFERROR(__xludf.DUMMYFUNCTION("""COMPUTED_VALUE"""),55.0)</f>
        <v>55</v>
      </c>
      <c r="T60" s="318">
        <f>IFERROR(__xludf.DUMMYFUNCTION("""COMPUTED_VALUE"""),90.0)</f>
        <v>90</v>
      </c>
      <c r="U60" s="318">
        <f>IFERROR(__xludf.DUMMYFUNCTION("""COMPUTED_VALUE"""),120.0)</f>
        <v>120</v>
      </c>
      <c r="V60" s="318">
        <f>IFERROR(__xludf.DUMMYFUNCTION("""COMPUTED_VALUE"""),185.0)</f>
        <v>185</v>
      </c>
      <c r="W60" s="319">
        <f>IFERROR(__xludf.DUMMYFUNCTION("""COMPUTED_VALUE"""),220.0)</f>
        <v>220</v>
      </c>
      <c r="X60" s="276" t="str">
        <f>IFERROR(__xludf.DUMMYFUNCTION("""COMPUTED_VALUE"""),"範囲(中)")</f>
        <v>範囲(中)</v>
      </c>
      <c r="Y60" s="316">
        <f>IFERROR(__xludf.DUMMYFUNCTION("""COMPUTED_VALUE"""),4.0)</f>
        <v>4</v>
      </c>
      <c r="Z60" s="316" t="str">
        <f>IFERROR(__xludf.DUMMYFUNCTION("""COMPUTED_VALUE"""),"効果時間")</f>
        <v>効果時間</v>
      </c>
      <c r="AA60" s="318">
        <f>IFERROR(__xludf.DUMMYFUNCTION("""COMPUTED_VALUE"""),50.0)</f>
        <v>50</v>
      </c>
      <c r="AB60" s="318">
        <f>IFERROR(__xludf.DUMMYFUNCTION("""COMPUTED_VALUE"""),50.0)</f>
        <v>50</v>
      </c>
      <c r="AC60" s="318">
        <f>IFERROR(__xludf.DUMMYFUNCTION("""COMPUTED_VALUE"""),60.0)</f>
        <v>60</v>
      </c>
      <c r="AD60" s="318">
        <f>IFERROR(__xludf.DUMMYFUNCTION("""COMPUTED_VALUE"""),50.0)</f>
        <v>50</v>
      </c>
      <c r="AE60" s="318">
        <f>IFERROR(__xludf.DUMMYFUNCTION("""COMPUTED_VALUE"""),75.0)</f>
        <v>75</v>
      </c>
      <c r="AF60" s="318">
        <f>IFERROR(__xludf.DUMMYFUNCTION("""COMPUTED_VALUE"""),105.0)</f>
        <v>105</v>
      </c>
      <c r="AG60" s="318">
        <f>IFERROR(__xludf.DUMMYFUNCTION("""COMPUTED_VALUE"""),160.0)</f>
        <v>160</v>
      </c>
      <c r="AH60" s="319">
        <f>IFERROR(__xludf.DUMMYFUNCTION("""COMPUTED_VALUE"""),190.0)</f>
        <v>190</v>
      </c>
      <c r="AI60" s="276" t="str">
        <f>IFERROR(__xludf.DUMMYFUNCTION("""COMPUTED_VALUE"""),"範囲(大)")</f>
        <v>範囲(大)</v>
      </c>
      <c r="AJ60" s="316">
        <f>IFERROR(__xludf.DUMMYFUNCTION("""COMPUTED_VALUE"""),4.0)</f>
        <v>4</v>
      </c>
      <c r="AK60" s="316" t="str">
        <f>IFERROR(__xludf.DUMMYFUNCTION("""COMPUTED_VALUE"""),"効果時間")</f>
        <v>効果時間</v>
      </c>
      <c r="AL60" s="318">
        <f>IFERROR(__xludf.DUMMYFUNCTION("""COMPUTED_VALUE"""),50.0)</f>
        <v>50</v>
      </c>
      <c r="AM60" s="318">
        <f>IFERROR(__xludf.DUMMYFUNCTION("""COMPUTED_VALUE"""),50.0)</f>
        <v>50</v>
      </c>
      <c r="AN60" s="318">
        <f>IFERROR(__xludf.DUMMYFUNCTION("""COMPUTED_VALUE"""),50.0)</f>
        <v>50</v>
      </c>
      <c r="AO60" s="318">
        <f>IFERROR(__xludf.DUMMYFUNCTION("""COMPUTED_VALUE"""),50.0)</f>
        <v>50</v>
      </c>
      <c r="AP60" s="318">
        <f>IFERROR(__xludf.DUMMYFUNCTION("""COMPUTED_VALUE"""),65.0)</f>
        <v>65</v>
      </c>
      <c r="AQ60" s="318">
        <f>IFERROR(__xludf.DUMMYFUNCTION("""COMPUTED_VALUE"""),90.0)</f>
        <v>90</v>
      </c>
      <c r="AR60" s="318">
        <f>IFERROR(__xludf.DUMMYFUNCTION("""COMPUTED_VALUE"""),135.0)</f>
        <v>135</v>
      </c>
      <c r="AS60" s="319">
        <f>IFERROR(__xludf.DUMMYFUNCTION("""COMPUTED_VALUE"""),160.0)</f>
        <v>160</v>
      </c>
      <c r="AT60" s="276" t="str">
        <f>IFERROR(__xludf.DUMMYFUNCTION("""COMPUTED_VALUE"""),"範囲(特大)")</f>
        <v>範囲(特大)</v>
      </c>
      <c r="AU60" s="316">
        <f>IFERROR(__xludf.DUMMYFUNCTION("""COMPUTED_VALUE"""),4.0)</f>
        <v>4</v>
      </c>
      <c r="AV60" s="316" t="str">
        <f>IFERROR(__xludf.DUMMYFUNCTION("""COMPUTED_VALUE"""),"効果時間")</f>
        <v>効果時間</v>
      </c>
      <c r="AW60" s="318">
        <f>IFERROR(__xludf.DUMMYFUNCTION("""COMPUTED_VALUE"""),50.0)</f>
        <v>50</v>
      </c>
      <c r="AX60" s="318">
        <f>IFERROR(__xludf.DUMMYFUNCTION("""COMPUTED_VALUE"""),50.0)</f>
        <v>50</v>
      </c>
      <c r="AY60" s="318">
        <f>IFERROR(__xludf.DUMMYFUNCTION("""COMPUTED_VALUE"""),50.0)</f>
        <v>50</v>
      </c>
      <c r="AZ60" s="318">
        <f>IFERROR(__xludf.DUMMYFUNCTION("""COMPUTED_VALUE"""),50.0)</f>
        <v>50</v>
      </c>
      <c r="BA60" s="318">
        <f>IFERROR(__xludf.DUMMYFUNCTION("""COMPUTED_VALUE"""),60.0)</f>
        <v>60</v>
      </c>
      <c r="BB60" s="318">
        <f>IFERROR(__xludf.DUMMYFUNCTION("""COMPUTED_VALUE"""),80.0)</f>
        <v>80</v>
      </c>
      <c r="BC60" s="318">
        <f>IFERROR(__xludf.DUMMYFUNCTION("""COMPUTED_VALUE"""),125.0)</f>
        <v>125</v>
      </c>
      <c r="BD60" s="319">
        <f>IFERROR(__xludf.DUMMYFUNCTION("""COMPUTED_VALUE"""),145.0)</f>
        <v>145</v>
      </c>
      <c r="BE60" s="279" t="str">
        <f>IFERROR(__xludf.DUMMYFUNCTION("""COMPUTED_VALUE"""),"範囲(小：威力減)")</f>
        <v>範囲(小：威力減)</v>
      </c>
      <c r="BF60" s="316">
        <f>IFERROR(__xludf.DUMMYFUNCTION("""COMPUTED_VALUE"""),4.0)</f>
        <v>4</v>
      </c>
      <c r="BG60" s="316" t="str">
        <f>IFERROR(__xludf.DUMMYFUNCTION("""COMPUTED_VALUE"""),"効果時間")</f>
        <v>効果時間</v>
      </c>
      <c r="BH60" s="318">
        <f>IFERROR(__xludf.DUMMYFUNCTION("""COMPUTED_VALUE"""),50.0)</f>
        <v>50</v>
      </c>
      <c r="BI60" s="318">
        <f>IFERROR(__xludf.DUMMYFUNCTION("""COMPUTED_VALUE"""),50.0)</f>
        <v>50</v>
      </c>
      <c r="BJ60" s="318">
        <f>IFERROR(__xludf.DUMMYFUNCTION("""COMPUTED_VALUE"""),50.0)</f>
        <v>50</v>
      </c>
      <c r="BK60" s="318">
        <f>IFERROR(__xludf.DUMMYFUNCTION("""COMPUTED_VALUE"""),50.0)</f>
        <v>50</v>
      </c>
      <c r="BL60" s="318">
        <f>IFERROR(__xludf.DUMMYFUNCTION("""COMPUTED_VALUE"""),60.0)</f>
        <v>60</v>
      </c>
      <c r="BM60" s="318">
        <f>IFERROR(__xludf.DUMMYFUNCTION("""COMPUTED_VALUE"""),80.0)</f>
        <v>80</v>
      </c>
      <c r="BN60" s="318">
        <f>IFERROR(__xludf.DUMMYFUNCTION("""COMPUTED_VALUE"""),125.0)</f>
        <v>125</v>
      </c>
      <c r="BO60" s="319">
        <f>IFERROR(__xludf.DUMMYFUNCTION("""COMPUTED_VALUE"""),145.0)</f>
        <v>145</v>
      </c>
    </row>
    <row r="61">
      <c r="A61" s="307" t="str">
        <f>IFERROR(__xludf.DUMMYFUNCTION("""COMPUTED_VALUE"""),"スタン")</f>
        <v>スタン</v>
      </c>
      <c r="B61" s="272" t="str">
        <f>IFERROR(__xludf.DUMMYFUNCTION("""COMPUTED_VALUE"""),"単体")</f>
        <v>単体</v>
      </c>
      <c r="C61" s="308">
        <f>IFERROR(__xludf.DUMMYFUNCTION("""COMPUTED_VALUE"""),4.0)</f>
        <v>4</v>
      </c>
      <c r="D61" s="308" t="str">
        <f>IFERROR(__xludf.DUMMYFUNCTION("""COMPUTED_VALUE"""),"発動確率")</f>
        <v>発動確率</v>
      </c>
      <c r="E61" s="309">
        <f>IFERROR(__xludf.DUMMYFUNCTION("""COMPUTED_VALUE"""),100.0)</f>
        <v>100</v>
      </c>
      <c r="F61" s="310">
        <f>IFERROR(__xludf.DUMMYFUNCTION("""COMPUTED_VALUE"""),100.0)</f>
        <v>100</v>
      </c>
      <c r="G61" s="311">
        <f>IFERROR(__xludf.DUMMYFUNCTION("""COMPUTED_VALUE"""),100.0)</f>
        <v>100</v>
      </c>
      <c r="H61" s="310">
        <f>IFERROR(__xludf.DUMMYFUNCTION("""COMPUTED_VALUE"""),100.0)</f>
        <v>100</v>
      </c>
      <c r="I61" s="311">
        <f>IFERROR(__xludf.DUMMYFUNCTION("""COMPUTED_VALUE"""),100.0)</f>
        <v>100</v>
      </c>
      <c r="J61" s="310">
        <f>IFERROR(__xludf.DUMMYFUNCTION("""COMPUTED_VALUE"""),100.0)</f>
        <v>100</v>
      </c>
      <c r="K61" s="311">
        <f>IFERROR(__xludf.DUMMYFUNCTION("""COMPUTED_VALUE"""),100.0)</f>
        <v>100</v>
      </c>
      <c r="L61" s="309">
        <f>IFERROR(__xludf.DUMMYFUNCTION("""COMPUTED_VALUE"""),100.0)</f>
        <v>100</v>
      </c>
      <c r="M61" s="276" t="str">
        <f>IFERROR(__xludf.DUMMYFUNCTION("""COMPUTED_VALUE"""),"範囲(小)")</f>
        <v>範囲(小)</v>
      </c>
      <c r="N61" s="308">
        <f>IFERROR(__xludf.DUMMYFUNCTION("""COMPUTED_VALUE"""),4.0)</f>
        <v>4</v>
      </c>
      <c r="O61" s="308" t="str">
        <f>IFERROR(__xludf.DUMMYFUNCTION("""COMPUTED_VALUE"""),"発動確率")</f>
        <v>発動確率</v>
      </c>
      <c r="P61" s="321">
        <f>IFERROR(__xludf.DUMMYFUNCTION("""COMPUTED_VALUE"""),100.0)</f>
        <v>100</v>
      </c>
      <c r="Q61" s="322">
        <f>IFERROR(__xludf.DUMMYFUNCTION("""COMPUTED_VALUE"""),100.0)</f>
        <v>100</v>
      </c>
      <c r="R61" s="323">
        <f>IFERROR(__xludf.DUMMYFUNCTION("""COMPUTED_VALUE"""),100.0)</f>
        <v>100</v>
      </c>
      <c r="S61" s="322">
        <f>IFERROR(__xludf.DUMMYFUNCTION("""COMPUTED_VALUE"""),100.0)</f>
        <v>100</v>
      </c>
      <c r="T61" s="323">
        <f>IFERROR(__xludf.DUMMYFUNCTION("""COMPUTED_VALUE"""),100.0)</f>
        <v>100</v>
      </c>
      <c r="U61" s="322">
        <f>IFERROR(__xludf.DUMMYFUNCTION("""COMPUTED_VALUE"""),100.0)</f>
        <v>100</v>
      </c>
      <c r="V61" s="323">
        <f>IFERROR(__xludf.DUMMYFUNCTION("""COMPUTED_VALUE"""),100.0)</f>
        <v>100</v>
      </c>
      <c r="W61" s="324">
        <f>IFERROR(__xludf.DUMMYFUNCTION("""COMPUTED_VALUE"""),100.0)</f>
        <v>100</v>
      </c>
      <c r="X61" s="276" t="str">
        <f>IFERROR(__xludf.DUMMYFUNCTION("""COMPUTED_VALUE"""),"範囲(中)")</f>
        <v>範囲(中)</v>
      </c>
      <c r="Y61" s="308">
        <f>IFERROR(__xludf.DUMMYFUNCTION("""COMPUTED_VALUE"""),4.0)</f>
        <v>4</v>
      </c>
      <c r="Z61" s="308" t="str">
        <f>IFERROR(__xludf.DUMMYFUNCTION("""COMPUTED_VALUE"""),"発動確率")</f>
        <v>発動確率</v>
      </c>
      <c r="AA61" s="321">
        <f>IFERROR(__xludf.DUMMYFUNCTION("""COMPUTED_VALUE"""),100.0)</f>
        <v>100</v>
      </c>
      <c r="AB61" s="322">
        <f>IFERROR(__xludf.DUMMYFUNCTION("""COMPUTED_VALUE"""),100.0)</f>
        <v>100</v>
      </c>
      <c r="AC61" s="323">
        <f>IFERROR(__xludf.DUMMYFUNCTION("""COMPUTED_VALUE"""),100.0)</f>
        <v>100</v>
      </c>
      <c r="AD61" s="322">
        <f>IFERROR(__xludf.DUMMYFUNCTION("""COMPUTED_VALUE"""),100.0)</f>
        <v>100</v>
      </c>
      <c r="AE61" s="323">
        <f>IFERROR(__xludf.DUMMYFUNCTION("""COMPUTED_VALUE"""),100.0)</f>
        <v>100</v>
      </c>
      <c r="AF61" s="322">
        <f>IFERROR(__xludf.DUMMYFUNCTION("""COMPUTED_VALUE"""),100.0)</f>
        <v>100</v>
      </c>
      <c r="AG61" s="323">
        <f>IFERROR(__xludf.DUMMYFUNCTION("""COMPUTED_VALUE"""),100.0)</f>
        <v>100</v>
      </c>
      <c r="AH61" s="324">
        <f>IFERROR(__xludf.DUMMYFUNCTION("""COMPUTED_VALUE"""),100.0)</f>
        <v>100</v>
      </c>
      <c r="AI61" s="276" t="str">
        <f>IFERROR(__xludf.DUMMYFUNCTION("""COMPUTED_VALUE"""),"範囲(大)")</f>
        <v>範囲(大)</v>
      </c>
      <c r="AJ61" s="308">
        <f>IFERROR(__xludf.DUMMYFUNCTION("""COMPUTED_VALUE"""),4.0)</f>
        <v>4</v>
      </c>
      <c r="AK61" s="308" t="str">
        <f>IFERROR(__xludf.DUMMYFUNCTION("""COMPUTED_VALUE"""),"発動確率")</f>
        <v>発動確率</v>
      </c>
      <c r="AL61" s="321">
        <f>IFERROR(__xludf.DUMMYFUNCTION("""COMPUTED_VALUE"""),100.0)</f>
        <v>100</v>
      </c>
      <c r="AM61" s="322">
        <f>IFERROR(__xludf.DUMMYFUNCTION("""COMPUTED_VALUE"""),100.0)</f>
        <v>100</v>
      </c>
      <c r="AN61" s="323">
        <f>IFERROR(__xludf.DUMMYFUNCTION("""COMPUTED_VALUE"""),100.0)</f>
        <v>100</v>
      </c>
      <c r="AO61" s="322">
        <f>IFERROR(__xludf.DUMMYFUNCTION("""COMPUTED_VALUE"""),100.0)</f>
        <v>100</v>
      </c>
      <c r="AP61" s="323">
        <f>IFERROR(__xludf.DUMMYFUNCTION("""COMPUTED_VALUE"""),100.0)</f>
        <v>100</v>
      </c>
      <c r="AQ61" s="322">
        <f>IFERROR(__xludf.DUMMYFUNCTION("""COMPUTED_VALUE"""),100.0)</f>
        <v>100</v>
      </c>
      <c r="AR61" s="323">
        <f>IFERROR(__xludf.DUMMYFUNCTION("""COMPUTED_VALUE"""),100.0)</f>
        <v>100</v>
      </c>
      <c r="AS61" s="324">
        <f>IFERROR(__xludf.DUMMYFUNCTION("""COMPUTED_VALUE"""),100.0)</f>
        <v>100</v>
      </c>
      <c r="AT61" s="276" t="str">
        <f>IFERROR(__xludf.DUMMYFUNCTION("""COMPUTED_VALUE"""),"範囲(特大)")</f>
        <v>範囲(特大)</v>
      </c>
      <c r="AU61" s="308">
        <f>IFERROR(__xludf.DUMMYFUNCTION("""COMPUTED_VALUE"""),4.0)</f>
        <v>4</v>
      </c>
      <c r="AV61" s="308" t="str">
        <f>IFERROR(__xludf.DUMMYFUNCTION("""COMPUTED_VALUE"""),"発動確率")</f>
        <v>発動確率</v>
      </c>
      <c r="AW61" s="321">
        <f>IFERROR(__xludf.DUMMYFUNCTION("""COMPUTED_VALUE"""),100.0)</f>
        <v>100</v>
      </c>
      <c r="AX61" s="322">
        <f>IFERROR(__xludf.DUMMYFUNCTION("""COMPUTED_VALUE"""),100.0)</f>
        <v>100</v>
      </c>
      <c r="AY61" s="323">
        <f>IFERROR(__xludf.DUMMYFUNCTION("""COMPUTED_VALUE"""),100.0)</f>
        <v>100</v>
      </c>
      <c r="AZ61" s="322">
        <f>IFERROR(__xludf.DUMMYFUNCTION("""COMPUTED_VALUE"""),100.0)</f>
        <v>100</v>
      </c>
      <c r="BA61" s="323">
        <f>IFERROR(__xludf.DUMMYFUNCTION("""COMPUTED_VALUE"""),100.0)</f>
        <v>100</v>
      </c>
      <c r="BB61" s="322">
        <f>IFERROR(__xludf.DUMMYFUNCTION("""COMPUTED_VALUE"""),100.0)</f>
        <v>100</v>
      </c>
      <c r="BC61" s="323">
        <f>IFERROR(__xludf.DUMMYFUNCTION("""COMPUTED_VALUE"""),100.0)</f>
        <v>100</v>
      </c>
      <c r="BD61" s="324">
        <f>IFERROR(__xludf.DUMMYFUNCTION("""COMPUTED_VALUE"""),100.0)</f>
        <v>100</v>
      </c>
      <c r="BE61" s="279" t="str">
        <f>IFERROR(__xludf.DUMMYFUNCTION("""COMPUTED_VALUE"""),"範囲(小：威力減)")</f>
        <v>範囲(小：威力減)</v>
      </c>
      <c r="BF61" s="308">
        <f>IFERROR(__xludf.DUMMYFUNCTION("""COMPUTED_VALUE"""),4.0)</f>
        <v>4</v>
      </c>
      <c r="BG61" s="308" t="str">
        <f>IFERROR(__xludf.DUMMYFUNCTION("""COMPUTED_VALUE"""),"発動確率")</f>
        <v>発動確率</v>
      </c>
      <c r="BH61" s="321">
        <f>IFERROR(__xludf.DUMMYFUNCTION("""COMPUTED_VALUE"""),100.0)</f>
        <v>100</v>
      </c>
      <c r="BI61" s="322">
        <f>IFERROR(__xludf.DUMMYFUNCTION("""COMPUTED_VALUE"""),100.0)</f>
        <v>100</v>
      </c>
      <c r="BJ61" s="323">
        <f>IFERROR(__xludf.DUMMYFUNCTION("""COMPUTED_VALUE"""),100.0)</f>
        <v>100</v>
      </c>
      <c r="BK61" s="322">
        <f>IFERROR(__xludf.DUMMYFUNCTION("""COMPUTED_VALUE"""),100.0)</f>
        <v>100</v>
      </c>
      <c r="BL61" s="323">
        <f>IFERROR(__xludf.DUMMYFUNCTION("""COMPUTED_VALUE"""),100.0)</f>
        <v>100</v>
      </c>
      <c r="BM61" s="322">
        <f>IFERROR(__xludf.DUMMYFUNCTION("""COMPUTED_VALUE"""),100.0)</f>
        <v>100</v>
      </c>
      <c r="BN61" s="323">
        <f>IFERROR(__xludf.DUMMYFUNCTION("""COMPUTED_VALUE"""),100.0)</f>
        <v>100</v>
      </c>
      <c r="BO61" s="324">
        <f>IFERROR(__xludf.DUMMYFUNCTION("""COMPUTED_VALUE"""),100.0)</f>
        <v>100</v>
      </c>
    </row>
    <row r="62">
      <c r="A62" s="307" t="str">
        <f>IFERROR(__xludf.DUMMYFUNCTION("""COMPUTED_VALUE"""),"スタン")</f>
        <v>スタン</v>
      </c>
      <c r="B62" s="272" t="str">
        <f>IFERROR(__xludf.DUMMYFUNCTION("""COMPUTED_VALUE"""),"単体")</f>
        <v>単体</v>
      </c>
      <c r="C62" s="316">
        <f>IFERROR(__xludf.DUMMYFUNCTION("""COMPUTED_VALUE"""),5.0)</f>
        <v>5</v>
      </c>
      <c r="D62" s="316" t="str">
        <f>IFERROR(__xludf.DUMMYFUNCTION("""COMPUTED_VALUE"""),"効果時間")</f>
        <v>効果時間</v>
      </c>
      <c r="E62" s="317">
        <f>IFERROR(__xludf.DUMMYFUNCTION("""COMPUTED_VALUE"""),60.0)</f>
        <v>60</v>
      </c>
      <c r="F62" s="317">
        <f>IFERROR(__xludf.DUMMYFUNCTION("""COMPUTED_VALUE"""),75.0)</f>
        <v>75</v>
      </c>
      <c r="G62" s="317">
        <f>IFERROR(__xludf.DUMMYFUNCTION("""COMPUTED_VALUE"""),100.0)</f>
        <v>100</v>
      </c>
      <c r="H62" s="317">
        <f>IFERROR(__xludf.DUMMYFUNCTION("""COMPUTED_VALUE"""),75.0)</f>
        <v>75</v>
      </c>
      <c r="I62" s="317">
        <f>IFERROR(__xludf.DUMMYFUNCTION("""COMPUTED_VALUE"""),125.0)</f>
        <v>125</v>
      </c>
      <c r="J62" s="317">
        <f>IFERROR(__xludf.DUMMYFUNCTION("""COMPUTED_VALUE"""),175.0)</f>
        <v>175</v>
      </c>
      <c r="K62" s="317">
        <f>IFERROR(__xludf.DUMMYFUNCTION("""COMPUTED_VALUE"""),275.0)</f>
        <v>275</v>
      </c>
      <c r="L62" s="317">
        <f>IFERROR(__xludf.DUMMYFUNCTION("""COMPUTED_VALUE"""),325.0)</f>
        <v>325</v>
      </c>
      <c r="M62" s="276" t="str">
        <f>IFERROR(__xludf.DUMMYFUNCTION("""COMPUTED_VALUE"""),"範囲(小)")</f>
        <v>範囲(小)</v>
      </c>
      <c r="N62" s="316">
        <f>IFERROR(__xludf.DUMMYFUNCTION("""COMPUTED_VALUE"""),5.0)</f>
        <v>5</v>
      </c>
      <c r="O62" s="316" t="str">
        <f>IFERROR(__xludf.DUMMYFUNCTION("""COMPUTED_VALUE"""),"効果時間")</f>
        <v>効果時間</v>
      </c>
      <c r="P62" s="325">
        <f>IFERROR(__xludf.DUMMYFUNCTION("""COMPUTED_VALUE"""),50.0)</f>
        <v>50</v>
      </c>
      <c r="Q62" s="325">
        <f>IFERROR(__xludf.DUMMYFUNCTION("""COMPUTED_VALUE"""),60.0)</f>
        <v>60</v>
      </c>
      <c r="R62" s="325">
        <f>IFERROR(__xludf.DUMMYFUNCTION("""COMPUTED_VALUE"""),75.0)</f>
        <v>75</v>
      </c>
      <c r="S62" s="325">
        <f>IFERROR(__xludf.DUMMYFUNCTION("""COMPUTED_VALUE"""),60.0)</f>
        <v>60</v>
      </c>
      <c r="T62" s="325">
        <f>IFERROR(__xludf.DUMMYFUNCTION("""COMPUTED_VALUE"""),95.0)</f>
        <v>95</v>
      </c>
      <c r="U62" s="325">
        <f>IFERROR(__xludf.DUMMYFUNCTION("""COMPUTED_VALUE"""),135.0)</f>
        <v>135</v>
      </c>
      <c r="V62" s="325">
        <f>IFERROR(__xludf.DUMMYFUNCTION("""COMPUTED_VALUE"""),210.0)</f>
        <v>210</v>
      </c>
      <c r="W62" s="326">
        <f>IFERROR(__xludf.DUMMYFUNCTION("""COMPUTED_VALUE"""),245.0)</f>
        <v>245</v>
      </c>
      <c r="X62" s="276" t="str">
        <f>IFERROR(__xludf.DUMMYFUNCTION("""COMPUTED_VALUE"""),"範囲(中)")</f>
        <v>範囲(中)</v>
      </c>
      <c r="Y62" s="316">
        <f>IFERROR(__xludf.DUMMYFUNCTION("""COMPUTED_VALUE"""),5.0)</f>
        <v>5</v>
      </c>
      <c r="Z62" s="316" t="str">
        <f>IFERROR(__xludf.DUMMYFUNCTION("""COMPUTED_VALUE"""),"効果時間")</f>
        <v>効果時間</v>
      </c>
      <c r="AA62" s="325">
        <f>IFERROR(__xludf.DUMMYFUNCTION("""COMPUTED_VALUE"""),50.0)</f>
        <v>50</v>
      </c>
      <c r="AB62" s="325">
        <f>IFERROR(__xludf.DUMMYFUNCTION("""COMPUTED_VALUE"""),50.0)</f>
        <v>50</v>
      </c>
      <c r="AC62" s="325">
        <f>IFERROR(__xludf.DUMMYFUNCTION("""COMPUTED_VALUE"""),65.0)</f>
        <v>65</v>
      </c>
      <c r="AD62" s="325">
        <f>IFERROR(__xludf.DUMMYFUNCTION("""COMPUTED_VALUE"""),50.0)</f>
        <v>50</v>
      </c>
      <c r="AE62" s="325">
        <f>IFERROR(__xludf.DUMMYFUNCTION("""COMPUTED_VALUE"""),85.0)</f>
        <v>85</v>
      </c>
      <c r="AF62" s="325">
        <f>IFERROR(__xludf.DUMMYFUNCTION("""COMPUTED_VALUE"""),115.0)</f>
        <v>115</v>
      </c>
      <c r="AG62" s="325">
        <f>IFERROR(__xludf.DUMMYFUNCTION("""COMPUTED_VALUE"""),180.0)</f>
        <v>180</v>
      </c>
      <c r="AH62" s="326">
        <f>IFERROR(__xludf.DUMMYFUNCTION("""COMPUTED_VALUE"""),215.0)</f>
        <v>215</v>
      </c>
      <c r="AI62" s="276" t="str">
        <f>IFERROR(__xludf.DUMMYFUNCTION("""COMPUTED_VALUE"""),"範囲(大)")</f>
        <v>範囲(大)</v>
      </c>
      <c r="AJ62" s="316">
        <f>IFERROR(__xludf.DUMMYFUNCTION("""COMPUTED_VALUE"""),5.0)</f>
        <v>5</v>
      </c>
      <c r="AK62" s="316" t="str">
        <f>IFERROR(__xludf.DUMMYFUNCTION("""COMPUTED_VALUE"""),"効果時間")</f>
        <v>効果時間</v>
      </c>
      <c r="AL62" s="325">
        <f>IFERROR(__xludf.DUMMYFUNCTION("""COMPUTED_VALUE"""),50.0)</f>
        <v>50</v>
      </c>
      <c r="AM62" s="325">
        <f>IFERROR(__xludf.DUMMYFUNCTION("""COMPUTED_VALUE"""),50.0)</f>
        <v>50</v>
      </c>
      <c r="AN62" s="325">
        <f>IFERROR(__xludf.DUMMYFUNCTION("""COMPUTED_VALUE"""),55.0)</f>
        <v>55</v>
      </c>
      <c r="AO62" s="325">
        <f>IFERROR(__xludf.DUMMYFUNCTION("""COMPUTED_VALUE"""),50.0)</f>
        <v>50</v>
      </c>
      <c r="AP62" s="325">
        <f>IFERROR(__xludf.DUMMYFUNCTION("""COMPUTED_VALUE"""),70.0)</f>
        <v>70</v>
      </c>
      <c r="AQ62" s="325">
        <f>IFERROR(__xludf.DUMMYFUNCTION("""COMPUTED_VALUE"""),100.0)</f>
        <v>100</v>
      </c>
      <c r="AR62" s="325">
        <f>IFERROR(__xludf.DUMMYFUNCTION("""COMPUTED_VALUE"""),155.0)</f>
        <v>155</v>
      </c>
      <c r="AS62" s="326">
        <f>IFERROR(__xludf.DUMMYFUNCTION("""COMPUTED_VALUE"""),180.0)</f>
        <v>180</v>
      </c>
      <c r="AT62" s="276" t="str">
        <f>IFERROR(__xludf.DUMMYFUNCTION("""COMPUTED_VALUE"""),"範囲(特大)")</f>
        <v>範囲(特大)</v>
      </c>
      <c r="AU62" s="316">
        <f>IFERROR(__xludf.DUMMYFUNCTION("""COMPUTED_VALUE"""),5.0)</f>
        <v>5</v>
      </c>
      <c r="AV62" s="316" t="str">
        <f>IFERROR(__xludf.DUMMYFUNCTION("""COMPUTED_VALUE"""),"効果時間")</f>
        <v>効果時間</v>
      </c>
      <c r="AW62" s="325">
        <f>IFERROR(__xludf.DUMMYFUNCTION("""COMPUTED_VALUE"""),50.0)</f>
        <v>50</v>
      </c>
      <c r="AX62" s="325">
        <f>IFERROR(__xludf.DUMMYFUNCTION("""COMPUTED_VALUE"""),50.0)</f>
        <v>50</v>
      </c>
      <c r="AY62" s="325">
        <f>IFERROR(__xludf.DUMMYFUNCTION("""COMPUTED_VALUE"""),50.0)</f>
        <v>50</v>
      </c>
      <c r="AZ62" s="325">
        <f>IFERROR(__xludf.DUMMYFUNCTION("""COMPUTED_VALUE"""),50.0)</f>
        <v>50</v>
      </c>
      <c r="BA62" s="325">
        <f>IFERROR(__xludf.DUMMYFUNCTION("""COMPUTED_VALUE"""),65.0)</f>
        <v>65</v>
      </c>
      <c r="BB62" s="325">
        <f>IFERROR(__xludf.DUMMYFUNCTION("""COMPUTED_VALUE"""),90.0)</f>
        <v>90</v>
      </c>
      <c r="BC62" s="325">
        <f>IFERROR(__xludf.DUMMYFUNCTION("""COMPUTED_VALUE"""),140.0)</f>
        <v>140</v>
      </c>
      <c r="BD62" s="326">
        <f>IFERROR(__xludf.DUMMYFUNCTION("""COMPUTED_VALUE"""),165.0)</f>
        <v>165</v>
      </c>
      <c r="BE62" s="279" t="str">
        <f>IFERROR(__xludf.DUMMYFUNCTION("""COMPUTED_VALUE"""),"範囲(小：威力減)")</f>
        <v>範囲(小：威力減)</v>
      </c>
      <c r="BF62" s="316">
        <f>IFERROR(__xludf.DUMMYFUNCTION("""COMPUTED_VALUE"""),5.0)</f>
        <v>5</v>
      </c>
      <c r="BG62" s="316" t="str">
        <f>IFERROR(__xludf.DUMMYFUNCTION("""COMPUTED_VALUE"""),"効果時間")</f>
        <v>効果時間</v>
      </c>
      <c r="BH62" s="325">
        <f>IFERROR(__xludf.DUMMYFUNCTION("""COMPUTED_VALUE"""),50.0)</f>
        <v>50</v>
      </c>
      <c r="BI62" s="325">
        <f>IFERROR(__xludf.DUMMYFUNCTION("""COMPUTED_VALUE"""),50.0)</f>
        <v>50</v>
      </c>
      <c r="BJ62" s="325">
        <f>IFERROR(__xludf.DUMMYFUNCTION("""COMPUTED_VALUE"""),50.0)</f>
        <v>50</v>
      </c>
      <c r="BK62" s="325">
        <f>IFERROR(__xludf.DUMMYFUNCTION("""COMPUTED_VALUE"""),50.0)</f>
        <v>50</v>
      </c>
      <c r="BL62" s="325">
        <f>IFERROR(__xludf.DUMMYFUNCTION("""COMPUTED_VALUE"""),65.0)</f>
        <v>65</v>
      </c>
      <c r="BM62" s="325">
        <f>IFERROR(__xludf.DUMMYFUNCTION("""COMPUTED_VALUE"""),90.0)</f>
        <v>90</v>
      </c>
      <c r="BN62" s="325">
        <f>IFERROR(__xludf.DUMMYFUNCTION("""COMPUTED_VALUE"""),140.0)</f>
        <v>140</v>
      </c>
      <c r="BO62" s="326">
        <f>IFERROR(__xludf.DUMMYFUNCTION("""COMPUTED_VALUE"""),165.0)</f>
        <v>165</v>
      </c>
    </row>
    <row r="63">
      <c r="A63" s="327" t="str">
        <f>IFERROR(__xludf.DUMMYFUNCTION("""COMPUTED_VALUE"""),"スタン")</f>
        <v>スタン</v>
      </c>
      <c r="B63" s="282" t="str">
        <f>IFERROR(__xludf.DUMMYFUNCTION("""COMPUTED_VALUE"""),"単体")</f>
        <v>単体</v>
      </c>
      <c r="C63" s="328">
        <f>IFERROR(__xludf.DUMMYFUNCTION("""COMPUTED_VALUE"""),5.0)</f>
        <v>5</v>
      </c>
      <c r="D63" s="328" t="str">
        <f>IFERROR(__xludf.DUMMYFUNCTION("""COMPUTED_VALUE"""),"発動確率")</f>
        <v>発動確率</v>
      </c>
      <c r="E63" s="329">
        <f>IFERROR(__xludf.DUMMYFUNCTION("""COMPUTED_VALUE"""),100.0)</f>
        <v>100</v>
      </c>
      <c r="F63" s="330">
        <f>IFERROR(__xludf.DUMMYFUNCTION("""COMPUTED_VALUE"""),100.0)</f>
        <v>100</v>
      </c>
      <c r="G63" s="331">
        <f>IFERROR(__xludf.DUMMYFUNCTION("""COMPUTED_VALUE"""),100.0)</f>
        <v>100</v>
      </c>
      <c r="H63" s="330">
        <f>IFERROR(__xludf.DUMMYFUNCTION("""COMPUTED_VALUE"""),100.0)</f>
        <v>100</v>
      </c>
      <c r="I63" s="331">
        <f>IFERROR(__xludf.DUMMYFUNCTION("""COMPUTED_VALUE"""),100.0)</f>
        <v>100</v>
      </c>
      <c r="J63" s="330">
        <f>IFERROR(__xludf.DUMMYFUNCTION("""COMPUTED_VALUE"""),100.0)</f>
        <v>100</v>
      </c>
      <c r="K63" s="331">
        <f>IFERROR(__xludf.DUMMYFUNCTION("""COMPUTED_VALUE"""),100.0)</f>
        <v>100</v>
      </c>
      <c r="L63" s="329">
        <f>IFERROR(__xludf.DUMMYFUNCTION("""COMPUTED_VALUE"""),100.0)</f>
        <v>100</v>
      </c>
      <c r="M63" s="332" t="str">
        <f>IFERROR(__xludf.DUMMYFUNCTION("""COMPUTED_VALUE"""),"範囲(小)")</f>
        <v>範囲(小)</v>
      </c>
      <c r="N63" s="328">
        <f>IFERROR(__xludf.DUMMYFUNCTION("""COMPUTED_VALUE"""),5.0)</f>
        <v>5</v>
      </c>
      <c r="O63" s="328" t="str">
        <f>IFERROR(__xludf.DUMMYFUNCTION("""COMPUTED_VALUE"""),"発動確率")</f>
        <v>発動確率</v>
      </c>
      <c r="P63" s="333">
        <f>IFERROR(__xludf.DUMMYFUNCTION("""COMPUTED_VALUE"""),100.0)</f>
        <v>100</v>
      </c>
      <c r="Q63" s="334">
        <f>IFERROR(__xludf.DUMMYFUNCTION("""COMPUTED_VALUE"""),100.0)</f>
        <v>100</v>
      </c>
      <c r="R63" s="335">
        <f>IFERROR(__xludf.DUMMYFUNCTION("""COMPUTED_VALUE"""),100.0)</f>
        <v>100</v>
      </c>
      <c r="S63" s="334">
        <f>IFERROR(__xludf.DUMMYFUNCTION("""COMPUTED_VALUE"""),100.0)</f>
        <v>100</v>
      </c>
      <c r="T63" s="335">
        <f>IFERROR(__xludf.DUMMYFUNCTION("""COMPUTED_VALUE"""),100.0)</f>
        <v>100</v>
      </c>
      <c r="U63" s="334">
        <f>IFERROR(__xludf.DUMMYFUNCTION("""COMPUTED_VALUE"""),100.0)</f>
        <v>100</v>
      </c>
      <c r="V63" s="335">
        <f>IFERROR(__xludf.DUMMYFUNCTION("""COMPUTED_VALUE"""),100.0)</f>
        <v>100</v>
      </c>
      <c r="W63" s="336">
        <f>IFERROR(__xludf.DUMMYFUNCTION("""COMPUTED_VALUE"""),100.0)</f>
        <v>100</v>
      </c>
      <c r="X63" s="332" t="str">
        <f>IFERROR(__xludf.DUMMYFUNCTION("""COMPUTED_VALUE"""),"範囲(中)")</f>
        <v>範囲(中)</v>
      </c>
      <c r="Y63" s="328">
        <f>IFERROR(__xludf.DUMMYFUNCTION("""COMPUTED_VALUE"""),5.0)</f>
        <v>5</v>
      </c>
      <c r="Z63" s="328" t="str">
        <f>IFERROR(__xludf.DUMMYFUNCTION("""COMPUTED_VALUE"""),"発動確率")</f>
        <v>発動確率</v>
      </c>
      <c r="AA63" s="333">
        <f>IFERROR(__xludf.DUMMYFUNCTION("""COMPUTED_VALUE"""),100.0)</f>
        <v>100</v>
      </c>
      <c r="AB63" s="334">
        <f>IFERROR(__xludf.DUMMYFUNCTION("""COMPUTED_VALUE"""),100.0)</f>
        <v>100</v>
      </c>
      <c r="AC63" s="335">
        <f>IFERROR(__xludf.DUMMYFUNCTION("""COMPUTED_VALUE"""),100.0)</f>
        <v>100</v>
      </c>
      <c r="AD63" s="334">
        <f>IFERROR(__xludf.DUMMYFUNCTION("""COMPUTED_VALUE"""),100.0)</f>
        <v>100</v>
      </c>
      <c r="AE63" s="335">
        <f>IFERROR(__xludf.DUMMYFUNCTION("""COMPUTED_VALUE"""),100.0)</f>
        <v>100</v>
      </c>
      <c r="AF63" s="334">
        <f>IFERROR(__xludf.DUMMYFUNCTION("""COMPUTED_VALUE"""),100.0)</f>
        <v>100</v>
      </c>
      <c r="AG63" s="335">
        <f>IFERROR(__xludf.DUMMYFUNCTION("""COMPUTED_VALUE"""),100.0)</f>
        <v>100</v>
      </c>
      <c r="AH63" s="336">
        <f>IFERROR(__xludf.DUMMYFUNCTION("""COMPUTED_VALUE"""),100.0)</f>
        <v>100</v>
      </c>
      <c r="AI63" s="332" t="str">
        <f>IFERROR(__xludf.DUMMYFUNCTION("""COMPUTED_VALUE"""),"範囲(大)")</f>
        <v>範囲(大)</v>
      </c>
      <c r="AJ63" s="328">
        <f>IFERROR(__xludf.DUMMYFUNCTION("""COMPUTED_VALUE"""),5.0)</f>
        <v>5</v>
      </c>
      <c r="AK63" s="328" t="str">
        <f>IFERROR(__xludf.DUMMYFUNCTION("""COMPUTED_VALUE"""),"発動確率")</f>
        <v>発動確率</v>
      </c>
      <c r="AL63" s="333">
        <f>IFERROR(__xludf.DUMMYFUNCTION("""COMPUTED_VALUE"""),100.0)</f>
        <v>100</v>
      </c>
      <c r="AM63" s="334">
        <f>IFERROR(__xludf.DUMMYFUNCTION("""COMPUTED_VALUE"""),100.0)</f>
        <v>100</v>
      </c>
      <c r="AN63" s="335">
        <f>IFERROR(__xludf.DUMMYFUNCTION("""COMPUTED_VALUE"""),100.0)</f>
        <v>100</v>
      </c>
      <c r="AO63" s="334">
        <f>IFERROR(__xludf.DUMMYFUNCTION("""COMPUTED_VALUE"""),100.0)</f>
        <v>100</v>
      </c>
      <c r="AP63" s="335">
        <f>IFERROR(__xludf.DUMMYFUNCTION("""COMPUTED_VALUE"""),100.0)</f>
        <v>100</v>
      </c>
      <c r="AQ63" s="334">
        <f>IFERROR(__xludf.DUMMYFUNCTION("""COMPUTED_VALUE"""),100.0)</f>
        <v>100</v>
      </c>
      <c r="AR63" s="335">
        <f>IFERROR(__xludf.DUMMYFUNCTION("""COMPUTED_VALUE"""),100.0)</f>
        <v>100</v>
      </c>
      <c r="AS63" s="336">
        <f>IFERROR(__xludf.DUMMYFUNCTION("""COMPUTED_VALUE"""),100.0)</f>
        <v>100</v>
      </c>
      <c r="AT63" s="332" t="str">
        <f>IFERROR(__xludf.DUMMYFUNCTION("""COMPUTED_VALUE"""),"範囲(特大)")</f>
        <v>範囲(特大)</v>
      </c>
      <c r="AU63" s="328">
        <f>IFERROR(__xludf.DUMMYFUNCTION("""COMPUTED_VALUE"""),5.0)</f>
        <v>5</v>
      </c>
      <c r="AV63" s="328" t="str">
        <f>IFERROR(__xludf.DUMMYFUNCTION("""COMPUTED_VALUE"""),"発動確率")</f>
        <v>発動確率</v>
      </c>
      <c r="AW63" s="333">
        <f>IFERROR(__xludf.DUMMYFUNCTION("""COMPUTED_VALUE"""),100.0)</f>
        <v>100</v>
      </c>
      <c r="AX63" s="334">
        <f>IFERROR(__xludf.DUMMYFUNCTION("""COMPUTED_VALUE"""),100.0)</f>
        <v>100</v>
      </c>
      <c r="AY63" s="335">
        <f>IFERROR(__xludf.DUMMYFUNCTION("""COMPUTED_VALUE"""),100.0)</f>
        <v>100</v>
      </c>
      <c r="AZ63" s="334">
        <f>IFERROR(__xludf.DUMMYFUNCTION("""COMPUTED_VALUE"""),100.0)</f>
        <v>100</v>
      </c>
      <c r="BA63" s="335">
        <f>IFERROR(__xludf.DUMMYFUNCTION("""COMPUTED_VALUE"""),100.0)</f>
        <v>100</v>
      </c>
      <c r="BB63" s="334">
        <f>IFERROR(__xludf.DUMMYFUNCTION("""COMPUTED_VALUE"""),100.0)</f>
        <v>100</v>
      </c>
      <c r="BC63" s="335">
        <f>IFERROR(__xludf.DUMMYFUNCTION("""COMPUTED_VALUE"""),100.0)</f>
        <v>100</v>
      </c>
      <c r="BD63" s="336">
        <f>IFERROR(__xludf.DUMMYFUNCTION("""COMPUTED_VALUE"""),100.0)</f>
        <v>100</v>
      </c>
      <c r="BE63" s="337" t="str">
        <f>IFERROR(__xludf.DUMMYFUNCTION("""COMPUTED_VALUE"""),"範囲(小：威力減)")</f>
        <v>範囲(小：威力減)</v>
      </c>
      <c r="BF63" s="328">
        <f>IFERROR(__xludf.DUMMYFUNCTION("""COMPUTED_VALUE"""),5.0)</f>
        <v>5</v>
      </c>
      <c r="BG63" s="328" t="str">
        <f>IFERROR(__xludf.DUMMYFUNCTION("""COMPUTED_VALUE"""),"発動確率")</f>
        <v>発動確率</v>
      </c>
      <c r="BH63" s="333">
        <f>IFERROR(__xludf.DUMMYFUNCTION("""COMPUTED_VALUE"""),100.0)</f>
        <v>100</v>
      </c>
      <c r="BI63" s="334">
        <f>IFERROR(__xludf.DUMMYFUNCTION("""COMPUTED_VALUE"""),100.0)</f>
        <v>100</v>
      </c>
      <c r="BJ63" s="335">
        <f>IFERROR(__xludf.DUMMYFUNCTION("""COMPUTED_VALUE"""),100.0)</f>
        <v>100</v>
      </c>
      <c r="BK63" s="334">
        <f>IFERROR(__xludf.DUMMYFUNCTION("""COMPUTED_VALUE"""),100.0)</f>
        <v>100</v>
      </c>
      <c r="BL63" s="335">
        <f>IFERROR(__xludf.DUMMYFUNCTION("""COMPUTED_VALUE"""),100.0)</f>
        <v>100</v>
      </c>
      <c r="BM63" s="334">
        <f>IFERROR(__xludf.DUMMYFUNCTION("""COMPUTED_VALUE"""),100.0)</f>
        <v>100</v>
      </c>
      <c r="BN63" s="335">
        <f>IFERROR(__xludf.DUMMYFUNCTION("""COMPUTED_VALUE"""),100.0)</f>
        <v>100</v>
      </c>
      <c r="BO63" s="336">
        <f>IFERROR(__xludf.DUMMYFUNCTION("""COMPUTED_VALUE"""),100.0)</f>
        <v>100</v>
      </c>
    </row>
    <row r="64">
      <c r="A64" s="306" t="str">
        <f>IFERROR(__xludf.DUMMYFUNCTION("""COMPUTED_VALUE"""),"火傷")</f>
        <v>火傷</v>
      </c>
      <c r="B64" s="260" t="str">
        <f>IFERROR(__xludf.DUMMYFUNCTION("""COMPUTED_VALUE"""),"単体")</f>
        <v>単体</v>
      </c>
      <c r="C64" s="261">
        <f>IFERROR(__xludf.DUMMYFUNCTION("""COMPUTED_VALUE"""),1.0)</f>
        <v>1</v>
      </c>
      <c r="D64" s="338" t="str">
        <f>IFERROR(__xludf.DUMMYFUNCTION("""COMPUTED_VALUE"""),"効果値")</f>
        <v>効果値</v>
      </c>
      <c r="E64" s="266">
        <f>IFERROR(__xludf.DUMMYFUNCTION("""COMPUTED_VALUE"""),1500.0)</f>
        <v>1500</v>
      </c>
      <c r="F64" s="265">
        <f>IFERROR(__xludf.DUMMYFUNCTION("""COMPUTED_VALUE"""),1700.0)</f>
        <v>1700</v>
      </c>
      <c r="G64" s="265">
        <f>IFERROR(__xludf.DUMMYFUNCTION("""COMPUTED_VALUE"""),1800.0)</f>
        <v>1800</v>
      </c>
      <c r="H64" s="265">
        <f>IFERROR(__xludf.DUMMYFUNCTION("""COMPUTED_VALUE"""),1900.0)</f>
        <v>1900</v>
      </c>
      <c r="I64" s="266">
        <f>IFERROR(__xludf.DUMMYFUNCTION("""COMPUTED_VALUE"""),2000.0)</f>
        <v>2000</v>
      </c>
      <c r="J64" s="266">
        <f>IFERROR(__xludf.DUMMYFUNCTION("""COMPUTED_VALUE"""),2500.0)</f>
        <v>2500</v>
      </c>
      <c r="K64" s="266">
        <f>IFERROR(__xludf.DUMMYFUNCTION("""COMPUTED_VALUE"""),3000.0)</f>
        <v>3000</v>
      </c>
      <c r="L64" s="266">
        <f>IFERROR(__xludf.DUMMYFUNCTION("""COMPUTED_VALUE"""),3200.0)</f>
        <v>3200</v>
      </c>
      <c r="M64" s="267" t="str">
        <f>IFERROR(__xludf.DUMMYFUNCTION("""COMPUTED_VALUE"""),"範囲(小)")</f>
        <v>範囲(小)</v>
      </c>
      <c r="N64" s="261">
        <f>IFERROR(__xludf.DUMMYFUNCTION("""COMPUTED_VALUE"""),1.0)</f>
        <v>1</v>
      </c>
      <c r="O64" s="338" t="str">
        <f>IFERROR(__xludf.DUMMYFUNCTION("""COMPUTED_VALUE"""),"効果値")</f>
        <v>効果値</v>
      </c>
      <c r="P64" s="268">
        <f>IFERROR(__xludf.DUMMYFUNCTION("""COMPUTED_VALUE"""),1200.0)</f>
        <v>1200</v>
      </c>
      <c r="Q64" s="268">
        <f>IFERROR(__xludf.DUMMYFUNCTION("""COMPUTED_VALUE"""),1300.0)</f>
        <v>1300</v>
      </c>
      <c r="R64" s="268">
        <f>IFERROR(__xludf.DUMMYFUNCTION("""COMPUTED_VALUE"""),1400.0)</f>
        <v>1400</v>
      </c>
      <c r="S64" s="268">
        <f>IFERROR(__xludf.DUMMYFUNCTION("""COMPUTED_VALUE"""),1500.0)</f>
        <v>1500</v>
      </c>
      <c r="T64" s="268">
        <f>IFERROR(__xludf.DUMMYFUNCTION("""COMPUTED_VALUE"""),1500.0)</f>
        <v>1500</v>
      </c>
      <c r="U64" s="268">
        <f>IFERROR(__xludf.DUMMYFUNCTION("""COMPUTED_VALUE"""),1900.0)</f>
        <v>1900</v>
      </c>
      <c r="V64" s="268">
        <f>IFERROR(__xludf.DUMMYFUNCTION("""COMPUTED_VALUE"""),2300.0)</f>
        <v>2300</v>
      </c>
      <c r="W64" s="269">
        <f>IFERROR(__xludf.DUMMYFUNCTION("""COMPUTED_VALUE"""),2400.0)</f>
        <v>2400</v>
      </c>
      <c r="X64" s="267" t="str">
        <f>IFERROR(__xludf.DUMMYFUNCTION("""COMPUTED_VALUE"""),"範囲(中)")</f>
        <v>範囲(中)</v>
      </c>
      <c r="Y64" s="261">
        <f>IFERROR(__xludf.DUMMYFUNCTION("""COMPUTED_VALUE"""),1.0)</f>
        <v>1</v>
      </c>
      <c r="Z64" s="338" t="str">
        <f>IFERROR(__xludf.DUMMYFUNCTION("""COMPUTED_VALUE"""),"効果値")</f>
        <v>効果値</v>
      </c>
      <c r="AA64" s="268">
        <f>IFERROR(__xludf.DUMMYFUNCTION("""COMPUTED_VALUE"""),1000.0)</f>
        <v>1000</v>
      </c>
      <c r="AB64" s="268">
        <f>IFERROR(__xludf.DUMMYFUNCTION("""COMPUTED_VALUE"""),1200.0)</f>
        <v>1200</v>
      </c>
      <c r="AC64" s="268">
        <f>IFERROR(__xludf.DUMMYFUNCTION("""COMPUTED_VALUE"""),1200.0)</f>
        <v>1200</v>
      </c>
      <c r="AD64" s="268">
        <f>IFERROR(__xludf.DUMMYFUNCTION("""COMPUTED_VALUE"""),1300.0)</f>
        <v>1300</v>
      </c>
      <c r="AE64" s="268">
        <f>IFERROR(__xludf.DUMMYFUNCTION("""COMPUTED_VALUE"""),1300.0)</f>
        <v>1300</v>
      </c>
      <c r="AF64" s="268">
        <f>IFERROR(__xludf.DUMMYFUNCTION("""COMPUTED_VALUE"""),1700.0)</f>
        <v>1700</v>
      </c>
      <c r="AG64" s="268">
        <f>IFERROR(__xludf.DUMMYFUNCTION("""COMPUTED_VALUE"""),2000.0)</f>
        <v>2000</v>
      </c>
      <c r="AH64" s="269">
        <f>IFERROR(__xludf.DUMMYFUNCTION("""COMPUTED_VALUE"""),2100.0)</f>
        <v>2100</v>
      </c>
      <c r="AI64" s="267" t="str">
        <f>IFERROR(__xludf.DUMMYFUNCTION("""COMPUTED_VALUE"""),"範囲(大)")</f>
        <v>範囲(大)</v>
      </c>
      <c r="AJ64" s="261">
        <f>IFERROR(__xludf.DUMMYFUNCTION("""COMPUTED_VALUE"""),1.0)</f>
        <v>1</v>
      </c>
      <c r="AK64" s="338" t="str">
        <f>IFERROR(__xludf.DUMMYFUNCTION("""COMPUTED_VALUE"""),"効果値")</f>
        <v>効果値</v>
      </c>
      <c r="AL64" s="268">
        <f>IFERROR(__xludf.DUMMYFUNCTION("""COMPUTED_VALUE"""),900.0)</f>
        <v>900</v>
      </c>
      <c r="AM64" s="268">
        <f>IFERROR(__xludf.DUMMYFUNCTION("""COMPUTED_VALUE"""),1000.0)</f>
        <v>1000</v>
      </c>
      <c r="AN64" s="268">
        <f>IFERROR(__xludf.DUMMYFUNCTION("""COMPUTED_VALUE"""),1000.0)</f>
        <v>1000</v>
      </c>
      <c r="AO64" s="268">
        <f>IFERROR(__xludf.DUMMYFUNCTION("""COMPUTED_VALUE"""),1100.0)</f>
        <v>1100</v>
      </c>
      <c r="AP64" s="268">
        <f>IFERROR(__xludf.DUMMYFUNCTION("""COMPUTED_VALUE"""),1100.0)</f>
        <v>1100</v>
      </c>
      <c r="AQ64" s="268">
        <f>IFERROR(__xludf.DUMMYFUNCTION("""COMPUTED_VALUE"""),1400.0)</f>
        <v>1400</v>
      </c>
      <c r="AR64" s="268">
        <f>IFERROR(__xludf.DUMMYFUNCTION("""COMPUTED_VALUE"""),1700.0)</f>
        <v>1700</v>
      </c>
      <c r="AS64" s="269">
        <f>IFERROR(__xludf.DUMMYFUNCTION("""COMPUTED_VALUE"""),1800.0)</f>
        <v>1800</v>
      </c>
      <c r="AT64" s="267" t="str">
        <f>IFERROR(__xludf.DUMMYFUNCTION("""COMPUTED_VALUE"""),"範囲(特大)")</f>
        <v>範囲(特大)</v>
      </c>
      <c r="AU64" s="261">
        <f>IFERROR(__xludf.DUMMYFUNCTION("""COMPUTED_VALUE"""),1.0)</f>
        <v>1</v>
      </c>
      <c r="AV64" s="338" t="str">
        <f>IFERROR(__xludf.DUMMYFUNCTION("""COMPUTED_VALUE"""),"効果値")</f>
        <v>効果値</v>
      </c>
      <c r="AW64" s="268">
        <f>IFERROR(__xludf.DUMMYFUNCTION("""COMPUTED_VALUE"""),800.0)</f>
        <v>800</v>
      </c>
      <c r="AX64" s="268">
        <f>IFERROR(__xludf.DUMMYFUNCTION("""COMPUTED_VALUE"""),900.0)</f>
        <v>900</v>
      </c>
      <c r="AY64" s="268">
        <f>IFERROR(__xludf.DUMMYFUNCTION("""COMPUTED_VALUE"""),900.0)</f>
        <v>900</v>
      </c>
      <c r="AZ64" s="268">
        <f>IFERROR(__xludf.DUMMYFUNCTION("""COMPUTED_VALUE"""),1000.0)</f>
        <v>1000</v>
      </c>
      <c r="BA64" s="268">
        <f>IFERROR(__xludf.DUMMYFUNCTION("""COMPUTED_VALUE"""),1000.0)</f>
        <v>1000</v>
      </c>
      <c r="BB64" s="268">
        <f>IFERROR(__xludf.DUMMYFUNCTION("""COMPUTED_VALUE"""),1300.0)</f>
        <v>1300</v>
      </c>
      <c r="BC64" s="268">
        <f>IFERROR(__xludf.DUMMYFUNCTION("""COMPUTED_VALUE"""),1500.0)</f>
        <v>1500</v>
      </c>
      <c r="BD64" s="269">
        <f>IFERROR(__xludf.DUMMYFUNCTION("""COMPUTED_VALUE"""),1600.0)</f>
        <v>1600</v>
      </c>
      <c r="BE64" s="270" t="str">
        <f>IFERROR(__xludf.DUMMYFUNCTION("""COMPUTED_VALUE"""),"範囲(小：威力減)")</f>
        <v>範囲(小：威力減)</v>
      </c>
      <c r="BF64" s="261">
        <f>IFERROR(__xludf.DUMMYFUNCTION("""COMPUTED_VALUE"""),1.0)</f>
        <v>1</v>
      </c>
      <c r="BG64" s="338" t="str">
        <f>IFERROR(__xludf.DUMMYFUNCTION("""COMPUTED_VALUE"""),"効果値")</f>
        <v>効果値</v>
      </c>
      <c r="BH64" s="268">
        <f>IFERROR(__xludf.DUMMYFUNCTION("""COMPUTED_VALUE"""),800.0)</f>
        <v>800</v>
      </c>
      <c r="BI64" s="268">
        <f>IFERROR(__xludf.DUMMYFUNCTION("""COMPUTED_VALUE"""),900.0)</f>
        <v>900</v>
      </c>
      <c r="BJ64" s="268">
        <f>IFERROR(__xludf.DUMMYFUNCTION("""COMPUTED_VALUE"""),900.0)</f>
        <v>900</v>
      </c>
      <c r="BK64" s="268">
        <f>IFERROR(__xludf.DUMMYFUNCTION("""COMPUTED_VALUE"""),1000.0)</f>
        <v>1000</v>
      </c>
      <c r="BL64" s="268">
        <f>IFERROR(__xludf.DUMMYFUNCTION("""COMPUTED_VALUE"""),1000.0)</f>
        <v>1000</v>
      </c>
      <c r="BM64" s="268">
        <f>IFERROR(__xludf.DUMMYFUNCTION("""COMPUTED_VALUE"""),1300.0)</f>
        <v>1300</v>
      </c>
      <c r="BN64" s="268">
        <f>IFERROR(__xludf.DUMMYFUNCTION("""COMPUTED_VALUE"""),1500.0)</f>
        <v>1500</v>
      </c>
      <c r="BO64" s="269">
        <f>IFERROR(__xludf.DUMMYFUNCTION("""COMPUTED_VALUE"""),1600.0)</f>
        <v>1600</v>
      </c>
    </row>
    <row r="65">
      <c r="A65" s="307" t="str">
        <f>IFERROR(__xludf.DUMMYFUNCTION("""COMPUTED_VALUE"""),"火傷")</f>
        <v>火傷</v>
      </c>
      <c r="B65" s="272" t="str">
        <f>IFERROR(__xludf.DUMMYFUNCTION("""COMPUTED_VALUE"""),"単体")</f>
        <v>単体</v>
      </c>
      <c r="C65" s="308">
        <f>IFERROR(__xludf.DUMMYFUNCTION("""COMPUTED_VALUE"""),1.0)</f>
        <v>1</v>
      </c>
      <c r="D65" s="339" t="str">
        <f>IFERROR(__xludf.DUMMYFUNCTION("""COMPUTED_VALUE"""),"効果時間")</f>
        <v>効果時間</v>
      </c>
      <c r="E65" s="317">
        <f>IFERROR(__xludf.DUMMYFUNCTION("""COMPUTED_VALUE"""),150.0)</f>
        <v>150</v>
      </c>
      <c r="F65" s="317">
        <f>IFERROR(__xludf.DUMMYFUNCTION("""COMPUTED_VALUE"""),150.0)</f>
        <v>150</v>
      </c>
      <c r="G65" s="317">
        <f>IFERROR(__xludf.DUMMYFUNCTION("""COMPUTED_VALUE"""),150.0)</f>
        <v>150</v>
      </c>
      <c r="H65" s="317">
        <f>IFERROR(__xludf.DUMMYFUNCTION("""COMPUTED_VALUE"""),150.0)</f>
        <v>150</v>
      </c>
      <c r="I65" s="317">
        <f>IFERROR(__xludf.DUMMYFUNCTION("""COMPUTED_VALUE"""),150.0)</f>
        <v>150</v>
      </c>
      <c r="J65" s="317">
        <f>IFERROR(__xludf.DUMMYFUNCTION("""COMPUTED_VALUE"""),150.0)</f>
        <v>150</v>
      </c>
      <c r="K65" s="317">
        <f>IFERROR(__xludf.DUMMYFUNCTION("""COMPUTED_VALUE"""),150.0)</f>
        <v>150</v>
      </c>
      <c r="L65" s="317">
        <f>IFERROR(__xludf.DUMMYFUNCTION("""COMPUTED_VALUE"""),150.0)</f>
        <v>150</v>
      </c>
      <c r="M65" s="276" t="str">
        <f>IFERROR(__xludf.DUMMYFUNCTION("""COMPUTED_VALUE"""),"範囲(小)")</f>
        <v>範囲(小)</v>
      </c>
      <c r="N65" s="308">
        <f>IFERROR(__xludf.DUMMYFUNCTION("""COMPUTED_VALUE"""),1.0)</f>
        <v>1</v>
      </c>
      <c r="O65" s="339" t="str">
        <f>IFERROR(__xludf.DUMMYFUNCTION("""COMPUTED_VALUE"""),"効果時間")</f>
        <v>効果時間</v>
      </c>
      <c r="P65" s="340">
        <f>IFERROR(__xludf.DUMMYFUNCTION("""COMPUTED_VALUE"""),150.0)</f>
        <v>150</v>
      </c>
      <c r="Q65" s="340">
        <f>IFERROR(__xludf.DUMMYFUNCTION("""COMPUTED_VALUE"""),150.0)</f>
        <v>150</v>
      </c>
      <c r="R65" s="340">
        <f>IFERROR(__xludf.DUMMYFUNCTION("""COMPUTED_VALUE"""),150.0)</f>
        <v>150</v>
      </c>
      <c r="S65" s="340">
        <f>IFERROR(__xludf.DUMMYFUNCTION("""COMPUTED_VALUE"""),150.0)</f>
        <v>150</v>
      </c>
      <c r="T65" s="340">
        <f>IFERROR(__xludf.DUMMYFUNCTION("""COMPUTED_VALUE"""),150.0)</f>
        <v>150</v>
      </c>
      <c r="U65" s="340">
        <f>IFERROR(__xludf.DUMMYFUNCTION("""COMPUTED_VALUE"""),150.0)</f>
        <v>150</v>
      </c>
      <c r="V65" s="340">
        <f>IFERROR(__xludf.DUMMYFUNCTION("""COMPUTED_VALUE"""),150.0)</f>
        <v>150</v>
      </c>
      <c r="W65" s="341">
        <f>IFERROR(__xludf.DUMMYFUNCTION("""COMPUTED_VALUE"""),150.0)</f>
        <v>150</v>
      </c>
      <c r="X65" s="276" t="str">
        <f>IFERROR(__xludf.DUMMYFUNCTION("""COMPUTED_VALUE"""),"範囲(中)")</f>
        <v>範囲(中)</v>
      </c>
      <c r="Y65" s="308">
        <f>IFERROR(__xludf.DUMMYFUNCTION("""COMPUTED_VALUE"""),1.0)</f>
        <v>1</v>
      </c>
      <c r="Z65" s="339" t="str">
        <f>IFERROR(__xludf.DUMMYFUNCTION("""COMPUTED_VALUE"""),"効果時間")</f>
        <v>効果時間</v>
      </c>
      <c r="AA65" s="340">
        <f>IFERROR(__xludf.DUMMYFUNCTION("""COMPUTED_VALUE"""),150.0)</f>
        <v>150</v>
      </c>
      <c r="AB65" s="340">
        <f>IFERROR(__xludf.DUMMYFUNCTION("""COMPUTED_VALUE"""),150.0)</f>
        <v>150</v>
      </c>
      <c r="AC65" s="340">
        <f>IFERROR(__xludf.DUMMYFUNCTION("""COMPUTED_VALUE"""),150.0)</f>
        <v>150</v>
      </c>
      <c r="AD65" s="340">
        <f>IFERROR(__xludf.DUMMYFUNCTION("""COMPUTED_VALUE"""),150.0)</f>
        <v>150</v>
      </c>
      <c r="AE65" s="340">
        <f>IFERROR(__xludf.DUMMYFUNCTION("""COMPUTED_VALUE"""),150.0)</f>
        <v>150</v>
      </c>
      <c r="AF65" s="340">
        <f>IFERROR(__xludf.DUMMYFUNCTION("""COMPUTED_VALUE"""),150.0)</f>
        <v>150</v>
      </c>
      <c r="AG65" s="340">
        <f>IFERROR(__xludf.DUMMYFUNCTION("""COMPUTED_VALUE"""),150.0)</f>
        <v>150</v>
      </c>
      <c r="AH65" s="341">
        <f>IFERROR(__xludf.DUMMYFUNCTION("""COMPUTED_VALUE"""),150.0)</f>
        <v>150</v>
      </c>
      <c r="AI65" s="276" t="str">
        <f>IFERROR(__xludf.DUMMYFUNCTION("""COMPUTED_VALUE"""),"範囲(大)")</f>
        <v>範囲(大)</v>
      </c>
      <c r="AJ65" s="308">
        <f>IFERROR(__xludf.DUMMYFUNCTION("""COMPUTED_VALUE"""),1.0)</f>
        <v>1</v>
      </c>
      <c r="AK65" s="339" t="str">
        <f>IFERROR(__xludf.DUMMYFUNCTION("""COMPUTED_VALUE"""),"効果時間")</f>
        <v>効果時間</v>
      </c>
      <c r="AL65" s="340">
        <f>IFERROR(__xludf.DUMMYFUNCTION("""COMPUTED_VALUE"""),150.0)</f>
        <v>150</v>
      </c>
      <c r="AM65" s="340">
        <f>IFERROR(__xludf.DUMMYFUNCTION("""COMPUTED_VALUE"""),150.0)</f>
        <v>150</v>
      </c>
      <c r="AN65" s="340">
        <f>IFERROR(__xludf.DUMMYFUNCTION("""COMPUTED_VALUE"""),150.0)</f>
        <v>150</v>
      </c>
      <c r="AO65" s="340">
        <f>IFERROR(__xludf.DUMMYFUNCTION("""COMPUTED_VALUE"""),150.0)</f>
        <v>150</v>
      </c>
      <c r="AP65" s="340">
        <f>IFERROR(__xludf.DUMMYFUNCTION("""COMPUTED_VALUE"""),150.0)</f>
        <v>150</v>
      </c>
      <c r="AQ65" s="340">
        <f>IFERROR(__xludf.DUMMYFUNCTION("""COMPUTED_VALUE"""),150.0)</f>
        <v>150</v>
      </c>
      <c r="AR65" s="340">
        <f>IFERROR(__xludf.DUMMYFUNCTION("""COMPUTED_VALUE"""),150.0)</f>
        <v>150</v>
      </c>
      <c r="AS65" s="341">
        <f>IFERROR(__xludf.DUMMYFUNCTION("""COMPUTED_VALUE"""),150.0)</f>
        <v>150</v>
      </c>
      <c r="AT65" s="276" t="str">
        <f>IFERROR(__xludf.DUMMYFUNCTION("""COMPUTED_VALUE"""),"範囲(特大)")</f>
        <v>範囲(特大)</v>
      </c>
      <c r="AU65" s="308">
        <f>IFERROR(__xludf.DUMMYFUNCTION("""COMPUTED_VALUE"""),1.0)</f>
        <v>1</v>
      </c>
      <c r="AV65" s="339" t="str">
        <f>IFERROR(__xludf.DUMMYFUNCTION("""COMPUTED_VALUE"""),"効果時間")</f>
        <v>効果時間</v>
      </c>
      <c r="AW65" s="340">
        <f>IFERROR(__xludf.DUMMYFUNCTION("""COMPUTED_VALUE"""),150.0)</f>
        <v>150</v>
      </c>
      <c r="AX65" s="340">
        <f>IFERROR(__xludf.DUMMYFUNCTION("""COMPUTED_VALUE"""),150.0)</f>
        <v>150</v>
      </c>
      <c r="AY65" s="340">
        <f>IFERROR(__xludf.DUMMYFUNCTION("""COMPUTED_VALUE"""),150.0)</f>
        <v>150</v>
      </c>
      <c r="AZ65" s="340">
        <f>IFERROR(__xludf.DUMMYFUNCTION("""COMPUTED_VALUE"""),150.0)</f>
        <v>150</v>
      </c>
      <c r="BA65" s="340">
        <f>IFERROR(__xludf.DUMMYFUNCTION("""COMPUTED_VALUE"""),150.0)</f>
        <v>150</v>
      </c>
      <c r="BB65" s="340">
        <f>IFERROR(__xludf.DUMMYFUNCTION("""COMPUTED_VALUE"""),150.0)</f>
        <v>150</v>
      </c>
      <c r="BC65" s="340">
        <f>IFERROR(__xludf.DUMMYFUNCTION("""COMPUTED_VALUE"""),150.0)</f>
        <v>150</v>
      </c>
      <c r="BD65" s="341">
        <f>IFERROR(__xludf.DUMMYFUNCTION("""COMPUTED_VALUE"""),150.0)</f>
        <v>150</v>
      </c>
      <c r="BE65" s="279" t="str">
        <f>IFERROR(__xludf.DUMMYFUNCTION("""COMPUTED_VALUE"""),"範囲(小：威力減)")</f>
        <v>範囲(小：威力減)</v>
      </c>
      <c r="BF65" s="308">
        <f>IFERROR(__xludf.DUMMYFUNCTION("""COMPUTED_VALUE"""),1.0)</f>
        <v>1</v>
      </c>
      <c r="BG65" s="339" t="str">
        <f>IFERROR(__xludf.DUMMYFUNCTION("""COMPUTED_VALUE"""),"効果時間")</f>
        <v>効果時間</v>
      </c>
      <c r="BH65" s="340">
        <f>IFERROR(__xludf.DUMMYFUNCTION("""COMPUTED_VALUE"""),150.0)</f>
        <v>150</v>
      </c>
      <c r="BI65" s="340">
        <f>IFERROR(__xludf.DUMMYFUNCTION("""COMPUTED_VALUE"""),150.0)</f>
        <v>150</v>
      </c>
      <c r="BJ65" s="340">
        <f>IFERROR(__xludf.DUMMYFUNCTION("""COMPUTED_VALUE"""),150.0)</f>
        <v>150</v>
      </c>
      <c r="BK65" s="340">
        <f>IFERROR(__xludf.DUMMYFUNCTION("""COMPUTED_VALUE"""),150.0)</f>
        <v>150</v>
      </c>
      <c r="BL65" s="340">
        <f>IFERROR(__xludf.DUMMYFUNCTION("""COMPUTED_VALUE"""),150.0)</f>
        <v>150</v>
      </c>
      <c r="BM65" s="340">
        <f>IFERROR(__xludf.DUMMYFUNCTION("""COMPUTED_VALUE"""),150.0)</f>
        <v>150</v>
      </c>
      <c r="BN65" s="340">
        <f>IFERROR(__xludf.DUMMYFUNCTION("""COMPUTED_VALUE"""),150.0)</f>
        <v>150</v>
      </c>
      <c r="BO65" s="341">
        <f>IFERROR(__xludf.DUMMYFUNCTION("""COMPUTED_VALUE"""),150.0)</f>
        <v>150</v>
      </c>
    </row>
    <row r="66">
      <c r="A66" s="307" t="str">
        <f>IFERROR(__xludf.DUMMYFUNCTION("""COMPUTED_VALUE"""),"火傷")</f>
        <v>火傷</v>
      </c>
      <c r="B66" s="272" t="str">
        <f>IFERROR(__xludf.DUMMYFUNCTION("""COMPUTED_VALUE"""),"単体")</f>
        <v>単体</v>
      </c>
      <c r="C66" s="308">
        <f>IFERROR(__xludf.DUMMYFUNCTION("""COMPUTED_VALUE"""),1.0)</f>
        <v>1</v>
      </c>
      <c r="D66" s="339" t="str">
        <f>IFERROR(__xludf.DUMMYFUNCTION("""COMPUTED_VALUE"""),"発動確率")</f>
        <v>発動確率</v>
      </c>
      <c r="E66" s="309">
        <f>IFERROR(__xludf.DUMMYFUNCTION("""COMPUTED_VALUE"""),100.0)</f>
        <v>100</v>
      </c>
      <c r="F66" s="309">
        <f>IFERROR(__xludf.DUMMYFUNCTION("""COMPUTED_VALUE"""),100.0)</f>
        <v>100</v>
      </c>
      <c r="G66" s="309">
        <f>IFERROR(__xludf.DUMMYFUNCTION("""COMPUTED_VALUE"""),100.0)</f>
        <v>100</v>
      </c>
      <c r="H66" s="309">
        <f>IFERROR(__xludf.DUMMYFUNCTION("""COMPUTED_VALUE"""),100.0)</f>
        <v>100</v>
      </c>
      <c r="I66" s="309">
        <f>IFERROR(__xludf.DUMMYFUNCTION("""COMPUTED_VALUE"""),100.0)</f>
        <v>100</v>
      </c>
      <c r="J66" s="309">
        <f>IFERROR(__xludf.DUMMYFUNCTION("""COMPUTED_VALUE"""),100.0)</f>
        <v>100</v>
      </c>
      <c r="K66" s="309">
        <f>IFERROR(__xludf.DUMMYFUNCTION("""COMPUTED_VALUE"""),100.0)</f>
        <v>100</v>
      </c>
      <c r="L66" s="309">
        <f>IFERROR(__xludf.DUMMYFUNCTION("""COMPUTED_VALUE"""),100.0)</f>
        <v>100</v>
      </c>
      <c r="M66" s="276" t="str">
        <f>IFERROR(__xludf.DUMMYFUNCTION("""COMPUTED_VALUE"""),"範囲(小)")</f>
        <v>範囲(小)</v>
      </c>
      <c r="N66" s="308">
        <f>IFERROR(__xludf.DUMMYFUNCTION("""COMPUTED_VALUE"""),1.0)</f>
        <v>1</v>
      </c>
      <c r="O66" s="339" t="str">
        <f>IFERROR(__xludf.DUMMYFUNCTION("""COMPUTED_VALUE"""),"発動確率")</f>
        <v>発動確率</v>
      </c>
      <c r="P66" s="312">
        <f>IFERROR(__xludf.DUMMYFUNCTION("""COMPUTED_VALUE"""),100.0)</f>
        <v>100</v>
      </c>
      <c r="Q66" s="312">
        <f>IFERROR(__xludf.DUMMYFUNCTION("""COMPUTED_VALUE"""),100.0)</f>
        <v>100</v>
      </c>
      <c r="R66" s="312">
        <f>IFERROR(__xludf.DUMMYFUNCTION("""COMPUTED_VALUE"""),100.0)</f>
        <v>100</v>
      </c>
      <c r="S66" s="312">
        <f>IFERROR(__xludf.DUMMYFUNCTION("""COMPUTED_VALUE"""),100.0)</f>
        <v>100</v>
      </c>
      <c r="T66" s="312">
        <f>IFERROR(__xludf.DUMMYFUNCTION("""COMPUTED_VALUE"""),100.0)</f>
        <v>100</v>
      </c>
      <c r="U66" s="312">
        <f>IFERROR(__xludf.DUMMYFUNCTION("""COMPUTED_VALUE"""),100.0)</f>
        <v>100</v>
      </c>
      <c r="V66" s="312">
        <f>IFERROR(__xludf.DUMMYFUNCTION("""COMPUTED_VALUE"""),100.0)</f>
        <v>100</v>
      </c>
      <c r="W66" s="315">
        <f>IFERROR(__xludf.DUMMYFUNCTION("""COMPUTED_VALUE"""),100.0)</f>
        <v>100</v>
      </c>
      <c r="X66" s="276" t="str">
        <f>IFERROR(__xludf.DUMMYFUNCTION("""COMPUTED_VALUE"""),"範囲(中)")</f>
        <v>範囲(中)</v>
      </c>
      <c r="Y66" s="308">
        <f>IFERROR(__xludf.DUMMYFUNCTION("""COMPUTED_VALUE"""),1.0)</f>
        <v>1</v>
      </c>
      <c r="Z66" s="339" t="str">
        <f>IFERROR(__xludf.DUMMYFUNCTION("""COMPUTED_VALUE"""),"発動確率")</f>
        <v>発動確率</v>
      </c>
      <c r="AA66" s="312">
        <f>IFERROR(__xludf.DUMMYFUNCTION("""COMPUTED_VALUE"""),100.0)</f>
        <v>100</v>
      </c>
      <c r="AB66" s="312">
        <f>IFERROR(__xludf.DUMMYFUNCTION("""COMPUTED_VALUE"""),100.0)</f>
        <v>100</v>
      </c>
      <c r="AC66" s="312">
        <f>IFERROR(__xludf.DUMMYFUNCTION("""COMPUTED_VALUE"""),100.0)</f>
        <v>100</v>
      </c>
      <c r="AD66" s="312">
        <f>IFERROR(__xludf.DUMMYFUNCTION("""COMPUTED_VALUE"""),100.0)</f>
        <v>100</v>
      </c>
      <c r="AE66" s="312">
        <f>IFERROR(__xludf.DUMMYFUNCTION("""COMPUTED_VALUE"""),100.0)</f>
        <v>100</v>
      </c>
      <c r="AF66" s="312">
        <f>IFERROR(__xludf.DUMMYFUNCTION("""COMPUTED_VALUE"""),100.0)</f>
        <v>100</v>
      </c>
      <c r="AG66" s="312">
        <f>IFERROR(__xludf.DUMMYFUNCTION("""COMPUTED_VALUE"""),100.0)</f>
        <v>100</v>
      </c>
      <c r="AH66" s="315">
        <f>IFERROR(__xludf.DUMMYFUNCTION("""COMPUTED_VALUE"""),100.0)</f>
        <v>100</v>
      </c>
      <c r="AI66" s="276" t="str">
        <f>IFERROR(__xludf.DUMMYFUNCTION("""COMPUTED_VALUE"""),"範囲(大)")</f>
        <v>範囲(大)</v>
      </c>
      <c r="AJ66" s="308">
        <f>IFERROR(__xludf.DUMMYFUNCTION("""COMPUTED_VALUE"""),1.0)</f>
        <v>1</v>
      </c>
      <c r="AK66" s="339" t="str">
        <f>IFERROR(__xludf.DUMMYFUNCTION("""COMPUTED_VALUE"""),"発動確率")</f>
        <v>発動確率</v>
      </c>
      <c r="AL66" s="312">
        <f>IFERROR(__xludf.DUMMYFUNCTION("""COMPUTED_VALUE"""),100.0)</f>
        <v>100</v>
      </c>
      <c r="AM66" s="312">
        <f>IFERROR(__xludf.DUMMYFUNCTION("""COMPUTED_VALUE"""),100.0)</f>
        <v>100</v>
      </c>
      <c r="AN66" s="312">
        <f>IFERROR(__xludf.DUMMYFUNCTION("""COMPUTED_VALUE"""),100.0)</f>
        <v>100</v>
      </c>
      <c r="AO66" s="312">
        <f>IFERROR(__xludf.DUMMYFUNCTION("""COMPUTED_VALUE"""),100.0)</f>
        <v>100</v>
      </c>
      <c r="AP66" s="312">
        <f>IFERROR(__xludf.DUMMYFUNCTION("""COMPUTED_VALUE"""),100.0)</f>
        <v>100</v>
      </c>
      <c r="AQ66" s="312">
        <f>IFERROR(__xludf.DUMMYFUNCTION("""COMPUTED_VALUE"""),100.0)</f>
        <v>100</v>
      </c>
      <c r="AR66" s="312">
        <f>IFERROR(__xludf.DUMMYFUNCTION("""COMPUTED_VALUE"""),100.0)</f>
        <v>100</v>
      </c>
      <c r="AS66" s="315">
        <f>IFERROR(__xludf.DUMMYFUNCTION("""COMPUTED_VALUE"""),100.0)</f>
        <v>100</v>
      </c>
      <c r="AT66" s="276" t="str">
        <f>IFERROR(__xludf.DUMMYFUNCTION("""COMPUTED_VALUE"""),"範囲(特大)")</f>
        <v>範囲(特大)</v>
      </c>
      <c r="AU66" s="308">
        <f>IFERROR(__xludf.DUMMYFUNCTION("""COMPUTED_VALUE"""),1.0)</f>
        <v>1</v>
      </c>
      <c r="AV66" s="339" t="str">
        <f>IFERROR(__xludf.DUMMYFUNCTION("""COMPUTED_VALUE"""),"発動確率")</f>
        <v>発動確率</v>
      </c>
      <c r="AW66" s="312">
        <f>IFERROR(__xludf.DUMMYFUNCTION("""COMPUTED_VALUE"""),100.0)</f>
        <v>100</v>
      </c>
      <c r="AX66" s="312">
        <f>IFERROR(__xludf.DUMMYFUNCTION("""COMPUTED_VALUE"""),100.0)</f>
        <v>100</v>
      </c>
      <c r="AY66" s="312">
        <f>IFERROR(__xludf.DUMMYFUNCTION("""COMPUTED_VALUE"""),100.0)</f>
        <v>100</v>
      </c>
      <c r="AZ66" s="312">
        <f>IFERROR(__xludf.DUMMYFUNCTION("""COMPUTED_VALUE"""),100.0)</f>
        <v>100</v>
      </c>
      <c r="BA66" s="312">
        <f>IFERROR(__xludf.DUMMYFUNCTION("""COMPUTED_VALUE"""),100.0)</f>
        <v>100</v>
      </c>
      <c r="BB66" s="312">
        <f>IFERROR(__xludf.DUMMYFUNCTION("""COMPUTED_VALUE"""),100.0)</f>
        <v>100</v>
      </c>
      <c r="BC66" s="312">
        <f>IFERROR(__xludf.DUMMYFUNCTION("""COMPUTED_VALUE"""),100.0)</f>
        <v>100</v>
      </c>
      <c r="BD66" s="315">
        <f>IFERROR(__xludf.DUMMYFUNCTION("""COMPUTED_VALUE"""),100.0)</f>
        <v>100</v>
      </c>
      <c r="BE66" s="279" t="str">
        <f>IFERROR(__xludf.DUMMYFUNCTION("""COMPUTED_VALUE"""),"範囲(小：威力減)")</f>
        <v>範囲(小：威力減)</v>
      </c>
      <c r="BF66" s="308">
        <f>IFERROR(__xludf.DUMMYFUNCTION("""COMPUTED_VALUE"""),1.0)</f>
        <v>1</v>
      </c>
      <c r="BG66" s="339" t="str">
        <f>IFERROR(__xludf.DUMMYFUNCTION("""COMPUTED_VALUE"""),"発動確率")</f>
        <v>発動確率</v>
      </c>
      <c r="BH66" s="312">
        <f>IFERROR(__xludf.DUMMYFUNCTION("""COMPUTED_VALUE"""),100.0)</f>
        <v>100</v>
      </c>
      <c r="BI66" s="312">
        <f>IFERROR(__xludf.DUMMYFUNCTION("""COMPUTED_VALUE"""),100.0)</f>
        <v>100</v>
      </c>
      <c r="BJ66" s="312">
        <f>IFERROR(__xludf.DUMMYFUNCTION("""COMPUTED_VALUE"""),100.0)</f>
        <v>100</v>
      </c>
      <c r="BK66" s="312">
        <f>IFERROR(__xludf.DUMMYFUNCTION("""COMPUTED_VALUE"""),100.0)</f>
        <v>100</v>
      </c>
      <c r="BL66" s="312">
        <f>IFERROR(__xludf.DUMMYFUNCTION("""COMPUTED_VALUE"""),100.0)</f>
        <v>100</v>
      </c>
      <c r="BM66" s="312">
        <f>IFERROR(__xludf.DUMMYFUNCTION("""COMPUTED_VALUE"""),100.0)</f>
        <v>100</v>
      </c>
      <c r="BN66" s="312">
        <f>IFERROR(__xludf.DUMMYFUNCTION("""COMPUTED_VALUE"""),100.0)</f>
        <v>100</v>
      </c>
      <c r="BO66" s="315">
        <f>IFERROR(__xludf.DUMMYFUNCTION("""COMPUTED_VALUE"""),100.0)</f>
        <v>100</v>
      </c>
    </row>
    <row r="67">
      <c r="A67" s="307" t="str">
        <f>IFERROR(__xludf.DUMMYFUNCTION("""COMPUTED_VALUE"""),"火傷")</f>
        <v>火傷</v>
      </c>
      <c r="B67" s="272" t="str">
        <f>IFERROR(__xludf.DUMMYFUNCTION("""COMPUTED_VALUE"""),"単体")</f>
        <v>単体</v>
      </c>
      <c r="C67" s="316">
        <f>IFERROR(__xludf.DUMMYFUNCTION("""COMPUTED_VALUE"""),2.0)</f>
        <v>2</v>
      </c>
      <c r="D67" s="342" t="str">
        <f>IFERROR(__xludf.DUMMYFUNCTION("""COMPUTED_VALUE"""),"効果値")</f>
        <v>効果値</v>
      </c>
      <c r="E67" s="280">
        <f>IFERROR(__xludf.DUMMYFUNCTION("""COMPUTED_VALUE"""),2700.0)</f>
        <v>2700</v>
      </c>
      <c r="F67" s="280">
        <f>IFERROR(__xludf.DUMMYFUNCTION("""COMPUTED_VALUE"""),3000.0)</f>
        <v>3000</v>
      </c>
      <c r="G67" s="280">
        <f>IFERROR(__xludf.DUMMYFUNCTION("""COMPUTED_VALUE"""),3200.0)</f>
        <v>3200</v>
      </c>
      <c r="H67" s="280">
        <f>IFERROR(__xludf.DUMMYFUNCTION("""COMPUTED_VALUE"""),3500.0)</f>
        <v>3500</v>
      </c>
      <c r="I67" s="280">
        <f>IFERROR(__xludf.DUMMYFUNCTION("""COMPUTED_VALUE"""),3700.0)</f>
        <v>3700</v>
      </c>
      <c r="J67" s="280">
        <f>IFERROR(__xludf.DUMMYFUNCTION("""COMPUTED_VALUE"""),4700.0)</f>
        <v>4700</v>
      </c>
      <c r="K67" s="280">
        <f>IFERROR(__xludf.DUMMYFUNCTION("""COMPUTED_VALUE"""),6000.0)</f>
        <v>6000</v>
      </c>
      <c r="L67" s="280">
        <f>IFERROR(__xludf.DUMMYFUNCTION("""COMPUTED_VALUE"""),6500.0)</f>
        <v>6500</v>
      </c>
      <c r="M67" s="276" t="str">
        <f>IFERROR(__xludf.DUMMYFUNCTION("""COMPUTED_VALUE"""),"範囲(小)")</f>
        <v>範囲(小)</v>
      </c>
      <c r="N67" s="316">
        <f>IFERROR(__xludf.DUMMYFUNCTION("""COMPUTED_VALUE"""),2.0)</f>
        <v>2</v>
      </c>
      <c r="O67" s="342" t="str">
        <f>IFERROR(__xludf.DUMMYFUNCTION("""COMPUTED_VALUE"""),"効果値")</f>
        <v>効果値</v>
      </c>
      <c r="P67" s="318">
        <f>IFERROR(__xludf.DUMMYFUNCTION("""COMPUTED_VALUE"""),2100.0)</f>
        <v>2100</v>
      </c>
      <c r="Q67" s="318">
        <f>IFERROR(__xludf.DUMMYFUNCTION("""COMPUTED_VALUE"""),2300.0)</f>
        <v>2300</v>
      </c>
      <c r="R67" s="318">
        <f>IFERROR(__xludf.DUMMYFUNCTION("""COMPUTED_VALUE"""),2400.0)</f>
        <v>2400</v>
      </c>
      <c r="S67" s="318">
        <f>IFERROR(__xludf.DUMMYFUNCTION("""COMPUTED_VALUE"""),2700.0)</f>
        <v>2700</v>
      </c>
      <c r="T67" s="318">
        <f>IFERROR(__xludf.DUMMYFUNCTION("""COMPUTED_VALUE"""),2800.0)</f>
        <v>2800</v>
      </c>
      <c r="U67" s="318">
        <f>IFERROR(__xludf.DUMMYFUNCTION("""COMPUTED_VALUE"""),3600.0)</f>
        <v>3600</v>
      </c>
      <c r="V67" s="318">
        <f>IFERROR(__xludf.DUMMYFUNCTION("""COMPUTED_VALUE"""),4500.0)</f>
        <v>4500</v>
      </c>
      <c r="W67" s="319">
        <f>IFERROR(__xludf.DUMMYFUNCTION("""COMPUTED_VALUE"""),4900.0)</f>
        <v>4900</v>
      </c>
      <c r="X67" s="276" t="str">
        <f>IFERROR(__xludf.DUMMYFUNCTION("""COMPUTED_VALUE"""),"範囲(中)")</f>
        <v>範囲(中)</v>
      </c>
      <c r="Y67" s="316">
        <f>IFERROR(__xludf.DUMMYFUNCTION("""COMPUTED_VALUE"""),2.0)</f>
        <v>2</v>
      </c>
      <c r="Z67" s="342" t="str">
        <f>IFERROR(__xludf.DUMMYFUNCTION("""COMPUTED_VALUE"""),"効果値")</f>
        <v>効果値</v>
      </c>
      <c r="AA67" s="318">
        <f>IFERROR(__xludf.DUMMYFUNCTION("""COMPUTED_VALUE"""),1800.0)</f>
        <v>1800</v>
      </c>
      <c r="AB67" s="318">
        <f>IFERROR(__xludf.DUMMYFUNCTION("""COMPUTED_VALUE"""),2000.0)</f>
        <v>2000</v>
      </c>
      <c r="AC67" s="318">
        <f>IFERROR(__xludf.DUMMYFUNCTION("""COMPUTED_VALUE"""),2100.0)</f>
        <v>2100</v>
      </c>
      <c r="AD67" s="318">
        <f>IFERROR(__xludf.DUMMYFUNCTION("""COMPUTED_VALUE"""),2300.0)</f>
        <v>2300</v>
      </c>
      <c r="AE67" s="318">
        <f>IFERROR(__xludf.DUMMYFUNCTION("""COMPUTED_VALUE"""),2500.0)</f>
        <v>2500</v>
      </c>
      <c r="AF67" s="318">
        <f>IFERROR(__xludf.DUMMYFUNCTION("""COMPUTED_VALUE"""),3100.0)</f>
        <v>3100</v>
      </c>
      <c r="AG67" s="318">
        <f>IFERROR(__xludf.DUMMYFUNCTION("""COMPUTED_VALUE"""),3900.0)</f>
        <v>3900</v>
      </c>
      <c r="AH67" s="319">
        <f>IFERROR(__xludf.DUMMYFUNCTION("""COMPUTED_VALUE"""),4300.0)</f>
        <v>4300</v>
      </c>
      <c r="AI67" s="276" t="str">
        <f>IFERROR(__xludf.DUMMYFUNCTION("""COMPUTED_VALUE"""),"範囲(大)")</f>
        <v>範囲(大)</v>
      </c>
      <c r="AJ67" s="316">
        <f>IFERROR(__xludf.DUMMYFUNCTION("""COMPUTED_VALUE"""),2.0)</f>
        <v>2</v>
      </c>
      <c r="AK67" s="342" t="str">
        <f>IFERROR(__xludf.DUMMYFUNCTION("""COMPUTED_VALUE"""),"効果値")</f>
        <v>効果値</v>
      </c>
      <c r="AL67" s="318">
        <f>IFERROR(__xludf.DUMMYFUNCTION("""COMPUTED_VALUE"""),1500.0)</f>
        <v>1500</v>
      </c>
      <c r="AM67" s="318">
        <f>IFERROR(__xludf.DUMMYFUNCTION("""COMPUTED_VALUE"""),1700.0)</f>
        <v>1700</v>
      </c>
      <c r="AN67" s="318">
        <f>IFERROR(__xludf.DUMMYFUNCTION("""COMPUTED_VALUE"""),1800.0)</f>
        <v>1800</v>
      </c>
      <c r="AO67" s="318">
        <f>IFERROR(__xludf.DUMMYFUNCTION("""COMPUTED_VALUE"""),2000.0)</f>
        <v>2000</v>
      </c>
      <c r="AP67" s="318">
        <f>IFERROR(__xludf.DUMMYFUNCTION("""COMPUTED_VALUE"""),2100.0)</f>
        <v>2100</v>
      </c>
      <c r="AQ67" s="318">
        <f>IFERROR(__xludf.DUMMYFUNCTION("""COMPUTED_VALUE"""),2600.0)</f>
        <v>2600</v>
      </c>
      <c r="AR67" s="318">
        <f>IFERROR(__xludf.DUMMYFUNCTION("""COMPUTED_VALUE"""),3300.0)</f>
        <v>3300</v>
      </c>
      <c r="AS67" s="319">
        <f>IFERROR(__xludf.DUMMYFUNCTION("""COMPUTED_VALUE"""),3600.0)</f>
        <v>3600</v>
      </c>
      <c r="AT67" s="276" t="str">
        <f>IFERROR(__xludf.DUMMYFUNCTION("""COMPUTED_VALUE"""),"範囲(特大)")</f>
        <v>範囲(特大)</v>
      </c>
      <c r="AU67" s="316">
        <f>IFERROR(__xludf.DUMMYFUNCTION("""COMPUTED_VALUE"""),2.0)</f>
        <v>2</v>
      </c>
      <c r="AV67" s="342" t="str">
        <f>IFERROR(__xludf.DUMMYFUNCTION("""COMPUTED_VALUE"""),"効果値")</f>
        <v>効果値</v>
      </c>
      <c r="AW67" s="318">
        <f>IFERROR(__xludf.DUMMYFUNCTION("""COMPUTED_VALUE"""),1400.0)</f>
        <v>1400</v>
      </c>
      <c r="AX67" s="318">
        <f>IFERROR(__xludf.DUMMYFUNCTION("""COMPUTED_VALUE"""),1500.0)</f>
        <v>1500</v>
      </c>
      <c r="AY67" s="318">
        <f>IFERROR(__xludf.DUMMYFUNCTION("""COMPUTED_VALUE"""),1600.0)</f>
        <v>1600</v>
      </c>
      <c r="AZ67" s="318">
        <f>IFERROR(__xludf.DUMMYFUNCTION("""COMPUTED_VALUE"""),1800.0)</f>
        <v>1800</v>
      </c>
      <c r="BA67" s="318">
        <f>IFERROR(__xludf.DUMMYFUNCTION("""COMPUTED_VALUE"""),1900.0)</f>
        <v>1900</v>
      </c>
      <c r="BB67" s="318">
        <f>IFERROR(__xludf.DUMMYFUNCTION("""COMPUTED_VALUE"""),2400.0)</f>
        <v>2400</v>
      </c>
      <c r="BC67" s="318">
        <f>IFERROR(__xludf.DUMMYFUNCTION("""COMPUTED_VALUE"""),3000.0)</f>
        <v>3000</v>
      </c>
      <c r="BD67" s="319">
        <f>IFERROR(__xludf.DUMMYFUNCTION("""COMPUTED_VALUE"""),3300.0)</f>
        <v>3300</v>
      </c>
      <c r="BE67" s="279" t="str">
        <f>IFERROR(__xludf.DUMMYFUNCTION("""COMPUTED_VALUE"""),"範囲(小：威力減)")</f>
        <v>範囲(小：威力減)</v>
      </c>
      <c r="BF67" s="316">
        <f>IFERROR(__xludf.DUMMYFUNCTION("""COMPUTED_VALUE"""),2.0)</f>
        <v>2</v>
      </c>
      <c r="BG67" s="342" t="str">
        <f>IFERROR(__xludf.DUMMYFUNCTION("""COMPUTED_VALUE"""),"効果値")</f>
        <v>効果値</v>
      </c>
      <c r="BH67" s="318">
        <f>IFERROR(__xludf.DUMMYFUNCTION("""COMPUTED_VALUE"""),1400.0)</f>
        <v>1400</v>
      </c>
      <c r="BI67" s="318">
        <f>IFERROR(__xludf.DUMMYFUNCTION("""COMPUTED_VALUE"""),1500.0)</f>
        <v>1500</v>
      </c>
      <c r="BJ67" s="318">
        <f>IFERROR(__xludf.DUMMYFUNCTION("""COMPUTED_VALUE"""),1600.0)</f>
        <v>1600</v>
      </c>
      <c r="BK67" s="318">
        <f>IFERROR(__xludf.DUMMYFUNCTION("""COMPUTED_VALUE"""),1800.0)</f>
        <v>1800</v>
      </c>
      <c r="BL67" s="318">
        <f>IFERROR(__xludf.DUMMYFUNCTION("""COMPUTED_VALUE"""),1900.0)</f>
        <v>1900</v>
      </c>
      <c r="BM67" s="318">
        <f>IFERROR(__xludf.DUMMYFUNCTION("""COMPUTED_VALUE"""),2400.0)</f>
        <v>2400</v>
      </c>
      <c r="BN67" s="318">
        <f>IFERROR(__xludf.DUMMYFUNCTION("""COMPUTED_VALUE"""),3000.0)</f>
        <v>3000</v>
      </c>
      <c r="BO67" s="319">
        <f>IFERROR(__xludf.DUMMYFUNCTION("""COMPUTED_VALUE"""),3300.0)</f>
        <v>3300</v>
      </c>
    </row>
    <row r="68">
      <c r="A68" s="307" t="str">
        <f>IFERROR(__xludf.DUMMYFUNCTION("""COMPUTED_VALUE"""),"火傷")</f>
        <v>火傷</v>
      </c>
      <c r="B68" s="272" t="str">
        <f>IFERROR(__xludf.DUMMYFUNCTION("""COMPUTED_VALUE"""),"単体")</f>
        <v>単体</v>
      </c>
      <c r="C68" s="308">
        <f>IFERROR(__xludf.DUMMYFUNCTION("""COMPUTED_VALUE"""),2.0)</f>
        <v>2</v>
      </c>
      <c r="D68" s="274" t="str">
        <f>IFERROR(__xludf.DUMMYFUNCTION("""COMPUTED_VALUE"""),"効果時間")</f>
        <v>効果時間</v>
      </c>
      <c r="E68" s="317">
        <f>IFERROR(__xludf.DUMMYFUNCTION("""COMPUTED_VALUE"""),150.0)</f>
        <v>150</v>
      </c>
      <c r="F68" s="317">
        <f>IFERROR(__xludf.DUMMYFUNCTION("""COMPUTED_VALUE"""),150.0)</f>
        <v>150</v>
      </c>
      <c r="G68" s="317">
        <f>IFERROR(__xludf.DUMMYFUNCTION("""COMPUTED_VALUE"""),150.0)</f>
        <v>150</v>
      </c>
      <c r="H68" s="317">
        <f>IFERROR(__xludf.DUMMYFUNCTION("""COMPUTED_VALUE"""),150.0)</f>
        <v>150</v>
      </c>
      <c r="I68" s="317">
        <f>IFERROR(__xludf.DUMMYFUNCTION("""COMPUTED_VALUE"""),150.0)</f>
        <v>150</v>
      </c>
      <c r="J68" s="317">
        <f>IFERROR(__xludf.DUMMYFUNCTION("""COMPUTED_VALUE"""),150.0)</f>
        <v>150</v>
      </c>
      <c r="K68" s="317">
        <f>IFERROR(__xludf.DUMMYFUNCTION("""COMPUTED_VALUE"""),300.0)</f>
        <v>300</v>
      </c>
      <c r="L68" s="317">
        <f>IFERROR(__xludf.DUMMYFUNCTION("""COMPUTED_VALUE"""),300.0)</f>
        <v>300</v>
      </c>
      <c r="M68" s="276" t="str">
        <f>IFERROR(__xludf.DUMMYFUNCTION("""COMPUTED_VALUE"""),"範囲(小)")</f>
        <v>範囲(小)</v>
      </c>
      <c r="N68" s="308">
        <f>IFERROR(__xludf.DUMMYFUNCTION("""COMPUTED_VALUE"""),2.0)</f>
        <v>2</v>
      </c>
      <c r="O68" s="274" t="str">
        <f>IFERROR(__xludf.DUMMYFUNCTION("""COMPUTED_VALUE"""),"効果時間")</f>
        <v>効果時間</v>
      </c>
      <c r="P68" s="340">
        <f>IFERROR(__xludf.DUMMYFUNCTION("""COMPUTED_VALUE"""),150.0)</f>
        <v>150</v>
      </c>
      <c r="Q68" s="340">
        <f>IFERROR(__xludf.DUMMYFUNCTION("""COMPUTED_VALUE"""),150.0)</f>
        <v>150</v>
      </c>
      <c r="R68" s="340">
        <f>IFERROR(__xludf.DUMMYFUNCTION("""COMPUTED_VALUE"""),150.0)</f>
        <v>150</v>
      </c>
      <c r="S68" s="340">
        <f>IFERROR(__xludf.DUMMYFUNCTION("""COMPUTED_VALUE"""),150.0)</f>
        <v>150</v>
      </c>
      <c r="T68" s="340">
        <f>IFERROR(__xludf.DUMMYFUNCTION("""COMPUTED_VALUE"""),150.0)</f>
        <v>150</v>
      </c>
      <c r="U68" s="340">
        <f>IFERROR(__xludf.DUMMYFUNCTION("""COMPUTED_VALUE"""),150.0)</f>
        <v>150</v>
      </c>
      <c r="V68" s="340">
        <f>IFERROR(__xludf.DUMMYFUNCTION("""COMPUTED_VALUE"""),300.0)</f>
        <v>300</v>
      </c>
      <c r="W68" s="341">
        <f>IFERROR(__xludf.DUMMYFUNCTION("""COMPUTED_VALUE"""),300.0)</f>
        <v>300</v>
      </c>
      <c r="X68" s="276" t="str">
        <f>IFERROR(__xludf.DUMMYFUNCTION("""COMPUTED_VALUE"""),"範囲(中)")</f>
        <v>範囲(中)</v>
      </c>
      <c r="Y68" s="308">
        <f>IFERROR(__xludf.DUMMYFUNCTION("""COMPUTED_VALUE"""),2.0)</f>
        <v>2</v>
      </c>
      <c r="Z68" s="274" t="str">
        <f>IFERROR(__xludf.DUMMYFUNCTION("""COMPUTED_VALUE"""),"効果時間")</f>
        <v>効果時間</v>
      </c>
      <c r="AA68" s="340">
        <f>IFERROR(__xludf.DUMMYFUNCTION("""COMPUTED_VALUE"""),150.0)</f>
        <v>150</v>
      </c>
      <c r="AB68" s="340">
        <f>IFERROR(__xludf.DUMMYFUNCTION("""COMPUTED_VALUE"""),150.0)</f>
        <v>150</v>
      </c>
      <c r="AC68" s="340">
        <f>IFERROR(__xludf.DUMMYFUNCTION("""COMPUTED_VALUE"""),150.0)</f>
        <v>150</v>
      </c>
      <c r="AD68" s="340">
        <f>IFERROR(__xludf.DUMMYFUNCTION("""COMPUTED_VALUE"""),150.0)</f>
        <v>150</v>
      </c>
      <c r="AE68" s="340">
        <f>IFERROR(__xludf.DUMMYFUNCTION("""COMPUTED_VALUE"""),150.0)</f>
        <v>150</v>
      </c>
      <c r="AF68" s="340">
        <f>IFERROR(__xludf.DUMMYFUNCTION("""COMPUTED_VALUE"""),150.0)</f>
        <v>150</v>
      </c>
      <c r="AG68" s="340">
        <f>IFERROR(__xludf.DUMMYFUNCTION("""COMPUTED_VALUE"""),300.0)</f>
        <v>300</v>
      </c>
      <c r="AH68" s="341">
        <f>IFERROR(__xludf.DUMMYFUNCTION("""COMPUTED_VALUE"""),300.0)</f>
        <v>300</v>
      </c>
      <c r="AI68" s="276" t="str">
        <f>IFERROR(__xludf.DUMMYFUNCTION("""COMPUTED_VALUE"""),"範囲(大)")</f>
        <v>範囲(大)</v>
      </c>
      <c r="AJ68" s="308">
        <f>IFERROR(__xludf.DUMMYFUNCTION("""COMPUTED_VALUE"""),2.0)</f>
        <v>2</v>
      </c>
      <c r="AK68" s="274" t="str">
        <f>IFERROR(__xludf.DUMMYFUNCTION("""COMPUTED_VALUE"""),"効果時間")</f>
        <v>効果時間</v>
      </c>
      <c r="AL68" s="340">
        <f>IFERROR(__xludf.DUMMYFUNCTION("""COMPUTED_VALUE"""),150.0)</f>
        <v>150</v>
      </c>
      <c r="AM68" s="340">
        <f>IFERROR(__xludf.DUMMYFUNCTION("""COMPUTED_VALUE"""),150.0)</f>
        <v>150</v>
      </c>
      <c r="AN68" s="340">
        <f>IFERROR(__xludf.DUMMYFUNCTION("""COMPUTED_VALUE"""),150.0)</f>
        <v>150</v>
      </c>
      <c r="AO68" s="340">
        <f>IFERROR(__xludf.DUMMYFUNCTION("""COMPUTED_VALUE"""),150.0)</f>
        <v>150</v>
      </c>
      <c r="AP68" s="340">
        <f>IFERROR(__xludf.DUMMYFUNCTION("""COMPUTED_VALUE"""),150.0)</f>
        <v>150</v>
      </c>
      <c r="AQ68" s="340">
        <f>IFERROR(__xludf.DUMMYFUNCTION("""COMPUTED_VALUE"""),150.0)</f>
        <v>150</v>
      </c>
      <c r="AR68" s="340">
        <f>IFERROR(__xludf.DUMMYFUNCTION("""COMPUTED_VALUE"""),300.0)</f>
        <v>300</v>
      </c>
      <c r="AS68" s="341">
        <f>IFERROR(__xludf.DUMMYFUNCTION("""COMPUTED_VALUE"""),300.0)</f>
        <v>300</v>
      </c>
      <c r="AT68" s="276" t="str">
        <f>IFERROR(__xludf.DUMMYFUNCTION("""COMPUTED_VALUE"""),"範囲(特大)")</f>
        <v>範囲(特大)</v>
      </c>
      <c r="AU68" s="308">
        <f>IFERROR(__xludf.DUMMYFUNCTION("""COMPUTED_VALUE"""),2.0)</f>
        <v>2</v>
      </c>
      <c r="AV68" s="274" t="str">
        <f>IFERROR(__xludf.DUMMYFUNCTION("""COMPUTED_VALUE"""),"効果時間")</f>
        <v>効果時間</v>
      </c>
      <c r="AW68" s="340">
        <f>IFERROR(__xludf.DUMMYFUNCTION("""COMPUTED_VALUE"""),150.0)</f>
        <v>150</v>
      </c>
      <c r="AX68" s="340">
        <f>IFERROR(__xludf.DUMMYFUNCTION("""COMPUTED_VALUE"""),150.0)</f>
        <v>150</v>
      </c>
      <c r="AY68" s="340">
        <f>IFERROR(__xludf.DUMMYFUNCTION("""COMPUTED_VALUE"""),150.0)</f>
        <v>150</v>
      </c>
      <c r="AZ68" s="340">
        <f>IFERROR(__xludf.DUMMYFUNCTION("""COMPUTED_VALUE"""),150.0)</f>
        <v>150</v>
      </c>
      <c r="BA68" s="340">
        <f>IFERROR(__xludf.DUMMYFUNCTION("""COMPUTED_VALUE"""),150.0)</f>
        <v>150</v>
      </c>
      <c r="BB68" s="340">
        <f>IFERROR(__xludf.DUMMYFUNCTION("""COMPUTED_VALUE"""),150.0)</f>
        <v>150</v>
      </c>
      <c r="BC68" s="340">
        <f>IFERROR(__xludf.DUMMYFUNCTION("""COMPUTED_VALUE"""),300.0)</f>
        <v>300</v>
      </c>
      <c r="BD68" s="341">
        <f>IFERROR(__xludf.DUMMYFUNCTION("""COMPUTED_VALUE"""),300.0)</f>
        <v>300</v>
      </c>
      <c r="BE68" s="279" t="str">
        <f>IFERROR(__xludf.DUMMYFUNCTION("""COMPUTED_VALUE"""),"範囲(小：威力減)")</f>
        <v>範囲(小：威力減)</v>
      </c>
      <c r="BF68" s="308">
        <f>IFERROR(__xludf.DUMMYFUNCTION("""COMPUTED_VALUE"""),2.0)</f>
        <v>2</v>
      </c>
      <c r="BG68" s="274" t="str">
        <f>IFERROR(__xludf.DUMMYFUNCTION("""COMPUTED_VALUE"""),"効果時間")</f>
        <v>効果時間</v>
      </c>
      <c r="BH68" s="340">
        <f>IFERROR(__xludf.DUMMYFUNCTION("""COMPUTED_VALUE"""),150.0)</f>
        <v>150</v>
      </c>
      <c r="BI68" s="340">
        <f>IFERROR(__xludf.DUMMYFUNCTION("""COMPUTED_VALUE"""),150.0)</f>
        <v>150</v>
      </c>
      <c r="BJ68" s="340">
        <f>IFERROR(__xludf.DUMMYFUNCTION("""COMPUTED_VALUE"""),150.0)</f>
        <v>150</v>
      </c>
      <c r="BK68" s="340">
        <f>IFERROR(__xludf.DUMMYFUNCTION("""COMPUTED_VALUE"""),150.0)</f>
        <v>150</v>
      </c>
      <c r="BL68" s="340">
        <f>IFERROR(__xludf.DUMMYFUNCTION("""COMPUTED_VALUE"""),150.0)</f>
        <v>150</v>
      </c>
      <c r="BM68" s="340">
        <f>IFERROR(__xludf.DUMMYFUNCTION("""COMPUTED_VALUE"""),150.0)</f>
        <v>150</v>
      </c>
      <c r="BN68" s="340">
        <f>IFERROR(__xludf.DUMMYFUNCTION("""COMPUTED_VALUE"""),300.0)</f>
        <v>300</v>
      </c>
      <c r="BO68" s="341">
        <f>IFERROR(__xludf.DUMMYFUNCTION("""COMPUTED_VALUE"""),300.0)</f>
        <v>300</v>
      </c>
    </row>
    <row r="69">
      <c r="A69" s="307" t="str">
        <f>IFERROR(__xludf.DUMMYFUNCTION("""COMPUTED_VALUE"""),"火傷")</f>
        <v>火傷</v>
      </c>
      <c r="B69" s="272" t="str">
        <f>IFERROR(__xludf.DUMMYFUNCTION("""COMPUTED_VALUE"""),"単体")</f>
        <v>単体</v>
      </c>
      <c r="C69" s="308">
        <f>IFERROR(__xludf.DUMMYFUNCTION("""COMPUTED_VALUE"""),2.0)</f>
        <v>2</v>
      </c>
      <c r="D69" s="274" t="str">
        <f>IFERROR(__xludf.DUMMYFUNCTION("""COMPUTED_VALUE"""),"発動確率")</f>
        <v>発動確率</v>
      </c>
      <c r="E69" s="309">
        <f>IFERROR(__xludf.DUMMYFUNCTION("""COMPUTED_VALUE"""),100.0)</f>
        <v>100</v>
      </c>
      <c r="F69" s="309">
        <f>IFERROR(__xludf.DUMMYFUNCTION("""COMPUTED_VALUE"""),100.0)</f>
        <v>100</v>
      </c>
      <c r="G69" s="309">
        <f>IFERROR(__xludf.DUMMYFUNCTION("""COMPUTED_VALUE"""),100.0)</f>
        <v>100</v>
      </c>
      <c r="H69" s="309">
        <f>IFERROR(__xludf.DUMMYFUNCTION("""COMPUTED_VALUE"""),100.0)</f>
        <v>100</v>
      </c>
      <c r="I69" s="309">
        <f>IFERROR(__xludf.DUMMYFUNCTION("""COMPUTED_VALUE"""),100.0)</f>
        <v>100</v>
      </c>
      <c r="J69" s="309">
        <f>IFERROR(__xludf.DUMMYFUNCTION("""COMPUTED_VALUE"""),100.0)</f>
        <v>100</v>
      </c>
      <c r="K69" s="309">
        <f>IFERROR(__xludf.DUMMYFUNCTION("""COMPUTED_VALUE"""),100.0)</f>
        <v>100</v>
      </c>
      <c r="L69" s="309">
        <f>IFERROR(__xludf.DUMMYFUNCTION("""COMPUTED_VALUE"""),100.0)</f>
        <v>100</v>
      </c>
      <c r="M69" s="276" t="str">
        <f>IFERROR(__xludf.DUMMYFUNCTION("""COMPUTED_VALUE"""),"範囲(小)")</f>
        <v>範囲(小)</v>
      </c>
      <c r="N69" s="308">
        <f>IFERROR(__xludf.DUMMYFUNCTION("""COMPUTED_VALUE"""),2.0)</f>
        <v>2</v>
      </c>
      <c r="O69" s="274" t="str">
        <f>IFERROR(__xludf.DUMMYFUNCTION("""COMPUTED_VALUE"""),"発動確率")</f>
        <v>発動確率</v>
      </c>
      <c r="P69" s="321">
        <f>IFERROR(__xludf.DUMMYFUNCTION("""COMPUTED_VALUE"""),100.0)</f>
        <v>100</v>
      </c>
      <c r="Q69" s="321">
        <f>IFERROR(__xludf.DUMMYFUNCTION("""COMPUTED_VALUE"""),100.0)</f>
        <v>100</v>
      </c>
      <c r="R69" s="321">
        <f>IFERROR(__xludf.DUMMYFUNCTION("""COMPUTED_VALUE"""),100.0)</f>
        <v>100</v>
      </c>
      <c r="S69" s="321">
        <f>IFERROR(__xludf.DUMMYFUNCTION("""COMPUTED_VALUE"""),100.0)</f>
        <v>100</v>
      </c>
      <c r="T69" s="321">
        <f>IFERROR(__xludf.DUMMYFUNCTION("""COMPUTED_VALUE"""),100.0)</f>
        <v>100</v>
      </c>
      <c r="U69" s="321">
        <f>IFERROR(__xludf.DUMMYFUNCTION("""COMPUTED_VALUE"""),100.0)</f>
        <v>100</v>
      </c>
      <c r="V69" s="321">
        <f>IFERROR(__xludf.DUMMYFUNCTION("""COMPUTED_VALUE"""),100.0)</f>
        <v>100</v>
      </c>
      <c r="W69" s="324">
        <f>IFERROR(__xludf.DUMMYFUNCTION("""COMPUTED_VALUE"""),100.0)</f>
        <v>100</v>
      </c>
      <c r="X69" s="276" t="str">
        <f>IFERROR(__xludf.DUMMYFUNCTION("""COMPUTED_VALUE"""),"範囲(中)")</f>
        <v>範囲(中)</v>
      </c>
      <c r="Y69" s="308">
        <f>IFERROR(__xludf.DUMMYFUNCTION("""COMPUTED_VALUE"""),2.0)</f>
        <v>2</v>
      </c>
      <c r="Z69" s="274" t="str">
        <f>IFERROR(__xludf.DUMMYFUNCTION("""COMPUTED_VALUE"""),"発動確率")</f>
        <v>発動確率</v>
      </c>
      <c r="AA69" s="321">
        <f>IFERROR(__xludf.DUMMYFUNCTION("""COMPUTED_VALUE"""),100.0)</f>
        <v>100</v>
      </c>
      <c r="AB69" s="321">
        <f>IFERROR(__xludf.DUMMYFUNCTION("""COMPUTED_VALUE"""),100.0)</f>
        <v>100</v>
      </c>
      <c r="AC69" s="321">
        <f>IFERROR(__xludf.DUMMYFUNCTION("""COMPUTED_VALUE"""),100.0)</f>
        <v>100</v>
      </c>
      <c r="AD69" s="321">
        <f>IFERROR(__xludf.DUMMYFUNCTION("""COMPUTED_VALUE"""),100.0)</f>
        <v>100</v>
      </c>
      <c r="AE69" s="321">
        <f>IFERROR(__xludf.DUMMYFUNCTION("""COMPUTED_VALUE"""),100.0)</f>
        <v>100</v>
      </c>
      <c r="AF69" s="321">
        <f>IFERROR(__xludf.DUMMYFUNCTION("""COMPUTED_VALUE"""),100.0)</f>
        <v>100</v>
      </c>
      <c r="AG69" s="321">
        <f>IFERROR(__xludf.DUMMYFUNCTION("""COMPUTED_VALUE"""),100.0)</f>
        <v>100</v>
      </c>
      <c r="AH69" s="324">
        <f>IFERROR(__xludf.DUMMYFUNCTION("""COMPUTED_VALUE"""),100.0)</f>
        <v>100</v>
      </c>
      <c r="AI69" s="276" t="str">
        <f>IFERROR(__xludf.DUMMYFUNCTION("""COMPUTED_VALUE"""),"範囲(大)")</f>
        <v>範囲(大)</v>
      </c>
      <c r="AJ69" s="308">
        <f>IFERROR(__xludf.DUMMYFUNCTION("""COMPUTED_VALUE"""),2.0)</f>
        <v>2</v>
      </c>
      <c r="AK69" s="274" t="str">
        <f>IFERROR(__xludf.DUMMYFUNCTION("""COMPUTED_VALUE"""),"発動確率")</f>
        <v>発動確率</v>
      </c>
      <c r="AL69" s="321">
        <f>IFERROR(__xludf.DUMMYFUNCTION("""COMPUTED_VALUE"""),100.0)</f>
        <v>100</v>
      </c>
      <c r="AM69" s="321">
        <f>IFERROR(__xludf.DUMMYFUNCTION("""COMPUTED_VALUE"""),100.0)</f>
        <v>100</v>
      </c>
      <c r="AN69" s="321">
        <f>IFERROR(__xludf.DUMMYFUNCTION("""COMPUTED_VALUE"""),100.0)</f>
        <v>100</v>
      </c>
      <c r="AO69" s="321">
        <f>IFERROR(__xludf.DUMMYFUNCTION("""COMPUTED_VALUE"""),100.0)</f>
        <v>100</v>
      </c>
      <c r="AP69" s="321">
        <f>IFERROR(__xludf.DUMMYFUNCTION("""COMPUTED_VALUE"""),100.0)</f>
        <v>100</v>
      </c>
      <c r="AQ69" s="321">
        <f>IFERROR(__xludf.DUMMYFUNCTION("""COMPUTED_VALUE"""),100.0)</f>
        <v>100</v>
      </c>
      <c r="AR69" s="321">
        <f>IFERROR(__xludf.DUMMYFUNCTION("""COMPUTED_VALUE"""),100.0)</f>
        <v>100</v>
      </c>
      <c r="AS69" s="324">
        <f>IFERROR(__xludf.DUMMYFUNCTION("""COMPUTED_VALUE"""),100.0)</f>
        <v>100</v>
      </c>
      <c r="AT69" s="276" t="str">
        <f>IFERROR(__xludf.DUMMYFUNCTION("""COMPUTED_VALUE"""),"範囲(特大)")</f>
        <v>範囲(特大)</v>
      </c>
      <c r="AU69" s="308">
        <f>IFERROR(__xludf.DUMMYFUNCTION("""COMPUTED_VALUE"""),2.0)</f>
        <v>2</v>
      </c>
      <c r="AV69" s="274" t="str">
        <f>IFERROR(__xludf.DUMMYFUNCTION("""COMPUTED_VALUE"""),"発動確率")</f>
        <v>発動確率</v>
      </c>
      <c r="AW69" s="321">
        <f>IFERROR(__xludf.DUMMYFUNCTION("""COMPUTED_VALUE"""),100.0)</f>
        <v>100</v>
      </c>
      <c r="AX69" s="321">
        <f>IFERROR(__xludf.DUMMYFUNCTION("""COMPUTED_VALUE"""),100.0)</f>
        <v>100</v>
      </c>
      <c r="AY69" s="321">
        <f>IFERROR(__xludf.DUMMYFUNCTION("""COMPUTED_VALUE"""),100.0)</f>
        <v>100</v>
      </c>
      <c r="AZ69" s="321">
        <f>IFERROR(__xludf.DUMMYFUNCTION("""COMPUTED_VALUE"""),100.0)</f>
        <v>100</v>
      </c>
      <c r="BA69" s="321">
        <f>IFERROR(__xludf.DUMMYFUNCTION("""COMPUTED_VALUE"""),100.0)</f>
        <v>100</v>
      </c>
      <c r="BB69" s="321">
        <f>IFERROR(__xludf.DUMMYFUNCTION("""COMPUTED_VALUE"""),100.0)</f>
        <v>100</v>
      </c>
      <c r="BC69" s="321">
        <f>IFERROR(__xludf.DUMMYFUNCTION("""COMPUTED_VALUE"""),100.0)</f>
        <v>100</v>
      </c>
      <c r="BD69" s="324">
        <f>IFERROR(__xludf.DUMMYFUNCTION("""COMPUTED_VALUE"""),100.0)</f>
        <v>100</v>
      </c>
      <c r="BE69" s="279" t="str">
        <f>IFERROR(__xludf.DUMMYFUNCTION("""COMPUTED_VALUE"""),"範囲(小：威力減)")</f>
        <v>範囲(小：威力減)</v>
      </c>
      <c r="BF69" s="308">
        <f>IFERROR(__xludf.DUMMYFUNCTION("""COMPUTED_VALUE"""),2.0)</f>
        <v>2</v>
      </c>
      <c r="BG69" s="274" t="str">
        <f>IFERROR(__xludf.DUMMYFUNCTION("""COMPUTED_VALUE"""),"発動確率")</f>
        <v>発動確率</v>
      </c>
      <c r="BH69" s="321">
        <f>IFERROR(__xludf.DUMMYFUNCTION("""COMPUTED_VALUE"""),100.0)</f>
        <v>100</v>
      </c>
      <c r="BI69" s="321">
        <f>IFERROR(__xludf.DUMMYFUNCTION("""COMPUTED_VALUE"""),100.0)</f>
        <v>100</v>
      </c>
      <c r="BJ69" s="321">
        <f>IFERROR(__xludf.DUMMYFUNCTION("""COMPUTED_VALUE"""),100.0)</f>
        <v>100</v>
      </c>
      <c r="BK69" s="321">
        <f>IFERROR(__xludf.DUMMYFUNCTION("""COMPUTED_VALUE"""),100.0)</f>
        <v>100</v>
      </c>
      <c r="BL69" s="321">
        <f>IFERROR(__xludf.DUMMYFUNCTION("""COMPUTED_VALUE"""),100.0)</f>
        <v>100</v>
      </c>
      <c r="BM69" s="321">
        <f>IFERROR(__xludf.DUMMYFUNCTION("""COMPUTED_VALUE"""),100.0)</f>
        <v>100</v>
      </c>
      <c r="BN69" s="321">
        <f>IFERROR(__xludf.DUMMYFUNCTION("""COMPUTED_VALUE"""),100.0)</f>
        <v>100</v>
      </c>
      <c r="BO69" s="324">
        <f>IFERROR(__xludf.DUMMYFUNCTION("""COMPUTED_VALUE"""),100.0)</f>
        <v>100</v>
      </c>
    </row>
    <row r="70">
      <c r="A70" s="307" t="str">
        <f>IFERROR(__xludf.DUMMYFUNCTION("""COMPUTED_VALUE"""),"火傷")</f>
        <v>火傷</v>
      </c>
      <c r="B70" s="272" t="str">
        <f>IFERROR(__xludf.DUMMYFUNCTION("""COMPUTED_VALUE"""),"単体")</f>
        <v>単体</v>
      </c>
      <c r="C70" s="316">
        <f>IFERROR(__xludf.DUMMYFUNCTION("""COMPUTED_VALUE"""),3.0)</f>
        <v>3</v>
      </c>
      <c r="D70" s="342" t="str">
        <f>IFERROR(__xludf.DUMMYFUNCTION("""COMPUTED_VALUE"""),"効果値")</f>
        <v>効果値</v>
      </c>
      <c r="E70" s="280">
        <f>IFERROR(__xludf.DUMMYFUNCTION("""COMPUTED_VALUE"""),3800.0)</f>
        <v>3800</v>
      </c>
      <c r="F70" s="280">
        <f>IFERROR(__xludf.DUMMYFUNCTION("""COMPUTED_VALUE"""),4200.0)</f>
        <v>4200</v>
      </c>
      <c r="G70" s="280">
        <f>IFERROR(__xludf.DUMMYFUNCTION("""COMPUTED_VALUE"""),4600.0)</f>
        <v>4600</v>
      </c>
      <c r="H70" s="280">
        <f>IFERROR(__xludf.DUMMYFUNCTION("""COMPUTED_VALUE"""),5000.0)</f>
        <v>5000</v>
      </c>
      <c r="I70" s="280">
        <f>IFERROR(__xludf.DUMMYFUNCTION("""COMPUTED_VALUE"""),5300.0)</f>
        <v>5300</v>
      </c>
      <c r="J70" s="280">
        <f>IFERROR(__xludf.DUMMYFUNCTION("""COMPUTED_VALUE"""),6800.0)</f>
        <v>6800</v>
      </c>
      <c r="K70" s="280">
        <f>IFERROR(__xludf.DUMMYFUNCTION("""COMPUTED_VALUE"""),9000.0)</f>
        <v>9000</v>
      </c>
      <c r="L70" s="280">
        <f>IFERROR(__xludf.DUMMYFUNCTION("""COMPUTED_VALUE"""),9700.0)</f>
        <v>9700</v>
      </c>
      <c r="M70" s="276" t="str">
        <f>IFERROR(__xludf.DUMMYFUNCTION("""COMPUTED_VALUE"""),"範囲(小)")</f>
        <v>範囲(小)</v>
      </c>
      <c r="N70" s="316">
        <f>IFERROR(__xludf.DUMMYFUNCTION("""COMPUTED_VALUE"""),3.0)</f>
        <v>3</v>
      </c>
      <c r="O70" s="342" t="str">
        <f>IFERROR(__xludf.DUMMYFUNCTION("""COMPUTED_VALUE"""),"効果値")</f>
        <v>効果値</v>
      </c>
      <c r="P70" s="318">
        <f>IFERROR(__xludf.DUMMYFUNCTION("""COMPUTED_VALUE"""),2900.0)</f>
        <v>2900</v>
      </c>
      <c r="Q70" s="318">
        <f>IFERROR(__xludf.DUMMYFUNCTION("""COMPUTED_VALUE"""),3200.0)</f>
        <v>3200</v>
      </c>
      <c r="R70" s="318">
        <f>IFERROR(__xludf.DUMMYFUNCTION("""COMPUTED_VALUE"""),3500.0)</f>
        <v>3500</v>
      </c>
      <c r="S70" s="318">
        <f>IFERROR(__xludf.DUMMYFUNCTION("""COMPUTED_VALUE"""),3800.0)</f>
        <v>3800</v>
      </c>
      <c r="T70" s="318">
        <f>IFERROR(__xludf.DUMMYFUNCTION("""COMPUTED_VALUE"""),4000.0)</f>
        <v>4000</v>
      </c>
      <c r="U70" s="318">
        <f>IFERROR(__xludf.DUMMYFUNCTION("""COMPUTED_VALUE"""),5100.0)</f>
        <v>5100</v>
      </c>
      <c r="V70" s="318">
        <f>IFERROR(__xludf.DUMMYFUNCTION("""COMPUTED_VALUE"""),6800.0)</f>
        <v>6800</v>
      </c>
      <c r="W70" s="319">
        <f>IFERROR(__xludf.DUMMYFUNCTION("""COMPUTED_VALUE"""),7300.0)</f>
        <v>7300</v>
      </c>
      <c r="X70" s="276" t="str">
        <f>IFERROR(__xludf.DUMMYFUNCTION("""COMPUTED_VALUE"""),"範囲(中)")</f>
        <v>範囲(中)</v>
      </c>
      <c r="Y70" s="316">
        <f>IFERROR(__xludf.DUMMYFUNCTION("""COMPUTED_VALUE"""),3.0)</f>
        <v>3</v>
      </c>
      <c r="Z70" s="342" t="str">
        <f>IFERROR(__xludf.DUMMYFUNCTION("""COMPUTED_VALUE"""),"効果値")</f>
        <v>効果値</v>
      </c>
      <c r="AA70" s="318">
        <f>IFERROR(__xludf.DUMMYFUNCTION("""COMPUTED_VALUE"""),2500.0)</f>
        <v>2500</v>
      </c>
      <c r="AB70" s="318">
        <f>IFERROR(__xludf.DUMMYFUNCTION("""COMPUTED_VALUE"""),2800.0)</f>
        <v>2800</v>
      </c>
      <c r="AC70" s="318">
        <f>IFERROR(__xludf.DUMMYFUNCTION("""COMPUTED_VALUE"""),3000.0)</f>
        <v>3000</v>
      </c>
      <c r="AD70" s="318">
        <f>IFERROR(__xludf.DUMMYFUNCTION("""COMPUTED_VALUE"""),3300.0)</f>
        <v>3300</v>
      </c>
      <c r="AE70" s="318">
        <f>IFERROR(__xludf.DUMMYFUNCTION("""COMPUTED_VALUE"""),3500.0)</f>
        <v>3500</v>
      </c>
      <c r="AF70" s="318">
        <f>IFERROR(__xludf.DUMMYFUNCTION("""COMPUTED_VALUE"""),4500.0)</f>
        <v>4500</v>
      </c>
      <c r="AG70" s="318">
        <f>IFERROR(__xludf.DUMMYFUNCTION("""COMPUTED_VALUE"""),5900.0)</f>
        <v>5900</v>
      </c>
      <c r="AH70" s="319">
        <f>IFERROR(__xludf.DUMMYFUNCTION("""COMPUTED_VALUE"""),6400.0)</f>
        <v>6400</v>
      </c>
      <c r="AI70" s="276" t="str">
        <f>IFERROR(__xludf.DUMMYFUNCTION("""COMPUTED_VALUE"""),"範囲(大)")</f>
        <v>範囲(大)</v>
      </c>
      <c r="AJ70" s="316">
        <f>IFERROR(__xludf.DUMMYFUNCTION("""COMPUTED_VALUE"""),3.0)</f>
        <v>3</v>
      </c>
      <c r="AK70" s="342" t="str">
        <f>IFERROR(__xludf.DUMMYFUNCTION("""COMPUTED_VALUE"""),"効果値")</f>
        <v>効果値</v>
      </c>
      <c r="AL70" s="318">
        <f>IFERROR(__xludf.DUMMYFUNCTION("""COMPUTED_VALUE"""),2100.0)</f>
        <v>2100</v>
      </c>
      <c r="AM70" s="318">
        <f>IFERROR(__xludf.DUMMYFUNCTION("""COMPUTED_VALUE"""),2400.0)</f>
        <v>2400</v>
      </c>
      <c r="AN70" s="318">
        <f>IFERROR(__xludf.DUMMYFUNCTION("""COMPUTED_VALUE"""),2600.0)</f>
        <v>2600</v>
      </c>
      <c r="AO70" s="318">
        <f>IFERROR(__xludf.DUMMYFUNCTION("""COMPUTED_VALUE"""),2800.0)</f>
        <v>2800</v>
      </c>
      <c r="AP70" s="318">
        <f>IFERROR(__xludf.DUMMYFUNCTION("""COMPUTED_VALUE"""),3000.0)</f>
        <v>3000</v>
      </c>
      <c r="AQ70" s="318">
        <f>IFERROR(__xludf.DUMMYFUNCTION("""COMPUTED_VALUE"""),3800.0)</f>
        <v>3800</v>
      </c>
      <c r="AR70" s="318">
        <f>IFERROR(__xludf.DUMMYFUNCTION("""COMPUTED_VALUE"""),5000.0)</f>
        <v>5000</v>
      </c>
      <c r="AS70" s="319">
        <f>IFERROR(__xludf.DUMMYFUNCTION("""COMPUTED_VALUE"""),5400.0)</f>
        <v>5400</v>
      </c>
      <c r="AT70" s="276" t="str">
        <f>IFERROR(__xludf.DUMMYFUNCTION("""COMPUTED_VALUE"""),"範囲(特大)")</f>
        <v>範囲(特大)</v>
      </c>
      <c r="AU70" s="316">
        <f>IFERROR(__xludf.DUMMYFUNCTION("""COMPUTED_VALUE"""),3.0)</f>
        <v>3</v>
      </c>
      <c r="AV70" s="342" t="str">
        <f>IFERROR(__xludf.DUMMYFUNCTION("""COMPUTED_VALUE"""),"効果値")</f>
        <v>効果値</v>
      </c>
      <c r="AW70" s="318">
        <f>IFERROR(__xludf.DUMMYFUNCTION("""COMPUTED_VALUE"""),1900.0)</f>
        <v>1900</v>
      </c>
      <c r="AX70" s="318">
        <f>IFERROR(__xludf.DUMMYFUNCTION("""COMPUTED_VALUE"""),2100.0)</f>
        <v>2100</v>
      </c>
      <c r="AY70" s="318">
        <f>IFERROR(__xludf.DUMMYFUNCTION("""COMPUTED_VALUE"""),2300.0)</f>
        <v>2300</v>
      </c>
      <c r="AZ70" s="318">
        <f>IFERROR(__xludf.DUMMYFUNCTION("""COMPUTED_VALUE"""),2500.0)</f>
        <v>2500</v>
      </c>
      <c r="BA70" s="318">
        <f>IFERROR(__xludf.DUMMYFUNCTION("""COMPUTED_VALUE"""),2700.0)</f>
        <v>2700</v>
      </c>
      <c r="BB70" s="318">
        <f>IFERROR(__xludf.DUMMYFUNCTION("""COMPUTED_VALUE"""),3400.0)</f>
        <v>3400</v>
      </c>
      <c r="BC70" s="318">
        <f>IFERROR(__xludf.DUMMYFUNCTION("""COMPUTED_VALUE"""),4500.0)</f>
        <v>4500</v>
      </c>
      <c r="BD70" s="319">
        <f>IFERROR(__xludf.DUMMYFUNCTION("""COMPUTED_VALUE"""),4900.0)</f>
        <v>4900</v>
      </c>
      <c r="BE70" s="279" t="str">
        <f>IFERROR(__xludf.DUMMYFUNCTION("""COMPUTED_VALUE"""),"範囲(小：威力減)")</f>
        <v>範囲(小：威力減)</v>
      </c>
      <c r="BF70" s="316">
        <f>IFERROR(__xludf.DUMMYFUNCTION("""COMPUTED_VALUE"""),3.0)</f>
        <v>3</v>
      </c>
      <c r="BG70" s="342" t="str">
        <f>IFERROR(__xludf.DUMMYFUNCTION("""COMPUTED_VALUE"""),"効果値")</f>
        <v>効果値</v>
      </c>
      <c r="BH70" s="318">
        <f>IFERROR(__xludf.DUMMYFUNCTION("""COMPUTED_VALUE"""),1900.0)</f>
        <v>1900</v>
      </c>
      <c r="BI70" s="318">
        <f>IFERROR(__xludf.DUMMYFUNCTION("""COMPUTED_VALUE"""),2100.0)</f>
        <v>2100</v>
      </c>
      <c r="BJ70" s="318">
        <f>IFERROR(__xludf.DUMMYFUNCTION("""COMPUTED_VALUE"""),2300.0)</f>
        <v>2300</v>
      </c>
      <c r="BK70" s="318">
        <f>IFERROR(__xludf.DUMMYFUNCTION("""COMPUTED_VALUE"""),2500.0)</f>
        <v>2500</v>
      </c>
      <c r="BL70" s="318">
        <f>IFERROR(__xludf.DUMMYFUNCTION("""COMPUTED_VALUE"""),2700.0)</f>
        <v>2700</v>
      </c>
      <c r="BM70" s="318">
        <f>IFERROR(__xludf.DUMMYFUNCTION("""COMPUTED_VALUE"""),3400.0)</f>
        <v>3400</v>
      </c>
      <c r="BN70" s="318">
        <f>IFERROR(__xludf.DUMMYFUNCTION("""COMPUTED_VALUE"""),4500.0)</f>
        <v>4500</v>
      </c>
      <c r="BO70" s="319">
        <f>IFERROR(__xludf.DUMMYFUNCTION("""COMPUTED_VALUE"""),4900.0)</f>
        <v>4900</v>
      </c>
    </row>
    <row r="71">
      <c r="A71" s="307" t="str">
        <f>IFERROR(__xludf.DUMMYFUNCTION("""COMPUTED_VALUE"""),"火傷")</f>
        <v>火傷</v>
      </c>
      <c r="B71" s="272" t="str">
        <f>IFERROR(__xludf.DUMMYFUNCTION("""COMPUTED_VALUE"""),"単体")</f>
        <v>単体</v>
      </c>
      <c r="C71" s="308">
        <f>IFERROR(__xludf.DUMMYFUNCTION("""COMPUTED_VALUE"""),3.0)</f>
        <v>3</v>
      </c>
      <c r="D71" s="274" t="str">
        <f>IFERROR(__xludf.DUMMYFUNCTION("""COMPUTED_VALUE"""),"効果時間")</f>
        <v>効果時間</v>
      </c>
      <c r="E71" s="317">
        <f>IFERROR(__xludf.DUMMYFUNCTION("""COMPUTED_VALUE"""),150.0)</f>
        <v>150</v>
      </c>
      <c r="F71" s="317">
        <f>IFERROR(__xludf.DUMMYFUNCTION("""COMPUTED_VALUE"""),150.0)</f>
        <v>150</v>
      </c>
      <c r="G71" s="317">
        <f>IFERROR(__xludf.DUMMYFUNCTION("""COMPUTED_VALUE"""),150.0)</f>
        <v>150</v>
      </c>
      <c r="H71" s="317">
        <f>IFERROR(__xludf.DUMMYFUNCTION("""COMPUTED_VALUE"""),150.0)</f>
        <v>150</v>
      </c>
      <c r="I71" s="317">
        <f>IFERROR(__xludf.DUMMYFUNCTION("""COMPUTED_VALUE"""),150.0)</f>
        <v>150</v>
      </c>
      <c r="J71" s="317">
        <f>IFERROR(__xludf.DUMMYFUNCTION("""COMPUTED_VALUE"""),300.0)</f>
        <v>300</v>
      </c>
      <c r="K71" s="317">
        <f>IFERROR(__xludf.DUMMYFUNCTION("""COMPUTED_VALUE"""),450.0)</f>
        <v>450</v>
      </c>
      <c r="L71" s="317">
        <f>IFERROR(__xludf.DUMMYFUNCTION("""COMPUTED_VALUE"""),450.0)</f>
        <v>450</v>
      </c>
      <c r="M71" s="276" t="str">
        <f>IFERROR(__xludf.DUMMYFUNCTION("""COMPUTED_VALUE"""),"範囲(小)")</f>
        <v>範囲(小)</v>
      </c>
      <c r="N71" s="308">
        <f>IFERROR(__xludf.DUMMYFUNCTION("""COMPUTED_VALUE"""),3.0)</f>
        <v>3</v>
      </c>
      <c r="O71" s="274" t="str">
        <f>IFERROR(__xludf.DUMMYFUNCTION("""COMPUTED_VALUE"""),"効果時間")</f>
        <v>効果時間</v>
      </c>
      <c r="P71" s="340">
        <f>IFERROR(__xludf.DUMMYFUNCTION("""COMPUTED_VALUE"""),150.0)</f>
        <v>150</v>
      </c>
      <c r="Q71" s="340">
        <f>IFERROR(__xludf.DUMMYFUNCTION("""COMPUTED_VALUE"""),150.0)</f>
        <v>150</v>
      </c>
      <c r="R71" s="340">
        <f>IFERROR(__xludf.DUMMYFUNCTION("""COMPUTED_VALUE"""),150.0)</f>
        <v>150</v>
      </c>
      <c r="S71" s="340">
        <f>IFERROR(__xludf.DUMMYFUNCTION("""COMPUTED_VALUE"""),150.0)</f>
        <v>150</v>
      </c>
      <c r="T71" s="340">
        <f>IFERROR(__xludf.DUMMYFUNCTION("""COMPUTED_VALUE"""),150.0)</f>
        <v>150</v>
      </c>
      <c r="U71" s="340">
        <f>IFERROR(__xludf.DUMMYFUNCTION("""COMPUTED_VALUE"""),300.0)</f>
        <v>300</v>
      </c>
      <c r="V71" s="340">
        <f>IFERROR(__xludf.DUMMYFUNCTION("""COMPUTED_VALUE"""),450.0)</f>
        <v>450</v>
      </c>
      <c r="W71" s="341">
        <f>IFERROR(__xludf.DUMMYFUNCTION("""COMPUTED_VALUE"""),450.0)</f>
        <v>450</v>
      </c>
      <c r="X71" s="276" t="str">
        <f>IFERROR(__xludf.DUMMYFUNCTION("""COMPUTED_VALUE"""),"範囲(中)")</f>
        <v>範囲(中)</v>
      </c>
      <c r="Y71" s="308">
        <f>IFERROR(__xludf.DUMMYFUNCTION("""COMPUTED_VALUE"""),3.0)</f>
        <v>3</v>
      </c>
      <c r="Z71" s="274" t="str">
        <f>IFERROR(__xludf.DUMMYFUNCTION("""COMPUTED_VALUE"""),"効果時間")</f>
        <v>効果時間</v>
      </c>
      <c r="AA71" s="340">
        <f>IFERROR(__xludf.DUMMYFUNCTION("""COMPUTED_VALUE"""),150.0)</f>
        <v>150</v>
      </c>
      <c r="AB71" s="340">
        <f>IFERROR(__xludf.DUMMYFUNCTION("""COMPUTED_VALUE"""),150.0)</f>
        <v>150</v>
      </c>
      <c r="AC71" s="340">
        <f>IFERROR(__xludf.DUMMYFUNCTION("""COMPUTED_VALUE"""),150.0)</f>
        <v>150</v>
      </c>
      <c r="AD71" s="340">
        <f>IFERROR(__xludf.DUMMYFUNCTION("""COMPUTED_VALUE"""),150.0)</f>
        <v>150</v>
      </c>
      <c r="AE71" s="340">
        <f>IFERROR(__xludf.DUMMYFUNCTION("""COMPUTED_VALUE"""),150.0)</f>
        <v>150</v>
      </c>
      <c r="AF71" s="340">
        <f>IFERROR(__xludf.DUMMYFUNCTION("""COMPUTED_VALUE"""),300.0)</f>
        <v>300</v>
      </c>
      <c r="AG71" s="340">
        <f>IFERROR(__xludf.DUMMYFUNCTION("""COMPUTED_VALUE"""),450.0)</f>
        <v>450</v>
      </c>
      <c r="AH71" s="341">
        <f>IFERROR(__xludf.DUMMYFUNCTION("""COMPUTED_VALUE"""),450.0)</f>
        <v>450</v>
      </c>
      <c r="AI71" s="276" t="str">
        <f>IFERROR(__xludf.DUMMYFUNCTION("""COMPUTED_VALUE"""),"範囲(大)")</f>
        <v>範囲(大)</v>
      </c>
      <c r="AJ71" s="308">
        <f>IFERROR(__xludf.DUMMYFUNCTION("""COMPUTED_VALUE"""),3.0)</f>
        <v>3</v>
      </c>
      <c r="AK71" s="274" t="str">
        <f>IFERROR(__xludf.DUMMYFUNCTION("""COMPUTED_VALUE"""),"効果時間")</f>
        <v>効果時間</v>
      </c>
      <c r="AL71" s="340">
        <f>IFERROR(__xludf.DUMMYFUNCTION("""COMPUTED_VALUE"""),150.0)</f>
        <v>150</v>
      </c>
      <c r="AM71" s="340">
        <f>IFERROR(__xludf.DUMMYFUNCTION("""COMPUTED_VALUE"""),150.0)</f>
        <v>150</v>
      </c>
      <c r="AN71" s="340">
        <f>IFERROR(__xludf.DUMMYFUNCTION("""COMPUTED_VALUE"""),150.0)</f>
        <v>150</v>
      </c>
      <c r="AO71" s="340">
        <f>IFERROR(__xludf.DUMMYFUNCTION("""COMPUTED_VALUE"""),150.0)</f>
        <v>150</v>
      </c>
      <c r="AP71" s="340">
        <f>IFERROR(__xludf.DUMMYFUNCTION("""COMPUTED_VALUE"""),150.0)</f>
        <v>150</v>
      </c>
      <c r="AQ71" s="340">
        <f>IFERROR(__xludf.DUMMYFUNCTION("""COMPUTED_VALUE"""),300.0)</f>
        <v>300</v>
      </c>
      <c r="AR71" s="340">
        <f>IFERROR(__xludf.DUMMYFUNCTION("""COMPUTED_VALUE"""),450.0)</f>
        <v>450</v>
      </c>
      <c r="AS71" s="341">
        <f>IFERROR(__xludf.DUMMYFUNCTION("""COMPUTED_VALUE"""),450.0)</f>
        <v>450</v>
      </c>
      <c r="AT71" s="276" t="str">
        <f>IFERROR(__xludf.DUMMYFUNCTION("""COMPUTED_VALUE"""),"範囲(特大)")</f>
        <v>範囲(特大)</v>
      </c>
      <c r="AU71" s="308">
        <f>IFERROR(__xludf.DUMMYFUNCTION("""COMPUTED_VALUE"""),3.0)</f>
        <v>3</v>
      </c>
      <c r="AV71" s="274" t="str">
        <f>IFERROR(__xludf.DUMMYFUNCTION("""COMPUTED_VALUE"""),"効果時間")</f>
        <v>効果時間</v>
      </c>
      <c r="AW71" s="340">
        <f>IFERROR(__xludf.DUMMYFUNCTION("""COMPUTED_VALUE"""),150.0)</f>
        <v>150</v>
      </c>
      <c r="AX71" s="340">
        <f>IFERROR(__xludf.DUMMYFUNCTION("""COMPUTED_VALUE"""),150.0)</f>
        <v>150</v>
      </c>
      <c r="AY71" s="340">
        <f>IFERROR(__xludf.DUMMYFUNCTION("""COMPUTED_VALUE"""),150.0)</f>
        <v>150</v>
      </c>
      <c r="AZ71" s="340">
        <f>IFERROR(__xludf.DUMMYFUNCTION("""COMPUTED_VALUE"""),150.0)</f>
        <v>150</v>
      </c>
      <c r="BA71" s="340">
        <f>IFERROR(__xludf.DUMMYFUNCTION("""COMPUTED_VALUE"""),150.0)</f>
        <v>150</v>
      </c>
      <c r="BB71" s="340">
        <f>IFERROR(__xludf.DUMMYFUNCTION("""COMPUTED_VALUE"""),300.0)</f>
        <v>300</v>
      </c>
      <c r="BC71" s="340">
        <f>IFERROR(__xludf.DUMMYFUNCTION("""COMPUTED_VALUE"""),450.0)</f>
        <v>450</v>
      </c>
      <c r="BD71" s="341">
        <f>IFERROR(__xludf.DUMMYFUNCTION("""COMPUTED_VALUE"""),450.0)</f>
        <v>450</v>
      </c>
      <c r="BE71" s="279" t="str">
        <f>IFERROR(__xludf.DUMMYFUNCTION("""COMPUTED_VALUE"""),"範囲(小：威力減)")</f>
        <v>範囲(小：威力減)</v>
      </c>
      <c r="BF71" s="308">
        <f>IFERROR(__xludf.DUMMYFUNCTION("""COMPUTED_VALUE"""),3.0)</f>
        <v>3</v>
      </c>
      <c r="BG71" s="274" t="str">
        <f>IFERROR(__xludf.DUMMYFUNCTION("""COMPUTED_VALUE"""),"効果時間")</f>
        <v>効果時間</v>
      </c>
      <c r="BH71" s="340">
        <f>IFERROR(__xludf.DUMMYFUNCTION("""COMPUTED_VALUE"""),150.0)</f>
        <v>150</v>
      </c>
      <c r="BI71" s="340">
        <f>IFERROR(__xludf.DUMMYFUNCTION("""COMPUTED_VALUE"""),150.0)</f>
        <v>150</v>
      </c>
      <c r="BJ71" s="340">
        <f>IFERROR(__xludf.DUMMYFUNCTION("""COMPUTED_VALUE"""),150.0)</f>
        <v>150</v>
      </c>
      <c r="BK71" s="340">
        <f>IFERROR(__xludf.DUMMYFUNCTION("""COMPUTED_VALUE"""),150.0)</f>
        <v>150</v>
      </c>
      <c r="BL71" s="340">
        <f>IFERROR(__xludf.DUMMYFUNCTION("""COMPUTED_VALUE"""),150.0)</f>
        <v>150</v>
      </c>
      <c r="BM71" s="340">
        <f>IFERROR(__xludf.DUMMYFUNCTION("""COMPUTED_VALUE"""),300.0)</f>
        <v>300</v>
      </c>
      <c r="BN71" s="340">
        <f>IFERROR(__xludf.DUMMYFUNCTION("""COMPUTED_VALUE"""),450.0)</f>
        <v>450</v>
      </c>
      <c r="BO71" s="341">
        <f>IFERROR(__xludf.DUMMYFUNCTION("""COMPUTED_VALUE"""),450.0)</f>
        <v>450</v>
      </c>
    </row>
    <row r="72">
      <c r="A72" s="307" t="str">
        <f>IFERROR(__xludf.DUMMYFUNCTION("""COMPUTED_VALUE"""),"火傷")</f>
        <v>火傷</v>
      </c>
      <c r="B72" s="272" t="str">
        <f>IFERROR(__xludf.DUMMYFUNCTION("""COMPUTED_VALUE"""),"単体")</f>
        <v>単体</v>
      </c>
      <c r="C72" s="308">
        <f>IFERROR(__xludf.DUMMYFUNCTION("""COMPUTED_VALUE"""),3.0)</f>
        <v>3</v>
      </c>
      <c r="D72" s="274" t="str">
        <f>IFERROR(__xludf.DUMMYFUNCTION("""COMPUTED_VALUE"""),"発動確率")</f>
        <v>発動確率</v>
      </c>
      <c r="E72" s="309">
        <f>IFERROR(__xludf.DUMMYFUNCTION("""COMPUTED_VALUE"""),100.0)</f>
        <v>100</v>
      </c>
      <c r="F72" s="309">
        <f>IFERROR(__xludf.DUMMYFUNCTION("""COMPUTED_VALUE"""),100.0)</f>
        <v>100</v>
      </c>
      <c r="G72" s="309">
        <f>IFERROR(__xludf.DUMMYFUNCTION("""COMPUTED_VALUE"""),100.0)</f>
        <v>100</v>
      </c>
      <c r="H72" s="309">
        <f>IFERROR(__xludf.DUMMYFUNCTION("""COMPUTED_VALUE"""),100.0)</f>
        <v>100</v>
      </c>
      <c r="I72" s="309">
        <f>IFERROR(__xludf.DUMMYFUNCTION("""COMPUTED_VALUE"""),100.0)</f>
        <v>100</v>
      </c>
      <c r="J72" s="309">
        <f>IFERROR(__xludf.DUMMYFUNCTION("""COMPUTED_VALUE"""),100.0)</f>
        <v>100</v>
      </c>
      <c r="K72" s="309">
        <f>IFERROR(__xludf.DUMMYFUNCTION("""COMPUTED_VALUE"""),100.0)</f>
        <v>100</v>
      </c>
      <c r="L72" s="309">
        <f>IFERROR(__xludf.DUMMYFUNCTION("""COMPUTED_VALUE"""),100.0)</f>
        <v>100</v>
      </c>
      <c r="M72" s="276" t="str">
        <f>IFERROR(__xludf.DUMMYFUNCTION("""COMPUTED_VALUE"""),"範囲(小)")</f>
        <v>範囲(小)</v>
      </c>
      <c r="N72" s="308">
        <f>IFERROR(__xludf.DUMMYFUNCTION("""COMPUTED_VALUE"""),3.0)</f>
        <v>3</v>
      </c>
      <c r="O72" s="274" t="str">
        <f>IFERROR(__xludf.DUMMYFUNCTION("""COMPUTED_VALUE"""),"発動確率")</f>
        <v>発動確率</v>
      </c>
      <c r="P72" s="321">
        <f>IFERROR(__xludf.DUMMYFUNCTION("""COMPUTED_VALUE"""),100.0)</f>
        <v>100</v>
      </c>
      <c r="Q72" s="321">
        <f>IFERROR(__xludf.DUMMYFUNCTION("""COMPUTED_VALUE"""),100.0)</f>
        <v>100</v>
      </c>
      <c r="R72" s="321">
        <f>IFERROR(__xludf.DUMMYFUNCTION("""COMPUTED_VALUE"""),100.0)</f>
        <v>100</v>
      </c>
      <c r="S72" s="321">
        <f>IFERROR(__xludf.DUMMYFUNCTION("""COMPUTED_VALUE"""),100.0)</f>
        <v>100</v>
      </c>
      <c r="T72" s="321">
        <f>IFERROR(__xludf.DUMMYFUNCTION("""COMPUTED_VALUE"""),100.0)</f>
        <v>100</v>
      </c>
      <c r="U72" s="321">
        <f>IFERROR(__xludf.DUMMYFUNCTION("""COMPUTED_VALUE"""),100.0)</f>
        <v>100</v>
      </c>
      <c r="V72" s="321">
        <f>IFERROR(__xludf.DUMMYFUNCTION("""COMPUTED_VALUE"""),100.0)</f>
        <v>100</v>
      </c>
      <c r="W72" s="324">
        <f>IFERROR(__xludf.DUMMYFUNCTION("""COMPUTED_VALUE"""),100.0)</f>
        <v>100</v>
      </c>
      <c r="X72" s="276" t="str">
        <f>IFERROR(__xludf.DUMMYFUNCTION("""COMPUTED_VALUE"""),"範囲(中)")</f>
        <v>範囲(中)</v>
      </c>
      <c r="Y72" s="308">
        <f>IFERROR(__xludf.DUMMYFUNCTION("""COMPUTED_VALUE"""),3.0)</f>
        <v>3</v>
      </c>
      <c r="Z72" s="274" t="str">
        <f>IFERROR(__xludf.DUMMYFUNCTION("""COMPUTED_VALUE"""),"発動確率")</f>
        <v>発動確率</v>
      </c>
      <c r="AA72" s="321">
        <f>IFERROR(__xludf.DUMMYFUNCTION("""COMPUTED_VALUE"""),100.0)</f>
        <v>100</v>
      </c>
      <c r="AB72" s="321">
        <f>IFERROR(__xludf.DUMMYFUNCTION("""COMPUTED_VALUE"""),100.0)</f>
        <v>100</v>
      </c>
      <c r="AC72" s="321">
        <f>IFERROR(__xludf.DUMMYFUNCTION("""COMPUTED_VALUE"""),100.0)</f>
        <v>100</v>
      </c>
      <c r="AD72" s="321">
        <f>IFERROR(__xludf.DUMMYFUNCTION("""COMPUTED_VALUE"""),100.0)</f>
        <v>100</v>
      </c>
      <c r="AE72" s="321">
        <f>IFERROR(__xludf.DUMMYFUNCTION("""COMPUTED_VALUE"""),100.0)</f>
        <v>100</v>
      </c>
      <c r="AF72" s="321">
        <f>IFERROR(__xludf.DUMMYFUNCTION("""COMPUTED_VALUE"""),100.0)</f>
        <v>100</v>
      </c>
      <c r="AG72" s="321">
        <f>IFERROR(__xludf.DUMMYFUNCTION("""COMPUTED_VALUE"""),100.0)</f>
        <v>100</v>
      </c>
      <c r="AH72" s="324">
        <f>IFERROR(__xludf.DUMMYFUNCTION("""COMPUTED_VALUE"""),100.0)</f>
        <v>100</v>
      </c>
      <c r="AI72" s="276" t="str">
        <f>IFERROR(__xludf.DUMMYFUNCTION("""COMPUTED_VALUE"""),"範囲(大)")</f>
        <v>範囲(大)</v>
      </c>
      <c r="AJ72" s="308">
        <f>IFERROR(__xludf.DUMMYFUNCTION("""COMPUTED_VALUE"""),3.0)</f>
        <v>3</v>
      </c>
      <c r="AK72" s="274" t="str">
        <f>IFERROR(__xludf.DUMMYFUNCTION("""COMPUTED_VALUE"""),"発動確率")</f>
        <v>発動確率</v>
      </c>
      <c r="AL72" s="321">
        <f>IFERROR(__xludf.DUMMYFUNCTION("""COMPUTED_VALUE"""),100.0)</f>
        <v>100</v>
      </c>
      <c r="AM72" s="321">
        <f>IFERROR(__xludf.DUMMYFUNCTION("""COMPUTED_VALUE"""),100.0)</f>
        <v>100</v>
      </c>
      <c r="AN72" s="321">
        <f>IFERROR(__xludf.DUMMYFUNCTION("""COMPUTED_VALUE"""),100.0)</f>
        <v>100</v>
      </c>
      <c r="AO72" s="321">
        <f>IFERROR(__xludf.DUMMYFUNCTION("""COMPUTED_VALUE"""),100.0)</f>
        <v>100</v>
      </c>
      <c r="AP72" s="321">
        <f>IFERROR(__xludf.DUMMYFUNCTION("""COMPUTED_VALUE"""),100.0)</f>
        <v>100</v>
      </c>
      <c r="AQ72" s="321">
        <f>IFERROR(__xludf.DUMMYFUNCTION("""COMPUTED_VALUE"""),100.0)</f>
        <v>100</v>
      </c>
      <c r="AR72" s="321">
        <f>IFERROR(__xludf.DUMMYFUNCTION("""COMPUTED_VALUE"""),100.0)</f>
        <v>100</v>
      </c>
      <c r="AS72" s="324">
        <f>IFERROR(__xludf.DUMMYFUNCTION("""COMPUTED_VALUE"""),100.0)</f>
        <v>100</v>
      </c>
      <c r="AT72" s="276" t="str">
        <f>IFERROR(__xludf.DUMMYFUNCTION("""COMPUTED_VALUE"""),"範囲(特大)")</f>
        <v>範囲(特大)</v>
      </c>
      <c r="AU72" s="308">
        <f>IFERROR(__xludf.DUMMYFUNCTION("""COMPUTED_VALUE"""),3.0)</f>
        <v>3</v>
      </c>
      <c r="AV72" s="274" t="str">
        <f>IFERROR(__xludf.DUMMYFUNCTION("""COMPUTED_VALUE"""),"発動確率")</f>
        <v>発動確率</v>
      </c>
      <c r="AW72" s="321">
        <f>IFERROR(__xludf.DUMMYFUNCTION("""COMPUTED_VALUE"""),100.0)</f>
        <v>100</v>
      </c>
      <c r="AX72" s="321">
        <f>IFERROR(__xludf.DUMMYFUNCTION("""COMPUTED_VALUE"""),100.0)</f>
        <v>100</v>
      </c>
      <c r="AY72" s="321">
        <f>IFERROR(__xludf.DUMMYFUNCTION("""COMPUTED_VALUE"""),100.0)</f>
        <v>100</v>
      </c>
      <c r="AZ72" s="321">
        <f>IFERROR(__xludf.DUMMYFUNCTION("""COMPUTED_VALUE"""),100.0)</f>
        <v>100</v>
      </c>
      <c r="BA72" s="321">
        <f>IFERROR(__xludf.DUMMYFUNCTION("""COMPUTED_VALUE"""),100.0)</f>
        <v>100</v>
      </c>
      <c r="BB72" s="321">
        <f>IFERROR(__xludf.DUMMYFUNCTION("""COMPUTED_VALUE"""),100.0)</f>
        <v>100</v>
      </c>
      <c r="BC72" s="321">
        <f>IFERROR(__xludf.DUMMYFUNCTION("""COMPUTED_VALUE"""),100.0)</f>
        <v>100</v>
      </c>
      <c r="BD72" s="324">
        <f>IFERROR(__xludf.DUMMYFUNCTION("""COMPUTED_VALUE"""),100.0)</f>
        <v>100</v>
      </c>
      <c r="BE72" s="279" t="str">
        <f>IFERROR(__xludf.DUMMYFUNCTION("""COMPUTED_VALUE"""),"範囲(小：威力減)")</f>
        <v>範囲(小：威力減)</v>
      </c>
      <c r="BF72" s="308">
        <f>IFERROR(__xludf.DUMMYFUNCTION("""COMPUTED_VALUE"""),3.0)</f>
        <v>3</v>
      </c>
      <c r="BG72" s="274" t="str">
        <f>IFERROR(__xludf.DUMMYFUNCTION("""COMPUTED_VALUE"""),"発動確率")</f>
        <v>発動確率</v>
      </c>
      <c r="BH72" s="321">
        <f>IFERROR(__xludf.DUMMYFUNCTION("""COMPUTED_VALUE"""),100.0)</f>
        <v>100</v>
      </c>
      <c r="BI72" s="321">
        <f>IFERROR(__xludf.DUMMYFUNCTION("""COMPUTED_VALUE"""),100.0)</f>
        <v>100</v>
      </c>
      <c r="BJ72" s="321">
        <f>IFERROR(__xludf.DUMMYFUNCTION("""COMPUTED_VALUE"""),100.0)</f>
        <v>100</v>
      </c>
      <c r="BK72" s="321">
        <f>IFERROR(__xludf.DUMMYFUNCTION("""COMPUTED_VALUE"""),100.0)</f>
        <v>100</v>
      </c>
      <c r="BL72" s="321">
        <f>IFERROR(__xludf.DUMMYFUNCTION("""COMPUTED_VALUE"""),100.0)</f>
        <v>100</v>
      </c>
      <c r="BM72" s="321">
        <f>IFERROR(__xludf.DUMMYFUNCTION("""COMPUTED_VALUE"""),100.0)</f>
        <v>100</v>
      </c>
      <c r="BN72" s="321">
        <f>IFERROR(__xludf.DUMMYFUNCTION("""COMPUTED_VALUE"""),100.0)</f>
        <v>100</v>
      </c>
      <c r="BO72" s="324">
        <f>IFERROR(__xludf.DUMMYFUNCTION("""COMPUTED_VALUE"""),100.0)</f>
        <v>100</v>
      </c>
    </row>
    <row r="73">
      <c r="A73" s="307" t="str">
        <f>IFERROR(__xludf.DUMMYFUNCTION("""COMPUTED_VALUE"""),"火傷")</f>
        <v>火傷</v>
      </c>
      <c r="B73" s="272" t="str">
        <f>IFERROR(__xludf.DUMMYFUNCTION("""COMPUTED_VALUE"""),"単体")</f>
        <v>単体</v>
      </c>
      <c r="C73" s="316">
        <f>IFERROR(__xludf.DUMMYFUNCTION("""COMPUTED_VALUE"""),4.0)</f>
        <v>4</v>
      </c>
      <c r="D73" s="342" t="str">
        <f>IFERROR(__xludf.DUMMYFUNCTION("""COMPUTED_VALUE"""),"効果値")</f>
        <v>効果値</v>
      </c>
      <c r="E73" s="280">
        <f>IFERROR(__xludf.DUMMYFUNCTION("""COMPUTED_VALUE"""),4300.0)</f>
        <v>4300</v>
      </c>
      <c r="F73" s="280">
        <f>IFERROR(__xludf.DUMMYFUNCTION("""COMPUTED_VALUE"""),4800.0)</f>
        <v>4800</v>
      </c>
      <c r="G73" s="280">
        <f>IFERROR(__xludf.DUMMYFUNCTION("""COMPUTED_VALUE"""),5200.0)</f>
        <v>5200</v>
      </c>
      <c r="H73" s="280">
        <f>IFERROR(__xludf.DUMMYFUNCTION("""COMPUTED_VALUE"""),5600.0)</f>
        <v>5600</v>
      </c>
      <c r="I73" s="280">
        <f>IFERROR(__xludf.DUMMYFUNCTION("""COMPUTED_VALUE"""),6000.0)</f>
        <v>6000</v>
      </c>
      <c r="J73" s="280">
        <f>IFERROR(__xludf.DUMMYFUNCTION("""COMPUTED_VALUE"""),7700.0)</f>
        <v>7700</v>
      </c>
      <c r="K73" s="280">
        <f>IFERROR(__xludf.DUMMYFUNCTION("""COMPUTED_VALUE"""),10200.0)</f>
        <v>10200</v>
      </c>
      <c r="L73" s="280">
        <f>IFERROR(__xludf.DUMMYFUNCTION("""COMPUTED_VALUE"""),11100.0)</f>
        <v>11100</v>
      </c>
      <c r="M73" s="276" t="str">
        <f>IFERROR(__xludf.DUMMYFUNCTION("""COMPUTED_VALUE"""),"範囲(小)")</f>
        <v>範囲(小)</v>
      </c>
      <c r="N73" s="316">
        <f>IFERROR(__xludf.DUMMYFUNCTION("""COMPUTED_VALUE"""),4.0)</f>
        <v>4</v>
      </c>
      <c r="O73" s="342" t="str">
        <f>IFERROR(__xludf.DUMMYFUNCTION("""COMPUTED_VALUE"""),"効果値")</f>
        <v>効果値</v>
      </c>
      <c r="P73" s="318">
        <f>IFERROR(__xludf.DUMMYFUNCTION("""COMPUTED_VALUE"""),3300.0)</f>
        <v>3300</v>
      </c>
      <c r="Q73" s="318">
        <f>IFERROR(__xludf.DUMMYFUNCTION("""COMPUTED_VALUE"""),3600.0)</f>
        <v>3600</v>
      </c>
      <c r="R73" s="318">
        <f>IFERROR(__xludf.DUMMYFUNCTION("""COMPUTED_VALUE"""),3900.0)</f>
        <v>3900</v>
      </c>
      <c r="S73" s="318">
        <f>IFERROR(__xludf.DUMMYFUNCTION("""COMPUTED_VALUE"""),4200.0)</f>
        <v>4200</v>
      </c>
      <c r="T73" s="318">
        <f>IFERROR(__xludf.DUMMYFUNCTION("""COMPUTED_VALUE"""),4500.0)</f>
        <v>4500</v>
      </c>
      <c r="U73" s="318">
        <f>IFERROR(__xludf.DUMMYFUNCTION("""COMPUTED_VALUE"""),5800.0)</f>
        <v>5800</v>
      </c>
      <c r="V73" s="318">
        <f>IFERROR(__xludf.DUMMYFUNCTION("""COMPUTED_VALUE"""),7700.0)</f>
        <v>7700</v>
      </c>
      <c r="W73" s="319">
        <f>IFERROR(__xludf.DUMMYFUNCTION("""COMPUTED_VALUE"""),8400.0)</f>
        <v>8400</v>
      </c>
      <c r="X73" s="276" t="str">
        <f>IFERROR(__xludf.DUMMYFUNCTION("""COMPUTED_VALUE"""),"範囲(中)")</f>
        <v>範囲(中)</v>
      </c>
      <c r="Y73" s="316">
        <f>IFERROR(__xludf.DUMMYFUNCTION("""COMPUTED_VALUE"""),4.0)</f>
        <v>4</v>
      </c>
      <c r="Z73" s="342" t="str">
        <f>IFERROR(__xludf.DUMMYFUNCTION("""COMPUTED_VALUE"""),"効果値")</f>
        <v>効果値</v>
      </c>
      <c r="AA73" s="318">
        <f>IFERROR(__xludf.DUMMYFUNCTION("""COMPUTED_VALUE"""),2800.0)</f>
        <v>2800</v>
      </c>
      <c r="AB73" s="318">
        <f>IFERROR(__xludf.DUMMYFUNCTION("""COMPUTED_VALUE"""),3200.0)</f>
        <v>3200</v>
      </c>
      <c r="AC73" s="318">
        <f>IFERROR(__xludf.DUMMYFUNCTION("""COMPUTED_VALUE"""),3400.0)</f>
        <v>3400</v>
      </c>
      <c r="AD73" s="318">
        <f>IFERROR(__xludf.DUMMYFUNCTION("""COMPUTED_VALUE"""),3700.0)</f>
        <v>3700</v>
      </c>
      <c r="AE73" s="318">
        <f>IFERROR(__xludf.DUMMYFUNCTION("""COMPUTED_VALUE"""),3900.0)</f>
        <v>3900</v>
      </c>
      <c r="AF73" s="318">
        <f>IFERROR(__xludf.DUMMYFUNCTION("""COMPUTED_VALUE"""),5100.0)</f>
        <v>5100</v>
      </c>
      <c r="AG73" s="318">
        <f>IFERROR(__xludf.DUMMYFUNCTION("""COMPUTED_VALUE"""),6700.0)</f>
        <v>6700</v>
      </c>
      <c r="AH73" s="319">
        <f>IFERROR(__xludf.DUMMYFUNCTION("""COMPUTED_VALUE"""),7300.0)</f>
        <v>7300</v>
      </c>
      <c r="AI73" s="276" t="str">
        <f>IFERROR(__xludf.DUMMYFUNCTION("""COMPUTED_VALUE"""),"範囲(大)")</f>
        <v>範囲(大)</v>
      </c>
      <c r="AJ73" s="316">
        <f>IFERROR(__xludf.DUMMYFUNCTION("""COMPUTED_VALUE"""),4.0)</f>
        <v>4</v>
      </c>
      <c r="AK73" s="342" t="str">
        <f>IFERROR(__xludf.DUMMYFUNCTION("""COMPUTED_VALUE"""),"効果値")</f>
        <v>効果値</v>
      </c>
      <c r="AL73" s="318">
        <f>IFERROR(__xludf.DUMMYFUNCTION("""COMPUTED_VALUE"""),2400.0)</f>
        <v>2400</v>
      </c>
      <c r="AM73" s="318">
        <f>IFERROR(__xludf.DUMMYFUNCTION("""COMPUTED_VALUE"""),2700.0)</f>
        <v>2700</v>
      </c>
      <c r="AN73" s="318">
        <f>IFERROR(__xludf.DUMMYFUNCTION("""COMPUTED_VALUE"""),2900.0)</f>
        <v>2900</v>
      </c>
      <c r="AO73" s="318">
        <f>IFERROR(__xludf.DUMMYFUNCTION("""COMPUTED_VALUE"""),3100.0)</f>
        <v>3100</v>
      </c>
      <c r="AP73" s="318">
        <f>IFERROR(__xludf.DUMMYFUNCTION("""COMPUTED_VALUE"""),3300.0)</f>
        <v>3300</v>
      </c>
      <c r="AQ73" s="318">
        <f>IFERROR(__xludf.DUMMYFUNCTION("""COMPUTED_VALUE"""),4300.0)</f>
        <v>4300</v>
      </c>
      <c r="AR73" s="318">
        <f>IFERROR(__xludf.DUMMYFUNCTION("""COMPUTED_VALUE"""),5700.0)</f>
        <v>5700</v>
      </c>
      <c r="AS73" s="319">
        <f>IFERROR(__xludf.DUMMYFUNCTION("""COMPUTED_VALUE"""),6200.0)</f>
        <v>6200</v>
      </c>
      <c r="AT73" s="276" t="str">
        <f>IFERROR(__xludf.DUMMYFUNCTION("""COMPUTED_VALUE"""),"範囲(特大)")</f>
        <v>範囲(特大)</v>
      </c>
      <c r="AU73" s="316">
        <f>IFERROR(__xludf.DUMMYFUNCTION("""COMPUTED_VALUE"""),4.0)</f>
        <v>4</v>
      </c>
      <c r="AV73" s="342" t="str">
        <f>IFERROR(__xludf.DUMMYFUNCTION("""COMPUTED_VALUE"""),"効果値")</f>
        <v>効果値</v>
      </c>
      <c r="AW73" s="318">
        <f>IFERROR(__xludf.DUMMYFUNCTION("""COMPUTED_VALUE"""),2200.0)</f>
        <v>2200</v>
      </c>
      <c r="AX73" s="318">
        <f>IFERROR(__xludf.DUMMYFUNCTION("""COMPUTED_VALUE"""),2400.0)</f>
        <v>2400</v>
      </c>
      <c r="AY73" s="318">
        <f>IFERROR(__xludf.DUMMYFUNCTION("""COMPUTED_VALUE"""),2600.0)</f>
        <v>2600</v>
      </c>
      <c r="AZ73" s="318">
        <f>IFERROR(__xludf.DUMMYFUNCTION("""COMPUTED_VALUE"""),2800.0)</f>
        <v>2800</v>
      </c>
      <c r="BA73" s="318">
        <f>IFERROR(__xludf.DUMMYFUNCTION("""COMPUTED_VALUE"""),3000.0)</f>
        <v>3000</v>
      </c>
      <c r="BB73" s="318">
        <f>IFERROR(__xludf.DUMMYFUNCTION("""COMPUTED_VALUE"""),3900.0)</f>
        <v>3900</v>
      </c>
      <c r="BC73" s="318">
        <f>IFERROR(__xludf.DUMMYFUNCTION("""COMPUTED_VALUE"""),5100.0)</f>
        <v>5100</v>
      </c>
      <c r="BD73" s="319">
        <f>IFERROR(__xludf.DUMMYFUNCTION("""COMPUTED_VALUE"""),5600.0)</f>
        <v>5600</v>
      </c>
      <c r="BE73" s="279" t="str">
        <f>IFERROR(__xludf.DUMMYFUNCTION("""COMPUTED_VALUE"""),"範囲(小：威力減)")</f>
        <v>範囲(小：威力減)</v>
      </c>
      <c r="BF73" s="316">
        <f>IFERROR(__xludf.DUMMYFUNCTION("""COMPUTED_VALUE"""),4.0)</f>
        <v>4</v>
      </c>
      <c r="BG73" s="342" t="str">
        <f>IFERROR(__xludf.DUMMYFUNCTION("""COMPUTED_VALUE"""),"効果値")</f>
        <v>効果値</v>
      </c>
      <c r="BH73" s="318">
        <f>IFERROR(__xludf.DUMMYFUNCTION("""COMPUTED_VALUE"""),2200.0)</f>
        <v>2200</v>
      </c>
      <c r="BI73" s="318">
        <f>IFERROR(__xludf.DUMMYFUNCTION("""COMPUTED_VALUE"""),2400.0)</f>
        <v>2400</v>
      </c>
      <c r="BJ73" s="318">
        <f>IFERROR(__xludf.DUMMYFUNCTION("""COMPUTED_VALUE"""),2600.0)</f>
        <v>2600</v>
      </c>
      <c r="BK73" s="318">
        <f>IFERROR(__xludf.DUMMYFUNCTION("""COMPUTED_VALUE"""),2800.0)</f>
        <v>2800</v>
      </c>
      <c r="BL73" s="318">
        <f>IFERROR(__xludf.DUMMYFUNCTION("""COMPUTED_VALUE"""),3000.0)</f>
        <v>3000</v>
      </c>
      <c r="BM73" s="318">
        <f>IFERROR(__xludf.DUMMYFUNCTION("""COMPUTED_VALUE"""),3900.0)</f>
        <v>3900</v>
      </c>
      <c r="BN73" s="318">
        <f>IFERROR(__xludf.DUMMYFUNCTION("""COMPUTED_VALUE"""),5100.0)</f>
        <v>5100</v>
      </c>
      <c r="BO73" s="319">
        <f>IFERROR(__xludf.DUMMYFUNCTION("""COMPUTED_VALUE"""),5600.0)</f>
        <v>5600</v>
      </c>
    </row>
    <row r="74">
      <c r="A74" s="307" t="str">
        <f>IFERROR(__xludf.DUMMYFUNCTION("""COMPUTED_VALUE"""),"火傷")</f>
        <v>火傷</v>
      </c>
      <c r="B74" s="272" t="str">
        <f>IFERROR(__xludf.DUMMYFUNCTION("""COMPUTED_VALUE"""),"単体")</f>
        <v>単体</v>
      </c>
      <c r="C74" s="308">
        <f>IFERROR(__xludf.DUMMYFUNCTION("""COMPUTED_VALUE"""),4.0)</f>
        <v>4</v>
      </c>
      <c r="D74" s="274" t="str">
        <f>IFERROR(__xludf.DUMMYFUNCTION("""COMPUTED_VALUE"""),"効果時間")</f>
        <v>効果時間</v>
      </c>
      <c r="E74" s="317">
        <f>IFERROR(__xludf.DUMMYFUNCTION("""COMPUTED_VALUE"""),150.0)</f>
        <v>150</v>
      </c>
      <c r="F74" s="317">
        <f>IFERROR(__xludf.DUMMYFUNCTION("""COMPUTED_VALUE"""),150.0)</f>
        <v>150</v>
      </c>
      <c r="G74" s="317">
        <f>IFERROR(__xludf.DUMMYFUNCTION("""COMPUTED_VALUE"""),150.0)</f>
        <v>150</v>
      </c>
      <c r="H74" s="317">
        <f>IFERROR(__xludf.DUMMYFUNCTION("""COMPUTED_VALUE"""),150.0)</f>
        <v>150</v>
      </c>
      <c r="I74" s="317">
        <f>IFERROR(__xludf.DUMMYFUNCTION("""COMPUTED_VALUE"""),150.0)</f>
        <v>150</v>
      </c>
      <c r="J74" s="317">
        <f>IFERROR(__xludf.DUMMYFUNCTION("""COMPUTED_VALUE"""),300.0)</f>
        <v>300</v>
      </c>
      <c r="K74" s="317">
        <f>IFERROR(__xludf.DUMMYFUNCTION("""COMPUTED_VALUE"""),450.0)</f>
        <v>450</v>
      </c>
      <c r="L74" s="317">
        <f>IFERROR(__xludf.DUMMYFUNCTION("""COMPUTED_VALUE"""),450.0)</f>
        <v>450</v>
      </c>
      <c r="M74" s="276" t="str">
        <f>IFERROR(__xludf.DUMMYFUNCTION("""COMPUTED_VALUE"""),"範囲(小)")</f>
        <v>範囲(小)</v>
      </c>
      <c r="N74" s="308">
        <f>IFERROR(__xludf.DUMMYFUNCTION("""COMPUTED_VALUE"""),4.0)</f>
        <v>4</v>
      </c>
      <c r="O74" s="274" t="str">
        <f>IFERROR(__xludf.DUMMYFUNCTION("""COMPUTED_VALUE"""),"効果時間")</f>
        <v>効果時間</v>
      </c>
      <c r="P74" s="340">
        <f>IFERROR(__xludf.DUMMYFUNCTION("""COMPUTED_VALUE"""),150.0)</f>
        <v>150</v>
      </c>
      <c r="Q74" s="340">
        <f>IFERROR(__xludf.DUMMYFUNCTION("""COMPUTED_VALUE"""),150.0)</f>
        <v>150</v>
      </c>
      <c r="R74" s="340">
        <f>IFERROR(__xludf.DUMMYFUNCTION("""COMPUTED_VALUE"""),150.0)</f>
        <v>150</v>
      </c>
      <c r="S74" s="340">
        <f>IFERROR(__xludf.DUMMYFUNCTION("""COMPUTED_VALUE"""),150.0)</f>
        <v>150</v>
      </c>
      <c r="T74" s="340">
        <f>IFERROR(__xludf.DUMMYFUNCTION("""COMPUTED_VALUE"""),150.0)</f>
        <v>150</v>
      </c>
      <c r="U74" s="340">
        <f>IFERROR(__xludf.DUMMYFUNCTION("""COMPUTED_VALUE"""),300.0)</f>
        <v>300</v>
      </c>
      <c r="V74" s="340">
        <f>IFERROR(__xludf.DUMMYFUNCTION("""COMPUTED_VALUE"""),450.0)</f>
        <v>450</v>
      </c>
      <c r="W74" s="341">
        <f>IFERROR(__xludf.DUMMYFUNCTION("""COMPUTED_VALUE"""),450.0)</f>
        <v>450</v>
      </c>
      <c r="X74" s="276" t="str">
        <f>IFERROR(__xludf.DUMMYFUNCTION("""COMPUTED_VALUE"""),"範囲(中)")</f>
        <v>範囲(中)</v>
      </c>
      <c r="Y74" s="308">
        <f>IFERROR(__xludf.DUMMYFUNCTION("""COMPUTED_VALUE"""),4.0)</f>
        <v>4</v>
      </c>
      <c r="Z74" s="274" t="str">
        <f>IFERROR(__xludf.DUMMYFUNCTION("""COMPUTED_VALUE"""),"効果時間")</f>
        <v>効果時間</v>
      </c>
      <c r="AA74" s="340">
        <f>IFERROR(__xludf.DUMMYFUNCTION("""COMPUTED_VALUE"""),150.0)</f>
        <v>150</v>
      </c>
      <c r="AB74" s="340">
        <f>IFERROR(__xludf.DUMMYFUNCTION("""COMPUTED_VALUE"""),150.0)</f>
        <v>150</v>
      </c>
      <c r="AC74" s="340">
        <f>IFERROR(__xludf.DUMMYFUNCTION("""COMPUTED_VALUE"""),150.0)</f>
        <v>150</v>
      </c>
      <c r="AD74" s="340">
        <f>IFERROR(__xludf.DUMMYFUNCTION("""COMPUTED_VALUE"""),150.0)</f>
        <v>150</v>
      </c>
      <c r="AE74" s="340">
        <f>IFERROR(__xludf.DUMMYFUNCTION("""COMPUTED_VALUE"""),150.0)</f>
        <v>150</v>
      </c>
      <c r="AF74" s="340">
        <f>IFERROR(__xludf.DUMMYFUNCTION("""COMPUTED_VALUE"""),300.0)</f>
        <v>300</v>
      </c>
      <c r="AG74" s="340">
        <f>IFERROR(__xludf.DUMMYFUNCTION("""COMPUTED_VALUE"""),450.0)</f>
        <v>450</v>
      </c>
      <c r="AH74" s="341">
        <f>IFERROR(__xludf.DUMMYFUNCTION("""COMPUTED_VALUE"""),450.0)</f>
        <v>450</v>
      </c>
      <c r="AI74" s="276" t="str">
        <f>IFERROR(__xludf.DUMMYFUNCTION("""COMPUTED_VALUE"""),"範囲(大)")</f>
        <v>範囲(大)</v>
      </c>
      <c r="AJ74" s="308">
        <f>IFERROR(__xludf.DUMMYFUNCTION("""COMPUTED_VALUE"""),4.0)</f>
        <v>4</v>
      </c>
      <c r="AK74" s="274" t="str">
        <f>IFERROR(__xludf.DUMMYFUNCTION("""COMPUTED_VALUE"""),"効果時間")</f>
        <v>効果時間</v>
      </c>
      <c r="AL74" s="340">
        <f>IFERROR(__xludf.DUMMYFUNCTION("""COMPUTED_VALUE"""),150.0)</f>
        <v>150</v>
      </c>
      <c r="AM74" s="340">
        <f>IFERROR(__xludf.DUMMYFUNCTION("""COMPUTED_VALUE"""),150.0)</f>
        <v>150</v>
      </c>
      <c r="AN74" s="340">
        <f>IFERROR(__xludf.DUMMYFUNCTION("""COMPUTED_VALUE"""),150.0)</f>
        <v>150</v>
      </c>
      <c r="AO74" s="340">
        <f>IFERROR(__xludf.DUMMYFUNCTION("""COMPUTED_VALUE"""),150.0)</f>
        <v>150</v>
      </c>
      <c r="AP74" s="340">
        <f>IFERROR(__xludf.DUMMYFUNCTION("""COMPUTED_VALUE"""),150.0)</f>
        <v>150</v>
      </c>
      <c r="AQ74" s="340">
        <f>IFERROR(__xludf.DUMMYFUNCTION("""COMPUTED_VALUE"""),300.0)</f>
        <v>300</v>
      </c>
      <c r="AR74" s="340">
        <f>IFERROR(__xludf.DUMMYFUNCTION("""COMPUTED_VALUE"""),450.0)</f>
        <v>450</v>
      </c>
      <c r="AS74" s="341">
        <f>IFERROR(__xludf.DUMMYFUNCTION("""COMPUTED_VALUE"""),450.0)</f>
        <v>450</v>
      </c>
      <c r="AT74" s="276" t="str">
        <f>IFERROR(__xludf.DUMMYFUNCTION("""COMPUTED_VALUE"""),"範囲(特大)")</f>
        <v>範囲(特大)</v>
      </c>
      <c r="AU74" s="308">
        <f>IFERROR(__xludf.DUMMYFUNCTION("""COMPUTED_VALUE"""),4.0)</f>
        <v>4</v>
      </c>
      <c r="AV74" s="274" t="str">
        <f>IFERROR(__xludf.DUMMYFUNCTION("""COMPUTED_VALUE"""),"効果時間")</f>
        <v>効果時間</v>
      </c>
      <c r="AW74" s="340">
        <f>IFERROR(__xludf.DUMMYFUNCTION("""COMPUTED_VALUE"""),150.0)</f>
        <v>150</v>
      </c>
      <c r="AX74" s="340">
        <f>IFERROR(__xludf.DUMMYFUNCTION("""COMPUTED_VALUE"""),150.0)</f>
        <v>150</v>
      </c>
      <c r="AY74" s="340">
        <f>IFERROR(__xludf.DUMMYFUNCTION("""COMPUTED_VALUE"""),150.0)</f>
        <v>150</v>
      </c>
      <c r="AZ74" s="340">
        <f>IFERROR(__xludf.DUMMYFUNCTION("""COMPUTED_VALUE"""),150.0)</f>
        <v>150</v>
      </c>
      <c r="BA74" s="340">
        <f>IFERROR(__xludf.DUMMYFUNCTION("""COMPUTED_VALUE"""),150.0)</f>
        <v>150</v>
      </c>
      <c r="BB74" s="340">
        <f>IFERROR(__xludf.DUMMYFUNCTION("""COMPUTED_VALUE"""),300.0)</f>
        <v>300</v>
      </c>
      <c r="BC74" s="340">
        <f>IFERROR(__xludf.DUMMYFUNCTION("""COMPUTED_VALUE"""),450.0)</f>
        <v>450</v>
      </c>
      <c r="BD74" s="341">
        <f>IFERROR(__xludf.DUMMYFUNCTION("""COMPUTED_VALUE"""),450.0)</f>
        <v>450</v>
      </c>
      <c r="BE74" s="279" t="str">
        <f>IFERROR(__xludf.DUMMYFUNCTION("""COMPUTED_VALUE"""),"範囲(小：威力減)")</f>
        <v>範囲(小：威力減)</v>
      </c>
      <c r="BF74" s="308">
        <f>IFERROR(__xludf.DUMMYFUNCTION("""COMPUTED_VALUE"""),4.0)</f>
        <v>4</v>
      </c>
      <c r="BG74" s="274" t="str">
        <f>IFERROR(__xludf.DUMMYFUNCTION("""COMPUTED_VALUE"""),"効果時間")</f>
        <v>効果時間</v>
      </c>
      <c r="BH74" s="340">
        <f>IFERROR(__xludf.DUMMYFUNCTION("""COMPUTED_VALUE"""),150.0)</f>
        <v>150</v>
      </c>
      <c r="BI74" s="340">
        <f>IFERROR(__xludf.DUMMYFUNCTION("""COMPUTED_VALUE"""),150.0)</f>
        <v>150</v>
      </c>
      <c r="BJ74" s="340">
        <f>IFERROR(__xludf.DUMMYFUNCTION("""COMPUTED_VALUE"""),150.0)</f>
        <v>150</v>
      </c>
      <c r="BK74" s="340">
        <f>IFERROR(__xludf.DUMMYFUNCTION("""COMPUTED_VALUE"""),150.0)</f>
        <v>150</v>
      </c>
      <c r="BL74" s="340">
        <f>IFERROR(__xludf.DUMMYFUNCTION("""COMPUTED_VALUE"""),150.0)</f>
        <v>150</v>
      </c>
      <c r="BM74" s="340">
        <f>IFERROR(__xludf.DUMMYFUNCTION("""COMPUTED_VALUE"""),300.0)</f>
        <v>300</v>
      </c>
      <c r="BN74" s="340">
        <f>IFERROR(__xludf.DUMMYFUNCTION("""COMPUTED_VALUE"""),450.0)</f>
        <v>450</v>
      </c>
      <c r="BO74" s="341">
        <f>IFERROR(__xludf.DUMMYFUNCTION("""COMPUTED_VALUE"""),450.0)</f>
        <v>450</v>
      </c>
    </row>
    <row r="75">
      <c r="A75" s="307" t="str">
        <f>IFERROR(__xludf.DUMMYFUNCTION("""COMPUTED_VALUE"""),"火傷")</f>
        <v>火傷</v>
      </c>
      <c r="B75" s="272" t="str">
        <f>IFERROR(__xludf.DUMMYFUNCTION("""COMPUTED_VALUE"""),"単体")</f>
        <v>単体</v>
      </c>
      <c r="C75" s="308">
        <f>IFERROR(__xludf.DUMMYFUNCTION("""COMPUTED_VALUE"""),4.0)</f>
        <v>4</v>
      </c>
      <c r="D75" s="274" t="str">
        <f>IFERROR(__xludf.DUMMYFUNCTION("""COMPUTED_VALUE"""),"発動確率")</f>
        <v>発動確率</v>
      </c>
      <c r="E75" s="309">
        <f>IFERROR(__xludf.DUMMYFUNCTION("""COMPUTED_VALUE"""),100.0)</f>
        <v>100</v>
      </c>
      <c r="F75" s="309">
        <f>IFERROR(__xludf.DUMMYFUNCTION("""COMPUTED_VALUE"""),100.0)</f>
        <v>100</v>
      </c>
      <c r="G75" s="309">
        <f>IFERROR(__xludf.DUMMYFUNCTION("""COMPUTED_VALUE"""),100.0)</f>
        <v>100</v>
      </c>
      <c r="H75" s="309">
        <f>IFERROR(__xludf.DUMMYFUNCTION("""COMPUTED_VALUE"""),100.0)</f>
        <v>100</v>
      </c>
      <c r="I75" s="309">
        <f>IFERROR(__xludf.DUMMYFUNCTION("""COMPUTED_VALUE"""),100.0)</f>
        <v>100</v>
      </c>
      <c r="J75" s="309">
        <f>IFERROR(__xludf.DUMMYFUNCTION("""COMPUTED_VALUE"""),100.0)</f>
        <v>100</v>
      </c>
      <c r="K75" s="309">
        <f>IFERROR(__xludf.DUMMYFUNCTION("""COMPUTED_VALUE"""),100.0)</f>
        <v>100</v>
      </c>
      <c r="L75" s="309">
        <f>IFERROR(__xludf.DUMMYFUNCTION("""COMPUTED_VALUE"""),100.0)</f>
        <v>100</v>
      </c>
      <c r="M75" s="276" t="str">
        <f>IFERROR(__xludf.DUMMYFUNCTION("""COMPUTED_VALUE"""),"範囲(小)")</f>
        <v>範囲(小)</v>
      </c>
      <c r="N75" s="308">
        <f>IFERROR(__xludf.DUMMYFUNCTION("""COMPUTED_VALUE"""),4.0)</f>
        <v>4</v>
      </c>
      <c r="O75" s="274" t="str">
        <f>IFERROR(__xludf.DUMMYFUNCTION("""COMPUTED_VALUE"""),"発動確率")</f>
        <v>発動確率</v>
      </c>
      <c r="P75" s="321">
        <f>IFERROR(__xludf.DUMMYFUNCTION("""COMPUTED_VALUE"""),100.0)</f>
        <v>100</v>
      </c>
      <c r="Q75" s="321">
        <f>IFERROR(__xludf.DUMMYFUNCTION("""COMPUTED_VALUE"""),100.0)</f>
        <v>100</v>
      </c>
      <c r="R75" s="321">
        <f>IFERROR(__xludf.DUMMYFUNCTION("""COMPUTED_VALUE"""),100.0)</f>
        <v>100</v>
      </c>
      <c r="S75" s="321">
        <f>IFERROR(__xludf.DUMMYFUNCTION("""COMPUTED_VALUE"""),100.0)</f>
        <v>100</v>
      </c>
      <c r="T75" s="321">
        <f>IFERROR(__xludf.DUMMYFUNCTION("""COMPUTED_VALUE"""),100.0)</f>
        <v>100</v>
      </c>
      <c r="U75" s="321">
        <f>IFERROR(__xludf.DUMMYFUNCTION("""COMPUTED_VALUE"""),100.0)</f>
        <v>100</v>
      </c>
      <c r="V75" s="321">
        <f>IFERROR(__xludf.DUMMYFUNCTION("""COMPUTED_VALUE"""),100.0)</f>
        <v>100</v>
      </c>
      <c r="W75" s="324">
        <f>IFERROR(__xludf.DUMMYFUNCTION("""COMPUTED_VALUE"""),100.0)</f>
        <v>100</v>
      </c>
      <c r="X75" s="276" t="str">
        <f>IFERROR(__xludf.DUMMYFUNCTION("""COMPUTED_VALUE"""),"範囲(中)")</f>
        <v>範囲(中)</v>
      </c>
      <c r="Y75" s="308">
        <f>IFERROR(__xludf.DUMMYFUNCTION("""COMPUTED_VALUE"""),4.0)</f>
        <v>4</v>
      </c>
      <c r="Z75" s="274" t="str">
        <f>IFERROR(__xludf.DUMMYFUNCTION("""COMPUTED_VALUE"""),"発動確率")</f>
        <v>発動確率</v>
      </c>
      <c r="AA75" s="321">
        <f>IFERROR(__xludf.DUMMYFUNCTION("""COMPUTED_VALUE"""),100.0)</f>
        <v>100</v>
      </c>
      <c r="AB75" s="321">
        <f>IFERROR(__xludf.DUMMYFUNCTION("""COMPUTED_VALUE"""),100.0)</f>
        <v>100</v>
      </c>
      <c r="AC75" s="321">
        <f>IFERROR(__xludf.DUMMYFUNCTION("""COMPUTED_VALUE"""),100.0)</f>
        <v>100</v>
      </c>
      <c r="AD75" s="321">
        <f>IFERROR(__xludf.DUMMYFUNCTION("""COMPUTED_VALUE"""),100.0)</f>
        <v>100</v>
      </c>
      <c r="AE75" s="321">
        <f>IFERROR(__xludf.DUMMYFUNCTION("""COMPUTED_VALUE"""),100.0)</f>
        <v>100</v>
      </c>
      <c r="AF75" s="321">
        <f>IFERROR(__xludf.DUMMYFUNCTION("""COMPUTED_VALUE"""),100.0)</f>
        <v>100</v>
      </c>
      <c r="AG75" s="321">
        <f>IFERROR(__xludf.DUMMYFUNCTION("""COMPUTED_VALUE"""),100.0)</f>
        <v>100</v>
      </c>
      <c r="AH75" s="324">
        <f>IFERROR(__xludf.DUMMYFUNCTION("""COMPUTED_VALUE"""),100.0)</f>
        <v>100</v>
      </c>
      <c r="AI75" s="276" t="str">
        <f>IFERROR(__xludf.DUMMYFUNCTION("""COMPUTED_VALUE"""),"範囲(大)")</f>
        <v>範囲(大)</v>
      </c>
      <c r="AJ75" s="308">
        <f>IFERROR(__xludf.DUMMYFUNCTION("""COMPUTED_VALUE"""),4.0)</f>
        <v>4</v>
      </c>
      <c r="AK75" s="274" t="str">
        <f>IFERROR(__xludf.DUMMYFUNCTION("""COMPUTED_VALUE"""),"発動確率")</f>
        <v>発動確率</v>
      </c>
      <c r="AL75" s="321">
        <f>IFERROR(__xludf.DUMMYFUNCTION("""COMPUTED_VALUE"""),100.0)</f>
        <v>100</v>
      </c>
      <c r="AM75" s="321">
        <f>IFERROR(__xludf.DUMMYFUNCTION("""COMPUTED_VALUE"""),100.0)</f>
        <v>100</v>
      </c>
      <c r="AN75" s="321">
        <f>IFERROR(__xludf.DUMMYFUNCTION("""COMPUTED_VALUE"""),100.0)</f>
        <v>100</v>
      </c>
      <c r="AO75" s="321">
        <f>IFERROR(__xludf.DUMMYFUNCTION("""COMPUTED_VALUE"""),100.0)</f>
        <v>100</v>
      </c>
      <c r="AP75" s="321">
        <f>IFERROR(__xludf.DUMMYFUNCTION("""COMPUTED_VALUE"""),100.0)</f>
        <v>100</v>
      </c>
      <c r="AQ75" s="321">
        <f>IFERROR(__xludf.DUMMYFUNCTION("""COMPUTED_VALUE"""),100.0)</f>
        <v>100</v>
      </c>
      <c r="AR75" s="321">
        <f>IFERROR(__xludf.DUMMYFUNCTION("""COMPUTED_VALUE"""),100.0)</f>
        <v>100</v>
      </c>
      <c r="AS75" s="324">
        <f>IFERROR(__xludf.DUMMYFUNCTION("""COMPUTED_VALUE"""),100.0)</f>
        <v>100</v>
      </c>
      <c r="AT75" s="276" t="str">
        <f>IFERROR(__xludf.DUMMYFUNCTION("""COMPUTED_VALUE"""),"範囲(特大)")</f>
        <v>範囲(特大)</v>
      </c>
      <c r="AU75" s="308">
        <f>IFERROR(__xludf.DUMMYFUNCTION("""COMPUTED_VALUE"""),4.0)</f>
        <v>4</v>
      </c>
      <c r="AV75" s="274" t="str">
        <f>IFERROR(__xludf.DUMMYFUNCTION("""COMPUTED_VALUE"""),"発動確率")</f>
        <v>発動確率</v>
      </c>
      <c r="AW75" s="321">
        <f>IFERROR(__xludf.DUMMYFUNCTION("""COMPUTED_VALUE"""),100.0)</f>
        <v>100</v>
      </c>
      <c r="AX75" s="321">
        <f>IFERROR(__xludf.DUMMYFUNCTION("""COMPUTED_VALUE"""),100.0)</f>
        <v>100</v>
      </c>
      <c r="AY75" s="321">
        <f>IFERROR(__xludf.DUMMYFUNCTION("""COMPUTED_VALUE"""),100.0)</f>
        <v>100</v>
      </c>
      <c r="AZ75" s="321">
        <f>IFERROR(__xludf.DUMMYFUNCTION("""COMPUTED_VALUE"""),100.0)</f>
        <v>100</v>
      </c>
      <c r="BA75" s="321">
        <f>IFERROR(__xludf.DUMMYFUNCTION("""COMPUTED_VALUE"""),100.0)</f>
        <v>100</v>
      </c>
      <c r="BB75" s="321">
        <f>IFERROR(__xludf.DUMMYFUNCTION("""COMPUTED_VALUE"""),100.0)</f>
        <v>100</v>
      </c>
      <c r="BC75" s="321">
        <f>IFERROR(__xludf.DUMMYFUNCTION("""COMPUTED_VALUE"""),100.0)</f>
        <v>100</v>
      </c>
      <c r="BD75" s="324">
        <f>IFERROR(__xludf.DUMMYFUNCTION("""COMPUTED_VALUE"""),100.0)</f>
        <v>100</v>
      </c>
      <c r="BE75" s="279" t="str">
        <f>IFERROR(__xludf.DUMMYFUNCTION("""COMPUTED_VALUE"""),"範囲(小：威力減)")</f>
        <v>範囲(小：威力減)</v>
      </c>
      <c r="BF75" s="308">
        <f>IFERROR(__xludf.DUMMYFUNCTION("""COMPUTED_VALUE"""),4.0)</f>
        <v>4</v>
      </c>
      <c r="BG75" s="274" t="str">
        <f>IFERROR(__xludf.DUMMYFUNCTION("""COMPUTED_VALUE"""),"発動確率")</f>
        <v>発動確率</v>
      </c>
      <c r="BH75" s="321">
        <f>IFERROR(__xludf.DUMMYFUNCTION("""COMPUTED_VALUE"""),100.0)</f>
        <v>100</v>
      </c>
      <c r="BI75" s="321">
        <f>IFERROR(__xludf.DUMMYFUNCTION("""COMPUTED_VALUE"""),100.0)</f>
        <v>100</v>
      </c>
      <c r="BJ75" s="321">
        <f>IFERROR(__xludf.DUMMYFUNCTION("""COMPUTED_VALUE"""),100.0)</f>
        <v>100</v>
      </c>
      <c r="BK75" s="321">
        <f>IFERROR(__xludf.DUMMYFUNCTION("""COMPUTED_VALUE"""),100.0)</f>
        <v>100</v>
      </c>
      <c r="BL75" s="321">
        <f>IFERROR(__xludf.DUMMYFUNCTION("""COMPUTED_VALUE"""),100.0)</f>
        <v>100</v>
      </c>
      <c r="BM75" s="321">
        <f>IFERROR(__xludf.DUMMYFUNCTION("""COMPUTED_VALUE"""),100.0)</f>
        <v>100</v>
      </c>
      <c r="BN75" s="321">
        <f>IFERROR(__xludf.DUMMYFUNCTION("""COMPUTED_VALUE"""),100.0)</f>
        <v>100</v>
      </c>
      <c r="BO75" s="324">
        <f>IFERROR(__xludf.DUMMYFUNCTION("""COMPUTED_VALUE"""),100.0)</f>
        <v>100</v>
      </c>
    </row>
    <row r="76">
      <c r="A76" s="307" t="str">
        <f>IFERROR(__xludf.DUMMYFUNCTION("""COMPUTED_VALUE"""),"火傷")</f>
        <v>火傷</v>
      </c>
      <c r="B76" s="272" t="str">
        <f>IFERROR(__xludf.DUMMYFUNCTION("""COMPUTED_VALUE"""),"単体")</f>
        <v>単体</v>
      </c>
      <c r="C76" s="316">
        <f>IFERROR(__xludf.DUMMYFUNCTION("""COMPUTED_VALUE"""),5.0)</f>
        <v>5</v>
      </c>
      <c r="D76" s="342" t="str">
        <f>IFERROR(__xludf.DUMMYFUNCTION("""COMPUTED_VALUE"""),"効果値")</f>
        <v>効果値</v>
      </c>
      <c r="E76" s="317">
        <f>IFERROR(__xludf.DUMMYFUNCTION("""COMPUTED_VALUE"""),5000.0)</f>
        <v>5000</v>
      </c>
      <c r="F76" s="343">
        <f>IFERROR(__xludf.DUMMYFUNCTION("""COMPUTED_VALUE"""),5500.0)</f>
        <v>5500</v>
      </c>
      <c r="G76" s="343">
        <f>IFERROR(__xludf.DUMMYFUNCTION("""COMPUTED_VALUE"""),6000.0)</f>
        <v>6000</v>
      </c>
      <c r="H76" s="343">
        <f>IFERROR(__xludf.DUMMYFUNCTION("""COMPUTED_VALUE"""),6500.0)</f>
        <v>6500</v>
      </c>
      <c r="I76" s="344">
        <f>IFERROR(__xludf.DUMMYFUNCTION("""COMPUTED_VALUE"""),7000.0)</f>
        <v>7000</v>
      </c>
      <c r="J76" s="344">
        <f>IFERROR(__xludf.DUMMYFUNCTION("""COMPUTED_VALUE"""),9000.0)</f>
        <v>9000</v>
      </c>
      <c r="K76" s="344">
        <f>IFERROR(__xludf.DUMMYFUNCTION("""COMPUTED_VALUE"""),12000.0)</f>
        <v>12000</v>
      </c>
      <c r="L76" s="345">
        <f>IFERROR(__xludf.DUMMYFUNCTION("""COMPUTED_VALUE"""),13000.0)</f>
        <v>13000</v>
      </c>
      <c r="M76" s="276" t="str">
        <f>IFERROR(__xludf.DUMMYFUNCTION("""COMPUTED_VALUE"""),"範囲(小)")</f>
        <v>範囲(小)</v>
      </c>
      <c r="N76" s="316">
        <f>IFERROR(__xludf.DUMMYFUNCTION("""COMPUTED_VALUE"""),5.0)</f>
        <v>5</v>
      </c>
      <c r="O76" s="342" t="str">
        <f>IFERROR(__xludf.DUMMYFUNCTION("""COMPUTED_VALUE"""),"効果値")</f>
        <v>効果値</v>
      </c>
      <c r="P76" s="318">
        <f>IFERROR(__xludf.DUMMYFUNCTION("""COMPUTED_VALUE"""),3800.0)</f>
        <v>3800</v>
      </c>
      <c r="Q76" s="318">
        <f>IFERROR(__xludf.DUMMYFUNCTION("""COMPUTED_VALUE"""),4200.0)</f>
        <v>4200</v>
      </c>
      <c r="R76" s="318">
        <f>IFERROR(__xludf.DUMMYFUNCTION("""COMPUTED_VALUE"""),4500.0)</f>
        <v>4500</v>
      </c>
      <c r="S76" s="318">
        <f>IFERROR(__xludf.DUMMYFUNCTION("""COMPUTED_VALUE"""),4900.0)</f>
        <v>4900</v>
      </c>
      <c r="T76" s="318">
        <f>IFERROR(__xludf.DUMMYFUNCTION("""COMPUTED_VALUE"""),5300.0)</f>
        <v>5300</v>
      </c>
      <c r="U76" s="318">
        <f>IFERROR(__xludf.DUMMYFUNCTION("""COMPUTED_VALUE"""),6800.0)</f>
        <v>6800</v>
      </c>
      <c r="V76" s="318">
        <f>IFERROR(__xludf.DUMMYFUNCTION("""COMPUTED_VALUE"""),9000.0)</f>
        <v>9000</v>
      </c>
      <c r="W76" s="319">
        <f>IFERROR(__xludf.DUMMYFUNCTION("""COMPUTED_VALUE"""),9800.0)</f>
        <v>9800</v>
      </c>
      <c r="X76" s="276" t="str">
        <f>IFERROR(__xludf.DUMMYFUNCTION("""COMPUTED_VALUE"""),"範囲(中)")</f>
        <v>範囲(中)</v>
      </c>
      <c r="Y76" s="316">
        <f>IFERROR(__xludf.DUMMYFUNCTION("""COMPUTED_VALUE"""),5.0)</f>
        <v>5</v>
      </c>
      <c r="Z76" s="342" t="str">
        <f>IFERROR(__xludf.DUMMYFUNCTION("""COMPUTED_VALUE"""),"効果値")</f>
        <v>効果値</v>
      </c>
      <c r="AA76" s="318">
        <f>IFERROR(__xludf.DUMMYFUNCTION("""COMPUTED_VALUE"""),3300.0)</f>
        <v>3300</v>
      </c>
      <c r="AB76" s="318">
        <f>IFERROR(__xludf.DUMMYFUNCTION("""COMPUTED_VALUE"""),3600.0)</f>
        <v>3600</v>
      </c>
      <c r="AC76" s="318">
        <f>IFERROR(__xludf.DUMMYFUNCTION("""COMPUTED_VALUE"""),3900.0)</f>
        <v>3900</v>
      </c>
      <c r="AD76" s="318">
        <f>IFERROR(__xludf.DUMMYFUNCTION("""COMPUTED_VALUE"""),4300.0)</f>
        <v>4300</v>
      </c>
      <c r="AE76" s="318">
        <f>IFERROR(__xludf.DUMMYFUNCTION("""COMPUTED_VALUE"""),4600.0)</f>
        <v>4600</v>
      </c>
      <c r="AF76" s="318">
        <f>IFERROR(__xludf.DUMMYFUNCTION("""COMPUTED_VALUE"""),5900.0)</f>
        <v>5900</v>
      </c>
      <c r="AG76" s="318">
        <f>IFERROR(__xludf.DUMMYFUNCTION("""COMPUTED_VALUE"""),7800.0)</f>
        <v>7800</v>
      </c>
      <c r="AH76" s="319">
        <f>IFERROR(__xludf.DUMMYFUNCTION("""COMPUTED_VALUE"""),8500.0)</f>
        <v>8500</v>
      </c>
      <c r="AI76" s="276" t="str">
        <f>IFERROR(__xludf.DUMMYFUNCTION("""COMPUTED_VALUE"""),"範囲(大)")</f>
        <v>範囲(大)</v>
      </c>
      <c r="AJ76" s="316">
        <f>IFERROR(__xludf.DUMMYFUNCTION("""COMPUTED_VALUE"""),5.0)</f>
        <v>5</v>
      </c>
      <c r="AK76" s="342" t="str">
        <f>IFERROR(__xludf.DUMMYFUNCTION("""COMPUTED_VALUE"""),"効果値")</f>
        <v>効果値</v>
      </c>
      <c r="AL76" s="318">
        <f>IFERROR(__xludf.DUMMYFUNCTION("""COMPUTED_VALUE"""),2800.0)</f>
        <v>2800</v>
      </c>
      <c r="AM76" s="318">
        <f>IFERROR(__xludf.DUMMYFUNCTION("""COMPUTED_VALUE"""),3100.0)</f>
        <v>3100</v>
      </c>
      <c r="AN76" s="318">
        <f>IFERROR(__xludf.DUMMYFUNCTION("""COMPUTED_VALUE"""),3300.0)</f>
        <v>3300</v>
      </c>
      <c r="AO76" s="318">
        <f>IFERROR(__xludf.DUMMYFUNCTION("""COMPUTED_VALUE"""),3600.0)</f>
        <v>3600</v>
      </c>
      <c r="AP76" s="318">
        <f>IFERROR(__xludf.DUMMYFUNCTION("""COMPUTED_VALUE"""),3900.0)</f>
        <v>3900</v>
      </c>
      <c r="AQ76" s="318">
        <f>IFERROR(__xludf.DUMMYFUNCTION("""COMPUTED_VALUE"""),5000.0)</f>
        <v>5000</v>
      </c>
      <c r="AR76" s="318">
        <f>IFERROR(__xludf.DUMMYFUNCTION("""COMPUTED_VALUE"""),6600.0)</f>
        <v>6600</v>
      </c>
      <c r="AS76" s="319">
        <f>IFERROR(__xludf.DUMMYFUNCTION("""COMPUTED_VALUE"""),7200.0)</f>
        <v>7200</v>
      </c>
      <c r="AT76" s="276" t="str">
        <f>IFERROR(__xludf.DUMMYFUNCTION("""COMPUTED_VALUE"""),"範囲(特大)")</f>
        <v>範囲(特大)</v>
      </c>
      <c r="AU76" s="316">
        <f>IFERROR(__xludf.DUMMYFUNCTION("""COMPUTED_VALUE"""),5.0)</f>
        <v>5</v>
      </c>
      <c r="AV76" s="342" t="str">
        <f>IFERROR(__xludf.DUMMYFUNCTION("""COMPUTED_VALUE"""),"効果値")</f>
        <v>効果値</v>
      </c>
      <c r="AW76" s="318">
        <f>IFERROR(__xludf.DUMMYFUNCTION("""COMPUTED_VALUE"""),2500.0)</f>
        <v>2500</v>
      </c>
      <c r="AX76" s="318">
        <f>IFERROR(__xludf.DUMMYFUNCTION("""COMPUTED_VALUE"""),2800.0)</f>
        <v>2800</v>
      </c>
      <c r="AY76" s="318">
        <f>IFERROR(__xludf.DUMMYFUNCTION("""COMPUTED_VALUE"""),3000.0)</f>
        <v>3000</v>
      </c>
      <c r="AZ76" s="318">
        <f>IFERROR(__xludf.DUMMYFUNCTION("""COMPUTED_VALUE"""),3300.0)</f>
        <v>3300</v>
      </c>
      <c r="BA76" s="318">
        <f>IFERROR(__xludf.DUMMYFUNCTION("""COMPUTED_VALUE"""),3500.0)</f>
        <v>3500</v>
      </c>
      <c r="BB76" s="318">
        <f>IFERROR(__xludf.DUMMYFUNCTION("""COMPUTED_VALUE"""),4500.0)</f>
        <v>4500</v>
      </c>
      <c r="BC76" s="318">
        <f>IFERROR(__xludf.DUMMYFUNCTION("""COMPUTED_VALUE"""),6000.0)</f>
        <v>6000</v>
      </c>
      <c r="BD76" s="319">
        <f>IFERROR(__xludf.DUMMYFUNCTION("""COMPUTED_VALUE"""),6500.0)</f>
        <v>6500</v>
      </c>
      <c r="BE76" s="279" t="str">
        <f>IFERROR(__xludf.DUMMYFUNCTION("""COMPUTED_VALUE"""),"範囲(小：威力減)")</f>
        <v>範囲(小：威力減)</v>
      </c>
      <c r="BF76" s="316">
        <f>IFERROR(__xludf.DUMMYFUNCTION("""COMPUTED_VALUE"""),5.0)</f>
        <v>5</v>
      </c>
      <c r="BG76" s="342" t="str">
        <f>IFERROR(__xludf.DUMMYFUNCTION("""COMPUTED_VALUE"""),"効果値")</f>
        <v>効果値</v>
      </c>
      <c r="BH76" s="318">
        <f>IFERROR(__xludf.DUMMYFUNCTION("""COMPUTED_VALUE"""),2500.0)</f>
        <v>2500</v>
      </c>
      <c r="BI76" s="318">
        <f>IFERROR(__xludf.DUMMYFUNCTION("""COMPUTED_VALUE"""),2800.0)</f>
        <v>2800</v>
      </c>
      <c r="BJ76" s="318">
        <f>IFERROR(__xludf.DUMMYFUNCTION("""COMPUTED_VALUE"""),3000.0)</f>
        <v>3000</v>
      </c>
      <c r="BK76" s="318">
        <f>IFERROR(__xludf.DUMMYFUNCTION("""COMPUTED_VALUE"""),3300.0)</f>
        <v>3300</v>
      </c>
      <c r="BL76" s="318">
        <f>IFERROR(__xludf.DUMMYFUNCTION("""COMPUTED_VALUE"""),3500.0)</f>
        <v>3500</v>
      </c>
      <c r="BM76" s="318">
        <f>IFERROR(__xludf.DUMMYFUNCTION("""COMPUTED_VALUE"""),4500.0)</f>
        <v>4500</v>
      </c>
      <c r="BN76" s="318">
        <f>IFERROR(__xludf.DUMMYFUNCTION("""COMPUTED_VALUE"""),6000.0)</f>
        <v>6000</v>
      </c>
      <c r="BO76" s="319">
        <f>IFERROR(__xludf.DUMMYFUNCTION("""COMPUTED_VALUE"""),6500.0)</f>
        <v>6500</v>
      </c>
    </row>
    <row r="77">
      <c r="A77" s="307" t="str">
        <f>IFERROR(__xludf.DUMMYFUNCTION("""COMPUTED_VALUE"""),"火傷")</f>
        <v>火傷</v>
      </c>
      <c r="B77" s="272" t="str">
        <f>IFERROR(__xludf.DUMMYFUNCTION("""COMPUTED_VALUE"""),"単体")</f>
        <v>単体</v>
      </c>
      <c r="C77" s="308">
        <f>IFERROR(__xludf.DUMMYFUNCTION("""COMPUTED_VALUE"""),5.0)</f>
        <v>5</v>
      </c>
      <c r="D77" s="274" t="str">
        <f>IFERROR(__xludf.DUMMYFUNCTION("""COMPUTED_VALUE"""),"効果時間")</f>
        <v>効果時間</v>
      </c>
      <c r="E77" s="317">
        <f>IFERROR(__xludf.DUMMYFUNCTION("""COMPUTED_VALUE"""),150.0)</f>
        <v>150</v>
      </c>
      <c r="F77" s="317">
        <f>IFERROR(__xludf.DUMMYFUNCTION("""COMPUTED_VALUE"""),150.0)</f>
        <v>150</v>
      </c>
      <c r="G77" s="317">
        <f>IFERROR(__xludf.DUMMYFUNCTION("""COMPUTED_VALUE"""),150.0)</f>
        <v>150</v>
      </c>
      <c r="H77" s="317">
        <f>IFERROR(__xludf.DUMMYFUNCTION("""COMPUTED_VALUE"""),150.0)</f>
        <v>150</v>
      </c>
      <c r="I77" s="317">
        <f>IFERROR(__xludf.DUMMYFUNCTION("""COMPUTED_VALUE"""),150.0)</f>
        <v>150</v>
      </c>
      <c r="J77" s="344">
        <f>IFERROR(__xludf.DUMMYFUNCTION("""COMPUTED_VALUE"""),300.0)</f>
        <v>300</v>
      </c>
      <c r="K77" s="344">
        <f>IFERROR(__xludf.DUMMYFUNCTION("""COMPUTED_VALUE"""),450.0)</f>
        <v>450</v>
      </c>
      <c r="L77" s="345">
        <f>IFERROR(__xludf.DUMMYFUNCTION("""COMPUTED_VALUE"""),450.0)</f>
        <v>450</v>
      </c>
      <c r="M77" s="276" t="str">
        <f>IFERROR(__xludf.DUMMYFUNCTION("""COMPUTED_VALUE"""),"範囲(小)")</f>
        <v>範囲(小)</v>
      </c>
      <c r="N77" s="308">
        <f>IFERROR(__xludf.DUMMYFUNCTION("""COMPUTED_VALUE"""),5.0)</f>
        <v>5</v>
      </c>
      <c r="O77" s="274" t="str">
        <f>IFERROR(__xludf.DUMMYFUNCTION("""COMPUTED_VALUE"""),"効果時間")</f>
        <v>効果時間</v>
      </c>
      <c r="P77" s="340">
        <f>IFERROR(__xludf.DUMMYFUNCTION("""COMPUTED_VALUE"""),150.0)</f>
        <v>150</v>
      </c>
      <c r="Q77" s="340">
        <f>IFERROR(__xludf.DUMMYFUNCTION("""COMPUTED_VALUE"""),150.0)</f>
        <v>150</v>
      </c>
      <c r="R77" s="340">
        <f>IFERROR(__xludf.DUMMYFUNCTION("""COMPUTED_VALUE"""),150.0)</f>
        <v>150</v>
      </c>
      <c r="S77" s="340">
        <f>IFERROR(__xludf.DUMMYFUNCTION("""COMPUTED_VALUE"""),300.0)</f>
        <v>300</v>
      </c>
      <c r="T77" s="340">
        <f>IFERROR(__xludf.DUMMYFUNCTION("""COMPUTED_VALUE"""),300.0)</f>
        <v>300</v>
      </c>
      <c r="U77" s="340">
        <f>IFERROR(__xludf.DUMMYFUNCTION("""COMPUTED_VALUE"""),300.0)</f>
        <v>300</v>
      </c>
      <c r="V77" s="340">
        <f>IFERROR(__xludf.DUMMYFUNCTION("""COMPUTED_VALUE"""),450.0)</f>
        <v>450</v>
      </c>
      <c r="W77" s="341">
        <f>IFERROR(__xludf.DUMMYFUNCTION("""COMPUTED_VALUE"""),450.0)</f>
        <v>450</v>
      </c>
      <c r="X77" s="276" t="str">
        <f>IFERROR(__xludf.DUMMYFUNCTION("""COMPUTED_VALUE"""),"範囲(中)")</f>
        <v>範囲(中)</v>
      </c>
      <c r="Y77" s="308">
        <f>IFERROR(__xludf.DUMMYFUNCTION("""COMPUTED_VALUE"""),5.0)</f>
        <v>5</v>
      </c>
      <c r="Z77" s="274" t="str">
        <f>IFERROR(__xludf.DUMMYFUNCTION("""COMPUTED_VALUE"""),"効果時間")</f>
        <v>効果時間</v>
      </c>
      <c r="AA77" s="340">
        <f>IFERROR(__xludf.DUMMYFUNCTION("""COMPUTED_VALUE"""),150.0)</f>
        <v>150</v>
      </c>
      <c r="AB77" s="340">
        <f>IFERROR(__xludf.DUMMYFUNCTION("""COMPUTED_VALUE"""),150.0)</f>
        <v>150</v>
      </c>
      <c r="AC77" s="340">
        <f>IFERROR(__xludf.DUMMYFUNCTION("""COMPUTED_VALUE"""),150.0)</f>
        <v>150</v>
      </c>
      <c r="AD77" s="340">
        <f>IFERROR(__xludf.DUMMYFUNCTION("""COMPUTED_VALUE"""),300.0)</f>
        <v>300</v>
      </c>
      <c r="AE77" s="340">
        <f>IFERROR(__xludf.DUMMYFUNCTION("""COMPUTED_VALUE"""),300.0)</f>
        <v>300</v>
      </c>
      <c r="AF77" s="340">
        <f>IFERROR(__xludf.DUMMYFUNCTION("""COMPUTED_VALUE"""),300.0)</f>
        <v>300</v>
      </c>
      <c r="AG77" s="340">
        <f>IFERROR(__xludf.DUMMYFUNCTION("""COMPUTED_VALUE"""),450.0)</f>
        <v>450</v>
      </c>
      <c r="AH77" s="341">
        <f>IFERROR(__xludf.DUMMYFUNCTION("""COMPUTED_VALUE"""),450.0)</f>
        <v>450</v>
      </c>
      <c r="AI77" s="276" t="str">
        <f>IFERROR(__xludf.DUMMYFUNCTION("""COMPUTED_VALUE"""),"範囲(大)")</f>
        <v>範囲(大)</v>
      </c>
      <c r="AJ77" s="308">
        <f>IFERROR(__xludf.DUMMYFUNCTION("""COMPUTED_VALUE"""),5.0)</f>
        <v>5</v>
      </c>
      <c r="AK77" s="274" t="str">
        <f>IFERROR(__xludf.DUMMYFUNCTION("""COMPUTED_VALUE"""),"効果時間")</f>
        <v>効果時間</v>
      </c>
      <c r="AL77" s="340">
        <f>IFERROR(__xludf.DUMMYFUNCTION("""COMPUTED_VALUE"""),150.0)</f>
        <v>150</v>
      </c>
      <c r="AM77" s="340">
        <f>IFERROR(__xludf.DUMMYFUNCTION("""COMPUTED_VALUE"""),150.0)</f>
        <v>150</v>
      </c>
      <c r="AN77" s="340">
        <f>IFERROR(__xludf.DUMMYFUNCTION("""COMPUTED_VALUE"""),150.0)</f>
        <v>150</v>
      </c>
      <c r="AO77" s="340">
        <f>IFERROR(__xludf.DUMMYFUNCTION("""COMPUTED_VALUE"""),300.0)</f>
        <v>300</v>
      </c>
      <c r="AP77" s="340">
        <f>IFERROR(__xludf.DUMMYFUNCTION("""COMPUTED_VALUE"""),300.0)</f>
        <v>300</v>
      </c>
      <c r="AQ77" s="340">
        <f>IFERROR(__xludf.DUMMYFUNCTION("""COMPUTED_VALUE"""),300.0)</f>
        <v>300</v>
      </c>
      <c r="AR77" s="340">
        <f>IFERROR(__xludf.DUMMYFUNCTION("""COMPUTED_VALUE"""),450.0)</f>
        <v>450</v>
      </c>
      <c r="AS77" s="341">
        <f>IFERROR(__xludf.DUMMYFUNCTION("""COMPUTED_VALUE"""),450.0)</f>
        <v>450</v>
      </c>
      <c r="AT77" s="276" t="str">
        <f>IFERROR(__xludf.DUMMYFUNCTION("""COMPUTED_VALUE"""),"範囲(特大)")</f>
        <v>範囲(特大)</v>
      </c>
      <c r="AU77" s="308">
        <f>IFERROR(__xludf.DUMMYFUNCTION("""COMPUTED_VALUE"""),5.0)</f>
        <v>5</v>
      </c>
      <c r="AV77" s="274" t="str">
        <f>IFERROR(__xludf.DUMMYFUNCTION("""COMPUTED_VALUE"""),"効果時間")</f>
        <v>効果時間</v>
      </c>
      <c r="AW77" s="340">
        <f>IFERROR(__xludf.DUMMYFUNCTION("""COMPUTED_VALUE"""),150.0)</f>
        <v>150</v>
      </c>
      <c r="AX77" s="340">
        <f>IFERROR(__xludf.DUMMYFUNCTION("""COMPUTED_VALUE"""),150.0)</f>
        <v>150</v>
      </c>
      <c r="AY77" s="340">
        <f>IFERROR(__xludf.DUMMYFUNCTION("""COMPUTED_VALUE"""),150.0)</f>
        <v>150</v>
      </c>
      <c r="AZ77" s="340">
        <f>IFERROR(__xludf.DUMMYFUNCTION("""COMPUTED_VALUE"""),300.0)</f>
        <v>300</v>
      </c>
      <c r="BA77" s="340">
        <f>IFERROR(__xludf.DUMMYFUNCTION("""COMPUTED_VALUE"""),300.0)</f>
        <v>300</v>
      </c>
      <c r="BB77" s="340">
        <f>IFERROR(__xludf.DUMMYFUNCTION("""COMPUTED_VALUE"""),300.0)</f>
        <v>300</v>
      </c>
      <c r="BC77" s="340">
        <f>IFERROR(__xludf.DUMMYFUNCTION("""COMPUTED_VALUE"""),450.0)</f>
        <v>450</v>
      </c>
      <c r="BD77" s="341">
        <f>IFERROR(__xludf.DUMMYFUNCTION("""COMPUTED_VALUE"""),450.0)</f>
        <v>450</v>
      </c>
      <c r="BE77" s="279" t="str">
        <f>IFERROR(__xludf.DUMMYFUNCTION("""COMPUTED_VALUE"""),"範囲(小：威力減)")</f>
        <v>範囲(小：威力減)</v>
      </c>
      <c r="BF77" s="308">
        <f>IFERROR(__xludf.DUMMYFUNCTION("""COMPUTED_VALUE"""),5.0)</f>
        <v>5</v>
      </c>
      <c r="BG77" s="274" t="str">
        <f>IFERROR(__xludf.DUMMYFUNCTION("""COMPUTED_VALUE"""),"効果時間")</f>
        <v>効果時間</v>
      </c>
      <c r="BH77" s="340">
        <f>IFERROR(__xludf.DUMMYFUNCTION("""COMPUTED_VALUE"""),150.0)</f>
        <v>150</v>
      </c>
      <c r="BI77" s="340">
        <f>IFERROR(__xludf.DUMMYFUNCTION("""COMPUTED_VALUE"""),150.0)</f>
        <v>150</v>
      </c>
      <c r="BJ77" s="340">
        <f>IFERROR(__xludf.DUMMYFUNCTION("""COMPUTED_VALUE"""),150.0)</f>
        <v>150</v>
      </c>
      <c r="BK77" s="340">
        <f>IFERROR(__xludf.DUMMYFUNCTION("""COMPUTED_VALUE"""),300.0)</f>
        <v>300</v>
      </c>
      <c r="BL77" s="340">
        <f>IFERROR(__xludf.DUMMYFUNCTION("""COMPUTED_VALUE"""),300.0)</f>
        <v>300</v>
      </c>
      <c r="BM77" s="340">
        <f>IFERROR(__xludf.DUMMYFUNCTION("""COMPUTED_VALUE"""),300.0)</f>
        <v>300</v>
      </c>
      <c r="BN77" s="340">
        <f>IFERROR(__xludf.DUMMYFUNCTION("""COMPUTED_VALUE"""),450.0)</f>
        <v>450</v>
      </c>
      <c r="BO77" s="341">
        <f>IFERROR(__xludf.DUMMYFUNCTION("""COMPUTED_VALUE"""),450.0)</f>
        <v>450</v>
      </c>
    </row>
    <row r="78">
      <c r="A78" s="307" t="str">
        <f>IFERROR(__xludf.DUMMYFUNCTION("""COMPUTED_VALUE"""),"火傷")</f>
        <v>火傷</v>
      </c>
      <c r="B78" s="272" t="str">
        <f>IFERROR(__xludf.DUMMYFUNCTION("""COMPUTED_VALUE"""),"単体")</f>
        <v>単体</v>
      </c>
      <c r="C78" s="346">
        <f>IFERROR(__xludf.DUMMYFUNCTION("""COMPUTED_VALUE"""),5.0)</f>
        <v>5</v>
      </c>
      <c r="D78" s="300" t="str">
        <f>IFERROR(__xludf.DUMMYFUNCTION("""COMPUTED_VALUE"""),"発動確率")</f>
        <v>発動確率</v>
      </c>
      <c r="E78" s="329">
        <f>IFERROR(__xludf.DUMMYFUNCTION("""COMPUTED_VALUE"""),100.0)</f>
        <v>100</v>
      </c>
      <c r="F78" s="330">
        <f>IFERROR(__xludf.DUMMYFUNCTION("""COMPUTED_VALUE"""),100.0)</f>
        <v>100</v>
      </c>
      <c r="G78" s="330">
        <f>IFERROR(__xludf.DUMMYFUNCTION("""COMPUTED_VALUE"""),100.0)</f>
        <v>100</v>
      </c>
      <c r="H78" s="330">
        <f>IFERROR(__xludf.DUMMYFUNCTION("""COMPUTED_VALUE"""),100.0)</f>
        <v>100</v>
      </c>
      <c r="I78" s="330">
        <f>IFERROR(__xludf.DUMMYFUNCTION("""COMPUTED_VALUE"""),100.0)</f>
        <v>100</v>
      </c>
      <c r="J78" s="330">
        <f>IFERROR(__xludf.DUMMYFUNCTION("""COMPUTED_VALUE"""),100.0)</f>
        <v>100</v>
      </c>
      <c r="K78" s="330">
        <f>IFERROR(__xludf.DUMMYFUNCTION("""COMPUTED_VALUE"""),100.0)</f>
        <v>100</v>
      </c>
      <c r="L78" s="331">
        <f>IFERROR(__xludf.DUMMYFUNCTION("""COMPUTED_VALUE"""),100.0)</f>
        <v>100</v>
      </c>
      <c r="M78" s="276" t="str">
        <f>IFERROR(__xludf.DUMMYFUNCTION("""COMPUTED_VALUE"""),"範囲(小)")</f>
        <v>範囲(小)</v>
      </c>
      <c r="N78" s="346">
        <f>IFERROR(__xludf.DUMMYFUNCTION("""COMPUTED_VALUE"""),5.0)</f>
        <v>5</v>
      </c>
      <c r="O78" s="300" t="str">
        <f>IFERROR(__xludf.DUMMYFUNCTION("""COMPUTED_VALUE"""),"発動確率")</f>
        <v>発動確率</v>
      </c>
      <c r="P78" s="333">
        <f>IFERROR(__xludf.DUMMYFUNCTION("""COMPUTED_VALUE"""),100.0)</f>
        <v>100</v>
      </c>
      <c r="Q78" s="333">
        <f>IFERROR(__xludf.DUMMYFUNCTION("""COMPUTED_VALUE"""),100.0)</f>
        <v>100</v>
      </c>
      <c r="R78" s="333">
        <f>IFERROR(__xludf.DUMMYFUNCTION("""COMPUTED_VALUE"""),100.0)</f>
        <v>100</v>
      </c>
      <c r="S78" s="333">
        <f>IFERROR(__xludf.DUMMYFUNCTION("""COMPUTED_VALUE"""),100.0)</f>
        <v>100</v>
      </c>
      <c r="T78" s="333">
        <f>IFERROR(__xludf.DUMMYFUNCTION("""COMPUTED_VALUE"""),100.0)</f>
        <v>100</v>
      </c>
      <c r="U78" s="333">
        <f>IFERROR(__xludf.DUMMYFUNCTION("""COMPUTED_VALUE"""),100.0)</f>
        <v>100</v>
      </c>
      <c r="V78" s="333">
        <f>IFERROR(__xludf.DUMMYFUNCTION("""COMPUTED_VALUE"""),100.0)</f>
        <v>100</v>
      </c>
      <c r="W78" s="336">
        <f>IFERROR(__xludf.DUMMYFUNCTION("""COMPUTED_VALUE"""),100.0)</f>
        <v>100</v>
      </c>
      <c r="X78" s="276" t="str">
        <f>IFERROR(__xludf.DUMMYFUNCTION("""COMPUTED_VALUE"""),"範囲(中)")</f>
        <v>範囲(中)</v>
      </c>
      <c r="Y78" s="346">
        <f>IFERROR(__xludf.DUMMYFUNCTION("""COMPUTED_VALUE"""),5.0)</f>
        <v>5</v>
      </c>
      <c r="Z78" s="300" t="str">
        <f>IFERROR(__xludf.DUMMYFUNCTION("""COMPUTED_VALUE"""),"発動確率")</f>
        <v>発動確率</v>
      </c>
      <c r="AA78" s="333">
        <f>IFERROR(__xludf.DUMMYFUNCTION("""COMPUTED_VALUE"""),100.0)</f>
        <v>100</v>
      </c>
      <c r="AB78" s="333">
        <f>IFERROR(__xludf.DUMMYFUNCTION("""COMPUTED_VALUE"""),100.0)</f>
        <v>100</v>
      </c>
      <c r="AC78" s="333">
        <f>IFERROR(__xludf.DUMMYFUNCTION("""COMPUTED_VALUE"""),100.0)</f>
        <v>100</v>
      </c>
      <c r="AD78" s="333">
        <f>IFERROR(__xludf.DUMMYFUNCTION("""COMPUTED_VALUE"""),100.0)</f>
        <v>100</v>
      </c>
      <c r="AE78" s="333">
        <f>IFERROR(__xludf.DUMMYFUNCTION("""COMPUTED_VALUE"""),100.0)</f>
        <v>100</v>
      </c>
      <c r="AF78" s="333">
        <f>IFERROR(__xludf.DUMMYFUNCTION("""COMPUTED_VALUE"""),100.0)</f>
        <v>100</v>
      </c>
      <c r="AG78" s="333">
        <f>IFERROR(__xludf.DUMMYFUNCTION("""COMPUTED_VALUE"""),100.0)</f>
        <v>100</v>
      </c>
      <c r="AH78" s="336">
        <f>IFERROR(__xludf.DUMMYFUNCTION("""COMPUTED_VALUE"""),100.0)</f>
        <v>100</v>
      </c>
      <c r="AI78" s="276" t="str">
        <f>IFERROR(__xludf.DUMMYFUNCTION("""COMPUTED_VALUE"""),"範囲(大)")</f>
        <v>範囲(大)</v>
      </c>
      <c r="AJ78" s="346">
        <f>IFERROR(__xludf.DUMMYFUNCTION("""COMPUTED_VALUE"""),5.0)</f>
        <v>5</v>
      </c>
      <c r="AK78" s="300" t="str">
        <f>IFERROR(__xludf.DUMMYFUNCTION("""COMPUTED_VALUE"""),"発動確率")</f>
        <v>発動確率</v>
      </c>
      <c r="AL78" s="333">
        <f>IFERROR(__xludf.DUMMYFUNCTION("""COMPUTED_VALUE"""),100.0)</f>
        <v>100</v>
      </c>
      <c r="AM78" s="333">
        <f>IFERROR(__xludf.DUMMYFUNCTION("""COMPUTED_VALUE"""),100.0)</f>
        <v>100</v>
      </c>
      <c r="AN78" s="333">
        <f>IFERROR(__xludf.DUMMYFUNCTION("""COMPUTED_VALUE"""),100.0)</f>
        <v>100</v>
      </c>
      <c r="AO78" s="333">
        <f>IFERROR(__xludf.DUMMYFUNCTION("""COMPUTED_VALUE"""),100.0)</f>
        <v>100</v>
      </c>
      <c r="AP78" s="333">
        <f>IFERROR(__xludf.DUMMYFUNCTION("""COMPUTED_VALUE"""),100.0)</f>
        <v>100</v>
      </c>
      <c r="AQ78" s="333">
        <f>IFERROR(__xludf.DUMMYFUNCTION("""COMPUTED_VALUE"""),100.0)</f>
        <v>100</v>
      </c>
      <c r="AR78" s="333">
        <f>IFERROR(__xludf.DUMMYFUNCTION("""COMPUTED_VALUE"""),100.0)</f>
        <v>100</v>
      </c>
      <c r="AS78" s="336">
        <f>IFERROR(__xludf.DUMMYFUNCTION("""COMPUTED_VALUE"""),100.0)</f>
        <v>100</v>
      </c>
      <c r="AT78" s="276" t="str">
        <f>IFERROR(__xludf.DUMMYFUNCTION("""COMPUTED_VALUE"""),"範囲(特大)")</f>
        <v>範囲(特大)</v>
      </c>
      <c r="AU78" s="346">
        <f>IFERROR(__xludf.DUMMYFUNCTION("""COMPUTED_VALUE"""),5.0)</f>
        <v>5</v>
      </c>
      <c r="AV78" s="300" t="str">
        <f>IFERROR(__xludf.DUMMYFUNCTION("""COMPUTED_VALUE"""),"発動確率")</f>
        <v>発動確率</v>
      </c>
      <c r="AW78" s="333">
        <f>IFERROR(__xludf.DUMMYFUNCTION("""COMPUTED_VALUE"""),100.0)</f>
        <v>100</v>
      </c>
      <c r="AX78" s="333">
        <f>IFERROR(__xludf.DUMMYFUNCTION("""COMPUTED_VALUE"""),100.0)</f>
        <v>100</v>
      </c>
      <c r="AY78" s="333">
        <f>IFERROR(__xludf.DUMMYFUNCTION("""COMPUTED_VALUE"""),100.0)</f>
        <v>100</v>
      </c>
      <c r="AZ78" s="333">
        <f>IFERROR(__xludf.DUMMYFUNCTION("""COMPUTED_VALUE"""),100.0)</f>
        <v>100</v>
      </c>
      <c r="BA78" s="333">
        <f>IFERROR(__xludf.DUMMYFUNCTION("""COMPUTED_VALUE"""),100.0)</f>
        <v>100</v>
      </c>
      <c r="BB78" s="333">
        <f>IFERROR(__xludf.DUMMYFUNCTION("""COMPUTED_VALUE"""),100.0)</f>
        <v>100</v>
      </c>
      <c r="BC78" s="333">
        <f>IFERROR(__xludf.DUMMYFUNCTION("""COMPUTED_VALUE"""),100.0)</f>
        <v>100</v>
      </c>
      <c r="BD78" s="336">
        <f>IFERROR(__xludf.DUMMYFUNCTION("""COMPUTED_VALUE"""),100.0)</f>
        <v>100</v>
      </c>
      <c r="BE78" s="279" t="str">
        <f>IFERROR(__xludf.DUMMYFUNCTION("""COMPUTED_VALUE"""),"範囲(小：威力減)")</f>
        <v>範囲(小：威力減)</v>
      </c>
      <c r="BF78" s="346">
        <f>IFERROR(__xludf.DUMMYFUNCTION("""COMPUTED_VALUE"""),5.0)</f>
        <v>5</v>
      </c>
      <c r="BG78" s="300" t="str">
        <f>IFERROR(__xludf.DUMMYFUNCTION("""COMPUTED_VALUE"""),"発動確率")</f>
        <v>発動確率</v>
      </c>
      <c r="BH78" s="333">
        <f>IFERROR(__xludf.DUMMYFUNCTION("""COMPUTED_VALUE"""),100.0)</f>
        <v>100</v>
      </c>
      <c r="BI78" s="333">
        <f>IFERROR(__xludf.DUMMYFUNCTION("""COMPUTED_VALUE"""),100.0)</f>
        <v>100</v>
      </c>
      <c r="BJ78" s="333">
        <f>IFERROR(__xludf.DUMMYFUNCTION("""COMPUTED_VALUE"""),100.0)</f>
        <v>100</v>
      </c>
      <c r="BK78" s="333">
        <f>IFERROR(__xludf.DUMMYFUNCTION("""COMPUTED_VALUE"""),100.0)</f>
        <v>100</v>
      </c>
      <c r="BL78" s="333">
        <f>IFERROR(__xludf.DUMMYFUNCTION("""COMPUTED_VALUE"""),100.0)</f>
        <v>100</v>
      </c>
      <c r="BM78" s="333">
        <f>IFERROR(__xludf.DUMMYFUNCTION("""COMPUTED_VALUE"""),100.0)</f>
        <v>100</v>
      </c>
      <c r="BN78" s="333">
        <f>IFERROR(__xludf.DUMMYFUNCTION("""COMPUTED_VALUE"""),100.0)</f>
        <v>100</v>
      </c>
      <c r="BO78" s="336">
        <f>IFERROR(__xludf.DUMMYFUNCTION("""COMPUTED_VALUE"""),100.0)</f>
        <v>100</v>
      </c>
    </row>
    <row r="79">
      <c r="A79" s="306" t="str">
        <f>IFERROR(__xludf.DUMMYFUNCTION("""COMPUTED_VALUE"""),"氷結")</f>
        <v>氷結</v>
      </c>
      <c r="B79" s="347" t="str">
        <f>IFERROR(__xludf.DUMMYFUNCTION("""COMPUTED_VALUE"""),"単体")</f>
        <v>単体</v>
      </c>
      <c r="C79" s="261">
        <f>IFERROR(__xludf.DUMMYFUNCTION("""COMPUTED_VALUE"""),1.0)</f>
        <v>1</v>
      </c>
      <c r="D79" s="338" t="str">
        <f>IFERROR(__xludf.DUMMYFUNCTION("""COMPUTED_VALUE"""),"効果値")</f>
        <v>効果値</v>
      </c>
      <c r="E79" s="348">
        <f>IFERROR(__xludf.DUMMYFUNCTION("""COMPUTED_VALUE"""),20.0)</f>
        <v>20</v>
      </c>
      <c r="F79" s="349">
        <f>IFERROR(__xludf.DUMMYFUNCTION("""COMPUTED_VALUE"""),20.0)</f>
        <v>20</v>
      </c>
      <c r="G79" s="349">
        <f>IFERROR(__xludf.DUMMYFUNCTION("""COMPUTED_VALUE"""),20.0)</f>
        <v>20</v>
      </c>
      <c r="H79" s="349">
        <f>IFERROR(__xludf.DUMMYFUNCTION("""COMPUTED_VALUE"""),20.0)</f>
        <v>20</v>
      </c>
      <c r="I79" s="349">
        <f>IFERROR(__xludf.DUMMYFUNCTION("""COMPUTED_VALUE"""),20.0)</f>
        <v>20</v>
      </c>
      <c r="J79" s="349">
        <f>IFERROR(__xludf.DUMMYFUNCTION("""COMPUTED_VALUE"""),20.0)</f>
        <v>20</v>
      </c>
      <c r="K79" s="349">
        <f>IFERROR(__xludf.DUMMYFUNCTION("""COMPUTED_VALUE"""),20.0)</f>
        <v>20</v>
      </c>
      <c r="L79" s="350">
        <f>IFERROR(__xludf.DUMMYFUNCTION("""COMPUTED_VALUE"""),20.0)</f>
        <v>20</v>
      </c>
      <c r="M79" s="267" t="str">
        <f>IFERROR(__xludf.DUMMYFUNCTION("""COMPUTED_VALUE"""),"範囲(小)")</f>
        <v>範囲(小)</v>
      </c>
      <c r="N79" s="261">
        <f>IFERROR(__xludf.DUMMYFUNCTION("""COMPUTED_VALUE"""),1.0)</f>
        <v>1</v>
      </c>
      <c r="O79" s="338" t="str">
        <f>IFERROR(__xludf.DUMMYFUNCTION("""COMPUTED_VALUE"""),"効果値")</f>
        <v>効果値</v>
      </c>
      <c r="P79" s="351">
        <f>IFERROR(__xludf.DUMMYFUNCTION("""COMPUTED_VALUE"""),20.0)</f>
        <v>20</v>
      </c>
      <c r="Q79" s="352">
        <f>IFERROR(__xludf.DUMMYFUNCTION("""COMPUTED_VALUE"""),20.0)</f>
        <v>20</v>
      </c>
      <c r="R79" s="352">
        <f>IFERROR(__xludf.DUMMYFUNCTION("""COMPUTED_VALUE"""),20.0)</f>
        <v>20</v>
      </c>
      <c r="S79" s="352">
        <f>IFERROR(__xludf.DUMMYFUNCTION("""COMPUTED_VALUE"""),20.0)</f>
        <v>20</v>
      </c>
      <c r="T79" s="352">
        <f>IFERROR(__xludf.DUMMYFUNCTION("""COMPUTED_VALUE"""),20.0)</f>
        <v>20</v>
      </c>
      <c r="U79" s="352">
        <f>IFERROR(__xludf.DUMMYFUNCTION("""COMPUTED_VALUE"""),20.0)</f>
        <v>20</v>
      </c>
      <c r="V79" s="352">
        <f>IFERROR(__xludf.DUMMYFUNCTION("""COMPUTED_VALUE"""),20.0)</f>
        <v>20</v>
      </c>
      <c r="W79" s="353">
        <f>IFERROR(__xludf.DUMMYFUNCTION("""COMPUTED_VALUE"""),20.0)</f>
        <v>20</v>
      </c>
      <c r="X79" s="267" t="str">
        <f>IFERROR(__xludf.DUMMYFUNCTION("""COMPUTED_VALUE"""),"範囲(中)")</f>
        <v>範囲(中)</v>
      </c>
      <c r="Y79" s="261">
        <f>IFERROR(__xludf.DUMMYFUNCTION("""COMPUTED_VALUE"""),1.0)</f>
        <v>1</v>
      </c>
      <c r="Z79" s="338" t="str">
        <f>IFERROR(__xludf.DUMMYFUNCTION("""COMPUTED_VALUE"""),"効果値")</f>
        <v>効果値</v>
      </c>
      <c r="AA79" s="351">
        <f>IFERROR(__xludf.DUMMYFUNCTION("""COMPUTED_VALUE"""),20.0)</f>
        <v>20</v>
      </c>
      <c r="AB79" s="352">
        <f>IFERROR(__xludf.DUMMYFUNCTION("""COMPUTED_VALUE"""),20.0)</f>
        <v>20</v>
      </c>
      <c r="AC79" s="352">
        <f>IFERROR(__xludf.DUMMYFUNCTION("""COMPUTED_VALUE"""),20.0)</f>
        <v>20</v>
      </c>
      <c r="AD79" s="352">
        <f>IFERROR(__xludf.DUMMYFUNCTION("""COMPUTED_VALUE"""),20.0)</f>
        <v>20</v>
      </c>
      <c r="AE79" s="352">
        <f>IFERROR(__xludf.DUMMYFUNCTION("""COMPUTED_VALUE"""),20.0)</f>
        <v>20</v>
      </c>
      <c r="AF79" s="352">
        <f>IFERROR(__xludf.DUMMYFUNCTION("""COMPUTED_VALUE"""),20.0)</f>
        <v>20</v>
      </c>
      <c r="AG79" s="352">
        <f>IFERROR(__xludf.DUMMYFUNCTION("""COMPUTED_VALUE"""),20.0)</f>
        <v>20</v>
      </c>
      <c r="AH79" s="353">
        <f>IFERROR(__xludf.DUMMYFUNCTION("""COMPUTED_VALUE"""),20.0)</f>
        <v>20</v>
      </c>
      <c r="AI79" s="267" t="str">
        <f>IFERROR(__xludf.DUMMYFUNCTION("""COMPUTED_VALUE"""),"範囲(大)")</f>
        <v>範囲(大)</v>
      </c>
      <c r="AJ79" s="261">
        <f>IFERROR(__xludf.DUMMYFUNCTION("""COMPUTED_VALUE"""),1.0)</f>
        <v>1</v>
      </c>
      <c r="AK79" s="338" t="str">
        <f>IFERROR(__xludf.DUMMYFUNCTION("""COMPUTED_VALUE"""),"効果値")</f>
        <v>効果値</v>
      </c>
      <c r="AL79" s="351">
        <f>IFERROR(__xludf.DUMMYFUNCTION("""COMPUTED_VALUE"""),20.0)</f>
        <v>20</v>
      </c>
      <c r="AM79" s="352">
        <f>IFERROR(__xludf.DUMMYFUNCTION("""COMPUTED_VALUE"""),20.0)</f>
        <v>20</v>
      </c>
      <c r="AN79" s="352">
        <f>IFERROR(__xludf.DUMMYFUNCTION("""COMPUTED_VALUE"""),20.0)</f>
        <v>20</v>
      </c>
      <c r="AO79" s="352">
        <f>IFERROR(__xludf.DUMMYFUNCTION("""COMPUTED_VALUE"""),20.0)</f>
        <v>20</v>
      </c>
      <c r="AP79" s="352">
        <f>IFERROR(__xludf.DUMMYFUNCTION("""COMPUTED_VALUE"""),20.0)</f>
        <v>20</v>
      </c>
      <c r="AQ79" s="352">
        <f>IFERROR(__xludf.DUMMYFUNCTION("""COMPUTED_VALUE"""),20.0)</f>
        <v>20</v>
      </c>
      <c r="AR79" s="352">
        <f>IFERROR(__xludf.DUMMYFUNCTION("""COMPUTED_VALUE"""),20.0)</f>
        <v>20</v>
      </c>
      <c r="AS79" s="353">
        <f>IFERROR(__xludf.DUMMYFUNCTION("""COMPUTED_VALUE"""),20.0)</f>
        <v>20</v>
      </c>
      <c r="AT79" s="267" t="str">
        <f>IFERROR(__xludf.DUMMYFUNCTION("""COMPUTED_VALUE"""),"範囲(特大)")</f>
        <v>範囲(特大)</v>
      </c>
      <c r="AU79" s="261">
        <f>IFERROR(__xludf.DUMMYFUNCTION("""COMPUTED_VALUE"""),1.0)</f>
        <v>1</v>
      </c>
      <c r="AV79" s="338" t="str">
        <f>IFERROR(__xludf.DUMMYFUNCTION("""COMPUTED_VALUE"""),"効果値")</f>
        <v>効果値</v>
      </c>
      <c r="AW79" s="351">
        <f>IFERROR(__xludf.DUMMYFUNCTION("""COMPUTED_VALUE"""),20.0)</f>
        <v>20</v>
      </c>
      <c r="AX79" s="352">
        <f>IFERROR(__xludf.DUMMYFUNCTION("""COMPUTED_VALUE"""),20.0)</f>
        <v>20</v>
      </c>
      <c r="AY79" s="352">
        <f>IFERROR(__xludf.DUMMYFUNCTION("""COMPUTED_VALUE"""),20.0)</f>
        <v>20</v>
      </c>
      <c r="AZ79" s="352">
        <f>IFERROR(__xludf.DUMMYFUNCTION("""COMPUTED_VALUE"""),20.0)</f>
        <v>20</v>
      </c>
      <c r="BA79" s="352">
        <f>IFERROR(__xludf.DUMMYFUNCTION("""COMPUTED_VALUE"""),20.0)</f>
        <v>20</v>
      </c>
      <c r="BB79" s="352">
        <f>IFERROR(__xludf.DUMMYFUNCTION("""COMPUTED_VALUE"""),20.0)</f>
        <v>20</v>
      </c>
      <c r="BC79" s="352">
        <f>IFERROR(__xludf.DUMMYFUNCTION("""COMPUTED_VALUE"""),20.0)</f>
        <v>20</v>
      </c>
      <c r="BD79" s="353">
        <f>IFERROR(__xludf.DUMMYFUNCTION("""COMPUTED_VALUE"""),20.0)</f>
        <v>20</v>
      </c>
      <c r="BE79" s="270" t="str">
        <f>IFERROR(__xludf.DUMMYFUNCTION("""COMPUTED_VALUE"""),"範囲(小：威力減)")</f>
        <v>範囲(小：威力減)</v>
      </c>
      <c r="BF79" s="261">
        <f>IFERROR(__xludf.DUMMYFUNCTION("""COMPUTED_VALUE"""),1.0)</f>
        <v>1</v>
      </c>
      <c r="BG79" s="338" t="str">
        <f>IFERROR(__xludf.DUMMYFUNCTION("""COMPUTED_VALUE"""),"効果値")</f>
        <v>効果値</v>
      </c>
      <c r="BH79" s="351">
        <f>IFERROR(__xludf.DUMMYFUNCTION("""COMPUTED_VALUE"""),20.0)</f>
        <v>20</v>
      </c>
      <c r="BI79" s="352">
        <f>IFERROR(__xludf.DUMMYFUNCTION("""COMPUTED_VALUE"""),20.0)</f>
        <v>20</v>
      </c>
      <c r="BJ79" s="352">
        <f>IFERROR(__xludf.DUMMYFUNCTION("""COMPUTED_VALUE"""),20.0)</f>
        <v>20</v>
      </c>
      <c r="BK79" s="352">
        <f>IFERROR(__xludf.DUMMYFUNCTION("""COMPUTED_VALUE"""),20.0)</f>
        <v>20</v>
      </c>
      <c r="BL79" s="352">
        <f>IFERROR(__xludf.DUMMYFUNCTION("""COMPUTED_VALUE"""),20.0)</f>
        <v>20</v>
      </c>
      <c r="BM79" s="352">
        <f>IFERROR(__xludf.DUMMYFUNCTION("""COMPUTED_VALUE"""),20.0)</f>
        <v>20</v>
      </c>
      <c r="BN79" s="352">
        <f>IFERROR(__xludf.DUMMYFUNCTION("""COMPUTED_VALUE"""),20.0)</f>
        <v>20</v>
      </c>
      <c r="BO79" s="353">
        <f>IFERROR(__xludf.DUMMYFUNCTION("""COMPUTED_VALUE"""),20.0)</f>
        <v>20</v>
      </c>
    </row>
    <row r="80">
      <c r="A80" s="307" t="str">
        <f>IFERROR(__xludf.DUMMYFUNCTION("""COMPUTED_VALUE"""),"氷結")</f>
        <v>氷結</v>
      </c>
      <c r="B80" s="255" t="str">
        <f>IFERROR(__xludf.DUMMYFUNCTION("""COMPUTED_VALUE"""),"単体")</f>
        <v>単体</v>
      </c>
      <c r="C80" s="308">
        <f>IFERROR(__xludf.DUMMYFUNCTION("""COMPUTED_VALUE"""),1.0)</f>
        <v>1</v>
      </c>
      <c r="D80" s="339" t="str">
        <f>IFERROR(__xludf.DUMMYFUNCTION("""COMPUTED_VALUE"""),"効果時間")</f>
        <v>効果時間</v>
      </c>
      <c r="E80" s="344">
        <f>IFERROR(__xludf.DUMMYFUNCTION("""COMPUTED_VALUE"""),50.0)</f>
        <v>50</v>
      </c>
      <c r="F80" s="344">
        <f>IFERROR(__xludf.DUMMYFUNCTION("""COMPUTED_VALUE"""),50.0)</f>
        <v>50</v>
      </c>
      <c r="G80" s="344">
        <f>IFERROR(__xludf.DUMMYFUNCTION("""COMPUTED_VALUE"""),50.0)</f>
        <v>50</v>
      </c>
      <c r="H80" s="345">
        <f>IFERROR(__xludf.DUMMYFUNCTION("""COMPUTED_VALUE"""),50.0)</f>
        <v>50</v>
      </c>
      <c r="I80" s="344">
        <f>IFERROR(__xludf.DUMMYFUNCTION("""COMPUTED_VALUE"""),50.0)</f>
        <v>50</v>
      </c>
      <c r="J80" s="345">
        <f>IFERROR(__xludf.DUMMYFUNCTION("""COMPUTED_VALUE"""),60.0)</f>
        <v>60</v>
      </c>
      <c r="K80" s="344">
        <f>IFERROR(__xludf.DUMMYFUNCTION("""COMPUTED_VALUE"""),75.0)</f>
        <v>75</v>
      </c>
      <c r="L80" s="345">
        <f>IFERROR(__xludf.DUMMYFUNCTION("""COMPUTED_VALUE"""),75.0)</f>
        <v>75</v>
      </c>
      <c r="M80" s="276" t="str">
        <f>IFERROR(__xludf.DUMMYFUNCTION("""COMPUTED_VALUE"""),"範囲(小)")</f>
        <v>範囲(小)</v>
      </c>
      <c r="N80" s="308">
        <f>IFERROR(__xludf.DUMMYFUNCTION("""COMPUTED_VALUE"""),1.0)</f>
        <v>1</v>
      </c>
      <c r="O80" s="339" t="str">
        <f>IFERROR(__xludf.DUMMYFUNCTION("""COMPUTED_VALUE"""),"効果時間")</f>
        <v>効果時間</v>
      </c>
      <c r="P80" s="318">
        <f>IFERROR(__xludf.DUMMYFUNCTION("""COMPUTED_VALUE"""),50.0)</f>
        <v>50</v>
      </c>
      <c r="Q80" s="318">
        <f>IFERROR(__xludf.DUMMYFUNCTION("""COMPUTED_VALUE"""),50.0)</f>
        <v>50</v>
      </c>
      <c r="R80" s="318">
        <f>IFERROR(__xludf.DUMMYFUNCTION("""COMPUTED_VALUE"""),50.0)</f>
        <v>50</v>
      </c>
      <c r="S80" s="318">
        <f>IFERROR(__xludf.DUMMYFUNCTION("""COMPUTED_VALUE"""),50.0)</f>
        <v>50</v>
      </c>
      <c r="T80" s="318">
        <f>IFERROR(__xludf.DUMMYFUNCTION("""COMPUTED_VALUE"""),50.0)</f>
        <v>50</v>
      </c>
      <c r="U80" s="318">
        <f>IFERROR(__xludf.DUMMYFUNCTION("""COMPUTED_VALUE"""),50.0)</f>
        <v>50</v>
      </c>
      <c r="V80" s="318">
        <f>IFERROR(__xludf.DUMMYFUNCTION("""COMPUTED_VALUE"""),60.0)</f>
        <v>60</v>
      </c>
      <c r="W80" s="319">
        <f>IFERROR(__xludf.DUMMYFUNCTION("""COMPUTED_VALUE"""),60.0)</f>
        <v>60</v>
      </c>
      <c r="X80" s="276" t="str">
        <f>IFERROR(__xludf.DUMMYFUNCTION("""COMPUTED_VALUE"""),"範囲(中)")</f>
        <v>範囲(中)</v>
      </c>
      <c r="Y80" s="308">
        <f>IFERROR(__xludf.DUMMYFUNCTION("""COMPUTED_VALUE"""),1.0)</f>
        <v>1</v>
      </c>
      <c r="Z80" s="339" t="str">
        <f>IFERROR(__xludf.DUMMYFUNCTION("""COMPUTED_VALUE"""),"効果時間")</f>
        <v>効果時間</v>
      </c>
      <c r="AA80" s="318">
        <f>IFERROR(__xludf.DUMMYFUNCTION("""COMPUTED_VALUE"""),50.0)</f>
        <v>50</v>
      </c>
      <c r="AB80" s="318">
        <f>IFERROR(__xludf.DUMMYFUNCTION("""COMPUTED_VALUE"""),50.0)</f>
        <v>50</v>
      </c>
      <c r="AC80" s="318">
        <f>IFERROR(__xludf.DUMMYFUNCTION("""COMPUTED_VALUE"""),50.0)</f>
        <v>50</v>
      </c>
      <c r="AD80" s="318">
        <f>IFERROR(__xludf.DUMMYFUNCTION("""COMPUTED_VALUE"""),50.0)</f>
        <v>50</v>
      </c>
      <c r="AE80" s="318">
        <f>IFERROR(__xludf.DUMMYFUNCTION("""COMPUTED_VALUE"""),50.0)</f>
        <v>50</v>
      </c>
      <c r="AF80" s="318">
        <f>IFERROR(__xludf.DUMMYFUNCTION("""COMPUTED_VALUE"""),50.0)</f>
        <v>50</v>
      </c>
      <c r="AG80" s="318">
        <f>IFERROR(__xludf.DUMMYFUNCTION("""COMPUTED_VALUE"""),50.0)</f>
        <v>50</v>
      </c>
      <c r="AH80" s="319">
        <f>IFERROR(__xludf.DUMMYFUNCTION("""COMPUTED_VALUE"""),50.0)</f>
        <v>50</v>
      </c>
      <c r="AI80" s="276" t="str">
        <f>IFERROR(__xludf.DUMMYFUNCTION("""COMPUTED_VALUE"""),"範囲(大)")</f>
        <v>範囲(大)</v>
      </c>
      <c r="AJ80" s="308">
        <f>IFERROR(__xludf.DUMMYFUNCTION("""COMPUTED_VALUE"""),1.0)</f>
        <v>1</v>
      </c>
      <c r="AK80" s="339" t="str">
        <f>IFERROR(__xludf.DUMMYFUNCTION("""COMPUTED_VALUE"""),"効果時間")</f>
        <v>効果時間</v>
      </c>
      <c r="AL80" s="318">
        <f>IFERROR(__xludf.DUMMYFUNCTION("""COMPUTED_VALUE"""),50.0)</f>
        <v>50</v>
      </c>
      <c r="AM80" s="318">
        <f>IFERROR(__xludf.DUMMYFUNCTION("""COMPUTED_VALUE"""),50.0)</f>
        <v>50</v>
      </c>
      <c r="AN80" s="318">
        <f>IFERROR(__xludf.DUMMYFUNCTION("""COMPUTED_VALUE"""),50.0)</f>
        <v>50</v>
      </c>
      <c r="AO80" s="318">
        <f>IFERROR(__xludf.DUMMYFUNCTION("""COMPUTED_VALUE"""),50.0)</f>
        <v>50</v>
      </c>
      <c r="AP80" s="318">
        <f>IFERROR(__xludf.DUMMYFUNCTION("""COMPUTED_VALUE"""),50.0)</f>
        <v>50</v>
      </c>
      <c r="AQ80" s="318">
        <f>IFERROR(__xludf.DUMMYFUNCTION("""COMPUTED_VALUE"""),50.0)</f>
        <v>50</v>
      </c>
      <c r="AR80" s="318">
        <f>IFERROR(__xludf.DUMMYFUNCTION("""COMPUTED_VALUE"""),50.0)</f>
        <v>50</v>
      </c>
      <c r="AS80" s="319">
        <f>IFERROR(__xludf.DUMMYFUNCTION("""COMPUTED_VALUE"""),50.0)</f>
        <v>50</v>
      </c>
      <c r="AT80" s="276" t="str">
        <f>IFERROR(__xludf.DUMMYFUNCTION("""COMPUTED_VALUE"""),"範囲(特大)")</f>
        <v>範囲(特大)</v>
      </c>
      <c r="AU80" s="308">
        <f>IFERROR(__xludf.DUMMYFUNCTION("""COMPUTED_VALUE"""),1.0)</f>
        <v>1</v>
      </c>
      <c r="AV80" s="339" t="str">
        <f>IFERROR(__xludf.DUMMYFUNCTION("""COMPUTED_VALUE"""),"効果時間")</f>
        <v>効果時間</v>
      </c>
      <c r="AW80" s="318">
        <f>IFERROR(__xludf.DUMMYFUNCTION("""COMPUTED_VALUE"""),50.0)</f>
        <v>50</v>
      </c>
      <c r="AX80" s="318">
        <f>IFERROR(__xludf.DUMMYFUNCTION("""COMPUTED_VALUE"""),50.0)</f>
        <v>50</v>
      </c>
      <c r="AY80" s="318">
        <f>IFERROR(__xludf.DUMMYFUNCTION("""COMPUTED_VALUE"""),50.0)</f>
        <v>50</v>
      </c>
      <c r="AZ80" s="318">
        <f>IFERROR(__xludf.DUMMYFUNCTION("""COMPUTED_VALUE"""),50.0)</f>
        <v>50</v>
      </c>
      <c r="BA80" s="318">
        <f>IFERROR(__xludf.DUMMYFUNCTION("""COMPUTED_VALUE"""),50.0)</f>
        <v>50</v>
      </c>
      <c r="BB80" s="318">
        <f>IFERROR(__xludf.DUMMYFUNCTION("""COMPUTED_VALUE"""),50.0)</f>
        <v>50</v>
      </c>
      <c r="BC80" s="318">
        <f>IFERROR(__xludf.DUMMYFUNCTION("""COMPUTED_VALUE"""),50.0)</f>
        <v>50</v>
      </c>
      <c r="BD80" s="319">
        <f>IFERROR(__xludf.DUMMYFUNCTION("""COMPUTED_VALUE"""),50.0)</f>
        <v>50</v>
      </c>
      <c r="BE80" s="279" t="str">
        <f>IFERROR(__xludf.DUMMYFUNCTION("""COMPUTED_VALUE"""),"範囲(小：威力減)")</f>
        <v>範囲(小：威力減)</v>
      </c>
      <c r="BF80" s="308">
        <f>IFERROR(__xludf.DUMMYFUNCTION("""COMPUTED_VALUE"""),1.0)</f>
        <v>1</v>
      </c>
      <c r="BG80" s="339" t="str">
        <f>IFERROR(__xludf.DUMMYFUNCTION("""COMPUTED_VALUE"""),"効果時間")</f>
        <v>効果時間</v>
      </c>
      <c r="BH80" s="318">
        <f>IFERROR(__xludf.DUMMYFUNCTION("""COMPUTED_VALUE"""),50.0)</f>
        <v>50</v>
      </c>
      <c r="BI80" s="318">
        <f>IFERROR(__xludf.DUMMYFUNCTION("""COMPUTED_VALUE"""),50.0)</f>
        <v>50</v>
      </c>
      <c r="BJ80" s="318">
        <f>IFERROR(__xludf.DUMMYFUNCTION("""COMPUTED_VALUE"""),50.0)</f>
        <v>50</v>
      </c>
      <c r="BK80" s="318">
        <f>IFERROR(__xludf.DUMMYFUNCTION("""COMPUTED_VALUE"""),50.0)</f>
        <v>50</v>
      </c>
      <c r="BL80" s="318">
        <f>IFERROR(__xludf.DUMMYFUNCTION("""COMPUTED_VALUE"""),50.0)</f>
        <v>50</v>
      </c>
      <c r="BM80" s="318">
        <f>IFERROR(__xludf.DUMMYFUNCTION("""COMPUTED_VALUE"""),50.0)</f>
        <v>50</v>
      </c>
      <c r="BN80" s="318">
        <f>IFERROR(__xludf.DUMMYFUNCTION("""COMPUTED_VALUE"""),50.0)</f>
        <v>50</v>
      </c>
      <c r="BO80" s="319">
        <f>IFERROR(__xludf.DUMMYFUNCTION("""COMPUTED_VALUE"""),50.0)</f>
        <v>50</v>
      </c>
    </row>
    <row r="81">
      <c r="A81" s="307" t="str">
        <f>IFERROR(__xludf.DUMMYFUNCTION("""COMPUTED_VALUE"""),"氷結")</f>
        <v>氷結</v>
      </c>
      <c r="B81" s="255" t="str">
        <f>IFERROR(__xludf.DUMMYFUNCTION("""COMPUTED_VALUE"""),"単体")</f>
        <v>単体</v>
      </c>
      <c r="C81" s="308">
        <f>IFERROR(__xludf.DUMMYFUNCTION("""COMPUTED_VALUE"""),1.0)</f>
        <v>1</v>
      </c>
      <c r="D81" s="339" t="str">
        <f>IFERROR(__xludf.DUMMYFUNCTION("""COMPUTED_VALUE"""),"発動確率")</f>
        <v>発動確率</v>
      </c>
      <c r="E81" s="310">
        <f>IFERROR(__xludf.DUMMYFUNCTION("""COMPUTED_VALUE"""),100.0)</f>
        <v>100</v>
      </c>
      <c r="F81" s="310">
        <f>IFERROR(__xludf.DUMMYFUNCTION("""COMPUTED_VALUE"""),100.0)</f>
        <v>100</v>
      </c>
      <c r="G81" s="310">
        <f>IFERROR(__xludf.DUMMYFUNCTION("""COMPUTED_VALUE"""),100.0)</f>
        <v>100</v>
      </c>
      <c r="H81" s="311">
        <f>IFERROR(__xludf.DUMMYFUNCTION("""COMPUTED_VALUE"""),100.0)</f>
        <v>100</v>
      </c>
      <c r="I81" s="310">
        <f>IFERROR(__xludf.DUMMYFUNCTION("""COMPUTED_VALUE"""),100.0)</f>
        <v>100</v>
      </c>
      <c r="J81" s="311">
        <f>IFERROR(__xludf.DUMMYFUNCTION("""COMPUTED_VALUE"""),100.0)</f>
        <v>100</v>
      </c>
      <c r="K81" s="310">
        <f>IFERROR(__xludf.DUMMYFUNCTION("""COMPUTED_VALUE"""),100.0)</f>
        <v>100</v>
      </c>
      <c r="L81" s="311">
        <f>IFERROR(__xludf.DUMMYFUNCTION("""COMPUTED_VALUE"""),100.0)</f>
        <v>100</v>
      </c>
      <c r="M81" s="276" t="str">
        <f>IFERROR(__xludf.DUMMYFUNCTION("""COMPUTED_VALUE"""),"範囲(小)")</f>
        <v>範囲(小)</v>
      </c>
      <c r="N81" s="308">
        <f>IFERROR(__xludf.DUMMYFUNCTION("""COMPUTED_VALUE"""),1.0)</f>
        <v>1</v>
      </c>
      <c r="O81" s="339" t="str">
        <f>IFERROR(__xludf.DUMMYFUNCTION("""COMPUTED_VALUE"""),"発動確率")</f>
        <v>発動確率</v>
      </c>
      <c r="P81" s="322">
        <f>IFERROR(__xludf.DUMMYFUNCTION("""COMPUTED_VALUE"""),100.0)</f>
        <v>100</v>
      </c>
      <c r="Q81" s="322">
        <f>IFERROR(__xludf.DUMMYFUNCTION("""COMPUTED_VALUE"""),100.0)</f>
        <v>100</v>
      </c>
      <c r="R81" s="322">
        <f>IFERROR(__xludf.DUMMYFUNCTION("""COMPUTED_VALUE"""),100.0)</f>
        <v>100</v>
      </c>
      <c r="S81" s="323">
        <f>IFERROR(__xludf.DUMMYFUNCTION("""COMPUTED_VALUE"""),100.0)</f>
        <v>100</v>
      </c>
      <c r="T81" s="322">
        <f>IFERROR(__xludf.DUMMYFUNCTION("""COMPUTED_VALUE"""),100.0)</f>
        <v>100</v>
      </c>
      <c r="U81" s="323">
        <f>IFERROR(__xludf.DUMMYFUNCTION("""COMPUTED_VALUE"""),100.0)</f>
        <v>100</v>
      </c>
      <c r="V81" s="322">
        <f>IFERROR(__xludf.DUMMYFUNCTION("""COMPUTED_VALUE"""),100.0)</f>
        <v>100</v>
      </c>
      <c r="W81" s="354">
        <f>IFERROR(__xludf.DUMMYFUNCTION("""COMPUTED_VALUE"""),100.0)</f>
        <v>100</v>
      </c>
      <c r="X81" s="276" t="str">
        <f>IFERROR(__xludf.DUMMYFUNCTION("""COMPUTED_VALUE"""),"範囲(中)")</f>
        <v>範囲(中)</v>
      </c>
      <c r="Y81" s="308">
        <f>IFERROR(__xludf.DUMMYFUNCTION("""COMPUTED_VALUE"""),1.0)</f>
        <v>1</v>
      </c>
      <c r="Z81" s="339" t="str">
        <f>IFERROR(__xludf.DUMMYFUNCTION("""COMPUTED_VALUE"""),"発動確率")</f>
        <v>発動確率</v>
      </c>
      <c r="AA81" s="322">
        <f>IFERROR(__xludf.DUMMYFUNCTION("""COMPUTED_VALUE"""),100.0)</f>
        <v>100</v>
      </c>
      <c r="AB81" s="322">
        <f>IFERROR(__xludf.DUMMYFUNCTION("""COMPUTED_VALUE"""),100.0)</f>
        <v>100</v>
      </c>
      <c r="AC81" s="322">
        <f>IFERROR(__xludf.DUMMYFUNCTION("""COMPUTED_VALUE"""),100.0)</f>
        <v>100</v>
      </c>
      <c r="AD81" s="323">
        <f>IFERROR(__xludf.DUMMYFUNCTION("""COMPUTED_VALUE"""),100.0)</f>
        <v>100</v>
      </c>
      <c r="AE81" s="322">
        <f>IFERROR(__xludf.DUMMYFUNCTION("""COMPUTED_VALUE"""),100.0)</f>
        <v>100</v>
      </c>
      <c r="AF81" s="323">
        <f>IFERROR(__xludf.DUMMYFUNCTION("""COMPUTED_VALUE"""),100.0)</f>
        <v>100</v>
      </c>
      <c r="AG81" s="322">
        <f>IFERROR(__xludf.DUMMYFUNCTION("""COMPUTED_VALUE"""),100.0)</f>
        <v>100</v>
      </c>
      <c r="AH81" s="354">
        <f>IFERROR(__xludf.DUMMYFUNCTION("""COMPUTED_VALUE"""),100.0)</f>
        <v>100</v>
      </c>
      <c r="AI81" s="276" t="str">
        <f>IFERROR(__xludf.DUMMYFUNCTION("""COMPUTED_VALUE"""),"範囲(大)")</f>
        <v>範囲(大)</v>
      </c>
      <c r="AJ81" s="308">
        <f>IFERROR(__xludf.DUMMYFUNCTION("""COMPUTED_VALUE"""),1.0)</f>
        <v>1</v>
      </c>
      <c r="AK81" s="339" t="str">
        <f>IFERROR(__xludf.DUMMYFUNCTION("""COMPUTED_VALUE"""),"発動確率")</f>
        <v>発動確率</v>
      </c>
      <c r="AL81" s="322">
        <f>IFERROR(__xludf.DUMMYFUNCTION("""COMPUTED_VALUE"""),100.0)</f>
        <v>100</v>
      </c>
      <c r="AM81" s="322">
        <f>IFERROR(__xludf.DUMMYFUNCTION("""COMPUTED_VALUE"""),100.0)</f>
        <v>100</v>
      </c>
      <c r="AN81" s="322">
        <f>IFERROR(__xludf.DUMMYFUNCTION("""COMPUTED_VALUE"""),100.0)</f>
        <v>100</v>
      </c>
      <c r="AO81" s="323">
        <f>IFERROR(__xludf.DUMMYFUNCTION("""COMPUTED_VALUE"""),100.0)</f>
        <v>100</v>
      </c>
      <c r="AP81" s="322">
        <f>IFERROR(__xludf.DUMMYFUNCTION("""COMPUTED_VALUE"""),100.0)</f>
        <v>100</v>
      </c>
      <c r="AQ81" s="323">
        <f>IFERROR(__xludf.DUMMYFUNCTION("""COMPUTED_VALUE"""),100.0)</f>
        <v>100</v>
      </c>
      <c r="AR81" s="322">
        <f>IFERROR(__xludf.DUMMYFUNCTION("""COMPUTED_VALUE"""),100.0)</f>
        <v>100</v>
      </c>
      <c r="AS81" s="354">
        <f>IFERROR(__xludf.DUMMYFUNCTION("""COMPUTED_VALUE"""),100.0)</f>
        <v>100</v>
      </c>
      <c r="AT81" s="276" t="str">
        <f>IFERROR(__xludf.DUMMYFUNCTION("""COMPUTED_VALUE"""),"範囲(特大)")</f>
        <v>範囲(特大)</v>
      </c>
      <c r="AU81" s="308">
        <f>IFERROR(__xludf.DUMMYFUNCTION("""COMPUTED_VALUE"""),1.0)</f>
        <v>1</v>
      </c>
      <c r="AV81" s="339" t="str">
        <f>IFERROR(__xludf.DUMMYFUNCTION("""COMPUTED_VALUE"""),"発動確率")</f>
        <v>発動確率</v>
      </c>
      <c r="AW81" s="322">
        <f>IFERROR(__xludf.DUMMYFUNCTION("""COMPUTED_VALUE"""),100.0)</f>
        <v>100</v>
      </c>
      <c r="AX81" s="322">
        <f>IFERROR(__xludf.DUMMYFUNCTION("""COMPUTED_VALUE"""),100.0)</f>
        <v>100</v>
      </c>
      <c r="AY81" s="322">
        <f>IFERROR(__xludf.DUMMYFUNCTION("""COMPUTED_VALUE"""),100.0)</f>
        <v>100</v>
      </c>
      <c r="AZ81" s="323">
        <f>IFERROR(__xludf.DUMMYFUNCTION("""COMPUTED_VALUE"""),100.0)</f>
        <v>100</v>
      </c>
      <c r="BA81" s="322">
        <f>IFERROR(__xludf.DUMMYFUNCTION("""COMPUTED_VALUE"""),100.0)</f>
        <v>100</v>
      </c>
      <c r="BB81" s="323">
        <f>IFERROR(__xludf.DUMMYFUNCTION("""COMPUTED_VALUE"""),100.0)</f>
        <v>100</v>
      </c>
      <c r="BC81" s="322">
        <f>IFERROR(__xludf.DUMMYFUNCTION("""COMPUTED_VALUE"""),100.0)</f>
        <v>100</v>
      </c>
      <c r="BD81" s="354">
        <f>IFERROR(__xludf.DUMMYFUNCTION("""COMPUTED_VALUE"""),100.0)</f>
        <v>100</v>
      </c>
      <c r="BE81" s="279" t="str">
        <f>IFERROR(__xludf.DUMMYFUNCTION("""COMPUTED_VALUE"""),"範囲(小：威力減)")</f>
        <v>範囲(小：威力減)</v>
      </c>
      <c r="BF81" s="308">
        <f>IFERROR(__xludf.DUMMYFUNCTION("""COMPUTED_VALUE"""),1.0)</f>
        <v>1</v>
      </c>
      <c r="BG81" s="339" t="str">
        <f>IFERROR(__xludf.DUMMYFUNCTION("""COMPUTED_VALUE"""),"発動確率")</f>
        <v>発動確率</v>
      </c>
      <c r="BH81" s="322">
        <f>IFERROR(__xludf.DUMMYFUNCTION("""COMPUTED_VALUE"""),100.0)</f>
        <v>100</v>
      </c>
      <c r="BI81" s="322">
        <f>IFERROR(__xludf.DUMMYFUNCTION("""COMPUTED_VALUE"""),100.0)</f>
        <v>100</v>
      </c>
      <c r="BJ81" s="322">
        <f>IFERROR(__xludf.DUMMYFUNCTION("""COMPUTED_VALUE"""),100.0)</f>
        <v>100</v>
      </c>
      <c r="BK81" s="323">
        <f>IFERROR(__xludf.DUMMYFUNCTION("""COMPUTED_VALUE"""),100.0)</f>
        <v>100</v>
      </c>
      <c r="BL81" s="322">
        <f>IFERROR(__xludf.DUMMYFUNCTION("""COMPUTED_VALUE"""),100.0)</f>
        <v>100</v>
      </c>
      <c r="BM81" s="323">
        <f>IFERROR(__xludf.DUMMYFUNCTION("""COMPUTED_VALUE"""),100.0)</f>
        <v>100</v>
      </c>
      <c r="BN81" s="322">
        <f>IFERROR(__xludf.DUMMYFUNCTION("""COMPUTED_VALUE"""),100.0)</f>
        <v>100</v>
      </c>
      <c r="BO81" s="354">
        <f>IFERROR(__xludf.DUMMYFUNCTION("""COMPUTED_VALUE"""),100.0)</f>
        <v>100</v>
      </c>
    </row>
    <row r="82">
      <c r="A82" s="307" t="str">
        <f>IFERROR(__xludf.DUMMYFUNCTION("""COMPUTED_VALUE"""),"氷結")</f>
        <v>氷結</v>
      </c>
      <c r="B82" s="255" t="str">
        <f>IFERROR(__xludf.DUMMYFUNCTION("""COMPUTED_VALUE"""),"単体")</f>
        <v>単体</v>
      </c>
      <c r="C82" s="316">
        <f>IFERROR(__xludf.DUMMYFUNCTION("""COMPUTED_VALUE"""),2.0)</f>
        <v>2</v>
      </c>
      <c r="D82" s="342" t="str">
        <f>IFERROR(__xludf.DUMMYFUNCTION("""COMPUTED_VALUE"""),"効果値")</f>
        <v>効果値</v>
      </c>
      <c r="E82" s="355">
        <f>IFERROR(__xludf.DUMMYFUNCTION("""COMPUTED_VALUE"""),20.0)</f>
        <v>20</v>
      </c>
      <c r="F82" s="356">
        <f>IFERROR(__xludf.DUMMYFUNCTION("""COMPUTED_VALUE"""),20.0)</f>
        <v>20</v>
      </c>
      <c r="G82" s="356">
        <f>IFERROR(__xludf.DUMMYFUNCTION("""COMPUTED_VALUE"""),20.0)</f>
        <v>20</v>
      </c>
      <c r="H82" s="356">
        <f>IFERROR(__xludf.DUMMYFUNCTION("""COMPUTED_VALUE"""),20.0)</f>
        <v>20</v>
      </c>
      <c r="I82" s="356">
        <f>IFERROR(__xludf.DUMMYFUNCTION("""COMPUTED_VALUE"""),20.0)</f>
        <v>20</v>
      </c>
      <c r="J82" s="356">
        <f>IFERROR(__xludf.DUMMYFUNCTION("""COMPUTED_VALUE"""),20.0)</f>
        <v>20</v>
      </c>
      <c r="K82" s="356">
        <f>IFERROR(__xludf.DUMMYFUNCTION("""COMPUTED_VALUE"""),20.0)</f>
        <v>20</v>
      </c>
      <c r="L82" s="357">
        <f>IFERROR(__xludf.DUMMYFUNCTION("""COMPUTED_VALUE"""),20.0)</f>
        <v>20</v>
      </c>
      <c r="M82" s="276" t="str">
        <f>IFERROR(__xludf.DUMMYFUNCTION("""COMPUTED_VALUE"""),"範囲(小)")</f>
        <v>範囲(小)</v>
      </c>
      <c r="N82" s="316">
        <f>IFERROR(__xludf.DUMMYFUNCTION("""COMPUTED_VALUE"""),2.0)</f>
        <v>2</v>
      </c>
      <c r="O82" s="342" t="str">
        <f>IFERROR(__xludf.DUMMYFUNCTION("""COMPUTED_VALUE"""),"効果値")</f>
        <v>効果値</v>
      </c>
      <c r="P82" s="358">
        <f>IFERROR(__xludf.DUMMYFUNCTION("""COMPUTED_VALUE"""),20.0)</f>
        <v>20</v>
      </c>
      <c r="Q82" s="359">
        <f>IFERROR(__xludf.DUMMYFUNCTION("""COMPUTED_VALUE"""),20.0)</f>
        <v>20</v>
      </c>
      <c r="R82" s="359">
        <f>IFERROR(__xludf.DUMMYFUNCTION("""COMPUTED_VALUE"""),20.0)</f>
        <v>20</v>
      </c>
      <c r="S82" s="359">
        <f>IFERROR(__xludf.DUMMYFUNCTION("""COMPUTED_VALUE"""),20.0)</f>
        <v>20</v>
      </c>
      <c r="T82" s="359">
        <f>IFERROR(__xludf.DUMMYFUNCTION("""COMPUTED_VALUE"""),20.0)</f>
        <v>20</v>
      </c>
      <c r="U82" s="359">
        <f>IFERROR(__xludf.DUMMYFUNCTION("""COMPUTED_VALUE"""),20.0)</f>
        <v>20</v>
      </c>
      <c r="V82" s="359">
        <f>IFERROR(__xludf.DUMMYFUNCTION("""COMPUTED_VALUE"""),20.0)</f>
        <v>20</v>
      </c>
      <c r="W82" s="360">
        <f>IFERROR(__xludf.DUMMYFUNCTION("""COMPUTED_VALUE"""),20.0)</f>
        <v>20</v>
      </c>
      <c r="X82" s="276" t="str">
        <f>IFERROR(__xludf.DUMMYFUNCTION("""COMPUTED_VALUE"""),"範囲(中)")</f>
        <v>範囲(中)</v>
      </c>
      <c r="Y82" s="316">
        <f>IFERROR(__xludf.DUMMYFUNCTION("""COMPUTED_VALUE"""),2.0)</f>
        <v>2</v>
      </c>
      <c r="Z82" s="342" t="str">
        <f>IFERROR(__xludf.DUMMYFUNCTION("""COMPUTED_VALUE"""),"効果値")</f>
        <v>効果値</v>
      </c>
      <c r="AA82" s="358">
        <f>IFERROR(__xludf.DUMMYFUNCTION("""COMPUTED_VALUE"""),20.0)</f>
        <v>20</v>
      </c>
      <c r="AB82" s="359">
        <f>IFERROR(__xludf.DUMMYFUNCTION("""COMPUTED_VALUE"""),20.0)</f>
        <v>20</v>
      </c>
      <c r="AC82" s="359">
        <f>IFERROR(__xludf.DUMMYFUNCTION("""COMPUTED_VALUE"""),20.0)</f>
        <v>20</v>
      </c>
      <c r="AD82" s="359">
        <f>IFERROR(__xludf.DUMMYFUNCTION("""COMPUTED_VALUE"""),20.0)</f>
        <v>20</v>
      </c>
      <c r="AE82" s="359">
        <f>IFERROR(__xludf.DUMMYFUNCTION("""COMPUTED_VALUE"""),20.0)</f>
        <v>20</v>
      </c>
      <c r="AF82" s="359">
        <f>IFERROR(__xludf.DUMMYFUNCTION("""COMPUTED_VALUE"""),20.0)</f>
        <v>20</v>
      </c>
      <c r="AG82" s="359">
        <f>IFERROR(__xludf.DUMMYFUNCTION("""COMPUTED_VALUE"""),20.0)</f>
        <v>20</v>
      </c>
      <c r="AH82" s="360">
        <f>IFERROR(__xludf.DUMMYFUNCTION("""COMPUTED_VALUE"""),20.0)</f>
        <v>20</v>
      </c>
      <c r="AI82" s="276" t="str">
        <f>IFERROR(__xludf.DUMMYFUNCTION("""COMPUTED_VALUE"""),"範囲(大)")</f>
        <v>範囲(大)</v>
      </c>
      <c r="AJ82" s="316">
        <f>IFERROR(__xludf.DUMMYFUNCTION("""COMPUTED_VALUE"""),2.0)</f>
        <v>2</v>
      </c>
      <c r="AK82" s="342" t="str">
        <f>IFERROR(__xludf.DUMMYFUNCTION("""COMPUTED_VALUE"""),"効果値")</f>
        <v>効果値</v>
      </c>
      <c r="AL82" s="358">
        <f>IFERROR(__xludf.DUMMYFUNCTION("""COMPUTED_VALUE"""),20.0)</f>
        <v>20</v>
      </c>
      <c r="AM82" s="359">
        <f>IFERROR(__xludf.DUMMYFUNCTION("""COMPUTED_VALUE"""),20.0)</f>
        <v>20</v>
      </c>
      <c r="AN82" s="359">
        <f>IFERROR(__xludf.DUMMYFUNCTION("""COMPUTED_VALUE"""),20.0)</f>
        <v>20</v>
      </c>
      <c r="AO82" s="359">
        <f>IFERROR(__xludf.DUMMYFUNCTION("""COMPUTED_VALUE"""),20.0)</f>
        <v>20</v>
      </c>
      <c r="AP82" s="359">
        <f>IFERROR(__xludf.DUMMYFUNCTION("""COMPUTED_VALUE"""),20.0)</f>
        <v>20</v>
      </c>
      <c r="AQ82" s="359">
        <f>IFERROR(__xludf.DUMMYFUNCTION("""COMPUTED_VALUE"""),20.0)</f>
        <v>20</v>
      </c>
      <c r="AR82" s="359">
        <f>IFERROR(__xludf.DUMMYFUNCTION("""COMPUTED_VALUE"""),20.0)</f>
        <v>20</v>
      </c>
      <c r="AS82" s="360">
        <f>IFERROR(__xludf.DUMMYFUNCTION("""COMPUTED_VALUE"""),20.0)</f>
        <v>20</v>
      </c>
      <c r="AT82" s="276" t="str">
        <f>IFERROR(__xludf.DUMMYFUNCTION("""COMPUTED_VALUE"""),"範囲(特大)")</f>
        <v>範囲(特大)</v>
      </c>
      <c r="AU82" s="316">
        <f>IFERROR(__xludf.DUMMYFUNCTION("""COMPUTED_VALUE"""),2.0)</f>
        <v>2</v>
      </c>
      <c r="AV82" s="342" t="str">
        <f>IFERROR(__xludf.DUMMYFUNCTION("""COMPUTED_VALUE"""),"効果値")</f>
        <v>効果値</v>
      </c>
      <c r="AW82" s="358">
        <f>IFERROR(__xludf.DUMMYFUNCTION("""COMPUTED_VALUE"""),20.0)</f>
        <v>20</v>
      </c>
      <c r="AX82" s="359">
        <f>IFERROR(__xludf.DUMMYFUNCTION("""COMPUTED_VALUE"""),20.0)</f>
        <v>20</v>
      </c>
      <c r="AY82" s="359">
        <f>IFERROR(__xludf.DUMMYFUNCTION("""COMPUTED_VALUE"""),20.0)</f>
        <v>20</v>
      </c>
      <c r="AZ82" s="359">
        <f>IFERROR(__xludf.DUMMYFUNCTION("""COMPUTED_VALUE"""),20.0)</f>
        <v>20</v>
      </c>
      <c r="BA82" s="359">
        <f>IFERROR(__xludf.DUMMYFUNCTION("""COMPUTED_VALUE"""),20.0)</f>
        <v>20</v>
      </c>
      <c r="BB82" s="359">
        <f>IFERROR(__xludf.DUMMYFUNCTION("""COMPUTED_VALUE"""),20.0)</f>
        <v>20</v>
      </c>
      <c r="BC82" s="359">
        <f>IFERROR(__xludf.DUMMYFUNCTION("""COMPUTED_VALUE"""),20.0)</f>
        <v>20</v>
      </c>
      <c r="BD82" s="360">
        <f>IFERROR(__xludf.DUMMYFUNCTION("""COMPUTED_VALUE"""),20.0)</f>
        <v>20</v>
      </c>
      <c r="BE82" s="279" t="str">
        <f>IFERROR(__xludf.DUMMYFUNCTION("""COMPUTED_VALUE"""),"範囲(小：威力減)")</f>
        <v>範囲(小：威力減)</v>
      </c>
      <c r="BF82" s="316">
        <f>IFERROR(__xludf.DUMMYFUNCTION("""COMPUTED_VALUE"""),2.0)</f>
        <v>2</v>
      </c>
      <c r="BG82" s="342" t="str">
        <f>IFERROR(__xludf.DUMMYFUNCTION("""COMPUTED_VALUE"""),"効果値")</f>
        <v>効果値</v>
      </c>
      <c r="BH82" s="358">
        <f>IFERROR(__xludf.DUMMYFUNCTION("""COMPUTED_VALUE"""),20.0)</f>
        <v>20</v>
      </c>
      <c r="BI82" s="359">
        <f>IFERROR(__xludf.DUMMYFUNCTION("""COMPUTED_VALUE"""),20.0)</f>
        <v>20</v>
      </c>
      <c r="BJ82" s="359">
        <f>IFERROR(__xludf.DUMMYFUNCTION("""COMPUTED_VALUE"""),20.0)</f>
        <v>20</v>
      </c>
      <c r="BK82" s="359">
        <f>IFERROR(__xludf.DUMMYFUNCTION("""COMPUTED_VALUE"""),20.0)</f>
        <v>20</v>
      </c>
      <c r="BL82" s="359">
        <f>IFERROR(__xludf.DUMMYFUNCTION("""COMPUTED_VALUE"""),20.0)</f>
        <v>20</v>
      </c>
      <c r="BM82" s="359">
        <f>IFERROR(__xludf.DUMMYFUNCTION("""COMPUTED_VALUE"""),20.0)</f>
        <v>20</v>
      </c>
      <c r="BN82" s="359">
        <f>IFERROR(__xludf.DUMMYFUNCTION("""COMPUTED_VALUE"""),20.0)</f>
        <v>20</v>
      </c>
      <c r="BO82" s="360">
        <f>IFERROR(__xludf.DUMMYFUNCTION("""COMPUTED_VALUE"""),20.0)</f>
        <v>20</v>
      </c>
    </row>
    <row r="83">
      <c r="A83" s="307" t="str">
        <f>IFERROR(__xludf.DUMMYFUNCTION("""COMPUTED_VALUE"""),"氷結")</f>
        <v>氷結</v>
      </c>
      <c r="B83" s="255" t="str">
        <f>IFERROR(__xludf.DUMMYFUNCTION("""COMPUTED_VALUE"""),"単体")</f>
        <v>単体</v>
      </c>
      <c r="C83" s="308">
        <f>IFERROR(__xludf.DUMMYFUNCTION("""COMPUTED_VALUE"""),2.0)</f>
        <v>2</v>
      </c>
      <c r="D83" s="274" t="str">
        <f>IFERROR(__xludf.DUMMYFUNCTION("""COMPUTED_VALUE"""),"効果時間")</f>
        <v>効果時間</v>
      </c>
      <c r="E83" s="317">
        <f>IFERROR(__xludf.DUMMYFUNCTION("""COMPUTED_VALUE"""),50.0)</f>
        <v>50</v>
      </c>
      <c r="F83" s="317">
        <f>IFERROR(__xludf.DUMMYFUNCTION("""COMPUTED_VALUE"""),50.0)</f>
        <v>50</v>
      </c>
      <c r="G83" s="317">
        <f>IFERROR(__xludf.DUMMYFUNCTION("""COMPUTED_VALUE"""),55.0)</f>
        <v>55</v>
      </c>
      <c r="H83" s="317">
        <f>IFERROR(__xludf.DUMMYFUNCTION("""COMPUTED_VALUE"""),55.0)</f>
        <v>55</v>
      </c>
      <c r="I83" s="317">
        <f>IFERROR(__xludf.DUMMYFUNCTION("""COMPUTED_VALUE"""),55.0)</f>
        <v>55</v>
      </c>
      <c r="J83" s="317">
        <f>IFERROR(__xludf.DUMMYFUNCTION("""COMPUTED_VALUE"""),65.0)</f>
        <v>65</v>
      </c>
      <c r="K83" s="317">
        <f>IFERROR(__xludf.DUMMYFUNCTION("""COMPUTED_VALUE"""),85.0)</f>
        <v>85</v>
      </c>
      <c r="L83" s="317">
        <f>IFERROR(__xludf.DUMMYFUNCTION("""COMPUTED_VALUE"""),90.0)</f>
        <v>90</v>
      </c>
      <c r="M83" s="276" t="str">
        <f>IFERROR(__xludf.DUMMYFUNCTION("""COMPUTED_VALUE"""),"範囲(小)")</f>
        <v>範囲(小)</v>
      </c>
      <c r="N83" s="308">
        <f>IFERROR(__xludf.DUMMYFUNCTION("""COMPUTED_VALUE"""),2.0)</f>
        <v>2</v>
      </c>
      <c r="O83" s="274" t="str">
        <f>IFERROR(__xludf.DUMMYFUNCTION("""COMPUTED_VALUE"""),"効果時間")</f>
        <v>効果時間</v>
      </c>
      <c r="P83" s="318">
        <f>IFERROR(__xludf.DUMMYFUNCTION("""COMPUTED_VALUE"""),50.0)</f>
        <v>50</v>
      </c>
      <c r="Q83" s="318">
        <f>IFERROR(__xludf.DUMMYFUNCTION("""COMPUTED_VALUE"""),50.0)</f>
        <v>50</v>
      </c>
      <c r="R83" s="318">
        <f>IFERROR(__xludf.DUMMYFUNCTION("""COMPUTED_VALUE"""),50.0)</f>
        <v>50</v>
      </c>
      <c r="S83" s="318">
        <f>IFERROR(__xludf.DUMMYFUNCTION("""COMPUTED_VALUE"""),50.0)</f>
        <v>50</v>
      </c>
      <c r="T83" s="318">
        <f>IFERROR(__xludf.DUMMYFUNCTION("""COMPUTED_VALUE"""),50.0)</f>
        <v>50</v>
      </c>
      <c r="U83" s="318">
        <f>IFERROR(__xludf.DUMMYFUNCTION("""COMPUTED_VALUE"""),50.0)</f>
        <v>50</v>
      </c>
      <c r="V83" s="318">
        <f>IFERROR(__xludf.DUMMYFUNCTION("""COMPUTED_VALUE"""),65.0)</f>
        <v>65</v>
      </c>
      <c r="W83" s="319">
        <f>IFERROR(__xludf.DUMMYFUNCTION("""COMPUTED_VALUE"""),70.0)</f>
        <v>70</v>
      </c>
      <c r="X83" s="276" t="str">
        <f>IFERROR(__xludf.DUMMYFUNCTION("""COMPUTED_VALUE"""),"範囲(中)")</f>
        <v>範囲(中)</v>
      </c>
      <c r="Y83" s="308">
        <f>IFERROR(__xludf.DUMMYFUNCTION("""COMPUTED_VALUE"""),2.0)</f>
        <v>2</v>
      </c>
      <c r="Z83" s="274" t="str">
        <f>IFERROR(__xludf.DUMMYFUNCTION("""COMPUTED_VALUE"""),"効果時間")</f>
        <v>効果時間</v>
      </c>
      <c r="AA83" s="318">
        <f>IFERROR(__xludf.DUMMYFUNCTION("""COMPUTED_VALUE"""),50.0)</f>
        <v>50</v>
      </c>
      <c r="AB83" s="318">
        <f>IFERROR(__xludf.DUMMYFUNCTION("""COMPUTED_VALUE"""),50.0)</f>
        <v>50</v>
      </c>
      <c r="AC83" s="318">
        <f>IFERROR(__xludf.DUMMYFUNCTION("""COMPUTED_VALUE"""),50.0)</f>
        <v>50</v>
      </c>
      <c r="AD83" s="318">
        <f>IFERROR(__xludf.DUMMYFUNCTION("""COMPUTED_VALUE"""),50.0)</f>
        <v>50</v>
      </c>
      <c r="AE83" s="318">
        <f>IFERROR(__xludf.DUMMYFUNCTION("""COMPUTED_VALUE"""),50.0)</f>
        <v>50</v>
      </c>
      <c r="AF83" s="318">
        <f>IFERROR(__xludf.DUMMYFUNCTION("""COMPUTED_VALUE"""),50.0)</f>
        <v>50</v>
      </c>
      <c r="AG83" s="318">
        <f>IFERROR(__xludf.DUMMYFUNCTION("""COMPUTED_VALUE"""),60.0)</f>
        <v>60</v>
      </c>
      <c r="AH83" s="319">
        <f>IFERROR(__xludf.DUMMYFUNCTION("""COMPUTED_VALUE"""),60.0)</f>
        <v>60</v>
      </c>
      <c r="AI83" s="276" t="str">
        <f>IFERROR(__xludf.DUMMYFUNCTION("""COMPUTED_VALUE"""),"範囲(大)")</f>
        <v>範囲(大)</v>
      </c>
      <c r="AJ83" s="308">
        <f>IFERROR(__xludf.DUMMYFUNCTION("""COMPUTED_VALUE"""),2.0)</f>
        <v>2</v>
      </c>
      <c r="AK83" s="274" t="str">
        <f>IFERROR(__xludf.DUMMYFUNCTION("""COMPUTED_VALUE"""),"効果時間")</f>
        <v>効果時間</v>
      </c>
      <c r="AL83" s="318">
        <f>IFERROR(__xludf.DUMMYFUNCTION("""COMPUTED_VALUE"""),50.0)</f>
        <v>50</v>
      </c>
      <c r="AM83" s="318">
        <f>IFERROR(__xludf.DUMMYFUNCTION("""COMPUTED_VALUE"""),50.0)</f>
        <v>50</v>
      </c>
      <c r="AN83" s="318">
        <f>IFERROR(__xludf.DUMMYFUNCTION("""COMPUTED_VALUE"""),50.0)</f>
        <v>50</v>
      </c>
      <c r="AO83" s="318">
        <f>IFERROR(__xludf.DUMMYFUNCTION("""COMPUTED_VALUE"""),50.0)</f>
        <v>50</v>
      </c>
      <c r="AP83" s="318">
        <f>IFERROR(__xludf.DUMMYFUNCTION("""COMPUTED_VALUE"""),50.0)</f>
        <v>50</v>
      </c>
      <c r="AQ83" s="318">
        <f>IFERROR(__xludf.DUMMYFUNCTION("""COMPUTED_VALUE"""),50.0)</f>
        <v>50</v>
      </c>
      <c r="AR83" s="318">
        <f>IFERROR(__xludf.DUMMYFUNCTION("""COMPUTED_VALUE"""),50.0)</f>
        <v>50</v>
      </c>
      <c r="AS83" s="319">
        <f>IFERROR(__xludf.DUMMYFUNCTION("""COMPUTED_VALUE"""),50.0)</f>
        <v>50</v>
      </c>
      <c r="AT83" s="276" t="str">
        <f>IFERROR(__xludf.DUMMYFUNCTION("""COMPUTED_VALUE"""),"範囲(特大)")</f>
        <v>範囲(特大)</v>
      </c>
      <c r="AU83" s="308">
        <f>IFERROR(__xludf.DUMMYFUNCTION("""COMPUTED_VALUE"""),2.0)</f>
        <v>2</v>
      </c>
      <c r="AV83" s="274" t="str">
        <f>IFERROR(__xludf.DUMMYFUNCTION("""COMPUTED_VALUE"""),"効果時間")</f>
        <v>効果時間</v>
      </c>
      <c r="AW83" s="318">
        <f>IFERROR(__xludf.DUMMYFUNCTION("""COMPUTED_VALUE"""),50.0)</f>
        <v>50</v>
      </c>
      <c r="AX83" s="318">
        <f>IFERROR(__xludf.DUMMYFUNCTION("""COMPUTED_VALUE"""),50.0)</f>
        <v>50</v>
      </c>
      <c r="AY83" s="318">
        <f>IFERROR(__xludf.DUMMYFUNCTION("""COMPUTED_VALUE"""),50.0)</f>
        <v>50</v>
      </c>
      <c r="AZ83" s="318">
        <f>IFERROR(__xludf.DUMMYFUNCTION("""COMPUTED_VALUE"""),50.0)</f>
        <v>50</v>
      </c>
      <c r="BA83" s="318">
        <f>IFERROR(__xludf.DUMMYFUNCTION("""COMPUTED_VALUE"""),50.0)</f>
        <v>50</v>
      </c>
      <c r="BB83" s="318">
        <f>IFERROR(__xludf.DUMMYFUNCTION("""COMPUTED_VALUE"""),50.0)</f>
        <v>50</v>
      </c>
      <c r="BC83" s="318">
        <f>IFERROR(__xludf.DUMMYFUNCTION("""COMPUTED_VALUE"""),50.0)</f>
        <v>50</v>
      </c>
      <c r="BD83" s="319">
        <f>IFERROR(__xludf.DUMMYFUNCTION("""COMPUTED_VALUE"""),50.0)</f>
        <v>50</v>
      </c>
      <c r="BE83" s="279" t="str">
        <f>IFERROR(__xludf.DUMMYFUNCTION("""COMPUTED_VALUE"""),"範囲(小：威力減)")</f>
        <v>範囲(小：威力減)</v>
      </c>
      <c r="BF83" s="308">
        <f>IFERROR(__xludf.DUMMYFUNCTION("""COMPUTED_VALUE"""),2.0)</f>
        <v>2</v>
      </c>
      <c r="BG83" s="274" t="str">
        <f>IFERROR(__xludf.DUMMYFUNCTION("""COMPUTED_VALUE"""),"効果時間")</f>
        <v>効果時間</v>
      </c>
      <c r="BH83" s="318">
        <f>IFERROR(__xludf.DUMMYFUNCTION("""COMPUTED_VALUE"""),50.0)</f>
        <v>50</v>
      </c>
      <c r="BI83" s="318">
        <f>IFERROR(__xludf.DUMMYFUNCTION("""COMPUTED_VALUE"""),50.0)</f>
        <v>50</v>
      </c>
      <c r="BJ83" s="318">
        <f>IFERROR(__xludf.DUMMYFUNCTION("""COMPUTED_VALUE"""),50.0)</f>
        <v>50</v>
      </c>
      <c r="BK83" s="318">
        <f>IFERROR(__xludf.DUMMYFUNCTION("""COMPUTED_VALUE"""),50.0)</f>
        <v>50</v>
      </c>
      <c r="BL83" s="318">
        <f>IFERROR(__xludf.DUMMYFUNCTION("""COMPUTED_VALUE"""),50.0)</f>
        <v>50</v>
      </c>
      <c r="BM83" s="318">
        <f>IFERROR(__xludf.DUMMYFUNCTION("""COMPUTED_VALUE"""),50.0)</f>
        <v>50</v>
      </c>
      <c r="BN83" s="318">
        <f>IFERROR(__xludf.DUMMYFUNCTION("""COMPUTED_VALUE"""),50.0)</f>
        <v>50</v>
      </c>
      <c r="BO83" s="319">
        <f>IFERROR(__xludf.DUMMYFUNCTION("""COMPUTED_VALUE"""),50.0)</f>
        <v>50</v>
      </c>
    </row>
    <row r="84">
      <c r="A84" s="307" t="str">
        <f>IFERROR(__xludf.DUMMYFUNCTION("""COMPUTED_VALUE"""),"氷結")</f>
        <v>氷結</v>
      </c>
      <c r="B84" s="255" t="str">
        <f>IFERROR(__xludf.DUMMYFUNCTION("""COMPUTED_VALUE"""),"単体")</f>
        <v>単体</v>
      </c>
      <c r="C84" s="308">
        <f>IFERROR(__xludf.DUMMYFUNCTION("""COMPUTED_VALUE"""),2.0)</f>
        <v>2</v>
      </c>
      <c r="D84" s="274" t="str">
        <f>IFERROR(__xludf.DUMMYFUNCTION("""COMPUTED_VALUE"""),"発動確率")</f>
        <v>発動確率</v>
      </c>
      <c r="E84" s="310">
        <f>IFERROR(__xludf.DUMMYFUNCTION("""COMPUTED_VALUE"""),100.0)</f>
        <v>100</v>
      </c>
      <c r="F84" s="310">
        <f>IFERROR(__xludf.DUMMYFUNCTION("""COMPUTED_VALUE"""),100.0)</f>
        <v>100</v>
      </c>
      <c r="G84" s="310">
        <f>IFERROR(__xludf.DUMMYFUNCTION("""COMPUTED_VALUE"""),100.0)</f>
        <v>100</v>
      </c>
      <c r="H84" s="311">
        <f>IFERROR(__xludf.DUMMYFUNCTION("""COMPUTED_VALUE"""),100.0)</f>
        <v>100</v>
      </c>
      <c r="I84" s="310">
        <f>IFERROR(__xludf.DUMMYFUNCTION("""COMPUTED_VALUE"""),100.0)</f>
        <v>100</v>
      </c>
      <c r="J84" s="311">
        <f>IFERROR(__xludf.DUMMYFUNCTION("""COMPUTED_VALUE"""),100.0)</f>
        <v>100</v>
      </c>
      <c r="K84" s="310">
        <f>IFERROR(__xludf.DUMMYFUNCTION("""COMPUTED_VALUE"""),100.0)</f>
        <v>100</v>
      </c>
      <c r="L84" s="311">
        <f>IFERROR(__xludf.DUMMYFUNCTION("""COMPUTED_VALUE"""),100.0)</f>
        <v>100</v>
      </c>
      <c r="M84" s="276" t="str">
        <f>IFERROR(__xludf.DUMMYFUNCTION("""COMPUTED_VALUE"""),"範囲(小)")</f>
        <v>範囲(小)</v>
      </c>
      <c r="N84" s="308">
        <f>IFERROR(__xludf.DUMMYFUNCTION("""COMPUTED_VALUE"""),2.0)</f>
        <v>2</v>
      </c>
      <c r="O84" s="274" t="str">
        <f>IFERROR(__xludf.DUMMYFUNCTION("""COMPUTED_VALUE"""),"発動確率")</f>
        <v>発動確率</v>
      </c>
      <c r="P84" s="322">
        <f>IFERROR(__xludf.DUMMYFUNCTION("""COMPUTED_VALUE"""),100.0)</f>
        <v>100</v>
      </c>
      <c r="Q84" s="322">
        <f>IFERROR(__xludf.DUMMYFUNCTION("""COMPUTED_VALUE"""),100.0)</f>
        <v>100</v>
      </c>
      <c r="R84" s="322">
        <f>IFERROR(__xludf.DUMMYFUNCTION("""COMPUTED_VALUE"""),100.0)</f>
        <v>100</v>
      </c>
      <c r="S84" s="323">
        <f>IFERROR(__xludf.DUMMYFUNCTION("""COMPUTED_VALUE"""),100.0)</f>
        <v>100</v>
      </c>
      <c r="T84" s="322">
        <f>IFERROR(__xludf.DUMMYFUNCTION("""COMPUTED_VALUE"""),100.0)</f>
        <v>100</v>
      </c>
      <c r="U84" s="323">
        <f>IFERROR(__xludf.DUMMYFUNCTION("""COMPUTED_VALUE"""),100.0)</f>
        <v>100</v>
      </c>
      <c r="V84" s="322">
        <f>IFERROR(__xludf.DUMMYFUNCTION("""COMPUTED_VALUE"""),100.0)</f>
        <v>100</v>
      </c>
      <c r="W84" s="354">
        <f>IFERROR(__xludf.DUMMYFUNCTION("""COMPUTED_VALUE"""),100.0)</f>
        <v>100</v>
      </c>
      <c r="X84" s="276" t="str">
        <f>IFERROR(__xludf.DUMMYFUNCTION("""COMPUTED_VALUE"""),"範囲(中)")</f>
        <v>範囲(中)</v>
      </c>
      <c r="Y84" s="308">
        <f>IFERROR(__xludf.DUMMYFUNCTION("""COMPUTED_VALUE"""),2.0)</f>
        <v>2</v>
      </c>
      <c r="Z84" s="274" t="str">
        <f>IFERROR(__xludf.DUMMYFUNCTION("""COMPUTED_VALUE"""),"発動確率")</f>
        <v>発動確率</v>
      </c>
      <c r="AA84" s="322">
        <f>IFERROR(__xludf.DUMMYFUNCTION("""COMPUTED_VALUE"""),100.0)</f>
        <v>100</v>
      </c>
      <c r="AB84" s="322">
        <f>IFERROR(__xludf.DUMMYFUNCTION("""COMPUTED_VALUE"""),100.0)</f>
        <v>100</v>
      </c>
      <c r="AC84" s="322">
        <f>IFERROR(__xludf.DUMMYFUNCTION("""COMPUTED_VALUE"""),100.0)</f>
        <v>100</v>
      </c>
      <c r="AD84" s="323">
        <f>IFERROR(__xludf.DUMMYFUNCTION("""COMPUTED_VALUE"""),100.0)</f>
        <v>100</v>
      </c>
      <c r="AE84" s="322">
        <f>IFERROR(__xludf.DUMMYFUNCTION("""COMPUTED_VALUE"""),100.0)</f>
        <v>100</v>
      </c>
      <c r="AF84" s="323">
        <f>IFERROR(__xludf.DUMMYFUNCTION("""COMPUTED_VALUE"""),100.0)</f>
        <v>100</v>
      </c>
      <c r="AG84" s="322">
        <f>IFERROR(__xludf.DUMMYFUNCTION("""COMPUTED_VALUE"""),100.0)</f>
        <v>100</v>
      </c>
      <c r="AH84" s="354">
        <f>IFERROR(__xludf.DUMMYFUNCTION("""COMPUTED_VALUE"""),100.0)</f>
        <v>100</v>
      </c>
      <c r="AI84" s="276" t="str">
        <f>IFERROR(__xludf.DUMMYFUNCTION("""COMPUTED_VALUE"""),"範囲(大)")</f>
        <v>範囲(大)</v>
      </c>
      <c r="AJ84" s="308">
        <f>IFERROR(__xludf.DUMMYFUNCTION("""COMPUTED_VALUE"""),2.0)</f>
        <v>2</v>
      </c>
      <c r="AK84" s="274" t="str">
        <f>IFERROR(__xludf.DUMMYFUNCTION("""COMPUTED_VALUE"""),"発動確率")</f>
        <v>発動確率</v>
      </c>
      <c r="AL84" s="322">
        <f>IFERROR(__xludf.DUMMYFUNCTION("""COMPUTED_VALUE"""),100.0)</f>
        <v>100</v>
      </c>
      <c r="AM84" s="322">
        <f>IFERROR(__xludf.DUMMYFUNCTION("""COMPUTED_VALUE"""),100.0)</f>
        <v>100</v>
      </c>
      <c r="AN84" s="322">
        <f>IFERROR(__xludf.DUMMYFUNCTION("""COMPUTED_VALUE"""),100.0)</f>
        <v>100</v>
      </c>
      <c r="AO84" s="323">
        <f>IFERROR(__xludf.DUMMYFUNCTION("""COMPUTED_VALUE"""),100.0)</f>
        <v>100</v>
      </c>
      <c r="AP84" s="322">
        <f>IFERROR(__xludf.DUMMYFUNCTION("""COMPUTED_VALUE"""),100.0)</f>
        <v>100</v>
      </c>
      <c r="AQ84" s="323">
        <f>IFERROR(__xludf.DUMMYFUNCTION("""COMPUTED_VALUE"""),100.0)</f>
        <v>100</v>
      </c>
      <c r="AR84" s="322">
        <f>IFERROR(__xludf.DUMMYFUNCTION("""COMPUTED_VALUE"""),100.0)</f>
        <v>100</v>
      </c>
      <c r="AS84" s="354">
        <f>IFERROR(__xludf.DUMMYFUNCTION("""COMPUTED_VALUE"""),100.0)</f>
        <v>100</v>
      </c>
      <c r="AT84" s="276" t="str">
        <f>IFERROR(__xludf.DUMMYFUNCTION("""COMPUTED_VALUE"""),"範囲(特大)")</f>
        <v>範囲(特大)</v>
      </c>
      <c r="AU84" s="308">
        <f>IFERROR(__xludf.DUMMYFUNCTION("""COMPUTED_VALUE"""),2.0)</f>
        <v>2</v>
      </c>
      <c r="AV84" s="274" t="str">
        <f>IFERROR(__xludf.DUMMYFUNCTION("""COMPUTED_VALUE"""),"発動確率")</f>
        <v>発動確率</v>
      </c>
      <c r="AW84" s="322">
        <f>IFERROR(__xludf.DUMMYFUNCTION("""COMPUTED_VALUE"""),100.0)</f>
        <v>100</v>
      </c>
      <c r="AX84" s="322">
        <f>IFERROR(__xludf.DUMMYFUNCTION("""COMPUTED_VALUE"""),100.0)</f>
        <v>100</v>
      </c>
      <c r="AY84" s="322">
        <f>IFERROR(__xludf.DUMMYFUNCTION("""COMPUTED_VALUE"""),100.0)</f>
        <v>100</v>
      </c>
      <c r="AZ84" s="323">
        <f>IFERROR(__xludf.DUMMYFUNCTION("""COMPUTED_VALUE"""),100.0)</f>
        <v>100</v>
      </c>
      <c r="BA84" s="322">
        <f>IFERROR(__xludf.DUMMYFUNCTION("""COMPUTED_VALUE"""),100.0)</f>
        <v>100</v>
      </c>
      <c r="BB84" s="323">
        <f>IFERROR(__xludf.DUMMYFUNCTION("""COMPUTED_VALUE"""),100.0)</f>
        <v>100</v>
      </c>
      <c r="BC84" s="322">
        <f>IFERROR(__xludf.DUMMYFUNCTION("""COMPUTED_VALUE"""),100.0)</f>
        <v>100</v>
      </c>
      <c r="BD84" s="354">
        <f>IFERROR(__xludf.DUMMYFUNCTION("""COMPUTED_VALUE"""),100.0)</f>
        <v>100</v>
      </c>
      <c r="BE84" s="279" t="str">
        <f>IFERROR(__xludf.DUMMYFUNCTION("""COMPUTED_VALUE"""),"範囲(小：威力減)")</f>
        <v>範囲(小：威力減)</v>
      </c>
      <c r="BF84" s="308">
        <f>IFERROR(__xludf.DUMMYFUNCTION("""COMPUTED_VALUE"""),2.0)</f>
        <v>2</v>
      </c>
      <c r="BG84" s="274" t="str">
        <f>IFERROR(__xludf.DUMMYFUNCTION("""COMPUTED_VALUE"""),"発動確率")</f>
        <v>発動確率</v>
      </c>
      <c r="BH84" s="322">
        <f>IFERROR(__xludf.DUMMYFUNCTION("""COMPUTED_VALUE"""),100.0)</f>
        <v>100</v>
      </c>
      <c r="BI84" s="322">
        <f>IFERROR(__xludf.DUMMYFUNCTION("""COMPUTED_VALUE"""),100.0)</f>
        <v>100</v>
      </c>
      <c r="BJ84" s="322">
        <f>IFERROR(__xludf.DUMMYFUNCTION("""COMPUTED_VALUE"""),100.0)</f>
        <v>100</v>
      </c>
      <c r="BK84" s="323">
        <f>IFERROR(__xludf.DUMMYFUNCTION("""COMPUTED_VALUE"""),100.0)</f>
        <v>100</v>
      </c>
      <c r="BL84" s="322">
        <f>IFERROR(__xludf.DUMMYFUNCTION("""COMPUTED_VALUE"""),100.0)</f>
        <v>100</v>
      </c>
      <c r="BM84" s="323">
        <f>IFERROR(__xludf.DUMMYFUNCTION("""COMPUTED_VALUE"""),100.0)</f>
        <v>100</v>
      </c>
      <c r="BN84" s="322">
        <f>IFERROR(__xludf.DUMMYFUNCTION("""COMPUTED_VALUE"""),100.0)</f>
        <v>100</v>
      </c>
      <c r="BO84" s="354">
        <f>IFERROR(__xludf.DUMMYFUNCTION("""COMPUTED_VALUE"""),100.0)</f>
        <v>100</v>
      </c>
    </row>
    <row r="85">
      <c r="A85" s="307" t="str">
        <f>IFERROR(__xludf.DUMMYFUNCTION("""COMPUTED_VALUE"""),"氷結")</f>
        <v>氷結</v>
      </c>
      <c r="B85" s="255" t="str">
        <f>IFERROR(__xludf.DUMMYFUNCTION("""COMPUTED_VALUE"""),"単体")</f>
        <v>単体</v>
      </c>
      <c r="C85" s="316">
        <f>IFERROR(__xludf.DUMMYFUNCTION("""COMPUTED_VALUE"""),3.0)</f>
        <v>3</v>
      </c>
      <c r="D85" s="342" t="str">
        <f>IFERROR(__xludf.DUMMYFUNCTION("""COMPUTED_VALUE"""),"効果値")</f>
        <v>効果値</v>
      </c>
      <c r="E85" s="356">
        <f>IFERROR(__xludf.DUMMYFUNCTION("""COMPUTED_VALUE"""),20.0)</f>
        <v>20</v>
      </c>
      <c r="F85" s="356">
        <f>IFERROR(__xludf.DUMMYFUNCTION("""COMPUTED_VALUE"""),20.0)</f>
        <v>20</v>
      </c>
      <c r="G85" s="356">
        <f>IFERROR(__xludf.DUMMYFUNCTION("""COMPUTED_VALUE"""),20.0)</f>
        <v>20</v>
      </c>
      <c r="H85" s="356">
        <f>IFERROR(__xludf.DUMMYFUNCTION("""COMPUTED_VALUE"""),20.0)</f>
        <v>20</v>
      </c>
      <c r="I85" s="356">
        <f>IFERROR(__xludf.DUMMYFUNCTION("""COMPUTED_VALUE"""),20.0)</f>
        <v>20</v>
      </c>
      <c r="J85" s="356">
        <f>IFERROR(__xludf.DUMMYFUNCTION("""COMPUTED_VALUE"""),20.0)</f>
        <v>20</v>
      </c>
      <c r="K85" s="356">
        <f>IFERROR(__xludf.DUMMYFUNCTION("""COMPUTED_VALUE"""),20.0)</f>
        <v>20</v>
      </c>
      <c r="L85" s="357">
        <f>IFERROR(__xludf.DUMMYFUNCTION("""COMPUTED_VALUE"""),20.0)</f>
        <v>20</v>
      </c>
      <c r="M85" s="276" t="str">
        <f>IFERROR(__xludf.DUMMYFUNCTION("""COMPUTED_VALUE"""),"範囲(小)")</f>
        <v>範囲(小)</v>
      </c>
      <c r="N85" s="316">
        <f>IFERROR(__xludf.DUMMYFUNCTION("""COMPUTED_VALUE"""),3.0)</f>
        <v>3</v>
      </c>
      <c r="O85" s="342" t="str">
        <f>IFERROR(__xludf.DUMMYFUNCTION("""COMPUTED_VALUE"""),"効果値")</f>
        <v>効果値</v>
      </c>
      <c r="P85" s="359">
        <f>IFERROR(__xludf.DUMMYFUNCTION("""COMPUTED_VALUE"""),20.0)</f>
        <v>20</v>
      </c>
      <c r="Q85" s="359">
        <f>IFERROR(__xludf.DUMMYFUNCTION("""COMPUTED_VALUE"""),20.0)</f>
        <v>20</v>
      </c>
      <c r="R85" s="359">
        <f>IFERROR(__xludf.DUMMYFUNCTION("""COMPUTED_VALUE"""),20.0)</f>
        <v>20</v>
      </c>
      <c r="S85" s="359">
        <f>IFERROR(__xludf.DUMMYFUNCTION("""COMPUTED_VALUE"""),20.0)</f>
        <v>20</v>
      </c>
      <c r="T85" s="359">
        <f>IFERROR(__xludf.DUMMYFUNCTION("""COMPUTED_VALUE"""),20.0)</f>
        <v>20</v>
      </c>
      <c r="U85" s="359">
        <f>IFERROR(__xludf.DUMMYFUNCTION("""COMPUTED_VALUE"""),20.0)</f>
        <v>20</v>
      </c>
      <c r="V85" s="359">
        <f>IFERROR(__xludf.DUMMYFUNCTION("""COMPUTED_VALUE"""),20.0)</f>
        <v>20</v>
      </c>
      <c r="W85" s="360">
        <f>IFERROR(__xludf.DUMMYFUNCTION("""COMPUTED_VALUE"""),20.0)</f>
        <v>20</v>
      </c>
      <c r="X85" s="276" t="str">
        <f>IFERROR(__xludf.DUMMYFUNCTION("""COMPUTED_VALUE"""),"範囲(中)")</f>
        <v>範囲(中)</v>
      </c>
      <c r="Y85" s="316">
        <f>IFERROR(__xludf.DUMMYFUNCTION("""COMPUTED_VALUE"""),3.0)</f>
        <v>3</v>
      </c>
      <c r="Z85" s="342" t="str">
        <f>IFERROR(__xludf.DUMMYFUNCTION("""COMPUTED_VALUE"""),"効果値")</f>
        <v>効果値</v>
      </c>
      <c r="AA85" s="359">
        <f>IFERROR(__xludf.DUMMYFUNCTION("""COMPUTED_VALUE"""),20.0)</f>
        <v>20</v>
      </c>
      <c r="AB85" s="359">
        <f>IFERROR(__xludf.DUMMYFUNCTION("""COMPUTED_VALUE"""),20.0)</f>
        <v>20</v>
      </c>
      <c r="AC85" s="359">
        <f>IFERROR(__xludf.DUMMYFUNCTION("""COMPUTED_VALUE"""),20.0)</f>
        <v>20</v>
      </c>
      <c r="AD85" s="359">
        <f>IFERROR(__xludf.DUMMYFUNCTION("""COMPUTED_VALUE"""),20.0)</f>
        <v>20</v>
      </c>
      <c r="AE85" s="359">
        <f>IFERROR(__xludf.DUMMYFUNCTION("""COMPUTED_VALUE"""),20.0)</f>
        <v>20</v>
      </c>
      <c r="AF85" s="359">
        <f>IFERROR(__xludf.DUMMYFUNCTION("""COMPUTED_VALUE"""),20.0)</f>
        <v>20</v>
      </c>
      <c r="AG85" s="359">
        <f>IFERROR(__xludf.DUMMYFUNCTION("""COMPUTED_VALUE"""),20.0)</f>
        <v>20</v>
      </c>
      <c r="AH85" s="360">
        <f>IFERROR(__xludf.DUMMYFUNCTION("""COMPUTED_VALUE"""),20.0)</f>
        <v>20</v>
      </c>
      <c r="AI85" s="276" t="str">
        <f>IFERROR(__xludf.DUMMYFUNCTION("""COMPUTED_VALUE"""),"範囲(大)")</f>
        <v>範囲(大)</v>
      </c>
      <c r="AJ85" s="316">
        <f>IFERROR(__xludf.DUMMYFUNCTION("""COMPUTED_VALUE"""),3.0)</f>
        <v>3</v>
      </c>
      <c r="AK85" s="342" t="str">
        <f>IFERROR(__xludf.DUMMYFUNCTION("""COMPUTED_VALUE"""),"効果値")</f>
        <v>効果値</v>
      </c>
      <c r="AL85" s="359">
        <f>IFERROR(__xludf.DUMMYFUNCTION("""COMPUTED_VALUE"""),20.0)</f>
        <v>20</v>
      </c>
      <c r="AM85" s="359">
        <f>IFERROR(__xludf.DUMMYFUNCTION("""COMPUTED_VALUE"""),20.0)</f>
        <v>20</v>
      </c>
      <c r="AN85" s="359">
        <f>IFERROR(__xludf.DUMMYFUNCTION("""COMPUTED_VALUE"""),20.0)</f>
        <v>20</v>
      </c>
      <c r="AO85" s="359">
        <f>IFERROR(__xludf.DUMMYFUNCTION("""COMPUTED_VALUE"""),20.0)</f>
        <v>20</v>
      </c>
      <c r="AP85" s="359">
        <f>IFERROR(__xludf.DUMMYFUNCTION("""COMPUTED_VALUE"""),20.0)</f>
        <v>20</v>
      </c>
      <c r="AQ85" s="359">
        <f>IFERROR(__xludf.DUMMYFUNCTION("""COMPUTED_VALUE"""),20.0)</f>
        <v>20</v>
      </c>
      <c r="AR85" s="359">
        <f>IFERROR(__xludf.DUMMYFUNCTION("""COMPUTED_VALUE"""),20.0)</f>
        <v>20</v>
      </c>
      <c r="AS85" s="360">
        <f>IFERROR(__xludf.DUMMYFUNCTION("""COMPUTED_VALUE"""),20.0)</f>
        <v>20</v>
      </c>
      <c r="AT85" s="276" t="str">
        <f>IFERROR(__xludf.DUMMYFUNCTION("""COMPUTED_VALUE"""),"範囲(特大)")</f>
        <v>範囲(特大)</v>
      </c>
      <c r="AU85" s="316">
        <f>IFERROR(__xludf.DUMMYFUNCTION("""COMPUTED_VALUE"""),3.0)</f>
        <v>3</v>
      </c>
      <c r="AV85" s="342" t="str">
        <f>IFERROR(__xludf.DUMMYFUNCTION("""COMPUTED_VALUE"""),"効果値")</f>
        <v>効果値</v>
      </c>
      <c r="AW85" s="359">
        <f>IFERROR(__xludf.DUMMYFUNCTION("""COMPUTED_VALUE"""),20.0)</f>
        <v>20</v>
      </c>
      <c r="AX85" s="359">
        <f>IFERROR(__xludf.DUMMYFUNCTION("""COMPUTED_VALUE"""),20.0)</f>
        <v>20</v>
      </c>
      <c r="AY85" s="359">
        <f>IFERROR(__xludf.DUMMYFUNCTION("""COMPUTED_VALUE"""),20.0)</f>
        <v>20</v>
      </c>
      <c r="AZ85" s="359">
        <f>IFERROR(__xludf.DUMMYFUNCTION("""COMPUTED_VALUE"""),20.0)</f>
        <v>20</v>
      </c>
      <c r="BA85" s="359">
        <f>IFERROR(__xludf.DUMMYFUNCTION("""COMPUTED_VALUE"""),20.0)</f>
        <v>20</v>
      </c>
      <c r="BB85" s="359">
        <f>IFERROR(__xludf.DUMMYFUNCTION("""COMPUTED_VALUE"""),20.0)</f>
        <v>20</v>
      </c>
      <c r="BC85" s="359">
        <f>IFERROR(__xludf.DUMMYFUNCTION("""COMPUTED_VALUE"""),20.0)</f>
        <v>20</v>
      </c>
      <c r="BD85" s="360">
        <f>IFERROR(__xludf.DUMMYFUNCTION("""COMPUTED_VALUE"""),20.0)</f>
        <v>20</v>
      </c>
      <c r="BE85" s="279" t="str">
        <f>IFERROR(__xludf.DUMMYFUNCTION("""COMPUTED_VALUE"""),"範囲(小：威力減)")</f>
        <v>範囲(小：威力減)</v>
      </c>
      <c r="BF85" s="316">
        <f>IFERROR(__xludf.DUMMYFUNCTION("""COMPUTED_VALUE"""),3.0)</f>
        <v>3</v>
      </c>
      <c r="BG85" s="342" t="str">
        <f>IFERROR(__xludf.DUMMYFUNCTION("""COMPUTED_VALUE"""),"効果値")</f>
        <v>効果値</v>
      </c>
      <c r="BH85" s="359">
        <f>IFERROR(__xludf.DUMMYFUNCTION("""COMPUTED_VALUE"""),20.0)</f>
        <v>20</v>
      </c>
      <c r="BI85" s="359">
        <f>IFERROR(__xludf.DUMMYFUNCTION("""COMPUTED_VALUE"""),20.0)</f>
        <v>20</v>
      </c>
      <c r="BJ85" s="359">
        <f>IFERROR(__xludf.DUMMYFUNCTION("""COMPUTED_VALUE"""),20.0)</f>
        <v>20</v>
      </c>
      <c r="BK85" s="359">
        <f>IFERROR(__xludf.DUMMYFUNCTION("""COMPUTED_VALUE"""),20.0)</f>
        <v>20</v>
      </c>
      <c r="BL85" s="359">
        <f>IFERROR(__xludf.DUMMYFUNCTION("""COMPUTED_VALUE"""),20.0)</f>
        <v>20</v>
      </c>
      <c r="BM85" s="359">
        <f>IFERROR(__xludf.DUMMYFUNCTION("""COMPUTED_VALUE"""),20.0)</f>
        <v>20</v>
      </c>
      <c r="BN85" s="359">
        <f>IFERROR(__xludf.DUMMYFUNCTION("""COMPUTED_VALUE"""),20.0)</f>
        <v>20</v>
      </c>
      <c r="BO85" s="360">
        <f>IFERROR(__xludf.DUMMYFUNCTION("""COMPUTED_VALUE"""),20.0)</f>
        <v>20</v>
      </c>
    </row>
    <row r="86">
      <c r="A86" s="307" t="str">
        <f>IFERROR(__xludf.DUMMYFUNCTION("""COMPUTED_VALUE"""),"氷結")</f>
        <v>氷結</v>
      </c>
      <c r="B86" s="255" t="str">
        <f>IFERROR(__xludf.DUMMYFUNCTION("""COMPUTED_VALUE"""),"単体")</f>
        <v>単体</v>
      </c>
      <c r="C86" s="308">
        <f>IFERROR(__xludf.DUMMYFUNCTION("""COMPUTED_VALUE"""),3.0)</f>
        <v>3</v>
      </c>
      <c r="D86" s="274" t="str">
        <f>IFERROR(__xludf.DUMMYFUNCTION("""COMPUTED_VALUE"""),"効果時間")</f>
        <v>効果時間</v>
      </c>
      <c r="E86" s="317">
        <f>IFERROR(__xludf.DUMMYFUNCTION("""COMPUTED_VALUE"""),55.0)</f>
        <v>55</v>
      </c>
      <c r="F86" s="317">
        <f>IFERROR(__xludf.DUMMYFUNCTION("""COMPUTED_VALUE"""),55.0)</f>
        <v>55</v>
      </c>
      <c r="G86" s="317">
        <f>IFERROR(__xludf.DUMMYFUNCTION("""COMPUTED_VALUE"""),55.0)</f>
        <v>55</v>
      </c>
      <c r="H86" s="317">
        <f>IFERROR(__xludf.DUMMYFUNCTION("""COMPUTED_VALUE"""),55.0)</f>
        <v>55</v>
      </c>
      <c r="I86" s="317">
        <f>IFERROR(__xludf.DUMMYFUNCTION("""COMPUTED_VALUE"""),55.0)</f>
        <v>55</v>
      </c>
      <c r="J86" s="317">
        <f>IFERROR(__xludf.DUMMYFUNCTION("""COMPUTED_VALUE"""),65.0)</f>
        <v>65</v>
      </c>
      <c r="K86" s="317">
        <f>IFERROR(__xludf.DUMMYFUNCTION("""COMPUTED_VALUE"""),100.0)</f>
        <v>100</v>
      </c>
      <c r="L86" s="317">
        <f>IFERROR(__xludf.DUMMYFUNCTION("""COMPUTED_VALUE"""),105.0)</f>
        <v>105</v>
      </c>
      <c r="M86" s="276" t="str">
        <f>IFERROR(__xludf.DUMMYFUNCTION("""COMPUTED_VALUE"""),"範囲(小)")</f>
        <v>範囲(小)</v>
      </c>
      <c r="N86" s="308">
        <f>IFERROR(__xludf.DUMMYFUNCTION("""COMPUTED_VALUE"""),3.0)</f>
        <v>3</v>
      </c>
      <c r="O86" s="274" t="str">
        <f>IFERROR(__xludf.DUMMYFUNCTION("""COMPUTED_VALUE"""),"効果時間")</f>
        <v>効果時間</v>
      </c>
      <c r="P86" s="318">
        <f>IFERROR(__xludf.DUMMYFUNCTION("""COMPUTED_VALUE"""),50.0)</f>
        <v>50</v>
      </c>
      <c r="Q86" s="318">
        <f>IFERROR(__xludf.DUMMYFUNCTION("""COMPUTED_VALUE"""),50.0)</f>
        <v>50</v>
      </c>
      <c r="R86" s="318">
        <f>IFERROR(__xludf.DUMMYFUNCTION("""COMPUTED_VALUE"""),50.0)</f>
        <v>50</v>
      </c>
      <c r="S86" s="318">
        <f>IFERROR(__xludf.DUMMYFUNCTION("""COMPUTED_VALUE"""),50.0)</f>
        <v>50</v>
      </c>
      <c r="T86" s="318">
        <f>IFERROR(__xludf.DUMMYFUNCTION("""COMPUTED_VALUE"""),50.0)</f>
        <v>50</v>
      </c>
      <c r="U86" s="318">
        <f>IFERROR(__xludf.DUMMYFUNCTION("""COMPUTED_VALUE"""),50.0)</f>
        <v>50</v>
      </c>
      <c r="V86" s="318">
        <f>IFERROR(__xludf.DUMMYFUNCTION("""COMPUTED_VALUE"""),75.0)</f>
        <v>75</v>
      </c>
      <c r="W86" s="319">
        <f>IFERROR(__xludf.DUMMYFUNCTION("""COMPUTED_VALUE"""),80.0)</f>
        <v>80</v>
      </c>
      <c r="X86" s="276" t="str">
        <f>IFERROR(__xludf.DUMMYFUNCTION("""COMPUTED_VALUE"""),"範囲(中)")</f>
        <v>範囲(中)</v>
      </c>
      <c r="Y86" s="308">
        <f>IFERROR(__xludf.DUMMYFUNCTION("""COMPUTED_VALUE"""),3.0)</f>
        <v>3</v>
      </c>
      <c r="Z86" s="274" t="str">
        <f>IFERROR(__xludf.DUMMYFUNCTION("""COMPUTED_VALUE"""),"効果時間")</f>
        <v>効果時間</v>
      </c>
      <c r="AA86" s="318">
        <f>IFERROR(__xludf.DUMMYFUNCTION("""COMPUTED_VALUE"""),50.0)</f>
        <v>50</v>
      </c>
      <c r="AB86" s="318">
        <f>IFERROR(__xludf.DUMMYFUNCTION("""COMPUTED_VALUE"""),50.0)</f>
        <v>50</v>
      </c>
      <c r="AC86" s="318">
        <f>IFERROR(__xludf.DUMMYFUNCTION("""COMPUTED_VALUE"""),50.0)</f>
        <v>50</v>
      </c>
      <c r="AD86" s="318">
        <f>IFERROR(__xludf.DUMMYFUNCTION("""COMPUTED_VALUE"""),50.0)</f>
        <v>50</v>
      </c>
      <c r="AE86" s="318">
        <f>IFERROR(__xludf.DUMMYFUNCTION("""COMPUTED_VALUE"""),50.0)</f>
        <v>50</v>
      </c>
      <c r="AF86" s="318">
        <f>IFERROR(__xludf.DUMMYFUNCTION("""COMPUTED_VALUE"""),50.0)</f>
        <v>50</v>
      </c>
      <c r="AG86" s="318">
        <f>IFERROR(__xludf.DUMMYFUNCTION("""COMPUTED_VALUE"""),65.0)</f>
        <v>65</v>
      </c>
      <c r="AH86" s="319">
        <f>IFERROR(__xludf.DUMMYFUNCTION("""COMPUTED_VALUE"""),70.0)</f>
        <v>70</v>
      </c>
      <c r="AI86" s="276" t="str">
        <f>IFERROR(__xludf.DUMMYFUNCTION("""COMPUTED_VALUE"""),"範囲(大)")</f>
        <v>範囲(大)</v>
      </c>
      <c r="AJ86" s="308">
        <f>IFERROR(__xludf.DUMMYFUNCTION("""COMPUTED_VALUE"""),3.0)</f>
        <v>3</v>
      </c>
      <c r="AK86" s="274" t="str">
        <f>IFERROR(__xludf.DUMMYFUNCTION("""COMPUTED_VALUE"""),"効果時間")</f>
        <v>効果時間</v>
      </c>
      <c r="AL86" s="318">
        <f>IFERROR(__xludf.DUMMYFUNCTION("""COMPUTED_VALUE"""),50.0)</f>
        <v>50</v>
      </c>
      <c r="AM86" s="318">
        <f>IFERROR(__xludf.DUMMYFUNCTION("""COMPUTED_VALUE"""),50.0)</f>
        <v>50</v>
      </c>
      <c r="AN86" s="318">
        <f>IFERROR(__xludf.DUMMYFUNCTION("""COMPUTED_VALUE"""),50.0)</f>
        <v>50</v>
      </c>
      <c r="AO86" s="318">
        <f>IFERROR(__xludf.DUMMYFUNCTION("""COMPUTED_VALUE"""),50.0)</f>
        <v>50</v>
      </c>
      <c r="AP86" s="318">
        <f>IFERROR(__xludf.DUMMYFUNCTION("""COMPUTED_VALUE"""),50.0)</f>
        <v>50</v>
      </c>
      <c r="AQ86" s="318">
        <f>IFERROR(__xludf.DUMMYFUNCTION("""COMPUTED_VALUE"""),50.0)</f>
        <v>50</v>
      </c>
      <c r="AR86" s="318">
        <f>IFERROR(__xludf.DUMMYFUNCTION("""COMPUTED_VALUE"""),55.0)</f>
        <v>55</v>
      </c>
      <c r="AS86" s="319">
        <f>IFERROR(__xludf.DUMMYFUNCTION("""COMPUTED_VALUE"""),60.0)</f>
        <v>60</v>
      </c>
      <c r="AT86" s="276" t="str">
        <f>IFERROR(__xludf.DUMMYFUNCTION("""COMPUTED_VALUE"""),"範囲(特大)")</f>
        <v>範囲(特大)</v>
      </c>
      <c r="AU86" s="308">
        <f>IFERROR(__xludf.DUMMYFUNCTION("""COMPUTED_VALUE"""),3.0)</f>
        <v>3</v>
      </c>
      <c r="AV86" s="274" t="str">
        <f>IFERROR(__xludf.DUMMYFUNCTION("""COMPUTED_VALUE"""),"効果時間")</f>
        <v>効果時間</v>
      </c>
      <c r="AW86" s="318">
        <f>IFERROR(__xludf.DUMMYFUNCTION("""COMPUTED_VALUE"""),50.0)</f>
        <v>50</v>
      </c>
      <c r="AX86" s="318">
        <f>IFERROR(__xludf.DUMMYFUNCTION("""COMPUTED_VALUE"""),50.0)</f>
        <v>50</v>
      </c>
      <c r="AY86" s="318">
        <f>IFERROR(__xludf.DUMMYFUNCTION("""COMPUTED_VALUE"""),50.0)</f>
        <v>50</v>
      </c>
      <c r="AZ86" s="318">
        <f>IFERROR(__xludf.DUMMYFUNCTION("""COMPUTED_VALUE"""),50.0)</f>
        <v>50</v>
      </c>
      <c r="BA86" s="318">
        <f>IFERROR(__xludf.DUMMYFUNCTION("""COMPUTED_VALUE"""),50.0)</f>
        <v>50</v>
      </c>
      <c r="BB86" s="318">
        <f>IFERROR(__xludf.DUMMYFUNCTION("""COMPUTED_VALUE"""),50.0)</f>
        <v>50</v>
      </c>
      <c r="BC86" s="318">
        <f>IFERROR(__xludf.DUMMYFUNCTION("""COMPUTED_VALUE"""),50.0)</f>
        <v>50</v>
      </c>
      <c r="BD86" s="319">
        <f>IFERROR(__xludf.DUMMYFUNCTION("""COMPUTED_VALUE"""),55.0)</f>
        <v>55</v>
      </c>
      <c r="BE86" s="279" t="str">
        <f>IFERROR(__xludf.DUMMYFUNCTION("""COMPUTED_VALUE"""),"範囲(小：威力減)")</f>
        <v>範囲(小：威力減)</v>
      </c>
      <c r="BF86" s="308">
        <f>IFERROR(__xludf.DUMMYFUNCTION("""COMPUTED_VALUE"""),3.0)</f>
        <v>3</v>
      </c>
      <c r="BG86" s="274" t="str">
        <f>IFERROR(__xludf.DUMMYFUNCTION("""COMPUTED_VALUE"""),"効果時間")</f>
        <v>効果時間</v>
      </c>
      <c r="BH86" s="318">
        <f>IFERROR(__xludf.DUMMYFUNCTION("""COMPUTED_VALUE"""),50.0)</f>
        <v>50</v>
      </c>
      <c r="BI86" s="318">
        <f>IFERROR(__xludf.DUMMYFUNCTION("""COMPUTED_VALUE"""),50.0)</f>
        <v>50</v>
      </c>
      <c r="BJ86" s="318">
        <f>IFERROR(__xludf.DUMMYFUNCTION("""COMPUTED_VALUE"""),50.0)</f>
        <v>50</v>
      </c>
      <c r="BK86" s="318">
        <f>IFERROR(__xludf.DUMMYFUNCTION("""COMPUTED_VALUE"""),50.0)</f>
        <v>50</v>
      </c>
      <c r="BL86" s="318">
        <f>IFERROR(__xludf.DUMMYFUNCTION("""COMPUTED_VALUE"""),50.0)</f>
        <v>50</v>
      </c>
      <c r="BM86" s="318">
        <f>IFERROR(__xludf.DUMMYFUNCTION("""COMPUTED_VALUE"""),50.0)</f>
        <v>50</v>
      </c>
      <c r="BN86" s="318">
        <f>IFERROR(__xludf.DUMMYFUNCTION("""COMPUTED_VALUE"""),50.0)</f>
        <v>50</v>
      </c>
      <c r="BO86" s="319">
        <f>IFERROR(__xludf.DUMMYFUNCTION("""COMPUTED_VALUE"""),55.0)</f>
        <v>55</v>
      </c>
    </row>
    <row r="87">
      <c r="A87" s="307" t="str">
        <f>IFERROR(__xludf.DUMMYFUNCTION("""COMPUTED_VALUE"""),"氷結")</f>
        <v>氷結</v>
      </c>
      <c r="B87" s="255" t="str">
        <f>IFERROR(__xludf.DUMMYFUNCTION("""COMPUTED_VALUE"""),"単体")</f>
        <v>単体</v>
      </c>
      <c r="C87" s="308">
        <f>IFERROR(__xludf.DUMMYFUNCTION("""COMPUTED_VALUE"""),3.0)</f>
        <v>3</v>
      </c>
      <c r="D87" s="274" t="str">
        <f>IFERROR(__xludf.DUMMYFUNCTION("""COMPUTED_VALUE"""),"発動確率")</f>
        <v>発動確率</v>
      </c>
      <c r="E87" s="310">
        <f>IFERROR(__xludf.DUMMYFUNCTION("""COMPUTED_VALUE"""),100.0)</f>
        <v>100</v>
      </c>
      <c r="F87" s="310">
        <f>IFERROR(__xludf.DUMMYFUNCTION("""COMPUTED_VALUE"""),100.0)</f>
        <v>100</v>
      </c>
      <c r="G87" s="310">
        <f>IFERROR(__xludf.DUMMYFUNCTION("""COMPUTED_VALUE"""),100.0)</f>
        <v>100</v>
      </c>
      <c r="H87" s="311">
        <f>IFERROR(__xludf.DUMMYFUNCTION("""COMPUTED_VALUE"""),100.0)</f>
        <v>100</v>
      </c>
      <c r="I87" s="310">
        <f>IFERROR(__xludf.DUMMYFUNCTION("""COMPUTED_VALUE"""),100.0)</f>
        <v>100</v>
      </c>
      <c r="J87" s="311">
        <f>IFERROR(__xludf.DUMMYFUNCTION("""COMPUTED_VALUE"""),100.0)</f>
        <v>100</v>
      </c>
      <c r="K87" s="310">
        <f>IFERROR(__xludf.DUMMYFUNCTION("""COMPUTED_VALUE"""),100.0)</f>
        <v>100</v>
      </c>
      <c r="L87" s="311">
        <f>IFERROR(__xludf.DUMMYFUNCTION("""COMPUTED_VALUE"""),100.0)</f>
        <v>100</v>
      </c>
      <c r="M87" s="276" t="str">
        <f>IFERROR(__xludf.DUMMYFUNCTION("""COMPUTED_VALUE"""),"範囲(小)")</f>
        <v>範囲(小)</v>
      </c>
      <c r="N87" s="308">
        <f>IFERROR(__xludf.DUMMYFUNCTION("""COMPUTED_VALUE"""),3.0)</f>
        <v>3</v>
      </c>
      <c r="O87" s="274" t="str">
        <f>IFERROR(__xludf.DUMMYFUNCTION("""COMPUTED_VALUE"""),"発動確率")</f>
        <v>発動確率</v>
      </c>
      <c r="P87" s="322">
        <f>IFERROR(__xludf.DUMMYFUNCTION("""COMPUTED_VALUE"""),100.0)</f>
        <v>100</v>
      </c>
      <c r="Q87" s="322">
        <f>IFERROR(__xludf.DUMMYFUNCTION("""COMPUTED_VALUE"""),100.0)</f>
        <v>100</v>
      </c>
      <c r="R87" s="322">
        <f>IFERROR(__xludf.DUMMYFUNCTION("""COMPUTED_VALUE"""),100.0)</f>
        <v>100</v>
      </c>
      <c r="S87" s="323">
        <f>IFERROR(__xludf.DUMMYFUNCTION("""COMPUTED_VALUE"""),100.0)</f>
        <v>100</v>
      </c>
      <c r="T87" s="322">
        <f>IFERROR(__xludf.DUMMYFUNCTION("""COMPUTED_VALUE"""),100.0)</f>
        <v>100</v>
      </c>
      <c r="U87" s="323">
        <f>IFERROR(__xludf.DUMMYFUNCTION("""COMPUTED_VALUE"""),100.0)</f>
        <v>100</v>
      </c>
      <c r="V87" s="322">
        <f>IFERROR(__xludf.DUMMYFUNCTION("""COMPUTED_VALUE"""),100.0)</f>
        <v>100</v>
      </c>
      <c r="W87" s="354">
        <f>IFERROR(__xludf.DUMMYFUNCTION("""COMPUTED_VALUE"""),100.0)</f>
        <v>100</v>
      </c>
      <c r="X87" s="276" t="str">
        <f>IFERROR(__xludf.DUMMYFUNCTION("""COMPUTED_VALUE"""),"範囲(中)")</f>
        <v>範囲(中)</v>
      </c>
      <c r="Y87" s="308">
        <f>IFERROR(__xludf.DUMMYFUNCTION("""COMPUTED_VALUE"""),3.0)</f>
        <v>3</v>
      </c>
      <c r="Z87" s="274" t="str">
        <f>IFERROR(__xludf.DUMMYFUNCTION("""COMPUTED_VALUE"""),"発動確率")</f>
        <v>発動確率</v>
      </c>
      <c r="AA87" s="322">
        <f>IFERROR(__xludf.DUMMYFUNCTION("""COMPUTED_VALUE"""),100.0)</f>
        <v>100</v>
      </c>
      <c r="AB87" s="322">
        <f>IFERROR(__xludf.DUMMYFUNCTION("""COMPUTED_VALUE"""),100.0)</f>
        <v>100</v>
      </c>
      <c r="AC87" s="322">
        <f>IFERROR(__xludf.DUMMYFUNCTION("""COMPUTED_VALUE"""),100.0)</f>
        <v>100</v>
      </c>
      <c r="AD87" s="323">
        <f>IFERROR(__xludf.DUMMYFUNCTION("""COMPUTED_VALUE"""),100.0)</f>
        <v>100</v>
      </c>
      <c r="AE87" s="322">
        <f>IFERROR(__xludf.DUMMYFUNCTION("""COMPUTED_VALUE"""),100.0)</f>
        <v>100</v>
      </c>
      <c r="AF87" s="323">
        <f>IFERROR(__xludf.DUMMYFUNCTION("""COMPUTED_VALUE"""),100.0)</f>
        <v>100</v>
      </c>
      <c r="AG87" s="322">
        <f>IFERROR(__xludf.DUMMYFUNCTION("""COMPUTED_VALUE"""),100.0)</f>
        <v>100</v>
      </c>
      <c r="AH87" s="354">
        <f>IFERROR(__xludf.DUMMYFUNCTION("""COMPUTED_VALUE"""),100.0)</f>
        <v>100</v>
      </c>
      <c r="AI87" s="276" t="str">
        <f>IFERROR(__xludf.DUMMYFUNCTION("""COMPUTED_VALUE"""),"範囲(大)")</f>
        <v>範囲(大)</v>
      </c>
      <c r="AJ87" s="308">
        <f>IFERROR(__xludf.DUMMYFUNCTION("""COMPUTED_VALUE"""),3.0)</f>
        <v>3</v>
      </c>
      <c r="AK87" s="274" t="str">
        <f>IFERROR(__xludf.DUMMYFUNCTION("""COMPUTED_VALUE"""),"発動確率")</f>
        <v>発動確率</v>
      </c>
      <c r="AL87" s="322">
        <f>IFERROR(__xludf.DUMMYFUNCTION("""COMPUTED_VALUE"""),100.0)</f>
        <v>100</v>
      </c>
      <c r="AM87" s="322">
        <f>IFERROR(__xludf.DUMMYFUNCTION("""COMPUTED_VALUE"""),100.0)</f>
        <v>100</v>
      </c>
      <c r="AN87" s="322">
        <f>IFERROR(__xludf.DUMMYFUNCTION("""COMPUTED_VALUE"""),100.0)</f>
        <v>100</v>
      </c>
      <c r="AO87" s="323">
        <f>IFERROR(__xludf.DUMMYFUNCTION("""COMPUTED_VALUE"""),100.0)</f>
        <v>100</v>
      </c>
      <c r="AP87" s="322">
        <f>IFERROR(__xludf.DUMMYFUNCTION("""COMPUTED_VALUE"""),100.0)</f>
        <v>100</v>
      </c>
      <c r="AQ87" s="323">
        <f>IFERROR(__xludf.DUMMYFUNCTION("""COMPUTED_VALUE"""),100.0)</f>
        <v>100</v>
      </c>
      <c r="AR87" s="322">
        <f>IFERROR(__xludf.DUMMYFUNCTION("""COMPUTED_VALUE"""),100.0)</f>
        <v>100</v>
      </c>
      <c r="AS87" s="354">
        <f>IFERROR(__xludf.DUMMYFUNCTION("""COMPUTED_VALUE"""),100.0)</f>
        <v>100</v>
      </c>
      <c r="AT87" s="276" t="str">
        <f>IFERROR(__xludf.DUMMYFUNCTION("""COMPUTED_VALUE"""),"範囲(特大)")</f>
        <v>範囲(特大)</v>
      </c>
      <c r="AU87" s="308">
        <f>IFERROR(__xludf.DUMMYFUNCTION("""COMPUTED_VALUE"""),3.0)</f>
        <v>3</v>
      </c>
      <c r="AV87" s="274" t="str">
        <f>IFERROR(__xludf.DUMMYFUNCTION("""COMPUTED_VALUE"""),"発動確率")</f>
        <v>発動確率</v>
      </c>
      <c r="AW87" s="322">
        <f>IFERROR(__xludf.DUMMYFUNCTION("""COMPUTED_VALUE"""),100.0)</f>
        <v>100</v>
      </c>
      <c r="AX87" s="322">
        <f>IFERROR(__xludf.DUMMYFUNCTION("""COMPUTED_VALUE"""),100.0)</f>
        <v>100</v>
      </c>
      <c r="AY87" s="322">
        <f>IFERROR(__xludf.DUMMYFUNCTION("""COMPUTED_VALUE"""),100.0)</f>
        <v>100</v>
      </c>
      <c r="AZ87" s="323">
        <f>IFERROR(__xludf.DUMMYFUNCTION("""COMPUTED_VALUE"""),100.0)</f>
        <v>100</v>
      </c>
      <c r="BA87" s="322">
        <f>IFERROR(__xludf.DUMMYFUNCTION("""COMPUTED_VALUE"""),100.0)</f>
        <v>100</v>
      </c>
      <c r="BB87" s="323">
        <f>IFERROR(__xludf.DUMMYFUNCTION("""COMPUTED_VALUE"""),100.0)</f>
        <v>100</v>
      </c>
      <c r="BC87" s="322">
        <f>IFERROR(__xludf.DUMMYFUNCTION("""COMPUTED_VALUE"""),100.0)</f>
        <v>100</v>
      </c>
      <c r="BD87" s="354">
        <f>IFERROR(__xludf.DUMMYFUNCTION("""COMPUTED_VALUE"""),100.0)</f>
        <v>100</v>
      </c>
      <c r="BE87" s="279" t="str">
        <f>IFERROR(__xludf.DUMMYFUNCTION("""COMPUTED_VALUE"""),"範囲(小：威力減)")</f>
        <v>範囲(小：威力減)</v>
      </c>
      <c r="BF87" s="308">
        <f>IFERROR(__xludf.DUMMYFUNCTION("""COMPUTED_VALUE"""),3.0)</f>
        <v>3</v>
      </c>
      <c r="BG87" s="274" t="str">
        <f>IFERROR(__xludf.DUMMYFUNCTION("""COMPUTED_VALUE"""),"発動確率")</f>
        <v>発動確率</v>
      </c>
      <c r="BH87" s="322">
        <f>IFERROR(__xludf.DUMMYFUNCTION("""COMPUTED_VALUE"""),100.0)</f>
        <v>100</v>
      </c>
      <c r="BI87" s="322">
        <f>IFERROR(__xludf.DUMMYFUNCTION("""COMPUTED_VALUE"""),100.0)</f>
        <v>100</v>
      </c>
      <c r="BJ87" s="322">
        <f>IFERROR(__xludf.DUMMYFUNCTION("""COMPUTED_VALUE"""),100.0)</f>
        <v>100</v>
      </c>
      <c r="BK87" s="323">
        <f>IFERROR(__xludf.DUMMYFUNCTION("""COMPUTED_VALUE"""),100.0)</f>
        <v>100</v>
      </c>
      <c r="BL87" s="322">
        <f>IFERROR(__xludf.DUMMYFUNCTION("""COMPUTED_VALUE"""),100.0)</f>
        <v>100</v>
      </c>
      <c r="BM87" s="323">
        <f>IFERROR(__xludf.DUMMYFUNCTION("""COMPUTED_VALUE"""),100.0)</f>
        <v>100</v>
      </c>
      <c r="BN87" s="322">
        <f>IFERROR(__xludf.DUMMYFUNCTION("""COMPUTED_VALUE"""),100.0)</f>
        <v>100</v>
      </c>
      <c r="BO87" s="354">
        <f>IFERROR(__xludf.DUMMYFUNCTION("""COMPUTED_VALUE"""),100.0)</f>
        <v>100</v>
      </c>
    </row>
    <row r="88">
      <c r="A88" s="307" t="str">
        <f>IFERROR(__xludf.DUMMYFUNCTION("""COMPUTED_VALUE"""),"氷結")</f>
        <v>氷結</v>
      </c>
      <c r="B88" s="255" t="str">
        <f>IFERROR(__xludf.DUMMYFUNCTION("""COMPUTED_VALUE"""),"単体")</f>
        <v>単体</v>
      </c>
      <c r="C88" s="316">
        <f>IFERROR(__xludf.DUMMYFUNCTION("""COMPUTED_VALUE"""),4.0)</f>
        <v>4</v>
      </c>
      <c r="D88" s="342" t="str">
        <f>IFERROR(__xludf.DUMMYFUNCTION("""COMPUTED_VALUE"""),"効果値")</f>
        <v>効果値</v>
      </c>
      <c r="E88" s="356">
        <f>IFERROR(__xludf.DUMMYFUNCTION("""COMPUTED_VALUE"""),20.0)</f>
        <v>20</v>
      </c>
      <c r="F88" s="356">
        <f>IFERROR(__xludf.DUMMYFUNCTION("""COMPUTED_VALUE"""),20.0)</f>
        <v>20</v>
      </c>
      <c r="G88" s="356">
        <f>IFERROR(__xludf.DUMMYFUNCTION("""COMPUTED_VALUE"""),20.0)</f>
        <v>20</v>
      </c>
      <c r="H88" s="356">
        <f>IFERROR(__xludf.DUMMYFUNCTION("""COMPUTED_VALUE"""),20.0)</f>
        <v>20</v>
      </c>
      <c r="I88" s="356">
        <f>IFERROR(__xludf.DUMMYFUNCTION("""COMPUTED_VALUE"""),20.0)</f>
        <v>20</v>
      </c>
      <c r="J88" s="356">
        <f>IFERROR(__xludf.DUMMYFUNCTION("""COMPUTED_VALUE"""),20.0)</f>
        <v>20</v>
      </c>
      <c r="K88" s="356">
        <f>IFERROR(__xludf.DUMMYFUNCTION("""COMPUTED_VALUE"""),20.0)</f>
        <v>20</v>
      </c>
      <c r="L88" s="357">
        <f>IFERROR(__xludf.DUMMYFUNCTION("""COMPUTED_VALUE"""),20.0)</f>
        <v>20</v>
      </c>
      <c r="M88" s="276" t="str">
        <f>IFERROR(__xludf.DUMMYFUNCTION("""COMPUTED_VALUE"""),"範囲(小)")</f>
        <v>範囲(小)</v>
      </c>
      <c r="N88" s="316">
        <f>IFERROR(__xludf.DUMMYFUNCTION("""COMPUTED_VALUE"""),4.0)</f>
        <v>4</v>
      </c>
      <c r="O88" s="342" t="str">
        <f>IFERROR(__xludf.DUMMYFUNCTION("""COMPUTED_VALUE"""),"効果値")</f>
        <v>効果値</v>
      </c>
      <c r="P88" s="359">
        <f>IFERROR(__xludf.DUMMYFUNCTION("""COMPUTED_VALUE"""),20.0)</f>
        <v>20</v>
      </c>
      <c r="Q88" s="359">
        <f>IFERROR(__xludf.DUMMYFUNCTION("""COMPUTED_VALUE"""),20.0)</f>
        <v>20</v>
      </c>
      <c r="R88" s="359">
        <f>IFERROR(__xludf.DUMMYFUNCTION("""COMPUTED_VALUE"""),20.0)</f>
        <v>20</v>
      </c>
      <c r="S88" s="359">
        <f>IFERROR(__xludf.DUMMYFUNCTION("""COMPUTED_VALUE"""),20.0)</f>
        <v>20</v>
      </c>
      <c r="T88" s="359">
        <f>IFERROR(__xludf.DUMMYFUNCTION("""COMPUTED_VALUE"""),20.0)</f>
        <v>20</v>
      </c>
      <c r="U88" s="359">
        <f>IFERROR(__xludf.DUMMYFUNCTION("""COMPUTED_VALUE"""),20.0)</f>
        <v>20</v>
      </c>
      <c r="V88" s="359">
        <f>IFERROR(__xludf.DUMMYFUNCTION("""COMPUTED_VALUE"""),20.0)</f>
        <v>20</v>
      </c>
      <c r="W88" s="360">
        <f>IFERROR(__xludf.DUMMYFUNCTION("""COMPUTED_VALUE"""),20.0)</f>
        <v>20</v>
      </c>
      <c r="X88" s="276" t="str">
        <f>IFERROR(__xludf.DUMMYFUNCTION("""COMPUTED_VALUE"""),"範囲(中)")</f>
        <v>範囲(中)</v>
      </c>
      <c r="Y88" s="316">
        <f>IFERROR(__xludf.DUMMYFUNCTION("""COMPUTED_VALUE"""),4.0)</f>
        <v>4</v>
      </c>
      <c r="Z88" s="342" t="str">
        <f>IFERROR(__xludf.DUMMYFUNCTION("""COMPUTED_VALUE"""),"効果値")</f>
        <v>効果値</v>
      </c>
      <c r="AA88" s="359">
        <f>IFERROR(__xludf.DUMMYFUNCTION("""COMPUTED_VALUE"""),20.0)</f>
        <v>20</v>
      </c>
      <c r="AB88" s="359">
        <f>IFERROR(__xludf.DUMMYFUNCTION("""COMPUTED_VALUE"""),20.0)</f>
        <v>20</v>
      </c>
      <c r="AC88" s="359">
        <f>IFERROR(__xludf.DUMMYFUNCTION("""COMPUTED_VALUE"""),20.0)</f>
        <v>20</v>
      </c>
      <c r="AD88" s="359">
        <f>IFERROR(__xludf.DUMMYFUNCTION("""COMPUTED_VALUE"""),20.0)</f>
        <v>20</v>
      </c>
      <c r="AE88" s="359">
        <f>IFERROR(__xludf.DUMMYFUNCTION("""COMPUTED_VALUE"""),20.0)</f>
        <v>20</v>
      </c>
      <c r="AF88" s="359">
        <f>IFERROR(__xludf.DUMMYFUNCTION("""COMPUTED_VALUE"""),20.0)</f>
        <v>20</v>
      </c>
      <c r="AG88" s="359">
        <f>IFERROR(__xludf.DUMMYFUNCTION("""COMPUTED_VALUE"""),20.0)</f>
        <v>20</v>
      </c>
      <c r="AH88" s="360">
        <f>IFERROR(__xludf.DUMMYFUNCTION("""COMPUTED_VALUE"""),20.0)</f>
        <v>20</v>
      </c>
      <c r="AI88" s="276" t="str">
        <f>IFERROR(__xludf.DUMMYFUNCTION("""COMPUTED_VALUE"""),"範囲(大)")</f>
        <v>範囲(大)</v>
      </c>
      <c r="AJ88" s="316">
        <f>IFERROR(__xludf.DUMMYFUNCTION("""COMPUTED_VALUE"""),4.0)</f>
        <v>4</v>
      </c>
      <c r="AK88" s="342" t="str">
        <f>IFERROR(__xludf.DUMMYFUNCTION("""COMPUTED_VALUE"""),"効果値")</f>
        <v>効果値</v>
      </c>
      <c r="AL88" s="359">
        <f>IFERROR(__xludf.DUMMYFUNCTION("""COMPUTED_VALUE"""),20.0)</f>
        <v>20</v>
      </c>
      <c r="AM88" s="359">
        <f>IFERROR(__xludf.DUMMYFUNCTION("""COMPUTED_VALUE"""),20.0)</f>
        <v>20</v>
      </c>
      <c r="AN88" s="359">
        <f>IFERROR(__xludf.DUMMYFUNCTION("""COMPUTED_VALUE"""),20.0)</f>
        <v>20</v>
      </c>
      <c r="AO88" s="359">
        <f>IFERROR(__xludf.DUMMYFUNCTION("""COMPUTED_VALUE"""),20.0)</f>
        <v>20</v>
      </c>
      <c r="AP88" s="359">
        <f>IFERROR(__xludf.DUMMYFUNCTION("""COMPUTED_VALUE"""),20.0)</f>
        <v>20</v>
      </c>
      <c r="AQ88" s="359">
        <f>IFERROR(__xludf.DUMMYFUNCTION("""COMPUTED_VALUE"""),20.0)</f>
        <v>20</v>
      </c>
      <c r="AR88" s="359">
        <f>IFERROR(__xludf.DUMMYFUNCTION("""COMPUTED_VALUE"""),20.0)</f>
        <v>20</v>
      </c>
      <c r="AS88" s="360">
        <f>IFERROR(__xludf.DUMMYFUNCTION("""COMPUTED_VALUE"""),20.0)</f>
        <v>20</v>
      </c>
      <c r="AT88" s="276" t="str">
        <f>IFERROR(__xludf.DUMMYFUNCTION("""COMPUTED_VALUE"""),"範囲(特大)")</f>
        <v>範囲(特大)</v>
      </c>
      <c r="AU88" s="316">
        <f>IFERROR(__xludf.DUMMYFUNCTION("""COMPUTED_VALUE"""),4.0)</f>
        <v>4</v>
      </c>
      <c r="AV88" s="342" t="str">
        <f>IFERROR(__xludf.DUMMYFUNCTION("""COMPUTED_VALUE"""),"効果値")</f>
        <v>効果値</v>
      </c>
      <c r="AW88" s="359">
        <f>IFERROR(__xludf.DUMMYFUNCTION("""COMPUTED_VALUE"""),20.0)</f>
        <v>20</v>
      </c>
      <c r="AX88" s="359">
        <f>IFERROR(__xludf.DUMMYFUNCTION("""COMPUTED_VALUE"""),20.0)</f>
        <v>20</v>
      </c>
      <c r="AY88" s="359">
        <f>IFERROR(__xludf.DUMMYFUNCTION("""COMPUTED_VALUE"""),20.0)</f>
        <v>20</v>
      </c>
      <c r="AZ88" s="359">
        <f>IFERROR(__xludf.DUMMYFUNCTION("""COMPUTED_VALUE"""),20.0)</f>
        <v>20</v>
      </c>
      <c r="BA88" s="359">
        <f>IFERROR(__xludf.DUMMYFUNCTION("""COMPUTED_VALUE"""),20.0)</f>
        <v>20</v>
      </c>
      <c r="BB88" s="359">
        <f>IFERROR(__xludf.DUMMYFUNCTION("""COMPUTED_VALUE"""),20.0)</f>
        <v>20</v>
      </c>
      <c r="BC88" s="359">
        <f>IFERROR(__xludf.DUMMYFUNCTION("""COMPUTED_VALUE"""),20.0)</f>
        <v>20</v>
      </c>
      <c r="BD88" s="360">
        <f>IFERROR(__xludf.DUMMYFUNCTION("""COMPUTED_VALUE"""),20.0)</f>
        <v>20</v>
      </c>
      <c r="BE88" s="279" t="str">
        <f>IFERROR(__xludf.DUMMYFUNCTION("""COMPUTED_VALUE"""),"範囲(小：威力減)")</f>
        <v>範囲(小：威力減)</v>
      </c>
      <c r="BF88" s="316">
        <f>IFERROR(__xludf.DUMMYFUNCTION("""COMPUTED_VALUE"""),4.0)</f>
        <v>4</v>
      </c>
      <c r="BG88" s="342" t="str">
        <f>IFERROR(__xludf.DUMMYFUNCTION("""COMPUTED_VALUE"""),"効果値")</f>
        <v>効果値</v>
      </c>
      <c r="BH88" s="359">
        <f>IFERROR(__xludf.DUMMYFUNCTION("""COMPUTED_VALUE"""),20.0)</f>
        <v>20</v>
      </c>
      <c r="BI88" s="359">
        <f>IFERROR(__xludf.DUMMYFUNCTION("""COMPUTED_VALUE"""),20.0)</f>
        <v>20</v>
      </c>
      <c r="BJ88" s="359">
        <f>IFERROR(__xludf.DUMMYFUNCTION("""COMPUTED_VALUE"""),20.0)</f>
        <v>20</v>
      </c>
      <c r="BK88" s="359">
        <f>IFERROR(__xludf.DUMMYFUNCTION("""COMPUTED_VALUE"""),20.0)</f>
        <v>20</v>
      </c>
      <c r="BL88" s="359">
        <f>IFERROR(__xludf.DUMMYFUNCTION("""COMPUTED_VALUE"""),20.0)</f>
        <v>20</v>
      </c>
      <c r="BM88" s="359">
        <f>IFERROR(__xludf.DUMMYFUNCTION("""COMPUTED_VALUE"""),20.0)</f>
        <v>20</v>
      </c>
      <c r="BN88" s="359">
        <f>IFERROR(__xludf.DUMMYFUNCTION("""COMPUTED_VALUE"""),20.0)</f>
        <v>20</v>
      </c>
      <c r="BO88" s="360">
        <f>IFERROR(__xludf.DUMMYFUNCTION("""COMPUTED_VALUE"""),20.0)</f>
        <v>20</v>
      </c>
    </row>
    <row r="89">
      <c r="A89" s="307" t="str">
        <f>IFERROR(__xludf.DUMMYFUNCTION("""COMPUTED_VALUE"""),"氷結")</f>
        <v>氷結</v>
      </c>
      <c r="B89" s="255" t="str">
        <f>IFERROR(__xludf.DUMMYFUNCTION("""COMPUTED_VALUE"""),"単体")</f>
        <v>単体</v>
      </c>
      <c r="C89" s="308">
        <f>IFERROR(__xludf.DUMMYFUNCTION("""COMPUTED_VALUE"""),4.0)</f>
        <v>4</v>
      </c>
      <c r="D89" s="274" t="str">
        <f>IFERROR(__xludf.DUMMYFUNCTION("""COMPUTED_VALUE"""),"効果時間")</f>
        <v>効果時間</v>
      </c>
      <c r="E89" s="317">
        <f>IFERROR(__xludf.DUMMYFUNCTION("""COMPUTED_VALUE"""),55.0)</f>
        <v>55</v>
      </c>
      <c r="F89" s="317">
        <f>IFERROR(__xludf.DUMMYFUNCTION("""COMPUTED_VALUE"""),55.0)</f>
        <v>55</v>
      </c>
      <c r="G89" s="317">
        <f>IFERROR(__xludf.DUMMYFUNCTION("""COMPUTED_VALUE"""),60.0)</f>
        <v>60</v>
      </c>
      <c r="H89" s="317">
        <f>IFERROR(__xludf.DUMMYFUNCTION("""COMPUTED_VALUE"""),60.0)</f>
        <v>60</v>
      </c>
      <c r="I89" s="317">
        <f>IFERROR(__xludf.DUMMYFUNCTION("""COMPUTED_VALUE"""),60.0)</f>
        <v>60</v>
      </c>
      <c r="J89" s="317">
        <f>IFERROR(__xludf.DUMMYFUNCTION("""COMPUTED_VALUE"""),70.0)</f>
        <v>70</v>
      </c>
      <c r="K89" s="317">
        <f>IFERROR(__xludf.DUMMYFUNCTION("""COMPUTED_VALUE"""),120.0)</f>
        <v>120</v>
      </c>
      <c r="L89" s="317">
        <f>IFERROR(__xludf.DUMMYFUNCTION("""COMPUTED_VALUE"""),125.0)</f>
        <v>125</v>
      </c>
      <c r="M89" s="276" t="str">
        <f>IFERROR(__xludf.DUMMYFUNCTION("""COMPUTED_VALUE"""),"範囲(小)")</f>
        <v>範囲(小)</v>
      </c>
      <c r="N89" s="308">
        <f>IFERROR(__xludf.DUMMYFUNCTION("""COMPUTED_VALUE"""),4.0)</f>
        <v>4</v>
      </c>
      <c r="O89" s="274" t="str">
        <f>IFERROR(__xludf.DUMMYFUNCTION("""COMPUTED_VALUE"""),"効果時間")</f>
        <v>効果時間</v>
      </c>
      <c r="P89" s="318">
        <f>IFERROR(__xludf.DUMMYFUNCTION("""COMPUTED_VALUE"""),50.0)</f>
        <v>50</v>
      </c>
      <c r="Q89" s="318">
        <f>IFERROR(__xludf.DUMMYFUNCTION("""COMPUTED_VALUE"""),50.0)</f>
        <v>50</v>
      </c>
      <c r="R89" s="318">
        <f>IFERROR(__xludf.DUMMYFUNCTION("""COMPUTED_VALUE"""),50.0)</f>
        <v>50</v>
      </c>
      <c r="S89" s="318">
        <f>IFERROR(__xludf.DUMMYFUNCTION("""COMPUTED_VALUE"""),50.0)</f>
        <v>50</v>
      </c>
      <c r="T89" s="318">
        <f>IFERROR(__xludf.DUMMYFUNCTION("""COMPUTED_VALUE"""),50.0)</f>
        <v>50</v>
      </c>
      <c r="U89" s="318">
        <f>IFERROR(__xludf.DUMMYFUNCTION("""COMPUTED_VALUE"""),55.0)</f>
        <v>55</v>
      </c>
      <c r="V89" s="318">
        <f>IFERROR(__xludf.DUMMYFUNCTION("""COMPUTED_VALUE"""),90.0)</f>
        <v>90</v>
      </c>
      <c r="W89" s="319">
        <f>IFERROR(__xludf.DUMMYFUNCTION("""COMPUTED_VALUE"""),95.0)</f>
        <v>95</v>
      </c>
      <c r="X89" s="276" t="str">
        <f>IFERROR(__xludf.DUMMYFUNCTION("""COMPUTED_VALUE"""),"範囲(中)")</f>
        <v>範囲(中)</v>
      </c>
      <c r="Y89" s="308">
        <f>IFERROR(__xludf.DUMMYFUNCTION("""COMPUTED_VALUE"""),4.0)</f>
        <v>4</v>
      </c>
      <c r="Z89" s="274" t="str">
        <f>IFERROR(__xludf.DUMMYFUNCTION("""COMPUTED_VALUE"""),"効果時間")</f>
        <v>効果時間</v>
      </c>
      <c r="AA89" s="318">
        <f>IFERROR(__xludf.DUMMYFUNCTION("""COMPUTED_VALUE"""),50.0)</f>
        <v>50</v>
      </c>
      <c r="AB89" s="318">
        <f>IFERROR(__xludf.DUMMYFUNCTION("""COMPUTED_VALUE"""),50.0)</f>
        <v>50</v>
      </c>
      <c r="AC89" s="318">
        <f>IFERROR(__xludf.DUMMYFUNCTION("""COMPUTED_VALUE"""),50.0)</f>
        <v>50</v>
      </c>
      <c r="AD89" s="318">
        <f>IFERROR(__xludf.DUMMYFUNCTION("""COMPUTED_VALUE"""),50.0)</f>
        <v>50</v>
      </c>
      <c r="AE89" s="318">
        <f>IFERROR(__xludf.DUMMYFUNCTION("""COMPUTED_VALUE"""),50.0)</f>
        <v>50</v>
      </c>
      <c r="AF89" s="318">
        <f>IFERROR(__xludf.DUMMYFUNCTION("""COMPUTED_VALUE"""),50.0)</f>
        <v>50</v>
      </c>
      <c r="AG89" s="318">
        <f>IFERROR(__xludf.DUMMYFUNCTION("""COMPUTED_VALUE"""),80.0)</f>
        <v>80</v>
      </c>
      <c r="AH89" s="319">
        <f>IFERROR(__xludf.DUMMYFUNCTION("""COMPUTED_VALUE"""),85.0)</f>
        <v>85</v>
      </c>
      <c r="AI89" s="276" t="str">
        <f>IFERROR(__xludf.DUMMYFUNCTION("""COMPUTED_VALUE"""),"範囲(大)")</f>
        <v>範囲(大)</v>
      </c>
      <c r="AJ89" s="308">
        <f>IFERROR(__xludf.DUMMYFUNCTION("""COMPUTED_VALUE"""),4.0)</f>
        <v>4</v>
      </c>
      <c r="AK89" s="274" t="str">
        <f>IFERROR(__xludf.DUMMYFUNCTION("""COMPUTED_VALUE"""),"効果時間")</f>
        <v>効果時間</v>
      </c>
      <c r="AL89" s="318">
        <f>IFERROR(__xludf.DUMMYFUNCTION("""COMPUTED_VALUE"""),50.0)</f>
        <v>50</v>
      </c>
      <c r="AM89" s="318">
        <f>IFERROR(__xludf.DUMMYFUNCTION("""COMPUTED_VALUE"""),50.0)</f>
        <v>50</v>
      </c>
      <c r="AN89" s="318">
        <f>IFERROR(__xludf.DUMMYFUNCTION("""COMPUTED_VALUE"""),50.0)</f>
        <v>50</v>
      </c>
      <c r="AO89" s="318">
        <f>IFERROR(__xludf.DUMMYFUNCTION("""COMPUTED_VALUE"""),50.0)</f>
        <v>50</v>
      </c>
      <c r="AP89" s="318">
        <f>IFERROR(__xludf.DUMMYFUNCTION("""COMPUTED_VALUE"""),50.0)</f>
        <v>50</v>
      </c>
      <c r="AQ89" s="318">
        <f>IFERROR(__xludf.DUMMYFUNCTION("""COMPUTED_VALUE"""),50.0)</f>
        <v>50</v>
      </c>
      <c r="AR89" s="318">
        <f>IFERROR(__xludf.DUMMYFUNCTION("""COMPUTED_VALUE"""),70.0)</f>
        <v>70</v>
      </c>
      <c r="AS89" s="319">
        <f>IFERROR(__xludf.DUMMYFUNCTION("""COMPUTED_VALUE"""),70.0)</f>
        <v>70</v>
      </c>
      <c r="AT89" s="276" t="str">
        <f>IFERROR(__xludf.DUMMYFUNCTION("""COMPUTED_VALUE"""),"範囲(特大)")</f>
        <v>範囲(特大)</v>
      </c>
      <c r="AU89" s="308">
        <f>IFERROR(__xludf.DUMMYFUNCTION("""COMPUTED_VALUE"""),4.0)</f>
        <v>4</v>
      </c>
      <c r="AV89" s="274" t="str">
        <f>IFERROR(__xludf.DUMMYFUNCTION("""COMPUTED_VALUE"""),"効果時間")</f>
        <v>効果時間</v>
      </c>
      <c r="AW89" s="318">
        <f>IFERROR(__xludf.DUMMYFUNCTION("""COMPUTED_VALUE"""),50.0)</f>
        <v>50</v>
      </c>
      <c r="AX89" s="318">
        <f>IFERROR(__xludf.DUMMYFUNCTION("""COMPUTED_VALUE"""),50.0)</f>
        <v>50</v>
      </c>
      <c r="AY89" s="318">
        <f>IFERROR(__xludf.DUMMYFUNCTION("""COMPUTED_VALUE"""),50.0)</f>
        <v>50</v>
      </c>
      <c r="AZ89" s="318">
        <f>IFERROR(__xludf.DUMMYFUNCTION("""COMPUTED_VALUE"""),50.0)</f>
        <v>50</v>
      </c>
      <c r="BA89" s="318">
        <f>IFERROR(__xludf.DUMMYFUNCTION("""COMPUTED_VALUE"""),50.0)</f>
        <v>50</v>
      </c>
      <c r="BB89" s="318">
        <f>IFERROR(__xludf.DUMMYFUNCTION("""COMPUTED_VALUE"""),50.0)</f>
        <v>50</v>
      </c>
      <c r="BC89" s="318">
        <f>IFERROR(__xludf.DUMMYFUNCTION("""COMPUTED_VALUE"""),60.0)</f>
        <v>60</v>
      </c>
      <c r="BD89" s="319">
        <f>IFERROR(__xludf.DUMMYFUNCTION("""COMPUTED_VALUE"""),65.0)</f>
        <v>65</v>
      </c>
      <c r="BE89" s="279" t="str">
        <f>IFERROR(__xludf.DUMMYFUNCTION("""COMPUTED_VALUE"""),"範囲(小：威力減)")</f>
        <v>範囲(小：威力減)</v>
      </c>
      <c r="BF89" s="308">
        <f>IFERROR(__xludf.DUMMYFUNCTION("""COMPUTED_VALUE"""),4.0)</f>
        <v>4</v>
      </c>
      <c r="BG89" s="274" t="str">
        <f>IFERROR(__xludf.DUMMYFUNCTION("""COMPUTED_VALUE"""),"効果時間")</f>
        <v>効果時間</v>
      </c>
      <c r="BH89" s="318">
        <f>IFERROR(__xludf.DUMMYFUNCTION("""COMPUTED_VALUE"""),50.0)</f>
        <v>50</v>
      </c>
      <c r="BI89" s="318">
        <f>IFERROR(__xludf.DUMMYFUNCTION("""COMPUTED_VALUE"""),50.0)</f>
        <v>50</v>
      </c>
      <c r="BJ89" s="318">
        <f>IFERROR(__xludf.DUMMYFUNCTION("""COMPUTED_VALUE"""),50.0)</f>
        <v>50</v>
      </c>
      <c r="BK89" s="318">
        <f>IFERROR(__xludf.DUMMYFUNCTION("""COMPUTED_VALUE"""),50.0)</f>
        <v>50</v>
      </c>
      <c r="BL89" s="318">
        <f>IFERROR(__xludf.DUMMYFUNCTION("""COMPUTED_VALUE"""),50.0)</f>
        <v>50</v>
      </c>
      <c r="BM89" s="318">
        <f>IFERROR(__xludf.DUMMYFUNCTION("""COMPUTED_VALUE"""),50.0)</f>
        <v>50</v>
      </c>
      <c r="BN89" s="318">
        <f>IFERROR(__xludf.DUMMYFUNCTION("""COMPUTED_VALUE"""),60.0)</f>
        <v>60</v>
      </c>
      <c r="BO89" s="319">
        <f>IFERROR(__xludf.DUMMYFUNCTION("""COMPUTED_VALUE"""),65.0)</f>
        <v>65</v>
      </c>
    </row>
    <row r="90">
      <c r="A90" s="307" t="str">
        <f>IFERROR(__xludf.DUMMYFUNCTION("""COMPUTED_VALUE"""),"氷結")</f>
        <v>氷結</v>
      </c>
      <c r="B90" s="255" t="str">
        <f>IFERROR(__xludf.DUMMYFUNCTION("""COMPUTED_VALUE"""),"単体")</f>
        <v>単体</v>
      </c>
      <c r="C90" s="308">
        <f>IFERROR(__xludf.DUMMYFUNCTION("""COMPUTED_VALUE"""),4.0)</f>
        <v>4</v>
      </c>
      <c r="D90" s="274" t="str">
        <f>IFERROR(__xludf.DUMMYFUNCTION("""COMPUTED_VALUE"""),"発動確率")</f>
        <v>発動確率</v>
      </c>
      <c r="E90" s="310">
        <f>IFERROR(__xludf.DUMMYFUNCTION("""COMPUTED_VALUE"""),100.0)</f>
        <v>100</v>
      </c>
      <c r="F90" s="310">
        <f>IFERROR(__xludf.DUMMYFUNCTION("""COMPUTED_VALUE"""),100.0)</f>
        <v>100</v>
      </c>
      <c r="G90" s="310">
        <f>IFERROR(__xludf.DUMMYFUNCTION("""COMPUTED_VALUE"""),100.0)</f>
        <v>100</v>
      </c>
      <c r="H90" s="311">
        <f>IFERROR(__xludf.DUMMYFUNCTION("""COMPUTED_VALUE"""),100.0)</f>
        <v>100</v>
      </c>
      <c r="I90" s="310">
        <f>IFERROR(__xludf.DUMMYFUNCTION("""COMPUTED_VALUE"""),100.0)</f>
        <v>100</v>
      </c>
      <c r="J90" s="311">
        <f>IFERROR(__xludf.DUMMYFUNCTION("""COMPUTED_VALUE"""),100.0)</f>
        <v>100</v>
      </c>
      <c r="K90" s="310">
        <f>IFERROR(__xludf.DUMMYFUNCTION("""COMPUTED_VALUE"""),100.0)</f>
        <v>100</v>
      </c>
      <c r="L90" s="311">
        <f>IFERROR(__xludf.DUMMYFUNCTION("""COMPUTED_VALUE"""),100.0)</f>
        <v>100</v>
      </c>
      <c r="M90" s="276" t="str">
        <f>IFERROR(__xludf.DUMMYFUNCTION("""COMPUTED_VALUE"""),"範囲(小)")</f>
        <v>範囲(小)</v>
      </c>
      <c r="N90" s="308">
        <f>IFERROR(__xludf.DUMMYFUNCTION("""COMPUTED_VALUE"""),4.0)</f>
        <v>4</v>
      </c>
      <c r="O90" s="274" t="str">
        <f>IFERROR(__xludf.DUMMYFUNCTION("""COMPUTED_VALUE"""),"発動確率")</f>
        <v>発動確率</v>
      </c>
      <c r="P90" s="322">
        <f>IFERROR(__xludf.DUMMYFUNCTION("""COMPUTED_VALUE"""),100.0)</f>
        <v>100</v>
      </c>
      <c r="Q90" s="322">
        <f>IFERROR(__xludf.DUMMYFUNCTION("""COMPUTED_VALUE"""),100.0)</f>
        <v>100</v>
      </c>
      <c r="R90" s="322">
        <f>IFERROR(__xludf.DUMMYFUNCTION("""COMPUTED_VALUE"""),100.0)</f>
        <v>100</v>
      </c>
      <c r="S90" s="323">
        <f>IFERROR(__xludf.DUMMYFUNCTION("""COMPUTED_VALUE"""),100.0)</f>
        <v>100</v>
      </c>
      <c r="T90" s="322">
        <f>IFERROR(__xludf.DUMMYFUNCTION("""COMPUTED_VALUE"""),100.0)</f>
        <v>100</v>
      </c>
      <c r="U90" s="323">
        <f>IFERROR(__xludf.DUMMYFUNCTION("""COMPUTED_VALUE"""),100.0)</f>
        <v>100</v>
      </c>
      <c r="V90" s="322">
        <f>IFERROR(__xludf.DUMMYFUNCTION("""COMPUTED_VALUE"""),100.0)</f>
        <v>100</v>
      </c>
      <c r="W90" s="354">
        <f>IFERROR(__xludf.DUMMYFUNCTION("""COMPUTED_VALUE"""),100.0)</f>
        <v>100</v>
      </c>
      <c r="X90" s="276" t="str">
        <f>IFERROR(__xludf.DUMMYFUNCTION("""COMPUTED_VALUE"""),"範囲(中)")</f>
        <v>範囲(中)</v>
      </c>
      <c r="Y90" s="308">
        <f>IFERROR(__xludf.DUMMYFUNCTION("""COMPUTED_VALUE"""),4.0)</f>
        <v>4</v>
      </c>
      <c r="Z90" s="274" t="str">
        <f>IFERROR(__xludf.DUMMYFUNCTION("""COMPUTED_VALUE"""),"発動確率")</f>
        <v>発動確率</v>
      </c>
      <c r="AA90" s="322">
        <f>IFERROR(__xludf.DUMMYFUNCTION("""COMPUTED_VALUE"""),100.0)</f>
        <v>100</v>
      </c>
      <c r="AB90" s="322">
        <f>IFERROR(__xludf.DUMMYFUNCTION("""COMPUTED_VALUE"""),100.0)</f>
        <v>100</v>
      </c>
      <c r="AC90" s="322">
        <f>IFERROR(__xludf.DUMMYFUNCTION("""COMPUTED_VALUE"""),100.0)</f>
        <v>100</v>
      </c>
      <c r="AD90" s="323">
        <f>IFERROR(__xludf.DUMMYFUNCTION("""COMPUTED_VALUE"""),100.0)</f>
        <v>100</v>
      </c>
      <c r="AE90" s="322">
        <f>IFERROR(__xludf.DUMMYFUNCTION("""COMPUTED_VALUE"""),100.0)</f>
        <v>100</v>
      </c>
      <c r="AF90" s="323">
        <f>IFERROR(__xludf.DUMMYFUNCTION("""COMPUTED_VALUE"""),100.0)</f>
        <v>100</v>
      </c>
      <c r="AG90" s="322">
        <f>IFERROR(__xludf.DUMMYFUNCTION("""COMPUTED_VALUE"""),100.0)</f>
        <v>100</v>
      </c>
      <c r="AH90" s="354">
        <f>IFERROR(__xludf.DUMMYFUNCTION("""COMPUTED_VALUE"""),100.0)</f>
        <v>100</v>
      </c>
      <c r="AI90" s="276" t="str">
        <f>IFERROR(__xludf.DUMMYFUNCTION("""COMPUTED_VALUE"""),"範囲(大)")</f>
        <v>範囲(大)</v>
      </c>
      <c r="AJ90" s="308">
        <f>IFERROR(__xludf.DUMMYFUNCTION("""COMPUTED_VALUE"""),4.0)</f>
        <v>4</v>
      </c>
      <c r="AK90" s="274" t="str">
        <f>IFERROR(__xludf.DUMMYFUNCTION("""COMPUTED_VALUE"""),"発動確率")</f>
        <v>発動確率</v>
      </c>
      <c r="AL90" s="322">
        <f>IFERROR(__xludf.DUMMYFUNCTION("""COMPUTED_VALUE"""),100.0)</f>
        <v>100</v>
      </c>
      <c r="AM90" s="322">
        <f>IFERROR(__xludf.DUMMYFUNCTION("""COMPUTED_VALUE"""),100.0)</f>
        <v>100</v>
      </c>
      <c r="AN90" s="322">
        <f>IFERROR(__xludf.DUMMYFUNCTION("""COMPUTED_VALUE"""),100.0)</f>
        <v>100</v>
      </c>
      <c r="AO90" s="323">
        <f>IFERROR(__xludf.DUMMYFUNCTION("""COMPUTED_VALUE"""),100.0)</f>
        <v>100</v>
      </c>
      <c r="AP90" s="322">
        <f>IFERROR(__xludf.DUMMYFUNCTION("""COMPUTED_VALUE"""),100.0)</f>
        <v>100</v>
      </c>
      <c r="AQ90" s="323">
        <f>IFERROR(__xludf.DUMMYFUNCTION("""COMPUTED_VALUE"""),100.0)</f>
        <v>100</v>
      </c>
      <c r="AR90" s="322">
        <f>IFERROR(__xludf.DUMMYFUNCTION("""COMPUTED_VALUE"""),100.0)</f>
        <v>100</v>
      </c>
      <c r="AS90" s="354">
        <f>IFERROR(__xludf.DUMMYFUNCTION("""COMPUTED_VALUE"""),100.0)</f>
        <v>100</v>
      </c>
      <c r="AT90" s="276" t="str">
        <f>IFERROR(__xludf.DUMMYFUNCTION("""COMPUTED_VALUE"""),"範囲(特大)")</f>
        <v>範囲(特大)</v>
      </c>
      <c r="AU90" s="308">
        <f>IFERROR(__xludf.DUMMYFUNCTION("""COMPUTED_VALUE"""),4.0)</f>
        <v>4</v>
      </c>
      <c r="AV90" s="274" t="str">
        <f>IFERROR(__xludf.DUMMYFUNCTION("""COMPUTED_VALUE"""),"発動確率")</f>
        <v>発動確率</v>
      </c>
      <c r="AW90" s="322">
        <f>IFERROR(__xludf.DUMMYFUNCTION("""COMPUTED_VALUE"""),100.0)</f>
        <v>100</v>
      </c>
      <c r="AX90" s="322">
        <f>IFERROR(__xludf.DUMMYFUNCTION("""COMPUTED_VALUE"""),100.0)</f>
        <v>100</v>
      </c>
      <c r="AY90" s="322">
        <f>IFERROR(__xludf.DUMMYFUNCTION("""COMPUTED_VALUE"""),100.0)</f>
        <v>100</v>
      </c>
      <c r="AZ90" s="323">
        <f>IFERROR(__xludf.DUMMYFUNCTION("""COMPUTED_VALUE"""),100.0)</f>
        <v>100</v>
      </c>
      <c r="BA90" s="322">
        <f>IFERROR(__xludf.DUMMYFUNCTION("""COMPUTED_VALUE"""),100.0)</f>
        <v>100</v>
      </c>
      <c r="BB90" s="323">
        <f>IFERROR(__xludf.DUMMYFUNCTION("""COMPUTED_VALUE"""),100.0)</f>
        <v>100</v>
      </c>
      <c r="BC90" s="322">
        <f>IFERROR(__xludf.DUMMYFUNCTION("""COMPUTED_VALUE"""),100.0)</f>
        <v>100</v>
      </c>
      <c r="BD90" s="354">
        <f>IFERROR(__xludf.DUMMYFUNCTION("""COMPUTED_VALUE"""),100.0)</f>
        <v>100</v>
      </c>
      <c r="BE90" s="279" t="str">
        <f>IFERROR(__xludf.DUMMYFUNCTION("""COMPUTED_VALUE"""),"範囲(小：威力減)")</f>
        <v>範囲(小：威力減)</v>
      </c>
      <c r="BF90" s="308">
        <f>IFERROR(__xludf.DUMMYFUNCTION("""COMPUTED_VALUE"""),4.0)</f>
        <v>4</v>
      </c>
      <c r="BG90" s="274" t="str">
        <f>IFERROR(__xludf.DUMMYFUNCTION("""COMPUTED_VALUE"""),"発動確率")</f>
        <v>発動確率</v>
      </c>
      <c r="BH90" s="322">
        <f>IFERROR(__xludf.DUMMYFUNCTION("""COMPUTED_VALUE"""),100.0)</f>
        <v>100</v>
      </c>
      <c r="BI90" s="322">
        <f>IFERROR(__xludf.DUMMYFUNCTION("""COMPUTED_VALUE"""),100.0)</f>
        <v>100</v>
      </c>
      <c r="BJ90" s="322">
        <f>IFERROR(__xludf.DUMMYFUNCTION("""COMPUTED_VALUE"""),100.0)</f>
        <v>100</v>
      </c>
      <c r="BK90" s="323">
        <f>IFERROR(__xludf.DUMMYFUNCTION("""COMPUTED_VALUE"""),100.0)</f>
        <v>100</v>
      </c>
      <c r="BL90" s="322">
        <f>IFERROR(__xludf.DUMMYFUNCTION("""COMPUTED_VALUE"""),100.0)</f>
        <v>100</v>
      </c>
      <c r="BM90" s="323">
        <f>IFERROR(__xludf.DUMMYFUNCTION("""COMPUTED_VALUE"""),100.0)</f>
        <v>100</v>
      </c>
      <c r="BN90" s="322">
        <f>IFERROR(__xludf.DUMMYFUNCTION("""COMPUTED_VALUE"""),100.0)</f>
        <v>100</v>
      </c>
      <c r="BO90" s="354">
        <f>IFERROR(__xludf.DUMMYFUNCTION("""COMPUTED_VALUE"""),100.0)</f>
        <v>100</v>
      </c>
    </row>
    <row r="91">
      <c r="A91" s="307" t="str">
        <f>IFERROR(__xludf.DUMMYFUNCTION("""COMPUTED_VALUE"""),"氷結")</f>
        <v>氷結</v>
      </c>
      <c r="B91" s="255" t="str">
        <f>IFERROR(__xludf.DUMMYFUNCTION("""COMPUTED_VALUE"""),"単体")</f>
        <v>単体</v>
      </c>
      <c r="C91" s="316">
        <f>IFERROR(__xludf.DUMMYFUNCTION("""COMPUTED_VALUE"""),5.0)</f>
        <v>5</v>
      </c>
      <c r="D91" s="342" t="str">
        <f>IFERROR(__xludf.DUMMYFUNCTION("""COMPUTED_VALUE"""),"効果値")</f>
        <v>効果値</v>
      </c>
      <c r="E91" s="356">
        <f>IFERROR(__xludf.DUMMYFUNCTION("""COMPUTED_VALUE"""),20.0)</f>
        <v>20</v>
      </c>
      <c r="F91" s="356">
        <f>IFERROR(__xludf.DUMMYFUNCTION("""COMPUTED_VALUE"""),20.0)</f>
        <v>20</v>
      </c>
      <c r="G91" s="356">
        <f>IFERROR(__xludf.DUMMYFUNCTION("""COMPUTED_VALUE"""),20.0)</f>
        <v>20</v>
      </c>
      <c r="H91" s="356">
        <f>IFERROR(__xludf.DUMMYFUNCTION("""COMPUTED_VALUE"""),20.0)</f>
        <v>20</v>
      </c>
      <c r="I91" s="356">
        <f>IFERROR(__xludf.DUMMYFUNCTION("""COMPUTED_VALUE"""),20.0)</f>
        <v>20</v>
      </c>
      <c r="J91" s="356">
        <f>IFERROR(__xludf.DUMMYFUNCTION("""COMPUTED_VALUE"""),20.0)</f>
        <v>20</v>
      </c>
      <c r="K91" s="356">
        <f>IFERROR(__xludf.DUMMYFUNCTION("""COMPUTED_VALUE"""),20.0)</f>
        <v>20</v>
      </c>
      <c r="L91" s="357">
        <f>IFERROR(__xludf.DUMMYFUNCTION("""COMPUTED_VALUE"""),20.0)</f>
        <v>20</v>
      </c>
      <c r="M91" s="276" t="str">
        <f>IFERROR(__xludf.DUMMYFUNCTION("""COMPUTED_VALUE"""),"範囲(小)")</f>
        <v>範囲(小)</v>
      </c>
      <c r="N91" s="316">
        <f>IFERROR(__xludf.DUMMYFUNCTION("""COMPUTED_VALUE"""),5.0)</f>
        <v>5</v>
      </c>
      <c r="O91" s="342" t="str">
        <f>IFERROR(__xludf.DUMMYFUNCTION("""COMPUTED_VALUE"""),"効果値")</f>
        <v>効果値</v>
      </c>
      <c r="P91" s="359">
        <f>IFERROR(__xludf.DUMMYFUNCTION("""COMPUTED_VALUE"""),20.0)</f>
        <v>20</v>
      </c>
      <c r="Q91" s="359">
        <f>IFERROR(__xludf.DUMMYFUNCTION("""COMPUTED_VALUE"""),20.0)</f>
        <v>20</v>
      </c>
      <c r="R91" s="359">
        <f>IFERROR(__xludf.DUMMYFUNCTION("""COMPUTED_VALUE"""),20.0)</f>
        <v>20</v>
      </c>
      <c r="S91" s="359">
        <f>IFERROR(__xludf.DUMMYFUNCTION("""COMPUTED_VALUE"""),20.0)</f>
        <v>20</v>
      </c>
      <c r="T91" s="359">
        <f>IFERROR(__xludf.DUMMYFUNCTION("""COMPUTED_VALUE"""),20.0)</f>
        <v>20</v>
      </c>
      <c r="U91" s="359">
        <f>IFERROR(__xludf.DUMMYFUNCTION("""COMPUTED_VALUE"""),20.0)</f>
        <v>20</v>
      </c>
      <c r="V91" s="359">
        <f>IFERROR(__xludf.DUMMYFUNCTION("""COMPUTED_VALUE"""),20.0)</f>
        <v>20</v>
      </c>
      <c r="W91" s="360">
        <f>IFERROR(__xludf.DUMMYFUNCTION("""COMPUTED_VALUE"""),20.0)</f>
        <v>20</v>
      </c>
      <c r="X91" s="276" t="str">
        <f>IFERROR(__xludf.DUMMYFUNCTION("""COMPUTED_VALUE"""),"範囲(中)")</f>
        <v>範囲(中)</v>
      </c>
      <c r="Y91" s="316">
        <f>IFERROR(__xludf.DUMMYFUNCTION("""COMPUTED_VALUE"""),5.0)</f>
        <v>5</v>
      </c>
      <c r="Z91" s="342" t="str">
        <f>IFERROR(__xludf.DUMMYFUNCTION("""COMPUTED_VALUE"""),"効果値")</f>
        <v>効果値</v>
      </c>
      <c r="AA91" s="359">
        <f>IFERROR(__xludf.DUMMYFUNCTION("""COMPUTED_VALUE"""),20.0)</f>
        <v>20</v>
      </c>
      <c r="AB91" s="359">
        <f>IFERROR(__xludf.DUMMYFUNCTION("""COMPUTED_VALUE"""),20.0)</f>
        <v>20</v>
      </c>
      <c r="AC91" s="359">
        <f>IFERROR(__xludf.DUMMYFUNCTION("""COMPUTED_VALUE"""),20.0)</f>
        <v>20</v>
      </c>
      <c r="AD91" s="359">
        <f>IFERROR(__xludf.DUMMYFUNCTION("""COMPUTED_VALUE"""),20.0)</f>
        <v>20</v>
      </c>
      <c r="AE91" s="359">
        <f>IFERROR(__xludf.DUMMYFUNCTION("""COMPUTED_VALUE"""),20.0)</f>
        <v>20</v>
      </c>
      <c r="AF91" s="359">
        <f>IFERROR(__xludf.DUMMYFUNCTION("""COMPUTED_VALUE"""),20.0)</f>
        <v>20</v>
      </c>
      <c r="AG91" s="359">
        <f>IFERROR(__xludf.DUMMYFUNCTION("""COMPUTED_VALUE"""),20.0)</f>
        <v>20</v>
      </c>
      <c r="AH91" s="360">
        <f>IFERROR(__xludf.DUMMYFUNCTION("""COMPUTED_VALUE"""),20.0)</f>
        <v>20</v>
      </c>
      <c r="AI91" s="276" t="str">
        <f>IFERROR(__xludf.DUMMYFUNCTION("""COMPUTED_VALUE"""),"範囲(大)")</f>
        <v>範囲(大)</v>
      </c>
      <c r="AJ91" s="316">
        <f>IFERROR(__xludf.DUMMYFUNCTION("""COMPUTED_VALUE"""),5.0)</f>
        <v>5</v>
      </c>
      <c r="AK91" s="342" t="str">
        <f>IFERROR(__xludf.DUMMYFUNCTION("""COMPUTED_VALUE"""),"効果値")</f>
        <v>効果値</v>
      </c>
      <c r="AL91" s="359">
        <f>IFERROR(__xludf.DUMMYFUNCTION("""COMPUTED_VALUE"""),20.0)</f>
        <v>20</v>
      </c>
      <c r="AM91" s="359">
        <f>IFERROR(__xludf.DUMMYFUNCTION("""COMPUTED_VALUE"""),20.0)</f>
        <v>20</v>
      </c>
      <c r="AN91" s="359">
        <f>IFERROR(__xludf.DUMMYFUNCTION("""COMPUTED_VALUE"""),20.0)</f>
        <v>20</v>
      </c>
      <c r="AO91" s="359">
        <f>IFERROR(__xludf.DUMMYFUNCTION("""COMPUTED_VALUE"""),20.0)</f>
        <v>20</v>
      </c>
      <c r="AP91" s="359">
        <f>IFERROR(__xludf.DUMMYFUNCTION("""COMPUTED_VALUE"""),20.0)</f>
        <v>20</v>
      </c>
      <c r="AQ91" s="359">
        <f>IFERROR(__xludf.DUMMYFUNCTION("""COMPUTED_VALUE"""),20.0)</f>
        <v>20</v>
      </c>
      <c r="AR91" s="359">
        <f>IFERROR(__xludf.DUMMYFUNCTION("""COMPUTED_VALUE"""),20.0)</f>
        <v>20</v>
      </c>
      <c r="AS91" s="360">
        <f>IFERROR(__xludf.DUMMYFUNCTION("""COMPUTED_VALUE"""),20.0)</f>
        <v>20</v>
      </c>
      <c r="AT91" s="276" t="str">
        <f>IFERROR(__xludf.DUMMYFUNCTION("""COMPUTED_VALUE"""),"範囲(特大)")</f>
        <v>範囲(特大)</v>
      </c>
      <c r="AU91" s="316">
        <f>IFERROR(__xludf.DUMMYFUNCTION("""COMPUTED_VALUE"""),5.0)</f>
        <v>5</v>
      </c>
      <c r="AV91" s="342" t="str">
        <f>IFERROR(__xludf.DUMMYFUNCTION("""COMPUTED_VALUE"""),"効果値")</f>
        <v>効果値</v>
      </c>
      <c r="AW91" s="359">
        <f>IFERROR(__xludf.DUMMYFUNCTION("""COMPUTED_VALUE"""),20.0)</f>
        <v>20</v>
      </c>
      <c r="AX91" s="359">
        <f>IFERROR(__xludf.DUMMYFUNCTION("""COMPUTED_VALUE"""),20.0)</f>
        <v>20</v>
      </c>
      <c r="AY91" s="359">
        <f>IFERROR(__xludf.DUMMYFUNCTION("""COMPUTED_VALUE"""),20.0)</f>
        <v>20</v>
      </c>
      <c r="AZ91" s="359">
        <f>IFERROR(__xludf.DUMMYFUNCTION("""COMPUTED_VALUE"""),20.0)</f>
        <v>20</v>
      </c>
      <c r="BA91" s="359">
        <f>IFERROR(__xludf.DUMMYFUNCTION("""COMPUTED_VALUE"""),20.0)</f>
        <v>20</v>
      </c>
      <c r="BB91" s="359">
        <f>IFERROR(__xludf.DUMMYFUNCTION("""COMPUTED_VALUE"""),20.0)</f>
        <v>20</v>
      </c>
      <c r="BC91" s="359">
        <f>IFERROR(__xludf.DUMMYFUNCTION("""COMPUTED_VALUE"""),20.0)</f>
        <v>20</v>
      </c>
      <c r="BD91" s="360">
        <f>IFERROR(__xludf.DUMMYFUNCTION("""COMPUTED_VALUE"""),20.0)</f>
        <v>20</v>
      </c>
      <c r="BE91" s="279" t="str">
        <f>IFERROR(__xludf.DUMMYFUNCTION("""COMPUTED_VALUE"""),"範囲(小：威力減)")</f>
        <v>範囲(小：威力減)</v>
      </c>
      <c r="BF91" s="316">
        <f>IFERROR(__xludf.DUMMYFUNCTION("""COMPUTED_VALUE"""),5.0)</f>
        <v>5</v>
      </c>
      <c r="BG91" s="342" t="str">
        <f>IFERROR(__xludf.DUMMYFUNCTION("""COMPUTED_VALUE"""),"効果値")</f>
        <v>効果値</v>
      </c>
      <c r="BH91" s="359">
        <f>IFERROR(__xludf.DUMMYFUNCTION("""COMPUTED_VALUE"""),20.0)</f>
        <v>20</v>
      </c>
      <c r="BI91" s="359">
        <f>IFERROR(__xludf.DUMMYFUNCTION("""COMPUTED_VALUE"""),20.0)</f>
        <v>20</v>
      </c>
      <c r="BJ91" s="359">
        <f>IFERROR(__xludf.DUMMYFUNCTION("""COMPUTED_VALUE"""),20.0)</f>
        <v>20</v>
      </c>
      <c r="BK91" s="359">
        <f>IFERROR(__xludf.DUMMYFUNCTION("""COMPUTED_VALUE"""),20.0)</f>
        <v>20</v>
      </c>
      <c r="BL91" s="359">
        <f>IFERROR(__xludf.DUMMYFUNCTION("""COMPUTED_VALUE"""),20.0)</f>
        <v>20</v>
      </c>
      <c r="BM91" s="359">
        <f>IFERROR(__xludf.DUMMYFUNCTION("""COMPUTED_VALUE"""),20.0)</f>
        <v>20</v>
      </c>
      <c r="BN91" s="359">
        <f>IFERROR(__xludf.DUMMYFUNCTION("""COMPUTED_VALUE"""),20.0)</f>
        <v>20</v>
      </c>
      <c r="BO91" s="360">
        <f>IFERROR(__xludf.DUMMYFUNCTION("""COMPUTED_VALUE"""),20.0)</f>
        <v>20</v>
      </c>
    </row>
    <row r="92">
      <c r="A92" s="307" t="str">
        <f>IFERROR(__xludf.DUMMYFUNCTION("""COMPUTED_VALUE"""),"氷結")</f>
        <v>氷結</v>
      </c>
      <c r="B92" s="255" t="str">
        <f>IFERROR(__xludf.DUMMYFUNCTION("""COMPUTED_VALUE"""),"単体")</f>
        <v>単体</v>
      </c>
      <c r="C92" s="308">
        <f>IFERROR(__xludf.DUMMYFUNCTION("""COMPUTED_VALUE"""),5.0)</f>
        <v>5</v>
      </c>
      <c r="D92" s="274" t="str">
        <f>IFERROR(__xludf.DUMMYFUNCTION("""COMPUTED_VALUE"""),"効果時間")</f>
        <v>効果時間</v>
      </c>
      <c r="E92" s="317">
        <f>IFERROR(__xludf.DUMMYFUNCTION("""COMPUTED_VALUE"""),60.0)</f>
        <v>60</v>
      </c>
      <c r="F92" s="317">
        <f>IFERROR(__xludf.DUMMYFUNCTION("""COMPUTED_VALUE"""),60.0)</f>
        <v>60</v>
      </c>
      <c r="G92" s="317">
        <f>IFERROR(__xludf.DUMMYFUNCTION("""COMPUTED_VALUE"""),65.0)</f>
        <v>65</v>
      </c>
      <c r="H92" s="317">
        <f>IFERROR(__xludf.DUMMYFUNCTION("""COMPUTED_VALUE"""),65.0)</f>
        <v>65</v>
      </c>
      <c r="I92" s="317">
        <f>IFERROR(__xludf.DUMMYFUNCTION("""COMPUTED_VALUE"""),65.0)</f>
        <v>65</v>
      </c>
      <c r="J92" s="317">
        <f>IFERROR(__xludf.DUMMYFUNCTION("""COMPUTED_VALUE"""),75.0)</f>
        <v>75</v>
      </c>
      <c r="K92" s="317">
        <f>IFERROR(__xludf.DUMMYFUNCTION("""COMPUTED_VALUE"""),125.0)</f>
        <v>125</v>
      </c>
      <c r="L92" s="317">
        <f>IFERROR(__xludf.DUMMYFUNCTION("""COMPUTED_VALUE"""),130.0)</f>
        <v>130</v>
      </c>
      <c r="M92" s="276" t="str">
        <f>IFERROR(__xludf.DUMMYFUNCTION("""COMPUTED_VALUE"""),"範囲(小)")</f>
        <v>範囲(小)</v>
      </c>
      <c r="N92" s="308">
        <f>IFERROR(__xludf.DUMMYFUNCTION("""COMPUTED_VALUE"""),5.0)</f>
        <v>5</v>
      </c>
      <c r="O92" s="274" t="str">
        <f>IFERROR(__xludf.DUMMYFUNCTION("""COMPUTED_VALUE"""),"効果時間")</f>
        <v>効果時間</v>
      </c>
      <c r="P92" s="318">
        <f>IFERROR(__xludf.DUMMYFUNCTION("""COMPUTED_VALUE"""),50.0)</f>
        <v>50</v>
      </c>
      <c r="Q92" s="318">
        <f>IFERROR(__xludf.DUMMYFUNCTION("""COMPUTED_VALUE"""),50.0)</f>
        <v>50</v>
      </c>
      <c r="R92" s="318">
        <f>IFERROR(__xludf.DUMMYFUNCTION("""COMPUTED_VALUE"""),50.0)</f>
        <v>50</v>
      </c>
      <c r="S92" s="318">
        <f>IFERROR(__xludf.DUMMYFUNCTION("""COMPUTED_VALUE"""),50.0)</f>
        <v>50</v>
      </c>
      <c r="T92" s="318">
        <f>IFERROR(__xludf.DUMMYFUNCTION("""COMPUTED_VALUE"""),50.0)</f>
        <v>50</v>
      </c>
      <c r="U92" s="318">
        <f>IFERROR(__xludf.DUMMYFUNCTION("""COMPUTED_VALUE"""),60.0)</f>
        <v>60</v>
      </c>
      <c r="V92" s="318">
        <f>IFERROR(__xludf.DUMMYFUNCTION("""COMPUTED_VALUE"""),95.0)</f>
        <v>95</v>
      </c>
      <c r="W92" s="319">
        <f>IFERROR(__xludf.DUMMYFUNCTION("""COMPUTED_VALUE"""),100.0)</f>
        <v>100</v>
      </c>
      <c r="X92" s="276" t="str">
        <f>IFERROR(__xludf.DUMMYFUNCTION("""COMPUTED_VALUE"""),"範囲(中)")</f>
        <v>範囲(中)</v>
      </c>
      <c r="Y92" s="308">
        <f>IFERROR(__xludf.DUMMYFUNCTION("""COMPUTED_VALUE"""),5.0)</f>
        <v>5</v>
      </c>
      <c r="Z92" s="274" t="str">
        <f>IFERROR(__xludf.DUMMYFUNCTION("""COMPUTED_VALUE"""),"効果時間")</f>
        <v>効果時間</v>
      </c>
      <c r="AA92" s="318">
        <f>IFERROR(__xludf.DUMMYFUNCTION("""COMPUTED_VALUE"""),50.0)</f>
        <v>50</v>
      </c>
      <c r="AB92" s="318">
        <f>IFERROR(__xludf.DUMMYFUNCTION("""COMPUTED_VALUE"""),50.0)</f>
        <v>50</v>
      </c>
      <c r="AC92" s="318">
        <f>IFERROR(__xludf.DUMMYFUNCTION("""COMPUTED_VALUE"""),50.0)</f>
        <v>50</v>
      </c>
      <c r="AD92" s="318">
        <f>IFERROR(__xludf.DUMMYFUNCTION("""COMPUTED_VALUE"""),50.0)</f>
        <v>50</v>
      </c>
      <c r="AE92" s="318">
        <f>IFERROR(__xludf.DUMMYFUNCTION("""COMPUTED_VALUE"""),50.0)</f>
        <v>50</v>
      </c>
      <c r="AF92" s="318">
        <f>IFERROR(__xludf.DUMMYFUNCTION("""COMPUTED_VALUE"""),50.0)</f>
        <v>50</v>
      </c>
      <c r="AG92" s="318">
        <f>IFERROR(__xludf.DUMMYFUNCTION("""COMPUTED_VALUE"""),85.0)</f>
        <v>85</v>
      </c>
      <c r="AH92" s="319">
        <f>IFERROR(__xludf.DUMMYFUNCTION("""COMPUTED_VALUE"""),85.0)</f>
        <v>85</v>
      </c>
      <c r="AI92" s="276" t="str">
        <f>IFERROR(__xludf.DUMMYFUNCTION("""COMPUTED_VALUE"""),"範囲(大)")</f>
        <v>範囲(大)</v>
      </c>
      <c r="AJ92" s="308">
        <f>IFERROR(__xludf.DUMMYFUNCTION("""COMPUTED_VALUE"""),5.0)</f>
        <v>5</v>
      </c>
      <c r="AK92" s="274" t="str">
        <f>IFERROR(__xludf.DUMMYFUNCTION("""COMPUTED_VALUE"""),"効果時間")</f>
        <v>効果時間</v>
      </c>
      <c r="AL92" s="318">
        <f>IFERROR(__xludf.DUMMYFUNCTION("""COMPUTED_VALUE"""),50.0)</f>
        <v>50</v>
      </c>
      <c r="AM92" s="318">
        <f>IFERROR(__xludf.DUMMYFUNCTION("""COMPUTED_VALUE"""),50.0)</f>
        <v>50</v>
      </c>
      <c r="AN92" s="318">
        <f>IFERROR(__xludf.DUMMYFUNCTION("""COMPUTED_VALUE"""),50.0)</f>
        <v>50</v>
      </c>
      <c r="AO92" s="318">
        <f>IFERROR(__xludf.DUMMYFUNCTION("""COMPUTED_VALUE"""),50.0)</f>
        <v>50</v>
      </c>
      <c r="AP92" s="318">
        <f>IFERROR(__xludf.DUMMYFUNCTION("""COMPUTED_VALUE"""),50.0)</f>
        <v>50</v>
      </c>
      <c r="AQ92" s="318">
        <f>IFERROR(__xludf.DUMMYFUNCTION("""COMPUTED_VALUE"""),50.0)</f>
        <v>50</v>
      </c>
      <c r="AR92" s="318">
        <f>IFERROR(__xludf.DUMMYFUNCTION("""COMPUTED_VALUE"""),70.0)</f>
        <v>70</v>
      </c>
      <c r="AS92" s="319">
        <f>IFERROR(__xludf.DUMMYFUNCTION("""COMPUTED_VALUE"""),75.0)</f>
        <v>75</v>
      </c>
      <c r="AT92" s="276" t="str">
        <f>IFERROR(__xludf.DUMMYFUNCTION("""COMPUTED_VALUE"""),"範囲(特大)")</f>
        <v>範囲(特大)</v>
      </c>
      <c r="AU92" s="308">
        <f>IFERROR(__xludf.DUMMYFUNCTION("""COMPUTED_VALUE"""),5.0)</f>
        <v>5</v>
      </c>
      <c r="AV92" s="274" t="str">
        <f>IFERROR(__xludf.DUMMYFUNCTION("""COMPUTED_VALUE"""),"効果時間")</f>
        <v>効果時間</v>
      </c>
      <c r="AW92" s="318">
        <f>IFERROR(__xludf.DUMMYFUNCTION("""COMPUTED_VALUE"""),50.0)</f>
        <v>50</v>
      </c>
      <c r="AX92" s="318">
        <f>IFERROR(__xludf.DUMMYFUNCTION("""COMPUTED_VALUE"""),50.0)</f>
        <v>50</v>
      </c>
      <c r="AY92" s="318">
        <f>IFERROR(__xludf.DUMMYFUNCTION("""COMPUTED_VALUE"""),50.0)</f>
        <v>50</v>
      </c>
      <c r="AZ92" s="318">
        <f>IFERROR(__xludf.DUMMYFUNCTION("""COMPUTED_VALUE"""),50.0)</f>
        <v>50</v>
      </c>
      <c r="BA92" s="318">
        <f>IFERROR(__xludf.DUMMYFUNCTION("""COMPUTED_VALUE"""),50.0)</f>
        <v>50</v>
      </c>
      <c r="BB92" s="318">
        <f>IFERROR(__xludf.DUMMYFUNCTION("""COMPUTED_VALUE"""),50.0)</f>
        <v>50</v>
      </c>
      <c r="BC92" s="318">
        <f>IFERROR(__xludf.DUMMYFUNCTION("""COMPUTED_VALUE"""),65.0)</f>
        <v>65</v>
      </c>
      <c r="BD92" s="319">
        <f>IFERROR(__xludf.DUMMYFUNCTION("""COMPUTED_VALUE"""),65.0)</f>
        <v>65</v>
      </c>
      <c r="BE92" s="279" t="str">
        <f>IFERROR(__xludf.DUMMYFUNCTION("""COMPUTED_VALUE"""),"範囲(小：威力減)")</f>
        <v>範囲(小：威力減)</v>
      </c>
      <c r="BF92" s="308">
        <f>IFERROR(__xludf.DUMMYFUNCTION("""COMPUTED_VALUE"""),5.0)</f>
        <v>5</v>
      </c>
      <c r="BG92" s="274" t="str">
        <f>IFERROR(__xludf.DUMMYFUNCTION("""COMPUTED_VALUE"""),"効果時間")</f>
        <v>効果時間</v>
      </c>
      <c r="BH92" s="318">
        <f>IFERROR(__xludf.DUMMYFUNCTION("""COMPUTED_VALUE"""),50.0)</f>
        <v>50</v>
      </c>
      <c r="BI92" s="318">
        <f>IFERROR(__xludf.DUMMYFUNCTION("""COMPUTED_VALUE"""),50.0)</f>
        <v>50</v>
      </c>
      <c r="BJ92" s="318">
        <f>IFERROR(__xludf.DUMMYFUNCTION("""COMPUTED_VALUE"""),50.0)</f>
        <v>50</v>
      </c>
      <c r="BK92" s="318">
        <f>IFERROR(__xludf.DUMMYFUNCTION("""COMPUTED_VALUE"""),50.0)</f>
        <v>50</v>
      </c>
      <c r="BL92" s="318">
        <f>IFERROR(__xludf.DUMMYFUNCTION("""COMPUTED_VALUE"""),50.0)</f>
        <v>50</v>
      </c>
      <c r="BM92" s="318">
        <f>IFERROR(__xludf.DUMMYFUNCTION("""COMPUTED_VALUE"""),50.0)</f>
        <v>50</v>
      </c>
      <c r="BN92" s="318">
        <f>IFERROR(__xludf.DUMMYFUNCTION("""COMPUTED_VALUE"""),65.0)</f>
        <v>65</v>
      </c>
      <c r="BO92" s="319">
        <f>IFERROR(__xludf.DUMMYFUNCTION("""COMPUTED_VALUE"""),65.0)</f>
        <v>65</v>
      </c>
    </row>
    <row r="93">
      <c r="A93" s="327" t="str">
        <f>IFERROR(__xludf.DUMMYFUNCTION("""COMPUTED_VALUE"""),"氷結")</f>
        <v>氷結</v>
      </c>
      <c r="B93" s="361" t="str">
        <f>IFERROR(__xludf.DUMMYFUNCTION("""COMPUTED_VALUE"""),"単体")</f>
        <v>単体</v>
      </c>
      <c r="C93" s="328">
        <f>IFERROR(__xludf.DUMMYFUNCTION("""COMPUTED_VALUE"""),5.0)</f>
        <v>5</v>
      </c>
      <c r="D93" s="284" t="str">
        <f>IFERROR(__xludf.DUMMYFUNCTION("""COMPUTED_VALUE"""),"発動確率")</f>
        <v>発動確率</v>
      </c>
      <c r="E93" s="310">
        <f>IFERROR(__xludf.DUMMYFUNCTION("""COMPUTED_VALUE"""),100.0)</f>
        <v>100</v>
      </c>
      <c r="F93" s="310">
        <f>IFERROR(__xludf.DUMMYFUNCTION("""COMPUTED_VALUE"""),100.0)</f>
        <v>100</v>
      </c>
      <c r="G93" s="310">
        <f>IFERROR(__xludf.DUMMYFUNCTION("""COMPUTED_VALUE"""),100.0)</f>
        <v>100</v>
      </c>
      <c r="H93" s="311">
        <f>IFERROR(__xludf.DUMMYFUNCTION("""COMPUTED_VALUE"""),100.0)</f>
        <v>100</v>
      </c>
      <c r="I93" s="310">
        <f>IFERROR(__xludf.DUMMYFUNCTION("""COMPUTED_VALUE"""),100.0)</f>
        <v>100</v>
      </c>
      <c r="J93" s="311">
        <f>IFERROR(__xludf.DUMMYFUNCTION("""COMPUTED_VALUE"""),100.0)</f>
        <v>100</v>
      </c>
      <c r="K93" s="310">
        <f>IFERROR(__xludf.DUMMYFUNCTION("""COMPUTED_VALUE"""),100.0)</f>
        <v>100</v>
      </c>
      <c r="L93" s="311">
        <f>IFERROR(__xludf.DUMMYFUNCTION("""COMPUTED_VALUE"""),100.0)</f>
        <v>100</v>
      </c>
      <c r="M93" s="276" t="str">
        <f>IFERROR(__xludf.DUMMYFUNCTION("""COMPUTED_VALUE"""),"範囲(小)")</f>
        <v>範囲(小)</v>
      </c>
      <c r="N93" s="328">
        <f>IFERROR(__xludf.DUMMYFUNCTION("""COMPUTED_VALUE"""),5.0)</f>
        <v>5</v>
      </c>
      <c r="O93" s="284" t="str">
        <f>IFERROR(__xludf.DUMMYFUNCTION("""COMPUTED_VALUE"""),"発動確率")</f>
        <v>発動確率</v>
      </c>
      <c r="P93" s="334">
        <f>IFERROR(__xludf.DUMMYFUNCTION("""COMPUTED_VALUE"""),100.0)</f>
        <v>100</v>
      </c>
      <c r="Q93" s="334">
        <f>IFERROR(__xludf.DUMMYFUNCTION("""COMPUTED_VALUE"""),100.0)</f>
        <v>100</v>
      </c>
      <c r="R93" s="334">
        <f>IFERROR(__xludf.DUMMYFUNCTION("""COMPUTED_VALUE"""),100.0)</f>
        <v>100</v>
      </c>
      <c r="S93" s="335">
        <f>IFERROR(__xludf.DUMMYFUNCTION("""COMPUTED_VALUE"""),100.0)</f>
        <v>100</v>
      </c>
      <c r="T93" s="334">
        <f>IFERROR(__xludf.DUMMYFUNCTION("""COMPUTED_VALUE"""),100.0)</f>
        <v>100</v>
      </c>
      <c r="U93" s="335">
        <f>IFERROR(__xludf.DUMMYFUNCTION("""COMPUTED_VALUE"""),100.0)</f>
        <v>100</v>
      </c>
      <c r="V93" s="334">
        <f>IFERROR(__xludf.DUMMYFUNCTION("""COMPUTED_VALUE"""),100.0)</f>
        <v>100</v>
      </c>
      <c r="W93" s="362">
        <f>IFERROR(__xludf.DUMMYFUNCTION("""COMPUTED_VALUE"""),100.0)</f>
        <v>100</v>
      </c>
      <c r="X93" s="276" t="str">
        <f>IFERROR(__xludf.DUMMYFUNCTION("""COMPUTED_VALUE"""),"範囲(中)")</f>
        <v>範囲(中)</v>
      </c>
      <c r="Y93" s="328">
        <f>IFERROR(__xludf.DUMMYFUNCTION("""COMPUTED_VALUE"""),5.0)</f>
        <v>5</v>
      </c>
      <c r="Z93" s="284" t="str">
        <f>IFERROR(__xludf.DUMMYFUNCTION("""COMPUTED_VALUE"""),"発動確率")</f>
        <v>発動確率</v>
      </c>
      <c r="AA93" s="334">
        <f>IFERROR(__xludf.DUMMYFUNCTION("""COMPUTED_VALUE"""),100.0)</f>
        <v>100</v>
      </c>
      <c r="AB93" s="334">
        <f>IFERROR(__xludf.DUMMYFUNCTION("""COMPUTED_VALUE"""),100.0)</f>
        <v>100</v>
      </c>
      <c r="AC93" s="334">
        <f>IFERROR(__xludf.DUMMYFUNCTION("""COMPUTED_VALUE"""),100.0)</f>
        <v>100</v>
      </c>
      <c r="AD93" s="335">
        <f>IFERROR(__xludf.DUMMYFUNCTION("""COMPUTED_VALUE"""),100.0)</f>
        <v>100</v>
      </c>
      <c r="AE93" s="334">
        <f>IFERROR(__xludf.DUMMYFUNCTION("""COMPUTED_VALUE"""),100.0)</f>
        <v>100</v>
      </c>
      <c r="AF93" s="335">
        <f>IFERROR(__xludf.DUMMYFUNCTION("""COMPUTED_VALUE"""),100.0)</f>
        <v>100</v>
      </c>
      <c r="AG93" s="334">
        <f>IFERROR(__xludf.DUMMYFUNCTION("""COMPUTED_VALUE"""),100.0)</f>
        <v>100</v>
      </c>
      <c r="AH93" s="362">
        <f>IFERROR(__xludf.DUMMYFUNCTION("""COMPUTED_VALUE"""),100.0)</f>
        <v>100</v>
      </c>
      <c r="AI93" s="276" t="str">
        <f>IFERROR(__xludf.DUMMYFUNCTION("""COMPUTED_VALUE"""),"範囲(大)")</f>
        <v>範囲(大)</v>
      </c>
      <c r="AJ93" s="328">
        <f>IFERROR(__xludf.DUMMYFUNCTION("""COMPUTED_VALUE"""),5.0)</f>
        <v>5</v>
      </c>
      <c r="AK93" s="284" t="str">
        <f>IFERROR(__xludf.DUMMYFUNCTION("""COMPUTED_VALUE"""),"発動確率")</f>
        <v>発動確率</v>
      </c>
      <c r="AL93" s="334">
        <f>IFERROR(__xludf.DUMMYFUNCTION("""COMPUTED_VALUE"""),100.0)</f>
        <v>100</v>
      </c>
      <c r="AM93" s="334">
        <f>IFERROR(__xludf.DUMMYFUNCTION("""COMPUTED_VALUE"""),100.0)</f>
        <v>100</v>
      </c>
      <c r="AN93" s="334">
        <f>IFERROR(__xludf.DUMMYFUNCTION("""COMPUTED_VALUE"""),100.0)</f>
        <v>100</v>
      </c>
      <c r="AO93" s="335">
        <f>IFERROR(__xludf.DUMMYFUNCTION("""COMPUTED_VALUE"""),100.0)</f>
        <v>100</v>
      </c>
      <c r="AP93" s="334">
        <f>IFERROR(__xludf.DUMMYFUNCTION("""COMPUTED_VALUE"""),100.0)</f>
        <v>100</v>
      </c>
      <c r="AQ93" s="335">
        <f>IFERROR(__xludf.DUMMYFUNCTION("""COMPUTED_VALUE"""),100.0)</f>
        <v>100</v>
      </c>
      <c r="AR93" s="334">
        <f>IFERROR(__xludf.DUMMYFUNCTION("""COMPUTED_VALUE"""),100.0)</f>
        <v>100</v>
      </c>
      <c r="AS93" s="362">
        <f>IFERROR(__xludf.DUMMYFUNCTION("""COMPUTED_VALUE"""),100.0)</f>
        <v>100</v>
      </c>
      <c r="AT93" s="276" t="str">
        <f>IFERROR(__xludf.DUMMYFUNCTION("""COMPUTED_VALUE"""),"範囲(特大)")</f>
        <v>範囲(特大)</v>
      </c>
      <c r="AU93" s="328">
        <f>IFERROR(__xludf.DUMMYFUNCTION("""COMPUTED_VALUE"""),5.0)</f>
        <v>5</v>
      </c>
      <c r="AV93" s="284" t="str">
        <f>IFERROR(__xludf.DUMMYFUNCTION("""COMPUTED_VALUE"""),"発動確率")</f>
        <v>発動確率</v>
      </c>
      <c r="AW93" s="334">
        <f>IFERROR(__xludf.DUMMYFUNCTION("""COMPUTED_VALUE"""),100.0)</f>
        <v>100</v>
      </c>
      <c r="AX93" s="334">
        <f>IFERROR(__xludf.DUMMYFUNCTION("""COMPUTED_VALUE"""),100.0)</f>
        <v>100</v>
      </c>
      <c r="AY93" s="334">
        <f>IFERROR(__xludf.DUMMYFUNCTION("""COMPUTED_VALUE"""),100.0)</f>
        <v>100</v>
      </c>
      <c r="AZ93" s="335">
        <f>IFERROR(__xludf.DUMMYFUNCTION("""COMPUTED_VALUE"""),100.0)</f>
        <v>100</v>
      </c>
      <c r="BA93" s="334">
        <f>IFERROR(__xludf.DUMMYFUNCTION("""COMPUTED_VALUE"""),100.0)</f>
        <v>100</v>
      </c>
      <c r="BB93" s="335">
        <f>IFERROR(__xludf.DUMMYFUNCTION("""COMPUTED_VALUE"""),100.0)</f>
        <v>100</v>
      </c>
      <c r="BC93" s="334">
        <f>IFERROR(__xludf.DUMMYFUNCTION("""COMPUTED_VALUE"""),100.0)</f>
        <v>100</v>
      </c>
      <c r="BD93" s="362">
        <f>IFERROR(__xludf.DUMMYFUNCTION("""COMPUTED_VALUE"""),100.0)</f>
        <v>100</v>
      </c>
      <c r="BE93" s="279" t="str">
        <f>IFERROR(__xludf.DUMMYFUNCTION("""COMPUTED_VALUE"""),"範囲(小：威力減)")</f>
        <v>範囲(小：威力減)</v>
      </c>
      <c r="BF93" s="328">
        <f>IFERROR(__xludf.DUMMYFUNCTION("""COMPUTED_VALUE"""),5.0)</f>
        <v>5</v>
      </c>
      <c r="BG93" s="284" t="str">
        <f>IFERROR(__xludf.DUMMYFUNCTION("""COMPUTED_VALUE"""),"発動確率")</f>
        <v>発動確率</v>
      </c>
      <c r="BH93" s="334">
        <f>IFERROR(__xludf.DUMMYFUNCTION("""COMPUTED_VALUE"""),100.0)</f>
        <v>100</v>
      </c>
      <c r="BI93" s="334">
        <f>IFERROR(__xludf.DUMMYFUNCTION("""COMPUTED_VALUE"""),100.0)</f>
        <v>100</v>
      </c>
      <c r="BJ93" s="334">
        <f>IFERROR(__xludf.DUMMYFUNCTION("""COMPUTED_VALUE"""),100.0)</f>
        <v>100</v>
      </c>
      <c r="BK93" s="335">
        <f>IFERROR(__xludf.DUMMYFUNCTION("""COMPUTED_VALUE"""),100.0)</f>
        <v>100</v>
      </c>
      <c r="BL93" s="334">
        <f>IFERROR(__xludf.DUMMYFUNCTION("""COMPUTED_VALUE"""),100.0)</f>
        <v>100</v>
      </c>
      <c r="BM93" s="335">
        <f>IFERROR(__xludf.DUMMYFUNCTION("""COMPUTED_VALUE"""),100.0)</f>
        <v>100</v>
      </c>
      <c r="BN93" s="334">
        <f>IFERROR(__xludf.DUMMYFUNCTION("""COMPUTED_VALUE"""),100.0)</f>
        <v>100</v>
      </c>
      <c r="BO93" s="362">
        <f>IFERROR(__xludf.DUMMYFUNCTION("""COMPUTED_VALUE"""),100.0)</f>
        <v>100</v>
      </c>
    </row>
    <row r="94">
      <c r="A94" s="306" t="str">
        <f>IFERROR(__xludf.DUMMYFUNCTION("""COMPUTED_VALUE"""),"毒")</f>
        <v>毒</v>
      </c>
      <c r="B94" s="260" t="str">
        <f>IFERROR(__xludf.DUMMYFUNCTION("""COMPUTED_VALUE"""),"単体")</f>
        <v>単体</v>
      </c>
      <c r="C94" s="261">
        <f>IFERROR(__xludf.DUMMYFUNCTION("""COMPUTED_VALUE"""),1.0)</f>
        <v>1</v>
      </c>
      <c r="D94" s="338" t="str">
        <f>IFERROR(__xludf.DUMMYFUNCTION("""COMPUTED_VALUE"""),"効果値")</f>
        <v>効果値</v>
      </c>
      <c r="E94" s="363">
        <f>IFERROR(__xludf.DUMMYFUNCTION("""COMPUTED_VALUE"""),2.0)</f>
        <v>2</v>
      </c>
      <c r="F94" s="363">
        <f>IFERROR(__xludf.DUMMYFUNCTION("""COMPUTED_VALUE"""),2.0)</f>
        <v>2</v>
      </c>
      <c r="G94" s="363">
        <f>IFERROR(__xludf.DUMMYFUNCTION("""COMPUTED_VALUE"""),2.0)</f>
        <v>2</v>
      </c>
      <c r="H94" s="363">
        <f>IFERROR(__xludf.DUMMYFUNCTION("""COMPUTED_VALUE"""),2.0)</f>
        <v>2</v>
      </c>
      <c r="I94" s="363">
        <f>IFERROR(__xludf.DUMMYFUNCTION("""COMPUTED_VALUE"""),2.0)</f>
        <v>2</v>
      </c>
      <c r="J94" s="363">
        <f>IFERROR(__xludf.DUMMYFUNCTION("""COMPUTED_VALUE"""),2.0)</f>
        <v>2</v>
      </c>
      <c r="K94" s="363">
        <f>IFERROR(__xludf.DUMMYFUNCTION("""COMPUTED_VALUE"""),2.0)</f>
        <v>2</v>
      </c>
      <c r="L94" s="363">
        <f>IFERROR(__xludf.DUMMYFUNCTION("""COMPUTED_VALUE"""),2.0)</f>
        <v>2</v>
      </c>
      <c r="M94" s="267" t="str">
        <f>IFERROR(__xludf.DUMMYFUNCTION("""COMPUTED_VALUE"""),"範囲(小)")</f>
        <v>範囲(小)</v>
      </c>
      <c r="N94" s="261">
        <f>IFERROR(__xludf.DUMMYFUNCTION("""COMPUTED_VALUE"""),1.0)</f>
        <v>1</v>
      </c>
      <c r="O94" s="338" t="str">
        <f>IFERROR(__xludf.DUMMYFUNCTION("""COMPUTED_VALUE"""),"効果値")</f>
        <v>効果値</v>
      </c>
      <c r="P94" s="364">
        <f>IFERROR(__xludf.DUMMYFUNCTION("""COMPUTED_VALUE"""),1.0)</f>
        <v>1</v>
      </c>
      <c r="Q94" s="364">
        <f>IFERROR(__xludf.DUMMYFUNCTION("""COMPUTED_VALUE"""),1.0)</f>
        <v>1</v>
      </c>
      <c r="R94" s="364">
        <f>IFERROR(__xludf.DUMMYFUNCTION("""COMPUTED_VALUE"""),1.0)</f>
        <v>1</v>
      </c>
      <c r="S94" s="364">
        <f>IFERROR(__xludf.DUMMYFUNCTION("""COMPUTED_VALUE"""),1.0)</f>
        <v>1</v>
      </c>
      <c r="T94" s="364">
        <f>IFERROR(__xludf.DUMMYFUNCTION("""COMPUTED_VALUE"""),1.0)</f>
        <v>1</v>
      </c>
      <c r="U94" s="364">
        <f>IFERROR(__xludf.DUMMYFUNCTION("""COMPUTED_VALUE"""),1.0)</f>
        <v>1</v>
      </c>
      <c r="V94" s="364">
        <f>IFERROR(__xludf.DUMMYFUNCTION("""COMPUTED_VALUE"""),1.0)</f>
        <v>1</v>
      </c>
      <c r="W94" s="365">
        <f>IFERROR(__xludf.DUMMYFUNCTION("""COMPUTED_VALUE"""),1.0)</f>
        <v>1</v>
      </c>
      <c r="X94" s="267" t="str">
        <f>IFERROR(__xludf.DUMMYFUNCTION("""COMPUTED_VALUE"""),"範囲(中)")</f>
        <v>範囲(中)</v>
      </c>
      <c r="Y94" s="261">
        <f>IFERROR(__xludf.DUMMYFUNCTION("""COMPUTED_VALUE"""),1.0)</f>
        <v>1</v>
      </c>
      <c r="Z94" s="338" t="str">
        <f>IFERROR(__xludf.DUMMYFUNCTION("""COMPUTED_VALUE"""),"効果値")</f>
        <v>効果値</v>
      </c>
      <c r="AA94" s="364">
        <f>IFERROR(__xludf.DUMMYFUNCTION("""COMPUTED_VALUE"""),1.0)</f>
        <v>1</v>
      </c>
      <c r="AB94" s="364">
        <f>IFERROR(__xludf.DUMMYFUNCTION("""COMPUTED_VALUE"""),1.0)</f>
        <v>1</v>
      </c>
      <c r="AC94" s="364">
        <f>IFERROR(__xludf.DUMMYFUNCTION("""COMPUTED_VALUE"""),1.0)</f>
        <v>1</v>
      </c>
      <c r="AD94" s="364">
        <f>IFERROR(__xludf.DUMMYFUNCTION("""COMPUTED_VALUE"""),1.0)</f>
        <v>1</v>
      </c>
      <c r="AE94" s="364">
        <f>IFERROR(__xludf.DUMMYFUNCTION("""COMPUTED_VALUE"""),1.0)</f>
        <v>1</v>
      </c>
      <c r="AF94" s="364">
        <f>IFERROR(__xludf.DUMMYFUNCTION("""COMPUTED_VALUE"""),1.0)</f>
        <v>1</v>
      </c>
      <c r="AG94" s="364">
        <f>IFERROR(__xludf.DUMMYFUNCTION("""COMPUTED_VALUE"""),1.0)</f>
        <v>1</v>
      </c>
      <c r="AH94" s="365">
        <f>IFERROR(__xludf.DUMMYFUNCTION("""COMPUTED_VALUE"""),1.0)</f>
        <v>1</v>
      </c>
      <c r="AI94" s="267" t="str">
        <f>IFERROR(__xludf.DUMMYFUNCTION("""COMPUTED_VALUE"""),"範囲(大)")</f>
        <v>範囲(大)</v>
      </c>
      <c r="AJ94" s="261">
        <f>IFERROR(__xludf.DUMMYFUNCTION("""COMPUTED_VALUE"""),1.0)</f>
        <v>1</v>
      </c>
      <c r="AK94" s="338" t="str">
        <f>IFERROR(__xludf.DUMMYFUNCTION("""COMPUTED_VALUE"""),"効果値")</f>
        <v>効果値</v>
      </c>
      <c r="AL94" s="364">
        <f>IFERROR(__xludf.DUMMYFUNCTION("""COMPUTED_VALUE"""),1.0)</f>
        <v>1</v>
      </c>
      <c r="AM94" s="364">
        <f>IFERROR(__xludf.DUMMYFUNCTION("""COMPUTED_VALUE"""),1.0)</f>
        <v>1</v>
      </c>
      <c r="AN94" s="364">
        <f>IFERROR(__xludf.DUMMYFUNCTION("""COMPUTED_VALUE"""),1.0)</f>
        <v>1</v>
      </c>
      <c r="AO94" s="364">
        <f>IFERROR(__xludf.DUMMYFUNCTION("""COMPUTED_VALUE"""),1.0)</f>
        <v>1</v>
      </c>
      <c r="AP94" s="364">
        <f>IFERROR(__xludf.DUMMYFUNCTION("""COMPUTED_VALUE"""),1.0)</f>
        <v>1</v>
      </c>
      <c r="AQ94" s="364">
        <f>IFERROR(__xludf.DUMMYFUNCTION("""COMPUTED_VALUE"""),1.0)</f>
        <v>1</v>
      </c>
      <c r="AR94" s="364">
        <f>IFERROR(__xludf.DUMMYFUNCTION("""COMPUTED_VALUE"""),1.0)</f>
        <v>1</v>
      </c>
      <c r="AS94" s="365">
        <f>IFERROR(__xludf.DUMMYFUNCTION("""COMPUTED_VALUE"""),1.0)</f>
        <v>1</v>
      </c>
      <c r="AT94" s="267" t="str">
        <f>IFERROR(__xludf.DUMMYFUNCTION("""COMPUTED_VALUE"""),"範囲(特大)")</f>
        <v>範囲(特大)</v>
      </c>
      <c r="AU94" s="261">
        <f>IFERROR(__xludf.DUMMYFUNCTION("""COMPUTED_VALUE"""),1.0)</f>
        <v>1</v>
      </c>
      <c r="AV94" s="338" t="str">
        <f>IFERROR(__xludf.DUMMYFUNCTION("""COMPUTED_VALUE"""),"効果値")</f>
        <v>効果値</v>
      </c>
      <c r="AW94" s="364">
        <f>IFERROR(__xludf.DUMMYFUNCTION("""COMPUTED_VALUE"""),1.0)</f>
        <v>1</v>
      </c>
      <c r="AX94" s="364">
        <f>IFERROR(__xludf.DUMMYFUNCTION("""COMPUTED_VALUE"""),1.0)</f>
        <v>1</v>
      </c>
      <c r="AY94" s="364">
        <f>IFERROR(__xludf.DUMMYFUNCTION("""COMPUTED_VALUE"""),1.0)</f>
        <v>1</v>
      </c>
      <c r="AZ94" s="364">
        <f>IFERROR(__xludf.DUMMYFUNCTION("""COMPUTED_VALUE"""),1.0)</f>
        <v>1</v>
      </c>
      <c r="BA94" s="364">
        <f>IFERROR(__xludf.DUMMYFUNCTION("""COMPUTED_VALUE"""),1.0)</f>
        <v>1</v>
      </c>
      <c r="BB94" s="364">
        <f>IFERROR(__xludf.DUMMYFUNCTION("""COMPUTED_VALUE"""),1.0)</f>
        <v>1</v>
      </c>
      <c r="BC94" s="364">
        <f>IFERROR(__xludf.DUMMYFUNCTION("""COMPUTED_VALUE"""),1.0)</f>
        <v>1</v>
      </c>
      <c r="BD94" s="365">
        <f>IFERROR(__xludf.DUMMYFUNCTION("""COMPUTED_VALUE"""),1.0)</f>
        <v>1</v>
      </c>
      <c r="BE94" s="270" t="str">
        <f>IFERROR(__xludf.DUMMYFUNCTION("""COMPUTED_VALUE"""),"範囲(小：威力減)")</f>
        <v>範囲(小：威力減)</v>
      </c>
      <c r="BF94" s="261">
        <f>IFERROR(__xludf.DUMMYFUNCTION("""COMPUTED_VALUE"""),1.0)</f>
        <v>1</v>
      </c>
      <c r="BG94" s="338" t="str">
        <f>IFERROR(__xludf.DUMMYFUNCTION("""COMPUTED_VALUE"""),"効果値")</f>
        <v>効果値</v>
      </c>
      <c r="BH94" s="364">
        <f>IFERROR(__xludf.DUMMYFUNCTION("""COMPUTED_VALUE"""),1.0)</f>
        <v>1</v>
      </c>
      <c r="BI94" s="364">
        <f>IFERROR(__xludf.DUMMYFUNCTION("""COMPUTED_VALUE"""),1.0)</f>
        <v>1</v>
      </c>
      <c r="BJ94" s="364">
        <f>IFERROR(__xludf.DUMMYFUNCTION("""COMPUTED_VALUE"""),1.0)</f>
        <v>1</v>
      </c>
      <c r="BK94" s="364">
        <f>IFERROR(__xludf.DUMMYFUNCTION("""COMPUTED_VALUE"""),1.0)</f>
        <v>1</v>
      </c>
      <c r="BL94" s="364">
        <f>IFERROR(__xludf.DUMMYFUNCTION("""COMPUTED_VALUE"""),1.0)</f>
        <v>1</v>
      </c>
      <c r="BM94" s="364">
        <f>IFERROR(__xludf.DUMMYFUNCTION("""COMPUTED_VALUE"""),1.0)</f>
        <v>1</v>
      </c>
      <c r="BN94" s="364">
        <f>IFERROR(__xludf.DUMMYFUNCTION("""COMPUTED_VALUE"""),1.0)</f>
        <v>1</v>
      </c>
      <c r="BO94" s="365">
        <f>IFERROR(__xludf.DUMMYFUNCTION("""COMPUTED_VALUE"""),1.0)</f>
        <v>1</v>
      </c>
    </row>
    <row r="95">
      <c r="A95" s="307" t="str">
        <f>IFERROR(__xludf.DUMMYFUNCTION("""COMPUTED_VALUE"""),"毒")</f>
        <v>毒</v>
      </c>
      <c r="B95" s="272" t="str">
        <f>IFERROR(__xludf.DUMMYFUNCTION("""COMPUTED_VALUE"""),"単体")</f>
        <v>単体</v>
      </c>
      <c r="C95" s="308">
        <f>IFERROR(__xludf.DUMMYFUNCTION("""COMPUTED_VALUE"""),1.0)</f>
        <v>1</v>
      </c>
      <c r="D95" s="339" t="str">
        <f>IFERROR(__xludf.DUMMYFUNCTION("""COMPUTED_VALUE"""),"効果時間")</f>
        <v>効果時間</v>
      </c>
      <c r="E95" s="317">
        <f>IFERROR(__xludf.DUMMYFUNCTION("""COMPUTED_VALUE"""),150.0)</f>
        <v>150</v>
      </c>
      <c r="F95" s="344">
        <f>IFERROR(__xludf.DUMMYFUNCTION("""COMPUTED_VALUE"""),150.0)</f>
        <v>150</v>
      </c>
      <c r="G95" s="344">
        <f>IFERROR(__xludf.DUMMYFUNCTION("""COMPUTED_VALUE"""),150.0)</f>
        <v>150</v>
      </c>
      <c r="H95" s="344">
        <f>IFERROR(__xludf.DUMMYFUNCTION("""COMPUTED_VALUE"""),150.0)</f>
        <v>150</v>
      </c>
      <c r="I95" s="344">
        <f>IFERROR(__xludf.DUMMYFUNCTION("""COMPUTED_VALUE"""),150.0)</f>
        <v>150</v>
      </c>
      <c r="J95" s="344">
        <f>IFERROR(__xludf.DUMMYFUNCTION("""COMPUTED_VALUE"""),150.0)</f>
        <v>150</v>
      </c>
      <c r="K95" s="344">
        <f>IFERROR(__xludf.DUMMYFUNCTION("""COMPUTED_VALUE"""),150.0)</f>
        <v>150</v>
      </c>
      <c r="L95" s="345">
        <f>IFERROR(__xludf.DUMMYFUNCTION("""COMPUTED_VALUE"""),150.0)</f>
        <v>150</v>
      </c>
      <c r="M95" s="276" t="str">
        <f>IFERROR(__xludf.DUMMYFUNCTION("""COMPUTED_VALUE"""),"範囲(小)")</f>
        <v>範囲(小)</v>
      </c>
      <c r="N95" s="308">
        <f>IFERROR(__xludf.DUMMYFUNCTION("""COMPUTED_VALUE"""),1.0)</f>
        <v>1</v>
      </c>
      <c r="O95" s="339" t="str">
        <f>IFERROR(__xludf.DUMMYFUNCTION("""COMPUTED_VALUE"""),"効果時間")</f>
        <v>効果時間</v>
      </c>
      <c r="P95" s="297">
        <f>IFERROR(__xludf.DUMMYFUNCTION("""COMPUTED_VALUE"""),150.0)</f>
        <v>150</v>
      </c>
      <c r="Q95" s="366">
        <f>IFERROR(__xludf.DUMMYFUNCTION("""COMPUTED_VALUE"""),150.0)</f>
        <v>150</v>
      </c>
      <c r="R95" s="366">
        <f>IFERROR(__xludf.DUMMYFUNCTION("""COMPUTED_VALUE"""),150.0)</f>
        <v>150</v>
      </c>
      <c r="S95" s="366">
        <f>IFERROR(__xludf.DUMMYFUNCTION("""COMPUTED_VALUE"""),150.0)</f>
        <v>150</v>
      </c>
      <c r="T95" s="366">
        <f>IFERROR(__xludf.DUMMYFUNCTION("""COMPUTED_VALUE"""),150.0)</f>
        <v>150</v>
      </c>
      <c r="U95" s="366">
        <f>IFERROR(__xludf.DUMMYFUNCTION("""COMPUTED_VALUE"""),150.0)</f>
        <v>150</v>
      </c>
      <c r="V95" s="366">
        <f>IFERROR(__xludf.DUMMYFUNCTION("""COMPUTED_VALUE"""),150.0)</f>
        <v>150</v>
      </c>
      <c r="W95" s="367">
        <f>IFERROR(__xludf.DUMMYFUNCTION("""COMPUTED_VALUE"""),150.0)</f>
        <v>150</v>
      </c>
      <c r="X95" s="276" t="str">
        <f>IFERROR(__xludf.DUMMYFUNCTION("""COMPUTED_VALUE"""),"範囲(中)")</f>
        <v>範囲(中)</v>
      </c>
      <c r="Y95" s="308">
        <f>IFERROR(__xludf.DUMMYFUNCTION("""COMPUTED_VALUE"""),1.0)</f>
        <v>1</v>
      </c>
      <c r="Z95" s="339" t="str">
        <f>IFERROR(__xludf.DUMMYFUNCTION("""COMPUTED_VALUE"""),"効果時間")</f>
        <v>効果時間</v>
      </c>
      <c r="AA95" s="297">
        <f>IFERROR(__xludf.DUMMYFUNCTION("""COMPUTED_VALUE"""),150.0)</f>
        <v>150</v>
      </c>
      <c r="AB95" s="366">
        <f>IFERROR(__xludf.DUMMYFUNCTION("""COMPUTED_VALUE"""),150.0)</f>
        <v>150</v>
      </c>
      <c r="AC95" s="366">
        <f>IFERROR(__xludf.DUMMYFUNCTION("""COMPUTED_VALUE"""),150.0)</f>
        <v>150</v>
      </c>
      <c r="AD95" s="366">
        <f>IFERROR(__xludf.DUMMYFUNCTION("""COMPUTED_VALUE"""),150.0)</f>
        <v>150</v>
      </c>
      <c r="AE95" s="366">
        <f>IFERROR(__xludf.DUMMYFUNCTION("""COMPUTED_VALUE"""),150.0)</f>
        <v>150</v>
      </c>
      <c r="AF95" s="366">
        <f>IFERROR(__xludf.DUMMYFUNCTION("""COMPUTED_VALUE"""),150.0)</f>
        <v>150</v>
      </c>
      <c r="AG95" s="366">
        <f>IFERROR(__xludf.DUMMYFUNCTION("""COMPUTED_VALUE"""),150.0)</f>
        <v>150</v>
      </c>
      <c r="AH95" s="367">
        <f>IFERROR(__xludf.DUMMYFUNCTION("""COMPUTED_VALUE"""),150.0)</f>
        <v>150</v>
      </c>
      <c r="AI95" s="276" t="str">
        <f>IFERROR(__xludf.DUMMYFUNCTION("""COMPUTED_VALUE"""),"範囲(大)")</f>
        <v>範囲(大)</v>
      </c>
      <c r="AJ95" s="308">
        <f>IFERROR(__xludf.DUMMYFUNCTION("""COMPUTED_VALUE"""),1.0)</f>
        <v>1</v>
      </c>
      <c r="AK95" s="339" t="str">
        <f>IFERROR(__xludf.DUMMYFUNCTION("""COMPUTED_VALUE"""),"効果時間")</f>
        <v>効果時間</v>
      </c>
      <c r="AL95" s="297">
        <f>IFERROR(__xludf.DUMMYFUNCTION("""COMPUTED_VALUE"""),150.0)</f>
        <v>150</v>
      </c>
      <c r="AM95" s="366">
        <f>IFERROR(__xludf.DUMMYFUNCTION("""COMPUTED_VALUE"""),150.0)</f>
        <v>150</v>
      </c>
      <c r="AN95" s="366">
        <f>IFERROR(__xludf.DUMMYFUNCTION("""COMPUTED_VALUE"""),150.0)</f>
        <v>150</v>
      </c>
      <c r="AO95" s="366">
        <f>IFERROR(__xludf.DUMMYFUNCTION("""COMPUTED_VALUE"""),150.0)</f>
        <v>150</v>
      </c>
      <c r="AP95" s="366">
        <f>IFERROR(__xludf.DUMMYFUNCTION("""COMPUTED_VALUE"""),150.0)</f>
        <v>150</v>
      </c>
      <c r="AQ95" s="366">
        <f>IFERROR(__xludf.DUMMYFUNCTION("""COMPUTED_VALUE"""),150.0)</f>
        <v>150</v>
      </c>
      <c r="AR95" s="366">
        <f>IFERROR(__xludf.DUMMYFUNCTION("""COMPUTED_VALUE"""),150.0)</f>
        <v>150</v>
      </c>
      <c r="AS95" s="367">
        <f>IFERROR(__xludf.DUMMYFUNCTION("""COMPUTED_VALUE"""),150.0)</f>
        <v>150</v>
      </c>
      <c r="AT95" s="276" t="str">
        <f>IFERROR(__xludf.DUMMYFUNCTION("""COMPUTED_VALUE"""),"範囲(特大)")</f>
        <v>範囲(特大)</v>
      </c>
      <c r="AU95" s="308">
        <f>IFERROR(__xludf.DUMMYFUNCTION("""COMPUTED_VALUE"""),1.0)</f>
        <v>1</v>
      </c>
      <c r="AV95" s="339" t="str">
        <f>IFERROR(__xludf.DUMMYFUNCTION("""COMPUTED_VALUE"""),"効果時間")</f>
        <v>効果時間</v>
      </c>
      <c r="AW95" s="297">
        <f>IFERROR(__xludf.DUMMYFUNCTION("""COMPUTED_VALUE"""),150.0)</f>
        <v>150</v>
      </c>
      <c r="AX95" s="366">
        <f>IFERROR(__xludf.DUMMYFUNCTION("""COMPUTED_VALUE"""),150.0)</f>
        <v>150</v>
      </c>
      <c r="AY95" s="366">
        <f>IFERROR(__xludf.DUMMYFUNCTION("""COMPUTED_VALUE"""),150.0)</f>
        <v>150</v>
      </c>
      <c r="AZ95" s="366">
        <f>IFERROR(__xludf.DUMMYFUNCTION("""COMPUTED_VALUE"""),150.0)</f>
        <v>150</v>
      </c>
      <c r="BA95" s="366">
        <f>IFERROR(__xludf.DUMMYFUNCTION("""COMPUTED_VALUE"""),150.0)</f>
        <v>150</v>
      </c>
      <c r="BB95" s="366">
        <f>IFERROR(__xludf.DUMMYFUNCTION("""COMPUTED_VALUE"""),150.0)</f>
        <v>150</v>
      </c>
      <c r="BC95" s="366">
        <f>IFERROR(__xludf.DUMMYFUNCTION("""COMPUTED_VALUE"""),150.0)</f>
        <v>150</v>
      </c>
      <c r="BD95" s="367">
        <f>IFERROR(__xludf.DUMMYFUNCTION("""COMPUTED_VALUE"""),150.0)</f>
        <v>150</v>
      </c>
      <c r="BE95" s="279" t="str">
        <f>IFERROR(__xludf.DUMMYFUNCTION("""COMPUTED_VALUE"""),"範囲(小：威力減)")</f>
        <v>範囲(小：威力減)</v>
      </c>
      <c r="BF95" s="308">
        <f>IFERROR(__xludf.DUMMYFUNCTION("""COMPUTED_VALUE"""),1.0)</f>
        <v>1</v>
      </c>
      <c r="BG95" s="339" t="str">
        <f>IFERROR(__xludf.DUMMYFUNCTION("""COMPUTED_VALUE"""),"効果時間")</f>
        <v>効果時間</v>
      </c>
      <c r="BH95" s="297">
        <f>IFERROR(__xludf.DUMMYFUNCTION("""COMPUTED_VALUE"""),150.0)</f>
        <v>150</v>
      </c>
      <c r="BI95" s="366">
        <f>IFERROR(__xludf.DUMMYFUNCTION("""COMPUTED_VALUE"""),150.0)</f>
        <v>150</v>
      </c>
      <c r="BJ95" s="366">
        <f>IFERROR(__xludf.DUMMYFUNCTION("""COMPUTED_VALUE"""),150.0)</f>
        <v>150</v>
      </c>
      <c r="BK95" s="366">
        <f>IFERROR(__xludf.DUMMYFUNCTION("""COMPUTED_VALUE"""),150.0)</f>
        <v>150</v>
      </c>
      <c r="BL95" s="366">
        <f>IFERROR(__xludf.DUMMYFUNCTION("""COMPUTED_VALUE"""),150.0)</f>
        <v>150</v>
      </c>
      <c r="BM95" s="366">
        <f>IFERROR(__xludf.DUMMYFUNCTION("""COMPUTED_VALUE"""),150.0)</f>
        <v>150</v>
      </c>
      <c r="BN95" s="366">
        <f>IFERROR(__xludf.DUMMYFUNCTION("""COMPUTED_VALUE"""),150.0)</f>
        <v>150</v>
      </c>
      <c r="BO95" s="367">
        <f>IFERROR(__xludf.DUMMYFUNCTION("""COMPUTED_VALUE"""),150.0)</f>
        <v>150</v>
      </c>
    </row>
    <row r="96">
      <c r="A96" s="307" t="str">
        <f>IFERROR(__xludf.DUMMYFUNCTION("""COMPUTED_VALUE"""),"毒")</f>
        <v>毒</v>
      </c>
      <c r="B96" s="272" t="str">
        <f>IFERROR(__xludf.DUMMYFUNCTION("""COMPUTED_VALUE"""),"単体")</f>
        <v>単体</v>
      </c>
      <c r="C96" s="308">
        <f>IFERROR(__xludf.DUMMYFUNCTION("""COMPUTED_VALUE"""),1.0)</f>
        <v>1</v>
      </c>
      <c r="D96" s="339" t="str">
        <f>IFERROR(__xludf.DUMMYFUNCTION("""COMPUTED_VALUE"""),"発動確率")</f>
        <v>発動確率</v>
      </c>
      <c r="E96" s="309">
        <f>IFERROR(__xludf.DUMMYFUNCTION("""COMPUTED_VALUE"""),100.0)</f>
        <v>100</v>
      </c>
      <c r="F96" s="310">
        <f>IFERROR(__xludf.DUMMYFUNCTION("""COMPUTED_VALUE"""),100.0)</f>
        <v>100</v>
      </c>
      <c r="G96" s="310">
        <f>IFERROR(__xludf.DUMMYFUNCTION("""COMPUTED_VALUE"""),100.0)</f>
        <v>100</v>
      </c>
      <c r="H96" s="310">
        <f>IFERROR(__xludf.DUMMYFUNCTION("""COMPUTED_VALUE"""),100.0)</f>
        <v>100</v>
      </c>
      <c r="I96" s="310">
        <f>IFERROR(__xludf.DUMMYFUNCTION("""COMPUTED_VALUE"""),100.0)</f>
        <v>100</v>
      </c>
      <c r="J96" s="310">
        <f>IFERROR(__xludf.DUMMYFUNCTION("""COMPUTED_VALUE"""),100.0)</f>
        <v>100</v>
      </c>
      <c r="K96" s="310">
        <f>IFERROR(__xludf.DUMMYFUNCTION("""COMPUTED_VALUE"""),100.0)</f>
        <v>100</v>
      </c>
      <c r="L96" s="311">
        <f>IFERROR(__xludf.DUMMYFUNCTION("""COMPUTED_VALUE"""),100.0)</f>
        <v>100</v>
      </c>
      <c r="M96" s="276" t="str">
        <f>IFERROR(__xludf.DUMMYFUNCTION("""COMPUTED_VALUE"""),"範囲(小)")</f>
        <v>範囲(小)</v>
      </c>
      <c r="N96" s="308">
        <f>IFERROR(__xludf.DUMMYFUNCTION("""COMPUTED_VALUE"""),1.0)</f>
        <v>1</v>
      </c>
      <c r="O96" s="339" t="str">
        <f>IFERROR(__xludf.DUMMYFUNCTION("""COMPUTED_VALUE"""),"発動確率")</f>
        <v>発動確率</v>
      </c>
      <c r="P96" s="321">
        <f>IFERROR(__xludf.DUMMYFUNCTION("""COMPUTED_VALUE"""),100.0)</f>
        <v>100</v>
      </c>
      <c r="Q96" s="322">
        <f>IFERROR(__xludf.DUMMYFUNCTION("""COMPUTED_VALUE"""),100.0)</f>
        <v>100</v>
      </c>
      <c r="R96" s="322">
        <f>IFERROR(__xludf.DUMMYFUNCTION("""COMPUTED_VALUE"""),100.0)</f>
        <v>100</v>
      </c>
      <c r="S96" s="322">
        <f>IFERROR(__xludf.DUMMYFUNCTION("""COMPUTED_VALUE"""),100.0)</f>
        <v>100</v>
      </c>
      <c r="T96" s="322">
        <f>IFERROR(__xludf.DUMMYFUNCTION("""COMPUTED_VALUE"""),100.0)</f>
        <v>100</v>
      </c>
      <c r="U96" s="322">
        <f>IFERROR(__xludf.DUMMYFUNCTION("""COMPUTED_VALUE"""),100.0)</f>
        <v>100</v>
      </c>
      <c r="V96" s="322">
        <f>IFERROR(__xludf.DUMMYFUNCTION("""COMPUTED_VALUE"""),100.0)</f>
        <v>100</v>
      </c>
      <c r="W96" s="354">
        <f>IFERROR(__xludf.DUMMYFUNCTION("""COMPUTED_VALUE"""),100.0)</f>
        <v>100</v>
      </c>
      <c r="X96" s="276" t="str">
        <f>IFERROR(__xludf.DUMMYFUNCTION("""COMPUTED_VALUE"""),"範囲(中)")</f>
        <v>範囲(中)</v>
      </c>
      <c r="Y96" s="308">
        <f>IFERROR(__xludf.DUMMYFUNCTION("""COMPUTED_VALUE"""),1.0)</f>
        <v>1</v>
      </c>
      <c r="Z96" s="339" t="str">
        <f>IFERROR(__xludf.DUMMYFUNCTION("""COMPUTED_VALUE"""),"発動確率")</f>
        <v>発動確率</v>
      </c>
      <c r="AA96" s="321">
        <f>IFERROR(__xludf.DUMMYFUNCTION("""COMPUTED_VALUE"""),100.0)</f>
        <v>100</v>
      </c>
      <c r="AB96" s="322">
        <f>IFERROR(__xludf.DUMMYFUNCTION("""COMPUTED_VALUE"""),100.0)</f>
        <v>100</v>
      </c>
      <c r="AC96" s="322">
        <f>IFERROR(__xludf.DUMMYFUNCTION("""COMPUTED_VALUE"""),100.0)</f>
        <v>100</v>
      </c>
      <c r="AD96" s="322">
        <f>IFERROR(__xludf.DUMMYFUNCTION("""COMPUTED_VALUE"""),100.0)</f>
        <v>100</v>
      </c>
      <c r="AE96" s="322">
        <f>IFERROR(__xludf.DUMMYFUNCTION("""COMPUTED_VALUE"""),100.0)</f>
        <v>100</v>
      </c>
      <c r="AF96" s="322">
        <f>IFERROR(__xludf.DUMMYFUNCTION("""COMPUTED_VALUE"""),100.0)</f>
        <v>100</v>
      </c>
      <c r="AG96" s="322">
        <f>IFERROR(__xludf.DUMMYFUNCTION("""COMPUTED_VALUE"""),100.0)</f>
        <v>100</v>
      </c>
      <c r="AH96" s="354">
        <f>IFERROR(__xludf.DUMMYFUNCTION("""COMPUTED_VALUE"""),100.0)</f>
        <v>100</v>
      </c>
      <c r="AI96" s="276" t="str">
        <f>IFERROR(__xludf.DUMMYFUNCTION("""COMPUTED_VALUE"""),"範囲(大)")</f>
        <v>範囲(大)</v>
      </c>
      <c r="AJ96" s="308">
        <f>IFERROR(__xludf.DUMMYFUNCTION("""COMPUTED_VALUE"""),1.0)</f>
        <v>1</v>
      </c>
      <c r="AK96" s="339" t="str">
        <f>IFERROR(__xludf.DUMMYFUNCTION("""COMPUTED_VALUE"""),"発動確率")</f>
        <v>発動確率</v>
      </c>
      <c r="AL96" s="321">
        <f>IFERROR(__xludf.DUMMYFUNCTION("""COMPUTED_VALUE"""),100.0)</f>
        <v>100</v>
      </c>
      <c r="AM96" s="322">
        <f>IFERROR(__xludf.DUMMYFUNCTION("""COMPUTED_VALUE"""),100.0)</f>
        <v>100</v>
      </c>
      <c r="AN96" s="322">
        <f>IFERROR(__xludf.DUMMYFUNCTION("""COMPUTED_VALUE"""),100.0)</f>
        <v>100</v>
      </c>
      <c r="AO96" s="322">
        <f>IFERROR(__xludf.DUMMYFUNCTION("""COMPUTED_VALUE"""),100.0)</f>
        <v>100</v>
      </c>
      <c r="AP96" s="322">
        <f>IFERROR(__xludf.DUMMYFUNCTION("""COMPUTED_VALUE"""),100.0)</f>
        <v>100</v>
      </c>
      <c r="AQ96" s="322">
        <f>IFERROR(__xludf.DUMMYFUNCTION("""COMPUTED_VALUE"""),100.0)</f>
        <v>100</v>
      </c>
      <c r="AR96" s="322">
        <f>IFERROR(__xludf.DUMMYFUNCTION("""COMPUTED_VALUE"""),100.0)</f>
        <v>100</v>
      </c>
      <c r="AS96" s="354">
        <f>IFERROR(__xludf.DUMMYFUNCTION("""COMPUTED_VALUE"""),100.0)</f>
        <v>100</v>
      </c>
      <c r="AT96" s="276" t="str">
        <f>IFERROR(__xludf.DUMMYFUNCTION("""COMPUTED_VALUE"""),"範囲(特大)")</f>
        <v>範囲(特大)</v>
      </c>
      <c r="AU96" s="308">
        <f>IFERROR(__xludf.DUMMYFUNCTION("""COMPUTED_VALUE"""),1.0)</f>
        <v>1</v>
      </c>
      <c r="AV96" s="339" t="str">
        <f>IFERROR(__xludf.DUMMYFUNCTION("""COMPUTED_VALUE"""),"発動確率")</f>
        <v>発動確率</v>
      </c>
      <c r="AW96" s="321">
        <f>IFERROR(__xludf.DUMMYFUNCTION("""COMPUTED_VALUE"""),100.0)</f>
        <v>100</v>
      </c>
      <c r="AX96" s="322">
        <f>IFERROR(__xludf.DUMMYFUNCTION("""COMPUTED_VALUE"""),100.0)</f>
        <v>100</v>
      </c>
      <c r="AY96" s="322">
        <f>IFERROR(__xludf.DUMMYFUNCTION("""COMPUTED_VALUE"""),100.0)</f>
        <v>100</v>
      </c>
      <c r="AZ96" s="322">
        <f>IFERROR(__xludf.DUMMYFUNCTION("""COMPUTED_VALUE"""),100.0)</f>
        <v>100</v>
      </c>
      <c r="BA96" s="322">
        <f>IFERROR(__xludf.DUMMYFUNCTION("""COMPUTED_VALUE"""),100.0)</f>
        <v>100</v>
      </c>
      <c r="BB96" s="322">
        <f>IFERROR(__xludf.DUMMYFUNCTION("""COMPUTED_VALUE"""),100.0)</f>
        <v>100</v>
      </c>
      <c r="BC96" s="322">
        <f>IFERROR(__xludf.DUMMYFUNCTION("""COMPUTED_VALUE"""),100.0)</f>
        <v>100</v>
      </c>
      <c r="BD96" s="354">
        <f>IFERROR(__xludf.DUMMYFUNCTION("""COMPUTED_VALUE"""),100.0)</f>
        <v>100</v>
      </c>
      <c r="BE96" s="279" t="str">
        <f>IFERROR(__xludf.DUMMYFUNCTION("""COMPUTED_VALUE"""),"範囲(小：威力減)")</f>
        <v>範囲(小：威力減)</v>
      </c>
      <c r="BF96" s="308">
        <f>IFERROR(__xludf.DUMMYFUNCTION("""COMPUTED_VALUE"""),1.0)</f>
        <v>1</v>
      </c>
      <c r="BG96" s="339" t="str">
        <f>IFERROR(__xludf.DUMMYFUNCTION("""COMPUTED_VALUE"""),"発動確率")</f>
        <v>発動確率</v>
      </c>
      <c r="BH96" s="321">
        <f>IFERROR(__xludf.DUMMYFUNCTION("""COMPUTED_VALUE"""),100.0)</f>
        <v>100</v>
      </c>
      <c r="BI96" s="322">
        <f>IFERROR(__xludf.DUMMYFUNCTION("""COMPUTED_VALUE"""),100.0)</f>
        <v>100</v>
      </c>
      <c r="BJ96" s="322">
        <f>IFERROR(__xludf.DUMMYFUNCTION("""COMPUTED_VALUE"""),100.0)</f>
        <v>100</v>
      </c>
      <c r="BK96" s="322">
        <f>IFERROR(__xludf.DUMMYFUNCTION("""COMPUTED_VALUE"""),100.0)</f>
        <v>100</v>
      </c>
      <c r="BL96" s="322">
        <f>IFERROR(__xludf.DUMMYFUNCTION("""COMPUTED_VALUE"""),100.0)</f>
        <v>100</v>
      </c>
      <c r="BM96" s="322">
        <f>IFERROR(__xludf.DUMMYFUNCTION("""COMPUTED_VALUE"""),100.0)</f>
        <v>100</v>
      </c>
      <c r="BN96" s="322">
        <f>IFERROR(__xludf.DUMMYFUNCTION("""COMPUTED_VALUE"""),100.0)</f>
        <v>100</v>
      </c>
      <c r="BO96" s="354">
        <f>IFERROR(__xludf.DUMMYFUNCTION("""COMPUTED_VALUE"""),100.0)</f>
        <v>100</v>
      </c>
    </row>
    <row r="97">
      <c r="A97" s="307" t="str">
        <f>IFERROR(__xludf.DUMMYFUNCTION("""COMPUTED_VALUE"""),"毒")</f>
        <v>毒</v>
      </c>
      <c r="B97" s="272" t="str">
        <f>IFERROR(__xludf.DUMMYFUNCTION("""COMPUTED_VALUE"""),"単体")</f>
        <v>単体</v>
      </c>
      <c r="C97" s="316">
        <f>IFERROR(__xludf.DUMMYFUNCTION("""COMPUTED_VALUE"""),2.0)</f>
        <v>2</v>
      </c>
      <c r="D97" s="342" t="str">
        <f>IFERROR(__xludf.DUMMYFUNCTION("""COMPUTED_VALUE"""),"効果値")</f>
        <v>効果値</v>
      </c>
      <c r="E97" s="368">
        <f>IFERROR(__xludf.DUMMYFUNCTION("""COMPUTED_VALUE"""),2.0)</f>
        <v>2</v>
      </c>
      <c r="F97" s="368">
        <f>IFERROR(__xludf.DUMMYFUNCTION("""COMPUTED_VALUE"""),2.0)</f>
        <v>2</v>
      </c>
      <c r="G97" s="368">
        <f>IFERROR(__xludf.DUMMYFUNCTION("""COMPUTED_VALUE"""),2.0)</f>
        <v>2</v>
      </c>
      <c r="H97" s="368">
        <f>IFERROR(__xludf.DUMMYFUNCTION("""COMPUTED_VALUE"""),2.0)</f>
        <v>2</v>
      </c>
      <c r="I97" s="368">
        <f>IFERROR(__xludf.DUMMYFUNCTION("""COMPUTED_VALUE"""),2.0)</f>
        <v>2</v>
      </c>
      <c r="J97" s="368">
        <f>IFERROR(__xludf.DUMMYFUNCTION("""COMPUTED_VALUE"""),2.0)</f>
        <v>2</v>
      </c>
      <c r="K97" s="368">
        <f>IFERROR(__xludf.DUMMYFUNCTION("""COMPUTED_VALUE"""),2.0)</f>
        <v>2</v>
      </c>
      <c r="L97" s="368">
        <f>IFERROR(__xludf.DUMMYFUNCTION("""COMPUTED_VALUE"""),2.0)</f>
        <v>2</v>
      </c>
      <c r="M97" s="276" t="str">
        <f>IFERROR(__xludf.DUMMYFUNCTION("""COMPUTED_VALUE"""),"範囲(小)")</f>
        <v>範囲(小)</v>
      </c>
      <c r="N97" s="316">
        <f>IFERROR(__xludf.DUMMYFUNCTION("""COMPUTED_VALUE"""),2.0)</f>
        <v>2</v>
      </c>
      <c r="O97" s="342" t="str">
        <f>IFERROR(__xludf.DUMMYFUNCTION("""COMPUTED_VALUE"""),"効果値")</f>
        <v>効果値</v>
      </c>
      <c r="P97" s="369">
        <f>IFERROR(__xludf.DUMMYFUNCTION("""COMPUTED_VALUE"""),1.0)</f>
        <v>1</v>
      </c>
      <c r="Q97" s="369">
        <f>IFERROR(__xludf.DUMMYFUNCTION("""COMPUTED_VALUE"""),1.0)</f>
        <v>1</v>
      </c>
      <c r="R97" s="369">
        <f>IFERROR(__xludf.DUMMYFUNCTION("""COMPUTED_VALUE"""),1.0)</f>
        <v>1</v>
      </c>
      <c r="S97" s="369">
        <f>IFERROR(__xludf.DUMMYFUNCTION("""COMPUTED_VALUE"""),1.0)</f>
        <v>1</v>
      </c>
      <c r="T97" s="369">
        <f>IFERROR(__xludf.DUMMYFUNCTION("""COMPUTED_VALUE"""),1.0)</f>
        <v>1</v>
      </c>
      <c r="U97" s="369">
        <f>IFERROR(__xludf.DUMMYFUNCTION("""COMPUTED_VALUE"""),1.0)</f>
        <v>1</v>
      </c>
      <c r="V97" s="369">
        <f>IFERROR(__xludf.DUMMYFUNCTION("""COMPUTED_VALUE"""),1.0)</f>
        <v>1</v>
      </c>
      <c r="W97" s="370">
        <f>IFERROR(__xludf.DUMMYFUNCTION("""COMPUTED_VALUE"""),1.0)</f>
        <v>1</v>
      </c>
      <c r="X97" s="276" t="str">
        <f>IFERROR(__xludf.DUMMYFUNCTION("""COMPUTED_VALUE"""),"範囲(中)")</f>
        <v>範囲(中)</v>
      </c>
      <c r="Y97" s="316">
        <f>IFERROR(__xludf.DUMMYFUNCTION("""COMPUTED_VALUE"""),2.0)</f>
        <v>2</v>
      </c>
      <c r="Z97" s="342" t="str">
        <f>IFERROR(__xludf.DUMMYFUNCTION("""COMPUTED_VALUE"""),"効果値")</f>
        <v>効果値</v>
      </c>
      <c r="AA97" s="369">
        <f>IFERROR(__xludf.DUMMYFUNCTION("""COMPUTED_VALUE"""),1.0)</f>
        <v>1</v>
      </c>
      <c r="AB97" s="369">
        <f>IFERROR(__xludf.DUMMYFUNCTION("""COMPUTED_VALUE"""),1.0)</f>
        <v>1</v>
      </c>
      <c r="AC97" s="369">
        <f>IFERROR(__xludf.DUMMYFUNCTION("""COMPUTED_VALUE"""),1.0)</f>
        <v>1</v>
      </c>
      <c r="AD97" s="369">
        <f>IFERROR(__xludf.DUMMYFUNCTION("""COMPUTED_VALUE"""),1.0)</f>
        <v>1</v>
      </c>
      <c r="AE97" s="369">
        <f>IFERROR(__xludf.DUMMYFUNCTION("""COMPUTED_VALUE"""),1.0)</f>
        <v>1</v>
      </c>
      <c r="AF97" s="369">
        <f>IFERROR(__xludf.DUMMYFUNCTION("""COMPUTED_VALUE"""),1.0)</f>
        <v>1</v>
      </c>
      <c r="AG97" s="369">
        <f>IFERROR(__xludf.DUMMYFUNCTION("""COMPUTED_VALUE"""),1.0)</f>
        <v>1</v>
      </c>
      <c r="AH97" s="370">
        <f>IFERROR(__xludf.DUMMYFUNCTION("""COMPUTED_VALUE"""),1.0)</f>
        <v>1</v>
      </c>
      <c r="AI97" s="276" t="str">
        <f>IFERROR(__xludf.DUMMYFUNCTION("""COMPUTED_VALUE"""),"範囲(大)")</f>
        <v>範囲(大)</v>
      </c>
      <c r="AJ97" s="316">
        <f>IFERROR(__xludf.DUMMYFUNCTION("""COMPUTED_VALUE"""),2.0)</f>
        <v>2</v>
      </c>
      <c r="AK97" s="342" t="str">
        <f>IFERROR(__xludf.DUMMYFUNCTION("""COMPUTED_VALUE"""),"効果値")</f>
        <v>効果値</v>
      </c>
      <c r="AL97" s="369">
        <f>IFERROR(__xludf.DUMMYFUNCTION("""COMPUTED_VALUE"""),1.0)</f>
        <v>1</v>
      </c>
      <c r="AM97" s="369">
        <f>IFERROR(__xludf.DUMMYFUNCTION("""COMPUTED_VALUE"""),1.0)</f>
        <v>1</v>
      </c>
      <c r="AN97" s="369">
        <f>IFERROR(__xludf.DUMMYFUNCTION("""COMPUTED_VALUE"""),1.0)</f>
        <v>1</v>
      </c>
      <c r="AO97" s="369">
        <f>IFERROR(__xludf.DUMMYFUNCTION("""COMPUTED_VALUE"""),1.0)</f>
        <v>1</v>
      </c>
      <c r="AP97" s="369">
        <f>IFERROR(__xludf.DUMMYFUNCTION("""COMPUTED_VALUE"""),1.0)</f>
        <v>1</v>
      </c>
      <c r="AQ97" s="369">
        <f>IFERROR(__xludf.DUMMYFUNCTION("""COMPUTED_VALUE"""),1.0)</f>
        <v>1</v>
      </c>
      <c r="AR97" s="369">
        <f>IFERROR(__xludf.DUMMYFUNCTION("""COMPUTED_VALUE"""),1.0)</f>
        <v>1</v>
      </c>
      <c r="AS97" s="370">
        <f>IFERROR(__xludf.DUMMYFUNCTION("""COMPUTED_VALUE"""),1.0)</f>
        <v>1</v>
      </c>
      <c r="AT97" s="276" t="str">
        <f>IFERROR(__xludf.DUMMYFUNCTION("""COMPUTED_VALUE"""),"範囲(特大)")</f>
        <v>範囲(特大)</v>
      </c>
      <c r="AU97" s="316">
        <f>IFERROR(__xludf.DUMMYFUNCTION("""COMPUTED_VALUE"""),2.0)</f>
        <v>2</v>
      </c>
      <c r="AV97" s="342" t="str">
        <f>IFERROR(__xludf.DUMMYFUNCTION("""COMPUTED_VALUE"""),"効果値")</f>
        <v>効果値</v>
      </c>
      <c r="AW97" s="369">
        <f>IFERROR(__xludf.DUMMYFUNCTION("""COMPUTED_VALUE"""),1.0)</f>
        <v>1</v>
      </c>
      <c r="AX97" s="369">
        <f>IFERROR(__xludf.DUMMYFUNCTION("""COMPUTED_VALUE"""),1.0)</f>
        <v>1</v>
      </c>
      <c r="AY97" s="369">
        <f>IFERROR(__xludf.DUMMYFUNCTION("""COMPUTED_VALUE"""),1.0)</f>
        <v>1</v>
      </c>
      <c r="AZ97" s="369">
        <f>IFERROR(__xludf.DUMMYFUNCTION("""COMPUTED_VALUE"""),1.0)</f>
        <v>1</v>
      </c>
      <c r="BA97" s="369">
        <f>IFERROR(__xludf.DUMMYFUNCTION("""COMPUTED_VALUE"""),1.0)</f>
        <v>1</v>
      </c>
      <c r="BB97" s="369">
        <f>IFERROR(__xludf.DUMMYFUNCTION("""COMPUTED_VALUE"""),1.0)</f>
        <v>1</v>
      </c>
      <c r="BC97" s="369">
        <f>IFERROR(__xludf.DUMMYFUNCTION("""COMPUTED_VALUE"""),1.0)</f>
        <v>1</v>
      </c>
      <c r="BD97" s="370">
        <f>IFERROR(__xludf.DUMMYFUNCTION("""COMPUTED_VALUE"""),1.0)</f>
        <v>1</v>
      </c>
      <c r="BE97" s="279" t="str">
        <f>IFERROR(__xludf.DUMMYFUNCTION("""COMPUTED_VALUE"""),"範囲(小：威力減)")</f>
        <v>範囲(小：威力減)</v>
      </c>
      <c r="BF97" s="316">
        <f>IFERROR(__xludf.DUMMYFUNCTION("""COMPUTED_VALUE"""),2.0)</f>
        <v>2</v>
      </c>
      <c r="BG97" s="342" t="str">
        <f>IFERROR(__xludf.DUMMYFUNCTION("""COMPUTED_VALUE"""),"効果値")</f>
        <v>効果値</v>
      </c>
      <c r="BH97" s="369">
        <f>IFERROR(__xludf.DUMMYFUNCTION("""COMPUTED_VALUE"""),1.0)</f>
        <v>1</v>
      </c>
      <c r="BI97" s="369">
        <f>IFERROR(__xludf.DUMMYFUNCTION("""COMPUTED_VALUE"""),1.0)</f>
        <v>1</v>
      </c>
      <c r="BJ97" s="369">
        <f>IFERROR(__xludf.DUMMYFUNCTION("""COMPUTED_VALUE"""),1.0)</f>
        <v>1</v>
      </c>
      <c r="BK97" s="369">
        <f>IFERROR(__xludf.DUMMYFUNCTION("""COMPUTED_VALUE"""),1.0)</f>
        <v>1</v>
      </c>
      <c r="BL97" s="369">
        <f>IFERROR(__xludf.DUMMYFUNCTION("""COMPUTED_VALUE"""),1.0)</f>
        <v>1</v>
      </c>
      <c r="BM97" s="369">
        <f>IFERROR(__xludf.DUMMYFUNCTION("""COMPUTED_VALUE"""),1.0)</f>
        <v>1</v>
      </c>
      <c r="BN97" s="369">
        <f>IFERROR(__xludf.DUMMYFUNCTION("""COMPUTED_VALUE"""),1.0)</f>
        <v>1</v>
      </c>
      <c r="BO97" s="370">
        <f>IFERROR(__xludf.DUMMYFUNCTION("""COMPUTED_VALUE"""),1.0)</f>
        <v>1</v>
      </c>
    </row>
    <row r="98">
      <c r="A98" s="307" t="str">
        <f>IFERROR(__xludf.DUMMYFUNCTION("""COMPUTED_VALUE"""),"毒")</f>
        <v>毒</v>
      </c>
      <c r="B98" s="272" t="str">
        <f>IFERROR(__xludf.DUMMYFUNCTION("""COMPUTED_VALUE"""),"単体")</f>
        <v>単体</v>
      </c>
      <c r="C98" s="308">
        <f>IFERROR(__xludf.DUMMYFUNCTION("""COMPUTED_VALUE"""),2.0)</f>
        <v>2</v>
      </c>
      <c r="D98" s="274" t="str">
        <f>IFERROR(__xludf.DUMMYFUNCTION("""COMPUTED_VALUE"""),"効果時間")</f>
        <v>効果時間</v>
      </c>
      <c r="E98" s="317">
        <f>IFERROR(__xludf.DUMMYFUNCTION("""COMPUTED_VALUE"""),150.0)</f>
        <v>150</v>
      </c>
      <c r="F98" s="344">
        <f>IFERROR(__xludf.DUMMYFUNCTION("""COMPUTED_VALUE"""),150.0)</f>
        <v>150</v>
      </c>
      <c r="G98" s="344">
        <f>IFERROR(__xludf.DUMMYFUNCTION("""COMPUTED_VALUE"""),150.0)</f>
        <v>150</v>
      </c>
      <c r="H98" s="344">
        <f>IFERROR(__xludf.DUMMYFUNCTION("""COMPUTED_VALUE"""),150.0)</f>
        <v>150</v>
      </c>
      <c r="I98" s="344">
        <f>IFERROR(__xludf.DUMMYFUNCTION("""COMPUTED_VALUE"""),150.0)</f>
        <v>150</v>
      </c>
      <c r="J98" s="344">
        <f>IFERROR(__xludf.DUMMYFUNCTION("""COMPUTED_VALUE"""),150.0)</f>
        <v>150</v>
      </c>
      <c r="K98" s="344">
        <f>IFERROR(__xludf.DUMMYFUNCTION("""COMPUTED_VALUE"""),150.0)</f>
        <v>150</v>
      </c>
      <c r="L98" s="345">
        <f>IFERROR(__xludf.DUMMYFUNCTION("""COMPUTED_VALUE"""),150.0)</f>
        <v>150</v>
      </c>
      <c r="M98" s="276" t="str">
        <f>IFERROR(__xludf.DUMMYFUNCTION("""COMPUTED_VALUE"""),"範囲(小)")</f>
        <v>範囲(小)</v>
      </c>
      <c r="N98" s="308">
        <f>IFERROR(__xludf.DUMMYFUNCTION("""COMPUTED_VALUE"""),2.0)</f>
        <v>2</v>
      </c>
      <c r="O98" s="274" t="str">
        <f>IFERROR(__xludf.DUMMYFUNCTION("""COMPUTED_VALUE"""),"効果時間")</f>
        <v>効果時間</v>
      </c>
      <c r="P98" s="297">
        <f>IFERROR(__xludf.DUMMYFUNCTION("""COMPUTED_VALUE"""),150.0)</f>
        <v>150</v>
      </c>
      <c r="Q98" s="366">
        <f>IFERROR(__xludf.DUMMYFUNCTION("""COMPUTED_VALUE"""),150.0)</f>
        <v>150</v>
      </c>
      <c r="R98" s="366">
        <f>IFERROR(__xludf.DUMMYFUNCTION("""COMPUTED_VALUE"""),150.0)</f>
        <v>150</v>
      </c>
      <c r="S98" s="366">
        <f>IFERROR(__xludf.DUMMYFUNCTION("""COMPUTED_VALUE"""),150.0)</f>
        <v>150</v>
      </c>
      <c r="T98" s="366">
        <f>IFERROR(__xludf.DUMMYFUNCTION("""COMPUTED_VALUE"""),150.0)</f>
        <v>150</v>
      </c>
      <c r="U98" s="366">
        <f>IFERROR(__xludf.DUMMYFUNCTION("""COMPUTED_VALUE"""),150.0)</f>
        <v>150</v>
      </c>
      <c r="V98" s="366">
        <f>IFERROR(__xludf.DUMMYFUNCTION("""COMPUTED_VALUE"""),150.0)</f>
        <v>150</v>
      </c>
      <c r="W98" s="367">
        <f>IFERROR(__xludf.DUMMYFUNCTION("""COMPUTED_VALUE"""),150.0)</f>
        <v>150</v>
      </c>
      <c r="X98" s="276" t="str">
        <f>IFERROR(__xludf.DUMMYFUNCTION("""COMPUTED_VALUE"""),"範囲(中)")</f>
        <v>範囲(中)</v>
      </c>
      <c r="Y98" s="308">
        <f>IFERROR(__xludf.DUMMYFUNCTION("""COMPUTED_VALUE"""),2.0)</f>
        <v>2</v>
      </c>
      <c r="Z98" s="274" t="str">
        <f>IFERROR(__xludf.DUMMYFUNCTION("""COMPUTED_VALUE"""),"効果時間")</f>
        <v>効果時間</v>
      </c>
      <c r="AA98" s="297">
        <f>IFERROR(__xludf.DUMMYFUNCTION("""COMPUTED_VALUE"""),150.0)</f>
        <v>150</v>
      </c>
      <c r="AB98" s="366">
        <f>IFERROR(__xludf.DUMMYFUNCTION("""COMPUTED_VALUE"""),150.0)</f>
        <v>150</v>
      </c>
      <c r="AC98" s="366">
        <f>IFERROR(__xludf.DUMMYFUNCTION("""COMPUTED_VALUE"""),150.0)</f>
        <v>150</v>
      </c>
      <c r="AD98" s="366">
        <f>IFERROR(__xludf.DUMMYFUNCTION("""COMPUTED_VALUE"""),150.0)</f>
        <v>150</v>
      </c>
      <c r="AE98" s="366">
        <f>IFERROR(__xludf.DUMMYFUNCTION("""COMPUTED_VALUE"""),150.0)</f>
        <v>150</v>
      </c>
      <c r="AF98" s="366">
        <f>IFERROR(__xludf.DUMMYFUNCTION("""COMPUTED_VALUE"""),150.0)</f>
        <v>150</v>
      </c>
      <c r="AG98" s="366">
        <f>IFERROR(__xludf.DUMMYFUNCTION("""COMPUTED_VALUE"""),150.0)</f>
        <v>150</v>
      </c>
      <c r="AH98" s="367">
        <f>IFERROR(__xludf.DUMMYFUNCTION("""COMPUTED_VALUE"""),150.0)</f>
        <v>150</v>
      </c>
      <c r="AI98" s="276" t="str">
        <f>IFERROR(__xludf.DUMMYFUNCTION("""COMPUTED_VALUE"""),"範囲(大)")</f>
        <v>範囲(大)</v>
      </c>
      <c r="AJ98" s="308">
        <f>IFERROR(__xludf.DUMMYFUNCTION("""COMPUTED_VALUE"""),2.0)</f>
        <v>2</v>
      </c>
      <c r="AK98" s="274" t="str">
        <f>IFERROR(__xludf.DUMMYFUNCTION("""COMPUTED_VALUE"""),"効果時間")</f>
        <v>効果時間</v>
      </c>
      <c r="AL98" s="297">
        <f>IFERROR(__xludf.DUMMYFUNCTION("""COMPUTED_VALUE"""),150.0)</f>
        <v>150</v>
      </c>
      <c r="AM98" s="366">
        <f>IFERROR(__xludf.DUMMYFUNCTION("""COMPUTED_VALUE"""),150.0)</f>
        <v>150</v>
      </c>
      <c r="AN98" s="366">
        <f>IFERROR(__xludf.DUMMYFUNCTION("""COMPUTED_VALUE"""),150.0)</f>
        <v>150</v>
      </c>
      <c r="AO98" s="366">
        <f>IFERROR(__xludf.DUMMYFUNCTION("""COMPUTED_VALUE"""),150.0)</f>
        <v>150</v>
      </c>
      <c r="AP98" s="366">
        <f>IFERROR(__xludf.DUMMYFUNCTION("""COMPUTED_VALUE"""),150.0)</f>
        <v>150</v>
      </c>
      <c r="AQ98" s="366">
        <f>IFERROR(__xludf.DUMMYFUNCTION("""COMPUTED_VALUE"""),150.0)</f>
        <v>150</v>
      </c>
      <c r="AR98" s="366">
        <f>IFERROR(__xludf.DUMMYFUNCTION("""COMPUTED_VALUE"""),150.0)</f>
        <v>150</v>
      </c>
      <c r="AS98" s="367">
        <f>IFERROR(__xludf.DUMMYFUNCTION("""COMPUTED_VALUE"""),150.0)</f>
        <v>150</v>
      </c>
      <c r="AT98" s="276" t="str">
        <f>IFERROR(__xludf.DUMMYFUNCTION("""COMPUTED_VALUE"""),"範囲(特大)")</f>
        <v>範囲(特大)</v>
      </c>
      <c r="AU98" s="308">
        <f>IFERROR(__xludf.DUMMYFUNCTION("""COMPUTED_VALUE"""),2.0)</f>
        <v>2</v>
      </c>
      <c r="AV98" s="274" t="str">
        <f>IFERROR(__xludf.DUMMYFUNCTION("""COMPUTED_VALUE"""),"効果時間")</f>
        <v>効果時間</v>
      </c>
      <c r="AW98" s="297">
        <f>IFERROR(__xludf.DUMMYFUNCTION("""COMPUTED_VALUE"""),150.0)</f>
        <v>150</v>
      </c>
      <c r="AX98" s="366">
        <f>IFERROR(__xludf.DUMMYFUNCTION("""COMPUTED_VALUE"""),150.0)</f>
        <v>150</v>
      </c>
      <c r="AY98" s="366">
        <f>IFERROR(__xludf.DUMMYFUNCTION("""COMPUTED_VALUE"""),150.0)</f>
        <v>150</v>
      </c>
      <c r="AZ98" s="366">
        <f>IFERROR(__xludf.DUMMYFUNCTION("""COMPUTED_VALUE"""),150.0)</f>
        <v>150</v>
      </c>
      <c r="BA98" s="366">
        <f>IFERROR(__xludf.DUMMYFUNCTION("""COMPUTED_VALUE"""),150.0)</f>
        <v>150</v>
      </c>
      <c r="BB98" s="366">
        <f>IFERROR(__xludf.DUMMYFUNCTION("""COMPUTED_VALUE"""),150.0)</f>
        <v>150</v>
      </c>
      <c r="BC98" s="366">
        <f>IFERROR(__xludf.DUMMYFUNCTION("""COMPUTED_VALUE"""),150.0)</f>
        <v>150</v>
      </c>
      <c r="BD98" s="367">
        <f>IFERROR(__xludf.DUMMYFUNCTION("""COMPUTED_VALUE"""),150.0)</f>
        <v>150</v>
      </c>
      <c r="BE98" s="279" t="str">
        <f>IFERROR(__xludf.DUMMYFUNCTION("""COMPUTED_VALUE"""),"範囲(小：威力減)")</f>
        <v>範囲(小：威力減)</v>
      </c>
      <c r="BF98" s="308">
        <f>IFERROR(__xludf.DUMMYFUNCTION("""COMPUTED_VALUE"""),2.0)</f>
        <v>2</v>
      </c>
      <c r="BG98" s="274" t="str">
        <f>IFERROR(__xludf.DUMMYFUNCTION("""COMPUTED_VALUE"""),"効果時間")</f>
        <v>効果時間</v>
      </c>
      <c r="BH98" s="297">
        <f>IFERROR(__xludf.DUMMYFUNCTION("""COMPUTED_VALUE"""),150.0)</f>
        <v>150</v>
      </c>
      <c r="BI98" s="366">
        <f>IFERROR(__xludf.DUMMYFUNCTION("""COMPUTED_VALUE"""),150.0)</f>
        <v>150</v>
      </c>
      <c r="BJ98" s="366">
        <f>IFERROR(__xludf.DUMMYFUNCTION("""COMPUTED_VALUE"""),150.0)</f>
        <v>150</v>
      </c>
      <c r="BK98" s="366">
        <f>IFERROR(__xludf.DUMMYFUNCTION("""COMPUTED_VALUE"""),150.0)</f>
        <v>150</v>
      </c>
      <c r="BL98" s="366">
        <f>IFERROR(__xludf.DUMMYFUNCTION("""COMPUTED_VALUE"""),150.0)</f>
        <v>150</v>
      </c>
      <c r="BM98" s="366">
        <f>IFERROR(__xludf.DUMMYFUNCTION("""COMPUTED_VALUE"""),150.0)</f>
        <v>150</v>
      </c>
      <c r="BN98" s="366">
        <f>IFERROR(__xludf.DUMMYFUNCTION("""COMPUTED_VALUE"""),150.0)</f>
        <v>150</v>
      </c>
      <c r="BO98" s="367">
        <f>IFERROR(__xludf.DUMMYFUNCTION("""COMPUTED_VALUE"""),150.0)</f>
        <v>150</v>
      </c>
    </row>
    <row r="99">
      <c r="A99" s="307" t="str">
        <f>IFERROR(__xludf.DUMMYFUNCTION("""COMPUTED_VALUE"""),"毒")</f>
        <v>毒</v>
      </c>
      <c r="B99" s="272" t="str">
        <f>IFERROR(__xludf.DUMMYFUNCTION("""COMPUTED_VALUE"""),"単体")</f>
        <v>単体</v>
      </c>
      <c r="C99" s="308">
        <f>IFERROR(__xludf.DUMMYFUNCTION("""COMPUTED_VALUE"""),2.0)</f>
        <v>2</v>
      </c>
      <c r="D99" s="274" t="str">
        <f>IFERROR(__xludf.DUMMYFUNCTION("""COMPUTED_VALUE"""),"発動確率")</f>
        <v>発動確率</v>
      </c>
      <c r="E99" s="309">
        <f>IFERROR(__xludf.DUMMYFUNCTION("""COMPUTED_VALUE"""),100.0)</f>
        <v>100</v>
      </c>
      <c r="F99" s="310">
        <f>IFERROR(__xludf.DUMMYFUNCTION("""COMPUTED_VALUE"""),100.0)</f>
        <v>100</v>
      </c>
      <c r="G99" s="310">
        <f>IFERROR(__xludf.DUMMYFUNCTION("""COMPUTED_VALUE"""),100.0)</f>
        <v>100</v>
      </c>
      <c r="H99" s="310">
        <f>IFERROR(__xludf.DUMMYFUNCTION("""COMPUTED_VALUE"""),100.0)</f>
        <v>100</v>
      </c>
      <c r="I99" s="310">
        <f>IFERROR(__xludf.DUMMYFUNCTION("""COMPUTED_VALUE"""),100.0)</f>
        <v>100</v>
      </c>
      <c r="J99" s="310">
        <f>IFERROR(__xludf.DUMMYFUNCTION("""COMPUTED_VALUE"""),100.0)</f>
        <v>100</v>
      </c>
      <c r="K99" s="310">
        <f>IFERROR(__xludf.DUMMYFUNCTION("""COMPUTED_VALUE"""),100.0)</f>
        <v>100</v>
      </c>
      <c r="L99" s="311">
        <f>IFERROR(__xludf.DUMMYFUNCTION("""COMPUTED_VALUE"""),100.0)</f>
        <v>100</v>
      </c>
      <c r="M99" s="276" t="str">
        <f>IFERROR(__xludf.DUMMYFUNCTION("""COMPUTED_VALUE"""),"範囲(小)")</f>
        <v>範囲(小)</v>
      </c>
      <c r="N99" s="308">
        <f>IFERROR(__xludf.DUMMYFUNCTION("""COMPUTED_VALUE"""),2.0)</f>
        <v>2</v>
      </c>
      <c r="O99" s="274" t="str">
        <f>IFERROR(__xludf.DUMMYFUNCTION("""COMPUTED_VALUE"""),"発動確率")</f>
        <v>発動確率</v>
      </c>
      <c r="P99" s="321">
        <f>IFERROR(__xludf.DUMMYFUNCTION("""COMPUTED_VALUE"""),100.0)</f>
        <v>100</v>
      </c>
      <c r="Q99" s="322">
        <f>IFERROR(__xludf.DUMMYFUNCTION("""COMPUTED_VALUE"""),100.0)</f>
        <v>100</v>
      </c>
      <c r="R99" s="322">
        <f>IFERROR(__xludf.DUMMYFUNCTION("""COMPUTED_VALUE"""),100.0)</f>
        <v>100</v>
      </c>
      <c r="S99" s="322">
        <f>IFERROR(__xludf.DUMMYFUNCTION("""COMPUTED_VALUE"""),100.0)</f>
        <v>100</v>
      </c>
      <c r="T99" s="322">
        <f>IFERROR(__xludf.DUMMYFUNCTION("""COMPUTED_VALUE"""),100.0)</f>
        <v>100</v>
      </c>
      <c r="U99" s="322">
        <f>IFERROR(__xludf.DUMMYFUNCTION("""COMPUTED_VALUE"""),100.0)</f>
        <v>100</v>
      </c>
      <c r="V99" s="322">
        <f>IFERROR(__xludf.DUMMYFUNCTION("""COMPUTED_VALUE"""),100.0)</f>
        <v>100</v>
      </c>
      <c r="W99" s="354">
        <f>IFERROR(__xludf.DUMMYFUNCTION("""COMPUTED_VALUE"""),100.0)</f>
        <v>100</v>
      </c>
      <c r="X99" s="276" t="str">
        <f>IFERROR(__xludf.DUMMYFUNCTION("""COMPUTED_VALUE"""),"範囲(中)")</f>
        <v>範囲(中)</v>
      </c>
      <c r="Y99" s="308">
        <f>IFERROR(__xludf.DUMMYFUNCTION("""COMPUTED_VALUE"""),2.0)</f>
        <v>2</v>
      </c>
      <c r="Z99" s="274" t="str">
        <f>IFERROR(__xludf.DUMMYFUNCTION("""COMPUTED_VALUE"""),"発動確率")</f>
        <v>発動確率</v>
      </c>
      <c r="AA99" s="321">
        <f>IFERROR(__xludf.DUMMYFUNCTION("""COMPUTED_VALUE"""),100.0)</f>
        <v>100</v>
      </c>
      <c r="AB99" s="322">
        <f>IFERROR(__xludf.DUMMYFUNCTION("""COMPUTED_VALUE"""),100.0)</f>
        <v>100</v>
      </c>
      <c r="AC99" s="322">
        <f>IFERROR(__xludf.DUMMYFUNCTION("""COMPUTED_VALUE"""),100.0)</f>
        <v>100</v>
      </c>
      <c r="AD99" s="322">
        <f>IFERROR(__xludf.DUMMYFUNCTION("""COMPUTED_VALUE"""),100.0)</f>
        <v>100</v>
      </c>
      <c r="AE99" s="322">
        <f>IFERROR(__xludf.DUMMYFUNCTION("""COMPUTED_VALUE"""),100.0)</f>
        <v>100</v>
      </c>
      <c r="AF99" s="322">
        <f>IFERROR(__xludf.DUMMYFUNCTION("""COMPUTED_VALUE"""),100.0)</f>
        <v>100</v>
      </c>
      <c r="AG99" s="322">
        <f>IFERROR(__xludf.DUMMYFUNCTION("""COMPUTED_VALUE"""),100.0)</f>
        <v>100</v>
      </c>
      <c r="AH99" s="354">
        <f>IFERROR(__xludf.DUMMYFUNCTION("""COMPUTED_VALUE"""),100.0)</f>
        <v>100</v>
      </c>
      <c r="AI99" s="276" t="str">
        <f>IFERROR(__xludf.DUMMYFUNCTION("""COMPUTED_VALUE"""),"範囲(大)")</f>
        <v>範囲(大)</v>
      </c>
      <c r="AJ99" s="308">
        <f>IFERROR(__xludf.DUMMYFUNCTION("""COMPUTED_VALUE"""),2.0)</f>
        <v>2</v>
      </c>
      <c r="AK99" s="274" t="str">
        <f>IFERROR(__xludf.DUMMYFUNCTION("""COMPUTED_VALUE"""),"発動確率")</f>
        <v>発動確率</v>
      </c>
      <c r="AL99" s="321">
        <f>IFERROR(__xludf.DUMMYFUNCTION("""COMPUTED_VALUE"""),100.0)</f>
        <v>100</v>
      </c>
      <c r="AM99" s="322">
        <f>IFERROR(__xludf.DUMMYFUNCTION("""COMPUTED_VALUE"""),100.0)</f>
        <v>100</v>
      </c>
      <c r="AN99" s="322">
        <f>IFERROR(__xludf.DUMMYFUNCTION("""COMPUTED_VALUE"""),100.0)</f>
        <v>100</v>
      </c>
      <c r="AO99" s="322">
        <f>IFERROR(__xludf.DUMMYFUNCTION("""COMPUTED_VALUE"""),100.0)</f>
        <v>100</v>
      </c>
      <c r="AP99" s="322">
        <f>IFERROR(__xludf.DUMMYFUNCTION("""COMPUTED_VALUE"""),100.0)</f>
        <v>100</v>
      </c>
      <c r="AQ99" s="322">
        <f>IFERROR(__xludf.DUMMYFUNCTION("""COMPUTED_VALUE"""),100.0)</f>
        <v>100</v>
      </c>
      <c r="AR99" s="322">
        <f>IFERROR(__xludf.DUMMYFUNCTION("""COMPUTED_VALUE"""),100.0)</f>
        <v>100</v>
      </c>
      <c r="AS99" s="354">
        <f>IFERROR(__xludf.DUMMYFUNCTION("""COMPUTED_VALUE"""),100.0)</f>
        <v>100</v>
      </c>
      <c r="AT99" s="276" t="str">
        <f>IFERROR(__xludf.DUMMYFUNCTION("""COMPUTED_VALUE"""),"範囲(特大)")</f>
        <v>範囲(特大)</v>
      </c>
      <c r="AU99" s="308">
        <f>IFERROR(__xludf.DUMMYFUNCTION("""COMPUTED_VALUE"""),2.0)</f>
        <v>2</v>
      </c>
      <c r="AV99" s="274" t="str">
        <f>IFERROR(__xludf.DUMMYFUNCTION("""COMPUTED_VALUE"""),"発動確率")</f>
        <v>発動確率</v>
      </c>
      <c r="AW99" s="321">
        <f>IFERROR(__xludf.DUMMYFUNCTION("""COMPUTED_VALUE"""),100.0)</f>
        <v>100</v>
      </c>
      <c r="AX99" s="322">
        <f>IFERROR(__xludf.DUMMYFUNCTION("""COMPUTED_VALUE"""),100.0)</f>
        <v>100</v>
      </c>
      <c r="AY99" s="322">
        <f>IFERROR(__xludf.DUMMYFUNCTION("""COMPUTED_VALUE"""),100.0)</f>
        <v>100</v>
      </c>
      <c r="AZ99" s="322">
        <f>IFERROR(__xludf.DUMMYFUNCTION("""COMPUTED_VALUE"""),100.0)</f>
        <v>100</v>
      </c>
      <c r="BA99" s="322">
        <f>IFERROR(__xludf.DUMMYFUNCTION("""COMPUTED_VALUE"""),100.0)</f>
        <v>100</v>
      </c>
      <c r="BB99" s="322">
        <f>IFERROR(__xludf.DUMMYFUNCTION("""COMPUTED_VALUE"""),100.0)</f>
        <v>100</v>
      </c>
      <c r="BC99" s="322">
        <f>IFERROR(__xludf.DUMMYFUNCTION("""COMPUTED_VALUE"""),100.0)</f>
        <v>100</v>
      </c>
      <c r="BD99" s="354">
        <f>IFERROR(__xludf.DUMMYFUNCTION("""COMPUTED_VALUE"""),100.0)</f>
        <v>100</v>
      </c>
      <c r="BE99" s="279" t="str">
        <f>IFERROR(__xludf.DUMMYFUNCTION("""COMPUTED_VALUE"""),"範囲(小：威力減)")</f>
        <v>範囲(小：威力減)</v>
      </c>
      <c r="BF99" s="308">
        <f>IFERROR(__xludf.DUMMYFUNCTION("""COMPUTED_VALUE"""),2.0)</f>
        <v>2</v>
      </c>
      <c r="BG99" s="274" t="str">
        <f>IFERROR(__xludf.DUMMYFUNCTION("""COMPUTED_VALUE"""),"発動確率")</f>
        <v>発動確率</v>
      </c>
      <c r="BH99" s="321">
        <f>IFERROR(__xludf.DUMMYFUNCTION("""COMPUTED_VALUE"""),100.0)</f>
        <v>100</v>
      </c>
      <c r="BI99" s="322">
        <f>IFERROR(__xludf.DUMMYFUNCTION("""COMPUTED_VALUE"""),100.0)</f>
        <v>100</v>
      </c>
      <c r="BJ99" s="322">
        <f>IFERROR(__xludf.DUMMYFUNCTION("""COMPUTED_VALUE"""),100.0)</f>
        <v>100</v>
      </c>
      <c r="BK99" s="322">
        <f>IFERROR(__xludf.DUMMYFUNCTION("""COMPUTED_VALUE"""),100.0)</f>
        <v>100</v>
      </c>
      <c r="BL99" s="322">
        <f>IFERROR(__xludf.DUMMYFUNCTION("""COMPUTED_VALUE"""),100.0)</f>
        <v>100</v>
      </c>
      <c r="BM99" s="322">
        <f>IFERROR(__xludf.DUMMYFUNCTION("""COMPUTED_VALUE"""),100.0)</f>
        <v>100</v>
      </c>
      <c r="BN99" s="322">
        <f>IFERROR(__xludf.DUMMYFUNCTION("""COMPUTED_VALUE"""),100.0)</f>
        <v>100</v>
      </c>
      <c r="BO99" s="354">
        <f>IFERROR(__xludf.DUMMYFUNCTION("""COMPUTED_VALUE"""),100.0)</f>
        <v>100</v>
      </c>
    </row>
    <row r="100">
      <c r="A100" s="307" t="str">
        <f>IFERROR(__xludf.DUMMYFUNCTION("""COMPUTED_VALUE"""),"毒")</f>
        <v>毒</v>
      </c>
      <c r="B100" s="272" t="str">
        <f>IFERROR(__xludf.DUMMYFUNCTION("""COMPUTED_VALUE"""),"単体")</f>
        <v>単体</v>
      </c>
      <c r="C100" s="316">
        <f>IFERROR(__xludf.DUMMYFUNCTION("""COMPUTED_VALUE"""),3.0)</f>
        <v>3</v>
      </c>
      <c r="D100" s="342" t="str">
        <f>IFERROR(__xludf.DUMMYFUNCTION("""COMPUTED_VALUE"""),"効果値")</f>
        <v>効果値</v>
      </c>
      <c r="E100" s="368">
        <f>IFERROR(__xludf.DUMMYFUNCTION("""COMPUTED_VALUE"""),2.0)</f>
        <v>2</v>
      </c>
      <c r="F100" s="368">
        <f>IFERROR(__xludf.DUMMYFUNCTION("""COMPUTED_VALUE"""),2.0)</f>
        <v>2</v>
      </c>
      <c r="G100" s="368">
        <f>IFERROR(__xludf.DUMMYFUNCTION("""COMPUTED_VALUE"""),2.0)</f>
        <v>2</v>
      </c>
      <c r="H100" s="368">
        <f>IFERROR(__xludf.DUMMYFUNCTION("""COMPUTED_VALUE"""),2.0)</f>
        <v>2</v>
      </c>
      <c r="I100" s="368">
        <f>IFERROR(__xludf.DUMMYFUNCTION("""COMPUTED_VALUE"""),2.0)</f>
        <v>2</v>
      </c>
      <c r="J100" s="368">
        <f>IFERROR(__xludf.DUMMYFUNCTION("""COMPUTED_VALUE"""),2.0)</f>
        <v>2</v>
      </c>
      <c r="K100" s="368">
        <f>IFERROR(__xludf.DUMMYFUNCTION("""COMPUTED_VALUE"""),2.0)</f>
        <v>2</v>
      </c>
      <c r="L100" s="368">
        <f>IFERROR(__xludf.DUMMYFUNCTION("""COMPUTED_VALUE"""),2.0)</f>
        <v>2</v>
      </c>
      <c r="M100" s="276" t="str">
        <f>IFERROR(__xludf.DUMMYFUNCTION("""COMPUTED_VALUE"""),"範囲(小)")</f>
        <v>範囲(小)</v>
      </c>
      <c r="N100" s="316">
        <f>IFERROR(__xludf.DUMMYFUNCTION("""COMPUTED_VALUE"""),3.0)</f>
        <v>3</v>
      </c>
      <c r="O100" s="342" t="str">
        <f>IFERROR(__xludf.DUMMYFUNCTION("""COMPUTED_VALUE"""),"効果値")</f>
        <v>効果値</v>
      </c>
      <c r="P100" s="369">
        <f>IFERROR(__xludf.DUMMYFUNCTION("""COMPUTED_VALUE"""),1.0)</f>
        <v>1</v>
      </c>
      <c r="Q100" s="369">
        <f>IFERROR(__xludf.DUMMYFUNCTION("""COMPUTED_VALUE"""),1.0)</f>
        <v>1</v>
      </c>
      <c r="R100" s="369">
        <f>IFERROR(__xludf.DUMMYFUNCTION("""COMPUTED_VALUE"""),1.0)</f>
        <v>1</v>
      </c>
      <c r="S100" s="369">
        <f>IFERROR(__xludf.DUMMYFUNCTION("""COMPUTED_VALUE"""),1.0)</f>
        <v>1</v>
      </c>
      <c r="T100" s="369">
        <f>IFERROR(__xludf.DUMMYFUNCTION("""COMPUTED_VALUE"""),1.0)</f>
        <v>1</v>
      </c>
      <c r="U100" s="369">
        <f>IFERROR(__xludf.DUMMYFUNCTION("""COMPUTED_VALUE"""),1.0)</f>
        <v>1</v>
      </c>
      <c r="V100" s="369">
        <f>IFERROR(__xludf.DUMMYFUNCTION("""COMPUTED_VALUE"""),1.0)</f>
        <v>1</v>
      </c>
      <c r="W100" s="370">
        <f>IFERROR(__xludf.DUMMYFUNCTION("""COMPUTED_VALUE"""),1.0)</f>
        <v>1</v>
      </c>
      <c r="X100" s="276" t="str">
        <f>IFERROR(__xludf.DUMMYFUNCTION("""COMPUTED_VALUE"""),"範囲(中)")</f>
        <v>範囲(中)</v>
      </c>
      <c r="Y100" s="316">
        <f>IFERROR(__xludf.DUMMYFUNCTION("""COMPUTED_VALUE"""),3.0)</f>
        <v>3</v>
      </c>
      <c r="Z100" s="342" t="str">
        <f>IFERROR(__xludf.DUMMYFUNCTION("""COMPUTED_VALUE"""),"効果値")</f>
        <v>効果値</v>
      </c>
      <c r="AA100" s="369">
        <f>IFERROR(__xludf.DUMMYFUNCTION("""COMPUTED_VALUE"""),1.0)</f>
        <v>1</v>
      </c>
      <c r="AB100" s="369">
        <f>IFERROR(__xludf.DUMMYFUNCTION("""COMPUTED_VALUE"""),1.0)</f>
        <v>1</v>
      </c>
      <c r="AC100" s="369">
        <f>IFERROR(__xludf.DUMMYFUNCTION("""COMPUTED_VALUE"""),1.0)</f>
        <v>1</v>
      </c>
      <c r="AD100" s="369">
        <f>IFERROR(__xludf.DUMMYFUNCTION("""COMPUTED_VALUE"""),1.0)</f>
        <v>1</v>
      </c>
      <c r="AE100" s="369">
        <f>IFERROR(__xludf.DUMMYFUNCTION("""COMPUTED_VALUE"""),1.0)</f>
        <v>1</v>
      </c>
      <c r="AF100" s="369">
        <f>IFERROR(__xludf.DUMMYFUNCTION("""COMPUTED_VALUE"""),1.0)</f>
        <v>1</v>
      </c>
      <c r="AG100" s="369">
        <f>IFERROR(__xludf.DUMMYFUNCTION("""COMPUTED_VALUE"""),1.0)</f>
        <v>1</v>
      </c>
      <c r="AH100" s="370">
        <f>IFERROR(__xludf.DUMMYFUNCTION("""COMPUTED_VALUE"""),1.0)</f>
        <v>1</v>
      </c>
      <c r="AI100" s="276" t="str">
        <f>IFERROR(__xludf.DUMMYFUNCTION("""COMPUTED_VALUE"""),"範囲(大)")</f>
        <v>範囲(大)</v>
      </c>
      <c r="AJ100" s="316">
        <f>IFERROR(__xludf.DUMMYFUNCTION("""COMPUTED_VALUE"""),3.0)</f>
        <v>3</v>
      </c>
      <c r="AK100" s="342" t="str">
        <f>IFERROR(__xludf.DUMMYFUNCTION("""COMPUTED_VALUE"""),"効果値")</f>
        <v>効果値</v>
      </c>
      <c r="AL100" s="369">
        <f>IFERROR(__xludf.DUMMYFUNCTION("""COMPUTED_VALUE"""),1.0)</f>
        <v>1</v>
      </c>
      <c r="AM100" s="369">
        <f>IFERROR(__xludf.DUMMYFUNCTION("""COMPUTED_VALUE"""),1.0)</f>
        <v>1</v>
      </c>
      <c r="AN100" s="369">
        <f>IFERROR(__xludf.DUMMYFUNCTION("""COMPUTED_VALUE"""),1.0)</f>
        <v>1</v>
      </c>
      <c r="AO100" s="369">
        <f>IFERROR(__xludf.DUMMYFUNCTION("""COMPUTED_VALUE"""),1.0)</f>
        <v>1</v>
      </c>
      <c r="AP100" s="369">
        <f>IFERROR(__xludf.DUMMYFUNCTION("""COMPUTED_VALUE"""),1.0)</f>
        <v>1</v>
      </c>
      <c r="AQ100" s="369">
        <f>IFERROR(__xludf.DUMMYFUNCTION("""COMPUTED_VALUE"""),1.0)</f>
        <v>1</v>
      </c>
      <c r="AR100" s="369">
        <f>IFERROR(__xludf.DUMMYFUNCTION("""COMPUTED_VALUE"""),1.0)</f>
        <v>1</v>
      </c>
      <c r="AS100" s="370">
        <f>IFERROR(__xludf.DUMMYFUNCTION("""COMPUTED_VALUE"""),1.0)</f>
        <v>1</v>
      </c>
      <c r="AT100" s="276" t="str">
        <f>IFERROR(__xludf.DUMMYFUNCTION("""COMPUTED_VALUE"""),"範囲(特大)")</f>
        <v>範囲(特大)</v>
      </c>
      <c r="AU100" s="316">
        <f>IFERROR(__xludf.DUMMYFUNCTION("""COMPUTED_VALUE"""),3.0)</f>
        <v>3</v>
      </c>
      <c r="AV100" s="342" t="str">
        <f>IFERROR(__xludf.DUMMYFUNCTION("""COMPUTED_VALUE"""),"効果値")</f>
        <v>効果値</v>
      </c>
      <c r="AW100" s="369">
        <f>IFERROR(__xludf.DUMMYFUNCTION("""COMPUTED_VALUE"""),1.0)</f>
        <v>1</v>
      </c>
      <c r="AX100" s="369">
        <f>IFERROR(__xludf.DUMMYFUNCTION("""COMPUTED_VALUE"""),1.0)</f>
        <v>1</v>
      </c>
      <c r="AY100" s="369">
        <f>IFERROR(__xludf.DUMMYFUNCTION("""COMPUTED_VALUE"""),1.0)</f>
        <v>1</v>
      </c>
      <c r="AZ100" s="369">
        <f>IFERROR(__xludf.DUMMYFUNCTION("""COMPUTED_VALUE"""),1.0)</f>
        <v>1</v>
      </c>
      <c r="BA100" s="369">
        <f>IFERROR(__xludf.DUMMYFUNCTION("""COMPUTED_VALUE"""),1.0)</f>
        <v>1</v>
      </c>
      <c r="BB100" s="369">
        <f>IFERROR(__xludf.DUMMYFUNCTION("""COMPUTED_VALUE"""),1.0)</f>
        <v>1</v>
      </c>
      <c r="BC100" s="369">
        <f>IFERROR(__xludf.DUMMYFUNCTION("""COMPUTED_VALUE"""),1.0)</f>
        <v>1</v>
      </c>
      <c r="BD100" s="370">
        <f>IFERROR(__xludf.DUMMYFUNCTION("""COMPUTED_VALUE"""),1.0)</f>
        <v>1</v>
      </c>
      <c r="BE100" s="279" t="str">
        <f>IFERROR(__xludf.DUMMYFUNCTION("""COMPUTED_VALUE"""),"範囲(小：威力減)")</f>
        <v>範囲(小：威力減)</v>
      </c>
      <c r="BF100" s="316">
        <f>IFERROR(__xludf.DUMMYFUNCTION("""COMPUTED_VALUE"""),3.0)</f>
        <v>3</v>
      </c>
      <c r="BG100" s="342" t="str">
        <f>IFERROR(__xludf.DUMMYFUNCTION("""COMPUTED_VALUE"""),"効果値")</f>
        <v>効果値</v>
      </c>
      <c r="BH100" s="369">
        <f>IFERROR(__xludf.DUMMYFUNCTION("""COMPUTED_VALUE"""),1.0)</f>
        <v>1</v>
      </c>
      <c r="BI100" s="369">
        <f>IFERROR(__xludf.DUMMYFUNCTION("""COMPUTED_VALUE"""),1.0)</f>
        <v>1</v>
      </c>
      <c r="BJ100" s="369">
        <f>IFERROR(__xludf.DUMMYFUNCTION("""COMPUTED_VALUE"""),1.0)</f>
        <v>1</v>
      </c>
      <c r="BK100" s="369">
        <f>IFERROR(__xludf.DUMMYFUNCTION("""COMPUTED_VALUE"""),1.0)</f>
        <v>1</v>
      </c>
      <c r="BL100" s="369">
        <f>IFERROR(__xludf.DUMMYFUNCTION("""COMPUTED_VALUE"""),1.0)</f>
        <v>1</v>
      </c>
      <c r="BM100" s="369">
        <f>IFERROR(__xludf.DUMMYFUNCTION("""COMPUTED_VALUE"""),1.0)</f>
        <v>1</v>
      </c>
      <c r="BN100" s="369">
        <f>IFERROR(__xludf.DUMMYFUNCTION("""COMPUTED_VALUE"""),1.0)</f>
        <v>1</v>
      </c>
      <c r="BO100" s="370">
        <f>IFERROR(__xludf.DUMMYFUNCTION("""COMPUTED_VALUE"""),1.0)</f>
        <v>1</v>
      </c>
    </row>
    <row r="101">
      <c r="A101" s="307" t="str">
        <f>IFERROR(__xludf.DUMMYFUNCTION("""COMPUTED_VALUE"""),"毒")</f>
        <v>毒</v>
      </c>
      <c r="B101" s="272" t="str">
        <f>IFERROR(__xludf.DUMMYFUNCTION("""COMPUTED_VALUE"""),"単体")</f>
        <v>単体</v>
      </c>
      <c r="C101" s="308">
        <f>IFERROR(__xludf.DUMMYFUNCTION("""COMPUTED_VALUE"""),3.0)</f>
        <v>3</v>
      </c>
      <c r="D101" s="274" t="str">
        <f>IFERROR(__xludf.DUMMYFUNCTION("""COMPUTED_VALUE"""),"効果時間")</f>
        <v>効果時間</v>
      </c>
      <c r="E101" s="317">
        <f>IFERROR(__xludf.DUMMYFUNCTION("""COMPUTED_VALUE"""),150.0)</f>
        <v>150</v>
      </c>
      <c r="F101" s="344">
        <f>IFERROR(__xludf.DUMMYFUNCTION("""COMPUTED_VALUE"""),150.0)</f>
        <v>150</v>
      </c>
      <c r="G101" s="344">
        <f>IFERROR(__xludf.DUMMYFUNCTION("""COMPUTED_VALUE"""),300.0)</f>
        <v>300</v>
      </c>
      <c r="H101" s="344">
        <f>IFERROR(__xludf.DUMMYFUNCTION("""COMPUTED_VALUE"""),300.0)</f>
        <v>300</v>
      </c>
      <c r="I101" s="344">
        <f>IFERROR(__xludf.DUMMYFUNCTION("""COMPUTED_VALUE"""),300.0)</f>
        <v>300</v>
      </c>
      <c r="J101" s="344">
        <f>IFERROR(__xludf.DUMMYFUNCTION("""COMPUTED_VALUE"""),300.0)</f>
        <v>300</v>
      </c>
      <c r="K101" s="344">
        <f>IFERROR(__xludf.DUMMYFUNCTION("""COMPUTED_VALUE"""),300.0)</f>
        <v>300</v>
      </c>
      <c r="L101" s="345">
        <f>IFERROR(__xludf.DUMMYFUNCTION("""COMPUTED_VALUE"""),300.0)</f>
        <v>300</v>
      </c>
      <c r="M101" s="276" t="str">
        <f>IFERROR(__xludf.DUMMYFUNCTION("""COMPUTED_VALUE"""),"範囲(小)")</f>
        <v>範囲(小)</v>
      </c>
      <c r="N101" s="308">
        <f>IFERROR(__xludf.DUMMYFUNCTION("""COMPUTED_VALUE"""),3.0)</f>
        <v>3</v>
      </c>
      <c r="O101" s="274" t="str">
        <f>IFERROR(__xludf.DUMMYFUNCTION("""COMPUTED_VALUE"""),"効果時間")</f>
        <v>効果時間</v>
      </c>
      <c r="P101" s="297">
        <f>IFERROR(__xludf.DUMMYFUNCTION("""COMPUTED_VALUE"""),150.0)</f>
        <v>150</v>
      </c>
      <c r="Q101" s="366">
        <f>IFERROR(__xludf.DUMMYFUNCTION("""COMPUTED_VALUE"""),150.0)</f>
        <v>150</v>
      </c>
      <c r="R101" s="366">
        <f>IFERROR(__xludf.DUMMYFUNCTION("""COMPUTED_VALUE"""),300.0)</f>
        <v>300</v>
      </c>
      <c r="S101" s="366">
        <f>IFERROR(__xludf.DUMMYFUNCTION("""COMPUTED_VALUE"""),300.0)</f>
        <v>300</v>
      </c>
      <c r="T101" s="366">
        <f>IFERROR(__xludf.DUMMYFUNCTION("""COMPUTED_VALUE"""),300.0)</f>
        <v>300</v>
      </c>
      <c r="U101" s="366">
        <f>IFERROR(__xludf.DUMMYFUNCTION("""COMPUTED_VALUE"""),300.0)</f>
        <v>300</v>
      </c>
      <c r="V101" s="366">
        <f>IFERROR(__xludf.DUMMYFUNCTION("""COMPUTED_VALUE"""),300.0)</f>
        <v>300</v>
      </c>
      <c r="W101" s="367">
        <f>IFERROR(__xludf.DUMMYFUNCTION("""COMPUTED_VALUE"""),300.0)</f>
        <v>300</v>
      </c>
      <c r="X101" s="276" t="str">
        <f>IFERROR(__xludf.DUMMYFUNCTION("""COMPUTED_VALUE"""),"範囲(中)")</f>
        <v>範囲(中)</v>
      </c>
      <c r="Y101" s="308">
        <f>IFERROR(__xludf.DUMMYFUNCTION("""COMPUTED_VALUE"""),3.0)</f>
        <v>3</v>
      </c>
      <c r="Z101" s="274" t="str">
        <f>IFERROR(__xludf.DUMMYFUNCTION("""COMPUTED_VALUE"""),"効果時間")</f>
        <v>効果時間</v>
      </c>
      <c r="AA101" s="297">
        <f>IFERROR(__xludf.DUMMYFUNCTION("""COMPUTED_VALUE"""),150.0)</f>
        <v>150</v>
      </c>
      <c r="AB101" s="366">
        <f>IFERROR(__xludf.DUMMYFUNCTION("""COMPUTED_VALUE"""),150.0)</f>
        <v>150</v>
      </c>
      <c r="AC101" s="366">
        <f>IFERROR(__xludf.DUMMYFUNCTION("""COMPUTED_VALUE"""),300.0)</f>
        <v>300</v>
      </c>
      <c r="AD101" s="366">
        <f>IFERROR(__xludf.DUMMYFUNCTION("""COMPUTED_VALUE"""),300.0)</f>
        <v>300</v>
      </c>
      <c r="AE101" s="366">
        <f>IFERROR(__xludf.DUMMYFUNCTION("""COMPUTED_VALUE"""),300.0)</f>
        <v>300</v>
      </c>
      <c r="AF101" s="366">
        <f>IFERROR(__xludf.DUMMYFUNCTION("""COMPUTED_VALUE"""),300.0)</f>
        <v>300</v>
      </c>
      <c r="AG101" s="366">
        <f>IFERROR(__xludf.DUMMYFUNCTION("""COMPUTED_VALUE"""),300.0)</f>
        <v>300</v>
      </c>
      <c r="AH101" s="367">
        <f>IFERROR(__xludf.DUMMYFUNCTION("""COMPUTED_VALUE"""),300.0)</f>
        <v>300</v>
      </c>
      <c r="AI101" s="276" t="str">
        <f>IFERROR(__xludf.DUMMYFUNCTION("""COMPUTED_VALUE"""),"範囲(大)")</f>
        <v>範囲(大)</v>
      </c>
      <c r="AJ101" s="308">
        <f>IFERROR(__xludf.DUMMYFUNCTION("""COMPUTED_VALUE"""),3.0)</f>
        <v>3</v>
      </c>
      <c r="AK101" s="274" t="str">
        <f>IFERROR(__xludf.DUMMYFUNCTION("""COMPUTED_VALUE"""),"効果時間")</f>
        <v>効果時間</v>
      </c>
      <c r="AL101" s="297">
        <f>IFERROR(__xludf.DUMMYFUNCTION("""COMPUTED_VALUE"""),150.0)</f>
        <v>150</v>
      </c>
      <c r="AM101" s="366">
        <f>IFERROR(__xludf.DUMMYFUNCTION("""COMPUTED_VALUE"""),150.0)</f>
        <v>150</v>
      </c>
      <c r="AN101" s="366">
        <f>IFERROR(__xludf.DUMMYFUNCTION("""COMPUTED_VALUE"""),300.0)</f>
        <v>300</v>
      </c>
      <c r="AO101" s="366">
        <f>IFERROR(__xludf.DUMMYFUNCTION("""COMPUTED_VALUE"""),300.0)</f>
        <v>300</v>
      </c>
      <c r="AP101" s="366">
        <f>IFERROR(__xludf.DUMMYFUNCTION("""COMPUTED_VALUE"""),300.0)</f>
        <v>300</v>
      </c>
      <c r="AQ101" s="366">
        <f>IFERROR(__xludf.DUMMYFUNCTION("""COMPUTED_VALUE"""),300.0)</f>
        <v>300</v>
      </c>
      <c r="AR101" s="366">
        <f>IFERROR(__xludf.DUMMYFUNCTION("""COMPUTED_VALUE"""),300.0)</f>
        <v>300</v>
      </c>
      <c r="AS101" s="367">
        <f>IFERROR(__xludf.DUMMYFUNCTION("""COMPUTED_VALUE"""),300.0)</f>
        <v>300</v>
      </c>
      <c r="AT101" s="276" t="str">
        <f>IFERROR(__xludf.DUMMYFUNCTION("""COMPUTED_VALUE"""),"範囲(特大)")</f>
        <v>範囲(特大)</v>
      </c>
      <c r="AU101" s="308">
        <f>IFERROR(__xludf.DUMMYFUNCTION("""COMPUTED_VALUE"""),3.0)</f>
        <v>3</v>
      </c>
      <c r="AV101" s="274" t="str">
        <f>IFERROR(__xludf.DUMMYFUNCTION("""COMPUTED_VALUE"""),"効果時間")</f>
        <v>効果時間</v>
      </c>
      <c r="AW101" s="297">
        <f>IFERROR(__xludf.DUMMYFUNCTION("""COMPUTED_VALUE"""),150.0)</f>
        <v>150</v>
      </c>
      <c r="AX101" s="366">
        <f>IFERROR(__xludf.DUMMYFUNCTION("""COMPUTED_VALUE"""),150.0)</f>
        <v>150</v>
      </c>
      <c r="AY101" s="366">
        <f>IFERROR(__xludf.DUMMYFUNCTION("""COMPUTED_VALUE"""),300.0)</f>
        <v>300</v>
      </c>
      <c r="AZ101" s="366">
        <f>IFERROR(__xludf.DUMMYFUNCTION("""COMPUTED_VALUE"""),300.0)</f>
        <v>300</v>
      </c>
      <c r="BA101" s="366">
        <f>IFERROR(__xludf.DUMMYFUNCTION("""COMPUTED_VALUE"""),300.0)</f>
        <v>300</v>
      </c>
      <c r="BB101" s="366">
        <f>IFERROR(__xludf.DUMMYFUNCTION("""COMPUTED_VALUE"""),300.0)</f>
        <v>300</v>
      </c>
      <c r="BC101" s="366">
        <f>IFERROR(__xludf.DUMMYFUNCTION("""COMPUTED_VALUE"""),300.0)</f>
        <v>300</v>
      </c>
      <c r="BD101" s="367">
        <f>IFERROR(__xludf.DUMMYFUNCTION("""COMPUTED_VALUE"""),300.0)</f>
        <v>300</v>
      </c>
      <c r="BE101" s="279" t="str">
        <f>IFERROR(__xludf.DUMMYFUNCTION("""COMPUTED_VALUE"""),"範囲(小：威力減)")</f>
        <v>範囲(小：威力減)</v>
      </c>
      <c r="BF101" s="308">
        <f>IFERROR(__xludf.DUMMYFUNCTION("""COMPUTED_VALUE"""),3.0)</f>
        <v>3</v>
      </c>
      <c r="BG101" s="274" t="str">
        <f>IFERROR(__xludf.DUMMYFUNCTION("""COMPUTED_VALUE"""),"効果時間")</f>
        <v>効果時間</v>
      </c>
      <c r="BH101" s="297">
        <f>IFERROR(__xludf.DUMMYFUNCTION("""COMPUTED_VALUE"""),150.0)</f>
        <v>150</v>
      </c>
      <c r="BI101" s="366">
        <f>IFERROR(__xludf.DUMMYFUNCTION("""COMPUTED_VALUE"""),150.0)</f>
        <v>150</v>
      </c>
      <c r="BJ101" s="366">
        <f>IFERROR(__xludf.DUMMYFUNCTION("""COMPUTED_VALUE"""),300.0)</f>
        <v>300</v>
      </c>
      <c r="BK101" s="366">
        <f>IFERROR(__xludf.DUMMYFUNCTION("""COMPUTED_VALUE"""),300.0)</f>
        <v>300</v>
      </c>
      <c r="BL101" s="366">
        <f>IFERROR(__xludf.DUMMYFUNCTION("""COMPUTED_VALUE"""),300.0)</f>
        <v>300</v>
      </c>
      <c r="BM101" s="366">
        <f>IFERROR(__xludf.DUMMYFUNCTION("""COMPUTED_VALUE"""),300.0)</f>
        <v>300</v>
      </c>
      <c r="BN101" s="366">
        <f>IFERROR(__xludf.DUMMYFUNCTION("""COMPUTED_VALUE"""),300.0)</f>
        <v>300</v>
      </c>
      <c r="BO101" s="367">
        <f>IFERROR(__xludf.DUMMYFUNCTION("""COMPUTED_VALUE"""),300.0)</f>
        <v>300</v>
      </c>
    </row>
    <row r="102">
      <c r="A102" s="307" t="str">
        <f>IFERROR(__xludf.DUMMYFUNCTION("""COMPUTED_VALUE"""),"毒")</f>
        <v>毒</v>
      </c>
      <c r="B102" s="272" t="str">
        <f>IFERROR(__xludf.DUMMYFUNCTION("""COMPUTED_VALUE"""),"単体")</f>
        <v>単体</v>
      </c>
      <c r="C102" s="308">
        <f>IFERROR(__xludf.DUMMYFUNCTION("""COMPUTED_VALUE"""),3.0)</f>
        <v>3</v>
      </c>
      <c r="D102" s="274" t="str">
        <f>IFERROR(__xludf.DUMMYFUNCTION("""COMPUTED_VALUE"""),"発動確率")</f>
        <v>発動確率</v>
      </c>
      <c r="E102" s="309">
        <f>IFERROR(__xludf.DUMMYFUNCTION("""COMPUTED_VALUE"""),100.0)</f>
        <v>100</v>
      </c>
      <c r="F102" s="310">
        <f>IFERROR(__xludf.DUMMYFUNCTION("""COMPUTED_VALUE"""),100.0)</f>
        <v>100</v>
      </c>
      <c r="G102" s="310">
        <f>IFERROR(__xludf.DUMMYFUNCTION("""COMPUTED_VALUE"""),100.0)</f>
        <v>100</v>
      </c>
      <c r="H102" s="310">
        <f>IFERROR(__xludf.DUMMYFUNCTION("""COMPUTED_VALUE"""),100.0)</f>
        <v>100</v>
      </c>
      <c r="I102" s="310">
        <f>IFERROR(__xludf.DUMMYFUNCTION("""COMPUTED_VALUE"""),100.0)</f>
        <v>100</v>
      </c>
      <c r="J102" s="310">
        <f>IFERROR(__xludf.DUMMYFUNCTION("""COMPUTED_VALUE"""),100.0)</f>
        <v>100</v>
      </c>
      <c r="K102" s="310">
        <f>IFERROR(__xludf.DUMMYFUNCTION("""COMPUTED_VALUE"""),100.0)</f>
        <v>100</v>
      </c>
      <c r="L102" s="311">
        <f>IFERROR(__xludf.DUMMYFUNCTION("""COMPUTED_VALUE"""),100.0)</f>
        <v>100</v>
      </c>
      <c r="M102" s="276" t="str">
        <f>IFERROR(__xludf.DUMMYFUNCTION("""COMPUTED_VALUE"""),"範囲(小)")</f>
        <v>範囲(小)</v>
      </c>
      <c r="N102" s="308">
        <f>IFERROR(__xludf.DUMMYFUNCTION("""COMPUTED_VALUE"""),3.0)</f>
        <v>3</v>
      </c>
      <c r="O102" s="274" t="str">
        <f>IFERROR(__xludf.DUMMYFUNCTION("""COMPUTED_VALUE"""),"発動確率")</f>
        <v>発動確率</v>
      </c>
      <c r="P102" s="321">
        <f>IFERROR(__xludf.DUMMYFUNCTION("""COMPUTED_VALUE"""),100.0)</f>
        <v>100</v>
      </c>
      <c r="Q102" s="322">
        <f>IFERROR(__xludf.DUMMYFUNCTION("""COMPUTED_VALUE"""),100.0)</f>
        <v>100</v>
      </c>
      <c r="R102" s="322">
        <f>IFERROR(__xludf.DUMMYFUNCTION("""COMPUTED_VALUE"""),100.0)</f>
        <v>100</v>
      </c>
      <c r="S102" s="322">
        <f>IFERROR(__xludf.DUMMYFUNCTION("""COMPUTED_VALUE"""),100.0)</f>
        <v>100</v>
      </c>
      <c r="T102" s="322">
        <f>IFERROR(__xludf.DUMMYFUNCTION("""COMPUTED_VALUE"""),100.0)</f>
        <v>100</v>
      </c>
      <c r="U102" s="322">
        <f>IFERROR(__xludf.DUMMYFUNCTION("""COMPUTED_VALUE"""),100.0)</f>
        <v>100</v>
      </c>
      <c r="V102" s="322">
        <f>IFERROR(__xludf.DUMMYFUNCTION("""COMPUTED_VALUE"""),100.0)</f>
        <v>100</v>
      </c>
      <c r="W102" s="354">
        <f>IFERROR(__xludf.DUMMYFUNCTION("""COMPUTED_VALUE"""),100.0)</f>
        <v>100</v>
      </c>
      <c r="X102" s="276" t="str">
        <f>IFERROR(__xludf.DUMMYFUNCTION("""COMPUTED_VALUE"""),"範囲(中)")</f>
        <v>範囲(中)</v>
      </c>
      <c r="Y102" s="308">
        <f>IFERROR(__xludf.DUMMYFUNCTION("""COMPUTED_VALUE"""),3.0)</f>
        <v>3</v>
      </c>
      <c r="Z102" s="274" t="str">
        <f>IFERROR(__xludf.DUMMYFUNCTION("""COMPUTED_VALUE"""),"発動確率")</f>
        <v>発動確率</v>
      </c>
      <c r="AA102" s="321">
        <f>IFERROR(__xludf.DUMMYFUNCTION("""COMPUTED_VALUE"""),100.0)</f>
        <v>100</v>
      </c>
      <c r="AB102" s="322">
        <f>IFERROR(__xludf.DUMMYFUNCTION("""COMPUTED_VALUE"""),100.0)</f>
        <v>100</v>
      </c>
      <c r="AC102" s="322">
        <f>IFERROR(__xludf.DUMMYFUNCTION("""COMPUTED_VALUE"""),100.0)</f>
        <v>100</v>
      </c>
      <c r="AD102" s="322">
        <f>IFERROR(__xludf.DUMMYFUNCTION("""COMPUTED_VALUE"""),100.0)</f>
        <v>100</v>
      </c>
      <c r="AE102" s="322">
        <f>IFERROR(__xludf.DUMMYFUNCTION("""COMPUTED_VALUE"""),100.0)</f>
        <v>100</v>
      </c>
      <c r="AF102" s="322">
        <f>IFERROR(__xludf.DUMMYFUNCTION("""COMPUTED_VALUE"""),100.0)</f>
        <v>100</v>
      </c>
      <c r="AG102" s="322">
        <f>IFERROR(__xludf.DUMMYFUNCTION("""COMPUTED_VALUE"""),100.0)</f>
        <v>100</v>
      </c>
      <c r="AH102" s="354">
        <f>IFERROR(__xludf.DUMMYFUNCTION("""COMPUTED_VALUE"""),100.0)</f>
        <v>100</v>
      </c>
      <c r="AI102" s="276" t="str">
        <f>IFERROR(__xludf.DUMMYFUNCTION("""COMPUTED_VALUE"""),"範囲(大)")</f>
        <v>範囲(大)</v>
      </c>
      <c r="AJ102" s="308">
        <f>IFERROR(__xludf.DUMMYFUNCTION("""COMPUTED_VALUE"""),3.0)</f>
        <v>3</v>
      </c>
      <c r="AK102" s="274" t="str">
        <f>IFERROR(__xludf.DUMMYFUNCTION("""COMPUTED_VALUE"""),"発動確率")</f>
        <v>発動確率</v>
      </c>
      <c r="AL102" s="321">
        <f>IFERROR(__xludf.DUMMYFUNCTION("""COMPUTED_VALUE"""),100.0)</f>
        <v>100</v>
      </c>
      <c r="AM102" s="322">
        <f>IFERROR(__xludf.DUMMYFUNCTION("""COMPUTED_VALUE"""),100.0)</f>
        <v>100</v>
      </c>
      <c r="AN102" s="322">
        <f>IFERROR(__xludf.DUMMYFUNCTION("""COMPUTED_VALUE"""),100.0)</f>
        <v>100</v>
      </c>
      <c r="AO102" s="322">
        <f>IFERROR(__xludf.DUMMYFUNCTION("""COMPUTED_VALUE"""),100.0)</f>
        <v>100</v>
      </c>
      <c r="AP102" s="322">
        <f>IFERROR(__xludf.DUMMYFUNCTION("""COMPUTED_VALUE"""),100.0)</f>
        <v>100</v>
      </c>
      <c r="AQ102" s="322">
        <f>IFERROR(__xludf.DUMMYFUNCTION("""COMPUTED_VALUE"""),100.0)</f>
        <v>100</v>
      </c>
      <c r="AR102" s="322">
        <f>IFERROR(__xludf.DUMMYFUNCTION("""COMPUTED_VALUE"""),100.0)</f>
        <v>100</v>
      </c>
      <c r="AS102" s="354">
        <f>IFERROR(__xludf.DUMMYFUNCTION("""COMPUTED_VALUE"""),100.0)</f>
        <v>100</v>
      </c>
      <c r="AT102" s="276" t="str">
        <f>IFERROR(__xludf.DUMMYFUNCTION("""COMPUTED_VALUE"""),"範囲(特大)")</f>
        <v>範囲(特大)</v>
      </c>
      <c r="AU102" s="308">
        <f>IFERROR(__xludf.DUMMYFUNCTION("""COMPUTED_VALUE"""),3.0)</f>
        <v>3</v>
      </c>
      <c r="AV102" s="274" t="str">
        <f>IFERROR(__xludf.DUMMYFUNCTION("""COMPUTED_VALUE"""),"発動確率")</f>
        <v>発動確率</v>
      </c>
      <c r="AW102" s="321">
        <f>IFERROR(__xludf.DUMMYFUNCTION("""COMPUTED_VALUE"""),100.0)</f>
        <v>100</v>
      </c>
      <c r="AX102" s="322">
        <f>IFERROR(__xludf.DUMMYFUNCTION("""COMPUTED_VALUE"""),100.0)</f>
        <v>100</v>
      </c>
      <c r="AY102" s="322">
        <f>IFERROR(__xludf.DUMMYFUNCTION("""COMPUTED_VALUE"""),100.0)</f>
        <v>100</v>
      </c>
      <c r="AZ102" s="322">
        <f>IFERROR(__xludf.DUMMYFUNCTION("""COMPUTED_VALUE"""),100.0)</f>
        <v>100</v>
      </c>
      <c r="BA102" s="322">
        <f>IFERROR(__xludf.DUMMYFUNCTION("""COMPUTED_VALUE"""),100.0)</f>
        <v>100</v>
      </c>
      <c r="BB102" s="322">
        <f>IFERROR(__xludf.DUMMYFUNCTION("""COMPUTED_VALUE"""),100.0)</f>
        <v>100</v>
      </c>
      <c r="BC102" s="322">
        <f>IFERROR(__xludf.DUMMYFUNCTION("""COMPUTED_VALUE"""),100.0)</f>
        <v>100</v>
      </c>
      <c r="BD102" s="354">
        <f>IFERROR(__xludf.DUMMYFUNCTION("""COMPUTED_VALUE"""),100.0)</f>
        <v>100</v>
      </c>
      <c r="BE102" s="279" t="str">
        <f>IFERROR(__xludf.DUMMYFUNCTION("""COMPUTED_VALUE"""),"範囲(小：威力減)")</f>
        <v>範囲(小：威力減)</v>
      </c>
      <c r="BF102" s="308">
        <f>IFERROR(__xludf.DUMMYFUNCTION("""COMPUTED_VALUE"""),3.0)</f>
        <v>3</v>
      </c>
      <c r="BG102" s="274" t="str">
        <f>IFERROR(__xludf.DUMMYFUNCTION("""COMPUTED_VALUE"""),"発動確率")</f>
        <v>発動確率</v>
      </c>
      <c r="BH102" s="321">
        <f>IFERROR(__xludf.DUMMYFUNCTION("""COMPUTED_VALUE"""),100.0)</f>
        <v>100</v>
      </c>
      <c r="BI102" s="322">
        <f>IFERROR(__xludf.DUMMYFUNCTION("""COMPUTED_VALUE"""),100.0)</f>
        <v>100</v>
      </c>
      <c r="BJ102" s="322">
        <f>IFERROR(__xludf.DUMMYFUNCTION("""COMPUTED_VALUE"""),100.0)</f>
        <v>100</v>
      </c>
      <c r="BK102" s="322">
        <f>IFERROR(__xludf.DUMMYFUNCTION("""COMPUTED_VALUE"""),100.0)</f>
        <v>100</v>
      </c>
      <c r="BL102" s="322">
        <f>IFERROR(__xludf.DUMMYFUNCTION("""COMPUTED_VALUE"""),100.0)</f>
        <v>100</v>
      </c>
      <c r="BM102" s="322">
        <f>IFERROR(__xludf.DUMMYFUNCTION("""COMPUTED_VALUE"""),100.0)</f>
        <v>100</v>
      </c>
      <c r="BN102" s="322">
        <f>IFERROR(__xludf.DUMMYFUNCTION("""COMPUTED_VALUE"""),100.0)</f>
        <v>100</v>
      </c>
      <c r="BO102" s="354">
        <f>IFERROR(__xludf.DUMMYFUNCTION("""COMPUTED_VALUE"""),100.0)</f>
        <v>100</v>
      </c>
    </row>
    <row r="103">
      <c r="A103" s="307" t="str">
        <f>IFERROR(__xludf.DUMMYFUNCTION("""COMPUTED_VALUE"""),"毒")</f>
        <v>毒</v>
      </c>
      <c r="B103" s="272" t="str">
        <f>IFERROR(__xludf.DUMMYFUNCTION("""COMPUTED_VALUE"""),"単体")</f>
        <v>単体</v>
      </c>
      <c r="C103" s="316">
        <f>IFERROR(__xludf.DUMMYFUNCTION("""COMPUTED_VALUE"""),4.0)</f>
        <v>4</v>
      </c>
      <c r="D103" s="342" t="str">
        <f>IFERROR(__xludf.DUMMYFUNCTION("""COMPUTED_VALUE"""),"効果値")</f>
        <v>効果値</v>
      </c>
      <c r="E103" s="368">
        <f>IFERROR(__xludf.DUMMYFUNCTION("""COMPUTED_VALUE"""),2.0)</f>
        <v>2</v>
      </c>
      <c r="F103" s="368">
        <f>IFERROR(__xludf.DUMMYFUNCTION("""COMPUTED_VALUE"""),2.0)</f>
        <v>2</v>
      </c>
      <c r="G103" s="368">
        <f>IFERROR(__xludf.DUMMYFUNCTION("""COMPUTED_VALUE"""),2.0)</f>
        <v>2</v>
      </c>
      <c r="H103" s="368">
        <f>IFERROR(__xludf.DUMMYFUNCTION("""COMPUTED_VALUE"""),2.0)</f>
        <v>2</v>
      </c>
      <c r="I103" s="368">
        <f>IFERROR(__xludf.DUMMYFUNCTION("""COMPUTED_VALUE"""),2.0)</f>
        <v>2</v>
      </c>
      <c r="J103" s="368">
        <f>IFERROR(__xludf.DUMMYFUNCTION("""COMPUTED_VALUE"""),2.0)</f>
        <v>2</v>
      </c>
      <c r="K103" s="368">
        <f>IFERROR(__xludf.DUMMYFUNCTION("""COMPUTED_VALUE"""),2.0)</f>
        <v>2</v>
      </c>
      <c r="L103" s="368">
        <f>IFERROR(__xludf.DUMMYFUNCTION("""COMPUTED_VALUE"""),2.0)</f>
        <v>2</v>
      </c>
      <c r="M103" s="276" t="str">
        <f>IFERROR(__xludf.DUMMYFUNCTION("""COMPUTED_VALUE"""),"範囲(小)")</f>
        <v>範囲(小)</v>
      </c>
      <c r="N103" s="316">
        <f>IFERROR(__xludf.DUMMYFUNCTION("""COMPUTED_VALUE"""),4.0)</f>
        <v>4</v>
      </c>
      <c r="O103" s="342" t="str">
        <f>IFERROR(__xludf.DUMMYFUNCTION("""COMPUTED_VALUE"""),"効果値")</f>
        <v>効果値</v>
      </c>
      <c r="P103" s="369">
        <f>IFERROR(__xludf.DUMMYFUNCTION("""COMPUTED_VALUE"""),1.0)</f>
        <v>1</v>
      </c>
      <c r="Q103" s="369">
        <f>IFERROR(__xludf.DUMMYFUNCTION("""COMPUTED_VALUE"""),1.0)</f>
        <v>1</v>
      </c>
      <c r="R103" s="369">
        <f>IFERROR(__xludf.DUMMYFUNCTION("""COMPUTED_VALUE"""),1.0)</f>
        <v>1</v>
      </c>
      <c r="S103" s="369">
        <f>IFERROR(__xludf.DUMMYFUNCTION("""COMPUTED_VALUE"""),1.0)</f>
        <v>1</v>
      </c>
      <c r="T103" s="369">
        <f>IFERROR(__xludf.DUMMYFUNCTION("""COMPUTED_VALUE"""),1.0)</f>
        <v>1</v>
      </c>
      <c r="U103" s="369">
        <f>IFERROR(__xludf.DUMMYFUNCTION("""COMPUTED_VALUE"""),1.0)</f>
        <v>1</v>
      </c>
      <c r="V103" s="369">
        <f>IFERROR(__xludf.DUMMYFUNCTION("""COMPUTED_VALUE"""),1.0)</f>
        <v>1</v>
      </c>
      <c r="W103" s="370">
        <f>IFERROR(__xludf.DUMMYFUNCTION("""COMPUTED_VALUE"""),1.0)</f>
        <v>1</v>
      </c>
      <c r="X103" s="276" t="str">
        <f>IFERROR(__xludf.DUMMYFUNCTION("""COMPUTED_VALUE"""),"範囲(中)")</f>
        <v>範囲(中)</v>
      </c>
      <c r="Y103" s="316">
        <f>IFERROR(__xludf.DUMMYFUNCTION("""COMPUTED_VALUE"""),4.0)</f>
        <v>4</v>
      </c>
      <c r="Z103" s="342" t="str">
        <f>IFERROR(__xludf.DUMMYFUNCTION("""COMPUTED_VALUE"""),"効果値")</f>
        <v>効果値</v>
      </c>
      <c r="AA103" s="369">
        <f>IFERROR(__xludf.DUMMYFUNCTION("""COMPUTED_VALUE"""),1.0)</f>
        <v>1</v>
      </c>
      <c r="AB103" s="369">
        <f>IFERROR(__xludf.DUMMYFUNCTION("""COMPUTED_VALUE"""),1.0)</f>
        <v>1</v>
      </c>
      <c r="AC103" s="369">
        <f>IFERROR(__xludf.DUMMYFUNCTION("""COMPUTED_VALUE"""),1.0)</f>
        <v>1</v>
      </c>
      <c r="AD103" s="369">
        <f>IFERROR(__xludf.DUMMYFUNCTION("""COMPUTED_VALUE"""),1.0)</f>
        <v>1</v>
      </c>
      <c r="AE103" s="369">
        <f>IFERROR(__xludf.DUMMYFUNCTION("""COMPUTED_VALUE"""),1.0)</f>
        <v>1</v>
      </c>
      <c r="AF103" s="369">
        <f>IFERROR(__xludf.DUMMYFUNCTION("""COMPUTED_VALUE"""),1.0)</f>
        <v>1</v>
      </c>
      <c r="AG103" s="369">
        <f>IFERROR(__xludf.DUMMYFUNCTION("""COMPUTED_VALUE"""),1.0)</f>
        <v>1</v>
      </c>
      <c r="AH103" s="370">
        <f>IFERROR(__xludf.DUMMYFUNCTION("""COMPUTED_VALUE"""),1.0)</f>
        <v>1</v>
      </c>
      <c r="AI103" s="276" t="str">
        <f>IFERROR(__xludf.DUMMYFUNCTION("""COMPUTED_VALUE"""),"範囲(大)")</f>
        <v>範囲(大)</v>
      </c>
      <c r="AJ103" s="316">
        <f>IFERROR(__xludf.DUMMYFUNCTION("""COMPUTED_VALUE"""),4.0)</f>
        <v>4</v>
      </c>
      <c r="AK103" s="342" t="str">
        <f>IFERROR(__xludf.DUMMYFUNCTION("""COMPUTED_VALUE"""),"効果値")</f>
        <v>効果値</v>
      </c>
      <c r="AL103" s="369">
        <f>IFERROR(__xludf.DUMMYFUNCTION("""COMPUTED_VALUE"""),1.0)</f>
        <v>1</v>
      </c>
      <c r="AM103" s="369">
        <f>IFERROR(__xludf.DUMMYFUNCTION("""COMPUTED_VALUE"""),1.0)</f>
        <v>1</v>
      </c>
      <c r="AN103" s="369">
        <f>IFERROR(__xludf.DUMMYFUNCTION("""COMPUTED_VALUE"""),1.0)</f>
        <v>1</v>
      </c>
      <c r="AO103" s="369">
        <f>IFERROR(__xludf.DUMMYFUNCTION("""COMPUTED_VALUE"""),1.0)</f>
        <v>1</v>
      </c>
      <c r="AP103" s="369">
        <f>IFERROR(__xludf.DUMMYFUNCTION("""COMPUTED_VALUE"""),1.0)</f>
        <v>1</v>
      </c>
      <c r="AQ103" s="369">
        <f>IFERROR(__xludf.DUMMYFUNCTION("""COMPUTED_VALUE"""),1.0)</f>
        <v>1</v>
      </c>
      <c r="AR103" s="369">
        <f>IFERROR(__xludf.DUMMYFUNCTION("""COMPUTED_VALUE"""),1.0)</f>
        <v>1</v>
      </c>
      <c r="AS103" s="370">
        <f>IFERROR(__xludf.DUMMYFUNCTION("""COMPUTED_VALUE"""),1.0)</f>
        <v>1</v>
      </c>
      <c r="AT103" s="276" t="str">
        <f>IFERROR(__xludf.DUMMYFUNCTION("""COMPUTED_VALUE"""),"範囲(特大)")</f>
        <v>範囲(特大)</v>
      </c>
      <c r="AU103" s="316">
        <f>IFERROR(__xludf.DUMMYFUNCTION("""COMPUTED_VALUE"""),4.0)</f>
        <v>4</v>
      </c>
      <c r="AV103" s="342" t="str">
        <f>IFERROR(__xludf.DUMMYFUNCTION("""COMPUTED_VALUE"""),"効果値")</f>
        <v>効果値</v>
      </c>
      <c r="AW103" s="369">
        <f>IFERROR(__xludf.DUMMYFUNCTION("""COMPUTED_VALUE"""),1.0)</f>
        <v>1</v>
      </c>
      <c r="AX103" s="369">
        <f>IFERROR(__xludf.DUMMYFUNCTION("""COMPUTED_VALUE"""),1.0)</f>
        <v>1</v>
      </c>
      <c r="AY103" s="369">
        <f>IFERROR(__xludf.DUMMYFUNCTION("""COMPUTED_VALUE"""),1.0)</f>
        <v>1</v>
      </c>
      <c r="AZ103" s="369">
        <f>IFERROR(__xludf.DUMMYFUNCTION("""COMPUTED_VALUE"""),1.0)</f>
        <v>1</v>
      </c>
      <c r="BA103" s="369">
        <f>IFERROR(__xludf.DUMMYFUNCTION("""COMPUTED_VALUE"""),1.0)</f>
        <v>1</v>
      </c>
      <c r="BB103" s="369">
        <f>IFERROR(__xludf.DUMMYFUNCTION("""COMPUTED_VALUE"""),1.0)</f>
        <v>1</v>
      </c>
      <c r="BC103" s="369">
        <f>IFERROR(__xludf.DUMMYFUNCTION("""COMPUTED_VALUE"""),1.0)</f>
        <v>1</v>
      </c>
      <c r="BD103" s="370">
        <f>IFERROR(__xludf.DUMMYFUNCTION("""COMPUTED_VALUE"""),1.0)</f>
        <v>1</v>
      </c>
      <c r="BE103" s="279" t="str">
        <f>IFERROR(__xludf.DUMMYFUNCTION("""COMPUTED_VALUE"""),"範囲(小：威力減)")</f>
        <v>範囲(小：威力減)</v>
      </c>
      <c r="BF103" s="316">
        <f>IFERROR(__xludf.DUMMYFUNCTION("""COMPUTED_VALUE"""),4.0)</f>
        <v>4</v>
      </c>
      <c r="BG103" s="342" t="str">
        <f>IFERROR(__xludf.DUMMYFUNCTION("""COMPUTED_VALUE"""),"効果値")</f>
        <v>効果値</v>
      </c>
      <c r="BH103" s="369">
        <f>IFERROR(__xludf.DUMMYFUNCTION("""COMPUTED_VALUE"""),1.0)</f>
        <v>1</v>
      </c>
      <c r="BI103" s="369">
        <f>IFERROR(__xludf.DUMMYFUNCTION("""COMPUTED_VALUE"""),1.0)</f>
        <v>1</v>
      </c>
      <c r="BJ103" s="369">
        <f>IFERROR(__xludf.DUMMYFUNCTION("""COMPUTED_VALUE"""),1.0)</f>
        <v>1</v>
      </c>
      <c r="BK103" s="369">
        <f>IFERROR(__xludf.DUMMYFUNCTION("""COMPUTED_VALUE"""),1.0)</f>
        <v>1</v>
      </c>
      <c r="BL103" s="369">
        <f>IFERROR(__xludf.DUMMYFUNCTION("""COMPUTED_VALUE"""),1.0)</f>
        <v>1</v>
      </c>
      <c r="BM103" s="369">
        <f>IFERROR(__xludf.DUMMYFUNCTION("""COMPUTED_VALUE"""),1.0)</f>
        <v>1</v>
      </c>
      <c r="BN103" s="369">
        <f>IFERROR(__xludf.DUMMYFUNCTION("""COMPUTED_VALUE"""),1.0)</f>
        <v>1</v>
      </c>
      <c r="BO103" s="370">
        <f>IFERROR(__xludf.DUMMYFUNCTION("""COMPUTED_VALUE"""),1.0)</f>
        <v>1</v>
      </c>
    </row>
    <row r="104">
      <c r="A104" s="307" t="str">
        <f>IFERROR(__xludf.DUMMYFUNCTION("""COMPUTED_VALUE"""),"毒")</f>
        <v>毒</v>
      </c>
      <c r="B104" s="272" t="str">
        <f>IFERROR(__xludf.DUMMYFUNCTION("""COMPUTED_VALUE"""),"単体")</f>
        <v>単体</v>
      </c>
      <c r="C104" s="308">
        <f>IFERROR(__xludf.DUMMYFUNCTION("""COMPUTED_VALUE"""),4.0)</f>
        <v>4</v>
      </c>
      <c r="D104" s="274" t="str">
        <f>IFERROR(__xludf.DUMMYFUNCTION("""COMPUTED_VALUE"""),"効果時間")</f>
        <v>効果時間</v>
      </c>
      <c r="E104" s="317">
        <f>IFERROR(__xludf.DUMMYFUNCTION("""COMPUTED_VALUE"""),150.0)</f>
        <v>150</v>
      </c>
      <c r="F104" s="344">
        <f>IFERROR(__xludf.DUMMYFUNCTION("""COMPUTED_VALUE"""),150.0)</f>
        <v>150</v>
      </c>
      <c r="G104" s="344">
        <f>IFERROR(__xludf.DUMMYFUNCTION("""COMPUTED_VALUE"""),300.0)</f>
        <v>300</v>
      </c>
      <c r="H104" s="344">
        <f>IFERROR(__xludf.DUMMYFUNCTION("""COMPUTED_VALUE"""),300.0)</f>
        <v>300</v>
      </c>
      <c r="I104" s="344">
        <f>IFERROR(__xludf.DUMMYFUNCTION("""COMPUTED_VALUE"""),300.0)</f>
        <v>300</v>
      </c>
      <c r="J104" s="344">
        <f>IFERROR(__xludf.DUMMYFUNCTION("""COMPUTED_VALUE"""),300.0)</f>
        <v>300</v>
      </c>
      <c r="K104" s="344">
        <f>IFERROR(__xludf.DUMMYFUNCTION("""COMPUTED_VALUE"""),450.0)</f>
        <v>450</v>
      </c>
      <c r="L104" s="345">
        <f>IFERROR(__xludf.DUMMYFUNCTION("""COMPUTED_VALUE"""),450.0)</f>
        <v>450</v>
      </c>
      <c r="M104" s="276" t="str">
        <f>IFERROR(__xludf.DUMMYFUNCTION("""COMPUTED_VALUE"""),"範囲(小)")</f>
        <v>範囲(小)</v>
      </c>
      <c r="N104" s="308">
        <f>IFERROR(__xludf.DUMMYFUNCTION("""COMPUTED_VALUE"""),4.0)</f>
        <v>4</v>
      </c>
      <c r="O104" s="274" t="str">
        <f>IFERROR(__xludf.DUMMYFUNCTION("""COMPUTED_VALUE"""),"効果時間")</f>
        <v>効果時間</v>
      </c>
      <c r="P104" s="297">
        <f>IFERROR(__xludf.DUMMYFUNCTION("""COMPUTED_VALUE"""),150.0)</f>
        <v>150</v>
      </c>
      <c r="Q104" s="366">
        <f>IFERROR(__xludf.DUMMYFUNCTION("""COMPUTED_VALUE"""),150.0)</f>
        <v>150</v>
      </c>
      <c r="R104" s="366">
        <f>IFERROR(__xludf.DUMMYFUNCTION("""COMPUTED_VALUE"""),300.0)</f>
        <v>300</v>
      </c>
      <c r="S104" s="366">
        <f>IFERROR(__xludf.DUMMYFUNCTION("""COMPUTED_VALUE"""),300.0)</f>
        <v>300</v>
      </c>
      <c r="T104" s="366">
        <f>IFERROR(__xludf.DUMMYFUNCTION("""COMPUTED_VALUE"""),300.0)</f>
        <v>300</v>
      </c>
      <c r="U104" s="366">
        <f>IFERROR(__xludf.DUMMYFUNCTION("""COMPUTED_VALUE"""),300.0)</f>
        <v>300</v>
      </c>
      <c r="V104" s="366">
        <f>IFERROR(__xludf.DUMMYFUNCTION("""COMPUTED_VALUE"""),450.0)</f>
        <v>450</v>
      </c>
      <c r="W104" s="367">
        <f>IFERROR(__xludf.DUMMYFUNCTION("""COMPUTED_VALUE"""),450.0)</f>
        <v>450</v>
      </c>
      <c r="X104" s="276" t="str">
        <f>IFERROR(__xludf.DUMMYFUNCTION("""COMPUTED_VALUE"""),"範囲(中)")</f>
        <v>範囲(中)</v>
      </c>
      <c r="Y104" s="308">
        <f>IFERROR(__xludf.DUMMYFUNCTION("""COMPUTED_VALUE"""),4.0)</f>
        <v>4</v>
      </c>
      <c r="Z104" s="274" t="str">
        <f>IFERROR(__xludf.DUMMYFUNCTION("""COMPUTED_VALUE"""),"効果時間")</f>
        <v>効果時間</v>
      </c>
      <c r="AA104" s="297">
        <f>IFERROR(__xludf.DUMMYFUNCTION("""COMPUTED_VALUE"""),150.0)</f>
        <v>150</v>
      </c>
      <c r="AB104" s="366">
        <f>IFERROR(__xludf.DUMMYFUNCTION("""COMPUTED_VALUE"""),150.0)</f>
        <v>150</v>
      </c>
      <c r="AC104" s="366">
        <f>IFERROR(__xludf.DUMMYFUNCTION("""COMPUTED_VALUE"""),300.0)</f>
        <v>300</v>
      </c>
      <c r="AD104" s="366">
        <f>IFERROR(__xludf.DUMMYFUNCTION("""COMPUTED_VALUE"""),300.0)</f>
        <v>300</v>
      </c>
      <c r="AE104" s="366">
        <f>IFERROR(__xludf.DUMMYFUNCTION("""COMPUTED_VALUE"""),300.0)</f>
        <v>300</v>
      </c>
      <c r="AF104" s="366">
        <f>IFERROR(__xludf.DUMMYFUNCTION("""COMPUTED_VALUE"""),300.0)</f>
        <v>300</v>
      </c>
      <c r="AG104" s="366">
        <f>IFERROR(__xludf.DUMMYFUNCTION("""COMPUTED_VALUE"""),450.0)</f>
        <v>450</v>
      </c>
      <c r="AH104" s="367">
        <f>IFERROR(__xludf.DUMMYFUNCTION("""COMPUTED_VALUE"""),450.0)</f>
        <v>450</v>
      </c>
      <c r="AI104" s="276" t="str">
        <f>IFERROR(__xludf.DUMMYFUNCTION("""COMPUTED_VALUE"""),"範囲(大)")</f>
        <v>範囲(大)</v>
      </c>
      <c r="AJ104" s="308">
        <f>IFERROR(__xludf.DUMMYFUNCTION("""COMPUTED_VALUE"""),4.0)</f>
        <v>4</v>
      </c>
      <c r="AK104" s="274" t="str">
        <f>IFERROR(__xludf.DUMMYFUNCTION("""COMPUTED_VALUE"""),"効果時間")</f>
        <v>効果時間</v>
      </c>
      <c r="AL104" s="297">
        <f>IFERROR(__xludf.DUMMYFUNCTION("""COMPUTED_VALUE"""),150.0)</f>
        <v>150</v>
      </c>
      <c r="AM104" s="366">
        <f>IFERROR(__xludf.DUMMYFUNCTION("""COMPUTED_VALUE"""),150.0)</f>
        <v>150</v>
      </c>
      <c r="AN104" s="366">
        <f>IFERROR(__xludf.DUMMYFUNCTION("""COMPUTED_VALUE"""),300.0)</f>
        <v>300</v>
      </c>
      <c r="AO104" s="366">
        <f>IFERROR(__xludf.DUMMYFUNCTION("""COMPUTED_VALUE"""),300.0)</f>
        <v>300</v>
      </c>
      <c r="AP104" s="366">
        <f>IFERROR(__xludf.DUMMYFUNCTION("""COMPUTED_VALUE"""),300.0)</f>
        <v>300</v>
      </c>
      <c r="AQ104" s="366">
        <f>IFERROR(__xludf.DUMMYFUNCTION("""COMPUTED_VALUE"""),300.0)</f>
        <v>300</v>
      </c>
      <c r="AR104" s="366">
        <f>IFERROR(__xludf.DUMMYFUNCTION("""COMPUTED_VALUE"""),450.0)</f>
        <v>450</v>
      </c>
      <c r="AS104" s="367">
        <f>IFERROR(__xludf.DUMMYFUNCTION("""COMPUTED_VALUE"""),450.0)</f>
        <v>450</v>
      </c>
      <c r="AT104" s="276" t="str">
        <f>IFERROR(__xludf.DUMMYFUNCTION("""COMPUTED_VALUE"""),"範囲(特大)")</f>
        <v>範囲(特大)</v>
      </c>
      <c r="AU104" s="308">
        <f>IFERROR(__xludf.DUMMYFUNCTION("""COMPUTED_VALUE"""),4.0)</f>
        <v>4</v>
      </c>
      <c r="AV104" s="274" t="str">
        <f>IFERROR(__xludf.DUMMYFUNCTION("""COMPUTED_VALUE"""),"効果時間")</f>
        <v>効果時間</v>
      </c>
      <c r="AW104" s="297">
        <f>IFERROR(__xludf.DUMMYFUNCTION("""COMPUTED_VALUE"""),150.0)</f>
        <v>150</v>
      </c>
      <c r="AX104" s="366">
        <f>IFERROR(__xludf.DUMMYFUNCTION("""COMPUTED_VALUE"""),150.0)</f>
        <v>150</v>
      </c>
      <c r="AY104" s="366">
        <f>IFERROR(__xludf.DUMMYFUNCTION("""COMPUTED_VALUE"""),300.0)</f>
        <v>300</v>
      </c>
      <c r="AZ104" s="366">
        <f>IFERROR(__xludf.DUMMYFUNCTION("""COMPUTED_VALUE"""),300.0)</f>
        <v>300</v>
      </c>
      <c r="BA104" s="366">
        <f>IFERROR(__xludf.DUMMYFUNCTION("""COMPUTED_VALUE"""),300.0)</f>
        <v>300</v>
      </c>
      <c r="BB104" s="366">
        <f>IFERROR(__xludf.DUMMYFUNCTION("""COMPUTED_VALUE"""),300.0)</f>
        <v>300</v>
      </c>
      <c r="BC104" s="366">
        <f>IFERROR(__xludf.DUMMYFUNCTION("""COMPUTED_VALUE"""),450.0)</f>
        <v>450</v>
      </c>
      <c r="BD104" s="367">
        <f>IFERROR(__xludf.DUMMYFUNCTION("""COMPUTED_VALUE"""),450.0)</f>
        <v>450</v>
      </c>
      <c r="BE104" s="279" t="str">
        <f>IFERROR(__xludf.DUMMYFUNCTION("""COMPUTED_VALUE"""),"範囲(小：威力減)")</f>
        <v>範囲(小：威力減)</v>
      </c>
      <c r="BF104" s="308">
        <f>IFERROR(__xludf.DUMMYFUNCTION("""COMPUTED_VALUE"""),4.0)</f>
        <v>4</v>
      </c>
      <c r="BG104" s="274" t="str">
        <f>IFERROR(__xludf.DUMMYFUNCTION("""COMPUTED_VALUE"""),"効果時間")</f>
        <v>効果時間</v>
      </c>
      <c r="BH104" s="297">
        <f>IFERROR(__xludf.DUMMYFUNCTION("""COMPUTED_VALUE"""),150.0)</f>
        <v>150</v>
      </c>
      <c r="BI104" s="366">
        <f>IFERROR(__xludf.DUMMYFUNCTION("""COMPUTED_VALUE"""),150.0)</f>
        <v>150</v>
      </c>
      <c r="BJ104" s="366">
        <f>IFERROR(__xludf.DUMMYFUNCTION("""COMPUTED_VALUE"""),300.0)</f>
        <v>300</v>
      </c>
      <c r="BK104" s="366">
        <f>IFERROR(__xludf.DUMMYFUNCTION("""COMPUTED_VALUE"""),300.0)</f>
        <v>300</v>
      </c>
      <c r="BL104" s="366">
        <f>IFERROR(__xludf.DUMMYFUNCTION("""COMPUTED_VALUE"""),300.0)</f>
        <v>300</v>
      </c>
      <c r="BM104" s="366">
        <f>IFERROR(__xludf.DUMMYFUNCTION("""COMPUTED_VALUE"""),300.0)</f>
        <v>300</v>
      </c>
      <c r="BN104" s="366">
        <f>IFERROR(__xludf.DUMMYFUNCTION("""COMPUTED_VALUE"""),450.0)</f>
        <v>450</v>
      </c>
      <c r="BO104" s="367">
        <f>IFERROR(__xludf.DUMMYFUNCTION("""COMPUTED_VALUE"""),450.0)</f>
        <v>450</v>
      </c>
    </row>
    <row r="105">
      <c r="A105" s="307" t="str">
        <f>IFERROR(__xludf.DUMMYFUNCTION("""COMPUTED_VALUE"""),"毒")</f>
        <v>毒</v>
      </c>
      <c r="B105" s="272" t="str">
        <f>IFERROR(__xludf.DUMMYFUNCTION("""COMPUTED_VALUE"""),"単体")</f>
        <v>単体</v>
      </c>
      <c r="C105" s="308">
        <f>IFERROR(__xludf.DUMMYFUNCTION("""COMPUTED_VALUE"""),4.0)</f>
        <v>4</v>
      </c>
      <c r="D105" s="274" t="str">
        <f>IFERROR(__xludf.DUMMYFUNCTION("""COMPUTED_VALUE"""),"発動確率")</f>
        <v>発動確率</v>
      </c>
      <c r="E105" s="309">
        <f>IFERROR(__xludf.DUMMYFUNCTION("""COMPUTED_VALUE"""),100.0)</f>
        <v>100</v>
      </c>
      <c r="F105" s="310">
        <f>IFERROR(__xludf.DUMMYFUNCTION("""COMPUTED_VALUE"""),100.0)</f>
        <v>100</v>
      </c>
      <c r="G105" s="310">
        <f>IFERROR(__xludf.DUMMYFUNCTION("""COMPUTED_VALUE"""),100.0)</f>
        <v>100</v>
      </c>
      <c r="H105" s="310">
        <f>IFERROR(__xludf.DUMMYFUNCTION("""COMPUTED_VALUE"""),100.0)</f>
        <v>100</v>
      </c>
      <c r="I105" s="310">
        <f>IFERROR(__xludf.DUMMYFUNCTION("""COMPUTED_VALUE"""),100.0)</f>
        <v>100</v>
      </c>
      <c r="J105" s="310">
        <f>IFERROR(__xludf.DUMMYFUNCTION("""COMPUTED_VALUE"""),100.0)</f>
        <v>100</v>
      </c>
      <c r="K105" s="310">
        <f>IFERROR(__xludf.DUMMYFUNCTION("""COMPUTED_VALUE"""),100.0)</f>
        <v>100</v>
      </c>
      <c r="L105" s="311">
        <f>IFERROR(__xludf.DUMMYFUNCTION("""COMPUTED_VALUE"""),100.0)</f>
        <v>100</v>
      </c>
      <c r="M105" s="276" t="str">
        <f>IFERROR(__xludf.DUMMYFUNCTION("""COMPUTED_VALUE"""),"範囲(小)")</f>
        <v>範囲(小)</v>
      </c>
      <c r="N105" s="308">
        <f>IFERROR(__xludf.DUMMYFUNCTION("""COMPUTED_VALUE"""),4.0)</f>
        <v>4</v>
      </c>
      <c r="O105" s="274" t="str">
        <f>IFERROR(__xludf.DUMMYFUNCTION("""COMPUTED_VALUE"""),"発動確率")</f>
        <v>発動確率</v>
      </c>
      <c r="P105" s="321">
        <f>IFERROR(__xludf.DUMMYFUNCTION("""COMPUTED_VALUE"""),100.0)</f>
        <v>100</v>
      </c>
      <c r="Q105" s="322">
        <f>IFERROR(__xludf.DUMMYFUNCTION("""COMPUTED_VALUE"""),100.0)</f>
        <v>100</v>
      </c>
      <c r="R105" s="322">
        <f>IFERROR(__xludf.DUMMYFUNCTION("""COMPUTED_VALUE"""),100.0)</f>
        <v>100</v>
      </c>
      <c r="S105" s="322">
        <f>IFERROR(__xludf.DUMMYFUNCTION("""COMPUTED_VALUE"""),100.0)</f>
        <v>100</v>
      </c>
      <c r="T105" s="322">
        <f>IFERROR(__xludf.DUMMYFUNCTION("""COMPUTED_VALUE"""),100.0)</f>
        <v>100</v>
      </c>
      <c r="U105" s="322">
        <f>IFERROR(__xludf.DUMMYFUNCTION("""COMPUTED_VALUE"""),100.0)</f>
        <v>100</v>
      </c>
      <c r="V105" s="322">
        <f>IFERROR(__xludf.DUMMYFUNCTION("""COMPUTED_VALUE"""),100.0)</f>
        <v>100</v>
      </c>
      <c r="W105" s="354">
        <f>IFERROR(__xludf.DUMMYFUNCTION("""COMPUTED_VALUE"""),100.0)</f>
        <v>100</v>
      </c>
      <c r="X105" s="276" t="str">
        <f>IFERROR(__xludf.DUMMYFUNCTION("""COMPUTED_VALUE"""),"範囲(中)")</f>
        <v>範囲(中)</v>
      </c>
      <c r="Y105" s="308">
        <f>IFERROR(__xludf.DUMMYFUNCTION("""COMPUTED_VALUE"""),4.0)</f>
        <v>4</v>
      </c>
      <c r="Z105" s="274" t="str">
        <f>IFERROR(__xludf.DUMMYFUNCTION("""COMPUTED_VALUE"""),"発動確率")</f>
        <v>発動確率</v>
      </c>
      <c r="AA105" s="321">
        <f>IFERROR(__xludf.DUMMYFUNCTION("""COMPUTED_VALUE"""),100.0)</f>
        <v>100</v>
      </c>
      <c r="AB105" s="322">
        <f>IFERROR(__xludf.DUMMYFUNCTION("""COMPUTED_VALUE"""),100.0)</f>
        <v>100</v>
      </c>
      <c r="AC105" s="322">
        <f>IFERROR(__xludf.DUMMYFUNCTION("""COMPUTED_VALUE"""),100.0)</f>
        <v>100</v>
      </c>
      <c r="AD105" s="322">
        <f>IFERROR(__xludf.DUMMYFUNCTION("""COMPUTED_VALUE"""),100.0)</f>
        <v>100</v>
      </c>
      <c r="AE105" s="322">
        <f>IFERROR(__xludf.DUMMYFUNCTION("""COMPUTED_VALUE"""),100.0)</f>
        <v>100</v>
      </c>
      <c r="AF105" s="322">
        <f>IFERROR(__xludf.DUMMYFUNCTION("""COMPUTED_VALUE"""),100.0)</f>
        <v>100</v>
      </c>
      <c r="AG105" s="322">
        <f>IFERROR(__xludf.DUMMYFUNCTION("""COMPUTED_VALUE"""),100.0)</f>
        <v>100</v>
      </c>
      <c r="AH105" s="354">
        <f>IFERROR(__xludf.DUMMYFUNCTION("""COMPUTED_VALUE"""),100.0)</f>
        <v>100</v>
      </c>
      <c r="AI105" s="276" t="str">
        <f>IFERROR(__xludf.DUMMYFUNCTION("""COMPUTED_VALUE"""),"範囲(大)")</f>
        <v>範囲(大)</v>
      </c>
      <c r="AJ105" s="308">
        <f>IFERROR(__xludf.DUMMYFUNCTION("""COMPUTED_VALUE"""),4.0)</f>
        <v>4</v>
      </c>
      <c r="AK105" s="274" t="str">
        <f>IFERROR(__xludf.DUMMYFUNCTION("""COMPUTED_VALUE"""),"発動確率")</f>
        <v>発動確率</v>
      </c>
      <c r="AL105" s="321">
        <f>IFERROR(__xludf.DUMMYFUNCTION("""COMPUTED_VALUE"""),100.0)</f>
        <v>100</v>
      </c>
      <c r="AM105" s="322">
        <f>IFERROR(__xludf.DUMMYFUNCTION("""COMPUTED_VALUE"""),100.0)</f>
        <v>100</v>
      </c>
      <c r="AN105" s="322">
        <f>IFERROR(__xludf.DUMMYFUNCTION("""COMPUTED_VALUE"""),100.0)</f>
        <v>100</v>
      </c>
      <c r="AO105" s="322">
        <f>IFERROR(__xludf.DUMMYFUNCTION("""COMPUTED_VALUE"""),100.0)</f>
        <v>100</v>
      </c>
      <c r="AP105" s="322">
        <f>IFERROR(__xludf.DUMMYFUNCTION("""COMPUTED_VALUE"""),100.0)</f>
        <v>100</v>
      </c>
      <c r="AQ105" s="322">
        <f>IFERROR(__xludf.DUMMYFUNCTION("""COMPUTED_VALUE"""),100.0)</f>
        <v>100</v>
      </c>
      <c r="AR105" s="322">
        <f>IFERROR(__xludf.DUMMYFUNCTION("""COMPUTED_VALUE"""),100.0)</f>
        <v>100</v>
      </c>
      <c r="AS105" s="354">
        <f>IFERROR(__xludf.DUMMYFUNCTION("""COMPUTED_VALUE"""),100.0)</f>
        <v>100</v>
      </c>
      <c r="AT105" s="276" t="str">
        <f>IFERROR(__xludf.DUMMYFUNCTION("""COMPUTED_VALUE"""),"範囲(特大)")</f>
        <v>範囲(特大)</v>
      </c>
      <c r="AU105" s="308">
        <f>IFERROR(__xludf.DUMMYFUNCTION("""COMPUTED_VALUE"""),4.0)</f>
        <v>4</v>
      </c>
      <c r="AV105" s="274" t="str">
        <f>IFERROR(__xludf.DUMMYFUNCTION("""COMPUTED_VALUE"""),"発動確率")</f>
        <v>発動確率</v>
      </c>
      <c r="AW105" s="321">
        <f>IFERROR(__xludf.DUMMYFUNCTION("""COMPUTED_VALUE"""),100.0)</f>
        <v>100</v>
      </c>
      <c r="AX105" s="322">
        <f>IFERROR(__xludf.DUMMYFUNCTION("""COMPUTED_VALUE"""),100.0)</f>
        <v>100</v>
      </c>
      <c r="AY105" s="322">
        <f>IFERROR(__xludf.DUMMYFUNCTION("""COMPUTED_VALUE"""),100.0)</f>
        <v>100</v>
      </c>
      <c r="AZ105" s="322">
        <f>IFERROR(__xludf.DUMMYFUNCTION("""COMPUTED_VALUE"""),100.0)</f>
        <v>100</v>
      </c>
      <c r="BA105" s="322">
        <f>IFERROR(__xludf.DUMMYFUNCTION("""COMPUTED_VALUE"""),100.0)</f>
        <v>100</v>
      </c>
      <c r="BB105" s="322">
        <f>IFERROR(__xludf.DUMMYFUNCTION("""COMPUTED_VALUE"""),100.0)</f>
        <v>100</v>
      </c>
      <c r="BC105" s="322">
        <f>IFERROR(__xludf.DUMMYFUNCTION("""COMPUTED_VALUE"""),100.0)</f>
        <v>100</v>
      </c>
      <c r="BD105" s="354">
        <f>IFERROR(__xludf.DUMMYFUNCTION("""COMPUTED_VALUE"""),100.0)</f>
        <v>100</v>
      </c>
      <c r="BE105" s="279" t="str">
        <f>IFERROR(__xludf.DUMMYFUNCTION("""COMPUTED_VALUE"""),"範囲(小：威力減)")</f>
        <v>範囲(小：威力減)</v>
      </c>
      <c r="BF105" s="308">
        <f>IFERROR(__xludf.DUMMYFUNCTION("""COMPUTED_VALUE"""),4.0)</f>
        <v>4</v>
      </c>
      <c r="BG105" s="274" t="str">
        <f>IFERROR(__xludf.DUMMYFUNCTION("""COMPUTED_VALUE"""),"発動確率")</f>
        <v>発動確率</v>
      </c>
      <c r="BH105" s="321">
        <f>IFERROR(__xludf.DUMMYFUNCTION("""COMPUTED_VALUE"""),100.0)</f>
        <v>100</v>
      </c>
      <c r="BI105" s="322">
        <f>IFERROR(__xludf.DUMMYFUNCTION("""COMPUTED_VALUE"""),100.0)</f>
        <v>100</v>
      </c>
      <c r="BJ105" s="322">
        <f>IFERROR(__xludf.DUMMYFUNCTION("""COMPUTED_VALUE"""),100.0)</f>
        <v>100</v>
      </c>
      <c r="BK105" s="322">
        <f>IFERROR(__xludf.DUMMYFUNCTION("""COMPUTED_VALUE"""),100.0)</f>
        <v>100</v>
      </c>
      <c r="BL105" s="322">
        <f>IFERROR(__xludf.DUMMYFUNCTION("""COMPUTED_VALUE"""),100.0)</f>
        <v>100</v>
      </c>
      <c r="BM105" s="322">
        <f>IFERROR(__xludf.DUMMYFUNCTION("""COMPUTED_VALUE"""),100.0)</f>
        <v>100</v>
      </c>
      <c r="BN105" s="322">
        <f>IFERROR(__xludf.DUMMYFUNCTION("""COMPUTED_VALUE"""),100.0)</f>
        <v>100</v>
      </c>
      <c r="BO105" s="354">
        <f>IFERROR(__xludf.DUMMYFUNCTION("""COMPUTED_VALUE"""),100.0)</f>
        <v>100</v>
      </c>
    </row>
    <row r="106">
      <c r="A106" s="307" t="str">
        <f>IFERROR(__xludf.DUMMYFUNCTION("""COMPUTED_VALUE"""),"毒")</f>
        <v>毒</v>
      </c>
      <c r="B106" s="272" t="str">
        <f>IFERROR(__xludf.DUMMYFUNCTION("""COMPUTED_VALUE"""),"単体")</f>
        <v>単体</v>
      </c>
      <c r="C106" s="316">
        <f>IFERROR(__xludf.DUMMYFUNCTION("""COMPUTED_VALUE"""),5.0)</f>
        <v>5</v>
      </c>
      <c r="D106" s="342" t="str">
        <f>IFERROR(__xludf.DUMMYFUNCTION("""COMPUTED_VALUE"""),"効果値")</f>
        <v>効果値</v>
      </c>
      <c r="E106" s="371">
        <f>IFERROR(__xludf.DUMMYFUNCTION("""COMPUTED_VALUE"""),2.0)</f>
        <v>2</v>
      </c>
      <c r="F106" s="371">
        <f>IFERROR(__xludf.DUMMYFUNCTION("""COMPUTED_VALUE"""),2.0)</f>
        <v>2</v>
      </c>
      <c r="G106" s="371">
        <f>IFERROR(__xludf.DUMMYFUNCTION("""COMPUTED_VALUE"""),2.0)</f>
        <v>2</v>
      </c>
      <c r="H106" s="371">
        <f>IFERROR(__xludf.DUMMYFUNCTION("""COMPUTED_VALUE"""),2.0)</f>
        <v>2</v>
      </c>
      <c r="I106" s="371">
        <f>IFERROR(__xludf.DUMMYFUNCTION("""COMPUTED_VALUE"""),2.0)</f>
        <v>2</v>
      </c>
      <c r="J106" s="371">
        <f>IFERROR(__xludf.DUMMYFUNCTION("""COMPUTED_VALUE"""),2.0)</f>
        <v>2</v>
      </c>
      <c r="K106" s="371">
        <f>IFERROR(__xludf.DUMMYFUNCTION("""COMPUTED_VALUE"""),2.0)</f>
        <v>2</v>
      </c>
      <c r="L106" s="371">
        <f>IFERROR(__xludf.DUMMYFUNCTION("""COMPUTED_VALUE"""),2.0)</f>
        <v>2</v>
      </c>
      <c r="M106" s="276" t="str">
        <f>IFERROR(__xludf.DUMMYFUNCTION("""COMPUTED_VALUE"""),"範囲(小)")</f>
        <v>範囲(小)</v>
      </c>
      <c r="N106" s="316">
        <f>IFERROR(__xludf.DUMMYFUNCTION("""COMPUTED_VALUE"""),5.0)</f>
        <v>5</v>
      </c>
      <c r="O106" s="342" t="str">
        <f>IFERROR(__xludf.DUMMYFUNCTION("""COMPUTED_VALUE"""),"効果値")</f>
        <v>効果値</v>
      </c>
      <c r="P106" s="372">
        <f>IFERROR(__xludf.DUMMYFUNCTION("""COMPUTED_VALUE"""),1.0)</f>
        <v>1</v>
      </c>
      <c r="Q106" s="372">
        <f>IFERROR(__xludf.DUMMYFUNCTION("""COMPUTED_VALUE"""),1.0)</f>
        <v>1</v>
      </c>
      <c r="R106" s="372">
        <f>IFERROR(__xludf.DUMMYFUNCTION("""COMPUTED_VALUE"""),1.0)</f>
        <v>1</v>
      </c>
      <c r="S106" s="372">
        <f>IFERROR(__xludf.DUMMYFUNCTION("""COMPUTED_VALUE"""),1.0)</f>
        <v>1</v>
      </c>
      <c r="T106" s="372">
        <f>IFERROR(__xludf.DUMMYFUNCTION("""COMPUTED_VALUE"""),1.0)</f>
        <v>1</v>
      </c>
      <c r="U106" s="372">
        <f>IFERROR(__xludf.DUMMYFUNCTION("""COMPUTED_VALUE"""),1.0)</f>
        <v>1</v>
      </c>
      <c r="V106" s="372">
        <f>IFERROR(__xludf.DUMMYFUNCTION("""COMPUTED_VALUE"""),1.0)</f>
        <v>1</v>
      </c>
      <c r="W106" s="373">
        <f>IFERROR(__xludf.DUMMYFUNCTION("""COMPUTED_VALUE"""),1.0)</f>
        <v>1</v>
      </c>
      <c r="X106" s="276" t="str">
        <f>IFERROR(__xludf.DUMMYFUNCTION("""COMPUTED_VALUE"""),"範囲(中)")</f>
        <v>範囲(中)</v>
      </c>
      <c r="Y106" s="316">
        <f>IFERROR(__xludf.DUMMYFUNCTION("""COMPUTED_VALUE"""),5.0)</f>
        <v>5</v>
      </c>
      <c r="Z106" s="342" t="str">
        <f>IFERROR(__xludf.DUMMYFUNCTION("""COMPUTED_VALUE"""),"効果値")</f>
        <v>効果値</v>
      </c>
      <c r="AA106" s="372">
        <f>IFERROR(__xludf.DUMMYFUNCTION("""COMPUTED_VALUE"""),1.0)</f>
        <v>1</v>
      </c>
      <c r="AB106" s="372">
        <f>IFERROR(__xludf.DUMMYFUNCTION("""COMPUTED_VALUE"""),1.0)</f>
        <v>1</v>
      </c>
      <c r="AC106" s="372">
        <f>IFERROR(__xludf.DUMMYFUNCTION("""COMPUTED_VALUE"""),1.0)</f>
        <v>1</v>
      </c>
      <c r="AD106" s="372">
        <f>IFERROR(__xludf.DUMMYFUNCTION("""COMPUTED_VALUE"""),1.0)</f>
        <v>1</v>
      </c>
      <c r="AE106" s="372">
        <f>IFERROR(__xludf.DUMMYFUNCTION("""COMPUTED_VALUE"""),1.0)</f>
        <v>1</v>
      </c>
      <c r="AF106" s="372">
        <f>IFERROR(__xludf.DUMMYFUNCTION("""COMPUTED_VALUE"""),1.0)</f>
        <v>1</v>
      </c>
      <c r="AG106" s="372">
        <f>IFERROR(__xludf.DUMMYFUNCTION("""COMPUTED_VALUE"""),1.0)</f>
        <v>1</v>
      </c>
      <c r="AH106" s="373">
        <f>IFERROR(__xludf.DUMMYFUNCTION("""COMPUTED_VALUE"""),1.0)</f>
        <v>1</v>
      </c>
      <c r="AI106" s="276" t="str">
        <f>IFERROR(__xludf.DUMMYFUNCTION("""COMPUTED_VALUE"""),"範囲(大)")</f>
        <v>範囲(大)</v>
      </c>
      <c r="AJ106" s="316">
        <f>IFERROR(__xludf.DUMMYFUNCTION("""COMPUTED_VALUE"""),5.0)</f>
        <v>5</v>
      </c>
      <c r="AK106" s="342" t="str">
        <f>IFERROR(__xludf.DUMMYFUNCTION("""COMPUTED_VALUE"""),"効果値")</f>
        <v>効果値</v>
      </c>
      <c r="AL106" s="372">
        <f>IFERROR(__xludf.DUMMYFUNCTION("""COMPUTED_VALUE"""),1.0)</f>
        <v>1</v>
      </c>
      <c r="AM106" s="372">
        <f>IFERROR(__xludf.DUMMYFUNCTION("""COMPUTED_VALUE"""),1.0)</f>
        <v>1</v>
      </c>
      <c r="AN106" s="372">
        <f>IFERROR(__xludf.DUMMYFUNCTION("""COMPUTED_VALUE"""),1.0)</f>
        <v>1</v>
      </c>
      <c r="AO106" s="372">
        <f>IFERROR(__xludf.DUMMYFUNCTION("""COMPUTED_VALUE"""),1.0)</f>
        <v>1</v>
      </c>
      <c r="AP106" s="372">
        <f>IFERROR(__xludf.DUMMYFUNCTION("""COMPUTED_VALUE"""),1.0)</f>
        <v>1</v>
      </c>
      <c r="AQ106" s="372">
        <f>IFERROR(__xludf.DUMMYFUNCTION("""COMPUTED_VALUE"""),1.0)</f>
        <v>1</v>
      </c>
      <c r="AR106" s="372">
        <f>IFERROR(__xludf.DUMMYFUNCTION("""COMPUTED_VALUE"""),1.0)</f>
        <v>1</v>
      </c>
      <c r="AS106" s="373">
        <f>IFERROR(__xludf.DUMMYFUNCTION("""COMPUTED_VALUE"""),1.0)</f>
        <v>1</v>
      </c>
      <c r="AT106" s="276" t="str">
        <f>IFERROR(__xludf.DUMMYFUNCTION("""COMPUTED_VALUE"""),"範囲(特大)")</f>
        <v>範囲(特大)</v>
      </c>
      <c r="AU106" s="316">
        <f>IFERROR(__xludf.DUMMYFUNCTION("""COMPUTED_VALUE"""),5.0)</f>
        <v>5</v>
      </c>
      <c r="AV106" s="342" t="str">
        <f>IFERROR(__xludf.DUMMYFUNCTION("""COMPUTED_VALUE"""),"効果値")</f>
        <v>効果値</v>
      </c>
      <c r="AW106" s="372">
        <f>IFERROR(__xludf.DUMMYFUNCTION("""COMPUTED_VALUE"""),1.0)</f>
        <v>1</v>
      </c>
      <c r="AX106" s="372">
        <f>IFERROR(__xludf.DUMMYFUNCTION("""COMPUTED_VALUE"""),1.0)</f>
        <v>1</v>
      </c>
      <c r="AY106" s="372">
        <f>IFERROR(__xludf.DUMMYFUNCTION("""COMPUTED_VALUE"""),1.0)</f>
        <v>1</v>
      </c>
      <c r="AZ106" s="372">
        <f>IFERROR(__xludf.DUMMYFUNCTION("""COMPUTED_VALUE"""),1.0)</f>
        <v>1</v>
      </c>
      <c r="BA106" s="372">
        <f>IFERROR(__xludf.DUMMYFUNCTION("""COMPUTED_VALUE"""),1.0)</f>
        <v>1</v>
      </c>
      <c r="BB106" s="372">
        <f>IFERROR(__xludf.DUMMYFUNCTION("""COMPUTED_VALUE"""),1.0)</f>
        <v>1</v>
      </c>
      <c r="BC106" s="372">
        <f>IFERROR(__xludf.DUMMYFUNCTION("""COMPUTED_VALUE"""),1.0)</f>
        <v>1</v>
      </c>
      <c r="BD106" s="373">
        <f>IFERROR(__xludf.DUMMYFUNCTION("""COMPUTED_VALUE"""),1.0)</f>
        <v>1</v>
      </c>
      <c r="BE106" s="279" t="str">
        <f>IFERROR(__xludf.DUMMYFUNCTION("""COMPUTED_VALUE"""),"範囲(小：威力減)")</f>
        <v>範囲(小：威力減)</v>
      </c>
      <c r="BF106" s="316">
        <f>IFERROR(__xludf.DUMMYFUNCTION("""COMPUTED_VALUE"""),5.0)</f>
        <v>5</v>
      </c>
      <c r="BG106" s="342" t="str">
        <f>IFERROR(__xludf.DUMMYFUNCTION("""COMPUTED_VALUE"""),"効果値")</f>
        <v>効果値</v>
      </c>
      <c r="BH106" s="372">
        <f>IFERROR(__xludf.DUMMYFUNCTION("""COMPUTED_VALUE"""),1.0)</f>
        <v>1</v>
      </c>
      <c r="BI106" s="372">
        <f>IFERROR(__xludf.DUMMYFUNCTION("""COMPUTED_VALUE"""),1.0)</f>
        <v>1</v>
      </c>
      <c r="BJ106" s="372">
        <f>IFERROR(__xludf.DUMMYFUNCTION("""COMPUTED_VALUE"""),1.0)</f>
        <v>1</v>
      </c>
      <c r="BK106" s="372">
        <f>IFERROR(__xludf.DUMMYFUNCTION("""COMPUTED_VALUE"""),1.0)</f>
        <v>1</v>
      </c>
      <c r="BL106" s="372">
        <f>IFERROR(__xludf.DUMMYFUNCTION("""COMPUTED_VALUE"""),1.0)</f>
        <v>1</v>
      </c>
      <c r="BM106" s="372">
        <f>IFERROR(__xludf.DUMMYFUNCTION("""COMPUTED_VALUE"""),1.0)</f>
        <v>1</v>
      </c>
      <c r="BN106" s="372">
        <f>IFERROR(__xludf.DUMMYFUNCTION("""COMPUTED_VALUE"""),1.0)</f>
        <v>1</v>
      </c>
      <c r="BO106" s="373">
        <f>IFERROR(__xludf.DUMMYFUNCTION("""COMPUTED_VALUE"""),1.0)</f>
        <v>1</v>
      </c>
    </row>
    <row r="107">
      <c r="A107" s="307" t="str">
        <f>IFERROR(__xludf.DUMMYFUNCTION("""COMPUTED_VALUE"""),"毒")</f>
        <v>毒</v>
      </c>
      <c r="B107" s="272" t="str">
        <f>IFERROR(__xludf.DUMMYFUNCTION("""COMPUTED_VALUE"""),"単体")</f>
        <v>単体</v>
      </c>
      <c r="C107" s="308">
        <f>IFERROR(__xludf.DUMMYFUNCTION("""COMPUTED_VALUE"""),5.0)</f>
        <v>5</v>
      </c>
      <c r="D107" s="274" t="str">
        <f>IFERROR(__xludf.DUMMYFUNCTION("""COMPUTED_VALUE"""),"効果時間")</f>
        <v>効果時間</v>
      </c>
      <c r="E107" s="317">
        <f>IFERROR(__xludf.DUMMYFUNCTION("""COMPUTED_VALUE"""),300.0)</f>
        <v>300</v>
      </c>
      <c r="F107" s="344">
        <f>IFERROR(__xludf.DUMMYFUNCTION("""COMPUTED_VALUE"""),300.0)</f>
        <v>300</v>
      </c>
      <c r="G107" s="344">
        <f>IFERROR(__xludf.DUMMYFUNCTION("""COMPUTED_VALUE"""),450.0)</f>
        <v>450</v>
      </c>
      <c r="H107" s="344">
        <f>IFERROR(__xludf.DUMMYFUNCTION("""COMPUTED_VALUE"""),450.0)</f>
        <v>450</v>
      </c>
      <c r="I107" s="344">
        <f>IFERROR(__xludf.DUMMYFUNCTION("""COMPUTED_VALUE"""),450.0)</f>
        <v>450</v>
      </c>
      <c r="J107" s="344">
        <f>IFERROR(__xludf.DUMMYFUNCTION("""COMPUTED_VALUE"""),450.0)</f>
        <v>450</v>
      </c>
      <c r="K107" s="344">
        <f>IFERROR(__xludf.DUMMYFUNCTION("""COMPUTED_VALUE"""),600.0)</f>
        <v>600</v>
      </c>
      <c r="L107" s="345">
        <f>IFERROR(__xludf.DUMMYFUNCTION("""COMPUTED_VALUE"""),600.0)</f>
        <v>600</v>
      </c>
      <c r="M107" s="276" t="str">
        <f>IFERROR(__xludf.DUMMYFUNCTION("""COMPUTED_VALUE"""),"範囲(小)")</f>
        <v>範囲(小)</v>
      </c>
      <c r="N107" s="308">
        <f>IFERROR(__xludf.DUMMYFUNCTION("""COMPUTED_VALUE"""),5.0)</f>
        <v>5</v>
      </c>
      <c r="O107" s="274" t="str">
        <f>IFERROR(__xludf.DUMMYFUNCTION("""COMPUTED_VALUE"""),"効果時間")</f>
        <v>効果時間</v>
      </c>
      <c r="P107" s="297">
        <f>IFERROR(__xludf.DUMMYFUNCTION("""COMPUTED_VALUE"""),300.0)</f>
        <v>300</v>
      </c>
      <c r="Q107" s="366">
        <f>IFERROR(__xludf.DUMMYFUNCTION("""COMPUTED_VALUE"""),750.0)</f>
        <v>750</v>
      </c>
      <c r="R107" s="366">
        <f>IFERROR(__xludf.DUMMYFUNCTION("""COMPUTED_VALUE"""),450.0)</f>
        <v>450</v>
      </c>
      <c r="S107" s="366">
        <f>IFERROR(__xludf.DUMMYFUNCTION("""COMPUTED_VALUE"""),450.0)</f>
        <v>450</v>
      </c>
      <c r="T107" s="366">
        <f>IFERROR(__xludf.DUMMYFUNCTION("""COMPUTED_VALUE"""),450.0)</f>
        <v>450</v>
      </c>
      <c r="U107" s="366">
        <f>IFERROR(__xludf.DUMMYFUNCTION("""COMPUTED_VALUE"""),450.0)</f>
        <v>450</v>
      </c>
      <c r="V107" s="366">
        <f>IFERROR(__xludf.DUMMYFUNCTION("""COMPUTED_VALUE"""),600.0)</f>
        <v>600</v>
      </c>
      <c r="W107" s="367">
        <f>IFERROR(__xludf.DUMMYFUNCTION("""COMPUTED_VALUE"""),600.0)</f>
        <v>600</v>
      </c>
      <c r="X107" s="276" t="str">
        <f>IFERROR(__xludf.DUMMYFUNCTION("""COMPUTED_VALUE"""),"範囲(中)")</f>
        <v>範囲(中)</v>
      </c>
      <c r="Y107" s="308">
        <f>IFERROR(__xludf.DUMMYFUNCTION("""COMPUTED_VALUE"""),5.0)</f>
        <v>5</v>
      </c>
      <c r="Z107" s="274" t="str">
        <f>IFERROR(__xludf.DUMMYFUNCTION("""COMPUTED_VALUE"""),"効果時間")</f>
        <v>効果時間</v>
      </c>
      <c r="AA107" s="297">
        <f>IFERROR(__xludf.DUMMYFUNCTION("""COMPUTED_VALUE"""),300.0)</f>
        <v>300</v>
      </c>
      <c r="AB107" s="366">
        <f>IFERROR(__xludf.DUMMYFUNCTION("""COMPUTED_VALUE"""),750.0)</f>
        <v>750</v>
      </c>
      <c r="AC107" s="366">
        <f>IFERROR(__xludf.DUMMYFUNCTION("""COMPUTED_VALUE"""),450.0)</f>
        <v>450</v>
      </c>
      <c r="AD107" s="366">
        <f>IFERROR(__xludf.DUMMYFUNCTION("""COMPUTED_VALUE"""),450.0)</f>
        <v>450</v>
      </c>
      <c r="AE107" s="366">
        <f>IFERROR(__xludf.DUMMYFUNCTION("""COMPUTED_VALUE"""),450.0)</f>
        <v>450</v>
      </c>
      <c r="AF107" s="366">
        <f>IFERROR(__xludf.DUMMYFUNCTION("""COMPUTED_VALUE"""),450.0)</f>
        <v>450</v>
      </c>
      <c r="AG107" s="366">
        <f>IFERROR(__xludf.DUMMYFUNCTION("""COMPUTED_VALUE"""),600.0)</f>
        <v>600</v>
      </c>
      <c r="AH107" s="367">
        <f>IFERROR(__xludf.DUMMYFUNCTION("""COMPUTED_VALUE"""),600.0)</f>
        <v>600</v>
      </c>
      <c r="AI107" s="276" t="str">
        <f>IFERROR(__xludf.DUMMYFUNCTION("""COMPUTED_VALUE"""),"範囲(大)")</f>
        <v>範囲(大)</v>
      </c>
      <c r="AJ107" s="308">
        <f>IFERROR(__xludf.DUMMYFUNCTION("""COMPUTED_VALUE"""),5.0)</f>
        <v>5</v>
      </c>
      <c r="AK107" s="274" t="str">
        <f>IFERROR(__xludf.DUMMYFUNCTION("""COMPUTED_VALUE"""),"効果時間")</f>
        <v>効果時間</v>
      </c>
      <c r="AL107" s="297">
        <f>IFERROR(__xludf.DUMMYFUNCTION("""COMPUTED_VALUE"""),300.0)</f>
        <v>300</v>
      </c>
      <c r="AM107" s="366">
        <f>IFERROR(__xludf.DUMMYFUNCTION("""COMPUTED_VALUE"""),750.0)</f>
        <v>750</v>
      </c>
      <c r="AN107" s="366">
        <f>IFERROR(__xludf.DUMMYFUNCTION("""COMPUTED_VALUE"""),450.0)</f>
        <v>450</v>
      </c>
      <c r="AO107" s="366">
        <f>IFERROR(__xludf.DUMMYFUNCTION("""COMPUTED_VALUE"""),450.0)</f>
        <v>450</v>
      </c>
      <c r="AP107" s="366">
        <f>IFERROR(__xludf.DUMMYFUNCTION("""COMPUTED_VALUE"""),450.0)</f>
        <v>450</v>
      </c>
      <c r="AQ107" s="366">
        <f>IFERROR(__xludf.DUMMYFUNCTION("""COMPUTED_VALUE"""),450.0)</f>
        <v>450</v>
      </c>
      <c r="AR107" s="366">
        <f>IFERROR(__xludf.DUMMYFUNCTION("""COMPUTED_VALUE"""),600.0)</f>
        <v>600</v>
      </c>
      <c r="AS107" s="367">
        <f>IFERROR(__xludf.DUMMYFUNCTION("""COMPUTED_VALUE"""),600.0)</f>
        <v>600</v>
      </c>
      <c r="AT107" s="276" t="str">
        <f>IFERROR(__xludf.DUMMYFUNCTION("""COMPUTED_VALUE"""),"範囲(特大)")</f>
        <v>範囲(特大)</v>
      </c>
      <c r="AU107" s="308">
        <f>IFERROR(__xludf.DUMMYFUNCTION("""COMPUTED_VALUE"""),5.0)</f>
        <v>5</v>
      </c>
      <c r="AV107" s="274" t="str">
        <f>IFERROR(__xludf.DUMMYFUNCTION("""COMPUTED_VALUE"""),"効果時間")</f>
        <v>効果時間</v>
      </c>
      <c r="AW107" s="297">
        <f>IFERROR(__xludf.DUMMYFUNCTION("""COMPUTED_VALUE"""),300.0)</f>
        <v>300</v>
      </c>
      <c r="AX107" s="366">
        <f>IFERROR(__xludf.DUMMYFUNCTION("""COMPUTED_VALUE"""),750.0)</f>
        <v>750</v>
      </c>
      <c r="AY107" s="366">
        <f>IFERROR(__xludf.DUMMYFUNCTION("""COMPUTED_VALUE"""),450.0)</f>
        <v>450</v>
      </c>
      <c r="AZ107" s="366">
        <f>IFERROR(__xludf.DUMMYFUNCTION("""COMPUTED_VALUE"""),450.0)</f>
        <v>450</v>
      </c>
      <c r="BA107" s="366">
        <f>IFERROR(__xludf.DUMMYFUNCTION("""COMPUTED_VALUE"""),450.0)</f>
        <v>450</v>
      </c>
      <c r="BB107" s="366">
        <f>IFERROR(__xludf.DUMMYFUNCTION("""COMPUTED_VALUE"""),450.0)</f>
        <v>450</v>
      </c>
      <c r="BC107" s="366">
        <f>IFERROR(__xludf.DUMMYFUNCTION("""COMPUTED_VALUE"""),600.0)</f>
        <v>600</v>
      </c>
      <c r="BD107" s="367">
        <f>IFERROR(__xludf.DUMMYFUNCTION("""COMPUTED_VALUE"""),600.0)</f>
        <v>600</v>
      </c>
      <c r="BE107" s="279" t="str">
        <f>IFERROR(__xludf.DUMMYFUNCTION("""COMPUTED_VALUE"""),"範囲(小：威力減)")</f>
        <v>範囲(小：威力減)</v>
      </c>
      <c r="BF107" s="308">
        <f>IFERROR(__xludf.DUMMYFUNCTION("""COMPUTED_VALUE"""),5.0)</f>
        <v>5</v>
      </c>
      <c r="BG107" s="274" t="str">
        <f>IFERROR(__xludf.DUMMYFUNCTION("""COMPUTED_VALUE"""),"効果時間")</f>
        <v>効果時間</v>
      </c>
      <c r="BH107" s="297">
        <f>IFERROR(__xludf.DUMMYFUNCTION("""COMPUTED_VALUE"""),300.0)</f>
        <v>300</v>
      </c>
      <c r="BI107" s="366">
        <f>IFERROR(__xludf.DUMMYFUNCTION("""COMPUTED_VALUE"""),750.0)</f>
        <v>750</v>
      </c>
      <c r="BJ107" s="366">
        <f>IFERROR(__xludf.DUMMYFUNCTION("""COMPUTED_VALUE"""),450.0)</f>
        <v>450</v>
      </c>
      <c r="BK107" s="366">
        <f>IFERROR(__xludf.DUMMYFUNCTION("""COMPUTED_VALUE"""),450.0)</f>
        <v>450</v>
      </c>
      <c r="BL107" s="366">
        <f>IFERROR(__xludf.DUMMYFUNCTION("""COMPUTED_VALUE"""),450.0)</f>
        <v>450</v>
      </c>
      <c r="BM107" s="366">
        <f>IFERROR(__xludf.DUMMYFUNCTION("""COMPUTED_VALUE"""),450.0)</f>
        <v>450</v>
      </c>
      <c r="BN107" s="366">
        <f>IFERROR(__xludf.DUMMYFUNCTION("""COMPUTED_VALUE"""),600.0)</f>
        <v>600</v>
      </c>
      <c r="BO107" s="367">
        <f>IFERROR(__xludf.DUMMYFUNCTION("""COMPUTED_VALUE"""),600.0)</f>
        <v>600</v>
      </c>
    </row>
    <row r="108">
      <c r="A108" s="327" t="str">
        <f>IFERROR(__xludf.DUMMYFUNCTION("""COMPUTED_VALUE"""),"毒")</f>
        <v>毒</v>
      </c>
      <c r="B108" s="282" t="str">
        <f>IFERROR(__xludf.DUMMYFUNCTION("""COMPUTED_VALUE"""),"単体")</f>
        <v>単体</v>
      </c>
      <c r="C108" s="328">
        <f>IFERROR(__xludf.DUMMYFUNCTION("""COMPUTED_VALUE"""),5.0)</f>
        <v>5</v>
      </c>
      <c r="D108" s="284" t="str">
        <f>IFERROR(__xludf.DUMMYFUNCTION("""COMPUTED_VALUE"""),"発動確率")</f>
        <v>発動確率</v>
      </c>
      <c r="E108" s="309">
        <f>IFERROR(__xludf.DUMMYFUNCTION("""COMPUTED_VALUE"""),100.0)</f>
        <v>100</v>
      </c>
      <c r="F108" s="310">
        <f>IFERROR(__xludf.DUMMYFUNCTION("""COMPUTED_VALUE"""),100.0)</f>
        <v>100</v>
      </c>
      <c r="G108" s="310">
        <f>IFERROR(__xludf.DUMMYFUNCTION("""COMPUTED_VALUE"""),100.0)</f>
        <v>100</v>
      </c>
      <c r="H108" s="311">
        <f>IFERROR(__xludf.DUMMYFUNCTION("""COMPUTED_VALUE"""),100.0)</f>
        <v>100</v>
      </c>
      <c r="I108" s="310">
        <f>IFERROR(__xludf.DUMMYFUNCTION("""COMPUTED_VALUE"""),100.0)</f>
        <v>100</v>
      </c>
      <c r="J108" s="311">
        <f>IFERROR(__xludf.DUMMYFUNCTION("""COMPUTED_VALUE"""),100.0)</f>
        <v>100</v>
      </c>
      <c r="K108" s="310">
        <f>IFERROR(__xludf.DUMMYFUNCTION("""COMPUTED_VALUE"""),100.0)</f>
        <v>100</v>
      </c>
      <c r="L108" s="311">
        <f>IFERROR(__xludf.DUMMYFUNCTION("""COMPUTED_VALUE"""),100.0)</f>
        <v>100</v>
      </c>
      <c r="M108" s="332" t="str">
        <f>IFERROR(__xludf.DUMMYFUNCTION("""COMPUTED_VALUE"""),"範囲(小)")</f>
        <v>範囲(小)</v>
      </c>
      <c r="N108" s="328">
        <f>IFERROR(__xludf.DUMMYFUNCTION("""COMPUTED_VALUE"""),5.0)</f>
        <v>5</v>
      </c>
      <c r="O108" s="284" t="str">
        <f>IFERROR(__xludf.DUMMYFUNCTION("""COMPUTED_VALUE"""),"発動確率")</f>
        <v>発動確率</v>
      </c>
      <c r="P108" s="321">
        <f>IFERROR(__xludf.DUMMYFUNCTION("""COMPUTED_VALUE"""),100.0)</f>
        <v>100</v>
      </c>
      <c r="Q108" s="322">
        <f>IFERROR(__xludf.DUMMYFUNCTION("""COMPUTED_VALUE"""),100.0)</f>
        <v>100</v>
      </c>
      <c r="R108" s="322">
        <f>IFERROR(__xludf.DUMMYFUNCTION("""COMPUTED_VALUE"""),100.0)</f>
        <v>100</v>
      </c>
      <c r="S108" s="323">
        <f>IFERROR(__xludf.DUMMYFUNCTION("""COMPUTED_VALUE"""),100.0)</f>
        <v>100</v>
      </c>
      <c r="T108" s="322">
        <f>IFERROR(__xludf.DUMMYFUNCTION("""COMPUTED_VALUE"""),100.0)</f>
        <v>100</v>
      </c>
      <c r="U108" s="323">
        <f>IFERROR(__xludf.DUMMYFUNCTION("""COMPUTED_VALUE"""),100.0)</f>
        <v>100</v>
      </c>
      <c r="V108" s="322">
        <f>IFERROR(__xludf.DUMMYFUNCTION("""COMPUTED_VALUE"""),100.0)</f>
        <v>100</v>
      </c>
      <c r="W108" s="354">
        <f>IFERROR(__xludf.DUMMYFUNCTION("""COMPUTED_VALUE"""),100.0)</f>
        <v>100</v>
      </c>
      <c r="X108" s="332" t="str">
        <f>IFERROR(__xludf.DUMMYFUNCTION("""COMPUTED_VALUE"""),"範囲(中)")</f>
        <v>範囲(中)</v>
      </c>
      <c r="Y108" s="328">
        <f>IFERROR(__xludf.DUMMYFUNCTION("""COMPUTED_VALUE"""),5.0)</f>
        <v>5</v>
      </c>
      <c r="Z108" s="284" t="str">
        <f>IFERROR(__xludf.DUMMYFUNCTION("""COMPUTED_VALUE"""),"発動確率")</f>
        <v>発動確率</v>
      </c>
      <c r="AA108" s="321">
        <f>IFERROR(__xludf.DUMMYFUNCTION("""COMPUTED_VALUE"""),100.0)</f>
        <v>100</v>
      </c>
      <c r="AB108" s="322">
        <f>IFERROR(__xludf.DUMMYFUNCTION("""COMPUTED_VALUE"""),100.0)</f>
        <v>100</v>
      </c>
      <c r="AC108" s="322">
        <f>IFERROR(__xludf.DUMMYFUNCTION("""COMPUTED_VALUE"""),100.0)</f>
        <v>100</v>
      </c>
      <c r="AD108" s="323">
        <f>IFERROR(__xludf.DUMMYFUNCTION("""COMPUTED_VALUE"""),100.0)</f>
        <v>100</v>
      </c>
      <c r="AE108" s="322">
        <f>IFERROR(__xludf.DUMMYFUNCTION("""COMPUTED_VALUE"""),100.0)</f>
        <v>100</v>
      </c>
      <c r="AF108" s="323">
        <f>IFERROR(__xludf.DUMMYFUNCTION("""COMPUTED_VALUE"""),100.0)</f>
        <v>100</v>
      </c>
      <c r="AG108" s="322">
        <f>IFERROR(__xludf.DUMMYFUNCTION("""COMPUTED_VALUE"""),100.0)</f>
        <v>100</v>
      </c>
      <c r="AH108" s="354">
        <f>IFERROR(__xludf.DUMMYFUNCTION("""COMPUTED_VALUE"""),100.0)</f>
        <v>100</v>
      </c>
      <c r="AI108" s="332" t="str">
        <f>IFERROR(__xludf.DUMMYFUNCTION("""COMPUTED_VALUE"""),"範囲(大)")</f>
        <v>範囲(大)</v>
      </c>
      <c r="AJ108" s="328">
        <f>IFERROR(__xludf.DUMMYFUNCTION("""COMPUTED_VALUE"""),5.0)</f>
        <v>5</v>
      </c>
      <c r="AK108" s="284" t="str">
        <f>IFERROR(__xludf.DUMMYFUNCTION("""COMPUTED_VALUE"""),"発動確率")</f>
        <v>発動確率</v>
      </c>
      <c r="AL108" s="321">
        <f>IFERROR(__xludf.DUMMYFUNCTION("""COMPUTED_VALUE"""),100.0)</f>
        <v>100</v>
      </c>
      <c r="AM108" s="322">
        <f>IFERROR(__xludf.DUMMYFUNCTION("""COMPUTED_VALUE"""),100.0)</f>
        <v>100</v>
      </c>
      <c r="AN108" s="322">
        <f>IFERROR(__xludf.DUMMYFUNCTION("""COMPUTED_VALUE"""),100.0)</f>
        <v>100</v>
      </c>
      <c r="AO108" s="323">
        <f>IFERROR(__xludf.DUMMYFUNCTION("""COMPUTED_VALUE"""),100.0)</f>
        <v>100</v>
      </c>
      <c r="AP108" s="322">
        <f>IFERROR(__xludf.DUMMYFUNCTION("""COMPUTED_VALUE"""),100.0)</f>
        <v>100</v>
      </c>
      <c r="AQ108" s="323">
        <f>IFERROR(__xludf.DUMMYFUNCTION("""COMPUTED_VALUE"""),100.0)</f>
        <v>100</v>
      </c>
      <c r="AR108" s="322">
        <f>IFERROR(__xludf.DUMMYFUNCTION("""COMPUTED_VALUE"""),100.0)</f>
        <v>100</v>
      </c>
      <c r="AS108" s="354">
        <f>IFERROR(__xludf.DUMMYFUNCTION("""COMPUTED_VALUE"""),100.0)</f>
        <v>100</v>
      </c>
      <c r="AT108" s="332" t="str">
        <f>IFERROR(__xludf.DUMMYFUNCTION("""COMPUTED_VALUE"""),"範囲(特大)")</f>
        <v>範囲(特大)</v>
      </c>
      <c r="AU108" s="328">
        <f>IFERROR(__xludf.DUMMYFUNCTION("""COMPUTED_VALUE"""),5.0)</f>
        <v>5</v>
      </c>
      <c r="AV108" s="284" t="str">
        <f>IFERROR(__xludf.DUMMYFUNCTION("""COMPUTED_VALUE"""),"発動確率")</f>
        <v>発動確率</v>
      </c>
      <c r="AW108" s="321">
        <f>IFERROR(__xludf.DUMMYFUNCTION("""COMPUTED_VALUE"""),100.0)</f>
        <v>100</v>
      </c>
      <c r="AX108" s="322">
        <f>IFERROR(__xludf.DUMMYFUNCTION("""COMPUTED_VALUE"""),100.0)</f>
        <v>100</v>
      </c>
      <c r="AY108" s="322">
        <f>IFERROR(__xludf.DUMMYFUNCTION("""COMPUTED_VALUE"""),100.0)</f>
        <v>100</v>
      </c>
      <c r="AZ108" s="323">
        <f>IFERROR(__xludf.DUMMYFUNCTION("""COMPUTED_VALUE"""),100.0)</f>
        <v>100</v>
      </c>
      <c r="BA108" s="322">
        <f>IFERROR(__xludf.DUMMYFUNCTION("""COMPUTED_VALUE"""),100.0)</f>
        <v>100</v>
      </c>
      <c r="BB108" s="323">
        <f>IFERROR(__xludf.DUMMYFUNCTION("""COMPUTED_VALUE"""),100.0)</f>
        <v>100</v>
      </c>
      <c r="BC108" s="322">
        <f>IFERROR(__xludf.DUMMYFUNCTION("""COMPUTED_VALUE"""),100.0)</f>
        <v>100</v>
      </c>
      <c r="BD108" s="354">
        <f>IFERROR(__xludf.DUMMYFUNCTION("""COMPUTED_VALUE"""),100.0)</f>
        <v>100</v>
      </c>
      <c r="BE108" s="337" t="str">
        <f>IFERROR(__xludf.DUMMYFUNCTION("""COMPUTED_VALUE"""),"範囲(小：威力減)")</f>
        <v>範囲(小：威力減)</v>
      </c>
      <c r="BF108" s="328">
        <f>IFERROR(__xludf.DUMMYFUNCTION("""COMPUTED_VALUE"""),5.0)</f>
        <v>5</v>
      </c>
      <c r="BG108" s="284" t="str">
        <f>IFERROR(__xludf.DUMMYFUNCTION("""COMPUTED_VALUE"""),"発動確率")</f>
        <v>発動確率</v>
      </c>
      <c r="BH108" s="321">
        <f>IFERROR(__xludf.DUMMYFUNCTION("""COMPUTED_VALUE"""),100.0)</f>
        <v>100</v>
      </c>
      <c r="BI108" s="322">
        <f>IFERROR(__xludf.DUMMYFUNCTION("""COMPUTED_VALUE"""),100.0)</f>
        <v>100</v>
      </c>
      <c r="BJ108" s="322">
        <f>IFERROR(__xludf.DUMMYFUNCTION("""COMPUTED_VALUE"""),100.0)</f>
        <v>100</v>
      </c>
      <c r="BK108" s="323">
        <f>IFERROR(__xludf.DUMMYFUNCTION("""COMPUTED_VALUE"""),100.0)</f>
        <v>100</v>
      </c>
      <c r="BL108" s="322">
        <f>IFERROR(__xludf.DUMMYFUNCTION("""COMPUTED_VALUE"""),100.0)</f>
        <v>100</v>
      </c>
      <c r="BM108" s="323">
        <f>IFERROR(__xludf.DUMMYFUNCTION("""COMPUTED_VALUE"""),100.0)</f>
        <v>100</v>
      </c>
      <c r="BN108" s="322">
        <f>IFERROR(__xludf.DUMMYFUNCTION("""COMPUTED_VALUE"""),100.0)</f>
        <v>100</v>
      </c>
      <c r="BO108" s="354">
        <f>IFERROR(__xludf.DUMMYFUNCTION("""COMPUTED_VALUE"""),100.0)</f>
        <v>100</v>
      </c>
    </row>
    <row r="109">
      <c r="A109" s="306" t="str">
        <f>IFERROR(__xludf.DUMMYFUNCTION("""COMPUTED_VALUE"""),"ダメージカット")</f>
        <v>ダメージカット</v>
      </c>
      <c r="B109" s="374" t="str">
        <f>IFERROR(__xludf.DUMMYFUNCTION("""COMPUTED_VALUE"""),"超瞬間型")</f>
        <v>超瞬間型</v>
      </c>
      <c r="C109" s="375">
        <f>IFERROR(__xludf.DUMMYFUNCTION("""COMPUTED_VALUE"""),1.0)</f>
        <v>1</v>
      </c>
      <c r="D109" s="376" t="str">
        <f>IFERROR(__xludf.DUMMYFUNCTION("""COMPUTED_VALUE"""),"効果値")</f>
        <v>効果値</v>
      </c>
      <c r="E109" s="377" t="str">
        <f>IFERROR(__xludf.DUMMYFUNCTION("""COMPUTED_VALUE"""),"-")</f>
        <v>-</v>
      </c>
      <c r="F109" s="378" t="str">
        <f>IFERROR(__xludf.DUMMYFUNCTION("""COMPUTED_VALUE"""),"-")</f>
        <v>-</v>
      </c>
      <c r="G109" s="377" t="str">
        <f>IFERROR(__xludf.DUMMYFUNCTION("""COMPUTED_VALUE"""),"-")</f>
        <v>-</v>
      </c>
      <c r="H109" s="378" t="str">
        <f>IFERROR(__xludf.DUMMYFUNCTION("""COMPUTED_VALUE"""),"-")</f>
        <v>-</v>
      </c>
      <c r="I109" s="377" t="str">
        <f>IFERROR(__xludf.DUMMYFUNCTION("""COMPUTED_VALUE"""),"-")</f>
        <v>-</v>
      </c>
      <c r="J109" s="379">
        <f>IFERROR(__xludf.DUMMYFUNCTION("""COMPUTED_VALUE"""),55.0)</f>
        <v>55</v>
      </c>
      <c r="K109" s="294">
        <f>IFERROR(__xludf.DUMMYFUNCTION("""COMPUTED_VALUE"""),65.0)</f>
        <v>65</v>
      </c>
      <c r="L109" s="294">
        <f>IFERROR(__xludf.DUMMYFUNCTION("""COMPUTED_VALUE"""),65.0)</f>
        <v>65</v>
      </c>
      <c r="M109" s="374" t="str">
        <f>IFERROR(__xludf.DUMMYFUNCTION("""COMPUTED_VALUE"""),"瞬間型")</f>
        <v>瞬間型</v>
      </c>
      <c r="N109" s="375">
        <f>IFERROR(__xludf.DUMMYFUNCTION("""COMPUTED_VALUE"""),1.0)</f>
        <v>1</v>
      </c>
      <c r="O109" s="376" t="str">
        <f>IFERROR(__xludf.DUMMYFUNCTION("""COMPUTED_VALUE"""),"効果値")</f>
        <v>効果値</v>
      </c>
      <c r="P109" s="380">
        <f>IFERROR(__xludf.DUMMYFUNCTION("""COMPUTED_VALUE"""),20.0)</f>
        <v>20</v>
      </c>
      <c r="Q109" s="263">
        <f>IFERROR(__xludf.DUMMYFUNCTION("""COMPUTED_VALUE"""),20.0)</f>
        <v>20</v>
      </c>
      <c r="R109" s="263">
        <f>IFERROR(__xludf.DUMMYFUNCTION("""COMPUTED_VALUE"""),20.0)</f>
        <v>20</v>
      </c>
      <c r="S109" s="263">
        <f>IFERROR(__xludf.DUMMYFUNCTION("""COMPUTED_VALUE"""),20.0)</f>
        <v>20</v>
      </c>
      <c r="T109" s="263">
        <f>IFERROR(__xludf.DUMMYFUNCTION("""COMPUTED_VALUE"""),20.0)</f>
        <v>20</v>
      </c>
      <c r="U109" s="263">
        <f>IFERROR(__xludf.DUMMYFUNCTION("""COMPUTED_VALUE"""),25.0)</f>
        <v>25</v>
      </c>
      <c r="V109" s="266">
        <f>IFERROR(__xludf.DUMMYFUNCTION("""COMPUTED_VALUE"""),30.0)</f>
        <v>30</v>
      </c>
      <c r="W109" s="266">
        <f>IFERROR(__xludf.DUMMYFUNCTION("""COMPUTED_VALUE"""),30.0)</f>
        <v>30</v>
      </c>
      <c r="X109" s="374" t="str">
        <f>IFERROR(__xludf.DUMMYFUNCTION("""COMPUTED_VALUE"""),"安定型")</f>
        <v>安定型</v>
      </c>
      <c r="Y109" s="375">
        <f>IFERROR(__xludf.DUMMYFUNCTION("""COMPUTED_VALUE"""),1.0)</f>
        <v>1</v>
      </c>
      <c r="Z109" s="376" t="str">
        <f>IFERROR(__xludf.DUMMYFUNCTION("""COMPUTED_VALUE"""),"効果値")</f>
        <v>効果値</v>
      </c>
      <c r="AA109" s="380">
        <f>IFERROR(__xludf.DUMMYFUNCTION("""COMPUTED_VALUE"""),10.0)</f>
        <v>10</v>
      </c>
      <c r="AB109" s="263">
        <f>IFERROR(__xludf.DUMMYFUNCTION("""COMPUTED_VALUE"""),10.0)</f>
        <v>10</v>
      </c>
      <c r="AC109" s="263">
        <f>IFERROR(__xludf.DUMMYFUNCTION("""COMPUTED_VALUE"""),10.0)</f>
        <v>10</v>
      </c>
      <c r="AD109" s="263">
        <f>IFERROR(__xludf.DUMMYFUNCTION("""COMPUTED_VALUE"""),10.0)</f>
        <v>10</v>
      </c>
      <c r="AE109" s="263">
        <f>IFERROR(__xludf.DUMMYFUNCTION("""COMPUTED_VALUE"""),10.0)</f>
        <v>10</v>
      </c>
      <c r="AF109" s="263">
        <f>IFERROR(__xludf.DUMMYFUNCTION("""COMPUTED_VALUE"""),10.0)</f>
        <v>10</v>
      </c>
      <c r="AG109" s="266">
        <f>IFERROR(__xludf.DUMMYFUNCTION("""COMPUTED_VALUE"""),15.0)</f>
        <v>15</v>
      </c>
      <c r="AH109" s="266">
        <f>IFERROR(__xludf.DUMMYFUNCTION("""COMPUTED_VALUE"""),15.0)</f>
        <v>15</v>
      </c>
      <c r="AI109" s="374" t="str">
        <f>IFERROR(__xludf.DUMMYFUNCTION("""COMPUTED_VALUE"""),"持続型")</f>
        <v>持続型</v>
      </c>
      <c r="AJ109" s="375">
        <f>IFERROR(__xludf.DUMMYFUNCTION("""COMPUTED_VALUE"""),1.0)</f>
        <v>1</v>
      </c>
      <c r="AK109" s="376" t="str">
        <f>IFERROR(__xludf.DUMMYFUNCTION("""COMPUTED_VALUE"""),"効果値")</f>
        <v>効果値</v>
      </c>
      <c r="AL109" s="380">
        <f>IFERROR(__xludf.DUMMYFUNCTION("""COMPUTED_VALUE"""),5.0)</f>
        <v>5</v>
      </c>
      <c r="AM109" s="263">
        <f>IFERROR(__xludf.DUMMYFUNCTION("""COMPUTED_VALUE"""),5.0)</f>
        <v>5</v>
      </c>
      <c r="AN109" s="263">
        <f>IFERROR(__xludf.DUMMYFUNCTION("""COMPUTED_VALUE"""),5.0)</f>
        <v>5</v>
      </c>
      <c r="AO109" s="263">
        <f>IFERROR(__xludf.DUMMYFUNCTION("""COMPUTED_VALUE"""),5.0)</f>
        <v>5</v>
      </c>
      <c r="AP109" s="263">
        <f>IFERROR(__xludf.DUMMYFUNCTION("""COMPUTED_VALUE"""),5.0)</f>
        <v>5</v>
      </c>
      <c r="AQ109" s="263">
        <f>IFERROR(__xludf.DUMMYFUNCTION("""COMPUTED_VALUE"""),5.0)</f>
        <v>5</v>
      </c>
      <c r="AR109" s="266">
        <f>IFERROR(__xludf.DUMMYFUNCTION("""COMPUTED_VALUE"""),10.0)</f>
        <v>10</v>
      </c>
      <c r="AS109" s="266">
        <f>IFERROR(__xludf.DUMMYFUNCTION("""COMPUTED_VALUE"""),10.0)</f>
        <v>10</v>
      </c>
      <c r="AT109" s="374" t="str">
        <f>IFERROR(__xludf.DUMMYFUNCTION("""COMPUTED_VALUE"""),"超持続型")</f>
        <v>超持続型</v>
      </c>
      <c r="AU109" s="375">
        <f>IFERROR(__xludf.DUMMYFUNCTION("""COMPUTED_VALUE"""),1.0)</f>
        <v>1</v>
      </c>
      <c r="AV109" s="376" t="str">
        <f>IFERROR(__xludf.DUMMYFUNCTION("""COMPUTED_VALUE"""),"効果値")</f>
        <v>効果値</v>
      </c>
      <c r="AW109" s="350" t="str">
        <f>IFERROR(__xludf.DUMMYFUNCTION("""COMPUTED_VALUE"""),"-")</f>
        <v>-</v>
      </c>
      <c r="AX109" s="348" t="str">
        <f>IFERROR(__xludf.DUMMYFUNCTION("""COMPUTED_VALUE"""),"-")</f>
        <v>-</v>
      </c>
      <c r="AY109" s="348" t="str">
        <f>IFERROR(__xludf.DUMMYFUNCTION("""COMPUTED_VALUE"""),"-")</f>
        <v>-</v>
      </c>
      <c r="AZ109" s="348" t="str">
        <f>IFERROR(__xludf.DUMMYFUNCTION("""COMPUTED_VALUE"""),"-")</f>
        <v>-</v>
      </c>
      <c r="BA109" s="348" t="str">
        <f>IFERROR(__xludf.DUMMYFUNCTION("""COMPUTED_VALUE"""),"-")</f>
        <v>-</v>
      </c>
      <c r="BB109" s="263">
        <f>IFERROR(__xludf.DUMMYFUNCTION("""COMPUTED_VALUE"""),5.0)</f>
        <v>5</v>
      </c>
      <c r="BC109" s="266">
        <f>IFERROR(__xludf.DUMMYFUNCTION("""COMPUTED_VALUE"""),10.0)</f>
        <v>10</v>
      </c>
      <c r="BD109" s="266">
        <f>IFERROR(__xludf.DUMMYFUNCTION("""COMPUTED_VALUE"""),10.0)</f>
        <v>10</v>
      </c>
      <c r="BE109" s="374" t="str">
        <f>IFERROR(__xludf.DUMMYFUNCTION("""COMPUTED_VALUE"""),"ハイブリッド型")</f>
        <v>ハイブリッド型</v>
      </c>
      <c r="BF109" s="375">
        <f>IFERROR(__xludf.DUMMYFUNCTION("""COMPUTED_VALUE"""),1.0)</f>
        <v>1</v>
      </c>
      <c r="BG109" s="376" t="str">
        <f>IFERROR(__xludf.DUMMYFUNCTION("""COMPUTED_VALUE"""),"効果値")</f>
        <v>効果値</v>
      </c>
      <c r="BH109" s="381">
        <f>IFERROR(__xludf.DUMMYFUNCTION("""COMPUTED_VALUE"""),10.0)</f>
        <v>10</v>
      </c>
      <c r="BI109" s="382">
        <f>IFERROR(__xludf.DUMMYFUNCTION("""COMPUTED_VALUE"""),10.0)</f>
        <v>10</v>
      </c>
      <c r="BJ109" s="382">
        <f>IFERROR(__xludf.DUMMYFUNCTION("""COMPUTED_VALUE"""),10.0)</f>
        <v>10</v>
      </c>
      <c r="BK109" s="382">
        <f>IFERROR(__xludf.DUMMYFUNCTION("""COMPUTED_VALUE"""),10.0)</f>
        <v>10</v>
      </c>
      <c r="BL109" s="382">
        <f>IFERROR(__xludf.DUMMYFUNCTION("""COMPUTED_VALUE"""),10.0)</f>
        <v>10</v>
      </c>
      <c r="BM109" s="382">
        <f>IFERROR(__xludf.DUMMYFUNCTION("""COMPUTED_VALUE"""),15.0)</f>
        <v>15</v>
      </c>
      <c r="BN109" s="382">
        <f>IFERROR(__xludf.DUMMYFUNCTION("""COMPUTED_VALUE"""),20.0)</f>
        <v>20</v>
      </c>
      <c r="BO109" s="383">
        <f>IFERROR(__xludf.DUMMYFUNCTION("""COMPUTED_VALUE"""),20.0)</f>
        <v>20</v>
      </c>
    </row>
    <row r="110">
      <c r="A110" s="384" t="str">
        <f>IFERROR(__xludf.DUMMYFUNCTION("""COMPUTED_VALUE"""),"ダメージカット")</f>
        <v>ダメージカット</v>
      </c>
      <c r="B110" s="385" t="str">
        <f>IFERROR(__xludf.DUMMYFUNCTION("""COMPUTED_VALUE"""),"超瞬間型")</f>
        <v>超瞬間型</v>
      </c>
      <c r="C110" s="386">
        <f>IFERROR(__xludf.DUMMYFUNCTION("""COMPUTED_VALUE"""),1.0)</f>
        <v>1</v>
      </c>
      <c r="D110" s="387" t="str">
        <f>IFERROR(__xludf.DUMMYFUNCTION("""COMPUTED_VALUE"""),"効果時間")</f>
        <v>効果時間</v>
      </c>
      <c r="E110" s="388" t="str">
        <f>IFERROR(__xludf.DUMMYFUNCTION("""COMPUTED_VALUE"""),"-")</f>
        <v>-</v>
      </c>
      <c r="F110" s="389" t="str">
        <f>IFERROR(__xludf.DUMMYFUNCTION("""COMPUTED_VALUE"""),"-")</f>
        <v>-</v>
      </c>
      <c r="G110" s="388" t="str">
        <f>IFERROR(__xludf.DUMMYFUNCTION("""COMPUTED_VALUE"""),"-")</f>
        <v>-</v>
      </c>
      <c r="H110" s="389" t="str">
        <f>IFERROR(__xludf.DUMMYFUNCTION("""COMPUTED_VALUE"""),"-")</f>
        <v>-</v>
      </c>
      <c r="I110" s="388" t="str">
        <f>IFERROR(__xludf.DUMMYFUNCTION("""COMPUTED_VALUE"""),"-")</f>
        <v>-</v>
      </c>
      <c r="J110" s="390">
        <f>IFERROR(__xludf.DUMMYFUNCTION("""COMPUTED_VALUE"""),150.0)</f>
        <v>150</v>
      </c>
      <c r="K110" s="391">
        <f>IFERROR(__xludf.DUMMYFUNCTION("""COMPUTED_VALUE"""),160.0)</f>
        <v>160</v>
      </c>
      <c r="L110" s="340">
        <f>IFERROR(__xludf.DUMMYFUNCTION("""COMPUTED_VALUE"""),160.0)</f>
        <v>160</v>
      </c>
      <c r="M110" s="385" t="str">
        <f>IFERROR(__xludf.DUMMYFUNCTION("""COMPUTED_VALUE"""),"瞬間型")</f>
        <v>瞬間型</v>
      </c>
      <c r="N110" s="386">
        <f>IFERROR(__xludf.DUMMYFUNCTION("""COMPUTED_VALUE"""),1.0)</f>
        <v>1</v>
      </c>
      <c r="O110" s="387" t="str">
        <f>IFERROR(__xludf.DUMMYFUNCTION("""COMPUTED_VALUE"""),"効果時間")</f>
        <v>効果時間</v>
      </c>
      <c r="P110" s="392">
        <f>IFERROR(__xludf.DUMMYFUNCTION("""COMPUTED_VALUE"""),150.0)</f>
        <v>150</v>
      </c>
      <c r="Q110" s="393">
        <f>IFERROR(__xludf.DUMMYFUNCTION("""COMPUTED_VALUE"""),150.0)</f>
        <v>150</v>
      </c>
      <c r="R110" s="393">
        <f>IFERROR(__xludf.DUMMYFUNCTION("""COMPUTED_VALUE"""),150.0)</f>
        <v>150</v>
      </c>
      <c r="S110" s="393">
        <f>IFERROR(__xludf.DUMMYFUNCTION("""COMPUTED_VALUE"""),150.0)</f>
        <v>150</v>
      </c>
      <c r="T110" s="393">
        <f>IFERROR(__xludf.DUMMYFUNCTION("""COMPUTED_VALUE"""),150.0)</f>
        <v>150</v>
      </c>
      <c r="U110" s="393">
        <f>IFERROR(__xludf.DUMMYFUNCTION("""COMPUTED_VALUE"""),150.0)</f>
        <v>150</v>
      </c>
      <c r="V110" s="393">
        <f>IFERROR(__xludf.DUMMYFUNCTION("""COMPUTED_VALUE"""),160.0)</f>
        <v>160</v>
      </c>
      <c r="W110" s="394">
        <f>IFERROR(__xludf.DUMMYFUNCTION("""COMPUTED_VALUE"""),160.0)</f>
        <v>160</v>
      </c>
      <c r="X110" s="385" t="str">
        <f>IFERROR(__xludf.DUMMYFUNCTION("""COMPUTED_VALUE"""),"安定型")</f>
        <v>安定型</v>
      </c>
      <c r="Y110" s="386">
        <f>IFERROR(__xludf.DUMMYFUNCTION("""COMPUTED_VALUE"""),1.0)</f>
        <v>1</v>
      </c>
      <c r="Z110" s="387" t="str">
        <f>IFERROR(__xludf.DUMMYFUNCTION("""COMPUTED_VALUE"""),"効果時間")</f>
        <v>効果時間</v>
      </c>
      <c r="AA110" s="392">
        <f>IFERROR(__xludf.DUMMYFUNCTION("""COMPUTED_VALUE"""),300.0)</f>
        <v>300</v>
      </c>
      <c r="AB110" s="393">
        <f>IFERROR(__xludf.DUMMYFUNCTION("""COMPUTED_VALUE"""),300.0)</f>
        <v>300</v>
      </c>
      <c r="AC110" s="393">
        <f>IFERROR(__xludf.DUMMYFUNCTION("""COMPUTED_VALUE"""),300.0)</f>
        <v>300</v>
      </c>
      <c r="AD110" s="393">
        <f>IFERROR(__xludf.DUMMYFUNCTION("""COMPUTED_VALUE"""),300.0)</f>
        <v>300</v>
      </c>
      <c r="AE110" s="393">
        <f>IFERROR(__xludf.DUMMYFUNCTION("""COMPUTED_VALUE"""),300.0)</f>
        <v>300</v>
      </c>
      <c r="AF110" s="393">
        <f>IFERROR(__xludf.DUMMYFUNCTION("""COMPUTED_VALUE"""),300.0)</f>
        <v>300</v>
      </c>
      <c r="AG110" s="393">
        <f>IFERROR(__xludf.DUMMYFUNCTION("""COMPUTED_VALUE"""),310.0)</f>
        <v>310</v>
      </c>
      <c r="AH110" s="394">
        <f>IFERROR(__xludf.DUMMYFUNCTION("""COMPUTED_VALUE"""),310.0)</f>
        <v>310</v>
      </c>
      <c r="AI110" s="385" t="str">
        <f>IFERROR(__xludf.DUMMYFUNCTION("""COMPUTED_VALUE"""),"持続型")</f>
        <v>持続型</v>
      </c>
      <c r="AJ110" s="386">
        <f>IFERROR(__xludf.DUMMYFUNCTION("""COMPUTED_VALUE"""),1.0)</f>
        <v>1</v>
      </c>
      <c r="AK110" s="387" t="str">
        <f>IFERROR(__xludf.DUMMYFUNCTION("""COMPUTED_VALUE"""),"効果時間")</f>
        <v>効果時間</v>
      </c>
      <c r="AL110" s="392">
        <f>IFERROR(__xludf.DUMMYFUNCTION("""COMPUTED_VALUE"""),450.0)</f>
        <v>450</v>
      </c>
      <c r="AM110" s="393">
        <f>IFERROR(__xludf.DUMMYFUNCTION("""COMPUTED_VALUE"""),450.0)</f>
        <v>450</v>
      </c>
      <c r="AN110" s="393">
        <f>IFERROR(__xludf.DUMMYFUNCTION("""COMPUTED_VALUE"""),450.0)</f>
        <v>450</v>
      </c>
      <c r="AO110" s="393">
        <f>IFERROR(__xludf.DUMMYFUNCTION("""COMPUTED_VALUE"""),450.0)</f>
        <v>450</v>
      </c>
      <c r="AP110" s="393">
        <f>IFERROR(__xludf.DUMMYFUNCTION("""COMPUTED_VALUE"""),450.0)</f>
        <v>450</v>
      </c>
      <c r="AQ110" s="393">
        <f>IFERROR(__xludf.DUMMYFUNCTION("""COMPUTED_VALUE"""),450.0)</f>
        <v>450</v>
      </c>
      <c r="AR110" s="393">
        <f>IFERROR(__xludf.DUMMYFUNCTION("""COMPUTED_VALUE"""),460.0)</f>
        <v>460</v>
      </c>
      <c r="AS110" s="394">
        <f>IFERROR(__xludf.DUMMYFUNCTION("""COMPUTED_VALUE"""),460.0)</f>
        <v>460</v>
      </c>
      <c r="AT110" s="385" t="str">
        <f>IFERROR(__xludf.DUMMYFUNCTION("""COMPUTED_VALUE"""),"超持続型")</f>
        <v>超持続型</v>
      </c>
      <c r="AU110" s="386">
        <f>IFERROR(__xludf.DUMMYFUNCTION("""COMPUTED_VALUE"""),1.0)</f>
        <v>1</v>
      </c>
      <c r="AV110" s="387" t="str">
        <f>IFERROR(__xludf.DUMMYFUNCTION("""COMPUTED_VALUE"""),"効果時間")</f>
        <v>効果時間</v>
      </c>
      <c r="AW110" s="395" t="str">
        <f>IFERROR(__xludf.DUMMYFUNCTION("""COMPUTED_VALUE"""),"-")</f>
        <v>-</v>
      </c>
      <c r="AX110" s="396" t="str">
        <f>IFERROR(__xludf.DUMMYFUNCTION("""COMPUTED_VALUE"""),"-")</f>
        <v>-</v>
      </c>
      <c r="AY110" s="396" t="str">
        <f>IFERROR(__xludf.DUMMYFUNCTION("""COMPUTED_VALUE"""),"-")</f>
        <v>-</v>
      </c>
      <c r="AZ110" s="396" t="str">
        <f>IFERROR(__xludf.DUMMYFUNCTION("""COMPUTED_VALUE"""),"-")</f>
        <v>-</v>
      </c>
      <c r="BA110" s="396" t="str">
        <f>IFERROR(__xludf.DUMMYFUNCTION("""COMPUTED_VALUE"""),"-")</f>
        <v>-</v>
      </c>
      <c r="BB110" s="393">
        <f>IFERROR(__xludf.DUMMYFUNCTION("""COMPUTED_VALUE"""),600.0)</f>
        <v>600</v>
      </c>
      <c r="BC110" s="393">
        <f>IFERROR(__xludf.DUMMYFUNCTION("""COMPUTED_VALUE"""),610.0)</f>
        <v>610</v>
      </c>
      <c r="BD110" s="394">
        <f>IFERROR(__xludf.DUMMYFUNCTION("""COMPUTED_VALUE"""),610.0)</f>
        <v>610</v>
      </c>
      <c r="BE110" s="385" t="str">
        <f>IFERROR(__xludf.DUMMYFUNCTION("""COMPUTED_VALUE"""),"ハイブリッド型")</f>
        <v>ハイブリッド型</v>
      </c>
      <c r="BF110" s="386">
        <f>IFERROR(__xludf.DUMMYFUNCTION("""COMPUTED_VALUE"""),1.0)</f>
        <v>1</v>
      </c>
      <c r="BG110" s="387" t="str">
        <f>IFERROR(__xludf.DUMMYFUNCTION("""COMPUTED_VALUE"""),"効果時間")</f>
        <v>効果時間</v>
      </c>
      <c r="BH110" s="397">
        <f>IFERROR(__xludf.DUMMYFUNCTION("""COMPUTED_VALUE"""),150.0)</f>
        <v>150</v>
      </c>
      <c r="BI110" s="397">
        <f>IFERROR(__xludf.DUMMYFUNCTION("""COMPUTED_VALUE"""),150.0)</f>
        <v>150</v>
      </c>
      <c r="BJ110" s="397">
        <f>IFERROR(__xludf.DUMMYFUNCTION("""COMPUTED_VALUE"""),150.0)</f>
        <v>150</v>
      </c>
      <c r="BK110" s="398">
        <f>IFERROR(__xludf.DUMMYFUNCTION("""COMPUTED_VALUE"""),150.0)</f>
        <v>150</v>
      </c>
      <c r="BL110" s="397">
        <f>IFERROR(__xludf.DUMMYFUNCTION("""COMPUTED_VALUE"""),150.0)</f>
        <v>150</v>
      </c>
      <c r="BM110" s="398">
        <f>IFERROR(__xludf.DUMMYFUNCTION("""COMPUTED_VALUE"""),350.0)</f>
        <v>350</v>
      </c>
      <c r="BN110" s="397">
        <f>IFERROR(__xludf.DUMMYFUNCTION("""COMPUTED_VALUE"""),460.0)</f>
        <v>460</v>
      </c>
      <c r="BO110" s="398">
        <f>IFERROR(__xludf.DUMMYFUNCTION("""COMPUTED_VALUE"""),460.0)</f>
        <v>460</v>
      </c>
    </row>
    <row r="111">
      <c r="A111" s="307" t="str">
        <f>IFERROR(__xludf.DUMMYFUNCTION("""COMPUTED_VALUE"""),"ダメージカット")</f>
        <v>ダメージカット</v>
      </c>
      <c r="B111" s="385" t="str">
        <f>IFERROR(__xludf.DUMMYFUNCTION("""COMPUTED_VALUE"""),"超瞬間型")</f>
        <v>超瞬間型</v>
      </c>
      <c r="C111" s="399">
        <f>IFERROR(__xludf.DUMMYFUNCTION("""COMPUTED_VALUE"""),2.0)</f>
        <v>2</v>
      </c>
      <c r="D111" s="400" t="str">
        <f>IFERROR(__xludf.DUMMYFUNCTION("""COMPUTED_VALUE"""),"効果値")</f>
        <v>効果値</v>
      </c>
      <c r="E111" s="401" t="str">
        <f>IFERROR(__xludf.DUMMYFUNCTION("""COMPUTED_VALUE"""),"-")</f>
        <v>-</v>
      </c>
      <c r="F111" s="401" t="str">
        <f>IFERROR(__xludf.DUMMYFUNCTION("""COMPUTED_VALUE"""),"-")</f>
        <v>-</v>
      </c>
      <c r="G111" s="401" t="str">
        <f>IFERROR(__xludf.DUMMYFUNCTION("""COMPUTED_VALUE"""),"-")</f>
        <v>-</v>
      </c>
      <c r="H111" s="401" t="str">
        <f>IFERROR(__xludf.DUMMYFUNCTION("""COMPUTED_VALUE"""),"-")</f>
        <v>-</v>
      </c>
      <c r="I111" s="401" t="str">
        <f>IFERROR(__xludf.DUMMYFUNCTION("""COMPUTED_VALUE"""),"-")</f>
        <v>-</v>
      </c>
      <c r="J111" s="318">
        <f>IFERROR(__xludf.DUMMYFUNCTION("""COMPUTED_VALUE"""),57.0)</f>
        <v>57</v>
      </c>
      <c r="K111" s="318">
        <f>IFERROR(__xludf.DUMMYFUNCTION("""COMPUTED_VALUE"""),67.0)</f>
        <v>67</v>
      </c>
      <c r="L111" s="318">
        <f>IFERROR(__xludf.DUMMYFUNCTION("""COMPUTED_VALUE"""),69.0)</f>
        <v>69</v>
      </c>
      <c r="M111" s="385" t="str">
        <f>IFERROR(__xludf.DUMMYFUNCTION("""COMPUTED_VALUE"""),"瞬間型")</f>
        <v>瞬間型</v>
      </c>
      <c r="N111" s="399">
        <f>IFERROR(__xludf.DUMMYFUNCTION("""COMPUTED_VALUE"""),2.0)</f>
        <v>2</v>
      </c>
      <c r="O111" s="400" t="str">
        <f>IFERROR(__xludf.DUMMYFUNCTION("""COMPUTED_VALUE"""),"効果値")</f>
        <v>効果値</v>
      </c>
      <c r="P111" s="343">
        <f>IFERROR(__xludf.DUMMYFUNCTION("""COMPUTED_VALUE"""),21.0)</f>
        <v>21</v>
      </c>
      <c r="Q111" s="402">
        <f>IFERROR(__xludf.DUMMYFUNCTION("""COMPUTED_VALUE"""),21.0)</f>
        <v>21</v>
      </c>
      <c r="R111" s="343">
        <f>IFERROR(__xludf.DUMMYFUNCTION("""COMPUTED_VALUE"""),22.0)</f>
        <v>22</v>
      </c>
      <c r="S111" s="402">
        <f>IFERROR(__xludf.DUMMYFUNCTION("""COMPUTED_VALUE"""),22.0)</f>
        <v>22</v>
      </c>
      <c r="T111" s="343">
        <f>IFERROR(__xludf.DUMMYFUNCTION("""COMPUTED_VALUE"""),22.0)</f>
        <v>22</v>
      </c>
      <c r="U111" s="343">
        <f>IFERROR(__xludf.DUMMYFUNCTION("""COMPUTED_VALUE"""),27.0)</f>
        <v>27</v>
      </c>
      <c r="V111" s="343">
        <f>IFERROR(__xludf.DUMMYFUNCTION("""COMPUTED_VALUE"""),32.0)</f>
        <v>32</v>
      </c>
      <c r="W111" s="343">
        <f>IFERROR(__xludf.DUMMYFUNCTION("""COMPUTED_VALUE"""),34.0)</f>
        <v>34</v>
      </c>
      <c r="X111" s="385" t="str">
        <f>IFERROR(__xludf.DUMMYFUNCTION("""COMPUTED_VALUE"""),"安定型")</f>
        <v>安定型</v>
      </c>
      <c r="Y111" s="399">
        <f>IFERROR(__xludf.DUMMYFUNCTION("""COMPUTED_VALUE"""),2.0)</f>
        <v>2</v>
      </c>
      <c r="Z111" s="400" t="str">
        <f>IFERROR(__xludf.DUMMYFUNCTION("""COMPUTED_VALUE"""),"効果値")</f>
        <v>効果値</v>
      </c>
      <c r="AA111" s="343">
        <f>IFERROR(__xludf.DUMMYFUNCTION("""COMPUTED_VALUE"""),11.0)</f>
        <v>11</v>
      </c>
      <c r="AB111" s="402">
        <f>IFERROR(__xludf.DUMMYFUNCTION("""COMPUTED_VALUE"""),11.0)</f>
        <v>11</v>
      </c>
      <c r="AC111" s="343">
        <f>IFERROR(__xludf.DUMMYFUNCTION("""COMPUTED_VALUE"""),12.0)</f>
        <v>12</v>
      </c>
      <c r="AD111" s="402">
        <f>IFERROR(__xludf.DUMMYFUNCTION("""COMPUTED_VALUE"""),12.0)</f>
        <v>12</v>
      </c>
      <c r="AE111" s="343">
        <f>IFERROR(__xludf.DUMMYFUNCTION("""COMPUTED_VALUE"""),12.0)</f>
        <v>12</v>
      </c>
      <c r="AF111" s="343">
        <f>IFERROR(__xludf.DUMMYFUNCTION("""COMPUTED_VALUE"""),12.0)</f>
        <v>12</v>
      </c>
      <c r="AG111" s="343">
        <f>IFERROR(__xludf.DUMMYFUNCTION("""COMPUTED_VALUE"""),17.0)</f>
        <v>17</v>
      </c>
      <c r="AH111" s="343">
        <f>IFERROR(__xludf.DUMMYFUNCTION("""COMPUTED_VALUE"""),19.0)</f>
        <v>19</v>
      </c>
      <c r="AI111" s="385" t="str">
        <f>IFERROR(__xludf.DUMMYFUNCTION("""COMPUTED_VALUE"""),"持続型")</f>
        <v>持続型</v>
      </c>
      <c r="AJ111" s="399">
        <f>IFERROR(__xludf.DUMMYFUNCTION("""COMPUTED_VALUE"""),2.0)</f>
        <v>2</v>
      </c>
      <c r="AK111" s="400" t="str">
        <f>IFERROR(__xludf.DUMMYFUNCTION("""COMPUTED_VALUE"""),"効果値")</f>
        <v>効果値</v>
      </c>
      <c r="AL111" s="343">
        <f>IFERROR(__xludf.DUMMYFUNCTION("""COMPUTED_VALUE"""),6.0)</f>
        <v>6</v>
      </c>
      <c r="AM111" s="402">
        <f>IFERROR(__xludf.DUMMYFUNCTION("""COMPUTED_VALUE"""),6.0)</f>
        <v>6</v>
      </c>
      <c r="AN111" s="343">
        <f>IFERROR(__xludf.DUMMYFUNCTION("""COMPUTED_VALUE"""),7.0)</f>
        <v>7</v>
      </c>
      <c r="AO111" s="402">
        <f>IFERROR(__xludf.DUMMYFUNCTION("""COMPUTED_VALUE"""),7.0)</f>
        <v>7</v>
      </c>
      <c r="AP111" s="343">
        <f>IFERROR(__xludf.DUMMYFUNCTION("""COMPUTED_VALUE"""),7.0)</f>
        <v>7</v>
      </c>
      <c r="AQ111" s="343">
        <f>IFERROR(__xludf.DUMMYFUNCTION("""COMPUTED_VALUE"""),7.0)</f>
        <v>7</v>
      </c>
      <c r="AR111" s="343">
        <f>IFERROR(__xludf.DUMMYFUNCTION("""COMPUTED_VALUE"""),11.0)</f>
        <v>11</v>
      </c>
      <c r="AS111" s="343">
        <f>IFERROR(__xludf.DUMMYFUNCTION("""COMPUTED_VALUE"""),11.0)</f>
        <v>11</v>
      </c>
      <c r="AT111" s="385" t="str">
        <f>IFERROR(__xludf.DUMMYFUNCTION("""COMPUTED_VALUE"""),"超持続型")</f>
        <v>超持続型</v>
      </c>
      <c r="AU111" s="399">
        <f>IFERROR(__xludf.DUMMYFUNCTION("""COMPUTED_VALUE"""),2.0)</f>
        <v>2</v>
      </c>
      <c r="AV111" s="400" t="str">
        <f>IFERROR(__xludf.DUMMYFUNCTION("""COMPUTED_VALUE"""),"効果値")</f>
        <v>効果値</v>
      </c>
      <c r="AW111" s="403" t="str">
        <f>IFERROR(__xludf.DUMMYFUNCTION("""COMPUTED_VALUE"""),"-")</f>
        <v>-</v>
      </c>
      <c r="AX111" s="403" t="str">
        <f>IFERROR(__xludf.DUMMYFUNCTION("""COMPUTED_VALUE"""),"-")</f>
        <v>-</v>
      </c>
      <c r="AY111" s="403" t="str">
        <f>IFERROR(__xludf.DUMMYFUNCTION("""COMPUTED_VALUE"""),"-")</f>
        <v>-</v>
      </c>
      <c r="AZ111" s="403" t="str">
        <f>IFERROR(__xludf.DUMMYFUNCTION("""COMPUTED_VALUE"""),"-")</f>
        <v>-</v>
      </c>
      <c r="BA111" s="403" t="str">
        <f>IFERROR(__xludf.DUMMYFUNCTION("""COMPUTED_VALUE"""),"-")</f>
        <v>-</v>
      </c>
      <c r="BB111" s="343">
        <f>IFERROR(__xludf.DUMMYFUNCTION("""COMPUTED_VALUE"""),7.0)</f>
        <v>7</v>
      </c>
      <c r="BC111" s="343">
        <f>IFERROR(__xludf.DUMMYFUNCTION("""COMPUTED_VALUE"""),11.0)</f>
        <v>11</v>
      </c>
      <c r="BD111" s="343">
        <f>IFERROR(__xludf.DUMMYFUNCTION("""COMPUTED_VALUE"""),11.0)</f>
        <v>11</v>
      </c>
      <c r="BE111" s="385" t="str">
        <f>IFERROR(__xludf.DUMMYFUNCTION("""COMPUTED_VALUE"""),"ハイブリッド型")</f>
        <v>ハイブリッド型</v>
      </c>
      <c r="BF111" s="399">
        <f>IFERROR(__xludf.DUMMYFUNCTION("""COMPUTED_VALUE"""),2.0)</f>
        <v>2</v>
      </c>
      <c r="BG111" s="400" t="str">
        <f>IFERROR(__xludf.DUMMYFUNCTION("""COMPUTED_VALUE"""),"効果値")</f>
        <v>効果値</v>
      </c>
      <c r="BH111" s="404">
        <f>IFERROR(__xludf.DUMMYFUNCTION("""COMPUTED_VALUE"""),10.8)</f>
        <v>10.8</v>
      </c>
      <c r="BI111" s="405">
        <f>IFERROR(__xludf.DUMMYFUNCTION("""COMPUTED_VALUE"""),11.2)</f>
        <v>11.2</v>
      </c>
      <c r="BJ111" s="405">
        <f>IFERROR(__xludf.DUMMYFUNCTION("""COMPUTED_VALUE"""),11.5)</f>
        <v>11.5</v>
      </c>
      <c r="BK111" s="405">
        <f>IFERROR(__xludf.DUMMYFUNCTION("""COMPUTED_VALUE"""),11.8)</f>
        <v>11.8</v>
      </c>
      <c r="BL111" s="405">
        <f>IFERROR(__xludf.DUMMYFUNCTION("""COMPUTED_VALUE"""),12.1)</f>
        <v>12.1</v>
      </c>
      <c r="BM111" s="405">
        <f>IFERROR(__xludf.DUMMYFUNCTION("""COMPUTED_VALUE"""),17.1)</f>
        <v>17.1</v>
      </c>
      <c r="BN111" s="405">
        <f>IFERROR(__xludf.DUMMYFUNCTION("""COMPUTED_VALUE"""),22.0)</f>
        <v>22</v>
      </c>
      <c r="BO111" s="406">
        <f>IFERROR(__xludf.DUMMYFUNCTION("""COMPUTED_VALUE"""),24.0)</f>
        <v>24</v>
      </c>
    </row>
    <row r="112">
      <c r="A112" s="307" t="str">
        <f>IFERROR(__xludf.DUMMYFUNCTION("""COMPUTED_VALUE"""),"ダメージカット")</f>
        <v>ダメージカット</v>
      </c>
      <c r="B112" s="385" t="str">
        <f>IFERROR(__xludf.DUMMYFUNCTION("""COMPUTED_VALUE"""),"超瞬間型")</f>
        <v>超瞬間型</v>
      </c>
      <c r="C112" s="386">
        <f>IFERROR(__xludf.DUMMYFUNCTION("""COMPUTED_VALUE"""),2.0)</f>
        <v>2</v>
      </c>
      <c r="D112" s="387" t="str">
        <f>IFERROR(__xludf.DUMMYFUNCTION("""COMPUTED_VALUE"""),"効果時間")</f>
        <v>効果時間</v>
      </c>
      <c r="E112" s="388" t="str">
        <f>IFERROR(__xludf.DUMMYFUNCTION("""COMPUTED_VALUE"""),"-")</f>
        <v>-</v>
      </c>
      <c r="F112" s="389" t="str">
        <f>IFERROR(__xludf.DUMMYFUNCTION("""COMPUTED_VALUE"""),"-")</f>
        <v>-</v>
      </c>
      <c r="G112" s="388" t="str">
        <f>IFERROR(__xludf.DUMMYFUNCTION("""COMPUTED_VALUE"""),"-")</f>
        <v>-</v>
      </c>
      <c r="H112" s="389" t="str">
        <f>IFERROR(__xludf.DUMMYFUNCTION("""COMPUTED_VALUE"""),"-")</f>
        <v>-</v>
      </c>
      <c r="I112" s="388" t="str">
        <f>IFERROR(__xludf.DUMMYFUNCTION("""COMPUTED_VALUE"""),"-")</f>
        <v>-</v>
      </c>
      <c r="J112" s="390">
        <f>IFERROR(__xludf.DUMMYFUNCTION("""COMPUTED_VALUE"""),150.0)</f>
        <v>150</v>
      </c>
      <c r="K112" s="391">
        <f>IFERROR(__xludf.DUMMYFUNCTION("""COMPUTED_VALUE"""),160.0)</f>
        <v>160</v>
      </c>
      <c r="L112" s="340">
        <f>IFERROR(__xludf.DUMMYFUNCTION("""COMPUTED_VALUE"""),170.0)</f>
        <v>170</v>
      </c>
      <c r="M112" s="385" t="str">
        <f>IFERROR(__xludf.DUMMYFUNCTION("""COMPUTED_VALUE"""),"瞬間型")</f>
        <v>瞬間型</v>
      </c>
      <c r="N112" s="386">
        <f>IFERROR(__xludf.DUMMYFUNCTION("""COMPUTED_VALUE"""),2.0)</f>
        <v>2</v>
      </c>
      <c r="O112" s="387" t="str">
        <f>IFERROR(__xludf.DUMMYFUNCTION("""COMPUTED_VALUE"""),"効果時間")</f>
        <v>効果時間</v>
      </c>
      <c r="P112" s="392">
        <f>IFERROR(__xludf.DUMMYFUNCTION("""COMPUTED_VALUE"""),160.0)</f>
        <v>160</v>
      </c>
      <c r="Q112" s="275">
        <f>IFERROR(__xludf.DUMMYFUNCTION("""COMPUTED_VALUE"""),165.0)</f>
        <v>165</v>
      </c>
      <c r="R112" s="280">
        <f>IFERROR(__xludf.DUMMYFUNCTION("""COMPUTED_VALUE"""),170.0)</f>
        <v>170</v>
      </c>
      <c r="S112" s="275">
        <f>IFERROR(__xludf.DUMMYFUNCTION("""COMPUTED_VALUE"""),175.0)</f>
        <v>175</v>
      </c>
      <c r="T112" s="280">
        <f>IFERROR(__xludf.DUMMYFUNCTION("""COMPUTED_VALUE"""),180.0)</f>
        <v>180</v>
      </c>
      <c r="U112" s="280">
        <f>IFERROR(__xludf.DUMMYFUNCTION("""COMPUTED_VALUE"""),180.0)</f>
        <v>180</v>
      </c>
      <c r="V112" s="280">
        <f>IFERROR(__xludf.DUMMYFUNCTION("""COMPUTED_VALUE"""),220.0)</f>
        <v>220</v>
      </c>
      <c r="W112" s="280">
        <f>IFERROR(__xludf.DUMMYFUNCTION("""COMPUTED_VALUE"""),230.0)</f>
        <v>230</v>
      </c>
      <c r="X112" s="385" t="str">
        <f>IFERROR(__xludf.DUMMYFUNCTION("""COMPUTED_VALUE"""),"安定型")</f>
        <v>安定型</v>
      </c>
      <c r="Y112" s="386">
        <f>IFERROR(__xludf.DUMMYFUNCTION("""COMPUTED_VALUE"""),2.0)</f>
        <v>2</v>
      </c>
      <c r="Z112" s="387" t="str">
        <f>IFERROR(__xludf.DUMMYFUNCTION("""COMPUTED_VALUE"""),"効果時間")</f>
        <v>効果時間</v>
      </c>
      <c r="AA112" s="392">
        <f>IFERROR(__xludf.DUMMYFUNCTION("""COMPUTED_VALUE"""),310.0)</f>
        <v>310</v>
      </c>
      <c r="AB112" s="275">
        <f>IFERROR(__xludf.DUMMYFUNCTION("""COMPUTED_VALUE"""),315.0)</f>
        <v>315</v>
      </c>
      <c r="AC112" s="280">
        <f>IFERROR(__xludf.DUMMYFUNCTION("""COMPUTED_VALUE"""),320.0)</f>
        <v>320</v>
      </c>
      <c r="AD112" s="275">
        <f>IFERROR(__xludf.DUMMYFUNCTION("""COMPUTED_VALUE"""),325.0)</f>
        <v>325</v>
      </c>
      <c r="AE112" s="280">
        <f>IFERROR(__xludf.DUMMYFUNCTION("""COMPUTED_VALUE"""),330.0)</f>
        <v>330</v>
      </c>
      <c r="AF112" s="280">
        <f>IFERROR(__xludf.DUMMYFUNCTION("""COMPUTED_VALUE"""),345.0)</f>
        <v>345</v>
      </c>
      <c r="AG112" s="280">
        <f>IFERROR(__xludf.DUMMYFUNCTION("""COMPUTED_VALUE"""),370.0)</f>
        <v>370</v>
      </c>
      <c r="AH112" s="280">
        <f>IFERROR(__xludf.DUMMYFUNCTION("""COMPUTED_VALUE"""),380.0)</f>
        <v>380</v>
      </c>
      <c r="AI112" s="385" t="str">
        <f>IFERROR(__xludf.DUMMYFUNCTION("""COMPUTED_VALUE"""),"持続型")</f>
        <v>持続型</v>
      </c>
      <c r="AJ112" s="386">
        <f>IFERROR(__xludf.DUMMYFUNCTION("""COMPUTED_VALUE"""),2.0)</f>
        <v>2</v>
      </c>
      <c r="AK112" s="387" t="str">
        <f>IFERROR(__xludf.DUMMYFUNCTION("""COMPUTED_VALUE"""),"効果時間")</f>
        <v>効果時間</v>
      </c>
      <c r="AL112" s="392">
        <f>IFERROR(__xludf.DUMMYFUNCTION("""COMPUTED_VALUE"""),460.0)</f>
        <v>460</v>
      </c>
      <c r="AM112" s="275">
        <f>IFERROR(__xludf.DUMMYFUNCTION("""COMPUTED_VALUE"""),465.0)</f>
        <v>465</v>
      </c>
      <c r="AN112" s="280">
        <f>IFERROR(__xludf.DUMMYFUNCTION("""COMPUTED_VALUE"""),470.0)</f>
        <v>470</v>
      </c>
      <c r="AO112" s="275">
        <f>IFERROR(__xludf.DUMMYFUNCTION("""COMPUTED_VALUE"""),475.0)</f>
        <v>475</v>
      </c>
      <c r="AP112" s="280">
        <f>IFERROR(__xludf.DUMMYFUNCTION("""COMPUTED_VALUE"""),480.0)</f>
        <v>480</v>
      </c>
      <c r="AQ112" s="280">
        <f>IFERROR(__xludf.DUMMYFUNCTION("""COMPUTED_VALUE"""),495.0)</f>
        <v>495</v>
      </c>
      <c r="AR112" s="280">
        <f>IFERROR(__xludf.DUMMYFUNCTION("""COMPUTED_VALUE"""),520.0)</f>
        <v>520</v>
      </c>
      <c r="AS112" s="280">
        <f>IFERROR(__xludf.DUMMYFUNCTION("""COMPUTED_VALUE"""),530.0)</f>
        <v>530</v>
      </c>
      <c r="AT112" s="385" t="str">
        <f>IFERROR(__xludf.DUMMYFUNCTION("""COMPUTED_VALUE"""),"超持続型")</f>
        <v>超持続型</v>
      </c>
      <c r="AU112" s="386">
        <f>IFERROR(__xludf.DUMMYFUNCTION("""COMPUTED_VALUE"""),2.0)</f>
        <v>2</v>
      </c>
      <c r="AV112" s="387" t="str">
        <f>IFERROR(__xludf.DUMMYFUNCTION("""COMPUTED_VALUE"""),"効果時間")</f>
        <v>効果時間</v>
      </c>
      <c r="AW112" s="368" t="str">
        <f>IFERROR(__xludf.DUMMYFUNCTION("""COMPUTED_VALUE"""),"-")</f>
        <v>-</v>
      </c>
      <c r="AX112" s="368" t="str">
        <f>IFERROR(__xludf.DUMMYFUNCTION("""COMPUTED_VALUE"""),"-")</f>
        <v>-</v>
      </c>
      <c r="AY112" s="368" t="str">
        <f>IFERROR(__xludf.DUMMYFUNCTION("""COMPUTED_VALUE"""),"-")</f>
        <v>-</v>
      </c>
      <c r="AZ112" s="368" t="str">
        <f>IFERROR(__xludf.DUMMYFUNCTION("""COMPUTED_VALUE"""),"-")</f>
        <v>-</v>
      </c>
      <c r="BA112" s="368" t="str">
        <f>IFERROR(__xludf.DUMMYFUNCTION("""COMPUTED_VALUE"""),"-")</f>
        <v>-</v>
      </c>
      <c r="BB112" s="280">
        <f>IFERROR(__xludf.DUMMYFUNCTION("""COMPUTED_VALUE"""),625.0)</f>
        <v>625</v>
      </c>
      <c r="BC112" s="280">
        <f>IFERROR(__xludf.DUMMYFUNCTION("""COMPUTED_VALUE"""),670.0)</f>
        <v>670</v>
      </c>
      <c r="BD112" s="280">
        <f>IFERROR(__xludf.DUMMYFUNCTION("""COMPUTED_VALUE"""),680.0)</f>
        <v>680</v>
      </c>
      <c r="BE112" s="385" t="str">
        <f>IFERROR(__xludf.DUMMYFUNCTION("""COMPUTED_VALUE"""),"ハイブリッド型")</f>
        <v>ハイブリッド型</v>
      </c>
      <c r="BF112" s="386">
        <f>IFERROR(__xludf.DUMMYFUNCTION("""COMPUTED_VALUE"""),2.0)</f>
        <v>2</v>
      </c>
      <c r="BG112" s="387" t="str">
        <f>IFERROR(__xludf.DUMMYFUNCTION("""COMPUTED_VALUE"""),"効果時間")</f>
        <v>効果時間</v>
      </c>
      <c r="BH112" s="407">
        <f>IFERROR(__xludf.DUMMYFUNCTION("""COMPUTED_VALUE"""),195.0)</f>
        <v>195</v>
      </c>
      <c r="BI112" s="407">
        <f>IFERROR(__xludf.DUMMYFUNCTION("""COMPUTED_VALUE"""),205.0)</f>
        <v>205</v>
      </c>
      <c r="BJ112" s="407">
        <f>IFERROR(__xludf.DUMMYFUNCTION("""COMPUTED_VALUE"""),205.0)</f>
        <v>205</v>
      </c>
      <c r="BK112" s="408">
        <f>IFERROR(__xludf.DUMMYFUNCTION("""COMPUTED_VALUE"""),210.0)</f>
        <v>210</v>
      </c>
      <c r="BL112" s="407">
        <f>IFERROR(__xludf.DUMMYFUNCTION("""COMPUTED_VALUE"""),215.0)</f>
        <v>215</v>
      </c>
      <c r="BM112" s="408">
        <f>IFERROR(__xludf.DUMMYFUNCTION("""COMPUTED_VALUE"""),375.0)</f>
        <v>375</v>
      </c>
      <c r="BN112" s="407">
        <f>IFERROR(__xludf.DUMMYFUNCTION("""COMPUTED_VALUE"""),480.0)</f>
        <v>480</v>
      </c>
      <c r="BO112" s="408">
        <f>IFERROR(__xludf.DUMMYFUNCTION("""COMPUTED_VALUE"""),490.0)</f>
        <v>490</v>
      </c>
    </row>
    <row r="113">
      <c r="A113" s="307" t="str">
        <f>IFERROR(__xludf.DUMMYFUNCTION("""COMPUTED_VALUE"""),"ダメージカット")</f>
        <v>ダメージカット</v>
      </c>
      <c r="B113" s="385" t="str">
        <f>IFERROR(__xludf.DUMMYFUNCTION("""COMPUTED_VALUE"""),"超瞬間型")</f>
        <v>超瞬間型</v>
      </c>
      <c r="C113" s="399">
        <f>IFERROR(__xludf.DUMMYFUNCTION("""COMPUTED_VALUE"""),3.0)</f>
        <v>3</v>
      </c>
      <c r="D113" s="400" t="str">
        <f>IFERROR(__xludf.DUMMYFUNCTION("""COMPUTED_VALUE"""),"効果値")</f>
        <v>効果値</v>
      </c>
      <c r="E113" s="401" t="str">
        <f>IFERROR(__xludf.DUMMYFUNCTION("""COMPUTED_VALUE"""),"-")</f>
        <v>-</v>
      </c>
      <c r="F113" s="409" t="str">
        <f>IFERROR(__xludf.DUMMYFUNCTION("""COMPUTED_VALUE"""),"-")</f>
        <v>-</v>
      </c>
      <c r="G113" s="401" t="str">
        <f>IFERROR(__xludf.DUMMYFUNCTION("""COMPUTED_VALUE"""),"-")</f>
        <v>-</v>
      </c>
      <c r="H113" s="409" t="str">
        <f>IFERROR(__xludf.DUMMYFUNCTION("""COMPUTED_VALUE"""),"-")</f>
        <v>-</v>
      </c>
      <c r="I113" s="409" t="str">
        <f>IFERROR(__xludf.DUMMYFUNCTION("""COMPUTED_VALUE"""),"-")</f>
        <v>-</v>
      </c>
      <c r="J113" s="410">
        <f>IFERROR(__xludf.DUMMYFUNCTION("""COMPUTED_VALUE"""),58.0)</f>
        <v>58</v>
      </c>
      <c r="K113" s="410">
        <f>IFERROR(__xludf.DUMMYFUNCTION("""COMPUTED_VALUE"""),68.0)</f>
        <v>68</v>
      </c>
      <c r="L113" s="410">
        <f>IFERROR(__xludf.DUMMYFUNCTION("""COMPUTED_VALUE"""),72.0)</f>
        <v>72</v>
      </c>
      <c r="M113" s="385" t="str">
        <f>IFERROR(__xludf.DUMMYFUNCTION("""COMPUTED_VALUE"""),"瞬間型")</f>
        <v>瞬間型</v>
      </c>
      <c r="N113" s="399">
        <f>IFERROR(__xludf.DUMMYFUNCTION("""COMPUTED_VALUE"""),3.0)</f>
        <v>3</v>
      </c>
      <c r="O113" s="400" t="str">
        <f>IFERROR(__xludf.DUMMYFUNCTION("""COMPUTED_VALUE"""),"効果値")</f>
        <v>効果値</v>
      </c>
      <c r="P113" s="343">
        <f>IFERROR(__xludf.DUMMYFUNCTION("""COMPUTED_VALUE"""),22.0)</f>
        <v>22</v>
      </c>
      <c r="Q113" s="402">
        <f>IFERROR(__xludf.DUMMYFUNCTION("""COMPUTED_VALUE"""),22.0)</f>
        <v>22</v>
      </c>
      <c r="R113" s="402">
        <f>IFERROR(__xludf.DUMMYFUNCTION("""COMPUTED_VALUE"""),23.0)</f>
        <v>23</v>
      </c>
      <c r="S113" s="402">
        <f>IFERROR(__xludf.DUMMYFUNCTION("""COMPUTED_VALUE"""),23.0)</f>
        <v>23</v>
      </c>
      <c r="T113" s="402">
        <f>IFERROR(__xludf.DUMMYFUNCTION("""COMPUTED_VALUE"""),23.0)</f>
        <v>23</v>
      </c>
      <c r="U113" s="402">
        <f>IFERROR(__xludf.DUMMYFUNCTION("""COMPUTED_VALUE"""),28.0)</f>
        <v>28</v>
      </c>
      <c r="V113" s="402">
        <f>IFERROR(__xludf.DUMMYFUNCTION("""COMPUTED_VALUE"""),33.0)</f>
        <v>33</v>
      </c>
      <c r="W113" s="402">
        <f>IFERROR(__xludf.DUMMYFUNCTION("""COMPUTED_VALUE"""),37.0)</f>
        <v>37</v>
      </c>
      <c r="X113" s="385" t="str">
        <f>IFERROR(__xludf.DUMMYFUNCTION("""COMPUTED_VALUE"""),"安定型")</f>
        <v>安定型</v>
      </c>
      <c r="Y113" s="399">
        <f>IFERROR(__xludf.DUMMYFUNCTION("""COMPUTED_VALUE"""),3.0)</f>
        <v>3</v>
      </c>
      <c r="Z113" s="400" t="str">
        <f>IFERROR(__xludf.DUMMYFUNCTION("""COMPUTED_VALUE"""),"効果値")</f>
        <v>効果値</v>
      </c>
      <c r="AA113" s="343">
        <f>IFERROR(__xludf.DUMMYFUNCTION("""COMPUTED_VALUE"""),12.0)</f>
        <v>12</v>
      </c>
      <c r="AB113" s="402">
        <f>IFERROR(__xludf.DUMMYFUNCTION("""COMPUTED_VALUE"""),12.0)</f>
        <v>12</v>
      </c>
      <c r="AC113" s="402">
        <f>IFERROR(__xludf.DUMMYFUNCTION("""COMPUTED_VALUE"""),13.0)</f>
        <v>13</v>
      </c>
      <c r="AD113" s="402">
        <f>IFERROR(__xludf.DUMMYFUNCTION("""COMPUTED_VALUE"""),13.0)</f>
        <v>13</v>
      </c>
      <c r="AE113" s="402">
        <f>IFERROR(__xludf.DUMMYFUNCTION("""COMPUTED_VALUE"""),13.0)</f>
        <v>13</v>
      </c>
      <c r="AF113" s="402">
        <f>IFERROR(__xludf.DUMMYFUNCTION("""COMPUTED_VALUE"""),13.0)</f>
        <v>13</v>
      </c>
      <c r="AG113" s="402">
        <f>IFERROR(__xludf.DUMMYFUNCTION("""COMPUTED_VALUE"""),18.0)</f>
        <v>18</v>
      </c>
      <c r="AH113" s="402">
        <f>IFERROR(__xludf.DUMMYFUNCTION("""COMPUTED_VALUE"""),22.0)</f>
        <v>22</v>
      </c>
      <c r="AI113" s="385" t="str">
        <f>IFERROR(__xludf.DUMMYFUNCTION("""COMPUTED_VALUE"""),"持続型")</f>
        <v>持続型</v>
      </c>
      <c r="AJ113" s="399">
        <f>IFERROR(__xludf.DUMMYFUNCTION("""COMPUTED_VALUE"""),3.0)</f>
        <v>3</v>
      </c>
      <c r="AK113" s="400" t="str">
        <f>IFERROR(__xludf.DUMMYFUNCTION("""COMPUTED_VALUE"""),"効果値")</f>
        <v>効果値</v>
      </c>
      <c r="AL113" s="343">
        <f>IFERROR(__xludf.DUMMYFUNCTION("""COMPUTED_VALUE"""),7.0)</f>
        <v>7</v>
      </c>
      <c r="AM113" s="402">
        <f>IFERROR(__xludf.DUMMYFUNCTION("""COMPUTED_VALUE"""),7.0)</f>
        <v>7</v>
      </c>
      <c r="AN113" s="402">
        <f>IFERROR(__xludf.DUMMYFUNCTION("""COMPUTED_VALUE"""),8.0)</f>
        <v>8</v>
      </c>
      <c r="AO113" s="402">
        <f>IFERROR(__xludf.DUMMYFUNCTION("""COMPUTED_VALUE"""),8.0)</f>
        <v>8</v>
      </c>
      <c r="AP113" s="402">
        <f>IFERROR(__xludf.DUMMYFUNCTION("""COMPUTED_VALUE"""),8.0)</f>
        <v>8</v>
      </c>
      <c r="AQ113" s="402">
        <f>IFERROR(__xludf.DUMMYFUNCTION("""COMPUTED_VALUE"""),8.0)</f>
        <v>8</v>
      </c>
      <c r="AR113" s="402">
        <f>IFERROR(__xludf.DUMMYFUNCTION("""COMPUTED_VALUE"""),11.0)</f>
        <v>11</v>
      </c>
      <c r="AS113" s="402">
        <f>IFERROR(__xludf.DUMMYFUNCTION("""COMPUTED_VALUE"""),11.0)</f>
        <v>11</v>
      </c>
      <c r="AT113" s="385" t="str">
        <f>IFERROR(__xludf.DUMMYFUNCTION("""COMPUTED_VALUE"""),"超持続型")</f>
        <v>超持続型</v>
      </c>
      <c r="AU113" s="399">
        <f>IFERROR(__xludf.DUMMYFUNCTION("""COMPUTED_VALUE"""),3.0)</f>
        <v>3</v>
      </c>
      <c r="AV113" s="400" t="str">
        <f>IFERROR(__xludf.DUMMYFUNCTION("""COMPUTED_VALUE"""),"効果値")</f>
        <v>効果値</v>
      </c>
      <c r="AW113" s="403" t="str">
        <f>IFERROR(__xludf.DUMMYFUNCTION("""COMPUTED_VALUE"""),"-")</f>
        <v>-</v>
      </c>
      <c r="AX113" s="403" t="str">
        <f>IFERROR(__xludf.DUMMYFUNCTION("""COMPUTED_VALUE"""),"-")</f>
        <v>-</v>
      </c>
      <c r="AY113" s="403" t="str">
        <f>IFERROR(__xludf.DUMMYFUNCTION("""COMPUTED_VALUE"""),"-")</f>
        <v>-</v>
      </c>
      <c r="AZ113" s="403" t="str">
        <f>IFERROR(__xludf.DUMMYFUNCTION("""COMPUTED_VALUE"""),"-")</f>
        <v>-</v>
      </c>
      <c r="BA113" s="403" t="str">
        <f>IFERROR(__xludf.DUMMYFUNCTION("""COMPUTED_VALUE"""),"-")</f>
        <v>-</v>
      </c>
      <c r="BB113" s="343">
        <f>IFERROR(__xludf.DUMMYFUNCTION("""COMPUTED_VALUE"""),8.0)</f>
        <v>8</v>
      </c>
      <c r="BC113" s="343">
        <f>IFERROR(__xludf.DUMMYFUNCTION("""COMPUTED_VALUE"""),11.0)</f>
        <v>11</v>
      </c>
      <c r="BD113" s="343">
        <f>IFERROR(__xludf.DUMMYFUNCTION("""COMPUTED_VALUE"""),11.0)</f>
        <v>11</v>
      </c>
      <c r="BE113" s="385" t="str">
        <f>IFERROR(__xludf.DUMMYFUNCTION("""COMPUTED_VALUE"""),"ハイブリッド型")</f>
        <v>ハイブリッド型</v>
      </c>
      <c r="BF113" s="399">
        <f>IFERROR(__xludf.DUMMYFUNCTION("""COMPUTED_VALUE"""),3.0)</f>
        <v>3</v>
      </c>
      <c r="BG113" s="400" t="str">
        <f>IFERROR(__xludf.DUMMYFUNCTION("""COMPUTED_VALUE"""),"効果値")</f>
        <v>効果値</v>
      </c>
      <c r="BH113" s="411">
        <f>IFERROR(__xludf.DUMMYFUNCTION("""COMPUTED_VALUE"""),11.4)</f>
        <v>11.4</v>
      </c>
      <c r="BI113" s="412">
        <f>IFERROR(__xludf.DUMMYFUNCTION("""COMPUTED_VALUE"""),11.9)</f>
        <v>11.9</v>
      </c>
      <c r="BJ113" s="412">
        <f>IFERROR(__xludf.DUMMYFUNCTION("""COMPUTED_VALUE"""),12.5)</f>
        <v>12.5</v>
      </c>
      <c r="BK113" s="412">
        <f>IFERROR(__xludf.DUMMYFUNCTION("""COMPUTED_VALUE"""),13.0)</f>
        <v>13</v>
      </c>
      <c r="BL113" s="412">
        <f>IFERROR(__xludf.DUMMYFUNCTION("""COMPUTED_VALUE"""),13.5)</f>
        <v>13.5</v>
      </c>
      <c r="BM113" s="412">
        <f>IFERROR(__xludf.DUMMYFUNCTION("""COMPUTED_VALUE"""),18.5)</f>
        <v>18.5</v>
      </c>
      <c r="BN113" s="412">
        <f>IFERROR(__xludf.DUMMYFUNCTION("""COMPUTED_VALUE"""),23.0)</f>
        <v>23</v>
      </c>
      <c r="BO113" s="413">
        <f>IFERROR(__xludf.DUMMYFUNCTION("""COMPUTED_VALUE"""),27.0)</f>
        <v>27</v>
      </c>
    </row>
    <row r="114">
      <c r="A114" s="320" t="str">
        <f>IFERROR(__xludf.DUMMYFUNCTION("""COMPUTED_VALUE"""),"ダメージカット")</f>
        <v>ダメージカット</v>
      </c>
      <c r="B114" s="385" t="str">
        <f>IFERROR(__xludf.DUMMYFUNCTION("""COMPUTED_VALUE"""),"超瞬間型")</f>
        <v>超瞬間型</v>
      </c>
      <c r="C114" s="386">
        <f>IFERROR(__xludf.DUMMYFUNCTION("""COMPUTED_VALUE"""),3.0)</f>
        <v>3</v>
      </c>
      <c r="D114" s="387" t="str">
        <f>IFERROR(__xludf.DUMMYFUNCTION("""COMPUTED_VALUE"""),"効果時間")</f>
        <v>効果時間</v>
      </c>
      <c r="E114" s="388" t="str">
        <f>IFERROR(__xludf.DUMMYFUNCTION("""COMPUTED_VALUE"""),"-")</f>
        <v>-</v>
      </c>
      <c r="F114" s="389" t="str">
        <f>IFERROR(__xludf.DUMMYFUNCTION("""COMPUTED_VALUE"""),"-")</f>
        <v>-</v>
      </c>
      <c r="G114" s="388" t="str">
        <f>IFERROR(__xludf.DUMMYFUNCTION("""COMPUTED_VALUE"""),"-")</f>
        <v>-</v>
      </c>
      <c r="H114" s="389" t="str">
        <f>IFERROR(__xludf.DUMMYFUNCTION("""COMPUTED_VALUE"""),"-")</f>
        <v>-</v>
      </c>
      <c r="I114" s="388" t="str">
        <f>IFERROR(__xludf.DUMMYFUNCTION("""COMPUTED_VALUE"""),"-")</f>
        <v>-</v>
      </c>
      <c r="J114" s="390">
        <f>IFERROR(__xludf.DUMMYFUNCTION("""COMPUTED_VALUE"""),155.0)</f>
        <v>155</v>
      </c>
      <c r="K114" s="391">
        <f>IFERROR(__xludf.DUMMYFUNCTION("""COMPUTED_VALUE"""),165.0)</f>
        <v>165</v>
      </c>
      <c r="L114" s="340">
        <f>IFERROR(__xludf.DUMMYFUNCTION("""COMPUTED_VALUE"""),185.0)</f>
        <v>185</v>
      </c>
      <c r="M114" s="385" t="str">
        <f>IFERROR(__xludf.DUMMYFUNCTION("""COMPUTED_VALUE"""),"瞬間型")</f>
        <v>瞬間型</v>
      </c>
      <c r="N114" s="386">
        <f>IFERROR(__xludf.DUMMYFUNCTION("""COMPUTED_VALUE"""),3.0)</f>
        <v>3</v>
      </c>
      <c r="O114" s="387" t="str">
        <f>IFERROR(__xludf.DUMMYFUNCTION("""COMPUTED_VALUE"""),"効果時間")</f>
        <v>効果時間</v>
      </c>
      <c r="P114" s="392">
        <f>IFERROR(__xludf.DUMMYFUNCTION("""COMPUTED_VALUE"""),165.0)</f>
        <v>165</v>
      </c>
      <c r="Q114" s="414">
        <f>IFERROR(__xludf.DUMMYFUNCTION("""COMPUTED_VALUE"""),175.0)</f>
        <v>175</v>
      </c>
      <c r="R114" s="415">
        <f>IFERROR(__xludf.DUMMYFUNCTION("""COMPUTED_VALUE"""),180.0)</f>
        <v>180</v>
      </c>
      <c r="S114" s="393">
        <f>IFERROR(__xludf.DUMMYFUNCTION("""COMPUTED_VALUE"""),185.0)</f>
        <v>185</v>
      </c>
      <c r="T114" s="393">
        <f>IFERROR(__xludf.DUMMYFUNCTION("""COMPUTED_VALUE"""),195.0)</f>
        <v>195</v>
      </c>
      <c r="U114" s="414">
        <f>IFERROR(__xludf.DUMMYFUNCTION("""COMPUTED_VALUE"""),200.0)</f>
        <v>200</v>
      </c>
      <c r="V114" s="416">
        <f>IFERROR(__xludf.DUMMYFUNCTION("""COMPUTED_VALUE"""),255.0)</f>
        <v>255</v>
      </c>
      <c r="W114" s="415">
        <f>IFERROR(__xludf.DUMMYFUNCTION("""COMPUTED_VALUE"""),270.0)</f>
        <v>270</v>
      </c>
      <c r="X114" s="385" t="str">
        <f>IFERROR(__xludf.DUMMYFUNCTION("""COMPUTED_VALUE"""),"安定型")</f>
        <v>安定型</v>
      </c>
      <c r="Y114" s="386">
        <f>IFERROR(__xludf.DUMMYFUNCTION("""COMPUTED_VALUE"""),3.0)</f>
        <v>3</v>
      </c>
      <c r="Z114" s="387" t="str">
        <f>IFERROR(__xludf.DUMMYFUNCTION("""COMPUTED_VALUE"""),"効果時間")</f>
        <v>効果時間</v>
      </c>
      <c r="AA114" s="392">
        <f>IFERROR(__xludf.DUMMYFUNCTION("""COMPUTED_VALUE"""),315.0)</f>
        <v>315</v>
      </c>
      <c r="AB114" s="414">
        <f>IFERROR(__xludf.DUMMYFUNCTION("""COMPUTED_VALUE"""),325.0)</f>
        <v>325</v>
      </c>
      <c r="AC114" s="415">
        <f>IFERROR(__xludf.DUMMYFUNCTION("""COMPUTED_VALUE"""),330.0)</f>
        <v>330</v>
      </c>
      <c r="AD114" s="393">
        <f>IFERROR(__xludf.DUMMYFUNCTION("""COMPUTED_VALUE"""),335.0)</f>
        <v>335</v>
      </c>
      <c r="AE114" s="393">
        <f>IFERROR(__xludf.DUMMYFUNCTION("""COMPUTED_VALUE"""),345.0)</f>
        <v>345</v>
      </c>
      <c r="AF114" s="414">
        <f>IFERROR(__xludf.DUMMYFUNCTION("""COMPUTED_VALUE"""),370.0)</f>
        <v>370</v>
      </c>
      <c r="AG114" s="416">
        <f>IFERROR(__xludf.DUMMYFUNCTION("""COMPUTED_VALUE"""),405.0)</f>
        <v>405</v>
      </c>
      <c r="AH114" s="415">
        <f>IFERROR(__xludf.DUMMYFUNCTION("""COMPUTED_VALUE"""),420.0)</f>
        <v>420</v>
      </c>
      <c r="AI114" s="385" t="str">
        <f>IFERROR(__xludf.DUMMYFUNCTION("""COMPUTED_VALUE"""),"持続型")</f>
        <v>持続型</v>
      </c>
      <c r="AJ114" s="386">
        <f>IFERROR(__xludf.DUMMYFUNCTION("""COMPUTED_VALUE"""),3.0)</f>
        <v>3</v>
      </c>
      <c r="AK114" s="387" t="str">
        <f>IFERROR(__xludf.DUMMYFUNCTION("""COMPUTED_VALUE"""),"効果時間")</f>
        <v>効果時間</v>
      </c>
      <c r="AL114" s="392">
        <f>IFERROR(__xludf.DUMMYFUNCTION("""COMPUTED_VALUE"""),465.0)</f>
        <v>465</v>
      </c>
      <c r="AM114" s="414">
        <f>IFERROR(__xludf.DUMMYFUNCTION("""COMPUTED_VALUE"""),475.0)</f>
        <v>475</v>
      </c>
      <c r="AN114" s="415">
        <f>IFERROR(__xludf.DUMMYFUNCTION("""COMPUTED_VALUE"""),480.0)</f>
        <v>480</v>
      </c>
      <c r="AO114" s="393">
        <f>IFERROR(__xludf.DUMMYFUNCTION("""COMPUTED_VALUE"""),485.0)</f>
        <v>485</v>
      </c>
      <c r="AP114" s="393">
        <f>IFERROR(__xludf.DUMMYFUNCTION("""COMPUTED_VALUE"""),495.0)</f>
        <v>495</v>
      </c>
      <c r="AQ114" s="414">
        <f>IFERROR(__xludf.DUMMYFUNCTION("""COMPUTED_VALUE"""),520.0)</f>
        <v>520</v>
      </c>
      <c r="AR114" s="416">
        <f>IFERROR(__xludf.DUMMYFUNCTION("""COMPUTED_VALUE"""),555.0)</f>
        <v>555</v>
      </c>
      <c r="AS114" s="415">
        <f>IFERROR(__xludf.DUMMYFUNCTION("""COMPUTED_VALUE"""),570.0)</f>
        <v>570</v>
      </c>
      <c r="AT114" s="385" t="str">
        <f>IFERROR(__xludf.DUMMYFUNCTION("""COMPUTED_VALUE"""),"超持続型")</f>
        <v>超持続型</v>
      </c>
      <c r="AU114" s="386">
        <f>IFERROR(__xludf.DUMMYFUNCTION("""COMPUTED_VALUE"""),3.0)</f>
        <v>3</v>
      </c>
      <c r="AV114" s="387" t="str">
        <f>IFERROR(__xludf.DUMMYFUNCTION("""COMPUTED_VALUE"""),"効果時間")</f>
        <v>効果時間</v>
      </c>
      <c r="AW114" s="368" t="str">
        <f>IFERROR(__xludf.DUMMYFUNCTION("""COMPUTED_VALUE"""),"-")</f>
        <v>-</v>
      </c>
      <c r="AX114" s="368" t="str">
        <f>IFERROR(__xludf.DUMMYFUNCTION("""COMPUTED_VALUE"""),"-")</f>
        <v>-</v>
      </c>
      <c r="AY114" s="368" t="str">
        <f>IFERROR(__xludf.DUMMYFUNCTION("""COMPUTED_VALUE"""),"-")</f>
        <v>-</v>
      </c>
      <c r="AZ114" s="368" t="str">
        <f>IFERROR(__xludf.DUMMYFUNCTION("""COMPUTED_VALUE"""),"-")</f>
        <v>-</v>
      </c>
      <c r="BA114" s="368" t="str">
        <f>IFERROR(__xludf.DUMMYFUNCTION("""COMPUTED_VALUE"""),"-")</f>
        <v>-</v>
      </c>
      <c r="BB114" s="280">
        <f>IFERROR(__xludf.DUMMYFUNCTION("""COMPUTED_VALUE"""),635.0)</f>
        <v>635</v>
      </c>
      <c r="BC114" s="280">
        <f>IFERROR(__xludf.DUMMYFUNCTION("""COMPUTED_VALUE"""),705.0)</f>
        <v>705</v>
      </c>
      <c r="BD114" s="280">
        <f>IFERROR(__xludf.DUMMYFUNCTION("""COMPUTED_VALUE"""),720.0)</f>
        <v>720</v>
      </c>
      <c r="BE114" s="385" t="str">
        <f>IFERROR(__xludf.DUMMYFUNCTION("""COMPUTED_VALUE"""),"ハイブリッド型")</f>
        <v>ハイブリッド型</v>
      </c>
      <c r="BF114" s="386">
        <f>IFERROR(__xludf.DUMMYFUNCTION("""COMPUTED_VALUE"""),3.0)</f>
        <v>3</v>
      </c>
      <c r="BG114" s="387" t="str">
        <f>IFERROR(__xludf.DUMMYFUNCTION("""COMPUTED_VALUE"""),"効果時間")</f>
        <v>効果時間</v>
      </c>
      <c r="BH114" s="407">
        <f>IFERROR(__xludf.DUMMYFUNCTION("""COMPUTED_VALUE"""),220.0)</f>
        <v>220</v>
      </c>
      <c r="BI114" s="407">
        <f>IFERROR(__xludf.DUMMYFUNCTION("""COMPUTED_VALUE"""),235.0)</f>
        <v>235</v>
      </c>
      <c r="BJ114" s="407">
        <f>IFERROR(__xludf.DUMMYFUNCTION("""COMPUTED_VALUE"""),240.0)</f>
        <v>240</v>
      </c>
      <c r="BK114" s="408">
        <f>IFERROR(__xludf.DUMMYFUNCTION("""COMPUTED_VALUE"""),250.0)</f>
        <v>250</v>
      </c>
      <c r="BL114" s="407">
        <f>IFERROR(__xludf.DUMMYFUNCTION("""COMPUTED_VALUE"""),255.0)</f>
        <v>255</v>
      </c>
      <c r="BM114" s="408">
        <f>IFERROR(__xludf.DUMMYFUNCTION("""COMPUTED_VALUE"""),385.0)</f>
        <v>385</v>
      </c>
      <c r="BN114" s="407">
        <f>IFERROR(__xludf.DUMMYFUNCTION("""COMPUTED_VALUE"""),490.0)</f>
        <v>490</v>
      </c>
      <c r="BO114" s="408">
        <f>IFERROR(__xludf.DUMMYFUNCTION("""COMPUTED_VALUE"""),505.0)</f>
        <v>505</v>
      </c>
    </row>
    <row r="115">
      <c r="A115" s="320" t="str">
        <f>IFERROR(__xludf.DUMMYFUNCTION("""COMPUTED_VALUE"""),"ダメージカット")</f>
        <v>ダメージカット</v>
      </c>
      <c r="B115" s="385" t="str">
        <f>IFERROR(__xludf.DUMMYFUNCTION("""COMPUTED_VALUE"""),"超瞬間型")</f>
        <v>超瞬間型</v>
      </c>
      <c r="C115" s="399">
        <f>IFERROR(__xludf.DUMMYFUNCTION("""COMPUTED_VALUE"""),4.0)</f>
        <v>4</v>
      </c>
      <c r="D115" s="400" t="str">
        <f>IFERROR(__xludf.DUMMYFUNCTION("""COMPUTED_VALUE"""),"効果値")</f>
        <v>効果値</v>
      </c>
      <c r="E115" s="401" t="str">
        <f>IFERROR(__xludf.DUMMYFUNCTION("""COMPUTED_VALUE"""),"-")</f>
        <v>-</v>
      </c>
      <c r="F115" s="409" t="str">
        <f>IFERROR(__xludf.DUMMYFUNCTION("""COMPUTED_VALUE"""),"-")</f>
        <v>-</v>
      </c>
      <c r="G115" s="409" t="str">
        <f>IFERROR(__xludf.DUMMYFUNCTION("""COMPUTED_VALUE"""),"-")</f>
        <v>-</v>
      </c>
      <c r="H115" s="409" t="str">
        <f>IFERROR(__xludf.DUMMYFUNCTION("""COMPUTED_VALUE"""),"-")</f>
        <v>-</v>
      </c>
      <c r="I115" s="409" t="str">
        <f>IFERROR(__xludf.DUMMYFUNCTION("""COMPUTED_VALUE"""),"-")</f>
        <v>-</v>
      </c>
      <c r="J115" s="410">
        <f>IFERROR(__xludf.DUMMYFUNCTION("""COMPUTED_VALUE"""),59.0)</f>
        <v>59</v>
      </c>
      <c r="K115" s="410">
        <f>IFERROR(__xludf.DUMMYFUNCTION("""COMPUTED_VALUE"""),69.0)</f>
        <v>69</v>
      </c>
      <c r="L115" s="410">
        <f>IFERROR(__xludf.DUMMYFUNCTION("""COMPUTED_VALUE"""),74.0)</f>
        <v>74</v>
      </c>
      <c r="M115" s="385" t="str">
        <f>IFERROR(__xludf.DUMMYFUNCTION("""COMPUTED_VALUE"""),"瞬間型")</f>
        <v>瞬間型</v>
      </c>
      <c r="N115" s="399">
        <f>IFERROR(__xludf.DUMMYFUNCTION("""COMPUTED_VALUE"""),4.0)</f>
        <v>4</v>
      </c>
      <c r="O115" s="400" t="str">
        <f>IFERROR(__xludf.DUMMYFUNCTION("""COMPUTED_VALUE"""),"効果値")</f>
        <v>効果値</v>
      </c>
      <c r="P115" s="343">
        <f>IFERROR(__xludf.DUMMYFUNCTION("""COMPUTED_VALUE"""),23.0)</f>
        <v>23</v>
      </c>
      <c r="Q115" s="402">
        <f>IFERROR(__xludf.DUMMYFUNCTION("""COMPUTED_VALUE"""),23.0)</f>
        <v>23</v>
      </c>
      <c r="R115" s="343">
        <f>IFERROR(__xludf.DUMMYFUNCTION("""COMPUTED_VALUE"""),23.0)</f>
        <v>23</v>
      </c>
      <c r="S115" s="402">
        <f>IFERROR(__xludf.DUMMYFUNCTION("""COMPUTED_VALUE"""),23.0)</f>
        <v>23</v>
      </c>
      <c r="T115" s="343">
        <f>IFERROR(__xludf.DUMMYFUNCTION("""COMPUTED_VALUE"""),23.0)</f>
        <v>23</v>
      </c>
      <c r="U115" s="343">
        <f>IFERROR(__xludf.DUMMYFUNCTION("""COMPUTED_VALUE"""),29.0)</f>
        <v>29</v>
      </c>
      <c r="V115" s="343">
        <f>IFERROR(__xludf.DUMMYFUNCTION("""COMPUTED_VALUE"""),34.0)</f>
        <v>34</v>
      </c>
      <c r="W115" s="343">
        <f>IFERROR(__xludf.DUMMYFUNCTION("""COMPUTED_VALUE"""),39.0)</f>
        <v>39</v>
      </c>
      <c r="X115" s="385" t="str">
        <f>IFERROR(__xludf.DUMMYFUNCTION("""COMPUTED_VALUE"""),"安定型")</f>
        <v>安定型</v>
      </c>
      <c r="Y115" s="399">
        <f>IFERROR(__xludf.DUMMYFUNCTION("""COMPUTED_VALUE"""),4.0)</f>
        <v>4</v>
      </c>
      <c r="Z115" s="400" t="str">
        <f>IFERROR(__xludf.DUMMYFUNCTION("""COMPUTED_VALUE"""),"効果値")</f>
        <v>効果値</v>
      </c>
      <c r="AA115" s="343">
        <f>IFERROR(__xludf.DUMMYFUNCTION("""COMPUTED_VALUE"""),13.0)</f>
        <v>13</v>
      </c>
      <c r="AB115" s="402">
        <f>IFERROR(__xludf.DUMMYFUNCTION("""COMPUTED_VALUE"""),13.0)</f>
        <v>13</v>
      </c>
      <c r="AC115" s="343">
        <f>IFERROR(__xludf.DUMMYFUNCTION("""COMPUTED_VALUE"""),13.0)</f>
        <v>13</v>
      </c>
      <c r="AD115" s="402">
        <f>IFERROR(__xludf.DUMMYFUNCTION("""COMPUTED_VALUE"""),13.0)</f>
        <v>13</v>
      </c>
      <c r="AE115" s="343">
        <f>IFERROR(__xludf.DUMMYFUNCTION("""COMPUTED_VALUE"""),13.0)</f>
        <v>13</v>
      </c>
      <c r="AF115" s="343">
        <f>IFERROR(__xludf.DUMMYFUNCTION("""COMPUTED_VALUE"""),14.0)</f>
        <v>14</v>
      </c>
      <c r="AG115" s="343">
        <f>IFERROR(__xludf.DUMMYFUNCTION("""COMPUTED_VALUE"""),19.0)</f>
        <v>19</v>
      </c>
      <c r="AH115" s="343">
        <f>IFERROR(__xludf.DUMMYFUNCTION("""COMPUTED_VALUE"""),24.0)</f>
        <v>24</v>
      </c>
      <c r="AI115" s="385" t="str">
        <f>IFERROR(__xludf.DUMMYFUNCTION("""COMPUTED_VALUE"""),"持続型")</f>
        <v>持続型</v>
      </c>
      <c r="AJ115" s="399">
        <f>IFERROR(__xludf.DUMMYFUNCTION("""COMPUTED_VALUE"""),4.0)</f>
        <v>4</v>
      </c>
      <c r="AK115" s="400" t="str">
        <f>IFERROR(__xludf.DUMMYFUNCTION("""COMPUTED_VALUE"""),"効果値")</f>
        <v>効果値</v>
      </c>
      <c r="AL115" s="343">
        <f>IFERROR(__xludf.DUMMYFUNCTION("""COMPUTED_VALUE"""),8.0)</f>
        <v>8</v>
      </c>
      <c r="AM115" s="402">
        <f>IFERROR(__xludf.DUMMYFUNCTION("""COMPUTED_VALUE"""),8.0)</f>
        <v>8</v>
      </c>
      <c r="AN115" s="343">
        <f>IFERROR(__xludf.DUMMYFUNCTION("""COMPUTED_VALUE"""),8.0)</f>
        <v>8</v>
      </c>
      <c r="AO115" s="402">
        <f>IFERROR(__xludf.DUMMYFUNCTION("""COMPUTED_VALUE"""),8.0)</f>
        <v>8</v>
      </c>
      <c r="AP115" s="343">
        <f>IFERROR(__xludf.DUMMYFUNCTION("""COMPUTED_VALUE"""),8.0)</f>
        <v>8</v>
      </c>
      <c r="AQ115" s="343">
        <f>IFERROR(__xludf.DUMMYFUNCTION("""COMPUTED_VALUE"""),9.0)</f>
        <v>9</v>
      </c>
      <c r="AR115" s="343">
        <f>IFERROR(__xludf.DUMMYFUNCTION("""COMPUTED_VALUE"""),12.0)</f>
        <v>12</v>
      </c>
      <c r="AS115" s="343">
        <f>IFERROR(__xludf.DUMMYFUNCTION("""COMPUTED_VALUE"""),12.0)</f>
        <v>12</v>
      </c>
      <c r="AT115" s="385" t="str">
        <f>IFERROR(__xludf.DUMMYFUNCTION("""COMPUTED_VALUE"""),"超持続型")</f>
        <v>超持続型</v>
      </c>
      <c r="AU115" s="399">
        <f>IFERROR(__xludf.DUMMYFUNCTION("""COMPUTED_VALUE"""),4.0)</f>
        <v>4</v>
      </c>
      <c r="AV115" s="400" t="str">
        <f>IFERROR(__xludf.DUMMYFUNCTION("""COMPUTED_VALUE"""),"効果値")</f>
        <v>効果値</v>
      </c>
      <c r="AW115" s="403" t="str">
        <f>IFERROR(__xludf.DUMMYFUNCTION("""COMPUTED_VALUE"""),"-")</f>
        <v>-</v>
      </c>
      <c r="AX115" s="403" t="str">
        <f>IFERROR(__xludf.DUMMYFUNCTION("""COMPUTED_VALUE"""),"-")</f>
        <v>-</v>
      </c>
      <c r="AY115" s="403" t="str">
        <f>IFERROR(__xludf.DUMMYFUNCTION("""COMPUTED_VALUE"""),"-")</f>
        <v>-</v>
      </c>
      <c r="AZ115" s="403" t="str">
        <f>IFERROR(__xludf.DUMMYFUNCTION("""COMPUTED_VALUE"""),"-")</f>
        <v>-</v>
      </c>
      <c r="BA115" s="403" t="str">
        <f>IFERROR(__xludf.DUMMYFUNCTION("""COMPUTED_VALUE"""),"-")</f>
        <v>-</v>
      </c>
      <c r="BB115" s="343">
        <f>IFERROR(__xludf.DUMMYFUNCTION("""COMPUTED_VALUE"""),9.0)</f>
        <v>9</v>
      </c>
      <c r="BC115" s="343">
        <f>IFERROR(__xludf.DUMMYFUNCTION("""COMPUTED_VALUE"""),12.0)</f>
        <v>12</v>
      </c>
      <c r="BD115" s="343">
        <f>IFERROR(__xludf.DUMMYFUNCTION("""COMPUTED_VALUE"""),12.0)</f>
        <v>12</v>
      </c>
      <c r="BE115" s="385" t="str">
        <f>IFERROR(__xludf.DUMMYFUNCTION("""COMPUTED_VALUE"""),"ハイブリッド型")</f>
        <v>ハイブリッド型</v>
      </c>
      <c r="BF115" s="399">
        <f>IFERROR(__xludf.DUMMYFUNCTION("""COMPUTED_VALUE"""),4.0)</f>
        <v>4</v>
      </c>
      <c r="BG115" s="400" t="str">
        <f>IFERROR(__xludf.DUMMYFUNCTION("""COMPUTED_VALUE"""),"効果値")</f>
        <v>効果値</v>
      </c>
      <c r="BH115" s="411">
        <f>IFERROR(__xludf.DUMMYFUNCTION("""COMPUTED_VALUE"""),11.8)</f>
        <v>11.8</v>
      </c>
      <c r="BI115" s="412">
        <f>IFERROR(__xludf.DUMMYFUNCTION("""COMPUTED_VALUE"""),12.4)</f>
        <v>12.4</v>
      </c>
      <c r="BJ115" s="412">
        <f>IFERROR(__xludf.DUMMYFUNCTION("""COMPUTED_VALUE"""),13.1)</f>
        <v>13.1</v>
      </c>
      <c r="BK115" s="412">
        <f>IFERROR(__xludf.DUMMYFUNCTION("""COMPUTED_VALUE"""),13.7)</f>
        <v>13.7</v>
      </c>
      <c r="BL115" s="412">
        <f>IFERROR(__xludf.DUMMYFUNCTION("""COMPUTED_VALUE"""),14.4)</f>
        <v>14.4</v>
      </c>
      <c r="BM115" s="412">
        <f>IFERROR(__xludf.DUMMYFUNCTION("""COMPUTED_VALUE"""),19.4)</f>
        <v>19.4</v>
      </c>
      <c r="BN115" s="412">
        <f>IFERROR(__xludf.DUMMYFUNCTION("""COMPUTED_VALUE"""),24.0)</f>
        <v>24</v>
      </c>
      <c r="BO115" s="413">
        <f>IFERROR(__xludf.DUMMYFUNCTION("""COMPUTED_VALUE"""),29.0)</f>
        <v>29</v>
      </c>
    </row>
    <row r="116">
      <c r="A116" s="307" t="str">
        <f>IFERROR(__xludf.DUMMYFUNCTION("""COMPUTED_VALUE"""),"ダメージカット")</f>
        <v>ダメージカット</v>
      </c>
      <c r="B116" s="385" t="str">
        <f>IFERROR(__xludf.DUMMYFUNCTION("""COMPUTED_VALUE"""),"超瞬間型")</f>
        <v>超瞬間型</v>
      </c>
      <c r="C116" s="386">
        <f>IFERROR(__xludf.DUMMYFUNCTION("""COMPUTED_VALUE"""),4.0)</f>
        <v>4</v>
      </c>
      <c r="D116" s="387" t="str">
        <f>IFERROR(__xludf.DUMMYFUNCTION("""COMPUTED_VALUE"""),"効果時間")</f>
        <v>効果時間</v>
      </c>
      <c r="E116" s="388" t="str">
        <f>IFERROR(__xludf.DUMMYFUNCTION("""COMPUTED_VALUE"""),"-")</f>
        <v>-</v>
      </c>
      <c r="F116" s="389" t="str">
        <f>IFERROR(__xludf.DUMMYFUNCTION("""COMPUTED_VALUE"""),"-")</f>
        <v>-</v>
      </c>
      <c r="G116" s="388" t="str">
        <f>IFERROR(__xludf.DUMMYFUNCTION("""COMPUTED_VALUE"""),"-")</f>
        <v>-</v>
      </c>
      <c r="H116" s="389" t="str">
        <f>IFERROR(__xludf.DUMMYFUNCTION("""COMPUTED_VALUE"""),"-")</f>
        <v>-</v>
      </c>
      <c r="I116" s="388" t="str">
        <f>IFERROR(__xludf.DUMMYFUNCTION("""COMPUTED_VALUE"""),"-")</f>
        <v>-</v>
      </c>
      <c r="J116" s="390">
        <f>IFERROR(__xludf.DUMMYFUNCTION("""COMPUTED_VALUE"""),155.0)</f>
        <v>155</v>
      </c>
      <c r="K116" s="391">
        <f>IFERROR(__xludf.DUMMYFUNCTION("""COMPUTED_VALUE"""),170.0)</f>
        <v>170</v>
      </c>
      <c r="L116" s="340">
        <f>IFERROR(__xludf.DUMMYFUNCTION("""COMPUTED_VALUE"""),195.0)</f>
        <v>195</v>
      </c>
      <c r="M116" s="385" t="str">
        <f>IFERROR(__xludf.DUMMYFUNCTION("""COMPUTED_VALUE"""),"瞬間型")</f>
        <v>瞬間型</v>
      </c>
      <c r="N116" s="386">
        <f>IFERROR(__xludf.DUMMYFUNCTION("""COMPUTED_VALUE"""),4.0)</f>
        <v>4</v>
      </c>
      <c r="O116" s="387" t="str">
        <f>IFERROR(__xludf.DUMMYFUNCTION("""COMPUTED_VALUE"""),"効果時間")</f>
        <v>効果時間</v>
      </c>
      <c r="P116" s="280">
        <f>IFERROR(__xludf.DUMMYFUNCTION("""COMPUTED_VALUE"""),170.0)</f>
        <v>170</v>
      </c>
      <c r="Q116" s="275">
        <f>IFERROR(__xludf.DUMMYFUNCTION("""COMPUTED_VALUE"""),180.0)</f>
        <v>180</v>
      </c>
      <c r="R116" s="280">
        <f>IFERROR(__xludf.DUMMYFUNCTION("""COMPUTED_VALUE"""),185.0)</f>
        <v>185</v>
      </c>
      <c r="S116" s="275">
        <f>IFERROR(__xludf.DUMMYFUNCTION("""COMPUTED_VALUE"""),195.0)</f>
        <v>195</v>
      </c>
      <c r="T116" s="280">
        <f>IFERROR(__xludf.DUMMYFUNCTION("""COMPUTED_VALUE"""),200.0)</f>
        <v>200</v>
      </c>
      <c r="U116" s="280">
        <f>IFERROR(__xludf.DUMMYFUNCTION("""COMPUTED_VALUE"""),215.0)</f>
        <v>215</v>
      </c>
      <c r="V116" s="280">
        <f>IFERROR(__xludf.DUMMYFUNCTION("""COMPUTED_VALUE"""),285.0)</f>
        <v>285</v>
      </c>
      <c r="W116" s="280">
        <f>IFERROR(__xludf.DUMMYFUNCTION("""COMPUTED_VALUE"""),305.0)</f>
        <v>305</v>
      </c>
      <c r="X116" s="385" t="str">
        <f>IFERROR(__xludf.DUMMYFUNCTION("""COMPUTED_VALUE"""),"安定型")</f>
        <v>安定型</v>
      </c>
      <c r="Y116" s="386">
        <f>IFERROR(__xludf.DUMMYFUNCTION("""COMPUTED_VALUE"""),4.0)</f>
        <v>4</v>
      </c>
      <c r="Z116" s="387" t="str">
        <f>IFERROR(__xludf.DUMMYFUNCTION("""COMPUTED_VALUE"""),"効果時間")</f>
        <v>効果時間</v>
      </c>
      <c r="AA116" s="280">
        <f>IFERROR(__xludf.DUMMYFUNCTION("""COMPUTED_VALUE"""),320.0)</f>
        <v>320</v>
      </c>
      <c r="AB116" s="275">
        <f>IFERROR(__xludf.DUMMYFUNCTION("""COMPUTED_VALUE"""),330.0)</f>
        <v>330</v>
      </c>
      <c r="AC116" s="280">
        <f>IFERROR(__xludf.DUMMYFUNCTION("""COMPUTED_VALUE"""),335.0)</f>
        <v>335</v>
      </c>
      <c r="AD116" s="275">
        <f>IFERROR(__xludf.DUMMYFUNCTION("""COMPUTED_VALUE"""),345.0)</f>
        <v>345</v>
      </c>
      <c r="AE116" s="280">
        <f>IFERROR(__xludf.DUMMYFUNCTION("""COMPUTED_VALUE"""),350.0)</f>
        <v>350</v>
      </c>
      <c r="AF116" s="280">
        <f>IFERROR(__xludf.DUMMYFUNCTION("""COMPUTED_VALUE"""),390.0)</f>
        <v>390</v>
      </c>
      <c r="AG116" s="280">
        <f>IFERROR(__xludf.DUMMYFUNCTION("""COMPUTED_VALUE"""),435.0)</f>
        <v>435</v>
      </c>
      <c r="AH116" s="280">
        <f>IFERROR(__xludf.DUMMYFUNCTION("""COMPUTED_VALUE"""),455.0)</f>
        <v>455</v>
      </c>
      <c r="AI116" s="385" t="str">
        <f>IFERROR(__xludf.DUMMYFUNCTION("""COMPUTED_VALUE"""),"持続型")</f>
        <v>持続型</v>
      </c>
      <c r="AJ116" s="386">
        <f>IFERROR(__xludf.DUMMYFUNCTION("""COMPUTED_VALUE"""),4.0)</f>
        <v>4</v>
      </c>
      <c r="AK116" s="387" t="str">
        <f>IFERROR(__xludf.DUMMYFUNCTION("""COMPUTED_VALUE"""),"効果時間")</f>
        <v>効果時間</v>
      </c>
      <c r="AL116" s="280">
        <f>IFERROR(__xludf.DUMMYFUNCTION("""COMPUTED_VALUE"""),470.0)</f>
        <v>470</v>
      </c>
      <c r="AM116" s="275">
        <f>IFERROR(__xludf.DUMMYFUNCTION("""COMPUTED_VALUE"""),480.0)</f>
        <v>480</v>
      </c>
      <c r="AN116" s="280">
        <f>IFERROR(__xludf.DUMMYFUNCTION("""COMPUTED_VALUE"""),485.0)</f>
        <v>485</v>
      </c>
      <c r="AO116" s="275">
        <f>IFERROR(__xludf.DUMMYFUNCTION("""COMPUTED_VALUE"""),495.0)</f>
        <v>495</v>
      </c>
      <c r="AP116" s="280">
        <f>IFERROR(__xludf.DUMMYFUNCTION("""COMPUTED_VALUE"""),500.0)</f>
        <v>500</v>
      </c>
      <c r="AQ116" s="280">
        <f>IFERROR(__xludf.DUMMYFUNCTION("""COMPUTED_VALUE"""),540.0)</f>
        <v>540</v>
      </c>
      <c r="AR116" s="280">
        <f>IFERROR(__xludf.DUMMYFUNCTION("""COMPUTED_VALUE"""),585.0)</f>
        <v>585</v>
      </c>
      <c r="AS116" s="280">
        <f>IFERROR(__xludf.DUMMYFUNCTION("""COMPUTED_VALUE"""),605.0)</f>
        <v>605</v>
      </c>
      <c r="AT116" s="385" t="str">
        <f>IFERROR(__xludf.DUMMYFUNCTION("""COMPUTED_VALUE"""),"超持続型")</f>
        <v>超持続型</v>
      </c>
      <c r="AU116" s="386">
        <f>IFERROR(__xludf.DUMMYFUNCTION("""COMPUTED_VALUE"""),4.0)</f>
        <v>4</v>
      </c>
      <c r="AV116" s="387" t="str">
        <f>IFERROR(__xludf.DUMMYFUNCTION("""COMPUTED_VALUE"""),"効果時間")</f>
        <v>効果時間</v>
      </c>
      <c r="AW116" s="368" t="str">
        <f>IFERROR(__xludf.DUMMYFUNCTION("""COMPUTED_VALUE"""),"-")</f>
        <v>-</v>
      </c>
      <c r="AX116" s="368" t="str">
        <f>IFERROR(__xludf.DUMMYFUNCTION("""COMPUTED_VALUE"""),"-")</f>
        <v>-</v>
      </c>
      <c r="AY116" s="368" t="str">
        <f>IFERROR(__xludf.DUMMYFUNCTION("""COMPUTED_VALUE"""),"-")</f>
        <v>-</v>
      </c>
      <c r="AZ116" s="368" t="str">
        <f>IFERROR(__xludf.DUMMYFUNCTION("""COMPUTED_VALUE"""),"-")</f>
        <v>-</v>
      </c>
      <c r="BA116" s="368" t="str">
        <f>IFERROR(__xludf.DUMMYFUNCTION("""COMPUTED_VALUE"""),"-")</f>
        <v>-</v>
      </c>
      <c r="BB116" s="280">
        <f>IFERROR(__xludf.DUMMYFUNCTION("""COMPUTED_VALUE"""),645.0)</f>
        <v>645</v>
      </c>
      <c r="BC116" s="280">
        <f>IFERROR(__xludf.DUMMYFUNCTION("""COMPUTED_VALUE"""),735.0)</f>
        <v>735</v>
      </c>
      <c r="BD116" s="280">
        <f>IFERROR(__xludf.DUMMYFUNCTION("""COMPUTED_VALUE"""),755.0)</f>
        <v>755</v>
      </c>
      <c r="BE116" s="385" t="str">
        <f>IFERROR(__xludf.DUMMYFUNCTION("""COMPUTED_VALUE"""),"ハイブリッド型")</f>
        <v>ハイブリッド型</v>
      </c>
      <c r="BF116" s="386">
        <f>IFERROR(__xludf.DUMMYFUNCTION("""COMPUTED_VALUE"""),4.0)</f>
        <v>4</v>
      </c>
      <c r="BG116" s="387" t="str">
        <f>IFERROR(__xludf.DUMMYFUNCTION("""COMPUTED_VALUE"""),"効果時間")</f>
        <v>効果時間</v>
      </c>
      <c r="BH116" s="417">
        <f>IFERROR(__xludf.DUMMYFUNCTION("""COMPUTED_VALUE"""),240.0)</f>
        <v>240</v>
      </c>
      <c r="BI116" s="417">
        <f>IFERROR(__xludf.DUMMYFUNCTION("""COMPUTED_VALUE"""),255.0)</f>
        <v>255</v>
      </c>
      <c r="BJ116" s="417">
        <f>IFERROR(__xludf.DUMMYFUNCTION("""COMPUTED_VALUE"""),265.0)</f>
        <v>265</v>
      </c>
      <c r="BK116" s="418">
        <f>IFERROR(__xludf.DUMMYFUNCTION("""COMPUTED_VALUE"""),275.0)</f>
        <v>275</v>
      </c>
      <c r="BL116" s="417">
        <f>IFERROR(__xludf.DUMMYFUNCTION("""COMPUTED_VALUE"""),285.0)</f>
        <v>285</v>
      </c>
      <c r="BM116" s="418">
        <f>IFERROR(__xludf.DUMMYFUNCTION("""COMPUTED_VALUE"""),395.0)</f>
        <v>395</v>
      </c>
      <c r="BN116" s="417">
        <f>IFERROR(__xludf.DUMMYFUNCTION("""COMPUTED_VALUE"""),500.0)</f>
        <v>500</v>
      </c>
      <c r="BO116" s="418">
        <f>IFERROR(__xludf.DUMMYFUNCTION("""COMPUTED_VALUE"""),520.0)</f>
        <v>520</v>
      </c>
    </row>
    <row r="117">
      <c r="A117" s="307" t="str">
        <f>IFERROR(__xludf.DUMMYFUNCTION("""COMPUTED_VALUE"""),"ダメージカット")</f>
        <v>ダメージカット</v>
      </c>
      <c r="B117" s="385" t="str">
        <f>IFERROR(__xludf.DUMMYFUNCTION("""COMPUTED_VALUE"""),"超瞬間型")</f>
        <v>超瞬間型</v>
      </c>
      <c r="C117" s="399">
        <f>IFERROR(__xludf.DUMMYFUNCTION("""COMPUTED_VALUE"""),5.0)</f>
        <v>5</v>
      </c>
      <c r="D117" s="400" t="str">
        <f>IFERROR(__xludf.DUMMYFUNCTION("""COMPUTED_VALUE"""),"効果値")</f>
        <v>効果値</v>
      </c>
      <c r="E117" s="419" t="str">
        <f>IFERROR(__xludf.DUMMYFUNCTION("""COMPUTED_VALUE"""),"-")</f>
        <v>-</v>
      </c>
      <c r="F117" s="409" t="str">
        <f>IFERROR(__xludf.DUMMYFUNCTION("""COMPUTED_VALUE"""),"-")</f>
        <v>-</v>
      </c>
      <c r="G117" s="409" t="str">
        <f>IFERROR(__xludf.DUMMYFUNCTION("""COMPUTED_VALUE"""),"-")</f>
        <v>-</v>
      </c>
      <c r="H117" s="409" t="str">
        <f>IFERROR(__xludf.DUMMYFUNCTION("""COMPUTED_VALUE"""),"-")</f>
        <v>-</v>
      </c>
      <c r="I117" s="409" t="str">
        <f>IFERROR(__xludf.DUMMYFUNCTION("""COMPUTED_VALUE"""),"-")</f>
        <v>-</v>
      </c>
      <c r="J117" s="420">
        <f>IFERROR(__xludf.DUMMYFUNCTION("""COMPUTED_VALUE"""),60.0)</f>
        <v>60</v>
      </c>
      <c r="K117" s="421">
        <f>IFERROR(__xludf.DUMMYFUNCTION("""COMPUTED_VALUE"""),70.0)</f>
        <v>70</v>
      </c>
      <c r="L117" s="421">
        <f>IFERROR(__xludf.DUMMYFUNCTION("""COMPUTED_VALUE"""),75.0)</f>
        <v>75</v>
      </c>
      <c r="M117" s="385" t="str">
        <f>IFERROR(__xludf.DUMMYFUNCTION("""COMPUTED_VALUE"""),"瞬間型")</f>
        <v>瞬間型</v>
      </c>
      <c r="N117" s="399">
        <f>IFERROR(__xludf.DUMMYFUNCTION("""COMPUTED_VALUE"""),5.0)</f>
        <v>5</v>
      </c>
      <c r="O117" s="400" t="str">
        <f>IFERROR(__xludf.DUMMYFUNCTION("""COMPUTED_VALUE"""),"効果値")</f>
        <v>効果値</v>
      </c>
      <c r="P117" s="422">
        <f>IFERROR(__xludf.DUMMYFUNCTION("""COMPUTED_VALUE"""),23.0)</f>
        <v>23</v>
      </c>
      <c r="Q117" s="423">
        <f>IFERROR(__xludf.DUMMYFUNCTION("""COMPUTED_VALUE"""),23.0)</f>
        <v>23</v>
      </c>
      <c r="R117" s="422">
        <f>IFERROR(__xludf.DUMMYFUNCTION("""COMPUTED_VALUE"""),24.0)</f>
        <v>24</v>
      </c>
      <c r="S117" s="423">
        <f>IFERROR(__xludf.DUMMYFUNCTION("""COMPUTED_VALUE"""),24.0)</f>
        <v>24</v>
      </c>
      <c r="T117" s="422">
        <f>IFERROR(__xludf.DUMMYFUNCTION("""COMPUTED_VALUE"""),24.0)</f>
        <v>24</v>
      </c>
      <c r="U117" s="423">
        <f>IFERROR(__xludf.DUMMYFUNCTION("""COMPUTED_VALUE"""),30.0)</f>
        <v>30</v>
      </c>
      <c r="V117" s="423">
        <f>IFERROR(__xludf.DUMMYFUNCTION("""COMPUTED_VALUE"""),35.0)</f>
        <v>35</v>
      </c>
      <c r="W117" s="424">
        <f>IFERROR(__xludf.DUMMYFUNCTION("""COMPUTED_VALUE"""),40.0)</f>
        <v>40</v>
      </c>
      <c r="X117" s="385" t="str">
        <f>IFERROR(__xludf.DUMMYFUNCTION("""COMPUTED_VALUE"""),"安定型")</f>
        <v>安定型</v>
      </c>
      <c r="Y117" s="399">
        <f>IFERROR(__xludf.DUMMYFUNCTION("""COMPUTED_VALUE"""),5.0)</f>
        <v>5</v>
      </c>
      <c r="Z117" s="400" t="str">
        <f>IFERROR(__xludf.DUMMYFUNCTION("""COMPUTED_VALUE"""),"効果値")</f>
        <v>効果値</v>
      </c>
      <c r="AA117" s="422">
        <f>IFERROR(__xludf.DUMMYFUNCTION("""COMPUTED_VALUE"""),13.0)</f>
        <v>13</v>
      </c>
      <c r="AB117" s="423">
        <f>IFERROR(__xludf.DUMMYFUNCTION("""COMPUTED_VALUE"""),13.0)</f>
        <v>13</v>
      </c>
      <c r="AC117" s="422">
        <f>IFERROR(__xludf.DUMMYFUNCTION("""COMPUTED_VALUE"""),14.0)</f>
        <v>14</v>
      </c>
      <c r="AD117" s="423">
        <f>IFERROR(__xludf.DUMMYFUNCTION("""COMPUTED_VALUE"""),14.0)</f>
        <v>14</v>
      </c>
      <c r="AE117" s="422">
        <f>IFERROR(__xludf.DUMMYFUNCTION("""COMPUTED_VALUE"""),14.0)</f>
        <v>14</v>
      </c>
      <c r="AF117" s="423">
        <f>IFERROR(__xludf.DUMMYFUNCTION("""COMPUTED_VALUE"""),15.0)</f>
        <v>15</v>
      </c>
      <c r="AG117" s="423">
        <f>IFERROR(__xludf.DUMMYFUNCTION("""COMPUTED_VALUE"""),20.0)</f>
        <v>20</v>
      </c>
      <c r="AH117" s="424">
        <f>IFERROR(__xludf.DUMMYFUNCTION("""COMPUTED_VALUE"""),25.0)</f>
        <v>25</v>
      </c>
      <c r="AI117" s="385" t="str">
        <f>IFERROR(__xludf.DUMMYFUNCTION("""COMPUTED_VALUE"""),"持続型")</f>
        <v>持続型</v>
      </c>
      <c r="AJ117" s="399">
        <f>IFERROR(__xludf.DUMMYFUNCTION("""COMPUTED_VALUE"""),5.0)</f>
        <v>5</v>
      </c>
      <c r="AK117" s="400" t="str">
        <f>IFERROR(__xludf.DUMMYFUNCTION("""COMPUTED_VALUE"""),"効果値")</f>
        <v>効果値</v>
      </c>
      <c r="AL117" s="422">
        <f>IFERROR(__xludf.DUMMYFUNCTION("""COMPUTED_VALUE"""),8.0)</f>
        <v>8</v>
      </c>
      <c r="AM117" s="423">
        <f>IFERROR(__xludf.DUMMYFUNCTION("""COMPUTED_VALUE"""),8.0)</f>
        <v>8</v>
      </c>
      <c r="AN117" s="422">
        <f>IFERROR(__xludf.DUMMYFUNCTION("""COMPUTED_VALUE"""),9.0)</f>
        <v>9</v>
      </c>
      <c r="AO117" s="423">
        <f>IFERROR(__xludf.DUMMYFUNCTION("""COMPUTED_VALUE"""),9.0)</f>
        <v>9</v>
      </c>
      <c r="AP117" s="422">
        <f>IFERROR(__xludf.DUMMYFUNCTION("""COMPUTED_VALUE"""),9.0)</f>
        <v>9</v>
      </c>
      <c r="AQ117" s="423">
        <f>IFERROR(__xludf.DUMMYFUNCTION("""COMPUTED_VALUE"""),10.0)</f>
        <v>10</v>
      </c>
      <c r="AR117" s="423">
        <f>IFERROR(__xludf.DUMMYFUNCTION("""COMPUTED_VALUE"""),12.0)</f>
        <v>12</v>
      </c>
      <c r="AS117" s="424">
        <f>IFERROR(__xludf.DUMMYFUNCTION("""COMPUTED_VALUE"""),12.0)</f>
        <v>12</v>
      </c>
      <c r="AT117" s="385" t="str">
        <f>IFERROR(__xludf.DUMMYFUNCTION("""COMPUTED_VALUE"""),"超持続型")</f>
        <v>超持続型</v>
      </c>
      <c r="AU117" s="399">
        <f>IFERROR(__xludf.DUMMYFUNCTION("""COMPUTED_VALUE"""),5.0)</f>
        <v>5</v>
      </c>
      <c r="AV117" s="400" t="str">
        <f>IFERROR(__xludf.DUMMYFUNCTION("""COMPUTED_VALUE"""),"効果値")</f>
        <v>効果値</v>
      </c>
      <c r="AW117" s="425" t="str">
        <f>IFERROR(__xludf.DUMMYFUNCTION("""COMPUTED_VALUE"""),"-")</f>
        <v>-</v>
      </c>
      <c r="AX117" s="426" t="str">
        <f>IFERROR(__xludf.DUMMYFUNCTION("""COMPUTED_VALUE"""),"-")</f>
        <v>-</v>
      </c>
      <c r="AY117" s="426" t="str">
        <f>IFERROR(__xludf.DUMMYFUNCTION("""COMPUTED_VALUE"""),"-")</f>
        <v>-</v>
      </c>
      <c r="AZ117" s="426" t="str">
        <f>IFERROR(__xludf.DUMMYFUNCTION("""COMPUTED_VALUE"""),"-")</f>
        <v>-</v>
      </c>
      <c r="BA117" s="426" t="str">
        <f>IFERROR(__xludf.DUMMYFUNCTION("""COMPUTED_VALUE"""),"-")</f>
        <v>-</v>
      </c>
      <c r="BB117" s="423">
        <f>IFERROR(__xludf.DUMMYFUNCTION("""COMPUTED_VALUE"""),10.0)</f>
        <v>10</v>
      </c>
      <c r="BC117" s="423">
        <f>IFERROR(__xludf.DUMMYFUNCTION("""COMPUTED_VALUE"""),12.0)</f>
        <v>12</v>
      </c>
      <c r="BD117" s="424">
        <f>IFERROR(__xludf.DUMMYFUNCTION("""COMPUTED_VALUE"""),12.0)</f>
        <v>12</v>
      </c>
      <c r="BE117" s="385" t="str">
        <f>IFERROR(__xludf.DUMMYFUNCTION("""COMPUTED_VALUE"""),"ハイブリッド型")</f>
        <v>ハイブリッド型</v>
      </c>
      <c r="BF117" s="399">
        <f>IFERROR(__xludf.DUMMYFUNCTION("""COMPUTED_VALUE"""),5.0)</f>
        <v>5</v>
      </c>
      <c r="BG117" s="400" t="str">
        <f>IFERROR(__xludf.DUMMYFUNCTION("""COMPUTED_VALUE"""),"効果値")</f>
        <v>効果値</v>
      </c>
      <c r="BH117" s="427">
        <f>IFERROR(__xludf.DUMMYFUNCTION("""COMPUTED_VALUE"""),12.0)</f>
        <v>12</v>
      </c>
      <c r="BI117" s="428">
        <f>IFERROR(__xludf.DUMMYFUNCTION("""COMPUTED_VALUE"""),12.75)</f>
        <v>12.75</v>
      </c>
      <c r="BJ117" s="428">
        <f>IFERROR(__xludf.DUMMYFUNCTION("""COMPUTED_VALUE"""),13.5)</f>
        <v>13.5</v>
      </c>
      <c r="BK117" s="428">
        <f>IFERROR(__xludf.DUMMYFUNCTION("""COMPUTED_VALUE"""),14.25)</f>
        <v>14.25</v>
      </c>
      <c r="BL117" s="427">
        <f>IFERROR(__xludf.DUMMYFUNCTION("""COMPUTED_VALUE"""),15.0)</f>
        <v>15</v>
      </c>
      <c r="BM117" s="427">
        <f>IFERROR(__xludf.DUMMYFUNCTION("""COMPUTED_VALUE"""),20.0)</f>
        <v>20</v>
      </c>
      <c r="BN117" s="427">
        <f>IFERROR(__xludf.DUMMYFUNCTION("""COMPUTED_VALUE"""),25.0)</f>
        <v>25</v>
      </c>
      <c r="BO117" s="429">
        <f>IFERROR(__xludf.DUMMYFUNCTION("""COMPUTED_VALUE"""),30.0)</f>
        <v>30</v>
      </c>
    </row>
    <row r="118">
      <c r="A118" s="307" t="str">
        <f>IFERROR(__xludf.DUMMYFUNCTION("""COMPUTED_VALUE"""),"ダメージカット")</f>
        <v>ダメージカット</v>
      </c>
      <c r="B118" s="385" t="str">
        <f>IFERROR(__xludf.DUMMYFUNCTION("""COMPUTED_VALUE"""),"超瞬間型")</f>
        <v>超瞬間型</v>
      </c>
      <c r="C118" s="430">
        <f>IFERROR(__xludf.DUMMYFUNCTION("""COMPUTED_VALUE"""),5.0)</f>
        <v>5</v>
      </c>
      <c r="D118" s="431" t="str">
        <f>IFERROR(__xludf.DUMMYFUNCTION("""COMPUTED_VALUE"""),"効果時間")</f>
        <v>効果時間</v>
      </c>
      <c r="E118" s="388" t="str">
        <f>IFERROR(__xludf.DUMMYFUNCTION("""COMPUTED_VALUE"""),"-")</f>
        <v>-</v>
      </c>
      <c r="F118" s="389" t="str">
        <f>IFERROR(__xludf.DUMMYFUNCTION("""COMPUTED_VALUE"""),"-")</f>
        <v>-</v>
      </c>
      <c r="G118" s="388" t="str">
        <f>IFERROR(__xludf.DUMMYFUNCTION("""COMPUTED_VALUE"""),"-")</f>
        <v>-</v>
      </c>
      <c r="H118" s="389" t="str">
        <f>IFERROR(__xludf.DUMMYFUNCTION("""COMPUTED_VALUE"""),"-")</f>
        <v>-</v>
      </c>
      <c r="I118" s="388" t="str">
        <f>IFERROR(__xludf.DUMMYFUNCTION("""COMPUTED_VALUE"""),"-")</f>
        <v>-</v>
      </c>
      <c r="J118" s="390">
        <f>IFERROR(__xludf.DUMMYFUNCTION("""COMPUTED_VALUE"""),160.0)</f>
        <v>160</v>
      </c>
      <c r="K118" s="391">
        <f>IFERROR(__xludf.DUMMYFUNCTION("""COMPUTED_VALUE"""),175.0)</f>
        <v>175</v>
      </c>
      <c r="L118" s="340">
        <f>IFERROR(__xludf.DUMMYFUNCTION("""COMPUTED_VALUE"""),200.0)</f>
        <v>200</v>
      </c>
      <c r="M118" s="385" t="str">
        <f>IFERROR(__xludf.DUMMYFUNCTION("""COMPUTED_VALUE"""),"瞬間型")</f>
        <v>瞬間型</v>
      </c>
      <c r="N118" s="430">
        <f>IFERROR(__xludf.DUMMYFUNCTION("""COMPUTED_VALUE"""),5.0)</f>
        <v>5</v>
      </c>
      <c r="O118" s="431" t="str">
        <f>IFERROR(__xludf.DUMMYFUNCTION("""COMPUTED_VALUE"""),"効果時間")</f>
        <v>効果時間</v>
      </c>
      <c r="P118" s="392">
        <f>IFERROR(__xludf.DUMMYFUNCTION("""COMPUTED_VALUE"""),175.0)</f>
        <v>175</v>
      </c>
      <c r="Q118" s="414">
        <f>IFERROR(__xludf.DUMMYFUNCTION("""COMPUTED_VALUE"""),185.0)</f>
        <v>185</v>
      </c>
      <c r="R118" s="414">
        <f>IFERROR(__xludf.DUMMYFUNCTION("""COMPUTED_VALUE"""),190.0)</f>
        <v>190</v>
      </c>
      <c r="S118" s="414">
        <f>IFERROR(__xludf.DUMMYFUNCTION("""COMPUTED_VALUE"""),195.0)</f>
        <v>195</v>
      </c>
      <c r="T118" s="394">
        <f>IFERROR(__xludf.DUMMYFUNCTION("""COMPUTED_VALUE"""),200.0)</f>
        <v>200</v>
      </c>
      <c r="U118" s="394">
        <f>IFERROR(__xludf.DUMMYFUNCTION("""COMPUTED_VALUE"""),225.0)</f>
        <v>225</v>
      </c>
      <c r="V118" s="394">
        <f>IFERROR(__xludf.DUMMYFUNCTION("""COMPUTED_VALUE"""),300.0)</f>
        <v>300</v>
      </c>
      <c r="W118" s="394">
        <f>IFERROR(__xludf.DUMMYFUNCTION("""COMPUTED_VALUE"""),325.0)</f>
        <v>325</v>
      </c>
      <c r="X118" s="385" t="str">
        <f>IFERROR(__xludf.DUMMYFUNCTION("""COMPUTED_VALUE"""),"安定型")</f>
        <v>安定型</v>
      </c>
      <c r="Y118" s="430">
        <f>IFERROR(__xludf.DUMMYFUNCTION("""COMPUTED_VALUE"""),5.0)</f>
        <v>5</v>
      </c>
      <c r="Z118" s="431" t="str">
        <f>IFERROR(__xludf.DUMMYFUNCTION("""COMPUTED_VALUE"""),"効果時間")</f>
        <v>効果時間</v>
      </c>
      <c r="AA118" s="392">
        <f>IFERROR(__xludf.DUMMYFUNCTION("""COMPUTED_VALUE"""),325.0)</f>
        <v>325</v>
      </c>
      <c r="AB118" s="414">
        <f>IFERROR(__xludf.DUMMYFUNCTION("""COMPUTED_VALUE"""),335.0)</f>
        <v>335</v>
      </c>
      <c r="AC118" s="414">
        <f>IFERROR(__xludf.DUMMYFUNCTION("""COMPUTED_VALUE"""),340.0)</f>
        <v>340</v>
      </c>
      <c r="AD118" s="414">
        <f>IFERROR(__xludf.DUMMYFUNCTION("""COMPUTED_VALUE"""),345.0)</f>
        <v>345</v>
      </c>
      <c r="AE118" s="394">
        <f>IFERROR(__xludf.DUMMYFUNCTION("""COMPUTED_VALUE"""),350.0)</f>
        <v>350</v>
      </c>
      <c r="AF118" s="394">
        <f>IFERROR(__xludf.DUMMYFUNCTION("""COMPUTED_VALUE"""),400.0)</f>
        <v>400</v>
      </c>
      <c r="AG118" s="394">
        <f>IFERROR(__xludf.DUMMYFUNCTION("""COMPUTED_VALUE"""),450.0)</f>
        <v>450</v>
      </c>
      <c r="AH118" s="394">
        <f>IFERROR(__xludf.DUMMYFUNCTION("""COMPUTED_VALUE"""),475.0)</f>
        <v>475</v>
      </c>
      <c r="AI118" s="385" t="str">
        <f>IFERROR(__xludf.DUMMYFUNCTION("""COMPUTED_VALUE"""),"持続型")</f>
        <v>持続型</v>
      </c>
      <c r="AJ118" s="430">
        <f>IFERROR(__xludf.DUMMYFUNCTION("""COMPUTED_VALUE"""),5.0)</f>
        <v>5</v>
      </c>
      <c r="AK118" s="431" t="str">
        <f>IFERROR(__xludf.DUMMYFUNCTION("""COMPUTED_VALUE"""),"効果時間")</f>
        <v>効果時間</v>
      </c>
      <c r="AL118" s="392">
        <f>IFERROR(__xludf.DUMMYFUNCTION("""COMPUTED_VALUE"""),475.0)</f>
        <v>475</v>
      </c>
      <c r="AM118" s="414">
        <f>IFERROR(__xludf.DUMMYFUNCTION("""COMPUTED_VALUE"""),485.0)</f>
        <v>485</v>
      </c>
      <c r="AN118" s="414">
        <f>IFERROR(__xludf.DUMMYFUNCTION("""COMPUTED_VALUE"""),490.0)</f>
        <v>490</v>
      </c>
      <c r="AO118" s="414">
        <f>IFERROR(__xludf.DUMMYFUNCTION("""COMPUTED_VALUE"""),495.0)</f>
        <v>495</v>
      </c>
      <c r="AP118" s="394">
        <f>IFERROR(__xludf.DUMMYFUNCTION("""COMPUTED_VALUE"""),500.0)</f>
        <v>500</v>
      </c>
      <c r="AQ118" s="394">
        <f>IFERROR(__xludf.DUMMYFUNCTION("""COMPUTED_VALUE"""),550.0)</f>
        <v>550</v>
      </c>
      <c r="AR118" s="394">
        <f>IFERROR(__xludf.DUMMYFUNCTION("""COMPUTED_VALUE"""),600.0)</f>
        <v>600</v>
      </c>
      <c r="AS118" s="394">
        <f>IFERROR(__xludf.DUMMYFUNCTION("""COMPUTED_VALUE"""),625.0)</f>
        <v>625</v>
      </c>
      <c r="AT118" s="385" t="str">
        <f>IFERROR(__xludf.DUMMYFUNCTION("""COMPUTED_VALUE"""),"超持続型")</f>
        <v>超持続型</v>
      </c>
      <c r="AU118" s="430">
        <f>IFERROR(__xludf.DUMMYFUNCTION("""COMPUTED_VALUE"""),5.0)</f>
        <v>5</v>
      </c>
      <c r="AV118" s="431" t="str">
        <f>IFERROR(__xludf.DUMMYFUNCTION("""COMPUTED_VALUE"""),"効果時間")</f>
        <v>効果時間</v>
      </c>
      <c r="AW118" s="395" t="str">
        <f>IFERROR(__xludf.DUMMYFUNCTION("""COMPUTED_VALUE"""),"-")</f>
        <v>-</v>
      </c>
      <c r="AX118" s="396" t="str">
        <f>IFERROR(__xludf.DUMMYFUNCTION("""COMPUTED_VALUE"""),"-")</f>
        <v>-</v>
      </c>
      <c r="AY118" s="396" t="str">
        <f>IFERROR(__xludf.DUMMYFUNCTION("""COMPUTED_VALUE"""),"-")</f>
        <v>-</v>
      </c>
      <c r="AZ118" s="396" t="str">
        <f>IFERROR(__xludf.DUMMYFUNCTION("""COMPUTED_VALUE"""),"-")</f>
        <v>-</v>
      </c>
      <c r="BA118" s="396" t="str">
        <f>IFERROR(__xludf.DUMMYFUNCTION("""COMPUTED_VALUE"""),"-")</f>
        <v>-</v>
      </c>
      <c r="BB118" s="393">
        <f>IFERROR(__xludf.DUMMYFUNCTION("""COMPUTED_VALUE"""),650.0)</f>
        <v>650</v>
      </c>
      <c r="BC118" s="393">
        <f>IFERROR(__xludf.DUMMYFUNCTION("""COMPUTED_VALUE"""),750.0)</f>
        <v>750</v>
      </c>
      <c r="BD118" s="394">
        <f>IFERROR(__xludf.DUMMYFUNCTION("""COMPUTED_VALUE"""),775.0)</f>
        <v>775</v>
      </c>
      <c r="BE118" s="385" t="str">
        <f>IFERROR(__xludf.DUMMYFUNCTION("""COMPUTED_VALUE"""),"ハイブリッド型")</f>
        <v>ハイブリッド型</v>
      </c>
      <c r="BF118" s="430">
        <f>IFERROR(__xludf.DUMMYFUNCTION("""COMPUTED_VALUE"""),5.0)</f>
        <v>5</v>
      </c>
      <c r="BG118" s="431" t="str">
        <f>IFERROR(__xludf.DUMMYFUNCTION("""COMPUTED_VALUE"""),"効果時間")</f>
        <v>効果時間</v>
      </c>
      <c r="BH118" s="304">
        <f>IFERROR(__xludf.DUMMYFUNCTION("""COMPUTED_VALUE"""),250.0)</f>
        <v>250</v>
      </c>
      <c r="BI118" s="432">
        <f>IFERROR(__xludf.DUMMYFUNCTION("""COMPUTED_VALUE"""),265.0)</f>
        <v>265</v>
      </c>
      <c r="BJ118" s="432">
        <f>IFERROR(__xludf.DUMMYFUNCTION("""COMPUTED_VALUE"""),275.0)</f>
        <v>275</v>
      </c>
      <c r="BK118" s="432">
        <f>IFERROR(__xludf.DUMMYFUNCTION("""COMPUTED_VALUE"""),290.0)</f>
        <v>290</v>
      </c>
      <c r="BL118" s="304">
        <f>IFERROR(__xludf.DUMMYFUNCTION("""COMPUTED_VALUE"""),300.0)</f>
        <v>300</v>
      </c>
      <c r="BM118" s="304">
        <f>IFERROR(__xludf.DUMMYFUNCTION("""COMPUTED_VALUE"""),400.0)</f>
        <v>400</v>
      </c>
      <c r="BN118" s="304">
        <f>IFERROR(__xludf.DUMMYFUNCTION("""COMPUTED_VALUE"""),500.0)</f>
        <v>500</v>
      </c>
      <c r="BO118" s="304">
        <f>IFERROR(__xludf.DUMMYFUNCTION("""COMPUTED_VALUE"""),525.0)</f>
        <v>525</v>
      </c>
    </row>
    <row r="119">
      <c r="A119" s="306" t="str">
        <f>IFERROR(__xludf.DUMMYFUNCTION("""COMPUTED_VALUE"""),"ダメージカット(自身)")</f>
        <v>ダメージカット(自身)</v>
      </c>
      <c r="B119" s="374" t="str">
        <f>IFERROR(__xludf.DUMMYFUNCTION("""COMPUTED_VALUE"""),"超瞬間型")</f>
        <v>超瞬間型</v>
      </c>
      <c r="C119" s="375">
        <f>IFERROR(__xludf.DUMMYFUNCTION("""COMPUTED_VALUE"""),1.0)</f>
        <v>1</v>
      </c>
      <c r="D119" s="376" t="str">
        <f>IFERROR(__xludf.DUMMYFUNCTION("""COMPUTED_VALUE"""),"効果値")</f>
        <v>効果値</v>
      </c>
      <c r="E119" s="377" t="str">
        <f>IFERROR(__xludf.DUMMYFUNCTION("""COMPUTED_VALUE"""),"-")</f>
        <v>-</v>
      </c>
      <c r="F119" s="378" t="str">
        <f>IFERROR(__xludf.DUMMYFUNCTION("""COMPUTED_VALUE"""),"-")</f>
        <v>-</v>
      </c>
      <c r="G119" s="377" t="str">
        <f>IFERROR(__xludf.DUMMYFUNCTION("""COMPUTED_VALUE"""),"-")</f>
        <v>-</v>
      </c>
      <c r="H119" s="378" t="str">
        <f>IFERROR(__xludf.DUMMYFUNCTION("""COMPUTED_VALUE"""),"-")</f>
        <v>-</v>
      </c>
      <c r="I119" s="377" t="str">
        <f>IFERROR(__xludf.DUMMYFUNCTION("""COMPUTED_VALUE"""),"-")</f>
        <v>-</v>
      </c>
      <c r="J119" s="379">
        <f>IFERROR(__xludf.DUMMYFUNCTION("""COMPUTED_VALUE"""),55.0)</f>
        <v>55</v>
      </c>
      <c r="K119" s="294">
        <f>IFERROR(__xludf.DUMMYFUNCTION("""COMPUTED_VALUE"""),65.0)</f>
        <v>65</v>
      </c>
      <c r="L119" s="294">
        <f>IFERROR(__xludf.DUMMYFUNCTION("""COMPUTED_VALUE"""),65.0)</f>
        <v>65</v>
      </c>
      <c r="M119" s="374" t="str">
        <f>IFERROR(__xludf.DUMMYFUNCTION("""COMPUTED_VALUE"""),"瞬間型")</f>
        <v>瞬間型</v>
      </c>
      <c r="N119" s="375">
        <f>IFERROR(__xludf.DUMMYFUNCTION("""COMPUTED_VALUE"""),1.0)</f>
        <v>1</v>
      </c>
      <c r="O119" s="376" t="str">
        <f>IFERROR(__xludf.DUMMYFUNCTION("""COMPUTED_VALUE"""),"効果値")</f>
        <v>効果値</v>
      </c>
      <c r="P119" s="380">
        <f>IFERROR(__xludf.DUMMYFUNCTION("""COMPUTED_VALUE"""),20.0)</f>
        <v>20</v>
      </c>
      <c r="Q119" s="263">
        <f>IFERROR(__xludf.DUMMYFUNCTION("""COMPUTED_VALUE"""),20.0)</f>
        <v>20</v>
      </c>
      <c r="R119" s="263">
        <f>IFERROR(__xludf.DUMMYFUNCTION("""COMPUTED_VALUE"""),20.0)</f>
        <v>20</v>
      </c>
      <c r="S119" s="263">
        <f>IFERROR(__xludf.DUMMYFUNCTION("""COMPUTED_VALUE"""),20.0)</f>
        <v>20</v>
      </c>
      <c r="T119" s="263">
        <f>IFERROR(__xludf.DUMMYFUNCTION("""COMPUTED_VALUE"""),20.0)</f>
        <v>20</v>
      </c>
      <c r="U119" s="263">
        <f>IFERROR(__xludf.DUMMYFUNCTION("""COMPUTED_VALUE"""),25.0)</f>
        <v>25</v>
      </c>
      <c r="V119" s="266">
        <f>IFERROR(__xludf.DUMMYFUNCTION("""COMPUTED_VALUE"""),30.0)</f>
        <v>30</v>
      </c>
      <c r="W119" s="266">
        <f>IFERROR(__xludf.DUMMYFUNCTION("""COMPUTED_VALUE"""),30.0)</f>
        <v>30</v>
      </c>
      <c r="X119" s="374" t="str">
        <f>IFERROR(__xludf.DUMMYFUNCTION("""COMPUTED_VALUE"""),"安定型")</f>
        <v>安定型</v>
      </c>
      <c r="Y119" s="375">
        <f>IFERROR(__xludf.DUMMYFUNCTION("""COMPUTED_VALUE"""),1.0)</f>
        <v>1</v>
      </c>
      <c r="Z119" s="376" t="str">
        <f>IFERROR(__xludf.DUMMYFUNCTION("""COMPUTED_VALUE"""),"効果値")</f>
        <v>効果値</v>
      </c>
      <c r="AA119" s="380">
        <f>IFERROR(__xludf.DUMMYFUNCTION("""COMPUTED_VALUE"""),10.0)</f>
        <v>10</v>
      </c>
      <c r="AB119" s="263">
        <f>IFERROR(__xludf.DUMMYFUNCTION("""COMPUTED_VALUE"""),10.0)</f>
        <v>10</v>
      </c>
      <c r="AC119" s="263">
        <f>IFERROR(__xludf.DUMMYFUNCTION("""COMPUTED_VALUE"""),10.0)</f>
        <v>10</v>
      </c>
      <c r="AD119" s="263">
        <f>IFERROR(__xludf.DUMMYFUNCTION("""COMPUTED_VALUE"""),10.0)</f>
        <v>10</v>
      </c>
      <c r="AE119" s="263">
        <f>IFERROR(__xludf.DUMMYFUNCTION("""COMPUTED_VALUE"""),10.0)</f>
        <v>10</v>
      </c>
      <c r="AF119" s="263">
        <f>IFERROR(__xludf.DUMMYFUNCTION("""COMPUTED_VALUE"""),10.0)</f>
        <v>10</v>
      </c>
      <c r="AG119" s="266">
        <f>IFERROR(__xludf.DUMMYFUNCTION("""COMPUTED_VALUE"""),15.0)</f>
        <v>15</v>
      </c>
      <c r="AH119" s="266">
        <f>IFERROR(__xludf.DUMMYFUNCTION("""COMPUTED_VALUE"""),15.0)</f>
        <v>15</v>
      </c>
      <c r="AI119" s="374" t="str">
        <f>IFERROR(__xludf.DUMMYFUNCTION("""COMPUTED_VALUE"""),"持続型")</f>
        <v>持続型</v>
      </c>
      <c r="AJ119" s="375">
        <f>IFERROR(__xludf.DUMMYFUNCTION("""COMPUTED_VALUE"""),1.0)</f>
        <v>1</v>
      </c>
      <c r="AK119" s="376" t="str">
        <f>IFERROR(__xludf.DUMMYFUNCTION("""COMPUTED_VALUE"""),"効果値")</f>
        <v>効果値</v>
      </c>
      <c r="AL119" s="380">
        <f>IFERROR(__xludf.DUMMYFUNCTION("""COMPUTED_VALUE"""),5.0)</f>
        <v>5</v>
      </c>
      <c r="AM119" s="263">
        <f>IFERROR(__xludf.DUMMYFUNCTION("""COMPUTED_VALUE"""),5.0)</f>
        <v>5</v>
      </c>
      <c r="AN119" s="263">
        <f>IFERROR(__xludf.DUMMYFUNCTION("""COMPUTED_VALUE"""),5.0)</f>
        <v>5</v>
      </c>
      <c r="AO119" s="263">
        <f>IFERROR(__xludf.DUMMYFUNCTION("""COMPUTED_VALUE"""),5.0)</f>
        <v>5</v>
      </c>
      <c r="AP119" s="263">
        <f>IFERROR(__xludf.DUMMYFUNCTION("""COMPUTED_VALUE"""),5.0)</f>
        <v>5</v>
      </c>
      <c r="AQ119" s="263">
        <f>IFERROR(__xludf.DUMMYFUNCTION("""COMPUTED_VALUE"""),5.0)</f>
        <v>5</v>
      </c>
      <c r="AR119" s="266">
        <f>IFERROR(__xludf.DUMMYFUNCTION("""COMPUTED_VALUE"""),10.0)</f>
        <v>10</v>
      </c>
      <c r="AS119" s="266">
        <f>IFERROR(__xludf.DUMMYFUNCTION("""COMPUTED_VALUE"""),10.0)</f>
        <v>10</v>
      </c>
      <c r="AT119" s="374" t="str">
        <f>IFERROR(__xludf.DUMMYFUNCTION("""COMPUTED_VALUE"""),"超持続型")</f>
        <v>超持続型</v>
      </c>
      <c r="AU119" s="375">
        <f>IFERROR(__xludf.DUMMYFUNCTION("""COMPUTED_VALUE"""),1.0)</f>
        <v>1</v>
      </c>
      <c r="AV119" s="376" t="str">
        <f>IFERROR(__xludf.DUMMYFUNCTION("""COMPUTED_VALUE"""),"効果値")</f>
        <v>効果値</v>
      </c>
      <c r="AW119" s="350" t="str">
        <f>IFERROR(__xludf.DUMMYFUNCTION("""COMPUTED_VALUE"""),"-")</f>
        <v>-</v>
      </c>
      <c r="AX119" s="348" t="str">
        <f>IFERROR(__xludf.DUMMYFUNCTION("""COMPUTED_VALUE"""),"-")</f>
        <v>-</v>
      </c>
      <c r="AY119" s="348" t="str">
        <f>IFERROR(__xludf.DUMMYFUNCTION("""COMPUTED_VALUE"""),"-")</f>
        <v>-</v>
      </c>
      <c r="AZ119" s="348" t="str">
        <f>IFERROR(__xludf.DUMMYFUNCTION("""COMPUTED_VALUE"""),"-")</f>
        <v>-</v>
      </c>
      <c r="BA119" s="348" t="str">
        <f>IFERROR(__xludf.DUMMYFUNCTION("""COMPUTED_VALUE"""),"-")</f>
        <v>-</v>
      </c>
      <c r="BB119" s="263">
        <f>IFERROR(__xludf.DUMMYFUNCTION("""COMPUTED_VALUE"""),5.0)</f>
        <v>5</v>
      </c>
      <c r="BC119" s="266">
        <f>IFERROR(__xludf.DUMMYFUNCTION("""COMPUTED_VALUE"""),10.0)</f>
        <v>10</v>
      </c>
      <c r="BD119" s="266">
        <f>IFERROR(__xludf.DUMMYFUNCTION("""COMPUTED_VALUE"""),10.0)</f>
        <v>10</v>
      </c>
      <c r="BE119" s="374" t="str">
        <f>IFERROR(__xludf.DUMMYFUNCTION("""COMPUTED_VALUE"""),"ハイブリッド型")</f>
        <v>ハイブリッド型</v>
      </c>
      <c r="BF119" s="375">
        <f>IFERROR(__xludf.DUMMYFUNCTION("""COMPUTED_VALUE"""),1.0)</f>
        <v>1</v>
      </c>
      <c r="BG119" s="376" t="str">
        <f>IFERROR(__xludf.DUMMYFUNCTION("""COMPUTED_VALUE"""),"効果値")</f>
        <v>効果値</v>
      </c>
      <c r="BH119" s="381">
        <f>IFERROR(__xludf.DUMMYFUNCTION("""COMPUTED_VALUE"""),10.0)</f>
        <v>10</v>
      </c>
      <c r="BI119" s="382">
        <f>IFERROR(__xludf.DUMMYFUNCTION("""COMPUTED_VALUE"""),10.0)</f>
        <v>10</v>
      </c>
      <c r="BJ119" s="382">
        <f>IFERROR(__xludf.DUMMYFUNCTION("""COMPUTED_VALUE"""),10.0)</f>
        <v>10</v>
      </c>
      <c r="BK119" s="382">
        <f>IFERROR(__xludf.DUMMYFUNCTION("""COMPUTED_VALUE"""),10.0)</f>
        <v>10</v>
      </c>
      <c r="BL119" s="382">
        <f>IFERROR(__xludf.DUMMYFUNCTION("""COMPUTED_VALUE"""),10.0)</f>
        <v>10</v>
      </c>
      <c r="BM119" s="382">
        <f>IFERROR(__xludf.DUMMYFUNCTION("""COMPUTED_VALUE"""),15.0)</f>
        <v>15</v>
      </c>
      <c r="BN119" s="382">
        <f>IFERROR(__xludf.DUMMYFUNCTION("""COMPUTED_VALUE"""),20.0)</f>
        <v>20</v>
      </c>
      <c r="BO119" s="383">
        <f>IFERROR(__xludf.DUMMYFUNCTION("""COMPUTED_VALUE"""),20.0)</f>
        <v>20</v>
      </c>
    </row>
    <row r="120">
      <c r="A120" s="384" t="str">
        <f>IFERROR(__xludf.DUMMYFUNCTION("""COMPUTED_VALUE"""),"ダメージカット(自身)")</f>
        <v>ダメージカット(自身)</v>
      </c>
      <c r="B120" s="385" t="str">
        <f>IFERROR(__xludf.DUMMYFUNCTION("""COMPUTED_VALUE"""),"超瞬間型")</f>
        <v>超瞬間型</v>
      </c>
      <c r="C120" s="386">
        <f>IFERROR(__xludf.DUMMYFUNCTION("""COMPUTED_VALUE"""),1.0)</f>
        <v>1</v>
      </c>
      <c r="D120" s="387" t="str">
        <f>IFERROR(__xludf.DUMMYFUNCTION("""COMPUTED_VALUE"""),"効果時間")</f>
        <v>効果時間</v>
      </c>
      <c r="E120" s="388" t="str">
        <f>IFERROR(__xludf.DUMMYFUNCTION("""COMPUTED_VALUE"""),"-")</f>
        <v>-</v>
      </c>
      <c r="F120" s="389" t="str">
        <f>IFERROR(__xludf.DUMMYFUNCTION("""COMPUTED_VALUE"""),"-")</f>
        <v>-</v>
      </c>
      <c r="G120" s="388" t="str">
        <f>IFERROR(__xludf.DUMMYFUNCTION("""COMPUTED_VALUE"""),"-")</f>
        <v>-</v>
      </c>
      <c r="H120" s="389" t="str">
        <f>IFERROR(__xludf.DUMMYFUNCTION("""COMPUTED_VALUE"""),"-")</f>
        <v>-</v>
      </c>
      <c r="I120" s="388" t="str">
        <f>IFERROR(__xludf.DUMMYFUNCTION("""COMPUTED_VALUE"""),"-")</f>
        <v>-</v>
      </c>
      <c r="J120" s="390">
        <f>IFERROR(__xludf.DUMMYFUNCTION("""COMPUTED_VALUE"""),150.0)</f>
        <v>150</v>
      </c>
      <c r="K120" s="391">
        <f>IFERROR(__xludf.DUMMYFUNCTION("""COMPUTED_VALUE"""),160.0)</f>
        <v>160</v>
      </c>
      <c r="L120" s="340">
        <f>IFERROR(__xludf.DUMMYFUNCTION("""COMPUTED_VALUE"""),160.0)</f>
        <v>160</v>
      </c>
      <c r="M120" s="385" t="str">
        <f>IFERROR(__xludf.DUMMYFUNCTION("""COMPUTED_VALUE"""),"瞬間型")</f>
        <v>瞬間型</v>
      </c>
      <c r="N120" s="386">
        <f>IFERROR(__xludf.DUMMYFUNCTION("""COMPUTED_VALUE"""),1.0)</f>
        <v>1</v>
      </c>
      <c r="O120" s="387" t="str">
        <f>IFERROR(__xludf.DUMMYFUNCTION("""COMPUTED_VALUE"""),"効果時間")</f>
        <v>効果時間</v>
      </c>
      <c r="P120" s="392">
        <f>IFERROR(__xludf.DUMMYFUNCTION("""COMPUTED_VALUE"""),150.0)</f>
        <v>150</v>
      </c>
      <c r="Q120" s="393">
        <f>IFERROR(__xludf.DUMMYFUNCTION("""COMPUTED_VALUE"""),150.0)</f>
        <v>150</v>
      </c>
      <c r="R120" s="393">
        <f>IFERROR(__xludf.DUMMYFUNCTION("""COMPUTED_VALUE"""),150.0)</f>
        <v>150</v>
      </c>
      <c r="S120" s="393">
        <f>IFERROR(__xludf.DUMMYFUNCTION("""COMPUTED_VALUE"""),150.0)</f>
        <v>150</v>
      </c>
      <c r="T120" s="393">
        <f>IFERROR(__xludf.DUMMYFUNCTION("""COMPUTED_VALUE"""),150.0)</f>
        <v>150</v>
      </c>
      <c r="U120" s="393">
        <f>IFERROR(__xludf.DUMMYFUNCTION("""COMPUTED_VALUE"""),150.0)</f>
        <v>150</v>
      </c>
      <c r="V120" s="393">
        <f>IFERROR(__xludf.DUMMYFUNCTION("""COMPUTED_VALUE"""),160.0)</f>
        <v>160</v>
      </c>
      <c r="W120" s="394">
        <f>IFERROR(__xludf.DUMMYFUNCTION("""COMPUTED_VALUE"""),160.0)</f>
        <v>160</v>
      </c>
      <c r="X120" s="385" t="str">
        <f>IFERROR(__xludf.DUMMYFUNCTION("""COMPUTED_VALUE"""),"安定型")</f>
        <v>安定型</v>
      </c>
      <c r="Y120" s="386">
        <f>IFERROR(__xludf.DUMMYFUNCTION("""COMPUTED_VALUE"""),1.0)</f>
        <v>1</v>
      </c>
      <c r="Z120" s="387" t="str">
        <f>IFERROR(__xludf.DUMMYFUNCTION("""COMPUTED_VALUE"""),"効果時間")</f>
        <v>効果時間</v>
      </c>
      <c r="AA120" s="392">
        <f>IFERROR(__xludf.DUMMYFUNCTION("""COMPUTED_VALUE"""),300.0)</f>
        <v>300</v>
      </c>
      <c r="AB120" s="393">
        <f>IFERROR(__xludf.DUMMYFUNCTION("""COMPUTED_VALUE"""),300.0)</f>
        <v>300</v>
      </c>
      <c r="AC120" s="393">
        <f>IFERROR(__xludf.DUMMYFUNCTION("""COMPUTED_VALUE"""),300.0)</f>
        <v>300</v>
      </c>
      <c r="AD120" s="393">
        <f>IFERROR(__xludf.DUMMYFUNCTION("""COMPUTED_VALUE"""),300.0)</f>
        <v>300</v>
      </c>
      <c r="AE120" s="393">
        <f>IFERROR(__xludf.DUMMYFUNCTION("""COMPUTED_VALUE"""),300.0)</f>
        <v>300</v>
      </c>
      <c r="AF120" s="393">
        <f>IFERROR(__xludf.DUMMYFUNCTION("""COMPUTED_VALUE"""),300.0)</f>
        <v>300</v>
      </c>
      <c r="AG120" s="393">
        <f>IFERROR(__xludf.DUMMYFUNCTION("""COMPUTED_VALUE"""),310.0)</f>
        <v>310</v>
      </c>
      <c r="AH120" s="394">
        <f>IFERROR(__xludf.DUMMYFUNCTION("""COMPUTED_VALUE"""),310.0)</f>
        <v>310</v>
      </c>
      <c r="AI120" s="385" t="str">
        <f>IFERROR(__xludf.DUMMYFUNCTION("""COMPUTED_VALUE"""),"持続型")</f>
        <v>持続型</v>
      </c>
      <c r="AJ120" s="386">
        <f>IFERROR(__xludf.DUMMYFUNCTION("""COMPUTED_VALUE"""),1.0)</f>
        <v>1</v>
      </c>
      <c r="AK120" s="387" t="str">
        <f>IFERROR(__xludf.DUMMYFUNCTION("""COMPUTED_VALUE"""),"効果時間")</f>
        <v>効果時間</v>
      </c>
      <c r="AL120" s="392">
        <f>IFERROR(__xludf.DUMMYFUNCTION("""COMPUTED_VALUE"""),450.0)</f>
        <v>450</v>
      </c>
      <c r="AM120" s="393">
        <f>IFERROR(__xludf.DUMMYFUNCTION("""COMPUTED_VALUE"""),450.0)</f>
        <v>450</v>
      </c>
      <c r="AN120" s="393">
        <f>IFERROR(__xludf.DUMMYFUNCTION("""COMPUTED_VALUE"""),450.0)</f>
        <v>450</v>
      </c>
      <c r="AO120" s="393">
        <f>IFERROR(__xludf.DUMMYFUNCTION("""COMPUTED_VALUE"""),450.0)</f>
        <v>450</v>
      </c>
      <c r="AP120" s="393">
        <f>IFERROR(__xludf.DUMMYFUNCTION("""COMPUTED_VALUE"""),450.0)</f>
        <v>450</v>
      </c>
      <c r="AQ120" s="393">
        <f>IFERROR(__xludf.DUMMYFUNCTION("""COMPUTED_VALUE"""),450.0)</f>
        <v>450</v>
      </c>
      <c r="AR120" s="393">
        <f>IFERROR(__xludf.DUMMYFUNCTION("""COMPUTED_VALUE"""),460.0)</f>
        <v>460</v>
      </c>
      <c r="AS120" s="394">
        <f>IFERROR(__xludf.DUMMYFUNCTION("""COMPUTED_VALUE"""),460.0)</f>
        <v>460</v>
      </c>
      <c r="AT120" s="385" t="str">
        <f>IFERROR(__xludf.DUMMYFUNCTION("""COMPUTED_VALUE"""),"超持続型")</f>
        <v>超持続型</v>
      </c>
      <c r="AU120" s="386">
        <f>IFERROR(__xludf.DUMMYFUNCTION("""COMPUTED_VALUE"""),1.0)</f>
        <v>1</v>
      </c>
      <c r="AV120" s="387" t="str">
        <f>IFERROR(__xludf.DUMMYFUNCTION("""COMPUTED_VALUE"""),"効果時間")</f>
        <v>効果時間</v>
      </c>
      <c r="AW120" s="395" t="str">
        <f>IFERROR(__xludf.DUMMYFUNCTION("""COMPUTED_VALUE"""),"-")</f>
        <v>-</v>
      </c>
      <c r="AX120" s="396" t="str">
        <f>IFERROR(__xludf.DUMMYFUNCTION("""COMPUTED_VALUE"""),"-")</f>
        <v>-</v>
      </c>
      <c r="AY120" s="396" t="str">
        <f>IFERROR(__xludf.DUMMYFUNCTION("""COMPUTED_VALUE"""),"-")</f>
        <v>-</v>
      </c>
      <c r="AZ120" s="396" t="str">
        <f>IFERROR(__xludf.DUMMYFUNCTION("""COMPUTED_VALUE"""),"-")</f>
        <v>-</v>
      </c>
      <c r="BA120" s="396" t="str">
        <f>IFERROR(__xludf.DUMMYFUNCTION("""COMPUTED_VALUE"""),"-")</f>
        <v>-</v>
      </c>
      <c r="BB120" s="393">
        <f>IFERROR(__xludf.DUMMYFUNCTION("""COMPUTED_VALUE"""),600.0)</f>
        <v>600</v>
      </c>
      <c r="BC120" s="393">
        <f>IFERROR(__xludf.DUMMYFUNCTION("""COMPUTED_VALUE"""),610.0)</f>
        <v>610</v>
      </c>
      <c r="BD120" s="394">
        <f>IFERROR(__xludf.DUMMYFUNCTION("""COMPUTED_VALUE"""),610.0)</f>
        <v>610</v>
      </c>
      <c r="BE120" s="385" t="str">
        <f>IFERROR(__xludf.DUMMYFUNCTION("""COMPUTED_VALUE"""),"ハイブリッド型")</f>
        <v>ハイブリッド型</v>
      </c>
      <c r="BF120" s="386">
        <f>IFERROR(__xludf.DUMMYFUNCTION("""COMPUTED_VALUE"""),1.0)</f>
        <v>1</v>
      </c>
      <c r="BG120" s="387" t="str">
        <f>IFERROR(__xludf.DUMMYFUNCTION("""COMPUTED_VALUE"""),"効果時間")</f>
        <v>効果時間</v>
      </c>
      <c r="BH120" s="397">
        <f>IFERROR(__xludf.DUMMYFUNCTION("""COMPUTED_VALUE"""),150.0)</f>
        <v>150</v>
      </c>
      <c r="BI120" s="397">
        <f>IFERROR(__xludf.DUMMYFUNCTION("""COMPUTED_VALUE"""),150.0)</f>
        <v>150</v>
      </c>
      <c r="BJ120" s="397">
        <f>IFERROR(__xludf.DUMMYFUNCTION("""COMPUTED_VALUE"""),150.0)</f>
        <v>150</v>
      </c>
      <c r="BK120" s="398">
        <f>IFERROR(__xludf.DUMMYFUNCTION("""COMPUTED_VALUE"""),150.0)</f>
        <v>150</v>
      </c>
      <c r="BL120" s="397">
        <f>IFERROR(__xludf.DUMMYFUNCTION("""COMPUTED_VALUE"""),150.0)</f>
        <v>150</v>
      </c>
      <c r="BM120" s="398">
        <f>IFERROR(__xludf.DUMMYFUNCTION("""COMPUTED_VALUE"""),350.0)</f>
        <v>350</v>
      </c>
      <c r="BN120" s="397">
        <f>IFERROR(__xludf.DUMMYFUNCTION("""COMPUTED_VALUE"""),460.0)</f>
        <v>460</v>
      </c>
      <c r="BO120" s="398">
        <f>IFERROR(__xludf.DUMMYFUNCTION("""COMPUTED_VALUE"""),460.0)</f>
        <v>460</v>
      </c>
    </row>
    <row r="121">
      <c r="A121" s="307" t="str">
        <f>IFERROR(__xludf.DUMMYFUNCTION("""COMPUTED_VALUE"""),"ダメージカット(自身)")</f>
        <v>ダメージカット(自身)</v>
      </c>
      <c r="B121" s="385" t="str">
        <f>IFERROR(__xludf.DUMMYFUNCTION("""COMPUTED_VALUE"""),"超瞬間型")</f>
        <v>超瞬間型</v>
      </c>
      <c r="C121" s="399">
        <f>IFERROR(__xludf.DUMMYFUNCTION("""COMPUTED_VALUE"""),2.0)</f>
        <v>2</v>
      </c>
      <c r="D121" s="400" t="str">
        <f>IFERROR(__xludf.DUMMYFUNCTION("""COMPUTED_VALUE"""),"効果値")</f>
        <v>効果値</v>
      </c>
      <c r="E121" s="401" t="str">
        <f>IFERROR(__xludf.DUMMYFUNCTION("""COMPUTED_VALUE"""),"-")</f>
        <v>-</v>
      </c>
      <c r="F121" s="401" t="str">
        <f>IFERROR(__xludf.DUMMYFUNCTION("""COMPUTED_VALUE"""),"-")</f>
        <v>-</v>
      </c>
      <c r="G121" s="401" t="str">
        <f>IFERROR(__xludf.DUMMYFUNCTION("""COMPUTED_VALUE"""),"-")</f>
        <v>-</v>
      </c>
      <c r="H121" s="401" t="str">
        <f>IFERROR(__xludf.DUMMYFUNCTION("""COMPUTED_VALUE"""),"-")</f>
        <v>-</v>
      </c>
      <c r="I121" s="401" t="str">
        <f>IFERROR(__xludf.DUMMYFUNCTION("""COMPUTED_VALUE"""),"-")</f>
        <v>-</v>
      </c>
      <c r="J121" s="318">
        <f>IFERROR(__xludf.DUMMYFUNCTION("""COMPUTED_VALUE"""),57.0)</f>
        <v>57</v>
      </c>
      <c r="K121" s="318">
        <f>IFERROR(__xludf.DUMMYFUNCTION("""COMPUTED_VALUE"""),67.0)</f>
        <v>67</v>
      </c>
      <c r="L121" s="318">
        <f>IFERROR(__xludf.DUMMYFUNCTION("""COMPUTED_VALUE"""),69.0)</f>
        <v>69</v>
      </c>
      <c r="M121" s="385" t="str">
        <f>IFERROR(__xludf.DUMMYFUNCTION("""COMPUTED_VALUE"""),"瞬間型")</f>
        <v>瞬間型</v>
      </c>
      <c r="N121" s="399">
        <f>IFERROR(__xludf.DUMMYFUNCTION("""COMPUTED_VALUE"""),2.0)</f>
        <v>2</v>
      </c>
      <c r="O121" s="400" t="str">
        <f>IFERROR(__xludf.DUMMYFUNCTION("""COMPUTED_VALUE"""),"効果値")</f>
        <v>効果値</v>
      </c>
      <c r="P121" s="343">
        <f>IFERROR(__xludf.DUMMYFUNCTION("""COMPUTED_VALUE"""),21.0)</f>
        <v>21</v>
      </c>
      <c r="Q121" s="402">
        <f>IFERROR(__xludf.DUMMYFUNCTION("""COMPUTED_VALUE"""),21.0)</f>
        <v>21</v>
      </c>
      <c r="R121" s="343">
        <f>IFERROR(__xludf.DUMMYFUNCTION("""COMPUTED_VALUE"""),22.0)</f>
        <v>22</v>
      </c>
      <c r="S121" s="402">
        <f>IFERROR(__xludf.DUMMYFUNCTION("""COMPUTED_VALUE"""),22.0)</f>
        <v>22</v>
      </c>
      <c r="T121" s="343">
        <f>IFERROR(__xludf.DUMMYFUNCTION("""COMPUTED_VALUE"""),22.0)</f>
        <v>22</v>
      </c>
      <c r="U121" s="343">
        <f>IFERROR(__xludf.DUMMYFUNCTION("""COMPUTED_VALUE"""),27.0)</f>
        <v>27</v>
      </c>
      <c r="V121" s="343">
        <f>IFERROR(__xludf.DUMMYFUNCTION("""COMPUTED_VALUE"""),32.0)</f>
        <v>32</v>
      </c>
      <c r="W121" s="343">
        <f>IFERROR(__xludf.DUMMYFUNCTION("""COMPUTED_VALUE"""),34.0)</f>
        <v>34</v>
      </c>
      <c r="X121" s="385" t="str">
        <f>IFERROR(__xludf.DUMMYFUNCTION("""COMPUTED_VALUE"""),"安定型")</f>
        <v>安定型</v>
      </c>
      <c r="Y121" s="399">
        <f>IFERROR(__xludf.DUMMYFUNCTION("""COMPUTED_VALUE"""),2.0)</f>
        <v>2</v>
      </c>
      <c r="Z121" s="400" t="str">
        <f>IFERROR(__xludf.DUMMYFUNCTION("""COMPUTED_VALUE"""),"効果値")</f>
        <v>効果値</v>
      </c>
      <c r="AA121" s="343">
        <f>IFERROR(__xludf.DUMMYFUNCTION("""COMPUTED_VALUE"""),11.0)</f>
        <v>11</v>
      </c>
      <c r="AB121" s="402">
        <f>IFERROR(__xludf.DUMMYFUNCTION("""COMPUTED_VALUE"""),11.0)</f>
        <v>11</v>
      </c>
      <c r="AC121" s="343">
        <f>IFERROR(__xludf.DUMMYFUNCTION("""COMPUTED_VALUE"""),12.0)</f>
        <v>12</v>
      </c>
      <c r="AD121" s="402">
        <f>IFERROR(__xludf.DUMMYFUNCTION("""COMPUTED_VALUE"""),12.0)</f>
        <v>12</v>
      </c>
      <c r="AE121" s="343">
        <f>IFERROR(__xludf.DUMMYFUNCTION("""COMPUTED_VALUE"""),12.0)</f>
        <v>12</v>
      </c>
      <c r="AF121" s="343">
        <f>IFERROR(__xludf.DUMMYFUNCTION("""COMPUTED_VALUE"""),12.0)</f>
        <v>12</v>
      </c>
      <c r="AG121" s="343">
        <f>IFERROR(__xludf.DUMMYFUNCTION("""COMPUTED_VALUE"""),17.0)</f>
        <v>17</v>
      </c>
      <c r="AH121" s="343">
        <f>IFERROR(__xludf.DUMMYFUNCTION("""COMPUTED_VALUE"""),19.0)</f>
        <v>19</v>
      </c>
      <c r="AI121" s="385" t="str">
        <f>IFERROR(__xludf.DUMMYFUNCTION("""COMPUTED_VALUE"""),"持続型")</f>
        <v>持続型</v>
      </c>
      <c r="AJ121" s="399">
        <f>IFERROR(__xludf.DUMMYFUNCTION("""COMPUTED_VALUE"""),2.0)</f>
        <v>2</v>
      </c>
      <c r="AK121" s="400" t="str">
        <f>IFERROR(__xludf.DUMMYFUNCTION("""COMPUTED_VALUE"""),"効果値")</f>
        <v>効果値</v>
      </c>
      <c r="AL121" s="343">
        <f>IFERROR(__xludf.DUMMYFUNCTION("""COMPUTED_VALUE"""),6.0)</f>
        <v>6</v>
      </c>
      <c r="AM121" s="402">
        <f>IFERROR(__xludf.DUMMYFUNCTION("""COMPUTED_VALUE"""),6.0)</f>
        <v>6</v>
      </c>
      <c r="AN121" s="343">
        <f>IFERROR(__xludf.DUMMYFUNCTION("""COMPUTED_VALUE"""),7.0)</f>
        <v>7</v>
      </c>
      <c r="AO121" s="402">
        <f>IFERROR(__xludf.DUMMYFUNCTION("""COMPUTED_VALUE"""),7.0)</f>
        <v>7</v>
      </c>
      <c r="AP121" s="343">
        <f>IFERROR(__xludf.DUMMYFUNCTION("""COMPUTED_VALUE"""),7.0)</f>
        <v>7</v>
      </c>
      <c r="AQ121" s="343">
        <f>IFERROR(__xludf.DUMMYFUNCTION("""COMPUTED_VALUE"""),7.0)</f>
        <v>7</v>
      </c>
      <c r="AR121" s="343">
        <f>IFERROR(__xludf.DUMMYFUNCTION("""COMPUTED_VALUE"""),11.0)</f>
        <v>11</v>
      </c>
      <c r="AS121" s="343">
        <f>IFERROR(__xludf.DUMMYFUNCTION("""COMPUTED_VALUE"""),11.0)</f>
        <v>11</v>
      </c>
      <c r="AT121" s="385" t="str">
        <f>IFERROR(__xludf.DUMMYFUNCTION("""COMPUTED_VALUE"""),"超持続型")</f>
        <v>超持続型</v>
      </c>
      <c r="AU121" s="399">
        <f>IFERROR(__xludf.DUMMYFUNCTION("""COMPUTED_VALUE"""),2.0)</f>
        <v>2</v>
      </c>
      <c r="AV121" s="400" t="str">
        <f>IFERROR(__xludf.DUMMYFUNCTION("""COMPUTED_VALUE"""),"効果値")</f>
        <v>効果値</v>
      </c>
      <c r="AW121" s="403" t="str">
        <f>IFERROR(__xludf.DUMMYFUNCTION("""COMPUTED_VALUE"""),"-")</f>
        <v>-</v>
      </c>
      <c r="AX121" s="403" t="str">
        <f>IFERROR(__xludf.DUMMYFUNCTION("""COMPUTED_VALUE"""),"-")</f>
        <v>-</v>
      </c>
      <c r="AY121" s="403" t="str">
        <f>IFERROR(__xludf.DUMMYFUNCTION("""COMPUTED_VALUE"""),"-")</f>
        <v>-</v>
      </c>
      <c r="AZ121" s="403" t="str">
        <f>IFERROR(__xludf.DUMMYFUNCTION("""COMPUTED_VALUE"""),"-")</f>
        <v>-</v>
      </c>
      <c r="BA121" s="403" t="str">
        <f>IFERROR(__xludf.DUMMYFUNCTION("""COMPUTED_VALUE"""),"-")</f>
        <v>-</v>
      </c>
      <c r="BB121" s="343">
        <f>IFERROR(__xludf.DUMMYFUNCTION("""COMPUTED_VALUE"""),7.0)</f>
        <v>7</v>
      </c>
      <c r="BC121" s="343">
        <f>IFERROR(__xludf.DUMMYFUNCTION("""COMPUTED_VALUE"""),11.0)</f>
        <v>11</v>
      </c>
      <c r="BD121" s="343">
        <f>IFERROR(__xludf.DUMMYFUNCTION("""COMPUTED_VALUE"""),11.0)</f>
        <v>11</v>
      </c>
      <c r="BE121" s="385" t="str">
        <f>IFERROR(__xludf.DUMMYFUNCTION("""COMPUTED_VALUE"""),"ハイブリッド型")</f>
        <v>ハイブリッド型</v>
      </c>
      <c r="BF121" s="399">
        <f>IFERROR(__xludf.DUMMYFUNCTION("""COMPUTED_VALUE"""),2.0)</f>
        <v>2</v>
      </c>
      <c r="BG121" s="400" t="str">
        <f>IFERROR(__xludf.DUMMYFUNCTION("""COMPUTED_VALUE"""),"効果値")</f>
        <v>効果値</v>
      </c>
      <c r="BH121" s="404">
        <f>IFERROR(__xludf.DUMMYFUNCTION("""COMPUTED_VALUE"""),10.8)</f>
        <v>10.8</v>
      </c>
      <c r="BI121" s="405">
        <f>IFERROR(__xludf.DUMMYFUNCTION("""COMPUTED_VALUE"""),11.2)</f>
        <v>11.2</v>
      </c>
      <c r="BJ121" s="405">
        <f>IFERROR(__xludf.DUMMYFUNCTION("""COMPUTED_VALUE"""),11.5)</f>
        <v>11.5</v>
      </c>
      <c r="BK121" s="405">
        <f>IFERROR(__xludf.DUMMYFUNCTION("""COMPUTED_VALUE"""),11.8)</f>
        <v>11.8</v>
      </c>
      <c r="BL121" s="405">
        <f>IFERROR(__xludf.DUMMYFUNCTION("""COMPUTED_VALUE"""),12.1)</f>
        <v>12.1</v>
      </c>
      <c r="BM121" s="405">
        <f>IFERROR(__xludf.DUMMYFUNCTION("""COMPUTED_VALUE"""),17.1)</f>
        <v>17.1</v>
      </c>
      <c r="BN121" s="405">
        <f>IFERROR(__xludf.DUMMYFUNCTION("""COMPUTED_VALUE"""),22.0)</f>
        <v>22</v>
      </c>
      <c r="BO121" s="406">
        <f>IFERROR(__xludf.DUMMYFUNCTION("""COMPUTED_VALUE"""),24.0)</f>
        <v>24</v>
      </c>
    </row>
    <row r="122">
      <c r="A122" s="307" t="str">
        <f>IFERROR(__xludf.DUMMYFUNCTION("""COMPUTED_VALUE"""),"ダメージカット(自身)")</f>
        <v>ダメージカット(自身)</v>
      </c>
      <c r="B122" s="385" t="str">
        <f>IFERROR(__xludf.DUMMYFUNCTION("""COMPUTED_VALUE"""),"超瞬間型")</f>
        <v>超瞬間型</v>
      </c>
      <c r="C122" s="386">
        <f>IFERROR(__xludf.DUMMYFUNCTION("""COMPUTED_VALUE"""),2.0)</f>
        <v>2</v>
      </c>
      <c r="D122" s="387" t="str">
        <f>IFERROR(__xludf.DUMMYFUNCTION("""COMPUTED_VALUE"""),"効果時間")</f>
        <v>効果時間</v>
      </c>
      <c r="E122" s="388" t="str">
        <f>IFERROR(__xludf.DUMMYFUNCTION("""COMPUTED_VALUE"""),"-")</f>
        <v>-</v>
      </c>
      <c r="F122" s="389" t="str">
        <f>IFERROR(__xludf.DUMMYFUNCTION("""COMPUTED_VALUE"""),"-")</f>
        <v>-</v>
      </c>
      <c r="G122" s="388" t="str">
        <f>IFERROR(__xludf.DUMMYFUNCTION("""COMPUTED_VALUE"""),"-")</f>
        <v>-</v>
      </c>
      <c r="H122" s="389" t="str">
        <f>IFERROR(__xludf.DUMMYFUNCTION("""COMPUTED_VALUE"""),"-")</f>
        <v>-</v>
      </c>
      <c r="I122" s="388" t="str">
        <f>IFERROR(__xludf.DUMMYFUNCTION("""COMPUTED_VALUE"""),"-")</f>
        <v>-</v>
      </c>
      <c r="J122" s="390">
        <f>IFERROR(__xludf.DUMMYFUNCTION("""COMPUTED_VALUE"""),150.0)</f>
        <v>150</v>
      </c>
      <c r="K122" s="391">
        <f>IFERROR(__xludf.DUMMYFUNCTION("""COMPUTED_VALUE"""),160.0)</f>
        <v>160</v>
      </c>
      <c r="L122" s="340">
        <f>IFERROR(__xludf.DUMMYFUNCTION("""COMPUTED_VALUE"""),170.0)</f>
        <v>170</v>
      </c>
      <c r="M122" s="385" t="str">
        <f>IFERROR(__xludf.DUMMYFUNCTION("""COMPUTED_VALUE"""),"瞬間型")</f>
        <v>瞬間型</v>
      </c>
      <c r="N122" s="386">
        <f>IFERROR(__xludf.DUMMYFUNCTION("""COMPUTED_VALUE"""),2.0)</f>
        <v>2</v>
      </c>
      <c r="O122" s="387" t="str">
        <f>IFERROR(__xludf.DUMMYFUNCTION("""COMPUTED_VALUE"""),"効果時間")</f>
        <v>効果時間</v>
      </c>
      <c r="P122" s="392">
        <f>IFERROR(__xludf.DUMMYFUNCTION("""COMPUTED_VALUE"""),160.0)</f>
        <v>160</v>
      </c>
      <c r="Q122" s="275">
        <f>IFERROR(__xludf.DUMMYFUNCTION("""COMPUTED_VALUE"""),165.0)</f>
        <v>165</v>
      </c>
      <c r="R122" s="280">
        <f>IFERROR(__xludf.DUMMYFUNCTION("""COMPUTED_VALUE"""),170.0)</f>
        <v>170</v>
      </c>
      <c r="S122" s="275">
        <f>IFERROR(__xludf.DUMMYFUNCTION("""COMPUTED_VALUE"""),175.0)</f>
        <v>175</v>
      </c>
      <c r="T122" s="280">
        <f>IFERROR(__xludf.DUMMYFUNCTION("""COMPUTED_VALUE"""),180.0)</f>
        <v>180</v>
      </c>
      <c r="U122" s="280">
        <f>IFERROR(__xludf.DUMMYFUNCTION("""COMPUTED_VALUE"""),180.0)</f>
        <v>180</v>
      </c>
      <c r="V122" s="280">
        <f>IFERROR(__xludf.DUMMYFUNCTION("""COMPUTED_VALUE"""),220.0)</f>
        <v>220</v>
      </c>
      <c r="W122" s="280">
        <f>IFERROR(__xludf.DUMMYFUNCTION("""COMPUTED_VALUE"""),230.0)</f>
        <v>230</v>
      </c>
      <c r="X122" s="385" t="str">
        <f>IFERROR(__xludf.DUMMYFUNCTION("""COMPUTED_VALUE"""),"安定型")</f>
        <v>安定型</v>
      </c>
      <c r="Y122" s="386">
        <f>IFERROR(__xludf.DUMMYFUNCTION("""COMPUTED_VALUE"""),2.0)</f>
        <v>2</v>
      </c>
      <c r="Z122" s="387" t="str">
        <f>IFERROR(__xludf.DUMMYFUNCTION("""COMPUTED_VALUE"""),"効果時間")</f>
        <v>効果時間</v>
      </c>
      <c r="AA122" s="392">
        <f>IFERROR(__xludf.DUMMYFUNCTION("""COMPUTED_VALUE"""),310.0)</f>
        <v>310</v>
      </c>
      <c r="AB122" s="275">
        <f>IFERROR(__xludf.DUMMYFUNCTION("""COMPUTED_VALUE"""),315.0)</f>
        <v>315</v>
      </c>
      <c r="AC122" s="280">
        <f>IFERROR(__xludf.DUMMYFUNCTION("""COMPUTED_VALUE"""),320.0)</f>
        <v>320</v>
      </c>
      <c r="AD122" s="275">
        <f>IFERROR(__xludf.DUMMYFUNCTION("""COMPUTED_VALUE"""),325.0)</f>
        <v>325</v>
      </c>
      <c r="AE122" s="280">
        <f>IFERROR(__xludf.DUMMYFUNCTION("""COMPUTED_VALUE"""),330.0)</f>
        <v>330</v>
      </c>
      <c r="AF122" s="280">
        <f>IFERROR(__xludf.DUMMYFUNCTION("""COMPUTED_VALUE"""),345.0)</f>
        <v>345</v>
      </c>
      <c r="AG122" s="280">
        <f>IFERROR(__xludf.DUMMYFUNCTION("""COMPUTED_VALUE"""),370.0)</f>
        <v>370</v>
      </c>
      <c r="AH122" s="280">
        <f>IFERROR(__xludf.DUMMYFUNCTION("""COMPUTED_VALUE"""),380.0)</f>
        <v>380</v>
      </c>
      <c r="AI122" s="385" t="str">
        <f>IFERROR(__xludf.DUMMYFUNCTION("""COMPUTED_VALUE"""),"持続型")</f>
        <v>持続型</v>
      </c>
      <c r="AJ122" s="386">
        <f>IFERROR(__xludf.DUMMYFUNCTION("""COMPUTED_VALUE"""),2.0)</f>
        <v>2</v>
      </c>
      <c r="AK122" s="387" t="str">
        <f>IFERROR(__xludf.DUMMYFUNCTION("""COMPUTED_VALUE"""),"効果時間")</f>
        <v>効果時間</v>
      </c>
      <c r="AL122" s="392">
        <f>IFERROR(__xludf.DUMMYFUNCTION("""COMPUTED_VALUE"""),460.0)</f>
        <v>460</v>
      </c>
      <c r="AM122" s="275">
        <f>IFERROR(__xludf.DUMMYFUNCTION("""COMPUTED_VALUE"""),465.0)</f>
        <v>465</v>
      </c>
      <c r="AN122" s="280">
        <f>IFERROR(__xludf.DUMMYFUNCTION("""COMPUTED_VALUE"""),470.0)</f>
        <v>470</v>
      </c>
      <c r="AO122" s="275">
        <f>IFERROR(__xludf.DUMMYFUNCTION("""COMPUTED_VALUE"""),475.0)</f>
        <v>475</v>
      </c>
      <c r="AP122" s="280">
        <f>IFERROR(__xludf.DUMMYFUNCTION("""COMPUTED_VALUE"""),480.0)</f>
        <v>480</v>
      </c>
      <c r="AQ122" s="280">
        <f>IFERROR(__xludf.DUMMYFUNCTION("""COMPUTED_VALUE"""),495.0)</f>
        <v>495</v>
      </c>
      <c r="AR122" s="280">
        <f>IFERROR(__xludf.DUMMYFUNCTION("""COMPUTED_VALUE"""),520.0)</f>
        <v>520</v>
      </c>
      <c r="AS122" s="280">
        <f>IFERROR(__xludf.DUMMYFUNCTION("""COMPUTED_VALUE"""),530.0)</f>
        <v>530</v>
      </c>
      <c r="AT122" s="385" t="str">
        <f>IFERROR(__xludf.DUMMYFUNCTION("""COMPUTED_VALUE"""),"超持続型")</f>
        <v>超持続型</v>
      </c>
      <c r="AU122" s="386">
        <f>IFERROR(__xludf.DUMMYFUNCTION("""COMPUTED_VALUE"""),2.0)</f>
        <v>2</v>
      </c>
      <c r="AV122" s="387" t="str">
        <f>IFERROR(__xludf.DUMMYFUNCTION("""COMPUTED_VALUE"""),"効果時間")</f>
        <v>効果時間</v>
      </c>
      <c r="AW122" s="368" t="str">
        <f>IFERROR(__xludf.DUMMYFUNCTION("""COMPUTED_VALUE"""),"-")</f>
        <v>-</v>
      </c>
      <c r="AX122" s="368" t="str">
        <f>IFERROR(__xludf.DUMMYFUNCTION("""COMPUTED_VALUE"""),"-")</f>
        <v>-</v>
      </c>
      <c r="AY122" s="368" t="str">
        <f>IFERROR(__xludf.DUMMYFUNCTION("""COMPUTED_VALUE"""),"-")</f>
        <v>-</v>
      </c>
      <c r="AZ122" s="368" t="str">
        <f>IFERROR(__xludf.DUMMYFUNCTION("""COMPUTED_VALUE"""),"-")</f>
        <v>-</v>
      </c>
      <c r="BA122" s="368" t="str">
        <f>IFERROR(__xludf.DUMMYFUNCTION("""COMPUTED_VALUE"""),"-")</f>
        <v>-</v>
      </c>
      <c r="BB122" s="280">
        <f>IFERROR(__xludf.DUMMYFUNCTION("""COMPUTED_VALUE"""),625.0)</f>
        <v>625</v>
      </c>
      <c r="BC122" s="280">
        <f>IFERROR(__xludf.DUMMYFUNCTION("""COMPUTED_VALUE"""),670.0)</f>
        <v>670</v>
      </c>
      <c r="BD122" s="280">
        <f>IFERROR(__xludf.DUMMYFUNCTION("""COMPUTED_VALUE"""),680.0)</f>
        <v>680</v>
      </c>
      <c r="BE122" s="385" t="str">
        <f>IFERROR(__xludf.DUMMYFUNCTION("""COMPUTED_VALUE"""),"ハイブリッド型")</f>
        <v>ハイブリッド型</v>
      </c>
      <c r="BF122" s="386">
        <f>IFERROR(__xludf.DUMMYFUNCTION("""COMPUTED_VALUE"""),2.0)</f>
        <v>2</v>
      </c>
      <c r="BG122" s="387" t="str">
        <f>IFERROR(__xludf.DUMMYFUNCTION("""COMPUTED_VALUE"""),"効果時間")</f>
        <v>効果時間</v>
      </c>
      <c r="BH122" s="407">
        <f>IFERROR(__xludf.DUMMYFUNCTION("""COMPUTED_VALUE"""),195.0)</f>
        <v>195</v>
      </c>
      <c r="BI122" s="407">
        <f>IFERROR(__xludf.DUMMYFUNCTION("""COMPUTED_VALUE"""),205.0)</f>
        <v>205</v>
      </c>
      <c r="BJ122" s="407">
        <f>IFERROR(__xludf.DUMMYFUNCTION("""COMPUTED_VALUE"""),205.0)</f>
        <v>205</v>
      </c>
      <c r="BK122" s="408">
        <f>IFERROR(__xludf.DUMMYFUNCTION("""COMPUTED_VALUE"""),210.0)</f>
        <v>210</v>
      </c>
      <c r="BL122" s="407">
        <f>IFERROR(__xludf.DUMMYFUNCTION("""COMPUTED_VALUE"""),215.0)</f>
        <v>215</v>
      </c>
      <c r="BM122" s="408">
        <f>IFERROR(__xludf.DUMMYFUNCTION("""COMPUTED_VALUE"""),375.0)</f>
        <v>375</v>
      </c>
      <c r="BN122" s="407">
        <f>IFERROR(__xludf.DUMMYFUNCTION("""COMPUTED_VALUE"""),480.0)</f>
        <v>480</v>
      </c>
      <c r="BO122" s="408">
        <f>IFERROR(__xludf.DUMMYFUNCTION("""COMPUTED_VALUE"""),490.0)</f>
        <v>490</v>
      </c>
    </row>
    <row r="123">
      <c r="A123" s="307" t="str">
        <f>IFERROR(__xludf.DUMMYFUNCTION("""COMPUTED_VALUE"""),"ダメージカット(自身)")</f>
        <v>ダメージカット(自身)</v>
      </c>
      <c r="B123" s="385" t="str">
        <f>IFERROR(__xludf.DUMMYFUNCTION("""COMPUTED_VALUE"""),"超瞬間型")</f>
        <v>超瞬間型</v>
      </c>
      <c r="C123" s="399">
        <f>IFERROR(__xludf.DUMMYFUNCTION("""COMPUTED_VALUE"""),3.0)</f>
        <v>3</v>
      </c>
      <c r="D123" s="400" t="str">
        <f>IFERROR(__xludf.DUMMYFUNCTION("""COMPUTED_VALUE"""),"効果値")</f>
        <v>効果値</v>
      </c>
      <c r="E123" s="401" t="str">
        <f>IFERROR(__xludf.DUMMYFUNCTION("""COMPUTED_VALUE"""),"-")</f>
        <v>-</v>
      </c>
      <c r="F123" s="409" t="str">
        <f>IFERROR(__xludf.DUMMYFUNCTION("""COMPUTED_VALUE"""),"-")</f>
        <v>-</v>
      </c>
      <c r="G123" s="401" t="str">
        <f>IFERROR(__xludf.DUMMYFUNCTION("""COMPUTED_VALUE"""),"-")</f>
        <v>-</v>
      </c>
      <c r="H123" s="409" t="str">
        <f>IFERROR(__xludf.DUMMYFUNCTION("""COMPUTED_VALUE"""),"-")</f>
        <v>-</v>
      </c>
      <c r="I123" s="409" t="str">
        <f>IFERROR(__xludf.DUMMYFUNCTION("""COMPUTED_VALUE"""),"-")</f>
        <v>-</v>
      </c>
      <c r="J123" s="410">
        <f>IFERROR(__xludf.DUMMYFUNCTION("""COMPUTED_VALUE"""),58.0)</f>
        <v>58</v>
      </c>
      <c r="K123" s="410">
        <f>IFERROR(__xludf.DUMMYFUNCTION("""COMPUTED_VALUE"""),68.0)</f>
        <v>68</v>
      </c>
      <c r="L123" s="410">
        <f>IFERROR(__xludf.DUMMYFUNCTION("""COMPUTED_VALUE"""),72.0)</f>
        <v>72</v>
      </c>
      <c r="M123" s="385" t="str">
        <f>IFERROR(__xludf.DUMMYFUNCTION("""COMPUTED_VALUE"""),"瞬間型")</f>
        <v>瞬間型</v>
      </c>
      <c r="N123" s="399">
        <f>IFERROR(__xludf.DUMMYFUNCTION("""COMPUTED_VALUE"""),3.0)</f>
        <v>3</v>
      </c>
      <c r="O123" s="400" t="str">
        <f>IFERROR(__xludf.DUMMYFUNCTION("""COMPUTED_VALUE"""),"効果値")</f>
        <v>効果値</v>
      </c>
      <c r="P123" s="343">
        <f>IFERROR(__xludf.DUMMYFUNCTION("""COMPUTED_VALUE"""),22.0)</f>
        <v>22</v>
      </c>
      <c r="Q123" s="402">
        <f>IFERROR(__xludf.DUMMYFUNCTION("""COMPUTED_VALUE"""),22.0)</f>
        <v>22</v>
      </c>
      <c r="R123" s="402">
        <f>IFERROR(__xludf.DUMMYFUNCTION("""COMPUTED_VALUE"""),23.0)</f>
        <v>23</v>
      </c>
      <c r="S123" s="402">
        <f>IFERROR(__xludf.DUMMYFUNCTION("""COMPUTED_VALUE"""),23.0)</f>
        <v>23</v>
      </c>
      <c r="T123" s="402">
        <f>IFERROR(__xludf.DUMMYFUNCTION("""COMPUTED_VALUE"""),23.0)</f>
        <v>23</v>
      </c>
      <c r="U123" s="402">
        <f>IFERROR(__xludf.DUMMYFUNCTION("""COMPUTED_VALUE"""),28.0)</f>
        <v>28</v>
      </c>
      <c r="V123" s="402">
        <f>IFERROR(__xludf.DUMMYFUNCTION("""COMPUTED_VALUE"""),33.0)</f>
        <v>33</v>
      </c>
      <c r="W123" s="402">
        <f>IFERROR(__xludf.DUMMYFUNCTION("""COMPUTED_VALUE"""),37.0)</f>
        <v>37</v>
      </c>
      <c r="X123" s="385" t="str">
        <f>IFERROR(__xludf.DUMMYFUNCTION("""COMPUTED_VALUE"""),"安定型")</f>
        <v>安定型</v>
      </c>
      <c r="Y123" s="399">
        <f>IFERROR(__xludf.DUMMYFUNCTION("""COMPUTED_VALUE"""),3.0)</f>
        <v>3</v>
      </c>
      <c r="Z123" s="400" t="str">
        <f>IFERROR(__xludf.DUMMYFUNCTION("""COMPUTED_VALUE"""),"効果値")</f>
        <v>効果値</v>
      </c>
      <c r="AA123" s="343">
        <f>IFERROR(__xludf.DUMMYFUNCTION("""COMPUTED_VALUE"""),12.0)</f>
        <v>12</v>
      </c>
      <c r="AB123" s="402">
        <f>IFERROR(__xludf.DUMMYFUNCTION("""COMPUTED_VALUE"""),12.0)</f>
        <v>12</v>
      </c>
      <c r="AC123" s="402">
        <f>IFERROR(__xludf.DUMMYFUNCTION("""COMPUTED_VALUE"""),13.0)</f>
        <v>13</v>
      </c>
      <c r="AD123" s="402">
        <f>IFERROR(__xludf.DUMMYFUNCTION("""COMPUTED_VALUE"""),13.0)</f>
        <v>13</v>
      </c>
      <c r="AE123" s="402">
        <f>IFERROR(__xludf.DUMMYFUNCTION("""COMPUTED_VALUE"""),13.0)</f>
        <v>13</v>
      </c>
      <c r="AF123" s="402">
        <f>IFERROR(__xludf.DUMMYFUNCTION("""COMPUTED_VALUE"""),13.0)</f>
        <v>13</v>
      </c>
      <c r="AG123" s="402">
        <f>IFERROR(__xludf.DUMMYFUNCTION("""COMPUTED_VALUE"""),18.0)</f>
        <v>18</v>
      </c>
      <c r="AH123" s="402">
        <f>IFERROR(__xludf.DUMMYFUNCTION("""COMPUTED_VALUE"""),22.0)</f>
        <v>22</v>
      </c>
      <c r="AI123" s="385" t="str">
        <f>IFERROR(__xludf.DUMMYFUNCTION("""COMPUTED_VALUE"""),"持続型")</f>
        <v>持続型</v>
      </c>
      <c r="AJ123" s="399">
        <f>IFERROR(__xludf.DUMMYFUNCTION("""COMPUTED_VALUE"""),3.0)</f>
        <v>3</v>
      </c>
      <c r="AK123" s="400" t="str">
        <f>IFERROR(__xludf.DUMMYFUNCTION("""COMPUTED_VALUE"""),"効果値")</f>
        <v>効果値</v>
      </c>
      <c r="AL123" s="343">
        <f>IFERROR(__xludf.DUMMYFUNCTION("""COMPUTED_VALUE"""),7.0)</f>
        <v>7</v>
      </c>
      <c r="AM123" s="402">
        <f>IFERROR(__xludf.DUMMYFUNCTION("""COMPUTED_VALUE"""),7.0)</f>
        <v>7</v>
      </c>
      <c r="AN123" s="402">
        <f>IFERROR(__xludf.DUMMYFUNCTION("""COMPUTED_VALUE"""),8.0)</f>
        <v>8</v>
      </c>
      <c r="AO123" s="402">
        <f>IFERROR(__xludf.DUMMYFUNCTION("""COMPUTED_VALUE"""),8.0)</f>
        <v>8</v>
      </c>
      <c r="AP123" s="402">
        <f>IFERROR(__xludf.DUMMYFUNCTION("""COMPUTED_VALUE"""),8.0)</f>
        <v>8</v>
      </c>
      <c r="AQ123" s="402">
        <f>IFERROR(__xludf.DUMMYFUNCTION("""COMPUTED_VALUE"""),8.0)</f>
        <v>8</v>
      </c>
      <c r="AR123" s="402">
        <f>IFERROR(__xludf.DUMMYFUNCTION("""COMPUTED_VALUE"""),11.0)</f>
        <v>11</v>
      </c>
      <c r="AS123" s="402">
        <f>IFERROR(__xludf.DUMMYFUNCTION("""COMPUTED_VALUE"""),11.0)</f>
        <v>11</v>
      </c>
      <c r="AT123" s="385" t="str">
        <f>IFERROR(__xludf.DUMMYFUNCTION("""COMPUTED_VALUE"""),"超持続型")</f>
        <v>超持続型</v>
      </c>
      <c r="AU123" s="399">
        <f>IFERROR(__xludf.DUMMYFUNCTION("""COMPUTED_VALUE"""),3.0)</f>
        <v>3</v>
      </c>
      <c r="AV123" s="400" t="str">
        <f>IFERROR(__xludf.DUMMYFUNCTION("""COMPUTED_VALUE"""),"効果値")</f>
        <v>効果値</v>
      </c>
      <c r="AW123" s="403" t="str">
        <f>IFERROR(__xludf.DUMMYFUNCTION("""COMPUTED_VALUE"""),"-")</f>
        <v>-</v>
      </c>
      <c r="AX123" s="403" t="str">
        <f>IFERROR(__xludf.DUMMYFUNCTION("""COMPUTED_VALUE"""),"-")</f>
        <v>-</v>
      </c>
      <c r="AY123" s="403" t="str">
        <f>IFERROR(__xludf.DUMMYFUNCTION("""COMPUTED_VALUE"""),"-")</f>
        <v>-</v>
      </c>
      <c r="AZ123" s="403" t="str">
        <f>IFERROR(__xludf.DUMMYFUNCTION("""COMPUTED_VALUE"""),"-")</f>
        <v>-</v>
      </c>
      <c r="BA123" s="403" t="str">
        <f>IFERROR(__xludf.DUMMYFUNCTION("""COMPUTED_VALUE"""),"-")</f>
        <v>-</v>
      </c>
      <c r="BB123" s="343">
        <f>IFERROR(__xludf.DUMMYFUNCTION("""COMPUTED_VALUE"""),8.0)</f>
        <v>8</v>
      </c>
      <c r="BC123" s="343">
        <f>IFERROR(__xludf.DUMMYFUNCTION("""COMPUTED_VALUE"""),11.0)</f>
        <v>11</v>
      </c>
      <c r="BD123" s="343">
        <f>IFERROR(__xludf.DUMMYFUNCTION("""COMPUTED_VALUE"""),11.0)</f>
        <v>11</v>
      </c>
      <c r="BE123" s="385" t="str">
        <f>IFERROR(__xludf.DUMMYFUNCTION("""COMPUTED_VALUE"""),"ハイブリッド型")</f>
        <v>ハイブリッド型</v>
      </c>
      <c r="BF123" s="399">
        <f>IFERROR(__xludf.DUMMYFUNCTION("""COMPUTED_VALUE"""),3.0)</f>
        <v>3</v>
      </c>
      <c r="BG123" s="400" t="str">
        <f>IFERROR(__xludf.DUMMYFUNCTION("""COMPUTED_VALUE"""),"効果値")</f>
        <v>効果値</v>
      </c>
      <c r="BH123" s="411">
        <f>IFERROR(__xludf.DUMMYFUNCTION("""COMPUTED_VALUE"""),11.4)</f>
        <v>11.4</v>
      </c>
      <c r="BI123" s="412">
        <f>IFERROR(__xludf.DUMMYFUNCTION("""COMPUTED_VALUE"""),11.9)</f>
        <v>11.9</v>
      </c>
      <c r="BJ123" s="412">
        <f>IFERROR(__xludf.DUMMYFUNCTION("""COMPUTED_VALUE"""),12.5)</f>
        <v>12.5</v>
      </c>
      <c r="BK123" s="412">
        <f>IFERROR(__xludf.DUMMYFUNCTION("""COMPUTED_VALUE"""),13.0)</f>
        <v>13</v>
      </c>
      <c r="BL123" s="412">
        <f>IFERROR(__xludf.DUMMYFUNCTION("""COMPUTED_VALUE"""),13.5)</f>
        <v>13.5</v>
      </c>
      <c r="BM123" s="412">
        <f>IFERROR(__xludf.DUMMYFUNCTION("""COMPUTED_VALUE"""),18.5)</f>
        <v>18.5</v>
      </c>
      <c r="BN123" s="412">
        <f>IFERROR(__xludf.DUMMYFUNCTION("""COMPUTED_VALUE"""),23.0)</f>
        <v>23</v>
      </c>
      <c r="BO123" s="413">
        <f>IFERROR(__xludf.DUMMYFUNCTION("""COMPUTED_VALUE"""),27.0)</f>
        <v>27</v>
      </c>
    </row>
    <row r="124">
      <c r="A124" s="320" t="str">
        <f>IFERROR(__xludf.DUMMYFUNCTION("""COMPUTED_VALUE"""),"ダメージカット(自身)")</f>
        <v>ダメージカット(自身)</v>
      </c>
      <c r="B124" s="385" t="str">
        <f>IFERROR(__xludf.DUMMYFUNCTION("""COMPUTED_VALUE"""),"超瞬間型")</f>
        <v>超瞬間型</v>
      </c>
      <c r="C124" s="386">
        <f>IFERROR(__xludf.DUMMYFUNCTION("""COMPUTED_VALUE"""),3.0)</f>
        <v>3</v>
      </c>
      <c r="D124" s="387" t="str">
        <f>IFERROR(__xludf.DUMMYFUNCTION("""COMPUTED_VALUE"""),"効果時間")</f>
        <v>効果時間</v>
      </c>
      <c r="E124" s="388" t="str">
        <f>IFERROR(__xludf.DUMMYFUNCTION("""COMPUTED_VALUE"""),"-")</f>
        <v>-</v>
      </c>
      <c r="F124" s="389" t="str">
        <f>IFERROR(__xludf.DUMMYFUNCTION("""COMPUTED_VALUE"""),"-")</f>
        <v>-</v>
      </c>
      <c r="G124" s="388" t="str">
        <f>IFERROR(__xludf.DUMMYFUNCTION("""COMPUTED_VALUE"""),"-")</f>
        <v>-</v>
      </c>
      <c r="H124" s="389" t="str">
        <f>IFERROR(__xludf.DUMMYFUNCTION("""COMPUTED_VALUE"""),"-")</f>
        <v>-</v>
      </c>
      <c r="I124" s="388" t="str">
        <f>IFERROR(__xludf.DUMMYFUNCTION("""COMPUTED_VALUE"""),"-")</f>
        <v>-</v>
      </c>
      <c r="J124" s="390">
        <f>IFERROR(__xludf.DUMMYFUNCTION("""COMPUTED_VALUE"""),155.0)</f>
        <v>155</v>
      </c>
      <c r="K124" s="391">
        <f>IFERROR(__xludf.DUMMYFUNCTION("""COMPUTED_VALUE"""),165.0)</f>
        <v>165</v>
      </c>
      <c r="L124" s="340">
        <f>IFERROR(__xludf.DUMMYFUNCTION("""COMPUTED_VALUE"""),185.0)</f>
        <v>185</v>
      </c>
      <c r="M124" s="385" t="str">
        <f>IFERROR(__xludf.DUMMYFUNCTION("""COMPUTED_VALUE"""),"瞬間型")</f>
        <v>瞬間型</v>
      </c>
      <c r="N124" s="386">
        <f>IFERROR(__xludf.DUMMYFUNCTION("""COMPUTED_VALUE"""),3.0)</f>
        <v>3</v>
      </c>
      <c r="O124" s="387" t="str">
        <f>IFERROR(__xludf.DUMMYFUNCTION("""COMPUTED_VALUE"""),"効果時間")</f>
        <v>効果時間</v>
      </c>
      <c r="P124" s="392">
        <f>IFERROR(__xludf.DUMMYFUNCTION("""COMPUTED_VALUE"""),165.0)</f>
        <v>165</v>
      </c>
      <c r="Q124" s="414">
        <f>IFERROR(__xludf.DUMMYFUNCTION("""COMPUTED_VALUE"""),175.0)</f>
        <v>175</v>
      </c>
      <c r="R124" s="415">
        <f>IFERROR(__xludf.DUMMYFUNCTION("""COMPUTED_VALUE"""),180.0)</f>
        <v>180</v>
      </c>
      <c r="S124" s="393">
        <f>IFERROR(__xludf.DUMMYFUNCTION("""COMPUTED_VALUE"""),185.0)</f>
        <v>185</v>
      </c>
      <c r="T124" s="393">
        <f>IFERROR(__xludf.DUMMYFUNCTION("""COMPUTED_VALUE"""),195.0)</f>
        <v>195</v>
      </c>
      <c r="U124" s="414">
        <f>IFERROR(__xludf.DUMMYFUNCTION("""COMPUTED_VALUE"""),200.0)</f>
        <v>200</v>
      </c>
      <c r="V124" s="416">
        <f>IFERROR(__xludf.DUMMYFUNCTION("""COMPUTED_VALUE"""),255.0)</f>
        <v>255</v>
      </c>
      <c r="W124" s="415">
        <f>IFERROR(__xludf.DUMMYFUNCTION("""COMPUTED_VALUE"""),270.0)</f>
        <v>270</v>
      </c>
      <c r="X124" s="385" t="str">
        <f>IFERROR(__xludf.DUMMYFUNCTION("""COMPUTED_VALUE"""),"安定型")</f>
        <v>安定型</v>
      </c>
      <c r="Y124" s="386">
        <f>IFERROR(__xludf.DUMMYFUNCTION("""COMPUTED_VALUE"""),3.0)</f>
        <v>3</v>
      </c>
      <c r="Z124" s="387" t="str">
        <f>IFERROR(__xludf.DUMMYFUNCTION("""COMPUTED_VALUE"""),"効果時間")</f>
        <v>効果時間</v>
      </c>
      <c r="AA124" s="392">
        <f>IFERROR(__xludf.DUMMYFUNCTION("""COMPUTED_VALUE"""),315.0)</f>
        <v>315</v>
      </c>
      <c r="AB124" s="414">
        <f>IFERROR(__xludf.DUMMYFUNCTION("""COMPUTED_VALUE"""),325.0)</f>
        <v>325</v>
      </c>
      <c r="AC124" s="415">
        <f>IFERROR(__xludf.DUMMYFUNCTION("""COMPUTED_VALUE"""),330.0)</f>
        <v>330</v>
      </c>
      <c r="AD124" s="393">
        <f>IFERROR(__xludf.DUMMYFUNCTION("""COMPUTED_VALUE"""),335.0)</f>
        <v>335</v>
      </c>
      <c r="AE124" s="393">
        <f>IFERROR(__xludf.DUMMYFUNCTION("""COMPUTED_VALUE"""),345.0)</f>
        <v>345</v>
      </c>
      <c r="AF124" s="414">
        <f>IFERROR(__xludf.DUMMYFUNCTION("""COMPUTED_VALUE"""),370.0)</f>
        <v>370</v>
      </c>
      <c r="AG124" s="416">
        <f>IFERROR(__xludf.DUMMYFUNCTION("""COMPUTED_VALUE"""),405.0)</f>
        <v>405</v>
      </c>
      <c r="AH124" s="415">
        <f>IFERROR(__xludf.DUMMYFUNCTION("""COMPUTED_VALUE"""),420.0)</f>
        <v>420</v>
      </c>
      <c r="AI124" s="385" t="str">
        <f>IFERROR(__xludf.DUMMYFUNCTION("""COMPUTED_VALUE"""),"持続型")</f>
        <v>持続型</v>
      </c>
      <c r="AJ124" s="386">
        <f>IFERROR(__xludf.DUMMYFUNCTION("""COMPUTED_VALUE"""),3.0)</f>
        <v>3</v>
      </c>
      <c r="AK124" s="387" t="str">
        <f>IFERROR(__xludf.DUMMYFUNCTION("""COMPUTED_VALUE"""),"効果時間")</f>
        <v>効果時間</v>
      </c>
      <c r="AL124" s="392">
        <f>IFERROR(__xludf.DUMMYFUNCTION("""COMPUTED_VALUE"""),465.0)</f>
        <v>465</v>
      </c>
      <c r="AM124" s="414">
        <f>IFERROR(__xludf.DUMMYFUNCTION("""COMPUTED_VALUE"""),475.0)</f>
        <v>475</v>
      </c>
      <c r="AN124" s="415">
        <f>IFERROR(__xludf.DUMMYFUNCTION("""COMPUTED_VALUE"""),480.0)</f>
        <v>480</v>
      </c>
      <c r="AO124" s="393">
        <f>IFERROR(__xludf.DUMMYFUNCTION("""COMPUTED_VALUE"""),485.0)</f>
        <v>485</v>
      </c>
      <c r="AP124" s="393">
        <f>IFERROR(__xludf.DUMMYFUNCTION("""COMPUTED_VALUE"""),495.0)</f>
        <v>495</v>
      </c>
      <c r="AQ124" s="414">
        <f>IFERROR(__xludf.DUMMYFUNCTION("""COMPUTED_VALUE"""),520.0)</f>
        <v>520</v>
      </c>
      <c r="AR124" s="416">
        <f>IFERROR(__xludf.DUMMYFUNCTION("""COMPUTED_VALUE"""),555.0)</f>
        <v>555</v>
      </c>
      <c r="AS124" s="415">
        <f>IFERROR(__xludf.DUMMYFUNCTION("""COMPUTED_VALUE"""),570.0)</f>
        <v>570</v>
      </c>
      <c r="AT124" s="385" t="str">
        <f>IFERROR(__xludf.DUMMYFUNCTION("""COMPUTED_VALUE"""),"超持続型")</f>
        <v>超持続型</v>
      </c>
      <c r="AU124" s="386">
        <f>IFERROR(__xludf.DUMMYFUNCTION("""COMPUTED_VALUE"""),3.0)</f>
        <v>3</v>
      </c>
      <c r="AV124" s="387" t="str">
        <f>IFERROR(__xludf.DUMMYFUNCTION("""COMPUTED_VALUE"""),"効果時間")</f>
        <v>効果時間</v>
      </c>
      <c r="AW124" s="368" t="str">
        <f>IFERROR(__xludf.DUMMYFUNCTION("""COMPUTED_VALUE"""),"-")</f>
        <v>-</v>
      </c>
      <c r="AX124" s="368" t="str">
        <f>IFERROR(__xludf.DUMMYFUNCTION("""COMPUTED_VALUE"""),"-")</f>
        <v>-</v>
      </c>
      <c r="AY124" s="368" t="str">
        <f>IFERROR(__xludf.DUMMYFUNCTION("""COMPUTED_VALUE"""),"-")</f>
        <v>-</v>
      </c>
      <c r="AZ124" s="368" t="str">
        <f>IFERROR(__xludf.DUMMYFUNCTION("""COMPUTED_VALUE"""),"-")</f>
        <v>-</v>
      </c>
      <c r="BA124" s="368" t="str">
        <f>IFERROR(__xludf.DUMMYFUNCTION("""COMPUTED_VALUE"""),"-")</f>
        <v>-</v>
      </c>
      <c r="BB124" s="280">
        <f>IFERROR(__xludf.DUMMYFUNCTION("""COMPUTED_VALUE"""),635.0)</f>
        <v>635</v>
      </c>
      <c r="BC124" s="280">
        <f>IFERROR(__xludf.DUMMYFUNCTION("""COMPUTED_VALUE"""),705.0)</f>
        <v>705</v>
      </c>
      <c r="BD124" s="280">
        <f>IFERROR(__xludf.DUMMYFUNCTION("""COMPUTED_VALUE"""),720.0)</f>
        <v>720</v>
      </c>
      <c r="BE124" s="385" t="str">
        <f>IFERROR(__xludf.DUMMYFUNCTION("""COMPUTED_VALUE"""),"ハイブリッド型")</f>
        <v>ハイブリッド型</v>
      </c>
      <c r="BF124" s="386">
        <f>IFERROR(__xludf.DUMMYFUNCTION("""COMPUTED_VALUE"""),3.0)</f>
        <v>3</v>
      </c>
      <c r="BG124" s="387" t="str">
        <f>IFERROR(__xludf.DUMMYFUNCTION("""COMPUTED_VALUE"""),"効果時間")</f>
        <v>効果時間</v>
      </c>
      <c r="BH124" s="407">
        <f>IFERROR(__xludf.DUMMYFUNCTION("""COMPUTED_VALUE"""),220.0)</f>
        <v>220</v>
      </c>
      <c r="BI124" s="407">
        <f>IFERROR(__xludf.DUMMYFUNCTION("""COMPUTED_VALUE"""),235.0)</f>
        <v>235</v>
      </c>
      <c r="BJ124" s="407">
        <f>IFERROR(__xludf.DUMMYFUNCTION("""COMPUTED_VALUE"""),240.0)</f>
        <v>240</v>
      </c>
      <c r="BK124" s="408">
        <f>IFERROR(__xludf.DUMMYFUNCTION("""COMPUTED_VALUE"""),250.0)</f>
        <v>250</v>
      </c>
      <c r="BL124" s="407">
        <f>IFERROR(__xludf.DUMMYFUNCTION("""COMPUTED_VALUE"""),255.0)</f>
        <v>255</v>
      </c>
      <c r="BM124" s="408">
        <f>IFERROR(__xludf.DUMMYFUNCTION("""COMPUTED_VALUE"""),385.0)</f>
        <v>385</v>
      </c>
      <c r="BN124" s="407">
        <f>IFERROR(__xludf.DUMMYFUNCTION("""COMPUTED_VALUE"""),490.0)</f>
        <v>490</v>
      </c>
      <c r="BO124" s="408">
        <f>IFERROR(__xludf.DUMMYFUNCTION("""COMPUTED_VALUE"""),505.0)</f>
        <v>505</v>
      </c>
    </row>
    <row r="125">
      <c r="A125" s="320" t="str">
        <f>IFERROR(__xludf.DUMMYFUNCTION("""COMPUTED_VALUE"""),"ダメージカット(自身)")</f>
        <v>ダメージカット(自身)</v>
      </c>
      <c r="B125" s="385" t="str">
        <f>IFERROR(__xludf.DUMMYFUNCTION("""COMPUTED_VALUE"""),"超瞬間型")</f>
        <v>超瞬間型</v>
      </c>
      <c r="C125" s="399">
        <f>IFERROR(__xludf.DUMMYFUNCTION("""COMPUTED_VALUE"""),4.0)</f>
        <v>4</v>
      </c>
      <c r="D125" s="400" t="str">
        <f>IFERROR(__xludf.DUMMYFUNCTION("""COMPUTED_VALUE"""),"効果値")</f>
        <v>効果値</v>
      </c>
      <c r="E125" s="401" t="str">
        <f>IFERROR(__xludf.DUMMYFUNCTION("""COMPUTED_VALUE"""),"-")</f>
        <v>-</v>
      </c>
      <c r="F125" s="409" t="str">
        <f>IFERROR(__xludf.DUMMYFUNCTION("""COMPUTED_VALUE"""),"-")</f>
        <v>-</v>
      </c>
      <c r="G125" s="409" t="str">
        <f>IFERROR(__xludf.DUMMYFUNCTION("""COMPUTED_VALUE"""),"-")</f>
        <v>-</v>
      </c>
      <c r="H125" s="409" t="str">
        <f>IFERROR(__xludf.DUMMYFUNCTION("""COMPUTED_VALUE"""),"-")</f>
        <v>-</v>
      </c>
      <c r="I125" s="409" t="str">
        <f>IFERROR(__xludf.DUMMYFUNCTION("""COMPUTED_VALUE"""),"-")</f>
        <v>-</v>
      </c>
      <c r="J125" s="410">
        <f>IFERROR(__xludf.DUMMYFUNCTION("""COMPUTED_VALUE"""),59.0)</f>
        <v>59</v>
      </c>
      <c r="K125" s="410">
        <f>IFERROR(__xludf.DUMMYFUNCTION("""COMPUTED_VALUE"""),69.0)</f>
        <v>69</v>
      </c>
      <c r="L125" s="410">
        <f>IFERROR(__xludf.DUMMYFUNCTION("""COMPUTED_VALUE"""),74.0)</f>
        <v>74</v>
      </c>
      <c r="M125" s="385" t="str">
        <f>IFERROR(__xludf.DUMMYFUNCTION("""COMPUTED_VALUE"""),"瞬間型")</f>
        <v>瞬間型</v>
      </c>
      <c r="N125" s="399">
        <f>IFERROR(__xludf.DUMMYFUNCTION("""COMPUTED_VALUE"""),4.0)</f>
        <v>4</v>
      </c>
      <c r="O125" s="400" t="str">
        <f>IFERROR(__xludf.DUMMYFUNCTION("""COMPUTED_VALUE"""),"効果値")</f>
        <v>効果値</v>
      </c>
      <c r="P125" s="343">
        <f>IFERROR(__xludf.DUMMYFUNCTION("""COMPUTED_VALUE"""),23.0)</f>
        <v>23</v>
      </c>
      <c r="Q125" s="402">
        <f>IFERROR(__xludf.DUMMYFUNCTION("""COMPUTED_VALUE"""),23.0)</f>
        <v>23</v>
      </c>
      <c r="R125" s="343">
        <f>IFERROR(__xludf.DUMMYFUNCTION("""COMPUTED_VALUE"""),23.0)</f>
        <v>23</v>
      </c>
      <c r="S125" s="402">
        <f>IFERROR(__xludf.DUMMYFUNCTION("""COMPUTED_VALUE"""),23.0)</f>
        <v>23</v>
      </c>
      <c r="T125" s="343">
        <f>IFERROR(__xludf.DUMMYFUNCTION("""COMPUTED_VALUE"""),23.0)</f>
        <v>23</v>
      </c>
      <c r="U125" s="343">
        <f>IFERROR(__xludf.DUMMYFUNCTION("""COMPUTED_VALUE"""),29.0)</f>
        <v>29</v>
      </c>
      <c r="V125" s="343">
        <f>IFERROR(__xludf.DUMMYFUNCTION("""COMPUTED_VALUE"""),34.0)</f>
        <v>34</v>
      </c>
      <c r="W125" s="343">
        <f>IFERROR(__xludf.DUMMYFUNCTION("""COMPUTED_VALUE"""),39.0)</f>
        <v>39</v>
      </c>
      <c r="X125" s="385" t="str">
        <f>IFERROR(__xludf.DUMMYFUNCTION("""COMPUTED_VALUE"""),"安定型")</f>
        <v>安定型</v>
      </c>
      <c r="Y125" s="399">
        <f>IFERROR(__xludf.DUMMYFUNCTION("""COMPUTED_VALUE"""),4.0)</f>
        <v>4</v>
      </c>
      <c r="Z125" s="400" t="str">
        <f>IFERROR(__xludf.DUMMYFUNCTION("""COMPUTED_VALUE"""),"効果値")</f>
        <v>効果値</v>
      </c>
      <c r="AA125" s="343">
        <f>IFERROR(__xludf.DUMMYFUNCTION("""COMPUTED_VALUE"""),13.0)</f>
        <v>13</v>
      </c>
      <c r="AB125" s="402">
        <f>IFERROR(__xludf.DUMMYFUNCTION("""COMPUTED_VALUE"""),13.0)</f>
        <v>13</v>
      </c>
      <c r="AC125" s="343">
        <f>IFERROR(__xludf.DUMMYFUNCTION("""COMPUTED_VALUE"""),13.0)</f>
        <v>13</v>
      </c>
      <c r="AD125" s="402">
        <f>IFERROR(__xludf.DUMMYFUNCTION("""COMPUTED_VALUE"""),13.0)</f>
        <v>13</v>
      </c>
      <c r="AE125" s="343">
        <f>IFERROR(__xludf.DUMMYFUNCTION("""COMPUTED_VALUE"""),13.0)</f>
        <v>13</v>
      </c>
      <c r="AF125" s="343">
        <f>IFERROR(__xludf.DUMMYFUNCTION("""COMPUTED_VALUE"""),14.0)</f>
        <v>14</v>
      </c>
      <c r="AG125" s="343">
        <f>IFERROR(__xludf.DUMMYFUNCTION("""COMPUTED_VALUE"""),19.0)</f>
        <v>19</v>
      </c>
      <c r="AH125" s="343">
        <f>IFERROR(__xludf.DUMMYFUNCTION("""COMPUTED_VALUE"""),24.0)</f>
        <v>24</v>
      </c>
      <c r="AI125" s="385" t="str">
        <f>IFERROR(__xludf.DUMMYFUNCTION("""COMPUTED_VALUE"""),"持続型")</f>
        <v>持続型</v>
      </c>
      <c r="AJ125" s="399">
        <f>IFERROR(__xludf.DUMMYFUNCTION("""COMPUTED_VALUE"""),4.0)</f>
        <v>4</v>
      </c>
      <c r="AK125" s="400" t="str">
        <f>IFERROR(__xludf.DUMMYFUNCTION("""COMPUTED_VALUE"""),"効果値")</f>
        <v>効果値</v>
      </c>
      <c r="AL125" s="343">
        <f>IFERROR(__xludf.DUMMYFUNCTION("""COMPUTED_VALUE"""),8.0)</f>
        <v>8</v>
      </c>
      <c r="AM125" s="402">
        <f>IFERROR(__xludf.DUMMYFUNCTION("""COMPUTED_VALUE"""),8.0)</f>
        <v>8</v>
      </c>
      <c r="AN125" s="343">
        <f>IFERROR(__xludf.DUMMYFUNCTION("""COMPUTED_VALUE"""),8.0)</f>
        <v>8</v>
      </c>
      <c r="AO125" s="402">
        <f>IFERROR(__xludf.DUMMYFUNCTION("""COMPUTED_VALUE"""),8.0)</f>
        <v>8</v>
      </c>
      <c r="AP125" s="343">
        <f>IFERROR(__xludf.DUMMYFUNCTION("""COMPUTED_VALUE"""),8.0)</f>
        <v>8</v>
      </c>
      <c r="AQ125" s="343">
        <f>IFERROR(__xludf.DUMMYFUNCTION("""COMPUTED_VALUE"""),9.0)</f>
        <v>9</v>
      </c>
      <c r="AR125" s="343">
        <f>IFERROR(__xludf.DUMMYFUNCTION("""COMPUTED_VALUE"""),12.0)</f>
        <v>12</v>
      </c>
      <c r="AS125" s="343">
        <f>IFERROR(__xludf.DUMMYFUNCTION("""COMPUTED_VALUE"""),12.0)</f>
        <v>12</v>
      </c>
      <c r="AT125" s="385" t="str">
        <f>IFERROR(__xludf.DUMMYFUNCTION("""COMPUTED_VALUE"""),"超持続型")</f>
        <v>超持続型</v>
      </c>
      <c r="AU125" s="399">
        <f>IFERROR(__xludf.DUMMYFUNCTION("""COMPUTED_VALUE"""),4.0)</f>
        <v>4</v>
      </c>
      <c r="AV125" s="400" t="str">
        <f>IFERROR(__xludf.DUMMYFUNCTION("""COMPUTED_VALUE"""),"効果値")</f>
        <v>効果値</v>
      </c>
      <c r="AW125" s="403" t="str">
        <f>IFERROR(__xludf.DUMMYFUNCTION("""COMPUTED_VALUE"""),"-")</f>
        <v>-</v>
      </c>
      <c r="AX125" s="403" t="str">
        <f>IFERROR(__xludf.DUMMYFUNCTION("""COMPUTED_VALUE"""),"-")</f>
        <v>-</v>
      </c>
      <c r="AY125" s="403" t="str">
        <f>IFERROR(__xludf.DUMMYFUNCTION("""COMPUTED_VALUE"""),"-")</f>
        <v>-</v>
      </c>
      <c r="AZ125" s="403" t="str">
        <f>IFERROR(__xludf.DUMMYFUNCTION("""COMPUTED_VALUE"""),"-")</f>
        <v>-</v>
      </c>
      <c r="BA125" s="403" t="str">
        <f>IFERROR(__xludf.DUMMYFUNCTION("""COMPUTED_VALUE"""),"-")</f>
        <v>-</v>
      </c>
      <c r="BB125" s="343">
        <f>IFERROR(__xludf.DUMMYFUNCTION("""COMPUTED_VALUE"""),9.0)</f>
        <v>9</v>
      </c>
      <c r="BC125" s="343">
        <f>IFERROR(__xludf.DUMMYFUNCTION("""COMPUTED_VALUE"""),12.0)</f>
        <v>12</v>
      </c>
      <c r="BD125" s="343">
        <f>IFERROR(__xludf.DUMMYFUNCTION("""COMPUTED_VALUE"""),12.0)</f>
        <v>12</v>
      </c>
      <c r="BE125" s="385" t="str">
        <f>IFERROR(__xludf.DUMMYFUNCTION("""COMPUTED_VALUE"""),"ハイブリッド型")</f>
        <v>ハイブリッド型</v>
      </c>
      <c r="BF125" s="399">
        <f>IFERROR(__xludf.DUMMYFUNCTION("""COMPUTED_VALUE"""),4.0)</f>
        <v>4</v>
      </c>
      <c r="BG125" s="400" t="str">
        <f>IFERROR(__xludf.DUMMYFUNCTION("""COMPUTED_VALUE"""),"効果値")</f>
        <v>効果値</v>
      </c>
      <c r="BH125" s="411">
        <f>IFERROR(__xludf.DUMMYFUNCTION("""COMPUTED_VALUE"""),11.8)</f>
        <v>11.8</v>
      </c>
      <c r="BI125" s="412">
        <f>IFERROR(__xludf.DUMMYFUNCTION("""COMPUTED_VALUE"""),12.4)</f>
        <v>12.4</v>
      </c>
      <c r="BJ125" s="412">
        <f>IFERROR(__xludf.DUMMYFUNCTION("""COMPUTED_VALUE"""),13.1)</f>
        <v>13.1</v>
      </c>
      <c r="BK125" s="412">
        <f>IFERROR(__xludf.DUMMYFUNCTION("""COMPUTED_VALUE"""),13.7)</f>
        <v>13.7</v>
      </c>
      <c r="BL125" s="412">
        <f>IFERROR(__xludf.DUMMYFUNCTION("""COMPUTED_VALUE"""),14.4)</f>
        <v>14.4</v>
      </c>
      <c r="BM125" s="412">
        <f>IFERROR(__xludf.DUMMYFUNCTION("""COMPUTED_VALUE"""),19.4)</f>
        <v>19.4</v>
      </c>
      <c r="BN125" s="412">
        <f>IFERROR(__xludf.DUMMYFUNCTION("""COMPUTED_VALUE"""),24.0)</f>
        <v>24</v>
      </c>
      <c r="BO125" s="413">
        <f>IFERROR(__xludf.DUMMYFUNCTION("""COMPUTED_VALUE"""),29.0)</f>
        <v>29</v>
      </c>
    </row>
    <row r="126">
      <c r="A126" s="307" t="str">
        <f>IFERROR(__xludf.DUMMYFUNCTION("""COMPUTED_VALUE"""),"ダメージカット(自身)")</f>
        <v>ダメージカット(自身)</v>
      </c>
      <c r="B126" s="385" t="str">
        <f>IFERROR(__xludf.DUMMYFUNCTION("""COMPUTED_VALUE"""),"超瞬間型")</f>
        <v>超瞬間型</v>
      </c>
      <c r="C126" s="386">
        <f>IFERROR(__xludf.DUMMYFUNCTION("""COMPUTED_VALUE"""),4.0)</f>
        <v>4</v>
      </c>
      <c r="D126" s="387" t="str">
        <f>IFERROR(__xludf.DUMMYFUNCTION("""COMPUTED_VALUE"""),"効果時間")</f>
        <v>効果時間</v>
      </c>
      <c r="E126" s="388" t="str">
        <f>IFERROR(__xludf.DUMMYFUNCTION("""COMPUTED_VALUE"""),"-")</f>
        <v>-</v>
      </c>
      <c r="F126" s="389" t="str">
        <f>IFERROR(__xludf.DUMMYFUNCTION("""COMPUTED_VALUE"""),"-")</f>
        <v>-</v>
      </c>
      <c r="G126" s="388" t="str">
        <f>IFERROR(__xludf.DUMMYFUNCTION("""COMPUTED_VALUE"""),"-")</f>
        <v>-</v>
      </c>
      <c r="H126" s="389" t="str">
        <f>IFERROR(__xludf.DUMMYFUNCTION("""COMPUTED_VALUE"""),"-")</f>
        <v>-</v>
      </c>
      <c r="I126" s="388" t="str">
        <f>IFERROR(__xludf.DUMMYFUNCTION("""COMPUTED_VALUE"""),"-")</f>
        <v>-</v>
      </c>
      <c r="J126" s="390">
        <f>IFERROR(__xludf.DUMMYFUNCTION("""COMPUTED_VALUE"""),155.0)</f>
        <v>155</v>
      </c>
      <c r="K126" s="391">
        <f>IFERROR(__xludf.DUMMYFUNCTION("""COMPUTED_VALUE"""),170.0)</f>
        <v>170</v>
      </c>
      <c r="L126" s="340">
        <f>IFERROR(__xludf.DUMMYFUNCTION("""COMPUTED_VALUE"""),195.0)</f>
        <v>195</v>
      </c>
      <c r="M126" s="385" t="str">
        <f>IFERROR(__xludf.DUMMYFUNCTION("""COMPUTED_VALUE"""),"瞬間型")</f>
        <v>瞬間型</v>
      </c>
      <c r="N126" s="386">
        <f>IFERROR(__xludf.DUMMYFUNCTION("""COMPUTED_VALUE"""),4.0)</f>
        <v>4</v>
      </c>
      <c r="O126" s="387" t="str">
        <f>IFERROR(__xludf.DUMMYFUNCTION("""COMPUTED_VALUE"""),"効果時間")</f>
        <v>効果時間</v>
      </c>
      <c r="P126" s="280">
        <f>IFERROR(__xludf.DUMMYFUNCTION("""COMPUTED_VALUE"""),170.0)</f>
        <v>170</v>
      </c>
      <c r="Q126" s="275">
        <f>IFERROR(__xludf.DUMMYFUNCTION("""COMPUTED_VALUE"""),180.0)</f>
        <v>180</v>
      </c>
      <c r="R126" s="280">
        <f>IFERROR(__xludf.DUMMYFUNCTION("""COMPUTED_VALUE"""),185.0)</f>
        <v>185</v>
      </c>
      <c r="S126" s="275">
        <f>IFERROR(__xludf.DUMMYFUNCTION("""COMPUTED_VALUE"""),195.0)</f>
        <v>195</v>
      </c>
      <c r="T126" s="280">
        <f>IFERROR(__xludf.DUMMYFUNCTION("""COMPUTED_VALUE"""),200.0)</f>
        <v>200</v>
      </c>
      <c r="U126" s="280">
        <f>IFERROR(__xludf.DUMMYFUNCTION("""COMPUTED_VALUE"""),215.0)</f>
        <v>215</v>
      </c>
      <c r="V126" s="280">
        <f>IFERROR(__xludf.DUMMYFUNCTION("""COMPUTED_VALUE"""),285.0)</f>
        <v>285</v>
      </c>
      <c r="W126" s="280">
        <f>IFERROR(__xludf.DUMMYFUNCTION("""COMPUTED_VALUE"""),305.0)</f>
        <v>305</v>
      </c>
      <c r="X126" s="385" t="str">
        <f>IFERROR(__xludf.DUMMYFUNCTION("""COMPUTED_VALUE"""),"安定型")</f>
        <v>安定型</v>
      </c>
      <c r="Y126" s="386">
        <f>IFERROR(__xludf.DUMMYFUNCTION("""COMPUTED_VALUE"""),4.0)</f>
        <v>4</v>
      </c>
      <c r="Z126" s="387" t="str">
        <f>IFERROR(__xludf.DUMMYFUNCTION("""COMPUTED_VALUE"""),"効果時間")</f>
        <v>効果時間</v>
      </c>
      <c r="AA126" s="280">
        <f>IFERROR(__xludf.DUMMYFUNCTION("""COMPUTED_VALUE"""),320.0)</f>
        <v>320</v>
      </c>
      <c r="AB126" s="275">
        <f>IFERROR(__xludf.DUMMYFUNCTION("""COMPUTED_VALUE"""),330.0)</f>
        <v>330</v>
      </c>
      <c r="AC126" s="280">
        <f>IFERROR(__xludf.DUMMYFUNCTION("""COMPUTED_VALUE"""),335.0)</f>
        <v>335</v>
      </c>
      <c r="AD126" s="275">
        <f>IFERROR(__xludf.DUMMYFUNCTION("""COMPUTED_VALUE"""),345.0)</f>
        <v>345</v>
      </c>
      <c r="AE126" s="280">
        <f>IFERROR(__xludf.DUMMYFUNCTION("""COMPUTED_VALUE"""),350.0)</f>
        <v>350</v>
      </c>
      <c r="AF126" s="280">
        <f>IFERROR(__xludf.DUMMYFUNCTION("""COMPUTED_VALUE"""),390.0)</f>
        <v>390</v>
      </c>
      <c r="AG126" s="280">
        <f>IFERROR(__xludf.DUMMYFUNCTION("""COMPUTED_VALUE"""),435.0)</f>
        <v>435</v>
      </c>
      <c r="AH126" s="280">
        <f>IFERROR(__xludf.DUMMYFUNCTION("""COMPUTED_VALUE"""),455.0)</f>
        <v>455</v>
      </c>
      <c r="AI126" s="385" t="str">
        <f>IFERROR(__xludf.DUMMYFUNCTION("""COMPUTED_VALUE"""),"持続型")</f>
        <v>持続型</v>
      </c>
      <c r="AJ126" s="386">
        <f>IFERROR(__xludf.DUMMYFUNCTION("""COMPUTED_VALUE"""),4.0)</f>
        <v>4</v>
      </c>
      <c r="AK126" s="387" t="str">
        <f>IFERROR(__xludf.DUMMYFUNCTION("""COMPUTED_VALUE"""),"効果時間")</f>
        <v>効果時間</v>
      </c>
      <c r="AL126" s="280">
        <f>IFERROR(__xludf.DUMMYFUNCTION("""COMPUTED_VALUE"""),470.0)</f>
        <v>470</v>
      </c>
      <c r="AM126" s="275">
        <f>IFERROR(__xludf.DUMMYFUNCTION("""COMPUTED_VALUE"""),480.0)</f>
        <v>480</v>
      </c>
      <c r="AN126" s="280">
        <f>IFERROR(__xludf.DUMMYFUNCTION("""COMPUTED_VALUE"""),485.0)</f>
        <v>485</v>
      </c>
      <c r="AO126" s="275">
        <f>IFERROR(__xludf.DUMMYFUNCTION("""COMPUTED_VALUE"""),495.0)</f>
        <v>495</v>
      </c>
      <c r="AP126" s="280">
        <f>IFERROR(__xludf.DUMMYFUNCTION("""COMPUTED_VALUE"""),500.0)</f>
        <v>500</v>
      </c>
      <c r="AQ126" s="280">
        <f>IFERROR(__xludf.DUMMYFUNCTION("""COMPUTED_VALUE"""),540.0)</f>
        <v>540</v>
      </c>
      <c r="AR126" s="280">
        <f>IFERROR(__xludf.DUMMYFUNCTION("""COMPUTED_VALUE"""),585.0)</f>
        <v>585</v>
      </c>
      <c r="AS126" s="280">
        <f>IFERROR(__xludf.DUMMYFUNCTION("""COMPUTED_VALUE"""),605.0)</f>
        <v>605</v>
      </c>
      <c r="AT126" s="385" t="str">
        <f>IFERROR(__xludf.DUMMYFUNCTION("""COMPUTED_VALUE"""),"超持続型")</f>
        <v>超持続型</v>
      </c>
      <c r="AU126" s="386">
        <f>IFERROR(__xludf.DUMMYFUNCTION("""COMPUTED_VALUE"""),4.0)</f>
        <v>4</v>
      </c>
      <c r="AV126" s="387" t="str">
        <f>IFERROR(__xludf.DUMMYFUNCTION("""COMPUTED_VALUE"""),"効果時間")</f>
        <v>効果時間</v>
      </c>
      <c r="AW126" s="368" t="str">
        <f>IFERROR(__xludf.DUMMYFUNCTION("""COMPUTED_VALUE"""),"-")</f>
        <v>-</v>
      </c>
      <c r="AX126" s="368" t="str">
        <f>IFERROR(__xludf.DUMMYFUNCTION("""COMPUTED_VALUE"""),"-")</f>
        <v>-</v>
      </c>
      <c r="AY126" s="368" t="str">
        <f>IFERROR(__xludf.DUMMYFUNCTION("""COMPUTED_VALUE"""),"-")</f>
        <v>-</v>
      </c>
      <c r="AZ126" s="368" t="str">
        <f>IFERROR(__xludf.DUMMYFUNCTION("""COMPUTED_VALUE"""),"-")</f>
        <v>-</v>
      </c>
      <c r="BA126" s="368" t="str">
        <f>IFERROR(__xludf.DUMMYFUNCTION("""COMPUTED_VALUE"""),"-")</f>
        <v>-</v>
      </c>
      <c r="BB126" s="280">
        <f>IFERROR(__xludf.DUMMYFUNCTION("""COMPUTED_VALUE"""),645.0)</f>
        <v>645</v>
      </c>
      <c r="BC126" s="280">
        <f>IFERROR(__xludf.DUMMYFUNCTION("""COMPUTED_VALUE"""),735.0)</f>
        <v>735</v>
      </c>
      <c r="BD126" s="280">
        <f>IFERROR(__xludf.DUMMYFUNCTION("""COMPUTED_VALUE"""),755.0)</f>
        <v>755</v>
      </c>
      <c r="BE126" s="385" t="str">
        <f>IFERROR(__xludf.DUMMYFUNCTION("""COMPUTED_VALUE"""),"ハイブリッド型")</f>
        <v>ハイブリッド型</v>
      </c>
      <c r="BF126" s="386">
        <f>IFERROR(__xludf.DUMMYFUNCTION("""COMPUTED_VALUE"""),4.0)</f>
        <v>4</v>
      </c>
      <c r="BG126" s="387" t="str">
        <f>IFERROR(__xludf.DUMMYFUNCTION("""COMPUTED_VALUE"""),"効果時間")</f>
        <v>効果時間</v>
      </c>
      <c r="BH126" s="417">
        <f>IFERROR(__xludf.DUMMYFUNCTION("""COMPUTED_VALUE"""),240.0)</f>
        <v>240</v>
      </c>
      <c r="BI126" s="417">
        <f>IFERROR(__xludf.DUMMYFUNCTION("""COMPUTED_VALUE"""),255.0)</f>
        <v>255</v>
      </c>
      <c r="BJ126" s="417">
        <f>IFERROR(__xludf.DUMMYFUNCTION("""COMPUTED_VALUE"""),265.0)</f>
        <v>265</v>
      </c>
      <c r="BK126" s="418">
        <f>IFERROR(__xludf.DUMMYFUNCTION("""COMPUTED_VALUE"""),275.0)</f>
        <v>275</v>
      </c>
      <c r="BL126" s="417">
        <f>IFERROR(__xludf.DUMMYFUNCTION("""COMPUTED_VALUE"""),285.0)</f>
        <v>285</v>
      </c>
      <c r="BM126" s="418">
        <f>IFERROR(__xludf.DUMMYFUNCTION("""COMPUTED_VALUE"""),395.0)</f>
        <v>395</v>
      </c>
      <c r="BN126" s="417">
        <f>IFERROR(__xludf.DUMMYFUNCTION("""COMPUTED_VALUE"""),500.0)</f>
        <v>500</v>
      </c>
      <c r="BO126" s="418">
        <f>IFERROR(__xludf.DUMMYFUNCTION("""COMPUTED_VALUE"""),520.0)</f>
        <v>520</v>
      </c>
    </row>
    <row r="127">
      <c r="A127" s="307" t="str">
        <f>IFERROR(__xludf.DUMMYFUNCTION("""COMPUTED_VALUE"""),"ダメージカット(自身)")</f>
        <v>ダメージカット(自身)</v>
      </c>
      <c r="B127" s="385" t="str">
        <f>IFERROR(__xludf.DUMMYFUNCTION("""COMPUTED_VALUE"""),"超瞬間型")</f>
        <v>超瞬間型</v>
      </c>
      <c r="C127" s="399">
        <f>IFERROR(__xludf.DUMMYFUNCTION("""COMPUTED_VALUE"""),5.0)</f>
        <v>5</v>
      </c>
      <c r="D127" s="400" t="str">
        <f>IFERROR(__xludf.DUMMYFUNCTION("""COMPUTED_VALUE"""),"効果値")</f>
        <v>効果値</v>
      </c>
      <c r="E127" s="419" t="str">
        <f>IFERROR(__xludf.DUMMYFUNCTION("""COMPUTED_VALUE"""),"-")</f>
        <v>-</v>
      </c>
      <c r="F127" s="409" t="str">
        <f>IFERROR(__xludf.DUMMYFUNCTION("""COMPUTED_VALUE"""),"-")</f>
        <v>-</v>
      </c>
      <c r="G127" s="409" t="str">
        <f>IFERROR(__xludf.DUMMYFUNCTION("""COMPUTED_VALUE"""),"-")</f>
        <v>-</v>
      </c>
      <c r="H127" s="409" t="str">
        <f>IFERROR(__xludf.DUMMYFUNCTION("""COMPUTED_VALUE"""),"-")</f>
        <v>-</v>
      </c>
      <c r="I127" s="409" t="str">
        <f>IFERROR(__xludf.DUMMYFUNCTION("""COMPUTED_VALUE"""),"-")</f>
        <v>-</v>
      </c>
      <c r="J127" s="420">
        <f>IFERROR(__xludf.DUMMYFUNCTION("""COMPUTED_VALUE"""),60.0)</f>
        <v>60</v>
      </c>
      <c r="K127" s="421">
        <f>IFERROR(__xludf.DUMMYFUNCTION("""COMPUTED_VALUE"""),70.0)</f>
        <v>70</v>
      </c>
      <c r="L127" s="421">
        <f>IFERROR(__xludf.DUMMYFUNCTION("""COMPUTED_VALUE"""),75.0)</f>
        <v>75</v>
      </c>
      <c r="M127" s="385" t="str">
        <f>IFERROR(__xludf.DUMMYFUNCTION("""COMPUTED_VALUE"""),"瞬間型")</f>
        <v>瞬間型</v>
      </c>
      <c r="N127" s="399">
        <f>IFERROR(__xludf.DUMMYFUNCTION("""COMPUTED_VALUE"""),5.0)</f>
        <v>5</v>
      </c>
      <c r="O127" s="400" t="str">
        <f>IFERROR(__xludf.DUMMYFUNCTION("""COMPUTED_VALUE"""),"効果値")</f>
        <v>効果値</v>
      </c>
      <c r="P127" s="422">
        <f>IFERROR(__xludf.DUMMYFUNCTION("""COMPUTED_VALUE"""),23.0)</f>
        <v>23</v>
      </c>
      <c r="Q127" s="423">
        <f>IFERROR(__xludf.DUMMYFUNCTION("""COMPUTED_VALUE"""),23.0)</f>
        <v>23</v>
      </c>
      <c r="R127" s="422">
        <f>IFERROR(__xludf.DUMMYFUNCTION("""COMPUTED_VALUE"""),24.0)</f>
        <v>24</v>
      </c>
      <c r="S127" s="423">
        <f>IFERROR(__xludf.DUMMYFUNCTION("""COMPUTED_VALUE"""),24.0)</f>
        <v>24</v>
      </c>
      <c r="T127" s="422">
        <f>IFERROR(__xludf.DUMMYFUNCTION("""COMPUTED_VALUE"""),24.0)</f>
        <v>24</v>
      </c>
      <c r="U127" s="423">
        <f>IFERROR(__xludf.DUMMYFUNCTION("""COMPUTED_VALUE"""),30.0)</f>
        <v>30</v>
      </c>
      <c r="V127" s="423">
        <f>IFERROR(__xludf.DUMMYFUNCTION("""COMPUTED_VALUE"""),35.0)</f>
        <v>35</v>
      </c>
      <c r="W127" s="424">
        <f>IFERROR(__xludf.DUMMYFUNCTION("""COMPUTED_VALUE"""),40.0)</f>
        <v>40</v>
      </c>
      <c r="X127" s="385" t="str">
        <f>IFERROR(__xludf.DUMMYFUNCTION("""COMPUTED_VALUE"""),"安定型")</f>
        <v>安定型</v>
      </c>
      <c r="Y127" s="399">
        <f>IFERROR(__xludf.DUMMYFUNCTION("""COMPUTED_VALUE"""),5.0)</f>
        <v>5</v>
      </c>
      <c r="Z127" s="400" t="str">
        <f>IFERROR(__xludf.DUMMYFUNCTION("""COMPUTED_VALUE"""),"効果値")</f>
        <v>効果値</v>
      </c>
      <c r="AA127" s="422">
        <f>IFERROR(__xludf.DUMMYFUNCTION("""COMPUTED_VALUE"""),13.0)</f>
        <v>13</v>
      </c>
      <c r="AB127" s="423">
        <f>IFERROR(__xludf.DUMMYFUNCTION("""COMPUTED_VALUE"""),13.0)</f>
        <v>13</v>
      </c>
      <c r="AC127" s="422">
        <f>IFERROR(__xludf.DUMMYFUNCTION("""COMPUTED_VALUE"""),14.0)</f>
        <v>14</v>
      </c>
      <c r="AD127" s="423">
        <f>IFERROR(__xludf.DUMMYFUNCTION("""COMPUTED_VALUE"""),14.0)</f>
        <v>14</v>
      </c>
      <c r="AE127" s="422">
        <f>IFERROR(__xludf.DUMMYFUNCTION("""COMPUTED_VALUE"""),14.0)</f>
        <v>14</v>
      </c>
      <c r="AF127" s="423">
        <f>IFERROR(__xludf.DUMMYFUNCTION("""COMPUTED_VALUE"""),15.0)</f>
        <v>15</v>
      </c>
      <c r="AG127" s="423">
        <f>IFERROR(__xludf.DUMMYFUNCTION("""COMPUTED_VALUE"""),20.0)</f>
        <v>20</v>
      </c>
      <c r="AH127" s="424">
        <f>IFERROR(__xludf.DUMMYFUNCTION("""COMPUTED_VALUE"""),25.0)</f>
        <v>25</v>
      </c>
      <c r="AI127" s="385" t="str">
        <f>IFERROR(__xludf.DUMMYFUNCTION("""COMPUTED_VALUE"""),"持続型")</f>
        <v>持続型</v>
      </c>
      <c r="AJ127" s="399">
        <f>IFERROR(__xludf.DUMMYFUNCTION("""COMPUTED_VALUE"""),5.0)</f>
        <v>5</v>
      </c>
      <c r="AK127" s="400" t="str">
        <f>IFERROR(__xludf.DUMMYFUNCTION("""COMPUTED_VALUE"""),"効果値")</f>
        <v>効果値</v>
      </c>
      <c r="AL127" s="422">
        <f>IFERROR(__xludf.DUMMYFUNCTION("""COMPUTED_VALUE"""),8.0)</f>
        <v>8</v>
      </c>
      <c r="AM127" s="423">
        <f>IFERROR(__xludf.DUMMYFUNCTION("""COMPUTED_VALUE"""),8.0)</f>
        <v>8</v>
      </c>
      <c r="AN127" s="422">
        <f>IFERROR(__xludf.DUMMYFUNCTION("""COMPUTED_VALUE"""),9.0)</f>
        <v>9</v>
      </c>
      <c r="AO127" s="423">
        <f>IFERROR(__xludf.DUMMYFUNCTION("""COMPUTED_VALUE"""),9.0)</f>
        <v>9</v>
      </c>
      <c r="AP127" s="422">
        <f>IFERROR(__xludf.DUMMYFUNCTION("""COMPUTED_VALUE"""),9.0)</f>
        <v>9</v>
      </c>
      <c r="AQ127" s="423">
        <f>IFERROR(__xludf.DUMMYFUNCTION("""COMPUTED_VALUE"""),10.0)</f>
        <v>10</v>
      </c>
      <c r="AR127" s="423">
        <f>IFERROR(__xludf.DUMMYFUNCTION("""COMPUTED_VALUE"""),12.0)</f>
        <v>12</v>
      </c>
      <c r="AS127" s="424">
        <f>IFERROR(__xludf.DUMMYFUNCTION("""COMPUTED_VALUE"""),12.0)</f>
        <v>12</v>
      </c>
      <c r="AT127" s="385" t="str">
        <f>IFERROR(__xludf.DUMMYFUNCTION("""COMPUTED_VALUE"""),"超持続型")</f>
        <v>超持続型</v>
      </c>
      <c r="AU127" s="399">
        <f>IFERROR(__xludf.DUMMYFUNCTION("""COMPUTED_VALUE"""),5.0)</f>
        <v>5</v>
      </c>
      <c r="AV127" s="400" t="str">
        <f>IFERROR(__xludf.DUMMYFUNCTION("""COMPUTED_VALUE"""),"効果値")</f>
        <v>効果値</v>
      </c>
      <c r="AW127" s="425" t="str">
        <f>IFERROR(__xludf.DUMMYFUNCTION("""COMPUTED_VALUE"""),"-")</f>
        <v>-</v>
      </c>
      <c r="AX127" s="426" t="str">
        <f>IFERROR(__xludf.DUMMYFUNCTION("""COMPUTED_VALUE"""),"-")</f>
        <v>-</v>
      </c>
      <c r="AY127" s="426" t="str">
        <f>IFERROR(__xludf.DUMMYFUNCTION("""COMPUTED_VALUE"""),"-")</f>
        <v>-</v>
      </c>
      <c r="AZ127" s="426" t="str">
        <f>IFERROR(__xludf.DUMMYFUNCTION("""COMPUTED_VALUE"""),"-")</f>
        <v>-</v>
      </c>
      <c r="BA127" s="426" t="str">
        <f>IFERROR(__xludf.DUMMYFUNCTION("""COMPUTED_VALUE"""),"-")</f>
        <v>-</v>
      </c>
      <c r="BB127" s="423">
        <f>IFERROR(__xludf.DUMMYFUNCTION("""COMPUTED_VALUE"""),10.0)</f>
        <v>10</v>
      </c>
      <c r="BC127" s="423">
        <f>IFERROR(__xludf.DUMMYFUNCTION("""COMPUTED_VALUE"""),12.0)</f>
        <v>12</v>
      </c>
      <c r="BD127" s="424">
        <f>IFERROR(__xludf.DUMMYFUNCTION("""COMPUTED_VALUE"""),12.0)</f>
        <v>12</v>
      </c>
      <c r="BE127" s="385" t="str">
        <f>IFERROR(__xludf.DUMMYFUNCTION("""COMPUTED_VALUE"""),"ハイブリッド型")</f>
        <v>ハイブリッド型</v>
      </c>
      <c r="BF127" s="399">
        <f>IFERROR(__xludf.DUMMYFUNCTION("""COMPUTED_VALUE"""),5.0)</f>
        <v>5</v>
      </c>
      <c r="BG127" s="400" t="str">
        <f>IFERROR(__xludf.DUMMYFUNCTION("""COMPUTED_VALUE"""),"効果値")</f>
        <v>効果値</v>
      </c>
      <c r="BH127" s="427">
        <f>IFERROR(__xludf.DUMMYFUNCTION("""COMPUTED_VALUE"""),12.0)</f>
        <v>12</v>
      </c>
      <c r="BI127" s="428">
        <f>IFERROR(__xludf.DUMMYFUNCTION("""COMPUTED_VALUE"""),12.75)</f>
        <v>12.75</v>
      </c>
      <c r="BJ127" s="428">
        <f>IFERROR(__xludf.DUMMYFUNCTION("""COMPUTED_VALUE"""),13.5)</f>
        <v>13.5</v>
      </c>
      <c r="BK127" s="428">
        <f>IFERROR(__xludf.DUMMYFUNCTION("""COMPUTED_VALUE"""),14.25)</f>
        <v>14.25</v>
      </c>
      <c r="BL127" s="427">
        <f>IFERROR(__xludf.DUMMYFUNCTION("""COMPUTED_VALUE"""),15.0)</f>
        <v>15</v>
      </c>
      <c r="BM127" s="427">
        <f>IFERROR(__xludf.DUMMYFUNCTION("""COMPUTED_VALUE"""),20.0)</f>
        <v>20</v>
      </c>
      <c r="BN127" s="427">
        <f>IFERROR(__xludf.DUMMYFUNCTION("""COMPUTED_VALUE"""),25.0)</f>
        <v>25</v>
      </c>
      <c r="BO127" s="429">
        <f>IFERROR(__xludf.DUMMYFUNCTION("""COMPUTED_VALUE"""),30.0)</f>
        <v>30</v>
      </c>
    </row>
    <row r="128">
      <c r="A128" s="307" t="str">
        <f>IFERROR(__xludf.DUMMYFUNCTION("""COMPUTED_VALUE"""),"ダメージカット(自身)")</f>
        <v>ダメージカット(自身)</v>
      </c>
      <c r="B128" s="385" t="str">
        <f>IFERROR(__xludf.DUMMYFUNCTION("""COMPUTED_VALUE"""),"超瞬間型")</f>
        <v>超瞬間型</v>
      </c>
      <c r="C128" s="430">
        <f>IFERROR(__xludf.DUMMYFUNCTION("""COMPUTED_VALUE"""),5.0)</f>
        <v>5</v>
      </c>
      <c r="D128" s="431" t="str">
        <f>IFERROR(__xludf.DUMMYFUNCTION("""COMPUTED_VALUE"""),"効果時間")</f>
        <v>効果時間</v>
      </c>
      <c r="E128" s="388" t="str">
        <f>IFERROR(__xludf.DUMMYFUNCTION("""COMPUTED_VALUE"""),"-")</f>
        <v>-</v>
      </c>
      <c r="F128" s="389" t="str">
        <f>IFERROR(__xludf.DUMMYFUNCTION("""COMPUTED_VALUE"""),"-")</f>
        <v>-</v>
      </c>
      <c r="G128" s="388" t="str">
        <f>IFERROR(__xludf.DUMMYFUNCTION("""COMPUTED_VALUE"""),"-")</f>
        <v>-</v>
      </c>
      <c r="H128" s="389" t="str">
        <f>IFERROR(__xludf.DUMMYFUNCTION("""COMPUTED_VALUE"""),"-")</f>
        <v>-</v>
      </c>
      <c r="I128" s="388" t="str">
        <f>IFERROR(__xludf.DUMMYFUNCTION("""COMPUTED_VALUE"""),"-")</f>
        <v>-</v>
      </c>
      <c r="J128" s="390">
        <f>IFERROR(__xludf.DUMMYFUNCTION("""COMPUTED_VALUE"""),160.0)</f>
        <v>160</v>
      </c>
      <c r="K128" s="391">
        <f>IFERROR(__xludf.DUMMYFUNCTION("""COMPUTED_VALUE"""),175.0)</f>
        <v>175</v>
      </c>
      <c r="L128" s="340">
        <f>IFERROR(__xludf.DUMMYFUNCTION("""COMPUTED_VALUE"""),200.0)</f>
        <v>200</v>
      </c>
      <c r="M128" s="385" t="str">
        <f>IFERROR(__xludf.DUMMYFUNCTION("""COMPUTED_VALUE"""),"瞬間型")</f>
        <v>瞬間型</v>
      </c>
      <c r="N128" s="430">
        <f>IFERROR(__xludf.DUMMYFUNCTION("""COMPUTED_VALUE"""),5.0)</f>
        <v>5</v>
      </c>
      <c r="O128" s="431" t="str">
        <f>IFERROR(__xludf.DUMMYFUNCTION("""COMPUTED_VALUE"""),"効果時間")</f>
        <v>効果時間</v>
      </c>
      <c r="P128" s="392">
        <f>IFERROR(__xludf.DUMMYFUNCTION("""COMPUTED_VALUE"""),175.0)</f>
        <v>175</v>
      </c>
      <c r="Q128" s="414">
        <f>IFERROR(__xludf.DUMMYFUNCTION("""COMPUTED_VALUE"""),185.0)</f>
        <v>185</v>
      </c>
      <c r="R128" s="414">
        <f>IFERROR(__xludf.DUMMYFUNCTION("""COMPUTED_VALUE"""),190.0)</f>
        <v>190</v>
      </c>
      <c r="S128" s="414">
        <f>IFERROR(__xludf.DUMMYFUNCTION("""COMPUTED_VALUE"""),195.0)</f>
        <v>195</v>
      </c>
      <c r="T128" s="394">
        <f>IFERROR(__xludf.DUMMYFUNCTION("""COMPUTED_VALUE"""),200.0)</f>
        <v>200</v>
      </c>
      <c r="U128" s="394">
        <f>IFERROR(__xludf.DUMMYFUNCTION("""COMPUTED_VALUE"""),225.0)</f>
        <v>225</v>
      </c>
      <c r="V128" s="394">
        <f>IFERROR(__xludf.DUMMYFUNCTION("""COMPUTED_VALUE"""),300.0)</f>
        <v>300</v>
      </c>
      <c r="W128" s="394">
        <f>IFERROR(__xludf.DUMMYFUNCTION("""COMPUTED_VALUE"""),325.0)</f>
        <v>325</v>
      </c>
      <c r="X128" s="385" t="str">
        <f>IFERROR(__xludf.DUMMYFUNCTION("""COMPUTED_VALUE"""),"安定型")</f>
        <v>安定型</v>
      </c>
      <c r="Y128" s="430">
        <f>IFERROR(__xludf.DUMMYFUNCTION("""COMPUTED_VALUE"""),5.0)</f>
        <v>5</v>
      </c>
      <c r="Z128" s="431" t="str">
        <f>IFERROR(__xludf.DUMMYFUNCTION("""COMPUTED_VALUE"""),"効果時間")</f>
        <v>効果時間</v>
      </c>
      <c r="AA128" s="392">
        <f>IFERROR(__xludf.DUMMYFUNCTION("""COMPUTED_VALUE"""),325.0)</f>
        <v>325</v>
      </c>
      <c r="AB128" s="414">
        <f>IFERROR(__xludf.DUMMYFUNCTION("""COMPUTED_VALUE"""),335.0)</f>
        <v>335</v>
      </c>
      <c r="AC128" s="414">
        <f>IFERROR(__xludf.DUMMYFUNCTION("""COMPUTED_VALUE"""),340.0)</f>
        <v>340</v>
      </c>
      <c r="AD128" s="414">
        <f>IFERROR(__xludf.DUMMYFUNCTION("""COMPUTED_VALUE"""),345.0)</f>
        <v>345</v>
      </c>
      <c r="AE128" s="394">
        <f>IFERROR(__xludf.DUMMYFUNCTION("""COMPUTED_VALUE"""),350.0)</f>
        <v>350</v>
      </c>
      <c r="AF128" s="394">
        <f>IFERROR(__xludf.DUMMYFUNCTION("""COMPUTED_VALUE"""),400.0)</f>
        <v>400</v>
      </c>
      <c r="AG128" s="394">
        <f>IFERROR(__xludf.DUMMYFUNCTION("""COMPUTED_VALUE"""),450.0)</f>
        <v>450</v>
      </c>
      <c r="AH128" s="394">
        <f>IFERROR(__xludf.DUMMYFUNCTION("""COMPUTED_VALUE"""),475.0)</f>
        <v>475</v>
      </c>
      <c r="AI128" s="385" t="str">
        <f>IFERROR(__xludf.DUMMYFUNCTION("""COMPUTED_VALUE"""),"持続型")</f>
        <v>持続型</v>
      </c>
      <c r="AJ128" s="430">
        <f>IFERROR(__xludf.DUMMYFUNCTION("""COMPUTED_VALUE"""),5.0)</f>
        <v>5</v>
      </c>
      <c r="AK128" s="431" t="str">
        <f>IFERROR(__xludf.DUMMYFUNCTION("""COMPUTED_VALUE"""),"効果時間")</f>
        <v>効果時間</v>
      </c>
      <c r="AL128" s="392">
        <f>IFERROR(__xludf.DUMMYFUNCTION("""COMPUTED_VALUE"""),475.0)</f>
        <v>475</v>
      </c>
      <c r="AM128" s="414">
        <f>IFERROR(__xludf.DUMMYFUNCTION("""COMPUTED_VALUE"""),485.0)</f>
        <v>485</v>
      </c>
      <c r="AN128" s="414">
        <f>IFERROR(__xludf.DUMMYFUNCTION("""COMPUTED_VALUE"""),490.0)</f>
        <v>490</v>
      </c>
      <c r="AO128" s="414">
        <f>IFERROR(__xludf.DUMMYFUNCTION("""COMPUTED_VALUE"""),495.0)</f>
        <v>495</v>
      </c>
      <c r="AP128" s="394">
        <f>IFERROR(__xludf.DUMMYFUNCTION("""COMPUTED_VALUE"""),500.0)</f>
        <v>500</v>
      </c>
      <c r="AQ128" s="394">
        <f>IFERROR(__xludf.DUMMYFUNCTION("""COMPUTED_VALUE"""),550.0)</f>
        <v>550</v>
      </c>
      <c r="AR128" s="394">
        <f>IFERROR(__xludf.DUMMYFUNCTION("""COMPUTED_VALUE"""),600.0)</f>
        <v>600</v>
      </c>
      <c r="AS128" s="394">
        <f>IFERROR(__xludf.DUMMYFUNCTION("""COMPUTED_VALUE"""),625.0)</f>
        <v>625</v>
      </c>
      <c r="AT128" s="385" t="str">
        <f>IFERROR(__xludf.DUMMYFUNCTION("""COMPUTED_VALUE"""),"超持続型")</f>
        <v>超持続型</v>
      </c>
      <c r="AU128" s="430">
        <f>IFERROR(__xludf.DUMMYFUNCTION("""COMPUTED_VALUE"""),5.0)</f>
        <v>5</v>
      </c>
      <c r="AV128" s="431" t="str">
        <f>IFERROR(__xludf.DUMMYFUNCTION("""COMPUTED_VALUE"""),"効果時間")</f>
        <v>効果時間</v>
      </c>
      <c r="AW128" s="395" t="str">
        <f>IFERROR(__xludf.DUMMYFUNCTION("""COMPUTED_VALUE"""),"-")</f>
        <v>-</v>
      </c>
      <c r="AX128" s="396" t="str">
        <f>IFERROR(__xludf.DUMMYFUNCTION("""COMPUTED_VALUE"""),"-")</f>
        <v>-</v>
      </c>
      <c r="AY128" s="396" t="str">
        <f>IFERROR(__xludf.DUMMYFUNCTION("""COMPUTED_VALUE"""),"-")</f>
        <v>-</v>
      </c>
      <c r="AZ128" s="396" t="str">
        <f>IFERROR(__xludf.DUMMYFUNCTION("""COMPUTED_VALUE"""),"-")</f>
        <v>-</v>
      </c>
      <c r="BA128" s="396" t="str">
        <f>IFERROR(__xludf.DUMMYFUNCTION("""COMPUTED_VALUE"""),"-")</f>
        <v>-</v>
      </c>
      <c r="BB128" s="393">
        <f>IFERROR(__xludf.DUMMYFUNCTION("""COMPUTED_VALUE"""),650.0)</f>
        <v>650</v>
      </c>
      <c r="BC128" s="393">
        <f>IFERROR(__xludf.DUMMYFUNCTION("""COMPUTED_VALUE"""),750.0)</f>
        <v>750</v>
      </c>
      <c r="BD128" s="394">
        <f>IFERROR(__xludf.DUMMYFUNCTION("""COMPUTED_VALUE"""),775.0)</f>
        <v>775</v>
      </c>
      <c r="BE128" s="385" t="str">
        <f>IFERROR(__xludf.DUMMYFUNCTION("""COMPUTED_VALUE"""),"ハイブリッド型")</f>
        <v>ハイブリッド型</v>
      </c>
      <c r="BF128" s="430">
        <f>IFERROR(__xludf.DUMMYFUNCTION("""COMPUTED_VALUE"""),5.0)</f>
        <v>5</v>
      </c>
      <c r="BG128" s="431" t="str">
        <f>IFERROR(__xludf.DUMMYFUNCTION("""COMPUTED_VALUE"""),"効果時間")</f>
        <v>効果時間</v>
      </c>
      <c r="BH128" s="304">
        <f>IFERROR(__xludf.DUMMYFUNCTION("""COMPUTED_VALUE"""),250.0)</f>
        <v>250</v>
      </c>
      <c r="BI128" s="432">
        <f>IFERROR(__xludf.DUMMYFUNCTION("""COMPUTED_VALUE"""),265.0)</f>
        <v>265</v>
      </c>
      <c r="BJ128" s="432">
        <f>IFERROR(__xludf.DUMMYFUNCTION("""COMPUTED_VALUE"""),275.0)</f>
        <v>275</v>
      </c>
      <c r="BK128" s="432">
        <f>IFERROR(__xludf.DUMMYFUNCTION("""COMPUTED_VALUE"""),290.0)</f>
        <v>290</v>
      </c>
      <c r="BL128" s="304">
        <f>IFERROR(__xludf.DUMMYFUNCTION("""COMPUTED_VALUE"""),300.0)</f>
        <v>300</v>
      </c>
      <c r="BM128" s="304">
        <f>IFERROR(__xludf.DUMMYFUNCTION("""COMPUTED_VALUE"""),400.0)</f>
        <v>400</v>
      </c>
      <c r="BN128" s="304">
        <f>IFERROR(__xludf.DUMMYFUNCTION("""COMPUTED_VALUE"""),500.0)</f>
        <v>500</v>
      </c>
      <c r="BO128" s="304">
        <f>IFERROR(__xludf.DUMMYFUNCTION("""COMPUTED_VALUE"""),525.0)</f>
        <v>525</v>
      </c>
    </row>
    <row r="129">
      <c r="A129" s="433" t="str">
        <f>IFERROR(__xludf.DUMMYFUNCTION("""COMPUTED_VALUE"""),"ダメージカット(赤)")</f>
        <v>ダメージカット(赤)</v>
      </c>
      <c r="B129" s="374" t="str">
        <f>IFERROR(__xludf.DUMMYFUNCTION("""COMPUTED_VALUE"""),"超瞬間型")</f>
        <v>超瞬間型</v>
      </c>
      <c r="C129" s="375">
        <f>IFERROR(__xludf.DUMMYFUNCTION("""COMPUTED_VALUE"""),1.0)</f>
        <v>1</v>
      </c>
      <c r="D129" s="376" t="str">
        <f>IFERROR(__xludf.DUMMYFUNCTION("""COMPUTED_VALUE"""),"効果値")</f>
        <v>効果値</v>
      </c>
      <c r="E129" s="377" t="str">
        <f>IFERROR(__xludf.DUMMYFUNCTION("""COMPUTED_VALUE"""),"-")</f>
        <v>-</v>
      </c>
      <c r="F129" s="378" t="str">
        <f>IFERROR(__xludf.DUMMYFUNCTION("""COMPUTED_VALUE"""),"-")</f>
        <v>-</v>
      </c>
      <c r="G129" s="377" t="str">
        <f>IFERROR(__xludf.DUMMYFUNCTION("""COMPUTED_VALUE"""),"-")</f>
        <v>-</v>
      </c>
      <c r="H129" s="378" t="str">
        <f>IFERROR(__xludf.DUMMYFUNCTION("""COMPUTED_VALUE"""),"-")</f>
        <v>-</v>
      </c>
      <c r="I129" s="377" t="str">
        <f>IFERROR(__xludf.DUMMYFUNCTION("""COMPUTED_VALUE"""),"-")</f>
        <v>-</v>
      </c>
      <c r="J129" s="379">
        <f>IFERROR(__xludf.DUMMYFUNCTION("""COMPUTED_VALUE"""),55.0)</f>
        <v>55</v>
      </c>
      <c r="K129" s="294">
        <f>IFERROR(__xludf.DUMMYFUNCTION("""COMPUTED_VALUE"""),65.0)</f>
        <v>65</v>
      </c>
      <c r="L129" s="294">
        <f>IFERROR(__xludf.DUMMYFUNCTION("""COMPUTED_VALUE"""),65.0)</f>
        <v>65</v>
      </c>
      <c r="M129" s="374" t="str">
        <f>IFERROR(__xludf.DUMMYFUNCTION("""COMPUTED_VALUE"""),"瞬間型")</f>
        <v>瞬間型</v>
      </c>
      <c r="N129" s="375">
        <f>IFERROR(__xludf.DUMMYFUNCTION("""COMPUTED_VALUE"""),1.0)</f>
        <v>1</v>
      </c>
      <c r="O129" s="376" t="str">
        <f>IFERROR(__xludf.DUMMYFUNCTION("""COMPUTED_VALUE"""),"効果値")</f>
        <v>効果値</v>
      </c>
      <c r="P129" s="380">
        <f>IFERROR(__xludf.DUMMYFUNCTION("""COMPUTED_VALUE"""),20.0)</f>
        <v>20</v>
      </c>
      <c r="Q129" s="263">
        <f>IFERROR(__xludf.DUMMYFUNCTION("""COMPUTED_VALUE"""),20.0)</f>
        <v>20</v>
      </c>
      <c r="R129" s="263">
        <f>IFERROR(__xludf.DUMMYFUNCTION("""COMPUTED_VALUE"""),20.0)</f>
        <v>20</v>
      </c>
      <c r="S129" s="263">
        <f>IFERROR(__xludf.DUMMYFUNCTION("""COMPUTED_VALUE"""),20.0)</f>
        <v>20</v>
      </c>
      <c r="T129" s="263">
        <f>IFERROR(__xludf.DUMMYFUNCTION("""COMPUTED_VALUE"""),20.0)</f>
        <v>20</v>
      </c>
      <c r="U129" s="263">
        <f>IFERROR(__xludf.DUMMYFUNCTION("""COMPUTED_VALUE"""),25.0)</f>
        <v>25</v>
      </c>
      <c r="V129" s="266">
        <f>IFERROR(__xludf.DUMMYFUNCTION("""COMPUTED_VALUE"""),30.0)</f>
        <v>30</v>
      </c>
      <c r="W129" s="266">
        <f>IFERROR(__xludf.DUMMYFUNCTION("""COMPUTED_VALUE"""),30.0)</f>
        <v>30</v>
      </c>
      <c r="X129" s="374" t="str">
        <f>IFERROR(__xludf.DUMMYFUNCTION("""COMPUTED_VALUE"""),"安定型")</f>
        <v>安定型</v>
      </c>
      <c r="Y129" s="375">
        <f>IFERROR(__xludf.DUMMYFUNCTION("""COMPUTED_VALUE"""),1.0)</f>
        <v>1</v>
      </c>
      <c r="Z129" s="376" t="str">
        <f>IFERROR(__xludf.DUMMYFUNCTION("""COMPUTED_VALUE"""),"効果値")</f>
        <v>効果値</v>
      </c>
      <c r="AA129" s="380">
        <f>IFERROR(__xludf.DUMMYFUNCTION("""COMPUTED_VALUE"""),10.0)</f>
        <v>10</v>
      </c>
      <c r="AB129" s="263">
        <f>IFERROR(__xludf.DUMMYFUNCTION("""COMPUTED_VALUE"""),10.0)</f>
        <v>10</v>
      </c>
      <c r="AC129" s="263">
        <f>IFERROR(__xludf.DUMMYFUNCTION("""COMPUTED_VALUE"""),10.0)</f>
        <v>10</v>
      </c>
      <c r="AD129" s="263">
        <f>IFERROR(__xludf.DUMMYFUNCTION("""COMPUTED_VALUE"""),10.0)</f>
        <v>10</v>
      </c>
      <c r="AE129" s="263">
        <f>IFERROR(__xludf.DUMMYFUNCTION("""COMPUTED_VALUE"""),10.0)</f>
        <v>10</v>
      </c>
      <c r="AF129" s="263">
        <f>IFERROR(__xludf.DUMMYFUNCTION("""COMPUTED_VALUE"""),10.0)</f>
        <v>10</v>
      </c>
      <c r="AG129" s="266">
        <f>IFERROR(__xludf.DUMMYFUNCTION("""COMPUTED_VALUE"""),15.0)</f>
        <v>15</v>
      </c>
      <c r="AH129" s="266">
        <f>IFERROR(__xludf.DUMMYFUNCTION("""COMPUTED_VALUE"""),15.0)</f>
        <v>15</v>
      </c>
      <c r="AI129" s="374" t="str">
        <f>IFERROR(__xludf.DUMMYFUNCTION("""COMPUTED_VALUE"""),"持続型")</f>
        <v>持続型</v>
      </c>
      <c r="AJ129" s="375">
        <f>IFERROR(__xludf.DUMMYFUNCTION("""COMPUTED_VALUE"""),1.0)</f>
        <v>1</v>
      </c>
      <c r="AK129" s="376" t="str">
        <f>IFERROR(__xludf.DUMMYFUNCTION("""COMPUTED_VALUE"""),"効果値")</f>
        <v>効果値</v>
      </c>
      <c r="AL129" s="380">
        <f>IFERROR(__xludf.DUMMYFUNCTION("""COMPUTED_VALUE"""),5.0)</f>
        <v>5</v>
      </c>
      <c r="AM129" s="263">
        <f>IFERROR(__xludf.DUMMYFUNCTION("""COMPUTED_VALUE"""),5.0)</f>
        <v>5</v>
      </c>
      <c r="AN129" s="263">
        <f>IFERROR(__xludf.DUMMYFUNCTION("""COMPUTED_VALUE"""),5.0)</f>
        <v>5</v>
      </c>
      <c r="AO129" s="263">
        <f>IFERROR(__xludf.DUMMYFUNCTION("""COMPUTED_VALUE"""),5.0)</f>
        <v>5</v>
      </c>
      <c r="AP129" s="263">
        <f>IFERROR(__xludf.DUMMYFUNCTION("""COMPUTED_VALUE"""),5.0)</f>
        <v>5</v>
      </c>
      <c r="AQ129" s="263">
        <f>IFERROR(__xludf.DUMMYFUNCTION("""COMPUTED_VALUE"""),5.0)</f>
        <v>5</v>
      </c>
      <c r="AR129" s="266">
        <f>IFERROR(__xludf.DUMMYFUNCTION("""COMPUTED_VALUE"""),10.0)</f>
        <v>10</v>
      </c>
      <c r="AS129" s="266">
        <f>IFERROR(__xludf.DUMMYFUNCTION("""COMPUTED_VALUE"""),10.0)</f>
        <v>10</v>
      </c>
      <c r="AT129" s="374" t="str">
        <f>IFERROR(__xludf.DUMMYFUNCTION("""COMPUTED_VALUE"""),"超持続型")</f>
        <v>超持続型</v>
      </c>
      <c r="AU129" s="375">
        <f>IFERROR(__xludf.DUMMYFUNCTION("""COMPUTED_VALUE"""),1.0)</f>
        <v>1</v>
      </c>
      <c r="AV129" s="376" t="str">
        <f>IFERROR(__xludf.DUMMYFUNCTION("""COMPUTED_VALUE"""),"効果値")</f>
        <v>効果値</v>
      </c>
      <c r="AW129" s="350" t="str">
        <f>IFERROR(__xludf.DUMMYFUNCTION("""COMPUTED_VALUE"""),"-")</f>
        <v>-</v>
      </c>
      <c r="AX129" s="348" t="str">
        <f>IFERROR(__xludf.DUMMYFUNCTION("""COMPUTED_VALUE"""),"-")</f>
        <v>-</v>
      </c>
      <c r="AY129" s="348" t="str">
        <f>IFERROR(__xludf.DUMMYFUNCTION("""COMPUTED_VALUE"""),"-")</f>
        <v>-</v>
      </c>
      <c r="AZ129" s="348" t="str">
        <f>IFERROR(__xludf.DUMMYFUNCTION("""COMPUTED_VALUE"""),"-")</f>
        <v>-</v>
      </c>
      <c r="BA129" s="348" t="str">
        <f>IFERROR(__xludf.DUMMYFUNCTION("""COMPUTED_VALUE"""),"-")</f>
        <v>-</v>
      </c>
      <c r="BB129" s="263">
        <f>IFERROR(__xludf.DUMMYFUNCTION("""COMPUTED_VALUE"""),5.0)</f>
        <v>5</v>
      </c>
      <c r="BC129" s="266">
        <f>IFERROR(__xludf.DUMMYFUNCTION("""COMPUTED_VALUE"""),10.0)</f>
        <v>10</v>
      </c>
      <c r="BD129" s="266">
        <f>IFERROR(__xludf.DUMMYFUNCTION("""COMPUTED_VALUE"""),10.0)</f>
        <v>10</v>
      </c>
      <c r="BE129" s="374" t="str">
        <f>IFERROR(__xludf.DUMMYFUNCTION("""COMPUTED_VALUE"""),"ハイブリッド型")</f>
        <v>ハイブリッド型</v>
      </c>
      <c r="BF129" s="375">
        <f>IFERROR(__xludf.DUMMYFUNCTION("""COMPUTED_VALUE"""),1.0)</f>
        <v>1</v>
      </c>
      <c r="BG129" s="376" t="str">
        <f>IFERROR(__xludf.DUMMYFUNCTION("""COMPUTED_VALUE"""),"効果値")</f>
        <v>効果値</v>
      </c>
      <c r="BH129" s="381">
        <f>IFERROR(__xludf.DUMMYFUNCTION("""COMPUTED_VALUE"""),10.0)</f>
        <v>10</v>
      </c>
      <c r="BI129" s="382">
        <f>IFERROR(__xludf.DUMMYFUNCTION("""COMPUTED_VALUE"""),10.0)</f>
        <v>10</v>
      </c>
      <c r="BJ129" s="382">
        <f>IFERROR(__xludf.DUMMYFUNCTION("""COMPUTED_VALUE"""),10.0)</f>
        <v>10</v>
      </c>
      <c r="BK129" s="382">
        <f>IFERROR(__xludf.DUMMYFUNCTION("""COMPUTED_VALUE"""),10.0)</f>
        <v>10</v>
      </c>
      <c r="BL129" s="382">
        <f>IFERROR(__xludf.DUMMYFUNCTION("""COMPUTED_VALUE"""),10.0)</f>
        <v>10</v>
      </c>
      <c r="BM129" s="382">
        <f>IFERROR(__xludf.DUMMYFUNCTION("""COMPUTED_VALUE"""),15.0)</f>
        <v>15</v>
      </c>
      <c r="BN129" s="382">
        <f>IFERROR(__xludf.DUMMYFUNCTION("""COMPUTED_VALUE"""),20.0)</f>
        <v>20</v>
      </c>
      <c r="BO129" s="383">
        <f>IFERROR(__xludf.DUMMYFUNCTION("""COMPUTED_VALUE"""),20.0)</f>
        <v>20</v>
      </c>
    </row>
    <row r="130">
      <c r="A130" s="434" t="str">
        <f>IFERROR(__xludf.DUMMYFUNCTION("""COMPUTED_VALUE"""),"ダメージカット(赤)")</f>
        <v>ダメージカット(赤)</v>
      </c>
      <c r="B130" s="385" t="str">
        <f>IFERROR(__xludf.DUMMYFUNCTION("""COMPUTED_VALUE"""),"超瞬間型")</f>
        <v>超瞬間型</v>
      </c>
      <c r="C130" s="386">
        <f>IFERROR(__xludf.DUMMYFUNCTION("""COMPUTED_VALUE"""),1.0)</f>
        <v>1</v>
      </c>
      <c r="D130" s="387" t="str">
        <f>IFERROR(__xludf.DUMMYFUNCTION("""COMPUTED_VALUE"""),"効果時間")</f>
        <v>効果時間</v>
      </c>
      <c r="E130" s="388" t="str">
        <f>IFERROR(__xludf.DUMMYFUNCTION("""COMPUTED_VALUE"""),"-")</f>
        <v>-</v>
      </c>
      <c r="F130" s="389" t="str">
        <f>IFERROR(__xludf.DUMMYFUNCTION("""COMPUTED_VALUE"""),"-")</f>
        <v>-</v>
      </c>
      <c r="G130" s="388" t="str">
        <f>IFERROR(__xludf.DUMMYFUNCTION("""COMPUTED_VALUE"""),"-")</f>
        <v>-</v>
      </c>
      <c r="H130" s="389" t="str">
        <f>IFERROR(__xludf.DUMMYFUNCTION("""COMPUTED_VALUE"""),"-")</f>
        <v>-</v>
      </c>
      <c r="I130" s="388" t="str">
        <f>IFERROR(__xludf.DUMMYFUNCTION("""COMPUTED_VALUE"""),"-")</f>
        <v>-</v>
      </c>
      <c r="J130" s="390">
        <f>IFERROR(__xludf.DUMMYFUNCTION("""COMPUTED_VALUE"""),150.0)</f>
        <v>150</v>
      </c>
      <c r="K130" s="391">
        <f>IFERROR(__xludf.DUMMYFUNCTION("""COMPUTED_VALUE"""),160.0)</f>
        <v>160</v>
      </c>
      <c r="L130" s="340">
        <f>IFERROR(__xludf.DUMMYFUNCTION("""COMPUTED_VALUE"""),160.0)</f>
        <v>160</v>
      </c>
      <c r="M130" s="385" t="str">
        <f>IFERROR(__xludf.DUMMYFUNCTION("""COMPUTED_VALUE"""),"瞬間型")</f>
        <v>瞬間型</v>
      </c>
      <c r="N130" s="386">
        <f>IFERROR(__xludf.DUMMYFUNCTION("""COMPUTED_VALUE"""),1.0)</f>
        <v>1</v>
      </c>
      <c r="O130" s="387" t="str">
        <f>IFERROR(__xludf.DUMMYFUNCTION("""COMPUTED_VALUE"""),"効果時間")</f>
        <v>効果時間</v>
      </c>
      <c r="P130" s="392">
        <f>IFERROR(__xludf.DUMMYFUNCTION("""COMPUTED_VALUE"""),150.0)</f>
        <v>150</v>
      </c>
      <c r="Q130" s="393">
        <f>IFERROR(__xludf.DUMMYFUNCTION("""COMPUTED_VALUE"""),150.0)</f>
        <v>150</v>
      </c>
      <c r="R130" s="393">
        <f>IFERROR(__xludf.DUMMYFUNCTION("""COMPUTED_VALUE"""),150.0)</f>
        <v>150</v>
      </c>
      <c r="S130" s="393">
        <f>IFERROR(__xludf.DUMMYFUNCTION("""COMPUTED_VALUE"""),150.0)</f>
        <v>150</v>
      </c>
      <c r="T130" s="393">
        <f>IFERROR(__xludf.DUMMYFUNCTION("""COMPUTED_VALUE"""),150.0)</f>
        <v>150</v>
      </c>
      <c r="U130" s="393">
        <f>IFERROR(__xludf.DUMMYFUNCTION("""COMPUTED_VALUE"""),150.0)</f>
        <v>150</v>
      </c>
      <c r="V130" s="393">
        <f>IFERROR(__xludf.DUMMYFUNCTION("""COMPUTED_VALUE"""),160.0)</f>
        <v>160</v>
      </c>
      <c r="W130" s="394">
        <f>IFERROR(__xludf.DUMMYFUNCTION("""COMPUTED_VALUE"""),160.0)</f>
        <v>160</v>
      </c>
      <c r="X130" s="385" t="str">
        <f>IFERROR(__xludf.DUMMYFUNCTION("""COMPUTED_VALUE"""),"安定型")</f>
        <v>安定型</v>
      </c>
      <c r="Y130" s="386">
        <f>IFERROR(__xludf.DUMMYFUNCTION("""COMPUTED_VALUE"""),1.0)</f>
        <v>1</v>
      </c>
      <c r="Z130" s="387" t="str">
        <f>IFERROR(__xludf.DUMMYFUNCTION("""COMPUTED_VALUE"""),"効果時間")</f>
        <v>効果時間</v>
      </c>
      <c r="AA130" s="392">
        <f>IFERROR(__xludf.DUMMYFUNCTION("""COMPUTED_VALUE"""),300.0)</f>
        <v>300</v>
      </c>
      <c r="AB130" s="393">
        <f>IFERROR(__xludf.DUMMYFUNCTION("""COMPUTED_VALUE"""),300.0)</f>
        <v>300</v>
      </c>
      <c r="AC130" s="393">
        <f>IFERROR(__xludf.DUMMYFUNCTION("""COMPUTED_VALUE"""),300.0)</f>
        <v>300</v>
      </c>
      <c r="AD130" s="393">
        <f>IFERROR(__xludf.DUMMYFUNCTION("""COMPUTED_VALUE"""),300.0)</f>
        <v>300</v>
      </c>
      <c r="AE130" s="393">
        <f>IFERROR(__xludf.DUMMYFUNCTION("""COMPUTED_VALUE"""),300.0)</f>
        <v>300</v>
      </c>
      <c r="AF130" s="393">
        <f>IFERROR(__xludf.DUMMYFUNCTION("""COMPUTED_VALUE"""),300.0)</f>
        <v>300</v>
      </c>
      <c r="AG130" s="393">
        <f>IFERROR(__xludf.DUMMYFUNCTION("""COMPUTED_VALUE"""),310.0)</f>
        <v>310</v>
      </c>
      <c r="AH130" s="394">
        <f>IFERROR(__xludf.DUMMYFUNCTION("""COMPUTED_VALUE"""),310.0)</f>
        <v>310</v>
      </c>
      <c r="AI130" s="385" t="str">
        <f>IFERROR(__xludf.DUMMYFUNCTION("""COMPUTED_VALUE"""),"持続型")</f>
        <v>持続型</v>
      </c>
      <c r="AJ130" s="386">
        <f>IFERROR(__xludf.DUMMYFUNCTION("""COMPUTED_VALUE"""),1.0)</f>
        <v>1</v>
      </c>
      <c r="AK130" s="387" t="str">
        <f>IFERROR(__xludf.DUMMYFUNCTION("""COMPUTED_VALUE"""),"効果時間")</f>
        <v>効果時間</v>
      </c>
      <c r="AL130" s="392">
        <f>IFERROR(__xludf.DUMMYFUNCTION("""COMPUTED_VALUE"""),450.0)</f>
        <v>450</v>
      </c>
      <c r="AM130" s="393">
        <f>IFERROR(__xludf.DUMMYFUNCTION("""COMPUTED_VALUE"""),450.0)</f>
        <v>450</v>
      </c>
      <c r="AN130" s="393">
        <f>IFERROR(__xludf.DUMMYFUNCTION("""COMPUTED_VALUE"""),450.0)</f>
        <v>450</v>
      </c>
      <c r="AO130" s="393">
        <f>IFERROR(__xludf.DUMMYFUNCTION("""COMPUTED_VALUE"""),450.0)</f>
        <v>450</v>
      </c>
      <c r="AP130" s="393">
        <f>IFERROR(__xludf.DUMMYFUNCTION("""COMPUTED_VALUE"""),450.0)</f>
        <v>450</v>
      </c>
      <c r="AQ130" s="393">
        <f>IFERROR(__xludf.DUMMYFUNCTION("""COMPUTED_VALUE"""),450.0)</f>
        <v>450</v>
      </c>
      <c r="AR130" s="393">
        <f>IFERROR(__xludf.DUMMYFUNCTION("""COMPUTED_VALUE"""),460.0)</f>
        <v>460</v>
      </c>
      <c r="AS130" s="394">
        <f>IFERROR(__xludf.DUMMYFUNCTION("""COMPUTED_VALUE"""),460.0)</f>
        <v>460</v>
      </c>
      <c r="AT130" s="385" t="str">
        <f>IFERROR(__xludf.DUMMYFUNCTION("""COMPUTED_VALUE"""),"超持続型")</f>
        <v>超持続型</v>
      </c>
      <c r="AU130" s="386">
        <f>IFERROR(__xludf.DUMMYFUNCTION("""COMPUTED_VALUE"""),1.0)</f>
        <v>1</v>
      </c>
      <c r="AV130" s="387" t="str">
        <f>IFERROR(__xludf.DUMMYFUNCTION("""COMPUTED_VALUE"""),"効果時間")</f>
        <v>効果時間</v>
      </c>
      <c r="AW130" s="395" t="str">
        <f>IFERROR(__xludf.DUMMYFUNCTION("""COMPUTED_VALUE"""),"-")</f>
        <v>-</v>
      </c>
      <c r="AX130" s="396" t="str">
        <f>IFERROR(__xludf.DUMMYFUNCTION("""COMPUTED_VALUE"""),"-")</f>
        <v>-</v>
      </c>
      <c r="AY130" s="396" t="str">
        <f>IFERROR(__xludf.DUMMYFUNCTION("""COMPUTED_VALUE"""),"-")</f>
        <v>-</v>
      </c>
      <c r="AZ130" s="396" t="str">
        <f>IFERROR(__xludf.DUMMYFUNCTION("""COMPUTED_VALUE"""),"-")</f>
        <v>-</v>
      </c>
      <c r="BA130" s="396" t="str">
        <f>IFERROR(__xludf.DUMMYFUNCTION("""COMPUTED_VALUE"""),"-")</f>
        <v>-</v>
      </c>
      <c r="BB130" s="393">
        <f>IFERROR(__xludf.DUMMYFUNCTION("""COMPUTED_VALUE"""),600.0)</f>
        <v>600</v>
      </c>
      <c r="BC130" s="393">
        <f>IFERROR(__xludf.DUMMYFUNCTION("""COMPUTED_VALUE"""),610.0)</f>
        <v>610</v>
      </c>
      <c r="BD130" s="394">
        <f>IFERROR(__xludf.DUMMYFUNCTION("""COMPUTED_VALUE"""),610.0)</f>
        <v>610</v>
      </c>
      <c r="BE130" s="385" t="str">
        <f>IFERROR(__xludf.DUMMYFUNCTION("""COMPUTED_VALUE"""),"ハイブリッド型")</f>
        <v>ハイブリッド型</v>
      </c>
      <c r="BF130" s="386">
        <f>IFERROR(__xludf.DUMMYFUNCTION("""COMPUTED_VALUE"""),1.0)</f>
        <v>1</v>
      </c>
      <c r="BG130" s="387" t="str">
        <f>IFERROR(__xludf.DUMMYFUNCTION("""COMPUTED_VALUE"""),"効果時間")</f>
        <v>効果時間</v>
      </c>
      <c r="BH130" s="397">
        <f>IFERROR(__xludf.DUMMYFUNCTION("""COMPUTED_VALUE"""),150.0)</f>
        <v>150</v>
      </c>
      <c r="BI130" s="397">
        <f>IFERROR(__xludf.DUMMYFUNCTION("""COMPUTED_VALUE"""),150.0)</f>
        <v>150</v>
      </c>
      <c r="BJ130" s="397">
        <f>IFERROR(__xludf.DUMMYFUNCTION("""COMPUTED_VALUE"""),150.0)</f>
        <v>150</v>
      </c>
      <c r="BK130" s="398">
        <f>IFERROR(__xludf.DUMMYFUNCTION("""COMPUTED_VALUE"""),150.0)</f>
        <v>150</v>
      </c>
      <c r="BL130" s="397">
        <f>IFERROR(__xludf.DUMMYFUNCTION("""COMPUTED_VALUE"""),150.0)</f>
        <v>150</v>
      </c>
      <c r="BM130" s="398">
        <f>IFERROR(__xludf.DUMMYFUNCTION("""COMPUTED_VALUE"""),350.0)</f>
        <v>350</v>
      </c>
      <c r="BN130" s="397">
        <f>IFERROR(__xludf.DUMMYFUNCTION("""COMPUTED_VALUE"""),460.0)</f>
        <v>460</v>
      </c>
      <c r="BO130" s="398">
        <f>IFERROR(__xludf.DUMMYFUNCTION("""COMPUTED_VALUE"""),460.0)</f>
        <v>460</v>
      </c>
    </row>
    <row r="131">
      <c r="A131" s="435" t="str">
        <f>IFERROR(__xludf.DUMMYFUNCTION("""COMPUTED_VALUE"""),"ダメージカット(赤)")</f>
        <v>ダメージカット(赤)</v>
      </c>
      <c r="B131" s="385" t="str">
        <f>IFERROR(__xludf.DUMMYFUNCTION("""COMPUTED_VALUE"""),"超瞬間型")</f>
        <v>超瞬間型</v>
      </c>
      <c r="C131" s="399">
        <f>IFERROR(__xludf.DUMMYFUNCTION("""COMPUTED_VALUE"""),2.0)</f>
        <v>2</v>
      </c>
      <c r="D131" s="400" t="str">
        <f>IFERROR(__xludf.DUMMYFUNCTION("""COMPUTED_VALUE"""),"効果値")</f>
        <v>効果値</v>
      </c>
      <c r="E131" s="401" t="str">
        <f>IFERROR(__xludf.DUMMYFUNCTION("""COMPUTED_VALUE"""),"-")</f>
        <v>-</v>
      </c>
      <c r="F131" s="401" t="str">
        <f>IFERROR(__xludf.DUMMYFUNCTION("""COMPUTED_VALUE"""),"-")</f>
        <v>-</v>
      </c>
      <c r="G131" s="401" t="str">
        <f>IFERROR(__xludf.DUMMYFUNCTION("""COMPUTED_VALUE"""),"-")</f>
        <v>-</v>
      </c>
      <c r="H131" s="401" t="str">
        <f>IFERROR(__xludf.DUMMYFUNCTION("""COMPUTED_VALUE"""),"-")</f>
        <v>-</v>
      </c>
      <c r="I131" s="401" t="str">
        <f>IFERROR(__xludf.DUMMYFUNCTION("""COMPUTED_VALUE"""),"-")</f>
        <v>-</v>
      </c>
      <c r="J131" s="318">
        <f>IFERROR(__xludf.DUMMYFUNCTION("""COMPUTED_VALUE"""),57.0)</f>
        <v>57</v>
      </c>
      <c r="K131" s="318">
        <f>IFERROR(__xludf.DUMMYFUNCTION("""COMPUTED_VALUE"""),67.0)</f>
        <v>67</v>
      </c>
      <c r="L131" s="318">
        <f>IFERROR(__xludf.DUMMYFUNCTION("""COMPUTED_VALUE"""),69.0)</f>
        <v>69</v>
      </c>
      <c r="M131" s="385" t="str">
        <f>IFERROR(__xludf.DUMMYFUNCTION("""COMPUTED_VALUE"""),"瞬間型")</f>
        <v>瞬間型</v>
      </c>
      <c r="N131" s="399">
        <f>IFERROR(__xludf.DUMMYFUNCTION("""COMPUTED_VALUE"""),2.0)</f>
        <v>2</v>
      </c>
      <c r="O131" s="400" t="str">
        <f>IFERROR(__xludf.DUMMYFUNCTION("""COMPUTED_VALUE"""),"効果値")</f>
        <v>効果値</v>
      </c>
      <c r="P131" s="343">
        <f>IFERROR(__xludf.DUMMYFUNCTION("""COMPUTED_VALUE"""),21.0)</f>
        <v>21</v>
      </c>
      <c r="Q131" s="402">
        <f>IFERROR(__xludf.DUMMYFUNCTION("""COMPUTED_VALUE"""),21.0)</f>
        <v>21</v>
      </c>
      <c r="R131" s="343">
        <f>IFERROR(__xludf.DUMMYFUNCTION("""COMPUTED_VALUE"""),22.0)</f>
        <v>22</v>
      </c>
      <c r="S131" s="402">
        <f>IFERROR(__xludf.DUMMYFUNCTION("""COMPUTED_VALUE"""),22.0)</f>
        <v>22</v>
      </c>
      <c r="T131" s="343">
        <f>IFERROR(__xludf.DUMMYFUNCTION("""COMPUTED_VALUE"""),22.0)</f>
        <v>22</v>
      </c>
      <c r="U131" s="343">
        <f>IFERROR(__xludf.DUMMYFUNCTION("""COMPUTED_VALUE"""),27.0)</f>
        <v>27</v>
      </c>
      <c r="V131" s="343">
        <f>IFERROR(__xludf.DUMMYFUNCTION("""COMPUTED_VALUE"""),32.0)</f>
        <v>32</v>
      </c>
      <c r="W131" s="343">
        <f>IFERROR(__xludf.DUMMYFUNCTION("""COMPUTED_VALUE"""),34.0)</f>
        <v>34</v>
      </c>
      <c r="X131" s="385" t="str">
        <f>IFERROR(__xludf.DUMMYFUNCTION("""COMPUTED_VALUE"""),"安定型")</f>
        <v>安定型</v>
      </c>
      <c r="Y131" s="399">
        <f>IFERROR(__xludf.DUMMYFUNCTION("""COMPUTED_VALUE"""),2.0)</f>
        <v>2</v>
      </c>
      <c r="Z131" s="400" t="str">
        <f>IFERROR(__xludf.DUMMYFUNCTION("""COMPUTED_VALUE"""),"効果値")</f>
        <v>効果値</v>
      </c>
      <c r="AA131" s="343">
        <f>IFERROR(__xludf.DUMMYFUNCTION("""COMPUTED_VALUE"""),11.0)</f>
        <v>11</v>
      </c>
      <c r="AB131" s="402">
        <f>IFERROR(__xludf.DUMMYFUNCTION("""COMPUTED_VALUE"""),11.0)</f>
        <v>11</v>
      </c>
      <c r="AC131" s="343">
        <f>IFERROR(__xludf.DUMMYFUNCTION("""COMPUTED_VALUE"""),12.0)</f>
        <v>12</v>
      </c>
      <c r="AD131" s="402">
        <f>IFERROR(__xludf.DUMMYFUNCTION("""COMPUTED_VALUE"""),12.0)</f>
        <v>12</v>
      </c>
      <c r="AE131" s="343">
        <f>IFERROR(__xludf.DUMMYFUNCTION("""COMPUTED_VALUE"""),12.0)</f>
        <v>12</v>
      </c>
      <c r="AF131" s="343">
        <f>IFERROR(__xludf.DUMMYFUNCTION("""COMPUTED_VALUE"""),12.0)</f>
        <v>12</v>
      </c>
      <c r="AG131" s="343">
        <f>IFERROR(__xludf.DUMMYFUNCTION("""COMPUTED_VALUE"""),17.0)</f>
        <v>17</v>
      </c>
      <c r="AH131" s="343">
        <f>IFERROR(__xludf.DUMMYFUNCTION("""COMPUTED_VALUE"""),19.0)</f>
        <v>19</v>
      </c>
      <c r="AI131" s="385" t="str">
        <f>IFERROR(__xludf.DUMMYFUNCTION("""COMPUTED_VALUE"""),"持続型")</f>
        <v>持続型</v>
      </c>
      <c r="AJ131" s="399">
        <f>IFERROR(__xludf.DUMMYFUNCTION("""COMPUTED_VALUE"""),2.0)</f>
        <v>2</v>
      </c>
      <c r="AK131" s="400" t="str">
        <f>IFERROR(__xludf.DUMMYFUNCTION("""COMPUTED_VALUE"""),"効果値")</f>
        <v>効果値</v>
      </c>
      <c r="AL131" s="343">
        <f>IFERROR(__xludf.DUMMYFUNCTION("""COMPUTED_VALUE"""),6.0)</f>
        <v>6</v>
      </c>
      <c r="AM131" s="402">
        <f>IFERROR(__xludf.DUMMYFUNCTION("""COMPUTED_VALUE"""),6.0)</f>
        <v>6</v>
      </c>
      <c r="AN131" s="343">
        <f>IFERROR(__xludf.DUMMYFUNCTION("""COMPUTED_VALUE"""),7.0)</f>
        <v>7</v>
      </c>
      <c r="AO131" s="402">
        <f>IFERROR(__xludf.DUMMYFUNCTION("""COMPUTED_VALUE"""),7.0)</f>
        <v>7</v>
      </c>
      <c r="AP131" s="343">
        <f>IFERROR(__xludf.DUMMYFUNCTION("""COMPUTED_VALUE"""),7.0)</f>
        <v>7</v>
      </c>
      <c r="AQ131" s="343">
        <f>IFERROR(__xludf.DUMMYFUNCTION("""COMPUTED_VALUE"""),7.0)</f>
        <v>7</v>
      </c>
      <c r="AR131" s="343">
        <f>IFERROR(__xludf.DUMMYFUNCTION("""COMPUTED_VALUE"""),11.0)</f>
        <v>11</v>
      </c>
      <c r="AS131" s="343">
        <f>IFERROR(__xludf.DUMMYFUNCTION("""COMPUTED_VALUE"""),11.0)</f>
        <v>11</v>
      </c>
      <c r="AT131" s="385" t="str">
        <f>IFERROR(__xludf.DUMMYFUNCTION("""COMPUTED_VALUE"""),"超持続型")</f>
        <v>超持続型</v>
      </c>
      <c r="AU131" s="399">
        <f>IFERROR(__xludf.DUMMYFUNCTION("""COMPUTED_VALUE"""),2.0)</f>
        <v>2</v>
      </c>
      <c r="AV131" s="400" t="str">
        <f>IFERROR(__xludf.DUMMYFUNCTION("""COMPUTED_VALUE"""),"効果値")</f>
        <v>効果値</v>
      </c>
      <c r="AW131" s="403" t="str">
        <f>IFERROR(__xludf.DUMMYFUNCTION("""COMPUTED_VALUE"""),"-")</f>
        <v>-</v>
      </c>
      <c r="AX131" s="403" t="str">
        <f>IFERROR(__xludf.DUMMYFUNCTION("""COMPUTED_VALUE"""),"-")</f>
        <v>-</v>
      </c>
      <c r="AY131" s="403" t="str">
        <f>IFERROR(__xludf.DUMMYFUNCTION("""COMPUTED_VALUE"""),"-")</f>
        <v>-</v>
      </c>
      <c r="AZ131" s="403" t="str">
        <f>IFERROR(__xludf.DUMMYFUNCTION("""COMPUTED_VALUE"""),"-")</f>
        <v>-</v>
      </c>
      <c r="BA131" s="403" t="str">
        <f>IFERROR(__xludf.DUMMYFUNCTION("""COMPUTED_VALUE"""),"-")</f>
        <v>-</v>
      </c>
      <c r="BB131" s="343">
        <f>IFERROR(__xludf.DUMMYFUNCTION("""COMPUTED_VALUE"""),7.0)</f>
        <v>7</v>
      </c>
      <c r="BC131" s="343">
        <f>IFERROR(__xludf.DUMMYFUNCTION("""COMPUTED_VALUE"""),11.0)</f>
        <v>11</v>
      </c>
      <c r="BD131" s="343">
        <f>IFERROR(__xludf.DUMMYFUNCTION("""COMPUTED_VALUE"""),11.0)</f>
        <v>11</v>
      </c>
      <c r="BE131" s="385" t="str">
        <f>IFERROR(__xludf.DUMMYFUNCTION("""COMPUTED_VALUE"""),"ハイブリッド型")</f>
        <v>ハイブリッド型</v>
      </c>
      <c r="BF131" s="399">
        <f>IFERROR(__xludf.DUMMYFUNCTION("""COMPUTED_VALUE"""),2.0)</f>
        <v>2</v>
      </c>
      <c r="BG131" s="400" t="str">
        <f>IFERROR(__xludf.DUMMYFUNCTION("""COMPUTED_VALUE"""),"効果値")</f>
        <v>効果値</v>
      </c>
      <c r="BH131" s="404">
        <f>IFERROR(__xludf.DUMMYFUNCTION("""COMPUTED_VALUE"""),10.8)</f>
        <v>10.8</v>
      </c>
      <c r="BI131" s="405">
        <f>IFERROR(__xludf.DUMMYFUNCTION("""COMPUTED_VALUE"""),11.2)</f>
        <v>11.2</v>
      </c>
      <c r="BJ131" s="405">
        <f>IFERROR(__xludf.DUMMYFUNCTION("""COMPUTED_VALUE"""),11.5)</f>
        <v>11.5</v>
      </c>
      <c r="BK131" s="405">
        <f>IFERROR(__xludf.DUMMYFUNCTION("""COMPUTED_VALUE"""),11.8)</f>
        <v>11.8</v>
      </c>
      <c r="BL131" s="405">
        <f>IFERROR(__xludf.DUMMYFUNCTION("""COMPUTED_VALUE"""),12.1)</f>
        <v>12.1</v>
      </c>
      <c r="BM131" s="405">
        <f>IFERROR(__xludf.DUMMYFUNCTION("""COMPUTED_VALUE"""),17.1)</f>
        <v>17.1</v>
      </c>
      <c r="BN131" s="405">
        <f>IFERROR(__xludf.DUMMYFUNCTION("""COMPUTED_VALUE"""),22.0)</f>
        <v>22</v>
      </c>
      <c r="BO131" s="406">
        <f>IFERROR(__xludf.DUMMYFUNCTION("""COMPUTED_VALUE"""),24.0)</f>
        <v>24</v>
      </c>
    </row>
    <row r="132">
      <c r="A132" s="435" t="str">
        <f>IFERROR(__xludf.DUMMYFUNCTION("""COMPUTED_VALUE"""),"ダメージカット(赤)")</f>
        <v>ダメージカット(赤)</v>
      </c>
      <c r="B132" s="385" t="str">
        <f>IFERROR(__xludf.DUMMYFUNCTION("""COMPUTED_VALUE"""),"超瞬間型")</f>
        <v>超瞬間型</v>
      </c>
      <c r="C132" s="386">
        <f>IFERROR(__xludf.DUMMYFUNCTION("""COMPUTED_VALUE"""),2.0)</f>
        <v>2</v>
      </c>
      <c r="D132" s="387" t="str">
        <f>IFERROR(__xludf.DUMMYFUNCTION("""COMPUTED_VALUE"""),"効果時間")</f>
        <v>効果時間</v>
      </c>
      <c r="E132" s="388" t="str">
        <f>IFERROR(__xludf.DUMMYFUNCTION("""COMPUTED_VALUE"""),"-")</f>
        <v>-</v>
      </c>
      <c r="F132" s="389" t="str">
        <f>IFERROR(__xludf.DUMMYFUNCTION("""COMPUTED_VALUE"""),"-")</f>
        <v>-</v>
      </c>
      <c r="G132" s="388" t="str">
        <f>IFERROR(__xludf.DUMMYFUNCTION("""COMPUTED_VALUE"""),"-")</f>
        <v>-</v>
      </c>
      <c r="H132" s="389" t="str">
        <f>IFERROR(__xludf.DUMMYFUNCTION("""COMPUTED_VALUE"""),"-")</f>
        <v>-</v>
      </c>
      <c r="I132" s="388" t="str">
        <f>IFERROR(__xludf.DUMMYFUNCTION("""COMPUTED_VALUE"""),"-")</f>
        <v>-</v>
      </c>
      <c r="J132" s="390">
        <f>IFERROR(__xludf.DUMMYFUNCTION("""COMPUTED_VALUE"""),150.0)</f>
        <v>150</v>
      </c>
      <c r="K132" s="391">
        <f>IFERROR(__xludf.DUMMYFUNCTION("""COMPUTED_VALUE"""),160.0)</f>
        <v>160</v>
      </c>
      <c r="L132" s="340">
        <f>IFERROR(__xludf.DUMMYFUNCTION("""COMPUTED_VALUE"""),170.0)</f>
        <v>170</v>
      </c>
      <c r="M132" s="385" t="str">
        <f>IFERROR(__xludf.DUMMYFUNCTION("""COMPUTED_VALUE"""),"瞬間型")</f>
        <v>瞬間型</v>
      </c>
      <c r="N132" s="386">
        <f>IFERROR(__xludf.DUMMYFUNCTION("""COMPUTED_VALUE"""),2.0)</f>
        <v>2</v>
      </c>
      <c r="O132" s="387" t="str">
        <f>IFERROR(__xludf.DUMMYFUNCTION("""COMPUTED_VALUE"""),"効果時間")</f>
        <v>効果時間</v>
      </c>
      <c r="P132" s="392">
        <f>IFERROR(__xludf.DUMMYFUNCTION("""COMPUTED_VALUE"""),160.0)</f>
        <v>160</v>
      </c>
      <c r="Q132" s="275">
        <f>IFERROR(__xludf.DUMMYFUNCTION("""COMPUTED_VALUE"""),165.0)</f>
        <v>165</v>
      </c>
      <c r="R132" s="280">
        <f>IFERROR(__xludf.DUMMYFUNCTION("""COMPUTED_VALUE"""),170.0)</f>
        <v>170</v>
      </c>
      <c r="S132" s="275">
        <f>IFERROR(__xludf.DUMMYFUNCTION("""COMPUTED_VALUE"""),175.0)</f>
        <v>175</v>
      </c>
      <c r="T132" s="280">
        <f>IFERROR(__xludf.DUMMYFUNCTION("""COMPUTED_VALUE"""),180.0)</f>
        <v>180</v>
      </c>
      <c r="U132" s="280">
        <f>IFERROR(__xludf.DUMMYFUNCTION("""COMPUTED_VALUE"""),180.0)</f>
        <v>180</v>
      </c>
      <c r="V132" s="280">
        <f>IFERROR(__xludf.DUMMYFUNCTION("""COMPUTED_VALUE"""),220.0)</f>
        <v>220</v>
      </c>
      <c r="W132" s="280">
        <f>IFERROR(__xludf.DUMMYFUNCTION("""COMPUTED_VALUE"""),230.0)</f>
        <v>230</v>
      </c>
      <c r="X132" s="385" t="str">
        <f>IFERROR(__xludf.DUMMYFUNCTION("""COMPUTED_VALUE"""),"安定型")</f>
        <v>安定型</v>
      </c>
      <c r="Y132" s="386">
        <f>IFERROR(__xludf.DUMMYFUNCTION("""COMPUTED_VALUE"""),2.0)</f>
        <v>2</v>
      </c>
      <c r="Z132" s="387" t="str">
        <f>IFERROR(__xludf.DUMMYFUNCTION("""COMPUTED_VALUE"""),"効果時間")</f>
        <v>効果時間</v>
      </c>
      <c r="AA132" s="392">
        <f>IFERROR(__xludf.DUMMYFUNCTION("""COMPUTED_VALUE"""),310.0)</f>
        <v>310</v>
      </c>
      <c r="AB132" s="275">
        <f>IFERROR(__xludf.DUMMYFUNCTION("""COMPUTED_VALUE"""),315.0)</f>
        <v>315</v>
      </c>
      <c r="AC132" s="280">
        <f>IFERROR(__xludf.DUMMYFUNCTION("""COMPUTED_VALUE"""),320.0)</f>
        <v>320</v>
      </c>
      <c r="AD132" s="275">
        <f>IFERROR(__xludf.DUMMYFUNCTION("""COMPUTED_VALUE"""),325.0)</f>
        <v>325</v>
      </c>
      <c r="AE132" s="280">
        <f>IFERROR(__xludf.DUMMYFUNCTION("""COMPUTED_VALUE"""),330.0)</f>
        <v>330</v>
      </c>
      <c r="AF132" s="280">
        <f>IFERROR(__xludf.DUMMYFUNCTION("""COMPUTED_VALUE"""),345.0)</f>
        <v>345</v>
      </c>
      <c r="AG132" s="280">
        <f>IFERROR(__xludf.DUMMYFUNCTION("""COMPUTED_VALUE"""),370.0)</f>
        <v>370</v>
      </c>
      <c r="AH132" s="280">
        <f>IFERROR(__xludf.DUMMYFUNCTION("""COMPUTED_VALUE"""),380.0)</f>
        <v>380</v>
      </c>
      <c r="AI132" s="385" t="str">
        <f>IFERROR(__xludf.DUMMYFUNCTION("""COMPUTED_VALUE"""),"持続型")</f>
        <v>持続型</v>
      </c>
      <c r="AJ132" s="386">
        <f>IFERROR(__xludf.DUMMYFUNCTION("""COMPUTED_VALUE"""),2.0)</f>
        <v>2</v>
      </c>
      <c r="AK132" s="387" t="str">
        <f>IFERROR(__xludf.DUMMYFUNCTION("""COMPUTED_VALUE"""),"効果時間")</f>
        <v>効果時間</v>
      </c>
      <c r="AL132" s="392">
        <f>IFERROR(__xludf.DUMMYFUNCTION("""COMPUTED_VALUE"""),460.0)</f>
        <v>460</v>
      </c>
      <c r="AM132" s="275">
        <f>IFERROR(__xludf.DUMMYFUNCTION("""COMPUTED_VALUE"""),465.0)</f>
        <v>465</v>
      </c>
      <c r="AN132" s="280">
        <f>IFERROR(__xludf.DUMMYFUNCTION("""COMPUTED_VALUE"""),470.0)</f>
        <v>470</v>
      </c>
      <c r="AO132" s="275">
        <f>IFERROR(__xludf.DUMMYFUNCTION("""COMPUTED_VALUE"""),475.0)</f>
        <v>475</v>
      </c>
      <c r="AP132" s="280">
        <f>IFERROR(__xludf.DUMMYFUNCTION("""COMPUTED_VALUE"""),480.0)</f>
        <v>480</v>
      </c>
      <c r="AQ132" s="280">
        <f>IFERROR(__xludf.DUMMYFUNCTION("""COMPUTED_VALUE"""),495.0)</f>
        <v>495</v>
      </c>
      <c r="AR132" s="280">
        <f>IFERROR(__xludf.DUMMYFUNCTION("""COMPUTED_VALUE"""),520.0)</f>
        <v>520</v>
      </c>
      <c r="AS132" s="280">
        <f>IFERROR(__xludf.DUMMYFUNCTION("""COMPUTED_VALUE"""),530.0)</f>
        <v>530</v>
      </c>
      <c r="AT132" s="385" t="str">
        <f>IFERROR(__xludf.DUMMYFUNCTION("""COMPUTED_VALUE"""),"超持続型")</f>
        <v>超持続型</v>
      </c>
      <c r="AU132" s="386">
        <f>IFERROR(__xludf.DUMMYFUNCTION("""COMPUTED_VALUE"""),2.0)</f>
        <v>2</v>
      </c>
      <c r="AV132" s="387" t="str">
        <f>IFERROR(__xludf.DUMMYFUNCTION("""COMPUTED_VALUE"""),"効果時間")</f>
        <v>効果時間</v>
      </c>
      <c r="AW132" s="368" t="str">
        <f>IFERROR(__xludf.DUMMYFUNCTION("""COMPUTED_VALUE"""),"-")</f>
        <v>-</v>
      </c>
      <c r="AX132" s="368" t="str">
        <f>IFERROR(__xludf.DUMMYFUNCTION("""COMPUTED_VALUE"""),"-")</f>
        <v>-</v>
      </c>
      <c r="AY132" s="368" t="str">
        <f>IFERROR(__xludf.DUMMYFUNCTION("""COMPUTED_VALUE"""),"-")</f>
        <v>-</v>
      </c>
      <c r="AZ132" s="368" t="str">
        <f>IFERROR(__xludf.DUMMYFUNCTION("""COMPUTED_VALUE"""),"-")</f>
        <v>-</v>
      </c>
      <c r="BA132" s="368" t="str">
        <f>IFERROR(__xludf.DUMMYFUNCTION("""COMPUTED_VALUE"""),"-")</f>
        <v>-</v>
      </c>
      <c r="BB132" s="280">
        <f>IFERROR(__xludf.DUMMYFUNCTION("""COMPUTED_VALUE"""),625.0)</f>
        <v>625</v>
      </c>
      <c r="BC132" s="280">
        <f>IFERROR(__xludf.DUMMYFUNCTION("""COMPUTED_VALUE"""),670.0)</f>
        <v>670</v>
      </c>
      <c r="BD132" s="280">
        <f>IFERROR(__xludf.DUMMYFUNCTION("""COMPUTED_VALUE"""),680.0)</f>
        <v>680</v>
      </c>
      <c r="BE132" s="385" t="str">
        <f>IFERROR(__xludf.DUMMYFUNCTION("""COMPUTED_VALUE"""),"ハイブリッド型")</f>
        <v>ハイブリッド型</v>
      </c>
      <c r="BF132" s="386">
        <f>IFERROR(__xludf.DUMMYFUNCTION("""COMPUTED_VALUE"""),2.0)</f>
        <v>2</v>
      </c>
      <c r="BG132" s="387" t="str">
        <f>IFERROR(__xludf.DUMMYFUNCTION("""COMPUTED_VALUE"""),"効果時間")</f>
        <v>効果時間</v>
      </c>
      <c r="BH132" s="407">
        <f>IFERROR(__xludf.DUMMYFUNCTION("""COMPUTED_VALUE"""),195.0)</f>
        <v>195</v>
      </c>
      <c r="BI132" s="407">
        <f>IFERROR(__xludf.DUMMYFUNCTION("""COMPUTED_VALUE"""),205.0)</f>
        <v>205</v>
      </c>
      <c r="BJ132" s="407">
        <f>IFERROR(__xludf.DUMMYFUNCTION("""COMPUTED_VALUE"""),205.0)</f>
        <v>205</v>
      </c>
      <c r="BK132" s="408">
        <f>IFERROR(__xludf.DUMMYFUNCTION("""COMPUTED_VALUE"""),210.0)</f>
        <v>210</v>
      </c>
      <c r="BL132" s="407">
        <f>IFERROR(__xludf.DUMMYFUNCTION("""COMPUTED_VALUE"""),215.0)</f>
        <v>215</v>
      </c>
      <c r="BM132" s="408">
        <f>IFERROR(__xludf.DUMMYFUNCTION("""COMPUTED_VALUE"""),375.0)</f>
        <v>375</v>
      </c>
      <c r="BN132" s="407">
        <f>IFERROR(__xludf.DUMMYFUNCTION("""COMPUTED_VALUE"""),480.0)</f>
        <v>480</v>
      </c>
      <c r="BO132" s="408">
        <f>IFERROR(__xludf.DUMMYFUNCTION("""COMPUTED_VALUE"""),490.0)</f>
        <v>490</v>
      </c>
    </row>
    <row r="133">
      <c r="A133" s="435" t="str">
        <f>IFERROR(__xludf.DUMMYFUNCTION("""COMPUTED_VALUE"""),"ダメージカット(赤)")</f>
        <v>ダメージカット(赤)</v>
      </c>
      <c r="B133" s="385" t="str">
        <f>IFERROR(__xludf.DUMMYFUNCTION("""COMPUTED_VALUE"""),"超瞬間型")</f>
        <v>超瞬間型</v>
      </c>
      <c r="C133" s="399">
        <f>IFERROR(__xludf.DUMMYFUNCTION("""COMPUTED_VALUE"""),3.0)</f>
        <v>3</v>
      </c>
      <c r="D133" s="400" t="str">
        <f>IFERROR(__xludf.DUMMYFUNCTION("""COMPUTED_VALUE"""),"効果値")</f>
        <v>効果値</v>
      </c>
      <c r="E133" s="401" t="str">
        <f>IFERROR(__xludf.DUMMYFUNCTION("""COMPUTED_VALUE"""),"-")</f>
        <v>-</v>
      </c>
      <c r="F133" s="409" t="str">
        <f>IFERROR(__xludf.DUMMYFUNCTION("""COMPUTED_VALUE"""),"-")</f>
        <v>-</v>
      </c>
      <c r="G133" s="401" t="str">
        <f>IFERROR(__xludf.DUMMYFUNCTION("""COMPUTED_VALUE"""),"-")</f>
        <v>-</v>
      </c>
      <c r="H133" s="409" t="str">
        <f>IFERROR(__xludf.DUMMYFUNCTION("""COMPUTED_VALUE"""),"-")</f>
        <v>-</v>
      </c>
      <c r="I133" s="409" t="str">
        <f>IFERROR(__xludf.DUMMYFUNCTION("""COMPUTED_VALUE"""),"-")</f>
        <v>-</v>
      </c>
      <c r="J133" s="410">
        <f>IFERROR(__xludf.DUMMYFUNCTION("""COMPUTED_VALUE"""),58.0)</f>
        <v>58</v>
      </c>
      <c r="K133" s="410">
        <f>IFERROR(__xludf.DUMMYFUNCTION("""COMPUTED_VALUE"""),68.0)</f>
        <v>68</v>
      </c>
      <c r="L133" s="410">
        <f>IFERROR(__xludf.DUMMYFUNCTION("""COMPUTED_VALUE"""),72.0)</f>
        <v>72</v>
      </c>
      <c r="M133" s="385" t="str">
        <f>IFERROR(__xludf.DUMMYFUNCTION("""COMPUTED_VALUE"""),"瞬間型")</f>
        <v>瞬間型</v>
      </c>
      <c r="N133" s="399">
        <f>IFERROR(__xludf.DUMMYFUNCTION("""COMPUTED_VALUE"""),3.0)</f>
        <v>3</v>
      </c>
      <c r="O133" s="400" t="str">
        <f>IFERROR(__xludf.DUMMYFUNCTION("""COMPUTED_VALUE"""),"効果値")</f>
        <v>効果値</v>
      </c>
      <c r="P133" s="343">
        <f>IFERROR(__xludf.DUMMYFUNCTION("""COMPUTED_VALUE"""),22.0)</f>
        <v>22</v>
      </c>
      <c r="Q133" s="402">
        <f>IFERROR(__xludf.DUMMYFUNCTION("""COMPUTED_VALUE"""),22.0)</f>
        <v>22</v>
      </c>
      <c r="R133" s="402">
        <f>IFERROR(__xludf.DUMMYFUNCTION("""COMPUTED_VALUE"""),23.0)</f>
        <v>23</v>
      </c>
      <c r="S133" s="402">
        <f>IFERROR(__xludf.DUMMYFUNCTION("""COMPUTED_VALUE"""),23.0)</f>
        <v>23</v>
      </c>
      <c r="T133" s="402">
        <f>IFERROR(__xludf.DUMMYFUNCTION("""COMPUTED_VALUE"""),23.0)</f>
        <v>23</v>
      </c>
      <c r="U133" s="402">
        <f>IFERROR(__xludf.DUMMYFUNCTION("""COMPUTED_VALUE"""),28.0)</f>
        <v>28</v>
      </c>
      <c r="V133" s="402">
        <f>IFERROR(__xludf.DUMMYFUNCTION("""COMPUTED_VALUE"""),33.0)</f>
        <v>33</v>
      </c>
      <c r="W133" s="402">
        <f>IFERROR(__xludf.DUMMYFUNCTION("""COMPUTED_VALUE"""),37.0)</f>
        <v>37</v>
      </c>
      <c r="X133" s="385" t="str">
        <f>IFERROR(__xludf.DUMMYFUNCTION("""COMPUTED_VALUE"""),"安定型")</f>
        <v>安定型</v>
      </c>
      <c r="Y133" s="399">
        <f>IFERROR(__xludf.DUMMYFUNCTION("""COMPUTED_VALUE"""),3.0)</f>
        <v>3</v>
      </c>
      <c r="Z133" s="400" t="str">
        <f>IFERROR(__xludf.DUMMYFUNCTION("""COMPUTED_VALUE"""),"効果値")</f>
        <v>効果値</v>
      </c>
      <c r="AA133" s="343">
        <f>IFERROR(__xludf.DUMMYFUNCTION("""COMPUTED_VALUE"""),12.0)</f>
        <v>12</v>
      </c>
      <c r="AB133" s="402">
        <f>IFERROR(__xludf.DUMMYFUNCTION("""COMPUTED_VALUE"""),12.0)</f>
        <v>12</v>
      </c>
      <c r="AC133" s="402">
        <f>IFERROR(__xludf.DUMMYFUNCTION("""COMPUTED_VALUE"""),13.0)</f>
        <v>13</v>
      </c>
      <c r="AD133" s="402">
        <f>IFERROR(__xludf.DUMMYFUNCTION("""COMPUTED_VALUE"""),13.0)</f>
        <v>13</v>
      </c>
      <c r="AE133" s="402">
        <f>IFERROR(__xludf.DUMMYFUNCTION("""COMPUTED_VALUE"""),13.0)</f>
        <v>13</v>
      </c>
      <c r="AF133" s="402">
        <f>IFERROR(__xludf.DUMMYFUNCTION("""COMPUTED_VALUE"""),13.0)</f>
        <v>13</v>
      </c>
      <c r="AG133" s="402">
        <f>IFERROR(__xludf.DUMMYFUNCTION("""COMPUTED_VALUE"""),18.0)</f>
        <v>18</v>
      </c>
      <c r="AH133" s="402">
        <f>IFERROR(__xludf.DUMMYFUNCTION("""COMPUTED_VALUE"""),22.0)</f>
        <v>22</v>
      </c>
      <c r="AI133" s="385" t="str">
        <f>IFERROR(__xludf.DUMMYFUNCTION("""COMPUTED_VALUE"""),"持続型")</f>
        <v>持続型</v>
      </c>
      <c r="AJ133" s="399">
        <f>IFERROR(__xludf.DUMMYFUNCTION("""COMPUTED_VALUE"""),3.0)</f>
        <v>3</v>
      </c>
      <c r="AK133" s="400" t="str">
        <f>IFERROR(__xludf.DUMMYFUNCTION("""COMPUTED_VALUE"""),"効果値")</f>
        <v>効果値</v>
      </c>
      <c r="AL133" s="343">
        <f>IFERROR(__xludf.DUMMYFUNCTION("""COMPUTED_VALUE"""),7.0)</f>
        <v>7</v>
      </c>
      <c r="AM133" s="402">
        <f>IFERROR(__xludf.DUMMYFUNCTION("""COMPUTED_VALUE"""),7.0)</f>
        <v>7</v>
      </c>
      <c r="AN133" s="402">
        <f>IFERROR(__xludf.DUMMYFUNCTION("""COMPUTED_VALUE"""),8.0)</f>
        <v>8</v>
      </c>
      <c r="AO133" s="402">
        <f>IFERROR(__xludf.DUMMYFUNCTION("""COMPUTED_VALUE"""),8.0)</f>
        <v>8</v>
      </c>
      <c r="AP133" s="402">
        <f>IFERROR(__xludf.DUMMYFUNCTION("""COMPUTED_VALUE"""),8.0)</f>
        <v>8</v>
      </c>
      <c r="AQ133" s="402">
        <f>IFERROR(__xludf.DUMMYFUNCTION("""COMPUTED_VALUE"""),8.0)</f>
        <v>8</v>
      </c>
      <c r="AR133" s="402">
        <f>IFERROR(__xludf.DUMMYFUNCTION("""COMPUTED_VALUE"""),11.0)</f>
        <v>11</v>
      </c>
      <c r="AS133" s="402">
        <f>IFERROR(__xludf.DUMMYFUNCTION("""COMPUTED_VALUE"""),11.0)</f>
        <v>11</v>
      </c>
      <c r="AT133" s="385" t="str">
        <f>IFERROR(__xludf.DUMMYFUNCTION("""COMPUTED_VALUE"""),"超持続型")</f>
        <v>超持続型</v>
      </c>
      <c r="AU133" s="399">
        <f>IFERROR(__xludf.DUMMYFUNCTION("""COMPUTED_VALUE"""),3.0)</f>
        <v>3</v>
      </c>
      <c r="AV133" s="400" t="str">
        <f>IFERROR(__xludf.DUMMYFUNCTION("""COMPUTED_VALUE"""),"効果値")</f>
        <v>効果値</v>
      </c>
      <c r="AW133" s="403" t="str">
        <f>IFERROR(__xludf.DUMMYFUNCTION("""COMPUTED_VALUE"""),"-")</f>
        <v>-</v>
      </c>
      <c r="AX133" s="403" t="str">
        <f>IFERROR(__xludf.DUMMYFUNCTION("""COMPUTED_VALUE"""),"-")</f>
        <v>-</v>
      </c>
      <c r="AY133" s="403" t="str">
        <f>IFERROR(__xludf.DUMMYFUNCTION("""COMPUTED_VALUE"""),"-")</f>
        <v>-</v>
      </c>
      <c r="AZ133" s="403" t="str">
        <f>IFERROR(__xludf.DUMMYFUNCTION("""COMPUTED_VALUE"""),"-")</f>
        <v>-</v>
      </c>
      <c r="BA133" s="403" t="str">
        <f>IFERROR(__xludf.DUMMYFUNCTION("""COMPUTED_VALUE"""),"-")</f>
        <v>-</v>
      </c>
      <c r="BB133" s="343">
        <f>IFERROR(__xludf.DUMMYFUNCTION("""COMPUTED_VALUE"""),8.0)</f>
        <v>8</v>
      </c>
      <c r="BC133" s="343">
        <f>IFERROR(__xludf.DUMMYFUNCTION("""COMPUTED_VALUE"""),11.0)</f>
        <v>11</v>
      </c>
      <c r="BD133" s="343">
        <f>IFERROR(__xludf.DUMMYFUNCTION("""COMPUTED_VALUE"""),11.0)</f>
        <v>11</v>
      </c>
      <c r="BE133" s="385" t="str">
        <f>IFERROR(__xludf.DUMMYFUNCTION("""COMPUTED_VALUE"""),"ハイブリッド型")</f>
        <v>ハイブリッド型</v>
      </c>
      <c r="BF133" s="399">
        <f>IFERROR(__xludf.DUMMYFUNCTION("""COMPUTED_VALUE"""),3.0)</f>
        <v>3</v>
      </c>
      <c r="BG133" s="400" t="str">
        <f>IFERROR(__xludf.DUMMYFUNCTION("""COMPUTED_VALUE"""),"効果値")</f>
        <v>効果値</v>
      </c>
      <c r="BH133" s="411">
        <f>IFERROR(__xludf.DUMMYFUNCTION("""COMPUTED_VALUE"""),11.4)</f>
        <v>11.4</v>
      </c>
      <c r="BI133" s="412">
        <f>IFERROR(__xludf.DUMMYFUNCTION("""COMPUTED_VALUE"""),11.9)</f>
        <v>11.9</v>
      </c>
      <c r="BJ133" s="412">
        <f>IFERROR(__xludf.DUMMYFUNCTION("""COMPUTED_VALUE"""),12.5)</f>
        <v>12.5</v>
      </c>
      <c r="BK133" s="412">
        <f>IFERROR(__xludf.DUMMYFUNCTION("""COMPUTED_VALUE"""),13.0)</f>
        <v>13</v>
      </c>
      <c r="BL133" s="412">
        <f>IFERROR(__xludf.DUMMYFUNCTION("""COMPUTED_VALUE"""),13.5)</f>
        <v>13.5</v>
      </c>
      <c r="BM133" s="412">
        <f>IFERROR(__xludf.DUMMYFUNCTION("""COMPUTED_VALUE"""),18.5)</f>
        <v>18.5</v>
      </c>
      <c r="BN133" s="412">
        <f>IFERROR(__xludf.DUMMYFUNCTION("""COMPUTED_VALUE"""),23.0)</f>
        <v>23</v>
      </c>
      <c r="BO133" s="413">
        <f>IFERROR(__xludf.DUMMYFUNCTION("""COMPUTED_VALUE"""),27.0)</f>
        <v>27</v>
      </c>
    </row>
    <row r="134">
      <c r="A134" s="435" t="str">
        <f>IFERROR(__xludf.DUMMYFUNCTION("""COMPUTED_VALUE"""),"ダメージカット(赤)")</f>
        <v>ダメージカット(赤)</v>
      </c>
      <c r="B134" s="385" t="str">
        <f>IFERROR(__xludf.DUMMYFUNCTION("""COMPUTED_VALUE"""),"超瞬間型")</f>
        <v>超瞬間型</v>
      </c>
      <c r="C134" s="386">
        <f>IFERROR(__xludf.DUMMYFUNCTION("""COMPUTED_VALUE"""),3.0)</f>
        <v>3</v>
      </c>
      <c r="D134" s="387" t="str">
        <f>IFERROR(__xludf.DUMMYFUNCTION("""COMPUTED_VALUE"""),"効果時間")</f>
        <v>効果時間</v>
      </c>
      <c r="E134" s="388" t="str">
        <f>IFERROR(__xludf.DUMMYFUNCTION("""COMPUTED_VALUE"""),"-")</f>
        <v>-</v>
      </c>
      <c r="F134" s="389" t="str">
        <f>IFERROR(__xludf.DUMMYFUNCTION("""COMPUTED_VALUE"""),"-")</f>
        <v>-</v>
      </c>
      <c r="G134" s="388" t="str">
        <f>IFERROR(__xludf.DUMMYFUNCTION("""COMPUTED_VALUE"""),"-")</f>
        <v>-</v>
      </c>
      <c r="H134" s="389" t="str">
        <f>IFERROR(__xludf.DUMMYFUNCTION("""COMPUTED_VALUE"""),"-")</f>
        <v>-</v>
      </c>
      <c r="I134" s="388" t="str">
        <f>IFERROR(__xludf.DUMMYFUNCTION("""COMPUTED_VALUE"""),"-")</f>
        <v>-</v>
      </c>
      <c r="J134" s="390">
        <f>IFERROR(__xludf.DUMMYFUNCTION("""COMPUTED_VALUE"""),155.0)</f>
        <v>155</v>
      </c>
      <c r="K134" s="391">
        <f>IFERROR(__xludf.DUMMYFUNCTION("""COMPUTED_VALUE"""),165.0)</f>
        <v>165</v>
      </c>
      <c r="L134" s="340">
        <f>IFERROR(__xludf.DUMMYFUNCTION("""COMPUTED_VALUE"""),185.0)</f>
        <v>185</v>
      </c>
      <c r="M134" s="385" t="str">
        <f>IFERROR(__xludf.DUMMYFUNCTION("""COMPUTED_VALUE"""),"瞬間型")</f>
        <v>瞬間型</v>
      </c>
      <c r="N134" s="386">
        <f>IFERROR(__xludf.DUMMYFUNCTION("""COMPUTED_VALUE"""),3.0)</f>
        <v>3</v>
      </c>
      <c r="O134" s="387" t="str">
        <f>IFERROR(__xludf.DUMMYFUNCTION("""COMPUTED_VALUE"""),"効果時間")</f>
        <v>効果時間</v>
      </c>
      <c r="P134" s="392">
        <f>IFERROR(__xludf.DUMMYFUNCTION("""COMPUTED_VALUE"""),165.0)</f>
        <v>165</v>
      </c>
      <c r="Q134" s="414">
        <f>IFERROR(__xludf.DUMMYFUNCTION("""COMPUTED_VALUE"""),175.0)</f>
        <v>175</v>
      </c>
      <c r="R134" s="415">
        <f>IFERROR(__xludf.DUMMYFUNCTION("""COMPUTED_VALUE"""),180.0)</f>
        <v>180</v>
      </c>
      <c r="S134" s="393">
        <f>IFERROR(__xludf.DUMMYFUNCTION("""COMPUTED_VALUE"""),185.0)</f>
        <v>185</v>
      </c>
      <c r="T134" s="393">
        <f>IFERROR(__xludf.DUMMYFUNCTION("""COMPUTED_VALUE"""),195.0)</f>
        <v>195</v>
      </c>
      <c r="U134" s="414">
        <f>IFERROR(__xludf.DUMMYFUNCTION("""COMPUTED_VALUE"""),200.0)</f>
        <v>200</v>
      </c>
      <c r="V134" s="416">
        <f>IFERROR(__xludf.DUMMYFUNCTION("""COMPUTED_VALUE"""),255.0)</f>
        <v>255</v>
      </c>
      <c r="W134" s="415">
        <f>IFERROR(__xludf.DUMMYFUNCTION("""COMPUTED_VALUE"""),270.0)</f>
        <v>270</v>
      </c>
      <c r="X134" s="385" t="str">
        <f>IFERROR(__xludf.DUMMYFUNCTION("""COMPUTED_VALUE"""),"安定型")</f>
        <v>安定型</v>
      </c>
      <c r="Y134" s="386">
        <f>IFERROR(__xludf.DUMMYFUNCTION("""COMPUTED_VALUE"""),3.0)</f>
        <v>3</v>
      </c>
      <c r="Z134" s="387" t="str">
        <f>IFERROR(__xludf.DUMMYFUNCTION("""COMPUTED_VALUE"""),"効果時間")</f>
        <v>効果時間</v>
      </c>
      <c r="AA134" s="392">
        <f>IFERROR(__xludf.DUMMYFUNCTION("""COMPUTED_VALUE"""),315.0)</f>
        <v>315</v>
      </c>
      <c r="AB134" s="414">
        <f>IFERROR(__xludf.DUMMYFUNCTION("""COMPUTED_VALUE"""),325.0)</f>
        <v>325</v>
      </c>
      <c r="AC134" s="415">
        <f>IFERROR(__xludf.DUMMYFUNCTION("""COMPUTED_VALUE"""),330.0)</f>
        <v>330</v>
      </c>
      <c r="AD134" s="393">
        <f>IFERROR(__xludf.DUMMYFUNCTION("""COMPUTED_VALUE"""),335.0)</f>
        <v>335</v>
      </c>
      <c r="AE134" s="393">
        <f>IFERROR(__xludf.DUMMYFUNCTION("""COMPUTED_VALUE"""),345.0)</f>
        <v>345</v>
      </c>
      <c r="AF134" s="414">
        <f>IFERROR(__xludf.DUMMYFUNCTION("""COMPUTED_VALUE"""),370.0)</f>
        <v>370</v>
      </c>
      <c r="AG134" s="416">
        <f>IFERROR(__xludf.DUMMYFUNCTION("""COMPUTED_VALUE"""),405.0)</f>
        <v>405</v>
      </c>
      <c r="AH134" s="415">
        <f>IFERROR(__xludf.DUMMYFUNCTION("""COMPUTED_VALUE"""),420.0)</f>
        <v>420</v>
      </c>
      <c r="AI134" s="385" t="str">
        <f>IFERROR(__xludf.DUMMYFUNCTION("""COMPUTED_VALUE"""),"持続型")</f>
        <v>持続型</v>
      </c>
      <c r="AJ134" s="386">
        <f>IFERROR(__xludf.DUMMYFUNCTION("""COMPUTED_VALUE"""),3.0)</f>
        <v>3</v>
      </c>
      <c r="AK134" s="387" t="str">
        <f>IFERROR(__xludf.DUMMYFUNCTION("""COMPUTED_VALUE"""),"効果時間")</f>
        <v>効果時間</v>
      </c>
      <c r="AL134" s="392">
        <f>IFERROR(__xludf.DUMMYFUNCTION("""COMPUTED_VALUE"""),465.0)</f>
        <v>465</v>
      </c>
      <c r="AM134" s="414">
        <f>IFERROR(__xludf.DUMMYFUNCTION("""COMPUTED_VALUE"""),475.0)</f>
        <v>475</v>
      </c>
      <c r="AN134" s="415">
        <f>IFERROR(__xludf.DUMMYFUNCTION("""COMPUTED_VALUE"""),480.0)</f>
        <v>480</v>
      </c>
      <c r="AO134" s="393">
        <f>IFERROR(__xludf.DUMMYFUNCTION("""COMPUTED_VALUE"""),485.0)</f>
        <v>485</v>
      </c>
      <c r="AP134" s="393">
        <f>IFERROR(__xludf.DUMMYFUNCTION("""COMPUTED_VALUE"""),495.0)</f>
        <v>495</v>
      </c>
      <c r="AQ134" s="414">
        <f>IFERROR(__xludf.DUMMYFUNCTION("""COMPUTED_VALUE"""),520.0)</f>
        <v>520</v>
      </c>
      <c r="AR134" s="416">
        <f>IFERROR(__xludf.DUMMYFUNCTION("""COMPUTED_VALUE"""),555.0)</f>
        <v>555</v>
      </c>
      <c r="AS134" s="415">
        <f>IFERROR(__xludf.DUMMYFUNCTION("""COMPUTED_VALUE"""),570.0)</f>
        <v>570</v>
      </c>
      <c r="AT134" s="385" t="str">
        <f>IFERROR(__xludf.DUMMYFUNCTION("""COMPUTED_VALUE"""),"超持続型")</f>
        <v>超持続型</v>
      </c>
      <c r="AU134" s="386">
        <f>IFERROR(__xludf.DUMMYFUNCTION("""COMPUTED_VALUE"""),3.0)</f>
        <v>3</v>
      </c>
      <c r="AV134" s="387" t="str">
        <f>IFERROR(__xludf.DUMMYFUNCTION("""COMPUTED_VALUE"""),"効果時間")</f>
        <v>効果時間</v>
      </c>
      <c r="AW134" s="368" t="str">
        <f>IFERROR(__xludf.DUMMYFUNCTION("""COMPUTED_VALUE"""),"-")</f>
        <v>-</v>
      </c>
      <c r="AX134" s="368" t="str">
        <f>IFERROR(__xludf.DUMMYFUNCTION("""COMPUTED_VALUE"""),"-")</f>
        <v>-</v>
      </c>
      <c r="AY134" s="368" t="str">
        <f>IFERROR(__xludf.DUMMYFUNCTION("""COMPUTED_VALUE"""),"-")</f>
        <v>-</v>
      </c>
      <c r="AZ134" s="368" t="str">
        <f>IFERROR(__xludf.DUMMYFUNCTION("""COMPUTED_VALUE"""),"-")</f>
        <v>-</v>
      </c>
      <c r="BA134" s="368" t="str">
        <f>IFERROR(__xludf.DUMMYFUNCTION("""COMPUTED_VALUE"""),"-")</f>
        <v>-</v>
      </c>
      <c r="BB134" s="280">
        <f>IFERROR(__xludf.DUMMYFUNCTION("""COMPUTED_VALUE"""),635.0)</f>
        <v>635</v>
      </c>
      <c r="BC134" s="280">
        <f>IFERROR(__xludf.DUMMYFUNCTION("""COMPUTED_VALUE"""),705.0)</f>
        <v>705</v>
      </c>
      <c r="BD134" s="280">
        <f>IFERROR(__xludf.DUMMYFUNCTION("""COMPUTED_VALUE"""),720.0)</f>
        <v>720</v>
      </c>
      <c r="BE134" s="385" t="str">
        <f>IFERROR(__xludf.DUMMYFUNCTION("""COMPUTED_VALUE"""),"ハイブリッド型")</f>
        <v>ハイブリッド型</v>
      </c>
      <c r="BF134" s="386">
        <f>IFERROR(__xludf.DUMMYFUNCTION("""COMPUTED_VALUE"""),3.0)</f>
        <v>3</v>
      </c>
      <c r="BG134" s="387" t="str">
        <f>IFERROR(__xludf.DUMMYFUNCTION("""COMPUTED_VALUE"""),"効果時間")</f>
        <v>効果時間</v>
      </c>
      <c r="BH134" s="407">
        <f>IFERROR(__xludf.DUMMYFUNCTION("""COMPUTED_VALUE"""),220.0)</f>
        <v>220</v>
      </c>
      <c r="BI134" s="407">
        <f>IFERROR(__xludf.DUMMYFUNCTION("""COMPUTED_VALUE"""),235.0)</f>
        <v>235</v>
      </c>
      <c r="BJ134" s="407">
        <f>IFERROR(__xludf.DUMMYFUNCTION("""COMPUTED_VALUE"""),240.0)</f>
        <v>240</v>
      </c>
      <c r="BK134" s="408">
        <f>IFERROR(__xludf.DUMMYFUNCTION("""COMPUTED_VALUE"""),250.0)</f>
        <v>250</v>
      </c>
      <c r="BL134" s="407">
        <f>IFERROR(__xludf.DUMMYFUNCTION("""COMPUTED_VALUE"""),255.0)</f>
        <v>255</v>
      </c>
      <c r="BM134" s="408">
        <f>IFERROR(__xludf.DUMMYFUNCTION("""COMPUTED_VALUE"""),385.0)</f>
        <v>385</v>
      </c>
      <c r="BN134" s="407">
        <f>IFERROR(__xludf.DUMMYFUNCTION("""COMPUTED_VALUE"""),490.0)</f>
        <v>490</v>
      </c>
      <c r="BO134" s="408">
        <f>IFERROR(__xludf.DUMMYFUNCTION("""COMPUTED_VALUE"""),505.0)</f>
        <v>505</v>
      </c>
    </row>
    <row r="135">
      <c r="A135" s="435" t="str">
        <f>IFERROR(__xludf.DUMMYFUNCTION("""COMPUTED_VALUE"""),"ダメージカット(赤)")</f>
        <v>ダメージカット(赤)</v>
      </c>
      <c r="B135" s="385" t="str">
        <f>IFERROR(__xludf.DUMMYFUNCTION("""COMPUTED_VALUE"""),"超瞬間型")</f>
        <v>超瞬間型</v>
      </c>
      <c r="C135" s="399">
        <f>IFERROR(__xludf.DUMMYFUNCTION("""COMPUTED_VALUE"""),4.0)</f>
        <v>4</v>
      </c>
      <c r="D135" s="400" t="str">
        <f>IFERROR(__xludf.DUMMYFUNCTION("""COMPUTED_VALUE"""),"効果値")</f>
        <v>効果値</v>
      </c>
      <c r="E135" s="401" t="str">
        <f>IFERROR(__xludf.DUMMYFUNCTION("""COMPUTED_VALUE"""),"-")</f>
        <v>-</v>
      </c>
      <c r="F135" s="409" t="str">
        <f>IFERROR(__xludf.DUMMYFUNCTION("""COMPUTED_VALUE"""),"-")</f>
        <v>-</v>
      </c>
      <c r="G135" s="409" t="str">
        <f>IFERROR(__xludf.DUMMYFUNCTION("""COMPUTED_VALUE"""),"-")</f>
        <v>-</v>
      </c>
      <c r="H135" s="409" t="str">
        <f>IFERROR(__xludf.DUMMYFUNCTION("""COMPUTED_VALUE"""),"-")</f>
        <v>-</v>
      </c>
      <c r="I135" s="409" t="str">
        <f>IFERROR(__xludf.DUMMYFUNCTION("""COMPUTED_VALUE"""),"-")</f>
        <v>-</v>
      </c>
      <c r="J135" s="410">
        <f>IFERROR(__xludf.DUMMYFUNCTION("""COMPUTED_VALUE"""),59.0)</f>
        <v>59</v>
      </c>
      <c r="K135" s="410">
        <f>IFERROR(__xludf.DUMMYFUNCTION("""COMPUTED_VALUE"""),69.0)</f>
        <v>69</v>
      </c>
      <c r="L135" s="410">
        <f>IFERROR(__xludf.DUMMYFUNCTION("""COMPUTED_VALUE"""),74.0)</f>
        <v>74</v>
      </c>
      <c r="M135" s="385" t="str">
        <f>IFERROR(__xludf.DUMMYFUNCTION("""COMPUTED_VALUE"""),"瞬間型")</f>
        <v>瞬間型</v>
      </c>
      <c r="N135" s="399">
        <f>IFERROR(__xludf.DUMMYFUNCTION("""COMPUTED_VALUE"""),4.0)</f>
        <v>4</v>
      </c>
      <c r="O135" s="400" t="str">
        <f>IFERROR(__xludf.DUMMYFUNCTION("""COMPUTED_VALUE"""),"効果値")</f>
        <v>効果値</v>
      </c>
      <c r="P135" s="343">
        <f>IFERROR(__xludf.DUMMYFUNCTION("""COMPUTED_VALUE"""),23.0)</f>
        <v>23</v>
      </c>
      <c r="Q135" s="402">
        <f>IFERROR(__xludf.DUMMYFUNCTION("""COMPUTED_VALUE"""),23.0)</f>
        <v>23</v>
      </c>
      <c r="R135" s="343">
        <f>IFERROR(__xludf.DUMMYFUNCTION("""COMPUTED_VALUE"""),23.0)</f>
        <v>23</v>
      </c>
      <c r="S135" s="402">
        <f>IFERROR(__xludf.DUMMYFUNCTION("""COMPUTED_VALUE"""),23.0)</f>
        <v>23</v>
      </c>
      <c r="T135" s="343">
        <f>IFERROR(__xludf.DUMMYFUNCTION("""COMPUTED_VALUE"""),23.0)</f>
        <v>23</v>
      </c>
      <c r="U135" s="343">
        <f>IFERROR(__xludf.DUMMYFUNCTION("""COMPUTED_VALUE"""),29.0)</f>
        <v>29</v>
      </c>
      <c r="V135" s="343">
        <f>IFERROR(__xludf.DUMMYFUNCTION("""COMPUTED_VALUE"""),34.0)</f>
        <v>34</v>
      </c>
      <c r="W135" s="343">
        <f>IFERROR(__xludf.DUMMYFUNCTION("""COMPUTED_VALUE"""),39.0)</f>
        <v>39</v>
      </c>
      <c r="X135" s="385" t="str">
        <f>IFERROR(__xludf.DUMMYFUNCTION("""COMPUTED_VALUE"""),"安定型")</f>
        <v>安定型</v>
      </c>
      <c r="Y135" s="399">
        <f>IFERROR(__xludf.DUMMYFUNCTION("""COMPUTED_VALUE"""),4.0)</f>
        <v>4</v>
      </c>
      <c r="Z135" s="400" t="str">
        <f>IFERROR(__xludf.DUMMYFUNCTION("""COMPUTED_VALUE"""),"効果値")</f>
        <v>効果値</v>
      </c>
      <c r="AA135" s="343">
        <f>IFERROR(__xludf.DUMMYFUNCTION("""COMPUTED_VALUE"""),13.0)</f>
        <v>13</v>
      </c>
      <c r="AB135" s="402">
        <f>IFERROR(__xludf.DUMMYFUNCTION("""COMPUTED_VALUE"""),13.0)</f>
        <v>13</v>
      </c>
      <c r="AC135" s="343">
        <f>IFERROR(__xludf.DUMMYFUNCTION("""COMPUTED_VALUE"""),13.0)</f>
        <v>13</v>
      </c>
      <c r="AD135" s="402">
        <f>IFERROR(__xludf.DUMMYFUNCTION("""COMPUTED_VALUE"""),13.0)</f>
        <v>13</v>
      </c>
      <c r="AE135" s="343">
        <f>IFERROR(__xludf.DUMMYFUNCTION("""COMPUTED_VALUE"""),13.0)</f>
        <v>13</v>
      </c>
      <c r="AF135" s="343">
        <f>IFERROR(__xludf.DUMMYFUNCTION("""COMPUTED_VALUE"""),14.0)</f>
        <v>14</v>
      </c>
      <c r="AG135" s="343">
        <f>IFERROR(__xludf.DUMMYFUNCTION("""COMPUTED_VALUE"""),19.0)</f>
        <v>19</v>
      </c>
      <c r="AH135" s="343">
        <f>IFERROR(__xludf.DUMMYFUNCTION("""COMPUTED_VALUE"""),24.0)</f>
        <v>24</v>
      </c>
      <c r="AI135" s="385" t="str">
        <f>IFERROR(__xludf.DUMMYFUNCTION("""COMPUTED_VALUE"""),"持続型")</f>
        <v>持続型</v>
      </c>
      <c r="AJ135" s="399">
        <f>IFERROR(__xludf.DUMMYFUNCTION("""COMPUTED_VALUE"""),4.0)</f>
        <v>4</v>
      </c>
      <c r="AK135" s="400" t="str">
        <f>IFERROR(__xludf.DUMMYFUNCTION("""COMPUTED_VALUE"""),"効果値")</f>
        <v>効果値</v>
      </c>
      <c r="AL135" s="343">
        <f>IFERROR(__xludf.DUMMYFUNCTION("""COMPUTED_VALUE"""),8.0)</f>
        <v>8</v>
      </c>
      <c r="AM135" s="402">
        <f>IFERROR(__xludf.DUMMYFUNCTION("""COMPUTED_VALUE"""),8.0)</f>
        <v>8</v>
      </c>
      <c r="AN135" s="343">
        <f>IFERROR(__xludf.DUMMYFUNCTION("""COMPUTED_VALUE"""),8.0)</f>
        <v>8</v>
      </c>
      <c r="AO135" s="402">
        <f>IFERROR(__xludf.DUMMYFUNCTION("""COMPUTED_VALUE"""),8.0)</f>
        <v>8</v>
      </c>
      <c r="AP135" s="343">
        <f>IFERROR(__xludf.DUMMYFUNCTION("""COMPUTED_VALUE"""),8.0)</f>
        <v>8</v>
      </c>
      <c r="AQ135" s="343">
        <f>IFERROR(__xludf.DUMMYFUNCTION("""COMPUTED_VALUE"""),9.0)</f>
        <v>9</v>
      </c>
      <c r="AR135" s="343">
        <f>IFERROR(__xludf.DUMMYFUNCTION("""COMPUTED_VALUE"""),12.0)</f>
        <v>12</v>
      </c>
      <c r="AS135" s="343">
        <f>IFERROR(__xludf.DUMMYFUNCTION("""COMPUTED_VALUE"""),12.0)</f>
        <v>12</v>
      </c>
      <c r="AT135" s="385" t="str">
        <f>IFERROR(__xludf.DUMMYFUNCTION("""COMPUTED_VALUE"""),"超持続型")</f>
        <v>超持続型</v>
      </c>
      <c r="AU135" s="399">
        <f>IFERROR(__xludf.DUMMYFUNCTION("""COMPUTED_VALUE"""),4.0)</f>
        <v>4</v>
      </c>
      <c r="AV135" s="400" t="str">
        <f>IFERROR(__xludf.DUMMYFUNCTION("""COMPUTED_VALUE"""),"効果値")</f>
        <v>効果値</v>
      </c>
      <c r="AW135" s="403" t="str">
        <f>IFERROR(__xludf.DUMMYFUNCTION("""COMPUTED_VALUE"""),"-")</f>
        <v>-</v>
      </c>
      <c r="AX135" s="403" t="str">
        <f>IFERROR(__xludf.DUMMYFUNCTION("""COMPUTED_VALUE"""),"-")</f>
        <v>-</v>
      </c>
      <c r="AY135" s="403" t="str">
        <f>IFERROR(__xludf.DUMMYFUNCTION("""COMPUTED_VALUE"""),"-")</f>
        <v>-</v>
      </c>
      <c r="AZ135" s="403" t="str">
        <f>IFERROR(__xludf.DUMMYFUNCTION("""COMPUTED_VALUE"""),"-")</f>
        <v>-</v>
      </c>
      <c r="BA135" s="403" t="str">
        <f>IFERROR(__xludf.DUMMYFUNCTION("""COMPUTED_VALUE"""),"-")</f>
        <v>-</v>
      </c>
      <c r="BB135" s="343">
        <f>IFERROR(__xludf.DUMMYFUNCTION("""COMPUTED_VALUE"""),9.0)</f>
        <v>9</v>
      </c>
      <c r="BC135" s="343">
        <f>IFERROR(__xludf.DUMMYFUNCTION("""COMPUTED_VALUE"""),12.0)</f>
        <v>12</v>
      </c>
      <c r="BD135" s="343">
        <f>IFERROR(__xludf.DUMMYFUNCTION("""COMPUTED_VALUE"""),12.0)</f>
        <v>12</v>
      </c>
      <c r="BE135" s="385" t="str">
        <f>IFERROR(__xludf.DUMMYFUNCTION("""COMPUTED_VALUE"""),"ハイブリッド型")</f>
        <v>ハイブリッド型</v>
      </c>
      <c r="BF135" s="399">
        <f>IFERROR(__xludf.DUMMYFUNCTION("""COMPUTED_VALUE"""),4.0)</f>
        <v>4</v>
      </c>
      <c r="BG135" s="400" t="str">
        <f>IFERROR(__xludf.DUMMYFUNCTION("""COMPUTED_VALUE"""),"効果値")</f>
        <v>効果値</v>
      </c>
      <c r="BH135" s="411">
        <f>IFERROR(__xludf.DUMMYFUNCTION("""COMPUTED_VALUE"""),11.8)</f>
        <v>11.8</v>
      </c>
      <c r="BI135" s="412">
        <f>IFERROR(__xludf.DUMMYFUNCTION("""COMPUTED_VALUE"""),12.4)</f>
        <v>12.4</v>
      </c>
      <c r="BJ135" s="412">
        <f>IFERROR(__xludf.DUMMYFUNCTION("""COMPUTED_VALUE"""),13.1)</f>
        <v>13.1</v>
      </c>
      <c r="BK135" s="412">
        <f>IFERROR(__xludf.DUMMYFUNCTION("""COMPUTED_VALUE"""),13.7)</f>
        <v>13.7</v>
      </c>
      <c r="BL135" s="412">
        <f>IFERROR(__xludf.DUMMYFUNCTION("""COMPUTED_VALUE"""),14.4)</f>
        <v>14.4</v>
      </c>
      <c r="BM135" s="412">
        <f>IFERROR(__xludf.DUMMYFUNCTION("""COMPUTED_VALUE"""),19.4)</f>
        <v>19.4</v>
      </c>
      <c r="BN135" s="412">
        <f>IFERROR(__xludf.DUMMYFUNCTION("""COMPUTED_VALUE"""),24.0)</f>
        <v>24</v>
      </c>
      <c r="BO135" s="413">
        <f>IFERROR(__xludf.DUMMYFUNCTION("""COMPUTED_VALUE"""),29.0)</f>
        <v>29</v>
      </c>
    </row>
    <row r="136">
      <c r="A136" s="435" t="str">
        <f>IFERROR(__xludf.DUMMYFUNCTION("""COMPUTED_VALUE"""),"ダメージカット(赤)")</f>
        <v>ダメージカット(赤)</v>
      </c>
      <c r="B136" s="385" t="str">
        <f>IFERROR(__xludf.DUMMYFUNCTION("""COMPUTED_VALUE"""),"超瞬間型")</f>
        <v>超瞬間型</v>
      </c>
      <c r="C136" s="386">
        <f>IFERROR(__xludf.DUMMYFUNCTION("""COMPUTED_VALUE"""),4.0)</f>
        <v>4</v>
      </c>
      <c r="D136" s="387" t="str">
        <f>IFERROR(__xludf.DUMMYFUNCTION("""COMPUTED_VALUE"""),"効果時間")</f>
        <v>効果時間</v>
      </c>
      <c r="E136" s="388" t="str">
        <f>IFERROR(__xludf.DUMMYFUNCTION("""COMPUTED_VALUE"""),"-")</f>
        <v>-</v>
      </c>
      <c r="F136" s="389" t="str">
        <f>IFERROR(__xludf.DUMMYFUNCTION("""COMPUTED_VALUE"""),"-")</f>
        <v>-</v>
      </c>
      <c r="G136" s="388" t="str">
        <f>IFERROR(__xludf.DUMMYFUNCTION("""COMPUTED_VALUE"""),"-")</f>
        <v>-</v>
      </c>
      <c r="H136" s="389" t="str">
        <f>IFERROR(__xludf.DUMMYFUNCTION("""COMPUTED_VALUE"""),"-")</f>
        <v>-</v>
      </c>
      <c r="I136" s="388" t="str">
        <f>IFERROR(__xludf.DUMMYFUNCTION("""COMPUTED_VALUE"""),"-")</f>
        <v>-</v>
      </c>
      <c r="J136" s="390">
        <f>IFERROR(__xludf.DUMMYFUNCTION("""COMPUTED_VALUE"""),155.0)</f>
        <v>155</v>
      </c>
      <c r="K136" s="391">
        <f>IFERROR(__xludf.DUMMYFUNCTION("""COMPUTED_VALUE"""),170.0)</f>
        <v>170</v>
      </c>
      <c r="L136" s="340">
        <f>IFERROR(__xludf.DUMMYFUNCTION("""COMPUTED_VALUE"""),195.0)</f>
        <v>195</v>
      </c>
      <c r="M136" s="385" t="str">
        <f>IFERROR(__xludf.DUMMYFUNCTION("""COMPUTED_VALUE"""),"瞬間型")</f>
        <v>瞬間型</v>
      </c>
      <c r="N136" s="386">
        <f>IFERROR(__xludf.DUMMYFUNCTION("""COMPUTED_VALUE"""),4.0)</f>
        <v>4</v>
      </c>
      <c r="O136" s="387" t="str">
        <f>IFERROR(__xludf.DUMMYFUNCTION("""COMPUTED_VALUE"""),"効果時間")</f>
        <v>効果時間</v>
      </c>
      <c r="P136" s="280">
        <f>IFERROR(__xludf.DUMMYFUNCTION("""COMPUTED_VALUE"""),170.0)</f>
        <v>170</v>
      </c>
      <c r="Q136" s="275">
        <f>IFERROR(__xludf.DUMMYFUNCTION("""COMPUTED_VALUE"""),180.0)</f>
        <v>180</v>
      </c>
      <c r="R136" s="280">
        <f>IFERROR(__xludf.DUMMYFUNCTION("""COMPUTED_VALUE"""),185.0)</f>
        <v>185</v>
      </c>
      <c r="S136" s="275">
        <f>IFERROR(__xludf.DUMMYFUNCTION("""COMPUTED_VALUE"""),195.0)</f>
        <v>195</v>
      </c>
      <c r="T136" s="280">
        <f>IFERROR(__xludf.DUMMYFUNCTION("""COMPUTED_VALUE"""),200.0)</f>
        <v>200</v>
      </c>
      <c r="U136" s="280">
        <f>IFERROR(__xludf.DUMMYFUNCTION("""COMPUTED_VALUE"""),215.0)</f>
        <v>215</v>
      </c>
      <c r="V136" s="280">
        <f>IFERROR(__xludf.DUMMYFUNCTION("""COMPUTED_VALUE"""),285.0)</f>
        <v>285</v>
      </c>
      <c r="W136" s="280">
        <f>IFERROR(__xludf.DUMMYFUNCTION("""COMPUTED_VALUE"""),305.0)</f>
        <v>305</v>
      </c>
      <c r="X136" s="385" t="str">
        <f>IFERROR(__xludf.DUMMYFUNCTION("""COMPUTED_VALUE"""),"安定型")</f>
        <v>安定型</v>
      </c>
      <c r="Y136" s="386">
        <f>IFERROR(__xludf.DUMMYFUNCTION("""COMPUTED_VALUE"""),4.0)</f>
        <v>4</v>
      </c>
      <c r="Z136" s="387" t="str">
        <f>IFERROR(__xludf.DUMMYFUNCTION("""COMPUTED_VALUE"""),"効果時間")</f>
        <v>効果時間</v>
      </c>
      <c r="AA136" s="280">
        <f>IFERROR(__xludf.DUMMYFUNCTION("""COMPUTED_VALUE"""),320.0)</f>
        <v>320</v>
      </c>
      <c r="AB136" s="275">
        <f>IFERROR(__xludf.DUMMYFUNCTION("""COMPUTED_VALUE"""),330.0)</f>
        <v>330</v>
      </c>
      <c r="AC136" s="280">
        <f>IFERROR(__xludf.DUMMYFUNCTION("""COMPUTED_VALUE"""),335.0)</f>
        <v>335</v>
      </c>
      <c r="AD136" s="275">
        <f>IFERROR(__xludf.DUMMYFUNCTION("""COMPUTED_VALUE"""),345.0)</f>
        <v>345</v>
      </c>
      <c r="AE136" s="280">
        <f>IFERROR(__xludf.DUMMYFUNCTION("""COMPUTED_VALUE"""),350.0)</f>
        <v>350</v>
      </c>
      <c r="AF136" s="280">
        <f>IFERROR(__xludf.DUMMYFUNCTION("""COMPUTED_VALUE"""),390.0)</f>
        <v>390</v>
      </c>
      <c r="AG136" s="280">
        <f>IFERROR(__xludf.DUMMYFUNCTION("""COMPUTED_VALUE"""),435.0)</f>
        <v>435</v>
      </c>
      <c r="AH136" s="280">
        <f>IFERROR(__xludf.DUMMYFUNCTION("""COMPUTED_VALUE"""),455.0)</f>
        <v>455</v>
      </c>
      <c r="AI136" s="385" t="str">
        <f>IFERROR(__xludf.DUMMYFUNCTION("""COMPUTED_VALUE"""),"持続型")</f>
        <v>持続型</v>
      </c>
      <c r="AJ136" s="386">
        <f>IFERROR(__xludf.DUMMYFUNCTION("""COMPUTED_VALUE"""),4.0)</f>
        <v>4</v>
      </c>
      <c r="AK136" s="387" t="str">
        <f>IFERROR(__xludf.DUMMYFUNCTION("""COMPUTED_VALUE"""),"効果時間")</f>
        <v>効果時間</v>
      </c>
      <c r="AL136" s="280">
        <f>IFERROR(__xludf.DUMMYFUNCTION("""COMPUTED_VALUE"""),470.0)</f>
        <v>470</v>
      </c>
      <c r="AM136" s="275">
        <f>IFERROR(__xludf.DUMMYFUNCTION("""COMPUTED_VALUE"""),480.0)</f>
        <v>480</v>
      </c>
      <c r="AN136" s="280">
        <f>IFERROR(__xludf.DUMMYFUNCTION("""COMPUTED_VALUE"""),485.0)</f>
        <v>485</v>
      </c>
      <c r="AO136" s="275">
        <f>IFERROR(__xludf.DUMMYFUNCTION("""COMPUTED_VALUE"""),495.0)</f>
        <v>495</v>
      </c>
      <c r="AP136" s="280">
        <f>IFERROR(__xludf.DUMMYFUNCTION("""COMPUTED_VALUE"""),500.0)</f>
        <v>500</v>
      </c>
      <c r="AQ136" s="280">
        <f>IFERROR(__xludf.DUMMYFUNCTION("""COMPUTED_VALUE"""),540.0)</f>
        <v>540</v>
      </c>
      <c r="AR136" s="280">
        <f>IFERROR(__xludf.DUMMYFUNCTION("""COMPUTED_VALUE"""),585.0)</f>
        <v>585</v>
      </c>
      <c r="AS136" s="280">
        <f>IFERROR(__xludf.DUMMYFUNCTION("""COMPUTED_VALUE"""),605.0)</f>
        <v>605</v>
      </c>
      <c r="AT136" s="385" t="str">
        <f>IFERROR(__xludf.DUMMYFUNCTION("""COMPUTED_VALUE"""),"超持続型")</f>
        <v>超持続型</v>
      </c>
      <c r="AU136" s="386">
        <f>IFERROR(__xludf.DUMMYFUNCTION("""COMPUTED_VALUE"""),4.0)</f>
        <v>4</v>
      </c>
      <c r="AV136" s="387" t="str">
        <f>IFERROR(__xludf.DUMMYFUNCTION("""COMPUTED_VALUE"""),"効果時間")</f>
        <v>効果時間</v>
      </c>
      <c r="AW136" s="368" t="str">
        <f>IFERROR(__xludf.DUMMYFUNCTION("""COMPUTED_VALUE"""),"-")</f>
        <v>-</v>
      </c>
      <c r="AX136" s="368" t="str">
        <f>IFERROR(__xludf.DUMMYFUNCTION("""COMPUTED_VALUE"""),"-")</f>
        <v>-</v>
      </c>
      <c r="AY136" s="368" t="str">
        <f>IFERROR(__xludf.DUMMYFUNCTION("""COMPUTED_VALUE"""),"-")</f>
        <v>-</v>
      </c>
      <c r="AZ136" s="368" t="str">
        <f>IFERROR(__xludf.DUMMYFUNCTION("""COMPUTED_VALUE"""),"-")</f>
        <v>-</v>
      </c>
      <c r="BA136" s="368" t="str">
        <f>IFERROR(__xludf.DUMMYFUNCTION("""COMPUTED_VALUE"""),"-")</f>
        <v>-</v>
      </c>
      <c r="BB136" s="280">
        <f>IFERROR(__xludf.DUMMYFUNCTION("""COMPUTED_VALUE"""),645.0)</f>
        <v>645</v>
      </c>
      <c r="BC136" s="280">
        <f>IFERROR(__xludf.DUMMYFUNCTION("""COMPUTED_VALUE"""),735.0)</f>
        <v>735</v>
      </c>
      <c r="BD136" s="280">
        <f>IFERROR(__xludf.DUMMYFUNCTION("""COMPUTED_VALUE"""),755.0)</f>
        <v>755</v>
      </c>
      <c r="BE136" s="385" t="str">
        <f>IFERROR(__xludf.DUMMYFUNCTION("""COMPUTED_VALUE"""),"ハイブリッド型")</f>
        <v>ハイブリッド型</v>
      </c>
      <c r="BF136" s="386">
        <f>IFERROR(__xludf.DUMMYFUNCTION("""COMPUTED_VALUE"""),4.0)</f>
        <v>4</v>
      </c>
      <c r="BG136" s="387" t="str">
        <f>IFERROR(__xludf.DUMMYFUNCTION("""COMPUTED_VALUE"""),"効果時間")</f>
        <v>効果時間</v>
      </c>
      <c r="BH136" s="417">
        <f>IFERROR(__xludf.DUMMYFUNCTION("""COMPUTED_VALUE"""),240.0)</f>
        <v>240</v>
      </c>
      <c r="BI136" s="417">
        <f>IFERROR(__xludf.DUMMYFUNCTION("""COMPUTED_VALUE"""),255.0)</f>
        <v>255</v>
      </c>
      <c r="BJ136" s="417">
        <f>IFERROR(__xludf.DUMMYFUNCTION("""COMPUTED_VALUE"""),265.0)</f>
        <v>265</v>
      </c>
      <c r="BK136" s="418">
        <f>IFERROR(__xludf.DUMMYFUNCTION("""COMPUTED_VALUE"""),275.0)</f>
        <v>275</v>
      </c>
      <c r="BL136" s="417">
        <f>IFERROR(__xludf.DUMMYFUNCTION("""COMPUTED_VALUE"""),285.0)</f>
        <v>285</v>
      </c>
      <c r="BM136" s="418">
        <f>IFERROR(__xludf.DUMMYFUNCTION("""COMPUTED_VALUE"""),395.0)</f>
        <v>395</v>
      </c>
      <c r="BN136" s="417">
        <f>IFERROR(__xludf.DUMMYFUNCTION("""COMPUTED_VALUE"""),500.0)</f>
        <v>500</v>
      </c>
      <c r="BO136" s="418">
        <f>IFERROR(__xludf.DUMMYFUNCTION("""COMPUTED_VALUE"""),520.0)</f>
        <v>520</v>
      </c>
    </row>
    <row r="137">
      <c r="A137" s="435" t="str">
        <f>IFERROR(__xludf.DUMMYFUNCTION("""COMPUTED_VALUE"""),"ダメージカット(赤)")</f>
        <v>ダメージカット(赤)</v>
      </c>
      <c r="B137" s="385" t="str">
        <f>IFERROR(__xludf.DUMMYFUNCTION("""COMPUTED_VALUE"""),"超瞬間型")</f>
        <v>超瞬間型</v>
      </c>
      <c r="C137" s="399">
        <f>IFERROR(__xludf.DUMMYFUNCTION("""COMPUTED_VALUE"""),5.0)</f>
        <v>5</v>
      </c>
      <c r="D137" s="400" t="str">
        <f>IFERROR(__xludf.DUMMYFUNCTION("""COMPUTED_VALUE"""),"効果値")</f>
        <v>効果値</v>
      </c>
      <c r="E137" s="419" t="str">
        <f>IFERROR(__xludf.DUMMYFUNCTION("""COMPUTED_VALUE"""),"-")</f>
        <v>-</v>
      </c>
      <c r="F137" s="409" t="str">
        <f>IFERROR(__xludf.DUMMYFUNCTION("""COMPUTED_VALUE"""),"-")</f>
        <v>-</v>
      </c>
      <c r="G137" s="409" t="str">
        <f>IFERROR(__xludf.DUMMYFUNCTION("""COMPUTED_VALUE"""),"-")</f>
        <v>-</v>
      </c>
      <c r="H137" s="409" t="str">
        <f>IFERROR(__xludf.DUMMYFUNCTION("""COMPUTED_VALUE"""),"-")</f>
        <v>-</v>
      </c>
      <c r="I137" s="409" t="str">
        <f>IFERROR(__xludf.DUMMYFUNCTION("""COMPUTED_VALUE"""),"-")</f>
        <v>-</v>
      </c>
      <c r="J137" s="420">
        <f>IFERROR(__xludf.DUMMYFUNCTION("""COMPUTED_VALUE"""),60.0)</f>
        <v>60</v>
      </c>
      <c r="K137" s="421">
        <f>IFERROR(__xludf.DUMMYFUNCTION("""COMPUTED_VALUE"""),70.0)</f>
        <v>70</v>
      </c>
      <c r="L137" s="421">
        <f>IFERROR(__xludf.DUMMYFUNCTION("""COMPUTED_VALUE"""),75.0)</f>
        <v>75</v>
      </c>
      <c r="M137" s="385" t="str">
        <f>IFERROR(__xludf.DUMMYFUNCTION("""COMPUTED_VALUE"""),"瞬間型")</f>
        <v>瞬間型</v>
      </c>
      <c r="N137" s="399">
        <f>IFERROR(__xludf.DUMMYFUNCTION("""COMPUTED_VALUE"""),5.0)</f>
        <v>5</v>
      </c>
      <c r="O137" s="400" t="str">
        <f>IFERROR(__xludf.DUMMYFUNCTION("""COMPUTED_VALUE"""),"効果値")</f>
        <v>効果値</v>
      </c>
      <c r="P137" s="422">
        <f>IFERROR(__xludf.DUMMYFUNCTION("""COMPUTED_VALUE"""),23.0)</f>
        <v>23</v>
      </c>
      <c r="Q137" s="423">
        <f>IFERROR(__xludf.DUMMYFUNCTION("""COMPUTED_VALUE"""),23.0)</f>
        <v>23</v>
      </c>
      <c r="R137" s="422">
        <f>IFERROR(__xludf.DUMMYFUNCTION("""COMPUTED_VALUE"""),24.0)</f>
        <v>24</v>
      </c>
      <c r="S137" s="423">
        <f>IFERROR(__xludf.DUMMYFUNCTION("""COMPUTED_VALUE"""),24.0)</f>
        <v>24</v>
      </c>
      <c r="T137" s="422">
        <f>IFERROR(__xludf.DUMMYFUNCTION("""COMPUTED_VALUE"""),24.0)</f>
        <v>24</v>
      </c>
      <c r="U137" s="423">
        <f>IFERROR(__xludf.DUMMYFUNCTION("""COMPUTED_VALUE"""),30.0)</f>
        <v>30</v>
      </c>
      <c r="V137" s="423">
        <f>IFERROR(__xludf.DUMMYFUNCTION("""COMPUTED_VALUE"""),35.0)</f>
        <v>35</v>
      </c>
      <c r="W137" s="424">
        <f>IFERROR(__xludf.DUMMYFUNCTION("""COMPUTED_VALUE"""),40.0)</f>
        <v>40</v>
      </c>
      <c r="X137" s="385" t="str">
        <f>IFERROR(__xludf.DUMMYFUNCTION("""COMPUTED_VALUE"""),"安定型")</f>
        <v>安定型</v>
      </c>
      <c r="Y137" s="399">
        <f>IFERROR(__xludf.DUMMYFUNCTION("""COMPUTED_VALUE"""),5.0)</f>
        <v>5</v>
      </c>
      <c r="Z137" s="400" t="str">
        <f>IFERROR(__xludf.DUMMYFUNCTION("""COMPUTED_VALUE"""),"効果値")</f>
        <v>効果値</v>
      </c>
      <c r="AA137" s="422">
        <f>IFERROR(__xludf.DUMMYFUNCTION("""COMPUTED_VALUE"""),13.0)</f>
        <v>13</v>
      </c>
      <c r="AB137" s="423">
        <f>IFERROR(__xludf.DUMMYFUNCTION("""COMPUTED_VALUE"""),13.0)</f>
        <v>13</v>
      </c>
      <c r="AC137" s="422">
        <f>IFERROR(__xludf.DUMMYFUNCTION("""COMPUTED_VALUE"""),14.0)</f>
        <v>14</v>
      </c>
      <c r="AD137" s="423">
        <f>IFERROR(__xludf.DUMMYFUNCTION("""COMPUTED_VALUE"""),14.0)</f>
        <v>14</v>
      </c>
      <c r="AE137" s="422">
        <f>IFERROR(__xludf.DUMMYFUNCTION("""COMPUTED_VALUE"""),14.0)</f>
        <v>14</v>
      </c>
      <c r="AF137" s="423">
        <f>IFERROR(__xludf.DUMMYFUNCTION("""COMPUTED_VALUE"""),15.0)</f>
        <v>15</v>
      </c>
      <c r="AG137" s="423">
        <f>IFERROR(__xludf.DUMMYFUNCTION("""COMPUTED_VALUE"""),20.0)</f>
        <v>20</v>
      </c>
      <c r="AH137" s="424">
        <f>IFERROR(__xludf.DUMMYFUNCTION("""COMPUTED_VALUE"""),25.0)</f>
        <v>25</v>
      </c>
      <c r="AI137" s="385" t="str">
        <f>IFERROR(__xludf.DUMMYFUNCTION("""COMPUTED_VALUE"""),"持続型")</f>
        <v>持続型</v>
      </c>
      <c r="AJ137" s="399">
        <f>IFERROR(__xludf.DUMMYFUNCTION("""COMPUTED_VALUE"""),5.0)</f>
        <v>5</v>
      </c>
      <c r="AK137" s="400" t="str">
        <f>IFERROR(__xludf.DUMMYFUNCTION("""COMPUTED_VALUE"""),"効果値")</f>
        <v>効果値</v>
      </c>
      <c r="AL137" s="422">
        <f>IFERROR(__xludf.DUMMYFUNCTION("""COMPUTED_VALUE"""),8.0)</f>
        <v>8</v>
      </c>
      <c r="AM137" s="423">
        <f>IFERROR(__xludf.DUMMYFUNCTION("""COMPUTED_VALUE"""),8.0)</f>
        <v>8</v>
      </c>
      <c r="AN137" s="422">
        <f>IFERROR(__xludf.DUMMYFUNCTION("""COMPUTED_VALUE"""),9.0)</f>
        <v>9</v>
      </c>
      <c r="AO137" s="423">
        <f>IFERROR(__xludf.DUMMYFUNCTION("""COMPUTED_VALUE"""),9.0)</f>
        <v>9</v>
      </c>
      <c r="AP137" s="422">
        <f>IFERROR(__xludf.DUMMYFUNCTION("""COMPUTED_VALUE"""),9.0)</f>
        <v>9</v>
      </c>
      <c r="AQ137" s="423">
        <f>IFERROR(__xludf.DUMMYFUNCTION("""COMPUTED_VALUE"""),10.0)</f>
        <v>10</v>
      </c>
      <c r="AR137" s="423">
        <f>IFERROR(__xludf.DUMMYFUNCTION("""COMPUTED_VALUE"""),12.0)</f>
        <v>12</v>
      </c>
      <c r="AS137" s="424">
        <f>IFERROR(__xludf.DUMMYFUNCTION("""COMPUTED_VALUE"""),12.0)</f>
        <v>12</v>
      </c>
      <c r="AT137" s="385" t="str">
        <f>IFERROR(__xludf.DUMMYFUNCTION("""COMPUTED_VALUE"""),"超持続型")</f>
        <v>超持続型</v>
      </c>
      <c r="AU137" s="399">
        <f>IFERROR(__xludf.DUMMYFUNCTION("""COMPUTED_VALUE"""),5.0)</f>
        <v>5</v>
      </c>
      <c r="AV137" s="400" t="str">
        <f>IFERROR(__xludf.DUMMYFUNCTION("""COMPUTED_VALUE"""),"効果値")</f>
        <v>効果値</v>
      </c>
      <c r="AW137" s="425" t="str">
        <f>IFERROR(__xludf.DUMMYFUNCTION("""COMPUTED_VALUE"""),"-")</f>
        <v>-</v>
      </c>
      <c r="AX137" s="426" t="str">
        <f>IFERROR(__xludf.DUMMYFUNCTION("""COMPUTED_VALUE"""),"-")</f>
        <v>-</v>
      </c>
      <c r="AY137" s="426" t="str">
        <f>IFERROR(__xludf.DUMMYFUNCTION("""COMPUTED_VALUE"""),"-")</f>
        <v>-</v>
      </c>
      <c r="AZ137" s="426" t="str">
        <f>IFERROR(__xludf.DUMMYFUNCTION("""COMPUTED_VALUE"""),"-")</f>
        <v>-</v>
      </c>
      <c r="BA137" s="426" t="str">
        <f>IFERROR(__xludf.DUMMYFUNCTION("""COMPUTED_VALUE"""),"-")</f>
        <v>-</v>
      </c>
      <c r="BB137" s="423">
        <f>IFERROR(__xludf.DUMMYFUNCTION("""COMPUTED_VALUE"""),10.0)</f>
        <v>10</v>
      </c>
      <c r="BC137" s="423">
        <f>IFERROR(__xludf.DUMMYFUNCTION("""COMPUTED_VALUE"""),12.0)</f>
        <v>12</v>
      </c>
      <c r="BD137" s="424">
        <f>IFERROR(__xludf.DUMMYFUNCTION("""COMPUTED_VALUE"""),12.0)</f>
        <v>12</v>
      </c>
      <c r="BE137" s="385" t="str">
        <f>IFERROR(__xludf.DUMMYFUNCTION("""COMPUTED_VALUE"""),"ハイブリッド型")</f>
        <v>ハイブリッド型</v>
      </c>
      <c r="BF137" s="399">
        <f>IFERROR(__xludf.DUMMYFUNCTION("""COMPUTED_VALUE"""),5.0)</f>
        <v>5</v>
      </c>
      <c r="BG137" s="400" t="str">
        <f>IFERROR(__xludf.DUMMYFUNCTION("""COMPUTED_VALUE"""),"効果値")</f>
        <v>効果値</v>
      </c>
      <c r="BH137" s="427">
        <f>IFERROR(__xludf.DUMMYFUNCTION("""COMPUTED_VALUE"""),12.0)</f>
        <v>12</v>
      </c>
      <c r="BI137" s="428">
        <f>IFERROR(__xludf.DUMMYFUNCTION("""COMPUTED_VALUE"""),12.75)</f>
        <v>12.75</v>
      </c>
      <c r="BJ137" s="428">
        <f>IFERROR(__xludf.DUMMYFUNCTION("""COMPUTED_VALUE"""),13.5)</f>
        <v>13.5</v>
      </c>
      <c r="BK137" s="428">
        <f>IFERROR(__xludf.DUMMYFUNCTION("""COMPUTED_VALUE"""),14.25)</f>
        <v>14.25</v>
      </c>
      <c r="BL137" s="427">
        <f>IFERROR(__xludf.DUMMYFUNCTION("""COMPUTED_VALUE"""),15.0)</f>
        <v>15</v>
      </c>
      <c r="BM137" s="427">
        <f>IFERROR(__xludf.DUMMYFUNCTION("""COMPUTED_VALUE"""),20.0)</f>
        <v>20</v>
      </c>
      <c r="BN137" s="427">
        <f>IFERROR(__xludf.DUMMYFUNCTION("""COMPUTED_VALUE"""),25.0)</f>
        <v>25</v>
      </c>
      <c r="BO137" s="429">
        <f>IFERROR(__xludf.DUMMYFUNCTION("""COMPUTED_VALUE"""),30.0)</f>
        <v>30</v>
      </c>
    </row>
    <row r="138">
      <c r="A138" s="435" t="str">
        <f>IFERROR(__xludf.DUMMYFUNCTION("""COMPUTED_VALUE"""),"ダメージカット(赤)")</f>
        <v>ダメージカット(赤)</v>
      </c>
      <c r="B138" s="385" t="str">
        <f>IFERROR(__xludf.DUMMYFUNCTION("""COMPUTED_VALUE"""),"超瞬間型")</f>
        <v>超瞬間型</v>
      </c>
      <c r="C138" s="430">
        <f>IFERROR(__xludf.DUMMYFUNCTION("""COMPUTED_VALUE"""),5.0)</f>
        <v>5</v>
      </c>
      <c r="D138" s="431" t="str">
        <f>IFERROR(__xludf.DUMMYFUNCTION("""COMPUTED_VALUE"""),"効果時間")</f>
        <v>効果時間</v>
      </c>
      <c r="E138" s="388" t="str">
        <f>IFERROR(__xludf.DUMMYFUNCTION("""COMPUTED_VALUE"""),"-")</f>
        <v>-</v>
      </c>
      <c r="F138" s="389" t="str">
        <f>IFERROR(__xludf.DUMMYFUNCTION("""COMPUTED_VALUE"""),"-")</f>
        <v>-</v>
      </c>
      <c r="G138" s="388" t="str">
        <f>IFERROR(__xludf.DUMMYFUNCTION("""COMPUTED_VALUE"""),"-")</f>
        <v>-</v>
      </c>
      <c r="H138" s="389" t="str">
        <f>IFERROR(__xludf.DUMMYFUNCTION("""COMPUTED_VALUE"""),"-")</f>
        <v>-</v>
      </c>
      <c r="I138" s="388" t="str">
        <f>IFERROR(__xludf.DUMMYFUNCTION("""COMPUTED_VALUE"""),"-")</f>
        <v>-</v>
      </c>
      <c r="J138" s="390">
        <f>IFERROR(__xludf.DUMMYFUNCTION("""COMPUTED_VALUE"""),160.0)</f>
        <v>160</v>
      </c>
      <c r="K138" s="391">
        <f>IFERROR(__xludf.DUMMYFUNCTION("""COMPUTED_VALUE"""),175.0)</f>
        <v>175</v>
      </c>
      <c r="L138" s="340">
        <f>IFERROR(__xludf.DUMMYFUNCTION("""COMPUTED_VALUE"""),200.0)</f>
        <v>200</v>
      </c>
      <c r="M138" s="385" t="str">
        <f>IFERROR(__xludf.DUMMYFUNCTION("""COMPUTED_VALUE"""),"瞬間型")</f>
        <v>瞬間型</v>
      </c>
      <c r="N138" s="430">
        <f>IFERROR(__xludf.DUMMYFUNCTION("""COMPUTED_VALUE"""),5.0)</f>
        <v>5</v>
      </c>
      <c r="O138" s="431" t="str">
        <f>IFERROR(__xludf.DUMMYFUNCTION("""COMPUTED_VALUE"""),"効果時間")</f>
        <v>効果時間</v>
      </c>
      <c r="P138" s="392">
        <f>IFERROR(__xludf.DUMMYFUNCTION("""COMPUTED_VALUE"""),175.0)</f>
        <v>175</v>
      </c>
      <c r="Q138" s="414">
        <f>IFERROR(__xludf.DUMMYFUNCTION("""COMPUTED_VALUE"""),185.0)</f>
        <v>185</v>
      </c>
      <c r="R138" s="414">
        <f>IFERROR(__xludf.DUMMYFUNCTION("""COMPUTED_VALUE"""),190.0)</f>
        <v>190</v>
      </c>
      <c r="S138" s="414">
        <f>IFERROR(__xludf.DUMMYFUNCTION("""COMPUTED_VALUE"""),195.0)</f>
        <v>195</v>
      </c>
      <c r="T138" s="394">
        <f>IFERROR(__xludf.DUMMYFUNCTION("""COMPUTED_VALUE"""),200.0)</f>
        <v>200</v>
      </c>
      <c r="U138" s="394">
        <f>IFERROR(__xludf.DUMMYFUNCTION("""COMPUTED_VALUE"""),225.0)</f>
        <v>225</v>
      </c>
      <c r="V138" s="394">
        <f>IFERROR(__xludf.DUMMYFUNCTION("""COMPUTED_VALUE"""),300.0)</f>
        <v>300</v>
      </c>
      <c r="W138" s="394">
        <f>IFERROR(__xludf.DUMMYFUNCTION("""COMPUTED_VALUE"""),325.0)</f>
        <v>325</v>
      </c>
      <c r="X138" s="385" t="str">
        <f>IFERROR(__xludf.DUMMYFUNCTION("""COMPUTED_VALUE"""),"安定型")</f>
        <v>安定型</v>
      </c>
      <c r="Y138" s="430">
        <f>IFERROR(__xludf.DUMMYFUNCTION("""COMPUTED_VALUE"""),5.0)</f>
        <v>5</v>
      </c>
      <c r="Z138" s="431" t="str">
        <f>IFERROR(__xludf.DUMMYFUNCTION("""COMPUTED_VALUE"""),"効果時間")</f>
        <v>効果時間</v>
      </c>
      <c r="AA138" s="392">
        <f>IFERROR(__xludf.DUMMYFUNCTION("""COMPUTED_VALUE"""),325.0)</f>
        <v>325</v>
      </c>
      <c r="AB138" s="414">
        <f>IFERROR(__xludf.DUMMYFUNCTION("""COMPUTED_VALUE"""),335.0)</f>
        <v>335</v>
      </c>
      <c r="AC138" s="414">
        <f>IFERROR(__xludf.DUMMYFUNCTION("""COMPUTED_VALUE"""),340.0)</f>
        <v>340</v>
      </c>
      <c r="AD138" s="414">
        <f>IFERROR(__xludf.DUMMYFUNCTION("""COMPUTED_VALUE"""),345.0)</f>
        <v>345</v>
      </c>
      <c r="AE138" s="394">
        <f>IFERROR(__xludf.DUMMYFUNCTION("""COMPUTED_VALUE"""),350.0)</f>
        <v>350</v>
      </c>
      <c r="AF138" s="394">
        <f>IFERROR(__xludf.DUMMYFUNCTION("""COMPUTED_VALUE"""),400.0)</f>
        <v>400</v>
      </c>
      <c r="AG138" s="394">
        <f>IFERROR(__xludf.DUMMYFUNCTION("""COMPUTED_VALUE"""),450.0)</f>
        <v>450</v>
      </c>
      <c r="AH138" s="394">
        <f>IFERROR(__xludf.DUMMYFUNCTION("""COMPUTED_VALUE"""),475.0)</f>
        <v>475</v>
      </c>
      <c r="AI138" s="385" t="str">
        <f>IFERROR(__xludf.DUMMYFUNCTION("""COMPUTED_VALUE"""),"持続型")</f>
        <v>持続型</v>
      </c>
      <c r="AJ138" s="430">
        <f>IFERROR(__xludf.DUMMYFUNCTION("""COMPUTED_VALUE"""),5.0)</f>
        <v>5</v>
      </c>
      <c r="AK138" s="431" t="str">
        <f>IFERROR(__xludf.DUMMYFUNCTION("""COMPUTED_VALUE"""),"効果時間")</f>
        <v>効果時間</v>
      </c>
      <c r="AL138" s="392">
        <f>IFERROR(__xludf.DUMMYFUNCTION("""COMPUTED_VALUE"""),475.0)</f>
        <v>475</v>
      </c>
      <c r="AM138" s="414">
        <f>IFERROR(__xludf.DUMMYFUNCTION("""COMPUTED_VALUE"""),485.0)</f>
        <v>485</v>
      </c>
      <c r="AN138" s="414">
        <f>IFERROR(__xludf.DUMMYFUNCTION("""COMPUTED_VALUE"""),490.0)</f>
        <v>490</v>
      </c>
      <c r="AO138" s="414">
        <f>IFERROR(__xludf.DUMMYFUNCTION("""COMPUTED_VALUE"""),495.0)</f>
        <v>495</v>
      </c>
      <c r="AP138" s="394">
        <f>IFERROR(__xludf.DUMMYFUNCTION("""COMPUTED_VALUE"""),500.0)</f>
        <v>500</v>
      </c>
      <c r="AQ138" s="394">
        <f>IFERROR(__xludf.DUMMYFUNCTION("""COMPUTED_VALUE"""),550.0)</f>
        <v>550</v>
      </c>
      <c r="AR138" s="394">
        <f>IFERROR(__xludf.DUMMYFUNCTION("""COMPUTED_VALUE"""),600.0)</f>
        <v>600</v>
      </c>
      <c r="AS138" s="394">
        <f>IFERROR(__xludf.DUMMYFUNCTION("""COMPUTED_VALUE"""),625.0)</f>
        <v>625</v>
      </c>
      <c r="AT138" s="385" t="str">
        <f>IFERROR(__xludf.DUMMYFUNCTION("""COMPUTED_VALUE"""),"超持続型")</f>
        <v>超持続型</v>
      </c>
      <c r="AU138" s="430">
        <f>IFERROR(__xludf.DUMMYFUNCTION("""COMPUTED_VALUE"""),5.0)</f>
        <v>5</v>
      </c>
      <c r="AV138" s="431" t="str">
        <f>IFERROR(__xludf.DUMMYFUNCTION("""COMPUTED_VALUE"""),"効果時間")</f>
        <v>効果時間</v>
      </c>
      <c r="AW138" s="395" t="str">
        <f>IFERROR(__xludf.DUMMYFUNCTION("""COMPUTED_VALUE"""),"-")</f>
        <v>-</v>
      </c>
      <c r="AX138" s="396" t="str">
        <f>IFERROR(__xludf.DUMMYFUNCTION("""COMPUTED_VALUE"""),"-")</f>
        <v>-</v>
      </c>
      <c r="AY138" s="396" t="str">
        <f>IFERROR(__xludf.DUMMYFUNCTION("""COMPUTED_VALUE"""),"-")</f>
        <v>-</v>
      </c>
      <c r="AZ138" s="396" t="str">
        <f>IFERROR(__xludf.DUMMYFUNCTION("""COMPUTED_VALUE"""),"-")</f>
        <v>-</v>
      </c>
      <c r="BA138" s="396" t="str">
        <f>IFERROR(__xludf.DUMMYFUNCTION("""COMPUTED_VALUE"""),"-")</f>
        <v>-</v>
      </c>
      <c r="BB138" s="393">
        <f>IFERROR(__xludf.DUMMYFUNCTION("""COMPUTED_VALUE"""),650.0)</f>
        <v>650</v>
      </c>
      <c r="BC138" s="393">
        <f>IFERROR(__xludf.DUMMYFUNCTION("""COMPUTED_VALUE"""),750.0)</f>
        <v>750</v>
      </c>
      <c r="BD138" s="394">
        <f>IFERROR(__xludf.DUMMYFUNCTION("""COMPUTED_VALUE"""),775.0)</f>
        <v>775</v>
      </c>
      <c r="BE138" s="385" t="str">
        <f>IFERROR(__xludf.DUMMYFUNCTION("""COMPUTED_VALUE"""),"ハイブリッド型")</f>
        <v>ハイブリッド型</v>
      </c>
      <c r="BF138" s="430">
        <f>IFERROR(__xludf.DUMMYFUNCTION("""COMPUTED_VALUE"""),5.0)</f>
        <v>5</v>
      </c>
      <c r="BG138" s="431" t="str">
        <f>IFERROR(__xludf.DUMMYFUNCTION("""COMPUTED_VALUE"""),"効果時間")</f>
        <v>効果時間</v>
      </c>
      <c r="BH138" s="304">
        <f>IFERROR(__xludf.DUMMYFUNCTION("""COMPUTED_VALUE"""),250.0)</f>
        <v>250</v>
      </c>
      <c r="BI138" s="432">
        <f>IFERROR(__xludf.DUMMYFUNCTION("""COMPUTED_VALUE"""),265.0)</f>
        <v>265</v>
      </c>
      <c r="BJ138" s="432">
        <f>IFERROR(__xludf.DUMMYFUNCTION("""COMPUTED_VALUE"""),275.0)</f>
        <v>275</v>
      </c>
      <c r="BK138" s="432">
        <f>IFERROR(__xludf.DUMMYFUNCTION("""COMPUTED_VALUE"""),290.0)</f>
        <v>290</v>
      </c>
      <c r="BL138" s="304">
        <f>IFERROR(__xludf.DUMMYFUNCTION("""COMPUTED_VALUE"""),300.0)</f>
        <v>300</v>
      </c>
      <c r="BM138" s="304">
        <f>IFERROR(__xludf.DUMMYFUNCTION("""COMPUTED_VALUE"""),400.0)</f>
        <v>400</v>
      </c>
      <c r="BN138" s="304">
        <f>IFERROR(__xludf.DUMMYFUNCTION("""COMPUTED_VALUE"""),500.0)</f>
        <v>500</v>
      </c>
      <c r="BO138" s="304">
        <f>IFERROR(__xludf.DUMMYFUNCTION("""COMPUTED_VALUE"""),525.0)</f>
        <v>525</v>
      </c>
    </row>
    <row r="139">
      <c r="A139" s="433" t="str">
        <f>IFERROR(__xludf.DUMMYFUNCTION("""COMPUTED_VALUE"""),"ダメージカット(青)")</f>
        <v>ダメージカット(青)</v>
      </c>
      <c r="B139" s="374" t="str">
        <f>IFERROR(__xludf.DUMMYFUNCTION("""COMPUTED_VALUE"""),"超瞬間型")</f>
        <v>超瞬間型</v>
      </c>
      <c r="C139" s="375">
        <f>IFERROR(__xludf.DUMMYFUNCTION("""COMPUTED_VALUE"""),1.0)</f>
        <v>1</v>
      </c>
      <c r="D139" s="376" t="str">
        <f>IFERROR(__xludf.DUMMYFUNCTION("""COMPUTED_VALUE"""),"効果値")</f>
        <v>効果値</v>
      </c>
      <c r="E139" s="377" t="str">
        <f>IFERROR(__xludf.DUMMYFUNCTION("""COMPUTED_VALUE"""),"-")</f>
        <v>-</v>
      </c>
      <c r="F139" s="378" t="str">
        <f>IFERROR(__xludf.DUMMYFUNCTION("""COMPUTED_VALUE"""),"-")</f>
        <v>-</v>
      </c>
      <c r="G139" s="377" t="str">
        <f>IFERROR(__xludf.DUMMYFUNCTION("""COMPUTED_VALUE"""),"-")</f>
        <v>-</v>
      </c>
      <c r="H139" s="378" t="str">
        <f>IFERROR(__xludf.DUMMYFUNCTION("""COMPUTED_VALUE"""),"-")</f>
        <v>-</v>
      </c>
      <c r="I139" s="377" t="str">
        <f>IFERROR(__xludf.DUMMYFUNCTION("""COMPUTED_VALUE"""),"-")</f>
        <v>-</v>
      </c>
      <c r="J139" s="379">
        <f>IFERROR(__xludf.DUMMYFUNCTION("""COMPUTED_VALUE"""),55.0)</f>
        <v>55</v>
      </c>
      <c r="K139" s="294">
        <f>IFERROR(__xludf.DUMMYFUNCTION("""COMPUTED_VALUE"""),65.0)</f>
        <v>65</v>
      </c>
      <c r="L139" s="294">
        <f>IFERROR(__xludf.DUMMYFUNCTION("""COMPUTED_VALUE"""),65.0)</f>
        <v>65</v>
      </c>
      <c r="M139" s="374" t="str">
        <f>IFERROR(__xludf.DUMMYFUNCTION("""COMPUTED_VALUE"""),"瞬間型")</f>
        <v>瞬間型</v>
      </c>
      <c r="N139" s="375">
        <f>IFERROR(__xludf.DUMMYFUNCTION("""COMPUTED_VALUE"""),1.0)</f>
        <v>1</v>
      </c>
      <c r="O139" s="376" t="str">
        <f>IFERROR(__xludf.DUMMYFUNCTION("""COMPUTED_VALUE"""),"効果値")</f>
        <v>効果値</v>
      </c>
      <c r="P139" s="380">
        <f>IFERROR(__xludf.DUMMYFUNCTION("""COMPUTED_VALUE"""),20.0)</f>
        <v>20</v>
      </c>
      <c r="Q139" s="263">
        <f>IFERROR(__xludf.DUMMYFUNCTION("""COMPUTED_VALUE"""),20.0)</f>
        <v>20</v>
      </c>
      <c r="R139" s="263">
        <f>IFERROR(__xludf.DUMMYFUNCTION("""COMPUTED_VALUE"""),20.0)</f>
        <v>20</v>
      </c>
      <c r="S139" s="263">
        <f>IFERROR(__xludf.DUMMYFUNCTION("""COMPUTED_VALUE"""),20.0)</f>
        <v>20</v>
      </c>
      <c r="T139" s="263">
        <f>IFERROR(__xludf.DUMMYFUNCTION("""COMPUTED_VALUE"""),20.0)</f>
        <v>20</v>
      </c>
      <c r="U139" s="263">
        <f>IFERROR(__xludf.DUMMYFUNCTION("""COMPUTED_VALUE"""),25.0)</f>
        <v>25</v>
      </c>
      <c r="V139" s="266">
        <f>IFERROR(__xludf.DUMMYFUNCTION("""COMPUTED_VALUE"""),30.0)</f>
        <v>30</v>
      </c>
      <c r="W139" s="266">
        <f>IFERROR(__xludf.DUMMYFUNCTION("""COMPUTED_VALUE"""),30.0)</f>
        <v>30</v>
      </c>
      <c r="X139" s="374" t="str">
        <f>IFERROR(__xludf.DUMMYFUNCTION("""COMPUTED_VALUE"""),"安定型")</f>
        <v>安定型</v>
      </c>
      <c r="Y139" s="375">
        <f>IFERROR(__xludf.DUMMYFUNCTION("""COMPUTED_VALUE"""),1.0)</f>
        <v>1</v>
      </c>
      <c r="Z139" s="376" t="str">
        <f>IFERROR(__xludf.DUMMYFUNCTION("""COMPUTED_VALUE"""),"効果値")</f>
        <v>効果値</v>
      </c>
      <c r="AA139" s="380">
        <f>IFERROR(__xludf.DUMMYFUNCTION("""COMPUTED_VALUE"""),10.0)</f>
        <v>10</v>
      </c>
      <c r="AB139" s="263">
        <f>IFERROR(__xludf.DUMMYFUNCTION("""COMPUTED_VALUE"""),10.0)</f>
        <v>10</v>
      </c>
      <c r="AC139" s="263">
        <f>IFERROR(__xludf.DUMMYFUNCTION("""COMPUTED_VALUE"""),10.0)</f>
        <v>10</v>
      </c>
      <c r="AD139" s="263">
        <f>IFERROR(__xludf.DUMMYFUNCTION("""COMPUTED_VALUE"""),10.0)</f>
        <v>10</v>
      </c>
      <c r="AE139" s="263">
        <f>IFERROR(__xludf.DUMMYFUNCTION("""COMPUTED_VALUE"""),10.0)</f>
        <v>10</v>
      </c>
      <c r="AF139" s="263">
        <f>IFERROR(__xludf.DUMMYFUNCTION("""COMPUTED_VALUE"""),10.0)</f>
        <v>10</v>
      </c>
      <c r="AG139" s="266">
        <f>IFERROR(__xludf.DUMMYFUNCTION("""COMPUTED_VALUE"""),15.0)</f>
        <v>15</v>
      </c>
      <c r="AH139" s="266">
        <f>IFERROR(__xludf.DUMMYFUNCTION("""COMPUTED_VALUE"""),15.0)</f>
        <v>15</v>
      </c>
      <c r="AI139" s="374" t="str">
        <f>IFERROR(__xludf.DUMMYFUNCTION("""COMPUTED_VALUE"""),"持続型")</f>
        <v>持続型</v>
      </c>
      <c r="AJ139" s="375">
        <f>IFERROR(__xludf.DUMMYFUNCTION("""COMPUTED_VALUE"""),1.0)</f>
        <v>1</v>
      </c>
      <c r="AK139" s="376" t="str">
        <f>IFERROR(__xludf.DUMMYFUNCTION("""COMPUTED_VALUE"""),"効果値")</f>
        <v>効果値</v>
      </c>
      <c r="AL139" s="380">
        <f>IFERROR(__xludf.DUMMYFUNCTION("""COMPUTED_VALUE"""),5.0)</f>
        <v>5</v>
      </c>
      <c r="AM139" s="263">
        <f>IFERROR(__xludf.DUMMYFUNCTION("""COMPUTED_VALUE"""),5.0)</f>
        <v>5</v>
      </c>
      <c r="AN139" s="263">
        <f>IFERROR(__xludf.DUMMYFUNCTION("""COMPUTED_VALUE"""),5.0)</f>
        <v>5</v>
      </c>
      <c r="AO139" s="263">
        <f>IFERROR(__xludf.DUMMYFUNCTION("""COMPUTED_VALUE"""),5.0)</f>
        <v>5</v>
      </c>
      <c r="AP139" s="263">
        <f>IFERROR(__xludf.DUMMYFUNCTION("""COMPUTED_VALUE"""),5.0)</f>
        <v>5</v>
      </c>
      <c r="AQ139" s="263">
        <f>IFERROR(__xludf.DUMMYFUNCTION("""COMPUTED_VALUE"""),5.0)</f>
        <v>5</v>
      </c>
      <c r="AR139" s="266">
        <f>IFERROR(__xludf.DUMMYFUNCTION("""COMPUTED_VALUE"""),10.0)</f>
        <v>10</v>
      </c>
      <c r="AS139" s="266">
        <f>IFERROR(__xludf.DUMMYFUNCTION("""COMPUTED_VALUE"""),10.0)</f>
        <v>10</v>
      </c>
      <c r="AT139" s="374" t="str">
        <f>IFERROR(__xludf.DUMMYFUNCTION("""COMPUTED_VALUE"""),"超持続型")</f>
        <v>超持続型</v>
      </c>
      <c r="AU139" s="375">
        <f>IFERROR(__xludf.DUMMYFUNCTION("""COMPUTED_VALUE"""),1.0)</f>
        <v>1</v>
      </c>
      <c r="AV139" s="376" t="str">
        <f>IFERROR(__xludf.DUMMYFUNCTION("""COMPUTED_VALUE"""),"効果値")</f>
        <v>効果値</v>
      </c>
      <c r="AW139" s="350" t="str">
        <f>IFERROR(__xludf.DUMMYFUNCTION("""COMPUTED_VALUE"""),"-")</f>
        <v>-</v>
      </c>
      <c r="AX139" s="348" t="str">
        <f>IFERROR(__xludf.DUMMYFUNCTION("""COMPUTED_VALUE"""),"-")</f>
        <v>-</v>
      </c>
      <c r="AY139" s="348" t="str">
        <f>IFERROR(__xludf.DUMMYFUNCTION("""COMPUTED_VALUE"""),"-")</f>
        <v>-</v>
      </c>
      <c r="AZ139" s="348" t="str">
        <f>IFERROR(__xludf.DUMMYFUNCTION("""COMPUTED_VALUE"""),"-")</f>
        <v>-</v>
      </c>
      <c r="BA139" s="348" t="str">
        <f>IFERROR(__xludf.DUMMYFUNCTION("""COMPUTED_VALUE"""),"-")</f>
        <v>-</v>
      </c>
      <c r="BB139" s="263">
        <f>IFERROR(__xludf.DUMMYFUNCTION("""COMPUTED_VALUE"""),5.0)</f>
        <v>5</v>
      </c>
      <c r="BC139" s="266">
        <f>IFERROR(__xludf.DUMMYFUNCTION("""COMPUTED_VALUE"""),10.0)</f>
        <v>10</v>
      </c>
      <c r="BD139" s="266">
        <f>IFERROR(__xludf.DUMMYFUNCTION("""COMPUTED_VALUE"""),10.0)</f>
        <v>10</v>
      </c>
      <c r="BE139" s="374" t="str">
        <f>IFERROR(__xludf.DUMMYFUNCTION("""COMPUTED_VALUE"""),"ハイブリッド型")</f>
        <v>ハイブリッド型</v>
      </c>
      <c r="BF139" s="375">
        <f>IFERROR(__xludf.DUMMYFUNCTION("""COMPUTED_VALUE"""),1.0)</f>
        <v>1</v>
      </c>
      <c r="BG139" s="376" t="str">
        <f>IFERROR(__xludf.DUMMYFUNCTION("""COMPUTED_VALUE"""),"効果値")</f>
        <v>効果値</v>
      </c>
      <c r="BH139" s="381">
        <f>IFERROR(__xludf.DUMMYFUNCTION("""COMPUTED_VALUE"""),10.0)</f>
        <v>10</v>
      </c>
      <c r="BI139" s="382">
        <f>IFERROR(__xludf.DUMMYFUNCTION("""COMPUTED_VALUE"""),10.0)</f>
        <v>10</v>
      </c>
      <c r="BJ139" s="382">
        <f>IFERROR(__xludf.DUMMYFUNCTION("""COMPUTED_VALUE"""),10.0)</f>
        <v>10</v>
      </c>
      <c r="BK139" s="382">
        <f>IFERROR(__xludf.DUMMYFUNCTION("""COMPUTED_VALUE"""),10.0)</f>
        <v>10</v>
      </c>
      <c r="BL139" s="382">
        <f>IFERROR(__xludf.DUMMYFUNCTION("""COMPUTED_VALUE"""),10.0)</f>
        <v>10</v>
      </c>
      <c r="BM139" s="382">
        <f>IFERROR(__xludf.DUMMYFUNCTION("""COMPUTED_VALUE"""),15.0)</f>
        <v>15</v>
      </c>
      <c r="BN139" s="382">
        <f>IFERROR(__xludf.DUMMYFUNCTION("""COMPUTED_VALUE"""),20.0)</f>
        <v>20</v>
      </c>
      <c r="BO139" s="383">
        <f>IFERROR(__xludf.DUMMYFUNCTION("""COMPUTED_VALUE"""),20.0)</f>
        <v>20</v>
      </c>
    </row>
    <row r="140">
      <c r="A140" s="434" t="str">
        <f>IFERROR(__xludf.DUMMYFUNCTION("""COMPUTED_VALUE"""),"ダメージカット(青)")</f>
        <v>ダメージカット(青)</v>
      </c>
      <c r="B140" s="385" t="str">
        <f>IFERROR(__xludf.DUMMYFUNCTION("""COMPUTED_VALUE"""),"超瞬間型")</f>
        <v>超瞬間型</v>
      </c>
      <c r="C140" s="386">
        <f>IFERROR(__xludf.DUMMYFUNCTION("""COMPUTED_VALUE"""),1.0)</f>
        <v>1</v>
      </c>
      <c r="D140" s="387" t="str">
        <f>IFERROR(__xludf.DUMMYFUNCTION("""COMPUTED_VALUE"""),"効果時間")</f>
        <v>効果時間</v>
      </c>
      <c r="E140" s="388" t="str">
        <f>IFERROR(__xludf.DUMMYFUNCTION("""COMPUTED_VALUE"""),"-")</f>
        <v>-</v>
      </c>
      <c r="F140" s="389" t="str">
        <f>IFERROR(__xludf.DUMMYFUNCTION("""COMPUTED_VALUE"""),"-")</f>
        <v>-</v>
      </c>
      <c r="G140" s="388" t="str">
        <f>IFERROR(__xludf.DUMMYFUNCTION("""COMPUTED_VALUE"""),"-")</f>
        <v>-</v>
      </c>
      <c r="H140" s="389" t="str">
        <f>IFERROR(__xludf.DUMMYFUNCTION("""COMPUTED_VALUE"""),"-")</f>
        <v>-</v>
      </c>
      <c r="I140" s="388" t="str">
        <f>IFERROR(__xludf.DUMMYFUNCTION("""COMPUTED_VALUE"""),"-")</f>
        <v>-</v>
      </c>
      <c r="J140" s="390">
        <f>IFERROR(__xludf.DUMMYFUNCTION("""COMPUTED_VALUE"""),150.0)</f>
        <v>150</v>
      </c>
      <c r="K140" s="391">
        <f>IFERROR(__xludf.DUMMYFUNCTION("""COMPUTED_VALUE"""),160.0)</f>
        <v>160</v>
      </c>
      <c r="L140" s="340">
        <f>IFERROR(__xludf.DUMMYFUNCTION("""COMPUTED_VALUE"""),160.0)</f>
        <v>160</v>
      </c>
      <c r="M140" s="385" t="str">
        <f>IFERROR(__xludf.DUMMYFUNCTION("""COMPUTED_VALUE"""),"瞬間型")</f>
        <v>瞬間型</v>
      </c>
      <c r="N140" s="386">
        <f>IFERROR(__xludf.DUMMYFUNCTION("""COMPUTED_VALUE"""),1.0)</f>
        <v>1</v>
      </c>
      <c r="O140" s="387" t="str">
        <f>IFERROR(__xludf.DUMMYFUNCTION("""COMPUTED_VALUE"""),"効果時間")</f>
        <v>効果時間</v>
      </c>
      <c r="P140" s="392">
        <f>IFERROR(__xludf.DUMMYFUNCTION("""COMPUTED_VALUE"""),150.0)</f>
        <v>150</v>
      </c>
      <c r="Q140" s="393">
        <f>IFERROR(__xludf.DUMMYFUNCTION("""COMPUTED_VALUE"""),150.0)</f>
        <v>150</v>
      </c>
      <c r="R140" s="393">
        <f>IFERROR(__xludf.DUMMYFUNCTION("""COMPUTED_VALUE"""),150.0)</f>
        <v>150</v>
      </c>
      <c r="S140" s="393">
        <f>IFERROR(__xludf.DUMMYFUNCTION("""COMPUTED_VALUE"""),150.0)</f>
        <v>150</v>
      </c>
      <c r="T140" s="393">
        <f>IFERROR(__xludf.DUMMYFUNCTION("""COMPUTED_VALUE"""),150.0)</f>
        <v>150</v>
      </c>
      <c r="U140" s="393">
        <f>IFERROR(__xludf.DUMMYFUNCTION("""COMPUTED_VALUE"""),150.0)</f>
        <v>150</v>
      </c>
      <c r="V140" s="393">
        <f>IFERROR(__xludf.DUMMYFUNCTION("""COMPUTED_VALUE"""),160.0)</f>
        <v>160</v>
      </c>
      <c r="W140" s="394">
        <f>IFERROR(__xludf.DUMMYFUNCTION("""COMPUTED_VALUE"""),160.0)</f>
        <v>160</v>
      </c>
      <c r="X140" s="385" t="str">
        <f>IFERROR(__xludf.DUMMYFUNCTION("""COMPUTED_VALUE"""),"安定型")</f>
        <v>安定型</v>
      </c>
      <c r="Y140" s="386">
        <f>IFERROR(__xludf.DUMMYFUNCTION("""COMPUTED_VALUE"""),1.0)</f>
        <v>1</v>
      </c>
      <c r="Z140" s="387" t="str">
        <f>IFERROR(__xludf.DUMMYFUNCTION("""COMPUTED_VALUE"""),"効果時間")</f>
        <v>効果時間</v>
      </c>
      <c r="AA140" s="392">
        <f>IFERROR(__xludf.DUMMYFUNCTION("""COMPUTED_VALUE"""),300.0)</f>
        <v>300</v>
      </c>
      <c r="AB140" s="393">
        <f>IFERROR(__xludf.DUMMYFUNCTION("""COMPUTED_VALUE"""),300.0)</f>
        <v>300</v>
      </c>
      <c r="AC140" s="393">
        <f>IFERROR(__xludf.DUMMYFUNCTION("""COMPUTED_VALUE"""),300.0)</f>
        <v>300</v>
      </c>
      <c r="AD140" s="393">
        <f>IFERROR(__xludf.DUMMYFUNCTION("""COMPUTED_VALUE"""),300.0)</f>
        <v>300</v>
      </c>
      <c r="AE140" s="393">
        <f>IFERROR(__xludf.DUMMYFUNCTION("""COMPUTED_VALUE"""),300.0)</f>
        <v>300</v>
      </c>
      <c r="AF140" s="393">
        <f>IFERROR(__xludf.DUMMYFUNCTION("""COMPUTED_VALUE"""),300.0)</f>
        <v>300</v>
      </c>
      <c r="AG140" s="393">
        <f>IFERROR(__xludf.DUMMYFUNCTION("""COMPUTED_VALUE"""),310.0)</f>
        <v>310</v>
      </c>
      <c r="AH140" s="394">
        <f>IFERROR(__xludf.DUMMYFUNCTION("""COMPUTED_VALUE"""),310.0)</f>
        <v>310</v>
      </c>
      <c r="AI140" s="385" t="str">
        <f>IFERROR(__xludf.DUMMYFUNCTION("""COMPUTED_VALUE"""),"持続型")</f>
        <v>持続型</v>
      </c>
      <c r="AJ140" s="386">
        <f>IFERROR(__xludf.DUMMYFUNCTION("""COMPUTED_VALUE"""),1.0)</f>
        <v>1</v>
      </c>
      <c r="AK140" s="387" t="str">
        <f>IFERROR(__xludf.DUMMYFUNCTION("""COMPUTED_VALUE"""),"効果時間")</f>
        <v>効果時間</v>
      </c>
      <c r="AL140" s="392">
        <f>IFERROR(__xludf.DUMMYFUNCTION("""COMPUTED_VALUE"""),450.0)</f>
        <v>450</v>
      </c>
      <c r="AM140" s="393">
        <f>IFERROR(__xludf.DUMMYFUNCTION("""COMPUTED_VALUE"""),450.0)</f>
        <v>450</v>
      </c>
      <c r="AN140" s="393">
        <f>IFERROR(__xludf.DUMMYFUNCTION("""COMPUTED_VALUE"""),450.0)</f>
        <v>450</v>
      </c>
      <c r="AO140" s="393">
        <f>IFERROR(__xludf.DUMMYFUNCTION("""COMPUTED_VALUE"""),450.0)</f>
        <v>450</v>
      </c>
      <c r="AP140" s="393">
        <f>IFERROR(__xludf.DUMMYFUNCTION("""COMPUTED_VALUE"""),450.0)</f>
        <v>450</v>
      </c>
      <c r="AQ140" s="393">
        <f>IFERROR(__xludf.DUMMYFUNCTION("""COMPUTED_VALUE"""),450.0)</f>
        <v>450</v>
      </c>
      <c r="AR140" s="393">
        <f>IFERROR(__xludf.DUMMYFUNCTION("""COMPUTED_VALUE"""),460.0)</f>
        <v>460</v>
      </c>
      <c r="AS140" s="394">
        <f>IFERROR(__xludf.DUMMYFUNCTION("""COMPUTED_VALUE"""),460.0)</f>
        <v>460</v>
      </c>
      <c r="AT140" s="385" t="str">
        <f>IFERROR(__xludf.DUMMYFUNCTION("""COMPUTED_VALUE"""),"超持続型")</f>
        <v>超持続型</v>
      </c>
      <c r="AU140" s="386">
        <f>IFERROR(__xludf.DUMMYFUNCTION("""COMPUTED_VALUE"""),1.0)</f>
        <v>1</v>
      </c>
      <c r="AV140" s="387" t="str">
        <f>IFERROR(__xludf.DUMMYFUNCTION("""COMPUTED_VALUE"""),"効果時間")</f>
        <v>効果時間</v>
      </c>
      <c r="AW140" s="395" t="str">
        <f>IFERROR(__xludf.DUMMYFUNCTION("""COMPUTED_VALUE"""),"-")</f>
        <v>-</v>
      </c>
      <c r="AX140" s="396" t="str">
        <f>IFERROR(__xludf.DUMMYFUNCTION("""COMPUTED_VALUE"""),"-")</f>
        <v>-</v>
      </c>
      <c r="AY140" s="396" t="str">
        <f>IFERROR(__xludf.DUMMYFUNCTION("""COMPUTED_VALUE"""),"-")</f>
        <v>-</v>
      </c>
      <c r="AZ140" s="396" t="str">
        <f>IFERROR(__xludf.DUMMYFUNCTION("""COMPUTED_VALUE"""),"-")</f>
        <v>-</v>
      </c>
      <c r="BA140" s="396" t="str">
        <f>IFERROR(__xludf.DUMMYFUNCTION("""COMPUTED_VALUE"""),"-")</f>
        <v>-</v>
      </c>
      <c r="BB140" s="393">
        <f>IFERROR(__xludf.DUMMYFUNCTION("""COMPUTED_VALUE"""),600.0)</f>
        <v>600</v>
      </c>
      <c r="BC140" s="393">
        <f>IFERROR(__xludf.DUMMYFUNCTION("""COMPUTED_VALUE"""),610.0)</f>
        <v>610</v>
      </c>
      <c r="BD140" s="394">
        <f>IFERROR(__xludf.DUMMYFUNCTION("""COMPUTED_VALUE"""),610.0)</f>
        <v>610</v>
      </c>
      <c r="BE140" s="385" t="str">
        <f>IFERROR(__xludf.DUMMYFUNCTION("""COMPUTED_VALUE"""),"ハイブリッド型")</f>
        <v>ハイブリッド型</v>
      </c>
      <c r="BF140" s="386">
        <f>IFERROR(__xludf.DUMMYFUNCTION("""COMPUTED_VALUE"""),1.0)</f>
        <v>1</v>
      </c>
      <c r="BG140" s="387" t="str">
        <f>IFERROR(__xludf.DUMMYFUNCTION("""COMPUTED_VALUE"""),"効果時間")</f>
        <v>効果時間</v>
      </c>
      <c r="BH140" s="397">
        <f>IFERROR(__xludf.DUMMYFUNCTION("""COMPUTED_VALUE"""),150.0)</f>
        <v>150</v>
      </c>
      <c r="BI140" s="397">
        <f>IFERROR(__xludf.DUMMYFUNCTION("""COMPUTED_VALUE"""),150.0)</f>
        <v>150</v>
      </c>
      <c r="BJ140" s="397">
        <f>IFERROR(__xludf.DUMMYFUNCTION("""COMPUTED_VALUE"""),150.0)</f>
        <v>150</v>
      </c>
      <c r="BK140" s="398">
        <f>IFERROR(__xludf.DUMMYFUNCTION("""COMPUTED_VALUE"""),150.0)</f>
        <v>150</v>
      </c>
      <c r="BL140" s="397">
        <f>IFERROR(__xludf.DUMMYFUNCTION("""COMPUTED_VALUE"""),150.0)</f>
        <v>150</v>
      </c>
      <c r="BM140" s="398">
        <f>IFERROR(__xludf.DUMMYFUNCTION("""COMPUTED_VALUE"""),350.0)</f>
        <v>350</v>
      </c>
      <c r="BN140" s="397">
        <f>IFERROR(__xludf.DUMMYFUNCTION("""COMPUTED_VALUE"""),460.0)</f>
        <v>460</v>
      </c>
      <c r="BO140" s="398">
        <f>IFERROR(__xludf.DUMMYFUNCTION("""COMPUTED_VALUE"""),460.0)</f>
        <v>460</v>
      </c>
    </row>
    <row r="141">
      <c r="A141" s="435" t="str">
        <f>IFERROR(__xludf.DUMMYFUNCTION("""COMPUTED_VALUE"""),"ダメージカット(青)")</f>
        <v>ダメージカット(青)</v>
      </c>
      <c r="B141" s="385" t="str">
        <f>IFERROR(__xludf.DUMMYFUNCTION("""COMPUTED_VALUE"""),"超瞬間型")</f>
        <v>超瞬間型</v>
      </c>
      <c r="C141" s="399">
        <f>IFERROR(__xludf.DUMMYFUNCTION("""COMPUTED_VALUE"""),2.0)</f>
        <v>2</v>
      </c>
      <c r="D141" s="400" t="str">
        <f>IFERROR(__xludf.DUMMYFUNCTION("""COMPUTED_VALUE"""),"効果値")</f>
        <v>効果値</v>
      </c>
      <c r="E141" s="401" t="str">
        <f>IFERROR(__xludf.DUMMYFUNCTION("""COMPUTED_VALUE"""),"-")</f>
        <v>-</v>
      </c>
      <c r="F141" s="401" t="str">
        <f>IFERROR(__xludf.DUMMYFUNCTION("""COMPUTED_VALUE"""),"-")</f>
        <v>-</v>
      </c>
      <c r="G141" s="401" t="str">
        <f>IFERROR(__xludf.DUMMYFUNCTION("""COMPUTED_VALUE"""),"-")</f>
        <v>-</v>
      </c>
      <c r="H141" s="401" t="str">
        <f>IFERROR(__xludf.DUMMYFUNCTION("""COMPUTED_VALUE"""),"-")</f>
        <v>-</v>
      </c>
      <c r="I141" s="401" t="str">
        <f>IFERROR(__xludf.DUMMYFUNCTION("""COMPUTED_VALUE"""),"-")</f>
        <v>-</v>
      </c>
      <c r="J141" s="318">
        <f>IFERROR(__xludf.DUMMYFUNCTION("""COMPUTED_VALUE"""),57.0)</f>
        <v>57</v>
      </c>
      <c r="K141" s="318">
        <f>IFERROR(__xludf.DUMMYFUNCTION("""COMPUTED_VALUE"""),67.0)</f>
        <v>67</v>
      </c>
      <c r="L141" s="318">
        <f>IFERROR(__xludf.DUMMYFUNCTION("""COMPUTED_VALUE"""),69.0)</f>
        <v>69</v>
      </c>
      <c r="M141" s="385" t="str">
        <f>IFERROR(__xludf.DUMMYFUNCTION("""COMPUTED_VALUE"""),"瞬間型")</f>
        <v>瞬間型</v>
      </c>
      <c r="N141" s="399">
        <f>IFERROR(__xludf.DUMMYFUNCTION("""COMPUTED_VALUE"""),2.0)</f>
        <v>2</v>
      </c>
      <c r="O141" s="400" t="str">
        <f>IFERROR(__xludf.DUMMYFUNCTION("""COMPUTED_VALUE"""),"効果値")</f>
        <v>効果値</v>
      </c>
      <c r="P141" s="343">
        <f>IFERROR(__xludf.DUMMYFUNCTION("""COMPUTED_VALUE"""),21.0)</f>
        <v>21</v>
      </c>
      <c r="Q141" s="402">
        <f>IFERROR(__xludf.DUMMYFUNCTION("""COMPUTED_VALUE"""),21.0)</f>
        <v>21</v>
      </c>
      <c r="R141" s="343">
        <f>IFERROR(__xludf.DUMMYFUNCTION("""COMPUTED_VALUE"""),22.0)</f>
        <v>22</v>
      </c>
      <c r="S141" s="402">
        <f>IFERROR(__xludf.DUMMYFUNCTION("""COMPUTED_VALUE"""),22.0)</f>
        <v>22</v>
      </c>
      <c r="T141" s="343">
        <f>IFERROR(__xludf.DUMMYFUNCTION("""COMPUTED_VALUE"""),22.0)</f>
        <v>22</v>
      </c>
      <c r="U141" s="343">
        <f>IFERROR(__xludf.DUMMYFUNCTION("""COMPUTED_VALUE"""),27.0)</f>
        <v>27</v>
      </c>
      <c r="V141" s="343">
        <f>IFERROR(__xludf.DUMMYFUNCTION("""COMPUTED_VALUE"""),32.0)</f>
        <v>32</v>
      </c>
      <c r="W141" s="343">
        <f>IFERROR(__xludf.DUMMYFUNCTION("""COMPUTED_VALUE"""),34.0)</f>
        <v>34</v>
      </c>
      <c r="X141" s="385" t="str">
        <f>IFERROR(__xludf.DUMMYFUNCTION("""COMPUTED_VALUE"""),"安定型")</f>
        <v>安定型</v>
      </c>
      <c r="Y141" s="399">
        <f>IFERROR(__xludf.DUMMYFUNCTION("""COMPUTED_VALUE"""),2.0)</f>
        <v>2</v>
      </c>
      <c r="Z141" s="400" t="str">
        <f>IFERROR(__xludf.DUMMYFUNCTION("""COMPUTED_VALUE"""),"効果値")</f>
        <v>効果値</v>
      </c>
      <c r="AA141" s="343">
        <f>IFERROR(__xludf.DUMMYFUNCTION("""COMPUTED_VALUE"""),11.0)</f>
        <v>11</v>
      </c>
      <c r="AB141" s="402">
        <f>IFERROR(__xludf.DUMMYFUNCTION("""COMPUTED_VALUE"""),11.0)</f>
        <v>11</v>
      </c>
      <c r="AC141" s="343">
        <f>IFERROR(__xludf.DUMMYFUNCTION("""COMPUTED_VALUE"""),12.0)</f>
        <v>12</v>
      </c>
      <c r="AD141" s="402">
        <f>IFERROR(__xludf.DUMMYFUNCTION("""COMPUTED_VALUE"""),12.0)</f>
        <v>12</v>
      </c>
      <c r="AE141" s="343">
        <f>IFERROR(__xludf.DUMMYFUNCTION("""COMPUTED_VALUE"""),12.0)</f>
        <v>12</v>
      </c>
      <c r="AF141" s="343">
        <f>IFERROR(__xludf.DUMMYFUNCTION("""COMPUTED_VALUE"""),12.0)</f>
        <v>12</v>
      </c>
      <c r="AG141" s="343">
        <f>IFERROR(__xludf.DUMMYFUNCTION("""COMPUTED_VALUE"""),17.0)</f>
        <v>17</v>
      </c>
      <c r="AH141" s="343">
        <f>IFERROR(__xludf.DUMMYFUNCTION("""COMPUTED_VALUE"""),19.0)</f>
        <v>19</v>
      </c>
      <c r="AI141" s="385" t="str">
        <f>IFERROR(__xludf.DUMMYFUNCTION("""COMPUTED_VALUE"""),"持続型")</f>
        <v>持続型</v>
      </c>
      <c r="AJ141" s="399">
        <f>IFERROR(__xludf.DUMMYFUNCTION("""COMPUTED_VALUE"""),2.0)</f>
        <v>2</v>
      </c>
      <c r="AK141" s="400" t="str">
        <f>IFERROR(__xludf.DUMMYFUNCTION("""COMPUTED_VALUE"""),"効果値")</f>
        <v>効果値</v>
      </c>
      <c r="AL141" s="343">
        <f>IFERROR(__xludf.DUMMYFUNCTION("""COMPUTED_VALUE"""),6.0)</f>
        <v>6</v>
      </c>
      <c r="AM141" s="402">
        <f>IFERROR(__xludf.DUMMYFUNCTION("""COMPUTED_VALUE"""),6.0)</f>
        <v>6</v>
      </c>
      <c r="AN141" s="343">
        <f>IFERROR(__xludf.DUMMYFUNCTION("""COMPUTED_VALUE"""),7.0)</f>
        <v>7</v>
      </c>
      <c r="AO141" s="402">
        <f>IFERROR(__xludf.DUMMYFUNCTION("""COMPUTED_VALUE"""),7.0)</f>
        <v>7</v>
      </c>
      <c r="AP141" s="343">
        <f>IFERROR(__xludf.DUMMYFUNCTION("""COMPUTED_VALUE"""),7.0)</f>
        <v>7</v>
      </c>
      <c r="AQ141" s="343">
        <f>IFERROR(__xludf.DUMMYFUNCTION("""COMPUTED_VALUE"""),7.0)</f>
        <v>7</v>
      </c>
      <c r="AR141" s="343">
        <f>IFERROR(__xludf.DUMMYFUNCTION("""COMPUTED_VALUE"""),11.0)</f>
        <v>11</v>
      </c>
      <c r="AS141" s="343">
        <f>IFERROR(__xludf.DUMMYFUNCTION("""COMPUTED_VALUE"""),11.0)</f>
        <v>11</v>
      </c>
      <c r="AT141" s="385" t="str">
        <f>IFERROR(__xludf.DUMMYFUNCTION("""COMPUTED_VALUE"""),"超持続型")</f>
        <v>超持続型</v>
      </c>
      <c r="AU141" s="399">
        <f>IFERROR(__xludf.DUMMYFUNCTION("""COMPUTED_VALUE"""),2.0)</f>
        <v>2</v>
      </c>
      <c r="AV141" s="400" t="str">
        <f>IFERROR(__xludf.DUMMYFUNCTION("""COMPUTED_VALUE"""),"効果値")</f>
        <v>効果値</v>
      </c>
      <c r="AW141" s="403" t="str">
        <f>IFERROR(__xludf.DUMMYFUNCTION("""COMPUTED_VALUE"""),"-")</f>
        <v>-</v>
      </c>
      <c r="AX141" s="403" t="str">
        <f>IFERROR(__xludf.DUMMYFUNCTION("""COMPUTED_VALUE"""),"-")</f>
        <v>-</v>
      </c>
      <c r="AY141" s="403" t="str">
        <f>IFERROR(__xludf.DUMMYFUNCTION("""COMPUTED_VALUE"""),"-")</f>
        <v>-</v>
      </c>
      <c r="AZ141" s="403" t="str">
        <f>IFERROR(__xludf.DUMMYFUNCTION("""COMPUTED_VALUE"""),"-")</f>
        <v>-</v>
      </c>
      <c r="BA141" s="403" t="str">
        <f>IFERROR(__xludf.DUMMYFUNCTION("""COMPUTED_VALUE"""),"-")</f>
        <v>-</v>
      </c>
      <c r="BB141" s="343">
        <f>IFERROR(__xludf.DUMMYFUNCTION("""COMPUTED_VALUE"""),7.0)</f>
        <v>7</v>
      </c>
      <c r="BC141" s="343">
        <f>IFERROR(__xludf.DUMMYFUNCTION("""COMPUTED_VALUE"""),11.0)</f>
        <v>11</v>
      </c>
      <c r="BD141" s="343">
        <f>IFERROR(__xludf.DUMMYFUNCTION("""COMPUTED_VALUE"""),11.0)</f>
        <v>11</v>
      </c>
      <c r="BE141" s="385" t="str">
        <f>IFERROR(__xludf.DUMMYFUNCTION("""COMPUTED_VALUE"""),"ハイブリッド型")</f>
        <v>ハイブリッド型</v>
      </c>
      <c r="BF141" s="399">
        <f>IFERROR(__xludf.DUMMYFUNCTION("""COMPUTED_VALUE"""),2.0)</f>
        <v>2</v>
      </c>
      <c r="BG141" s="400" t="str">
        <f>IFERROR(__xludf.DUMMYFUNCTION("""COMPUTED_VALUE"""),"効果値")</f>
        <v>効果値</v>
      </c>
      <c r="BH141" s="404">
        <f>IFERROR(__xludf.DUMMYFUNCTION("""COMPUTED_VALUE"""),10.8)</f>
        <v>10.8</v>
      </c>
      <c r="BI141" s="405">
        <f>IFERROR(__xludf.DUMMYFUNCTION("""COMPUTED_VALUE"""),11.2)</f>
        <v>11.2</v>
      </c>
      <c r="BJ141" s="405">
        <f>IFERROR(__xludf.DUMMYFUNCTION("""COMPUTED_VALUE"""),11.5)</f>
        <v>11.5</v>
      </c>
      <c r="BK141" s="405">
        <f>IFERROR(__xludf.DUMMYFUNCTION("""COMPUTED_VALUE"""),11.8)</f>
        <v>11.8</v>
      </c>
      <c r="BL141" s="405">
        <f>IFERROR(__xludf.DUMMYFUNCTION("""COMPUTED_VALUE"""),12.1)</f>
        <v>12.1</v>
      </c>
      <c r="BM141" s="405">
        <f>IFERROR(__xludf.DUMMYFUNCTION("""COMPUTED_VALUE"""),17.1)</f>
        <v>17.1</v>
      </c>
      <c r="BN141" s="405">
        <f>IFERROR(__xludf.DUMMYFUNCTION("""COMPUTED_VALUE"""),22.0)</f>
        <v>22</v>
      </c>
      <c r="BO141" s="406">
        <f>IFERROR(__xludf.DUMMYFUNCTION("""COMPUTED_VALUE"""),24.0)</f>
        <v>24</v>
      </c>
    </row>
    <row r="142">
      <c r="A142" s="435" t="str">
        <f>IFERROR(__xludf.DUMMYFUNCTION("""COMPUTED_VALUE"""),"ダメージカット(青)")</f>
        <v>ダメージカット(青)</v>
      </c>
      <c r="B142" s="385" t="str">
        <f>IFERROR(__xludf.DUMMYFUNCTION("""COMPUTED_VALUE"""),"超瞬間型")</f>
        <v>超瞬間型</v>
      </c>
      <c r="C142" s="386">
        <f>IFERROR(__xludf.DUMMYFUNCTION("""COMPUTED_VALUE"""),2.0)</f>
        <v>2</v>
      </c>
      <c r="D142" s="387" t="str">
        <f>IFERROR(__xludf.DUMMYFUNCTION("""COMPUTED_VALUE"""),"効果時間")</f>
        <v>効果時間</v>
      </c>
      <c r="E142" s="388" t="str">
        <f>IFERROR(__xludf.DUMMYFUNCTION("""COMPUTED_VALUE"""),"-")</f>
        <v>-</v>
      </c>
      <c r="F142" s="389" t="str">
        <f>IFERROR(__xludf.DUMMYFUNCTION("""COMPUTED_VALUE"""),"-")</f>
        <v>-</v>
      </c>
      <c r="G142" s="388" t="str">
        <f>IFERROR(__xludf.DUMMYFUNCTION("""COMPUTED_VALUE"""),"-")</f>
        <v>-</v>
      </c>
      <c r="H142" s="389" t="str">
        <f>IFERROR(__xludf.DUMMYFUNCTION("""COMPUTED_VALUE"""),"-")</f>
        <v>-</v>
      </c>
      <c r="I142" s="388" t="str">
        <f>IFERROR(__xludf.DUMMYFUNCTION("""COMPUTED_VALUE"""),"-")</f>
        <v>-</v>
      </c>
      <c r="J142" s="390">
        <f>IFERROR(__xludf.DUMMYFUNCTION("""COMPUTED_VALUE"""),150.0)</f>
        <v>150</v>
      </c>
      <c r="K142" s="391">
        <f>IFERROR(__xludf.DUMMYFUNCTION("""COMPUTED_VALUE"""),160.0)</f>
        <v>160</v>
      </c>
      <c r="L142" s="340">
        <f>IFERROR(__xludf.DUMMYFUNCTION("""COMPUTED_VALUE"""),170.0)</f>
        <v>170</v>
      </c>
      <c r="M142" s="385" t="str">
        <f>IFERROR(__xludf.DUMMYFUNCTION("""COMPUTED_VALUE"""),"瞬間型")</f>
        <v>瞬間型</v>
      </c>
      <c r="N142" s="386">
        <f>IFERROR(__xludf.DUMMYFUNCTION("""COMPUTED_VALUE"""),2.0)</f>
        <v>2</v>
      </c>
      <c r="O142" s="387" t="str">
        <f>IFERROR(__xludf.DUMMYFUNCTION("""COMPUTED_VALUE"""),"効果時間")</f>
        <v>効果時間</v>
      </c>
      <c r="P142" s="392">
        <f>IFERROR(__xludf.DUMMYFUNCTION("""COMPUTED_VALUE"""),160.0)</f>
        <v>160</v>
      </c>
      <c r="Q142" s="275">
        <f>IFERROR(__xludf.DUMMYFUNCTION("""COMPUTED_VALUE"""),165.0)</f>
        <v>165</v>
      </c>
      <c r="R142" s="280">
        <f>IFERROR(__xludf.DUMMYFUNCTION("""COMPUTED_VALUE"""),170.0)</f>
        <v>170</v>
      </c>
      <c r="S142" s="275">
        <f>IFERROR(__xludf.DUMMYFUNCTION("""COMPUTED_VALUE"""),175.0)</f>
        <v>175</v>
      </c>
      <c r="T142" s="280">
        <f>IFERROR(__xludf.DUMMYFUNCTION("""COMPUTED_VALUE"""),180.0)</f>
        <v>180</v>
      </c>
      <c r="U142" s="280">
        <f>IFERROR(__xludf.DUMMYFUNCTION("""COMPUTED_VALUE"""),180.0)</f>
        <v>180</v>
      </c>
      <c r="V142" s="280">
        <f>IFERROR(__xludf.DUMMYFUNCTION("""COMPUTED_VALUE"""),220.0)</f>
        <v>220</v>
      </c>
      <c r="W142" s="280">
        <f>IFERROR(__xludf.DUMMYFUNCTION("""COMPUTED_VALUE"""),230.0)</f>
        <v>230</v>
      </c>
      <c r="X142" s="385" t="str">
        <f>IFERROR(__xludf.DUMMYFUNCTION("""COMPUTED_VALUE"""),"安定型")</f>
        <v>安定型</v>
      </c>
      <c r="Y142" s="386">
        <f>IFERROR(__xludf.DUMMYFUNCTION("""COMPUTED_VALUE"""),2.0)</f>
        <v>2</v>
      </c>
      <c r="Z142" s="387" t="str">
        <f>IFERROR(__xludf.DUMMYFUNCTION("""COMPUTED_VALUE"""),"効果時間")</f>
        <v>効果時間</v>
      </c>
      <c r="AA142" s="392">
        <f>IFERROR(__xludf.DUMMYFUNCTION("""COMPUTED_VALUE"""),310.0)</f>
        <v>310</v>
      </c>
      <c r="AB142" s="275">
        <f>IFERROR(__xludf.DUMMYFUNCTION("""COMPUTED_VALUE"""),315.0)</f>
        <v>315</v>
      </c>
      <c r="AC142" s="280">
        <f>IFERROR(__xludf.DUMMYFUNCTION("""COMPUTED_VALUE"""),320.0)</f>
        <v>320</v>
      </c>
      <c r="AD142" s="275">
        <f>IFERROR(__xludf.DUMMYFUNCTION("""COMPUTED_VALUE"""),325.0)</f>
        <v>325</v>
      </c>
      <c r="AE142" s="280">
        <f>IFERROR(__xludf.DUMMYFUNCTION("""COMPUTED_VALUE"""),330.0)</f>
        <v>330</v>
      </c>
      <c r="AF142" s="280">
        <f>IFERROR(__xludf.DUMMYFUNCTION("""COMPUTED_VALUE"""),345.0)</f>
        <v>345</v>
      </c>
      <c r="AG142" s="280">
        <f>IFERROR(__xludf.DUMMYFUNCTION("""COMPUTED_VALUE"""),370.0)</f>
        <v>370</v>
      </c>
      <c r="AH142" s="280">
        <f>IFERROR(__xludf.DUMMYFUNCTION("""COMPUTED_VALUE"""),380.0)</f>
        <v>380</v>
      </c>
      <c r="AI142" s="385" t="str">
        <f>IFERROR(__xludf.DUMMYFUNCTION("""COMPUTED_VALUE"""),"持続型")</f>
        <v>持続型</v>
      </c>
      <c r="AJ142" s="386">
        <f>IFERROR(__xludf.DUMMYFUNCTION("""COMPUTED_VALUE"""),2.0)</f>
        <v>2</v>
      </c>
      <c r="AK142" s="387" t="str">
        <f>IFERROR(__xludf.DUMMYFUNCTION("""COMPUTED_VALUE"""),"効果時間")</f>
        <v>効果時間</v>
      </c>
      <c r="AL142" s="392">
        <f>IFERROR(__xludf.DUMMYFUNCTION("""COMPUTED_VALUE"""),460.0)</f>
        <v>460</v>
      </c>
      <c r="AM142" s="275">
        <f>IFERROR(__xludf.DUMMYFUNCTION("""COMPUTED_VALUE"""),465.0)</f>
        <v>465</v>
      </c>
      <c r="AN142" s="280">
        <f>IFERROR(__xludf.DUMMYFUNCTION("""COMPUTED_VALUE"""),470.0)</f>
        <v>470</v>
      </c>
      <c r="AO142" s="275">
        <f>IFERROR(__xludf.DUMMYFUNCTION("""COMPUTED_VALUE"""),475.0)</f>
        <v>475</v>
      </c>
      <c r="AP142" s="280">
        <f>IFERROR(__xludf.DUMMYFUNCTION("""COMPUTED_VALUE"""),480.0)</f>
        <v>480</v>
      </c>
      <c r="AQ142" s="280">
        <f>IFERROR(__xludf.DUMMYFUNCTION("""COMPUTED_VALUE"""),495.0)</f>
        <v>495</v>
      </c>
      <c r="AR142" s="280">
        <f>IFERROR(__xludf.DUMMYFUNCTION("""COMPUTED_VALUE"""),520.0)</f>
        <v>520</v>
      </c>
      <c r="AS142" s="280">
        <f>IFERROR(__xludf.DUMMYFUNCTION("""COMPUTED_VALUE"""),530.0)</f>
        <v>530</v>
      </c>
      <c r="AT142" s="385" t="str">
        <f>IFERROR(__xludf.DUMMYFUNCTION("""COMPUTED_VALUE"""),"超持続型")</f>
        <v>超持続型</v>
      </c>
      <c r="AU142" s="386">
        <f>IFERROR(__xludf.DUMMYFUNCTION("""COMPUTED_VALUE"""),2.0)</f>
        <v>2</v>
      </c>
      <c r="AV142" s="387" t="str">
        <f>IFERROR(__xludf.DUMMYFUNCTION("""COMPUTED_VALUE"""),"効果時間")</f>
        <v>効果時間</v>
      </c>
      <c r="AW142" s="368" t="str">
        <f>IFERROR(__xludf.DUMMYFUNCTION("""COMPUTED_VALUE"""),"-")</f>
        <v>-</v>
      </c>
      <c r="AX142" s="368" t="str">
        <f>IFERROR(__xludf.DUMMYFUNCTION("""COMPUTED_VALUE"""),"-")</f>
        <v>-</v>
      </c>
      <c r="AY142" s="368" t="str">
        <f>IFERROR(__xludf.DUMMYFUNCTION("""COMPUTED_VALUE"""),"-")</f>
        <v>-</v>
      </c>
      <c r="AZ142" s="368" t="str">
        <f>IFERROR(__xludf.DUMMYFUNCTION("""COMPUTED_VALUE"""),"-")</f>
        <v>-</v>
      </c>
      <c r="BA142" s="368" t="str">
        <f>IFERROR(__xludf.DUMMYFUNCTION("""COMPUTED_VALUE"""),"-")</f>
        <v>-</v>
      </c>
      <c r="BB142" s="280">
        <f>IFERROR(__xludf.DUMMYFUNCTION("""COMPUTED_VALUE"""),625.0)</f>
        <v>625</v>
      </c>
      <c r="BC142" s="280">
        <f>IFERROR(__xludf.DUMMYFUNCTION("""COMPUTED_VALUE"""),670.0)</f>
        <v>670</v>
      </c>
      <c r="BD142" s="280">
        <f>IFERROR(__xludf.DUMMYFUNCTION("""COMPUTED_VALUE"""),680.0)</f>
        <v>680</v>
      </c>
      <c r="BE142" s="385" t="str">
        <f>IFERROR(__xludf.DUMMYFUNCTION("""COMPUTED_VALUE"""),"ハイブリッド型")</f>
        <v>ハイブリッド型</v>
      </c>
      <c r="BF142" s="386">
        <f>IFERROR(__xludf.DUMMYFUNCTION("""COMPUTED_VALUE"""),2.0)</f>
        <v>2</v>
      </c>
      <c r="BG142" s="387" t="str">
        <f>IFERROR(__xludf.DUMMYFUNCTION("""COMPUTED_VALUE"""),"効果時間")</f>
        <v>効果時間</v>
      </c>
      <c r="BH142" s="407">
        <f>IFERROR(__xludf.DUMMYFUNCTION("""COMPUTED_VALUE"""),195.0)</f>
        <v>195</v>
      </c>
      <c r="BI142" s="407">
        <f>IFERROR(__xludf.DUMMYFUNCTION("""COMPUTED_VALUE"""),205.0)</f>
        <v>205</v>
      </c>
      <c r="BJ142" s="407">
        <f>IFERROR(__xludf.DUMMYFUNCTION("""COMPUTED_VALUE"""),205.0)</f>
        <v>205</v>
      </c>
      <c r="BK142" s="408">
        <f>IFERROR(__xludf.DUMMYFUNCTION("""COMPUTED_VALUE"""),210.0)</f>
        <v>210</v>
      </c>
      <c r="BL142" s="407">
        <f>IFERROR(__xludf.DUMMYFUNCTION("""COMPUTED_VALUE"""),215.0)</f>
        <v>215</v>
      </c>
      <c r="BM142" s="408">
        <f>IFERROR(__xludf.DUMMYFUNCTION("""COMPUTED_VALUE"""),375.0)</f>
        <v>375</v>
      </c>
      <c r="BN142" s="407">
        <f>IFERROR(__xludf.DUMMYFUNCTION("""COMPUTED_VALUE"""),480.0)</f>
        <v>480</v>
      </c>
      <c r="BO142" s="408">
        <f>IFERROR(__xludf.DUMMYFUNCTION("""COMPUTED_VALUE"""),490.0)</f>
        <v>490</v>
      </c>
    </row>
    <row r="143">
      <c r="A143" s="435" t="str">
        <f>IFERROR(__xludf.DUMMYFUNCTION("""COMPUTED_VALUE"""),"ダメージカット(青)")</f>
        <v>ダメージカット(青)</v>
      </c>
      <c r="B143" s="385" t="str">
        <f>IFERROR(__xludf.DUMMYFUNCTION("""COMPUTED_VALUE"""),"超瞬間型")</f>
        <v>超瞬間型</v>
      </c>
      <c r="C143" s="399">
        <f>IFERROR(__xludf.DUMMYFUNCTION("""COMPUTED_VALUE"""),3.0)</f>
        <v>3</v>
      </c>
      <c r="D143" s="400" t="str">
        <f>IFERROR(__xludf.DUMMYFUNCTION("""COMPUTED_VALUE"""),"効果値")</f>
        <v>効果値</v>
      </c>
      <c r="E143" s="401" t="str">
        <f>IFERROR(__xludf.DUMMYFUNCTION("""COMPUTED_VALUE"""),"-")</f>
        <v>-</v>
      </c>
      <c r="F143" s="409" t="str">
        <f>IFERROR(__xludf.DUMMYFUNCTION("""COMPUTED_VALUE"""),"-")</f>
        <v>-</v>
      </c>
      <c r="G143" s="401" t="str">
        <f>IFERROR(__xludf.DUMMYFUNCTION("""COMPUTED_VALUE"""),"-")</f>
        <v>-</v>
      </c>
      <c r="H143" s="409" t="str">
        <f>IFERROR(__xludf.DUMMYFUNCTION("""COMPUTED_VALUE"""),"-")</f>
        <v>-</v>
      </c>
      <c r="I143" s="409" t="str">
        <f>IFERROR(__xludf.DUMMYFUNCTION("""COMPUTED_VALUE"""),"-")</f>
        <v>-</v>
      </c>
      <c r="J143" s="410">
        <f>IFERROR(__xludf.DUMMYFUNCTION("""COMPUTED_VALUE"""),58.0)</f>
        <v>58</v>
      </c>
      <c r="K143" s="410">
        <f>IFERROR(__xludf.DUMMYFUNCTION("""COMPUTED_VALUE"""),68.0)</f>
        <v>68</v>
      </c>
      <c r="L143" s="410">
        <f>IFERROR(__xludf.DUMMYFUNCTION("""COMPUTED_VALUE"""),72.0)</f>
        <v>72</v>
      </c>
      <c r="M143" s="385" t="str">
        <f>IFERROR(__xludf.DUMMYFUNCTION("""COMPUTED_VALUE"""),"瞬間型")</f>
        <v>瞬間型</v>
      </c>
      <c r="N143" s="399">
        <f>IFERROR(__xludf.DUMMYFUNCTION("""COMPUTED_VALUE"""),3.0)</f>
        <v>3</v>
      </c>
      <c r="O143" s="400" t="str">
        <f>IFERROR(__xludf.DUMMYFUNCTION("""COMPUTED_VALUE"""),"効果値")</f>
        <v>効果値</v>
      </c>
      <c r="P143" s="343">
        <f>IFERROR(__xludf.DUMMYFUNCTION("""COMPUTED_VALUE"""),22.0)</f>
        <v>22</v>
      </c>
      <c r="Q143" s="402">
        <f>IFERROR(__xludf.DUMMYFUNCTION("""COMPUTED_VALUE"""),22.0)</f>
        <v>22</v>
      </c>
      <c r="R143" s="402">
        <f>IFERROR(__xludf.DUMMYFUNCTION("""COMPUTED_VALUE"""),23.0)</f>
        <v>23</v>
      </c>
      <c r="S143" s="402">
        <f>IFERROR(__xludf.DUMMYFUNCTION("""COMPUTED_VALUE"""),23.0)</f>
        <v>23</v>
      </c>
      <c r="T143" s="402">
        <f>IFERROR(__xludf.DUMMYFUNCTION("""COMPUTED_VALUE"""),23.0)</f>
        <v>23</v>
      </c>
      <c r="U143" s="402">
        <f>IFERROR(__xludf.DUMMYFUNCTION("""COMPUTED_VALUE"""),28.0)</f>
        <v>28</v>
      </c>
      <c r="V143" s="402">
        <f>IFERROR(__xludf.DUMMYFUNCTION("""COMPUTED_VALUE"""),33.0)</f>
        <v>33</v>
      </c>
      <c r="W143" s="402">
        <f>IFERROR(__xludf.DUMMYFUNCTION("""COMPUTED_VALUE"""),37.0)</f>
        <v>37</v>
      </c>
      <c r="X143" s="385" t="str">
        <f>IFERROR(__xludf.DUMMYFUNCTION("""COMPUTED_VALUE"""),"安定型")</f>
        <v>安定型</v>
      </c>
      <c r="Y143" s="399">
        <f>IFERROR(__xludf.DUMMYFUNCTION("""COMPUTED_VALUE"""),3.0)</f>
        <v>3</v>
      </c>
      <c r="Z143" s="400" t="str">
        <f>IFERROR(__xludf.DUMMYFUNCTION("""COMPUTED_VALUE"""),"効果値")</f>
        <v>効果値</v>
      </c>
      <c r="AA143" s="343">
        <f>IFERROR(__xludf.DUMMYFUNCTION("""COMPUTED_VALUE"""),12.0)</f>
        <v>12</v>
      </c>
      <c r="AB143" s="402">
        <f>IFERROR(__xludf.DUMMYFUNCTION("""COMPUTED_VALUE"""),12.0)</f>
        <v>12</v>
      </c>
      <c r="AC143" s="402">
        <f>IFERROR(__xludf.DUMMYFUNCTION("""COMPUTED_VALUE"""),13.0)</f>
        <v>13</v>
      </c>
      <c r="AD143" s="402">
        <f>IFERROR(__xludf.DUMMYFUNCTION("""COMPUTED_VALUE"""),13.0)</f>
        <v>13</v>
      </c>
      <c r="AE143" s="402">
        <f>IFERROR(__xludf.DUMMYFUNCTION("""COMPUTED_VALUE"""),13.0)</f>
        <v>13</v>
      </c>
      <c r="AF143" s="402">
        <f>IFERROR(__xludf.DUMMYFUNCTION("""COMPUTED_VALUE"""),13.0)</f>
        <v>13</v>
      </c>
      <c r="AG143" s="402">
        <f>IFERROR(__xludf.DUMMYFUNCTION("""COMPUTED_VALUE"""),18.0)</f>
        <v>18</v>
      </c>
      <c r="AH143" s="402">
        <f>IFERROR(__xludf.DUMMYFUNCTION("""COMPUTED_VALUE"""),22.0)</f>
        <v>22</v>
      </c>
      <c r="AI143" s="385" t="str">
        <f>IFERROR(__xludf.DUMMYFUNCTION("""COMPUTED_VALUE"""),"持続型")</f>
        <v>持続型</v>
      </c>
      <c r="AJ143" s="399">
        <f>IFERROR(__xludf.DUMMYFUNCTION("""COMPUTED_VALUE"""),3.0)</f>
        <v>3</v>
      </c>
      <c r="AK143" s="400" t="str">
        <f>IFERROR(__xludf.DUMMYFUNCTION("""COMPUTED_VALUE"""),"効果値")</f>
        <v>効果値</v>
      </c>
      <c r="AL143" s="343">
        <f>IFERROR(__xludf.DUMMYFUNCTION("""COMPUTED_VALUE"""),7.0)</f>
        <v>7</v>
      </c>
      <c r="AM143" s="402">
        <f>IFERROR(__xludf.DUMMYFUNCTION("""COMPUTED_VALUE"""),7.0)</f>
        <v>7</v>
      </c>
      <c r="AN143" s="402">
        <f>IFERROR(__xludf.DUMMYFUNCTION("""COMPUTED_VALUE"""),8.0)</f>
        <v>8</v>
      </c>
      <c r="AO143" s="402">
        <f>IFERROR(__xludf.DUMMYFUNCTION("""COMPUTED_VALUE"""),8.0)</f>
        <v>8</v>
      </c>
      <c r="AP143" s="402">
        <f>IFERROR(__xludf.DUMMYFUNCTION("""COMPUTED_VALUE"""),8.0)</f>
        <v>8</v>
      </c>
      <c r="AQ143" s="402">
        <f>IFERROR(__xludf.DUMMYFUNCTION("""COMPUTED_VALUE"""),8.0)</f>
        <v>8</v>
      </c>
      <c r="AR143" s="402">
        <f>IFERROR(__xludf.DUMMYFUNCTION("""COMPUTED_VALUE"""),11.0)</f>
        <v>11</v>
      </c>
      <c r="AS143" s="402">
        <f>IFERROR(__xludf.DUMMYFUNCTION("""COMPUTED_VALUE"""),11.0)</f>
        <v>11</v>
      </c>
      <c r="AT143" s="385" t="str">
        <f>IFERROR(__xludf.DUMMYFUNCTION("""COMPUTED_VALUE"""),"超持続型")</f>
        <v>超持続型</v>
      </c>
      <c r="AU143" s="399">
        <f>IFERROR(__xludf.DUMMYFUNCTION("""COMPUTED_VALUE"""),3.0)</f>
        <v>3</v>
      </c>
      <c r="AV143" s="400" t="str">
        <f>IFERROR(__xludf.DUMMYFUNCTION("""COMPUTED_VALUE"""),"効果値")</f>
        <v>効果値</v>
      </c>
      <c r="AW143" s="403" t="str">
        <f>IFERROR(__xludf.DUMMYFUNCTION("""COMPUTED_VALUE"""),"-")</f>
        <v>-</v>
      </c>
      <c r="AX143" s="403" t="str">
        <f>IFERROR(__xludf.DUMMYFUNCTION("""COMPUTED_VALUE"""),"-")</f>
        <v>-</v>
      </c>
      <c r="AY143" s="403" t="str">
        <f>IFERROR(__xludf.DUMMYFUNCTION("""COMPUTED_VALUE"""),"-")</f>
        <v>-</v>
      </c>
      <c r="AZ143" s="403" t="str">
        <f>IFERROR(__xludf.DUMMYFUNCTION("""COMPUTED_VALUE"""),"-")</f>
        <v>-</v>
      </c>
      <c r="BA143" s="403" t="str">
        <f>IFERROR(__xludf.DUMMYFUNCTION("""COMPUTED_VALUE"""),"-")</f>
        <v>-</v>
      </c>
      <c r="BB143" s="343">
        <f>IFERROR(__xludf.DUMMYFUNCTION("""COMPUTED_VALUE"""),8.0)</f>
        <v>8</v>
      </c>
      <c r="BC143" s="343">
        <f>IFERROR(__xludf.DUMMYFUNCTION("""COMPUTED_VALUE"""),11.0)</f>
        <v>11</v>
      </c>
      <c r="BD143" s="343">
        <f>IFERROR(__xludf.DUMMYFUNCTION("""COMPUTED_VALUE"""),11.0)</f>
        <v>11</v>
      </c>
      <c r="BE143" s="385" t="str">
        <f>IFERROR(__xludf.DUMMYFUNCTION("""COMPUTED_VALUE"""),"ハイブリッド型")</f>
        <v>ハイブリッド型</v>
      </c>
      <c r="BF143" s="399">
        <f>IFERROR(__xludf.DUMMYFUNCTION("""COMPUTED_VALUE"""),3.0)</f>
        <v>3</v>
      </c>
      <c r="BG143" s="400" t="str">
        <f>IFERROR(__xludf.DUMMYFUNCTION("""COMPUTED_VALUE"""),"効果値")</f>
        <v>効果値</v>
      </c>
      <c r="BH143" s="411">
        <f>IFERROR(__xludf.DUMMYFUNCTION("""COMPUTED_VALUE"""),11.4)</f>
        <v>11.4</v>
      </c>
      <c r="BI143" s="412">
        <f>IFERROR(__xludf.DUMMYFUNCTION("""COMPUTED_VALUE"""),11.9)</f>
        <v>11.9</v>
      </c>
      <c r="BJ143" s="412">
        <f>IFERROR(__xludf.DUMMYFUNCTION("""COMPUTED_VALUE"""),12.5)</f>
        <v>12.5</v>
      </c>
      <c r="BK143" s="412">
        <f>IFERROR(__xludf.DUMMYFUNCTION("""COMPUTED_VALUE"""),13.0)</f>
        <v>13</v>
      </c>
      <c r="BL143" s="412">
        <f>IFERROR(__xludf.DUMMYFUNCTION("""COMPUTED_VALUE"""),13.5)</f>
        <v>13.5</v>
      </c>
      <c r="BM143" s="412">
        <f>IFERROR(__xludf.DUMMYFUNCTION("""COMPUTED_VALUE"""),18.5)</f>
        <v>18.5</v>
      </c>
      <c r="BN143" s="412">
        <f>IFERROR(__xludf.DUMMYFUNCTION("""COMPUTED_VALUE"""),23.0)</f>
        <v>23</v>
      </c>
      <c r="BO143" s="413">
        <f>IFERROR(__xludf.DUMMYFUNCTION("""COMPUTED_VALUE"""),27.0)</f>
        <v>27</v>
      </c>
    </row>
    <row r="144">
      <c r="A144" s="435" t="str">
        <f>IFERROR(__xludf.DUMMYFUNCTION("""COMPUTED_VALUE"""),"ダメージカット(青)")</f>
        <v>ダメージカット(青)</v>
      </c>
      <c r="B144" s="385" t="str">
        <f>IFERROR(__xludf.DUMMYFUNCTION("""COMPUTED_VALUE"""),"超瞬間型")</f>
        <v>超瞬間型</v>
      </c>
      <c r="C144" s="386">
        <f>IFERROR(__xludf.DUMMYFUNCTION("""COMPUTED_VALUE"""),3.0)</f>
        <v>3</v>
      </c>
      <c r="D144" s="387" t="str">
        <f>IFERROR(__xludf.DUMMYFUNCTION("""COMPUTED_VALUE"""),"効果時間")</f>
        <v>効果時間</v>
      </c>
      <c r="E144" s="388" t="str">
        <f>IFERROR(__xludf.DUMMYFUNCTION("""COMPUTED_VALUE"""),"-")</f>
        <v>-</v>
      </c>
      <c r="F144" s="389" t="str">
        <f>IFERROR(__xludf.DUMMYFUNCTION("""COMPUTED_VALUE"""),"-")</f>
        <v>-</v>
      </c>
      <c r="G144" s="388" t="str">
        <f>IFERROR(__xludf.DUMMYFUNCTION("""COMPUTED_VALUE"""),"-")</f>
        <v>-</v>
      </c>
      <c r="H144" s="389" t="str">
        <f>IFERROR(__xludf.DUMMYFUNCTION("""COMPUTED_VALUE"""),"-")</f>
        <v>-</v>
      </c>
      <c r="I144" s="388" t="str">
        <f>IFERROR(__xludf.DUMMYFUNCTION("""COMPUTED_VALUE"""),"-")</f>
        <v>-</v>
      </c>
      <c r="J144" s="390">
        <f>IFERROR(__xludf.DUMMYFUNCTION("""COMPUTED_VALUE"""),155.0)</f>
        <v>155</v>
      </c>
      <c r="K144" s="391">
        <f>IFERROR(__xludf.DUMMYFUNCTION("""COMPUTED_VALUE"""),165.0)</f>
        <v>165</v>
      </c>
      <c r="L144" s="340">
        <f>IFERROR(__xludf.DUMMYFUNCTION("""COMPUTED_VALUE"""),185.0)</f>
        <v>185</v>
      </c>
      <c r="M144" s="385" t="str">
        <f>IFERROR(__xludf.DUMMYFUNCTION("""COMPUTED_VALUE"""),"瞬間型")</f>
        <v>瞬間型</v>
      </c>
      <c r="N144" s="386">
        <f>IFERROR(__xludf.DUMMYFUNCTION("""COMPUTED_VALUE"""),3.0)</f>
        <v>3</v>
      </c>
      <c r="O144" s="387" t="str">
        <f>IFERROR(__xludf.DUMMYFUNCTION("""COMPUTED_VALUE"""),"効果時間")</f>
        <v>効果時間</v>
      </c>
      <c r="P144" s="392">
        <f>IFERROR(__xludf.DUMMYFUNCTION("""COMPUTED_VALUE"""),165.0)</f>
        <v>165</v>
      </c>
      <c r="Q144" s="414">
        <f>IFERROR(__xludf.DUMMYFUNCTION("""COMPUTED_VALUE"""),175.0)</f>
        <v>175</v>
      </c>
      <c r="R144" s="415">
        <f>IFERROR(__xludf.DUMMYFUNCTION("""COMPUTED_VALUE"""),180.0)</f>
        <v>180</v>
      </c>
      <c r="S144" s="393">
        <f>IFERROR(__xludf.DUMMYFUNCTION("""COMPUTED_VALUE"""),185.0)</f>
        <v>185</v>
      </c>
      <c r="T144" s="393">
        <f>IFERROR(__xludf.DUMMYFUNCTION("""COMPUTED_VALUE"""),195.0)</f>
        <v>195</v>
      </c>
      <c r="U144" s="414">
        <f>IFERROR(__xludf.DUMMYFUNCTION("""COMPUTED_VALUE"""),200.0)</f>
        <v>200</v>
      </c>
      <c r="V144" s="416">
        <f>IFERROR(__xludf.DUMMYFUNCTION("""COMPUTED_VALUE"""),255.0)</f>
        <v>255</v>
      </c>
      <c r="W144" s="415">
        <f>IFERROR(__xludf.DUMMYFUNCTION("""COMPUTED_VALUE"""),270.0)</f>
        <v>270</v>
      </c>
      <c r="X144" s="385" t="str">
        <f>IFERROR(__xludf.DUMMYFUNCTION("""COMPUTED_VALUE"""),"安定型")</f>
        <v>安定型</v>
      </c>
      <c r="Y144" s="386">
        <f>IFERROR(__xludf.DUMMYFUNCTION("""COMPUTED_VALUE"""),3.0)</f>
        <v>3</v>
      </c>
      <c r="Z144" s="387" t="str">
        <f>IFERROR(__xludf.DUMMYFUNCTION("""COMPUTED_VALUE"""),"効果時間")</f>
        <v>効果時間</v>
      </c>
      <c r="AA144" s="392">
        <f>IFERROR(__xludf.DUMMYFUNCTION("""COMPUTED_VALUE"""),315.0)</f>
        <v>315</v>
      </c>
      <c r="AB144" s="414">
        <f>IFERROR(__xludf.DUMMYFUNCTION("""COMPUTED_VALUE"""),325.0)</f>
        <v>325</v>
      </c>
      <c r="AC144" s="415">
        <f>IFERROR(__xludf.DUMMYFUNCTION("""COMPUTED_VALUE"""),330.0)</f>
        <v>330</v>
      </c>
      <c r="AD144" s="393">
        <f>IFERROR(__xludf.DUMMYFUNCTION("""COMPUTED_VALUE"""),335.0)</f>
        <v>335</v>
      </c>
      <c r="AE144" s="393">
        <f>IFERROR(__xludf.DUMMYFUNCTION("""COMPUTED_VALUE"""),345.0)</f>
        <v>345</v>
      </c>
      <c r="AF144" s="414">
        <f>IFERROR(__xludf.DUMMYFUNCTION("""COMPUTED_VALUE"""),370.0)</f>
        <v>370</v>
      </c>
      <c r="AG144" s="416">
        <f>IFERROR(__xludf.DUMMYFUNCTION("""COMPUTED_VALUE"""),405.0)</f>
        <v>405</v>
      </c>
      <c r="AH144" s="415">
        <f>IFERROR(__xludf.DUMMYFUNCTION("""COMPUTED_VALUE"""),420.0)</f>
        <v>420</v>
      </c>
      <c r="AI144" s="385" t="str">
        <f>IFERROR(__xludf.DUMMYFUNCTION("""COMPUTED_VALUE"""),"持続型")</f>
        <v>持続型</v>
      </c>
      <c r="AJ144" s="386">
        <f>IFERROR(__xludf.DUMMYFUNCTION("""COMPUTED_VALUE"""),3.0)</f>
        <v>3</v>
      </c>
      <c r="AK144" s="387" t="str">
        <f>IFERROR(__xludf.DUMMYFUNCTION("""COMPUTED_VALUE"""),"効果時間")</f>
        <v>効果時間</v>
      </c>
      <c r="AL144" s="392">
        <f>IFERROR(__xludf.DUMMYFUNCTION("""COMPUTED_VALUE"""),465.0)</f>
        <v>465</v>
      </c>
      <c r="AM144" s="414">
        <f>IFERROR(__xludf.DUMMYFUNCTION("""COMPUTED_VALUE"""),475.0)</f>
        <v>475</v>
      </c>
      <c r="AN144" s="415">
        <f>IFERROR(__xludf.DUMMYFUNCTION("""COMPUTED_VALUE"""),480.0)</f>
        <v>480</v>
      </c>
      <c r="AO144" s="393">
        <f>IFERROR(__xludf.DUMMYFUNCTION("""COMPUTED_VALUE"""),485.0)</f>
        <v>485</v>
      </c>
      <c r="AP144" s="393">
        <f>IFERROR(__xludf.DUMMYFUNCTION("""COMPUTED_VALUE"""),495.0)</f>
        <v>495</v>
      </c>
      <c r="AQ144" s="414">
        <f>IFERROR(__xludf.DUMMYFUNCTION("""COMPUTED_VALUE"""),520.0)</f>
        <v>520</v>
      </c>
      <c r="AR144" s="416">
        <f>IFERROR(__xludf.DUMMYFUNCTION("""COMPUTED_VALUE"""),555.0)</f>
        <v>555</v>
      </c>
      <c r="AS144" s="415">
        <f>IFERROR(__xludf.DUMMYFUNCTION("""COMPUTED_VALUE"""),570.0)</f>
        <v>570</v>
      </c>
      <c r="AT144" s="385" t="str">
        <f>IFERROR(__xludf.DUMMYFUNCTION("""COMPUTED_VALUE"""),"超持続型")</f>
        <v>超持続型</v>
      </c>
      <c r="AU144" s="386">
        <f>IFERROR(__xludf.DUMMYFUNCTION("""COMPUTED_VALUE"""),3.0)</f>
        <v>3</v>
      </c>
      <c r="AV144" s="387" t="str">
        <f>IFERROR(__xludf.DUMMYFUNCTION("""COMPUTED_VALUE"""),"効果時間")</f>
        <v>効果時間</v>
      </c>
      <c r="AW144" s="368" t="str">
        <f>IFERROR(__xludf.DUMMYFUNCTION("""COMPUTED_VALUE"""),"-")</f>
        <v>-</v>
      </c>
      <c r="AX144" s="368" t="str">
        <f>IFERROR(__xludf.DUMMYFUNCTION("""COMPUTED_VALUE"""),"-")</f>
        <v>-</v>
      </c>
      <c r="AY144" s="368" t="str">
        <f>IFERROR(__xludf.DUMMYFUNCTION("""COMPUTED_VALUE"""),"-")</f>
        <v>-</v>
      </c>
      <c r="AZ144" s="368" t="str">
        <f>IFERROR(__xludf.DUMMYFUNCTION("""COMPUTED_VALUE"""),"-")</f>
        <v>-</v>
      </c>
      <c r="BA144" s="368" t="str">
        <f>IFERROR(__xludf.DUMMYFUNCTION("""COMPUTED_VALUE"""),"-")</f>
        <v>-</v>
      </c>
      <c r="BB144" s="280">
        <f>IFERROR(__xludf.DUMMYFUNCTION("""COMPUTED_VALUE"""),635.0)</f>
        <v>635</v>
      </c>
      <c r="BC144" s="280">
        <f>IFERROR(__xludf.DUMMYFUNCTION("""COMPUTED_VALUE"""),705.0)</f>
        <v>705</v>
      </c>
      <c r="BD144" s="280">
        <f>IFERROR(__xludf.DUMMYFUNCTION("""COMPUTED_VALUE"""),720.0)</f>
        <v>720</v>
      </c>
      <c r="BE144" s="385" t="str">
        <f>IFERROR(__xludf.DUMMYFUNCTION("""COMPUTED_VALUE"""),"ハイブリッド型")</f>
        <v>ハイブリッド型</v>
      </c>
      <c r="BF144" s="386">
        <f>IFERROR(__xludf.DUMMYFUNCTION("""COMPUTED_VALUE"""),3.0)</f>
        <v>3</v>
      </c>
      <c r="BG144" s="387" t="str">
        <f>IFERROR(__xludf.DUMMYFUNCTION("""COMPUTED_VALUE"""),"効果時間")</f>
        <v>効果時間</v>
      </c>
      <c r="BH144" s="407">
        <f>IFERROR(__xludf.DUMMYFUNCTION("""COMPUTED_VALUE"""),220.0)</f>
        <v>220</v>
      </c>
      <c r="BI144" s="407">
        <f>IFERROR(__xludf.DUMMYFUNCTION("""COMPUTED_VALUE"""),235.0)</f>
        <v>235</v>
      </c>
      <c r="BJ144" s="407">
        <f>IFERROR(__xludf.DUMMYFUNCTION("""COMPUTED_VALUE"""),240.0)</f>
        <v>240</v>
      </c>
      <c r="BK144" s="408">
        <f>IFERROR(__xludf.DUMMYFUNCTION("""COMPUTED_VALUE"""),250.0)</f>
        <v>250</v>
      </c>
      <c r="BL144" s="407">
        <f>IFERROR(__xludf.DUMMYFUNCTION("""COMPUTED_VALUE"""),255.0)</f>
        <v>255</v>
      </c>
      <c r="BM144" s="408">
        <f>IFERROR(__xludf.DUMMYFUNCTION("""COMPUTED_VALUE"""),385.0)</f>
        <v>385</v>
      </c>
      <c r="BN144" s="407">
        <f>IFERROR(__xludf.DUMMYFUNCTION("""COMPUTED_VALUE"""),490.0)</f>
        <v>490</v>
      </c>
      <c r="BO144" s="408">
        <f>IFERROR(__xludf.DUMMYFUNCTION("""COMPUTED_VALUE"""),505.0)</f>
        <v>505</v>
      </c>
    </row>
    <row r="145">
      <c r="A145" s="435" t="str">
        <f>IFERROR(__xludf.DUMMYFUNCTION("""COMPUTED_VALUE"""),"ダメージカット(青)")</f>
        <v>ダメージカット(青)</v>
      </c>
      <c r="B145" s="385" t="str">
        <f>IFERROR(__xludf.DUMMYFUNCTION("""COMPUTED_VALUE"""),"超瞬間型")</f>
        <v>超瞬間型</v>
      </c>
      <c r="C145" s="399">
        <f>IFERROR(__xludf.DUMMYFUNCTION("""COMPUTED_VALUE"""),4.0)</f>
        <v>4</v>
      </c>
      <c r="D145" s="400" t="str">
        <f>IFERROR(__xludf.DUMMYFUNCTION("""COMPUTED_VALUE"""),"効果値")</f>
        <v>効果値</v>
      </c>
      <c r="E145" s="401" t="str">
        <f>IFERROR(__xludf.DUMMYFUNCTION("""COMPUTED_VALUE"""),"-")</f>
        <v>-</v>
      </c>
      <c r="F145" s="409" t="str">
        <f>IFERROR(__xludf.DUMMYFUNCTION("""COMPUTED_VALUE"""),"-")</f>
        <v>-</v>
      </c>
      <c r="G145" s="409" t="str">
        <f>IFERROR(__xludf.DUMMYFUNCTION("""COMPUTED_VALUE"""),"-")</f>
        <v>-</v>
      </c>
      <c r="H145" s="409" t="str">
        <f>IFERROR(__xludf.DUMMYFUNCTION("""COMPUTED_VALUE"""),"-")</f>
        <v>-</v>
      </c>
      <c r="I145" s="409" t="str">
        <f>IFERROR(__xludf.DUMMYFUNCTION("""COMPUTED_VALUE"""),"-")</f>
        <v>-</v>
      </c>
      <c r="J145" s="410">
        <f>IFERROR(__xludf.DUMMYFUNCTION("""COMPUTED_VALUE"""),59.0)</f>
        <v>59</v>
      </c>
      <c r="K145" s="410">
        <f>IFERROR(__xludf.DUMMYFUNCTION("""COMPUTED_VALUE"""),69.0)</f>
        <v>69</v>
      </c>
      <c r="L145" s="410">
        <f>IFERROR(__xludf.DUMMYFUNCTION("""COMPUTED_VALUE"""),74.0)</f>
        <v>74</v>
      </c>
      <c r="M145" s="385" t="str">
        <f>IFERROR(__xludf.DUMMYFUNCTION("""COMPUTED_VALUE"""),"瞬間型")</f>
        <v>瞬間型</v>
      </c>
      <c r="N145" s="399">
        <f>IFERROR(__xludf.DUMMYFUNCTION("""COMPUTED_VALUE"""),4.0)</f>
        <v>4</v>
      </c>
      <c r="O145" s="400" t="str">
        <f>IFERROR(__xludf.DUMMYFUNCTION("""COMPUTED_VALUE"""),"効果値")</f>
        <v>効果値</v>
      </c>
      <c r="P145" s="343">
        <f>IFERROR(__xludf.DUMMYFUNCTION("""COMPUTED_VALUE"""),23.0)</f>
        <v>23</v>
      </c>
      <c r="Q145" s="402">
        <f>IFERROR(__xludf.DUMMYFUNCTION("""COMPUTED_VALUE"""),23.0)</f>
        <v>23</v>
      </c>
      <c r="R145" s="343">
        <f>IFERROR(__xludf.DUMMYFUNCTION("""COMPUTED_VALUE"""),23.0)</f>
        <v>23</v>
      </c>
      <c r="S145" s="402">
        <f>IFERROR(__xludf.DUMMYFUNCTION("""COMPUTED_VALUE"""),23.0)</f>
        <v>23</v>
      </c>
      <c r="T145" s="343">
        <f>IFERROR(__xludf.DUMMYFUNCTION("""COMPUTED_VALUE"""),23.0)</f>
        <v>23</v>
      </c>
      <c r="U145" s="343">
        <f>IFERROR(__xludf.DUMMYFUNCTION("""COMPUTED_VALUE"""),29.0)</f>
        <v>29</v>
      </c>
      <c r="V145" s="343">
        <f>IFERROR(__xludf.DUMMYFUNCTION("""COMPUTED_VALUE"""),34.0)</f>
        <v>34</v>
      </c>
      <c r="W145" s="343">
        <f>IFERROR(__xludf.DUMMYFUNCTION("""COMPUTED_VALUE"""),39.0)</f>
        <v>39</v>
      </c>
      <c r="X145" s="385" t="str">
        <f>IFERROR(__xludf.DUMMYFUNCTION("""COMPUTED_VALUE"""),"安定型")</f>
        <v>安定型</v>
      </c>
      <c r="Y145" s="399">
        <f>IFERROR(__xludf.DUMMYFUNCTION("""COMPUTED_VALUE"""),4.0)</f>
        <v>4</v>
      </c>
      <c r="Z145" s="400" t="str">
        <f>IFERROR(__xludf.DUMMYFUNCTION("""COMPUTED_VALUE"""),"効果値")</f>
        <v>効果値</v>
      </c>
      <c r="AA145" s="343">
        <f>IFERROR(__xludf.DUMMYFUNCTION("""COMPUTED_VALUE"""),13.0)</f>
        <v>13</v>
      </c>
      <c r="AB145" s="402">
        <f>IFERROR(__xludf.DUMMYFUNCTION("""COMPUTED_VALUE"""),13.0)</f>
        <v>13</v>
      </c>
      <c r="AC145" s="343">
        <f>IFERROR(__xludf.DUMMYFUNCTION("""COMPUTED_VALUE"""),13.0)</f>
        <v>13</v>
      </c>
      <c r="AD145" s="402">
        <f>IFERROR(__xludf.DUMMYFUNCTION("""COMPUTED_VALUE"""),13.0)</f>
        <v>13</v>
      </c>
      <c r="AE145" s="343">
        <f>IFERROR(__xludf.DUMMYFUNCTION("""COMPUTED_VALUE"""),13.0)</f>
        <v>13</v>
      </c>
      <c r="AF145" s="343">
        <f>IFERROR(__xludf.DUMMYFUNCTION("""COMPUTED_VALUE"""),14.0)</f>
        <v>14</v>
      </c>
      <c r="AG145" s="343">
        <f>IFERROR(__xludf.DUMMYFUNCTION("""COMPUTED_VALUE"""),19.0)</f>
        <v>19</v>
      </c>
      <c r="AH145" s="343">
        <f>IFERROR(__xludf.DUMMYFUNCTION("""COMPUTED_VALUE"""),24.0)</f>
        <v>24</v>
      </c>
      <c r="AI145" s="385" t="str">
        <f>IFERROR(__xludf.DUMMYFUNCTION("""COMPUTED_VALUE"""),"持続型")</f>
        <v>持続型</v>
      </c>
      <c r="AJ145" s="399">
        <f>IFERROR(__xludf.DUMMYFUNCTION("""COMPUTED_VALUE"""),4.0)</f>
        <v>4</v>
      </c>
      <c r="AK145" s="400" t="str">
        <f>IFERROR(__xludf.DUMMYFUNCTION("""COMPUTED_VALUE"""),"効果値")</f>
        <v>効果値</v>
      </c>
      <c r="AL145" s="343">
        <f>IFERROR(__xludf.DUMMYFUNCTION("""COMPUTED_VALUE"""),8.0)</f>
        <v>8</v>
      </c>
      <c r="AM145" s="402">
        <f>IFERROR(__xludf.DUMMYFUNCTION("""COMPUTED_VALUE"""),8.0)</f>
        <v>8</v>
      </c>
      <c r="AN145" s="343">
        <f>IFERROR(__xludf.DUMMYFUNCTION("""COMPUTED_VALUE"""),8.0)</f>
        <v>8</v>
      </c>
      <c r="AO145" s="402">
        <f>IFERROR(__xludf.DUMMYFUNCTION("""COMPUTED_VALUE"""),8.0)</f>
        <v>8</v>
      </c>
      <c r="AP145" s="343">
        <f>IFERROR(__xludf.DUMMYFUNCTION("""COMPUTED_VALUE"""),8.0)</f>
        <v>8</v>
      </c>
      <c r="AQ145" s="343">
        <f>IFERROR(__xludf.DUMMYFUNCTION("""COMPUTED_VALUE"""),9.0)</f>
        <v>9</v>
      </c>
      <c r="AR145" s="343">
        <f>IFERROR(__xludf.DUMMYFUNCTION("""COMPUTED_VALUE"""),12.0)</f>
        <v>12</v>
      </c>
      <c r="AS145" s="343">
        <f>IFERROR(__xludf.DUMMYFUNCTION("""COMPUTED_VALUE"""),12.0)</f>
        <v>12</v>
      </c>
      <c r="AT145" s="385" t="str">
        <f>IFERROR(__xludf.DUMMYFUNCTION("""COMPUTED_VALUE"""),"超持続型")</f>
        <v>超持続型</v>
      </c>
      <c r="AU145" s="399">
        <f>IFERROR(__xludf.DUMMYFUNCTION("""COMPUTED_VALUE"""),4.0)</f>
        <v>4</v>
      </c>
      <c r="AV145" s="400" t="str">
        <f>IFERROR(__xludf.DUMMYFUNCTION("""COMPUTED_VALUE"""),"効果値")</f>
        <v>効果値</v>
      </c>
      <c r="AW145" s="403" t="str">
        <f>IFERROR(__xludf.DUMMYFUNCTION("""COMPUTED_VALUE"""),"-")</f>
        <v>-</v>
      </c>
      <c r="AX145" s="403" t="str">
        <f>IFERROR(__xludf.DUMMYFUNCTION("""COMPUTED_VALUE"""),"-")</f>
        <v>-</v>
      </c>
      <c r="AY145" s="403" t="str">
        <f>IFERROR(__xludf.DUMMYFUNCTION("""COMPUTED_VALUE"""),"-")</f>
        <v>-</v>
      </c>
      <c r="AZ145" s="403" t="str">
        <f>IFERROR(__xludf.DUMMYFUNCTION("""COMPUTED_VALUE"""),"-")</f>
        <v>-</v>
      </c>
      <c r="BA145" s="403" t="str">
        <f>IFERROR(__xludf.DUMMYFUNCTION("""COMPUTED_VALUE"""),"-")</f>
        <v>-</v>
      </c>
      <c r="BB145" s="343">
        <f>IFERROR(__xludf.DUMMYFUNCTION("""COMPUTED_VALUE"""),9.0)</f>
        <v>9</v>
      </c>
      <c r="BC145" s="343">
        <f>IFERROR(__xludf.DUMMYFUNCTION("""COMPUTED_VALUE"""),12.0)</f>
        <v>12</v>
      </c>
      <c r="BD145" s="343">
        <f>IFERROR(__xludf.DUMMYFUNCTION("""COMPUTED_VALUE"""),12.0)</f>
        <v>12</v>
      </c>
      <c r="BE145" s="385" t="str">
        <f>IFERROR(__xludf.DUMMYFUNCTION("""COMPUTED_VALUE"""),"ハイブリッド型")</f>
        <v>ハイブリッド型</v>
      </c>
      <c r="BF145" s="399">
        <f>IFERROR(__xludf.DUMMYFUNCTION("""COMPUTED_VALUE"""),4.0)</f>
        <v>4</v>
      </c>
      <c r="BG145" s="400" t="str">
        <f>IFERROR(__xludf.DUMMYFUNCTION("""COMPUTED_VALUE"""),"効果値")</f>
        <v>効果値</v>
      </c>
      <c r="BH145" s="411">
        <f>IFERROR(__xludf.DUMMYFUNCTION("""COMPUTED_VALUE"""),11.8)</f>
        <v>11.8</v>
      </c>
      <c r="BI145" s="412">
        <f>IFERROR(__xludf.DUMMYFUNCTION("""COMPUTED_VALUE"""),12.4)</f>
        <v>12.4</v>
      </c>
      <c r="BJ145" s="412">
        <f>IFERROR(__xludf.DUMMYFUNCTION("""COMPUTED_VALUE"""),13.1)</f>
        <v>13.1</v>
      </c>
      <c r="BK145" s="412">
        <f>IFERROR(__xludf.DUMMYFUNCTION("""COMPUTED_VALUE"""),13.7)</f>
        <v>13.7</v>
      </c>
      <c r="BL145" s="412">
        <f>IFERROR(__xludf.DUMMYFUNCTION("""COMPUTED_VALUE"""),14.4)</f>
        <v>14.4</v>
      </c>
      <c r="BM145" s="412">
        <f>IFERROR(__xludf.DUMMYFUNCTION("""COMPUTED_VALUE"""),19.4)</f>
        <v>19.4</v>
      </c>
      <c r="BN145" s="412">
        <f>IFERROR(__xludf.DUMMYFUNCTION("""COMPUTED_VALUE"""),24.0)</f>
        <v>24</v>
      </c>
      <c r="BO145" s="413">
        <f>IFERROR(__xludf.DUMMYFUNCTION("""COMPUTED_VALUE"""),29.0)</f>
        <v>29</v>
      </c>
    </row>
    <row r="146">
      <c r="A146" s="435" t="str">
        <f>IFERROR(__xludf.DUMMYFUNCTION("""COMPUTED_VALUE"""),"ダメージカット(青)")</f>
        <v>ダメージカット(青)</v>
      </c>
      <c r="B146" s="385" t="str">
        <f>IFERROR(__xludf.DUMMYFUNCTION("""COMPUTED_VALUE"""),"超瞬間型")</f>
        <v>超瞬間型</v>
      </c>
      <c r="C146" s="386">
        <f>IFERROR(__xludf.DUMMYFUNCTION("""COMPUTED_VALUE"""),4.0)</f>
        <v>4</v>
      </c>
      <c r="D146" s="387" t="str">
        <f>IFERROR(__xludf.DUMMYFUNCTION("""COMPUTED_VALUE"""),"効果時間")</f>
        <v>効果時間</v>
      </c>
      <c r="E146" s="388" t="str">
        <f>IFERROR(__xludf.DUMMYFUNCTION("""COMPUTED_VALUE"""),"-")</f>
        <v>-</v>
      </c>
      <c r="F146" s="389" t="str">
        <f>IFERROR(__xludf.DUMMYFUNCTION("""COMPUTED_VALUE"""),"-")</f>
        <v>-</v>
      </c>
      <c r="G146" s="388" t="str">
        <f>IFERROR(__xludf.DUMMYFUNCTION("""COMPUTED_VALUE"""),"-")</f>
        <v>-</v>
      </c>
      <c r="H146" s="389" t="str">
        <f>IFERROR(__xludf.DUMMYFUNCTION("""COMPUTED_VALUE"""),"-")</f>
        <v>-</v>
      </c>
      <c r="I146" s="388" t="str">
        <f>IFERROR(__xludf.DUMMYFUNCTION("""COMPUTED_VALUE"""),"-")</f>
        <v>-</v>
      </c>
      <c r="J146" s="390">
        <f>IFERROR(__xludf.DUMMYFUNCTION("""COMPUTED_VALUE"""),155.0)</f>
        <v>155</v>
      </c>
      <c r="K146" s="391">
        <f>IFERROR(__xludf.DUMMYFUNCTION("""COMPUTED_VALUE"""),170.0)</f>
        <v>170</v>
      </c>
      <c r="L146" s="340">
        <f>IFERROR(__xludf.DUMMYFUNCTION("""COMPUTED_VALUE"""),195.0)</f>
        <v>195</v>
      </c>
      <c r="M146" s="385" t="str">
        <f>IFERROR(__xludf.DUMMYFUNCTION("""COMPUTED_VALUE"""),"瞬間型")</f>
        <v>瞬間型</v>
      </c>
      <c r="N146" s="386">
        <f>IFERROR(__xludf.DUMMYFUNCTION("""COMPUTED_VALUE"""),4.0)</f>
        <v>4</v>
      </c>
      <c r="O146" s="387" t="str">
        <f>IFERROR(__xludf.DUMMYFUNCTION("""COMPUTED_VALUE"""),"効果時間")</f>
        <v>効果時間</v>
      </c>
      <c r="P146" s="280">
        <f>IFERROR(__xludf.DUMMYFUNCTION("""COMPUTED_VALUE"""),170.0)</f>
        <v>170</v>
      </c>
      <c r="Q146" s="275">
        <f>IFERROR(__xludf.DUMMYFUNCTION("""COMPUTED_VALUE"""),180.0)</f>
        <v>180</v>
      </c>
      <c r="R146" s="280">
        <f>IFERROR(__xludf.DUMMYFUNCTION("""COMPUTED_VALUE"""),185.0)</f>
        <v>185</v>
      </c>
      <c r="S146" s="275">
        <f>IFERROR(__xludf.DUMMYFUNCTION("""COMPUTED_VALUE"""),195.0)</f>
        <v>195</v>
      </c>
      <c r="T146" s="280">
        <f>IFERROR(__xludf.DUMMYFUNCTION("""COMPUTED_VALUE"""),200.0)</f>
        <v>200</v>
      </c>
      <c r="U146" s="280">
        <f>IFERROR(__xludf.DUMMYFUNCTION("""COMPUTED_VALUE"""),215.0)</f>
        <v>215</v>
      </c>
      <c r="V146" s="280">
        <f>IFERROR(__xludf.DUMMYFUNCTION("""COMPUTED_VALUE"""),285.0)</f>
        <v>285</v>
      </c>
      <c r="W146" s="280">
        <f>IFERROR(__xludf.DUMMYFUNCTION("""COMPUTED_VALUE"""),305.0)</f>
        <v>305</v>
      </c>
      <c r="X146" s="385" t="str">
        <f>IFERROR(__xludf.DUMMYFUNCTION("""COMPUTED_VALUE"""),"安定型")</f>
        <v>安定型</v>
      </c>
      <c r="Y146" s="386">
        <f>IFERROR(__xludf.DUMMYFUNCTION("""COMPUTED_VALUE"""),4.0)</f>
        <v>4</v>
      </c>
      <c r="Z146" s="387" t="str">
        <f>IFERROR(__xludf.DUMMYFUNCTION("""COMPUTED_VALUE"""),"効果時間")</f>
        <v>効果時間</v>
      </c>
      <c r="AA146" s="280">
        <f>IFERROR(__xludf.DUMMYFUNCTION("""COMPUTED_VALUE"""),320.0)</f>
        <v>320</v>
      </c>
      <c r="AB146" s="275">
        <f>IFERROR(__xludf.DUMMYFUNCTION("""COMPUTED_VALUE"""),330.0)</f>
        <v>330</v>
      </c>
      <c r="AC146" s="280">
        <f>IFERROR(__xludf.DUMMYFUNCTION("""COMPUTED_VALUE"""),335.0)</f>
        <v>335</v>
      </c>
      <c r="AD146" s="275">
        <f>IFERROR(__xludf.DUMMYFUNCTION("""COMPUTED_VALUE"""),345.0)</f>
        <v>345</v>
      </c>
      <c r="AE146" s="280">
        <f>IFERROR(__xludf.DUMMYFUNCTION("""COMPUTED_VALUE"""),350.0)</f>
        <v>350</v>
      </c>
      <c r="AF146" s="280">
        <f>IFERROR(__xludf.DUMMYFUNCTION("""COMPUTED_VALUE"""),390.0)</f>
        <v>390</v>
      </c>
      <c r="AG146" s="280">
        <f>IFERROR(__xludf.DUMMYFUNCTION("""COMPUTED_VALUE"""),435.0)</f>
        <v>435</v>
      </c>
      <c r="AH146" s="280">
        <f>IFERROR(__xludf.DUMMYFUNCTION("""COMPUTED_VALUE"""),455.0)</f>
        <v>455</v>
      </c>
      <c r="AI146" s="385" t="str">
        <f>IFERROR(__xludf.DUMMYFUNCTION("""COMPUTED_VALUE"""),"持続型")</f>
        <v>持続型</v>
      </c>
      <c r="AJ146" s="386">
        <f>IFERROR(__xludf.DUMMYFUNCTION("""COMPUTED_VALUE"""),4.0)</f>
        <v>4</v>
      </c>
      <c r="AK146" s="387" t="str">
        <f>IFERROR(__xludf.DUMMYFUNCTION("""COMPUTED_VALUE"""),"効果時間")</f>
        <v>効果時間</v>
      </c>
      <c r="AL146" s="280">
        <f>IFERROR(__xludf.DUMMYFUNCTION("""COMPUTED_VALUE"""),470.0)</f>
        <v>470</v>
      </c>
      <c r="AM146" s="275">
        <f>IFERROR(__xludf.DUMMYFUNCTION("""COMPUTED_VALUE"""),480.0)</f>
        <v>480</v>
      </c>
      <c r="AN146" s="280">
        <f>IFERROR(__xludf.DUMMYFUNCTION("""COMPUTED_VALUE"""),485.0)</f>
        <v>485</v>
      </c>
      <c r="AO146" s="275">
        <f>IFERROR(__xludf.DUMMYFUNCTION("""COMPUTED_VALUE"""),495.0)</f>
        <v>495</v>
      </c>
      <c r="AP146" s="280">
        <f>IFERROR(__xludf.DUMMYFUNCTION("""COMPUTED_VALUE"""),500.0)</f>
        <v>500</v>
      </c>
      <c r="AQ146" s="280">
        <f>IFERROR(__xludf.DUMMYFUNCTION("""COMPUTED_VALUE"""),540.0)</f>
        <v>540</v>
      </c>
      <c r="AR146" s="280">
        <f>IFERROR(__xludf.DUMMYFUNCTION("""COMPUTED_VALUE"""),585.0)</f>
        <v>585</v>
      </c>
      <c r="AS146" s="280">
        <f>IFERROR(__xludf.DUMMYFUNCTION("""COMPUTED_VALUE"""),605.0)</f>
        <v>605</v>
      </c>
      <c r="AT146" s="385" t="str">
        <f>IFERROR(__xludf.DUMMYFUNCTION("""COMPUTED_VALUE"""),"超持続型")</f>
        <v>超持続型</v>
      </c>
      <c r="AU146" s="386">
        <f>IFERROR(__xludf.DUMMYFUNCTION("""COMPUTED_VALUE"""),4.0)</f>
        <v>4</v>
      </c>
      <c r="AV146" s="387" t="str">
        <f>IFERROR(__xludf.DUMMYFUNCTION("""COMPUTED_VALUE"""),"効果時間")</f>
        <v>効果時間</v>
      </c>
      <c r="AW146" s="368" t="str">
        <f>IFERROR(__xludf.DUMMYFUNCTION("""COMPUTED_VALUE"""),"-")</f>
        <v>-</v>
      </c>
      <c r="AX146" s="368" t="str">
        <f>IFERROR(__xludf.DUMMYFUNCTION("""COMPUTED_VALUE"""),"-")</f>
        <v>-</v>
      </c>
      <c r="AY146" s="368" t="str">
        <f>IFERROR(__xludf.DUMMYFUNCTION("""COMPUTED_VALUE"""),"-")</f>
        <v>-</v>
      </c>
      <c r="AZ146" s="368" t="str">
        <f>IFERROR(__xludf.DUMMYFUNCTION("""COMPUTED_VALUE"""),"-")</f>
        <v>-</v>
      </c>
      <c r="BA146" s="368" t="str">
        <f>IFERROR(__xludf.DUMMYFUNCTION("""COMPUTED_VALUE"""),"-")</f>
        <v>-</v>
      </c>
      <c r="BB146" s="280">
        <f>IFERROR(__xludf.DUMMYFUNCTION("""COMPUTED_VALUE"""),645.0)</f>
        <v>645</v>
      </c>
      <c r="BC146" s="280">
        <f>IFERROR(__xludf.DUMMYFUNCTION("""COMPUTED_VALUE"""),735.0)</f>
        <v>735</v>
      </c>
      <c r="BD146" s="280">
        <f>IFERROR(__xludf.DUMMYFUNCTION("""COMPUTED_VALUE"""),755.0)</f>
        <v>755</v>
      </c>
      <c r="BE146" s="385" t="str">
        <f>IFERROR(__xludf.DUMMYFUNCTION("""COMPUTED_VALUE"""),"ハイブリッド型")</f>
        <v>ハイブリッド型</v>
      </c>
      <c r="BF146" s="386">
        <f>IFERROR(__xludf.DUMMYFUNCTION("""COMPUTED_VALUE"""),4.0)</f>
        <v>4</v>
      </c>
      <c r="BG146" s="387" t="str">
        <f>IFERROR(__xludf.DUMMYFUNCTION("""COMPUTED_VALUE"""),"効果時間")</f>
        <v>効果時間</v>
      </c>
      <c r="BH146" s="417">
        <f>IFERROR(__xludf.DUMMYFUNCTION("""COMPUTED_VALUE"""),240.0)</f>
        <v>240</v>
      </c>
      <c r="BI146" s="417">
        <f>IFERROR(__xludf.DUMMYFUNCTION("""COMPUTED_VALUE"""),255.0)</f>
        <v>255</v>
      </c>
      <c r="BJ146" s="417">
        <f>IFERROR(__xludf.DUMMYFUNCTION("""COMPUTED_VALUE"""),265.0)</f>
        <v>265</v>
      </c>
      <c r="BK146" s="418">
        <f>IFERROR(__xludf.DUMMYFUNCTION("""COMPUTED_VALUE"""),275.0)</f>
        <v>275</v>
      </c>
      <c r="BL146" s="417">
        <f>IFERROR(__xludf.DUMMYFUNCTION("""COMPUTED_VALUE"""),285.0)</f>
        <v>285</v>
      </c>
      <c r="BM146" s="418">
        <f>IFERROR(__xludf.DUMMYFUNCTION("""COMPUTED_VALUE"""),395.0)</f>
        <v>395</v>
      </c>
      <c r="BN146" s="417">
        <f>IFERROR(__xludf.DUMMYFUNCTION("""COMPUTED_VALUE"""),500.0)</f>
        <v>500</v>
      </c>
      <c r="BO146" s="418">
        <f>IFERROR(__xludf.DUMMYFUNCTION("""COMPUTED_VALUE"""),520.0)</f>
        <v>520</v>
      </c>
    </row>
    <row r="147">
      <c r="A147" s="435" t="str">
        <f>IFERROR(__xludf.DUMMYFUNCTION("""COMPUTED_VALUE"""),"ダメージカット(青)")</f>
        <v>ダメージカット(青)</v>
      </c>
      <c r="B147" s="385" t="str">
        <f>IFERROR(__xludf.DUMMYFUNCTION("""COMPUTED_VALUE"""),"超瞬間型")</f>
        <v>超瞬間型</v>
      </c>
      <c r="C147" s="399">
        <f>IFERROR(__xludf.DUMMYFUNCTION("""COMPUTED_VALUE"""),5.0)</f>
        <v>5</v>
      </c>
      <c r="D147" s="400" t="str">
        <f>IFERROR(__xludf.DUMMYFUNCTION("""COMPUTED_VALUE"""),"効果値")</f>
        <v>効果値</v>
      </c>
      <c r="E147" s="419" t="str">
        <f>IFERROR(__xludf.DUMMYFUNCTION("""COMPUTED_VALUE"""),"-")</f>
        <v>-</v>
      </c>
      <c r="F147" s="409" t="str">
        <f>IFERROR(__xludf.DUMMYFUNCTION("""COMPUTED_VALUE"""),"-")</f>
        <v>-</v>
      </c>
      <c r="G147" s="409" t="str">
        <f>IFERROR(__xludf.DUMMYFUNCTION("""COMPUTED_VALUE"""),"-")</f>
        <v>-</v>
      </c>
      <c r="H147" s="409" t="str">
        <f>IFERROR(__xludf.DUMMYFUNCTION("""COMPUTED_VALUE"""),"-")</f>
        <v>-</v>
      </c>
      <c r="I147" s="409" t="str">
        <f>IFERROR(__xludf.DUMMYFUNCTION("""COMPUTED_VALUE"""),"-")</f>
        <v>-</v>
      </c>
      <c r="J147" s="420">
        <f>IFERROR(__xludf.DUMMYFUNCTION("""COMPUTED_VALUE"""),60.0)</f>
        <v>60</v>
      </c>
      <c r="K147" s="421">
        <f>IFERROR(__xludf.DUMMYFUNCTION("""COMPUTED_VALUE"""),70.0)</f>
        <v>70</v>
      </c>
      <c r="L147" s="421">
        <f>IFERROR(__xludf.DUMMYFUNCTION("""COMPUTED_VALUE"""),75.0)</f>
        <v>75</v>
      </c>
      <c r="M147" s="385" t="str">
        <f>IFERROR(__xludf.DUMMYFUNCTION("""COMPUTED_VALUE"""),"瞬間型")</f>
        <v>瞬間型</v>
      </c>
      <c r="N147" s="399">
        <f>IFERROR(__xludf.DUMMYFUNCTION("""COMPUTED_VALUE"""),5.0)</f>
        <v>5</v>
      </c>
      <c r="O147" s="400" t="str">
        <f>IFERROR(__xludf.DUMMYFUNCTION("""COMPUTED_VALUE"""),"効果値")</f>
        <v>効果値</v>
      </c>
      <c r="P147" s="422">
        <f>IFERROR(__xludf.DUMMYFUNCTION("""COMPUTED_VALUE"""),23.0)</f>
        <v>23</v>
      </c>
      <c r="Q147" s="423">
        <f>IFERROR(__xludf.DUMMYFUNCTION("""COMPUTED_VALUE"""),23.0)</f>
        <v>23</v>
      </c>
      <c r="R147" s="422">
        <f>IFERROR(__xludf.DUMMYFUNCTION("""COMPUTED_VALUE"""),24.0)</f>
        <v>24</v>
      </c>
      <c r="S147" s="423">
        <f>IFERROR(__xludf.DUMMYFUNCTION("""COMPUTED_VALUE"""),24.0)</f>
        <v>24</v>
      </c>
      <c r="T147" s="422">
        <f>IFERROR(__xludf.DUMMYFUNCTION("""COMPUTED_VALUE"""),24.0)</f>
        <v>24</v>
      </c>
      <c r="U147" s="423">
        <f>IFERROR(__xludf.DUMMYFUNCTION("""COMPUTED_VALUE"""),30.0)</f>
        <v>30</v>
      </c>
      <c r="V147" s="423">
        <f>IFERROR(__xludf.DUMMYFUNCTION("""COMPUTED_VALUE"""),35.0)</f>
        <v>35</v>
      </c>
      <c r="W147" s="424">
        <f>IFERROR(__xludf.DUMMYFUNCTION("""COMPUTED_VALUE"""),40.0)</f>
        <v>40</v>
      </c>
      <c r="X147" s="385" t="str">
        <f>IFERROR(__xludf.DUMMYFUNCTION("""COMPUTED_VALUE"""),"安定型")</f>
        <v>安定型</v>
      </c>
      <c r="Y147" s="399">
        <f>IFERROR(__xludf.DUMMYFUNCTION("""COMPUTED_VALUE"""),5.0)</f>
        <v>5</v>
      </c>
      <c r="Z147" s="400" t="str">
        <f>IFERROR(__xludf.DUMMYFUNCTION("""COMPUTED_VALUE"""),"効果値")</f>
        <v>効果値</v>
      </c>
      <c r="AA147" s="422">
        <f>IFERROR(__xludf.DUMMYFUNCTION("""COMPUTED_VALUE"""),13.0)</f>
        <v>13</v>
      </c>
      <c r="AB147" s="423">
        <f>IFERROR(__xludf.DUMMYFUNCTION("""COMPUTED_VALUE"""),13.0)</f>
        <v>13</v>
      </c>
      <c r="AC147" s="422">
        <f>IFERROR(__xludf.DUMMYFUNCTION("""COMPUTED_VALUE"""),14.0)</f>
        <v>14</v>
      </c>
      <c r="AD147" s="423">
        <f>IFERROR(__xludf.DUMMYFUNCTION("""COMPUTED_VALUE"""),14.0)</f>
        <v>14</v>
      </c>
      <c r="AE147" s="422">
        <f>IFERROR(__xludf.DUMMYFUNCTION("""COMPUTED_VALUE"""),14.0)</f>
        <v>14</v>
      </c>
      <c r="AF147" s="423">
        <f>IFERROR(__xludf.DUMMYFUNCTION("""COMPUTED_VALUE"""),15.0)</f>
        <v>15</v>
      </c>
      <c r="AG147" s="423">
        <f>IFERROR(__xludf.DUMMYFUNCTION("""COMPUTED_VALUE"""),20.0)</f>
        <v>20</v>
      </c>
      <c r="AH147" s="424">
        <f>IFERROR(__xludf.DUMMYFUNCTION("""COMPUTED_VALUE"""),25.0)</f>
        <v>25</v>
      </c>
      <c r="AI147" s="385" t="str">
        <f>IFERROR(__xludf.DUMMYFUNCTION("""COMPUTED_VALUE"""),"持続型")</f>
        <v>持続型</v>
      </c>
      <c r="AJ147" s="399">
        <f>IFERROR(__xludf.DUMMYFUNCTION("""COMPUTED_VALUE"""),5.0)</f>
        <v>5</v>
      </c>
      <c r="AK147" s="400" t="str">
        <f>IFERROR(__xludf.DUMMYFUNCTION("""COMPUTED_VALUE"""),"効果値")</f>
        <v>効果値</v>
      </c>
      <c r="AL147" s="422">
        <f>IFERROR(__xludf.DUMMYFUNCTION("""COMPUTED_VALUE"""),8.0)</f>
        <v>8</v>
      </c>
      <c r="AM147" s="423">
        <f>IFERROR(__xludf.DUMMYFUNCTION("""COMPUTED_VALUE"""),8.0)</f>
        <v>8</v>
      </c>
      <c r="AN147" s="422">
        <f>IFERROR(__xludf.DUMMYFUNCTION("""COMPUTED_VALUE"""),9.0)</f>
        <v>9</v>
      </c>
      <c r="AO147" s="423">
        <f>IFERROR(__xludf.DUMMYFUNCTION("""COMPUTED_VALUE"""),9.0)</f>
        <v>9</v>
      </c>
      <c r="AP147" s="422">
        <f>IFERROR(__xludf.DUMMYFUNCTION("""COMPUTED_VALUE"""),9.0)</f>
        <v>9</v>
      </c>
      <c r="AQ147" s="423">
        <f>IFERROR(__xludf.DUMMYFUNCTION("""COMPUTED_VALUE"""),10.0)</f>
        <v>10</v>
      </c>
      <c r="AR147" s="423">
        <f>IFERROR(__xludf.DUMMYFUNCTION("""COMPUTED_VALUE"""),12.0)</f>
        <v>12</v>
      </c>
      <c r="AS147" s="424">
        <f>IFERROR(__xludf.DUMMYFUNCTION("""COMPUTED_VALUE"""),12.0)</f>
        <v>12</v>
      </c>
      <c r="AT147" s="385" t="str">
        <f>IFERROR(__xludf.DUMMYFUNCTION("""COMPUTED_VALUE"""),"超持続型")</f>
        <v>超持続型</v>
      </c>
      <c r="AU147" s="399">
        <f>IFERROR(__xludf.DUMMYFUNCTION("""COMPUTED_VALUE"""),5.0)</f>
        <v>5</v>
      </c>
      <c r="AV147" s="400" t="str">
        <f>IFERROR(__xludf.DUMMYFUNCTION("""COMPUTED_VALUE"""),"効果値")</f>
        <v>効果値</v>
      </c>
      <c r="AW147" s="425" t="str">
        <f>IFERROR(__xludf.DUMMYFUNCTION("""COMPUTED_VALUE"""),"-")</f>
        <v>-</v>
      </c>
      <c r="AX147" s="426" t="str">
        <f>IFERROR(__xludf.DUMMYFUNCTION("""COMPUTED_VALUE"""),"-")</f>
        <v>-</v>
      </c>
      <c r="AY147" s="426" t="str">
        <f>IFERROR(__xludf.DUMMYFUNCTION("""COMPUTED_VALUE"""),"-")</f>
        <v>-</v>
      </c>
      <c r="AZ147" s="426" t="str">
        <f>IFERROR(__xludf.DUMMYFUNCTION("""COMPUTED_VALUE"""),"-")</f>
        <v>-</v>
      </c>
      <c r="BA147" s="426" t="str">
        <f>IFERROR(__xludf.DUMMYFUNCTION("""COMPUTED_VALUE"""),"-")</f>
        <v>-</v>
      </c>
      <c r="BB147" s="423">
        <f>IFERROR(__xludf.DUMMYFUNCTION("""COMPUTED_VALUE"""),10.0)</f>
        <v>10</v>
      </c>
      <c r="BC147" s="423">
        <f>IFERROR(__xludf.DUMMYFUNCTION("""COMPUTED_VALUE"""),12.0)</f>
        <v>12</v>
      </c>
      <c r="BD147" s="424">
        <f>IFERROR(__xludf.DUMMYFUNCTION("""COMPUTED_VALUE"""),12.0)</f>
        <v>12</v>
      </c>
      <c r="BE147" s="385" t="str">
        <f>IFERROR(__xludf.DUMMYFUNCTION("""COMPUTED_VALUE"""),"ハイブリッド型")</f>
        <v>ハイブリッド型</v>
      </c>
      <c r="BF147" s="399">
        <f>IFERROR(__xludf.DUMMYFUNCTION("""COMPUTED_VALUE"""),5.0)</f>
        <v>5</v>
      </c>
      <c r="BG147" s="400" t="str">
        <f>IFERROR(__xludf.DUMMYFUNCTION("""COMPUTED_VALUE"""),"効果値")</f>
        <v>効果値</v>
      </c>
      <c r="BH147" s="427">
        <f>IFERROR(__xludf.DUMMYFUNCTION("""COMPUTED_VALUE"""),12.0)</f>
        <v>12</v>
      </c>
      <c r="BI147" s="428">
        <f>IFERROR(__xludf.DUMMYFUNCTION("""COMPUTED_VALUE"""),12.75)</f>
        <v>12.75</v>
      </c>
      <c r="BJ147" s="428">
        <f>IFERROR(__xludf.DUMMYFUNCTION("""COMPUTED_VALUE"""),13.5)</f>
        <v>13.5</v>
      </c>
      <c r="BK147" s="428">
        <f>IFERROR(__xludf.DUMMYFUNCTION("""COMPUTED_VALUE"""),14.25)</f>
        <v>14.25</v>
      </c>
      <c r="BL147" s="427">
        <f>IFERROR(__xludf.DUMMYFUNCTION("""COMPUTED_VALUE"""),15.0)</f>
        <v>15</v>
      </c>
      <c r="BM147" s="427">
        <f>IFERROR(__xludf.DUMMYFUNCTION("""COMPUTED_VALUE"""),20.0)</f>
        <v>20</v>
      </c>
      <c r="BN147" s="427">
        <f>IFERROR(__xludf.DUMMYFUNCTION("""COMPUTED_VALUE"""),25.0)</f>
        <v>25</v>
      </c>
      <c r="BO147" s="429">
        <f>IFERROR(__xludf.DUMMYFUNCTION("""COMPUTED_VALUE"""),30.0)</f>
        <v>30</v>
      </c>
    </row>
    <row r="148">
      <c r="A148" s="435" t="str">
        <f>IFERROR(__xludf.DUMMYFUNCTION("""COMPUTED_VALUE"""),"ダメージカット(青)")</f>
        <v>ダメージカット(青)</v>
      </c>
      <c r="B148" s="385" t="str">
        <f>IFERROR(__xludf.DUMMYFUNCTION("""COMPUTED_VALUE"""),"超瞬間型")</f>
        <v>超瞬間型</v>
      </c>
      <c r="C148" s="430">
        <f>IFERROR(__xludf.DUMMYFUNCTION("""COMPUTED_VALUE"""),5.0)</f>
        <v>5</v>
      </c>
      <c r="D148" s="431" t="str">
        <f>IFERROR(__xludf.DUMMYFUNCTION("""COMPUTED_VALUE"""),"効果時間")</f>
        <v>効果時間</v>
      </c>
      <c r="E148" s="388" t="str">
        <f>IFERROR(__xludf.DUMMYFUNCTION("""COMPUTED_VALUE"""),"-")</f>
        <v>-</v>
      </c>
      <c r="F148" s="389" t="str">
        <f>IFERROR(__xludf.DUMMYFUNCTION("""COMPUTED_VALUE"""),"-")</f>
        <v>-</v>
      </c>
      <c r="G148" s="388" t="str">
        <f>IFERROR(__xludf.DUMMYFUNCTION("""COMPUTED_VALUE"""),"-")</f>
        <v>-</v>
      </c>
      <c r="H148" s="389" t="str">
        <f>IFERROR(__xludf.DUMMYFUNCTION("""COMPUTED_VALUE"""),"-")</f>
        <v>-</v>
      </c>
      <c r="I148" s="388" t="str">
        <f>IFERROR(__xludf.DUMMYFUNCTION("""COMPUTED_VALUE"""),"-")</f>
        <v>-</v>
      </c>
      <c r="J148" s="390">
        <f>IFERROR(__xludf.DUMMYFUNCTION("""COMPUTED_VALUE"""),160.0)</f>
        <v>160</v>
      </c>
      <c r="K148" s="391">
        <f>IFERROR(__xludf.DUMMYFUNCTION("""COMPUTED_VALUE"""),175.0)</f>
        <v>175</v>
      </c>
      <c r="L148" s="340">
        <f>IFERROR(__xludf.DUMMYFUNCTION("""COMPUTED_VALUE"""),200.0)</f>
        <v>200</v>
      </c>
      <c r="M148" s="385" t="str">
        <f>IFERROR(__xludf.DUMMYFUNCTION("""COMPUTED_VALUE"""),"瞬間型")</f>
        <v>瞬間型</v>
      </c>
      <c r="N148" s="430">
        <f>IFERROR(__xludf.DUMMYFUNCTION("""COMPUTED_VALUE"""),5.0)</f>
        <v>5</v>
      </c>
      <c r="O148" s="431" t="str">
        <f>IFERROR(__xludf.DUMMYFUNCTION("""COMPUTED_VALUE"""),"効果時間")</f>
        <v>効果時間</v>
      </c>
      <c r="P148" s="392">
        <f>IFERROR(__xludf.DUMMYFUNCTION("""COMPUTED_VALUE"""),175.0)</f>
        <v>175</v>
      </c>
      <c r="Q148" s="414">
        <f>IFERROR(__xludf.DUMMYFUNCTION("""COMPUTED_VALUE"""),185.0)</f>
        <v>185</v>
      </c>
      <c r="R148" s="414">
        <f>IFERROR(__xludf.DUMMYFUNCTION("""COMPUTED_VALUE"""),190.0)</f>
        <v>190</v>
      </c>
      <c r="S148" s="414">
        <f>IFERROR(__xludf.DUMMYFUNCTION("""COMPUTED_VALUE"""),195.0)</f>
        <v>195</v>
      </c>
      <c r="T148" s="394">
        <f>IFERROR(__xludf.DUMMYFUNCTION("""COMPUTED_VALUE"""),200.0)</f>
        <v>200</v>
      </c>
      <c r="U148" s="394">
        <f>IFERROR(__xludf.DUMMYFUNCTION("""COMPUTED_VALUE"""),225.0)</f>
        <v>225</v>
      </c>
      <c r="V148" s="394">
        <f>IFERROR(__xludf.DUMMYFUNCTION("""COMPUTED_VALUE"""),300.0)</f>
        <v>300</v>
      </c>
      <c r="W148" s="394">
        <f>IFERROR(__xludf.DUMMYFUNCTION("""COMPUTED_VALUE"""),325.0)</f>
        <v>325</v>
      </c>
      <c r="X148" s="385" t="str">
        <f>IFERROR(__xludf.DUMMYFUNCTION("""COMPUTED_VALUE"""),"安定型")</f>
        <v>安定型</v>
      </c>
      <c r="Y148" s="430">
        <f>IFERROR(__xludf.DUMMYFUNCTION("""COMPUTED_VALUE"""),5.0)</f>
        <v>5</v>
      </c>
      <c r="Z148" s="431" t="str">
        <f>IFERROR(__xludf.DUMMYFUNCTION("""COMPUTED_VALUE"""),"効果時間")</f>
        <v>効果時間</v>
      </c>
      <c r="AA148" s="392">
        <f>IFERROR(__xludf.DUMMYFUNCTION("""COMPUTED_VALUE"""),325.0)</f>
        <v>325</v>
      </c>
      <c r="AB148" s="414">
        <f>IFERROR(__xludf.DUMMYFUNCTION("""COMPUTED_VALUE"""),335.0)</f>
        <v>335</v>
      </c>
      <c r="AC148" s="414">
        <f>IFERROR(__xludf.DUMMYFUNCTION("""COMPUTED_VALUE"""),340.0)</f>
        <v>340</v>
      </c>
      <c r="AD148" s="414">
        <f>IFERROR(__xludf.DUMMYFUNCTION("""COMPUTED_VALUE"""),345.0)</f>
        <v>345</v>
      </c>
      <c r="AE148" s="394">
        <f>IFERROR(__xludf.DUMMYFUNCTION("""COMPUTED_VALUE"""),350.0)</f>
        <v>350</v>
      </c>
      <c r="AF148" s="394">
        <f>IFERROR(__xludf.DUMMYFUNCTION("""COMPUTED_VALUE"""),400.0)</f>
        <v>400</v>
      </c>
      <c r="AG148" s="394">
        <f>IFERROR(__xludf.DUMMYFUNCTION("""COMPUTED_VALUE"""),450.0)</f>
        <v>450</v>
      </c>
      <c r="AH148" s="394">
        <f>IFERROR(__xludf.DUMMYFUNCTION("""COMPUTED_VALUE"""),475.0)</f>
        <v>475</v>
      </c>
      <c r="AI148" s="385" t="str">
        <f>IFERROR(__xludf.DUMMYFUNCTION("""COMPUTED_VALUE"""),"持続型")</f>
        <v>持続型</v>
      </c>
      <c r="AJ148" s="430">
        <f>IFERROR(__xludf.DUMMYFUNCTION("""COMPUTED_VALUE"""),5.0)</f>
        <v>5</v>
      </c>
      <c r="AK148" s="431" t="str">
        <f>IFERROR(__xludf.DUMMYFUNCTION("""COMPUTED_VALUE"""),"効果時間")</f>
        <v>効果時間</v>
      </c>
      <c r="AL148" s="392">
        <f>IFERROR(__xludf.DUMMYFUNCTION("""COMPUTED_VALUE"""),475.0)</f>
        <v>475</v>
      </c>
      <c r="AM148" s="414">
        <f>IFERROR(__xludf.DUMMYFUNCTION("""COMPUTED_VALUE"""),485.0)</f>
        <v>485</v>
      </c>
      <c r="AN148" s="414">
        <f>IFERROR(__xludf.DUMMYFUNCTION("""COMPUTED_VALUE"""),490.0)</f>
        <v>490</v>
      </c>
      <c r="AO148" s="414">
        <f>IFERROR(__xludf.DUMMYFUNCTION("""COMPUTED_VALUE"""),495.0)</f>
        <v>495</v>
      </c>
      <c r="AP148" s="394">
        <f>IFERROR(__xludf.DUMMYFUNCTION("""COMPUTED_VALUE"""),500.0)</f>
        <v>500</v>
      </c>
      <c r="AQ148" s="394">
        <f>IFERROR(__xludf.DUMMYFUNCTION("""COMPUTED_VALUE"""),550.0)</f>
        <v>550</v>
      </c>
      <c r="AR148" s="394">
        <f>IFERROR(__xludf.DUMMYFUNCTION("""COMPUTED_VALUE"""),600.0)</f>
        <v>600</v>
      </c>
      <c r="AS148" s="394">
        <f>IFERROR(__xludf.DUMMYFUNCTION("""COMPUTED_VALUE"""),625.0)</f>
        <v>625</v>
      </c>
      <c r="AT148" s="385" t="str">
        <f>IFERROR(__xludf.DUMMYFUNCTION("""COMPUTED_VALUE"""),"超持続型")</f>
        <v>超持続型</v>
      </c>
      <c r="AU148" s="430">
        <f>IFERROR(__xludf.DUMMYFUNCTION("""COMPUTED_VALUE"""),5.0)</f>
        <v>5</v>
      </c>
      <c r="AV148" s="431" t="str">
        <f>IFERROR(__xludf.DUMMYFUNCTION("""COMPUTED_VALUE"""),"効果時間")</f>
        <v>効果時間</v>
      </c>
      <c r="AW148" s="395" t="str">
        <f>IFERROR(__xludf.DUMMYFUNCTION("""COMPUTED_VALUE"""),"-")</f>
        <v>-</v>
      </c>
      <c r="AX148" s="396" t="str">
        <f>IFERROR(__xludf.DUMMYFUNCTION("""COMPUTED_VALUE"""),"-")</f>
        <v>-</v>
      </c>
      <c r="AY148" s="396" t="str">
        <f>IFERROR(__xludf.DUMMYFUNCTION("""COMPUTED_VALUE"""),"-")</f>
        <v>-</v>
      </c>
      <c r="AZ148" s="396" t="str">
        <f>IFERROR(__xludf.DUMMYFUNCTION("""COMPUTED_VALUE"""),"-")</f>
        <v>-</v>
      </c>
      <c r="BA148" s="396" t="str">
        <f>IFERROR(__xludf.DUMMYFUNCTION("""COMPUTED_VALUE"""),"-")</f>
        <v>-</v>
      </c>
      <c r="BB148" s="393">
        <f>IFERROR(__xludf.DUMMYFUNCTION("""COMPUTED_VALUE"""),650.0)</f>
        <v>650</v>
      </c>
      <c r="BC148" s="393">
        <f>IFERROR(__xludf.DUMMYFUNCTION("""COMPUTED_VALUE"""),750.0)</f>
        <v>750</v>
      </c>
      <c r="BD148" s="394">
        <f>IFERROR(__xludf.DUMMYFUNCTION("""COMPUTED_VALUE"""),775.0)</f>
        <v>775</v>
      </c>
      <c r="BE148" s="385" t="str">
        <f>IFERROR(__xludf.DUMMYFUNCTION("""COMPUTED_VALUE"""),"ハイブリッド型")</f>
        <v>ハイブリッド型</v>
      </c>
      <c r="BF148" s="430">
        <f>IFERROR(__xludf.DUMMYFUNCTION("""COMPUTED_VALUE"""),5.0)</f>
        <v>5</v>
      </c>
      <c r="BG148" s="431" t="str">
        <f>IFERROR(__xludf.DUMMYFUNCTION("""COMPUTED_VALUE"""),"効果時間")</f>
        <v>効果時間</v>
      </c>
      <c r="BH148" s="304">
        <f>IFERROR(__xludf.DUMMYFUNCTION("""COMPUTED_VALUE"""),250.0)</f>
        <v>250</v>
      </c>
      <c r="BI148" s="432">
        <f>IFERROR(__xludf.DUMMYFUNCTION("""COMPUTED_VALUE"""),265.0)</f>
        <v>265</v>
      </c>
      <c r="BJ148" s="432">
        <f>IFERROR(__xludf.DUMMYFUNCTION("""COMPUTED_VALUE"""),275.0)</f>
        <v>275</v>
      </c>
      <c r="BK148" s="432">
        <f>IFERROR(__xludf.DUMMYFUNCTION("""COMPUTED_VALUE"""),290.0)</f>
        <v>290</v>
      </c>
      <c r="BL148" s="304">
        <f>IFERROR(__xludf.DUMMYFUNCTION("""COMPUTED_VALUE"""),300.0)</f>
        <v>300</v>
      </c>
      <c r="BM148" s="304">
        <f>IFERROR(__xludf.DUMMYFUNCTION("""COMPUTED_VALUE"""),400.0)</f>
        <v>400</v>
      </c>
      <c r="BN148" s="304">
        <f>IFERROR(__xludf.DUMMYFUNCTION("""COMPUTED_VALUE"""),500.0)</f>
        <v>500</v>
      </c>
      <c r="BO148" s="304">
        <f>IFERROR(__xludf.DUMMYFUNCTION("""COMPUTED_VALUE"""),525.0)</f>
        <v>525</v>
      </c>
    </row>
    <row r="149">
      <c r="A149" s="433" t="str">
        <f>IFERROR(__xludf.DUMMYFUNCTION("""COMPUTED_VALUE"""),"ダメージカット(緑)")</f>
        <v>ダメージカット(緑)</v>
      </c>
      <c r="B149" s="374" t="str">
        <f>IFERROR(__xludf.DUMMYFUNCTION("""COMPUTED_VALUE"""),"超瞬間型")</f>
        <v>超瞬間型</v>
      </c>
      <c r="C149" s="375">
        <f>IFERROR(__xludf.DUMMYFUNCTION("""COMPUTED_VALUE"""),1.0)</f>
        <v>1</v>
      </c>
      <c r="D149" s="376" t="str">
        <f>IFERROR(__xludf.DUMMYFUNCTION("""COMPUTED_VALUE"""),"効果値")</f>
        <v>効果値</v>
      </c>
      <c r="E149" s="377" t="str">
        <f>IFERROR(__xludf.DUMMYFUNCTION("""COMPUTED_VALUE"""),"-")</f>
        <v>-</v>
      </c>
      <c r="F149" s="378" t="str">
        <f>IFERROR(__xludf.DUMMYFUNCTION("""COMPUTED_VALUE"""),"-")</f>
        <v>-</v>
      </c>
      <c r="G149" s="377" t="str">
        <f>IFERROR(__xludf.DUMMYFUNCTION("""COMPUTED_VALUE"""),"-")</f>
        <v>-</v>
      </c>
      <c r="H149" s="378" t="str">
        <f>IFERROR(__xludf.DUMMYFUNCTION("""COMPUTED_VALUE"""),"-")</f>
        <v>-</v>
      </c>
      <c r="I149" s="377" t="str">
        <f>IFERROR(__xludf.DUMMYFUNCTION("""COMPUTED_VALUE"""),"-")</f>
        <v>-</v>
      </c>
      <c r="J149" s="379">
        <f>IFERROR(__xludf.DUMMYFUNCTION("""COMPUTED_VALUE"""),55.0)</f>
        <v>55</v>
      </c>
      <c r="K149" s="294">
        <f>IFERROR(__xludf.DUMMYFUNCTION("""COMPUTED_VALUE"""),65.0)</f>
        <v>65</v>
      </c>
      <c r="L149" s="294">
        <f>IFERROR(__xludf.DUMMYFUNCTION("""COMPUTED_VALUE"""),65.0)</f>
        <v>65</v>
      </c>
      <c r="M149" s="374" t="str">
        <f>IFERROR(__xludf.DUMMYFUNCTION("""COMPUTED_VALUE"""),"瞬間型")</f>
        <v>瞬間型</v>
      </c>
      <c r="N149" s="375">
        <f>IFERROR(__xludf.DUMMYFUNCTION("""COMPUTED_VALUE"""),1.0)</f>
        <v>1</v>
      </c>
      <c r="O149" s="376" t="str">
        <f>IFERROR(__xludf.DUMMYFUNCTION("""COMPUTED_VALUE"""),"効果値")</f>
        <v>効果値</v>
      </c>
      <c r="P149" s="380">
        <f>IFERROR(__xludf.DUMMYFUNCTION("""COMPUTED_VALUE"""),20.0)</f>
        <v>20</v>
      </c>
      <c r="Q149" s="263">
        <f>IFERROR(__xludf.DUMMYFUNCTION("""COMPUTED_VALUE"""),20.0)</f>
        <v>20</v>
      </c>
      <c r="R149" s="263">
        <f>IFERROR(__xludf.DUMMYFUNCTION("""COMPUTED_VALUE"""),20.0)</f>
        <v>20</v>
      </c>
      <c r="S149" s="263">
        <f>IFERROR(__xludf.DUMMYFUNCTION("""COMPUTED_VALUE"""),20.0)</f>
        <v>20</v>
      </c>
      <c r="T149" s="263">
        <f>IFERROR(__xludf.DUMMYFUNCTION("""COMPUTED_VALUE"""),20.0)</f>
        <v>20</v>
      </c>
      <c r="U149" s="263">
        <f>IFERROR(__xludf.DUMMYFUNCTION("""COMPUTED_VALUE"""),25.0)</f>
        <v>25</v>
      </c>
      <c r="V149" s="266">
        <f>IFERROR(__xludf.DUMMYFUNCTION("""COMPUTED_VALUE"""),30.0)</f>
        <v>30</v>
      </c>
      <c r="W149" s="266">
        <f>IFERROR(__xludf.DUMMYFUNCTION("""COMPUTED_VALUE"""),30.0)</f>
        <v>30</v>
      </c>
      <c r="X149" s="374" t="str">
        <f>IFERROR(__xludf.DUMMYFUNCTION("""COMPUTED_VALUE"""),"安定型")</f>
        <v>安定型</v>
      </c>
      <c r="Y149" s="375">
        <f>IFERROR(__xludf.DUMMYFUNCTION("""COMPUTED_VALUE"""),1.0)</f>
        <v>1</v>
      </c>
      <c r="Z149" s="376" t="str">
        <f>IFERROR(__xludf.DUMMYFUNCTION("""COMPUTED_VALUE"""),"効果値")</f>
        <v>効果値</v>
      </c>
      <c r="AA149" s="380">
        <f>IFERROR(__xludf.DUMMYFUNCTION("""COMPUTED_VALUE"""),10.0)</f>
        <v>10</v>
      </c>
      <c r="AB149" s="263">
        <f>IFERROR(__xludf.DUMMYFUNCTION("""COMPUTED_VALUE"""),10.0)</f>
        <v>10</v>
      </c>
      <c r="AC149" s="263">
        <f>IFERROR(__xludf.DUMMYFUNCTION("""COMPUTED_VALUE"""),10.0)</f>
        <v>10</v>
      </c>
      <c r="AD149" s="263">
        <f>IFERROR(__xludf.DUMMYFUNCTION("""COMPUTED_VALUE"""),10.0)</f>
        <v>10</v>
      </c>
      <c r="AE149" s="263">
        <f>IFERROR(__xludf.DUMMYFUNCTION("""COMPUTED_VALUE"""),10.0)</f>
        <v>10</v>
      </c>
      <c r="AF149" s="263">
        <f>IFERROR(__xludf.DUMMYFUNCTION("""COMPUTED_VALUE"""),10.0)</f>
        <v>10</v>
      </c>
      <c r="AG149" s="266">
        <f>IFERROR(__xludf.DUMMYFUNCTION("""COMPUTED_VALUE"""),15.0)</f>
        <v>15</v>
      </c>
      <c r="AH149" s="266">
        <f>IFERROR(__xludf.DUMMYFUNCTION("""COMPUTED_VALUE"""),15.0)</f>
        <v>15</v>
      </c>
      <c r="AI149" s="374" t="str">
        <f>IFERROR(__xludf.DUMMYFUNCTION("""COMPUTED_VALUE"""),"持続型")</f>
        <v>持続型</v>
      </c>
      <c r="AJ149" s="375">
        <f>IFERROR(__xludf.DUMMYFUNCTION("""COMPUTED_VALUE"""),1.0)</f>
        <v>1</v>
      </c>
      <c r="AK149" s="376" t="str">
        <f>IFERROR(__xludf.DUMMYFUNCTION("""COMPUTED_VALUE"""),"効果値")</f>
        <v>効果値</v>
      </c>
      <c r="AL149" s="380">
        <f>IFERROR(__xludf.DUMMYFUNCTION("""COMPUTED_VALUE"""),5.0)</f>
        <v>5</v>
      </c>
      <c r="AM149" s="263">
        <f>IFERROR(__xludf.DUMMYFUNCTION("""COMPUTED_VALUE"""),5.0)</f>
        <v>5</v>
      </c>
      <c r="AN149" s="263">
        <f>IFERROR(__xludf.DUMMYFUNCTION("""COMPUTED_VALUE"""),5.0)</f>
        <v>5</v>
      </c>
      <c r="AO149" s="263">
        <f>IFERROR(__xludf.DUMMYFUNCTION("""COMPUTED_VALUE"""),5.0)</f>
        <v>5</v>
      </c>
      <c r="AP149" s="263">
        <f>IFERROR(__xludf.DUMMYFUNCTION("""COMPUTED_VALUE"""),5.0)</f>
        <v>5</v>
      </c>
      <c r="AQ149" s="263">
        <f>IFERROR(__xludf.DUMMYFUNCTION("""COMPUTED_VALUE"""),5.0)</f>
        <v>5</v>
      </c>
      <c r="AR149" s="266">
        <f>IFERROR(__xludf.DUMMYFUNCTION("""COMPUTED_VALUE"""),10.0)</f>
        <v>10</v>
      </c>
      <c r="AS149" s="266">
        <f>IFERROR(__xludf.DUMMYFUNCTION("""COMPUTED_VALUE"""),10.0)</f>
        <v>10</v>
      </c>
      <c r="AT149" s="374" t="str">
        <f>IFERROR(__xludf.DUMMYFUNCTION("""COMPUTED_VALUE"""),"超持続型")</f>
        <v>超持続型</v>
      </c>
      <c r="AU149" s="375">
        <f>IFERROR(__xludf.DUMMYFUNCTION("""COMPUTED_VALUE"""),1.0)</f>
        <v>1</v>
      </c>
      <c r="AV149" s="376" t="str">
        <f>IFERROR(__xludf.DUMMYFUNCTION("""COMPUTED_VALUE"""),"効果値")</f>
        <v>効果値</v>
      </c>
      <c r="AW149" s="350" t="str">
        <f>IFERROR(__xludf.DUMMYFUNCTION("""COMPUTED_VALUE"""),"-")</f>
        <v>-</v>
      </c>
      <c r="AX149" s="348" t="str">
        <f>IFERROR(__xludf.DUMMYFUNCTION("""COMPUTED_VALUE"""),"-")</f>
        <v>-</v>
      </c>
      <c r="AY149" s="348" t="str">
        <f>IFERROR(__xludf.DUMMYFUNCTION("""COMPUTED_VALUE"""),"-")</f>
        <v>-</v>
      </c>
      <c r="AZ149" s="348" t="str">
        <f>IFERROR(__xludf.DUMMYFUNCTION("""COMPUTED_VALUE"""),"-")</f>
        <v>-</v>
      </c>
      <c r="BA149" s="348" t="str">
        <f>IFERROR(__xludf.DUMMYFUNCTION("""COMPUTED_VALUE"""),"-")</f>
        <v>-</v>
      </c>
      <c r="BB149" s="263">
        <f>IFERROR(__xludf.DUMMYFUNCTION("""COMPUTED_VALUE"""),5.0)</f>
        <v>5</v>
      </c>
      <c r="BC149" s="266">
        <f>IFERROR(__xludf.DUMMYFUNCTION("""COMPUTED_VALUE"""),10.0)</f>
        <v>10</v>
      </c>
      <c r="BD149" s="266">
        <f>IFERROR(__xludf.DUMMYFUNCTION("""COMPUTED_VALUE"""),10.0)</f>
        <v>10</v>
      </c>
      <c r="BE149" s="374" t="str">
        <f>IFERROR(__xludf.DUMMYFUNCTION("""COMPUTED_VALUE"""),"ハイブリッド型")</f>
        <v>ハイブリッド型</v>
      </c>
      <c r="BF149" s="375">
        <f>IFERROR(__xludf.DUMMYFUNCTION("""COMPUTED_VALUE"""),1.0)</f>
        <v>1</v>
      </c>
      <c r="BG149" s="376" t="str">
        <f>IFERROR(__xludf.DUMMYFUNCTION("""COMPUTED_VALUE"""),"効果値")</f>
        <v>効果値</v>
      </c>
      <c r="BH149" s="381">
        <f>IFERROR(__xludf.DUMMYFUNCTION("""COMPUTED_VALUE"""),10.0)</f>
        <v>10</v>
      </c>
      <c r="BI149" s="382">
        <f>IFERROR(__xludf.DUMMYFUNCTION("""COMPUTED_VALUE"""),10.0)</f>
        <v>10</v>
      </c>
      <c r="BJ149" s="382">
        <f>IFERROR(__xludf.DUMMYFUNCTION("""COMPUTED_VALUE"""),10.0)</f>
        <v>10</v>
      </c>
      <c r="BK149" s="382">
        <f>IFERROR(__xludf.DUMMYFUNCTION("""COMPUTED_VALUE"""),10.0)</f>
        <v>10</v>
      </c>
      <c r="BL149" s="382">
        <f>IFERROR(__xludf.DUMMYFUNCTION("""COMPUTED_VALUE"""),10.0)</f>
        <v>10</v>
      </c>
      <c r="BM149" s="382">
        <f>IFERROR(__xludf.DUMMYFUNCTION("""COMPUTED_VALUE"""),15.0)</f>
        <v>15</v>
      </c>
      <c r="BN149" s="382">
        <f>IFERROR(__xludf.DUMMYFUNCTION("""COMPUTED_VALUE"""),20.0)</f>
        <v>20</v>
      </c>
      <c r="BO149" s="383">
        <f>IFERROR(__xludf.DUMMYFUNCTION("""COMPUTED_VALUE"""),20.0)</f>
        <v>20</v>
      </c>
    </row>
    <row r="150">
      <c r="A150" s="434" t="str">
        <f>IFERROR(__xludf.DUMMYFUNCTION("""COMPUTED_VALUE"""),"ダメージカット(緑)")</f>
        <v>ダメージカット(緑)</v>
      </c>
      <c r="B150" s="385" t="str">
        <f>IFERROR(__xludf.DUMMYFUNCTION("""COMPUTED_VALUE"""),"超瞬間型")</f>
        <v>超瞬間型</v>
      </c>
      <c r="C150" s="386">
        <f>IFERROR(__xludf.DUMMYFUNCTION("""COMPUTED_VALUE"""),1.0)</f>
        <v>1</v>
      </c>
      <c r="D150" s="387" t="str">
        <f>IFERROR(__xludf.DUMMYFUNCTION("""COMPUTED_VALUE"""),"効果時間")</f>
        <v>効果時間</v>
      </c>
      <c r="E150" s="388" t="str">
        <f>IFERROR(__xludf.DUMMYFUNCTION("""COMPUTED_VALUE"""),"-")</f>
        <v>-</v>
      </c>
      <c r="F150" s="389" t="str">
        <f>IFERROR(__xludf.DUMMYFUNCTION("""COMPUTED_VALUE"""),"-")</f>
        <v>-</v>
      </c>
      <c r="G150" s="388" t="str">
        <f>IFERROR(__xludf.DUMMYFUNCTION("""COMPUTED_VALUE"""),"-")</f>
        <v>-</v>
      </c>
      <c r="H150" s="389" t="str">
        <f>IFERROR(__xludf.DUMMYFUNCTION("""COMPUTED_VALUE"""),"-")</f>
        <v>-</v>
      </c>
      <c r="I150" s="388" t="str">
        <f>IFERROR(__xludf.DUMMYFUNCTION("""COMPUTED_VALUE"""),"-")</f>
        <v>-</v>
      </c>
      <c r="J150" s="390">
        <f>IFERROR(__xludf.DUMMYFUNCTION("""COMPUTED_VALUE"""),150.0)</f>
        <v>150</v>
      </c>
      <c r="K150" s="391">
        <f>IFERROR(__xludf.DUMMYFUNCTION("""COMPUTED_VALUE"""),160.0)</f>
        <v>160</v>
      </c>
      <c r="L150" s="340">
        <f>IFERROR(__xludf.DUMMYFUNCTION("""COMPUTED_VALUE"""),160.0)</f>
        <v>160</v>
      </c>
      <c r="M150" s="385" t="str">
        <f>IFERROR(__xludf.DUMMYFUNCTION("""COMPUTED_VALUE"""),"瞬間型")</f>
        <v>瞬間型</v>
      </c>
      <c r="N150" s="386">
        <f>IFERROR(__xludf.DUMMYFUNCTION("""COMPUTED_VALUE"""),1.0)</f>
        <v>1</v>
      </c>
      <c r="O150" s="387" t="str">
        <f>IFERROR(__xludf.DUMMYFUNCTION("""COMPUTED_VALUE"""),"効果時間")</f>
        <v>効果時間</v>
      </c>
      <c r="P150" s="392">
        <f>IFERROR(__xludf.DUMMYFUNCTION("""COMPUTED_VALUE"""),150.0)</f>
        <v>150</v>
      </c>
      <c r="Q150" s="393">
        <f>IFERROR(__xludf.DUMMYFUNCTION("""COMPUTED_VALUE"""),150.0)</f>
        <v>150</v>
      </c>
      <c r="R150" s="393">
        <f>IFERROR(__xludf.DUMMYFUNCTION("""COMPUTED_VALUE"""),150.0)</f>
        <v>150</v>
      </c>
      <c r="S150" s="393">
        <f>IFERROR(__xludf.DUMMYFUNCTION("""COMPUTED_VALUE"""),150.0)</f>
        <v>150</v>
      </c>
      <c r="T150" s="393">
        <f>IFERROR(__xludf.DUMMYFUNCTION("""COMPUTED_VALUE"""),150.0)</f>
        <v>150</v>
      </c>
      <c r="U150" s="393">
        <f>IFERROR(__xludf.DUMMYFUNCTION("""COMPUTED_VALUE"""),150.0)</f>
        <v>150</v>
      </c>
      <c r="V150" s="393">
        <f>IFERROR(__xludf.DUMMYFUNCTION("""COMPUTED_VALUE"""),160.0)</f>
        <v>160</v>
      </c>
      <c r="W150" s="394">
        <f>IFERROR(__xludf.DUMMYFUNCTION("""COMPUTED_VALUE"""),160.0)</f>
        <v>160</v>
      </c>
      <c r="X150" s="385" t="str">
        <f>IFERROR(__xludf.DUMMYFUNCTION("""COMPUTED_VALUE"""),"安定型")</f>
        <v>安定型</v>
      </c>
      <c r="Y150" s="386">
        <f>IFERROR(__xludf.DUMMYFUNCTION("""COMPUTED_VALUE"""),1.0)</f>
        <v>1</v>
      </c>
      <c r="Z150" s="387" t="str">
        <f>IFERROR(__xludf.DUMMYFUNCTION("""COMPUTED_VALUE"""),"効果時間")</f>
        <v>効果時間</v>
      </c>
      <c r="AA150" s="392">
        <f>IFERROR(__xludf.DUMMYFUNCTION("""COMPUTED_VALUE"""),300.0)</f>
        <v>300</v>
      </c>
      <c r="AB150" s="393">
        <f>IFERROR(__xludf.DUMMYFUNCTION("""COMPUTED_VALUE"""),300.0)</f>
        <v>300</v>
      </c>
      <c r="AC150" s="393">
        <f>IFERROR(__xludf.DUMMYFUNCTION("""COMPUTED_VALUE"""),300.0)</f>
        <v>300</v>
      </c>
      <c r="AD150" s="393">
        <f>IFERROR(__xludf.DUMMYFUNCTION("""COMPUTED_VALUE"""),300.0)</f>
        <v>300</v>
      </c>
      <c r="AE150" s="393">
        <f>IFERROR(__xludf.DUMMYFUNCTION("""COMPUTED_VALUE"""),300.0)</f>
        <v>300</v>
      </c>
      <c r="AF150" s="393">
        <f>IFERROR(__xludf.DUMMYFUNCTION("""COMPUTED_VALUE"""),300.0)</f>
        <v>300</v>
      </c>
      <c r="AG150" s="393">
        <f>IFERROR(__xludf.DUMMYFUNCTION("""COMPUTED_VALUE"""),310.0)</f>
        <v>310</v>
      </c>
      <c r="AH150" s="394">
        <f>IFERROR(__xludf.DUMMYFUNCTION("""COMPUTED_VALUE"""),310.0)</f>
        <v>310</v>
      </c>
      <c r="AI150" s="385" t="str">
        <f>IFERROR(__xludf.DUMMYFUNCTION("""COMPUTED_VALUE"""),"持続型")</f>
        <v>持続型</v>
      </c>
      <c r="AJ150" s="386">
        <f>IFERROR(__xludf.DUMMYFUNCTION("""COMPUTED_VALUE"""),1.0)</f>
        <v>1</v>
      </c>
      <c r="AK150" s="387" t="str">
        <f>IFERROR(__xludf.DUMMYFUNCTION("""COMPUTED_VALUE"""),"効果時間")</f>
        <v>効果時間</v>
      </c>
      <c r="AL150" s="392">
        <f>IFERROR(__xludf.DUMMYFUNCTION("""COMPUTED_VALUE"""),450.0)</f>
        <v>450</v>
      </c>
      <c r="AM150" s="393">
        <f>IFERROR(__xludf.DUMMYFUNCTION("""COMPUTED_VALUE"""),450.0)</f>
        <v>450</v>
      </c>
      <c r="AN150" s="393">
        <f>IFERROR(__xludf.DUMMYFUNCTION("""COMPUTED_VALUE"""),450.0)</f>
        <v>450</v>
      </c>
      <c r="AO150" s="393">
        <f>IFERROR(__xludf.DUMMYFUNCTION("""COMPUTED_VALUE"""),450.0)</f>
        <v>450</v>
      </c>
      <c r="AP150" s="393">
        <f>IFERROR(__xludf.DUMMYFUNCTION("""COMPUTED_VALUE"""),450.0)</f>
        <v>450</v>
      </c>
      <c r="AQ150" s="393">
        <f>IFERROR(__xludf.DUMMYFUNCTION("""COMPUTED_VALUE"""),450.0)</f>
        <v>450</v>
      </c>
      <c r="AR150" s="393">
        <f>IFERROR(__xludf.DUMMYFUNCTION("""COMPUTED_VALUE"""),460.0)</f>
        <v>460</v>
      </c>
      <c r="AS150" s="394">
        <f>IFERROR(__xludf.DUMMYFUNCTION("""COMPUTED_VALUE"""),460.0)</f>
        <v>460</v>
      </c>
      <c r="AT150" s="385" t="str">
        <f>IFERROR(__xludf.DUMMYFUNCTION("""COMPUTED_VALUE"""),"超持続型")</f>
        <v>超持続型</v>
      </c>
      <c r="AU150" s="386">
        <f>IFERROR(__xludf.DUMMYFUNCTION("""COMPUTED_VALUE"""),1.0)</f>
        <v>1</v>
      </c>
      <c r="AV150" s="387" t="str">
        <f>IFERROR(__xludf.DUMMYFUNCTION("""COMPUTED_VALUE"""),"効果時間")</f>
        <v>効果時間</v>
      </c>
      <c r="AW150" s="395" t="str">
        <f>IFERROR(__xludf.DUMMYFUNCTION("""COMPUTED_VALUE"""),"-")</f>
        <v>-</v>
      </c>
      <c r="AX150" s="396" t="str">
        <f>IFERROR(__xludf.DUMMYFUNCTION("""COMPUTED_VALUE"""),"-")</f>
        <v>-</v>
      </c>
      <c r="AY150" s="396" t="str">
        <f>IFERROR(__xludf.DUMMYFUNCTION("""COMPUTED_VALUE"""),"-")</f>
        <v>-</v>
      </c>
      <c r="AZ150" s="396" t="str">
        <f>IFERROR(__xludf.DUMMYFUNCTION("""COMPUTED_VALUE"""),"-")</f>
        <v>-</v>
      </c>
      <c r="BA150" s="396" t="str">
        <f>IFERROR(__xludf.DUMMYFUNCTION("""COMPUTED_VALUE"""),"-")</f>
        <v>-</v>
      </c>
      <c r="BB150" s="393">
        <f>IFERROR(__xludf.DUMMYFUNCTION("""COMPUTED_VALUE"""),600.0)</f>
        <v>600</v>
      </c>
      <c r="BC150" s="393">
        <f>IFERROR(__xludf.DUMMYFUNCTION("""COMPUTED_VALUE"""),610.0)</f>
        <v>610</v>
      </c>
      <c r="BD150" s="394">
        <f>IFERROR(__xludf.DUMMYFUNCTION("""COMPUTED_VALUE"""),610.0)</f>
        <v>610</v>
      </c>
      <c r="BE150" s="385" t="str">
        <f>IFERROR(__xludf.DUMMYFUNCTION("""COMPUTED_VALUE"""),"ハイブリッド型")</f>
        <v>ハイブリッド型</v>
      </c>
      <c r="BF150" s="386">
        <f>IFERROR(__xludf.DUMMYFUNCTION("""COMPUTED_VALUE"""),1.0)</f>
        <v>1</v>
      </c>
      <c r="BG150" s="387" t="str">
        <f>IFERROR(__xludf.DUMMYFUNCTION("""COMPUTED_VALUE"""),"効果時間")</f>
        <v>効果時間</v>
      </c>
      <c r="BH150" s="397">
        <f>IFERROR(__xludf.DUMMYFUNCTION("""COMPUTED_VALUE"""),150.0)</f>
        <v>150</v>
      </c>
      <c r="BI150" s="397">
        <f>IFERROR(__xludf.DUMMYFUNCTION("""COMPUTED_VALUE"""),150.0)</f>
        <v>150</v>
      </c>
      <c r="BJ150" s="397">
        <f>IFERROR(__xludf.DUMMYFUNCTION("""COMPUTED_VALUE"""),150.0)</f>
        <v>150</v>
      </c>
      <c r="BK150" s="398">
        <f>IFERROR(__xludf.DUMMYFUNCTION("""COMPUTED_VALUE"""),150.0)</f>
        <v>150</v>
      </c>
      <c r="BL150" s="397">
        <f>IFERROR(__xludf.DUMMYFUNCTION("""COMPUTED_VALUE"""),150.0)</f>
        <v>150</v>
      </c>
      <c r="BM150" s="398">
        <f>IFERROR(__xludf.DUMMYFUNCTION("""COMPUTED_VALUE"""),350.0)</f>
        <v>350</v>
      </c>
      <c r="BN150" s="397">
        <f>IFERROR(__xludf.DUMMYFUNCTION("""COMPUTED_VALUE"""),460.0)</f>
        <v>460</v>
      </c>
      <c r="BO150" s="398">
        <f>IFERROR(__xludf.DUMMYFUNCTION("""COMPUTED_VALUE"""),460.0)</f>
        <v>460</v>
      </c>
    </row>
    <row r="151">
      <c r="A151" s="435" t="str">
        <f>IFERROR(__xludf.DUMMYFUNCTION("""COMPUTED_VALUE"""),"ダメージカット(緑)")</f>
        <v>ダメージカット(緑)</v>
      </c>
      <c r="B151" s="385" t="str">
        <f>IFERROR(__xludf.DUMMYFUNCTION("""COMPUTED_VALUE"""),"超瞬間型")</f>
        <v>超瞬間型</v>
      </c>
      <c r="C151" s="399">
        <f>IFERROR(__xludf.DUMMYFUNCTION("""COMPUTED_VALUE"""),2.0)</f>
        <v>2</v>
      </c>
      <c r="D151" s="400" t="str">
        <f>IFERROR(__xludf.DUMMYFUNCTION("""COMPUTED_VALUE"""),"効果値")</f>
        <v>効果値</v>
      </c>
      <c r="E151" s="401" t="str">
        <f>IFERROR(__xludf.DUMMYFUNCTION("""COMPUTED_VALUE"""),"-")</f>
        <v>-</v>
      </c>
      <c r="F151" s="401" t="str">
        <f>IFERROR(__xludf.DUMMYFUNCTION("""COMPUTED_VALUE"""),"-")</f>
        <v>-</v>
      </c>
      <c r="G151" s="401" t="str">
        <f>IFERROR(__xludf.DUMMYFUNCTION("""COMPUTED_VALUE"""),"-")</f>
        <v>-</v>
      </c>
      <c r="H151" s="401" t="str">
        <f>IFERROR(__xludf.DUMMYFUNCTION("""COMPUTED_VALUE"""),"-")</f>
        <v>-</v>
      </c>
      <c r="I151" s="401" t="str">
        <f>IFERROR(__xludf.DUMMYFUNCTION("""COMPUTED_VALUE"""),"-")</f>
        <v>-</v>
      </c>
      <c r="J151" s="318">
        <f>IFERROR(__xludf.DUMMYFUNCTION("""COMPUTED_VALUE"""),57.0)</f>
        <v>57</v>
      </c>
      <c r="K151" s="318">
        <f>IFERROR(__xludf.DUMMYFUNCTION("""COMPUTED_VALUE"""),67.0)</f>
        <v>67</v>
      </c>
      <c r="L151" s="318">
        <f>IFERROR(__xludf.DUMMYFUNCTION("""COMPUTED_VALUE"""),69.0)</f>
        <v>69</v>
      </c>
      <c r="M151" s="385" t="str">
        <f>IFERROR(__xludf.DUMMYFUNCTION("""COMPUTED_VALUE"""),"瞬間型")</f>
        <v>瞬間型</v>
      </c>
      <c r="N151" s="399">
        <f>IFERROR(__xludf.DUMMYFUNCTION("""COMPUTED_VALUE"""),2.0)</f>
        <v>2</v>
      </c>
      <c r="O151" s="400" t="str">
        <f>IFERROR(__xludf.DUMMYFUNCTION("""COMPUTED_VALUE"""),"効果値")</f>
        <v>効果値</v>
      </c>
      <c r="P151" s="343">
        <f>IFERROR(__xludf.DUMMYFUNCTION("""COMPUTED_VALUE"""),21.0)</f>
        <v>21</v>
      </c>
      <c r="Q151" s="402">
        <f>IFERROR(__xludf.DUMMYFUNCTION("""COMPUTED_VALUE"""),21.0)</f>
        <v>21</v>
      </c>
      <c r="R151" s="343">
        <f>IFERROR(__xludf.DUMMYFUNCTION("""COMPUTED_VALUE"""),22.0)</f>
        <v>22</v>
      </c>
      <c r="S151" s="402">
        <f>IFERROR(__xludf.DUMMYFUNCTION("""COMPUTED_VALUE"""),22.0)</f>
        <v>22</v>
      </c>
      <c r="T151" s="343">
        <f>IFERROR(__xludf.DUMMYFUNCTION("""COMPUTED_VALUE"""),22.0)</f>
        <v>22</v>
      </c>
      <c r="U151" s="343">
        <f>IFERROR(__xludf.DUMMYFUNCTION("""COMPUTED_VALUE"""),27.0)</f>
        <v>27</v>
      </c>
      <c r="V151" s="343">
        <f>IFERROR(__xludf.DUMMYFUNCTION("""COMPUTED_VALUE"""),32.0)</f>
        <v>32</v>
      </c>
      <c r="W151" s="343">
        <f>IFERROR(__xludf.DUMMYFUNCTION("""COMPUTED_VALUE"""),34.0)</f>
        <v>34</v>
      </c>
      <c r="X151" s="385" t="str">
        <f>IFERROR(__xludf.DUMMYFUNCTION("""COMPUTED_VALUE"""),"安定型")</f>
        <v>安定型</v>
      </c>
      <c r="Y151" s="399">
        <f>IFERROR(__xludf.DUMMYFUNCTION("""COMPUTED_VALUE"""),2.0)</f>
        <v>2</v>
      </c>
      <c r="Z151" s="400" t="str">
        <f>IFERROR(__xludf.DUMMYFUNCTION("""COMPUTED_VALUE"""),"効果値")</f>
        <v>効果値</v>
      </c>
      <c r="AA151" s="343">
        <f>IFERROR(__xludf.DUMMYFUNCTION("""COMPUTED_VALUE"""),11.0)</f>
        <v>11</v>
      </c>
      <c r="AB151" s="402">
        <f>IFERROR(__xludf.DUMMYFUNCTION("""COMPUTED_VALUE"""),11.0)</f>
        <v>11</v>
      </c>
      <c r="AC151" s="343">
        <f>IFERROR(__xludf.DUMMYFUNCTION("""COMPUTED_VALUE"""),12.0)</f>
        <v>12</v>
      </c>
      <c r="AD151" s="402">
        <f>IFERROR(__xludf.DUMMYFUNCTION("""COMPUTED_VALUE"""),12.0)</f>
        <v>12</v>
      </c>
      <c r="AE151" s="343">
        <f>IFERROR(__xludf.DUMMYFUNCTION("""COMPUTED_VALUE"""),12.0)</f>
        <v>12</v>
      </c>
      <c r="AF151" s="343">
        <f>IFERROR(__xludf.DUMMYFUNCTION("""COMPUTED_VALUE"""),12.0)</f>
        <v>12</v>
      </c>
      <c r="AG151" s="343">
        <f>IFERROR(__xludf.DUMMYFUNCTION("""COMPUTED_VALUE"""),17.0)</f>
        <v>17</v>
      </c>
      <c r="AH151" s="343">
        <f>IFERROR(__xludf.DUMMYFUNCTION("""COMPUTED_VALUE"""),19.0)</f>
        <v>19</v>
      </c>
      <c r="AI151" s="385" t="str">
        <f>IFERROR(__xludf.DUMMYFUNCTION("""COMPUTED_VALUE"""),"持続型")</f>
        <v>持続型</v>
      </c>
      <c r="AJ151" s="399">
        <f>IFERROR(__xludf.DUMMYFUNCTION("""COMPUTED_VALUE"""),2.0)</f>
        <v>2</v>
      </c>
      <c r="AK151" s="400" t="str">
        <f>IFERROR(__xludf.DUMMYFUNCTION("""COMPUTED_VALUE"""),"効果値")</f>
        <v>効果値</v>
      </c>
      <c r="AL151" s="343">
        <f>IFERROR(__xludf.DUMMYFUNCTION("""COMPUTED_VALUE"""),6.0)</f>
        <v>6</v>
      </c>
      <c r="AM151" s="402">
        <f>IFERROR(__xludf.DUMMYFUNCTION("""COMPUTED_VALUE"""),6.0)</f>
        <v>6</v>
      </c>
      <c r="AN151" s="343">
        <f>IFERROR(__xludf.DUMMYFUNCTION("""COMPUTED_VALUE"""),7.0)</f>
        <v>7</v>
      </c>
      <c r="AO151" s="402">
        <f>IFERROR(__xludf.DUMMYFUNCTION("""COMPUTED_VALUE"""),7.0)</f>
        <v>7</v>
      </c>
      <c r="AP151" s="343">
        <f>IFERROR(__xludf.DUMMYFUNCTION("""COMPUTED_VALUE"""),7.0)</f>
        <v>7</v>
      </c>
      <c r="AQ151" s="343">
        <f>IFERROR(__xludf.DUMMYFUNCTION("""COMPUTED_VALUE"""),7.0)</f>
        <v>7</v>
      </c>
      <c r="AR151" s="343">
        <f>IFERROR(__xludf.DUMMYFUNCTION("""COMPUTED_VALUE"""),11.0)</f>
        <v>11</v>
      </c>
      <c r="AS151" s="343">
        <f>IFERROR(__xludf.DUMMYFUNCTION("""COMPUTED_VALUE"""),11.0)</f>
        <v>11</v>
      </c>
      <c r="AT151" s="385" t="str">
        <f>IFERROR(__xludf.DUMMYFUNCTION("""COMPUTED_VALUE"""),"超持続型")</f>
        <v>超持続型</v>
      </c>
      <c r="AU151" s="399">
        <f>IFERROR(__xludf.DUMMYFUNCTION("""COMPUTED_VALUE"""),2.0)</f>
        <v>2</v>
      </c>
      <c r="AV151" s="400" t="str">
        <f>IFERROR(__xludf.DUMMYFUNCTION("""COMPUTED_VALUE"""),"効果値")</f>
        <v>効果値</v>
      </c>
      <c r="AW151" s="403" t="str">
        <f>IFERROR(__xludf.DUMMYFUNCTION("""COMPUTED_VALUE"""),"-")</f>
        <v>-</v>
      </c>
      <c r="AX151" s="403" t="str">
        <f>IFERROR(__xludf.DUMMYFUNCTION("""COMPUTED_VALUE"""),"-")</f>
        <v>-</v>
      </c>
      <c r="AY151" s="403" t="str">
        <f>IFERROR(__xludf.DUMMYFUNCTION("""COMPUTED_VALUE"""),"-")</f>
        <v>-</v>
      </c>
      <c r="AZ151" s="403" t="str">
        <f>IFERROR(__xludf.DUMMYFUNCTION("""COMPUTED_VALUE"""),"-")</f>
        <v>-</v>
      </c>
      <c r="BA151" s="403" t="str">
        <f>IFERROR(__xludf.DUMMYFUNCTION("""COMPUTED_VALUE"""),"-")</f>
        <v>-</v>
      </c>
      <c r="BB151" s="343">
        <f>IFERROR(__xludf.DUMMYFUNCTION("""COMPUTED_VALUE"""),7.0)</f>
        <v>7</v>
      </c>
      <c r="BC151" s="343">
        <f>IFERROR(__xludf.DUMMYFUNCTION("""COMPUTED_VALUE"""),11.0)</f>
        <v>11</v>
      </c>
      <c r="BD151" s="343">
        <f>IFERROR(__xludf.DUMMYFUNCTION("""COMPUTED_VALUE"""),11.0)</f>
        <v>11</v>
      </c>
      <c r="BE151" s="385" t="str">
        <f>IFERROR(__xludf.DUMMYFUNCTION("""COMPUTED_VALUE"""),"ハイブリッド型")</f>
        <v>ハイブリッド型</v>
      </c>
      <c r="BF151" s="399">
        <f>IFERROR(__xludf.DUMMYFUNCTION("""COMPUTED_VALUE"""),2.0)</f>
        <v>2</v>
      </c>
      <c r="BG151" s="400" t="str">
        <f>IFERROR(__xludf.DUMMYFUNCTION("""COMPUTED_VALUE"""),"効果値")</f>
        <v>効果値</v>
      </c>
      <c r="BH151" s="404">
        <f>IFERROR(__xludf.DUMMYFUNCTION("""COMPUTED_VALUE"""),10.8)</f>
        <v>10.8</v>
      </c>
      <c r="BI151" s="405">
        <f>IFERROR(__xludf.DUMMYFUNCTION("""COMPUTED_VALUE"""),11.2)</f>
        <v>11.2</v>
      </c>
      <c r="BJ151" s="405">
        <f>IFERROR(__xludf.DUMMYFUNCTION("""COMPUTED_VALUE"""),11.5)</f>
        <v>11.5</v>
      </c>
      <c r="BK151" s="405">
        <f>IFERROR(__xludf.DUMMYFUNCTION("""COMPUTED_VALUE"""),11.8)</f>
        <v>11.8</v>
      </c>
      <c r="BL151" s="405">
        <f>IFERROR(__xludf.DUMMYFUNCTION("""COMPUTED_VALUE"""),12.1)</f>
        <v>12.1</v>
      </c>
      <c r="BM151" s="405">
        <f>IFERROR(__xludf.DUMMYFUNCTION("""COMPUTED_VALUE"""),17.1)</f>
        <v>17.1</v>
      </c>
      <c r="BN151" s="405">
        <f>IFERROR(__xludf.DUMMYFUNCTION("""COMPUTED_VALUE"""),22.0)</f>
        <v>22</v>
      </c>
      <c r="BO151" s="406">
        <f>IFERROR(__xludf.DUMMYFUNCTION("""COMPUTED_VALUE"""),24.0)</f>
        <v>24</v>
      </c>
    </row>
    <row r="152">
      <c r="A152" s="435" t="str">
        <f>IFERROR(__xludf.DUMMYFUNCTION("""COMPUTED_VALUE"""),"ダメージカット(緑)")</f>
        <v>ダメージカット(緑)</v>
      </c>
      <c r="B152" s="385" t="str">
        <f>IFERROR(__xludf.DUMMYFUNCTION("""COMPUTED_VALUE"""),"超瞬間型")</f>
        <v>超瞬間型</v>
      </c>
      <c r="C152" s="386">
        <f>IFERROR(__xludf.DUMMYFUNCTION("""COMPUTED_VALUE"""),2.0)</f>
        <v>2</v>
      </c>
      <c r="D152" s="387" t="str">
        <f>IFERROR(__xludf.DUMMYFUNCTION("""COMPUTED_VALUE"""),"効果時間")</f>
        <v>効果時間</v>
      </c>
      <c r="E152" s="388" t="str">
        <f>IFERROR(__xludf.DUMMYFUNCTION("""COMPUTED_VALUE"""),"-")</f>
        <v>-</v>
      </c>
      <c r="F152" s="389" t="str">
        <f>IFERROR(__xludf.DUMMYFUNCTION("""COMPUTED_VALUE"""),"-")</f>
        <v>-</v>
      </c>
      <c r="G152" s="388" t="str">
        <f>IFERROR(__xludf.DUMMYFUNCTION("""COMPUTED_VALUE"""),"-")</f>
        <v>-</v>
      </c>
      <c r="H152" s="389" t="str">
        <f>IFERROR(__xludf.DUMMYFUNCTION("""COMPUTED_VALUE"""),"-")</f>
        <v>-</v>
      </c>
      <c r="I152" s="388" t="str">
        <f>IFERROR(__xludf.DUMMYFUNCTION("""COMPUTED_VALUE"""),"-")</f>
        <v>-</v>
      </c>
      <c r="J152" s="390">
        <f>IFERROR(__xludf.DUMMYFUNCTION("""COMPUTED_VALUE"""),150.0)</f>
        <v>150</v>
      </c>
      <c r="K152" s="391">
        <f>IFERROR(__xludf.DUMMYFUNCTION("""COMPUTED_VALUE"""),160.0)</f>
        <v>160</v>
      </c>
      <c r="L152" s="340">
        <f>IFERROR(__xludf.DUMMYFUNCTION("""COMPUTED_VALUE"""),170.0)</f>
        <v>170</v>
      </c>
      <c r="M152" s="385" t="str">
        <f>IFERROR(__xludf.DUMMYFUNCTION("""COMPUTED_VALUE"""),"瞬間型")</f>
        <v>瞬間型</v>
      </c>
      <c r="N152" s="386">
        <f>IFERROR(__xludf.DUMMYFUNCTION("""COMPUTED_VALUE"""),2.0)</f>
        <v>2</v>
      </c>
      <c r="O152" s="387" t="str">
        <f>IFERROR(__xludf.DUMMYFUNCTION("""COMPUTED_VALUE"""),"効果時間")</f>
        <v>効果時間</v>
      </c>
      <c r="P152" s="392">
        <f>IFERROR(__xludf.DUMMYFUNCTION("""COMPUTED_VALUE"""),160.0)</f>
        <v>160</v>
      </c>
      <c r="Q152" s="275">
        <f>IFERROR(__xludf.DUMMYFUNCTION("""COMPUTED_VALUE"""),165.0)</f>
        <v>165</v>
      </c>
      <c r="R152" s="280">
        <f>IFERROR(__xludf.DUMMYFUNCTION("""COMPUTED_VALUE"""),170.0)</f>
        <v>170</v>
      </c>
      <c r="S152" s="275">
        <f>IFERROR(__xludf.DUMMYFUNCTION("""COMPUTED_VALUE"""),175.0)</f>
        <v>175</v>
      </c>
      <c r="T152" s="280">
        <f>IFERROR(__xludf.DUMMYFUNCTION("""COMPUTED_VALUE"""),180.0)</f>
        <v>180</v>
      </c>
      <c r="U152" s="280">
        <f>IFERROR(__xludf.DUMMYFUNCTION("""COMPUTED_VALUE"""),180.0)</f>
        <v>180</v>
      </c>
      <c r="V152" s="280">
        <f>IFERROR(__xludf.DUMMYFUNCTION("""COMPUTED_VALUE"""),220.0)</f>
        <v>220</v>
      </c>
      <c r="W152" s="280">
        <f>IFERROR(__xludf.DUMMYFUNCTION("""COMPUTED_VALUE"""),230.0)</f>
        <v>230</v>
      </c>
      <c r="X152" s="385" t="str">
        <f>IFERROR(__xludf.DUMMYFUNCTION("""COMPUTED_VALUE"""),"安定型")</f>
        <v>安定型</v>
      </c>
      <c r="Y152" s="386">
        <f>IFERROR(__xludf.DUMMYFUNCTION("""COMPUTED_VALUE"""),2.0)</f>
        <v>2</v>
      </c>
      <c r="Z152" s="387" t="str">
        <f>IFERROR(__xludf.DUMMYFUNCTION("""COMPUTED_VALUE"""),"効果時間")</f>
        <v>効果時間</v>
      </c>
      <c r="AA152" s="392">
        <f>IFERROR(__xludf.DUMMYFUNCTION("""COMPUTED_VALUE"""),310.0)</f>
        <v>310</v>
      </c>
      <c r="AB152" s="275">
        <f>IFERROR(__xludf.DUMMYFUNCTION("""COMPUTED_VALUE"""),315.0)</f>
        <v>315</v>
      </c>
      <c r="AC152" s="280">
        <f>IFERROR(__xludf.DUMMYFUNCTION("""COMPUTED_VALUE"""),320.0)</f>
        <v>320</v>
      </c>
      <c r="AD152" s="275">
        <f>IFERROR(__xludf.DUMMYFUNCTION("""COMPUTED_VALUE"""),325.0)</f>
        <v>325</v>
      </c>
      <c r="AE152" s="280">
        <f>IFERROR(__xludf.DUMMYFUNCTION("""COMPUTED_VALUE"""),330.0)</f>
        <v>330</v>
      </c>
      <c r="AF152" s="280">
        <f>IFERROR(__xludf.DUMMYFUNCTION("""COMPUTED_VALUE"""),345.0)</f>
        <v>345</v>
      </c>
      <c r="AG152" s="280">
        <f>IFERROR(__xludf.DUMMYFUNCTION("""COMPUTED_VALUE"""),370.0)</f>
        <v>370</v>
      </c>
      <c r="AH152" s="280">
        <f>IFERROR(__xludf.DUMMYFUNCTION("""COMPUTED_VALUE"""),380.0)</f>
        <v>380</v>
      </c>
      <c r="AI152" s="385" t="str">
        <f>IFERROR(__xludf.DUMMYFUNCTION("""COMPUTED_VALUE"""),"持続型")</f>
        <v>持続型</v>
      </c>
      <c r="AJ152" s="386">
        <f>IFERROR(__xludf.DUMMYFUNCTION("""COMPUTED_VALUE"""),2.0)</f>
        <v>2</v>
      </c>
      <c r="AK152" s="387" t="str">
        <f>IFERROR(__xludf.DUMMYFUNCTION("""COMPUTED_VALUE"""),"効果時間")</f>
        <v>効果時間</v>
      </c>
      <c r="AL152" s="392">
        <f>IFERROR(__xludf.DUMMYFUNCTION("""COMPUTED_VALUE"""),460.0)</f>
        <v>460</v>
      </c>
      <c r="AM152" s="275">
        <f>IFERROR(__xludf.DUMMYFUNCTION("""COMPUTED_VALUE"""),465.0)</f>
        <v>465</v>
      </c>
      <c r="AN152" s="280">
        <f>IFERROR(__xludf.DUMMYFUNCTION("""COMPUTED_VALUE"""),470.0)</f>
        <v>470</v>
      </c>
      <c r="AO152" s="275">
        <f>IFERROR(__xludf.DUMMYFUNCTION("""COMPUTED_VALUE"""),475.0)</f>
        <v>475</v>
      </c>
      <c r="AP152" s="280">
        <f>IFERROR(__xludf.DUMMYFUNCTION("""COMPUTED_VALUE"""),480.0)</f>
        <v>480</v>
      </c>
      <c r="AQ152" s="280">
        <f>IFERROR(__xludf.DUMMYFUNCTION("""COMPUTED_VALUE"""),495.0)</f>
        <v>495</v>
      </c>
      <c r="AR152" s="280">
        <f>IFERROR(__xludf.DUMMYFUNCTION("""COMPUTED_VALUE"""),520.0)</f>
        <v>520</v>
      </c>
      <c r="AS152" s="280">
        <f>IFERROR(__xludf.DUMMYFUNCTION("""COMPUTED_VALUE"""),530.0)</f>
        <v>530</v>
      </c>
      <c r="AT152" s="385" t="str">
        <f>IFERROR(__xludf.DUMMYFUNCTION("""COMPUTED_VALUE"""),"超持続型")</f>
        <v>超持続型</v>
      </c>
      <c r="AU152" s="386">
        <f>IFERROR(__xludf.DUMMYFUNCTION("""COMPUTED_VALUE"""),2.0)</f>
        <v>2</v>
      </c>
      <c r="AV152" s="387" t="str">
        <f>IFERROR(__xludf.DUMMYFUNCTION("""COMPUTED_VALUE"""),"効果時間")</f>
        <v>効果時間</v>
      </c>
      <c r="AW152" s="368" t="str">
        <f>IFERROR(__xludf.DUMMYFUNCTION("""COMPUTED_VALUE"""),"-")</f>
        <v>-</v>
      </c>
      <c r="AX152" s="368" t="str">
        <f>IFERROR(__xludf.DUMMYFUNCTION("""COMPUTED_VALUE"""),"-")</f>
        <v>-</v>
      </c>
      <c r="AY152" s="368" t="str">
        <f>IFERROR(__xludf.DUMMYFUNCTION("""COMPUTED_VALUE"""),"-")</f>
        <v>-</v>
      </c>
      <c r="AZ152" s="368" t="str">
        <f>IFERROR(__xludf.DUMMYFUNCTION("""COMPUTED_VALUE"""),"-")</f>
        <v>-</v>
      </c>
      <c r="BA152" s="368" t="str">
        <f>IFERROR(__xludf.DUMMYFUNCTION("""COMPUTED_VALUE"""),"-")</f>
        <v>-</v>
      </c>
      <c r="BB152" s="280">
        <f>IFERROR(__xludf.DUMMYFUNCTION("""COMPUTED_VALUE"""),625.0)</f>
        <v>625</v>
      </c>
      <c r="BC152" s="280">
        <f>IFERROR(__xludf.DUMMYFUNCTION("""COMPUTED_VALUE"""),670.0)</f>
        <v>670</v>
      </c>
      <c r="BD152" s="280">
        <f>IFERROR(__xludf.DUMMYFUNCTION("""COMPUTED_VALUE"""),680.0)</f>
        <v>680</v>
      </c>
      <c r="BE152" s="385" t="str">
        <f>IFERROR(__xludf.DUMMYFUNCTION("""COMPUTED_VALUE"""),"ハイブリッド型")</f>
        <v>ハイブリッド型</v>
      </c>
      <c r="BF152" s="386">
        <f>IFERROR(__xludf.DUMMYFUNCTION("""COMPUTED_VALUE"""),2.0)</f>
        <v>2</v>
      </c>
      <c r="BG152" s="387" t="str">
        <f>IFERROR(__xludf.DUMMYFUNCTION("""COMPUTED_VALUE"""),"効果時間")</f>
        <v>効果時間</v>
      </c>
      <c r="BH152" s="407">
        <f>IFERROR(__xludf.DUMMYFUNCTION("""COMPUTED_VALUE"""),195.0)</f>
        <v>195</v>
      </c>
      <c r="BI152" s="407">
        <f>IFERROR(__xludf.DUMMYFUNCTION("""COMPUTED_VALUE"""),205.0)</f>
        <v>205</v>
      </c>
      <c r="BJ152" s="407">
        <f>IFERROR(__xludf.DUMMYFUNCTION("""COMPUTED_VALUE"""),205.0)</f>
        <v>205</v>
      </c>
      <c r="BK152" s="408">
        <f>IFERROR(__xludf.DUMMYFUNCTION("""COMPUTED_VALUE"""),210.0)</f>
        <v>210</v>
      </c>
      <c r="BL152" s="407">
        <f>IFERROR(__xludf.DUMMYFUNCTION("""COMPUTED_VALUE"""),215.0)</f>
        <v>215</v>
      </c>
      <c r="BM152" s="408">
        <f>IFERROR(__xludf.DUMMYFUNCTION("""COMPUTED_VALUE"""),375.0)</f>
        <v>375</v>
      </c>
      <c r="BN152" s="407">
        <f>IFERROR(__xludf.DUMMYFUNCTION("""COMPUTED_VALUE"""),480.0)</f>
        <v>480</v>
      </c>
      <c r="BO152" s="408">
        <f>IFERROR(__xludf.DUMMYFUNCTION("""COMPUTED_VALUE"""),490.0)</f>
        <v>490</v>
      </c>
    </row>
    <row r="153">
      <c r="A153" s="435" t="str">
        <f>IFERROR(__xludf.DUMMYFUNCTION("""COMPUTED_VALUE"""),"ダメージカット(緑)")</f>
        <v>ダメージカット(緑)</v>
      </c>
      <c r="B153" s="385" t="str">
        <f>IFERROR(__xludf.DUMMYFUNCTION("""COMPUTED_VALUE"""),"超瞬間型")</f>
        <v>超瞬間型</v>
      </c>
      <c r="C153" s="399">
        <f>IFERROR(__xludf.DUMMYFUNCTION("""COMPUTED_VALUE"""),3.0)</f>
        <v>3</v>
      </c>
      <c r="D153" s="400" t="str">
        <f>IFERROR(__xludf.DUMMYFUNCTION("""COMPUTED_VALUE"""),"効果値")</f>
        <v>効果値</v>
      </c>
      <c r="E153" s="401" t="str">
        <f>IFERROR(__xludf.DUMMYFUNCTION("""COMPUTED_VALUE"""),"-")</f>
        <v>-</v>
      </c>
      <c r="F153" s="409" t="str">
        <f>IFERROR(__xludf.DUMMYFUNCTION("""COMPUTED_VALUE"""),"-")</f>
        <v>-</v>
      </c>
      <c r="G153" s="401" t="str">
        <f>IFERROR(__xludf.DUMMYFUNCTION("""COMPUTED_VALUE"""),"-")</f>
        <v>-</v>
      </c>
      <c r="H153" s="409" t="str">
        <f>IFERROR(__xludf.DUMMYFUNCTION("""COMPUTED_VALUE"""),"-")</f>
        <v>-</v>
      </c>
      <c r="I153" s="409" t="str">
        <f>IFERROR(__xludf.DUMMYFUNCTION("""COMPUTED_VALUE"""),"-")</f>
        <v>-</v>
      </c>
      <c r="J153" s="410">
        <f>IFERROR(__xludf.DUMMYFUNCTION("""COMPUTED_VALUE"""),58.0)</f>
        <v>58</v>
      </c>
      <c r="K153" s="410">
        <f>IFERROR(__xludf.DUMMYFUNCTION("""COMPUTED_VALUE"""),68.0)</f>
        <v>68</v>
      </c>
      <c r="L153" s="410">
        <f>IFERROR(__xludf.DUMMYFUNCTION("""COMPUTED_VALUE"""),72.0)</f>
        <v>72</v>
      </c>
      <c r="M153" s="385" t="str">
        <f>IFERROR(__xludf.DUMMYFUNCTION("""COMPUTED_VALUE"""),"瞬間型")</f>
        <v>瞬間型</v>
      </c>
      <c r="N153" s="399">
        <f>IFERROR(__xludf.DUMMYFUNCTION("""COMPUTED_VALUE"""),3.0)</f>
        <v>3</v>
      </c>
      <c r="O153" s="400" t="str">
        <f>IFERROR(__xludf.DUMMYFUNCTION("""COMPUTED_VALUE"""),"効果値")</f>
        <v>効果値</v>
      </c>
      <c r="P153" s="343">
        <f>IFERROR(__xludf.DUMMYFUNCTION("""COMPUTED_VALUE"""),22.0)</f>
        <v>22</v>
      </c>
      <c r="Q153" s="402">
        <f>IFERROR(__xludf.DUMMYFUNCTION("""COMPUTED_VALUE"""),22.0)</f>
        <v>22</v>
      </c>
      <c r="R153" s="402">
        <f>IFERROR(__xludf.DUMMYFUNCTION("""COMPUTED_VALUE"""),23.0)</f>
        <v>23</v>
      </c>
      <c r="S153" s="402">
        <f>IFERROR(__xludf.DUMMYFUNCTION("""COMPUTED_VALUE"""),23.0)</f>
        <v>23</v>
      </c>
      <c r="T153" s="402">
        <f>IFERROR(__xludf.DUMMYFUNCTION("""COMPUTED_VALUE"""),23.0)</f>
        <v>23</v>
      </c>
      <c r="U153" s="402">
        <f>IFERROR(__xludf.DUMMYFUNCTION("""COMPUTED_VALUE"""),28.0)</f>
        <v>28</v>
      </c>
      <c r="V153" s="402">
        <f>IFERROR(__xludf.DUMMYFUNCTION("""COMPUTED_VALUE"""),33.0)</f>
        <v>33</v>
      </c>
      <c r="W153" s="402">
        <f>IFERROR(__xludf.DUMMYFUNCTION("""COMPUTED_VALUE"""),37.0)</f>
        <v>37</v>
      </c>
      <c r="X153" s="385" t="str">
        <f>IFERROR(__xludf.DUMMYFUNCTION("""COMPUTED_VALUE"""),"安定型")</f>
        <v>安定型</v>
      </c>
      <c r="Y153" s="399">
        <f>IFERROR(__xludf.DUMMYFUNCTION("""COMPUTED_VALUE"""),3.0)</f>
        <v>3</v>
      </c>
      <c r="Z153" s="400" t="str">
        <f>IFERROR(__xludf.DUMMYFUNCTION("""COMPUTED_VALUE"""),"効果値")</f>
        <v>効果値</v>
      </c>
      <c r="AA153" s="343">
        <f>IFERROR(__xludf.DUMMYFUNCTION("""COMPUTED_VALUE"""),12.0)</f>
        <v>12</v>
      </c>
      <c r="AB153" s="402">
        <f>IFERROR(__xludf.DUMMYFUNCTION("""COMPUTED_VALUE"""),12.0)</f>
        <v>12</v>
      </c>
      <c r="AC153" s="402">
        <f>IFERROR(__xludf.DUMMYFUNCTION("""COMPUTED_VALUE"""),13.0)</f>
        <v>13</v>
      </c>
      <c r="AD153" s="402">
        <f>IFERROR(__xludf.DUMMYFUNCTION("""COMPUTED_VALUE"""),13.0)</f>
        <v>13</v>
      </c>
      <c r="AE153" s="402">
        <f>IFERROR(__xludf.DUMMYFUNCTION("""COMPUTED_VALUE"""),13.0)</f>
        <v>13</v>
      </c>
      <c r="AF153" s="402">
        <f>IFERROR(__xludf.DUMMYFUNCTION("""COMPUTED_VALUE"""),13.0)</f>
        <v>13</v>
      </c>
      <c r="AG153" s="402">
        <f>IFERROR(__xludf.DUMMYFUNCTION("""COMPUTED_VALUE"""),18.0)</f>
        <v>18</v>
      </c>
      <c r="AH153" s="402">
        <f>IFERROR(__xludf.DUMMYFUNCTION("""COMPUTED_VALUE"""),22.0)</f>
        <v>22</v>
      </c>
      <c r="AI153" s="385" t="str">
        <f>IFERROR(__xludf.DUMMYFUNCTION("""COMPUTED_VALUE"""),"持続型")</f>
        <v>持続型</v>
      </c>
      <c r="AJ153" s="399">
        <f>IFERROR(__xludf.DUMMYFUNCTION("""COMPUTED_VALUE"""),3.0)</f>
        <v>3</v>
      </c>
      <c r="AK153" s="400" t="str">
        <f>IFERROR(__xludf.DUMMYFUNCTION("""COMPUTED_VALUE"""),"効果値")</f>
        <v>効果値</v>
      </c>
      <c r="AL153" s="343">
        <f>IFERROR(__xludf.DUMMYFUNCTION("""COMPUTED_VALUE"""),7.0)</f>
        <v>7</v>
      </c>
      <c r="AM153" s="402">
        <f>IFERROR(__xludf.DUMMYFUNCTION("""COMPUTED_VALUE"""),7.0)</f>
        <v>7</v>
      </c>
      <c r="AN153" s="402">
        <f>IFERROR(__xludf.DUMMYFUNCTION("""COMPUTED_VALUE"""),8.0)</f>
        <v>8</v>
      </c>
      <c r="AO153" s="402">
        <f>IFERROR(__xludf.DUMMYFUNCTION("""COMPUTED_VALUE"""),8.0)</f>
        <v>8</v>
      </c>
      <c r="AP153" s="402">
        <f>IFERROR(__xludf.DUMMYFUNCTION("""COMPUTED_VALUE"""),8.0)</f>
        <v>8</v>
      </c>
      <c r="AQ153" s="402">
        <f>IFERROR(__xludf.DUMMYFUNCTION("""COMPUTED_VALUE"""),8.0)</f>
        <v>8</v>
      </c>
      <c r="AR153" s="402">
        <f>IFERROR(__xludf.DUMMYFUNCTION("""COMPUTED_VALUE"""),11.0)</f>
        <v>11</v>
      </c>
      <c r="AS153" s="402">
        <f>IFERROR(__xludf.DUMMYFUNCTION("""COMPUTED_VALUE"""),11.0)</f>
        <v>11</v>
      </c>
      <c r="AT153" s="385" t="str">
        <f>IFERROR(__xludf.DUMMYFUNCTION("""COMPUTED_VALUE"""),"超持続型")</f>
        <v>超持続型</v>
      </c>
      <c r="AU153" s="399">
        <f>IFERROR(__xludf.DUMMYFUNCTION("""COMPUTED_VALUE"""),3.0)</f>
        <v>3</v>
      </c>
      <c r="AV153" s="400" t="str">
        <f>IFERROR(__xludf.DUMMYFUNCTION("""COMPUTED_VALUE"""),"効果値")</f>
        <v>効果値</v>
      </c>
      <c r="AW153" s="403" t="str">
        <f>IFERROR(__xludf.DUMMYFUNCTION("""COMPUTED_VALUE"""),"-")</f>
        <v>-</v>
      </c>
      <c r="AX153" s="403" t="str">
        <f>IFERROR(__xludf.DUMMYFUNCTION("""COMPUTED_VALUE"""),"-")</f>
        <v>-</v>
      </c>
      <c r="AY153" s="403" t="str">
        <f>IFERROR(__xludf.DUMMYFUNCTION("""COMPUTED_VALUE"""),"-")</f>
        <v>-</v>
      </c>
      <c r="AZ153" s="403" t="str">
        <f>IFERROR(__xludf.DUMMYFUNCTION("""COMPUTED_VALUE"""),"-")</f>
        <v>-</v>
      </c>
      <c r="BA153" s="403" t="str">
        <f>IFERROR(__xludf.DUMMYFUNCTION("""COMPUTED_VALUE"""),"-")</f>
        <v>-</v>
      </c>
      <c r="BB153" s="343">
        <f>IFERROR(__xludf.DUMMYFUNCTION("""COMPUTED_VALUE"""),8.0)</f>
        <v>8</v>
      </c>
      <c r="BC153" s="343">
        <f>IFERROR(__xludf.DUMMYFUNCTION("""COMPUTED_VALUE"""),11.0)</f>
        <v>11</v>
      </c>
      <c r="BD153" s="343">
        <f>IFERROR(__xludf.DUMMYFUNCTION("""COMPUTED_VALUE"""),11.0)</f>
        <v>11</v>
      </c>
      <c r="BE153" s="385" t="str">
        <f>IFERROR(__xludf.DUMMYFUNCTION("""COMPUTED_VALUE"""),"ハイブリッド型")</f>
        <v>ハイブリッド型</v>
      </c>
      <c r="BF153" s="399">
        <f>IFERROR(__xludf.DUMMYFUNCTION("""COMPUTED_VALUE"""),3.0)</f>
        <v>3</v>
      </c>
      <c r="BG153" s="400" t="str">
        <f>IFERROR(__xludf.DUMMYFUNCTION("""COMPUTED_VALUE"""),"効果値")</f>
        <v>効果値</v>
      </c>
      <c r="BH153" s="411">
        <f>IFERROR(__xludf.DUMMYFUNCTION("""COMPUTED_VALUE"""),11.4)</f>
        <v>11.4</v>
      </c>
      <c r="BI153" s="412">
        <f>IFERROR(__xludf.DUMMYFUNCTION("""COMPUTED_VALUE"""),11.9)</f>
        <v>11.9</v>
      </c>
      <c r="BJ153" s="412">
        <f>IFERROR(__xludf.DUMMYFUNCTION("""COMPUTED_VALUE"""),12.5)</f>
        <v>12.5</v>
      </c>
      <c r="BK153" s="412">
        <f>IFERROR(__xludf.DUMMYFUNCTION("""COMPUTED_VALUE"""),13.0)</f>
        <v>13</v>
      </c>
      <c r="BL153" s="412">
        <f>IFERROR(__xludf.DUMMYFUNCTION("""COMPUTED_VALUE"""),13.5)</f>
        <v>13.5</v>
      </c>
      <c r="BM153" s="412">
        <f>IFERROR(__xludf.DUMMYFUNCTION("""COMPUTED_VALUE"""),18.5)</f>
        <v>18.5</v>
      </c>
      <c r="BN153" s="412">
        <f>IFERROR(__xludf.DUMMYFUNCTION("""COMPUTED_VALUE"""),23.0)</f>
        <v>23</v>
      </c>
      <c r="BO153" s="413">
        <f>IFERROR(__xludf.DUMMYFUNCTION("""COMPUTED_VALUE"""),27.0)</f>
        <v>27</v>
      </c>
    </row>
    <row r="154">
      <c r="A154" s="435" t="str">
        <f>IFERROR(__xludf.DUMMYFUNCTION("""COMPUTED_VALUE"""),"ダメージカット(緑)")</f>
        <v>ダメージカット(緑)</v>
      </c>
      <c r="B154" s="385" t="str">
        <f>IFERROR(__xludf.DUMMYFUNCTION("""COMPUTED_VALUE"""),"超瞬間型")</f>
        <v>超瞬間型</v>
      </c>
      <c r="C154" s="386">
        <f>IFERROR(__xludf.DUMMYFUNCTION("""COMPUTED_VALUE"""),3.0)</f>
        <v>3</v>
      </c>
      <c r="D154" s="387" t="str">
        <f>IFERROR(__xludf.DUMMYFUNCTION("""COMPUTED_VALUE"""),"効果時間")</f>
        <v>効果時間</v>
      </c>
      <c r="E154" s="388" t="str">
        <f>IFERROR(__xludf.DUMMYFUNCTION("""COMPUTED_VALUE"""),"-")</f>
        <v>-</v>
      </c>
      <c r="F154" s="389" t="str">
        <f>IFERROR(__xludf.DUMMYFUNCTION("""COMPUTED_VALUE"""),"-")</f>
        <v>-</v>
      </c>
      <c r="G154" s="388" t="str">
        <f>IFERROR(__xludf.DUMMYFUNCTION("""COMPUTED_VALUE"""),"-")</f>
        <v>-</v>
      </c>
      <c r="H154" s="389" t="str">
        <f>IFERROR(__xludf.DUMMYFUNCTION("""COMPUTED_VALUE"""),"-")</f>
        <v>-</v>
      </c>
      <c r="I154" s="388" t="str">
        <f>IFERROR(__xludf.DUMMYFUNCTION("""COMPUTED_VALUE"""),"-")</f>
        <v>-</v>
      </c>
      <c r="J154" s="390">
        <f>IFERROR(__xludf.DUMMYFUNCTION("""COMPUTED_VALUE"""),155.0)</f>
        <v>155</v>
      </c>
      <c r="K154" s="391">
        <f>IFERROR(__xludf.DUMMYFUNCTION("""COMPUTED_VALUE"""),165.0)</f>
        <v>165</v>
      </c>
      <c r="L154" s="340">
        <f>IFERROR(__xludf.DUMMYFUNCTION("""COMPUTED_VALUE"""),185.0)</f>
        <v>185</v>
      </c>
      <c r="M154" s="385" t="str">
        <f>IFERROR(__xludf.DUMMYFUNCTION("""COMPUTED_VALUE"""),"瞬間型")</f>
        <v>瞬間型</v>
      </c>
      <c r="N154" s="386">
        <f>IFERROR(__xludf.DUMMYFUNCTION("""COMPUTED_VALUE"""),3.0)</f>
        <v>3</v>
      </c>
      <c r="O154" s="387" t="str">
        <f>IFERROR(__xludf.DUMMYFUNCTION("""COMPUTED_VALUE"""),"効果時間")</f>
        <v>効果時間</v>
      </c>
      <c r="P154" s="392">
        <f>IFERROR(__xludf.DUMMYFUNCTION("""COMPUTED_VALUE"""),165.0)</f>
        <v>165</v>
      </c>
      <c r="Q154" s="414">
        <f>IFERROR(__xludf.DUMMYFUNCTION("""COMPUTED_VALUE"""),175.0)</f>
        <v>175</v>
      </c>
      <c r="R154" s="415">
        <f>IFERROR(__xludf.DUMMYFUNCTION("""COMPUTED_VALUE"""),180.0)</f>
        <v>180</v>
      </c>
      <c r="S154" s="393">
        <f>IFERROR(__xludf.DUMMYFUNCTION("""COMPUTED_VALUE"""),185.0)</f>
        <v>185</v>
      </c>
      <c r="T154" s="393">
        <f>IFERROR(__xludf.DUMMYFUNCTION("""COMPUTED_VALUE"""),195.0)</f>
        <v>195</v>
      </c>
      <c r="U154" s="414">
        <f>IFERROR(__xludf.DUMMYFUNCTION("""COMPUTED_VALUE"""),200.0)</f>
        <v>200</v>
      </c>
      <c r="V154" s="416">
        <f>IFERROR(__xludf.DUMMYFUNCTION("""COMPUTED_VALUE"""),255.0)</f>
        <v>255</v>
      </c>
      <c r="W154" s="415">
        <f>IFERROR(__xludf.DUMMYFUNCTION("""COMPUTED_VALUE"""),270.0)</f>
        <v>270</v>
      </c>
      <c r="X154" s="385" t="str">
        <f>IFERROR(__xludf.DUMMYFUNCTION("""COMPUTED_VALUE"""),"安定型")</f>
        <v>安定型</v>
      </c>
      <c r="Y154" s="386">
        <f>IFERROR(__xludf.DUMMYFUNCTION("""COMPUTED_VALUE"""),3.0)</f>
        <v>3</v>
      </c>
      <c r="Z154" s="387" t="str">
        <f>IFERROR(__xludf.DUMMYFUNCTION("""COMPUTED_VALUE"""),"効果時間")</f>
        <v>効果時間</v>
      </c>
      <c r="AA154" s="392">
        <f>IFERROR(__xludf.DUMMYFUNCTION("""COMPUTED_VALUE"""),315.0)</f>
        <v>315</v>
      </c>
      <c r="AB154" s="414">
        <f>IFERROR(__xludf.DUMMYFUNCTION("""COMPUTED_VALUE"""),325.0)</f>
        <v>325</v>
      </c>
      <c r="AC154" s="415">
        <f>IFERROR(__xludf.DUMMYFUNCTION("""COMPUTED_VALUE"""),330.0)</f>
        <v>330</v>
      </c>
      <c r="AD154" s="393">
        <f>IFERROR(__xludf.DUMMYFUNCTION("""COMPUTED_VALUE"""),335.0)</f>
        <v>335</v>
      </c>
      <c r="AE154" s="393">
        <f>IFERROR(__xludf.DUMMYFUNCTION("""COMPUTED_VALUE"""),345.0)</f>
        <v>345</v>
      </c>
      <c r="AF154" s="414">
        <f>IFERROR(__xludf.DUMMYFUNCTION("""COMPUTED_VALUE"""),370.0)</f>
        <v>370</v>
      </c>
      <c r="AG154" s="416">
        <f>IFERROR(__xludf.DUMMYFUNCTION("""COMPUTED_VALUE"""),405.0)</f>
        <v>405</v>
      </c>
      <c r="AH154" s="415">
        <f>IFERROR(__xludf.DUMMYFUNCTION("""COMPUTED_VALUE"""),420.0)</f>
        <v>420</v>
      </c>
      <c r="AI154" s="385" t="str">
        <f>IFERROR(__xludf.DUMMYFUNCTION("""COMPUTED_VALUE"""),"持続型")</f>
        <v>持続型</v>
      </c>
      <c r="AJ154" s="386">
        <f>IFERROR(__xludf.DUMMYFUNCTION("""COMPUTED_VALUE"""),3.0)</f>
        <v>3</v>
      </c>
      <c r="AK154" s="387" t="str">
        <f>IFERROR(__xludf.DUMMYFUNCTION("""COMPUTED_VALUE"""),"効果時間")</f>
        <v>効果時間</v>
      </c>
      <c r="AL154" s="392">
        <f>IFERROR(__xludf.DUMMYFUNCTION("""COMPUTED_VALUE"""),465.0)</f>
        <v>465</v>
      </c>
      <c r="AM154" s="414">
        <f>IFERROR(__xludf.DUMMYFUNCTION("""COMPUTED_VALUE"""),475.0)</f>
        <v>475</v>
      </c>
      <c r="AN154" s="415">
        <f>IFERROR(__xludf.DUMMYFUNCTION("""COMPUTED_VALUE"""),480.0)</f>
        <v>480</v>
      </c>
      <c r="AO154" s="393">
        <f>IFERROR(__xludf.DUMMYFUNCTION("""COMPUTED_VALUE"""),485.0)</f>
        <v>485</v>
      </c>
      <c r="AP154" s="393">
        <f>IFERROR(__xludf.DUMMYFUNCTION("""COMPUTED_VALUE"""),495.0)</f>
        <v>495</v>
      </c>
      <c r="AQ154" s="414">
        <f>IFERROR(__xludf.DUMMYFUNCTION("""COMPUTED_VALUE"""),520.0)</f>
        <v>520</v>
      </c>
      <c r="AR154" s="416">
        <f>IFERROR(__xludf.DUMMYFUNCTION("""COMPUTED_VALUE"""),555.0)</f>
        <v>555</v>
      </c>
      <c r="AS154" s="415">
        <f>IFERROR(__xludf.DUMMYFUNCTION("""COMPUTED_VALUE"""),570.0)</f>
        <v>570</v>
      </c>
      <c r="AT154" s="385" t="str">
        <f>IFERROR(__xludf.DUMMYFUNCTION("""COMPUTED_VALUE"""),"超持続型")</f>
        <v>超持続型</v>
      </c>
      <c r="AU154" s="386">
        <f>IFERROR(__xludf.DUMMYFUNCTION("""COMPUTED_VALUE"""),3.0)</f>
        <v>3</v>
      </c>
      <c r="AV154" s="387" t="str">
        <f>IFERROR(__xludf.DUMMYFUNCTION("""COMPUTED_VALUE"""),"効果時間")</f>
        <v>効果時間</v>
      </c>
      <c r="AW154" s="368" t="str">
        <f>IFERROR(__xludf.DUMMYFUNCTION("""COMPUTED_VALUE"""),"-")</f>
        <v>-</v>
      </c>
      <c r="AX154" s="368" t="str">
        <f>IFERROR(__xludf.DUMMYFUNCTION("""COMPUTED_VALUE"""),"-")</f>
        <v>-</v>
      </c>
      <c r="AY154" s="368" t="str">
        <f>IFERROR(__xludf.DUMMYFUNCTION("""COMPUTED_VALUE"""),"-")</f>
        <v>-</v>
      </c>
      <c r="AZ154" s="368" t="str">
        <f>IFERROR(__xludf.DUMMYFUNCTION("""COMPUTED_VALUE"""),"-")</f>
        <v>-</v>
      </c>
      <c r="BA154" s="368" t="str">
        <f>IFERROR(__xludf.DUMMYFUNCTION("""COMPUTED_VALUE"""),"-")</f>
        <v>-</v>
      </c>
      <c r="BB154" s="280">
        <f>IFERROR(__xludf.DUMMYFUNCTION("""COMPUTED_VALUE"""),635.0)</f>
        <v>635</v>
      </c>
      <c r="BC154" s="280">
        <f>IFERROR(__xludf.DUMMYFUNCTION("""COMPUTED_VALUE"""),705.0)</f>
        <v>705</v>
      </c>
      <c r="BD154" s="280">
        <f>IFERROR(__xludf.DUMMYFUNCTION("""COMPUTED_VALUE"""),720.0)</f>
        <v>720</v>
      </c>
      <c r="BE154" s="385" t="str">
        <f>IFERROR(__xludf.DUMMYFUNCTION("""COMPUTED_VALUE"""),"ハイブリッド型")</f>
        <v>ハイブリッド型</v>
      </c>
      <c r="BF154" s="386">
        <f>IFERROR(__xludf.DUMMYFUNCTION("""COMPUTED_VALUE"""),3.0)</f>
        <v>3</v>
      </c>
      <c r="BG154" s="387" t="str">
        <f>IFERROR(__xludf.DUMMYFUNCTION("""COMPUTED_VALUE"""),"効果時間")</f>
        <v>効果時間</v>
      </c>
      <c r="BH154" s="407">
        <f>IFERROR(__xludf.DUMMYFUNCTION("""COMPUTED_VALUE"""),220.0)</f>
        <v>220</v>
      </c>
      <c r="BI154" s="407">
        <f>IFERROR(__xludf.DUMMYFUNCTION("""COMPUTED_VALUE"""),235.0)</f>
        <v>235</v>
      </c>
      <c r="BJ154" s="407">
        <f>IFERROR(__xludf.DUMMYFUNCTION("""COMPUTED_VALUE"""),240.0)</f>
        <v>240</v>
      </c>
      <c r="BK154" s="408">
        <f>IFERROR(__xludf.DUMMYFUNCTION("""COMPUTED_VALUE"""),250.0)</f>
        <v>250</v>
      </c>
      <c r="BL154" s="407">
        <f>IFERROR(__xludf.DUMMYFUNCTION("""COMPUTED_VALUE"""),255.0)</f>
        <v>255</v>
      </c>
      <c r="BM154" s="408">
        <f>IFERROR(__xludf.DUMMYFUNCTION("""COMPUTED_VALUE"""),385.0)</f>
        <v>385</v>
      </c>
      <c r="BN154" s="407">
        <f>IFERROR(__xludf.DUMMYFUNCTION("""COMPUTED_VALUE"""),490.0)</f>
        <v>490</v>
      </c>
      <c r="BO154" s="408">
        <f>IFERROR(__xludf.DUMMYFUNCTION("""COMPUTED_VALUE"""),505.0)</f>
        <v>505</v>
      </c>
    </row>
    <row r="155">
      <c r="A155" s="435" t="str">
        <f>IFERROR(__xludf.DUMMYFUNCTION("""COMPUTED_VALUE"""),"ダメージカット(緑)")</f>
        <v>ダメージカット(緑)</v>
      </c>
      <c r="B155" s="385" t="str">
        <f>IFERROR(__xludf.DUMMYFUNCTION("""COMPUTED_VALUE"""),"超瞬間型")</f>
        <v>超瞬間型</v>
      </c>
      <c r="C155" s="399">
        <f>IFERROR(__xludf.DUMMYFUNCTION("""COMPUTED_VALUE"""),4.0)</f>
        <v>4</v>
      </c>
      <c r="D155" s="400" t="str">
        <f>IFERROR(__xludf.DUMMYFUNCTION("""COMPUTED_VALUE"""),"効果値")</f>
        <v>効果値</v>
      </c>
      <c r="E155" s="401" t="str">
        <f>IFERROR(__xludf.DUMMYFUNCTION("""COMPUTED_VALUE"""),"-")</f>
        <v>-</v>
      </c>
      <c r="F155" s="409" t="str">
        <f>IFERROR(__xludf.DUMMYFUNCTION("""COMPUTED_VALUE"""),"-")</f>
        <v>-</v>
      </c>
      <c r="G155" s="409" t="str">
        <f>IFERROR(__xludf.DUMMYFUNCTION("""COMPUTED_VALUE"""),"-")</f>
        <v>-</v>
      </c>
      <c r="H155" s="409" t="str">
        <f>IFERROR(__xludf.DUMMYFUNCTION("""COMPUTED_VALUE"""),"-")</f>
        <v>-</v>
      </c>
      <c r="I155" s="409" t="str">
        <f>IFERROR(__xludf.DUMMYFUNCTION("""COMPUTED_VALUE"""),"-")</f>
        <v>-</v>
      </c>
      <c r="J155" s="410">
        <f>IFERROR(__xludf.DUMMYFUNCTION("""COMPUTED_VALUE"""),59.0)</f>
        <v>59</v>
      </c>
      <c r="K155" s="410">
        <f>IFERROR(__xludf.DUMMYFUNCTION("""COMPUTED_VALUE"""),69.0)</f>
        <v>69</v>
      </c>
      <c r="L155" s="410">
        <f>IFERROR(__xludf.DUMMYFUNCTION("""COMPUTED_VALUE"""),74.0)</f>
        <v>74</v>
      </c>
      <c r="M155" s="385" t="str">
        <f>IFERROR(__xludf.DUMMYFUNCTION("""COMPUTED_VALUE"""),"瞬間型")</f>
        <v>瞬間型</v>
      </c>
      <c r="N155" s="399">
        <f>IFERROR(__xludf.DUMMYFUNCTION("""COMPUTED_VALUE"""),4.0)</f>
        <v>4</v>
      </c>
      <c r="O155" s="400" t="str">
        <f>IFERROR(__xludf.DUMMYFUNCTION("""COMPUTED_VALUE"""),"効果値")</f>
        <v>効果値</v>
      </c>
      <c r="P155" s="343">
        <f>IFERROR(__xludf.DUMMYFUNCTION("""COMPUTED_VALUE"""),23.0)</f>
        <v>23</v>
      </c>
      <c r="Q155" s="402">
        <f>IFERROR(__xludf.DUMMYFUNCTION("""COMPUTED_VALUE"""),23.0)</f>
        <v>23</v>
      </c>
      <c r="R155" s="343">
        <f>IFERROR(__xludf.DUMMYFUNCTION("""COMPUTED_VALUE"""),23.0)</f>
        <v>23</v>
      </c>
      <c r="S155" s="402">
        <f>IFERROR(__xludf.DUMMYFUNCTION("""COMPUTED_VALUE"""),23.0)</f>
        <v>23</v>
      </c>
      <c r="T155" s="343">
        <f>IFERROR(__xludf.DUMMYFUNCTION("""COMPUTED_VALUE"""),23.0)</f>
        <v>23</v>
      </c>
      <c r="U155" s="343">
        <f>IFERROR(__xludf.DUMMYFUNCTION("""COMPUTED_VALUE"""),29.0)</f>
        <v>29</v>
      </c>
      <c r="V155" s="343">
        <f>IFERROR(__xludf.DUMMYFUNCTION("""COMPUTED_VALUE"""),34.0)</f>
        <v>34</v>
      </c>
      <c r="W155" s="343">
        <f>IFERROR(__xludf.DUMMYFUNCTION("""COMPUTED_VALUE"""),39.0)</f>
        <v>39</v>
      </c>
      <c r="X155" s="385" t="str">
        <f>IFERROR(__xludf.DUMMYFUNCTION("""COMPUTED_VALUE"""),"安定型")</f>
        <v>安定型</v>
      </c>
      <c r="Y155" s="399">
        <f>IFERROR(__xludf.DUMMYFUNCTION("""COMPUTED_VALUE"""),4.0)</f>
        <v>4</v>
      </c>
      <c r="Z155" s="400" t="str">
        <f>IFERROR(__xludf.DUMMYFUNCTION("""COMPUTED_VALUE"""),"効果値")</f>
        <v>効果値</v>
      </c>
      <c r="AA155" s="343">
        <f>IFERROR(__xludf.DUMMYFUNCTION("""COMPUTED_VALUE"""),13.0)</f>
        <v>13</v>
      </c>
      <c r="AB155" s="402">
        <f>IFERROR(__xludf.DUMMYFUNCTION("""COMPUTED_VALUE"""),13.0)</f>
        <v>13</v>
      </c>
      <c r="AC155" s="343">
        <f>IFERROR(__xludf.DUMMYFUNCTION("""COMPUTED_VALUE"""),13.0)</f>
        <v>13</v>
      </c>
      <c r="AD155" s="402">
        <f>IFERROR(__xludf.DUMMYFUNCTION("""COMPUTED_VALUE"""),13.0)</f>
        <v>13</v>
      </c>
      <c r="AE155" s="343">
        <f>IFERROR(__xludf.DUMMYFUNCTION("""COMPUTED_VALUE"""),13.0)</f>
        <v>13</v>
      </c>
      <c r="AF155" s="343">
        <f>IFERROR(__xludf.DUMMYFUNCTION("""COMPUTED_VALUE"""),14.0)</f>
        <v>14</v>
      </c>
      <c r="AG155" s="343">
        <f>IFERROR(__xludf.DUMMYFUNCTION("""COMPUTED_VALUE"""),19.0)</f>
        <v>19</v>
      </c>
      <c r="AH155" s="343">
        <f>IFERROR(__xludf.DUMMYFUNCTION("""COMPUTED_VALUE"""),24.0)</f>
        <v>24</v>
      </c>
      <c r="AI155" s="385" t="str">
        <f>IFERROR(__xludf.DUMMYFUNCTION("""COMPUTED_VALUE"""),"持続型")</f>
        <v>持続型</v>
      </c>
      <c r="AJ155" s="399">
        <f>IFERROR(__xludf.DUMMYFUNCTION("""COMPUTED_VALUE"""),4.0)</f>
        <v>4</v>
      </c>
      <c r="AK155" s="400" t="str">
        <f>IFERROR(__xludf.DUMMYFUNCTION("""COMPUTED_VALUE"""),"効果値")</f>
        <v>効果値</v>
      </c>
      <c r="AL155" s="343">
        <f>IFERROR(__xludf.DUMMYFUNCTION("""COMPUTED_VALUE"""),8.0)</f>
        <v>8</v>
      </c>
      <c r="AM155" s="402">
        <f>IFERROR(__xludf.DUMMYFUNCTION("""COMPUTED_VALUE"""),8.0)</f>
        <v>8</v>
      </c>
      <c r="AN155" s="343">
        <f>IFERROR(__xludf.DUMMYFUNCTION("""COMPUTED_VALUE"""),8.0)</f>
        <v>8</v>
      </c>
      <c r="AO155" s="402">
        <f>IFERROR(__xludf.DUMMYFUNCTION("""COMPUTED_VALUE"""),8.0)</f>
        <v>8</v>
      </c>
      <c r="AP155" s="343">
        <f>IFERROR(__xludf.DUMMYFUNCTION("""COMPUTED_VALUE"""),8.0)</f>
        <v>8</v>
      </c>
      <c r="AQ155" s="343">
        <f>IFERROR(__xludf.DUMMYFUNCTION("""COMPUTED_VALUE"""),9.0)</f>
        <v>9</v>
      </c>
      <c r="AR155" s="343">
        <f>IFERROR(__xludf.DUMMYFUNCTION("""COMPUTED_VALUE"""),12.0)</f>
        <v>12</v>
      </c>
      <c r="AS155" s="343">
        <f>IFERROR(__xludf.DUMMYFUNCTION("""COMPUTED_VALUE"""),12.0)</f>
        <v>12</v>
      </c>
      <c r="AT155" s="385" t="str">
        <f>IFERROR(__xludf.DUMMYFUNCTION("""COMPUTED_VALUE"""),"超持続型")</f>
        <v>超持続型</v>
      </c>
      <c r="AU155" s="399">
        <f>IFERROR(__xludf.DUMMYFUNCTION("""COMPUTED_VALUE"""),4.0)</f>
        <v>4</v>
      </c>
      <c r="AV155" s="400" t="str">
        <f>IFERROR(__xludf.DUMMYFUNCTION("""COMPUTED_VALUE"""),"効果値")</f>
        <v>効果値</v>
      </c>
      <c r="AW155" s="403" t="str">
        <f>IFERROR(__xludf.DUMMYFUNCTION("""COMPUTED_VALUE"""),"-")</f>
        <v>-</v>
      </c>
      <c r="AX155" s="403" t="str">
        <f>IFERROR(__xludf.DUMMYFUNCTION("""COMPUTED_VALUE"""),"-")</f>
        <v>-</v>
      </c>
      <c r="AY155" s="403" t="str">
        <f>IFERROR(__xludf.DUMMYFUNCTION("""COMPUTED_VALUE"""),"-")</f>
        <v>-</v>
      </c>
      <c r="AZ155" s="403" t="str">
        <f>IFERROR(__xludf.DUMMYFUNCTION("""COMPUTED_VALUE"""),"-")</f>
        <v>-</v>
      </c>
      <c r="BA155" s="403" t="str">
        <f>IFERROR(__xludf.DUMMYFUNCTION("""COMPUTED_VALUE"""),"-")</f>
        <v>-</v>
      </c>
      <c r="BB155" s="343">
        <f>IFERROR(__xludf.DUMMYFUNCTION("""COMPUTED_VALUE"""),9.0)</f>
        <v>9</v>
      </c>
      <c r="BC155" s="343">
        <f>IFERROR(__xludf.DUMMYFUNCTION("""COMPUTED_VALUE"""),12.0)</f>
        <v>12</v>
      </c>
      <c r="BD155" s="343">
        <f>IFERROR(__xludf.DUMMYFUNCTION("""COMPUTED_VALUE"""),12.0)</f>
        <v>12</v>
      </c>
      <c r="BE155" s="385" t="str">
        <f>IFERROR(__xludf.DUMMYFUNCTION("""COMPUTED_VALUE"""),"ハイブリッド型")</f>
        <v>ハイブリッド型</v>
      </c>
      <c r="BF155" s="399">
        <f>IFERROR(__xludf.DUMMYFUNCTION("""COMPUTED_VALUE"""),4.0)</f>
        <v>4</v>
      </c>
      <c r="BG155" s="400" t="str">
        <f>IFERROR(__xludf.DUMMYFUNCTION("""COMPUTED_VALUE"""),"効果値")</f>
        <v>効果値</v>
      </c>
      <c r="BH155" s="411">
        <f>IFERROR(__xludf.DUMMYFUNCTION("""COMPUTED_VALUE"""),11.8)</f>
        <v>11.8</v>
      </c>
      <c r="BI155" s="412">
        <f>IFERROR(__xludf.DUMMYFUNCTION("""COMPUTED_VALUE"""),12.4)</f>
        <v>12.4</v>
      </c>
      <c r="BJ155" s="412">
        <f>IFERROR(__xludf.DUMMYFUNCTION("""COMPUTED_VALUE"""),13.1)</f>
        <v>13.1</v>
      </c>
      <c r="BK155" s="412">
        <f>IFERROR(__xludf.DUMMYFUNCTION("""COMPUTED_VALUE"""),13.7)</f>
        <v>13.7</v>
      </c>
      <c r="BL155" s="412">
        <f>IFERROR(__xludf.DUMMYFUNCTION("""COMPUTED_VALUE"""),14.4)</f>
        <v>14.4</v>
      </c>
      <c r="BM155" s="412">
        <f>IFERROR(__xludf.DUMMYFUNCTION("""COMPUTED_VALUE"""),19.4)</f>
        <v>19.4</v>
      </c>
      <c r="BN155" s="412">
        <f>IFERROR(__xludf.DUMMYFUNCTION("""COMPUTED_VALUE"""),24.0)</f>
        <v>24</v>
      </c>
      <c r="BO155" s="413">
        <f>IFERROR(__xludf.DUMMYFUNCTION("""COMPUTED_VALUE"""),29.0)</f>
        <v>29</v>
      </c>
    </row>
    <row r="156">
      <c r="A156" s="435" t="str">
        <f>IFERROR(__xludf.DUMMYFUNCTION("""COMPUTED_VALUE"""),"ダメージカット(緑)")</f>
        <v>ダメージカット(緑)</v>
      </c>
      <c r="B156" s="385" t="str">
        <f>IFERROR(__xludf.DUMMYFUNCTION("""COMPUTED_VALUE"""),"超瞬間型")</f>
        <v>超瞬間型</v>
      </c>
      <c r="C156" s="386">
        <f>IFERROR(__xludf.DUMMYFUNCTION("""COMPUTED_VALUE"""),4.0)</f>
        <v>4</v>
      </c>
      <c r="D156" s="387" t="str">
        <f>IFERROR(__xludf.DUMMYFUNCTION("""COMPUTED_VALUE"""),"効果時間")</f>
        <v>効果時間</v>
      </c>
      <c r="E156" s="388" t="str">
        <f>IFERROR(__xludf.DUMMYFUNCTION("""COMPUTED_VALUE"""),"-")</f>
        <v>-</v>
      </c>
      <c r="F156" s="389" t="str">
        <f>IFERROR(__xludf.DUMMYFUNCTION("""COMPUTED_VALUE"""),"-")</f>
        <v>-</v>
      </c>
      <c r="G156" s="388" t="str">
        <f>IFERROR(__xludf.DUMMYFUNCTION("""COMPUTED_VALUE"""),"-")</f>
        <v>-</v>
      </c>
      <c r="H156" s="389" t="str">
        <f>IFERROR(__xludf.DUMMYFUNCTION("""COMPUTED_VALUE"""),"-")</f>
        <v>-</v>
      </c>
      <c r="I156" s="388" t="str">
        <f>IFERROR(__xludf.DUMMYFUNCTION("""COMPUTED_VALUE"""),"-")</f>
        <v>-</v>
      </c>
      <c r="J156" s="390">
        <f>IFERROR(__xludf.DUMMYFUNCTION("""COMPUTED_VALUE"""),155.0)</f>
        <v>155</v>
      </c>
      <c r="K156" s="391">
        <f>IFERROR(__xludf.DUMMYFUNCTION("""COMPUTED_VALUE"""),170.0)</f>
        <v>170</v>
      </c>
      <c r="L156" s="340">
        <f>IFERROR(__xludf.DUMMYFUNCTION("""COMPUTED_VALUE"""),195.0)</f>
        <v>195</v>
      </c>
      <c r="M156" s="385" t="str">
        <f>IFERROR(__xludf.DUMMYFUNCTION("""COMPUTED_VALUE"""),"瞬間型")</f>
        <v>瞬間型</v>
      </c>
      <c r="N156" s="386">
        <f>IFERROR(__xludf.DUMMYFUNCTION("""COMPUTED_VALUE"""),4.0)</f>
        <v>4</v>
      </c>
      <c r="O156" s="387" t="str">
        <f>IFERROR(__xludf.DUMMYFUNCTION("""COMPUTED_VALUE"""),"効果時間")</f>
        <v>効果時間</v>
      </c>
      <c r="P156" s="280">
        <f>IFERROR(__xludf.DUMMYFUNCTION("""COMPUTED_VALUE"""),170.0)</f>
        <v>170</v>
      </c>
      <c r="Q156" s="275">
        <f>IFERROR(__xludf.DUMMYFUNCTION("""COMPUTED_VALUE"""),180.0)</f>
        <v>180</v>
      </c>
      <c r="R156" s="280">
        <f>IFERROR(__xludf.DUMMYFUNCTION("""COMPUTED_VALUE"""),185.0)</f>
        <v>185</v>
      </c>
      <c r="S156" s="275">
        <f>IFERROR(__xludf.DUMMYFUNCTION("""COMPUTED_VALUE"""),195.0)</f>
        <v>195</v>
      </c>
      <c r="T156" s="280">
        <f>IFERROR(__xludf.DUMMYFUNCTION("""COMPUTED_VALUE"""),200.0)</f>
        <v>200</v>
      </c>
      <c r="U156" s="280">
        <f>IFERROR(__xludf.DUMMYFUNCTION("""COMPUTED_VALUE"""),215.0)</f>
        <v>215</v>
      </c>
      <c r="V156" s="280">
        <f>IFERROR(__xludf.DUMMYFUNCTION("""COMPUTED_VALUE"""),285.0)</f>
        <v>285</v>
      </c>
      <c r="W156" s="280">
        <f>IFERROR(__xludf.DUMMYFUNCTION("""COMPUTED_VALUE"""),305.0)</f>
        <v>305</v>
      </c>
      <c r="X156" s="385" t="str">
        <f>IFERROR(__xludf.DUMMYFUNCTION("""COMPUTED_VALUE"""),"安定型")</f>
        <v>安定型</v>
      </c>
      <c r="Y156" s="386">
        <f>IFERROR(__xludf.DUMMYFUNCTION("""COMPUTED_VALUE"""),4.0)</f>
        <v>4</v>
      </c>
      <c r="Z156" s="387" t="str">
        <f>IFERROR(__xludf.DUMMYFUNCTION("""COMPUTED_VALUE"""),"効果時間")</f>
        <v>効果時間</v>
      </c>
      <c r="AA156" s="280">
        <f>IFERROR(__xludf.DUMMYFUNCTION("""COMPUTED_VALUE"""),320.0)</f>
        <v>320</v>
      </c>
      <c r="AB156" s="275">
        <f>IFERROR(__xludf.DUMMYFUNCTION("""COMPUTED_VALUE"""),330.0)</f>
        <v>330</v>
      </c>
      <c r="AC156" s="280">
        <f>IFERROR(__xludf.DUMMYFUNCTION("""COMPUTED_VALUE"""),335.0)</f>
        <v>335</v>
      </c>
      <c r="AD156" s="275">
        <f>IFERROR(__xludf.DUMMYFUNCTION("""COMPUTED_VALUE"""),345.0)</f>
        <v>345</v>
      </c>
      <c r="AE156" s="280">
        <f>IFERROR(__xludf.DUMMYFUNCTION("""COMPUTED_VALUE"""),350.0)</f>
        <v>350</v>
      </c>
      <c r="AF156" s="280">
        <f>IFERROR(__xludf.DUMMYFUNCTION("""COMPUTED_VALUE"""),390.0)</f>
        <v>390</v>
      </c>
      <c r="AG156" s="280">
        <f>IFERROR(__xludf.DUMMYFUNCTION("""COMPUTED_VALUE"""),435.0)</f>
        <v>435</v>
      </c>
      <c r="AH156" s="280">
        <f>IFERROR(__xludf.DUMMYFUNCTION("""COMPUTED_VALUE"""),455.0)</f>
        <v>455</v>
      </c>
      <c r="AI156" s="385" t="str">
        <f>IFERROR(__xludf.DUMMYFUNCTION("""COMPUTED_VALUE"""),"持続型")</f>
        <v>持続型</v>
      </c>
      <c r="AJ156" s="386">
        <f>IFERROR(__xludf.DUMMYFUNCTION("""COMPUTED_VALUE"""),4.0)</f>
        <v>4</v>
      </c>
      <c r="AK156" s="387" t="str">
        <f>IFERROR(__xludf.DUMMYFUNCTION("""COMPUTED_VALUE"""),"効果時間")</f>
        <v>効果時間</v>
      </c>
      <c r="AL156" s="280">
        <f>IFERROR(__xludf.DUMMYFUNCTION("""COMPUTED_VALUE"""),470.0)</f>
        <v>470</v>
      </c>
      <c r="AM156" s="275">
        <f>IFERROR(__xludf.DUMMYFUNCTION("""COMPUTED_VALUE"""),480.0)</f>
        <v>480</v>
      </c>
      <c r="AN156" s="280">
        <f>IFERROR(__xludf.DUMMYFUNCTION("""COMPUTED_VALUE"""),485.0)</f>
        <v>485</v>
      </c>
      <c r="AO156" s="275">
        <f>IFERROR(__xludf.DUMMYFUNCTION("""COMPUTED_VALUE"""),495.0)</f>
        <v>495</v>
      </c>
      <c r="AP156" s="280">
        <f>IFERROR(__xludf.DUMMYFUNCTION("""COMPUTED_VALUE"""),500.0)</f>
        <v>500</v>
      </c>
      <c r="AQ156" s="280">
        <f>IFERROR(__xludf.DUMMYFUNCTION("""COMPUTED_VALUE"""),540.0)</f>
        <v>540</v>
      </c>
      <c r="AR156" s="280">
        <f>IFERROR(__xludf.DUMMYFUNCTION("""COMPUTED_VALUE"""),585.0)</f>
        <v>585</v>
      </c>
      <c r="AS156" s="280">
        <f>IFERROR(__xludf.DUMMYFUNCTION("""COMPUTED_VALUE"""),605.0)</f>
        <v>605</v>
      </c>
      <c r="AT156" s="385" t="str">
        <f>IFERROR(__xludf.DUMMYFUNCTION("""COMPUTED_VALUE"""),"超持続型")</f>
        <v>超持続型</v>
      </c>
      <c r="AU156" s="386">
        <f>IFERROR(__xludf.DUMMYFUNCTION("""COMPUTED_VALUE"""),4.0)</f>
        <v>4</v>
      </c>
      <c r="AV156" s="387" t="str">
        <f>IFERROR(__xludf.DUMMYFUNCTION("""COMPUTED_VALUE"""),"効果時間")</f>
        <v>効果時間</v>
      </c>
      <c r="AW156" s="368" t="str">
        <f>IFERROR(__xludf.DUMMYFUNCTION("""COMPUTED_VALUE"""),"-")</f>
        <v>-</v>
      </c>
      <c r="AX156" s="368" t="str">
        <f>IFERROR(__xludf.DUMMYFUNCTION("""COMPUTED_VALUE"""),"-")</f>
        <v>-</v>
      </c>
      <c r="AY156" s="368" t="str">
        <f>IFERROR(__xludf.DUMMYFUNCTION("""COMPUTED_VALUE"""),"-")</f>
        <v>-</v>
      </c>
      <c r="AZ156" s="368" t="str">
        <f>IFERROR(__xludf.DUMMYFUNCTION("""COMPUTED_VALUE"""),"-")</f>
        <v>-</v>
      </c>
      <c r="BA156" s="368" t="str">
        <f>IFERROR(__xludf.DUMMYFUNCTION("""COMPUTED_VALUE"""),"-")</f>
        <v>-</v>
      </c>
      <c r="BB156" s="280">
        <f>IFERROR(__xludf.DUMMYFUNCTION("""COMPUTED_VALUE"""),645.0)</f>
        <v>645</v>
      </c>
      <c r="BC156" s="280">
        <f>IFERROR(__xludf.DUMMYFUNCTION("""COMPUTED_VALUE"""),735.0)</f>
        <v>735</v>
      </c>
      <c r="BD156" s="280">
        <f>IFERROR(__xludf.DUMMYFUNCTION("""COMPUTED_VALUE"""),755.0)</f>
        <v>755</v>
      </c>
      <c r="BE156" s="385" t="str">
        <f>IFERROR(__xludf.DUMMYFUNCTION("""COMPUTED_VALUE"""),"ハイブリッド型")</f>
        <v>ハイブリッド型</v>
      </c>
      <c r="BF156" s="386">
        <f>IFERROR(__xludf.DUMMYFUNCTION("""COMPUTED_VALUE"""),4.0)</f>
        <v>4</v>
      </c>
      <c r="BG156" s="387" t="str">
        <f>IFERROR(__xludf.DUMMYFUNCTION("""COMPUTED_VALUE"""),"効果時間")</f>
        <v>効果時間</v>
      </c>
      <c r="BH156" s="417">
        <f>IFERROR(__xludf.DUMMYFUNCTION("""COMPUTED_VALUE"""),240.0)</f>
        <v>240</v>
      </c>
      <c r="BI156" s="417">
        <f>IFERROR(__xludf.DUMMYFUNCTION("""COMPUTED_VALUE"""),255.0)</f>
        <v>255</v>
      </c>
      <c r="BJ156" s="417">
        <f>IFERROR(__xludf.DUMMYFUNCTION("""COMPUTED_VALUE"""),265.0)</f>
        <v>265</v>
      </c>
      <c r="BK156" s="418">
        <f>IFERROR(__xludf.DUMMYFUNCTION("""COMPUTED_VALUE"""),275.0)</f>
        <v>275</v>
      </c>
      <c r="BL156" s="417">
        <f>IFERROR(__xludf.DUMMYFUNCTION("""COMPUTED_VALUE"""),285.0)</f>
        <v>285</v>
      </c>
      <c r="BM156" s="418">
        <f>IFERROR(__xludf.DUMMYFUNCTION("""COMPUTED_VALUE"""),395.0)</f>
        <v>395</v>
      </c>
      <c r="BN156" s="417">
        <f>IFERROR(__xludf.DUMMYFUNCTION("""COMPUTED_VALUE"""),500.0)</f>
        <v>500</v>
      </c>
      <c r="BO156" s="418">
        <f>IFERROR(__xludf.DUMMYFUNCTION("""COMPUTED_VALUE"""),520.0)</f>
        <v>520</v>
      </c>
    </row>
    <row r="157">
      <c r="A157" s="435" t="str">
        <f>IFERROR(__xludf.DUMMYFUNCTION("""COMPUTED_VALUE"""),"ダメージカット(緑)")</f>
        <v>ダメージカット(緑)</v>
      </c>
      <c r="B157" s="385" t="str">
        <f>IFERROR(__xludf.DUMMYFUNCTION("""COMPUTED_VALUE"""),"超瞬間型")</f>
        <v>超瞬間型</v>
      </c>
      <c r="C157" s="399">
        <f>IFERROR(__xludf.DUMMYFUNCTION("""COMPUTED_VALUE"""),5.0)</f>
        <v>5</v>
      </c>
      <c r="D157" s="400" t="str">
        <f>IFERROR(__xludf.DUMMYFUNCTION("""COMPUTED_VALUE"""),"効果値")</f>
        <v>効果値</v>
      </c>
      <c r="E157" s="419" t="str">
        <f>IFERROR(__xludf.DUMMYFUNCTION("""COMPUTED_VALUE"""),"-")</f>
        <v>-</v>
      </c>
      <c r="F157" s="409" t="str">
        <f>IFERROR(__xludf.DUMMYFUNCTION("""COMPUTED_VALUE"""),"-")</f>
        <v>-</v>
      </c>
      <c r="G157" s="409" t="str">
        <f>IFERROR(__xludf.DUMMYFUNCTION("""COMPUTED_VALUE"""),"-")</f>
        <v>-</v>
      </c>
      <c r="H157" s="409" t="str">
        <f>IFERROR(__xludf.DUMMYFUNCTION("""COMPUTED_VALUE"""),"-")</f>
        <v>-</v>
      </c>
      <c r="I157" s="409" t="str">
        <f>IFERROR(__xludf.DUMMYFUNCTION("""COMPUTED_VALUE"""),"-")</f>
        <v>-</v>
      </c>
      <c r="J157" s="420">
        <f>IFERROR(__xludf.DUMMYFUNCTION("""COMPUTED_VALUE"""),60.0)</f>
        <v>60</v>
      </c>
      <c r="K157" s="421">
        <f>IFERROR(__xludf.DUMMYFUNCTION("""COMPUTED_VALUE"""),70.0)</f>
        <v>70</v>
      </c>
      <c r="L157" s="421">
        <f>IFERROR(__xludf.DUMMYFUNCTION("""COMPUTED_VALUE"""),75.0)</f>
        <v>75</v>
      </c>
      <c r="M157" s="385" t="str">
        <f>IFERROR(__xludf.DUMMYFUNCTION("""COMPUTED_VALUE"""),"瞬間型")</f>
        <v>瞬間型</v>
      </c>
      <c r="N157" s="399">
        <f>IFERROR(__xludf.DUMMYFUNCTION("""COMPUTED_VALUE"""),5.0)</f>
        <v>5</v>
      </c>
      <c r="O157" s="400" t="str">
        <f>IFERROR(__xludf.DUMMYFUNCTION("""COMPUTED_VALUE"""),"効果値")</f>
        <v>効果値</v>
      </c>
      <c r="P157" s="422">
        <f>IFERROR(__xludf.DUMMYFUNCTION("""COMPUTED_VALUE"""),23.0)</f>
        <v>23</v>
      </c>
      <c r="Q157" s="423">
        <f>IFERROR(__xludf.DUMMYFUNCTION("""COMPUTED_VALUE"""),23.0)</f>
        <v>23</v>
      </c>
      <c r="R157" s="422">
        <f>IFERROR(__xludf.DUMMYFUNCTION("""COMPUTED_VALUE"""),24.0)</f>
        <v>24</v>
      </c>
      <c r="S157" s="423">
        <f>IFERROR(__xludf.DUMMYFUNCTION("""COMPUTED_VALUE"""),24.0)</f>
        <v>24</v>
      </c>
      <c r="T157" s="422">
        <f>IFERROR(__xludf.DUMMYFUNCTION("""COMPUTED_VALUE"""),24.0)</f>
        <v>24</v>
      </c>
      <c r="U157" s="423">
        <f>IFERROR(__xludf.DUMMYFUNCTION("""COMPUTED_VALUE"""),30.0)</f>
        <v>30</v>
      </c>
      <c r="V157" s="423">
        <f>IFERROR(__xludf.DUMMYFUNCTION("""COMPUTED_VALUE"""),35.0)</f>
        <v>35</v>
      </c>
      <c r="W157" s="424">
        <f>IFERROR(__xludf.DUMMYFUNCTION("""COMPUTED_VALUE"""),40.0)</f>
        <v>40</v>
      </c>
      <c r="X157" s="385" t="str">
        <f>IFERROR(__xludf.DUMMYFUNCTION("""COMPUTED_VALUE"""),"安定型")</f>
        <v>安定型</v>
      </c>
      <c r="Y157" s="399">
        <f>IFERROR(__xludf.DUMMYFUNCTION("""COMPUTED_VALUE"""),5.0)</f>
        <v>5</v>
      </c>
      <c r="Z157" s="400" t="str">
        <f>IFERROR(__xludf.DUMMYFUNCTION("""COMPUTED_VALUE"""),"効果値")</f>
        <v>効果値</v>
      </c>
      <c r="AA157" s="422">
        <f>IFERROR(__xludf.DUMMYFUNCTION("""COMPUTED_VALUE"""),13.0)</f>
        <v>13</v>
      </c>
      <c r="AB157" s="423">
        <f>IFERROR(__xludf.DUMMYFUNCTION("""COMPUTED_VALUE"""),13.0)</f>
        <v>13</v>
      </c>
      <c r="AC157" s="422">
        <f>IFERROR(__xludf.DUMMYFUNCTION("""COMPUTED_VALUE"""),14.0)</f>
        <v>14</v>
      </c>
      <c r="AD157" s="423">
        <f>IFERROR(__xludf.DUMMYFUNCTION("""COMPUTED_VALUE"""),14.0)</f>
        <v>14</v>
      </c>
      <c r="AE157" s="422">
        <f>IFERROR(__xludf.DUMMYFUNCTION("""COMPUTED_VALUE"""),14.0)</f>
        <v>14</v>
      </c>
      <c r="AF157" s="423">
        <f>IFERROR(__xludf.DUMMYFUNCTION("""COMPUTED_VALUE"""),15.0)</f>
        <v>15</v>
      </c>
      <c r="AG157" s="423">
        <f>IFERROR(__xludf.DUMMYFUNCTION("""COMPUTED_VALUE"""),20.0)</f>
        <v>20</v>
      </c>
      <c r="AH157" s="424">
        <f>IFERROR(__xludf.DUMMYFUNCTION("""COMPUTED_VALUE"""),25.0)</f>
        <v>25</v>
      </c>
      <c r="AI157" s="385" t="str">
        <f>IFERROR(__xludf.DUMMYFUNCTION("""COMPUTED_VALUE"""),"持続型")</f>
        <v>持続型</v>
      </c>
      <c r="AJ157" s="399">
        <f>IFERROR(__xludf.DUMMYFUNCTION("""COMPUTED_VALUE"""),5.0)</f>
        <v>5</v>
      </c>
      <c r="AK157" s="400" t="str">
        <f>IFERROR(__xludf.DUMMYFUNCTION("""COMPUTED_VALUE"""),"効果値")</f>
        <v>効果値</v>
      </c>
      <c r="AL157" s="422">
        <f>IFERROR(__xludf.DUMMYFUNCTION("""COMPUTED_VALUE"""),8.0)</f>
        <v>8</v>
      </c>
      <c r="AM157" s="423">
        <f>IFERROR(__xludf.DUMMYFUNCTION("""COMPUTED_VALUE"""),8.0)</f>
        <v>8</v>
      </c>
      <c r="AN157" s="422">
        <f>IFERROR(__xludf.DUMMYFUNCTION("""COMPUTED_VALUE"""),9.0)</f>
        <v>9</v>
      </c>
      <c r="AO157" s="423">
        <f>IFERROR(__xludf.DUMMYFUNCTION("""COMPUTED_VALUE"""),9.0)</f>
        <v>9</v>
      </c>
      <c r="AP157" s="422">
        <f>IFERROR(__xludf.DUMMYFUNCTION("""COMPUTED_VALUE"""),9.0)</f>
        <v>9</v>
      </c>
      <c r="AQ157" s="423">
        <f>IFERROR(__xludf.DUMMYFUNCTION("""COMPUTED_VALUE"""),10.0)</f>
        <v>10</v>
      </c>
      <c r="AR157" s="423">
        <f>IFERROR(__xludf.DUMMYFUNCTION("""COMPUTED_VALUE"""),12.0)</f>
        <v>12</v>
      </c>
      <c r="AS157" s="424">
        <f>IFERROR(__xludf.DUMMYFUNCTION("""COMPUTED_VALUE"""),12.0)</f>
        <v>12</v>
      </c>
      <c r="AT157" s="385" t="str">
        <f>IFERROR(__xludf.DUMMYFUNCTION("""COMPUTED_VALUE"""),"超持続型")</f>
        <v>超持続型</v>
      </c>
      <c r="AU157" s="399">
        <f>IFERROR(__xludf.DUMMYFUNCTION("""COMPUTED_VALUE"""),5.0)</f>
        <v>5</v>
      </c>
      <c r="AV157" s="400" t="str">
        <f>IFERROR(__xludf.DUMMYFUNCTION("""COMPUTED_VALUE"""),"効果値")</f>
        <v>効果値</v>
      </c>
      <c r="AW157" s="425" t="str">
        <f>IFERROR(__xludf.DUMMYFUNCTION("""COMPUTED_VALUE"""),"-")</f>
        <v>-</v>
      </c>
      <c r="AX157" s="426" t="str">
        <f>IFERROR(__xludf.DUMMYFUNCTION("""COMPUTED_VALUE"""),"-")</f>
        <v>-</v>
      </c>
      <c r="AY157" s="426" t="str">
        <f>IFERROR(__xludf.DUMMYFUNCTION("""COMPUTED_VALUE"""),"-")</f>
        <v>-</v>
      </c>
      <c r="AZ157" s="426" t="str">
        <f>IFERROR(__xludf.DUMMYFUNCTION("""COMPUTED_VALUE"""),"-")</f>
        <v>-</v>
      </c>
      <c r="BA157" s="426" t="str">
        <f>IFERROR(__xludf.DUMMYFUNCTION("""COMPUTED_VALUE"""),"-")</f>
        <v>-</v>
      </c>
      <c r="BB157" s="423">
        <f>IFERROR(__xludf.DUMMYFUNCTION("""COMPUTED_VALUE"""),10.0)</f>
        <v>10</v>
      </c>
      <c r="BC157" s="423">
        <f>IFERROR(__xludf.DUMMYFUNCTION("""COMPUTED_VALUE"""),12.0)</f>
        <v>12</v>
      </c>
      <c r="BD157" s="424">
        <f>IFERROR(__xludf.DUMMYFUNCTION("""COMPUTED_VALUE"""),12.0)</f>
        <v>12</v>
      </c>
      <c r="BE157" s="385" t="str">
        <f>IFERROR(__xludf.DUMMYFUNCTION("""COMPUTED_VALUE"""),"ハイブリッド型")</f>
        <v>ハイブリッド型</v>
      </c>
      <c r="BF157" s="399">
        <f>IFERROR(__xludf.DUMMYFUNCTION("""COMPUTED_VALUE"""),5.0)</f>
        <v>5</v>
      </c>
      <c r="BG157" s="400" t="str">
        <f>IFERROR(__xludf.DUMMYFUNCTION("""COMPUTED_VALUE"""),"効果値")</f>
        <v>効果値</v>
      </c>
      <c r="BH157" s="427">
        <f>IFERROR(__xludf.DUMMYFUNCTION("""COMPUTED_VALUE"""),12.0)</f>
        <v>12</v>
      </c>
      <c r="BI157" s="428">
        <f>IFERROR(__xludf.DUMMYFUNCTION("""COMPUTED_VALUE"""),12.75)</f>
        <v>12.75</v>
      </c>
      <c r="BJ157" s="428">
        <f>IFERROR(__xludf.DUMMYFUNCTION("""COMPUTED_VALUE"""),13.5)</f>
        <v>13.5</v>
      </c>
      <c r="BK157" s="428">
        <f>IFERROR(__xludf.DUMMYFUNCTION("""COMPUTED_VALUE"""),14.25)</f>
        <v>14.25</v>
      </c>
      <c r="BL157" s="427">
        <f>IFERROR(__xludf.DUMMYFUNCTION("""COMPUTED_VALUE"""),15.0)</f>
        <v>15</v>
      </c>
      <c r="BM157" s="427">
        <f>IFERROR(__xludf.DUMMYFUNCTION("""COMPUTED_VALUE"""),20.0)</f>
        <v>20</v>
      </c>
      <c r="BN157" s="427">
        <f>IFERROR(__xludf.DUMMYFUNCTION("""COMPUTED_VALUE"""),25.0)</f>
        <v>25</v>
      </c>
      <c r="BO157" s="429">
        <f>IFERROR(__xludf.DUMMYFUNCTION("""COMPUTED_VALUE"""),30.0)</f>
        <v>30</v>
      </c>
    </row>
    <row r="158">
      <c r="A158" s="435" t="str">
        <f>IFERROR(__xludf.DUMMYFUNCTION("""COMPUTED_VALUE"""),"ダメージカット(緑)")</f>
        <v>ダメージカット(緑)</v>
      </c>
      <c r="B158" s="385" t="str">
        <f>IFERROR(__xludf.DUMMYFUNCTION("""COMPUTED_VALUE"""),"超瞬間型")</f>
        <v>超瞬間型</v>
      </c>
      <c r="C158" s="430">
        <f>IFERROR(__xludf.DUMMYFUNCTION("""COMPUTED_VALUE"""),5.0)</f>
        <v>5</v>
      </c>
      <c r="D158" s="431" t="str">
        <f>IFERROR(__xludf.DUMMYFUNCTION("""COMPUTED_VALUE"""),"効果時間")</f>
        <v>効果時間</v>
      </c>
      <c r="E158" s="388" t="str">
        <f>IFERROR(__xludf.DUMMYFUNCTION("""COMPUTED_VALUE"""),"-")</f>
        <v>-</v>
      </c>
      <c r="F158" s="389" t="str">
        <f>IFERROR(__xludf.DUMMYFUNCTION("""COMPUTED_VALUE"""),"-")</f>
        <v>-</v>
      </c>
      <c r="G158" s="388" t="str">
        <f>IFERROR(__xludf.DUMMYFUNCTION("""COMPUTED_VALUE"""),"-")</f>
        <v>-</v>
      </c>
      <c r="H158" s="389" t="str">
        <f>IFERROR(__xludf.DUMMYFUNCTION("""COMPUTED_VALUE"""),"-")</f>
        <v>-</v>
      </c>
      <c r="I158" s="388" t="str">
        <f>IFERROR(__xludf.DUMMYFUNCTION("""COMPUTED_VALUE"""),"-")</f>
        <v>-</v>
      </c>
      <c r="J158" s="390">
        <f>IFERROR(__xludf.DUMMYFUNCTION("""COMPUTED_VALUE"""),160.0)</f>
        <v>160</v>
      </c>
      <c r="K158" s="391">
        <f>IFERROR(__xludf.DUMMYFUNCTION("""COMPUTED_VALUE"""),175.0)</f>
        <v>175</v>
      </c>
      <c r="L158" s="340">
        <f>IFERROR(__xludf.DUMMYFUNCTION("""COMPUTED_VALUE"""),200.0)</f>
        <v>200</v>
      </c>
      <c r="M158" s="385" t="str">
        <f>IFERROR(__xludf.DUMMYFUNCTION("""COMPUTED_VALUE"""),"瞬間型")</f>
        <v>瞬間型</v>
      </c>
      <c r="N158" s="430">
        <f>IFERROR(__xludf.DUMMYFUNCTION("""COMPUTED_VALUE"""),5.0)</f>
        <v>5</v>
      </c>
      <c r="O158" s="431" t="str">
        <f>IFERROR(__xludf.DUMMYFUNCTION("""COMPUTED_VALUE"""),"効果時間")</f>
        <v>効果時間</v>
      </c>
      <c r="P158" s="392">
        <f>IFERROR(__xludf.DUMMYFUNCTION("""COMPUTED_VALUE"""),175.0)</f>
        <v>175</v>
      </c>
      <c r="Q158" s="414">
        <f>IFERROR(__xludf.DUMMYFUNCTION("""COMPUTED_VALUE"""),185.0)</f>
        <v>185</v>
      </c>
      <c r="R158" s="414">
        <f>IFERROR(__xludf.DUMMYFUNCTION("""COMPUTED_VALUE"""),190.0)</f>
        <v>190</v>
      </c>
      <c r="S158" s="414">
        <f>IFERROR(__xludf.DUMMYFUNCTION("""COMPUTED_VALUE"""),195.0)</f>
        <v>195</v>
      </c>
      <c r="T158" s="394">
        <f>IFERROR(__xludf.DUMMYFUNCTION("""COMPUTED_VALUE"""),200.0)</f>
        <v>200</v>
      </c>
      <c r="U158" s="394">
        <f>IFERROR(__xludf.DUMMYFUNCTION("""COMPUTED_VALUE"""),225.0)</f>
        <v>225</v>
      </c>
      <c r="V158" s="394">
        <f>IFERROR(__xludf.DUMMYFUNCTION("""COMPUTED_VALUE"""),300.0)</f>
        <v>300</v>
      </c>
      <c r="W158" s="394">
        <f>IFERROR(__xludf.DUMMYFUNCTION("""COMPUTED_VALUE"""),325.0)</f>
        <v>325</v>
      </c>
      <c r="X158" s="385" t="str">
        <f>IFERROR(__xludf.DUMMYFUNCTION("""COMPUTED_VALUE"""),"安定型")</f>
        <v>安定型</v>
      </c>
      <c r="Y158" s="430">
        <f>IFERROR(__xludf.DUMMYFUNCTION("""COMPUTED_VALUE"""),5.0)</f>
        <v>5</v>
      </c>
      <c r="Z158" s="431" t="str">
        <f>IFERROR(__xludf.DUMMYFUNCTION("""COMPUTED_VALUE"""),"効果時間")</f>
        <v>効果時間</v>
      </c>
      <c r="AA158" s="392">
        <f>IFERROR(__xludf.DUMMYFUNCTION("""COMPUTED_VALUE"""),325.0)</f>
        <v>325</v>
      </c>
      <c r="AB158" s="414">
        <f>IFERROR(__xludf.DUMMYFUNCTION("""COMPUTED_VALUE"""),335.0)</f>
        <v>335</v>
      </c>
      <c r="AC158" s="414">
        <f>IFERROR(__xludf.DUMMYFUNCTION("""COMPUTED_VALUE"""),340.0)</f>
        <v>340</v>
      </c>
      <c r="AD158" s="414">
        <f>IFERROR(__xludf.DUMMYFUNCTION("""COMPUTED_VALUE"""),345.0)</f>
        <v>345</v>
      </c>
      <c r="AE158" s="394">
        <f>IFERROR(__xludf.DUMMYFUNCTION("""COMPUTED_VALUE"""),350.0)</f>
        <v>350</v>
      </c>
      <c r="AF158" s="394">
        <f>IFERROR(__xludf.DUMMYFUNCTION("""COMPUTED_VALUE"""),400.0)</f>
        <v>400</v>
      </c>
      <c r="AG158" s="394">
        <f>IFERROR(__xludf.DUMMYFUNCTION("""COMPUTED_VALUE"""),450.0)</f>
        <v>450</v>
      </c>
      <c r="AH158" s="394">
        <f>IFERROR(__xludf.DUMMYFUNCTION("""COMPUTED_VALUE"""),475.0)</f>
        <v>475</v>
      </c>
      <c r="AI158" s="385" t="str">
        <f>IFERROR(__xludf.DUMMYFUNCTION("""COMPUTED_VALUE"""),"持続型")</f>
        <v>持続型</v>
      </c>
      <c r="AJ158" s="430">
        <f>IFERROR(__xludf.DUMMYFUNCTION("""COMPUTED_VALUE"""),5.0)</f>
        <v>5</v>
      </c>
      <c r="AK158" s="431" t="str">
        <f>IFERROR(__xludf.DUMMYFUNCTION("""COMPUTED_VALUE"""),"効果時間")</f>
        <v>効果時間</v>
      </c>
      <c r="AL158" s="392">
        <f>IFERROR(__xludf.DUMMYFUNCTION("""COMPUTED_VALUE"""),475.0)</f>
        <v>475</v>
      </c>
      <c r="AM158" s="414">
        <f>IFERROR(__xludf.DUMMYFUNCTION("""COMPUTED_VALUE"""),485.0)</f>
        <v>485</v>
      </c>
      <c r="AN158" s="414">
        <f>IFERROR(__xludf.DUMMYFUNCTION("""COMPUTED_VALUE"""),490.0)</f>
        <v>490</v>
      </c>
      <c r="AO158" s="414">
        <f>IFERROR(__xludf.DUMMYFUNCTION("""COMPUTED_VALUE"""),495.0)</f>
        <v>495</v>
      </c>
      <c r="AP158" s="394">
        <f>IFERROR(__xludf.DUMMYFUNCTION("""COMPUTED_VALUE"""),500.0)</f>
        <v>500</v>
      </c>
      <c r="AQ158" s="394">
        <f>IFERROR(__xludf.DUMMYFUNCTION("""COMPUTED_VALUE"""),550.0)</f>
        <v>550</v>
      </c>
      <c r="AR158" s="394">
        <f>IFERROR(__xludf.DUMMYFUNCTION("""COMPUTED_VALUE"""),600.0)</f>
        <v>600</v>
      </c>
      <c r="AS158" s="394">
        <f>IFERROR(__xludf.DUMMYFUNCTION("""COMPUTED_VALUE"""),625.0)</f>
        <v>625</v>
      </c>
      <c r="AT158" s="385" t="str">
        <f>IFERROR(__xludf.DUMMYFUNCTION("""COMPUTED_VALUE"""),"超持続型")</f>
        <v>超持続型</v>
      </c>
      <c r="AU158" s="430">
        <f>IFERROR(__xludf.DUMMYFUNCTION("""COMPUTED_VALUE"""),5.0)</f>
        <v>5</v>
      </c>
      <c r="AV158" s="431" t="str">
        <f>IFERROR(__xludf.DUMMYFUNCTION("""COMPUTED_VALUE"""),"効果時間")</f>
        <v>効果時間</v>
      </c>
      <c r="AW158" s="395" t="str">
        <f>IFERROR(__xludf.DUMMYFUNCTION("""COMPUTED_VALUE"""),"-")</f>
        <v>-</v>
      </c>
      <c r="AX158" s="396" t="str">
        <f>IFERROR(__xludf.DUMMYFUNCTION("""COMPUTED_VALUE"""),"-")</f>
        <v>-</v>
      </c>
      <c r="AY158" s="396" t="str">
        <f>IFERROR(__xludf.DUMMYFUNCTION("""COMPUTED_VALUE"""),"-")</f>
        <v>-</v>
      </c>
      <c r="AZ158" s="396" t="str">
        <f>IFERROR(__xludf.DUMMYFUNCTION("""COMPUTED_VALUE"""),"-")</f>
        <v>-</v>
      </c>
      <c r="BA158" s="396" t="str">
        <f>IFERROR(__xludf.DUMMYFUNCTION("""COMPUTED_VALUE"""),"-")</f>
        <v>-</v>
      </c>
      <c r="BB158" s="393">
        <f>IFERROR(__xludf.DUMMYFUNCTION("""COMPUTED_VALUE"""),650.0)</f>
        <v>650</v>
      </c>
      <c r="BC158" s="393">
        <f>IFERROR(__xludf.DUMMYFUNCTION("""COMPUTED_VALUE"""),750.0)</f>
        <v>750</v>
      </c>
      <c r="BD158" s="394">
        <f>IFERROR(__xludf.DUMMYFUNCTION("""COMPUTED_VALUE"""),775.0)</f>
        <v>775</v>
      </c>
      <c r="BE158" s="385" t="str">
        <f>IFERROR(__xludf.DUMMYFUNCTION("""COMPUTED_VALUE"""),"ハイブリッド型")</f>
        <v>ハイブリッド型</v>
      </c>
      <c r="BF158" s="430">
        <f>IFERROR(__xludf.DUMMYFUNCTION("""COMPUTED_VALUE"""),5.0)</f>
        <v>5</v>
      </c>
      <c r="BG158" s="431" t="str">
        <f>IFERROR(__xludf.DUMMYFUNCTION("""COMPUTED_VALUE"""),"効果時間")</f>
        <v>効果時間</v>
      </c>
      <c r="BH158" s="304">
        <f>IFERROR(__xludf.DUMMYFUNCTION("""COMPUTED_VALUE"""),250.0)</f>
        <v>250</v>
      </c>
      <c r="BI158" s="432">
        <f>IFERROR(__xludf.DUMMYFUNCTION("""COMPUTED_VALUE"""),265.0)</f>
        <v>265</v>
      </c>
      <c r="BJ158" s="432">
        <f>IFERROR(__xludf.DUMMYFUNCTION("""COMPUTED_VALUE"""),275.0)</f>
        <v>275</v>
      </c>
      <c r="BK158" s="432">
        <f>IFERROR(__xludf.DUMMYFUNCTION("""COMPUTED_VALUE"""),290.0)</f>
        <v>290</v>
      </c>
      <c r="BL158" s="304">
        <f>IFERROR(__xludf.DUMMYFUNCTION("""COMPUTED_VALUE"""),300.0)</f>
        <v>300</v>
      </c>
      <c r="BM158" s="304">
        <f>IFERROR(__xludf.DUMMYFUNCTION("""COMPUTED_VALUE"""),400.0)</f>
        <v>400</v>
      </c>
      <c r="BN158" s="304">
        <f>IFERROR(__xludf.DUMMYFUNCTION("""COMPUTED_VALUE"""),500.0)</f>
        <v>500</v>
      </c>
      <c r="BO158" s="304">
        <f>IFERROR(__xludf.DUMMYFUNCTION("""COMPUTED_VALUE"""),525.0)</f>
        <v>525</v>
      </c>
    </row>
    <row r="159">
      <c r="A159" s="433" t="str">
        <f>IFERROR(__xludf.DUMMYFUNCTION("""COMPUTED_VALUE"""),"ダメージカット(黄)")</f>
        <v>ダメージカット(黄)</v>
      </c>
      <c r="B159" s="374" t="str">
        <f>IFERROR(__xludf.DUMMYFUNCTION("""COMPUTED_VALUE"""),"超瞬間型")</f>
        <v>超瞬間型</v>
      </c>
      <c r="C159" s="375">
        <f>IFERROR(__xludf.DUMMYFUNCTION("""COMPUTED_VALUE"""),1.0)</f>
        <v>1</v>
      </c>
      <c r="D159" s="376" t="str">
        <f>IFERROR(__xludf.DUMMYFUNCTION("""COMPUTED_VALUE"""),"効果値")</f>
        <v>効果値</v>
      </c>
      <c r="E159" s="377" t="str">
        <f>IFERROR(__xludf.DUMMYFUNCTION("""COMPUTED_VALUE"""),"-")</f>
        <v>-</v>
      </c>
      <c r="F159" s="378" t="str">
        <f>IFERROR(__xludf.DUMMYFUNCTION("""COMPUTED_VALUE"""),"-")</f>
        <v>-</v>
      </c>
      <c r="G159" s="377" t="str">
        <f>IFERROR(__xludf.DUMMYFUNCTION("""COMPUTED_VALUE"""),"-")</f>
        <v>-</v>
      </c>
      <c r="H159" s="378" t="str">
        <f>IFERROR(__xludf.DUMMYFUNCTION("""COMPUTED_VALUE"""),"-")</f>
        <v>-</v>
      </c>
      <c r="I159" s="377" t="str">
        <f>IFERROR(__xludf.DUMMYFUNCTION("""COMPUTED_VALUE"""),"-")</f>
        <v>-</v>
      </c>
      <c r="J159" s="379">
        <f>IFERROR(__xludf.DUMMYFUNCTION("""COMPUTED_VALUE"""),55.0)</f>
        <v>55</v>
      </c>
      <c r="K159" s="294">
        <f>IFERROR(__xludf.DUMMYFUNCTION("""COMPUTED_VALUE"""),65.0)</f>
        <v>65</v>
      </c>
      <c r="L159" s="294">
        <f>IFERROR(__xludf.DUMMYFUNCTION("""COMPUTED_VALUE"""),65.0)</f>
        <v>65</v>
      </c>
      <c r="M159" s="374" t="str">
        <f>IFERROR(__xludf.DUMMYFUNCTION("""COMPUTED_VALUE"""),"瞬間型")</f>
        <v>瞬間型</v>
      </c>
      <c r="N159" s="375">
        <f>IFERROR(__xludf.DUMMYFUNCTION("""COMPUTED_VALUE"""),1.0)</f>
        <v>1</v>
      </c>
      <c r="O159" s="376" t="str">
        <f>IFERROR(__xludf.DUMMYFUNCTION("""COMPUTED_VALUE"""),"効果値")</f>
        <v>効果値</v>
      </c>
      <c r="P159" s="380">
        <f>IFERROR(__xludf.DUMMYFUNCTION("""COMPUTED_VALUE"""),20.0)</f>
        <v>20</v>
      </c>
      <c r="Q159" s="263">
        <f>IFERROR(__xludf.DUMMYFUNCTION("""COMPUTED_VALUE"""),20.0)</f>
        <v>20</v>
      </c>
      <c r="R159" s="263">
        <f>IFERROR(__xludf.DUMMYFUNCTION("""COMPUTED_VALUE"""),20.0)</f>
        <v>20</v>
      </c>
      <c r="S159" s="263">
        <f>IFERROR(__xludf.DUMMYFUNCTION("""COMPUTED_VALUE"""),20.0)</f>
        <v>20</v>
      </c>
      <c r="T159" s="263">
        <f>IFERROR(__xludf.DUMMYFUNCTION("""COMPUTED_VALUE"""),20.0)</f>
        <v>20</v>
      </c>
      <c r="U159" s="263">
        <f>IFERROR(__xludf.DUMMYFUNCTION("""COMPUTED_VALUE"""),25.0)</f>
        <v>25</v>
      </c>
      <c r="V159" s="266">
        <f>IFERROR(__xludf.DUMMYFUNCTION("""COMPUTED_VALUE"""),30.0)</f>
        <v>30</v>
      </c>
      <c r="W159" s="266">
        <f>IFERROR(__xludf.DUMMYFUNCTION("""COMPUTED_VALUE"""),30.0)</f>
        <v>30</v>
      </c>
      <c r="X159" s="374" t="str">
        <f>IFERROR(__xludf.DUMMYFUNCTION("""COMPUTED_VALUE"""),"安定型")</f>
        <v>安定型</v>
      </c>
      <c r="Y159" s="375">
        <f>IFERROR(__xludf.DUMMYFUNCTION("""COMPUTED_VALUE"""),1.0)</f>
        <v>1</v>
      </c>
      <c r="Z159" s="376" t="str">
        <f>IFERROR(__xludf.DUMMYFUNCTION("""COMPUTED_VALUE"""),"効果値")</f>
        <v>効果値</v>
      </c>
      <c r="AA159" s="380">
        <f>IFERROR(__xludf.DUMMYFUNCTION("""COMPUTED_VALUE"""),10.0)</f>
        <v>10</v>
      </c>
      <c r="AB159" s="263">
        <f>IFERROR(__xludf.DUMMYFUNCTION("""COMPUTED_VALUE"""),10.0)</f>
        <v>10</v>
      </c>
      <c r="AC159" s="263">
        <f>IFERROR(__xludf.DUMMYFUNCTION("""COMPUTED_VALUE"""),10.0)</f>
        <v>10</v>
      </c>
      <c r="AD159" s="263">
        <f>IFERROR(__xludf.DUMMYFUNCTION("""COMPUTED_VALUE"""),10.0)</f>
        <v>10</v>
      </c>
      <c r="AE159" s="263">
        <f>IFERROR(__xludf.DUMMYFUNCTION("""COMPUTED_VALUE"""),10.0)</f>
        <v>10</v>
      </c>
      <c r="AF159" s="263">
        <f>IFERROR(__xludf.DUMMYFUNCTION("""COMPUTED_VALUE"""),10.0)</f>
        <v>10</v>
      </c>
      <c r="AG159" s="266">
        <f>IFERROR(__xludf.DUMMYFUNCTION("""COMPUTED_VALUE"""),15.0)</f>
        <v>15</v>
      </c>
      <c r="AH159" s="266">
        <f>IFERROR(__xludf.DUMMYFUNCTION("""COMPUTED_VALUE"""),15.0)</f>
        <v>15</v>
      </c>
      <c r="AI159" s="374" t="str">
        <f>IFERROR(__xludf.DUMMYFUNCTION("""COMPUTED_VALUE"""),"持続型")</f>
        <v>持続型</v>
      </c>
      <c r="AJ159" s="375">
        <f>IFERROR(__xludf.DUMMYFUNCTION("""COMPUTED_VALUE"""),1.0)</f>
        <v>1</v>
      </c>
      <c r="AK159" s="376" t="str">
        <f>IFERROR(__xludf.DUMMYFUNCTION("""COMPUTED_VALUE"""),"効果値")</f>
        <v>効果値</v>
      </c>
      <c r="AL159" s="380">
        <f>IFERROR(__xludf.DUMMYFUNCTION("""COMPUTED_VALUE"""),5.0)</f>
        <v>5</v>
      </c>
      <c r="AM159" s="263">
        <f>IFERROR(__xludf.DUMMYFUNCTION("""COMPUTED_VALUE"""),5.0)</f>
        <v>5</v>
      </c>
      <c r="AN159" s="263">
        <f>IFERROR(__xludf.DUMMYFUNCTION("""COMPUTED_VALUE"""),5.0)</f>
        <v>5</v>
      </c>
      <c r="AO159" s="263">
        <f>IFERROR(__xludf.DUMMYFUNCTION("""COMPUTED_VALUE"""),5.0)</f>
        <v>5</v>
      </c>
      <c r="AP159" s="263">
        <f>IFERROR(__xludf.DUMMYFUNCTION("""COMPUTED_VALUE"""),5.0)</f>
        <v>5</v>
      </c>
      <c r="AQ159" s="263">
        <f>IFERROR(__xludf.DUMMYFUNCTION("""COMPUTED_VALUE"""),5.0)</f>
        <v>5</v>
      </c>
      <c r="AR159" s="266">
        <f>IFERROR(__xludf.DUMMYFUNCTION("""COMPUTED_VALUE"""),10.0)</f>
        <v>10</v>
      </c>
      <c r="AS159" s="266">
        <f>IFERROR(__xludf.DUMMYFUNCTION("""COMPUTED_VALUE"""),10.0)</f>
        <v>10</v>
      </c>
      <c r="AT159" s="374" t="str">
        <f>IFERROR(__xludf.DUMMYFUNCTION("""COMPUTED_VALUE"""),"超持続型")</f>
        <v>超持続型</v>
      </c>
      <c r="AU159" s="375">
        <f>IFERROR(__xludf.DUMMYFUNCTION("""COMPUTED_VALUE"""),1.0)</f>
        <v>1</v>
      </c>
      <c r="AV159" s="376" t="str">
        <f>IFERROR(__xludf.DUMMYFUNCTION("""COMPUTED_VALUE"""),"効果値")</f>
        <v>効果値</v>
      </c>
      <c r="AW159" s="350" t="str">
        <f>IFERROR(__xludf.DUMMYFUNCTION("""COMPUTED_VALUE"""),"-")</f>
        <v>-</v>
      </c>
      <c r="AX159" s="348" t="str">
        <f>IFERROR(__xludf.DUMMYFUNCTION("""COMPUTED_VALUE"""),"-")</f>
        <v>-</v>
      </c>
      <c r="AY159" s="348" t="str">
        <f>IFERROR(__xludf.DUMMYFUNCTION("""COMPUTED_VALUE"""),"-")</f>
        <v>-</v>
      </c>
      <c r="AZ159" s="348" t="str">
        <f>IFERROR(__xludf.DUMMYFUNCTION("""COMPUTED_VALUE"""),"-")</f>
        <v>-</v>
      </c>
      <c r="BA159" s="348" t="str">
        <f>IFERROR(__xludf.DUMMYFUNCTION("""COMPUTED_VALUE"""),"-")</f>
        <v>-</v>
      </c>
      <c r="BB159" s="263">
        <f>IFERROR(__xludf.DUMMYFUNCTION("""COMPUTED_VALUE"""),5.0)</f>
        <v>5</v>
      </c>
      <c r="BC159" s="266">
        <f>IFERROR(__xludf.DUMMYFUNCTION("""COMPUTED_VALUE"""),10.0)</f>
        <v>10</v>
      </c>
      <c r="BD159" s="266">
        <f>IFERROR(__xludf.DUMMYFUNCTION("""COMPUTED_VALUE"""),10.0)</f>
        <v>10</v>
      </c>
      <c r="BE159" s="374" t="str">
        <f>IFERROR(__xludf.DUMMYFUNCTION("""COMPUTED_VALUE"""),"ハイブリッド型")</f>
        <v>ハイブリッド型</v>
      </c>
      <c r="BF159" s="375">
        <f>IFERROR(__xludf.DUMMYFUNCTION("""COMPUTED_VALUE"""),1.0)</f>
        <v>1</v>
      </c>
      <c r="BG159" s="376" t="str">
        <f>IFERROR(__xludf.DUMMYFUNCTION("""COMPUTED_VALUE"""),"効果値")</f>
        <v>効果値</v>
      </c>
      <c r="BH159" s="381">
        <f>IFERROR(__xludf.DUMMYFUNCTION("""COMPUTED_VALUE"""),10.0)</f>
        <v>10</v>
      </c>
      <c r="BI159" s="382">
        <f>IFERROR(__xludf.DUMMYFUNCTION("""COMPUTED_VALUE"""),10.0)</f>
        <v>10</v>
      </c>
      <c r="BJ159" s="382">
        <f>IFERROR(__xludf.DUMMYFUNCTION("""COMPUTED_VALUE"""),10.0)</f>
        <v>10</v>
      </c>
      <c r="BK159" s="382">
        <f>IFERROR(__xludf.DUMMYFUNCTION("""COMPUTED_VALUE"""),10.0)</f>
        <v>10</v>
      </c>
      <c r="BL159" s="382">
        <f>IFERROR(__xludf.DUMMYFUNCTION("""COMPUTED_VALUE"""),10.0)</f>
        <v>10</v>
      </c>
      <c r="BM159" s="382">
        <f>IFERROR(__xludf.DUMMYFUNCTION("""COMPUTED_VALUE"""),15.0)</f>
        <v>15</v>
      </c>
      <c r="BN159" s="382">
        <f>IFERROR(__xludf.DUMMYFUNCTION("""COMPUTED_VALUE"""),20.0)</f>
        <v>20</v>
      </c>
      <c r="BO159" s="383">
        <f>IFERROR(__xludf.DUMMYFUNCTION("""COMPUTED_VALUE"""),20.0)</f>
        <v>20</v>
      </c>
    </row>
    <row r="160">
      <c r="A160" s="434" t="str">
        <f>IFERROR(__xludf.DUMMYFUNCTION("""COMPUTED_VALUE"""),"ダメージカット(黄)")</f>
        <v>ダメージカット(黄)</v>
      </c>
      <c r="B160" s="385" t="str">
        <f>IFERROR(__xludf.DUMMYFUNCTION("""COMPUTED_VALUE"""),"超瞬間型")</f>
        <v>超瞬間型</v>
      </c>
      <c r="C160" s="386">
        <f>IFERROR(__xludf.DUMMYFUNCTION("""COMPUTED_VALUE"""),1.0)</f>
        <v>1</v>
      </c>
      <c r="D160" s="387" t="str">
        <f>IFERROR(__xludf.DUMMYFUNCTION("""COMPUTED_VALUE"""),"効果時間")</f>
        <v>効果時間</v>
      </c>
      <c r="E160" s="388" t="str">
        <f>IFERROR(__xludf.DUMMYFUNCTION("""COMPUTED_VALUE"""),"-")</f>
        <v>-</v>
      </c>
      <c r="F160" s="389" t="str">
        <f>IFERROR(__xludf.DUMMYFUNCTION("""COMPUTED_VALUE"""),"-")</f>
        <v>-</v>
      </c>
      <c r="G160" s="388" t="str">
        <f>IFERROR(__xludf.DUMMYFUNCTION("""COMPUTED_VALUE"""),"-")</f>
        <v>-</v>
      </c>
      <c r="H160" s="389" t="str">
        <f>IFERROR(__xludf.DUMMYFUNCTION("""COMPUTED_VALUE"""),"-")</f>
        <v>-</v>
      </c>
      <c r="I160" s="388" t="str">
        <f>IFERROR(__xludf.DUMMYFUNCTION("""COMPUTED_VALUE"""),"-")</f>
        <v>-</v>
      </c>
      <c r="J160" s="390">
        <f>IFERROR(__xludf.DUMMYFUNCTION("""COMPUTED_VALUE"""),150.0)</f>
        <v>150</v>
      </c>
      <c r="K160" s="391">
        <f>IFERROR(__xludf.DUMMYFUNCTION("""COMPUTED_VALUE"""),160.0)</f>
        <v>160</v>
      </c>
      <c r="L160" s="340">
        <f>IFERROR(__xludf.DUMMYFUNCTION("""COMPUTED_VALUE"""),160.0)</f>
        <v>160</v>
      </c>
      <c r="M160" s="385" t="str">
        <f>IFERROR(__xludf.DUMMYFUNCTION("""COMPUTED_VALUE"""),"瞬間型")</f>
        <v>瞬間型</v>
      </c>
      <c r="N160" s="386">
        <f>IFERROR(__xludf.DUMMYFUNCTION("""COMPUTED_VALUE"""),1.0)</f>
        <v>1</v>
      </c>
      <c r="O160" s="387" t="str">
        <f>IFERROR(__xludf.DUMMYFUNCTION("""COMPUTED_VALUE"""),"効果時間")</f>
        <v>効果時間</v>
      </c>
      <c r="P160" s="392">
        <f>IFERROR(__xludf.DUMMYFUNCTION("""COMPUTED_VALUE"""),150.0)</f>
        <v>150</v>
      </c>
      <c r="Q160" s="393">
        <f>IFERROR(__xludf.DUMMYFUNCTION("""COMPUTED_VALUE"""),150.0)</f>
        <v>150</v>
      </c>
      <c r="R160" s="393">
        <f>IFERROR(__xludf.DUMMYFUNCTION("""COMPUTED_VALUE"""),150.0)</f>
        <v>150</v>
      </c>
      <c r="S160" s="393">
        <f>IFERROR(__xludf.DUMMYFUNCTION("""COMPUTED_VALUE"""),150.0)</f>
        <v>150</v>
      </c>
      <c r="T160" s="393">
        <f>IFERROR(__xludf.DUMMYFUNCTION("""COMPUTED_VALUE"""),150.0)</f>
        <v>150</v>
      </c>
      <c r="U160" s="393">
        <f>IFERROR(__xludf.DUMMYFUNCTION("""COMPUTED_VALUE"""),150.0)</f>
        <v>150</v>
      </c>
      <c r="V160" s="393">
        <f>IFERROR(__xludf.DUMMYFUNCTION("""COMPUTED_VALUE"""),160.0)</f>
        <v>160</v>
      </c>
      <c r="W160" s="394">
        <f>IFERROR(__xludf.DUMMYFUNCTION("""COMPUTED_VALUE"""),160.0)</f>
        <v>160</v>
      </c>
      <c r="X160" s="385" t="str">
        <f>IFERROR(__xludf.DUMMYFUNCTION("""COMPUTED_VALUE"""),"安定型")</f>
        <v>安定型</v>
      </c>
      <c r="Y160" s="386">
        <f>IFERROR(__xludf.DUMMYFUNCTION("""COMPUTED_VALUE"""),1.0)</f>
        <v>1</v>
      </c>
      <c r="Z160" s="387" t="str">
        <f>IFERROR(__xludf.DUMMYFUNCTION("""COMPUTED_VALUE"""),"効果時間")</f>
        <v>効果時間</v>
      </c>
      <c r="AA160" s="392">
        <f>IFERROR(__xludf.DUMMYFUNCTION("""COMPUTED_VALUE"""),300.0)</f>
        <v>300</v>
      </c>
      <c r="AB160" s="393">
        <f>IFERROR(__xludf.DUMMYFUNCTION("""COMPUTED_VALUE"""),300.0)</f>
        <v>300</v>
      </c>
      <c r="AC160" s="393">
        <f>IFERROR(__xludf.DUMMYFUNCTION("""COMPUTED_VALUE"""),300.0)</f>
        <v>300</v>
      </c>
      <c r="AD160" s="393">
        <f>IFERROR(__xludf.DUMMYFUNCTION("""COMPUTED_VALUE"""),300.0)</f>
        <v>300</v>
      </c>
      <c r="AE160" s="393">
        <f>IFERROR(__xludf.DUMMYFUNCTION("""COMPUTED_VALUE"""),300.0)</f>
        <v>300</v>
      </c>
      <c r="AF160" s="393">
        <f>IFERROR(__xludf.DUMMYFUNCTION("""COMPUTED_VALUE"""),300.0)</f>
        <v>300</v>
      </c>
      <c r="AG160" s="393">
        <f>IFERROR(__xludf.DUMMYFUNCTION("""COMPUTED_VALUE"""),310.0)</f>
        <v>310</v>
      </c>
      <c r="AH160" s="394">
        <f>IFERROR(__xludf.DUMMYFUNCTION("""COMPUTED_VALUE"""),310.0)</f>
        <v>310</v>
      </c>
      <c r="AI160" s="385" t="str">
        <f>IFERROR(__xludf.DUMMYFUNCTION("""COMPUTED_VALUE"""),"持続型")</f>
        <v>持続型</v>
      </c>
      <c r="AJ160" s="386">
        <f>IFERROR(__xludf.DUMMYFUNCTION("""COMPUTED_VALUE"""),1.0)</f>
        <v>1</v>
      </c>
      <c r="AK160" s="387" t="str">
        <f>IFERROR(__xludf.DUMMYFUNCTION("""COMPUTED_VALUE"""),"効果時間")</f>
        <v>効果時間</v>
      </c>
      <c r="AL160" s="392">
        <f>IFERROR(__xludf.DUMMYFUNCTION("""COMPUTED_VALUE"""),450.0)</f>
        <v>450</v>
      </c>
      <c r="AM160" s="393">
        <f>IFERROR(__xludf.DUMMYFUNCTION("""COMPUTED_VALUE"""),450.0)</f>
        <v>450</v>
      </c>
      <c r="AN160" s="393">
        <f>IFERROR(__xludf.DUMMYFUNCTION("""COMPUTED_VALUE"""),450.0)</f>
        <v>450</v>
      </c>
      <c r="AO160" s="393">
        <f>IFERROR(__xludf.DUMMYFUNCTION("""COMPUTED_VALUE"""),450.0)</f>
        <v>450</v>
      </c>
      <c r="AP160" s="393">
        <f>IFERROR(__xludf.DUMMYFUNCTION("""COMPUTED_VALUE"""),450.0)</f>
        <v>450</v>
      </c>
      <c r="AQ160" s="393">
        <f>IFERROR(__xludf.DUMMYFUNCTION("""COMPUTED_VALUE"""),450.0)</f>
        <v>450</v>
      </c>
      <c r="AR160" s="393">
        <f>IFERROR(__xludf.DUMMYFUNCTION("""COMPUTED_VALUE"""),460.0)</f>
        <v>460</v>
      </c>
      <c r="AS160" s="394">
        <f>IFERROR(__xludf.DUMMYFUNCTION("""COMPUTED_VALUE"""),460.0)</f>
        <v>460</v>
      </c>
      <c r="AT160" s="385" t="str">
        <f>IFERROR(__xludf.DUMMYFUNCTION("""COMPUTED_VALUE"""),"超持続型")</f>
        <v>超持続型</v>
      </c>
      <c r="AU160" s="386">
        <f>IFERROR(__xludf.DUMMYFUNCTION("""COMPUTED_VALUE"""),1.0)</f>
        <v>1</v>
      </c>
      <c r="AV160" s="387" t="str">
        <f>IFERROR(__xludf.DUMMYFUNCTION("""COMPUTED_VALUE"""),"効果時間")</f>
        <v>効果時間</v>
      </c>
      <c r="AW160" s="395" t="str">
        <f>IFERROR(__xludf.DUMMYFUNCTION("""COMPUTED_VALUE"""),"-")</f>
        <v>-</v>
      </c>
      <c r="AX160" s="396" t="str">
        <f>IFERROR(__xludf.DUMMYFUNCTION("""COMPUTED_VALUE"""),"-")</f>
        <v>-</v>
      </c>
      <c r="AY160" s="396" t="str">
        <f>IFERROR(__xludf.DUMMYFUNCTION("""COMPUTED_VALUE"""),"-")</f>
        <v>-</v>
      </c>
      <c r="AZ160" s="396" t="str">
        <f>IFERROR(__xludf.DUMMYFUNCTION("""COMPUTED_VALUE"""),"-")</f>
        <v>-</v>
      </c>
      <c r="BA160" s="396" t="str">
        <f>IFERROR(__xludf.DUMMYFUNCTION("""COMPUTED_VALUE"""),"-")</f>
        <v>-</v>
      </c>
      <c r="BB160" s="393">
        <f>IFERROR(__xludf.DUMMYFUNCTION("""COMPUTED_VALUE"""),600.0)</f>
        <v>600</v>
      </c>
      <c r="BC160" s="393">
        <f>IFERROR(__xludf.DUMMYFUNCTION("""COMPUTED_VALUE"""),610.0)</f>
        <v>610</v>
      </c>
      <c r="BD160" s="394">
        <f>IFERROR(__xludf.DUMMYFUNCTION("""COMPUTED_VALUE"""),610.0)</f>
        <v>610</v>
      </c>
      <c r="BE160" s="385" t="str">
        <f>IFERROR(__xludf.DUMMYFUNCTION("""COMPUTED_VALUE"""),"ハイブリッド型")</f>
        <v>ハイブリッド型</v>
      </c>
      <c r="BF160" s="386">
        <f>IFERROR(__xludf.DUMMYFUNCTION("""COMPUTED_VALUE"""),1.0)</f>
        <v>1</v>
      </c>
      <c r="BG160" s="387" t="str">
        <f>IFERROR(__xludf.DUMMYFUNCTION("""COMPUTED_VALUE"""),"効果時間")</f>
        <v>効果時間</v>
      </c>
      <c r="BH160" s="397">
        <f>IFERROR(__xludf.DUMMYFUNCTION("""COMPUTED_VALUE"""),150.0)</f>
        <v>150</v>
      </c>
      <c r="BI160" s="397">
        <f>IFERROR(__xludf.DUMMYFUNCTION("""COMPUTED_VALUE"""),150.0)</f>
        <v>150</v>
      </c>
      <c r="BJ160" s="397">
        <f>IFERROR(__xludf.DUMMYFUNCTION("""COMPUTED_VALUE"""),150.0)</f>
        <v>150</v>
      </c>
      <c r="BK160" s="398">
        <f>IFERROR(__xludf.DUMMYFUNCTION("""COMPUTED_VALUE"""),150.0)</f>
        <v>150</v>
      </c>
      <c r="BL160" s="397">
        <f>IFERROR(__xludf.DUMMYFUNCTION("""COMPUTED_VALUE"""),150.0)</f>
        <v>150</v>
      </c>
      <c r="BM160" s="398">
        <f>IFERROR(__xludf.DUMMYFUNCTION("""COMPUTED_VALUE"""),350.0)</f>
        <v>350</v>
      </c>
      <c r="BN160" s="397">
        <f>IFERROR(__xludf.DUMMYFUNCTION("""COMPUTED_VALUE"""),460.0)</f>
        <v>460</v>
      </c>
      <c r="BO160" s="398">
        <f>IFERROR(__xludf.DUMMYFUNCTION("""COMPUTED_VALUE"""),460.0)</f>
        <v>460</v>
      </c>
    </row>
    <row r="161">
      <c r="A161" s="435" t="str">
        <f>IFERROR(__xludf.DUMMYFUNCTION("""COMPUTED_VALUE"""),"ダメージカット(黄)")</f>
        <v>ダメージカット(黄)</v>
      </c>
      <c r="B161" s="385" t="str">
        <f>IFERROR(__xludf.DUMMYFUNCTION("""COMPUTED_VALUE"""),"超瞬間型")</f>
        <v>超瞬間型</v>
      </c>
      <c r="C161" s="399">
        <f>IFERROR(__xludf.DUMMYFUNCTION("""COMPUTED_VALUE"""),2.0)</f>
        <v>2</v>
      </c>
      <c r="D161" s="400" t="str">
        <f>IFERROR(__xludf.DUMMYFUNCTION("""COMPUTED_VALUE"""),"効果値")</f>
        <v>効果値</v>
      </c>
      <c r="E161" s="401" t="str">
        <f>IFERROR(__xludf.DUMMYFUNCTION("""COMPUTED_VALUE"""),"-")</f>
        <v>-</v>
      </c>
      <c r="F161" s="401" t="str">
        <f>IFERROR(__xludf.DUMMYFUNCTION("""COMPUTED_VALUE"""),"-")</f>
        <v>-</v>
      </c>
      <c r="G161" s="401" t="str">
        <f>IFERROR(__xludf.DUMMYFUNCTION("""COMPUTED_VALUE"""),"-")</f>
        <v>-</v>
      </c>
      <c r="H161" s="401" t="str">
        <f>IFERROR(__xludf.DUMMYFUNCTION("""COMPUTED_VALUE"""),"-")</f>
        <v>-</v>
      </c>
      <c r="I161" s="401" t="str">
        <f>IFERROR(__xludf.DUMMYFUNCTION("""COMPUTED_VALUE"""),"-")</f>
        <v>-</v>
      </c>
      <c r="J161" s="318">
        <f>IFERROR(__xludf.DUMMYFUNCTION("""COMPUTED_VALUE"""),57.0)</f>
        <v>57</v>
      </c>
      <c r="K161" s="318">
        <f>IFERROR(__xludf.DUMMYFUNCTION("""COMPUTED_VALUE"""),67.0)</f>
        <v>67</v>
      </c>
      <c r="L161" s="318">
        <f>IFERROR(__xludf.DUMMYFUNCTION("""COMPUTED_VALUE"""),69.0)</f>
        <v>69</v>
      </c>
      <c r="M161" s="385" t="str">
        <f>IFERROR(__xludf.DUMMYFUNCTION("""COMPUTED_VALUE"""),"瞬間型")</f>
        <v>瞬間型</v>
      </c>
      <c r="N161" s="399">
        <f>IFERROR(__xludf.DUMMYFUNCTION("""COMPUTED_VALUE"""),2.0)</f>
        <v>2</v>
      </c>
      <c r="O161" s="400" t="str">
        <f>IFERROR(__xludf.DUMMYFUNCTION("""COMPUTED_VALUE"""),"効果値")</f>
        <v>効果値</v>
      </c>
      <c r="P161" s="343">
        <f>IFERROR(__xludf.DUMMYFUNCTION("""COMPUTED_VALUE"""),21.0)</f>
        <v>21</v>
      </c>
      <c r="Q161" s="402">
        <f>IFERROR(__xludf.DUMMYFUNCTION("""COMPUTED_VALUE"""),21.0)</f>
        <v>21</v>
      </c>
      <c r="R161" s="343">
        <f>IFERROR(__xludf.DUMMYFUNCTION("""COMPUTED_VALUE"""),22.0)</f>
        <v>22</v>
      </c>
      <c r="S161" s="402">
        <f>IFERROR(__xludf.DUMMYFUNCTION("""COMPUTED_VALUE"""),22.0)</f>
        <v>22</v>
      </c>
      <c r="T161" s="343">
        <f>IFERROR(__xludf.DUMMYFUNCTION("""COMPUTED_VALUE"""),22.0)</f>
        <v>22</v>
      </c>
      <c r="U161" s="343">
        <f>IFERROR(__xludf.DUMMYFUNCTION("""COMPUTED_VALUE"""),27.0)</f>
        <v>27</v>
      </c>
      <c r="V161" s="343">
        <f>IFERROR(__xludf.DUMMYFUNCTION("""COMPUTED_VALUE"""),32.0)</f>
        <v>32</v>
      </c>
      <c r="W161" s="343">
        <f>IFERROR(__xludf.DUMMYFUNCTION("""COMPUTED_VALUE"""),34.0)</f>
        <v>34</v>
      </c>
      <c r="X161" s="385" t="str">
        <f>IFERROR(__xludf.DUMMYFUNCTION("""COMPUTED_VALUE"""),"安定型")</f>
        <v>安定型</v>
      </c>
      <c r="Y161" s="399">
        <f>IFERROR(__xludf.DUMMYFUNCTION("""COMPUTED_VALUE"""),2.0)</f>
        <v>2</v>
      </c>
      <c r="Z161" s="400" t="str">
        <f>IFERROR(__xludf.DUMMYFUNCTION("""COMPUTED_VALUE"""),"効果値")</f>
        <v>効果値</v>
      </c>
      <c r="AA161" s="343">
        <f>IFERROR(__xludf.DUMMYFUNCTION("""COMPUTED_VALUE"""),11.0)</f>
        <v>11</v>
      </c>
      <c r="AB161" s="402">
        <f>IFERROR(__xludf.DUMMYFUNCTION("""COMPUTED_VALUE"""),11.0)</f>
        <v>11</v>
      </c>
      <c r="AC161" s="343">
        <f>IFERROR(__xludf.DUMMYFUNCTION("""COMPUTED_VALUE"""),12.0)</f>
        <v>12</v>
      </c>
      <c r="AD161" s="402">
        <f>IFERROR(__xludf.DUMMYFUNCTION("""COMPUTED_VALUE"""),12.0)</f>
        <v>12</v>
      </c>
      <c r="AE161" s="343">
        <f>IFERROR(__xludf.DUMMYFUNCTION("""COMPUTED_VALUE"""),12.0)</f>
        <v>12</v>
      </c>
      <c r="AF161" s="343">
        <f>IFERROR(__xludf.DUMMYFUNCTION("""COMPUTED_VALUE"""),12.0)</f>
        <v>12</v>
      </c>
      <c r="AG161" s="343">
        <f>IFERROR(__xludf.DUMMYFUNCTION("""COMPUTED_VALUE"""),17.0)</f>
        <v>17</v>
      </c>
      <c r="AH161" s="343">
        <f>IFERROR(__xludf.DUMMYFUNCTION("""COMPUTED_VALUE"""),19.0)</f>
        <v>19</v>
      </c>
      <c r="AI161" s="385" t="str">
        <f>IFERROR(__xludf.DUMMYFUNCTION("""COMPUTED_VALUE"""),"持続型")</f>
        <v>持続型</v>
      </c>
      <c r="AJ161" s="399">
        <f>IFERROR(__xludf.DUMMYFUNCTION("""COMPUTED_VALUE"""),2.0)</f>
        <v>2</v>
      </c>
      <c r="AK161" s="400" t="str">
        <f>IFERROR(__xludf.DUMMYFUNCTION("""COMPUTED_VALUE"""),"効果値")</f>
        <v>効果値</v>
      </c>
      <c r="AL161" s="343">
        <f>IFERROR(__xludf.DUMMYFUNCTION("""COMPUTED_VALUE"""),6.0)</f>
        <v>6</v>
      </c>
      <c r="AM161" s="402">
        <f>IFERROR(__xludf.DUMMYFUNCTION("""COMPUTED_VALUE"""),6.0)</f>
        <v>6</v>
      </c>
      <c r="AN161" s="343">
        <f>IFERROR(__xludf.DUMMYFUNCTION("""COMPUTED_VALUE"""),7.0)</f>
        <v>7</v>
      </c>
      <c r="AO161" s="402">
        <f>IFERROR(__xludf.DUMMYFUNCTION("""COMPUTED_VALUE"""),7.0)</f>
        <v>7</v>
      </c>
      <c r="AP161" s="343">
        <f>IFERROR(__xludf.DUMMYFUNCTION("""COMPUTED_VALUE"""),7.0)</f>
        <v>7</v>
      </c>
      <c r="AQ161" s="343">
        <f>IFERROR(__xludf.DUMMYFUNCTION("""COMPUTED_VALUE"""),7.0)</f>
        <v>7</v>
      </c>
      <c r="AR161" s="343">
        <f>IFERROR(__xludf.DUMMYFUNCTION("""COMPUTED_VALUE"""),11.0)</f>
        <v>11</v>
      </c>
      <c r="AS161" s="343">
        <f>IFERROR(__xludf.DUMMYFUNCTION("""COMPUTED_VALUE"""),11.0)</f>
        <v>11</v>
      </c>
      <c r="AT161" s="385" t="str">
        <f>IFERROR(__xludf.DUMMYFUNCTION("""COMPUTED_VALUE"""),"超持続型")</f>
        <v>超持続型</v>
      </c>
      <c r="AU161" s="399">
        <f>IFERROR(__xludf.DUMMYFUNCTION("""COMPUTED_VALUE"""),2.0)</f>
        <v>2</v>
      </c>
      <c r="AV161" s="400" t="str">
        <f>IFERROR(__xludf.DUMMYFUNCTION("""COMPUTED_VALUE"""),"効果値")</f>
        <v>効果値</v>
      </c>
      <c r="AW161" s="403" t="str">
        <f>IFERROR(__xludf.DUMMYFUNCTION("""COMPUTED_VALUE"""),"-")</f>
        <v>-</v>
      </c>
      <c r="AX161" s="403" t="str">
        <f>IFERROR(__xludf.DUMMYFUNCTION("""COMPUTED_VALUE"""),"-")</f>
        <v>-</v>
      </c>
      <c r="AY161" s="403" t="str">
        <f>IFERROR(__xludf.DUMMYFUNCTION("""COMPUTED_VALUE"""),"-")</f>
        <v>-</v>
      </c>
      <c r="AZ161" s="403" t="str">
        <f>IFERROR(__xludf.DUMMYFUNCTION("""COMPUTED_VALUE"""),"-")</f>
        <v>-</v>
      </c>
      <c r="BA161" s="403" t="str">
        <f>IFERROR(__xludf.DUMMYFUNCTION("""COMPUTED_VALUE"""),"-")</f>
        <v>-</v>
      </c>
      <c r="BB161" s="343">
        <f>IFERROR(__xludf.DUMMYFUNCTION("""COMPUTED_VALUE"""),7.0)</f>
        <v>7</v>
      </c>
      <c r="BC161" s="343">
        <f>IFERROR(__xludf.DUMMYFUNCTION("""COMPUTED_VALUE"""),11.0)</f>
        <v>11</v>
      </c>
      <c r="BD161" s="343">
        <f>IFERROR(__xludf.DUMMYFUNCTION("""COMPUTED_VALUE"""),11.0)</f>
        <v>11</v>
      </c>
      <c r="BE161" s="385" t="str">
        <f>IFERROR(__xludf.DUMMYFUNCTION("""COMPUTED_VALUE"""),"ハイブリッド型")</f>
        <v>ハイブリッド型</v>
      </c>
      <c r="BF161" s="399">
        <f>IFERROR(__xludf.DUMMYFUNCTION("""COMPUTED_VALUE"""),2.0)</f>
        <v>2</v>
      </c>
      <c r="BG161" s="400" t="str">
        <f>IFERROR(__xludf.DUMMYFUNCTION("""COMPUTED_VALUE"""),"効果値")</f>
        <v>効果値</v>
      </c>
      <c r="BH161" s="404">
        <f>IFERROR(__xludf.DUMMYFUNCTION("""COMPUTED_VALUE"""),10.8)</f>
        <v>10.8</v>
      </c>
      <c r="BI161" s="405">
        <f>IFERROR(__xludf.DUMMYFUNCTION("""COMPUTED_VALUE"""),11.2)</f>
        <v>11.2</v>
      </c>
      <c r="BJ161" s="405">
        <f>IFERROR(__xludf.DUMMYFUNCTION("""COMPUTED_VALUE"""),11.5)</f>
        <v>11.5</v>
      </c>
      <c r="BK161" s="405">
        <f>IFERROR(__xludf.DUMMYFUNCTION("""COMPUTED_VALUE"""),11.8)</f>
        <v>11.8</v>
      </c>
      <c r="BL161" s="405">
        <f>IFERROR(__xludf.DUMMYFUNCTION("""COMPUTED_VALUE"""),12.1)</f>
        <v>12.1</v>
      </c>
      <c r="BM161" s="405">
        <f>IFERROR(__xludf.DUMMYFUNCTION("""COMPUTED_VALUE"""),17.1)</f>
        <v>17.1</v>
      </c>
      <c r="BN161" s="405">
        <f>IFERROR(__xludf.DUMMYFUNCTION("""COMPUTED_VALUE"""),22.0)</f>
        <v>22</v>
      </c>
      <c r="BO161" s="406">
        <f>IFERROR(__xludf.DUMMYFUNCTION("""COMPUTED_VALUE"""),24.0)</f>
        <v>24</v>
      </c>
    </row>
    <row r="162">
      <c r="A162" s="435" t="str">
        <f>IFERROR(__xludf.DUMMYFUNCTION("""COMPUTED_VALUE"""),"ダメージカット(黄)")</f>
        <v>ダメージカット(黄)</v>
      </c>
      <c r="B162" s="385" t="str">
        <f>IFERROR(__xludf.DUMMYFUNCTION("""COMPUTED_VALUE"""),"超瞬間型")</f>
        <v>超瞬間型</v>
      </c>
      <c r="C162" s="386">
        <f>IFERROR(__xludf.DUMMYFUNCTION("""COMPUTED_VALUE"""),2.0)</f>
        <v>2</v>
      </c>
      <c r="D162" s="387" t="str">
        <f>IFERROR(__xludf.DUMMYFUNCTION("""COMPUTED_VALUE"""),"効果時間")</f>
        <v>効果時間</v>
      </c>
      <c r="E162" s="388" t="str">
        <f>IFERROR(__xludf.DUMMYFUNCTION("""COMPUTED_VALUE"""),"-")</f>
        <v>-</v>
      </c>
      <c r="F162" s="389" t="str">
        <f>IFERROR(__xludf.DUMMYFUNCTION("""COMPUTED_VALUE"""),"-")</f>
        <v>-</v>
      </c>
      <c r="G162" s="388" t="str">
        <f>IFERROR(__xludf.DUMMYFUNCTION("""COMPUTED_VALUE"""),"-")</f>
        <v>-</v>
      </c>
      <c r="H162" s="389" t="str">
        <f>IFERROR(__xludf.DUMMYFUNCTION("""COMPUTED_VALUE"""),"-")</f>
        <v>-</v>
      </c>
      <c r="I162" s="388" t="str">
        <f>IFERROR(__xludf.DUMMYFUNCTION("""COMPUTED_VALUE"""),"-")</f>
        <v>-</v>
      </c>
      <c r="J162" s="390">
        <f>IFERROR(__xludf.DUMMYFUNCTION("""COMPUTED_VALUE"""),150.0)</f>
        <v>150</v>
      </c>
      <c r="K162" s="391">
        <f>IFERROR(__xludf.DUMMYFUNCTION("""COMPUTED_VALUE"""),160.0)</f>
        <v>160</v>
      </c>
      <c r="L162" s="340">
        <f>IFERROR(__xludf.DUMMYFUNCTION("""COMPUTED_VALUE"""),170.0)</f>
        <v>170</v>
      </c>
      <c r="M162" s="385" t="str">
        <f>IFERROR(__xludf.DUMMYFUNCTION("""COMPUTED_VALUE"""),"瞬間型")</f>
        <v>瞬間型</v>
      </c>
      <c r="N162" s="386">
        <f>IFERROR(__xludf.DUMMYFUNCTION("""COMPUTED_VALUE"""),2.0)</f>
        <v>2</v>
      </c>
      <c r="O162" s="387" t="str">
        <f>IFERROR(__xludf.DUMMYFUNCTION("""COMPUTED_VALUE"""),"効果時間")</f>
        <v>効果時間</v>
      </c>
      <c r="P162" s="392">
        <f>IFERROR(__xludf.DUMMYFUNCTION("""COMPUTED_VALUE"""),160.0)</f>
        <v>160</v>
      </c>
      <c r="Q162" s="275">
        <f>IFERROR(__xludf.DUMMYFUNCTION("""COMPUTED_VALUE"""),165.0)</f>
        <v>165</v>
      </c>
      <c r="R162" s="280">
        <f>IFERROR(__xludf.DUMMYFUNCTION("""COMPUTED_VALUE"""),170.0)</f>
        <v>170</v>
      </c>
      <c r="S162" s="275">
        <f>IFERROR(__xludf.DUMMYFUNCTION("""COMPUTED_VALUE"""),175.0)</f>
        <v>175</v>
      </c>
      <c r="T162" s="280">
        <f>IFERROR(__xludf.DUMMYFUNCTION("""COMPUTED_VALUE"""),180.0)</f>
        <v>180</v>
      </c>
      <c r="U162" s="280">
        <f>IFERROR(__xludf.DUMMYFUNCTION("""COMPUTED_VALUE"""),180.0)</f>
        <v>180</v>
      </c>
      <c r="V162" s="280">
        <f>IFERROR(__xludf.DUMMYFUNCTION("""COMPUTED_VALUE"""),220.0)</f>
        <v>220</v>
      </c>
      <c r="W162" s="280">
        <f>IFERROR(__xludf.DUMMYFUNCTION("""COMPUTED_VALUE"""),230.0)</f>
        <v>230</v>
      </c>
      <c r="X162" s="385" t="str">
        <f>IFERROR(__xludf.DUMMYFUNCTION("""COMPUTED_VALUE"""),"安定型")</f>
        <v>安定型</v>
      </c>
      <c r="Y162" s="386">
        <f>IFERROR(__xludf.DUMMYFUNCTION("""COMPUTED_VALUE"""),2.0)</f>
        <v>2</v>
      </c>
      <c r="Z162" s="387" t="str">
        <f>IFERROR(__xludf.DUMMYFUNCTION("""COMPUTED_VALUE"""),"効果時間")</f>
        <v>効果時間</v>
      </c>
      <c r="AA162" s="392">
        <f>IFERROR(__xludf.DUMMYFUNCTION("""COMPUTED_VALUE"""),310.0)</f>
        <v>310</v>
      </c>
      <c r="AB162" s="275">
        <f>IFERROR(__xludf.DUMMYFUNCTION("""COMPUTED_VALUE"""),315.0)</f>
        <v>315</v>
      </c>
      <c r="AC162" s="280">
        <f>IFERROR(__xludf.DUMMYFUNCTION("""COMPUTED_VALUE"""),320.0)</f>
        <v>320</v>
      </c>
      <c r="AD162" s="275">
        <f>IFERROR(__xludf.DUMMYFUNCTION("""COMPUTED_VALUE"""),325.0)</f>
        <v>325</v>
      </c>
      <c r="AE162" s="280">
        <f>IFERROR(__xludf.DUMMYFUNCTION("""COMPUTED_VALUE"""),330.0)</f>
        <v>330</v>
      </c>
      <c r="AF162" s="280">
        <f>IFERROR(__xludf.DUMMYFUNCTION("""COMPUTED_VALUE"""),345.0)</f>
        <v>345</v>
      </c>
      <c r="AG162" s="280">
        <f>IFERROR(__xludf.DUMMYFUNCTION("""COMPUTED_VALUE"""),370.0)</f>
        <v>370</v>
      </c>
      <c r="AH162" s="280">
        <f>IFERROR(__xludf.DUMMYFUNCTION("""COMPUTED_VALUE"""),380.0)</f>
        <v>380</v>
      </c>
      <c r="AI162" s="385" t="str">
        <f>IFERROR(__xludf.DUMMYFUNCTION("""COMPUTED_VALUE"""),"持続型")</f>
        <v>持続型</v>
      </c>
      <c r="AJ162" s="386">
        <f>IFERROR(__xludf.DUMMYFUNCTION("""COMPUTED_VALUE"""),2.0)</f>
        <v>2</v>
      </c>
      <c r="AK162" s="387" t="str">
        <f>IFERROR(__xludf.DUMMYFUNCTION("""COMPUTED_VALUE"""),"効果時間")</f>
        <v>効果時間</v>
      </c>
      <c r="AL162" s="392">
        <f>IFERROR(__xludf.DUMMYFUNCTION("""COMPUTED_VALUE"""),460.0)</f>
        <v>460</v>
      </c>
      <c r="AM162" s="275">
        <f>IFERROR(__xludf.DUMMYFUNCTION("""COMPUTED_VALUE"""),465.0)</f>
        <v>465</v>
      </c>
      <c r="AN162" s="280">
        <f>IFERROR(__xludf.DUMMYFUNCTION("""COMPUTED_VALUE"""),470.0)</f>
        <v>470</v>
      </c>
      <c r="AO162" s="275">
        <f>IFERROR(__xludf.DUMMYFUNCTION("""COMPUTED_VALUE"""),475.0)</f>
        <v>475</v>
      </c>
      <c r="AP162" s="280">
        <f>IFERROR(__xludf.DUMMYFUNCTION("""COMPUTED_VALUE"""),480.0)</f>
        <v>480</v>
      </c>
      <c r="AQ162" s="280">
        <f>IFERROR(__xludf.DUMMYFUNCTION("""COMPUTED_VALUE"""),495.0)</f>
        <v>495</v>
      </c>
      <c r="AR162" s="280">
        <f>IFERROR(__xludf.DUMMYFUNCTION("""COMPUTED_VALUE"""),520.0)</f>
        <v>520</v>
      </c>
      <c r="AS162" s="280">
        <f>IFERROR(__xludf.DUMMYFUNCTION("""COMPUTED_VALUE"""),530.0)</f>
        <v>530</v>
      </c>
      <c r="AT162" s="385" t="str">
        <f>IFERROR(__xludf.DUMMYFUNCTION("""COMPUTED_VALUE"""),"超持続型")</f>
        <v>超持続型</v>
      </c>
      <c r="AU162" s="386">
        <f>IFERROR(__xludf.DUMMYFUNCTION("""COMPUTED_VALUE"""),2.0)</f>
        <v>2</v>
      </c>
      <c r="AV162" s="387" t="str">
        <f>IFERROR(__xludf.DUMMYFUNCTION("""COMPUTED_VALUE"""),"効果時間")</f>
        <v>効果時間</v>
      </c>
      <c r="AW162" s="368" t="str">
        <f>IFERROR(__xludf.DUMMYFUNCTION("""COMPUTED_VALUE"""),"-")</f>
        <v>-</v>
      </c>
      <c r="AX162" s="368" t="str">
        <f>IFERROR(__xludf.DUMMYFUNCTION("""COMPUTED_VALUE"""),"-")</f>
        <v>-</v>
      </c>
      <c r="AY162" s="368" t="str">
        <f>IFERROR(__xludf.DUMMYFUNCTION("""COMPUTED_VALUE"""),"-")</f>
        <v>-</v>
      </c>
      <c r="AZ162" s="368" t="str">
        <f>IFERROR(__xludf.DUMMYFUNCTION("""COMPUTED_VALUE"""),"-")</f>
        <v>-</v>
      </c>
      <c r="BA162" s="368" t="str">
        <f>IFERROR(__xludf.DUMMYFUNCTION("""COMPUTED_VALUE"""),"-")</f>
        <v>-</v>
      </c>
      <c r="BB162" s="280">
        <f>IFERROR(__xludf.DUMMYFUNCTION("""COMPUTED_VALUE"""),625.0)</f>
        <v>625</v>
      </c>
      <c r="BC162" s="280">
        <f>IFERROR(__xludf.DUMMYFUNCTION("""COMPUTED_VALUE"""),670.0)</f>
        <v>670</v>
      </c>
      <c r="BD162" s="280">
        <f>IFERROR(__xludf.DUMMYFUNCTION("""COMPUTED_VALUE"""),680.0)</f>
        <v>680</v>
      </c>
      <c r="BE162" s="385" t="str">
        <f>IFERROR(__xludf.DUMMYFUNCTION("""COMPUTED_VALUE"""),"ハイブリッド型")</f>
        <v>ハイブリッド型</v>
      </c>
      <c r="BF162" s="386">
        <f>IFERROR(__xludf.DUMMYFUNCTION("""COMPUTED_VALUE"""),2.0)</f>
        <v>2</v>
      </c>
      <c r="BG162" s="387" t="str">
        <f>IFERROR(__xludf.DUMMYFUNCTION("""COMPUTED_VALUE"""),"効果時間")</f>
        <v>効果時間</v>
      </c>
      <c r="BH162" s="407">
        <f>IFERROR(__xludf.DUMMYFUNCTION("""COMPUTED_VALUE"""),195.0)</f>
        <v>195</v>
      </c>
      <c r="BI162" s="407">
        <f>IFERROR(__xludf.DUMMYFUNCTION("""COMPUTED_VALUE"""),205.0)</f>
        <v>205</v>
      </c>
      <c r="BJ162" s="407">
        <f>IFERROR(__xludf.DUMMYFUNCTION("""COMPUTED_VALUE"""),205.0)</f>
        <v>205</v>
      </c>
      <c r="BK162" s="408">
        <f>IFERROR(__xludf.DUMMYFUNCTION("""COMPUTED_VALUE"""),210.0)</f>
        <v>210</v>
      </c>
      <c r="BL162" s="407">
        <f>IFERROR(__xludf.DUMMYFUNCTION("""COMPUTED_VALUE"""),215.0)</f>
        <v>215</v>
      </c>
      <c r="BM162" s="408">
        <f>IFERROR(__xludf.DUMMYFUNCTION("""COMPUTED_VALUE"""),375.0)</f>
        <v>375</v>
      </c>
      <c r="BN162" s="407">
        <f>IFERROR(__xludf.DUMMYFUNCTION("""COMPUTED_VALUE"""),480.0)</f>
        <v>480</v>
      </c>
      <c r="BO162" s="408">
        <f>IFERROR(__xludf.DUMMYFUNCTION("""COMPUTED_VALUE"""),490.0)</f>
        <v>490</v>
      </c>
    </row>
    <row r="163">
      <c r="A163" s="435" t="str">
        <f>IFERROR(__xludf.DUMMYFUNCTION("""COMPUTED_VALUE"""),"ダメージカット(黄)")</f>
        <v>ダメージカット(黄)</v>
      </c>
      <c r="B163" s="385" t="str">
        <f>IFERROR(__xludf.DUMMYFUNCTION("""COMPUTED_VALUE"""),"超瞬間型")</f>
        <v>超瞬間型</v>
      </c>
      <c r="C163" s="399">
        <f>IFERROR(__xludf.DUMMYFUNCTION("""COMPUTED_VALUE"""),3.0)</f>
        <v>3</v>
      </c>
      <c r="D163" s="400" t="str">
        <f>IFERROR(__xludf.DUMMYFUNCTION("""COMPUTED_VALUE"""),"効果値")</f>
        <v>効果値</v>
      </c>
      <c r="E163" s="401" t="str">
        <f>IFERROR(__xludf.DUMMYFUNCTION("""COMPUTED_VALUE"""),"-")</f>
        <v>-</v>
      </c>
      <c r="F163" s="409" t="str">
        <f>IFERROR(__xludf.DUMMYFUNCTION("""COMPUTED_VALUE"""),"-")</f>
        <v>-</v>
      </c>
      <c r="G163" s="401" t="str">
        <f>IFERROR(__xludf.DUMMYFUNCTION("""COMPUTED_VALUE"""),"-")</f>
        <v>-</v>
      </c>
      <c r="H163" s="409" t="str">
        <f>IFERROR(__xludf.DUMMYFUNCTION("""COMPUTED_VALUE"""),"-")</f>
        <v>-</v>
      </c>
      <c r="I163" s="409" t="str">
        <f>IFERROR(__xludf.DUMMYFUNCTION("""COMPUTED_VALUE"""),"-")</f>
        <v>-</v>
      </c>
      <c r="J163" s="410">
        <f>IFERROR(__xludf.DUMMYFUNCTION("""COMPUTED_VALUE"""),58.0)</f>
        <v>58</v>
      </c>
      <c r="K163" s="410">
        <f>IFERROR(__xludf.DUMMYFUNCTION("""COMPUTED_VALUE"""),68.0)</f>
        <v>68</v>
      </c>
      <c r="L163" s="410">
        <f>IFERROR(__xludf.DUMMYFUNCTION("""COMPUTED_VALUE"""),72.0)</f>
        <v>72</v>
      </c>
      <c r="M163" s="385" t="str">
        <f>IFERROR(__xludf.DUMMYFUNCTION("""COMPUTED_VALUE"""),"瞬間型")</f>
        <v>瞬間型</v>
      </c>
      <c r="N163" s="399">
        <f>IFERROR(__xludf.DUMMYFUNCTION("""COMPUTED_VALUE"""),3.0)</f>
        <v>3</v>
      </c>
      <c r="O163" s="400" t="str">
        <f>IFERROR(__xludf.DUMMYFUNCTION("""COMPUTED_VALUE"""),"効果値")</f>
        <v>効果値</v>
      </c>
      <c r="P163" s="343">
        <f>IFERROR(__xludf.DUMMYFUNCTION("""COMPUTED_VALUE"""),22.0)</f>
        <v>22</v>
      </c>
      <c r="Q163" s="402">
        <f>IFERROR(__xludf.DUMMYFUNCTION("""COMPUTED_VALUE"""),22.0)</f>
        <v>22</v>
      </c>
      <c r="R163" s="402">
        <f>IFERROR(__xludf.DUMMYFUNCTION("""COMPUTED_VALUE"""),23.0)</f>
        <v>23</v>
      </c>
      <c r="S163" s="402">
        <f>IFERROR(__xludf.DUMMYFUNCTION("""COMPUTED_VALUE"""),23.0)</f>
        <v>23</v>
      </c>
      <c r="T163" s="402">
        <f>IFERROR(__xludf.DUMMYFUNCTION("""COMPUTED_VALUE"""),23.0)</f>
        <v>23</v>
      </c>
      <c r="U163" s="402">
        <f>IFERROR(__xludf.DUMMYFUNCTION("""COMPUTED_VALUE"""),28.0)</f>
        <v>28</v>
      </c>
      <c r="V163" s="402">
        <f>IFERROR(__xludf.DUMMYFUNCTION("""COMPUTED_VALUE"""),33.0)</f>
        <v>33</v>
      </c>
      <c r="W163" s="402">
        <f>IFERROR(__xludf.DUMMYFUNCTION("""COMPUTED_VALUE"""),37.0)</f>
        <v>37</v>
      </c>
      <c r="X163" s="385" t="str">
        <f>IFERROR(__xludf.DUMMYFUNCTION("""COMPUTED_VALUE"""),"安定型")</f>
        <v>安定型</v>
      </c>
      <c r="Y163" s="399">
        <f>IFERROR(__xludf.DUMMYFUNCTION("""COMPUTED_VALUE"""),3.0)</f>
        <v>3</v>
      </c>
      <c r="Z163" s="400" t="str">
        <f>IFERROR(__xludf.DUMMYFUNCTION("""COMPUTED_VALUE"""),"効果値")</f>
        <v>効果値</v>
      </c>
      <c r="AA163" s="343">
        <f>IFERROR(__xludf.DUMMYFUNCTION("""COMPUTED_VALUE"""),12.0)</f>
        <v>12</v>
      </c>
      <c r="AB163" s="402">
        <f>IFERROR(__xludf.DUMMYFUNCTION("""COMPUTED_VALUE"""),12.0)</f>
        <v>12</v>
      </c>
      <c r="AC163" s="402">
        <f>IFERROR(__xludf.DUMMYFUNCTION("""COMPUTED_VALUE"""),13.0)</f>
        <v>13</v>
      </c>
      <c r="AD163" s="402">
        <f>IFERROR(__xludf.DUMMYFUNCTION("""COMPUTED_VALUE"""),13.0)</f>
        <v>13</v>
      </c>
      <c r="AE163" s="402">
        <f>IFERROR(__xludf.DUMMYFUNCTION("""COMPUTED_VALUE"""),13.0)</f>
        <v>13</v>
      </c>
      <c r="AF163" s="402">
        <f>IFERROR(__xludf.DUMMYFUNCTION("""COMPUTED_VALUE"""),13.0)</f>
        <v>13</v>
      </c>
      <c r="AG163" s="402">
        <f>IFERROR(__xludf.DUMMYFUNCTION("""COMPUTED_VALUE"""),18.0)</f>
        <v>18</v>
      </c>
      <c r="AH163" s="402">
        <f>IFERROR(__xludf.DUMMYFUNCTION("""COMPUTED_VALUE"""),22.0)</f>
        <v>22</v>
      </c>
      <c r="AI163" s="385" t="str">
        <f>IFERROR(__xludf.DUMMYFUNCTION("""COMPUTED_VALUE"""),"持続型")</f>
        <v>持続型</v>
      </c>
      <c r="AJ163" s="399">
        <f>IFERROR(__xludf.DUMMYFUNCTION("""COMPUTED_VALUE"""),3.0)</f>
        <v>3</v>
      </c>
      <c r="AK163" s="400" t="str">
        <f>IFERROR(__xludf.DUMMYFUNCTION("""COMPUTED_VALUE"""),"効果値")</f>
        <v>効果値</v>
      </c>
      <c r="AL163" s="343">
        <f>IFERROR(__xludf.DUMMYFUNCTION("""COMPUTED_VALUE"""),7.0)</f>
        <v>7</v>
      </c>
      <c r="AM163" s="402">
        <f>IFERROR(__xludf.DUMMYFUNCTION("""COMPUTED_VALUE"""),7.0)</f>
        <v>7</v>
      </c>
      <c r="AN163" s="402">
        <f>IFERROR(__xludf.DUMMYFUNCTION("""COMPUTED_VALUE"""),8.0)</f>
        <v>8</v>
      </c>
      <c r="AO163" s="402">
        <f>IFERROR(__xludf.DUMMYFUNCTION("""COMPUTED_VALUE"""),8.0)</f>
        <v>8</v>
      </c>
      <c r="AP163" s="402">
        <f>IFERROR(__xludf.DUMMYFUNCTION("""COMPUTED_VALUE"""),8.0)</f>
        <v>8</v>
      </c>
      <c r="AQ163" s="402">
        <f>IFERROR(__xludf.DUMMYFUNCTION("""COMPUTED_VALUE"""),8.0)</f>
        <v>8</v>
      </c>
      <c r="AR163" s="402">
        <f>IFERROR(__xludf.DUMMYFUNCTION("""COMPUTED_VALUE"""),11.0)</f>
        <v>11</v>
      </c>
      <c r="AS163" s="402">
        <f>IFERROR(__xludf.DUMMYFUNCTION("""COMPUTED_VALUE"""),11.0)</f>
        <v>11</v>
      </c>
      <c r="AT163" s="385" t="str">
        <f>IFERROR(__xludf.DUMMYFUNCTION("""COMPUTED_VALUE"""),"超持続型")</f>
        <v>超持続型</v>
      </c>
      <c r="AU163" s="399">
        <f>IFERROR(__xludf.DUMMYFUNCTION("""COMPUTED_VALUE"""),3.0)</f>
        <v>3</v>
      </c>
      <c r="AV163" s="400" t="str">
        <f>IFERROR(__xludf.DUMMYFUNCTION("""COMPUTED_VALUE"""),"効果値")</f>
        <v>効果値</v>
      </c>
      <c r="AW163" s="403" t="str">
        <f>IFERROR(__xludf.DUMMYFUNCTION("""COMPUTED_VALUE"""),"-")</f>
        <v>-</v>
      </c>
      <c r="AX163" s="403" t="str">
        <f>IFERROR(__xludf.DUMMYFUNCTION("""COMPUTED_VALUE"""),"-")</f>
        <v>-</v>
      </c>
      <c r="AY163" s="403" t="str">
        <f>IFERROR(__xludf.DUMMYFUNCTION("""COMPUTED_VALUE"""),"-")</f>
        <v>-</v>
      </c>
      <c r="AZ163" s="403" t="str">
        <f>IFERROR(__xludf.DUMMYFUNCTION("""COMPUTED_VALUE"""),"-")</f>
        <v>-</v>
      </c>
      <c r="BA163" s="403" t="str">
        <f>IFERROR(__xludf.DUMMYFUNCTION("""COMPUTED_VALUE"""),"-")</f>
        <v>-</v>
      </c>
      <c r="BB163" s="343">
        <f>IFERROR(__xludf.DUMMYFUNCTION("""COMPUTED_VALUE"""),8.0)</f>
        <v>8</v>
      </c>
      <c r="BC163" s="343">
        <f>IFERROR(__xludf.DUMMYFUNCTION("""COMPUTED_VALUE"""),11.0)</f>
        <v>11</v>
      </c>
      <c r="BD163" s="343">
        <f>IFERROR(__xludf.DUMMYFUNCTION("""COMPUTED_VALUE"""),11.0)</f>
        <v>11</v>
      </c>
      <c r="BE163" s="385" t="str">
        <f>IFERROR(__xludf.DUMMYFUNCTION("""COMPUTED_VALUE"""),"ハイブリッド型")</f>
        <v>ハイブリッド型</v>
      </c>
      <c r="BF163" s="399">
        <f>IFERROR(__xludf.DUMMYFUNCTION("""COMPUTED_VALUE"""),3.0)</f>
        <v>3</v>
      </c>
      <c r="BG163" s="400" t="str">
        <f>IFERROR(__xludf.DUMMYFUNCTION("""COMPUTED_VALUE"""),"効果値")</f>
        <v>効果値</v>
      </c>
      <c r="BH163" s="411">
        <f>IFERROR(__xludf.DUMMYFUNCTION("""COMPUTED_VALUE"""),11.4)</f>
        <v>11.4</v>
      </c>
      <c r="BI163" s="412">
        <f>IFERROR(__xludf.DUMMYFUNCTION("""COMPUTED_VALUE"""),11.9)</f>
        <v>11.9</v>
      </c>
      <c r="BJ163" s="412">
        <f>IFERROR(__xludf.DUMMYFUNCTION("""COMPUTED_VALUE"""),12.5)</f>
        <v>12.5</v>
      </c>
      <c r="BK163" s="412">
        <f>IFERROR(__xludf.DUMMYFUNCTION("""COMPUTED_VALUE"""),13.0)</f>
        <v>13</v>
      </c>
      <c r="BL163" s="412">
        <f>IFERROR(__xludf.DUMMYFUNCTION("""COMPUTED_VALUE"""),13.5)</f>
        <v>13.5</v>
      </c>
      <c r="BM163" s="412">
        <f>IFERROR(__xludf.DUMMYFUNCTION("""COMPUTED_VALUE"""),18.5)</f>
        <v>18.5</v>
      </c>
      <c r="BN163" s="412">
        <f>IFERROR(__xludf.DUMMYFUNCTION("""COMPUTED_VALUE"""),23.0)</f>
        <v>23</v>
      </c>
      <c r="BO163" s="413">
        <f>IFERROR(__xludf.DUMMYFUNCTION("""COMPUTED_VALUE"""),27.0)</f>
        <v>27</v>
      </c>
    </row>
    <row r="164">
      <c r="A164" s="435" t="str">
        <f>IFERROR(__xludf.DUMMYFUNCTION("""COMPUTED_VALUE"""),"ダメージカット(黄)")</f>
        <v>ダメージカット(黄)</v>
      </c>
      <c r="B164" s="385" t="str">
        <f>IFERROR(__xludf.DUMMYFUNCTION("""COMPUTED_VALUE"""),"超瞬間型")</f>
        <v>超瞬間型</v>
      </c>
      <c r="C164" s="386">
        <f>IFERROR(__xludf.DUMMYFUNCTION("""COMPUTED_VALUE"""),3.0)</f>
        <v>3</v>
      </c>
      <c r="D164" s="387" t="str">
        <f>IFERROR(__xludf.DUMMYFUNCTION("""COMPUTED_VALUE"""),"効果時間")</f>
        <v>効果時間</v>
      </c>
      <c r="E164" s="388" t="str">
        <f>IFERROR(__xludf.DUMMYFUNCTION("""COMPUTED_VALUE"""),"-")</f>
        <v>-</v>
      </c>
      <c r="F164" s="389" t="str">
        <f>IFERROR(__xludf.DUMMYFUNCTION("""COMPUTED_VALUE"""),"-")</f>
        <v>-</v>
      </c>
      <c r="G164" s="388" t="str">
        <f>IFERROR(__xludf.DUMMYFUNCTION("""COMPUTED_VALUE"""),"-")</f>
        <v>-</v>
      </c>
      <c r="H164" s="389" t="str">
        <f>IFERROR(__xludf.DUMMYFUNCTION("""COMPUTED_VALUE"""),"-")</f>
        <v>-</v>
      </c>
      <c r="I164" s="388" t="str">
        <f>IFERROR(__xludf.DUMMYFUNCTION("""COMPUTED_VALUE"""),"-")</f>
        <v>-</v>
      </c>
      <c r="J164" s="390">
        <f>IFERROR(__xludf.DUMMYFUNCTION("""COMPUTED_VALUE"""),155.0)</f>
        <v>155</v>
      </c>
      <c r="K164" s="391">
        <f>IFERROR(__xludf.DUMMYFUNCTION("""COMPUTED_VALUE"""),165.0)</f>
        <v>165</v>
      </c>
      <c r="L164" s="340">
        <f>IFERROR(__xludf.DUMMYFUNCTION("""COMPUTED_VALUE"""),185.0)</f>
        <v>185</v>
      </c>
      <c r="M164" s="385" t="str">
        <f>IFERROR(__xludf.DUMMYFUNCTION("""COMPUTED_VALUE"""),"瞬間型")</f>
        <v>瞬間型</v>
      </c>
      <c r="N164" s="386">
        <f>IFERROR(__xludf.DUMMYFUNCTION("""COMPUTED_VALUE"""),3.0)</f>
        <v>3</v>
      </c>
      <c r="O164" s="387" t="str">
        <f>IFERROR(__xludf.DUMMYFUNCTION("""COMPUTED_VALUE"""),"効果時間")</f>
        <v>効果時間</v>
      </c>
      <c r="P164" s="392">
        <f>IFERROR(__xludf.DUMMYFUNCTION("""COMPUTED_VALUE"""),165.0)</f>
        <v>165</v>
      </c>
      <c r="Q164" s="414">
        <f>IFERROR(__xludf.DUMMYFUNCTION("""COMPUTED_VALUE"""),175.0)</f>
        <v>175</v>
      </c>
      <c r="R164" s="415">
        <f>IFERROR(__xludf.DUMMYFUNCTION("""COMPUTED_VALUE"""),180.0)</f>
        <v>180</v>
      </c>
      <c r="S164" s="393">
        <f>IFERROR(__xludf.DUMMYFUNCTION("""COMPUTED_VALUE"""),185.0)</f>
        <v>185</v>
      </c>
      <c r="T164" s="393">
        <f>IFERROR(__xludf.DUMMYFUNCTION("""COMPUTED_VALUE"""),195.0)</f>
        <v>195</v>
      </c>
      <c r="U164" s="414">
        <f>IFERROR(__xludf.DUMMYFUNCTION("""COMPUTED_VALUE"""),200.0)</f>
        <v>200</v>
      </c>
      <c r="V164" s="416">
        <f>IFERROR(__xludf.DUMMYFUNCTION("""COMPUTED_VALUE"""),255.0)</f>
        <v>255</v>
      </c>
      <c r="W164" s="415">
        <f>IFERROR(__xludf.DUMMYFUNCTION("""COMPUTED_VALUE"""),270.0)</f>
        <v>270</v>
      </c>
      <c r="X164" s="385" t="str">
        <f>IFERROR(__xludf.DUMMYFUNCTION("""COMPUTED_VALUE"""),"安定型")</f>
        <v>安定型</v>
      </c>
      <c r="Y164" s="386">
        <f>IFERROR(__xludf.DUMMYFUNCTION("""COMPUTED_VALUE"""),3.0)</f>
        <v>3</v>
      </c>
      <c r="Z164" s="387" t="str">
        <f>IFERROR(__xludf.DUMMYFUNCTION("""COMPUTED_VALUE"""),"効果時間")</f>
        <v>効果時間</v>
      </c>
      <c r="AA164" s="392">
        <f>IFERROR(__xludf.DUMMYFUNCTION("""COMPUTED_VALUE"""),315.0)</f>
        <v>315</v>
      </c>
      <c r="AB164" s="414">
        <f>IFERROR(__xludf.DUMMYFUNCTION("""COMPUTED_VALUE"""),325.0)</f>
        <v>325</v>
      </c>
      <c r="AC164" s="415">
        <f>IFERROR(__xludf.DUMMYFUNCTION("""COMPUTED_VALUE"""),330.0)</f>
        <v>330</v>
      </c>
      <c r="AD164" s="393">
        <f>IFERROR(__xludf.DUMMYFUNCTION("""COMPUTED_VALUE"""),335.0)</f>
        <v>335</v>
      </c>
      <c r="AE164" s="393">
        <f>IFERROR(__xludf.DUMMYFUNCTION("""COMPUTED_VALUE"""),345.0)</f>
        <v>345</v>
      </c>
      <c r="AF164" s="414">
        <f>IFERROR(__xludf.DUMMYFUNCTION("""COMPUTED_VALUE"""),370.0)</f>
        <v>370</v>
      </c>
      <c r="AG164" s="416">
        <f>IFERROR(__xludf.DUMMYFUNCTION("""COMPUTED_VALUE"""),405.0)</f>
        <v>405</v>
      </c>
      <c r="AH164" s="415">
        <f>IFERROR(__xludf.DUMMYFUNCTION("""COMPUTED_VALUE"""),420.0)</f>
        <v>420</v>
      </c>
      <c r="AI164" s="385" t="str">
        <f>IFERROR(__xludf.DUMMYFUNCTION("""COMPUTED_VALUE"""),"持続型")</f>
        <v>持続型</v>
      </c>
      <c r="AJ164" s="386">
        <f>IFERROR(__xludf.DUMMYFUNCTION("""COMPUTED_VALUE"""),3.0)</f>
        <v>3</v>
      </c>
      <c r="AK164" s="387" t="str">
        <f>IFERROR(__xludf.DUMMYFUNCTION("""COMPUTED_VALUE"""),"効果時間")</f>
        <v>効果時間</v>
      </c>
      <c r="AL164" s="392">
        <f>IFERROR(__xludf.DUMMYFUNCTION("""COMPUTED_VALUE"""),465.0)</f>
        <v>465</v>
      </c>
      <c r="AM164" s="414">
        <f>IFERROR(__xludf.DUMMYFUNCTION("""COMPUTED_VALUE"""),475.0)</f>
        <v>475</v>
      </c>
      <c r="AN164" s="415">
        <f>IFERROR(__xludf.DUMMYFUNCTION("""COMPUTED_VALUE"""),480.0)</f>
        <v>480</v>
      </c>
      <c r="AO164" s="393">
        <f>IFERROR(__xludf.DUMMYFUNCTION("""COMPUTED_VALUE"""),485.0)</f>
        <v>485</v>
      </c>
      <c r="AP164" s="393">
        <f>IFERROR(__xludf.DUMMYFUNCTION("""COMPUTED_VALUE"""),495.0)</f>
        <v>495</v>
      </c>
      <c r="AQ164" s="414">
        <f>IFERROR(__xludf.DUMMYFUNCTION("""COMPUTED_VALUE"""),520.0)</f>
        <v>520</v>
      </c>
      <c r="AR164" s="416">
        <f>IFERROR(__xludf.DUMMYFUNCTION("""COMPUTED_VALUE"""),555.0)</f>
        <v>555</v>
      </c>
      <c r="AS164" s="415">
        <f>IFERROR(__xludf.DUMMYFUNCTION("""COMPUTED_VALUE"""),570.0)</f>
        <v>570</v>
      </c>
      <c r="AT164" s="385" t="str">
        <f>IFERROR(__xludf.DUMMYFUNCTION("""COMPUTED_VALUE"""),"超持続型")</f>
        <v>超持続型</v>
      </c>
      <c r="AU164" s="386">
        <f>IFERROR(__xludf.DUMMYFUNCTION("""COMPUTED_VALUE"""),3.0)</f>
        <v>3</v>
      </c>
      <c r="AV164" s="387" t="str">
        <f>IFERROR(__xludf.DUMMYFUNCTION("""COMPUTED_VALUE"""),"効果時間")</f>
        <v>効果時間</v>
      </c>
      <c r="AW164" s="368" t="str">
        <f>IFERROR(__xludf.DUMMYFUNCTION("""COMPUTED_VALUE"""),"-")</f>
        <v>-</v>
      </c>
      <c r="AX164" s="368" t="str">
        <f>IFERROR(__xludf.DUMMYFUNCTION("""COMPUTED_VALUE"""),"-")</f>
        <v>-</v>
      </c>
      <c r="AY164" s="368" t="str">
        <f>IFERROR(__xludf.DUMMYFUNCTION("""COMPUTED_VALUE"""),"-")</f>
        <v>-</v>
      </c>
      <c r="AZ164" s="368" t="str">
        <f>IFERROR(__xludf.DUMMYFUNCTION("""COMPUTED_VALUE"""),"-")</f>
        <v>-</v>
      </c>
      <c r="BA164" s="368" t="str">
        <f>IFERROR(__xludf.DUMMYFUNCTION("""COMPUTED_VALUE"""),"-")</f>
        <v>-</v>
      </c>
      <c r="BB164" s="280">
        <f>IFERROR(__xludf.DUMMYFUNCTION("""COMPUTED_VALUE"""),635.0)</f>
        <v>635</v>
      </c>
      <c r="BC164" s="280">
        <f>IFERROR(__xludf.DUMMYFUNCTION("""COMPUTED_VALUE"""),705.0)</f>
        <v>705</v>
      </c>
      <c r="BD164" s="280">
        <f>IFERROR(__xludf.DUMMYFUNCTION("""COMPUTED_VALUE"""),720.0)</f>
        <v>720</v>
      </c>
      <c r="BE164" s="385" t="str">
        <f>IFERROR(__xludf.DUMMYFUNCTION("""COMPUTED_VALUE"""),"ハイブリッド型")</f>
        <v>ハイブリッド型</v>
      </c>
      <c r="BF164" s="386">
        <f>IFERROR(__xludf.DUMMYFUNCTION("""COMPUTED_VALUE"""),3.0)</f>
        <v>3</v>
      </c>
      <c r="BG164" s="387" t="str">
        <f>IFERROR(__xludf.DUMMYFUNCTION("""COMPUTED_VALUE"""),"効果時間")</f>
        <v>効果時間</v>
      </c>
      <c r="BH164" s="407">
        <f>IFERROR(__xludf.DUMMYFUNCTION("""COMPUTED_VALUE"""),220.0)</f>
        <v>220</v>
      </c>
      <c r="BI164" s="407">
        <f>IFERROR(__xludf.DUMMYFUNCTION("""COMPUTED_VALUE"""),235.0)</f>
        <v>235</v>
      </c>
      <c r="BJ164" s="407">
        <f>IFERROR(__xludf.DUMMYFUNCTION("""COMPUTED_VALUE"""),240.0)</f>
        <v>240</v>
      </c>
      <c r="BK164" s="408">
        <f>IFERROR(__xludf.DUMMYFUNCTION("""COMPUTED_VALUE"""),250.0)</f>
        <v>250</v>
      </c>
      <c r="BL164" s="407">
        <f>IFERROR(__xludf.DUMMYFUNCTION("""COMPUTED_VALUE"""),255.0)</f>
        <v>255</v>
      </c>
      <c r="BM164" s="408">
        <f>IFERROR(__xludf.DUMMYFUNCTION("""COMPUTED_VALUE"""),385.0)</f>
        <v>385</v>
      </c>
      <c r="BN164" s="407">
        <f>IFERROR(__xludf.DUMMYFUNCTION("""COMPUTED_VALUE"""),490.0)</f>
        <v>490</v>
      </c>
      <c r="BO164" s="408">
        <f>IFERROR(__xludf.DUMMYFUNCTION("""COMPUTED_VALUE"""),505.0)</f>
        <v>505</v>
      </c>
    </row>
    <row r="165">
      <c r="A165" s="435" t="str">
        <f>IFERROR(__xludf.DUMMYFUNCTION("""COMPUTED_VALUE"""),"ダメージカット(黄)")</f>
        <v>ダメージカット(黄)</v>
      </c>
      <c r="B165" s="385" t="str">
        <f>IFERROR(__xludf.DUMMYFUNCTION("""COMPUTED_VALUE"""),"超瞬間型")</f>
        <v>超瞬間型</v>
      </c>
      <c r="C165" s="399">
        <f>IFERROR(__xludf.DUMMYFUNCTION("""COMPUTED_VALUE"""),4.0)</f>
        <v>4</v>
      </c>
      <c r="D165" s="400" t="str">
        <f>IFERROR(__xludf.DUMMYFUNCTION("""COMPUTED_VALUE"""),"効果値")</f>
        <v>効果値</v>
      </c>
      <c r="E165" s="401" t="str">
        <f>IFERROR(__xludf.DUMMYFUNCTION("""COMPUTED_VALUE"""),"-")</f>
        <v>-</v>
      </c>
      <c r="F165" s="409" t="str">
        <f>IFERROR(__xludf.DUMMYFUNCTION("""COMPUTED_VALUE"""),"-")</f>
        <v>-</v>
      </c>
      <c r="G165" s="409" t="str">
        <f>IFERROR(__xludf.DUMMYFUNCTION("""COMPUTED_VALUE"""),"-")</f>
        <v>-</v>
      </c>
      <c r="H165" s="409" t="str">
        <f>IFERROR(__xludf.DUMMYFUNCTION("""COMPUTED_VALUE"""),"-")</f>
        <v>-</v>
      </c>
      <c r="I165" s="409" t="str">
        <f>IFERROR(__xludf.DUMMYFUNCTION("""COMPUTED_VALUE"""),"-")</f>
        <v>-</v>
      </c>
      <c r="J165" s="410">
        <f>IFERROR(__xludf.DUMMYFUNCTION("""COMPUTED_VALUE"""),59.0)</f>
        <v>59</v>
      </c>
      <c r="K165" s="410">
        <f>IFERROR(__xludf.DUMMYFUNCTION("""COMPUTED_VALUE"""),69.0)</f>
        <v>69</v>
      </c>
      <c r="L165" s="410">
        <f>IFERROR(__xludf.DUMMYFUNCTION("""COMPUTED_VALUE"""),74.0)</f>
        <v>74</v>
      </c>
      <c r="M165" s="385" t="str">
        <f>IFERROR(__xludf.DUMMYFUNCTION("""COMPUTED_VALUE"""),"瞬間型")</f>
        <v>瞬間型</v>
      </c>
      <c r="N165" s="399">
        <f>IFERROR(__xludf.DUMMYFUNCTION("""COMPUTED_VALUE"""),4.0)</f>
        <v>4</v>
      </c>
      <c r="O165" s="400" t="str">
        <f>IFERROR(__xludf.DUMMYFUNCTION("""COMPUTED_VALUE"""),"効果値")</f>
        <v>効果値</v>
      </c>
      <c r="P165" s="343">
        <f>IFERROR(__xludf.DUMMYFUNCTION("""COMPUTED_VALUE"""),23.0)</f>
        <v>23</v>
      </c>
      <c r="Q165" s="402">
        <f>IFERROR(__xludf.DUMMYFUNCTION("""COMPUTED_VALUE"""),23.0)</f>
        <v>23</v>
      </c>
      <c r="R165" s="343">
        <f>IFERROR(__xludf.DUMMYFUNCTION("""COMPUTED_VALUE"""),23.0)</f>
        <v>23</v>
      </c>
      <c r="S165" s="402">
        <f>IFERROR(__xludf.DUMMYFUNCTION("""COMPUTED_VALUE"""),23.0)</f>
        <v>23</v>
      </c>
      <c r="T165" s="343">
        <f>IFERROR(__xludf.DUMMYFUNCTION("""COMPUTED_VALUE"""),23.0)</f>
        <v>23</v>
      </c>
      <c r="U165" s="343">
        <f>IFERROR(__xludf.DUMMYFUNCTION("""COMPUTED_VALUE"""),29.0)</f>
        <v>29</v>
      </c>
      <c r="V165" s="343">
        <f>IFERROR(__xludf.DUMMYFUNCTION("""COMPUTED_VALUE"""),34.0)</f>
        <v>34</v>
      </c>
      <c r="W165" s="343">
        <f>IFERROR(__xludf.DUMMYFUNCTION("""COMPUTED_VALUE"""),39.0)</f>
        <v>39</v>
      </c>
      <c r="X165" s="385" t="str">
        <f>IFERROR(__xludf.DUMMYFUNCTION("""COMPUTED_VALUE"""),"安定型")</f>
        <v>安定型</v>
      </c>
      <c r="Y165" s="399">
        <f>IFERROR(__xludf.DUMMYFUNCTION("""COMPUTED_VALUE"""),4.0)</f>
        <v>4</v>
      </c>
      <c r="Z165" s="400" t="str">
        <f>IFERROR(__xludf.DUMMYFUNCTION("""COMPUTED_VALUE"""),"効果値")</f>
        <v>効果値</v>
      </c>
      <c r="AA165" s="343">
        <f>IFERROR(__xludf.DUMMYFUNCTION("""COMPUTED_VALUE"""),13.0)</f>
        <v>13</v>
      </c>
      <c r="AB165" s="402">
        <f>IFERROR(__xludf.DUMMYFUNCTION("""COMPUTED_VALUE"""),13.0)</f>
        <v>13</v>
      </c>
      <c r="AC165" s="343">
        <f>IFERROR(__xludf.DUMMYFUNCTION("""COMPUTED_VALUE"""),13.0)</f>
        <v>13</v>
      </c>
      <c r="AD165" s="402">
        <f>IFERROR(__xludf.DUMMYFUNCTION("""COMPUTED_VALUE"""),13.0)</f>
        <v>13</v>
      </c>
      <c r="AE165" s="343">
        <f>IFERROR(__xludf.DUMMYFUNCTION("""COMPUTED_VALUE"""),13.0)</f>
        <v>13</v>
      </c>
      <c r="AF165" s="343">
        <f>IFERROR(__xludf.DUMMYFUNCTION("""COMPUTED_VALUE"""),14.0)</f>
        <v>14</v>
      </c>
      <c r="AG165" s="343">
        <f>IFERROR(__xludf.DUMMYFUNCTION("""COMPUTED_VALUE"""),19.0)</f>
        <v>19</v>
      </c>
      <c r="AH165" s="343">
        <f>IFERROR(__xludf.DUMMYFUNCTION("""COMPUTED_VALUE"""),24.0)</f>
        <v>24</v>
      </c>
      <c r="AI165" s="385" t="str">
        <f>IFERROR(__xludf.DUMMYFUNCTION("""COMPUTED_VALUE"""),"持続型")</f>
        <v>持続型</v>
      </c>
      <c r="AJ165" s="399">
        <f>IFERROR(__xludf.DUMMYFUNCTION("""COMPUTED_VALUE"""),4.0)</f>
        <v>4</v>
      </c>
      <c r="AK165" s="400" t="str">
        <f>IFERROR(__xludf.DUMMYFUNCTION("""COMPUTED_VALUE"""),"効果値")</f>
        <v>効果値</v>
      </c>
      <c r="AL165" s="343">
        <f>IFERROR(__xludf.DUMMYFUNCTION("""COMPUTED_VALUE"""),8.0)</f>
        <v>8</v>
      </c>
      <c r="AM165" s="402">
        <f>IFERROR(__xludf.DUMMYFUNCTION("""COMPUTED_VALUE"""),8.0)</f>
        <v>8</v>
      </c>
      <c r="AN165" s="343">
        <f>IFERROR(__xludf.DUMMYFUNCTION("""COMPUTED_VALUE"""),8.0)</f>
        <v>8</v>
      </c>
      <c r="AO165" s="402">
        <f>IFERROR(__xludf.DUMMYFUNCTION("""COMPUTED_VALUE"""),8.0)</f>
        <v>8</v>
      </c>
      <c r="AP165" s="343">
        <f>IFERROR(__xludf.DUMMYFUNCTION("""COMPUTED_VALUE"""),8.0)</f>
        <v>8</v>
      </c>
      <c r="AQ165" s="343">
        <f>IFERROR(__xludf.DUMMYFUNCTION("""COMPUTED_VALUE"""),9.0)</f>
        <v>9</v>
      </c>
      <c r="AR165" s="343">
        <f>IFERROR(__xludf.DUMMYFUNCTION("""COMPUTED_VALUE"""),12.0)</f>
        <v>12</v>
      </c>
      <c r="AS165" s="343">
        <f>IFERROR(__xludf.DUMMYFUNCTION("""COMPUTED_VALUE"""),12.0)</f>
        <v>12</v>
      </c>
      <c r="AT165" s="385" t="str">
        <f>IFERROR(__xludf.DUMMYFUNCTION("""COMPUTED_VALUE"""),"超持続型")</f>
        <v>超持続型</v>
      </c>
      <c r="AU165" s="399">
        <f>IFERROR(__xludf.DUMMYFUNCTION("""COMPUTED_VALUE"""),4.0)</f>
        <v>4</v>
      </c>
      <c r="AV165" s="400" t="str">
        <f>IFERROR(__xludf.DUMMYFUNCTION("""COMPUTED_VALUE"""),"効果値")</f>
        <v>効果値</v>
      </c>
      <c r="AW165" s="403" t="str">
        <f>IFERROR(__xludf.DUMMYFUNCTION("""COMPUTED_VALUE"""),"-")</f>
        <v>-</v>
      </c>
      <c r="AX165" s="403" t="str">
        <f>IFERROR(__xludf.DUMMYFUNCTION("""COMPUTED_VALUE"""),"-")</f>
        <v>-</v>
      </c>
      <c r="AY165" s="403" t="str">
        <f>IFERROR(__xludf.DUMMYFUNCTION("""COMPUTED_VALUE"""),"-")</f>
        <v>-</v>
      </c>
      <c r="AZ165" s="403" t="str">
        <f>IFERROR(__xludf.DUMMYFUNCTION("""COMPUTED_VALUE"""),"-")</f>
        <v>-</v>
      </c>
      <c r="BA165" s="403" t="str">
        <f>IFERROR(__xludf.DUMMYFUNCTION("""COMPUTED_VALUE"""),"-")</f>
        <v>-</v>
      </c>
      <c r="BB165" s="343">
        <f>IFERROR(__xludf.DUMMYFUNCTION("""COMPUTED_VALUE"""),9.0)</f>
        <v>9</v>
      </c>
      <c r="BC165" s="343">
        <f>IFERROR(__xludf.DUMMYFUNCTION("""COMPUTED_VALUE"""),12.0)</f>
        <v>12</v>
      </c>
      <c r="BD165" s="343">
        <f>IFERROR(__xludf.DUMMYFUNCTION("""COMPUTED_VALUE"""),12.0)</f>
        <v>12</v>
      </c>
      <c r="BE165" s="385" t="str">
        <f>IFERROR(__xludf.DUMMYFUNCTION("""COMPUTED_VALUE"""),"ハイブリッド型")</f>
        <v>ハイブリッド型</v>
      </c>
      <c r="BF165" s="399">
        <f>IFERROR(__xludf.DUMMYFUNCTION("""COMPUTED_VALUE"""),4.0)</f>
        <v>4</v>
      </c>
      <c r="BG165" s="400" t="str">
        <f>IFERROR(__xludf.DUMMYFUNCTION("""COMPUTED_VALUE"""),"効果値")</f>
        <v>効果値</v>
      </c>
      <c r="BH165" s="411">
        <f>IFERROR(__xludf.DUMMYFUNCTION("""COMPUTED_VALUE"""),11.8)</f>
        <v>11.8</v>
      </c>
      <c r="BI165" s="412">
        <f>IFERROR(__xludf.DUMMYFUNCTION("""COMPUTED_VALUE"""),12.4)</f>
        <v>12.4</v>
      </c>
      <c r="BJ165" s="412">
        <f>IFERROR(__xludf.DUMMYFUNCTION("""COMPUTED_VALUE"""),13.1)</f>
        <v>13.1</v>
      </c>
      <c r="BK165" s="412">
        <f>IFERROR(__xludf.DUMMYFUNCTION("""COMPUTED_VALUE"""),13.7)</f>
        <v>13.7</v>
      </c>
      <c r="BL165" s="412">
        <f>IFERROR(__xludf.DUMMYFUNCTION("""COMPUTED_VALUE"""),14.4)</f>
        <v>14.4</v>
      </c>
      <c r="BM165" s="412">
        <f>IFERROR(__xludf.DUMMYFUNCTION("""COMPUTED_VALUE"""),19.4)</f>
        <v>19.4</v>
      </c>
      <c r="BN165" s="412">
        <f>IFERROR(__xludf.DUMMYFUNCTION("""COMPUTED_VALUE"""),24.0)</f>
        <v>24</v>
      </c>
      <c r="BO165" s="413">
        <f>IFERROR(__xludf.DUMMYFUNCTION("""COMPUTED_VALUE"""),29.0)</f>
        <v>29</v>
      </c>
    </row>
    <row r="166">
      <c r="A166" s="435" t="str">
        <f>IFERROR(__xludf.DUMMYFUNCTION("""COMPUTED_VALUE"""),"ダメージカット(黄)")</f>
        <v>ダメージカット(黄)</v>
      </c>
      <c r="B166" s="385" t="str">
        <f>IFERROR(__xludf.DUMMYFUNCTION("""COMPUTED_VALUE"""),"超瞬間型")</f>
        <v>超瞬間型</v>
      </c>
      <c r="C166" s="386">
        <f>IFERROR(__xludf.DUMMYFUNCTION("""COMPUTED_VALUE"""),4.0)</f>
        <v>4</v>
      </c>
      <c r="D166" s="387" t="str">
        <f>IFERROR(__xludf.DUMMYFUNCTION("""COMPUTED_VALUE"""),"効果時間")</f>
        <v>効果時間</v>
      </c>
      <c r="E166" s="388" t="str">
        <f>IFERROR(__xludf.DUMMYFUNCTION("""COMPUTED_VALUE"""),"-")</f>
        <v>-</v>
      </c>
      <c r="F166" s="389" t="str">
        <f>IFERROR(__xludf.DUMMYFUNCTION("""COMPUTED_VALUE"""),"-")</f>
        <v>-</v>
      </c>
      <c r="G166" s="388" t="str">
        <f>IFERROR(__xludf.DUMMYFUNCTION("""COMPUTED_VALUE"""),"-")</f>
        <v>-</v>
      </c>
      <c r="H166" s="389" t="str">
        <f>IFERROR(__xludf.DUMMYFUNCTION("""COMPUTED_VALUE"""),"-")</f>
        <v>-</v>
      </c>
      <c r="I166" s="388" t="str">
        <f>IFERROR(__xludf.DUMMYFUNCTION("""COMPUTED_VALUE"""),"-")</f>
        <v>-</v>
      </c>
      <c r="J166" s="390">
        <f>IFERROR(__xludf.DUMMYFUNCTION("""COMPUTED_VALUE"""),155.0)</f>
        <v>155</v>
      </c>
      <c r="K166" s="391">
        <f>IFERROR(__xludf.DUMMYFUNCTION("""COMPUTED_VALUE"""),170.0)</f>
        <v>170</v>
      </c>
      <c r="L166" s="340">
        <f>IFERROR(__xludf.DUMMYFUNCTION("""COMPUTED_VALUE"""),195.0)</f>
        <v>195</v>
      </c>
      <c r="M166" s="385" t="str">
        <f>IFERROR(__xludf.DUMMYFUNCTION("""COMPUTED_VALUE"""),"瞬間型")</f>
        <v>瞬間型</v>
      </c>
      <c r="N166" s="386">
        <f>IFERROR(__xludf.DUMMYFUNCTION("""COMPUTED_VALUE"""),4.0)</f>
        <v>4</v>
      </c>
      <c r="O166" s="387" t="str">
        <f>IFERROR(__xludf.DUMMYFUNCTION("""COMPUTED_VALUE"""),"効果時間")</f>
        <v>効果時間</v>
      </c>
      <c r="P166" s="280">
        <f>IFERROR(__xludf.DUMMYFUNCTION("""COMPUTED_VALUE"""),170.0)</f>
        <v>170</v>
      </c>
      <c r="Q166" s="275">
        <f>IFERROR(__xludf.DUMMYFUNCTION("""COMPUTED_VALUE"""),180.0)</f>
        <v>180</v>
      </c>
      <c r="R166" s="280">
        <f>IFERROR(__xludf.DUMMYFUNCTION("""COMPUTED_VALUE"""),185.0)</f>
        <v>185</v>
      </c>
      <c r="S166" s="275">
        <f>IFERROR(__xludf.DUMMYFUNCTION("""COMPUTED_VALUE"""),195.0)</f>
        <v>195</v>
      </c>
      <c r="T166" s="280">
        <f>IFERROR(__xludf.DUMMYFUNCTION("""COMPUTED_VALUE"""),200.0)</f>
        <v>200</v>
      </c>
      <c r="U166" s="280">
        <f>IFERROR(__xludf.DUMMYFUNCTION("""COMPUTED_VALUE"""),215.0)</f>
        <v>215</v>
      </c>
      <c r="V166" s="280">
        <f>IFERROR(__xludf.DUMMYFUNCTION("""COMPUTED_VALUE"""),285.0)</f>
        <v>285</v>
      </c>
      <c r="W166" s="280">
        <f>IFERROR(__xludf.DUMMYFUNCTION("""COMPUTED_VALUE"""),305.0)</f>
        <v>305</v>
      </c>
      <c r="X166" s="385" t="str">
        <f>IFERROR(__xludf.DUMMYFUNCTION("""COMPUTED_VALUE"""),"安定型")</f>
        <v>安定型</v>
      </c>
      <c r="Y166" s="386">
        <f>IFERROR(__xludf.DUMMYFUNCTION("""COMPUTED_VALUE"""),4.0)</f>
        <v>4</v>
      </c>
      <c r="Z166" s="387" t="str">
        <f>IFERROR(__xludf.DUMMYFUNCTION("""COMPUTED_VALUE"""),"効果時間")</f>
        <v>効果時間</v>
      </c>
      <c r="AA166" s="280">
        <f>IFERROR(__xludf.DUMMYFUNCTION("""COMPUTED_VALUE"""),320.0)</f>
        <v>320</v>
      </c>
      <c r="AB166" s="275">
        <f>IFERROR(__xludf.DUMMYFUNCTION("""COMPUTED_VALUE"""),330.0)</f>
        <v>330</v>
      </c>
      <c r="AC166" s="280">
        <f>IFERROR(__xludf.DUMMYFUNCTION("""COMPUTED_VALUE"""),335.0)</f>
        <v>335</v>
      </c>
      <c r="AD166" s="275">
        <f>IFERROR(__xludf.DUMMYFUNCTION("""COMPUTED_VALUE"""),345.0)</f>
        <v>345</v>
      </c>
      <c r="AE166" s="280">
        <f>IFERROR(__xludf.DUMMYFUNCTION("""COMPUTED_VALUE"""),350.0)</f>
        <v>350</v>
      </c>
      <c r="AF166" s="280">
        <f>IFERROR(__xludf.DUMMYFUNCTION("""COMPUTED_VALUE"""),390.0)</f>
        <v>390</v>
      </c>
      <c r="AG166" s="280">
        <f>IFERROR(__xludf.DUMMYFUNCTION("""COMPUTED_VALUE"""),435.0)</f>
        <v>435</v>
      </c>
      <c r="AH166" s="280">
        <f>IFERROR(__xludf.DUMMYFUNCTION("""COMPUTED_VALUE"""),455.0)</f>
        <v>455</v>
      </c>
      <c r="AI166" s="385" t="str">
        <f>IFERROR(__xludf.DUMMYFUNCTION("""COMPUTED_VALUE"""),"持続型")</f>
        <v>持続型</v>
      </c>
      <c r="AJ166" s="386">
        <f>IFERROR(__xludf.DUMMYFUNCTION("""COMPUTED_VALUE"""),4.0)</f>
        <v>4</v>
      </c>
      <c r="AK166" s="387" t="str">
        <f>IFERROR(__xludf.DUMMYFUNCTION("""COMPUTED_VALUE"""),"効果時間")</f>
        <v>効果時間</v>
      </c>
      <c r="AL166" s="280">
        <f>IFERROR(__xludf.DUMMYFUNCTION("""COMPUTED_VALUE"""),470.0)</f>
        <v>470</v>
      </c>
      <c r="AM166" s="275">
        <f>IFERROR(__xludf.DUMMYFUNCTION("""COMPUTED_VALUE"""),480.0)</f>
        <v>480</v>
      </c>
      <c r="AN166" s="280">
        <f>IFERROR(__xludf.DUMMYFUNCTION("""COMPUTED_VALUE"""),485.0)</f>
        <v>485</v>
      </c>
      <c r="AO166" s="275">
        <f>IFERROR(__xludf.DUMMYFUNCTION("""COMPUTED_VALUE"""),495.0)</f>
        <v>495</v>
      </c>
      <c r="AP166" s="280">
        <f>IFERROR(__xludf.DUMMYFUNCTION("""COMPUTED_VALUE"""),500.0)</f>
        <v>500</v>
      </c>
      <c r="AQ166" s="280">
        <f>IFERROR(__xludf.DUMMYFUNCTION("""COMPUTED_VALUE"""),540.0)</f>
        <v>540</v>
      </c>
      <c r="AR166" s="280">
        <f>IFERROR(__xludf.DUMMYFUNCTION("""COMPUTED_VALUE"""),585.0)</f>
        <v>585</v>
      </c>
      <c r="AS166" s="280">
        <f>IFERROR(__xludf.DUMMYFUNCTION("""COMPUTED_VALUE"""),605.0)</f>
        <v>605</v>
      </c>
      <c r="AT166" s="385" t="str">
        <f>IFERROR(__xludf.DUMMYFUNCTION("""COMPUTED_VALUE"""),"超持続型")</f>
        <v>超持続型</v>
      </c>
      <c r="AU166" s="386">
        <f>IFERROR(__xludf.DUMMYFUNCTION("""COMPUTED_VALUE"""),4.0)</f>
        <v>4</v>
      </c>
      <c r="AV166" s="387" t="str">
        <f>IFERROR(__xludf.DUMMYFUNCTION("""COMPUTED_VALUE"""),"効果時間")</f>
        <v>効果時間</v>
      </c>
      <c r="AW166" s="368" t="str">
        <f>IFERROR(__xludf.DUMMYFUNCTION("""COMPUTED_VALUE"""),"-")</f>
        <v>-</v>
      </c>
      <c r="AX166" s="368" t="str">
        <f>IFERROR(__xludf.DUMMYFUNCTION("""COMPUTED_VALUE"""),"-")</f>
        <v>-</v>
      </c>
      <c r="AY166" s="368" t="str">
        <f>IFERROR(__xludf.DUMMYFUNCTION("""COMPUTED_VALUE"""),"-")</f>
        <v>-</v>
      </c>
      <c r="AZ166" s="368" t="str">
        <f>IFERROR(__xludf.DUMMYFUNCTION("""COMPUTED_VALUE"""),"-")</f>
        <v>-</v>
      </c>
      <c r="BA166" s="368" t="str">
        <f>IFERROR(__xludf.DUMMYFUNCTION("""COMPUTED_VALUE"""),"-")</f>
        <v>-</v>
      </c>
      <c r="BB166" s="280">
        <f>IFERROR(__xludf.DUMMYFUNCTION("""COMPUTED_VALUE"""),645.0)</f>
        <v>645</v>
      </c>
      <c r="BC166" s="280">
        <f>IFERROR(__xludf.DUMMYFUNCTION("""COMPUTED_VALUE"""),735.0)</f>
        <v>735</v>
      </c>
      <c r="BD166" s="280">
        <f>IFERROR(__xludf.DUMMYFUNCTION("""COMPUTED_VALUE"""),755.0)</f>
        <v>755</v>
      </c>
      <c r="BE166" s="385" t="str">
        <f>IFERROR(__xludf.DUMMYFUNCTION("""COMPUTED_VALUE"""),"ハイブリッド型")</f>
        <v>ハイブリッド型</v>
      </c>
      <c r="BF166" s="386">
        <f>IFERROR(__xludf.DUMMYFUNCTION("""COMPUTED_VALUE"""),4.0)</f>
        <v>4</v>
      </c>
      <c r="BG166" s="387" t="str">
        <f>IFERROR(__xludf.DUMMYFUNCTION("""COMPUTED_VALUE"""),"効果時間")</f>
        <v>効果時間</v>
      </c>
      <c r="BH166" s="417">
        <f>IFERROR(__xludf.DUMMYFUNCTION("""COMPUTED_VALUE"""),240.0)</f>
        <v>240</v>
      </c>
      <c r="BI166" s="417">
        <f>IFERROR(__xludf.DUMMYFUNCTION("""COMPUTED_VALUE"""),255.0)</f>
        <v>255</v>
      </c>
      <c r="BJ166" s="417">
        <f>IFERROR(__xludf.DUMMYFUNCTION("""COMPUTED_VALUE"""),265.0)</f>
        <v>265</v>
      </c>
      <c r="BK166" s="418">
        <f>IFERROR(__xludf.DUMMYFUNCTION("""COMPUTED_VALUE"""),275.0)</f>
        <v>275</v>
      </c>
      <c r="BL166" s="417">
        <f>IFERROR(__xludf.DUMMYFUNCTION("""COMPUTED_VALUE"""),285.0)</f>
        <v>285</v>
      </c>
      <c r="BM166" s="418">
        <f>IFERROR(__xludf.DUMMYFUNCTION("""COMPUTED_VALUE"""),395.0)</f>
        <v>395</v>
      </c>
      <c r="BN166" s="417">
        <f>IFERROR(__xludf.DUMMYFUNCTION("""COMPUTED_VALUE"""),500.0)</f>
        <v>500</v>
      </c>
      <c r="BO166" s="418">
        <f>IFERROR(__xludf.DUMMYFUNCTION("""COMPUTED_VALUE"""),520.0)</f>
        <v>520</v>
      </c>
    </row>
    <row r="167">
      <c r="A167" s="435" t="str">
        <f>IFERROR(__xludf.DUMMYFUNCTION("""COMPUTED_VALUE"""),"ダメージカット(黄)")</f>
        <v>ダメージカット(黄)</v>
      </c>
      <c r="B167" s="385" t="str">
        <f>IFERROR(__xludf.DUMMYFUNCTION("""COMPUTED_VALUE"""),"超瞬間型")</f>
        <v>超瞬間型</v>
      </c>
      <c r="C167" s="399">
        <f>IFERROR(__xludf.DUMMYFUNCTION("""COMPUTED_VALUE"""),5.0)</f>
        <v>5</v>
      </c>
      <c r="D167" s="400" t="str">
        <f>IFERROR(__xludf.DUMMYFUNCTION("""COMPUTED_VALUE"""),"効果値")</f>
        <v>効果値</v>
      </c>
      <c r="E167" s="419" t="str">
        <f>IFERROR(__xludf.DUMMYFUNCTION("""COMPUTED_VALUE"""),"-")</f>
        <v>-</v>
      </c>
      <c r="F167" s="409" t="str">
        <f>IFERROR(__xludf.DUMMYFUNCTION("""COMPUTED_VALUE"""),"-")</f>
        <v>-</v>
      </c>
      <c r="G167" s="409" t="str">
        <f>IFERROR(__xludf.DUMMYFUNCTION("""COMPUTED_VALUE"""),"-")</f>
        <v>-</v>
      </c>
      <c r="H167" s="409" t="str">
        <f>IFERROR(__xludf.DUMMYFUNCTION("""COMPUTED_VALUE"""),"-")</f>
        <v>-</v>
      </c>
      <c r="I167" s="409" t="str">
        <f>IFERROR(__xludf.DUMMYFUNCTION("""COMPUTED_VALUE"""),"-")</f>
        <v>-</v>
      </c>
      <c r="J167" s="420">
        <f>IFERROR(__xludf.DUMMYFUNCTION("""COMPUTED_VALUE"""),60.0)</f>
        <v>60</v>
      </c>
      <c r="K167" s="421">
        <f>IFERROR(__xludf.DUMMYFUNCTION("""COMPUTED_VALUE"""),70.0)</f>
        <v>70</v>
      </c>
      <c r="L167" s="421">
        <f>IFERROR(__xludf.DUMMYFUNCTION("""COMPUTED_VALUE"""),75.0)</f>
        <v>75</v>
      </c>
      <c r="M167" s="385" t="str">
        <f>IFERROR(__xludf.DUMMYFUNCTION("""COMPUTED_VALUE"""),"瞬間型")</f>
        <v>瞬間型</v>
      </c>
      <c r="N167" s="399">
        <f>IFERROR(__xludf.DUMMYFUNCTION("""COMPUTED_VALUE"""),5.0)</f>
        <v>5</v>
      </c>
      <c r="O167" s="400" t="str">
        <f>IFERROR(__xludf.DUMMYFUNCTION("""COMPUTED_VALUE"""),"効果値")</f>
        <v>効果値</v>
      </c>
      <c r="P167" s="422">
        <f>IFERROR(__xludf.DUMMYFUNCTION("""COMPUTED_VALUE"""),23.0)</f>
        <v>23</v>
      </c>
      <c r="Q167" s="423">
        <f>IFERROR(__xludf.DUMMYFUNCTION("""COMPUTED_VALUE"""),23.0)</f>
        <v>23</v>
      </c>
      <c r="R167" s="422">
        <f>IFERROR(__xludf.DUMMYFUNCTION("""COMPUTED_VALUE"""),24.0)</f>
        <v>24</v>
      </c>
      <c r="S167" s="423">
        <f>IFERROR(__xludf.DUMMYFUNCTION("""COMPUTED_VALUE"""),24.0)</f>
        <v>24</v>
      </c>
      <c r="T167" s="422">
        <f>IFERROR(__xludf.DUMMYFUNCTION("""COMPUTED_VALUE"""),24.0)</f>
        <v>24</v>
      </c>
      <c r="U167" s="423">
        <f>IFERROR(__xludf.DUMMYFUNCTION("""COMPUTED_VALUE"""),30.0)</f>
        <v>30</v>
      </c>
      <c r="V167" s="423">
        <f>IFERROR(__xludf.DUMMYFUNCTION("""COMPUTED_VALUE"""),35.0)</f>
        <v>35</v>
      </c>
      <c r="W167" s="424">
        <f>IFERROR(__xludf.DUMMYFUNCTION("""COMPUTED_VALUE"""),40.0)</f>
        <v>40</v>
      </c>
      <c r="X167" s="385" t="str">
        <f>IFERROR(__xludf.DUMMYFUNCTION("""COMPUTED_VALUE"""),"安定型")</f>
        <v>安定型</v>
      </c>
      <c r="Y167" s="399">
        <f>IFERROR(__xludf.DUMMYFUNCTION("""COMPUTED_VALUE"""),5.0)</f>
        <v>5</v>
      </c>
      <c r="Z167" s="400" t="str">
        <f>IFERROR(__xludf.DUMMYFUNCTION("""COMPUTED_VALUE"""),"効果値")</f>
        <v>効果値</v>
      </c>
      <c r="AA167" s="422">
        <f>IFERROR(__xludf.DUMMYFUNCTION("""COMPUTED_VALUE"""),13.0)</f>
        <v>13</v>
      </c>
      <c r="AB167" s="423">
        <f>IFERROR(__xludf.DUMMYFUNCTION("""COMPUTED_VALUE"""),13.0)</f>
        <v>13</v>
      </c>
      <c r="AC167" s="422">
        <f>IFERROR(__xludf.DUMMYFUNCTION("""COMPUTED_VALUE"""),14.0)</f>
        <v>14</v>
      </c>
      <c r="AD167" s="423">
        <f>IFERROR(__xludf.DUMMYFUNCTION("""COMPUTED_VALUE"""),14.0)</f>
        <v>14</v>
      </c>
      <c r="AE167" s="422">
        <f>IFERROR(__xludf.DUMMYFUNCTION("""COMPUTED_VALUE"""),14.0)</f>
        <v>14</v>
      </c>
      <c r="AF167" s="423">
        <f>IFERROR(__xludf.DUMMYFUNCTION("""COMPUTED_VALUE"""),15.0)</f>
        <v>15</v>
      </c>
      <c r="AG167" s="423">
        <f>IFERROR(__xludf.DUMMYFUNCTION("""COMPUTED_VALUE"""),20.0)</f>
        <v>20</v>
      </c>
      <c r="AH167" s="424">
        <f>IFERROR(__xludf.DUMMYFUNCTION("""COMPUTED_VALUE"""),25.0)</f>
        <v>25</v>
      </c>
      <c r="AI167" s="385" t="str">
        <f>IFERROR(__xludf.DUMMYFUNCTION("""COMPUTED_VALUE"""),"持続型")</f>
        <v>持続型</v>
      </c>
      <c r="AJ167" s="399">
        <f>IFERROR(__xludf.DUMMYFUNCTION("""COMPUTED_VALUE"""),5.0)</f>
        <v>5</v>
      </c>
      <c r="AK167" s="400" t="str">
        <f>IFERROR(__xludf.DUMMYFUNCTION("""COMPUTED_VALUE"""),"効果値")</f>
        <v>効果値</v>
      </c>
      <c r="AL167" s="422">
        <f>IFERROR(__xludf.DUMMYFUNCTION("""COMPUTED_VALUE"""),8.0)</f>
        <v>8</v>
      </c>
      <c r="AM167" s="423">
        <f>IFERROR(__xludf.DUMMYFUNCTION("""COMPUTED_VALUE"""),8.0)</f>
        <v>8</v>
      </c>
      <c r="AN167" s="422">
        <f>IFERROR(__xludf.DUMMYFUNCTION("""COMPUTED_VALUE"""),9.0)</f>
        <v>9</v>
      </c>
      <c r="AO167" s="423">
        <f>IFERROR(__xludf.DUMMYFUNCTION("""COMPUTED_VALUE"""),9.0)</f>
        <v>9</v>
      </c>
      <c r="AP167" s="422">
        <f>IFERROR(__xludf.DUMMYFUNCTION("""COMPUTED_VALUE"""),9.0)</f>
        <v>9</v>
      </c>
      <c r="AQ167" s="423">
        <f>IFERROR(__xludf.DUMMYFUNCTION("""COMPUTED_VALUE"""),10.0)</f>
        <v>10</v>
      </c>
      <c r="AR167" s="423">
        <f>IFERROR(__xludf.DUMMYFUNCTION("""COMPUTED_VALUE"""),12.0)</f>
        <v>12</v>
      </c>
      <c r="AS167" s="424">
        <f>IFERROR(__xludf.DUMMYFUNCTION("""COMPUTED_VALUE"""),12.0)</f>
        <v>12</v>
      </c>
      <c r="AT167" s="385" t="str">
        <f>IFERROR(__xludf.DUMMYFUNCTION("""COMPUTED_VALUE"""),"超持続型")</f>
        <v>超持続型</v>
      </c>
      <c r="AU167" s="399">
        <f>IFERROR(__xludf.DUMMYFUNCTION("""COMPUTED_VALUE"""),5.0)</f>
        <v>5</v>
      </c>
      <c r="AV167" s="400" t="str">
        <f>IFERROR(__xludf.DUMMYFUNCTION("""COMPUTED_VALUE"""),"効果値")</f>
        <v>効果値</v>
      </c>
      <c r="AW167" s="425" t="str">
        <f>IFERROR(__xludf.DUMMYFUNCTION("""COMPUTED_VALUE"""),"-")</f>
        <v>-</v>
      </c>
      <c r="AX167" s="426" t="str">
        <f>IFERROR(__xludf.DUMMYFUNCTION("""COMPUTED_VALUE"""),"-")</f>
        <v>-</v>
      </c>
      <c r="AY167" s="426" t="str">
        <f>IFERROR(__xludf.DUMMYFUNCTION("""COMPUTED_VALUE"""),"-")</f>
        <v>-</v>
      </c>
      <c r="AZ167" s="426" t="str">
        <f>IFERROR(__xludf.DUMMYFUNCTION("""COMPUTED_VALUE"""),"-")</f>
        <v>-</v>
      </c>
      <c r="BA167" s="426" t="str">
        <f>IFERROR(__xludf.DUMMYFUNCTION("""COMPUTED_VALUE"""),"-")</f>
        <v>-</v>
      </c>
      <c r="BB167" s="423">
        <f>IFERROR(__xludf.DUMMYFUNCTION("""COMPUTED_VALUE"""),10.0)</f>
        <v>10</v>
      </c>
      <c r="BC167" s="423">
        <f>IFERROR(__xludf.DUMMYFUNCTION("""COMPUTED_VALUE"""),12.0)</f>
        <v>12</v>
      </c>
      <c r="BD167" s="424">
        <f>IFERROR(__xludf.DUMMYFUNCTION("""COMPUTED_VALUE"""),12.0)</f>
        <v>12</v>
      </c>
      <c r="BE167" s="385" t="str">
        <f>IFERROR(__xludf.DUMMYFUNCTION("""COMPUTED_VALUE"""),"ハイブリッド型")</f>
        <v>ハイブリッド型</v>
      </c>
      <c r="BF167" s="399">
        <f>IFERROR(__xludf.DUMMYFUNCTION("""COMPUTED_VALUE"""),5.0)</f>
        <v>5</v>
      </c>
      <c r="BG167" s="400" t="str">
        <f>IFERROR(__xludf.DUMMYFUNCTION("""COMPUTED_VALUE"""),"効果値")</f>
        <v>効果値</v>
      </c>
      <c r="BH167" s="427">
        <f>IFERROR(__xludf.DUMMYFUNCTION("""COMPUTED_VALUE"""),12.0)</f>
        <v>12</v>
      </c>
      <c r="BI167" s="428">
        <f>IFERROR(__xludf.DUMMYFUNCTION("""COMPUTED_VALUE"""),12.75)</f>
        <v>12.75</v>
      </c>
      <c r="BJ167" s="428">
        <f>IFERROR(__xludf.DUMMYFUNCTION("""COMPUTED_VALUE"""),13.5)</f>
        <v>13.5</v>
      </c>
      <c r="BK167" s="428">
        <f>IFERROR(__xludf.DUMMYFUNCTION("""COMPUTED_VALUE"""),14.25)</f>
        <v>14.25</v>
      </c>
      <c r="BL167" s="427">
        <f>IFERROR(__xludf.DUMMYFUNCTION("""COMPUTED_VALUE"""),15.0)</f>
        <v>15</v>
      </c>
      <c r="BM167" s="427">
        <f>IFERROR(__xludf.DUMMYFUNCTION("""COMPUTED_VALUE"""),20.0)</f>
        <v>20</v>
      </c>
      <c r="BN167" s="427">
        <f>IFERROR(__xludf.DUMMYFUNCTION("""COMPUTED_VALUE"""),25.0)</f>
        <v>25</v>
      </c>
      <c r="BO167" s="429">
        <f>IFERROR(__xludf.DUMMYFUNCTION("""COMPUTED_VALUE"""),30.0)</f>
        <v>30</v>
      </c>
    </row>
    <row r="168">
      <c r="A168" s="435" t="str">
        <f>IFERROR(__xludf.DUMMYFUNCTION("""COMPUTED_VALUE"""),"ダメージカット(黄)")</f>
        <v>ダメージカット(黄)</v>
      </c>
      <c r="B168" s="385" t="str">
        <f>IFERROR(__xludf.DUMMYFUNCTION("""COMPUTED_VALUE"""),"超瞬間型")</f>
        <v>超瞬間型</v>
      </c>
      <c r="C168" s="430">
        <f>IFERROR(__xludf.DUMMYFUNCTION("""COMPUTED_VALUE"""),5.0)</f>
        <v>5</v>
      </c>
      <c r="D168" s="431" t="str">
        <f>IFERROR(__xludf.DUMMYFUNCTION("""COMPUTED_VALUE"""),"効果時間")</f>
        <v>効果時間</v>
      </c>
      <c r="E168" s="388" t="str">
        <f>IFERROR(__xludf.DUMMYFUNCTION("""COMPUTED_VALUE"""),"-")</f>
        <v>-</v>
      </c>
      <c r="F168" s="389" t="str">
        <f>IFERROR(__xludf.DUMMYFUNCTION("""COMPUTED_VALUE"""),"-")</f>
        <v>-</v>
      </c>
      <c r="G168" s="388" t="str">
        <f>IFERROR(__xludf.DUMMYFUNCTION("""COMPUTED_VALUE"""),"-")</f>
        <v>-</v>
      </c>
      <c r="H168" s="389" t="str">
        <f>IFERROR(__xludf.DUMMYFUNCTION("""COMPUTED_VALUE"""),"-")</f>
        <v>-</v>
      </c>
      <c r="I168" s="388" t="str">
        <f>IFERROR(__xludf.DUMMYFUNCTION("""COMPUTED_VALUE"""),"-")</f>
        <v>-</v>
      </c>
      <c r="J168" s="390">
        <f>IFERROR(__xludf.DUMMYFUNCTION("""COMPUTED_VALUE"""),160.0)</f>
        <v>160</v>
      </c>
      <c r="K168" s="391">
        <f>IFERROR(__xludf.DUMMYFUNCTION("""COMPUTED_VALUE"""),175.0)</f>
        <v>175</v>
      </c>
      <c r="L168" s="340">
        <f>IFERROR(__xludf.DUMMYFUNCTION("""COMPUTED_VALUE"""),200.0)</f>
        <v>200</v>
      </c>
      <c r="M168" s="385" t="str">
        <f>IFERROR(__xludf.DUMMYFUNCTION("""COMPUTED_VALUE"""),"瞬間型")</f>
        <v>瞬間型</v>
      </c>
      <c r="N168" s="430">
        <f>IFERROR(__xludf.DUMMYFUNCTION("""COMPUTED_VALUE"""),5.0)</f>
        <v>5</v>
      </c>
      <c r="O168" s="431" t="str">
        <f>IFERROR(__xludf.DUMMYFUNCTION("""COMPUTED_VALUE"""),"効果時間")</f>
        <v>効果時間</v>
      </c>
      <c r="P168" s="392">
        <f>IFERROR(__xludf.DUMMYFUNCTION("""COMPUTED_VALUE"""),175.0)</f>
        <v>175</v>
      </c>
      <c r="Q168" s="414">
        <f>IFERROR(__xludf.DUMMYFUNCTION("""COMPUTED_VALUE"""),185.0)</f>
        <v>185</v>
      </c>
      <c r="R168" s="414">
        <f>IFERROR(__xludf.DUMMYFUNCTION("""COMPUTED_VALUE"""),190.0)</f>
        <v>190</v>
      </c>
      <c r="S168" s="414">
        <f>IFERROR(__xludf.DUMMYFUNCTION("""COMPUTED_VALUE"""),195.0)</f>
        <v>195</v>
      </c>
      <c r="T168" s="394">
        <f>IFERROR(__xludf.DUMMYFUNCTION("""COMPUTED_VALUE"""),200.0)</f>
        <v>200</v>
      </c>
      <c r="U168" s="394">
        <f>IFERROR(__xludf.DUMMYFUNCTION("""COMPUTED_VALUE"""),225.0)</f>
        <v>225</v>
      </c>
      <c r="V168" s="394">
        <f>IFERROR(__xludf.DUMMYFUNCTION("""COMPUTED_VALUE"""),300.0)</f>
        <v>300</v>
      </c>
      <c r="W168" s="394">
        <f>IFERROR(__xludf.DUMMYFUNCTION("""COMPUTED_VALUE"""),325.0)</f>
        <v>325</v>
      </c>
      <c r="X168" s="385" t="str">
        <f>IFERROR(__xludf.DUMMYFUNCTION("""COMPUTED_VALUE"""),"安定型")</f>
        <v>安定型</v>
      </c>
      <c r="Y168" s="430">
        <f>IFERROR(__xludf.DUMMYFUNCTION("""COMPUTED_VALUE"""),5.0)</f>
        <v>5</v>
      </c>
      <c r="Z168" s="431" t="str">
        <f>IFERROR(__xludf.DUMMYFUNCTION("""COMPUTED_VALUE"""),"効果時間")</f>
        <v>効果時間</v>
      </c>
      <c r="AA168" s="392">
        <f>IFERROR(__xludf.DUMMYFUNCTION("""COMPUTED_VALUE"""),325.0)</f>
        <v>325</v>
      </c>
      <c r="AB168" s="414">
        <f>IFERROR(__xludf.DUMMYFUNCTION("""COMPUTED_VALUE"""),335.0)</f>
        <v>335</v>
      </c>
      <c r="AC168" s="414">
        <f>IFERROR(__xludf.DUMMYFUNCTION("""COMPUTED_VALUE"""),340.0)</f>
        <v>340</v>
      </c>
      <c r="AD168" s="414">
        <f>IFERROR(__xludf.DUMMYFUNCTION("""COMPUTED_VALUE"""),345.0)</f>
        <v>345</v>
      </c>
      <c r="AE168" s="394">
        <f>IFERROR(__xludf.DUMMYFUNCTION("""COMPUTED_VALUE"""),350.0)</f>
        <v>350</v>
      </c>
      <c r="AF168" s="394">
        <f>IFERROR(__xludf.DUMMYFUNCTION("""COMPUTED_VALUE"""),400.0)</f>
        <v>400</v>
      </c>
      <c r="AG168" s="394">
        <f>IFERROR(__xludf.DUMMYFUNCTION("""COMPUTED_VALUE"""),450.0)</f>
        <v>450</v>
      </c>
      <c r="AH168" s="394">
        <f>IFERROR(__xludf.DUMMYFUNCTION("""COMPUTED_VALUE"""),475.0)</f>
        <v>475</v>
      </c>
      <c r="AI168" s="385" t="str">
        <f>IFERROR(__xludf.DUMMYFUNCTION("""COMPUTED_VALUE"""),"持続型")</f>
        <v>持続型</v>
      </c>
      <c r="AJ168" s="430">
        <f>IFERROR(__xludf.DUMMYFUNCTION("""COMPUTED_VALUE"""),5.0)</f>
        <v>5</v>
      </c>
      <c r="AK168" s="431" t="str">
        <f>IFERROR(__xludf.DUMMYFUNCTION("""COMPUTED_VALUE"""),"効果時間")</f>
        <v>効果時間</v>
      </c>
      <c r="AL168" s="392">
        <f>IFERROR(__xludf.DUMMYFUNCTION("""COMPUTED_VALUE"""),475.0)</f>
        <v>475</v>
      </c>
      <c r="AM168" s="414">
        <f>IFERROR(__xludf.DUMMYFUNCTION("""COMPUTED_VALUE"""),485.0)</f>
        <v>485</v>
      </c>
      <c r="AN168" s="414">
        <f>IFERROR(__xludf.DUMMYFUNCTION("""COMPUTED_VALUE"""),490.0)</f>
        <v>490</v>
      </c>
      <c r="AO168" s="414">
        <f>IFERROR(__xludf.DUMMYFUNCTION("""COMPUTED_VALUE"""),495.0)</f>
        <v>495</v>
      </c>
      <c r="AP168" s="394">
        <f>IFERROR(__xludf.DUMMYFUNCTION("""COMPUTED_VALUE"""),500.0)</f>
        <v>500</v>
      </c>
      <c r="AQ168" s="394">
        <f>IFERROR(__xludf.DUMMYFUNCTION("""COMPUTED_VALUE"""),550.0)</f>
        <v>550</v>
      </c>
      <c r="AR168" s="394">
        <f>IFERROR(__xludf.DUMMYFUNCTION("""COMPUTED_VALUE"""),600.0)</f>
        <v>600</v>
      </c>
      <c r="AS168" s="394">
        <f>IFERROR(__xludf.DUMMYFUNCTION("""COMPUTED_VALUE"""),625.0)</f>
        <v>625</v>
      </c>
      <c r="AT168" s="385" t="str">
        <f>IFERROR(__xludf.DUMMYFUNCTION("""COMPUTED_VALUE"""),"超持続型")</f>
        <v>超持続型</v>
      </c>
      <c r="AU168" s="430">
        <f>IFERROR(__xludf.DUMMYFUNCTION("""COMPUTED_VALUE"""),5.0)</f>
        <v>5</v>
      </c>
      <c r="AV168" s="431" t="str">
        <f>IFERROR(__xludf.DUMMYFUNCTION("""COMPUTED_VALUE"""),"効果時間")</f>
        <v>効果時間</v>
      </c>
      <c r="AW168" s="395" t="str">
        <f>IFERROR(__xludf.DUMMYFUNCTION("""COMPUTED_VALUE"""),"-")</f>
        <v>-</v>
      </c>
      <c r="AX168" s="396" t="str">
        <f>IFERROR(__xludf.DUMMYFUNCTION("""COMPUTED_VALUE"""),"-")</f>
        <v>-</v>
      </c>
      <c r="AY168" s="396" t="str">
        <f>IFERROR(__xludf.DUMMYFUNCTION("""COMPUTED_VALUE"""),"-")</f>
        <v>-</v>
      </c>
      <c r="AZ168" s="396" t="str">
        <f>IFERROR(__xludf.DUMMYFUNCTION("""COMPUTED_VALUE"""),"-")</f>
        <v>-</v>
      </c>
      <c r="BA168" s="396" t="str">
        <f>IFERROR(__xludf.DUMMYFUNCTION("""COMPUTED_VALUE"""),"-")</f>
        <v>-</v>
      </c>
      <c r="BB168" s="393">
        <f>IFERROR(__xludf.DUMMYFUNCTION("""COMPUTED_VALUE"""),650.0)</f>
        <v>650</v>
      </c>
      <c r="BC168" s="393">
        <f>IFERROR(__xludf.DUMMYFUNCTION("""COMPUTED_VALUE"""),750.0)</f>
        <v>750</v>
      </c>
      <c r="BD168" s="394">
        <f>IFERROR(__xludf.DUMMYFUNCTION("""COMPUTED_VALUE"""),775.0)</f>
        <v>775</v>
      </c>
      <c r="BE168" s="385" t="str">
        <f>IFERROR(__xludf.DUMMYFUNCTION("""COMPUTED_VALUE"""),"ハイブリッド型")</f>
        <v>ハイブリッド型</v>
      </c>
      <c r="BF168" s="430">
        <f>IFERROR(__xludf.DUMMYFUNCTION("""COMPUTED_VALUE"""),5.0)</f>
        <v>5</v>
      </c>
      <c r="BG168" s="431" t="str">
        <f>IFERROR(__xludf.DUMMYFUNCTION("""COMPUTED_VALUE"""),"効果時間")</f>
        <v>効果時間</v>
      </c>
      <c r="BH168" s="304">
        <f>IFERROR(__xludf.DUMMYFUNCTION("""COMPUTED_VALUE"""),250.0)</f>
        <v>250</v>
      </c>
      <c r="BI168" s="432">
        <f>IFERROR(__xludf.DUMMYFUNCTION("""COMPUTED_VALUE"""),265.0)</f>
        <v>265</v>
      </c>
      <c r="BJ168" s="432">
        <f>IFERROR(__xludf.DUMMYFUNCTION("""COMPUTED_VALUE"""),275.0)</f>
        <v>275</v>
      </c>
      <c r="BK168" s="432">
        <f>IFERROR(__xludf.DUMMYFUNCTION("""COMPUTED_VALUE"""),290.0)</f>
        <v>290</v>
      </c>
      <c r="BL168" s="304">
        <f>IFERROR(__xludf.DUMMYFUNCTION("""COMPUTED_VALUE"""),300.0)</f>
        <v>300</v>
      </c>
      <c r="BM168" s="304">
        <f>IFERROR(__xludf.DUMMYFUNCTION("""COMPUTED_VALUE"""),400.0)</f>
        <v>400</v>
      </c>
      <c r="BN168" s="304">
        <f>IFERROR(__xludf.DUMMYFUNCTION("""COMPUTED_VALUE"""),500.0)</f>
        <v>500</v>
      </c>
      <c r="BO168" s="304">
        <f>IFERROR(__xludf.DUMMYFUNCTION("""COMPUTED_VALUE"""),525.0)</f>
        <v>525</v>
      </c>
    </row>
    <row r="169">
      <c r="A169" s="433" t="str">
        <f>IFERROR(__xludf.DUMMYFUNCTION("""COMPUTED_VALUE"""),"ダメージカット(アタック)")</f>
        <v>ダメージカット(アタック)</v>
      </c>
      <c r="B169" s="374" t="str">
        <f>IFERROR(__xludf.DUMMYFUNCTION("""COMPUTED_VALUE"""),"超瞬間型")</f>
        <v>超瞬間型</v>
      </c>
      <c r="C169" s="375">
        <f>IFERROR(__xludf.DUMMYFUNCTION("""COMPUTED_VALUE"""),1.0)</f>
        <v>1</v>
      </c>
      <c r="D169" s="376" t="str">
        <f>IFERROR(__xludf.DUMMYFUNCTION("""COMPUTED_VALUE"""),"効果値")</f>
        <v>効果値</v>
      </c>
      <c r="E169" s="377" t="str">
        <f>IFERROR(__xludf.DUMMYFUNCTION("""COMPUTED_VALUE"""),"-")</f>
        <v>-</v>
      </c>
      <c r="F169" s="378" t="str">
        <f>IFERROR(__xludf.DUMMYFUNCTION("""COMPUTED_VALUE"""),"-")</f>
        <v>-</v>
      </c>
      <c r="G169" s="377" t="str">
        <f>IFERROR(__xludf.DUMMYFUNCTION("""COMPUTED_VALUE"""),"-")</f>
        <v>-</v>
      </c>
      <c r="H169" s="378" t="str">
        <f>IFERROR(__xludf.DUMMYFUNCTION("""COMPUTED_VALUE"""),"-")</f>
        <v>-</v>
      </c>
      <c r="I169" s="377" t="str">
        <f>IFERROR(__xludf.DUMMYFUNCTION("""COMPUTED_VALUE"""),"-")</f>
        <v>-</v>
      </c>
      <c r="J169" s="379">
        <f>IFERROR(__xludf.DUMMYFUNCTION("""COMPUTED_VALUE"""),55.0)</f>
        <v>55</v>
      </c>
      <c r="K169" s="294">
        <f>IFERROR(__xludf.DUMMYFUNCTION("""COMPUTED_VALUE"""),65.0)</f>
        <v>65</v>
      </c>
      <c r="L169" s="294">
        <f>IFERROR(__xludf.DUMMYFUNCTION("""COMPUTED_VALUE"""),65.0)</f>
        <v>65</v>
      </c>
      <c r="M169" s="374" t="str">
        <f>IFERROR(__xludf.DUMMYFUNCTION("""COMPUTED_VALUE"""),"瞬間型")</f>
        <v>瞬間型</v>
      </c>
      <c r="N169" s="375">
        <f>IFERROR(__xludf.DUMMYFUNCTION("""COMPUTED_VALUE"""),1.0)</f>
        <v>1</v>
      </c>
      <c r="O169" s="376" t="str">
        <f>IFERROR(__xludf.DUMMYFUNCTION("""COMPUTED_VALUE"""),"効果値")</f>
        <v>効果値</v>
      </c>
      <c r="P169" s="380">
        <f>IFERROR(__xludf.DUMMYFUNCTION("""COMPUTED_VALUE"""),20.0)</f>
        <v>20</v>
      </c>
      <c r="Q169" s="263">
        <f>IFERROR(__xludf.DUMMYFUNCTION("""COMPUTED_VALUE"""),20.0)</f>
        <v>20</v>
      </c>
      <c r="R169" s="263">
        <f>IFERROR(__xludf.DUMMYFUNCTION("""COMPUTED_VALUE"""),20.0)</f>
        <v>20</v>
      </c>
      <c r="S169" s="263">
        <f>IFERROR(__xludf.DUMMYFUNCTION("""COMPUTED_VALUE"""),20.0)</f>
        <v>20</v>
      </c>
      <c r="T169" s="263">
        <f>IFERROR(__xludf.DUMMYFUNCTION("""COMPUTED_VALUE"""),20.0)</f>
        <v>20</v>
      </c>
      <c r="U169" s="263">
        <f>IFERROR(__xludf.DUMMYFUNCTION("""COMPUTED_VALUE"""),25.0)</f>
        <v>25</v>
      </c>
      <c r="V169" s="266">
        <f>IFERROR(__xludf.DUMMYFUNCTION("""COMPUTED_VALUE"""),30.0)</f>
        <v>30</v>
      </c>
      <c r="W169" s="266">
        <f>IFERROR(__xludf.DUMMYFUNCTION("""COMPUTED_VALUE"""),30.0)</f>
        <v>30</v>
      </c>
      <c r="X169" s="374" t="str">
        <f>IFERROR(__xludf.DUMMYFUNCTION("""COMPUTED_VALUE"""),"安定型")</f>
        <v>安定型</v>
      </c>
      <c r="Y169" s="375">
        <f>IFERROR(__xludf.DUMMYFUNCTION("""COMPUTED_VALUE"""),1.0)</f>
        <v>1</v>
      </c>
      <c r="Z169" s="376" t="str">
        <f>IFERROR(__xludf.DUMMYFUNCTION("""COMPUTED_VALUE"""),"効果値")</f>
        <v>効果値</v>
      </c>
      <c r="AA169" s="380">
        <f>IFERROR(__xludf.DUMMYFUNCTION("""COMPUTED_VALUE"""),10.0)</f>
        <v>10</v>
      </c>
      <c r="AB169" s="263">
        <f>IFERROR(__xludf.DUMMYFUNCTION("""COMPUTED_VALUE"""),10.0)</f>
        <v>10</v>
      </c>
      <c r="AC169" s="263">
        <f>IFERROR(__xludf.DUMMYFUNCTION("""COMPUTED_VALUE"""),10.0)</f>
        <v>10</v>
      </c>
      <c r="AD169" s="263">
        <f>IFERROR(__xludf.DUMMYFUNCTION("""COMPUTED_VALUE"""),10.0)</f>
        <v>10</v>
      </c>
      <c r="AE169" s="263">
        <f>IFERROR(__xludf.DUMMYFUNCTION("""COMPUTED_VALUE"""),10.0)</f>
        <v>10</v>
      </c>
      <c r="AF169" s="263">
        <f>IFERROR(__xludf.DUMMYFUNCTION("""COMPUTED_VALUE"""),10.0)</f>
        <v>10</v>
      </c>
      <c r="AG169" s="266">
        <f>IFERROR(__xludf.DUMMYFUNCTION("""COMPUTED_VALUE"""),15.0)</f>
        <v>15</v>
      </c>
      <c r="AH169" s="266">
        <f>IFERROR(__xludf.DUMMYFUNCTION("""COMPUTED_VALUE"""),15.0)</f>
        <v>15</v>
      </c>
      <c r="AI169" s="374" t="str">
        <f>IFERROR(__xludf.DUMMYFUNCTION("""COMPUTED_VALUE"""),"持続型")</f>
        <v>持続型</v>
      </c>
      <c r="AJ169" s="375">
        <f>IFERROR(__xludf.DUMMYFUNCTION("""COMPUTED_VALUE"""),1.0)</f>
        <v>1</v>
      </c>
      <c r="AK169" s="376" t="str">
        <f>IFERROR(__xludf.DUMMYFUNCTION("""COMPUTED_VALUE"""),"効果値")</f>
        <v>効果値</v>
      </c>
      <c r="AL169" s="380">
        <f>IFERROR(__xludf.DUMMYFUNCTION("""COMPUTED_VALUE"""),5.0)</f>
        <v>5</v>
      </c>
      <c r="AM169" s="263">
        <f>IFERROR(__xludf.DUMMYFUNCTION("""COMPUTED_VALUE"""),5.0)</f>
        <v>5</v>
      </c>
      <c r="AN169" s="263">
        <f>IFERROR(__xludf.DUMMYFUNCTION("""COMPUTED_VALUE"""),5.0)</f>
        <v>5</v>
      </c>
      <c r="AO169" s="263">
        <f>IFERROR(__xludf.DUMMYFUNCTION("""COMPUTED_VALUE"""),5.0)</f>
        <v>5</v>
      </c>
      <c r="AP169" s="263">
        <f>IFERROR(__xludf.DUMMYFUNCTION("""COMPUTED_VALUE"""),5.0)</f>
        <v>5</v>
      </c>
      <c r="AQ169" s="263">
        <f>IFERROR(__xludf.DUMMYFUNCTION("""COMPUTED_VALUE"""),5.0)</f>
        <v>5</v>
      </c>
      <c r="AR169" s="266">
        <f>IFERROR(__xludf.DUMMYFUNCTION("""COMPUTED_VALUE"""),10.0)</f>
        <v>10</v>
      </c>
      <c r="AS169" s="266">
        <f>IFERROR(__xludf.DUMMYFUNCTION("""COMPUTED_VALUE"""),10.0)</f>
        <v>10</v>
      </c>
      <c r="AT169" s="374" t="str">
        <f>IFERROR(__xludf.DUMMYFUNCTION("""COMPUTED_VALUE"""),"超持続型")</f>
        <v>超持続型</v>
      </c>
      <c r="AU169" s="375">
        <f>IFERROR(__xludf.DUMMYFUNCTION("""COMPUTED_VALUE"""),1.0)</f>
        <v>1</v>
      </c>
      <c r="AV169" s="376" t="str">
        <f>IFERROR(__xludf.DUMMYFUNCTION("""COMPUTED_VALUE"""),"効果値")</f>
        <v>効果値</v>
      </c>
      <c r="AW169" s="350" t="str">
        <f>IFERROR(__xludf.DUMMYFUNCTION("""COMPUTED_VALUE"""),"-")</f>
        <v>-</v>
      </c>
      <c r="AX169" s="348" t="str">
        <f>IFERROR(__xludf.DUMMYFUNCTION("""COMPUTED_VALUE"""),"-")</f>
        <v>-</v>
      </c>
      <c r="AY169" s="348" t="str">
        <f>IFERROR(__xludf.DUMMYFUNCTION("""COMPUTED_VALUE"""),"-")</f>
        <v>-</v>
      </c>
      <c r="AZ169" s="348" t="str">
        <f>IFERROR(__xludf.DUMMYFUNCTION("""COMPUTED_VALUE"""),"-")</f>
        <v>-</v>
      </c>
      <c r="BA169" s="348" t="str">
        <f>IFERROR(__xludf.DUMMYFUNCTION("""COMPUTED_VALUE"""),"-")</f>
        <v>-</v>
      </c>
      <c r="BB169" s="263">
        <f>IFERROR(__xludf.DUMMYFUNCTION("""COMPUTED_VALUE"""),5.0)</f>
        <v>5</v>
      </c>
      <c r="BC169" s="266">
        <f>IFERROR(__xludf.DUMMYFUNCTION("""COMPUTED_VALUE"""),10.0)</f>
        <v>10</v>
      </c>
      <c r="BD169" s="266">
        <f>IFERROR(__xludf.DUMMYFUNCTION("""COMPUTED_VALUE"""),10.0)</f>
        <v>10</v>
      </c>
      <c r="BE169" s="374" t="str">
        <f>IFERROR(__xludf.DUMMYFUNCTION("""COMPUTED_VALUE"""),"ハイブリッド型")</f>
        <v>ハイブリッド型</v>
      </c>
      <c r="BF169" s="375">
        <f>IFERROR(__xludf.DUMMYFUNCTION("""COMPUTED_VALUE"""),1.0)</f>
        <v>1</v>
      </c>
      <c r="BG169" s="376" t="str">
        <f>IFERROR(__xludf.DUMMYFUNCTION("""COMPUTED_VALUE"""),"効果値")</f>
        <v>効果値</v>
      </c>
      <c r="BH169" s="381">
        <f>IFERROR(__xludf.DUMMYFUNCTION("""COMPUTED_VALUE"""),10.0)</f>
        <v>10</v>
      </c>
      <c r="BI169" s="382">
        <f>IFERROR(__xludf.DUMMYFUNCTION("""COMPUTED_VALUE"""),10.0)</f>
        <v>10</v>
      </c>
      <c r="BJ169" s="382">
        <f>IFERROR(__xludf.DUMMYFUNCTION("""COMPUTED_VALUE"""),10.0)</f>
        <v>10</v>
      </c>
      <c r="BK169" s="382">
        <f>IFERROR(__xludf.DUMMYFUNCTION("""COMPUTED_VALUE"""),10.0)</f>
        <v>10</v>
      </c>
      <c r="BL169" s="382">
        <f>IFERROR(__xludf.DUMMYFUNCTION("""COMPUTED_VALUE"""),10.0)</f>
        <v>10</v>
      </c>
      <c r="BM169" s="382">
        <f>IFERROR(__xludf.DUMMYFUNCTION("""COMPUTED_VALUE"""),15.0)</f>
        <v>15</v>
      </c>
      <c r="BN169" s="382">
        <f>IFERROR(__xludf.DUMMYFUNCTION("""COMPUTED_VALUE"""),20.0)</f>
        <v>20</v>
      </c>
      <c r="BO169" s="383">
        <f>IFERROR(__xludf.DUMMYFUNCTION("""COMPUTED_VALUE"""),20.0)</f>
        <v>20</v>
      </c>
    </row>
    <row r="170">
      <c r="A170" s="434" t="str">
        <f>IFERROR(__xludf.DUMMYFUNCTION("""COMPUTED_VALUE"""),"ダメージカット(アタック)")</f>
        <v>ダメージカット(アタック)</v>
      </c>
      <c r="B170" s="385" t="str">
        <f>IFERROR(__xludf.DUMMYFUNCTION("""COMPUTED_VALUE"""),"超瞬間型")</f>
        <v>超瞬間型</v>
      </c>
      <c r="C170" s="386">
        <f>IFERROR(__xludf.DUMMYFUNCTION("""COMPUTED_VALUE"""),1.0)</f>
        <v>1</v>
      </c>
      <c r="D170" s="387" t="str">
        <f>IFERROR(__xludf.DUMMYFUNCTION("""COMPUTED_VALUE"""),"効果時間")</f>
        <v>効果時間</v>
      </c>
      <c r="E170" s="388" t="str">
        <f>IFERROR(__xludf.DUMMYFUNCTION("""COMPUTED_VALUE"""),"-")</f>
        <v>-</v>
      </c>
      <c r="F170" s="389" t="str">
        <f>IFERROR(__xludf.DUMMYFUNCTION("""COMPUTED_VALUE"""),"-")</f>
        <v>-</v>
      </c>
      <c r="G170" s="388" t="str">
        <f>IFERROR(__xludf.DUMMYFUNCTION("""COMPUTED_VALUE"""),"-")</f>
        <v>-</v>
      </c>
      <c r="H170" s="389" t="str">
        <f>IFERROR(__xludf.DUMMYFUNCTION("""COMPUTED_VALUE"""),"-")</f>
        <v>-</v>
      </c>
      <c r="I170" s="388" t="str">
        <f>IFERROR(__xludf.DUMMYFUNCTION("""COMPUTED_VALUE"""),"-")</f>
        <v>-</v>
      </c>
      <c r="J170" s="390">
        <f>IFERROR(__xludf.DUMMYFUNCTION("""COMPUTED_VALUE"""),150.0)</f>
        <v>150</v>
      </c>
      <c r="K170" s="391">
        <f>IFERROR(__xludf.DUMMYFUNCTION("""COMPUTED_VALUE"""),160.0)</f>
        <v>160</v>
      </c>
      <c r="L170" s="340">
        <f>IFERROR(__xludf.DUMMYFUNCTION("""COMPUTED_VALUE"""),160.0)</f>
        <v>160</v>
      </c>
      <c r="M170" s="385" t="str">
        <f>IFERROR(__xludf.DUMMYFUNCTION("""COMPUTED_VALUE"""),"瞬間型")</f>
        <v>瞬間型</v>
      </c>
      <c r="N170" s="386">
        <f>IFERROR(__xludf.DUMMYFUNCTION("""COMPUTED_VALUE"""),1.0)</f>
        <v>1</v>
      </c>
      <c r="O170" s="387" t="str">
        <f>IFERROR(__xludf.DUMMYFUNCTION("""COMPUTED_VALUE"""),"効果時間")</f>
        <v>効果時間</v>
      </c>
      <c r="P170" s="392">
        <f>IFERROR(__xludf.DUMMYFUNCTION("""COMPUTED_VALUE"""),150.0)</f>
        <v>150</v>
      </c>
      <c r="Q170" s="393">
        <f>IFERROR(__xludf.DUMMYFUNCTION("""COMPUTED_VALUE"""),150.0)</f>
        <v>150</v>
      </c>
      <c r="R170" s="393">
        <f>IFERROR(__xludf.DUMMYFUNCTION("""COMPUTED_VALUE"""),150.0)</f>
        <v>150</v>
      </c>
      <c r="S170" s="393">
        <f>IFERROR(__xludf.DUMMYFUNCTION("""COMPUTED_VALUE"""),150.0)</f>
        <v>150</v>
      </c>
      <c r="T170" s="393">
        <f>IFERROR(__xludf.DUMMYFUNCTION("""COMPUTED_VALUE"""),150.0)</f>
        <v>150</v>
      </c>
      <c r="U170" s="393">
        <f>IFERROR(__xludf.DUMMYFUNCTION("""COMPUTED_VALUE"""),150.0)</f>
        <v>150</v>
      </c>
      <c r="V170" s="393">
        <f>IFERROR(__xludf.DUMMYFUNCTION("""COMPUTED_VALUE"""),160.0)</f>
        <v>160</v>
      </c>
      <c r="W170" s="394">
        <f>IFERROR(__xludf.DUMMYFUNCTION("""COMPUTED_VALUE"""),160.0)</f>
        <v>160</v>
      </c>
      <c r="X170" s="385" t="str">
        <f>IFERROR(__xludf.DUMMYFUNCTION("""COMPUTED_VALUE"""),"安定型")</f>
        <v>安定型</v>
      </c>
      <c r="Y170" s="386">
        <f>IFERROR(__xludf.DUMMYFUNCTION("""COMPUTED_VALUE"""),1.0)</f>
        <v>1</v>
      </c>
      <c r="Z170" s="387" t="str">
        <f>IFERROR(__xludf.DUMMYFUNCTION("""COMPUTED_VALUE"""),"効果時間")</f>
        <v>効果時間</v>
      </c>
      <c r="AA170" s="392">
        <f>IFERROR(__xludf.DUMMYFUNCTION("""COMPUTED_VALUE"""),300.0)</f>
        <v>300</v>
      </c>
      <c r="AB170" s="393">
        <f>IFERROR(__xludf.DUMMYFUNCTION("""COMPUTED_VALUE"""),300.0)</f>
        <v>300</v>
      </c>
      <c r="AC170" s="393">
        <f>IFERROR(__xludf.DUMMYFUNCTION("""COMPUTED_VALUE"""),300.0)</f>
        <v>300</v>
      </c>
      <c r="AD170" s="393">
        <f>IFERROR(__xludf.DUMMYFUNCTION("""COMPUTED_VALUE"""),300.0)</f>
        <v>300</v>
      </c>
      <c r="AE170" s="393">
        <f>IFERROR(__xludf.DUMMYFUNCTION("""COMPUTED_VALUE"""),300.0)</f>
        <v>300</v>
      </c>
      <c r="AF170" s="393">
        <f>IFERROR(__xludf.DUMMYFUNCTION("""COMPUTED_VALUE"""),300.0)</f>
        <v>300</v>
      </c>
      <c r="AG170" s="393">
        <f>IFERROR(__xludf.DUMMYFUNCTION("""COMPUTED_VALUE"""),310.0)</f>
        <v>310</v>
      </c>
      <c r="AH170" s="394">
        <f>IFERROR(__xludf.DUMMYFUNCTION("""COMPUTED_VALUE"""),310.0)</f>
        <v>310</v>
      </c>
      <c r="AI170" s="385" t="str">
        <f>IFERROR(__xludf.DUMMYFUNCTION("""COMPUTED_VALUE"""),"持続型")</f>
        <v>持続型</v>
      </c>
      <c r="AJ170" s="386">
        <f>IFERROR(__xludf.DUMMYFUNCTION("""COMPUTED_VALUE"""),1.0)</f>
        <v>1</v>
      </c>
      <c r="AK170" s="387" t="str">
        <f>IFERROR(__xludf.DUMMYFUNCTION("""COMPUTED_VALUE"""),"効果時間")</f>
        <v>効果時間</v>
      </c>
      <c r="AL170" s="392">
        <f>IFERROR(__xludf.DUMMYFUNCTION("""COMPUTED_VALUE"""),450.0)</f>
        <v>450</v>
      </c>
      <c r="AM170" s="393">
        <f>IFERROR(__xludf.DUMMYFUNCTION("""COMPUTED_VALUE"""),450.0)</f>
        <v>450</v>
      </c>
      <c r="AN170" s="393">
        <f>IFERROR(__xludf.DUMMYFUNCTION("""COMPUTED_VALUE"""),450.0)</f>
        <v>450</v>
      </c>
      <c r="AO170" s="393">
        <f>IFERROR(__xludf.DUMMYFUNCTION("""COMPUTED_VALUE"""),450.0)</f>
        <v>450</v>
      </c>
      <c r="AP170" s="393">
        <f>IFERROR(__xludf.DUMMYFUNCTION("""COMPUTED_VALUE"""),450.0)</f>
        <v>450</v>
      </c>
      <c r="AQ170" s="393">
        <f>IFERROR(__xludf.DUMMYFUNCTION("""COMPUTED_VALUE"""),450.0)</f>
        <v>450</v>
      </c>
      <c r="AR170" s="393">
        <f>IFERROR(__xludf.DUMMYFUNCTION("""COMPUTED_VALUE"""),460.0)</f>
        <v>460</v>
      </c>
      <c r="AS170" s="394">
        <f>IFERROR(__xludf.DUMMYFUNCTION("""COMPUTED_VALUE"""),460.0)</f>
        <v>460</v>
      </c>
      <c r="AT170" s="385" t="str">
        <f>IFERROR(__xludf.DUMMYFUNCTION("""COMPUTED_VALUE"""),"超持続型")</f>
        <v>超持続型</v>
      </c>
      <c r="AU170" s="386">
        <f>IFERROR(__xludf.DUMMYFUNCTION("""COMPUTED_VALUE"""),1.0)</f>
        <v>1</v>
      </c>
      <c r="AV170" s="387" t="str">
        <f>IFERROR(__xludf.DUMMYFUNCTION("""COMPUTED_VALUE"""),"効果時間")</f>
        <v>効果時間</v>
      </c>
      <c r="AW170" s="395" t="str">
        <f>IFERROR(__xludf.DUMMYFUNCTION("""COMPUTED_VALUE"""),"-")</f>
        <v>-</v>
      </c>
      <c r="AX170" s="396" t="str">
        <f>IFERROR(__xludf.DUMMYFUNCTION("""COMPUTED_VALUE"""),"-")</f>
        <v>-</v>
      </c>
      <c r="AY170" s="396" t="str">
        <f>IFERROR(__xludf.DUMMYFUNCTION("""COMPUTED_VALUE"""),"-")</f>
        <v>-</v>
      </c>
      <c r="AZ170" s="396" t="str">
        <f>IFERROR(__xludf.DUMMYFUNCTION("""COMPUTED_VALUE"""),"-")</f>
        <v>-</v>
      </c>
      <c r="BA170" s="396" t="str">
        <f>IFERROR(__xludf.DUMMYFUNCTION("""COMPUTED_VALUE"""),"-")</f>
        <v>-</v>
      </c>
      <c r="BB170" s="393">
        <f>IFERROR(__xludf.DUMMYFUNCTION("""COMPUTED_VALUE"""),600.0)</f>
        <v>600</v>
      </c>
      <c r="BC170" s="393">
        <f>IFERROR(__xludf.DUMMYFUNCTION("""COMPUTED_VALUE"""),610.0)</f>
        <v>610</v>
      </c>
      <c r="BD170" s="394">
        <f>IFERROR(__xludf.DUMMYFUNCTION("""COMPUTED_VALUE"""),610.0)</f>
        <v>610</v>
      </c>
      <c r="BE170" s="385" t="str">
        <f>IFERROR(__xludf.DUMMYFUNCTION("""COMPUTED_VALUE"""),"ハイブリッド型")</f>
        <v>ハイブリッド型</v>
      </c>
      <c r="BF170" s="386">
        <f>IFERROR(__xludf.DUMMYFUNCTION("""COMPUTED_VALUE"""),1.0)</f>
        <v>1</v>
      </c>
      <c r="BG170" s="387" t="str">
        <f>IFERROR(__xludf.DUMMYFUNCTION("""COMPUTED_VALUE"""),"効果時間")</f>
        <v>効果時間</v>
      </c>
      <c r="BH170" s="397">
        <f>IFERROR(__xludf.DUMMYFUNCTION("""COMPUTED_VALUE"""),150.0)</f>
        <v>150</v>
      </c>
      <c r="BI170" s="397">
        <f>IFERROR(__xludf.DUMMYFUNCTION("""COMPUTED_VALUE"""),150.0)</f>
        <v>150</v>
      </c>
      <c r="BJ170" s="397">
        <f>IFERROR(__xludf.DUMMYFUNCTION("""COMPUTED_VALUE"""),150.0)</f>
        <v>150</v>
      </c>
      <c r="BK170" s="398">
        <f>IFERROR(__xludf.DUMMYFUNCTION("""COMPUTED_VALUE"""),150.0)</f>
        <v>150</v>
      </c>
      <c r="BL170" s="397">
        <f>IFERROR(__xludf.DUMMYFUNCTION("""COMPUTED_VALUE"""),150.0)</f>
        <v>150</v>
      </c>
      <c r="BM170" s="398">
        <f>IFERROR(__xludf.DUMMYFUNCTION("""COMPUTED_VALUE"""),350.0)</f>
        <v>350</v>
      </c>
      <c r="BN170" s="397">
        <f>IFERROR(__xludf.DUMMYFUNCTION("""COMPUTED_VALUE"""),460.0)</f>
        <v>460</v>
      </c>
      <c r="BO170" s="398">
        <f>IFERROR(__xludf.DUMMYFUNCTION("""COMPUTED_VALUE"""),460.0)</f>
        <v>460</v>
      </c>
    </row>
    <row r="171">
      <c r="A171" s="435" t="str">
        <f>IFERROR(__xludf.DUMMYFUNCTION("""COMPUTED_VALUE"""),"ダメージカット(アタック)")</f>
        <v>ダメージカット(アタック)</v>
      </c>
      <c r="B171" s="385" t="str">
        <f>IFERROR(__xludf.DUMMYFUNCTION("""COMPUTED_VALUE"""),"超瞬間型")</f>
        <v>超瞬間型</v>
      </c>
      <c r="C171" s="399">
        <f>IFERROR(__xludf.DUMMYFUNCTION("""COMPUTED_VALUE"""),2.0)</f>
        <v>2</v>
      </c>
      <c r="D171" s="400" t="str">
        <f>IFERROR(__xludf.DUMMYFUNCTION("""COMPUTED_VALUE"""),"効果値")</f>
        <v>効果値</v>
      </c>
      <c r="E171" s="401" t="str">
        <f>IFERROR(__xludf.DUMMYFUNCTION("""COMPUTED_VALUE"""),"-")</f>
        <v>-</v>
      </c>
      <c r="F171" s="401" t="str">
        <f>IFERROR(__xludf.DUMMYFUNCTION("""COMPUTED_VALUE"""),"-")</f>
        <v>-</v>
      </c>
      <c r="G171" s="401" t="str">
        <f>IFERROR(__xludf.DUMMYFUNCTION("""COMPUTED_VALUE"""),"-")</f>
        <v>-</v>
      </c>
      <c r="H171" s="401" t="str">
        <f>IFERROR(__xludf.DUMMYFUNCTION("""COMPUTED_VALUE"""),"-")</f>
        <v>-</v>
      </c>
      <c r="I171" s="401" t="str">
        <f>IFERROR(__xludf.DUMMYFUNCTION("""COMPUTED_VALUE"""),"-")</f>
        <v>-</v>
      </c>
      <c r="J171" s="318">
        <f>IFERROR(__xludf.DUMMYFUNCTION("""COMPUTED_VALUE"""),57.0)</f>
        <v>57</v>
      </c>
      <c r="K171" s="318">
        <f>IFERROR(__xludf.DUMMYFUNCTION("""COMPUTED_VALUE"""),67.0)</f>
        <v>67</v>
      </c>
      <c r="L171" s="318">
        <f>IFERROR(__xludf.DUMMYFUNCTION("""COMPUTED_VALUE"""),69.0)</f>
        <v>69</v>
      </c>
      <c r="M171" s="385" t="str">
        <f>IFERROR(__xludf.DUMMYFUNCTION("""COMPUTED_VALUE"""),"瞬間型")</f>
        <v>瞬間型</v>
      </c>
      <c r="N171" s="399">
        <f>IFERROR(__xludf.DUMMYFUNCTION("""COMPUTED_VALUE"""),2.0)</f>
        <v>2</v>
      </c>
      <c r="O171" s="400" t="str">
        <f>IFERROR(__xludf.DUMMYFUNCTION("""COMPUTED_VALUE"""),"効果値")</f>
        <v>効果値</v>
      </c>
      <c r="P171" s="343">
        <f>IFERROR(__xludf.DUMMYFUNCTION("""COMPUTED_VALUE"""),21.0)</f>
        <v>21</v>
      </c>
      <c r="Q171" s="402">
        <f>IFERROR(__xludf.DUMMYFUNCTION("""COMPUTED_VALUE"""),21.0)</f>
        <v>21</v>
      </c>
      <c r="R171" s="343">
        <f>IFERROR(__xludf.DUMMYFUNCTION("""COMPUTED_VALUE"""),22.0)</f>
        <v>22</v>
      </c>
      <c r="S171" s="402">
        <f>IFERROR(__xludf.DUMMYFUNCTION("""COMPUTED_VALUE"""),22.0)</f>
        <v>22</v>
      </c>
      <c r="T171" s="343">
        <f>IFERROR(__xludf.DUMMYFUNCTION("""COMPUTED_VALUE"""),22.0)</f>
        <v>22</v>
      </c>
      <c r="U171" s="343">
        <f>IFERROR(__xludf.DUMMYFUNCTION("""COMPUTED_VALUE"""),27.0)</f>
        <v>27</v>
      </c>
      <c r="V171" s="343">
        <f>IFERROR(__xludf.DUMMYFUNCTION("""COMPUTED_VALUE"""),32.0)</f>
        <v>32</v>
      </c>
      <c r="W171" s="343">
        <f>IFERROR(__xludf.DUMMYFUNCTION("""COMPUTED_VALUE"""),34.0)</f>
        <v>34</v>
      </c>
      <c r="X171" s="385" t="str">
        <f>IFERROR(__xludf.DUMMYFUNCTION("""COMPUTED_VALUE"""),"安定型")</f>
        <v>安定型</v>
      </c>
      <c r="Y171" s="399">
        <f>IFERROR(__xludf.DUMMYFUNCTION("""COMPUTED_VALUE"""),2.0)</f>
        <v>2</v>
      </c>
      <c r="Z171" s="400" t="str">
        <f>IFERROR(__xludf.DUMMYFUNCTION("""COMPUTED_VALUE"""),"効果値")</f>
        <v>効果値</v>
      </c>
      <c r="AA171" s="343">
        <f>IFERROR(__xludf.DUMMYFUNCTION("""COMPUTED_VALUE"""),11.0)</f>
        <v>11</v>
      </c>
      <c r="AB171" s="402">
        <f>IFERROR(__xludf.DUMMYFUNCTION("""COMPUTED_VALUE"""),11.0)</f>
        <v>11</v>
      </c>
      <c r="AC171" s="343">
        <f>IFERROR(__xludf.DUMMYFUNCTION("""COMPUTED_VALUE"""),12.0)</f>
        <v>12</v>
      </c>
      <c r="AD171" s="402">
        <f>IFERROR(__xludf.DUMMYFUNCTION("""COMPUTED_VALUE"""),12.0)</f>
        <v>12</v>
      </c>
      <c r="AE171" s="343">
        <f>IFERROR(__xludf.DUMMYFUNCTION("""COMPUTED_VALUE"""),12.0)</f>
        <v>12</v>
      </c>
      <c r="AF171" s="343">
        <f>IFERROR(__xludf.DUMMYFUNCTION("""COMPUTED_VALUE"""),12.0)</f>
        <v>12</v>
      </c>
      <c r="AG171" s="343">
        <f>IFERROR(__xludf.DUMMYFUNCTION("""COMPUTED_VALUE"""),17.0)</f>
        <v>17</v>
      </c>
      <c r="AH171" s="343">
        <f>IFERROR(__xludf.DUMMYFUNCTION("""COMPUTED_VALUE"""),19.0)</f>
        <v>19</v>
      </c>
      <c r="AI171" s="385" t="str">
        <f>IFERROR(__xludf.DUMMYFUNCTION("""COMPUTED_VALUE"""),"持続型")</f>
        <v>持続型</v>
      </c>
      <c r="AJ171" s="399">
        <f>IFERROR(__xludf.DUMMYFUNCTION("""COMPUTED_VALUE"""),2.0)</f>
        <v>2</v>
      </c>
      <c r="AK171" s="400" t="str">
        <f>IFERROR(__xludf.DUMMYFUNCTION("""COMPUTED_VALUE"""),"効果値")</f>
        <v>効果値</v>
      </c>
      <c r="AL171" s="343">
        <f>IFERROR(__xludf.DUMMYFUNCTION("""COMPUTED_VALUE"""),6.0)</f>
        <v>6</v>
      </c>
      <c r="AM171" s="402">
        <f>IFERROR(__xludf.DUMMYFUNCTION("""COMPUTED_VALUE"""),6.0)</f>
        <v>6</v>
      </c>
      <c r="AN171" s="343">
        <f>IFERROR(__xludf.DUMMYFUNCTION("""COMPUTED_VALUE"""),7.0)</f>
        <v>7</v>
      </c>
      <c r="AO171" s="402">
        <f>IFERROR(__xludf.DUMMYFUNCTION("""COMPUTED_VALUE"""),7.0)</f>
        <v>7</v>
      </c>
      <c r="AP171" s="343">
        <f>IFERROR(__xludf.DUMMYFUNCTION("""COMPUTED_VALUE"""),7.0)</f>
        <v>7</v>
      </c>
      <c r="AQ171" s="343">
        <f>IFERROR(__xludf.DUMMYFUNCTION("""COMPUTED_VALUE"""),7.0)</f>
        <v>7</v>
      </c>
      <c r="AR171" s="343">
        <f>IFERROR(__xludf.DUMMYFUNCTION("""COMPUTED_VALUE"""),11.0)</f>
        <v>11</v>
      </c>
      <c r="AS171" s="343">
        <f>IFERROR(__xludf.DUMMYFUNCTION("""COMPUTED_VALUE"""),11.0)</f>
        <v>11</v>
      </c>
      <c r="AT171" s="385" t="str">
        <f>IFERROR(__xludf.DUMMYFUNCTION("""COMPUTED_VALUE"""),"超持続型")</f>
        <v>超持続型</v>
      </c>
      <c r="AU171" s="399">
        <f>IFERROR(__xludf.DUMMYFUNCTION("""COMPUTED_VALUE"""),2.0)</f>
        <v>2</v>
      </c>
      <c r="AV171" s="400" t="str">
        <f>IFERROR(__xludf.DUMMYFUNCTION("""COMPUTED_VALUE"""),"効果値")</f>
        <v>効果値</v>
      </c>
      <c r="AW171" s="403" t="str">
        <f>IFERROR(__xludf.DUMMYFUNCTION("""COMPUTED_VALUE"""),"-")</f>
        <v>-</v>
      </c>
      <c r="AX171" s="403" t="str">
        <f>IFERROR(__xludf.DUMMYFUNCTION("""COMPUTED_VALUE"""),"-")</f>
        <v>-</v>
      </c>
      <c r="AY171" s="403" t="str">
        <f>IFERROR(__xludf.DUMMYFUNCTION("""COMPUTED_VALUE"""),"-")</f>
        <v>-</v>
      </c>
      <c r="AZ171" s="403" t="str">
        <f>IFERROR(__xludf.DUMMYFUNCTION("""COMPUTED_VALUE"""),"-")</f>
        <v>-</v>
      </c>
      <c r="BA171" s="403" t="str">
        <f>IFERROR(__xludf.DUMMYFUNCTION("""COMPUTED_VALUE"""),"-")</f>
        <v>-</v>
      </c>
      <c r="BB171" s="343">
        <f>IFERROR(__xludf.DUMMYFUNCTION("""COMPUTED_VALUE"""),7.0)</f>
        <v>7</v>
      </c>
      <c r="BC171" s="343">
        <f>IFERROR(__xludf.DUMMYFUNCTION("""COMPUTED_VALUE"""),11.0)</f>
        <v>11</v>
      </c>
      <c r="BD171" s="343">
        <f>IFERROR(__xludf.DUMMYFUNCTION("""COMPUTED_VALUE"""),11.0)</f>
        <v>11</v>
      </c>
      <c r="BE171" s="385" t="str">
        <f>IFERROR(__xludf.DUMMYFUNCTION("""COMPUTED_VALUE"""),"ハイブリッド型")</f>
        <v>ハイブリッド型</v>
      </c>
      <c r="BF171" s="399">
        <f>IFERROR(__xludf.DUMMYFUNCTION("""COMPUTED_VALUE"""),2.0)</f>
        <v>2</v>
      </c>
      <c r="BG171" s="400" t="str">
        <f>IFERROR(__xludf.DUMMYFUNCTION("""COMPUTED_VALUE"""),"効果値")</f>
        <v>効果値</v>
      </c>
      <c r="BH171" s="404">
        <f>IFERROR(__xludf.DUMMYFUNCTION("""COMPUTED_VALUE"""),10.8)</f>
        <v>10.8</v>
      </c>
      <c r="BI171" s="405">
        <f>IFERROR(__xludf.DUMMYFUNCTION("""COMPUTED_VALUE"""),11.2)</f>
        <v>11.2</v>
      </c>
      <c r="BJ171" s="405">
        <f>IFERROR(__xludf.DUMMYFUNCTION("""COMPUTED_VALUE"""),11.5)</f>
        <v>11.5</v>
      </c>
      <c r="BK171" s="405">
        <f>IFERROR(__xludf.DUMMYFUNCTION("""COMPUTED_VALUE"""),11.8)</f>
        <v>11.8</v>
      </c>
      <c r="BL171" s="405">
        <f>IFERROR(__xludf.DUMMYFUNCTION("""COMPUTED_VALUE"""),12.1)</f>
        <v>12.1</v>
      </c>
      <c r="BM171" s="405">
        <f>IFERROR(__xludf.DUMMYFUNCTION("""COMPUTED_VALUE"""),17.1)</f>
        <v>17.1</v>
      </c>
      <c r="BN171" s="405">
        <f>IFERROR(__xludf.DUMMYFUNCTION("""COMPUTED_VALUE"""),22.0)</f>
        <v>22</v>
      </c>
      <c r="BO171" s="406">
        <f>IFERROR(__xludf.DUMMYFUNCTION("""COMPUTED_VALUE"""),24.0)</f>
        <v>24</v>
      </c>
    </row>
    <row r="172">
      <c r="A172" s="435" t="str">
        <f>IFERROR(__xludf.DUMMYFUNCTION("""COMPUTED_VALUE"""),"ダメージカット(アタック)")</f>
        <v>ダメージカット(アタック)</v>
      </c>
      <c r="B172" s="385" t="str">
        <f>IFERROR(__xludf.DUMMYFUNCTION("""COMPUTED_VALUE"""),"超瞬間型")</f>
        <v>超瞬間型</v>
      </c>
      <c r="C172" s="386">
        <f>IFERROR(__xludf.DUMMYFUNCTION("""COMPUTED_VALUE"""),2.0)</f>
        <v>2</v>
      </c>
      <c r="D172" s="387" t="str">
        <f>IFERROR(__xludf.DUMMYFUNCTION("""COMPUTED_VALUE"""),"効果時間")</f>
        <v>効果時間</v>
      </c>
      <c r="E172" s="388" t="str">
        <f>IFERROR(__xludf.DUMMYFUNCTION("""COMPUTED_VALUE"""),"-")</f>
        <v>-</v>
      </c>
      <c r="F172" s="389" t="str">
        <f>IFERROR(__xludf.DUMMYFUNCTION("""COMPUTED_VALUE"""),"-")</f>
        <v>-</v>
      </c>
      <c r="G172" s="388" t="str">
        <f>IFERROR(__xludf.DUMMYFUNCTION("""COMPUTED_VALUE"""),"-")</f>
        <v>-</v>
      </c>
      <c r="H172" s="389" t="str">
        <f>IFERROR(__xludf.DUMMYFUNCTION("""COMPUTED_VALUE"""),"-")</f>
        <v>-</v>
      </c>
      <c r="I172" s="388" t="str">
        <f>IFERROR(__xludf.DUMMYFUNCTION("""COMPUTED_VALUE"""),"-")</f>
        <v>-</v>
      </c>
      <c r="J172" s="390">
        <f>IFERROR(__xludf.DUMMYFUNCTION("""COMPUTED_VALUE"""),150.0)</f>
        <v>150</v>
      </c>
      <c r="K172" s="391">
        <f>IFERROR(__xludf.DUMMYFUNCTION("""COMPUTED_VALUE"""),160.0)</f>
        <v>160</v>
      </c>
      <c r="L172" s="340">
        <f>IFERROR(__xludf.DUMMYFUNCTION("""COMPUTED_VALUE"""),170.0)</f>
        <v>170</v>
      </c>
      <c r="M172" s="385" t="str">
        <f>IFERROR(__xludf.DUMMYFUNCTION("""COMPUTED_VALUE"""),"瞬間型")</f>
        <v>瞬間型</v>
      </c>
      <c r="N172" s="386">
        <f>IFERROR(__xludf.DUMMYFUNCTION("""COMPUTED_VALUE"""),2.0)</f>
        <v>2</v>
      </c>
      <c r="O172" s="387" t="str">
        <f>IFERROR(__xludf.DUMMYFUNCTION("""COMPUTED_VALUE"""),"効果時間")</f>
        <v>効果時間</v>
      </c>
      <c r="P172" s="392">
        <f>IFERROR(__xludf.DUMMYFUNCTION("""COMPUTED_VALUE"""),160.0)</f>
        <v>160</v>
      </c>
      <c r="Q172" s="275">
        <f>IFERROR(__xludf.DUMMYFUNCTION("""COMPUTED_VALUE"""),165.0)</f>
        <v>165</v>
      </c>
      <c r="R172" s="280">
        <f>IFERROR(__xludf.DUMMYFUNCTION("""COMPUTED_VALUE"""),170.0)</f>
        <v>170</v>
      </c>
      <c r="S172" s="275">
        <f>IFERROR(__xludf.DUMMYFUNCTION("""COMPUTED_VALUE"""),175.0)</f>
        <v>175</v>
      </c>
      <c r="T172" s="280">
        <f>IFERROR(__xludf.DUMMYFUNCTION("""COMPUTED_VALUE"""),180.0)</f>
        <v>180</v>
      </c>
      <c r="U172" s="280">
        <f>IFERROR(__xludf.DUMMYFUNCTION("""COMPUTED_VALUE"""),180.0)</f>
        <v>180</v>
      </c>
      <c r="V172" s="280">
        <f>IFERROR(__xludf.DUMMYFUNCTION("""COMPUTED_VALUE"""),220.0)</f>
        <v>220</v>
      </c>
      <c r="W172" s="280">
        <f>IFERROR(__xludf.DUMMYFUNCTION("""COMPUTED_VALUE"""),230.0)</f>
        <v>230</v>
      </c>
      <c r="X172" s="385" t="str">
        <f>IFERROR(__xludf.DUMMYFUNCTION("""COMPUTED_VALUE"""),"安定型")</f>
        <v>安定型</v>
      </c>
      <c r="Y172" s="386">
        <f>IFERROR(__xludf.DUMMYFUNCTION("""COMPUTED_VALUE"""),2.0)</f>
        <v>2</v>
      </c>
      <c r="Z172" s="387" t="str">
        <f>IFERROR(__xludf.DUMMYFUNCTION("""COMPUTED_VALUE"""),"効果時間")</f>
        <v>効果時間</v>
      </c>
      <c r="AA172" s="392">
        <f>IFERROR(__xludf.DUMMYFUNCTION("""COMPUTED_VALUE"""),310.0)</f>
        <v>310</v>
      </c>
      <c r="AB172" s="275">
        <f>IFERROR(__xludf.DUMMYFUNCTION("""COMPUTED_VALUE"""),315.0)</f>
        <v>315</v>
      </c>
      <c r="AC172" s="280">
        <f>IFERROR(__xludf.DUMMYFUNCTION("""COMPUTED_VALUE"""),320.0)</f>
        <v>320</v>
      </c>
      <c r="AD172" s="275">
        <f>IFERROR(__xludf.DUMMYFUNCTION("""COMPUTED_VALUE"""),325.0)</f>
        <v>325</v>
      </c>
      <c r="AE172" s="280">
        <f>IFERROR(__xludf.DUMMYFUNCTION("""COMPUTED_VALUE"""),330.0)</f>
        <v>330</v>
      </c>
      <c r="AF172" s="280">
        <f>IFERROR(__xludf.DUMMYFUNCTION("""COMPUTED_VALUE"""),345.0)</f>
        <v>345</v>
      </c>
      <c r="AG172" s="280">
        <f>IFERROR(__xludf.DUMMYFUNCTION("""COMPUTED_VALUE"""),370.0)</f>
        <v>370</v>
      </c>
      <c r="AH172" s="280">
        <f>IFERROR(__xludf.DUMMYFUNCTION("""COMPUTED_VALUE"""),380.0)</f>
        <v>380</v>
      </c>
      <c r="AI172" s="385" t="str">
        <f>IFERROR(__xludf.DUMMYFUNCTION("""COMPUTED_VALUE"""),"持続型")</f>
        <v>持続型</v>
      </c>
      <c r="AJ172" s="386">
        <f>IFERROR(__xludf.DUMMYFUNCTION("""COMPUTED_VALUE"""),2.0)</f>
        <v>2</v>
      </c>
      <c r="AK172" s="387" t="str">
        <f>IFERROR(__xludf.DUMMYFUNCTION("""COMPUTED_VALUE"""),"効果時間")</f>
        <v>効果時間</v>
      </c>
      <c r="AL172" s="392">
        <f>IFERROR(__xludf.DUMMYFUNCTION("""COMPUTED_VALUE"""),460.0)</f>
        <v>460</v>
      </c>
      <c r="AM172" s="275">
        <f>IFERROR(__xludf.DUMMYFUNCTION("""COMPUTED_VALUE"""),465.0)</f>
        <v>465</v>
      </c>
      <c r="AN172" s="280">
        <f>IFERROR(__xludf.DUMMYFUNCTION("""COMPUTED_VALUE"""),470.0)</f>
        <v>470</v>
      </c>
      <c r="AO172" s="275">
        <f>IFERROR(__xludf.DUMMYFUNCTION("""COMPUTED_VALUE"""),475.0)</f>
        <v>475</v>
      </c>
      <c r="AP172" s="280">
        <f>IFERROR(__xludf.DUMMYFUNCTION("""COMPUTED_VALUE"""),480.0)</f>
        <v>480</v>
      </c>
      <c r="AQ172" s="280">
        <f>IFERROR(__xludf.DUMMYFUNCTION("""COMPUTED_VALUE"""),495.0)</f>
        <v>495</v>
      </c>
      <c r="AR172" s="280">
        <f>IFERROR(__xludf.DUMMYFUNCTION("""COMPUTED_VALUE"""),520.0)</f>
        <v>520</v>
      </c>
      <c r="AS172" s="280">
        <f>IFERROR(__xludf.DUMMYFUNCTION("""COMPUTED_VALUE"""),530.0)</f>
        <v>530</v>
      </c>
      <c r="AT172" s="385" t="str">
        <f>IFERROR(__xludf.DUMMYFUNCTION("""COMPUTED_VALUE"""),"超持続型")</f>
        <v>超持続型</v>
      </c>
      <c r="AU172" s="386">
        <f>IFERROR(__xludf.DUMMYFUNCTION("""COMPUTED_VALUE"""),2.0)</f>
        <v>2</v>
      </c>
      <c r="AV172" s="387" t="str">
        <f>IFERROR(__xludf.DUMMYFUNCTION("""COMPUTED_VALUE"""),"効果時間")</f>
        <v>効果時間</v>
      </c>
      <c r="AW172" s="368" t="str">
        <f>IFERROR(__xludf.DUMMYFUNCTION("""COMPUTED_VALUE"""),"-")</f>
        <v>-</v>
      </c>
      <c r="AX172" s="368" t="str">
        <f>IFERROR(__xludf.DUMMYFUNCTION("""COMPUTED_VALUE"""),"-")</f>
        <v>-</v>
      </c>
      <c r="AY172" s="368" t="str">
        <f>IFERROR(__xludf.DUMMYFUNCTION("""COMPUTED_VALUE"""),"-")</f>
        <v>-</v>
      </c>
      <c r="AZ172" s="368" t="str">
        <f>IFERROR(__xludf.DUMMYFUNCTION("""COMPUTED_VALUE"""),"-")</f>
        <v>-</v>
      </c>
      <c r="BA172" s="368" t="str">
        <f>IFERROR(__xludf.DUMMYFUNCTION("""COMPUTED_VALUE"""),"-")</f>
        <v>-</v>
      </c>
      <c r="BB172" s="280">
        <f>IFERROR(__xludf.DUMMYFUNCTION("""COMPUTED_VALUE"""),625.0)</f>
        <v>625</v>
      </c>
      <c r="BC172" s="280">
        <f>IFERROR(__xludf.DUMMYFUNCTION("""COMPUTED_VALUE"""),670.0)</f>
        <v>670</v>
      </c>
      <c r="BD172" s="280">
        <f>IFERROR(__xludf.DUMMYFUNCTION("""COMPUTED_VALUE"""),680.0)</f>
        <v>680</v>
      </c>
      <c r="BE172" s="385" t="str">
        <f>IFERROR(__xludf.DUMMYFUNCTION("""COMPUTED_VALUE"""),"ハイブリッド型")</f>
        <v>ハイブリッド型</v>
      </c>
      <c r="BF172" s="386">
        <f>IFERROR(__xludf.DUMMYFUNCTION("""COMPUTED_VALUE"""),2.0)</f>
        <v>2</v>
      </c>
      <c r="BG172" s="387" t="str">
        <f>IFERROR(__xludf.DUMMYFUNCTION("""COMPUTED_VALUE"""),"効果時間")</f>
        <v>効果時間</v>
      </c>
      <c r="BH172" s="407">
        <f>IFERROR(__xludf.DUMMYFUNCTION("""COMPUTED_VALUE"""),195.0)</f>
        <v>195</v>
      </c>
      <c r="BI172" s="407">
        <f>IFERROR(__xludf.DUMMYFUNCTION("""COMPUTED_VALUE"""),205.0)</f>
        <v>205</v>
      </c>
      <c r="BJ172" s="407">
        <f>IFERROR(__xludf.DUMMYFUNCTION("""COMPUTED_VALUE"""),205.0)</f>
        <v>205</v>
      </c>
      <c r="BK172" s="408">
        <f>IFERROR(__xludf.DUMMYFUNCTION("""COMPUTED_VALUE"""),210.0)</f>
        <v>210</v>
      </c>
      <c r="BL172" s="407">
        <f>IFERROR(__xludf.DUMMYFUNCTION("""COMPUTED_VALUE"""),215.0)</f>
        <v>215</v>
      </c>
      <c r="BM172" s="408">
        <f>IFERROR(__xludf.DUMMYFUNCTION("""COMPUTED_VALUE"""),375.0)</f>
        <v>375</v>
      </c>
      <c r="BN172" s="407">
        <f>IFERROR(__xludf.DUMMYFUNCTION("""COMPUTED_VALUE"""),480.0)</f>
        <v>480</v>
      </c>
      <c r="BO172" s="408">
        <f>IFERROR(__xludf.DUMMYFUNCTION("""COMPUTED_VALUE"""),490.0)</f>
        <v>490</v>
      </c>
    </row>
    <row r="173">
      <c r="A173" s="435" t="str">
        <f>IFERROR(__xludf.DUMMYFUNCTION("""COMPUTED_VALUE"""),"ダメージカット(アタック)")</f>
        <v>ダメージカット(アタック)</v>
      </c>
      <c r="B173" s="385" t="str">
        <f>IFERROR(__xludf.DUMMYFUNCTION("""COMPUTED_VALUE"""),"超瞬間型")</f>
        <v>超瞬間型</v>
      </c>
      <c r="C173" s="399">
        <f>IFERROR(__xludf.DUMMYFUNCTION("""COMPUTED_VALUE"""),3.0)</f>
        <v>3</v>
      </c>
      <c r="D173" s="400" t="str">
        <f>IFERROR(__xludf.DUMMYFUNCTION("""COMPUTED_VALUE"""),"効果値")</f>
        <v>効果値</v>
      </c>
      <c r="E173" s="401" t="str">
        <f>IFERROR(__xludf.DUMMYFUNCTION("""COMPUTED_VALUE"""),"-")</f>
        <v>-</v>
      </c>
      <c r="F173" s="409" t="str">
        <f>IFERROR(__xludf.DUMMYFUNCTION("""COMPUTED_VALUE"""),"-")</f>
        <v>-</v>
      </c>
      <c r="G173" s="401" t="str">
        <f>IFERROR(__xludf.DUMMYFUNCTION("""COMPUTED_VALUE"""),"-")</f>
        <v>-</v>
      </c>
      <c r="H173" s="409" t="str">
        <f>IFERROR(__xludf.DUMMYFUNCTION("""COMPUTED_VALUE"""),"-")</f>
        <v>-</v>
      </c>
      <c r="I173" s="409" t="str">
        <f>IFERROR(__xludf.DUMMYFUNCTION("""COMPUTED_VALUE"""),"-")</f>
        <v>-</v>
      </c>
      <c r="J173" s="410">
        <f>IFERROR(__xludf.DUMMYFUNCTION("""COMPUTED_VALUE"""),58.0)</f>
        <v>58</v>
      </c>
      <c r="K173" s="410">
        <f>IFERROR(__xludf.DUMMYFUNCTION("""COMPUTED_VALUE"""),68.0)</f>
        <v>68</v>
      </c>
      <c r="L173" s="410">
        <f>IFERROR(__xludf.DUMMYFUNCTION("""COMPUTED_VALUE"""),72.0)</f>
        <v>72</v>
      </c>
      <c r="M173" s="385" t="str">
        <f>IFERROR(__xludf.DUMMYFUNCTION("""COMPUTED_VALUE"""),"瞬間型")</f>
        <v>瞬間型</v>
      </c>
      <c r="N173" s="399">
        <f>IFERROR(__xludf.DUMMYFUNCTION("""COMPUTED_VALUE"""),3.0)</f>
        <v>3</v>
      </c>
      <c r="O173" s="400" t="str">
        <f>IFERROR(__xludf.DUMMYFUNCTION("""COMPUTED_VALUE"""),"効果値")</f>
        <v>効果値</v>
      </c>
      <c r="P173" s="343">
        <f>IFERROR(__xludf.DUMMYFUNCTION("""COMPUTED_VALUE"""),22.0)</f>
        <v>22</v>
      </c>
      <c r="Q173" s="402">
        <f>IFERROR(__xludf.DUMMYFUNCTION("""COMPUTED_VALUE"""),22.0)</f>
        <v>22</v>
      </c>
      <c r="R173" s="402">
        <f>IFERROR(__xludf.DUMMYFUNCTION("""COMPUTED_VALUE"""),23.0)</f>
        <v>23</v>
      </c>
      <c r="S173" s="402">
        <f>IFERROR(__xludf.DUMMYFUNCTION("""COMPUTED_VALUE"""),23.0)</f>
        <v>23</v>
      </c>
      <c r="T173" s="402">
        <f>IFERROR(__xludf.DUMMYFUNCTION("""COMPUTED_VALUE"""),23.0)</f>
        <v>23</v>
      </c>
      <c r="U173" s="402">
        <f>IFERROR(__xludf.DUMMYFUNCTION("""COMPUTED_VALUE"""),28.0)</f>
        <v>28</v>
      </c>
      <c r="V173" s="402">
        <f>IFERROR(__xludf.DUMMYFUNCTION("""COMPUTED_VALUE"""),33.0)</f>
        <v>33</v>
      </c>
      <c r="W173" s="402">
        <f>IFERROR(__xludf.DUMMYFUNCTION("""COMPUTED_VALUE"""),37.0)</f>
        <v>37</v>
      </c>
      <c r="X173" s="385" t="str">
        <f>IFERROR(__xludf.DUMMYFUNCTION("""COMPUTED_VALUE"""),"安定型")</f>
        <v>安定型</v>
      </c>
      <c r="Y173" s="399">
        <f>IFERROR(__xludf.DUMMYFUNCTION("""COMPUTED_VALUE"""),3.0)</f>
        <v>3</v>
      </c>
      <c r="Z173" s="400" t="str">
        <f>IFERROR(__xludf.DUMMYFUNCTION("""COMPUTED_VALUE"""),"効果値")</f>
        <v>効果値</v>
      </c>
      <c r="AA173" s="343">
        <f>IFERROR(__xludf.DUMMYFUNCTION("""COMPUTED_VALUE"""),12.0)</f>
        <v>12</v>
      </c>
      <c r="AB173" s="402">
        <f>IFERROR(__xludf.DUMMYFUNCTION("""COMPUTED_VALUE"""),12.0)</f>
        <v>12</v>
      </c>
      <c r="AC173" s="402">
        <f>IFERROR(__xludf.DUMMYFUNCTION("""COMPUTED_VALUE"""),13.0)</f>
        <v>13</v>
      </c>
      <c r="AD173" s="402">
        <f>IFERROR(__xludf.DUMMYFUNCTION("""COMPUTED_VALUE"""),13.0)</f>
        <v>13</v>
      </c>
      <c r="AE173" s="402">
        <f>IFERROR(__xludf.DUMMYFUNCTION("""COMPUTED_VALUE"""),13.0)</f>
        <v>13</v>
      </c>
      <c r="AF173" s="402">
        <f>IFERROR(__xludf.DUMMYFUNCTION("""COMPUTED_VALUE"""),13.0)</f>
        <v>13</v>
      </c>
      <c r="AG173" s="402">
        <f>IFERROR(__xludf.DUMMYFUNCTION("""COMPUTED_VALUE"""),18.0)</f>
        <v>18</v>
      </c>
      <c r="AH173" s="402">
        <f>IFERROR(__xludf.DUMMYFUNCTION("""COMPUTED_VALUE"""),22.0)</f>
        <v>22</v>
      </c>
      <c r="AI173" s="385" t="str">
        <f>IFERROR(__xludf.DUMMYFUNCTION("""COMPUTED_VALUE"""),"持続型")</f>
        <v>持続型</v>
      </c>
      <c r="AJ173" s="399">
        <f>IFERROR(__xludf.DUMMYFUNCTION("""COMPUTED_VALUE"""),3.0)</f>
        <v>3</v>
      </c>
      <c r="AK173" s="400" t="str">
        <f>IFERROR(__xludf.DUMMYFUNCTION("""COMPUTED_VALUE"""),"効果値")</f>
        <v>効果値</v>
      </c>
      <c r="AL173" s="343">
        <f>IFERROR(__xludf.DUMMYFUNCTION("""COMPUTED_VALUE"""),7.0)</f>
        <v>7</v>
      </c>
      <c r="AM173" s="402">
        <f>IFERROR(__xludf.DUMMYFUNCTION("""COMPUTED_VALUE"""),7.0)</f>
        <v>7</v>
      </c>
      <c r="AN173" s="402">
        <f>IFERROR(__xludf.DUMMYFUNCTION("""COMPUTED_VALUE"""),8.0)</f>
        <v>8</v>
      </c>
      <c r="AO173" s="402">
        <f>IFERROR(__xludf.DUMMYFUNCTION("""COMPUTED_VALUE"""),8.0)</f>
        <v>8</v>
      </c>
      <c r="AP173" s="402">
        <f>IFERROR(__xludf.DUMMYFUNCTION("""COMPUTED_VALUE"""),8.0)</f>
        <v>8</v>
      </c>
      <c r="AQ173" s="402">
        <f>IFERROR(__xludf.DUMMYFUNCTION("""COMPUTED_VALUE"""),8.0)</f>
        <v>8</v>
      </c>
      <c r="AR173" s="402">
        <f>IFERROR(__xludf.DUMMYFUNCTION("""COMPUTED_VALUE"""),11.0)</f>
        <v>11</v>
      </c>
      <c r="AS173" s="402">
        <f>IFERROR(__xludf.DUMMYFUNCTION("""COMPUTED_VALUE"""),11.0)</f>
        <v>11</v>
      </c>
      <c r="AT173" s="385" t="str">
        <f>IFERROR(__xludf.DUMMYFUNCTION("""COMPUTED_VALUE"""),"超持続型")</f>
        <v>超持続型</v>
      </c>
      <c r="AU173" s="399">
        <f>IFERROR(__xludf.DUMMYFUNCTION("""COMPUTED_VALUE"""),3.0)</f>
        <v>3</v>
      </c>
      <c r="AV173" s="400" t="str">
        <f>IFERROR(__xludf.DUMMYFUNCTION("""COMPUTED_VALUE"""),"効果値")</f>
        <v>効果値</v>
      </c>
      <c r="AW173" s="403" t="str">
        <f>IFERROR(__xludf.DUMMYFUNCTION("""COMPUTED_VALUE"""),"-")</f>
        <v>-</v>
      </c>
      <c r="AX173" s="403" t="str">
        <f>IFERROR(__xludf.DUMMYFUNCTION("""COMPUTED_VALUE"""),"-")</f>
        <v>-</v>
      </c>
      <c r="AY173" s="403" t="str">
        <f>IFERROR(__xludf.DUMMYFUNCTION("""COMPUTED_VALUE"""),"-")</f>
        <v>-</v>
      </c>
      <c r="AZ173" s="403" t="str">
        <f>IFERROR(__xludf.DUMMYFUNCTION("""COMPUTED_VALUE"""),"-")</f>
        <v>-</v>
      </c>
      <c r="BA173" s="403" t="str">
        <f>IFERROR(__xludf.DUMMYFUNCTION("""COMPUTED_VALUE"""),"-")</f>
        <v>-</v>
      </c>
      <c r="BB173" s="343">
        <f>IFERROR(__xludf.DUMMYFUNCTION("""COMPUTED_VALUE"""),8.0)</f>
        <v>8</v>
      </c>
      <c r="BC173" s="343">
        <f>IFERROR(__xludf.DUMMYFUNCTION("""COMPUTED_VALUE"""),11.0)</f>
        <v>11</v>
      </c>
      <c r="BD173" s="343">
        <f>IFERROR(__xludf.DUMMYFUNCTION("""COMPUTED_VALUE"""),11.0)</f>
        <v>11</v>
      </c>
      <c r="BE173" s="385" t="str">
        <f>IFERROR(__xludf.DUMMYFUNCTION("""COMPUTED_VALUE"""),"ハイブリッド型")</f>
        <v>ハイブリッド型</v>
      </c>
      <c r="BF173" s="399">
        <f>IFERROR(__xludf.DUMMYFUNCTION("""COMPUTED_VALUE"""),3.0)</f>
        <v>3</v>
      </c>
      <c r="BG173" s="400" t="str">
        <f>IFERROR(__xludf.DUMMYFUNCTION("""COMPUTED_VALUE"""),"効果値")</f>
        <v>効果値</v>
      </c>
      <c r="BH173" s="411">
        <f>IFERROR(__xludf.DUMMYFUNCTION("""COMPUTED_VALUE"""),11.4)</f>
        <v>11.4</v>
      </c>
      <c r="BI173" s="412">
        <f>IFERROR(__xludf.DUMMYFUNCTION("""COMPUTED_VALUE"""),11.9)</f>
        <v>11.9</v>
      </c>
      <c r="BJ173" s="412">
        <f>IFERROR(__xludf.DUMMYFUNCTION("""COMPUTED_VALUE"""),12.5)</f>
        <v>12.5</v>
      </c>
      <c r="BK173" s="412">
        <f>IFERROR(__xludf.DUMMYFUNCTION("""COMPUTED_VALUE"""),13.0)</f>
        <v>13</v>
      </c>
      <c r="BL173" s="412">
        <f>IFERROR(__xludf.DUMMYFUNCTION("""COMPUTED_VALUE"""),13.5)</f>
        <v>13.5</v>
      </c>
      <c r="BM173" s="412">
        <f>IFERROR(__xludf.DUMMYFUNCTION("""COMPUTED_VALUE"""),18.5)</f>
        <v>18.5</v>
      </c>
      <c r="BN173" s="412">
        <f>IFERROR(__xludf.DUMMYFUNCTION("""COMPUTED_VALUE"""),23.0)</f>
        <v>23</v>
      </c>
      <c r="BO173" s="413">
        <f>IFERROR(__xludf.DUMMYFUNCTION("""COMPUTED_VALUE"""),27.0)</f>
        <v>27</v>
      </c>
    </row>
    <row r="174">
      <c r="A174" s="435" t="str">
        <f>IFERROR(__xludf.DUMMYFUNCTION("""COMPUTED_VALUE"""),"ダメージカット(アタック)")</f>
        <v>ダメージカット(アタック)</v>
      </c>
      <c r="B174" s="385" t="str">
        <f>IFERROR(__xludf.DUMMYFUNCTION("""COMPUTED_VALUE"""),"超瞬間型")</f>
        <v>超瞬間型</v>
      </c>
      <c r="C174" s="386">
        <f>IFERROR(__xludf.DUMMYFUNCTION("""COMPUTED_VALUE"""),3.0)</f>
        <v>3</v>
      </c>
      <c r="D174" s="387" t="str">
        <f>IFERROR(__xludf.DUMMYFUNCTION("""COMPUTED_VALUE"""),"効果時間")</f>
        <v>効果時間</v>
      </c>
      <c r="E174" s="388" t="str">
        <f>IFERROR(__xludf.DUMMYFUNCTION("""COMPUTED_VALUE"""),"-")</f>
        <v>-</v>
      </c>
      <c r="F174" s="389" t="str">
        <f>IFERROR(__xludf.DUMMYFUNCTION("""COMPUTED_VALUE"""),"-")</f>
        <v>-</v>
      </c>
      <c r="G174" s="388" t="str">
        <f>IFERROR(__xludf.DUMMYFUNCTION("""COMPUTED_VALUE"""),"-")</f>
        <v>-</v>
      </c>
      <c r="H174" s="389" t="str">
        <f>IFERROR(__xludf.DUMMYFUNCTION("""COMPUTED_VALUE"""),"-")</f>
        <v>-</v>
      </c>
      <c r="I174" s="388" t="str">
        <f>IFERROR(__xludf.DUMMYFUNCTION("""COMPUTED_VALUE"""),"-")</f>
        <v>-</v>
      </c>
      <c r="J174" s="390">
        <f>IFERROR(__xludf.DUMMYFUNCTION("""COMPUTED_VALUE"""),155.0)</f>
        <v>155</v>
      </c>
      <c r="K174" s="391">
        <f>IFERROR(__xludf.DUMMYFUNCTION("""COMPUTED_VALUE"""),165.0)</f>
        <v>165</v>
      </c>
      <c r="L174" s="340">
        <f>IFERROR(__xludf.DUMMYFUNCTION("""COMPUTED_VALUE"""),185.0)</f>
        <v>185</v>
      </c>
      <c r="M174" s="385" t="str">
        <f>IFERROR(__xludf.DUMMYFUNCTION("""COMPUTED_VALUE"""),"瞬間型")</f>
        <v>瞬間型</v>
      </c>
      <c r="N174" s="386">
        <f>IFERROR(__xludf.DUMMYFUNCTION("""COMPUTED_VALUE"""),3.0)</f>
        <v>3</v>
      </c>
      <c r="O174" s="387" t="str">
        <f>IFERROR(__xludf.DUMMYFUNCTION("""COMPUTED_VALUE"""),"効果時間")</f>
        <v>効果時間</v>
      </c>
      <c r="P174" s="392">
        <f>IFERROR(__xludf.DUMMYFUNCTION("""COMPUTED_VALUE"""),165.0)</f>
        <v>165</v>
      </c>
      <c r="Q174" s="414">
        <f>IFERROR(__xludf.DUMMYFUNCTION("""COMPUTED_VALUE"""),175.0)</f>
        <v>175</v>
      </c>
      <c r="R174" s="415">
        <f>IFERROR(__xludf.DUMMYFUNCTION("""COMPUTED_VALUE"""),180.0)</f>
        <v>180</v>
      </c>
      <c r="S174" s="393">
        <f>IFERROR(__xludf.DUMMYFUNCTION("""COMPUTED_VALUE"""),185.0)</f>
        <v>185</v>
      </c>
      <c r="T174" s="393">
        <f>IFERROR(__xludf.DUMMYFUNCTION("""COMPUTED_VALUE"""),195.0)</f>
        <v>195</v>
      </c>
      <c r="U174" s="414">
        <f>IFERROR(__xludf.DUMMYFUNCTION("""COMPUTED_VALUE"""),200.0)</f>
        <v>200</v>
      </c>
      <c r="V174" s="416">
        <f>IFERROR(__xludf.DUMMYFUNCTION("""COMPUTED_VALUE"""),255.0)</f>
        <v>255</v>
      </c>
      <c r="W174" s="415">
        <f>IFERROR(__xludf.DUMMYFUNCTION("""COMPUTED_VALUE"""),270.0)</f>
        <v>270</v>
      </c>
      <c r="X174" s="385" t="str">
        <f>IFERROR(__xludf.DUMMYFUNCTION("""COMPUTED_VALUE"""),"安定型")</f>
        <v>安定型</v>
      </c>
      <c r="Y174" s="386">
        <f>IFERROR(__xludf.DUMMYFUNCTION("""COMPUTED_VALUE"""),3.0)</f>
        <v>3</v>
      </c>
      <c r="Z174" s="387" t="str">
        <f>IFERROR(__xludf.DUMMYFUNCTION("""COMPUTED_VALUE"""),"効果時間")</f>
        <v>効果時間</v>
      </c>
      <c r="AA174" s="392">
        <f>IFERROR(__xludf.DUMMYFUNCTION("""COMPUTED_VALUE"""),315.0)</f>
        <v>315</v>
      </c>
      <c r="AB174" s="414">
        <f>IFERROR(__xludf.DUMMYFUNCTION("""COMPUTED_VALUE"""),325.0)</f>
        <v>325</v>
      </c>
      <c r="AC174" s="415">
        <f>IFERROR(__xludf.DUMMYFUNCTION("""COMPUTED_VALUE"""),330.0)</f>
        <v>330</v>
      </c>
      <c r="AD174" s="393">
        <f>IFERROR(__xludf.DUMMYFUNCTION("""COMPUTED_VALUE"""),335.0)</f>
        <v>335</v>
      </c>
      <c r="AE174" s="393">
        <f>IFERROR(__xludf.DUMMYFUNCTION("""COMPUTED_VALUE"""),345.0)</f>
        <v>345</v>
      </c>
      <c r="AF174" s="414">
        <f>IFERROR(__xludf.DUMMYFUNCTION("""COMPUTED_VALUE"""),370.0)</f>
        <v>370</v>
      </c>
      <c r="AG174" s="416">
        <f>IFERROR(__xludf.DUMMYFUNCTION("""COMPUTED_VALUE"""),405.0)</f>
        <v>405</v>
      </c>
      <c r="AH174" s="415">
        <f>IFERROR(__xludf.DUMMYFUNCTION("""COMPUTED_VALUE"""),420.0)</f>
        <v>420</v>
      </c>
      <c r="AI174" s="385" t="str">
        <f>IFERROR(__xludf.DUMMYFUNCTION("""COMPUTED_VALUE"""),"持続型")</f>
        <v>持続型</v>
      </c>
      <c r="AJ174" s="386">
        <f>IFERROR(__xludf.DUMMYFUNCTION("""COMPUTED_VALUE"""),3.0)</f>
        <v>3</v>
      </c>
      <c r="AK174" s="387" t="str">
        <f>IFERROR(__xludf.DUMMYFUNCTION("""COMPUTED_VALUE"""),"効果時間")</f>
        <v>効果時間</v>
      </c>
      <c r="AL174" s="392">
        <f>IFERROR(__xludf.DUMMYFUNCTION("""COMPUTED_VALUE"""),465.0)</f>
        <v>465</v>
      </c>
      <c r="AM174" s="414">
        <f>IFERROR(__xludf.DUMMYFUNCTION("""COMPUTED_VALUE"""),475.0)</f>
        <v>475</v>
      </c>
      <c r="AN174" s="415">
        <f>IFERROR(__xludf.DUMMYFUNCTION("""COMPUTED_VALUE"""),480.0)</f>
        <v>480</v>
      </c>
      <c r="AO174" s="393">
        <f>IFERROR(__xludf.DUMMYFUNCTION("""COMPUTED_VALUE"""),485.0)</f>
        <v>485</v>
      </c>
      <c r="AP174" s="393">
        <f>IFERROR(__xludf.DUMMYFUNCTION("""COMPUTED_VALUE"""),495.0)</f>
        <v>495</v>
      </c>
      <c r="AQ174" s="414">
        <f>IFERROR(__xludf.DUMMYFUNCTION("""COMPUTED_VALUE"""),520.0)</f>
        <v>520</v>
      </c>
      <c r="AR174" s="416">
        <f>IFERROR(__xludf.DUMMYFUNCTION("""COMPUTED_VALUE"""),555.0)</f>
        <v>555</v>
      </c>
      <c r="AS174" s="415">
        <f>IFERROR(__xludf.DUMMYFUNCTION("""COMPUTED_VALUE"""),570.0)</f>
        <v>570</v>
      </c>
      <c r="AT174" s="385" t="str">
        <f>IFERROR(__xludf.DUMMYFUNCTION("""COMPUTED_VALUE"""),"超持続型")</f>
        <v>超持続型</v>
      </c>
      <c r="AU174" s="386">
        <f>IFERROR(__xludf.DUMMYFUNCTION("""COMPUTED_VALUE"""),3.0)</f>
        <v>3</v>
      </c>
      <c r="AV174" s="387" t="str">
        <f>IFERROR(__xludf.DUMMYFUNCTION("""COMPUTED_VALUE"""),"効果時間")</f>
        <v>効果時間</v>
      </c>
      <c r="AW174" s="368" t="str">
        <f>IFERROR(__xludf.DUMMYFUNCTION("""COMPUTED_VALUE"""),"-")</f>
        <v>-</v>
      </c>
      <c r="AX174" s="368" t="str">
        <f>IFERROR(__xludf.DUMMYFUNCTION("""COMPUTED_VALUE"""),"-")</f>
        <v>-</v>
      </c>
      <c r="AY174" s="368" t="str">
        <f>IFERROR(__xludf.DUMMYFUNCTION("""COMPUTED_VALUE"""),"-")</f>
        <v>-</v>
      </c>
      <c r="AZ174" s="368" t="str">
        <f>IFERROR(__xludf.DUMMYFUNCTION("""COMPUTED_VALUE"""),"-")</f>
        <v>-</v>
      </c>
      <c r="BA174" s="368" t="str">
        <f>IFERROR(__xludf.DUMMYFUNCTION("""COMPUTED_VALUE"""),"-")</f>
        <v>-</v>
      </c>
      <c r="BB174" s="280">
        <f>IFERROR(__xludf.DUMMYFUNCTION("""COMPUTED_VALUE"""),635.0)</f>
        <v>635</v>
      </c>
      <c r="BC174" s="280">
        <f>IFERROR(__xludf.DUMMYFUNCTION("""COMPUTED_VALUE"""),705.0)</f>
        <v>705</v>
      </c>
      <c r="BD174" s="280">
        <f>IFERROR(__xludf.DUMMYFUNCTION("""COMPUTED_VALUE"""),720.0)</f>
        <v>720</v>
      </c>
      <c r="BE174" s="385" t="str">
        <f>IFERROR(__xludf.DUMMYFUNCTION("""COMPUTED_VALUE"""),"ハイブリッド型")</f>
        <v>ハイブリッド型</v>
      </c>
      <c r="BF174" s="386">
        <f>IFERROR(__xludf.DUMMYFUNCTION("""COMPUTED_VALUE"""),3.0)</f>
        <v>3</v>
      </c>
      <c r="BG174" s="387" t="str">
        <f>IFERROR(__xludf.DUMMYFUNCTION("""COMPUTED_VALUE"""),"効果時間")</f>
        <v>効果時間</v>
      </c>
      <c r="BH174" s="407">
        <f>IFERROR(__xludf.DUMMYFUNCTION("""COMPUTED_VALUE"""),220.0)</f>
        <v>220</v>
      </c>
      <c r="BI174" s="407">
        <f>IFERROR(__xludf.DUMMYFUNCTION("""COMPUTED_VALUE"""),235.0)</f>
        <v>235</v>
      </c>
      <c r="BJ174" s="407">
        <f>IFERROR(__xludf.DUMMYFUNCTION("""COMPUTED_VALUE"""),240.0)</f>
        <v>240</v>
      </c>
      <c r="BK174" s="408">
        <f>IFERROR(__xludf.DUMMYFUNCTION("""COMPUTED_VALUE"""),250.0)</f>
        <v>250</v>
      </c>
      <c r="BL174" s="407">
        <f>IFERROR(__xludf.DUMMYFUNCTION("""COMPUTED_VALUE"""),255.0)</f>
        <v>255</v>
      </c>
      <c r="BM174" s="408">
        <f>IFERROR(__xludf.DUMMYFUNCTION("""COMPUTED_VALUE"""),385.0)</f>
        <v>385</v>
      </c>
      <c r="BN174" s="407">
        <f>IFERROR(__xludf.DUMMYFUNCTION("""COMPUTED_VALUE"""),490.0)</f>
        <v>490</v>
      </c>
      <c r="BO174" s="408">
        <f>IFERROR(__xludf.DUMMYFUNCTION("""COMPUTED_VALUE"""),505.0)</f>
        <v>505</v>
      </c>
    </row>
    <row r="175">
      <c r="A175" s="435" t="str">
        <f>IFERROR(__xludf.DUMMYFUNCTION("""COMPUTED_VALUE"""),"ダメージカット(アタック)")</f>
        <v>ダメージカット(アタック)</v>
      </c>
      <c r="B175" s="385" t="str">
        <f>IFERROR(__xludf.DUMMYFUNCTION("""COMPUTED_VALUE"""),"超瞬間型")</f>
        <v>超瞬間型</v>
      </c>
      <c r="C175" s="399">
        <f>IFERROR(__xludf.DUMMYFUNCTION("""COMPUTED_VALUE"""),4.0)</f>
        <v>4</v>
      </c>
      <c r="D175" s="400" t="str">
        <f>IFERROR(__xludf.DUMMYFUNCTION("""COMPUTED_VALUE"""),"効果値")</f>
        <v>効果値</v>
      </c>
      <c r="E175" s="401" t="str">
        <f>IFERROR(__xludf.DUMMYFUNCTION("""COMPUTED_VALUE"""),"-")</f>
        <v>-</v>
      </c>
      <c r="F175" s="409" t="str">
        <f>IFERROR(__xludf.DUMMYFUNCTION("""COMPUTED_VALUE"""),"-")</f>
        <v>-</v>
      </c>
      <c r="G175" s="409" t="str">
        <f>IFERROR(__xludf.DUMMYFUNCTION("""COMPUTED_VALUE"""),"-")</f>
        <v>-</v>
      </c>
      <c r="H175" s="409" t="str">
        <f>IFERROR(__xludf.DUMMYFUNCTION("""COMPUTED_VALUE"""),"-")</f>
        <v>-</v>
      </c>
      <c r="I175" s="409" t="str">
        <f>IFERROR(__xludf.DUMMYFUNCTION("""COMPUTED_VALUE"""),"-")</f>
        <v>-</v>
      </c>
      <c r="J175" s="410">
        <f>IFERROR(__xludf.DUMMYFUNCTION("""COMPUTED_VALUE"""),59.0)</f>
        <v>59</v>
      </c>
      <c r="K175" s="410">
        <f>IFERROR(__xludf.DUMMYFUNCTION("""COMPUTED_VALUE"""),69.0)</f>
        <v>69</v>
      </c>
      <c r="L175" s="410">
        <f>IFERROR(__xludf.DUMMYFUNCTION("""COMPUTED_VALUE"""),74.0)</f>
        <v>74</v>
      </c>
      <c r="M175" s="385" t="str">
        <f>IFERROR(__xludf.DUMMYFUNCTION("""COMPUTED_VALUE"""),"瞬間型")</f>
        <v>瞬間型</v>
      </c>
      <c r="N175" s="399">
        <f>IFERROR(__xludf.DUMMYFUNCTION("""COMPUTED_VALUE"""),4.0)</f>
        <v>4</v>
      </c>
      <c r="O175" s="400" t="str">
        <f>IFERROR(__xludf.DUMMYFUNCTION("""COMPUTED_VALUE"""),"効果値")</f>
        <v>効果値</v>
      </c>
      <c r="P175" s="343">
        <f>IFERROR(__xludf.DUMMYFUNCTION("""COMPUTED_VALUE"""),23.0)</f>
        <v>23</v>
      </c>
      <c r="Q175" s="402">
        <f>IFERROR(__xludf.DUMMYFUNCTION("""COMPUTED_VALUE"""),23.0)</f>
        <v>23</v>
      </c>
      <c r="R175" s="343">
        <f>IFERROR(__xludf.DUMMYFUNCTION("""COMPUTED_VALUE"""),23.0)</f>
        <v>23</v>
      </c>
      <c r="S175" s="402">
        <f>IFERROR(__xludf.DUMMYFUNCTION("""COMPUTED_VALUE"""),23.0)</f>
        <v>23</v>
      </c>
      <c r="T175" s="343">
        <f>IFERROR(__xludf.DUMMYFUNCTION("""COMPUTED_VALUE"""),23.0)</f>
        <v>23</v>
      </c>
      <c r="U175" s="343">
        <f>IFERROR(__xludf.DUMMYFUNCTION("""COMPUTED_VALUE"""),29.0)</f>
        <v>29</v>
      </c>
      <c r="V175" s="343">
        <f>IFERROR(__xludf.DUMMYFUNCTION("""COMPUTED_VALUE"""),34.0)</f>
        <v>34</v>
      </c>
      <c r="W175" s="343">
        <f>IFERROR(__xludf.DUMMYFUNCTION("""COMPUTED_VALUE"""),39.0)</f>
        <v>39</v>
      </c>
      <c r="X175" s="385" t="str">
        <f>IFERROR(__xludf.DUMMYFUNCTION("""COMPUTED_VALUE"""),"安定型")</f>
        <v>安定型</v>
      </c>
      <c r="Y175" s="399">
        <f>IFERROR(__xludf.DUMMYFUNCTION("""COMPUTED_VALUE"""),4.0)</f>
        <v>4</v>
      </c>
      <c r="Z175" s="400" t="str">
        <f>IFERROR(__xludf.DUMMYFUNCTION("""COMPUTED_VALUE"""),"効果値")</f>
        <v>効果値</v>
      </c>
      <c r="AA175" s="343">
        <f>IFERROR(__xludf.DUMMYFUNCTION("""COMPUTED_VALUE"""),13.0)</f>
        <v>13</v>
      </c>
      <c r="AB175" s="402">
        <f>IFERROR(__xludf.DUMMYFUNCTION("""COMPUTED_VALUE"""),13.0)</f>
        <v>13</v>
      </c>
      <c r="AC175" s="343">
        <f>IFERROR(__xludf.DUMMYFUNCTION("""COMPUTED_VALUE"""),13.0)</f>
        <v>13</v>
      </c>
      <c r="AD175" s="402">
        <f>IFERROR(__xludf.DUMMYFUNCTION("""COMPUTED_VALUE"""),13.0)</f>
        <v>13</v>
      </c>
      <c r="AE175" s="343">
        <f>IFERROR(__xludf.DUMMYFUNCTION("""COMPUTED_VALUE"""),13.0)</f>
        <v>13</v>
      </c>
      <c r="AF175" s="343">
        <f>IFERROR(__xludf.DUMMYFUNCTION("""COMPUTED_VALUE"""),14.0)</f>
        <v>14</v>
      </c>
      <c r="AG175" s="343">
        <f>IFERROR(__xludf.DUMMYFUNCTION("""COMPUTED_VALUE"""),19.0)</f>
        <v>19</v>
      </c>
      <c r="AH175" s="343">
        <f>IFERROR(__xludf.DUMMYFUNCTION("""COMPUTED_VALUE"""),24.0)</f>
        <v>24</v>
      </c>
      <c r="AI175" s="385" t="str">
        <f>IFERROR(__xludf.DUMMYFUNCTION("""COMPUTED_VALUE"""),"持続型")</f>
        <v>持続型</v>
      </c>
      <c r="AJ175" s="399">
        <f>IFERROR(__xludf.DUMMYFUNCTION("""COMPUTED_VALUE"""),4.0)</f>
        <v>4</v>
      </c>
      <c r="AK175" s="400" t="str">
        <f>IFERROR(__xludf.DUMMYFUNCTION("""COMPUTED_VALUE"""),"効果値")</f>
        <v>効果値</v>
      </c>
      <c r="AL175" s="343">
        <f>IFERROR(__xludf.DUMMYFUNCTION("""COMPUTED_VALUE"""),8.0)</f>
        <v>8</v>
      </c>
      <c r="AM175" s="402">
        <f>IFERROR(__xludf.DUMMYFUNCTION("""COMPUTED_VALUE"""),8.0)</f>
        <v>8</v>
      </c>
      <c r="AN175" s="343">
        <f>IFERROR(__xludf.DUMMYFUNCTION("""COMPUTED_VALUE"""),8.0)</f>
        <v>8</v>
      </c>
      <c r="AO175" s="402">
        <f>IFERROR(__xludf.DUMMYFUNCTION("""COMPUTED_VALUE"""),8.0)</f>
        <v>8</v>
      </c>
      <c r="AP175" s="343">
        <f>IFERROR(__xludf.DUMMYFUNCTION("""COMPUTED_VALUE"""),8.0)</f>
        <v>8</v>
      </c>
      <c r="AQ175" s="343">
        <f>IFERROR(__xludf.DUMMYFUNCTION("""COMPUTED_VALUE"""),9.0)</f>
        <v>9</v>
      </c>
      <c r="AR175" s="343">
        <f>IFERROR(__xludf.DUMMYFUNCTION("""COMPUTED_VALUE"""),12.0)</f>
        <v>12</v>
      </c>
      <c r="AS175" s="343">
        <f>IFERROR(__xludf.DUMMYFUNCTION("""COMPUTED_VALUE"""),12.0)</f>
        <v>12</v>
      </c>
      <c r="AT175" s="385" t="str">
        <f>IFERROR(__xludf.DUMMYFUNCTION("""COMPUTED_VALUE"""),"超持続型")</f>
        <v>超持続型</v>
      </c>
      <c r="AU175" s="399">
        <f>IFERROR(__xludf.DUMMYFUNCTION("""COMPUTED_VALUE"""),4.0)</f>
        <v>4</v>
      </c>
      <c r="AV175" s="400" t="str">
        <f>IFERROR(__xludf.DUMMYFUNCTION("""COMPUTED_VALUE"""),"効果値")</f>
        <v>効果値</v>
      </c>
      <c r="AW175" s="403" t="str">
        <f>IFERROR(__xludf.DUMMYFUNCTION("""COMPUTED_VALUE"""),"-")</f>
        <v>-</v>
      </c>
      <c r="AX175" s="403" t="str">
        <f>IFERROR(__xludf.DUMMYFUNCTION("""COMPUTED_VALUE"""),"-")</f>
        <v>-</v>
      </c>
      <c r="AY175" s="403" t="str">
        <f>IFERROR(__xludf.DUMMYFUNCTION("""COMPUTED_VALUE"""),"-")</f>
        <v>-</v>
      </c>
      <c r="AZ175" s="403" t="str">
        <f>IFERROR(__xludf.DUMMYFUNCTION("""COMPUTED_VALUE"""),"-")</f>
        <v>-</v>
      </c>
      <c r="BA175" s="403" t="str">
        <f>IFERROR(__xludf.DUMMYFUNCTION("""COMPUTED_VALUE"""),"-")</f>
        <v>-</v>
      </c>
      <c r="BB175" s="343">
        <f>IFERROR(__xludf.DUMMYFUNCTION("""COMPUTED_VALUE"""),9.0)</f>
        <v>9</v>
      </c>
      <c r="BC175" s="343">
        <f>IFERROR(__xludf.DUMMYFUNCTION("""COMPUTED_VALUE"""),12.0)</f>
        <v>12</v>
      </c>
      <c r="BD175" s="343">
        <f>IFERROR(__xludf.DUMMYFUNCTION("""COMPUTED_VALUE"""),12.0)</f>
        <v>12</v>
      </c>
      <c r="BE175" s="385" t="str">
        <f>IFERROR(__xludf.DUMMYFUNCTION("""COMPUTED_VALUE"""),"ハイブリッド型")</f>
        <v>ハイブリッド型</v>
      </c>
      <c r="BF175" s="399">
        <f>IFERROR(__xludf.DUMMYFUNCTION("""COMPUTED_VALUE"""),4.0)</f>
        <v>4</v>
      </c>
      <c r="BG175" s="400" t="str">
        <f>IFERROR(__xludf.DUMMYFUNCTION("""COMPUTED_VALUE"""),"効果値")</f>
        <v>効果値</v>
      </c>
      <c r="BH175" s="411">
        <f>IFERROR(__xludf.DUMMYFUNCTION("""COMPUTED_VALUE"""),11.8)</f>
        <v>11.8</v>
      </c>
      <c r="BI175" s="412">
        <f>IFERROR(__xludf.DUMMYFUNCTION("""COMPUTED_VALUE"""),12.4)</f>
        <v>12.4</v>
      </c>
      <c r="BJ175" s="412">
        <f>IFERROR(__xludf.DUMMYFUNCTION("""COMPUTED_VALUE"""),13.1)</f>
        <v>13.1</v>
      </c>
      <c r="BK175" s="412">
        <f>IFERROR(__xludf.DUMMYFUNCTION("""COMPUTED_VALUE"""),13.7)</f>
        <v>13.7</v>
      </c>
      <c r="BL175" s="412">
        <f>IFERROR(__xludf.DUMMYFUNCTION("""COMPUTED_VALUE"""),14.4)</f>
        <v>14.4</v>
      </c>
      <c r="BM175" s="412">
        <f>IFERROR(__xludf.DUMMYFUNCTION("""COMPUTED_VALUE"""),19.4)</f>
        <v>19.4</v>
      </c>
      <c r="BN175" s="412">
        <f>IFERROR(__xludf.DUMMYFUNCTION("""COMPUTED_VALUE"""),24.0)</f>
        <v>24</v>
      </c>
      <c r="BO175" s="413">
        <f>IFERROR(__xludf.DUMMYFUNCTION("""COMPUTED_VALUE"""),29.0)</f>
        <v>29</v>
      </c>
    </row>
    <row r="176">
      <c r="A176" s="435" t="str">
        <f>IFERROR(__xludf.DUMMYFUNCTION("""COMPUTED_VALUE"""),"ダメージカット(アタック)")</f>
        <v>ダメージカット(アタック)</v>
      </c>
      <c r="B176" s="385" t="str">
        <f>IFERROR(__xludf.DUMMYFUNCTION("""COMPUTED_VALUE"""),"超瞬間型")</f>
        <v>超瞬間型</v>
      </c>
      <c r="C176" s="386">
        <f>IFERROR(__xludf.DUMMYFUNCTION("""COMPUTED_VALUE"""),4.0)</f>
        <v>4</v>
      </c>
      <c r="D176" s="387" t="str">
        <f>IFERROR(__xludf.DUMMYFUNCTION("""COMPUTED_VALUE"""),"効果時間")</f>
        <v>効果時間</v>
      </c>
      <c r="E176" s="388" t="str">
        <f>IFERROR(__xludf.DUMMYFUNCTION("""COMPUTED_VALUE"""),"-")</f>
        <v>-</v>
      </c>
      <c r="F176" s="389" t="str">
        <f>IFERROR(__xludf.DUMMYFUNCTION("""COMPUTED_VALUE"""),"-")</f>
        <v>-</v>
      </c>
      <c r="G176" s="388" t="str">
        <f>IFERROR(__xludf.DUMMYFUNCTION("""COMPUTED_VALUE"""),"-")</f>
        <v>-</v>
      </c>
      <c r="H176" s="389" t="str">
        <f>IFERROR(__xludf.DUMMYFUNCTION("""COMPUTED_VALUE"""),"-")</f>
        <v>-</v>
      </c>
      <c r="I176" s="388" t="str">
        <f>IFERROR(__xludf.DUMMYFUNCTION("""COMPUTED_VALUE"""),"-")</f>
        <v>-</v>
      </c>
      <c r="J176" s="390">
        <f>IFERROR(__xludf.DUMMYFUNCTION("""COMPUTED_VALUE"""),155.0)</f>
        <v>155</v>
      </c>
      <c r="K176" s="391">
        <f>IFERROR(__xludf.DUMMYFUNCTION("""COMPUTED_VALUE"""),170.0)</f>
        <v>170</v>
      </c>
      <c r="L176" s="340">
        <f>IFERROR(__xludf.DUMMYFUNCTION("""COMPUTED_VALUE"""),195.0)</f>
        <v>195</v>
      </c>
      <c r="M176" s="385" t="str">
        <f>IFERROR(__xludf.DUMMYFUNCTION("""COMPUTED_VALUE"""),"瞬間型")</f>
        <v>瞬間型</v>
      </c>
      <c r="N176" s="386">
        <f>IFERROR(__xludf.DUMMYFUNCTION("""COMPUTED_VALUE"""),4.0)</f>
        <v>4</v>
      </c>
      <c r="O176" s="387" t="str">
        <f>IFERROR(__xludf.DUMMYFUNCTION("""COMPUTED_VALUE"""),"効果時間")</f>
        <v>効果時間</v>
      </c>
      <c r="P176" s="280">
        <f>IFERROR(__xludf.DUMMYFUNCTION("""COMPUTED_VALUE"""),170.0)</f>
        <v>170</v>
      </c>
      <c r="Q176" s="275">
        <f>IFERROR(__xludf.DUMMYFUNCTION("""COMPUTED_VALUE"""),180.0)</f>
        <v>180</v>
      </c>
      <c r="R176" s="280">
        <f>IFERROR(__xludf.DUMMYFUNCTION("""COMPUTED_VALUE"""),185.0)</f>
        <v>185</v>
      </c>
      <c r="S176" s="275">
        <f>IFERROR(__xludf.DUMMYFUNCTION("""COMPUTED_VALUE"""),195.0)</f>
        <v>195</v>
      </c>
      <c r="T176" s="280">
        <f>IFERROR(__xludf.DUMMYFUNCTION("""COMPUTED_VALUE"""),200.0)</f>
        <v>200</v>
      </c>
      <c r="U176" s="280">
        <f>IFERROR(__xludf.DUMMYFUNCTION("""COMPUTED_VALUE"""),215.0)</f>
        <v>215</v>
      </c>
      <c r="V176" s="280">
        <f>IFERROR(__xludf.DUMMYFUNCTION("""COMPUTED_VALUE"""),285.0)</f>
        <v>285</v>
      </c>
      <c r="W176" s="280">
        <f>IFERROR(__xludf.DUMMYFUNCTION("""COMPUTED_VALUE"""),305.0)</f>
        <v>305</v>
      </c>
      <c r="X176" s="385" t="str">
        <f>IFERROR(__xludf.DUMMYFUNCTION("""COMPUTED_VALUE"""),"安定型")</f>
        <v>安定型</v>
      </c>
      <c r="Y176" s="386">
        <f>IFERROR(__xludf.DUMMYFUNCTION("""COMPUTED_VALUE"""),4.0)</f>
        <v>4</v>
      </c>
      <c r="Z176" s="387" t="str">
        <f>IFERROR(__xludf.DUMMYFUNCTION("""COMPUTED_VALUE"""),"効果時間")</f>
        <v>効果時間</v>
      </c>
      <c r="AA176" s="280">
        <f>IFERROR(__xludf.DUMMYFUNCTION("""COMPUTED_VALUE"""),320.0)</f>
        <v>320</v>
      </c>
      <c r="AB176" s="275">
        <f>IFERROR(__xludf.DUMMYFUNCTION("""COMPUTED_VALUE"""),330.0)</f>
        <v>330</v>
      </c>
      <c r="AC176" s="280">
        <f>IFERROR(__xludf.DUMMYFUNCTION("""COMPUTED_VALUE"""),335.0)</f>
        <v>335</v>
      </c>
      <c r="AD176" s="275">
        <f>IFERROR(__xludf.DUMMYFUNCTION("""COMPUTED_VALUE"""),345.0)</f>
        <v>345</v>
      </c>
      <c r="AE176" s="280">
        <f>IFERROR(__xludf.DUMMYFUNCTION("""COMPUTED_VALUE"""),350.0)</f>
        <v>350</v>
      </c>
      <c r="AF176" s="280">
        <f>IFERROR(__xludf.DUMMYFUNCTION("""COMPUTED_VALUE"""),390.0)</f>
        <v>390</v>
      </c>
      <c r="AG176" s="280">
        <f>IFERROR(__xludf.DUMMYFUNCTION("""COMPUTED_VALUE"""),435.0)</f>
        <v>435</v>
      </c>
      <c r="AH176" s="280">
        <f>IFERROR(__xludf.DUMMYFUNCTION("""COMPUTED_VALUE"""),455.0)</f>
        <v>455</v>
      </c>
      <c r="AI176" s="385" t="str">
        <f>IFERROR(__xludf.DUMMYFUNCTION("""COMPUTED_VALUE"""),"持続型")</f>
        <v>持続型</v>
      </c>
      <c r="AJ176" s="386">
        <f>IFERROR(__xludf.DUMMYFUNCTION("""COMPUTED_VALUE"""),4.0)</f>
        <v>4</v>
      </c>
      <c r="AK176" s="387" t="str">
        <f>IFERROR(__xludf.DUMMYFUNCTION("""COMPUTED_VALUE"""),"効果時間")</f>
        <v>効果時間</v>
      </c>
      <c r="AL176" s="280">
        <f>IFERROR(__xludf.DUMMYFUNCTION("""COMPUTED_VALUE"""),470.0)</f>
        <v>470</v>
      </c>
      <c r="AM176" s="275">
        <f>IFERROR(__xludf.DUMMYFUNCTION("""COMPUTED_VALUE"""),480.0)</f>
        <v>480</v>
      </c>
      <c r="AN176" s="280">
        <f>IFERROR(__xludf.DUMMYFUNCTION("""COMPUTED_VALUE"""),485.0)</f>
        <v>485</v>
      </c>
      <c r="AO176" s="275">
        <f>IFERROR(__xludf.DUMMYFUNCTION("""COMPUTED_VALUE"""),495.0)</f>
        <v>495</v>
      </c>
      <c r="AP176" s="280">
        <f>IFERROR(__xludf.DUMMYFUNCTION("""COMPUTED_VALUE"""),500.0)</f>
        <v>500</v>
      </c>
      <c r="AQ176" s="280">
        <f>IFERROR(__xludf.DUMMYFUNCTION("""COMPUTED_VALUE"""),540.0)</f>
        <v>540</v>
      </c>
      <c r="AR176" s="280">
        <f>IFERROR(__xludf.DUMMYFUNCTION("""COMPUTED_VALUE"""),585.0)</f>
        <v>585</v>
      </c>
      <c r="AS176" s="280">
        <f>IFERROR(__xludf.DUMMYFUNCTION("""COMPUTED_VALUE"""),605.0)</f>
        <v>605</v>
      </c>
      <c r="AT176" s="385" t="str">
        <f>IFERROR(__xludf.DUMMYFUNCTION("""COMPUTED_VALUE"""),"超持続型")</f>
        <v>超持続型</v>
      </c>
      <c r="AU176" s="386">
        <f>IFERROR(__xludf.DUMMYFUNCTION("""COMPUTED_VALUE"""),4.0)</f>
        <v>4</v>
      </c>
      <c r="AV176" s="387" t="str">
        <f>IFERROR(__xludf.DUMMYFUNCTION("""COMPUTED_VALUE"""),"効果時間")</f>
        <v>効果時間</v>
      </c>
      <c r="AW176" s="368" t="str">
        <f>IFERROR(__xludf.DUMMYFUNCTION("""COMPUTED_VALUE"""),"-")</f>
        <v>-</v>
      </c>
      <c r="AX176" s="368" t="str">
        <f>IFERROR(__xludf.DUMMYFUNCTION("""COMPUTED_VALUE"""),"-")</f>
        <v>-</v>
      </c>
      <c r="AY176" s="368" t="str">
        <f>IFERROR(__xludf.DUMMYFUNCTION("""COMPUTED_VALUE"""),"-")</f>
        <v>-</v>
      </c>
      <c r="AZ176" s="368" t="str">
        <f>IFERROR(__xludf.DUMMYFUNCTION("""COMPUTED_VALUE"""),"-")</f>
        <v>-</v>
      </c>
      <c r="BA176" s="368" t="str">
        <f>IFERROR(__xludf.DUMMYFUNCTION("""COMPUTED_VALUE"""),"-")</f>
        <v>-</v>
      </c>
      <c r="BB176" s="280">
        <f>IFERROR(__xludf.DUMMYFUNCTION("""COMPUTED_VALUE"""),645.0)</f>
        <v>645</v>
      </c>
      <c r="BC176" s="280">
        <f>IFERROR(__xludf.DUMMYFUNCTION("""COMPUTED_VALUE"""),735.0)</f>
        <v>735</v>
      </c>
      <c r="BD176" s="280">
        <f>IFERROR(__xludf.DUMMYFUNCTION("""COMPUTED_VALUE"""),755.0)</f>
        <v>755</v>
      </c>
      <c r="BE176" s="385" t="str">
        <f>IFERROR(__xludf.DUMMYFUNCTION("""COMPUTED_VALUE"""),"ハイブリッド型")</f>
        <v>ハイブリッド型</v>
      </c>
      <c r="BF176" s="386">
        <f>IFERROR(__xludf.DUMMYFUNCTION("""COMPUTED_VALUE"""),4.0)</f>
        <v>4</v>
      </c>
      <c r="BG176" s="387" t="str">
        <f>IFERROR(__xludf.DUMMYFUNCTION("""COMPUTED_VALUE"""),"効果時間")</f>
        <v>効果時間</v>
      </c>
      <c r="BH176" s="417">
        <f>IFERROR(__xludf.DUMMYFUNCTION("""COMPUTED_VALUE"""),240.0)</f>
        <v>240</v>
      </c>
      <c r="BI176" s="417">
        <f>IFERROR(__xludf.DUMMYFUNCTION("""COMPUTED_VALUE"""),255.0)</f>
        <v>255</v>
      </c>
      <c r="BJ176" s="417">
        <f>IFERROR(__xludf.DUMMYFUNCTION("""COMPUTED_VALUE"""),265.0)</f>
        <v>265</v>
      </c>
      <c r="BK176" s="418">
        <f>IFERROR(__xludf.DUMMYFUNCTION("""COMPUTED_VALUE"""),275.0)</f>
        <v>275</v>
      </c>
      <c r="BL176" s="417">
        <f>IFERROR(__xludf.DUMMYFUNCTION("""COMPUTED_VALUE"""),285.0)</f>
        <v>285</v>
      </c>
      <c r="BM176" s="418">
        <f>IFERROR(__xludf.DUMMYFUNCTION("""COMPUTED_VALUE"""),395.0)</f>
        <v>395</v>
      </c>
      <c r="BN176" s="417">
        <f>IFERROR(__xludf.DUMMYFUNCTION("""COMPUTED_VALUE"""),500.0)</f>
        <v>500</v>
      </c>
      <c r="BO176" s="418">
        <f>IFERROR(__xludf.DUMMYFUNCTION("""COMPUTED_VALUE"""),520.0)</f>
        <v>520</v>
      </c>
    </row>
    <row r="177">
      <c r="A177" s="435" t="str">
        <f>IFERROR(__xludf.DUMMYFUNCTION("""COMPUTED_VALUE"""),"ダメージカット(アタック)")</f>
        <v>ダメージカット(アタック)</v>
      </c>
      <c r="B177" s="385" t="str">
        <f>IFERROR(__xludf.DUMMYFUNCTION("""COMPUTED_VALUE"""),"超瞬間型")</f>
        <v>超瞬間型</v>
      </c>
      <c r="C177" s="399">
        <f>IFERROR(__xludf.DUMMYFUNCTION("""COMPUTED_VALUE"""),5.0)</f>
        <v>5</v>
      </c>
      <c r="D177" s="400" t="str">
        <f>IFERROR(__xludf.DUMMYFUNCTION("""COMPUTED_VALUE"""),"効果値")</f>
        <v>効果値</v>
      </c>
      <c r="E177" s="419" t="str">
        <f>IFERROR(__xludf.DUMMYFUNCTION("""COMPUTED_VALUE"""),"-")</f>
        <v>-</v>
      </c>
      <c r="F177" s="409" t="str">
        <f>IFERROR(__xludf.DUMMYFUNCTION("""COMPUTED_VALUE"""),"-")</f>
        <v>-</v>
      </c>
      <c r="G177" s="409" t="str">
        <f>IFERROR(__xludf.DUMMYFUNCTION("""COMPUTED_VALUE"""),"-")</f>
        <v>-</v>
      </c>
      <c r="H177" s="409" t="str">
        <f>IFERROR(__xludf.DUMMYFUNCTION("""COMPUTED_VALUE"""),"-")</f>
        <v>-</v>
      </c>
      <c r="I177" s="409" t="str">
        <f>IFERROR(__xludf.DUMMYFUNCTION("""COMPUTED_VALUE"""),"-")</f>
        <v>-</v>
      </c>
      <c r="J177" s="420">
        <f>IFERROR(__xludf.DUMMYFUNCTION("""COMPUTED_VALUE"""),60.0)</f>
        <v>60</v>
      </c>
      <c r="K177" s="421">
        <f>IFERROR(__xludf.DUMMYFUNCTION("""COMPUTED_VALUE"""),70.0)</f>
        <v>70</v>
      </c>
      <c r="L177" s="421">
        <f>IFERROR(__xludf.DUMMYFUNCTION("""COMPUTED_VALUE"""),75.0)</f>
        <v>75</v>
      </c>
      <c r="M177" s="385" t="str">
        <f>IFERROR(__xludf.DUMMYFUNCTION("""COMPUTED_VALUE"""),"瞬間型")</f>
        <v>瞬間型</v>
      </c>
      <c r="N177" s="399">
        <f>IFERROR(__xludf.DUMMYFUNCTION("""COMPUTED_VALUE"""),5.0)</f>
        <v>5</v>
      </c>
      <c r="O177" s="400" t="str">
        <f>IFERROR(__xludf.DUMMYFUNCTION("""COMPUTED_VALUE"""),"効果値")</f>
        <v>効果値</v>
      </c>
      <c r="P177" s="422">
        <f>IFERROR(__xludf.DUMMYFUNCTION("""COMPUTED_VALUE"""),23.0)</f>
        <v>23</v>
      </c>
      <c r="Q177" s="423">
        <f>IFERROR(__xludf.DUMMYFUNCTION("""COMPUTED_VALUE"""),23.0)</f>
        <v>23</v>
      </c>
      <c r="R177" s="422">
        <f>IFERROR(__xludf.DUMMYFUNCTION("""COMPUTED_VALUE"""),24.0)</f>
        <v>24</v>
      </c>
      <c r="S177" s="423">
        <f>IFERROR(__xludf.DUMMYFUNCTION("""COMPUTED_VALUE"""),24.0)</f>
        <v>24</v>
      </c>
      <c r="T177" s="422">
        <f>IFERROR(__xludf.DUMMYFUNCTION("""COMPUTED_VALUE"""),24.0)</f>
        <v>24</v>
      </c>
      <c r="U177" s="423">
        <f>IFERROR(__xludf.DUMMYFUNCTION("""COMPUTED_VALUE"""),30.0)</f>
        <v>30</v>
      </c>
      <c r="V177" s="423">
        <f>IFERROR(__xludf.DUMMYFUNCTION("""COMPUTED_VALUE"""),35.0)</f>
        <v>35</v>
      </c>
      <c r="W177" s="424">
        <f>IFERROR(__xludf.DUMMYFUNCTION("""COMPUTED_VALUE"""),40.0)</f>
        <v>40</v>
      </c>
      <c r="X177" s="385" t="str">
        <f>IFERROR(__xludf.DUMMYFUNCTION("""COMPUTED_VALUE"""),"安定型")</f>
        <v>安定型</v>
      </c>
      <c r="Y177" s="399">
        <f>IFERROR(__xludf.DUMMYFUNCTION("""COMPUTED_VALUE"""),5.0)</f>
        <v>5</v>
      </c>
      <c r="Z177" s="400" t="str">
        <f>IFERROR(__xludf.DUMMYFUNCTION("""COMPUTED_VALUE"""),"効果値")</f>
        <v>効果値</v>
      </c>
      <c r="AA177" s="422">
        <f>IFERROR(__xludf.DUMMYFUNCTION("""COMPUTED_VALUE"""),13.0)</f>
        <v>13</v>
      </c>
      <c r="AB177" s="423">
        <f>IFERROR(__xludf.DUMMYFUNCTION("""COMPUTED_VALUE"""),13.0)</f>
        <v>13</v>
      </c>
      <c r="AC177" s="422">
        <f>IFERROR(__xludf.DUMMYFUNCTION("""COMPUTED_VALUE"""),14.0)</f>
        <v>14</v>
      </c>
      <c r="AD177" s="423">
        <f>IFERROR(__xludf.DUMMYFUNCTION("""COMPUTED_VALUE"""),14.0)</f>
        <v>14</v>
      </c>
      <c r="AE177" s="422">
        <f>IFERROR(__xludf.DUMMYFUNCTION("""COMPUTED_VALUE"""),14.0)</f>
        <v>14</v>
      </c>
      <c r="AF177" s="423">
        <f>IFERROR(__xludf.DUMMYFUNCTION("""COMPUTED_VALUE"""),15.0)</f>
        <v>15</v>
      </c>
      <c r="AG177" s="423">
        <f>IFERROR(__xludf.DUMMYFUNCTION("""COMPUTED_VALUE"""),20.0)</f>
        <v>20</v>
      </c>
      <c r="AH177" s="424">
        <f>IFERROR(__xludf.DUMMYFUNCTION("""COMPUTED_VALUE"""),25.0)</f>
        <v>25</v>
      </c>
      <c r="AI177" s="385" t="str">
        <f>IFERROR(__xludf.DUMMYFUNCTION("""COMPUTED_VALUE"""),"持続型")</f>
        <v>持続型</v>
      </c>
      <c r="AJ177" s="399">
        <f>IFERROR(__xludf.DUMMYFUNCTION("""COMPUTED_VALUE"""),5.0)</f>
        <v>5</v>
      </c>
      <c r="AK177" s="400" t="str">
        <f>IFERROR(__xludf.DUMMYFUNCTION("""COMPUTED_VALUE"""),"効果値")</f>
        <v>効果値</v>
      </c>
      <c r="AL177" s="422">
        <f>IFERROR(__xludf.DUMMYFUNCTION("""COMPUTED_VALUE"""),8.0)</f>
        <v>8</v>
      </c>
      <c r="AM177" s="423">
        <f>IFERROR(__xludf.DUMMYFUNCTION("""COMPUTED_VALUE"""),8.0)</f>
        <v>8</v>
      </c>
      <c r="AN177" s="422">
        <f>IFERROR(__xludf.DUMMYFUNCTION("""COMPUTED_VALUE"""),9.0)</f>
        <v>9</v>
      </c>
      <c r="AO177" s="423">
        <f>IFERROR(__xludf.DUMMYFUNCTION("""COMPUTED_VALUE"""),9.0)</f>
        <v>9</v>
      </c>
      <c r="AP177" s="422">
        <f>IFERROR(__xludf.DUMMYFUNCTION("""COMPUTED_VALUE"""),9.0)</f>
        <v>9</v>
      </c>
      <c r="AQ177" s="423">
        <f>IFERROR(__xludf.DUMMYFUNCTION("""COMPUTED_VALUE"""),10.0)</f>
        <v>10</v>
      </c>
      <c r="AR177" s="423">
        <f>IFERROR(__xludf.DUMMYFUNCTION("""COMPUTED_VALUE"""),12.0)</f>
        <v>12</v>
      </c>
      <c r="AS177" s="424">
        <f>IFERROR(__xludf.DUMMYFUNCTION("""COMPUTED_VALUE"""),12.0)</f>
        <v>12</v>
      </c>
      <c r="AT177" s="385" t="str">
        <f>IFERROR(__xludf.DUMMYFUNCTION("""COMPUTED_VALUE"""),"超持続型")</f>
        <v>超持続型</v>
      </c>
      <c r="AU177" s="399">
        <f>IFERROR(__xludf.DUMMYFUNCTION("""COMPUTED_VALUE"""),5.0)</f>
        <v>5</v>
      </c>
      <c r="AV177" s="400" t="str">
        <f>IFERROR(__xludf.DUMMYFUNCTION("""COMPUTED_VALUE"""),"効果値")</f>
        <v>効果値</v>
      </c>
      <c r="AW177" s="425" t="str">
        <f>IFERROR(__xludf.DUMMYFUNCTION("""COMPUTED_VALUE"""),"-")</f>
        <v>-</v>
      </c>
      <c r="AX177" s="426" t="str">
        <f>IFERROR(__xludf.DUMMYFUNCTION("""COMPUTED_VALUE"""),"-")</f>
        <v>-</v>
      </c>
      <c r="AY177" s="426" t="str">
        <f>IFERROR(__xludf.DUMMYFUNCTION("""COMPUTED_VALUE"""),"-")</f>
        <v>-</v>
      </c>
      <c r="AZ177" s="426" t="str">
        <f>IFERROR(__xludf.DUMMYFUNCTION("""COMPUTED_VALUE"""),"-")</f>
        <v>-</v>
      </c>
      <c r="BA177" s="426" t="str">
        <f>IFERROR(__xludf.DUMMYFUNCTION("""COMPUTED_VALUE"""),"-")</f>
        <v>-</v>
      </c>
      <c r="BB177" s="423">
        <f>IFERROR(__xludf.DUMMYFUNCTION("""COMPUTED_VALUE"""),10.0)</f>
        <v>10</v>
      </c>
      <c r="BC177" s="423">
        <f>IFERROR(__xludf.DUMMYFUNCTION("""COMPUTED_VALUE"""),12.0)</f>
        <v>12</v>
      </c>
      <c r="BD177" s="424">
        <f>IFERROR(__xludf.DUMMYFUNCTION("""COMPUTED_VALUE"""),12.0)</f>
        <v>12</v>
      </c>
      <c r="BE177" s="385" t="str">
        <f>IFERROR(__xludf.DUMMYFUNCTION("""COMPUTED_VALUE"""),"ハイブリッド型")</f>
        <v>ハイブリッド型</v>
      </c>
      <c r="BF177" s="399">
        <f>IFERROR(__xludf.DUMMYFUNCTION("""COMPUTED_VALUE"""),5.0)</f>
        <v>5</v>
      </c>
      <c r="BG177" s="400" t="str">
        <f>IFERROR(__xludf.DUMMYFUNCTION("""COMPUTED_VALUE"""),"効果値")</f>
        <v>効果値</v>
      </c>
      <c r="BH177" s="427">
        <f>IFERROR(__xludf.DUMMYFUNCTION("""COMPUTED_VALUE"""),12.0)</f>
        <v>12</v>
      </c>
      <c r="BI177" s="428">
        <f>IFERROR(__xludf.DUMMYFUNCTION("""COMPUTED_VALUE"""),12.75)</f>
        <v>12.75</v>
      </c>
      <c r="BJ177" s="428">
        <f>IFERROR(__xludf.DUMMYFUNCTION("""COMPUTED_VALUE"""),13.5)</f>
        <v>13.5</v>
      </c>
      <c r="BK177" s="428">
        <f>IFERROR(__xludf.DUMMYFUNCTION("""COMPUTED_VALUE"""),14.25)</f>
        <v>14.25</v>
      </c>
      <c r="BL177" s="427">
        <f>IFERROR(__xludf.DUMMYFUNCTION("""COMPUTED_VALUE"""),15.0)</f>
        <v>15</v>
      </c>
      <c r="BM177" s="427">
        <f>IFERROR(__xludf.DUMMYFUNCTION("""COMPUTED_VALUE"""),20.0)</f>
        <v>20</v>
      </c>
      <c r="BN177" s="427">
        <f>IFERROR(__xludf.DUMMYFUNCTION("""COMPUTED_VALUE"""),25.0)</f>
        <v>25</v>
      </c>
      <c r="BO177" s="429">
        <f>IFERROR(__xludf.DUMMYFUNCTION("""COMPUTED_VALUE"""),30.0)</f>
        <v>30</v>
      </c>
    </row>
    <row r="178">
      <c r="A178" s="435" t="str">
        <f>IFERROR(__xludf.DUMMYFUNCTION("""COMPUTED_VALUE"""),"ダメージカット(アタック)")</f>
        <v>ダメージカット(アタック)</v>
      </c>
      <c r="B178" s="385" t="str">
        <f>IFERROR(__xludf.DUMMYFUNCTION("""COMPUTED_VALUE"""),"超瞬間型")</f>
        <v>超瞬間型</v>
      </c>
      <c r="C178" s="430">
        <f>IFERROR(__xludf.DUMMYFUNCTION("""COMPUTED_VALUE"""),5.0)</f>
        <v>5</v>
      </c>
      <c r="D178" s="431" t="str">
        <f>IFERROR(__xludf.DUMMYFUNCTION("""COMPUTED_VALUE"""),"効果時間")</f>
        <v>効果時間</v>
      </c>
      <c r="E178" s="388" t="str">
        <f>IFERROR(__xludf.DUMMYFUNCTION("""COMPUTED_VALUE"""),"-")</f>
        <v>-</v>
      </c>
      <c r="F178" s="389" t="str">
        <f>IFERROR(__xludf.DUMMYFUNCTION("""COMPUTED_VALUE"""),"-")</f>
        <v>-</v>
      </c>
      <c r="G178" s="388" t="str">
        <f>IFERROR(__xludf.DUMMYFUNCTION("""COMPUTED_VALUE"""),"-")</f>
        <v>-</v>
      </c>
      <c r="H178" s="389" t="str">
        <f>IFERROR(__xludf.DUMMYFUNCTION("""COMPUTED_VALUE"""),"-")</f>
        <v>-</v>
      </c>
      <c r="I178" s="388" t="str">
        <f>IFERROR(__xludf.DUMMYFUNCTION("""COMPUTED_VALUE"""),"-")</f>
        <v>-</v>
      </c>
      <c r="J178" s="390">
        <f>IFERROR(__xludf.DUMMYFUNCTION("""COMPUTED_VALUE"""),160.0)</f>
        <v>160</v>
      </c>
      <c r="K178" s="391">
        <f>IFERROR(__xludf.DUMMYFUNCTION("""COMPUTED_VALUE"""),175.0)</f>
        <v>175</v>
      </c>
      <c r="L178" s="340">
        <f>IFERROR(__xludf.DUMMYFUNCTION("""COMPUTED_VALUE"""),200.0)</f>
        <v>200</v>
      </c>
      <c r="M178" s="385" t="str">
        <f>IFERROR(__xludf.DUMMYFUNCTION("""COMPUTED_VALUE"""),"瞬間型")</f>
        <v>瞬間型</v>
      </c>
      <c r="N178" s="430">
        <f>IFERROR(__xludf.DUMMYFUNCTION("""COMPUTED_VALUE"""),5.0)</f>
        <v>5</v>
      </c>
      <c r="O178" s="431" t="str">
        <f>IFERROR(__xludf.DUMMYFUNCTION("""COMPUTED_VALUE"""),"効果時間")</f>
        <v>効果時間</v>
      </c>
      <c r="P178" s="392">
        <f>IFERROR(__xludf.DUMMYFUNCTION("""COMPUTED_VALUE"""),175.0)</f>
        <v>175</v>
      </c>
      <c r="Q178" s="414">
        <f>IFERROR(__xludf.DUMMYFUNCTION("""COMPUTED_VALUE"""),185.0)</f>
        <v>185</v>
      </c>
      <c r="R178" s="414">
        <f>IFERROR(__xludf.DUMMYFUNCTION("""COMPUTED_VALUE"""),190.0)</f>
        <v>190</v>
      </c>
      <c r="S178" s="414">
        <f>IFERROR(__xludf.DUMMYFUNCTION("""COMPUTED_VALUE"""),195.0)</f>
        <v>195</v>
      </c>
      <c r="T178" s="394">
        <f>IFERROR(__xludf.DUMMYFUNCTION("""COMPUTED_VALUE"""),200.0)</f>
        <v>200</v>
      </c>
      <c r="U178" s="394">
        <f>IFERROR(__xludf.DUMMYFUNCTION("""COMPUTED_VALUE"""),225.0)</f>
        <v>225</v>
      </c>
      <c r="V178" s="394">
        <f>IFERROR(__xludf.DUMMYFUNCTION("""COMPUTED_VALUE"""),300.0)</f>
        <v>300</v>
      </c>
      <c r="W178" s="394">
        <f>IFERROR(__xludf.DUMMYFUNCTION("""COMPUTED_VALUE"""),325.0)</f>
        <v>325</v>
      </c>
      <c r="X178" s="385" t="str">
        <f>IFERROR(__xludf.DUMMYFUNCTION("""COMPUTED_VALUE"""),"安定型")</f>
        <v>安定型</v>
      </c>
      <c r="Y178" s="430">
        <f>IFERROR(__xludf.DUMMYFUNCTION("""COMPUTED_VALUE"""),5.0)</f>
        <v>5</v>
      </c>
      <c r="Z178" s="431" t="str">
        <f>IFERROR(__xludf.DUMMYFUNCTION("""COMPUTED_VALUE"""),"効果時間")</f>
        <v>効果時間</v>
      </c>
      <c r="AA178" s="392">
        <f>IFERROR(__xludf.DUMMYFUNCTION("""COMPUTED_VALUE"""),325.0)</f>
        <v>325</v>
      </c>
      <c r="AB178" s="414">
        <f>IFERROR(__xludf.DUMMYFUNCTION("""COMPUTED_VALUE"""),335.0)</f>
        <v>335</v>
      </c>
      <c r="AC178" s="414">
        <f>IFERROR(__xludf.DUMMYFUNCTION("""COMPUTED_VALUE"""),340.0)</f>
        <v>340</v>
      </c>
      <c r="AD178" s="414">
        <f>IFERROR(__xludf.DUMMYFUNCTION("""COMPUTED_VALUE"""),345.0)</f>
        <v>345</v>
      </c>
      <c r="AE178" s="394">
        <f>IFERROR(__xludf.DUMMYFUNCTION("""COMPUTED_VALUE"""),350.0)</f>
        <v>350</v>
      </c>
      <c r="AF178" s="394">
        <f>IFERROR(__xludf.DUMMYFUNCTION("""COMPUTED_VALUE"""),400.0)</f>
        <v>400</v>
      </c>
      <c r="AG178" s="394">
        <f>IFERROR(__xludf.DUMMYFUNCTION("""COMPUTED_VALUE"""),450.0)</f>
        <v>450</v>
      </c>
      <c r="AH178" s="394">
        <f>IFERROR(__xludf.DUMMYFUNCTION("""COMPUTED_VALUE"""),475.0)</f>
        <v>475</v>
      </c>
      <c r="AI178" s="385" t="str">
        <f>IFERROR(__xludf.DUMMYFUNCTION("""COMPUTED_VALUE"""),"持続型")</f>
        <v>持続型</v>
      </c>
      <c r="AJ178" s="430">
        <f>IFERROR(__xludf.DUMMYFUNCTION("""COMPUTED_VALUE"""),5.0)</f>
        <v>5</v>
      </c>
      <c r="AK178" s="431" t="str">
        <f>IFERROR(__xludf.DUMMYFUNCTION("""COMPUTED_VALUE"""),"効果時間")</f>
        <v>効果時間</v>
      </c>
      <c r="AL178" s="392">
        <f>IFERROR(__xludf.DUMMYFUNCTION("""COMPUTED_VALUE"""),475.0)</f>
        <v>475</v>
      </c>
      <c r="AM178" s="414">
        <f>IFERROR(__xludf.DUMMYFUNCTION("""COMPUTED_VALUE"""),485.0)</f>
        <v>485</v>
      </c>
      <c r="AN178" s="414">
        <f>IFERROR(__xludf.DUMMYFUNCTION("""COMPUTED_VALUE"""),490.0)</f>
        <v>490</v>
      </c>
      <c r="AO178" s="414">
        <f>IFERROR(__xludf.DUMMYFUNCTION("""COMPUTED_VALUE"""),495.0)</f>
        <v>495</v>
      </c>
      <c r="AP178" s="394">
        <f>IFERROR(__xludf.DUMMYFUNCTION("""COMPUTED_VALUE"""),500.0)</f>
        <v>500</v>
      </c>
      <c r="AQ178" s="394">
        <f>IFERROR(__xludf.DUMMYFUNCTION("""COMPUTED_VALUE"""),550.0)</f>
        <v>550</v>
      </c>
      <c r="AR178" s="394">
        <f>IFERROR(__xludf.DUMMYFUNCTION("""COMPUTED_VALUE"""),600.0)</f>
        <v>600</v>
      </c>
      <c r="AS178" s="394">
        <f>IFERROR(__xludf.DUMMYFUNCTION("""COMPUTED_VALUE"""),625.0)</f>
        <v>625</v>
      </c>
      <c r="AT178" s="385" t="str">
        <f>IFERROR(__xludf.DUMMYFUNCTION("""COMPUTED_VALUE"""),"超持続型")</f>
        <v>超持続型</v>
      </c>
      <c r="AU178" s="430">
        <f>IFERROR(__xludf.DUMMYFUNCTION("""COMPUTED_VALUE"""),5.0)</f>
        <v>5</v>
      </c>
      <c r="AV178" s="431" t="str">
        <f>IFERROR(__xludf.DUMMYFUNCTION("""COMPUTED_VALUE"""),"効果時間")</f>
        <v>効果時間</v>
      </c>
      <c r="AW178" s="395" t="str">
        <f>IFERROR(__xludf.DUMMYFUNCTION("""COMPUTED_VALUE"""),"-")</f>
        <v>-</v>
      </c>
      <c r="AX178" s="396" t="str">
        <f>IFERROR(__xludf.DUMMYFUNCTION("""COMPUTED_VALUE"""),"-")</f>
        <v>-</v>
      </c>
      <c r="AY178" s="396" t="str">
        <f>IFERROR(__xludf.DUMMYFUNCTION("""COMPUTED_VALUE"""),"-")</f>
        <v>-</v>
      </c>
      <c r="AZ178" s="396" t="str">
        <f>IFERROR(__xludf.DUMMYFUNCTION("""COMPUTED_VALUE"""),"-")</f>
        <v>-</v>
      </c>
      <c r="BA178" s="396" t="str">
        <f>IFERROR(__xludf.DUMMYFUNCTION("""COMPUTED_VALUE"""),"-")</f>
        <v>-</v>
      </c>
      <c r="BB178" s="393">
        <f>IFERROR(__xludf.DUMMYFUNCTION("""COMPUTED_VALUE"""),650.0)</f>
        <v>650</v>
      </c>
      <c r="BC178" s="393">
        <f>IFERROR(__xludf.DUMMYFUNCTION("""COMPUTED_VALUE"""),750.0)</f>
        <v>750</v>
      </c>
      <c r="BD178" s="394">
        <f>IFERROR(__xludf.DUMMYFUNCTION("""COMPUTED_VALUE"""),775.0)</f>
        <v>775</v>
      </c>
      <c r="BE178" s="385" t="str">
        <f>IFERROR(__xludf.DUMMYFUNCTION("""COMPUTED_VALUE"""),"ハイブリッド型")</f>
        <v>ハイブリッド型</v>
      </c>
      <c r="BF178" s="430">
        <f>IFERROR(__xludf.DUMMYFUNCTION("""COMPUTED_VALUE"""),5.0)</f>
        <v>5</v>
      </c>
      <c r="BG178" s="431" t="str">
        <f>IFERROR(__xludf.DUMMYFUNCTION("""COMPUTED_VALUE"""),"効果時間")</f>
        <v>効果時間</v>
      </c>
      <c r="BH178" s="304">
        <f>IFERROR(__xludf.DUMMYFUNCTION("""COMPUTED_VALUE"""),250.0)</f>
        <v>250</v>
      </c>
      <c r="BI178" s="432">
        <f>IFERROR(__xludf.DUMMYFUNCTION("""COMPUTED_VALUE"""),265.0)</f>
        <v>265</v>
      </c>
      <c r="BJ178" s="432">
        <f>IFERROR(__xludf.DUMMYFUNCTION("""COMPUTED_VALUE"""),275.0)</f>
        <v>275</v>
      </c>
      <c r="BK178" s="432">
        <f>IFERROR(__xludf.DUMMYFUNCTION("""COMPUTED_VALUE"""),290.0)</f>
        <v>290</v>
      </c>
      <c r="BL178" s="304">
        <f>IFERROR(__xludf.DUMMYFUNCTION("""COMPUTED_VALUE"""),300.0)</f>
        <v>300</v>
      </c>
      <c r="BM178" s="304">
        <f>IFERROR(__xludf.DUMMYFUNCTION("""COMPUTED_VALUE"""),400.0)</f>
        <v>400</v>
      </c>
      <c r="BN178" s="304">
        <f>IFERROR(__xludf.DUMMYFUNCTION("""COMPUTED_VALUE"""),500.0)</f>
        <v>500</v>
      </c>
      <c r="BO178" s="304">
        <f>IFERROR(__xludf.DUMMYFUNCTION("""COMPUTED_VALUE"""),525.0)</f>
        <v>525</v>
      </c>
    </row>
    <row r="179">
      <c r="A179" s="433" t="str">
        <f>IFERROR(__xludf.DUMMYFUNCTION("""COMPUTED_VALUE"""),"ダメージカット(テクニカル)")</f>
        <v>ダメージカット(テクニカル)</v>
      </c>
      <c r="B179" s="374" t="str">
        <f>IFERROR(__xludf.DUMMYFUNCTION("""COMPUTED_VALUE"""),"超瞬間型")</f>
        <v>超瞬間型</v>
      </c>
      <c r="C179" s="375">
        <f>IFERROR(__xludf.DUMMYFUNCTION("""COMPUTED_VALUE"""),1.0)</f>
        <v>1</v>
      </c>
      <c r="D179" s="376" t="str">
        <f>IFERROR(__xludf.DUMMYFUNCTION("""COMPUTED_VALUE"""),"効果値")</f>
        <v>効果値</v>
      </c>
      <c r="E179" s="377" t="str">
        <f>IFERROR(__xludf.DUMMYFUNCTION("""COMPUTED_VALUE"""),"-")</f>
        <v>-</v>
      </c>
      <c r="F179" s="378" t="str">
        <f>IFERROR(__xludf.DUMMYFUNCTION("""COMPUTED_VALUE"""),"-")</f>
        <v>-</v>
      </c>
      <c r="G179" s="377" t="str">
        <f>IFERROR(__xludf.DUMMYFUNCTION("""COMPUTED_VALUE"""),"-")</f>
        <v>-</v>
      </c>
      <c r="H179" s="378" t="str">
        <f>IFERROR(__xludf.DUMMYFUNCTION("""COMPUTED_VALUE"""),"-")</f>
        <v>-</v>
      </c>
      <c r="I179" s="377" t="str">
        <f>IFERROR(__xludf.DUMMYFUNCTION("""COMPUTED_VALUE"""),"-")</f>
        <v>-</v>
      </c>
      <c r="J179" s="379">
        <f>IFERROR(__xludf.DUMMYFUNCTION("""COMPUTED_VALUE"""),55.0)</f>
        <v>55</v>
      </c>
      <c r="K179" s="294">
        <f>IFERROR(__xludf.DUMMYFUNCTION("""COMPUTED_VALUE"""),65.0)</f>
        <v>65</v>
      </c>
      <c r="L179" s="294">
        <f>IFERROR(__xludf.DUMMYFUNCTION("""COMPUTED_VALUE"""),65.0)</f>
        <v>65</v>
      </c>
      <c r="M179" s="374" t="str">
        <f>IFERROR(__xludf.DUMMYFUNCTION("""COMPUTED_VALUE"""),"瞬間型")</f>
        <v>瞬間型</v>
      </c>
      <c r="N179" s="375">
        <f>IFERROR(__xludf.DUMMYFUNCTION("""COMPUTED_VALUE"""),1.0)</f>
        <v>1</v>
      </c>
      <c r="O179" s="376" t="str">
        <f>IFERROR(__xludf.DUMMYFUNCTION("""COMPUTED_VALUE"""),"効果値")</f>
        <v>効果値</v>
      </c>
      <c r="P179" s="380">
        <f>IFERROR(__xludf.DUMMYFUNCTION("""COMPUTED_VALUE"""),20.0)</f>
        <v>20</v>
      </c>
      <c r="Q179" s="263">
        <f>IFERROR(__xludf.DUMMYFUNCTION("""COMPUTED_VALUE"""),20.0)</f>
        <v>20</v>
      </c>
      <c r="R179" s="263">
        <f>IFERROR(__xludf.DUMMYFUNCTION("""COMPUTED_VALUE"""),20.0)</f>
        <v>20</v>
      </c>
      <c r="S179" s="263">
        <f>IFERROR(__xludf.DUMMYFUNCTION("""COMPUTED_VALUE"""),20.0)</f>
        <v>20</v>
      </c>
      <c r="T179" s="263">
        <f>IFERROR(__xludf.DUMMYFUNCTION("""COMPUTED_VALUE"""),20.0)</f>
        <v>20</v>
      </c>
      <c r="U179" s="263">
        <f>IFERROR(__xludf.DUMMYFUNCTION("""COMPUTED_VALUE"""),25.0)</f>
        <v>25</v>
      </c>
      <c r="V179" s="266">
        <f>IFERROR(__xludf.DUMMYFUNCTION("""COMPUTED_VALUE"""),30.0)</f>
        <v>30</v>
      </c>
      <c r="W179" s="266">
        <f>IFERROR(__xludf.DUMMYFUNCTION("""COMPUTED_VALUE"""),30.0)</f>
        <v>30</v>
      </c>
      <c r="X179" s="374" t="str">
        <f>IFERROR(__xludf.DUMMYFUNCTION("""COMPUTED_VALUE"""),"安定型")</f>
        <v>安定型</v>
      </c>
      <c r="Y179" s="375">
        <f>IFERROR(__xludf.DUMMYFUNCTION("""COMPUTED_VALUE"""),1.0)</f>
        <v>1</v>
      </c>
      <c r="Z179" s="376" t="str">
        <f>IFERROR(__xludf.DUMMYFUNCTION("""COMPUTED_VALUE"""),"効果値")</f>
        <v>効果値</v>
      </c>
      <c r="AA179" s="380">
        <f>IFERROR(__xludf.DUMMYFUNCTION("""COMPUTED_VALUE"""),10.0)</f>
        <v>10</v>
      </c>
      <c r="AB179" s="263">
        <f>IFERROR(__xludf.DUMMYFUNCTION("""COMPUTED_VALUE"""),10.0)</f>
        <v>10</v>
      </c>
      <c r="AC179" s="263">
        <f>IFERROR(__xludf.DUMMYFUNCTION("""COMPUTED_VALUE"""),10.0)</f>
        <v>10</v>
      </c>
      <c r="AD179" s="263">
        <f>IFERROR(__xludf.DUMMYFUNCTION("""COMPUTED_VALUE"""),10.0)</f>
        <v>10</v>
      </c>
      <c r="AE179" s="263">
        <f>IFERROR(__xludf.DUMMYFUNCTION("""COMPUTED_VALUE"""),10.0)</f>
        <v>10</v>
      </c>
      <c r="AF179" s="263">
        <f>IFERROR(__xludf.DUMMYFUNCTION("""COMPUTED_VALUE"""),10.0)</f>
        <v>10</v>
      </c>
      <c r="AG179" s="266">
        <f>IFERROR(__xludf.DUMMYFUNCTION("""COMPUTED_VALUE"""),15.0)</f>
        <v>15</v>
      </c>
      <c r="AH179" s="266">
        <f>IFERROR(__xludf.DUMMYFUNCTION("""COMPUTED_VALUE"""),15.0)</f>
        <v>15</v>
      </c>
      <c r="AI179" s="374" t="str">
        <f>IFERROR(__xludf.DUMMYFUNCTION("""COMPUTED_VALUE"""),"持続型")</f>
        <v>持続型</v>
      </c>
      <c r="AJ179" s="375">
        <f>IFERROR(__xludf.DUMMYFUNCTION("""COMPUTED_VALUE"""),1.0)</f>
        <v>1</v>
      </c>
      <c r="AK179" s="376" t="str">
        <f>IFERROR(__xludf.DUMMYFUNCTION("""COMPUTED_VALUE"""),"効果値")</f>
        <v>効果値</v>
      </c>
      <c r="AL179" s="380">
        <f>IFERROR(__xludf.DUMMYFUNCTION("""COMPUTED_VALUE"""),5.0)</f>
        <v>5</v>
      </c>
      <c r="AM179" s="263">
        <f>IFERROR(__xludf.DUMMYFUNCTION("""COMPUTED_VALUE"""),5.0)</f>
        <v>5</v>
      </c>
      <c r="AN179" s="263">
        <f>IFERROR(__xludf.DUMMYFUNCTION("""COMPUTED_VALUE"""),5.0)</f>
        <v>5</v>
      </c>
      <c r="AO179" s="263">
        <f>IFERROR(__xludf.DUMMYFUNCTION("""COMPUTED_VALUE"""),5.0)</f>
        <v>5</v>
      </c>
      <c r="AP179" s="263">
        <f>IFERROR(__xludf.DUMMYFUNCTION("""COMPUTED_VALUE"""),5.0)</f>
        <v>5</v>
      </c>
      <c r="AQ179" s="263">
        <f>IFERROR(__xludf.DUMMYFUNCTION("""COMPUTED_VALUE"""),5.0)</f>
        <v>5</v>
      </c>
      <c r="AR179" s="266">
        <f>IFERROR(__xludf.DUMMYFUNCTION("""COMPUTED_VALUE"""),10.0)</f>
        <v>10</v>
      </c>
      <c r="AS179" s="266">
        <f>IFERROR(__xludf.DUMMYFUNCTION("""COMPUTED_VALUE"""),10.0)</f>
        <v>10</v>
      </c>
      <c r="AT179" s="374" t="str">
        <f>IFERROR(__xludf.DUMMYFUNCTION("""COMPUTED_VALUE"""),"超持続型")</f>
        <v>超持続型</v>
      </c>
      <c r="AU179" s="375">
        <f>IFERROR(__xludf.DUMMYFUNCTION("""COMPUTED_VALUE"""),1.0)</f>
        <v>1</v>
      </c>
      <c r="AV179" s="376" t="str">
        <f>IFERROR(__xludf.DUMMYFUNCTION("""COMPUTED_VALUE"""),"効果値")</f>
        <v>効果値</v>
      </c>
      <c r="AW179" s="350" t="str">
        <f>IFERROR(__xludf.DUMMYFUNCTION("""COMPUTED_VALUE"""),"-")</f>
        <v>-</v>
      </c>
      <c r="AX179" s="348" t="str">
        <f>IFERROR(__xludf.DUMMYFUNCTION("""COMPUTED_VALUE"""),"-")</f>
        <v>-</v>
      </c>
      <c r="AY179" s="348" t="str">
        <f>IFERROR(__xludf.DUMMYFUNCTION("""COMPUTED_VALUE"""),"-")</f>
        <v>-</v>
      </c>
      <c r="AZ179" s="348" t="str">
        <f>IFERROR(__xludf.DUMMYFUNCTION("""COMPUTED_VALUE"""),"-")</f>
        <v>-</v>
      </c>
      <c r="BA179" s="348" t="str">
        <f>IFERROR(__xludf.DUMMYFUNCTION("""COMPUTED_VALUE"""),"-")</f>
        <v>-</v>
      </c>
      <c r="BB179" s="263">
        <f>IFERROR(__xludf.DUMMYFUNCTION("""COMPUTED_VALUE"""),5.0)</f>
        <v>5</v>
      </c>
      <c r="BC179" s="266">
        <f>IFERROR(__xludf.DUMMYFUNCTION("""COMPUTED_VALUE"""),10.0)</f>
        <v>10</v>
      </c>
      <c r="BD179" s="266">
        <f>IFERROR(__xludf.DUMMYFUNCTION("""COMPUTED_VALUE"""),10.0)</f>
        <v>10</v>
      </c>
      <c r="BE179" s="374" t="str">
        <f>IFERROR(__xludf.DUMMYFUNCTION("""COMPUTED_VALUE"""),"ハイブリッド型")</f>
        <v>ハイブリッド型</v>
      </c>
      <c r="BF179" s="375">
        <f>IFERROR(__xludf.DUMMYFUNCTION("""COMPUTED_VALUE"""),1.0)</f>
        <v>1</v>
      </c>
      <c r="BG179" s="376" t="str">
        <f>IFERROR(__xludf.DUMMYFUNCTION("""COMPUTED_VALUE"""),"効果値")</f>
        <v>効果値</v>
      </c>
      <c r="BH179" s="381">
        <f>IFERROR(__xludf.DUMMYFUNCTION("""COMPUTED_VALUE"""),10.0)</f>
        <v>10</v>
      </c>
      <c r="BI179" s="382">
        <f>IFERROR(__xludf.DUMMYFUNCTION("""COMPUTED_VALUE"""),10.0)</f>
        <v>10</v>
      </c>
      <c r="BJ179" s="382">
        <f>IFERROR(__xludf.DUMMYFUNCTION("""COMPUTED_VALUE"""),10.0)</f>
        <v>10</v>
      </c>
      <c r="BK179" s="382">
        <f>IFERROR(__xludf.DUMMYFUNCTION("""COMPUTED_VALUE"""),10.0)</f>
        <v>10</v>
      </c>
      <c r="BL179" s="382">
        <f>IFERROR(__xludf.DUMMYFUNCTION("""COMPUTED_VALUE"""),10.0)</f>
        <v>10</v>
      </c>
      <c r="BM179" s="382">
        <f>IFERROR(__xludf.DUMMYFUNCTION("""COMPUTED_VALUE"""),15.0)</f>
        <v>15</v>
      </c>
      <c r="BN179" s="382">
        <f>IFERROR(__xludf.DUMMYFUNCTION("""COMPUTED_VALUE"""),20.0)</f>
        <v>20</v>
      </c>
      <c r="BO179" s="383">
        <f>IFERROR(__xludf.DUMMYFUNCTION("""COMPUTED_VALUE"""),20.0)</f>
        <v>20</v>
      </c>
    </row>
    <row r="180">
      <c r="A180" s="434" t="str">
        <f>IFERROR(__xludf.DUMMYFUNCTION("""COMPUTED_VALUE"""),"ダメージカット(テクニカル)")</f>
        <v>ダメージカット(テクニカル)</v>
      </c>
      <c r="B180" s="385" t="str">
        <f>IFERROR(__xludf.DUMMYFUNCTION("""COMPUTED_VALUE"""),"超瞬間型")</f>
        <v>超瞬間型</v>
      </c>
      <c r="C180" s="386">
        <f>IFERROR(__xludf.DUMMYFUNCTION("""COMPUTED_VALUE"""),1.0)</f>
        <v>1</v>
      </c>
      <c r="D180" s="387" t="str">
        <f>IFERROR(__xludf.DUMMYFUNCTION("""COMPUTED_VALUE"""),"効果時間")</f>
        <v>効果時間</v>
      </c>
      <c r="E180" s="388" t="str">
        <f>IFERROR(__xludf.DUMMYFUNCTION("""COMPUTED_VALUE"""),"-")</f>
        <v>-</v>
      </c>
      <c r="F180" s="389" t="str">
        <f>IFERROR(__xludf.DUMMYFUNCTION("""COMPUTED_VALUE"""),"-")</f>
        <v>-</v>
      </c>
      <c r="G180" s="388" t="str">
        <f>IFERROR(__xludf.DUMMYFUNCTION("""COMPUTED_VALUE"""),"-")</f>
        <v>-</v>
      </c>
      <c r="H180" s="389" t="str">
        <f>IFERROR(__xludf.DUMMYFUNCTION("""COMPUTED_VALUE"""),"-")</f>
        <v>-</v>
      </c>
      <c r="I180" s="388" t="str">
        <f>IFERROR(__xludf.DUMMYFUNCTION("""COMPUTED_VALUE"""),"-")</f>
        <v>-</v>
      </c>
      <c r="J180" s="390">
        <f>IFERROR(__xludf.DUMMYFUNCTION("""COMPUTED_VALUE"""),150.0)</f>
        <v>150</v>
      </c>
      <c r="K180" s="391">
        <f>IFERROR(__xludf.DUMMYFUNCTION("""COMPUTED_VALUE"""),160.0)</f>
        <v>160</v>
      </c>
      <c r="L180" s="340">
        <f>IFERROR(__xludf.DUMMYFUNCTION("""COMPUTED_VALUE"""),160.0)</f>
        <v>160</v>
      </c>
      <c r="M180" s="385" t="str">
        <f>IFERROR(__xludf.DUMMYFUNCTION("""COMPUTED_VALUE"""),"瞬間型")</f>
        <v>瞬間型</v>
      </c>
      <c r="N180" s="386">
        <f>IFERROR(__xludf.DUMMYFUNCTION("""COMPUTED_VALUE"""),1.0)</f>
        <v>1</v>
      </c>
      <c r="O180" s="387" t="str">
        <f>IFERROR(__xludf.DUMMYFUNCTION("""COMPUTED_VALUE"""),"効果時間")</f>
        <v>効果時間</v>
      </c>
      <c r="P180" s="392">
        <f>IFERROR(__xludf.DUMMYFUNCTION("""COMPUTED_VALUE"""),150.0)</f>
        <v>150</v>
      </c>
      <c r="Q180" s="393">
        <f>IFERROR(__xludf.DUMMYFUNCTION("""COMPUTED_VALUE"""),150.0)</f>
        <v>150</v>
      </c>
      <c r="R180" s="393">
        <f>IFERROR(__xludf.DUMMYFUNCTION("""COMPUTED_VALUE"""),150.0)</f>
        <v>150</v>
      </c>
      <c r="S180" s="393">
        <f>IFERROR(__xludf.DUMMYFUNCTION("""COMPUTED_VALUE"""),150.0)</f>
        <v>150</v>
      </c>
      <c r="T180" s="393">
        <f>IFERROR(__xludf.DUMMYFUNCTION("""COMPUTED_VALUE"""),150.0)</f>
        <v>150</v>
      </c>
      <c r="U180" s="393">
        <f>IFERROR(__xludf.DUMMYFUNCTION("""COMPUTED_VALUE"""),150.0)</f>
        <v>150</v>
      </c>
      <c r="V180" s="393">
        <f>IFERROR(__xludf.DUMMYFUNCTION("""COMPUTED_VALUE"""),160.0)</f>
        <v>160</v>
      </c>
      <c r="W180" s="394">
        <f>IFERROR(__xludf.DUMMYFUNCTION("""COMPUTED_VALUE"""),160.0)</f>
        <v>160</v>
      </c>
      <c r="X180" s="385" t="str">
        <f>IFERROR(__xludf.DUMMYFUNCTION("""COMPUTED_VALUE"""),"安定型")</f>
        <v>安定型</v>
      </c>
      <c r="Y180" s="386">
        <f>IFERROR(__xludf.DUMMYFUNCTION("""COMPUTED_VALUE"""),1.0)</f>
        <v>1</v>
      </c>
      <c r="Z180" s="387" t="str">
        <f>IFERROR(__xludf.DUMMYFUNCTION("""COMPUTED_VALUE"""),"効果時間")</f>
        <v>効果時間</v>
      </c>
      <c r="AA180" s="392">
        <f>IFERROR(__xludf.DUMMYFUNCTION("""COMPUTED_VALUE"""),300.0)</f>
        <v>300</v>
      </c>
      <c r="AB180" s="393">
        <f>IFERROR(__xludf.DUMMYFUNCTION("""COMPUTED_VALUE"""),300.0)</f>
        <v>300</v>
      </c>
      <c r="AC180" s="393">
        <f>IFERROR(__xludf.DUMMYFUNCTION("""COMPUTED_VALUE"""),300.0)</f>
        <v>300</v>
      </c>
      <c r="AD180" s="393">
        <f>IFERROR(__xludf.DUMMYFUNCTION("""COMPUTED_VALUE"""),300.0)</f>
        <v>300</v>
      </c>
      <c r="AE180" s="393">
        <f>IFERROR(__xludf.DUMMYFUNCTION("""COMPUTED_VALUE"""),300.0)</f>
        <v>300</v>
      </c>
      <c r="AF180" s="393">
        <f>IFERROR(__xludf.DUMMYFUNCTION("""COMPUTED_VALUE"""),300.0)</f>
        <v>300</v>
      </c>
      <c r="AG180" s="393">
        <f>IFERROR(__xludf.DUMMYFUNCTION("""COMPUTED_VALUE"""),310.0)</f>
        <v>310</v>
      </c>
      <c r="AH180" s="394">
        <f>IFERROR(__xludf.DUMMYFUNCTION("""COMPUTED_VALUE"""),310.0)</f>
        <v>310</v>
      </c>
      <c r="AI180" s="385" t="str">
        <f>IFERROR(__xludf.DUMMYFUNCTION("""COMPUTED_VALUE"""),"持続型")</f>
        <v>持続型</v>
      </c>
      <c r="AJ180" s="386">
        <f>IFERROR(__xludf.DUMMYFUNCTION("""COMPUTED_VALUE"""),1.0)</f>
        <v>1</v>
      </c>
      <c r="AK180" s="387" t="str">
        <f>IFERROR(__xludf.DUMMYFUNCTION("""COMPUTED_VALUE"""),"効果時間")</f>
        <v>効果時間</v>
      </c>
      <c r="AL180" s="392">
        <f>IFERROR(__xludf.DUMMYFUNCTION("""COMPUTED_VALUE"""),450.0)</f>
        <v>450</v>
      </c>
      <c r="AM180" s="393">
        <f>IFERROR(__xludf.DUMMYFUNCTION("""COMPUTED_VALUE"""),450.0)</f>
        <v>450</v>
      </c>
      <c r="AN180" s="393">
        <f>IFERROR(__xludf.DUMMYFUNCTION("""COMPUTED_VALUE"""),450.0)</f>
        <v>450</v>
      </c>
      <c r="AO180" s="393">
        <f>IFERROR(__xludf.DUMMYFUNCTION("""COMPUTED_VALUE"""),450.0)</f>
        <v>450</v>
      </c>
      <c r="AP180" s="393">
        <f>IFERROR(__xludf.DUMMYFUNCTION("""COMPUTED_VALUE"""),450.0)</f>
        <v>450</v>
      </c>
      <c r="AQ180" s="393">
        <f>IFERROR(__xludf.DUMMYFUNCTION("""COMPUTED_VALUE"""),450.0)</f>
        <v>450</v>
      </c>
      <c r="AR180" s="393">
        <f>IFERROR(__xludf.DUMMYFUNCTION("""COMPUTED_VALUE"""),460.0)</f>
        <v>460</v>
      </c>
      <c r="AS180" s="394">
        <f>IFERROR(__xludf.DUMMYFUNCTION("""COMPUTED_VALUE"""),460.0)</f>
        <v>460</v>
      </c>
      <c r="AT180" s="385" t="str">
        <f>IFERROR(__xludf.DUMMYFUNCTION("""COMPUTED_VALUE"""),"超持続型")</f>
        <v>超持続型</v>
      </c>
      <c r="AU180" s="386">
        <f>IFERROR(__xludf.DUMMYFUNCTION("""COMPUTED_VALUE"""),1.0)</f>
        <v>1</v>
      </c>
      <c r="AV180" s="387" t="str">
        <f>IFERROR(__xludf.DUMMYFUNCTION("""COMPUTED_VALUE"""),"効果時間")</f>
        <v>効果時間</v>
      </c>
      <c r="AW180" s="395" t="str">
        <f>IFERROR(__xludf.DUMMYFUNCTION("""COMPUTED_VALUE"""),"-")</f>
        <v>-</v>
      </c>
      <c r="AX180" s="396" t="str">
        <f>IFERROR(__xludf.DUMMYFUNCTION("""COMPUTED_VALUE"""),"-")</f>
        <v>-</v>
      </c>
      <c r="AY180" s="396" t="str">
        <f>IFERROR(__xludf.DUMMYFUNCTION("""COMPUTED_VALUE"""),"-")</f>
        <v>-</v>
      </c>
      <c r="AZ180" s="396" t="str">
        <f>IFERROR(__xludf.DUMMYFUNCTION("""COMPUTED_VALUE"""),"-")</f>
        <v>-</v>
      </c>
      <c r="BA180" s="396" t="str">
        <f>IFERROR(__xludf.DUMMYFUNCTION("""COMPUTED_VALUE"""),"-")</f>
        <v>-</v>
      </c>
      <c r="BB180" s="393">
        <f>IFERROR(__xludf.DUMMYFUNCTION("""COMPUTED_VALUE"""),600.0)</f>
        <v>600</v>
      </c>
      <c r="BC180" s="393">
        <f>IFERROR(__xludf.DUMMYFUNCTION("""COMPUTED_VALUE"""),610.0)</f>
        <v>610</v>
      </c>
      <c r="BD180" s="394">
        <f>IFERROR(__xludf.DUMMYFUNCTION("""COMPUTED_VALUE"""),610.0)</f>
        <v>610</v>
      </c>
      <c r="BE180" s="385" t="str">
        <f>IFERROR(__xludf.DUMMYFUNCTION("""COMPUTED_VALUE"""),"ハイブリッド型")</f>
        <v>ハイブリッド型</v>
      </c>
      <c r="BF180" s="386">
        <f>IFERROR(__xludf.DUMMYFUNCTION("""COMPUTED_VALUE"""),1.0)</f>
        <v>1</v>
      </c>
      <c r="BG180" s="387" t="str">
        <f>IFERROR(__xludf.DUMMYFUNCTION("""COMPUTED_VALUE"""),"効果時間")</f>
        <v>効果時間</v>
      </c>
      <c r="BH180" s="397">
        <f>IFERROR(__xludf.DUMMYFUNCTION("""COMPUTED_VALUE"""),150.0)</f>
        <v>150</v>
      </c>
      <c r="BI180" s="397">
        <f>IFERROR(__xludf.DUMMYFUNCTION("""COMPUTED_VALUE"""),150.0)</f>
        <v>150</v>
      </c>
      <c r="BJ180" s="397">
        <f>IFERROR(__xludf.DUMMYFUNCTION("""COMPUTED_VALUE"""),150.0)</f>
        <v>150</v>
      </c>
      <c r="BK180" s="398">
        <f>IFERROR(__xludf.DUMMYFUNCTION("""COMPUTED_VALUE"""),150.0)</f>
        <v>150</v>
      </c>
      <c r="BL180" s="397">
        <f>IFERROR(__xludf.DUMMYFUNCTION("""COMPUTED_VALUE"""),150.0)</f>
        <v>150</v>
      </c>
      <c r="BM180" s="398">
        <f>IFERROR(__xludf.DUMMYFUNCTION("""COMPUTED_VALUE"""),350.0)</f>
        <v>350</v>
      </c>
      <c r="BN180" s="397">
        <f>IFERROR(__xludf.DUMMYFUNCTION("""COMPUTED_VALUE"""),460.0)</f>
        <v>460</v>
      </c>
      <c r="BO180" s="398">
        <f>IFERROR(__xludf.DUMMYFUNCTION("""COMPUTED_VALUE"""),460.0)</f>
        <v>460</v>
      </c>
    </row>
    <row r="181">
      <c r="A181" s="435" t="str">
        <f>IFERROR(__xludf.DUMMYFUNCTION("""COMPUTED_VALUE"""),"ダメージカット(テクニカル)")</f>
        <v>ダメージカット(テクニカル)</v>
      </c>
      <c r="B181" s="385" t="str">
        <f>IFERROR(__xludf.DUMMYFUNCTION("""COMPUTED_VALUE"""),"超瞬間型")</f>
        <v>超瞬間型</v>
      </c>
      <c r="C181" s="399">
        <f>IFERROR(__xludf.DUMMYFUNCTION("""COMPUTED_VALUE"""),2.0)</f>
        <v>2</v>
      </c>
      <c r="D181" s="400" t="str">
        <f>IFERROR(__xludf.DUMMYFUNCTION("""COMPUTED_VALUE"""),"効果値")</f>
        <v>効果値</v>
      </c>
      <c r="E181" s="401" t="str">
        <f>IFERROR(__xludf.DUMMYFUNCTION("""COMPUTED_VALUE"""),"-")</f>
        <v>-</v>
      </c>
      <c r="F181" s="401" t="str">
        <f>IFERROR(__xludf.DUMMYFUNCTION("""COMPUTED_VALUE"""),"-")</f>
        <v>-</v>
      </c>
      <c r="G181" s="401" t="str">
        <f>IFERROR(__xludf.DUMMYFUNCTION("""COMPUTED_VALUE"""),"-")</f>
        <v>-</v>
      </c>
      <c r="H181" s="401" t="str">
        <f>IFERROR(__xludf.DUMMYFUNCTION("""COMPUTED_VALUE"""),"-")</f>
        <v>-</v>
      </c>
      <c r="I181" s="401" t="str">
        <f>IFERROR(__xludf.DUMMYFUNCTION("""COMPUTED_VALUE"""),"-")</f>
        <v>-</v>
      </c>
      <c r="J181" s="318">
        <f>IFERROR(__xludf.DUMMYFUNCTION("""COMPUTED_VALUE"""),57.0)</f>
        <v>57</v>
      </c>
      <c r="K181" s="318">
        <f>IFERROR(__xludf.DUMMYFUNCTION("""COMPUTED_VALUE"""),67.0)</f>
        <v>67</v>
      </c>
      <c r="L181" s="318">
        <f>IFERROR(__xludf.DUMMYFUNCTION("""COMPUTED_VALUE"""),69.0)</f>
        <v>69</v>
      </c>
      <c r="M181" s="385" t="str">
        <f>IFERROR(__xludf.DUMMYFUNCTION("""COMPUTED_VALUE"""),"瞬間型")</f>
        <v>瞬間型</v>
      </c>
      <c r="N181" s="399">
        <f>IFERROR(__xludf.DUMMYFUNCTION("""COMPUTED_VALUE"""),2.0)</f>
        <v>2</v>
      </c>
      <c r="O181" s="400" t="str">
        <f>IFERROR(__xludf.DUMMYFUNCTION("""COMPUTED_VALUE"""),"効果値")</f>
        <v>効果値</v>
      </c>
      <c r="P181" s="343">
        <f>IFERROR(__xludf.DUMMYFUNCTION("""COMPUTED_VALUE"""),21.0)</f>
        <v>21</v>
      </c>
      <c r="Q181" s="402">
        <f>IFERROR(__xludf.DUMMYFUNCTION("""COMPUTED_VALUE"""),21.0)</f>
        <v>21</v>
      </c>
      <c r="R181" s="343">
        <f>IFERROR(__xludf.DUMMYFUNCTION("""COMPUTED_VALUE"""),22.0)</f>
        <v>22</v>
      </c>
      <c r="S181" s="402">
        <f>IFERROR(__xludf.DUMMYFUNCTION("""COMPUTED_VALUE"""),22.0)</f>
        <v>22</v>
      </c>
      <c r="T181" s="343">
        <f>IFERROR(__xludf.DUMMYFUNCTION("""COMPUTED_VALUE"""),22.0)</f>
        <v>22</v>
      </c>
      <c r="U181" s="343">
        <f>IFERROR(__xludf.DUMMYFUNCTION("""COMPUTED_VALUE"""),27.0)</f>
        <v>27</v>
      </c>
      <c r="V181" s="343">
        <f>IFERROR(__xludf.DUMMYFUNCTION("""COMPUTED_VALUE"""),32.0)</f>
        <v>32</v>
      </c>
      <c r="W181" s="343">
        <f>IFERROR(__xludf.DUMMYFUNCTION("""COMPUTED_VALUE"""),34.0)</f>
        <v>34</v>
      </c>
      <c r="X181" s="385" t="str">
        <f>IFERROR(__xludf.DUMMYFUNCTION("""COMPUTED_VALUE"""),"安定型")</f>
        <v>安定型</v>
      </c>
      <c r="Y181" s="399">
        <f>IFERROR(__xludf.DUMMYFUNCTION("""COMPUTED_VALUE"""),2.0)</f>
        <v>2</v>
      </c>
      <c r="Z181" s="400" t="str">
        <f>IFERROR(__xludf.DUMMYFUNCTION("""COMPUTED_VALUE"""),"効果値")</f>
        <v>効果値</v>
      </c>
      <c r="AA181" s="343">
        <f>IFERROR(__xludf.DUMMYFUNCTION("""COMPUTED_VALUE"""),11.0)</f>
        <v>11</v>
      </c>
      <c r="AB181" s="402">
        <f>IFERROR(__xludf.DUMMYFUNCTION("""COMPUTED_VALUE"""),11.0)</f>
        <v>11</v>
      </c>
      <c r="AC181" s="343">
        <f>IFERROR(__xludf.DUMMYFUNCTION("""COMPUTED_VALUE"""),12.0)</f>
        <v>12</v>
      </c>
      <c r="AD181" s="402">
        <f>IFERROR(__xludf.DUMMYFUNCTION("""COMPUTED_VALUE"""),12.0)</f>
        <v>12</v>
      </c>
      <c r="AE181" s="343">
        <f>IFERROR(__xludf.DUMMYFUNCTION("""COMPUTED_VALUE"""),12.0)</f>
        <v>12</v>
      </c>
      <c r="AF181" s="343">
        <f>IFERROR(__xludf.DUMMYFUNCTION("""COMPUTED_VALUE"""),12.0)</f>
        <v>12</v>
      </c>
      <c r="AG181" s="343">
        <f>IFERROR(__xludf.DUMMYFUNCTION("""COMPUTED_VALUE"""),17.0)</f>
        <v>17</v>
      </c>
      <c r="AH181" s="343">
        <f>IFERROR(__xludf.DUMMYFUNCTION("""COMPUTED_VALUE"""),19.0)</f>
        <v>19</v>
      </c>
      <c r="AI181" s="385" t="str">
        <f>IFERROR(__xludf.DUMMYFUNCTION("""COMPUTED_VALUE"""),"持続型")</f>
        <v>持続型</v>
      </c>
      <c r="AJ181" s="399">
        <f>IFERROR(__xludf.DUMMYFUNCTION("""COMPUTED_VALUE"""),2.0)</f>
        <v>2</v>
      </c>
      <c r="AK181" s="400" t="str">
        <f>IFERROR(__xludf.DUMMYFUNCTION("""COMPUTED_VALUE"""),"効果値")</f>
        <v>効果値</v>
      </c>
      <c r="AL181" s="343">
        <f>IFERROR(__xludf.DUMMYFUNCTION("""COMPUTED_VALUE"""),6.0)</f>
        <v>6</v>
      </c>
      <c r="AM181" s="402">
        <f>IFERROR(__xludf.DUMMYFUNCTION("""COMPUTED_VALUE"""),6.0)</f>
        <v>6</v>
      </c>
      <c r="AN181" s="343">
        <f>IFERROR(__xludf.DUMMYFUNCTION("""COMPUTED_VALUE"""),7.0)</f>
        <v>7</v>
      </c>
      <c r="AO181" s="402">
        <f>IFERROR(__xludf.DUMMYFUNCTION("""COMPUTED_VALUE"""),7.0)</f>
        <v>7</v>
      </c>
      <c r="AP181" s="343">
        <f>IFERROR(__xludf.DUMMYFUNCTION("""COMPUTED_VALUE"""),7.0)</f>
        <v>7</v>
      </c>
      <c r="AQ181" s="343">
        <f>IFERROR(__xludf.DUMMYFUNCTION("""COMPUTED_VALUE"""),7.0)</f>
        <v>7</v>
      </c>
      <c r="AR181" s="343">
        <f>IFERROR(__xludf.DUMMYFUNCTION("""COMPUTED_VALUE"""),11.0)</f>
        <v>11</v>
      </c>
      <c r="AS181" s="343">
        <f>IFERROR(__xludf.DUMMYFUNCTION("""COMPUTED_VALUE"""),11.0)</f>
        <v>11</v>
      </c>
      <c r="AT181" s="385" t="str">
        <f>IFERROR(__xludf.DUMMYFUNCTION("""COMPUTED_VALUE"""),"超持続型")</f>
        <v>超持続型</v>
      </c>
      <c r="AU181" s="399">
        <f>IFERROR(__xludf.DUMMYFUNCTION("""COMPUTED_VALUE"""),2.0)</f>
        <v>2</v>
      </c>
      <c r="AV181" s="400" t="str">
        <f>IFERROR(__xludf.DUMMYFUNCTION("""COMPUTED_VALUE"""),"効果値")</f>
        <v>効果値</v>
      </c>
      <c r="AW181" s="403" t="str">
        <f>IFERROR(__xludf.DUMMYFUNCTION("""COMPUTED_VALUE"""),"-")</f>
        <v>-</v>
      </c>
      <c r="AX181" s="403" t="str">
        <f>IFERROR(__xludf.DUMMYFUNCTION("""COMPUTED_VALUE"""),"-")</f>
        <v>-</v>
      </c>
      <c r="AY181" s="403" t="str">
        <f>IFERROR(__xludf.DUMMYFUNCTION("""COMPUTED_VALUE"""),"-")</f>
        <v>-</v>
      </c>
      <c r="AZ181" s="403" t="str">
        <f>IFERROR(__xludf.DUMMYFUNCTION("""COMPUTED_VALUE"""),"-")</f>
        <v>-</v>
      </c>
      <c r="BA181" s="403" t="str">
        <f>IFERROR(__xludf.DUMMYFUNCTION("""COMPUTED_VALUE"""),"-")</f>
        <v>-</v>
      </c>
      <c r="BB181" s="343">
        <f>IFERROR(__xludf.DUMMYFUNCTION("""COMPUTED_VALUE"""),7.0)</f>
        <v>7</v>
      </c>
      <c r="BC181" s="343">
        <f>IFERROR(__xludf.DUMMYFUNCTION("""COMPUTED_VALUE"""),11.0)</f>
        <v>11</v>
      </c>
      <c r="BD181" s="343">
        <f>IFERROR(__xludf.DUMMYFUNCTION("""COMPUTED_VALUE"""),11.0)</f>
        <v>11</v>
      </c>
      <c r="BE181" s="385" t="str">
        <f>IFERROR(__xludf.DUMMYFUNCTION("""COMPUTED_VALUE"""),"ハイブリッド型")</f>
        <v>ハイブリッド型</v>
      </c>
      <c r="BF181" s="399">
        <f>IFERROR(__xludf.DUMMYFUNCTION("""COMPUTED_VALUE"""),2.0)</f>
        <v>2</v>
      </c>
      <c r="BG181" s="400" t="str">
        <f>IFERROR(__xludf.DUMMYFUNCTION("""COMPUTED_VALUE"""),"効果値")</f>
        <v>効果値</v>
      </c>
      <c r="BH181" s="404">
        <f>IFERROR(__xludf.DUMMYFUNCTION("""COMPUTED_VALUE"""),10.8)</f>
        <v>10.8</v>
      </c>
      <c r="BI181" s="405">
        <f>IFERROR(__xludf.DUMMYFUNCTION("""COMPUTED_VALUE"""),11.2)</f>
        <v>11.2</v>
      </c>
      <c r="BJ181" s="405">
        <f>IFERROR(__xludf.DUMMYFUNCTION("""COMPUTED_VALUE"""),11.5)</f>
        <v>11.5</v>
      </c>
      <c r="BK181" s="405">
        <f>IFERROR(__xludf.DUMMYFUNCTION("""COMPUTED_VALUE"""),11.8)</f>
        <v>11.8</v>
      </c>
      <c r="BL181" s="405">
        <f>IFERROR(__xludf.DUMMYFUNCTION("""COMPUTED_VALUE"""),12.1)</f>
        <v>12.1</v>
      </c>
      <c r="BM181" s="405">
        <f>IFERROR(__xludf.DUMMYFUNCTION("""COMPUTED_VALUE"""),17.1)</f>
        <v>17.1</v>
      </c>
      <c r="BN181" s="405">
        <f>IFERROR(__xludf.DUMMYFUNCTION("""COMPUTED_VALUE"""),22.0)</f>
        <v>22</v>
      </c>
      <c r="BO181" s="406">
        <f>IFERROR(__xludf.DUMMYFUNCTION("""COMPUTED_VALUE"""),24.0)</f>
        <v>24</v>
      </c>
    </row>
    <row r="182">
      <c r="A182" s="435" t="str">
        <f>IFERROR(__xludf.DUMMYFUNCTION("""COMPUTED_VALUE"""),"ダメージカット(テクニカル)")</f>
        <v>ダメージカット(テクニカル)</v>
      </c>
      <c r="B182" s="385" t="str">
        <f>IFERROR(__xludf.DUMMYFUNCTION("""COMPUTED_VALUE"""),"超瞬間型")</f>
        <v>超瞬間型</v>
      </c>
      <c r="C182" s="386">
        <f>IFERROR(__xludf.DUMMYFUNCTION("""COMPUTED_VALUE"""),2.0)</f>
        <v>2</v>
      </c>
      <c r="D182" s="387" t="str">
        <f>IFERROR(__xludf.DUMMYFUNCTION("""COMPUTED_VALUE"""),"効果時間")</f>
        <v>効果時間</v>
      </c>
      <c r="E182" s="388" t="str">
        <f>IFERROR(__xludf.DUMMYFUNCTION("""COMPUTED_VALUE"""),"-")</f>
        <v>-</v>
      </c>
      <c r="F182" s="389" t="str">
        <f>IFERROR(__xludf.DUMMYFUNCTION("""COMPUTED_VALUE"""),"-")</f>
        <v>-</v>
      </c>
      <c r="G182" s="388" t="str">
        <f>IFERROR(__xludf.DUMMYFUNCTION("""COMPUTED_VALUE"""),"-")</f>
        <v>-</v>
      </c>
      <c r="H182" s="389" t="str">
        <f>IFERROR(__xludf.DUMMYFUNCTION("""COMPUTED_VALUE"""),"-")</f>
        <v>-</v>
      </c>
      <c r="I182" s="388" t="str">
        <f>IFERROR(__xludf.DUMMYFUNCTION("""COMPUTED_VALUE"""),"-")</f>
        <v>-</v>
      </c>
      <c r="J182" s="390">
        <f>IFERROR(__xludf.DUMMYFUNCTION("""COMPUTED_VALUE"""),150.0)</f>
        <v>150</v>
      </c>
      <c r="K182" s="391">
        <f>IFERROR(__xludf.DUMMYFUNCTION("""COMPUTED_VALUE"""),160.0)</f>
        <v>160</v>
      </c>
      <c r="L182" s="340">
        <f>IFERROR(__xludf.DUMMYFUNCTION("""COMPUTED_VALUE"""),170.0)</f>
        <v>170</v>
      </c>
      <c r="M182" s="385" t="str">
        <f>IFERROR(__xludf.DUMMYFUNCTION("""COMPUTED_VALUE"""),"瞬間型")</f>
        <v>瞬間型</v>
      </c>
      <c r="N182" s="386">
        <f>IFERROR(__xludf.DUMMYFUNCTION("""COMPUTED_VALUE"""),2.0)</f>
        <v>2</v>
      </c>
      <c r="O182" s="387" t="str">
        <f>IFERROR(__xludf.DUMMYFUNCTION("""COMPUTED_VALUE"""),"効果時間")</f>
        <v>効果時間</v>
      </c>
      <c r="P182" s="392">
        <f>IFERROR(__xludf.DUMMYFUNCTION("""COMPUTED_VALUE"""),160.0)</f>
        <v>160</v>
      </c>
      <c r="Q182" s="275">
        <f>IFERROR(__xludf.DUMMYFUNCTION("""COMPUTED_VALUE"""),165.0)</f>
        <v>165</v>
      </c>
      <c r="R182" s="280">
        <f>IFERROR(__xludf.DUMMYFUNCTION("""COMPUTED_VALUE"""),170.0)</f>
        <v>170</v>
      </c>
      <c r="S182" s="275">
        <f>IFERROR(__xludf.DUMMYFUNCTION("""COMPUTED_VALUE"""),175.0)</f>
        <v>175</v>
      </c>
      <c r="T182" s="280">
        <f>IFERROR(__xludf.DUMMYFUNCTION("""COMPUTED_VALUE"""),180.0)</f>
        <v>180</v>
      </c>
      <c r="U182" s="280">
        <f>IFERROR(__xludf.DUMMYFUNCTION("""COMPUTED_VALUE"""),180.0)</f>
        <v>180</v>
      </c>
      <c r="V182" s="280">
        <f>IFERROR(__xludf.DUMMYFUNCTION("""COMPUTED_VALUE"""),220.0)</f>
        <v>220</v>
      </c>
      <c r="W182" s="280">
        <f>IFERROR(__xludf.DUMMYFUNCTION("""COMPUTED_VALUE"""),230.0)</f>
        <v>230</v>
      </c>
      <c r="X182" s="385" t="str">
        <f>IFERROR(__xludf.DUMMYFUNCTION("""COMPUTED_VALUE"""),"安定型")</f>
        <v>安定型</v>
      </c>
      <c r="Y182" s="386">
        <f>IFERROR(__xludf.DUMMYFUNCTION("""COMPUTED_VALUE"""),2.0)</f>
        <v>2</v>
      </c>
      <c r="Z182" s="387" t="str">
        <f>IFERROR(__xludf.DUMMYFUNCTION("""COMPUTED_VALUE"""),"効果時間")</f>
        <v>効果時間</v>
      </c>
      <c r="AA182" s="392">
        <f>IFERROR(__xludf.DUMMYFUNCTION("""COMPUTED_VALUE"""),310.0)</f>
        <v>310</v>
      </c>
      <c r="AB182" s="275">
        <f>IFERROR(__xludf.DUMMYFUNCTION("""COMPUTED_VALUE"""),315.0)</f>
        <v>315</v>
      </c>
      <c r="AC182" s="280">
        <f>IFERROR(__xludf.DUMMYFUNCTION("""COMPUTED_VALUE"""),320.0)</f>
        <v>320</v>
      </c>
      <c r="AD182" s="275">
        <f>IFERROR(__xludf.DUMMYFUNCTION("""COMPUTED_VALUE"""),325.0)</f>
        <v>325</v>
      </c>
      <c r="AE182" s="280">
        <f>IFERROR(__xludf.DUMMYFUNCTION("""COMPUTED_VALUE"""),330.0)</f>
        <v>330</v>
      </c>
      <c r="AF182" s="280">
        <f>IFERROR(__xludf.DUMMYFUNCTION("""COMPUTED_VALUE"""),345.0)</f>
        <v>345</v>
      </c>
      <c r="AG182" s="280">
        <f>IFERROR(__xludf.DUMMYFUNCTION("""COMPUTED_VALUE"""),370.0)</f>
        <v>370</v>
      </c>
      <c r="AH182" s="280">
        <f>IFERROR(__xludf.DUMMYFUNCTION("""COMPUTED_VALUE"""),380.0)</f>
        <v>380</v>
      </c>
      <c r="AI182" s="385" t="str">
        <f>IFERROR(__xludf.DUMMYFUNCTION("""COMPUTED_VALUE"""),"持続型")</f>
        <v>持続型</v>
      </c>
      <c r="AJ182" s="386">
        <f>IFERROR(__xludf.DUMMYFUNCTION("""COMPUTED_VALUE"""),2.0)</f>
        <v>2</v>
      </c>
      <c r="AK182" s="387" t="str">
        <f>IFERROR(__xludf.DUMMYFUNCTION("""COMPUTED_VALUE"""),"効果時間")</f>
        <v>効果時間</v>
      </c>
      <c r="AL182" s="392">
        <f>IFERROR(__xludf.DUMMYFUNCTION("""COMPUTED_VALUE"""),460.0)</f>
        <v>460</v>
      </c>
      <c r="AM182" s="275">
        <f>IFERROR(__xludf.DUMMYFUNCTION("""COMPUTED_VALUE"""),465.0)</f>
        <v>465</v>
      </c>
      <c r="AN182" s="280">
        <f>IFERROR(__xludf.DUMMYFUNCTION("""COMPUTED_VALUE"""),470.0)</f>
        <v>470</v>
      </c>
      <c r="AO182" s="275">
        <f>IFERROR(__xludf.DUMMYFUNCTION("""COMPUTED_VALUE"""),475.0)</f>
        <v>475</v>
      </c>
      <c r="AP182" s="280">
        <f>IFERROR(__xludf.DUMMYFUNCTION("""COMPUTED_VALUE"""),480.0)</f>
        <v>480</v>
      </c>
      <c r="AQ182" s="280">
        <f>IFERROR(__xludf.DUMMYFUNCTION("""COMPUTED_VALUE"""),495.0)</f>
        <v>495</v>
      </c>
      <c r="AR182" s="280">
        <f>IFERROR(__xludf.DUMMYFUNCTION("""COMPUTED_VALUE"""),520.0)</f>
        <v>520</v>
      </c>
      <c r="AS182" s="280">
        <f>IFERROR(__xludf.DUMMYFUNCTION("""COMPUTED_VALUE"""),530.0)</f>
        <v>530</v>
      </c>
      <c r="AT182" s="385" t="str">
        <f>IFERROR(__xludf.DUMMYFUNCTION("""COMPUTED_VALUE"""),"超持続型")</f>
        <v>超持続型</v>
      </c>
      <c r="AU182" s="386">
        <f>IFERROR(__xludf.DUMMYFUNCTION("""COMPUTED_VALUE"""),2.0)</f>
        <v>2</v>
      </c>
      <c r="AV182" s="387" t="str">
        <f>IFERROR(__xludf.DUMMYFUNCTION("""COMPUTED_VALUE"""),"効果時間")</f>
        <v>効果時間</v>
      </c>
      <c r="AW182" s="368" t="str">
        <f>IFERROR(__xludf.DUMMYFUNCTION("""COMPUTED_VALUE"""),"-")</f>
        <v>-</v>
      </c>
      <c r="AX182" s="368" t="str">
        <f>IFERROR(__xludf.DUMMYFUNCTION("""COMPUTED_VALUE"""),"-")</f>
        <v>-</v>
      </c>
      <c r="AY182" s="368" t="str">
        <f>IFERROR(__xludf.DUMMYFUNCTION("""COMPUTED_VALUE"""),"-")</f>
        <v>-</v>
      </c>
      <c r="AZ182" s="368" t="str">
        <f>IFERROR(__xludf.DUMMYFUNCTION("""COMPUTED_VALUE"""),"-")</f>
        <v>-</v>
      </c>
      <c r="BA182" s="368" t="str">
        <f>IFERROR(__xludf.DUMMYFUNCTION("""COMPUTED_VALUE"""),"-")</f>
        <v>-</v>
      </c>
      <c r="BB182" s="280">
        <f>IFERROR(__xludf.DUMMYFUNCTION("""COMPUTED_VALUE"""),625.0)</f>
        <v>625</v>
      </c>
      <c r="BC182" s="280">
        <f>IFERROR(__xludf.DUMMYFUNCTION("""COMPUTED_VALUE"""),670.0)</f>
        <v>670</v>
      </c>
      <c r="BD182" s="280">
        <f>IFERROR(__xludf.DUMMYFUNCTION("""COMPUTED_VALUE"""),680.0)</f>
        <v>680</v>
      </c>
      <c r="BE182" s="385" t="str">
        <f>IFERROR(__xludf.DUMMYFUNCTION("""COMPUTED_VALUE"""),"ハイブリッド型")</f>
        <v>ハイブリッド型</v>
      </c>
      <c r="BF182" s="386">
        <f>IFERROR(__xludf.DUMMYFUNCTION("""COMPUTED_VALUE"""),2.0)</f>
        <v>2</v>
      </c>
      <c r="BG182" s="387" t="str">
        <f>IFERROR(__xludf.DUMMYFUNCTION("""COMPUTED_VALUE"""),"効果時間")</f>
        <v>効果時間</v>
      </c>
      <c r="BH182" s="407">
        <f>IFERROR(__xludf.DUMMYFUNCTION("""COMPUTED_VALUE"""),195.0)</f>
        <v>195</v>
      </c>
      <c r="BI182" s="407">
        <f>IFERROR(__xludf.DUMMYFUNCTION("""COMPUTED_VALUE"""),205.0)</f>
        <v>205</v>
      </c>
      <c r="BJ182" s="407">
        <f>IFERROR(__xludf.DUMMYFUNCTION("""COMPUTED_VALUE"""),205.0)</f>
        <v>205</v>
      </c>
      <c r="BK182" s="408">
        <f>IFERROR(__xludf.DUMMYFUNCTION("""COMPUTED_VALUE"""),210.0)</f>
        <v>210</v>
      </c>
      <c r="BL182" s="407">
        <f>IFERROR(__xludf.DUMMYFUNCTION("""COMPUTED_VALUE"""),215.0)</f>
        <v>215</v>
      </c>
      <c r="BM182" s="408">
        <f>IFERROR(__xludf.DUMMYFUNCTION("""COMPUTED_VALUE"""),375.0)</f>
        <v>375</v>
      </c>
      <c r="BN182" s="407">
        <f>IFERROR(__xludf.DUMMYFUNCTION("""COMPUTED_VALUE"""),480.0)</f>
        <v>480</v>
      </c>
      <c r="BO182" s="408">
        <f>IFERROR(__xludf.DUMMYFUNCTION("""COMPUTED_VALUE"""),490.0)</f>
        <v>490</v>
      </c>
    </row>
    <row r="183">
      <c r="A183" s="435" t="str">
        <f>IFERROR(__xludf.DUMMYFUNCTION("""COMPUTED_VALUE"""),"ダメージカット(テクニカル)")</f>
        <v>ダメージカット(テクニカル)</v>
      </c>
      <c r="B183" s="385" t="str">
        <f>IFERROR(__xludf.DUMMYFUNCTION("""COMPUTED_VALUE"""),"超瞬間型")</f>
        <v>超瞬間型</v>
      </c>
      <c r="C183" s="399">
        <f>IFERROR(__xludf.DUMMYFUNCTION("""COMPUTED_VALUE"""),3.0)</f>
        <v>3</v>
      </c>
      <c r="D183" s="400" t="str">
        <f>IFERROR(__xludf.DUMMYFUNCTION("""COMPUTED_VALUE"""),"効果値")</f>
        <v>効果値</v>
      </c>
      <c r="E183" s="401" t="str">
        <f>IFERROR(__xludf.DUMMYFUNCTION("""COMPUTED_VALUE"""),"-")</f>
        <v>-</v>
      </c>
      <c r="F183" s="409" t="str">
        <f>IFERROR(__xludf.DUMMYFUNCTION("""COMPUTED_VALUE"""),"-")</f>
        <v>-</v>
      </c>
      <c r="G183" s="401" t="str">
        <f>IFERROR(__xludf.DUMMYFUNCTION("""COMPUTED_VALUE"""),"-")</f>
        <v>-</v>
      </c>
      <c r="H183" s="409" t="str">
        <f>IFERROR(__xludf.DUMMYFUNCTION("""COMPUTED_VALUE"""),"-")</f>
        <v>-</v>
      </c>
      <c r="I183" s="409" t="str">
        <f>IFERROR(__xludf.DUMMYFUNCTION("""COMPUTED_VALUE"""),"-")</f>
        <v>-</v>
      </c>
      <c r="J183" s="410">
        <f>IFERROR(__xludf.DUMMYFUNCTION("""COMPUTED_VALUE"""),58.0)</f>
        <v>58</v>
      </c>
      <c r="K183" s="410">
        <f>IFERROR(__xludf.DUMMYFUNCTION("""COMPUTED_VALUE"""),68.0)</f>
        <v>68</v>
      </c>
      <c r="L183" s="410">
        <f>IFERROR(__xludf.DUMMYFUNCTION("""COMPUTED_VALUE"""),72.0)</f>
        <v>72</v>
      </c>
      <c r="M183" s="385" t="str">
        <f>IFERROR(__xludf.DUMMYFUNCTION("""COMPUTED_VALUE"""),"瞬間型")</f>
        <v>瞬間型</v>
      </c>
      <c r="N183" s="399">
        <f>IFERROR(__xludf.DUMMYFUNCTION("""COMPUTED_VALUE"""),3.0)</f>
        <v>3</v>
      </c>
      <c r="O183" s="400" t="str">
        <f>IFERROR(__xludf.DUMMYFUNCTION("""COMPUTED_VALUE"""),"効果値")</f>
        <v>効果値</v>
      </c>
      <c r="P183" s="343">
        <f>IFERROR(__xludf.DUMMYFUNCTION("""COMPUTED_VALUE"""),22.0)</f>
        <v>22</v>
      </c>
      <c r="Q183" s="402">
        <f>IFERROR(__xludf.DUMMYFUNCTION("""COMPUTED_VALUE"""),22.0)</f>
        <v>22</v>
      </c>
      <c r="R183" s="402">
        <f>IFERROR(__xludf.DUMMYFUNCTION("""COMPUTED_VALUE"""),23.0)</f>
        <v>23</v>
      </c>
      <c r="S183" s="402">
        <f>IFERROR(__xludf.DUMMYFUNCTION("""COMPUTED_VALUE"""),23.0)</f>
        <v>23</v>
      </c>
      <c r="T183" s="402">
        <f>IFERROR(__xludf.DUMMYFUNCTION("""COMPUTED_VALUE"""),23.0)</f>
        <v>23</v>
      </c>
      <c r="U183" s="402">
        <f>IFERROR(__xludf.DUMMYFUNCTION("""COMPUTED_VALUE"""),28.0)</f>
        <v>28</v>
      </c>
      <c r="V183" s="402">
        <f>IFERROR(__xludf.DUMMYFUNCTION("""COMPUTED_VALUE"""),33.0)</f>
        <v>33</v>
      </c>
      <c r="W183" s="402">
        <f>IFERROR(__xludf.DUMMYFUNCTION("""COMPUTED_VALUE"""),37.0)</f>
        <v>37</v>
      </c>
      <c r="X183" s="385" t="str">
        <f>IFERROR(__xludf.DUMMYFUNCTION("""COMPUTED_VALUE"""),"安定型")</f>
        <v>安定型</v>
      </c>
      <c r="Y183" s="399">
        <f>IFERROR(__xludf.DUMMYFUNCTION("""COMPUTED_VALUE"""),3.0)</f>
        <v>3</v>
      </c>
      <c r="Z183" s="400" t="str">
        <f>IFERROR(__xludf.DUMMYFUNCTION("""COMPUTED_VALUE"""),"効果値")</f>
        <v>効果値</v>
      </c>
      <c r="AA183" s="343">
        <f>IFERROR(__xludf.DUMMYFUNCTION("""COMPUTED_VALUE"""),12.0)</f>
        <v>12</v>
      </c>
      <c r="AB183" s="402">
        <f>IFERROR(__xludf.DUMMYFUNCTION("""COMPUTED_VALUE"""),12.0)</f>
        <v>12</v>
      </c>
      <c r="AC183" s="402">
        <f>IFERROR(__xludf.DUMMYFUNCTION("""COMPUTED_VALUE"""),13.0)</f>
        <v>13</v>
      </c>
      <c r="AD183" s="402">
        <f>IFERROR(__xludf.DUMMYFUNCTION("""COMPUTED_VALUE"""),13.0)</f>
        <v>13</v>
      </c>
      <c r="AE183" s="402">
        <f>IFERROR(__xludf.DUMMYFUNCTION("""COMPUTED_VALUE"""),13.0)</f>
        <v>13</v>
      </c>
      <c r="AF183" s="402">
        <f>IFERROR(__xludf.DUMMYFUNCTION("""COMPUTED_VALUE"""),13.0)</f>
        <v>13</v>
      </c>
      <c r="AG183" s="402">
        <f>IFERROR(__xludf.DUMMYFUNCTION("""COMPUTED_VALUE"""),18.0)</f>
        <v>18</v>
      </c>
      <c r="AH183" s="402">
        <f>IFERROR(__xludf.DUMMYFUNCTION("""COMPUTED_VALUE"""),22.0)</f>
        <v>22</v>
      </c>
      <c r="AI183" s="385" t="str">
        <f>IFERROR(__xludf.DUMMYFUNCTION("""COMPUTED_VALUE"""),"持続型")</f>
        <v>持続型</v>
      </c>
      <c r="AJ183" s="399">
        <f>IFERROR(__xludf.DUMMYFUNCTION("""COMPUTED_VALUE"""),3.0)</f>
        <v>3</v>
      </c>
      <c r="AK183" s="400" t="str">
        <f>IFERROR(__xludf.DUMMYFUNCTION("""COMPUTED_VALUE"""),"効果値")</f>
        <v>効果値</v>
      </c>
      <c r="AL183" s="343">
        <f>IFERROR(__xludf.DUMMYFUNCTION("""COMPUTED_VALUE"""),7.0)</f>
        <v>7</v>
      </c>
      <c r="AM183" s="402">
        <f>IFERROR(__xludf.DUMMYFUNCTION("""COMPUTED_VALUE"""),7.0)</f>
        <v>7</v>
      </c>
      <c r="AN183" s="402">
        <f>IFERROR(__xludf.DUMMYFUNCTION("""COMPUTED_VALUE"""),8.0)</f>
        <v>8</v>
      </c>
      <c r="AO183" s="402">
        <f>IFERROR(__xludf.DUMMYFUNCTION("""COMPUTED_VALUE"""),8.0)</f>
        <v>8</v>
      </c>
      <c r="AP183" s="402">
        <f>IFERROR(__xludf.DUMMYFUNCTION("""COMPUTED_VALUE"""),8.0)</f>
        <v>8</v>
      </c>
      <c r="AQ183" s="402">
        <f>IFERROR(__xludf.DUMMYFUNCTION("""COMPUTED_VALUE"""),8.0)</f>
        <v>8</v>
      </c>
      <c r="AR183" s="402">
        <f>IFERROR(__xludf.DUMMYFUNCTION("""COMPUTED_VALUE"""),11.0)</f>
        <v>11</v>
      </c>
      <c r="AS183" s="402">
        <f>IFERROR(__xludf.DUMMYFUNCTION("""COMPUTED_VALUE"""),11.0)</f>
        <v>11</v>
      </c>
      <c r="AT183" s="385" t="str">
        <f>IFERROR(__xludf.DUMMYFUNCTION("""COMPUTED_VALUE"""),"超持続型")</f>
        <v>超持続型</v>
      </c>
      <c r="AU183" s="399">
        <f>IFERROR(__xludf.DUMMYFUNCTION("""COMPUTED_VALUE"""),3.0)</f>
        <v>3</v>
      </c>
      <c r="AV183" s="400" t="str">
        <f>IFERROR(__xludf.DUMMYFUNCTION("""COMPUTED_VALUE"""),"効果値")</f>
        <v>効果値</v>
      </c>
      <c r="AW183" s="403" t="str">
        <f>IFERROR(__xludf.DUMMYFUNCTION("""COMPUTED_VALUE"""),"-")</f>
        <v>-</v>
      </c>
      <c r="AX183" s="403" t="str">
        <f>IFERROR(__xludf.DUMMYFUNCTION("""COMPUTED_VALUE"""),"-")</f>
        <v>-</v>
      </c>
      <c r="AY183" s="403" t="str">
        <f>IFERROR(__xludf.DUMMYFUNCTION("""COMPUTED_VALUE"""),"-")</f>
        <v>-</v>
      </c>
      <c r="AZ183" s="403" t="str">
        <f>IFERROR(__xludf.DUMMYFUNCTION("""COMPUTED_VALUE"""),"-")</f>
        <v>-</v>
      </c>
      <c r="BA183" s="403" t="str">
        <f>IFERROR(__xludf.DUMMYFUNCTION("""COMPUTED_VALUE"""),"-")</f>
        <v>-</v>
      </c>
      <c r="BB183" s="343">
        <f>IFERROR(__xludf.DUMMYFUNCTION("""COMPUTED_VALUE"""),8.0)</f>
        <v>8</v>
      </c>
      <c r="BC183" s="343">
        <f>IFERROR(__xludf.DUMMYFUNCTION("""COMPUTED_VALUE"""),11.0)</f>
        <v>11</v>
      </c>
      <c r="BD183" s="343">
        <f>IFERROR(__xludf.DUMMYFUNCTION("""COMPUTED_VALUE"""),11.0)</f>
        <v>11</v>
      </c>
      <c r="BE183" s="385" t="str">
        <f>IFERROR(__xludf.DUMMYFUNCTION("""COMPUTED_VALUE"""),"ハイブリッド型")</f>
        <v>ハイブリッド型</v>
      </c>
      <c r="BF183" s="399">
        <f>IFERROR(__xludf.DUMMYFUNCTION("""COMPUTED_VALUE"""),3.0)</f>
        <v>3</v>
      </c>
      <c r="BG183" s="400" t="str">
        <f>IFERROR(__xludf.DUMMYFUNCTION("""COMPUTED_VALUE"""),"効果値")</f>
        <v>効果値</v>
      </c>
      <c r="BH183" s="411">
        <f>IFERROR(__xludf.DUMMYFUNCTION("""COMPUTED_VALUE"""),11.4)</f>
        <v>11.4</v>
      </c>
      <c r="BI183" s="412">
        <f>IFERROR(__xludf.DUMMYFUNCTION("""COMPUTED_VALUE"""),11.9)</f>
        <v>11.9</v>
      </c>
      <c r="BJ183" s="412">
        <f>IFERROR(__xludf.DUMMYFUNCTION("""COMPUTED_VALUE"""),12.5)</f>
        <v>12.5</v>
      </c>
      <c r="BK183" s="412">
        <f>IFERROR(__xludf.DUMMYFUNCTION("""COMPUTED_VALUE"""),13.0)</f>
        <v>13</v>
      </c>
      <c r="BL183" s="412">
        <f>IFERROR(__xludf.DUMMYFUNCTION("""COMPUTED_VALUE"""),13.5)</f>
        <v>13.5</v>
      </c>
      <c r="BM183" s="412">
        <f>IFERROR(__xludf.DUMMYFUNCTION("""COMPUTED_VALUE"""),18.5)</f>
        <v>18.5</v>
      </c>
      <c r="BN183" s="412">
        <f>IFERROR(__xludf.DUMMYFUNCTION("""COMPUTED_VALUE"""),23.0)</f>
        <v>23</v>
      </c>
      <c r="BO183" s="413">
        <f>IFERROR(__xludf.DUMMYFUNCTION("""COMPUTED_VALUE"""),27.0)</f>
        <v>27</v>
      </c>
    </row>
    <row r="184">
      <c r="A184" s="435" t="str">
        <f>IFERROR(__xludf.DUMMYFUNCTION("""COMPUTED_VALUE"""),"ダメージカット(テクニカル)")</f>
        <v>ダメージカット(テクニカル)</v>
      </c>
      <c r="B184" s="385" t="str">
        <f>IFERROR(__xludf.DUMMYFUNCTION("""COMPUTED_VALUE"""),"超瞬間型")</f>
        <v>超瞬間型</v>
      </c>
      <c r="C184" s="386">
        <f>IFERROR(__xludf.DUMMYFUNCTION("""COMPUTED_VALUE"""),3.0)</f>
        <v>3</v>
      </c>
      <c r="D184" s="387" t="str">
        <f>IFERROR(__xludf.DUMMYFUNCTION("""COMPUTED_VALUE"""),"効果時間")</f>
        <v>効果時間</v>
      </c>
      <c r="E184" s="388" t="str">
        <f>IFERROR(__xludf.DUMMYFUNCTION("""COMPUTED_VALUE"""),"-")</f>
        <v>-</v>
      </c>
      <c r="F184" s="389" t="str">
        <f>IFERROR(__xludf.DUMMYFUNCTION("""COMPUTED_VALUE"""),"-")</f>
        <v>-</v>
      </c>
      <c r="G184" s="388" t="str">
        <f>IFERROR(__xludf.DUMMYFUNCTION("""COMPUTED_VALUE"""),"-")</f>
        <v>-</v>
      </c>
      <c r="H184" s="389" t="str">
        <f>IFERROR(__xludf.DUMMYFUNCTION("""COMPUTED_VALUE"""),"-")</f>
        <v>-</v>
      </c>
      <c r="I184" s="388" t="str">
        <f>IFERROR(__xludf.DUMMYFUNCTION("""COMPUTED_VALUE"""),"-")</f>
        <v>-</v>
      </c>
      <c r="J184" s="390">
        <f>IFERROR(__xludf.DUMMYFUNCTION("""COMPUTED_VALUE"""),155.0)</f>
        <v>155</v>
      </c>
      <c r="K184" s="391">
        <f>IFERROR(__xludf.DUMMYFUNCTION("""COMPUTED_VALUE"""),165.0)</f>
        <v>165</v>
      </c>
      <c r="L184" s="340">
        <f>IFERROR(__xludf.DUMMYFUNCTION("""COMPUTED_VALUE"""),185.0)</f>
        <v>185</v>
      </c>
      <c r="M184" s="385" t="str">
        <f>IFERROR(__xludf.DUMMYFUNCTION("""COMPUTED_VALUE"""),"瞬間型")</f>
        <v>瞬間型</v>
      </c>
      <c r="N184" s="386">
        <f>IFERROR(__xludf.DUMMYFUNCTION("""COMPUTED_VALUE"""),3.0)</f>
        <v>3</v>
      </c>
      <c r="O184" s="387" t="str">
        <f>IFERROR(__xludf.DUMMYFUNCTION("""COMPUTED_VALUE"""),"効果時間")</f>
        <v>効果時間</v>
      </c>
      <c r="P184" s="392">
        <f>IFERROR(__xludf.DUMMYFUNCTION("""COMPUTED_VALUE"""),165.0)</f>
        <v>165</v>
      </c>
      <c r="Q184" s="414">
        <f>IFERROR(__xludf.DUMMYFUNCTION("""COMPUTED_VALUE"""),175.0)</f>
        <v>175</v>
      </c>
      <c r="R184" s="415">
        <f>IFERROR(__xludf.DUMMYFUNCTION("""COMPUTED_VALUE"""),180.0)</f>
        <v>180</v>
      </c>
      <c r="S184" s="393">
        <f>IFERROR(__xludf.DUMMYFUNCTION("""COMPUTED_VALUE"""),185.0)</f>
        <v>185</v>
      </c>
      <c r="T184" s="393">
        <f>IFERROR(__xludf.DUMMYFUNCTION("""COMPUTED_VALUE"""),195.0)</f>
        <v>195</v>
      </c>
      <c r="U184" s="414">
        <f>IFERROR(__xludf.DUMMYFUNCTION("""COMPUTED_VALUE"""),200.0)</f>
        <v>200</v>
      </c>
      <c r="V184" s="416">
        <f>IFERROR(__xludf.DUMMYFUNCTION("""COMPUTED_VALUE"""),255.0)</f>
        <v>255</v>
      </c>
      <c r="W184" s="415">
        <f>IFERROR(__xludf.DUMMYFUNCTION("""COMPUTED_VALUE"""),270.0)</f>
        <v>270</v>
      </c>
      <c r="X184" s="385" t="str">
        <f>IFERROR(__xludf.DUMMYFUNCTION("""COMPUTED_VALUE"""),"安定型")</f>
        <v>安定型</v>
      </c>
      <c r="Y184" s="386">
        <f>IFERROR(__xludf.DUMMYFUNCTION("""COMPUTED_VALUE"""),3.0)</f>
        <v>3</v>
      </c>
      <c r="Z184" s="387" t="str">
        <f>IFERROR(__xludf.DUMMYFUNCTION("""COMPUTED_VALUE"""),"効果時間")</f>
        <v>効果時間</v>
      </c>
      <c r="AA184" s="392">
        <f>IFERROR(__xludf.DUMMYFUNCTION("""COMPUTED_VALUE"""),315.0)</f>
        <v>315</v>
      </c>
      <c r="AB184" s="414">
        <f>IFERROR(__xludf.DUMMYFUNCTION("""COMPUTED_VALUE"""),325.0)</f>
        <v>325</v>
      </c>
      <c r="AC184" s="415">
        <f>IFERROR(__xludf.DUMMYFUNCTION("""COMPUTED_VALUE"""),330.0)</f>
        <v>330</v>
      </c>
      <c r="AD184" s="393">
        <f>IFERROR(__xludf.DUMMYFUNCTION("""COMPUTED_VALUE"""),335.0)</f>
        <v>335</v>
      </c>
      <c r="AE184" s="393">
        <f>IFERROR(__xludf.DUMMYFUNCTION("""COMPUTED_VALUE"""),345.0)</f>
        <v>345</v>
      </c>
      <c r="AF184" s="414">
        <f>IFERROR(__xludf.DUMMYFUNCTION("""COMPUTED_VALUE"""),370.0)</f>
        <v>370</v>
      </c>
      <c r="AG184" s="416">
        <f>IFERROR(__xludf.DUMMYFUNCTION("""COMPUTED_VALUE"""),405.0)</f>
        <v>405</v>
      </c>
      <c r="AH184" s="415">
        <f>IFERROR(__xludf.DUMMYFUNCTION("""COMPUTED_VALUE"""),420.0)</f>
        <v>420</v>
      </c>
      <c r="AI184" s="385" t="str">
        <f>IFERROR(__xludf.DUMMYFUNCTION("""COMPUTED_VALUE"""),"持続型")</f>
        <v>持続型</v>
      </c>
      <c r="AJ184" s="386">
        <f>IFERROR(__xludf.DUMMYFUNCTION("""COMPUTED_VALUE"""),3.0)</f>
        <v>3</v>
      </c>
      <c r="AK184" s="387" t="str">
        <f>IFERROR(__xludf.DUMMYFUNCTION("""COMPUTED_VALUE"""),"効果時間")</f>
        <v>効果時間</v>
      </c>
      <c r="AL184" s="392">
        <f>IFERROR(__xludf.DUMMYFUNCTION("""COMPUTED_VALUE"""),465.0)</f>
        <v>465</v>
      </c>
      <c r="AM184" s="414">
        <f>IFERROR(__xludf.DUMMYFUNCTION("""COMPUTED_VALUE"""),475.0)</f>
        <v>475</v>
      </c>
      <c r="AN184" s="415">
        <f>IFERROR(__xludf.DUMMYFUNCTION("""COMPUTED_VALUE"""),480.0)</f>
        <v>480</v>
      </c>
      <c r="AO184" s="393">
        <f>IFERROR(__xludf.DUMMYFUNCTION("""COMPUTED_VALUE"""),485.0)</f>
        <v>485</v>
      </c>
      <c r="AP184" s="393">
        <f>IFERROR(__xludf.DUMMYFUNCTION("""COMPUTED_VALUE"""),495.0)</f>
        <v>495</v>
      </c>
      <c r="AQ184" s="414">
        <f>IFERROR(__xludf.DUMMYFUNCTION("""COMPUTED_VALUE"""),520.0)</f>
        <v>520</v>
      </c>
      <c r="AR184" s="416">
        <f>IFERROR(__xludf.DUMMYFUNCTION("""COMPUTED_VALUE"""),555.0)</f>
        <v>555</v>
      </c>
      <c r="AS184" s="415">
        <f>IFERROR(__xludf.DUMMYFUNCTION("""COMPUTED_VALUE"""),570.0)</f>
        <v>570</v>
      </c>
      <c r="AT184" s="385" t="str">
        <f>IFERROR(__xludf.DUMMYFUNCTION("""COMPUTED_VALUE"""),"超持続型")</f>
        <v>超持続型</v>
      </c>
      <c r="AU184" s="386">
        <f>IFERROR(__xludf.DUMMYFUNCTION("""COMPUTED_VALUE"""),3.0)</f>
        <v>3</v>
      </c>
      <c r="AV184" s="387" t="str">
        <f>IFERROR(__xludf.DUMMYFUNCTION("""COMPUTED_VALUE"""),"効果時間")</f>
        <v>効果時間</v>
      </c>
      <c r="AW184" s="368" t="str">
        <f>IFERROR(__xludf.DUMMYFUNCTION("""COMPUTED_VALUE"""),"-")</f>
        <v>-</v>
      </c>
      <c r="AX184" s="368" t="str">
        <f>IFERROR(__xludf.DUMMYFUNCTION("""COMPUTED_VALUE"""),"-")</f>
        <v>-</v>
      </c>
      <c r="AY184" s="368" t="str">
        <f>IFERROR(__xludf.DUMMYFUNCTION("""COMPUTED_VALUE"""),"-")</f>
        <v>-</v>
      </c>
      <c r="AZ184" s="368" t="str">
        <f>IFERROR(__xludf.DUMMYFUNCTION("""COMPUTED_VALUE"""),"-")</f>
        <v>-</v>
      </c>
      <c r="BA184" s="368" t="str">
        <f>IFERROR(__xludf.DUMMYFUNCTION("""COMPUTED_VALUE"""),"-")</f>
        <v>-</v>
      </c>
      <c r="BB184" s="280">
        <f>IFERROR(__xludf.DUMMYFUNCTION("""COMPUTED_VALUE"""),635.0)</f>
        <v>635</v>
      </c>
      <c r="BC184" s="280">
        <f>IFERROR(__xludf.DUMMYFUNCTION("""COMPUTED_VALUE"""),705.0)</f>
        <v>705</v>
      </c>
      <c r="BD184" s="280">
        <f>IFERROR(__xludf.DUMMYFUNCTION("""COMPUTED_VALUE"""),720.0)</f>
        <v>720</v>
      </c>
      <c r="BE184" s="385" t="str">
        <f>IFERROR(__xludf.DUMMYFUNCTION("""COMPUTED_VALUE"""),"ハイブリッド型")</f>
        <v>ハイブリッド型</v>
      </c>
      <c r="BF184" s="386">
        <f>IFERROR(__xludf.DUMMYFUNCTION("""COMPUTED_VALUE"""),3.0)</f>
        <v>3</v>
      </c>
      <c r="BG184" s="387" t="str">
        <f>IFERROR(__xludf.DUMMYFUNCTION("""COMPUTED_VALUE"""),"効果時間")</f>
        <v>効果時間</v>
      </c>
      <c r="BH184" s="407">
        <f>IFERROR(__xludf.DUMMYFUNCTION("""COMPUTED_VALUE"""),220.0)</f>
        <v>220</v>
      </c>
      <c r="BI184" s="407">
        <f>IFERROR(__xludf.DUMMYFUNCTION("""COMPUTED_VALUE"""),235.0)</f>
        <v>235</v>
      </c>
      <c r="BJ184" s="407">
        <f>IFERROR(__xludf.DUMMYFUNCTION("""COMPUTED_VALUE"""),240.0)</f>
        <v>240</v>
      </c>
      <c r="BK184" s="408">
        <f>IFERROR(__xludf.DUMMYFUNCTION("""COMPUTED_VALUE"""),250.0)</f>
        <v>250</v>
      </c>
      <c r="BL184" s="407">
        <f>IFERROR(__xludf.DUMMYFUNCTION("""COMPUTED_VALUE"""),255.0)</f>
        <v>255</v>
      </c>
      <c r="BM184" s="408">
        <f>IFERROR(__xludf.DUMMYFUNCTION("""COMPUTED_VALUE"""),385.0)</f>
        <v>385</v>
      </c>
      <c r="BN184" s="407">
        <f>IFERROR(__xludf.DUMMYFUNCTION("""COMPUTED_VALUE"""),490.0)</f>
        <v>490</v>
      </c>
      <c r="BO184" s="408">
        <f>IFERROR(__xludf.DUMMYFUNCTION("""COMPUTED_VALUE"""),505.0)</f>
        <v>505</v>
      </c>
    </row>
    <row r="185">
      <c r="A185" s="435" t="str">
        <f>IFERROR(__xludf.DUMMYFUNCTION("""COMPUTED_VALUE"""),"ダメージカット(テクニカル)")</f>
        <v>ダメージカット(テクニカル)</v>
      </c>
      <c r="B185" s="385" t="str">
        <f>IFERROR(__xludf.DUMMYFUNCTION("""COMPUTED_VALUE"""),"超瞬間型")</f>
        <v>超瞬間型</v>
      </c>
      <c r="C185" s="399">
        <f>IFERROR(__xludf.DUMMYFUNCTION("""COMPUTED_VALUE"""),4.0)</f>
        <v>4</v>
      </c>
      <c r="D185" s="400" t="str">
        <f>IFERROR(__xludf.DUMMYFUNCTION("""COMPUTED_VALUE"""),"効果値")</f>
        <v>効果値</v>
      </c>
      <c r="E185" s="401" t="str">
        <f>IFERROR(__xludf.DUMMYFUNCTION("""COMPUTED_VALUE"""),"-")</f>
        <v>-</v>
      </c>
      <c r="F185" s="409" t="str">
        <f>IFERROR(__xludf.DUMMYFUNCTION("""COMPUTED_VALUE"""),"-")</f>
        <v>-</v>
      </c>
      <c r="G185" s="409" t="str">
        <f>IFERROR(__xludf.DUMMYFUNCTION("""COMPUTED_VALUE"""),"-")</f>
        <v>-</v>
      </c>
      <c r="H185" s="409" t="str">
        <f>IFERROR(__xludf.DUMMYFUNCTION("""COMPUTED_VALUE"""),"-")</f>
        <v>-</v>
      </c>
      <c r="I185" s="409" t="str">
        <f>IFERROR(__xludf.DUMMYFUNCTION("""COMPUTED_VALUE"""),"-")</f>
        <v>-</v>
      </c>
      <c r="J185" s="410">
        <f>IFERROR(__xludf.DUMMYFUNCTION("""COMPUTED_VALUE"""),59.0)</f>
        <v>59</v>
      </c>
      <c r="K185" s="410">
        <f>IFERROR(__xludf.DUMMYFUNCTION("""COMPUTED_VALUE"""),69.0)</f>
        <v>69</v>
      </c>
      <c r="L185" s="410">
        <f>IFERROR(__xludf.DUMMYFUNCTION("""COMPUTED_VALUE"""),74.0)</f>
        <v>74</v>
      </c>
      <c r="M185" s="385" t="str">
        <f>IFERROR(__xludf.DUMMYFUNCTION("""COMPUTED_VALUE"""),"瞬間型")</f>
        <v>瞬間型</v>
      </c>
      <c r="N185" s="399">
        <f>IFERROR(__xludf.DUMMYFUNCTION("""COMPUTED_VALUE"""),4.0)</f>
        <v>4</v>
      </c>
      <c r="O185" s="400" t="str">
        <f>IFERROR(__xludf.DUMMYFUNCTION("""COMPUTED_VALUE"""),"効果値")</f>
        <v>効果値</v>
      </c>
      <c r="P185" s="343">
        <f>IFERROR(__xludf.DUMMYFUNCTION("""COMPUTED_VALUE"""),23.0)</f>
        <v>23</v>
      </c>
      <c r="Q185" s="402">
        <f>IFERROR(__xludf.DUMMYFUNCTION("""COMPUTED_VALUE"""),23.0)</f>
        <v>23</v>
      </c>
      <c r="R185" s="343">
        <f>IFERROR(__xludf.DUMMYFUNCTION("""COMPUTED_VALUE"""),23.0)</f>
        <v>23</v>
      </c>
      <c r="S185" s="402">
        <f>IFERROR(__xludf.DUMMYFUNCTION("""COMPUTED_VALUE"""),23.0)</f>
        <v>23</v>
      </c>
      <c r="T185" s="343">
        <f>IFERROR(__xludf.DUMMYFUNCTION("""COMPUTED_VALUE"""),23.0)</f>
        <v>23</v>
      </c>
      <c r="U185" s="343">
        <f>IFERROR(__xludf.DUMMYFUNCTION("""COMPUTED_VALUE"""),29.0)</f>
        <v>29</v>
      </c>
      <c r="V185" s="343">
        <f>IFERROR(__xludf.DUMMYFUNCTION("""COMPUTED_VALUE"""),34.0)</f>
        <v>34</v>
      </c>
      <c r="W185" s="343">
        <f>IFERROR(__xludf.DUMMYFUNCTION("""COMPUTED_VALUE"""),39.0)</f>
        <v>39</v>
      </c>
      <c r="X185" s="385" t="str">
        <f>IFERROR(__xludf.DUMMYFUNCTION("""COMPUTED_VALUE"""),"安定型")</f>
        <v>安定型</v>
      </c>
      <c r="Y185" s="399">
        <f>IFERROR(__xludf.DUMMYFUNCTION("""COMPUTED_VALUE"""),4.0)</f>
        <v>4</v>
      </c>
      <c r="Z185" s="400" t="str">
        <f>IFERROR(__xludf.DUMMYFUNCTION("""COMPUTED_VALUE"""),"効果値")</f>
        <v>効果値</v>
      </c>
      <c r="AA185" s="343">
        <f>IFERROR(__xludf.DUMMYFUNCTION("""COMPUTED_VALUE"""),13.0)</f>
        <v>13</v>
      </c>
      <c r="AB185" s="402">
        <f>IFERROR(__xludf.DUMMYFUNCTION("""COMPUTED_VALUE"""),13.0)</f>
        <v>13</v>
      </c>
      <c r="AC185" s="343">
        <f>IFERROR(__xludf.DUMMYFUNCTION("""COMPUTED_VALUE"""),13.0)</f>
        <v>13</v>
      </c>
      <c r="AD185" s="402">
        <f>IFERROR(__xludf.DUMMYFUNCTION("""COMPUTED_VALUE"""),13.0)</f>
        <v>13</v>
      </c>
      <c r="AE185" s="343">
        <f>IFERROR(__xludf.DUMMYFUNCTION("""COMPUTED_VALUE"""),13.0)</f>
        <v>13</v>
      </c>
      <c r="AF185" s="343">
        <f>IFERROR(__xludf.DUMMYFUNCTION("""COMPUTED_VALUE"""),14.0)</f>
        <v>14</v>
      </c>
      <c r="AG185" s="343">
        <f>IFERROR(__xludf.DUMMYFUNCTION("""COMPUTED_VALUE"""),19.0)</f>
        <v>19</v>
      </c>
      <c r="AH185" s="343">
        <f>IFERROR(__xludf.DUMMYFUNCTION("""COMPUTED_VALUE"""),24.0)</f>
        <v>24</v>
      </c>
      <c r="AI185" s="385" t="str">
        <f>IFERROR(__xludf.DUMMYFUNCTION("""COMPUTED_VALUE"""),"持続型")</f>
        <v>持続型</v>
      </c>
      <c r="AJ185" s="399">
        <f>IFERROR(__xludf.DUMMYFUNCTION("""COMPUTED_VALUE"""),4.0)</f>
        <v>4</v>
      </c>
      <c r="AK185" s="400" t="str">
        <f>IFERROR(__xludf.DUMMYFUNCTION("""COMPUTED_VALUE"""),"効果値")</f>
        <v>効果値</v>
      </c>
      <c r="AL185" s="343">
        <f>IFERROR(__xludf.DUMMYFUNCTION("""COMPUTED_VALUE"""),8.0)</f>
        <v>8</v>
      </c>
      <c r="AM185" s="402">
        <f>IFERROR(__xludf.DUMMYFUNCTION("""COMPUTED_VALUE"""),8.0)</f>
        <v>8</v>
      </c>
      <c r="AN185" s="343">
        <f>IFERROR(__xludf.DUMMYFUNCTION("""COMPUTED_VALUE"""),8.0)</f>
        <v>8</v>
      </c>
      <c r="AO185" s="402">
        <f>IFERROR(__xludf.DUMMYFUNCTION("""COMPUTED_VALUE"""),8.0)</f>
        <v>8</v>
      </c>
      <c r="AP185" s="343">
        <f>IFERROR(__xludf.DUMMYFUNCTION("""COMPUTED_VALUE"""),8.0)</f>
        <v>8</v>
      </c>
      <c r="AQ185" s="343">
        <f>IFERROR(__xludf.DUMMYFUNCTION("""COMPUTED_VALUE"""),9.0)</f>
        <v>9</v>
      </c>
      <c r="AR185" s="343">
        <f>IFERROR(__xludf.DUMMYFUNCTION("""COMPUTED_VALUE"""),12.0)</f>
        <v>12</v>
      </c>
      <c r="AS185" s="343">
        <f>IFERROR(__xludf.DUMMYFUNCTION("""COMPUTED_VALUE"""),12.0)</f>
        <v>12</v>
      </c>
      <c r="AT185" s="385" t="str">
        <f>IFERROR(__xludf.DUMMYFUNCTION("""COMPUTED_VALUE"""),"超持続型")</f>
        <v>超持続型</v>
      </c>
      <c r="AU185" s="399">
        <f>IFERROR(__xludf.DUMMYFUNCTION("""COMPUTED_VALUE"""),4.0)</f>
        <v>4</v>
      </c>
      <c r="AV185" s="400" t="str">
        <f>IFERROR(__xludf.DUMMYFUNCTION("""COMPUTED_VALUE"""),"効果値")</f>
        <v>効果値</v>
      </c>
      <c r="AW185" s="403" t="str">
        <f>IFERROR(__xludf.DUMMYFUNCTION("""COMPUTED_VALUE"""),"-")</f>
        <v>-</v>
      </c>
      <c r="AX185" s="403" t="str">
        <f>IFERROR(__xludf.DUMMYFUNCTION("""COMPUTED_VALUE"""),"-")</f>
        <v>-</v>
      </c>
      <c r="AY185" s="403" t="str">
        <f>IFERROR(__xludf.DUMMYFUNCTION("""COMPUTED_VALUE"""),"-")</f>
        <v>-</v>
      </c>
      <c r="AZ185" s="403" t="str">
        <f>IFERROR(__xludf.DUMMYFUNCTION("""COMPUTED_VALUE"""),"-")</f>
        <v>-</v>
      </c>
      <c r="BA185" s="403" t="str">
        <f>IFERROR(__xludf.DUMMYFUNCTION("""COMPUTED_VALUE"""),"-")</f>
        <v>-</v>
      </c>
      <c r="BB185" s="343">
        <f>IFERROR(__xludf.DUMMYFUNCTION("""COMPUTED_VALUE"""),9.0)</f>
        <v>9</v>
      </c>
      <c r="BC185" s="343">
        <f>IFERROR(__xludf.DUMMYFUNCTION("""COMPUTED_VALUE"""),12.0)</f>
        <v>12</v>
      </c>
      <c r="BD185" s="343">
        <f>IFERROR(__xludf.DUMMYFUNCTION("""COMPUTED_VALUE"""),12.0)</f>
        <v>12</v>
      </c>
      <c r="BE185" s="385" t="str">
        <f>IFERROR(__xludf.DUMMYFUNCTION("""COMPUTED_VALUE"""),"ハイブリッド型")</f>
        <v>ハイブリッド型</v>
      </c>
      <c r="BF185" s="399">
        <f>IFERROR(__xludf.DUMMYFUNCTION("""COMPUTED_VALUE"""),4.0)</f>
        <v>4</v>
      </c>
      <c r="BG185" s="400" t="str">
        <f>IFERROR(__xludf.DUMMYFUNCTION("""COMPUTED_VALUE"""),"効果値")</f>
        <v>効果値</v>
      </c>
      <c r="BH185" s="411">
        <f>IFERROR(__xludf.DUMMYFUNCTION("""COMPUTED_VALUE"""),11.8)</f>
        <v>11.8</v>
      </c>
      <c r="BI185" s="412">
        <f>IFERROR(__xludf.DUMMYFUNCTION("""COMPUTED_VALUE"""),12.4)</f>
        <v>12.4</v>
      </c>
      <c r="BJ185" s="412">
        <f>IFERROR(__xludf.DUMMYFUNCTION("""COMPUTED_VALUE"""),13.1)</f>
        <v>13.1</v>
      </c>
      <c r="BK185" s="412">
        <f>IFERROR(__xludf.DUMMYFUNCTION("""COMPUTED_VALUE"""),13.7)</f>
        <v>13.7</v>
      </c>
      <c r="BL185" s="412">
        <f>IFERROR(__xludf.DUMMYFUNCTION("""COMPUTED_VALUE"""),14.4)</f>
        <v>14.4</v>
      </c>
      <c r="BM185" s="412">
        <f>IFERROR(__xludf.DUMMYFUNCTION("""COMPUTED_VALUE"""),19.4)</f>
        <v>19.4</v>
      </c>
      <c r="BN185" s="412">
        <f>IFERROR(__xludf.DUMMYFUNCTION("""COMPUTED_VALUE"""),24.0)</f>
        <v>24</v>
      </c>
      <c r="BO185" s="413">
        <f>IFERROR(__xludf.DUMMYFUNCTION("""COMPUTED_VALUE"""),29.0)</f>
        <v>29</v>
      </c>
    </row>
    <row r="186">
      <c r="A186" s="435" t="str">
        <f>IFERROR(__xludf.DUMMYFUNCTION("""COMPUTED_VALUE"""),"ダメージカット(テクニカル)")</f>
        <v>ダメージカット(テクニカル)</v>
      </c>
      <c r="B186" s="385" t="str">
        <f>IFERROR(__xludf.DUMMYFUNCTION("""COMPUTED_VALUE"""),"超瞬間型")</f>
        <v>超瞬間型</v>
      </c>
      <c r="C186" s="386">
        <f>IFERROR(__xludf.DUMMYFUNCTION("""COMPUTED_VALUE"""),4.0)</f>
        <v>4</v>
      </c>
      <c r="D186" s="387" t="str">
        <f>IFERROR(__xludf.DUMMYFUNCTION("""COMPUTED_VALUE"""),"効果時間")</f>
        <v>効果時間</v>
      </c>
      <c r="E186" s="388" t="str">
        <f>IFERROR(__xludf.DUMMYFUNCTION("""COMPUTED_VALUE"""),"-")</f>
        <v>-</v>
      </c>
      <c r="F186" s="389" t="str">
        <f>IFERROR(__xludf.DUMMYFUNCTION("""COMPUTED_VALUE"""),"-")</f>
        <v>-</v>
      </c>
      <c r="G186" s="388" t="str">
        <f>IFERROR(__xludf.DUMMYFUNCTION("""COMPUTED_VALUE"""),"-")</f>
        <v>-</v>
      </c>
      <c r="H186" s="389" t="str">
        <f>IFERROR(__xludf.DUMMYFUNCTION("""COMPUTED_VALUE"""),"-")</f>
        <v>-</v>
      </c>
      <c r="I186" s="388" t="str">
        <f>IFERROR(__xludf.DUMMYFUNCTION("""COMPUTED_VALUE"""),"-")</f>
        <v>-</v>
      </c>
      <c r="J186" s="390">
        <f>IFERROR(__xludf.DUMMYFUNCTION("""COMPUTED_VALUE"""),155.0)</f>
        <v>155</v>
      </c>
      <c r="K186" s="391">
        <f>IFERROR(__xludf.DUMMYFUNCTION("""COMPUTED_VALUE"""),170.0)</f>
        <v>170</v>
      </c>
      <c r="L186" s="340">
        <f>IFERROR(__xludf.DUMMYFUNCTION("""COMPUTED_VALUE"""),195.0)</f>
        <v>195</v>
      </c>
      <c r="M186" s="385" t="str">
        <f>IFERROR(__xludf.DUMMYFUNCTION("""COMPUTED_VALUE"""),"瞬間型")</f>
        <v>瞬間型</v>
      </c>
      <c r="N186" s="386">
        <f>IFERROR(__xludf.DUMMYFUNCTION("""COMPUTED_VALUE"""),4.0)</f>
        <v>4</v>
      </c>
      <c r="O186" s="387" t="str">
        <f>IFERROR(__xludf.DUMMYFUNCTION("""COMPUTED_VALUE"""),"効果時間")</f>
        <v>効果時間</v>
      </c>
      <c r="P186" s="280">
        <f>IFERROR(__xludf.DUMMYFUNCTION("""COMPUTED_VALUE"""),170.0)</f>
        <v>170</v>
      </c>
      <c r="Q186" s="275">
        <f>IFERROR(__xludf.DUMMYFUNCTION("""COMPUTED_VALUE"""),180.0)</f>
        <v>180</v>
      </c>
      <c r="R186" s="280">
        <f>IFERROR(__xludf.DUMMYFUNCTION("""COMPUTED_VALUE"""),185.0)</f>
        <v>185</v>
      </c>
      <c r="S186" s="275">
        <f>IFERROR(__xludf.DUMMYFUNCTION("""COMPUTED_VALUE"""),195.0)</f>
        <v>195</v>
      </c>
      <c r="T186" s="280">
        <f>IFERROR(__xludf.DUMMYFUNCTION("""COMPUTED_VALUE"""),200.0)</f>
        <v>200</v>
      </c>
      <c r="U186" s="280">
        <f>IFERROR(__xludf.DUMMYFUNCTION("""COMPUTED_VALUE"""),215.0)</f>
        <v>215</v>
      </c>
      <c r="V186" s="280">
        <f>IFERROR(__xludf.DUMMYFUNCTION("""COMPUTED_VALUE"""),285.0)</f>
        <v>285</v>
      </c>
      <c r="W186" s="280">
        <f>IFERROR(__xludf.DUMMYFUNCTION("""COMPUTED_VALUE"""),305.0)</f>
        <v>305</v>
      </c>
      <c r="X186" s="385" t="str">
        <f>IFERROR(__xludf.DUMMYFUNCTION("""COMPUTED_VALUE"""),"安定型")</f>
        <v>安定型</v>
      </c>
      <c r="Y186" s="386">
        <f>IFERROR(__xludf.DUMMYFUNCTION("""COMPUTED_VALUE"""),4.0)</f>
        <v>4</v>
      </c>
      <c r="Z186" s="387" t="str">
        <f>IFERROR(__xludf.DUMMYFUNCTION("""COMPUTED_VALUE"""),"効果時間")</f>
        <v>効果時間</v>
      </c>
      <c r="AA186" s="280">
        <f>IFERROR(__xludf.DUMMYFUNCTION("""COMPUTED_VALUE"""),320.0)</f>
        <v>320</v>
      </c>
      <c r="AB186" s="275">
        <f>IFERROR(__xludf.DUMMYFUNCTION("""COMPUTED_VALUE"""),330.0)</f>
        <v>330</v>
      </c>
      <c r="AC186" s="280">
        <f>IFERROR(__xludf.DUMMYFUNCTION("""COMPUTED_VALUE"""),335.0)</f>
        <v>335</v>
      </c>
      <c r="AD186" s="275">
        <f>IFERROR(__xludf.DUMMYFUNCTION("""COMPUTED_VALUE"""),345.0)</f>
        <v>345</v>
      </c>
      <c r="AE186" s="280">
        <f>IFERROR(__xludf.DUMMYFUNCTION("""COMPUTED_VALUE"""),350.0)</f>
        <v>350</v>
      </c>
      <c r="AF186" s="280">
        <f>IFERROR(__xludf.DUMMYFUNCTION("""COMPUTED_VALUE"""),390.0)</f>
        <v>390</v>
      </c>
      <c r="AG186" s="280">
        <f>IFERROR(__xludf.DUMMYFUNCTION("""COMPUTED_VALUE"""),435.0)</f>
        <v>435</v>
      </c>
      <c r="AH186" s="280">
        <f>IFERROR(__xludf.DUMMYFUNCTION("""COMPUTED_VALUE"""),455.0)</f>
        <v>455</v>
      </c>
      <c r="AI186" s="385" t="str">
        <f>IFERROR(__xludf.DUMMYFUNCTION("""COMPUTED_VALUE"""),"持続型")</f>
        <v>持続型</v>
      </c>
      <c r="AJ186" s="386">
        <f>IFERROR(__xludf.DUMMYFUNCTION("""COMPUTED_VALUE"""),4.0)</f>
        <v>4</v>
      </c>
      <c r="AK186" s="387" t="str">
        <f>IFERROR(__xludf.DUMMYFUNCTION("""COMPUTED_VALUE"""),"効果時間")</f>
        <v>効果時間</v>
      </c>
      <c r="AL186" s="280">
        <f>IFERROR(__xludf.DUMMYFUNCTION("""COMPUTED_VALUE"""),470.0)</f>
        <v>470</v>
      </c>
      <c r="AM186" s="275">
        <f>IFERROR(__xludf.DUMMYFUNCTION("""COMPUTED_VALUE"""),480.0)</f>
        <v>480</v>
      </c>
      <c r="AN186" s="280">
        <f>IFERROR(__xludf.DUMMYFUNCTION("""COMPUTED_VALUE"""),485.0)</f>
        <v>485</v>
      </c>
      <c r="AO186" s="275">
        <f>IFERROR(__xludf.DUMMYFUNCTION("""COMPUTED_VALUE"""),495.0)</f>
        <v>495</v>
      </c>
      <c r="AP186" s="280">
        <f>IFERROR(__xludf.DUMMYFUNCTION("""COMPUTED_VALUE"""),500.0)</f>
        <v>500</v>
      </c>
      <c r="AQ186" s="280">
        <f>IFERROR(__xludf.DUMMYFUNCTION("""COMPUTED_VALUE"""),540.0)</f>
        <v>540</v>
      </c>
      <c r="AR186" s="280">
        <f>IFERROR(__xludf.DUMMYFUNCTION("""COMPUTED_VALUE"""),585.0)</f>
        <v>585</v>
      </c>
      <c r="AS186" s="280">
        <f>IFERROR(__xludf.DUMMYFUNCTION("""COMPUTED_VALUE"""),605.0)</f>
        <v>605</v>
      </c>
      <c r="AT186" s="385" t="str">
        <f>IFERROR(__xludf.DUMMYFUNCTION("""COMPUTED_VALUE"""),"超持続型")</f>
        <v>超持続型</v>
      </c>
      <c r="AU186" s="386">
        <f>IFERROR(__xludf.DUMMYFUNCTION("""COMPUTED_VALUE"""),4.0)</f>
        <v>4</v>
      </c>
      <c r="AV186" s="387" t="str">
        <f>IFERROR(__xludf.DUMMYFUNCTION("""COMPUTED_VALUE"""),"効果時間")</f>
        <v>効果時間</v>
      </c>
      <c r="AW186" s="368" t="str">
        <f>IFERROR(__xludf.DUMMYFUNCTION("""COMPUTED_VALUE"""),"-")</f>
        <v>-</v>
      </c>
      <c r="AX186" s="368" t="str">
        <f>IFERROR(__xludf.DUMMYFUNCTION("""COMPUTED_VALUE"""),"-")</f>
        <v>-</v>
      </c>
      <c r="AY186" s="368" t="str">
        <f>IFERROR(__xludf.DUMMYFUNCTION("""COMPUTED_VALUE"""),"-")</f>
        <v>-</v>
      </c>
      <c r="AZ186" s="368" t="str">
        <f>IFERROR(__xludf.DUMMYFUNCTION("""COMPUTED_VALUE"""),"-")</f>
        <v>-</v>
      </c>
      <c r="BA186" s="368" t="str">
        <f>IFERROR(__xludf.DUMMYFUNCTION("""COMPUTED_VALUE"""),"-")</f>
        <v>-</v>
      </c>
      <c r="BB186" s="280">
        <f>IFERROR(__xludf.DUMMYFUNCTION("""COMPUTED_VALUE"""),645.0)</f>
        <v>645</v>
      </c>
      <c r="BC186" s="280">
        <f>IFERROR(__xludf.DUMMYFUNCTION("""COMPUTED_VALUE"""),735.0)</f>
        <v>735</v>
      </c>
      <c r="BD186" s="280">
        <f>IFERROR(__xludf.DUMMYFUNCTION("""COMPUTED_VALUE"""),755.0)</f>
        <v>755</v>
      </c>
      <c r="BE186" s="385" t="str">
        <f>IFERROR(__xludf.DUMMYFUNCTION("""COMPUTED_VALUE"""),"ハイブリッド型")</f>
        <v>ハイブリッド型</v>
      </c>
      <c r="BF186" s="386">
        <f>IFERROR(__xludf.DUMMYFUNCTION("""COMPUTED_VALUE"""),4.0)</f>
        <v>4</v>
      </c>
      <c r="BG186" s="387" t="str">
        <f>IFERROR(__xludf.DUMMYFUNCTION("""COMPUTED_VALUE"""),"効果時間")</f>
        <v>効果時間</v>
      </c>
      <c r="BH186" s="417">
        <f>IFERROR(__xludf.DUMMYFUNCTION("""COMPUTED_VALUE"""),240.0)</f>
        <v>240</v>
      </c>
      <c r="BI186" s="417">
        <f>IFERROR(__xludf.DUMMYFUNCTION("""COMPUTED_VALUE"""),255.0)</f>
        <v>255</v>
      </c>
      <c r="BJ186" s="417">
        <f>IFERROR(__xludf.DUMMYFUNCTION("""COMPUTED_VALUE"""),265.0)</f>
        <v>265</v>
      </c>
      <c r="BK186" s="418">
        <f>IFERROR(__xludf.DUMMYFUNCTION("""COMPUTED_VALUE"""),275.0)</f>
        <v>275</v>
      </c>
      <c r="BL186" s="417">
        <f>IFERROR(__xludf.DUMMYFUNCTION("""COMPUTED_VALUE"""),285.0)</f>
        <v>285</v>
      </c>
      <c r="BM186" s="418">
        <f>IFERROR(__xludf.DUMMYFUNCTION("""COMPUTED_VALUE"""),395.0)</f>
        <v>395</v>
      </c>
      <c r="BN186" s="417">
        <f>IFERROR(__xludf.DUMMYFUNCTION("""COMPUTED_VALUE"""),500.0)</f>
        <v>500</v>
      </c>
      <c r="BO186" s="418">
        <f>IFERROR(__xludf.DUMMYFUNCTION("""COMPUTED_VALUE"""),520.0)</f>
        <v>520</v>
      </c>
    </row>
    <row r="187">
      <c r="A187" s="435" t="str">
        <f>IFERROR(__xludf.DUMMYFUNCTION("""COMPUTED_VALUE"""),"ダメージカット(テクニカル)")</f>
        <v>ダメージカット(テクニカル)</v>
      </c>
      <c r="B187" s="385" t="str">
        <f>IFERROR(__xludf.DUMMYFUNCTION("""COMPUTED_VALUE"""),"超瞬間型")</f>
        <v>超瞬間型</v>
      </c>
      <c r="C187" s="399">
        <f>IFERROR(__xludf.DUMMYFUNCTION("""COMPUTED_VALUE"""),5.0)</f>
        <v>5</v>
      </c>
      <c r="D187" s="400" t="str">
        <f>IFERROR(__xludf.DUMMYFUNCTION("""COMPUTED_VALUE"""),"効果値")</f>
        <v>効果値</v>
      </c>
      <c r="E187" s="419" t="str">
        <f>IFERROR(__xludf.DUMMYFUNCTION("""COMPUTED_VALUE"""),"-")</f>
        <v>-</v>
      </c>
      <c r="F187" s="409" t="str">
        <f>IFERROR(__xludf.DUMMYFUNCTION("""COMPUTED_VALUE"""),"-")</f>
        <v>-</v>
      </c>
      <c r="G187" s="409" t="str">
        <f>IFERROR(__xludf.DUMMYFUNCTION("""COMPUTED_VALUE"""),"-")</f>
        <v>-</v>
      </c>
      <c r="H187" s="409" t="str">
        <f>IFERROR(__xludf.DUMMYFUNCTION("""COMPUTED_VALUE"""),"-")</f>
        <v>-</v>
      </c>
      <c r="I187" s="409" t="str">
        <f>IFERROR(__xludf.DUMMYFUNCTION("""COMPUTED_VALUE"""),"-")</f>
        <v>-</v>
      </c>
      <c r="J187" s="420">
        <f>IFERROR(__xludf.DUMMYFUNCTION("""COMPUTED_VALUE"""),60.0)</f>
        <v>60</v>
      </c>
      <c r="K187" s="421">
        <f>IFERROR(__xludf.DUMMYFUNCTION("""COMPUTED_VALUE"""),70.0)</f>
        <v>70</v>
      </c>
      <c r="L187" s="421">
        <f>IFERROR(__xludf.DUMMYFUNCTION("""COMPUTED_VALUE"""),75.0)</f>
        <v>75</v>
      </c>
      <c r="M187" s="385" t="str">
        <f>IFERROR(__xludf.DUMMYFUNCTION("""COMPUTED_VALUE"""),"瞬間型")</f>
        <v>瞬間型</v>
      </c>
      <c r="N187" s="399">
        <f>IFERROR(__xludf.DUMMYFUNCTION("""COMPUTED_VALUE"""),5.0)</f>
        <v>5</v>
      </c>
      <c r="O187" s="400" t="str">
        <f>IFERROR(__xludf.DUMMYFUNCTION("""COMPUTED_VALUE"""),"効果値")</f>
        <v>効果値</v>
      </c>
      <c r="P187" s="422">
        <f>IFERROR(__xludf.DUMMYFUNCTION("""COMPUTED_VALUE"""),23.0)</f>
        <v>23</v>
      </c>
      <c r="Q187" s="423">
        <f>IFERROR(__xludf.DUMMYFUNCTION("""COMPUTED_VALUE"""),23.0)</f>
        <v>23</v>
      </c>
      <c r="R187" s="422">
        <f>IFERROR(__xludf.DUMMYFUNCTION("""COMPUTED_VALUE"""),24.0)</f>
        <v>24</v>
      </c>
      <c r="S187" s="423">
        <f>IFERROR(__xludf.DUMMYFUNCTION("""COMPUTED_VALUE"""),24.0)</f>
        <v>24</v>
      </c>
      <c r="T187" s="422">
        <f>IFERROR(__xludf.DUMMYFUNCTION("""COMPUTED_VALUE"""),24.0)</f>
        <v>24</v>
      </c>
      <c r="U187" s="423">
        <f>IFERROR(__xludf.DUMMYFUNCTION("""COMPUTED_VALUE"""),30.0)</f>
        <v>30</v>
      </c>
      <c r="V187" s="423">
        <f>IFERROR(__xludf.DUMMYFUNCTION("""COMPUTED_VALUE"""),35.0)</f>
        <v>35</v>
      </c>
      <c r="W187" s="424">
        <f>IFERROR(__xludf.DUMMYFUNCTION("""COMPUTED_VALUE"""),40.0)</f>
        <v>40</v>
      </c>
      <c r="X187" s="385" t="str">
        <f>IFERROR(__xludf.DUMMYFUNCTION("""COMPUTED_VALUE"""),"安定型")</f>
        <v>安定型</v>
      </c>
      <c r="Y187" s="399">
        <f>IFERROR(__xludf.DUMMYFUNCTION("""COMPUTED_VALUE"""),5.0)</f>
        <v>5</v>
      </c>
      <c r="Z187" s="400" t="str">
        <f>IFERROR(__xludf.DUMMYFUNCTION("""COMPUTED_VALUE"""),"効果値")</f>
        <v>効果値</v>
      </c>
      <c r="AA187" s="422">
        <f>IFERROR(__xludf.DUMMYFUNCTION("""COMPUTED_VALUE"""),13.0)</f>
        <v>13</v>
      </c>
      <c r="AB187" s="423">
        <f>IFERROR(__xludf.DUMMYFUNCTION("""COMPUTED_VALUE"""),13.0)</f>
        <v>13</v>
      </c>
      <c r="AC187" s="422">
        <f>IFERROR(__xludf.DUMMYFUNCTION("""COMPUTED_VALUE"""),14.0)</f>
        <v>14</v>
      </c>
      <c r="AD187" s="423">
        <f>IFERROR(__xludf.DUMMYFUNCTION("""COMPUTED_VALUE"""),14.0)</f>
        <v>14</v>
      </c>
      <c r="AE187" s="422">
        <f>IFERROR(__xludf.DUMMYFUNCTION("""COMPUTED_VALUE"""),14.0)</f>
        <v>14</v>
      </c>
      <c r="AF187" s="423">
        <f>IFERROR(__xludf.DUMMYFUNCTION("""COMPUTED_VALUE"""),15.0)</f>
        <v>15</v>
      </c>
      <c r="AG187" s="423">
        <f>IFERROR(__xludf.DUMMYFUNCTION("""COMPUTED_VALUE"""),20.0)</f>
        <v>20</v>
      </c>
      <c r="AH187" s="424">
        <f>IFERROR(__xludf.DUMMYFUNCTION("""COMPUTED_VALUE"""),25.0)</f>
        <v>25</v>
      </c>
      <c r="AI187" s="385" t="str">
        <f>IFERROR(__xludf.DUMMYFUNCTION("""COMPUTED_VALUE"""),"持続型")</f>
        <v>持続型</v>
      </c>
      <c r="AJ187" s="399">
        <f>IFERROR(__xludf.DUMMYFUNCTION("""COMPUTED_VALUE"""),5.0)</f>
        <v>5</v>
      </c>
      <c r="AK187" s="400" t="str">
        <f>IFERROR(__xludf.DUMMYFUNCTION("""COMPUTED_VALUE"""),"効果値")</f>
        <v>効果値</v>
      </c>
      <c r="AL187" s="422">
        <f>IFERROR(__xludf.DUMMYFUNCTION("""COMPUTED_VALUE"""),8.0)</f>
        <v>8</v>
      </c>
      <c r="AM187" s="423">
        <f>IFERROR(__xludf.DUMMYFUNCTION("""COMPUTED_VALUE"""),8.0)</f>
        <v>8</v>
      </c>
      <c r="AN187" s="422">
        <f>IFERROR(__xludf.DUMMYFUNCTION("""COMPUTED_VALUE"""),9.0)</f>
        <v>9</v>
      </c>
      <c r="AO187" s="423">
        <f>IFERROR(__xludf.DUMMYFUNCTION("""COMPUTED_VALUE"""),9.0)</f>
        <v>9</v>
      </c>
      <c r="AP187" s="422">
        <f>IFERROR(__xludf.DUMMYFUNCTION("""COMPUTED_VALUE"""),9.0)</f>
        <v>9</v>
      </c>
      <c r="AQ187" s="423">
        <f>IFERROR(__xludf.DUMMYFUNCTION("""COMPUTED_VALUE"""),10.0)</f>
        <v>10</v>
      </c>
      <c r="AR187" s="423">
        <f>IFERROR(__xludf.DUMMYFUNCTION("""COMPUTED_VALUE"""),12.0)</f>
        <v>12</v>
      </c>
      <c r="AS187" s="424">
        <f>IFERROR(__xludf.DUMMYFUNCTION("""COMPUTED_VALUE"""),12.0)</f>
        <v>12</v>
      </c>
      <c r="AT187" s="385" t="str">
        <f>IFERROR(__xludf.DUMMYFUNCTION("""COMPUTED_VALUE"""),"超持続型")</f>
        <v>超持続型</v>
      </c>
      <c r="AU187" s="399">
        <f>IFERROR(__xludf.DUMMYFUNCTION("""COMPUTED_VALUE"""),5.0)</f>
        <v>5</v>
      </c>
      <c r="AV187" s="400" t="str">
        <f>IFERROR(__xludf.DUMMYFUNCTION("""COMPUTED_VALUE"""),"効果値")</f>
        <v>効果値</v>
      </c>
      <c r="AW187" s="425" t="str">
        <f>IFERROR(__xludf.DUMMYFUNCTION("""COMPUTED_VALUE"""),"-")</f>
        <v>-</v>
      </c>
      <c r="AX187" s="426" t="str">
        <f>IFERROR(__xludf.DUMMYFUNCTION("""COMPUTED_VALUE"""),"-")</f>
        <v>-</v>
      </c>
      <c r="AY187" s="426" t="str">
        <f>IFERROR(__xludf.DUMMYFUNCTION("""COMPUTED_VALUE"""),"-")</f>
        <v>-</v>
      </c>
      <c r="AZ187" s="426" t="str">
        <f>IFERROR(__xludf.DUMMYFUNCTION("""COMPUTED_VALUE"""),"-")</f>
        <v>-</v>
      </c>
      <c r="BA187" s="426" t="str">
        <f>IFERROR(__xludf.DUMMYFUNCTION("""COMPUTED_VALUE"""),"-")</f>
        <v>-</v>
      </c>
      <c r="BB187" s="423">
        <f>IFERROR(__xludf.DUMMYFUNCTION("""COMPUTED_VALUE"""),10.0)</f>
        <v>10</v>
      </c>
      <c r="BC187" s="423">
        <f>IFERROR(__xludf.DUMMYFUNCTION("""COMPUTED_VALUE"""),12.0)</f>
        <v>12</v>
      </c>
      <c r="BD187" s="424">
        <f>IFERROR(__xludf.DUMMYFUNCTION("""COMPUTED_VALUE"""),12.0)</f>
        <v>12</v>
      </c>
      <c r="BE187" s="385" t="str">
        <f>IFERROR(__xludf.DUMMYFUNCTION("""COMPUTED_VALUE"""),"ハイブリッド型")</f>
        <v>ハイブリッド型</v>
      </c>
      <c r="BF187" s="399">
        <f>IFERROR(__xludf.DUMMYFUNCTION("""COMPUTED_VALUE"""),5.0)</f>
        <v>5</v>
      </c>
      <c r="BG187" s="400" t="str">
        <f>IFERROR(__xludf.DUMMYFUNCTION("""COMPUTED_VALUE"""),"効果値")</f>
        <v>効果値</v>
      </c>
      <c r="BH187" s="427">
        <f>IFERROR(__xludf.DUMMYFUNCTION("""COMPUTED_VALUE"""),12.0)</f>
        <v>12</v>
      </c>
      <c r="BI187" s="428">
        <f>IFERROR(__xludf.DUMMYFUNCTION("""COMPUTED_VALUE"""),12.75)</f>
        <v>12.75</v>
      </c>
      <c r="BJ187" s="428">
        <f>IFERROR(__xludf.DUMMYFUNCTION("""COMPUTED_VALUE"""),13.5)</f>
        <v>13.5</v>
      </c>
      <c r="BK187" s="428">
        <f>IFERROR(__xludf.DUMMYFUNCTION("""COMPUTED_VALUE"""),14.25)</f>
        <v>14.25</v>
      </c>
      <c r="BL187" s="427">
        <f>IFERROR(__xludf.DUMMYFUNCTION("""COMPUTED_VALUE"""),15.0)</f>
        <v>15</v>
      </c>
      <c r="BM187" s="427">
        <f>IFERROR(__xludf.DUMMYFUNCTION("""COMPUTED_VALUE"""),20.0)</f>
        <v>20</v>
      </c>
      <c r="BN187" s="427">
        <f>IFERROR(__xludf.DUMMYFUNCTION("""COMPUTED_VALUE"""),25.0)</f>
        <v>25</v>
      </c>
      <c r="BO187" s="429">
        <f>IFERROR(__xludf.DUMMYFUNCTION("""COMPUTED_VALUE"""),30.0)</f>
        <v>30</v>
      </c>
    </row>
    <row r="188">
      <c r="A188" s="435" t="str">
        <f>IFERROR(__xludf.DUMMYFUNCTION("""COMPUTED_VALUE"""),"ダメージカット(テクニカル)")</f>
        <v>ダメージカット(テクニカル)</v>
      </c>
      <c r="B188" s="385" t="str">
        <f>IFERROR(__xludf.DUMMYFUNCTION("""COMPUTED_VALUE"""),"超瞬間型")</f>
        <v>超瞬間型</v>
      </c>
      <c r="C188" s="430">
        <f>IFERROR(__xludf.DUMMYFUNCTION("""COMPUTED_VALUE"""),5.0)</f>
        <v>5</v>
      </c>
      <c r="D188" s="431" t="str">
        <f>IFERROR(__xludf.DUMMYFUNCTION("""COMPUTED_VALUE"""),"効果時間")</f>
        <v>効果時間</v>
      </c>
      <c r="E188" s="388" t="str">
        <f>IFERROR(__xludf.DUMMYFUNCTION("""COMPUTED_VALUE"""),"-")</f>
        <v>-</v>
      </c>
      <c r="F188" s="389" t="str">
        <f>IFERROR(__xludf.DUMMYFUNCTION("""COMPUTED_VALUE"""),"-")</f>
        <v>-</v>
      </c>
      <c r="G188" s="388" t="str">
        <f>IFERROR(__xludf.DUMMYFUNCTION("""COMPUTED_VALUE"""),"-")</f>
        <v>-</v>
      </c>
      <c r="H188" s="389" t="str">
        <f>IFERROR(__xludf.DUMMYFUNCTION("""COMPUTED_VALUE"""),"-")</f>
        <v>-</v>
      </c>
      <c r="I188" s="388" t="str">
        <f>IFERROR(__xludf.DUMMYFUNCTION("""COMPUTED_VALUE"""),"-")</f>
        <v>-</v>
      </c>
      <c r="J188" s="390">
        <f>IFERROR(__xludf.DUMMYFUNCTION("""COMPUTED_VALUE"""),160.0)</f>
        <v>160</v>
      </c>
      <c r="K188" s="391">
        <f>IFERROR(__xludf.DUMMYFUNCTION("""COMPUTED_VALUE"""),175.0)</f>
        <v>175</v>
      </c>
      <c r="L188" s="340">
        <f>IFERROR(__xludf.DUMMYFUNCTION("""COMPUTED_VALUE"""),200.0)</f>
        <v>200</v>
      </c>
      <c r="M188" s="385" t="str">
        <f>IFERROR(__xludf.DUMMYFUNCTION("""COMPUTED_VALUE"""),"瞬間型")</f>
        <v>瞬間型</v>
      </c>
      <c r="N188" s="430">
        <f>IFERROR(__xludf.DUMMYFUNCTION("""COMPUTED_VALUE"""),5.0)</f>
        <v>5</v>
      </c>
      <c r="O188" s="431" t="str">
        <f>IFERROR(__xludf.DUMMYFUNCTION("""COMPUTED_VALUE"""),"効果時間")</f>
        <v>効果時間</v>
      </c>
      <c r="P188" s="392">
        <f>IFERROR(__xludf.DUMMYFUNCTION("""COMPUTED_VALUE"""),175.0)</f>
        <v>175</v>
      </c>
      <c r="Q188" s="414">
        <f>IFERROR(__xludf.DUMMYFUNCTION("""COMPUTED_VALUE"""),185.0)</f>
        <v>185</v>
      </c>
      <c r="R188" s="414">
        <f>IFERROR(__xludf.DUMMYFUNCTION("""COMPUTED_VALUE"""),190.0)</f>
        <v>190</v>
      </c>
      <c r="S188" s="414">
        <f>IFERROR(__xludf.DUMMYFUNCTION("""COMPUTED_VALUE"""),195.0)</f>
        <v>195</v>
      </c>
      <c r="T188" s="394">
        <f>IFERROR(__xludf.DUMMYFUNCTION("""COMPUTED_VALUE"""),200.0)</f>
        <v>200</v>
      </c>
      <c r="U188" s="394">
        <f>IFERROR(__xludf.DUMMYFUNCTION("""COMPUTED_VALUE"""),225.0)</f>
        <v>225</v>
      </c>
      <c r="V188" s="394">
        <f>IFERROR(__xludf.DUMMYFUNCTION("""COMPUTED_VALUE"""),300.0)</f>
        <v>300</v>
      </c>
      <c r="W188" s="394">
        <f>IFERROR(__xludf.DUMMYFUNCTION("""COMPUTED_VALUE"""),325.0)</f>
        <v>325</v>
      </c>
      <c r="X188" s="385" t="str">
        <f>IFERROR(__xludf.DUMMYFUNCTION("""COMPUTED_VALUE"""),"安定型")</f>
        <v>安定型</v>
      </c>
      <c r="Y188" s="430">
        <f>IFERROR(__xludf.DUMMYFUNCTION("""COMPUTED_VALUE"""),5.0)</f>
        <v>5</v>
      </c>
      <c r="Z188" s="431" t="str">
        <f>IFERROR(__xludf.DUMMYFUNCTION("""COMPUTED_VALUE"""),"効果時間")</f>
        <v>効果時間</v>
      </c>
      <c r="AA188" s="392">
        <f>IFERROR(__xludf.DUMMYFUNCTION("""COMPUTED_VALUE"""),325.0)</f>
        <v>325</v>
      </c>
      <c r="AB188" s="414">
        <f>IFERROR(__xludf.DUMMYFUNCTION("""COMPUTED_VALUE"""),335.0)</f>
        <v>335</v>
      </c>
      <c r="AC188" s="414">
        <f>IFERROR(__xludf.DUMMYFUNCTION("""COMPUTED_VALUE"""),340.0)</f>
        <v>340</v>
      </c>
      <c r="AD188" s="414">
        <f>IFERROR(__xludf.DUMMYFUNCTION("""COMPUTED_VALUE"""),345.0)</f>
        <v>345</v>
      </c>
      <c r="AE188" s="394">
        <f>IFERROR(__xludf.DUMMYFUNCTION("""COMPUTED_VALUE"""),350.0)</f>
        <v>350</v>
      </c>
      <c r="AF188" s="394">
        <f>IFERROR(__xludf.DUMMYFUNCTION("""COMPUTED_VALUE"""),400.0)</f>
        <v>400</v>
      </c>
      <c r="AG188" s="394">
        <f>IFERROR(__xludf.DUMMYFUNCTION("""COMPUTED_VALUE"""),450.0)</f>
        <v>450</v>
      </c>
      <c r="AH188" s="394">
        <f>IFERROR(__xludf.DUMMYFUNCTION("""COMPUTED_VALUE"""),475.0)</f>
        <v>475</v>
      </c>
      <c r="AI188" s="385" t="str">
        <f>IFERROR(__xludf.DUMMYFUNCTION("""COMPUTED_VALUE"""),"持続型")</f>
        <v>持続型</v>
      </c>
      <c r="AJ188" s="430">
        <f>IFERROR(__xludf.DUMMYFUNCTION("""COMPUTED_VALUE"""),5.0)</f>
        <v>5</v>
      </c>
      <c r="AK188" s="431" t="str">
        <f>IFERROR(__xludf.DUMMYFUNCTION("""COMPUTED_VALUE"""),"効果時間")</f>
        <v>効果時間</v>
      </c>
      <c r="AL188" s="392">
        <f>IFERROR(__xludf.DUMMYFUNCTION("""COMPUTED_VALUE"""),475.0)</f>
        <v>475</v>
      </c>
      <c r="AM188" s="414">
        <f>IFERROR(__xludf.DUMMYFUNCTION("""COMPUTED_VALUE"""),485.0)</f>
        <v>485</v>
      </c>
      <c r="AN188" s="414">
        <f>IFERROR(__xludf.DUMMYFUNCTION("""COMPUTED_VALUE"""),490.0)</f>
        <v>490</v>
      </c>
      <c r="AO188" s="414">
        <f>IFERROR(__xludf.DUMMYFUNCTION("""COMPUTED_VALUE"""),495.0)</f>
        <v>495</v>
      </c>
      <c r="AP188" s="394">
        <f>IFERROR(__xludf.DUMMYFUNCTION("""COMPUTED_VALUE"""),500.0)</f>
        <v>500</v>
      </c>
      <c r="AQ188" s="394">
        <f>IFERROR(__xludf.DUMMYFUNCTION("""COMPUTED_VALUE"""),550.0)</f>
        <v>550</v>
      </c>
      <c r="AR188" s="394">
        <f>IFERROR(__xludf.DUMMYFUNCTION("""COMPUTED_VALUE"""),600.0)</f>
        <v>600</v>
      </c>
      <c r="AS188" s="394">
        <f>IFERROR(__xludf.DUMMYFUNCTION("""COMPUTED_VALUE"""),625.0)</f>
        <v>625</v>
      </c>
      <c r="AT188" s="385" t="str">
        <f>IFERROR(__xludf.DUMMYFUNCTION("""COMPUTED_VALUE"""),"超持続型")</f>
        <v>超持続型</v>
      </c>
      <c r="AU188" s="430">
        <f>IFERROR(__xludf.DUMMYFUNCTION("""COMPUTED_VALUE"""),5.0)</f>
        <v>5</v>
      </c>
      <c r="AV188" s="431" t="str">
        <f>IFERROR(__xludf.DUMMYFUNCTION("""COMPUTED_VALUE"""),"効果時間")</f>
        <v>効果時間</v>
      </c>
      <c r="AW188" s="395" t="str">
        <f>IFERROR(__xludf.DUMMYFUNCTION("""COMPUTED_VALUE"""),"-")</f>
        <v>-</v>
      </c>
      <c r="AX188" s="396" t="str">
        <f>IFERROR(__xludf.DUMMYFUNCTION("""COMPUTED_VALUE"""),"-")</f>
        <v>-</v>
      </c>
      <c r="AY188" s="396" t="str">
        <f>IFERROR(__xludf.DUMMYFUNCTION("""COMPUTED_VALUE"""),"-")</f>
        <v>-</v>
      </c>
      <c r="AZ188" s="396" t="str">
        <f>IFERROR(__xludf.DUMMYFUNCTION("""COMPUTED_VALUE"""),"-")</f>
        <v>-</v>
      </c>
      <c r="BA188" s="396" t="str">
        <f>IFERROR(__xludf.DUMMYFUNCTION("""COMPUTED_VALUE"""),"-")</f>
        <v>-</v>
      </c>
      <c r="BB188" s="393">
        <f>IFERROR(__xludf.DUMMYFUNCTION("""COMPUTED_VALUE"""),650.0)</f>
        <v>650</v>
      </c>
      <c r="BC188" s="393">
        <f>IFERROR(__xludf.DUMMYFUNCTION("""COMPUTED_VALUE"""),750.0)</f>
        <v>750</v>
      </c>
      <c r="BD188" s="394">
        <f>IFERROR(__xludf.DUMMYFUNCTION("""COMPUTED_VALUE"""),775.0)</f>
        <v>775</v>
      </c>
      <c r="BE188" s="385" t="str">
        <f>IFERROR(__xludf.DUMMYFUNCTION("""COMPUTED_VALUE"""),"ハイブリッド型")</f>
        <v>ハイブリッド型</v>
      </c>
      <c r="BF188" s="430">
        <f>IFERROR(__xludf.DUMMYFUNCTION("""COMPUTED_VALUE"""),5.0)</f>
        <v>5</v>
      </c>
      <c r="BG188" s="431" t="str">
        <f>IFERROR(__xludf.DUMMYFUNCTION("""COMPUTED_VALUE"""),"効果時間")</f>
        <v>効果時間</v>
      </c>
      <c r="BH188" s="304">
        <f>IFERROR(__xludf.DUMMYFUNCTION("""COMPUTED_VALUE"""),250.0)</f>
        <v>250</v>
      </c>
      <c r="BI188" s="432">
        <f>IFERROR(__xludf.DUMMYFUNCTION("""COMPUTED_VALUE"""),265.0)</f>
        <v>265</v>
      </c>
      <c r="BJ188" s="432">
        <f>IFERROR(__xludf.DUMMYFUNCTION("""COMPUTED_VALUE"""),275.0)</f>
        <v>275</v>
      </c>
      <c r="BK188" s="432">
        <f>IFERROR(__xludf.DUMMYFUNCTION("""COMPUTED_VALUE"""),290.0)</f>
        <v>290</v>
      </c>
      <c r="BL188" s="304">
        <f>IFERROR(__xludf.DUMMYFUNCTION("""COMPUTED_VALUE"""),300.0)</f>
        <v>300</v>
      </c>
      <c r="BM188" s="304">
        <f>IFERROR(__xludf.DUMMYFUNCTION("""COMPUTED_VALUE"""),400.0)</f>
        <v>400</v>
      </c>
      <c r="BN188" s="304">
        <f>IFERROR(__xludf.DUMMYFUNCTION("""COMPUTED_VALUE"""),500.0)</f>
        <v>500</v>
      </c>
      <c r="BO188" s="304">
        <f>IFERROR(__xludf.DUMMYFUNCTION("""COMPUTED_VALUE"""),525.0)</f>
        <v>525</v>
      </c>
    </row>
    <row r="189">
      <c r="A189" s="433" t="str">
        <f>IFERROR(__xludf.DUMMYFUNCTION("""COMPUTED_VALUE"""),"ダメージカット(ディフェンス)")</f>
        <v>ダメージカット(ディフェンス)</v>
      </c>
      <c r="B189" s="374" t="str">
        <f>IFERROR(__xludf.DUMMYFUNCTION("""COMPUTED_VALUE"""),"超瞬間型")</f>
        <v>超瞬間型</v>
      </c>
      <c r="C189" s="375">
        <f>IFERROR(__xludf.DUMMYFUNCTION("""COMPUTED_VALUE"""),1.0)</f>
        <v>1</v>
      </c>
      <c r="D189" s="376" t="str">
        <f>IFERROR(__xludf.DUMMYFUNCTION("""COMPUTED_VALUE"""),"効果値")</f>
        <v>効果値</v>
      </c>
      <c r="E189" s="377" t="str">
        <f>IFERROR(__xludf.DUMMYFUNCTION("""COMPUTED_VALUE"""),"-")</f>
        <v>-</v>
      </c>
      <c r="F189" s="378" t="str">
        <f>IFERROR(__xludf.DUMMYFUNCTION("""COMPUTED_VALUE"""),"-")</f>
        <v>-</v>
      </c>
      <c r="G189" s="377" t="str">
        <f>IFERROR(__xludf.DUMMYFUNCTION("""COMPUTED_VALUE"""),"-")</f>
        <v>-</v>
      </c>
      <c r="H189" s="378" t="str">
        <f>IFERROR(__xludf.DUMMYFUNCTION("""COMPUTED_VALUE"""),"-")</f>
        <v>-</v>
      </c>
      <c r="I189" s="377" t="str">
        <f>IFERROR(__xludf.DUMMYFUNCTION("""COMPUTED_VALUE"""),"-")</f>
        <v>-</v>
      </c>
      <c r="J189" s="379">
        <f>IFERROR(__xludf.DUMMYFUNCTION("""COMPUTED_VALUE"""),55.0)</f>
        <v>55</v>
      </c>
      <c r="K189" s="294">
        <f>IFERROR(__xludf.DUMMYFUNCTION("""COMPUTED_VALUE"""),65.0)</f>
        <v>65</v>
      </c>
      <c r="L189" s="294">
        <f>IFERROR(__xludf.DUMMYFUNCTION("""COMPUTED_VALUE"""),65.0)</f>
        <v>65</v>
      </c>
      <c r="M189" s="374" t="str">
        <f>IFERROR(__xludf.DUMMYFUNCTION("""COMPUTED_VALUE"""),"瞬間型")</f>
        <v>瞬間型</v>
      </c>
      <c r="N189" s="375">
        <f>IFERROR(__xludf.DUMMYFUNCTION("""COMPUTED_VALUE"""),1.0)</f>
        <v>1</v>
      </c>
      <c r="O189" s="376" t="str">
        <f>IFERROR(__xludf.DUMMYFUNCTION("""COMPUTED_VALUE"""),"効果値")</f>
        <v>効果値</v>
      </c>
      <c r="P189" s="380">
        <f>IFERROR(__xludf.DUMMYFUNCTION("""COMPUTED_VALUE"""),20.0)</f>
        <v>20</v>
      </c>
      <c r="Q189" s="263">
        <f>IFERROR(__xludf.DUMMYFUNCTION("""COMPUTED_VALUE"""),20.0)</f>
        <v>20</v>
      </c>
      <c r="R189" s="263">
        <f>IFERROR(__xludf.DUMMYFUNCTION("""COMPUTED_VALUE"""),20.0)</f>
        <v>20</v>
      </c>
      <c r="S189" s="263">
        <f>IFERROR(__xludf.DUMMYFUNCTION("""COMPUTED_VALUE"""),20.0)</f>
        <v>20</v>
      </c>
      <c r="T189" s="263">
        <f>IFERROR(__xludf.DUMMYFUNCTION("""COMPUTED_VALUE"""),20.0)</f>
        <v>20</v>
      </c>
      <c r="U189" s="263">
        <f>IFERROR(__xludf.DUMMYFUNCTION("""COMPUTED_VALUE"""),25.0)</f>
        <v>25</v>
      </c>
      <c r="V189" s="266">
        <f>IFERROR(__xludf.DUMMYFUNCTION("""COMPUTED_VALUE"""),30.0)</f>
        <v>30</v>
      </c>
      <c r="W189" s="266">
        <f>IFERROR(__xludf.DUMMYFUNCTION("""COMPUTED_VALUE"""),30.0)</f>
        <v>30</v>
      </c>
      <c r="X189" s="374" t="str">
        <f>IFERROR(__xludf.DUMMYFUNCTION("""COMPUTED_VALUE"""),"安定型")</f>
        <v>安定型</v>
      </c>
      <c r="Y189" s="375">
        <f>IFERROR(__xludf.DUMMYFUNCTION("""COMPUTED_VALUE"""),1.0)</f>
        <v>1</v>
      </c>
      <c r="Z189" s="376" t="str">
        <f>IFERROR(__xludf.DUMMYFUNCTION("""COMPUTED_VALUE"""),"効果値")</f>
        <v>効果値</v>
      </c>
      <c r="AA189" s="380">
        <f>IFERROR(__xludf.DUMMYFUNCTION("""COMPUTED_VALUE"""),10.0)</f>
        <v>10</v>
      </c>
      <c r="AB189" s="263">
        <f>IFERROR(__xludf.DUMMYFUNCTION("""COMPUTED_VALUE"""),10.0)</f>
        <v>10</v>
      </c>
      <c r="AC189" s="263">
        <f>IFERROR(__xludf.DUMMYFUNCTION("""COMPUTED_VALUE"""),10.0)</f>
        <v>10</v>
      </c>
      <c r="AD189" s="263">
        <f>IFERROR(__xludf.DUMMYFUNCTION("""COMPUTED_VALUE"""),10.0)</f>
        <v>10</v>
      </c>
      <c r="AE189" s="263">
        <f>IFERROR(__xludf.DUMMYFUNCTION("""COMPUTED_VALUE"""),10.0)</f>
        <v>10</v>
      </c>
      <c r="AF189" s="263">
        <f>IFERROR(__xludf.DUMMYFUNCTION("""COMPUTED_VALUE"""),10.0)</f>
        <v>10</v>
      </c>
      <c r="AG189" s="266">
        <f>IFERROR(__xludf.DUMMYFUNCTION("""COMPUTED_VALUE"""),15.0)</f>
        <v>15</v>
      </c>
      <c r="AH189" s="266">
        <f>IFERROR(__xludf.DUMMYFUNCTION("""COMPUTED_VALUE"""),15.0)</f>
        <v>15</v>
      </c>
      <c r="AI189" s="374" t="str">
        <f>IFERROR(__xludf.DUMMYFUNCTION("""COMPUTED_VALUE"""),"持続型")</f>
        <v>持続型</v>
      </c>
      <c r="AJ189" s="375">
        <f>IFERROR(__xludf.DUMMYFUNCTION("""COMPUTED_VALUE"""),1.0)</f>
        <v>1</v>
      </c>
      <c r="AK189" s="376" t="str">
        <f>IFERROR(__xludf.DUMMYFUNCTION("""COMPUTED_VALUE"""),"効果値")</f>
        <v>効果値</v>
      </c>
      <c r="AL189" s="380">
        <f>IFERROR(__xludf.DUMMYFUNCTION("""COMPUTED_VALUE"""),5.0)</f>
        <v>5</v>
      </c>
      <c r="AM189" s="263">
        <f>IFERROR(__xludf.DUMMYFUNCTION("""COMPUTED_VALUE"""),5.0)</f>
        <v>5</v>
      </c>
      <c r="AN189" s="263">
        <f>IFERROR(__xludf.DUMMYFUNCTION("""COMPUTED_VALUE"""),5.0)</f>
        <v>5</v>
      </c>
      <c r="AO189" s="263">
        <f>IFERROR(__xludf.DUMMYFUNCTION("""COMPUTED_VALUE"""),5.0)</f>
        <v>5</v>
      </c>
      <c r="AP189" s="263">
        <f>IFERROR(__xludf.DUMMYFUNCTION("""COMPUTED_VALUE"""),5.0)</f>
        <v>5</v>
      </c>
      <c r="AQ189" s="263">
        <f>IFERROR(__xludf.DUMMYFUNCTION("""COMPUTED_VALUE"""),5.0)</f>
        <v>5</v>
      </c>
      <c r="AR189" s="266">
        <f>IFERROR(__xludf.DUMMYFUNCTION("""COMPUTED_VALUE"""),10.0)</f>
        <v>10</v>
      </c>
      <c r="AS189" s="266">
        <f>IFERROR(__xludf.DUMMYFUNCTION("""COMPUTED_VALUE"""),10.0)</f>
        <v>10</v>
      </c>
      <c r="AT189" s="374" t="str">
        <f>IFERROR(__xludf.DUMMYFUNCTION("""COMPUTED_VALUE"""),"超持続型")</f>
        <v>超持続型</v>
      </c>
      <c r="AU189" s="375">
        <f>IFERROR(__xludf.DUMMYFUNCTION("""COMPUTED_VALUE"""),1.0)</f>
        <v>1</v>
      </c>
      <c r="AV189" s="376" t="str">
        <f>IFERROR(__xludf.DUMMYFUNCTION("""COMPUTED_VALUE"""),"効果値")</f>
        <v>効果値</v>
      </c>
      <c r="AW189" s="350" t="str">
        <f>IFERROR(__xludf.DUMMYFUNCTION("""COMPUTED_VALUE"""),"-")</f>
        <v>-</v>
      </c>
      <c r="AX189" s="348" t="str">
        <f>IFERROR(__xludf.DUMMYFUNCTION("""COMPUTED_VALUE"""),"-")</f>
        <v>-</v>
      </c>
      <c r="AY189" s="348" t="str">
        <f>IFERROR(__xludf.DUMMYFUNCTION("""COMPUTED_VALUE"""),"-")</f>
        <v>-</v>
      </c>
      <c r="AZ189" s="348" t="str">
        <f>IFERROR(__xludf.DUMMYFUNCTION("""COMPUTED_VALUE"""),"-")</f>
        <v>-</v>
      </c>
      <c r="BA189" s="348" t="str">
        <f>IFERROR(__xludf.DUMMYFUNCTION("""COMPUTED_VALUE"""),"-")</f>
        <v>-</v>
      </c>
      <c r="BB189" s="263">
        <f>IFERROR(__xludf.DUMMYFUNCTION("""COMPUTED_VALUE"""),5.0)</f>
        <v>5</v>
      </c>
      <c r="BC189" s="266">
        <f>IFERROR(__xludf.DUMMYFUNCTION("""COMPUTED_VALUE"""),10.0)</f>
        <v>10</v>
      </c>
      <c r="BD189" s="266">
        <f>IFERROR(__xludf.DUMMYFUNCTION("""COMPUTED_VALUE"""),10.0)</f>
        <v>10</v>
      </c>
      <c r="BE189" s="374" t="str">
        <f>IFERROR(__xludf.DUMMYFUNCTION("""COMPUTED_VALUE"""),"ハイブリッド型")</f>
        <v>ハイブリッド型</v>
      </c>
      <c r="BF189" s="375">
        <f>IFERROR(__xludf.DUMMYFUNCTION("""COMPUTED_VALUE"""),1.0)</f>
        <v>1</v>
      </c>
      <c r="BG189" s="376" t="str">
        <f>IFERROR(__xludf.DUMMYFUNCTION("""COMPUTED_VALUE"""),"効果値")</f>
        <v>効果値</v>
      </c>
      <c r="BH189" s="381">
        <f>IFERROR(__xludf.DUMMYFUNCTION("""COMPUTED_VALUE"""),10.0)</f>
        <v>10</v>
      </c>
      <c r="BI189" s="382">
        <f>IFERROR(__xludf.DUMMYFUNCTION("""COMPUTED_VALUE"""),10.0)</f>
        <v>10</v>
      </c>
      <c r="BJ189" s="382">
        <f>IFERROR(__xludf.DUMMYFUNCTION("""COMPUTED_VALUE"""),10.0)</f>
        <v>10</v>
      </c>
      <c r="BK189" s="382">
        <f>IFERROR(__xludf.DUMMYFUNCTION("""COMPUTED_VALUE"""),10.0)</f>
        <v>10</v>
      </c>
      <c r="BL189" s="382">
        <f>IFERROR(__xludf.DUMMYFUNCTION("""COMPUTED_VALUE"""),10.0)</f>
        <v>10</v>
      </c>
      <c r="BM189" s="382">
        <f>IFERROR(__xludf.DUMMYFUNCTION("""COMPUTED_VALUE"""),15.0)</f>
        <v>15</v>
      </c>
      <c r="BN189" s="382">
        <f>IFERROR(__xludf.DUMMYFUNCTION("""COMPUTED_VALUE"""),20.0)</f>
        <v>20</v>
      </c>
      <c r="BO189" s="383">
        <f>IFERROR(__xludf.DUMMYFUNCTION("""COMPUTED_VALUE"""),20.0)</f>
        <v>20</v>
      </c>
    </row>
    <row r="190">
      <c r="A190" s="434" t="str">
        <f>IFERROR(__xludf.DUMMYFUNCTION("""COMPUTED_VALUE"""),"ダメージカット(ディフェンス)")</f>
        <v>ダメージカット(ディフェンス)</v>
      </c>
      <c r="B190" s="385" t="str">
        <f>IFERROR(__xludf.DUMMYFUNCTION("""COMPUTED_VALUE"""),"超瞬間型")</f>
        <v>超瞬間型</v>
      </c>
      <c r="C190" s="386">
        <f>IFERROR(__xludf.DUMMYFUNCTION("""COMPUTED_VALUE"""),1.0)</f>
        <v>1</v>
      </c>
      <c r="D190" s="387" t="str">
        <f>IFERROR(__xludf.DUMMYFUNCTION("""COMPUTED_VALUE"""),"効果時間")</f>
        <v>効果時間</v>
      </c>
      <c r="E190" s="388" t="str">
        <f>IFERROR(__xludf.DUMMYFUNCTION("""COMPUTED_VALUE"""),"-")</f>
        <v>-</v>
      </c>
      <c r="F190" s="389" t="str">
        <f>IFERROR(__xludf.DUMMYFUNCTION("""COMPUTED_VALUE"""),"-")</f>
        <v>-</v>
      </c>
      <c r="G190" s="388" t="str">
        <f>IFERROR(__xludf.DUMMYFUNCTION("""COMPUTED_VALUE"""),"-")</f>
        <v>-</v>
      </c>
      <c r="H190" s="389" t="str">
        <f>IFERROR(__xludf.DUMMYFUNCTION("""COMPUTED_VALUE"""),"-")</f>
        <v>-</v>
      </c>
      <c r="I190" s="388" t="str">
        <f>IFERROR(__xludf.DUMMYFUNCTION("""COMPUTED_VALUE"""),"-")</f>
        <v>-</v>
      </c>
      <c r="J190" s="390">
        <f>IFERROR(__xludf.DUMMYFUNCTION("""COMPUTED_VALUE"""),150.0)</f>
        <v>150</v>
      </c>
      <c r="K190" s="391">
        <f>IFERROR(__xludf.DUMMYFUNCTION("""COMPUTED_VALUE"""),160.0)</f>
        <v>160</v>
      </c>
      <c r="L190" s="340">
        <f>IFERROR(__xludf.DUMMYFUNCTION("""COMPUTED_VALUE"""),160.0)</f>
        <v>160</v>
      </c>
      <c r="M190" s="385" t="str">
        <f>IFERROR(__xludf.DUMMYFUNCTION("""COMPUTED_VALUE"""),"瞬間型")</f>
        <v>瞬間型</v>
      </c>
      <c r="N190" s="386">
        <f>IFERROR(__xludf.DUMMYFUNCTION("""COMPUTED_VALUE"""),1.0)</f>
        <v>1</v>
      </c>
      <c r="O190" s="387" t="str">
        <f>IFERROR(__xludf.DUMMYFUNCTION("""COMPUTED_VALUE"""),"効果時間")</f>
        <v>効果時間</v>
      </c>
      <c r="P190" s="392">
        <f>IFERROR(__xludf.DUMMYFUNCTION("""COMPUTED_VALUE"""),150.0)</f>
        <v>150</v>
      </c>
      <c r="Q190" s="393">
        <f>IFERROR(__xludf.DUMMYFUNCTION("""COMPUTED_VALUE"""),150.0)</f>
        <v>150</v>
      </c>
      <c r="R190" s="393">
        <f>IFERROR(__xludf.DUMMYFUNCTION("""COMPUTED_VALUE"""),150.0)</f>
        <v>150</v>
      </c>
      <c r="S190" s="393">
        <f>IFERROR(__xludf.DUMMYFUNCTION("""COMPUTED_VALUE"""),150.0)</f>
        <v>150</v>
      </c>
      <c r="T190" s="393">
        <f>IFERROR(__xludf.DUMMYFUNCTION("""COMPUTED_VALUE"""),150.0)</f>
        <v>150</v>
      </c>
      <c r="U190" s="393">
        <f>IFERROR(__xludf.DUMMYFUNCTION("""COMPUTED_VALUE"""),150.0)</f>
        <v>150</v>
      </c>
      <c r="V190" s="393">
        <f>IFERROR(__xludf.DUMMYFUNCTION("""COMPUTED_VALUE"""),160.0)</f>
        <v>160</v>
      </c>
      <c r="W190" s="394">
        <f>IFERROR(__xludf.DUMMYFUNCTION("""COMPUTED_VALUE"""),160.0)</f>
        <v>160</v>
      </c>
      <c r="X190" s="385" t="str">
        <f>IFERROR(__xludf.DUMMYFUNCTION("""COMPUTED_VALUE"""),"安定型")</f>
        <v>安定型</v>
      </c>
      <c r="Y190" s="386">
        <f>IFERROR(__xludf.DUMMYFUNCTION("""COMPUTED_VALUE"""),1.0)</f>
        <v>1</v>
      </c>
      <c r="Z190" s="387" t="str">
        <f>IFERROR(__xludf.DUMMYFUNCTION("""COMPUTED_VALUE"""),"効果時間")</f>
        <v>効果時間</v>
      </c>
      <c r="AA190" s="392">
        <f>IFERROR(__xludf.DUMMYFUNCTION("""COMPUTED_VALUE"""),300.0)</f>
        <v>300</v>
      </c>
      <c r="AB190" s="393">
        <f>IFERROR(__xludf.DUMMYFUNCTION("""COMPUTED_VALUE"""),300.0)</f>
        <v>300</v>
      </c>
      <c r="AC190" s="393">
        <f>IFERROR(__xludf.DUMMYFUNCTION("""COMPUTED_VALUE"""),300.0)</f>
        <v>300</v>
      </c>
      <c r="AD190" s="393">
        <f>IFERROR(__xludf.DUMMYFUNCTION("""COMPUTED_VALUE"""),300.0)</f>
        <v>300</v>
      </c>
      <c r="AE190" s="393">
        <f>IFERROR(__xludf.DUMMYFUNCTION("""COMPUTED_VALUE"""),300.0)</f>
        <v>300</v>
      </c>
      <c r="AF190" s="393">
        <f>IFERROR(__xludf.DUMMYFUNCTION("""COMPUTED_VALUE"""),300.0)</f>
        <v>300</v>
      </c>
      <c r="AG190" s="393">
        <f>IFERROR(__xludf.DUMMYFUNCTION("""COMPUTED_VALUE"""),310.0)</f>
        <v>310</v>
      </c>
      <c r="AH190" s="394">
        <f>IFERROR(__xludf.DUMMYFUNCTION("""COMPUTED_VALUE"""),310.0)</f>
        <v>310</v>
      </c>
      <c r="AI190" s="385" t="str">
        <f>IFERROR(__xludf.DUMMYFUNCTION("""COMPUTED_VALUE"""),"持続型")</f>
        <v>持続型</v>
      </c>
      <c r="AJ190" s="386">
        <f>IFERROR(__xludf.DUMMYFUNCTION("""COMPUTED_VALUE"""),1.0)</f>
        <v>1</v>
      </c>
      <c r="AK190" s="387" t="str">
        <f>IFERROR(__xludf.DUMMYFUNCTION("""COMPUTED_VALUE"""),"効果時間")</f>
        <v>効果時間</v>
      </c>
      <c r="AL190" s="392">
        <f>IFERROR(__xludf.DUMMYFUNCTION("""COMPUTED_VALUE"""),450.0)</f>
        <v>450</v>
      </c>
      <c r="AM190" s="393">
        <f>IFERROR(__xludf.DUMMYFUNCTION("""COMPUTED_VALUE"""),450.0)</f>
        <v>450</v>
      </c>
      <c r="AN190" s="393">
        <f>IFERROR(__xludf.DUMMYFUNCTION("""COMPUTED_VALUE"""),450.0)</f>
        <v>450</v>
      </c>
      <c r="AO190" s="393">
        <f>IFERROR(__xludf.DUMMYFUNCTION("""COMPUTED_VALUE"""),450.0)</f>
        <v>450</v>
      </c>
      <c r="AP190" s="393">
        <f>IFERROR(__xludf.DUMMYFUNCTION("""COMPUTED_VALUE"""),450.0)</f>
        <v>450</v>
      </c>
      <c r="AQ190" s="393">
        <f>IFERROR(__xludf.DUMMYFUNCTION("""COMPUTED_VALUE"""),450.0)</f>
        <v>450</v>
      </c>
      <c r="AR190" s="393">
        <f>IFERROR(__xludf.DUMMYFUNCTION("""COMPUTED_VALUE"""),460.0)</f>
        <v>460</v>
      </c>
      <c r="AS190" s="394">
        <f>IFERROR(__xludf.DUMMYFUNCTION("""COMPUTED_VALUE"""),460.0)</f>
        <v>460</v>
      </c>
      <c r="AT190" s="385" t="str">
        <f>IFERROR(__xludf.DUMMYFUNCTION("""COMPUTED_VALUE"""),"超持続型")</f>
        <v>超持続型</v>
      </c>
      <c r="AU190" s="386">
        <f>IFERROR(__xludf.DUMMYFUNCTION("""COMPUTED_VALUE"""),1.0)</f>
        <v>1</v>
      </c>
      <c r="AV190" s="387" t="str">
        <f>IFERROR(__xludf.DUMMYFUNCTION("""COMPUTED_VALUE"""),"効果時間")</f>
        <v>効果時間</v>
      </c>
      <c r="AW190" s="395" t="str">
        <f>IFERROR(__xludf.DUMMYFUNCTION("""COMPUTED_VALUE"""),"-")</f>
        <v>-</v>
      </c>
      <c r="AX190" s="396" t="str">
        <f>IFERROR(__xludf.DUMMYFUNCTION("""COMPUTED_VALUE"""),"-")</f>
        <v>-</v>
      </c>
      <c r="AY190" s="396" t="str">
        <f>IFERROR(__xludf.DUMMYFUNCTION("""COMPUTED_VALUE"""),"-")</f>
        <v>-</v>
      </c>
      <c r="AZ190" s="396" t="str">
        <f>IFERROR(__xludf.DUMMYFUNCTION("""COMPUTED_VALUE"""),"-")</f>
        <v>-</v>
      </c>
      <c r="BA190" s="396" t="str">
        <f>IFERROR(__xludf.DUMMYFUNCTION("""COMPUTED_VALUE"""),"-")</f>
        <v>-</v>
      </c>
      <c r="BB190" s="393">
        <f>IFERROR(__xludf.DUMMYFUNCTION("""COMPUTED_VALUE"""),600.0)</f>
        <v>600</v>
      </c>
      <c r="BC190" s="393">
        <f>IFERROR(__xludf.DUMMYFUNCTION("""COMPUTED_VALUE"""),610.0)</f>
        <v>610</v>
      </c>
      <c r="BD190" s="394">
        <f>IFERROR(__xludf.DUMMYFUNCTION("""COMPUTED_VALUE"""),610.0)</f>
        <v>610</v>
      </c>
      <c r="BE190" s="385" t="str">
        <f>IFERROR(__xludf.DUMMYFUNCTION("""COMPUTED_VALUE"""),"ハイブリッド型")</f>
        <v>ハイブリッド型</v>
      </c>
      <c r="BF190" s="386">
        <f>IFERROR(__xludf.DUMMYFUNCTION("""COMPUTED_VALUE"""),1.0)</f>
        <v>1</v>
      </c>
      <c r="BG190" s="387" t="str">
        <f>IFERROR(__xludf.DUMMYFUNCTION("""COMPUTED_VALUE"""),"効果時間")</f>
        <v>効果時間</v>
      </c>
      <c r="BH190" s="397">
        <f>IFERROR(__xludf.DUMMYFUNCTION("""COMPUTED_VALUE"""),150.0)</f>
        <v>150</v>
      </c>
      <c r="BI190" s="397">
        <f>IFERROR(__xludf.DUMMYFUNCTION("""COMPUTED_VALUE"""),150.0)</f>
        <v>150</v>
      </c>
      <c r="BJ190" s="397">
        <f>IFERROR(__xludf.DUMMYFUNCTION("""COMPUTED_VALUE"""),150.0)</f>
        <v>150</v>
      </c>
      <c r="BK190" s="398">
        <f>IFERROR(__xludf.DUMMYFUNCTION("""COMPUTED_VALUE"""),150.0)</f>
        <v>150</v>
      </c>
      <c r="BL190" s="397">
        <f>IFERROR(__xludf.DUMMYFUNCTION("""COMPUTED_VALUE"""),150.0)</f>
        <v>150</v>
      </c>
      <c r="BM190" s="398">
        <f>IFERROR(__xludf.DUMMYFUNCTION("""COMPUTED_VALUE"""),350.0)</f>
        <v>350</v>
      </c>
      <c r="BN190" s="397">
        <f>IFERROR(__xludf.DUMMYFUNCTION("""COMPUTED_VALUE"""),460.0)</f>
        <v>460</v>
      </c>
      <c r="BO190" s="398">
        <f>IFERROR(__xludf.DUMMYFUNCTION("""COMPUTED_VALUE"""),460.0)</f>
        <v>460</v>
      </c>
    </row>
    <row r="191">
      <c r="A191" s="435" t="str">
        <f>IFERROR(__xludf.DUMMYFUNCTION("""COMPUTED_VALUE"""),"ダメージカット(ディフェンス)")</f>
        <v>ダメージカット(ディフェンス)</v>
      </c>
      <c r="B191" s="385" t="str">
        <f>IFERROR(__xludf.DUMMYFUNCTION("""COMPUTED_VALUE"""),"超瞬間型")</f>
        <v>超瞬間型</v>
      </c>
      <c r="C191" s="399">
        <f>IFERROR(__xludf.DUMMYFUNCTION("""COMPUTED_VALUE"""),2.0)</f>
        <v>2</v>
      </c>
      <c r="D191" s="400" t="str">
        <f>IFERROR(__xludf.DUMMYFUNCTION("""COMPUTED_VALUE"""),"効果値")</f>
        <v>効果値</v>
      </c>
      <c r="E191" s="401" t="str">
        <f>IFERROR(__xludf.DUMMYFUNCTION("""COMPUTED_VALUE"""),"-")</f>
        <v>-</v>
      </c>
      <c r="F191" s="401" t="str">
        <f>IFERROR(__xludf.DUMMYFUNCTION("""COMPUTED_VALUE"""),"-")</f>
        <v>-</v>
      </c>
      <c r="G191" s="401" t="str">
        <f>IFERROR(__xludf.DUMMYFUNCTION("""COMPUTED_VALUE"""),"-")</f>
        <v>-</v>
      </c>
      <c r="H191" s="401" t="str">
        <f>IFERROR(__xludf.DUMMYFUNCTION("""COMPUTED_VALUE"""),"-")</f>
        <v>-</v>
      </c>
      <c r="I191" s="401" t="str">
        <f>IFERROR(__xludf.DUMMYFUNCTION("""COMPUTED_VALUE"""),"-")</f>
        <v>-</v>
      </c>
      <c r="J191" s="318">
        <f>IFERROR(__xludf.DUMMYFUNCTION("""COMPUTED_VALUE"""),57.0)</f>
        <v>57</v>
      </c>
      <c r="K191" s="318">
        <f>IFERROR(__xludf.DUMMYFUNCTION("""COMPUTED_VALUE"""),67.0)</f>
        <v>67</v>
      </c>
      <c r="L191" s="318">
        <f>IFERROR(__xludf.DUMMYFUNCTION("""COMPUTED_VALUE"""),69.0)</f>
        <v>69</v>
      </c>
      <c r="M191" s="385" t="str">
        <f>IFERROR(__xludf.DUMMYFUNCTION("""COMPUTED_VALUE"""),"瞬間型")</f>
        <v>瞬間型</v>
      </c>
      <c r="N191" s="399">
        <f>IFERROR(__xludf.DUMMYFUNCTION("""COMPUTED_VALUE"""),2.0)</f>
        <v>2</v>
      </c>
      <c r="O191" s="400" t="str">
        <f>IFERROR(__xludf.DUMMYFUNCTION("""COMPUTED_VALUE"""),"効果値")</f>
        <v>効果値</v>
      </c>
      <c r="P191" s="343">
        <f>IFERROR(__xludf.DUMMYFUNCTION("""COMPUTED_VALUE"""),21.0)</f>
        <v>21</v>
      </c>
      <c r="Q191" s="402">
        <f>IFERROR(__xludf.DUMMYFUNCTION("""COMPUTED_VALUE"""),21.0)</f>
        <v>21</v>
      </c>
      <c r="R191" s="343">
        <f>IFERROR(__xludf.DUMMYFUNCTION("""COMPUTED_VALUE"""),22.0)</f>
        <v>22</v>
      </c>
      <c r="S191" s="402">
        <f>IFERROR(__xludf.DUMMYFUNCTION("""COMPUTED_VALUE"""),22.0)</f>
        <v>22</v>
      </c>
      <c r="T191" s="343">
        <f>IFERROR(__xludf.DUMMYFUNCTION("""COMPUTED_VALUE"""),22.0)</f>
        <v>22</v>
      </c>
      <c r="U191" s="343">
        <f>IFERROR(__xludf.DUMMYFUNCTION("""COMPUTED_VALUE"""),27.0)</f>
        <v>27</v>
      </c>
      <c r="V191" s="343">
        <f>IFERROR(__xludf.DUMMYFUNCTION("""COMPUTED_VALUE"""),32.0)</f>
        <v>32</v>
      </c>
      <c r="W191" s="343">
        <f>IFERROR(__xludf.DUMMYFUNCTION("""COMPUTED_VALUE"""),34.0)</f>
        <v>34</v>
      </c>
      <c r="X191" s="385" t="str">
        <f>IFERROR(__xludf.DUMMYFUNCTION("""COMPUTED_VALUE"""),"安定型")</f>
        <v>安定型</v>
      </c>
      <c r="Y191" s="399">
        <f>IFERROR(__xludf.DUMMYFUNCTION("""COMPUTED_VALUE"""),2.0)</f>
        <v>2</v>
      </c>
      <c r="Z191" s="400" t="str">
        <f>IFERROR(__xludf.DUMMYFUNCTION("""COMPUTED_VALUE"""),"効果値")</f>
        <v>効果値</v>
      </c>
      <c r="AA191" s="343">
        <f>IFERROR(__xludf.DUMMYFUNCTION("""COMPUTED_VALUE"""),11.0)</f>
        <v>11</v>
      </c>
      <c r="AB191" s="402">
        <f>IFERROR(__xludf.DUMMYFUNCTION("""COMPUTED_VALUE"""),11.0)</f>
        <v>11</v>
      </c>
      <c r="AC191" s="343">
        <f>IFERROR(__xludf.DUMMYFUNCTION("""COMPUTED_VALUE"""),12.0)</f>
        <v>12</v>
      </c>
      <c r="AD191" s="402">
        <f>IFERROR(__xludf.DUMMYFUNCTION("""COMPUTED_VALUE"""),12.0)</f>
        <v>12</v>
      </c>
      <c r="AE191" s="343">
        <f>IFERROR(__xludf.DUMMYFUNCTION("""COMPUTED_VALUE"""),12.0)</f>
        <v>12</v>
      </c>
      <c r="AF191" s="343">
        <f>IFERROR(__xludf.DUMMYFUNCTION("""COMPUTED_VALUE"""),12.0)</f>
        <v>12</v>
      </c>
      <c r="AG191" s="343">
        <f>IFERROR(__xludf.DUMMYFUNCTION("""COMPUTED_VALUE"""),17.0)</f>
        <v>17</v>
      </c>
      <c r="AH191" s="343">
        <f>IFERROR(__xludf.DUMMYFUNCTION("""COMPUTED_VALUE"""),19.0)</f>
        <v>19</v>
      </c>
      <c r="AI191" s="385" t="str">
        <f>IFERROR(__xludf.DUMMYFUNCTION("""COMPUTED_VALUE"""),"持続型")</f>
        <v>持続型</v>
      </c>
      <c r="AJ191" s="399">
        <f>IFERROR(__xludf.DUMMYFUNCTION("""COMPUTED_VALUE"""),2.0)</f>
        <v>2</v>
      </c>
      <c r="AK191" s="400" t="str">
        <f>IFERROR(__xludf.DUMMYFUNCTION("""COMPUTED_VALUE"""),"効果値")</f>
        <v>効果値</v>
      </c>
      <c r="AL191" s="343">
        <f>IFERROR(__xludf.DUMMYFUNCTION("""COMPUTED_VALUE"""),6.0)</f>
        <v>6</v>
      </c>
      <c r="AM191" s="402">
        <f>IFERROR(__xludf.DUMMYFUNCTION("""COMPUTED_VALUE"""),6.0)</f>
        <v>6</v>
      </c>
      <c r="AN191" s="343">
        <f>IFERROR(__xludf.DUMMYFUNCTION("""COMPUTED_VALUE"""),7.0)</f>
        <v>7</v>
      </c>
      <c r="AO191" s="402">
        <f>IFERROR(__xludf.DUMMYFUNCTION("""COMPUTED_VALUE"""),7.0)</f>
        <v>7</v>
      </c>
      <c r="AP191" s="343">
        <f>IFERROR(__xludf.DUMMYFUNCTION("""COMPUTED_VALUE"""),7.0)</f>
        <v>7</v>
      </c>
      <c r="AQ191" s="343">
        <f>IFERROR(__xludf.DUMMYFUNCTION("""COMPUTED_VALUE"""),7.0)</f>
        <v>7</v>
      </c>
      <c r="AR191" s="343">
        <f>IFERROR(__xludf.DUMMYFUNCTION("""COMPUTED_VALUE"""),11.0)</f>
        <v>11</v>
      </c>
      <c r="AS191" s="343">
        <f>IFERROR(__xludf.DUMMYFUNCTION("""COMPUTED_VALUE"""),11.0)</f>
        <v>11</v>
      </c>
      <c r="AT191" s="385" t="str">
        <f>IFERROR(__xludf.DUMMYFUNCTION("""COMPUTED_VALUE"""),"超持続型")</f>
        <v>超持続型</v>
      </c>
      <c r="AU191" s="399">
        <f>IFERROR(__xludf.DUMMYFUNCTION("""COMPUTED_VALUE"""),2.0)</f>
        <v>2</v>
      </c>
      <c r="AV191" s="400" t="str">
        <f>IFERROR(__xludf.DUMMYFUNCTION("""COMPUTED_VALUE"""),"効果値")</f>
        <v>効果値</v>
      </c>
      <c r="AW191" s="403" t="str">
        <f>IFERROR(__xludf.DUMMYFUNCTION("""COMPUTED_VALUE"""),"-")</f>
        <v>-</v>
      </c>
      <c r="AX191" s="403" t="str">
        <f>IFERROR(__xludf.DUMMYFUNCTION("""COMPUTED_VALUE"""),"-")</f>
        <v>-</v>
      </c>
      <c r="AY191" s="403" t="str">
        <f>IFERROR(__xludf.DUMMYFUNCTION("""COMPUTED_VALUE"""),"-")</f>
        <v>-</v>
      </c>
      <c r="AZ191" s="403" t="str">
        <f>IFERROR(__xludf.DUMMYFUNCTION("""COMPUTED_VALUE"""),"-")</f>
        <v>-</v>
      </c>
      <c r="BA191" s="403" t="str">
        <f>IFERROR(__xludf.DUMMYFUNCTION("""COMPUTED_VALUE"""),"-")</f>
        <v>-</v>
      </c>
      <c r="BB191" s="343">
        <f>IFERROR(__xludf.DUMMYFUNCTION("""COMPUTED_VALUE"""),7.0)</f>
        <v>7</v>
      </c>
      <c r="BC191" s="343">
        <f>IFERROR(__xludf.DUMMYFUNCTION("""COMPUTED_VALUE"""),11.0)</f>
        <v>11</v>
      </c>
      <c r="BD191" s="343">
        <f>IFERROR(__xludf.DUMMYFUNCTION("""COMPUTED_VALUE"""),11.0)</f>
        <v>11</v>
      </c>
      <c r="BE191" s="385" t="str">
        <f>IFERROR(__xludf.DUMMYFUNCTION("""COMPUTED_VALUE"""),"ハイブリッド型")</f>
        <v>ハイブリッド型</v>
      </c>
      <c r="BF191" s="399">
        <f>IFERROR(__xludf.DUMMYFUNCTION("""COMPUTED_VALUE"""),2.0)</f>
        <v>2</v>
      </c>
      <c r="BG191" s="400" t="str">
        <f>IFERROR(__xludf.DUMMYFUNCTION("""COMPUTED_VALUE"""),"効果値")</f>
        <v>効果値</v>
      </c>
      <c r="BH191" s="404">
        <f>IFERROR(__xludf.DUMMYFUNCTION("""COMPUTED_VALUE"""),10.8)</f>
        <v>10.8</v>
      </c>
      <c r="BI191" s="405">
        <f>IFERROR(__xludf.DUMMYFUNCTION("""COMPUTED_VALUE"""),11.2)</f>
        <v>11.2</v>
      </c>
      <c r="BJ191" s="405">
        <f>IFERROR(__xludf.DUMMYFUNCTION("""COMPUTED_VALUE"""),11.5)</f>
        <v>11.5</v>
      </c>
      <c r="BK191" s="405">
        <f>IFERROR(__xludf.DUMMYFUNCTION("""COMPUTED_VALUE"""),11.8)</f>
        <v>11.8</v>
      </c>
      <c r="BL191" s="405">
        <f>IFERROR(__xludf.DUMMYFUNCTION("""COMPUTED_VALUE"""),12.1)</f>
        <v>12.1</v>
      </c>
      <c r="BM191" s="405">
        <f>IFERROR(__xludf.DUMMYFUNCTION("""COMPUTED_VALUE"""),17.1)</f>
        <v>17.1</v>
      </c>
      <c r="BN191" s="405">
        <f>IFERROR(__xludf.DUMMYFUNCTION("""COMPUTED_VALUE"""),22.0)</f>
        <v>22</v>
      </c>
      <c r="BO191" s="406">
        <f>IFERROR(__xludf.DUMMYFUNCTION("""COMPUTED_VALUE"""),24.0)</f>
        <v>24</v>
      </c>
    </row>
    <row r="192">
      <c r="A192" s="435" t="str">
        <f>IFERROR(__xludf.DUMMYFUNCTION("""COMPUTED_VALUE"""),"ダメージカット(ディフェンス)")</f>
        <v>ダメージカット(ディフェンス)</v>
      </c>
      <c r="B192" s="385" t="str">
        <f>IFERROR(__xludf.DUMMYFUNCTION("""COMPUTED_VALUE"""),"超瞬間型")</f>
        <v>超瞬間型</v>
      </c>
      <c r="C192" s="386">
        <f>IFERROR(__xludf.DUMMYFUNCTION("""COMPUTED_VALUE"""),2.0)</f>
        <v>2</v>
      </c>
      <c r="D192" s="387" t="str">
        <f>IFERROR(__xludf.DUMMYFUNCTION("""COMPUTED_VALUE"""),"効果時間")</f>
        <v>効果時間</v>
      </c>
      <c r="E192" s="388" t="str">
        <f>IFERROR(__xludf.DUMMYFUNCTION("""COMPUTED_VALUE"""),"-")</f>
        <v>-</v>
      </c>
      <c r="F192" s="389" t="str">
        <f>IFERROR(__xludf.DUMMYFUNCTION("""COMPUTED_VALUE"""),"-")</f>
        <v>-</v>
      </c>
      <c r="G192" s="388" t="str">
        <f>IFERROR(__xludf.DUMMYFUNCTION("""COMPUTED_VALUE"""),"-")</f>
        <v>-</v>
      </c>
      <c r="H192" s="389" t="str">
        <f>IFERROR(__xludf.DUMMYFUNCTION("""COMPUTED_VALUE"""),"-")</f>
        <v>-</v>
      </c>
      <c r="I192" s="388" t="str">
        <f>IFERROR(__xludf.DUMMYFUNCTION("""COMPUTED_VALUE"""),"-")</f>
        <v>-</v>
      </c>
      <c r="J192" s="390">
        <f>IFERROR(__xludf.DUMMYFUNCTION("""COMPUTED_VALUE"""),150.0)</f>
        <v>150</v>
      </c>
      <c r="K192" s="391">
        <f>IFERROR(__xludf.DUMMYFUNCTION("""COMPUTED_VALUE"""),160.0)</f>
        <v>160</v>
      </c>
      <c r="L192" s="340">
        <f>IFERROR(__xludf.DUMMYFUNCTION("""COMPUTED_VALUE"""),170.0)</f>
        <v>170</v>
      </c>
      <c r="M192" s="385" t="str">
        <f>IFERROR(__xludf.DUMMYFUNCTION("""COMPUTED_VALUE"""),"瞬間型")</f>
        <v>瞬間型</v>
      </c>
      <c r="N192" s="386">
        <f>IFERROR(__xludf.DUMMYFUNCTION("""COMPUTED_VALUE"""),2.0)</f>
        <v>2</v>
      </c>
      <c r="O192" s="387" t="str">
        <f>IFERROR(__xludf.DUMMYFUNCTION("""COMPUTED_VALUE"""),"効果時間")</f>
        <v>効果時間</v>
      </c>
      <c r="P192" s="392">
        <f>IFERROR(__xludf.DUMMYFUNCTION("""COMPUTED_VALUE"""),160.0)</f>
        <v>160</v>
      </c>
      <c r="Q192" s="275">
        <f>IFERROR(__xludf.DUMMYFUNCTION("""COMPUTED_VALUE"""),165.0)</f>
        <v>165</v>
      </c>
      <c r="R192" s="280">
        <f>IFERROR(__xludf.DUMMYFUNCTION("""COMPUTED_VALUE"""),170.0)</f>
        <v>170</v>
      </c>
      <c r="S192" s="275">
        <f>IFERROR(__xludf.DUMMYFUNCTION("""COMPUTED_VALUE"""),175.0)</f>
        <v>175</v>
      </c>
      <c r="T192" s="280">
        <f>IFERROR(__xludf.DUMMYFUNCTION("""COMPUTED_VALUE"""),180.0)</f>
        <v>180</v>
      </c>
      <c r="U192" s="280">
        <f>IFERROR(__xludf.DUMMYFUNCTION("""COMPUTED_VALUE"""),180.0)</f>
        <v>180</v>
      </c>
      <c r="V192" s="280">
        <f>IFERROR(__xludf.DUMMYFUNCTION("""COMPUTED_VALUE"""),220.0)</f>
        <v>220</v>
      </c>
      <c r="W192" s="280">
        <f>IFERROR(__xludf.DUMMYFUNCTION("""COMPUTED_VALUE"""),230.0)</f>
        <v>230</v>
      </c>
      <c r="X192" s="385" t="str">
        <f>IFERROR(__xludf.DUMMYFUNCTION("""COMPUTED_VALUE"""),"安定型")</f>
        <v>安定型</v>
      </c>
      <c r="Y192" s="386">
        <f>IFERROR(__xludf.DUMMYFUNCTION("""COMPUTED_VALUE"""),2.0)</f>
        <v>2</v>
      </c>
      <c r="Z192" s="387" t="str">
        <f>IFERROR(__xludf.DUMMYFUNCTION("""COMPUTED_VALUE"""),"効果時間")</f>
        <v>効果時間</v>
      </c>
      <c r="AA192" s="392">
        <f>IFERROR(__xludf.DUMMYFUNCTION("""COMPUTED_VALUE"""),310.0)</f>
        <v>310</v>
      </c>
      <c r="AB192" s="275">
        <f>IFERROR(__xludf.DUMMYFUNCTION("""COMPUTED_VALUE"""),315.0)</f>
        <v>315</v>
      </c>
      <c r="AC192" s="280">
        <f>IFERROR(__xludf.DUMMYFUNCTION("""COMPUTED_VALUE"""),320.0)</f>
        <v>320</v>
      </c>
      <c r="AD192" s="275">
        <f>IFERROR(__xludf.DUMMYFUNCTION("""COMPUTED_VALUE"""),325.0)</f>
        <v>325</v>
      </c>
      <c r="AE192" s="280">
        <f>IFERROR(__xludf.DUMMYFUNCTION("""COMPUTED_VALUE"""),330.0)</f>
        <v>330</v>
      </c>
      <c r="AF192" s="280">
        <f>IFERROR(__xludf.DUMMYFUNCTION("""COMPUTED_VALUE"""),345.0)</f>
        <v>345</v>
      </c>
      <c r="AG192" s="280">
        <f>IFERROR(__xludf.DUMMYFUNCTION("""COMPUTED_VALUE"""),370.0)</f>
        <v>370</v>
      </c>
      <c r="AH192" s="280">
        <f>IFERROR(__xludf.DUMMYFUNCTION("""COMPUTED_VALUE"""),380.0)</f>
        <v>380</v>
      </c>
      <c r="AI192" s="385" t="str">
        <f>IFERROR(__xludf.DUMMYFUNCTION("""COMPUTED_VALUE"""),"持続型")</f>
        <v>持続型</v>
      </c>
      <c r="AJ192" s="386">
        <f>IFERROR(__xludf.DUMMYFUNCTION("""COMPUTED_VALUE"""),2.0)</f>
        <v>2</v>
      </c>
      <c r="AK192" s="387" t="str">
        <f>IFERROR(__xludf.DUMMYFUNCTION("""COMPUTED_VALUE"""),"効果時間")</f>
        <v>効果時間</v>
      </c>
      <c r="AL192" s="392">
        <f>IFERROR(__xludf.DUMMYFUNCTION("""COMPUTED_VALUE"""),460.0)</f>
        <v>460</v>
      </c>
      <c r="AM192" s="275">
        <f>IFERROR(__xludf.DUMMYFUNCTION("""COMPUTED_VALUE"""),465.0)</f>
        <v>465</v>
      </c>
      <c r="AN192" s="280">
        <f>IFERROR(__xludf.DUMMYFUNCTION("""COMPUTED_VALUE"""),470.0)</f>
        <v>470</v>
      </c>
      <c r="AO192" s="275">
        <f>IFERROR(__xludf.DUMMYFUNCTION("""COMPUTED_VALUE"""),475.0)</f>
        <v>475</v>
      </c>
      <c r="AP192" s="280">
        <f>IFERROR(__xludf.DUMMYFUNCTION("""COMPUTED_VALUE"""),480.0)</f>
        <v>480</v>
      </c>
      <c r="AQ192" s="280">
        <f>IFERROR(__xludf.DUMMYFUNCTION("""COMPUTED_VALUE"""),495.0)</f>
        <v>495</v>
      </c>
      <c r="AR192" s="280">
        <f>IFERROR(__xludf.DUMMYFUNCTION("""COMPUTED_VALUE"""),520.0)</f>
        <v>520</v>
      </c>
      <c r="AS192" s="280">
        <f>IFERROR(__xludf.DUMMYFUNCTION("""COMPUTED_VALUE"""),530.0)</f>
        <v>530</v>
      </c>
      <c r="AT192" s="385" t="str">
        <f>IFERROR(__xludf.DUMMYFUNCTION("""COMPUTED_VALUE"""),"超持続型")</f>
        <v>超持続型</v>
      </c>
      <c r="AU192" s="386">
        <f>IFERROR(__xludf.DUMMYFUNCTION("""COMPUTED_VALUE"""),2.0)</f>
        <v>2</v>
      </c>
      <c r="AV192" s="387" t="str">
        <f>IFERROR(__xludf.DUMMYFUNCTION("""COMPUTED_VALUE"""),"効果時間")</f>
        <v>効果時間</v>
      </c>
      <c r="AW192" s="368" t="str">
        <f>IFERROR(__xludf.DUMMYFUNCTION("""COMPUTED_VALUE"""),"-")</f>
        <v>-</v>
      </c>
      <c r="AX192" s="368" t="str">
        <f>IFERROR(__xludf.DUMMYFUNCTION("""COMPUTED_VALUE"""),"-")</f>
        <v>-</v>
      </c>
      <c r="AY192" s="368" t="str">
        <f>IFERROR(__xludf.DUMMYFUNCTION("""COMPUTED_VALUE"""),"-")</f>
        <v>-</v>
      </c>
      <c r="AZ192" s="368" t="str">
        <f>IFERROR(__xludf.DUMMYFUNCTION("""COMPUTED_VALUE"""),"-")</f>
        <v>-</v>
      </c>
      <c r="BA192" s="368" t="str">
        <f>IFERROR(__xludf.DUMMYFUNCTION("""COMPUTED_VALUE"""),"-")</f>
        <v>-</v>
      </c>
      <c r="BB192" s="280">
        <f>IFERROR(__xludf.DUMMYFUNCTION("""COMPUTED_VALUE"""),625.0)</f>
        <v>625</v>
      </c>
      <c r="BC192" s="280">
        <f>IFERROR(__xludf.DUMMYFUNCTION("""COMPUTED_VALUE"""),670.0)</f>
        <v>670</v>
      </c>
      <c r="BD192" s="280">
        <f>IFERROR(__xludf.DUMMYFUNCTION("""COMPUTED_VALUE"""),680.0)</f>
        <v>680</v>
      </c>
      <c r="BE192" s="385" t="str">
        <f>IFERROR(__xludf.DUMMYFUNCTION("""COMPUTED_VALUE"""),"ハイブリッド型")</f>
        <v>ハイブリッド型</v>
      </c>
      <c r="BF192" s="386">
        <f>IFERROR(__xludf.DUMMYFUNCTION("""COMPUTED_VALUE"""),2.0)</f>
        <v>2</v>
      </c>
      <c r="BG192" s="387" t="str">
        <f>IFERROR(__xludf.DUMMYFUNCTION("""COMPUTED_VALUE"""),"効果時間")</f>
        <v>効果時間</v>
      </c>
      <c r="BH192" s="407">
        <f>IFERROR(__xludf.DUMMYFUNCTION("""COMPUTED_VALUE"""),195.0)</f>
        <v>195</v>
      </c>
      <c r="BI192" s="407">
        <f>IFERROR(__xludf.DUMMYFUNCTION("""COMPUTED_VALUE"""),205.0)</f>
        <v>205</v>
      </c>
      <c r="BJ192" s="407">
        <f>IFERROR(__xludf.DUMMYFUNCTION("""COMPUTED_VALUE"""),205.0)</f>
        <v>205</v>
      </c>
      <c r="BK192" s="408">
        <f>IFERROR(__xludf.DUMMYFUNCTION("""COMPUTED_VALUE"""),210.0)</f>
        <v>210</v>
      </c>
      <c r="BL192" s="407">
        <f>IFERROR(__xludf.DUMMYFUNCTION("""COMPUTED_VALUE"""),215.0)</f>
        <v>215</v>
      </c>
      <c r="BM192" s="408">
        <f>IFERROR(__xludf.DUMMYFUNCTION("""COMPUTED_VALUE"""),375.0)</f>
        <v>375</v>
      </c>
      <c r="BN192" s="407">
        <f>IFERROR(__xludf.DUMMYFUNCTION("""COMPUTED_VALUE"""),480.0)</f>
        <v>480</v>
      </c>
      <c r="BO192" s="408">
        <f>IFERROR(__xludf.DUMMYFUNCTION("""COMPUTED_VALUE"""),490.0)</f>
        <v>490</v>
      </c>
    </row>
    <row r="193">
      <c r="A193" s="435" t="str">
        <f>IFERROR(__xludf.DUMMYFUNCTION("""COMPUTED_VALUE"""),"ダメージカット(ディフェンス)")</f>
        <v>ダメージカット(ディフェンス)</v>
      </c>
      <c r="B193" s="385" t="str">
        <f>IFERROR(__xludf.DUMMYFUNCTION("""COMPUTED_VALUE"""),"超瞬間型")</f>
        <v>超瞬間型</v>
      </c>
      <c r="C193" s="399">
        <f>IFERROR(__xludf.DUMMYFUNCTION("""COMPUTED_VALUE"""),3.0)</f>
        <v>3</v>
      </c>
      <c r="D193" s="400" t="str">
        <f>IFERROR(__xludf.DUMMYFUNCTION("""COMPUTED_VALUE"""),"効果値")</f>
        <v>効果値</v>
      </c>
      <c r="E193" s="401" t="str">
        <f>IFERROR(__xludf.DUMMYFUNCTION("""COMPUTED_VALUE"""),"-")</f>
        <v>-</v>
      </c>
      <c r="F193" s="409" t="str">
        <f>IFERROR(__xludf.DUMMYFUNCTION("""COMPUTED_VALUE"""),"-")</f>
        <v>-</v>
      </c>
      <c r="G193" s="401" t="str">
        <f>IFERROR(__xludf.DUMMYFUNCTION("""COMPUTED_VALUE"""),"-")</f>
        <v>-</v>
      </c>
      <c r="H193" s="409" t="str">
        <f>IFERROR(__xludf.DUMMYFUNCTION("""COMPUTED_VALUE"""),"-")</f>
        <v>-</v>
      </c>
      <c r="I193" s="409" t="str">
        <f>IFERROR(__xludf.DUMMYFUNCTION("""COMPUTED_VALUE"""),"-")</f>
        <v>-</v>
      </c>
      <c r="J193" s="410">
        <f>IFERROR(__xludf.DUMMYFUNCTION("""COMPUTED_VALUE"""),58.0)</f>
        <v>58</v>
      </c>
      <c r="K193" s="410">
        <f>IFERROR(__xludf.DUMMYFUNCTION("""COMPUTED_VALUE"""),68.0)</f>
        <v>68</v>
      </c>
      <c r="L193" s="410">
        <f>IFERROR(__xludf.DUMMYFUNCTION("""COMPUTED_VALUE"""),72.0)</f>
        <v>72</v>
      </c>
      <c r="M193" s="385" t="str">
        <f>IFERROR(__xludf.DUMMYFUNCTION("""COMPUTED_VALUE"""),"瞬間型")</f>
        <v>瞬間型</v>
      </c>
      <c r="N193" s="399">
        <f>IFERROR(__xludf.DUMMYFUNCTION("""COMPUTED_VALUE"""),3.0)</f>
        <v>3</v>
      </c>
      <c r="O193" s="400" t="str">
        <f>IFERROR(__xludf.DUMMYFUNCTION("""COMPUTED_VALUE"""),"効果値")</f>
        <v>効果値</v>
      </c>
      <c r="P193" s="343">
        <f>IFERROR(__xludf.DUMMYFUNCTION("""COMPUTED_VALUE"""),22.0)</f>
        <v>22</v>
      </c>
      <c r="Q193" s="402">
        <f>IFERROR(__xludf.DUMMYFUNCTION("""COMPUTED_VALUE"""),22.0)</f>
        <v>22</v>
      </c>
      <c r="R193" s="402">
        <f>IFERROR(__xludf.DUMMYFUNCTION("""COMPUTED_VALUE"""),23.0)</f>
        <v>23</v>
      </c>
      <c r="S193" s="402">
        <f>IFERROR(__xludf.DUMMYFUNCTION("""COMPUTED_VALUE"""),23.0)</f>
        <v>23</v>
      </c>
      <c r="T193" s="402">
        <f>IFERROR(__xludf.DUMMYFUNCTION("""COMPUTED_VALUE"""),23.0)</f>
        <v>23</v>
      </c>
      <c r="U193" s="402">
        <f>IFERROR(__xludf.DUMMYFUNCTION("""COMPUTED_VALUE"""),28.0)</f>
        <v>28</v>
      </c>
      <c r="V193" s="402">
        <f>IFERROR(__xludf.DUMMYFUNCTION("""COMPUTED_VALUE"""),33.0)</f>
        <v>33</v>
      </c>
      <c r="W193" s="402">
        <f>IFERROR(__xludf.DUMMYFUNCTION("""COMPUTED_VALUE"""),37.0)</f>
        <v>37</v>
      </c>
      <c r="X193" s="385" t="str">
        <f>IFERROR(__xludf.DUMMYFUNCTION("""COMPUTED_VALUE"""),"安定型")</f>
        <v>安定型</v>
      </c>
      <c r="Y193" s="399">
        <f>IFERROR(__xludf.DUMMYFUNCTION("""COMPUTED_VALUE"""),3.0)</f>
        <v>3</v>
      </c>
      <c r="Z193" s="400" t="str">
        <f>IFERROR(__xludf.DUMMYFUNCTION("""COMPUTED_VALUE"""),"効果値")</f>
        <v>効果値</v>
      </c>
      <c r="AA193" s="343">
        <f>IFERROR(__xludf.DUMMYFUNCTION("""COMPUTED_VALUE"""),12.0)</f>
        <v>12</v>
      </c>
      <c r="AB193" s="402">
        <f>IFERROR(__xludf.DUMMYFUNCTION("""COMPUTED_VALUE"""),12.0)</f>
        <v>12</v>
      </c>
      <c r="AC193" s="402">
        <f>IFERROR(__xludf.DUMMYFUNCTION("""COMPUTED_VALUE"""),13.0)</f>
        <v>13</v>
      </c>
      <c r="AD193" s="402">
        <f>IFERROR(__xludf.DUMMYFUNCTION("""COMPUTED_VALUE"""),13.0)</f>
        <v>13</v>
      </c>
      <c r="AE193" s="402">
        <f>IFERROR(__xludf.DUMMYFUNCTION("""COMPUTED_VALUE"""),13.0)</f>
        <v>13</v>
      </c>
      <c r="AF193" s="402">
        <f>IFERROR(__xludf.DUMMYFUNCTION("""COMPUTED_VALUE"""),13.0)</f>
        <v>13</v>
      </c>
      <c r="AG193" s="402">
        <f>IFERROR(__xludf.DUMMYFUNCTION("""COMPUTED_VALUE"""),18.0)</f>
        <v>18</v>
      </c>
      <c r="AH193" s="402">
        <f>IFERROR(__xludf.DUMMYFUNCTION("""COMPUTED_VALUE"""),22.0)</f>
        <v>22</v>
      </c>
      <c r="AI193" s="385" t="str">
        <f>IFERROR(__xludf.DUMMYFUNCTION("""COMPUTED_VALUE"""),"持続型")</f>
        <v>持続型</v>
      </c>
      <c r="AJ193" s="399">
        <f>IFERROR(__xludf.DUMMYFUNCTION("""COMPUTED_VALUE"""),3.0)</f>
        <v>3</v>
      </c>
      <c r="AK193" s="400" t="str">
        <f>IFERROR(__xludf.DUMMYFUNCTION("""COMPUTED_VALUE"""),"効果値")</f>
        <v>効果値</v>
      </c>
      <c r="AL193" s="343">
        <f>IFERROR(__xludf.DUMMYFUNCTION("""COMPUTED_VALUE"""),7.0)</f>
        <v>7</v>
      </c>
      <c r="AM193" s="402">
        <f>IFERROR(__xludf.DUMMYFUNCTION("""COMPUTED_VALUE"""),7.0)</f>
        <v>7</v>
      </c>
      <c r="AN193" s="402">
        <f>IFERROR(__xludf.DUMMYFUNCTION("""COMPUTED_VALUE"""),8.0)</f>
        <v>8</v>
      </c>
      <c r="AO193" s="402">
        <f>IFERROR(__xludf.DUMMYFUNCTION("""COMPUTED_VALUE"""),8.0)</f>
        <v>8</v>
      </c>
      <c r="AP193" s="402">
        <f>IFERROR(__xludf.DUMMYFUNCTION("""COMPUTED_VALUE"""),8.0)</f>
        <v>8</v>
      </c>
      <c r="AQ193" s="402">
        <f>IFERROR(__xludf.DUMMYFUNCTION("""COMPUTED_VALUE"""),8.0)</f>
        <v>8</v>
      </c>
      <c r="AR193" s="402">
        <f>IFERROR(__xludf.DUMMYFUNCTION("""COMPUTED_VALUE"""),11.0)</f>
        <v>11</v>
      </c>
      <c r="AS193" s="402">
        <f>IFERROR(__xludf.DUMMYFUNCTION("""COMPUTED_VALUE"""),11.0)</f>
        <v>11</v>
      </c>
      <c r="AT193" s="385" t="str">
        <f>IFERROR(__xludf.DUMMYFUNCTION("""COMPUTED_VALUE"""),"超持続型")</f>
        <v>超持続型</v>
      </c>
      <c r="AU193" s="399">
        <f>IFERROR(__xludf.DUMMYFUNCTION("""COMPUTED_VALUE"""),3.0)</f>
        <v>3</v>
      </c>
      <c r="AV193" s="400" t="str">
        <f>IFERROR(__xludf.DUMMYFUNCTION("""COMPUTED_VALUE"""),"効果値")</f>
        <v>効果値</v>
      </c>
      <c r="AW193" s="403" t="str">
        <f>IFERROR(__xludf.DUMMYFUNCTION("""COMPUTED_VALUE"""),"-")</f>
        <v>-</v>
      </c>
      <c r="AX193" s="403" t="str">
        <f>IFERROR(__xludf.DUMMYFUNCTION("""COMPUTED_VALUE"""),"-")</f>
        <v>-</v>
      </c>
      <c r="AY193" s="403" t="str">
        <f>IFERROR(__xludf.DUMMYFUNCTION("""COMPUTED_VALUE"""),"-")</f>
        <v>-</v>
      </c>
      <c r="AZ193" s="403" t="str">
        <f>IFERROR(__xludf.DUMMYFUNCTION("""COMPUTED_VALUE"""),"-")</f>
        <v>-</v>
      </c>
      <c r="BA193" s="403" t="str">
        <f>IFERROR(__xludf.DUMMYFUNCTION("""COMPUTED_VALUE"""),"-")</f>
        <v>-</v>
      </c>
      <c r="BB193" s="343">
        <f>IFERROR(__xludf.DUMMYFUNCTION("""COMPUTED_VALUE"""),8.0)</f>
        <v>8</v>
      </c>
      <c r="BC193" s="343">
        <f>IFERROR(__xludf.DUMMYFUNCTION("""COMPUTED_VALUE"""),11.0)</f>
        <v>11</v>
      </c>
      <c r="BD193" s="343">
        <f>IFERROR(__xludf.DUMMYFUNCTION("""COMPUTED_VALUE"""),11.0)</f>
        <v>11</v>
      </c>
      <c r="BE193" s="385" t="str">
        <f>IFERROR(__xludf.DUMMYFUNCTION("""COMPUTED_VALUE"""),"ハイブリッド型")</f>
        <v>ハイブリッド型</v>
      </c>
      <c r="BF193" s="399">
        <f>IFERROR(__xludf.DUMMYFUNCTION("""COMPUTED_VALUE"""),3.0)</f>
        <v>3</v>
      </c>
      <c r="BG193" s="400" t="str">
        <f>IFERROR(__xludf.DUMMYFUNCTION("""COMPUTED_VALUE"""),"効果値")</f>
        <v>効果値</v>
      </c>
      <c r="BH193" s="411">
        <f>IFERROR(__xludf.DUMMYFUNCTION("""COMPUTED_VALUE"""),11.4)</f>
        <v>11.4</v>
      </c>
      <c r="BI193" s="412">
        <f>IFERROR(__xludf.DUMMYFUNCTION("""COMPUTED_VALUE"""),11.9)</f>
        <v>11.9</v>
      </c>
      <c r="BJ193" s="412">
        <f>IFERROR(__xludf.DUMMYFUNCTION("""COMPUTED_VALUE"""),12.5)</f>
        <v>12.5</v>
      </c>
      <c r="BK193" s="412">
        <f>IFERROR(__xludf.DUMMYFUNCTION("""COMPUTED_VALUE"""),13.0)</f>
        <v>13</v>
      </c>
      <c r="BL193" s="412">
        <f>IFERROR(__xludf.DUMMYFUNCTION("""COMPUTED_VALUE"""),13.5)</f>
        <v>13.5</v>
      </c>
      <c r="BM193" s="412">
        <f>IFERROR(__xludf.DUMMYFUNCTION("""COMPUTED_VALUE"""),18.5)</f>
        <v>18.5</v>
      </c>
      <c r="BN193" s="412">
        <f>IFERROR(__xludf.DUMMYFUNCTION("""COMPUTED_VALUE"""),23.0)</f>
        <v>23</v>
      </c>
      <c r="BO193" s="413">
        <f>IFERROR(__xludf.DUMMYFUNCTION("""COMPUTED_VALUE"""),27.0)</f>
        <v>27</v>
      </c>
    </row>
    <row r="194">
      <c r="A194" s="435" t="str">
        <f>IFERROR(__xludf.DUMMYFUNCTION("""COMPUTED_VALUE"""),"ダメージカット(ディフェンス)")</f>
        <v>ダメージカット(ディフェンス)</v>
      </c>
      <c r="B194" s="385" t="str">
        <f>IFERROR(__xludf.DUMMYFUNCTION("""COMPUTED_VALUE"""),"超瞬間型")</f>
        <v>超瞬間型</v>
      </c>
      <c r="C194" s="386">
        <f>IFERROR(__xludf.DUMMYFUNCTION("""COMPUTED_VALUE"""),3.0)</f>
        <v>3</v>
      </c>
      <c r="D194" s="387" t="str">
        <f>IFERROR(__xludf.DUMMYFUNCTION("""COMPUTED_VALUE"""),"効果時間")</f>
        <v>効果時間</v>
      </c>
      <c r="E194" s="388" t="str">
        <f>IFERROR(__xludf.DUMMYFUNCTION("""COMPUTED_VALUE"""),"-")</f>
        <v>-</v>
      </c>
      <c r="F194" s="389" t="str">
        <f>IFERROR(__xludf.DUMMYFUNCTION("""COMPUTED_VALUE"""),"-")</f>
        <v>-</v>
      </c>
      <c r="G194" s="388" t="str">
        <f>IFERROR(__xludf.DUMMYFUNCTION("""COMPUTED_VALUE"""),"-")</f>
        <v>-</v>
      </c>
      <c r="H194" s="389" t="str">
        <f>IFERROR(__xludf.DUMMYFUNCTION("""COMPUTED_VALUE"""),"-")</f>
        <v>-</v>
      </c>
      <c r="I194" s="388" t="str">
        <f>IFERROR(__xludf.DUMMYFUNCTION("""COMPUTED_VALUE"""),"-")</f>
        <v>-</v>
      </c>
      <c r="J194" s="390">
        <f>IFERROR(__xludf.DUMMYFUNCTION("""COMPUTED_VALUE"""),155.0)</f>
        <v>155</v>
      </c>
      <c r="K194" s="391">
        <f>IFERROR(__xludf.DUMMYFUNCTION("""COMPUTED_VALUE"""),165.0)</f>
        <v>165</v>
      </c>
      <c r="L194" s="340">
        <f>IFERROR(__xludf.DUMMYFUNCTION("""COMPUTED_VALUE"""),185.0)</f>
        <v>185</v>
      </c>
      <c r="M194" s="385" t="str">
        <f>IFERROR(__xludf.DUMMYFUNCTION("""COMPUTED_VALUE"""),"瞬間型")</f>
        <v>瞬間型</v>
      </c>
      <c r="N194" s="386">
        <f>IFERROR(__xludf.DUMMYFUNCTION("""COMPUTED_VALUE"""),3.0)</f>
        <v>3</v>
      </c>
      <c r="O194" s="387" t="str">
        <f>IFERROR(__xludf.DUMMYFUNCTION("""COMPUTED_VALUE"""),"効果時間")</f>
        <v>効果時間</v>
      </c>
      <c r="P194" s="392">
        <f>IFERROR(__xludf.DUMMYFUNCTION("""COMPUTED_VALUE"""),165.0)</f>
        <v>165</v>
      </c>
      <c r="Q194" s="414">
        <f>IFERROR(__xludf.DUMMYFUNCTION("""COMPUTED_VALUE"""),175.0)</f>
        <v>175</v>
      </c>
      <c r="R194" s="415">
        <f>IFERROR(__xludf.DUMMYFUNCTION("""COMPUTED_VALUE"""),180.0)</f>
        <v>180</v>
      </c>
      <c r="S194" s="393">
        <f>IFERROR(__xludf.DUMMYFUNCTION("""COMPUTED_VALUE"""),185.0)</f>
        <v>185</v>
      </c>
      <c r="T194" s="393">
        <f>IFERROR(__xludf.DUMMYFUNCTION("""COMPUTED_VALUE"""),195.0)</f>
        <v>195</v>
      </c>
      <c r="U194" s="414">
        <f>IFERROR(__xludf.DUMMYFUNCTION("""COMPUTED_VALUE"""),200.0)</f>
        <v>200</v>
      </c>
      <c r="V194" s="416">
        <f>IFERROR(__xludf.DUMMYFUNCTION("""COMPUTED_VALUE"""),255.0)</f>
        <v>255</v>
      </c>
      <c r="W194" s="415">
        <f>IFERROR(__xludf.DUMMYFUNCTION("""COMPUTED_VALUE"""),270.0)</f>
        <v>270</v>
      </c>
      <c r="X194" s="385" t="str">
        <f>IFERROR(__xludf.DUMMYFUNCTION("""COMPUTED_VALUE"""),"安定型")</f>
        <v>安定型</v>
      </c>
      <c r="Y194" s="386">
        <f>IFERROR(__xludf.DUMMYFUNCTION("""COMPUTED_VALUE"""),3.0)</f>
        <v>3</v>
      </c>
      <c r="Z194" s="387" t="str">
        <f>IFERROR(__xludf.DUMMYFUNCTION("""COMPUTED_VALUE"""),"効果時間")</f>
        <v>効果時間</v>
      </c>
      <c r="AA194" s="392">
        <f>IFERROR(__xludf.DUMMYFUNCTION("""COMPUTED_VALUE"""),315.0)</f>
        <v>315</v>
      </c>
      <c r="AB194" s="414">
        <f>IFERROR(__xludf.DUMMYFUNCTION("""COMPUTED_VALUE"""),325.0)</f>
        <v>325</v>
      </c>
      <c r="AC194" s="415">
        <f>IFERROR(__xludf.DUMMYFUNCTION("""COMPUTED_VALUE"""),330.0)</f>
        <v>330</v>
      </c>
      <c r="AD194" s="393">
        <f>IFERROR(__xludf.DUMMYFUNCTION("""COMPUTED_VALUE"""),335.0)</f>
        <v>335</v>
      </c>
      <c r="AE194" s="393">
        <f>IFERROR(__xludf.DUMMYFUNCTION("""COMPUTED_VALUE"""),345.0)</f>
        <v>345</v>
      </c>
      <c r="AF194" s="414">
        <f>IFERROR(__xludf.DUMMYFUNCTION("""COMPUTED_VALUE"""),370.0)</f>
        <v>370</v>
      </c>
      <c r="AG194" s="416">
        <f>IFERROR(__xludf.DUMMYFUNCTION("""COMPUTED_VALUE"""),405.0)</f>
        <v>405</v>
      </c>
      <c r="AH194" s="415">
        <f>IFERROR(__xludf.DUMMYFUNCTION("""COMPUTED_VALUE"""),420.0)</f>
        <v>420</v>
      </c>
      <c r="AI194" s="385" t="str">
        <f>IFERROR(__xludf.DUMMYFUNCTION("""COMPUTED_VALUE"""),"持続型")</f>
        <v>持続型</v>
      </c>
      <c r="AJ194" s="386">
        <f>IFERROR(__xludf.DUMMYFUNCTION("""COMPUTED_VALUE"""),3.0)</f>
        <v>3</v>
      </c>
      <c r="AK194" s="387" t="str">
        <f>IFERROR(__xludf.DUMMYFUNCTION("""COMPUTED_VALUE"""),"効果時間")</f>
        <v>効果時間</v>
      </c>
      <c r="AL194" s="392">
        <f>IFERROR(__xludf.DUMMYFUNCTION("""COMPUTED_VALUE"""),465.0)</f>
        <v>465</v>
      </c>
      <c r="AM194" s="414">
        <f>IFERROR(__xludf.DUMMYFUNCTION("""COMPUTED_VALUE"""),475.0)</f>
        <v>475</v>
      </c>
      <c r="AN194" s="415">
        <f>IFERROR(__xludf.DUMMYFUNCTION("""COMPUTED_VALUE"""),480.0)</f>
        <v>480</v>
      </c>
      <c r="AO194" s="393">
        <f>IFERROR(__xludf.DUMMYFUNCTION("""COMPUTED_VALUE"""),485.0)</f>
        <v>485</v>
      </c>
      <c r="AP194" s="393">
        <f>IFERROR(__xludf.DUMMYFUNCTION("""COMPUTED_VALUE"""),495.0)</f>
        <v>495</v>
      </c>
      <c r="AQ194" s="414">
        <f>IFERROR(__xludf.DUMMYFUNCTION("""COMPUTED_VALUE"""),520.0)</f>
        <v>520</v>
      </c>
      <c r="AR194" s="416">
        <f>IFERROR(__xludf.DUMMYFUNCTION("""COMPUTED_VALUE"""),555.0)</f>
        <v>555</v>
      </c>
      <c r="AS194" s="415">
        <f>IFERROR(__xludf.DUMMYFUNCTION("""COMPUTED_VALUE"""),570.0)</f>
        <v>570</v>
      </c>
      <c r="AT194" s="385" t="str">
        <f>IFERROR(__xludf.DUMMYFUNCTION("""COMPUTED_VALUE"""),"超持続型")</f>
        <v>超持続型</v>
      </c>
      <c r="AU194" s="386">
        <f>IFERROR(__xludf.DUMMYFUNCTION("""COMPUTED_VALUE"""),3.0)</f>
        <v>3</v>
      </c>
      <c r="AV194" s="387" t="str">
        <f>IFERROR(__xludf.DUMMYFUNCTION("""COMPUTED_VALUE"""),"効果時間")</f>
        <v>効果時間</v>
      </c>
      <c r="AW194" s="368" t="str">
        <f>IFERROR(__xludf.DUMMYFUNCTION("""COMPUTED_VALUE"""),"-")</f>
        <v>-</v>
      </c>
      <c r="AX194" s="368" t="str">
        <f>IFERROR(__xludf.DUMMYFUNCTION("""COMPUTED_VALUE"""),"-")</f>
        <v>-</v>
      </c>
      <c r="AY194" s="368" t="str">
        <f>IFERROR(__xludf.DUMMYFUNCTION("""COMPUTED_VALUE"""),"-")</f>
        <v>-</v>
      </c>
      <c r="AZ194" s="368" t="str">
        <f>IFERROR(__xludf.DUMMYFUNCTION("""COMPUTED_VALUE"""),"-")</f>
        <v>-</v>
      </c>
      <c r="BA194" s="368" t="str">
        <f>IFERROR(__xludf.DUMMYFUNCTION("""COMPUTED_VALUE"""),"-")</f>
        <v>-</v>
      </c>
      <c r="BB194" s="280">
        <f>IFERROR(__xludf.DUMMYFUNCTION("""COMPUTED_VALUE"""),635.0)</f>
        <v>635</v>
      </c>
      <c r="BC194" s="280">
        <f>IFERROR(__xludf.DUMMYFUNCTION("""COMPUTED_VALUE"""),705.0)</f>
        <v>705</v>
      </c>
      <c r="BD194" s="280">
        <f>IFERROR(__xludf.DUMMYFUNCTION("""COMPUTED_VALUE"""),720.0)</f>
        <v>720</v>
      </c>
      <c r="BE194" s="385" t="str">
        <f>IFERROR(__xludf.DUMMYFUNCTION("""COMPUTED_VALUE"""),"ハイブリッド型")</f>
        <v>ハイブリッド型</v>
      </c>
      <c r="BF194" s="386">
        <f>IFERROR(__xludf.DUMMYFUNCTION("""COMPUTED_VALUE"""),3.0)</f>
        <v>3</v>
      </c>
      <c r="BG194" s="387" t="str">
        <f>IFERROR(__xludf.DUMMYFUNCTION("""COMPUTED_VALUE"""),"効果時間")</f>
        <v>効果時間</v>
      </c>
      <c r="BH194" s="407">
        <f>IFERROR(__xludf.DUMMYFUNCTION("""COMPUTED_VALUE"""),220.0)</f>
        <v>220</v>
      </c>
      <c r="BI194" s="407">
        <f>IFERROR(__xludf.DUMMYFUNCTION("""COMPUTED_VALUE"""),235.0)</f>
        <v>235</v>
      </c>
      <c r="BJ194" s="407">
        <f>IFERROR(__xludf.DUMMYFUNCTION("""COMPUTED_VALUE"""),240.0)</f>
        <v>240</v>
      </c>
      <c r="BK194" s="408">
        <f>IFERROR(__xludf.DUMMYFUNCTION("""COMPUTED_VALUE"""),250.0)</f>
        <v>250</v>
      </c>
      <c r="BL194" s="407">
        <f>IFERROR(__xludf.DUMMYFUNCTION("""COMPUTED_VALUE"""),255.0)</f>
        <v>255</v>
      </c>
      <c r="BM194" s="408">
        <f>IFERROR(__xludf.DUMMYFUNCTION("""COMPUTED_VALUE"""),385.0)</f>
        <v>385</v>
      </c>
      <c r="BN194" s="407">
        <f>IFERROR(__xludf.DUMMYFUNCTION("""COMPUTED_VALUE"""),490.0)</f>
        <v>490</v>
      </c>
      <c r="BO194" s="408">
        <f>IFERROR(__xludf.DUMMYFUNCTION("""COMPUTED_VALUE"""),505.0)</f>
        <v>505</v>
      </c>
    </row>
    <row r="195">
      <c r="A195" s="435" t="str">
        <f>IFERROR(__xludf.DUMMYFUNCTION("""COMPUTED_VALUE"""),"ダメージカット(ディフェンス)")</f>
        <v>ダメージカット(ディフェンス)</v>
      </c>
      <c r="B195" s="385" t="str">
        <f>IFERROR(__xludf.DUMMYFUNCTION("""COMPUTED_VALUE"""),"超瞬間型")</f>
        <v>超瞬間型</v>
      </c>
      <c r="C195" s="399">
        <f>IFERROR(__xludf.DUMMYFUNCTION("""COMPUTED_VALUE"""),4.0)</f>
        <v>4</v>
      </c>
      <c r="D195" s="400" t="str">
        <f>IFERROR(__xludf.DUMMYFUNCTION("""COMPUTED_VALUE"""),"効果値")</f>
        <v>効果値</v>
      </c>
      <c r="E195" s="401" t="str">
        <f>IFERROR(__xludf.DUMMYFUNCTION("""COMPUTED_VALUE"""),"-")</f>
        <v>-</v>
      </c>
      <c r="F195" s="409" t="str">
        <f>IFERROR(__xludf.DUMMYFUNCTION("""COMPUTED_VALUE"""),"-")</f>
        <v>-</v>
      </c>
      <c r="G195" s="409" t="str">
        <f>IFERROR(__xludf.DUMMYFUNCTION("""COMPUTED_VALUE"""),"-")</f>
        <v>-</v>
      </c>
      <c r="H195" s="409" t="str">
        <f>IFERROR(__xludf.DUMMYFUNCTION("""COMPUTED_VALUE"""),"-")</f>
        <v>-</v>
      </c>
      <c r="I195" s="409" t="str">
        <f>IFERROR(__xludf.DUMMYFUNCTION("""COMPUTED_VALUE"""),"-")</f>
        <v>-</v>
      </c>
      <c r="J195" s="410">
        <f>IFERROR(__xludf.DUMMYFUNCTION("""COMPUTED_VALUE"""),59.0)</f>
        <v>59</v>
      </c>
      <c r="K195" s="410">
        <f>IFERROR(__xludf.DUMMYFUNCTION("""COMPUTED_VALUE"""),69.0)</f>
        <v>69</v>
      </c>
      <c r="L195" s="410">
        <f>IFERROR(__xludf.DUMMYFUNCTION("""COMPUTED_VALUE"""),74.0)</f>
        <v>74</v>
      </c>
      <c r="M195" s="385" t="str">
        <f>IFERROR(__xludf.DUMMYFUNCTION("""COMPUTED_VALUE"""),"瞬間型")</f>
        <v>瞬間型</v>
      </c>
      <c r="N195" s="399">
        <f>IFERROR(__xludf.DUMMYFUNCTION("""COMPUTED_VALUE"""),4.0)</f>
        <v>4</v>
      </c>
      <c r="O195" s="400" t="str">
        <f>IFERROR(__xludf.DUMMYFUNCTION("""COMPUTED_VALUE"""),"効果値")</f>
        <v>効果値</v>
      </c>
      <c r="P195" s="343">
        <f>IFERROR(__xludf.DUMMYFUNCTION("""COMPUTED_VALUE"""),23.0)</f>
        <v>23</v>
      </c>
      <c r="Q195" s="402">
        <f>IFERROR(__xludf.DUMMYFUNCTION("""COMPUTED_VALUE"""),23.0)</f>
        <v>23</v>
      </c>
      <c r="R195" s="343">
        <f>IFERROR(__xludf.DUMMYFUNCTION("""COMPUTED_VALUE"""),23.0)</f>
        <v>23</v>
      </c>
      <c r="S195" s="402">
        <f>IFERROR(__xludf.DUMMYFUNCTION("""COMPUTED_VALUE"""),23.0)</f>
        <v>23</v>
      </c>
      <c r="T195" s="343">
        <f>IFERROR(__xludf.DUMMYFUNCTION("""COMPUTED_VALUE"""),23.0)</f>
        <v>23</v>
      </c>
      <c r="U195" s="343">
        <f>IFERROR(__xludf.DUMMYFUNCTION("""COMPUTED_VALUE"""),29.0)</f>
        <v>29</v>
      </c>
      <c r="V195" s="343">
        <f>IFERROR(__xludf.DUMMYFUNCTION("""COMPUTED_VALUE"""),34.0)</f>
        <v>34</v>
      </c>
      <c r="W195" s="343">
        <f>IFERROR(__xludf.DUMMYFUNCTION("""COMPUTED_VALUE"""),39.0)</f>
        <v>39</v>
      </c>
      <c r="X195" s="385" t="str">
        <f>IFERROR(__xludf.DUMMYFUNCTION("""COMPUTED_VALUE"""),"安定型")</f>
        <v>安定型</v>
      </c>
      <c r="Y195" s="399">
        <f>IFERROR(__xludf.DUMMYFUNCTION("""COMPUTED_VALUE"""),4.0)</f>
        <v>4</v>
      </c>
      <c r="Z195" s="400" t="str">
        <f>IFERROR(__xludf.DUMMYFUNCTION("""COMPUTED_VALUE"""),"効果値")</f>
        <v>効果値</v>
      </c>
      <c r="AA195" s="343">
        <f>IFERROR(__xludf.DUMMYFUNCTION("""COMPUTED_VALUE"""),13.0)</f>
        <v>13</v>
      </c>
      <c r="AB195" s="402">
        <f>IFERROR(__xludf.DUMMYFUNCTION("""COMPUTED_VALUE"""),13.0)</f>
        <v>13</v>
      </c>
      <c r="AC195" s="343">
        <f>IFERROR(__xludf.DUMMYFUNCTION("""COMPUTED_VALUE"""),13.0)</f>
        <v>13</v>
      </c>
      <c r="AD195" s="402">
        <f>IFERROR(__xludf.DUMMYFUNCTION("""COMPUTED_VALUE"""),13.0)</f>
        <v>13</v>
      </c>
      <c r="AE195" s="343">
        <f>IFERROR(__xludf.DUMMYFUNCTION("""COMPUTED_VALUE"""),13.0)</f>
        <v>13</v>
      </c>
      <c r="AF195" s="343">
        <f>IFERROR(__xludf.DUMMYFUNCTION("""COMPUTED_VALUE"""),14.0)</f>
        <v>14</v>
      </c>
      <c r="AG195" s="343">
        <f>IFERROR(__xludf.DUMMYFUNCTION("""COMPUTED_VALUE"""),19.0)</f>
        <v>19</v>
      </c>
      <c r="AH195" s="343">
        <f>IFERROR(__xludf.DUMMYFUNCTION("""COMPUTED_VALUE"""),24.0)</f>
        <v>24</v>
      </c>
      <c r="AI195" s="385" t="str">
        <f>IFERROR(__xludf.DUMMYFUNCTION("""COMPUTED_VALUE"""),"持続型")</f>
        <v>持続型</v>
      </c>
      <c r="AJ195" s="399">
        <f>IFERROR(__xludf.DUMMYFUNCTION("""COMPUTED_VALUE"""),4.0)</f>
        <v>4</v>
      </c>
      <c r="AK195" s="400" t="str">
        <f>IFERROR(__xludf.DUMMYFUNCTION("""COMPUTED_VALUE"""),"効果値")</f>
        <v>効果値</v>
      </c>
      <c r="AL195" s="343">
        <f>IFERROR(__xludf.DUMMYFUNCTION("""COMPUTED_VALUE"""),8.0)</f>
        <v>8</v>
      </c>
      <c r="AM195" s="402">
        <f>IFERROR(__xludf.DUMMYFUNCTION("""COMPUTED_VALUE"""),8.0)</f>
        <v>8</v>
      </c>
      <c r="AN195" s="343">
        <f>IFERROR(__xludf.DUMMYFUNCTION("""COMPUTED_VALUE"""),8.0)</f>
        <v>8</v>
      </c>
      <c r="AO195" s="402">
        <f>IFERROR(__xludf.DUMMYFUNCTION("""COMPUTED_VALUE"""),8.0)</f>
        <v>8</v>
      </c>
      <c r="AP195" s="343">
        <f>IFERROR(__xludf.DUMMYFUNCTION("""COMPUTED_VALUE"""),8.0)</f>
        <v>8</v>
      </c>
      <c r="AQ195" s="343">
        <f>IFERROR(__xludf.DUMMYFUNCTION("""COMPUTED_VALUE"""),9.0)</f>
        <v>9</v>
      </c>
      <c r="AR195" s="343">
        <f>IFERROR(__xludf.DUMMYFUNCTION("""COMPUTED_VALUE"""),12.0)</f>
        <v>12</v>
      </c>
      <c r="AS195" s="343">
        <f>IFERROR(__xludf.DUMMYFUNCTION("""COMPUTED_VALUE"""),12.0)</f>
        <v>12</v>
      </c>
      <c r="AT195" s="385" t="str">
        <f>IFERROR(__xludf.DUMMYFUNCTION("""COMPUTED_VALUE"""),"超持続型")</f>
        <v>超持続型</v>
      </c>
      <c r="AU195" s="399">
        <f>IFERROR(__xludf.DUMMYFUNCTION("""COMPUTED_VALUE"""),4.0)</f>
        <v>4</v>
      </c>
      <c r="AV195" s="400" t="str">
        <f>IFERROR(__xludf.DUMMYFUNCTION("""COMPUTED_VALUE"""),"効果値")</f>
        <v>効果値</v>
      </c>
      <c r="AW195" s="403" t="str">
        <f>IFERROR(__xludf.DUMMYFUNCTION("""COMPUTED_VALUE"""),"-")</f>
        <v>-</v>
      </c>
      <c r="AX195" s="403" t="str">
        <f>IFERROR(__xludf.DUMMYFUNCTION("""COMPUTED_VALUE"""),"-")</f>
        <v>-</v>
      </c>
      <c r="AY195" s="403" t="str">
        <f>IFERROR(__xludf.DUMMYFUNCTION("""COMPUTED_VALUE"""),"-")</f>
        <v>-</v>
      </c>
      <c r="AZ195" s="403" t="str">
        <f>IFERROR(__xludf.DUMMYFUNCTION("""COMPUTED_VALUE"""),"-")</f>
        <v>-</v>
      </c>
      <c r="BA195" s="403" t="str">
        <f>IFERROR(__xludf.DUMMYFUNCTION("""COMPUTED_VALUE"""),"-")</f>
        <v>-</v>
      </c>
      <c r="BB195" s="343">
        <f>IFERROR(__xludf.DUMMYFUNCTION("""COMPUTED_VALUE"""),9.0)</f>
        <v>9</v>
      </c>
      <c r="BC195" s="343">
        <f>IFERROR(__xludf.DUMMYFUNCTION("""COMPUTED_VALUE"""),12.0)</f>
        <v>12</v>
      </c>
      <c r="BD195" s="343">
        <f>IFERROR(__xludf.DUMMYFUNCTION("""COMPUTED_VALUE"""),12.0)</f>
        <v>12</v>
      </c>
      <c r="BE195" s="385" t="str">
        <f>IFERROR(__xludf.DUMMYFUNCTION("""COMPUTED_VALUE"""),"ハイブリッド型")</f>
        <v>ハイブリッド型</v>
      </c>
      <c r="BF195" s="399">
        <f>IFERROR(__xludf.DUMMYFUNCTION("""COMPUTED_VALUE"""),4.0)</f>
        <v>4</v>
      </c>
      <c r="BG195" s="400" t="str">
        <f>IFERROR(__xludf.DUMMYFUNCTION("""COMPUTED_VALUE"""),"効果値")</f>
        <v>効果値</v>
      </c>
      <c r="BH195" s="411">
        <f>IFERROR(__xludf.DUMMYFUNCTION("""COMPUTED_VALUE"""),11.8)</f>
        <v>11.8</v>
      </c>
      <c r="BI195" s="412">
        <f>IFERROR(__xludf.DUMMYFUNCTION("""COMPUTED_VALUE"""),12.4)</f>
        <v>12.4</v>
      </c>
      <c r="BJ195" s="412">
        <f>IFERROR(__xludf.DUMMYFUNCTION("""COMPUTED_VALUE"""),13.1)</f>
        <v>13.1</v>
      </c>
      <c r="BK195" s="412">
        <f>IFERROR(__xludf.DUMMYFUNCTION("""COMPUTED_VALUE"""),13.7)</f>
        <v>13.7</v>
      </c>
      <c r="BL195" s="412">
        <f>IFERROR(__xludf.DUMMYFUNCTION("""COMPUTED_VALUE"""),14.4)</f>
        <v>14.4</v>
      </c>
      <c r="BM195" s="412">
        <f>IFERROR(__xludf.DUMMYFUNCTION("""COMPUTED_VALUE"""),19.4)</f>
        <v>19.4</v>
      </c>
      <c r="BN195" s="412">
        <f>IFERROR(__xludf.DUMMYFUNCTION("""COMPUTED_VALUE"""),24.0)</f>
        <v>24</v>
      </c>
      <c r="BO195" s="413">
        <f>IFERROR(__xludf.DUMMYFUNCTION("""COMPUTED_VALUE"""),29.0)</f>
        <v>29</v>
      </c>
    </row>
    <row r="196">
      <c r="A196" s="435" t="str">
        <f>IFERROR(__xludf.DUMMYFUNCTION("""COMPUTED_VALUE"""),"ダメージカット(ディフェンス)")</f>
        <v>ダメージカット(ディフェンス)</v>
      </c>
      <c r="B196" s="385" t="str">
        <f>IFERROR(__xludf.DUMMYFUNCTION("""COMPUTED_VALUE"""),"超瞬間型")</f>
        <v>超瞬間型</v>
      </c>
      <c r="C196" s="386">
        <f>IFERROR(__xludf.DUMMYFUNCTION("""COMPUTED_VALUE"""),4.0)</f>
        <v>4</v>
      </c>
      <c r="D196" s="387" t="str">
        <f>IFERROR(__xludf.DUMMYFUNCTION("""COMPUTED_VALUE"""),"効果時間")</f>
        <v>効果時間</v>
      </c>
      <c r="E196" s="388" t="str">
        <f>IFERROR(__xludf.DUMMYFUNCTION("""COMPUTED_VALUE"""),"-")</f>
        <v>-</v>
      </c>
      <c r="F196" s="389" t="str">
        <f>IFERROR(__xludf.DUMMYFUNCTION("""COMPUTED_VALUE"""),"-")</f>
        <v>-</v>
      </c>
      <c r="G196" s="388" t="str">
        <f>IFERROR(__xludf.DUMMYFUNCTION("""COMPUTED_VALUE"""),"-")</f>
        <v>-</v>
      </c>
      <c r="H196" s="389" t="str">
        <f>IFERROR(__xludf.DUMMYFUNCTION("""COMPUTED_VALUE"""),"-")</f>
        <v>-</v>
      </c>
      <c r="I196" s="388" t="str">
        <f>IFERROR(__xludf.DUMMYFUNCTION("""COMPUTED_VALUE"""),"-")</f>
        <v>-</v>
      </c>
      <c r="J196" s="390">
        <f>IFERROR(__xludf.DUMMYFUNCTION("""COMPUTED_VALUE"""),155.0)</f>
        <v>155</v>
      </c>
      <c r="K196" s="391">
        <f>IFERROR(__xludf.DUMMYFUNCTION("""COMPUTED_VALUE"""),170.0)</f>
        <v>170</v>
      </c>
      <c r="L196" s="340">
        <f>IFERROR(__xludf.DUMMYFUNCTION("""COMPUTED_VALUE"""),195.0)</f>
        <v>195</v>
      </c>
      <c r="M196" s="385" t="str">
        <f>IFERROR(__xludf.DUMMYFUNCTION("""COMPUTED_VALUE"""),"瞬間型")</f>
        <v>瞬間型</v>
      </c>
      <c r="N196" s="386">
        <f>IFERROR(__xludf.DUMMYFUNCTION("""COMPUTED_VALUE"""),4.0)</f>
        <v>4</v>
      </c>
      <c r="O196" s="387" t="str">
        <f>IFERROR(__xludf.DUMMYFUNCTION("""COMPUTED_VALUE"""),"効果時間")</f>
        <v>効果時間</v>
      </c>
      <c r="P196" s="280">
        <f>IFERROR(__xludf.DUMMYFUNCTION("""COMPUTED_VALUE"""),170.0)</f>
        <v>170</v>
      </c>
      <c r="Q196" s="275">
        <f>IFERROR(__xludf.DUMMYFUNCTION("""COMPUTED_VALUE"""),180.0)</f>
        <v>180</v>
      </c>
      <c r="R196" s="280">
        <f>IFERROR(__xludf.DUMMYFUNCTION("""COMPUTED_VALUE"""),185.0)</f>
        <v>185</v>
      </c>
      <c r="S196" s="275">
        <f>IFERROR(__xludf.DUMMYFUNCTION("""COMPUTED_VALUE"""),195.0)</f>
        <v>195</v>
      </c>
      <c r="T196" s="280">
        <f>IFERROR(__xludf.DUMMYFUNCTION("""COMPUTED_VALUE"""),200.0)</f>
        <v>200</v>
      </c>
      <c r="U196" s="280">
        <f>IFERROR(__xludf.DUMMYFUNCTION("""COMPUTED_VALUE"""),215.0)</f>
        <v>215</v>
      </c>
      <c r="V196" s="280">
        <f>IFERROR(__xludf.DUMMYFUNCTION("""COMPUTED_VALUE"""),285.0)</f>
        <v>285</v>
      </c>
      <c r="W196" s="280">
        <f>IFERROR(__xludf.DUMMYFUNCTION("""COMPUTED_VALUE"""),305.0)</f>
        <v>305</v>
      </c>
      <c r="X196" s="385" t="str">
        <f>IFERROR(__xludf.DUMMYFUNCTION("""COMPUTED_VALUE"""),"安定型")</f>
        <v>安定型</v>
      </c>
      <c r="Y196" s="386">
        <f>IFERROR(__xludf.DUMMYFUNCTION("""COMPUTED_VALUE"""),4.0)</f>
        <v>4</v>
      </c>
      <c r="Z196" s="387" t="str">
        <f>IFERROR(__xludf.DUMMYFUNCTION("""COMPUTED_VALUE"""),"効果時間")</f>
        <v>効果時間</v>
      </c>
      <c r="AA196" s="280">
        <f>IFERROR(__xludf.DUMMYFUNCTION("""COMPUTED_VALUE"""),320.0)</f>
        <v>320</v>
      </c>
      <c r="AB196" s="275">
        <f>IFERROR(__xludf.DUMMYFUNCTION("""COMPUTED_VALUE"""),330.0)</f>
        <v>330</v>
      </c>
      <c r="AC196" s="280">
        <f>IFERROR(__xludf.DUMMYFUNCTION("""COMPUTED_VALUE"""),335.0)</f>
        <v>335</v>
      </c>
      <c r="AD196" s="275">
        <f>IFERROR(__xludf.DUMMYFUNCTION("""COMPUTED_VALUE"""),345.0)</f>
        <v>345</v>
      </c>
      <c r="AE196" s="280">
        <f>IFERROR(__xludf.DUMMYFUNCTION("""COMPUTED_VALUE"""),350.0)</f>
        <v>350</v>
      </c>
      <c r="AF196" s="280">
        <f>IFERROR(__xludf.DUMMYFUNCTION("""COMPUTED_VALUE"""),390.0)</f>
        <v>390</v>
      </c>
      <c r="AG196" s="280">
        <f>IFERROR(__xludf.DUMMYFUNCTION("""COMPUTED_VALUE"""),435.0)</f>
        <v>435</v>
      </c>
      <c r="AH196" s="280">
        <f>IFERROR(__xludf.DUMMYFUNCTION("""COMPUTED_VALUE"""),455.0)</f>
        <v>455</v>
      </c>
      <c r="AI196" s="385" t="str">
        <f>IFERROR(__xludf.DUMMYFUNCTION("""COMPUTED_VALUE"""),"持続型")</f>
        <v>持続型</v>
      </c>
      <c r="AJ196" s="386">
        <f>IFERROR(__xludf.DUMMYFUNCTION("""COMPUTED_VALUE"""),4.0)</f>
        <v>4</v>
      </c>
      <c r="AK196" s="387" t="str">
        <f>IFERROR(__xludf.DUMMYFUNCTION("""COMPUTED_VALUE"""),"効果時間")</f>
        <v>効果時間</v>
      </c>
      <c r="AL196" s="280">
        <f>IFERROR(__xludf.DUMMYFUNCTION("""COMPUTED_VALUE"""),470.0)</f>
        <v>470</v>
      </c>
      <c r="AM196" s="275">
        <f>IFERROR(__xludf.DUMMYFUNCTION("""COMPUTED_VALUE"""),480.0)</f>
        <v>480</v>
      </c>
      <c r="AN196" s="280">
        <f>IFERROR(__xludf.DUMMYFUNCTION("""COMPUTED_VALUE"""),485.0)</f>
        <v>485</v>
      </c>
      <c r="AO196" s="275">
        <f>IFERROR(__xludf.DUMMYFUNCTION("""COMPUTED_VALUE"""),495.0)</f>
        <v>495</v>
      </c>
      <c r="AP196" s="280">
        <f>IFERROR(__xludf.DUMMYFUNCTION("""COMPUTED_VALUE"""),500.0)</f>
        <v>500</v>
      </c>
      <c r="AQ196" s="280">
        <f>IFERROR(__xludf.DUMMYFUNCTION("""COMPUTED_VALUE"""),540.0)</f>
        <v>540</v>
      </c>
      <c r="AR196" s="280">
        <f>IFERROR(__xludf.DUMMYFUNCTION("""COMPUTED_VALUE"""),585.0)</f>
        <v>585</v>
      </c>
      <c r="AS196" s="280">
        <f>IFERROR(__xludf.DUMMYFUNCTION("""COMPUTED_VALUE"""),605.0)</f>
        <v>605</v>
      </c>
      <c r="AT196" s="385" t="str">
        <f>IFERROR(__xludf.DUMMYFUNCTION("""COMPUTED_VALUE"""),"超持続型")</f>
        <v>超持続型</v>
      </c>
      <c r="AU196" s="386">
        <f>IFERROR(__xludf.DUMMYFUNCTION("""COMPUTED_VALUE"""),4.0)</f>
        <v>4</v>
      </c>
      <c r="AV196" s="387" t="str">
        <f>IFERROR(__xludf.DUMMYFUNCTION("""COMPUTED_VALUE"""),"効果時間")</f>
        <v>効果時間</v>
      </c>
      <c r="AW196" s="368" t="str">
        <f>IFERROR(__xludf.DUMMYFUNCTION("""COMPUTED_VALUE"""),"-")</f>
        <v>-</v>
      </c>
      <c r="AX196" s="368" t="str">
        <f>IFERROR(__xludf.DUMMYFUNCTION("""COMPUTED_VALUE"""),"-")</f>
        <v>-</v>
      </c>
      <c r="AY196" s="368" t="str">
        <f>IFERROR(__xludf.DUMMYFUNCTION("""COMPUTED_VALUE"""),"-")</f>
        <v>-</v>
      </c>
      <c r="AZ196" s="368" t="str">
        <f>IFERROR(__xludf.DUMMYFUNCTION("""COMPUTED_VALUE"""),"-")</f>
        <v>-</v>
      </c>
      <c r="BA196" s="368" t="str">
        <f>IFERROR(__xludf.DUMMYFUNCTION("""COMPUTED_VALUE"""),"-")</f>
        <v>-</v>
      </c>
      <c r="BB196" s="280">
        <f>IFERROR(__xludf.DUMMYFUNCTION("""COMPUTED_VALUE"""),645.0)</f>
        <v>645</v>
      </c>
      <c r="BC196" s="280">
        <f>IFERROR(__xludf.DUMMYFUNCTION("""COMPUTED_VALUE"""),735.0)</f>
        <v>735</v>
      </c>
      <c r="BD196" s="280">
        <f>IFERROR(__xludf.DUMMYFUNCTION("""COMPUTED_VALUE"""),755.0)</f>
        <v>755</v>
      </c>
      <c r="BE196" s="385" t="str">
        <f>IFERROR(__xludf.DUMMYFUNCTION("""COMPUTED_VALUE"""),"ハイブリッド型")</f>
        <v>ハイブリッド型</v>
      </c>
      <c r="BF196" s="386">
        <f>IFERROR(__xludf.DUMMYFUNCTION("""COMPUTED_VALUE"""),4.0)</f>
        <v>4</v>
      </c>
      <c r="BG196" s="387" t="str">
        <f>IFERROR(__xludf.DUMMYFUNCTION("""COMPUTED_VALUE"""),"効果時間")</f>
        <v>効果時間</v>
      </c>
      <c r="BH196" s="417">
        <f>IFERROR(__xludf.DUMMYFUNCTION("""COMPUTED_VALUE"""),240.0)</f>
        <v>240</v>
      </c>
      <c r="BI196" s="417">
        <f>IFERROR(__xludf.DUMMYFUNCTION("""COMPUTED_VALUE"""),255.0)</f>
        <v>255</v>
      </c>
      <c r="BJ196" s="417">
        <f>IFERROR(__xludf.DUMMYFUNCTION("""COMPUTED_VALUE"""),265.0)</f>
        <v>265</v>
      </c>
      <c r="BK196" s="418">
        <f>IFERROR(__xludf.DUMMYFUNCTION("""COMPUTED_VALUE"""),275.0)</f>
        <v>275</v>
      </c>
      <c r="BL196" s="417">
        <f>IFERROR(__xludf.DUMMYFUNCTION("""COMPUTED_VALUE"""),285.0)</f>
        <v>285</v>
      </c>
      <c r="BM196" s="418">
        <f>IFERROR(__xludf.DUMMYFUNCTION("""COMPUTED_VALUE"""),395.0)</f>
        <v>395</v>
      </c>
      <c r="BN196" s="417">
        <f>IFERROR(__xludf.DUMMYFUNCTION("""COMPUTED_VALUE"""),500.0)</f>
        <v>500</v>
      </c>
      <c r="BO196" s="418">
        <f>IFERROR(__xludf.DUMMYFUNCTION("""COMPUTED_VALUE"""),520.0)</f>
        <v>520</v>
      </c>
    </row>
    <row r="197">
      <c r="A197" s="435" t="str">
        <f>IFERROR(__xludf.DUMMYFUNCTION("""COMPUTED_VALUE"""),"ダメージカット(ディフェンス)")</f>
        <v>ダメージカット(ディフェンス)</v>
      </c>
      <c r="B197" s="385" t="str">
        <f>IFERROR(__xludf.DUMMYFUNCTION("""COMPUTED_VALUE"""),"超瞬間型")</f>
        <v>超瞬間型</v>
      </c>
      <c r="C197" s="399">
        <f>IFERROR(__xludf.DUMMYFUNCTION("""COMPUTED_VALUE"""),5.0)</f>
        <v>5</v>
      </c>
      <c r="D197" s="400" t="str">
        <f>IFERROR(__xludf.DUMMYFUNCTION("""COMPUTED_VALUE"""),"効果値")</f>
        <v>効果値</v>
      </c>
      <c r="E197" s="419" t="str">
        <f>IFERROR(__xludf.DUMMYFUNCTION("""COMPUTED_VALUE"""),"-")</f>
        <v>-</v>
      </c>
      <c r="F197" s="409" t="str">
        <f>IFERROR(__xludf.DUMMYFUNCTION("""COMPUTED_VALUE"""),"-")</f>
        <v>-</v>
      </c>
      <c r="G197" s="409" t="str">
        <f>IFERROR(__xludf.DUMMYFUNCTION("""COMPUTED_VALUE"""),"-")</f>
        <v>-</v>
      </c>
      <c r="H197" s="409" t="str">
        <f>IFERROR(__xludf.DUMMYFUNCTION("""COMPUTED_VALUE"""),"-")</f>
        <v>-</v>
      </c>
      <c r="I197" s="409" t="str">
        <f>IFERROR(__xludf.DUMMYFUNCTION("""COMPUTED_VALUE"""),"-")</f>
        <v>-</v>
      </c>
      <c r="J197" s="420">
        <f>IFERROR(__xludf.DUMMYFUNCTION("""COMPUTED_VALUE"""),60.0)</f>
        <v>60</v>
      </c>
      <c r="K197" s="421">
        <f>IFERROR(__xludf.DUMMYFUNCTION("""COMPUTED_VALUE"""),70.0)</f>
        <v>70</v>
      </c>
      <c r="L197" s="421">
        <f>IFERROR(__xludf.DUMMYFUNCTION("""COMPUTED_VALUE"""),75.0)</f>
        <v>75</v>
      </c>
      <c r="M197" s="385" t="str">
        <f>IFERROR(__xludf.DUMMYFUNCTION("""COMPUTED_VALUE"""),"瞬間型")</f>
        <v>瞬間型</v>
      </c>
      <c r="N197" s="399">
        <f>IFERROR(__xludf.DUMMYFUNCTION("""COMPUTED_VALUE"""),5.0)</f>
        <v>5</v>
      </c>
      <c r="O197" s="400" t="str">
        <f>IFERROR(__xludf.DUMMYFUNCTION("""COMPUTED_VALUE"""),"効果値")</f>
        <v>効果値</v>
      </c>
      <c r="P197" s="422">
        <f>IFERROR(__xludf.DUMMYFUNCTION("""COMPUTED_VALUE"""),23.0)</f>
        <v>23</v>
      </c>
      <c r="Q197" s="423">
        <f>IFERROR(__xludf.DUMMYFUNCTION("""COMPUTED_VALUE"""),23.0)</f>
        <v>23</v>
      </c>
      <c r="R197" s="422">
        <f>IFERROR(__xludf.DUMMYFUNCTION("""COMPUTED_VALUE"""),24.0)</f>
        <v>24</v>
      </c>
      <c r="S197" s="423">
        <f>IFERROR(__xludf.DUMMYFUNCTION("""COMPUTED_VALUE"""),24.0)</f>
        <v>24</v>
      </c>
      <c r="T197" s="422">
        <f>IFERROR(__xludf.DUMMYFUNCTION("""COMPUTED_VALUE"""),24.0)</f>
        <v>24</v>
      </c>
      <c r="U197" s="423">
        <f>IFERROR(__xludf.DUMMYFUNCTION("""COMPUTED_VALUE"""),30.0)</f>
        <v>30</v>
      </c>
      <c r="V197" s="423">
        <f>IFERROR(__xludf.DUMMYFUNCTION("""COMPUTED_VALUE"""),35.0)</f>
        <v>35</v>
      </c>
      <c r="W197" s="424">
        <f>IFERROR(__xludf.DUMMYFUNCTION("""COMPUTED_VALUE"""),40.0)</f>
        <v>40</v>
      </c>
      <c r="X197" s="385" t="str">
        <f>IFERROR(__xludf.DUMMYFUNCTION("""COMPUTED_VALUE"""),"安定型")</f>
        <v>安定型</v>
      </c>
      <c r="Y197" s="399">
        <f>IFERROR(__xludf.DUMMYFUNCTION("""COMPUTED_VALUE"""),5.0)</f>
        <v>5</v>
      </c>
      <c r="Z197" s="400" t="str">
        <f>IFERROR(__xludf.DUMMYFUNCTION("""COMPUTED_VALUE"""),"効果値")</f>
        <v>効果値</v>
      </c>
      <c r="AA197" s="422">
        <f>IFERROR(__xludf.DUMMYFUNCTION("""COMPUTED_VALUE"""),13.0)</f>
        <v>13</v>
      </c>
      <c r="AB197" s="423">
        <f>IFERROR(__xludf.DUMMYFUNCTION("""COMPUTED_VALUE"""),13.0)</f>
        <v>13</v>
      </c>
      <c r="AC197" s="422">
        <f>IFERROR(__xludf.DUMMYFUNCTION("""COMPUTED_VALUE"""),14.0)</f>
        <v>14</v>
      </c>
      <c r="AD197" s="423">
        <f>IFERROR(__xludf.DUMMYFUNCTION("""COMPUTED_VALUE"""),14.0)</f>
        <v>14</v>
      </c>
      <c r="AE197" s="422">
        <f>IFERROR(__xludf.DUMMYFUNCTION("""COMPUTED_VALUE"""),14.0)</f>
        <v>14</v>
      </c>
      <c r="AF197" s="423">
        <f>IFERROR(__xludf.DUMMYFUNCTION("""COMPUTED_VALUE"""),15.0)</f>
        <v>15</v>
      </c>
      <c r="AG197" s="423">
        <f>IFERROR(__xludf.DUMMYFUNCTION("""COMPUTED_VALUE"""),20.0)</f>
        <v>20</v>
      </c>
      <c r="AH197" s="424">
        <f>IFERROR(__xludf.DUMMYFUNCTION("""COMPUTED_VALUE"""),25.0)</f>
        <v>25</v>
      </c>
      <c r="AI197" s="385" t="str">
        <f>IFERROR(__xludf.DUMMYFUNCTION("""COMPUTED_VALUE"""),"持続型")</f>
        <v>持続型</v>
      </c>
      <c r="AJ197" s="399">
        <f>IFERROR(__xludf.DUMMYFUNCTION("""COMPUTED_VALUE"""),5.0)</f>
        <v>5</v>
      </c>
      <c r="AK197" s="400" t="str">
        <f>IFERROR(__xludf.DUMMYFUNCTION("""COMPUTED_VALUE"""),"効果値")</f>
        <v>効果値</v>
      </c>
      <c r="AL197" s="422">
        <f>IFERROR(__xludf.DUMMYFUNCTION("""COMPUTED_VALUE"""),8.0)</f>
        <v>8</v>
      </c>
      <c r="AM197" s="423">
        <f>IFERROR(__xludf.DUMMYFUNCTION("""COMPUTED_VALUE"""),8.0)</f>
        <v>8</v>
      </c>
      <c r="AN197" s="422">
        <f>IFERROR(__xludf.DUMMYFUNCTION("""COMPUTED_VALUE"""),9.0)</f>
        <v>9</v>
      </c>
      <c r="AO197" s="423">
        <f>IFERROR(__xludf.DUMMYFUNCTION("""COMPUTED_VALUE"""),9.0)</f>
        <v>9</v>
      </c>
      <c r="AP197" s="422">
        <f>IFERROR(__xludf.DUMMYFUNCTION("""COMPUTED_VALUE"""),9.0)</f>
        <v>9</v>
      </c>
      <c r="AQ197" s="423">
        <f>IFERROR(__xludf.DUMMYFUNCTION("""COMPUTED_VALUE"""),10.0)</f>
        <v>10</v>
      </c>
      <c r="AR197" s="423">
        <f>IFERROR(__xludf.DUMMYFUNCTION("""COMPUTED_VALUE"""),12.0)</f>
        <v>12</v>
      </c>
      <c r="AS197" s="424">
        <f>IFERROR(__xludf.DUMMYFUNCTION("""COMPUTED_VALUE"""),12.0)</f>
        <v>12</v>
      </c>
      <c r="AT197" s="385" t="str">
        <f>IFERROR(__xludf.DUMMYFUNCTION("""COMPUTED_VALUE"""),"超持続型")</f>
        <v>超持続型</v>
      </c>
      <c r="AU197" s="399">
        <f>IFERROR(__xludf.DUMMYFUNCTION("""COMPUTED_VALUE"""),5.0)</f>
        <v>5</v>
      </c>
      <c r="AV197" s="400" t="str">
        <f>IFERROR(__xludf.DUMMYFUNCTION("""COMPUTED_VALUE"""),"効果値")</f>
        <v>効果値</v>
      </c>
      <c r="AW197" s="425" t="str">
        <f>IFERROR(__xludf.DUMMYFUNCTION("""COMPUTED_VALUE"""),"-")</f>
        <v>-</v>
      </c>
      <c r="AX197" s="426" t="str">
        <f>IFERROR(__xludf.DUMMYFUNCTION("""COMPUTED_VALUE"""),"-")</f>
        <v>-</v>
      </c>
      <c r="AY197" s="426" t="str">
        <f>IFERROR(__xludf.DUMMYFUNCTION("""COMPUTED_VALUE"""),"-")</f>
        <v>-</v>
      </c>
      <c r="AZ197" s="426" t="str">
        <f>IFERROR(__xludf.DUMMYFUNCTION("""COMPUTED_VALUE"""),"-")</f>
        <v>-</v>
      </c>
      <c r="BA197" s="426" t="str">
        <f>IFERROR(__xludf.DUMMYFUNCTION("""COMPUTED_VALUE"""),"-")</f>
        <v>-</v>
      </c>
      <c r="BB197" s="423">
        <f>IFERROR(__xludf.DUMMYFUNCTION("""COMPUTED_VALUE"""),10.0)</f>
        <v>10</v>
      </c>
      <c r="BC197" s="423">
        <f>IFERROR(__xludf.DUMMYFUNCTION("""COMPUTED_VALUE"""),12.0)</f>
        <v>12</v>
      </c>
      <c r="BD197" s="424">
        <f>IFERROR(__xludf.DUMMYFUNCTION("""COMPUTED_VALUE"""),12.0)</f>
        <v>12</v>
      </c>
      <c r="BE197" s="385" t="str">
        <f>IFERROR(__xludf.DUMMYFUNCTION("""COMPUTED_VALUE"""),"ハイブリッド型")</f>
        <v>ハイブリッド型</v>
      </c>
      <c r="BF197" s="399">
        <f>IFERROR(__xludf.DUMMYFUNCTION("""COMPUTED_VALUE"""),5.0)</f>
        <v>5</v>
      </c>
      <c r="BG197" s="400" t="str">
        <f>IFERROR(__xludf.DUMMYFUNCTION("""COMPUTED_VALUE"""),"効果値")</f>
        <v>効果値</v>
      </c>
      <c r="BH197" s="427">
        <f>IFERROR(__xludf.DUMMYFUNCTION("""COMPUTED_VALUE"""),12.0)</f>
        <v>12</v>
      </c>
      <c r="BI197" s="428">
        <f>IFERROR(__xludf.DUMMYFUNCTION("""COMPUTED_VALUE"""),12.75)</f>
        <v>12.75</v>
      </c>
      <c r="BJ197" s="428">
        <f>IFERROR(__xludf.DUMMYFUNCTION("""COMPUTED_VALUE"""),13.5)</f>
        <v>13.5</v>
      </c>
      <c r="BK197" s="428">
        <f>IFERROR(__xludf.DUMMYFUNCTION("""COMPUTED_VALUE"""),14.25)</f>
        <v>14.25</v>
      </c>
      <c r="BL197" s="427">
        <f>IFERROR(__xludf.DUMMYFUNCTION("""COMPUTED_VALUE"""),15.0)</f>
        <v>15</v>
      </c>
      <c r="BM197" s="427">
        <f>IFERROR(__xludf.DUMMYFUNCTION("""COMPUTED_VALUE"""),20.0)</f>
        <v>20</v>
      </c>
      <c r="BN197" s="427">
        <f>IFERROR(__xludf.DUMMYFUNCTION("""COMPUTED_VALUE"""),25.0)</f>
        <v>25</v>
      </c>
      <c r="BO197" s="429">
        <f>IFERROR(__xludf.DUMMYFUNCTION("""COMPUTED_VALUE"""),30.0)</f>
        <v>30</v>
      </c>
    </row>
    <row r="198">
      <c r="A198" s="435" t="str">
        <f>IFERROR(__xludf.DUMMYFUNCTION("""COMPUTED_VALUE"""),"ダメージカット(ディフェンス)")</f>
        <v>ダメージカット(ディフェンス)</v>
      </c>
      <c r="B198" s="385" t="str">
        <f>IFERROR(__xludf.DUMMYFUNCTION("""COMPUTED_VALUE"""),"超瞬間型")</f>
        <v>超瞬間型</v>
      </c>
      <c r="C198" s="430">
        <f>IFERROR(__xludf.DUMMYFUNCTION("""COMPUTED_VALUE"""),5.0)</f>
        <v>5</v>
      </c>
      <c r="D198" s="431" t="str">
        <f>IFERROR(__xludf.DUMMYFUNCTION("""COMPUTED_VALUE"""),"効果時間")</f>
        <v>効果時間</v>
      </c>
      <c r="E198" s="388" t="str">
        <f>IFERROR(__xludf.DUMMYFUNCTION("""COMPUTED_VALUE"""),"-")</f>
        <v>-</v>
      </c>
      <c r="F198" s="389" t="str">
        <f>IFERROR(__xludf.DUMMYFUNCTION("""COMPUTED_VALUE"""),"-")</f>
        <v>-</v>
      </c>
      <c r="G198" s="388" t="str">
        <f>IFERROR(__xludf.DUMMYFUNCTION("""COMPUTED_VALUE"""),"-")</f>
        <v>-</v>
      </c>
      <c r="H198" s="389" t="str">
        <f>IFERROR(__xludf.DUMMYFUNCTION("""COMPUTED_VALUE"""),"-")</f>
        <v>-</v>
      </c>
      <c r="I198" s="388" t="str">
        <f>IFERROR(__xludf.DUMMYFUNCTION("""COMPUTED_VALUE"""),"-")</f>
        <v>-</v>
      </c>
      <c r="J198" s="390">
        <f>IFERROR(__xludf.DUMMYFUNCTION("""COMPUTED_VALUE"""),160.0)</f>
        <v>160</v>
      </c>
      <c r="K198" s="391">
        <f>IFERROR(__xludf.DUMMYFUNCTION("""COMPUTED_VALUE"""),175.0)</f>
        <v>175</v>
      </c>
      <c r="L198" s="340">
        <f>IFERROR(__xludf.DUMMYFUNCTION("""COMPUTED_VALUE"""),200.0)</f>
        <v>200</v>
      </c>
      <c r="M198" s="385" t="str">
        <f>IFERROR(__xludf.DUMMYFUNCTION("""COMPUTED_VALUE"""),"瞬間型")</f>
        <v>瞬間型</v>
      </c>
      <c r="N198" s="430">
        <f>IFERROR(__xludf.DUMMYFUNCTION("""COMPUTED_VALUE"""),5.0)</f>
        <v>5</v>
      </c>
      <c r="O198" s="431" t="str">
        <f>IFERROR(__xludf.DUMMYFUNCTION("""COMPUTED_VALUE"""),"効果時間")</f>
        <v>効果時間</v>
      </c>
      <c r="P198" s="392">
        <f>IFERROR(__xludf.DUMMYFUNCTION("""COMPUTED_VALUE"""),175.0)</f>
        <v>175</v>
      </c>
      <c r="Q198" s="414">
        <f>IFERROR(__xludf.DUMMYFUNCTION("""COMPUTED_VALUE"""),185.0)</f>
        <v>185</v>
      </c>
      <c r="R198" s="414">
        <f>IFERROR(__xludf.DUMMYFUNCTION("""COMPUTED_VALUE"""),190.0)</f>
        <v>190</v>
      </c>
      <c r="S198" s="414">
        <f>IFERROR(__xludf.DUMMYFUNCTION("""COMPUTED_VALUE"""),195.0)</f>
        <v>195</v>
      </c>
      <c r="T198" s="394">
        <f>IFERROR(__xludf.DUMMYFUNCTION("""COMPUTED_VALUE"""),200.0)</f>
        <v>200</v>
      </c>
      <c r="U198" s="394">
        <f>IFERROR(__xludf.DUMMYFUNCTION("""COMPUTED_VALUE"""),225.0)</f>
        <v>225</v>
      </c>
      <c r="V198" s="394">
        <f>IFERROR(__xludf.DUMMYFUNCTION("""COMPUTED_VALUE"""),300.0)</f>
        <v>300</v>
      </c>
      <c r="W198" s="394">
        <f>IFERROR(__xludf.DUMMYFUNCTION("""COMPUTED_VALUE"""),325.0)</f>
        <v>325</v>
      </c>
      <c r="X198" s="385" t="str">
        <f>IFERROR(__xludf.DUMMYFUNCTION("""COMPUTED_VALUE"""),"安定型")</f>
        <v>安定型</v>
      </c>
      <c r="Y198" s="430">
        <f>IFERROR(__xludf.DUMMYFUNCTION("""COMPUTED_VALUE"""),5.0)</f>
        <v>5</v>
      </c>
      <c r="Z198" s="431" t="str">
        <f>IFERROR(__xludf.DUMMYFUNCTION("""COMPUTED_VALUE"""),"効果時間")</f>
        <v>効果時間</v>
      </c>
      <c r="AA198" s="392">
        <f>IFERROR(__xludf.DUMMYFUNCTION("""COMPUTED_VALUE"""),325.0)</f>
        <v>325</v>
      </c>
      <c r="AB198" s="414">
        <f>IFERROR(__xludf.DUMMYFUNCTION("""COMPUTED_VALUE"""),335.0)</f>
        <v>335</v>
      </c>
      <c r="AC198" s="414">
        <f>IFERROR(__xludf.DUMMYFUNCTION("""COMPUTED_VALUE"""),340.0)</f>
        <v>340</v>
      </c>
      <c r="AD198" s="414">
        <f>IFERROR(__xludf.DUMMYFUNCTION("""COMPUTED_VALUE"""),345.0)</f>
        <v>345</v>
      </c>
      <c r="AE198" s="394">
        <f>IFERROR(__xludf.DUMMYFUNCTION("""COMPUTED_VALUE"""),350.0)</f>
        <v>350</v>
      </c>
      <c r="AF198" s="394">
        <f>IFERROR(__xludf.DUMMYFUNCTION("""COMPUTED_VALUE"""),400.0)</f>
        <v>400</v>
      </c>
      <c r="AG198" s="394">
        <f>IFERROR(__xludf.DUMMYFUNCTION("""COMPUTED_VALUE"""),450.0)</f>
        <v>450</v>
      </c>
      <c r="AH198" s="394">
        <f>IFERROR(__xludf.DUMMYFUNCTION("""COMPUTED_VALUE"""),475.0)</f>
        <v>475</v>
      </c>
      <c r="AI198" s="385" t="str">
        <f>IFERROR(__xludf.DUMMYFUNCTION("""COMPUTED_VALUE"""),"持続型")</f>
        <v>持続型</v>
      </c>
      <c r="AJ198" s="430">
        <f>IFERROR(__xludf.DUMMYFUNCTION("""COMPUTED_VALUE"""),5.0)</f>
        <v>5</v>
      </c>
      <c r="AK198" s="431" t="str">
        <f>IFERROR(__xludf.DUMMYFUNCTION("""COMPUTED_VALUE"""),"効果時間")</f>
        <v>効果時間</v>
      </c>
      <c r="AL198" s="392">
        <f>IFERROR(__xludf.DUMMYFUNCTION("""COMPUTED_VALUE"""),475.0)</f>
        <v>475</v>
      </c>
      <c r="AM198" s="414">
        <f>IFERROR(__xludf.DUMMYFUNCTION("""COMPUTED_VALUE"""),485.0)</f>
        <v>485</v>
      </c>
      <c r="AN198" s="414">
        <f>IFERROR(__xludf.DUMMYFUNCTION("""COMPUTED_VALUE"""),490.0)</f>
        <v>490</v>
      </c>
      <c r="AO198" s="414">
        <f>IFERROR(__xludf.DUMMYFUNCTION("""COMPUTED_VALUE"""),495.0)</f>
        <v>495</v>
      </c>
      <c r="AP198" s="394">
        <f>IFERROR(__xludf.DUMMYFUNCTION("""COMPUTED_VALUE"""),500.0)</f>
        <v>500</v>
      </c>
      <c r="AQ198" s="394">
        <f>IFERROR(__xludf.DUMMYFUNCTION("""COMPUTED_VALUE"""),550.0)</f>
        <v>550</v>
      </c>
      <c r="AR198" s="394">
        <f>IFERROR(__xludf.DUMMYFUNCTION("""COMPUTED_VALUE"""),600.0)</f>
        <v>600</v>
      </c>
      <c r="AS198" s="394">
        <f>IFERROR(__xludf.DUMMYFUNCTION("""COMPUTED_VALUE"""),625.0)</f>
        <v>625</v>
      </c>
      <c r="AT198" s="385" t="str">
        <f>IFERROR(__xludf.DUMMYFUNCTION("""COMPUTED_VALUE"""),"超持続型")</f>
        <v>超持続型</v>
      </c>
      <c r="AU198" s="430">
        <f>IFERROR(__xludf.DUMMYFUNCTION("""COMPUTED_VALUE"""),5.0)</f>
        <v>5</v>
      </c>
      <c r="AV198" s="431" t="str">
        <f>IFERROR(__xludf.DUMMYFUNCTION("""COMPUTED_VALUE"""),"効果時間")</f>
        <v>効果時間</v>
      </c>
      <c r="AW198" s="395" t="str">
        <f>IFERROR(__xludf.DUMMYFUNCTION("""COMPUTED_VALUE"""),"-")</f>
        <v>-</v>
      </c>
      <c r="AX198" s="396" t="str">
        <f>IFERROR(__xludf.DUMMYFUNCTION("""COMPUTED_VALUE"""),"-")</f>
        <v>-</v>
      </c>
      <c r="AY198" s="396" t="str">
        <f>IFERROR(__xludf.DUMMYFUNCTION("""COMPUTED_VALUE"""),"-")</f>
        <v>-</v>
      </c>
      <c r="AZ198" s="396" t="str">
        <f>IFERROR(__xludf.DUMMYFUNCTION("""COMPUTED_VALUE"""),"-")</f>
        <v>-</v>
      </c>
      <c r="BA198" s="396" t="str">
        <f>IFERROR(__xludf.DUMMYFUNCTION("""COMPUTED_VALUE"""),"-")</f>
        <v>-</v>
      </c>
      <c r="BB198" s="393">
        <f>IFERROR(__xludf.DUMMYFUNCTION("""COMPUTED_VALUE"""),650.0)</f>
        <v>650</v>
      </c>
      <c r="BC198" s="393">
        <f>IFERROR(__xludf.DUMMYFUNCTION("""COMPUTED_VALUE"""),750.0)</f>
        <v>750</v>
      </c>
      <c r="BD198" s="394">
        <f>IFERROR(__xludf.DUMMYFUNCTION("""COMPUTED_VALUE"""),775.0)</f>
        <v>775</v>
      </c>
      <c r="BE198" s="385" t="str">
        <f>IFERROR(__xludf.DUMMYFUNCTION("""COMPUTED_VALUE"""),"ハイブリッド型")</f>
        <v>ハイブリッド型</v>
      </c>
      <c r="BF198" s="430">
        <f>IFERROR(__xludf.DUMMYFUNCTION("""COMPUTED_VALUE"""),5.0)</f>
        <v>5</v>
      </c>
      <c r="BG198" s="431" t="str">
        <f>IFERROR(__xludf.DUMMYFUNCTION("""COMPUTED_VALUE"""),"効果時間")</f>
        <v>効果時間</v>
      </c>
      <c r="BH198" s="304">
        <f>IFERROR(__xludf.DUMMYFUNCTION("""COMPUTED_VALUE"""),250.0)</f>
        <v>250</v>
      </c>
      <c r="BI198" s="432">
        <f>IFERROR(__xludf.DUMMYFUNCTION("""COMPUTED_VALUE"""),265.0)</f>
        <v>265</v>
      </c>
      <c r="BJ198" s="432">
        <f>IFERROR(__xludf.DUMMYFUNCTION("""COMPUTED_VALUE"""),275.0)</f>
        <v>275</v>
      </c>
      <c r="BK198" s="432">
        <f>IFERROR(__xludf.DUMMYFUNCTION("""COMPUTED_VALUE"""),290.0)</f>
        <v>290</v>
      </c>
      <c r="BL198" s="304">
        <f>IFERROR(__xludf.DUMMYFUNCTION("""COMPUTED_VALUE"""),300.0)</f>
        <v>300</v>
      </c>
      <c r="BM198" s="304">
        <f>IFERROR(__xludf.DUMMYFUNCTION("""COMPUTED_VALUE"""),400.0)</f>
        <v>400</v>
      </c>
      <c r="BN198" s="304">
        <f>IFERROR(__xludf.DUMMYFUNCTION("""COMPUTED_VALUE"""),500.0)</f>
        <v>500</v>
      </c>
      <c r="BO198" s="304">
        <f>IFERROR(__xludf.DUMMYFUNCTION("""COMPUTED_VALUE"""),525.0)</f>
        <v>525</v>
      </c>
    </row>
    <row r="199">
      <c r="A199" s="433" t="str">
        <f>IFERROR(__xludf.DUMMYFUNCTION("""COMPUTED_VALUE"""),"ダメージカット(サポート)")</f>
        <v>ダメージカット(サポート)</v>
      </c>
      <c r="B199" s="374" t="str">
        <f>IFERROR(__xludf.DUMMYFUNCTION("""COMPUTED_VALUE"""),"超瞬間型")</f>
        <v>超瞬間型</v>
      </c>
      <c r="C199" s="375">
        <f>IFERROR(__xludf.DUMMYFUNCTION("""COMPUTED_VALUE"""),1.0)</f>
        <v>1</v>
      </c>
      <c r="D199" s="376" t="str">
        <f>IFERROR(__xludf.DUMMYFUNCTION("""COMPUTED_VALUE"""),"効果値")</f>
        <v>効果値</v>
      </c>
      <c r="E199" s="377" t="str">
        <f>IFERROR(__xludf.DUMMYFUNCTION("""COMPUTED_VALUE"""),"-")</f>
        <v>-</v>
      </c>
      <c r="F199" s="378" t="str">
        <f>IFERROR(__xludf.DUMMYFUNCTION("""COMPUTED_VALUE"""),"-")</f>
        <v>-</v>
      </c>
      <c r="G199" s="377" t="str">
        <f>IFERROR(__xludf.DUMMYFUNCTION("""COMPUTED_VALUE"""),"-")</f>
        <v>-</v>
      </c>
      <c r="H199" s="378" t="str">
        <f>IFERROR(__xludf.DUMMYFUNCTION("""COMPUTED_VALUE"""),"-")</f>
        <v>-</v>
      </c>
      <c r="I199" s="377" t="str">
        <f>IFERROR(__xludf.DUMMYFUNCTION("""COMPUTED_VALUE"""),"-")</f>
        <v>-</v>
      </c>
      <c r="J199" s="379">
        <f>IFERROR(__xludf.DUMMYFUNCTION("""COMPUTED_VALUE"""),55.0)</f>
        <v>55</v>
      </c>
      <c r="K199" s="294">
        <f>IFERROR(__xludf.DUMMYFUNCTION("""COMPUTED_VALUE"""),65.0)</f>
        <v>65</v>
      </c>
      <c r="L199" s="294">
        <f>IFERROR(__xludf.DUMMYFUNCTION("""COMPUTED_VALUE"""),65.0)</f>
        <v>65</v>
      </c>
      <c r="M199" s="374" t="str">
        <f>IFERROR(__xludf.DUMMYFUNCTION("""COMPUTED_VALUE"""),"瞬間型")</f>
        <v>瞬間型</v>
      </c>
      <c r="N199" s="375">
        <f>IFERROR(__xludf.DUMMYFUNCTION("""COMPUTED_VALUE"""),1.0)</f>
        <v>1</v>
      </c>
      <c r="O199" s="376" t="str">
        <f>IFERROR(__xludf.DUMMYFUNCTION("""COMPUTED_VALUE"""),"効果値")</f>
        <v>効果値</v>
      </c>
      <c r="P199" s="380">
        <f>IFERROR(__xludf.DUMMYFUNCTION("""COMPUTED_VALUE"""),20.0)</f>
        <v>20</v>
      </c>
      <c r="Q199" s="263">
        <f>IFERROR(__xludf.DUMMYFUNCTION("""COMPUTED_VALUE"""),20.0)</f>
        <v>20</v>
      </c>
      <c r="R199" s="263">
        <f>IFERROR(__xludf.DUMMYFUNCTION("""COMPUTED_VALUE"""),20.0)</f>
        <v>20</v>
      </c>
      <c r="S199" s="263">
        <f>IFERROR(__xludf.DUMMYFUNCTION("""COMPUTED_VALUE"""),20.0)</f>
        <v>20</v>
      </c>
      <c r="T199" s="263">
        <f>IFERROR(__xludf.DUMMYFUNCTION("""COMPUTED_VALUE"""),20.0)</f>
        <v>20</v>
      </c>
      <c r="U199" s="263">
        <f>IFERROR(__xludf.DUMMYFUNCTION("""COMPUTED_VALUE"""),25.0)</f>
        <v>25</v>
      </c>
      <c r="V199" s="266">
        <f>IFERROR(__xludf.DUMMYFUNCTION("""COMPUTED_VALUE"""),30.0)</f>
        <v>30</v>
      </c>
      <c r="W199" s="266">
        <f>IFERROR(__xludf.DUMMYFUNCTION("""COMPUTED_VALUE"""),30.0)</f>
        <v>30</v>
      </c>
      <c r="X199" s="374" t="str">
        <f>IFERROR(__xludf.DUMMYFUNCTION("""COMPUTED_VALUE"""),"安定型")</f>
        <v>安定型</v>
      </c>
      <c r="Y199" s="375">
        <f>IFERROR(__xludf.DUMMYFUNCTION("""COMPUTED_VALUE"""),1.0)</f>
        <v>1</v>
      </c>
      <c r="Z199" s="376" t="str">
        <f>IFERROR(__xludf.DUMMYFUNCTION("""COMPUTED_VALUE"""),"効果値")</f>
        <v>効果値</v>
      </c>
      <c r="AA199" s="380">
        <f>IFERROR(__xludf.DUMMYFUNCTION("""COMPUTED_VALUE"""),10.0)</f>
        <v>10</v>
      </c>
      <c r="AB199" s="263">
        <f>IFERROR(__xludf.DUMMYFUNCTION("""COMPUTED_VALUE"""),10.0)</f>
        <v>10</v>
      </c>
      <c r="AC199" s="263">
        <f>IFERROR(__xludf.DUMMYFUNCTION("""COMPUTED_VALUE"""),10.0)</f>
        <v>10</v>
      </c>
      <c r="AD199" s="263">
        <f>IFERROR(__xludf.DUMMYFUNCTION("""COMPUTED_VALUE"""),10.0)</f>
        <v>10</v>
      </c>
      <c r="AE199" s="263">
        <f>IFERROR(__xludf.DUMMYFUNCTION("""COMPUTED_VALUE"""),10.0)</f>
        <v>10</v>
      </c>
      <c r="AF199" s="263">
        <f>IFERROR(__xludf.DUMMYFUNCTION("""COMPUTED_VALUE"""),10.0)</f>
        <v>10</v>
      </c>
      <c r="AG199" s="266">
        <f>IFERROR(__xludf.DUMMYFUNCTION("""COMPUTED_VALUE"""),15.0)</f>
        <v>15</v>
      </c>
      <c r="AH199" s="266">
        <f>IFERROR(__xludf.DUMMYFUNCTION("""COMPUTED_VALUE"""),15.0)</f>
        <v>15</v>
      </c>
      <c r="AI199" s="374" t="str">
        <f>IFERROR(__xludf.DUMMYFUNCTION("""COMPUTED_VALUE"""),"持続型")</f>
        <v>持続型</v>
      </c>
      <c r="AJ199" s="375">
        <f>IFERROR(__xludf.DUMMYFUNCTION("""COMPUTED_VALUE"""),1.0)</f>
        <v>1</v>
      </c>
      <c r="AK199" s="376" t="str">
        <f>IFERROR(__xludf.DUMMYFUNCTION("""COMPUTED_VALUE"""),"効果値")</f>
        <v>効果値</v>
      </c>
      <c r="AL199" s="380">
        <f>IFERROR(__xludf.DUMMYFUNCTION("""COMPUTED_VALUE"""),5.0)</f>
        <v>5</v>
      </c>
      <c r="AM199" s="263">
        <f>IFERROR(__xludf.DUMMYFUNCTION("""COMPUTED_VALUE"""),5.0)</f>
        <v>5</v>
      </c>
      <c r="AN199" s="263">
        <f>IFERROR(__xludf.DUMMYFUNCTION("""COMPUTED_VALUE"""),5.0)</f>
        <v>5</v>
      </c>
      <c r="AO199" s="263">
        <f>IFERROR(__xludf.DUMMYFUNCTION("""COMPUTED_VALUE"""),5.0)</f>
        <v>5</v>
      </c>
      <c r="AP199" s="263">
        <f>IFERROR(__xludf.DUMMYFUNCTION("""COMPUTED_VALUE"""),5.0)</f>
        <v>5</v>
      </c>
      <c r="AQ199" s="263">
        <f>IFERROR(__xludf.DUMMYFUNCTION("""COMPUTED_VALUE"""),5.0)</f>
        <v>5</v>
      </c>
      <c r="AR199" s="266">
        <f>IFERROR(__xludf.DUMMYFUNCTION("""COMPUTED_VALUE"""),10.0)</f>
        <v>10</v>
      </c>
      <c r="AS199" s="266">
        <f>IFERROR(__xludf.DUMMYFUNCTION("""COMPUTED_VALUE"""),10.0)</f>
        <v>10</v>
      </c>
      <c r="AT199" s="374" t="str">
        <f>IFERROR(__xludf.DUMMYFUNCTION("""COMPUTED_VALUE"""),"超持続型")</f>
        <v>超持続型</v>
      </c>
      <c r="AU199" s="375">
        <f>IFERROR(__xludf.DUMMYFUNCTION("""COMPUTED_VALUE"""),1.0)</f>
        <v>1</v>
      </c>
      <c r="AV199" s="376" t="str">
        <f>IFERROR(__xludf.DUMMYFUNCTION("""COMPUTED_VALUE"""),"効果値")</f>
        <v>効果値</v>
      </c>
      <c r="AW199" s="350" t="str">
        <f>IFERROR(__xludf.DUMMYFUNCTION("""COMPUTED_VALUE"""),"-")</f>
        <v>-</v>
      </c>
      <c r="AX199" s="348" t="str">
        <f>IFERROR(__xludf.DUMMYFUNCTION("""COMPUTED_VALUE"""),"-")</f>
        <v>-</v>
      </c>
      <c r="AY199" s="348" t="str">
        <f>IFERROR(__xludf.DUMMYFUNCTION("""COMPUTED_VALUE"""),"-")</f>
        <v>-</v>
      </c>
      <c r="AZ199" s="348" t="str">
        <f>IFERROR(__xludf.DUMMYFUNCTION("""COMPUTED_VALUE"""),"-")</f>
        <v>-</v>
      </c>
      <c r="BA199" s="348" t="str">
        <f>IFERROR(__xludf.DUMMYFUNCTION("""COMPUTED_VALUE"""),"-")</f>
        <v>-</v>
      </c>
      <c r="BB199" s="263">
        <f>IFERROR(__xludf.DUMMYFUNCTION("""COMPUTED_VALUE"""),5.0)</f>
        <v>5</v>
      </c>
      <c r="BC199" s="266">
        <f>IFERROR(__xludf.DUMMYFUNCTION("""COMPUTED_VALUE"""),10.0)</f>
        <v>10</v>
      </c>
      <c r="BD199" s="266">
        <f>IFERROR(__xludf.DUMMYFUNCTION("""COMPUTED_VALUE"""),10.0)</f>
        <v>10</v>
      </c>
      <c r="BE199" s="374" t="str">
        <f>IFERROR(__xludf.DUMMYFUNCTION("""COMPUTED_VALUE"""),"ハイブリッド型")</f>
        <v>ハイブリッド型</v>
      </c>
      <c r="BF199" s="375">
        <f>IFERROR(__xludf.DUMMYFUNCTION("""COMPUTED_VALUE"""),1.0)</f>
        <v>1</v>
      </c>
      <c r="BG199" s="376" t="str">
        <f>IFERROR(__xludf.DUMMYFUNCTION("""COMPUTED_VALUE"""),"効果値")</f>
        <v>効果値</v>
      </c>
      <c r="BH199" s="381">
        <f>IFERROR(__xludf.DUMMYFUNCTION("""COMPUTED_VALUE"""),10.0)</f>
        <v>10</v>
      </c>
      <c r="BI199" s="382">
        <f>IFERROR(__xludf.DUMMYFUNCTION("""COMPUTED_VALUE"""),10.0)</f>
        <v>10</v>
      </c>
      <c r="BJ199" s="382">
        <f>IFERROR(__xludf.DUMMYFUNCTION("""COMPUTED_VALUE"""),10.0)</f>
        <v>10</v>
      </c>
      <c r="BK199" s="382">
        <f>IFERROR(__xludf.DUMMYFUNCTION("""COMPUTED_VALUE"""),10.0)</f>
        <v>10</v>
      </c>
      <c r="BL199" s="382">
        <f>IFERROR(__xludf.DUMMYFUNCTION("""COMPUTED_VALUE"""),10.0)</f>
        <v>10</v>
      </c>
      <c r="BM199" s="382">
        <f>IFERROR(__xludf.DUMMYFUNCTION("""COMPUTED_VALUE"""),15.0)</f>
        <v>15</v>
      </c>
      <c r="BN199" s="382">
        <f>IFERROR(__xludf.DUMMYFUNCTION("""COMPUTED_VALUE"""),20.0)</f>
        <v>20</v>
      </c>
      <c r="BO199" s="383">
        <f>IFERROR(__xludf.DUMMYFUNCTION("""COMPUTED_VALUE"""),20.0)</f>
        <v>20</v>
      </c>
    </row>
    <row r="200">
      <c r="A200" s="434" t="str">
        <f>IFERROR(__xludf.DUMMYFUNCTION("""COMPUTED_VALUE"""),"ダメージカット(サポート)")</f>
        <v>ダメージカット(サポート)</v>
      </c>
      <c r="B200" s="385" t="str">
        <f>IFERROR(__xludf.DUMMYFUNCTION("""COMPUTED_VALUE"""),"超瞬間型")</f>
        <v>超瞬間型</v>
      </c>
      <c r="C200" s="386">
        <f>IFERROR(__xludf.DUMMYFUNCTION("""COMPUTED_VALUE"""),1.0)</f>
        <v>1</v>
      </c>
      <c r="D200" s="387" t="str">
        <f>IFERROR(__xludf.DUMMYFUNCTION("""COMPUTED_VALUE"""),"効果時間")</f>
        <v>効果時間</v>
      </c>
      <c r="E200" s="388" t="str">
        <f>IFERROR(__xludf.DUMMYFUNCTION("""COMPUTED_VALUE"""),"-")</f>
        <v>-</v>
      </c>
      <c r="F200" s="389" t="str">
        <f>IFERROR(__xludf.DUMMYFUNCTION("""COMPUTED_VALUE"""),"-")</f>
        <v>-</v>
      </c>
      <c r="G200" s="388" t="str">
        <f>IFERROR(__xludf.DUMMYFUNCTION("""COMPUTED_VALUE"""),"-")</f>
        <v>-</v>
      </c>
      <c r="H200" s="389" t="str">
        <f>IFERROR(__xludf.DUMMYFUNCTION("""COMPUTED_VALUE"""),"-")</f>
        <v>-</v>
      </c>
      <c r="I200" s="388" t="str">
        <f>IFERROR(__xludf.DUMMYFUNCTION("""COMPUTED_VALUE"""),"-")</f>
        <v>-</v>
      </c>
      <c r="J200" s="390">
        <f>IFERROR(__xludf.DUMMYFUNCTION("""COMPUTED_VALUE"""),150.0)</f>
        <v>150</v>
      </c>
      <c r="K200" s="391">
        <f>IFERROR(__xludf.DUMMYFUNCTION("""COMPUTED_VALUE"""),160.0)</f>
        <v>160</v>
      </c>
      <c r="L200" s="340">
        <f>IFERROR(__xludf.DUMMYFUNCTION("""COMPUTED_VALUE"""),160.0)</f>
        <v>160</v>
      </c>
      <c r="M200" s="385" t="str">
        <f>IFERROR(__xludf.DUMMYFUNCTION("""COMPUTED_VALUE"""),"瞬間型")</f>
        <v>瞬間型</v>
      </c>
      <c r="N200" s="386">
        <f>IFERROR(__xludf.DUMMYFUNCTION("""COMPUTED_VALUE"""),1.0)</f>
        <v>1</v>
      </c>
      <c r="O200" s="387" t="str">
        <f>IFERROR(__xludf.DUMMYFUNCTION("""COMPUTED_VALUE"""),"効果時間")</f>
        <v>効果時間</v>
      </c>
      <c r="P200" s="392">
        <f>IFERROR(__xludf.DUMMYFUNCTION("""COMPUTED_VALUE"""),150.0)</f>
        <v>150</v>
      </c>
      <c r="Q200" s="393">
        <f>IFERROR(__xludf.DUMMYFUNCTION("""COMPUTED_VALUE"""),150.0)</f>
        <v>150</v>
      </c>
      <c r="R200" s="393">
        <f>IFERROR(__xludf.DUMMYFUNCTION("""COMPUTED_VALUE"""),150.0)</f>
        <v>150</v>
      </c>
      <c r="S200" s="393">
        <f>IFERROR(__xludf.DUMMYFUNCTION("""COMPUTED_VALUE"""),150.0)</f>
        <v>150</v>
      </c>
      <c r="T200" s="393">
        <f>IFERROR(__xludf.DUMMYFUNCTION("""COMPUTED_VALUE"""),150.0)</f>
        <v>150</v>
      </c>
      <c r="U200" s="393">
        <f>IFERROR(__xludf.DUMMYFUNCTION("""COMPUTED_VALUE"""),150.0)</f>
        <v>150</v>
      </c>
      <c r="V200" s="393">
        <f>IFERROR(__xludf.DUMMYFUNCTION("""COMPUTED_VALUE"""),160.0)</f>
        <v>160</v>
      </c>
      <c r="W200" s="394">
        <f>IFERROR(__xludf.DUMMYFUNCTION("""COMPUTED_VALUE"""),160.0)</f>
        <v>160</v>
      </c>
      <c r="X200" s="385" t="str">
        <f>IFERROR(__xludf.DUMMYFUNCTION("""COMPUTED_VALUE"""),"安定型")</f>
        <v>安定型</v>
      </c>
      <c r="Y200" s="386">
        <f>IFERROR(__xludf.DUMMYFUNCTION("""COMPUTED_VALUE"""),1.0)</f>
        <v>1</v>
      </c>
      <c r="Z200" s="387" t="str">
        <f>IFERROR(__xludf.DUMMYFUNCTION("""COMPUTED_VALUE"""),"効果時間")</f>
        <v>効果時間</v>
      </c>
      <c r="AA200" s="392">
        <f>IFERROR(__xludf.DUMMYFUNCTION("""COMPUTED_VALUE"""),300.0)</f>
        <v>300</v>
      </c>
      <c r="AB200" s="393">
        <f>IFERROR(__xludf.DUMMYFUNCTION("""COMPUTED_VALUE"""),300.0)</f>
        <v>300</v>
      </c>
      <c r="AC200" s="393">
        <f>IFERROR(__xludf.DUMMYFUNCTION("""COMPUTED_VALUE"""),300.0)</f>
        <v>300</v>
      </c>
      <c r="AD200" s="393">
        <f>IFERROR(__xludf.DUMMYFUNCTION("""COMPUTED_VALUE"""),300.0)</f>
        <v>300</v>
      </c>
      <c r="AE200" s="393">
        <f>IFERROR(__xludf.DUMMYFUNCTION("""COMPUTED_VALUE"""),300.0)</f>
        <v>300</v>
      </c>
      <c r="AF200" s="393">
        <f>IFERROR(__xludf.DUMMYFUNCTION("""COMPUTED_VALUE"""),300.0)</f>
        <v>300</v>
      </c>
      <c r="AG200" s="393">
        <f>IFERROR(__xludf.DUMMYFUNCTION("""COMPUTED_VALUE"""),310.0)</f>
        <v>310</v>
      </c>
      <c r="AH200" s="394">
        <f>IFERROR(__xludf.DUMMYFUNCTION("""COMPUTED_VALUE"""),310.0)</f>
        <v>310</v>
      </c>
      <c r="AI200" s="385" t="str">
        <f>IFERROR(__xludf.DUMMYFUNCTION("""COMPUTED_VALUE"""),"持続型")</f>
        <v>持続型</v>
      </c>
      <c r="AJ200" s="386">
        <f>IFERROR(__xludf.DUMMYFUNCTION("""COMPUTED_VALUE"""),1.0)</f>
        <v>1</v>
      </c>
      <c r="AK200" s="387" t="str">
        <f>IFERROR(__xludf.DUMMYFUNCTION("""COMPUTED_VALUE"""),"効果時間")</f>
        <v>効果時間</v>
      </c>
      <c r="AL200" s="392">
        <f>IFERROR(__xludf.DUMMYFUNCTION("""COMPUTED_VALUE"""),450.0)</f>
        <v>450</v>
      </c>
      <c r="AM200" s="393">
        <f>IFERROR(__xludf.DUMMYFUNCTION("""COMPUTED_VALUE"""),450.0)</f>
        <v>450</v>
      </c>
      <c r="AN200" s="393">
        <f>IFERROR(__xludf.DUMMYFUNCTION("""COMPUTED_VALUE"""),450.0)</f>
        <v>450</v>
      </c>
      <c r="AO200" s="393">
        <f>IFERROR(__xludf.DUMMYFUNCTION("""COMPUTED_VALUE"""),450.0)</f>
        <v>450</v>
      </c>
      <c r="AP200" s="393">
        <f>IFERROR(__xludf.DUMMYFUNCTION("""COMPUTED_VALUE"""),450.0)</f>
        <v>450</v>
      </c>
      <c r="AQ200" s="393">
        <f>IFERROR(__xludf.DUMMYFUNCTION("""COMPUTED_VALUE"""),450.0)</f>
        <v>450</v>
      </c>
      <c r="AR200" s="393">
        <f>IFERROR(__xludf.DUMMYFUNCTION("""COMPUTED_VALUE"""),460.0)</f>
        <v>460</v>
      </c>
      <c r="AS200" s="394">
        <f>IFERROR(__xludf.DUMMYFUNCTION("""COMPUTED_VALUE"""),460.0)</f>
        <v>460</v>
      </c>
      <c r="AT200" s="385" t="str">
        <f>IFERROR(__xludf.DUMMYFUNCTION("""COMPUTED_VALUE"""),"超持続型")</f>
        <v>超持続型</v>
      </c>
      <c r="AU200" s="386">
        <f>IFERROR(__xludf.DUMMYFUNCTION("""COMPUTED_VALUE"""),1.0)</f>
        <v>1</v>
      </c>
      <c r="AV200" s="387" t="str">
        <f>IFERROR(__xludf.DUMMYFUNCTION("""COMPUTED_VALUE"""),"効果時間")</f>
        <v>効果時間</v>
      </c>
      <c r="AW200" s="395" t="str">
        <f>IFERROR(__xludf.DUMMYFUNCTION("""COMPUTED_VALUE"""),"-")</f>
        <v>-</v>
      </c>
      <c r="AX200" s="396" t="str">
        <f>IFERROR(__xludf.DUMMYFUNCTION("""COMPUTED_VALUE"""),"-")</f>
        <v>-</v>
      </c>
      <c r="AY200" s="396" t="str">
        <f>IFERROR(__xludf.DUMMYFUNCTION("""COMPUTED_VALUE"""),"-")</f>
        <v>-</v>
      </c>
      <c r="AZ200" s="396" t="str">
        <f>IFERROR(__xludf.DUMMYFUNCTION("""COMPUTED_VALUE"""),"-")</f>
        <v>-</v>
      </c>
      <c r="BA200" s="396" t="str">
        <f>IFERROR(__xludf.DUMMYFUNCTION("""COMPUTED_VALUE"""),"-")</f>
        <v>-</v>
      </c>
      <c r="BB200" s="393">
        <f>IFERROR(__xludf.DUMMYFUNCTION("""COMPUTED_VALUE"""),600.0)</f>
        <v>600</v>
      </c>
      <c r="BC200" s="393">
        <f>IFERROR(__xludf.DUMMYFUNCTION("""COMPUTED_VALUE"""),610.0)</f>
        <v>610</v>
      </c>
      <c r="BD200" s="394">
        <f>IFERROR(__xludf.DUMMYFUNCTION("""COMPUTED_VALUE"""),610.0)</f>
        <v>610</v>
      </c>
      <c r="BE200" s="385" t="str">
        <f>IFERROR(__xludf.DUMMYFUNCTION("""COMPUTED_VALUE"""),"ハイブリッド型")</f>
        <v>ハイブリッド型</v>
      </c>
      <c r="BF200" s="386">
        <f>IFERROR(__xludf.DUMMYFUNCTION("""COMPUTED_VALUE"""),1.0)</f>
        <v>1</v>
      </c>
      <c r="BG200" s="387" t="str">
        <f>IFERROR(__xludf.DUMMYFUNCTION("""COMPUTED_VALUE"""),"効果時間")</f>
        <v>効果時間</v>
      </c>
      <c r="BH200" s="397">
        <f>IFERROR(__xludf.DUMMYFUNCTION("""COMPUTED_VALUE"""),150.0)</f>
        <v>150</v>
      </c>
      <c r="BI200" s="397">
        <f>IFERROR(__xludf.DUMMYFUNCTION("""COMPUTED_VALUE"""),150.0)</f>
        <v>150</v>
      </c>
      <c r="BJ200" s="397">
        <f>IFERROR(__xludf.DUMMYFUNCTION("""COMPUTED_VALUE"""),150.0)</f>
        <v>150</v>
      </c>
      <c r="BK200" s="398">
        <f>IFERROR(__xludf.DUMMYFUNCTION("""COMPUTED_VALUE"""),150.0)</f>
        <v>150</v>
      </c>
      <c r="BL200" s="397">
        <f>IFERROR(__xludf.DUMMYFUNCTION("""COMPUTED_VALUE"""),150.0)</f>
        <v>150</v>
      </c>
      <c r="BM200" s="398">
        <f>IFERROR(__xludf.DUMMYFUNCTION("""COMPUTED_VALUE"""),350.0)</f>
        <v>350</v>
      </c>
      <c r="BN200" s="397">
        <f>IFERROR(__xludf.DUMMYFUNCTION("""COMPUTED_VALUE"""),460.0)</f>
        <v>460</v>
      </c>
      <c r="BO200" s="398">
        <f>IFERROR(__xludf.DUMMYFUNCTION("""COMPUTED_VALUE"""),460.0)</f>
        <v>460</v>
      </c>
    </row>
    <row r="201">
      <c r="A201" s="435" t="str">
        <f>IFERROR(__xludf.DUMMYFUNCTION("""COMPUTED_VALUE"""),"ダメージカット(サポート)")</f>
        <v>ダメージカット(サポート)</v>
      </c>
      <c r="B201" s="385" t="str">
        <f>IFERROR(__xludf.DUMMYFUNCTION("""COMPUTED_VALUE"""),"超瞬間型")</f>
        <v>超瞬間型</v>
      </c>
      <c r="C201" s="399">
        <f>IFERROR(__xludf.DUMMYFUNCTION("""COMPUTED_VALUE"""),2.0)</f>
        <v>2</v>
      </c>
      <c r="D201" s="400" t="str">
        <f>IFERROR(__xludf.DUMMYFUNCTION("""COMPUTED_VALUE"""),"効果値")</f>
        <v>効果値</v>
      </c>
      <c r="E201" s="401" t="str">
        <f>IFERROR(__xludf.DUMMYFUNCTION("""COMPUTED_VALUE"""),"-")</f>
        <v>-</v>
      </c>
      <c r="F201" s="401" t="str">
        <f>IFERROR(__xludf.DUMMYFUNCTION("""COMPUTED_VALUE"""),"-")</f>
        <v>-</v>
      </c>
      <c r="G201" s="401" t="str">
        <f>IFERROR(__xludf.DUMMYFUNCTION("""COMPUTED_VALUE"""),"-")</f>
        <v>-</v>
      </c>
      <c r="H201" s="401" t="str">
        <f>IFERROR(__xludf.DUMMYFUNCTION("""COMPUTED_VALUE"""),"-")</f>
        <v>-</v>
      </c>
      <c r="I201" s="401" t="str">
        <f>IFERROR(__xludf.DUMMYFUNCTION("""COMPUTED_VALUE"""),"-")</f>
        <v>-</v>
      </c>
      <c r="J201" s="318">
        <f>IFERROR(__xludf.DUMMYFUNCTION("""COMPUTED_VALUE"""),57.0)</f>
        <v>57</v>
      </c>
      <c r="K201" s="318">
        <f>IFERROR(__xludf.DUMMYFUNCTION("""COMPUTED_VALUE"""),67.0)</f>
        <v>67</v>
      </c>
      <c r="L201" s="318">
        <f>IFERROR(__xludf.DUMMYFUNCTION("""COMPUTED_VALUE"""),69.0)</f>
        <v>69</v>
      </c>
      <c r="M201" s="385" t="str">
        <f>IFERROR(__xludf.DUMMYFUNCTION("""COMPUTED_VALUE"""),"瞬間型")</f>
        <v>瞬間型</v>
      </c>
      <c r="N201" s="399">
        <f>IFERROR(__xludf.DUMMYFUNCTION("""COMPUTED_VALUE"""),2.0)</f>
        <v>2</v>
      </c>
      <c r="O201" s="400" t="str">
        <f>IFERROR(__xludf.DUMMYFUNCTION("""COMPUTED_VALUE"""),"効果値")</f>
        <v>効果値</v>
      </c>
      <c r="P201" s="343">
        <f>IFERROR(__xludf.DUMMYFUNCTION("""COMPUTED_VALUE"""),21.0)</f>
        <v>21</v>
      </c>
      <c r="Q201" s="402">
        <f>IFERROR(__xludf.DUMMYFUNCTION("""COMPUTED_VALUE"""),21.0)</f>
        <v>21</v>
      </c>
      <c r="R201" s="343">
        <f>IFERROR(__xludf.DUMMYFUNCTION("""COMPUTED_VALUE"""),22.0)</f>
        <v>22</v>
      </c>
      <c r="S201" s="402">
        <f>IFERROR(__xludf.DUMMYFUNCTION("""COMPUTED_VALUE"""),22.0)</f>
        <v>22</v>
      </c>
      <c r="T201" s="343">
        <f>IFERROR(__xludf.DUMMYFUNCTION("""COMPUTED_VALUE"""),22.0)</f>
        <v>22</v>
      </c>
      <c r="U201" s="343">
        <f>IFERROR(__xludf.DUMMYFUNCTION("""COMPUTED_VALUE"""),27.0)</f>
        <v>27</v>
      </c>
      <c r="V201" s="343">
        <f>IFERROR(__xludf.DUMMYFUNCTION("""COMPUTED_VALUE"""),32.0)</f>
        <v>32</v>
      </c>
      <c r="W201" s="343">
        <f>IFERROR(__xludf.DUMMYFUNCTION("""COMPUTED_VALUE"""),34.0)</f>
        <v>34</v>
      </c>
      <c r="X201" s="385" t="str">
        <f>IFERROR(__xludf.DUMMYFUNCTION("""COMPUTED_VALUE"""),"安定型")</f>
        <v>安定型</v>
      </c>
      <c r="Y201" s="399">
        <f>IFERROR(__xludf.DUMMYFUNCTION("""COMPUTED_VALUE"""),2.0)</f>
        <v>2</v>
      </c>
      <c r="Z201" s="400" t="str">
        <f>IFERROR(__xludf.DUMMYFUNCTION("""COMPUTED_VALUE"""),"効果値")</f>
        <v>効果値</v>
      </c>
      <c r="AA201" s="343">
        <f>IFERROR(__xludf.DUMMYFUNCTION("""COMPUTED_VALUE"""),11.0)</f>
        <v>11</v>
      </c>
      <c r="AB201" s="402">
        <f>IFERROR(__xludf.DUMMYFUNCTION("""COMPUTED_VALUE"""),11.0)</f>
        <v>11</v>
      </c>
      <c r="AC201" s="343">
        <f>IFERROR(__xludf.DUMMYFUNCTION("""COMPUTED_VALUE"""),12.0)</f>
        <v>12</v>
      </c>
      <c r="AD201" s="402">
        <f>IFERROR(__xludf.DUMMYFUNCTION("""COMPUTED_VALUE"""),12.0)</f>
        <v>12</v>
      </c>
      <c r="AE201" s="343">
        <f>IFERROR(__xludf.DUMMYFUNCTION("""COMPUTED_VALUE"""),12.0)</f>
        <v>12</v>
      </c>
      <c r="AF201" s="343">
        <f>IFERROR(__xludf.DUMMYFUNCTION("""COMPUTED_VALUE"""),12.0)</f>
        <v>12</v>
      </c>
      <c r="AG201" s="343">
        <f>IFERROR(__xludf.DUMMYFUNCTION("""COMPUTED_VALUE"""),17.0)</f>
        <v>17</v>
      </c>
      <c r="AH201" s="343">
        <f>IFERROR(__xludf.DUMMYFUNCTION("""COMPUTED_VALUE"""),19.0)</f>
        <v>19</v>
      </c>
      <c r="AI201" s="385" t="str">
        <f>IFERROR(__xludf.DUMMYFUNCTION("""COMPUTED_VALUE"""),"持続型")</f>
        <v>持続型</v>
      </c>
      <c r="AJ201" s="399">
        <f>IFERROR(__xludf.DUMMYFUNCTION("""COMPUTED_VALUE"""),2.0)</f>
        <v>2</v>
      </c>
      <c r="AK201" s="400" t="str">
        <f>IFERROR(__xludf.DUMMYFUNCTION("""COMPUTED_VALUE"""),"効果値")</f>
        <v>効果値</v>
      </c>
      <c r="AL201" s="343">
        <f>IFERROR(__xludf.DUMMYFUNCTION("""COMPUTED_VALUE"""),6.0)</f>
        <v>6</v>
      </c>
      <c r="AM201" s="402">
        <f>IFERROR(__xludf.DUMMYFUNCTION("""COMPUTED_VALUE"""),6.0)</f>
        <v>6</v>
      </c>
      <c r="AN201" s="343">
        <f>IFERROR(__xludf.DUMMYFUNCTION("""COMPUTED_VALUE"""),7.0)</f>
        <v>7</v>
      </c>
      <c r="AO201" s="402">
        <f>IFERROR(__xludf.DUMMYFUNCTION("""COMPUTED_VALUE"""),7.0)</f>
        <v>7</v>
      </c>
      <c r="AP201" s="343">
        <f>IFERROR(__xludf.DUMMYFUNCTION("""COMPUTED_VALUE"""),7.0)</f>
        <v>7</v>
      </c>
      <c r="AQ201" s="343">
        <f>IFERROR(__xludf.DUMMYFUNCTION("""COMPUTED_VALUE"""),7.0)</f>
        <v>7</v>
      </c>
      <c r="AR201" s="343">
        <f>IFERROR(__xludf.DUMMYFUNCTION("""COMPUTED_VALUE"""),11.0)</f>
        <v>11</v>
      </c>
      <c r="AS201" s="343">
        <f>IFERROR(__xludf.DUMMYFUNCTION("""COMPUTED_VALUE"""),11.0)</f>
        <v>11</v>
      </c>
      <c r="AT201" s="385" t="str">
        <f>IFERROR(__xludf.DUMMYFUNCTION("""COMPUTED_VALUE"""),"超持続型")</f>
        <v>超持続型</v>
      </c>
      <c r="AU201" s="399">
        <f>IFERROR(__xludf.DUMMYFUNCTION("""COMPUTED_VALUE"""),2.0)</f>
        <v>2</v>
      </c>
      <c r="AV201" s="400" t="str">
        <f>IFERROR(__xludf.DUMMYFUNCTION("""COMPUTED_VALUE"""),"効果値")</f>
        <v>効果値</v>
      </c>
      <c r="AW201" s="403" t="str">
        <f>IFERROR(__xludf.DUMMYFUNCTION("""COMPUTED_VALUE"""),"-")</f>
        <v>-</v>
      </c>
      <c r="AX201" s="403" t="str">
        <f>IFERROR(__xludf.DUMMYFUNCTION("""COMPUTED_VALUE"""),"-")</f>
        <v>-</v>
      </c>
      <c r="AY201" s="403" t="str">
        <f>IFERROR(__xludf.DUMMYFUNCTION("""COMPUTED_VALUE"""),"-")</f>
        <v>-</v>
      </c>
      <c r="AZ201" s="403" t="str">
        <f>IFERROR(__xludf.DUMMYFUNCTION("""COMPUTED_VALUE"""),"-")</f>
        <v>-</v>
      </c>
      <c r="BA201" s="403" t="str">
        <f>IFERROR(__xludf.DUMMYFUNCTION("""COMPUTED_VALUE"""),"-")</f>
        <v>-</v>
      </c>
      <c r="BB201" s="343">
        <f>IFERROR(__xludf.DUMMYFUNCTION("""COMPUTED_VALUE"""),7.0)</f>
        <v>7</v>
      </c>
      <c r="BC201" s="343">
        <f>IFERROR(__xludf.DUMMYFUNCTION("""COMPUTED_VALUE"""),11.0)</f>
        <v>11</v>
      </c>
      <c r="BD201" s="343">
        <f>IFERROR(__xludf.DUMMYFUNCTION("""COMPUTED_VALUE"""),11.0)</f>
        <v>11</v>
      </c>
      <c r="BE201" s="385" t="str">
        <f>IFERROR(__xludf.DUMMYFUNCTION("""COMPUTED_VALUE"""),"ハイブリッド型")</f>
        <v>ハイブリッド型</v>
      </c>
      <c r="BF201" s="399">
        <f>IFERROR(__xludf.DUMMYFUNCTION("""COMPUTED_VALUE"""),2.0)</f>
        <v>2</v>
      </c>
      <c r="BG201" s="400" t="str">
        <f>IFERROR(__xludf.DUMMYFUNCTION("""COMPUTED_VALUE"""),"効果値")</f>
        <v>効果値</v>
      </c>
      <c r="BH201" s="404">
        <f>IFERROR(__xludf.DUMMYFUNCTION("""COMPUTED_VALUE"""),10.8)</f>
        <v>10.8</v>
      </c>
      <c r="BI201" s="405">
        <f>IFERROR(__xludf.DUMMYFUNCTION("""COMPUTED_VALUE"""),11.2)</f>
        <v>11.2</v>
      </c>
      <c r="BJ201" s="405">
        <f>IFERROR(__xludf.DUMMYFUNCTION("""COMPUTED_VALUE"""),11.5)</f>
        <v>11.5</v>
      </c>
      <c r="BK201" s="405">
        <f>IFERROR(__xludf.DUMMYFUNCTION("""COMPUTED_VALUE"""),11.8)</f>
        <v>11.8</v>
      </c>
      <c r="BL201" s="405">
        <f>IFERROR(__xludf.DUMMYFUNCTION("""COMPUTED_VALUE"""),12.1)</f>
        <v>12.1</v>
      </c>
      <c r="BM201" s="405">
        <f>IFERROR(__xludf.DUMMYFUNCTION("""COMPUTED_VALUE"""),17.1)</f>
        <v>17.1</v>
      </c>
      <c r="BN201" s="405">
        <f>IFERROR(__xludf.DUMMYFUNCTION("""COMPUTED_VALUE"""),22.0)</f>
        <v>22</v>
      </c>
      <c r="BO201" s="406">
        <f>IFERROR(__xludf.DUMMYFUNCTION("""COMPUTED_VALUE"""),24.0)</f>
        <v>24</v>
      </c>
    </row>
    <row r="202">
      <c r="A202" s="435" t="str">
        <f>IFERROR(__xludf.DUMMYFUNCTION("""COMPUTED_VALUE"""),"ダメージカット(サポート)")</f>
        <v>ダメージカット(サポート)</v>
      </c>
      <c r="B202" s="385" t="str">
        <f>IFERROR(__xludf.DUMMYFUNCTION("""COMPUTED_VALUE"""),"超瞬間型")</f>
        <v>超瞬間型</v>
      </c>
      <c r="C202" s="386">
        <f>IFERROR(__xludf.DUMMYFUNCTION("""COMPUTED_VALUE"""),2.0)</f>
        <v>2</v>
      </c>
      <c r="D202" s="387" t="str">
        <f>IFERROR(__xludf.DUMMYFUNCTION("""COMPUTED_VALUE"""),"効果時間")</f>
        <v>効果時間</v>
      </c>
      <c r="E202" s="388" t="str">
        <f>IFERROR(__xludf.DUMMYFUNCTION("""COMPUTED_VALUE"""),"-")</f>
        <v>-</v>
      </c>
      <c r="F202" s="389" t="str">
        <f>IFERROR(__xludf.DUMMYFUNCTION("""COMPUTED_VALUE"""),"-")</f>
        <v>-</v>
      </c>
      <c r="G202" s="388" t="str">
        <f>IFERROR(__xludf.DUMMYFUNCTION("""COMPUTED_VALUE"""),"-")</f>
        <v>-</v>
      </c>
      <c r="H202" s="389" t="str">
        <f>IFERROR(__xludf.DUMMYFUNCTION("""COMPUTED_VALUE"""),"-")</f>
        <v>-</v>
      </c>
      <c r="I202" s="388" t="str">
        <f>IFERROR(__xludf.DUMMYFUNCTION("""COMPUTED_VALUE"""),"-")</f>
        <v>-</v>
      </c>
      <c r="J202" s="390">
        <f>IFERROR(__xludf.DUMMYFUNCTION("""COMPUTED_VALUE"""),150.0)</f>
        <v>150</v>
      </c>
      <c r="K202" s="391">
        <f>IFERROR(__xludf.DUMMYFUNCTION("""COMPUTED_VALUE"""),160.0)</f>
        <v>160</v>
      </c>
      <c r="L202" s="340">
        <f>IFERROR(__xludf.DUMMYFUNCTION("""COMPUTED_VALUE"""),170.0)</f>
        <v>170</v>
      </c>
      <c r="M202" s="385" t="str">
        <f>IFERROR(__xludf.DUMMYFUNCTION("""COMPUTED_VALUE"""),"瞬間型")</f>
        <v>瞬間型</v>
      </c>
      <c r="N202" s="386">
        <f>IFERROR(__xludf.DUMMYFUNCTION("""COMPUTED_VALUE"""),2.0)</f>
        <v>2</v>
      </c>
      <c r="O202" s="387" t="str">
        <f>IFERROR(__xludf.DUMMYFUNCTION("""COMPUTED_VALUE"""),"効果時間")</f>
        <v>効果時間</v>
      </c>
      <c r="P202" s="392">
        <f>IFERROR(__xludf.DUMMYFUNCTION("""COMPUTED_VALUE"""),160.0)</f>
        <v>160</v>
      </c>
      <c r="Q202" s="275">
        <f>IFERROR(__xludf.DUMMYFUNCTION("""COMPUTED_VALUE"""),165.0)</f>
        <v>165</v>
      </c>
      <c r="R202" s="280">
        <f>IFERROR(__xludf.DUMMYFUNCTION("""COMPUTED_VALUE"""),170.0)</f>
        <v>170</v>
      </c>
      <c r="S202" s="275">
        <f>IFERROR(__xludf.DUMMYFUNCTION("""COMPUTED_VALUE"""),175.0)</f>
        <v>175</v>
      </c>
      <c r="T202" s="280">
        <f>IFERROR(__xludf.DUMMYFUNCTION("""COMPUTED_VALUE"""),180.0)</f>
        <v>180</v>
      </c>
      <c r="U202" s="280">
        <f>IFERROR(__xludf.DUMMYFUNCTION("""COMPUTED_VALUE"""),180.0)</f>
        <v>180</v>
      </c>
      <c r="V202" s="280">
        <f>IFERROR(__xludf.DUMMYFUNCTION("""COMPUTED_VALUE"""),220.0)</f>
        <v>220</v>
      </c>
      <c r="W202" s="280">
        <f>IFERROR(__xludf.DUMMYFUNCTION("""COMPUTED_VALUE"""),230.0)</f>
        <v>230</v>
      </c>
      <c r="X202" s="385" t="str">
        <f>IFERROR(__xludf.DUMMYFUNCTION("""COMPUTED_VALUE"""),"安定型")</f>
        <v>安定型</v>
      </c>
      <c r="Y202" s="386">
        <f>IFERROR(__xludf.DUMMYFUNCTION("""COMPUTED_VALUE"""),2.0)</f>
        <v>2</v>
      </c>
      <c r="Z202" s="387" t="str">
        <f>IFERROR(__xludf.DUMMYFUNCTION("""COMPUTED_VALUE"""),"効果時間")</f>
        <v>効果時間</v>
      </c>
      <c r="AA202" s="392">
        <f>IFERROR(__xludf.DUMMYFUNCTION("""COMPUTED_VALUE"""),310.0)</f>
        <v>310</v>
      </c>
      <c r="AB202" s="275">
        <f>IFERROR(__xludf.DUMMYFUNCTION("""COMPUTED_VALUE"""),315.0)</f>
        <v>315</v>
      </c>
      <c r="AC202" s="280">
        <f>IFERROR(__xludf.DUMMYFUNCTION("""COMPUTED_VALUE"""),320.0)</f>
        <v>320</v>
      </c>
      <c r="AD202" s="275">
        <f>IFERROR(__xludf.DUMMYFUNCTION("""COMPUTED_VALUE"""),325.0)</f>
        <v>325</v>
      </c>
      <c r="AE202" s="280">
        <f>IFERROR(__xludf.DUMMYFUNCTION("""COMPUTED_VALUE"""),330.0)</f>
        <v>330</v>
      </c>
      <c r="AF202" s="280">
        <f>IFERROR(__xludf.DUMMYFUNCTION("""COMPUTED_VALUE"""),345.0)</f>
        <v>345</v>
      </c>
      <c r="AG202" s="280">
        <f>IFERROR(__xludf.DUMMYFUNCTION("""COMPUTED_VALUE"""),370.0)</f>
        <v>370</v>
      </c>
      <c r="AH202" s="280">
        <f>IFERROR(__xludf.DUMMYFUNCTION("""COMPUTED_VALUE"""),380.0)</f>
        <v>380</v>
      </c>
      <c r="AI202" s="385" t="str">
        <f>IFERROR(__xludf.DUMMYFUNCTION("""COMPUTED_VALUE"""),"持続型")</f>
        <v>持続型</v>
      </c>
      <c r="AJ202" s="386">
        <f>IFERROR(__xludf.DUMMYFUNCTION("""COMPUTED_VALUE"""),2.0)</f>
        <v>2</v>
      </c>
      <c r="AK202" s="387" t="str">
        <f>IFERROR(__xludf.DUMMYFUNCTION("""COMPUTED_VALUE"""),"効果時間")</f>
        <v>効果時間</v>
      </c>
      <c r="AL202" s="392">
        <f>IFERROR(__xludf.DUMMYFUNCTION("""COMPUTED_VALUE"""),460.0)</f>
        <v>460</v>
      </c>
      <c r="AM202" s="275">
        <f>IFERROR(__xludf.DUMMYFUNCTION("""COMPUTED_VALUE"""),465.0)</f>
        <v>465</v>
      </c>
      <c r="AN202" s="280">
        <f>IFERROR(__xludf.DUMMYFUNCTION("""COMPUTED_VALUE"""),470.0)</f>
        <v>470</v>
      </c>
      <c r="AO202" s="275">
        <f>IFERROR(__xludf.DUMMYFUNCTION("""COMPUTED_VALUE"""),475.0)</f>
        <v>475</v>
      </c>
      <c r="AP202" s="280">
        <f>IFERROR(__xludf.DUMMYFUNCTION("""COMPUTED_VALUE"""),480.0)</f>
        <v>480</v>
      </c>
      <c r="AQ202" s="280">
        <f>IFERROR(__xludf.DUMMYFUNCTION("""COMPUTED_VALUE"""),495.0)</f>
        <v>495</v>
      </c>
      <c r="AR202" s="280">
        <f>IFERROR(__xludf.DUMMYFUNCTION("""COMPUTED_VALUE"""),520.0)</f>
        <v>520</v>
      </c>
      <c r="AS202" s="280">
        <f>IFERROR(__xludf.DUMMYFUNCTION("""COMPUTED_VALUE"""),530.0)</f>
        <v>530</v>
      </c>
      <c r="AT202" s="385" t="str">
        <f>IFERROR(__xludf.DUMMYFUNCTION("""COMPUTED_VALUE"""),"超持続型")</f>
        <v>超持続型</v>
      </c>
      <c r="AU202" s="386">
        <f>IFERROR(__xludf.DUMMYFUNCTION("""COMPUTED_VALUE"""),2.0)</f>
        <v>2</v>
      </c>
      <c r="AV202" s="387" t="str">
        <f>IFERROR(__xludf.DUMMYFUNCTION("""COMPUTED_VALUE"""),"効果時間")</f>
        <v>効果時間</v>
      </c>
      <c r="AW202" s="368" t="str">
        <f>IFERROR(__xludf.DUMMYFUNCTION("""COMPUTED_VALUE"""),"-")</f>
        <v>-</v>
      </c>
      <c r="AX202" s="368" t="str">
        <f>IFERROR(__xludf.DUMMYFUNCTION("""COMPUTED_VALUE"""),"-")</f>
        <v>-</v>
      </c>
      <c r="AY202" s="368" t="str">
        <f>IFERROR(__xludf.DUMMYFUNCTION("""COMPUTED_VALUE"""),"-")</f>
        <v>-</v>
      </c>
      <c r="AZ202" s="368" t="str">
        <f>IFERROR(__xludf.DUMMYFUNCTION("""COMPUTED_VALUE"""),"-")</f>
        <v>-</v>
      </c>
      <c r="BA202" s="368" t="str">
        <f>IFERROR(__xludf.DUMMYFUNCTION("""COMPUTED_VALUE"""),"-")</f>
        <v>-</v>
      </c>
      <c r="BB202" s="280">
        <f>IFERROR(__xludf.DUMMYFUNCTION("""COMPUTED_VALUE"""),625.0)</f>
        <v>625</v>
      </c>
      <c r="BC202" s="280">
        <f>IFERROR(__xludf.DUMMYFUNCTION("""COMPUTED_VALUE"""),670.0)</f>
        <v>670</v>
      </c>
      <c r="BD202" s="280">
        <f>IFERROR(__xludf.DUMMYFUNCTION("""COMPUTED_VALUE"""),680.0)</f>
        <v>680</v>
      </c>
      <c r="BE202" s="385" t="str">
        <f>IFERROR(__xludf.DUMMYFUNCTION("""COMPUTED_VALUE"""),"ハイブリッド型")</f>
        <v>ハイブリッド型</v>
      </c>
      <c r="BF202" s="386">
        <f>IFERROR(__xludf.DUMMYFUNCTION("""COMPUTED_VALUE"""),2.0)</f>
        <v>2</v>
      </c>
      <c r="BG202" s="387" t="str">
        <f>IFERROR(__xludf.DUMMYFUNCTION("""COMPUTED_VALUE"""),"効果時間")</f>
        <v>効果時間</v>
      </c>
      <c r="BH202" s="407">
        <f>IFERROR(__xludf.DUMMYFUNCTION("""COMPUTED_VALUE"""),195.0)</f>
        <v>195</v>
      </c>
      <c r="BI202" s="407">
        <f>IFERROR(__xludf.DUMMYFUNCTION("""COMPUTED_VALUE"""),205.0)</f>
        <v>205</v>
      </c>
      <c r="BJ202" s="407">
        <f>IFERROR(__xludf.DUMMYFUNCTION("""COMPUTED_VALUE"""),205.0)</f>
        <v>205</v>
      </c>
      <c r="BK202" s="408">
        <f>IFERROR(__xludf.DUMMYFUNCTION("""COMPUTED_VALUE"""),210.0)</f>
        <v>210</v>
      </c>
      <c r="BL202" s="407">
        <f>IFERROR(__xludf.DUMMYFUNCTION("""COMPUTED_VALUE"""),215.0)</f>
        <v>215</v>
      </c>
      <c r="BM202" s="408">
        <f>IFERROR(__xludf.DUMMYFUNCTION("""COMPUTED_VALUE"""),375.0)</f>
        <v>375</v>
      </c>
      <c r="BN202" s="407">
        <f>IFERROR(__xludf.DUMMYFUNCTION("""COMPUTED_VALUE"""),480.0)</f>
        <v>480</v>
      </c>
      <c r="BO202" s="408">
        <f>IFERROR(__xludf.DUMMYFUNCTION("""COMPUTED_VALUE"""),490.0)</f>
        <v>490</v>
      </c>
    </row>
    <row r="203">
      <c r="A203" s="435" t="str">
        <f>IFERROR(__xludf.DUMMYFUNCTION("""COMPUTED_VALUE"""),"ダメージカット(サポート)")</f>
        <v>ダメージカット(サポート)</v>
      </c>
      <c r="B203" s="385" t="str">
        <f>IFERROR(__xludf.DUMMYFUNCTION("""COMPUTED_VALUE"""),"超瞬間型")</f>
        <v>超瞬間型</v>
      </c>
      <c r="C203" s="399">
        <f>IFERROR(__xludf.DUMMYFUNCTION("""COMPUTED_VALUE"""),3.0)</f>
        <v>3</v>
      </c>
      <c r="D203" s="400" t="str">
        <f>IFERROR(__xludf.DUMMYFUNCTION("""COMPUTED_VALUE"""),"効果値")</f>
        <v>効果値</v>
      </c>
      <c r="E203" s="401" t="str">
        <f>IFERROR(__xludf.DUMMYFUNCTION("""COMPUTED_VALUE"""),"-")</f>
        <v>-</v>
      </c>
      <c r="F203" s="409" t="str">
        <f>IFERROR(__xludf.DUMMYFUNCTION("""COMPUTED_VALUE"""),"-")</f>
        <v>-</v>
      </c>
      <c r="G203" s="401" t="str">
        <f>IFERROR(__xludf.DUMMYFUNCTION("""COMPUTED_VALUE"""),"-")</f>
        <v>-</v>
      </c>
      <c r="H203" s="409" t="str">
        <f>IFERROR(__xludf.DUMMYFUNCTION("""COMPUTED_VALUE"""),"-")</f>
        <v>-</v>
      </c>
      <c r="I203" s="409" t="str">
        <f>IFERROR(__xludf.DUMMYFUNCTION("""COMPUTED_VALUE"""),"-")</f>
        <v>-</v>
      </c>
      <c r="J203" s="410">
        <f>IFERROR(__xludf.DUMMYFUNCTION("""COMPUTED_VALUE"""),58.0)</f>
        <v>58</v>
      </c>
      <c r="K203" s="410">
        <f>IFERROR(__xludf.DUMMYFUNCTION("""COMPUTED_VALUE"""),68.0)</f>
        <v>68</v>
      </c>
      <c r="L203" s="410">
        <f>IFERROR(__xludf.DUMMYFUNCTION("""COMPUTED_VALUE"""),72.0)</f>
        <v>72</v>
      </c>
      <c r="M203" s="385" t="str">
        <f>IFERROR(__xludf.DUMMYFUNCTION("""COMPUTED_VALUE"""),"瞬間型")</f>
        <v>瞬間型</v>
      </c>
      <c r="N203" s="399">
        <f>IFERROR(__xludf.DUMMYFUNCTION("""COMPUTED_VALUE"""),3.0)</f>
        <v>3</v>
      </c>
      <c r="O203" s="400" t="str">
        <f>IFERROR(__xludf.DUMMYFUNCTION("""COMPUTED_VALUE"""),"効果値")</f>
        <v>効果値</v>
      </c>
      <c r="P203" s="343">
        <f>IFERROR(__xludf.DUMMYFUNCTION("""COMPUTED_VALUE"""),22.0)</f>
        <v>22</v>
      </c>
      <c r="Q203" s="402">
        <f>IFERROR(__xludf.DUMMYFUNCTION("""COMPUTED_VALUE"""),22.0)</f>
        <v>22</v>
      </c>
      <c r="R203" s="402">
        <f>IFERROR(__xludf.DUMMYFUNCTION("""COMPUTED_VALUE"""),23.0)</f>
        <v>23</v>
      </c>
      <c r="S203" s="402">
        <f>IFERROR(__xludf.DUMMYFUNCTION("""COMPUTED_VALUE"""),23.0)</f>
        <v>23</v>
      </c>
      <c r="T203" s="402">
        <f>IFERROR(__xludf.DUMMYFUNCTION("""COMPUTED_VALUE"""),23.0)</f>
        <v>23</v>
      </c>
      <c r="U203" s="402">
        <f>IFERROR(__xludf.DUMMYFUNCTION("""COMPUTED_VALUE"""),28.0)</f>
        <v>28</v>
      </c>
      <c r="V203" s="402">
        <f>IFERROR(__xludf.DUMMYFUNCTION("""COMPUTED_VALUE"""),33.0)</f>
        <v>33</v>
      </c>
      <c r="W203" s="402">
        <f>IFERROR(__xludf.DUMMYFUNCTION("""COMPUTED_VALUE"""),37.0)</f>
        <v>37</v>
      </c>
      <c r="X203" s="385" t="str">
        <f>IFERROR(__xludf.DUMMYFUNCTION("""COMPUTED_VALUE"""),"安定型")</f>
        <v>安定型</v>
      </c>
      <c r="Y203" s="399">
        <f>IFERROR(__xludf.DUMMYFUNCTION("""COMPUTED_VALUE"""),3.0)</f>
        <v>3</v>
      </c>
      <c r="Z203" s="400" t="str">
        <f>IFERROR(__xludf.DUMMYFUNCTION("""COMPUTED_VALUE"""),"効果値")</f>
        <v>効果値</v>
      </c>
      <c r="AA203" s="343">
        <f>IFERROR(__xludf.DUMMYFUNCTION("""COMPUTED_VALUE"""),12.0)</f>
        <v>12</v>
      </c>
      <c r="AB203" s="402">
        <f>IFERROR(__xludf.DUMMYFUNCTION("""COMPUTED_VALUE"""),12.0)</f>
        <v>12</v>
      </c>
      <c r="AC203" s="402">
        <f>IFERROR(__xludf.DUMMYFUNCTION("""COMPUTED_VALUE"""),13.0)</f>
        <v>13</v>
      </c>
      <c r="AD203" s="402">
        <f>IFERROR(__xludf.DUMMYFUNCTION("""COMPUTED_VALUE"""),13.0)</f>
        <v>13</v>
      </c>
      <c r="AE203" s="402">
        <f>IFERROR(__xludf.DUMMYFUNCTION("""COMPUTED_VALUE"""),13.0)</f>
        <v>13</v>
      </c>
      <c r="AF203" s="402">
        <f>IFERROR(__xludf.DUMMYFUNCTION("""COMPUTED_VALUE"""),13.0)</f>
        <v>13</v>
      </c>
      <c r="AG203" s="402">
        <f>IFERROR(__xludf.DUMMYFUNCTION("""COMPUTED_VALUE"""),18.0)</f>
        <v>18</v>
      </c>
      <c r="AH203" s="402">
        <f>IFERROR(__xludf.DUMMYFUNCTION("""COMPUTED_VALUE"""),22.0)</f>
        <v>22</v>
      </c>
      <c r="AI203" s="385" t="str">
        <f>IFERROR(__xludf.DUMMYFUNCTION("""COMPUTED_VALUE"""),"持続型")</f>
        <v>持続型</v>
      </c>
      <c r="AJ203" s="399">
        <f>IFERROR(__xludf.DUMMYFUNCTION("""COMPUTED_VALUE"""),3.0)</f>
        <v>3</v>
      </c>
      <c r="AK203" s="400" t="str">
        <f>IFERROR(__xludf.DUMMYFUNCTION("""COMPUTED_VALUE"""),"効果値")</f>
        <v>効果値</v>
      </c>
      <c r="AL203" s="343">
        <f>IFERROR(__xludf.DUMMYFUNCTION("""COMPUTED_VALUE"""),7.0)</f>
        <v>7</v>
      </c>
      <c r="AM203" s="402">
        <f>IFERROR(__xludf.DUMMYFUNCTION("""COMPUTED_VALUE"""),7.0)</f>
        <v>7</v>
      </c>
      <c r="AN203" s="402">
        <f>IFERROR(__xludf.DUMMYFUNCTION("""COMPUTED_VALUE"""),8.0)</f>
        <v>8</v>
      </c>
      <c r="AO203" s="402">
        <f>IFERROR(__xludf.DUMMYFUNCTION("""COMPUTED_VALUE"""),8.0)</f>
        <v>8</v>
      </c>
      <c r="AP203" s="402">
        <f>IFERROR(__xludf.DUMMYFUNCTION("""COMPUTED_VALUE"""),8.0)</f>
        <v>8</v>
      </c>
      <c r="AQ203" s="402">
        <f>IFERROR(__xludf.DUMMYFUNCTION("""COMPUTED_VALUE"""),8.0)</f>
        <v>8</v>
      </c>
      <c r="AR203" s="402">
        <f>IFERROR(__xludf.DUMMYFUNCTION("""COMPUTED_VALUE"""),11.0)</f>
        <v>11</v>
      </c>
      <c r="AS203" s="402">
        <f>IFERROR(__xludf.DUMMYFUNCTION("""COMPUTED_VALUE"""),11.0)</f>
        <v>11</v>
      </c>
      <c r="AT203" s="385" t="str">
        <f>IFERROR(__xludf.DUMMYFUNCTION("""COMPUTED_VALUE"""),"超持続型")</f>
        <v>超持続型</v>
      </c>
      <c r="AU203" s="399">
        <f>IFERROR(__xludf.DUMMYFUNCTION("""COMPUTED_VALUE"""),3.0)</f>
        <v>3</v>
      </c>
      <c r="AV203" s="400" t="str">
        <f>IFERROR(__xludf.DUMMYFUNCTION("""COMPUTED_VALUE"""),"効果値")</f>
        <v>効果値</v>
      </c>
      <c r="AW203" s="403" t="str">
        <f>IFERROR(__xludf.DUMMYFUNCTION("""COMPUTED_VALUE"""),"-")</f>
        <v>-</v>
      </c>
      <c r="AX203" s="403" t="str">
        <f>IFERROR(__xludf.DUMMYFUNCTION("""COMPUTED_VALUE"""),"-")</f>
        <v>-</v>
      </c>
      <c r="AY203" s="403" t="str">
        <f>IFERROR(__xludf.DUMMYFUNCTION("""COMPUTED_VALUE"""),"-")</f>
        <v>-</v>
      </c>
      <c r="AZ203" s="403" t="str">
        <f>IFERROR(__xludf.DUMMYFUNCTION("""COMPUTED_VALUE"""),"-")</f>
        <v>-</v>
      </c>
      <c r="BA203" s="403" t="str">
        <f>IFERROR(__xludf.DUMMYFUNCTION("""COMPUTED_VALUE"""),"-")</f>
        <v>-</v>
      </c>
      <c r="BB203" s="343">
        <f>IFERROR(__xludf.DUMMYFUNCTION("""COMPUTED_VALUE"""),8.0)</f>
        <v>8</v>
      </c>
      <c r="BC203" s="343">
        <f>IFERROR(__xludf.DUMMYFUNCTION("""COMPUTED_VALUE"""),11.0)</f>
        <v>11</v>
      </c>
      <c r="BD203" s="343">
        <f>IFERROR(__xludf.DUMMYFUNCTION("""COMPUTED_VALUE"""),11.0)</f>
        <v>11</v>
      </c>
      <c r="BE203" s="385" t="str">
        <f>IFERROR(__xludf.DUMMYFUNCTION("""COMPUTED_VALUE"""),"ハイブリッド型")</f>
        <v>ハイブリッド型</v>
      </c>
      <c r="BF203" s="399">
        <f>IFERROR(__xludf.DUMMYFUNCTION("""COMPUTED_VALUE"""),3.0)</f>
        <v>3</v>
      </c>
      <c r="BG203" s="400" t="str">
        <f>IFERROR(__xludf.DUMMYFUNCTION("""COMPUTED_VALUE"""),"効果値")</f>
        <v>効果値</v>
      </c>
      <c r="BH203" s="411">
        <f>IFERROR(__xludf.DUMMYFUNCTION("""COMPUTED_VALUE"""),11.4)</f>
        <v>11.4</v>
      </c>
      <c r="BI203" s="412">
        <f>IFERROR(__xludf.DUMMYFUNCTION("""COMPUTED_VALUE"""),11.9)</f>
        <v>11.9</v>
      </c>
      <c r="BJ203" s="412">
        <f>IFERROR(__xludf.DUMMYFUNCTION("""COMPUTED_VALUE"""),12.5)</f>
        <v>12.5</v>
      </c>
      <c r="BK203" s="412">
        <f>IFERROR(__xludf.DUMMYFUNCTION("""COMPUTED_VALUE"""),13.0)</f>
        <v>13</v>
      </c>
      <c r="BL203" s="412">
        <f>IFERROR(__xludf.DUMMYFUNCTION("""COMPUTED_VALUE"""),13.5)</f>
        <v>13.5</v>
      </c>
      <c r="BM203" s="412">
        <f>IFERROR(__xludf.DUMMYFUNCTION("""COMPUTED_VALUE"""),18.5)</f>
        <v>18.5</v>
      </c>
      <c r="BN203" s="412">
        <f>IFERROR(__xludf.DUMMYFUNCTION("""COMPUTED_VALUE"""),23.0)</f>
        <v>23</v>
      </c>
      <c r="BO203" s="413">
        <f>IFERROR(__xludf.DUMMYFUNCTION("""COMPUTED_VALUE"""),27.0)</f>
        <v>27</v>
      </c>
    </row>
    <row r="204">
      <c r="A204" s="435" t="str">
        <f>IFERROR(__xludf.DUMMYFUNCTION("""COMPUTED_VALUE"""),"ダメージカット(サポート)")</f>
        <v>ダメージカット(サポート)</v>
      </c>
      <c r="B204" s="385" t="str">
        <f>IFERROR(__xludf.DUMMYFUNCTION("""COMPUTED_VALUE"""),"超瞬間型")</f>
        <v>超瞬間型</v>
      </c>
      <c r="C204" s="386">
        <f>IFERROR(__xludf.DUMMYFUNCTION("""COMPUTED_VALUE"""),3.0)</f>
        <v>3</v>
      </c>
      <c r="D204" s="387" t="str">
        <f>IFERROR(__xludf.DUMMYFUNCTION("""COMPUTED_VALUE"""),"効果時間")</f>
        <v>効果時間</v>
      </c>
      <c r="E204" s="388" t="str">
        <f>IFERROR(__xludf.DUMMYFUNCTION("""COMPUTED_VALUE"""),"-")</f>
        <v>-</v>
      </c>
      <c r="F204" s="389" t="str">
        <f>IFERROR(__xludf.DUMMYFUNCTION("""COMPUTED_VALUE"""),"-")</f>
        <v>-</v>
      </c>
      <c r="G204" s="388" t="str">
        <f>IFERROR(__xludf.DUMMYFUNCTION("""COMPUTED_VALUE"""),"-")</f>
        <v>-</v>
      </c>
      <c r="H204" s="389" t="str">
        <f>IFERROR(__xludf.DUMMYFUNCTION("""COMPUTED_VALUE"""),"-")</f>
        <v>-</v>
      </c>
      <c r="I204" s="388" t="str">
        <f>IFERROR(__xludf.DUMMYFUNCTION("""COMPUTED_VALUE"""),"-")</f>
        <v>-</v>
      </c>
      <c r="J204" s="390">
        <f>IFERROR(__xludf.DUMMYFUNCTION("""COMPUTED_VALUE"""),155.0)</f>
        <v>155</v>
      </c>
      <c r="K204" s="391">
        <f>IFERROR(__xludf.DUMMYFUNCTION("""COMPUTED_VALUE"""),165.0)</f>
        <v>165</v>
      </c>
      <c r="L204" s="340">
        <f>IFERROR(__xludf.DUMMYFUNCTION("""COMPUTED_VALUE"""),185.0)</f>
        <v>185</v>
      </c>
      <c r="M204" s="385" t="str">
        <f>IFERROR(__xludf.DUMMYFUNCTION("""COMPUTED_VALUE"""),"瞬間型")</f>
        <v>瞬間型</v>
      </c>
      <c r="N204" s="386">
        <f>IFERROR(__xludf.DUMMYFUNCTION("""COMPUTED_VALUE"""),3.0)</f>
        <v>3</v>
      </c>
      <c r="O204" s="387" t="str">
        <f>IFERROR(__xludf.DUMMYFUNCTION("""COMPUTED_VALUE"""),"効果時間")</f>
        <v>効果時間</v>
      </c>
      <c r="P204" s="392">
        <f>IFERROR(__xludf.DUMMYFUNCTION("""COMPUTED_VALUE"""),165.0)</f>
        <v>165</v>
      </c>
      <c r="Q204" s="414">
        <f>IFERROR(__xludf.DUMMYFUNCTION("""COMPUTED_VALUE"""),175.0)</f>
        <v>175</v>
      </c>
      <c r="R204" s="415">
        <f>IFERROR(__xludf.DUMMYFUNCTION("""COMPUTED_VALUE"""),180.0)</f>
        <v>180</v>
      </c>
      <c r="S204" s="393">
        <f>IFERROR(__xludf.DUMMYFUNCTION("""COMPUTED_VALUE"""),185.0)</f>
        <v>185</v>
      </c>
      <c r="T204" s="393">
        <f>IFERROR(__xludf.DUMMYFUNCTION("""COMPUTED_VALUE"""),195.0)</f>
        <v>195</v>
      </c>
      <c r="U204" s="414">
        <f>IFERROR(__xludf.DUMMYFUNCTION("""COMPUTED_VALUE"""),200.0)</f>
        <v>200</v>
      </c>
      <c r="V204" s="416">
        <f>IFERROR(__xludf.DUMMYFUNCTION("""COMPUTED_VALUE"""),255.0)</f>
        <v>255</v>
      </c>
      <c r="W204" s="415">
        <f>IFERROR(__xludf.DUMMYFUNCTION("""COMPUTED_VALUE"""),270.0)</f>
        <v>270</v>
      </c>
      <c r="X204" s="385" t="str">
        <f>IFERROR(__xludf.DUMMYFUNCTION("""COMPUTED_VALUE"""),"安定型")</f>
        <v>安定型</v>
      </c>
      <c r="Y204" s="386">
        <f>IFERROR(__xludf.DUMMYFUNCTION("""COMPUTED_VALUE"""),3.0)</f>
        <v>3</v>
      </c>
      <c r="Z204" s="387" t="str">
        <f>IFERROR(__xludf.DUMMYFUNCTION("""COMPUTED_VALUE"""),"効果時間")</f>
        <v>効果時間</v>
      </c>
      <c r="AA204" s="392">
        <f>IFERROR(__xludf.DUMMYFUNCTION("""COMPUTED_VALUE"""),315.0)</f>
        <v>315</v>
      </c>
      <c r="AB204" s="414">
        <f>IFERROR(__xludf.DUMMYFUNCTION("""COMPUTED_VALUE"""),325.0)</f>
        <v>325</v>
      </c>
      <c r="AC204" s="415">
        <f>IFERROR(__xludf.DUMMYFUNCTION("""COMPUTED_VALUE"""),330.0)</f>
        <v>330</v>
      </c>
      <c r="AD204" s="393">
        <f>IFERROR(__xludf.DUMMYFUNCTION("""COMPUTED_VALUE"""),335.0)</f>
        <v>335</v>
      </c>
      <c r="AE204" s="393">
        <f>IFERROR(__xludf.DUMMYFUNCTION("""COMPUTED_VALUE"""),345.0)</f>
        <v>345</v>
      </c>
      <c r="AF204" s="414">
        <f>IFERROR(__xludf.DUMMYFUNCTION("""COMPUTED_VALUE"""),370.0)</f>
        <v>370</v>
      </c>
      <c r="AG204" s="416">
        <f>IFERROR(__xludf.DUMMYFUNCTION("""COMPUTED_VALUE"""),405.0)</f>
        <v>405</v>
      </c>
      <c r="AH204" s="415">
        <f>IFERROR(__xludf.DUMMYFUNCTION("""COMPUTED_VALUE"""),420.0)</f>
        <v>420</v>
      </c>
      <c r="AI204" s="385" t="str">
        <f>IFERROR(__xludf.DUMMYFUNCTION("""COMPUTED_VALUE"""),"持続型")</f>
        <v>持続型</v>
      </c>
      <c r="AJ204" s="386">
        <f>IFERROR(__xludf.DUMMYFUNCTION("""COMPUTED_VALUE"""),3.0)</f>
        <v>3</v>
      </c>
      <c r="AK204" s="387" t="str">
        <f>IFERROR(__xludf.DUMMYFUNCTION("""COMPUTED_VALUE"""),"効果時間")</f>
        <v>効果時間</v>
      </c>
      <c r="AL204" s="392">
        <f>IFERROR(__xludf.DUMMYFUNCTION("""COMPUTED_VALUE"""),465.0)</f>
        <v>465</v>
      </c>
      <c r="AM204" s="414">
        <f>IFERROR(__xludf.DUMMYFUNCTION("""COMPUTED_VALUE"""),475.0)</f>
        <v>475</v>
      </c>
      <c r="AN204" s="415">
        <f>IFERROR(__xludf.DUMMYFUNCTION("""COMPUTED_VALUE"""),480.0)</f>
        <v>480</v>
      </c>
      <c r="AO204" s="393">
        <f>IFERROR(__xludf.DUMMYFUNCTION("""COMPUTED_VALUE"""),485.0)</f>
        <v>485</v>
      </c>
      <c r="AP204" s="393">
        <f>IFERROR(__xludf.DUMMYFUNCTION("""COMPUTED_VALUE"""),495.0)</f>
        <v>495</v>
      </c>
      <c r="AQ204" s="414">
        <f>IFERROR(__xludf.DUMMYFUNCTION("""COMPUTED_VALUE"""),520.0)</f>
        <v>520</v>
      </c>
      <c r="AR204" s="416">
        <f>IFERROR(__xludf.DUMMYFUNCTION("""COMPUTED_VALUE"""),555.0)</f>
        <v>555</v>
      </c>
      <c r="AS204" s="415">
        <f>IFERROR(__xludf.DUMMYFUNCTION("""COMPUTED_VALUE"""),570.0)</f>
        <v>570</v>
      </c>
      <c r="AT204" s="385" t="str">
        <f>IFERROR(__xludf.DUMMYFUNCTION("""COMPUTED_VALUE"""),"超持続型")</f>
        <v>超持続型</v>
      </c>
      <c r="AU204" s="386">
        <f>IFERROR(__xludf.DUMMYFUNCTION("""COMPUTED_VALUE"""),3.0)</f>
        <v>3</v>
      </c>
      <c r="AV204" s="387" t="str">
        <f>IFERROR(__xludf.DUMMYFUNCTION("""COMPUTED_VALUE"""),"効果時間")</f>
        <v>効果時間</v>
      </c>
      <c r="AW204" s="368" t="str">
        <f>IFERROR(__xludf.DUMMYFUNCTION("""COMPUTED_VALUE"""),"-")</f>
        <v>-</v>
      </c>
      <c r="AX204" s="368" t="str">
        <f>IFERROR(__xludf.DUMMYFUNCTION("""COMPUTED_VALUE"""),"-")</f>
        <v>-</v>
      </c>
      <c r="AY204" s="368" t="str">
        <f>IFERROR(__xludf.DUMMYFUNCTION("""COMPUTED_VALUE"""),"-")</f>
        <v>-</v>
      </c>
      <c r="AZ204" s="368" t="str">
        <f>IFERROR(__xludf.DUMMYFUNCTION("""COMPUTED_VALUE"""),"-")</f>
        <v>-</v>
      </c>
      <c r="BA204" s="368" t="str">
        <f>IFERROR(__xludf.DUMMYFUNCTION("""COMPUTED_VALUE"""),"-")</f>
        <v>-</v>
      </c>
      <c r="BB204" s="280">
        <f>IFERROR(__xludf.DUMMYFUNCTION("""COMPUTED_VALUE"""),635.0)</f>
        <v>635</v>
      </c>
      <c r="BC204" s="280">
        <f>IFERROR(__xludf.DUMMYFUNCTION("""COMPUTED_VALUE"""),705.0)</f>
        <v>705</v>
      </c>
      <c r="BD204" s="280">
        <f>IFERROR(__xludf.DUMMYFUNCTION("""COMPUTED_VALUE"""),720.0)</f>
        <v>720</v>
      </c>
      <c r="BE204" s="385" t="str">
        <f>IFERROR(__xludf.DUMMYFUNCTION("""COMPUTED_VALUE"""),"ハイブリッド型")</f>
        <v>ハイブリッド型</v>
      </c>
      <c r="BF204" s="386">
        <f>IFERROR(__xludf.DUMMYFUNCTION("""COMPUTED_VALUE"""),3.0)</f>
        <v>3</v>
      </c>
      <c r="BG204" s="387" t="str">
        <f>IFERROR(__xludf.DUMMYFUNCTION("""COMPUTED_VALUE"""),"効果時間")</f>
        <v>効果時間</v>
      </c>
      <c r="BH204" s="407">
        <f>IFERROR(__xludf.DUMMYFUNCTION("""COMPUTED_VALUE"""),220.0)</f>
        <v>220</v>
      </c>
      <c r="BI204" s="407">
        <f>IFERROR(__xludf.DUMMYFUNCTION("""COMPUTED_VALUE"""),235.0)</f>
        <v>235</v>
      </c>
      <c r="BJ204" s="407">
        <f>IFERROR(__xludf.DUMMYFUNCTION("""COMPUTED_VALUE"""),240.0)</f>
        <v>240</v>
      </c>
      <c r="BK204" s="408">
        <f>IFERROR(__xludf.DUMMYFUNCTION("""COMPUTED_VALUE"""),250.0)</f>
        <v>250</v>
      </c>
      <c r="BL204" s="407">
        <f>IFERROR(__xludf.DUMMYFUNCTION("""COMPUTED_VALUE"""),255.0)</f>
        <v>255</v>
      </c>
      <c r="BM204" s="408">
        <f>IFERROR(__xludf.DUMMYFUNCTION("""COMPUTED_VALUE"""),385.0)</f>
        <v>385</v>
      </c>
      <c r="BN204" s="407">
        <f>IFERROR(__xludf.DUMMYFUNCTION("""COMPUTED_VALUE"""),490.0)</f>
        <v>490</v>
      </c>
      <c r="BO204" s="408">
        <f>IFERROR(__xludf.DUMMYFUNCTION("""COMPUTED_VALUE"""),505.0)</f>
        <v>505</v>
      </c>
    </row>
    <row r="205">
      <c r="A205" s="435" t="str">
        <f>IFERROR(__xludf.DUMMYFUNCTION("""COMPUTED_VALUE"""),"ダメージカット(サポート)")</f>
        <v>ダメージカット(サポート)</v>
      </c>
      <c r="B205" s="385" t="str">
        <f>IFERROR(__xludf.DUMMYFUNCTION("""COMPUTED_VALUE"""),"超瞬間型")</f>
        <v>超瞬間型</v>
      </c>
      <c r="C205" s="399">
        <f>IFERROR(__xludf.DUMMYFUNCTION("""COMPUTED_VALUE"""),4.0)</f>
        <v>4</v>
      </c>
      <c r="D205" s="400" t="str">
        <f>IFERROR(__xludf.DUMMYFUNCTION("""COMPUTED_VALUE"""),"効果値")</f>
        <v>効果値</v>
      </c>
      <c r="E205" s="401" t="str">
        <f>IFERROR(__xludf.DUMMYFUNCTION("""COMPUTED_VALUE"""),"-")</f>
        <v>-</v>
      </c>
      <c r="F205" s="409" t="str">
        <f>IFERROR(__xludf.DUMMYFUNCTION("""COMPUTED_VALUE"""),"-")</f>
        <v>-</v>
      </c>
      <c r="G205" s="409" t="str">
        <f>IFERROR(__xludf.DUMMYFUNCTION("""COMPUTED_VALUE"""),"-")</f>
        <v>-</v>
      </c>
      <c r="H205" s="409" t="str">
        <f>IFERROR(__xludf.DUMMYFUNCTION("""COMPUTED_VALUE"""),"-")</f>
        <v>-</v>
      </c>
      <c r="I205" s="409" t="str">
        <f>IFERROR(__xludf.DUMMYFUNCTION("""COMPUTED_VALUE"""),"-")</f>
        <v>-</v>
      </c>
      <c r="J205" s="410">
        <f>IFERROR(__xludf.DUMMYFUNCTION("""COMPUTED_VALUE"""),59.0)</f>
        <v>59</v>
      </c>
      <c r="K205" s="410">
        <f>IFERROR(__xludf.DUMMYFUNCTION("""COMPUTED_VALUE"""),69.0)</f>
        <v>69</v>
      </c>
      <c r="L205" s="410">
        <f>IFERROR(__xludf.DUMMYFUNCTION("""COMPUTED_VALUE"""),74.0)</f>
        <v>74</v>
      </c>
      <c r="M205" s="385" t="str">
        <f>IFERROR(__xludf.DUMMYFUNCTION("""COMPUTED_VALUE"""),"瞬間型")</f>
        <v>瞬間型</v>
      </c>
      <c r="N205" s="399">
        <f>IFERROR(__xludf.DUMMYFUNCTION("""COMPUTED_VALUE"""),4.0)</f>
        <v>4</v>
      </c>
      <c r="O205" s="400" t="str">
        <f>IFERROR(__xludf.DUMMYFUNCTION("""COMPUTED_VALUE"""),"効果値")</f>
        <v>効果値</v>
      </c>
      <c r="P205" s="343">
        <f>IFERROR(__xludf.DUMMYFUNCTION("""COMPUTED_VALUE"""),23.0)</f>
        <v>23</v>
      </c>
      <c r="Q205" s="402">
        <f>IFERROR(__xludf.DUMMYFUNCTION("""COMPUTED_VALUE"""),23.0)</f>
        <v>23</v>
      </c>
      <c r="R205" s="343">
        <f>IFERROR(__xludf.DUMMYFUNCTION("""COMPUTED_VALUE"""),23.0)</f>
        <v>23</v>
      </c>
      <c r="S205" s="402">
        <f>IFERROR(__xludf.DUMMYFUNCTION("""COMPUTED_VALUE"""),23.0)</f>
        <v>23</v>
      </c>
      <c r="T205" s="343">
        <f>IFERROR(__xludf.DUMMYFUNCTION("""COMPUTED_VALUE"""),23.0)</f>
        <v>23</v>
      </c>
      <c r="U205" s="343">
        <f>IFERROR(__xludf.DUMMYFUNCTION("""COMPUTED_VALUE"""),29.0)</f>
        <v>29</v>
      </c>
      <c r="V205" s="343">
        <f>IFERROR(__xludf.DUMMYFUNCTION("""COMPUTED_VALUE"""),34.0)</f>
        <v>34</v>
      </c>
      <c r="W205" s="343">
        <f>IFERROR(__xludf.DUMMYFUNCTION("""COMPUTED_VALUE"""),39.0)</f>
        <v>39</v>
      </c>
      <c r="X205" s="385" t="str">
        <f>IFERROR(__xludf.DUMMYFUNCTION("""COMPUTED_VALUE"""),"安定型")</f>
        <v>安定型</v>
      </c>
      <c r="Y205" s="399">
        <f>IFERROR(__xludf.DUMMYFUNCTION("""COMPUTED_VALUE"""),4.0)</f>
        <v>4</v>
      </c>
      <c r="Z205" s="400" t="str">
        <f>IFERROR(__xludf.DUMMYFUNCTION("""COMPUTED_VALUE"""),"効果値")</f>
        <v>効果値</v>
      </c>
      <c r="AA205" s="343">
        <f>IFERROR(__xludf.DUMMYFUNCTION("""COMPUTED_VALUE"""),13.0)</f>
        <v>13</v>
      </c>
      <c r="AB205" s="402">
        <f>IFERROR(__xludf.DUMMYFUNCTION("""COMPUTED_VALUE"""),13.0)</f>
        <v>13</v>
      </c>
      <c r="AC205" s="343">
        <f>IFERROR(__xludf.DUMMYFUNCTION("""COMPUTED_VALUE"""),13.0)</f>
        <v>13</v>
      </c>
      <c r="AD205" s="402">
        <f>IFERROR(__xludf.DUMMYFUNCTION("""COMPUTED_VALUE"""),13.0)</f>
        <v>13</v>
      </c>
      <c r="AE205" s="343">
        <f>IFERROR(__xludf.DUMMYFUNCTION("""COMPUTED_VALUE"""),13.0)</f>
        <v>13</v>
      </c>
      <c r="AF205" s="343">
        <f>IFERROR(__xludf.DUMMYFUNCTION("""COMPUTED_VALUE"""),14.0)</f>
        <v>14</v>
      </c>
      <c r="AG205" s="343">
        <f>IFERROR(__xludf.DUMMYFUNCTION("""COMPUTED_VALUE"""),19.0)</f>
        <v>19</v>
      </c>
      <c r="AH205" s="343">
        <f>IFERROR(__xludf.DUMMYFUNCTION("""COMPUTED_VALUE"""),24.0)</f>
        <v>24</v>
      </c>
      <c r="AI205" s="385" t="str">
        <f>IFERROR(__xludf.DUMMYFUNCTION("""COMPUTED_VALUE"""),"持続型")</f>
        <v>持続型</v>
      </c>
      <c r="AJ205" s="399">
        <f>IFERROR(__xludf.DUMMYFUNCTION("""COMPUTED_VALUE"""),4.0)</f>
        <v>4</v>
      </c>
      <c r="AK205" s="400" t="str">
        <f>IFERROR(__xludf.DUMMYFUNCTION("""COMPUTED_VALUE"""),"効果値")</f>
        <v>効果値</v>
      </c>
      <c r="AL205" s="343">
        <f>IFERROR(__xludf.DUMMYFUNCTION("""COMPUTED_VALUE"""),8.0)</f>
        <v>8</v>
      </c>
      <c r="AM205" s="402">
        <f>IFERROR(__xludf.DUMMYFUNCTION("""COMPUTED_VALUE"""),8.0)</f>
        <v>8</v>
      </c>
      <c r="AN205" s="343">
        <f>IFERROR(__xludf.DUMMYFUNCTION("""COMPUTED_VALUE"""),8.0)</f>
        <v>8</v>
      </c>
      <c r="AO205" s="402">
        <f>IFERROR(__xludf.DUMMYFUNCTION("""COMPUTED_VALUE"""),8.0)</f>
        <v>8</v>
      </c>
      <c r="AP205" s="343">
        <f>IFERROR(__xludf.DUMMYFUNCTION("""COMPUTED_VALUE"""),8.0)</f>
        <v>8</v>
      </c>
      <c r="AQ205" s="343">
        <f>IFERROR(__xludf.DUMMYFUNCTION("""COMPUTED_VALUE"""),9.0)</f>
        <v>9</v>
      </c>
      <c r="AR205" s="343">
        <f>IFERROR(__xludf.DUMMYFUNCTION("""COMPUTED_VALUE"""),12.0)</f>
        <v>12</v>
      </c>
      <c r="AS205" s="343">
        <f>IFERROR(__xludf.DUMMYFUNCTION("""COMPUTED_VALUE"""),12.0)</f>
        <v>12</v>
      </c>
      <c r="AT205" s="385" t="str">
        <f>IFERROR(__xludf.DUMMYFUNCTION("""COMPUTED_VALUE"""),"超持続型")</f>
        <v>超持続型</v>
      </c>
      <c r="AU205" s="399">
        <f>IFERROR(__xludf.DUMMYFUNCTION("""COMPUTED_VALUE"""),4.0)</f>
        <v>4</v>
      </c>
      <c r="AV205" s="400" t="str">
        <f>IFERROR(__xludf.DUMMYFUNCTION("""COMPUTED_VALUE"""),"効果値")</f>
        <v>効果値</v>
      </c>
      <c r="AW205" s="403" t="str">
        <f>IFERROR(__xludf.DUMMYFUNCTION("""COMPUTED_VALUE"""),"-")</f>
        <v>-</v>
      </c>
      <c r="AX205" s="403" t="str">
        <f>IFERROR(__xludf.DUMMYFUNCTION("""COMPUTED_VALUE"""),"-")</f>
        <v>-</v>
      </c>
      <c r="AY205" s="403" t="str">
        <f>IFERROR(__xludf.DUMMYFUNCTION("""COMPUTED_VALUE"""),"-")</f>
        <v>-</v>
      </c>
      <c r="AZ205" s="403" t="str">
        <f>IFERROR(__xludf.DUMMYFUNCTION("""COMPUTED_VALUE"""),"-")</f>
        <v>-</v>
      </c>
      <c r="BA205" s="403" t="str">
        <f>IFERROR(__xludf.DUMMYFUNCTION("""COMPUTED_VALUE"""),"-")</f>
        <v>-</v>
      </c>
      <c r="BB205" s="343">
        <f>IFERROR(__xludf.DUMMYFUNCTION("""COMPUTED_VALUE"""),9.0)</f>
        <v>9</v>
      </c>
      <c r="BC205" s="343">
        <f>IFERROR(__xludf.DUMMYFUNCTION("""COMPUTED_VALUE"""),12.0)</f>
        <v>12</v>
      </c>
      <c r="BD205" s="343">
        <f>IFERROR(__xludf.DUMMYFUNCTION("""COMPUTED_VALUE"""),12.0)</f>
        <v>12</v>
      </c>
      <c r="BE205" s="385" t="str">
        <f>IFERROR(__xludf.DUMMYFUNCTION("""COMPUTED_VALUE"""),"ハイブリッド型")</f>
        <v>ハイブリッド型</v>
      </c>
      <c r="BF205" s="399">
        <f>IFERROR(__xludf.DUMMYFUNCTION("""COMPUTED_VALUE"""),4.0)</f>
        <v>4</v>
      </c>
      <c r="BG205" s="400" t="str">
        <f>IFERROR(__xludf.DUMMYFUNCTION("""COMPUTED_VALUE"""),"効果値")</f>
        <v>効果値</v>
      </c>
      <c r="BH205" s="411">
        <f>IFERROR(__xludf.DUMMYFUNCTION("""COMPUTED_VALUE"""),11.8)</f>
        <v>11.8</v>
      </c>
      <c r="BI205" s="412">
        <f>IFERROR(__xludf.DUMMYFUNCTION("""COMPUTED_VALUE"""),12.4)</f>
        <v>12.4</v>
      </c>
      <c r="BJ205" s="412">
        <f>IFERROR(__xludf.DUMMYFUNCTION("""COMPUTED_VALUE"""),13.1)</f>
        <v>13.1</v>
      </c>
      <c r="BK205" s="412">
        <f>IFERROR(__xludf.DUMMYFUNCTION("""COMPUTED_VALUE"""),13.7)</f>
        <v>13.7</v>
      </c>
      <c r="BL205" s="412">
        <f>IFERROR(__xludf.DUMMYFUNCTION("""COMPUTED_VALUE"""),14.4)</f>
        <v>14.4</v>
      </c>
      <c r="BM205" s="412">
        <f>IFERROR(__xludf.DUMMYFUNCTION("""COMPUTED_VALUE"""),19.4)</f>
        <v>19.4</v>
      </c>
      <c r="BN205" s="412">
        <f>IFERROR(__xludf.DUMMYFUNCTION("""COMPUTED_VALUE"""),24.0)</f>
        <v>24</v>
      </c>
      <c r="BO205" s="413">
        <f>IFERROR(__xludf.DUMMYFUNCTION("""COMPUTED_VALUE"""),29.0)</f>
        <v>29</v>
      </c>
    </row>
    <row r="206">
      <c r="A206" s="435" t="str">
        <f>IFERROR(__xludf.DUMMYFUNCTION("""COMPUTED_VALUE"""),"ダメージカット(サポート)")</f>
        <v>ダメージカット(サポート)</v>
      </c>
      <c r="B206" s="385" t="str">
        <f>IFERROR(__xludf.DUMMYFUNCTION("""COMPUTED_VALUE"""),"超瞬間型")</f>
        <v>超瞬間型</v>
      </c>
      <c r="C206" s="386">
        <f>IFERROR(__xludf.DUMMYFUNCTION("""COMPUTED_VALUE"""),4.0)</f>
        <v>4</v>
      </c>
      <c r="D206" s="387" t="str">
        <f>IFERROR(__xludf.DUMMYFUNCTION("""COMPUTED_VALUE"""),"効果時間")</f>
        <v>効果時間</v>
      </c>
      <c r="E206" s="388" t="str">
        <f>IFERROR(__xludf.DUMMYFUNCTION("""COMPUTED_VALUE"""),"-")</f>
        <v>-</v>
      </c>
      <c r="F206" s="389" t="str">
        <f>IFERROR(__xludf.DUMMYFUNCTION("""COMPUTED_VALUE"""),"-")</f>
        <v>-</v>
      </c>
      <c r="G206" s="388" t="str">
        <f>IFERROR(__xludf.DUMMYFUNCTION("""COMPUTED_VALUE"""),"-")</f>
        <v>-</v>
      </c>
      <c r="H206" s="389" t="str">
        <f>IFERROR(__xludf.DUMMYFUNCTION("""COMPUTED_VALUE"""),"-")</f>
        <v>-</v>
      </c>
      <c r="I206" s="388" t="str">
        <f>IFERROR(__xludf.DUMMYFUNCTION("""COMPUTED_VALUE"""),"-")</f>
        <v>-</v>
      </c>
      <c r="J206" s="390">
        <f>IFERROR(__xludf.DUMMYFUNCTION("""COMPUTED_VALUE"""),155.0)</f>
        <v>155</v>
      </c>
      <c r="K206" s="391">
        <f>IFERROR(__xludf.DUMMYFUNCTION("""COMPUTED_VALUE"""),170.0)</f>
        <v>170</v>
      </c>
      <c r="L206" s="340">
        <f>IFERROR(__xludf.DUMMYFUNCTION("""COMPUTED_VALUE"""),195.0)</f>
        <v>195</v>
      </c>
      <c r="M206" s="385" t="str">
        <f>IFERROR(__xludf.DUMMYFUNCTION("""COMPUTED_VALUE"""),"瞬間型")</f>
        <v>瞬間型</v>
      </c>
      <c r="N206" s="386">
        <f>IFERROR(__xludf.DUMMYFUNCTION("""COMPUTED_VALUE"""),4.0)</f>
        <v>4</v>
      </c>
      <c r="O206" s="387" t="str">
        <f>IFERROR(__xludf.DUMMYFUNCTION("""COMPUTED_VALUE"""),"効果時間")</f>
        <v>効果時間</v>
      </c>
      <c r="P206" s="280">
        <f>IFERROR(__xludf.DUMMYFUNCTION("""COMPUTED_VALUE"""),170.0)</f>
        <v>170</v>
      </c>
      <c r="Q206" s="275">
        <f>IFERROR(__xludf.DUMMYFUNCTION("""COMPUTED_VALUE"""),180.0)</f>
        <v>180</v>
      </c>
      <c r="R206" s="280">
        <f>IFERROR(__xludf.DUMMYFUNCTION("""COMPUTED_VALUE"""),185.0)</f>
        <v>185</v>
      </c>
      <c r="S206" s="275">
        <f>IFERROR(__xludf.DUMMYFUNCTION("""COMPUTED_VALUE"""),195.0)</f>
        <v>195</v>
      </c>
      <c r="T206" s="280">
        <f>IFERROR(__xludf.DUMMYFUNCTION("""COMPUTED_VALUE"""),200.0)</f>
        <v>200</v>
      </c>
      <c r="U206" s="280">
        <f>IFERROR(__xludf.DUMMYFUNCTION("""COMPUTED_VALUE"""),215.0)</f>
        <v>215</v>
      </c>
      <c r="V206" s="280">
        <f>IFERROR(__xludf.DUMMYFUNCTION("""COMPUTED_VALUE"""),285.0)</f>
        <v>285</v>
      </c>
      <c r="W206" s="280">
        <f>IFERROR(__xludf.DUMMYFUNCTION("""COMPUTED_VALUE"""),305.0)</f>
        <v>305</v>
      </c>
      <c r="X206" s="385" t="str">
        <f>IFERROR(__xludf.DUMMYFUNCTION("""COMPUTED_VALUE"""),"安定型")</f>
        <v>安定型</v>
      </c>
      <c r="Y206" s="386">
        <f>IFERROR(__xludf.DUMMYFUNCTION("""COMPUTED_VALUE"""),4.0)</f>
        <v>4</v>
      </c>
      <c r="Z206" s="387" t="str">
        <f>IFERROR(__xludf.DUMMYFUNCTION("""COMPUTED_VALUE"""),"効果時間")</f>
        <v>効果時間</v>
      </c>
      <c r="AA206" s="280">
        <f>IFERROR(__xludf.DUMMYFUNCTION("""COMPUTED_VALUE"""),320.0)</f>
        <v>320</v>
      </c>
      <c r="AB206" s="275">
        <f>IFERROR(__xludf.DUMMYFUNCTION("""COMPUTED_VALUE"""),330.0)</f>
        <v>330</v>
      </c>
      <c r="AC206" s="280">
        <f>IFERROR(__xludf.DUMMYFUNCTION("""COMPUTED_VALUE"""),335.0)</f>
        <v>335</v>
      </c>
      <c r="AD206" s="275">
        <f>IFERROR(__xludf.DUMMYFUNCTION("""COMPUTED_VALUE"""),345.0)</f>
        <v>345</v>
      </c>
      <c r="AE206" s="280">
        <f>IFERROR(__xludf.DUMMYFUNCTION("""COMPUTED_VALUE"""),350.0)</f>
        <v>350</v>
      </c>
      <c r="AF206" s="280">
        <f>IFERROR(__xludf.DUMMYFUNCTION("""COMPUTED_VALUE"""),390.0)</f>
        <v>390</v>
      </c>
      <c r="AG206" s="280">
        <f>IFERROR(__xludf.DUMMYFUNCTION("""COMPUTED_VALUE"""),435.0)</f>
        <v>435</v>
      </c>
      <c r="AH206" s="280">
        <f>IFERROR(__xludf.DUMMYFUNCTION("""COMPUTED_VALUE"""),455.0)</f>
        <v>455</v>
      </c>
      <c r="AI206" s="385" t="str">
        <f>IFERROR(__xludf.DUMMYFUNCTION("""COMPUTED_VALUE"""),"持続型")</f>
        <v>持続型</v>
      </c>
      <c r="AJ206" s="386">
        <f>IFERROR(__xludf.DUMMYFUNCTION("""COMPUTED_VALUE"""),4.0)</f>
        <v>4</v>
      </c>
      <c r="AK206" s="387" t="str">
        <f>IFERROR(__xludf.DUMMYFUNCTION("""COMPUTED_VALUE"""),"効果時間")</f>
        <v>効果時間</v>
      </c>
      <c r="AL206" s="280">
        <f>IFERROR(__xludf.DUMMYFUNCTION("""COMPUTED_VALUE"""),470.0)</f>
        <v>470</v>
      </c>
      <c r="AM206" s="275">
        <f>IFERROR(__xludf.DUMMYFUNCTION("""COMPUTED_VALUE"""),480.0)</f>
        <v>480</v>
      </c>
      <c r="AN206" s="280">
        <f>IFERROR(__xludf.DUMMYFUNCTION("""COMPUTED_VALUE"""),485.0)</f>
        <v>485</v>
      </c>
      <c r="AO206" s="275">
        <f>IFERROR(__xludf.DUMMYFUNCTION("""COMPUTED_VALUE"""),495.0)</f>
        <v>495</v>
      </c>
      <c r="AP206" s="280">
        <f>IFERROR(__xludf.DUMMYFUNCTION("""COMPUTED_VALUE"""),500.0)</f>
        <v>500</v>
      </c>
      <c r="AQ206" s="280">
        <f>IFERROR(__xludf.DUMMYFUNCTION("""COMPUTED_VALUE"""),540.0)</f>
        <v>540</v>
      </c>
      <c r="AR206" s="280">
        <f>IFERROR(__xludf.DUMMYFUNCTION("""COMPUTED_VALUE"""),585.0)</f>
        <v>585</v>
      </c>
      <c r="AS206" s="280">
        <f>IFERROR(__xludf.DUMMYFUNCTION("""COMPUTED_VALUE"""),605.0)</f>
        <v>605</v>
      </c>
      <c r="AT206" s="385" t="str">
        <f>IFERROR(__xludf.DUMMYFUNCTION("""COMPUTED_VALUE"""),"超持続型")</f>
        <v>超持続型</v>
      </c>
      <c r="AU206" s="386">
        <f>IFERROR(__xludf.DUMMYFUNCTION("""COMPUTED_VALUE"""),4.0)</f>
        <v>4</v>
      </c>
      <c r="AV206" s="387" t="str">
        <f>IFERROR(__xludf.DUMMYFUNCTION("""COMPUTED_VALUE"""),"効果時間")</f>
        <v>効果時間</v>
      </c>
      <c r="AW206" s="368" t="str">
        <f>IFERROR(__xludf.DUMMYFUNCTION("""COMPUTED_VALUE"""),"-")</f>
        <v>-</v>
      </c>
      <c r="AX206" s="368" t="str">
        <f>IFERROR(__xludf.DUMMYFUNCTION("""COMPUTED_VALUE"""),"-")</f>
        <v>-</v>
      </c>
      <c r="AY206" s="368" t="str">
        <f>IFERROR(__xludf.DUMMYFUNCTION("""COMPUTED_VALUE"""),"-")</f>
        <v>-</v>
      </c>
      <c r="AZ206" s="368" t="str">
        <f>IFERROR(__xludf.DUMMYFUNCTION("""COMPUTED_VALUE"""),"-")</f>
        <v>-</v>
      </c>
      <c r="BA206" s="368" t="str">
        <f>IFERROR(__xludf.DUMMYFUNCTION("""COMPUTED_VALUE"""),"-")</f>
        <v>-</v>
      </c>
      <c r="BB206" s="280">
        <f>IFERROR(__xludf.DUMMYFUNCTION("""COMPUTED_VALUE"""),645.0)</f>
        <v>645</v>
      </c>
      <c r="BC206" s="280">
        <f>IFERROR(__xludf.DUMMYFUNCTION("""COMPUTED_VALUE"""),735.0)</f>
        <v>735</v>
      </c>
      <c r="BD206" s="280">
        <f>IFERROR(__xludf.DUMMYFUNCTION("""COMPUTED_VALUE"""),755.0)</f>
        <v>755</v>
      </c>
      <c r="BE206" s="385" t="str">
        <f>IFERROR(__xludf.DUMMYFUNCTION("""COMPUTED_VALUE"""),"ハイブリッド型")</f>
        <v>ハイブリッド型</v>
      </c>
      <c r="BF206" s="386">
        <f>IFERROR(__xludf.DUMMYFUNCTION("""COMPUTED_VALUE"""),4.0)</f>
        <v>4</v>
      </c>
      <c r="BG206" s="387" t="str">
        <f>IFERROR(__xludf.DUMMYFUNCTION("""COMPUTED_VALUE"""),"効果時間")</f>
        <v>効果時間</v>
      </c>
      <c r="BH206" s="417">
        <f>IFERROR(__xludf.DUMMYFUNCTION("""COMPUTED_VALUE"""),240.0)</f>
        <v>240</v>
      </c>
      <c r="BI206" s="417">
        <f>IFERROR(__xludf.DUMMYFUNCTION("""COMPUTED_VALUE"""),255.0)</f>
        <v>255</v>
      </c>
      <c r="BJ206" s="417">
        <f>IFERROR(__xludf.DUMMYFUNCTION("""COMPUTED_VALUE"""),265.0)</f>
        <v>265</v>
      </c>
      <c r="BK206" s="418">
        <f>IFERROR(__xludf.DUMMYFUNCTION("""COMPUTED_VALUE"""),275.0)</f>
        <v>275</v>
      </c>
      <c r="BL206" s="417">
        <f>IFERROR(__xludf.DUMMYFUNCTION("""COMPUTED_VALUE"""),285.0)</f>
        <v>285</v>
      </c>
      <c r="BM206" s="418">
        <f>IFERROR(__xludf.DUMMYFUNCTION("""COMPUTED_VALUE"""),395.0)</f>
        <v>395</v>
      </c>
      <c r="BN206" s="417">
        <f>IFERROR(__xludf.DUMMYFUNCTION("""COMPUTED_VALUE"""),500.0)</f>
        <v>500</v>
      </c>
      <c r="BO206" s="418">
        <f>IFERROR(__xludf.DUMMYFUNCTION("""COMPUTED_VALUE"""),520.0)</f>
        <v>520</v>
      </c>
    </row>
    <row r="207">
      <c r="A207" s="435" t="str">
        <f>IFERROR(__xludf.DUMMYFUNCTION("""COMPUTED_VALUE"""),"ダメージカット(サポート)")</f>
        <v>ダメージカット(サポート)</v>
      </c>
      <c r="B207" s="385" t="str">
        <f>IFERROR(__xludf.DUMMYFUNCTION("""COMPUTED_VALUE"""),"超瞬間型")</f>
        <v>超瞬間型</v>
      </c>
      <c r="C207" s="399">
        <f>IFERROR(__xludf.DUMMYFUNCTION("""COMPUTED_VALUE"""),5.0)</f>
        <v>5</v>
      </c>
      <c r="D207" s="400" t="str">
        <f>IFERROR(__xludf.DUMMYFUNCTION("""COMPUTED_VALUE"""),"効果値")</f>
        <v>効果値</v>
      </c>
      <c r="E207" s="419" t="str">
        <f>IFERROR(__xludf.DUMMYFUNCTION("""COMPUTED_VALUE"""),"-")</f>
        <v>-</v>
      </c>
      <c r="F207" s="409" t="str">
        <f>IFERROR(__xludf.DUMMYFUNCTION("""COMPUTED_VALUE"""),"-")</f>
        <v>-</v>
      </c>
      <c r="G207" s="409" t="str">
        <f>IFERROR(__xludf.DUMMYFUNCTION("""COMPUTED_VALUE"""),"-")</f>
        <v>-</v>
      </c>
      <c r="H207" s="409" t="str">
        <f>IFERROR(__xludf.DUMMYFUNCTION("""COMPUTED_VALUE"""),"-")</f>
        <v>-</v>
      </c>
      <c r="I207" s="409" t="str">
        <f>IFERROR(__xludf.DUMMYFUNCTION("""COMPUTED_VALUE"""),"-")</f>
        <v>-</v>
      </c>
      <c r="J207" s="420">
        <f>IFERROR(__xludf.DUMMYFUNCTION("""COMPUTED_VALUE"""),60.0)</f>
        <v>60</v>
      </c>
      <c r="K207" s="421">
        <f>IFERROR(__xludf.DUMMYFUNCTION("""COMPUTED_VALUE"""),70.0)</f>
        <v>70</v>
      </c>
      <c r="L207" s="421">
        <f>IFERROR(__xludf.DUMMYFUNCTION("""COMPUTED_VALUE"""),75.0)</f>
        <v>75</v>
      </c>
      <c r="M207" s="385" t="str">
        <f>IFERROR(__xludf.DUMMYFUNCTION("""COMPUTED_VALUE"""),"瞬間型")</f>
        <v>瞬間型</v>
      </c>
      <c r="N207" s="399">
        <f>IFERROR(__xludf.DUMMYFUNCTION("""COMPUTED_VALUE"""),5.0)</f>
        <v>5</v>
      </c>
      <c r="O207" s="400" t="str">
        <f>IFERROR(__xludf.DUMMYFUNCTION("""COMPUTED_VALUE"""),"効果値")</f>
        <v>効果値</v>
      </c>
      <c r="P207" s="422">
        <f>IFERROR(__xludf.DUMMYFUNCTION("""COMPUTED_VALUE"""),23.0)</f>
        <v>23</v>
      </c>
      <c r="Q207" s="423">
        <f>IFERROR(__xludf.DUMMYFUNCTION("""COMPUTED_VALUE"""),23.0)</f>
        <v>23</v>
      </c>
      <c r="R207" s="422">
        <f>IFERROR(__xludf.DUMMYFUNCTION("""COMPUTED_VALUE"""),24.0)</f>
        <v>24</v>
      </c>
      <c r="S207" s="423">
        <f>IFERROR(__xludf.DUMMYFUNCTION("""COMPUTED_VALUE"""),24.0)</f>
        <v>24</v>
      </c>
      <c r="T207" s="422">
        <f>IFERROR(__xludf.DUMMYFUNCTION("""COMPUTED_VALUE"""),24.0)</f>
        <v>24</v>
      </c>
      <c r="U207" s="423">
        <f>IFERROR(__xludf.DUMMYFUNCTION("""COMPUTED_VALUE"""),30.0)</f>
        <v>30</v>
      </c>
      <c r="V207" s="423">
        <f>IFERROR(__xludf.DUMMYFUNCTION("""COMPUTED_VALUE"""),35.0)</f>
        <v>35</v>
      </c>
      <c r="W207" s="424">
        <f>IFERROR(__xludf.DUMMYFUNCTION("""COMPUTED_VALUE"""),40.0)</f>
        <v>40</v>
      </c>
      <c r="X207" s="385" t="str">
        <f>IFERROR(__xludf.DUMMYFUNCTION("""COMPUTED_VALUE"""),"安定型")</f>
        <v>安定型</v>
      </c>
      <c r="Y207" s="399">
        <f>IFERROR(__xludf.DUMMYFUNCTION("""COMPUTED_VALUE"""),5.0)</f>
        <v>5</v>
      </c>
      <c r="Z207" s="400" t="str">
        <f>IFERROR(__xludf.DUMMYFUNCTION("""COMPUTED_VALUE"""),"効果値")</f>
        <v>効果値</v>
      </c>
      <c r="AA207" s="422">
        <f>IFERROR(__xludf.DUMMYFUNCTION("""COMPUTED_VALUE"""),13.0)</f>
        <v>13</v>
      </c>
      <c r="AB207" s="423">
        <f>IFERROR(__xludf.DUMMYFUNCTION("""COMPUTED_VALUE"""),13.0)</f>
        <v>13</v>
      </c>
      <c r="AC207" s="422">
        <f>IFERROR(__xludf.DUMMYFUNCTION("""COMPUTED_VALUE"""),14.0)</f>
        <v>14</v>
      </c>
      <c r="AD207" s="423">
        <f>IFERROR(__xludf.DUMMYFUNCTION("""COMPUTED_VALUE"""),14.0)</f>
        <v>14</v>
      </c>
      <c r="AE207" s="422">
        <f>IFERROR(__xludf.DUMMYFUNCTION("""COMPUTED_VALUE"""),14.0)</f>
        <v>14</v>
      </c>
      <c r="AF207" s="423">
        <f>IFERROR(__xludf.DUMMYFUNCTION("""COMPUTED_VALUE"""),15.0)</f>
        <v>15</v>
      </c>
      <c r="AG207" s="423">
        <f>IFERROR(__xludf.DUMMYFUNCTION("""COMPUTED_VALUE"""),20.0)</f>
        <v>20</v>
      </c>
      <c r="AH207" s="424">
        <f>IFERROR(__xludf.DUMMYFUNCTION("""COMPUTED_VALUE"""),25.0)</f>
        <v>25</v>
      </c>
      <c r="AI207" s="385" t="str">
        <f>IFERROR(__xludf.DUMMYFUNCTION("""COMPUTED_VALUE"""),"持続型")</f>
        <v>持続型</v>
      </c>
      <c r="AJ207" s="399">
        <f>IFERROR(__xludf.DUMMYFUNCTION("""COMPUTED_VALUE"""),5.0)</f>
        <v>5</v>
      </c>
      <c r="AK207" s="400" t="str">
        <f>IFERROR(__xludf.DUMMYFUNCTION("""COMPUTED_VALUE"""),"効果値")</f>
        <v>効果値</v>
      </c>
      <c r="AL207" s="422">
        <f>IFERROR(__xludf.DUMMYFUNCTION("""COMPUTED_VALUE"""),8.0)</f>
        <v>8</v>
      </c>
      <c r="AM207" s="423">
        <f>IFERROR(__xludf.DUMMYFUNCTION("""COMPUTED_VALUE"""),8.0)</f>
        <v>8</v>
      </c>
      <c r="AN207" s="422">
        <f>IFERROR(__xludf.DUMMYFUNCTION("""COMPUTED_VALUE"""),9.0)</f>
        <v>9</v>
      </c>
      <c r="AO207" s="423">
        <f>IFERROR(__xludf.DUMMYFUNCTION("""COMPUTED_VALUE"""),9.0)</f>
        <v>9</v>
      </c>
      <c r="AP207" s="422">
        <f>IFERROR(__xludf.DUMMYFUNCTION("""COMPUTED_VALUE"""),9.0)</f>
        <v>9</v>
      </c>
      <c r="AQ207" s="423">
        <f>IFERROR(__xludf.DUMMYFUNCTION("""COMPUTED_VALUE"""),10.0)</f>
        <v>10</v>
      </c>
      <c r="AR207" s="423">
        <f>IFERROR(__xludf.DUMMYFUNCTION("""COMPUTED_VALUE"""),12.0)</f>
        <v>12</v>
      </c>
      <c r="AS207" s="424">
        <f>IFERROR(__xludf.DUMMYFUNCTION("""COMPUTED_VALUE"""),12.0)</f>
        <v>12</v>
      </c>
      <c r="AT207" s="385" t="str">
        <f>IFERROR(__xludf.DUMMYFUNCTION("""COMPUTED_VALUE"""),"超持続型")</f>
        <v>超持続型</v>
      </c>
      <c r="AU207" s="399">
        <f>IFERROR(__xludf.DUMMYFUNCTION("""COMPUTED_VALUE"""),5.0)</f>
        <v>5</v>
      </c>
      <c r="AV207" s="400" t="str">
        <f>IFERROR(__xludf.DUMMYFUNCTION("""COMPUTED_VALUE"""),"効果値")</f>
        <v>効果値</v>
      </c>
      <c r="AW207" s="425" t="str">
        <f>IFERROR(__xludf.DUMMYFUNCTION("""COMPUTED_VALUE"""),"-")</f>
        <v>-</v>
      </c>
      <c r="AX207" s="426" t="str">
        <f>IFERROR(__xludf.DUMMYFUNCTION("""COMPUTED_VALUE"""),"-")</f>
        <v>-</v>
      </c>
      <c r="AY207" s="426" t="str">
        <f>IFERROR(__xludf.DUMMYFUNCTION("""COMPUTED_VALUE"""),"-")</f>
        <v>-</v>
      </c>
      <c r="AZ207" s="426" t="str">
        <f>IFERROR(__xludf.DUMMYFUNCTION("""COMPUTED_VALUE"""),"-")</f>
        <v>-</v>
      </c>
      <c r="BA207" s="426" t="str">
        <f>IFERROR(__xludf.DUMMYFUNCTION("""COMPUTED_VALUE"""),"-")</f>
        <v>-</v>
      </c>
      <c r="BB207" s="423">
        <f>IFERROR(__xludf.DUMMYFUNCTION("""COMPUTED_VALUE"""),10.0)</f>
        <v>10</v>
      </c>
      <c r="BC207" s="423">
        <f>IFERROR(__xludf.DUMMYFUNCTION("""COMPUTED_VALUE"""),12.0)</f>
        <v>12</v>
      </c>
      <c r="BD207" s="424">
        <f>IFERROR(__xludf.DUMMYFUNCTION("""COMPUTED_VALUE"""),12.0)</f>
        <v>12</v>
      </c>
      <c r="BE207" s="385" t="str">
        <f>IFERROR(__xludf.DUMMYFUNCTION("""COMPUTED_VALUE"""),"ハイブリッド型")</f>
        <v>ハイブリッド型</v>
      </c>
      <c r="BF207" s="399">
        <f>IFERROR(__xludf.DUMMYFUNCTION("""COMPUTED_VALUE"""),5.0)</f>
        <v>5</v>
      </c>
      <c r="BG207" s="400" t="str">
        <f>IFERROR(__xludf.DUMMYFUNCTION("""COMPUTED_VALUE"""),"効果値")</f>
        <v>効果値</v>
      </c>
      <c r="BH207" s="427">
        <f>IFERROR(__xludf.DUMMYFUNCTION("""COMPUTED_VALUE"""),12.0)</f>
        <v>12</v>
      </c>
      <c r="BI207" s="428">
        <f>IFERROR(__xludf.DUMMYFUNCTION("""COMPUTED_VALUE"""),12.75)</f>
        <v>12.75</v>
      </c>
      <c r="BJ207" s="428">
        <f>IFERROR(__xludf.DUMMYFUNCTION("""COMPUTED_VALUE"""),13.5)</f>
        <v>13.5</v>
      </c>
      <c r="BK207" s="428">
        <f>IFERROR(__xludf.DUMMYFUNCTION("""COMPUTED_VALUE"""),14.25)</f>
        <v>14.25</v>
      </c>
      <c r="BL207" s="427">
        <f>IFERROR(__xludf.DUMMYFUNCTION("""COMPUTED_VALUE"""),15.0)</f>
        <v>15</v>
      </c>
      <c r="BM207" s="427">
        <f>IFERROR(__xludf.DUMMYFUNCTION("""COMPUTED_VALUE"""),20.0)</f>
        <v>20</v>
      </c>
      <c r="BN207" s="427">
        <f>IFERROR(__xludf.DUMMYFUNCTION("""COMPUTED_VALUE"""),25.0)</f>
        <v>25</v>
      </c>
      <c r="BO207" s="429">
        <f>IFERROR(__xludf.DUMMYFUNCTION("""COMPUTED_VALUE"""),30.0)</f>
        <v>30</v>
      </c>
    </row>
    <row r="208">
      <c r="A208" s="435" t="str">
        <f>IFERROR(__xludf.DUMMYFUNCTION("""COMPUTED_VALUE"""),"ダメージカット(サポート)")</f>
        <v>ダメージカット(サポート)</v>
      </c>
      <c r="B208" s="385" t="str">
        <f>IFERROR(__xludf.DUMMYFUNCTION("""COMPUTED_VALUE"""),"超瞬間型")</f>
        <v>超瞬間型</v>
      </c>
      <c r="C208" s="430">
        <f>IFERROR(__xludf.DUMMYFUNCTION("""COMPUTED_VALUE"""),5.0)</f>
        <v>5</v>
      </c>
      <c r="D208" s="431" t="str">
        <f>IFERROR(__xludf.DUMMYFUNCTION("""COMPUTED_VALUE"""),"効果時間")</f>
        <v>効果時間</v>
      </c>
      <c r="E208" s="388" t="str">
        <f>IFERROR(__xludf.DUMMYFUNCTION("""COMPUTED_VALUE"""),"-")</f>
        <v>-</v>
      </c>
      <c r="F208" s="389" t="str">
        <f>IFERROR(__xludf.DUMMYFUNCTION("""COMPUTED_VALUE"""),"-")</f>
        <v>-</v>
      </c>
      <c r="G208" s="388" t="str">
        <f>IFERROR(__xludf.DUMMYFUNCTION("""COMPUTED_VALUE"""),"-")</f>
        <v>-</v>
      </c>
      <c r="H208" s="389" t="str">
        <f>IFERROR(__xludf.DUMMYFUNCTION("""COMPUTED_VALUE"""),"-")</f>
        <v>-</v>
      </c>
      <c r="I208" s="388" t="str">
        <f>IFERROR(__xludf.DUMMYFUNCTION("""COMPUTED_VALUE"""),"-")</f>
        <v>-</v>
      </c>
      <c r="J208" s="390">
        <f>IFERROR(__xludf.DUMMYFUNCTION("""COMPUTED_VALUE"""),160.0)</f>
        <v>160</v>
      </c>
      <c r="K208" s="391">
        <f>IFERROR(__xludf.DUMMYFUNCTION("""COMPUTED_VALUE"""),175.0)</f>
        <v>175</v>
      </c>
      <c r="L208" s="340">
        <f>IFERROR(__xludf.DUMMYFUNCTION("""COMPUTED_VALUE"""),200.0)</f>
        <v>200</v>
      </c>
      <c r="M208" s="385" t="str">
        <f>IFERROR(__xludf.DUMMYFUNCTION("""COMPUTED_VALUE"""),"瞬間型")</f>
        <v>瞬間型</v>
      </c>
      <c r="N208" s="430">
        <f>IFERROR(__xludf.DUMMYFUNCTION("""COMPUTED_VALUE"""),5.0)</f>
        <v>5</v>
      </c>
      <c r="O208" s="431" t="str">
        <f>IFERROR(__xludf.DUMMYFUNCTION("""COMPUTED_VALUE"""),"効果時間")</f>
        <v>効果時間</v>
      </c>
      <c r="P208" s="392">
        <f>IFERROR(__xludf.DUMMYFUNCTION("""COMPUTED_VALUE"""),175.0)</f>
        <v>175</v>
      </c>
      <c r="Q208" s="414">
        <f>IFERROR(__xludf.DUMMYFUNCTION("""COMPUTED_VALUE"""),185.0)</f>
        <v>185</v>
      </c>
      <c r="R208" s="414">
        <f>IFERROR(__xludf.DUMMYFUNCTION("""COMPUTED_VALUE"""),190.0)</f>
        <v>190</v>
      </c>
      <c r="S208" s="414">
        <f>IFERROR(__xludf.DUMMYFUNCTION("""COMPUTED_VALUE"""),195.0)</f>
        <v>195</v>
      </c>
      <c r="T208" s="394">
        <f>IFERROR(__xludf.DUMMYFUNCTION("""COMPUTED_VALUE"""),200.0)</f>
        <v>200</v>
      </c>
      <c r="U208" s="394">
        <f>IFERROR(__xludf.DUMMYFUNCTION("""COMPUTED_VALUE"""),225.0)</f>
        <v>225</v>
      </c>
      <c r="V208" s="394">
        <f>IFERROR(__xludf.DUMMYFUNCTION("""COMPUTED_VALUE"""),300.0)</f>
        <v>300</v>
      </c>
      <c r="W208" s="394">
        <f>IFERROR(__xludf.DUMMYFUNCTION("""COMPUTED_VALUE"""),325.0)</f>
        <v>325</v>
      </c>
      <c r="X208" s="385" t="str">
        <f>IFERROR(__xludf.DUMMYFUNCTION("""COMPUTED_VALUE"""),"安定型")</f>
        <v>安定型</v>
      </c>
      <c r="Y208" s="430">
        <f>IFERROR(__xludf.DUMMYFUNCTION("""COMPUTED_VALUE"""),5.0)</f>
        <v>5</v>
      </c>
      <c r="Z208" s="431" t="str">
        <f>IFERROR(__xludf.DUMMYFUNCTION("""COMPUTED_VALUE"""),"効果時間")</f>
        <v>効果時間</v>
      </c>
      <c r="AA208" s="392">
        <f>IFERROR(__xludf.DUMMYFUNCTION("""COMPUTED_VALUE"""),325.0)</f>
        <v>325</v>
      </c>
      <c r="AB208" s="414">
        <f>IFERROR(__xludf.DUMMYFUNCTION("""COMPUTED_VALUE"""),335.0)</f>
        <v>335</v>
      </c>
      <c r="AC208" s="414">
        <f>IFERROR(__xludf.DUMMYFUNCTION("""COMPUTED_VALUE"""),340.0)</f>
        <v>340</v>
      </c>
      <c r="AD208" s="414">
        <f>IFERROR(__xludf.DUMMYFUNCTION("""COMPUTED_VALUE"""),345.0)</f>
        <v>345</v>
      </c>
      <c r="AE208" s="394">
        <f>IFERROR(__xludf.DUMMYFUNCTION("""COMPUTED_VALUE"""),350.0)</f>
        <v>350</v>
      </c>
      <c r="AF208" s="394">
        <f>IFERROR(__xludf.DUMMYFUNCTION("""COMPUTED_VALUE"""),400.0)</f>
        <v>400</v>
      </c>
      <c r="AG208" s="394">
        <f>IFERROR(__xludf.DUMMYFUNCTION("""COMPUTED_VALUE"""),450.0)</f>
        <v>450</v>
      </c>
      <c r="AH208" s="394">
        <f>IFERROR(__xludf.DUMMYFUNCTION("""COMPUTED_VALUE"""),475.0)</f>
        <v>475</v>
      </c>
      <c r="AI208" s="385" t="str">
        <f>IFERROR(__xludf.DUMMYFUNCTION("""COMPUTED_VALUE"""),"持続型")</f>
        <v>持続型</v>
      </c>
      <c r="AJ208" s="430">
        <f>IFERROR(__xludf.DUMMYFUNCTION("""COMPUTED_VALUE"""),5.0)</f>
        <v>5</v>
      </c>
      <c r="AK208" s="431" t="str">
        <f>IFERROR(__xludf.DUMMYFUNCTION("""COMPUTED_VALUE"""),"効果時間")</f>
        <v>効果時間</v>
      </c>
      <c r="AL208" s="392">
        <f>IFERROR(__xludf.DUMMYFUNCTION("""COMPUTED_VALUE"""),475.0)</f>
        <v>475</v>
      </c>
      <c r="AM208" s="414">
        <f>IFERROR(__xludf.DUMMYFUNCTION("""COMPUTED_VALUE"""),485.0)</f>
        <v>485</v>
      </c>
      <c r="AN208" s="414">
        <f>IFERROR(__xludf.DUMMYFUNCTION("""COMPUTED_VALUE"""),490.0)</f>
        <v>490</v>
      </c>
      <c r="AO208" s="414">
        <f>IFERROR(__xludf.DUMMYFUNCTION("""COMPUTED_VALUE"""),495.0)</f>
        <v>495</v>
      </c>
      <c r="AP208" s="394">
        <f>IFERROR(__xludf.DUMMYFUNCTION("""COMPUTED_VALUE"""),500.0)</f>
        <v>500</v>
      </c>
      <c r="AQ208" s="394">
        <f>IFERROR(__xludf.DUMMYFUNCTION("""COMPUTED_VALUE"""),550.0)</f>
        <v>550</v>
      </c>
      <c r="AR208" s="394">
        <f>IFERROR(__xludf.DUMMYFUNCTION("""COMPUTED_VALUE"""),600.0)</f>
        <v>600</v>
      </c>
      <c r="AS208" s="394">
        <f>IFERROR(__xludf.DUMMYFUNCTION("""COMPUTED_VALUE"""),625.0)</f>
        <v>625</v>
      </c>
      <c r="AT208" s="385" t="str">
        <f>IFERROR(__xludf.DUMMYFUNCTION("""COMPUTED_VALUE"""),"超持続型")</f>
        <v>超持続型</v>
      </c>
      <c r="AU208" s="430">
        <f>IFERROR(__xludf.DUMMYFUNCTION("""COMPUTED_VALUE"""),5.0)</f>
        <v>5</v>
      </c>
      <c r="AV208" s="431" t="str">
        <f>IFERROR(__xludf.DUMMYFUNCTION("""COMPUTED_VALUE"""),"効果時間")</f>
        <v>効果時間</v>
      </c>
      <c r="AW208" s="395" t="str">
        <f>IFERROR(__xludf.DUMMYFUNCTION("""COMPUTED_VALUE"""),"-")</f>
        <v>-</v>
      </c>
      <c r="AX208" s="396" t="str">
        <f>IFERROR(__xludf.DUMMYFUNCTION("""COMPUTED_VALUE"""),"-")</f>
        <v>-</v>
      </c>
      <c r="AY208" s="396" t="str">
        <f>IFERROR(__xludf.DUMMYFUNCTION("""COMPUTED_VALUE"""),"-")</f>
        <v>-</v>
      </c>
      <c r="AZ208" s="396" t="str">
        <f>IFERROR(__xludf.DUMMYFUNCTION("""COMPUTED_VALUE"""),"-")</f>
        <v>-</v>
      </c>
      <c r="BA208" s="396" t="str">
        <f>IFERROR(__xludf.DUMMYFUNCTION("""COMPUTED_VALUE"""),"-")</f>
        <v>-</v>
      </c>
      <c r="BB208" s="393">
        <f>IFERROR(__xludf.DUMMYFUNCTION("""COMPUTED_VALUE"""),650.0)</f>
        <v>650</v>
      </c>
      <c r="BC208" s="393">
        <f>IFERROR(__xludf.DUMMYFUNCTION("""COMPUTED_VALUE"""),750.0)</f>
        <v>750</v>
      </c>
      <c r="BD208" s="394">
        <f>IFERROR(__xludf.DUMMYFUNCTION("""COMPUTED_VALUE"""),775.0)</f>
        <v>775</v>
      </c>
      <c r="BE208" s="385" t="str">
        <f>IFERROR(__xludf.DUMMYFUNCTION("""COMPUTED_VALUE"""),"ハイブリッド型")</f>
        <v>ハイブリッド型</v>
      </c>
      <c r="BF208" s="430">
        <f>IFERROR(__xludf.DUMMYFUNCTION("""COMPUTED_VALUE"""),5.0)</f>
        <v>5</v>
      </c>
      <c r="BG208" s="431" t="str">
        <f>IFERROR(__xludf.DUMMYFUNCTION("""COMPUTED_VALUE"""),"効果時間")</f>
        <v>効果時間</v>
      </c>
      <c r="BH208" s="304">
        <f>IFERROR(__xludf.DUMMYFUNCTION("""COMPUTED_VALUE"""),250.0)</f>
        <v>250</v>
      </c>
      <c r="BI208" s="432">
        <f>IFERROR(__xludf.DUMMYFUNCTION("""COMPUTED_VALUE"""),265.0)</f>
        <v>265</v>
      </c>
      <c r="BJ208" s="432">
        <f>IFERROR(__xludf.DUMMYFUNCTION("""COMPUTED_VALUE"""),275.0)</f>
        <v>275</v>
      </c>
      <c r="BK208" s="432">
        <f>IFERROR(__xludf.DUMMYFUNCTION("""COMPUTED_VALUE"""),290.0)</f>
        <v>290</v>
      </c>
      <c r="BL208" s="304">
        <f>IFERROR(__xludf.DUMMYFUNCTION("""COMPUTED_VALUE"""),300.0)</f>
        <v>300</v>
      </c>
      <c r="BM208" s="304">
        <f>IFERROR(__xludf.DUMMYFUNCTION("""COMPUTED_VALUE"""),400.0)</f>
        <v>400</v>
      </c>
      <c r="BN208" s="304">
        <f>IFERROR(__xludf.DUMMYFUNCTION("""COMPUTED_VALUE"""),500.0)</f>
        <v>500</v>
      </c>
      <c r="BO208" s="304">
        <f>IFERROR(__xludf.DUMMYFUNCTION("""COMPUTED_VALUE"""),525.0)</f>
        <v>525</v>
      </c>
    </row>
    <row r="209">
      <c r="A209" s="306" t="str">
        <f>IFERROR(__xludf.DUMMYFUNCTION("""COMPUTED_VALUE"""),"攻撃力UP")</f>
        <v>攻撃力UP</v>
      </c>
      <c r="B209" s="374" t="str">
        <f>IFERROR(__xludf.DUMMYFUNCTION("""COMPUTED_VALUE"""),"超瞬間型")</f>
        <v>超瞬間型</v>
      </c>
      <c r="C209" s="375">
        <f>IFERROR(__xludf.DUMMYFUNCTION("""COMPUTED_VALUE"""),1.0)</f>
        <v>1</v>
      </c>
      <c r="D209" s="376" t="str">
        <f>IFERROR(__xludf.DUMMYFUNCTION("""COMPUTED_VALUE"""),"効果値")</f>
        <v>効果値</v>
      </c>
      <c r="E209" s="377" t="str">
        <f>IFERROR(__xludf.DUMMYFUNCTION("""COMPUTED_VALUE"""),"-")</f>
        <v>-</v>
      </c>
      <c r="F209" s="378" t="str">
        <f>IFERROR(__xludf.DUMMYFUNCTION("""COMPUTED_VALUE"""),"-")</f>
        <v>-</v>
      </c>
      <c r="G209" s="377" t="str">
        <f>IFERROR(__xludf.DUMMYFUNCTION("""COMPUTED_VALUE"""),"-")</f>
        <v>-</v>
      </c>
      <c r="H209" s="378" t="str">
        <f>IFERROR(__xludf.DUMMYFUNCTION("""COMPUTED_VALUE"""),"-")</f>
        <v>-</v>
      </c>
      <c r="I209" s="377" t="str">
        <f>IFERROR(__xludf.DUMMYFUNCTION("""COMPUTED_VALUE"""),"-")</f>
        <v>-</v>
      </c>
      <c r="J209" s="379">
        <f>IFERROR(__xludf.DUMMYFUNCTION("""COMPUTED_VALUE"""),55.0)</f>
        <v>55</v>
      </c>
      <c r="K209" s="294">
        <f>IFERROR(__xludf.DUMMYFUNCTION("""COMPUTED_VALUE"""),65.0)</f>
        <v>65</v>
      </c>
      <c r="L209" s="294">
        <f>IFERROR(__xludf.DUMMYFUNCTION("""COMPUTED_VALUE"""),65.0)</f>
        <v>65</v>
      </c>
      <c r="M209" s="374" t="str">
        <f>IFERROR(__xludf.DUMMYFUNCTION("""COMPUTED_VALUE"""),"瞬間型")</f>
        <v>瞬間型</v>
      </c>
      <c r="N209" s="375">
        <f>IFERROR(__xludf.DUMMYFUNCTION("""COMPUTED_VALUE"""),1.0)</f>
        <v>1</v>
      </c>
      <c r="O209" s="376" t="str">
        <f>IFERROR(__xludf.DUMMYFUNCTION("""COMPUTED_VALUE"""),"効果値")</f>
        <v>効果値</v>
      </c>
      <c r="P209" s="380">
        <f>IFERROR(__xludf.DUMMYFUNCTION("""COMPUTED_VALUE"""),20.0)</f>
        <v>20</v>
      </c>
      <c r="Q209" s="263">
        <f>IFERROR(__xludf.DUMMYFUNCTION("""COMPUTED_VALUE"""),20.0)</f>
        <v>20</v>
      </c>
      <c r="R209" s="263">
        <f>IFERROR(__xludf.DUMMYFUNCTION("""COMPUTED_VALUE"""),20.0)</f>
        <v>20</v>
      </c>
      <c r="S209" s="263">
        <f>IFERROR(__xludf.DUMMYFUNCTION("""COMPUTED_VALUE"""),20.0)</f>
        <v>20</v>
      </c>
      <c r="T209" s="263">
        <f>IFERROR(__xludf.DUMMYFUNCTION("""COMPUTED_VALUE"""),20.0)</f>
        <v>20</v>
      </c>
      <c r="U209" s="263">
        <f>IFERROR(__xludf.DUMMYFUNCTION("""COMPUTED_VALUE"""),25.0)</f>
        <v>25</v>
      </c>
      <c r="V209" s="266">
        <f>IFERROR(__xludf.DUMMYFUNCTION("""COMPUTED_VALUE"""),30.0)</f>
        <v>30</v>
      </c>
      <c r="W209" s="266">
        <f>IFERROR(__xludf.DUMMYFUNCTION("""COMPUTED_VALUE"""),30.0)</f>
        <v>30</v>
      </c>
      <c r="X209" s="374" t="str">
        <f>IFERROR(__xludf.DUMMYFUNCTION("""COMPUTED_VALUE"""),"安定型")</f>
        <v>安定型</v>
      </c>
      <c r="Y209" s="375">
        <f>IFERROR(__xludf.DUMMYFUNCTION("""COMPUTED_VALUE"""),1.0)</f>
        <v>1</v>
      </c>
      <c r="Z209" s="376" t="str">
        <f>IFERROR(__xludf.DUMMYFUNCTION("""COMPUTED_VALUE"""),"効果値")</f>
        <v>効果値</v>
      </c>
      <c r="AA209" s="380">
        <f>IFERROR(__xludf.DUMMYFUNCTION("""COMPUTED_VALUE"""),10.0)</f>
        <v>10</v>
      </c>
      <c r="AB209" s="263">
        <f>IFERROR(__xludf.DUMMYFUNCTION("""COMPUTED_VALUE"""),10.0)</f>
        <v>10</v>
      </c>
      <c r="AC209" s="263">
        <f>IFERROR(__xludf.DUMMYFUNCTION("""COMPUTED_VALUE"""),10.0)</f>
        <v>10</v>
      </c>
      <c r="AD209" s="263">
        <f>IFERROR(__xludf.DUMMYFUNCTION("""COMPUTED_VALUE"""),10.0)</f>
        <v>10</v>
      </c>
      <c r="AE209" s="263">
        <f>IFERROR(__xludf.DUMMYFUNCTION("""COMPUTED_VALUE"""),10.0)</f>
        <v>10</v>
      </c>
      <c r="AF209" s="263">
        <f>IFERROR(__xludf.DUMMYFUNCTION("""COMPUTED_VALUE"""),10.0)</f>
        <v>10</v>
      </c>
      <c r="AG209" s="266">
        <f>IFERROR(__xludf.DUMMYFUNCTION("""COMPUTED_VALUE"""),15.0)</f>
        <v>15</v>
      </c>
      <c r="AH209" s="266">
        <f>IFERROR(__xludf.DUMMYFUNCTION("""COMPUTED_VALUE"""),15.0)</f>
        <v>15</v>
      </c>
      <c r="AI209" s="374" t="str">
        <f>IFERROR(__xludf.DUMMYFUNCTION("""COMPUTED_VALUE"""),"持続型")</f>
        <v>持続型</v>
      </c>
      <c r="AJ209" s="375">
        <f>IFERROR(__xludf.DUMMYFUNCTION("""COMPUTED_VALUE"""),1.0)</f>
        <v>1</v>
      </c>
      <c r="AK209" s="376" t="str">
        <f>IFERROR(__xludf.DUMMYFUNCTION("""COMPUTED_VALUE"""),"効果値")</f>
        <v>効果値</v>
      </c>
      <c r="AL209" s="380">
        <f>IFERROR(__xludf.DUMMYFUNCTION("""COMPUTED_VALUE"""),5.0)</f>
        <v>5</v>
      </c>
      <c r="AM209" s="263">
        <f>IFERROR(__xludf.DUMMYFUNCTION("""COMPUTED_VALUE"""),5.0)</f>
        <v>5</v>
      </c>
      <c r="AN209" s="263">
        <f>IFERROR(__xludf.DUMMYFUNCTION("""COMPUTED_VALUE"""),5.0)</f>
        <v>5</v>
      </c>
      <c r="AO209" s="263">
        <f>IFERROR(__xludf.DUMMYFUNCTION("""COMPUTED_VALUE"""),5.0)</f>
        <v>5</v>
      </c>
      <c r="AP209" s="263">
        <f>IFERROR(__xludf.DUMMYFUNCTION("""COMPUTED_VALUE"""),5.0)</f>
        <v>5</v>
      </c>
      <c r="AQ209" s="263">
        <f>IFERROR(__xludf.DUMMYFUNCTION("""COMPUTED_VALUE"""),5.0)</f>
        <v>5</v>
      </c>
      <c r="AR209" s="266">
        <f>IFERROR(__xludf.DUMMYFUNCTION("""COMPUTED_VALUE"""),10.0)</f>
        <v>10</v>
      </c>
      <c r="AS209" s="266">
        <f>IFERROR(__xludf.DUMMYFUNCTION("""COMPUTED_VALUE"""),10.0)</f>
        <v>10</v>
      </c>
      <c r="AT209" s="374" t="str">
        <f>IFERROR(__xludf.DUMMYFUNCTION("""COMPUTED_VALUE"""),"超持続型")</f>
        <v>超持続型</v>
      </c>
      <c r="AU209" s="375">
        <f>IFERROR(__xludf.DUMMYFUNCTION("""COMPUTED_VALUE"""),1.0)</f>
        <v>1</v>
      </c>
      <c r="AV209" s="376" t="str">
        <f>IFERROR(__xludf.DUMMYFUNCTION("""COMPUTED_VALUE"""),"効果値")</f>
        <v>効果値</v>
      </c>
      <c r="AW209" s="350" t="str">
        <f>IFERROR(__xludf.DUMMYFUNCTION("""COMPUTED_VALUE"""),"-")</f>
        <v>-</v>
      </c>
      <c r="AX209" s="348" t="str">
        <f>IFERROR(__xludf.DUMMYFUNCTION("""COMPUTED_VALUE"""),"-")</f>
        <v>-</v>
      </c>
      <c r="AY209" s="348" t="str">
        <f>IFERROR(__xludf.DUMMYFUNCTION("""COMPUTED_VALUE"""),"-")</f>
        <v>-</v>
      </c>
      <c r="AZ209" s="348" t="str">
        <f>IFERROR(__xludf.DUMMYFUNCTION("""COMPUTED_VALUE"""),"-")</f>
        <v>-</v>
      </c>
      <c r="BA209" s="348" t="str">
        <f>IFERROR(__xludf.DUMMYFUNCTION("""COMPUTED_VALUE"""),"-")</f>
        <v>-</v>
      </c>
      <c r="BB209" s="263">
        <f>IFERROR(__xludf.DUMMYFUNCTION("""COMPUTED_VALUE"""),5.0)</f>
        <v>5</v>
      </c>
      <c r="BC209" s="266">
        <f>IFERROR(__xludf.DUMMYFUNCTION("""COMPUTED_VALUE"""),10.0)</f>
        <v>10</v>
      </c>
      <c r="BD209" s="266">
        <f>IFERROR(__xludf.DUMMYFUNCTION("""COMPUTED_VALUE"""),10.0)</f>
        <v>10</v>
      </c>
      <c r="BE209" s="374" t="str">
        <f>IFERROR(__xludf.DUMMYFUNCTION("""COMPUTED_VALUE"""),"ハイブリッド型")</f>
        <v>ハイブリッド型</v>
      </c>
      <c r="BF209" s="375">
        <f>IFERROR(__xludf.DUMMYFUNCTION("""COMPUTED_VALUE"""),1.0)</f>
        <v>1</v>
      </c>
      <c r="BG209" s="376" t="str">
        <f>IFERROR(__xludf.DUMMYFUNCTION("""COMPUTED_VALUE"""),"効果値")</f>
        <v>効果値</v>
      </c>
      <c r="BH209" s="381">
        <f>IFERROR(__xludf.DUMMYFUNCTION("""COMPUTED_VALUE"""),10.0)</f>
        <v>10</v>
      </c>
      <c r="BI209" s="382">
        <f>IFERROR(__xludf.DUMMYFUNCTION("""COMPUTED_VALUE"""),10.0)</f>
        <v>10</v>
      </c>
      <c r="BJ209" s="382">
        <f>IFERROR(__xludf.DUMMYFUNCTION("""COMPUTED_VALUE"""),10.0)</f>
        <v>10</v>
      </c>
      <c r="BK209" s="382">
        <f>IFERROR(__xludf.DUMMYFUNCTION("""COMPUTED_VALUE"""),10.0)</f>
        <v>10</v>
      </c>
      <c r="BL209" s="382">
        <f>IFERROR(__xludf.DUMMYFUNCTION("""COMPUTED_VALUE"""),10.0)</f>
        <v>10</v>
      </c>
      <c r="BM209" s="382">
        <f>IFERROR(__xludf.DUMMYFUNCTION("""COMPUTED_VALUE"""),15.0)</f>
        <v>15</v>
      </c>
      <c r="BN209" s="382">
        <f>IFERROR(__xludf.DUMMYFUNCTION("""COMPUTED_VALUE"""),20.0)</f>
        <v>20</v>
      </c>
      <c r="BO209" s="383">
        <f>IFERROR(__xludf.DUMMYFUNCTION("""COMPUTED_VALUE"""),20.0)</f>
        <v>20</v>
      </c>
    </row>
    <row r="210">
      <c r="A210" s="384" t="str">
        <f>IFERROR(__xludf.DUMMYFUNCTION("""COMPUTED_VALUE"""),"攻撃力UP")</f>
        <v>攻撃力UP</v>
      </c>
      <c r="B210" s="385" t="str">
        <f>IFERROR(__xludf.DUMMYFUNCTION("""COMPUTED_VALUE"""),"超瞬間型")</f>
        <v>超瞬間型</v>
      </c>
      <c r="C210" s="386">
        <f>IFERROR(__xludf.DUMMYFUNCTION("""COMPUTED_VALUE"""),1.0)</f>
        <v>1</v>
      </c>
      <c r="D210" s="387" t="str">
        <f>IFERROR(__xludf.DUMMYFUNCTION("""COMPUTED_VALUE"""),"効果時間")</f>
        <v>効果時間</v>
      </c>
      <c r="E210" s="388" t="str">
        <f>IFERROR(__xludf.DUMMYFUNCTION("""COMPUTED_VALUE"""),"-")</f>
        <v>-</v>
      </c>
      <c r="F210" s="389" t="str">
        <f>IFERROR(__xludf.DUMMYFUNCTION("""COMPUTED_VALUE"""),"-")</f>
        <v>-</v>
      </c>
      <c r="G210" s="388" t="str">
        <f>IFERROR(__xludf.DUMMYFUNCTION("""COMPUTED_VALUE"""),"-")</f>
        <v>-</v>
      </c>
      <c r="H210" s="389" t="str">
        <f>IFERROR(__xludf.DUMMYFUNCTION("""COMPUTED_VALUE"""),"-")</f>
        <v>-</v>
      </c>
      <c r="I210" s="388" t="str">
        <f>IFERROR(__xludf.DUMMYFUNCTION("""COMPUTED_VALUE"""),"-")</f>
        <v>-</v>
      </c>
      <c r="J210" s="390">
        <f>IFERROR(__xludf.DUMMYFUNCTION("""COMPUTED_VALUE"""),150.0)</f>
        <v>150</v>
      </c>
      <c r="K210" s="391">
        <f>IFERROR(__xludf.DUMMYFUNCTION("""COMPUTED_VALUE"""),160.0)</f>
        <v>160</v>
      </c>
      <c r="L210" s="340">
        <f>IFERROR(__xludf.DUMMYFUNCTION("""COMPUTED_VALUE"""),160.0)</f>
        <v>160</v>
      </c>
      <c r="M210" s="385" t="str">
        <f>IFERROR(__xludf.DUMMYFUNCTION("""COMPUTED_VALUE"""),"瞬間型")</f>
        <v>瞬間型</v>
      </c>
      <c r="N210" s="386">
        <f>IFERROR(__xludf.DUMMYFUNCTION("""COMPUTED_VALUE"""),1.0)</f>
        <v>1</v>
      </c>
      <c r="O210" s="387" t="str">
        <f>IFERROR(__xludf.DUMMYFUNCTION("""COMPUTED_VALUE"""),"効果時間")</f>
        <v>効果時間</v>
      </c>
      <c r="P210" s="392">
        <f>IFERROR(__xludf.DUMMYFUNCTION("""COMPUTED_VALUE"""),150.0)</f>
        <v>150</v>
      </c>
      <c r="Q210" s="393">
        <f>IFERROR(__xludf.DUMMYFUNCTION("""COMPUTED_VALUE"""),150.0)</f>
        <v>150</v>
      </c>
      <c r="R210" s="393">
        <f>IFERROR(__xludf.DUMMYFUNCTION("""COMPUTED_VALUE"""),150.0)</f>
        <v>150</v>
      </c>
      <c r="S210" s="393">
        <f>IFERROR(__xludf.DUMMYFUNCTION("""COMPUTED_VALUE"""),150.0)</f>
        <v>150</v>
      </c>
      <c r="T210" s="393">
        <f>IFERROR(__xludf.DUMMYFUNCTION("""COMPUTED_VALUE"""),150.0)</f>
        <v>150</v>
      </c>
      <c r="U210" s="393">
        <f>IFERROR(__xludf.DUMMYFUNCTION("""COMPUTED_VALUE"""),150.0)</f>
        <v>150</v>
      </c>
      <c r="V210" s="393">
        <f>IFERROR(__xludf.DUMMYFUNCTION("""COMPUTED_VALUE"""),160.0)</f>
        <v>160</v>
      </c>
      <c r="W210" s="394">
        <f>IFERROR(__xludf.DUMMYFUNCTION("""COMPUTED_VALUE"""),160.0)</f>
        <v>160</v>
      </c>
      <c r="X210" s="385" t="str">
        <f>IFERROR(__xludf.DUMMYFUNCTION("""COMPUTED_VALUE"""),"安定型")</f>
        <v>安定型</v>
      </c>
      <c r="Y210" s="386">
        <f>IFERROR(__xludf.DUMMYFUNCTION("""COMPUTED_VALUE"""),1.0)</f>
        <v>1</v>
      </c>
      <c r="Z210" s="387" t="str">
        <f>IFERROR(__xludf.DUMMYFUNCTION("""COMPUTED_VALUE"""),"効果時間")</f>
        <v>効果時間</v>
      </c>
      <c r="AA210" s="392">
        <f>IFERROR(__xludf.DUMMYFUNCTION("""COMPUTED_VALUE"""),300.0)</f>
        <v>300</v>
      </c>
      <c r="AB210" s="393">
        <f>IFERROR(__xludf.DUMMYFUNCTION("""COMPUTED_VALUE"""),300.0)</f>
        <v>300</v>
      </c>
      <c r="AC210" s="393">
        <f>IFERROR(__xludf.DUMMYFUNCTION("""COMPUTED_VALUE"""),300.0)</f>
        <v>300</v>
      </c>
      <c r="AD210" s="393">
        <f>IFERROR(__xludf.DUMMYFUNCTION("""COMPUTED_VALUE"""),300.0)</f>
        <v>300</v>
      </c>
      <c r="AE210" s="393">
        <f>IFERROR(__xludf.DUMMYFUNCTION("""COMPUTED_VALUE"""),300.0)</f>
        <v>300</v>
      </c>
      <c r="AF210" s="393">
        <f>IFERROR(__xludf.DUMMYFUNCTION("""COMPUTED_VALUE"""),300.0)</f>
        <v>300</v>
      </c>
      <c r="AG210" s="393">
        <f>IFERROR(__xludf.DUMMYFUNCTION("""COMPUTED_VALUE"""),310.0)</f>
        <v>310</v>
      </c>
      <c r="AH210" s="394">
        <f>IFERROR(__xludf.DUMMYFUNCTION("""COMPUTED_VALUE"""),310.0)</f>
        <v>310</v>
      </c>
      <c r="AI210" s="385" t="str">
        <f>IFERROR(__xludf.DUMMYFUNCTION("""COMPUTED_VALUE"""),"持続型")</f>
        <v>持続型</v>
      </c>
      <c r="AJ210" s="386">
        <f>IFERROR(__xludf.DUMMYFUNCTION("""COMPUTED_VALUE"""),1.0)</f>
        <v>1</v>
      </c>
      <c r="AK210" s="387" t="str">
        <f>IFERROR(__xludf.DUMMYFUNCTION("""COMPUTED_VALUE"""),"効果時間")</f>
        <v>効果時間</v>
      </c>
      <c r="AL210" s="392">
        <f>IFERROR(__xludf.DUMMYFUNCTION("""COMPUTED_VALUE"""),450.0)</f>
        <v>450</v>
      </c>
      <c r="AM210" s="393">
        <f>IFERROR(__xludf.DUMMYFUNCTION("""COMPUTED_VALUE"""),450.0)</f>
        <v>450</v>
      </c>
      <c r="AN210" s="393">
        <f>IFERROR(__xludf.DUMMYFUNCTION("""COMPUTED_VALUE"""),450.0)</f>
        <v>450</v>
      </c>
      <c r="AO210" s="393">
        <f>IFERROR(__xludf.DUMMYFUNCTION("""COMPUTED_VALUE"""),450.0)</f>
        <v>450</v>
      </c>
      <c r="AP210" s="393">
        <f>IFERROR(__xludf.DUMMYFUNCTION("""COMPUTED_VALUE"""),450.0)</f>
        <v>450</v>
      </c>
      <c r="AQ210" s="393">
        <f>IFERROR(__xludf.DUMMYFUNCTION("""COMPUTED_VALUE"""),450.0)</f>
        <v>450</v>
      </c>
      <c r="AR210" s="393">
        <f>IFERROR(__xludf.DUMMYFUNCTION("""COMPUTED_VALUE"""),460.0)</f>
        <v>460</v>
      </c>
      <c r="AS210" s="394">
        <f>IFERROR(__xludf.DUMMYFUNCTION("""COMPUTED_VALUE"""),460.0)</f>
        <v>460</v>
      </c>
      <c r="AT210" s="385" t="str">
        <f>IFERROR(__xludf.DUMMYFUNCTION("""COMPUTED_VALUE"""),"超持続型")</f>
        <v>超持続型</v>
      </c>
      <c r="AU210" s="386">
        <f>IFERROR(__xludf.DUMMYFUNCTION("""COMPUTED_VALUE"""),1.0)</f>
        <v>1</v>
      </c>
      <c r="AV210" s="387" t="str">
        <f>IFERROR(__xludf.DUMMYFUNCTION("""COMPUTED_VALUE"""),"効果時間")</f>
        <v>効果時間</v>
      </c>
      <c r="AW210" s="395" t="str">
        <f>IFERROR(__xludf.DUMMYFUNCTION("""COMPUTED_VALUE"""),"-")</f>
        <v>-</v>
      </c>
      <c r="AX210" s="396" t="str">
        <f>IFERROR(__xludf.DUMMYFUNCTION("""COMPUTED_VALUE"""),"-")</f>
        <v>-</v>
      </c>
      <c r="AY210" s="396" t="str">
        <f>IFERROR(__xludf.DUMMYFUNCTION("""COMPUTED_VALUE"""),"-")</f>
        <v>-</v>
      </c>
      <c r="AZ210" s="396" t="str">
        <f>IFERROR(__xludf.DUMMYFUNCTION("""COMPUTED_VALUE"""),"-")</f>
        <v>-</v>
      </c>
      <c r="BA210" s="396" t="str">
        <f>IFERROR(__xludf.DUMMYFUNCTION("""COMPUTED_VALUE"""),"-")</f>
        <v>-</v>
      </c>
      <c r="BB210" s="393">
        <f>IFERROR(__xludf.DUMMYFUNCTION("""COMPUTED_VALUE"""),600.0)</f>
        <v>600</v>
      </c>
      <c r="BC210" s="393">
        <f>IFERROR(__xludf.DUMMYFUNCTION("""COMPUTED_VALUE"""),610.0)</f>
        <v>610</v>
      </c>
      <c r="BD210" s="394">
        <f>IFERROR(__xludf.DUMMYFUNCTION("""COMPUTED_VALUE"""),610.0)</f>
        <v>610</v>
      </c>
      <c r="BE210" s="385" t="str">
        <f>IFERROR(__xludf.DUMMYFUNCTION("""COMPUTED_VALUE"""),"ハイブリッド型")</f>
        <v>ハイブリッド型</v>
      </c>
      <c r="BF210" s="386">
        <f>IFERROR(__xludf.DUMMYFUNCTION("""COMPUTED_VALUE"""),1.0)</f>
        <v>1</v>
      </c>
      <c r="BG210" s="387" t="str">
        <f>IFERROR(__xludf.DUMMYFUNCTION("""COMPUTED_VALUE"""),"効果時間")</f>
        <v>効果時間</v>
      </c>
      <c r="BH210" s="397">
        <f>IFERROR(__xludf.DUMMYFUNCTION("""COMPUTED_VALUE"""),150.0)</f>
        <v>150</v>
      </c>
      <c r="BI210" s="397">
        <f>IFERROR(__xludf.DUMMYFUNCTION("""COMPUTED_VALUE"""),150.0)</f>
        <v>150</v>
      </c>
      <c r="BJ210" s="397">
        <f>IFERROR(__xludf.DUMMYFUNCTION("""COMPUTED_VALUE"""),150.0)</f>
        <v>150</v>
      </c>
      <c r="BK210" s="398">
        <f>IFERROR(__xludf.DUMMYFUNCTION("""COMPUTED_VALUE"""),150.0)</f>
        <v>150</v>
      </c>
      <c r="BL210" s="397">
        <f>IFERROR(__xludf.DUMMYFUNCTION("""COMPUTED_VALUE"""),150.0)</f>
        <v>150</v>
      </c>
      <c r="BM210" s="398">
        <f>IFERROR(__xludf.DUMMYFUNCTION("""COMPUTED_VALUE"""),350.0)</f>
        <v>350</v>
      </c>
      <c r="BN210" s="397">
        <f>IFERROR(__xludf.DUMMYFUNCTION("""COMPUTED_VALUE"""),460.0)</f>
        <v>460</v>
      </c>
      <c r="BO210" s="398">
        <f>IFERROR(__xludf.DUMMYFUNCTION("""COMPUTED_VALUE"""),460.0)</f>
        <v>460</v>
      </c>
    </row>
    <row r="211">
      <c r="A211" s="307" t="str">
        <f>IFERROR(__xludf.DUMMYFUNCTION("""COMPUTED_VALUE"""),"攻撃力UP")</f>
        <v>攻撃力UP</v>
      </c>
      <c r="B211" s="385" t="str">
        <f>IFERROR(__xludf.DUMMYFUNCTION("""COMPUTED_VALUE"""),"超瞬間型")</f>
        <v>超瞬間型</v>
      </c>
      <c r="C211" s="399">
        <f>IFERROR(__xludf.DUMMYFUNCTION("""COMPUTED_VALUE"""),2.0)</f>
        <v>2</v>
      </c>
      <c r="D211" s="400" t="str">
        <f>IFERROR(__xludf.DUMMYFUNCTION("""COMPUTED_VALUE"""),"効果値")</f>
        <v>効果値</v>
      </c>
      <c r="E211" s="401" t="str">
        <f>IFERROR(__xludf.DUMMYFUNCTION("""COMPUTED_VALUE"""),"-")</f>
        <v>-</v>
      </c>
      <c r="F211" s="401" t="str">
        <f>IFERROR(__xludf.DUMMYFUNCTION("""COMPUTED_VALUE"""),"-")</f>
        <v>-</v>
      </c>
      <c r="G211" s="401" t="str">
        <f>IFERROR(__xludf.DUMMYFUNCTION("""COMPUTED_VALUE"""),"-")</f>
        <v>-</v>
      </c>
      <c r="H211" s="401" t="str">
        <f>IFERROR(__xludf.DUMMYFUNCTION("""COMPUTED_VALUE"""),"-")</f>
        <v>-</v>
      </c>
      <c r="I211" s="401" t="str">
        <f>IFERROR(__xludf.DUMMYFUNCTION("""COMPUTED_VALUE"""),"-")</f>
        <v>-</v>
      </c>
      <c r="J211" s="318">
        <f>IFERROR(__xludf.DUMMYFUNCTION("""COMPUTED_VALUE"""),57.0)</f>
        <v>57</v>
      </c>
      <c r="K211" s="318">
        <f>IFERROR(__xludf.DUMMYFUNCTION("""COMPUTED_VALUE"""),67.0)</f>
        <v>67</v>
      </c>
      <c r="L211" s="318">
        <f>IFERROR(__xludf.DUMMYFUNCTION("""COMPUTED_VALUE"""),69.0)</f>
        <v>69</v>
      </c>
      <c r="M211" s="385" t="str">
        <f>IFERROR(__xludf.DUMMYFUNCTION("""COMPUTED_VALUE"""),"瞬間型")</f>
        <v>瞬間型</v>
      </c>
      <c r="N211" s="399">
        <f>IFERROR(__xludf.DUMMYFUNCTION("""COMPUTED_VALUE"""),2.0)</f>
        <v>2</v>
      </c>
      <c r="O211" s="400" t="str">
        <f>IFERROR(__xludf.DUMMYFUNCTION("""COMPUTED_VALUE"""),"効果値")</f>
        <v>効果値</v>
      </c>
      <c r="P211" s="343">
        <f>IFERROR(__xludf.DUMMYFUNCTION("""COMPUTED_VALUE"""),21.0)</f>
        <v>21</v>
      </c>
      <c r="Q211" s="402">
        <f>IFERROR(__xludf.DUMMYFUNCTION("""COMPUTED_VALUE"""),21.0)</f>
        <v>21</v>
      </c>
      <c r="R211" s="343">
        <f>IFERROR(__xludf.DUMMYFUNCTION("""COMPUTED_VALUE"""),22.0)</f>
        <v>22</v>
      </c>
      <c r="S211" s="402">
        <f>IFERROR(__xludf.DUMMYFUNCTION("""COMPUTED_VALUE"""),22.0)</f>
        <v>22</v>
      </c>
      <c r="T211" s="343">
        <f>IFERROR(__xludf.DUMMYFUNCTION("""COMPUTED_VALUE"""),22.0)</f>
        <v>22</v>
      </c>
      <c r="U211" s="343">
        <f>IFERROR(__xludf.DUMMYFUNCTION("""COMPUTED_VALUE"""),27.0)</f>
        <v>27</v>
      </c>
      <c r="V211" s="343">
        <f>IFERROR(__xludf.DUMMYFUNCTION("""COMPUTED_VALUE"""),32.0)</f>
        <v>32</v>
      </c>
      <c r="W211" s="343">
        <f>IFERROR(__xludf.DUMMYFUNCTION("""COMPUTED_VALUE"""),34.0)</f>
        <v>34</v>
      </c>
      <c r="X211" s="385" t="str">
        <f>IFERROR(__xludf.DUMMYFUNCTION("""COMPUTED_VALUE"""),"安定型")</f>
        <v>安定型</v>
      </c>
      <c r="Y211" s="399">
        <f>IFERROR(__xludf.DUMMYFUNCTION("""COMPUTED_VALUE"""),2.0)</f>
        <v>2</v>
      </c>
      <c r="Z211" s="400" t="str">
        <f>IFERROR(__xludf.DUMMYFUNCTION("""COMPUTED_VALUE"""),"効果値")</f>
        <v>効果値</v>
      </c>
      <c r="AA211" s="343">
        <f>IFERROR(__xludf.DUMMYFUNCTION("""COMPUTED_VALUE"""),11.0)</f>
        <v>11</v>
      </c>
      <c r="AB211" s="402">
        <f>IFERROR(__xludf.DUMMYFUNCTION("""COMPUTED_VALUE"""),11.0)</f>
        <v>11</v>
      </c>
      <c r="AC211" s="343">
        <f>IFERROR(__xludf.DUMMYFUNCTION("""COMPUTED_VALUE"""),12.0)</f>
        <v>12</v>
      </c>
      <c r="AD211" s="402">
        <f>IFERROR(__xludf.DUMMYFUNCTION("""COMPUTED_VALUE"""),12.0)</f>
        <v>12</v>
      </c>
      <c r="AE211" s="343">
        <f>IFERROR(__xludf.DUMMYFUNCTION("""COMPUTED_VALUE"""),12.0)</f>
        <v>12</v>
      </c>
      <c r="AF211" s="343">
        <f>IFERROR(__xludf.DUMMYFUNCTION("""COMPUTED_VALUE"""),12.0)</f>
        <v>12</v>
      </c>
      <c r="AG211" s="343">
        <f>IFERROR(__xludf.DUMMYFUNCTION("""COMPUTED_VALUE"""),17.0)</f>
        <v>17</v>
      </c>
      <c r="AH211" s="343">
        <f>IFERROR(__xludf.DUMMYFUNCTION("""COMPUTED_VALUE"""),19.0)</f>
        <v>19</v>
      </c>
      <c r="AI211" s="385" t="str">
        <f>IFERROR(__xludf.DUMMYFUNCTION("""COMPUTED_VALUE"""),"持続型")</f>
        <v>持続型</v>
      </c>
      <c r="AJ211" s="399">
        <f>IFERROR(__xludf.DUMMYFUNCTION("""COMPUTED_VALUE"""),2.0)</f>
        <v>2</v>
      </c>
      <c r="AK211" s="400" t="str">
        <f>IFERROR(__xludf.DUMMYFUNCTION("""COMPUTED_VALUE"""),"効果値")</f>
        <v>効果値</v>
      </c>
      <c r="AL211" s="343">
        <f>IFERROR(__xludf.DUMMYFUNCTION("""COMPUTED_VALUE"""),6.0)</f>
        <v>6</v>
      </c>
      <c r="AM211" s="402">
        <f>IFERROR(__xludf.DUMMYFUNCTION("""COMPUTED_VALUE"""),6.0)</f>
        <v>6</v>
      </c>
      <c r="AN211" s="343">
        <f>IFERROR(__xludf.DUMMYFUNCTION("""COMPUTED_VALUE"""),7.0)</f>
        <v>7</v>
      </c>
      <c r="AO211" s="402">
        <f>IFERROR(__xludf.DUMMYFUNCTION("""COMPUTED_VALUE"""),7.0)</f>
        <v>7</v>
      </c>
      <c r="AP211" s="343">
        <f>IFERROR(__xludf.DUMMYFUNCTION("""COMPUTED_VALUE"""),7.0)</f>
        <v>7</v>
      </c>
      <c r="AQ211" s="343">
        <f>IFERROR(__xludf.DUMMYFUNCTION("""COMPUTED_VALUE"""),7.0)</f>
        <v>7</v>
      </c>
      <c r="AR211" s="343">
        <f>IFERROR(__xludf.DUMMYFUNCTION("""COMPUTED_VALUE"""),11.0)</f>
        <v>11</v>
      </c>
      <c r="AS211" s="343">
        <f>IFERROR(__xludf.DUMMYFUNCTION("""COMPUTED_VALUE"""),11.0)</f>
        <v>11</v>
      </c>
      <c r="AT211" s="385" t="str">
        <f>IFERROR(__xludf.DUMMYFUNCTION("""COMPUTED_VALUE"""),"超持続型")</f>
        <v>超持続型</v>
      </c>
      <c r="AU211" s="399">
        <f>IFERROR(__xludf.DUMMYFUNCTION("""COMPUTED_VALUE"""),2.0)</f>
        <v>2</v>
      </c>
      <c r="AV211" s="400" t="str">
        <f>IFERROR(__xludf.DUMMYFUNCTION("""COMPUTED_VALUE"""),"効果値")</f>
        <v>効果値</v>
      </c>
      <c r="AW211" s="403" t="str">
        <f>IFERROR(__xludf.DUMMYFUNCTION("""COMPUTED_VALUE"""),"-")</f>
        <v>-</v>
      </c>
      <c r="AX211" s="403" t="str">
        <f>IFERROR(__xludf.DUMMYFUNCTION("""COMPUTED_VALUE"""),"-")</f>
        <v>-</v>
      </c>
      <c r="AY211" s="403" t="str">
        <f>IFERROR(__xludf.DUMMYFUNCTION("""COMPUTED_VALUE"""),"-")</f>
        <v>-</v>
      </c>
      <c r="AZ211" s="403" t="str">
        <f>IFERROR(__xludf.DUMMYFUNCTION("""COMPUTED_VALUE"""),"-")</f>
        <v>-</v>
      </c>
      <c r="BA211" s="403" t="str">
        <f>IFERROR(__xludf.DUMMYFUNCTION("""COMPUTED_VALUE"""),"-")</f>
        <v>-</v>
      </c>
      <c r="BB211" s="343">
        <f>IFERROR(__xludf.DUMMYFUNCTION("""COMPUTED_VALUE"""),7.0)</f>
        <v>7</v>
      </c>
      <c r="BC211" s="343">
        <f>IFERROR(__xludf.DUMMYFUNCTION("""COMPUTED_VALUE"""),11.0)</f>
        <v>11</v>
      </c>
      <c r="BD211" s="343">
        <f>IFERROR(__xludf.DUMMYFUNCTION("""COMPUTED_VALUE"""),11.0)</f>
        <v>11</v>
      </c>
      <c r="BE211" s="385" t="str">
        <f>IFERROR(__xludf.DUMMYFUNCTION("""COMPUTED_VALUE"""),"ハイブリッド型")</f>
        <v>ハイブリッド型</v>
      </c>
      <c r="BF211" s="399">
        <f>IFERROR(__xludf.DUMMYFUNCTION("""COMPUTED_VALUE"""),2.0)</f>
        <v>2</v>
      </c>
      <c r="BG211" s="400" t="str">
        <f>IFERROR(__xludf.DUMMYFUNCTION("""COMPUTED_VALUE"""),"効果値")</f>
        <v>効果値</v>
      </c>
      <c r="BH211" s="404">
        <f>IFERROR(__xludf.DUMMYFUNCTION("""COMPUTED_VALUE"""),10.8)</f>
        <v>10.8</v>
      </c>
      <c r="BI211" s="405">
        <f>IFERROR(__xludf.DUMMYFUNCTION("""COMPUTED_VALUE"""),11.2)</f>
        <v>11.2</v>
      </c>
      <c r="BJ211" s="405">
        <f>IFERROR(__xludf.DUMMYFUNCTION("""COMPUTED_VALUE"""),11.5)</f>
        <v>11.5</v>
      </c>
      <c r="BK211" s="405">
        <f>IFERROR(__xludf.DUMMYFUNCTION("""COMPUTED_VALUE"""),11.8)</f>
        <v>11.8</v>
      </c>
      <c r="BL211" s="405">
        <f>IFERROR(__xludf.DUMMYFUNCTION("""COMPUTED_VALUE"""),12.1)</f>
        <v>12.1</v>
      </c>
      <c r="BM211" s="405">
        <f>IFERROR(__xludf.DUMMYFUNCTION("""COMPUTED_VALUE"""),17.1)</f>
        <v>17.1</v>
      </c>
      <c r="BN211" s="405">
        <f>IFERROR(__xludf.DUMMYFUNCTION("""COMPUTED_VALUE"""),22.0)</f>
        <v>22</v>
      </c>
      <c r="BO211" s="406">
        <f>IFERROR(__xludf.DUMMYFUNCTION("""COMPUTED_VALUE"""),24.0)</f>
        <v>24</v>
      </c>
    </row>
    <row r="212">
      <c r="A212" s="307" t="str">
        <f>IFERROR(__xludf.DUMMYFUNCTION("""COMPUTED_VALUE"""),"攻撃力UP")</f>
        <v>攻撃力UP</v>
      </c>
      <c r="B212" s="385" t="str">
        <f>IFERROR(__xludf.DUMMYFUNCTION("""COMPUTED_VALUE"""),"超瞬間型")</f>
        <v>超瞬間型</v>
      </c>
      <c r="C212" s="386">
        <f>IFERROR(__xludf.DUMMYFUNCTION("""COMPUTED_VALUE"""),2.0)</f>
        <v>2</v>
      </c>
      <c r="D212" s="387" t="str">
        <f>IFERROR(__xludf.DUMMYFUNCTION("""COMPUTED_VALUE"""),"効果時間")</f>
        <v>効果時間</v>
      </c>
      <c r="E212" s="388" t="str">
        <f>IFERROR(__xludf.DUMMYFUNCTION("""COMPUTED_VALUE"""),"-")</f>
        <v>-</v>
      </c>
      <c r="F212" s="389" t="str">
        <f>IFERROR(__xludf.DUMMYFUNCTION("""COMPUTED_VALUE"""),"-")</f>
        <v>-</v>
      </c>
      <c r="G212" s="388" t="str">
        <f>IFERROR(__xludf.DUMMYFUNCTION("""COMPUTED_VALUE"""),"-")</f>
        <v>-</v>
      </c>
      <c r="H212" s="389" t="str">
        <f>IFERROR(__xludf.DUMMYFUNCTION("""COMPUTED_VALUE"""),"-")</f>
        <v>-</v>
      </c>
      <c r="I212" s="388" t="str">
        <f>IFERROR(__xludf.DUMMYFUNCTION("""COMPUTED_VALUE"""),"-")</f>
        <v>-</v>
      </c>
      <c r="J212" s="390">
        <f>IFERROR(__xludf.DUMMYFUNCTION("""COMPUTED_VALUE"""),150.0)</f>
        <v>150</v>
      </c>
      <c r="K212" s="391">
        <f>IFERROR(__xludf.DUMMYFUNCTION("""COMPUTED_VALUE"""),160.0)</f>
        <v>160</v>
      </c>
      <c r="L212" s="340">
        <f>IFERROR(__xludf.DUMMYFUNCTION("""COMPUTED_VALUE"""),170.0)</f>
        <v>170</v>
      </c>
      <c r="M212" s="385" t="str">
        <f>IFERROR(__xludf.DUMMYFUNCTION("""COMPUTED_VALUE"""),"瞬間型")</f>
        <v>瞬間型</v>
      </c>
      <c r="N212" s="386">
        <f>IFERROR(__xludf.DUMMYFUNCTION("""COMPUTED_VALUE"""),2.0)</f>
        <v>2</v>
      </c>
      <c r="O212" s="387" t="str">
        <f>IFERROR(__xludf.DUMMYFUNCTION("""COMPUTED_VALUE"""),"効果時間")</f>
        <v>効果時間</v>
      </c>
      <c r="P212" s="392">
        <f>IFERROR(__xludf.DUMMYFUNCTION("""COMPUTED_VALUE"""),160.0)</f>
        <v>160</v>
      </c>
      <c r="Q212" s="275">
        <f>IFERROR(__xludf.DUMMYFUNCTION("""COMPUTED_VALUE"""),165.0)</f>
        <v>165</v>
      </c>
      <c r="R212" s="280">
        <f>IFERROR(__xludf.DUMMYFUNCTION("""COMPUTED_VALUE"""),170.0)</f>
        <v>170</v>
      </c>
      <c r="S212" s="275">
        <f>IFERROR(__xludf.DUMMYFUNCTION("""COMPUTED_VALUE"""),175.0)</f>
        <v>175</v>
      </c>
      <c r="T212" s="280">
        <f>IFERROR(__xludf.DUMMYFUNCTION("""COMPUTED_VALUE"""),180.0)</f>
        <v>180</v>
      </c>
      <c r="U212" s="280">
        <f>IFERROR(__xludf.DUMMYFUNCTION("""COMPUTED_VALUE"""),180.0)</f>
        <v>180</v>
      </c>
      <c r="V212" s="280">
        <f>IFERROR(__xludf.DUMMYFUNCTION("""COMPUTED_VALUE"""),220.0)</f>
        <v>220</v>
      </c>
      <c r="W212" s="280">
        <f>IFERROR(__xludf.DUMMYFUNCTION("""COMPUTED_VALUE"""),230.0)</f>
        <v>230</v>
      </c>
      <c r="X212" s="385" t="str">
        <f>IFERROR(__xludf.DUMMYFUNCTION("""COMPUTED_VALUE"""),"安定型")</f>
        <v>安定型</v>
      </c>
      <c r="Y212" s="386">
        <f>IFERROR(__xludf.DUMMYFUNCTION("""COMPUTED_VALUE"""),2.0)</f>
        <v>2</v>
      </c>
      <c r="Z212" s="387" t="str">
        <f>IFERROR(__xludf.DUMMYFUNCTION("""COMPUTED_VALUE"""),"効果時間")</f>
        <v>効果時間</v>
      </c>
      <c r="AA212" s="392">
        <f>IFERROR(__xludf.DUMMYFUNCTION("""COMPUTED_VALUE"""),310.0)</f>
        <v>310</v>
      </c>
      <c r="AB212" s="275">
        <f>IFERROR(__xludf.DUMMYFUNCTION("""COMPUTED_VALUE"""),315.0)</f>
        <v>315</v>
      </c>
      <c r="AC212" s="280">
        <f>IFERROR(__xludf.DUMMYFUNCTION("""COMPUTED_VALUE"""),320.0)</f>
        <v>320</v>
      </c>
      <c r="AD212" s="275">
        <f>IFERROR(__xludf.DUMMYFUNCTION("""COMPUTED_VALUE"""),325.0)</f>
        <v>325</v>
      </c>
      <c r="AE212" s="280">
        <f>IFERROR(__xludf.DUMMYFUNCTION("""COMPUTED_VALUE"""),330.0)</f>
        <v>330</v>
      </c>
      <c r="AF212" s="280">
        <f>IFERROR(__xludf.DUMMYFUNCTION("""COMPUTED_VALUE"""),345.0)</f>
        <v>345</v>
      </c>
      <c r="AG212" s="280">
        <f>IFERROR(__xludf.DUMMYFUNCTION("""COMPUTED_VALUE"""),370.0)</f>
        <v>370</v>
      </c>
      <c r="AH212" s="280">
        <f>IFERROR(__xludf.DUMMYFUNCTION("""COMPUTED_VALUE"""),380.0)</f>
        <v>380</v>
      </c>
      <c r="AI212" s="385" t="str">
        <f>IFERROR(__xludf.DUMMYFUNCTION("""COMPUTED_VALUE"""),"持続型")</f>
        <v>持続型</v>
      </c>
      <c r="AJ212" s="386">
        <f>IFERROR(__xludf.DUMMYFUNCTION("""COMPUTED_VALUE"""),2.0)</f>
        <v>2</v>
      </c>
      <c r="AK212" s="387" t="str">
        <f>IFERROR(__xludf.DUMMYFUNCTION("""COMPUTED_VALUE"""),"効果時間")</f>
        <v>効果時間</v>
      </c>
      <c r="AL212" s="392">
        <f>IFERROR(__xludf.DUMMYFUNCTION("""COMPUTED_VALUE"""),460.0)</f>
        <v>460</v>
      </c>
      <c r="AM212" s="275">
        <f>IFERROR(__xludf.DUMMYFUNCTION("""COMPUTED_VALUE"""),465.0)</f>
        <v>465</v>
      </c>
      <c r="AN212" s="280">
        <f>IFERROR(__xludf.DUMMYFUNCTION("""COMPUTED_VALUE"""),470.0)</f>
        <v>470</v>
      </c>
      <c r="AO212" s="275">
        <f>IFERROR(__xludf.DUMMYFUNCTION("""COMPUTED_VALUE"""),475.0)</f>
        <v>475</v>
      </c>
      <c r="AP212" s="280">
        <f>IFERROR(__xludf.DUMMYFUNCTION("""COMPUTED_VALUE"""),480.0)</f>
        <v>480</v>
      </c>
      <c r="AQ212" s="280">
        <f>IFERROR(__xludf.DUMMYFUNCTION("""COMPUTED_VALUE"""),495.0)</f>
        <v>495</v>
      </c>
      <c r="AR212" s="280">
        <f>IFERROR(__xludf.DUMMYFUNCTION("""COMPUTED_VALUE"""),520.0)</f>
        <v>520</v>
      </c>
      <c r="AS212" s="280">
        <f>IFERROR(__xludf.DUMMYFUNCTION("""COMPUTED_VALUE"""),530.0)</f>
        <v>530</v>
      </c>
      <c r="AT212" s="385" t="str">
        <f>IFERROR(__xludf.DUMMYFUNCTION("""COMPUTED_VALUE"""),"超持続型")</f>
        <v>超持続型</v>
      </c>
      <c r="AU212" s="386">
        <f>IFERROR(__xludf.DUMMYFUNCTION("""COMPUTED_VALUE"""),2.0)</f>
        <v>2</v>
      </c>
      <c r="AV212" s="387" t="str">
        <f>IFERROR(__xludf.DUMMYFUNCTION("""COMPUTED_VALUE"""),"効果時間")</f>
        <v>効果時間</v>
      </c>
      <c r="AW212" s="368" t="str">
        <f>IFERROR(__xludf.DUMMYFUNCTION("""COMPUTED_VALUE"""),"-")</f>
        <v>-</v>
      </c>
      <c r="AX212" s="368" t="str">
        <f>IFERROR(__xludf.DUMMYFUNCTION("""COMPUTED_VALUE"""),"-")</f>
        <v>-</v>
      </c>
      <c r="AY212" s="368" t="str">
        <f>IFERROR(__xludf.DUMMYFUNCTION("""COMPUTED_VALUE"""),"-")</f>
        <v>-</v>
      </c>
      <c r="AZ212" s="368" t="str">
        <f>IFERROR(__xludf.DUMMYFUNCTION("""COMPUTED_VALUE"""),"-")</f>
        <v>-</v>
      </c>
      <c r="BA212" s="368" t="str">
        <f>IFERROR(__xludf.DUMMYFUNCTION("""COMPUTED_VALUE"""),"-")</f>
        <v>-</v>
      </c>
      <c r="BB212" s="280">
        <f>IFERROR(__xludf.DUMMYFUNCTION("""COMPUTED_VALUE"""),625.0)</f>
        <v>625</v>
      </c>
      <c r="BC212" s="280">
        <f>IFERROR(__xludf.DUMMYFUNCTION("""COMPUTED_VALUE"""),670.0)</f>
        <v>670</v>
      </c>
      <c r="BD212" s="280">
        <f>IFERROR(__xludf.DUMMYFUNCTION("""COMPUTED_VALUE"""),680.0)</f>
        <v>680</v>
      </c>
      <c r="BE212" s="385" t="str">
        <f>IFERROR(__xludf.DUMMYFUNCTION("""COMPUTED_VALUE"""),"ハイブリッド型")</f>
        <v>ハイブリッド型</v>
      </c>
      <c r="BF212" s="386">
        <f>IFERROR(__xludf.DUMMYFUNCTION("""COMPUTED_VALUE"""),2.0)</f>
        <v>2</v>
      </c>
      <c r="BG212" s="387" t="str">
        <f>IFERROR(__xludf.DUMMYFUNCTION("""COMPUTED_VALUE"""),"効果時間")</f>
        <v>効果時間</v>
      </c>
      <c r="BH212" s="407">
        <f>IFERROR(__xludf.DUMMYFUNCTION("""COMPUTED_VALUE"""),195.0)</f>
        <v>195</v>
      </c>
      <c r="BI212" s="407">
        <f>IFERROR(__xludf.DUMMYFUNCTION("""COMPUTED_VALUE"""),205.0)</f>
        <v>205</v>
      </c>
      <c r="BJ212" s="407">
        <f>IFERROR(__xludf.DUMMYFUNCTION("""COMPUTED_VALUE"""),205.0)</f>
        <v>205</v>
      </c>
      <c r="BK212" s="408">
        <f>IFERROR(__xludf.DUMMYFUNCTION("""COMPUTED_VALUE"""),210.0)</f>
        <v>210</v>
      </c>
      <c r="BL212" s="407">
        <f>IFERROR(__xludf.DUMMYFUNCTION("""COMPUTED_VALUE"""),215.0)</f>
        <v>215</v>
      </c>
      <c r="BM212" s="408">
        <f>IFERROR(__xludf.DUMMYFUNCTION("""COMPUTED_VALUE"""),375.0)</f>
        <v>375</v>
      </c>
      <c r="BN212" s="407">
        <f>IFERROR(__xludf.DUMMYFUNCTION("""COMPUTED_VALUE"""),480.0)</f>
        <v>480</v>
      </c>
      <c r="BO212" s="408">
        <f>IFERROR(__xludf.DUMMYFUNCTION("""COMPUTED_VALUE"""),490.0)</f>
        <v>490</v>
      </c>
    </row>
    <row r="213">
      <c r="A213" s="307" t="str">
        <f>IFERROR(__xludf.DUMMYFUNCTION("""COMPUTED_VALUE"""),"攻撃力UP")</f>
        <v>攻撃力UP</v>
      </c>
      <c r="B213" s="385" t="str">
        <f>IFERROR(__xludf.DUMMYFUNCTION("""COMPUTED_VALUE"""),"超瞬間型")</f>
        <v>超瞬間型</v>
      </c>
      <c r="C213" s="399">
        <f>IFERROR(__xludf.DUMMYFUNCTION("""COMPUTED_VALUE"""),3.0)</f>
        <v>3</v>
      </c>
      <c r="D213" s="400" t="str">
        <f>IFERROR(__xludf.DUMMYFUNCTION("""COMPUTED_VALUE"""),"効果値")</f>
        <v>効果値</v>
      </c>
      <c r="E213" s="401" t="str">
        <f>IFERROR(__xludf.DUMMYFUNCTION("""COMPUTED_VALUE"""),"-")</f>
        <v>-</v>
      </c>
      <c r="F213" s="409" t="str">
        <f>IFERROR(__xludf.DUMMYFUNCTION("""COMPUTED_VALUE"""),"-")</f>
        <v>-</v>
      </c>
      <c r="G213" s="401" t="str">
        <f>IFERROR(__xludf.DUMMYFUNCTION("""COMPUTED_VALUE"""),"-")</f>
        <v>-</v>
      </c>
      <c r="H213" s="409" t="str">
        <f>IFERROR(__xludf.DUMMYFUNCTION("""COMPUTED_VALUE"""),"-")</f>
        <v>-</v>
      </c>
      <c r="I213" s="409" t="str">
        <f>IFERROR(__xludf.DUMMYFUNCTION("""COMPUTED_VALUE"""),"-")</f>
        <v>-</v>
      </c>
      <c r="J213" s="410">
        <f>IFERROR(__xludf.DUMMYFUNCTION("""COMPUTED_VALUE"""),58.0)</f>
        <v>58</v>
      </c>
      <c r="K213" s="410">
        <f>IFERROR(__xludf.DUMMYFUNCTION("""COMPUTED_VALUE"""),68.0)</f>
        <v>68</v>
      </c>
      <c r="L213" s="410">
        <f>IFERROR(__xludf.DUMMYFUNCTION("""COMPUTED_VALUE"""),72.0)</f>
        <v>72</v>
      </c>
      <c r="M213" s="385" t="str">
        <f>IFERROR(__xludf.DUMMYFUNCTION("""COMPUTED_VALUE"""),"瞬間型")</f>
        <v>瞬間型</v>
      </c>
      <c r="N213" s="399">
        <f>IFERROR(__xludf.DUMMYFUNCTION("""COMPUTED_VALUE"""),3.0)</f>
        <v>3</v>
      </c>
      <c r="O213" s="400" t="str">
        <f>IFERROR(__xludf.DUMMYFUNCTION("""COMPUTED_VALUE"""),"効果値")</f>
        <v>効果値</v>
      </c>
      <c r="P213" s="343">
        <f>IFERROR(__xludf.DUMMYFUNCTION("""COMPUTED_VALUE"""),22.0)</f>
        <v>22</v>
      </c>
      <c r="Q213" s="402">
        <f>IFERROR(__xludf.DUMMYFUNCTION("""COMPUTED_VALUE"""),22.0)</f>
        <v>22</v>
      </c>
      <c r="R213" s="402">
        <f>IFERROR(__xludf.DUMMYFUNCTION("""COMPUTED_VALUE"""),23.0)</f>
        <v>23</v>
      </c>
      <c r="S213" s="402">
        <f>IFERROR(__xludf.DUMMYFUNCTION("""COMPUTED_VALUE"""),23.0)</f>
        <v>23</v>
      </c>
      <c r="T213" s="402">
        <f>IFERROR(__xludf.DUMMYFUNCTION("""COMPUTED_VALUE"""),23.0)</f>
        <v>23</v>
      </c>
      <c r="U213" s="402">
        <f>IFERROR(__xludf.DUMMYFUNCTION("""COMPUTED_VALUE"""),28.0)</f>
        <v>28</v>
      </c>
      <c r="V213" s="402">
        <f>IFERROR(__xludf.DUMMYFUNCTION("""COMPUTED_VALUE"""),33.0)</f>
        <v>33</v>
      </c>
      <c r="W213" s="402">
        <f>IFERROR(__xludf.DUMMYFUNCTION("""COMPUTED_VALUE"""),37.0)</f>
        <v>37</v>
      </c>
      <c r="X213" s="385" t="str">
        <f>IFERROR(__xludf.DUMMYFUNCTION("""COMPUTED_VALUE"""),"安定型")</f>
        <v>安定型</v>
      </c>
      <c r="Y213" s="399">
        <f>IFERROR(__xludf.DUMMYFUNCTION("""COMPUTED_VALUE"""),3.0)</f>
        <v>3</v>
      </c>
      <c r="Z213" s="400" t="str">
        <f>IFERROR(__xludf.DUMMYFUNCTION("""COMPUTED_VALUE"""),"効果値")</f>
        <v>効果値</v>
      </c>
      <c r="AA213" s="343">
        <f>IFERROR(__xludf.DUMMYFUNCTION("""COMPUTED_VALUE"""),12.0)</f>
        <v>12</v>
      </c>
      <c r="AB213" s="402">
        <f>IFERROR(__xludf.DUMMYFUNCTION("""COMPUTED_VALUE"""),12.0)</f>
        <v>12</v>
      </c>
      <c r="AC213" s="402">
        <f>IFERROR(__xludf.DUMMYFUNCTION("""COMPUTED_VALUE"""),13.0)</f>
        <v>13</v>
      </c>
      <c r="AD213" s="402">
        <f>IFERROR(__xludf.DUMMYFUNCTION("""COMPUTED_VALUE"""),13.0)</f>
        <v>13</v>
      </c>
      <c r="AE213" s="402">
        <f>IFERROR(__xludf.DUMMYFUNCTION("""COMPUTED_VALUE"""),13.0)</f>
        <v>13</v>
      </c>
      <c r="AF213" s="402">
        <f>IFERROR(__xludf.DUMMYFUNCTION("""COMPUTED_VALUE"""),13.0)</f>
        <v>13</v>
      </c>
      <c r="AG213" s="402">
        <f>IFERROR(__xludf.DUMMYFUNCTION("""COMPUTED_VALUE"""),18.0)</f>
        <v>18</v>
      </c>
      <c r="AH213" s="402">
        <f>IFERROR(__xludf.DUMMYFUNCTION("""COMPUTED_VALUE"""),22.0)</f>
        <v>22</v>
      </c>
      <c r="AI213" s="385" t="str">
        <f>IFERROR(__xludf.DUMMYFUNCTION("""COMPUTED_VALUE"""),"持続型")</f>
        <v>持続型</v>
      </c>
      <c r="AJ213" s="399">
        <f>IFERROR(__xludf.DUMMYFUNCTION("""COMPUTED_VALUE"""),3.0)</f>
        <v>3</v>
      </c>
      <c r="AK213" s="400" t="str">
        <f>IFERROR(__xludf.DUMMYFUNCTION("""COMPUTED_VALUE"""),"効果値")</f>
        <v>効果値</v>
      </c>
      <c r="AL213" s="343">
        <f>IFERROR(__xludf.DUMMYFUNCTION("""COMPUTED_VALUE"""),7.0)</f>
        <v>7</v>
      </c>
      <c r="AM213" s="402">
        <f>IFERROR(__xludf.DUMMYFUNCTION("""COMPUTED_VALUE"""),7.0)</f>
        <v>7</v>
      </c>
      <c r="AN213" s="402">
        <f>IFERROR(__xludf.DUMMYFUNCTION("""COMPUTED_VALUE"""),8.0)</f>
        <v>8</v>
      </c>
      <c r="AO213" s="402">
        <f>IFERROR(__xludf.DUMMYFUNCTION("""COMPUTED_VALUE"""),8.0)</f>
        <v>8</v>
      </c>
      <c r="AP213" s="402">
        <f>IFERROR(__xludf.DUMMYFUNCTION("""COMPUTED_VALUE"""),8.0)</f>
        <v>8</v>
      </c>
      <c r="AQ213" s="402">
        <f>IFERROR(__xludf.DUMMYFUNCTION("""COMPUTED_VALUE"""),8.0)</f>
        <v>8</v>
      </c>
      <c r="AR213" s="402">
        <f>IFERROR(__xludf.DUMMYFUNCTION("""COMPUTED_VALUE"""),11.0)</f>
        <v>11</v>
      </c>
      <c r="AS213" s="402">
        <f>IFERROR(__xludf.DUMMYFUNCTION("""COMPUTED_VALUE"""),11.0)</f>
        <v>11</v>
      </c>
      <c r="AT213" s="385" t="str">
        <f>IFERROR(__xludf.DUMMYFUNCTION("""COMPUTED_VALUE"""),"超持続型")</f>
        <v>超持続型</v>
      </c>
      <c r="AU213" s="399">
        <f>IFERROR(__xludf.DUMMYFUNCTION("""COMPUTED_VALUE"""),3.0)</f>
        <v>3</v>
      </c>
      <c r="AV213" s="400" t="str">
        <f>IFERROR(__xludf.DUMMYFUNCTION("""COMPUTED_VALUE"""),"効果値")</f>
        <v>効果値</v>
      </c>
      <c r="AW213" s="403" t="str">
        <f>IFERROR(__xludf.DUMMYFUNCTION("""COMPUTED_VALUE"""),"-")</f>
        <v>-</v>
      </c>
      <c r="AX213" s="403" t="str">
        <f>IFERROR(__xludf.DUMMYFUNCTION("""COMPUTED_VALUE"""),"-")</f>
        <v>-</v>
      </c>
      <c r="AY213" s="403" t="str">
        <f>IFERROR(__xludf.DUMMYFUNCTION("""COMPUTED_VALUE"""),"-")</f>
        <v>-</v>
      </c>
      <c r="AZ213" s="403" t="str">
        <f>IFERROR(__xludf.DUMMYFUNCTION("""COMPUTED_VALUE"""),"-")</f>
        <v>-</v>
      </c>
      <c r="BA213" s="403" t="str">
        <f>IFERROR(__xludf.DUMMYFUNCTION("""COMPUTED_VALUE"""),"-")</f>
        <v>-</v>
      </c>
      <c r="BB213" s="343">
        <f>IFERROR(__xludf.DUMMYFUNCTION("""COMPUTED_VALUE"""),8.0)</f>
        <v>8</v>
      </c>
      <c r="BC213" s="343">
        <f>IFERROR(__xludf.DUMMYFUNCTION("""COMPUTED_VALUE"""),11.0)</f>
        <v>11</v>
      </c>
      <c r="BD213" s="343">
        <f>IFERROR(__xludf.DUMMYFUNCTION("""COMPUTED_VALUE"""),11.0)</f>
        <v>11</v>
      </c>
      <c r="BE213" s="385" t="str">
        <f>IFERROR(__xludf.DUMMYFUNCTION("""COMPUTED_VALUE"""),"ハイブリッド型")</f>
        <v>ハイブリッド型</v>
      </c>
      <c r="BF213" s="399">
        <f>IFERROR(__xludf.DUMMYFUNCTION("""COMPUTED_VALUE"""),3.0)</f>
        <v>3</v>
      </c>
      <c r="BG213" s="400" t="str">
        <f>IFERROR(__xludf.DUMMYFUNCTION("""COMPUTED_VALUE"""),"効果値")</f>
        <v>効果値</v>
      </c>
      <c r="BH213" s="411">
        <f>IFERROR(__xludf.DUMMYFUNCTION("""COMPUTED_VALUE"""),11.4)</f>
        <v>11.4</v>
      </c>
      <c r="BI213" s="412">
        <f>IFERROR(__xludf.DUMMYFUNCTION("""COMPUTED_VALUE"""),11.9)</f>
        <v>11.9</v>
      </c>
      <c r="BJ213" s="412">
        <f>IFERROR(__xludf.DUMMYFUNCTION("""COMPUTED_VALUE"""),12.5)</f>
        <v>12.5</v>
      </c>
      <c r="BK213" s="412">
        <f>IFERROR(__xludf.DUMMYFUNCTION("""COMPUTED_VALUE"""),13.0)</f>
        <v>13</v>
      </c>
      <c r="BL213" s="412">
        <f>IFERROR(__xludf.DUMMYFUNCTION("""COMPUTED_VALUE"""),13.5)</f>
        <v>13.5</v>
      </c>
      <c r="BM213" s="412">
        <f>IFERROR(__xludf.DUMMYFUNCTION("""COMPUTED_VALUE"""),18.5)</f>
        <v>18.5</v>
      </c>
      <c r="BN213" s="412">
        <f>IFERROR(__xludf.DUMMYFUNCTION("""COMPUTED_VALUE"""),23.0)</f>
        <v>23</v>
      </c>
      <c r="BO213" s="413">
        <f>IFERROR(__xludf.DUMMYFUNCTION("""COMPUTED_VALUE"""),27.0)</f>
        <v>27</v>
      </c>
    </row>
    <row r="214">
      <c r="A214" s="320" t="str">
        <f>IFERROR(__xludf.DUMMYFUNCTION("""COMPUTED_VALUE"""),"攻撃力UP")</f>
        <v>攻撃力UP</v>
      </c>
      <c r="B214" s="385" t="str">
        <f>IFERROR(__xludf.DUMMYFUNCTION("""COMPUTED_VALUE"""),"超瞬間型")</f>
        <v>超瞬間型</v>
      </c>
      <c r="C214" s="386">
        <f>IFERROR(__xludf.DUMMYFUNCTION("""COMPUTED_VALUE"""),3.0)</f>
        <v>3</v>
      </c>
      <c r="D214" s="387" t="str">
        <f>IFERROR(__xludf.DUMMYFUNCTION("""COMPUTED_VALUE"""),"効果時間")</f>
        <v>効果時間</v>
      </c>
      <c r="E214" s="388" t="str">
        <f>IFERROR(__xludf.DUMMYFUNCTION("""COMPUTED_VALUE"""),"-")</f>
        <v>-</v>
      </c>
      <c r="F214" s="389" t="str">
        <f>IFERROR(__xludf.DUMMYFUNCTION("""COMPUTED_VALUE"""),"-")</f>
        <v>-</v>
      </c>
      <c r="G214" s="388" t="str">
        <f>IFERROR(__xludf.DUMMYFUNCTION("""COMPUTED_VALUE"""),"-")</f>
        <v>-</v>
      </c>
      <c r="H214" s="389" t="str">
        <f>IFERROR(__xludf.DUMMYFUNCTION("""COMPUTED_VALUE"""),"-")</f>
        <v>-</v>
      </c>
      <c r="I214" s="388" t="str">
        <f>IFERROR(__xludf.DUMMYFUNCTION("""COMPUTED_VALUE"""),"-")</f>
        <v>-</v>
      </c>
      <c r="J214" s="390">
        <f>IFERROR(__xludf.DUMMYFUNCTION("""COMPUTED_VALUE"""),155.0)</f>
        <v>155</v>
      </c>
      <c r="K214" s="391">
        <f>IFERROR(__xludf.DUMMYFUNCTION("""COMPUTED_VALUE"""),165.0)</f>
        <v>165</v>
      </c>
      <c r="L214" s="340">
        <f>IFERROR(__xludf.DUMMYFUNCTION("""COMPUTED_VALUE"""),185.0)</f>
        <v>185</v>
      </c>
      <c r="M214" s="385" t="str">
        <f>IFERROR(__xludf.DUMMYFUNCTION("""COMPUTED_VALUE"""),"瞬間型")</f>
        <v>瞬間型</v>
      </c>
      <c r="N214" s="386">
        <f>IFERROR(__xludf.DUMMYFUNCTION("""COMPUTED_VALUE"""),3.0)</f>
        <v>3</v>
      </c>
      <c r="O214" s="387" t="str">
        <f>IFERROR(__xludf.DUMMYFUNCTION("""COMPUTED_VALUE"""),"効果時間")</f>
        <v>効果時間</v>
      </c>
      <c r="P214" s="392">
        <f>IFERROR(__xludf.DUMMYFUNCTION("""COMPUTED_VALUE"""),165.0)</f>
        <v>165</v>
      </c>
      <c r="Q214" s="414">
        <f>IFERROR(__xludf.DUMMYFUNCTION("""COMPUTED_VALUE"""),175.0)</f>
        <v>175</v>
      </c>
      <c r="R214" s="415">
        <f>IFERROR(__xludf.DUMMYFUNCTION("""COMPUTED_VALUE"""),180.0)</f>
        <v>180</v>
      </c>
      <c r="S214" s="393">
        <f>IFERROR(__xludf.DUMMYFUNCTION("""COMPUTED_VALUE"""),185.0)</f>
        <v>185</v>
      </c>
      <c r="T214" s="393">
        <f>IFERROR(__xludf.DUMMYFUNCTION("""COMPUTED_VALUE"""),195.0)</f>
        <v>195</v>
      </c>
      <c r="U214" s="414">
        <f>IFERROR(__xludf.DUMMYFUNCTION("""COMPUTED_VALUE"""),200.0)</f>
        <v>200</v>
      </c>
      <c r="V214" s="416">
        <f>IFERROR(__xludf.DUMMYFUNCTION("""COMPUTED_VALUE"""),255.0)</f>
        <v>255</v>
      </c>
      <c r="W214" s="415">
        <f>IFERROR(__xludf.DUMMYFUNCTION("""COMPUTED_VALUE"""),270.0)</f>
        <v>270</v>
      </c>
      <c r="X214" s="385" t="str">
        <f>IFERROR(__xludf.DUMMYFUNCTION("""COMPUTED_VALUE"""),"安定型")</f>
        <v>安定型</v>
      </c>
      <c r="Y214" s="386">
        <f>IFERROR(__xludf.DUMMYFUNCTION("""COMPUTED_VALUE"""),3.0)</f>
        <v>3</v>
      </c>
      <c r="Z214" s="387" t="str">
        <f>IFERROR(__xludf.DUMMYFUNCTION("""COMPUTED_VALUE"""),"効果時間")</f>
        <v>効果時間</v>
      </c>
      <c r="AA214" s="392">
        <f>IFERROR(__xludf.DUMMYFUNCTION("""COMPUTED_VALUE"""),315.0)</f>
        <v>315</v>
      </c>
      <c r="AB214" s="414">
        <f>IFERROR(__xludf.DUMMYFUNCTION("""COMPUTED_VALUE"""),325.0)</f>
        <v>325</v>
      </c>
      <c r="AC214" s="415">
        <f>IFERROR(__xludf.DUMMYFUNCTION("""COMPUTED_VALUE"""),330.0)</f>
        <v>330</v>
      </c>
      <c r="AD214" s="393">
        <f>IFERROR(__xludf.DUMMYFUNCTION("""COMPUTED_VALUE"""),335.0)</f>
        <v>335</v>
      </c>
      <c r="AE214" s="393">
        <f>IFERROR(__xludf.DUMMYFUNCTION("""COMPUTED_VALUE"""),345.0)</f>
        <v>345</v>
      </c>
      <c r="AF214" s="414">
        <f>IFERROR(__xludf.DUMMYFUNCTION("""COMPUTED_VALUE"""),370.0)</f>
        <v>370</v>
      </c>
      <c r="AG214" s="416">
        <f>IFERROR(__xludf.DUMMYFUNCTION("""COMPUTED_VALUE"""),405.0)</f>
        <v>405</v>
      </c>
      <c r="AH214" s="415">
        <f>IFERROR(__xludf.DUMMYFUNCTION("""COMPUTED_VALUE"""),420.0)</f>
        <v>420</v>
      </c>
      <c r="AI214" s="385" t="str">
        <f>IFERROR(__xludf.DUMMYFUNCTION("""COMPUTED_VALUE"""),"持続型")</f>
        <v>持続型</v>
      </c>
      <c r="AJ214" s="386">
        <f>IFERROR(__xludf.DUMMYFUNCTION("""COMPUTED_VALUE"""),3.0)</f>
        <v>3</v>
      </c>
      <c r="AK214" s="387" t="str">
        <f>IFERROR(__xludf.DUMMYFUNCTION("""COMPUTED_VALUE"""),"効果時間")</f>
        <v>効果時間</v>
      </c>
      <c r="AL214" s="392">
        <f>IFERROR(__xludf.DUMMYFUNCTION("""COMPUTED_VALUE"""),465.0)</f>
        <v>465</v>
      </c>
      <c r="AM214" s="414">
        <f>IFERROR(__xludf.DUMMYFUNCTION("""COMPUTED_VALUE"""),475.0)</f>
        <v>475</v>
      </c>
      <c r="AN214" s="415">
        <f>IFERROR(__xludf.DUMMYFUNCTION("""COMPUTED_VALUE"""),480.0)</f>
        <v>480</v>
      </c>
      <c r="AO214" s="393">
        <f>IFERROR(__xludf.DUMMYFUNCTION("""COMPUTED_VALUE"""),485.0)</f>
        <v>485</v>
      </c>
      <c r="AP214" s="393">
        <f>IFERROR(__xludf.DUMMYFUNCTION("""COMPUTED_VALUE"""),495.0)</f>
        <v>495</v>
      </c>
      <c r="AQ214" s="414">
        <f>IFERROR(__xludf.DUMMYFUNCTION("""COMPUTED_VALUE"""),520.0)</f>
        <v>520</v>
      </c>
      <c r="AR214" s="416">
        <f>IFERROR(__xludf.DUMMYFUNCTION("""COMPUTED_VALUE"""),555.0)</f>
        <v>555</v>
      </c>
      <c r="AS214" s="415">
        <f>IFERROR(__xludf.DUMMYFUNCTION("""COMPUTED_VALUE"""),570.0)</f>
        <v>570</v>
      </c>
      <c r="AT214" s="385" t="str">
        <f>IFERROR(__xludf.DUMMYFUNCTION("""COMPUTED_VALUE"""),"超持続型")</f>
        <v>超持続型</v>
      </c>
      <c r="AU214" s="386">
        <f>IFERROR(__xludf.DUMMYFUNCTION("""COMPUTED_VALUE"""),3.0)</f>
        <v>3</v>
      </c>
      <c r="AV214" s="387" t="str">
        <f>IFERROR(__xludf.DUMMYFUNCTION("""COMPUTED_VALUE"""),"効果時間")</f>
        <v>効果時間</v>
      </c>
      <c r="AW214" s="368" t="str">
        <f>IFERROR(__xludf.DUMMYFUNCTION("""COMPUTED_VALUE"""),"-")</f>
        <v>-</v>
      </c>
      <c r="AX214" s="368" t="str">
        <f>IFERROR(__xludf.DUMMYFUNCTION("""COMPUTED_VALUE"""),"-")</f>
        <v>-</v>
      </c>
      <c r="AY214" s="368" t="str">
        <f>IFERROR(__xludf.DUMMYFUNCTION("""COMPUTED_VALUE"""),"-")</f>
        <v>-</v>
      </c>
      <c r="AZ214" s="368" t="str">
        <f>IFERROR(__xludf.DUMMYFUNCTION("""COMPUTED_VALUE"""),"-")</f>
        <v>-</v>
      </c>
      <c r="BA214" s="368" t="str">
        <f>IFERROR(__xludf.DUMMYFUNCTION("""COMPUTED_VALUE"""),"-")</f>
        <v>-</v>
      </c>
      <c r="BB214" s="280">
        <f>IFERROR(__xludf.DUMMYFUNCTION("""COMPUTED_VALUE"""),635.0)</f>
        <v>635</v>
      </c>
      <c r="BC214" s="280">
        <f>IFERROR(__xludf.DUMMYFUNCTION("""COMPUTED_VALUE"""),705.0)</f>
        <v>705</v>
      </c>
      <c r="BD214" s="280">
        <f>IFERROR(__xludf.DUMMYFUNCTION("""COMPUTED_VALUE"""),720.0)</f>
        <v>720</v>
      </c>
      <c r="BE214" s="385" t="str">
        <f>IFERROR(__xludf.DUMMYFUNCTION("""COMPUTED_VALUE"""),"ハイブリッド型")</f>
        <v>ハイブリッド型</v>
      </c>
      <c r="BF214" s="386">
        <f>IFERROR(__xludf.DUMMYFUNCTION("""COMPUTED_VALUE"""),3.0)</f>
        <v>3</v>
      </c>
      <c r="BG214" s="387" t="str">
        <f>IFERROR(__xludf.DUMMYFUNCTION("""COMPUTED_VALUE"""),"効果時間")</f>
        <v>効果時間</v>
      </c>
      <c r="BH214" s="407">
        <f>IFERROR(__xludf.DUMMYFUNCTION("""COMPUTED_VALUE"""),220.0)</f>
        <v>220</v>
      </c>
      <c r="BI214" s="407">
        <f>IFERROR(__xludf.DUMMYFUNCTION("""COMPUTED_VALUE"""),235.0)</f>
        <v>235</v>
      </c>
      <c r="BJ214" s="407">
        <f>IFERROR(__xludf.DUMMYFUNCTION("""COMPUTED_VALUE"""),240.0)</f>
        <v>240</v>
      </c>
      <c r="BK214" s="408">
        <f>IFERROR(__xludf.DUMMYFUNCTION("""COMPUTED_VALUE"""),250.0)</f>
        <v>250</v>
      </c>
      <c r="BL214" s="407">
        <f>IFERROR(__xludf.DUMMYFUNCTION("""COMPUTED_VALUE"""),255.0)</f>
        <v>255</v>
      </c>
      <c r="BM214" s="408">
        <f>IFERROR(__xludf.DUMMYFUNCTION("""COMPUTED_VALUE"""),385.0)</f>
        <v>385</v>
      </c>
      <c r="BN214" s="407">
        <f>IFERROR(__xludf.DUMMYFUNCTION("""COMPUTED_VALUE"""),490.0)</f>
        <v>490</v>
      </c>
      <c r="BO214" s="408">
        <f>IFERROR(__xludf.DUMMYFUNCTION("""COMPUTED_VALUE"""),505.0)</f>
        <v>505</v>
      </c>
    </row>
    <row r="215">
      <c r="A215" s="320" t="str">
        <f>IFERROR(__xludf.DUMMYFUNCTION("""COMPUTED_VALUE"""),"攻撃力UP")</f>
        <v>攻撃力UP</v>
      </c>
      <c r="B215" s="385" t="str">
        <f>IFERROR(__xludf.DUMMYFUNCTION("""COMPUTED_VALUE"""),"超瞬間型")</f>
        <v>超瞬間型</v>
      </c>
      <c r="C215" s="399">
        <f>IFERROR(__xludf.DUMMYFUNCTION("""COMPUTED_VALUE"""),4.0)</f>
        <v>4</v>
      </c>
      <c r="D215" s="400" t="str">
        <f>IFERROR(__xludf.DUMMYFUNCTION("""COMPUTED_VALUE"""),"効果値")</f>
        <v>効果値</v>
      </c>
      <c r="E215" s="401" t="str">
        <f>IFERROR(__xludf.DUMMYFUNCTION("""COMPUTED_VALUE"""),"-")</f>
        <v>-</v>
      </c>
      <c r="F215" s="409" t="str">
        <f>IFERROR(__xludf.DUMMYFUNCTION("""COMPUTED_VALUE"""),"-")</f>
        <v>-</v>
      </c>
      <c r="G215" s="409" t="str">
        <f>IFERROR(__xludf.DUMMYFUNCTION("""COMPUTED_VALUE"""),"-")</f>
        <v>-</v>
      </c>
      <c r="H215" s="409" t="str">
        <f>IFERROR(__xludf.DUMMYFUNCTION("""COMPUTED_VALUE"""),"-")</f>
        <v>-</v>
      </c>
      <c r="I215" s="409" t="str">
        <f>IFERROR(__xludf.DUMMYFUNCTION("""COMPUTED_VALUE"""),"-")</f>
        <v>-</v>
      </c>
      <c r="J215" s="410">
        <f>IFERROR(__xludf.DUMMYFUNCTION("""COMPUTED_VALUE"""),59.0)</f>
        <v>59</v>
      </c>
      <c r="K215" s="410">
        <f>IFERROR(__xludf.DUMMYFUNCTION("""COMPUTED_VALUE"""),69.0)</f>
        <v>69</v>
      </c>
      <c r="L215" s="410">
        <f>IFERROR(__xludf.DUMMYFUNCTION("""COMPUTED_VALUE"""),74.0)</f>
        <v>74</v>
      </c>
      <c r="M215" s="385" t="str">
        <f>IFERROR(__xludf.DUMMYFUNCTION("""COMPUTED_VALUE"""),"瞬間型")</f>
        <v>瞬間型</v>
      </c>
      <c r="N215" s="399">
        <f>IFERROR(__xludf.DUMMYFUNCTION("""COMPUTED_VALUE"""),4.0)</f>
        <v>4</v>
      </c>
      <c r="O215" s="400" t="str">
        <f>IFERROR(__xludf.DUMMYFUNCTION("""COMPUTED_VALUE"""),"効果値")</f>
        <v>効果値</v>
      </c>
      <c r="P215" s="343">
        <f>IFERROR(__xludf.DUMMYFUNCTION("""COMPUTED_VALUE"""),23.0)</f>
        <v>23</v>
      </c>
      <c r="Q215" s="402">
        <f>IFERROR(__xludf.DUMMYFUNCTION("""COMPUTED_VALUE"""),23.0)</f>
        <v>23</v>
      </c>
      <c r="R215" s="343">
        <f>IFERROR(__xludf.DUMMYFUNCTION("""COMPUTED_VALUE"""),23.0)</f>
        <v>23</v>
      </c>
      <c r="S215" s="402">
        <f>IFERROR(__xludf.DUMMYFUNCTION("""COMPUTED_VALUE"""),23.0)</f>
        <v>23</v>
      </c>
      <c r="T215" s="343">
        <f>IFERROR(__xludf.DUMMYFUNCTION("""COMPUTED_VALUE"""),23.0)</f>
        <v>23</v>
      </c>
      <c r="U215" s="343">
        <f>IFERROR(__xludf.DUMMYFUNCTION("""COMPUTED_VALUE"""),29.0)</f>
        <v>29</v>
      </c>
      <c r="V215" s="343">
        <f>IFERROR(__xludf.DUMMYFUNCTION("""COMPUTED_VALUE"""),34.0)</f>
        <v>34</v>
      </c>
      <c r="W215" s="343">
        <f>IFERROR(__xludf.DUMMYFUNCTION("""COMPUTED_VALUE"""),39.0)</f>
        <v>39</v>
      </c>
      <c r="X215" s="385" t="str">
        <f>IFERROR(__xludf.DUMMYFUNCTION("""COMPUTED_VALUE"""),"安定型")</f>
        <v>安定型</v>
      </c>
      <c r="Y215" s="399">
        <f>IFERROR(__xludf.DUMMYFUNCTION("""COMPUTED_VALUE"""),4.0)</f>
        <v>4</v>
      </c>
      <c r="Z215" s="400" t="str">
        <f>IFERROR(__xludf.DUMMYFUNCTION("""COMPUTED_VALUE"""),"効果値")</f>
        <v>効果値</v>
      </c>
      <c r="AA215" s="343">
        <f>IFERROR(__xludf.DUMMYFUNCTION("""COMPUTED_VALUE"""),13.0)</f>
        <v>13</v>
      </c>
      <c r="AB215" s="402">
        <f>IFERROR(__xludf.DUMMYFUNCTION("""COMPUTED_VALUE"""),13.0)</f>
        <v>13</v>
      </c>
      <c r="AC215" s="343">
        <f>IFERROR(__xludf.DUMMYFUNCTION("""COMPUTED_VALUE"""),13.0)</f>
        <v>13</v>
      </c>
      <c r="AD215" s="402">
        <f>IFERROR(__xludf.DUMMYFUNCTION("""COMPUTED_VALUE"""),13.0)</f>
        <v>13</v>
      </c>
      <c r="AE215" s="343">
        <f>IFERROR(__xludf.DUMMYFUNCTION("""COMPUTED_VALUE"""),13.0)</f>
        <v>13</v>
      </c>
      <c r="AF215" s="343">
        <f>IFERROR(__xludf.DUMMYFUNCTION("""COMPUTED_VALUE"""),14.0)</f>
        <v>14</v>
      </c>
      <c r="AG215" s="343">
        <f>IFERROR(__xludf.DUMMYFUNCTION("""COMPUTED_VALUE"""),19.0)</f>
        <v>19</v>
      </c>
      <c r="AH215" s="343">
        <f>IFERROR(__xludf.DUMMYFUNCTION("""COMPUTED_VALUE"""),24.0)</f>
        <v>24</v>
      </c>
      <c r="AI215" s="385" t="str">
        <f>IFERROR(__xludf.DUMMYFUNCTION("""COMPUTED_VALUE"""),"持続型")</f>
        <v>持続型</v>
      </c>
      <c r="AJ215" s="399">
        <f>IFERROR(__xludf.DUMMYFUNCTION("""COMPUTED_VALUE"""),4.0)</f>
        <v>4</v>
      </c>
      <c r="AK215" s="400" t="str">
        <f>IFERROR(__xludf.DUMMYFUNCTION("""COMPUTED_VALUE"""),"効果値")</f>
        <v>効果値</v>
      </c>
      <c r="AL215" s="343">
        <f>IFERROR(__xludf.DUMMYFUNCTION("""COMPUTED_VALUE"""),8.0)</f>
        <v>8</v>
      </c>
      <c r="AM215" s="402">
        <f>IFERROR(__xludf.DUMMYFUNCTION("""COMPUTED_VALUE"""),8.0)</f>
        <v>8</v>
      </c>
      <c r="AN215" s="343">
        <f>IFERROR(__xludf.DUMMYFUNCTION("""COMPUTED_VALUE"""),8.0)</f>
        <v>8</v>
      </c>
      <c r="AO215" s="402">
        <f>IFERROR(__xludf.DUMMYFUNCTION("""COMPUTED_VALUE"""),8.0)</f>
        <v>8</v>
      </c>
      <c r="AP215" s="343">
        <f>IFERROR(__xludf.DUMMYFUNCTION("""COMPUTED_VALUE"""),8.0)</f>
        <v>8</v>
      </c>
      <c r="AQ215" s="343">
        <f>IFERROR(__xludf.DUMMYFUNCTION("""COMPUTED_VALUE"""),9.0)</f>
        <v>9</v>
      </c>
      <c r="AR215" s="343">
        <f>IFERROR(__xludf.DUMMYFUNCTION("""COMPUTED_VALUE"""),12.0)</f>
        <v>12</v>
      </c>
      <c r="AS215" s="343">
        <f>IFERROR(__xludf.DUMMYFUNCTION("""COMPUTED_VALUE"""),12.0)</f>
        <v>12</v>
      </c>
      <c r="AT215" s="385" t="str">
        <f>IFERROR(__xludf.DUMMYFUNCTION("""COMPUTED_VALUE"""),"超持続型")</f>
        <v>超持続型</v>
      </c>
      <c r="AU215" s="399">
        <f>IFERROR(__xludf.DUMMYFUNCTION("""COMPUTED_VALUE"""),4.0)</f>
        <v>4</v>
      </c>
      <c r="AV215" s="400" t="str">
        <f>IFERROR(__xludf.DUMMYFUNCTION("""COMPUTED_VALUE"""),"効果値")</f>
        <v>効果値</v>
      </c>
      <c r="AW215" s="403" t="str">
        <f>IFERROR(__xludf.DUMMYFUNCTION("""COMPUTED_VALUE"""),"-")</f>
        <v>-</v>
      </c>
      <c r="AX215" s="403" t="str">
        <f>IFERROR(__xludf.DUMMYFUNCTION("""COMPUTED_VALUE"""),"-")</f>
        <v>-</v>
      </c>
      <c r="AY215" s="403" t="str">
        <f>IFERROR(__xludf.DUMMYFUNCTION("""COMPUTED_VALUE"""),"-")</f>
        <v>-</v>
      </c>
      <c r="AZ215" s="403" t="str">
        <f>IFERROR(__xludf.DUMMYFUNCTION("""COMPUTED_VALUE"""),"-")</f>
        <v>-</v>
      </c>
      <c r="BA215" s="403" t="str">
        <f>IFERROR(__xludf.DUMMYFUNCTION("""COMPUTED_VALUE"""),"-")</f>
        <v>-</v>
      </c>
      <c r="BB215" s="343">
        <f>IFERROR(__xludf.DUMMYFUNCTION("""COMPUTED_VALUE"""),9.0)</f>
        <v>9</v>
      </c>
      <c r="BC215" s="343">
        <f>IFERROR(__xludf.DUMMYFUNCTION("""COMPUTED_VALUE"""),12.0)</f>
        <v>12</v>
      </c>
      <c r="BD215" s="343">
        <f>IFERROR(__xludf.DUMMYFUNCTION("""COMPUTED_VALUE"""),12.0)</f>
        <v>12</v>
      </c>
      <c r="BE215" s="385" t="str">
        <f>IFERROR(__xludf.DUMMYFUNCTION("""COMPUTED_VALUE"""),"ハイブリッド型")</f>
        <v>ハイブリッド型</v>
      </c>
      <c r="BF215" s="399">
        <f>IFERROR(__xludf.DUMMYFUNCTION("""COMPUTED_VALUE"""),4.0)</f>
        <v>4</v>
      </c>
      <c r="BG215" s="400" t="str">
        <f>IFERROR(__xludf.DUMMYFUNCTION("""COMPUTED_VALUE"""),"効果値")</f>
        <v>効果値</v>
      </c>
      <c r="BH215" s="411">
        <f>IFERROR(__xludf.DUMMYFUNCTION("""COMPUTED_VALUE"""),11.8)</f>
        <v>11.8</v>
      </c>
      <c r="BI215" s="412">
        <f>IFERROR(__xludf.DUMMYFUNCTION("""COMPUTED_VALUE"""),12.4)</f>
        <v>12.4</v>
      </c>
      <c r="BJ215" s="412">
        <f>IFERROR(__xludf.DUMMYFUNCTION("""COMPUTED_VALUE"""),13.1)</f>
        <v>13.1</v>
      </c>
      <c r="BK215" s="412">
        <f>IFERROR(__xludf.DUMMYFUNCTION("""COMPUTED_VALUE"""),13.7)</f>
        <v>13.7</v>
      </c>
      <c r="BL215" s="412">
        <f>IFERROR(__xludf.DUMMYFUNCTION("""COMPUTED_VALUE"""),14.4)</f>
        <v>14.4</v>
      </c>
      <c r="BM215" s="412">
        <f>IFERROR(__xludf.DUMMYFUNCTION("""COMPUTED_VALUE"""),19.4)</f>
        <v>19.4</v>
      </c>
      <c r="BN215" s="412">
        <f>IFERROR(__xludf.DUMMYFUNCTION("""COMPUTED_VALUE"""),24.0)</f>
        <v>24</v>
      </c>
      <c r="BO215" s="413">
        <f>IFERROR(__xludf.DUMMYFUNCTION("""COMPUTED_VALUE"""),29.0)</f>
        <v>29</v>
      </c>
    </row>
    <row r="216">
      <c r="A216" s="307" t="str">
        <f>IFERROR(__xludf.DUMMYFUNCTION("""COMPUTED_VALUE"""),"攻撃力UP")</f>
        <v>攻撃力UP</v>
      </c>
      <c r="B216" s="385" t="str">
        <f>IFERROR(__xludf.DUMMYFUNCTION("""COMPUTED_VALUE"""),"超瞬間型")</f>
        <v>超瞬間型</v>
      </c>
      <c r="C216" s="386">
        <f>IFERROR(__xludf.DUMMYFUNCTION("""COMPUTED_VALUE"""),4.0)</f>
        <v>4</v>
      </c>
      <c r="D216" s="387" t="str">
        <f>IFERROR(__xludf.DUMMYFUNCTION("""COMPUTED_VALUE"""),"効果時間")</f>
        <v>効果時間</v>
      </c>
      <c r="E216" s="388" t="str">
        <f>IFERROR(__xludf.DUMMYFUNCTION("""COMPUTED_VALUE"""),"-")</f>
        <v>-</v>
      </c>
      <c r="F216" s="389" t="str">
        <f>IFERROR(__xludf.DUMMYFUNCTION("""COMPUTED_VALUE"""),"-")</f>
        <v>-</v>
      </c>
      <c r="G216" s="388" t="str">
        <f>IFERROR(__xludf.DUMMYFUNCTION("""COMPUTED_VALUE"""),"-")</f>
        <v>-</v>
      </c>
      <c r="H216" s="389" t="str">
        <f>IFERROR(__xludf.DUMMYFUNCTION("""COMPUTED_VALUE"""),"-")</f>
        <v>-</v>
      </c>
      <c r="I216" s="388" t="str">
        <f>IFERROR(__xludf.DUMMYFUNCTION("""COMPUTED_VALUE"""),"-")</f>
        <v>-</v>
      </c>
      <c r="J216" s="390">
        <f>IFERROR(__xludf.DUMMYFUNCTION("""COMPUTED_VALUE"""),155.0)</f>
        <v>155</v>
      </c>
      <c r="K216" s="391">
        <f>IFERROR(__xludf.DUMMYFUNCTION("""COMPUTED_VALUE"""),170.0)</f>
        <v>170</v>
      </c>
      <c r="L216" s="340">
        <f>IFERROR(__xludf.DUMMYFUNCTION("""COMPUTED_VALUE"""),195.0)</f>
        <v>195</v>
      </c>
      <c r="M216" s="385" t="str">
        <f>IFERROR(__xludf.DUMMYFUNCTION("""COMPUTED_VALUE"""),"瞬間型")</f>
        <v>瞬間型</v>
      </c>
      <c r="N216" s="386">
        <f>IFERROR(__xludf.DUMMYFUNCTION("""COMPUTED_VALUE"""),4.0)</f>
        <v>4</v>
      </c>
      <c r="O216" s="387" t="str">
        <f>IFERROR(__xludf.DUMMYFUNCTION("""COMPUTED_VALUE"""),"効果時間")</f>
        <v>効果時間</v>
      </c>
      <c r="P216" s="280">
        <f>IFERROR(__xludf.DUMMYFUNCTION("""COMPUTED_VALUE"""),170.0)</f>
        <v>170</v>
      </c>
      <c r="Q216" s="275">
        <f>IFERROR(__xludf.DUMMYFUNCTION("""COMPUTED_VALUE"""),180.0)</f>
        <v>180</v>
      </c>
      <c r="R216" s="280">
        <f>IFERROR(__xludf.DUMMYFUNCTION("""COMPUTED_VALUE"""),185.0)</f>
        <v>185</v>
      </c>
      <c r="S216" s="275">
        <f>IFERROR(__xludf.DUMMYFUNCTION("""COMPUTED_VALUE"""),195.0)</f>
        <v>195</v>
      </c>
      <c r="T216" s="280">
        <f>IFERROR(__xludf.DUMMYFUNCTION("""COMPUTED_VALUE"""),200.0)</f>
        <v>200</v>
      </c>
      <c r="U216" s="280">
        <f>IFERROR(__xludf.DUMMYFUNCTION("""COMPUTED_VALUE"""),215.0)</f>
        <v>215</v>
      </c>
      <c r="V216" s="280">
        <f>IFERROR(__xludf.DUMMYFUNCTION("""COMPUTED_VALUE"""),285.0)</f>
        <v>285</v>
      </c>
      <c r="W216" s="280">
        <f>IFERROR(__xludf.DUMMYFUNCTION("""COMPUTED_VALUE"""),305.0)</f>
        <v>305</v>
      </c>
      <c r="X216" s="385" t="str">
        <f>IFERROR(__xludf.DUMMYFUNCTION("""COMPUTED_VALUE"""),"安定型")</f>
        <v>安定型</v>
      </c>
      <c r="Y216" s="386">
        <f>IFERROR(__xludf.DUMMYFUNCTION("""COMPUTED_VALUE"""),4.0)</f>
        <v>4</v>
      </c>
      <c r="Z216" s="387" t="str">
        <f>IFERROR(__xludf.DUMMYFUNCTION("""COMPUTED_VALUE"""),"効果時間")</f>
        <v>効果時間</v>
      </c>
      <c r="AA216" s="280">
        <f>IFERROR(__xludf.DUMMYFUNCTION("""COMPUTED_VALUE"""),320.0)</f>
        <v>320</v>
      </c>
      <c r="AB216" s="275">
        <f>IFERROR(__xludf.DUMMYFUNCTION("""COMPUTED_VALUE"""),330.0)</f>
        <v>330</v>
      </c>
      <c r="AC216" s="280">
        <f>IFERROR(__xludf.DUMMYFUNCTION("""COMPUTED_VALUE"""),335.0)</f>
        <v>335</v>
      </c>
      <c r="AD216" s="275">
        <f>IFERROR(__xludf.DUMMYFUNCTION("""COMPUTED_VALUE"""),345.0)</f>
        <v>345</v>
      </c>
      <c r="AE216" s="280">
        <f>IFERROR(__xludf.DUMMYFUNCTION("""COMPUTED_VALUE"""),350.0)</f>
        <v>350</v>
      </c>
      <c r="AF216" s="280">
        <f>IFERROR(__xludf.DUMMYFUNCTION("""COMPUTED_VALUE"""),390.0)</f>
        <v>390</v>
      </c>
      <c r="AG216" s="280">
        <f>IFERROR(__xludf.DUMMYFUNCTION("""COMPUTED_VALUE"""),435.0)</f>
        <v>435</v>
      </c>
      <c r="AH216" s="280">
        <f>IFERROR(__xludf.DUMMYFUNCTION("""COMPUTED_VALUE"""),455.0)</f>
        <v>455</v>
      </c>
      <c r="AI216" s="385" t="str">
        <f>IFERROR(__xludf.DUMMYFUNCTION("""COMPUTED_VALUE"""),"持続型")</f>
        <v>持続型</v>
      </c>
      <c r="AJ216" s="386">
        <f>IFERROR(__xludf.DUMMYFUNCTION("""COMPUTED_VALUE"""),4.0)</f>
        <v>4</v>
      </c>
      <c r="AK216" s="387" t="str">
        <f>IFERROR(__xludf.DUMMYFUNCTION("""COMPUTED_VALUE"""),"効果時間")</f>
        <v>効果時間</v>
      </c>
      <c r="AL216" s="280">
        <f>IFERROR(__xludf.DUMMYFUNCTION("""COMPUTED_VALUE"""),470.0)</f>
        <v>470</v>
      </c>
      <c r="AM216" s="275">
        <f>IFERROR(__xludf.DUMMYFUNCTION("""COMPUTED_VALUE"""),480.0)</f>
        <v>480</v>
      </c>
      <c r="AN216" s="280">
        <f>IFERROR(__xludf.DUMMYFUNCTION("""COMPUTED_VALUE"""),485.0)</f>
        <v>485</v>
      </c>
      <c r="AO216" s="275">
        <f>IFERROR(__xludf.DUMMYFUNCTION("""COMPUTED_VALUE"""),495.0)</f>
        <v>495</v>
      </c>
      <c r="AP216" s="280">
        <f>IFERROR(__xludf.DUMMYFUNCTION("""COMPUTED_VALUE"""),500.0)</f>
        <v>500</v>
      </c>
      <c r="AQ216" s="280">
        <f>IFERROR(__xludf.DUMMYFUNCTION("""COMPUTED_VALUE"""),540.0)</f>
        <v>540</v>
      </c>
      <c r="AR216" s="280">
        <f>IFERROR(__xludf.DUMMYFUNCTION("""COMPUTED_VALUE"""),585.0)</f>
        <v>585</v>
      </c>
      <c r="AS216" s="280">
        <f>IFERROR(__xludf.DUMMYFUNCTION("""COMPUTED_VALUE"""),605.0)</f>
        <v>605</v>
      </c>
      <c r="AT216" s="385" t="str">
        <f>IFERROR(__xludf.DUMMYFUNCTION("""COMPUTED_VALUE"""),"超持続型")</f>
        <v>超持続型</v>
      </c>
      <c r="AU216" s="386">
        <f>IFERROR(__xludf.DUMMYFUNCTION("""COMPUTED_VALUE"""),4.0)</f>
        <v>4</v>
      </c>
      <c r="AV216" s="387" t="str">
        <f>IFERROR(__xludf.DUMMYFUNCTION("""COMPUTED_VALUE"""),"効果時間")</f>
        <v>効果時間</v>
      </c>
      <c r="AW216" s="368" t="str">
        <f>IFERROR(__xludf.DUMMYFUNCTION("""COMPUTED_VALUE"""),"-")</f>
        <v>-</v>
      </c>
      <c r="AX216" s="368" t="str">
        <f>IFERROR(__xludf.DUMMYFUNCTION("""COMPUTED_VALUE"""),"-")</f>
        <v>-</v>
      </c>
      <c r="AY216" s="368" t="str">
        <f>IFERROR(__xludf.DUMMYFUNCTION("""COMPUTED_VALUE"""),"-")</f>
        <v>-</v>
      </c>
      <c r="AZ216" s="368" t="str">
        <f>IFERROR(__xludf.DUMMYFUNCTION("""COMPUTED_VALUE"""),"-")</f>
        <v>-</v>
      </c>
      <c r="BA216" s="368" t="str">
        <f>IFERROR(__xludf.DUMMYFUNCTION("""COMPUTED_VALUE"""),"-")</f>
        <v>-</v>
      </c>
      <c r="BB216" s="280">
        <f>IFERROR(__xludf.DUMMYFUNCTION("""COMPUTED_VALUE"""),645.0)</f>
        <v>645</v>
      </c>
      <c r="BC216" s="280">
        <f>IFERROR(__xludf.DUMMYFUNCTION("""COMPUTED_VALUE"""),735.0)</f>
        <v>735</v>
      </c>
      <c r="BD216" s="280">
        <f>IFERROR(__xludf.DUMMYFUNCTION("""COMPUTED_VALUE"""),755.0)</f>
        <v>755</v>
      </c>
      <c r="BE216" s="385" t="str">
        <f>IFERROR(__xludf.DUMMYFUNCTION("""COMPUTED_VALUE"""),"ハイブリッド型")</f>
        <v>ハイブリッド型</v>
      </c>
      <c r="BF216" s="386">
        <f>IFERROR(__xludf.DUMMYFUNCTION("""COMPUTED_VALUE"""),4.0)</f>
        <v>4</v>
      </c>
      <c r="BG216" s="387" t="str">
        <f>IFERROR(__xludf.DUMMYFUNCTION("""COMPUTED_VALUE"""),"効果時間")</f>
        <v>効果時間</v>
      </c>
      <c r="BH216" s="417">
        <f>IFERROR(__xludf.DUMMYFUNCTION("""COMPUTED_VALUE"""),240.0)</f>
        <v>240</v>
      </c>
      <c r="BI216" s="417">
        <f>IFERROR(__xludf.DUMMYFUNCTION("""COMPUTED_VALUE"""),255.0)</f>
        <v>255</v>
      </c>
      <c r="BJ216" s="417">
        <f>IFERROR(__xludf.DUMMYFUNCTION("""COMPUTED_VALUE"""),265.0)</f>
        <v>265</v>
      </c>
      <c r="BK216" s="418">
        <f>IFERROR(__xludf.DUMMYFUNCTION("""COMPUTED_VALUE"""),275.0)</f>
        <v>275</v>
      </c>
      <c r="BL216" s="417">
        <f>IFERROR(__xludf.DUMMYFUNCTION("""COMPUTED_VALUE"""),285.0)</f>
        <v>285</v>
      </c>
      <c r="BM216" s="418">
        <f>IFERROR(__xludf.DUMMYFUNCTION("""COMPUTED_VALUE"""),395.0)</f>
        <v>395</v>
      </c>
      <c r="BN216" s="417">
        <f>IFERROR(__xludf.DUMMYFUNCTION("""COMPUTED_VALUE"""),500.0)</f>
        <v>500</v>
      </c>
      <c r="BO216" s="418">
        <f>IFERROR(__xludf.DUMMYFUNCTION("""COMPUTED_VALUE"""),520.0)</f>
        <v>520</v>
      </c>
    </row>
    <row r="217">
      <c r="A217" s="307" t="str">
        <f>IFERROR(__xludf.DUMMYFUNCTION("""COMPUTED_VALUE"""),"攻撃力UP")</f>
        <v>攻撃力UP</v>
      </c>
      <c r="B217" s="385" t="str">
        <f>IFERROR(__xludf.DUMMYFUNCTION("""COMPUTED_VALUE"""),"超瞬間型")</f>
        <v>超瞬間型</v>
      </c>
      <c r="C217" s="399">
        <f>IFERROR(__xludf.DUMMYFUNCTION("""COMPUTED_VALUE"""),5.0)</f>
        <v>5</v>
      </c>
      <c r="D217" s="400" t="str">
        <f>IFERROR(__xludf.DUMMYFUNCTION("""COMPUTED_VALUE"""),"効果値")</f>
        <v>効果値</v>
      </c>
      <c r="E217" s="419" t="str">
        <f>IFERROR(__xludf.DUMMYFUNCTION("""COMPUTED_VALUE"""),"-")</f>
        <v>-</v>
      </c>
      <c r="F217" s="409" t="str">
        <f>IFERROR(__xludf.DUMMYFUNCTION("""COMPUTED_VALUE"""),"-")</f>
        <v>-</v>
      </c>
      <c r="G217" s="409" t="str">
        <f>IFERROR(__xludf.DUMMYFUNCTION("""COMPUTED_VALUE"""),"-")</f>
        <v>-</v>
      </c>
      <c r="H217" s="409" t="str">
        <f>IFERROR(__xludf.DUMMYFUNCTION("""COMPUTED_VALUE"""),"-")</f>
        <v>-</v>
      </c>
      <c r="I217" s="409" t="str">
        <f>IFERROR(__xludf.DUMMYFUNCTION("""COMPUTED_VALUE"""),"-")</f>
        <v>-</v>
      </c>
      <c r="J217" s="420">
        <f>IFERROR(__xludf.DUMMYFUNCTION("""COMPUTED_VALUE"""),60.0)</f>
        <v>60</v>
      </c>
      <c r="K217" s="421">
        <f>IFERROR(__xludf.DUMMYFUNCTION("""COMPUTED_VALUE"""),70.0)</f>
        <v>70</v>
      </c>
      <c r="L217" s="421">
        <f>IFERROR(__xludf.DUMMYFUNCTION("""COMPUTED_VALUE"""),75.0)</f>
        <v>75</v>
      </c>
      <c r="M217" s="385" t="str">
        <f>IFERROR(__xludf.DUMMYFUNCTION("""COMPUTED_VALUE"""),"瞬間型")</f>
        <v>瞬間型</v>
      </c>
      <c r="N217" s="399">
        <f>IFERROR(__xludf.DUMMYFUNCTION("""COMPUTED_VALUE"""),5.0)</f>
        <v>5</v>
      </c>
      <c r="O217" s="400" t="str">
        <f>IFERROR(__xludf.DUMMYFUNCTION("""COMPUTED_VALUE"""),"効果値")</f>
        <v>効果値</v>
      </c>
      <c r="P217" s="422">
        <f>IFERROR(__xludf.DUMMYFUNCTION("""COMPUTED_VALUE"""),23.0)</f>
        <v>23</v>
      </c>
      <c r="Q217" s="423">
        <f>IFERROR(__xludf.DUMMYFUNCTION("""COMPUTED_VALUE"""),23.0)</f>
        <v>23</v>
      </c>
      <c r="R217" s="422">
        <f>IFERROR(__xludf.DUMMYFUNCTION("""COMPUTED_VALUE"""),24.0)</f>
        <v>24</v>
      </c>
      <c r="S217" s="423">
        <f>IFERROR(__xludf.DUMMYFUNCTION("""COMPUTED_VALUE"""),24.0)</f>
        <v>24</v>
      </c>
      <c r="T217" s="422">
        <f>IFERROR(__xludf.DUMMYFUNCTION("""COMPUTED_VALUE"""),24.0)</f>
        <v>24</v>
      </c>
      <c r="U217" s="423">
        <f>IFERROR(__xludf.DUMMYFUNCTION("""COMPUTED_VALUE"""),30.0)</f>
        <v>30</v>
      </c>
      <c r="V217" s="423">
        <f>IFERROR(__xludf.DUMMYFUNCTION("""COMPUTED_VALUE"""),35.0)</f>
        <v>35</v>
      </c>
      <c r="W217" s="424">
        <f>IFERROR(__xludf.DUMMYFUNCTION("""COMPUTED_VALUE"""),40.0)</f>
        <v>40</v>
      </c>
      <c r="X217" s="385" t="str">
        <f>IFERROR(__xludf.DUMMYFUNCTION("""COMPUTED_VALUE"""),"安定型")</f>
        <v>安定型</v>
      </c>
      <c r="Y217" s="399">
        <f>IFERROR(__xludf.DUMMYFUNCTION("""COMPUTED_VALUE"""),5.0)</f>
        <v>5</v>
      </c>
      <c r="Z217" s="400" t="str">
        <f>IFERROR(__xludf.DUMMYFUNCTION("""COMPUTED_VALUE"""),"効果値")</f>
        <v>効果値</v>
      </c>
      <c r="AA217" s="422">
        <f>IFERROR(__xludf.DUMMYFUNCTION("""COMPUTED_VALUE"""),13.0)</f>
        <v>13</v>
      </c>
      <c r="AB217" s="423">
        <f>IFERROR(__xludf.DUMMYFUNCTION("""COMPUTED_VALUE"""),13.0)</f>
        <v>13</v>
      </c>
      <c r="AC217" s="422">
        <f>IFERROR(__xludf.DUMMYFUNCTION("""COMPUTED_VALUE"""),14.0)</f>
        <v>14</v>
      </c>
      <c r="AD217" s="423">
        <f>IFERROR(__xludf.DUMMYFUNCTION("""COMPUTED_VALUE"""),14.0)</f>
        <v>14</v>
      </c>
      <c r="AE217" s="422">
        <f>IFERROR(__xludf.DUMMYFUNCTION("""COMPUTED_VALUE"""),14.0)</f>
        <v>14</v>
      </c>
      <c r="AF217" s="423">
        <f>IFERROR(__xludf.DUMMYFUNCTION("""COMPUTED_VALUE"""),15.0)</f>
        <v>15</v>
      </c>
      <c r="AG217" s="423">
        <f>IFERROR(__xludf.DUMMYFUNCTION("""COMPUTED_VALUE"""),20.0)</f>
        <v>20</v>
      </c>
      <c r="AH217" s="424">
        <f>IFERROR(__xludf.DUMMYFUNCTION("""COMPUTED_VALUE"""),25.0)</f>
        <v>25</v>
      </c>
      <c r="AI217" s="385" t="str">
        <f>IFERROR(__xludf.DUMMYFUNCTION("""COMPUTED_VALUE"""),"持続型")</f>
        <v>持続型</v>
      </c>
      <c r="AJ217" s="399">
        <f>IFERROR(__xludf.DUMMYFUNCTION("""COMPUTED_VALUE"""),5.0)</f>
        <v>5</v>
      </c>
      <c r="AK217" s="400" t="str">
        <f>IFERROR(__xludf.DUMMYFUNCTION("""COMPUTED_VALUE"""),"効果値")</f>
        <v>効果値</v>
      </c>
      <c r="AL217" s="422">
        <f>IFERROR(__xludf.DUMMYFUNCTION("""COMPUTED_VALUE"""),8.0)</f>
        <v>8</v>
      </c>
      <c r="AM217" s="423">
        <f>IFERROR(__xludf.DUMMYFUNCTION("""COMPUTED_VALUE"""),8.0)</f>
        <v>8</v>
      </c>
      <c r="AN217" s="422">
        <f>IFERROR(__xludf.DUMMYFUNCTION("""COMPUTED_VALUE"""),9.0)</f>
        <v>9</v>
      </c>
      <c r="AO217" s="423">
        <f>IFERROR(__xludf.DUMMYFUNCTION("""COMPUTED_VALUE"""),9.0)</f>
        <v>9</v>
      </c>
      <c r="AP217" s="422">
        <f>IFERROR(__xludf.DUMMYFUNCTION("""COMPUTED_VALUE"""),9.0)</f>
        <v>9</v>
      </c>
      <c r="AQ217" s="423">
        <f>IFERROR(__xludf.DUMMYFUNCTION("""COMPUTED_VALUE"""),10.0)</f>
        <v>10</v>
      </c>
      <c r="AR217" s="423">
        <f>IFERROR(__xludf.DUMMYFUNCTION("""COMPUTED_VALUE"""),12.0)</f>
        <v>12</v>
      </c>
      <c r="AS217" s="424">
        <f>IFERROR(__xludf.DUMMYFUNCTION("""COMPUTED_VALUE"""),12.0)</f>
        <v>12</v>
      </c>
      <c r="AT217" s="385" t="str">
        <f>IFERROR(__xludf.DUMMYFUNCTION("""COMPUTED_VALUE"""),"超持続型")</f>
        <v>超持続型</v>
      </c>
      <c r="AU217" s="399">
        <f>IFERROR(__xludf.DUMMYFUNCTION("""COMPUTED_VALUE"""),5.0)</f>
        <v>5</v>
      </c>
      <c r="AV217" s="400" t="str">
        <f>IFERROR(__xludf.DUMMYFUNCTION("""COMPUTED_VALUE"""),"効果値")</f>
        <v>効果値</v>
      </c>
      <c r="AW217" s="425" t="str">
        <f>IFERROR(__xludf.DUMMYFUNCTION("""COMPUTED_VALUE"""),"-")</f>
        <v>-</v>
      </c>
      <c r="AX217" s="426" t="str">
        <f>IFERROR(__xludf.DUMMYFUNCTION("""COMPUTED_VALUE"""),"-")</f>
        <v>-</v>
      </c>
      <c r="AY217" s="426" t="str">
        <f>IFERROR(__xludf.DUMMYFUNCTION("""COMPUTED_VALUE"""),"-")</f>
        <v>-</v>
      </c>
      <c r="AZ217" s="426" t="str">
        <f>IFERROR(__xludf.DUMMYFUNCTION("""COMPUTED_VALUE"""),"-")</f>
        <v>-</v>
      </c>
      <c r="BA217" s="426" t="str">
        <f>IFERROR(__xludf.DUMMYFUNCTION("""COMPUTED_VALUE"""),"-")</f>
        <v>-</v>
      </c>
      <c r="BB217" s="423">
        <f>IFERROR(__xludf.DUMMYFUNCTION("""COMPUTED_VALUE"""),10.0)</f>
        <v>10</v>
      </c>
      <c r="BC217" s="423">
        <f>IFERROR(__xludf.DUMMYFUNCTION("""COMPUTED_VALUE"""),12.0)</f>
        <v>12</v>
      </c>
      <c r="BD217" s="424">
        <f>IFERROR(__xludf.DUMMYFUNCTION("""COMPUTED_VALUE"""),12.0)</f>
        <v>12</v>
      </c>
      <c r="BE217" s="385" t="str">
        <f>IFERROR(__xludf.DUMMYFUNCTION("""COMPUTED_VALUE"""),"ハイブリッド型")</f>
        <v>ハイブリッド型</v>
      </c>
      <c r="BF217" s="399">
        <f>IFERROR(__xludf.DUMMYFUNCTION("""COMPUTED_VALUE"""),5.0)</f>
        <v>5</v>
      </c>
      <c r="BG217" s="400" t="str">
        <f>IFERROR(__xludf.DUMMYFUNCTION("""COMPUTED_VALUE"""),"効果値")</f>
        <v>効果値</v>
      </c>
      <c r="BH217" s="427">
        <f>IFERROR(__xludf.DUMMYFUNCTION("""COMPUTED_VALUE"""),12.0)</f>
        <v>12</v>
      </c>
      <c r="BI217" s="428">
        <f>IFERROR(__xludf.DUMMYFUNCTION("""COMPUTED_VALUE"""),12.75)</f>
        <v>12.75</v>
      </c>
      <c r="BJ217" s="428">
        <f>IFERROR(__xludf.DUMMYFUNCTION("""COMPUTED_VALUE"""),13.5)</f>
        <v>13.5</v>
      </c>
      <c r="BK217" s="428">
        <f>IFERROR(__xludf.DUMMYFUNCTION("""COMPUTED_VALUE"""),14.25)</f>
        <v>14.25</v>
      </c>
      <c r="BL217" s="427">
        <f>IFERROR(__xludf.DUMMYFUNCTION("""COMPUTED_VALUE"""),15.0)</f>
        <v>15</v>
      </c>
      <c r="BM217" s="427">
        <f>IFERROR(__xludf.DUMMYFUNCTION("""COMPUTED_VALUE"""),20.0)</f>
        <v>20</v>
      </c>
      <c r="BN217" s="427">
        <f>IFERROR(__xludf.DUMMYFUNCTION("""COMPUTED_VALUE"""),25.0)</f>
        <v>25</v>
      </c>
      <c r="BO217" s="429">
        <f>IFERROR(__xludf.DUMMYFUNCTION("""COMPUTED_VALUE"""),30.0)</f>
        <v>30</v>
      </c>
    </row>
    <row r="218">
      <c r="A218" s="307" t="str">
        <f>IFERROR(__xludf.DUMMYFUNCTION("""COMPUTED_VALUE"""),"攻撃力UP")</f>
        <v>攻撃力UP</v>
      </c>
      <c r="B218" s="385" t="str">
        <f>IFERROR(__xludf.DUMMYFUNCTION("""COMPUTED_VALUE"""),"超瞬間型")</f>
        <v>超瞬間型</v>
      </c>
      <c r="C218" s="430">
        <f>IFERROR(__xludf.DUMMYFUNCTION("""COMPUTED_VALUE"""),5.0)</f>
        <v>5</v>
      </c>
      <c r="D218" s="431" t="str">
        <f>IFERROR(__xludf.DUMMYFUNCTION("""COMPUTED_VALUE"""),"効果時間")</f>
        <v>効果時間</v>
      </c>
      <c r="E218" s="388" t="str">
        <f>IFERROR(__xludf.DUMMYFUNCTION("""COMPUTED_VALUE"""),"-")</f>
        <v>-</v>
      </c>
      <c r="F218" s="389" t="str">
        <f>IFERROR(__xludf.DUMMYFUNCTION("""COMPUTED_VALUE"""),"-")</f>
        <v>-</v>
      </c>
      <c r="G218" s="388" t="str">
        <f>IFERROR(__xludf.DUMMYFUNCTION("""COMPUTED_VALUE"""),"-")</f>
        <v>-</v>
      </c>
      <c r="H218" s="389" t="str">
        <f>IFERROR(__xludf.DUMMYFUNCTION("""COMPUTED_VALUE"""),"-")</f>
        <v>-</v>
      </c>
      <c r="I218" s="388" t="str">
        <f>IFERROR(__xludf.DUMMYFUNCTION("""COMPUTED_VALUE"""),"-")</f>
        <v>-</v>
      </c>
      <c r="J218" s="390">
        <f>IFERROR(__xludf.DUMMYFUNCTION("""COMPUTED_VALUE"""),160.0)</f>
        <v>160</v>
      </c>
      <c r="K218" s="391">
        <f>IFERROR(__xludf.DUMMYFUNCTION("""COMPUTED_VALUE"""),175.0)</f>
        <v>175</v>
      </c>
      <c r="L218" s="340">
        <f>IFERROR(__xludf.DUMMYFUNCTION("""COMPUTED_VALUE"""),200.0)</f>
        <v>200</v>
      </c>
      <c r="M218" s="385" t="str">
        <f>IFERROR(__xludf.DUMMYFUNCTION("""COMPUTED_VALUE"""),"瞬間型")</f>
        <v>瞬間型</v>
      </c>
      <c r="N218" s="430">
        <f>IFERROR(__xludf.DUMMYFUNCTION("""COMPUTED_VALUE"""),5.0)</f>
        <v>5</v>
      </c>
      <c r="O218" s="431" t="str">
        <f>IFERROR(__xludf.DUMMYFUNCTION("""COMPUTED_VALUE"""),"効果時間")</f>
        <v>効果時間</v>
      </c>
      <c r="P218" s="392">
        <f>IFERROR(__xludf.DUMMYFUNCTION("""COMPUTED_VALUE"""),175.0)</f>
        <v>175</v>
      </c>
      <c r="Q218" s="414">
        <f>IFERROR(__xludf.DUMMYFUNCTION("""COMPUTED_VALUE"""),185.0)</f>
        <v>185</v>
      </c>
      <c r="R218" s="414">
        <f>IFERROR(__xludf.DUMMYFUNCTION("""COMPUTED_VALUE"""),190.0)</f>
        <v>190</v>
      </c>
      <c r="S218" s="414">
        <f>IFERROR(__xludf.DUMMYFUNCTION("""COMPUTED_VALUE"""),195.0)</f>
        <v>195</v>
      </c>
      <c r="T218" s="394">
        <f>IFERROR(__xludf.DUMMYFUNCTION("""COMPUTED_VALUE"""),200.0)</f>
        <v>200</v>
      </c>
      <c r="U218" s="394">
        <f>IFERROR(__xludf.DUMMYFUNCTION("""COMPUTED_VALUE"""),225.0)</f>
        <v>225</v>
      </c>
      <c r="V218" s="394">
        <f>IFERROR(__xludf.DUMMYFUNCTION("""COMPUTED_VALUE"""),300.0)</f>
        <v>300</v>
      </c>
      <c r="W218" s="394">
        <f>IFERROR(__xludf.DUMMYFUNCTION("""COMPUTED_VALUE"""),325.0)</f>
        <v>325</v>
      </c>
      <c r="X218" s="385" t="str">
        <f>IFERROR(__xludf.DUMMYFUNCTION("""COMPUTED_VALUE"""),"安定型")</f>
        <v>安定型</v>
      </c>
      <c r="Y218" s="430">
        <f>IFERROR(__xludf.DUMMYFUNCTION("""COMPUTED_VALUE"""),5.0)</f>
        <v>5</v>
      </c>
      <c r="Z218" s="431" t="str">
        <f>IFERROR(__xludf.DUMMYFUNCTION("""COMPUTED_VALUE"""),"効果時間")</f>
        <v>効果時間</v>
      </c>
      <c r="AA218" s="392">
        <f>IFERROR(__xludf.DUMMYFUNCTION("""COMPUTED_VALUE"""),325.0)</f>
        <v>325</v>
      </c>
      <c r="AB218" s="414">
        <f>IFERROR(__xludf.DUMMYFUNCTION("""COMPUTED_VALUE"""),335.0)</f>
        <v>335</v>
      </c>
      <c r="AC218" s="414">
        <f>IFERROR(__xludf.DUMMYFUNCTION("""COMPUTED_VALUE"""),340.0)</f>
        <v>340</v>
      </c>
      <c r="AD218" s="414">
        <f>IFERROR(__xludf.DUMMYFUNCTION("""COMPUTED_VALUE"""),345.0)</f>
        <v>345</v>
      </c>
      <c r="AE218" s="394">
        <f>IFERROR(__xludf.DUMMYFUNCTION("""COMPUTED_VALUE"""),350.0)</f>
        <v>350</v>
      </c>
      <c r="AF218" s="394">
        <f>IFERROR(__xludf.DUMMYFUNCTION("""COMPUTED_VALUE"""),400.0)</f>
        <v>400</v>
      </c>
      <c r="AG218" s="394">
        <f>IFERROR(__xludf.DUMMYFUNCTION("""COMPUTED_VALUE"""),450.0)</f>
        <v>450</v>
      </c>
      <c r="AH218" s="394">
        <f>IFERROR(__xludf.DUMMYFUNCTION("""COMPUTED_VALUE"""),475.0)</f>
        <v>475</v>
      </c>
      <c r="AI218" s="385" t="str">
        <f>IFERROR(__xludf.DUMMYFUNCTION("""COMPUTED_VALUE"""),"持続型")</f>
        <v>持続型</v>
      </c>
      <c r="AJ218" s="430">
        <f>IFERROR(__xludf.DUMMYFUNCTION("""COMPUTED_VALUE"""),5.0)</f>
        <v>5</v>
      </c>
      <c r="AK218" s="431" t="str">
        <f>IFERROR(__xludf.DUMMYFUNCTION("""COMPUTED_VALUE"""),"効果時間")</f>
        <v>効果時間</v>
      </c>
      <c r="AL218" s="392">
        <f>IFERROR(__xludf.DUMMYFUNCTION("""COMPUTED_VALUE"""),475.0)</f>
        <v>475</v>
      </c>
      <c r="AM218" s="414">
        <f>IFERROR(__xludf.DUMMYFUNCTION("""COMPUTED_VALUE"""),485.0)</f>
        <v>485</v>
      </c>
      <c r="AN218" s="414">
        <f>IFERROR(__xludf.DUMMYFUNCTION("""COMPUTED_VALUE"""),490.0)</f>
        <v>490</v>
      </c>
      <c r="AO218" s="414">
        <f>IFERROR(__xludf.DUMMYFUNCTION("""COMPUTED_VALUE"""),495.0)</f>
        <v>495</v>
      </c>
      <c r="AP218" s="394">
        <f>IFERROR(__xludf.DUMMYFUNCTION("""COMPUTED_VALUE"""),500.0)</f>
        <v>500</v>
      </c>
      <c r="AQ218" s="394">
        <f>IFERROR(__xludf.DUMMYFUNCTION("""COMPUTED_VALUE"""),550.0)</f>
        <v>550</v>
      </c>
      <c r="AR218" s="394">
        <f>IFERROR(__xludf.DUMMYFUNCTION("""COMPUTED_VALUE"""),600.0)</f>
        <v>600</v>
      </c>
      <c r="AS218" s="394">
        <f>IFERROR(__xludf.DUMMYFUNCTION("""COMPUTED_VALUE"""),625.0)</f>
        <v>625</v>
      </c>
      <c r="AT218" s="385" t="str">
        <f>IFERROR(__xludf.DUMMYFUNCTION("""COMPUTED_VALUE"""),"超持続型")</f>
        <v>超持続型</v>
      </c>
      <c r="AU218" s="430">
        <f>IFERROR(__xludf.DUMMYFUNCTION("""COMPUTED_VALUE"""),5.0)</f>
        <v>5</v>
      </c>
      <c r="AV218" s="431" t="str">
        <f>IFERROR(__xludf.DUMMYFUNCTION("""COMPUTED_VALUE"""),"効果時間")</f>
        <v>効果時間</v>
      </c>
      <c r="AW218" s="395" t="str">
        <f>IFERROR(__xludf.DUMMYFUNCTION("""COMPUTED_VALUE"""),"-")</f>
        <v>-</v>
      </c>
      <c r="AX218" s="396" t="str">
        <f>IFERROR(__xludf.DUMMYFUNCTION("""COMPUTED_VALUE"""),"-")</f>
        <v>-</v>
      </c>
      <c r="AY218" s="396" t="str">
        <f>IFERROR(__xludf.DUMMYFUNCTION("""COMPUTED_VALUE"""),"-")</f>
        <v>-</v>
      </c>
      <c r="AZ218" s="396" t="str">
        <f>IFERROR(__xludf.DUMMYFUNCTION("""COMPUTED_VALUE"""),"-")</f>
        <v>-</v>
      </c>
      <c r="BA218" s="396" t="str">
        <f>IFERROR(__xludf.DUMMYFUNCTION("""COMPUTED_VALUE"""),"-")</f>
        <v>-</v>
      </c>
      <c r="BB218" s="393">
        <f>IFERROR(__xludf.DUMMYFUNCTION("""COMPUTED_VALUE"""),650.0)</f>
        <v>650</v>
      </c>
      <c r="BC218" s="393">
        <f>IFERROR(__xludf.DUMMYFUNCTION("""COMPUTED_VALUE"""),750.0)</f>
        <v>750</v>
      </c>
      <c r="BD218" s="394">
        <f>IFERROR(__xludf.DUMMYFUNCTION("""COMPUTED_VALUE"""),775.0)</f>
        <v>775</v>
      </c>
      <c r="BE218" s="385" t="str">
        <f>IFERROR(__xludf.DUMMYFUNCTION("""COMPUTED_VALUE"""),"ハイブリッド型")</f>
        <v>ハイブリッド型</v>
      </c>
      <c r="BF218" s="430">
        <f>IFERROR(__xludf.DUMMYFUNCTION("""COMPUTED_VALUE"""),5.0)</f>
        <v>5</v>
      </c>
      <c r="BG218" s="431" t="str">
        <f>IFERROR(__xludf.DUMMYFUNCTION("""COMPUTED_VALUE"""),"効果時間")</f>
        <v>効果時間</v>
      </c>
      <c r="BH218" s="304">
        <f>IFERROR(__xludf.DUMMYFUNCTION("""COMPUTED_VALUE"""),250.0)</f>
        <v>250</v>
      </c>
      <c r="BI218" s="432">
        <f>IFERROR(__xludf.DUMMYFUNCTION("""COMPUTED_VALUE"""),265.0)</f>
        <v>265</v>
      </c>
      <c r="BJ218" s="432">
        <f>IFERROR(__xludf.DUMMYFUNCTION("""COMPUTED_VALUE"""),275.0)</f>
        <v>275</v>
      </c>
      <c r="BK218" s="432">
        <f>IFERROR(__xludf.DUMMYFUNCTION("""COMPUTED_VALUE"""),290.0)</f>
        <v>290</v>
      </c>
      <c r="BL218" s="304">
        <f>IFERROR(__xludf.DUMMYFUNCTION("""COMPUTED_VALUE"""),300.0)</f>
        <v>300</v>
      </c>
      <c r="BM218" s="304">
        <f>IFERROR(__xludf.DUMMYFUNCTION("""COMPUTED_VALUE"""),400.0)</f>
        <v>400</v>
      </c>
      <c r="BN218" s="304">
        <f>IFERROR(__xludf.DUMMYFUNCTION("""COMPUTED_VALUE"""),500.0)</f>
        <v>500</v>
      </c>
      <c r="BO218" s="304">
        <f>IFERROR(__xludf.DUMMYFUNCTION("""COMPUTED_VALUE"""),525.0)</f>
        <v>525</v>
      </c>
    </row>
    <row r="219">
      <c r="A219" s="306" t="str">
        <f>IFERROR(__xludf.DUMMYFUNCTION("""COMPUTED_VALUE"""),"攻撃力UP(自身)")</f>
        <v>攻撃力UP(自身)</v>
      </c>
      <c r="B219" s="374" t="str">
        <f>IFERROR(__xludf.DUMMYFUNCTION("""COMPUTED_VALUE"""),"超瞬間型")</f>
        <v>超瞬間型</v>
      </c>
      <c r="C219" s="375">
        <f>IFERROR(__xludf.DUMMYFUNCTION("""COMPUTED_VALUE"""),1.0)</f>
        <v>1</v>
      </c>
      <c r="D219" s="376" t="str">
        <f>IFERROR(__xludf.DUMMYFUNCTION("""COMPUTED_VALUE"""),"効果値")</f>
        <v>効果値</v>
      </c>
      <c r="E219" s="377" t="str">
        <f>IFERROR(__xludf.DUMMYFUNCTION("""COMPUTED_VALUE"""),"-")</f>
        <v>-</v>
      </c>
      <c r="F219" s="378" t="str">
        <f>IFERROR(__xludf.DUMMYFUNCTION("""COMPUTED_VALUE"""),"-")</f>
        <v>-</v>
      </c>
      <c r="G219" s="377" t="str">
        <f>IFERROR(__xludf.DUMMYFUNCTION("""COMPUTED_VALUE"""),"-")</f>
        <v>-</v>
      </c>
      <c r="H219" s="378" t="str">
        <f>IFERROR(__xludf.DUMMYFUNCTION("""COMPUTED_VALUE"""),"-")</f>
        <v>-</v>
      </c>
      <c r="I219" s="377" t="str">
        <f>IFERROR(__xludf.DUMMYFUNCTION("""COMPUTED_VALUE"""),"-")</f>
        <v>-</v>
      </c>
      <c r="J219" s="379">
        <f>IFERROR(__xludf.DUMMYFUNCTION("""COMPUTED_VALUE"""),55.0)</f>
        <v>55</v>
      </c>
      <c r="K219" s="294">
        <f>IFERROR(__xludf.DUMMYFUNCTION("""COMPUTED_VALUE"""),65.0)</f>
        <v>65</v>
      </c>
      <c r="L219" s="294">
        <f>IFERROR(__xludf.DUMMYFUNCTION("""COMPUTED_VALUE"""),65.0)</f>
        <v>65</v>
      </c>
      <c r="M219" s="374" t="str">
        <f>IFERROR(__xludf.DUMMYFUNCTION("""COMPUTED_VALUE"""),"瞬間型")</f>
        <v>瞬間型</v>
      </c>
      <c r="N219" s="375">
        <f>IFERROR(__xludf.DUMMYFUNCTION("""COMPUTED_VALUE"""),1.0)</f>
        <v>1</v>
      </c>
      <c r="O219" s="376" t="str">
        <f>IFERROR(__xludf.DUMMYFUNCTION("""COMPUTED_VALUE"""),"効果値")</f>
        <v>効果値</v>
      </c>
      <c r="P219" s="380">
        <f>IFERROR(__xludf.DUMMYFUNCTION("""COMPUTED_VALUE"""),20.0)</f>
        <v>20</v>
      </c>
      <c r="Q219" s="263">
        <f>IFERROR(__xludf.DUMMYFUNCTION("""COMPUTED_VALUE"""),20.0)</f>
        <v>20</v>
      </c>
      <c r="R219" s="263">
        <f>IFERROR(__xludf.DUMMYFUNCTION("""COMPUTED_VALUE"""),20.0)</f>
        <v>20</v>
      </c>
      <c r="S219" s="263">
        <f>IFERROR(__xludf.DUMMYFUNCTION("""COMPUTED_VALUE"""),20.0)</f>
        <v>20</v>
      </c>
      <c r="T219" s="263">
        <f>IFERROR(__xludf.DUMMYFUNCTION("""COMPUTED_VALUE"""),20.0)</f>
        <v>20</v>
      </c>
      <c r="U219" s="263">
        <f>IFERROR(__xludf.DUMMYFUNCTION("""COMPUTED_VALUE"""),25.0)</f>
        <v>25</v>
      </c>
      <c r="V219" s="266">
        <f>IFERROR(__xludf.DUMMYFUNCTION("""COMPUTED_VALUE"""),30.0)</f>
        <v>30</v>
      </c>
      <c r="W219" s="266">
        <f>IFERROR(__xludf.DUMMYFUNCTION("""COMPUTED_VALUE"""),30.0)</f>
        <v>30</v>
      </c>
      <c r="X219" s="374" t="str">
        <f>IFERROR(__xludf.DUMMYFUNCTION("""COMPUTED_VALUE"""),"安定型")</f>
        <v>安定型</v>
      </c>
      <c r="Y219" s="375">
        <f>IFERROR(__xludf.DUMMYFUNCTION("""COMPUTED_VALUE"""),1.0)</f>
        <v>1</v>
      </c>
      <c r="Z219" s="376" t="str">
        <f>IFERROR(__xludf.DUMMYFUNCTION("""COMPUTED_VALUE"""),"効果値")</f>
        <v>効果値</v>
      </c>
      <c r="AA219" s="380">
        <f>IFERROR(__xludf.DUMMYFUNCTION("""COMPUTED_VALUE"""),10.0)</f>
        <v>10</v>
      </c>
      <c r="AB219" s="263">
        <f>IFERROR(__xludf.DUMMYFUNCTION("""COMPUTED_VALUE"""),10.0)</f>
        <v>10</v>
      </c>
      <c r="AC219" s="263">
        <f>IFERROR(__xludf.DUMMYFUNCTION("""COMPUTED_VALUE"""),10.0)</f>
        <v>10</v>
      </c>
      <c r="AD219" s="263">
        <f>IFERROR(__xludf.DUMMYFUNCTION("""COMPUTED_VALUE"""),10.0)</f>
        <v>10</v>
      </c>
      <c r="AE219" s="263">
        <f>IFERROR(__xludf.DUMMYFUNCTION("""COMPUTED_VALUE"""),10.0)</f>
        <v>10</v>
      </c>
      <c r="AF219" s="263">
        <f>IFERROR(__xludf.DUMMYFUNCTION("""COMPUTED_VALUE"""),10.0)</f>
        <v>10</v>
      </c>
      <c r="AG219" s="266">
        <f>IFERROR(__xludf.DUMMYFUNCTION("""COMPUTED_VALUE"""),15.0)</f>
        <v>15</v>
      </c>
      <c r="AH219" s="266">
        <f>IFERROR(__xludf.DUMMYFUNCTION("""COMPUTED_VALUE"""),15.0)</f>
        <v>15</v>
      </c>
      <c r="AI219" s="374" t="str">
        <f>IFERROR(__xludf.DUMMYFUNCTION("""COMPUTED_VALUE"""),"持続型")</f>
        <v>持続型</v>
      </c>
      <c r="AJ219" s="375">
        <f>IFERROR(__xludf.DUMMYFUNCTION("""COMPUTED_VALUE"""),1.0)</f>
        <v>1</v>
      </c>
      <c r="AK219" s="376" t="str">
        <f>IFERROR(__xludf.DUMMYFUNCTION("""COMPUTED_VALUE"""),"効果値")</f>
        <v>効果値</v>
      </c>
      <c r="AL219" s="380">
        <f>IFERROR(__xludf.DUMMYFUNCTION("""COMPUTED_VALUE"""),5.0)</f>
        <v>5</v>
      </c>
      <c r="AM219" s="263">
        <f>IFERROR(__xludf.DUMMYFUNCTION("""COMPUTED_VALUE"""),5.0)</f>
        <v>5</v>
      </c>
      <c r="AN219" s="263">
        <f>IFERROR(__xludf.DUMMYFUNCTION("""COMPUTED_VALUE"""),5.0)</f>
        <v>5</v>
      </c>
      <c r="AO219" s="263">
        <f>IFERROR(__xludf.DUMMYFUNCTION("""COMPUTED_VALUE"""),5.0)</f>
        <v>5</v>
      </c>
      <c r="AP219" s="263">
        <f>IFERROR(__xludf.DUMMYFUNCTION("""COMPUTED_VALUE"""),5.0)</f>
        <v>5</v>
      </c>
      <c r="AQ219" s="263">
        <f>IFERROR(__xludf.DUMMYFUNCTION("""COMPUTED_VALUE"""),5.0)</f>
        <v>5</v>
      </c>
      <c r="AR219" s="266">
        <f>IFERROR(__xludf.DUMMYFUNCTION("""COMPUTED_VALUE"""),10.0)</f>
        <v>10</v>
      </c>
      <c r="AS219" s="266">
        <f>IFERROR(__xludf.DUMMYFUNCTION("""COMPUTED_VALUE"""),10.0)</f>
        <v>10</v>
      </c>
      <c r="AT219" s="374" t="str">
        <f>IFERROR(__xludf.DUMMYFUNCTION("""COMPUTED_VALUE"""),"超持続型")</f>
        <v>超持続型</v>
      </c>
      <c r="AU219" s="375">
        <f>IFERROR(__xludf.DUMMYFUNCTION("""COMPUTED_VALUE"""),1.0)</f>
        <v>1</v>
      </c>
      <c r="AV219" s="376" t="str">
        <f>IFERROR(__xludf.DUMMYFUNCTION("""COMPUTED_VALUE"""),"効果値")</f>
        <v>効果値</v>
      </c>
      <c r="AW219" s="350" t="str">
        <f>IFERROR(__xludf.DUMMYFUNCTION("""COMPUTED_VALUE"""),"-")</f>
        <v>-</v>
      </c>
      <c r="AX219" s="348" t="str">
        <f>IFERROR(__xludf.DUMMYFUNCTION("""COMPUTED_VALUE"""),"-")</f>
        <v>-</v>
      </c>
      <c r="AY219" s="348" t="str">
        <f>IFERROR(__xludf.DUMMYFUNCTION("""COMPUTED_VALUE"""),"-")</f>
        <v>-</v>
      </c>
      <c r="AZ219" s="348" t="str">
        <f>IFERROR(__xludf.DUMMYFUNCTION("""COMPUTED_VALUE"""),"-")</f>
        <v>-</v>
      </c>
      <c r="BA219" s="348" t="str">
        <f>IFERROR(__xludf.DUMMYFUNCTION("""COMPUTED_VALUE"""),"-")</f>
        <v>-</v>
      </c>
      <c r="BB219" s="263">
        <f>IFERROR(__xludf.DUMMYFUNCTION("""COMPUTED_VALUE"""),5.0)</f>
        <v>5</v>
      </c>
      <c r="BC219" s="266">
        <f>IFERROR(__xludf.DUMMYFUNCTION("""COMPUTED_VALUE"""),10.0)</f>
        <v>10</v>
      </c>
      <c r="BD219" s="266">
        <f>IFERROR(__xludf.DUMMYFUNCTION("""COMPUTED_VALUE"""),10.0)</f>
        <v>10</v>
      </c>
      <c r="BE219" s="374" t="str">
        <f>IFERROR(__xludf.DUMMYFUNCTION("""COMPUTED_VALUE"""),"ハイブリッド型")</f>
        <v>ハイブリッド型</v>
      </c>
      <c r="BF219" s="375">
        <f>IFERROR(__xludf.DUMMYFUNCTION("""COMPUTED_VALUE"""),1.0)</f>
        <v>1</v>
      </c>
      <c r="BG219" s="376" t="str">
        <f>IFERROR(__xludf.DUMMYFUNCTION("""COMPUTED_VALUE"""),"効果値")</f>
        <v>効果値</v>
      </c>
      <c r="BH219" s="381">
        <f>IFERROR(__xludf.DUMMYFUNCTION("""COMPUTED_VALUE"""),10.0)</f>
        <v>10</v>
      </c>
      <c r="BI219" s="382">
        <f>IFERROR(__xludf.DUMMYFUNCTION("""COMPUTED_VALUE"""),10.0)</f>
        <v>10</v>
      </c>
      <c r="BJ219" s="382">
        <f>IFERROR(__xludf.DUMMYFUNCTION("""COMPUTED_VALUE"""),10.0)</f>
        <v>10</v>
      </c>
      <c r="BK219" s="382">
        <f>IFERROR(__xludf.DUMMYFUNCTION("""COMPUTED_VALUE"""),10.0)</f>
        <v>10</v>
      </c>
      <c r="BL219" s="382">
        <f>IFERROR(__xludf.DUMMYFUNCTION("""COMPUTED_VALUE"""),10.0)</f>
        <v>10</v>
      </c>
      <c r="BM219" s="382">
        <f>IFERROR(__xludf.DUMMYFUNCTION("""COMPUTED_VALUE"""),15.0)</f>
        <v>15</v>
      </c>
      <c r="BN219" s="382">
        <f>IFERROR(__xludf.DUMMYFUNCTION("""COMPUTED_VALUE"""),20.0)</f>
        <v>20</v>
      </c>
      <c r="BO219" s="383">
        <f>IFERROR(__xludf.DUMMYFUNCTION("""COMPUTED_VALUE"""),20.0)</f>
        <v>20</v>
      </c>
    </row>
    <row r="220">
      <c r="A220" s="384" t="str">
        <f>IFERROR(__xludf.DUMMYFUNCTION("""COMPUTED_VALUE"""),"攻撃力UP(自身)")</f>
        <v>攻撃力UP(自身)</v>
      </c>
      <c r="B220" s="385" t="str">
        <f>IFERROR(__xludf.DUMMYFUNCTION("""COMPUTED_VALUE"""),"超瞬間型")</f>
        <v>超瞬間型</v>
      </c>
      <c r="C220" s="386">
        <f>IFERROR(__xludf.DUMMYFUNCTION("""COMPUTED_VALUE"""),1.0)</f>
        <v>1</v>
      </c>
      <c r="D220" s="387" t="str">
        <f>IFERROR(__xludf.DUMMYFUNCTION("""COMPUTED_VALUE"""),"効果時間")</f>
        <v>効果時間</v>
      </c>
      <c r="E220" s="388" t="str">
        <f>IFERROR(__xludf.DUMMYFUNCTION("""COMPUTED_VALUE"""),"-")</f>
        <v>-</v>
      </c>
      <c r="F220" s="389" t="str">
        <f>IFERROR(__xludf.DUMMYFUNCTION("""COMPUTED_VALUE"""),"-")</f>
        <v>-</v>
      </c>
      <c r="G220" s="388" t="str">
        <f>IFERROR(__xludf.DUMMYFUNCTION("""COMPUTED_VALUE"""),"-")</f>
        <v>-</v>
      </c>
      <c r="H220" s="389" t="str">
        <f>IFERROR(__xludf.DUMMYFUNCTION("""COMPUTED_VALUE"""),"-")</f>
        <v>-</v>
      </c>
      <c r="I220" s="388" t="str">
        <f>IFERROR(__xludf.DUMMYFUNCTION("""COMPUTED_VALUE"""),"-")</f>
        <v>-</v>
      </c>
      <c r="J220" s="390">
        <f>IFERROR(__xludf.DUMMYFUNCTION("""COMPUTED_VALUE"""),150.0)</f>
        <v>150</v>
      </c>
      <c r="K220" s="391">
        <f>IFERROR(__xludf.DUMMYFUNCTION("""COMPUTED_VALUE"""),160.0)</f>
        <v>160</v>
      </c>
      <c r="L220" s="340">
        <f>IFERROR(__xludf.DUMMYFUNCTION("""COMPUTED_VALUE"""),160.0)</f>
        <v>160</v>
      </c>
      <c r="M220" s="385" t="str">
        <f>IFERROR(__xludf.DUMMYFUNCTION("""COMPUTED_VALUE"""),"瞬間型")</f>
        <v>瞬間型</v>
      </c>
      <c r="N220" s="386">
        <f>IFERROR(__xludf.DUMMYFUNCTION("""COMPUTED_VALUE"""),1.0)</f>
        <v>1</v>
      </c>
      <c r="O220" s="387" t="str">
        <f>IFERROR(__xludf.DUMMYFUNCTION("""COMPUTED_VALUE"""),"効果時間")</f>
        <v>効果時間</v>
      </c>
      <c r="P220" s="392">
        <f>IFERROR(__xludf.DUMMYFUNCTION("""COMPUTED_VALUE"""),150.0)</f>
        <v>150</v>
      </c>
      <c r="Q220" s="393">
        <f>IFERROR(__xludf.DUMMYFUNCTION("""COMPUTED_VALUE"""),150.0)</f>
        <v>150</v>
      </c>
      <c r="R220" s="393">
        <f>IFERROR(__xludf.DUMMYFUNCTION("""COMPUTED_VALUE"""),150.0)</f>
        <v>150</v>
      </c>
      <c r="S220" s="393">
        <f>IFERROR(__xludf.DUMMYFUNCTION("""COMPUTED_VALUE"""),150.0)</f>
        <v>150</v>
      </c>
      <c r="T220" s="393">
        <f>IFERROR(__xludf.DUMMYFUNCTION("""COMPUTED_VALUE"""),150.0)</f>
        <v>150</v>
      </c>
      <c r="U220" s="393">
        <f>IFERROR(__xludf.DUMMYFUNCTION("""COMPUTED_VALUE"""),150.0)</f>
        <v>150</v>
      </c>
      <c r="V220" s="393">
        <f>IFERROR(__xludf.DUMMYFUNCTION("""COMPUTED_VALUE"""),160.0)</f>
        <v>160</v>
      </c>
      <c r="W220" s="394">
        <f>IFERROR(__xludf.DUMMYFUNCTION("""COMPUTED_VALUE"""),160.0)</f>
        <v>160</v>
      </c>
      <c r="X220" s="385" t="str">
        <f>IFERROR(__xludf.DUMMYFUNCTION("""COMPUTED_VALUE"""),"安定型")</f>
        <v>安定型</v>
      </c>
      <c r="Y220" s="386">
        <f>IFERROR(__xludf.DUMMYFUNCTION("""COMPUTED_VALUE"""),1.0)</f>
        <v>1</v>
      </c>
      <c r="Z220" s="387" t="str">
        <f>IFERROR(__xludf.DUMMYFUNCTION("""COMPUTED_VALUE"""),"効果時間")</f>
        <v>効果時間</v>
      </c>
      <c r="AA220" s="392">
        <f>IFERROR(__xludf.DUMMYFUNCTION("""COMPUTED_VALUE"""),300.0)</f>
        <v>300</v>
      </c>
      <c r="AB220" s="393">
        <f>IFERROR(__xludf.DUMMYFUNCTION("""COMPUTED_VALUE"""),300.0)</f>
        <v>300</v>
      </c>
      <c r="AC220" s="393">
        <f>IFERROR(__xludf.DUMMYFUNCTION("""COMPUTED_VALUE"""),300.0)</f>
        <v>300</v>
      </c>
      <c r="AD220" s="393">
        <f>IFERROR(__xludf.DUMMYFUNCTION("""COMPUTED_VALUE"""),300.0)</f>
        <v>300</v>
      </c>
      <c r="AE220" s="393">
        <f>IFERROR(__xludf.DUMMYFUNCTION("""COMPUTED_VALUE"""),300.0)</f>
        <v>300</v>
      </c>
      <c r="AF220" s="393">
        <f>IFERROR(__xludf.DUMMYFUNCTION("""COMPUTED_VALUE"""),300.0)</f>
        <v>300</v>
      </c>
      <c r="AG220" s="393">
        <f>IFERROR(__xludf.DUMMYFUNCTION("""COMPUTED_VALUE"""),310.0)</f>
        <v>310</v>
      </c>
      <c r="AH220" s="394">
        <f>IFERROR(__xludf.DUMMYFUNCTION("""COMPUTED_VALUE"""),310.0)</f>
        <v>310</v>
      </c>
      <c r="AI220" s="385" t="str">
        <f>IFERROR(__xludf.DUMMYFUNCTION("""COMPUTED_VALUE"""),"持続型")</f>
        <v>持続型</v>
      </c>
      <c r="AJ220" s="386">
        <f>IFERROR(__xludf.DUMMYFUNCTION("""COMPUTED_VALUE"""),1.0)</f>
        <v>1</v>
      </c>
      <c r="AK220" s="387" t="str">
        <f>IFERROR(__xludf.DUMMYFUNCTION("""COMPUTED_VALUE"""),"効果時間")</f>
        <v>効果時間</v>
      </c>
      <c r="AL220" s="392">
        <f>IFERROR(__xludf.DUMMYFUNCTION("""COMPUTED_VALUE"""),450.0)</f>
        <v>450</v>
      </c>
      <c r="AM220" s="393">
        <f>IFERROR(__xludf.DUMMYFUNCTION("""COMPUTED_VALUE"""),450.0)</f>
        <v>450</v>
      </c>
      <c r="AN220" s="393">
        <f>IFERROR(__xludf.DUMMYFUNCTION("""COMPUTED_VALUE"""),450.0)</f>
        <v>450</v>
      </c>
      <c r="AO220" s="393">
        <f>IFERROR(__xludf.DUMMYFUNCTION("""COMPUTED_VALUE"""),450.0)</f>
        <v>450</v>
      </c>
      <c r="AP220" s="393">
        <f>IFERROR(__xludf.DUMMYFUNCTION("""COMPUTED_VALUE"""),450.0)</f>
        <v>450</v>
      </c>
      <c r="AQ220" s="393">
        <f>IFERROR(__xludf.DUMMYFUNCTION("""COMPUTED_VALUE"""),450.0)</f>
        <v>450</v>
      </c>
      <c r="AR220" s="393">
        <f>IFERROR(__xludf.DUMMYFUNCTION("""COMPUTED_VALUE"""),460.0)</f>
        <v>460</v>
      </c>
      <c r="AS220" s="394">
        <f>IFERROR(__xludf.DUMMYFUNCTION("""COMPUTED_VALUE"""),460.0)</f>
        <v>460</v>
      </c>
      <c r="AT220" s="385" t="str">
        <f>IFERROR(__xludf.DUMMYFUNCTION("""COMPUTED_VALUE"""),"超持続型")</f>
        <v>超持続型</v>
      </c>
      <c r="AU220" s="386">
        <f>IFERROR(__xludf.DUMMYFUNCTION("""COMPUTED_VALUE"""),1.0)</f>
        <v>1</v>
      </c>
      <c r="AV220" s="387" t="str">
        <f>IFERROR(__xludf.DUMMYFUNCTION("""COMPUTED_VALUE"""),"効果時間")</f>
        <v>効果時間</v>
      </c>
      <c r="AW220" s="395" t="str">
        <f>IFERROR(__xludf.DUMMYFUNCTION("""COMPUTED_VALUE"""),"-")</f>
        <v>-</v>
      </c>
      <c r="AX220" s="396" t="str">
        <f>IFERROR(__xludf.DUMMYFUNCTION("""COMPUTED_VALUE"""),"-")</f>
        <v>-</v>
      </c>
      <c r="AY220" s="396" t="str">
        <f>IFERROR(__xludf.DUMMYFUNCTION("""COMPUTED_VALUE"""),"-")</f>
        <v>-</v>
      </c>
      <c r="AZ220" s="396" t="str">
        <f>IFERROR(__xludf.DUMMYFUNCTION("""COMPUTED_VALUE"""),"-")</f>
        <v>-</v>
      </c>
      <c r="BA220" s="396" t="str">
        <f>IFERROR(__xludf.DUMMYFUNCTION("""COMPUTED_VALUE"""),"-")</f>
        <v>-</v>
      </c>
      <c r="BB220" s="393">
        <f>IFERROR(__xludf.DUMMYFUNCTION("""COMPUTED_VALUE"""),600.0)</f>
        <v>600</v>
      </c>
      <c r="BC220" s="393">
        <f>IFERROR(__xludf.DUMMYFUNCTION("""COMPUTED_VALUE"""),610.0)</f>
        <v>610</v>
      </c>
      <c r="BD220" s="394">
        <f>IFERROR(__xludf.DUMMYFUNCTION("""COMPUTED_VALUE"""),610.0)</f>
        <v>610</v>
      </c>
      <c r="BE220" s="385" t="str">
        <f>IFERROR(__xludf.DUMMYFUNCTION("""COMPUTED_VALUE"""),"ハイブリッド型")</f>
        <v>ハイブリッド型</v>
      </c>
      <c r="BF220" s="386">
        <f>IFERROR(__xludf.DUMMYFUNCTION("""COMPUTED_VALUE"""),1.0)</f>
        <v>1</v>
      </c>
      <c r="BG220" s="387" t="str">
        <f>IFERROR(__xludf.DUMMYFUNCTION("""COMPUTED_VALUE"""),"効果時間")</f>
        <v>効果時間</v>
      </c>
      <c r="BH220" s="397">
        <f>IFERROR(__xludf.DUMMYFUNCTION("""COMPUTED_VALUE"""),150.0)</f>
        <v>150</v>
      </c>
      <c r="BI220" s="397">
        <f>IFERROR(__xludf.DUMMYFUNCTION("""COMPUTED_VALUE"""),150.0)</f>
        <v>150</v>
      </c>
      <c r="BJ220" s="397">
        <f>IFERROR(__xludf.DUMMYFUNCTION("""COMPUTED_VALUE"""),150.0)</f>
        <v>150</v>
      </c>
      <c r="BK220" s="398">
        <f>IFERROR(__xludf.DUMMYFUNCTION("""COMPUTED_VALUE"""),150.0)</f>
        <v>150</v>
      </c>
      <c r="BL220" s="397">
        <f>IFERROR(__xludf.DUMMYFUNCTION("""COMPUTED_VALUE"""),150.0)</f>
        <v>150</v>
      </c>
      <c r="BM220" s="398">
        <f>IFERROR(__xludf.DUMMYFUNCTION("""COMPUTED_VALUE"""),350.0)</f>
        <v>350</v>
      </c>
      <c r="BN220" s="397">
        <f>IFERROR(__xludf.DUMMYFUNCTION("""COMPUTED_VALUE"""),460.0)</f>
        <v>460</v>
      </c>
      <c r="BO220" s="398">
        <f>IFERROR(__xludf.DUMMYFUNCTION("""COMPUTED_VALUE"""),460.0)</f>
        <v>460</v>
      </c>
    </row>
    <row r="221">
      <c r="A221" s="307" t="str">
        <f>IFERROR(__xludf.DUMMYFUNCTION("""COMPUTED_VALUE"""),"攻撃力UP(自身)")</f>
        <v>攻撃力UP(自身)</v>
      </c>
      <c r="B221" s="385" t="str">
        <f>IFERROR(__xludf.DUMMYFUNCTION("""COMPUTED_VALUE"""),"超瞬間型")</f>
        <v>超瞬間型</v>
      </c>
      <c r="C221" s="399">
        <f>IFERROR(__xludf.DUMMYFUNCTION("""COMPUTED_VALUE"""),2.0)</f>
        <v>2</v>
      </c>
      <c r="D221" s="400" t="str">
        <f>IFERROR(__xludf.DUMMYFUNCTION("""COMPUTED_VALUE"""),"効果値")</f>
        <v>効果値</v>
      </c>
      <c r="E221" s="401" t="str">
        <f>IFERROR(__xludf.DUMMYFUNCTION("""COMPUTED_VALUE"""),"-")</f>
        <v>-</v>
      </c>
      <c r="F221" s="401" t="str">
        <f>IFERROR(__xludf.DUMMYFUNCTION("""COMPUTED_VALUE"""),"-")</f>
        <v>-</v>
      </c>
      <c r="G221" s="401" t="str">
        <f>IFERROR(__xludf.DUMMYFUNCTION("""COMPUTED_VALUE"""),"-")</f>
        <v>-</v>
      </c>
      <c r="H221" s="401" t="str">
        <f>IFERROR(__xludf.DUMMYFUNCTION("""COMPUTED_VALUE"""),"-")</f>
        <v>-</v>
      </c>
      <c r="I221" s="401" t="str">
        <f>IFERROR(__xludf.DUMMYFUNCTION("""COMPUTED_VALUE"""),"-")</f>
        <v>-</v>
      </c>
      <c r="J221" s="318">
        <f>IFERROR(__xludf.DUMMYFUNCTION("""COMPUTED_VALUE"""),57.0)</f>
        <v>57</v>
      </c>
      <c r="K221" s="318">
        <f>IFERROR(__xludf.DUMMYFUNCTION("""COMPUTED_VALUE"""),67.0)</f>
        <v>67</v>
      </c>
      <c r="L221" s="318">
        <f>IFERROR(__xludf.DUMMYFUNCTION("""COMPUTED_VALUE"""),69.0)</f>
        <v>69</v>
      </c>
      <c r="M221" s="385" t="str">
        <f>IFERROR(__xludf.DUMMYFUNCTION("""COMPUTED_VALUE"""),"瞬間型")</f>
        <v>瞬間型</v>
      </c>
      <c r="N221" s="399">
        <f>IFERROR(__xludf.DUMMYFUNCTION("""COMPUTED_VALUE"""),2.0)</f>
        <v>2</v>
      </c>
      <c r="O221" s="400" t="str">
        <f>IFERROR(__xludf.DUMMYFUNCTION("""COMPUTED_VALUE"""),"効果値")</f>
        <v>効果値</v>
      </c>
      <c r="P221" s="343">
        <f>IFERROR(__xludf.DUMMYFUNCTION("""COMPUTED_VALUE"""),21.0)</f>
        <v>21</v>
      </c>
      <c r="Q221" s="402">
        <f>IFERROR(__xludf.DUMMYFUNCTION("""COMPUTED_VALUE"""),21.0)</f>
        <v>21</v>
      </c>
      <c r="R221" s="343">
        <f>IFERROR(__xludf.DUMMYFUNCTION("""COMPUTED_VALUE"""),22.0)</f>
        <v>22</v>
      </c>
      <c r="S221" s="402">
        <f>IFERROR(__xludf.DUMMYFUNCTION("""COMPUTED_VALUE"""),22.0)</f>
        <v>22</v>
      </c>
      <c r="T221" s="343">
        <f>IFERROR(__xludf.DUMMYFUNCTION("""COMPUTED_VALUE"""),22.0)</f>
        <v>22</v>
      </c>
      <c r="U221" s="343">
        <f>IFERROR(__xludf.DUMMYFUNCTION("""COMPUTED_VALUE"""),27.0)</f>
        <v>27</v>
      </c>
      <c r="V221" s="343">
        <f>IFERROR(__xludf.DUMMYFUNCTION("""COMPUTED_VALUE"""),32.0)</f>
        <v>32</v>
      </c>
      <c r="W221" s="343">
        <f>IFERROR(__xludf.DUMMYFUNCTION("""COMPUTED_VALUE"""),34.0)</f>
        <v>34</v>
      </c>
      <c r="X221" s="385" t="str">
        <f>IFERROR(__xludf.DUMMYFUNCTION("""COMPUTED_VALUE"""),"安定型")</f>
        <v>安定型</v>
      </c>
      <c r="Y221" s="399">
        <f>IFERROR(__xludf.DUMMYFUNCTION("""COMPUTED_VALUE"""),2.0)</f>
        <v>2</v>
      </c>
      <c r="Z221" s="400" t="str">
        <f>IFERROR(__xludf.DUMMYFUNCTION("""COMPUTED_VALUE"""),"効果値")</f>
        <v>効果値</v>
      </c>
      <c r="AA221" s="343">
        <f>IFERROR(__xludf.DUMMYFUNCTION("""COMPUTED_VALUE"""),11.0)</f>
        <v>11</v>
      </c>
      <c r="AB221" s="402">
        <f>IFERROR(__xludf.DUMMYFUNCTION("""COMPUTED_VALUE"""),11.0)</f>
        <v>11</v>
      </c>
      <c r="AC221" s="343">
        <f>IFERROR(__xludf.DUMMYFUNCTION("""COMPUTED_VALUE"""),12.0)</f>
        <v>12</v>
      </c>
      <c r="AD221" s="402">
        <f>IFERROR(__xludf.DUMMYFUNCTION("""COMPUTED_VALUE"""),12.0)</f>
        <v>12</v>
      </c>
      <c r="AE221" s="343">
        <f>IFERROR(__xludf.DUMMYFUNCTION("""COMPUTED_VALUE"""),12.0)</f>
        <v>12</v>
      </c>
      <c r="AF221" s="343">
        <f>IFERROR(__xludf.DUMMYFUNCTION("""COMPUTED_VALUE"""),12.0)</f>
        <v>12</v>
      </c>
      <c r="AG221" s="343">
        <f>IFERROR(__xludf.DUMMYFUNCTION("""COMPUTED_VALUE"""),17.0)</f>
        <v>17</v>
      </c>
      <c r="AH221" s="343">
        <f>IFERROR(__xludf.DUMMYFUNCTION("""COMPUTED_VALUE"""),19.0)</f>
        <v>19</v>
      </c>
      <c r="AI221" s="385" t="str">
        <f>IFERROR(__xludf.DUMMYFUNCTION("""COMPUTED_VALUE"""),"持続型")</f>
        <v>持続型</v>
      </c>
      <c r="AJ221" s="399">
        <f>IFERROR(__xludf.DUMMYFUNCTION("""COMPUTED_VALUE"""),2.0)</f>
        <v>2</v>
      </c>
      <c r="AK221" s="400" t="str">
        <f>IFERROR(__xludf.DUMMYFUNCTION("""COMPUTED_VALUE"""),"効果値")</f>
        <v>効果値</v>
      </c>
      <c r="AL221" s="343">
        <f>IFERROR(__xludf.DUMMYFUNCTION("""COMPUTED_VALUE"""),6.0)</f>
        <v>6</v>
      </c>
      <c r="AM221" s="402">
        <f>IFERROR(__xludf.DUMMYFUNCTION("""COMPUTED_VALUE"""),6.0)</f>
        <v>6</v>
      </c>
      <c r="AN221" s="343">
        <f>IFERROR(__xludf.DUMMYFUNCTION("""COMPUTED_VALUE"""),7.0)</f>
        <v>7</v>
      </c>
      <c r="AO221" s="402">
        <f>IFERROR(__xludf.DUMMYFUNCTION("""COMPUTED_VALUE"""),7.0)</f>
        <v>7</v>
      </c>
      <c r="AP221" s="343">
        <f>IFERROR(__xludf.DUMMYFUNCTION("""COMPUTED_VALUE"""),7.0)</f>
        <v>7</v>
      </c>
      <c r="AQ221" s="343">
        <f>IFERROR(__xludf.DUMMYFUNCTION("""COMPUTED_VALUE"""),7.0)</f>
        <v>7</v>
      </c>
      <c r="AR221" s="343">
        <f>IFERROR(__xludf.DUMMYFUNCTION("""COMPUTED_VALUE"""),11.0)</f>
        <v>11</v>
      </c>
      <c r="AS221" s="343">
        <f>IFERROR(__xludf.DUMMYFUNCTION("""COMPUTED_VALUE"""),11.0)</f>
        <v>11</v>
      </c>
      <c r="AT221" s="385" t="str">
        <f>IFERROR(__xludf.DUMMYFUNCTION("""COMPUTED_VALUE"""),"超持続型")</f>
        <v>超持続型</v>
      </c>
      <c r="AU221" s="399">
        <f>IFERROR(__xludf.DUMMYFUNCTION("""COMPUTED_VALUE"""),2.0)</f>
        <v>2</v>
      </c>
      <c r="AV221" s="400" t="str">
        <f>IFERROR(__xludf.DUMMYFUNCTION("""COMPUTED_VALUE"""),"効果値")</f>
        <v>効果値</v>
      </c>
      <c r="AW221" s="403" t="str">
        <f>IFERROR(__xludf.DUMMYFUNCTION("""COMPUTED_VALUE"""),"-")</f>
        <v>-</v>
      </c>
      <c r="AX221" s="403" t="str">
        <f>IFERROR(__xludf.DUMMYFUNCTION("""COMPUTED_VALUE"""),"-")</f>
        <v>-</v>
      </c>
      <c r="AY221" s="403" t="str">
        <f>IFERROR(__xludf.DUMMYFUNCTION("""COMPUTED_VALUE"""),"-")</f>
        <v>-</v>
      </c>
      <c r="AZ221" s="403" t="str">
        <f>IFERROR(__xludf.DUMMYFUNCTION("""COMPUTED_VALUE"""),"-")</f>
        <v>-</v>
      </c>
      <c r="BA221" s="403" t="str">
        <f>IFERROR(__xludf.DUMMYFUNCTION("""COMPUTED_VALUE"""),"-")</f>
        <v>-</v>
      </c>
      <c r="BB221" s="343">
        <f>IFERROR(__xludf.DUMMYFUNCTION("""COMPUTED_VALUE"""),7.0)</f>
        <v>7</v>
      </c>
      <c r="BC221" s="343">
        <f>IFERROR(__xludf.DUMMYFUNCTION("""COMPUTED_VALUE"""),11.0)</f>
        <v>11</v>
      </c>
      <c r="BD221" s="343">
        <f>IFERROR(__xludf.DUMMYFUNCTION("""COMPUTED_VALUE"""),11.0)</f>
        <v>11</v>
      </c>
      <c r="BE221" s="385" t="str">
        <f>IFERROR(__xludf.DUMMYFUNCTION("""COMPUTED_VALUE"""),"ハイブリッド型")</f>
        <v>ハイブリッド型</v>
      </c>
      <c r="BF221" s="399">
        <f>IFERROR(__xludf.DUMMYFUNCTION("""COMPUTED_VALUE"""),2.0)</f>
        <v>2</v>
      </c>
      <c r="BG221" s="400" t="str">
        <f>IFERROR(__xludf.DUMMYFUNCTION("""COMPUTED_VALUE"""),"効果値")</f>
        <v>効果値</v>
      </c>
      <c r="BH221" s="404">
        <f>IFERROR(__xludf.DUMMYFUNCTION("""COMPUTED_VALUE"""),10.8)</f>
        <v>10.8</v>
      </c>
      <c r="BI221" s="405">
        <f>IFERROR(__xludf.DUMMYFUNCTION("""COMPUTED_VALUE"""),11.2)</f>
        <v>11.2</v>
      </c>
      <c r="BJ221" s="405">
        <f>IFERROR(__xludf.DUMMYFUNCTION("""COMPUTED_VALUE"""),11.5)</f>
        <v>11.5</v>
      </c>
      <c r="BK221" s="405">
        <f>IFERROR(__xludf.DUMMYFUNCTION("""COMPUTED_VALUE"""),11.8)</f>
        <v>11.8</v>
      </c>
      <c r="BL221" s="405">
        <f>IFERROR(__xludf.DUMMYFUNCTION("""COMPUTED_VALUE"""),12.1)</f>
        <v>12.1</v>
      </c>
      <c r="BM221" s="405">
        <f>IFERROR(__xludf.DUMMYFUNCTION("""COMPUTED_VALUE"""),17.1)</f>
        <v>17.1</v>
      </c>
      <c r="BN221" s="405">
        <f>IFERROR(__xludf.DUMMYFUNCTION("""COMPUTED_VALUE"""),22.0)</f>
        <v>22</v>
      </c>
      <c r="BO221" s="406">
        <f>IFERROR(__xludf.DUMMYFUNCTION("""COMPUTED_VALUE"""),24.0)</f>
        <v>24</v>
      </c>
    </row>
    <row r="222">
      <c r="A222" s="307" t="str">
        <f>IFERROR(__xludf.DUMMYFUNCTION("""COMPUTED_VALUE"""),"攻撃力UP(自身)")</f>
        <v>攻撃力UP(自身)</v>
      </c>
      <c r="B222" s="385" t="str">
        <f>IFERROR(__xludf.DUMMYFUNCTION("""COMPUTED_VALUE"""),"超瞬間型")</f>
        <v>超瞬間型</v>
      </c>
      <c r="C222" s="386">
        <f>IFERROR(__xludf.DUMMYFUNCTION("""COMPUTED_VALUE"""),2.0)</f>
        <v>2</v>
      </c>
      <c r="D222" s="387" t="str">
        <f>IFERROR(__xludf.DUMMYFUNCTION("""COMPUTED_VALUE"""),"効果時間")</f>
        <v>効果時間</v>
      </c>
      <c r="E222" s="388" t="str">
        <f>IFERROR(__xludf.DUMMYFUNCTION("""COMPUTED_VALUE"""),"-")</f>
        <v>-</v>
      </c>
      <c r="F222" s="389" t="str">
        <f>IFERROR(__xludf.DUMMYFUNCTION("""COMPUTED_VALUE"""),"-")</f>
        <v>-</v>
      </c>
      <c r="G222" s="388" t="str">
        <f>IFERROR(__xludf.DUMMYFUNCTION("""COMPUTED_VALUE"""),"-")</f>
        <v>-</v>
      </c>
      <c r="H222" s="389" t="str">
        <f>IFERROR(__xludf.DUMMYFUNCTION("""COMPUTED_VALUE"""),"-")</f>
        <v>-</v>
      </c>
      <c r="I222" s="388" t="str">
        <f>IFERROR(__xludf.DUMMYFUNCTION("""COMPUTED_VALUE"""),"-")</f>
        <v>-</v>
      </c>
      <c r="J222" s="390">
        <f>IFERROR(__xludf.DUMMYFUNCTION("""COMPUTED_VALUE"""),150.0)</f>
        <v>150</v>
      </c>
      <c r="K222" s="391">
        <f>IFERROR(__xludf.DUMMYFUNCTION("""COMPUTED_VALUE"""),160.0)</f>
        <v>160</v>
      </c>
      <c r="L222" s="340">
        <f>IFERROR(__xludf.DUMMYFUNCTION("""COMPUTED_VALUE"""),170.0)</f>
        <v>170</v>
      </c>
      <c r="M222" s="385" t="str">
        <f>IFERROR(__xludf.DUMMYFUNCTION("""COMPUTED_VALUE"""),"瞬間型")</f>
        <v>瞬間型</v>
      </c>
      <c r="N222" s="386">
        <f>IFERROR(__xludf.DUMMYFUNCTION("""COMPUTED_VALUE"""),2.0)</f>
        <v>2</v>
      </c>
      <c r="O222" s="387" t="str">
        <f>IFERROR(__xludf.DUMMYFUNCTION("""COMPUTED_VALUE"""),"効果時間")</f>
        <v>効果時間</v>
      </c>
      <c r="P222" s="392">
        <f>IFERROR(__xludf.DUMMYFUNCTION("""COMPUTED_VALUE"""),160.0)</f>
        <v>160</v>
      </c>
      <c r="Q222" s="275">
        <f>IFERROR(__xludf.DUMMYFUNCTION("""COMPUTED_VALUE"""),165.0)</f>
        <v>165</v>
      </c>
      <c r="R222" s="280">
        <f>IFERROR(__xludf.DUMMYFUNCTION("""COMPUTED_VALUE"""),170.0)</f>
        <v>170</v>
      </c>
      <c r="S222" s="275">
        <f>IFERROR(__xludf.DUMMYFUNCTION("""COMPUTED_VALUE"""),175.0)</f>
        <v>175</v>
      </c>
      <c r="T222" s="280">
        <f>IFERROR(__xludf.DUMMYFUNCTION("""COMPUTED_VALUE"""),180.0)</f>
        <v>180</v>
      </c>
      <c r="U222" s="280">
        <f>IFERROR(__xludf.DUMMYFUNCTION("""COMPUTED_VALUE"""),180.0)</f>
        <v>180</v>
      </c>
      <c r="V222" s="280">
        <f>IFERROR(__xludf.DUMMYFUNCTION("""COMPUTED_VALUE"""),220.0)</f>
        <v>220</v>
      </c>
      <c r="W222" s="280">
        <f>IFERROR(__xludf.DUMMYFUNCTION("""COMPUTED_VALUE"""),230.0)</f>
        <v>230</v>
      </c>
      <c r="X222" s="385" t="str">
        <f>IFERROR(__xludf.DUMMYFUNCTION("""COMPUTED_VALUE"""),"安定型")</f>
        <v>安定型</v>
      </c>
      <c r="Y222" s="386">
        <f>IFERROR(__xludf.DUMMYFUNCTION("""COMPUTED_VALUE"""),2.0)</f>
        <v>2</v>
      </c>
      <c r="Z222" s="387" t="str">
        <f>IFERROR(__xludf.DUMMYFUNCTION("""COMPUTED_VALUE"""),"効果時間")</f>
        <v>効果時間</v>
      </c>
      <c r="AA222" s="392">
        <f>IFERROR(__xludf.DUMMYFUNCTION("""COMPUTED_VALUE"""),310.0)</f>
        <v>310</v>
      </c>
      <c r="AB222" s="275">
        <f>IFERROR(__xludf.DUMMYFUNCTION("""COMPUTED_VALUE"""),315.0)</f>
        <v>315</v>
      </c>
      <c r="AC222" s="280">
        <f>IFERROR(__xludf.DUMMYFUNCTION("""COMPUTED_VALUE"""),320.0)</f>
        <v>320</v>
      </c>
      <c r="AD222" s="275">
        <f>IFERROR(__xludf.DUMMYFUNCTION("""COMPUTED_VALUE"""),325.0)</f>
        <v>325</v>
      </c>
      <c r="AE222" s="280">
        <f>IFERROR(__xludf.DUMMYFUNCTION("""COMPUTED_VALUE"""),330.0)</f>
        <v>330</v>
      </c>
      <c r="AF222" s="280">
        <f>IFERROR(__xludf.DUMMYFUNCTION("""COMPUTED_VALUE"""),345.0)</f>
        <v>345</v>
      </c>
      <c r="AG222" s="280">
        <f>IFERROR(__xludf.DUMMYFUNCTION("""COMPUTED_VALUE"""),370.0)</f>
        <v>370</v>
      </c>
      <c r="AH222" s="280">
        <f>IFERROR(__xludf.DUMMYFUNCTION("""COMPUTED_VALUE"""),380.0)</f>
        <v>380</v>
      </c>
      <c r="AI222" s="385" t="str">
        <f>IFERROR(__xludf.DUMMYFUNCTION("""COMPUTED_VALUE"""),"持続型")</f>
        <v>持続型</v>
      </c>
      <c r="AJ222" s="386">
        <f>IFERROR(__xludf.DUMMYFUNCTION("""COMPUTED_VALUE"""),2.0)</f>
        <v>2</v>
      </c>
      <c r="AK222" s="387" t="str">
        <f>IFERROR(__xludf.DUMMYFUNCTION("""COMPUTED_VALUE"""),"効果時間")</f>
        <v>効果時間</v>
      </c>
      <c r="AL222" s="392">
        <f>IFERROR(__xludf.DUMMYFUNCTION("""COMPUTED_VALUE"""),460.0)</f>
        <v>460</v>
      </c>
      <c r="AM222" s="275">
        <f>IFERROR(__xludf.DUMMYFUNCTION("""COMPUTED_VALUE"""),465.0)</f>
        <v>465</v>
      </c>
      <c r="AN222" s="280">
        <f>IFERROR(__xludf.DUMMYFUNCTION("""COMPUTED_VALUE"""),470.0)</f>
        <v>470</v>
      </c>
      <c r="AO222" s="275">
        <f>IFERROR(__xludf.DUMMYFUNCTION("""COMPUTED_VALUE"""),475.0)</f>
        <v>475</v>
      </c>
      <c r="AP222" s="280">
        <f>IFERROR(__xludf.DUMMYFUNCTION("""COMPUTED_VALUE"""),480.0)</f>
        <v>480</v>
      </c>
      <c r="AQ222" s="280">
        <f>IFERROR(__xludf.DUMMYFUNCTION("""COMPUTED_VALUE"""),495.0)</f>
        <v>495</v>
      </c>
      <c r="AR222" s="280">
        <f>IFERROR(__xludf.DUMMYFUNCTION("""COMPUTED_VALUE"""),520.0)</f>
        <v>520</v>
      </c>
      <c r="AS222" s="280">
        <f>IFERROR(__xludf.DUMMYFUNCTION("""COMPUTED_VALUE"""),530.0)</f>
        <v>530</v>
      </c>
      <c r="AT222" s="385" t="str">
        <f>IFERROR(__xludf.DUMMYFUNCTION("""COMPUTED_VALUE"""),"超持続型")</f>
        <v>超持続型</v>
      </c>
      <c r="AU222" s="386">
        <f>IFERROR(__xludf.DUMMYFUNCTION("""COMPUTED_VALUE"""),2.0)</f>
        <v>2</v>
      </c>
      <c r="AV222" s="387" t="str">
        <f>IFERROR(__xludf.DUMMYFUNCTION("""COMPUTED_VALUE"""),"効果時間")</f>
        <v>効果時間</v>
      </c>
      <c r="AW222" s="368" t="str">
        <f>IFERROR(__xludf.DUMMYFUNCTION("""COMPUTED_VALUE"""),"-")</f>
        <v>-</v>
      </c>
      <c r="AX222" s="368" t="str">
        <f>IFERROR(__xludf.DUMMYFUNCTION("""COMPUTED_VALUE"""),"-")</f>
        <v>-</v>
      </c>
      <c r="AY222" s="368" t="str">
        <f>IFERROR(__xludf.DUMMYFUNCTION("""COMPUTED_VALUE"""),"-")</f>
        <v>-</v>
      </c>
      <c r="AZ222" s="368" t="str">
        <f>IFERROR(__xludf.DUMMYFUNCTION("""COMPUTED_VALUE"""),"-")</f>
        <v>-</v>
      </c>
      <c r="BA222" s="368" t="str">
        <f>IFERROR(__xludf.DUMMYFUNCTION("""COMPUTED_VALUE"""),"-")</f>
        <v>-</v>
      </c>
      <c r="BB222" s="280">
        <f>IFERROR(__xludf.DUMMYFUNCTION("""COMPUTED_VALUE"""),625.0)</f>
        <v>625</v>
      </c>
      <c r="BC222" s="280">
        <f>IFERROR(__xludf.DUMMYFUNCTION("""COMPUTED_VALUE"""),670.0)</f>
        <v>670</v>
      </c>
      <c r="BD222" s="280">
        <f>IFERROR(__xludf.DUMMYFUNCTION("""COMPUTED_VALUE"""),680.0)</f>
        <v>680</v>
      </c>
      <c r="BE222" s="385" t="str">
        <f>IFERROR(__xludf.DUMMYFUNCTION("""COMPUTED_VALUE"""),"ハイブリッド型")</f>
        <v>ハイブリッド型</v>
      </c>
      <c r="BF222" s="386">
        <f>IFERROR(__xludf.DUMMYFUNCTION("""COMPUTED_VALUE"""),2.0)</f>
        <v>2</v>
      </c>
      <c r="BG222" s="387" t="str">
        <f>IFERROR(__xludf.DUMMYFUNCTION("""COMPUTED_VALUE"""),"効果時間")</f>
        <v>効果時間</v>
      </c>
      <c r="BH222" s="407">
        <f>IFERROR(__xludf.DUMMYFUNCTION("""COMPUTED_VALUE"""),195.0)</f>
        <v>195</v>
      </c>
      <c r="BI222" s="407">
        <f>IFERROR(__xludf.DUMMYFUNCTION("""COMPUTED_VALUE"""),205.0)</f>
        <v>205</v>
      </c>
      <c r="BJ222" s="407">
        <f>IFERROR(__xludf.DUMMYFUNCTION("""COMPUTED_VALUE"""),205.0)</f>
        <v>205</v>
      </c>
      <c r="BK222" s="408">
        <f>IFERROR(__xludf.DUMMYFUNCTION("""COMPUTED_VALUE"""),210.0)</f>
        <v>210</v>
      </c>
      <c r="BL222" s="407">
        <f>IFERROR(__xludf.DUMMYFUNCTION("""COMPUTED_VALUE"""),215.0)</f>
        <v>215</v>
      </c>
      <c r="BM222" s="408">
        <f>IFERROR(__xludf.DUMMYFUNCTION("""COMPUTED_VALUE"""),375.0)</f>
        <v>375</v>
      </c>
      <c r="BN222" s="407">
        <f>IFERROR(__xludf.DUMMYFUNCTION("""COMPUTED_VALUE"""),480.0)</f>
        <v>480</v>
      </c>
      <c r="BO222" s="408">
        <f>IFERROR(__xludf.DUMMYFUNCTION("""COMPUTED_VALUE"""),490.0)</f>
        <v>490</v>
      </c>
    </row>
    <row r="223">
      <c r="A223" s="307" t="str">
        <f>IFERROR(__xludf.DUMMYFUNCTION("""COMPUTED_VALUE"""),"攻撃力UP(自身)")</f>
        <v>攻撃力UP(自身)</v>
      </c>
      <c r="B223" s="385" t="str">
        <f>IFERROR(__xludf.DUMMYFUNCTION("""COMPUTED_VALUE"""),"超瞬間型")</f>
        <v>超瞬間型</v>
      </c>
      <c r="C223" s="399">
        <f>IFERROR(__xludf.DUMMYFUNCTION("""COMPUTED_VALUE"""),3.0)</f>
        <v>3</v>
      </c>
      <c r="D223" s="400" t="str">
        <f>IFERROR(__xludf.DUMMYFUNCTION("""COMPUTED_VALUE"""),"効果値")</f>
        <v>効果値</v>
      </c>
      <c r="E223" s="401" t="str">
        <f>IFERROR(__xludf.DUMMYFUNCTION("""COMPUTED_VALUE"""),"-")</f>
        <v>-</v>
      </c>
      <c r="F223" s="409" t="str">
        <f>IFERROR(__xludf.DUMMYFUNCTION("""COMPUTED_VALUE"""),"-")</f>
        <v>-</v>
      </c>
      <c r="G223" s="401" t="str">
        <f>IFERROR(__xludf.DUMMYFUNCTION("""COMPUTED_VALUE"""),"-")</f>
        <v>-</v>
      </c>
      <c r="H223" s="409" t="str">
        <f>IFERROR(__xludf.DUMMYFUNCTION("""COMPUTED_VALUE"""),"-")</f>
        <v>-</v>
      </c>
      <c r="I223" s="409" t="str">
        <f>IFERROR(__xludf.DUMMYFUNCTION("""COMPUTED_VALUE"""),"-")</f>
        <v>-</v>
      </c>
      <c r="J223" s="410">
        <f>IFERROR(__xludf.DUMMYFUNCTION("""COMPUTED_VALUE"""),58.0)</f>
        <v>58</v>
      </c>
      <c r="K223" s="410">
        <f>IFERROR(__xludf.DUMMYFUNCTION("""COMPUTED_VALUE"""),68.0)</f>
        <v>68</v>
      </c>
      <c r="L223" s="410">
        <f>IFERROR(__xludf.DUMMYFUNCTION("""COMPUTED_VALUE"""),72.0)</f>
        <v>72</v>
      </c>
      <c r="M223" s="385" t="str">
        <f>IFERROR(__xludf.DUMMYFUNCTION("""COMPUTED_VALUE"""),"瞬間型")</f>
        <v>瞬間型</v>
      </c>
      <c r="N223" s="399">
        <f>IFERROR(__xludf.DUMMYFUNCTION("""COMPUTED_VALUE"""),3.0)</f>
        <v>3</v>
      </c>
      <c r="O223" s="400" t="str">
        <f>IFERROR(__xludf.DUMMYFUNCTION("""COMPUTED_VALUE"""),"効果値")</f>
        <v>効果値</v>
      </c>
      <c r="P223" s="343">
        <f>IFERROR(__xludf.DUMMYFUNCTION("""COMPUTED_VALUE"""),22.0)</f>
        <v>22</v>
      </c>
      <c r="Q223" s="402">
        <f>IFERROR(__xludf.DUMMYFUNCTION("""COMPUTED_VALUE"""),22.0)</f>
        <v>22</v>
      </c>
      <c r="R223" s="402">
        <f>IFERROR(__xludf.DUMMYFUNCTION("""COMPUTED_VALUE"""),23.0)</f>
        <v>23</v>
      </c>
      <c r="S223" s="402">
        <f>IFERROR(__xludf.DUMMYFUNCTION("""COMPUTED_VALUE"""),23.0)</f>
        <v>23</v>
      </c>
      <c r="T223" s="402">
        <f>IFERROR(__xludf.DUMMYFUNCTION("""COMPUTED_VALUE"""),23.0)</f>
        <v>23</v>
      </c>
      <c r="U223" s="402">
        <f>IFERROR(__xludf.DUMMYFUNCTION("""COMPUTED_VALUE"""),28.0)</f>
        <v>28</v>
      </c>
      <c r="V223" s="402">
        <f>IFERROR(__xludf.DUMMYFUNCTION("""COMPUTED_VALUE"""),33.0)</f>
        <v>33</v>
      </c>
      <c r="W223" s="402">
        <f>IFERROR(__xludf.DUMMYFUNCTION("""COMPUTED_VALUE"""),37.0)</f>
        <v>37</v>
      </c>
      <c r="X223" s="385" t="str">
        <f>IFERROR(__xludf.DUMMYFUNCTION("""COMPUTED_VALUE"""),"安定型")</f>
        <v>安定型</v>
      </c>
      <c r="Y223" s="399">
        <f>IFERROR(__xludf.DUMMYFUNCTION("""COMPUTED_VALUE"""),3.0)</f>
        <v>3</v>
      </c>
      <c r="Z223" s="400" t="str">
        <f>IFERROR(__xludf.DUMMYFUNCTION("""COMPUTED_VALUE"""),"効果値")</f>
        <v>効果値</v>
      </c>
      <c r="AA223" s="343">
        <f>IFERROR(__xludf.DUMMYFUNCTION("""COMPUTED_VALUE"""),12.0)</f>
        <v>12</v>
      </c>
      <c r="AB223" s="402">
        <f>IFERROR(__xludf.DUMMYFUNCTION("""COMPUTED_VALUE"""),12.0)</f>
        <v>12</v>
      </c>
      <c r="AC223" s="402">
        <f>IFERROR(__xludf.DUMMYFUNCTION("""COMPUTED_VALUE"""),13.0)</f>
        <v>13</v>
      </c>
      <c r="AD223" s="402">
        <f>IFERROR(__xludf.DUMMYFUNCTION("""COMPUTED_VALUE"""),13.0)</f>
        <v>13</v>
      </c>
      <c r="AE223" s="402">
        <f>IFERROR(__xludf.DUMMYFUNCTION("""COMPUTED_VALUE"""),13.0)</f>
        <v>13</v>
      </c>
      <c r="AF223" s="402">
        <f>IFERROR(__xludf.DUMMYFUNCTION("""COMPUTED_VALUE"""),13.0)</f>
        <v>13</v>
      </c>
      <c r="AG223" s="402">
        <f>IFERROR(__xludf.DUMMYFUNCTION("""COMPUTED_VALUE"""),18.0)</f>
        <v>18</v>
      </c>
      <c r="AH223" s="402">
        <f>IFERROR(__xludf.DUMMYFUNCTION("""COMPUTED_VALUE"""),22.0)</f>
        <v>22</v>
      </c>
      <c r="AI223" s="385" t="str">
        <f>IFERROR(__xludf.DUMMYFUNCTION("""COMPUTED_VALUE"""),"持続型")</f>
        <v>持続型</v>
      </c>
      <c r="AJ223" s="399">
        <f>IFERROR(__xludf.DUMMYFUNCTION("""COMPUTED_VALUE"""),3.0)</f>
        <v>3</v>
      </c>
      <c r="AK223" s="400" t="str">
        <f>IFERROR(__xludf.DUMMYFUNCTION("""COMPUTED_VALUE"""),"効果値")</f>
        <v>効果値</v>
      </c>
      <c r="AL223" s="343">
        <f>IFERROR(__xludf.DUMMYFUNCTION("""COMPUTED_VALUE"""),7.0)</f>
        <v>7</v>
      </c>
      <c r="AM223" s="402">
        <f>IFERROR(__xludf.DUMMYFUNCTION("""COMPUTED_VALUE"""),7.0)</f>
        <v>7</v>
      </c>
      <c r="AN223" s="402">
        <f>IFERROR(__xludf.DUMMYFUNCTION("""COMPUTED_VALUE"""),8.0)</f>
        <v>8</v>
      </c>
      <c r="AO223" s="402">
        <f>IFERROR(__xludf.DUMMYFUNCTION("""COMPUTED_VALUE"""),8.0)</f>
        <v>8</v>
      </c>
      <c r="AP223" s="402">
        <f>IFERROR(__xludf.DUMMYFUNCTION("""COMPUTED_VALUE"""),8.0)</f>
        <v>8</v>
      </c>
      <c r="AQ223" s="402">
        <f>IFERROR(__xludf.DUMMYFUNCTION("""COMPUTED_VALUE"""),8.0)</f>
        <v>8</v>
      </c>
      <c r="AR223" s="402">
        <f>IFERROR(__xludf.DUMMYFUNCTION("""COMPUTED_VALUE"""),11.0)</f>
        <v>11</v>
      </c>
      <c r="AS223" s="402">
        <f>IFERROR(__xludf.DUMMYFUNCTION("""COMPUTED_VALUE"""),11.0)</f>
        <v>11</v>
      </c>
      <c r="AT223" s="385" t="str">
        <f>IFERROR(__xludf.DUMMYFUNCTION("""COMPUTED_VALUE"""),"超持続型")</f>
        <v>超持続型</v>
      </c>
      <c r="AU223" s="399">
        <f>IFERROR(__xludf.DUMMYFUNCTION("""COMPUTED_VALUE"""),3.0)</f>
        <v>3</v>
      </c>
      <c r="AV223" s="400" t="str">
        <f>IFERROR(__xludf.DUMMYFUNCTION("""COMPUTED_VALUE"""),"効果値")</f>
        <v>効果値</v>
      </c>
      <c r="AW223" s="403" t="str">
        <f>IFERROR(__xludf.DUMMYFUNCTION("""COMPUTED_VALUE"""),"-")</f>
        <v>-</v>
      </c>
      <c r="AX223" s="403" t="str">
        <f>IFERROR(__xludf.DUMMYFUNCTION("""COMPUTED_VALUE"""),"-")</f>
        <v>-</v>
      </c>
      <c r="AY223" s="403" t="str">
        <f>IFERROR(__xludf.DUMMYFUNCTION("""COMPUTED_VALUE"""),"-")</f>
        <v>-</v>
      </c>
      <c r="AZ223" s="403" t="str">
        <f>IFERROR(__xludf.DUMMYFUNCTION("""COMPUTED_VALUE"""),"-")</f>
        <v>-</v>
      </c>
      <c r="BA223" s="403" t="str">
        <f>IFERROR(__xludf.DUMMYFUNCTION("""COMPUTED_VALUE"""),"-")</f>
        <v>-</v>
      </c>
      <c r="BB223" s="343">
        <f>IFERROR(__xludf.DUMMYFUNCTION("""COMPUTED_VALUE"""),8.0)</f>
        <v>8</v>
      </c>
      <c r="BC223" s="343">
        <f>IFERROR(__xludf.DUMMYFUNCTION("""COMPUTED_VALUE"""),11.0)</f>
        <v>11</v>
      </c>
      <c r="BD223" s="343">
        <f>IFERROR(__xludf.DUMMYFUNCTION("""COMPUTED_VALUE"""),11.0)</f>
        <v>11</v>
      </c>
      <c r="BE223" s="385" t="str">
        <f>IFERROR(__xludf.DUMMYFUNCTION("""COMPUTED_VALUE"""),"ハイブリッド型")</f>
        <v>ハイブリッド型</v>
      </c>
      <c r="BF223" s="399">
        <f>IFERROR(__xludf.DUMMYFUNCTION("""COMPUTED_VALUE"""),3.0)</f>
        <v>3</v>
      </c>
      <c r="BG223" s="400" t="str">
        <f>IFERROR(__xludf.DUMMYFUNCTION("""COMPUTED_VALUE"""),"効果値")</f>
        <v>効果値</v>
      </c>
      <c r="BH223" s="411">
        <f>IFERROR(__xludf.DUMMYFUNCTION("""COMPUTED_VALUE"""),11.4)</f>
        <v>11.4</v>
      </c>
      <c r="BI223" s="412">
        <f>IFERROR(__xludf.DUMMYFUNCTION("""COMPUTED_VALUE"""),11.9)</f>
        <v>11.9</v>
      </c>
      <c r="BJ223" s="412">
        <f>IFERROR(__xludf.DUMMYFUNCTION("""COMPUTED_VALUE"""),12.5)</f>
        <v>12.5</v>
      </c>
      <c r="BK223" s="412">
        <f>IFERROR(__xludf.DUMMYFUNCTION("""COMPUTED_VALUE"""),13.0)</f>
        <v>13</v>
      </c>
      <c r="BL223" s="412">
        <f>IFERROR(__xludf.DUMMYFUNCTION("""COMPUTED_VALUE"""),13.5)</f>
        <v>13.5</v>
      </c>
      <c r="BM223" s="412">
        <f>IFERROR(__xludf.DUMMYFUNCTION("""COMPUTED_VALUE"""),18.5)</f>
        <v>18.5</v>
      </c>
      <c r="BN223" s="412">
        <f>IFERROR(__xludf.DUMMYFUNCTION("""COMPUTED_VALUE"""),23.0)</f>
        <v>23</v>
      </c>
      <c r="BO223" s="413">
        <f>IFERROR(__xludf.DUMMYFUNCTION("""COMPUTED_VALUE"""),27.0)</f>
        <v>27</v>
      </c>
    </row>
    <row r="224">
      <c r="A224" s="320" t="str">
        <f>IFERROR(__xludf.DUMMYFUNCTION("""COMPUTED_VALUE"""),"攻撃力UP(自身)")</f>
        <v>攻撃力UP(自身)</v>
      </c>
      <c r="B224" s="385" t="str">
        <f>IFERROR(__xludf.DUMMYFUNCTION("""COMPUTED_VALUE"""),"超瞬間型")</f>
        <v>超瞬間型</v>
      </c>
      <c r="C224" s="386">
        <f>IFERROR(__xludf.DUMMYFUNCTION("""COMPUTED_VALUE"""),3.0)</f>
        <v>3</v>
      </c>
      <c r="D224" s="387" t="str">
        <f>IFERROR(__xludf.DUMMYFUNCTION("""COMPUTED_VALUE"""),"効果時間")</f>
        <v>効果時間</v>
      </c>
      <c r="E224" s="388" t="str">
        <f>IFERROR(__xludf.DUMMYFUNCTION("""COMPUTED_VALUE"""),"-")</f>
        <v>-</v>
      </c>
      <c r="F224" s="389" t="str">
        <f>IFERROR(__xludf.DUMMYFUNCTION("""COMPUTED_VALUE"""),"-")</f>
        <v>-</v>
      </c>
      <c r="G224" s="388" t="str">
        <f>IFERROR(__xludf.DUMMYFUNCTION("""COMPUTED_VALUE"""),"-")</f>
        <v>-</v>
      </c>
      <c r="H224" s="389" t="str">
        <f>IFERROR(__xludf.DUMMYFUNCTION("""COMPUTED_VALUE"""),"-")</f>
        <v>-</v>
      </c>
      <c r="I224" s="388" t="str">
        <f>IFERROR(__xludf.DUMMYFUNCTION("""COMPUTED_VALUE"""),"-")</f>
        <v>-</v>
      </c>
      <c r="J224" s="390">
        <f>IFERROR(__xludf.DUMMYFUNCTION("""COMPUTED_VALUE"""),155.0)</f>
        <v>155</v>
      </c>
      <c r="K224" s="391">
        <f>IFERROR(__xludf.DUMMYFUNCTION("""COMPUTED_VALUE"""),165.0)</f>
        <v>165</v>
      </c>
      <c r="L224" s="340">
        <f>IFERROR(__xludf.DUMMYFUNCTION("""COMPUTED_VALUE"""),185.0)</f>
        <v>185</v>
      </c>
      <c r="M224" s="385" t="str">
        <f>IFERROR(__xludf.DUMMYFUNCTION("""COMPUTED_VALUE"""),"瞬間型")</f>
        <v>瞬間型</v>
      </c>
      <c r="N224" s="386">
        <f>IFERROR(__xludf.DUMMYFUNCTION("""COMPUTED_VALUE"""),3.0)</f>
        <v>3</v>
      </c>
      <c r="O224" s="387" t="str">
        <f>IFERROR(__xludf.DUMMYFUNCTION("""COMPUTED_VALUE"""),"効果時間")</f>
        <v>効果時間</v>
      </c>
      <c r="P224" s="392">
        <f>IFERROR(__xludf.DUMMYFUNCTION("""COMPUTED_VALUE"""),165.0)</f>
        <v>165</v>
      </c>
      <c r="Q224" s="414">
        <f>IFERROR(__xludf.DUMMYFUNCTION("""COMPUTED_VALUE"""),175.0)</f>
        <v>175</v>
      </c>
      <c r="R224" s="415">
        <f>IFERROR(__xludf.DUMMYFUNCTION("""COMPUTED_VALUE"""),180.0)</f>
        <v>180</v>
      </c>
      <c r="S224" s="393">
        <f>IFERROR(__xludf.DUMMYFUNCTION("""COMPUTED_VALUE"""),185.0)</f>
        <v>185</v>
      </c>
      <c r="T224" s="393">
        <f>IFERROR(__xludf.DUMMYFUNCTION("""COMPUTED_VALUE"""),195.0)</f>
        <v>195</v>
      </c>
      <c r="U224" s="414">
        <f>IFERROR(__xludf.DUMMYFUNCTION("""COMPUTED_VALUE"""),200.0)</f>
        <v>200</v>
      </c>
      <c r="V224" s="416">
        <f>IFERROR(__xludf.DUMMYFUNCTION("""COMPUTED_VALUE"""),255.0)</f>
        <v>255</v>
      </c>
      <c r="W224" s="415">
        <f>IFERROR(__xludf.DUMMYFUNCTION("""COMPUTED_VALUE"""),270.0)</f>
        <v>270</v>
      </c>
      <c r="X224" s="385" t="str">
        <f>IFERROR(__xludf.DUMMYFUNCTION("""COMPUTED_VALUE"""),"安定型")</f>
        <v>安定型</v>
      </c>
      <c r="Y224" s="386">
        <f>IFERROR(__xludf.DUMMYFUNCTION("""COMPUTED_VALUE"""),3.0)</f>
        <v>3</v>
      </c>
      <c r="Z224" s="387" t="str">
        <f>IFERROR(__xludf.DUMMYFUNCTION("""COMPUTED_VALUE"""),"効果時間")</f>
        <v>効果時間</v>
      </c>
      <c r="AA224" s="392">
        <f>IFERROR(__xludf.DUMMYFUNCTION("""COMPUTED_VALUE"""),315.0)</f>
        <v>315</v>
      </c>
      <c r="AB224" s="414">
        <f>IFERROR(__xludf.DUMMYFUNCTION("""COMPUTED_VALUE"""),325.0)</f>
        <v>325</v>
      </c>
      <c r="AC224" s="415">
        <f>IFERROR(__xludf.DUMMYFUNCTION("""COMPUTED_VALUE"""),330.0)</f>
        <v>330</v>
      </c>
      <c r="AD224" s="393">
        <f>IFERROR(__xludf.DUMMYFUNCTION("""COMPUTED_VALUE"""),335.0)</f>
        <v>335</v>
      </c>
      <c r="AE224" s="393">
        <f>IFERROR(__xludf.DUMMYFUNCTION("""COMPUTED_VALUE"""),345.0)</f>
        <v>345</v>
      </c>
      <c r="AF224" s="414">
        <f>IFERROR(__xludf.DUMMYFUNCTION("""COMPUTED_VALUE"""),370.0)</f>
        <v>370</v>
      </c>
      <c r="AG224" s="416">
        <f>IFERROR(__xludf.DUMMYFUNCTION("""COMPUTED_VALUE"""),405.0)</f>
        <v>405</v>
      </c>
      <c r="AH224" s="415">
        <f>IFERROR(__xludf.DUMMYFUNCTION("""COMPUTED_VALUE"""),420.0)</f>
        <v>420</v>
      </c>
      <c r="AI224" s="385" t="str">
        <f>IFERROR(__xludf.DUMMYFUNCTION("""COMPUTED_VALUE"""),"持続型")</f>
        <v>持続型</v>
      </c>
      <c r="AJ224" s="386">
        <f>IFERROR(__xludf.DUMMYFUNCTION("""COMPUTED_VALUE"""),3.0)</f>
        <v>3</v>
      </c>
      <c r="AK224" s="387" t="str">
        <f>IFERROR(__xludf.DUMMYFUNCTION("""COMPUTED_VALUE"""),"効果時間")</f>
        <v>効果時間</v>
      </c>
      <c r="AL224" s="392">
        <f>IFERROR(__xludf.DUMMYFUNCTION("""COMPUTED_VALUE"""),465.0)</f>
        <v>465</v>
      </c>
      <c r="AM224" s="414">
        <f>IFERROR(__xludf.DUMMYFUNCTION("""COMPUTED_VALUE"""),475.0)</f>
        <v>475</v>
      </c>
      <c r="AN224" s="415">
        <f>IFERROR(__xludf.DUMMYFUNCTION("""COMPUTED_VALUE"""),480.0)</f>
        <v>480</v>
      </c>
      <c r="AO224" s="393">
        <f>IFERROR(__xludf.DUMMYFUNCTION("""COMPUTED_VALUE"""),485.0)</f>
        <v>485</v>
      </c>
      <c r="AP224" s="393">
        <f>IFERROR(__xludf.DUMMYFUNCTION("""COMPUTED_VALUE"""),495.0)</f>
        <v>495</v>
      </c>
      <c r="AQ224" s="414">
        <f>IFERROR(__xludf.DUMMYFUNCTION("""COMPUTED_VALUE"""),520.0)</f>
        <v>520</v>
      </c>
      <c r="AR224" s="416">
        <f>IFERROR(__xludf.DUMMYFUNCTION("""COMPUTED_VALUE"""),555.0)</f>
        <v>555</v>
      </c>
      <c r="AS224" s="415">
        <f>IFERROR(__xludf.DUMMYFUNCTION("""COMPUTED_VALUE"""),570.0)</f>
        <v>570</v>
      </c>
      <c r="AT224" s="385" t="str">
        <f>IFERROR(__xludf.DUMMYFUNCTION("""COMPUTED_VALUE"""),"超持続型")</f>
        <v>超持続型</v>
      </c>
      <c r="AU224" s="386">
        <f>IFERROR(__xludf.DUMMYFUNCTION("""COMPUTED_VALUE"""),3.0)</f>
        <v>3</v>
      </c>
      <c r="AV224" s="387" t="str">
        <f>IFERROR(__xludf.DUMMYFUNCTION("""COMPUTED_VALUE"""),"効果時間")</f>
        <v>効果時間</v>
      </c>
      <c r="AW224" s="368" t="str">
        <f>IFERROR(__xludf.DUMMYFUNCTION("""COMPUTED_VALUE"""),"-")</f>
        <v>-</v>
      </c>
      <c r="AX224" s="368" t="str">
        <f>IFERROR(__xludf.DUMMYFUNCTION("""COMPUTED_VALUE"""),"-")</f>
        <v>-</v>
      </c>
      <c r="AY224" s="368" t="str">
        <f>IFERROR(__xludf.DUMMYFUNCTION("""COMPUTED_VALUE"""),"-")</f>
        <v>-</v>
      </c>
      <c r="AZ224" s="368" t="str">
        <f>IFERROR(__xludf.DUMMYFUNCTION("""COMPUTED_VALUE"""),"-")</f>
        <v>-</v>
      </c>
      <c r="BA224" s="368" t="str">
        <f>IFERROR(__xludf.DUMMYFUNCTION("""COMPUTED_VALUE"""),"-")</f>
        <v>-</v>
      </c>
      <c r="BB224" s="280">
        <f>IFERROR(__xludf.DUMMYFUNCTION("""COMPUTED_VALUE"""),635.0)</f>
        <v>635</v>
      </c>
      <c r="BC224" s="280">
        <f>IFERROR(__xludf.DUMMYFUNCTION("""COMPUTED_VALUE"""),705.0)</f>
        <v>705</v>
      </c>
      <c r="BD224" s="280">
        <f>IFERROR(__xludf.DUMMYFUNCTION("""COMPUTED_VALUE"""),720.0)</f>
        <v>720</v>
      </c>
      <c r="BE224" s="385" t="str">
        <f>IFERROR(__xludf.DUMMYFUNCTION("""COMPUTED_VALUE"""),"ハイブリッド型")</f>
        <v>ハイブリッド型</v>
      </c>
      <c r="BF224" s="386">
        <f>IFERROR(__xludf.DUMMYFUNCTION("""COMPUTED_VALUE"""),3.0)</f>
        <v>3</v>
      </c>
      <c r="BG224" s="387" t="str">
        <f>IFERROR(__xludf.DUMMYFUNCTION("""COMPUTED_VALUE"""),"効果時間")</f>
        <v>効果時間</v>
      </c>
      <c r="BH224" s="407">
        <f>IFERROR(__xludf.DUMMYFUNCTION("""COMPUTED_VALUE"""),220.0)</f>
        <v>220</v>
      </c>
      <c r="BI224" s="407">
        <f>IFERROR(__xludf.DUMMYFUNCTION("""COMPUTED_VALUE"""),235.0)</f>
        <v>235</v>
      </c>
      <c r="BJ224" s="407">
        <f>IFERROR(__xludf.DUMMYFUNCTION("""COMPUTED_VALUE"""),240.0)</f>
        <v>240</v>
      </c>
      <c r="BK224" s="408">
        <f>IFERROR(__xludf.DUMMYFUNCTION("""COMPUTED_VALUE"""),250.0)</f>
        <v>250</v>
      </c>
      <c r="BL224" s="407">
        <f>IFERROR(__xludf.DUMMYFUNCTION("""COMPUTED_VALUE"""),255.0)</f>
        <v>255</v>
      </c>
      <c r="BM224" s="408">
        <f>IFERROR(__xludf.DUMMYFUNCTION("""COMPUTED_VALUE"""),385.0)</f>
        <v>385</v>
      </c>
      <c r="BN224" s="407">
        <f>IFERROR(__xludf.DUMMYFUNCTION("""COMPUTED_VALUE"""),490.0)</f>
        <v>490</v>
      </c>
      <c r="BO224" s="408">
        <f>IFERROR(__xludf.DUMMYFUNCTION("""COMPUTED_VALUE"""),505.0)</f>
        <v>505</v>
      </c>
    </row>
    <row r="225">
      <c r="A225" s="320" t="str">
        <f>IFERROR(__xludf.DUMMYFUNCTION("""COMPUTED_VALUE"""),"攻撃力UP(自身)")</f>
        <v>攻撃力UP(自身)</v>
      </c>
      <c r="B225" s="385" t="str">
        <f>IFERROR(__xludf.DUMMYFUNCTION("""COMPUTED_VALUE"""),"超瞬間型")</f>
        <v>超瞬間型</v>
      </c>
      <c r="C225" s="399">
        <f>IFERROR(__xludf.DUMMYFUNCTION("""COMPUTED_VALUE"""),4.0)</f>
        <v>4</v>
      </c>
      <c r="D225" s="400" t="str">
        <f>IFERROR(__xludf.DUMMYFUNCTION("""COMPUTED_VALUE"""),"効果値")</f>
        <v>効果値</v>
      </c>
      <c r="E225" s="401" t="str">
        <f>IFERROR(__xludf.DUMMYFUNCTION("""COMPUTED_VALUE"""),"-")</f>
        <v>-</v>
      </c>
      <c r="F225" s="409" t="str">
        <f>IFERROR(__xludf.DUMMYFUNCTION("""COMPUTED_VALUE"""),"-")</f>
        <v>-</v>
      </c>
      <c r="G225" s="409" t="str">
        <f>IFERROR(__xludf.DUMMYFUNCTION("""COMPUTED_VALUE"""),"-")</f>
        <v>-</v>
      </c>
      <c r="H225" s="409" t="str">
        <f>IFERROR(__xludf.DUMMYFUNCTION("""COMPUTED_VALUE"""),"-")</f>
        <v>-</v>
      </c>
      <c r="I225" s="409" t="str">
        <f>IFERROR(__xludf.DUMMYFUNCTION("""COMPUTED_VALUE"""),"-")</f>
        <v>-</v>
      </c>
      <c r="J225" s="410">
        <f>IFERROR(__xludf.DUMMYFUNCTION("""COMPUTED_VALUE"""),59.0)</f>
        <v>59</v>
      </c>
      <c r="K225" s="410">
        <f>IFERROR(__xludf.DUMMYFUNCTION("""COMPUTED_VALUE"""),69.0)</f>
        <v>69</v>
      </c>
      <c r="L225" s="410">
        <f>IFERROR(__xludf.DUMMYFUNCTION("""COMPUTED_VALUE"""),74.0)</f>
        <v>74</v>
      </c>
      <c r="M225" s="385" t="str">
        <f>IFERROR(__xludf.DUMMYFUNCTION("""COMPUTED_VALUE"""),"瞬間型")</f>
        <v>瞬間型</v>
      </c>
      <c r="N225" s="399">
        <f>IFERROR(__xludf.DUMMYFUNCTION("""COMPUTED_VALUE"""),4.0)</f>
        <v>4</v>
      </c>
      <c r="O225" s="400" t="str">
        <f>IFERROR(__xludf.DUMMYFUNCTION("""COMPUTED_VALUE"""),"効果値")</f>
        <v>効果値</v>
      </c>
      <c r="P225" s="343">
        <f>IFERROR(__xludf.DUMMYFUNCTION("""COMPUTED_VALUE"""),23.0)</f>
        <v>23</v>
      </c>
      <c r="Q225" s="402">
        <f>IFERROR(__xludf.DUMMYFUNCTION("""COMPUTED_VALUE"""),23.0)</f>
        <v>23</v>
      </c>
      <c r="R225" s="343">
        <f>IFERROR(__xludf.DUMMYFUNCTION("""COMPUTED_VALUE"""),23.0)</f>
        <v>23</v>
      </c>
      <c r="S225" s="402">
        <f>IFERROR(__xludf.DUMMYFUNCTION("""COMPUTED_VALUE"""),23.0)</f>
        <v>23</v>
      </c>
      <c r="T225" s="343">
        <f>IFERROR(__xludf.DUMMYFUNCTION("""COMPUTED_VALUE"""),23.0)</f>
        <v>23</v>
      </c>
      <c r="U225" s="343">
        <f>IFERROR(__xludf.DUMMYFUNCTION("""COMPUTED_VALUE"""),29.0)</f>
        <v>29</v>
      </c>
      <c r="V225" s="343">
        <f>IFERROR(__xludf.DUMMYFUNCTION("""COMPUTED_VALUE"""),34.0)</f>
        <v>34</v>
      </c>
      <c r="W225" s="343">
        <f>IFERROR(__xludf.DUMMYFUNCTION("""COMPUTED_VALUE"""),39.0)</f>
        <v>39</v>
      </c>
      <c r="X225" s="385" t="str">
        <f>IFERROR(__xludf.DUMMYFUNCTION("""COMPUTED_VALUE"""),"安定型")</f>
        <v>安定型</v>
      </c>
      <c r="Y225" s="399">
        <f>IFERROR(__xludf.DUMMYFUNCTION("""COMPUTED_VALUE"""),4.0)</f>
        <v>4</v>
      </c>
      <c r="Z225" s="400" t="str">
        <f>IFERROR(__xludf.DUMMYFUNCTION("""COMPUTED_VALUE"""),"効果値")</f>
        <v>効果値</v>
      </c>
      <c r="AA225" s="343">
        <f>IFERROR(__xludf.DUMMYFUNCTION("""COMPUTED_VALUE"""),13.0)</f>
        <v>13</v>
      </c>
      <c r="AB225" s="402">
        <f>IFERROR(__xludf.DUMMYFUNCTION("""COMPUTED_VALUE"""),13.0)</f>
        <v>13</v>
      </c>
      <c r="AC225" s="343">
        <f>IFERROR(__xludf.DUMMYFUNCTION("""COMPUTED_VALUE"""),13.0)</f>
        <v>13</v>
      </c>
      <c r="AD225" s="402">
        <f>IFERROR(__xludf.DUMMYFUNCTION("""COMPUTED_VALUE"""),13.0)</f>
        <v>13</v>
      </c>
      <c r="AE225" s="343">
        <f>IFERROR(__xludf.DUMMYFUNCTION("""COMPUTED_VALUE"""),13.0)</f>
        <v>13</v>
      </c>
      <c r="AF225" s="343">
        <f>IFERROR(__xludf.DUMMYFUNCTION("""COMPUTED_VALUE"""),14.0)</f>
        <v>14</v>
      </c>
      <c r="AG225" s="343">
        <f>IFERROR(__xludf.DUMMYFUNCTION("""COMPUTED_VALUE"""),19.0)</f>
        <v>19</v>
      </c>
      <c r="AH225" s="343">
        <f>IFERROR(__xludf.DUMMYFUNCTION("""COMPUTED_VALUE"""),24.0)</f>
        <v>24</v>
      </c>
      <c r="AI225" s="385" t="str">
        <f>IFERROR(__xludf.DUMMYFUNCTION("""COMPUTED_VALUE"""),"持続型")</f>
        <v>持続型</v>
      </c>
      <c r="AJ225" s="399">
        <f>IFERROR(__xludf.DUMMYFUNCTION("""COMPUTED_VALUE"""),4.0)</f>
        <v>4</v>
      </c>
      <c r="AK225" s="400" t="str">
        <f>IFERROR(__xludf.DUMMYFUNCTION("""COMPUTED_VALUE"""),"効果値")</f>
        <v>効果値</v>
      </c>
      <c r="AL225" s="343">
        <f>IFERROR(__xludf.DUMMYFUNCTION("""COMPUTED_VALUE"""),8.0)</f>
        <v>8</v>
      </c>
      <c r="AM225" s="402">
        <f>IFERROR(__xludf.DUMMYFUNCTION("""COMPUTED_VALUE"""),8.0)</f>
        <v>8</v>
      </c>
      <c r="AN225" s="343">
        <f>IFERROR(__xludf.DUMMYFUNCTION("""COMPUTED_VALUE"""),8.0)</f>
        <v>8</v>
      </c>
      <c r="AO225" s="402">
        <f>IFERROR(__xludf.DUMMYFUNCTION("""COMPUTED_VALUE"""),8.0)</f>
        <v>8</v>
      </c>
      <c r="AP225" s="343">
        <f>IFERROR(__xludf.DUMMYFUNCTION("""COMPUTED_VALUE"""),8.0)</f>
        <v>8</v>
      </c>
      <c r="AQ225" s="343">
        <f>IFERROR(__xludf.DUMMYFUNCTION("""COMPUTED_VALUE"""),9.0)</f>
        <v>9</v>
      </c>
      <c r="AR225" s="343">
        <f>IFERROR(__xludf.DUMMYFUNCTION("""COMPUTED_VALUE"""),12.0)</f>
        <v>12</v>
      </c>
      <c r="AS225" s="343">
        <f>IFERROR(__xludf.DUMMYFUNCTION("""COMPUTED_VALUE"""),12.0)</f>
        <v>12</v>
      </c>
      <c r="AT225" s="385" t="str">
        <f>IFERROR(__xludf.DUMMYFUNCTION("""COMPUTED_VALUE"""),"超持続型")</f>
        <v>超持続型</v>
      </c>
      <c r="AU225" s="399">
        <f>IFERROR(__xludf.DUMMYFUNCTION("""COMPUTED_VALUE"""),4.0)</f>
        <v>4</v>
      </c>
      <c r="AV225" s="400" t="str">
        <f>IFERROR(__xludf.DUMMYFUNCTION("""COMPUTED_VALUE"""),"効果値")</f>
        <v>効果値</v>
      </c>
      <c r="AW225" s="403" t="str">
        <f>IFERROR(__xludf.DUMMYFUNCTION("""COMPUTED_VALUE"""),"-")</f>
        <v>-</v>
      </c>
      <c r="AX225" s="403" t="str">
        <f>IFERROR(__xludf.DUMMYFUNCTION("""COMPUTED_VALUE"""),"-")</f>
        <v>-</v>
      </c>
      <c r="AY225" s="403" t="str">
        <f>IFERROR(__xludf.DUMMYFUNCTION("""COMPUTED_VALUE"""),"-")</f>
        <v>-</v>
      </c>
      <c r="AZ225" s="403" t="str">
        <f>IFERROR(__xludf.DUMMYFUNCTION("""COMPUTED_VALUE"""),"-")</f>
        <v>-</v>
      </c>
      <c r="BA225" s="403" t="str">
        <f>IFERROR(__xludf.DUMMYFUNCTION("""COMPUTED_VALUE"""),"-")</f>
        <v>-</v>
      </c>
      <c r="BB225" s="343">
        <f>IFERROR(__xludf.DUMMYFUNCTION("""COMPUTED_VALUE"""),9.0)</f>
        <v>9</v>
      </c>
      <c r="BC225" s="343">
        <f>IFERROR(__xludf.DUMMYFUNCTION("""COMPUTED_VALUE"""),12.0)</f>
        <v>12</v>
      </c>
      <c r="BD225" s="343">
        <f>IFERROR(__xludf.DUMMYFUNCTION("""COMPUTED_VALUE"""),12.0)</f>
        <v>12</v>
      </c>
      <c r="BE225" s="385" t="str">
        <f>IFERROR(__xludf.DUMMYFUNCTION("""COMPUTED_VALUE"""),"ハイブリッド型")</f>
        <v>ハイブリッド型</v>
      </c>
      <c r="BF225" s="399">
        <f>IFERROR(__xludf.DUMMYFUNCTION("""COMPUTED_VALUE"""),4.0)</f>
        <v>4</v>
      </c>
      <c r="BG225" s="400" t="str">
        <f>IFERROR(__xludf.DUMMYFUNCTION("""COMPUTED_VALUE"""),"効果値")</f>
        <v>効果値</v>
      </c>
      <c r="BH225" s="411">
        <f>IFERROR(__xludf.DUMMYFUNCTION("""COMPUTED_VALUE"""),11.8)</f>
        <v>11.8</v>
      </c>
      <c r="BI225" s="412">
        <f>IFERROR(__xludf.DUMMYFUNCTION("""COMPUTED_VALUE"""),12.4)</f>
        <v>12.4</v>
      </c>
      <c r="BJ225" s="412">
        <f>IFERROR(__xludf.DUMMYFUNCTION("""COMPUTED_VALUE"""),13.1)</f>
        <v>13.1</v>
      </c>
      <c r="BK225" s="412">
        <f>IFERROR(__xludf.DUMMYFUNCTION("""COMPUTED_VALUE"""),13.7)</f>
        <v>13.7</v>
      </c>
      <c r="BL225" s="412">
        <f>IFERROR(__xludf.DUMMYFUNCTION("""COMPUTED_VALUE"""),14.4)</f>
        <v>14.4</v>
      </c>
      <c r="BM225" s="412">
        <f>IFERROR(__xludf.DUMMYFUNCTION("""COMPUTED_VALUE"""),19.4)</f>
        <v>19.4</v>
      </c>
      <c r="BN225" s="412">
        <f>IFERROR(__xludf.DUMMYFUNCTION("""COMPUTED_VALUE"""),24.0)</f>
        <v>24</v>
      </c>
      <c r="BO225" s="413">
        <f>IFERROR(__xludf.DUMMYFUNCTION("""COMPUTED_VALUE"""),29.0)</f>
        <v>29</v>
      </c>
    </row>
    <row r="226">
      <c r="A226" s="307" t="str">
        <f>IFERROR(__xludf.DUMMYFUNCTION("""COMPUTED_VALUE"""),"攻撃力UP(自身)")</f>
        <v>攻撃力UP(自身)</v>
      </c>
      <c r="B226" s="385" t="str">
        <f>IFERROR(__xludf.DUMMYFUNCTION("""COMPUTED_VALUE"""),"超瞬間型")</f>
        <v>超瞬間型</v>
      </c>
      <c r="C226" s="386">
        <f>IFERROR(__xludf.DUMMYFUNCTION("""COMPUTED_VALUE"""),4.0)</f>
        <v>4</v>
      </c>
      <c r="D226" s="387" t="str">
        <f>IFERROR(__xludf.DUMMYFUNCTION("""COMPUTED_VALUE"""),"効果時間")</f>
        <v>効果時間</v>
      </c>
      <c r="E226" s="388" t="str">
        <f>IFERROR(__xludf.DUMMYFUNCTION("""COMPUTED_VALUE"""),"-")</f>
        <v>-</v>
      </c>
      <c r="F226" s="389" t="str">
        <f>IFERROR(__xludf.DUMMYFUNCTION("""COMPUTED_VALUE"""),"-")</f>
        <v>-</v>
      </c>
      <c r="G226" s="388" t="str">
        <f>IFERROR(__xludf.DUMMYFUNCTION("""COMPUTED_VALUE"""),"-")</f>
        <v>-</v>
      </c>
      <c r="H226" s="389" t="str">
        <f>IFERROR(__xludf.DUMMYFUNCTION("""COMPUTED_VALUE"""),"-")</f>
        <v>-</v>
      </c>
      <c r="I226" s="388" t="str">
        <f>IFERROR(__xludf.DUMMYFUNCTION("""COMPUTED_VALUE"""),"-")</f>
        <v>-</v>
      </c>
      <c r="J226" s="390">
        <f>IFERROR(__xludf.DUMMYFUNCTION("""COMPUTED_VALUE"""),155.0)</f>
        <v>155</v>
      </c>
      <c r="K226" s="391">
        <f>IFERROR(__xludf.DUMMYFUNCTION("""COMPUTED_VALUE"""),170.0)</f>
        <v>170</v>
      </c>
      <c r="L226" s="340">
        <f>IFERROR(__xludf.DUMMYFUNCTION("""COMPUTED_VALUE"""),195.0)</f>
        <v>195</v>
      </c>
      <c r="M226" s="385" t="str">
        <f>IFERROR(__xludf.DUMMYFUNCTION("""COMPUTED_VALUE"""),"瞬間型")</f>
        <v>瞬間型</v>
      </c>
      <c r="N226" s="386">
        <f>IFERROR(__xludf.DUMMYFUNCTION("""COMPUTED_VALUE"""),4.0)</f>
        <v>4</v>
      </c>
      <c r="O226" s="387" t="str">
        <f>IFERROR(__xludf.DUMMYFUNCTION("""COMPUTED_VALUE"""),"効果時間")</f>
        <v>効果時間</v>
      </c>
      <c r="P226" s="280">
        <f>IFERROR(__xludf.DUMMYFUNCTION("""COMPUTED_VALUE"""),170.0)</f>
        <v>170</v>
      </c>
      <c r="Q226" s="275">
        <f>IFERROR(__xludf.DUMMYFUNCTION("""COMPUTED_VALUE"""),180.0)</f>
        <v>180</v>
      </c>
      <c r="R226" s="280">
        <f>IFERROR(__xludf.DUMMYFUNCTION("""COMPUTED_VALUE"""),185.0)</f>
        <v>185</v>
      </c>
      <c r="S226" s="275">
        <f>IFERROR(__xludf.DUMMYFUNCTION("""COMPUTED_VALUE"""),195.0)</f>
        <v>195</v>
      </c>
      <c r="T226" s="280">
        <f>IFERROR(__xludf.DUMMYFUNCTION("""COMPUTED_VALUE"""),200.0)</f>
        <v>200</v>
      </c>
      <c r="U226" s="280">
        <f>IFERROR(__xludf.DUMMYFUNCTION("""COMPUTED_VALUE"""),215.0)</f>
        <v>215</v>
      </c>
      <c r="V226" s="280">
        <f>IFERROR(__xludf.DUMMYFUNCTION("""COMPUTED_VALUE"""),285.0)</f>
        <v>285</v>
      </c>
      <c r="W226" s="280">
        <f>IFERROR(__xludf.DUMMYFUNCTION("""COMPUTED_VALUE"""),305.0)</f>
        <v>305</v>
      </c>
      <c r="X226" s="385" t="str">
        <f>IFERROR(__xludf.DUMMYFUNCTION("""COMPUTED_VALUE"""),"安定型")</f>
        <v>安定型</v>
      </c>
      <c r="Y226" s="386">
        <f>IFERROR(__xludf.DUMMYFUNCTION("""COMPUTED_VALUE"""),4.0)</f>
        <v>4</v>
      </c>
      <c r="Z226" s="387" t="str">
        <f>IFERROR(__xludf.DUMMYFUNCTION("""COMPUTED_VALUE"""),"効果時間")</f>
        <v>効果時間</v>
      </c>
      <c r="AA226" s="280">
        <f>IFERROR(__xludf.DUMMYFUNCTION("""COMPUTED_VALUE"""),320.0)</f>
        <v>320</v>
      </c>
      <c r="AB226" s="275">
        <f>IFERROR(__xludf.DUMMYFUNCTION("""COMPUTED_VALUE"""),330.0)</f>
        <v>330</v>
      </c>
      <c r="AC226" s="280">
        <f>IFERROR(__xludf.DUMMYFUNCTION("""COMPUTED_VALUE"""),335.0)</f>
        <v>335</v>
      </c>
      <c r="AD226" s="275">
        <f>IFERROR(__xludf.DUMMYFUNCTION("""COMPUTED_VALUE"""),345.0)</f>
        <v>345</v>
      </c>
      <c r="AE226" s="280">
        <f>IFERROR(__xludf.DUMMYFUNCTION("""COMPUTED_VALUE"""),350.0)</f>
        <v>350</v>
      </c>
      <c r="AF226" s="280">
        <f>IFERROR(__xludf.DUMMYFUNCTION("""COMPUTED_VALUE"""),390.0)</f>
        <v>390</v>
      </c>
      <c r="AG226" s="280">
        <f>IFERROR(__xludf.DUMMYFUNCTION("""COMPUTED_VALUE"""),435.0)</f>
        <v>435</v>
      </c>
      <c r="AH226" s="280">
        <f>IFERROR(__xludf.DUMMYFUNCTION("""COMPUTED_VALUE"""),455.0)</f>
        <v>455</v>
      </c>
      <c r="AI226" s="385" t="str">
        <f>IFERROR(__xludf.DUMMYFUNCTION("""COMPUTED_VALUE"""),"持続型")</f>
        <v>持続型</v>
      </c>
      <c r="AJ226" s="386">
        <f>IFERROR(__xludf.DUMMYFUNCTION("""COMPUTED_VALUE"""),4.0)</f>
        <v>4</v>
      </c>
      <c r="AK226" s="387" t="str">
        <f>IFERROR(__xludf.DUMMYFUNCTION("""COMPUTED_VALUE"""),"効果時間")</f>
        <v>効果時間</v>
      </c>
      <c r="AL226" s="280">
        <f>IFERROR(__xludf.DUMMYFUNCTION("""COMPUTED_VALUE"""),470.0)</f>
        <v>470</v>
      </c>
      <c r="AM226" s="275">
        <f>IFERROR(__xludf.DUMMYFUNCTION("""COMPUTED_VALUE"""),480.0)</f>
        <v>480</v>
      </c>
      <c r="AN226" s="280">
        <f>IFERROR(__xludf.DUMMYFUNCTION("""COMPUTED_VALUE"""),485.0)</f>
        <v>485</v>
      </c>
      <c r="AO226" s="275">
        <f>IFERROR(__xludf.DUMMYFUNCTION("""COMPUTED_VALUE"""),495.0)</f>
        <v>495</v>
      </c>
      <c r="AP226" s="280">
        <f>IFERROR(__xludf.DUMMYFUNCTION("""COMPUTED_VALUE"""),500.0)</f>
        <v>500</v>
      </c>
      <c r="AQ226" s="280">
        <f>IFERROR(__xludf.DUMMYFUNCTION("""COMPUTED_VALUE"""),540.0)</f>
        <v>540</v>
      </c>
      <c r="AR226" s="280">
        <f>IFERROR(__xludf.DUMMYFUNCTION("""COMPUTED_VALUE"""),585.0)</f>
        <v>585</v>
      </c>
      <c r="AS226" s="280">
        <f>IFERROR(__xludf.DUMMYFUNCTION("""COMPUTED_VALUE"""),605.0)</f>
        <v>605</v>
      </c>
      <c r="AT226" s="385" t="str">
        <f>IFERROR(__xludf.DUMMYFUNCTION("""COMPUTED_VALUE"""),"超持続型")</f>
        <v>超持続型</v>
      </c>
      <c r="AU226" s="386">
        <f>IFERROR(__xludf.DUMMYFUNCTION("""COMPUTED_VALUE"""),4.0)</f>
        <v>4</v>
      </c>
      <c r="AV226" s="387" t="str">
        <f>IFERROR(__xludf.DUMMYFUNCTION("""COMPUTED_VALUE"""),"効果時間")</f>
        <v>効果時間</v>
      </c>
      <c r="AW226" s="368" t="str">
        <f>IFERROR(__xludf.DUMMYFUNCTION("""COMPUTED_VALUE"""),"-")</f>
        <v>-</v>
      </c>
      <c r="AX226" s="368" t="str">
        <f>IFERROR(__xludf.DUMMYFUNCTION("""COMPUTED_VALUE"""),"-")</f>
        <v>-</v>
      </c>
      <c r="AY226" s="368" t="str">
        <f>IFERROR(__xludf.DUMMYFUNCTION("""COMPUTED_VALUE"""),"-")</f>
        <v>-</v>
      </c>
      <c r="AZ226" s="368" t="str">
        <f>IFERROR(__xludf.DUMMYFUNCTION("""COMPUTED_VALUE"""),"-")</f>
        <v>-</v>
      </c>
      <c r="BA226" s="368" t="str">
        <f>IFERROR(__xludf.DUMMYFUNCTION("""COMPUTED_VALUE"""),"-")</f>
        <v>-</v>
      </c>
      <c r="BB226" s="280">
        <f>IFERROR(__xludf.DUMMYFUNCTION("""COMPUTED_VALUE"""),645.0)</f>
        <v>645</v>
      </c>
      <c r="BC226" s="280">
        <f>IFERROR(__xludf.DUMMYFUNCTION("""COMPUTED_VALUE"""),735.0)</f>
        <v>735</v>
      </c>
      <c r="BD226" s="280">
        <f>IFERROR(__xludf.DUMMYFUNCTION("""COMPUTED_VALUE"""),755.0)</f>
        <v>755</v>
      </c>
      <c r="BE226" s="385" t="str">
        <f>IFERROR(__xludf.DUMMYFUNCTION("""COMPUTED_VALUE"""),"ハイブリッド型")</f>
        <v>ハイブリッド型</v>
      </c>
      <c r="BF226" s="386">
        <f>IFERROR(__xludf.DUMMYFUNCTION("""COMPUTED_VALUE"""),4.0)</f>
        <v>4</v>
      </c>
      <c r="BG226" s="387" t="str">
        <f>IFERROR(__xludf.DUMMYFUNCTION("""COMPUTED_VALUE"""),"効果時間")</f>
        <v>効果時間</v>
      </c>
      <c r="BH226" s="417">
        <f>IFERROR(__xludf.DUMMYFUNCTION("""COMPUTED_VALUE"""),240.0)</f>
        <v>240</v>
      </c>
      <c r="BI226" s="417">
        <f>IFERROR(__xludf.DUMMYFUNCTION("""COMPUTED_VALUE"""),255.0)</f>
        <v>255</v>
      </c>
      <c r="BJ226" s="417">
        <f>IFERROR(__xludf.DUMMYFUNCTION("""COMPUTED_VALUE"""),265.0)</f>
        <v>265</v>
      </c>
      <c r="BK226" s="418">
        <f>IFERROR(__xludf.DUMMYFUNCTION("""COMPUTED_VALUE"""),275.0)</f>
        <v>275</v>
      </c>
      <c r="BL226" s="417">
        <f>IFERROR(__xludf.DUMMYFUNCTION("""COMPUTED_VALUE"""),285.0)</f>
        <v>285</v>
      </c>
      <c r="BM226" s="418">
        <f>IFERROR(__xludf.DUMMYFUNCTION("""COMPUTED_VALUE"""),395.0)</f>
        <v>395</v>
      </c>
      <c r="BN226" s="417">
        <f>IFERROR(__xludf.DUMMYFUNCTION("""COMPUTED_VALUE"""),500.0)</f>
        <v>500</v>
      </c>
      <c r="BO226" s="418">
        <f>IFERROR(__xludf.DUMMYFUNCTION("""COMPUTED_VALUE"""),520.0)</f>
        <v>520</v>
      </c>
    </row>
    <row r="227">
      <c r="A227" s="307" t="str">
        <f>IFERROR(__xludf.DUMMYFUNCTION("""COMPUTED_VALUE"""),"攻撃力UP(自身)")</f>
        <v>攻撃力UP(自身)</v>
      </c>
      <c r="B227" s="385" t="str">
        <f>IFERROR(__xludf.DUMMYFUNCTION("""COMPUTED_VALUE"""),"超瞬間型")</f>
        <v>超瞬間型</v>
      </c>
      <c r="C227" s="399">
        <f>IFERROR(__xludf.DUMMYFUNCTION("""COMPUTED_VALUE"""),5.0)</f>
        <v>5</v>
      </c>
      <c r="D227" s="400" t="str">
        <f>IFERROR(__xludf.DUMMYFUNCTION("""COMPUTED_VALUE"""),"効果値")</f>
        <v>効果値</v>
      </c>
      <c r="E227" s="419" t="str">
        <f>IFERROR(__xludf.DUMMYFUNCTION("""COMPUTED_VALUE"""),"-")</f>
        <v>-</v>
      </c>
      <c r="F227" s="409" t="str">
        <f>IFERROR(__xludf.DUMMYFUNCTION("""COMPUTED_VALUE"""),"-")</f>
        <v>-</v>
      </c>
      <c r="G227" s="409" t="str">
        <f>IFERROR(__xludf.DUMMYFUNCTION("""COMPUTED_VALUE"""),"-")</f>
        <v>-</v>
      </c>
      <c r="H227" s="409" t="str">
        <f>IFERROR(__xludf.DUMMYFUNCTION("""COMPUTED_VALUE"""),"-")</f>
        <v>-</v>
      </c>
      <c r="I227" s="409" t="str">
        <f>IFERROR(__xludf.DUMMYFUNCTION("""COMPUTED_VALUE"""),"-")</f>
        <v>-</v>
      </c>
      <c r="J227" s="420">
        <f>IFERROR(__xludf.DUMMYFUNCTION("""COMPUTED_VALUE"""),60.0)</f>
        <v>60</v>
      </c>
      <c r="K227" s="421">
        <f>IFERROR(__xludf.DUMMYFUNCTION("""COMPUTED_VALUE"""),70.0)</f>
        <v>70</v>
      </c>
      <c r="L227" s="421">
        <f>IFERROR(__xludf.DUMMYFUNCTION("""COMPUTED_VALUE"""),75.0)</f>
        <v>75</v>
      </c>
      <c r="M227" s="385" t="str">
        <f>IFERROR(__xludf.DUMMYFUNCTION("""COMPUTED_VALUE"""),"瞬間型")</f>
        <v>瞬間型</v>
      </c>
      <c r="N227" s="399">
        <f>IFERROR(__xludf.DUMMYFUNCTION("""COMPUTED_VALUE"""),5.0)</f>
        <v>5</v>
      </c>
      <c r="O227" s="400" t="str">
        <f>IFERROR(__xludf.DUMMYFUNCTION("""COMPUTED_VALUE"""),"効果値")</f>
        <v>効果値</v>
      </c>
      <c r="P227" s="422">
        <f>IFERROR(__xludf.DUMMYFUNCTION("""COMPUTED_VALUE"""),23.0)</f>
        <v>23</v>
      </c>
      <c r="Q227" s="423">
        <f>IFERROR(__xludf.DUMMYFUNCTION("""COMPUTED_VALUE"""),23.0)</f>
        <v>23</v>
      </c>
      <c r="R227" s="422">
        <f>IFERROR(__xludf.DUMMYFUNCTION("""COMPUTED_VALUE"""),24.0)</f>
        <v>24</v>
      </c>
      <c r="S227" s="423">
        <f>IFERROR(__xludf.DUMMYFUNCTION("""COMPUTED_VALUE"""),24.0)</f>
        <v>24</v>
      </c>
      <c r="T227" s="422">
        <f>IFERROR(__xludf.DUMMYFUNCTION("""COMPUTED_VALUE"""),24.0)</f>
        <v>24</v>
      </c>
      <c r="U227" s="423">
        <f>IFERROR(__xludf.DUMMYFUNCTION("""COMPUTED_VALUE"""),30.0)</f>
        <v>30</v>
      </c>
      <c r="V227" s="423">
        <f>IFERROR(__xludf.DUMMYFUNCTION("""COMPUTED_VALUE"""),35.0)</f>
        <v>35</v>
      </c>
      <c r="W227" s="424">
        <f>IFERROR(__xludf.DUMMYFUNCTION("""COMPUTED_VALUE"""),40.0)</f>
        <v>40</v>
      </c>
      <c r="X227" s="385" t="str">
        <f>IFERROR(__xludf.DUMMYFUNCTION("""COMPUTED_VALUE"""),"安定型")</f>
        <v>安定型</v>
      </c>
      <c r="Y227" s="399">
        <f>IFERROR(__xludf.DUMMYFUNCTION("""COMPUTED_VALUE"""),5.0)</f>
        <v>5</v>
      </c>
      <c r="Z227" s="400" t="str">
        <f>IFERROR(__xludf.DUMMYFUNCTION("""COMPUTED_VALUE"""),"効果値")</f>
        <v>効果値</v>
      </c>
      <c r="AA227" s="422">
        <f>IFERROR(__xludf.DUMMYFUNCTION("""COMPUTED_VALUE"""),13.0)</f>
        <v>13</v>
      </c>
      <c r="AB227" s="423">
        <f>IFERROR(__xludf.DUMMYFUNCTION("""COMPUTED_VALUE"""),13.0)</f>
        <v>13</v>
      </c>
      <c r="AC227" s="422">
        <f>IFERROR(__xludf.DUMMYFUNCTION("""COMPUTED_VALUE"""),14.0)</f>
        <v>14</v>
      </c>
      <c r="AD227" s="423">
        <f>IFERROR(__xludf.DUMMYFUNCTION("""COMPUTED_VALUE"""),14.0)</f>
        <v>14</v>
      </c>
      <c r="AE227" s="422">
        <f>IFERROR(__xludf.DUMMYFUNCTION("""COMPUTED_VALUE"""),14.0)</f>
        <v>14</v>
      </c>
      <c r="AF227" s="423">
        <f>IFERROR(__xludf.DUMMYFUNCTION("""COMPUTED_VALUE"""),15.0)</f>
        <v>15</v>
      </c>
      <c r="AG227" s="423">
        <f>IFERROR(__xludf.DUMMYFUNCTION("""COMPUTED_VALUE"""),20.0)</f>
        <v>20</v>
      </c>
      <c r="AH227" s="424">
        <f>IFERROR(__xludf.DUMMYFUNCTION("""COMPUTED_VALUE"""),25.0)</f>
        <v>25</v>
      </c>
      <c r="AI227" s="385" t="str">
        <f>IFERROR(__xludf.DUMMYFUNCTION("""COMPUTED_VALUE"""),"持続型")</f>
        <v>持続型</v>
      </c>
      <c r="AJ227" s="399">
        <f>IFERROR(__xludf.DUMMYFUNCTION("""COMPUTED_VALUE"""),5.0)</f>
        <v>5</v>
      </c>
      <c r="AK227" s="400" t="str">
        <f>IFERROR(__xludf.DUMMYFUNCTION("""COMPUTED_VALUE"""),"効果値")</f>
        <v>効果値</v>
      </c>
      <c r="AL227" s="422">
        <f>IFERROR(__xludf.DUMMYFUNCTION("""COMPUTED_VALUE"""),8.0)</f>
        <v>8</v>
      </c>
      <c r="AM227" s="423">
        <f>IFERROR(__xludf.DUMMYFUNCTION("""COMPUTED_VALUE"""),8.0)</f>
        <v>8</v>
      </c>
      <c r="AN227" s="422">
        <f>IFERROR(__xludf.DUMMYFUNCTION("""COMPUTED_VALUE"""),9.0)</f>
        <v>9</v>
      </c>
      <c r="AO227" s="423">
        <f>IFERROR(__xludf.DUMMYFUNCTION("""COMPUTED_VALUE"""),9.0)</f>
        <v>9</v>
      </c>
      <c r="AP227" s="422">
        <f>IFERROR(__xludf.DUMMYFUNCTION("""COMPUTED_VALUE"""),9.0)</f>
        <v>9</v>
      </c>
      <c r="AQ227" s="423">
        <f>IFERROR(__xludf.DUMMYFUNCTION("""COMPUTED_VALUE"""),10.0)</f>
        <v>10</v>
      </c>
      <c r="AR227" s="423">
        <f>IFERROR(__xludf.DUMMYFUNCTION("""COMPUTED_VALUE"""),12.0)</f>
        <v>12</v>
      </c>
      <c r="AS227" s="424">
        <f>IFERROR(__xludf.DUMMYFUNCTION("""COMPUTED_VALUE"""),12.0)</f>
        <v>12</v>
      </c>
      <c r="AT227" s="385" t="str">
        <f>IFERROR(__xludf.DUMMYFUNCTION("""COMPUTED_VALUE"""),"超持続型")</f>
        <v>超持続型</v>
      </c>
      <c r="AU227" s="399">
        <f>IFERROR(__xludf.DUMMYFUNCTION("""COMPUTED_VALUE"""),5.0)</f>
        <v>5</v>
      </c>
      <c r="AV227" s="400" t="str">
        <f>IFERROR(__xludf.DUMMYFUNCTION("""COMPUTED_VALUE"""),"効果値")</f>
        <v>効果値</v>
      </c>
      <c r="AW227" s="425" t="str">
        <f>IFERROR(__xludf.DUMMYFUNCTION("""COMPUTED_VALUE"""),"-")</f>
        <v>-</v>
      </c>
      <c r="AX227" s="426" t="str">
        <f>IFERROR(__xludf.DUMMYFUNCTION("""COMPUTED_VALUE"""),"-")</f>
        <v>-</v>
      </c>
      <c r="AY227" s="426" t="str">
        <f>IFERROR(__xludf.DUMMYFUNCTION("""COMPUTED_VALUE"""),"-")</f>
        <v>-</v>
      </c>
      <c r="AZ227" s="426" t="str">
        <f>IFERROR(__xludf.DUMMYFUNCTION("""COMPUTED_VALUE"""),"-")</f>
        <v>-</v>
      </c>
      <c r="BA227" s="426" t="str">
        <f>IFERROR(__xludf.DUMMYFUNCTION("""COMPUTED_VALUE"""),"-")</f>
        <v>-</v>
      </c>
      <c r="BB227" s="423">
        <f>IFERROR(__xludf.DUMMYFUNCTION("""COMPUTED_VALUE"""),10.0)</f>
        <v>10</v>
      </c>
      <c r="BC227" s="423">
        <f>IFERROR(__xludf.DUMMYFUNCTION("""COMPUTED_VALUE"""),12.0)</f>
        <v>12</v>
      </c>
      <c r="BD227" s="424">
        <f>IFERROR(__xludf.DUMMYFUNCTION("""COMPUTED_VALUE"""),12.0)</f>
        <v>12</v>
      </c>
      <c r="BE227" s="385" t="str">
        <f>IFERROR(__xludf.DUMMYFUNCTION("""COMPUTED_VALUE"""),"ハイブリッド型")</f>
        <v>ハイブリッド型</v>
      </c>
      <c r="BF227" s="399">
        <f>IFERROR(__xludf.DUMMYFUNCTION("""COMPUTED_VALUE"""),5.0)</f>
        <v>5</v>
      </c>
      <c r="BG227" s="400" t="str">
        <f>IFERROR(__xludf.DUMMYFUNCTION("""COMPUTED_VALUE"""),"効果値")</f>
        <v>効果値</v>
      </c>
      <c r="BH227" s="427">
        <f>IFERROR(__xludf.DUMMYFUNCTION("""COMPUTED_VALUE"""),12.0)</f>
        <v>12</v>
      </c>
      <c r="BI227" s="428">
        <f>IFERROR(__xludf.DUMMYFUNCTION("""COMPUTED_VALUE"""),12.75)</f>
        <v>12.75</v>
      </c>
      <c r="BJ227" s="428">
        <f>IFERROR(__xludf.DUMMYFUNCTION("""COMPUTED_VALUE"""),13.5)</f>
        <v>13.5</v>
      </c>
      <c r="BK227" s="428">
        <f>IFERROR(__xludf.DUMMYFUNCTION("""COMPUTED_VALUE"""),14.25)</f>
        <v>14.25</v>
      </c>
      <c r="BL227" s="427">
        <f>IFERROR(__xludf.DUMMYFUNCTION("""COMPUTED_VALUE"""),15.0)</f>
        <v>15</v>
      </c>
      <c r="BM227" s="427">
        <f>IFERROR(__xludf.DUMMYFUNCTION("""COMPUTED_VALUE"""),20.0)</f>
        <v>20</v>
      </c>
      <c r="BN227" s="427">
        <f>IFERROR(__xludf.DUMMYFUNCTION("""COMPUTED_VALUE"""),25.0)</f>
        <v>25</v>
      </c>
      <c r="BO227" s="429">
        <f>IFERROR(__xludf.DUMMYFUNCTION("""COMPUTED_VALUE"""),30.0)</f>
        <v>30</v>
      </c>
    </row>
    <row r="228">
      <c r="A228" s="307" t="str">
        <f>IFERROR(__xludf.DUMMYFUNCTION("""COMPUTED_VALUE"""),"攻撃力UP(自身)")</f>
        <v>攻撃力UP(自身)</v>
      </c>
      <c r="B228" s="385" t="str">
        <f>IFERROR(__xludf.DUMMYFUNCTION("""COMPUTED_VALUE"""),"超瞬間型")</f>
        <v>超瞬間型</v>
      </c>
      <c r="C228" s="430">
        <f>IFERROR(__xludf.DUMMYFUNCTION("""COMPUTED_VALUE"""),5.0)</f>
        <v>5</v>
      </c>
      <c r="D228" s="431" t="str">
        <f>IFERROR(__xludf.DUMMYFUNCTION("""COMPUTED_VALUE"""),"効果時間")</f>
        <v>効果時間</v>
      </c>
      <c r="E228" s="388" t="str">
        <f>IFERROR(__xludf.DUMMYFUNCTION("""COMPUTED_VALUE"""),"-")</f>
        <v>-</v>
      </c>
      <c r="F228" s="389" t="str">
        <f>IFERROR(__xludf.DUMMYFUNCTION("""COMPUTED_VALUE"""),"-")</f>
        <v>-</v>
      </c>
      <c r="G228" s="388" t="str">
        <f>IFERROR(__xludf.DUMMYFUNCTION("""COMPUTED_VALUE"""),"-")</f>
        <v>-</v>
      </c>
      <c r="H228" s="389" t="str">
        <f>IFERROR(__xludf.DUMMYFUNCTION("""COMPUTED_VALUE"""),"-")</f>
        <v>-</v>
      </c>
      <c r="I228" s="388" t="str">
        <f>IFERROR(__xludf.DUMMYFUNCTION("""COMPUTED_VALUE"""),"-")</f>
        <v>-</v>
      </c>
      <c r="J228" s="390">
        <f>IFERROR(__xludf.DUMMYFUNCTION("""COMPUTED_VALUE"""),160.0)</f>
        <v>160</v>
      </c>
      <c r="K228" s="391">
        <f>IFERROR(__xludf.DUMMYFUNCTION("""COMPUTED_VALUE"""),175.0)</f>
        <v>175</v>
      </c>
      <c r="L228" s="340">
        <f>IFERROR(__xludf.DUMMYFUNCTION("""COMPUTED_VALUE"""),200.0)</f>
        <v>200</v>
      </c>
      <c r="M228" s="385" t="str">
        <f>IFERROR(__xludf.DUMMYFUNCTION("""COMPUTED_VALUE"""),"瞬間型")</f>
        <v>瞬間型</v>
      </c>
      <c r="N228" s="430">
        <f>IFERROR(__xludf.DUMMYFUNCTION("""COMPUTED_VALUE"""),5.0)</f>
        <v>5</v>
      </c>
      <c r="O228" s="431" t="str">
        <f>IFERROR(__xludf.DUMMYFUNCTION("""COMPUTED_VALUE"""),"効果時間")</f>
        <v>効果時間</v>
      </c>
      <c r="P228" s="392">
        <f>IFERROR(__xludf.DUMMYFUNCTION("""COMPUTED_VALUE"""),175.0)</f>
        <v>175</v>
      </c>
      <c r="Q228" s="414">
        <f>IFERROR(__xludf.DUMMYFUNCTION("""COMPUTED_VALUE"""),185.0)</f>
        <v>185</v>
      </c>
      <c r="R228" s="414">
        <f>IFERROR(__xludf.DUMMYFUNCTION("""COMPUTED_VALUE"""),190.0)</f>
        <v>190</v>
      </c>
      <c r="S228" s="414">
        <f>IFERROR(__xludf.DUMMYFUNCTION("""COMPUTED_VALUE"""),195.0)</f>
        <v>195</v>
      </c>
      <c r="T228" s="394">
        <f>IFERROR(__xludf.DUMMYFUNCTION("""COMPUTED_VALUE"""),200.0)</f>
        <v>200</v>
      </c>
      <c r="U228" s="394">
        <f>IFERROR(__xludf.DUMMYFUNCTION("""COMPUTED_VALUE"""),225.0)</f>
        <v>225</v>
      </c>
      <c r="V228" s="394">
        <f>IFERROR(__xludf.DUMMYFUNCTION("""COMPUTED_VALUE"""),300.0)</f>
        <v>300</v>
      </c>
      <c r="W228" s="394">
        <f>IFERROR(__xludf.DUMMYFUNCTION("""COMPUTED_VALUE"""),325.0)</f>
        <v>325</v>
      </c>
      <c r="X228" s="385" t="str">
        <f>IFERROR(__xludf.DUMMYFUNCTION("""COMPUTED_VALUE"""),"安定型")</f>
        <v>安定型</v>
      </c>
      <c r="Y228" s="430">
        <f>IFERROR(__xludf.DUMMYFUNCTION("""COMPUTED_VALUE"""),5.0)</f>
        <v>5</v>
      </c>
      <c r="Z228" s="431" t="str">
        <f>IFERROR(__xludf.DUMMYFUNCTION("""COMPUTED_VALUE"""),"効果時間")</f>
        <v>効果時間</v>
      </c>
      <c r="AA228" s="392">
        <f>IFERROR(__xludf.DUMMYFUNCTION("""COMPUTED_VALUE"""),325.0)</f>
        <v>325</v>
      </c>
      <c r="AB228" s="414">
        <f>IFERROR(__xludf.DUMMYFUNCTION("""COMPUTED_VALUE"""),335.0)</f>
        <v>335</v>
      </c>
      <c r="AC228" s="414">
        <f>IFERROR(__xludf.DUMMYFUNCTION("""COMPUTED_VALUE"""),340.0)</f>
        <v>340</v>
      </c>
      <c r="AD228" s="414">
        <f>IFERROR(__xludf.DUMMYFUNCTION("""COMPUTED_VALUE"""),345.0)</f>
        <v>345</v>
      </c>
      <c r="AE228" s="394">
        <f>IFERROR(__xludf.DUMMYFUNCTION("""COMPUTED_VALUE"""),350.0)</f>
        <v>350</v>
      </c>
      <c r="AF228" s="394">
        <f>IFERROR(__xludf.DUMMYFUNCTION("""COMPUTED_VALUE"""),400.0)</f>
        <v>400</v>
      </c>
      <c r="AG228" s="394">
        <f>IFERROR(__xludf.DUMMYFUNCTION("""COMPUTED_VALUE"""),450.0)</f>
        <v>450</v>
      </c>
      <c r="AH228" s="394">
        <f>IFERROR(__xludf.DUMMYFUNCTION("""COMPUTED_VALUE"""),475.0)</f>
        <v>475</v>
      </c>
      <c r="AI228" s="385" t="str">
        <f>IFERROR(__xludf.DUMMYFUNCTION("""COMPUTED_VALUE"""),"持続型")</f>
        <v>持続型</v>
      </c>
      <c r="AJ228" s="430">
        <f>IFERROR(__xludf.DUMMYFUNCTION("""COMPUTED_VALUE"""),5.0)</f>
        <v>5</v>
      </c>
      <c r="AK228" s="431" t="str">
        <f>IFERROR(__xludf.DUMMYFUNCTION("""COMPUTED_VALUE"""),"効果時間")</f>
        <v>効果時間</v>
      </c>
      <c r="AL228" s="392">
        <f>IFERROR(__xludf.DUMMYFUNCTION("""COMPUTED_VALUE"""),475.0)</f>
        <v>475</v>
      </c>
      <c r="AM228" s="414">
        <f>IFERROR(__xludf.DUMMYFUNCTION("""COMPUTED_VALUE"""),485.0)</f>
        <v>485</v>
      </c>
      <c r="AN228" s="414">
        <f>IFERROR(__xludf.DUMMYFUNCTION("""COMPUTED_VALUE"""),490.0)</f>
        <v>490</v>
      </c>
      <c r="AO228" s="414">
        <f>IFERROR(__xludf.DUMMYFUNCTION("""COMPUTED_VALUE"""),495.0)</f>
        <v>495</v>
      </c>
      <c r="AP228" s="394">
        <f>IFERROR(__xludf.DUMMYFUNCTION("""COMPUTED_VALUE"""),500.0)</f>
        <v>500</v>
      </c>
      <c r="AQ228" s="394">
        <f>IFERROR(__xludf.DUMMYFUNCTION("""COMPUTED_VALUE"""),550.0)</f>
        <v>550</v>
      </c>
      <c r="AR228" s="394">
        <f>IFERROR(__xludf.DUMMYFUNCTION("""COMPUTED_VALUE"""),600.0)</f>
        <v>600</v>
      </c>
      <c r="AS228" s="394">
        <f>IFERROR(__xludf.DUMMYFUNCTION("""COMPUTED_VALUE"""),625.0)</f>
        <v>625</v>
      </c>
      <c r="AT228" s="385" t="str">
        <f>IFERROR(__xludf.DUMMYFUNCTION("""COMPUTED_VALUE"""),"超持続型")</f>
        <v>超持続型</v>
      </c>
      <c r="AU228" s="430">
        <f>IFERROR(__xludf.DUMMYFUNCTION("""COMPUTED_VALUE"""),5.0)</f>
        <v>5</v>
      </c>
      <c r="AV228" s="431" t="str">
        <f>IFERROR(__xludf.DUMMYFUNCTION("""COMPUTED_VALUE"""),"効果時間")</f>
        <v>効果時間</v>
      </c>
      <c r="AW228" s="395" t="str">
        <f>IFERROR(__xludf.DUMMYFUNCTION("""COMPUTED_VALUE"""),"-")</f>
        <v>-</v>
      </c>
      <c r="AX228" s="396" t="str">
        <f>IFERROR(__xludf.DUMMYFUNCTION("""COMPUTED_VALUE"""),"-")</f>
        <v>-</v>
      </c>
      <c r="AY228" s="396" t="str">
        <f>IFERROR(__xludf.DUMMYFUNCTION("""COMPUTED_VALUE"""),"-")</f>
        <v>-</v>
      </c>
      <c r="AZ228" s="396" t="str">
        <f>IFERROR(__xludf.DUMMYFUNCTION("""COMPUTED_VALUE"""),"-")</f>
        <v>-</v>
      </c>
      <c r="BA228" s="396" t="str">
        <f>IFERROR(__xludf.DUMMYFUNCTION("""COMPUTED_VALUE"""),"-")</f>
        <v>-</v>
      </c>
      <c r="BB228" s="393">
        <f>IFERROR(__xludf.DUMMYFUNCTION("""COMPUTED_VALUE"""),650.0)</f>
        <v>650</v>
      </c>
      <c r="BC228" s="393">
        <f>IFERROR(__xludf.DUMMYFUNCTION("""COMPUTED_VALUE"""),750.0)</f>
        <v>750</v>
      </c>
      <c r="BD228" s="394">
        <f>IFERROR(__xludf.DUMMYFUNCTION("""COMPUTED_VALUE"""),775.0)</f>
        <v>775</v>
      </c>
      <c r="BE228" s="385" t="str">
        <f>IFERROR(__xludf.DUMMYFUNCTION("""COMPUTED_VALUE"""),"ハイブリッド型")</f>
        <v>ハイブリッド型</v>
      </c>
      <c r="BF228" s="430">
        <f>IFERROR(__xludf.DUMMYFUNCTION("""COMPUTED_VALUE"""),5.0)</f>
        <v>5</v>
      </c>
      <c r="BG228" s="431" t="str">
        <f>IFERROR(__xludf.DUMMYFUNCTION("""COMPUTED_VALUE"""),"効果時間")</f>
        <v>効果時間</v>
      </c>
      <c r="BH228" s="304">
        <f>IFERROR(__xludf.DUMMYFUNCTION("""COMPUTED_VALUE"""),250.0)</f>
        <v>250</v>
      </c>
      <c r="BI228" s="432">
        <f>IFERROR(__xludf.DUMMYFUNCTION("""COMPUTED_VALUE"""),265.0)</f>
        <v>265</v>
      </c>
      <c r="BJ228" s="432">
        <f>IFERROR(__xludf.DUMMYFUNCTION("""COMPUTED_VALUE"""),275.0)</f>
        <v>275</v>
      </c>
      <c r="BK228" s="432">
        <f>IFERROR(__xludf.DUMMYFUNCTION("""COMPUTED_VALUE"""),290.0)</f>
        <v>290</v>
      </c>
      <c r="BL228" s="304">
        <f>IFERROR(__xludf.DUMMYFUNCTION("""COMPUTED_VALUE"""),300.0)</f>
        <v>300</v>
      </c>
      <c r="BM228" s="304">
        <f>IFERROR(__xludf.DUMMYFUNCTION("""COMPUTED_VALUE"""),400.0)</f>
        <v>400</v>
      </c>
      <c r="BN228" s="304">
        <f>IFERROR(__xludf.DUMMYFUNCTION("""COMPUTED_VALUE"""),500.0)</f>
        <v>500</v>
      </c>
      <c r="BO228" s="304">
        <f>IFERROR(__xludf.DUMMYFUNCTION("""COMPUTED_VALUE"""),525.0)</f>
        <v>525</v>
      </c>
    </row>
    <row r="229">
      <c r="A229" s="433" t="str">
        <f>IFERROR(__xludf.DUMMYFUNCTION("""COMPUTED_VALUE"""),"攻撃力UP(赤)")</f>
        <v>攻撃力UP(赤)</v>
      </c>
      <c r="B229" s="374" t="str">
        <f>IFERROR(__xludf.DUMMYFUNCTION("""COMPUTED_VALUE"""),"超瞬間型")</f>
        <v>超瞬間型</v>
      </c>
      <c r="C229" s="375">
        <f>IFERROR(__xludf.DUMMYFUNCTION("""COMPUTED_VALUE"""),1.0)</f>
        <v>1</v>
      </c>
      <c r="D229" s="376" t="str">
        <f>IFERROR(__xludf.DUMMYFUNCTION("""COMPUTED_VALUE"""),"効果値")</f>
        <v>効果値</v>
      </c>
      <c r="E229" s="377" t="str">
        <f>IFERROR(__xludf.DUMMYFUNCTION("""COMPUTED_VALUE"""),"-")</f>
        <v>-</v>
      </c>
      <c r="F229" s="378" t="str">
        <f>IFERROR(__xludf.DUMMYFUNCTION("""COMPUTED_VALUE"""),"-")</f>
        <v>-</v>
      </c>
      <c r="G229" s="377" t="str">
        <f>IFERROR(__xludf.DUMMYFUNCTION("""COMPUTED_VALUE"""),"-")</f>
        <v>-</v>
      </c>
      <c r="H229" s="378" t="str">
        <f>IFERROR(__xludf.DUMMYFUNCTION("""COMPUTED_VALUE"""),"-")</f>
        <v>-</v>
      </c>
      <c r="I229" s="377" t="str">
        <f>IFERROR(__xludf.DUMMYFUNCTION("""COMPUTED_VALUE"""),"-")</f>
        <v>-</v>
      </c>
      <c r="J229" s="379">
        <f>IFERROR(__xludf.DUMMYFUNCTION("""COMPUTED_VALUE"""),55.0)</f>
        <v>55</v>
      </c>
      <c r="K229" s="294">
        <f>IFERROR(__xludf.DUMMYFUNCTION("""COMPUTED_VALUE"""),65.0)</f>
        <v>65</v>
      </c>
      <c r="L229" s="294">
        <f>IFERROR(__xludf.DUMMYFUNCTION("""COMPUTED_VALUE"""),65.0)</f>
        <v>65</v>
      </c>
      <c r="M229" s="374" t="str">
        <f>IFERROR(__xludf.DUMMYFUNCTION("""COMPUTED_VALUE"""),"瞬間型")</f>
        <v>瞬間型</v>
      </c>
      <c r="N229" s="375">
        <f>IFERROR(__xludf.DUMMYFUNCTION("""COMPUTED_VALUE"""),1.0)</f>
        <v>1</v>
      </c>
      <c r="O229" s="376" t="str">
        <f>IFERROR(__xludf.DUMMYFUNCTION("""COMPUTED_VALUE"""),"効果値")</f>
        <v>効果値</v>
      </c>
      <c r="P229" s="380">
        <f>IFERROR(__xludf.DUMMYFUNCTION("""COMPUTED_VALUE"""),20.0)</f>
        <v>20</v>
      </c>
      <c r="Q229" s="263">
        <f>IFERROR(__xludf.DUMMYFUNCTION("""COMPUTED_VALUE"""),20.0)</f>
        <v>20</v>
      </c>
      <c r="R229" s="263">
        <f>IFERROR(__xludf.DUMMYFUNCTION("""COMPUTED_VALUE"""),20.0)</f>
        <v>20</v>
      </c>
      <c r="S229" s="263">
        <f>IFERROR(__xludf.DUMMYFUNCTION("""COMPUTED_VALUE"""),20.0)</f>
        <v>20</v>
      </c>
      <c r="T229" s="263">
        <f>IFERROR(__xludf.DUMMYFUNCTION("""COMPUTED_VALUE"""),20.0)</f>
        <v>20</v>
      </c>
      <c r="U229" s="263">
        <f>IFERROR(__xludf.DUMMYFUNCTION("""COMPUTED_VALUE"""),25.0)</f>
        <v>25</v>
      </c>
      <c r="V229" s="266">
        <f>IFERROR(__xludf.DUMMYFUNCTION("""COMPUTED_VALUE"""),30.0)</f>
        <v>30</v>
      </c>
      <c r="W229" s="266">
        <f>IFERROR(__xludf.DUMMYFUNCTION("""COMPUTED_VALUE"""),30.0)</f>
        <v>30</v>
      </c>
      <c r="X229" s="374" t="str">
        <f>IFERROR(__xludf.DUMMYFUNCTION("""COMPUTED_VALUE"""),"安定型")</f>
        <v>安定型</v>
      </c>
      <c r="Y229" s="375">
        <f>IFERROR(__xludf.DUMMYFUNCTION("""COMPUTED_VALUE"""),1.0)</f>
        <v>1</v>
      </c>
      <c r="Z229" s="376" t="str">
        <f>IFERROR(__xludf.DUMMYFUNCTION("""COMPUTED_VALUE"""),"効果値")</f>
        <v>効果値</v>
      </c>
      <c r="AA229" s="380">
        <f>IFERROR(__xludf.DUMMYFUNCTION("""COMPUTED_VALUE"""),10.0)</f>
        <v>10</v>
      </c>
      <c r="AB229" s="263">
        <f>IFERROR(__xludf.DUMMYFUNCTION("""COMPUTED_VALUE"""),10.0)</f>
        <v>10</v>
      </c>
      <c r="AC229" s="263">
        <f>IFERROR(__xludf.DUMMYFUNCTION("""COMPUTED_VALUE"""),10.0)</f>
        <v>10</v>
      </c>
      <c r="AD229" s="263">
        <f>IFERROR(__xludf.DUMMYFUNCTION("""COMPUTED_VALUE"""),10.0)</f>
        <v>10</v>
      </c>
      <c r="AE229" s="263">
        <f>IFERROR(__xludf.DUMMYFUNCTION("""COMPUTED_VALUE"""),10.0)</f>
        <v>10</v>
      </c>
      <c r="AF229" s="263">
        <f>IFERROR(__xludf.DUMMYFUNCTION("""COMPUTED_VALUE"""),10.0)</f>
        <v>10</v>
      </c>
      <c r="AG229" s="266">
        <f>IFERROR(__xludf.DUMMYFUNCTION("""COMPUTED_VALUE"""),15.0)</f>
        <v>15</v>
      </c>
      <c r="AH229" s="266">
        <f>IFERROR(__xludf.DUMMYFUNCTION("""COMPUTED_VALUE"""),15.0)</f>
        <v>15</v>
      </c>
      <c r="AI229" s="374" t="str">
        <f>IFERROR(__xludf.DUMMYFUNCTION("""COMPUTED_VALUE"""),"持続型")</f>
        <v>持続型</v>
      </c>
      <c r="AJ229" s="375">
        <f>IFERROR(__xludf.DUMMYFUNCTION("""COMPUTED_VALUE"""),1.0)</f>
        <v>1</v>
      </c>
      <c r="AK229" s="376" t="str">
        <f>IFERROR(__xludf.DUMMYFUNCTION("""COMPUTED_VALUE"""),"効果値")</f>
        <v>効果値</v>
      </c>
      <c r="AL229" s="380">
        <f>IFERROR(__xludf.DUMMYFUNCTION("""COMPUTED_VALUE"""),5.0)</f>
        <v>5</v>
      </c>
      <c r="AM229" s="263">
        <f>IFERROR(__xludf.DUMMYFUNCTION("""COMPUTED_VALUE"""),5.0)</f>
        <v>5</v>
      </c>
      <c r="AN229" s="263">
        <f>IFERROR(__xludf.DUMMYFUNCTION("""COMPUTED_VALUE"""),5.0)</f>
        <v>5</v>
      </c>
      <c r="AO229" s="263">
        <f>IFERROR(__xludf.DUMMYFUNCTION("""COMPUTED_VALUE"""),5.0)</f>
        <v>5</v>
      </c>
      <c r="AP229" s="263">
        <f>IFERROR(__xludf.DUMMYFUNCTION("""COMPUTED_VALUE"""),5.0)</f>
        <v>5</v>
      </c>
      <c r="AQ229" s="263">
        <f>IFERROR(__xludf.DUMMYFUNCTION("""COMPUTED_VALUE"""),5.0)</f>
        <v>5</v>
      </c>
      <c r="AR229" s="266">
        <f>IFERROR(__xludf.DUMMYFUNCTION("""COMPUTED_VALUE"""),10.0)</f>
        <v>10</v>
      </c>
      <c r="AS229" s="266">
        <f>IFERROR(__xludf.DUMMYFUNCTION("""COMPUTED_VALUE"""),10.0)</f>
        <v>10</v>
      </c>
      <c r="AT229" s="374" t="str">
        <f>IFERROR(__xludf.DUMMYFUNCTION("""COMPUTED_VALUE"""),"超持続型")</f>
        <v>超持続型</v>
      </c>
      <c r="AU229" s="375">
        <f>IFERROR(__xludf.DUMMYFUNCTION("""COMPUTED_VALUE"""),1.0)</f>
        <v>1</v>
      </c>
      <c r="AV229" s="376" t="str">
        <f>IFERROR(__xludf.DUMMYFUNCTION("""COMPUTED_VALUE"""),"効果値")</f>
        <v>効果値</v>
      </c>
      <c r="AW229" s="350" t="str">
        <f>IFERROR(__xludf.DUMMYFUNCTION("""COMPUTED_VALUE"""),"-")</f>
        <v>-</v>
      </c>
      <c r="AX229" s="348" t="str">
        <f>IFERROR(__xludf.DUMMYFUNCTION("""COMPUTED_VALUE"""),"-")</f>
        <v>-</v>
      </c>
      <c r="AY229" s="348" t="str">
        <f>IFERROR(__xludf.DUMMYFUNCTION("""COMPUTED_VALUE"""),"-")</f>
        <v>-</v>
      </c>
      <c r="AZ229" s="348" t="str">
        <f>IFERROR(__xludf.DUMMYFUNCTION("""COMPUTED_VALUE"""),"-")</f>
        <v>-</v>
      </c>
      <c r="BA229" s="348" t="str">
        <f>IFERROR(__xludf.DUMMYFUNCTION("""COMPUTED_VALUE"""),"-")</f>
        <v>-</v>
      </c>
      <c r="BB229" s="263">
        <f>IFERROR(__xludf.DUMMYFUNCTION("""COMPUTED_VALUE"""),5.0)</f>
        <v>5</v>
      </c>
      <c r="BC229" s="266">
        <f>IFERROR(__xludf.DUMMYFUNCTION("""COMPUTED_VALUE"""),10.0)</f>
        <v>10</v>
      </c>
      <c r="BD229" s="266">
        <f>IFERROR(__xludf.DUMMYFUNCTION("""COMPUTED_VALUE"""),10.0)</f>
        <v>10</v>
      </c>
      <c r="BE229" s="374" t="str">
        <f>IFERROR(__xludf.DUMMYFUNCTION("""COMPUTED_VALUE"""),"ハイブリッド型")</f>
        <v>ハイブリッド型</v>
      </c>
      <c r="BF229" s="375">
        <f>IFERROR(__xludf.DUMMYFUNCTION("""COMPUTED_VALUE"""),1.0)</f>
        <v>1</v>
      </c>
      <c r="BG229" s="376" t="str">
        <f>IFERROR(__xludf.DUMMYFUNCTION("""COMPUTED_VALUE"""),"効果値")</f>
        <v>効果値</v>
      </c>
      <c r="BH229" s="381">
        <f>IFERROR(__xludf.DUMMYFUNCTION("""COMPUTED_VALUE"""),10.0)</f>
        <v>10</v>
      </c>
      <c r="BI229" s="382">
        <f>IFERROR(__xludf.DUMMYFUNCTION("""COMPUTED_VALUE"""),10.0)</f>
        <v>10</v>
      </c>
      <c r="BJ229" s="382">
        <f>IFERROR(__xludf.DUMMYFUNCTION("""COMPUTED_VALUE"""),10.0)</f>
        <v>10</v>
      </c>
      <c r="BK229" s="382">
        <f>IFERROR(__xludf.DUMMYFUNCTION("""COMPUTED_VALUE"""),10.0)</f>
        <v>10</v>
      </c>
      <c r="BL229" s="382">
        <f>IFERROR(__xludf.DUMMYFUNCTION("""COMPUTED_VALUE"""),10.0)</f>
        <v>10</v>
      </c>
      <c r="BM229" s="382">
        <f>IFERROR(__xludf.DUMMYFUNCTION("""COMPUTED_VALUE"""),15.0)</f>
        <v>15</v>
      </c>
      <c r="BN229" s="382">
        <f>IFERROR(__xludf.DUMMYFUNCTION("""COMPUTED_VALUE"""),20.0)</f>
        <v>20</v>
      </c>
      <c r="BO229" s="383">
        <f>IFERROR(__xludf.DUMMYFUNCTION("""COMPUTED_VALUE"""),20.0)</f>
        <v>20</v>
      </c>
    </row>
    <row r="230">
      <c r="A230" s="434" t="str">
        <f>IFERROR(__xludf.DUMMYFUNCTION("""COMPUTED_VALUE"""),"攻撃力UP(赤)")</f>
        <v>攻撃力UP(赤)</v>
      </c>
      <c r="B230" s="385" t="str">
        <f>IFERROR(__xludf.DUMMYFUNCTION("""COMPUTED_VALUE"""),"超瞬間型")</f>
        <v>超瞬間型</v>
      </c>
      <c r="C230" s="386">
        <f>IFERROR(__xludf.DUMMYFUNCTION("""COMPUTED_VALUE"""),1.0)</f>
        <v>1</v>
      </c>
      <c r="D230" s="387" t="str">
        <f>IFERROR(__xludf.DUMMYFUNCTION("""COMPUTED_VALUE"""),"効果時間")</f>
        <v>効果時間</v>
      </c>
      <c r="E230" s="388" t="str">
        <f>IFERROR(__xludf.DUMMYFUNCTION("""COMPUTED_VALUE"""),"-")</f>
        <v>-</v>
      </c>
      <c r="F230" s="389" t="str">
        <f>IFERROR(__xludf.DUMMYFUNCTION("""COMPUTED_VALUE"""),"-")</f>
        <v>-</v>
      </c>
      <c r="G230" s="388" t="str">
        <f>IFERROR(__xludf.DUMMYFUNCTION("""COMPUTED_VALUE"""),"-")</f>
        <v>-</v>
      </c>
      <c r="H230" s="389" t="str">
        <f>IFERROR(__xludf.DUMMYFUNCTION("""COMPUTED_VALUE"""),"-")</f>
        <v>-</v>
      </c>
      <c r="I230" s="388" t="str">
        <f>IFERROR(__xludf.DUMMYFUNCTION("""COMPUTED_VALUE"""),"-")</f>
        <v>-</v>
      </c>
      <c r="J230" s="390">
        <f>IFERROR(__xludf.DUMMYFUNCTION("""COMPUTED_VALUE"""),150.0)</f>
        <v>150</v>
      </c>
      <c r="K230" s="391">
        <f>IFERROR(__xludf.DUMMYFUNCTION("""COMPUTED_VALUE"""),160.0)</f>
        <v>160</v>
      </c>
      <c r="L230" s="340">
        <f>IFERROR(__xludf.DUMMYFUNCTION("""COMPUTED_VALUE"""),160.0)</f>
        <v>160</v>
      </c>
      <c r="M230" s="385" t="str">
        <f>IFERROR(__xludf.DUMMYFUNCTION("""COMPUTED_VALUE"""),"瞬間型")</f>
        <v>瞬間型</v>
      </c>
      <c r="N230" s="386">
        <f>IFERROR(__xludf.DUMMYFUNCTION("""COMPUTED_VALUE"""),1.0)</f>
        <v>1</v>
      </c>
      <c r="O230" s="387" t="str">
        <f>IFERROR(__xludf.DUMMYFUNCTION("""COMPUTED_VALUE"""),"効果時間")</f>
        <v>効果時間</v>
      </c>
      <c r="P230" s="392">
        <f>IFERROR(__xludf.DUMMYFUNCTION("""COMPUTED_VALUE"""),150.0)</f>
        <v>150</v>
      </c>
      <c r="Q230" s="393">
        <f>IFERROR(__xludf.DUMMYFUNCTION("""COMPUTED_VALUE"""),150.0)</f>
        <v>150</v>
      </c>
      <c r="R230" s="393">
        <f>IFERROR(__xludf.DUMMYFUNCTION("""COMPUTED_VALUE"""),150.0)</f>
        <v>150</v>
      </c>
      <c r="S230" s="393">
        <f>IFERROR(__xludf.DUMMYFUNCTION("""COMPUTED_VALUE"""),150.0)</f>
        <v>150</v>
      </c>
      <c r="T230" s="393">
        <f>IFERROR(__xludf.DUMMYFUNCTION("""COMPUTED_VALUE"""),150.0)</f>
        <v>150</v>
      </c>
      <c r="U230" s="393">
        <f>IFERROR(__xludf.DUMMYFUNCTION("""COMPUTED_VALUE"""),150.0)</f>
        <v>150</v>
      </c>
      <c r="V230" s="393">
        <f>IFERROR(__xludf.DUMMYFUNCTION("""COMPUTED_VALUE"""),160.0)</f>
        <v>160</v>
      </c>
      <c r="W230" s="394">
        <f>IFERROR(__xludf.DUMMYFUNCTION("""COMPUTED_VALUE"""),160.0)</f>
        <v>160</v>
      </c>
      <c r="X230" s="385" t="str">
        <f>IFERROR(__xludf.DUMMYFUNCTION("""COMPUTED_VALUE"""),"安定型")</f>
        <v>安定型</v>
      </c>
      <c r="Y230" s="386">
        <f>IFERROR(__xludf.DUMMYFUNCTION("""COMPUTED_VALUE"""),1.0)</f>
        <v>1</v>
      </c>
      <c r="Z230" s="387" t="str">
        <f>IFERROR(__xludf.DUMMYFUNCTION("""COMPUTED_VALUE"""),"効果時間")</f>
        <v>効果時間</v>
      </c>
      <c r="AA230" s="392">
        <f>IFERROR(__xludf.DUMMYFUNCTION("""COMPUTED_VALUE"""),300.0)</f>
        <v>300</v>
      </c>
      <c r="AB230" s="393">
        <f>IFERROR(__xludf.DUMMYFUNCTION("""COMPUTED_VALUE"""),300.0)</f>
        <v>300</v>
      </c>
      <c r="AC230" s="393">
        <f>IFERROR(__xludf.DUMMYFUNCTION("""COMPUTED_VALUE"""),300.0)</f>
        <v>300</v>
      </c>
      <c r="AD230" s="393">
        <f>IFERROR(__xludf.DUMMYFUNCTION("""COMPUTED_VALUE"""),300.0)</f>
        <v>300</v>
      </c>
      <c r="AE230" s="393">
        <f>IFERROR(__xludf.DUMMYFUNCTION("""COMPUTED_VALUE"""),300.0)</f>
        <v>300</v>
      </c>
      <c r="AF230" s="393">
        <f>IFERROR(__xludf.DUMMYFUNCTION("""COMPUTED_VALUE"""),300.0)</f>
        <v>300</v>
      </c>
      <c r="AG230" s="393">
        <f>IFERROR(__xludf.DUMMYFUNCTION("""COMPUTED_VALUE"""),310.0)</f>
        <v>310</v>
      </c>
      <c r="AH230" s="394">
        <f>IFERROR(__xludf.DUMMYFUNCTION("""COMPUTED_VALUE"""),310.0)</f>
        <v>310</v>
      </c>
      <c r="AI230" s="385" t="str">
        <f>IFERROR(__xludf.DUMMYFUNCTION("""COMPUTED_VALUE"""),"持続型")</f>
        <v>持続型</v>
      </c>
      <c r="AJ230" s="386">
        <f>IFERROR(__xludf.DUMMYFUNCTION("""COMPUTED_VALUE"""),1.0)</f>
        <v>1</v>
      </c>
      <c r="AK230" s="387" t="str">
        <f>IFERROR(__xludf.DUMMYFUNCTION("""COMPUTED_VALUE"""),"効果時間")</f>
        <v>効果時間</v>
      </c>
      <c r="AL230" s="392">
        <f>IFERROR(__xludf.DUMMYFUNCTION("""COMPUTED_VALUE"""),450.0)</f>
        <v>450</v>
      </c>
      <c r="AM230" s="393">
        <f>IFERROR(__xludf.DUMMYFUNCTION("""COMPUTED_VALUE"""),450.0)</f>
        <v>450</v>
      </c>
      <c r="AN230" s="393">
        <f>IFERROR(__xludf.DUMMYFUNCTION("""COMPUTED_VALUE"""),450.0)</f>
        <v>450</v>
      </c>
      <c r="AO230" s="393">
        <f>IFERROR(__xludf.DUMMYFUNCTION("""COMPUTED_VALUE"""),450.0)</f>
        <v>450</v>
      </c>
      <c r="AP230" s="393">
        <f>IFERROR(__xludf.DUMMYFUNCTION("""COMPUTED_VALUE"""),450.0)</f>
        <v>450</v>
      </c>
      <c r="AQ230" s="393">
        <f>IFERROR(__xludf.DUMMYFUNCTION("""COMPUTED_VALUE"""),450.0)</f>
        <v>450</v>
      </c>
      <c r="AR230" s="393">
        <f>IFERROR(__xludf.DUMMYFUNCTION("""COMPUTED_VALUE"""),460.0)</f>
        <v>460</v>
      </c>
      <c r="AS230" s="394">
        <f>IFERROR(__xludf.DUMMYFUNCTION("""COMPUTED_VALUE"""),460.0)</f>
        <v>460</v>
      </c>
      <c r="AT230" s="385" t="str">
        <f>IFERROR(__xludf.DUMMYFUNCTION("""COMPUTED_VALUE"""),"超持続型")</f>
        <v>超持続型</v>
      </c>
      <c r="AU230" s="386">
        <f>IFERROR(__xludf.DUMMYFUNCTION("""COMPUTED_VALUE"""),1.0)</f>
        <v>1</v>
      </c>
      <c r="AV230" s="387" t="str">
        <f>IFERROR(__xludf.DUMMYFUNCTION("""COMPUTED_VALUE"""),"効果時間")</f>
        <v>効果時間</v>
      </c>
      <c r="AW230" s="395" t="str">
        <f>IFERROR(__xludf.DUMMYFUNCTION("""COMPUTED_VALUE"""),"-")</f>
        <v>-</v>
      </c>
      <c r="AX230" s="396" t="str">
        <f>IFERROR(__xludf.DUMMYFUNCTION("""COMPUTED_VALUE"""),"-")</f>
        <v>-</v>
      </c>
      <c r="AY230" s="396" t="str">
        <f>IFERROR(__xludf.DUMMYFUNCTION("""COMPUTED_VALUE"""),"-")</f>
        <v>-</v>
      </c>
      <c r="AZ230" s="396" t="str">
        <f>IFERROR(__xludf.DUMMYFUNCTION("""COMPUTED_VALUE"""),"-")</f>
        <v>-</v>
      </c>
      <c r="BA230" s="396" t="str">
        <f>IFERROR(__xludf.DUMMYFUNCTION("""COMPUTED_VALUE"""),"-")</f>
        <v>-</v>
      </c>
      <c r="BB230" s="393">
        <f>IFERROR(__xludf.DUMMYFUNCTION("""COMPUTED_VALUE"""),600.0)</f>
        <v>600</v>
      </c>
      <c r="BC230" s="393">
        <f>IFERROR(__xludf.DUMMYFUNCTION("""COMPUTED_VALUE"""),610.0)</f>
        <v>610</v>
      </c>
      <c r="BD230" s="394">
        <f>IFERROR(__xludf.DUMMYFUNCTION("""COMPUTED_VALUE"""),610.0)</f>
        <v>610</v>
      </c>
      <c r="BE230" s="385" t="str">
        <f>IFERROR(__xludf.DUMMYFUNCTION("""COMPUTED_VALUE"""),"ハイブリッド型")</f>
        <v>ハイブリッド型</v>
      </c>
      <c r="BF230" s="386">
        <f>IFERROR(__xludf.DUMMYFUNCTION("""COMPUTED_VALUE"""),1.0)</f>
        <v>1</v>
      </c>
      <c r="BG230" s="387" t="str">
        <f>IFERROR(__xludf.DUMMYFUNCTION("""COMPUTED_VALUE"""),"効果時間")</f>
        <v>効果時間</v>
      </c>
      <c r="BH230" s="397">
        <f>IFERROR(__xludf.DUMMYFUNCTION("""COMPUTED_VALUE"""),150.0)</f>
        <v>150</v>
      </c>
      <c r="BI230" s="397">
        <f>IFERROR(__xludf.DUMMYFUNCTION("""COMPUTED_VALUE"""),150.0)</f>
        <v>150</v>
      </c>
      <c r="BJ230" s="397">
        <f>IFERROR(__xludf.DUMMYFUNCTION("""COMPUTED_VALUE"""),150.0)</f>
        <v>150</v>
      </c>
      <c r="BK230" s="398">
        <f>IFERROR(__xludf.DUMMYFUNCTION("""COMPUTED_VALUE"""),150.0)</f>
        <v>150</v>
      </c>
      <c r="BL230" s="397">
        <f>IFERROR(__xludf.DUMMYFUNCTION("""COMPUTED_VALUE"""),150.0)</f>
        <v>150</v>
      </c>
      <c r="BM230" s="398">
        <f>IFERROR(__xludf.DUMMYFUNCTION("""COMPUTED_VALUE"""),350.0)</f>
        <v>350</v>
      </c>
      <c r="BN230" s="397">
        <f>IFERROR(__xludf.DUMMYFUNCTION("""COMPUTED_VALUE"""),460.0)</f>
        <v>460</v>
      </c>
      <c r="BO230" s="398">
        <f>IFERROR(__xludf.DUMMYFUNCTION("""COMPUTED_VALUE"""),460.0)</f>
        <v>460</v>
      </c>
    </row>
    <row r="231">
      <c r="A231" s="435" t="str">
        <f>IFERROR(__xludf.DUMMYFUNCTION("""COMPUTED_VALUE"""),"攻撃力UP(赤)")</f>
        <v>攻撃力UP(赤)</v>
      </c>
      <c r="B231" s="385" t="str">
        <f>IFERROR(__xludf.DUMMYFUNCTION("""COMPUTED_VALUE"""),"超瞬間型")</f>
        <v>超瞬間型</v>
      </c>
      <c r="C231" s="399">
        <f>IFERROR(__xludf.DUMMYFUNCTION("""COMPUTED_VALUE"""),2.0)</f>
        <v>2</v>
      </c>
      <c r="D231" s="400" t="str">
        <f>IFERROR(__xludf.DUMMYFUNCTION("""COMPUTED_VALUE"""),"効果値")</f>
        <v>効果値</v>
      </c>
      <c r="E231" s="401" t="str">
        <f>IFERROR(__xludf.DUMMYFUNCTION("""COMPUTED_VALUE"""),"-")</f>
        <v>-</v>
      </c>
      <c r="F231" s="401" t="str">
        <f>IFERROR(__xludf.DUMMYFUNCTION("""COMPUTED_VALUE"""),"-")</f>
        <v>-</v>
      </c>
      <c r="G231" s="401" t="str">
        <f>IFERROR(__xludf.DUMMYFUNCTION("""COMPUTED_VALUE"""),"-")</f>
        <v>-</v>
      </c>
      <c r="H231" s="401" t="str">
        <f>IFERROR(__xludf.DUMMYFUNCTION("""COMPUTED_VALUE"""),"-")</f>
        <v>-</v>
      </c>
      <c r="I231" s="401" t="str">
        <f>IFERROR(__xludf.DUMMYFUNCTION("""COMPUTED_VALUE"""),"-")</f>
        <v>-</v>
      </c>
      <c r="J231" s="318">
        <f>IFERROR(__xludf.DUMMYFUNCTION("""COMPUTED_VALUE"""),57.0)</f>
        <v>57</v>
      </c>
      <c r="K231" s="318">
        <f>IFERROR(__xludf.DUMMYFUNCTION("""COMPUTED_VALUE"""),67.0)</f>
        <v>67</v>
      </c>
      <c r="L231" s="318">
        <f>IFERROR(__xludf.DUMMYFUNCTION("""COMPUTED_VALUE"""),69.0)</f>
        <v>69</v>
      </c>
      <c r="M231" s="385" t="str">
        <f>IFERROR(__xludf.DUMMYFUNCTION("""COMPUTED_VALUE"""),"瞬間型")</f>
        <v>瞬間型</v>
      </c>
      <c r="N231" s="399">
        <f>IFERROR(__xludf.DUMMYFUNCTION("""COMPUTED_VALUE"""),2.0)</f>
        <v>2</v>
      </c>
      <c r="O231" s="400" t="str">
        <f>IFERROR(__xludf.DUMMYFUNCTION("""COMPUTED_VALUE"""),"効果値")</f>
        <v>効果値</v>
      </c>
      <c r="P231" s="343">
        <f>IFERROR(__xludf.DUMMYFUNCTION("""COMPUTED_VALUE"""),21.0)</f>
        <v>21</v>
      </c>
      <c r="Q231" s="402">
        <f>IFERROR(__xludf.DUMMYFUNCTION("""COMPUTED_VALUE"""),21.0)</f>
        <v>21</v>
      </c>
      <c r="R231" s="343">
        <f>IFERROR(__xludf.DUMMYFUNCTION("""COMPUTED_VALUE"""),22.0)</f>
        <v>22</v>
      </c>
      <c r="S231" s="402">
        <f>IFERROR(__xludf.DUMMYFUNCTION("""COMPUTED_VALUE"""),22.0)</f>
        <v>22</v>
      </c>
      <c r="T231" s="343">
        <f>IFERROR(__xludf.DUMMYFUNCTION("""COMPUTED_VALUE"""),22.0)</f>
        <v>22</v>
      </c>
      <c r="U231" s="343">
        <f>IFERROR(__xludf.DUMMYFUNCTION("""COMPUTED_VALUE"""),27.0)</f>
        <v>27</v>
      </c>
      <c r="V231" s="343">
        <f>IFERROR(__xludf.DUMMYFUNCTION("""COMPUTED_VALUE"""),32.0)</f>
        <v>32</v>
      </c>
      <c r="W231" s="343">
        <f>IFERROR(__xludf.DUMMYFUNCTION("""COMPUTED_VALUE"""),34.0)</f>
        <v>34</v>
      </c>
      <c r="X231" s="385" t="str">
        <f>IFERROR(__xludf.DUMMYFUNCTION("""COMPUTED_VALUE"""),"安定型")</f>
        <v>安定型</v>
      </c>
      <c r="Y231" s="399">
        <f>IFERROR(__xludf.DUMMYFUNCTION("""COMPUTED_VALUE"""),2.0)</f>
        <v>2</v>
      </c>
      <c r="Z231" s="400" t="str">
        <f>IFERROR(__xludf.DUMMYFUNCTION("""COMPUTED_VALUE"""),"効果値")</f>
        <v>効果値</v>
      </c>
      <c r="AA231" s="343">
        <f>IFERROR(__xludf.DUMMYFUNCTION("""COMPUTED_VALUE"""),11.0)</f>
        <v>11</v>
      </c>
      <c r="AB231" s="402">
        <f>IFERROR(__xludf.DUMMYFUNCTION("""COMPUTED_VALUE"""),11.0)</f>
        <v>11</v>
      </c>
      <c r="AC231" s="343">
        <f>IFERROR(__xludf.DUMMYFUNCTION("""COMPUTED_VALUE"""),12.0)</f>
        <v>12</v>
      </c>
      <c r="AD231" s="402">
        <f>IFERROR(__xludf.DUMMYFUNCTION("""COMPUTED_VALUE"""),12.0)</f>
        <v>12</v>
      </c>
      <c r="AE231" s="343">
        <f>IFERROR(__xludf.DUMMYFUNCTION("""COMPUTED_VALUE"""),12.0)</f>
        <v>12</v>
      </c>
      <c r="AF231" s="343">
        <f>IFERROR(__xludf.DUMMYFUNCTION("""COMPUTED_VALUE"""),12.0)</f>
        <v>12</v>
      </c>
      <c r="AG231" s="343">
        <f>IFERROR(__xludf.DUMMYFUNCTION("""COMPUTED_VALUE"""),17.0)</f>
        <v>17</v>
      </c>
      <c r="AH231" s="343">
        <f>IFERROR(__xludf.DUMMYFUNCTION("""COMPUTED_VALUE"""),19.0)</f>
        <v>19</v>
      </c>
      <c r="AI231" s="385" t="str">
        <f>IFERROR(__xludf.DUMMYFUNCTION("""COMPUTED_VALUE"""),"持続型")</f>
        <v>持続型</v>
      </c>
      <c r="AJ231" s="399">
        <f>IFERROR(__xludf.DUMMYFUNCTION("""COMPUTED_VALUE"""),2.0)</f>
        <v>2</v>
      </c>
      <c r="AK231" s="400" t="str">
        <f>IFERROR(__xludf.DUMMYFUNCTION("""COMPUTED_VALUE"""),"効果値")</f>
        <v>効果値</v>
      </c>
      <c r="AL231" s="343">
        <f>IFERROR(__xludf.DUMMYFUNCTION("""COMPUTED_VALUE"""),6.0)</f>
        <v>6</v>
      </c>
      <c r="AM231" s="402">
        <f>IFERROR(__xludf.DUMMYFUNCTION("""COMPUTED_VALUE"""),6.0)</f>
        <v>6</v>
      </c>
      <c r="AN231" s="343">
        <f>IFERROR(__xludf.DUMMYFUNCTION("""COMPUTED_VALUE"""),7.0)</f>
        <v>7</v>
      </c>
      <c r="AO231" s="402">
        <f>IFERROR(__xludf.DUMMYFUNCTION("""COMPUTED_VALUE"""),7.0)</f>
        <v>7</v>
      </c>
      <c r="AP231" s="343">
        <f>IFERROR(__xludf.DUMMYFUNCTION("""COMPUTED_VALUE"""),7.0)</f>
        <v>7</v>
      </c>
      <c r="AQ231" s="343">
        <f>IFERROR(__xludf.DUMMYFUNCTION("""COMPUTED_VALUE"""),7.0)</f>
        <v>7</v>
      </c>
      <c r="AR231" s="343">
        <f>IFERROR(__xludf.DUMMYFUNCTION("""COMPUTED_VALUE"""),11.0)</f>
        <v>11</v>
      </c>
      <c r="AS231" s="343">
        <f>IFERROR(__xludf.DUMMYFUNCTION("""COMPUTED_VALUE"""),11.0)</f>
        <v>11</v>
      </c>
      <c r="AT231" s="385" t="str">
        <f>IFERROR(__xludf.DUMMYFUNCTION("""COMPUTED_VALUE"""),"超持続型")</f>
        <v>超持続型</v>
      </c>
      <c r="AU231" s="399">
        <f>IFERROR(__xludf.DUMMYFUNCTION("""COMPUTED_VALUE"""),2.0)</f>
        <v>2</v>
      </c>
      <c r="AV231" s="400" t="str">
        <f>IFERROR(__xludf.DUMMYFUNCTION("""COMPUTED_VALUE"""),"効果値")</f>
        <v>効果値</v>
      </c>
      <c r="AW231" s="403" t="str">
        <f>IFERROR(__xludf.DUMMYFUNCTION("""COMPUTED_VALUE"""),"-")</f>
        <v>-</v>
      </c>
      <c r="AX231" s="403" t="str">
        <f>IFERROR(__xludf.DUMMYFUNCTION("""COMPUTED_VALUE"""),"-")</f>
        <v>-</v>
      </c>
      <c r="AY231" s="403" t="str">
        <f>IFERROR(__xludf.DUMMYFUNCTION("""COMPUTED_VALUE"""),"-")</f>
        <v>-</v>
      </c>
      <c r="AZ231" s="403" t="str">
        <f>IFERROR(__xludf.DUMMYFUNCTION("""COMPUTED_VALUE"""),"-")</f>
        <v>-</v>
      </c>
      <c r="BA231" s="403" t="str">
        <f>IFERROR(__xludf.DUMMYFUNCTION("""COMPUTED_VALUE"""),"-")</f>
        <v>-</v>
      </c>
      <c r="BB231" s="343">
        <f>IFERROR(__xludf.DUMMYFUNCTION("""COMPUTED_VALUE"""),7.0)</f>
        <v>7</v>
      </c>
      <c r="BC231" s="343">
        <f>IFERROR(__xludf.DUMMYFUNCTION("""COMPUTED_VALUE"""),11.0)</f>
        <v>11</v>
      </c>
      <c r="BD231" s="343">
        <f>IFERROR(__xludf.DUMMYFUNCTION("""COMPUTED_VALUE"""),11.0)</f>
        <v>11</v>
      </c>
      <c r="BE231" s="385" t="str">
        <f>IFERROR(__xludf.DUMMYFUNCTION("""COMPUTED_VALUE"""),"ハイブリッド型")</f>
        <v>ハイブリッド型</v>
      </c>
      <c r="BF231" s="399">
        <f>IFERROR(__xludf.DUMMYFUNCTION("""COMPUTED_VALUE"""),2.0)</f>
        <v>2</v>
      </c>
      <c r="BG231" s="400" t="str">
        <f>IFERROR(__xludf.DUMMYFUNCTION("""COMPUTED_VALUE"""),"効果値")</f>
        <v>効果値</v>
      </c>
      <c r="BH231" s="404">
        <f>IFERROR(__xludf.DUMMYFUNCTION("""COMPUTED_VALUE"""),10.8)</f>
        <v>10.8</v>
      </c>
      <c r="BI231" s="405">
        <f>IFERROR(__xludf.DUMMYFUNCTION("""COMPUTED_VALUE"""),11.2)</f>
        <v>11.2</v>
      </c>
      <c r="BJ231" s="405">
        <f>IFERROR(__xludf.DUMMYFUNCTION("""COMPUTED_VALUE"""),11.5)</f>
        <v>11.5</v>
      </c>
      <c r="BK231" s="405">
        <f>IFERROR(__xludf.DUMMYFUNCTION("""COMPUTED_VALUE"""),11.8)</f>
        <v>11.8</v>
      </c>
      <c r="BL231" s="405">
        <f>IFERROR(__xludf.DUMMYFUNCTION("""COMPUTED_VALUE"""),12.1)</f>
        <v>12.1</v>
      </c>
      <c r="BM231" s="405">
        <f>IFERROR(__xludf.DUMMYFUNCTION("""COMPUTED_VALUE"""),17.1)</f>
        <v>17.1</v>
      </c>
      <c r="BN231" s="405">
        <f>IFERROR(__xludf.DUMMYFUNCTION("""COMPUTED_VALUE"""),22.0)</f>
        <v>22</v>
      </c>
      <c r="BO231" s="406">
        <f>IFERROR(__xludf.DUMMYFUNCTION("""COMPUTED_VALUE"""),24.0)</f>
        <v>24</v>
      </c>
    </row>
    <row r="232">
      <c r="A232" s="435" t="str">
        <f>IFERROR(__xludf.DUMMYFUNCTION("""COMPUTED_VALUE"""),"攻撃力UP(赤)")</f>
        <v>攻撃力UP(赤)</v>
      </c>
      <c r="B232" s="385" t="str">
        <f>IFERROR(__xludf.DUMMYFUNCTION("""COMPUTED_VALUE"""),"超瞬間型")</f>
        <v>超瞬間型</v>
      </c>
      <c r="C232" s="386">
        <f>IFERROR(__xludf.DUMMYFUNCTION("""COMPUTED_VALUE"""),2.0)</f>
        <v>2</v>
      </c>
      <c r="D232" s="387" t="str">
        <f>IFERROR(__xludf.DUMMYFUNCTION("""COMPUTED_VALUE"""),"効果時間")</f>
        <v>効果時間</v>
      </c>
      <c r="E232" s="388" t="str">
        <f>IFERROR(__xludf.DUMMYFUNCTION("""COMPUTED_VALUE"""),"-")</f>
        <v>-</v>
      </c>
      <c r="F232" s="389" t="str">
        <f>IFERROR(__xludf.DUMMYFUNCTION("""COMPUTED_VALUE"""),"-")</f>
        <v>-</v>
      </c>
      <c r="G232" s="388" t="str">
        <f>IFERROR(__xludf.DUMMYFUNCTION("""COMPUTED_VALUE"""),"-")</f>
        <v>-</v>
      </c>
      <c r="H232" s="389" t="str">
        <f>IFERROR(__xludf.DUMMYFUNCTION("""COMPUTED_VALUE"""),"-")</f>
        <v>-</v>
      </c>
      <c r="I232" s="388" t="str">
        <f>IFERROR(__xludf.DUMMYFUNCTION("""COMPUTED_VALUE"""),"-")</f>
        <v>-</v>
      </c>
      <c r="J232" s="390">
        <f>IFERROR(__xludf.DUMMYFUNCTION("""COMPUTED_VALUE"""),150.0)</f>
        <v>150</v>
      </c>
      <c r="K232" s="391">
        <f>IFERROR(__xludf.DUMMYFUNCTION("""COMPUTED_VALUE"""),160.0)</f>
        <v>160</v>
      </c>
      <c r="L232" s="340">
        <f>IFERROR(__xludf.DUMMYFUNCTION("""COMPUTED_VALUE"""),170.0)</f>
        <v>170</v>
      </c>
      <c r="M232" s="385" t="str">
        <f>IFERROR(__xludf.DUMMYFUNCTION("""COMPUTED_VALUE"""),"瞬間型")</f>
        <v>瞬間型</v>
      </c>
      <c r="N232" s="386">
        <f>IFERROR(__xludf.DUMMYFUNCTION("""COMPUTED_VALUE"""),2.0)</f>
        <v>2</v>
      </c>
      <c r="O232" s="387" t="str">
        <f>IFERROR(__xludf.DUMMYFUNCTION("""COMPUTED_VALUE"""),"効果時間")</f>
        <v>効果時間</v>
      </c>
      <c r="P232" s="392">
        <f>IFERROR(__xludf.DUMMYFUNCTION("""COMPUTED_VALUE"""),160.0)</f>
        <v>160</v>
      </c>
      <c r="Q232" s="275">
        <f>IFERROR(__xludf.DUMMYFUNCTION("""COMPUTED_VALUE"""),165.0)</f>
        <v>165</v>
      </c>
      <c r="R232" s="280">
        <f>IFERROR(__xludf.DUMMYFUNCTION("""COMPUTED_VALUE"""),170.0)</f>
        <v>170</v>
      </c>
      <c r="S232" s="275">
        <f>IFERROR(__xludf.DUMMYFUNCTION("""COMPUTED_VALUE"""),175.0)</f>
        <v>175</v>
      </c>
      <c r="T232" s="280">
        <f>IFERROR(__xludf.DUMMYFUNCTION("""COMPUTED_VALUE"""),180.0)</f>
        <v>180</v>
      </c>
      <c r="U232" s="280">
        <f>IFERROR(__xludf.DUMMYFUNCTION("""COMPUTED_VALUE"""),180.0)</f>
        <v>180</v>
      </c>
      <c r="V232" s="280">
        <f>IFERROR(__xludf.DUMMYFUNCTION("""COMPUTED_VALUE"""),220.0)</f>
        <v>220</v>
      </c>
      <c r="W232" s="280">
        <f>IFERROR(__xludf.DUMMYFUNCTION("""COMPUTED_VALUE"""),230.0)</f>
        <v>230</v>
      </c>
      <c r="X232" s="385" t="str">
        <f>IFERROR(__xludf.DUMMYFUNCTION("""COMPUTED_VALUE"""),"安定型")</f>
        <v>安定型</v>
      </c>
      <c r="Y232" s="386">
        <f>IFERROR(__xludf.DUMMYFUNCTION("""COMPUTED_VALUE"""),2.0)</f>
        <v>2</v>
      </c>
      <c r="Z232" s="387" t="str">
        <f>IFERROR(__xludf.DUMMYFUNCTION("""COMPUTED_VALUE"""),"効果時間")</f>
        <v>効果時間</v>
      </c>
      <c r="AA232" s="392">
        <f>IFERROR(__xludf.DUMMYFUNCTION("""COMPUTED_VALUE"""),310.0)</f>
        <v>310</v>
      </c>
      <c r="AB232" s="275">
        <f>IFERROR(__xludf.DUMMYFUNCTION("""COMPUTED_VALUE"""),315.0)</f>
        <v>315</v>
      </c>
      <c r="AC232" s="280">
        <f>IFERROR(__xludf.DUMMYFUNCTION("""COMPUTED_VALUE"""),320.0)</f>
        <v>320</v>
      </c>
      <c r="AD232" s="275">
        <f>IFERROR(__xludf.DUMMYFUNCTION("""COMPUTED_VALUE"""),325.0)</f>
        <v>325</v>
      </c>
      <c r="AE232" s="280">
        <f>IFERROR(__xludf.DUMMYFUNCTION("""COMPUTED_VALUE"""),330.0)</f>
        <v>330</v>
      </c>
      <c r="AF232" s="280">
        <f>IFERROR(__xludf.DUMMYFUNCTION("""COMPUTED_VALUE"""),345.0)</f>
        <v>345</v>
      </c>
      <c r="AG232" s="280">
        <f>IFERROR(__xludf.DUMMYFUNCTION("""COMPUTED_VALUE"""),370.0)</f>
        <v>370</v>
      </c>
      <c r="AH232" s="280">
        <f>IFERROR(__xludf.DUMMYFUNCTION("""COMPUTED_VALUE"""),380.0)</f>
        <v>380</v>
      </c>
      <c r="AI232" s="385" t="str">
        <f>IFERROR(__xludf.DUMMYFUNCTION("""COMPUTED_VALUE"""),"持続型")</f>
        <v>持続型</v>
      </c>
      <c r="AJ232" s="386">
        <f>IFERROR(__xludf.DUMMYFUNCTION("""COMPUTED_VALUE"""),2.0)</f>
        <v>2</v>
      </c>
      <c r="AK232" s="387" t="str">
        <f>IFERROR(__xludf.DUMMYFUNCTION("""COMPUTED_VALUE"""),"効果時間")</f>
        <v>効果時間</v>
      </c>
      <c r="AL232" s="392">
        <f>IFERROR(__xludf.DUMMYFUNCTION("""COMPUTED_VALUE"""),460.0)</f>
        <v>460</v>
      </c>
      <c r="AM232" s="275">
        <f>IFERROR(__xludf.DUMMYFUNCTION("""COMPUTED_VALUE"""),465.0)</f>
        <v>465</v>
      </c>
      <c r="AN232" s="280">
        <f>IFERROR(__xludf.DUMMYFUNCTION("""COMPUTED_VALUE"""),470.0)</f>
        <v>470</v>
      </c>
      <c r="AO232" s="275">
        <f>IFERROR(__xludf.DUMMYFUNCTION("""COMPUTED_VALUE"""),475.0)</f>
        <v>475</v>
      </c>
      <c r="AP232" s="280">
        <f>IFERROR(__xludf.DUMMYFUNCTION("""COMPUTED_VALUE"""),480.0)</f>
        <v>480</v>
      </c>
      <c r="AQ232" s="280">
        <f>IFERROR(__xludf.DUMMYFUNCTION("""COMPUTED_VALUE"""),495.0)</f>
        <v>495</v>
      </c>
      <c r="AR232" s="280">
        <f>IFERROR(__xludf.DUMMYFUNCTION("""COMPUTED_VALUE"""),520.0)</f>
        <v>520</v>
      </c>
      <c r="AS232" s="280">
        <f>IFERROR(__xludf.DUMMYFUNCTION("""COMPUTED_VALUE"""),530.0)</f>
        <v>530</v>
      </c>
      <c r="AT232" s="385" t="str">
        <f>IFERROR(__xludf.DUMMYFUNCTION("""COMPUTED_VALUE"""),"超持続型")</f>
        <v>超持続型</v>
      </c>
      <c r="AU232" s="386">
        <f>IFERROR(__xludf.DUMMYFUNCTION("""COMPUTED_VALUE"""),2.0)</f>
        <v>2</v>
      </c>
      <c r="AV232" s="387" t="str">
        <f>IFERROR(__xludf.DUMMYFUNCTION("""COMPUTED_VALUE"""),"効果時間")</f>
        <v>効果時間</v>
      </c>
      <c r="AW232" s="368" t="str">
        <f>IFERROR(__xludf.DUMMYFUNCTION("""COMPUTED_VALUE"""),"-")</f>
        <v>-</v>
      </c>
      <c r="AX232" s="368" t="str">
        <f>IFERROR(__xludf.DUMMYFUNCTION("""COMPUTED_VALUE"""),"-")</f>
        <v>-</v>
      </c>
      <c r="AY232" s="368" t="str">
        <f>IFERROR(__xludf.DUMMYFUNCTION("""COMPUTED_VALUE"""),"-")</f>
        <v>-</v>
      </c>
      <c r="AZ232" s="368" t="str">
        <f>IFERROR(__xludf.DUMMYFUNCTION("""COMPUTED_VALUE"""),"-")</f>
        <v>-</v>
      </c>
      <c r="BA232" s="368" t="str">
        <f>IFERROR(__xludf.DUMMYFUNCTION("""COMPUTED_VALUE"""),"-")</f>
        <v>-</v>
      </c>
      <c r="BB232" s="280">
        <f>IFERROR(__xludf.DUMMYFUNCTION("""COMPUTED_VALUE"""),625.0)</f>
        <v>625</v>
      </c>
      <c r="BC232" s="280">
        <f>IFERROR(__xludf.DUMMYFUNCTION("""COMPUTED_VALUE"""),670.0)</f>
        <v>670</v>
      </c>
      <c r="BD232" s="280">
        <f>IFERROR(__xludf.DUMMYFUNCTION("""COMPUTED_VALUE"""),680.0)</f>
        <v>680</v>
      </c>
      <c r="BE232" s="385" t="str">
        <f>IFERROR(__xludf.DUMMYFUNCTION("""COMPUTED_VALUE"""),"ハイブリッド型")</f>
        <v>ハイブリッド型</v>
      </c>
      <c r="BF232" s="386">
        <f>IFERROR(__xludf.DUMMYFUNCTION("""COMPUTED_VALUE"""),2.0)</f>
        <v>2</v>
      </c>
      <c r="BG232" s="387" t="str">
        <f>IFERROR(__xludf.DUMMYFUNCTION("""COMPUTED_VALUE"""),"効果時間")</f>
        <v>効果時間</v>
      </c>
      <c r="BH232" s="407">
        <f>IFERROR(__xludf.DUMMYFUNCTION("""COMPUTED_VALUE"""),195.0)</f>
        <v>195</v>
      </c>
      <c r="BI232" s="407">
        <f>IFERROR(__xludf.DUMMYFUNCTION("""COMPUTED_VALUE"""),205.0)</f>
        <v>205</v>
      </c>
      <c r="BJ232" s="407">
        <f>IFERROR(__xludf.DUMMYFUNCTION("""COMPUTED_VALUE"""),205.0)</f>
        <v>205</v>
      </c>
      <c r="BK232" s="408">
        <f>IFERROR(__xludf.DUMMYFUNCTION("""COMPUTED_VALUE"""),210.0)</f>
        <v>210</v>
      </c>
      <c r="BL232" s="407">
        <f>IFERROR(__xludf.DUMMYFUNCTION("""COMPUTED_VALUE"""),215.0)</f>
        <v>215</v>
      </c>
      <c r="BM232" s="408">
        <f>IFERROR(__xludf.DUMMYFUNCTION("""COMPUTED_VALUE"""),375.0)</f>
        <v>375</v>
      </c>
      <c r="BN232" s="407">
        <f>IFERROR(__xludf.DUMMYFUNCTION("""COMPUTED_VALUE"""),480.0)</f>
        <v>480</v>
      </c>
      <c r="BO232" s="408">
        <f>IFERROR(__xludf.DUMMYFUNCTION("""COMPUTED_VALUE"""),490.0)</f>
        <v>490</v>
      </c>
    </row>
    <row r="233">
      <c r="A233" s="435" t="str">
        <f>IFERROR(__xludf.DUMMYFUNCTION("""COMPUTED_VALUE"""),"攻撃力UP(赤)")</f>
        <v>攻撃力UP(赤)</v>
      </c>
      <c r="B233" s="385" t="str">
        <f>IFERROR(__xludf.DUMMYFUNCTION("""COMPUTED_VALUE"""),"超瞬間型")</f>
        <v>超瞬間型</v>
      </c>
      <c r="C233" s="399">
        <f>IFERROR(__xludf.DUMMYFUNCTION("""COMPUTED_VALUE"""),3.0)</f>
        <v>3</v>
      </c>
      <c r="D233" s="400" t="str">
        <f>IFERROR(__xludf.DUMMYFUNCTION("""COMPUTED_VALUE"""),"効果値")</f>
        <v>効果値</v>
      </c>
      <c r="E233" s="401" t="str">
        <f>IFERROR(__xludf.DUMMYFUNCTION("""COMPUTED_VALUE"""),"-")</f>
        <v>-</v>
      </c>
      <c r="F233" s="409" t="str">
        <f>IFERROR(__xludf.DUMMYFUNCTION("""COMPUTED_VALUE"""),"-")</f>
        <v>-</v>
      </c>
      <c r="G233" s="401" t="str">
        <f>IFERROR(__xludf.DUMMYFUNCTION("""COMPUTED_VALUE"""),"-")</f>
        <v>-</v>
      </c>
      <c r="H233" s="409" t="str">
        <f>IFERROR(__xludf.DUMMYFUNCTION("""COMPUTED_VALUE"""),"-")</f>
        <v>-</v>
      </c>
      <c r="I233" s="409" t="str">
        <f>IFERROR(__xludf.DUMMYFUNCTION("""COMPUTED_VALUE"""),"-")</f>
        <v>-</v>
      </c>
      <c r="J233" s="410">
        <f>IFERROR(__xludf.DUMMYFUNCTION("""COMPUTED_VALUE"""),58.0)</f>
        <v>58</v>
      </c>
      <c r="K233" s="410">
        <f>IFERROR(__xludf.DUMMYFUNCTION("""COMPUTED_VALUE"""),68.0)</f>
        <v>68</v>
      </c>
      <c r="L233" s="410">
        <f>IFERROR(__xludf.DUMMYFUNCTION("""COMPUTED_VALUE"""),72.0)</f>
        <v>72</v>
      </c>
      <c r="M233" s="385" t="str">
        <f>IFERROR(__xludf.DUMMYFUNCTION("""COMPUTED_VALUE"""),"瞬間型")</f>
        <v>瞬間型</v>
      </c>
      <c r="N233" s="399">
        <f>IFERROR(__xludf.DUMMYFUNCTION("""COMPUTED_VALUE"""),3.0)</f>
        <v>3</v>
      </c>
      <c r="O233" s="400" t="str">
        <f>IFERROR(__xludf.DUMMYFUNCTION("""COMPUTED_VALUE"""),"効果値")</f>
        <v>効果値</v>
      </c>
      <c r="P233" s="343">
        <f>IFERROR(__xludf.DUMMYFUNCTION("""COMPUTED_VALUE"""),22.0)</f>
        <v>22</v>
      </c>
      <c r="Q233" s="402">
        <f>IFERROR(__xludf.DUMMYFUNCTION("""COMPUTED_VALUE"""),22.0)</f>
        <v>22</v>
      </c>
      <c r="R233" s="402">
        <f>IFERROR(__xludf.DUMMYFUNCTION("""COMPUTED_VALUE"""),23.0)</f>
        <v>23</v>
      </c>
      <c r="S233" s="402">
        <f>IFERROR(__xludf.DUMMYFUNCTION("""COMPUTED_VALUE"""),23.0)</f>
        <v>23</v>
      </c>
      <c r="T233" s="402">
        <f>IFERROR(__xludf.DUMMYFUNCTION("""COMPUTED_VALUE"""),23.0)</f>
        <v>23</v>
      </c>
      <c r="U233" s="402">
        <f>IFERROR(__xludf.DUMMYFUNCTION("""COMPUTED_VALUE"""),28.0)</f>
        <v>28</v>
      </c>
      <c r="V233" s="402">
        <f>IFERROR(__xludf.DUMMYFUNCTION("""COMPUTED_VALUE"""),33.0)</f>
        <v>33</v>
      </c>
      <c r="W233" s="402">
        <f>IFERROR(__xludf.DUMMYFUNCTION("""COMPUTED_VALUE"""),37.0)</f>
        <v>37</v>
      </c>
      <c r="X233" s="385" t="str">
        <f>IFERROR(__xludf.DUMMYFUNCTION("""COMPUTED_VALUE"""),"安定型")</f>
        <v>安定型</v>
      </c>
      <c r="Y233" s="399">
        <f>IFERROR(__xludf.DUMMYFUNCTION("""COMPUTED_VALUE"""),3.0)</f>
        <v>3</v>
      </c>
      <c r="Z233" s="400" t="str">
        <f>IFERROR(__xludf.DUMMYFUNCTION("""COMPUTED_VALUE"""),"効果値")</f>
        <v>効果値</v>
      </c>
      <c r="AA233" s="343">
        <f>IFERROR(__xludf.DUMMYFUNCTION("""COMPUTED_VALUE"""),12.0)</f>
        <v>12</v>
      </c>
      <c r="AB233" s="402">
        <f>IFERROR(__xludf.DUMMYFUNCTION("""COMPUTED_VALUE"""),12.0)</f>
        <v>12</v>
      </c>
      <c r="AC233" s="402">
        <f>IFERROR(__xludf.DUMMYFUNCTION("""COMPUTED_VALUE"""),13.0)</f>
        <v>13</v>
      </c>
      <c r="AD233" s="402">
        <f>IFERROR(__xludf.DUMMYFUNCTION("""COMPUTED_VALUE"""),13.0)</f>
        <v>13</v>
      </c>
      <c r="AE233" s="402">
        <f>IFERROR(__xludf.DUMMYFUNCTION("""COMPUTED_VALUE"""),13.0)</f>
        <v>13</v>
      </c>
      <c r="AF233" s="402">
        <f>IFERROR(__xludf.DUMMYFUNCTION("""COMPUTED_VALUE"""),13.0)</f>
        <v>13</v>
      </c>
      <c r="AG233" s="402">
        <f>IFERROR(__xludf.DUMMYFUNCTION("""COMPUTED_VALUE"""),18.0)</f>
        <v>18</v>
      </c>
      <c r="AH233" s="402">
        <f>IFERROR(__xludf.DUMMYFUNCTION("""COMPUTED_VALUE"""),22.0)</f>
        <v>22</v>
      </c>
      <c r="AI233" s="385" t="str">
        <f>IFERROR(__xludf.DUMMYFUNCTION("""COMPUTED_VALUE"""),"持続型")</f>
        <v>持続型</v>
      </c>
      <c r="AJ233" s="399">
        <f>IFERROR(__xludf.DUMMYFUNCTION("""COMPUTED_VALUE"""),3.0)</f>
        <v>3</v>
      </c>
      <c r="AK233" s="400" t="str">
        <f>IFERROR(__xludf.DUMMYFUNCTION("""COMPUTED_VALUE"""),"効果値")</f>
        <v>効果値</v>
      </c>
      <c r="AL233" s="343">
        <f>IFERROR(__xludf.DUMMYFUNCTION("""COMPUTED_VALUE"""),7.0)</f>
        <v>7</v>
      </c>
      <c r="AM233" s="402">
        <f>IFERROR(__xludf.DUMMYFUNCTION("""COMPUTED_VALUE"""),7.0)</f>
        <v>7</v>
      </c>
      <c r="AN233" s="402">
        <f>IFERROR(__xludf.DUMMYFUNCTION("""COMPUTED_VALUE"""),8.0)</f>
        <v>8</v>
      </c>
      <c r="AO233" s="402">
        <f>IFERROR(__xludf.DUMMYFUNCTION("""COMPUTED_VALUE"""),8.0)</f>
        <v>8</v>
      </c>
      <c r="AP233" s="402">
        <f>IFERROR(__xludf.DUMMYFUNCTION("""COMPUTED_VALUE"""),8.0)</f>
        <v>8</v>
      </c>
      <c r="AQ233" s="402">
        <f>IFERROR(__xludf.DUMMYFUNCTION("""COMPUTED_VALUE"""),8.0)</f>
        <v>8</v>
      </c>
      <c r="AR233" s="402">
        <f>IFERROR(__xludf.DUMMYFUNCTION("""COMPUTED_VALUE"""),11.0)</f>
        <v>11</v>
      </c>
      <c r="AS233" s="402">
        <f>IFERROR(__xludf.DUMMYFUNCTION("""COMPUTED_VALUE"""),11.0)</f>
        <v>11</v>
      </c>
      <c r="AT233" s="385" t="str">
        <f>IFERROR(__xludf.DUMMYFUNCTION("""COMPUTED_VALUE"""),"超持続型")</f>
        <v>超持続型</v>
      </c>
      <c r="AU233" s="399">
        <f>IFERROR(__xludf.DUMMYFUNCTION("""COMPUTED_VALUE"""),3.0)</f>
        <v>3</v>
      </c>
      <c r="AV233" s="400" t="str">
        <f>IFERROR(__xludf.DUMMYFUNCTION("""COMPUTED_VALUE"""),"効果値")</f>
        <v>効果値</v>
      </c>
      <c r="AW233" s="403" t="str">
        <f>IFERROR(__xludf.DUMMYFUNCTION("""COMPUTED_VALUE"""),"-")</f>
        <v>-</v>
      </c>
      <c r="AX233" s="403" t="str">
        <f>IFERROR(__xludf.DUMMYFUNCTION("""COMPUTED_VALUE"""),"-")</f>
        <v>-</v>
      </c>
      <c r="AY233" s="403" t="str">
        <f>IFERROR(__xludf.DUMMYFUNCTION("""COMPUTED_VALUE"""),"-")</f>
        <v>-</v>
      </c>
      <c r="AZ233" s="403" t="str">
        <f>IFERROR(__xludf.DUMMYFUNCTION("""COMPUTED_VALUE"""),"-")</f>
        <v>-</v>
      </c>
      <c r="BA233" s="403" t="str">
        <f>IFERROR(__xludf.DUMMYFUNCTION("""COMPUTED_VALUE"""),"-")</f>
        <v>-</v>
      </c>
      <c r="BB233" s="343">
        <f>IFERROR(__xludf.DUMMYFUNCTION("""COMPUTED_VALUE"""),8.0)</f>
        <v>8</v>
      </c>
      <c r="BC233" s="343">
        <f>IFERROR(__xludf.DUMMYFUNCTION("""COMPUTED_VALUE"""),11.0)</f>
        <v>11</v>
      </c>
      <c r="BD233" s="343">
        <f>IFERROR(__xludf.DUMMYFUNCTION("""COMPUTED_VALUE"""),11.0)</f>
        <v>11</v>
      </c>
      <c r="BE233" s="385" t="str">
        <f>IFERROR(__xludf.DUMMYFUNCTION("""COMPUTED_VALUE"""),"ハイブリッド型")</f>
        <v>ハイブリッド型</v>
      </c>
      <c r="BF233" s="399">
        <f>IFERROR(__xludf.DUMMYFUNCTION("""COMPUTED_VALUE"""),3.0)</f>
        <v>3</v>
      </c>
      <c r="BG233" s="400" t="str">
        <f>IFERROR(__xludf.DUMMYFUNCTION("""COMPUTED_VALUE"""),"効果値")</f>
        <v>効果値</v>
      </c>
      <c r="BH233" s="411">
        <f>IFERROR(__xludf.DUMMYFUNCTION("""COMPUTED_VALUE"""),11.4)</f>
        <v>11.4</v>
      </c>
      <c r="BI233" s="412">
        <f>IFERROR(__xludf.DUMMYFUNCTION("""COMPUTED_VALUE"""),11.9)</f>
        <v>11.9</v>
      </c>
      <c r="BJ233" s="412">
        <f>IFERROR(__xludf.DUMMYFUNCTION("""COMPUTED_VALUE"""),12.5)</f>
        <v>12.5</v>
      </c>
      <c r="BK233" s="412">
        <f>IFERROR(__xludf.DUMMYFUNCTION("""COMPUTED_VALUE"""),13.0)</f>
        <v>13</v>
      </c>
      <c r="BL233" s="412">
        <f>IFERROR(__xludf.DUMMYFUNCTION("""COMPUTED_VALUE"""),13.5)</f>
        <v>13.5</v>
      </c>
      <c r="BM233" s="412">
        <f>IFERROR(__xludf.DUMMYFUNCTION("""COMPUTED_VALUE"""),18.5)</f>
        <v>18.5</v>
      </c>
      <c r="BN233" s="412">
        <f>IFERROR(__xludf.DUMMYFUNCTION("""COMPUTED_VALUE"""),23.0)</f>
        <v>23</v>
      </c>
      <c r="BO233" s="413">
        <f>IFERROR(__xludf.DUMMYFUNCTION("""COMPUTED_VALUE"""),27.0)</f>
        <v>27</v>
      </c>
    </row>
    <row r="234">
      <c r="A234" s="435" t="str">
        <f>IFERROR(__xludf.DUMMYFUNCTION("""COMPUTED_VALUE"""),"攻撃力UP(赤)")</f>
        <v>攻撃力UP(赤)</v>
      </c>
      <c r="B234" s="385" t="str">
        <f>IFERROR(__xludf.DUMMYFUNCTION("""COMPUTED_VALUE"""),"超瞬間型")</f>
        <v>超瞬間型</v>
      </c>
      <c r="C234" s="386">
        <f>IFERROR(__xludf.DUMMYFUNCTION("""COMPUTED_VALUE"""),3.0)</f>
        <v>3</v>
      </c>
      <c r="D234" s="387" t="str">
        <f>IFERROR(__xludf.DUMMYFUNCTION("""COMPUTED_VALUE"""),"効果時間")</f>
        <v>効果時間</v>
      </c>
      <c r="E234" s="388" t="str">
        <f>IFERROR(__xludf.DUMMYFUNCTION("""COMPUTED_VALUE"""),"-")</f>
        <v>-</v>
      </c>
      <c r="F234" s="389" t="str">
        <f>IFERROR(__xludf.DUMMYFUNCTION("""COMPUTED_VALUE"""),"-")</f>
        <v>-</v>
      </c>
      <c r="G234" s="388" t="str">
        <f>IFERROR(__xludf.DUMMYFUNCTION("""COMPUTED_VALUE"""),"-")</f>
        <v>-</v>
      </c>
      <c r="H234" s="389" t="str">
        <f>IFERROR(__xludf.DUMMYFUNCTION("""COMPUTED_VALUE"""),"-")</f>
        <v>-</v>
      </c>
      <c r="I234" s="388" t="str">
        <f>IFERROR(__xludf.DUMMYFUNCTION("""COMPUTED_VALUE"""),"-")</f>
        <v>-</v>
      </c>
      <c r="J234" s="390">
        <f>IFERROR(__xludf.DUMMYFUNCTION("""COMPUTED_VALUE"""),155.0)</f>
        <v>155</v>
      </c>
      <c r="K234" s="391">
        <f>IFERROR(__xludf.DUMMYFUNCTION("""COMPUTED_VALUE"""),165.0)</f>
        <v>165</v>
      </c>
      <c r="L234" s="340">
        <f>IFERROR(__xludf.DUMMYFUNCTION("""COMPUTED_VALUE"""),185.0)</f>
        <v>185</v>
      </c>
      <c r="M234" s="385" t="str">
        <f>IFERROR(__xludf.DUMMYFUNCTION("""COMPUTED_VALUE"""),"瞬間型")</f>
        <v>瞬間型</v>
      </c>
      <c r="N234" s="386">
        <f>IFERROR(__xludf.DUMMYFUNCTION("""COMPUTED_VALUE"""),3.0)</f>
        <v>3</v>
      </c>
      <c r="O234" s="387" t="str">
        <f>IFERROR(__xludf.DUMMYFUNCTION("""COMPUTED_VALUE"""),"効果時間")</f>
        <v>効果時間</v>
      </c>
      <c r="P234" s="392">
        <f>IFERROR(__xludf.DUMMYFUNCTION("""COMPUTED_VALUE"""),165.0)</f>
        <v>165</v>
      </c>
      <c r="Q234" s="414">
        <f>IFERROR(__xludf.DUMMYFUNCTION("""COMPUTED_VALUE"""),175.0)</f>
        <v>175</v>
      </c>
      <c r="R234" s="415">
        <f>IFERROR(__xludf.DUMMYFUNCTION("""COMPUTED_VALUE"""),180.0)</f>
        <v>180</v>
      </c>
      <c r="S234" s="393">
        <f>IFERROR(__xludf.DUMMYFUNCTION("""COMPUTED_VALUE"""),185.0)</f>
        <v>185</v>
      </c>
      <c r="T234" s="393">
        <f>IFERROR(__xludf.DUMMYFUNCTION("""COMPUTED_VALUE"""),195.0)</f>
        <v>195</v>
      </c>
      <c r="U234" s="414">
        <f>IFERROR(__xludf.DUMMYFUNCTION("""COMPUTED_VALUE"""),200.0)</f>
        <v>200</v>
      </c>
      <c r="V234" s="416">
        <f>IFERROR(__xludf.DUMMYFUNCTION("""COMPUTED_VALUE"""),255.0)</f>
        <v>255</v>
      </c>
      <c r="W234" s="415">
        <f>IFERROR(__xludf.DUMMYFUNCTION("""COMPUTED_VALUE"""),270.0)</f>
        <v>270</v>
      </c>
      <c r="X234" s="385" t="str">
        <f>IFERROR(__xludf.DUMMYFUNCTION("""COMPUTED_VALUE"""),"安定型")</f>
        <v>安定型</v>
      </c>
      <c r="Y234" s="386">
        <f>IFERROR(__xludf.DUMMYFUNCTION("""COMPUTED_VALUE"""),3.0)</f>
        <v>3</v>
      </c>
      <c r="Z234" s="387" t="str">
        <f>IFERROR(__xludf.DUMMYFUNCTION("""COMPUTED_VALUE"""),"効果時間")</f>
        <v>効果時間</v>
      </c>
      <c r="AA234" s="392">
        <f>IFERROR(__xludf.DUMMYFUNCTION("""COMPUTED_VALUE"""),315.0)</f>
        <v>315</v>
      </c>
      <c r="AB234" s="414">
        <f>IFERROR(__xludf.DUMMYFUNCTION("""COMPUTED_VALUE"""),325.0)</f>
        <v>325</v>
      </c>
      <c r="AC234" s="415">
        <f>IFERROR(__xludf.DUMMYFUNCTION("""COMPUTED_VALUE"""),330.0)</f>
        <v>330</v>
      </c>
      <c r="AD234" s="393">
        <f>IFERROR(__xludf.DUMMYFUNCTION("""COMPUTED_VALUE"""),335.0)</f>
        <v>335</v>
      </c>
      <c r="AE234" s="393">
        <f>IFERROR(__xludf.DUMMYFUNCTION("""COMPUTED_VALUE"""),345.0)</f>
        <v>345</v>
      </c>
      <c r="AF234" s="414">
        <f>IFERROR(__xludf.DUMMYFUNCTION("""COMPUTED_VALUE"""),370.0)</f>
        <v>370</v>
      </c>
      <c r="AG234" s="416">
        <f>IFERROR(__xludf.DUMMYFUNCTION("""COMPUTED_VALUE"""),405.0)</f>
        <v>405</v>
      </c>
      <c r="AH234" s="415">
        <f>IFERROR(__xludf.DUMMYFUNCTION("""COMPUTED_VALUE"""),420.0)</f>
        <v>420</v>
      </c>
      <c r="AI234" s="385" t="str">
        <f>IFERROR(__xludf.DUMMYFUNCTION("""COMPUTED_VALUE"""),"持続型")</f>
        <v>持続型</v>
      </c>
      <c r="AJ234" s="386">
        <f>IFERROR(__xludf.DUMMYFUNCTION("""COMPUTED_VALUE"""),3.0)</f>
        <v>3</v>
      </c>
      <c r="AK234" s="387" t="str">
        <f>IFERROR(__xludf.DUMMYFUNCTION("""COMPUTED_VALUE"""),"効果時間")</f>
        <v>効果時間</v>
      </c>
      <c r="AL234" s="392">
        <f>IFERROR(__xludf.DUMMYFUNCTION("""COMPUTED_VALUE"""),465.0)</f>
        <v>465</v>
      </c>
      <c r="AM234" s="414">
        <f>IFERROR(__xludf.DUMMYFUNCTION("""COMPUTED_VALUE"""),475.0)</f>
        <v>475</v>
      </c>
      <c r="AN234" s="415">
        <f>IFERROR(__xludf.DUMMYFUNCTION("""COMPUTED_VALUE"""),480.0)</f>
        <v>480</v>
      </c>
      <c r="AO234" s="393">
        <f>IFERROR(__xludf.DUMMYFUNCTION("""COMPUTED_VALUE"""),485.0)</f>
        <v>485</v>
      </c>
      <c r="AP234" s="393">
        <f>IFERROR(__xludf.DUMMYFUNCTION("""COMPUTED_VALUE"""),495.0)</f>
        <v>495</v>
      </c>
      <c r="AQ234" s="414">
        <f>IFERROR(__xludf.DUMMYFUNCTION("""COMPUTED_VALUE"""),520.0)</f>
        <v>520</v>
      </c>
      <c r="AR234" s="416">
        <f>IFERROR(__xludf.DUMMYFUNCTION("""COMPUTED_VALUE"""),555.0)</f>
        <v>555</v>
      </c>
      <c r="AS234" s="415">
        <f>IFERROR(__xludf.DUMMYFUNCTION("""COMPUTED_VALUE"""),570.0)</f>
        <v>570</v>
      </c>
      <c r="AT234" s="385" t="str">
        <f>IFERROR(__xludf.DUMMYFUNCTION("""COMPUTED_VALUE"""),"超持続型")</f>
        <v>超持続型</v>
      </c>
      <c r="AU234" s="386">
        <f>IFERROR(__xludf.DUMMYFUNCTION("""COMPUTED_VALUE"""),3.0)</f>
        <v>3</v>
      </c>
      <c r="AV234" s="387" t="str">
        <f>IFERROR(__xludf.DUMMYFUNCTION("""COMPUTED_VALUE"""),"効果時間")</f>
        <v>効果時間</v>
      </c>
      <c r="AW234" s="368" t="str">
        <f>IFERROR(__xludf.DUMMYFUNCTION("""COMPUTED_VALUE"""),"-")</f>
        <v>-</v>
      </c>
      <c r="AX234" s="368" t="str">
        <f>IFERROR(__xludf.DUMMYFUNCTION("""COMPUTED_VALUE"""),"-")</f>
        <v>-</v>
      </c>
      <c r="AY234" s="368" t="str">
        <f>IFERROR(__xludf.DUMMYFUNCTION("""COMPUTED_VALUE"""),"-")</f>
        <v>-</v>
      </c>
      <c r="AZ234" s="368" t="str">
        <f>IFERROR(__xludf.DUMMYFUNCTION("""COMPUTED_VALUE"""),"-")</f>
        <v>-</v>
      </c>
      <c r="BA234" s="368" t="str">
        <f>IFERROR(__xludf.DUMMYFUNCTION("""COMPUTED_VALUE"""),"-")</f>
        <v>-</v>
      </c>
      <c r="BB234" s="280">
        <f>IFERROR(__xludf.DUMMYFUNCTION("""COMPUTED_VALUE"""),635.0)</f>
        <v>635</v>
      </c>
      <c r="BC234" s="280">
        <f>IFERROR(__xludf.DUMMYFUNCTION("""COMPUTED_VALUE"""),705.0)</f>
        <v>705</v>
      </c>
      <c r="BD234" s="280">
        <f>IFERROR(__xludf.DUMMYFUNCTION("""COMPUTED_VALUE"""),720.0)</f>
        <v>720</v>
      </c>
      <c r="BE234" s="385" t="str">
        <f>IFERROR(__xludf.DUMMYFUNCTION("""COMPUTED_VALUE"""),"ハイブリッド型")</f>
        <v>ハイブリッド型</v>
      </c>
      <c r="BF234" s="386">
        <f>IFERROR(__xludf.DUMMYFUNCTION("""COMPUTED_VALUE"""),3.0)</f>
        <v>3</v>
      </c>
      <c r="BG234" s="387" t="str">
        <f>IFERROR(__xludf.DUMMYFUNCTION("""COMPUTED_VALUE"""),"効果時間")</f>
        <v>効果時間</v>
      </c>
      <c r="BH234" s="407">
        <f>IFERROR(__xludf.DUMMYFUNCTION("""COMPUTED_VALUE"""),220.0)</f>
        <v>220</v>
      </c>
      <c r="BI234" s="407">
        <f>IFERROR(__xludf.DUMMYFUNCTION("""COMPUTED_VALUE"""),235.0)</f>
        <v>235</v>
      </c>
      <c r="BJ234" s="407">
        <f>IFERROR(__xludf.DUMMYFUNCTION("""COMPUTED_VALUE"""),240.0)</f>
        <v>240</v>
      </c>
      <c r="BK234" s="408">
        <f>IFERROR(__xludf.DUMMYFUNCTION("""COMPUTED_VALUE"""),250.0)</f>
        <v>250</v>
      </c>
      <c r="BL234" s="407">
        <f>IFERROR(__xludf.DUMMYFUNCTION("""COMPUTED_VALUE"""),255.0)</f>
        <v>255</v>
      </c>
      <c r="BM234" s="408">
        <f>IFERROR(__xludf.DUMMYFUNCTION("""COMPUTED_VALUE"""),385.0)</f>
        <v>385</v>
      </c>
      <c r="BN234" s="407">
        <f>IFERROR(__xludf.DUMMYFUNCTION("""COMPUTED_VALUE"""),490.0)</f>
        <v>490</v>
      </c>
      <c r="BO234" s="408">
        <f>IFERROR(__xludf.DUMMYFUNCTION("""COMPUTED_VALUE"""),505.0)</f>
        <v>505</v>
      </c>
    </row>
    <row r="235">
      <c r="A235" s="435" t="str">
        <f>IFERROR(__xludf.DUMMYFUNCTION("""COMPUTED_VALUE"""),"攻撃力UP(赤)")</f>
        <v>攻撃力UP(赤)</v>
      </c>
      <c r="B235" s="385" t="str">
        <f>IFERROR(__xludf.DUMMYFUNCTION("""COMPUTED_VALUE"""),"超瞬間型")</f>
        <v>超瞬間型</v>
      </c>
      <c r="C235" s="399">
        <f>IFERROR(__xludf.DUMMYFUNCTION("""COMPUTED_VALUE"""),4.0)</f>
        <v>4</v>
      </c>
      <c r="D235" s="400" t="str">
        <f>IFERROR(__xludf.DUMMYFUNCTION("""COMPUTED_VALUE"""),"効果値")</f>
        <v>効果値</v>
      </c>
      <c r="E235" s="401" t="str">
        <f>IFERROR(__xludf.DUMMYFUNCTION("""COMPUTED_VALUE"""),"-")</f>
        <v>-</v>
      </c>
      <c r="F235" s="409" t="str">
        <f>IFERROR(__xludf.DUMMYFUNCTION("""COMPUTED_VALUE"""),"-")</f>
        <v>-</v>
      </c>
      <c r="G235" s="409" t="str">
        <f>IFERROR(__xludf.DUMMYFUNCTION("""COMPUTED_VALUE"""),"-")</f>
        <v>-</v>
      </c>
      <c r="H235" s="409" t="str">
        <f>IFERROR(__xludf.DUMMYFUNCTION("""COMPUTED_VALUE"""),"-")</f>
        <v>-</v>
      </c>
      <c r="I235" s="409" t="str">
        <f>IFERROR(__xludf.DUMMYFUNCTION("""COMPUTED_VALUE"""),"-")</f>
        <v>-</v>
      </c>
      <c r="J235" s="410">
        <f>IFERROR(__xludf.DUMMYFUNCTION("""COMPUTED_VALUE"""),59.0)</f>
        <v>59</v>
      </c>
      <c r="K235" s="410">
        <f>IFERROR(__xludf.DUMMYFUNCTION("""COMPUTED_VALUE"""),69.0)</f>
        <v>69</v>
      </c>
      <c r="L235" s="410">
        <f>IFERROR(__xludf.DUMMYFUNCTION("""COMPUTED_VALUE"""),74.0)</f>
        <v>74</v>
      </c>
      <c r="M235" s="385" t="str">
        <f>IFERROR(__xludf.DUMMYFUNCTION("""COMPUTED_VALUE"""),"瞬間型")</f>
        <v>瞬間型</v>
      </c>
      <c r="N235" s="399">
        <f>IFERROR(__xludf.DUMMYFUNCTION("""COMPUTED_VALUE"""),4.0)</f>
        <v>4</v>
      </c>
      <c r="O235" s="400" t="str">
        <f>IFERROR(__xludf.DUMMYFUNCTION("""COMPUTED_VALUE"""),"効果値")</f>
        <v>効果値</v>
      </c>
      <c r="P235" s="343">
        <f>IFERROR(__xludf.DUMMYFUNCTION("""COMPUTED_VALUE"""),23.0)</f>
        <v>23</v>
      </c>
      <c r="Q235" s="402">
        <f>IFERROR(__xludf.DUMMYFUNCTION("""COMPUTED_VALUE"""),23.0)</f>
        <v>23</v>
      </c>
      <c r="R235" s="343">
        <f>IFERROR(__xludf.DUMMYFUNCTION("""COMPUTED_VALUE"""),23.0)</f>
        <v>23</v>
      </c>
      <c r="S235" s="402">
        <f>IFERROR(__xludf.DUMMYFUNCTION("""COMPUTED_VALUE"""),23.0)</f>
        <v>23</v>
      </c>
      <c r="T235" s="343">
        <f>IFERROR(__xludf.DUMMYFUNCTION("""COMPUTED_VALUE"""),23.0)</f>
        <v>23</v>
      </c>
      <c r="U235" s="343">
        <f>IFERROR(__xludf.DUMMYFUNCTION("""COMPUTED_VALUE"""),29.0)</f>
        <v>29</v>
      </c>
      <c r="V235" s="343">
        <f>IFERROR(__xludf.DUMMYFUNCTION("""COMPUTED_VALUE"""),34.0)</f>
        <v>34</v>
      </c>
      <c r="W235" s="343">
        <f>IFERROR(__xludf.DUMMYFUNCTION("""COMPUTED_VALUE"""),39.0)</f>
        <v>39</v>
      </c>
      <c r="X235" s="385" t="str">
        <f>IFERROR(__xludf.DUMMYFUNCTION("""COMPUTED_VALUE"""),"安定型")</f>
        <v>安定型</v>
      </c>
      <c r="Y235" s="399">
        <f>IFERROR(__xludf.DUMMYFUNCTION("""COMPUTED_VALUE"""),4.0)</f>
        <v>4</v>
      </c>
      <c r="Z235" s="400" t="str">
        <f>IFERROR(__xludf.DUMMYFUNCTION("""COMPUTED_VALUE"""),"効果値")</f>
        <v>効果値</v>
      </c>
      <c r="AA235" s="343">
        <f>IFERROR(__xludf.DUMMYFUNCTION("""COMPUTED_VALUE"""),13.0)</f>
        <v>13</v>
      </c>
      <c r="AB235" s="402">
        <f>IFERROR(__xludf.DUMMYFUNCTION("""COMPUTED_VALUE"""),13.0)</f>
        <v>13</v>
      </c>
      <c r="AC235" s="343">
        <f>IFERROR(__xludf.DUMMYFUNCTION("""COMPUTED_VALUE"""),13.0)</f>
        <v>13</v>
      </c>
      <c r="AD235" s="402">
        <f>IFERROR(__xludf.DUMMYFUNCTION("""COMPUTED_VALUE"""),13.0)</f>
        <v>13</v>
      </c>
      <c r="AE235" s="343">
        <f>IFERROR(__xludf.DUMMYFUNCTION("""COMPUTED_VALUE"""),13.0)</f>
        <v>13</v>
      </c>
      <c r="AF235" s="343">
        <f>IFERROR(__xludf.DUMMYFUNCTION("""COMPUTED_VALUE"""),14.0)</f>
        <v>14</v>
      </c>
      <c r="AG235" s="343">
        <f>IFERROR(__xludf.DUMMYFUNCTION("""COMPUTED_VALUE"""),19.0)</f>
        <v>19</v>
      </c>
      <c r="AH235" s="343">
        <f>IFERROR(__xludf.DUMMYFUNCTION("""COMPUTED_VALUE"""),24.0)</f>
        <v>24</v>
      </c>
      <c r="AI235" s="385" t="str">
        <f>IFERROR(__xludf.DUMMYFUNCTION("""COMPUTED_VALUE"""),"持続型")</f>
        <v>持続型</v>
      </c>
      <c r="AJ235" s="399">
        <f>IFERROR(__xludf.DUMMYFUNCTION("""COMPUTED_VALUE"""),4.0)</f>
        <v>4</v>
      </c>
      <c r="AK235" s="400" t="str">
        <f>IFERROR(__xludf.DUMMYFUNCTION("""COMPUTED_VALUE"""),"効果値")</f>
        <v>効果値</v>
      </c>
      <c r="AL235" s="343">
        <f>IFERROR(__xludf.DUMMYFUNCTION("""COMPUTED_VALUE"""),8.0)</f>
        <v>8</v>
      </c>
      <c r="AM235" s="402">
        <f>IFERROR(__xludf.DUMMYFUNCTION("""COMPUTED_VALUE"""),8.0)</f>
        <v>8</v>
      </c>
      <c r="AN235" s="343">
        <f>IFERROR(__xludf.DUMMYFUNCTION("""COMPUTED_VALUE"""),8.0)</f>
        <v>8</v>
      </c>
      <c r="AO235" s="402">
        <f>IFERROR(__xludf.DUMMYFUNCTION("""COMPUTED_VALUE"""),8.0)</f>
        <v>8</v>
      </c>
      <c r="AP235" s="343">
        <f>IFERROR(__xludf.DUMMYFUNCTION("""COMPUTED_VALUE"""),8.0)</f>
        <v>8</v>
      </c>
      <c r="AQ235" s="343">
        <f>IFERROR(__xludf.DUMMYFUNCTION("""COMPUTED_VALUE"""),9.0)</f>
        <v>9</v>
      </c>
      <c r="AR235" s="343">
        <f>IFERROR(__xludf.DUMMYFUNCTION("""COMPUTED_VALUE"""),12.0)</f>
        <v>12</v>
      </c>
      <c r="AS235" s="343">
        <f>IFERROR(__xludf.DUMMYFUNCTION("""COMPUTED_VALUE"""),12.0)</f>
        <v>12</v>
      </c>
      <c r="AT235" s="385" t="str">
        <f>IFERROR(__xludf.DUMMYFUNCTION("""COMPUTED_VALUE"""),"超持続型")</f>
        <v>超持続型</v>
      </c>
      <c r="AU235" s="399">
        <f>IFERROR(__xludf.DUMMYFUNCTION("""COMPUTED_VALUE"""),4.0)</f>
        <v>4</v>
      </c>
      <c r="AV235" s="400" t="str">
        <f>IFERROR(__xludf.DUMMYFUNCTION("""COMPUTED_VALUE"""),"効果値")</f>
        <v>効果値</v>
      </c>
      <c r="AW235" s="403" t="str">
        <f>IFERROR(__xludf.DUMMYFUNCTION("""COMPUTED_VALUE"""),"-")</f>
        <v>-</v>
      </c>
      <c r="AX235" s="403" t="str">
        <f>IFERROR(__xludf.DUMMYFUNCTION("""COMPUTED_VALUE"""),"-")</f>
        <v>-</v>
      </c>
      <c r="AY235" s="403" t="str">
        <f>IFERROR(__xludf.DUMMYFUNCTION("""COMPUTED_VALUE"""),"-")</f>
        <v>-</v>
      </c>
      <c r="AZ235" s="403" t="str">
        <f>IFERROR(__xludf.DUMMYFUNCTION("""COMPUTED_VALUE"""),"-")</f>
        <v>-</v>
      </c>
      <c r="BA235" s="403" t="str">
        <f>IFERROR(__xludf.DUMMYFUNCTION("""COMPUTED_VALUE"""),"-")</f>
        <v>-</v>
      </c>
      <c r="BB235" s="343">
        <f>IFERROR(__xludf.DUMMYFUNCTION("""COMPUTED_VALUE"""),9.0)</f>
        <v>9</v>
      </c>
      <c r="BC235" s="343">
        <f>IFERROR(__xludf.DUMMYFUNCTION("""COMPUTED_VALUE"""),12.0)</f>
        <v>12</v>
      </c>
      <c r="BD235" s="343">
        <f>IFERROR(__xludf.DUMMYFUNCTION("""COMPUTED_VALUE"""),12.0)</f>
        <v>12</v>
      </c>
      <c r="BE235" s="385" t="str">
        <f>IFERROR(__xludf.DUMMYFUNCTION("""COMPUTED_VALUE"""),"ハイブリッド型")</f>
        <v>ハイブリッド型</v>
      </c>
      <c r="BF235" s="399">
        <f>IFERROR(__xludf.DUMMYFUNCTION("""COMPUTED_VALUE"""),4.0)</f>
        <v>4</v>
      </c>
      <c r="BG235" s="400" t="str">
        <f>IFERROR(__xludf.DUMMYFUNCTION("""COMPUTED_VALUE"""),"効果値")</f>
        <v>効果値</v>
      </c>
      <c r="BH235" s="411">
        <f>IFERROR(__xludf.DUMMYFUNCTION("""COMPUTED_VALUE"""),11.8)</f>
        <v>11.8</v>
      </c>
      <c r="BI235" s="412">
        <f>IFERROR(__xludf.DUMMYFUNCTION("""COMPUTED_VALUE"""),12.4)</f>
        <v>12.4</v>
      </c>
      <c r="BJ235" s="412">
        <f>IFERROR(__xludf.DUMMYFUNCTION("""COMPUTED_VALUE"""),13.1)</f>
        <v>13.1</v>
      </c>
      <c r="BK235" s="412">
        <f>IFERROR(__xludf.DUMMYFUNCTION("""COMPUTED_VALUE"""),13.7)</f>
        <v>13.7</v>
      </c>
      <c r="BL235" s="412">
        <f>IFERROR(__xludf.DUMMYFUNCTION("""COMPUTED_VALUE"""),14.4)</f>
        <v>14.4</v>
      </c>
      <c r="BM235" s="412">
        <f>IFERROR(__xludf.DUMMYFUNCTION("""COMPUTED_VALUE"""),19.4)</f>
        <v>19.4</v>
      </c>
      <c r="BN235" s="412">
        <f>IFERROR(__xludf.DUMMYFUNCTION("""COMPUTED_VALUE"""),24.0)</f>
        <v>24</v>
      </c>
      <c r="BO235" s="413">
        <f>IFERROR(__xludf.DUMMYFUNCTION("""COMPUTED_VALUE"""),29.0)</f>
        <v>29</v>
      </c>
    </row>
    <row r="236">
      <c r="A236" s="435" t="str">
        <f>IFERROR(__xludf.DUMMYFUNCTION("""COMPUTED_VALUE"""),"攻撃力UP(赤)")</f>
        <v>攻撃力UP(赤)</v>
      </c>
      <c r="B236" s="385" t="str">
        <f>IFERROR(__xludf.DUMMYFUNCTION("""COMPUTED_VALUE"""),"超瞬間型")</f>
        <v>超瞬間型</v>
      </c>
      <c r="C236" s="386">
        <f>IFERROR(__xludf.DUMMYFUNCTION("""COMPUTED_VALUE"""),4.0)</f>
        <v>4</v>
      </c>
      <c r="D236" s="387" t="str">
        <f>IFERROR(__xludf.DUMMYFUNCTION("""COMPUTED_VALUE"""),"効果時間")</f>
        <v>効果時間</v>
      </c>
      <c r="E236" s="388" t="str">
        <f>IFERROR(__xludf.DUMMYFUNCTION("""COMPUTED_VALUE"""),"-")</f>
        <v>-</v>
      </c>
      <c r="F236" s="389" t="str">
        <f>IFERROR(__xludf.DUMMYFUNCTION("""COMPUTED_VALUE"""),"-")</f>
        <v>-</v>
      </c>
      <c r="G236" s="388" t="str">
        <f>IFERROR(__xludf.DUMMYFUNCTION("""COMPUTED_VALUE"""),"-")</f>
        <v>-</v>
      </c>
      <c r="H236" s="389" t="str">
        <f>IFERROR(__xludf.DUMMYFUNCTION("""COMPUTED_VALUE"""),"-")</f>
        <v>-</v>
      </c>
      <c r="I236" s="388" t="str">
        <f>IFERROR(__xludf.DUMMYFUNCTION("""COMPUTED_VALUE"""),"-")</f>
        <v>-</v>
      </c>
      <c r="J236" s="390">
        <f>IFERROR(__xludf.DUMMYFUNCTION("""COMPUTED_VALUE"""),155.0)</f>
        <v>155</v>
      </c>
      <c r="K236" s="391">
        <f>IFERROR(__xludf.DUMMYFUNCTION("""COMPUTED_VALUE"""),170.0)</f>
        <v>170</v>
      </c>
      <c r="L236" s="340">
        <f>IFERROR(__xludf.DUMMYFUNCTION("""COMPUTED_VALUE"""),195.0)</f>
        <v>195</v>
      </c>
      <c r="M236" s="385" t="str">
        <f>IFERROR(__xludf.DUMMYFUNCTION("""COMPUTED_VALUE"""),"瞬間型")</f>
        <v>瞬間型</v>
      </c>
      <c r="N236" s="386">
        <f>IFERROR(__xludf.DUMMYFUNCTION("""COMPUTED_VALUE"""),4.0)</f>
        <v>4</v>
      </c>
      <c r="O236" s="387" t="str">
        <f>IFERROR(__xludf.DUMMYFUNCTION("""COMPUTED_VALUE"""),"効果時間")</f>
        <v>効果時間</v>
      </c>
      <c r="P236" s="280">
        <f>IFERROR(__xludf.DUMMYFUNCTION("""COMPUTED_VALUE"""),170.0)</f>
        <v>170</v>
      </c>
      <c r="Q236" s="275">
        <f>IFERROR(__xludf.DUMMYFUNCTION("""COMPUTED_VALUE"""),180.0)</f>
        <v>180</v>
      </c>
      <c r="R236" s="280">
        <f>IFERROR(__xludf.DUMMYFUNCTION("""COMPUTED_VALUE"""),185.0)</f>
        <v>185</v>
      </c>
      <c r="S236" s="275">
        <f>IFERROR(__xludf.DUMMYFUNCTION("""COMPUTED_VALUE"""),195.0)</f>
        <v>195</v>
      </c>
      <c r="T236" s="280">
        <f>IFERROR(__xludf.DUMMYFUNCTION("""COMPUTED_VALUE"""),200.0)</f>
        <v>200</v>
      </c>
      <c r="U236" s="280">
        <f>IFERROR(__xludf.DUMMYFUNCTION("""COMPUTED_VALUE"""),215.0)</f>
        <v>215</v>
      </c>
      <c r="V236" s="280">
        <f>IFERROR(__xludf.DUMMYFUNCTION("""COMPUTED_VALUE"""),285.0)</f>
        <v>285</v>
      </c>
      <c r="W236" s="280">
        <f>IFERROR(__xludf.DUMMYFUNCTION("""COMPUTED_VALUE"""),305.0)</f>
        <v>305</v>
      </c>
      <c r="X236" s="385" t="str">
        <f>IFERROR(__xludf.DUMMYFUNCTION("""COMPUTED_VALUE"""),"安定型")</f>
        <v>安定型</v>
      </c>
      <c r="Y236" s="386">
        <f>IFERROR(__xludf.DUMMYFUNCTION("""COMPUTED_VALUE"""),4.0)</f>
        <v>4</v>
      </c>
      <c r="Z236" s="387" t="str">
        <f>IFERROR(__xludf.DUMMYFUNCTION("""COMPUTED_VALUE"""),"効果時間")</f>
        <v>効果時間</v>
      </c>
      <c r="AA236" s="280">
        <f>IFERROR(__xludf.DUMMYFUNCTION("""COMPUTED_VALUE"""),320.0)</f>
        <v>320</v>
      </c>
      <c r="AB236" s="275">
        <f>IFERROR(__xludf.DUMMYFUNCTION("""COMPUTED_VALUE"""),330.0)</f>
        <v>330</v>
      </c>
      <c r="AC236" s="280">
        <f>IFERROR(__xludf.DUMMYFUNCTION("""COMPUTED_VALUE"""),335.0)</f>
        <v>335</v>
      </c>
      <c r="AD236" s="275">
        <f>IFERROR(__xludf.DUMMYFUNCTION("""COMPUTED_VALUE"""),345.0)</f>
        <v>345</v>
      </c>
      <c r="AE236" s="280">
        <f>IFERROR(__xludf.DUMMYFUNCTION("""COMPUTED_VALUE"""),350.0)</f>
        <v>350</v>
      </c>
      <c r="AF236" s="280">
        <f>IFERROR(__xludf.DUMMYFUNCTION("""COMPUTED_VALUE"""),390.0)</f>
        <v>390</v>
      </c>
      <c r="AG236" s="280">
        <f>IFERROR(__xludf.DUMMYFUNCTION("""COMPUTED_VALUE"""),435.0)</f>
        <v>435</v>
      </c>
      <c r="AH236" s="280">
        <f>IFERROR(__xludf.DUMMYFUNCTION("""COMPUTED_VALUE"""),455.0)</f>
        <v>455</v>
      </c>
      <c r="AI236" s="385" t="str">
        <f>IFERROR(__xludf.DUMMYFUNCTION("""COMPUTED_VALUE"""),"持続型")</f>
        <v>持続型</v>
      </c>
      <c r="AJ236" s="386">
        <f>IFERROR(__xludf.DUMMYFUNCTION("""COMPUTED_VALUE"""),4.0)</f>
        <v>4</v>
      </c>
      <c r="AK236" s="387" t="str">
        <f>IFERROR(__xludf.DUMMYFUNCTION("""COMPUTED_VALUE"""),"効果時間")</f>
        <v>効果時間</v>
      </c>
      <c r="AL236" s="280">
        <f>IFERROR(__xludf.DUMMYFUNCTION("""COMPUTED_VALUE"""),470.0)</f>
        <v>470</v>
      </c>
      <c r="AM236" s="275">
        <f>IFERROR(__xludf.DUMMYFUNCTION("""COMPUTED_VALUE"""),480.0)</f>
        <v>480</v>
      </c>
      <c r="AN236" s="280">
        <f>IFERROR(__xludf.DUMMYFUNCTION("""COMPUTED_VALUE"""),485.0)</f>
        <v>485</v>
      </c>
      <c r="AO236" s="275">
        <f>IFERROR(__xludf.DUMMYFUNCTION("""COMPUTED_VALUE"""),495.0)</f>
        <v>495</v>
      </c>
      <c r="AP236" s="280">
        <f>IFERROR(__xludf.DUMMYFUNCTION("""COMPUTED_VALUE"""),500.0)</f>
        <v>500</v>
      </c>
      <c r="AQ236" s="280">
        <f>IFERROR(__xludf.DUMMYFUNCTION("""COMPUTED_VALUE"""),540.0)</f>
        <v>540</v>
      </c>
      <c r="AR236" s="280">
        <f>IFERROR(__xludf.DUMMYFUNCTION("""COMPUTED_VALUE"""),585.0)</f>
        <v>585</v>
      </c>
      <c r="AS236" s="280">
        <f>IFERROR(__xludf.DUMMYFUNCTION("""COMPUTED_VALUE"""),605.0)</f>
        <v>605</v>
      </c>
      <c r="AT236" s="385" t="str">
        <f>IFERROR(__xludf.DUMMYFUNCTION("""COMPUTED_VALUE"""),"超持続型")</f>
        <v>超持続型</v>
      </c>
      <c r="AU236" s="386">
        <f>IFERROR(__xludf.DUMMYFUNCTION("""COMPUTED_VALUE"""),4.0)</f>
        <v>4</v>
      </c>
      <c r="AV236" s="387" t="str">
        <f>IFERROR(__xludf.DUMMYFUNCTION("""COMPUTED_VALUE"""),"効果時間")</f>
        <v>効果時間</v>
      </c>
      <c r="AW236" s="368" t="str">
        <f>IFERROR(__xludf.DUMMYFUNCTION("""COMPUTED_VALUE"""),"-")</f>
        <v>-</v>
      </c>
      <c r="AX236" s="368" t="str">
        <f>IFERROR(__xludf.DUMMYFUNCTION("""COMPUTED_VALUE"""),"-")</f>
        <v>-</v>
      </c>
      <c r="AY236" s="368" t="str">
        <f>IFERROR(__xludf.DUMMYFUNCTION("""COMPUTED_VALUE"""),"-")</f>
        <v>-</v>
      </c>
      <c r="AZ236" s="368" t="str">
        <f>IFERROR(__xludf.DUMMYFUNCTION("""COMPUTED_VALUE"""),"-")</f>
        <v>-</v>
      </c>
      <c r="BA236" s="368" t="str">
        <f>IFERROR(__xludf.DUMMYFUNCTION("""COMPUTED_VALUE"""),"-")</f>
        <v>-</v>
      </c>
      <c r="BB236" s="280">
        <f>IFERROR(__xludf.DUMMYFUNCTION("""COMPUTED_VALUE"""),645.0)</f>
        <v>645</v>
      </c>
      <c r="BC236" s="280">
        <f>IFERROR(__xludf.DUMMYFUNCTION("""COMPUTED_VALUE"""),735.0)</f>
        <v>735</v>
      </c>
      <c r="BD236" s="280">
        <f>IFERROR(__xludf.DUMMYFUNCTION("""COMPUTED_VALUE"""),755.0)</f>
        <v>755</v>
      </c>
      <c r="BE236" s="385" t="str">
        <f>IFERROR(__xludf.DUMMYFUNCTION("""COMPUTED_VALUE"""),"ハイブリッド型")</f>
        <v>ハイブリッド型</v>
      </c>
      <c r="BF236" s="386">
        <f>IFERROR(__xludf.DUMMYFUNCTION("""COMPUTED_VALUE"""),4.0)</f>
        <v>4</v>
      </c>
      <c r="BG236" s="387" t="str">
        <f>IFERROR(__xludf.DUMMYFUNCTION("""COMPUTED_VALUE"""),"効果時間")</f>
        <v>効果時間</v>
      </c>
      <c r="BH236" s="417">
        <f>IFERROR(__xludf.DUMMYFUNCTION("""COMPUTED_VALUE"""),240.0)</f>
        <v>240</v>
      </c>
      <c r="BI236" s="417">
        <f>IFERROR(__xludf.DUMMYFUNCTION("""COMPUTED_VALUE"""),255.0)</f>
        <v>255</v>
      </c>
      <c r="BJ236" s="417">
        <f>IFERROR(__xludf.DUMMYFUNCTION("""COMPUTED_VALUE"""),265.0)</f>
        <v>265</v>
      </c>
      <c r="BK236" s="418">
        <f>IFERROR(__xludf.DUMMYFUNCTION("""COMPUTED_VALUE"""),275.0)</f>
        <v>275</v>
      </c>
      <c r="BL236" s="417">
        <f>IFERROR(__xludf.DUMMYFUNCTION("""COMPUTED_VALUE"""),285.0)</f>
        <v>285</v>
      </c>
      <c r="BM236" s="418">
        <f>IFERROR(__xludf.DUMMYFUNCTION("""COMPUTED_VALUE"""),395.0)</f>
        <v>395</v>
      </c>
      <c r="BN236" s="417">
        <f>IFERROR(__xludf.DUMMYFUNCTION("""COMPUTED_VALUE"""),500.0)</f>
        <v>500</v>
      </c>
      <c r="BO236" s="418">
        <f>IFERROR(__xludf.DUMMYFUNCTION("""COMPUTED_VALUE"""),520.0)</f>
        <v>520</v>
      </c>
    </row>
    <row r="237">
      <c r="A237" s="435" t="str">
        <f>IFERROR(__xludf.DUMMYFUNCTION("""COMPUTED_VALUE"""),"攻撃力UP(赤)")</f>
        <v>攻撃力UP(赤)</v>
      </c>
      <c r="B237" s="385" t="str">
        <f>IFERROR(__xludf.DUMMYFUNCTION("""COMPUTED_VALUE"""),"超瞬間型")</f>
        <v>超瞬間型</v>
      </c>
      <c r="C237" s="399">
        <f>IFERROR(__xludf.DUMMYFUNCTION("""COMPUTED_VALUE"""),5.0)</f>
        <v>5</v>
      </c>
      <c r="D237" s="400" t="str">
        <f>IFERROR(__xludf.DUMMYFUNCTION("""COMPUTED_VALUE"""),"効果値")</f>
        <v>効果値</v>
      </c>
      <c r="E237" s="419" t="str">
        <f>IFERROR(__xludf.DUMMYFUNCTION("""COMPUTED_VALUE"""),"-")</f>
        <v>-</v>
      </c>
      <c r="F237" s="409" t="str">
        <f>IFERROR(__xludf.DUMMYFUNCTION("""COMPUTED_VALUE"""),"-")</f>
        <v>-</v>
      </c>
      <c r="G237" s="409" t="str">
        <f>IFERROR(__xludf.DUMMYFUNCTION("""COMPUTED_VALUE"""),"-")</f>
        <v>-</v>
      </c>
      <c r="H237" s="409" t="str">
        <f>IFERROR(__xludf.DUMMYFUNCTION("""COMPUTED_VALUE"""),"-")</f>
        <v>-</v>
      </c>
      <c r="I237" s="409" t="str">
        <f>IFERROR(__xludf.DUMMYFUNCTION("""COMPUTED_VALUE"""),"-")</f>
        <v>-</v>
      </c>
      <c r="J237" s="420">
        <f>IFERROR(__xludf.DUMMYFUNCTION("""COMPUTED_VALUE"""),60.0)</f>
        <v>60</v>
      </c>
      <c r="K237" s="421">
        <f>IFERROR(__xludf.DUMMYFUNCTION("""COMPUTED_VALUE"""),70.0)</f>
        <v>70</v>
      </c>
      <c r="L237" s="421">
        <f>IFERROR(__xludf.DUMMYFUNCTION("""COMPUTED_VALUE"""),75.0)</f>
        <v>75</v>
      </c>
      <c r="M237" s="385" t="str">
        <f>IFERROR(__xludf.DUMMYFUNCTION("""COMPUTED_VALUE"""),"瞬間型")</f>
        <v>瞬間型</v>
      </c>
      <c r="N237" s="399">
        <f>IFERROR(__xludf.DUMMYFUNCTION("""COMPUTED_VALUE"""),5.0)</f>
        <v>5</v>
      </c>
      <c r="O237" s="400" t="str">
        <f>IFERROR(__xludf.DUMMYFUNCTION("""COMPUTED_VALUE"""),"効果値")</f>
        <v>効果値</v>
      </c>
      <c r="P237" s="422">
        <f>IFERROR(__xludf.DUMMYFUNCTION("""COMPUTED_VALUE"""),23.0)</f>
        <v>23</v>
      </c>
      <c r="Q237" s="423">
        <f>IFERROR(__xludf.DUMMYFUNCTION("""COMPUTED_VALUE"""),23.0)</f>
        <v>23</v>
      </c>
      <c r="R237" s="422">
        <f>IFERROR(__xludf.DUMMYFUNCTION("""COMPUTED_VALUE"""),24.0)</f>
        <v>24</v>
      </c>
      <c r="S237" s="423">
        <f>IFERROR(__xludf.DUMMYFUNCTION("""COMPUTED_VALUE"""),24.0)</f>
        <v>24</v>
      </c>
      <c r="T237" s="422">
        <f>IFERROR(__xludf.DUMMYFUNCTION("""COMPUTED_VALUE"""),24.0)</f>
        <v>24</v>
      </c>
      <c r="U237" s="423">
        <f>IFERROR(__xludf.DUMMYFUNCTION("""COMPUTED_VALUE"""),30.0)</f>
        <v>30</v>
      </c>
      <c r="V237" s="423">
        <f>IFERROR(__xludf.DUMMYFUNCTION("""COMPUTED_VALUE"""),35.0)</f>
        <v>35</v>
      </c>
      <c r="W237" s="424">
        <f>IFERROR(__xludf.DUMMYFUNCTION("""COMPUTED_VALUE"""),40.0)</f>
        <v>40</v>
      </c>
      <c r="X237" s="385" t="str">
        <f>IFERROR(__xludf.DUMMYFUNCTION("""COMPUTED_VALUE"""),"安定型")</f>
        <v>安定型</v>
      </c>
      <c r="Y237" s="399">
        <f>IFERROR(__xludf.DUMMYFUNCTION("""COMPUTED_VALUE"""),5.0)</f>
        <v>5</v>
      </c>
      <c r="Z237" s="400" t="str">
        <f>IFERROR(__xludf.DUMMYFUNCTION("""COMPUTED_VALUE"""),"効果値")</f>
        <v>効果値</v>
      </c>
      <c r="AA237" s="422">
        <f>IFERROR(__xludf.DUMMYFUNCTION("""COMPUTED_VALUE"""),13.0)</f>
        <v>13</v>
      </c>
      <c r="AB237" s="423">
        <f>IFERROR(__xludf.DUMMYFUNCTION("""COMPUTED_VALUE"""),13.0)</f>
        <v>13</v>
      </c>
      <c r="AC237" s="422">
        <f>IFERROR(__xludf.DUMMYFUNCTION("""COMPUTED_VALUE"""),14.0)</f>
        <v>14</v>
      </c>
      <c r="AD237" s="423">
        <f>IFERROR(__xludf.DUMMYFUNCTION("""COMPUTED_VALUE"""),14.0)</f>
        <v>14</v>
      </c>
      <c r="AE237" s="422">
        <f>IFERROR(__xludf.DUMMYFUNCTION("""COMPUTED_VALUE"""),14.0)</f>
        <v>14</v>
      </c>
      <c r="AF237" s="423">
        <f>IFERROR(__xludf.DUMMYFUNCTION("""COMPUTED_VALUE"""),15.0)</f>
        <v>15</v>
      </c>
      <c r="AG237" s="423">
        <f>IFERROR(__xludf.DUMMYFUNCTION("""COMPUTED_VALUE"""),20.0)</f>
        <v>20</v>
      </c>
      <c r="AH237" s="424">
        <f>IFERROR(__xludf.DUMMYFUNCTION("""COMPUTED_VALUE"""),25.0)</f>
        <v>25</v>
      </c>
      <c r="AI237" s="385" t="str">
        <f>IFERROR(__xludf.DUMMYFUNCTION("""COMPUTED_VALUE"""),"持続型")</f>
        <v>持続型</v>
      </c>
      <c r="AJ237" s="399">
        <f>IFERROR(__xludf.DUMMYFUNCTION("""COMPUTED_VALUE"""),5.0)</f>
        <v>5</v>
      </c>
      <c r="AK237" s="400" t="str">
        <f>IFERROR(__xludf.DUMMYFUNCTION("""COMPUTED_VALUE"""),"効果値")</f>
        <v>効果値</v>
      </c>
      <c r="AL237" s="422">
        <f>IFERROR(__xludf.DUMMYFUNCTION("""COMPUTED_VALUE"""),8.0)</f>
        <v>8</v>
      </c>
      <c r="AM237" s="423">
        <f>IFERROR(__xludf.DUMMYFUNCTION("""COMPUTED_VALUE"""),8.0)</f>
        <v>8</v>
      </c>
      <c r="AN237" s="422">
        <f>IFERROR(__xludf.DUMMYFUNCTION("""COMPUTED_VALUE"""),9.0)</f>
        <v>9</v>
      </c>
      <c r="AO237" s="423">
        <f>IFERROR(__xludf.DUMMYFUNCTION("""COMPUTED_VALUE"""),9.0)</f>
        <v>9</v>
      </c>
      <c r="AP237" s="422">
        <f>IFERROR(__xludf.DUMMYFUNCTION("""COMPUTED_VALUE"""),9.0)</f>
        <v>9</v>
      </c>
      <c r="AQ237" s="423">
        <f>IFERROR(__xludf.DUMMYFUNCTION("""COMPUTED_VALUE"""),10.0)</f>
        <v>10</v>
      </c>
      <c r="AR237" s="423">
        <f>IFERROR(__xludf.DUMMYFUNCTION("""COMPUTED_VALUE"""),12.0)</f>
        <v>12</v>
      </c>
      <c r="AS237" s="424">
        <f>IFERROR(__xludf.DUMMYFUNCTION("""COMPUTED_VALUE"""),12.0)</f>
        <v>12</v>
      </c>
      <c r="AT237" s="385" t="str">
        <f>IFERROR(__xludf.DUMMYFUNCTION("""COMPUTED_VALUE"""),"超持続型")</f>
        <v>超持続型</v>
      </c>
      <c r="AU237" s="399">
        <f>IFERROR(__xludf.DUMMYFUNCTION("""COMPUTED_VALUE"""),5.0)</f>
        <v>5</v>
      </c>
      <c r="AV237" s="400" t="str">
        <f>IFERROR(__xludf.DUMMYFUNCTION("""COMPUTED_VALUE"""),"効果値")</f>
        <v>効果値</v>
      </c>
      <c r="AW237" s="425" t="str">
        <f>IFERROR(__xludf.DUMMYFUNCTION("""COMPUTED_VALUE"""),"-")</f>
        <v>-</v>
      </c>
      <c r="AX237" s="426" t="str">
        <f>IFERROR(__xludf.DUMMYFUNCTION("""COMPUTED_VALUE"""),"-")</f>
        <v>-</v>
      </c>
      <c r="AY237" s="426" t="str">
        <f>IFERROR(__xludf.DUMMYFUNCTION("""COMPUTED_VALUE"""),"-")</f>
        <v>-</v>
      </c>
      <c r="AZ237" s="426" t="str">
        <f>IFERROR(__xludf.DUMMYFUNCTION("""COMPUTED_VALUE"""),"-")</f>
        <v>-</v>
      </c>
      <c r="BA237" s="426" t="str">
        <f>IFERROR(__xludf.DUMMYFUNCTION("""COMPUTED_VALUE"""),"-")</f>
        <v>-</v>
      </c>
      <c r="BB237" s="423">
        <f>IFERROR(__xludf.DUMMYFUNCTION("""COMPUTED_VALUE"""),10.0)</f>
        <v>10</v>
      </c>
      <c r="BC237" s="423">
        <f>IFERROR(__xludf.DUMMYFUNCTION("""COMPUTED_VALUE"""),12.0)</f>
        <v>12</v>
      </c>
      <c r="BD237" s="424">
        <f>IFERROR(__xludf.DUMMYFUNCTION("""COMPUTED_VALUE"""),12.0)</f>
        <v>12</v>
      </c>
      <c r="BE237" s="385" t="str">
        <f>IFERROR(__xludf.DUMMYFUNCTION("""COMPUTED_VALUE"""),"ハイブリッド型")</f>
        <v>ハイブリッド型</v>
      </c>
      <c r="BF237" s="399">
        <f>IFERROR(__xludf.DUMMYFUNCTION("""COMPUTED_VALUE"""),5.0)</f>
        <v>5</v>
      </c>
      <c r="BG237" s="400" t="str">
        <f>IFERROR(__xludf.DUMMYFUNCTION("""COMPUTED_VALUE"""),"効果値")</f>
        <v>効果値</v>
      </c>
      <c r="BH237" s="427">
        <f>IFERROR(__xludf.DUMMYFUNCTION("""COMPUTED_VALUE"""),12.0)</f>
        <v>12</v>
      </c>
      <c r="BI237" s="428">
        <f>IFERROR(__xludf.DUMMYFUNCTION("""COMPUTED_VALUE"""),12.75)</f>
        <v>12.75</v>
      </c>
      <c r="BJ237" s="428">
        <f>IFERROR(__xludf.DUMMYFUNCTION("""COMPUTED_VALUE"""),13.5)</f>
        <v>13.5</v>
      </c>
      <c r="BK237" s="428">
        <f>IFERROR(__xludf.DUMMYFUNCTION("""COMPUTED_VALUE"""),14.25)</f>
        <v>14.25</v>
      </c>
      <c r="BL237" s="427">
        <f>IFERROR(__xludf.DUMMYFUNCTION("""COMPUTED_VALUE"""),15.0)</f>
        <v>15</v>
      </c>
      <c r="BM237" s="427">
        <f>IFERROR(__xludf.DUMMYFUNCTION("""COMPUTED_VALUE"""),20.0)</f>
        <v>20</v>
      </c>
      <c r="BN237" s="427">
        <f>IFERROR(__xludf.DUMMYFUNCTION("""COMPUTED_VALUE"""),25.0)</f>
        <v>25</v>
      </c>
      <c r="BO237" s="429">
        <f>IFERROR(__xludf.DUMMYFUNCTION("""COMPUTED_VALUE"""),30.0)</f>
        <v>30</v>
      </c>
    </row>
    <row r="238">
      <c r="A238" s="435" t="str">
        <f>IFERROR(__xludf.DUMMYFUNCTION("""COMPUTED_VALUE"""),"攻撃力UP(赤)")</f>
        <v>攻撃力UP(赤)</v>
      </c>
      <c r="B238" s="385" t="str">
        <f>IFERROR(__xludf.DUMMYFUNCTION("""COMPUTED_VALUE"""),"超瞬間型")</f>
        <v>超瞬間型</v>
      </c>
      <c r="C238" s="430">
        <f>IFERROR(__xludf.DUMMYFUNCTION("""COMPUTED_VALUE"""),5.0)</f>
        <v>5</v>
      </c>
      <c r="D238" s="431" t="str">
        <f>IFERROR(__xludf.DUMMYFUNCTION("""COMPUTED_VALUE"""),"効果時間")</f>
        <v>効果時間</v>
      </c>
      <c r="E238" s="388" t="str">
        <f>IFERROR(__xludf.DUMMYFUNCTION("""COMPUTED_VALUE"""),"-")</f>
        <v>-</v>
      </c>
      <c r="F238" s="389" t="str">
        <f>IFERROR(__xludf.DUMMYFUNCTION("""COMPUTED_VALUE"""),"-")</f>
        <v>-</v>
      </c>
      <c r="G238" s="388" t="str">
        <f>IFERROR(__xludf.DUMMYFUNCTION("""COMPUTED_VALUE"""),"-")</f>
        <v>-</v>
      </c>
      <c r="H238" s="389" t="str">
        <f>IFERROR(__xludf.DUMMYFUNCTION("""COMPUTED_VALUE"""),"-")</f>
        <v>-</v>
      </c>
      <c r="I238" s="388" t="str">
        <f>IFERROR(__xludf.DUMMYFUNCTION("""COMPUTED_VALUE"""),"-")</f>
        <v>-</v>
      </c>
      <c r="J238" s="390">
        <f>IFERROR(__xludf.DUMMYFUNCTION("""COMPUTED_VALUE"""),160.0)</f>
        <v>160</v>
      </c>
      <c r="K238" s="391">
        <f>IFERROR(__xludf.DUMMYFUNCTION("""COMPUTED_VALUE"""),175.0)</f>
        <v>175</v>
      </c>
      <c r="L238" s="340">
        <f>IFERROR(__xludf.DUMMYFUNCTION("""COMPUTED_VALUE"""),200.0)</f>
        <v>200</v>
      </c>
      <c r="M238" s="385" t="str">
        <f>IFERROR(__xludf.DUMMYFUNCTION("""COMPUTED_VALUE"""),"瞬間型")</f>
        <v>瞬間型</v>
      </c>
      <c r="N238" s="430">
        <f>IFERROR(__xludf.DUMMYFUNCTION("""COMPUTED_VALUE"""),5.0)</f>
        <v>5</v>
      </c>
      <c r="O238" s="431" t="str">
        <f>IFERROR(__xludf.DUMMYFUNCTION("""COMPUTED_VALUE"""),"効果時間")</f>
        <v>効果時間</v>
      </c>
      <c r="P238" s="392">
        <f>IFERROR(__xludf.DUMMYFUNCTION("""COMPUTED_VALUE"""),175.0)</f>
        <v>175</v>
      </c>
      <c r="Q238" s="414">
        <f>IFERROR(__xludf.DUMMYFUNCTION("""COMPUTED_VALUE"""),185.0)</f>
        <v>185</v>
      </c>
      <c r="R238" s="414">
        <f>IFERROR(__xludf.DUMMYFUNCTION("""COMPUTED_VALUE"""),190.0)</f>
        <v>190</v>
      </c>
      <c r="S238" s="414">
        <f>IFERROR(__xludf.DUMMYFUNCTION("""COMPUTED_VALUE"""),195.0)</f>
        <v>195</v>
      </c>
      <c r="T238" s="394">
        <f>IFERROR(__xludf.DUMMYFUNCTION("""COMPUTED_VALUE"""),200.0)</f>
        <v>200</v>
      </c>
      <c r="U238" s="394">
        <f>IFERROR(__xludf.DUMMYFUNCTION("""COMPUTED_VALUE"""),225.0)</f>
        <v>225</v>
      </c>
      <c r="V238" s="394">
        <f>IFERROR(__xludf.DUMMYFUNCTION("""COMPUTED_VALUE"""),300.0)</f>
        <v>300</v>
      </c>
      <c r="W238" s="394">
        <f>IFERROR(__xludf.DUMMYFUNCTION("""COMPUTED_VALUE"""),325.0)</f>
        <v>325</v>
      </c>
      <c r="X238" s="385" t="str">
        <f>IFERROR(__xludf.DUMMYFUNCTION("""COMPUTED_VALUE"""),"安定型")</f>
        <v>安定型</v>
      </c>
      <c r="Y238" s="430">
        <f>IFERROR(__xludf.DUMMYFUNCTION("""COMPUTED_VALUE"""),5.0)</f>
        <v>5</v>
      </c>
      <c r="Z238" s="431" t="str">
        <f>IFERROR(__xludf.DUMMYFUNCTION("""COMPUTED_VALUE"""),"効果時間")</f>
        <v>効果時間</v>
      </c>
      <c r="AA238" s="392">
        <f>IFERROR(__xludf.DUMMYFUNCTION("""COMPUTED_VALUE"""),325.0)</f>
        <v>325</v>
      </c>
      <c r="AB238" s="414">
        <f>IFERROR(__xludf.DUMMYFUNCTION("""COMPUTED_VALUE"""),335.0)</f>
        <v>335</v>
      </c>
      <c r="AC238" s="414">
        <f>IFERROR(__xludf.DUMMYFUNCTION("""COMPUTED_VALUE"""),340.0)</f>
        <v>340</v>
      </c>
      <c r="AD238" s="414">
        <f>IFERROR(__xludf.DUMMYFUNCTION("""COMPUTED_VALUE"""),345.0)</f>
        <v>345</v>
      </c>
      <c r="AE238" s="394">
        <f>IFERROR(__xludf.DUMMYFUNCTION("""COMPUTED_VALUE"""),350.0)</f>
        <v>350</v>
      </c>
      <c r="AF238" s="394">
        <f>IFERROR(__xludf.DUMMYFUNCTION("""COMPUTED_VALUE"""),400.0)</f>
        <v>400</v>
      </c>
      <c r="AG238" s="394">
        <f>IFERROR(__xludf.DUMMYFUNCTION("""COMPUTED_VALUE"""),450.0)</f>
        <v>450</v>
      </c>
      <c r="AH238" s="394">
        <f>IFERROR(__xludf.DUMMYFUNCTION("""COMPUTED_VALUE"""),475.0)</f>
        <v>475</v>
      </c>
      <c r="AI238" s="385" t="str">
        <f>IFERROR(__xludf.DUMMYFUNCTION("""COMPUTED_VALUE"""),"持続型")</f>
        <v>持続型</v>
      </c>
      <c r="AJ238" s="430">
        <f>IFERROR(__xludf.DUMMYFUNCTION("""COMPUTED_VALUE"""),5.0)</f>
        <v>5</v>
      </c>
      <c r="AK238" s="431" t="str">
        <f>IFERROR(__xludf.DUMMYFUNCTION("""COMPUTED_VALUE"""),"効果時間")</f>
        <v>効果時間</v>
      </c>
      <c r="AL238" s="392">
        <f>IFERROR(__xludf.DUMMYFUNCTION("""COMPUTED_VALUE"""),475.0)</f>
        <v>475</v>
      </c>
      <c r="AM238" s="414">
        <f>IFERROR(__xludf.DUMMYFUNCTION("""COMPUTED_VALUE"""),485.0)</f>
        <v>485</v>
      </c>
      <c r="AN238" s="414">
        <f>IFERROR(__xludf.DUMMYFUNCTION("""COMPUTED_VALUE"""),490.0)</f>
        <v>490</v>
      </c>
      <c r="AO238" s="414">
        <f>IFERROR(__xludf.DUMMYFUNCTION("""COMPUTED_VALUE"""),495.0)</f>
        <v>495</v>
      </c>
      <c r="AP238" s="394">
        <f>IFERROR(__xludf.DUMMYFUNCTION("""COMPUTED_VALUE"""),500.0)</f>
        <v>500</v>
      </c>
      <c r="AQ238" s="394">
        <f>IFERROR(__xludf.DUMMYFUNCTION("""COMPUTED_VALUE"""),550.0)</f>
        <v>550</v>
      </c>
      <c r="AR238" s="394">
        <f>IFERROR(__xludf.DUMMYFUNCTION("""COMPUTED_VALUE"""),600.0)</f>
        <v>600</v>
      </c>
      <c r="AS238" s="394">
        <f>IFERROR(__xludf.DUMMYFUNCTION("""COMPUTED_VALUE"""),625.0)</f>
        <v>625</v>
      </c>
      <c r="AT238" s="385" t="str">
        <f>IFERROR(__xludf.DUMMYFUNCTION("""COMPUTED_VALUE"""),"超持続型")</f>
        <v>超持続型</v>
      </c>
      <c r="AU238" s="430">
        <f>IFERROR(__xludf.DUMMYFUNCTION("""COMPUTED_VALUE"""),5.0)</f>
        <v>5</v>
      </c>
      <c r="AV238" s="431" t="str">
        <f>IFERROR(__xludf.DUMMYFUNCTION("""COMPUTED_VALUE"""),"効果時間")</f>
        <v>効果時間</v>
      </c>
      <c r="AW238" s="395" t="str">
        <f>IFERROR(__xludf.DUMMYFUNCTION("""COMPUTED_VALUE"""),"-")</f>
        <v>-</v>
      </c>
      <c r="AX238" s="396" t="str">
        <f>IFERROR(__xludf.DUMMYFUNCTION("""COMPUTED_VALUE"""),"-")</f>
        <v>-</v>
      </c>
      <c r="AY238" s="396" t="str">
        <f>IFERROR(__xludf.DUMMYFUNCTION("""COMPUTED_VALUE"""),"-")</f>
        <v>-</v>
      </c>
      <c r="AZ238" s="396" t="str">
        <f>IFERROR(__xludf.DUMMYFUNCTION("""COMPUTED_VALUE"""),"-")</f>
        <v>-</v>
      </c>
      <c r="BA238" s="396" t="str">
        <f>IFERROR(__xludf.DUMMYFUNCTION("""COMPUTED_VALUE"""),"-")</f>
        <v>-</v>
      </c>
      <c r="BB238" s="393">
        <f>IFERROR(__xludf.DUMMYFUNCTION("""COMPUTED_VALUE"""),650.0)</f>
        <v>650</v>
      </c>
      <c r="BC238" s="393">
        <f>IFERROR(__xludf.DUMMYFUNCTION("""COMPUTED_VALUE"""),750.0)</f>
        <v>750</v>
      </c>
      <c r="BD238" s="394">
        <f>IFERROR(__xludf.DUMMYFUNCTION("""COMPUTED_VALUE"""),775.0)</f>
        <v>775</v>
      </c>
      <c r="BE238" s="385" t="str">
        <f>IFERROR(__xludf.DUMMYFUNCTION("""COMPUTED_VALUE"""),"ハイブリッド型")</f>
        <v>ハイブリッド型</v>
      </c>
      <c r="BF238" s="430">
        <f>IFERROR(__xludf.DUMMYFUNCTION("""COMPUTED_VALUE"""),5.0)</f>
        <v>5</v>
      </c>
      <c r="BG238" s="431" t="str">
        <f>IFERROR(__xludf.DUMMYFUNCTION("""COMPUTED_VALUE"""),"効果時間")</f>
        <v>効果時間</v>
      </c>
      <c r="BH238" s="304">
        <f>IFERROR(__xludf.DUMMYFUNCTION("""COMPUTED_VALUE"""),250.0)</f>
        <v>250</v>
      </c>
      <c r="BI238" s="432">
        <f>IFERROR(__xludf.DUMMYFUNCTION("""COMPUTED_VALUE"""),265.0)</f>
        <v>265</v>
      </c>
      <c r="BJ238" s="432">
        <f>IFERROR(__xludf.DUMMYFUNCTION("""COMPUTED_VALUE"""),275.0)</f>
        <v>275</v>
      </c>
      <c r="BK238" s="432">
        <f>IFERROR(__xludf.DUMMYFUNCTION("""COMPUTED_VALUE"""),290.0)</f>
        <v>290</v>
      </c>
      <c r="BL238" s="304">
        <f>IFERROR(__xludf.DUMMYFUNCTION("""COMPUTED_VALUE"""),300.0)</f>
        <v>300</v>
      </c>
      <c r="BM238" s="304">
        <f>IFERROR(__xludf.DUMMYFUNCTION("""COMPUTED_VALUE"""),400.0)</f>
        <v>400</v>
      </c>
      <c r="BN238" s="304">
        <f>IFERROR(__xludf.DUMMYFUNCTION("""COMPUTED_VALUE"""),500.0)</f>
        <v>500</v>
      </c>
      <c r="BO238" s="304">
        <f>IFERROR(__xludf.DUMMYFUNCTION("""COMPUTED_VALUE"""),525.0)</f>
        <v>525</v>
      </c>
    </row>
    <row r="239">
      <c r="A239" s="433" t="str">
        <f>IFERROR(__xludf.DUMMYFUNCTION("""COMPUTED_VALUE"""),"攻撃力UP(青)")</f>
        <v>攻撃力UP(青)</v>
      </c>
      <c r="B239" s="374" t="str">
        <f>IFERROR(__xludf.DUMMYFUNCTION("""COMPUTED_VALUE"""),"超瞬間型")</f>
        <v>超瞬間型</v>
      </c>
      <c r="C239" s="375">
        <f>IFERROR(__xludf.DUMMYFUNCTION("""COMPUTED_VALUE"""),1.0)</f>
        <v>1</v>
      </c>
      <c r="D239" s="376" t="str">
        <f>IFERROR(__xludf.DUMMYFUNCTION("""COMPUTED_VALUE"""),"効果値")</f>
        <v>効果値</v>
      </c>
      <c r="E239" s="377" t="str">
        <f>IFERROR(__xludf.DUMMYFUNCTION("""COMPUTED_VALUE"""),"-")</f>
        <v>-</v>
      </c>
      <c r="F239" s="378" t="str">
        <f>IFERROR(__xludf.DUMMYFUNCTION("""COMPUTED_VALUE"""),"-")</f>
        <v>-</v>
      </c>
      <c r="G239" s="377" t="str">
        <f>IFERROR(__xludf.DUMMYFUNCTION("""COMPUTED_VALUE"""),"-")</f>
        <v>-</v>
      </c>
      <c r="H239" s="378" t="str">
        <f>IFERROR(__xludf.DUMMYFUNCTION("""COMPUTED_VALUE"""),"-")</f>
        <v>-</v>
      </c>
      <c r="I239" s="377" t="str">
        <f>IFERROR(__xludf.DUMMYFUNCTION("""COMPUTED_VALUE"""),"-")</f>
        <v>-</v>
      </c>
      <c r="J239" s="379">
        <f>IFERROR(__xludf.DUMMYFUNCTION("""COMPUTED_VALUE"""),55.0)</f>
        <v>55</v>
      </c>
      <c r="K239" s="294">
        <f>IFERROR(__xludf.DUMMYFUNCTION("""COMPUTED_VALUE"""),65.0)</f>
        <v>65</v>
      </c>
      <c r="L239" s="294">
        <f>IFERROR(__xludf.DUMMYFUNCTION("""COMPUTED_VALUE"""),65.0)</f>
        <v>65</v>
      </c>
      <c r="M239" s="374" t="str">
        <f>IFERROR(__xludf.DUMMYFUNCTION("""COMPUTED_VALUE"""),"瞬間型")</f>
        <v>瞬間型</v>
      </c>
      <c r="N239" s="375">
        <f>IFERROR(__xludf.DUMMYFUNCTION("""COMPUTED_VALUE"""),1.0)</f>
        <v>1</v>
      </c>
      <c r="O239" s="376" t="str">
        <f>IFERROR(__xludf.DUMMYFUNCTION("""COMPUTED_VALUE"""),"効果値")</f>
        <v>効果値</v>
      </c>
      <c r="P239" s="380">
        <f>IFERROR(__xludf.DUMMYFUNCTION("""COMPUTED_VALUE"""),20.0)</f>
        <v>20</v>
      </c>
      <c r="Q239" s="263">
        <f>IFERROR(__xludf.DUMMYFUNCTION("""COMPUTED_VALUE"""),20.0)</f>
        <v>20</v>
      </c>
      <c r="R239" s="263">
        <f>IFERROR(__xludf.DUMMYFUNCTION("""COMPUTED_VALUE"""),20.0)</f>
        <v>20</v>
      </c>
      <c r="S239" s="263">
        <f>IFERROR(__xludf.DUMMYFUNCTION("""COMPUTED_VALUE"""),20.0)</f>
        <v>20</v>
      </c>
      <c r="T239" s="263">
        <f>IFERROR(__xludf.DUMMYFUNCTION("""COMPUTED_VALUE"""),20.0)</f>
        <v>20</v>
      </c>
      <c r="U239" s="263">
        <f>IFERROR(__xludf.DUMMYFUNCTION("""COMPUTED_VALUE"""),25.0)</f>
        <v>25</v>
      </c>
      <c r="V239" s="266">
        <f>IFERROR(__xludf.DUMMYFUNCTION("""COMPUTED_VALUE"""),30.0)</f>
        <v>30</v>
      </c>
      <c r="W239" s="266">
        <f>IFERROR(__xludf.DUMMYFUNCTION("""COMPUTED_VALUE"""),30.0)</f>
        <v>30</v>
      </c>
      <c r="X239" s="374" t="str">
        <f>IFERROR(__xludf.DUMMYFUNCTION("""COMPUTED_VALUE"""),"安定型")</f>
        <v>安定型</v>
      </c>
      <c r="Y239" s="375">
        <f>IFERROR(__xludf.DUMMYFUNCTION("""COMPUTED_VALUE"""),1.0)</f>
        <v>1</v>
      </c>
      <c r="Z239" s="376" t="str">
        <f>IFERROR(__xludf.DUMMYFUNCTION("""COMPUTED_VALUE"""),"効果値")</f>
        <v>効果値</v>
      </c>
      <c r="AA239" s="380">
        <f>IFERROR(__xludf.DUMMYFUNCTION("""COMPUTED_VALUE"""),10.0)</f>
        <v>10</v>
      </c>
      <c r="AB239" s="263">
        <f>IFERROR(__xludf.DUMMYFUNCTION("""COMPUTED_VALUE"""),10.0)</f>
        <v>10</v>
      </c>
      <c r="AC239" s="263">
        <f>IFERROR(__xludf.DUMMYFUNCTION("""COMPUTED_VALUE"""),10.0)</f>
        <v>10</v>
      </c>
      <c r="AD239" s="263">
        <f>IFERROR(__xludf.DUMMYFUNCTION("""COMPUTED_VALUE"""),10.0)</f>
        <v>10</v>
      </c>
      <c r="AE239" s="263">
        <f>IFERROR(__xludf.DUMMYFUNCTION("""COMPUTED_VALUE"""),10.0)</f>
        <v>10</v>
      </c>
      <c r="AF239" s="263">
        <f>IFERROR(__xludf.DUMMYFUNCTION("""COMPUTED_VALUE"""),10.0)</f>
        <v>10</v>
      </c>
      <c r="AG239" s="266">
        <f>IFERROR(__xludf.DUMMYFUNCTION("""COMPUTED_VALUE"""),15.0)</f>
        <v>15</v>
      </c>
      <c r="AH239" s="266">
        <f>IFERROR(__xludf.DUMMYFUNCTION("""COMPUTED_VALUE"""),15.0)</f>
        <v>15</v>
      </c>
      <c r="AI239" s="374" t="str">
        <f>IFERROR(__xludf.DUMMYFUNCTION("""COMPUTED_VALUE"""),"持続型")</f>
        <v>持続型</v>
      </c>
      <c r="AJ239" s="375">
        <f>IFERROR(__xludf.DUMMYFUNCTION("""COMPUTED_VALUE"""),1.0)</f>
        <v>1</v>
      </c>
      <c r="AK239" s="376" t="str">
        <f>IFERROR(__xludf.DUMMYFUNCTION("""COMPUTED_VALUE"""),"効果値")</f>
        <v>効果値</v>
      </c>
      <c r="AL239" s="380">
        <f>IFERROR(__xludf.DUMMYFUNCTION("""COMPUTED_VALUE"""),5.0)</f>
        <v>5</v>
      </c>
      <c r="AM239" s="263">
        <f>IFERROR(__xludf.DUMMYFUNCTION("""COMPUTED_VALUE"""),5.0)</f>
        <v>5</v>
      </c>
      <c r="AN239" s="263">
        <f>IFERROR(__xludf.DUMMYFUNCTION("""COMPUTED_VALUE"""),5.0)</f>
        <v>5</v>
      </c>
      <c r="AO239" s="263">
        <f>IFERROR(__xludf.DUMMYFUNCTION("""COMPUTED_VALUE"""),5.0)</f>
        <v>5</v>
      </c>
      <c r="AP239" s="263">
        <f>IFERROR(__xludf.DUMMYFUNCTION("""COMPUTED_VALUE"""),5.0)</f>
        <v>5</v>
      </c>
      <c r="AQ239" s="263">
        <f>IFERROR(__xludf.DUMMYFUNCTION("""COMPUTED_VALUE"""),5.0)</f>
        <v>5</v>
      </c>
      <c r="AR239" s="266">
        <f>IFERROR(__xludf.DUMMYFUNCTION("""COMPUTED_VALUE"""),10.0)</f>
        <v>10</v>
      </c>
      <c r="AS239" s="266">
        <f>IFERROR(__xludf.DUMMYFUNCTION("""COMPUTED_VALUE"""),10.0)</f>
        <v>10</v>
      </c>
      <c r="AT239" s="374" t="str">
        <f>IFERROR(__xludf.DUMMYFUNCTION("""COMPUTED_VALUE"""),"超持続型")</f>
        <v>超持続型</v>
      </c>
      <c r="AU239" s="375">
        <f>IFERROR(__xludf.DUMMYFUNCTION("""COMPUTED_VALUE"""),1.0)</f>
        <v>1</v>
      </c>
      <c r="AV239" s="376" t="str">
        <f>IFERROR(__xludf.DUMMYFUNCTION("""COMPUTED_VALUE"""),"効果値")</f>
        <v>効果値</v>
      </c>
      <c r="AW239" s="350" t="str">
        <f>IFERROR(__xludf.DUMMYFUNCTION("""COMPUTED_VALUE"""),"-")</f>
        <v>-</v>
      </c>
      <c r="AX239" s="348" t="str">
        <f>IFERROR(__xludf.DUMMYFUNCTION("""COMPUTED_VALUE"""),"-")</f>
        <v>-</v>
      </c>
      <c r="AY239" s="348" t="str">
        <f>IFERROR(__xludf.DUMMYFUNCTION("""COMPUTED_VALUE"""),"-")</f>
        <v>-</v>
      </c>
      <c r="AZ239" s="348" t="str">
        <f>IFERROR(__xludf.DUMMYFUNCTION("""COMPUTED_VALUE"""),"-")</f>
        <v>-</v>
      </c>
      <c r="BA239" s="348" t="str">
        <f>IFERROR(__xludf.DUMMYFUNCTION("""COMPUTED_VALUE"""),"-")</f>
        <v>-</v>
      </c>
      <c r="BB239" s="263">
        <f>IFERROR(__xludf.DUMMYFUNCTION("""COMPUTED_VALUE"""),5.0)</f>
        <v>5</v>
      </c>
      <c r="BC239" s="266">
        <f>IFERROR(__xludf.DUMMYFUNCTION("""COMPUTED_VALUE"""),10.0)</f>
        <v>10</v>
      </c>
      <c r="BD239" s="266">
        <f>IFERROR(__xludf.DUMMYFUNCTION("""COMPUTED_VALUE"""),10.0)</f>
        <v>10</v>
      </c>
      <c r="BE239" s="374" t="str">
        <f>IFERROR(__xludf.DUMMYFUNCTION("""COMPUTED_VALUE"""),"ハイブリッド型")</f>
        <v>ハイブリッド型</v>
      </c>
      <c r="BF239" s="375">
        <f>IFERROR(__xludf.DUMMYFUNCTION("""COMPUTED_VALUE"""),1.0)</f>
        <v>1</v>
      </c>
      <c r="BG239" s="376" t="str">
        <f>IFERROR(__xludf.DUMMYFUNCTION("""COMPUTED_VALUE"""),"効果値")</f>
        <v>効果値</v>
      </c>
      <c r="BH239" s="381">
        <f>IFERROR(__xludf.DUMMYFUNCTION("""COMPUTED_VALUE"""),10.0)</f>
        <v>10</v>
      </c>
      <c r="BI239" s="382">
        <f>IFERROR(__xludf.DUMMYFUNCTION("""COMPUTED_VALUE"""),10.0)</f>
        <v>10</v>
      </c>
      <c r="BJ239" s="382">
        <f>IFERROR(__xludf.DUMMYFUNCTION("""COMPUTED_VALUE"""),10.0)</f>
        <v>10</v>
      </c>
      <c r="BK239" s="382">
        <f>IFERROR(__xludf.DUMMYFUNCTION("""COMPUTED_VALUE"""),10.0)</f>
        <v>10</v>
      </c>
      <c r="BL239" s="382">
        <f>IFERROR(__xludf.DUMMYFUNCTION("""COMPUTED_VALUE"""),10.0)</f>
        <v>10</v>
      </c>
      <c r="BM239" s="382">
        <f>IFERROR(__xludf.DUMMYFUNCTION("""COMPUTED_VALUE"""),15.0)</f>
        <v>15</v>
      </c>
      <c r="BN239" s="382">
        <f>IFERROR(__xludf.DUMMYFUNCTION("""COMPUTED_VALUE"""),20.0)</f>
        <v>20</v>
      </c>
      <c r="BO239" s="383">
        <f>IFERROR(__xludf.DUMMYFUNCTION("""COMPUTED_VALUE"""),20.0)</f>
        <v>20</v>
      </c>
    </row>
    <row r="240">
      <c r="A240" s="434" t="str">
        <f>IFERROR(__xludf.DUMMYFUNCTION("""COMPUTED_VALUE"""),"攻撃力UP(青)")</f>
        <v>攻撃力UP(青)</v>
      </c>
      <c r="B240" s="385" t="str">
        <f>IFERROR(__xludf.DUMMYFUNCTION("""COMPUTED_VALUE"""),"超瞬間型")</f>
        <v>超瞬間型</v>
      </c>
      <c r="C240" s="386">
        <f>IFERROR(__xludf.DUMMYFUNCTION("""COMPUTED_VALUE"""),1.0)</f>
        <v>1</v>
      </c>
      <c r="D240" s="387" t="str">
        <f>IFERROR(__xludf.DUMMYFUNCTION("""COMPUTED_VALUE"""),"効果時間")</f>
        <v>効果時間</v>
      </c>
      <c r="E240" s="388" t="str">
        <f>IFERROR(__xludf.DUMMYFUNCTION("""COMPUTED_VALUE"""),"-")</f>
        <v>-</v>
      </c>
      <c r="F240" s="389" t="str">
        <f>IFERROR(__xludf.DUMMYFUNCTION("""COMPUTED_VALUE"""),"-")</f>
        <v>-</v>
      </c>
      <c r="G240" s="388" t="str">
        <f>IFERROR(__xludf.DUMMYFUNCTION("""COMPUTED_VALUE"""),"-")</f>
        <v>-</v>
      </c>
      <c r="H240" s="389" t="str">
        <f>IFERROR(__xludf.DUMMYFUNCTION("""COMPUTED_VALUE"""),"-")</f>
        <v>-</v>
      </c>
      <c r="I240" s="388" t="str">
        <f>IFERROR(__xludf.DUMMYFUNCTION("""COMPUTED_VALUE"""),"-")</f>
        <v>-</v>
      </c>
      <c r="J240" s="390">
        <f>IFERROR(__xludf.DUMMYFUNCTION("""COMPUTED_VALUE"""),150.0)</f>
        <v>150</v>
      </c>
      <c r="K240" s="391">
        <f>IFERROR(__xludf.DUMMYFUNCTION("""COMPUTED_VALUE"""),160.0)</f>
        <v>160</v>
      </c>
      <c r="L240" s="340">
        <f>IFERROR(__xludf.DUMMYFUNCTION("""COMPUTED_VALUE"""),160.0)</f>
        <v>160</v>
      </c>
      <c r="M240" s="385" t="str">
        <f>IFERROR(__xludf.DUMMYFUNCTION("""COMPUTED_VALUE"""),"瞬間型")</f>
        <v>瞬間型</v>
      </c>
      <c r="N240" s="386">
        <f>IFERROR(__xludf.DUMMYFUNCTION("""COMPUTED_VALUE"""),1.0)</f>
        <v>1</v>
      </c>
      <c r="O240" s="387" t="str">
        <f>IFERROR(__xludf.DUMMYFUNCTION("""COMPUTED_VALUE"""),"効果時間")</f>
        <v>効果時間</v>
      </c>
      <c r="P240" s="392">
        <f>IFERROR(__xludf.DUMMYFUNCTION("""COMPUTED_VALUE"""),150.0)</f>
        <v>150</v>
      </c>
      <c r="Q240" s="393">
        <f>IFERROR(__xludf.DUMMYFUNCTION("""COMPUTED_VALUE"""),150.0)</f>
        <v>150</v>
      </c>
      <c r="R240" s="393">
        <f>IFERROR(__xludf.DUMMYFUNCTION("""COMPUTED_VALUE"""),150.0)</f>
        <v>150</v>
      </c>
      <c r="S240" s="393">
        <f>IFERROR(__xludf.DUMMYFUNCTION("""COMPUTED_VALUE"""),150.0)</f>
        <v>150</v>
      </c>
      <c r="T240" s="393">
        <f>IFERROR(__xludf.DUMMYFUNCTION("""COMPUTED_VALUE"""),150.0)</f>
        <v>150</v>
      </c>
      <c r="U240" s="393">
        <f>IFERROR(__xludf.DUMMYFUNCTION("""COMPUTED_VALUE"""),150.0)</f>
        <v>150</v>
      </c>
      <c r="V240" s="393">
        <f>IFERROR(__xludf.DUMMYFUNCTION("""COMPUTED_VALUE"""),160.0)</f>
        <v>160</v>
      </c>
      <c r="W240" s="394">
        <f>IFERROR(__xludf.DUMMYFUNCTION("""COMPUTED_VALUE"""),160.0)</f>
        <v>160</v>
      </c>
      <c r="X240" s="385" t="str">
        <f>IFERROR(__xludf.DUMMYFUNCTION("""COMPUTED_VALUE"""),"安定型")</f>
        <v>安定型</v>
      </c>
      <c r="Y240" s="386">
        <f>IFERROR(__xludf.DUMMYFUNCTION("""COMPUTED_VALUE"""),1.0)</f>
        <v>1</v>
      </c>
      <c r="Z240" s="387" t="str">
        <f>IFERROR(__xludf.DUMMYFUNCTION("""COMPUTED_VALUE"""),"効果時間")</f>
        <v>効果時間</v>
      </c>
      <c r="AA240" s="392">
        <f>IFERROR(__xludf.DUMMYFUNCTION("""COMPUTED_VALUE"""),300.0)</f>
        <v>300</v>
      </c>
      <c r="AB240" s="393">
        <f>IFERROR(__xludf.DUMMYFUNCTION("""COMPUTED_VALUE"""),300.0)</f>
        <v>300</v>
      </c>
      <c r="AC240" s="393">
        <f>IFERROR(__xludf.DUMMYFUNCTION("""COMPUTED_VALUE"""),300.0)</f>
        <v>300</v>
      </c>
      <c r="AD240" s="393">
        <f>IFERROR(__xludf.DUMMYFUNCTION("""COMPUTED_VALUE"""),300.0)</f>
        <v>300</v>
      </c>
      <c r="AE240" s="393">
        <f>IFERROR(__xludf.DUMMYFUNCTION("""COMPUTED_VALUE"""),300.0)</f>
        <v>300</v>
      </c>
      <c r="AF240" s="393">
        <f>IFERROR(__xludf.DUMMYFUNCTION("""COMPUTED_VALUE"""),300.0)</f>
        <v>300</v>
      </c>
      <c r="AG240" s="393">
        <f>IFERROR(__xludf.DUMMYFUNCTION("""COMPUTED_VALUE"""),310.0)</f>
        <v>310</v>
      </c>
      <c r="AH240" s="394">
        <f>IFERROR(__xludf.DUMMYFUNCTION("""COMPUTED_VALUE"""),310.0)</f>
        <v>310</v>
      </c>
      <c r="AI240" s="385" t="str">
        <f>IFERROR(__xludf.DUMMYFUNCTION("""COMPUTED_VALUE"""),"持続型")</f>
        <v>持続型</v>
      </c>
      <c r="AJ240" s="386">
        <f>IFERROR(__xludf.DUMMYFUNCTION("""COMPUTED_VALUE"""),1.0)</f>
        <v>1</v>
      </c>
      <c r="AK240" s="387" t="str">
        <f>IFERROR(__xludf.DUMMYFUNCTION("""COMPUTED_VALUE"""),"効果時間")</f>
        <v>効果時間</v>
      </c>
      <c r="AL240" s="392">
        <f>IFERROR(__xludf.DUMMYFUNCTION("""COMPUTED_VALUE"""),450.0)</f>
        <v>450</v>
      </c>
      <c r="AM240" s="393">
        <f>IFERROR(__xludf.DUMMYFUNCTION("""COMPUTED_VALUE"""),450.0)</f>
        <v>450</v>
      </c>
      <c r="AN240" s="393">
        <f>IFERROR(__xludf.DUMMYFUNCTION("""COMPUTED_VALUE"""),450.0)</f>
        <v>450</v>
      </c>
      <c r="AO240" s="393">
        <f>IFERROR(__xludf.DUMMYFUNCTION("""COMPUTED_VALUE"""),450.0)</f>
        <v>450</v>
      </c>
      <c r="AP240" s="393">
        <f>IFERROR(__xludf.DUMMYFUNCTION("""COMPUTED_VALUE"""),450.0)</f>
        <v>450</v>
      </c>
      <c r="AQ240" s="393">
        <f>IFERROR(__xludf.DUMMYFUNCTION("""COMPUTED_VALUE"""),450.0)</f>
        <v>450</v>
      </c>
      <c r="AR240" s="393">
        <f>IFERROR(__xludf.DUMMYFUNCTION("""COMPUTED_VALUE"""),460.0)</f>
        <v>460</v>
      </c>
      <c r="AS240" s="394">
        <f>IFERROR(__xludf.DUMMYFUNCTION("""COMPUTED_VALUE"""),460.0)</f>
        <v>460</v>
      </c>
      <c r="AT240" s="385" t="str">
        <f>IFERROR(__xludf.DUMMYFUNCTION("""COMPUTED_VALUE"""),"超持続型")</f>
        <v>超持続型</v>
      </c>
      <c r="AU240" s="386">
        <f>IFERROR(__xludf.DUMMYFUNCTION("""COMPUTED_VALUE"""),1.0)</f>
        <v>1</v>
      </c>
      <c r="AV240" s="387" t="str">
        <f>IFERROR(__xludf.DUMMYFUNCTION("""COMPUTED_VALUE"""),"効果時間")</f>
        <v>効果時間</v>
      </c>
      <c r="AW240" s="395" t="str">
        <f>IFERROR(__xludf.DUMMYFUNCTION("""COMPUTED_VALUE"""),"-")</f>
        <v>-</v>
      </c>
      <c r="AX240" s="396" t="str">
        <f>IFERROR(__xludf.DUMMYFUNCTION("""COMPUTED_VALUE"""),"-")</f>
        <v>-</v>
      </c>
      <c r="AY240" s="396" t="str">
        <f>IFERROR(__xludf.DUMMYFUNCTION("""COMPUTED_VALUE"""),"-")</f>
        <v>-</v>
      </c>
      <c r="AZ240" s="396" t="str">
        <f>IFERROR(__xludf.DUMMYFUNCTION("""COMPUTED_VALUE"""),"-")</f>
        <v>-</v>
      </c>
      <c r="BA240" s="396" t="str">
        <f>IFERROR(__xludf.DUMMYFUNCTION("""COMPUTED_VALUE"""),"-")</f>
        <v>-</v>
      </c>
      <c r="BB240" s="393">
        <f>IFERROR(__xludf.DUMMYFUNCTION("""COMPUTED_VALUE"""),600.0)</f>
        <v>600</v>
      </c>
      <c r="BC240" s="393">
        <f>IFERROR(__xludf.DUMMYFUNCTION("""COMPUTED_VALUE"""),610.0)</f>
        <v>610</v>
      </c>
      <c r="BD240" s="394">
        <f>IFERROR(__xludf.DUMMYFUNCTION("""COMPUTED_VALUE"""),610.0)</f>
        <v>610</v>
      </c>
      <c r="BE240" s="385" t="str">
        <f>IFERROR(__xludf.DUMMYFUNCTION("""COMPUTED_VALUE"""),"ハイブリッド型")</f>
        <v>ハイブリッド型</v>
      </c>
      <c r="BF240" s="386">
        <f>IFERROR(__xludf.DUMMYFUNCTION("""COMPUTED_VALUE"""),1.0)</f>
        <v>1</v>
      </c>
      <c r="BG240" s="387" t="str">
        <f>IFERROR(__xludf.DUMMYFUNCTION("""COMPUTED_VALUE"""),"効果時間")</f>
        <v>効果時間</v>
      </c>
      <c r="BH240" s="397">
        <f>IFERROR(__xludf.DUMMYFUNCTION("""COMPUTED_VALUE"""),150.0)</f>
        <v>150</v>
      </c>
      <c r="BI240" s="397">
        <f>IFERROR(__xludf.DUMMYFUNCTION("""COMPUTED_VALUE"""),150.0)</f>
        <v>150</v>
      </c>
      <c r="BJ240" s="397">
        <f>IFERROR(__xludf.DUMMYFUNCTION("""COMPUTED_VALUE"""),150.0)</f>
        <v>150</v>
      </c>
      <c r="BK240" s="398">
        <f>IFERROR(__xludf.DUMMYFUNCTION("""COMPUTED_VALUE"""),150.0)</f>
        <v>150</v>
      </c>
      <c r="BL240" s="397">
        <f>IFERROR(__xludf.DUMMYFUNCTION("""COMPUTED_VALUE"""),150.0)</f>
        <v>150</v>
      </c>
      <c r="BM240" s="398">
        <f>IFERROR(__xludf.DUMMYFUNCTION("""COMPUTED_VALUE"""),350.0)</f>
        <v>350</v>
      </c>
      <c r="BN240" s="397">
        <f>IFERROR(__xludf.DUMMYFUNCTION("""COMPUTED_VALUE"""),460.0)</f>
        <v>460</v>
      </c>
      <c r="BO240" s="398">
        <f>IFERROR(__xludf.DUMMYFUNCTION("""COMPUTED_VALUE"""),460.0)</f>
        <v>460</v>
      </c>
    </row>
    <row r="241">
      <c r="A241" s="435" t="str">
        <f>IFERROR(__xludf.DUMMYFUNCTION("""COMPUTED_VALUE"""),"攻撃力UP(青)")</f>
        <v>攻撃力UP(青)</v>
      </c>
      <c r="B241" s="385" t="str">
        <f>IFERROR(__xludf.DUMMYFUNCTION("""COMPUTED_VALUE"""),"超瞬間型")</f>
        <v>超瞬間型</v>
      </c>
      <c r="C241" s="399">
        <f>IFERROR(__xludf.DUMMYFUNCTION("""COMPUTED_VALUE"""),2.0)</f>
        <v>2</v>
      </c>
      <c r="D241" s="400" t="str">
        <f>IFERROR(__xludf.DUMMYFUNCTION("""COMPUTED_VALUE"""),"効果値")</f>
        <v>効果値</v>
      </c>
      <c r="E241" s="401" t="str">
        <f>IFERROR(__xludf.DUMMYFUNCTION("""COMPUTED_VALUE"""),"-")</f>
        <v>-</v>
      </c>
      <c r="F241" s="401" t="str">
        <f>IFERROR(__xludf.DUMMYFUNCTION("""COMPUTED_VALUE"""),"-")</f>
        <v>-</v>
      </c>
      <c r="G241" s="401" t="str">
        <f>IFERROR(__xludf.DUMMYFUNCTION("""COMPUTED_VALUE"""),"-")</f>
        <v>-</v>
      </c>
      <c r="H241" s="401" t="str">
        <f>IFERROR(__xludf.DUMMYFUNCTION("""COMPUTED_VALUE"""),"-")</f>
        <v>-</v>
      </c>
      <c r="I241" s="401" t="str">
        <f>IFERROR(__xludf.DUMMYFUNCTION("""COMPUTED_VALUE"""),"-")</f>
        <v>-</v>
      </c>
      <c r="J241" s="318">
        <f>IFERROR(__xludf.DUMMYFUNCTION("""COMPUTED_VALUE"""),57.0)</f>
        <v>57</v>
      </c>
      <c r="K241" s="318">
        <f>IFERROR(__xludf.DUMMYFUNCTION("""COMPUTED_VALUE"""),67.0)</f>
        <v>67</v>
      </c>
      <c r="L241" s="318">
        <f>IFERROR(__xludf.DUMMYFUNCTION("""COMPUTED_VALUE"""),69.0)</f>
        <v>69</v>
      </c>
      <c r="M241" s="385" t="str">
        <f>IFERROR(__xludf.DUMMYFUNCTION("""COMPUTED_VALUE"""),"瞬間型")</f>
        <v>瞬間型</v>
      </c>
      <c r="N241" s="399">
        <f>IFERROR(__xludf.DUMMYFUNCTION("""COMPUTED_VALUE"""),2.0)</f>
        <v>2</v>
      </c>
      <c r="O241" s="400" t="str">
        <f>IFERROR(__xludf.DUMMYFUNCTION("""COMPUTED_VALUE"""),"効果値")</f>
        <v>効果値</v>
      </c>
      <c r="P241" s="343">
        <f>IFERROR(__xludf.DUMMYFUNCTION("""COMPUTED_VALUE"""),21.0)</f>
        <v>21</v>
      </c>
      <c r="Q241" s="402">
        <f>IFERROR(__xludf.DUMMYFUNCTION("""COMPUTED_VALUE"""),21.0)</f>
        <v>21</v>
      </c>
      <c r="R241" s="343">
        <f>IFERROR(__xludf.DUMMYFUNCTION("""COMPUTED_VALUE"""),22.0)</f>
        <v>22</v>
      </c>
      <c r="S241" s="402">
        <f>IFERROR(__xludf.DUMMYFUNCTION("""COMPUTED_VALUE"""),22.0)</f>
        <v>22</v>
      </c>
      <c r="T241" s="343">
        <f>IFERROR(__xludf.DUMMYFUNCTION("""COMPUTED_VALUE"""),22.0)</f>
        <v>22</v>
      </c>
      <c r="U241" s="343">
        <f>IFERROR(__xludf.DUMMYFUNCTION("""COMPUTED_VALUE"""),27.0)</f>
        <v>27</v>
      </c>
      <c r="V241" s="343">
        <f>IFERROR(__xludf.DUMMYFUNCTION("""COMPUTED_VALUE"""),32.0)</f>
        <v>32</v>
      </c>
      <c r="W241" s="343">
        <f>IFERROR(__xludf.DUMMYFUNCTION("""COMPUTED_VALUE"""),34.0)</f>
        <v>34</v>
      </c>
      <c r="X241" s="385" t="str">
        <f>IFERROR(__xludf.DUMMYFUNCTION("""COMPUTED_VALUE"""),"安定型")</f>
        <v>安定型</v>
      </c>
      <c r="Y241" s="399">
        <f>IFERROR(__xludf.DUMMYFUNCTION("""COMPUTED_VALUE"""),2.0)</f>
        <v>2</v>
      </c>
      <c r="Z241" s="400" t="str">
        <f>IFERROR(__xludf.DUMMYFUNCTION("""COMPUTED_VALUE"""),"効果値")</f>
        <v>効果値</v>
      </c>
      <c r="AA241" s="343">
        <f>IFERROR(__xludf.DUMMYFUNCTION("""COMPUTED_VALUE"""),11.0)</f>
        <v>11</v>
      </c>
      <c r="AB241" s="402">
        <f>IFERROR(__xludf.DUMMYFUNCTION("""COMPUTED_VALUE"""),11.0)</f>
        <v>11</v>
      </c>
      <c r="AC241" s="343">
        <f>IFERROR(__xludf.DUMMYFUNCTION("""COMPUTED_VALUE"""),12.0)</f>
        <v>12</v>
      </c>
      <c r="AD241" s="402">
        <f>IFERROR(__xludf.DUMMYFUNCTION("""COMPUTED_VALUE"""),12.0)</f>
        <v>12</v>
      </c>
      <c r="AE241" s="343">
        <f>IFERROR(__xludf.DUMMYFUNCTION("""COMPUTED_VALUE"""),12.0)</f>
        <v>12</v>
      </c>
      <c r="AF241" s="343">
        <f>IFERROR(__xludf.DUMMYFUNCTION("""COMPUTED_VALUE"""),12.0)</f>
        <v>12</v>
      </c>
      <c r="AG241" s="343">
        <f>IFERROR(__xludf.DUMMYFUNCTION("""COMPUTED_VALUE"""),17.0)</f>
        <v>17</v>
      </c>
      <c r="AH241" s="343">
        <f>IFERROR(__xludf.DUMMYFUNCTION("""COMPUTED_VALUE"""),19.0)</f>
        <v>19</v>
      </c>
      <c r="AI241" s="385" t="str">
        <f>IFERROR(__xludf.DUMMYFUNCTION("""COMPUTED_VALUE"""),"持続型")</f>
        <v>持続型</v>
      </c>
      <c r="AJ241" s="399">
        <f>IFERROR(__xludf.DUMMYFUNCTION("""COMPUTED_VALUE"""),2.0)</f>
        <v>2</v>
      </c>
      <c r="AK241" s="400" t="str">
        <f>IFERROR(__xludf.DUMMYFUNCTION("""COMPUTED_VALUE"""),"効果値")</f>
        <v>効果値</v>
      </c>
      <c r="AL241" s="343">
        <f>IFERROR(__xludf.DUMMYFUNCTION("""COMPUTED_VALUE"""),6.0)</f>
        <v>6</v>
      </c>
      <c r="AM241" s="402">
        <f>IFERROR(__xludf.DUMMYFUNCTION("""COMPUTED_VALUE"""),6.0)</f>
        <v>6</v>
      </c>
      <c r="AN241" s="343">
        <f>IFERROR(__xludf.DUMMYFUNCTION("""COMPUTED_VALUE"""),7.0)</f>
        <v>7</v>
      </c>
      <c r="AO241" s="402">
        <f>IFERROR(__xludf.DUMMYFUNCTION("""COMPUTED_VALUE"""),7.0)</f>
        <v>7</v>
      </c>
      <c r="AP241" s="343">
        <f>IFERROR(__xludf.DUMMYFUNCTION("""COMPUTED_VALUE"""),7.0)</f>
        <v>7</v>
      </c>
      <c r="AQ241" s="343">
        <f>IFERROR(__xludf.DUMMYFUNCTION("""COMPUTED_VALUE"""),7.0)</f>
        <v>7</v>
      </c>
      <c r="AR241" s="343">
        <f>IFERROR(__xludf.DUMMYFUNCTION("""COMPUTED_VALUE"""),11.0)</f>
        <v>11</v>
      </c>
      <c r="AS241" s="343">
        <f>IFERROR(__xludf.DUMMYFUNCTION("""COMPUTED_VALUE"""),11.0)</f>
        <v>11</v>
      </c>
      <c r="AT241" s="385" t="str">
        <f>IFERROR(__xludf.DUMMYFUNCTION("""COMPUTED_VALUE"""),"超持続型")</f>
        <v>超持続型</v>
      </c>
      <c r="AU241" s="399">
        <f>IFERROR(__xludf.DUMMYFUNCTION("""COMPUTED_VALUE"""),2.0)</f>
        <v>2</v>
      </c>
      <c r="AV241" s="400" t="str">
        <f>IFERROR(__xludf.DUMMYFUNCTION("""COMPUTED_VALUE"""),"効果値")</f>
        <v>効果値</v>
      </c>
      <c r="AW241" s="403" t="str">
        <f>IFERROR(__xludf.DUMMYFUNCTION("""COMPUTED_VALUE"""),"-")</f>
        <v>-</v>
      </c>
      <c r="AX241" s="403" t="str">
        <f>IFERROR(__xludf.DUMMYFUNCTION("""COMPUTED_VALUE"""),"-")</f>
        <v>-</v>
      </c>
      <c r="AY241" s="403" t="str">
        <f>IFERROR(__xludf.DUMMYFUNCTION("""COMPUTED_VALUE"""),"-")</f>
        <v>-</v>
      </c>
      <c r="AZ241" s="403" t="str">
        <f>IFERROR(__xludf.DUMMYFUNCTION("""COMPUTED_VALUE"""),"-")</f>
        <v>-</v>
      </c>
      <c r="BA241" s="403" t="str">
        <f>IFERROR(__xludf.DUMMYFUNCTION("""COMPUTED_VALUE"""),"-")</f>
        <v>-</v>
      </c>
      <c r="BB241" s="343">
        <f>IFERROR(__xludf.DUMMYFUNCTION("""COMPUTED_VALUE"""),7.0)</f>
        <v>7</v>
      </c>
      <c r="BC241" s="343">
        <f>IFERROR(__xludf.DUMMYFUNCTION("""COMPUTED_VALUE"""),11.0)</f>
        <v>11</v>
      </c>
      <c r="BD241" s="343">
        <f>IFERROR(__xludf.DUMMYFUNCTION("""COMPUTED_VALUE"""),11.0)</f>
        <v>11</v>
      </c>
      <c r="BE241" s="385" t="str">
        <f>IFERROR(__xludf.DUMMYFUNCTION("""COMPUTED_VALUE"""),"ハイブリッド型")</f>
        <v>ハイブリッド型</v>
      </c>
      <c r="BF241" s="399">
        <f>IFERROR(__xludf.DUMMYFUNCTION("""COMPUTED_VALUE"""),2.0)</f>
        <v>2</v>
      </c>
      <c r="BG241" s="400" t="str">
        <f>IFERROR(__xludf.DUMMYFUNCTION("""COMPUTED_VALUE"""),"効果値")</f>
        <v>効果値</v>
      </c>
      <c r="BH241" s="404">
        <f>IFERROR(__xludf.DUMMYFUNCTION("""COMPUTED_VALUE"""),10.8)</f>
        <v>10.8</v>
      </c>
      <c r="BI241" s="405">
        <f>IFERROR(__xludf.DUMMYFUNCTION("""COMPUTED_VALUE"""),11.2)</f>
        <v>11.2</v>
      </c>
      <c r="BJ241" s="405">
        <f>IFERROR(__xludf.DUMMYFUNCTION("""COMPUTED_VALUE"""),11.5)</f>
        <v>11.5</v>
      </c>
      <c r="BK241" s="405">
        <f>IFERROR(__xludf.DUMMYFUNCTION("""COMPUTED_VALUE"""),11.8)</f>
        <v>11.8</v>
      </c>
      <c r="BL241" s="405">
        <f>IFERROR(__xludf.DUMMYFUNCTION("""COMPUTED_VALUE"""),12.1)</f>
        <v>12.1</v>
      </c>
      <c r="BM241" s="405">
        <f>IFERROR(__xludf.DUMMYFUNCTION("""COMPUTED_VALUE"""),17.1)</f>
        <v>17.1</v>
      </c>
      <c r="BN241" s="405">
        <f>IFERROR(__xludf.DUMMYFUNCTION("""COMPUTED_VALUE"""),22.0)</f>
        <v>22</v>
      </c>
      <c r="BO241" s="406">
        <f>IFERROR(__xludf.DUMMYFUNCTION("""COMPUTED_VALUE"""),24.0)</f>
        <v>24</v>
      </c>
    </row>
    <row r="242">
      <c r="A242" s="435" t="str">
        <f>IFERROR(__xludf.DUMMYFUNCTION("""COMPUTED_VALUE"""),"攻撃力UP(青)")</f>
        <v>攻撃力UP(青)</v>
      </c>
      <c r="B242" s="385" t="str">
        <f>IFERROR(__xludf.DUMMYFUNCTION("""COMPUTED_VALUE"""),"超瞬間型")</f>
        <v>超瞬間型</v>
      </c>
      <c r="C242" s="386">
        <f>IFERROR(__xludf.DUMMYFUNCTION("""COMPUTED_VALUE"""),2.0)</f>
        <v>2</v>
      </c>
      <c r="D242" s="387" t="str">
        <f>IFERROR(__xludf.DUMMYFUNCTION("""COMPUTED_VALUE"""),"効果時間")</f>
        <v>効果時間</v>
      </c>
      <c r="E242" s="388" t="str">
        <f>IFERROR(__xludf.DUMMYFUNCTION("""COMPUTED_VALUE"""),"-")</f>
        <v>-</v>
      </c>
      <c r="F242" s="389" t="str">
        <f>IFERROR(__xludf.DUMMYFUNCTION("""COMPUTED_VALUE"""),"-")</f>
        <v>-</v>
      </c>
      <c r="G242" s="388" t="str">
        <f>IFERROR(__xludf.DUMMYFUNCTION("""COMPUTED_VALUE"""),"-")</f>
        <v>-</v>
      </c>
      <c r="H242" s="389" t="str">
        <f>IFERROR(__xludf.DUMMYFUNCTION("""COMPUTED_VALUE"""),"-")</f>
        <v>-</v>
      </c>
      <c r="I242" s="388" t="str">
        <f>IFERROR(__xludf.DUMMYFUNCTION("""COMPUTED_VALUE"""),"-")</f>
        <v>-</v>
      </c>
      <c r="J242" s="390">
        <f>IFERROR(__xludf.DUMMYFUNCTION("""COMPUTED_VALUE"""),150.0)</f>
        <v>150</v>
      </c>
      <c r="K242" s="391">
        <f>IFERROR(__xludf.DUMMYFUNCTION("""COMPUTED_VALUE"""),160.0)</f>
        <v>160</v>
      </c>
      <c r="L242" s="340">
        <f>IFERROR(__xludf.DUMMYFUNCTION("""COMPUTED_VALUE"""),170.0)</f>
        <v>170</v>
      </c>
      <c r="M242" s="385" t="str">
        <f>IFERROR(__xludf.DUMMYFUNCTION("""COMPUTED_VALUE"""),"瞬間型")</f>
        <v>瞬間型</v>
      </c>
      <c r="N242" s="386">
        <f>IFERROR(__xludf.DUMMYFUNCTION("""COMPUTED_VALUE"""),2.0)</f>
        <v>2</v>
      </c>
      <c r="O242" s="387" t="str">
        <f>IFERROR(__xludf.DUMMYFUNCTION("""COMPUTED_VALUE"""),"効果時間")</f>
        <v>効果時間</v>
      </c>
      <c r="P242" s="392">
        <f>IFERROR(__xludf.DUMMYFUNCTION("""COMPUTED_VALUE"""),160.0)</f>
        <v>160</v>
      </c>
      <c r="Q242" s="275">
        <f>IFERROR(__xludf.DUMMYFUNCTION("""COMPUTED_VALUE"""),165.0)</f>
        <v>165</v>
      </c>
      <c r="R242" s="280">
        <f>IFERROR(__xludf.DUMMYFUNCTION("""COMPUTED_VALUE"""),170.0)</f>
        <v>170</v>
      </c>
      <c r="S242" s="275">
        <f>IFERROR(__xludf.DUMMYFUNCTION("""COMPUTED_VALUE"""),175.0)</f>
        <v>175</v>
      </c>
      <c r="T242" s="280">
        <f>IFERROR(__xludf.DUMMYFUNCTION("""COMPUTED_VALUE"""),180.0)</f>
        <v>180</v>
      </c>
      <c r="U242" s="280">
        <f>IFERROR(__xludf.DUMMYFUNCTION("""COMPUTED_VALUE"""),180.0)</f>
        <v>180</v>
      </c>
      <c r="V242" s="280">
        <f>IFERROR(__xludf.DUMMYFUNCTION("""COMPUTED_VALUE"""),220.0)</f>
        <v>220</v>
      </c>
      <c r="W242" s="280">
        <f>IFERROR(__xludf.DUMMYFUNCTION("""COMPUTED_VALUE"""),230.0)</f>
        <v>230</v>
      </c>
      <c r="X242" s="385" t="str">
        <f>IFERROR(__xludf.DUMMYFUNCTION("""COMPUTED_VALUE"""),"安定型")</f>
        <v>安定型</v>
      </c>
      <c r="Y242" s="386">
        <f>IFERROR(__xludf.DUMMYFUNCTION("""COMPUTED_VALUE"""),2.0)</f>
        <v>2</v>
      </c>
      <c r="Z242" s="387" t="str">
        <f>IFERROR(__xludf.DUMMYFUNCTION("""COMPUTED_VALUE"""),"効果時間")</f>
        <v>効果時間</v>
      </c>
      <c r="AA242" s="392">
        <f>IFERROR(__xludf.DUMMYFUNCTION("""COMPUTED_VALUE"""),310.0)</f>
        <v>310</v>
      </c>
      <c r="AB242" s="275">
        <f>IFERROR(__xludf.DUMMYFUNCTION("""COMPUTED_VALUE"""),315.0)</f>
        <v>315</v>
      </c>
      <c r="AC242" s="280">
        <f>IFERROR(__xludf.DUMMYFUNCTION("""COMPUTED_VALUE"""),320.0)</f>
        <v>320</v>
      </c>
      <c r="AD242" s="275">
        <f>IFERROR(__xludf.DUMMYFUNCTION("""COMPUTED_VALUE"""),325.0)</f>
        <v>325</v>
      </c>
      <c r="AE242" s="280">
        <f>IFERROR(__xludf.DUMMYFUNCTION("""COMPUTED_VALUE"""),330.0)</f>
        <v>330</v>
      </c>
      <c r="AF242" s="280">
        <f>IFERROR(__xludf.DUMMYFUNCTION("""COMPUTED_VALUE"""),345.0)</f>
        <v>345</v>
      </c>
      <c r="AG242" s="280">
        <f>IFERROR(__xludf.DUMMYFUNCTION("""COMPUTED_VALUE"""),370.0)</f>
        <v>370</v>
      </c>
      <c r="AH242" s="280">
        <f>IFERROR(__xludf.DUMMYFUNCTION("""COMPUTED_VALUE"""),380.0)</f>
        <v>380</v>
      </c>
      <c r="AI242" s="385" t="str">
        <f>IFERROR(__xludf.DUMMYFUNCTION("""COMPUTED_VALUE"""),"持続型")</f>
        <v>持続型</v>
      </c>
      <c r="AJ242" s="386">
        <f>IFERROR(__xludf.DUMMYFUNCTION("""COMPUTED_VALUE"""),2.0)</f>
        <v>2</v>
      </c>
      <c r="AK242" s="387" t="str">
        <f>IFERROR(__xludf.DUMMYFUNCTION("""COMPUTED_VALUE"""),"効果時間")</f>
        <v>効果時間</v>
      </c>
      <c r="AL242" s="392">
        <f>IFERROR(__xludf.DUMMYFUNCTION("""COMPUTED_VALUE"""),460.0)</f>
        <v>460</v>
      </c>
      <c r="AM242" s="275">
        <f>IFERROR(__xludf.DUMMYFUNCTION("""COMPUTED_VALUE"""),465.0)</f>
        <v>465</v>
      </c>
      <c r="AN242" s="280">
        <f>IFERROR(__xludf.DUMMYFUNCTION("""COMPUTED_VALUE"""),470.0)</f>
        <v>470</v>
      </c>
      <c r="AO242" s="275">
        <f>IFERROR(__xludf.DUMMYFUNCTION("""COMPUTED_VALUE"""),475.0)</f>
        <v>475</v>
      </c>
      <c r="AP242" s="280">
        <f>IFERROR(__xludf.DUMMYFUNCTION("""COMPUTED_VALUE"""),480.0)</f>
        <v>480</v>
      </c>
      <c r="AQ242" s="280">
        <f>IFERROR(__xludf.DUMMYFUNCTION("""COMPUTED_VALUE"""),495.0)</f>
        <v>495</v>
      </c>
      <c r="AR242" s="280">
        <f>IFERROR(__xludf.DUMMYFUNCTION("""COMPUTED_VALUE"""),520.0)</f>
        <v>520</v>
      </c>
      <c r="AS242" s="280">
        <f>IFERROR(__xludf.DUMMYFUNCTION("""COMPUTED_VALUE"""),530.0)</f>
        <v>530</v>
      </c>
      <c r="AT242" s="385" t="str">
        <f>IFERROR(__xludf.DUMMYFUNCTION("""COMPUTED_VALUE"""),"超持続型")</f>
        <v>超持続型</v>
      </c>
      <c r="AU242" s="386">
        <f>IFERROR(__xludf.DUMMYFUNCTION("""COMPUTED_VALUE"""),2.0)</f>
        <v>2</v>
      </c>
      <c r="AV242" s="387" t="str">
        <f>IFERROR(__xludf.DUMMYFUNCTION("""COMPUTED_VALUE"""),"効果時間")</f>
        <v>効果時間</v>
      </c>
      <c r="AW242" s="368" t="str">
        <f>IFERROR(__xludf.DUMMYFUNCTION("""COMPUTED_VALUE"""),"-")</f>
        <v>-</v>
      </c>
      <c r="AX242" s="368" t="str">
        <f>IFERROR(__xludf.DUMMYFUNCTION("""COMPUTED_VALUE"""),"-")</f>
        <v>-</v>
      </c>
      <c r="AY242" s="368" t="str">
        <f>IFERROR(__xludf.DUMMYFUNCTION("""COMPUTED_VALUE"""),"-")</f>
        <v>-</v>
      </c>
      <c r="AZ242" s="368" t="str">
        <f>IFERROR(__xludf.DUMMYFUNCTION("""COMPUTED_VALUE"""),"-")</f>
        <v>-</v>
      </c>
      <c r="BA242" s="368" t="str">
        <f>IFERROR(__xludf.DUMMYFUNCTION("""COMPUTED_VALUE"""),"-")</f>
        <v>-</v>
      </c>
      <c r="BB242" s="280">
        <f>IFERROR(__xludf.DUMMYFUNCTION("""COMPUTED_VALUE"""),625.0)</f>
        <v>625</v>
      </c>
      <c r="BC242" s="280">
        <f>IFERROR(__xludf.DUMMYFUNCTION("""COMPUTED_VALUE"""),670.0)</f>
        <v>670</v>
      </c>
      <c r="BD242" s="280">
        <f>IFERROR(__xludf.DUMMYFUNCTION("""COMPUTED_VALUE"""),680.0)</f>
        <v>680</v>
      </c>
      <c r="BE242" s="385" t="str">
        <f>IFERROR(__xludf.DUMMYFUNCTION("""COMPUTED_VALUE"""),"ハイブリッド型")</f>
        <v>ハイブリッド型</v>
      </c>
      <c r="BF242" s="386">
        <f>IFERROR(__xludf.DUMMYFUNCTION("""COMPUTED_VALUE"""),2.0)</f>
        <v>2</v>
      </c>
      <c r="BG242" s="387" t="str">
        <f>IFERROR(__xludf.DUMMYFUNCTION("""COMPUTED_VALUE"""),"効果時間")</f>
        <v>効果時間</v>
      </c>
      <c r="BH242" s="407">
        <f>IFERROR(__xludf.DUMMYFUNCTION("""COMPUTED_VALUE"""),195.0)</f>
        <v>195</v>
      </c>
      <c r="BI242" s="407">
        <f>IFERROR(__xludf.DUMMYFUNCTION("""COMPUTED_VALUE"""),205.0)</f>
        <v>205</v>
      </c>
      <c r="BJ242" s="407">
        <f>IFERROR(__xludf.DUMMYFUNCTION("""COMPUTED_VALUE"""),205.0)</f>
        <v>205</v>
      </c>
      <c r="BK242" s="408">
        <f>IFERROR(__xludf.DUMMYFUNCTION("""COMPUTED_VALUE"""),210.0)</f>
        <v>210</v>
      </c>
      <c r="BL242" s="407">
        <f>IFERROR(__xludf.DUMMYFUNCTION("""COMPUTED_VALUE"""),215.0)</f>
        <v>215</v>
      </c>
      <c r="BM242" s="408">
        <f>IFERROR(__xludf.DUMMYFUNCTION("""COMPUTED_VALUE"""),375.0)</f>
        <v>375</v>
      </c>
      <c r="BN242" s="407">
        <f>IFERROR(__xludf.DUMMYFUNCTION("""COMPUTED_VALUE"""),480.0)</f>
        <v>480</v>
      </c>
      <c r="BO242" s="408">
        <f>IFERROR(__xludf.DUMMYFUNCTION("""COMPUTED_VALUE"""),490.0)</f>
        <v>490</v>
      </c>
    </row>
    <row r="243">
      <c r="A243" s="435" t="str">
        <f>IFERROR(__xludf.DUMMYFUNCTION("""COMPUTED_VALUE"""),"攻撃力UP(青)")</f>
        <v>攻撃力UP(青)</v>
      </c>
      <c r="B243" s="385" t="str">
        <f>IFERROR(__xludf.DUMMYFUNCTION("""COMPUTED_VALUE"""),"超瞬間型")</f>
        <v>超瞬間型</v>
      </c>
      <c r="C243" s="399">
        <f>IFERROR(__xludf.DUMMYFUNCTION("""COMPUTED_VALUE"""),3.0)</f>
        <v>3</v>
      </c>
      <c r="D243" s="400" t="str">
        <f>IFERROR(__xludf.DUMMYFUNCTION("""COMPUTED_VALUE"""),"効果値")</f>
        <v>効果値</v>
      </c>
      <c r="E243" s="401" t="str">
        <f>IFERROR(__xludf.DUMMYFUNCTION("""COMPUTED_VALUE"""),"-")</f>
        <v>-</v>
      </c>
      <c r="F243" s="409" t="str">
        <f>IFERROR(__xludf.DUMMYFUNCTION("""COMPUTED_VALUE"""),"-")</f>
        <v>-</v>
      </c>
      <c r="G243" s="401" t="str">
        <f>IFERROR(__xludf.DUMMYFUNCTION("""COMPUTED_VALUE"""),"-")</f>
        <v>-</v>
      </c>
      <c r="H243" s="409" t="str">
        <f>IFERROR(__xludf.DUMMYFUNCTION("""COMPUTED_VALUE"""),"-")</f>
        <v>-</v>
      </c>
      <c r="I243" s="409" t="str">
        <f>IFERROR(__xludf.DUMMYFUNCTION("""COMPUTED_VALUE"""),"-")</f>
        <v>-</v>
      </c>
      <c r="J243" s="410">
        <f>IFERROR(__xludf.DUMMYFUNCTION("""COMPUTED_VALUE"""),58.0)</f>
        <v>58</v>
      </c>
      <c r="K243" s="410">
        <f>IFERROR(__xludf.DUMMYFUNCTION("""COMPUTED_VALUE"""),68.0)</f>
        <v>68</v>
      </c>
      <c r="L243" s="410">
        <f>IFERROR(__xludf.DUMMYFUNCTION("""COMPUTED_VALUE"""),72.0)</f>
        <v>72</v>
      </c>
      <c r="M243" s="385" t="str">
        <f>IFERROR(__xludf.DUMMYFUNCTION("""COMPUTED_VALUE"""),"瞬間型")</f>
        <v>瞬間型</v>
      </c>
      <c r="N243" s="399">
        <f>IFERROR(__xludf.DUMMYFUNCTION("""COMPUTED_VALUE"""),3.0)</f>
        <v>3</v>
      </c>
      <c r="O243" s="400" t="str">
        <f>IFERROR(__xludf.DUMMYFUNCTION("""COMPUTED_VALUE"""),"効果値")</f>
        <v>効果値</v>
      </c>
      <c r="P243" s="343">
        <f>IFERROR(__xludf.DUMMYFUNCTION("""COMPUTED_VALUE"""),22.0)</f>
        <v>22</v>
      </c>
      <c r="Q243" s="402">
        <f>IFERROR(__xludf.DUMMYFUNCTION("""COMPUTED_VALUE"""),22.0)</f>
        <v>22</v>
      </c>
      <c r="R243" s="402">
        <f>IFERROR(__xludf.DUMMYFUNCTION("""COMPUTED_VALUE"""),23.0)</f>
        <v>23</v>
      </c>
      <c r="S243" s="402">
        <f>IFERROR(__xludf.DUMMYFUNCTION("""COMPUTED_VALUE"""),23.0)</f>
        <v>23</v>
      </c>
      <c r="T243" s="402">
        <f>IFERROR(__xludf.DUMMYFUNCTION("""COMPUTED_VALUE"""),23.0)</f>
        <v>23</v>
      </c>
      <c r="U243" s="402">
        <f>IFERROR(__xludf.DUMMYFUNCTION("""COMPUTED_VALUE"""),28.0)</f>
        <v>28</v>
      </c>
      <c r="V243" s="402">
        <f>IFERROR(__xludf.DUMMYFUNCTION("""COMPUTED_VALUE"""),33.0)</f>
        <v>33</v>
      </c>
      <c r="W243" s="402">
        <f>IFERROR(__xludf.DUMMYFUNCTION("""COMPUTED_VALUE"""),37.0)</f>
        <v>37</v>
      </c>
      <c r="X243" s="385" t="str">
        <f>IFERROR(__xludf.DUMMYFUNCTION("""COMPUTED_VALUE"""),"安定型")</f>
        <v>安定型</v>
      </c>
      <c r="Y243" s="399">
        <f>IFERROR(__xludf.DUMMYFUNCTION("""COMPUTED_VALUE"""),3.0)</f>
        <v>3</v>
      </c>
      <c r="Z243" s="400" t="str">
        <f>IFERROR(__xludf.DUMMYFUNCTION("""COMPUTED_VALUE"""),"効果値")</f>
        <v>効果値</v>
      </c>
      <c r="AA243" s="343">
        <f>IFERROR(__xludf.DUMMYFUNCTION("""COMPUTED_VALUE"""),12.0)</f>
        <v>12</v>
      </c>
      <c r="AB243" s="402">
        <f>IFERROR(__xludf.DUMMYFUNCTION("""COMPUTED_VALUE"""),12.0)</f>
        <v>12</v>
      </c>
      <c r="AC243" s="402">
        <f>IFERROR(__xludf.DUMMYFUNCTION("""COMPUTED_VALUE"""),13.0)</f>
        <v>13</v>
      </c>
      <c r="AD243" s="402">
        <f>IFERROR(__xludf.DUMMYFUNCTION("""COMPUTED_VALUE"""),13.0)</f>
        <v>13</v>
      </c>
      <c r="AE243" s="402">
        <f>IFERROR(__xludf.DUMMYFUNCTION("""COMPUTED_VALUE"""),13.0)</f>
        <v>13</v>
      </c>
      <c r="AF243" s="402">
        <f>IFERROR(__xludf.DUMMYFUNCTION("""COMPUTED_VALUE"""),13.0)</f>
        <v>13</v>
      </c>
      <c r="AG243" s="402">
        <f>IFERROR(__xludf.DUMMYFUNCTION("""COMPUTED_VALUE"""),18.0)</f>
        <v>18</v>
      </c>
      <c r="AH243" s="402">
        <f>IFERROR(__xludf.DUMMYFUNCTION("""COMPUTED_VALUE"""),22.0)</f>
        <v>22</v>
      </c>
      <c r="AI243" s="385" t="str">
        <f>IFERROR(__xludf.DUMMYFUNCTION("""COMPUTED_VALUE"""),"持続型")</f>
        <v>持続型</v>
      </c>
      <c r="AJ243" s="399">
        <f>IFERROR(__xludf.DUMMYFUNCTION("""COMPUTED_VALUE"""),3.0)</f>
        <v>3</v>
      </c>
      <c r="AK243" s="400" t="str">
        <f>IFERROR(__xludf.DUMMYFUNCTION("""COMPUTED_VALUE"""),"効果値")</f>
        <v>効果値</v>
      </c>
      <c r="AL243" s="343">
        <f>IFERROR(__xludf.DUMMYFUNCTION("""COMPUTED_VALUE"""),7.0)</f>
        <v>7</v>
      </c>
      <c r="AM243" s="402">
        <f>IFERROR(__xludf.DUMMYFUNCTION("""COMPUTED_VALUE"""),7.0)</f>
        <v>7</v>
      </c>
      <c r="AN243" s="402">
        <f>IFERROR(__xludf.DUMMYFUNCTION("""COMPUTED_VALUE"""),8.0)</f>
        <v>8</v>
      </c>
      <c r="AO243" s="402">
        <f>IFERROR(__xludf.DUMMYFUNCTION("""COMPUTED_VALUE"""),8.0)</f>
        <v>8</v>
      </c>
      <c r="AP243" s="402">
        <f>IFERROR(__xludf.DUMMYFUNCTION("""COMPUTED_VALUE"""),8.0)</f>
        <v>8</v>
      </c>
      <c r="AQ243" s="402">
        <f>IFERROR(__xludf.DUMMYFUNCTION("""COMPUTED_VALUE"""),8.0)</f>
        <v>8</v>
      </c>
      <c r="AR243" s="402">
        <f>IFERROR(__xludf.DUMMYFUNCTION("""COMPUTED_VALUE"""),11.0)</f>
        <v>11</v>
      </c>
      <c r="AS243" s="402">
        <f>IFERROR(__xludf.DUMMYFUNCTION("""COMPUTED_VALUE"""),11.0)</f>
        <v>11</v>
      </c>
      <c r="AT243" s="385" t="str">
        <f>IFERROR(__xludf.DUMMYFUNCTION("""COMPUTED_VALUE"""),"超持続型")</f>
        <v>超持続型</v>
      </c>
      <c r="AU243" s="399">
        <f>IFERROR(__xludf.DUMMYFUNCTION("""COMPUTED_VALUE"""),3.0)</f>
        <v>3</v>
      </c>
      <c r="AV243" s="400" t="str">
        <f>IFERROR(__xludf.DUMMYFUNCTION("""COMPUTED_VALUE"""),"効果値")</f>
        <v>効果値</v>
      </c>
      <c r="AW243" s="403" t="str">
        <f>IFERROR(__xludf.DUMMYFUNCTION("""COMPUTED_VALUE"""),"-")</f>
        <v>-</v>
      </c>
      <c r="AX243" s="403" t="str">
        <f>IFERROR(__xludf.DUMMYFUNCTION("""COMPUTED_VALUE"""),"-")</f>
        <v>-</v>
      </c>
      <c r="AY243" s="403" t="str">
        <f>IFERROR(__xludf.DUMMYFUNCTION("""COMPUTED_VALUE"""),"-")</f>
        <v>-</v>
      </c>
      <c r="AZ243" s="403" t="str">
        <f>IFERROR(__xludf.DUMMYFUNCTION("""COMPUTED_VALUE"""),"-")</f>
        <v>-</v>
      </c>
      <c r="BA243" s="403" t="str">
        <f>IFERROR(__xludf.DUMMYFUNCTION("""COMPUTED_VALUE"""),"-")</f>
        <v>-</v>
      </c>
      <c r="BB243" s="343">
        <f>IFERROR(__xludf.DUMMYFUNCTION("""COMPUTED_VALUE"""),8.0)</f>
        <v>8</v>
      </c>
      <c r="BC243" s="343">
        <f>IFERROR(__xludf.DUMMYFUNCTION("""COMPUTED_VALUE"""),11.0)</f>
        <v>11</v>
      </c>
      <c r="BD243" s="343">
        <f>IFERROR(__xludf.DUMMYFUNCTION("""COMPUTED_VALUE"""),11.0)</f>
        <v>11</v>
      </c>
      <c r="BE243" s="385" t="str">
        <f>IFERROR(__xludf.DUMMYFUNCTION("""COMPUTED_VALUE"""),"ハイブリッド型")</f>
        <v>ハイブリッド型</v>
      </c>
      <c r="BF243" s="399">
        <f>IFERROR(__xludf.DUMMYFUNCTION("""COMPUTED_VALUE"""),3.0)</f>
        <v>3</v>
      </c>
      <c r="BG243" s="400" t="str">
        <f>IFERROR(__xludf.DUMMYFUNCTION("""COMPUTED_VALUE"""),"効果値")</f>
        <v>効果値</v>
      </c>
      <c r="BH243" s="411">
        <f>IFERROR(__xludf.DUMMYFUNCTION("""COMPUTED_VALUE"""),11.4)</f>
        <v>11.4</v>
      </c>
      <c r="BI243" s="412">
        <f>IFERROR(__xludf.DUMMYFUNCTION("""COMPUTED_VALUE"""),11.9)</f>
        <v>11.9</v>
      </c>
      <c r="BJ243" s="412">
        <f>IFERROR(__xludf.DUMMYFUNCTION("""COMPUTED_VALUE"""),12.5)</f>
        <v>12.5</v>
      </c>
      <c r="BK243" s="412">
        <f>IFERROR(__xludf.DUMMYFUNCTION("""COMPUTED_VALUE"""),13.0)</f>
        <v>13</v>
      </c>
      <c r="BL243" s="412">
        <f>IFERROR(__xludf.DUMMYFUNCTION("""COMPUTED_VALUE"""),13.5)</f>
        <v>13.5</v>
      </c>
      <c r="BM243" s="412">
        <f>IFERROR(__xludf.DUMMYFUNCTION("""COMPUTED_VALUE"""),18.5)</f>
        <v>18.5</v>
      </c>
      <c r="BN243" s="412">
        <f>IFERROR(__xludf.DUMMYFUNCTION("""COMPUTED_VALUE"""),23.0)</f>
        <v>23</v>
      </c>
      <c r="BO243" s="413">
        <f>IFERROR(__xludf.DUMMYFUNCTION("""COMPUTED_VALUE"""),27.0)</f>
        <v>27</v>
      </c>
    </row>
    <row r="244">
      <c r="A244" s="435" t="str">
        <f>IFERROR(__xludf.DUMMYFUNCTION("""COMPUTED_VALUE"""),"攻撃力UP(青)")</f>
        <v>攻撃力UP(青)</v>
      </c>
      <c r="B244" s="385" t="str">
        <f>IFERROR(__xludf.DUMMYFUNCTION("""COMPUTED_VALUE"""),"超瞬間型")</f>
        <v>超瞬間型</v>
      </c>
      <c r="C244" s="386">
        <f>IFERROR(__xludf.DUMMYFUNCTION("""COMPUTED_VALUE"""),3.0)</f>
        <v>3</v>
      </c>
      <c r="D244" s="387" t="str">
        <f>IFERROR(__xludf.DUMMYFUNCTION("""COMPUTED_VALUE"""),"効果時間")</f>
        <v>効果時間</v>
      </c>
      <c r="E244" s="388" t="str">
        <f>IFERROR(__xludf.DUMMYFUNCTION("""COMPUTED_VALUE"""),"-")</f>
        <v>-</v>
      </c>
      <c r="F244" s="389" t="str">
        <f>IFERROR(__xludf.DUMMYFUNCTION("""COMPUTED_VALUE"""),"-")</f>
        <v>-</v>
      </c>
      <c r="G244" s="388" t="str">
        <f>IFERROR(__xludf.DUMMYFUNCTION("""COMPUTED_VALUE"""),"-")</f>
        <v>-</v>
      </c>
      <c r="H244" s="389" t="str">
        <f>IFERROR(__xludf.DUMMYFUNCTION("""COMPUTED_VALUE"""),"-")</f>
        <v>-</v>
      </c>
      <c r="I244" s="388" t="str">
        <f>IFERROR(__xludf.DUMMYFUNCTION("""COMPUTED_VALUE"""),"-")</f>
        <v>-</v>
      </c>
      <c r="J244" s="390">
        <f>IFERROR(__xludf.DUMMYFUNCTION("""COMPUTED_VALUE"""),155.0)</f>
        <v>155</v>
      </c>
      <c r="K244" s="391">
        <f>IFERROR(__xludf.DUMMYFUNCTION("""COMPUTED_VALUE"""),165.0)</f>
        <v>165</v>
      </c>
      <c r="L244" s="340">
        <f>IFERROR(__xludf.DUMMYFUNCTION("""COMPUTED_VALUE"""),185.0)</f>
        <v>185</v>
      </c>
      <c r="M244" s="385" t="str">
        <f>IFERROR(__xludf.DUMMYFUNCTION("""COMPUTED_VALUE"""),"瞬間型")</f>
        <v>瞬間型</v>
      </c>
      <c r="N244" s="386">
        <f>IFERROR(__xludf.DUMMYFUNCTION("""COMPUTED_VALUE"""),3.0)</f>
        <v>3</v>
      </c>
      <c r="O244" s="387" t="str">
        <f>IFERROR(__xludf.DUMMYFUNCTION("""COMPUTED_VALUE"""),"効果時間")</f>
        <v>効果時間</v>
      </c>
      <c r="P244" s="392">
        <f>IFERROR(__xludf.DUMMYFUNCTION("""COMPUTED_VALUE"""),165.0)</f>
        <v>165</v>
      </c>
      <c r="Q244" s="414">
        <f>IFERROR(__xludf.DUMMYFUNCTION("""COMPUTED_VALUE"""),175.0)</f>
        <v>175</v>
      </c>
      <c r="R244" s="415">
        <f>IFERROR(__xludf.DUMMYFUNCTION("""COMPUTED_VALUE"""),180.0)</f>
        <v>180</v>
      </c>
      <c r="S244" s="393">
        <f>IFERROR(__xludf.DUMMYFUNCTION("""COMPUTED_VALUE"""),185.0)</f>
        <v>185</v>
      </c>
      <c r="T244" s="393">
        <f>IFERROR(__xludf.DUMMYFUNCTION("""COMPUTED_VALUE"""),195.0)</f>
        <v>195</v>
      </c>
      <c r="U244" s="414">
        <f>IFERROR(__xludf.DUMMYFUNCTION("""COMPUTED_VALUE"""),200.0)</f>
        <v>200</v>
      </c>
      <c r="V244" s="416">
        <f>IFERROR(__xludf.DUMMYFUNCTION("""COMPUTED_VALUE"""),255.0)</f>
        <v>255</v>
      </c>
      <c r="W244" s="415">
        <f>IFERROR(__xludf.DUMMYFUNCTION("""COMPUTED_VALUE"""),270.0)</f>
        <v>270</v>
      </c>
      <c r="X244" s="385" t="str">
        <f>IFERROR(__xludf.DUMMYFUNCTION("""COMPUTED_VALUE"""),"安定型")</f>
        <v>安定型</v>
      </c>
      <c r="Y244" s="386">
        <f>IFERROR(__xludf.DUMMYFUNCTION("""COMPUTED_VALUE"""),3.0)</f>
        <v>3</v>
      </c>
      <c r="Z244" s="387" t="str">
        <f>IFERROR(__xludf.DUMMYFUNCTION("""COMPUTED_VALUE"""),"効果時間")</f>
        <v>効果時間</v>
      </c>
      <c r="AA244" s="392">
        <f>IFERROR(__xludf.DUMMYFUNCTION("""COMPUTED_VALUE"""),315.0)</f>
        <v>315</v>
      </c>
      <c r="AB244" s="414">
        <f>IFERROR(__xludf.DUMMYFUNCTION("""COMPUTED_VALUE"""),325.0)</f>
        <v>325</v>
      </c>
      <c r="AC244" s="415">
        <f>IFERROR(__xludf.DUMMYFUNCTION("""COMPUTED_VALUE"""),330.0)</f>
        <v>330</v>
      </c>
      <c r="AD244" s="393">
        <f>IFERROR(__xludf.DUMMYFUNCTION("""COMPUTED_VALUE"""),335.0)</f>
        <v>335</v>
      </c>
      <c r="AE244" s="393">
        <f>IFERROR(__xludf.DUMMYFUNCTION("""COMPUTED_VALUE"""),345.0)</f>
        <v>345</v>
      </c>
      <c r="AF244" s="414">
        <f>IFERROR(__xludf.DUMMYFUNCTION("""COMPUTED_VALUE"""),370.0)</f>
        <v>370</v>
      </c>
      <c r="AG244" s="416">
        <f>IFERROR(__xludf.DUMMYFUNCTION("""COMPUTED_VALUE"""),405.0)</f>
        <v>405</v>
      </c>
      <c r="AH244" s="415">
        <f>IFERROR(__xludf.DUMMYFUNCTION("""COMPUTED_VALUE"""),420.0)</f>
        <v>420</v>
      </c>
      <c r="AI244" s="385" t="str">
        <f>IFERROR(__xludf.DUMMYFUNCTION("""COMPUTED_VALUE"""),"持続型")</f>
        <v>持続型</v>
      </c>
      <c r="AJ244" s="386">
        <f>IFERROR(__xludf.DUMMYFUNCTION("""COMPUTED_VALUE"""),3.0)</f>
        <v>3</v>
      </c>
      <c r="AK244" s="387" t="str">
        <f>IFERROR(__xludf.DUMMYFUNCTION("""COMPUTED_VALUE"""),"効果時間")</f>
        <v>効果時間</v>
      </c>
      <c r="AL244" s="392">
        <f>IFERROR(__xludf.DUMMYFUNCTION("""COMPUTED_VALUE"""),465.0)</f>
        <v>465</v>
      </c>
      <c r="AM244" s="414">
        <f>IFERROR(__xludf.DUMMYFUNCTION("""COMPUTED_VALUE"""),475.0)</f>
        <v>475</v>
      </c>
      <c r="AN244" s="415">
        <f>IFERROR(__xludf.DUMMYFUNCTION("""COMPUTED_VALUE"""),480.0)</f>
        <v>480</v>
      </c>
      <c r="AO244" s="393">
        <f>IFERROR(__xludf.DUMMYFUNCTION("""COMPUTED_VALUE"""),485.0)</f>
        <v>485</v>
      </c>
      <c r="AP244" s="393">
        <f>IFERROR(__xludf.DUMMYFUNCTION("""COMPUTED_VALUE"""),495.0)</f>
        <v>495</v>
      </c>
      <c r="AQ244" s="414">
        <f>IFERROR(__xludf.DUMMYFUNCTION("""COMPUTED_VALUE"""),520.0)</f>
        <v>520</v>
      </c>
      <c r="AR244" s="416">
        <f>IFERROR(__xludf.DUMMYFUNCTION("""COMPUTED_VALUE"""),555.0)</f>
        <v>555</v>
      </c>
      <c r="AS244" s="415">
        <f>IFERROR(__xludf.DUMMYFUNCTION("""COMPUTED_VALUE"""),570.0)</f>
        <v>570</v>
      </c>
      <c r="AT244" s="385" t="str">
        <f>IFERROR(__xludf.DUMMYFUNCTION("""COMPUTED_VALUE"""),"超持続型")</f>
        <v>超持続型</v>
      </c>
      <c r="AU244" s="386">
        <f>IFERROR(__xludf.DUMMYFUNCTION("""COMPUTED_VALUE"""),3.0)</f>
        <v>3</v>
      </c>
      <c r="AV244" s="387" t="str">
        <f>IFERROR(__xludf.DUMMYFUNCTION("""COMPUTED_VALUE"""),"効果時間")</f>
        <v>効果時間</v>
      </c>
      <c r="AW244" s="368" t="str">
        <f>IFERROR(__xludf.DUMMYFUNCTION("""COMPUTED_VALUE"""),"-")</f>
        <v>-</v>
      </c>
      <c r="AX244" s="368" t="str">
        <f>IFERROR(__xludf.DUMMYFUNCTION("""COMPUTED_VALUE"""),"-")</f>
        <v>-</v>
      </c>
      <c r="AY244" s="368" t="str">
        <f>IFERROR(__xludf.DUMMYFUNCTION("""COMPUTED_VALUE"""),"-")</f>
        <v>-</v>
      </c>
      <c r="AZ244" s="368" t="str">
        <f>IFERROR(__xludf.DUMMYFUNCTION("""COMPUTED_VALUE"""),"-")</f>
        <v>-</v>
      </c>
      <c r="BA244" s="368" t="str">
        <f>IFERROR(__xludf.DUMMYFUNCTION("""COMPUTED_VALUE"""),"-")</f>
        <v>-</v>
      </c>
      <c r="BB244" s="280">
        <f>IFERROR(__xludf.DUMMYFUNCTION("""COMPUTED_VALUE"""),635.0)</f>
        <v>635</v>
      </c>
      <c r="BC244" s="280">
        <f>IFERROR(__xludf.DUMMYFUNCTION("""COMPUTED_VALUE"""),705.0)</f>
        <v>705</v>
      </c>
      <c r="BD244" s="280">
        <f>IFERROR(__xludf.DUMMYFUNCTION("""COMPUTED_VALUE"""),720.0)</f>
        <v>720</v>
      </c>
      <c r="BE244" s="385" t="str">
        <f>IFERROR(__xludf.DUMMYFUNCTION("""COMPUTED_VALUE"""),"ハイブリッド型")</f>
        <v>ハイブリッド型</v>
      </c>
      <c r="BF244" s="386">
        <f>IFERROR(__xludf.DUMMYFUNCTION("""COMPUTED_VALUE"""),3.0)</f>
        <v>3</v>
      </c>
      <c r="BG244" s="387" t="str">
        <f>IFERROR(__xludf.DUMMYFUNCTION("""COMPUTED_VALUE"""),"効果時間")</f>
        <v>効果時間</v>
      </c>
      <c r="BH244" s="407">
        <f>IFERROR(__xludf.DUMMYFUNCTION("""COMPUTED_VALUE"""),220.0)</f>
        <v>220</v>
      </c>
      <c r="BI244" s="407">
        <f>IFERROR(__xludf.DUMMYFUNCTION("""COMPUTED_VALUE"""),235.0)</f>
        <v>235</v>
      </c>
      <c r="BJ244" s="407">
        <f>IFERROR(__xludf.DUMMYFUNCTION("""COMPUTED_VALUE"""),240.0)</f>
        <v>240</v>
      </c>
      <c r="BK244" s="408">
        <f>IFERROR(__xludf.DUMMYFUNCTION("""COMPUTED_VALUE"""),250.0)</f>
        <v>250</v>
      </c>
      <c r="BL244" s="407">
        <f>IFERROR(__xludf.DUMMYFUNCTION("""COMPUTED_VALUE"""),255.0)</f>
        <v>255</v>
      </c>
      <c r="BM244" s="408">
        <f>IFERROR(__xludf.DUMMYFUNCTION("""COMPUTED_VALUE"""),385.0)</f>
        <v>385</v>
      </c>
      <c r="BN244" s="407">
        <f>IFERROR(__xludf.DUMMYFUNCTION("""COMPUTED_VALUE"""),490.0)</f>
        <v>490</v>
      </c>
      <c r="BO244" s="408">
        <f>IFERROR(__xludf.DUMMYFUNCTION("""COMPUTED_VALUE"""),505.0)</f>
        <v>505</v>
      </c>
    </row>
    <row r="245">
      <c r="A245" s="435" t="str">
        <f>IFERROR(__xludf.DUMMYFUNCTION("""COMPUTED_VALUE"""),"攻撃力UP(青)")</f>
        <v>攻撃力UP(青)</v>
      </c>
      <c r="B245" s="385" t="str">
        <f>IFERROR(__xludf.DUMMYFUNCTION("""COMPUTED_VALUE"""),"超瞬間型")</f>
        <v>超瞬間型</v>
      </c>
      <c r="C245" s="399">
        <f>IFERROR(__xludf.DUMMYFUNCTION("""COMPUTED_VALUE"""),4.0)</f>
        <v>4</v>
      </c>
      <c r="D245" s="400" t="str">
        <f>IFERROR(__xludf.DUMMYFUNCTION("""COMPUTED_VALUE"""),"効果値")</f>
        <v>効果値</v>
      </c>
      <c r="E245" s="401" t="str">
        <f>IFERROR(__xludf.DUMMYFUNCTION("""COMPUTED_VALUE"""),"-")</f>
        <v>-</v>
      </c>
      <c r="F245" s="409" t="str">
        <f>IFERROR(__xludf.DUMMYFUNCTION("""COMPUTED_VALUE"""),"-")</f>
        <v>-</v>
      </c>
      <c r="G245" s="409" t="str">
        <f>IFERROR(__xludf.DUMMYFUNCTION("""COMPUTED_VALUE"""),"-")</f>
        <v>-</v>
      </c>
      <c r="H245" s="409" t="str">
        <f>IFERROR(__xludf.DUMMYFUNCTION("""COMPUTED_VALUE"""),"-")</f>
        <v>-</v>
      </c>
      <c r="I245" s="409" t="str">
        <f>IFERROR(__xludf.DUMMYFUNCTION("""COMPUTED_VALUE"""),"-")</f>
        <v>-</v>
      </c>
      <c r="J245" s="410">
        <f>IFERROR(__xludf.DUMMYFUNCTION("""COMPUTED_VALUE"""),59.0)</f>
        <v>59</v>
      </c>
      <c r="K245" s="410">
        <f>IFERROR(__xludf.DUMMYFUNCTION("""COMPUTED_VALUE"""),69.0)</f>
        <v>69</v>
      </c>
      <c r="L245" s="410">
        <f>IFERROR(__xludf.DUMMYFUNCTION("""COMPUTED_VALUE"""),74.0)</f>
        <v>74</v>
      </c>
      <c r="M245" s="385" t="str">
        <f>IFERROR(__xludf.DUMMYFUNCTION("""COMPUTED_VALUE"""),"瞬間型")</f>
        <v>瞬間型</v>
      </c>
      <c r="N245" s="399">
        <f>IFERROR(__xludf.DUMMYFUNCTION("""COMPUTED_VALUE"""),4.0)</f>
        <v>4</v>
      </c>
      <c r="O245" s="400" t="str">
        <f>IFERROR(__xludf.DUMMYFUNCTION("""COMPUTED_VALUE"""),"効果値")</f>
        <v>効果値</v>
      </c>
      <c r="P245" s="343">
        <f>IFERROR(__xludf.DUMMYFUNCTION("""COMPUTED_VALUE"""),23.0)</f>
        <v>23</v>
      </c>
      <c r="Q245" s="402">
        <f>IFERROR(__xludf.DUMMYFUNCTION("""COMPUTED_VALUE"""),23.0)</f>
        <v>23</v>
      </c>
      <c r="R245" s="343">
        <f>IFERROR(__xludf.DUMMYFUNCTION("""COMPUTED_VALUE"""),23.0)</f>
        <v>23</v>
      </c>
      <c r="S245" s="402">
        <f>IFERROR(__xludf.DUMMYFUNCTION("""COMPUTED_VALUE"""),23.0)</f>
        <v>23</v>
      </c>
      <c r="T245" s="343">
        <f>IFERROR(__xludf.DUMMYFUNCTION("""COMPUTED_VALUE"""),23.0)</f>
        <v>23</v>
      </c>
      <c r="U245" s="343">
        <f>IFERROR(__xludf.DUMMYFUNCTION("""COMPUTED_VALUE"""),29.0)</f>
        <v>29</v>
      </c>
      <c r="V245" s="343">
        <f>IFERROR(__xludf.DUMMYFUNCTION("""COMPUTED_VALUE"""),34.0)</f>
        <v>34</v>
      </c>
      <c r="W245" s="343">
        <f>IFERROR(__xludf.DUMMYFUNCTION("""COMPUTED_VALUE"""),39.0)</f>
        <v>39</v>
      </c>
      <c r="X245" s="385" t="str">
        <f>IFERROR(__xludf.DUMMYFUNCTION("""COMPUTED_VALUE"""),"安定型")</f>
        <v>安定型</v>
      </c>
      <c r="Y245" s="399">
        <f>IFERROR(__xludf.DUMMYFUNCTION("""COMPUTED_VALUE"""),4.0)</f>
        <v>4</v>
      </c>
      <c r="Z245" s="400" t="str">
        <f>IFERROR(__xludf.DUMMYFUNCTION("""COMPUTED_VALUE"""),"効果値")</f>
        <v>効果値</v>
      </c>
      <c r="AA245" s="343">
        <f>IFERROR(__xludf.DUMMYFUNCTION("""COMPUTED_VALUE"""),13.0)</f>
        <v>13</v>
      </c>
      <c r="AB245" s="402">
        <f>IFERROR(__xludf.DUMMYFUNCTION("""COMPUTED_VALUE"""),13.0)</f>
        <v>13</v>
      </c>
      <c r="AC245" s="343">
        <f>IFERROR(__xludf.DUMMYFUNCTION("""COMPUTED_VALUE"""),13.0)</f>
        <v>13</v>
      </c>
      <c r="AD245" s="402">
        <f>IFERROR(__xludf.DUMMYFUNCTION("""COMPUTED_VALUE"""),13.0)</f>
        <v>13</v>
      </c>
      <c r="AE245" s="343">
        <f>IFERROR(__xludf.DUMMYFUNCTION("""COMPUTED_VALUE"""),13.0)</f>
        <v>13</v>
      </c>
      <c r="AF245" s="343">
        <f>IFERROR(__xludf.DUMMYFUNCTION("""COMPUTED_VALUE"""),14.0)</f>
        <v>14</v>
      </c>
      <c r="AG245" s="343">
        <f>IFERROR(__xludf.DUMMYFUNCTION("""COMPUTED_VALUE"""),19.0)</f>
        <v>19</v>
      </c>
      <c r="AH245" s="343">
        <f>IFERROR(__xludf.DUMMYFUNCTION("""COMPUTED_VALUE"""),24.0)</f>
        <v>24</v>
      </c>
      <c r="AI245" s="385" t="str">
        <f>IFERROR(__xludf.DUMMYFUNCTION("""COMPUTED_VALUE"""),"持続型")</f>
        <v>持続型</v>
      </c>
      <c r="AJ245" s="399">
        <f>IFERROR(__xludf.DUMMYFUNCTION("""COMPUTED_VALUE"""),4.0)</f>
        <v>4</v>
      </c>
      <c r="AK245" s="400" t="str">
        <f>IFERROR(__xludf.DUMMYFUNCTION("""COMPUTED_VALUE"""),"効果値")</f>
        <v>効果値</v>
      </c>
      <c r="AL245" s="343">
        <f>IFERROR(__xludf.DUMMYFUNCTION("""COMPUTED_VALUE"""),8.0)</f>
        <v>8</v>
      </c>
      <c r="AM245" s="402">
        <f>IFERROR(__xludf.DUMMYFUNCTION("""COMPUTED_VALUE"""),8.0)</f>
        <v>8</v>
      </c>
      <c r="AN245" s="343">
        <f>IFERROR(__xludf.DUMMYFUNCTION("""COMPUTED_VALUE"""),8.0)</f>
        <v>8</v>
      </c>
      <c r="AO245" s="402">
        <f>IFERROR(__xludf.DUMMYFUNCTION("""COMPUTED_VALUE"""),8.0)</f>
        <v>8</v>
      </c>
      <c r="AP245" s="343">
        <f>IFERROR(__xludf.DUMMYFUNCTION("""COMPUTED_VALUE"""),8.0)</f>
        <v>8</v>
      </c>
      <c r="AQ245" s="343">
        <f>IFERROR(__xludf.DUMMYFUNCTION("""COMPUTED_VALUE"""),9.0)</f>
        <v>9</v>
      </c>
      <c r="AR245" s="343">
        <f>IFERROR(__xludf.DUMMYFUNCTION("""COMPUTED_VALUE"""),12.0)</f>
        <v>12</v>
      </c>
      <c r="AS245" s="343">
        <f>IFERROR(__xludf.DUMMYFUNCTION("""COMPUTED_VALUE"""),12.0)</f>
        <v>12</v>
      </c>
      <c r="AT245" s="385" t="str">
        <f>IFERROR(__xludf.DUMMYFUNCTION("""COMPUTED_VALUE"""),"超持続型")</f>
        <v>超持続型</v>
      </c>
      <c r="AU245" s="399">
        <f>IFERROR(__xludf.DUMMYFUNCTION("""COMPUTED_VALUE"""),4.0)</f>
        <v>4</v>
      </c>
      <c r="AV245" s="400" t="str">
        <f>IFERROR(__xludf.DUMMYFUNCTION("""COMPUTED_VALUE"""),"効果値")</f>
        <v>効果値</v>
      </c>
      <c r="AW245" s="403" t="str">
        <f>IFERROR(__xludf.DUMMYFUNCTION("""COMPUTED_VALUE"""),"-")</f>
        <v>-</v>
      </c>
      <c r="AX245" s="403" t="str">
        <f>IFERROR(__xludf.DUMMYFUNCTION("""COMPUTED_VALUE"""),"-")</f>
        <v>-</v>
      </c>
      <c r="AY245" s="403" t="str">
        <f>IFERROR(__xludf.DUMMYFUNCTION("""COMPUTED_VALUE"""),"-")</f>
        <v>-</v>
      </c>
      <c r="AZ245" s="403" t="str">
        <f>IFERROR(__xludf.DUMMYFUNCTION("""COMPUTED_VALUE"""),"-")</f>
        <v>-</v>
      </c>
      <c r="BA245" s="403" t="str">
        <f>IFERROR(__xludf.DUMMYFUNCTION("""COMPUTED_VALUE"""),"-")</f>
        <v>-</v>
      </c>
      <c r="BB245" s="343">
        <f>IFERROR(__xludf.DUMMYFUNCTION("""COMPUTED_VALUE"""),9.0)</f>
        <v>9</v>
      </c>
      <c r="BC245" s="343">
        <f>IFERROR(__xludf.DUMMYFUNCTION("""COMPUTED_VALUE"""),12.0)</f>
        <v>12</v>
      </c>
      <c r="BD245" s="343">
        <f>IFERROR(__xludf.DUMMYFUNCTION("""COMPUTED_VALUE"""),12.0)</f>
        <v>12</v>
      </c>
      <c r="BE245" s="385" t="str">
        <f>IFERROR(__xludf.DUMMYFUNCTION("""COMPUTED_VALUE"""),"ハイブリッド型")</f>
        <v>ハイブリッド型</v>
      </c>
      <c r="BF245" s="399">
        <f>IFERROR(__xludf.DUMMYFUNCTION("""COMPUTED_VALUE"""),4.0)</f>
        <v>4</v>
      </c>
      <c r="BG245" s="400" t="str">
        <f>IFERROR(__xludf.DUMMYFUNCTION("""COMPUTED_VALUE"""),"効果値")</f>
        <v>効果値</v>
      </c>
      <c r="BH245" s="411">
        <f>IFERROR(__xludf.DUMMYFUNCTION("""COMPUTED_VALUE"""),11.8)</f>
        <v>11.8</v>
      </c>
      <c r="BI245" s="412">
        <f>IFERROR(__xludf.DUMMYFUNCTION("""COMPUTED_VALUE"""),12.4)</f>
        <v>12.4</v>
      </c>
      <c r="BJ245" s="412">
        <f>IFERROR(__xludf.DUMMYFUNCTION("""COMPUTED_VALUE"""),13.1)</f>
        <v>13.1</v>
      </c>
      <c r="BK245" s="412">
        <f>IFERROR(__xludf.DUMMYFUNCTION("""COMPUTED_VALUE"""),13.7)</f>
        <v>13.7</v>
      </c>
      <c r="BL245" s="412">
        <f>IFERROR(__xludf.DUMMYFUNCTION("""COMPUTED_VALUE"""),14.4)</f>
        <v>14.4</v>
      </c>
      <c r="BM245" s="412">
        <f>IFERROR(__xludf.DUMMYFUNCTION("""COMPUTED_VALUE"""),19.4)</f>
        <v>19.4</v>
      </c>
      <c r="BN245" s="412">
        <f>IFERROR(__xludf.DUMMYFUNCTION("""COMPUTED_VALUE"""),24.0)</f>
        <v>24</v>
      </c>
      <c r="BO245" s="413">
        <f>IFERROR(__xludf.DUMMYFUNCTION("""COMPUTED_VALUE"""),29.0)</f>
        <v>29</v>
      </c>
    </row>
    <row r="246">
      <c r="A246" s="435" t="str">
        <f>IFERROR(__xludf.DUMMYFUNCTION("""COMPUTED_VALUE"""),"攻撃力UP(青)")</f>
        <v>攻撃力UP(青)</v>
      </c>
      <c r="B246" s="385" t="str">
        <f>IFERROR(__xludf.DUMMYFUNCTION("""COMPUTED_VALUE"""),"超瞬間型")</f>
        <v>超瞬間型</v>
      </c>
      <c r="C246" s="386">
        <f>IFERROR(__xludf.DUMMYFUNCTION("""COMPUTED_VALUE"""),4.0)</f>
        <v>4</v>
      </c>
      <c r="D246" s="387" t="str">
        <f>IFERROR(__xludf.DUMMYFUNCTION("""COMPUTED_VALUE"""),"効果時間")</f>
        <v>効果時間</v>
      </c>
      <c r="E246" s="388" t="str">
        <f>IFERROR(__xludf.DUMMYFUNCTION("""COMPUTED_VALUE"""),"-")</f>
        <v>-</v>
      </c>
      <c r="F246" s="389" t="str">
        <f>IFERROR(__xludf.DUMMYFUNCTION("""COMPUTED_VALUE"""),"-")</f>
        <v>-</v>
      </c>
      <c r="G246" s="388" t="str">
        <f>IFERROR(__xludf.DUMMYFUNCTION("""COMPUTED_VALUE"""),"-")</f>
        <v>-</v>
      </c>
      <c r="H246" s="389" t="str">
        <f>IFERROR(__xludf.DUMMYFUNCTION("""COMPUTED_VALUE"""),"-")</f>
        <v>-</v>
      </c>
      <c r="I246" s="388" t="str">
        <f>IFERROR(__xludf.DUMMYFUNCTION("""COMPUTED_VALUE"""),"-")</f>
        <v>-</v>
      </c>
      <c r="J246" s="390">
        <f>IFERROR(__xludf.DUMMYFUNCTION("""COMPUTED_VALUE"""),155.0)</f>
        <v>155</v>
      </c>
      <c r="K246" s="391">
        <f>IFERROR(__xludf.DUMMYFUNCTION("""COMPUTED_VALUE"""),170.0)</f>
        <v>170</v>
      </c>
      <c r="L246" s="340">
        <f>IFERROR(__xludf.DUMMYFUNCTION("""COMPUTED_VALUE"""),195.0)</f>
        <v>195</v>
      </c>
      <c r="M246" s="385" t="str">
        <f>IFERROR(__xludf.DUMMYFUNCTION("""COMPUTED_VALUE"""),"瞬間型")</f>
        <v>瞬間型</v>
      </c>
      <c r="N246" s="386">
        <f>IFERROR(__xludf.DUMMYFUNCTION("""COMPUTED_VALUE"""),4.0)</f>
        <v>4</v>
      </c>
      <c r="O246" s="387" t="str">
        <f>IFERROR(__xludf.DUMMYFUNCTION("""COMPUTED_VALUE"""),"効果時間")</f>
        <v>効果時間</v>
      </c>
      <c r="P246" s="280">
        <f>IFERROR(__xludf.DUMMYFUNCTION("""COMPUTED_VALUE"""),170.0)</f>
        <v>170</v>
      </c>
      <c r="Q246" s="275">
        <f>IFERROR(__xludf.DUMMYFUNCTION("""COMPUTED_VALUE"""),180.0)</f>
        <v>180</v>
      </c>
      <c r="R246" s="280">
        <f>IFERROR(__xludf.DUMMYFUNCTION("""COMPUTED_VALUE"""),185.0)</f>
        <v>185</v>
      </c>
      <c r="S246" s="275">
        <f>IFERROR(__xludf.DUMMYFUNCTION("""COMPUTED_VALUE"""),195.0)</f>
        <v>195</v>
      </c>
      <c r="T246" s="280">
        <f>IFERROR(__xludf.DUMMYFUNCTION("""COMPUTED_VALUE"""),200.0)</f>
        <v>200</v>
      </c>
      <c r="U246" s="280">
        <f>IFERROR(__xludf.DUMMYFUNCTION("""COMPUTED_VALUE"""),215.0)</f>
        <v>215</v>
      </c>
      <c r="V246" s="280">
        <f>IFERROR(__xludf.DUMMYFUNCTION("""COMPUTED_VALUE"""),285.0)</f>
        <v>285</v>
      </c>
      <c r="W246" s="280">
        <f>IFERROR(__xludf.DUMMYFUNCTION("""COMPUTED_VALUE"""),305.0)</f>
        <v>305</v>
      </c>
      <c r="X246" s="385" t="str">
        <f>IFERROR(__xludf.DUMMYFUNCTION("""COMPUTED_VALUE"""),"安定型")</f>
        <v>安定型</v>
      </c>
      <c r="Y246" s="386">
        <f>IFERROR(__xludf.DUMMYFUNCTION("""COMPUTED_VALUE"""),4.0)</f>
        <v>4</v>
      </c>
      <c r="Z246" s="387" t="str">
        <f>IFERROR(__xludf.DUMMYFUNCTION("""COMPUTED_VALUE"""),"効果時間")</f>
        <v>効果時間</v>
      </c>
      <c r="AA246" s="280">
        <f>IFERROR(__xludf.DUMMYFUNCTION("""COMPUTED_VALUE"""),320.0)</f>
        <v>320</v>
      </c>
      <c r="AB246" s="275">
        <f>IFERROR(__xludf.DUMMYFUNCTION("""COMPUTED_VALUE"""),330.0)</f>
        <v>330</v>
      </c>
      <c r="AC246" s="280">
        <f>IFERROR(__xludf.DUMMYFUNCTION("""COMPUTED_VALUE"""),335.0)</f>
        <v>335</v>
      </c>
      <c r="AD246" s="275">
        <f>IFERROR(__xludf.DUMMYFUNCTION("""COMPUTED_VALUE"""),345.0)</f>
        <v>345</v>
      </c>
      <c r="AE246" s="280">
        <f>IFERROR(__xludf.DUMMYFUNCTION("""COMPUTED_VALUE"""),350.0)</f>
        <v>350</v>
      </c>
      <c r="AF246" s="280">
        <f>IFERROR(__xludf.DUMMYFUNCTION("""COMPUTED_VALUE"""),390.0)</f>
        <v>390</v>
      </c>
      <c r="AG246" s="280">
        <f>IFERROR(__xludf.DUMMYFUNCTION("""COMPUTED_VALUE"""),435.0)</f>
        <v>435</v>
      </c>
      <c r="AH246" s="280">
        <f>IFERROR(__xludf.DUMMYFUNCTION("""COMPUTED_VALUE"""),455.0)</f>
        <v>455</v>
      </c>
      <c r="AI246" s="385" t="str">
        <f>IFERROR(__xludf.DUMMYFUNCTION("""COMPUTED_VALUE"""),"持続型")</f>
        <v>持続型</v>
      </c>
      <c r="AJ246" s="386">
        <f>IFERROR(__xludf.DUMMYFUNCTION("""COMPUTED_VALUE"""),4.0)</f>
        <v>4</v>
      </c>
      <c r="AK246" s="387" t="str">
        <f>IFERROR(__xludf.DUMMYFUNCTION("""COMPUTED_VALUE"""),"効果時間")</f>
        <v>効果時間</v>
      </c>
      <c r="AL246" s="280">
        <f>IFERROR(__xludf.DUMMYFUNCTION("""COMPUTED_VALUE"""),470.0)</f>
        <v>470</v>
      </c>
      <c r="AM246" s="275">
        <f>IFERROR(__xludf.DUMMYFUNCTION("""COMPUTED_VALUE"""),480.0)</f>
        <v>480</v>
      </c>
      <c r="AN246" s="280">
        <f>IFERROR(__xludf.DUMMYFUNCTION("""COMPUTED_VALUE"""),485.0)</f>
        <v>485</v>
      </c>
      <c r="AO246" s="275">
        <f>IFERROR(__xludf.DUMMYFUNCTION("""COMPUTED_VALUE"""),495.0)</f>
        <v>495</v>
      </c>
      <c r="AP246" s="280">
        <f>IFERROR(__xludf.DUMMYFUNCTION("""COMPUTED_VALUE"""),500.0)</f>
        <v>500</v>
      </c>
      <c r="AQ246" s="280">
        <f>IFERROR(__xludf.DUMMYFUNCTION("""COMPUTED_VALUE"""),540.0)</f>
        <v>540</v>
      </c>
      <c r="AR246" s="280">
        <f>IFERROR(__xludf.DUMMYFUNCTION("""COMPUTED_VALUE"""),585.0)</f>
        <v>585</v>
      </c>
      <c r="AS246" s="280">
        <f>IFERROR(__xludf.DUMMYFUNCTION("""COMPUTED_VALUE"""),605.0)</f>
        <v>605</v>
      </c>
      <c r="AT246" s="385" t="str">
        <f>IFERROR(__xludf.DUMMYFUNCTION("""COMPUTED_VALUE"""),"超持続型")</f>
        <v>超持続型</v>
      </c>
      <c r="AU246" s="386">
        <f>IFERROR(__xludf.DUMMYFUNCTION("""COMPUTED_VALUE"""),4.0)</f>
        <v>4</v>
      </c>
      <c r="AV246" s="387" t="str">
        <f>IFERROR(__xludf.DUMMYFUNCTION("""COMPUTED_VALUE"""),"効果時間")</f>
        <v>効果時間</v>
      </c>
      <c r="AW246" s="368" t="str">
        <f>IFERROR(__xludf.DUMMYFUNCTION("""COMPUTED_VALUE"""),"-")</f>
        <v>-</v>
      </c>
      <c r="AX246" s="368" t="str">
        <f>IFERROR(__xludf.DUMMYFUNCTION("""COMPUTED_VALUE"""),"-")</f>
        <v>-</v>
      </c>
      <c r="AY246" s="368" t="str">
        <f>IFERROR(__xludf.DUMMYFUNCTION("""COMPUTED_VALUE"""),"-")</f>
        <v>-</v>
      </c>
      <c r="AZ246" s="368" t="str">
        <f>IFERROR(__xludf.DUMMYFUNCTION("""COMPUTED_VALUE"""),"-")</f>
        <v>-</v>
      </c>
      <c r="BA246" s="368" t="str">
        <f>IFERROR(__xludf.DUMMYFUNCTION("""COMPUTED_VALUE"""),"-")</f>
        <v>-</v>
      </c>
      <c r="BB246" s="280">
        <f>IFERROR(__xludf.DUMMYFUNCTION("""COMPUTED_VALUE"""),645.0)</f>
        <v>645</v>
      </c>
      <c r="BC246" s="280">
        <f>IFERROR(__xludf.DUMMYFUNCTION("""COMPUTED_VALUE"""),735.0)</f>
        <v>735</v>
      </c>
      <c r="BD246" s="280">
        <f>IFERROR(__xludf.DUMMYFUNCTION("""COMPUTED_VALUE"""),755.0)</f>
        <v>755</v>
      </c>
      <c r="BE246" s="385" t="str">
        <f>IFERROR(__xludf.DUMMYFUNCTION("""COMPUTED_VALUE"""),"ハイブリッド型")</f>
        <v>ハイブリッド型</v>
      </c>
      <c r="BF246" s="386">
        <f>IFERROR(__xludf.DUMMYFUNCTION("""COMPUTED_VALUE"""),4.0)</f>
        <v>4</v>
      </c>
      <c r="BG246" s="387" t="str">
        <f>IFERROR(__xludf.DUMMYFUNCTION("""COMPUTED_VALUE"""),"効果時間")</f>
        <v>効果時間</v>
      </c>
      <c r="BH246" s="417">
        <f>IFERROR(__xludf.DUMMYFUNCTION("""COMPUTED_VALUE"""),240.0)</f>
        <v>240</v>
      </c>
      <c r="BI246" s="417">
        <f>IFERROR(__xludf.DUMMYFUNCTION("""COMPUTED_VALUE"""),255.0)</f>
        <v>255</v>
      </c>
      <c r="BJ246" s="417">
        <f>IFERROR(__xludf.DUMMYFUNCTION("""COMPUTED_VALUE"""),265.0)</f>
        <v>265</v>
      </c>
      <c r="BK246" s="418">
        <f>IFERROR(__xludf.DUMMYFUNCTION("""COMPUTED_VALUE"""),275.0)</f>
        <v>275</v>
      </c>
      <c r="BL246" s="417">
        <f>IFERROR(__xludf.DUMMYFUNCTION("""COMPUTED_VALUE"""),285.0)</f>
        <v>285</v>
      </c>
      <c r="BM246" s="418">
        <f>IFERROR(__xludf.DUMMYFUNCTION("""COMPUTED_VALUE"""),395.0)</f>
        <v>395</v>
      </c>
      <c r="BN246" s="417">
        <f>IFERROR(__xludf.DUMMYFUNCTION("""COMPUTED_VALUE"""),500.0)</f>
        <v>500</v>
      </c>
      <c r="BO246" s="418">
        <f>IFERROR(__xludf.DUMMYFUNCTION("""COMPUTED_VALUE"""),520.0)</f>
        <v>520</v>
      </c>
    </row>
    <row r="247">
      <c r="A247" s="435" t="str">
        <f>IFERROR(__xludf.DUMMYFUNCTION("""COMPUTED_VALUE"""),"攻撃力UP(青)")</f>
        <v>攻撃力UP(青)</v>
      </c>
      <c r="B247" s="385" t="str">
        <f>IFERROR(__xludf.DUMMYFUNCTION("""COMPUTED_VALUE"""),"超瞬間型")</f>
        <v>超瞬間型</v>
      </c>
      <c r="C247" s="399">
        <f>IFERROR(__xludf.DUMMYFUNCTION("""COMPUTED_VALUE"""),5.0)</f>
        <v>5</v>
      </c>
      <c r="D247" s="400" t="str">
        <f>IFERROR(__xludf.DUMMYFUNCTION("""COMPUTED_VALUE"""),"効果値")</f>
        <v>効果値</v>
      </c>
      <c r="E247" s="419" t="str">
        <f>IFERROR(__xludf.DUMMYFUNCTION("""COMPUTED_VALUE"""),"-")</f>
        <v>-</v>
      </c>
      <c r="F247" s="409" t="str">
        <f>IFERROR(__xludf.DUMMYFUNCTION("""COMPUTED_VALUE"""),"-")</f>
        <v>-</v>
      </c>
      <c r="G247" s="409" t="str">
        <f>IFERROR(__xludf.DUMMYFUNCTION("""COMPUTED_VALUE"""),"-")</f>
        <v>-</v>
      </c>
      <c r="H247" s="409" t="str">
        <f>IFERROR(__xludf.DUMMYFUNCTION("""COMPUTED_VALUE"""),"-")</f>
        <v>-</v>
      </c>
      <c r="I247" s="409" t="str">
        <f>IFERROR(__xludf.DUMMYFUNCTION("""COMPUTED_VALUE"""),"-")</f>
        <v>-</v>
      </c>
      <c r="J247" s="420">
        <f>IFERROR(__xludf.DUMMYFUNCTION("""COMPUTED_VALUE"""),60.0)</f>
        <v>60</v>
      </c>
      <c r="K247" s="421">
        <f>IFERROR(__xludf.DUMMYFUNCTION("""COMPUTED_VALUE"""),70.0)</f>
        <v>70</v>
      </c>
      <c r="L247" s="421">
        <f>IFERROR(__xludf.DUMMYFUNCTION("""COMPUTED_VALUE"""),75.0)</f>
        <v>75</v>
      </c>
      <c r="M247" s="385" t="str">
        <f>IFERROR(__xludf.DUMMYFUNCTION("""COMPUTED_VALUE"""),"瞬間型")</f>
        <v>瞬間型</v>
      </c>
      <c r="N247" s="399">
        <f>IFERROR(__xludf.DUMMYFUNCTION("""COMPUTED_VALUE"""),5.0)</f>
        <v>5</v>
      </c>
      <c r="O247" s="400" t="str">
        <f>IFERROR(__xludf.DUMMYFUNCTION("""COMPUTED_VALUE"""),"効果値")</f>
        <v>効果値</v>
      </c>
      <c r="P247" s="422">
        <f>IFERROR(__xludf.DUMMYFUNCTION("""COMPUTED_VALUE"""),23.0)</f>
        <v>23</v>
      </c>
      <c r="Q247" s="423">
        <f>IFERROR(__xludf.DUMMYFUNCTION("""COMPUTED_VALUE"""),23.0)</f>
        <v>23</v>
      </c>
      <c r="R247" s="422">
        <f>IFERROR(__xludf.DUMMYFUNCTION("""COMPUTED_VALUE"""),24.0)</f>
        <v>24</v>
      </c>
      <c r="S247" s="423">
        <f>IFERROR(__xludf.DUMMYFUNCTION("""COMPUTED_VALUE"""),24.0)</f>
        <v>24</v>
      </c>
      <c r="T247" s="422">
        <f>IFERROR(__xludf.DUMMYFUNCTION("""COMPUTED_VALUE"""),24.0)</f>
        <v>24</v>
      </c>
      <c r="U247" s="423">
        <f>IFERROR(__xludf.DUMMYFUNCTION("""COMPUTED_VALUE"""),30.0)</f>
        <v>30</v>
      </c>
      <c r="V247" s="423">
        <f>IFERROR(__xludf.DUMMYFUNCTION("""COMPUTED_VALUE"""),35.0)</f>
        <v>35</v>
      </c>
      <c r="W247" s="424">
        <f>IFERROR(__xludf.DUMMYFUNCTION("""COMPUTED_VALUE"""),40.0)</f>
        <v>40</v>
      </c>
      <c r="X247" s="385" t="str">
        <f>IFERROR(__xludf.DUMMYFUNCTION("""COMPUTED_VALUE"""),"安定型")</f>
        <v>安定型</v>
      </c>
      <c r="Y247" s="399">
        <f>IFERROR(__xludf.DUMMYFUNCTION("""COMPUTED_VALUE"""),5.0)</f>
        <v>5</v>
      </c>
      <c r="Z247" s="400" t="str">
        <f>IFERROR(__xludf.DUMMYFUNCTION("""COMPUTED_VALUE"""),"効果値")</f>
        <v>効果値</v>
      </c>
      <c r="AA247" s="422">
        <f>IFERROR(__xludf.DUMMYFUNCTION("""COMPUTED_VALUE"""),13.0)</f>
        <v>13</v>
      </c>
      <c r="AB247" s="423">
        <f>IFERROR(__xludf.DUMMYFUNCTION("""COMPUTED_VALUE"""),13.0)</f>
        <v>13</v>
      </c>
      <c r="AC247" s="422">
        <f>IFERROR(__xludf.DUMMYFUNCTION("""COMPUTED_VALUE"""),14.0)</f>
        <v>14</v>
      </c>
      <c r="AD247" s="423">
        <f>IFERROR(__xludf.DUMMYFUNCTION("""COMPUTED_VALUE"""),14.0)</f>
        <v>14</v>
      </c>
      <c r="AE247" s="422">
        <f>IFERROR(__xludf.DUMMYFUNCTION("""COMPUTED_VALUE"""),14.0)</f>
        <v>14</v>
      </c>
      <c r="AF247" s="423">
        <f>IFERROR(__xludf.DUMMYFUNCTION("""COMPUTED_VALUE"""),15.0)</f>
        <v>15</v>
      </c>
      <c r="AG247" s="423">
        <f>IFERROR(__xludf.DUMMYFUNCTION("""COMPUTED_VALUE"""),20.0)</f>
        <v>20</v>
      </c>
      <c r="AH247" s="424">
        <f>IFERROR(__xludf.DUMMYFUNCTION("""COMPUTED_VALUE"""),25.0)</f>
        <v>25</v>
      </c>
      <c r="AI247" s="385" t="str">
        <f>IFERROR(__xludf.DUMMYFUNCTION("""COMPUTED_VALUE"""),"持続型")</f>
        <v>持続型</v>
      </c>
      <c r="AJ247" s="399">
        <f>IFERROR(__xludf.DUMMYFUNCTION("""COMPUTED_VALUE"""),5.0)</f>
        <v>5</v>
      </c>
      <c r="AK247" s="400" t="str">
        <f>IFERROR(__xludf.DUMMYFUNCTION("""COMPUTED_VALUE"""),"効果値")</f>
        <v>効果値</v>
      </c>
      <c r="AL247" s="422">
        <f>IFERROR(__xludf.DUMMYFUNCTION("""COMPUTED_VALUE"""),8.0)</f>
        <v>8</v>
      </c>
      <c r="AM247" s="423">
        <f>IFERROR(__xludf.DUMMYFUNCTION("""COMPUTED_VALUE"""),8.0)</f>
        <v>8</v>
      </c>
      <c r="AN247" s="422">
        <f>IFERROR(__xludf.DUMMYFUNCTION("""COMPUTED_VALUE"""),9.0)</f>
        <v>9</v>
      </c>
      <c r="AO247" s="423">
        <f>IFERROR(__xludf.DUMMYFUNCTION("""COMPUTED_VALUE"""),9.0)</f>
        <v>9</v>
      </c>
      <c r="AP247" s="422">
        <f>IFERROR(__xludf.DUMMYFUNCTION("""COMPUTED_VALUE"""),9.0)</f>
        <v>9</v>
      </c>
      <c r="AQ247" s="423">
        <f>IFERROR(__xludf.DUMMYFUNCTION("""COMPUTED_VALUE"""),10.0)</f>
        <v>10</v>
      </c>
      <c r="AR247" s="423">
        <f>IFERROR(__xludf.DUMMYFUNCTION("""COMPUTED_VALUE"""),12.0)</f>
        <v>12</v>
      </c>
      <c r="AS247" s="424">
        <f>IFERROR(__xludf.DUMMYFUNCTION("""COMPUTED_VALUE"""),12.0)</f>
        <v>12</v>
      </c>
      <c r="AT247" s="385" t="str">
        <f>IFERROR(__xludf.DUMMYFUNCTION("""COMPUTED_VALUE"""),"超持続型")</f>
        <v>超持続型</v>
      </c>
      <c r="AU247" s="399">
        <f>IFERROR(__xludf.DUMMYFUNCTION("""COMPUTED_VALUE"""),5.0)</f>
        <v>5</v>
      </c>
      <c r="AV247" s="400" t="str">
        <f>IFERROR(__xludf.DUMMYFUNCTION("""COMPUTED_VALUE"""),"効果値")</f>
        <v>効果値</v>
      </c>
      <c r="AW247" s="425" t="str">
        <f>IFERROR(__xludf.DUMMYFUNCTION("""COMPUTED_VALUE"""),"-")</f>
        <v>-</v>
      </c>
      <c r="AX247" s="426" t="str">
        <f>IFERROR(__xludf.DUMMYFUNCTION("""COMPUTED_VALUE"""),"-")</f>
        <v>-</v>
      </c>
      <c r="AY247" s="426" t="str">
        <f>IFERROR(__xludf.DUMMYFUNCTION("""COMPUTED_VALUE"""),"-")</f>
        <v>-</v>
      </c>
      <c r="AZ247" s="426" t="str">
        <f>IFERROR(__xludf.DUMMYFUNCTION("""COMPUTED_VALUE"""),"-")</f>
        <v>-</v>
      </c>
      <c r="BA247" s="426" t="str">
        <f>IFERROR(__xludf.DUMMYFUNCTION("""COMPUTED_VALUE"""),"-")</f>
        <v>-</v>
      </c>
      <c r="BB247" s="423">
        <f>IFERROR(__xludf.DUMMYFUNCTION("""COMPUTED_VALUE"""),10.0)</f>
        <v>10</v>
      </c>
      <c r="BC247" s="423">
        <f>IFERROR(__xludf.DUMMYFUNCTION("""COMPUTED_VALUE"""),12.0)</f>
        <v>12</v>
      </c>
      <c r="BD247" s="424">
        <f>IFERROR(__xludf.DUMMYFUNCTION("""COMPUTED_VALUE"""),12.0)</f>
        <v>12</v>
      </c>
      <c r="BE247" s="385" t="str">
        <f>IFERROR(__xludf.DUMMYFUNCTION("""COMPUTED_VALUE"""),"ハイブリッド型")</f>
        <v>ハイブリッド型</v>
      </c>
      <c r="BF247" s="399">
        <f>IFERROR(__xludf.DUMMYFUNCTION("""COMPUTED_VALUE"""),5.0)</f>
        <v>5</v>
      </c>
      <c r="BG247" s="400" t="str">
        <f>IFERROR(__xludf.DUMMYFUNCTION("""COMPUTED_VALUE"""),"効果値")</f>
        <v>効果値</v>
      </c>
      <c r="BH247" s="427">
        <f>IFERROR(__xludf.DUMMYFUNCTION("""COMPUTED_VALUE"""),12.0)</f>
        <v>12</v>
      </c>
      <c r="BI247" s="428">
        <f>IFERROR(__xludf.DUMMYFUNCTION("""COMPUTED_VALUE"""),12.75)</f>
        <v>12.75</v>
      </c>
      <c r="BJ247" s="428">
        <f>IFERROR(__xludf.DUMMYFUNCTION("""COMPUTED_VALUE"""),13.5)</f>
        <v>13.5</v>
      </c>
      <c r="BK247" s="428">
        <f>IFERROR(__xludf.DUMMYFUNCTION("""COMPUTED_VALUE"""),14.25)</f>
        <v>14.25</v>
      </c>
      <c r="BL247" s="427">
        <f>IFERROR(__xludf.DUMMYFUNCTION("""COMPUTED_VALUE"""),15.0)</f>
        <v>15</v>
      </c>
      <c r="BM247" s="427">
        <f>IFERROR(__xludf.DUMMYFUNCTION("""COMPUTED_VALUE"""),20.0)</f>
        <v>20</v>
      </c>
      <c r="BN247" s="427">
        <f>IFERROR(__xludf.DUMMYFUNCTION("""COMPUTED_VALUE"""),25.0)</f>
        <v>25</v>
      </c>
      <c r="BO247" s="429">
        <f>IFERROR(__xludf.DUMMYFUNCTION("""COMPUTED_VALUE"""),30.0)</f>
        <v>30</v>
      </c>
    </row>
    <row r="248">
      <c r="A248" s="435" t="str">
        <f>IFERROR(__xludf.DUMMYFUNCTION("""COMPUTED_VALUE"""),"攻撃力UP(青)")</f>
        <v>攻撃力UP(青)</v>
      </c>
      <c r="B248" s="385" t="str">
        <f>IFERROR(__xludf.DUMMYFUNCTION("""COMPUTED_VALUE"""),"超瞬間型")</f>
        <v>超瞬間型</v>
      </c>
      <c r="C248" s="430">
        <f>IFERROR(__xludf.DUMMYFUNCTION("""COMPUTED_VALUE"""),5.0)</f>
        <v>5</v>
      </c>
      <c r="D248" s="431" t="str">
        <f>IFERROR(__xludf.DUMMYFUNCTION("""COMPUTED_VALUE"""),"効果時間")</f>
        <v>効果時間</v>
      </c>
      <c r="E248" s="388" t="str">
        <f>IFERROR(__xludf.DUMMYFUNCTION("""COMPUTED_VALUE"""),"-")</f>
        <v>-</v>
      </c>
      <c r="F248" s="389" t="str">
        <f>IFERROR(__xludf.DUMMYFUNCTION("""COMPUTED_VALUE"""),"-")</f>
        <v>-</v>
      </c>
      <c r="G248" s="388" t="str">
        <f>IFERROR(__xludf.DUMMYFUNCTION("""COMPUTED_VALUE"""),"-")</f>
        <v>-</v>
      </c>
      <c r="H248" s="389" t="str">
        <f>IFERROR(__xludf.DUMMYFUNCTION("""COMPUTED_VALUE"""),"-")</f>
        <v>-</v>
      </c>
      <c r="I248" s="388" t="str">
        <f>IFERROR(__xludf.DUMMYFUNCTION("""COMPUTED_VALUE"""),"-")</f>
        <v>-</v>
      </c>
      <c r="J248" s="390">
        <f>IFERROR(__xludf.DUMMYFUNCTION("""COMPUTED_VALUE"""),160.0)</f>
        <v>160</v>
      </c>
      <c r="K248" s="391">
        <f>IFERROR(__xludf.DUMMYFUNCTION("""COMPUTED_VALUE"""),175.0)</f>
        <v>175</v>
      </c>
      <c r="L248" s="340">
        <f>IFERROR(__xludf.DUMMYFUNCTION("""COMPUTED_VALUE"""),200.0)</f>
        <v>200</v>
      </c>
      <c r="M248" s="385" t="str">
        <f>IFERROR(__xludf.DUMMYFUNCTION("""COMPUTED_VALUE"""),"瞬間型")</f>
        <v>瞬間型</v>
      </c>
      <c r="N248" s="430">
        <f>IFERROR(__xludf.DUMMYFUNCTION("""COMPUTED_VALUE"""),5.0)</f>
        <v>5</v>
      </c>
      <c r="O248" s="431" t="str">
        <f>IFERROR(__xludf.DUMMYFUNCTION("""COMPUTED_VALUE"""),"効果時間")</f>
        <v>効果時間</v>
      </c>
      <c r="P248" s="392">
        <f>IFERROR(__xludf.DUMMYFUNCTION("""COMPUTED_VALUE"""),175.0)</f>
        <v>175</v>
      </c>
      <c r="Q248" s="414">
        <f>IFERROR(__xludf.DUMMYFUNCTION("""COMPUTED_VALUE"""),185.0)</f>
        <v>185</v>
      </c>
      <c r="R248" s="414">
        <f>IFERROR(__xludf.DUMMYFUNCTION("""COMPUTED_VALUE"""),190.0)</f>
        <v>190</v>
      </c>
      <c r="S248" s="414">
        <f>IFERROR(__xludf.DUMMYFUNCTION("""COMPUTED_VALUE"""),195.0)</f>
        <v>195</v>
      </c>
      <c r="T248" s="394">
        <f>IFERROR(__xludf.DUMMYFUNCTION("""COMPUTED_VALUE"""),200.0)</f>
        <v>200</v>
      </c>
      <c r="U248" s="394">
        <f>IFERROR(__xludf.DUMMYFUNCTION("""COMPUTED_VALUE"""),225.0)</f>
        <v>225</v>
      </c>
      <c r="V248" s="394">
        <f>IFERROR(__xludf.DUMMYFUNCTION("""COMPUTED_VALUE"""),300.0)</f>
        <v>300</v>
      </c>
      <c r="W248" s="394">
        <f>IFERROR(__xludf.DUMMYFUNCTION("""COMPUTED_VALUE"""),325.0)</f>
        <v>325</v>
      </c>
      <c r="X248" s="385" t="str">
        <f>IFERROR(__xludf.DUMMYFUNCTION("""COMPUTED_VALUE"""),"安定型")</f>
        <v>安定型</v>
      </c>
      <c r="Y248" s="430">
        <f>IFERROR(__xludf.DUMMYFUNCTION("""COMPUTED_VALUE"""),5.0)</f>
        <v>5</v>
      </c>
      <c r="Z248" s="431" t="str">
        <f>IFERROR(__xludf.DUMMYFUNCTION("""COMPUTED_VALUE"""),"効果時間")</f>
        <v>効果時間</v>
      </c>
      <c r="AA248" s="392">
        <f>IFERROR(__xludf.DUMMYFUNCTION("""COMPUTED_VALUE"""),325.0)</f>
        <v>325</v>
      </c>
      <c r="AB248" s="414">
        <f>IFERROR(__xludf.DUMMYFUNCTION("""COMPUTED_VALUE"""),335.0)</f>
        <v>335</v>
      </c>
      <c r="AC248" s="414">
        <f>IFERROR(__xludf.DUMMYFUNCTION("""COMPUTED_VALUE"""),340.0)</f>
        <v>340</v>
      </c>
      <c r="AD248" s="414">
        <f>IFERROR(__xludf.DUMMYFUNCTION("""COMPUTED_VALUE"""),345.0)</f>
        <v>345</v>
      </c>
      <c r="AE248" s="394">
        <f>IFERROR(__xludf.DUMMYFUNCTION("""COMPUTED_VALUE"""),350.0)</f>
        <v>350</v>
      </c>
      <c r="AF248" s="394">
        <f>IFERROR(__xludf.DUMMYFUNCTION("""COMPUTED_VALUE"""),400.0)</f>
        <v>400</v>
      </c>
      <c r="AG248" s="394">
        <f>IFERROR(__xludf.DUMMYFUNCTION("""COMPUTED_VALUE"""),450.0)</f>
        <v>450</v>
      </c>
      <c r="AH248" s="394">
        <f>IFERROR(__xludf.DUMMYFUNCTION("""COMPUTED_VALUE"""),475.0)</f>
        <v>475</v>
      </c>
      <c r="AI248" s="385" t="str">
        <f>IFERROR(__xludf.DUMMYFUNCTION("""COMPUTED_VALUE"""),"持続型")</f>
        <v>持続型</v>
      </c>
      <c r="AJ248" s="430">
        <f>IFERROR(__xludf.DUMMYFUNCTION("""COMPUTED_VALUE"""),5.0)</f>
        <v>5</v>
      </c>
      <c r="AK248" s="431" t="str">
        <f>IFERROR(__xludf.DUMMYFUNCTION("""COMPUTED_VALUE"""),"効果時間")</f>
        <v>効果時間</v>
      </c>
      <c r="AL248" s="392">
        <f>IFERROR(__xludf.DUMMYFUNCTION("""COMPUTED_VALUE"""),475.0)</f>
        <v>475</v>
      </c>
      <c r="AM248" s="414">
        <f>IFERROR(__xludf.DUMMYFUNCTION("""COMPUTED_VALUE"""),485.0)</f>
        <v>485</v>
      </c>
      <c r="AN248" s="414">
        <f>IFERROR(__xludf.DUMMYFUNCTION("""COMPUTED_VALUE"""),490.0)</f>
        <v>490</v>
      </c>
      <c r="AO248" s="414">
        <f>IFERROR(__xludf.DUMMYFUNCTION("""COMPUTED_VALUE"""),495.0)</f>
        <v>495</v>
      </c>
      <c r="AP248" s="394">
        <f>IFERROR(__xludf.DUMMYFUNCTION("""COMPUTED_VALUE"""),500.0)</f>
        <v>500</v>
      </c>
      <c r="AQ248" s="394">
        <f>IFERROR(__xludf.DUMMYFUNCTION("""COMPUTED_VALUE"""),550.0)</f>
        <v>550</v>
      </c>
      <c r="AR248" s="394">
        <f>IFERROR(__xludf.DUMMYFUNCTION("""COMPUTED_VALUE"""),600.0)</f>
        <v>600</v>
      </c>
      <c r="AS248" s="394">
        <f>IFERROR(__xludf.DUMMYFUNCTION("""COMPUTED_VALUE"""),625.0)</f>
        <v>625</v>
      </c>
      <c r="AT248" s="385" t="str">
        <f>IFERROR(__xludf.DUMMYFUNCTION("""COMPUTED_VALUE"""),"超持続型")</f>
        <v>超持続型</v>
      </c>
      <c r="AU248" s="430">
        <f>IFERROR(__xludf.DUMMYFUNCTION("""COMPUTED_VALUE"""),5.0)</f>
        <v>5</v>
      </c>
      <c r="AV248" s="431" t="str">
        <f>IFERROR(__xludf.DUMMYFUNCTION("""COMPUTED_VALUE"""),"効果時間")</f>
        <v>効果時間</v>
      </c>
      <c r="AW248" s="395" t="str">
        <f>IFERROR(__xludf.DUMMYFUNCTION("""COMPUTED_VALUE"""),"-")</f>
        <v>-</v>
      </c>
      <c r="AX248" s="396" t="str">
        <f>IFERROR(__xludf.DUMMYFUNCTION("""COMPUTED_VALUE"""),"-")</f>
        <v>-</v>
      </c>
      <c r="AY248" s="396" t="str">
        <f>IFERROR(__xludf.DUMMYFUNCTION("""COMPUTED_VALUE"""),"-")</f>
        <v>-</v>
      </c>
      <c r="AZ248" s="396" t="str">
        <f>IFERROR(__xludf.DUMMYFUNCTION("""COMPUTED_VALUE"""),"-")</f>
        <v>-</v>
      </c>
      <c r="BA248" s="396" t="str">
        <f>IFERROR(__xludf.DUMMYFUNCTION("""COMPUTED_VALUE"""),"-")</f>
        <v>-</v>
      </c>
      <c r="BB248" s="393">
        <f>IFERROR(__xludf.DUMMYFUNCTION("""COMPUTED_VALUE"""),650.0)</f>
        <v>650</v>
      </c>
      <c r="BC248" s="393">
        <f>IFERROR(__xludf.DUMMYFUNCTION("""COMPUTED_VALUE"""),750.0)</f>
        <v>750</v>
      </c>
      <c r="BD248" s="394">
        <f>IFERROR(__xludf.DUMMYFUNCTION("""COMPUTED_VALUE"""),775.0)</f>
        <v>775</v>
      </c>
      <c r="BE248" s="385" t="str">
        <f>IFERROR(__xludf.DUMMYFUNCTION("""COMPUTED_VALUE"""),"ハイブリッド型")</f>
        <v>ハイブリッド型</v>
      </c>
      <c r="BF248" s="430">
        <f>IFERROR(__xludf.DUMMYFUNCTION("""COMPUTED_VALUE"""),5.0)</f>
        <v>5</v>
      </c>
      <c r="BG248" s="431" t="str">
        <f>IFERROR(__xludf.DUMMYFUNCTION("""COMPUTED_VALUE"""),"効果時間")</f>
        <v>効果時間</v>
      </c>
      <c r="BH248" s="304">
        <f>IFERROR(__xludf.DUMMYFUNCTION("""COMPUTED_VALUE"""),250.0)</f>
        <v>250</v>
      </c>
      <c r="BI248" s="432">
        <f>IFERROR(__xludf.DUMMYFUNCTION("""COMPUTED_VALUE"""),265.0)</f>
        <v>265</v>
      </c>
      <c r="BJ248" s="432">
        <f>IFERROR(__xludf.DUMMYFUNCTION("""COMPUTED_VALUE"""),275.0)</f>
        <v>275</v>
      </c>
      <c r="BK248" s="432">
        <f>IFERROR(__xludf.DUMMYFUNCTION("""COMPUTED_VALUE"""),290.0)</f>
        <v>290</v>
      </c>
      <c r="BL248" s="304">
        <f>IFERROR(__xludf.DUMMYFUNCTION("""COMPUTED_VALUE"""),300.0)</f>
        <v>300</v>
      </c>
      <c r="BM248" s="304">
        <f>IFERROR(__xludf.DUMMYFUNCTION("""COMPUTED_VALUE"""),400.0)</f>
        <v>400</v>
      </c>
      <c r="BN248" s="304">
        <f>IFERROR(__xludf.DUMMYFUNCTION("""COMPUTED_VALUE"""),500.0)</f>
        <v>500</v>
      </c>
      <c r="BO248" s="304">
        <f>IFERROR(__xludf.DUMMYFUNCTION("""COMPUTED_VALUE"""),525.0)</f>
        <v>525</v>
      </c>
    </row>
    <row r="249">
      <c r="A249" s="433" t="str">
        <f>IFERROR(__xludf.DUMMYFUNCTION("""COMPUTED_VALUE"""),"攻撃力UP(緑)")</f>
        <v>攻撃力UP(緑)</v>
      </c>
      <c r="B249" s="374" t="str">
        <f>IFERROR(__xludf.DUMMYFUNCTION("""COMPUTED_VALUE"""),"超瞬間型")</f>
        <v>超瞬間型</v>
      </c>
      <c r="C249" s="375">
        <f>IFERROR(__xludf.DUMMYFUNCTION("""COMPUTED_VALUE"""),1.0)</f>
        <v>1</v>
      </c>
      <c r="D249" s="376" t="str">
        <f>IFERROR(__xludf.DUMMYFUNCTION("""COMPUTED_VALUE"""),"効果値")</f>
        <v>効果値</v>
      </c>
      <c r="E249" s="377" t="str">
        <f>IFERROR(__xludf.DUMMYFUNCTION("""COMPUTED_VALUE"""),"-")</f>
        <v>-</v>
      </c>
      <c r="F249" s="378" t="str">
        <f>IFERROR(__xludf.DUMMYFUNCTION("""COMPUTED_VALUE"""),"-")</f>
        <v>-</v>
      </c>
      <c r="G249" s="377" t="str">
        <f>IFERROR(__xludf.DUMMYFUNCTION("""COMPUTED_VALUE"""),"-")</f>
        <v>-</v>
      </c>
      <c r="H249" s="378" t="str">
        <f>IFERROR(__xludf.DUMMYFUNCTION("""COMPUTED_VALUE"""),"-")</f>
        <v>-</v>
      </c>
      <c r="I249" s="377" t="str">
        <f>IFERROR(__xludf.DUMMYFUNCTION("""COMPUTED_VALUE"""),"-")</f>
        <v>-</v>
      </c>
      <c r="J249" s="379">
        <f>IFERROR(__xludf.DUMMYFUNCTION("""COMPUTED_VALUE"""),55.0)</f>
        <v>55</v>
      </c>
      <c r="K249" s="294">
        <f>IFERROR(__xludf.DUMMYFUNCTION("""COMPUTED_VALUE"""),65.0)</f>
        <v>65</v>
      </c>
      <c r="L249" s="294">
        <f>IFERROR(__xludf.DUMMYFUNCTION("""COMPUTED_VALUE"""),65.0)</f>
        <v>65</v>
      </c>
      <c r="M249" s="374" t="str">
        <f>IFERROR(__xludf.DUMMYFUNCTION("""COMPUTED_VALUE"""),"瞬間型")</f>
        <v>瞬間型</v>
      </c>
      <c r="N249" s="375">
        <f>IFERROR(__xludf.DUMMYFUNCTION("""COMPUTED_VALUE"""),1.0)</f>
        <v>1</v>
      </c>
      <c r="O249" s="376" t="str">
        <f>IFERROR(__xludf.DUMMYFUNCTION("""COMPUTED_VALUE"""),"効果値")</f>
        <v>効果値</v>
      </c>
      <c r="P249" s="380">
        <f>IFERROR(__xludf.DUMMYFUNCTION("""COMPUTED_VALUE"""),20.0)</f>
        <v>20</v>
      </c>
      <c r="Q249" s="263">
        <f>IFERROR(__xludf.DUMMYFUNCTION("""COMPUTED_VALUE"""),20.0)</f>
        <v>20</v>
      </c>
      <c r="R249" s="263">
        <f>IFERROR(__xludf.DUMMYFUNCTION("""COMPUTED_VALUE"""),20.0)</f>
        <v>20</v>
      </c>
      <c r="S249" s="263">
        <f>IFERROR(__xludf.DUMMYFUNCTION("""COMPUTED_VALUE"""),20.0)</f>
        <v>20</v>
      </c>
      <c r="T249" s="263">
        <f>IFERROR(__xludf.DUMMYFUNCTION("""COMPUTED_VALUE"""),20.0)</f>
        <v>20</v>
      </c>
      <c r="U249" s="263">
        <f>IFERROR(__xludf.DUMMYFUNCTION("""COMPUTED_VALUE"""),25.0)</f>
        <v>25</v>
      </c>
      <c r="V249" s="266">
        <f>IFERROR(__xludf.DUMMYFUNCTION("""COMPUTED_VALUE"""),30.0)</f>
        <v>30</v>
      </c>
      <c r="W249" s="266">
        <f>IFERROR(__xludf.DUMMYFUNCTION("""COMPUTED_VALUE"""),30.0)</f>
        <v>30</v>
      </c>
      <c r="X249" s="374" t="str">
        <f>IFERROR(__xludf.DUMMYFUNCTION("""COMPUTED_VALUE"""),"安定型")</f>
        <v>安定型</v>
      </c>
      <c r="Y249" s="375">
        <f>IFERROR(__xludf.DUMMYFUNCTION("""COMPUTED_VALUE"""),1.0)</f>
        <v>1</v>
      </c>
      <c r="Z249" s="376" t="str">
        <f>IFERROR(__xludf.DUMMYFUNCTION("""COMPUTED_VALUE"""),"効果値")</f>
        <v>効果値</v>
      </c>
      <c r="AA249" s="380">
        <f>IFERROR(__xludf.DUMMYFUNCTION("""COMPUTED_VALUE"""),10.0)</f>
        <v>10</v>
      </c>
      <c r="AB249" s="263">
        <f>IFERROR(__xludf.DUMMYFUNCTION("""COMPUTED_VALUE"""),10.0)</f>
        <v>10</v>
      </c>
      <c r="AC249" s="263">
        <f>IFERROR(__xludf.DUMMYFUNCTION("""COMPUTED_VALUE"""),10.0)</f>
        <v>10</v>
      </c>
      <c r="AD249" s="263">
        <f>IFERROR(__xludf.DUMMYFUNCTION("""COMPUTED_VALUE"""),10.0)</f>
        <v>10</v>
      </c>
      <c r="AE249" s="263">
        <f>IFERROR(__xludf.DUMMYFUNCTION("""COMPUTED_VALUE"""),10.0)</f>
        <v>10</v>
      </c>
      <c r="AF249" s="263">
        <f>IFERROR(__xludf.DUMMYFUNCTION("""COMPUTED_VALUE"""),10.0)</f>
        <v>10</v>
      </c>
      <c r="AG249" s="266">
        <f>IFERROR(__xludf.DUMMYFUNCTION("""COMPUTED_VALUE"""),15.0)</f>
        <v>15</v>
      </c>
      <c r="AH249" s="266">
        <f>IFERROR(__xludf.DUMMYFUNCTION("""COMPUTED_VALUE"""),15.0)</f>
        <v>15</v>
      </c>
      <c r="AI249" s="374" t="str">
        <f>IFERROR(__xludf.DUMMYFUNCTION("""COMPUTED_VALUE"""),"持続型")</f>
        <v>持続型</v>
      </c>
      <c r="AJ249" s="375">
        <f>IFERROR(__xludf.DUMMYFUNCTION("""COMPUTED_VALUE"""),1.0)</f>
        <v>1</v>
      </c>
      <c r="AK249" s="376" t="str">
        <f>IFERROR(__xludf.DUMMYFUNCTION("""COMPUTED_VALUE"""),"効果値")</f>
        <v>効果値</v>
      </c>
      <c r="AL249" s="380">
        <f>IFERROR(__xludf.DUMMYFUNCTION("""COMPUTED_VALUE"""),5.0)</f>
        <v>5</v>
      </c>
      <c r="AM249" s="263">
        <f>IFERROR(__xludf.DUMMYFUNCTION("""COMPUTED_VALUE"""),5.0)</f>
        <v>5</v>
      </c>
      <c r="AN249" s="263">
        <f>IFERROR(__xludf.DUMMYFUNCTION("""COMPUTED_VALUE"""),5.0)</f>
        <v>5</v>
      </c>
      <c r="AO249" s="263">
        <f>IFERROR(__xludf.DUMMYFUNCTION("""COMPUTED_VALUE"""),5.0)</f>
        <v>5</v>
      </c>
      <c r="AP249" s="263">
        <f>IFERROR(__xludf.DUMMYFUNCTION("""COMPUTED_VALUE"""),5.0)</f>
        <v>5</v>
      </c>
      <c r="AQ249" s="263">
        <f>IFERROR(__xludf.DUMMYFUNCTION("""COMPUTED_VALUE"""),5.0)</f>
        <v>5</v>
      </c>
      <c r="AR249" s="266">
        <f>IFERROR(__xludf.DUMMYFUNCTION("""COMPUTED_VALUE"""),10.0)</f>
        <v>10</v>
      </c>
      <c r="AS249" s="266">
        <f>IFERROR(__xludf.DUMMYFUNCTION("""COMPUTED_VALUE"""),10.0)</f>
        <v>10</v>
      </c>
      <c r="AT249" s="374" t="str">
        <f>IFERROR(__xludf.DUMMYFUNCTION("""COMPUTED_VALUE"""),"超持続型")</f>
        <v>超持続型</v>
      </c>
      <c r="AU249" s="375">
        <f>IFERROR(__xludf.DUMMYFUNCTION("""COMPUTED_VALUE"""),1.0)</f>
        <v>1</v>
      </c>
      <c r="AV249" s="376" t="str">
        <f>IFERROR(__xludf.DUMMYFUNCTION("""COMPUTED_VALUE"""),"効果値")</f>
        <v>効果値</v>
      </c>
      <c r="AW249" s="350" t="str">
        <f>IFERROR(__xludf.DUMMYFUNCTION("""COMPUTED_VALUE"""),"-")</f>
        <v>-</v>
      </c>
      <c r="AX249" s="348" t="str">
        <f>IFERROR(__xludf.DUMMYFUNCTION("""COMPUTED_VALUE"""),"-")</f>
        <v>-</v>
      </c>
      <c r="AY249" s="348" t="str">
        <f>IFERROR(__xludf.DUMMYFUNCTION("""COMPUTED_VALUE"""),"-")</f>
        <v>-</v>
      </c>
      <c r="AZ249" s="348" t="str">
        <f>IFERROR(__xludf.DUMMYFUNCTION("""COMPUTED_VALUE"""),"-")</f>
        <v>-</v>
      </c>
      <c r="BA249" s="348" t="str">
        <f>IFERROR(__xludf.DUMMYFUNCTION("""COMPUTED_VALUE"""),"-")</f>
        <v>-</v>
      </c>
      <c r="BB249" s="263">
        <f>IFERROR(__xludf.DUMMYFUNCTION("""COMPUTED_VALUE"""),5.0)</f>
        <v>5</v>
      </c>
      <c r="BC249" s="266">
        <f>IFERROR(__xludf.DUMMYFUNCTION("""COMPUTED_VALUE"""),10.0)</f>
        <v>10</v>
      </c>
      <c r="BD249" s="266">
        <f>IFERROR(__xludf.DUMMYFUNCTION("""COMPUTED_VALUE"""),10.0)</f>
        <v>10</v>
      </c>
      <c r="BE249" s="374" t="str">
        <f>IFERROR(__xludf.DUMMYFUNCTION("""COMPUTED_VALUE"""),"ハイブリッド型")</f>
        <v>ハイブリッド型</v>
      </c>
      <c r="BF249" s="375">
        <f>IFERROR(__xludf.DUMMYFUNCTION("""COMPUTED_VALUE"""),1.0)</f>
        <v>1</v>
      </c>
      <c r="BG249" s="376" t="str">
        <f>IFERROR(__xludf.DUMMYFUNCTION("""COMPUTED_VALUE"""),"効果値")</f>
        <v>効果値</v>
      </c>
      <c r="BH249" s="381">
        <f>IFERROR(__xludf.DUMMYFUNCTION("""COMPUTED_VALUE"""),10.0)</f>
        <v>10</v>
      </c>
      <c r="BI249" s="382">
        <f>IFERROR(__xludf.DUMMYFUNCTION("""COMPUTED_VALUE"""),10.0)</f>
        <v>10</v>
      </c>
      <c r="BJ249" s="382">
        <f>IFERROR(__xludf.DUMMYFUNCTION("""COMPUTED_VALUE"""),10.0)</f>
        <v>10</v>
      </c>
      <c r="BK249" s="382">
        <f>IFERROR(__xludf.DUMMYFUNCTION("""COMPUTED_VALUE"""),10.0)</f>
        <v>10</v>
      </c>
      <c r="BL249" s="382">
        <f>IFERROR(__xludf.DUMMYFUNCTION("""COMPUTED_VALUE"""),10.0)</f>
        <v>10</v>
      </c>
      <c r="BM249" s="382">
        <f>IFERROR(__xludf.DUMMYFUNCTION("""COMPUTED_VALUE"""),15.0)</f>
        <v>15</v>
      </c>
      <c r="BN249" s="382">
        <f>IFERROR(__xludf.DUMMYFUNCTION("""COMPUTED_VALUE"""),20.0)</f>
        <v>20</v>
      </c>
      <c r="BO249" s="383">
        <f>IFERROR(__xludf.DUMMYFUNCTION("""COMPUTED_VALUE"""),20.0)</f>
        <v>20</v>
      </c>
    </row>
    <row r="250">
      <c r="A250" s="434" t="str">
        <f>IFERROR(__xludf.DUMMYFUNCTION("""COMPUTED_VALUE"""),"攻撃力UP(緑)")</f>
        <v>攻撃力UP(緑)</v>
      </c>
      <c r="B250" s="385" t="str">
        <f>IFERROR(__xludf.DUMMYFUNCTION("""COMPUTED_VALUE"""),"超瞬間型")</f>
        <v>超瞬間型</v>
      </c>
      <c r="C250" s="386">
        <f>IFERROR(__xludf.DUMMYFUNCTION("""COMPUTED_VALUE"""),1.0)</f>
        <v>1</v>
      </c>
      <c r="D250" s="387" t="str">
        <f>IFERROR(__xludf.DUMMYFUNCTION("""COMPUTED_VALUE"""),"効果時間")</f>
        <v>効果時間</v>
      </c>
      <c r="E250" s="388" t="str">
        <f>IFERROR(__xludf.DUMMYFUNCTION("""COMPUTED_VALUE"""),"-")</f>
        <v>-</v>
      </c>
      <c r="F250" s="389" t="str">
        <f>IFERROR(__xludf.DUMMYFUNCTION("""COMPUTED_VALUE"""),"-")</f>
        <v>-</v>
      </c>
      <c r="G250" s="388" t="str">
        <f>IFERROR(__xludf.DUMMYFUNCTION("""COMPUTED_VALUE"""),"-")</f>
        <v>-</v>
      </c>
      <c r="H250" s="389" t="str">
        <f>IFERROR(__xludf.DUMMYFUNCTION("""COMPUTED_VALUE"""),"-")</f>
        <v>-</v>
      </c>
      <c r="I250" s="388" t="str">
        <f>IFERROR(__xludf.DUMMYFUNCTION("""COMPUTED_VALUE"""),"-")</f>
        <v>-</v>
      </c>
      <c r="J250" s="390">
        <f>IFERROR(__xludf.DUMMYFUNCTION("""COMPUTED_VALUE"""),150.0)</f>
        <v>150</v>
      </c>
      <c r="K250" s="391">
        <f>IFERROR(__xludf.DUMMYFUNCTION("""COMPUTED_VALUE"""),160.0)</f>
        <v>160</v>
      </c>
      <c r="L250" s="340">
        <f>IFERROR(__xludf.DUMMYFUNCTION("""COMPUTED_VALUE"""),160.0)</f>
        <v>160</v>
      </c>
      <c r="M250" s="385" t="str">
        <f>IFERROR(__xludf.DUMMYFUNCTION("""COMPUTED_VALUE"""),"瞬間型")</f>
        <v>瞬間型</v>
      </c>
      <c r="N250" s="386">
        <f>IFERROR(__xludf.DUMMYFUNCTION("""COMPUTED_VALUE"""),1.0)</f>
        <v>1</v>
      </c>
      <c r="O250" s="387" t="str">
        <f>IFERROR(__xludf.DUMMYFUNCTION("""COMPUTED_VALUE"""),"効果時間")</f>
        <v>効果時間</v>
      </c>
      <c r="P250" s="392">
        <f>IFERROR(__xludf.DUMMYFUNCTION("""COMPUTED_VALUE"""),150.0)</f>
        <v>150</v>
      </c>
      <c r="Q250" s="393">
        <f>IFERROR(__xludf.DUMMYFUNCTION("""COMPUTED_VALUE"""),150.0)</f>
        <v>150</v>
      </c>
      <c r="R250" s="393">
        <f>IFERROR(__xludf.DUMMYFUNCTION("""COMPUTED_VALUE"""),150.0)</f>
        <v>150</v>
      </c>
      <c r="S250" s="393">
        <f>IFERROR(__xludf.DUMMYFUNCTION("""COMPUTED_VALUE"""),150.0)</f>
        <v>150</v>
      </c>
      <c r="T250" s="393">
        <f>IFERROR(__xludf.DUMMYFUNCTION("""COMPUTED_VALUE"""),150.0)</f>
        <v>150</v>
      </c>
      <c r="U250" s="393">
        <f>IFERROR(__xludf.DUMMYFUNCTION("""COMPUTED_VALUE"""),150.0)</f>
        <v>150</v>
      </c>
      <c r="V250" s="393">
        <f>IFERROR(__xludf.DUMMYFUNCTION("""COMPUTED_VALUE"""),160.0)</f>
        <v>160</v>
      </c>
      <c r="W250" s="394">
        <f>IFERROR(__xludf.DUMMYFUNCTION("""COMPUTED_VALUE"""),160.0)</f>
        <v>160</v>
      </c>
      <c r="X250" s="385" t="str">
        <f>IFERROR(__xludf.DUMMYFUNCTION("""COMPUTED_VALUE"""),"安定型")</f>
        <v>安定型</v>
      </c>
      <c r="Y250" s="386">
        <f>IFERROR(__xludf.DUMMYFUNCTION("""COMPUTED_VALUE"""),1.0)</f>
        <v>1</v>
      </c>
      <c r="Z250" s="387" t="str">
        <f>IFERROR(__xludf.DUMMYFUNCTION("""COMPUTED_VALUE"""),"効果時間")</f>
        <v>効果時間</v>
      </c>
      <c r="AA250" s="392">
        <f>IFERROR(__xludf.DUMMYFUNCTION("""COMPUTED_VALUE"""),300.0)</f>
        <v>300</v>
      </c>
      <c r="AB250" s="393">
        <f>IFERROR(__xludf.DUMMYFUNCTION("""COMPUTED_VALUE"""),300.0)</f>
        <v>300</v>
      </c>
      <c r="AC250" s="393">
        <f>IFERROR(__xludf.DUMMYFUNCTION("""COMPUTED_VALUE"""),300.0)</f>
        <v>300</v>
      </c>
      <c r="AD250" s="393">
        <f>IFERROR(__xludf.DUMMYFUNCTION("""COMPUTED_VALUE"""),300.0)</f>
        <v>300</v>
      </c>
      <c r="AE250" s="393">
        <f>IFERROR(__xludf.DUMMYFUNCTION("""COMPUTED_VALUE"""),300.0)</f>
        <v>300</v>
      </c>
      <c r="AF250" s="393">
        <f>IFERROR(__xludf.DUMMYFUNCTION("""COMPUTED_VALUE"""),300.0)</f>
        <v>300</v>
      </c>
      <c r="AG250" s="393">
        <f>IFERROR(__xludf.DUMMYFUNCTION("""COMPUTED_VALUE"""),310.0)</f>
        <v>310</v>
      </c>
      <c r="AH250" s="394">
        <f>IFERROR(__xludf.DUMMYFUNCTION("""COMPUTED_VALUE"""),310.0)</f>
        <v>310</v>
      </c>
      <c r="AI250" s="385" t="str">
        <f>IFERROR(__xludf.DUMMYFUNCTION("""COMPUTED_VALUE"""),"持続型")</f>
        <v>持続型</v>
      </c>
      <c r="AJ250" s="386">
        <f>IFERROR(__xludf.DUMMYFUNCTION("""COMPUTED_VALUE"""),1.0)</f>
        <v>1</v>
      </c>
      <c r="AK250" s="387" t="str">
        <f>IFERROR(__xludf.DUMMYFUNCTION("""COMPUTED_VALUE"""),"効果時間")</f>
        <v>効果時間</v>
      </c>
      <c r="AL250" s="392">
        <f>IFERROR(__xludf.DUMMYFUNCTION("""COMPUTED_VALUE"""),450.0)</f>
        <v>450</v>
      </c>
      <c r="AM250" s="393">
        <f>IFERROR(__xludf.DUMMYFUNCTION("""COMPUTED_VALUE"""),450.0)</f>
        <v>450</v>
      </c>
      <c r="AN250" s="393">
        <f>IFERROR(__xludf.DUMMYFUNCTION("""COMPUTED_VALUE"""),450.0)</f>
        <v>450</v>
      </c>
      <c r="AO250" s="393">
        <f>IFERROR(__xludf.DUMMYFUNCTION("""COMPUTED_VALUE"""),450.0)</f>
        <v>450</v>
      </c>
      <c r="AP250" s="393">
        <f>IFERROR(__xludf.DUMMYFUNCTION("""COMPUTED_VALUE"""),450.0)</f>
        <v>450</v>
      </c>
      <c r="AQ250" s="393">
        <f>IFERROR(__xludf.DUMMYFUNCTION("""COMPUTED_VALUE"""),450.0)</f>
        <v>450</v>
      </c>
      <c r="AR250" s="393">
        <f>IFERROR(__xludf.DUMMYFUNCTION("""COMPUTED_VALUE"""),460.0)</f>
        <v>460</v>
      </c>
      <c r="AS250" s="394">
        <f>IFERROR(__xludf.DUMMYFUNCTION("""COMPUTED_VALUE"""),460.0)</f>
        <v>460</v>
      </c>
      <c r="AT250" s="385" t="str">
        <f>IFERROR(__xludf.DUMMYFUNCTION("""COMPUTED_VALUE"""),"超持続型")</f>
        <v>超持続型</v>
      </c>
      <c r="AU250" s="386">
        <f>IFERROR(__xludf.DUMMYFUNCTION("""COMPUTED_VALUE"""),1.0)</f>
        <v>1</v>
      </c>
      <c r="AV250" s="387" t="str">
        <f>IFERROR(__xludf.DUMMYFUNCTION("""COMPUTED_VALUE"""),"効果時間")</f>
        <v>効果時間</v>
      </c>
      <c r="AW250" s="395" t="str">
        <f>IFERROR(__xludf.DUMMYFUNCTION("""COMPUTED_VALUE"""),"-")</f>
        <v>-</v>
      </c>
      <c r="AX250" s="396" t="str">
        <f>IFERROR(__xludf.DUMMYFUNCTION("""COMPUTED_VALUE"""),"-")</f>
        <v>-</v>
      </c>
      <c r="AY250" s="396" t="str">
        <f>IFERROR(__xludf.DUMMYFUNCTION("""COMPUTED_VALUE"""),"-")</f>
        <v>-</v>
      </c>
      <c r="AZ250" s="396" t="str">
        <f>IFERROR(__xludf.DUMMYFUNCTION("""COMPUTED_VALUE"""),"-")</f>
        <v>-</v>
      </c>
      <c r="BA250" s="396" t="str">
        <f>IFERROR(__xludf.DUMMYFUNCTION("""COMPUTED_VALUE"""),"-")</f>
        <v>-</v>
      </c>
      <c r="BB250" s="393">
        <f>IFERROR(__xludf.DUMMYFUNCTION("""COMPUTED_VALUE"""),600.0)</f>
        <v>600</v>
      </c>
      <c r="BC250" s="393">
        <f>IFERROR(__xludf.DUMMYFUNCTION("""COMPUTED_VALUE"""),610.0)</f>
        <v>610</v>
      </c>
      <c r="BD250" s="394">
        <f>IFERROR(__xludf.DUMMYFUNCTION("""COMPUTED_VALUE"""),610.0)</f>
        <v>610</v>
      </c>
      <c r="BE250" s="385" t="str">
        <f>IFERROR(__xludf.DUMMYFUNCTION("""COMPUTED_VALUE"""),"ハイブリッド型")</f>
        <v>ハイブリッド型</v>
      </c>
      <c r="BF250" s="386">
        <f>IFERROR(__xludf.DUMMYFUNCTION("""COMPUTED_VALUE"""),1.0)</f>
        <v>1</v>
      </c>
      <c r="BG250" s="387" t="str">
        <f>IFERROR(__xludf.DUMMYFUNCTION("""COMPUTED_VALUE"""),"効果時間")</f>
        <v>効果時間</v>
      </c>
      <c r="BH250" s="397">
        <f>IFERROR(__xludf.DUMMYFUNCTION("""COMPUTED_VALUE"""),150.0)</f>
        <v>150</v>
      </c>
      <c r="BI250" s="397">
        <f>IFERROR(__xludf.DUMMYFUNCTION("""COMPUTED_VALUE"""),150.0)</f>
        <v>150</v>
      </c>
      <c r="BJ250" s="397">
        <f>IFERROR(__xludf.DUMMYFUNCTION("""COMPUTED_VALUE"""),150.0)</f>
        <v>150</v>
      </c>
      <c r="BK250" s="398">
        <f>IFERROR(__xludf.DUMMYFUNCTION("""COMPUTED_VALUE"""),150.0)</f>
        <v>150</v>
      </c>
      <c r="BL250" s="397">
        <f>IFERROR(__xludf.DUMMYFUNCTION("""COMPUTED_VALUE"""),150.0)</f>
        <v>150</v>
      </c>
      <c r="BM250" s="398">
        <f>IFERROR(__xludf.DUMMYFUNCTION("""COMPUTED_VALUE"""),350.0)</f>
        <v>350</v>
      </c>
      <c r="BN250" s="397">
        <f>IFERROR(__xludf.DUMMYFUNCTION("""COMPUTED_VALUE"""),460.0)</f>
        <v>460</v>
      </c>
      <c r="BO250" s="398">
        <f>IFERROR(__xludf.DUMMYFUNCTION("""COMPUTED_VALUE"""),460.0)</f>
        <v>460</v>
      </c>
    </row>
    <row r="251">
      <c r="A251" s="435" t="str">
        <f>IFERROR(__xludf.DUMMYFUNCTION("""COMPUTED_VALUE"""),"攻撃力UP(緑)")</f>
        <v>攻撃力UP(緑)</v>
      </c>
      <c r="B251" s="385" t="str">
        <f>IFERROR(__xludf.DUMMYFUNCTION("""COMPUTED_VALUE"""),"超瞬間型")</f>
        <v>超瞬間型</v>
      </c>
      <c r="C251" s="399">
        <f>IFERROR(__xludf.DUMMYFUNCTION("""COMPUTED_VALUE"""),2.0)</f>
        <v>2</v>
      </c>
      <c r="D251" s="400" t="str">
        <f>IFERROR(__xludf.DUMMYFUNCTION("""COMPUTED_VALUE"""),"効果値")</f>
        <v>効果値</v>
      </c>
      <c r="E251" s="401" t="str">
        <f>IFERROR(__xludf.DUMMYFUNCTION("""COMPUTED_VALUE"""),"-")</f>
        <v>-</v>
      </c>
      <c r="F251" s="401" t="str">
        <f>IFERROR(__xludf.DUMMYFUNCTION("""COMPUTED_VALUE"""),"-")</f>
        <v>-</v>
      </c>
      <c r="G251" s="401" t="str">
        <f>IFERROR(__xludf.DUMMYFUNCTION("""COMPUTED_VALUE"""),"-")</f>
        <v>-</v>
      </c>
      <c r="H251" s="401" t="str">
        <f>IFERROR(__xludf.DUMMYFUNCTION("""COMPUTED_VALUE"""),"-")</f>
        <v>-</v>
      </c>
      <c r="I251" s="401" t="str">
        <f>IFERROR(__xludf.DUMMYFUNCTION("""COMPUTED_VALUE"""),"-")</f>
        <v>-</v>
      </c>
      <c r="J251" s="318">
        <f>IFERROR(__xludf.DUMMYFUNCTION("""COMPUTED_VALUE"""),57.0)</f>
        <v>57</v>
      </c>
      <c r="K251" s="318">
        <f>IFERROR(__xludf.DUMMYFUNCTION("""COMPUTED_VALUE"""),67.0)</f>
        <v>67</v>
      </c>
      <c r="L251" s="318">
        <f>IFERROR(__xludf.DUMMYFUNCTION("""COMPUTED_VALUE"""),69.0)</f>
        <v>69</v>
      </c>
      <c r="M251" s="385" t="str">
        <f>IFERROR(__xludf.DUMMYFUNCTION("""COMPUTED_VALUE"""),"瞬間型")</f>
        <v>瞬間型</v>
      </c>
      <c r="N251" s="399">
        <f>IFERROR(__xludf.DUMMYFUNCTION("""COMPUTED_VALUE"""),2.0)</f>
        <v>2</v>
      </c>
      <c r="O251" s="400" t="str">
        <f>IFERROR(__xludf.DUMMYFUNCTION("""COMPUTED_VALUE"""),"効果値")</f>
        <v>効果値</v>
      </c>
      <c r="P251" s="343">
        <f>IFERROR(__xludf.DUMMYFUNCTION("""COMPUTED_VALUE"""),21.0)</f>
        <v>21</v>
      </c>
      <c r="Q251" s="402">
        <f>IFERROR(__xludf.DUMMYFUNCTION("""COMPUTED_VALUE"""),21.0)</f>
        <v>21</v>
      </c>
      <c r="R251" s="343">
        <f>IFERROR(__xludf.DUMMYFUNCTION("""COMPUTED_VALUE"""),22.0)</f>
        <v>22</v>
      </c>
      <c r="S251" s="402">
        <f>IFERROR(__xludf.DUMMYFUNCTION("""COMPUTED_VALUE"""),22.0)</f>
        <v>22</v>
      </c>
      <c r="T251" s="343">
        <f>IFERROR(__xludf.DUMMYFUNCTION("""COMPUTED_VALUE"""),22.0)</f>
        <v>22</v>
      </c>
      <c r="U251" s="343">
        <f>IFERROR(__xludf.DUMMYFUNCTION("""COMPUTED_VALUE"""),27.0)</f>
        <v>27</v>
      </c>
      <c r="V251" s="343">
        <f>IFERROR(__xludf.DUMMYFUNCTION("""COMPUTED_VALUE"""),32.0)</f>
        <v>32</v>
      </c>
      <c r="W251" s="343">
        <f>IFERROR(__xludf.DUMMYFUNCTION("""COMPUTED_VALUE"""),34.0)</f>
        <v>34</v>
      </c>
      <c r="X251" s="385" t="str">
        <f>IFERROR(__xludf.DUMMYFUNCTION("""COMPUTED_VALUE"""),"安定型")</f>
        <v>安定型</v>
      </c>
      <c r="Y251" s="399">
        <f>IFERROR(__xludf.DUMMYFUNCTION("""COMPUTED_VALUE"""),2.0)</f>
        <v>2</v>
      </c>
      <c r="Z251" s="400" t="str">
        <f>IFERROR(__xludf.DUMMYFUNCTION("""COMPUTED_VALUE"""),"効果値")</f>
        <v>効果値</v>
      </c>
      <c r="AA251" s="343">
        <f>IFERROR(__xludf.DUMMYFUNCTION("""COMPUTED_VALUE"""),11.0)</f>
        <v>11</v>
      </c>
      <c r="AB251" s="402">
        <f>IFERROR(__xludf.DUMMYFUNCTION("""COMPUTED_VALUE"""),11.0)</f>
        <v>11</v>
      </c>
      <c r="AC251" s="343">
        <f>IFERROR(__xludf.DUMMYFUNCTION("""COMPUTED_VALUE"""),12.0)</f>
        <v>12</v>
      </c>
      <c r="AD251" s="402">
        <f>IFERROR(__xludf.DUMMYFUNCTION("""COMPUTED_VALUE"""),12.0)</f>
        <v>12</v>
      </c>
      <c r="AE251" s="343">
        <f>IFERROR(__xludf.DUMMYFUNCTION("""COMPUTED_VALUE"""),12.0)</f>
        <v>12</v>
      </c>
      <c r="AF251" s="343">
        <f>IFERROR(__xludf.DUMMYFUNCTION("""COMPUTED_VALUE"""),12.0)</f>
        <v>12</v>
      </c>
      <c r="AG251" s="343">
        <f>IFERROR(__xludf.DUMMYFUNCTION("""COMPUTED_VALUE"""),17.0)</f>
        <v>17</v>
      </c>
      <c r="AH251" s="343">
        <f>IFERROR(__xludf.DUMMYFUNCTION("""COMPUTED_VALUE"""),19.0)</f>
        <v>19</v>
      </c>
      <c r="AI251" s="385" t="str">
        <f>IFERROR(__xludf.DUMMYFUNCTION("""COMPUTED_VALUE"""),"持続型")</f>
        <v>持続型</v>
      </c>
      <c r="AJ251" s="399">
        <f>IFERROR(__xludf.DUMMYFUNCTION("""COMPUTED_VALUE"""),2.0)</f>
        <v>2</v>
      </c>
      <c r="AK251" s="400" t="str">
        <f>IFERROR(__xludf.DUMMYFUNCTION("""COMPUTED_VALUE"""),"効果値")</f>
        <v>効果値</v>
      </c>
      <c r="AL251" s="343">
        <f>IFERROR(__xludf.DUMMYFUNCTION("""COMPUTED_VALUE"""),6.0)</f>
        <v>6</v>
      </c>
      <c r="AM251" s="402">
        <f>IFERROR(__xludf.DUMMYFUNCTION("""COMPUTED_VALUE"""),6.0)</f>
        <v>6</v>
      </c>
      <c r="AN251" s="343">
        <f>IFERROR(__xludf.DUMMYFUNCTION("""COMPUTED_VALUE"""),7.0)</f>
        <v>7</v>
      </c>
      <c r="AO251" s="402">
        <f>IFERROR(__xludf.DUMMYFUNCTION("""COMPUTED_VALUE"""),7.0)</f>
        <v>7</v>
      </c>
      <c r="AP251" s="343">
        <f>IFERROR(__xludf.DUMMYFUNCTION("""COMPUTED_VALUE"""),7.0)</f>
        <v>7</v>
      </c>
      <c r="AQ251" s="343">
        <f>IFERROR(__xludf.DUMMYFUNCTION("""COMPUTED_VALUE"""),7.0)</f>
        <v>7</v>
      </c>
      <c r="AR251" s="343">
        <f>IFERROR(__xludf.DUMMYFUNCTION("""COMPUTED_VALUE"""),11.0)</f>
        <v>11</v>
      </c>
      <c r="AS251" s="343">
        <f>IFERROR(__xludf.DUMMYFUNCTION("""COMPUTED_VALUE"""),11.0)</f>
        <v>11</v>
      </c>
      <c r="AT251" s="385" t="str">
        <f>IFERROR(__xludf.DUMMYFUNCTION("""COMPUTED_VALUE"""),"超持続型")</f>
        <v>超持続型</v>
      </c>
      <c r="AU251" s="399">
        <f>IFERROR(__xludf.DUMMYFUNCTION("""COMPUTED_VALUE"""),2.0)</f>
        <v>2</v>
      </c>
      <c r="AV251" s="400" t="str">
        <f>IFERROR(__xludf.DUMMYFUNCTION("""COMPUTED_VALUE"""),"効果値")</f>
        <v>効果値</v>
      </c>
      <c r="AW251" s="403" t="str">
        <f>IFERROR(__xludf.DUMMYFUNCTION("""COMPUTED_VALUE"""),"-")</f>
        <v>-</v>
      </c>
      <c r="AX251" s="403" t="str">
        <f>IFERROR(__xludf.DUMMYFUNCTION("""COMPUTED_VALUE"""),"-")</f>
        <v>-</v>
      </c>
      <c r="AY251" s="403" t="str">
        <f>IFERROR(__xludf.DUMMYFUNCTION("""COMPUTED_VALUE"""),"-")</f>
        <v>-</v>
      </c>
      <c r="AZ251" s="403" t="str">
        <f>IFERROR(__xludf.DUMMYFUNCTION("""COMPUTED_VALUE"""),"-")</f>
        <v>-</v>
      </c>
      <c r="BA251" s="403" t="str">
        <f>IFERROR(__xludf.DUMMYFUNCTION("""COMPUTED_VALUE"""),"-")</f>
        <v>-</v>
      </c>
      <c r="BB251" s="343">
        <f>IFERROR(__xludf.DUMMYFUNCTION("""COMPUTED_VALUE"""),7.0)</f>
        <v>7</v>
      </c>
      <c r="BC251" s="343">
        <f>IFERROR(__xludf.DUMMYFUNCTION("""COMPUTED_VALUE"""),11.0)</f>
        <v>11</v>
      </c>
      <c r="BD251" s="343">
        <f>IFERROR(__xludf.DUMMYFUNCTION("""COMPUTED_VALUE"""),11.0)</f>
        <v>11</v>
      </c>
      <c r="BE251" s="385" t="str">
        <f>IFERROR(__xludf.DUMMYFUNCTION("""COMPUTED_VALUE"""),"ハイブリッド型")</f>
        <v>ハイブリッド型</v>
      </c>
      <c r="BF251" s="399">
        <f>IFERROR(__xludf.DUMMYFUNCTION("""COMPUTED_VALUE"""),2.0)</f>
        <v>2</v>
      </c>
      <c r="BG251" s="400" t="str">
        <f>IFERROR(__xludf.DUMMYFUNCTION("""COMPUTED_VALUE"""),"効果値")</f>
        <v>効果値</v>
      </c>
      <c r="BH251" s="404">
        <f>IFERROR(__xludf.DUMMYFUNCTION("""COMPUTED_VALUE"""),10.8)</f>
        <v>10.8</v>
      </c>
      <c r="BI251" s="405">
        <f>IFERROR(__xludf.DUMMYFUNCTION("""COMPUTED_VALUE"""),11.2)</f>
        <v>11.2</v>
      </c>
      <c r="BJ251" s="405">
        <f>IFERROR(__xludf.DUMMYFUNCTION("""COMPUTED_VALUE"""),11.5)</f>
        <v>11.5</v>
      </c>
      <c r="BK251" s="405">
        <f>IFERROR(__xludf.DUMMYFUNCTION("""COMPUTED_VALUE"""),11.8)</f>
        <v>11.8</v>
      </c>
      <c r="BL251" s="405">
        <f>IFERROR(__xludf.DUMMYFUNCTION("""COMPUTED_VALUE"""),12.1)</f>
        <v>12.1</v>
      </c>
      <c r="BM251" s="405">
        <f>IFERROR(__xludf.DUMMYFUNCTION("""COMPUTED_VALUE"""),17.1)</f>
        <v>17.1</v>
      </c>
      <c r="BN251" s="405">
        <f>IFERROR(__xludf.DUMMYFUNCTION("""COMPUTED_VALUE"""),22.0)</f>
        <v>22</v>
      </c>
      <c r="BO251" s="406">
        <f>IFERROR(__xludf.DUMMYFUNCTION("""COMPUTED_VALUE"""),24.0)</f>
        <v>24</v>
      </c>
    </row>
    <row r="252">
      <c r="A252" s="435" t="str">
        <f>IFERROR(__xludf.DUMMYFUNCTION("""COMPUTED_VALUE"""),"攻撃力UP(緑)")</f>
        <v>攻撃力UP(緑)</v>
      </c>
      <c r="B252" s="385" t="str">
        <f>IFERROR(__xludf.DUMMYFUNCTION("""COMPUTED_VALUE"""),"超瞬間型")</f>
        <v>超瞬間型</v>
      </c>
      <c r="C252" s="386">
        <f>IFERROR(__xludf.DUMMYFUNCTION("""COMPUTED_VALUE"""),2.0)</f>
        <v>2</v>
      </c>
      <c r="D252" s="387" t="str">
        <f>IFERROR(__xludf.DUMMYFUNCTION("""COMPUTED_VALUE"""),"効果時間")</f>
        <v>効果時間</v>
      </c>
      <c r="E252" s="388" t="str">
        <f>IFERROR(__xludf.DUMMYFUNCTION("""COMPUTED_VALUE"""),"-")</f>
        <v>-</v>
      </c>
      <c r="F252" s="389" t="str">
        <f>IFERROR(__xludf.DUMMYFUNCTION("""COMPUTED_VALUE"""),"-")</f>
        <v>-</v>
      </c>
      <c r="G252" s="388" t="str">
        <f>IFERROR(__xludf.DUMMYFUNCTION("""COMPUTED_VALUE"""),"-")</f>
        <v>-</v>
      </c>
      <c r="H252" s="389" t="str">
        <f>IFERROR(__xludf.DUMMYFUNCTION("""COMPUTED_VALUE"""),"-")</f>
        <v>-</v>
      </c>
      <c r="I252" s="388" t="str">
        <f>IFERROR(__xludf.DUMMYFUNCTION("""COMPUTED_VALUE"""),"-")</f>
        <v>-</v>
      </c>
      <c r="J252" s="390">
        <f>IFERROR(__xludf.DUMMYFUNCTION("""COMPUTED_VALUE"""),150.0)</f>
        <v>150</v>
      </c>
      <c r="K252" s="391">
        <f>IFERROR(__xludf.DUMMYFUNCTION("""COMPUTED_VALUE"""),160.0)</f>
        <v>160</v>
      </c>
      <c r="L252" s="340">
        <f>IFERROR(__xludf.DUMMYFUNCTION("""COMPUTED_VALUE"""),170.0)</f>
        <v>170</v>
      </c>
      <c r="M252" s="385" t="str">
        <f>IFERROR(__xludf.DUMMYFUNCTION("""COMPUTED_VALUE"""),"瞬間型")</f>
        <v>瞬間型</v>
      </c>
      <c r="N252" s="386">
        <f>IFERROR(__xludf.DUMMYFUNCTION("""COMPUTED_VALUE"""),2.0)</f>
        <v>2</v>
      </c>
      <c r="O252" s="387" t="str">
        <f>IFERROR(__xludf.DUMMYFUNCTION("""COMPUTED_VALUE"""),"効果時間")</f>
        <v>効果時間</v>
      </c>
      <c r="P252" s="392">
        <f>IFERROR(__xludf.DUMMYFUNCTION("""COMPUTED_VALUE"""),160.0)</f>
        <v>160</v>
      </c>
      <c r="Q252" s="275">
        <f>IFERROR(__xludf.DUMMYFUNCTION("""COMPUTED_VALUE"""),165.0)</f>
        <v>165</v>
      </c>
      <c r="R252" s="280">
        <f>IFERROR(__xludf.DUMMYFUNCTION("""COMPUTED_VALUE"""),170.0)</f>
        <v>170</v>
      </c>
      <c r="S252" s="275">
        <f>IFERROR(__xludf.DUMMYFUNCTION("""COMPUTED_VALUE"""),175.0)</f>
        <v>175</v>
      </c>
      <c r="T252" s="280">
        <f>IFERROR(__xludf.DUMMYFUNCTION("""COMPUTED_VALUE"""),180.0)</f>
        <v>180</v>
      </c>
      <c r="U252" s="280">
        <f>IFERROR(__xludf.DUMMYFUNCTION("""COMPUTED_VALUE"""),180.0)</f>
        <v>180</v>
      </c>
      <c r="V252" s="280">
        <f>IFERROR(__xludf.DUMMYFUNCTION("""COMPUTED_VALUE"""),220.0)</f>
        <v>220</v>
      </c>
      <c r="W252" s="280">
        <f>IFERROR(__xludf.DUMMYFUNCTION("""COMPUTED_VALUE"""),230.0)</f>
        <v>230</v>
      </c>
      <c r="X252" s="385" t="str">
        <f>IFERROR(__xludf.DUMMYFUNCTION("""COMPUTED_VALUE"""),"安定型")</f>
        <v>安定型</v>
      </c>
      <c r="Y252" s="386">
        <f>IFERROR(__xludf.DUMMYFUNCTION("""COMPUTED_VALUE"""),2.0)</f>
        <v>2</v>
      </c>
      <c r="Z252" s="387" t="str">
        <f>IFERROR(__xludf.DUMMYFUNCTION("""COMPUTED_VALUE"""),"効果時間")</f>
        <v>効果時間</v>
      </c>
      <c r="AA252" s="392">
        <f>IFERROR(__xludf.DUMMYFUNCTION("""COMPUTED_VALUE"""),310.0)</f>
        <v>310</v>
      </c>
      <c r="AB252" s="275">
        <f>IFERROR(__xludf.DUMMYFUNCTION("""COMPUTED_VALUE"""),315.0)</f>
        <v>315</v>
      </c>
      <c r="AC252" s="280">
        <f>IFERROR(__xludf.DUMMYFUNCTION("""COMPUTED_VALUE"""),320.0)</f>
        <v>320</v>
      </c>
      <c r="AD252" s="275">
        <f>IFERROR(__xludf.DUMMYFUNCTION("""COMPUTED_VALUE"""),325.0)</f>
        <v>325</v>
      </c>
      <c r="AE252" s="280">
        <f>IFERROR(__xludf.DUMMYFUNCTION("""COMPUTED_VALUE"""),330.0)</f>
        <v>330</v>
      </c>
      <c r="AF252" s="280">
        <f>IFERROR(__xludf.DUMMYFUNCTION("""COMPUTED_VALUE"""),345.0)</f>
        <v>345</v>
      </c>
      <c r="AG252" s="280">
        <f>IFERROR(__xludf.DUMMYFUNCTION("""COMPUTED_VALUE"""),370.0)</f>
        <v>370</v>
      </c>
      <c r="AH252" s="280">
        <f>IFERROR(__xludf.DUMMYFUNCTION("""COMPUTED_VALUE"""),380.0)</f>
        <v>380</v>
      </c>
      <c r="AI252" s="385" t="str">
        <f>IFERROR(__xludf.DUMMYFUNCTION("""COMPUTED_VALUE"""),"持続型")</f>
        <v>持続型</v>
      </c>
      <c r="AJ252" s="386">
        <f>IFERROR(__xludf.DUMMYFUNCTION("""COMPUTED_VALUE"""),2.0)</f>
        <v>2</v>
      </c>
      <c r="AK252" s="387" t="str">
        <f>IFERROR(__xludf.DUMMYFUNCTION("""COMPUTED_VALUE"""),"効果時間")</f>
        <v>効果時間</v>
      </c>
      <c r="AL252" s="392">
        <f>IFERROR(__xludf.DUMMYFUNCTION("""COMPUTED_VALUE"""),460.0)</f>
        <v>460</v>
      </c>
      <c r="AM252" s="275">
        <f>IFERROR(__xludf.DUMMYFUNCTION("""COMPUTED_VALUE"""),465.0)</f>
        <v>465</v>
      </c>
      <c r="AN252" s="280">
        <f>IFERROR(__xludf.DUMMYFUNCTION("""COMPUTED_VALUE"""),470.0)</f>
        <v>470</v>
      </c>
      <c r="AO252" s="275">
        <f>IFERROR(__xludf.DUMMYFUNCTION("""COMPUTED_VALUE"""),475.0)</f>
        <v>475</v>
      </c>
      <c r="AP252" s="280">
        <f>IFERROR(__xludf.DUMMYFUNCTION("""COMPUTED_VALUE"""),480.0)</f>
        <v>480</v>
      </c>
      <c r="AQ252" s="280">
        <f>IFERROR(__xludf.DUMMYFUNCTION("""COMPUTED_VALUE"""),495.0)</f>
        <v>495</v>
      </c>
      <c r="AR252" s="280">
        <f>IFERROR(__xludf.DUMMYFUNCTION("""COMPUTED_VALUE"""),520.0)</f>
        <v>520</v>
      </c>
      <c r="AS252" s="280">
        <f>IFERROR(__xludf.DUMMYFUNCTION("""COMPUTED_VALUE"""),530.0)</f>
        <v>530</v>
      </c>
      <c r="AT252" s="385" t="str">
        <f>IFERROR(__xludf.DUMMYFUNCTION("""COMPUTED_VALUE"""),"超持続型")</f>
        <v>超持続型</v>
      </c>
      <c r="AU252" s="386">
        <f>IFERROR(__xludf.DUMMYFUNCTION("""COMPUTED_VALUE"""),2.0)</f>
        <v>2</v>
      </c>
      <c r="AV252" s="387" t="str">
        <f>IFERROR(__xludf.DUMMYFUNCTION("""COMPUTED_VALUE"""),"効果時間")</f>
        <v>効果時間</v>
      </c>
      <c r="AW252" s="368" t="str">
        <f>IFERROR(__xludf.DUMMYFUNCTION("""COMPUTED_VALUE"""),"-")</f>
        <v>-</v>
      </c>
      <c r="AX252" s="368" t="str">
        <f>IFERROR(__xludf.DUMMYFUNCTION("""COMPUTED_VALUE"""),"-")</f>
        <v>-</v>
      </c>
      <c r="AY252" s="368" t="str">
        <f>IFERROR(__xludf.DUMMYFUNCTION("""COMPUTED_VALUE"""),"-")</f>
        <v>-</v>
      </c>
      <c r="AZ252" s="368" t="str">
        <f>IFERROR(__xludf.DUMMYFUNCTION("""COMPUTED_VALUE"""),"-")</f>
        <v>-</v>
      </c>
      <c r="BA252" s="368" t="str">
        <f>IFERROR(__xludf.DUMMYFUNCTION("""COMPUTED_VALUE"""),"-")</f>
        <v>-</v>
      </c>
      <c r="BB252" s="280">
        <f>IFERROR(__xludf.DUMMYFUNCTION("""COMPUTED_VALUE"""),625.0)</f>
        <v>625</v>
      </c>
      <c r="BC252" s="280">
        <f>IFERROR(__xludf.DUMMYFUNCTION("""COMPUTED_VALUE"""),670.0)</f>
        <v>670</v>
      </c>
      <c r="BD252" s="280">
        <f>IFERROR(__xludf.DUMMYFUNCTION("""COMPUTED_VALUE"""),680.0)</f>
        <v>680</v>
      </c>
      <c r="BE252" s="385" t="str">
        <f>IFERROR(__xludf.DUMMYFUNCTION("""COMPUTED_VALUE"""),"ハイブリッド型")</f>
        <v>ハイブリッド型</v>
      </c>
      <c r="BF252" s="386">
        <f>IFERROR(__xludf.DUMMYFUNCTION("""COMPUTED_VALUE"""),2.0)</f>
        <v>2</v>
      </c>
      <c r="BG252" s="387" t="str">
        <f>IFERROR(__xludf.DUMMYFUNCTION("""COMPUTED_VALUE"""),"効果時間")</f>
        <v>効果時間</v>
      </c>
      <c r="BH252" s="407">
        <f>IFERROR(__xludf.DUMMYFUNCTION("""COMPUTED_VALUE"""),195.0)</f>
        <v>195</v>
      </c>
      <c r="BI252" s="407">
        <f>IFERROR(__xludf.DUMMYFUNCTION("""COMPUTED_VALUE"""),205.0)</f>
        <v>205</v>
      </c>
      <c r="BJ252" s="407">
        <f>IFERROR(__xludf.DUMMYFUNCTION("""COMPUTED_VALUE"""),205.0)</f>
        <v>205</v>
      </c>
      <c r="BK252" s="408">
        <f>IFERROR(__xludf.DUMMYFUNCTION("""COMPUTED_VALUE"""),210.0)</f>
        <v>210</v>
      </c>
      <c r="BL252" s="407">
        <f>IFERROR(__xludf.DUMMYFUNCTION("""COMPUTED_VALUE"""),215.0)</f>
        <v>215</v>
      </c>
      <c r="BM252" s="408">
        <f>IFERROR(__xludf.DUMMYFUNCTION("""COMPUTED_VALUE"""),375.0)</f>
        <v>375</v>
      </c>
      <c r="BN252" s="407">
        <f>IFERROR(__xludf.DUMMYFUNCTION("""COMPUTED_VALUE"""),480.0)</f>
        <v>480</v>
      </c>
      <c r="BO252" s="408">
        <f>IFERROR(__xludf.DUMMYFUNCTION("""COMPUTED_VALUE"""),490.0)</f>
        <v>490</v>
      </c>
    </row>
    <row r="253">
      <c r="A253" s="435" t="str">
        <f>IFERROR(__xludf.DUMMYFUNCTION("""COMPUTED_VALUE"""),"攻撃力UP(緑)")</f>
        <v>攻撃力UP(緑)</v>
      </c>
      <c r="B253" s="385" t="str">
        <f>IFERROR(__xludf.DUMMYFUNCTION("""COMPUTED_VALUE"""),"超瞬間型")</f>
        <v>超瞬間型</v>
      </c>
      <c r="C253" s="399">
        <f>IFERROR(__xludf.DUMMYFUNCTION("""COMPUTED_VALUE"""),3.0)</f>
        <v>3</v>
      </c>
      <c r="D253" s="400" t="str">
        <f>IFERROR(__xludf.DUMMYFUNCTION("""COMPUTED_VALUE"""),"効果値")</f>
        <v>効果値</v>
      </c>
      <c r="E253" s="401" t="str">
        <f>IFERROR(__xludf.DUMMYFUNCTION("""COMPUTED_VALUE"""),"-")</f>
        <v>-</v>
      </c>
      <c r="F253" s="409" t="str">
        <f>IFERROR(__xludf.DUMMYFUNCTION("""COMPUTED_VALUE"""),"-")</f>
        <v>-</v>
      </c>
      <c r="G253" s="401" t="str">
        <f>IFERROR(__xludf.DUMMYFUNCTION("""COMPUTED_VALUE"""),"-")</f>
        <v>-</v>
      </c>
      <c r="H253" s="409" t="str">
        <f>IFERROR(__xludf.DUMMYFUNCTION("""COMPUTED_VALUE"""),"-")</f>
        <v>-</v>
      </c>
      <c r="I253" s="409" t="str">
        <f>IFERROR(__xludf.DUMMYFUNCTION("""COMPUTED_VALUE"""),"-")</f>
        <v>-</v>
      </c>
      <c r="J253" s="410">
        <f>IFERROR(__xludf.DUMMYFUNCTION("""COMPUTED_VALUE"""),58.0)</f>
        <v>58</v>
      </c>
      <c r="K253" s="410">
        <f>IFERROR(__xludf.DUMMYFUNCTION("""COMPUTED_VALUE"""),68.0)</f>
        <v>68</v>
      </c>
      <c r="L253" s="410">
        <f>IFERROR(__xludf.DUMMYFUNCTION("""COMPUTED_VALUE"""),72.0)</f>
        <v>72</v>
      </c>
      <c r="M253" s="385" t="str">
        <f>IFERROR(__xludf.DUMMYFUNCTION("""COMPUTED_VALUE"""),"瞬間型")</f>
        <v>瞬間型</v>
      </c>
      <c r="N253" s="399">
        <f>IFERROR(__xludf.DUMMYFUNCTION("""COMPUTED_VALUE"""),3.0)</f>
        <v>3</v>
      </c>
      <c r="O253" s="400" t="str">
        <f>IFERROR(__xludf.DUMMYFUNCTION("""COMPUTED_VALUE"""),"効果値")</f>
        <v>効果値</v>
      </c>
      <c r="P253" s="343">
        <f>IFERROR(__xludf.DUMMYFUNCTION("""COMPUTED_VALUE"""),22.0)</f>
        <v>22</v>
      </c>
      <c r="Q253" s="402">
        <f>IFERROR(__xludf.DUMMYFUNCTION("""COMPUTED_VALUE"""),22.0)</f>
        <v>22</v>
      </c>
      <c r="R253" s="402">
        <f>IFERROR(__xludf.DUMMYFUNCTION("""COMPUTED_VALUE"""),23.0)</f>
        <v>23</v>
      </c>
      <c r="S253" s="402">
        <f>IFERROR(__xludf.DUMMYFUNCTION("""COMPUTED_VALUE"""),23.0)</f>
        <v>23</v>
      </c>
      <c r="T253" s="402">
        <f>IFERROR(__xludf.DUMMYFUNCTION("""COMPUTED_VALUE"""),23.0)</f>
        <v>23</v>
      </c>
      <c r="U253" s="402">
        <f>IFERROR(__xludf.DUMMYFUNCTION("""COMPUTED_VALUE"""),28.0)</f>
        <v>28</v>
      </c>
      <c r="V253" s="402">
        <f>IFERROR(__xludf.DUMMYFUNCTION("""COMPUTED_VALUE"""),33.0)</f>
        <v>33</v>
      </c>
      <c r="W253" s="402">
        <f>IFERROR(__xludf.DUMMYFUNCTION("""COMPUTED_VALUE"""),37.0)</f>
        <v>37</v>
      </c>
      <c r="X253" s="385" t="str">
        <f>IFERROR(__xludf.DUMMYFUNCTION("""COMPUTED_VALUE"""),"安定型")</f>
        <v>安定型</v>
      </c>
      <c r="Y253" s="399">
        <f>IFERROR(__xludf.DUMMYFUNCTION("""COMPUTED_VALUE"""),3.0)</f>
        <v>3</v>
      </c>
      <c r="Z253" s="400" t="str">
        <f>IFERROR(__xludf.DUMMYFUNCTION("""COMPUTED_VALUE"""),"効果値")</f>
        <v>効果値</v>
      </c>
      <c r="AA253" s="343">
        <f>IFERROR(__xludf.DUMMYFUNCTION("""COMPUTED_VALUE"""),12.0)</f>
        <v>12</v>
      </c>
      <c r="AB253" s="402">
        <f>IFERROR(__xludf.DUMMYFUNCTION("""COMPUTED_VALUE"""),12.0)</f>
        <v>12</v>
      </c>
      <c r="AC253" s="402">
        <f>IFERROR(__xludf.DUMMYFUNCTION("""COMPUTED_VALUE"""),13.0)</f>
        <v>13</v>
      </c>
      <c r="AD253" s="402">
        <f>IFERROR(__xludf.DUMMYFUNCTION("""COMPUTED_VALUE"""),13.0)</f>
        <v>13</v>
      </c>
      <c r="AE253" s="402">
        <f>IFERROR(__xludf.DUMMYFUNCTION("""COMPUTED_VALUE"""),13.0)</f>
        <v>13</v>
      </c>
      <c r="AF253" s="402">
        <f>IFERROR(__xludf.DUMMYFUNCTION("""COMPUTED_VALUE"""),13.0)</f>
        <v>13</v>
      </c>
      <c r="AG253" s="402">
        <f>IFERROR(__xludf.DUMMYFUNCTION("""COMPUTED_VALUE"""),18.0)</f>
        <v>18</v>
      </c>
      <c r="AH253" s="402">
        <f>IFERROR(__xludf.DUMMYFUNCTION("""COMPUTED_VALUE"""),22.0)</f>
        <v>22</v>
      </c>
      <c r="AI253" s="385" t="str">
        <f>IFERROR(__xludf.DUMMYFUNCTION("""COMPUTED_VALUE"""),"持続型")</f>
        <v>持続型</v>
      </c>
      <c r="AJ253" s="399">
        <f>IFERROR(__xludf.DUMMYFUNCTION("""COMPUTED_VALUE"""),3.0)</f>
        <v>3</v>
      </c>
      <c r="AK253" s="400" t="str">
        <f>IFERROR(__xludf.DUMMYFUNCTION("""COMPUTED_VALUE"""),"効果値")</f>
        <v>効果値</v>
      </c>
      <c r="AL253" s="343">
        <f>IFERROR(__xludf.DUMMYFUNCTION("""COMPUTED_VALUE"""),7.0)</f>
        <v>7</v>
      </c>
      <c r="AM253" s="402">
        <f>IFERROR(__xludf.DUMMYFUNCTION("""COMPUTED_VALUE"""),7.0)</f>
        <v>7</v>
      </c>
      <c r="AN253" s="402">
        <f>IFERROR(__xludf.DUMMYFUNCTION("""COMPUTED_VALUE"""),8.0)</f>
        <v>8</v>
      </c>
      <c r="AO253" s="402">
        <f>IFERROR(__xludf.DUMMYFUNCTION("""COMPUTED_VALUE"""),8.0)</f>
        <v>8</v>
      </c>
      <c r="AP253" s="402">
        <f>IFERROR(__xludf.DUMMYFUNCTION("""COMPUTED_VALUE"""),8.0)</f>
        <v>8</v>
      </c>
      <c r="AQ253" s="402">
        <f>IFERROR(__xludf.DUMMYFUNCTION("""COMPUTED_VALUE"""),8.0)</f>
        <v>8</v>
      </c>
      <c r="AR253" s="402">
        <f>IFERROR(__xludf.DUMMYFUNCTION("""COMPUTED_VALUE"""),11.0)</f>
        <v>11</v>
      </c>
      <c r="AS253" s="402">
        <f>IFERROR(__xludf.DUMMYFUNCTION("""COMPUTED_VALUE"""),11.0)</f>
        <v>11</v>
      </c>
      <c r="AT253" s="385" t="str">
        <f>IFERROR(__xludf.DUMMYFUNCTION("""COMPUTED_VALUE"""),"超持続型")</f>
        <v>超持続型</v>
      </c>
      <c r="AU253" s="399">
        <f>IFERROR(__xludf.DUMMYFUNCTION("""COMPUTED_VALUE"""),3.0)</f>
        <v>3</v>
      </c>
      <c r="AV253" s="400" t="str">
        <f>IFERROR(__xludf.DUMMYFUNCTION("""COMPUTED_VALUE"""),"効果値")</f>
        <v>効果値</v>
      </c>
      <c r="AW253" s="403" t="str">
        <f>IFERROR(__xludf.DUMMYFUNCTION("""COMPUTED_VALUE"""),"-")</f>
        <v>-</v>
      </c>
      <c r="AX253" s="403" t="str">
        <f>IFERROR(__xludf.DUMMYFUNCTION("""COMPUTED_VALUE"""),"-")</f>
        <v>-</v>
      </c>
      <c r="AY253" s="403" t="str">
        <f>IFERROR(__xludf.DUMMYFUNCTION("""COMPUTED_VALUE"""),"-")</f>
        <v>-</v>
      </c>
      <c r="AZ253" s="403" t="str">
        <f>IFERROR(__xludf.DUMMYFUNCTION("""COMPUTED_VALUE"""),"-")</f>
        <v>-</v>
      </c>
      <c r="BA253" s="403" t="str">
        <f>IFERROR(__xludf.DUMMYFUNCTION("""COMPUTED_VALUE"""),"-")</f>
        <v>-</v>
      </c>
      <c r="BB253" s="343">
        <f>IFERROR(__xludf.DUMMYFUNCTION("""COMPUTED_VALUE"""),8.0)</f>
        <v>8</v>
      </c>
      <c r="BC253" s="343">
        <f>IFERROR(__xludf.DUMMYFUNCTION("""COMPUTED_VALUE"""),11.0)</f>
        <v>11</v>
      </c>
      <c r="BD253" s="343">
        <f>IFERROR(__xludf.DUMMYFUNCTION("""COMPUTED_VALUE"""),11.0)</f>
        <v>11</v>
      </c>
      <c r="BE253" s="385" t="str">
        <f>IFERROR(__xludf.DUMMYFUNCTION("""COMPUTED_VALUE"""),"ハイブリッド型")</f>
        <v>ハイブリッド型</v>
      </c>
      <c r="BF253" s="399">
        <f>IFERROR(__xludf.DUMMYFUNCTION("""COMPUTED_VALUE"""),3.0)</f>
        <v>3</v>
      </c>
      <c r="BG253" s="400" t="str">
        <f>IFERROR(__xludf.DUMMYFUNCTION("""COMPUTED_VALUE"""),"効果値")</f>
        <v>効果値</v>
      </c>
      <c r="BH253" s="411">
        <f>IFERROR(__xludf.DUMMYFUNCTION("""COMPUTED_VALUE"""),11.4)</f>
        <v>11.4</v>
      </c>
      <c r="BI253" s="412">
        <f>IFERROR(__xludf.DUMMYFUNCTION("""COMPUTED_VALUE"""),11.9)</f>
        <v>11.9</v>
      </c>
      <c r="BJ253" s="412">
        <f>IFERROR(__xludf.DUMMYFUNCTION("""COMPUTED_VALUE"""),12.5)</f>
        <v>12.5</v>
      </c>
      <c r="BK253" s="412">
        <f>IFERROR(__xludf.DUMMYFUNCTION("""COMPUTED_VALUE"""),13.0)</f>
        <v>13</v>
      </c>
      <c r="BL253" s="412">
        <f>IFERROR(__xludf.DUMMYFUNCTION("""COMPUTED_VALUE"""),13.5)</f>
        <v>13.5</v>
      </c>
      <c r="BM253" s="412">
        <f>IFERROR(__xludf.DUMMYFUNCTION("""COMPUTED_VALUE"""),18.5)</f>
        <v>18.5</v>
      </c>
      <c r="BN253" s="412">
        <f>IFERROR(__xludf.DUMMYFUNCTION("""COMPUTED_VALUE"""),23.0)</f>
        <v>23</v>
      </c>
      <c r="BO253" s="413">
        <f>IFERROR(__xludf.DUMMYFUNCTION("""COMPUTED_VALUE"""),27.0)</f>
        <v>27</v>
      </c>
    </row>
    <row r="254">
      <c r="A254" s="435" t="str">
        <f>IFERROR(__xludf.DUMMYFUNCTION("""COMPUTED_VALUE"""),"攻撃力UP(緑)")</f>
        <v>攻撃力UP(緑)</v>
      </c>
      <c r="B254" s="385" t="str">
        <f>IFERROR(__xludf.DUMMYFUNCTION("""COMPUTED_VALUE"""),"超瞬間型")</f>
        <v>超瞬間型</v>
      </c>
      <c r="C254" s="386">
        <f>IFERROR(__xludf.DUMMYFUNCTION("""COMPUTED_VALUE"""),3.0)</f>
        <v>3</v>
      </c>
      <c r="D254" s="387" t="str">
        <f>IFERROR(__xludf.DUMMYFUNCTION("""COMPUTED_VALUE"""),"効果時間")</f>
        <v>効果時間</v>
      </c>
      <c r="E254" s="388" t="str">
        <f>IFERROR(__xludf.DUMMYFUNCTION("""COMPUTED_VALUE"""),"-")</f>
        <v>-</v>
      </c>
      <c r="F254" s="389" t="str">
        <f>IFERROR(__xludf.DUMMYFUNCTION("""COMPUTED_VALUE"""),"-")</f>
        <v>-</v>
      </c>
      <c r="G254" s="388" t="str">
        <f>IFERROR(__xludf.DUMMYFUNCTION("""COMPUTED_VALUE"""),"-")</f>
        <v>-</v>
      </c>
      <c r="H254" s="389" t="str">
        <f>IFERROR(__xludf.DUMMYFUNCTION("""COMPUTED_VALUE"""),"-")</f>
        <v>-</v>
      </c>
      <c r="I254" s="388" t="str">
        <f>IFERROR(__xludf.DUMMYFUNCTION("""COMPUTED_VALUE"""),"-")</f>
        <v>-</v>
      </c>
      <c r="J254" s="390">
        <f>IFERROR(__xludf.DUMMYFUNCTION("""COMPUTED_VALUE"""),155.0)</f>
        <v>155</v>
      </c>
      <c r="K254" s="391">
        <f>IFERROR(__xludf.DUMMYFUNCTION("""COMPUTED_VALUE"""),165.0)</f>
        <v>165</v>
      </c>
      <c r="L254" s="340">
        <f>IFERROR(__xludf.DUMMYFUNCTION("""COMPUTED_VALUE"""),185.0)</f>
        <v>185</v>
      </c>
      <c r="M254" s="385" t="str">
        <f>IFERROR(__xludf.DUMMYFUNCTION("""COMPUTED_VALUE"""),"瞬間型")</f>
        <v>瞬間型</v>
      </c>
      <c r="N254" s="386">
        <f>IFERROR(__xludf.DUMMYFUNCTION("""COMPUTED_VALUE"""),3.0)</f>
        <v>3</v>
      </c>
      <c r="O254" s="387" t="str">
        <f>IFERROR(__xludf.DUMMYFUNCTION("""COMPUTED_VALUE"""),"効果時間")</f>
        <v>効果時間</v>
      </c>
      <c r="P254" s="392">
        <f>IFERROR(__xludf.DUMMYFUNCTION("""COMPUTED_VALUE"""),165.0)</f>
        <v>165</v>
      </c>
      <c r="Q254" s="414">
        <f>IFERROR(__xludf.DUMMYFUNCTION("""COMPUTED_VALUE"""),175.0)</f>
        <v>175</v>
      </c>
      <c r="R254" s="415">
        <f>IFERROR(__xludf.DUMMYFUNCTION("""COMPUTED_VALUE"""),180.0)</f>
        <v>180</v>
      </c>
      <c r="S254" s="393">
        <f>IFERROR(__xludf.DUMMYFUNCTION("""COMPUTED_VALUE"""),185.0)</f>
        <v>185</v>
      </c>
      <c r="T254" s="393">
        <f>IFERROR(__xludf.DUMMYFUNCTION("""COMPUTED_VALUE"""),195.0)</f>
        <v>195</v>
      </c>
      <c r="U254" s="414">
        <f>IFERROR(__xludf.DUMMYFUNCTION("""COMPUTED_VALUE"""),200.0)</f>
        <v>200</v>
      </c>
      <c r="V254" s="416">
        <f>IFERROR(__xludf.DUMMYFUNCTION("""COMPUTED_VALUE"""),255.0)</f>
        <v>255</v>
      </c>
      <c r="W254" s="415">
        <f>IFERROR(__xludf.DUMMYFUNCTION("""COMPUTED_VALUE"""),270.0)</f>
        <v>270</v>
      </c>
      <c r="X254" s="385" t="str">
        <f>IFERROR(__xludf.DUMMYFUNCTION("""COMPUTED_VALUE"""),"安定型")</f>
        <v>安定型</v>
      </c>
      <c r="Y254" s="386">
        <f>IFERROR(__xludf.DUMMYFUNCTION("""COMPUTED_VALUE"""),3.0)</f>
        <v>3</v>
      </c>
      <c r="Z254" s="387" t="str">
        <f>IFERROR(__xludf.DUMMYFUNCTION("""COMPUTED_VALUE"""),"効果時間")</f>
        <v>効果時間</v>
      </c>
      <c r="AA254" s="392">
        <f>IFERROR(__xludf.DUMMYFUNCTION("""COMPUTED_VALUE"""),315.0)</f>
        <v>315</v>
      </c>
      <c r="AB254" s="414">
        <f>IFERROR(__xludf.DUMMYFUNCTION("""COMPUTED_VALUE"""),325.0)</f>
        <v>325</v>
      </c>
      <c r="AC254" s="415">
        <f>IFERROR(__xludf.DUMMYFUNCTION("""COMPUTED_VALUE"""),330.0)</f>
        <v>330</v>
      </c>
      <c r="AD254" s="393">
        <f>IFERROR(__xludf.DUMMYFUNCTION("""COMPUTED_VALUE"""),335.0)</f>
        <v>335</v>
      </c>
      <c r="AE254" s="393">
        <f>IFERROR(__xludf.DUMMYFUNCTION("""COMPUTED_VALUE"""),345.0)</f>
        <v>345</v>
      </c>
      <c r="AF254" s="414">
        <f>IFERROR(__xludf.DUMMYFUNCTION("""COMPUTED_VALUE"""),370.0)</f>
        <v>370</v>
      </c>
      <c r="AG254" s="416">
        <f>IFERROR(__xludf.DUMMYFUNCTION("""COMPUTED_VALUE"""),405.0)</f>
        <v>405</v>
      </c>
      <c r="AH254" s="415">
        <f>IFERROR(__xludf.DUMMYFUNCTION("""COMPUTED_VALUE"""),420.0)</f>
        <v>420</v>
      </c>
      <c r="AI254" s="385" t="str">
        <f>IFERROR(__xludf.DUMMYFUNCTION("""COMPUTED_VALUE"""),"持続型")</f>
        <v>持続型</v>
      </c>
      <c r="AJ254" s="386">
        <f>IFERROR(__xludf.DUMMYFUNCTION("""COMPUTED_VALUE"""),3.0)</f>
        <v>3</v>
      </c>
      <c r="AK254" s="387" t="str">
        <f>IFERROR(__xludf.DUMMYFUNCTION("""COMPUTED_VALUE"""),"効果時間")</f>
        <v>効果時間</v>
      </c>
      <c r="AL254" s="392">
        <f>IFERROR(__xludf.DUMMYFUNCTION("""COMPUTED_VALUE"""),465.0)</f>
        <v>465</v>
      </c>
      <c r="AM254" s="414">
        <f>IFERROR(__xludf.DUMMYFUNCTION("""COMPUTED_VALUE"""),475.0)</f>
        <v>475</v>
      </c>
      <c r="AN254" s="415">
        <f>IFERROR(__xludf.DUMMYFUNCTION("""COMPUTED_VALUE"""),480.0)</f>
        <v>480</v>
      </c>
      <c r="AO254" s="393">
        <f>IFERROR(__xludf.DUMMYFUNCTION("""COMPUTED_VALUE"""),485.0)</f>
        <v>485</v>
      </c>
      <c r="AP254" s="393">
        <f>IFERROR(__xludf.DUMMYFUNCTION("""COMPUTED_VALUE"""),495.0)</f>
        <v>495</v>
      </c>
      <c r="AQ254" s="414">
        <f>IFERROR(__xludf.DUMMYFUNCTION("""COMPUTED_VALUE"""),520.0)</f>
        <v>520</v>
      </c>
      <c r="AR254" s="416">
        <f>IFERROR(__xludf.DUMMYFUNCTION("""COMPUTED_VALUE"""),555.0)</f>
        <v>555</v>
      </c>
      <c r="AS254" s="415">
        <f>IFERROR(__xludf.DUMMYFUNCTION("""COMPUTED_VALUE"""),570.0)</f>
        <v>570</v>
      </c>
      <c r="AT254" s="385" t="str">
        <f>IFERROR(__xludf.DUMMYFUNCTION("""COMPUTED_VALUE"""),"超持続型")</f>
        <v>超持続型</v>
      </c>
      <c r="AU254" s="386">
        <f>IFERROR(__xludf.DUMMYFUNCTION("""COMPUTED_VALUE"""),3.0)</f>
        <v>3</v>
      </c>
      <c r="AV254" s="387" t="str">
        <f>IFERROR(__xludf.DUMMYFUNCTION("""COMPUTED_VALUE"""),"効果時間")</f>
        <v>効果時間</v>
      </c>
      <c r="AW254" s="368" t="str">
        <f>IFERROR(__xludf.DUMMYFUNCTION("""COMPUTED_VALUE"""),"-")</f>
        <v>-</v>
      </c>
      <c r="AX254" s="368" t="str">
        <f>IFERROR(__xludf.DUMMYFUNCTION("""COMPUTED_VALUE"""),"-")</f>
        <v>-</v>
      </c>
      <c r="AY254" s="368" t="str">
        <f>IFERROR(__xludf.DUMMYFUNCTION("""COMPUTED_VALUE"""),"-")</f>
        <v>-</v>
      </c>
      <c r="AZ254" s="368" t="str">
        <f>IFERROR(__xludf.DUMMYFUNCTION("""COMPUTED_VALUE"""),"-")</f>
        <v>-</v>
      </c>
      <c r="BA254" s="368" t="str">
        <f>IFERROR(__xludf.DUMMYFUNCTION("""COMPUTED_VALUE"""),"-")</f>
        <v>-</v>
      </c>
      <c r="BB254" s="280">
        <f>IFERROR(__xludf.DUMMYFUNCTION("""COMPUTED_VALUE"""),635.0)</f>
        <v>635</v>
      </c>
      <c r="BC254" s="280">
        <f>IFERROR(__xludf.DUMMYFUNCTION("""COMPUTED_VALUE"""),705.0)</f>
        <v>705</v>
      </c>
      <c r="BD254" s="280">
        <f>IFERROR(__xludf.DUMMYFUNCTION("""COMPUTED_VALUE"""),720.0)</f>
        <v>720</v>
      </c>
      <c r="BE254" s="385" t="str">
        <f>IFERROR(__xludf.DUMMYFUNCTION("""COMPUTED_VALUE"""),"ハイブリッド型")</f>
        <v>ハイブリッド型</v>
      </c>
      <c r="BF254" s="386">
        <f>IFERROR(__xludf.DUMMYFUNCTION("""COMPUTED_VALUE"""),3.0)</f>
        <v>3</v>
      </c>
      <c r="BG254" s="387" t="str">
        <f>IFERROR(__xludf.DUMMYFUNCTION("""COMPUTED_VALUE"""),"効果時間")</f>
        <v>効果時間</v>
      </c>
      <c r="BH254" s="407">
        <f>IFERROR(__xludf.DUMMYFUNCTION("""COMPUTED_VALUE"""),220.0)</f>
        <v>220</v>
      </c>
      <c r="BI254" s="407">
        <f>IFERROR(__xludf.DUMMYFUNCTION("""COMPUTED_VALUE"""),235.0)</f>
        <v>235</v>
      </c>
      <c r="BJ254" s="407">
        <f>IFERROR(__xludf.DUMMYFUNCTION("""COMPUTED_VALUE"""),240.0)</f>
        <v>240</v>
      </c>
      <c r="BK254" s="408">
        <f>IFERROR(__xludf.DUMMYFUNCTION("""COMPUTED_VALUE"""),250.0)</f>
        <v>250</v>
      </c>
      <c r="BL254" s="407">
        <f>IFERROR(__xludf.DUMMYFUNCTION("""COMPUTED_VALUE"""),255.0)</f>
        <v>255</v>
      </c>
      <c r="BM254" s="408">
        <f>IFERROR(__xludf.DUMMYFUNCTION("""COMPUTED_VALUE"""),385.0)</f>
        <v>385</v>
      </c>
      <c r="BN254" s="407">
        <f>IFERROR(__xludf.DUMMYFUNCTION("""COMPUTED_VALUE"""),490.0)</f>
        <v>490</v>
      </c>
      <c r="BO254" s="408">
        <f>IFERROR(__xludf.DUMMYFUNCTION("""COMPUTED_VALUE"""),505.0)</f>
        <v>505</v>
      </c>
    </row>
    <row r="255">
      <c r="A255" s="435" t="str">
        <f>IFERROR(__xludf.DUMMYFUNCTION("""COMPUTED_VALUE"""),"攻撃力UP(緑)")</f>
        <v>攻撃力UP(緑)</v>
      </c>
      <c r="B255" s="385" t="str">
        <f>IFERROR(__xludf.DUMMYFUNCTION("""COMPUTED_VALUE"""),"超瞬間型")</f>
        <v>超瞬間型</v>
      </c>
      <c r="C255" s="399">
        <f>IFERROR(__xludf.DUMMYFUNCTION("""COMPUTED_VALUE"""),4.0)</f>
        <v>4</v>
      </c>
      <c r="D255" s="400" t="str">
        <f>IFERROR(__xludf.DUMMYFUNCTION("""COMPUTED_VALUE"""),"効果値")</f>
        <v>効果値</v>
      </c>
      <c r="E255" s="401" t="str">
        <f>IFERROR(__xludf.DUMMYFUNCTION("""COMPUTED_VALUE"""),"-")</f>
        <v>-</v>
      </c>
      <c r="F255" s="409" t="str">
        <f>IFERROR(__xludf.DUMMYFUNCTION("""COMPUTED_VALUE"""),"-")</f>
        <v>-</v>
      </c>
      <c r="G255" s="409" t="str">
        <f>IFERROR(__xludf.DUMMYFUNCTION("""COMPUTED_VALUE"""),"-")</f>
        <v>-</v>
      </c>
      <c r="H255" s="409" t="str">
        <f>IFERROR(__xludf.DUMMYFUNCTION("""COMPUTED_VALUE"""),"-")</f>
        <v>-</v>
      </c>
      <c r="I255" s="409" t="str">
        <f>IFERROR(__xludf.DUMMYFUNCTION("""COMPUTED_VALUE"""),"-")</f>
        <v>-</v>
      </c>
      <c r="J255" s="410">
        <f>IFERROR(__xludf.DUMMYFUNCTION("""COMPUTED_VALUE"""),59.0)</f>
        <v>59</v>
      </c>
      <c r="K255" s="410">
        <f>IFERROR(__xludf.DUMMYFUNCTION("""COMPUTED_VALUE"""),69.0)</f>
        <v>69</v>
      </c>
      <c r="L255" s="410">
        <f>IFERROR(__xludf.DUMMYFUNCTION("""COMPUTED_VALUE"""),74.0)</f>
        <v>74</v>
      </c>
      <c r="M255" s="385" t="str">
        <f>IFERROR(__xludf.DUMMYFUNCTION("""COMPUTED_VALUE"""),"瞬間型")</f>
        <v>瞬間型</v>
      </c>
      <c r="N255" s="399">
        <f>IFERROR(__xludf.DUMMYFUNCTION("""COMPUTED_VALUE"""),4.0)</f>
        <v>4</v>
      </c>
      <c r="O255" s="400" t="str">
        <f>IFERROR(__xludf.DUMMYFUNCTION("""COMPUTED_VALUE"""),"効果値")</f>
        <v>効果値</v>
      </c>
      <c r="P255" s="343">
        <f>IFERROR(__xludf.DUMMYFUNCTION("""COMPUTED_VALUE"""),23.0)</f>
        <v>23</v>
      </c>
      <c r="Q255" s="402">
        <f>IFERROR(__xludf.DUMMYFUNCTION("""COMPUTED_VALUE"""),23.0)</f>
        <v>23</v>
      </c>
      <c r="R255" s="343">
        <f>IFERROR(__xludf.DUMMYFUNCTION("""COMPUTED_VALUE"""),23.0)</f>
        <v>23</v>
      </c>
      <c r="S255" s="402">
        <f>IFERROR(__xludf.DUMMYFUNCTION("""COMPUTED_VALUE"""),23.0)</f>
        <v>23</v>
      </c>
      <c r="T255" s="343">
        <f>IFERROR(__xludf.DUMMYFUNCTION("""COMPUTED_VALUE"""),23.0)</f>
        <v>23</v>
      </c>
      <c r="U255" s="343">
        <f>IFERROR(__xludf.DUMMYFUNCTION("""COMPUTED_VALUE"""),29.0)</f>
        <v>29</v>
      </c>
      <c r="V255" s="343">
        <f>IFERROR(__xludf.DUMMYFUNCTION("""COMPUTED_VALUE"""),34.0)</f>
        <v>34</v>
      </c>
      <c r="W255" s="343">
        <f>IFERROR(__xludf.DUMMYFUNCTION("""COMPUTED_VALUE"""),39.0)</f>
        <v>39</v>
      </c>
      <c r="X255" s="385" t="str">
        <f>IFERROR(__xludf.DUMMYFUNCTION("""COMPUTED_VALUE"""),"安定型")</f>
        <v>安定型</v>
      </c>
      <c r="Y255" s="399">
        <f>IFERROR(__xludf.DUMMYFUNCTION("""COMPUTED_VALUE"""),4.0)</f>
        <v>4</v>
      </c>
      <c r="Z255" s="400" t="str">
        <f>IFERROR(__xludf.DUMMYFUNCTION("""COMPUTED_VALUE"""),"効果値")</f>
        <v>効果値</v>
      </c>
      <c r="AA255" s="343">
        <f>IFERROR(__xludf.DUMMYFUNCTION("""COMPUTED_VALUE"""),13.0)</f>
        <v>13</v>
      </c>
      <c r="AB255" s="402">
        <f>IFERROR(__xludf.DUMMYFUNCTION("""COMPUTED_VALUE"""),13.0)</f>
        <v>13</v>
      </c>
      <c r="AC255" s="343">
        <f>IFERROR(__xludf.DUMMYFUNCTION("""COMPUTED_VALUE"""),13.0)</f>
        <v>13</v>
      </c>
      <c r="AD255" s="402">
        <f>IFERROR(__xludf.DUMMYFUNCTION("""COMPUTED_VALUE"""),13.0)</f>
        <v>13</v>
      </c>
      <c r="AE255" s="343">
        <f>IFERROR(__xludf.DUMMYFUNCTION("""COMPUTED_VALUE"""),13.0)</f>
        <v>13</v>
      </c>
      <c r="AF255" s="343">
        <f>IFERROR(__xludf.DUMMYFUNCTION("""COMPUTED_VALUE"""),14.0)</f>
        <v>14</v>
      </c>
      <c r="AG255" s="343">
        <f>IFERROR(__xludf.DUMMYFUNCTION("""COMPUTED_VALUE"""),19.0)</f>
        <v>19</v>
      </c>
      <c r="AH255" s="343">
        <f>IFERROR(__xludf.DUMMYFUNCTION("""COMPUTED_VALUE"""),24.0)</f>
        <v>24</v>
      </c>
      <c r="AI255" s="385" t="str">
        <f>IFERROR(__xludf.DUMMYFUNCTION("""COMPUTED_VALUE"""),"持続型")</f>
        <v>持続型</v>
      </c>
      <c r="AJ255" s="399">
        <f>IFERROR(__xludf.DUMMYFUNCTION("""COMPUTED_VALUE"""),4.0)</f>
        <v>4</v>
      </c>
      <c r="AK255" s="400" t="str">
        <f>IFERROR(__xludf.DUMMYFUNCTION("""COMPUTED_VALUE"""),"効果値")</f>
        <v>効果値</v>
      </c>
      <c r="AL255" s="343">
        <f>IFERROR(__xludf.DUMMYFUNCTION("""COMPUTED_VALUE"""),8.0)</f>
        <v>8</v>
      </c>
      <c r="AM255" s="402">
        <f>IFERROR(__xludf.DUMMYFUNCTION("""COMPUTED_VALUE"""),8.0)</f>
        <v>8</v>
      </c>
      <c r="AN255" s="343">
        <f>IFERROR(__xludf.DUMMYFUNCTION("""COMPUTED_VALUE"""),8.0)</f>
        <v>8</v>
      </c>
      <c r="AO255" s="402">
        <f>IFERROR(__xludf.DUMMYFUNCTION("""COMPUTED_VALUE"""),8.0)</f>
        <v>8</v>
      </c>
      <c r="AP255" s="343">
        <f>IFERROR(__xludf.DUMMYFUNCTION("""COMPUTED_VALUE"""),8.0)</f>
        <v>8</v>
      </c>
      <c r="AQ255" s="343">
        <f>IFERROR(__xludf.DUMMYFUNCTION("""COMPUTED_VALUE"""),9.0)</f>
        <v>9</v>
      </c>
      <c r="AR255" s="343">
        <f>IFERROR(__xludf.DUMMYFUNCTION("""COMPUTED_VALUE"""),12.0)</f>
        <v>12</v>
      </c>
      <c r="AS255" s="343">
        <f>IFERROR(__xludf.DUMMYFUNCTION("""COMPUTED_VALUE"""),12.0)</f>
        <v>12</v>
      </c>
      <c r="AT255" s="385" t="str">
        <f>IFERROR(__xludf.DUMMYFUNCTION("""COMPUTED_VALUE"""),"超持続型")</f>
        <v>超持続型</v>
      </c>
      <c r="AU255" s="399">
        <f>IFERROR(__xludf.DUMMYFUNCTION("""COMPUTED_VALUE"""),4.0)</f>
        <v>4</v>
      </c>
      <c r="AV255" s="400" t="str">
        <f>IFERROR(__xludf.DUMMYFUNCTION("""COMPUTED_VALUE"""),"効果値")</f>
        <v>効果値</v>
      </c>
      <c r="AW255" s="403" t="str">
        <f>IFERROR(__xludf.DUMMYFUNCTION("""COMPUTED_VALUE"""),"-")</f>
        <v>-</v>
      </c>
      <c r="AX255" s="403" t="str">
        <f>IFERROR(__xludf.DUMMYFUNCTION("""COMPUTED_VALUE"""),"-")</f>
        <v>-</v>
      </c>
      <c r="AY255" s="403" t="str">
        <f>IFERROR(__xludf.DUMMYFUNCTION("""COMPUTED_VALUE"""),"-")</f>
        <v>-</v>
      </c>
      <c r="AZ255" s="403" t="str">
        <f>IFERROR(__xludf.DUMMYFUNCTION("""COMPUTED_VALUE"""),"-")</f>
        <v>-</v>
      </c>
      <c r="BA255" s="403" t="str">
        <f>IFERROR(__xludf.DUMMYFUNCTION("""COMPUTED_VALUE"""),"-")</f>
        <v>-</v>
      </c>
      <c r="BB255" s="343">
        <f>IFERROR(__xludf.DUMMYFUNCTION("""COMPUTED_VALUE"""),9.0)</f>
        <v>9</v>
      </c>
      <c r="BC255" s="343">
        <f>IFERROR(__xludf.DUMMYFUNCTION("""COMPUTED_VALUE"""),12.0)</f>
        <v>12</v>
      </c>
      <c r="BD255" s="343">
        <f>IFERROR(__xludf.DUMMYFUNCTION("""COMPUTED_VALUE"""),12.0)</f>
        <v>12</v>
      </c>
      <c r="BE255" s="385" t="str">
        <f>IFERROR(__xludf.DUMMYFUNCTION("""COMPUTED_VALUE"""),"ハイブリッド型")</f>
        <v>ハイブリッド型</v>
      </c>
      <c r="BF255" s="399">
        <f>IFERROR(__xludf.DUMMYFUNCTION("""COMPUTED_VALUE"""),4.0)</f>
        <v>4</v>
      </c>
      <c r="BG255" s="400" t="str">
        <f>IFERROR(__xludf.DUMMYFUNCTION("""COMPUTED_VALUE"""),"効果値")</f>
        <v>効果値</v>
      </c>
      <c r="BH255" s="411">
        <f>IFERROR(__xludf.DUMMYFUNCTION("""COMPUTED_VALUE"""),11.8)</f>
        <v>11.8</v>
      </c>
      <c r="BI255" s="412">
        <f>IFERROR(__xludf.DUMMYFUNCTION("""COMPUTED_VALUE"""),12.4)</f>
        <v>12.4</v>
      </c>
      <c r="BJ255" s="412">
        <f>IFERROR(__xludf.DUMMYFUNCTION("""COMPUTED_VALUE"""),13.1)</f>
        <v>13.1</v>
      </c>
      <c r="BK255" s="412">
        <f>IFERROR(__xludf.DUMMYFUNCTION("""COMPUTED_VALUE"""),13.7)</f>
        <v>13.7</v>
      </c>
      <c r="BL255" s="412">
        <f>IFERROR(__xludf.DUMMYFUNCTION("""COMPUTED_VALUE"""),14.4)</f>
        <v>14.4</v>
      </c>
      <c r="BM255" s="412">
        <f>IFERROR(__xludf.DUMMYFUNCTION("""COMPUTED_VALUE"""),19.4)</f>
        <v>19.4</v>
      </c>
      <c r="BN255" s="412">
        <f>IFERROR(__xludf.DUMMYFUNCTION("""COMPUTED_VALUE"""),24.0)</f>
        <v>24</v>
      </c>
      <c r="BO255" s="413">
        <f>IFERROR(__xludf.DUMMYFUNCTION("""COMPUTED_VALUE"""),29.0)</f>
        <v>29</v>
      </c>
    </row>
    <row r="256">
      <c r="A256" s="435" t="str">
        <f>IFERROR(__xludf.DUMMYFUNCTION("""COMPUTED_VALUE"""),"攻撃力UP(緑)")</f>
        <v>攻撃力UP(緑)</v>
      </c>
      <c r="B256" s="385" t="str">
        <f>IFERROR(__xludf.DUMMYFUNCTION("""COMPUTED_VALUE"""),"超瞬間型")</f>
        <v>超瞬間型</v>
      </c>
      <c r="C256" s="386">
        <f>IFERROR(__xludf.DUMMYFUNCTION("""COMPUTED_VALUE"""),4.0)</f>
        <v>4</v>
      </c>
      <c r="D256" s="387" t="str">
        <f>IFERROR(__xludf.DUMMYFUNCTION("""COMPUTED_VALUE"""),"効果時間")</f>
        <v>効果時間</v>
      </c>
      <c r="E256" s="388" t="str">
        <f>IFERROR(__xludf.DUMMYFUNCTION("""COMPUTED_VALUE"""),"-")</f>
        <v>-</v>
      </c>
      <c r="F256" s="389" t="str">
        <f>IFERROR(__xludf.DUMMYFUNCTION("""COMPUTED_VALUE"""),"-")</f>
        <v>-</v>
      </c>
      <c r="G256" s="388" t="str">
        <f>IFERROR(__xludf.DUMMYFUNCTION("""COMPUTED_VALUE"""),"-")</f>
        <v>-</v>
      </c>
      <c r="H256" s="389" t="str">
        <f>IFERROR(__xludf.DUMMYFUNCTION("""COMPUTED_VALUE"""),"-")</f>
        <v>-</v>
      </c>
      <c r="I256" s="388" t="str">
        <f>IFERROR(__xludf.DUMMYFUNCTION("""COMPUTED_VALUE"""),"-")</f>
        <v>-</v>
      </c>
      <c r="J256" s="390">
        <f>IFERROR(__xludf.DUMMYFUNCTION("""COMPUTED_VALUE"""),155.0)</f>
        <v>155</v>
      </c>
      <c r="K256" s="391">
        <f>IFERROR(__xludf.DUMMYFUNCTION("""COMPUTED_VALUE"""),170.0)</f>
        <v>170</v>
      </c>
      <c r="L256" s="340">
        <f>IFERROR(__xludf.DUMMYFUNCTION("""COMPUTED_VALUE"""),195.0)</f>
        <v>195</v>
      </c>
      <c r="M256" s="385" t="str">
        <f>IFERROR(__xludf.DUMMYFUNCTION("""COMPUTED_VALUE"""),"瞬間型")</f>
        <v>瞬間型</v>
      </c>
      <c r="N256" s="386">
        <f>IFERROR(__xludf.DUMMYFUNCTION("""COMPUTED_VALUE"""),4.0)</f>
        <v>4</v>
      </c>
      <c r="O256" s="387" t="str">
        <f>IFERROR(__xludf.DUMMYFUNCTION("""COMPUTED_VALUE"""),"効果時間")</f>
        <v>効果時間</v>
      </c>
      <c r="P256" s="280">
        <f>IFERROR(__xludf.DUMMYFUNCTION("""COMPUTED_VALUE"""),170.0)</f>
        <v>170</v>
      </c>
      <c r="Q256" s="275">
        <f>IFERROR(__xludf.DUMMYFUNCTION("""COMPUTED_VALUE"""),180.0)</f>
        <v>180</v>
      </c>
      <c r="R256" s="280">
        <f>IFERROR(__xludf.DUMMYFUNCTION("""COMPUTED_VALUE"""),185.0)</f>
        <v>185</v>
      </c>
      <c r="S256" s="275">
        <f>IFERROR(__xludf.DUMMYFUNCTION("""COMPUTED_VALUE"""),195.0)</f>
        <v>195</v>
      </c>
      <c r="T256" s="280">
        <f>IFERROR(__xludf.DUMMYFUNCTION("""COMPUTED_VALUE"""),200.0)</f>
        <v>200</v>
      </c>
      <c r="U256" s="280">
        <f>IFERROR(__xludf.DUMMYFUNCTION("""COMPUTED_VALUE"""),215.0)</f>
        <v>215</v>
      </c>
      <c r="V256" s="280">
        <f>IFERROR(__xludf.DUMMYFUNCTION("""COMPUTED_VALUE"""),285.0)</f>
        <v>285</v>
      </c>
      <c r="W256" s="280">
        <f>IFERROR(__xludf.DUMMYFUNCTION("""COMPUTED_VALUE"""),305.0)</f>
        <v>305</v>
      </c>
      <c r="X256" s="385" t="str">
        <f>IFERROR(__xludf.DUMMYFUNCTION("""COMPUTED_VALUE"""),"安定型")</f>
        <v>安定型</v>
      </c>
      <c r="Y256" s="386">
        <f>IFERROR(__xludf.DUMMYFUNCTION("""COMPUTED_VALUE"""),4.0)</f>
        <v>4</v>
      </c>
      <c r="Z256" s="387" t="str">
        <f>IFERROR(__xludf.DUMMYFUNCTION("""COMPUTED_VALUE"""),"効果時間")</f>
        <v>効果時間</v>
      </c>
      <c r="AA256" s="280">
        <f>IFERROR(__xludf.DUMMYFUNCTION("""COMPUTED_VALUE"""),320.0)</f>
        <v>320</v>
      </c>
      <c r="AB256" s="275">
        <f>IFERROR(__xludf.DUMMYFUNCTION("""COMPUTED_VALUE"""),330.0)</f>
        <v>330</v>
      </c>
      <c r="AC256" s="280">
        <f>IFERROR(__xludf.DUMMYFUNCTION("""COMPUTED_VALUE"""),335.0)</f>
        <v>335</v>
      </c>
      <c r="AD256" s="275">
        <f>IFERROR(__xludf.DUMMYFUNCTION("""COMPUTED_VALUE"""),345.0)</f>
        <v>345</v>
      </c>
      <c r="AE256" s="280">
        <f>IFERROR(__xludf.DUMMYFUNCTION("""COMPUTED_VALUE"""),350.0)</f>
        <v>350</v>
      </c>
      <c r="AF256" s="280">
        <f>IFERROR(__xludf.DUMMYFUNCTION("""COMPUTED_VALUE"""),390.0)</f>
        <v>390</v>
      </c>
      <c r="AG256" s="280">
        <f>IFERROR(__xludf.DUMMYFUNCTION("""COMPUTED_VALUE"""),435.0)</f>
        <v>435</v>
      </c>
      <c r="AH256" s="280">
        <f>IFERROR(__xludf.DUMMYFUNCTION("""COMPUTED_VALUE"""),455.0)</f>
        <v>455</v>
      </c>
      <c r="AI256" s="385" t="str">
        <f>IFERROR(__xludf.DUMMYFUNCTION("""COMPUTED_VALUE"""),"持続型")</f>
        <v>持続型</v>
      </c>
      <c r="AJ256" s="386">
        <f>IFERROR(__xludf.DUMMYFUNCTION("""COMPUTED_VALUE"""),4.0)</f>
        <v>4</v>
      </c>
      <c r="AK256" s="387" t="str">
        <f>IFERROR(__xludf.DUMMYFUNCTION("""COMPUTED_VALUE"""),"効果時間")</f>
        <v>効果時間</v>
      </c>
      <c r="AL256" s="280">
        <f>IFERROR(__xludf.DUMMYFUNCTION("""COMPUTED_VALUE"""),470.0)</f>
        <v>470</v>
      </c>
      <c r="AM256" s="275">
        <f>IFERROR(__xludf.DUMMYFUNCTION("""COMPUTED_VALUE"""),480.0)</f>
        <v>480</v>
      </c>
      <c r="AN256" s="280">
        <f>IFERROR(__xludf.DUMMYFUNCTION("""COMPUTED_VALUE"""),485.0)</f>
        <v>485</v>
      </c>
      <c r="AO256" s="275">
        <f>IFERROR(__xludf.DUMMYFUNCTION("""COMPUTED_VALUE"""),495.0)</f>
        <v>495</v>
      </c>
      <c r="AP256" s="280">
        <f>IFERROR(__xludf.DUMMYFUNCTION("""COMPUTED_VALUE"""),500.0)</f>
        <v>500</v>
      </c>
      <c r="AQ256" s="280">
        <f>IFERROR(__xludf.DUMMYFUNCTION("""COMPUTED_VALUE"""),540.0)</f>
        <v>540</v>
      </c>
      <c r="AR256" s="280">
        <f>IFERROR(__xludf.DUMMYFUNCTION("""COMPUTED_VALUE"""),585.0)</f>
        <v>585</v>
      </c>
      <c r="AS256" s="280">
        <f>IFERROR(__xludf.DUMMYFUNCTION("""COMPUTED_VALUE"""),605.0)</f>
        <v>605</v>
      </c>
      <c r="AT256" s="385" t="str">
        <f>IFERROR(__xludf.DUMMYFUNCTION("""COMPUTED_VALUE"""),"超持続型")</f>
        <v>超持続型</v>
      </c>
      <c r="AU256" s="386">
        <f>IFERROR(__xludf.DUMMYFUNCTION("""COMPUTED_VALUE"""),4.0)</f>
        <v>4</v>
      </c>
      <c r="AV256" s="387" t="str">
        <f>IFERROR(__xludf.DUMMYFUNCTION("""COMPUTED_VALUE"""),"効果時間")</f>
        <v>効果時間</v>
      </c>
      <c r="AW256" s="368" t="str">
        <f>IFERROR(__xludf.DUMMYFUNCTION("""COMPUTED_VALUE"""),"-")</f>
        <v>-</v>
      </c>
      <c r="AX256" s="368" t="str">
        <f>IFERROR(__xludf.DUMMYFUNCTION("""COMPUTED_VALUE"""),"-")</f>
        <v>-</v>
      </c>
      <c r="AY256" s="368" t="str">
        <f>IFERROR(__xludf.DUMMYFUNCTION("""COMPUTED_VALUE"""),"-")</f>
        <v>-</v>
      </c>
      <c r="AZ256" s="368" t="str">
        <f>IFERROR(__xludf.DUMMYFUNCTION("""COMPUTED_VALUE"""),"-")</f>
        <v>-</v>
      </c>
      <c r="BA256" s="368" t="str">
        <f>IFERROR(__xludf.DUMMYFUNCTION("""COMPUTED_VALUE"""),"-")</f>
        <v>-</v>
      </c>
      <c r="BB256" s="280">
        <f>IFERROR(__xludf.DUMMYFUNCTION("""COMPUTED_VALUE"""),645.0)</f>
        <v>645</v>
      </c>
      <c r="BC256" s="280">
        <f>IFERROR(__xludf.DUMMYFUNCTION("""COMPUTED_VALUE"""),735.0)</f>
        <v>735</v>
      </c>
      <c r="BD256" s="280">
        <f>IFERROR(__xludf.DUMMYFUNCTION("""COMPUTED_VALUE"""),755.0)</f>
        <v>755</v>
      </c>
      <c r="BE256" s="385" t="str">
        <f>IFERROR(__xludf.DUMMYFUNCTION("""COMPUTED_VALUE"""),"ハイブリッド型")</f>
        <v>ハイブリッド型</v>
      </c>
      <c r="BF256" s="386">
        <f>IFERROR(__xludf.DUMMYFUNCTION("""COMPUTED_VALUE"""),4.0)</f>
        <v>4</v>
      </c>
      <c r="BG256" s="387" t="str">
        <f>IFERROR(__xludf.DUMMYFUNCTION("""COMPUTED_VALUE"""),"効果時間")</f>
        <v>効果時間</v>
      </c>
      <c r="BH256" s="417">
        <f>IFERROR(__xludf.DUMMYFUNCTION("""COMPUTED_VALUE"""),240.0)</f>
        <v>240</v>
      </c>
      <c r="BI256" s="417">
        <f>IFERROR(__xludf.DUMMYFUNCTION("""COMPUTED_VALUE"""),255.0)</f>
        <v>255</v>
      </c>
      <c r="BJ256" s="417">
        <f>IFERROR(__xludf.DUMMYFUNCTION("""COMPUTED_VALUE"""),265.0)</f>
        <v>265</v>
      </c>
      <c r="BK256" s="418">
        <f>IFERROR(__xludf.DUMMYFUNCTION("""COMPUTED_VALUE"""),275.0)</f>
        <v>275</v>
      </c>
      <c r="BL256" s="417">
        <f>IFERROR(__xludf.DUMMYFUNCTION("""COMPUTED_VALUE"""),285.0)</f>
        <v>285</v>
      </c>
      <c r="BM256" s="418">
        <f>IFERROR(__xludf.DUMMYFUNCTION("""COMPUTED_VALUE"""),395.0)</f>
        <v>395</v>
      </c>
      <c r="BN256" s="417">
        <f>IFERROR(__xludf.DUMMYFUNCTION("""COMPUTED_VALUE"""),500.0)</f>
        <v>500</v>
      </c>
      <c r="BO256" s="418">
        <f>IFERROR(__xludf.DUMMYFUNCTION("""COMPUTED_VALUE"""),520.0)</f>
        <v>520</v>
      </c>
    </row>
    <row r="257">
      <c r="A257" s="435" t="str">
        <f>IFERROR(__xludf.DUMMYFUNCTION("""COMPUTED_VALUE"""),"攻撃力UP(緑)")</f>
        <v>攻撃力UP(緑)</v>
      </c>
      <c r="B257" s="385" t="str">
        <f>IFERROR(__xludf.DUMMYFUNCTION("""COMPUTED_VALUE"""),"超瞬間型")</f>
        <v>超瞬間型</v>
      </c>
      <c r="C257" s="399">
        <f>IFERROR(__xludf.DUMMYFUNCTION("""COMPUTED_VALUE"""),5.0)</f>
        <v>5</v>
      </c>
      <c r="D257" s="400" t="str">
        <f>IFERROR(__xludf.DUMMYFUNCTION("""COMPUTED_VALUE"""),"効果値")</f>
        <v>効果値</v>
      </c>
      <c r="E257" s="419" t="str">
        <f>IFERROR(__xludf.DUMMYFUNCTION("""COMPUTED_VALUE"""),"-")</f>
        <v>-</v>
      </c>
      <c r="F257" s="409" t="str">
        <f>IFERROR(__xludf.DUMMYFUNCTION("""COMPUTED_VALUE"""),"-")</f>
        <v>-</v>
      </c>
      <c r="G257" s="409" t="str">
        <f>IFERROR(__xludf.DUMMYFUNCTION("""COMPUTED_VALUE"""),"-")</f>
        <v>-</v>
      </c>
      <c r="H257" s="409" t="str">
        <f>IFERROR(__xludf.DUMMYFUNCTION("""COMPUTED_VALUE"""),"-")</f>
        <v>-</v>
      </c>
      <c r="I257" s="409" t="str">
        <f>IFERROR(__xludf.DUMMYFUNCTION("""COMPUTED_VALUE"""),"-")</f>
        <v>-</v>
      </c>
      <c r="J257" s="420">
        <f>IFERROR(__xludf.DUMMYFUNCTION("""COMPUTED_VALUE"""),60.0)</f>
        <v>60</v>
      </c>
      <c r="K257" s="421">
        <f>IFERROR(__xludf.DUMMYFUNCTION("""COMPUTED_VALUE"""),70.0)</f>
        <v>70</v>
      </c>
      <c r="L257" s="421">
        <f>IFERROR(__xludf.DUMMYFUNCTION("""COMPUTED_VALUE"""),75.0)</f>
        <v>75</v>
      </c>
      <c r="M257" s="385" t="str">
        <f>IFERROR(__xludf.DUMMYFUNCTION("""COMPUTED_VALUE"""),"瞬間型")</f>
        <v>瞬間型</v>
      </c>
      <c r="N257" s="399">
        <f>IFERROR(__xludf.DUMMYFUNCTION("""COMPUTED_VALUE"""),5.0)</f>
        <v>5</v>
      </c>
      <c r="O257" s="400" t="str">
        <f>IFERROR(__xludf.DUMMYFUNCTION("""COMPUTED_VALUE"""),"効果値")</f>
        <v>効果値</v>
      </c>
      <c r="P257" s="422">
        <f>IFERROR(__xludf.DUMMYFUNCTION("""COMPUTED_VALUE"""),23.0)</f>
        <v>23</v>
      </c>
      <c r="Q257" s="423">
        <f>IFERROR(__xludf.DUMMYFUNCTION("""COMPUTED_VALUE"""),23.0)</f>
        <v>23</v>
      </c>
      <c r="R257" s="422">
        <f>IFERROR(__xludf.DUMMYFUNCTION("""COMPUTED_VALUE"""),24.0)</f>
        <v>24</v>
      </c>
      <c r="S257" s="423">
        <f>IFERROR(__xludf.DUMMYFUNCTION("""COMPUTED_VALUE"""),24.0)</f>
        <v>24</v>
      </c>
      <c r="T257" s="422">
        <f>IFERROR(__xludf.DUMMYFUNCTION("""COMPUTED_VALUE"""),24.0)</f>
        <v>24</v>
      </c>
      <c r="U257" s="423">
        <f>IFERROR(__xludf.DUMMYFUNCTION("""COMPUTED_VALUE"""),30.0)</f>
        <v>30</v>
      </c>
      <c r="V257" s="423">
        <f>IFERROR(__xludf.DUMMYFUNCTION("""COMPUTED_VALUE"""),35.0)</f>
        <v>35</v>
      </c>
      <c r="W257" s="424">
        <f>IFERROR(__xludf.DUMMYFUNCTION("""COMPUTED_VALUE"""),40.0)</f>
        <v>40</v>
      </c>
      <c r="X257" s="385" t="str">
        <f>IFERROR(__xludf.DUMMYFUNCTION("""COMPUTED_VALUE"""),"安定型")</f>
        <v>安定型</v>
      </c>
      <c r="Y257" s="399">
        <f>IFERROR(__xludf.DUMMYFUNCTION("""COMPUTED_VALUE"""),5.0)</f>
        <v>5</v>
      </c>
      <c r="Z257" s="400" t="str">
        <f>IFERROR(__xludf.DUMMYFUNCTION("""COMPUTED_VALUE"""),"効果値")</f>
        <v>効果値</v>
      </c>
      <c r="AA257" s="422">
        <f>IFERROR(__xludf.DUMMYFUNCTION("""COMPUTED_VALUE"""),13.0)</f>
        <v>13</v>
      </c>
      <c r="AB257" s="423">
        <f>IFERROR(__xludf.DUMMYFUNCTION("""COMPUTED_VALUE"""),13.0)</f>
        <v>13</v>
      </c>
      <c r="AC257" s="422">
        <f>IFERROR(__xludf.DUMMYFUNCTION("""COMPUTED_VALUE"""),14.0)</f>
        <v>14</v>
      </c>
      <c r="AD257" s="423">
        <f>IFERROR(__xludf.DUMMYFUNCTION("""COMPUTED_VALUE"""),14.0)</f>
        <v>14</v>
      </c>
      <c r="AE257" s="422">
        <f>IFERROR(__xludf.DUMMYFUNCTION("""COMPUTED_VALUE"""),14.0)</f>
        <v>14</v>
      </c>
      <c r="AF257" s="423">
        <f>IFERROR(__xludf.DUMMYFUNCTION("""COMPUTED_VALUE"""),15.0)</f>
        <v>15</v>
      </c>
      <c r="AG257" s="423">
        <f>IFERROR(__xludf.DUMMYFUNCTION("""COMPUTED_VALUE"""),20.0)</f>
        <v>20</v>
      </c>
      <c r="AH257" s="424">
        <f>IFERROR(__xludf.DUMMYFUNCTION("""COMPUTED_VALUE"""),25.0)</f>
        <v>25</v>
      </c>
      <c r="AI257" s="385" t="str">
        <f>IFERROR(__xludf.DUMMYFUNCTION("""COMPUTED_VALUE"""),"持続型")</f>
        <v>持続型</v>
      </c>
      <c r="AJ257" s="399">
        <f>IFERROR(__xludf.DUMMYFUNCTION("""COMPUTED_VALUE"""),5.0)</f>
        <v>5</v>
      </c>
      <c r="AK257" s="400" t="str">
        <f>IFERROR(__xludf.DUMMYFUNCTION("""COMPUTED_VALUE"""),"効果値")</f>
        <v>効果値</v>
      </c>
      <c r="AL257" s="422">
        <f>IFERROR(__xludf.DUMMYFUNCTION("""COMPUTED_VALUE"""),8.0)</f>
        <v>8</v>
      </c>
      <c r="AM257" s="423">
        <f>IFERROR(__xludf.DUMMYFUNCTION("""COMPUTED_VALUE"""),8.0)</f>
        <v>8</v>
      </c>
      <c r="AN257" s="422">
        <f>IFERROR(__xludf.DUMMYFUNCTION("""COMPUTED_VALUE"""),9.0)</f>
        <v>9</v>
      </c>
      <c r="AO257" s="423">
        <f>IFERROR(__xludf.DUMMYFUNCTION("""COMPUTED_VALUE"""),9.0)</f>
        <v>9</v>
      </c>
      <c r="AP257" s="422">
        <f>IFERROR(__xludf.DUMMYFUNCTION("""COMPUTED_VALUE"""),9.0)</f>
        <v>9</v>
      </c>
      <c r="AQ257" s="423">
        <f>IFERROR(__xludf.DUMMYFUNCTION("""COMPUTED_VALUE"""),10.0)</f>
        <v>10</v>
      </c>
      <c r="AR257" s="423">
        <f>IFERROR(__xludf.DUMMYFUNCTION("""COMPUTED_VALUE"""),12.0)</f>
        <v>12</v>
      </c>
      <c r="AS257" s="424">
        <f>IFERROR(__xludf.DUMMYFUNCTION("""COMPUTED_VALUE"""),12.0)</f>
        <v>12</v>
      </c>
      <c r="AT257" s="385" t="str">
        <f>IFERROR(__xludf.DUMMYFUNCTION("""COMPUTED_VALUE"""),"超持続型")</f>
        <v>超持続型</v>
      </c>
      <c r="AU257" s="399">
        <f>IFERROR(__xludf.DUMMYFUNCTION("""COMPUTED_VALUE"""),5.0)</f>
        <v>5</v>
      </c>
      <c r="AV257" s="400" t="str">
        <f>IFERROR(__xludf.DUMMYFUNCTION("""COMPUTED_VALUE"""),"効果値")</f>
        <v>効果値</v>
      </c>
      <c r="AW257" s="425" t="str">
        <f>IFERROR(__xludf.DUMMYFUNCTION("""COMPUTED_VALUE"""),"-")</f>
        <v>-</v>
      </c>
      <c r="AX257" s="426" t="str">
        <f>IFERROR(__xludf.DUMMYFUNCTION("""COMPUTED_VALUE"""),"-")</f>
        <v>-</v>
      </c>
      <c r="AY257" s="426" t="str">
        <f>IFERROR(__xludf.DUMMYFUNCTION("""COMPUTED_VALUE"""),"-")</f>
        <v>-</v>
      </c>
      <c r="AZ257" s="426" t="str">
        <f>IFERROR(__xludf.DUMMYFUNCTION("""COMPUTED_VALUE"""),"-")</f>
        <v>-</v>
      </c>
      <c r="BA257" s="426" t="str">
        <f>IFERROR(__xludf.DUMMYFUNCTION("""COMPUTED_VALUE"""),"-")</f>
        <v>-</v>
      </c>
      <c r="BB257" s="423">
        <f>IFERROR(__xludf.DUMMYFUNCTION("""COMPUTED_VALUE"""),10.0)</f>
        <v>10</v>
      </c>
      <c r="BC257" s="423">
        <f>IFERROR(__xludf.DUMMYFUNCTION("""COMPUTED_VALUE"""),12.0)</f>
        <v>12</v>
      </c>
      <c r="BD257" s="424">
        <f>IFERROR(__xludf.DUMMYFUNCTION("""COMPUTED_VALUE"""),12.0)</f>
        <v>12</v>
      </c>
      <c r="BE257" s="385" t="str">
        <f>IFERROR(__xludf.DUMMYFUNCTION("""COMPUTED_VALUE"""),"ハイブリッド型")</f>
        <v>ハイブリッド型</v>
      </c>
      <c r="BF257" s="399">
        <f>IFERROR(__xludf.DUMMYFUNCTION("""COMPUTED_VALUE"""),5.0)</f>
        <v>5</v>
      </c>
      <c r="BG257" s="400" t="str">
        <f>IFERROR(__xludf.DUMMYFUNCTION("""COMPUTED_VALUE"""),"効果値")</f>
        <v>効果値</v>
      </c>
      <c r="BH257" s="427">
        <f>IFERROR(__xludf.DUMMYFUNCTION("""COMPUTED_VALUE"""),12.0)</f>
        <v>12</v>
      </c>
      <c r="BI257" s="428">
        <f>IFERROR(__xludf.DUMMYFUNCTION("""COMPUTED_VALUE"""),12.75)</f>
        <v>12.75</v>
      </c>
      <c r="BJ257" s="428">
        <f>IFERROR(__xludf.DUMMYFUNCTION("""COMPUTED_VALUE"""),13.5)</f>
        <v>13.5</v>
      </c>
      <c r="BK257" s="428">
        <f>IFERROR(__xludf.DUMMYFUNCTION("""COMPUTED_VALUE"""),14.25)</f>
        <v>14.25</v>
      </c>
      <c r="BL257" s="427">
        <f>IFERROR(__xludf.DUMMYFUNCTION("""COMPUTED_VALUE"""),15.0)</f>
        <v>15</v>
      </c>
      <c r="BM257" s="427">
        <f>IFERROR(__xludf.DUMMYFUNCTION("""COMPUTED_VALUE"""),20.0)</f>
        <v>20</v>
      </c>
      <c r="BN257" s="427">
        <f>IFERROR(__xludf.DUMMYFUNCTION("""COMPUTED_VALUE"""),25.0)</f>
        <v>25</v>
      </c>
      <c r="BO257" s="429">
        <f>IFERROR(__xludf.DUMMYFUNCTION("""COMPUTED_VALUE"""),30.0)</f>
        <v>30</v>
      </c>
    </row>
    <row r="258">
      <c r="A258" s="435" t="str">
        <f>IFERROR(__xludf.DUMMYFUNCTION("""COMPUTED_VALUE"""),"攻撃力UP(緑)")</f>
        <v>攻撃力UP(緑)</v>
      </c>
      <c r="B258" s="385" t="str">
        <f>IFERROR(__xludf.DUMMYFUNCTION("""COMPUTED_VALUE"""),"超瞬間型")</f>
        <v>超瞬間型</v>
      </c>
      <c r="C258" s="430">
        <f>IFERROR(__xludf.DUMMYFUNCTION("""COMPUTED_VALUE"""),5.0)</f>
        <v>5</v>
      </c>
      <c r="D258" s="431" t="str">
        <f>IFERROR(__xludf.DUMMYFUNCTION("""COMPUTED_VALUE"""),"効果時間")</f>
        <v>効果時間</v>
      </c>
      <c r="E258" s="388" t="str">
        <f>IFERROR(__xludf.DUMMYFUNCTION("""COMPUTED_VALUE"""),"-")</f>
        <v>-</v>
      </c>
      <c r="F258" s="389" t="str">
        <f>IFERROR(__xludf.DUMMYFUNCTION("""COMPUTED_VALUE"""),"-")</f>
        <v>-</v>
      </c>
      <c r="G258" s="388" t="str">
        <f>IFERROR(__xludf.DUMMYFUNCTION("""COMPUTED_VALUE"""),"-")</f>
        <v>-</v>
      </c>
      <c r="H258" s="389" t="str">
        <f>IFERROR(__xludf.DUMMYFUNCTION("""COMPUTED_VALUE"""),"-")</f>
        <v>-</v>
      </c>
      <c r="I258" s="388" t="str">
        <f>IFERROR(__xludf.DUMMYFUNCTION("""COMPUTED_VALUE"""),"-")</f>
        <v>-</v>
      </c>
      <c r="J258" s="390">
        <f>IFERROR(__xludf.DUMMYFUNCTION("""COMPUTED_VALUE"""),160.0)</f>
        <v>160</v>
      </c>
      <c r="K258" s="391">
        <f>IFERROR(__xludf.DUMMYFUNCTION("""COMPUTED_VALUE"""),175.0)</f>
        <v>175</v>
      </c>
      <c r="L258" s="340">
        <f>IFERROR(__xludf.DUMMYFUNCTION("""COMPUTED_VALUE"""),200.0)</f>
        <v>200</v>
      </c>
      <c r="M258" s="385" t="str">
        <f>IFERROR(__xludf.DUMMYFUNCTION("""COMPUTED_VALUE"""),"瞬間型")</f>
        <v>瞬間型</v>
      </c>
      <c r="N258" s="430">
        <f>IFERROR(__xludf.DUMMYFUNCTION("""COMPUTED_VALUE"""),5.0)</f>
        <v>5</v>
      </c>
      <c r="O258" s="431" t="str">
        <f>IFERROR(__xludf.DUMMYFUNCTION("""COMPUTED_VALUE"""),"効果時間")</f>
        <v>効果時間</v>
      </c>
      <c r="P258" s="392">
        <f>IFERROR(__xludf.DUMMYFUNCTION("""COMPUTED_VALUE"""),175.0)</f>
        <v>175</v>
      </c>
      <c r="Q258" s="414">
        <f>IFERROR(__xludf.DUMMYFUNCTION("""COMPUTED_VALUE"""),185.0)</f>
        <v>185</v>
      </c>
      <c r="R258" s="414">
        <f>IFERROR(__xludf.DUMMYFUNCTION("""COMPUTED_VALUE"""),190.0)</f>
        <v>190</v>
      </c>
      <c r="S258" s="414">
        <f>IFERROR(__xludf.DUMMYFUNCTION("""COMPUTED_VALUE"""),195.0)</f>
        <v>195</v>
      </c>
      <c r="T258" s="394">
        <f>IFERROR(__xludf.DUMMYFUNCTION("""COMPUTED_VALUE"""),200.0)</f>
        <v>200</v>
      </c>
      <c r="U258" s="394">
        <f>IFERROR(__xludf.DUMMYFUNCTION("""COMPUTED_VALUE"""),225.0)</f>
        <v>225</v>
      </c>
      <c r="V258" s="394">
        <f>IFERROR(__xludf.DUMMYFUNCTION("""COMPUTED_VALUE"""),300.0)</f>
        <v>300</v>
      </c>
      <c r="W258" s="394">
        <f>IFERROR(__xludf.DUMMYFUNCTION("""COMPUTED_VALUE"""),325.0)</f>
        <v>325</v>
      </c>
      <c r="X258" s="385" t="str">
        <f>IFERROR(__xludf.DUMMYFUNCTION("""COMPUTED_VALUE"""),"安定型")</f>
        <v>安定型</v>
      </c>
      <c r="Y258" s="430">
        <f>IFERROR(__xludf.DUMMYFUNCTION("""COMPUTED_VALUE"""),5.0)</f>
        <v>5</v>
      </c>
      <c r="Z258" s="431" t="str">
        <f>IFERROR(__xludf.DUMMYFUNCTION("""COMPUTED_VALUE"""),"効果時間")</f>
        <v>効果時間</v>
      </c>
      <c r="AA258" s="392">
        <f>IFERROR(__xludf.DUMMYFUNCTION("""COMPUTED_VALUE"""),325.0)</f>
        <v>325</v>
      </c>
      <c r="AB258" s="414">
        <f>IFERROR(__xludf.DUMMYFUNCTION("""COMPUTED_VALUE"""),335.0)</f>
        <v>335</v>
      </c>
      <c r="AC258" s="414">
        <f>IFERROR(__xludf.DUMMYFUNCTION("""COMPUTED_VALUE"""),340.0)</f>
        <v>340</v>
      </c>
      <c r="AD258" s="414">
        <f>IFERROR(__xludf.DUMMYFUNCTION("""COMPUTED_VALUE"""),345.0)</f>
        <v>345</v>
      </c>
      <c r="AE258" s="394">
        <f>IFERROR(__xludf.DUMMYFUNCTION("""COMPUTED_VALUE"""),350.0)</f>
        <v>350</v>
      </c>
      <c r="AF258" s="394">
        <f>IFERROR(__xludf.DUMMYFUNCTION("""COMPUTED_VALUE"""),400.0)</f>
        <v>400</v>
      </c>
      <c r="AG258" s="394">
        <f>IFERROR(__xludf.DUMMYFUNCTION("""COMPUTED_VALUE"""),450.0)</f>
        <v>450</v>
      </c>
      <c r="AH258" s="394">
        <f>IFERROR(__xludf.DUMMYFUNCTION("""COMPUTED_VALUE"""),475.0)</f>
        <v>475</v>
      </c>
      <c r="AI258" s="385" t="str">
        <f>IFERROR(__xludf.DUMMYFUNCTION("""COMPUTED_VALUE"""),"持続型")</f>
        <v>持続型</v>
      </c>
      <c r="AJ258" s="430">
        <f>IFERROR(__xludf.DUMMYFUNCTION("""COMPUTED_VALUE"""),5.0)</f>
        <v>5</v>
      </c>
      <c r="AK258" s="431" t="str">
        <f>IFERROR(__xludf.DUMMYFUNCTION("""COMPUTED_VALUE"""),"効果時間")</f>
        <v>効果時間</v>
      </c>
      <c r="AL258" s="392">
        <f>IFERROR(__xludf.DUMMYFUNCTION("""COMPUTED_VALUE"""),475.0)</f>
        <v>475</v>
      </c>
      <c r="AM258" s="414">
        <f>IFERROR(__xludf.DUMMYFUNCTION("""COMPUTED_VALUE"""),485.0)</f>
        <v>485</v>
      </c>
      <c r="AN258" s="414">
        <f>IFERROR(__xludf.DUMMYFUNCTION("""COMPUTED_VALUE"""),490.0)</f>
        <v>490</v>
      </c>
      <c r="AO258" s="414">
        <f>IFERROR(__xludf.DUMMYFUNCTION("""COMPUTED_VALUE"""),495.0)</f>
        <v>495</v>
      </c>
      <c r="AP258" s="394">
        <f>IFERROR(__xludf.DUMMYFUNCTION("""COMPUTED_VALUE"""),500.0)</f>
        <v>500</v>
      </c>
      <c r="AQ258" s="394">
        <f>IFERROR(__xludf.DUMMYFUNCTION("""COMPUTED_VALUE"""),550.0)</f>
        <v>550</v>
      </c>
      <c r="AR258" s="394">
        <f>IFERROR(__xludf.DUMMYFUNCTION("""COMPUTED_VALUE"""),600.0)</f>
        <v>600</v>
      </c>
      <c r="AS258" s="394">
        <f>IFERROR(__xludf.DUMMYFUNCTION("""COMPUTED_VALUE"""),625.0)</f>
        <v>625</v>
      </c>
      <c r="AT258" s="385" t="str">
        <f>IFERROR(__xludf.DUMMYFUNCTION("""COMPUTED_VALUE"""),"超持続型")</f>
        <v>超持続型</v>
      </c>
      <c r="AU258" s="430">
        <f>IFERROR(__xludf.DUMMYFUNCTION("""COMPUTED_VALUE"""),5.0)</f>
        <v>5</v>
      </c>
      <c r="AV258" s="431" t="str">
        <f>IFERROR(__xludf.DUMMYFUNCTION("""COMPUTED_VALUE"""),"効果時間")</f>
        <v>効果時間</v>
      </c>
      <c r="AW258" s="395" t="str">
        <f>IFERROR(__xludf.DUMMYFUNCTION("""COMPUTED_VALUE"""),"-")</f>
        <v>-</v>
      </c>
      <c r="AX258" s="396" t="str">
        <f>IFERROR(__xludf.DUMMYFUNCTION("""COMPUTED_VALUE"""),"-")</f>
        <v>-</v>
      </c>
      <c r="AY258" s="396" t="str">
        <f>IFERROR(__xludf.DUMMYFUNCTION("""COMPUTED_VALUE"""),"-")</f>
        <v>-</v>
      </c>
      <c r="AZ258" s="396" t="str">
        <f>IFERROR(__xludf.DUMMYFUNCTION("""COMPUTED_VALUE"""),"-")</f>
        <v>-</v>
      </c>
      <c r="BA258" s="396" t="str">
        <f>IFERROR(__xludf.DUMMYFUNCTION("""COMPUTED_VALUE"""),"-")</f>
        <v>-</v>
      </c>
      <c r="BB258" s="393">
        <f>IFERROR(__xludf.DUMMYFUNCTION("""COMPUTED_VALUE"""),650.0)</f>
        <v>650</v>
      </c>
      <c r="BC258" s="393">
        <f>IFERROR(__xludf.DUMMYFUNCTION("""COMPUTED_VALUE"""),750.0)</f>
        <v>750</v>
      </c>
      <c r="BD258" s="394">
        <f>IFERROR(__xludf.DUMMYFUNCTION("""COMPUTED_VALUE"""),775.0)</f>
        <v>775</v>
      </c>
      <c r="BE258" s="385" t="str">
        <f>IFERROR(__xludf.DUMMYFUNCTION("""COMPUTED_VALUE"""),"ハイブリッド型")</f>
        <v>ハイブリッド型</v>
      </c>
      <c r="BF258" s="430">
        <f>IFERROR(__xludf.DUMMYFUNCTION("""COMPUTED_VALUE"""),5.0)</f>
        <v>5</v>
      </c>
      <c r="BG258" s="431" t="str">
        <f>IFERROR(__xludf.DUMMYFUNCTION("""COMPUTED_VALUE"""),"効果時間")</f>
        <v>効果時間</v>
      </c>
      <c r="BH258" s="304">
        <f>IFERROR(__xludf.DUMMYFUNCTION("""COMPUTED_VALUE"""),250.0)</f>
        <v>250</v>
      </c>
      <c r="BI258" s="432">
        <f>IFERROR(__xludf.DUMMYFUNCTION("""COMPUTED_VALUE"""),265.0)</f>
        <v>265</v>
      </c>
      <c r="BJ258" s="432">
        <f>IFERROR(__xludf.DUMMYFUNCTION("""COMPUTED_VALUE"""),275.0)</f>
        <v>275</v>
      </c>
      <c r="BK258" s="432">
        <f>IFERROR(__xludf.DUMMYFUNCTION("""COMPUTED_VALUE"""),290.0)</f>
        <v>290</v>
      </c>
      <c r="BL258" s="304">
        <f>IFERROR(__xludf.DUMMYFUNCTION("""COMPUTED_VALUE"""),300.0)</f>
        <v>300</v>
      </c>
      <c r="BM258" s="304">
        <f>IFERROR(__xludf.DUMMYFUNCTION("""COMPUTED_VALUE"""),400.0)</f>
        <v>400</v>
      </c>
      <c r="BN258" s="304">
        <f>IFERROR(__xludf.DUMMYFUNCTION("""COMPUTED_VALUE"""),500.0)</f>
        <v>500</v>
      </c>
      <c r="BO258" s="304">
        <f>IFERROR(__xludf.DUMMYFUNCTION("""COMPUTED_VALUE"""),525.0)</f>
        <v>525</v>
      </c>
    </row>
    <row r="259">
      <c r="A259" s="433" t="str">
        <f>IFERROR(__xludf.DUMMYFUNCTION("""COMPUTED_VALUE"""),"攻撃力UP(黄)")</f>
        <v>攻撃力UP(黄)</v>
      </c>
      <c r="B259" s="374" t="str">
        <f>IFERROR(__xludf.DUMMYFUNCTION("""COMPUTED_VALUE"""),"超瞬間型")</f>
        <v>超瞬間型</v>
      </c>
      <c r="C259" s="375">
        <f>IFERROR(__xludf.DUMMYFUNCTION("""COMPUTED_VALUE"""),1.0)</f>
        <v>1</v>
      </c>
      <c r="D259" s="376" t="str">
        <f>IFERROR(__xludf.DUMMYFUNCTION("""COMPUTED_VALUE"""),"効果値")</f>
        <v>効果値</v>
      </c>
      <c r="E259" s="377" t="str">
        <f>IFERROR(__xludf.DUMMYFUNCTION("""COMPUTED_VALUE"""),"-")</f>
        <v>-</v>
      </c>
      <c r="F259" s="378" t="str">
        <f>IFERROR(__xludf.DUMMYFUNCTION("""COMPUTED_VALUE"""),"-")</f>
        <v>-</v>
      </c>
      <c r="G259" s="377" t="str">
        <f>IFERROR(__xludf.DUMMYFUNCTION("""COMPUTED_VALUE"""),"-")</f>
        <v>-</v>
      </c>
      <c r="H259" s="378" t="str">
        <f>IFERROR(__xludf.DUMMYFUNCTION("""COMPUTED_VALUE"""),"-")</f>
        <v>-</v>
      </c>
      <c r="I259" s="377" t="str">
        <f>IFERROR(__xludf.DUMMYFUNCTION("""COMPUTED_VALUE"""),"-")</f>
        <v>-</v>
      </c>
      <c r="J259" s="379">
        <f>IFERROR(__xludf.DUMMYFUNCTION("""COMPUTED_VALUE"""),55.0)</f>
        <v>55</v>
      </c>
      <c r="K259" s="294">
        <f>IFERROR(__xludf.DUMMYFUNCTION("""COMPUTED_VALUE"""),65.0)</f>
        <v>65</v>
      </c>
      <c r="L259" s="294">
        <f>IFERROR(__xludf.DUMMYFUNCTION("""COMPUTED_VALUE"""),65.0)</f>
        <v>65</v>
      </c>
      <c r="M259" s="374" t="str">
        <f>IFERROR(__xludf.DUMMYFUNCTION("""COMPUTED_VALUE"""),"瞬間型")</f>
        <v>瞬間型</v>
      </c>
      <c r="N259" s="375">
        <f>IFERROR(__xludf.DUMMYFUNCTION("""COMPUTED_VALUE"""),1.0)</f>
        <v>1</v>
      </c>
      <c r="O259" s="376" t="str">
        <f>IFERROR(__xludf.DUMMYFUNCTION("""COMPUTED_VALUE"""),"効果値")</f>
        <v>効果値</v>
      </c>
      <c r="P259" s="380">
        <f>IFERROR(__xludf.DUMMYFUNCTION("""COMPUTED_VALUE"""),20.0)</f>
        <v>20</v>
      </c>
      <c r="Q259" s="263">
        <f>IFERROR(__xludf.DUMMYFUNCTION("""COMPUTED_VALUE"""),20.0)</f>
        <v>20</v>
      </c>
      <c r="R259" s="263">
        <f>IFERROR(__xludf.DUMMYFUNCTION("""COMPUTED_VALUE"""),20.0)</f>
        <v>20</v>
      </c>
      <c r="S259" s="263">
        <f>IFERROR(__xludf.DUMMYFUNCTION("""COMPUTED_VALUE"""),20.0)</f>
        <v>20</v>
      </c>
      <c r="T259" s="263">
        <f>IFERROR(__xludf.DUMMYFUNCTION("""COMPUTED_VALUE"""),20.0)</f>
        <v>20</v>
      </c>
      <c r="U259" s="263">
        <f>IFERROR(__xludf.DUMMYFUNCTION("""COMPUTED_VALUE"""),25.0)</f>
        <v>25</v>
      </c>
      <c r="V259" s="266">
        <f>IFERROR(__xludf.DUMMYFUNCTION("""COMPUTED_VALUE"""),30.0)</f>
        <v>30</v>
      </c>
      <c r="W259" s="266">
        <f>IFERROR(__xludf.DUMMYFUNCTION("""COMPUTED_VALUE"""),30.0)</f>
        <v>30</v>
      </c>
      <c r="X259" s="374" t="str">
        <f>IFERROR(__xludf.DUMMYFUNCTION("""COMPUTED_VALUE"""),"安定型")</f>
        <v>安定型</v>
      </c>
      <c r="Y259" s="375">
        <f>IFERROR(__xludf.DUMMYFUNCTION("""COMPUTED_VALUE"""),1.0)</f>
        <v>1</v>
      </c>
      <c r="Z259" s="376" t="str">
        <f>IFERROR(__xludf.DUMMYFUNCTION("""COMPUTED_VALUE"""),"効果値")</f>
        <v>効果値</v>
      </c>
      <c r="AA259" s="380">
        <f>IFERROR(__xludf.DUMMYFUNCTION("""COMPUTED_VALUE"""),10.0)</f>
        <v>10</v>
      </c>
      <c r="AB259" s="263">
        <f>IFERROR(__xludf.DUMMYFUNCTION("""COMPUTED_VALUE"""),10.0)</f>
        <v>10</v>
      </c>
      <c r="AC259" s="263">
        <f>IFERROR(__xludf.DUMMYFUNCTION("""COMPUTED_VALUE"""),10.0)</f>
        <v>10</v>
      </c>
      <c r="AD259" s="263">
        <f>IFERROR(__xludf.DUMMYFUNCTION("""COMPUTED_VALUE"""),10.0)</f>
        <v>10</v>
      </c>
      <c r="AE259" s="263">
        <f>IFERROR(__xludf.DUMMYFUNCTION("""COMPUTED_VALUE"""),10.0)</f>
        <v>10</v>
      </c>
      <c r="AF259" s="263">
        <f>IFERROR(__xludf.DUMMYFUNCTION("""COMPUTED_VALUE"""),10.0)</f>
        <v>10</v>
      </c>
      <c r="AG259" s="266">
        <f>IFERROR(__xludf.DUMMYFUNCTION("""COMPUTED_VALUE"""),15.0)</f>
        <v>15</v>
      </c>
      <c r="AH259" s="266">
        <f>IFERROR(__xludf.DUMMYFUNCTION("""COMPUTED_VALUE"""),15.0)</f>
        <v>15</v>
      </c>
      <c r="AI259" s="374" t="str">
        <f>IFERROR(__xludf.DUMMYFUNCTION("""COMPUTED_VALUE"""),"持続型")</f>
        <v>持続型</v>
      </c>
      <c r="AJ259" s="375">
        <f>IFERROR(__xludf.DUMMYFUNCTION("""COMPUTED_VALUE"""),1.0)</f>
        <v>1</v>
      </c>
      <c r="AK259" s="376" t="str">
        <f>IFERROR(__xludf.DUMMYFUNCTION("""COMPUTED_VALUE"""),"効果値")</f>
        <v>効果値</v>
      </c>
      <c r="AL259" s="380">
        <f>IFERROR(__xludf.DUMMYFUNCTION("""COMPUTED_VALUE"""),5.0)</f>
        <v>5</v>
      </c>
      <c r="AM259" s="263">
        <f>IFERROR(__xludf.DUMMYFUNCTION("""COMPUTED_VALUE"""),5.0)</f>
        <v>5</v>
      </c>
      <c r="AN259" s="263">
        <f>IFERROR(__xludf.DUMMYFUNCTION("""COMPUTED_VALUE"""),5.0)</f>
        <v>5</v>
      </c>
      <c r="AO259" s="263">
        <f>IFERROR(__xludf.DUMMYFUNCTION("""COMPUTED_VALUE"""),5.0)</f>
        <v>5</v>
      </c>
      <c r="AP259" s="263">
        <f>IFERROR(__xludf.DUMMYFUNCTION("""COMPUTED_VALUE"""),5.0)</f>
        <v>5</v>
      </c>
      <c r="AQ259" s="263">
        <f>IFERROR(__xludf.DUMMYFUNCTION("""COMPUTED_VALUE"""),5.0)</f>
        <v>5</v>
      </c>
      <c r="AR259" s="266">
        <f>IFERROR(__xludf.DUMMYFUNCTION("""COMPUTED_VALUE"""),10.0)</f>
        <v>10</v>
      </c>
      <c r="AS259" s="266">
        <f>IFERROR(__xludf.DUMMYFUNCTION("""COMPUTED_VALUE"""),10.0)</f>
        <v>10</v>
      </c>
      <c r="AT259" s="374" t="str">
        <f>IFERROR(__xludf.DUMMYFUNCTION("""COMPUTED_VALUE"""),"超持続型")</f>
        <v>超持続型</v>
      </c>
      <c r="AU259" s="375">
        <f>IFERROR(__xludf.DUMMYFUNCTION("""COMPUTED_VALUE"""),1.0)</f>
        <v>1</v>
      </c>
      <c r="AV259" s="376" t="str">
        <f>IFERROR(__xludf.DUMMYFUNCTION("""COMPUTED_VALUE"""),"効果値")</f>
        <v>効果値</v>
      </c>
      <c r="AW259" s="350" t="str">
        <f>IFERROR(__xludf.DUMMYFUNCTION("""COMPUTED_VALUE"""),"-")</f>
        <v>-</v>
      </c>
      <c r="AX259" s="348" t="str">
        <f>IFERROR(__xludf.DUMMYFUNCTION("""COMPUTED_VALUE"""),"-")</f>
        <v>-</v>
      </c>
      <c r="AY259" s="348" t="str">
        <f>IFERROR(__xludf.DUMMYFUNCTION("""COMPUTED_VALUE"""),"-")</f>
        <v>-</v>
      </c>
      <c r="AZ259" s="348" t="str">
        <f>IFERROR(__xludf.DUMMYFUNCTION("""COMPUTED_VALUE"""),"-")</f>
        <v>-</v>
      </c>
      <c r="BA259" s="348" t="str">
        <f>IFERROR(__xludf.DUMMYFUNCTION("""COMPUTED_VALUE"""),"-")</f>
        <v>-</v>
      </c>
      <c r="BB259" s="263">
        <f>IFERROR(__xludf.DUMMYFUNCTION("""COMPUTED_VALUE"""),5.0)</f>
        <v>5</v>
      </c>
      <c r="BC259" s="266">
        <f>IFERROR(__xludf.DUMMYFUNCTION("""COMPUTED_VALUE"""),10.0)</f>
        <v>10</v>
      </c>
      <c r="BD259" s="266">
        <f>IFERROR(__xludf.DUMMYFUNCTION("""COMPUTED_VALUE"""),10.0)</f>
        <v>10</v>
      </c>
      <c r="BE259" s="374" t="str">
        <f>IFERROR(__xludf.DUMMYFUNCTION("""COMPUTED_VALUE"""),"ハイブリッド型")</f>
        <v>ハイブリッド型</v>
      </c>
      <c r="BF259" s="375">
        <f>IFERROR(__xludf.DUMMYFUNCTION("""COMPUTED_VALUE"""),1.0)</f>
        <v>1</v>
      </c>
      <c r="BG259" s="376" t="str">
        <f>IFERROR(__xludf.DUMMYFUNCTION("""COMPUTED_VALUE"""),"効果値")</f>
        <v>効果値</v>
      </c>
      <c r="BH259" s="381">
        <f>IFERROR(__xludf.DUMMYFUNCTION("""COMPUTED_VALUE"""),10.0)</f>
        <v>10</v>
      </c>
      <c r="BI259" s="382">
        <f>IFERROR(__xludf.DUMMYFUNCTION("""COMPUTED_VALUE"""),10.0)</f>
        <v>10</v>
      </c>
      <c r="BJ259" s="382">
        <f>IFERROR(__xludf.DUMMYFUNCTION("""COMPUTED_VALUE"""),10.0)</f>
        <v>10</v>
      </c>
      <c r="BK259" s="382">
        <f>IFERROR(__xludf.DUMMYFUNCTION("""COMPUTED_VALUE"""),10.0)</f>
        <v>10</v>
      </c>
      <c r="BL259" s="382">
        <f>IFERROR(__xludf.DUMMYFUNCTION("""COMPUTED_VALUE"""),10.0)</f>
        <v>10</v>
      </c>
      <c r="BM259" s="382">
        <f>IFERROR(__xludf.DUMMYFUNCTION("""COMPUTED_VALUE"""),15.0)</f>
        <v>15</v>
      </c>
      <c r="BN259" s="382">
        <f>IFERROR(__xludf.DUMMYFUNCTION("""COMPUTED_VALUE"""),20.0)</f>
        <v>20</v>
      </c>
      <c r="BO259" s="383">
        <f>IFERROR(__xludf.DUMMYFUNCTION("""COMPUTED_VALUE"""),20.0)</f>
        <v>20</v>
      </c>
    </row>
    <row r="260">
      <c r="A260" s="434" t="str">
        <f>IFERROR(__xludf.DUMMYFUNCTION("""COMPUTED_VALUE"""),"攻撃力UP(黄)")</f>
        <v>攻撃力UP(黄)</v>
      </c>
      <c r="B260" s="385" t="str">
        <f>IFERROR(__xludf.DUMMYFUNCTION("""COMPUTED_VALUE"""),"超瞬間型")</f>
        <v>超瞬間型</v>
      </c>
      <c r="C260" s="386">
        <f>IFERROR(__xludf.DUMMYFUNCTION("""COMPUTED_VALUE"""),1.0)</f>
        <v>1</v>
      </c>
      <c r="D260" s="387" t="str">
        <f>IFERROR(__xludf.DUMMYFUNCTION("""COMPUTED_VALUE"""),"効果時間")</f>
        <v>効果時間</v>
      </c>
      <c r="E260" s="388" t="str">
        <f>IFERROR(__xludf.DUMMYFUNCTION("""COMPUTED_VALUE"""),"-")</f>
        <v>-</v>
      </c>
      <c r="F260" s="389" t="str">
        <f>IFERROR(__xludf.DUMMYFUNCTION("""COMPUTED_VALUE"""),"-")</f>
        <v>-</v>
      </c>
      <c r="G260" s="388" t="str">
        <f>IFERROR(__xludf.DUMMYFUNCTION("""COMPUTED_VALUE"""),"-")</f>
        <v>-</v>
      </c>
      <c r="H260" s="389" t="str">
        <f>IFERROR(__xludf.DUMMYFUNCTION("""COMPUTED_VALUE"""),"-")</f>
        <v>-</v>
      </c>
      <c r="I260" s="388" t="str">
        <f>IFERROR(__xludf.DUMMYFUNCTION("""COMPUTED_VALUE"""),"-")</f>
        <v>-</v>
      </c>
      <c r="J260" s="390">
        <f>IFERROR(__xludf.DUMMYFUNCTION("""COMPUTED_VALUE"""),150.0)</f>
        <v>150</v>
      </c>
      <c r="K260" s="391">
        <f>IFERROR(__xludf.DUMMYFUNCTION("""COMPUTED_VALUE"""),160.0)</f>
        <v>160</v>
      </c>
      <c r="L260" s="340">
        <f>IFERROR(__xludf.DUMMYFUNCTION("""COMPUTED_VALUE"""),160.0)</f>
        <v>160</v>
      </c>
      <c r="M260" s="385" t="str">
        <f>IFERROR(__xludf.DUMMYFUNCTION("""COMPUTED_VALUE"""),"瞬間型")</f>
        <v>瞬間型</v>
      </c>
      <c r="N260" s="386">
        <f>IFERROR(__xludf.DUMMYFUNCTION("""COMPUTED_VALUE"""),1.0)</f>
        <v>1</v>
      </c>
      <c r="O260" s="387" t="str">
        <f>IFERROR(__xludf.DUMMYFUNCTION("""COMPUTED_VALUE"""),"効果時間")</f>
        <v>効果時間</v>
      </c>
      <c r="P260" s="392">
        <f>IFERROR(__xludf.DUMMYFUNCTION("""COMPUTED_VALUE"""),150.0)</f>
        <v>150</v>
      </c>
      <c r="Q260" s="393">
        <f>IFERROR(__xludf.DUMMYFUNCTION("""COMPUTED_VALUE"""),150.0)</f>
        <v>150</v>
      </c>
      <c r="R260" s="393">
        <f>IFERROR(__xludf.DUMMYFUNCTION("""COMPUTED_VALUE"""),150.0)</f>
        <v>150</v>
      </c>
      <c r="S260" s="393">
        <f>IFERROR(__xludf.DUMMYFUNCTION("""COMPUTED_VALUE"""),150.0)</f>
        <v>150</v>
      </c>
      <c r="T260" s="393">
        <f>IFERROR(__xludf.DUMMYFUNCTION("""COMPUTED_VALUE"""),150.0)</f>
        <v>150</v>
      </c>
      <c r="U260" s="393">
        <f>IFERROR(__xludf.DUMMYFUNCTION("""COMPUTED_VALUE"""),150.0)</f>
        <v>150</v>
      </c>
      <c r="V260" s="393">
        <f>IFERROR(__xludf.DUMMYFUNCTION("""COMPUTED_VALUE"""),160.0)</f>
        <v>160</v>
      </c>
      <c r="W260" s="394">
        <f>IFERROR(__xludf.DUMMYFUNCTION("""COMPUTED_VALUE"""),160.0)</f>
        <v>160</v>
      </c>
      <c r="X260" s="385" t="str">
        <f>IFERROR(__xludf.DUMMYFUNCTION("""COMPUTED_VALUE"""),"安定型")</f>
        <v>安定型</v>
      </c>
      <c r="Y260" s="386">
        <f>IFERROR(__xludf.DUMMYFUNCTION("""COMPUTED_VALUE"""),1.0)</f>
        <v>1</v>
      </c>
      <c r="Z260" s="387" t="str">
        <f>IFERROR(__xludf.DUMMYFUNCTION("""COMPUTED_VALUE"""),"効果時間")</f>
        <v>効果時間</v>
      </c>
      <c r="AA260" s="392">
        <f>IFERROR(__xludf.DUMMYFUNCTION("""COMPUTED_VALUE"""),300.0)</f>
        <v>300</v>
      </c>
      <c r="AB260" s="393">
        <f>IFERROR(__xludf.DUMMYFUNCTION("""COMPUTED_VALUE"""),300.0)</f>
        <v>300</v>
      </c>
      <c r="AC260" s="393">
        <f>IFERROR(__xludf.DUMMYFUNCTION("""COMPUTED_VALUE"""),300.0)</f>
        <v>300</v>
      </c>
      <c r="AD260" s="393">
        <f>IFERROR(__xludf.DUMMYFUNCTION("""COMPUTED_VALUE"""),300.0)</f>
        <v>300</v>
      </c>
      <c r="AE260" s="393">
        <f>IFERROR(__xludf.DUMMYFUNCTION("""COMPUTED_VALUE"""),300.0)</f>
        <v>300</v>
      </c>
      <c r="AF260" s="393">
        <f>IFERROR(__xludf.DUMMYFUNCTION("""COMPUTED_VALUE"""),300.0)</f>
        <v>300</v>
      </c>
      <c r="AG260" s="393">
        <f>IFERROR(__xludf.DUMMYFUNCTION("""COMPUTED_VALUE"""),310.0)</f>
        <v>310</v>
      </c>
      <c r="AH260" s="394">
        <f>IFERROR(__xludf.DUMMYFUNCTION("""COMPUTED_VALUE"""),310.0)</f>
        <v>310</v>
      </c>
      <c r="AI260" s="385" t="str">
        <f>IFERROR(__xludf.DUMMYFUNCTION("""COMPUTED_VALUE"""),"持続型")</f>
        <v>持続型</v>
      </c>
      <c r="AJ260" s="386">
        <f>IFERROR(__xludf.DUMMYFUNCTION("""COMPUTED_VALUE"""),1.0)</f>
        <v>1</v>
      </c>
      <c r="AK260" s="387" t="str">
        <f>IFERROR(__xludf.DUMMYFUNCTION("""COMPUTED_VALUE"""),"効果時間")</f>
        <v>効果時間</v>
      </c>
      <c r="AL260" s="392">
        <f>IFERROR(__xludf.DUMMYFUNCTION("""COMPUTED_VALUE"""),450.0)</f>
        <v>450</v>
      </c>
      <c r="AM260" s="393">
        <f>IFERROR(__xludf.DUMMYFUNCTION("""COMPUTED_VALUE"""),450.0)</f>
        <v>450</v>
      </c>
      <c r="AN260" s="393">
        <f>IFERROR(__xludf.DUMMYFUNCTION("""COMPUTED_VALUE"""),450.0)</f>
        <v>450</v>
      </c>
      <c r="AO260" s="393">
        <f>IFERROR(__xludf.DUMMYFUNCTION("""COMPUTED_VALUE"""),450.0)</f>
        <v>450</v>
      </c>
      <c r="AP260" s="393">
        <f>IFERROR(__xludf.DUMMYFUNCTION("""COMPUTED_VALUE"""),450.0)</f>
        <v>450</v>
      </c>
      <c r="AQ260" s="393">
        <f>IFERROR(__xludf.DUMMYFUNCTION("""COMPUTED_VALUE"""),450.0)</f>
        <v>450</v>
      </c>
      <c r="AR260" s="393">
        <f>IFERROR(__xludf.DUMMYFUNCTION("""COMPUTED_VALUE"""),460.0)</f>
        <v>460</v>
      </c>
      <c r="AS260" s="394">
        <f>IFERROR(__xludf.DUMMYFUNCTION("""COMPUTED_VALUE"""),460.0)</f>
        <v>460</v>
      </c>
      <c r="AT260" s="385" t="str">
        <f>IFERROR(__xludf.DUMMYFUNCTION("""COMPUTED_VALUE"""),"超持続型")</f>
        <v>超持続型</v>
      </c>
      <c r="AU260" s="386">
        <f>IFERROR(__xludf.DUMMYFUNCTION("""COMPUTED_VALUE"""),1.0)</f>
        <v>1</v>
      </c>
      <c r="AV260" s="387" t="str">
        <f>IFERROR(__xludf.DUMMYFUNCTION("""COMPUTED_VALUE"""),"効果時間")</f>
        <v>効果時間</v>
      </c>
      <c r="AW260" s="395" t="str">
        <f>IFERROR(__xludf.DUMMYFUNCTION("""COMPUTED_VALUE"""),"-")</f>
        <v>-</v>
      </c>
      <c r="AX260" s="396" t="str">
        <f>IFERROR(__xludf.DUMMYFUNCTION("""COMPUTED_VALUE"""),"-")</f>
        <v>-</v>
      </c>
      <c r="AY260" s="396" t="str">
        <f>IFERROR(__xludf.DUMMYFUNCTION("""COMPUTED_VALUE"""),"-")</f>
        <v>-</v>
      </c>
      <c r="AZ260" s="396" t="str">
        <f>IFERROR(__xludf.DUMMYFUNCTION("""COMPUTED_VALUE"""),"-")</f>
        <v>-</v>
      </c>
      <c r="BA260" s="396" t="str">
        <f>IFERROR(__xludf.DUMMYFUNCTION("""COMPUTED_VALUE"""),"-")</f>
        <v>-</v>
      </c>
      <c r="BB260" s="393">
        <f>IFERROR(__xludf.DUMMYFUNCTION("""COMPUTED_VALUE"""),600.0)</f>
        <v>600</v>
      </c>
      <c r="BC260" s="393">
        <f>IFERROR(__xludf.DUMMYFUNCTION("""COMPUTED_VALUE"""),610.0)</f>
        <v>610</v>
      </c>
      <c r="BD260" s="394">
        <f>IFERROR(__xludf.DUMMYFUNCTION("""COMPUTED_VALUE"""),610.0)</f>
        <v>610</v>
      </c>
      <c r="BE260" s="385" t="str">
        <f>IFERROR(__xludf.DUMMYFUNCTION("""COMPUTED_VALUE"""),"ハイブリッド型")</f>
        <v>ハイブリッド型</v>
      </c>
      <c r="BF260" s="386">
        <f>IFERROR(__xludf.DUMMYFUNCTION("""COMPUTED_VALUE"""),1.0)</f>
        <v>1</v>
      </c>
      <c r="BG260" s="387" t="str">
        <f>IFERROR(__xludf.DUMMYFUNCTION("""COMPUTED_VALUE"""),"効果時間")</f>
        <v>効果時間</v>
      </c>
      <c r="BH260" s="397">
        <f>IFERROR(__xludf.DUMMYFUNCTION("""COMPUTED_VALUE"""),150.0)</f>
        <v>150</v>
      </c>
      <c r="BI260" s="397">
        <f>IFERROR(__xludf.DUMMYFUNCTION("""COMPUTED_VALUE"""),150.0)</f>
        <v>150</v>
      </c>
      <c r="BJ260" s="397">
        <f>IFERROR(__xludf.DUMMYFUNCTION("""COMPUTED_VALUE"""),150.0)</f>
        <v>150</v>
      </c>
      <c r="BK260" s="398">
        <f>IFERROR(__xludf.DUMMYFUNCTION("""COMPUTED_VALUE"""),150.0)</f>
        <v>150</v>
      </c>
      <c r="BL260" s="397">
        <f>IFERROR(__xludf.DUMMYFUNCTION("""COMPUTED_VALUE"""),150.0)</f>
        <v>150</v>
      </c>
      <c r="BM260" s="398">
        <f>IFERROR(__xludf.DUMMYFUNCTION("""COMPUTED_VALUE"""),350.0)</f>
        <v>350</v>
      </c>
      <c r="BN260" s="397">
        <f>IFERROR(__xludf.DUMMYFUNCTION("""COMPUTED_VALUE"""),460.0)</f>
        <v>460</v>
      </c>
      <c r="BO260" s="398">
        <f>IFERROR(__xludf.DUMMYFUNCTION("""COMPUTED_VALUE"""),460.0)</f>
        <v>460</v>
      </c>
    </row>
    <row r="261">
      <c r="A261" s="435" t="str">
        <f>IFERROR(__xludf.DUMMYFUNCTION("""COMPUTED_VALUE"""),"攻撃力UP(黄)")</f>
        <v>攻撃力UP(黄)</v>
      </c>
      <c r="B261" s="385" t="str">
        <f>IFERROR(__xludf.DUMMYFUNCTION("""COMPUTED_VALUE"""),"超瞬間型")</f>
        <v>超瞬間型</v>
      </c>
      <c r="C261" s="399">
        <f>IFERROR(__xludf.DUMMYFUNCTION("""COMPUTED_VALUE"""),2.0)</f>
        <v>2</v>
      </c>
      <c r="D261" s="400" t="str">
        <f>IFERROR(__xludf.DUMMYFUNCTION("""COMPUTED_VALUE"""),"効果値")</f>
        <v>効果値</v>
      </c>
      <c r="E261" s="401" t="str">
        <f>IFERROR(__xludf.DUMMYFUNCTION("""COMPUTED_VALUE"""),"-")</f>
        <v>-</v>
      </c>
      <c r="F261" s="401" t="str">
        <f>IFERROR(__xludf.DUMMYFUNCTION("""COMPUTED_VALUE"""),"-")</f>
        <v>-</v>
      </c>
      <c r="G261" s="401" t="str">
        <f>IFERROR(__xludf.DUMMYFUNCTION("""COMPUTED_VALUE"""),"-")</f>
        <v>-</v>
      </c>
      <c r="H261" s="401" t="str">
        <f>IFERROR(__xludf.DUMMYFUNCTION("""COMPUTED_VALUE"""),"-")</f>
        <v>-</v>
      </c>
      <c r="I261" s="401" t="str">
        <f>IFERROR(__xludf.DUMMYFUNCTION("""COMPUTED_VALUE"""),"-")</f>
        <v>-</v>
      </c>
      <c r="J261" s="318">
        <f>IFERROR(__xludf.DUMMYFUNCTION("""COMPUTED_VALUE"""),57.0)</f>
        <v>57</v>
      </c>
      <c r="K261" s="318">
        <f>IFERROR(__xludf.DUMMYFUNCTION("""COMPUTED_VALUE"""),67.0)</f>
        <v>67</v>
      </c>
      <c r="L261" s="318">
        <f>IFERROR(__xludf.DUMMYFUNCTION("""COMPUTED_VALUE"""),69.0)</f>
        <v>69</v>
      </c>
      <c r="M261" s="385" t="str">
        <f>IFERROR(__xludf.DUMMYFUNCTION("""COMPUTED_VALUE"""),"瞬間型")</f>
        <v>瞬間型</v>
      </c>
      <c r="N261" s="399">
        <f>IFERROR(__xludf.DUMMYFUNCTION("""COMPUTED_VALUE"""),2.0)</f>
        <v>2</v>
      </c>
      <c r="O261" s="400" t="str">
        <f>IFERROR(__xludf.DUMMYFUNCTION("""COMPUTED_VALUE"""),"効果値")</f>
        <v>効果値</v>
      </c>
      <c r="P261" s="343">
        <f>IFERROR(__xludf.DUMMYFUNCTION("""COMPUTED_VALUE"""),21.0)</f>
        <v>21</v>
      </c>
      <c r="Q261" s="402">
        <f>IFERROR(__xludf.DUMMYFUNCTION("""COMPUTED_VALUE"""),21.0)</f>
        <v>21</v>
      </c>
      <c r="R261" s="343">
        <f>IFERROR(__xludf.DUMMYFUNCTION("""COMPUTED_VALUE"""),22.0)</f>
        <v>22</v>
      </c>
      <c r="S261" s="402">
        <f>IFERROR(__xludf.DUMMYFUNCTION("""COMPUTED_VALUE"""),22.0)</f>
        <v>22</v>
      </c>
      <c r="T261" s="343">
        <f>IFERROR(__xludf.DUMMYFUNCTION("""COMPUTED_VALUE"""),22.0)</f>
        <v>22</v>
      </c>
      <c r="U261" s="343">
        <f>IFERROR(__xludf.DUMMYFUNCTION("""COMPUTED_VALUE"""),27.0)</f>
        <v>27</v>
      </c>
      <c r="V261" s="343">
        <f>IFERROR(__xludf.DUMMYFUNCTION("""COMPUTED_VALUE"""),32.0)</f>
        <v>32</v>
      </c>
      <c r="W261" s="343">
        <f>IFERROR(__xludf.DUMMYFUNCTION("""COMPUTED_VALUE"""),34.0)</f>
        <v>34</v>
      </c>
      <c r="X261" s="385" t="str">
        <f>IFERROR(__xludf.DUMMYFUNCTION("""COMPUTED_VALUE"""),"安定型")</f>
        <v>安定型</v>
      </c>
      <c r="Y261" s="399">
        <f>IFERROR(__xludf.DUMMYFUNCTION("""COMPUTED_VALUE"""),2.0)</f>
        <v>2</v>
      </c>
      <c r="Z261" s="400" t="str">
        <f>IFERROR(__xludf.DUMMYFUNCTION("""COMPUTED_VALUE"""),"効果値")</f>
        <v>効果値</v>
      </c>
      <c r="AA261" s="343">
        <f>IFERROR(__xludf.DUMMYFUNCTION("""COMPUTED_VALUE"""),11.0)</f>
        <v>11</v>
      </c>
      <c r="AB261" s="402">
        <f>IFERROR(__xludf.DUMMYFUNCTION("""COMPUTED_VALUE"""),11.0)</f>
        <v>11</v>
      </c>
      <c r="AC261" s="343">
        <f>IFERROR(__xludf.DUMMYFUNCTION("""COMPUTED_VALUE"""),12.0)</f>
        <v>12</v>
      </c>
      <c r="AD261" s="402">
        <f>IFERROR(__xludf.DUMMYFUNCTION("""COMPUTED_VALUE"""),12.0)</f>
        <v>12</v>
      </c>
      <c r="AE261" s="343">
        <f>IFERROR(__xludf.DUMMYFUNCTION("""COMPUTED_VALUE"""),12.0)</f>
        <v>12</v>
      </c>
      <c r="AF261" s="343">
        <f>IFERROR(__xludf.DUMMYFUNCTION("""COMPUTED_VALUE"""),12.0)</f>
        <v>12</v>
      </c>
      <c r="AG261" s="343">
        <f>IFERROR(__xludf.DUMMYFUNCTION("""COMPUTED_VALUE"""),17.0)</f>
        <v>17</v>
      </c>
      <c r="AH261" s="343">
        <f>IFERROR(__xludf.DUMMYFUNCTION("""COMPUTED_VALUE"""),19.0)</f>
        <v>19</v>
      </c>
      <c r="AI261" s="385" t="str">
        <f>IFERROR(__xludf.DUMMYFUNCTION("""COMPUTED_VALUE"""),"持続型")</f>
        <v>持続型</v>
      </c>
      <c r="AJ261" s="399">
        <f>IFERROR(__xludf.DUMMYFUNCTION("""COMPUTED_VALUE"""),2.0)</f>
        <v>2</v>
      </c>
      <c r="AK261" s="400" t="str">
        <f>IFERROR(__xludf.DUMMYFUNCTION("""COMPUTED_VALUE"""),"効果値")</f>
        <v>効果値</v>
      </c>
      <c r="AL261" s="343">
        <f>IFERROR(__xludf.DUMMYFUNCTION("""COMPUTED_VALUE"""),6.0)</f>
        <v>6</v>
      </c>
      <c r="AM261" s="402">
        <f>IFERROR(__xludf.DUMMYFUNCTION("""COMPUTED_VALUE"""),6.0)</f>
        <v>6</v>
      </c>
      <c r="AN261" s="343">
        <f>IFERROR(__xludf.DUMMYFUNCTION("""COMPUTED_VALUE"""),7.0)</f>
        <v>7</v>
      </c>
      <c r="AO261" s="402">
        <f>IFERROR(__xludf.DUMMYFUNCTION("""COMPUTED_VALUE"""),7.0)</f>
        <v>7</v>
      </c>
      <c r="AP261" s="343">
        <f>IFERROR(__xludf.DUMMYFUNCTION("""COMPUTED_VALUE"""),7.0)</f>
        <v>7</v>
      </c>
      <c r="AQ261" s="343">
        <f>IFERROR(__xludf.DUMMYFUNCTION("""COMPUTED_VALUE"""),7.0)</f>
        <v>7</v>
      </c>
      <c r="AR261" s="343">
        <f>IFERROR(__xludf.DUMMYFUNCTION("""COMPUTED_VALUE"""),11.0)</f>
        <v>11</v>
      </c>
      <c r="AS261" s="343">
        <f>IFERROR(__xludf.DUMMYFUNCTION("""COMPUTED_VALUE"""),11.0)</f>
        <v>11</v>
      </c>
      <c r="AT261" s="385" t="str">
        <f>IFERROR(__xludf.DUMMYFUNCTION("""COMPUTED_VALUE"""),"超持続型")</f>
        <v>超持続型</v>
      </c>
      <c r="AU261" s="399">
        <f>IFERROR(__xludf.DUMMYFUNCTION("""COMPUTED_VALUE"""),2.0)</f>
        <v>2</v>
      </c>
      <c r="AV261" s="400" t="str">
        <f>IFERROR(__xludf.DUMMYFUNCTION("""COMPUTED_VALUE"""),"効果値")</f>
        <v>効果値</v>
      </c>
      <c r="AW261" s="403" t="str">
        <f>IFERROR(__xludf.DUMMYFUNCTION("""COMPUTED_VALUE"""),"-")</f>
        <v>-</v>
      </c>
      <c r="AX261" s="403" t="str">
        <f>IFERROR(__xludf.DUMMYFUNCTION("""COMPUTED_VALUE"""),"-")</f>
        <v>-</v>
      </c>
      <c r="AY261" s="403" t="str">
        <f>IFERROR(__xludf.DUMMYFUNCTION("""COMPUTED_VALUE"""),"-")</f>
        <v>-</v>
      </c>
      <c r="AZ261" s="403" t="str">
        <f>IFERROR(__xludf.DUMMYFUNCTION("""COMPUTED_VALUE"""),"-")</f>
        <v>-</v>
      </c>
      <c r="BA261" s="403" t="str">
        <f>IFERROR(__xludf.DUMMYFUNCTION("""COMPUTED_VALUE"""),"-")</f>
        <v>-</v>
      </c>
      <c r="BB261" s="343">
        <f>IFERROR(__xludf.DUMMYFUNCTION("""COMPUTED_VALUE"""),7.0)</f>
        <v>7</v>
      </c>
      <c r="BC261" s="343">
        <f>IFERROR(__xludf.DUMMYFUNCTION("""COMPUTED_VALUE"""),11.0)</f>
        <v>11</v>
      </c>
      <c r="BD261" s="343">
        <f>IFERROR(__xludf.DUMMYFUNCTION("""COMPUTED_VALUE"""),11.0)</f>
        <v>11</v>
      </c>
      <c r="BE261" s="385" t="str">
        <f>IFERROR(__xludf.DUMMYFUNCTION("""COMPUTED_VALUE"""),"ハイブリッド型")</f>
        <v>ハイブリッド型</v>
      </c>
      <c r="BF261" s="399">
        <f>IFERROR(__xludf.DUMMYFUNCTION("""COMPUTED_VALUE"""),2.0)</f>
        <v>2</v>
      </c>
      <c r="BG261" s="400" t="str">
        <f>IFERROR(__xludf.DUMMYFUNCTION("""COMPUTED_VALUE"""),"効果値")</f>
        <v>効果値</v>
      </c>
      <c r="BH261" s="404">
        <f>IFERROR(__xludf.DUMMYFUNCTION("""COMPUTED_VALUE"""),10.8)</f>
        <v>10.8</v>
      </c>
      <c r="BI261" s="405">
        <f>IFERROR(__xludf.DUMMYFUNCTION("""COMPUTED_VALUE"""),11.2)</f>
        <v>11.2</v>
      </c>
      <c r="BJ261" s="405">
        <f>IFERROR(__xludf.DUMMYFUNCTION("""COMPUTED_VALUE"""),11.5)</f>
        <v>11.5</v>
      </c>
      <c r="BK261" s="405">
        <f>IFERROR(__xludf.DUMMYFUNCTION("""COMPUTED_VALUE"""),11.8)</f>
        <v>11.8</v>
      </c>
      <c r="BL261" s="405">
        <f>IFERROR(__xludf.DUMMYFUNCTION("""COMPUTED_VALUE"""),12.1)</f>
        <v>12.1</v>
      </c>
      <c r="BM261" s="405">
        <f>IFERROR(__xludf.DUMMYFUNCTION("""COMPUTED_VALUE"""),17.1)</f>
        <v>17.1</v>
      </c>
      <c r="BN261" s="405">
        <f>IFERROR(__xludf.DUMMYFUNCTION("""COMPUTED_VALUE"""),22.0)</f>
        <v>22</v>
      </c>
      <c r="BO261" s="406">
        <f>IFERROR(__xludf.DUMMYFUNCTION("""COMPUTED_VALUE"""),24.0)</f>
        <v>24</v>
      </c>
    </row>
    <row r="262">
      <c r="A262" s="435" t="str">
        <f>IFERROR(__xludf.DUMMYFUNCTION("""COMPUTED_VALUE"""),"攻撃力UP(黄)")</f>
        <v>攻撃力UP(黄)</v>
      </c>
      <c r="B262" s="385" t="str">
        <f>IFERROR(__xludf.DUMMYFUNCTION("""COMPUTED_VALUE"""),"超瞬間型")</f>
        <v>超瞬間型</v>
      </c>
      <c r="C262" s="386">
        <f>IFERROR(__xludf.DUMMYFUNCTION("""COMPUTED_VALUE"""),2.0)</f>
        <v>2</v>
      </c>
      <c r="D262" s="387" t="str">
        <f>IFERROR(__xludf.DUMMYFUNCTION("""COMPUTED_VALUE"""),"効果時間")</f>
        <v>効果時間</v>
      </c>
      <c r="E262" s="388" t="str">
        <f>IFERROR(__xludf.DUMMYFUNCTION("""COMPUTED_VALUE"""),"-")</f>
        <v>-</v>
      </c>
      <c r="F262" s="389" t="str">
        <f>IFERROR(__xludf.DUMMYFUNCTION("""COMPUTED_VALUE"""),"-")</f>
        <v>-</v>
      </c>
      <c r="G262" s="388" t="str">
        <f>IFERROR(__xludf.DUMMYFUNCTION("""COMPUTED_VALUE"""),"-")</f>
        <v>-</v>
      </c>
      <c r="H262" s="389" t="str">
        <f>IFERROR(__xludf.DUMMYFUNCTION("""COMPUTED_VALUE"""),"-")</f>
        <v>-</v>
      </c>
      <c r="I262" s="388" t="str">
        <f>IFERROR(__xludf.DUMMYFUNCTION("""COMPUTED_VALUE"""),"-")</f>
        <v>-</v>
      </c>
      <c r="J262" s="390">
        <f>IFERROR(__xludf.DUMMYFUNCTION("""COMPUTED_VALUE"""),150.0)</f>
        <v>150</v>
      </c>
      <c r="K262" s="391">
        <f>IFERROR(__xludf.DUMMYFUNCTION("""COMPUTED_VALUE"""),160.0)</f>
        <v>160</v>
      </c>
      <c r="L262" s="340">
        <f>IFERROR(__xludf.DUMMYFUNCTION("""COMPUTED_VALUE"""),170.0)</f>
        <v>170</v>
      </c>
      <c r="M262" s="385" t="str">
        <f>IFERROR(__xludf.DUMMYFUNCTION("""COMPUTED_VALUE"""),"瞬間型")</f>
        <v>瞬間型</v>
      </c>
      <c r="N262" s="386">
        <f>IFERROR(__xludf.DUMMYFUNCTION("""COMPUTED_VALUE"""),2.0)</f>
        <v>2</v>
      </c>
      <c r="O262" s="387" t="str">
        <f>IFERROR(__xludf.DUMMYFUNCTION("""COMPUTED_VALUE"""),"効果時間")</f>
        <v>効果時間</v>
      </c>
      <c r="P262" s="392">
        <f>IFERROR(__xludf.DUMMYFUNCTION("""COMPUTED_VALUE"""),160.0)</f>
        <v>160</v>
      </c>
      <c r="Q262" s="275">
        <f>IFERROR(__xludf.DUMMYFUNCTION("""COMPUTED_VALUE"""),165.0)</f>
        <v>165</v>
      </c>
      <c r="R262" s="280">
        <f>IFERROR(__xludf.DUMMYFUNCTION("""COMPUTED_VALUE"""),170.0)</f>
        <v>170</v>
      </c>
      <c r="S262" s="275">
        <f>IFERROR(__xludf.DUMMYFUNCTION("""COMPUTED_VALUE"""),175.0)</f>
        <v>175</v>
      </c>
      <c r="T262" s="280">
        <f>IFERROR(__xludf.DUMMYFUNCTION("""COMPUTED_VALUE"""),180.0)</f>
        <v>180</v>
      </c>
      <c r="U262" s="280">
        <f>IFERROR(__xludf.DUMMYFUNCTION("""COMPUTED_VALUE"""),180.0)</f>
        <v>180</v>
      </c>
      <c r="V262" s="280">
        <f>IFERROR(__xludf.DUMMYFUNCTION("""COMPUTED_VALUE"""),220.0)</f>
        <v>220</v>
      </c>
      <c r="W262" s="280">
        <f>IFERROR(__xludf.DUMMYFUNCTION("""COMPUTED_VALUE"""),230.0)</f>
        <v>230</v>
      </c>
      <c r="X262" s="385" t="str">
        <f>IFERROR(__xludf.DUMMYFUNCTION("""COMPUTED_VALUE"""),"安定型")</f>
        <v>安定型</v>
      </c>
      <c r="Y262" s="386">
        <f>IFERROR(__xludf.DUMMYFUNCTION("""COMPUTED_VALUE"""),2.0)</f>
        <v>2</v>
      </c>
      <c r="Z262" s="387" t="str">
        <f>IFERROR(__xludf.DUMMYFUNCTION("""COMPUTED_VALUE"""),"効果時間")</f>
        <v>効果時間</v>
      </c>
      <c r="AA262" s="392">
        <f>IFERROR(__xludf.DUMMYFUNCTION("""COMPUTED_VALUE"""),310.0)</f>
        <v>310</v>
      </c>
      <c r="AB262" s="275">
        <f>IFERROR(__xludf.DUMMYFUNCTION("""COMPUTED_VALUE"""),315.0)</f>
        <v>315</v>
      </c>
      <c r="AC262" s="280">
        <f>IFERROR(__xludf.DUMMYFUNCTION("""COMPUTED_VALUE"""),320.0)</f>
        <v>320</v>
      </c>
      <c r="AD262" s="275">
        <f>IFERROR(__xludf.DUMMYFUNCTION("""COMPUTED_VALUE"""),325.0)</f>
        <v>325</v>
      </c>
      <c r="AE262" s="280">
        <f>IFERROR(__xludf.DUMMYFUNCTION("""COMPUTED_VALUE"""),330.0)</f>
        <v>330</v>
      </c>
      <c r="AF262" s="280">
        <f>IFERROR(__xludf.DUMMYFUNCTION("""COMPUTED_VALUE"""),345.0)</f>
        <v>345</v>
      </c>
      <c r="AG262" s="280">
        <f>IFERROR(__xludf.DUMMYFUNCTION("""COMPUTED_VALUE"""),370.0)</f>
        <v>370</v>
      </c>
      <c r="AH262" s="280">
        <f>IFERROR(__xludf.DUMMYFUNCTION("""COMPUTED_VALUE"""),380.0)</f>
        <v>380</v>
      </c>
      <c r="AI262" s="385" t="str">
        <f>IFERROR(__xludf.DUMMYFUNCTION("""COMPUTED_VALUE"""),"持続型")</f>
        <v>持続型</v>
      </c>
      <c r="AJ262" s="386">
        <f>IFERROR(__xludf.DUMMYFUNCTION("""COMPUTED_VALUE"""),2.0)</f>
        <v>2</v>
      </c>
      <c r="AK262" s="387" t="str">
        <f>IFERROR(__xludf.DUMMYFUNCTION("""COMPUTED_VALUE"""),"効果時間")</f>
        <v>効果時間</v>
      </c>
      <c r="AL262" s="392">
        <f>IFERROR(__xludf.DUMMYFUNCTION("""COMPUTED_VALUE"""),460.0)</f>
        <v>460</v>
      </c>
      <c r="AM262" s="275">
        <f>IFERROR(__xludf.DUMMYFUNCTION("""COMPUTED_VALUE"""),465.0)</f>
        <v>465</v>
      </c>
      <c r="AN262" s="280">
        <f>IFERROR(__xludf.DUMMYFUNCTION("""COMPUTED_VALUE"""),470.0)</f>
        <v>470</v>
      </c>
      <c r="AO262" s="275">
        <f>IFERROR(__xludf.DUMMYFUNCTION("""COMPUTED_VALUE"""),475.0)</f>
        <v>475</v>
      </c>
      <c r="AP262" s="280">
        <f>IFERROR(__xludf.DUMMYFUNCTION("""COMPUTED_VALUE"""),480.0)</f>
        <v>480</v>
      </c>
      <c r="AQ262" s="280">
        <f>IFERROR(__xludf.DUMMYFUNCTION("""COMPUTED_VALUE"""),495.0)</f>
        <v>495</v>
      </c>
      <c r="AR262" s="280">
        <f>IFERROR(__xludf.DUMMYFUNCTION("""COMPUTED_VALUE"""),520.0)</f>
        <v>520</v>
      </c>
      <c r="AS262" s="280">
        <f>IFERROR(__xludf.DUMMYFUNCTION("""COMPUTED_VALUE"""),530.0)</f>
        <v>530</v>
      </c>
      <c r="AT262" s="385" t="str">
        <f>IFERROR(__xludf.DUMMYFUNCTION("""COMPUTED_VALUE"""),"超持続型")</f>
        <v>超持続型</v>
      </c>
      <c r="AU262" s="386">
        <f>IFERROR(__xludf.DUMMYFUNCTION("""COMPUTED_VALUE"""),2.0)</f>
        <v>2</v>
      </c>
      <c r="AV262" s="387" t="str">
        <f>IFERROR(__xludf.DUMMYFUNCTION("""COMPUTED_VALUE"""),"効果時間")</f>
        <v>効果時間</v>
      </c>
      <c r="AW262" s="368" t="str">
        <f>IFERROR(__xludf.DUMMYFUNCTION("""COMPUTED_VALUE"""),"-")</f>
        <v>-</v>
      </c>
      <c r="AX262" s="368" t="str">
        <f>IFERROR(__xludf.DUMMYFUNCTION("""COMPUTED_VALUE"""),"-")</f>
        <v>-</v>
      </c>
      <c r="AY262" s="368" t="str">
        <f>IFERROR(__xludf.DUMMYFUNCTION("""COMPUTED_VALUE"""),"-")</f>
        <v>-</v>
      </c>
      <c r="AZ262" s="368" t="str">
        <f>IFERROR(__xludf.DUMMYFUNCTION("""COMPUTED_VALUE"""),"-")</f>
        <v>-</v>
      </c>
      <c r="BA262" s="368" t="str">
        <f>IFERROR(__xludf.DUMMYFUNCTION("""COMPUTED_VALUE"""),"-")</f>
        <v>-</v>
      </c>
      <c r="BB262" s="280">
        <f>IFERROR(__xludf.DUMMYFUNCTION("""COMPUTED_VALUE"""),625.0)</f>
        <v>625</v>
      </c>
      <c r="BC262" s="280">
        <f>IFERROR(__xludf.DUMMYFUNCTION("""COMPUTED_VALUE"""),670.0)</f>
        <v>670</v>
      </c>
      <c r="BD262" s="280">
        <f>IFERROR(__xludf.DUMMYFUNCTION("""COMPUTED_VALUE"""),680.0)</f>
        <v>680</v>
      </c>
      <c r="BE262" s="385" t="str">
        <f>IFERROR(__xludf.DUMMYFUNCTION("""COMPUTED_VALUE"""),"ハイブリッド型")</f>
        <v>ハイブリッド型</v>
      </c>
      <c r="BF262" s="386">
        <f>IFERROR(__xludf.DUMMYFUNCTION("""COMPUTED_VALUE"""),2.0)</f>
        <v>2</v>
      </c>
      <c r="BG262" s="387" t="str">
        <f>IFERROR(__xludf.DUMMYFUNCTION("""COMPUTED_VALUE"""),"効果時間")</f>
        <v>効果時間</v>
      </c>
      <c r="BH262" s="407">
        <f>IFERROR(__xludf.DUMMYFUNCTION("""COMPUTED_VALUE"""),195.0)</f>
        <v>195</v>
      </c>
      <c r="BI262" s="407">
        <f>IFERROR(__xludf.DUMMYFUNCTION("""COMPUTED_VALUE"""),205.0)</f>
        <v>205</v>
      </c>
      <c r="BJ262" s="407">
        <f>IFERROR(__xludf.DUMMYFUNCTION("""COMPUTED_VALUE"""),205.0)</f>
        <v>205</v>
      </c>
      <c r="BK262" s="408">
        <f>IFERROR(__xludf.DUMMYFUNCTION("""COMPUTED_VALUE"""),210.0)</f>
        <v>210</v>
      </c>
      <c r="BL262" s="407">
        <f>IFERROR(__xludf.DUMMYFUNCTION("""COMPUTED_VALUE"""),215.0)</f>
        <v>215</v>
      </c>
      <c r="BM262" s="408">
        <f>IFERROR(__xludf.DUMMYFUNCTION("""COMPUTED_VALUE"""),375.0)</f>
        <v>375</v>
      </c>
      <c r="BN262" s="407">
        <f>IFERROR(__xludf.DUMMYFUNCTION("""COMPUTED_VALUE"""),480.0)</f>
        <v>480</v>
      </c>
      <c r="BO262" s="408">
        <f>IFERROR(__xludf.DUMMYFUNCTION("""COMPUTED_VALUE"""),490.0)</f>
        <v>490</v>
      </c>
    </row>
    <row r="263">
      <c r="A263" s="435" t="str">
        <f>IFERROR(__xludf.DUMMYFUNCTION("""COMPUTED_VALUE"""),"攻撃力UP(黄)")</f>
        <v>攻撃力UP(黄)</v>
      </c>
      <c r="B263" s="385" t="str">
        <f>IFERROR(__xludf.DUMMYFUNCTION("""COMPUTED_VALUE"""),"超瞬間型")</f>
        <v>超瞬間型</v>
      </c>
      <c r="C263" s="399">
        <f>IFERROR(__xludf.DUMMYFUNCTION("""COMPUTED_VALUE"""),3.0)</f>
        <v>3</v>
      </c>
      <c r="D263" s="400" t="str">
        <f>IFERROR(__xludf.DUMMYFUNCTION("""COMPUTED_VALUE"""),"効果値")</f>
        <v>効果値</v>
      </c>
      <c r="E263" s="401" t="str">
        <f>IFERROR(__xludf.DUMMYFUNCTION("""COMPUTED_VALUE"""),"-")</f>
        <v>-</v>
      </c>
      <c r="F263" s="409" t="str">
        <f>IFERROR(__xludf.DUMMYFUNCTION("""COMPUTED_VALUE"""),"-")</f>
        <v>-</v>
      </c>
      <c r="G263" s="401" t="str">
        <f>IFERROR(__xludf.DUMMYFUNCTION("""COMPUTED_VALUE"""),"-")</f>
        <v>-</v>
      </c>
      <c r="H263" s="409" t="str">
        <f>IFERROR(__xludf.DUMMYFUNCTION("""COMPUTED_VALUE"""),"-")</f>
        <v>-</v>
      </c>
      <c r="I263" s="409" t="str">
        <f>IFERROR(__xludf.DUMMYFUNCTION("""COMPUTED_VALUE"""),"-")</f>
        <v>-</v>
      </c>
      <c r="J263" s="410">
        <f>IFERROR(__xludf.DUMMYFUNCTION("""COMPUTED_VALUE"""),58.0)</f>
        <v>58</v>
      </c>
      <c r="K263" s="410">
        <f>IFERROR(__xludf.DUMMYFUNCTION("""COMPUTED_VALUE"""),68.0)</f>
        <v>68</v>
      </c>
      <c r="L263" s="410">
        <f>IFERROR(__xludf.DUMMYFUNCTION("""COMPUTED_VALUE"""),72.0)</f>
        <v>72</v>
      </c>
      <c r="M263" s="385" t="str">
        <f>IFERROR(__xludf.DUMMYFUNCTION("""COMPUTED_VALUE"""),"瞬間型")</f>
        <v>瞬間型</v>
      </c>
      <c r="N263" s="399">
        <f>IFERROR(__xludf.DUMMYFUNCTION("""COMPUTED_VALUE"""),3.0)</f>
        <v>3</v>
      </c>
      <c r="O263" s="400" t="str">
        <f>IFERROR(__xludf.DUMMYFUNCTION("""COMPUTED_VALUE"""),"効果値")</f>
        <v>効果値</v>
      </c>
      <c r="P263" s="343">
        <f>IFERROR(__xludf.DUMMYFUNCTION("""COMPUTED_VALUE"""),22.0)</f>
        <v>22</v>
      </c>
      <c r="Q263" s="402">
        <f>IFERROR(__xludf.DUMMYFUNCTION("""COMPUTED_VALUE"""),22.0)</f>
        <v>22</v>
      </c>
      <c r="R263" s="402">
        <f>IFERROR(__xludf.DUMMYFUNCTION("""COMPUTED_VALUE"""),23.0)</f>
        <v>23</v>
      </c>
      <c r="S263" s="402">
        <f>IFERROR(__xludf.DUMMYFUNCTION("""COMPUTED_VALUE"""),23.0)</f>
        <v>23</v>
      </c>
      <c r="T263" s="402">
        <f>IFERROR(__xludf.DUMMYFUNCTION("""COMPUTED_VALUE"""),23.0)</f>
        <v>23</v>
      </c>
      <c r="U263" s="402">
        <f>IFERROR(__xludf.DUMMYFUNCTION("""COMPUTED_VALUE"""),28.0)</f>
        <v>28</v>
      </c>
      <c r="V263" s="402">
        <f>IFERROR(__xludf.DUMMYFUNCTION("""COMPUTED_VALUE"""),33.0)</f>
        <v>33</v>
      </c>
      <c r="W263" s="402">
        <f>IFERROR(__xludf.DUMMYFUNCTION("""COMPUTED_VALUE"""),37.0)</f>
        <v>37</v>
      </c>
      <c r="X263" s="385" t="str">
        <f>IFERROR(__xludf.DUMMYFUNCTION("""COMPUTED_VALUE"""),"安定型")</f>
        <v>安定型</v>
      </c>
      <c r="Y263" s="399">
        <f>IFERROR(__xludf.DUMMYFUNCTION("""COMPUTED_VALUE"""),3.0)</f>
        <v>3</v>
      </c>
      <c r="Z263" s="400" t="str">
        <f>IFERROR(__xludf.DUMMYFUNCTION("""COMPUTED_VALUE"""),"効果値")</f>
        <v>効果値</v>
      </c>
      <c r="AA263" s="343">
        <f>IFERROR(__xludf.DUMMYFUNCTION("""COMPUTED_VALUE"""),12.0)</f>
        <v>12</v>
      </c>
      <c r="AB263" s="402">
        <f>IFERROR(__xludf.DUMMYFUNCTION("""COMPUTED_VALUE"""),12.0)</f>
        <v>12</v>
      </c>
      <c r="AC263" s="402">
        <f>IFERROR(__xludf.DUMMYFUNCTION("""COMPUTED_VALUE"""),13.0)</f>
        <v>13</v>
      </c>
      <c r="AD263" s="402">
        <f>IFERROR(__xludf.DUMMYFUNCTION("""COMPUTED_VALUE"""),13.0)</f>
        <v>13</v>
      </c>
      <c r="AE263" s="402">
        <f>IFERROR(__xludf.DUMMYFUNCTION("""COMPUTED_VALUE"""),13.0)</f>
        <v>13</v>
      </c>
      <c r="AF263" s="402">
        <f>IFERROR(__xludf.DUMMYFUNCTION("""COMPUTED_VALUE"""),13.0)</f>
        <v>13</v>
      </c>
      <c r="AG263" s="402">
        <f>IFERROR(__xludf.DUMMYFUNCTION("""COMPUTED_VALUE"""),18.0)</f>
        <v>18</v>
      </c>
      <c r="AH263" s="402">
        <f>IFERROR(__xludf.DUMMYFUNCTION("""COMPUTED_VALUE"""),22.0)</f>
        <v>22</v>
      </c>
      <c r="AI263" s="385" t="str">
        <f>IFERROR(__xludf.DUMMYFUNCTION("""COMPUTED_VALUE"""),"持続型")</f>
        <v>持続型</v>
      </c>
      <c r="AJ263" s="399">
        <f>IFERROR(__xludf.DUMMYFUNCTION("""COMPUTED_VALUE"""),3.0)</f>
        <v>3</v>
      </c>
      <c r="AK263" s="400" t="str">
        <f>IFERROR(__xludf.DUMMYFUNCTION("""COMPUTED_VALUE"""),"効果値")</f>
        <v>効果値</v>
      </c>
      <c r="AL263" s="343">
        <f>IFERROR(__xludf.DUMMYFUNCTION("""COMPUTED_VALUE"""),7.0)</f>
        <v>7</v>
      </c>
      <c r="AM263" s="402">
        <f>IFERROR(__xludf.DUMMYFUNCTION("""COMPUTED_VALUE"""),7.0)</f>
        <v>7</v>
      </c>
      <c r="AN263" s="402">
        <f>IFERROR(__xludf.DUMMYFUNCTION("""COMPUTED_VALUE"""),8.0)</f>
        <v>8</v>
      </c>
      <c r="AO263" s="402">
        <f>IFERROR(__xludf.DUMMYFUNCTION("""COMPUTED_VALUE"""),8.0)</f>
        <v>8</v>
      </c>
      <c r="AP263" s="402">
        <f>IFERROR(__xludf.DUMMYFUNCTION("""COMPUTED_VALUE"""),8.0)</f>
        <v>8</v>
      </c>
      <c r="AQ263" s="402">
        <f>IFERROR(__xludf.DUMMYFUNCTION("""COMPUTED_VALUE"""),8.0)</f>
        <v>8</v>
      </c>
      <c r="AR263" s="402">
        <f>IFERROR(__xludf.DUMMYFUNCTION("""COMPUTED_VALUE"""),11.0)</f>
        <v>11</v>
      </c>
      <c r="AS263" s="402">
        <f>IFERROR(__xludf.DUMMYFUNCTION("""COMPUTED_VALUE"""),11.0)</f>
        <v>11</v>
      </c>
      <c r="AT263" s="385" t="str">
        <f>IFERROR(__xludf.DUMMYFUNCTION("""COMPUTED_VALUE"""),"超持続型")</f>
        <v>超持続型</v>
      </c>
      <c r="AU263" s="399">
        <f>IFERROR(__xludf.DUMMYFUNCTION("""COMPUTED_VALUE"""),3.0)</f>
        <v>3</v>
      </c>
      <c r="AV263" s="400" t="str">
        <f>IFERROR(__xludf.DUMMYFUNCTION("""COMPUTED_VALUE"""),"効果値")</f>
        <v>効果値</v>
      </c>
      <c r="AW263" s="403" t="str">
        <f>IFERROR(__xludf.DUMMYFUNCTION("""COMPUTED_VALUE"""),"-")</f>
        <v>-</v>
      </c>
      <c r="AX263" s="403" t="str">
        <f>IFERROR(__xludf.DUMMYFUNCTION("""COMPUTED_VALUE"""),"-")</f>
        <v>-</v>
      </c>
      <c r="AY263" s="403" t="str">
        <f>IFERROR(__xludf.DUMMYFUNCTION("""COMPUTED_VALUE"""),"-")</f>
        <v>-</v>
      </c>
      <c r="AZ263" s="403" t="str">
        <f>IFERROR(__xludf.DUMMYFUNCTION("""COMPUTED_VALUE"""),"-")</f>
        <v>-</v>
      </c>
      <c r="BA263" s="403" t="str">
        <f>IFERROR(__xludf.DUMMYFUNCTION("""COMPUTED_VALUE"""),"-")</f>
        <v>-</v>
      </c>
      <c r="BB263" s="343">
        <f>IFERROR(__xludf.DUMMYFUNCTION("""COMPUTED_VALUE"""),8.0)</f>
        <v>8</v>
      </c>
      <c r="BC263" s="343">
        <f>IFERROR(__xludf.DUMMYFUNCTION("""COMPUTED_VALUE"""),11.0)</f>
        <v>11</v>
      </c>
      <c r="BD263" s="343">
        <f>IFERROR(__xludf.DUMMYFUNCTION("""COMPUTED_VALUE"""),11.0)</f>
        <v>11</v>
      </c>
      <c r="BE263" s="385" t="str">
        <f>IFERROR(__xludf.DUMMYFUNCTION("""COMPUTED_VALUE"""),"ハイブリッド型")</f>
        <v>ハイブリッド型</v>
      </c>
      <c r="BF263" s="399">
        <f>IFERROR(__xludf.DUMMYFUNCTION("""COMPUTED_VALUE"""),3.0)</f>
        <v>3</v>
      </c>
      <c r="BG263" s="400" t="str">
        <f>IFERROR(__xludf.DUMMYFUNCTION("""COMPUTED_VALUE"""),"効果値")</f>
        <v>効果値</v>
      </c>
      <c r="BH263" s="411">
        <f>IFERROR(__xludf.DUMMYFUNCTION("""COMPUTED_VALUE"""),11.4)</f>
        <v>11.4</v>
      </c>
      <c r="BI263" s="412">
        <f>IFERROR(__xludf.DUMMYFUNCTION("""COMPUTED_VALUE"""),11.9)</f>
        <v>11.9</v>
      </c>
      <c r="BJ263" s="412">
        <f>IFERROR(__xludf.DUMMYFUNCTION("""COMPUTED_VALUE"""),12.5)</f>
        <v>12.5</v>
      </c>
      <c r="BK263" s="412">
        <f>IFERROR(__xludf.DUMMYFUNCTION("""COMPUTED_VALUE"""),13.0)</f>
        <v>13</v>
      </c>
      <c r="BL263" s="412">
        <f>IFERROR(__xludf.DUMMYFUNCTION("""COMPUTED_VALUE"""),13.5)</f>
        <v>13.5</v>
      </c>
      <c r="BM263" s="412">
        <f>IFERROR(__xludf.DUMMYFUNCTION("""COMPUTED_VALUE"""),18.5)</f>
        <v>18.5</v>
      </c>
      <c r="BN263" s="412">
        <f>IFERROR(__xludf.DUMMYFUNCTION("""COMPUTED_VALUE"""),23.0)</f>
        <v>23</v>
      </c>
      <c r="BO263" s="413">
        <f>IFERROR(__xludf.DUMMYFUNCTION("""COMPUTED_VALUE"""),27.0)</f>
        <v>27</v>
      </c>
    </row>
    <row r="264">
      <c r="A264" s="435" t="str">
        <f>IFERROR(__xludf.DUMMYFUNCTION("""COMPUTED_VALUE"""),"攻撃力UP(黄)")</f>
        <v>攻撃力UP(黄)</v>
      </c>
      <c r="B264" s="385" t="str">
        <f>IFERROR(__xludf.DUMMYFUNCTION("""COMPUTED_VALUE"""),"超瞬間型")</f>
        <v>超瞬間型</v>
      </c>
      <c r="C264" s="386">
        <f>IFERROR(__xludf.DUMMYFUNCTION("""COMPUTED_VALUE"""),3.0)</f>
        <v>3</v>
      </c>
      <c r="D264" s="387" t="str">
        <f>IFERROR(__xludf.DUMMYFUNCTION("""COMPUTED_VALUE"""),"効果時間")</f>
        <v>効果時間</v>
      </c>
      <c r="E264" s="388" t="str">
        <f>IFERROR(__xludf.DUMMYFUNCTION("""COMPUTED_VALUE"""),"-")</f>
        <v>-</v>
      </c>
      <c r="F264" s="389" t="str">
        <f>IFERROR(__xludf.DUMMYFUNCTION("""COMPUTED_VALUE"""),"-")</f>
        <v>-</v>
      </c>
      <c r="G264" s="388" t="str">
        <f>IFERROR(__xludf.DUMMYFUNCTION("""COMPUTED_VALUE"""),"-")</f>
        <v>-</v>
      </c>
      <c r="H264" s="389" t="str">
        <f>IFERROR(__xludf.DUMMYFUNCTION("""COMPUTED_VALUE"""),"-")</f>
        <v>-</v>
      </c>
      <c r="I264" s="388" t="str">
        <f>IFERROR(__xludf.DUMMYFUNCTION("""COMPUTED_VALUE"""),"-")</f>
        <v>-</v>
      </c>
      <c r="J264" s="390">
        <f>IFERROR(__xludf.DUMMYFUNCTION("""COMPUTED_VALUE"""),155.0)</f>
        <v>155</v>
      </c>
      <c r="K264" s="391">
        <f>IFERROR(__xludf.DUMMYFUNCTION("""COMPUTED_VALUE"""),165.0)</f>
        <v>165</v>
      </c>
      <c r="L264" s="340">
        <f>IFERROR(__xludf.DUMMYFUNCTION("""COMPUTED_VALUE"""),185.0)</f>
        <v>185</v>
      </c>
      <c r="M264" s="385" t="str">
        <f>IFERROR(__xludf.DUMMYFUNCTION("""COMPUTED_VALUE"""),"瞬間型")</f>
        <v>瞬間型</v>
      </c>
      <c r="N264" s="386">
        <f>IFERROR(__xludf.DUMMYFUNCTION("""COMPUTED_VALUE"""),3.0)</f>
        <v>3</v>
      </c>
      <c r="O264" s="387" t="str">
        <f>IFERROR(__xludf.DUMMYFUNCTION("""COMPUTED_VALUE"""),"効果時間")</f>
        <v>効果時間</v>
      </c>
      <c r="P264" s="392">
        <f>IFERROR(__xludf.DUMMYFUNCTION("""COMPUTED_VALUE"""),165.0)</f>
        <v>165</v>
      </c>
      <c r="Q264" s="414">
        <f>IFERROR(__xludf.DUMMYFUNCTION("""COMPUTED_VALUE"""),175.0)</f>
        <v>175</v>
      </c>
      <c r="R264" s="415">
        <f>IFERROR(__xludf.DUMMYFUNCTION("""COMPUTED_VALUE"""),180.0)</f>
        <v>180</v>
      </c>
      <c r="S264" s="393">
        <f>IFERROR(__xludf.DUMMYFUNCTION("""COMPUTED_VALUE"""),185.0)</f>
        <v>185</v>
      </c>
      <c r="T264" s="393">
        <f>IFERROR(__xludf.DUMMYFUNCTION("""COMPUTED_VALUE"""),195.0)</f>
        <v>195</v>
      </c>
      <c r="U264" s="414">
        <f>IFERROR(__xludf.DUMMYFUNCTION("""COMPUTED_VALUE"""),200.0)</f>
        <v>200</v>
      </c>
      <c r="V264" s="416">
        <f>IFERROR(__xludf.DUMMYFUNCTION("""COMPUTED_VALUE"""),255.0)</f>
        <v>255</v>
      </c>
      <c r="W264" s="415">
        <f>IFERROR(__xludf.DUMMYFUNCTION("""COMPUTED_VALUE"""),270.0)</f>
        <v>270</v>
      </c>
      <c r="X264" s="385" t="str">
        <f>IFERROR(__xludf.DUMMYFUNCTION("""COMPUTED_VALUE"""),"安定型")</f>
        <v>安定型</v>
      </c>
      <c r="Y264" s="386">
        <f>IFERROR(__xludf.DUMMYFUNCTION("""COMPUTED_VALUE"""),3.0)</f>
        <v>3</v>
      </c>
      <c r="Z264" s="387" t="str">
        <f>IFERROR(__xludf.DUMMYFUNCTION("""COMPUTED_VALUE"""),"効果時間")</f>
        <v>効果時間</v>
      </c>
      <c r="AA264" s="392">
        <f>IFERROR(__xludf.DUMMYFUNCTION("""COMPUTED_VALUE"""),315.0)</f>
        <v>315</v>
      </c>
      <c r="AB264" s="414">
        <f>IFERROR(__xludf.DUMMYFUNCTION("""COMPUTED_VALUE"""),325.0)</f>
        <v>325</v>
      </c>
      <c r="AC264" s="415">
        <f>IFERROR(__xludf.DUMMYFUNCTION("""COMPUTED_VALUE"""),330.0)</f>
        <v>330</v>
      </c>
      <c r="AD264" s="393">
        <f>IFERROR(__xludf.DUMMYFUNCTION("""COMPUTED_VALUE"""),335.0)</f>
        <v>335</v>
      </c>
      <c r="AE264" s="393">
        <f>IFERROR(__xludf.DUMMYFUNCTION("""COMPUTED_VALUE"""),345.0)</f>
        <v>345</v>
      </c>
      <c r="AF264" s="414">
        <f>IFERROR(__xludf.DUMMYFUNCTION("""COMPUTED_VALUE"""),370.0)</f>
        <v>370</v>
      </c>
      <c r="AG264" s="416">
        <f>IFERROR(__xludf.DUMMYFUNCTION("""COMPUTED_VALUE"""),405.0)</f>
        <v>405</v>
      </c>
      <c r="AH264" s="415">
        <f>IFERROR(__xludf.DUMMYFUNCTION("""COMPUTED_VALUE"""),420.0)</f>
        <v>420</v>
      </c>
      <c r="AI264" s="385" t="str">
        <f>IFERROR(__xludf.DUMMYFUNCTION("""COMPUTED_VALUE"""),"持続型")</f>
        <v>持続型</v>
      </c>
      <c r="AJ264" s="386">
        <f>IFERROR(__xludf.DUMMYFUNCTION("""COMPUTED_VALUE"""),3.0)</f>
        <v>3</v>
      </c>
      <c r="AK264" s="387" t="str">
        <f>IFERROR(__xludf.DUMMYFUNCTION("""COMPUTED_VALUE"""),"効果時間")</f>
        <v>効果時間</v>
      </c>
      <c r="AL264" s="392">
        <f>IFERROR(__xludf.DUMMYFUNCTION("""COMPUTED_VALUE"""),465.0)</f>
        <v>465</v>
      </c>
      <c r="AM264" s="414">
        <f>IFERROR(__xludf.DUMMYFUNCTION("""COMPUTED_VALUE"""),475.0)</f>
        <v>475</v>
      </c>
      <c r="AN264" s="415">
        <f>IFERROR(__xludf.DUMMYFUNCTION("""COMPUTED_VALUE"""),480.0)</f>
        <v>480</v>
      </c>
      <c r="AO264" s="393">
        <f>IFERROR(__xludf.DUMMYFUNCTION("""COMPUTED_VALUE"""),485.0)</f>
        <v>485</v>
      </c>
      <c r="AP264" s="393">
        <f>IFERROR(__xludf.DUMMYFUNCTION("""COMPUTED_VALUE"""),495.0)</f>
        <v>495</v>
      </c>
      <c r="AQ264" s="414">
        <f>IFERROR(__xludf.DUMMYFUNCTION("""COMPUTED_VALUE"""),520.0)</f>
        <v>520</v>
      </c>
      <c r="AR264" s="416">
        <f>IFERROR(__xludf.DUMMYFUNCTION("""COMPUTED_VALUE"""),555.0)</f>
        <v>555</v>
      </c>
      <c r="AS264" s="415">
        <f>IFERROR(__xludf.DUMMYFUNCTION("""COMPUTED_VALUE"""),570.0)</f>
        <v>570</v>
      </c>
      <c r="AT264" s="385" t="str">
        <f>IFERROR(__xludf.DUMMYFUNCTION("""COMPUTED_VALUE"""),"超持続型")</f>
        <v>超持続型</v>
      </c>
      <c r="AU264" s="386">
        <f>IFERROR(__xludf.DUMMYFUNCTION("""COMPUTED_VALUE"""),3.0)</f>
        <v>3</v>
      </c>
      <c r="AV264" s="387" t="str">
        <f>IFERROR(__xludf.DUMMYFUNCTION("""COMPUTED_VALUE"""),"効果時間")</f>
        <v>効果時間</v>
      </c>
      <c r="AW264" s="368" t="str">
        <f>IFERROR(__xludf.DUMMYFUNCTION("""COMPUTED_VALUE"""),"-")</f>
        <v>-</v>
      </c>
      <c r="AX264" s="368" t="str">
        <f>IFERROR(__xludf.DUMMYFUNCTION("""COMPUTED_VALUE"""),"-")</f>
        <v>-</v>
      </c>
      <c r="AY264" s="368" t="str">
        <f>IFERROR(__xludf.DUMMYFUNCTION("""COMPUTED_VALUE"""),"-")</f>
        <v>-</v>
      </c>
      <c r="AZ264" s="368" t="str">
        <f>IFERROR(__xludf.DUMMYFUNCTION("""COMPUTED_VALUE"""),"-")</f>
        <v>-</v>
      </c>
      <c r="BA264" s="368" t="str">
        <f>IFERROR(__xludf.DUMMYFUNCTION("""COMPUTED_VALUE"""),"-")</f>
        <v>-</v>
      </c>
      <c r="BB264" s="280">
        <f>IFERROR(__xludf.DUMMYFUNCTION("""COMPUTED_VALUE"""),635.0)</f>
        <v>635</v>
      </c>
      <c r="BC264" s="280">
        <f>IFERROR(__xludf.DUMMYFUNCTION("""COMPUTED_VALUE"""),705.0)</f>
        <v>705</v>
      </c>
      <c r="BD264" s="280">
        <f>IFERROR(__xludf.DUMMYFUNCTION("""COMPUTED_VALUE"""),720.0)</f>
        <v>720</v>
      </c>
      <c r="BE264" s="385" t="str">
        <f>IFERROR(__xludf.DUMMYFUNCTION("""COMPUTED_VALUE"""),"ハイブリッド型")</f>
        <v>ハイブリッド型</v>
      </c>
      <c r="BF264" s="386">
        <f>IFERROR(__xludf.DUMMYFUNCTION("""COMPUTED_VALUE"""),3.0)</f>
        <v>3</v>
      </c>
      <c r="BG264" s="387" t="str">
        <f>IFERROR(__xludf.DUMMYFUNCTION("""COMPUTED_VALUE"""),"効果時間")</f>
        <v>効果時間</v>
      </c>
      <c r="BH264" s="407">
        <f>IFERROR(__xludf.DUMMYFUNCTION("""COMPUTED_VALUE"""),220.0)</f>
        <v>220</v>
      </c>
      <c r="BI264" s="407">
        <f>IFERROR(__xludf.DUMMYFUNCTION("""COMPUTED_VALUE"""),235.0)</f>
        <v>235</v>
      </c>
      <c r="BJ264" s="407">
        <f>IFERROR(__xludf.DUMMYFUNCTION("""COMPUTED_VALUE"""),240.0)</f>
        <v>240</v>
      </c>
      <c r="BK264" s="408">
        <f>IFERROR(__xludf.DUMMYFUNCTION("""COMPUTED_VALUE"""),250.0)</f>
        <v>250</v>
      </c>
      <c r="BL264" s="407">
        <f>IFERROR(__xludf.DUMMYFUNCTION("""COMPUTED_VALUE"""),255.0)</f>
        <v>255</v>
      </c>
      <c r="BM264" s="408">
        <f>IFERROR(__xludf.DUMMYFUNCTION("""COMPUTED_VALUE"""),385.0)</f>
        <v>385</v>
      </c>
      <c r="BN264" s="407">
        <f>IFERROR(__xludf.DUMMYFUNCTION("""COMPUTED_VALUE"""),490.0)</f>
        <v>490</v>
      </c>
      <c r="BO264" s="408">
        <f>IFERROR(__xludf.DUMMYFUNCTION("""COMPUTED_VALUE"""),505.0)</f>
        <v>505</v>
      </c>
    </row>
    <row r="265">
      <c r="A265" s="435" t="str">
        <f>IFERROR(__xludf.DUMMYFUNCTION("""COMPUTED_VALUE"""),"攻撃力UP(黄)")</f>
        <v>攻撃力UP(黄)</v>
      </c>
      <c r="B265" s="385" t="str">
        <f>IFERROR(__xludf.DUMMYFUNCTION("""COMPUTED_VALUE"""),"超瞬間型")</f>
        <v>超瞬間型</v>
      </c>
      <c r="C265" s="399">
        <f>IFERROR(__xludf.DUMMYFUNCTION("""COMPUTED_VALUE"""),4.0)</f>
        <v>4</v>
      </c>
      <c r="D265" s="400" t="str">
        <f>IFERROR(__xludf.DUMMYFUNCTION("""COMPUTED_VALUE"""),"効果値")</f>
        <v>効果値</v>
      </c>
      <c r="E265" s="401" t="str">
        <f>IFERROR(__xludf.DUMMYFUNCTION("""COMPUTED_VALUE"""),"-")</f>
        <v>-</v>
      </c>
      <c r="F265" s="409" t="str">
        <f>IFERROR(__xludf.DUMMYFUNCTION("""COMPUTED_VALUE"""),"-")</f>
        <v>-</v>
      </c>
      <c r="G265" s="409" t="str">
        <f>IFERROR(__xludf.DUMMYFUNCTION("""COMPUTED_VALUE"""),"-")</f>
        <v>-</v>
      </c>
      <c r="H265" s="409" t="str">
        <f>IFERROR(__xludf.DUMMYFUNCTION("""COMPUTED_VALUE"""),"-")</f>
        <v>-</v>
      </c>
      <c r="I265" s="409" t="str">
        <f>IFERROR(__xludf.DUMMYFUNCTION("""COMPUTED_VALUE"""),"-")</f>
        <v>-</v>
      </c>
      <c r="J265" s="410">
        <f>IFERROR(__xludf.DUMMYFUNCTION("""COMPUTED_VALUE"""),59.0)</f>
        <v>59</v>
      </c>
      <c r="K265" s="410">
        <f>IFERROR(__xludf.DUMMYFUNCTION("""COMPUTED_VALUE"""),69.0)</f>
        <v>69</v>
      </c>
      <c r="L265" s="410">
        <f>IFERROR(__xludf.DUMMYFUNCTION("""COMPUTED_VALUE"""),74.0)</f>
        <v>74</v>
      </c>
      <c r="M265" s="385" t="str">
        <f>IFERROR(__xludf.DUMMYFUNCTION("""COMPUTED_VALUE"""),"瞬間型")</f>
        <v>瞬間型</v>
      </c>
      <c r="N265" s="399">
        <f>IFERROR(__xludf.DUMMYFUNCTION("""COMPUTED_VALUE"""),4.0)</f>
        <v>4</v>
      </c>
      <c r="O265" s="400" t="str">
        <f>IFERROR(__xludf.DUMMYFUNCTION("""COMPUTED_VALUE"""),"効果値")</f>
        <v>効果値</v>
      </c>
      <c r="P265" s="343">
        <f>IFERROR(__xludf.DUMMYFUNCTION("""COMPUTED_VALUE"""),23.0)</f>
        <v>23</v>
      </c>
      <c r="Q265" s="402">
        <f>IFERROR(__xludf.DUMMYFUNCTION("""COMPUTED_VALUE"""),23.0)</f>
        <v>23</v>
      </c>
      <c r="R265" s="343">
        <f>IFERROR(__xludf.DUMMYFUNCTION("""COMPUTED_VALUE"""),23.0)</f>
        <v>23</v>
      </c>
      <c r="S265" s="402">
        <f>IFERROR(__xludf.DUMMYFUNCTION("""COMPUTED_VALUE"""),23.0)</f>
        <v>23</v>
      </c>
      <c r="T265" s="343">
        <f>IFERROR(__xludf.DUMMYFUNCTION("""COMPUTED_VALUE"""),23.0)</f>
        <v>23</v>
      </c>
      <c r="U265" s="343">
        <f>IFERROR(__xludf.DUMMYFUNCTION("""COMPUTED_VALUE"""),29.0)</f>
        <v>29</v>
      </c>
      <c r="V265" s="343">
        <f>IFERROR(__xludf.DUMMYFUNCTION("""COMPUTED_VALUE"""),34.0)</f>
        <v>34</v>
      </c>
      <c r="W265" s="343">
        <f>IFERROR(__xludf.DUMMYFUNCTION("""COMPUTED_VALUE"""),39.0)</f>
        <v>39</v>
      </c>
      <c r="X265" s="385" t="str">
        <f>IFERROR(__xludf.DUMMYFUNCTION("""COMPUTED_VALUE"""),"安定型")</f>
        <v>安定型</v>
      </c>
      <c r="Y265" s="399">
        <f>IFERROR(__xludf.DUMMYFUNCTION("""COMPUTED_VALUE"""),4.0)</f>
        <v>4</v>
      </c>
      <c r="Z265" s="400" t="str">
        <f>IFERROR(__xludf.DUMMYFUNCTION("""COMPUTED_VALUE"""),"効果値")</f>
        <v>効果値</v>
      </c>
      <c r="AA265" s="343">
        <f>IFERROR(__xludf.DUMMYFUNCTION("""COMPUTED_VALUE"""),13.0)</f>
        <v>13</v>
      </c>
      <c r="AB265" s="402">
        <f>IFERROR(__xludf.DUMMYFUNCTION("""COMPUTED_VALUE"""),13.0)</f>
        <v>13</v>
      </c>
      <c r="AC265" s="343">
        <f>IFERROR(__xludf.DUMMYFUNCTION("""COMPUTED_VALUE"""),13.0)</f>
        <v>13</v>
      </c>
      <c r="AD265" s="402">
        <f>IFERROR(__xludf.DUMMYFUNCTION("""COMPUTED_VALUE"""),13.0)</f>
        <v>13</v>
      </c>
      <c r="AE265" s="343">
        <f>IFERROR(__xludf.DUMMYFUNCTION("""COMPUTED_VALUE"""),13.0)</f>
        <v>13</v>
      </c>
      <c r="AF265" s="343">
        <f>IFERROR(__xludf.DUMMYFUNCTION("""COMPUTED_VALUE"""),14.0)</f>
        <v>14</v>
      </c>
      <c r="AG265" s="343">
        <f>IFERROR(__xludf.DUMMYFUNCTION("""COMPUTED_VALUE"""),19.0)</f>
        <v>19</v>
      </c>
      <c r="AH265" s="343">
        <f>IFERROR(__xludf.DUMMYFUNCTION("""COMPUTED_VALUE"""),24.0)</f>
        <v>24</v>
      </c>
      <c r="AI265" s="385" t="str">
        <f>IFERROR(__xludf.DUMMYFUNCTION("""COMPUTED_VALUE"""),"持続型")</f>
        <v>持続型</v>
      </c>
      <c r="AJ265" s="399">
        <f>IFERROR(__xludf.DUMMYFUNCTION("""COMPUTED_VALUE"""),4.0)</f>
        <v>4</v>
      </c>
      <c r="AK265" s="400" t="str">
        <f>IFERROR(__xludf.DUMMYFUNCTION("""COMPUTED_VALUE"""),"効果値")</f>
        <v>効果値</v>
      </c>
      <c r="AL265" s="343">
        <f>IFERROR(__xludf.DUMMYFUNCTION("""COMPUTED_VALUE"""),8.0)</f>
        <v>8</v>
      </c>
      <c r="AM265" s="402">
        <f>IFERROR(__xludf.DUMMYFUNCTION("""COMPUTED_VALUE"""),8.0)</f>
        <v>8</v>
      </c>
      <c r="AN265" s="343">
        <f>IFERROR(__xludf.DUMMYFUNCTION("""COMPUTED_VALUE"""),8.0)</f>
        <v>8</v>
      </c>
      <c r="AO265" s="402">
        <f>IFERROR(__xludf.DUMMYFUNCTION("""COMPUTED_VALUE"""),8.0)</f>
        <v>8</v>
      </c>
      <c r="AP265" s="343">
        <f>IFERROR(__xludf.DUMMYFUNCTION("""COMPUTED_VALUE"""),8.0)</f>
        <v>8</v>
      </c>
      <c r="AQ265" s="343">
        <f>IFERROR(__xludf.DUMMYFUNCTION("""COMPUTED_VALUE"""),9.0)</f>
        <v>9</v>
      </c>
      <c r="AR265" s="343">
        <f>IFERROR(__xludf.DUMMYFUNCTION("""COMPUTED_VALUE"""),12.0)</f>
        <v>12</v>
      </c>
      <c r="AS265" s="343">
        <f>IFERROR(__xludf.DUMMYFUNCTION("""COMPUTED_VALUE"""),12.0)</f>
        <v>12</v>
      </c>
      <c r="AT265" s="385" t="str">
        <f>IFERROR(__xludf.DUMMYFUNCTION("""COMPUTED_VALUE"""),"超持続型")</f>
        <v>超持続型</v>
      </c>
      <c r="AU265" s="399">
        <f>IFERROR(__xludf.DUMMYFUNCTION("""COMPUTED_VALUE"""),4.0)</f>
        <v>4</v>
      </c>
      <c r="AV265" s="400" t="str">
        <f>IFERROR(__xludf.DUMMYFUNCTION("""COMPUTED_VALUE"""),"効果値")</f>
        <v>効果値</v>
      </c>
      <c r="AW265" s="403" t="str">
        <f>IFERROR(__xludf.DUMMYFUNCTION("""COMPUTED_VALUE"""),"-")</f>
        <v>-</v>
      </c>
      <c r="AX265" s="403" t="str">
        <f>IFERROR(__xludf.DUMMYFUNCTION("""COMPUTED_VALUE"""),"-")</f>
        <v>-</v>
      </c>
      <c r="AY265" s="403" t="str">
        <f>IFERROR(__xludf.DUMMYFUNCTION("""COMPUTED_VALUE"""),"-")</f>
        <v>-</v>
      </c>
      <c r="AZ265" s="403" t="str">
        <f>IFERROR(__xludf.DUMMYFUNCTION("""COMPUTED_VALUE"""),"-")</f>
        <v>-</v>
      </c>
      <c r="BA265" s="403" t="str">
        <f>IFERROR(__xludf.DUMMYFUNCTION("""COMPUTED_VALUE"""),"-")</f>
        <v>-</v>
      </c>
      <c r="BB265" s="343">
        <f>IFERROR(__xludf.DUMMYFUNCTION("""COMPUTED_VALUE"""),9.0)</f>
        <v>9</v>
      </c>
      <c r="BC265" s="343">
        <f>IFERROR(__xludf.DUMMYFUNCTION("""COMPUTED_VALUE"""),12.0)</f>
        <v>12</v>
      </c>
      <c r="BD265" s="343">
        <f>IFERROR(__xludf.DUMMYFUNCTION("""COMPUTED_VALUE"""),12.0)</f>
        <v>12</v>
      </c>
      <c r="BE265" s="385" t="str">
        <f>IFERROR(__xludf.DUMMYFUNCTION("""COMPUTED_VALUE"""),"ハイブリッド型")</f>
        <v>ハイブリッド型</v>
      </c>
      <c r="BF265" s="399">
        <f>IFERROR(__xludf.DUMMYFUNCTION("""COMPUTED_VALUE"""),4.0)</f>
        <v>4</v>
      </c>
      <c r="BG265" s="400" t="str">
        <f>IFERROR(__xludf.DUMMYFUNCTION("""COMPUTED_VALUE"""),"効果値")</f>
        <v>効果値</v>
      </c>
      <c r="BH265" s="411">
        <f>IFERROR(__xludf.DUMMYFUNCTION("""COMPUTED_VALUE"""),11.8)</f>
        <v>11.8</v>
      </c>
      <c r="BI265" s="412">
        <f>IFERROR(__xludf.DUMMYFUNCTION("""COMPUTED_VALUE"""),12.4)</f>
        <v>12.4</v>
      </c>
      <c r="BJ265" s="412">
        <f>IFERROR(__xludf.DUMMYFUNCTION("""COMPUTED_VALUE"""),13.1)</f>
        <v>13.1</v>
      </c>
      <c r="BK265" s="412">
        <f>IFERROR(__xludf.DUMMYFUNCTION("""COMPUTED_VALUE"""),13.7)</f>
        <v>13.7</v>
      </c>
      <c r="BL265" s="412">
        <f>IFERROR(__xludf.DUMMYFUNCTION("""COMPUTED_VALUE"""),14.4)</f>
        <v>14.4</v>
      </c>
      <c r="BM265" s="412">
        <f>IFERROR(__xludf.DUMMYFUNCTION("""COMPUTED_VALUE"""),19.4)</f>
        <v>19.4</v>
      </c>
      <c r="BN265" s="412">
        <f>IFERROR(__xludf.DUMMYFUNCTION("""COMPUTED_VALUE"""),24.0)</f>
        <v>24</v>
      </c>
      <c r="BO265" s="413">
        <f>IFERROR(__xludf.DUMMYFUNCTION("""COMPUTED_VALUE"""),29.0)</f>
        <v>29</v>
      </c>
    </row>
    <row r="266">
      <c r="A266" s="435" t="str">
        <f>IFERROR(__xludf.DUMMYFUNCTION("""COMPUTED_VALUE"""),"攻撃力UP(黄)")</f>
        <v>攻撃力UP(黄)</v>
      </c>
      <c r="B266" s="385" t="str">
        <f>IFERROR(__xludf.DUMMYFUNCTION("""COMPUTED_VALUE"""),"超瞬間型")</f>
        <v>超瞬間型</v>
      </c>
      <c r="C266" s="386">
        <f>IFERROR(__xludf.DUMMYFUNCTION("""COMPUTED_VALUE"""),4.0)</f>
        <v>4</v>
      </c>
      <c r="D266" s="387" t="str">
        <f>IFERROR(__xludf.DUMMYFUNCTION("""COMPUTED_VALUE"""),"効果時間")</f>
        <v>効果時間</v>
      </c>
      <c r="E266" s="388" t="str">
        <f>IFERROR(__xludf.DUMMYFUNCTION("""COMPUTED_VALUE"""),"-")</f>
        <v>-</v>
      </c>
      <c r="F266" s="389" t="str">
        <f>IFERROR(__xludf.DUMMYFUNCTION("""COMPUTED_VALUE"""),"-")</f>
        <v>-</v>
      </c>
      <c r="G266" s="388" t="str">
        <f>IFERROR(__xludf.DUMMYFUNCTION("""COMPUTED_VALUE"""),"-")</f>
        <v>-</v>
      </c>
      <c r="H266" s="389" t="str">
        <f>IFERROR(__xludf.DUMMYFUNCTION("""COMPUTED_VALUE"""),"-")</f>
        <v>-</v>
      </c>
      <c r="I266" s="388" t="str">
        <f>IFERROR(__xludf.DUMMYFUNCTION("""COMPUTED_VALUE"""),"-")</f>
        <v>-</v>
      </c>
      <c r="J266" s="390">
        <f>IFERROR(__xludf.DUMMYFUNCTION("""COMPUTED_VALUE"""),155.0)</f>
        <v>155</v>
      </c>
      <c r="K266" s="391">
        <f>IFERROR(__xludf.DUMMYFUNCTION("""COMPUTED_VALUE"""),170.0)</f>
        <v>170</v>
      </c>
      <c r="L266" s="340">
        <f>IFERROR(__xludf.DUMMYFUNCTION("""COMPUTED_VALUE"""),195.0)</f>
        <v>195</v>
      </c>
      <c r="M266" s="385" t="str">
        <f>IFERROR(__xludf.DUMMYFUNCTION("""COMPUTED_VALUE"""),"瞬間型")</f>
        <v>瞬間型</v>
      </c>
      <c r="N266" s="386">
        <f>IFERROR(__xludf.DUMMYFUNCTION("""COMPUTED_VALUE"""),4.0)</f>
        <v>4</v>
      </c>
      <c r="O266" s="387" t="str">
        <f>IFERROR(__xludf.DUMMYFUNCTION("""COMPUTED_VALUE"""),"効果時間")</f>
        <v>効果時間</v>
      </c>
      <c r="P266" s="280">
        <f>IFERROR(__xludf.DUMMYFUNCTION("""COMPUTED_VALUE"""),170.0)</f>
        <v>170</v>
      </c>
      <c r="Q266" s="275">
        <f>IFERROR(__xludf.DUMMYFUNCTION("""COMPUTED_VALUE"""),180.0)</f>
        <v>180</v>
      </c>
      <c r="R266" s="280">
        <f>IFERROR(__xludf.DUMMYFUNCTION("""COMPUTED_VALUE"""),185.0)</f>
        <v>185</v>
      </c>
      <c r="S266" s="275">
        <f>IFERROR(__xludf.DUMMYFUNCTION("""COMPUTED_VALUE"""),195.0)</f>
        <v>195</v>
      </c>
      <c r="T266" s="280">
        <f>IFERROR(__xludf.DUMMYFUNCTION("""COMPUTED_VALUE"""),200.0)</f>
        <v>200</v>
      </c>
      <c r="U266" s="280">
        <f>IFERROR(__xludf.DUMMYFUNCTION("""COMPUTED_VALUE"""),215.0)</f>
        <v>215</v>
      </c>
      <c r="V266" s="280">
        <f>IFERROR(__xludf.DUMMYFUNCTION("""COMPUTED_VALUE"""),285.0)</f>
        <v>285</v>
      </c>
      <c r="W266" s="280">
        <f>IFERROR(__xludf.DUMMYFUNCTION("""COMPUTED_VALUE"""),305.0)</f>
        <v>305</v>
      </c>
      <c r="X266" s="385" t="str">
        <f>IFERROR(__xludf.DUMMYFUNCTION("""COMPUTED_VALUE"""),"安定型")</f>
        <v>安定型</v>
      </c>
      <c r="Y266" s="386">
        <f>IFERROR(__xludf.DUMMYFUNCTION("""COMPUTED_VALUE"""),4.0)</f>
        <v>4</v>
      </c>
      <c r="Z266" s="387" t="str">
        <f>IFERROR(__xludf.DUMMYFUNCTION("""COMPUTED_VALUE"""),"効果時間")</f>
        <v>効果時間</v>
      </c>
      <c r="AA266" s="280">
        <f>IFERROR(__xludf.DUMMYFUNCTION("""COMPUTED_VALUE"""),320.0)</f>
        <v>320</v>
      </c>
      <c r="AB266" s="275">
        <f>IFERROR(__xludf.DUMMYFUNCTION("""COMPUTED_VALUE"""),330.0)</f>
        <v>330</v>
      </c>
      <c r="AC266" s="280">
        <f>IFERROR(__xludf.DUMMYFUNCTION("""COMPUTED_VALUE"""),335.0)</f>
        <v>335</v>
      </c>
      <c r="AD266" s="275">
        <f>IFERROR(__xludf.DUMMYFUNCTION("""COMPUTED_VALUE"""),345.0)</f>
        <v>345</v>
      </c>
      <c r="AE266" s="280">
        <f>IFERROR(__xludf.DUMMYFUNCTION("""COMPUTED_VALUE"""),350.0)</f>
        <v>350</v>
      </c>
      <c r="AF266" s="280">
        <f>IFERROR(__xludf.DUMMYFUNCTION("""COMPUTED_VALUE"""),390.0)</f>
        <v>390</v>
      </c>
      <c r="AG266" s="280">
        <f>IFERROR(__xludf.DUMMYFUNCTION("""COMPUTED_VALUE"""),435.0)</f>
        <v>435</v>
      </c>
      <c r="AH266" s="280">
        <f>IFERROR(__xludf.DUMMYFUNCTION("""COMPUTED_VALUE"""),455.0)</f>
        <v>455</v>
      </c>
      <c r="AI266" s="385" t="str">
        <f>IFERROR(__xludf.DUMMYFUNCTION("""COMPUTED_VALUE"""),"持続型")</f>
        <v>持続型</v>
      </c>
      <c r="AJ266" s="386">
        <f>IFERROR(__xludf.DUMMYFUNCTION("""COMPUTED_VALUE"""),4.0)</f>
        <v>4</v>
      </c>
      <c r="AK266" s="387" t="str">
        <f>IFERROR(__xludf.DUMMYFUNCTION("""COMPUTED_VALUE"""),"効果時間")</f>
        <v>効果時間</v>
      </c>
      <c r="AL266" s="280">
        <f>IFERROR(__xludf.DUMMYFUNCTION("""COMPUTED_VALUE"""),470.0)</f>
        <v>470</v>
      </c>
      <c r="AM266" s="275">
        <f>IFERROR(__xludf.DUMMYFUNCTION("""COMPUTED_VALUE"""),480.0)</f>
        <v>480</v>
      </c>
      <c r="AN266" s="280">
        <f>IFERROR(__xludf.DUMMYFUNCTION("""COMPUTED_VALUE"""),485.0)</f>
        <v>485</v>
      </c>
      <c r="AO266" s="275">
        <f>IFERROR(__xludf.DUMMYFUNCTION("""COMPUTED_VALUE"""),495.0)</f>
        <v>495</v>
      </c>
      <c r="AP266" s="280">
        <f>IFERROR(__xludf.DUMMYFUNCTION("""COMPUTED_VALUE"""),500.0)</f>
        <v>500</v>
      </c>
      <c r="AQ266" s="280">
        <f>IFERROR(__xludf.DUMMYFUNCTION("""COMPUTED_VALUE"""),540.0)</f>
        <v>540</v>
      </c>
      <c r="AR266" s="280">
        <f>IFERROR(__xludf.DUMMYFUNCTION("""COMPUTED_VALUE"""),585.0)</f>
        <v>585</v>
      </c>
      <c r="AS266" s="280">
        <f>IFERROR(__xludf.DUMMYFUNCTION("""COMPUTED_VALUE"""),605.0)</f>
        <v>605</v>
      </c>
      <c r="AT266" s="385" t="str">
        <f>IFERROR(__xludf.DUMMYFUNCTION("""COMPUTED_VALUE"""),"超持続型")</f>
        <v>超持続型</v>
      </c>
      <c r="AU266" s="386">
        <f>IFERROR(__xludf.DUMMYFUNCTION("""COMPUTED_VALUE"""),4.0)</f>
        <v>4</v>
      </c>
      <c r="AV266" s="387" t="str">
        <f>IFERROR(__xludf.DUMMYFUNCTION("""COMPUTED_VALUE"""),"効果時間")</f>
        <v>効果時間</v>
      </c>
      <c r="AW266" s="368" t="str">
        <f>IFERROR(__xludf.DUMMYFUNCTION("""COMPUTED_VALUE"""),"-")</f>
        <v>-</v>
      </c>
      <c r="AX266" s="368" t="str">
        <f>IFERROR(__xludf.DUMMYFUNCTION("""COMPUTED_VALUE"""),"-")</f>
        <v>-</v>
      </c>
      <c r="AY266" s="368" t="str">
        <f>IFERROR(__xludf.DUMMYFUNCTION("""COMPUTED_VALUE"""),"-")</f>
        <v>-</v>
      </c>
      <c r="AZ266" s="368" t="str">
        <f>IFERROR(__xludf.DUMMYFUNCTION("""COMPUTED_VALUE"""),"-")</f>
        <v>-</v>
      </c>
      <c r="BA266" s="368" t="str">
        <f>IFERROR(__xludf.DUMMYFUNCTION("""COMPUTED_VALUE"""),"-")</f>
        <v>-</v>
      </c>
      <c r="BB266" s="280">
        <f>IFERROR(__xludf.DUMMYFUNCTION("""COMPUTED_VALUE"""),645.0)</f>
        <v>645</v>
      </c>
      <c r="BC266" s="280">
        <f>IFERROR(__xludf.DUMMYFUNCTION("""COMPUTED_VALUE"""),735.0)</f>
        <v>735</v>
      </c>
      <c r="BD266" s="280">
        <f>IFERROR(__xludf.DUMMYFUNCTION("""COMPUTED_VALUE"""),755.0)</f>
        <v>755</v>
      </c>
      <c r="BE266" s="385" t="str">
        <f>IFERROR(__xludf.DUMMYFUNCTION("""COMPUTED_VALUE"""),"ハイブリッド型")</f>
        <v>ハイブリッド型</v>
      </c>
      <c r="BF266" s="386">
        <f>IFERROR(__xludf.DUMMYFUNCTION("""COMPUTED_VALUE"""),4.0)</f>
        <v>4</v>
      </c>
      <c r="BG266" s="387" t="str">
        <f>IFERROR(__xludf.DUMMYFUNCTION("""COMPUTED_VALUE"""),"効果時間")</f>
        <v>効果時間</v>
      </c>
      <c r="BH266" s="417">
        <f>IFERROR(__xludf.DUMMYFUNCTION("""COMPUTED_VALUE"""),240.0)</f>
        <v>240</v>
      </c>
      <c r="BI266" s="417">
        <f>IFERROR(__xludf.DUMMYFUNCTION("""COMPUTED_VALUE"""),255.0)</f>
        <v>255</v>
      </c>
      <c r="BJ266" s="417">
        <f>IFERROR(__xludf.DUMMYFUNCTION("""COMPUTED_VALUE"""),265.0)</f>
        <v>265</v>
      </c>
      <c r="BK266" s="418">
        <f>IFERROR(__xludf.DUMMYFUNCTION("""COMPUTED_VALUE"""),275.0)</f>
        <v>275</v>
      </c>
      <c r="BL266" s="417">
        <f>IFERROR(__xludf.DUMMYFUNCTION("""COMPUTED_VALUE"""),285.0)</f>
        <v>285</v>
      </c>
      <c r="BM266" s="418">
        <f>IFERROR(__xludf.DUMMYFUNCTION("""COMPUTED_VALUE"""),395.0)</f>
        <v>395</v>
      </c>
      <c r="BN266" s="417">
        <f>IFERROR(__xludf.DUMMYFUNCTION("""COMPUTED_VALUE"""),500.0)</f>
        <v>500</v>
      </c>
      <c r="BO266" s="418">
        <f>IFERROR(__xludf.DUMMYFUNCTION("""COMPUTED_VALUE"""),520.0)</f>
        <v>520</v>
      </c>
    </row>
    <row r="267">
      <c r="A267" s="435" t="str">
        <f>IFERROR(__xludf.DUMMYFUNCTION("""COMPUTED_VALUE"""),"攻撃力UP(黄)")</f>
        <v>攻撃力UP(黄)</v>
      </c>
      <c r="B267" s="385" t="str">
        <f>IFERROR(__xludf.DUMMYFUNCTION("""COMPUTED_VALUE"""),"超瞬間型")</f>
        <v>超瞬間型</v>
      </c>
      <c r="C267" s="399">
        <f>IFERROR(__xludf.DUMMYFUNCTION("""COMPUTED_VALUE"""),5.0)</f>
        <v>5</v>
      </c>
      <c r="D267" s="400" t="str">
        <f>IFERROR(__xludf.DUMMYFUNCTION("""COMPUTED_VALUE"""),"効果値")</f>
        <v>効果値</v>
      </c>
      <c r="E267" s="419" t="str">
        <f>IFERROR(__xludf.DUMMYFUNCTION("""COMPUTED_VALUE"""),"-")</f>
        <v>-</v>
      </c>
      <c r="F267" s="409" t="str">
        <f>IFERROR(__xludf.DUMMYFUNCTION("""COMPUTED_VALUE"""),"-")</f>
        <v>-</v>
      </c>
      <c r="G267" s="409" t="str">
        <f>IFERROR(__xludf.DUMMYFUNCTION("""COMPUTED_VALUE"""),"-")</f>
        <v>-</v>
      </c>
      <c r="H267" s="409" t="str">
        <f>IFERROR(__xludf.DUMMYFUNCTION("""COMPUTED_VALUE"""),"-")</f>
        <v>-</v>
      </c>
      <c r="I267" s="409" t="str">
        <f>IFERROR(__xludf.DUMMYFUNCTION("""COMPUTED_VALUE"""),"-")</f>
        <v>-</v>
      </c>
      <c r="J267" s="420">
        <f>IFERROR(__xludf.DUMMYFUNCTION("""COMPUTED_VALUE"""),60.0)</f>
        <v>60</v>
      </c>
      <c r="K267" s="421">
        <f>IFERROR(__xludf.DUMMYFUNCTION("""COMPUTED_VALUE"""),70.0)</f>
        <v>70</v>
      </c>
      <c r="L267" s="421">
        <f>IFERROR(__xludf.DUMMYFUNCTION("""COMPUTED_VALUE"""),75.0)</f>
        <v>75</v>
      </c>
      <c r="M267" s="385" t="str">
        <f>IFERROR(__xludf.DUMMYFUNCTION("""COMPUTED_VALUE"""),"瞬間型")</f>
        <v>瞬間型</v>
      </c>
      <c r="N267" s="399">
        <f>IFERROR(__xludf.DUMMYFUNCTION("""COMPUTED_VALUE"""),5.0)</f>
        <v>5</v>
      </c>
      <c r="O267" s="400" t="str">
        <f>IFERROR(__xludf.DUMMYFUNCTION("""COMPUTED_VALUE"""),"効果値")</f>
        <v>効果値</v>
      </c>
      <c r="P267" s="422">
        <f>IFERROR(__xludf.DUMMYFUNCTION("""COMPUTED_VALUE"""),23.0)</f>
        <v>23</v>
      </c>
      <c r="Q267" s="423">
        <f>IFERROR(__xludf.DUMMYFUNCTION("""COMPUTED_VALUE"""),23.0)</f>
        <v>23</v>
      </c>
      <c r="R267" s="422">
        <f>IFERROR(__xludf.DUMMYFUNCTION("""COMPUTED_VALUE"""),24.0)</f>
        <v>24</v>
      </c>
      <c r="S267" s="423">
        <f>IFERROR(__xludf.DUMMYFUNCTION("""COMPUTED_VALUE"""),24.0)</f>
        <v>24</v>
      </c>
      <c r="T267" s="422">
        <f>IFERROR(__xludf.DUMMYFUNCTION("""COMPUTED_VALUE"""),24.0)</f>
        <v>24</v>
      </c>
      <c r="U267" s="423">
        <f>IFERROR(__xludf.DUMMYFUNCTION("""COMPUTED_VALUE"""),30.0)</f>
        <v>30</v>
      </c>
      <c r="V267" s="423">
        <f>IFERROR(__xludf.DUMMYFUNCTION("""COMPUTED_VALUE"""),35.0)</f>
        <v>35</v>
      </c>
      <c r="W267" s="424">
        <f>IFERROR(__xludf.DUMMYFUNCTION("""COMPUTED_VALUE"""),40.0)</f>
        <v>40</v>
      </c>
      <c r="X267" s="385" t="str">
        <f>IFERROR(__xludf.DUMMYFUNCTION("""COMPUTED_VALUE"""),"安定型")</f>
        <v>安定型</v>
      </c>
      <c r="Y267" s="399">
        <f>IFERROR(__xludf.DUMMYFUNCTION("""COMPUTED_VALUE"""),5.0)</f>
        <v>5</v>
      </c>
      <c r="Z267" s="400" t="str">
        <f>IFERROR(__xludf.DUMMYFUNCTION("""COMPUTED_VALUE"""),"効果値")</f>
        <v>効果値</v>
      </c>
      <c r="AA267" s="422">
        <f>IFERROR(__xludf.DUMMYFUNCTION("""COMPUTED_VALUE"""),13.0)</f>
        <v>13</v>
      </c>
      <c r="AB267" s="423">
        <f>IFERROR(__xludf.DUMMYFUNCTION("""COMPUTED_VALUE"""),13.0)</f>
        <v>13</v>
      </c>
      <c r="AC267" s="422">
        <f>IFERROR(__xludf.DUMMYFUNCTION("""COMPUTED_VALUE"""),14.0)</f>
        <v>14</v>
      </c>
      <c r="AD267" s="423">
        <f>IFERROR(__xludf.DUMMYFUNCTION("""COMPUTED_VALUE"""),14.0)</f>
        <v>14</v>
      </c>
      <c r="AE267" s="422">
        <f>IFERROR(__xludf.DUMMYFUNCTION("""COMPUTED_VALUE"""),14.0)</f>
        <v>14</v>
      </c>
      <c r="AF267" s="423">
        <f>IFERROR(__xludf.DUMMYFUNCTION("""COMPUTED_VALUE"""),15.0)</f>
        <v>15</v>
      </c>
      <c r="AG267" s="423">
        <f>IFERROR(__xludf.DUMMYFUNCTION("""COMPUTED_VALUE"""),20.0)</f>
        <v>20</v>
      </c>
      <c r="AH267" s="424">
        <f>IFERROR(__xludf.DUMMYFUNCTION("""COMPUTED_VALUE"""),25.0)</f>
        <v>25</v>
      </c>
      <c r="AI267" s="385" t="str">
        <f>IFERROR(__xludf.DUMMYFUNCTION("""COMPUTED_VALUE"""),"持続型")</f>
        <v>持続型</v>
      </c>
      <c r="AJ267" s="399">
        <f>IFERROR(__xludf.DUMMYFUNCTION("""COMPUTED_VALUE"""),5.0)</f>
        <v>5</v>
      </c>
      <c r="AK267" s="400" t="str">
        <f>IFERROR(__xludf.DUMMYFUNCTION("""COMPUTED_VALUE"""),"効果値")</f>
        <v>効果値</v>
      </c>
      <c r="AL267" s="422">
        <f>IFERROR(__xludf.DUMMYFUNCTION("""COMPUTED_VALUE"""),8.0)</f>
        <v>8</v>
      </c>
      <c r="AM267" s="423">
        <f>IFERROR(__xludf.DUMMYFUNCTION("""COMPUTED_VALUE"""),8.0)</f>
        <v>8</v>
      </c>
      <c r="AN267" s="422">
        <f>IFERROR(__xludf.DUMMYFUNCTION("""COMPUTED_VALUE"""),9.0)</f>
        <v>9</v>
      </c>
      <c r="AO267" s="423">
        <f>IFERROR(__xludf.DUMMYFUNCTION("""COMPUTED_VALUE"""),9.0)</f>
        <v>9</v>
      </c>
      <c r="AP267" s="422">
        <f>IFERROR(__xludf.DUMMYFUNCTION("""COMPUTED_VALUE"""),9.0)</f>
        <v>9</v>
      </c>
      <c r="AQ267" s="423">
        <f>IFERROR(__xludf.DUMMYFUNCTION("""COMPUTED_VALUE"""),10.0)</f>
        <v>10</v>
      </c>
      <c r="AR267" s="423">
        <f>IFERROR(__xludf.DUMMYFUNCTION("""COMPUTED_VALUE"""),12.0)</f>
        <v>12</v>
      </c>
      <c r="AS267" s="424">
        <f>IFERROR(__xludf.DUMMYFUNCTION("""COMPUTED_VALUE"""),12.0)</f>
        <v>12</v>
      </c>
      <c r="AT267" s="385" t="str">
        <f>IFERROR(__xludf.DUMMYFUNCTION("""COMPUTED_VALUE"""),"超持続型")</f>
        <v>超持続型</v>
      </c>
      <c r="AU267" s="399">
        <f>IFERROR(__xludf.DUMMYFUNCTION("""COMPUTED_VALUE"""),5.0)</f>
        <v>5</v>
      </c>
      <c r="AV267" s="400" t="str">
        <f>IFERROR(__xludf.DUMMYFUNCTION("""COMPUTED_VALUE"""),"効果値")</f>
        <v>効果値</v>
      </c>
      <c r="AW267" s="425" t="str">
        <f>IFERROR(__xludf.DUMMYFUNCTION("""COMPUTED_VALUE"""),"-")</f>
        <v>-</v>
      </c>
      <c r="AX267" s="426" t="str">
        <f>IFERROR(__xludf.DUMMYFUNCTION("""COMPUTED_VALUE"""),"-")</f>
        <v>-</v>
      </c>
      <c r="AY267" s="426" t="str">
        <f>IFERROR(__xludf.DUMMYFUNCTION("""COMPUTED_VALUE"""),"-")</f>
        <v>-</v>
      </c>
      <c r="AZ267" s="426" t="str">
        <f>IFERROR(__xludf.DUMMYFUNCTION("""COMPUTED_VALUE"""),"-")</f>
        <v>-</v>
      </c>
      <c r="BA267" s="426" t="str">
        <f>IFERROR(__xludf.DUMMYFUNCTION("""COMPUTED_VALUE"""),"-")</f>
        <v>-</v>
      </c>
      <c r="BB267" s="423">
        <f>IFERROR(__xludf.DUMMYFUNCTION("""COMPUTED_VALUE"""),10.0)</f>
        <v>10</v>
      </c>
      <c r="BC267" s="423">
        <f>IFERROR(__xludf.DUMMYFUNCTION("""COMPUTED_VALUE"""),12.0)</f>
        <v>12</v>
      </c>
      <c r="BD267" s="424">
        <f>IFERROR(__xludf.DUMMYFUNCTION("""COMPUTED_VALUE"""),12.0)</f>
        <v>12</v>
      </c>
      <c r="BE267" s="385" t="str">
        <f>IFERROR(__xludf.DUMMYFUNCTION("""COMPUTED_VALUE"""),"ハイブリッド型")</f>
        <v>ハイブリッド型</v>
      </c>
      <c r="BF267" s="399">
        <f>IFERROR(__xludf.DUMMYFUNCTION("""COMPUTED_VALUE"""),5.0)</f>
        <v>5</v>
      </c>
      <c r="BG267" s="400" t="str">
        <f>IFERROR(__xludf.DUMMYFUNCTION("""COMPUTED_VALUE"""),"効果値")</f>
        <v>効果値</v>
      </c>
      <c r="BH267" s="427">
        <f>IFERROR(__xludf.DUMMYFUNCTION("""COMPUTED_VALUE"""),12.0)</f>
        <v>12</v>
      </c>
      <c r="BI267" s="428">
        <f>IFERROR(__xludf.DUMMYFUNCTION("""COMPUTED_VALUE"""),12.75)</f>
        <v>12.75</v>
      </c>
      <c r="BJ267" s="428">
        <f>IFERROR(__xludf.DUMMYFUNCTION("""COMPUTED_VALUE"""),13.5)</f>
        <v>13.5</v>
      </c>
      <c r="BK267" s="428">
        <f>IFERROR(__xludf.DUMMYFUNCTION("""COMPUTED_VALUE"""),14.25)</f>
        <v>14.25</v>
      </c>
      <c r="BL267" s="427">
        <f>IFERROR(__xludf.DUMMYFUNCTION("""COMPUTED_VALUE"""),15.0)</f>
        <v>15</v>
      </c>
      <c r="BM267" s="427">
        <f>IFERROR(__xludf.DUMMYFUNCTION("""COMPUTED_VALUE"""),20.0)</f>
        <v>20</v>
      </c>
      <c r="BN267" s="427">
        <f>IFERROR(__xludf.DUMMYFUNCTION("""COMPUTED_VALUE"""),25.0)</f>
        <v>25</v>
      </c>
      <c r="BO267" s="429">
        <f>IFERROR(__xludf.DUMMYFUNCTION("""COMPUTED_VALUE"""),30.0)</f>
        <v>30</v>
      </c>
    </row>
    <row r="268">
      <c r="A268" s="435" t="str">
        <f>IFERROR(__xludf.DUMMYFUNCTION("""COMPUTED_VALUE"""),"攻撃力UP(黄)")</f>
        <v>攻撃力UP(黄)</v>
      </c>
      <c r="B268" s="385" t="str">
        <f>IFERROR(__xludf.DUMMYFUNCTION("""COMPUTED_VALUE"""),"超瞬間型")</f>
        <v>超瞬間型</v>
      </c>
      <c r="C268" s="430">
        <f>IFERROR(__xludf.DUMMYFUNCTION("""COMPUTED_VALUE"""),5.0)</f>
        <v>5</v>
      </c>
      <c r="D268" s="431" t="str">
        <f>IFERROR(__xludf.DUMMYFUNCTION("""COMPUTED_VALUE"""),"効果時間")</f>
        <v>効果時間</v>
      </c>
      <c r="E268" s="388" t="str">
        <f>IFERROR(__xludf.DUMMYFUNCTION("""COMPUTED_VALUE"""),"-")</f>
        <v>-</v>
      </c>
      <c r="F268" s="389" t="str">
        <f>IFERROR(__xludf.DUMMYFUNCTION("""COMPUTED_VALUE"""),"-")</f>
        <v>-</v>
      </c>
      <c r="G268" s="388" t="str">
        <f>IFERROR(__xludf.DUMMYFUNCTION("""COMPUTED_VALUE"""),"-")</f>
        <v>-</v>
      </c>
      <c r="H268" s="389" t="str">
        <f>IFERROR(__xludf.DUMMYFUNCTION("""COMPUTED_VALUE"""),"-")</f>
        <v>-</v>
      </c>
      <c r="I268" s="388" t="str">
        <f>IFERROR(__xludf.DUMMYFUNCTION("""COMPUTED_VALUE"""),"-")</f>
        <v>-</v>
      </c>
      <c r="J268" s="390">
        <f>IFERROR(__xludf.DUMMYFUNCTION("""COMPUTED_VALUE"""),160.0)</f>
        <v>160</v>
      </c>
      <c r="K268" s="391">
        <f>IFERROR(__xludf.DUMMYFUNCTION("""COMPUTED_VALUE"""),175.0)</f>
        <v>175</v>
      </c>
      <c r="L268" s="340">
        <f>IFERROR(__xludf.DUMMYFUNCTION("""COMPUTED_VALUE"""),200.0)</f>
        <v>200</v>
      </c>
      <c r="M268" s="385" t="str">
        <f>IFERROR(__xludf.DUMMYFUNCTION("""COMPUTED_VALUE"""),"瞬間型")</f>
        <v>瞬間型</v>
      </c>
      <c r="N268" s="430">
        <f>IFERROR(__xludf.DUMMYFUNCTION("""COMPUTED_VALUE"""),5.0)</f>
        <v>5</v>
      </c>
      <c r="O268" s="431" t="str">
        <f>IFERROR(__xludf.DUMMYFUNCTION("""COMPUTED_VALUE"""),"効果時間")</f>
        <v>効果時間</v>
      </c>
      <c r="P268" s="392">
        <f>IFERROR(__xludf.DUMMYFUNCTION("""COMPUTED_VALUE"""),175.0)</f>
        <v>175</v>
      </c>
      <c r="Q268" s="414">
        <f>IFERROR(__xludf.DUMMYFUNCTION("""COMPUTED_VALUE"""),185.0)</f>
        <v>185</v>
      </c>
      <c r="R268" s="414">
        <f>IFERROR(__xludf.DUMMYFUNCTION("""COMPUTED_VALUE"""),190.0)</f>
        <v>190</v>
      </c>
      <c r="S268" s="414">
        <f>IFERROR(__xludf.DUMMYFUNCTION("""COMPUTED_VALUE"""),195.0)</f>
        <v>195</v>
      </c>
      <c r="T268" s="394">
        <f>IFERROR(__xludf.DUMMYFUNCTION("""COMPUTED_VALUE"""),200.0)</f>
        <v>200</v>
      </c>
      <c r="U268" s="394">
        <f>IFERROR(__xludf.DUMMYFUNCTION("""COMPUTED_VALUE"""),225.0)</f>
        <v>225</v>
      </c>
      <c r="V268" s="394">
        <f>IFERROR(__xludf.DUMMYFUNCTION("""COMPUTED_VALUE"""),300.0)</f>
        <v>300</v>
      </c>
      <c r="W268" s="394">
        <f>IFERROR(__xludf.DUMMYFUNCTION("""COMPUTED_VALUE"""),325.0)</f>
        <v>325</v>
      </c>
      <c r="X268" s="385" t="str">
        <f>IFERROR(__xludf.DUMMYFUNCTION("""COMPUTED_VALUE"""),"安定型")</f>
        <v>安定型</v>
      </c>
      <c r="Y268" s="430">
        <f>IFERROR(__xludf.DUMMYFUNCTION("""COMPUTED_VALUE"""),5.0)</f>
        <v>5</v>
      </c>
      <c r="Z268" s="431" t="str">
        <f>IFERROR(__xludf.DUMMYFUNCTION("""COMPUTED_VALUE"""),"効果時間")</f>
        <v>効果時間</v>
      </c>
      <c r="AA268" s="392">
        <f>IFERROR(__xludf.DUMMYFUNCTION("""COMPUTED_VALUE"""),325.0)</f>
        <v>325</v>
      </c>
      <c r="AB268" s="414">
        <f>IFERROR(__xludf.DUMMYFUNCTION("""COMPUTED_VALUE"""),335.0)</f>
        <v>335</v>
      </c>
      <c r="AC268" s="414">
        <f>IFERROR(__xludf.DUMMYFUNCTION("""COMPUTED_VALUE"""),340.0)</f>
        <v>340</v>
      </c>
      <c r="AD268" s="414">
        <f>IFERROR(__xludf.DUMMYFUNCTION("""COMPUTED_VALUE"""),345.0)</f>
        <v>345</v>
      </c>
      <c r="AE268" s="394">
        <f>IFERROR(__xludf.DUMMYFUNCTION("""COMPUTED_VALUE"""),350.0)</f>
        <v>350</v>
      </c>
      <c r="AF268" s="394">
        <f>IFERROR(__xludf.DUMMYFUNCTION("""COMPUTED_VALUE"""),400.0)</f>
        <v>400</v>
      </c>
      <c r="AG268" s="394">
        <f>IFERROR(__xludf.DUMMYFUNCTION("""COMPUTED_VALUE"""),450.0)</f>
        <v>450</v>
      </c>
      <c r="AH268" s="394">
        <f>IFERROR(__xludf.DUMMYFUNCTION("""COMPUTED_VALUE"""),475.0)</f>
        <v>475</v>
      </c>
      <c r="AI268" s="385" t="str">
        <f>IFERROR(__xludf.DUMMYFUNCTION("""COMPUTED_VALUE"""),"持続型")</f>
        <v>持続型</v>
      </c>
      <c r="AJ268" s="430">
        <f>IFERROR(__xludf.DUMMYFUNCTION("""COMPUTED_VALUE"""),5.0)</f>
        <v>5</v>
      </c>
      <c r="AK268" s="431" t="str">
        <f>IFERROR(__xludf.DUMMYFUNCTION("""COMPUTED_VALUE"""),"効果時間")</f>
        <v>効果時間</v>
      </c>
      <c r="AL268" s="392">
        <f>IFERROR(__xludf.DUMMYFUNCTION("""COMPUTED_VALUE"""),475.0)</f>
        <v>475</v>
      </c>
      <c r="AM268" s="414">
        <f>IFERROR(__xludf.DUMMYFUNCTION("""COMPUTED_VALUE"""),485.0)</f>
        <v>485</v>
      </c>
      <c r="AN268" s="414">
        <f>IFERROR(__xludf.DUMMYFUNCTION("""COMPUTED_VALUE"""),490.0)</f>
        <v>490</v>
      </c>
      <c r="AO268" s="414">
        <f>IFERROR(__xludf.DUMMYFUNCTION("""COMPUTED_VALUE"""),495.0)</f>
        <v>495</v>
      </c>
      <c r="AP268" s="394">
        <f>IFERROR(__xludf.DUMMYFUNCTION("""COMPUTED_VALUE"""),500.0)</f>
        <v>500</v>
      </c>
      <c r="AQ268" s="394">
        <f>IFERROR(__xludf.DUMMYFUNCTION("""COMPUTED_VALUE"""),550.0)</f>
        <v>550</v>
      </c>
      <c r="AR268" s="394">
        <f>IFERROR(__xludf.DUMMYFUNCTION("""COMPUTED_VALUE"""),600.0)</f>
        <v>600</v>
      </c>
      <c r="AS268" s="394">
        <f>IFERROR(__xludf.DUMMYFUNCTION("""COMPUTED_VALUE"""),625.0)</f>
        <v>625</v>
      </c>
      <c r="AT268" s="385" t="str">
        <f>IFERROR(__xludf.DUMMYFUNCTION("""COMPUTED_VALUE"""),"超持続型")</f>
        <v>超持続型</v>
      </c>
      <c r="AU268" s="430">
        <f>IFERROR(__xludf.DUMMYFUNCTION("""COMPUTED_VALUE"""),5.0)</f>
        <v>5</v>
      </c>
      <c r="AV268" s="431" t="str">
        <f>IFERROR(__xludf.DUMMYFUNCTION("""COMPUTED_VALUE"""),"効果時間")</f>
        <v>効果時間</v>
      </c>
      <c r="AW268" s="395" t="str">
        <f>IFERROR(__xludf.DUMMYFUNCTION("""COMPUTED_VALUE"""),"-")</f>
        <v>-</v>
      </c>
      <c r="AX268" s="396" t="str">
        <f>IFERROR(__xludf.DUMMYFUNCTION("""COMPUTED_VALUE"""),"-")</f>
        <v>-</v>
      </c>
      <c r="AY268" s="396" t="str">
        <f>IFERROR(__xludf.DUMMYFUNCTION("""COMPUTED_VALUE"""),"-")</f>
        <v>-</v>
      </c>
      <c r="AZ268" s="396" t="str">
        <f>IFERROR(__xludf.DUMMYFUNCTION("""COMPUTED_VALUE"""),"-")</f>
        <v>-</v>
      </c>
      <c r="BA268" s="396" t="str">
        <f>IFERROR(__xludf.DUMMYFUNCTION("""COMPUTED_VALUE"""),"-")</f>
        <v>-</v>
      </c>
      <c r="BB268" s="393">
        <f>IFERROR(__xludf.DUMMYFUNCTION("""COMPUTED_VALUE"""),650.0)</f>
        <v>650</v>
      </c>
      <c r="BC268" s="393">
        <f>IFERROR(__xludf.DUMMYFUNCTION("""COMPUTED_VALUE"""),750.0)</f>
        <v>750</v>
      </c>
      <c r="BD268" s="394">
        <f>IFERROR(__xludf.DUMMYFUNCTION("""COMPUTED_VALUE"""),775.0)</f>
        <v>775</v>
      </c>
      <c r="BE268" s="385" t="str">
        <f>IFERROR(__xludf.DUMMYFUNCTION("""COMPUTED_VALUE"""),"ハイブリッド型")</f>
        <v>ハイブリッド型</v>
      </c>
      <c r="BF268" s="430">
        <f>IFERROR(__xludf.DUMMYFUNCTION("""COMPUTED_VALUE"""),5.0)</f>
        <v>5</v>
      </c>
      <c r="BG268" s="431" t="str">
        <f>IFERROR(__xludf.DUMMYFUNCTION("""COMPUTED_VALUE"""),"効果時間")</f>
        <v>効果時間</v>
      </c>
      <c r="BH268" s="304">
        <f>IFERROR(__xludf.DUMMYFUNCTION("""COMPUTED_VALUE"""),250.0)</f>
        <v>250</v>
      </c>
      <c r="BI268" s="432">
        <f>IFERROR(__xludf.DUMMYFUNCTION("""COMPUTED_VALUE"""),265.0)</f>
        <v>265</v>
      </c>
      <c r="BJ268" s="432">
        <f>IFERROR(__xludf.DUMMYFUNCTION("""COMPUTED_VALUE"""),275.0)</f>
        <v>275</v>
      </c>
      <c r="BK268" s="432">
        <f>IFERROR(__xludf.DUMMYFUNCTION("""COMPUTED_VALUE"""),290.0)</f>
        <v>290</v>
      </c>
      <c r="BL268" s="304">
        <f>IFERROR(__xludf.DUMMYFUNCTION("""COMPUTED_VALUE"""),300.0)</f>
        <v>300</v>
      </c>
      <c r="BM268" s="304">
        <f>IFERROR(__xludf.DUMMYFUNCTION("""COMPUTED_VALUE"""),400.0)</f>
        <v>400</v>
      </c>
      <c r="BN268" s="304">
        <f>IFERROR(__xludf.DUMMYFUNCTION("""COMPUTED_VALUE"""),500.0)</f>
        <v>500</v>
      </c>
      <c r="BO268" s="304">
        <f>IFERROR(__xludf.DUMMYFUNCTION("""COMPUTED_VALUE"""),525.0)</f>
        <v>525</v>
      </c>
    </row>
    <row r="269">
      <c r="A269" s="433" t="str">
        <f>IFERROR(__xludf.DUMMYFUNCTION("""COMPUTED_VALUE"""),"攻撃力UP(アタック)")</f>
        <v>攻撃力UP(アタック)</v>
      </c>
      <c r="B269" s="374" t="str">
        <f>IFERROR(__xludf.DUMMYFUNCTION("""COMPUTED_VALUE"""),"超瞬間型")</f>
        <v>超瞬間型</v>
      </c>
      <c r="C269" s="375">
        <f>IFERROR(__xludf.DUMMYFUNCTION("""COMPUTED_VALUE"""),1.0)</f>
        <v>1</v>
      </c>
      <c r="D269" s="376" t="str">
        <f>IFERROR(__xludf.DUMMYFUNCTION("""COMPUTED_VALUE"""),"効果値")</f>
        <v>効果値</v>
      </c>
      <c r="E269" s="377" t="str">
        <f>IFERROR(__xludf.DUMMYFUNCTION("""COMPUTED_VALUE"""),"-")</f>
        <v>-</v>
      </c>
      <c r="F269" s="378" t="str">
        <f>IFERROR(__xludf.DUMMYFUNCTION("""COMPUTED_VALUE"""),"-")</f>
        <v>-</v>
      </c>
      <c r="G269" s="377" t="str">
        <f>IFERROR(__xludf.DUMMYFUNCTION("""COMPUTED_VALUE"""),"-")</f>
        <v>-</v>
      </c>
      <c r="H269" s="378" t="str">
        <f>IFERROR(__xludf.DUMMYFUNCTION("""COMPUTED_VALUE"""),"-")</f>
        <v>-</v>
      </c>
      <c r="I269" s="377" t="str">
        <f>IFERROR(__xludf.DUMMYFUNCTION("""COMPUTED_VALUE"""),"-")</f>
        <v>-</v>
      </c>
      <c r="J269" s="379">
        <f>IFERROR(__xludf.DUMMYFUNCTION("""COMPUTED_VALUE"""),55.0)</f>
        <v>55</v>
      </c>
      <c r="K269" s="294">
        <f>IFERROR(__xludf.DUMMYFUNCTION("""COMPUTED_VALUE"""),65.0)</f>
        <v>65</v>
      </c>
      <c r="L269" s="294">
        <f>IFERROR(__xludf.DUMMYFUNCTION("""COMPUTED_VALUE"""),65.0)</f>
        <v>65</v>
      </c>
      <c r="M269" s="374" t="str">
        <f>IFERROR(__xludf.DUMMYFUNCTION("""COMPUTED_VALUE"""),"瞬間型")</f>
        <v>瞬間型</v>
      </c>
      <c r="N269" s="375">
        <f>IFERROR(__xludf.DUMMYFUNCTION("""COMPUTED_VALUE"""),1.0)</f>
        <v>1</v>
      </c>
      <c r="O269" s="376" t="str">
        <f>IFERROR(__xludf.DUMMYFUNCTION("""COMPUTED_VALUE"""),"効果値")</f>
        <v>効果値</v>
      </c>
      <c r="P269" s="380">
        <f>IFERROR(__xludf.DUMMYFUNCTION("""COMPUTED_VALUE"""),20.0)</f>
        <v>20</v>
      </c>
      <c r="Q269" s="263">
        <f>IFERROR(__xludf.DUMMYFUNCTION("""COMPUTED_VALUE"""),20.0)</f>
        <v>20</v>
      </c>
      <c r="R269" s="263">
        <f>IFERROR(__xludf.DUMMYFUNCTION("""COMPUTED_VALUE"""),20.0)</f>
        <v>20</v>
      </c>
      <c r="S269" s="263">
        <f>IFERROR(__xludf.DUMMYFUNCTION("""COMPUTED_VALUE"""),20.0)</f>
        <v>20</v>
      </c>
      <c r="T269" s="263">
        <f>IFERROR(__xludf.DUMMYFUNCTION("""COMPUTED_VALUE"""),20.0)</f>
        <v>20</v>
      </c>
      <c r="U269" s="263">
        <f>IFERROR(__xludf.DUMMYFUNCTION("""COMPUTED_VALUE"""),25.0)</f>
        <v>25</v>
      </c>
      <c r="V269" s="266">
        <f>IFERROR(__xludf.DUMMYFUNCTION("""COMPUTED_VALUE"""),30.0)</f>
        <v>30</v>
      </c>
      <c r="W269" s="266">
        <f>IFERROR(__xludf.DUMMYFUNCTION("""COMPUTED_VALUE"""),30.0)</f>
        <v>30</v>
      </c>
      <c r="X269" s="374" t="str">
        <f>IFERROR(__xludf.DUMMYFUNCTION("""COMPUTED_VALUE"""),"安定型")</f>
        <v>安定型</v>
      </c>
      <c r="Y269" s="375">
        <f>IFERROR(__xludf.DUMMYFUNCTION("""COMPUTED_VALUE"""),1.0)</f>
        <v>1</v>
      </c>
      <c r="Z269" s="376" t="str">
        <f>IFERROR(__xludf.DUMMYFUNCTION("""COMPUTED_VALUE"""),"効果値")</f>
        <v>効果値</v>
      </c>
      <c r="AA269" s="380">
        <f>IFERROR(__xludf.DUMMYFUNCTION("""COMPUTED_VALUE"""),10.0)</f>
        <v>10</v>
      </c>
      <c r="AB269" s="263">
        <f>IFERROR(__xludf.DUMMYFUNCTION("""COMPUTED_VALUE"""),10.0)</f>
        <v>10</v>
      </c>
      <c r="AC269" s="263">
        <f>IFERROR(__xludf.DUMMYFUNCTION("""COMPUTED_VALUE"""),10.0)</f>
        <v>10</v>
      </c>
      <c r="AD269" s="263">
        <f>IFERROR(__xludf.DUMMYFUNCTION("""COMPUTED_VALUE"""),10.0)</f>
        <v>10</v>
      </c>
      <c r="AE269" s="263">
        <f>IFERROR(__xludf.DUMMYFUNCTION("""COMPUTED_VALUE"""),10.0)</f>
        <v>10</v>
      </c>
      <c r="AF269" s="263">
        <f>IFERROR(__xludf.DUMMYFUNCTION("""COMPUTED_VALUE"""),10.0)</f>
        <v>10</v>
      </c>
      <c r="AG269" s="266">
        <f>IFERROR(__xludf.DUMMYFUNCTION("""COMPUTED_VALUE"""),15.0)</f>
        <v>15</v>
      </c>
      <c r="AH269" s="266">
        <f>IFERROR(__xludf.DUMMYFUNCTION("""COMPUTED_VALUE"""),15.0)</f>
        <v>15</v>
      </c>
      <c r="AI269" s="374" t="str">
        <f>IFERROR(__xludf.DUMMYFUNCTION("""COMPUTED_VALUE"""),"持続型")</f>
        <v>持続型</v>
      </c>
      <c r="AJ269" s="375">
        <f>IFERROR(__xludf.DUMMYFUNCTION("""COMPUTED_VALUE"""),1.0)</f>
        <v>1</v>
      </c>
      <c r="AK269" s="376" t="str">
        <f>IFERROR(__xludf.DUMMYFUNCTION("""COMPUTED_VALUE"""),"効果値")</f>
        <v>効果値</v>
      </c>
      <c r="AL269" s="380">
        <f>IFERROR(__xludf.DUMMYFUNCTION("""COMPUTED_VALUE"""),5.0)</f>
        <v>5</v>
      </c>
      <c r="AM269" s="263">
        <f>IFERROR(__xludf.DUMMYFUNCTION("""COMPUTED_VALUE"""),5.0)</f>
        <v>5</v>
      </c>
      <c r="AN269" s="263">
        <f>IFERROR(__xludf.DUMMYFUNCTION("""COMPUTED_VALUE"""),5.0)</f>
        <v>5</v>
      </c>
      <c r="AO269" s="263">
        <f>IFERROR(__xludf.DUMMYFUNCTION("""COMPUTED_VALUE"""),5.0)</f>
        <v>5</v>
      </c>
      <c r="AP269" s="263">
        <f>IFERROR(__xludf.DUMMYFUNCTION("""COMPUTED_VALUE"""),5.0)</f>
        <v>5</v>
      </c>
      <c r="AQ269" s="263">
        <f>IFERROR(__xludf.DUMMYFUNCTION("""COMPUTED_VALUE"""),5.0)</f>
        <v>5</v>
      </c>
      <c r="AR269" s="266">
        <f>IFERROR(__xludf.DUMMYFUNCTION("""COMPUTED_VALUE"""),10.0)</f>
        <v>10</v>
      </c>
      <c r="AS269" s="266">
        <f>IFERROR(__xludf.DUMMYFUNCTION("""COMPUTED_VALUE"""),10.0)</f>
        <v>10</v>
      </c>
      <c r="AT269" s="374" t="str">
        <f>IFERROR(__xludf.DUMMYFUNCTION("""COMPUTED_VALUE"""),"超持続型")</f>
        <v>超持続型</v>
      </c>
      <c r="AU269" s="375">
        <f>IFERROR(__xludf.DUMMYFUNCTION("""COMPUTED_VALUE"""),1.0)</f>
        <v>1</v>
      </c>
      <c r="AV269" s="376" t="str">
        <f>IFERROR(__xludf.DUMMYFUNCTION("""COMPUTED_VALUE"""),"効果値")</f>
        <v>効果値</v>
      </c>
      <c r="AW269" s="350" t="str">
        <f>IFERROR(__xludf.DUMMYFUNCTION("""COMPUTED_VALUE"""),"-")</f>
        <v>-</v>
      </c>
      <c r="AX269" s="348" t="str">
        <f>IFERROR(__xludf.DUMMYFUNCTION("""COMPUTED_VALUE"""),"-")</f>
        <v>-</v>
      </c>
      <c r="AY269" s="348" t="str">
        <f>IFERROR(__xludf.DUMMYFUNCTION("""COMPUTED_VALUE"""),"-")</f>
        <v>-</v>
      </c>
      <c r="AZ269" s="348" t="str">
        <f>IFERROR(__xludf.DUMMYFUNCTION("""COMPUTED_VALUE"""),"-")</f>
        <v>-</v>
      </c>
      <c r="BA269" s="348" t="str">
        <f>IFERROR(__xludf.DUMMYFUNCTION("""COMPUTED_VALUE"""),"-")</f>
        <v>-</v>
      </c>
      <c r="BB269" s="263">
        <f>IFERROR(__xludf.DUMMYFUNCTION("""COMPUTED_VALUE"""),5.0)</f>
        <v>5</v>
      </c>
      <c r="BC269" s="266">
        <f>IFERROR(__xludf.DUMMYFUNCTION("""COMPUTED_VALUE"""),10.0)</f>
        <v>10</v>
      </c>
      <c r="BD269" s="266">
        <f>IFERROR(__xludf.DUMMYFUNCTION("""COMPUTED_VALUE"""),10.0)</f>
        <v>10</v>
      </c>
      <c r="BE269" s="374" t="str">
        <f>IFERROR(__xludf.DUMMYFUNCTION("""COMPUTED_VALUE"""),"ハイブリッド型")</f>
        <v>ハイブリッド型</v>
      </c>
      <c r="BF269" s="375">
        <f>IFERROR(__xludf.DUMMYFUNCTION("""COMPUTED_VALUE"""),1.0)</f>
        <v>1</v>
      </c>
      <c r="BG269" s="376" t="str">
        <f>IFERROR(__xludf.DUMMYFUNCTION("""COMPUTED_VALUE"""),"効果値")</f>
        <v>効果値</v>
      </c>
      <c r="BH269" s="381">
        <f>IFERROR(__xludf.DUMMYFUNCTION("""COMPUTED_VALUE"""),10.0)</f>
        <v>10</v>
      </c>
      <c r="BI269" s="382">
        <f>IFERROR(__xludf.DUMMYFUNCTION("""COMPUTED_VALUE"""),10.0)</f>
        <v>10</v>
      </c>
      <c r="BJ269" s="382">
        <f>IFERROR(__xludf.DUMMYFUNCTION("""COMPUTED_VALUE"""),10.0)</f>
        <v>10</v>
      </c>
      <c r="BK269" s="382">
        <f>IFERROR(__xludf.DUMMYFUNCTION("""COMPUTED_VALUE"""),10.0)</f>
        <v>10</v>
      </c>
      <c r="BL269" s="382">
        <f>IFERROR(__xludf.DUMMYFUNCTION("""COMPUTED_VALUE"""),10.0)</f>
        <v>10</v>
      </c>
      <c r="BM269" s="382">
        <f>IFERROR(__xludf.DUMMYFUNCTION("""COMPUTED_VALUE"""),15.0)</f>
        <v>15</v>
      </c>
      <c r="BN269" s="382">
        <f>IFERROR(__xludf.DUMMYFUNCTION("""COMPUTED_VALUE"""),20.0)</f>
        <v>20</v>
      </c>
      <c r="BO269" s="383">
        <f>IFERROR(__xludf.DUMMYFUNCTION("""COMPUTED_VALUE"""),20.0)</f>
        <v>20</v>
      </c>
    </row>
    <row r="270">
      <c r="A270" s="434" t="str">
        <f>IFERROR(__xludf.DUMMYFUNCTION("""COMPUTED_VALUE"""),"攻撃力UP(アタック)")</f>
        <v>攻撃力UP(アタック)</v>
      </c>
      <c r="B270" s="385" t="str">
        <f>IFERROR(__xludf.DUMMYFUNCTION("""COMPUTED_VALUE"""),"超瞬間型")</f>
        <v>超瞬間型</v>
      </c>
      <c r="C270" s="386">
        <f>IFERROR(__xludf.DUMMYFUNCTION("""COMPUTED_VALUE"""),1.0)</f>
        <v>1</v>
      </c>
      <c r="D270" s="387" t="str">
        <f>IFERROR(__xludf.DUMMYFUNCTION("""COMPUTED_VALUE"""),"効果時間")</f>
        <v>効果時間</v>
      </c>
      <c r="E270" s="388" t="str">
        <f>IFERROR(__xludf.DUMMYFUNCTION("""COMPUTED_VALUE"""),"-")</f>
        <v>-</v>
      </c>
      <c r="F270" s="389" t="str">
        <f>IFERROR(__xludf.DUMMYFUNCTION("""COMPUTED_VALUE"""),"-")</f>
        <v>-</v>
      </c>
      <c r="G270" s="388" t="str">
        <f>IFERROR(__xludf.DUMMYFUNCTION("""COMPUTED_VALUE"""),"-")</f>
        <v>-</v>
      </c>
      <c r="H270" s="389" t="str">
        <f>IFERROR(__xludf.DUMMYFUNCTION("""COMPUTED_VALUE"""),"-")</f>
        <v>-</v>
      </c>
      <c r="I270" s="388" t="str">
        <f>IFERROR(__xludf.DUMMYFUNCTION("""COMPUTED_VALUE"""),"-")</f>
        <v>-</v>
      </c>
      <c r="J270" s="390">
        <f>IFERROR(__xludf.DUMMYFUNCTION("""COMPUTED_VALUE"""),150.0)</f>
        <v>150</v>
      </c>
      <c r="K270" s="391">
        <f>IFERROR(__xludf.DUMMYFUNCTION("""COMPUTED_VALUE"""),160.0)</f>
        <v>160</v>
      </c>
      <c r="L270" s="340">
        <f>IFERROR(__xludf.DUMMYFUNCTION("""COMPUTED_VALUE"""),160.0)</f>
        <v>160</v>
      </c>
      <c r="M270" s="385" t="str">
        <f>IFERROR(__xludf.DUMMYFUNCTION("""COMPUTED_VALUE"""),"瞬間型")</f>
        <v>瞬間型</v>
      </c>
      <c r="N270" s="386">
        <f>IFERROR(__xludf.DUMMYFUNCTION("""COMPUTED_VALUE"""),1.0)</f>
        <v>1</v>
      </c>
      <c r="O270" s="387" t="str">
        <f>IFERROR(__xludf.DUMMYFUNCTION("""COMPUTED_VALUE"""),"効果時間")</f>
        <v>効果時間</v>
      </c>
      <c r="P270" s="392">
        <f>IFERROR(__xludf.DUMMYFUNCTION("""COMPUTED_VALUE"""),150.0)</f>
        <v>150</v>
      </c>
      <c r="Q270" s="393">
        <f>IFERROR(__xludf.DUMMYFUNCTION("""COMPUTED_VALUE"""),150.0)</f>
        <v>150</v>
      </c>
      <c r="R270" s="393">
        <f>IFERROR(__xludf.DUMMYFUNCTION("""COMPUTED_VALUE"""),150.0)</f>
        <v>150</v>
      </c>
      <c r="S270" s="393">
        <f>IFERROR(__xludf.DUMMYFUNCTION("""COMPUTED_VALUE"""),150.0)</f>
        <v>150</v>
      </c>
      <c r="T270" s="393">
        <f>IFERROR(__xludf.DUMMYFUNCTION("""COMPUTED_VALUE"""),150.0)</f>
        <v>150</v>
      </c>
      <c r="U270" s="393">
        <f>IFERROR(__xludf.DUMMYFUNCTION("""COMPUTED_VALUE"""),150.0)</f>
        <v>150</v>
      </c>
      <c r="V270" s="393">
        <f>IFERROR(__xludf.DUMMYFUNCTION("""COMPUTED_VALUE"""),160.0)</f>
        <v>160</v>
      </c>
      <c r="W270" s="394">
        <f>IFERROR(__xludf.DUMMYFUNCTION("""COMPUTED_VALUE"""),160.0)</f>
        <v>160</v>
      </c>
      <c r="X270" s="385" t="str">
        <f>IFERROR(__xludf.DUMMYFUNCTION("""COMPUTED_VALUE"""),"安定型")</f>
        <v>安定型</v>
      </c>
      <c r="Y270" s="386">
        <f>IFERROR(__xludf.DUMMYFUNCTION("""COMPUTED_VALUE"""),1.0)</f>
        <v>1</v>
      </c>
      <c r="Z270" s="387" t="str">
        <f>IFERROR(__xludf.DUMMYFUNCTION("""COMPUTED_VALUE"""),"効果時間")</f>
        <v>効果時間</v>
      </c>
      <c r="AA270" s="392">
        <f>IFERROR(__xludf.DUMMYFUNCTION("""COMPUTED_VALUE"""),300.0)</f>
        <v>300</v>
      </c>
      <c r="AB270" s="393">
        <f>IFERROR(__xludf.DUMMYFUNCTION("""COMPUTED_VALUE"""),300.0)</f>
        <v>300</v>
      </c>
      <c r="AC270" s="393">
        <f>IFERROR(__xludf.DUMMYFUNCTION("""COMPUTED_VALUE"""),300.0)</f>
        <v>300</v>
      </c>
      <c r="AD270" s="393">
        <f>IFERROR(__xludf.DUMMYFUNCTION("""COMPUTED_VALUE"""),300.0)</f>
        <v>300</v>
      </c>
      <c r="AE270" s="393">
        <f>IFERROR(__xludf.DUMMYFUNCTION("""COMPUTED_VALUE"""),300.0)</f>
        <v>300</v>
      </c>
      <c r="AF270" s="393">
        <f>IFERROR(__xludf.DUMMYFUNCTION("""COMPUTED_VALUE"""),300.0)</f>
        <v>300</v>
      </c>
      <c r="AG270" s="393">
        <f>IFERROR(__xludf.DUMMYFUNCTION("""COMPUTED_VALUE"""),310.0)</f>
        <v>310</v>
      </c>
      <c r="AH270" s="394">
        <f>IFERROR(__xludf.DUMMYFUNCTION("""COMPUTED_VALUE"""),310.0)</f>
        <v>310</v>
      </c>
      <c r="AI270" s="385" t="str">
        <f>IFERROR(__xludf.DUMMYFUNCTION("""COMPUTED_VALUE"""),"持続型")</f>
        <v>持続型</v>
      </c>
      <c r="AJ270" s="386">
        <f>IFERROR(__xludf.DUMMYFUNCTION("""COMPUTED_VALUE"""),1.0)</f>
        <v>1</v>
      </c>
      <c r="AK270" s="387" t="str">
        <f>IFERROR(__xludf.DUMMYFUNCTION("""COMPUTED_VALUE"""),"効果時間")</f>
        <v>効果時間</v>
      </c>
      <c r="AL270" s="392">
        <f>IFERROR(__xludf.DUMMYFUNCTION("""COMPUTED_VALUE"""),450.0)</f>
        <v>450</v>
      </c>
      <c r="AM270" s="393">
        <f>IFERROR(__xludf.DUMMYFUNCTION("""COMPUTED_VALUE"""),450.0)</f>
        <v>450</v>
      </c>
      <c r="AN270" s="393">
        <f>IFERROR(__xludf.DUMMYFUNCTION("""COMPUTED_VALUE"""),450.0)</f>
        <v>450</v>
      </c>
      <c r="AO270" s="393">
        <f>IFERROR(__xludf.DUMMYFUNCTION("""COMPUTED_VALUE"""),450.0)</f>
        <v>450</v>
      </c>
      <c r="AP270" s="393">
        <f>IFERROR(__xludf.DUMMYFUNCTION("""COMPUTED_VALUE"""),450.0)</f>
        <v>450</v>
      </c>
      <c r="AQ270" s="393">
        <f>IFERROR(__xludf.DUMMYFUNCTION("""COMPUTED_VALUE"""),450.0)</f>
        <v>450</v>
      </c>
      <c r="AR270" s="393">
        <f>IFERROR(__xludf.DUMMYFUNCTION("""COMPUTED_VALUE"""),460.0)</f>
        <v>460</v>
      </c>
      <c r="AS270" s="394">
        <f>IFERROR(__xludf.DUMMYFUNCTION("""COMPUTED_VALUE"""),460.0)</f>
        <v>460</v>
      </c>
      <c r="AT270" s="385" t="str">
        <f>IFERROR(__xludf.DUMMYFUNCTION("""COMPUTED_VALUE"""),"超持続型")</f>
        <v>超持続型</v>
      </c>
      <c r="AU270" s="386">
        <f>IFERROR(__xludf.DUMMYFUNCTION("""COMPUTED_VALUE"""),1.0)</f>
        <v>1</v>
      </c>
      <c r="AV270" s="387" t="str">
        <f>IFERROR(__xludf.DUMMYFUNCTION("""COMPUTED_VALUE"""),"効果時間")</f>
        <v>効果時間</v>
      </c>
      <c r="AW270" s="395" t="str">
        <f>IFERROR(__xludf.DUMMYFUNCTION("""COMPUTED_VALUE"""),"-")</f>
        <v>-</v>
      </c>
      <c r="AX270" s="396" t="str">
        <f>IFERROR(__xludf.DUMMYFUNCTION("""COMPUTED_VALUE"""),"-")</f>
        <v>-</v>
      </c>
      <c r="AY270" s="396" t="str">
        <f>IFERROR(__xludf.DUMMYFUNCTION("""COMPUTED_VALUE"""),"-")</f>
        <v>-</v>
      </c>
      <c r="AZ270" s="396" t="str">
        <f>IFERROR(__xludf.DUMMYFUNCTION("""COMPUTED_VALUE"""),"-")</f>
        <v>-</v>
      </c>
      <c r="BA270" s="396" t="str">
        <f>IFERROR(__xludf.DUMMYFUNCTION("""COMPUTED_VALUE"""),"-")</f>
        <v>-</v>
      </c>
      <c r="BB270" s="393">
        <f>IFERROR(__xludf.DUMMYFUNCTION("""COMPUTED_VALUE"""),600.0)</f>
        <v>600</v>
      </c>
      <c r="BC270" s="393">
        <f>IFERROR(__xludf.DUMMYFUNCTION("""COMPUTED_VALUE"""),610.0)</f>
        <v>610</v>
      </c>
      <c r="BD270" s="394">
        <f>IFERROR(__xludf.DUMMYFUNCTION("""COMPUTED_VALUE"""),610.0)</f>
        <v>610</v>
      </c>
      <c r="BE270" s="385" t="str">
        <f>IFERROR(__xludf.DUMMYFUNCTION("""COMPUTED_VALUE"""),"ハイブリッド型")</f>
        <v>ハイブリッド型</v>
      </c>
      <c r="BF270" s="386">
        <f>IFERROR(__xludf.DUMMYFUNCTION("""COMPUTED_VALUE"""),1.0)</f>
        <v>1</v>
      </c>
      <c r="BG270" s="387" t="str">
        <f>IFERROR(__xludf.DUMMYFUNCTION("""COMPUTED_VALUE"""),"効果時間")</f>
        <v>効果時間</v>
      </c>
      <c r="BH270" s="397">
        <f>IFERROR(__xludf.DUMMYFUNCTION("""COMPUTED_VALUE"""),150.0)</f>
        <v>150</v>
      </c>
      <c r="BI270" s="397">
        <f>IFERROR(__xludf.DUMMYFUNCTION("""COMPUTED_VALUE"""),150.0)</f>
        <v>150</v>
      </c>
      <c r="BJ270" s="397">
        <f>IFERROR(__xludf.DUMMYFUNCTION("""COMPUTED_VALUE"""),150.0)</f>
        <v>150</v>
      </c>
      <c r="BK270" s="398">
        <f>IFERROR(__xludf.DUMMYFUNCTION("""COMPUTED_VALUE"""),150.0)</f>
        <v>150</v>
      </c>
      <c r="BL270" s="397">
        <f>IFERROR(__xludf.DUMMYFUNCTION("""COMPUTED_VALUE"""),150.0)</f>
        <v>150</v>
      </c>
      <c r="BM270" s="398">
        <f>IFERROR(__xludf.DUMMYFUNCTION("""COMPUTED_VALUE"""),350.0)</f>
        <v>350</v>
      </c>
      <c r="BN270" s="397">
        <f>IFERROR(__xludf.DUMMYFUNCTION("""COMPUTED_VALUE"""),460.0)</f>
        <v>460</v>
      </c>
      <c r="BO270" s="398">
        <f>IFERROR(__xludf.DUMMYFUNCTION("""COMPUTED_VALUE"""),460.0)</f>
        <v>460</v>
      </c>
    </row>
    <row r="271">
      <c r="A271" s="435" t="str">
        <f>IFERROR(__xludf.DUMMYFUNCTION("""COMPUTED_VALUE"""),"攻撃力UP(アタック)")</f>
        <v>攻撃力UP(アタック)</v>
      </c>
      <c r="B271" s="385" t="str">
        <f>IFERROR(__xludf.DUMMYFUNCTION("""COMPUTED_VALUE"""),"超瞬間型")</f>
        <v>超瞬間型</v>
      </c>
      <c r="C271" s="399">
        <f>IFERROR(__xludf.DUMMYFUNCTION("""COMPUTED_VALUE"""),2.0)</f>
        <v>2</v>
      </c>
      <c r="D271" s="400" t="str">
        <f>IFERROR(__xludf.DUMMYFUNCTION("""COMPUTED_VALUE"""),"効果値")</f>
        <v>効果値</v>
      </c>
      <c r="E271" s="401" t="str">
        <f>IFERROR(__xludf.DUMMYFUNCTION("""COMPUTED_VALUE"""),"-")</f>
        <v>-</v>
      </c>
      <c r="F271" s="401" t="str">
        <f>IFERROR(__xludf.DUMMYFUNCTION("""COMPUTED_VALUE"""),"-")</f>
        <v>-</v>
      </c>
      <c r="G271" s="401" t="str">
        <f>IFERROR(__xludf.DUMMYFUNCTION("""COMPUTED_VALUE"""),"-")</f>
        <v>-</v>
      </c>
      <c r="H271" s="401" t="str">
        <f>IFERROR(__xludf.DUMMYFUNCTION("""COMPUTED_VALUE"""),"-")</f>
        <v>-</v>
      </c>
      <c r="I271" s="401" t="str">
        <f>IFERROR(__xludf.DUMMYFUNCTION("""COMPUTED_VALUE"""),"-")</f>
        <v>-</v>
      </c>
      <c r="J271" s="318">
        <f>IFERROR(__xludf.DUMMYFUNCTION("""COMPUTED_VALUE"""),57.0)</f>
        <v>57</v>
      </c>
      <c r="K271" s="318">
        <f>IFERROR(__xludf.DUMMYFUNCTION("""COMPUTED_VALUE"""),67.0)</f>
        <v>67</v>
      </c>
      <c r="L271" s="318">
        <f>IFERROR(__xludf.DUMMYFUNCTION("""COMPUTED_VALUE"""),69.0)</f>
        <v>69</v>
      </c>
      <c r="M271" s="385" t="str">
        <f>IFERROR(__xludf.DUMMYFUNCTION("""COMPUTED_VALUE"""),"瞬間型")</f>
        <v>瞬間型</v>
      </c>
      <c r="N271" s="399">
        <f>IFERROR(__xludf.DUMMYFUNCTION("""COMPUTED_VALUE"""),2.0)</f>
        <v>2</v>
      </c>
      <c r="O271" s="400" t="str">
        <f>IFERROR(__xludf.DUMMYFUNCTION("""COMPUTED_VALUE"""),"効果値")</f>
        <v>効果値</v>
      </c>
      <c r="P271" s="343">
        <f>IFERROR(__xludf.DUMMYFUNCTION("""COMPUTED_VALUE"""),21.0)</f>
        <v>21</v>
      </c>
      <c r="Q271" s="402">
        <f>IFERROR(__xludf.DUMMYFUNCTION("""COMPUTED_VALUE"""),21.0)</f>
        <v>21</v>
      </c>
      <c r="R271" s="343">
        <f>IFERROR(__xludf.DUMMYFUNCTION("""COMPUTED_VALUE"""),22.0)</f>
        <v>22</v>
      </c>
      <c r="S271" s="402">
        <f>IFERROR(__xludf.DUMMYFUNCTION("""COMPUTED_VALUE"""),22.0)</f>
        <v>22</v>
      </c>
      <c r="T271" s="343">
        <f>IFERROR(__xludf.DUMMYFUNCTION("""COMPUTED_VALUE"""),22.0)</f>
        <v>22</v>
      </c>
      <c r="U271" s="343">
        <f>IFERROR(__xludf.DUMMYFUNCTION("""COMPUTED_VALUE"""),27.0)</f>
        <v>27</v>
      </c>
      <c r="V271" s="343">
        <f>IFERROR(__xludf.DUMMYFUNCTION("""COMPUTED_VALUE"""),32.0)</f>
        <v>32</v>
      </c>
      <c r="W271" s="343">
        <f>IFERROR(__xludf.DUMMYFUNCTION("""COMPUTED_VALUE"""),34.0)</f>
        <v>34</v>
      </c>
      <c r="X271" s="385" t="str">
        <f>IFERROR(__xludf.DUMMYFUNCTION("""COMPUTED_VALUE"""),"安定型")</f>
        <v>安定型</v>
      </c>
      <c r="Y271" s="399">
        <f>IFERROR(__xludf.DUMMYFUNCTION("""COMPUTED_VALUE"""),2.0)</f>
        <v>2</v>
      </c>
      <c r="Z271" s="400" t="str">
        <f>IFERROR(__xludf.DUMMYFUNCTION("""COMPUTED_VALUE"""),"効果値")</f>
        <v>効果値</v>
      </c>
      <c r="AA271" s="343">
        <f>IFERROR(__xludf.DUMMYFUNCTION("""COMPUTED_VALUE"""),11.0)</f>
        <v>11</v>
      </c>
      <c r="AB271" s="402">
        <f>IFERROR(__xludf.DUMMYFUNCTION("""COMPUTED_VALUE"""),11.0)</f>
        <v>11</v>
      </c>
      <c r="AC271" s="343">
        <f>IFERROR(__xludf.DUMMYFUNCTION("""COMPUTED_VALUE"""),12.0)</f>
        <v>12</v>
      </c>
      <c r="AD271" s="402">
        <f>IFERROR(__xludf.DUMMYFUNCTION("""COMPUTED_VALUE"""),12.0)</f>
        <v>12</v>
      </c>
      <c r="AE271" s="343">
        <f>IFERROR(__xludf.DUMMYFUNCTION("""COMPUTED_VALUE"""),12.0)</f>
        <v>12</v>
      </c>
      <c r="AF271" s="343">
        <f>IFERROR(__xludf.DUMMYFUNCTION("""COMPUTED_VALUE"""),12.0)</f>
        <v>12</v>
      </c>
      <c r="AG271" s="343">
        <f>IFERROR(__xludf.DUMMYFUNCTION("""COMPUTED_VALUE"""),17.0)</f>
        <v>17</v>
      </c>
      <c r="AH271" s="343">
        <f>IFERROR(__xludf.DUMMYFUNCTION("""COMPUTED_VALUE"""),19.0)</f>
        <v>19</v>
      </c>
      <c r="AI271" s="385" t="str">
        <f>IFERROR(__xludf.DUMMYFUNCTION("""COMPUTED_VALUE"""),"持続型")</f>
        <v>持続型</v>
      </c>
      <c r="AJ271" s="399">
        <f>IFERROR(__xludf.DUMMYFUNCTION("""COMPUTED_VALUE"""),2.0)</f>
        <v>2</v>
      </c>
      <c r="AK271" s="400" t="str">
        <f>IFERROR(__xludf.DUMMYFUNCTION("""COMPUTED_VALUE"""),"効果値")</f>
        <v>効果値</v>
      </c>
      <c r="AL271" s="343">
        <f>IFERROR(__xludf.DUMMYFUNCTION("""COMPUTED_VALUE"""),6.0)</f>
        <v>6</v>
      </c>
      <c r="AM271" s="402">
        <f>IFERROR(__xludf.DUMMYFUNCTION("""COMPUTED_VALUE"""),6.0)</f>
        <v>6</v>
      </c>
      <c r="AN271" s="343">
        <f>IFERROR(__xludf.DUMMYFUNCTION("""COMPUTED_VALUE"""),7.0)</f>
        <v>7</v>
      </c>
      <c r="AO271" s="402">
        <f>IFERROR(__xludf.DUMMYFUNCTION("""COMPUTED_VALUE"""),7.0)</f>
        <v>7</v>
      </c>
      <c r="AP271" s="343">
        <f>IFERROR(__xludf.DUMMYFUNCTION("""COMPUTED_VALUE"""),7.0)</f>
        <v>7</v>
      </c>
      <c r="AQ271" s="343">
        <f>IFERROR(__xludf.DUMMYFUNCTION("""COMPUTED_VALUE"""),7.0)</f>
        <v>7</v>
      </c>
      <c r="AR271" s="343">
        <f>IFERROR(__xludf.DUMMYFUNCTION("""COMPUTED_VALUE"""),11.0)</f>
        <v>11</v>
      </c>
      <c r="AS271" s="343">
        <f>IFERROR(__xludf.DUMMYFUNCTION("""COMPUTED_VALUE"""),11.0)</f>
        <v>11</v>
      </c>
      <c r="AT271" s="385" t="str">
        <f>IFERROR(__xludf.DUMMYFUNCTION("""COMPUTED_VALUE"""),"超持続型")</f>
        <v>超持続型</v>
      </c>
      <c r="AU271" s="399">
        <f>IFERROR(__xludf.DUMMYFUNCTION("""COMPUTED_VALUE"""),2.0)</f>
        <v>2</v>
      </c>
      <c r="AV271" s="400" t="str">
        <f>IFERROR(__xludf.DUMMYFUNCTION("""COMPUTED_VALUE"""),"効果値")</f>
        <v>効果値</v>
      </c>
      <c r="AW271" s="403" t="str">
        <f>IFERROR(__xludf.DUMMYFUNCTION("""COMPUTED_VALUE"""),"-")</f>
        <v>-</v>
      </c>
      <c r="AX271" s="403" t="str">
        <f>IFERROR(__xludf.DUMMYFUNCTION("""COMPUTED_VALUE"""),"-")</f>
        <v>-</v>
      </c>
      <c r="AY271" s="403" t="str">
        <f>IFERROR(__xludf.DUMMYFUNCTION("""COMPUTED_VALUE"""),"-")</f>
        <v>-</v>
      </c>
      <c r="AZ271" s="403" t="str">
        <f>IFERROR(__xludf.DUMMYFUNCTION("""COMPUTED_VALUE"""),"-")</f>
        <v>-</v>
      </c>
      <c r="BA271" s="403" t="str">
        <f>IFERROR(__xludf.DUMMYFUNCTION("""COMPUTED_VALUE"""),"-")</f>
        <v>-</v>
      </c>
      <c r="BB271" s="343">
        <f>IFERROR(__xludf.DUMMYFUNCTION("""COMPUTED_VALUE"""),7.0)</f>
        <v>7</v>
      </c>
      <c r="BC271" s="343">
        <f>IFERROR(__xludf.DUMMYFUNCTION("""COMPUTED_VALUE"""),11.0)</f>
        <v>11</v>
      </c>
      <c r="BD271" s="343">
        <f>IFERROR(__xludf.DUMMYFUNCTION("""COMPUTED_VALUE"""),11.0)</f>
        <v>11</v>
      </c>
      <c r="BE271" s="385" t="str">
        <f>IFERROR(__xludf.DUMMYFUNCTION("""COMPUTED_VALUE"""),"ハイブリッド型")</f>
        <v>ハイブリッド型</v>
      </c>
      <c r="BF271" s="399">
        <f>IFERROR(__xludf.DUMMYFUNCTION("""COMPUTED_VALUE"""),2.0)</f>
        <v>2</v>
      </c>
      <c r="BG271" s="400" t="str">
        <f>IFERROR(__xludf.DUMMYFUNCTION("""COMPUTED_VALUE"""),"効果値")</f>
        <v>効果値</v>
      </c>
      <c r="BH271" s="404">
        <f>IFERROR(__xludf.DUMMYFUNCTION("""COMPUTED_VALUE"""),10.8)</f>
        <v>10.8</v>
      </c>
      <c r="BI271" s="405">
        <f>IFERROR(__xludf.DUMMYFUNCTION("""COMPUTED_VALUE"""),11.2)</f>
        <v>11.2</v>
      </c>
      <c r="BJ271" s="405">
        <f>IFERROR(__xludf.DUMMYFUNCTION("""COMPUTED_VALUE"""),11.5)</f>
        <v>11.5</v>
      </c>
      <c r="BK271" s="405">
        <f>IFERROR(__xludf.DUMMYFUNCTION("""COMPUTED_VALUE"""),11.8)</f>
        <v>11.8</v>
      </c>
      <c r="BL271" s="405">
        <f>IFERROR(__xludf.DUMMYFUNCTION("""COMPUTED_VALUE"""),12.1)</f>
        <v>12.1</v>
      </c>
      <c r="BM271" s="405">
        <f>IFERROR(__xludf.DUMMYFUNCTION("""COMPUTED_VALUE"""),17.1)</f>
        <v>17.1</v>
      </c>
      <c r="BN271" s="405">
        <f>IFERROR(__xludf.DUMMYFUNCTION("""COMPUTED_VALUE"""),22.0)</f>
        <v>22</v>
      </c>
      <c r="BO271" s="406">
        <f>IFERROR(__xludf.DUMMYFUNCTION("""COMPUTED_VALUE"""),24.0)</f>
        <v>24</v>
      </c>
    </row>
    <row r="272">
      <c r="A272" s="435" t="str">
        <f>IFERROR(__xludf.DUMMYFUNCTION("""COMPUTED_VALUE"""),"攻撃力UP(アタック)")</f>
        <v>攻撃力UP(アタック)</v>
      </c>
      <c r="B272" s="385" t="str">
        <f>IFERROR(__xludf.DUMMYFUNCTION("""COMPUTED_VALUE"""),"超瞬間型")</f>
        <v>超瞬間型</v>
      </c>
      <c r="C272" s="386">
        <f>IFERROR(__xludf.DUMMYFUNCTION("""COMPUTED_VALUE"""),2.0)</f>
        <v>2</v>
      </c>
      <c r="D272" s="387" t="str">
        <f>IFERROR(__xludf.DUMMYFUNCTION("""COMPUTED_VALUE"""),"効果時間")</f>
        <v>効果時間</v>
      </c>
      <c r="E272" s="388" t="str">
        <f>IFERROR(__xludf.DUMMYFUNCTION("""COMPUTED_VALUE"""),"-")</f>
        <v>-</v>
      </c>
      <c r="F272" s="389" t="str">
        <f>IFERROR(__xludf.DUMMYFUNCTION("""COMPUTED_VALUE"""),"-")</f>
        <v>-</v>
      </c>
      <c r="G272" s="388" t="str">
        <f>IFERROR(__xludf.DUMMYFUNCTION("""COMPUTED_VALUE"""),"-")</f>
        <v>-</v>
      </c>
      <c r="H272" s="389" t="str">
        <f>IFERROR(__xludf.DUMMYFUNCTION("""COMPUTED_VALUE"""),"-")</f>
        <v>-</v>
      </c>
      <c r="I272" s="388" t="str">
        <f>IFERROR(__xludf.DUMMYFUNCTION("""COMPUTED_VALUE"""),"-")</f>
        <v>-</v>
      </c>
      <c r="J272" s="390">
        <f>IFERROR(__xludf.DUMMYFUNCTION("""COMPUTED_VALUE"""),150.0)</f>
        <v>150</v>
      </c>
      <c r="K272" s="391">
        <f>IFERROR(__xludf.DUMMYFUNCTION("""COMPUTED_VALUE"""),160.0)</f>
        <v>160</v>
      </c>
      <c r="L272" s="340">
        <f>IFERROR(__xludf.DUMMYFUNCTION("""COMPUTED_VALUE"""),170.0)</f>
        <v>170</v>
      </c>
      <c r="M272" s="385" t="str">
        <f>IFERROR(__xludf.DUMMYFUNCTION("""COMPUTED_VALUE"""),"瞬間型")</f>
        <v>瞬間型</v>
      </c>
      <c r="N272" s="386">
        <f>IFERROR(__xludf.DUMMYFUNCTION("""COMPUTED_VALUE"""),2.0)</f>
        <v>2</v>
      </c>
      <c r="O272" s="387" t="str">
        <f>IFERROR(__xludf.DUMMYFUNCTION("""COMPUTED_VALUE"""),"効果時間")</f>
        <v>効果時間</v>
      </c>
      <c r="P272" s="392">
        <f>IFERROR(__xludf.DUMMYFUNCTION("""COMPUTED_VALUE"""),160.0)</f>
        <v>160</v>
      </c>
      <c r="Q272" s="275">
        <f>IFERROR(__xludf.DUMMYFUNCTION("""COMPUTED_VALUE"""),165.0)</f>
        <v>165</v>
      </c>
      <c r="R272" s="280">
        <f>IFERROR(__xludf.DUMMYFUNCTION("""COMPUTED_VALUE"""),170.0)</f>
        <v>170</v>
      </c>
      <c r="S272" s="275">
        <f>IFERROR(__xludf.DUMMYFUNCTION("""COMPUTED_VALUE"""),175.0)</f>
        <v>175</v>
      </c>
      <c r="T272" s="280">
        <f>IFERROR(__xludf.DUMMYFUNCTION("""COMPUTED_VALUE"""),180.0)</f>
        <v>180</v>
      </c>
      <c r="U272" s="280">
        <f>IFERROR(__xludf.DUMMYFUNCTION("""COMPUTED_VALUE"""),180.0)</f>
        <v>180</v>
      </c>
      <c r="V272" s="280">
        <f>IFERROR(__xludf.DUMMYFUNCTION("""COMPUTED_VALUE"""),220.0)</f>
        <v>220</v>
      </c>
      <c r="W272" s="280">
        <f>IFERROR(__xludf.DUMMYFUNCTION("""COMPUTED_VALUE"""),230.0)</f>
        <v>230</v>
      </c>
      <c r="X272" s="385" t="str">
        <f>IFERROR(__xludf.DUMMYFUNCTION("""COMPUTED_VALUE"""),"安定型")</f>
        <v>安定型</v>
      </c>
      <c r="Y272" s="386">
        <f>IFERROR(__xludf.DUMMYFUNCTION("""COMPUTED_VALUE"""),2.0)</f>
        <v>2</v>
      </c>
      <c r="Z272" s="387" t="str">
        <f>IFERROR(__xludf.DUMMYFUNCTION("""COMPUTED_VALUE"""),"効果時間")</f>
        <v>効果時間</v>
      </c>
      <c r="AA272" s="392">
        <f>IFERROR(__xludf.DUMMYFUNCTION("""COMPUTED_VALUE"""),310.0)</f>
        <v>310</v>
      </c>
      <c r="AB272" s="275">
        <f>IFERROR(__xludf.DUMMYFUNCTION("""COMPUTED_VALUE"""),315.0)</f>
        <v>315</v>
      </c>
      <c r="AC272" s="280">
        <f>IFERROR(__xludf.DUMMYFUNCTION("""COMPUTED_VALUE"""),320.0)</f>
        <v>320</v>
      </c>
      <c r="AD272" s="275">
        <f>IFERROR(__xludf.DUMMYFUNCTION("""COMPUTED_VALUE"""),325.0)</f>
        <v>325</v>
      </c>
      <c r="AE272" s="280">
        <f>IFERROR(__xludf.DUMMYFUNCTION("""COMPUTED_VALUE"""),330.0)</f>
        <v>330</v>
      </c>
      <c r="AF272" s="280">
        <f>IFERROR(__xludf.DUMMYFUNCTION("""COMPUTED_VALUE"""),345.0)</f>
        <v>345</v>
      </c>
      <c r="AG272" s="280">
        <f>IFERROR(__xludf.DUMMYFUNCTION("""COMPUTED_VALUE"""),370.0)</f>
        <v>370</v>
      </c>
      <c r="AH272" s="280">
        <f>IFERROR(__xludf.DUMMYFUNCTION("""COMPUTED_VALUE"""),380.0)</f>
        <v>380</v>
      </c>
      <c r="AI272" s="385" t="str">
        <f>IFERROR(__xludf.DUMMYFUNCTION("""COMPUTED_VALUE"""),"持続型")</f>
        <v>持続型</v>
      </c>
      <c r="AJ272" s="386">
        <f>IFERROR(__xludf.DUMMYFUNCTION("""COMPUTED_VALUE"""),2.0)</f>
        <v>2</v>
      </c>
      <c r="AK272" s="387" t="str">
        <f>IFERROR(__xludf.DUMMYFUNCTION("""COMPUTED_VALUE"""),"効果時間")</f>
        <v>効果時間</v>
      </c>
      <c r="AL272" s="392">
        <f>IFERROR(__xludf.DUMMYFUNCTION("""COMPUTED_VALUE"""),460.0)</f>
        <v>460</v>
      </c>
      <c r="AM272" s="275">
        <f>IFERROR(__xludf.DUMMYFUNCTION("""COMPUTED_VALUE"""),465.0)</f>
        <v>465</v>
      </c>
      <c r="AN272" s="280">
        <f>IFERROR(__xludf.DUMMYFUNCTION("""COMPUTED_VALUE"""),470.0)</f>
        <v>470</v>
      </c>
      <c r="AO272" s="275">
        <f>IFERROR(__xludf.DUMMYFUNCTION("""COMPUTED_VALUE"""),475.0)</f>
        <v>475</v>
      </c>
      <c r="AP272" s="280">
        <f>IFERROR(__xludf.DUMMYFUNCTION("""COMPUTED_VALUE"""),480.0)</f>
        <v>480</v>
      </c>
      <c r="AQ272" s="280">
        <f>IFERROR(__xludf.DUMMYFUNCTION("""COMPUTED_VALUE"""),495.0)</f>
        <v>495</v>
      </c>
      <c r="AR272" s="280">
        <f>IFERROR(__xludf.DUMMYFUNCTION("""COMPUTED_VALUE"""),520.0)</f>
        <v>520</v>
      </c>
      <c r="AS272" s="280">
        <f>IFERROR(__xludf.DUMMYFUNCTION("""COMPUTED_VALUE"""),530.0)</f>
        <v>530</v>
      </c>
      <c r="AT272" s="385" t="str">
        <f>IFERROR(__xludf.DUMMYFUNCTION("""COMPUTED_VALUE"""),"超持続型")</f>
        <v>超持続型</v>
      </c>
      <c r="AU272" s="386">
        <f>IFERROR(__xludf.DUMMYFUNCTION("""COMPUTED_VALUE"""),2.0)</f>
        <v>2</v>
      </c>
      <c r="AV272" s="387" t="str">
        <f>IFERROR(__xludf.DUMMYFUNCTION("""COMPUTED_VALUE"""),"効果時間")</f>
        <v>効果時間</v>
      </c>
      <c r="AW272" s="368" t="str">
        <f>IFERROR(__xludf.DUMMYFUNCTION("""COMPUTED_VALUE"""),"-")</f>
        <v>-</v>
      </c>
      <c r="AX272" s="368" t="str">
        <f>IFERROR(__xludf.DUMMYFUNCTION("""COMPUTED_VALUE"""),"-")</f>
        <v>-</v>
      </c>
      <c r="AY272" s="368" t="str">
        <f>IFERROR(__xludf.DUMMYFUNCTION("""COMPUTED_VALUE"""),"-")</f>
        <v>-</v>
      </c>
      <c r="AZ272" s="368" t="str">
        <f>IFERROR(__xludf.DUMMYFUNCTION("""COMPUTED_VALUE"""),"-")</f>
        <v>-</v>
      </c>
      <c r="BA272" s="368" t="str">
        <f>IFERROR(__xludf.DUMMYFUNCTION("""COMPUTED_VALUE"""),"-")</f>
        <v>-</v>
      </c>
      <c r="BB272" s="280">
        <f>IFERROR(__xludf.DUMMYFUNCTION("""COMPUTED_VALUE"""),625.0)</f>
        <v>625</v>
      </c>
      <c r="BC272" s="280">
        <f>IFERROR(__xludf.DUMMYFUNCTION("""COMPUTED_VALUE"""),670.0)</f>
        <v>670</v>
      </c>
      <c r="BD272" s="280">
        <f>IFERROR(__xludf.DUMMYFUNCTION("""COMPUTED_VALUE"""),680.0)</f>
        <v>680</v>
      </c>
      <c r="BE272" s="385" t="str">
        <f>IFERROR(__xludf.DUMMYFUNCTION("""COMPUTED_VALUE"""),"ハイブリッド型")</f>
        <v>ハイブリッド型</v>
      </c>
      <c r="BF272" s="386">
        <f>IFERROR(__xludf.DUMMYFUNCTION("""COMPUTED_VALUE"""),2.0)</f>
        <v>2</v>
      </c>
      <c r="BG272" s="387" t="str">
        <f>IFERROR(__xludf.DUMMYFUNCTION("""COMPUTED_VALUE"""),"効果時間")</f>
        <v>効果時間</v>
      </c>
      <c r="BH272" s="407">
        <f>IFERROR(__xludf.DUMMYFUNCTION("""COMPUTED_VALUE"""),195.0)</f>
        <v>195</v>
      </c>
      <c r="BI272" s="407">
        <f>IFERROR(__xludf.DUMMYFUNCTION("""COMPUTED_VALUE"""),205.0)</f>
        <v>205</v>
      </c>
      <c r="BJ272" s="407">
        <f>IFERROR(__xludf.DUMMYFUNCTION("""COMPUTED_VALUE"""),205.0)</f>
        <v>205</v>
      </c>
      <c r="BK272" s="408">
        <f>IFERROR(__xludf.DUMMYFUNCTION("""COMPUTED_VALUE"""),210.0)</f>
        <v>210</v>
      </c>
      <c r="BL272" s="407">
        <f>IFERROR(__xludf.DUMMYFUNCTION("""COMPUTED_VALUE"""),215.0)</f>
        <v>215</v>
      </c>
      <c r="BM272" s="408">
        <f>IFERROR(__xludf.DUMMYFUNCTION("""COMPUTED_VALUE"""),375.0)</f>
        <v>375</v>
      </c>
      <c r="BN272" s="407">
        <f>IFERROR(__xludf.DUMMYFUNCTION("""COMPUTED_VALUE"""),480.0)</f>
        <v>480</v>
      </c>
      <c r="BO272" s="408">
        <f>IFERROR(__xludf.DUMMYFUNCTION("""COMPUTED_VALUE"""),490.0)</f>
        <v>490</v>
      </c>
    </row>
    <row r="273">
      <c r="A273" s="435" t="str">
        <f>IFERROR(__xludf.DUMMYFUNCTION("""COMPUTED_VALUE"""),"攻撃力UP(アタック)")</f>
        <v>攻撃力UP(アタック)</v>
      </c>
      <c r="B273" s="385" t="str">
        <f>IFERROR(__xludf.DUMMYFUNCTION("""COMPUTED_VALUE"""),"超瞬間型")</f>
        <v>超瞬間型</v>
      </c>
      <c r="C273" s="399">
        <f>IFERROR(__xludf.DUMMYFUNCTION("""COMPUTED_VALUE"""),3.0)</f>
        <v>3</v>
      </c>
      <c r="D273" s="400" t="str">
        <f>IFERROR(__xludf.DUMMYFUNCTION("""COMPUTED_VALUE"""),"効果値")</f>
        <v>効果値</v>
      </c>
      <c r="E273" s="401" t="str">
        <f>IFERROR(__xludf.DUMMYFUNCTION("""COMPUTED_VALUE"""),"-")</f>
        <v>-</v>
      </c>
      <c r="F273" s="409" t="str">
        <f>IFERROR(__xludf.DUMMYFUNCTION("""COMPUTED_VALUE"""),"-")</f>
        <v>-</v>
      </c>
      <c r="G273" s="401" t="str">
        <f>IFERROR(__xludf.DUMMYFUNCTION("""COMPUTED_VALUE"""),"-")</f>
        <v>-</v>
      </c>
      <c r="H273" s="409" t="str">
        <f>IFERROR(__xludf.DUMMYFUNCTION("""COMPUTED_VALUE"""),"-")</f>
        <v>-</v>
      </c>
      <c r="I273" s="409" t="str">
        <f>IFERROR(__xludf.DUMMYFUNCTION("""COMPUTED_VALUE"""),"-")</f>
        <v>-</v>
      </c>
      <c r="J273" s="410">
        <f>IFERROR(__xludf.DUMMYFUNCTION("""COMPUTED_VALUE"""),58.0)</f>
        <v>58</v>
      </c>
      <c r="K273" s="410">
        <f>IFERROR(__xludf.DUMMYFUNCTION("""COMPUTED_VALUE"""),68.0)</f>
        <v>68</v>
      </c>
      <c r="L273" s="410">
        <f>IFERROR(__xludf.DUMMYFUNCTION("""COMPUTED_VALUE"""),72.0)</f>
        <v>72</v>
      </c>
      <c r="M273" s="385" t="str">
        <f>IFERROR(__xludf.DUMMYFUNCTION("""COMPUTED_VALUE"""),"瞬間型")</f>
        <v>瞬間型</v>
      </c>
      <c r="N273" s="399">
        <f>IFERROR(__xludf.DUMMYFUNCTION("""COMPUTED_VALUE"""),3.0)</f>
        <v>3</v>
      </c>
      <c r="O273" s="400" t="str">
        <f>IFERROR(__xludf.DUMMYFUNCTION("""COMPUTED_VALUE"""),"効果値")</f>
        <v>効果値</v>
      </c>
      <c r="P273" s="343">
        <f>IFERROR(__xludf.DUMMYFUNCTION("""COMPUTED_VALUE"""),22.0)</f>
        <v>22</v>
      </c>
      <c r="Q273" s="402">
        <f>IFERROR(__xludf.DUMMYFUNCTION("""COMPUTED_VALUE"""),22.0)</f>
        <v>22</v>
      </c>
      <c r="R273" s="402">
        <f>IFERROR(__xludf.DUMMYFUNCTION("""COMPUTED_VALUE"""),23.0)</f>
        <v>23</v>
      </c>
      <c r="S273" s="402">
        <f>IFERROR(__xludf.DUMMYFUNCTION("""COMPUTED_VALUE"""),23.0)</f>
        <v>23</v>
      </c>
      <c r="T273" s="402">
        <f>IFERROR(__xludf.DUMMYFUNCTION("""COMPUTED_VALUE"""),23.0)</f>
        <v>23</v>
      </c>
      <c r="U273" s="402">
        <f>IFERROR(__xludf.DUMMYFUNCTION("""COMPUTED_VALUE"""),28.0)</f>
        <v>28</v>
      </c>
      <c r="V273" s="402">
        <f>IFERROR(__xludf.DUMMYFUNCTION("""COMPUTED_VALUE"""),33.0)</f>
        <v>33</v>
      </c>
      <c r="W273" s="402">
        <f>IFERROR(__xludf.DUMMYFUNCTION("""COMPUTED_VALUE"""),37.0)</f>
        <v>37</v>
      </c>
      <c r="X273" s="385" t="str">
        <f>IFERROR(__xludf.DUMMYFUNCTION("""COMPUTED_VALUE"""),"安定型")</f>
        <v>安定型</v>
      </c>
      <c r="Y273" s="399">
        <f>IFERROR(__xludf.DUMMYFUNCTION("""COMPUTED_VALUE"""),3.0)</f>
        <v>3</v>
      </c>
      <c r="Z273" s="400" t="str">
        <f>IFERROR(__xludf.DUMMYFUNCTION("""COMPUTED_VALUE"""),"効果値")</f>
        <v>効果値</v>
      </c>
      <c r="AA273" s="343">
        <f>IFERROR(__xludf.DUMMYFUNCTION("""COMPUTED_VALUE"""),12.0)</f>
        <v>12</v>
      </c>
      <c r="AB273" s="402">
        <f>IFERROR(__xludf.DUMMYFUNCTION("""COMPUTED_VALUE"""),12.0)</f>
        <v>12</v>
      </c>
      <c r="AC273" s="402">
        <f>IFERROR(__xludf.DUMMYFUNCTION("""COMPUTED_VALUE"""),13.0)</f>
        <v>13</v>
      </c>
      <c r="AD273" s="402">
        <f>IFERROR(__xludf.DUMMYFUNCTION("""COMPUTED_VALUE"""),13.0)</f>
        <v>13</v>
      </c>
      <c r="AE273" s="402">
        <f>IFERROR(__xludf.DUMMYFUNCTION("""COMPUTED_VALUE"""),13.0)</f>
        <v>13</v>
      </c>
      <c r="AF273" s="402">
        <f>IFERROR(__xludf.DUMMYFUNCTION("""COMPUTED_VALUE"""),13.0)</f>
        <v>13</v>
      </c>
      <c r="AG273" s="402">
        <f>IFERROR(__xludf.DUMMYFUNCTION("""COMPUTED_VALUE"""),18.0)</f>
        <v>18</v>
      </c>
      <c r="AH273" s="402">
        <f>IFERROR(__xludf.DUMMYFUNCTION("""COMPUTED_VALUE"""),22.0)</f>
        <v>22</v>
      </c>
      <c r="AI273" s="385" t="str">
        <f>IFERROR(__xludf.DUMMYFUNCTION("""COMPUTED_VALUE"""),"持続型")</f>
        <v>持続型</v>
      </c>
      <c r="AJ273" s="399">
        <f>IFERROR(__xludf.DUMMYFUNCTION("""COMPUTED_VALUE"""),3.0)</f>
        <v>3</v>
      </c>
      <c r="AK273" s="400" t="str">
        <f>IFERROR(__xludf.DUMMYFUNCTION("""COMPUTED_VALUE"""),"効果値")</f>
        <v>効果値</v>
      </c>
      <c r="AL273" s="343">
        <f>IFERROR(__xludf.DUMMYFUNCTION("""COMPUTED_VALUE"""),7.0)</f>
        <v>7</v>
      </c>
      <c r="AM273" s="402">
        <f>IFERROR(__xludf.DUMMYFUNCTION("""COMPUTED_VALUE"""),7.0)</f>
        <v>7</v>
      </c>
      <c r="AN273" s="402">
        <f>IFERROR(__xludf.DUMMYFUNCTION("""COMPUTED_VALUE"""),8.0)</f>
        <v>8</v>
      </c>
      <c r="AO273" s="402">
        <f>IFERROR(__xludf.DUMMYFUNCTION("""COMPUTED_VALUE"""),8.0)</f>
        <v>8</v>
      </c>
      <c r="AP273" s="402">
        <f>IFERROR(__xludf.DUMMYFUNCTION("""COMPUTED_VALUE"""),8.0)</f>
        <v>8</v>
      </c>
      <c r="AQ273" s="402">
        <f>IFERROR(__xludf.DUMMYFUNCTION("""COMPUTED_VALUE"""),8.0)</f>
        <v>8</v>
      </c>
      <c r="AR273" s="402">
        <f>IFERROR(__xludf.DUMMYFUNCTION("""COMPUTED_VALUE"""),11.0)</f>
        <v>11</v>
      </c>
      <c r="AS273" s="402">
        <f>IFERROR(__xludf.DUMMYFUNCTION("""COMPUTED_VALUE"""),11.0)</f>
        <v>11</v>
      </c>
      <c r="AT273" s="385" t="str">
        <f>IFERROR(__xludf.DUMMYFUNCTION("""COMPUTED_VALUE"""),"超持続型")</f>
        <v>超持続型</v>
      </c>
      <c r="AU273" s="399">
        <f>IFERROR(__xludf.DUMMYFUNCTION("""COMPUTED_VALUE"""),3.0)</f>
        <v>3</v>
      </c>
      <c r="AV273" s="400" t="str">
        <f>IFERROR(__xludf.DUMMYFUNCTION("""COMPUTED_VALUE"""),"効果値")</f>
        <v>効果値</v>
      </c>
      <c r="AW273" s="403" t="str">
        <f>IFERROR(__xludf.DUMMYFUNCTION("""COMPUTED_VALUE"""),"-")</f>
        <v>-</v>
      </c>
      <c r="AX273" s="403" t="str">
        <f>IFERROR(__xludf.DUMMYFUNCTION("""COMPUTED_VALUE"""),"-")</f>
        <v>-</v>
      </c>
      <c r="AY273" s="403" t="str">
        <f>IFERROR(__xludf.DUMMYFUNCTION("""COMPUTED_VALUE"""),"-")</f>
        <v>-</v>
      </c>
      <c r="AZ273" s="403" t="str">
        <f>IFERROR(__xludf.DUMMYFUNCTION("""COMPUTED_VALUE"""),"-")</f>
        <v>-</v>
      </c>
      <c r="BA273" s="403" t="str">
        <f>IFERROR(__xludf.DUMMYFUNCTION("""COMPUTED_VALUE"""),"-")</f>
        <v>-</v>
      </c>
      <c r="BB273" s="343">
        <f>IFERROR(__xludf.DUMMYFUNCTION("""COMPUTED_VALUE"""),8.0)</f>
        <v>8</v>
      </c>
      <c r="BC273" s="343">
        <f>IFERROR(__xludf.DUMMYFUNCTION("""COMPUTED_VALUE"""),11.0)</f>
        <v>11</v>
      </c>
      <c r="BD273" s="343">
        <f>IFERROR(__xludf.DUMMYFUNCTION("""COMPUTED_VALUE"""),11.0)</f>
        <v>11</v>
      </c>
      <c r="BE273" s="385" t="str">
        <f>IFERROR(__xludf.DUMMYFUNCTION("""COMPUTED_VALUE"""),"ハイブリッド型")</f>
        <v>ハイブリッド型</v>
      </c>
      <c r="BF273" s="399">
        <f>IFERROR(__xludf.DUMMYFUNCTION("""COMPUTED_VALUE"""),3.0)</f>
        <v>3</v>
      </c>
      <c r="BG273" s="400" t="str">
        <f>IFERROR(__xludf.DUMMYFUNCTION("""COMPUTED_VALUE"""),"効果値")</f>
        <v>効果値</v>
      </c>
      <c r="BH273" s="411">
        <f>IFERROR(__xludf.DUMMYFUNCTION("""COMPUTED_VALUE"""),11.4)</f>
        <v>11.4</v>
      </c>
      <c r="BI273" s="412">
        <f>IFERROR(__xludf.DUMMYFUNCTION("""COMPUTED_VALUE"""),11.9)</f>
        <v>11.9</v>
      </c>
      <c r="BJ273" s="412">
        <f>IFERROR(__xludf.DUMMYFUNCTION("""COMPUTED_VALUE"""),12.5)</f>
        <v>12.5</v>
      </c>
      <c r="BK273" s="412">
        <f>IFERROR(__xludf.DUMMYFUNCTION("""COMPUTED_VALUE"""),13.0)</f>
        <v>13</v>
      </c>
      <c r="BL273" s="412">
        <f>IFERROR(__xludf.DUMMYFUNCTION("""COMPUTED_VALUE"""),13.5)</f>
        <v>13.5</v>
      </c>
      <c r="BM273" s="412">
        <f>IFERROR(__xludf.DUMMYFUNCTION("""COMPUTED_VALUE"""),18.5)</f>
        <v>18.5</v>
      </c>
      <c r="BN273" s="412">
        <f>IFERROR(__xludf.DUMMYFUNCTION("""COMPUTED_VALUE"""),23.0)</f>
        <v>23</v>
      </c>
      <c r="BO273" s="413">
        <f>IFERROR(__xludf.DUMMYFUNCTION("""COMPUTED_VALUE"""),27.0)</f>
        <v>27</v>
      </c>
    </row>
    <row r="274">
      <c r="A274" s="435" t="str">
        <f>IFERROR(__xludf.DUMMYFUNCTION("""COMPUTED_VALUE"""),"攻撃力UP(アタック)")</f>
        <v>攻撃力UP(アタック)</v>
      </c>
      <c r="B274" s="385" t="str">
        <f>IFERROR(__xludf.DUMMYFUNCTION("""COMPUTED_VALUE"""),"超瞬間型")</f>
        <v>超瞬間型</v>
      </c>
      <c r="C274" s="386">
        <f>IFERROR(__xludf.DUMMYFUNCTION("""COMPUTED_VALUE"""),3.0)</f>
        <v>3</v>
      </c>
      <c r="D274" s="387" t="str">
        <f>IFERROR(__xludf.DUMMYFUNCTION("""COMPUTED_VALUE"""),"効果時間")</f>
        <v>効果時間</v>
      </c>
      <c r="E274" s="388" t="str">
        <f>IFERROR(__xludf.DUMMYFUNCTION("""COMPUTED_VALUE"""),"-")</f>
        <v>-</v>
      </c>
      <c r="F274" s="389" t="str">
        <f>IFERROR(__xludf.DUMMYFUNCTION("""COMPUTED_VALUE"""),"-")</f>
        <v>-</v>
      </c>
      <c r="G274" s="388" t="str">
        <f>IFERROR(__xludf.DUMMYFUNCTION("""COMPUTED_VALUE"""),"-")</f>
        <v>-</v>
      </c>
      <c r="H274" s="389" t="str">
        <f>IFERROR(__xludf.DUMMYFUNCTION("""COMPUTED_VALUE"""),"-")</f>
        <v>-</v>
      </c>
      <c r="I274" s="388" t="str">
        <f>IFERROR(__xludf.DUMMYFUNCTION("""COMPUTED_VALUE"""),"-")</f>
        <v>-</v>
      </c>
      <c r="J274" s="390">
        <f>IFERROR(__xludf.DUMMYFUNCTION("""COMPUTED_VALUE"""),155.0)</f>
        <v>155</v>
      </c>
      <c r="K274" s="391">
        <f>IFERROR(__xludf.DUMMYFUNCTION("""COMPUTED_VALUE"""),165.0)</f>
        <v>165</v>
      </c>
      <c r="L274" s="340">
        <f>IFERROR(__xludf.DUMMYFUNCTION("""COMPUTED_VALUE"""),185.0)</f>
        <v>185</v>
      </c>
      <c r="M274" s="385" t="str">
        <f>IFERROR(__xludf.DUMMYFUNCTION("""COMPUTED_VALUE"""),"瞬間型")</f>
        <v>瞬間型</v>
      </c>
      <c r="N274" s="386">
        <f>IFERROR(__xludf.DUMMYFUNCTION("""COMPUTED_VALUE"""),3.0)</f>
        <v>3</v>
      </c>
      <c r="O274" s="387" t="str">
        <f>IFERROR(__xludf.DUMMYFUNCTION("""COMPUTED_VALUE"""),"効果時間")</f>
        <v>効果時間</v>
      </c>
      <c r="P274" s="392">
        <f>IFERROR(__xludf.DUMMYFUNCTION("""COMPUTED_VALUE"""),165.0)</f>
        <v>165</v>
      </c>
      <c r="Q274" s="414">
        <f>IFERROR(__xludf.DUMMYFUNCTION("""COMPUTED_VALUE"""),175.0)</f>
        <v>175</v>
      </c>
      <c r="R274" s="415">
        <f>IFERROR(__xludf.DUMMYFUNCTION("""COMPUTED_VALUE"""),180.0)</f>
        <v>180</v>
      </c>
      <c r="S274" s="393">
        <f>IFERROR(__xludf.DUMMYFUNCTION("""COMPUTED_VALUE"""),185.0)</f>
        <v>185</v>
      </c>
      <c r="T274" s="393">
        <f>IFERROR(__xludf.DUMMYFUNCTION("""COMPUTED_VALUE"""),195.0)</f>
        <v>195</v>
      </c>
      <c r="U274" s="414">
        <f>IFERROR(__xludf.DUMMYFUNCTION("""COMPUTED_VALUE"""),200.0)</f>
        <v>200</v>
      </c>
      <c r="V274" s="416">
        <f>IFERROR(__xludf.DUMMYFUNCTION("""COMPUTED_VALUE"""),255.0)</f>
        <v>255</v>
      </c>
      <c r="W274" s="415">
        <f>IFERROR(__xludf.DUMMYFUNCTION("""COMPUTED_VALUE"""),270.0)</f>
        <v>270</v>
      </c>
      <c r="X274" s="385" t="str">
        <f>IFERROR(__xludf.DUMMYFUNCTION("""COMPUTED_VALUE"""),"安定型")</f>
        <v>安定型</v>
      </c>
      <c r="Y274" s="386">
        <f>IFERROR(__xludf.DUMMYFUNCTION("""COMPUTED_VALUE"""),3.0)</f>
        <v>3</v>
      </c>
      <c r="Z274" s="387" t="str">
        <f>IFERROR(__xludf.DUMMYFUNCTION("""COMPUTED_VALUE"""),"効果時間")</f>
        <v>効果時間</v>
      </c>
      <c r="AA274" s="392">
        <f>IFERROR(__xludf.DUMMYFUNCTION("""COMPUTED_VALUE"""),315.0)</f>
        <v>315</v>
      </c>
      <c r="AB274" s="414">
        <f>IFERROR(__xludf.DUMMYFUNCTION("""COMPUTED_VALUE"""),325.0)</f>
        <v>325</v>
      </c>
      <c r="AC274" s="415">
        <f>IFERROR(__xludf.DUMMYFUNCTION("""COMPUTED_VALUE"""),330.0)</f>
        <v>330</v>
      </c>
      <c r="AD274" s="393">
        <f>IFERROR(__xludf.DUMMYFUNCTION("""COMPUTED_VALUE"""),335.0)</f>
        <v>335</v>
      </c>
      <c r="AE274" s="393">
        <f>IFERROR(__xludf.DUMMYFUNCTION("""COMPUTED_VALUE"""),345.0)</f>
        <v>345</v>
      </c>
      <c r="AF274" s="414">
        <f>IFERROR(__xludf.DUMMYFUNCTION("""COMPUTED_VALUE"""),370.0)</f>
        <v>370</v>
      </c>
      <c r="AG274" s="416">
        <f>IFERROR(__xludf.DUMMYFUNCTION("""COMPUTED_VALUE"""),405.0)</f>
        <v>405</v>
      </c>
      <c r="AH274" s="415">
        <f>IFERROR(__xludf.DUMMYFUNCTION("""COMPUTED_VALUE"""),420.0)</f>
        <v>420</v>
      </c>
      <c r="AI274" s="385" t="str">
        <f>IFERROR(__xludf.DUMMYFUNCTION("""COMPUTED_VALUE"""),"持続型")</f>
        <v>持続型</v>
      </c>
      <c r="AJ274" s="386">
        <f>IFERROR(__xludf.DUMMYFUNCTION("""COMPUTED_VALUE"""),3.0)</f>
        <v>3</v>
      </c>
      <c r="AK274" s="387" t="str">
        <f>IFERROR(__xludf.DUMMYFUNCTION("""COMPUTED_VALUE"""),"効果時間")</f>
        <v>効果時間</v>
      </c>
      <c r="AL274" s="392">
        <f>IFERROR(__xludf.DUMMYFUNCTION("""COMPUTED_VALUE"""),465.0)</f>
        <v>465</v>
      </c>
      <c r="AM274" s="414">
        <f>IFERROR(__xludf.DUMMYFUNCTION("""COMPUTED_VALUE"""),475.0)</f>
        <v>475</v>
      </c>
      <c r="AN274" s="415">
        <f>IFERROR(__xludf.DUMMYFUNCTION("""COMPUTED_VALUE"""),480.0)</f>
        <v>480</v>
      </c>
      <c r="AO274" s="393">
        <f>IFERROR(__xludf.DUMMYFUNCTION("""COMPUTED_VALUE"""),485.0)</f>
        <v>485</v>
      </c>
      <c r="AP274" s="393">
        <f>IFERROR(__xludf.DUMMYFUNCTION("""COMPUTED_VALUE"""),495.0)</f>
        <v>495</v>
      </c>
      <c r="AQ274" s="414">
        <f>IFERROR(__xludf.DUMMYFUNCTION("""COMPUTED_VALUE"""),520.0)</f>
        <v>520</v>
      </c>
      <c r="AR274" s="416">
        <f>IFERROR(__xludf.DUMMYFUNCTION("""COMPUTED_VALUE"""),555.0)</f>
        <v>555</v>
      </c>
      <c r="AS274" s="415">
        <f>IFERROR(__xludf.DUMMYFUNCTION("""COMPUTED_VALUE"""),570.0)</f>
        <v>570</v>
      </c>
      <c r="AT274" s="385" t="str">
        <f>IFERROR(__xludf.DUMMYFUNCTION("""COMPUTED_VALUE"""),"超持続型")</f>
        <v>超持続型</v>
      </c>
      <c r="AU274" s="386">
        <f>IFERROR(__xludf.DUMMYFUNCTION("""COMPUTED_VALUE"""),3.0)</f>
        <v>3</v>
      </c>
      <c r="AV274" s="387" t="str">
        <f>IFERROR(__xludf.DUMMYFUNCTION("""COMPUTED_VALUE"""),"効果時間")</f>
        <v>効果時間</v>
      </c>
      <c r="AW274" s="368" t="str">
        <f>IFERROR(__xludf.DUMMYFUNCTION("""COMPUTED_VALUE"""),"-")</f>
        <v>-</v>
      </c>
      <c r="AX274" s="368" t="str">
        <f>IFERROR(__xludf.DUMMYFUNCTION("""COMPUTED_VALUE"""),"-")</f>
        <v>-</v>
      </c>
      <c r="AY274" s="368" t="str">
        <f>IFERROR(__xludf.DUMMYFUNCTION("""COMPUTED_VALUE"""),"-")</f>
        <v>-</v>
      </c>
      <c r="AZ274" s="368" t="str">
        <f>IFERROR(__xludf.DUMMYFUNCTION("""COMPUTED_VALUE"""),"-")</f>
        <v>-</v>
      </c>
      <c r="BA274" s="368" t="str">
        <f>IFERROR(__xludf.DUMMYFUNCTION("""COMPUTED_VALUE"""),"-")</f>
        <v>-</v>
      </c>
      <c r="BB274" s="280">
        <f>IFERROR(__xludf.DUMMYFUNCTION("""COMPUTED_VALUE"""),635.0)</f>
        <v>635</v>
      </c>
      <c r="BC274" s="280">
        <f>IFERROR(__xludf.DUMMYFUNCTION("""COMPUTED_VALUE"""),705.0)</f>
        <v>705</v>
      </c>
      <c r="BD274" s="280">
        <f>IFERROR(__xludf.DUMMYFUNCTION("""COMPUTED_VALUE"""),720.0)</f>
        <v>720</v>
      </c>
      <c r="BE274" s="385" t="str">
        <f>IFERROR(__xludf.DUMMYFUNCTION("""COMPUTED_VALUE"""),"ハイブリッド型")</f>
        <v>ハイブリッド型</v>
      </c>
      <c r="BF274" s="386">
        <f>IFERROR(__xludf.DUMMYFUNCTION("""COMPUTED_VALUE"""),3.0)</f>
        <v>3</v>
      </c>
      <c r="BG274" s="387" t="str">
        <f>IFERROR(__xludf.DUMMYFUNCTION("""COMPUTED_VALUE"""),"効果時間")</f>
        <v>効果時間</v>
      </c>
      <c r="BH274" s="407">
        <f>IFERROR(__xludf.DUMMYFUNCTION("""COMPUTED_VALUE"""),220.0)</f>
        <v>220</v>
      </c>
      <c r="BI274" s="407">
        <f>IFERROR(__xludf.DUMMYFUNCTION("""COMPUTED_VALUE"""),235.0)</f>
        <v>235</v>
      </c>
      <c r="BJ274" s="407">
        <f>IFERROR(__xludf.DUMMYFUNCTION("""COMPUTED_VALUE"""),240.0)</f>
        <v>240</v>
      </c>
      <c r="BK274" s="408">
        <f>IFERROR(__xludf.DUMMYFUNCTION("""COMPUTED_VALUE"""),250.0)</f>
        <v>250</v>
      </c>
      <c r="BL274" s="407">
        <f>IFERROR(__xludf.DUMMYFUNCTION("""COMPUTED_VALUE"""),255.0)</f>
        <v>255</v>
      </c>
      <c r="BM274" s="408">
        <f>IFERROR(__xludf.DUMMYFUNCTION("""COMPUTED_VALUE"""),385.0)</f>
        <v>385</v>
      </c>
      <c r="BN274" s="407">
        <f>IFERROR(__xludf.DUMMYFUNCTION("""COMPUTED_VALUE"""),490.0)</f>
        <v>490</v>
      </c>
      <c r="BO274" s="408">
        <f>IFERROR(__xludf.DUMMYFUNCTION("""COMPUTED_VALUE"""),505.0)</f>
        <v>505</v>
      </c>
    </row>
    <row r="275">
      <c r="A275" s="435" t="str">
        <f>IFERROR(__xludf.DUMMYFUNCTION("""COMPUTED_VALUE"""),"攻撃力UP(アタック)")</f>
        <v>攻撃力UP(アタック)</v>
      </c>
      <c r="B275" s="385" t="str">
        <f>IFERROR(__xludf.DUMMYFUNCTION("""COMPUTED_VALUE"""),"超瞬間型")</f>
        <v>超瞬間型</v>
      </c>
      <c r="C275" s="399">
        <f>IFERROR(__xludf.DUMMYFUNCTION("""COMPUTED_VALUE"""),4.0)</f>
        <v>4</v>
      </c>
      <c r="D275" s="400" t="str">
        <f>IFERROR(__xludf.DUMMYFUNCTION("""COMPUTED_VALUE"""),"効果値")</f>
        <v>効果値</v>
      </c>
      <c r="E275" s="401" t="str">
        <f>IFERROR(__xludf.DUMMYFUNCTION("""COMPUTED_VALUE"""),"-")</f>
        <v>-</v>
      </c>
      <c r="F275" s="409" t="str">
        <f>IFERROR(__xludf.DUMMYFUNCTION("""COMPUTED_VALUE"""),"-")</f>
        <v>-</v>
      </c>
      <c r="G275" s="409" t="str">
        <f>IFERROR(__xludf.DUMMYFUNCTION("""COMPUTED_VALUE"""),"-")</f>
        <v>-</v>
      </c>
      <c r="H275" s="409" t="str">
        <f>IFERROR(__xludf.DUMMYFUNCTION("""COMPUTED_VALUE"""),"-")</f>
        <v>-</v>
      </c>
      <c r="I275" s="409" t="str">
        <f>IFERROR(__xludf.DUMMYFUNCTION("""COMPUTED_VALUE"""),"-")</f>
        <v>-</v>
      </c>
      <c r="J275" s="410">
        <f>IFERROR(__xludf.DUMMYFUNCTION("""COMPUTED_VALUE"""),59.0)</f>
        <v>59</v>
      </c>
      <c r="K275" s="410">
        <f>IFERROR(__xludf.DUMMYFUNCTION("""COMPUTED_VALUE"""),69.0)</f>
        <v>69</v>
      </c>
      <c r="L275" s="410">
        <f>IFERROR(__xludf.DUMMYFUNCTION("""COMPUTED_VALUE"""),74.0)</f>
        <v>74</v>
      </c>
      <c r="M275" s="385" t="str">
        <f>IFERROR(__xludf.DUMMYFUNCTION("""COMPUTED_VALUE"""),"瞬間型")</f>
        <v>瞬間型</v>
      </c>
      <c r="N275" s="399">
        <f>IFERROR(__xludf.DUMMYFUNCTION("""COMPUTED_VALUE"""),4.0)</f>
        <v>4</v>
      </c>
      <c r="O275" s="400" t="str">
        <f>IFERROR(__xludf.DUMMYFUNCTION("""COMPUTED_VALUE"""),"効果値")</f>
        <v>効果値</v>
      </c>
      <c r="P275" s="343">
        <f>IFERROR(__xludf.DUMMYFUNCTION("""COMPUTED_VALUE"""),23.0)</f>
        <v>23</v>
      </c>
      <c r="Q275" s="402">
        <f>IFERROR(__xludf.DUMMYFUNCTION("""COMPUTED_VALUE"""),23.0)</f>
        <v>23</v>
      </c>
      <c r="R275" s="343">
        <f>IFERROR(__xludf.DUMMYFUNCTION("""COMPUTED_VALUE"""),23.0)</f>
        <v>23</v>
      </c>
      <c r="S275" s="402">
        <f>IFERROR(__xludf.DUMMYFUNCTION("""COMPUTED_VALUE"""),23.0)</f>
        <v>23</v>
      </c>
      <c r="T275" s="343">
        <f>IFERROR(__xludf.DUMMYFUNCTION("""COMPUTED_VALUE"""),23.0)</f>
        <v>23</v>
      </c>
      <c r="U275" s="343">
        <f>IFERROR(__xludf.DUMMYFUNCTION("""COMPUTED_VALUE"""),29.0)</f>
        <v>29</v>
      </c>
      <c r="V275" s="343">
        <f>IFERROR(__xludf.DUMMYFUNCTION("""COMPUTED_VALUE"""),34.0)</f>
        <v>34</v>
      </c>
      <c r="W275" s="343">
        <f>IFERROR(__xludf.DUMMYFUNCTION("""COMPUTED_VALUE"""),39.0)</f>
        <v>39</v>
      </c>
      <c r="X275" s="385" t="str">
        <f>IFERROR(__xludf.DUMMYFUNCTION("""COMPUTED_VALUE"""),"安定型")</f>
        <v>安定型</v>
      </c>
      <c r="Y275" s="399">
        <f>IFERROR(__xludf.DUMMYFUNCTION("""COMPUTED_VALUE"""),4.0)</f>
        <v>4</v>
      </c>
      <c r="Z275" s="400" t="str">
        <f>IFERROR(__xludf.DUMMYFUNCTION("""COMPUTED_VALUE"""),"効果値")</f>
        <v>効果値</v>
      </c>
      <c r="AA275" s="343">
        <f>IFERROR(__xludf.DUMMYFUNCTION("""COMPUTED_VALUE"""),13.0)</f>
        <v>13</v>
      </c>
      <c r="AB275" s="402">
        <f>IFERROR(__xludf.DUMMYFUNCTION("""COMPUTED_VALUE"""),13.0)</f>
        <v>13</v>
      </c>
      <c r="AC275" s="343">
        <f>IFERROR(__xludf.DUMMYFUNCTION("""COMPUTED_VALUE"""),13.0)</f>
        <v>13</v>
      </c>
      <c r="AD275" s="402">
        <f>IFERROR(__xludf.DUMMYFUNCTION("""COMPUTED_VALUE"""),13.0)</f>
        <v>13</v>
      </c>
      <c r="AE275" s="343">
        <f>IFERROR(__xludf.DUMMYFUNCTION("""COMPUTED_VALUE"""),13.0)</f>
        <v>13</v>
      </c>
      <c r="AF275" s="343">
        <f>IFERROR(__xludf.DUMMYFUNCTION("""COMPUTED_VALUE"""),14.0)</f>
        <v>14</v>
      </c>
      <c r="AG275" s="343">
        <f>IFERROR(__xludf.DUMMYFUNCTION("""COMPUTED_VALUE"""),19.0)</f>
        <v>19</v>
      </c>
      <c r="AH275" s="343">
        <f>IFERROR(__xludf.DUMMYFUNCTION("""COMPUTED_VALUE"""),24.0)</f>
        <v>24</v>
      </c>
      <c r="AI275" s="385" t="str">
        <f>IFERROR(__xludf.DUMMYFUNCTION("""COMPUTED_VALUE"""),"持続型")</f>
        <v>持続型</v>
      </c>
      <c r="AJ275" s="399">
        <f>IFERROR(__xludf.DUMMYFUNCTION("""COMPUTED_VALUE"""),4.0)</f>
        <v>4</v>
      </c>
      <c r="AK275" s="400" t="str">
        <f>IFERROR(__xludf.DUMMYFUNCTION("""COMPUTED_VALUE"""),"効果値")</f>
        <v>効果値</v>
      </c>
      <c r="AL275" s="343">
        <f>IFERROR(__xludf.DUMMYFUNCTION("""COMPUTED_VALUE"""),8.0)</f>
        <v>8</v>
      </c>
      <c r="AM275" s="402">
        <f>IFERROR(__xludf.DUMMYFUNCTION("""COMPUTED_VALUE"""),8.0)</f>
        <v>8</v>
      </c>
      <c r="AN275" s="343">
        <f>IFERROR(__xludf.DUMMYFUNCTION("""COMPUTED_VALUE"""),8.0)</f>
        <v>8</v>
      </c>
      <c r="AO275" s="402">
        <f>IFERROR(__xludf.DUMMYFUNCTION("""COMPUTED_VALUE"""),8.0)</f>
        <v>8</v>
      </c>
      <c r="AP275" s="343">
        <f>IFERROR(__xludf.DUMMYFUNCTION("""COMPUTED_VALUE"""),8.0)</f>
        <v>8</v>
      </c>
      <c r="AQ275" s="343">
        <f>IFERROR(__xludf.DUMMYFUNCTION("""COMPUTED_VALUE"""),9.0)</f>
        <v>9</v>
      </c>
      <c r="AR275" s="343">
        <f>IFERROR(__xludf.DUMMYFUNCTION("""COMPUTED_VALUE"""),12.0)</f>
        <v>12</v>
      </c>
      <c r="AS275" s="343">
        <f>IFERROR(__xludf.DUMMYFUNCTION("""COMPUTED_VALUE"""),12.0)</f>
        <v>12</v>
      </c>
      <c r="AT275" s="385" t="str">
        <f>IFERROR(__xludf.DUMMYFUNCTION("""COMPUTED_VALUE"""),"超持続型")</f>
        <v>超持続型</v>
      </c>
      <c r="AU275" s="399">
        <f>IFERROR(__xludf.DUMMYFUNCTION("""COMPUTED_VALUE"""),4.0)</f>
        <v>4</v>
      </c>
      <c r="AV275" s="400" t="str">
        <f>IFERROR(__xludf.DUMMYFUNCTION("""COMPUTED_VALUE"""),"効果値")</f>
        <v>効果値</v>
      </c>
      <c r="AW275" s="403" t="str">
        <f>IFERROR(__xludf.DUMMYFUNCTION("""COMPUTED_VALUE"""),"-")</f>
        <v>-</v>
      </c>
      <c r="AX275" s="403" t="str">
        <f>IFERROR(__xludf.DUMMYFUNCTION("""COMPUTED_VALUE"""),"-")</f>
        <v>-</v>
      </c>
      <c r="AY275" s="403" t="str">
        <f>IFERROR(__xludf.DUMMYFUNCTION("""COMPUTED_VALUE"""),"-")</f>
        <v>-</v>
      </c>
      <c r="AZ275" s="403" t="str">
        <f>IFERROR(__xludf.DUMMYFUNCTION("""COMPUTED_VALUE"""),"-")</f>
        <v>-</v>
      </c>
      <c r="BA275" s="403" t="str">
        <f>IFERROR(__xludf.DUMMYFUNCTION("""COMPUTED_VALUE"""),"-")</f>
        <v>-</v>
      </c>
      <c r="BB275" s="343">
        <f>IFERROR(__xludf.DUMMYFUNCTION("""COMPUTED_VALUE"""),9.0)</f>
        <v>9</v>
      </c>
      <c r="BC275" s="343">
        <f>IFERROR(__xludf.DUMMYFUNCTION("""COMPUTED_VALUE"""),12.0)</f>
        <v>12</v>
      </c>
      <c r="BD275" s="343">
        <f>IFERROR(__xludf.DUMMYFUNCTION("""COMPUTED_VALUE"""),12.0)</f>
        <v>12</v>
      </c>
      <c r="BE275" s="385" t="str">
        <f>IFERROR(__xludf.DUMMYFUNCTION("""COMPUTED_VALUE"""),"ハイブリッド型")</f>
        <v>ハイブリッド型</v>
      </c>
      <c r="BF275" s="399">
        <f>IFERROR(__xludf.DUMMYFUNCTION("""COMPUTED_VALUE"""),4.0)</f>
        <v>4</v>
      </c>
      <c r="BG275" s="400" t="str">
        <f>IFERROR(__xludf.DUMMYFUNCTION("""COMPUTED_VALUE"""),"効果値")</f>
        <v>効果値</v>
      </c>
      <c r="BH275" s="411">
        <f>IFERROR(__xludf.DUMMYFUNCTION("""COMPUTED_VALUE"""),11.8)</f>
        <v>11.8</v>
      </c>
      <c r="BI275" s="412">
        <f>IFERROR(__xludf.DUMMYFUNCTION("""COMPUTED_VALUE"""),12.4)</f>
        <v>12.4</v>
      </c>
      <c r="BJ275" s="412">
        <f>IFERROR(__xludf.DUMMYFUNCTION("""COMPUTED_VALUE"""),13.1)</f>
        <v>13.1</v>
      </c>
      <c r="BK275" s="412">
        <f>IFERROR(__xludf.DUMMYFUNCTION("""COMPUTED_VALUE"""),13.7)</f>
        <v>13.7</v>
      </c>
      <c r="BL275" s="412">
        <f>IFERROR(__xludf.DUMMYFUNCTION("""COMPUTED_VALUE"""),14.4)</f>
        <v>14.4</v>
      </c>
      <c r="BM275" s="412">
        <f>IFERROR(__xludf.DUMMYFUNCTION("""COMPUTED_VALUE"""),19.4)</f>
        <v>19.4</v>
      </c>
      <c r="BN275" s="412">
        <f>IFERROR(__xludf.DUMMYFUNCTION("""COMPUTED_VALUE"""),24.0)</f>
        <v>24</v>
      </c>
      <c r="BO275" s="413">
        <f>IFERROR(__xludf.DUMMYFUNCTION("""COMPUTED_VALUE"""),29.0)</f>
        <v>29</v>
      </c>
    </row>
    <row r="276">
      <c r="A276" s="435" t="str">
        <f>IFERROR(__xludf.DUMMYFUNCTION("""COMPUTED_VALUE"""),"攻撃力UP(アタック)")</f>
        <v>攻撃力UP(アタック)</v>
      </c>
      <c r="B276" s="385" t="str">
        <f>IFERROR(__xludf.DUMMYFUNCTION("""COMPUTED_VALUE"""),"超瞬間型")</f>
        <v>超瞬間型</v>
      </c>
      <c r="C276" s="386">
        <f>IFERROR(__xludf.DUMMYFUNCTION("""COMPUTED_VALUE"""),4.0)</f>
        <v>4</v>
      </c>
      <c r="D276" s="387" t="str">
        <f>IFERROR(__xludf.DUMMYFUNCTION("""COMPUTED_VALUE"""),"効果時間")</f>
        <v>効果時間</v>
      </c>
      <c r="E276" s="388" t="str">
        <f>IFERROR(__xludf.DUMMYFUNCTION("""COMPUTED_VALUE"""),"-")</f>
        <v>-</v>
      </c>
      <c r="F276" s="389" t="str">
        <f>IFERROR(__xludf.DUMMYFUNCTION("""COMPUTED_VALUE"""),"-")</f>
        <v>-</v>
      </c>
      <c r="G276" s="388" t="str">
        <f>IFERROR(__xludf.DUMMYFUNCTION("""COMPUTED_VALUE"""),"-")</f>
        <v>-</v>
      </c>
      <c r="H276" s="389" t="str">
        <f>IFERROR(__xludf.DUMMYFUNCTION("""COMPUTED_VALUE"""),"-")</f>
        <v>-</v>
      </c>
      <c r="I276" s="388" t="str">
        <f>IFERROR(__xludf.DUMMYFUNCTION("""COMPUTED_VALUE"""),"-")</f>
        <v>-</v>
      </c>
      <c r="J276" s="390">
        <f>IFERROR(__xludf.DUMMYFUNCTION("""COMPUTED_VALUE"""),155.0)</f>
        <v>155</v>
      </c>
      <c r="K276" s="391">
        <f>IFERROR(__xludf.DUMMYFUNCTION("""COMPUTED_VALUE"""),170.0)</f>
        <v>170</v>
      </c>
      <c r="L276" s="340">
        <f>IFERROR(__xludf.DUMMYFUNCTION("""COMPUTED_VALUE"""),195.0)</f>
        <v>195</v>
      </c>
      <c r="M276" s="385" t="str">
        <f>IFERROR(__xludf.DUMMYFUNCTION("""COMPUTED_VALUE"""),"瞬間型")</f>
        <v>瞬間型</v>
      </c>
      <c r="N276" s="386">
        <f>IFERROR(__xludf.DUMMYFUNCTION("""COMPUTED_VALUE"""),4.0)</f>
        <v>4</v>
      </c>
      <c r="O276" s="387" t="str">
        <f>IFERROR(__xludf.DUMMYFUNCTION("""COMPUTED_VALUE"""),"効果時間")</f>
        <v>効果時間</v>
      </c>
      <c r="P276" s="280">
        <f>IFERROR(__xludf.DUMMYFUNCTION("""COMPUTED_VALUE"""),170.0)</f>
        <v>170</v>
      </c>
      <c r="Q276" s="275">
        <f>IFERROR(__xludf.DUMMYFUNCTION("""COMPUTED_VALUE"""),180.0)</f>
        <v>180</v>
      </c>
      <c r="R276" s="280">
        <f>IFERROR(__xludf.DUMMYFUNCTION("""COMPUTED_VALUE"""),185.0)</f>
        <v>185</v>
      </c>
      <c r="S276" s="275">
        <f>IFERROR(__xludf.DUMMYFUNCTION("""COMPUTED_VALUE"""),195.0)</f>
        <v>195</v>
      </c>
      <c r="T276" s="280">
        <f>IFERROR(__xludf.DUMMYFUNCTION("""COMPUTED_VALUE"""),200.0)</f>
        <v>200</v>
      </c>
      <c r="U276" s="280">
        <f>IFERROR(__xludf.DUMMYFUNCTION("""COMPUTED_VALUE"""),215.0)</f>
        <v>215</v>
      </c>
      <c r="V276" s="280">
        <f>IFERROR(__xludf.DUMMYFUNCTION("""COMPUTED_VALUE"""),285.0)</f>
        <v>285</v>
      </c>
      <c r="W276" s="280">
        <f>IFERROR(__xludf.DUMMYFUNCTION("""COMPUTED_VALUE"""),305.0)</f>
        <v>305</v>
      </c>
      <c r="X276" s="385" t="str">
        <f>IFERROR(__xludf.DUMMYFUNCTION("""COMPUTED_VALUE"""),"安定型")</f>
        <v>安定型</v>
      </c>
      <c r="Y276" s="386">
        <f>IFERROR(__xludf.DUMMYFUNCTION("""COMPUTED_VALUE"""),4.0)</f>
        <v>4</v>
      </c>
      <c r="Z276" s="387" t="str">
        <f>IFERROR(__xludf.DUMMYFUNCTION("""COMPUTED_VALUE"""),"効果時間")</f>
        <v>効果時間</v>
      </c>
      <c r="AA276" s="280">
        <f>IFERROR(__xludf.DUMMYFUNCTION("""COMPUTED_VALUE"""),320.0)</f>
        <v>320</v>
      </c>
      <c r="AB276" s="275">
        <f>IFERROR(__xludf.DUMMYFUNCTION("""COMPUTED_VALUE"""),330.0)</f>
        <v>330</v>
      </c>
      <c r="AC276" s="280">
        <f>IFERROR(__xludf.DUMMYFUNCTION("""COMPUTED_VALUE"""),335.0)</f>
        <v>335</v>
      </c>
      <c r="AD276" s="275">
        <f>IFERROR(__xludf.DUMMYFUNCTION("""COMPUTED_VALUE"""),345.0)</f>
        <v>345</v>
      </c>
      <c r="AE276" s="280">
        <f>IFERROR(__xludf.DUMMYFUNCTION("""COMPUTED_VALUE"""),350.0)</f>
        <v>350</v>
      </c>
      <c r="AF276" s="280">
        <f>IFERROR(__xludf.DUMMYFUNCTION("""COMPUTED_VALUE"""),390.0)</f>
        <v>390</v>
      </c>
      <c r="AG276" s="280">
        <f>IFERROR(__xludf.DUMMYFUNCTION("""COMPUTED_VALUE"""),435.0)</f>
        <v>435</v>
      </c>
      <c r="AH276" s="280">
        <f>IFERROR(__xludf.DUMMYFUNCTION("""COMPUTED_VALUE"""),455.0)</f>
        <v>455</v>
      </c>
      <c r="AI276" s="385" t="str">
        <f>IFERROR(__xludf.DUMMYFUNCTION("""COMPUTED_VALUE"""),"持続型")</f>
        <v>持続型</v>
      </c>
      <c r="AJ276" s="386">
        <f>IFERROR(__xludf.DUMMYFUNCTION("""COMPUTED_VALUE"""),4.0)</f>
        <v>4</v>
      </c>
      <c r="AK276" s="387" t="str">
        <f>IFERROR(__xludf.DUMMYFUNCTION("""COMPUTED_VALUE"""),"効果時間")</f>
        <v>効果時間</v>
      </c>
      <c r="AL276" s="280">
        <f>IFERROR(__xludf.DUMMYFUNCTION("""COMPUTED_VALUE"""),470.0)</f>
        <v>470</v>
      </c>
      <c r="AM276" s="275">
        <f>IFERROR(__xludf.DUMMYFUNCTION("""COMPUTED_VALUE"""),480.0)</f>
        <v>480</v>
      </c>
      <c r="AN276" s="280">
        <f>IFERROR(__xludf.DUMMYFUNCTION("""COMPUTED_VALUE"""),485.0)</f>
        <v>485</v>
      </c>
      <c r="AO276" s="275">
        <f>IFERROR(__xludf.DUMMYFUNCTION("""COMPUTED_VALUE"""),495.0)</f>
        <v>495</v>
      </c>
      <c r="AP276" s="280">
        <f>IFERROR(__xludf.DUMMYFUNCTION("""COMPUTED_VALUE"""),500.0)</f>
        <v>500</v>
      </c>
      <c r="AQ276" s="280">
        <f>IFERROR(__xludf.DUMMYFUNCTION("""COMPUTED_VALUE"""),540.0)</f>
        <v>540</v>
      </c>
      <c r="AR276" s="280">
        <f>IFERROR(__xludf.DUMMYFUNCTION("""COMPUTED_VALUE"""),585.0)</f>
        <v>585</v>
      </c>
      <c r="AS276" s="280">
        <f>IFERROR(__xludf.DUMMYFUNCTION("""COMPUTED_VALUE"""),605.0)</f>
        <v>605</v>
      </c>
      <c r="AT276" s="385" t="str">
        <f>IFERROR(__xludf.DUMMYFUNCTION("""COMPUTED_VALUE"""),"超持続型")</f>
        <v>超持続型</v>
      </c>
      <c r="AU276" s="386">
        <f>IFERROR(__xludf.DUMMYFUNCTION("""COMPUTED_VALUE"""),4.0)</f>
        <v>4</v>
      </c>
      <c r="AV276" s="387" t="str">
        <f>IFERROR(__xludf.DUMMYFUNCTION("""COMPUTED_VALUE"""),"効果時間")</f>
        <v>効果時間</v>
      </c>
      <c r="AW276" s="368" t="str">
        <f>IFERROR(__xludf.DUMMYFUNCTION("""COMPUTED_VALUE"""),"-")</f>
        <v>-</v>
      </c>
      <c r="AX276" s="368" t="str">
        <f>IFERROR(__xludf.DUMMYFUNCTION("""COMPUTED_VALUE"""),"-")</f>
        <v>-</v>
      </c>
      <c r="AY276" s="368" t="str">
        <f>IFERROR(__xludf.DUMMYFUNCTION("""COMPUTED_VALUE"""),"-")</f>
        <v>-</v>
      </c>
      <c r="AZ276" s="368" t="str">
        <f>IFERROR(__xludf.DUMMYFUNCTION("""COMPUTED_VALUE"""),"-")</f>
        <v>-</v>
      </c>
      <c r="BA276" s="368" t="str">
        <f>IFERROR(__xludf.DUMMYFUNCTION("""COMPUTED_VALUE"""),"-")</f>
        <v>-</v>
      </c>
      <c r="BB276" s="280">
        <f>IFERROR(__xludf.DUMMYFUNCTION("""COMPUTED_VALUE"""),645.0)</f>
        <v>645</v>
      </c>
      <c r="BC276" s="280">
        <f>IFERROR(__xludf.DUMMYFUNCTION("""COMPUTED_VALUE"""),735.0)</f>
        <v>735</v>
      </c>
      <c r="BD276" s="280">
        <f>IFERROR(__xludf.DUMMYFUNCTION("""COMPUTED_VALUE"""),755.0)</f>
        <v>755</v>
      </c>
      <c r="BE276" s="385" t="str">
        <f>IFERROR(__xludf.DUMMYFUNCTION("""COMPUTED_VALUE"""),"ハイブリッド型")</f>
        <v>ハイブリッド型</v>
      </c>
      <c r="BF276" s="386">
        <f>IFERROR(__xludf.DUMMYFUNCTION("""COMPUTED_VALUE"""),4.0)</f>
        <v>4</v>
      </c>
      <c r="BG276" s="387" t="str">
        <f>IFERROR(__xludf.DUMMYFUNCTION("""COMPUTED_VALUE"""),"効果時間")</f>
        <v>効果時間</v>
      </c>
      <c r="BH276" s="417">
        <f>IFERROR(__xludf.DUMMYFUNCTION("""COMPUTED_VALUE"""),240.0)</f>
        <v>240</v>
      </c>
      <c r="BI276" s="417">
        <f>IFERROR(__xludf.DUMMYFUNCTION("""COMPUTED_VALUE"""),255.0)</f>
        <v>255</v>
      </c>
      <c r="BJ276" s="417">
        <f>IFERROR(__xludf.DUMMYFUNCTION("""COMPUTED_VALUE"""),265.0)</f>
        <v>265</v>
      </c>
      <c r="BK276" s="418">
        <f>IFERROR(__xludf.DUMMYFUNCTION("""COMPUTED_VALUE"""),275.0)</f>
        <v>275</v>
      </c>
      <c r="BL276" s="417">
        <f>IFERROR(__xludf.DUMMYFUNCTION("""COMPUTED_VALUE"""),285.0)</f>
        <v>285</v>
      </c>
      <c r="BM276" s="418">
        <f>IFERROR(__xludf.DUMMYFUNCTION("""COMPUTED_VALUE"""),395.0)</f>
        <v>395</v>
      </c>
      <c r="BN276" s="417">
        <f>IFERROR(__xludf.DUMMYFUNCTION("""COMPUTED_VALUE"""),500.0)</f>
        <v>500</v>
      </c>
      <c r="BO276" s="418">
        <f>IFERROR(__xludf.DUMMYFUNCTION("""COMPUTED_VALUE"""),520.0)</f>
        <v>520</v>
      </c>
    </row>
    <row r="277">
      <c r="A277" s="435" t="str">
        <f>IFERROR(__xludf.DUMMYFUNCTION("""COMPUTED_VALUE"""),"攻撃力UP(アタック)")</f>
        <v>攻撃力UP(アタック)</v>
      </c>
      <c r="B277" s="385" t="str">
        <f>IFERROR(__xludf.DUMMYFUNCTION("""COMPUTED_VALUE"""),"超瞬間型")</f>
        <v>超瞬間型</v>
      </c>
      <c r="C277" s="399">
        <f>IFERROR(__xludf.DUMMYFUNCTION("""COMPUTED_VALUE"""),5.0)</f>
        <v>5</v>
      </c>
      <c r="D277" s="400" t="str">
        <f>IFERROR(__xludf.DUMMYFUNCTION("""COMPUTED_VALUE"""),"効果値")</f>
        <v>効果値</v>
      </c>
      <c r="E277" s="419" t="str">
        <f>IFERROR(__xludf.DUMMYFUNCTION("""COMPUTED_VALUE"""),"-")</f>
        <v>-</v>
      </c>
      <c r="F277" s="409" t="str">
        <f>IFERROR(__xludf.DUMMYFUNCTION("""COMPUTED_VALUE"""),"-")</f>
        <v>-</v>
      </c>
      <c r="G277" s="409" t="str">
        <f>IFERROR(__xludf.DUMMYFUNCTION("""COMPUTED_VALUE"""),"-")</f>
        <v>-</v>
      </c>
      <c r="H277" s="409" t="str">
        <f>IFERROR(__xludf.DUMMYFUNCTION("""COMPUTED_VALUE"""),"-")</f>
        <v>-</v>
      </c>
      <c r="I277" s="409" t="str">
        <f>IFERROR(__xludf.DUMMYFUNCTION("""COMPUTED_VALUE"""),"-")</f>
        <v>-</v>
      </c>
      <c r="J277" s="420">
        <f>IFERROR(__xludf.DUMMYFUNCTION("""COMPUTED_VALUE"""),60.0)</f>
        <v>60</v>
      </c>
      <c r="K277" s="421">
        <f>IFERROR(__xludf.DUMMYFUNCTION("""COMPUTED_VALUE"""),70.0)</f>
        <v>70</v>
      </c>
      <c r="L277" s="421">
        <f>IFERROR(__xludf.DUMMYFUNCTION("""COMPUTED_VALUE"""),75.0)</f>
        <v>75</v>
      </c>
      <c r="M277" s="385" t="str">
        <f>IFERROR(__xludf.DUMMYFUNCTION("""COMPUTED_VALUE"""),"瞬間型")</f>
        <v>瞬間型</v>
      </c>
      <c r="N277" s="399">
        <f>IFERROR(__xludf.DUMMYFUNCTION("""COMPUTED_VALUE"""),5.0)</f>
        <v>5</v>
      </c>
      <c r="O277" s="400" t="str">
        <f>IFERROR(__xludf.DUMMYFUNCTION("""COMPUTED_VALUE"""),"効果値")</f>
        <v>効果値</v>
      </c>
      <c r="P277" s="422">
        <f>IFERROR(__xludf.DUMMYFUNCTION("""COMPUTED_VALUE"""),23.0)</f>
        <v>23</v>
      </c>
      <c r="Q277" s="423">
        <f>IFERROR(__xludf.DUMMYFUNCTION("""COMPUTED_VALUE"""),23.0)</f>
        <v>23</v>
      </c>
      <c r="R277" s="422">
        <f>IFERROR(__xludf.DUMMYFUNCTION("""COMPUTED_VALUE"""),24.0)</f>
        <v>24</v>
      </c>
      <c r="S277" s="423">
        <f>IFERROR(__xludf.DUMMYFUNCTION("""COMPUTED_VALUE"""),24.0)</f>
        <v>24</v>
      </c>
      <c r="T277" s="422">
        <f>IFERROR(__xludf.DUMMYFUNCTION("""COMPUTED_VALUE"""),24.0)</f>
        <v>24</v>
      </c>
      <c r="U277" s="423">
        <f>IFERROR(__xludf.DUMMYFUNCTION("""COMPUTED_VALUE"""),30.0)</f>
        <v>30</v>
      </c>
      <c r="V277" s="423">
        <f>IFERROR(__xludf.DUMMYFUNCTION("""COMPUTED_VALUE"""),35.0)</f>
        <v>35</v>
      </c>
      <c r="W277" s="424">
        <f>IFERROR(__xludf.DUMMYFUNCTION("""COMPUTED_VALUE"""),40.0)</f>
        <v>40</v>
      </c>
      <c r="X277" s="385" t="str">
        <f>IFERROR(__xludf.DUMMYFUNCTION("""COMPUTED_VALUE"""),"安定型")</f>
        <v>安定型</v>
      </c>
      <c r="Y277" s="399">
        <f>IFERROR(__xludf.DUMMYFUNCTION("""COMPUTED_VALUE"""),5.0)</f>
        <v>5</v>
      </c>
      <c r="Z277" s="400" t="str">
        <f>IFERROR(__xludf.DUMMYFUNCTION("""COMPUTED_VALUE"""),"効果値")</f>
        <v>効果値</v>
      </c>
      <c r="AA277" s="422">
        <f>IFERROR(__xludf.DUMMYFUNCTION("""COMPUTED_VALUE"""),13.0)</f>
        <v>13</v>
      </c>
      <c r="AB277" s="423">
        <f>IFERROR(__xludf.DUMMYFUNCTION("""COMPUTED_VALUE"""),13.0)</f>
        <v>13</v>
      </c>
      <c r="AC277" s="422">
        <f>IFERROR(__xludf.DUMMYFUNCTION("""COMPUTED_VALUE"""),14.0)</f>
        <v>14</v>
      </c>
      <c r="AD277" s="423">
        <f>IFERROR(__xludf.DUMMYFUNCTION("""COMPUTED_VALUE"""),14.0)</f>
        <v>14</v>
      </c>
      <c r="AE277" s="422">
        <f>IFERROR(__xludf.DUMMYFUNCTION("""COMPUTED_VALUE"""),14.0)</f>
        <v>14</v>
      </c>
      <c r="AF277" s="423">
        <f>IFERROR(__xludf.DUMMYFUNCTION("""COMPUTED_VALUE"""),15.0)</f>
        <v>15</v>
      </c>
      <c r="AG277" s="423">
        <f>IFERROR(__xludf.DUMMYFUNCTION("""COMPUTED_VALUE"""),20.0)</f>
        <v>20</v>
      </c>
      <c r="AH277" s="424">
        <f>IFERROR(__xludf.DUMMYFUNCTION("""COMPUTED_VALUE"""),25.0)</f>
        <v>25</v>
      </c>
      <c r="AI277" s="385" t="str">
        <f>IFERROR(__xludf.DUMMYFUNCTION("""COMPUTED_VALUE"""),"持続型")</f>
        <v>持続型</v>
      </c>
      <c r="AJ277" s="399">
        <f>IFERROR(__xludf.DUMMYFUNCTION("""COMPUTED_VALUE"""),5.0)</f>
        <v>5</v>
      </c>
      <c r="AK277" s="400" t="str">
        <f>IFERROR(__xludf.DUMMYFUNCTION("""COMPUTED_VALUE"""),"効果値")</f>
        <v>効果値</v>
      </c>
      <c r="AL277" s="422">
        <f>IFERROR(__xludf.DUMMYFUNCTION("""COMPUTED_VALUE"""),8.0)</f>
        <v>8</v>
      </c>
      <c r="AM277" s="423">
        <f>IFERROR(__xludf.DUMMYFUNCTION("""COMPUTED_VALUE"""),8.0)</f>
        <v>8</v>
      </c>
      <c r="AN277" s="422">
        <f>IFERROR(__xludf.DUMMYFUNCTION("""COMPUTED_VALUE"""),9.0)</f>
        <v>9</v>
      </c>
      <c r="AO277" s="423">
        <f>IFERROR(__xludf.DUMMYFUNCTION("""COMPUTED_VALUE"""),9.0)</f>
        <v>9</v>
      </c>
      <c r="AP277" s="422">
        <f>IFERROR(__xludf.DUMMYFUNCTION("""COMPUTED_VALUE"""),9.0)</f>
        <v>9</v>
      </c>
      <c r="AQ277" s="423">
        <f>IFERROR(__xludf.DUMMYFUNCTION("""COMPUTED_VALUE"""),10.0)</f>
        <v>10</v>
      </c>
      <c r="AR277" s="423">
        <f>IFERROR(__xludf.DUMMYFUNCTION("""COMPUTED_VALUE"""),12.0)</f>
        <v>12</v>
      </c>
      <c r="AS277" s="424">
        <f>IFERROR(__xludf.DUMMYFUNCTION("""COMPUTED_VALUE"""),12.0)</f>
        <v>12</v>
      </c>
      <c r="AT277" s="385" t="str">
        <f>IFERROR(__xludf.DUMMYFUNCTION("""COMPUTED_VALUE"""),"超持続型")</f>
        <v>超持続型</v>
      </c>
      <c r="AU277" s="399">
        <f>IFERROR(__xludf.DUMMYFUNCTION("""COMPUTED_VALUE"""),5.0)</f>
        <v>5</v>
      </c>
      <c r="AV277" s="400" t="str">
        <f>IFERROR(__xludf.DUMMYFUNCTION("""COMPUTED_VALUE"""),"効果値")</f>
        <v>効果値</v>
      </c>
      <c r="AW277" s="425" t="str">
        <f>IFERROR(__xludf.DUMMYFUNCTION("""COMPUTED_VALUE"""),"-")</f>
        <v>-</v>
      </c>
      <c r="AX277" s="426" t="str">
        <f>IFERROR(__xludf.DUMMYFUNCTION("""COMPUTED_VALUE"""),"-")</f>
        <v>-</v>
      </c>
      <c r="AY277" s="426" t="str">
        <f>IFERROR(__xludf.DUMMYFUNCTION("""COMPUTED_VALUE"""),"-")</f>
        <v>-</v>
      </c>
      <c r="AZ277" s="426" t="str">
        <f>IFERROR(__xludf.DUMMYFUNCTION("""COMPUTED_VALUE"""),"-")</f>
        <v>-</v>
      </c>
      <c r="BA277" s="426" t="str">
        <f>IFERROR(__xludf.DUMMYFUNCTION("""COMPUTED_VALUE"""),"-")</f>
        <v>-</v>
      </c>
      <c r="BB277" s="423">
        <f>IFERROR(__xludf.DUMMYFUNCTION("""COMPUTED_VALUE"""),10.0)</f>
        <v>10</v>
      </c>
      <c r="BC277" s="423">
        <f>IFERROR(__xludf.DUMMYFUNCTION("""COMPUTED_VALUE"""),12.0)</f>
        <v>12</v>
      </c>
      <c r="BD277" s="424">
        <f>IFERROR(__xludf.DUMMYFUNCTION("""COMPUTED_VALUE"""),12.0)</f>
        <v>12</v>
      </c>
      <c r="BE277" s="385" t="str">
        <f>IFERROR(__xludf.DUMMYFUNCTION("""COMPUTED_VALUE"""),"ハイブリッド型")</f>
        <v>ハイブリッド型</v>
      </c>
      <c r="BF277" s="399">
        <f>IFERROR(__xludf.DUMMYFUNCTION("""COMPUTED_VALUE"""),5.0)</f>
        <v>5</v>
      </c>
      <c r="BG277" s="400" t="str">
        <f>IFERROR(__xludf.DUMMYFUNCTION("""COMPUTED_VALUE"""),"効果値")</f>
        <v>効果値</v>
      </c>
      <c r="BH277" s="427">
        <f>IFERROR(__xludf.DUMMYFUNCTION("""COMPUTED_VALUE"""),12.0)</f>
        <v>12</v>
      </c>
      <c r="BI277" s="428">
        <f>IFERROR(__xludf.DUMMYFUNCTION("""COMPUTED_VALUE"""),12.75)</f>
        <v>12.75</v>
      </c>
      <c r="BJ277" s="428">
        <f>IFERROR(__xludf.DUMMYFUNCTION("""COMPUTED_VALUE"""),13.5)</f>
        <v>13.5</v>
      </c>
      <c r="BK277" s="428">
        <f>IFERROR(__xludf.DUMMYFUNCTION("""COMPUTED_VALUE"""),14.25)</f>
        <v>14.25</v>
      </c>
      <c r="BL277" s="427">
        <f>IFERROR(__xludf.DUMMYFUNCTION("""COMPUTED_VALUE"""),15.0)</f>
        <v>15</v>
      </c>
      <c r="BM277" s="427">
        <f>IFERROR(__xludf.DUMMYFUNCTION("""COMPUTED_VALUE"""),20.0)</f>
        <v>20</v>
      </c>
      <c r="BN277" s="427">
        <f>IFERROR(__xludf.DUMMYFUNCTION("""COMPUTED_VALUE"""),25.0)</f>
        <v>25</v>
      </c>
      <c r="BO277" s="429">
        <f>IFERROR(__xludf.DUMMYFUNCTION("""COMPUTED_VALUE"""),30.0)</f>
        <v>30</v>
      </c>
    </row>
    <row r="278">
      <c r="A278" s="435" t="str">
        <f>IFERROR(__xludf.DUMMYFUNCTION("""COMPUTED_VALUE"""),"攻撃力UP(アタック)")</f>
        <v>攻撃力UP(アタック)</v>
      </c>
      <c r="B278" s="385" t="str">
        <f>IFERROR(__xludf.DUMMYFUNCTION("""COMPUTED_VALUE"""),"超瞬間型")</f>
        <v>超瞬間型</v>
      </c>
      <c r="C278" s="430">
        <f>IFERROR(__xludf.DUMMYFUNCTION("""COMPUTED_VALUE"""),5.0)</f>
        <v>5</v>
      </c>
      <c r="D278" s="431" t="str">
        <f>IFERROR(__xludf.DUMMYFUNCTION("""COMPUTED_VALUE"""),"効果時間")</f>
        <v>効果時間</v>
      </c>
      <c r="E278" s="388" t="str">
        <f>IFERROR(__xludf.DUMMYFUNCTION("""COMPUTED_VALUE"""),"-")</f>
        <v>-</v>
      </c>
      <c r="F278" s="389" t="str">
        <f>IFERROR(__xludf.DUMMYFUNCTION("""COMPUTED_VALUE"""),"-")</f>
        <v>-</v>
      </c>
      <c r="G278" s="388" t="str">
        <f>IFERROR(__xludf.DUMMYFUNCTION("""COMPUTED_VALUE"""),"-")</f>
        <v>-</v>
      </c>
      <c r="H278" s="389" t="str">
        <f>IFERROR(__xludf.DUMMYFUNCTION("""COMPUTED_VALUE"""),"-")</f>
        <v>-</v>
      </c>
      <c r="I278" s="388" t="str">
        <f>IFERROR(__xludf.DUMMYFUNCTION("""COMPUTED_VALUE"""),"-")</f>
        <v>-</v>
      </c>
      <c r="J278" s="390">
        <f>IFERROR(__xludf.DUMMYFUNCTION("""COMPUTED_VALUE"""),160.0)</f>
        <v>160</v>
      </c>
      <c r="K278" s="391">
        <f>IFERROR(__xludf.DUMMYFUNCTION("""COMPUTED_VALUE"""),175.0)</f>
        <v>175</v>
      </c>
      <c r="L278" s="340">
        <f>IFERROR(__xludf.DUMMYFUNCTION("""COMPUTED_VALUE"""),200.0)</f>
        <v>200</v>
      </c>
      <c r="M278" s="385" t="str">
        <f>IFERROR(__xludf.DUMMYFUNCTION("""COMPUTED_VALUE"""),"瞬間型")</f>
        <v>瞬間型</v>
      </c>
      <c r="N278" s="430">
        <f>IFERROR(__xludf.DUMMYFUNCTION("""COMPUTED_VALUE"""),5.0)</f>
        <v>5</v>
      </c>
      <c r="O278" s="431" t="str">
        <f>IFERROR(__xludf.DUMMYFUNCTION("""COMPUTED_VALUE"""),"効果時間")</f>
        <v>効果時間</v>
      </c>
      <c r="P278" s="392">
        <f>IFERROR(__xludf.DUMMYFUNCTION("""COMPUTED_VALUE"""),175.0)</f>
        <v>175</v>
      </c>
      <c r="Q278" s="414">
        <f>IFERROR(__xludf.DUMMYFUNCTION("""COMPUTED_VALUE"""),185.0)</f>
        <v>185</v>
      </c>
      <c r="R278" s="414">
        <f>IFERROR(__xludf.DUMMYFUNCTION("""COMPUTED_VALUE"""),190.0)</f>
        <v>190</v>
      </c>
      <c r="S278" s="414">
        <f>IFERROR(__xludf.DUMMYFUNCTION("""COMPUTED_VALUE"""),195.0)</f>
        <v>195</v>
      </c>
      <c r="T278" s="394">
        <f>IFERROR(__xludf.DUMMYFUNCTION("""COMPUTED_VALUE"""),200.0)</f>
        <v>200</v>
      </c>
      <c r="U278" s="394">
        <f>IFERROR(__xludf.DUMMYFUNCTION("""COMPUTED_VALUE"""),225.0)</f>
        <v>225</v>
      </c>
      <c r="V278" s="394">
        <f>IFERROR(__xludf.DUMMYFUNCTION("""COMPUTED_VALUE"""),300.0)</f>
        <v>300</v>
      </c>
      <c r="W278" s="394">
        <f>IFERROR(__xludf.DUMMYFUNCTION("""COMPUTED_VALUE"""),325.0)</f>
        <v>325</v>
      </c>
      <c r="X278" s="385" t="str">
        <f>IFERROR(__xludf.DUMMYFUNCTION("""COMPUTED_VALUE"""),"安定型")</f>
        <v>安定型</v>
      </c>
      <c r="Y278" s="430">
        <f>IFERROR(__xludf.DUMMYFUNCTION("""COMPUTED_VALUE"""),5.0)</f>
        <v>5</v>
      </c>
      <c r="Z278" s="431" t="str">
        <f>IFERROR(__xludf.DUMMYFUNCTION("""COMPUTED_VALUE"""),"効果時間")</f>
        <v>効果時間</v>
      </c>
      <c r="AA278" s="392">
        <f>IFERROR(__xludf.DUMMYFUNCTION("""COMPUTED_VALUE"""),325.0)</f>
        <v>325</v>
      </c>
      <c r="AB278" s="414">
        <f>IFERROR(__xludf.DUMMYFUNCTION("""COMPUTED_VALUE"""),335.0)</f>
        <v>335</v>
      </c>
      <c r="AC278" s="414">
        <f>IFERROR(__xludf.DUMMYFUNCTION("""COMPUTED_VALUE"""),340.0)</f>
        <v>340</v>
      </c>
      <c r="AD278" s="414">
        <f>IFERROR(__xludf.DUMMYFUNCTION("""COMPUTED_VALUE"""),345.0)</f>
        <v>345</v>
      </c>
      <c r="AE278" s="394">
        <f>IFERROR(__xludf.DUMMYFUNCTION("""COMPUTED_VALUE"""),350.0)</f>
        <v>350</v>
      </c>
      <c r="AF278" s="394">
        <f>IFERROR(__xludf.DUMMYFUNCTION("""COMPUTED_VALUE"""),400.0)</f>
        <v>400</v>
      </c>
      <c r="AG278" s="394">
        <f>IFERROR(__xludf.DUMMYFUNCTION("""COMPUTED_VALUE"""),450.0)</f>
        <v>450</v>
      </c>
      <c r="AH278" s="394">
        <f>IFERROR(__xludf.DUMMYFUNCTION("""COMPUTED_VALUE"""),475.0)</f>
        <v>475</v>
      </c>
      <c r="AI278" s="385" t="str">
        <f>IFERROR(__xludf.DUMMYFUNCTION("""COMPUTED_VALUE"""),"持続型")</f>
        <v>持続型</v>
      </c>
      <c r="AJ278" s="430">
        <f>IFERROR(__xludf.DUMMYFUNCTION("""COMPUTED_VALUE"""),5.0)</f>
        <v>5</v>
      </c>
      <c r="AK278" s="431" t="str">
        <f>IFERROR(__xludf.DUMMYFUNCTION("""COMPUTED_VALUE"""),"効果時間")</f>
        <v>効果時間</v>
      </c>
      <c r="AL278" s="392">
        <f>IFERROR(__xludf.DUMMYFUNCTION("""COMPUTED_VALUE"""),475.0)</f>
        <v>475</v>
      </c>
      <c r="AM278" s="414">
        <f>IFERROR(__xludf.DUMMYFUNCTION("""COMPUTED_VALUE"""),485.0)</f>
        <v>485</v>
      </c>
      <c r="AN278" s="414">
        <f>IFERROR(__xludf.DUMMYFUNCTION("""COMPUTED_VALUE"""),490.0)</f>
        <v>490</v>
      </c>
      <c r="AO278" s="414">
        <f>IFERROR(__xludf.DUMMYFUNCTION("""COMPUTED_VALUE"""),495.0)</f>
        <v>495</v>
      </c>
      <c r="AP278" s="394">
        <f>IFERROR(__xludf.DUMMYFUNCTION("""COMPUTED_VALUE"""),500.0)</f>
        <v>500</v>
      </c>
      <c r="AQ278" s="394">
        <f>IFERROR(__xludf.DUMMYFUNCTION("""COMPUTED_VALUE"""),550.0)</f>
        <v>550</v>
      </c>
      <c r="AR278" s="394">
        <f>IFERROR(__xludf.DUMMYFUNCTION("""COMPUTED_VALUE"""),600.0)</f>
        <v>600</v>
      </c>
      <c r="AS278" s="394">
        <f>IFERROR(__xludf.DUMMYFUNCTION("""COMPUTED_VALUE"""),625.0)</f>
        <v>625</v>
      </c>
      <c r="AT278" s="385" t="str">
        <f>IFERROR(__xludf.DUMMYFUNCTION("""COMPUTED_VALUE"""),"超持続型")</f>
        <v>超持続型</v>
      </c>
      <c r="AU278" s="430">
        <f>IFERROR(__xludf.DUMMYFUNCTION("""COMPUTED_VALUE"""),5.0)</f>
        <v>5</v>
      </c>
      <c r="AV278" s="431" t="str">
        <f>IFERROR(__xludf.DUMMYFUNCTION("""COMPUTED_VALUE"""),"効果時間")</f>
        <v>効果時間</v>
      </c>
      <c r="AW278" s="395" t="str">
        <f>IFERROR(__xludf.DUMMYFUNCTION("""COMPUTED_VALUE"""),"-")</f>
        <v>-</v>
      </c>
      <c r="AX278" s="396" t="str">
        <f>IFERROR(__xludf.DUMMYFUNCTION("""COMPUTED_VALUE"""),"-")</f>
        <v>-</v>
      </c>
      <c r="AY278" s="396" t="str">
        <f>IFERROR(__xludf.DUMMYFUNCTION("""COMPUTED_VALUE"""),"-")</f>
        <v>-</v>
      </c>
      <c r="AZ278" s="396" t="str">
        <f>IFERROR(__xludf.DUMMYFUNCTION("""COMPUTED_VALUE"""),"-")</f>
        <v>-</v>
      </c>
      <c r="BA278" s="396" t="str">
        <f>IFERROR(__xludf.DUMMYFUNCTION("""COMPUTED_VALUE"""),"-")</f>
        <v>-</v>
      </c>
      <c r="BB278" s="393">
        <f>IFERROR(__xludf.DUMMYFUNCTION("""COMPUTED_VALUE"""),650.0)</f>
        <v>650</v>
      </c>
      <c r="BC278" s="393">
        <f>IFERROR(__xludf.DUMMYFUNCTION("""COMPUTED_VALUE"""),750.0)</f>
        <v>750</v>
      </c>
      <c r="BD278" s="394">
        <f>IFERROR(__xludf.DUMMYFUNCTION("""COMPUTED_VALUE"""),775.0)</f>
        <v>775</v>
      </c>
      <c r="BE278" s="385" t="str">
        <f>IFERROR(__xludf.DUMMYFUNCTION("""COMPUTED_VALUE"""),"ハイブリッド型")</f>
        <v>ハイブリッド型</v>
      </c>
      <c r="BF278" s="430">
        <f>IFERROR(__xludf.DUMMYFUNCTION("""COMPUTED_VALUE"""),5.0)</f>
        <v>5</v>
      </c>
      <c r="BG278" s="431" t="str">
        <f>IFERROR(__xludf.DUMMYFUNCTION("""COMPUTED_VALUE"""),"効果時間")</f>
        <v>効果時間</v>
      </c>
      <c r="BH278" s="304">
        <f>IFERROR(__xludf.DUMMYFUNCTION("""COMPUTED_VALUE"""),250.0)</f>
        <v>250</v>
      </c>
      <c r="BI278" s="432">
        <f>IFERROR(__xludf.DUMMYFUNCTION("""COMPUTED_VALUE"""),265.0)</f>
        <v>265</v>
      </c>
      <c r="BJ278" s="432">
        <f>IFERROR(__xludf.DUMMYFUNCTION("""COMPUTED_VALUE"""),275.0)</f>
        <v>275</v>
      </c>
      <c r="BK278" s="432">
        <f>IFERROR(__xludf.DUMMYFUNCTION("""COMPUTED_VALUE"""),290.0)</f>
        <v>290</v>
      </c>
      <c r="BL278" s="304">
        <f>IFERROR(__xludf.DUMMYFUNCTION("""COMPUTED_VALUE"""),300.0)</f>
        <v>300</v>
      </c>
      <c r="BM278" s="304">
        <f>IFERROR(__xludf.DUMMYFUNCTION("""COMPUTED_VALUE"""),400.0)</f>
        <v>400</v>
      </c>
      <c r="BN278" s="304">
        <f>IFERROR(__xludf.DUMMYFUNCTION("""COMPUTED_VALUE"""),500.0)</f>
        <v>500</v>
      </c>
      <c r="BO278" s="304">
        <f>IFERROR(__xludf.DUMMYFUNCTION("""COMPUTED_VALUE"""),525.0)</f>
        <v>525</v>
      </c>
    </row>
    <row r="279">
      <c r="A279" s="433" t="str">
        <f>IFERROR(__xludf.DUMMYFUNCTION("""COMPUTED_VALUE"""),"攻撃力UP(テクニカル)")</f>
        <v>攻撃力UP(テクニカル)</v>
      </c>
      <c r="B279" s="374" t="str">
        <f>IFERROR(__xludf.DUMMYFUNCTION("""COMPUTED_VALUE"""),"超瞬間型")</f>
        <v>超瞬間型</v>
      </c>
      <c r="C279" s="375">
        <f>IFERROR(__xludf.DUMMYFUNCTION("""COMPUTED_VALUE"""),1.0)</f>
        <v>1</v>
      </c>
      <c r="D279" s="376" t="str">
        <f>IFERROR(__xludf.DUMMYFUNCTION("""COMPUTED_VALUE"""),"効果値")</f>
        <v>効果値</v>
      </c>
      <c r="E279" s="377" t="str">
        <f>IFERROR(__xludf.DUMMYFUNCTION("""COMPUTED_VALUE"""),"-")</f>
        <v>-</v>
      </c>
      <c r="F279" s="378" t="str">
        <f>IFERROR(__xludf.DUMMYFUNCTION("""COMPUTED_VALUE"""),"-")</f>
        <v>-</v>
      </c>
      <c r="G279" s="377" t="str">
        <f>IFERROR(__xludf.DUMMYFUNCTION("""COMPUTED_VALUE"""),"-")</f>
        <v>-</v>
      </c>
      <c r="H279" s="378" t="str">
        <f>IFERROR(__xludf.DUMMYFUNCTION("""COMPUTED_VALUE"""),"-")</f>
        <v>-</v>
      </c>
      <c r="I279" s="377" t="str">
        <f>IFERROR(__xludf.DUMMYFUNCTION("""COMPUTED_VALUE"""),"-")</f>
        <v>-</v>
      </c>
      <c r="J279" s="379">
        <f>IFERROR(__xludf.DUMMYFUNCTION("""COMPUTED_VALUE"""),55.0)</f>
        <v>55</v>
      </c>
      <c r="K279" s="294">
        <f>IFERROR(__xludf.DUMMYFUNCTION("""COMPUTED_VALUE"""),65.0)</f>
        <v>65</v>
      </c>
      <c r="L279" s="294">
        <f>IFERROR(__xludf.DUMMYFUNCTION("""COMPUTED_VALUE"""),65.0)</f>
        <v>65</v>
      </c>
      <c r="M279" s="374" t="str">
        <f>IFERROR(__xludf.DUMMYFUNCTION("""COMPUTED_VALUE"""),"瞬間型")</f>
        <v>瞬間型</v>
      </c>
      <c r="N279" s="375">
        <f>IFERROR(__xludf.DUMMYFUNCTION("""COMPUTED_VALUE"""),1.0)</f>
        <v>1</v>
      </c>
      <c r="O279" s="376" t="str">
        <f>IFERROR(__xludf.DUMMYFUNCTION("""COMPUTED_VALUE"""),"効果値")</f>
        <v>効果値</v>
      </c>
      <c r="P279" s="380">
        <f>IFERROR(__xludf.DUMMYFUNCTION("""COMPUTED_VALUE"""),20.0)</f>
        <v>20</v>
      </c>
      <c r="Q279" s="263">
        <f>IFERROR(__xludf.DUMMYFUNCTION("""COMPUTED_VALUE"""),20.0)</f>
        <v>20</v>
      </c>
      <c r="R279" s="263">
        <f>IFERROR(__xludf.DUMMYFUNCTION("""COMPUTED_VALUE"""),20.0)</f>
        <v>20</v>
      </c>
      <c r="S279" s="263">
        <f>IFERROR(__xludf.DUMMYFUNCTION("""COMPUTED_VALUE"""),20.0)</f>
        <v>20</v>
      </c>
      <c r="T279" s="263">
        <f>IFERROR(__xludf.DUMMYFUNCTION("""COMPUTED_VALUE"""),20.0)</f>
        <v>20</v>
      </c>
      <c r="U279" s="263">
        <f>IFERROR(__xludf.DUMMYFUNCTION("""COMPUTED_VALUE"""),25.0)</f>
        <v>25</v>
      </c>
      <c r="V279" s="266">
        <f>IFERROR(__xludf.DUMMYFUNCTION("""COMPUTED_VALUE"""),30.0)</f>
        <v>30</v>
      </c>
      <c r="W279" s="266">
        <f>IFERROR(__xludf.DUMMYFUNCTION("""COMPUTED_VALUE"""),30.0)</f>
        <v>30</v>
      </c>
      <c r="X279" s="374" t="str">
        <f>IFERROR(__xludf.DUMMYFUNCTION("""COMPUTED_VALUE"""),"安定型")</f>
        <v>安定型</v>
      </c>
      <c r="Y279" s="375">
        <f>IFERROR(__xludf.DUMMYFUNCTION("""COMPUTED_VALUE"""),1.0)</f>
        <v>1</v>
      </c>
      <c r="Z279" s="376" t="str">
        <f>IFERROR(__xludf.DUMMYFUNCTION("""COMPUTED_VALUE"""),"効果値")</f>
        <v>効果値</v>
      </c>
      <c r="AA279" s="380">
        <f>IFERROR(__xludf.DUMMYFUNCTION("""COMPUTED_VALUE"""),10.0)</f>
        <v>10</v>
      </c>
      <c r="AB279" s="263">
        <f>IFERROR(__xludf.DUMMYFUNCTION("""COMPUTED_VALUE"""),10.0)</f>
        <v>10</v>
      </c>
      <c r="AC279" s="263">
        <f>IFERROR(__xludf.DUMMYFUNCTION("""COMPUTED_VALUE"""),10.0)</f>
        <v>10</v>
      </c>
      <c r="AD279" s="263">
        <f>IFERROR(__xludf.DUMMYFUNCTION("""COMPUTED_VALUE"""),10.0)</f>
        <v>10</v>
      </c>
      <c r="AE279" s="263">
        <f>IFERROR(__xludf.DUMMYFUNCTION("""COMPUTED_VALUE"""),10.0)</f>
        <v>10</v>
      </c>
      <c r="AF279" s="263">
        <f>IFERROR(__xludf.DUMMYFUNCTION("""COMPUTED_VALUE"""),10.0)</f>
        <v>10</v>
      </c>
      <c r="AG279" s="266">
        <f>IFERROR(__xludf.DUMMYFUNCTION("""COMPUTED_VALUE"""),15.0)</f>
        <v>15</v>
      </c>
      <c r="AH279" s="266">
        <f>IFERROR(__xludf.DUMMYFUNCTION("""COMPUTED_VALUE"""),15.0)</f>
        <v>15</v>
      </c>
      <c r="AI279" s="374" t="str">
        <f>IFERROR(__xludf.DUMMYFUNCTION("""COMPUTED_VALUE"""),"持続型")</f>
        <v>持続型</v>
      </c>
      <c r="AJ279" s="375">
        <f>IFERROR(__xludf.DUMMYFUNCTION("""COMPUTED_VALUE"""),1.0)</f>
        <v>1</v>
      </c>
      <c r="AK279" s="376" t="str">
        <f>IFERROR(__xludf.DUMMYFUNCTION("""COMPUTED_VALUE"""),"効果値")</f>
        <v>効果値</v>
      </c>
      <c r="AL279" s="380">
        <f>IFERROR(__xludf.DUMMYFUNCTION("""COMPUTED_VALUE"""),5.0)</f>
        <v>5</v>
      </c>
      <c r="AM279" s="263">
        <f>IFERROR(__xludf.DUMMYFUNCTION("""COMPUTED_VALUE"""),5.0)</f>
        <v>5</v>
      </c>
      <c r="AN279" s="263">
        <f>IFERROR(__xludf.DUMMYFUNCTION("""COMPUTED_VALUE"""),5.0)</f>
        <v>5</v>
      </c>
      <c r="AO279" s="263">
        <f>IFERROR(__xludf.DUMMYFUNCTION("""COMPUTED_VALUE"""),5.0)</f>
        <v>5</v>
      </c>
      <c r="AP279" s="263">
        <f>IFERROR(__xludf.DUMMYFUNCTION("""COMPUTED_VALUE"""),5.0)</f>
        <v>5</v>
      </c>
      <c r="AQ279" s="263">
        <f>IFERROR(__xludf.DUMMYFUNCTION("""COMPUTED_VALUE"""),5.0)</f>
        <v>5</v>
      </c>
      <c r="AR279" s="266">
        <f>IFERROR(__xludf.DUMMYFUNCTION("""COMPUTED_VALUE"""),10.0)</f>
        <v>10</v>
      </c>
      <c r="AS279" s="266">
        <f>IFERROR(__xludf.DUMMYFUNCTION("""COMPUTED_VALUE"""),10.0)</f>
        <v>10</v>
      </c>
      <c r="AT279" s="374" t="str">
        <f>IFERROR(__xludf.DUMMYFUNCTION("""COMPUTED_VALUE"""),"超持続型")</f>
        <v>超持続型</v>
      </c>
      <c r="AU279" s="375">
        <f>IFERROR(__xludf.DUMMYFUNCTION("""COMPUTED_VALUE"""),1.0)</f>
        <v>1</v>
      </c>
      <c r="AV279" s="376" t="str">
        <f>IFERROR(__xludf.DUMMYFUNCTION("""COMPUTED_VALUE"""),"効果値")</f>
        <v>効果値</v>
      </c>
      <c r="AW279" s="350" t="str">
        <f>IFERROR(__xludf.DUMMYFUNCTION("""COMPUTED_VALUE"""),"-")</f>
        <v>-</v>
      </c>
      <c r="AX279" s="348" t="str">
        <f>IFERROR(__xludf.DUMMYFUNCTION("""COMPUTED_VALUE"""),"-")</f>
        <v>-</v>
      </c>
      <c r="AY279" s="348" t="str">
        <f>IFERROR(__xludf.DUMMYFUNCTION("""COMPUTED_VALUE"""),"-")</f>
        <v>-</v>
      </c>
      <c r="AZ279" s="348" t="str">
        <f>IFERROR(__xludf.DUMMYFUNCTION("""COMPUTED_VALUE"""),"-")</f>
        <v>-</v>
      </c>
      <c r="BA279" s="348" t="str">
        <f>IFERROR(__xludf.DUMMYFUNCTION("""COMPUTED_VALUE"""),"-")</f>
        <v>-</v>
      </c>
      <c r="BB279" s="263">
        <f>IFERROR(__xludf.DUMMYFUNCTION("""COMPUTED_VALUE"""),5.0)</f>
        <v>5</v>
      </c>
      <c r="BC279" s="266">
        <f>IFERROR(__xludf.DUMMYFUNCTION("""COMPUTED_VALUE"""),10.0)</f>
        <v>10</v>
      </c>
      <c r="BD279" s="266">
        <f>IFERROR(__xludf.DUMMYFUNCTION("""COMPUTED_VALUE"""),10.0)</f>
        <v>10</v>
      </c>
      <c r="BE279" s="374" t="str">
        <f>IFERROR(__xludf.DUMMYFUNCTION("""COMPUTED_VALUE"""),"ハイブリッド型")</f>
        <v>ハイブリッド型</v>
      </c>
      <c r="BF279" s="375">
        <f>IFERROR(__xludf.DUMMYFUNCTION("""COMPUTED_VALUE"""),1.0)</f>
        <v>1</v>
      </c>
      <c r="BG279" s="376" t="str">
        <f>IFERROR(__xludf.DUMMYFUNCTION("""COMPUTED_VALUE"""),"効果値")</f>
        <v>効果値</v>
      </c>
      <c r="BH279" s="381">
        <f>IFERROR(__xludf.DUMMYFUNCTION("""COMPUTED_VALUE"""),10.0)</f>
        <v>10</v>
      </c>
      <c r="BI279" s="382">
        <f>IFERROR(__xludf.DUMMYFUNCTION("""COMPUTED_VALUE"""),10.0)</f>
        <v>10</v>
      </c>
      <c r="BJ279" s="382">
        <f>IFERROR(__xludf.DUMMYFUNCTION("""COMPUTED_VALUE"""),10.0)</f>
        <v>10</v>
      </c>
      <c r="BK279" s="382">
        <f>IFERROR(__xludf.DUMMYFUNCTION("""COMPUTED_VALUE"""),10.0)</f>
        <v>10</v>
      </c>
      <c r="BL279" s="382">
        <f>IFERROR(__xludf.DUMMYFUNCTION("""COMPUTED_VALUE"""),10.0)</f>
        <v>10</v>
      </c>
      <c r="BM279" s="382">
        <f>IFERROR(__xludf.DUMMYFUNCTION("""COMPUTED_VALUE"""),15.0)</f>
        <v>15</v>
      </c>
      <c r="BN279" s="382">
        <f>IFERROR(__xludf.DUMMYFUNCTION("""COMPUTED_VALUE"""),20.0)</f>
        <v>20</v>
      </c>
      <c r="BO279" s="383">
        <f>IFERROR(__xludf.DUMMYFUNCTION("""COMPUTED_VALUE"""),20.0)</f>
        <v>20</v>
      </c>
    </row>
    <row r="280">
      <c r="A280" s="434" t="str">
        <f>IFERROR(__xludf.DUMMYFUNCTION("""COMPUTED_VALUE"""),"攻撃力UP(テクニカル)")</f>
        <v>攻撃力UP(テクニカル)</v>
      </c>
      <c r="B280" s="385" t="str">
        <f>IFERROR(__xludf.DUMMYFUNCTION("""COMPUTED_VALUE"""),"超瞬間型")</f>
        <v>超瞬間型</v>
      </c>
      <c r="C280" s="386">
        <f>IFERROR(__xludf.DUMMYFUNCTION("""COMPUTED_VALUE"""),1.0)</f>
        <v>1</v>
      </c>
      <c r="D280" s="387" t="str">
        <f>IFERROR(__xludf.DUMMYFUNCTION("""COMPUTED_VALUE"""),"効果時間")</f>
        <v>効果時間</v>
      </c>
      <c r="E280" s="388" t="str">
        <f>IFERROR(__xludf.DUMMYFUNCTION("""COMPUTED_VALUE"""),"-")</f>
        <v>-</v>
      </c>
      <c r="F280" s="389" t="str">
        <f>IFERROR(__xludf.DUMMYFUNCTION("""COMPUTED_VALUE"""),"-")</f>
        <v>-</v>
      </c>
      <c r="G280" s="388" t="str">
        <f>IFERROR(__xludf.DUMMYFUNCTION("""COMPUTED_VALUE"""),"-")</f>
        <v>-</v>
      </c>
      <c r="H280" s="389" t="str">
        <f>IFERROR(__xludf.DUMMYFUNCTION("""COMPUTED_VALUE"""),"-")</f>
        <v>-</v>
      </c>
      <c r="I280" s="388" t="str">
        <f>IFERROR(__xludf.DUMMYFUNCTION("""COMPUTED_VALUE"""),"-")</f>
        <v>-</v>
      </c>
      <c r="J280" s="390">
        <f>IFERROR(__xludf.DUMMYFUNCTION("""COMPUTED_VALUE"""),150.0)</f>
        <v>150</v>
      </c>
      <c r="K280" s="391">
        <f>IFERROR(__xludf.DUMMYFUNCTION("""COMPUTED_VALUE"""),160.0)</f>
        <v>160</v>
      </c>
      <c r="L280" s="340">
        <f>IFERROR(__xludf.DUMMYFUNCTION("""COMPUTED_VALUE"""),160.0)</f>
        <v>160</v>
      </c>
      <c r="M280" s="385" t="str">
        <f>IFERROR(__xludf.DUMMYFUNCTION("""COMPUTED_VALUE"""),"瞬間型")</f>
        <v>瞬間型</v>
      </c>
      <c r="N280" s="386">
        <f>IFERROR(__xludf.DUMMYFUNCTION("""COMPUTED_VALUE"""),1.0)</f>
        <v>1</v>
      </c>
      <c r="O280" s="387" t="str">
        <f>IFERROR(__xludf.DUMMYFUNCTION("""COMPUTED_VALUE"""),"効果時間")</f>
        <v>効果時間</v>
      </c>
      <c r="P280" s="392">
        <f>IFERROR(__xludf.DUMMYFUNCTION("""COMPUTED_VALUE"""),150.0)</f>
        <v>150</v>
      </c>
      <c r="Q280" s="393">
        <f>IFERROR(__xludf.DUMMYFUNCTION("""COMPUTED_VALUE"""),150.0)</f>
        <v>150</v>
      </c>
      <c r="R280" s="393">
        <f>IFERROR(__xludf.DUMMYFUNCTION("""COMPUTED_VALUE"""),150.0)</f>
        <v>150</v>
      </c>
      <c r="S280" s="393">
        <f>IFERROR(__xludf.DUMMYFUNCTION("""COMPUTED_VALUE"""),150.0)</f>
        <v>150</v>
      </c>
      <c r="T280" s="393">
        <f>IFERROR(__xludf.DUMMYFUNCTION("""COMPUTED_VALUE"""),150.0)</f>
        <v>150</v>
      </c>
      <c r="U280" s="393">
        <f>IFERROR(__xludf.DUMMYFUNCTION("""COMPUTED_VALUE"""),150.0)</f>
        <v>150</v>
      </c>
      <c r="V280" s="393">
        <f>IFERROR(__xludf.DUMMYFUNCTION("""COMPUTED_VALUE"""),160.0)</f>
        <v>160</v>
      </c>
      <c r="W280" s="394">
        <f>IFERROR(__xludf.DUMMYFUNCTION("""COMPUTED_VALUE"""),160.0)</f>
        <v>160</v>
      </c>
      <c r="X280" s="385" t="str">
        <f>IFERROR(__xludf.DUMMYFUNCTION("""COMPUTED_VALUE"""),"安定型")</f>
        <v>安定型</v>
      </c>
      <c r="Y280" s="386">
        <f>IFERROR(__xludf.DUMMYFUNCTION("""COMPUTED_VALUE"""),1.0)</f>
        <v>1</v>
      </c>
      <c r="Z280" s="387" t="str">
        <f>IFERROR(__xludf.DUMMYFUNCTION("""COMPUTED_VALUE"""),"効果時間")</f>
        <v>効果時間</v>
      </c>
      <c r="AA280" s="392">
        <f>IFERROR(__xludf.DUMMYFUNCTION("""COMPUTED_VALUE"""),300.0)</f>
        <v>300</v>
      </c>
      <c r="AB280" s="393">
        <f>IFERROR(__xludf.DUMMYFUNCTION("""COMPUTED_VALUE"""),300.0)</f>
        <v>300</v>
      </c>
      <c r="AC280" s="393">
        <f>IFERROR(__xludf.DUMMYFUNCTION("""COMPUTED_VALUE"""),300.0)</f>
        <v>300</v>
      </c>
      <c r="AD280" s="393">
        <f>IFERROR(__xludf.DUMMYFUNCTION("""COMPUTED_VALUE"""),300.0)</f>
        <v>300</v>
      </c>
      <c r="AE280" s="393">
        <f>IFERROR(__xludf.DUMMYFUNCTION("""COMPUTED_VALUE"""),300.0)</f>
        <v>300</v>
      </c>
      <c r="AF280" s="393">
        <f>IFERROR(__xludf.DUMMYFUNCTION("""COMPUTED_VALUE"""),300.0)</f>
        <v>300</v>
      </c>
      <c r="AG280" s="393">
        <f>IFERROR(__xludf.DUMMYFUNCTION("""COMPUTED_VALUE"""),310.0)</f>
        <v>310</v>
      </c>
      <c r="AH280" s="394">
        <f>IFERROR(__xludf.DUMMYFUNCTION("""COMPUTED_VALUE"""),310.0)</f>
        <v>310</v>
      </c>
      <c r="AI280" s="385" t="str">
        <f>IFERROR(__xludf.DUMMYFUNCTION("""COMPUTED_VALUE"""),"持続型")</f>
        <v>持続型</v>
      </c>
      <c r="AJ280" s="386">
        <f>IFERROR(__xludf.DUMMYFUNCTION("""COMPUTED_VALUE"""),1.0)</f>
        <v>1</v>
      </c>
      <c r="AK280" s="387" t="str">
        <f>IFERROR(__xludf.DUMMYFUNCTION("""COMPUTED_VALUE"""),"効果時間")</f>
        <v>効果時間</v>
      </c>
      <c r="AL280" s="392">
        <f>IFERROR(__xludf.DUMMYFUNCTION("""COMPUTED_VALUE"""),450.0)</f>
        <v>450</v>
      </c>
      <c r="AM280" s="393">
        <f>IFERROR(__xludf.DUMMYFUNCTION("""COMPUTED_VALUE"""),450.0)</f>
        <v>450</v>
      </c>
      <c r="AN280" s="393">
        <f>IFERROR(__xludf.DUMMYFUNCTION("""COMPUTED_VALUE"""),450.0)</f>
        <v>450</v>
      </c>
      <c r="AO280" s="393">
        <f>IFERROR(__xludf.DUMMYFUNCTION("""COMPUTED_VALUE"""),450.0)</f>
        <v>450</v>
      </c>
      <c r="AP280" s="393">
        <f>IFERROR(__xludf.DUMMYFUNCTION("""COMPUTED_VALUE"""),450.0)</f>
        <v>450</v>
      </c>
      <c r="AQ280" s="393">
        <f>IFERROR(__xludf.DUMMYFUNCTION("""COMPUTED_VALUE"""),450.0)</f>
        <v>450</v>
      </c>
      <c r="AR280" s="393">
        <f>IFERROR(__xludf.DUMMYFUNCTION("""COMPUTED_VALUE"""),460.0)</f>
        <v>460</v>
      </c>
      <c r="AS280" s="394">
        <f>IFERROR(__xludf.DUMMYFUNCTION("""COMPUTED_VALUE"""),460.0)</f>
        <v>460</v>
      </c>
      <c r="AT280" s="385" t="str">
        <f>IFERROR(__xludf.DUMMYFUNCTION("""COMPUTED_VALUE"""),"超持続型")</f>
        <v>超持続型</v>
      </c>
      <c r="AU280" s="386">
        <f>IFERROR(__xludf.DUMMYFUNCTION("""COMPUTED_VALUE"""),1.0)</f>
        <v>1</v>
      </c>
      <c r="AV280" s="387" t="str">
        <f>IFERROR(__xludf.DUMMYFUNCTION("""COMPUTED_VALUE"""),"効果時間")</f>
        <v>効果時間</v>
      </c>
      <c r="AW280" s="395" t="str">
        <f>IFERROR(__xludf.DUMMYFUNCTION("""COMPUTED_VALUE"""),"-")</f>
        <v>-</v>
      </c>
      <c r="AX280" s="396" t="str">
        <f>IFERROR(__xludf.DUMMYFUNCTION("""COMPUTED_VALUE"""),"-")</f>
        <v>-</v>
      </c>
      <c r="AY280" s="396" t="str">
        <f>IFERROR(__xludf.DUMMYFUNCTION("""COMPUTED_VALUE"""),"-")</f>
        <v>-</v>
      </c>
      <c r="AZ280" s="396" t="str">
        <f>IFERROR(__xludf.DUMMYFUNCTION("""COMPUTED_VALUE"""),"-")</f>
        <v>-</v>
      </c>
      <c r="BA280" s="396" t="str">
        <f>IFERROR(__xludf.DUMMYFUNCTION("""COMPUTED_VALUE"""),"-")</f>
        <v>-</v>
      </c>
      <c r="BB280" s="393">
        <f>IFERROR(__xludf.DUMMYFUNCTION("""COMPUTED_VALUE"""),600.0)</f>
        <v>600</v>
      </c>
      <c r="BC280" s="393">
        <f>IFERROR(__xludf.DUMMYFUNCTION("""COMPUTED_VALUE"""),610.0)</f>
        <v>610</v>
      </c>
      <c r="BD280" s="394">
        <f>IFERROR(__xludf.DUMMYFUNCTION("""COMPUTED_VALUE"""),610.0)</f>
        <v>610</v>
      </c>
      <c r="BE280" s="385" t="str">
        <f>IFERROR(__xludf.DUMMYFUNCTION("""COMPUTED_VALUE"""),"ハイブリッド型")</f>
        <v>ハイブリッド型</v>
      </c>
      <c r="BF280" s="386">
        <f>IFERROR(__xludf.DUMMYFUNCTION("""COMPUTED_VALUE"""),1.0)</f>
        <v>1</v>
      </c>
      <c r="BG280" s="387" t="str">
        <f>IFERROR(__xludf.DUMMYFUNCTION("""COMPUTED_VALUE"""),"効果時間")</f>
        <v>効果時間</v>
      </c>
      <c r="BH280" s="397">
        <f>IFERROR(__xludf.DUMMYFUNCTION("""COMPUTED_VALUE"""),150.0)</f>
        <v>150</v>
      </c>
      <c r="BI280" s="397">
        <f>IFERROR(__xludf.DUMMYFUNCTION("""COMPUTED_VALUE"""),150.0)</f>
        <v>150</v>
      </c>
      <c r="BJ280" s="397">
        <f>IFERROR(__xludf.DUMMYFUNCTION("""COMPUTED_VALUE"""),150.0)</f>
        <v>150</v>
      </c>
      <c r="BK280" s="398">
        <f>IFERROR(__xludf.DUMMYFUNCTION("""COMPUTED_VALUE"""),150.0)</f>
        <v>150</v>
      </c>
      <c r="BL280" s="397">
        <f>IFERROR(__xludf.DUMMYFUNCTION("""COMPUTED_VALUE"""),150.0)</f>
        <v>150</v>
      </c>
      <c r="BM280" s="398">
        <f>IFERROR(__xludf.DUMMYFUNCTION("""COMPUTED_VALUE"""),350.0)</f>
        <v>350</v>
      </c>
      <c r="BN280" s="397">
        <f>IFERROR(__xludf.DUMMYFUNCTION("""COMPUTED_VALUE"""),460.0)</f>
        <v>460</v>
      </c>
      <c r="BO280" s="398">
        <f>IFERROR(__xludf.DUMMYFUNCTION("""COMPUTED_VALUE"""),460.0)</f>
        <v>460</v>
      </c>
    </row>
    <row r="281">
      <c r="A281" s="435" t="str">
        <f>IFERROR(__xludf.DUMMYFUNCTION("""COMPUTED_VALUE"""),"攻撃力UP(テクニカル)")</f>
        <v>攻撃力UP(テクニカル)</v>
      </c>
      <c r="B281" s="385" t="str">
        <f>IFERROR(__xludf.DUMMYFUNCTION("""COMPUTED_VALUE"""),"超瞬間型")</f>
        <v>超瞬間型</v>
      </c>
      <c r="C281" s="399">
        <f>IFERROR(__xludf.DUMMYFUNCTION("""COMPUTED_VALUE"""),2.0)</f>
        <v>2</v>
      </c>
      <c r="D281" s="400" t="str">
        <f>IFERROR(__xludf.DUMMYFUNCTION("""COMPUTED_VALUE"""),"効果値")</f>
        <v>効果値</v>
      </c>
      <c r="E281" s="401" t="str">
        <f>IFERROR(__xludf.DUMMYFUNCTION("""COMPUTED_VALUE"""),"-")</f>
        <v>-</v>
      </c>
      <c r="F281" s="401" t="str">
        <f>IFERROR(__xludf.DUMMYFUNCTION("""COMPUTED_VALUE"""),"-")</f>
        <v>-</v>
      </c>
      <c r="G281" s="401" t="str">
        <f>IFERROR(__xludf.DUMMYFUNCTION("""COMPUTED_VALUE"""),"-")</f>
        <v>-</v>
      </c>
      <c r="H281" s="401" t="str">
        <f>IFERROR(__xludf.DUMMYFUNCTION("""COMPUTED_VALUE"""),"-")</f>
        <v>-</v>
      </c>
      <c r="I281" s="401" t="str">
        <f>IFERROR(__xludf.DUMMYFUNCTION("""COMPUTED_VALUE"""),"-")</f>
        <v>-</v>
      </c>
      <c r="J281" s="318">
        <f>IFERROR(__xludf.DUMMYFUNCTION("""COMPUTED_VALUE"""),57.0)</f>
        <v>57</v>
      </c>
      <c r="K281" s="318">
        <f>IFERROR(__xludf.DUMMYFUNCTION("""COMPUTED_VALUE"""),67.0)</f>
        <v>67</v>
      </c>
      <c r="L281" s="318">
        <f>IFERROR(__xludf.DUMMYFUNCTION("""COMPUTED_VALUE"""),69.0)</f>
        <v>69</v>
      </c>
      <c r="M281" s="385" t="str">
        <f>IFERROR(__xludf.DUMMYFUNCTION("""COMPUTED_VALUE"""),"瞬間型")</f>
        <v>瞬間型</v>
      </c>
      <c r="N281" s="399">
        <f>IFERROR(__xludf.DUMMYFUNCTION("""COMPUTED_VALUE"""),2.0)</f>
        <v>2</v>
      </c>
      <c r="O281" s="400" t="str">
        <f>IFERROR(__xludf.DUMMYFUNCTION("""COMPUTED_VALUE"""),"効果値")</f>
        <v>効果値</v>
      </c>
      <c r="P281" s="343">
        <f>IFERROR(__xludf.DUMMYFUNCTION("""COMPUTED_VALUE"""),21.0)</f>
        <v>21</v>
      </c>
      <c r="Q281" s="402">
        <f>IFERROR(__xludf.DUMMYFUNCTION("""COMPUTED_VALUE"""),21.0)</f>
        <v>21</v>
      </c>
      <c r="R281" s="343">
        <f>IFERROR(__xludf.DUMMYFUNCTION("""COMPUTED_VALUE"""),22.0)</f>
        <v>22</v>
      </c>
      <c r="S281" s="402">
        <f>IFERROR(__xludf.DUMMYFUNCTION("""COMPUTED_VALUE"""),22.0)</f>
        <v>22</v>
      </c>
      <c r="T281" s="343">
        <f>IFERROR(__xludf.DUMMYFUNCTION("""COMPUTED_VALUE"""),22.0)</f>
        <v>22</v>
      </c>
      <c r="U281" s="343">
        <f>IFERROR(__xludf.DUMMYFUNCTION("""COMPUTED_VALUE"""),27.0)</f>
        <v>27</v>
      </c>
      <c r="V281" s="343">
        <f>IFERROR(__xludf.DUMMYFUNCTION("""COMPUTED_VALUE"""),32.0)</f>
        <v>32</v>
      </c>
      <c r="W281" s="343">
        <f>IFERROR(__xludf.DUMMYFUNCTION("""COMPUTED_VALUE"""),34.0)</f>
        <v>34</v>
      </c>
      <c r="X281" s="385" t="str">
        <f>IFERROR(__xludf.DUMMYFUNCTION("""COMPUTED_VALUE"""),"安定型")</f>
        <v>安定型</v>
      </c>
      <c r="Y281" s="399">
        <f>IFERROR(__xludf.DUMMYFUNCTION("""COMPUTED_VALUE"""),2.0)</f>
        <v>2</v>
      </c>
      <c r="Z281" s="400" t="str">
        <f>IFERROR(__xludf.DUMMYFUNCTION("""COMPUTED_VALUE"""),"効果値")</f>
        <v>効果値</v>
      </c>
      <c r="AA281" s="343">
        <f>IFERROR(__xludf.DUMMYFUNCTION("""COMPUTED_VALUE"""),11.0)</f>
        <v>11</v>
      </c>
      <c r="AB281" s="402">
        <f>IFERROR(__xludf.DUMMYFUNCTION("""COMPUTED_VALUE"""),11.0)</f>
        <v>11</v>
      </c>
      <c r="AC281" s="343">
        <f>IFERROR(__xludf.DUMMYFUNCTION("""COMPUTED_VALUE"""),12.0)</f>
        <v>12</v>
      </c>
      <c r="AD281" s="402">
        <f>IFERROR(__xludf.DUMMYFUNCTION("""COMPUTED_VALUE"""),12.0)</f>
        <v>12</v>
      </c>
      <c r="AE281" s="343">
        <f>IFERROR(__xludf.DUMMYFUNCTION("""COMPUTED_VALUE"""),12.0)</f>
        <v>12</v>
      </c>
      <c r="AF281" s="343">
        <f>IFERROR(__xludf.DUMMYFUNCTION("""COMPUTED_VALUE"""),12.0)</f>
        <v>12</v>
      </c>
      <c r="AG281" s="343">
        <f>IFERROR(__xludf.DUMMYFUNCTION("""COMPUTED_VALUE"""),17.0)</f>
        <v>17</v>
      </c>
      <c r="AH281" s="343">
        <f>IFERROR(__xludf.DUMMYFUNCTION("""COMPUTED_VALUE"""),19.0)</f>
        <v>19</v>
      </c>
      <c r="AI281" s="385" t="str">
        <f>IFERROR(__xludf.DUMMYFUNCTION("""COMPUTED_VALUE"""),"持続型")</f>
        <v>持続型</v>
      </c>
      <c r="AJ281" s="399">
        <f>IFERROR(__xludf.DUMMYFUNCTION("""COMPUTED_VALUE"""),2.0)</f>
        <v>2</v>
      </c>
      <c r="AK281" s="400" t="str">
        <f>IFERROR(__xludf.DUMMYFUNCTION("""COMPUTED_VALUE"""),"効果値")</f>
        <v>効果値</v>
      </c>
      <c r="AL281" s="343">
        <f>IFERROR(__xludf.DUMMYFUNCTION("""COMPUTED_VALUE"""),6.0)</f>
        <v>6</v>
      </c>
      <c r="AM281" s="402">
        <f>IFERROR(__xludf.DUMMYFUNCTION("""COMPUTED_VALUE"""),6.0)</f>
        <v>6</v>
      </c>
      <c r="AN281" s="343">
        <f>IFERROR(__xludf.DUMMYFUNCTION("""COMPUTED_VALUE"""),7.0)</f>
        <v>7</v>
      </c>
      <c r="AO281" s="402">
        <f>IFERROR(__xludf.DUMMYFUNCTION("""COMPUTED_VALUE"""),7.0)</f>
        <v>7</v>
      </c>
      <c r="AP281" s="343">
        <f>IFERROR(__xludf.DUMMYFUNCTION("""COMPUTED_VALUE"""),7.0)</f>
        <v>7</v>
      </c>
      <c r="AQ281" s="343">
        <f>IFERROR(__xludf.DUMMYFUNCTION("""COMPUTED_VALUE"""),7.0)</f>
        <v>7</v>
      </c>
      <c r="AR281" s="343">
        <f>IFERROR(__xludf.DUMMYFUNCTION("""COMPUTED_VALUE"""),11.0)</f>
        <v>11</v>
      </c>
      <c r="AS281" s="343">
        <f>IFERROR(__xludf.DUMMYFUNCTION("""COMPUTED_VALUE"""),11.0)</f>
        <v>11</v>
      </c>
      <c r="AT281" s="385" t="str">
        <f>IFERROR(__xludf.DUMMYFUNCTION("""COMPUTED_VALUE"""),"超持続型")</f>
        <v>超持続型</v>
      </c>
      <c r="AU281" s="399">
        <f>IFERROR(__xludf.DUMMYFUNCTION("""COMPUTED_VALUE"""),2.0)</f>
        <v>2</v>
      </c>
      <c r="AV281" s="400" t="str">
        <f>IFERROR(__xludf.DUMMYFUNCTION("""COMPUTED_VALUE"""),"効果値")</f>
        <v>効果値</v>
      </c>
      <c r="AW281" s="403" t="str">
        <f>IFERROR(__xludf.DUMMYFUNCTION("""COMPUTED_VALUE"""),"-")</f>
        <v>-</v>
      </c>
      <c r="AX281" s="403" t="str">
        <f>IFERROR(__xludf.DUMMYFUNCTION("""COMPUTED_VALUE"""),"-")</f>
        <v>-</v>
      </c>
      <c r="AY281" s="403" t="str">
        <f>IFERROR(__xludf.DUMMYFUNCTION("""COMPUTED_VALUE"""),"-")</f>
        <v>-</v>
      </c>
      <c r="AZ281" s="403" t="str">
        <f>IFERROR(__xludf.DUMMYFUNCTION("""COMPUTED_VALUE"""),"-")</f>
        <v>-</v>
      </c>
      <c r="BA281" s="403" t="str">
        <f>IFERROR(__xludf.DUMMYFUNCTION("""COMPUTED_VALUE"""),"-")</f>
        <v>-</v>
      </c>
      <c r="BB281" s="343">
        <f>IFERROR(__xludf.DUMMYFUNCTION("""COMPUTED_VALUE"""),7.0)</f>
        <v>7</v>
      </c>
      <c r="BC281" s="343">
        <f>IFERROR(__xludf.DUMMYFUNCTION("""COMPUTED_VALUE"""),11.0)</f>
        <v>11</v>
      </c>
      <c r="BD281" s="343">
        <f>IFERROR(__xludf.DUMMYFUNCTION("""COMPUTED_VALUE"""),11.0)</f>
        <v>11</v>
      </c>
      <c r="BE281" s="385" t="str">
        <f>IFERROR(__xludf.DUMMYFUNCTION("""COMPUTED_VALUE"""),"ハイブリッド型")</f>
        <v>ハイブリッド型</v>
      </c>
      <c r="BF281" s="399">
        <f>IFERROR(__xludf.DUMMYFUNCTION("""COMPUTED_VALUE"""),2.0)</f>
        <v>2</v>
      </c>
      <c r="BG281" s="400" t="str">
        <f>IFERROR(__xludf.DUMMYFUNCTION("""COMPUTED_VALUE"""),"効果値")</f>
        <v>効果値</v>
      </c>
      <c r="BH281" s="404">
        <f>IFERROR(__xludf.DUMMYFUNCTION("""COMPUTED_VALUE"""),10.8)</f>
        <v>10.8</v>
      </c>
      <c r="BI281" s="405">
        <f>IFERROR(__xludf.DUMMYFUNCTION("""COMPUTED_VALUE"""),11.2)</f>
        <v>11.2</v>
      </c>
      <c r="BJ281" s="405">
        <f>IFERROR(__xludf.DUMMYFUNCTION("""COMPUTED_VALUE"""),11.5)</f>
        <v>11.5</v>
      </c>
      <c r="BK281" s="405">
        <f>IFERROR(__xludf.DUMMYFUNCTION("""COMPUTED_VALUE"""),11.8)</f>
        <v>11.8</v>
      </c>
      <c r="BL281" s="405">
        <f>IFERROR(__xludf.DUMMYFUNCTION("""COMPUTED_VALUE"""),12.1)</f>
        <v>12.1</v>
      </c>
      <c r="BM281" s="405">
        <f>IFERROR(__xludf.DUMMYFUNCTION("""COMPUTED_VALUE"""),17.1)</f>
        <v>17.1</v>
      </c>
      <c r="BN281" s="405">
        <f>IFERROR(__xludf.DUMMYFUNCTION("""COMPUTED_VALUE"""),22.0)</f>
        <v>22</v>
      </c>
      <c r="BO281" s="406">
        <f>IFERROR(__xludf.DUMMYFUNCTION("""COMPUTED_VALUE"""),24.0)</f>
        <v>24</v>
      </c>
    </row>
    <row r="282">
      <c r="A282" s="435" t="str">
        <f>IFERROR(__xludf.DUMMYFUNCTION("""COMPUTED_VALUE"""),"攻撃力UP(テクニカル)")</f>
        <v>攻撃力UP(テクニカル)</v>
      </c>
      <c r="B282" s="385" t="str">
        <f>IFERROR(__xludf.DUMMYFUNCTION("""COMPUTED_VALUE"""),"超瞬間型")</f>
        <v>超瞬間型</v>
      </c>
      <c r="C282" s="386">
        <f>IFERROR(__xludf.DUMMYFUNCTION("""COMPUTED_VALUE"""),2.0)</f>
        <v>2</v>
      </c>
      <c r="D282" s="387" t="str">
        <f>IFERROR(__xludf.DUMMYFUNCTION("""COMPUTED_VALUE"""),"効果時間")</f>
        <v>効果時間</v>
      </c>
      <c r="E282" s="388" t="str">
        <f>IFERROR(__xludf.DUMMYFUNCTION("""COMPUTED_VALUE"""),"-")</f>
        <v>-</v>
      </c>
      <c r="F282" s="389" t="str">
        <f>IFERROR(__xludf.DUMMYFUNCTION("""COMPUTED_VALUE"""),"-")</f>
        <v>-</v>
      </c>
      <c r="G282" s="388" t="str">
        <f>IFERROR(__xludf.DUMMYFUNCTION("""COMPUTED_VALUE"""),"-")</f>
        <v>-</v>
      </c>
      <c r="H282" s="389" t="str">
        <f>IFERROR(__xludf.DUMMYFUNCTION("""COMPUTED_VALUE"""),"-")</f>
        <v>-</v>
      </c>
      <c r="I282" s="388" t="str">
        <f>IFERROR(__xludf.DUMMYFUNCTION("""COMPUTED_VALUE"""),"-")</f>
        <v>-</v>
      </c>
      <c r="J282" s="390">
        <f>IFERROR(__xludf.DUMMYFUNCTION("""COMPUTED_VALUE"""),150.0)</f>
        <v>150</v>
      </c>
      <c r="K282" s="391">
        <f>IFERROR(__xludf.DUMMYFUNCTION("""COMPUTED_VALUE"""),160.0)</f>
        <v>160</v>
      </c>
      <c r="L282" s="340">
        <f>IFERROR(__xludf.DUMMYFUNCTION("""COMPUTED_VALUE"""),170.0)</f>
        <v>170</v>
      </c>
      <c r="M282" s="385" t="str">
        <f>IFERROR(__xludf.DUMMYFUNCTION("""COMPUTED_VALUE"""),"瞬間型")</f>
        <v>瞬間型</v>
      </c>
      <c r="N282" s="386">
        <f>IFERROR(__xludf.DUMMYFUNCTION("""COMPUTED_VALUE"""),2.0)</f>
        <v>2</v>
      </c>
      <c r="O282" s="387" t="str">
        <f>IFERROR(__xludf.DUMMYFUNCTION("""COMPUTED_VALUE"""),"効果時間")</f>
        <v>効果時間</v>
      </c>
      <c r="P282" s="392">
        <f>IFERROR(__xludf.DUMMYFUNCTION("""COMPUTED_VALUE"""),160.0)</f>
        <v>160</v>
      </c>
      <c r="Q282" s="275">
        <f>IFERROR(__xludf.DUMMYFUNCTION("""COMPUTED_VALUE"""),165.0)</f>
        <v>165</v>
      </c>
      <c r="R282" s="280">
        <f>IFERROR(__xludf.DUMMYFUNCTION("""COMPUTED_VALUE"""),170.0)</f>
        <v>170</v>
      </c>
      <c r="S282" s="275">
        <f>IFERROR(__xludf.DUMMYFUNCTION("""COMPUTED_VALUE"""),175.0)</f>
        <v>175</v>
      </c>
      <c r="T282" s="280">
        <f>IFERROR(__xludf.DUMMYFUNCTION("""COMPUTED_VALUE"""),180.0)</f>
        <v>180</v>
      </c>
      <c r="U282" s="280">
        <f>IFERROR(__xludf.DUMMYFUNCTION("""COMPUTED_VALUE"""),180.0)</f>
        <v>180</v>
      </c>
      <c r="V282" s="280">
        <f>IFERROR(__xludf.DUMMYFUNCTION("""COMPUTED_VALUE"""),220.0)</f>
        <v>220</v>
      </c>
      <c r="W282" s="280">
        <f>IFERROR(__xludf.DUMMYFUNCTION("""COMPUTED_VALUE"""),230.0)</f>
        <v>230</v>
      </c>
      <c r="X282" s="385" t="str">
        <f>IFERROR(__xludf.DUMMYFUNCTION("""COMPUTED_VALUE"""),"安定型")</f>
        <v>安定型</v>
      </c>
      <c r="Y282" s="386">
        <f>IFERROR(__xludf.DUMMYFUNCTION("""COMPUTED_VALUE"""),2.0)</f>
        <v>2</v>
      </c>
      <c r="Z282" s="387" t="str">
        <f>IFERROR(__xludf.DUMMYFUNCTION("""COMPUTED_VALUE"""),"効果時間")</f>
        <v>効果時間</v>
      </c>
      <c r="AA282" s="392">
        <f>IFERROR(__xludf.DUMMYFUNCTION("""COMPUTED_VALUE"""),310.0)</f>
        <v>310</v>
      </c>
      <c r="AB282" s="275">
        <f>IFERROR(__xludf.DUMMYFUNCTION("""COMPUTED_VALUE"""),315.0)</f>
        <v>315</v>
      </c>
      <c r="AC282" s="280">
        <f>IFERROR(__xludf.DUMMYFUNCTION("""COMPUTED_VALUE"""),320.0)</f>
        <v>320</v>
      </c>
      <c r="AD282" s="275">
        <f>IFERROR(__xludf.DUMMYFUNCTION("""COMPUTED_VALUE"""),325.0)</f>
        <v>325</v>
      </c>
      <c r="AE282" s="280">
        <f>IFERROR(__xludf.DUMMYFUNCTION("""COMPUTED_VALUE"""),330.0)</f>
        <v>330</v>
      </c>
      <c r="AF282" s="280">
        <f>IFERROR(__xludf.DUMMYFUNCTION("""COMPUTED_VALUE"""),345.0)</f>
        <v>345</v>
      </c>
      <c r="AG282" s="280">
        <f>IFERROR(__xludf.DUMMYFUNCTION("""COMPUTED_VALUE"""),370.0)</f>
        <v>370</v>
      </c>
      <c r="AH282" s="280">
        <f>IFERROR(__xludf.DUMMYFUNCTION("""COMPUTED_VALUE"""),380.0)</f>
        <v>380</v>
      </c>
      <c r="AI282" s="385" t="str">
        <f>IFERROR(__xludf.DUMMYFUNCTION("""COMPUTED_VALUE"""),"持続型")</f>
        <v>持続型</v>
      </c>
      <c r="AJ282" s="386">
        <f>IFERROR(__xludf.DUMMYFUNCTION("""COMPUTED_VALUE"""),2.0)</f>
        <v>2</v>
      </c>
      <c r="AK282" s="387" t="str">
        <f>IFERROR(__xludf.DUMMYFUNCTION("""COMPUTED_VALUE"""),"効果時間")</f>
        <v>効果時間</v>
      </c>
      <c r="AL282" s="392">
        <f>IFERROR(__xludf.DUMMYFUNCTION("""COMPUTED_VALUE"""),460.0)</f>
        <v>460</v>
      </c>
      <c r="AM282" s="275">
        <f>IFERROR(__xludf.DUMMYFUNCTION("""COMPUTED_VALUE"""),465.0)</f>
        <v>465</v>
      </c>
      <c r="AN282" s="280">
        <f>IFERROR(__xludf.DUMMYFUNCTION("""COMPUTED_VALUE"""),470.0)</f>
        <v>470</v>
      </c>
      <c r="AO282" s="275">
        <f>IFERROR(__xludf.DUMMYFUNCTION("""COMPUTED_VALUE"""),475.0)</f>
        <v>475</v>
      </c>
      <c r="AP282" s="280">
        <f>IFERROR(__xludf.DUMMYFUNCTION("""COMPUTED_VALUE"""),480.0)</f>
        <v>480</v>
      </c>
      <c r="AQ282" s="280">
        <f>IFERROR(__xludf.DUMMYFUNCTION("""COMPUTED_VALUE"""),495.0)</f>
        <v>495</v>
      </c>
      <c r="AR282" s="280">
        <f>IFERROR(__xludf.DUMMYFUNCTION("""COMPUTED_VALUE"""),520.0)</f>
        <v>520</v>
      </c>
      <c r="AS282" s="280">
        <f>IFERROR(__xludf.DUMMYFUNCTION("""COMPUTED_VALUE"""),530.0)</f>
        <v>530</v>
      </c>
      <c r="AT282" s="385" t="str">
        <f>IFERROR(__xludf.DUMMYFUNCTION("""COMPUTED_VALUE"""),"超持続型")</f>
        <v>超持続型</v>
      </c>
      <c r="AU282" s="386">
        <f>IFERROR(__xludf.DUMMYFUNCTION("""COMPUTED_VALUE"""),2.0)</f>
        <v>2</v>
      </c>
      <c r="AV282" s="387" t="str">
        <f>IFERROR(__xludf.DUMMYFUNCTION("""COMPUTED_VALUE"""),"効果時間")</f>
        <v>効果時間</v>
      </c>
      <c r="AW282" s="368" t="str">
        <f>IFERROR(__xludf.DUMMYFUNCTION("""COMPUTED_VALUE"""),"-")</f>
        <v>-</v>
      </c>
      <c r="AX282" s="368" t="str">
        <f>IFERROR(__xludf.DUMMYFUNCTION("""COMPUTED_VALUE"""),"-")</f>
        <v>-</v>
      </c>
      <c r="AY282" s="368" t="str">
        <f>IFERROR(__xludf.DUMMYFUNCTION("""COMPUTED_VALUE"""),"-")</f>
        <v>-</v>
      </c>
      <c r="AZ282" s="368" t="str">
        <f>IFERROR(__xludf.DUMMYFUNCTION("""COMPUTED_VALUE"""),"-")</f>
        <v>-</v>
      </c>
      <c r="BA282" s="368" t="str">
        <f>IFERROR(__xludf.DUMMYFUNCTION("""COMPUTED_VALUE"""),"-")</f>
        <v>-</v>
      </c>
      <c r="BB282" s="280">
        <f>IFERROR(__xludf.DUMMYFUNCTION("""COMPUTED_VALUE"""),625.0)</f>
        <v>625</v>
      </c>
      <c r="BC282" s="280">
        <f>IFERROR(__xludf.DUMMYFUNCTION("""COMPUTED_VALUE"""),670.0)</f>
        <v>670</v>
      </c>
      <c r="BD282" s="280">
        <f>IFERROR(__xludf.DUMMYFUNCTION("""COMPUTED_VALUE"""),680.0)</f>
        <v>680</v>
      </c>
      <c r="BE282" s="385" t="str">
        <f>IFERROR(__xludf.DUMMYFUNCTION("""COMPUTED_VALUE"""),"ハイブリッド型")</f>
        <v>ハイブリッド型</v>
      </c>
      <c r="BF282" s="386">
        <f>IFERROR(__xludf.DUMMYFUNCTION("""COMPUTED_VALUE"""),2.0)</f>
        <v>2</v>
      </c>
      <c r="BG282" s="387" t="str">
        <f>IFERROR(__xludf.DUMMYFUNCTION("""COMPUTED_VALUE"""),"効果時間")</f>
        <v>効果時間</v>
      </c>
      <c r="BH282" s="407">
        <f>IFERROR(__xludf.DUMMYFUNCTION("""COMPUTED_VALUE"""),195.0)</f>
        <v>195</v>
      </c>
      <c r="BI282" s="407">
        <f>IFERROR(__xludf.DUMMYFUNCTION("""COMPUTED_VALUE"""),205.0)</f>
        <v>205</v>
      </c>
      <c r="BJ282" s="407">
        <f>IFERROR(__xludf.DUMMYFUNCTION("""COMPUTED_VALUE"""),205.0)</f>
        <v>205</v>
      </c>
      <c r="BK282" s="408">
        <f>IFERROR(__xludf.DUMMYFUNCTION("""COMPUTED_VALUE"""),210.0)</f>
        <v>210</v>
      </c>
      <c r="BL282" s="407">
        <f>IFERROR(__xludf.DUMMYFUNCTION("""COMPUTED_VALUE"""),215.0)</f>
        <v>215</v>
      </c>
      <c r="BM282" s="408">
        <f>IFERROR(__xludf.DUMMYFUNCTION("""COMPUTED_VALUE"""),375.0)</f>
        <v>375</v>
      </c>
      <c r="BN282" s="407">
        <f>IFERROR(__xludf.DUMMYFUNCTION("""COMPUTED_VALUE"""),480.0)</f>
        <v>480</v>
      </c>
      <c r="BO282" s="408">
        <f>IFERROR(__xludf.DUMMYFUNCTION("""COMPUTED_VALUE"""),490.0)</f>
        <v>490</v>
      </c>
    </row>
    <row r="283">
      <c r="A283" s="435" t="str">
        <f>IFERROR(__xludf.DUMMYFUNCTION("""COMPUTED_VALUE"""),"攻撃力UP(テクニカル)")</f>
        <v>攻撃力UP(テクニカル)</v>
      </c>
      <c r="B283" s="385" t="str">
        <f>IFERROR(__xludf.DUMMYFUNCTION("""COMPUTED_VALUE"""),"超瞬間型")</f>
        <v>超瞬間型</v>
      </c>
      <c r="C283" s="399">
        <f>IFERROR(__xludf.DUMMYFUNCTION("""COMPUTED_VALUE"""),3.0)</f>
        <v>3</v>
      </c>
      <c r="D283" s="400" t="str">
        <f>IFERROR(__xludf.DUMMYFUNCTION("""COMPUTED_VALUE"""),"効果値")</f>
        <v>効果値</v>
      </c>
      <c r="E283" s="401" t="str">
        <f>IFERROR(__xludf.DUMMYFUNCTION("""COMPUTED_VALUE"""),"-")</f>
        <v>-</v>
      </c>
      <c r="F283" s="409" t="str">
        <f>IFERROR(__xludf.DUMMYFUNCTION("""COMPUTED_VALUE"""),"-")</f>
        <v>-</v>
      </c>
      <c r="G283" s="401" t="str">
        <f>IFERROR(__xludf.DUMMYFUNCTION("""COMPUTED_VALUE"""),"-")</f>
        <v>-</v>
      </c>
      <c r="H283" s="409" t="str">
        <f>IFERROR(__xludf.DUMMYFUNCTION("""COMPUTED_VALUE"""),"-")</f>
        <v>-</v>
      </c>
      <c r="I283" s="409" t="str">
        <f>IFERROR(__xludf.DUMMYFUNCTION("""COMPUTED_VALUE"""),"-")</f>
        <v>-</v>
      </c>
      <c r="J283" s="410">
        <f>IFERROR(__xludf.DUMMYFUNCTION("""COMPUTED_VALUE"""),58.0)</f>
        <v>58</v>
      </c>
      <c r="K283" s="410">
        <f>IFERROR(__xludf.DUMMYFUNCTION("""COMPUTED_VALUE"""),68.0)</f>
        <v>68</v>
      </c>
      <c r="L283" s="410">
        <f>IFERROR(__xludf.DUMMYFUNCTION("""COMPUTED_VALUE"""),72.0)</f>
        <v>72</v>
      </c>
      <c r="M283" s="385" t="str">
        <f>IFERROR(__xludf.DUMMYFUNCTION("""COMPUTED_VALUE"""),"瞬間型")</f>
        <v>瞬間型</v>
      </c>
      <c r="N283" s="399">
        <f>IFERROR(__xludf.DUMMYFUNCTION("""COMPUTED_VALUE"""),3.0)</f>
        <v>3</v>
      </c>
      <c r="O283" s="400" t="str">
        <f>IFERROR(__xludf.DUMMYFUNCTION("""COMPUTED_VALUE"""),"効果値")</f>
        <v>効果値</v>
      </c>
      <c r="P283" s="343">
        <f>IFERROR(__xludf.DUMMYFUNCTION("""COMPUTED_VALUE"""),22.0)</f>
        <v>22</v>
      </c>
      <c r="Q283" s="402">
        <f>IFERROR(__xludf.DUMMYFUNCTION("""COMPUTED_VALUE"""),22.0)</f>
        <v>22</v>
      </c>
      <c r="R283" s="402">
        <f>IFERROR(__xludf.DUMMYFUNCTION("""COMPUTED_VALUE"""),23.0)</f>
        <v>23</v>
      </c>
      <c r="S283" s="402">
        <f>IFERROR(__xludf.DUMMYFUNCTION("""COMPUTED_VALUE"""),23.0)</f>
        <v>23</v>
      </c>
      <c r="T283" s="402">
        <f>IFERROR(__xludf.DUMMYFUNCTION("""COMPUTED_VALUE"""),23.0)</f>
        <v>23</v>
      </c>
      <c r="U283" s="402">
        <f>IFERROR(__xludf.DUMMYFUNCTION("""COMPUTED_VALUE"""),28.0)</f>
        <v>28</v>
      </c>
      <c r="V283" s="402">
        <f>IFERROR(__xludf.DUMMYFUNCTION("""COMPUTED_VALUE"""),33.0)</f>
        <v>33</v>
      </c>
      <c r="W283" s="402">
        <f>IFERROR(__xludf.DUMMYFUNCTION("""COMPUTED_VALUE"""),37.0)</f>
        <v>37</v>
      </c>
      <c r="X283" s="385" t="str">
        <f>IFERROR(__xludf.DUMMYFUNCTION("""COMPUTED_VALUE"""),"安定型")</f>
        <v>安定型</v>
      </c>
      <c r="Y283" s="399">
        <f>IFERROR(__xludf.DUMMYFUNCTION("""COMPUTED_VALUE"""),3.0)</f>
        <v>3</v>
      </c>
      <c r="Z283" s="400" t="str">
        <f>IFERROR(__xludf.DUMMYFUNCTION("""COMPUTED_VALUE"""),"効果値")</f>
        <v>効果値</v>
      </c>
      <c r="AA283" s="343">
        <f>IFERROR(__xludf.DUMMYFUNCTION("""COMPUTED_VALUE"""),12.0)</f>
        <v>12</v>
      </c>
      <c r="AB283" s="402">
        <f>IFERROR(__xludf.DUMMYFUNCTION("""COMPUTED_VALUE"""),12.0)</f>
        <v>12</v>
      </c>
      <c r="AC283" s="402">
        <f>IFERROR(__xludf.DUMMYFUNCTION("""COMPUTED_VALUE"""),13.0)</f>
        <v>13</v>
      </c>
      <c r="AD283" s="402">
        <f>IFERROR(__xludf.DUMMYFUNCTION("""COMPUTED_VALUE"""),13.0)</f>
        <v>13</v>
      </c>
      <c r="AE283" s="402">
        <f>IFERROR(__xludf.DUMMYFUNCTION("""COMPUTED_VALUE"""),13.0)</f>
        <v>13</v>
      </c>
      <c r="AF283" s="402">
        <f>IFERROR(__xludf.DUMMYFUNCTION("""COMPUTED_VALUE"""),13.0)</f>
        <v>13</v>
      </c>
      <c r="AG283" s="402">
        <f>IFERROR(__xludf.DUMMYFUNCTION("""COMPUTED_VALUE"""),18.0)</f>
        <v>18</v>
      </c>
      <c r="AH283" s="402">
        <f>IFERROR(__xludf.DUMMYFUNCTION("""COMPUTED_VALUE"""),22.0)</f>
        <v>22</v>
      </c>
      <c r="AI283" s="385" t="str">
        <f>IFERROR(__xludf.DUMMYFUNCTION("""COMPUTED_VALUE"""),"持続型")</f>
        <v>持続型</v>
      </c>
      <c r="AJ283" s="399">
        <f>IFERROR(__xludf.DUMMYFUNCTION("""COMPUTED_VALUE"""),3.0)</f>
        <v>3</v>
      </c>
      <c r="AK283" s="400" t="str">
        <f>IFERROR(__xludf.DUMMYFUNCTION("""COMPUTED_VALUE"""),"効果値")</f>
        <v>効果値</v>
      </c>
      <c r="AL283" s="343">
        <f>IFERROR(__xludf.DUMMYFUNCTION("""COMPUTED_VALUE"""),7.0)</f>
        <v>7</v>
      </c>
      <c r="AM283" s="402">
        <f>IFERROR(__xludf.DUMMYFUNCTION("""COMPUTED_VALUE"""),7.0)</f>
        <v>7</v>
      </c>
      <c r="AN283" s="402">
        <f>IFERROR(__xludf.DUMMYFUNCTION("""COMPUTED_VALUE"""),8.0)</f>
        <v>8</v>
      </c>
      <c r="AO283" s="402">
        <f>IFERROR(__xludf.DUMMYFUNCTION("""COMPUTED_VALUE"""),8.0)</f>
        <v>8</v>
      </c>
      <c r="AP283" s="402">
        <f>IFERROR(__xludf.DUMMYFUNCTION("""COMPUTED_VALUE"""),8.0)</f>
        <v>8</v>
      </c>
      <c r="AQ283" s="402">
        <f>IFERROR(__xludf.DUMMYFUNCTION("""COMPUTED_VALUE"""),8.0)</f>
        <v>8</v>
      </c>
      <c r="AR283" s="402">
        <f>IFERROR(__xludf.DUMMYFUNCTION("""COMPUTED_VALUE"""),11.0)</f>
        <v>11</v>
      </c>
      <c r="AS283" s="402">
        <f>IFERROR(__xludf.DUMMYFUNCTION("""COMPUTED_VALUE"""),11.0)</f>
        <v>11</v>
      </c>
      <c r="AT283" s="385" t="str">
        <f>IFERROR(__xludf.DUMMYFUNCTION("""COMPUTED_VALUE"""),"超持続型")</f>
        <v>超持続型</v>
      </c>
      <c r="AU283" s="399">
        <f>IFERROR(__xludf.DUMMYFUNCTION("""COMPUTED_VALUE"""),3.0)</f>
        <v>3</v>
      </c>
      <c r="AV283" s="400" t="str">
        <f>IFERROR(__xludf.DUMMYFUNCTION("""COMPUTED_VALUE"""),"効果値")</f>
        <v>効果値</v>
      </c>
      <c r="AW283" s="403" t="str">
        <f>IFERROR(__xludf.DUMMYFUNCTION("""COMPUTED_VALUE"""),"-")</f>
        <v>-</v>
      </c>
      <c r="AX283" s="403" t="str">
        <f>IFERROR(__xludf.DUMMYFUNCTION("""COMPUTED_VALUE"""),"-")</f>
        <v>-</v>
      </c>
      <c r="AY283" s="403" t="str">
        <f>IFERROR(__xludf.DUMMYFUNCTION("""COMPUTED_VALUE"""),"-")</f>
        <v>-</v>
      </c>
      <c r="AZ283" s="403" t="str">
        <f>IFERROR(__xludf.DUMMYFUNCTION("""COMPUTED_VALUE"""),"-")</f>
        <v>-</v>
      </c>
      <c r="BA283" s="403" t="str">
        <f>IFERROR(__xludf.DUMMYFUNCTION("""COMPUTED_VALUE"""),"-")</f>
        <v>-</v>
      </c>
      <c r="BB283" s="343">
        <f>IFERROR(__xludf.DUMMYFUNCTION("""COMPUTED_VALUE"""),8.0)</f>
        <v>8</v>
      </c>
      <c r="BC283" s="343">
        <f>IFERROR(__xludf.DUMMYFUNCTION("""COMPUTED_VALUE"""),11.0)</f>
        <v>11</v>
      </c>
      <c r="BD283" s="343">
        <f>IFERROR(__xludf.DUMMYFUNCTION("""COMPUTED_VALUE"""),11.0)</f>
        <v>11</v>
      </c>
      <c r="BE283" s="385" t="str">
        <f>IFERROR(__xludf.DUMMYFUNCTION("""COMPUTED_VALUE"""),"ハイブリッド型")</f>
        <v>ハイブリッド型</v>
      </c>
      <c r="BF283" s="399">
        <f>IFERROR(__xludf.DUMMYFUNCTION("""COMPUTED_VALUE"""),3.0)</f>
        <v>3</v>
      </c>
      <c r="BG283" s="400" t="str">
        <f>IFERROR(__xludf.DUMMYFUNCTION("""COMPUTED_VALUE"""),"効果値")</f>
        <v>効果値</v>
      </c>
      <c r="BH283" s="411">
        <f>IFERROR(__xludf.DUMMYFUNCTION("""COMPUTED_VALUE"""),11.4)</f>
        <v>11.4</v>
      </c>
      <c r="BI283" s="412">
        <f>IFERROR(__xludf.DUMMYFUNCTION("""COMPUTED_VALUE"""),11.9)</f>
        <v>11.9</v>
      </c>
      <c r="BJ283" s="412">
        <f>IFERROR(__xludf.DUMMYFUNCTION("""COMPUTED_VALUE"""),12.5)</f>
        <v>12.5</v>
      </c>
      <c r="BK283" s="412">
        <f>IFERROR(__xludf.DUMMYFUNCTION("""COMPUTED_VALUE"""),13.0)</f>
        <v>13</v>
      </c>
      <c r="BL283" s="412">
        <f>IFERROR(__xludf.DUMMYFUNCTION("""COMPUTED_VALUE"""),13.5)</f>
        <v>13.5</v>
      </c>
      <c r="BM283" s="412">
        <f>IFERROR(__xludf.DUMMYFUNCTION("""COMPUTED_VALUE"""),18.5)</f>
        <v>18.5</v>
      </c>
      <c r="BN283" s="412">
        <f>IFERROR(__xludf.DUMMYFUNCTION("""COMPUTED_VALUE"""),23.0)</f>
        <v>23</v>
      </c>
      <c r="BO283" s="413">
        <f>IFERROR(__xludf.DUMMYFUNCTION("""COMPUTED_VALUE"""),27.0)</f>
        <v>27</v>
      </c>
    </row>
    <row r="284">
      <c r="A284" s="435" t="str">
        <f>IFERROR(__xludf.DUMMYFUNCTION("""COMPUTED_VALUE"""),"攻撃力UP(テクニカル)")</f>
        <v>攻撃力UP(テクニカル)</v>
      </c>
      <c r="B284" s="385" t="str">
        <f>IFERROR(__xludf.DUMMYFUNCTION("""COMPUTED_VALUE"""),"超瞬間型")</f>
        <v>超瞬間型</v>
      </c>
      <c r="C284" s="386">
        <f>IFERROR(__xludf.DUMMYFUNCTION("""COMPUTED_VALUE"""),3.0)</f>
        <v>3</v>
      </c>
      <c r="D284" s="387" t="str">
        <f>IFERROR(__xludf.DUMMYFUNCTION("""COMPUTED_VALUE"""),"効果時間")</f>
        <v>効果時間</v>
      </c>
      <c r="E284" s="388" t="str">
        <f>IFERROR(__xludf.DUMMYFUNCTION("""COMPUTED_VALUE"""),"-")</f>
        <v>-</v>
      </c>
      <c r="F284" s="389" t="str">
        <f>IFERROR(__xludf.DUMMYFUNCTION("""COMPUTED_VALUE"""),"-")</f>
        <v>-</v>
      </c>
      <c r="G284" s="388" t="str">
        <f>IFERROR(__xludf.DUMMYFUNCTION("""COMPUTED_VALUE"""),"-")</f>
        <v>-</v>
      </c>
      <c r="H284" s="389" t="str">
        <f>IFERROR(__xludf.DUMMYFUNCTION("""COMPUTED_VALUE"""),"-")</f>
        <v>-</v>
      </c>
      <c r="I284" s="388" t="str">
        <f>IFERROR(__xludf.DUMMYFUNCTION("""COMPUTED_VALUE"""),"-")</f>
        <v>-</v>
      </c>
      <c r="J284" s="390">
        <f>IFERROR(__xludf.DUMMYFUNCTION("""COMPUTED_VALUE"""),155.0)</f>
        <v>155</v>
      </c>
      <c r="K284" s="391">
        <f>IFERROR(__xludf.DUMMYFUNCTION("""COMPUTED_VALUE"""),165.0)</f>
        <v>165</v>
      </c>
      <c r="L284" s="340">
        <f>IFERROR(__xludf.DUMMYFUNCTION("""COMPUTED_VALUE"""),185.0)</f>
        <v>185</v>
      </c>
      <c r="M284" s="385" t="str">
        <f>IFERROR(__xludf.DUMMYFUNCTION("""COMPUTED_VALUE"""),"瞬間型")</f>
        <v>瞬間型</v>
      </c>
      <c r="N284" s="386">
        <f>IFERROR(__xludf.DUMMYFUNCTION("""COMPUTED_VALUE"""),3.0)</f>
        <v>3</v>
      </c>
      <c r="O284" s="387" t="str">
        <f>IFERROR(__xludf.DUMMYFUNCTION("""COMPUTED_VALUE"""),"効果時間")</f>
        <v>効果時間</v>
      </c>
      <c r="P284" s="392">
        <f>IFERROR(__xludf.DUMMYFUNCTION("""COMPUTED_VALUE"""),165.0)</f>
        <v>165</v>
      </c>
      <c r="Q284" s="414">
        <f>IFERROR(__xludf.DUMMYFUNCTION("""COMPUTED_VALUE"""),175.0)</f>
        <v>175</v>
      </c>
      <c r="R284" s="415">
        <f>IFERROR(__xludf.DUMMYFUNCTION("""COMPUTED_VALUE"""),180.0)</f>
        <v>180</v>
      </c>
      <c r="S284" s="393">
        <f>IFERROR(__xludf.DUMMYFUNCTION("""COMPUTED_VALUE"""),185.0)</f>
        <v>185</v>
      </c>
      <c r="T284" s="393">
        <f>IFERROR(__xludf.DUMMYFUNCTION("""COMPUTED_VALUE"""),195.0)</f>
        <v>195</v>
      </c>
      <c r="U284" s="414">
        <f>IFERROR(__xludf.DUMMYFUNCTION("""COMPUTED_VALUE"""),200.0)</f>
        <v>200</v>
      </c>
      <c r="V284" s="416">
        <f>IFERROR(__xludf.DUMMYFUNCTION("""COMPUTED_VALUE"""),255.0)</f>
        <v>255</v>
      </c>
      <c r="W284" s="415">
        <f>IFERROR(__xludf.DUMMYFUNCTION("""COMPUTED_VALUE"""),270.0)</f>
        <v>270</v>
      </c>
      <c r="X284" s="385" t="str">
        <f>IFERROR(__xludf.DUMMYFUNCTION("""COMPUTED_VALUE"""),"安定型")</f>
        <v>安定型</v>
      </c>
      <c r="Y284" s="386">
        <f>IFERROR(__xludf.DUMMYFUNCTION("""COMPUTED_VALUE"""),3.0)</f>
        <v>3</v>
      </c>
      <c r="Z284" s="387" t="str">
        <f>IFERROR(__xludf.DUMMYFUNCTION("""COMPUTED_VALUE"""),"効果時間")</f>
        <v>効果時間</v>
      </c>
      <c r="AA284" s="392">
        <f>IFERROR(__xludf.DUMMYFUNCTION("""COMPUTED_VALUE"""),315.0)</f>
        <v>315</v>
      </c>
      <c r="AB284" s="414">
        <f>IFERROR(__xludf.DUMMYFUNCTION("""COMPUTED_VALUE"""),325.0)</f>
        <v>325</v>
      </c>
      <c r="AC284" s="415">
        <f>IFERROR(__xludf.DUMMYFUNCTION("""COMPUTED_VALUE"""),330.0)</f>
        <v>330</v>
      </c>
      <c r="AD284" s="393">
        <f>IFERROR(__xludf.DUMMYFUNCTION("""COMPUTED_VALUE"""),335.0)</f>
        <v>335</v>
      </c>
      <c r="AE284" s="393">
        <f>IFERROR(__xludf.DUMMYFUNCTION("""COMPUTED_VALUE"""),345.0)</f>
        <v>345</v>
      </c>
      <c r="AF284" s="414">
        <f>IFERROR(__xludf.DUMMYFUNCTION("""COMPUTED_VALUE"""),370.0)</f>
        <v>370</v>
      </c>
      <c r="AG284" s="416">
        <f>IFERROR(__xludf.DUMMYFUNCTION("""COMPUTED_VALUE"""),405.0)</f>
        <v>405</v>
      </c>
      <c r="AH284" s="415">
        <f>IFERROR(__xludf.DUMMYFUNCTION("""COMPUTED_VALUE"""),420.0)</f>
        <v>420</v>
      </c>
      <c r="AI284" s="385" t="str">
        <f>IFERROR(__xludf.DUMMYFUNCTION("""COMPUTED_VALUE"""),"持続型")</f>
        <v>持続型</v>
      </c>
      <c r="AJ284" s="386">
        <f>IFERROR(__xludf.DUMMYFUNCTION("""COMPUTED_VALUE"""),3.0)</f>
        <v>3</v>
      </c>
      <c r="AK284" s="387" t="str">
        <f>IFERROR(__xludf.DUMMYFUNCTION("""COMPUTED_VALUE"""),"効果時間")</f>
        <v>効果時間</v>
      </c>
      <c r="AL284" s="392">
        <f>IFERROR(__xludf.DUMMYFUNCTION("""COMPUTED_VALUE"""),465.0)</f>
        <v>465</v>
      </c>
      <c r="AM284" s="414">
        <f>IFERROR(__xludf.DUMMYFUNCTION("""COMPUTED_VALUE"""),475.0)</f>
        <v>475</v>
      </c>
      <c r="AN284" s="415">
        <f>IFERROR(__xludf.DUMMYFUNCTION("""COMPUTED_VALUE"""),480.0)</f>
        <v>480</v>
      </c>
      <c r="AO284" s="393">
        <f>IFERROR(__xludf.DUMMYFUNCTION("""COMPUTED_VALUE"""),485.0)</f>
        <v>485</v>
      </c>
      <c r="AP284" s="393">
        <f>IFERROR(__xludf.DUMMYFUNCTION("""COMPUTED_VALUE"""),495.0)</f>
        <v>495</v>
      </c>
      <c r="AQ284" s="414">
        <f>IFERROR(__xludf.DUMMYFUNCTION("""COMPUTED_VALUE"""),520.0)</f>
        <v>520</v>
      </c>
      <c r="AR284" s="416">
        <f>IFERROR(__xludf.DUMMYFUNCTION("""COMPUTED_VALUE"""),555.0)</f>
        <v>555</v>
      </c>
      <c r="AS284" s="415">
        <f>IFERROR(__xludf.DUMMYFUNCTION("""COMPUTED_VALUE"""),570.0)</f>
        <v>570</v>
      </c>
      <c r="AT284" s="385" t="str">
        <f>IFERROR(__xludf.DUMMYFUNCTION("""COMPUTED_VALUE"""),"超持続型")</f>
        <v>超持続型</v>
      </c>
      <c r="AU284" s="386">
        <f>IFERROR(__xludf.DUMMYFUNCTION("""COMPUTED_VALUE"""),3.0)</f>
        <v>3</v>
      </c>
      <c r="AV284" s="387" t="str">
        <f>IFERROR(__xludf.DUMMYFUNCTION("""COMPUTED_VALUE"""),"効果時間")</f>
        <v>効果時間</v>
      </c>
      <c r="AW284" s="368" t="str">
        <f>IFERROR(__xludf.DUMMYFUNCTION("""COMPUTED_VALUE"""),"-")</f>
        <v>-</v>
      </c>
      <c r="AX284" s="368" t="str">
        <f>IFERROR(__xludf.DUMMYFUNCTION("""COMPUTED_VALUE"""),"-")</f>
        <v>-</v>
      </c>
      <c r="AY284" s="368" t="str">
        <f>IFERROR(__xludf.DUMMYFUNCTION("""COMPUTED_VALUE"""),"-")</f>
        <v>-</v>
      </c>
      <c r="AZ284" s="368" t="str">
        <f>IFERROR(__xludf.DUMMYFUNCTION("""COMPUTED_VALUE"""),"-")</f>
        <v>-</v>
      </c>
      <c r="BA284" s="368" t="str">
        <f>IFERROR(__xludf.DUMMYFUNCTION("""COMPUTED_VALUE"""),"-")</f>
        <v>-</v>
      </c>
      <c r="BB284" s="280">
        <f>IFERROR(__xludf.DUMMYFUNCTION("""COMPUTED_VALUE"""),635.0)</f>
        <v>635</v>
      </c>
      <c r="BC284" s="280">
        <f>IFERROR(__xludf.DUMMYFUNCTION("""COMPUTED_VALUE"""),705.0)</f>
        <v>705</v>
      </c>
      <c r="BD284" s="280">
        <f>IFERROR(__xludf.DUMMYFUNCTION("""COMPUTED_VALUE"""),720.0)</f>
        <v>720</v>
      </c>
      <c r="BE284" s="385" t="str">
        <f>IFERROR(__xludf.DUMMYFUNCTION("""COMPUTED_VALUE"""),"ハイブリッド型")</f>
        <v>ハイブリッド型</v>
      </c>
      <c r="BF284" s="386">
        <f>IFERROR(__xludf.DUMMYFUNCTION("""COMPUTED_VALUE"""),3.0)</f>
        <v>3</v>
      </c>
      <c r="BG284" s="387" t="str">
        <f>IFERROR(__xludf.DUMMYFUNCTION("""COMPUTED_VALUE"""),"効果時間")</f>
        <v>効果時間</v>
      </c>
      <c r="BH284" s="407">
        <f>IFERROR(__xludf.DUMMYFUNCTION("""COMPUTED_VALUE"""),220.0)</f>
        <v>220</v>
      </c>
      <c r="BI284" s="407">
        <f>IFERROR(__xludf.DUMMYFUNCTION("""COMPUTED_VALUE"""),235.0)</f>
        <v>235</v>
      </c>
      <c r="BJ284" s="407">
        <f>IFERROR(__xludf.DUMMYFUNCTION("""COMPUTED_VALUE"""),240.0)</f>
        <v>240</v>
      </c>
      <c r="BK284" s="408">
        <f>IFERROR(__xludf.DUMMYFUNCTION("""COMPUTED_VALUE"""),250.0)</f>
        <v>250</v>
      </c>
      <c r="BL284" s="407">
        <f>IFERROR(__xludf.DUMMYFUNCTION("""COMPUTED_VALUE"""),255.0)</f>
        <v>255</v>
      </c>
      <c r="BM284" s="408">
        <f>IFERROR(__xludf.DUMMYFUNCTION("""COMPUTED_VALUE"""),385.0)</f>
        <v>385</v>
      </c>
      <c r="BN284" s="407">
        <f>IFERROR(__xludf.DUMMYFUNCTION("""COMPUTED_VALUE"""),490.0)</f>
        <v>490</v>
      </c>
      <c r="BO284" s="408">
        <f>IFERROR(__xludf.DUMMYFUNCTION("""COMPUTED_VALUE"""),505.0)</f>
        <v>505</v>
      </c>
    </row>
    <row r="285">
      <c r="A285" s="435" t="str">
        <f>IFERROR(__xludf.DUMMYFUNCTION("""COMPUTED_VALUE"""),"攻撃力UP(テクニカル)")</f>
        <v>攻撃力UP(テクニカル)</v>
      </c>
      <c r="B285" s="385" t="str">
        <f>IFERROR(__xludf.DUMMYFUNCTION("""COMPUTED_VALUE"""),"超瞬間型")</f>
        <v>超瞬間型</v>
      </c>
      <c r="C285" s="399">
        <f>IFERROR(__xludf.DUMMYFUNCTION("""COMPUTED_VALUE"""),4.0)</f>
        <v>4</v>
      </c>
      <c r="D285" s="400" t="str">
        <f>IFERROR(__xludf.DUMMYFUNCTION("""COMPUTED_VALUE"""),"効果値")</f>
        <v>効果値</v>
      </c>
      <c r="E285" s="401" t="str">
        <f>IFERROR(__xludf.DUMMYFUNCTION("""COMPUTED_VALUE"""),"-")</f>
        <v>-</v>
      </c>
      <c r="F285" s="409" t="str">
        <f>IFERROR(__xludf.DUMMYFUNCTION("""COMPUTED_VALUE"""),"-")</f>
        <v>-</v>
      </c>
      <c r="G285" s="409" t="str">
        <f>IFERROR(__xludf.DUMMYFUNCTION("""COMPUTED_VALUE"""),"-")</f>
        <v>-</v>
      </c>
      <c r="H285" s="409" t="str">
        <f>IFERROR(__xludf.DUMMYFUNCTION("""COMPUTED_VALUE"""),"-")</f>
        <v>-</v>
      </c>
      <c r="I285" s="409" t="str">
        <f>IFERROR(__xludf.DUMMYFUNCTION("""COMPUTED_VALUE"""),"-")</f>
        <v>-</v>
      </c>
      <c r="J285" s="410">
        <f>IFERROR(__xludf.DUMMYFUNCTION("""COMPUTED_VALUE"""),59.0)</f>
        <v>59</v>
      </c>
      <c r="K285" s="410">
        <f>IFERROR(__xludf.DUMMYFUNCTION("""COMPUTED_VALUE"""),69.0)</f>
        <v>69</v>
      </c>
      <c r="L285" s="410">
        <f>IFERROR(__xludf.DUMMYFUNCTION("""COMPUTED_VALUE"""),74.0)</f>
        <v>74</v>
      </c>
      <c r="M285" s="385" t="str">
        <f>IFERROR(__xludf.DUMMYFUNCTION("""COMPUTED_VALUE"""),"瞬間型")</f>
        <v>瞬間型</v>
      </c>
      <c r="N285" s="399">
        <f>IFERROR(__xludf.DUMMYFUNCTION("""COMPUTED_VALUE"""),4.0)</f>
        <v>4</v>
      </c>
      <c r="O285" s="400" t="str">
        <f>IFERROR(__xludf.DUMMYFUNCTION("""COMPUTED_VALUE"""),"効果値")</f>
        <v>効果値</v>
      </c>
      <c r="P285" s="343">
        <f>IFERROR(__xludf.DUMMYFUNCTION("""COMPUTED_VALUE"""),23.0)</f>
        <v>23</v>
      </c>
      <c r="Q285" s="402">
        <f>IFERROR(__xludf.DUMMYFUNCTION("""COMPUTED_VALUE"""),23.0)</f>
        <v>23</v>
      </c>
      <c r="R285" s="343">
        <f>IFERROR(__xludf.DUMMYFUNCTION("""COMPUTED_VALUE"""),23.0)</f>
        <v>23</v>
      </c>
      <c r="S285" s="402">
        <f>IFERROR(__xludf.DUMMYFUNCTION("""COMPUTED_VALUE"""),23.0)</f>
        <v>23</v>
      </c>
      <c r="T285" s="343">
        <f>IFERROR(__xludf.DUMMYFUNCTION("""COMPUTED_VALUE"""),23.0)</f>
        <v>23</v>
      </c>
      <c r="U285" s="343">
        <f>IFERROR(__xludf.DUMMYFUNCTION("""COMPUTED_VALUE"""),29.0)</f>
        <v>29</v>
      </c>
      <c r="V285" s="343">
        <f>IFERROR(__xludf.DUMMYFUNCTION("""COMPUTED_VALUE"""),34.0)</f>
        <v>34</v>
      </c>
      <c r="W285" s="343">
        <f>IFERROR(__xludf.DUMMYFUNCTION("""COMPUTED_VALUE"""),39.0)</f>
        <v>39</v>
      </c>
      <c r="X285" s="385" t="str">
        <f>IFERROR(__xludf.DUMMYFUNCTION("""COMPUTED_VALUE"""),"安定型")</f>
        <v>安定型</v>
      </c>
      <c r="Y285" s="399">
        <f>IFERROR(__xludf.DUMMYFUNCTION("""COMPUTED_VALUE"""),4.0)</f>
        <v>4</v>
      </c>
      <c r="Z285" s="400" t="str">
        <f>IFERROR(__xludf.DUMMYFUNCTION("""COMPUTED_VALUE"""),"効果値")</f>
        <v>効果値</v>
      </c>
      <c r="AA285" s="343">
        <f>IFERROR(__xludf.DUMMYFUNCTION("""COMPUTED_VALUE"""),13.0)</f>
        <v>13</v>
      </c>
      <c r="AB285" s="402">
        <f>IFERROR(__xludf.DUMMYFUNCTION("""COMPUTED_VALUE"""),13.0)</f>
        <v>13</v>
      </c>
      <c r="AC285" s="343">
        <f>IFERROR(__xludf.DUMMYFUNCTION("""COMPUTED_VALUE"""),13.0)</f>
        <v>13</v>
      </c>
      <c r="AD285" s="402">
        <f>IFERROR(__xludf.DUMMYFUNCTION("""COMPUTED_VALUE"""),13.0)</f>
        <v>13</v>
      </c>
      <c r="AE285" s="343">
        <f>IFERROR(__xludf.DUMMYFUNCTION("""COMPUTED_VALUE"""),13.0)</f>
        <v>13</v>
      </c>
      <c r="AF285" s="343">
        <f>IFERROR(__xludf.DUMMYFUNCTION("""COMPUTED_VALUE"""),14.0)</f>
        <v>14</v>
      </c>
      <c r="AG285" s="343">
        <f>IFERROR(__xludf.DUMMYFUNCTION("""COMPUTED_VALUE"""),19.0)</f>
        <v>19</v>
      </c>
      <c r="AH285" s="343">
        <f>IFERROR(__xludf.DUMMYFUNCTION("""COMPUTED_VALUE"""),24.0)</f>
        <v>24</v>
      </c>
      <c r="AI285" s="385" t="str">
        <f>IFERROR(__xludf.DUMMYFUNCTION("""COMPUTED_VALUE"""),"持続型")</f>
        <v>持続型</v>
      </c>
      <c r="AJ285" s="399">
        <f>IFERROR(__xludf.DUMMYFUNCTION("""COMPUTED_VALUE"""),4.0)</f>
        <v>4</v>
      </c>
      <c r="AK285" s="400" t="str">
        <f>IFERROR(__xludf.DUMMYFUNCTION("""COMPUTED_VALUE"""),"効果値")</f>
        <v>効果値</v>
      </c>
      <c r="AL285" s="343">
        <f>IFERROR(__xludf.DUMMYFUNCTION("""COMPUTED_VALUE"""),8.0)</f>
        <v>8</v>
      </c>
      <c r="AM285" s="402">
        <f>IFERROR(__xludf.DUMMYFUNCTION("""COMPUTED_VALUE"""),8.0)</f>
        <v>8</v>
      </c>
      <c r="AN285" s="343">
        <f>IFERROR(__xludf.DUMMYFUNCTION("""COMPUTED_VALUE"""),8.0)</f>
        <v>8</v>
      </c>
      <c r="AO285" s="402">
        <f>IFERROR(__xludf.DUMMYFUNCTION("""COMPUTED_VALUE"""),8.0)</f>
        <v>8</v>
      </c>
      <c r="AP285" s="343">
        <f>IFERROR(__xludf.DUMMYFUNCTION("""COMPUTED_VALUE"""),8.0)</f>
        <v>8</v>
      </c>
      <c r="AQ285" s="343">
        <f>IFERROR(__xludf.DUMMYFUNCTION("""COMPUTED_VALUE"""),9.0)</f>
        <v>9</v>
      </c>
      <c r="AR285" s="343">
        <f>IFERROR(__xludf.DUMMYFUNCTION("""COMPUTED_VALUE"""),12.0)</f>
        <v>12</v>
      </c>
      <c r="AS285" s="343">
        <f>IFERROR(__xludf.DUMMYFUNCTION("""COMPUTED_VALUE"""),12.0)</f>
        <v>12</v>
      </c>
      <c r="AT285" s="385" t="str">
        <f>IFERROR(__xludf.DUMMYFUNCTION("""COMPUTED_VALUE"""),"超持続型")</f>
        <v>超持続型</v>
      </c>
      <c r="AU285" s="399">
        <f>IFERROR(__xludf.DUMMYFUNCTION("""COMPUTED_VALUE"""),4.0)</f>
        <v>4</v>
      </c>
      <c r="AV285" s="400" t="str">
        <f>IFERROR(__xludf.DUMMYFUNCTION("""COMPUTED_VALUE"""),"効果値")</f>
        <v>効果値</v>
      </c>
      <c r="AW285" s="403" t="str">
        <f>IFERROR(__xludf.DUMMYFUNCTION("""COMPUTED_VALUE"""),"-")</f>
        <v>-</v>
      </c>
      <c r="AX285" s="403" t="str">
        <f>IFERROR(__xludf.DUMMYFUNCTION("""COMPUTED_VALUE"""),"-")</f>
        <v>-</v>
      </c>
      <c r="AY285" s="403" t="str">
        <f>IFERROR(__xludf.DUMMYFUNCTION("""COMPUTED_VALUE"""),"-")</f>
        <v>-</v>
      </c>
      <c r="AZ285" s="403" t="str">
        <f>IFERROR(__xludf.DUMMYFUNCTION("""COMPUTED_VALUE"""),"-")</f>
        <v>-</v>
      </c>
      <c r="BA285" s="403" t="str">
        <f>IFERROR(__xludf.DUMMYFUNCTION("""COMPUTED_VALUE"""),"-")</f>
        <v>-</v>
      </c>
      <c r="BB285" s="343">
        <f>IFERROR(__xludf.DUMMYFUNCTION("""COMPUTED_VALUE"""),9.0)</f>
        <v>9</v>
      </c>
      <c r="BC285" s="343">
        <f>IFERROR(__xludf.DUMMYFUNCTION("""COMPUTED_VALUE"""),12.0)</f>
        <v>12</v>
      </c>
      <c r="BD285" s="343">
        <f>IFERROR(__xludf.DUMMYFUNCTION("""COMPUTED_VALUE"""),12.0)</f>
        <v>12</v>
      </c>
      <c r="BE285" s="385" t="str">
        <f>IFERROR(__xludf.DUMMYFUNCTION("""COMPUTED_VALUE"""),"ハイブリッド型")</f>
        <v>ハイブリッド型</v>
      </c>
      <c r="BF285" s="399">
        <f>IFERROR(__xludf.DUMMYFUNCTION("""COMPUTED_VALUE"""),4.0)</f>
        <v>4</v>
      </c>
      <c r="BG285" s="400" t="str">
        <f>IFERROR(__xludf.DUMMYFUNCTION("""COMPUTED_VALUE"""),"効果値")</f>
        <v>効果値</v>
      </c>
      <c r="BH285" s="411">
        <f>IFERROR(__xludf.DUMMYFUNCTION("""COMPUTED_VALUE"""),11.8)</f>
        <v>11.8</v>
      </c>
      <c r="BI285" s="412">
        <f>IFERROR(__xludf.DUMMYFUNCTION("""COMPUTED_VALUE"""),12.4)</f>
        <v>12.4</v>
      </c>
      <c r="BJ285" s="412">
        <f>IFERROR(__xludf.DUMMYFUNCTION("""COMPUTED_VALUE"""),13.1)</f>
        <v>13.1</v>
      </c>
      <c r="BK285" s="412">
        <f>IFERROR(__xludf.DUMMYFUNCTION("""COMPUTED_VALUE"""),13.7)</f>
        <v>13.7</v>
      </c>
      <c r="BL285" s="412">
        <f>IFERROR(__xludf.DUMMYFUNCTION("""COMPUTED_VALUE"""),14.4)</f>
        <v>14.4</v>
      </c>
      <c r="BM285" s="412">
        <f>IFERROR(__xludf.DUMMYFUNCTION("""COMPUTED_VALUE"""),19.4)</f>
        <v>19.4</v>
      </c>
      <c r="BN285" s="412">
        <f>IFERROR(__xludf.DUMMYFUNCTION("""COMPUTED_VALUE"""),24.0)</f>
        <v>24</v>
      </c>
      <c r="BO285" s="413">
        <f>IFERROR(__xludf.DUMMYFUNCTION("""COMPUTED_VALUE"""),29.0)</f>
        <v>29</v>
      </c>
    </row>
    <row r="286">
      <c r="A286" s="435" t="str">
        <f>IFERROR(__xludf.DUMMYFUNCTION("""COMPUTED_VALUE"""),"攻撃力UP(テクニカル)")</f>
        <v>攻撃力UP(テクニカル)</v>
      </c>
      <c r="B286" s="385" t="str">
        <f>IFERROR(__xludf.DUMMYFUNCTION("""COMPUTED_VALUE"""),"超瞬間型")</f>
        <v>超瞬間型</v>
      </c>
      <c r="C286" s="386">
        <f>IFERROR(__xludf.DUMMYFUNCTION("""COMPUTED_VALUE"""),4.0)</f>
        <v>4</v>
      </c>
      <c r="D286" s="387" t="str">
        <f>IFERROR(__xludf.DUMMYFUNCTION("""COMPUTED_VALUE"""),"効果時間")</f>
        <v>効果時間</v>
      </c>
      <c r="E286" s="388" t="str">
        <f>IFERROR(__xludf.DUMMYFUNCTION("""COMPUTED_VALUE"""),"-")</f>
        <v>-</v>
      </c>
      <c r="F286" s="389" t="str">
        <f>IFERROR(__xludf.DUMMYFUNCTION("""COMPUTED_VALUE"""),"-")</f>
        <v>-</v>
      </c>
      <c r="G286" s="388" t="str">
        <f>IFERROR(__xludf.DUMMYFUNCTION("""COMPUTED_VALUE"""),"-")</f>
        <v>-</v>
      </c>
      <c r="H286" s="389" t="str">
        <f>IFERROR(__xludf.DUMMYFUNCTION("""COMPUTED_VALUE"""),"-")</f>
        <v>-</v>
      </c>
      <c r="I286" s="388" t="str">
        <f>IFERROR(__xludf.DUMMYFUNCTION("""COMPUTED_VALUE"""),"-")</f>
        <v>-</v>
      </c>
      <c r="J286" s="390">
        <f>IFERROR(__xludf.DUMMYFUNCTION("""COMPUTED_VALUE"""),155.0)</f>
        <v>155</v>
      </c>
      <c r="K286" s="391">
        <f>IFERROR(__xludf.DUMMYFUNCTION("""COMPUTED_VALUE"""),170.0)</f>
        <v>170</v>
      </c>
      <c r="L286" s="340">
        <f>IFERROR(__xludf.DUMMYFUNCTION("""COMPUTED_VALUE"""),195.0)</f>
        <v>195</v>
      </c>
      <c r="M286" s="385" t="str">
        <f>IFERROR(__xludf.DUMMYFUNCTION("""COMPUTED_VALUE"""),"瞬間型")</f>
        <v>瞬間型</v>
      </c>
      <c r="N286" s="386">
        <f>IFERROR(__xludf.DUMMYFUNCTION("""COMPUTED_VALUE"""),4.0)</f>
        <v>4</v>
      </c>
      <c r="O286" s="387" t="str">
        <f>IFERROR(__xludf.DUMMYFUNCTION("""COMPUTED_VALUE"""),"効果時間")</f>
        <v>効果時間</v>
      </c>
      <c r="P286" s="280">
        <f>IFERROR(__xludf.DUMMYFUNCTION("""COMPUTED_VALUE"""),170.0)</f>
        <v>170</v>
      </c>
      <c r="Q286" s="275">
        <f>IFERROR(__xludf.DUMMYFUNCTION("""COMPUTED_VALUE"""),180.0)</f>
        <v>180</v>
      </c>
      <c r="R286" s="280">
        <f>IFERROR(__xludf.DUMMYFUNCTION("""COMPUTED_VALUE"""),185.0)</f>
        <v>185</v>
      </c>
      <c r="S286" s="275">
        <f>IFERROR(__xludf.DUMMYFUNCTION("""COMPUTED_VALUE"""),195.0)</f>
        <v>195</v>
      </c>
      <c r="T286" s="280">
        <f>IFERROR(__xludf.DUMMYFUNCTION("""COMPUTED_VALUE"""),200.0)</f>
        <v>200</v>
      </c>
      <c r="U286" s="280">
        <f>IFERROR(__xludf.DUMMYFUNCTION("""COMPUTED_VALUE"""),215.0)</f>
        <v>215</v>
      </c>
      <c r="V286" s="280">
        <f>IFERROR(__xludf.DUMMYFUNCTION("""COMPUTED_VALUE"""),285.0)</f>
        <v>285</v>
      </c>
      <c r="W286" s="280">
        <f>IFERROR(__xludf.DUMMYFUNCTION("""COMPUTED_VALUE"""),305.0)</f>
        <v>305</v>
      </c>
      <c r="X286" s="385" t="str">
        <f>IFERROR(__xludf.DUMMYFUNCTION("""COMPUTED_VALUE"""),"安定型")</f>
        <v>安定型</v>
      </c>
      <c r="Y286" s="386">
        <f>IFERROR(__xludf.DUMMYFUNCTION("""COMPUTED_VALUE"""),4.0)</f>
        <v>4</v>
      </c>
      <c r="Z286" s="387" t="str">
        <f>IFERROR(__xludf.DUMMYFUNCTION("""COMPUTED_VALUE"""),"効果時間")</f>
        <v>効果時間</v>
      </c>
      <c r="AA286" s="280">
        <f>IFERROR(__xludf.DUMMYFUNCTION("""COMPUTED_VALUE"""),320.0)</f>
        <v>320</v>
      </c>
      <c r="AB286" s="275">
        <f>IFERROR(__xludf.DUMMYFUNCTION("""COMPUTED_VALUE"""),330.0)</f>
        <v>330</v>
      </c>
      <c r="AC286" s="280">
        <f>IFERROR(__xludf.DUMMYFUNCTION("""COMPUTED_VALUE"""),335.0)</f>
        <v>335</v>
      </c>
      <c r="AD286" s="275">
        <f>IFERROR(__xludf.DUMMYFUNCTION("""COMPUTED_VALUE"""),345.0)</f>
        <v>345</v>
      </c>
      <c r="AE286" s="280">
        <f>IFERROR(__xludf.DUMMYFUNCTION("""COMPUTED_VALUE"""),350.0)</f>
        <v>350</v>
      </c>
      <c r="AF286" s="280">
        <f>IFERROR(__xludf.DUMMYFUNCTION("""COMPUTED_VALUE"""),390.0)</f>
        <v>390</v>
      </c>
      <c r="AG286" s="280">
        <f>IFERROR(__xludf.DUMMYFUNCTION("""COMPUTED_VALUE"""),435.0)</f>
        <v>435</v>
      </c>
      <c r="AH286" s="280">
        <f>IFERROR(__xludf.DUMMYFUNCTION("""COMPUTED_VALUE"""),455.0)</f>
        <v>455</v>
      </c>
      <c r="AI286" s="385" t="str">
        <f>IFERROR(__xludf.DUMMYFUNCTION("""COMPUTED_VALUE"""),"持続型")</f>
        <v>持続型</v>
      </c>
      <c r="AJ286" s="386">
        <f>IFERROR(__xludf.DUMMYFUNCTION("""COMPUTED_VALUE"""),4.0)</f>
        <v>4</v>
      </c>
      <c r="AK286" s="387" t="str">
        <f>IFERROR(__xludf.DUMMYFUNCTION("""COMPUTED_VALUE"""),"効果時間")</f>
        <v>効果時間</v>
      </c>
      <c r="AL286" s="280">
        <f>IFERROR(__xludf.DUMMYFUNCTION("""COMPUTED_VALUE"""),470.0)</f>
        <v>470</v>
      </c>
      <c r="AM286" s="275">
        <f>IFERROR(__xludf.DUMMYFUNCTION("""COMPUTED_VALUE"""),480.0)</f>
        <v>480</v>
      </c>
      <c r="AN286" s="280">
        <f>IFERROR(__xludf.DUMMYFUNCTION("""COMPUTED_VALUE"""),485.0)</f>
        <v>485</v>
      </c>
      <c r="AO286" s="275">
        <f>IFERROR(__xludf.DUMMYFUNCTION("""COMPUTED_VALUE"""),495.0)</f>
        <v>495</v>
      </c>
      <c r="AP286" s="280">
        <f>IFERROR(__xludf.DUMMYFUNCTION("""COMPUTED_VALUE"""),500.0)</f>
        <v>500</v>
      </c>
      <c r="AQ286" s="280">
        <f>IFERROR(__xludf.DUMMYFUNCTION("""COMPUTED_VALUE"""),540.0)</f>
        <v>540</v>
      </c>
      <c r="AR286" s="280">
        <f>IFERROR(__xludf.DUMMYFUNCTION("""COMPUTED_VALUE"""),585.0)</f>
        <v>585</v>
      </c>
      <c r="AS286" s="280">
        <f>IFERROR(__xludf.DUMMYFUNCTION("""COMPUTED_VALUE"""),605.0)</f>
        <v>605</v>
      </c>
      <c r="AT286" s="385" t="str">
        <f>IFERROR(__xludf.DUMMYFUNCTION("""COMPUTED_VALUE"""),"超持続型")</f>
        <v>超持続型</v>
      </c>
      <c r="AU286" s="386">
        <f>IFERROR(__xludf.DUMMYFUNCTION("""COMPUTED_VALUE"""),4.0)</f>
        <v>4</v>
      </c>
      <c r="AV286" s="387" t="str">
        <f>IFERROR(__xludf.DUMMYFUNCTION("""COMPUTED_VALUE"""),"効果時間")</f>
        <v>効果時間</v>
      </c>
      <c r="AW286" s="368" t="str">
        <f>IFERROR(__xludf.DUMMYFUNCTION("""COMPUTED_VALUE"""),"-")</f>
        <v>-</v>
      </c>
      <c r="AX286" s="368" t="str">
        <f>IFERROR(__xludf.DUMMYFUNCTION("""COMPUTED_VALUE"""),"-")</f>
        <v>-</v>
      </c>
      <c r="AY286" s="368" t="str">
        <f>IFERROR(__xludf.DUMMYFUNCTION("""COMPUTED_VALUE"""),"-")</f>
        <v>-</v>
      </c>
      <c r="AZ286" s="368" t="str">
        <f>IFERROR(__xludf.DUMMYFUNCTION("""COMPUTED_VALUE"""),"-")</f>
        <v>-</v>
      </c>
      <c r="BA286" s="368" t="str">
        <f>IFERROR(__xludf.DUMMYFUNCTION("""COMPUTED_VALUE"""),"-")</f>
        <v>-</v>
      </c>
      <c r="BB286" s="280">
        <f>IFERROR(__xludf.DUMMYFUNCTION("""COMPUTED_VALUE"""),645.0)</f>
        <v>645</v>
      </c>
      <c r="BC286" s="280">
        <f>IFERROR(__xludf.DUMMYFUNCTION("""COMPUTED_VALUE"""),735.0)</f>
        <v>735</v>
      </c>
      <c r="BD286" s="280">
        <f>IFERROR(__xludf.DUMMYFUNCTION("""COMPUTED_VALUE"""),755.0)</f>
        <v>755</v>
      </c>
      <c r="BE286" s="385" t="str">
        <f>IFERROR(__xludf.DUMMYFUNCTION("""COMPUTED_VALUE"""),"ハイブリッド型")</f>
        <v>ハイブリッド型</v>
      </c>
      <c r="BF286" s="386">
        <f>IFERROR(__xludf.DUMMYFUNCTION("""COMPUTED_VALUE"""),4.0)</f>
        <v>4</v>
      </c>
      <c r="BG286" s="387" t="str">
        <f>IFERROR(__xludf.DUMMYFUNCTION("""COMPUTED_VALUE"""),"効果時間")</f>
        <v>効果時間</v>
      </c>
      <c r="BH286" s="417">
        <f>IFERROR(__xludf.DUMMYFUNCTION("""COMPUTED_VALUE"""),240.0)</f>
        <v>240</v>
      </c>
      <c r="BI286" s="417">
        <f>IFERROR(__xludf.DUMMYFUNCTION("""COMPUTED_VALUE"""),255.0)</f>
        <v>255</v>
      </c>
      <c r="BJ286" s="417">
        <f>IFERROR(__xludf.DUMMYFUNCTION("""COMPUTED_VALUE"""),265.0)</f>
        <v>265</v>
      </c>
      <c r="BK286" s="418">
        <f>IFERROR(__xludf.DUMMYFUNCTION("""COMPUTED_VALUE"""),275.0)</f>
        <v>275</v>
      </c>
      <c r="BL286" s="417">
        <f>IFERROR(__xludf.DUMMYFUNCTION("""COMPUTED_VALUE"""),285.0)</f>
        <v>285</v>
      </c>
      <c r="BM286" s="418">
        <f>IFERROR(__xludf.DUMMYFUNCTION("""COMPUTED_VALUE"""),395.0)</f>
        <v>395</v>
      </c>
      <c r="BN286" s="417">
        <f>IFERROR(__xludf.DUMMYFUNCTION("""COMPUTED_VALUE"""),500.0)</f>
        <v>500</v>
      </c>
      <c r="BO286" s="418">
        <f>IFERROR(__xludf.DUMMYFUNCTION("""COMPUTED_VALUE"""),520.0)</f>
        <v>520</v>
      </c>
    </row>
    <row r="287">
      <c r="A287" s="435" t="str">
        <f>IFERROR(__xludf.DUMMYFUNCTION("""COMPUTED_VALUE"""),"攻撃力UP(テクニカル)")</f>
        <v>攻撃力UP(テクニカル)</v>
      </c>
      <c r="B287" s="385" t="str">
        <f>IFERROR(__xludf.DUMMYFUNCTION("""COMPUTED_VALUE"""),"超瞬間型")</f>
        <v>超瞬間型</v>
      </c>
      <c r="C287" s="399">
        <f>IFERROR(__xludf.DUMMYFUNCTION("""COMPUTED_VALUE"""),5.0)</f>
        <v>5</v>
      </c>
      <c r="D287" s="400" t="str">
        <f>IFERROR(__xludf.DUMMYFUNCTION("""COMPUTED_VALUE"""),"効果値")</f>
        <v>効果値</v>
      </c>
      <c r="E287" s="419" t="str">
        <f>IFERROR(__xludf.DUMMYFUNCTION("""COMPUTED_VALUE"""),"-")</f>
        <v>-</v>
      </c>
      <c r="F287" s="409" t="str">
        <f>IFERROR(__xludf.DUMMYFUNCTION("""COMPUTED_VALUE"""),"-")</f>
        <v>-</v>
      </c>
      <c r="G287" s="409" t="str">
        <f>IFERROR(__xludf.DUMMYFUNCTION("""COMPUTED_VALUE"""),"-")</f>
        <v>-</v>
      </c>
      <c r="H287" s="409" t="str">
        <f>IFERROR(__xludf.DUMMYFUNCTION("""COMPUTED_VALUE"""),"-")</f>
        <v>-</v>
      </c>
      <c r="I287" s="409" t="str">
        <f>IFERROR(__xludf.DUMMYFUNCTION("""COMPUTED_VALUE"""),"-")</f>
        <v>-</v>
      </c>
      <c r="J287" s="420">
        <f>IFERROR(__xludf.DUMMYFUNCTION("""COMPUTED_VALUE"""),60.0)</f>
        <v>60</v>
      </c>
      <c r="K287" s="421">
        <f>IFERROR(__xludf.DUMMYFUNCTION("""COMPUTED_VALUE"""),70.0)</f>
        <v>70</v>
      </c>
      <c r="L287" s="421">
        <f>IFERROR(__xludf.DUMMYFUNCTION("""COMPUTED_VALUE"""),75.0)</f>
        <v>75</v>
      </c>
      <c r="M287" s="385" t="str">
        <f>IFERROR(__xludf.DUMMYFUNCTION("""COMPUTED_VALUE"""),"瞬間型")</f>
        <v>瞬間型</v>
      </c>
      <c r="N287" s="399">
        <f>IFERROR(__xludf.DUMMYFUNCTION("""COMPUTED_VALUE"""),5.0)</f>
        <v>5</v>
      </c>
      <c r="O287" s="400" t="str">
        <f>IFERROR(__xludf.DUMMYFUNCTION("""COMPUTED_VALUE"""),"効果値")</f>
        <v>効果値</v>
      </c>
      <c r="P287" s="422">
        <f>IFERROR(__xludf.DUMMYFUNCTION("""COMPUTED_VALUE"""),23.0)</f>
        <v>23</v>
      </c>
      <c r="Q287" s="423">
        <f>IFERROR(__xludf.DUMMYFUNCTION("""COMPUTED_VALUE"""),23.0)</f>
        <v>23</v>
      </c>
      <c r="R287" s="422">
        <f>IFERROR(__xludf.DUMMYFUNCTION("""COMPUTED_VALUE"""),24.0)</f>
        <v>24</v>
      </c>
      <c r="S287" s="423">
        <f>IFERROR(__xludf.DUMMYFUNCTION("""COMPUTED_VALUE"""),24.0)</f>
        <v>24</v>
      </c>
      <c r="T287" s="422">
        <f>IFERROR(__xludf.DUMMYFUNCTION("""COMPUTED_VALUE"""),24.0)</f>
        <v>24</v>
      </c>
      <c r="U287" s="423">
        <f>IFERROR(__xludf.DUMMYFUNCTION("""COMPUTED_VALUE"""),30.0)</f>
        <v>30</v>
      </c>
      <c r="V287" s="423">
        <f>IFERROR(__xludf.DUMMYFUNCTION("""COMPUTED_VALUE"""),35.0)</f>
        <v>35</v>
      </c>
      <c r="W287" s="424">
        <f>IFERROR(__xludf.DUMMYFUNCTION("""COMPUTED_VALUE"""),40.0)</f>
        <v>40</v>
      </c>
      <c r="X287" s="385" t="str">
        <f>IFERROR(__xludf.DUMMYFUNCTION("""COMPUTED_VALUE"""),"安定型")</f>
        <v>安定型</v>
      </c>
      <c r="Y287" s="399">
        <f>IFERROR(__xludf.DUMMYFUNCTION("""COMPUTED_VALUE"""),5.0)</f>
        <v>5</v>
      </c>
      <c r="Z287" s="400" t="str">
        <f>IFERROR(__xludf.DUMMYFUNCTION("""COMPUTED_VALUE"""),"効果値")</f>
        <v>効果値</v>
      </c>
      <c r="AA287" s="422">
        <f>IFERROR(__xludf.DUMMYFUNCTION("""COMPUTED_VALUE"""),13.0)</f>
        <v>13</v>
      </c>
      <c r="AB287" s="423">
        <f>IFERROR(__xludf.DUMMYFUNCTION("""COMPUTED_VALUE"""),13.0)</f>
        <v>13</v>
      </c>
      <c r="AC287" s="422">
        <f>IFERROR(__xludf.DUMMYFUNCTION("""COMPUTED_VALUE"""),14.0)</f>
        <v>14</v>
      </c>
      <c r="AD287" s="423">
        <f>IFERROR(__xludf.DUMMYFUNCTION("""COMPUTED_VALUE"""),14.0)</f>
        <v>14</v>
      </c>
      <c r="AE287" s="422">
        <f>IFERROR(__xludf.DUMMYFUNCTION("""COMPUTED_VALUE"""),14.0)</f>
        <v>14</v>
      </c>
      <c r="AF287" s="423">
        <f>IFERROR(__xludf.DUMMYFUNCTION("""COMPUTED_VALUE"""),15.0)</f>
        <v>15</v>
      </c>
      <c r="AG287" s="423">
        <f>IFERROR(__xludf.DUMMYFUNCTION("""COMPUTED_VALUE"""),20.0)</f>
        <v>20</v>
      </c>
      <c r="AH287" s="424">
        <f>IFERROR(__xludf.DUMMYFUNCTION("""COMPUTED_VALUE"""),25.0)</f>
        <v>25</v>
      </c>
      <c r="AI287" s="385" t="str">
        <f>IFERROR(__xludf.DUMMYFUNCTION("""COMPUTED_VALUE"""),"持続型")</f>
        <v>持続型</v>
      </c>
      <c r="AJ287" s="399">
        <f>IFERROR(__xludf.DUMMYFUNCTION("""COMPUTED_VALUE"""),5.0)</f>
        <v>5</v>
      </c>
      <c r="AK287" s="400" t="str">
        <f>IFERROR(__xludf.DUMMYFUNCTION("""COMPUTED_VALUE"""),"効果値")</f>
        <v>効果値</v>
      </c>
      <c r="AL287" s="422">
        <f>IFERROR(__xludf.DUMMYFUNCTION("""COMPUTED_VALUE"""),8.0)</f>
        <v>8</v>
      </c>
      <c r="AM287" s="423">
        <f>IFERROR(__xludf.DUMMYFUNCTION("""COMPUTED_VALUE"""),8.0)</f>
        <v>8</v>
      </c>
      <c r="AN287" s="422">
        <f>IFERROR(__xludf.DUMMYFUNCTION("""COMPUTED_VALUE"""),9.0)</f>
        <v>9</v>
      </c>
      <c r="AO287" s="423">
        <f>IFERROR(__xludf.DUMMYFUNCTION("""COMPUTED_VALUE"""),9.0)</f>
        <v>9</v>
      </c>
      <c r="AP287" s="422">
        <f>IFERROR(__xludf.DUMMYFUNCTION("""COMPUTED_VALUE"""),9.0)</f>
        <v>9</v>
      </c>
      <c r="AQ287" s="423">
        <f>IFERROR(__xludf.DUMMYFUNCTION("""COMPUTED_VALUE"""),10.0)</f>
        <v>10</v>
      </c>
      <c r="AR287" s="423">
        <f>IFERROR(__xludf.DUMMYFUNCTION("""COMPUTED_VALUE"""),12.0)</f>
        <v>12</v>
      </c>
      <c r="AS287" s="424">
        <f>IFERROR(__xludf.DUMMYFUNCTION("""COMPUTED_VALUE"""),12.0)</f>
        <v>12</v>
      </c>
      <c r="AT287" s="385" t="str">
        <f>IFERROR(__xludf.DUMMYFUNCTION("""COMPUTED_VALUE"""),"超持続型")</f>
        <v>超持続型</v>
      </c>
      <c r="AU287" s="399">
        <f>IFERROR(__xludf.DUMMYFUNCTION("""COMPUTED_VALUE"""),5.0)</f>
        <v>5</v>
      </c>
      <c r="AV287" s="400" t="str">
        <f>IFERROR(__xludf.DUMMYFUNCTION("""COMPUTED_VALUE"""),"効果値")</f>
        <v>効果値</v>
      </c>
      <c r="AW287" s="425" t="str">
        <f>IFERROR(__xludf.DUMMYFUNCTION("""COMPUTED_VALUE"""),"-")</f>
        <v>-</v>
      </c>
      <c r="AX287" s="426" t="str">
        <f>IFERROR(__xludf.DUMMYFUNCTION("""COMPUTED_VALUE"""),"-")</f>
        <v>-</v>
      </c>
      <c r="AY287" s="426" t="str">
        <f>IFERROR(__xludf.DUMMYFUNCTION("""COMPUTED_VALUE"""),"-")</f>
        <v>-</v>
      </c>
      <c r="AZ287" s="426" t="str">
        <f>IFERROR(__xludf.DUMMYFUNCTION("""COMPUTED_VALUE"""),"-")</f>
        <v>-</v>
      </c>
      <c r="BA287" s="426" t="str">
        <f>IFERROR(__xludf.DUMMYFUNCTION("""COMPUTED_VALUE"""),"-")</f>
        <v>-</v>
      </c>
      <c r="BB287" s="423">
        <f>IFERROR(__xludf.DUMMYFUNCTION("""COMPUTED_VALUE"""),10.0)</f>
        <v>10</v>
      </c>
      <c r="BC287" s="423">
        <f>IFERROR(__xludf.DUMMYFUNCTION("""COMPUTED_VALUE"""),12.0)</f>
        <v>12</v>
      </c>
      <c r="BD287" s="424">
        <f>IFERROR(__xludf.DUMMYFUNCTION("""COMPUTED_VALUE"""),12.0)</f>
        <v>12</v>
      </c>
      <c r="BE287" s="385" t="str">
        <f>IFERROR(__xludf.DUMMYFUNCTION("""COMPUTED_VALUE"""),"ハイブリッド型")</f>
        <v>ハイブリッド型</v>
      </c>
      <c r="BF287" s="399">
        <f>IFERROR(__xludf.DUMMYFUNCTION("""COMPUTED_VALUE"""),5.0)</f>
        <v>5</v>
      </c>
      <c r="BG287" s="400" t="str">
        <f>IFERROR(__xludf.DUMMYFUNCTION("""COMPUTED_VALUE"""),"効果値")</f>
        <v>効果値</v>
      </c>
      <c r="BH287" s="427">
        <f>IFERROR(__xludf.DUMMYFUNCTION("""COMPUTED_VALUE"""),12.0)</f>
        <v>12</v>
      </c>
      <c r="BI287" s="428">
        <f>IFERROR(__xludf.DUMMYFUNCTION("""COMPUTED_VALUE"""),12.75)</f>
        <v>12.75</v>
      </c>
      <c r="BJ287" s="428">
        <f>IFERROR(__xludf.DUMMYFUNCTION("""COMPUTED_VALUE"""),13.5)</f>
        <v>13.5</v>
      </c>
      <c r="BK287" s="428">
        <f>IFERROR(__xludf.DUMMYFUNCTION("""COMPUTED_VALUE"""),14.25)</f>
        <v>14.25</v>
      </c>
      <c r="BL287" s="427">
        <f>IFERROR(__xludf.DUMMYFUNCTION("""COMPUTED_VALUE"""),15.0)</f>
        <v>15</v>
      </c>
      <c r="BM287" s="427">
        <f>IFERROR(__xludf.DUMMYFUNCTION("""COMPUTED_VALUE"""),20.0)</f>
        <v>20</v>
      </c>
      <c r="BN287" s="427">
        <f>IFERROR(__xludf.DUMMYFUNCTION("""COMPUTED_VALUE"""),25.0)</f>
        <v>25</v>
      </c>
      <c r="BO287" s="429">
        <f>IFERROR(__xludf.DUMMYFUNCTION("""COMPUTED_VALUE"""),30.0)</f>
        <v>30</v>
      </c>
    </row>
    <row r="288">
      <c r="A288" s="435" t="str">
        <f>IFERROR(__xludf.DUMMYFUNCTION("""COMPUTED_VALUE"""),"攻撃力UP(テクニカル)")</f>
        <v>攻撃力UP(テクニカル)</v>
      </c>
      <c r="B288" s="385" t="str">
        <f>IFERROR(__xludf.DUMMYFUNCTION("""COMPUTED_VALUE"""),"超瞬間型")</f>
        <v>超瞬間型</v>
      </c>
      <c r="C288" s="430">
        <f>IFERROR(__xludf.DUMMYFUNCTION("""COMPUTED_VALUE"""),5.0)</f>
        <v>5</v>
      </c>
      <c r="D288" s="431" t="str">
        <f>IFERROR(__xludf.DUMMYFUNCTION("""COMPUTED_VALUE"""),"効果時間")</f>
        <v>効果時間</v>
      </c>
      <c r="E288" s="388" t="str">
        <f>IFERROR(__xludf.DUMMYFUNCTION("""COMPUTED_VALUE"""),"-")</f>
        <v>-</v>
      </c>
      <c r="F288" s="389" t="str">
        <f>IFERROR(__xludf.DUMMYFUNCTION("""COMPUTED_VALUE"""),"-")</f>
        <v>-</v>
      </c>
      <c r="G288" s="388" t="str">
        <f>IFERROR(__xludf.DUMMYFUNCTION("""COMPUTED_VALUE"""),"-")</f>
        <v>-</v>
      </c>
      <c r="H288" s="389" t="str">
        <f>IFERROR(__xludf.DUMMYFUNCTION("""COMPUTED_VALUE"""),"-")</f>
        <v>-</v>
      </c>
      <c r="I288" s="388" t="str">
        <f>IFERROR(__xludf.DUMMYFUNCTION("""COMPUTED_VALUE"""),"-")</f>
        <v>-</v>
      </c>
      <c r="J288" s="390">
        <f>IFERROR(__xludf.DUMMYFUNCTION("""COMPUTED_VALUE"""),160.0)</f>
        <v>160</v>
      </c>
      <c r="K288" s="391">
        <f>IFERROR(__xludf.DUMMYFUNCTION("""COMPUTED_VALUE"""),175.0)</f>
        <v>175</v>
      </c>
      <c r="L288" s="340">
        <f>IFERROR(__xludf.DUMMYFUNCTION("""COMPUTED_VALUE"""),200.0)</f>
        <v>200</v>
      </c>
      <c r="M288" s="385" t="str">
        <f>IFERROR(__xludf.DUMMYFUNCTION("""COMPUTED_VALUE"""),"瞬間型")</f>
        <v>瞬間型</v>
      </c>
      <c r="N288" s="430">
        <f>IFERROR(__xludf.DUMMYFUNCTION("""COMPUTED_VALUE"""),5.0)</f>
        <v>5</v>
      </c>
      <c r="O288" s="431" t="str">
        <f>IFERROR(__xludf.DUMMYFUNCTION("""COMPUTED_VALUE"""),"効果時間")</f>
        <v>効果時間</v>
      </c>
      <c r="P288" s="392">
        <f>IFERROR(__xludf.DUMMYFUNCTION("""COMPUTED_VALUE"""),175.0)</f>
        <v>175</v>
      </c>
      <c r="Q288" s="414">
        <f>IFERROR(__xludf.DUMMYFUNCTION("""COMPUTED_VALUE"""),185.0)</f>
        <v>185</v>
      </c>
      <c r="R288" s="414">
        <f>IFERROR(__xludf.DUMMYFUNCTION("""COMPUTED_VALUE"""),190.0)</f>
        <v>190</v>
      </c>
      <c r="S288" s="414">
        <f>IFERROR(__xludf.DUMMYFUNCTION("""COMPUTED_VALUE"""),195.0)</f>
        <v>195</v>
      </c>
      <c r="T288" s="394">
        <f>IFERROR(__xludf.DUMMYFUNCTION("""COMPUTED_VALUE"""),200.0)</f>
        <v>200</v>
      </c>
      <c r="U288" s="394">
        <f>IFERROR(__xludf.DUMMYFUNCTION("""COMPUTED_VALUE"""),225.0)</f>
        <v>225</v>
      </c>
      <c r="V288" s="394">
        <f>IFERROR(__xludf.DUMMYFUNCTION("""COMPUTED_VALUE"""),300.0)</f>
        <v>300</v>
      </c>
      <c r="W288" s="394">
        <f>IFERROR(__xludf.DUMMYFUNCTION("""COMPUTED_VALUE"""),325.0)</f>
        <v>325</v>
      </c>
      <c r="X288" s="385" t="str">
        <f>IFERROR(__xludf.DUMMYFUNCTION("""COMPUTED_VALUE"""),"安定型")</f>
        <v>安定型</v>
      </c>
      <c r="Y288" s="430">
        <f>IFERROR(__xludf.DUMMYFUNCTION("""COMPUTED_VALUE"""),5.0)</f>
        <v>5</v>
      </c>
      <c r="Z288" s="431" t="str">
        <f>IFERROR(__xludf.DUMMYFUNCTION("""COMPUTED_VALUE"""),"効果時間")</f>
        <v>効果時間</v>
      </c>
      <c r="AA288" s="392">
        <f>IFERROR(__xludf.DUMMYFUNCTION("""COMPUTED_VALUE"""),325.0)</f>
        <v>325</v>
      </c>
      <c r="AB288" s="414">
        <f>IFERROR(__xludf.DUMMYFUNCTION("""COMPUTED_VALUE"""),335.0)</f>
        <v>335</v>
      </c>
      <c r="AC288" s="414">
        <f>IFERROR(__xludf.DUMMYFUNCTION("""COMPUTED_VALUE"""),340.0)</f>
        <v>340</v>
      </c>
      <c r="AD288" s="414">
        <f>IFERROR(__xludf.DUMMYFUNCTION("""COMPUTED_VALUE"""),345.0)</f>
        <v>345</v>
      </c>
      <c r="AE288" s="394">
        <f>IFERROR(__xludf.DUMMYFUNCTION("""COMPUTED_VALUE"""),350.0)</f>
        <v>350</v>
      </c>
      <c r="AF288" s="394">
        <f>IFERROR(__xludf.DUMMYFUNCTION("""COMPUTED_VALUE"""),400.0)</f>
        <v>400</v>
      </c>
      <c r="AG288" s="394">
        <f>IFERROR(__xludf.DUMMYFUNCTION("""COMPUTED_VALUE"""),450.0)</f>
        <v>450</v>
      </c>
      <c r="AH288" s="394">
        <f>IFERROR(__xludf.DUMMYFUNCTION("""COMPUTED_VALUE"""),475.0)</f>
        <v>475</v>
      </c>
      <c r="AI288" s="385" t="str">
        <f>IFERROR(__xludf.DUMMYFUNCTION("""COMPUTED_VALUE"""),"持続型")</f>
        <v>持続型</v>
      </c>
      <c r="AJ288" s="430">
        <f>IFERROR(__xludf.DUMMYFUNCTION("""COMPUTED_VALUE"""),5.0)</f>
        <v>5</v>
      </c>
      <c r="AK288" s="431" t="str">
        <f>IFERROR(__xludf.DUMMYFUNCTION("""COMPUTED_VALUE"""),"効果時間")</f>
        <v>効果時間</v>
      </c>
      <c r="AL288" s="392">
        <f>IFERROR(__xludf.DUMMYFUNCTION("""COMPUTED_VALUE"""),475.0)</f>
        <v>475</v>
      </c>
      <c r="AM288" s="414">
        <f>IFERROR(__xludf.DUMMYFUNCTION("""COMPUTED_VALUE"""),485.0)</f>
        <v>485</v>
      </c>
      <c r="AN288" s="414">
        <f>IFERROR(__xludf.DUMMYFUNCTION("""COMPUTED_VALUE"""),490.0)</f>
        <v>490</v>
      </c>
      <c r="AO288" s="414">
        <f>IFERROR(__xludf.DUMMYFUNCTION("""COMPUTED_VALUE"""),495.0)</f>
        <v>495</v>
      </c>
      <c r="AP288" s="394">
        <f>IFERROR(__xludf.DUMMYFUNCTION("""COMPUTED_VALUE"""),500.0)</f>
        <v>500</v>
      </c>
      <c r="AQ288" s="394">
        <f>IFERROR(__xludf.DUMMYFUNCTION("""COMPUTED_VALUE"""),550.0)</f>
        <v>550</v>
      </c>
      <c r="AR288" s="394">
        <f>IFERROR(__xludf.DUMMYFUNCTION("""COMPUTED_VALUE"""),600.0)</f>
        <v>600</v>
      </c>
      <c r="AS288" s="394">
        <f>IFERROR(__xludf.DUMMYFUNCTION("""COMPUTED_VALUE"""),625.0)</f>
        <v>625</v>
      </c>
      <c r="AT288" s="385" t="str">
        <f>IFERROR(__xludf.DUMMYFUNCTION("""COMPUTED_VALUE"""),"超持続型")</f>
        <v>超持続型</v>
      </c>
      <c r="AU288" s="430">
        <f>IFERROR(__xludf.DUMMYFUNCTION("""COMPUTED_VALUE"""),5.0)</f>
        <v>5</v>
      </c>
      <c r="AV288" s="431" t="str">
        <f>IFERROR(__xludf.DUMMYFUNCTION("""COMPUTED_VALUE"""),"効果時間")</f>
        <v>効果時間</v>
      </c>
      <c r="AW288" s="395" t="str">
        <f>IFERROR(__xludf.DUMMYFUNCTION("""COMPUTED_VALUE"""),"-")</f>
        <v>-</v>
      </c>
      <c r="AX288" s="396" t="str">
        <f>IFERROR(__xludf.DUMMYFUNCTION("""COMPUTED_VALUE"""),"-")</f>
        <v>-</v>
      </c>
      <c r="AY288" s="396" t="str">
        <f>IFERROR(__xludf.DUMMYFUNCTION("""COMPUTED_VALUE"""),"-")</f>
        <v>-</v>
      </c>
      <c r="AZ288" s="396" t="str">
        <f>IFERROR(__xludf.DUMMYFUNCTION("""COMPUTED_VALUE"""),"-")</f>
        <v>-</v>
      </c>
      <c r="BA288" s="396" t="str">
        <f>IFERROR(__xludf.DUMMYFUNCTION("""COMPUTED_VALUE"""),"-")</f>
        <v>-</v>
      </c>
      <c r="BB288" s="393">
        <f>IFERROR(__xludf.DUMMYFUNCTION("""COMPUTED_VALUE"""),650.0)</f>
        <v>650</v>
      </c>
      <c r="BC288" s="393">
        <f>IFERROR(__xludf.DUMMYFUNCTION("""COMPUTED_VALUE"""),750.0)</f>
        <v>750</v>
      </c>
      <c r="BD288" s="394">
        <f>IFERROR(__xludf.DUMMYFUNCTION("""COMPUTED_VALUE"""),775.0)</f>
        <v>775</v>
      </c>
      <c r="BE288" s="385" t="str">
        <f>IFERROR(__xludf.DUMMYFUNCTION("""COMPUTED_VALUE"""),"ハイブリッド型")</f>
        <v>ハイブリッド型</v>
      </c>
      <c r="BF288" s="430">
        <f>IFERROR(__xludf.DUMMYFUNCTION("""COMPUTED_VALUE"""),5.0)</f>
        <v>5</v>
      </c>
      <c r="BG288" s="431" t="str">
        <f>IFERROR(__xludf.DUMMYFUNCTION("""COMPUTED_VALUE"""),"効果時間")</f>
        <v>効果時間</v>
      </c>
      <c r="BH288" s="304">
        <f>IFERROR(__xludf.DUMMYFUNCTION("""COMPUTED_VALUE"""),250.0)</f>
        <v>250</v>
      </c>
      <c r="BI288" s="432">
        <f>IFERROR(__xludf.DUMMYFUNCTION("""COMPUTED_VALUE"""),265.0)</f>
        <v>265</v>
      </c>
      <c r="BJ288" s="432">
        <f>IFERROR(__xludf.DUMMYFUNCTION("""COMPUTED_VALUE"""),275.0)</f>
        <v>275</v>
      </c>
      <c r="BK288" s="432">
        <f>IFERROR(__xludf.DUMMYFUNCTION("""COMPUTED_VALUE"""),290.0)</f>
        <v>290</v>
      </c>
      <c r="BL288" s="304">
        <f>IFERROR(__xludf.DUMMYFUNCTION("""COMPUTED_VALUE"""),300.0)</f>
        <v>300</v>
      </c>
      <c r="BM288" s="304">
        <f>IFERROR(__xludf.DUMMYFUNCTION("""COMPUTED_VALUE"""),400.0)</f>
        <v>400</v>
      </c>
      <c r="BN288" s="304">
        <f>IFERROR(__xludf.DUMMYFUNCTION("""COMPUTED_VALUE"""),500.0)</f>
        <v>500</v>
      </c>
      <c r="BO288" s="304">
        <f>IFERROR(__xludf.DUMMYFUNCTION("""COMPUTED_VALUE"""),525.0)</f>
        <v>525</v>
      </c>
    </row>
    <row r="289">
      <c r="A289" s="433" t="str">
        <f>IFERROR(__xludf.DUMMYFUNCTION("""COMPUTED_VALUE"""),"攻撃力UP(ディフェンス)")</f>
        <v>攻撃力UP(ディフェンス)</v>
      </c>
      <c r="B289" s="374" t="str">
        <f>IFERROR(__xludf.DUMMYFUNCTION("""COMPUTED_VALUE"""),"超瞬間型")</f>
        <v>超瞬間型</v>
      </c>
      <c r="C289" s="375">
        <f>IFERROR(__xludf.DUMMYFUNCTION("""COMPUTED_VALUE"""),1.0)</f>
        <v>1</v>
      </c>
      <c r="D289" s="376" t="str">
        <f>IFERROR(__xludf.DUMMYFUNCTION("""COMPUTED_VALUE"""),"効果値")</f>
        <v>効果値</v>
      </c>
      <c r="E289" s="377" t="str">
        <f>IFERROR(__xludf.DUMMYFUNCTION("""COMPUTED_VALUE"""),"-")</f>
        <v>-</v>
      </c>
      <c r="F289" s="378" t="str">
        <f>IFERROR(__xludf.DUMMYFUNCTION("""COMPUTED_VALUE"""),"-")</f>
        <v>-</v>
      </c>
      <c r="G289" s="377" t="str">
        <f>IFERROR(__xludf.DUMMYFUNCTION("""COMPUTED_VALUE"""),"-")</f>
        <v>-</v>
      </c>
      <c r="H289" s="378" t="str">
        <f>IFERROR(__xludf.DUMMYFUNCTION("""COMPUTED_VALUE"""),"-")</f>
        <v>-</v>
      </c>
      <c r="I289" s="377" t="str">
        <f>IFERROR(__xludf.DUMMYFUNCTION("""COMPUTED_VALUE"""),"-")</f>
        <v>-</v>
      </c>
      <c r="J289" s="379">
        <f>IFERROR(__xludf.DUMMYFUNCTION("""COMPUTED_VALUE"""),55.0)</f>
        <v>55</v>
      </c>
      <c r="K289" s="294">
        <f>IFERROR(__xludf.DUMMYFUNCTION("""COMPUTED_VALUE"""),65.0)</f>
        <v>65</v>
      </c>
      <c r="L289" s="294">
        <f>IFERROR(__xludf.DUMMYFUNCTION("""COMPUTED_VALUE"""),65.0)</f>
        <v>65</v>
      </c>
      <c r="M289" s="374" t="str">
        <f>IFERROR(__xludf.DUMMYFUNCTION("""COMPUTED_VALUE"""),"瞬間型")</f>
        <v>瞬間型</v>
      </c>
      <c r="N289" s="375">
        <f>IFERROR(__xludf.DUMMYFUNCTION("""COMPUTED_VALUE"""),1.0)</f>
        <v>1</v>
      </c>
      <c r="O289" s="376" t="str">
        <f>IFERROR(__xludf.DUMMYFUNCTION("""COMPUTED_VALUE"""),"効果値")</f>
        <v>効果値</v>
      </c>
      <c r="P289" s="380">
        <f>IFERROR(__xludf.DUMMYFUNCTION("""COMPUTED_VALUE"""),20.0)</f>
        <v>20</v>
      </c>
      <c r="Q289" s="263">
        <f>IFERROR(__xludf.DUMMYFUNCTION("""COMPUTED_VALUE"""),20.0)</f>
        <v>20</v>
      </c>
      <c r="R289" s="263">
        <f>IFERROR(__xludf.DUMMYFUNCTION("""COMPUTED_VALUE"""),20.0)</f>
        <v>20</v>
      </c>
      <c r="S289" s="263">
        <f>IFERROR(__xludf.DUMMYFUNCTION("""COMPUTED_VALUE"""),20.0)</f>
        <v>20</v>
      </c>
      <c r="T289" s="263">
        <f>IFERROR(__xludf.DUMMYFUNCTION("""COMPUTED_VALUE"""),20.0)</f>
        <v>20</v>
      </c>
      <c r="U289" s="263">
        <f>IFERROR(__xludf.DUMMYFUNCTION("""COMPUTED_VALUE"""),25.0)</f>
        <v>25</v>
      </c>
      <c r="V289" s="266">
        <f>IFERROR(__xludf.DUMMYFUNCTION("""COMPUTED_VALUE"""),30.0)</f>
        <v>30</v>
      </c>
      <c r="W289" s="266">
        <f>IFERROR(__xludf.DUMMYFUNCTION("""COMPUTED_VALUE"""),30.0)</f>
        <v>30</v>
      </c>
      <c r="X289" s="374" t="str">
        <f>IFERROR(__xludf.DUMMYFUNCTION("""COMPUTED_VALUE"""),"安定型")</f>
        <v>安定型</v>
      </c>
      <c r="Y289" s="375">
        <f>IFERROR(__xludf.DUMMYFUNCTION("""COMPUTED_VALUE"""),1.0)</f>
        <v>1</v>
      </c>
      <c r="Z289" s="376" t="str">
        <f>IFERROR(__xludf.DUMMYFUNCTION("""COMPUTED_VALUE"""),"効果値")</f>
        <v>効果値</v>
      </c>
      <c r="AA289" s="380">
        <f>IFERROR(__xludf.DUMMYFUNCTION("""COMPUTED_VALUE"""),10.0)</f>
        <v>10</v>
      </c>
      <c r="AB289" s="263">
        <f>IFERROR(__xludf.DUMMYFUNCTION("""COMPUTED_VALUE"""),10.0)</f>
        <v>10</v>
      </c>
      <c r="AC289" s="263">
        <f>IFERROR(__xludf.DUMMYFUNCTION("""COMPUTED_VALUE"""),10.0)</f>
        <v>10</v>
      </c>
      <c r="AD289" s="263">
        <f>IFERROR(__xludf.DUMMYFUNCTION("""COMPUTED_VALUE"""),10.0)</f>
        <v>10</v>
      </c>
      <c r="AE289" s="263">
        <f>IFERROR(__xludf.DUMMYFUNCTION("""COMPUTED_VALUE"""),10.0)</f>
        <v>10</v>
      </c>
      <c r="AF289" s="263">
        <f>IFERROR(__xludf.DUMMYFUNCTION("""COMPUTED_VALUE"""),10.0)</f>
        <v>10</v>
      </c>
      <c r="AG289" s="266">
        <f>IFERROR(__xludf.DUMMYFUNCTION("""COMPUTED_VALUE"""),15.0)</f>
        <v>15</v>
      </c>
      <c r="AH289" s="266">
        <f>IFERROR(__xludf.DUMMYFUNCTION("""COMPUTED_VALUE"""),15.0)</f>
        <v>15</v>
      </c>
      <c r="AI289" s="374" t="str">
        <f>IFERROR(__xludf.DUMMYFUNCTION("""COMPUTED_VALUE"""),"持続型")</f>
        <v>持続型</v>
      </c>
      <c r="AJ289" s="375">
        <f>IFERROR(__xludf.DUMMYFUNCTION("""COMPUTED_VALUE"""),1.0)</f>
        <v>1</v>
      </c>
      <c r="AK289" s="376" t="str">
        <f>IFERROR(__xludf.DUMMYFUNCTION("""COMPUTED_VALUE"""),"効果値")</f>
        <v>効果値</v>
      </c>
      <c r="AL289" s="380">
        <f>IFERROR(__xludf.DUMMYFUNCTION("""COMPUTED_VALUE"""),5.0)</f>
        <v>5</v>
      </c>
      <c r="AM289" s="263">
        <f>IFERROR(__xludf.DUMMYFUNCTION("""COMPUTED_VALUE"""),5.0)</f>
        <v>5</v>
      </c>
      <c r="AN289" s="263">
        <f>IFERROR(__xludf.DUMMYFUNCTION("""COMPUTED_VALUE"""),5.0)</f>
        <v>5</v>
      </c>
      <c r="AO289" s="263">
        <f>IFERROR(__xludf.DUMMYFUNCTION("""COMPUTED_VALUE"""),5.0)</f>
        <v>5</v>
      </c>
      <c r="AP289" s="263">
        <f>IFERROR(__xludf.DUMMYFUNCTION("""COMPUTED_VALUE"""),5.0)</f>
        <v>5</v>
      </c>
      <c r="AQ289" s="263">
        <f>IFERROR(__xludf.DUMMYFUNCTION("""COMPUTED_VALUE"""),5.0)</f>
        <v>5</v>
      </c>
      <c r="AR289" s="266">
        <f>IFERROR(__xludf.DUMMYFUNCTION("""COMPUTED_VALUE"""),10.0)</f>
        <v>10</v>
      </c>
      <c r="AS289" s="266">
        <f>IFERROR(__xludf.DUMMYFUNCTION("""COMPUTED_VALUE"""),10.0)</f>
        <v>10</v>
      </c>
      <c r="AT289" s="374" t="str">
        <f>IFERROR(__xludf.DUMMYFUNCTION("""COMPUTED_VALUE"""),"超持続型")</f>
        <v>超持続型</v>
      </c>
      <c r="AU289" s="375">
        <f>IFERROR(__xludf.DUMMYFUNCTION("""COMPUTED_VALUE"""),1.0)</f>
        <v>1</v>
      </c>
      <c r="AV289" s="376" t="str">
        <f>IFERROR(__xludf.DUMMYFUNCTION("""COMPUTED_VALUE"""),"効果値")</f>
        <v>効果値</v>
      </c>
      <c r="AW289" s="350" t="str">
        <f>IFERROR(__xludf.DUMMYFUNCTION("""COMPUTED_VALUE"""),"-")</f>
        <v>-</v>
      </c>
      <c r="AX289" s="348" t="str">
        <f>IFERROR(__xludf.DUMMYFUNCTION("""COMPUTED_VALUE"""),"-")</f>
        <v>-</v>
      </c>
      <c r="AY289" s="348" t="str">
        <f>IFERROR(__xludf.DUMMYFUNCTION("""COMPUTED_VALUE"""),"-")</f>
        <v>-</v>
      </c>
      <c r="AZ289" s="348" t="str">
        <f>IFERROR(__xludf.DUMMYFUNCTION("""COMPUTED_VALUE"""),"-")</f>
        <v>-</v>
      </c>
      <c r="BA289" s="348" t="str">
        <f>IFERROR(__xludf.DUMMYFUNCTION("""COMPUTED_VALUE"""),"-")</f>
        <v>-</v>
      </c>
      <c r="BB289" s="263">
        <f>IFERROR(__xludf.DUMMYFUNCTION("""COMPUTED_VALUE"""),5.0)</f>
        <v>5</v>
      </c>
      <c r="BC289" s="266">
        <f>IFERROR(__xludf.DUMMYFUNCTION("""COMPUTED_VALUE"""),10.0)</f>
        <v>10</v>
      </c>
      <c r="BD289" s="266">
        <f>IFERROR(__xludf.DUMMYFUNCTION("""COMPUTED_VALUE"""),10.0)</f>
        <v>10</v>
      </c>
      <c r="BE289" s="374" t="str">
        <f>IFERROR(__xludf.DUMMYFUNCTION("""COMPUTED_VALUE"""),"ハイブリッド型")</f>
        <v>ハイブリッド型</v>
      </c>
      <c r="BF289" s="375">
        <f>IFERROR(__xludf.DUMMYFUNCTION("""COMPUTED_VALUE"""),1.0)</f>
        <v>1</v>
      </c>
      <c r="BG289" s="376" t="str">
        <f>IFERROR(__xludf.DUMMYFUNCTION("""COMPUTED_VALUE"""),"効果値")</f>
        <v>効果値</v>
      </c>
      <c r="BH289" s="381">
        <f>IFERROR(__xludf.DUMMYFUNCTION("""COMPUTED_VALUE"""),10.0)</f>
        <v>10</v>
      </c>
      <c r="BI289" s="382">
        <f>IFERROR(__xludf.DUMMYFUNCTION("""COMPUTED_VALUE"""),10.0)</f>
        <v>10</v>
      </c>
      <c r="BJ289" s="382">
        <f>IFERROR(__xludf.DUMMYFUNCTION("""COMPUTED_VALUE"""),10.0)</f>
        <v>10</v>
      </c>
      <c r="BK289" s="382">
        <f>IFERROR(__xludf.DUMMYFUNCTION("""COMPUTED_VALUE"""),10.0)</f>
        <v>10</v>
      </c>
      <c r="BL289" s="382">
        <f>IFERROR(__xludf.DUMMYFUNCTION("""COMPUTED_VALUE"""),10.0)</f>
        <v>10</v>
      </c>
      <c r="BM289" s="382">
        <f>IFERROR(__xludf.DUMMYFUNCTION("""COMPUTED_VALUE"""),15.0)</f>
        <v>15</v>
      </c>
      <c r="BN289" s="382">
        <f>IFERROR(__xludf.DUMMYFUNCTION("""COMPUTED_VALUE"""),20.0)</f>
        <v>20</v>
      </c>
      <c r="BO289" s="383">
        <f>IFERROR(__xludf.DUMMYFUNCTION("""COMPUTED_VALUE"""),20.0)</f>
        <v>20</v>
      </c>
    </row>
    <row r="290">
      <c r="A290" s="434" t="str">
        <f>IFERROR(__xludf.DUMMYFUNCTION("""COMPUTED_VALUE"""),"攻撃力UP(ディフェンス)")</f>
        <v>攻撃力UP(ディフェンス)</v>
      </c>
      <c r="B290" s="385" t="str">
        <f>IFERROR(__xludf.DUMMYFUNCTION("""COMPUTED_VALUE"""),"超瞬間型")</f>
        <v>超瞬間型</v>
      </c>
      <c r="C290" s="386">
        <f>IFERROR(__xludf.DUMMYFUNCTION("""COMPUTED_VALUE"""),1.0)</f>
        <v>1</v>
      </c>
      <c r="D290" s="387" t="str">
        <f>IFERROR(__xludf.DUMMYFUNCTION("""COMPUTED_VALUE"""),"効果時間")</f>
        <v>効果時間</v>
      </c>
      <c r="E290" s="388" t="str">
        <f>IFERROR(__xludf.DUMMYFUNCTION("""COMPUTED_VALUE"""),"-")</f>
        <v>-</v>
      </c>
      <c r="F290" s="389" t="str">
        <f>IFERROR(__xludf.DUMMYFUNCTION("""COMPUTED_VALUE"""),"-")</f>
        <v>-</v>
      </c>
      <c r="G290" s="388" t="str">
        <f>IFERROR(__xludf.DUMMYFUNCTION("""COMPUTED_VALUE"""),"-")</f>
        <v>-</v>
      </c>
      <c r="H290" s="389" t="str">
        <f>IFERROR(__xludf.DUMMYFUNCTION("""COMPUTED_VALUE"""),"-")</f>
        <v>-</v>
      </c>
      <c r="I290" s="388" t="str">
        <f>IFERROR(__xludf.DUMMYFUNCTION("""COMPUTED_VALUE"""),"-")</f>
        <v>-</v>
      </c>
      <c r="J290" s="390">
        <f>IFERROR(__xludf.DUMMYFUNCTION("""COMPUTED_VALUE"""),150.0)</f>
        <v>150</v>
      </c>
      <c r="K290" s="391">
        <f>IFERROR(__xludf.DUMMYFUNCTION("""COMPUTED_VALUE"""),160.0)</f>
        <v>160</v>
      </c>
      <c r="L290" s="340">
        <f>IFERROR(__xludf.DUMMYFUNCTION("""COMPUTED_VALUE"""),160.0)</f>
        <v>160</v>
      </c>
      <c r="M290" s="385" t="str">
        <f>IFERROR(__xludf.DUMMYFUNCTION("""COMPUTED_VALUE"""),"瞬間型")</f>
        <v>瞬間型</v>
      </c>
      <c r="N290" s="386">
        <f>IFERROR(__xludf.DUMMYFUNCTION("""COMPUTED_VALUE"""),1.0)</f>
        <v>1</v>
      </c>
      <c r="O290" s="387" t="str">
        <f>IFERROR(__xludf.DUMMYFUNCTION("""COMPUTED_VALUE"""),"効果時間")</f>
        <v>効果時間</v>
      </c>
      <c r="P290" s="392">
        <f>IFERROR(__xludf.DUMMYFUNCTION("""COMPUTED_VALUE"""),150.0)</f>
        <v>150</v>
      </c>
      <c r="Q290" s="393">
        <f>IFERROR(__xludf.DUMMYFUNCTION("""COMPUTED_VALUE"""),150.0)</f>
        <v>150</v>
      </c>
      <c r="R290" s="393">
        <f>IFERROR(__xludf.DUMMYFUNCTION("""COMPUTED_VALUE"""),150.0)</f>
        <v>150</v>
      </c>
      <c r="S290" s="393">
        <f>IFERROR(__xludf.DUMMYFUNCTION("""COMPUTED_VALUE"""),150.0)</f>
        <v>150</v>
      </c>
      <c r="T290" s="393">
        <f>IFERROR(__xludf.DUMMYFUNCTION("""COMPUTED_VALUE"""),150.0)</f>
        <v>150</v>
      </c>
      <c r="U290" s="393">
        <f>IFERROR(__xludf.DUMMYFUNCTION("""COMPUTED_VALUE"""),150.0)</f>
        <v>150</v>
      </c>
      <c r="V290" s="393">
        <f>IFERROR(__xludf.DUMMYFUNCTION("""COMPUTED_VALUE"""),160.0)</f>
        <v>160</v>
      </c>
      <c r="W290" s="394">
        <f>IFERROR(__xludf.DUMMYFUNCTION("""COMPUTED_VALUE"""),160.0)</f>
        <v>160</v>
      </c>
      <c r="X290" s="385" t="str">
        <f>IFERROR(__xludf.DUMMYFUNCTION("""COMPUTED_VALUE"""),"安定型")</f>
        <v>安定型</v>
      </c>
      <c r="Y290" s="386">
        <f>IFERROR(__xludf.DUMMYFUNCTION("""COMPUTED_VALUE"""),1.0)</f>
        <v>1</v>
      </c>
      <c r="Z290" s="387" t="str">
        <f>IFERROR(__xludf.DUMMYFUNCTION("""COMPUTED_VALUE"""),"効果時間")</f>
        <v>効果時間</v>
      </c>
      <c r="AA290" s="392">
        <f>IFERROR(__xludf.DUMMYFUNCTION("""COMPUTED_VALUE"""),300.0)</f>
        <v>300</v>
      </c>
      <c r="AB290" s="393">
        <f>IFERROR(__xludf.DUMMYFUNCTION("""COMPUTED_VALUE"""),300.0)</f>
        <v>300</v>
      </c>
      <c r="AC290" s="393">
        <f>IFERROR(__xludf.DUMMYFUNCTION("""COMPUTED_VALUE"""),300.0)</f>
        <v>300</v>
      </c>
      <c r="AD290" s="393">
        <f>IFERROR(__xludf.DUMMYFUNCTION("""COMPUTED_VALUE"""),300.0)</f>
        <v>300</v>
      </c>
      <c r="AE290" s="393">
        <f>IFERROR(__xludf.DUMMYFUNCTION("""COMPUTED_VALUE"""),300.0)</f>
        <v>300</v>
      </c>
      <c r="AF290" s="393">
        <f>IFERROR(__xludf.DUMMYFUNCTION("""COMPUTED_VALUE"""),300.0)</f>
        <v>300</v>
      </c>
      <c r="AG290" s="393">
        <f>IFERROR(__xludf.DUMMYFUNCTION("""COMPUTED_VALUE"""),310.0)</f>
        <v>310</v>
      </c>
      <c r="AH290" s="394">
        <f>IFERROR(__xludf.DUMMYFUNCTION("""COMPUTED_VALUE"""),310.0)</f>
        <v>310</v>
      </c>
      <c r="AI290" s="385" t="str">
        <f>IFERROR(__xludf.DUMMYFUNCTION("""COMPUTED_VALUE"""),"持続型")</f>
        <v>持続型</v>
      </c>
      <c r="AJ290" s="386">
        <f>IFERROR(__xludf.DUMMYFUNCTION("""COMPUTED_VALUE"""),1.0)</f>
        <v>1</v>
      </c>
      <c r="AK290" s="387" t="str">
        <f>IFERROR(__xludf.DUMMYFUNCTION("""COMPUTED_VALUE"""),"効果時間")</f>
        <v>効果時間</v>
      </c>
      <c r="AL290" s="392">
        <f>IFERROR(__xludf.DUMMYFUNCTION("""COMPUTED_VALUE"""),450.0)</f>
        <v>450</v>
      </c>
      <c r="AM290" s="393">
        <f>IFERROR(__xludf.DUMMYFUNCTION("""COMPUTED_VALUE"""),450.0)</f>
        <v>450</v>
      </c>
      <c r="AN290" s="393">
        <f>IFERROR(__xludf.DUMMYFUNCTION("""COMPUTED_VALUE"""),450.0)</f>
        <v>450</v>
      </c>
      <c r="AO290" s="393">
        <f>IFERROR(__xludf.DUMMYFUNCTION("""COMPUTED_VALUE"""),450.0)</f>
        <v>450</v>
      </c>
      <c r="AP290" s="393">
        <f>IFERROR(__xludf.DUMMYFUNCTION("""COMPUTED_VALUE"""),450.0)</f>
        <v>450</v>
      </c>
      <c r="AQ290" s="393">
        <f>IFERROR(__xludf.DUMMYFUNCTION("""COMPUTED_VALUE"""),450.0)</f>
        <v>450</v>
      </c>
      <c r="AR290" s="393">
        <f>IFERROR(__xludf.DUMMYFUNCTION("""COMPUTED_VALUE"""),460.0)</f>
        <v>460</v>
      </c>
      <c r="AS290" s="394">
        <f>IFERROR(__xludf.DUMMYFUNCTION("""COMPUTED_VALUE"""),460.0)</f>
        <v>460</v>
      </c>
      <c r="AT290" s="385" t="str">
        <f>IFERROR(__xludf.DUMMYFUNCTION("""COMPUTED_VALUE"""),"超持続型")</f>
        <v>超持続型</v>
      </c>
      <c r="AU290" s="386">
        <f>IFERROR(__xludf.DUMMYFUNCTION("""COMPUTED_VALUE"""),1.0)</f>
        <v>1</v>
      </c>
      <c r="AV290" s="387" t="str">
        <f>IFERROR(__xludf.DUMMYFUNCTION("""COMPUTED_VALUE"""),"効果時間")</f>
        <v>効果時間</v>
      </c>
      <c r="AW290" s="395" t="str">
        <f>IFERROR(__xludf.DUMMYFUNCTION("""COMPUTED_VALUE"""),"-")</f>
        <v>-</v>
      </c>
      <c r="AX290" s="396" t="str">
        <f>IFERROR(__xludf.DUMMYFUNCTION("""COMPUTED_VALUE"""),"-")</f>
        <v>-</v>
      </c>
      <c r="AY290" s="396" t="str">
        <f>IFERROR(__xludf.DUMMYFUNCTION("""COMPUTED_VALUE"""),"-")</f>
        <v>-</v>
      </c>
      <c r="AZ290" s="396" t="str">
        <f>IFERROR(__xludf.DUMMYFUNCTION("""COMPUTED_VALUE"""),"-")</f>
        <v>-</v>
      </c>
      <c r="BA290" s="396" t="str">
        <f>IFERROR(__xludf.DUMMYFUNCTION("""COMPUTED_VALUE"""),"-")</f>
        <v>-</v>
      </c>
      <c r="BB290" s="393">
        <f>IFERROR(__xludf.DUMMYFUNCTION("""COMPUTED_VALUE"""),600.0)</f>
        <v>600</v>
      </c>
      <c r="BC290" s="393">
        <f>IFERROR(__xludf.DUMMYFUNCTION("""COMPUTED_VALUE"""),610.0)</f>
        <v>610</v>
      </c>
      <c r="BD290" s="394">
        <f>IFERROR(__xludf.DUMMYFUNCTION("""COMPUTED_VALUE"""),610.0)</f>
        <v>610</v>
      </c>
      <c r="BE290" s="385" t="str">
        <f>IFERROR(__xludf.DUMMYFUNCTION("""COMPUTED_VALUE"""),"ハイブリッド型")</f>
        <v>ハイブリッド型</v>
      </c>
      <c r="BF290" s="386">
        <f>IFERROR(__xludf.DUMMYFUNCTION("""COMPUTED_VALUE"""),1.0)</f>
        <v>1</v>
      </c>
      <c r="BG290" s="387" t="str">
        <f>IFERROR(__xludf.DUMMYFUNCTION("""COMPUTED_VALUE"""),"効果時間")</f>
        <v>効果時間</v>
      </c>
      <c r="BH290" s="397">
        <f>IFERROR(__xludf.DUMMYFUNCTION("""COMPUTED_VALUE"""),150.0)</f>
        <v>150</v>
      </c>
      <c r="BI290" s="397">
        <f>IFERROR(__xludf.DUMMYFUNCTION("""COMPUTED_VALUE"""),150.0)</f>
        <v>150</v>
      </c>
      <c r="BJ290" s="397">
        <f>IFERROR(__xludf.DUMMYFUNCTION("""COMPUTED_VALUE"""),150.0)</f>
        <v>150</v>
      </c>
      <c r="BK290" s="398">
        <f>IFERROR(__xludf.DUMMYFUNCTION("""COMPUTED_VALUE"""),150.0)</f>
        <v>150</v>
      </c>
      <c r="BL290" s="397">
        <f>IFERROR(__xludf.DUMMYFUNCTION("""COMPUTED_VALUE"""),150.0)</f>
        <v>150</v>
      </c>
      <c r="BM290" s="398">
        <f>IFERROR(__xludf.DUMMYFUNCTION("""COMPUTED_VALUE"""),350.0)</f>
        <v>350</v>
      </c>
      <c r="BN290" s="397">
        <f>IFERROR(__xludf.DUMMYFUNCTION("""COMPUTED_VALUE"""),460.0)</f>
        <v>460</v>
      </c>
      <c r="BO290" s="398">
        <f>IFERROR(__xludf.DUMMYFUNCTION("""COMPUTED_VALUE"""),460.0)</f>
        <v>460</v>
      </c>
    </row>
    <row r="291">
      <c r="A291" s="435" t="str">
        <f>IFERROR(__xludf.DUMMYFUNCTION("""COMPUTED_VALUE"""),"攻撃力UP(ディフェンス)")</f>
        <v>攻撃力UP(ディフェンス)</v>
      </c>
      <c r="B291" s="385" t="str">
        <f>IFERROR(__xludf.DUMMYFUNCTION("""COMPUTED_VALUE"""),"超瞬間型")</f>
        <v>超瞬間型</v>
      </c>
      <c r="C291" s="399">
        <f>IFERROR(__xludf.DUMMYFUNCTION("""COMPUTED_VALUE"""),2.0)</f>
        <v>2</v>
      </c>
      <c r="D291" s="400" t="str">
        <f>IFERROR(__xludf.DUMMYFUNCTION("""COMPUTED_VALUE"""),"効果値")</f>
        <v>効果値</v>
      </c>
      <c r="E291" s="401" t="str">
        <f>IFERROR(__xludf.DUMMYFUNCTION("""COMPUTED_VALUE"""),"-")</f>
        <v>-</v>
      </c>
      <c r="F291" s="401" t="str">
        <f>IFERROR(__xludf.DUMMYFUNCTION("""COMPUTED_VALUE"""),"-")</f>
        <v>-</v>
      </c>
      <c r="G291" s="401" t="str">
        <f>IFERROR(__xludf.DUMMYFUNCTION("""COMPUTED_VALUE"""),"-")</f>
        <v>-</v>
      </c>
      <c r="H291" s="401" t="str">
        <f>IFERROR(__xludf.DUMMYFUNCTION("""COMPUTED_VALUE"""),"-")</f>
        <v>-</v>
      </c>
      <c r="I291" s="401" t="str">
        <f>IFERROR(__xludf.DUMMYFUNCTION("""COMPUTED_VALUE"""),"-")</f>
        <v>-</v>
      </c>
      <c r="J291" s="318">
        <f>IFERROR(__xludf.DUMMYFUNCTION("""COMPUTED_VALUE"""),57.0)</f>
        <v>57</v>
      </c>
      <c r="K291" s="318">
        <f>IFERROR(__xludf.DUMMYFUNCTION("""COMPUTED_VALUE"""),67.0)</f>
        <v>67</v>
      </c>
      <c r="L291" s="318">
        <f>IFERROR(__xludf.DUMMYFUNCTION("""COMPUTED_VALUE"""),69.0)</f>
        <v>69</v>
      </c>
      <c r="M291" s="385" t="str">
        <f>IFERROR(__xludf.DUMMYFUNCTION("""COMPUTED_VALUE"""),"瞬間型")</f>
        <v>瞬間型</v>
      </c>
      <c r="N291" s="399">
        <f>IFERROR(__xludf.DUMMYFUNCTION("""COMPUTED_VALUE"""),2.0)</f>
        <v>2</v>
      </c>
      <c r="O291" s="400" t="str">
        <f>IFERROR(__xludf.DUMMYFUNCTION("""COMPUTED_VALUE"""),"効果値")</f>
        <v>効果値</v>
      </c>
      <c r="P291" s="343">
        <f>IFERROR(__xludf.DUMMYFUNCTION("""COMPUTED_VALUE"""),21.0)</f>
        <v>21</v>
      </c>
      <c r="Q291" s="402">
        <f>IFERROR(__xludf.DUMMYFUNCTION("""COMPUTED_VALUE"""),21.0)</f>
        <v>21</v>
      </c>
      <c r="R291" s="343">
        <f>IFERROR(__xludf.DUMMYFUNCTION("""COMPUTED_VALUE"""),22.0)</f>
        <v>22</v>
      </c>
      <c r="S291" s="402">
        <f>IFERROR(__xludf.DUMMYFUNCTION("""COMPUTED_VALUE"""),22.0)</f>
        <v>22</v>
      </c>
      <c r="T291" s="343">
        <f>IFERROR(__xludf.DUMMYFUNCTION("""COMPUTED_VALUE"""),22.0)</f>
        <v>22</v>
      </c>
      <c r="U291" s="343">
        <f>IFERROR(__xludf.DUMMYFUNCTION("""COMPUTED_VALUE"""),27.0)</f>
        <v>27</v>
      </c>
      <c r="V291" s="343">
        <f>IFERROR(__xludf.DUMMYFUNCTION("""COMPUTED_VALUE"""),32.0)</f>
        <v>32</v>
      </c>
      <c r="W291" s="343">
        <f>IFERROR(__xludf.DUMMYFUNCTION("""COMPUTED_VALUE"""),34.0)</f>
        <v>34</v>
      </c>
      <c r="X291" s="385" t="str">
        <f>IFERROR(__xludf.DUMMYFUNCTION("""COMPUTED_VALUE"""),"安定型")</f>
        <v>安定型</v>
      </c>
      <c r="Y291" s="399">
        <f>IFERROR(__xludf.DUMMYFUNCTION("""COMPUTED_VALUE"""),2.0)</f>
        <v>2</v>
      </c>
      <c r="Z291" s="400" t="str">
        <f>IFERROR(__xludf.DUMMYFUNCTION("""COMPUTED_VALUE"""),"効果値")</f>
        <v>効果値</v>
      </c>
      <c r="AA291" s="343">
        <f>IFERROR(__xludf.DUMMYFUNCTION("""COMPUTED_VALUE"""),11.0)</f>
        <v>11</v>
      </c>
      <c r="AB291" s="402">
        <f>IFERROR(__xludf.DUMMYFUNCTION("""COMPUTED_VALUE"""),11.0)</f>
        <v>11</v>
      </c>
      <c r="AC291" s="343">
        <f>IFERROR(__xludf.DUMMYFUNCTION("""COMPUTED_VALUE"""),12.0)</f>
        <v>12</v>
      </c>
      <c r="AD291" s="402">
        <f>IFERROR(__xludf.DUMMYFUNCTION("""COMPUTED_VALUE"""),12.0)</f>
        <v>12</v>
      </c>
      <c r="AE291" s="343">
        <f>IFERROR(__xludf.DUMMYFUNCTION("""COMPUTED_VALUE"""),12.0)</f>
        <v>12</v>
      </c>
      <c r="AF291" s="343">
        <f>IFERROR(__xludf.DUMMYFUNCTION("""COMPUTED_VALUE"""),12.0)</f>
        <v>12</v>
      </c>
      <c r="AG291" s="343">
        <f>IFERROR(__xludf.DUMMYFUNCTION("""COMPUTED_VALUE"""),17.0)</f>
        <v>17</v>
      </c>
      <c r="AH291" s="343">
        <f>IFERROR(__xludf.DUMMYFUNCTION("""COMPUTED_VALUE"""),19.0)</f>
        <v>19</v>
      </c>
      <c r="AI291" s="385" t="str">
        <f>IFERROR(__xludf.DUMMYFUNCTION("""COMPUTED_VALUE"""),"持続型")</f>
        <v>持続型</v>
      </c>
      <c r="AJ291" s="399">
        <f>IFERROR(__xludf.DUMMYFUNCTION("""COMPUTED_VALUE"""),2.0)</f>
        <v>2</v>
      </c>
      <c r="AK291" s="400" t="str">
        <f>IFERROR(__xludf.DUMMYFUNCTION("""COMPUTED_VALUE"""),"効果値")</f>
        <v>効果値</v>
      </c>
      <c r="AL291" s="343">
        <f>IFERROR(__xludf.DUMMYFUNCTION("""COMPUTED_VALUE"""),6.0)</f>
        <v>6</v>
      </c>
      <c r="AM291" s="402">
        <f>IFERROR(__xludf.DUMMYFUNCTION("""COMPUTED_VALUE"""),6.0)</f>
        <v>6</v>
      </c>
      <c r="AN291" s="343">
        <f>IFERROR(__xludf.DUMMYFUNCTION("""COMPUTED_VALUE"""),7.0)</f>
        <v>7</v>
      </c>
      <c r="AO291" s="402">
        <f>IFERROR(__xludf.DUMMYFUNCTION("""COMPUTED_VALUE"""),7.0)</f>
        <v>7</v>
      </c>
      <c r="AP291" s="343">
        <f>IFERROR(__xludf.DUMMYFUNCTION("""COMPUTED_VALUE"""),7.0)</f>
        <v>7</v>
      </c>
      <c r="AQ291" s="343">
        <f>IFERROR(__xludf.DUMMYFUNCTION("""COMPUTED_VALUE"""),7.0)</f>
        <v>7</v>
      </c>
      <c r="AR291" s="343">
        <f>IFERROR(__xludf.DUMMYFUNCTION("""COMPUTED_VALUE"""),11.0)</f>
        <v>11</v>
      </c>
      <c r="AS291" s="343">
        <f>IFERROR(__xludf.DUMMYFUNCTION("""COMPUTED_VALUE"""),11.0)</f>
        <v>11</v>
      </c>
      <c r="AT291" s="385" t="str">
        <f>IFERROR(__xludf.DUMMYFUNCTION("""COMPUTED_VALUE"""),"超持続型")</f>
        <v>超持続型</v>
      </c>
      <c r="AU291" s="399">
        <f>IFERROR(__xludf.DUMMYFUNCTION("""COMPUTED_VALUE"""),2.0)</f>
        <v>2</v>
      </c>
      <c r="AV291" s="400" t="str">
        <f>IFERROR(__xludf.DUMMYFUNCTION("""COMPUTED_VALUE"""),"効果値")</f>
        <v>効果値</v>
      </c>
      <c r="AW291" s="403" t="str">
        <f>IFERROR(__xludf.DUMMYFUNCTION("""COMPUTED_VALUE"""),"-")</f>
        <v>-</v>
      </c>
      <c r="AX291" s="403" t="str">
        <f>IFERROR(__xludf.DUMMYFUNCTION("""COMPUTED_VALUE"""),"-")</f>
        <v>-</v>
      </c>
      <c r="AY291" s="403" t="str">
        <f>IFERROR(__xludf.DUMMYFUNCTION("""COMPUTED_VALUE"""),"-")</f>
        <v>-</v>
      </c>
      <c r="AZ291" s="403" t="str">
        <f>IFERROR(__xludf.DUMMYFUNCTION("""COMPUTED_VALUE"""),"-")</f>
        <v>-</v>
      </c>
      <c r="BA291" s="403" t="str">
        <f>IFERROR(__xludf.DUMMYFUNCTION("""COMPUTED_VALUE"""),"-")</f>
        <v>-</v>
      </c>
      <c r="BB291" s="343">
        <f>IFERROR(__xludf.DUMMYFUNCTION("""COMPUTED_VALUE"""),7.0)</f>
        <v>7</v>
      </c>
      <c r="BC291" s="343">
        <f>IFERROR(__xludf.DUMMYFUNCTION("""COMPUTED_VALUE"""),11.0)</f>
        <v>11</v>
      </c>
      <c r="BD291" s="343">
        <f>IFERROR(__xludf.DUMMYFUNCTION("""COMPUTED_VALUE"""),11.0)</f>
        <v>11</v>
      </c>
      <c r="BE291" s="385" t="str">
        <f>IFERROR(__xludf.DUMMYFUNCTION("""COMPUTED_VALUE"""),"ハイブリッド型")</f>
        <v>ハイブリッド型</v>
      </c>
      <c r="BF291" s="399">
        <f>IFERROR(__xludf.DUMMYFUNCTION("""COMPUTED_VALUE"""),2.0)</f>
        <v>2</v>
      </c>
      <c r="BG291" s="400" t="str">
        <f>IFERROR(__xludf.DUMMYFUNCTION("""COMPUTED_VALUE"""),"効果値")</f>
        <v>効果値</v>
      </c>
      <c r="BH291" s="404">
        <f>IFERROR(__xludf.DUMMYFUNCTION("""COMPUTED_VALUE"""),10.8)</f>
        <v>10.8</v>
      </c>
      <c r="BI291" s="405">
        <f>IFERROR(__xludf.DUMMYFUNCTION("""COMPUTED_VALUE"""),11.2)</f>
        <v>11.2</v>
      </c>
      <c r="BJ291" s="405">
        <f>IFERROR(__xludf.DUMMYFUNCTION("""COMPUTED_VALUE"""),11.5)</f>
        <v>11.5</v>
      </c>
      <c r="BK291" s="405">
        <f>IFERROR(__xludf.DUMMYFUNCTION("""COMPUTED_VALUE"""),11.8)</f>
        <v>11.8</v>
      </c>
      <c r="BL291" s="405">
        <f>IFERROR(__xludf.DUMMYFUNCTION("""COMPUTED_VALUE"""),12.1)</f>
        <v>12.1</v>
      </c>
      <c r="BM291" s="405">
        <f>IFERROR(__xludf.DUMMYFUNCTION("""COMPUTED_VALUE"""),17.1)</f>
        <v>17.1</v>
      </c>
      <c r="BN291" s="405">
        <f>IFERROR(__xludf.DUMMYFUNCTION("""COMPUTED_VALUE"""),22.0)</f>
        <v>22</v>
      </c>
      <c r="BO291" s="406">
        <f>IFERROR(__xludf.DUMMYFUNCTION("""COMPUTED_VALUE"""),24.0)</f>
        <v>24</v>
      </c>
    </row>
    <row r="292">
      <c r="A292" s="435" t="str">
        <f>IFERROR(__xludf.DUMMYFUNCTION("""COMPUTED_VALUE"""),"攻撃力UP(ディフェンス)")</f>
        <v>攻撃力UP(ディフェンス)</v>
      </c>
      <c r="B292" s="385" t="str">
        <f>IFERROR(__xludf.DUMMYFUNCTION("""COMPUTED_VALUE"""),"超瞬間型")</f>
        <v>超瞬間型</v>
      </c>
      <c r="C292" s="386">
        <f>IFERROR(__xludf.DUMMYFUNCTION("""COMPUTED_VALUE"""),2.0)</f>
        <v>2</v>
      </c>
      <c r="D292" s="387" t="str">
        <f>IFERROR(__xludf.DUMMYFUNCTION("""COMPUTED_VALUE"""),"効果時間")</f>
        <v>効果時間</v>
      </c>
      <c r="E292" s="388" t="str">
        <f>IFERROR(__xludf.DUMMYFUNCTION("""COMPUTED_VALUE"""),"-")</f>
        <v>-</v>
      </c>
      <c r="F292" s="389" t="str">
        <f>IFERROR(__xludf.DUMMYFUNCTION("""COMPUTED_VALUE"""),"-")</f>
        <v>-</v>
      </c>
      <c r="G292" s="388" t="str">
        <f>IFERROR(__xludf.DUMMYFUNCTION("""COMPUTED_VALUE"""),"-")</f>
        <v>-</v>
      </c>
      <c r="H292" s="389" t="str">
        <f>IFERROR(__xludf.DUMMYFUNCTION("""COMPUTED_VALUE"""),"-")</f>
        <v>-</v>
      </c>
      <c r="I292" s="388" t="str">
        <f>IFERROR(__xludf.DUMMYFUNCTION("""COMPUTED_VALUE"""),"-")</f>
        <v>-</v>
      </c>
      <c r="J292" s="390">
        <f>IFERROR(__xludf.DUMMYFUNCTION("""COMPUTED_VALUE"""),150.0)</f>
        <v>150</v>
      </c>
      <c r="K292" s="391">
        <f>IFERROR(__xludf.DUMMYFUNCTION("""COMPUTED_VALUE"""),160.0)</f>
        <v>160</v>
      </c>
      <c r="L292" s="340">
        <f>IFERROR(__xludf.DUMMYFUNCTION("""COMPUTED_VALUE"""),170.0)</f>
        <v>170</v>
      </c>
      <c r="M292" s="385" t="str">
        <f>IFERROR(__xludf.DUMMYFUNCTION("""COMPUTED_VALUE"""),"瞬間型")</f>
        <v>瞬間型</v>
      </c>
      <c r="N292" s="386">
        <f>IFERROR(__xludf.DUMMYFUNCTION("""COMPUTED_VALUE"""),2.0)</f>
        <v>2</v>
      </c>
      <c r="O292" s="387" t="str">
        <f>IFERROR(__xludf.DUMMYFUNCTION("""COMPUTED_VALUE"""),"効果時間")</f>
        <v>効果時間</v>
      </c>
      <c r="P292" s="392">
        <f>IFERROR(__xludf.DUMMYFUNCTION("""COMPUTED_VALUE"""),160.0)</f>
        <v>160</v>
      </c>
      <c r="Q292" s="275">
        <f>IFERROR(__xludf.DUMMYFUNCTION("""COMPUTED_VALUE"""),165.0)</f>
        <v>165</v>
      </c>
      <c r="R292" s="280">
        <f>IFERROR(__xludf.DUMMYFUNCTION("""COMPUTED_VALUE"""),170.0)</f>
        <v>170</v>
      </c>
      <c r="S292" s="275">
        <f>IFERROR(__xludf.DUMMYFUNCTION("""COMPUTED_VALUE"""),175.0)</f>
        <v>175</v>
      </c>
      <c r="T292" s="280">
        <f>IFERROR(__xludf.DUMMYFUNCTION("""COMPUTED_VALUE"""),180.0)</f>
        <v>180</v>
      </c>
      <c r="U292" s="280">
        <f>IFERROR(__xludf.DUMMYFUNCTION("""COMPUTED_VALUE"""),180.0)</f>
        <v>180</v>
      </c>
      <c r="V292" s="280">
        <f>IFERROR(__xludf.DUMMYFUNCTION("""COMPUTED_VALUE"""),220.0)</f>
        <v>220</v>
      </c>
      <c r="W292" s="280">
        <f>IFERROR(__xludf.DUMMYFUNCTION("""COMPUTED_VALUE"""),230.0)</f>
        <v>230</v>
      </c>
      <c r="X292" s="385" t="str">
        <f>IFERROR(__xludf.DUMMYFUNCTION("""COMPUTED_VALUE"""),"安定型")</f>
        <v>安定型</v>
      </c>
      <c r="Y292" s="386">
        <f>IFERROR(__xludf.DUMMYFUNCTION("""COMPUTED_VALUE"""),2.0)</f>
        <v>2</v>
      </c>
      <c r="Z292" s="387" t="str">
        <f>IFERROR(__xludf.DUMMYFUNCTION("""COMPUTED_VALUE"""),"効果時間")</f>
        <v>効果時間</v>
      </c>
      <c r="AA292" s="392">
        <f>IFERROR(__xludf.DUMMYFUNCTION("""COMPUTED_VALUE"""),310.0)</f>
        <v>310</v>
      </c>
      <c r="AB292" s="275">
        <f>IFERROR(__xludf.DUMMYFUNCTION("""COMPUTED_VALUE"""),315.0)</f>
        <v>315</v>
      </c>
      <c r="AC292" s="280">
        <f>IFERROR(__xludf.DUMMYFUNCTION("""COMPUTED_VALUE"""),320.0)</f>
        <v>320</v>
      </c>
      <c r="AD292" s="275">
        <f>IFERROR(__xludf.DUMMYFUNCTION("""COMPUTED_VALUE"""),325.0)</f>
        <v>325</v>
      </c>
      <c r="AE292" s="280">
        <f>IFERROR(__xludf.DUMMYFUNCTION("""COMPUTED_VALUE"""),330.0)</f>
        <v>330</v>
      </c>
      <c r="AF292" s="280">
        <f>IFERROR(__xludf.DUMMYFUNCTION("""COMPUTED_VALUE"""),345.0)</f>
        <v>345</v>
      </c>
      <c r="AG292" s="280">
        <f>IFERROR(__xludf.DUMMYFUNCTION("""COMPUTED_VALUE"""),370.0)</f>
        <v>370</v>
      </c>
      <c r="AH292" s="280">
        <f>IFERROR(__xludf.DUMMYFUNCTION("""COMPUTED_VALUE"""),380.0)</f>
        <v>380</v>
      </c>
      <c r="AI292" s="385" t="str">
        <f>IFERROR(__xludf.DUMMYFUNCTION("""COMPUTED_VALUE"""),"持続型")</f>
        <v>持続型</v>
      </c>
      <c r="AJ292" s="386">
        <f>IFERROR(__xludf.DUMMYFUNCTION("""COMPUTED_VALUE"""),2.0)</f>
        <v>2</v>
      </c>
      <c r="AK292" s="387" t="str">
        <f>IFERROR(__xludf.DUMMYFUNCTION("""COMPUTED_VALUE"""),"効果時間")</f>
        <v>効果時間</v>
      </c>
      <c r="AL292" s="392">
        <f>IFERROR(__xludf.DUMMYFUNCTION("""COMPUTED_VALUE"""),460.0)</f>
        <v>460</v>
      </c>
      <c r="AM292" s="275">
        <f>IFERROR(__xludf.DUMMYFUNCTION("""COMPUTED_VALUE"""),465.0)</f>
        <v>465</v>
      </c>
      <c r="AN292" s="280">
        <f>IFERROR(__xludf.DUMMYFUNCTION("""COMPUTED_VALUE"""),470.0)</f>
        <v>470</v>
      </c>
      <c r="AO292" s="275">
        <f>IFERROR(__xludf.DUMMYFUNCTION("""COMPUTED_VALUE"""),475.0)</f>
        <v>475</v>
      </c>
      <c r="AP292" s="280">
        <f>IFERROR(__xludf.DUMMYFUNCTION("""COMPUTED_VALUE"""),480.0)</f>
        <v>480</v>
      </c>
      <c r="AQ292" s="280">
        <f>IFERROR(__xludf.DUMMYFUNCTION("""COMPUTED_VALUE"""),495.0)</f>
        <v>495</v>
      </c>
      <c r="AR292" s="280">
        <f>IFERROR(__xludf.DUMMYFUNCTION("""COMPUTED_VALUE"""),520.0)</f>
        <v>520</v>
      </c>
      <c r="AS292" s="280">
        <f>IFERROR(__xludf.DUMMYFUNCTION("""COMPUTED_VALUE"""),530.0)</f>
        <v>530</v>
      </c>
      <c r="AT292" s="385" t="str">
        <f>IFERROR(__xludf.DUMMYFUNCTION("""COMPUTED_VALUE"""),"超持続型")</f>
        <v>超持続型</v>
      </c>
      <c r="AU292" s="386">
        <f>IFERROR(__xludf.DUMMYFUNCTION("""COMPUTED_VALUE"""),2.0)</f>
        <v>2</v>
      </c>
      <c r="AV292" s="387" t="str">
        <f>IFERROR(__xludf.DUMMYFUNCTION("""COMPUTED_VALUE"""),"効果時間")</f>
        <v>効果時間</v>
      </c>
      <c r="AW292" s="368" t="str">
        <f>IFERROR(__xludf.DUMMYFUNCTION("""COMPUTED_VALUE"""),"-")</f>
        <v>-</v>
      </c>
      <c r="AX292" s="368" t="str">
        <f>IFERROR(__xludf.DUMMYFUNCTION("""COMPUTED_VALUE"""),"-")</f>
        <v>-</v>
      </c>
      <c r="AY292" s="368" t="str">
        <f>IFERROR(__xludf.DUMMYFUNCTION("""COMPUTED_VALUE"""),"-")</f>
        <v>-</v>
      </c>
      <c r="AZ292" s="368" t="str">
        <f>IFERROR(__xludf.DUMMYFUNCTION("""COMPUTED_VALUE"""),"-")</f>
        <v>-</v>
      </c>
      <c r="BA292" s="368" t="str">
        <f>IFERROR(__xludf.DUMMYFUNCTION("""COMPUTED_VALUE"""),"-")</f>
        <v>-</v>
      </c>
      <c r="BB292" s="280">
        <f>IFERROR(__xludf.DUMMYFUNCTION("""COMPUTED_VALUE"""),625.0)</f>
        <v>625</v>
      </c>
      <c r="BC292" s="280">
        <f>IFERROR(__xludf.DUMMYFUNCTION("""COMPUTED_VALUE"""),670.0)</f>
        <v>670</v>
      </c>
      <c r="BD292" s="280">
        <f>IFERROR(__xludf.DUMMYFUNCTION("""COMPUTED_VALUE"""),680.0)</f>
        <v>680</v>
      </c>
      <c r="BE292" s="385" t="str">
        <f>IFERROR(__xludf.DUMMYFUNCTION("""COMPUTED_VALUE"""),"ハイブリッド型")</f>
        <v>ハイブリッド型</v>
      </c>
      <c r="BF292" s="386">
        <f>IFERROR(__xludf.DUMMYFUNCTION("""COMPUTED_VALUE"""),2.0)</f>
        <v>2</v>
      </c>
      <c r="BG292" s="387" t="str">
        <f>IFERROR(__xludf.DUMMYFUNCTION("""COMPUTED_VALUE"""),"効果時間")</f>
        <v>効果時間</v>
      </c>
      <c r="BH292" s="407">
        <f>IFERROR(__xludf.DUMMYFUNCTION("""COMPUTED_VALUE"""),195.0)</f>
        <v>195</v>
      </c>
      <c r="BI292" s="407">
        <f>IFERROR(__xludf.DUMMYFUNCTION("""COMPUTED_VALUE"""),205.0)</f>
        <v>205</v>
      </c>
      <c r="BJ292" s="407">
        <f>IFERROR(__xludf.DUMMYFUNCTION("""COMPUTED_VALUE"""),205.0)</f>
        <v>205</v>
      </c>
      <c r="BK292" s="408">
        <f>IFERROR(__xludf.DUMMYFUNCTION("""COMPUTED_VALUE"""),210.0)</f>
        <v>210</v>
      </c>
      <c r="BL292" s="407">
        <f>IFERROR(__xludf.DUMMYFUNCTION("""COMPUTED_VALUE"""),215.0)</f>
        <v>215</v>
      </c>
      <c r="BM292" s="408">
        <f>IFERROR(__xludf.DUMMYFUNCTION("""COMPUTED_VALUE"""),375.0)</f>
        <v>375</v>
      </c>
      <c r="BN292" s="407">
        <f>IFERROR(__xludf.DUMMYFUNCTION("""COMPUTED_VALUE"""),480.0)</f>
        <v>480</v>
      </c>
      <c r="BO292" s="408">
        <f>IFERROR(__xludf.DUMMYFUNCTION("""COMPUTED_VALUE"""),490.0)</f>
        <v>490</v>
      </c>
    </row>
    <row r="293">
      <c r="A293" s="435" t="str">
        <f>IFERROR(__xludf.DUMMYFUNCTION("""COMPUTED_VALUE"""),"攻撃力UP(ディフェンス)")</f>
        <v>攻撃力UP(ディフェンス)</v>
      </c>
      <c r="B293" s="385" t="str">
        <f>IFERROR(__xludf.DUMMYFUNCTION("""COMPUTED_VALUE"""),"超瞬間型")</f>
        <v>超瞬間型</v>
      </c>
      <c r="C293" s="399">
        <f>IFERROR(__xludf.DUMMYFUNCTION("""COMPUTED_VALUE"""),3.0)</f>
        <v>3</v>
      </c>
      <c r="D293" s="400" t="str">
        <f>IFERROR(__xludf.DUMMYFUNCTION("""COMPUTED_VALUE"""),"効果値")</f>
        <v>効果値</v>
      </c>
      <c r="E293" s="401" t="str">
        <f>IFERROR(__xludf.DUMMYFUNCTION("""COMPUTED_VALUE"""),"-")</f>
        <v>-</v>
      </c>
      <c r="F293" s="409" t="str">
        <f>IFERROR(__xludf.DUMMYFUNCTION("""COMPUTED_VALUE"""),"-")</f>
        <v>-</v>
      </c>
      <c r="G293" s="401" t="str">
        <f>IFERROR(__xludf.DUMMYFUNCTION("""COMPUTED_VALUE"""),"-")</f>
        <v>-</v>
      </c>
      <c r="H293" s="409" t="str">
        <f>IFERROR(__xludf.DUMMYFUNCTION("""COMPUTED_VALUE"""),"-")</f>
        <v>-</v>
      </c>
      <c r="I293" s="409" t="str">
        <f>IFERROR(__xludf.DUMMYFUNCTION("""COMPUTED_VALUE"""),"-")</f>
        <v>-</v>
      </c>
      <c r="J293" s="410">
        <f>IFERROR(__xludf.DUMMYFUNCTION("""COMPUTED_VALUE"""),58.0)</f>
        <v>58</v>
      </c>
      <c r="K293" s="410">
        <f>IFERROR(__xludf.DUMMYFUNCTION("""COMPUTED_VALUE"""),68.0)</f>
        <v>68</v>
      </c>
      <c r="L293" s="410">
        <f>IFERROR(__xludf.DUMMYFUNCTION("""COMPUTED_VALUE"""),72.0)</f>
        <v>72</v>
      </c>
      <c r="M293" s="385" t="str">
        <f>IFERROR(__xludf.DUMMYFUNCTION("""COMPUTED_VALUE"""),"瞬間型")</f>
        <v>瞬間型</v>
      </c>
      <c r="N293" s="399">
        <f>IFERROR(__xludf.DUMMYFUNCTION("""COMPUTED_VALUE"""),3.0)</f>
        <v>3</v>
      </c>
      <c r="O293" s="400" t="str">
        <f>IFERROR(__xludf.DUMMYFUNCTION("""COMPUTED_VALUE"""),"効果値")</f>
        <v>効果値</v>
      </c>
      <c r="P293" s="343">
        <f>IFERROR(__xludf.DUMMYFUNCTION("""COMPUTED_VALUE"""),22.0)</f>
        <v>22</v>
      </c>
      <c r="Q293" s="402">
        <f>IFERROR(__xludf.DUMMYFUNCTION("""COMPUTED_VALUE"""),22.0)</f>
        <v>22</v>
      </c>
      <c r="R293" s="402">
        <f>IFERROR(__xludf.DUMMYFUNCTION("""COMPUTED_VALUE"""),23.0)</f>
        <v>23</v>
      </c>
      <c r="S293" s="402">
        <f>IFERROR(__xludf.DUMMYFUNCTION("""COMPUTED_VALUE"""),23.0)</f>
        <v>23</v>
      </c>
      <c r="T293" s="402">
        <f>IFERROR(__xludf.DUMMYFUNCTION("""COMPUTED_VALUE"""),23.0)</f>
        <v>23</v>
      </c>
      <c r="U293" s="402">
        <f>IFERROR(__xludf.DUMMYFUNCTION("""COMPUTED_VALUE"""),28.0)</f>
        <v>28</v>
      </c>
      <c r="V293" s="402">
        <f>IFERROR(__xludf.DUMMYFUNCTION("""COMPUTED_VALUE"""),33.0)</f>
        <v>33</v>
      </c>
      <c r="W293" s="402">
        <f>IFERROR(__xludf.DUMMYFUNCTION("""COMPUTED_VALUE"""),37.0)</f>
        <v>37</v>
      </c>
      <c r="X293" s="385" t="str">
        <f>IFERROR(__xludf.DUMMYFUNCTION("""COMPUTED_VALUE"""),"安定型")</f>
        <v>安定型</v>
      </c>
      <c r="Y293" s="399">
        <f>IFERROR(__xludf.DUMMYFUNCTION("""COMPUTED_VALUE"""),3.0)</f>
        <v>3</v>
      </c>
      <c r="Z293" s="400" t="str">
        <f>IFERROR(__xludf.DUMMYFUNCTION("""COMPUTED_VALUE"""),"効果値")</f>
        <v>効果値</v>
      </c>
      <c r="AA293" s="343">
        <f>IFERROR(__xludf.DUMMYFUNCTION("""COMPUTED_VALUE"""),12.0)</f>
        <v>12</v>
      </c>
      <c r="AB293" s="402">
        <f>IFERROR(__xludf.DUMMYFUNCTION("""COMPUTED_VALUE"""),12.0)</f>
        <v>12</v>
      </c>
      <c r="AC293" s="402">
        <f>IFERROR(__xludf.DUMMYFUNCTION("""COMPUTED_VALUE"""),13.0)</f>
        <v>13</v>
      </c>
      <c r="AD293" s="402">
        <f>IFERROR(__xludf.DUMMYFUNCTION("""COMPUTED_VALUE"""),13.0)</f>
        <v>13</v>
      </c>
      <c r="AE293" s="402">
        <f>IFERROR(__xludf.DUMMYFUNCTION("""COMPUTED_VALUE"""),13.0)</f>
        <v>13</v>
      </c>
      <c r="AF293" s="402">
        <f>IFERROR(__xludf.DUMMYFUNCTION("""COMPUTED_VALUE"""),13.0)</f>
        <v>13</v>
      </c>
      <c r="AG293" s="402">
        <f>IFERROR(__xludf.DUMMYFUNCTION("""COMPUTED_VALUE"""),18.0)</f>
        <v>18</v>
      </c>
      <c r="AH293" s="402">
        <f>IFERROR(__xludf.DUMMYFUNCTION("""COMPUTED_VALUE"""),22.0)</f>
        <v>22</v>
      </c>
      <c r="AI293" s="385" t="str">
        <f>IFERROR(__xludf.DUMMYFUNCTION("""COMPUTED_VALUE"""),"持続型")</f>
        <v>持続型</v>
      </c>
      <c r="AJ293" s="399">
        <f>IFERROR(__xludf.DUMMYFUNCTION("""COMPUTED_VALUE"""),3.0)</f>
        <v>3</v>
      </c>
      <c r="AK293" s="400" t="str">
        <f>IFERROR(__xludf.DUMMYFUNCTION("""COMPUTED_VALUE"""),"効果値")</f>
        <v>効果値</v>
      </c>
      <c r="AL293" s="343">
        <f>IFERROR(__xludf.DUMMYFUNCTION("""COMPUTED_VALUE"""),7.0)</f>
        <v>7</v>
      </c>
      <c r="AM293" s="402">
        <f>IFERROR(__xludf.DUMMYFUNCTION("""COMPUTED_VALUE"""),7.0)</f>
        <v>7</v>
      </c>
      <c r="AN293" s="402">
        <f>IFERROR(__xludf.DUMMYFUNCTION("""COMPUTED_VALUE"""),8.0)</f>
        <v>8</v>
      </c>
      <c r="AO293" s="402">
        <f>IFERROR(__xludf.DUMMYFUNCTION("""COMPUTED_VALUE"""),8.0)</f>
        <v>8</v>
      </c>
      <c r="AP293" s="402">
        <f>IFERROR(__xludf.DUMMYFUNCTION("""COMPUTED_VALUE"""),8.0)</f>
        <v>8</v>
      </c>
      <c r="AQ293" s="402">
        <f>IFERROR(__xludf.DUMMYFUNCTION("""COMPUTED_VALUE"""),8.0)</f>
        <v>8</v>
      </c>
      <c r="AR293" s="402">
        <f>IFERROR(__xludf.DUMMYFUNCTION("""COMPUTED_VALUE"""),11.0)</f>
        <v>11</v>
      </c>
      <c r="AS293" s="402">
        <f>IFERROR(__xludf.DUMMYFUNCTION("""COMPUTED_VALUE"""),11.0)</f>
        <v>11</v>
      </c>
      <c r="AT293" s="385" t="str">
        <f>IFERROR(__xludf.DUMMYFUNCTION("""COMPUTED_VALUE"""),"超持続型")</f>
        <v>超持続型</v>
      </c>
      <c r="AU293" s="399">
        <f>IFERROR(__xludf.DUMMYFUNCTION("""COMPUTED_VALUE"""),3.0)</f>
        <v>3</v>
      </c>
      <c r="AV293" s="400" t="str">
        <f>IFERROR(__xludf.DUMMYFUNCTION("""COMPUTED_VALUE"""),"効果値")</f>
        <v>効果値</v>
      </c>
      <c r="AW293" s="403" t="str">
        <f>IFERROR(__xludf.DUMMYFUNCTION("""COMPUTED_VALUE"""),"-")</f>
        <v>-</v>
      </c>
      <c r="AX293" s="403" t="str">
        <f>IFERROR(__xludf.DUMMYFUNCTION("""COMPUTED_VALUE"""),"-")</f>
        <v>-</v>
      </c>
      <c r="AY293" s="403" t="str">
        <f>IFERROR(__xludf.DUMMYFUNCTION("""COMPUTED_VALUE"""),"-")</f>
        <v>-</v>
      </c>
      <c r="AZ293" s="403" t="str">
        <f>IFERROR(__xludf.DUMMYFUNCTION("""COMPUTED_VALUE"""),"-")</f>
        <v>-</v>
      </c>
      <c r="BA293" s="403" t="str">
        <f>IFERROR(__xludf.DUMMYFUNCTION("""COMPUTED_VALUE"""),"-")</f>
        <v>-</v>
      </c>
      <c r="BB293" s="343">
        <f>IFERROR(__xludf.DUMMYFUNCTION("""COMPUTED_VALUE"""),8.0)</f>
        <v>8</v>
      </c>
      <c r="BC293" s="343">
        <f>IFERROR(__xludf.DUMMYFUNCTION("""COMPUTED_VALUE"""),11.0)</f>
        <v>11</v>
      </c>
      <c r="BD293" s="343">
        <f>IFERROR(__xludf.DUMMYFUNCTION("""COMPUTED_VALUE"""),11.0)</f>
        <v>11</v>
      </c>
      <c r="BE293" s="385" t="str">
        <f>IFERROR(__xludf.DUMMYFUNCTION("""COMPUTED_VALUE"""),"ハイブリッド型")</f>
        <v>ハイブリッド型</v>
      </c>
      <c r="BF293" s="399">
        <f>IFERROR(__xludf.DUMMYFUNCTION("""COMPUTED_VALUE"""),3.0)</f>
        <v>3</v>
      </c>
      <c r="BG293" s="400" t="str">
        <f>IFERROR(__xludf.DUMMYFUNCTION("""COMPUTED_VALUE"""),"効果値")</f>
        <v>効果値</v>
      </c>
      <c r="BH293" s="411">
        <f>IFERROR(__xludf.DUMMYFUNCTION("""COMPUTED_VALUE"""),11.4)</f>
        <v>11.4</v>
      </c>
      <c r="BI293" s="412">
        <f>IFERROR(__xludf.DUMMYFUNCTION("""COMPUTED_VALUE"""),11.9)</f>
        <v>11.9</v>
      </c>
      <c r="BJ293" s="412">
        <f>IFERROR(__xludf.DUMMYFUNCTION("""COMPUTED_VALUE"""),12.5)</f>
        <v>12.5</v>
      </c>
      <c r="BK293" s="412">
        <f>IFERROR(__xludf.DUMMYFUNCTION("""COMPUTED_VALUE"""),13.0)</f>
        <v>13</v>
      </c>
      <c r="BL293" s="412">
        <f>IFERROR(__xludf.DUMMYFUNCTION("""COMPUTED_VALUE"""),13.5)</f>
        <v>13.5</v>
      </c>
      <c r="BM293" s="412">
        <f>IFERROR(__xludf.DUMMYFUNCTION("""COMPUTED_VALUE"""),18.5)</f>
        <v>18.5</v>
      </c>
      <c r="BN293" s="412">
        <f>IFERROR(__xludf.DUMMYFUNCTION("""COMPUTED_VALUE"""),23.0)</f>
        <v>23</v>
      </c>
      <c r="BO293" s="413">
        <f>IFERROR(__xludf.DUMMYFUNCTION("""COMPUTED_VALUE"""),27.0)</f>
        <v>27</v>
      </c>
    </row>
    <row r="294">
      <c r="A294" s="435" t="str">
        <f>IFERROR(__xludf.DUMMYFUNCTION("""COMPUTED_VALUE"""),"攻撃力UP(ディフェンス)")</f>
        <v>攻撃力UP(ディフェンス)</v>
      </c>
      <c r="B294" s="385" t="str">
        <f>IFERROR(__xludf.DUMMYFUNCTION("""COMPUTED_VALUE"""),"超瞬間型")</f>
        <v>超瞬間型</v>
      </c>
      <c r="C294" s="386">
        <f>IFERROR(__xludf.DUMMYFUNCTION("""COMPUTED_VALUE"""),3.0)</f>
        <v>3</v>
      </c>
      <c r="D294" s="387" t="str">
        <f>IFERROR(__xludf.DUMMYFUNCTION("""COMPUTED_VALUE"""),"効果時間")</f>
        <v>効果時間</v>
      </c>
      <c r="E294" s="388" t="str">
        <f>IFERROR(__xludf.DUMMYFUNCTION("""COMPUTED_VALUE"""),"-")</f>
        <v>-</v>
      </c>
      <c r="F294" s="389" t="str">
        <f>IFERROR(__xludf.DUMMYFUNCTION("""COMPUTED_VALUE"""),"-")</f>
        <v>-</v>
      </c>
      <c r="G294" s="388" t="str">
        <f>IFERROR(__xludf.DUMMYFUNCTION("""COMPUTED_VALUE"""),"-")</f>
        <v>-</v>
      </c>
      <c r="H294" s="389" t="str">
        <f>IFERROR(__xludf.DUMMYFUNCTION("""COMPUTED_VALUE"""),"-")</f>
        <v>-</v>
      </c>
      <c r="I294" s="388" t="str">
        <f>IFERROR(__xludf.DUMMYFUNCTION("""COMPUTED_VALUE"""),"-")</f>
        <v>-</v>
      </c>
      <c r="J294" s="390">
        <f>IFERROR(__xludf.DUMMYFUNCTION("""COMPUTED_VALUE"""),155.0)</f>
        <v>155</v>
      </c>
      <c r="K294" s="391">
        <f>IFERROR(__xludf.DUMMYFUNCTION("""COMPUTED_VALUE"""),165.0)</f>
        <v>165</v>
      </c>
      <c r="L294" s="340">
        <f>IFERROR(__xludf.DUMMYFUNCTION("""COMPUTED_VALUE"""),185.0)</f>
        <v>185</v>
      </c>
      <c r="M294" s="385" t="str">
        <f>IFERROR(__xludf.DUMMYFUNCTION("""COMPUTED_VALUE"""),"瞬間型")</f>
        <v>瞬間型</v>
      </c>
      <c r="N294" s="386">
        <f>IFERROR(__xludf.DUMMYFUNCTION("""COMPUTED_VALUE"""),3.0)</f>
        <v>3</v>
      </c>
      <c r="O294" s="387" t="str">
        <f>IFERROR(__xludf.DUMMYFUNCTION("""COMPUTED_VALUE"""),"効果時間")</f>
        <v>効果時間</v>
      </c>
      <c r="P294" s="392">
        <f>IFERROR(__xludf.DUMMYFUNCTION("""COMPUTED_VALUE"""),165.0)</f>
        <v>165</v>
      </c>
      <c r="Q294" s="414">
        <f>IFERROR(__xludf.DUMMYFUNCTION("""COMPUTED_VALUE"""),175.0)</f>
        <v>175</v>
      </c>
      <c r="R294" s="415">
        <f>IFERROR(__xludf.DUMMYFUNCTION("""COMPUTED_VALUE"""),180.0)</f>
        <v>180</v>
      </c>
      <c r="S294" s="393">
        <f>IFERROR(__xludf.DUMMYFUNCTION("""COMPUTED_VALUE"""),185.0)</f>
        <v>185</v>
      </c>
      <c r="T294" s="393">
        <f>IFERROR(__xludf.DUMMYFUNCTION("""COMPUTED_VALUE"""),195.0)</f>
        <v>195</v>
      </c>
      <c r="U294" s="414">
        <f>IFERROR(__xludf.DUMMYFUNCTION("""COMPUTED_VALUE"""),200.0)</f>
        <v>200</v>
      </c>
      <c r="V294" s="416">
        <f>IFERROR(__xludf.DUMMYFUNCTION("""COMPUTED_VALUE"""),255.0)</f>
        <v>255</v>
      </c>
      <c r="W294" s="415">
        <f>IFERROR(__xludf.DUMMYFUNCTION("""COMPUTED_VALUE"""),270.0)</f>
        <v>270</v>
      </c>
      <c r="X294" s="385" t="str">
        <f>IFERROR(__xludf.DUMMYFUNCTION("""COMPUTED_VALUE"""),"安定型")</f>
        <v>安定型</v>
      </c>
      <c r="Y294" s="386">
        <f>IFERROR(__xludf.DUMMYFUNCTION("""COMPUTED_VALUE"""),3.0)</f>
        <v>3</v>
      </c>
      <c r="Z294" s="387" t="str">
        <f>IFERROR(__xludf.DUMMYFUNCTION("""COMPUTED_VALUE"""),"効果時間")</f>
        <v>効果時間</v>
      </c>
      <c r="AA294" s="392">
        <f>IFERROR(__xludf.DUMMYFUNCTION("""COMPUTED_VALUE"""),315.0)</f>
        <v>315</v>
      </c>
      <c r="AB294" s="414">
        <f>IFERROR(__xludf.DUMMYFUNCTION("""COMPUTED_VALUE"""),325.0)</f>
        <v>325</v>
      </c>
      <c r="AC294" s="415">
        <f>IFERROR(__xludf.DUMMYFUNCTION("""COMPUTED_VALUE"""),330.0)</f>
        <v>330</v>
      </c>
      <c r="AD294" s="393">
        <f>IFERROR(__xludf.DUMMYFUNCTION("""COMPUTED_VALUE"""),335.0)</f>
        <v>335</v>
      </c>
      <c r="AE294" s="393">
        <f>IFERROR(__xludf.DUMMYFUNCTION("""COMPUTED_VALUE"""),345.0)</f>
        <v>345</v>
      </c>
      <c r="AF294" s="414">
        <f>IFERROR(__xludf.DUMMYFUNCTION("""COMPUTED_VALUE"""),370.0)</f>
        <v>370</v>
      </c>
      <c r="AG294" s="416">
        <f>IFERROR(__xludf.DUMMYFUNCTION("""COMPUTED_VALUE"""),405.0)</f>
        <v>405</v>
      </c>
      <c r="AH294" s="415">
        <f>IFERROR(__xludf.DUMMYFUNCTION("""COMPUTED_VALUE"""),420.0)</f>
        <v>420</v>
      </c>
      <c r="AI294" s="385" t="str">
        <f>IFERROR(__xludf.DUMMYFUNCTION("""COMPUTED_VALUE"""),"持続型")</f>
        <v>持続型</v>
      </c>
      <c r="AJ294" s="386">
        <f>IFERROR(__xludf.DUMMYFUNCTION("""COMPUTED_VALUE"""),3.0)</f>
        <v>3</v>
      </c>
      <c r="AK294" s="387" t="str">
        <f>IFERROR(__xludf.DUMMYFUNCTION("""COMPUTED_VALUE"""),"効果時間")</f>
        <v>効果時間</v>
      </c>
      <c r="AL294" s="392">
        <f>IFERROR(__xludf.DUMMYFUNCTION("""COMPUTED_VALUE"""),465.0)</f>
        <v>465</v>
      </c>
      <c r="AM294" s="414">
        <f>IFERROR(__xludf.DUMMYFUNCTION("""COMPUTED_VALUE"""),475.0)</f>
        <v>475</v>
      </c>
      <c r="AN294" s="415">
        <f>IFERROR(__xludf.DUMMYFUNCTION("""COMPUTED_VALUE"""),480.0)</f>
        <v>480</v>
      </c>
      <c r="AO294" s="393">
        <f>IFERROR(__xludf.DUMMYFUNCTION("""COMPUTED_VALUE"""),485.0)</f>
        <v>485</v>
      </c>
      <c r="AP294" s="393">
        <f>IFERROR(__xludf.DUMMYFUNCTION("""COMPUTED_VALUE"""),495.0)</f>
        <v>495</v>
      </c>
      <c r="AQ294" s="414">
        <f>IFERROR(__xludf.DUMMYFUNCTION("""COMPUTED_VALUE"""),520.0)</f>
        <v>520</v>
      </c>
      <c r="AR294" s="416">
        <f>IFERROR(__xludf.DUMMYFUNCTION("""COMPUTED_VALUE"""),555.0)</f>
        <v>555</v>
      </c>
      <c r="AS294" s="415">
        <f>IFERROR(__xludf.DUMMYFUNCTION("""COMPUTED_VALUE"""),570.0)</f>
        <v>570</v>
      </c>
      <c r="AT294" s="385" t="str">
        <f>IFERROR(__xludf.DUMMYFUNCTION("""COMPUTED_VALUE"""),"超持続型")</f>
        <v>超持続型</v>
      </c>
      <c r="AU294" s="386">
        <f>IFERROR(__xludf.DUMMYFUNCTION("""COMPUTED_VALUE"""),3.0)</f>
        <v>3</v>
      </c>
      <c r="AV294" s="387" t="str">
        <f>IFERROR(__xludf.DUMMYFUNCTION("""COMPUTED_VALUE"""),"効果時間")</f>
        <v>効果時間</v>
      </c>
      <c r="AW294" s="368" t="str">
        <f>IFERROR(__xludf.DUMMYFUNCTION("""COMPUTED_VALUE"""),"-")</f>
        <v>-</v>
      </c>
      <c r="AX294" s="368" t="str">
        <f>IFERROR(__xludf.DUMMYFUNCTION("""COMPUTED_VALUE"""),"-")</f>
        <v>-</v>
      </c>
      <c r="AY294" s="368" t="str">
        <f>IFERROR(__xludf.DUMMYFUNCTION("""COMPUTED_VALUE"""),"-")</f>
        <v>-</v>
      </c>
      <c r="AZ294" s="368" t="str">
        <f>IFERROR(__xludf.DUMMYFUNCTION("""COMPUTED_VALUE"""),"-")</f>
        <v>-</v>
      </c>
      <c r="BA294" s="368" t="str">
        <f>IFERROR(__xludf.DUMMYFUNCTION("""COMPUTED_VALUE"""),"-")</f>
        <v>-</v>
      </c>
      <c r="BB294" s="280">
        <f>IFERROR(__xludf.DUMMYFUNCTION("""COMPUTED_VALUE"""),635.0)</f>
        <v>635</v>
      </c>
      <c r="BC294" s="280">
        <f>IFERROR(__xludf.DUMMYFUNCTION("""COMPUTED_VALUE"""),705.0)</f>
        <v>705</v>
      </c>
      <c r="BD294" s="280">
        <f>IFERROR(__xludf.DUMMYFUNCTION("""COMPUTED_VALUE"""),720.0)</f>
        <v>720</v>
      </c>
      <c r="BE294" s="385" t="str">
        <f>IFERROR(__xludf.DUMMYFUNCTION("""COMPUTED_VALUE"""),"ハイブリッド型")</f>
        <v>ハイブリッド型</v>
      </c>
      <c r="BF294" s="386">
        <f>IFERROR(__xludf.DUMMYFUNCTION("""COMPUTED_VALUE"""),3.0)</f>
        <v>3</v>
      </c>
      <c r="BG294" s="387" t="str">
        <f>IFERROR(__xludf.DUMMYFUNCTION("""COMPUTED_VALUE"""),"効果時間")</f>
        <v>効果時間</v>
      </c>
      <c r="BH294" s="407">
        <f>IFERROR(__xludf.DUMMYFUNCTION("""COMPUTED_VALUE"""),220.0)</f>
        <v>220</v>
      </c>
      <c r="BI294" s="407">
        <f>IFERROR(__xludf.DUMMYFUNCTION("""COMPUTED_VALUE"""),235.0)</f>
        <v>235</v>
      </c>
      <c r="BJ294" s="407">
        <f>IFERROR(__xludf.DUMMYFUNCTION("""COMPUTED_VALUE"""),240.0)</f>
        <v>240</v>
      </c>
      <c r="BK294" s="408">
        <f>IFERROR(__xludf.DUMMYFUNCTION("""COMPUTED_VALUE"""),250.0)</f>
        <v>250</v>
      </c>
      <c r="BL294" s="407">
        <f>IFERROR(__xludf.DUMMYFUNCTION("""COMPUTED_VALUE"""),255.0)</f>
        <v>255</v>
      </c>
      <c r="BM294" s="408">
        <f>IFERROR(__xludf.DUMMYFUNCTION("""COMPUTED_VALUE"""),385.0)</f>
        <v>385</v>
      </c>
      <c r="BN294" s="407">
        <f>IFERROR(__xludf.DUMMYFUNCTION("""COMPUTED_VALUE"""),490.0)</f>
        <v>490</v>
      </c>
      <c r="BO294" s="408">
        <f>IFERROR(__xludf.DUMMYFUNCTION("""COMPUTED_VALUE"""),505.0)</f>
        <v>505</v>
      </c>
    </row>
    <row r="295">
      <c r="A295" s="435" t="str">
        <f>IFERROR(__xludf.DUMMYFUNCTION("""COMPUTED_VALUE"""),"攻撃力UP(ディフェンス)")</f>
        <v>攻撃力UP(ディフェンス)</v>
      </c>
      <c r="B295" s="385" t="str">
        <f>IFERROR(__xludf.DUMMYFUNCTION("""COMPUTED_VALUE"""),"超瞬間型")</f>
        <v>超瞬間型</v>
      </c>
      <c r="C295" s="399">
        <f>IFERROR(__xludf.DUMMYFUNCTION("""COMPUTED_VALUE"""),4.0)</f>
        <v>4</v>
      </c>
      <c r="D295" s="400" t="str">
        <f>IFERROR(__xludf.DUMMYFUNCTION("""COMPUTED_VALUE"""),"効果値")</f>
        <v>効果値</v>
      </c>
      <c r="E295" s="401" t="str">
        <f>IFERROR(__xludf.DUMMYFUNCTION("""COMPUTED_VALUE"""),"-")</f>
        <v>-</v>
      </c>
      <c r="F295" s="409" t="str">
        <f>IFERROR(__xludf.DUMMYFUNCTION("""COMPUTED_VALUE"""),"-")</f>
        <v>-</v>
      </c>
      <c r="G295" s="409" t="str">
        <f>IFERROR(__xludf.DUMMYFUNCTION("""COMPUTED_VALUE"""),"-")</f>
        <v>-</v>
      </c>
      <c r="H295" s="409" t="str">
        <f>IFERROR(__xludf.DUMMYFUNCTION("""COMPUTED_VALUE"""),"-")</f>
        <v>-</v>
      </c>
      <c r="I295" s="409" t="str">
        <f>IFERROR(__xludf.DUMMYFUNCTION("""COMPUTED_VALUE"""),"-")</f>
        <v>-</v>
      </c>
      <c r="J295" s="410">
        <f>IFERROR(__xludf.DUMMYFUNCTION("""COMPUTED_VALUE"""),59.0)</f>
        <v>59</v>
      </c>
      <c r="K295" s="410">
        <f>IFERROR(__xludf.DUMMYFUNCTION("""COMPUTED_VALUE"""),69.0)</f>
        <v>69</v>
      </c>
      <c r="L295" s="410">
        <f>IFERROR(__xludf.DUMMYFUNCTION("""COMPUTED_VALUE"""),74.0)</f>
        <v>74</v>
      </c>
      <c r="M295" s="385" t="str">
        <f>IFERROR(__xludf.DUMMYFUNCTION("""COMPUTED_VALUE"""),"瞬間型")</f>
        <v>瞬間型</v>
      </c>
      <c r="N295" s="399">
        <f>IFERROR(__xludf.DUMMYFUNCTION("""COMPUTED_VALUE"""),4.0)</f>
        <v>4</v>
      </c>
      <c r="O295" s="400" t="str">
        <f>IFERROR(__xludf.DUMMYFUNCTION("""COMPUTED_VALUE"""),"効果値")</f>
        <v>効果値</v>
      </c>
      <c r="P295" s="343">
        <f>IFERROR(__xludf.DUMMYFUNCTION("""COMPUTED_VALUE"""),23.0)</f>
        <v>23</v>
      </c>
      <c r="Q295" s="402">
        <f>IFERROR(__xludf.DUMMYFUNCTION("""COMPUTED_VALUE"""),23.0)</f>
        <v>23</v>
      </c>
      <c r="R295" s="343">
        <f>IFERROR(__xludf.DUMMYFUNCTION("""COMPUTED_VALUE"""),23.0)</f>
        <v>23</v>
      </c>
      <c r="S295" s="402">
        <f>IFERROR(__xludf.DUMMYFUNCTION("""COMPUTED_VALUE"""),23.0)</f>
        <v>23</v>
      </c>
      <c r="T295" s="343">
        <f>IFERROR(__xludf.DUMMYFUNCTION("""COMPUTED_VALUE"""),23.0)</f>
        <v>23</v>
      </c>
      <c r="U295" s="343">
        <f>IFERROR(__xludf.DUMMYFUNCTION("""COMPUTED_VALUE"""),29.0)</f>
        <v>29</v>
      </c>
      <c r="V295" s="343">
        <f>IFERROR(__xludf.DUMMYFUNCTION("""COMPUTED_VALUE"""),34.0)</f>
        <v>34</v>
      </c>
      <c r="W295" s="343">
        <f>IFERROR(__xludf.DUMMYFUNCTION("""COMPUTED_VALUE"""),39.0)</f>
        <v>39</v>
      </c>
      <c r="X295" s="385" t="str">
        <f>IFERROR(__xludf.DUMMYFUNCTION("""COMPUTED_VALUE"""),"安定型")</f>
        <v>安定型</v>
      </c>
      <c r="Y295" s="399">
        <f>IFERROR(__xludf.DUMMYFUNCTION("""COMPUTED_VALUE"""),4.0)</f>
        <v>4</v>
      </c>
      <c r="Z295" s="400" t="str">
        <f>IFERROR(__xludf.DUMMYFUNCTION("""COMPUTED_VALUE"""),"効果値")</f>
        <v>効果値</v>
      </c>
      <c r="AA295" s="343">
        <f>IFERROR(__xludf.DUMMYFUNCTION("""COMPUTED_VALUE"""),13.0)</f>
        <v>13</v>
      </c>
      <c r="AB295" s="402">
        <f>IFERROR(__xludf.DUMMYFUNCTION("""COMPUTED_VALUE"""),13.0)</f>
        <v>13</v>
      </c>
      <c r="AC295" s="343">
        <f>IFERROR(__xludf.DUMMYFUNCTION("""COMPUTED_VALUE"""),13.0)</f>
        <v>13</v>
      </c>
      <c r="AD295" s="402">
        <f>IFERROR(__xludf.DUMMYFUNCTION("""COMPUTED_VALUE"""),13.0)</f>
        <v>13</v>
      </c>
      <c r="AE295" s="343">
        <f>IFERROR(__xludf.DUMMYFUNCTION("""COMPUTED_VALUE"""),13.0)</f>
        <v>13</v>
      </c>
      <c r="AF295" s="343">
        <f>IFERROR(__xludf.DUMMYFUNCTION("""COMPUTED_VALUE"""),14.0)</f>
        <v>14</v>
      </c>
      <c r="AG295" s="343">
        <f>IFERROR(__xludf.DUMMYFUNCTION("""COMPUTED_VALUE"""),19.0)</f>
        <v>19</v>
      </c>
      <c r="AH295" s="343">
        <f>IFERROR(__xludf.DUMMYFUNCTION("""COMPUTED_VALUE"""),24.0)</f>
        <v>24</v>
      </c>
      <c r="AI295" s="385" t="str">
        <f>IFERROR(__xludf.DUMMYFUNCTION("""COMPUTED_VALUE"""),"持続型")</f>
        <v>持続型</v>
      </c>
      <c r="AJ295" s="399">
        <f>IFERROR(__xludf.DUMMYFUNCTION("""COMPUTED_VALUE"""),4.0)</f>
        <v>4</v>
      </c>
      <c r="AK295" s="400" t="str">
        <f>IFERROR(__xludf.DUMMYFUNCTION("""COMPUTED_VALUE"""),"効果値")</f>
        <v>効果値</v>
      </c>
      <c r="AL295" s="343">
        <f>IFERROR(__xludf.DUMMYFUNCTION("""COMPUTED_VALUE"""),8.0)</f>
        <v>8</v>
      </c>
      <c r="AM295" s="402">
        <f>IFERROR(__xludf.DUMMYFUNCTION("""COMPUTED_VALUE"""),8.0)</f>
        <v>8</v>
      </c>
      <c r="AN295" s="343">
        <f>IFERROR(__xludf.DUMMYFUNCTION("""COMPUTED_VALUE"""),8.0)</f>
        <v>8</v>
      </c>
      <c r="AO295" s="402">
        <f>IFERROR(__xludf.DUMMYFUNCTION("""COMPUTED_VALUE"""),8.0)</f>
        <v>8</v>
      </c>
      <c r="AP295" s="343">
        <f>IFERROR(__xludf.DUMMYFUNCTION("""COMPUTED_VALUE"""),8.0)</f>
        <v>8</v>
      </c>
      <c r="AQ295" s="343">
        <f>IFERROR(__xludf.DUMMYFUNCTION("""COMPUTED_VALUE"""),9.0)</f>
        <v>9</v>
      </c>
      <c r="AR295" s="343">
        <f>IFERROR(__xludf.DUMMYFUNCTION("""COMPUTED_VALUE"""),12.0)</f>
        <v>12</v>
      </c>
      <c r="AS295" s="343">
        <f>IFERROR(__xludf.DUMMYFUNCTION("""COMPUTED_VALUE"""),12.0)</f>
        <v>12</v>
      </c>
      <c r="AT295" s="385" t="str">
        <f>IFERROR(__xludf.DUMMYFUNCTION("""COMPUTED_VALUE"""),"超持続型")</f>
        <v>超持続型</v>
      </c>
      <c r="AU295" s="399">
        <f>IFERROR(__xludf.DUMMYFUNCTION("""COMPUTED_VALUE"""),4.0)</f>
        <v>4</v>
      </c>
      <c r="AV295" s="400" t="str">
        <f>IFERROR(__xludf.DUMMYFUNCTION("""COMPUTED_VALUE"""),"効果値")</f>
        <v>効果値</v>
      </c>
      <c r="AW295" s="403" t="str">
        <f>IFERROR(__xludf.DUMMYFUNCTION("""COMPUTED_VALUE"""),"-")</f>
        <v>-</v>
      </c>
      <c r="AX295" s="403" t="str">
        <f>IFERROR(__xludf.DUMMYFUNCTION("""COMPUTED_VALUE"""),"-")</f>
        <v>-</v>
      </c>
      <c r="AY295" s="403" t="str">
        <f>IFERROR(__xludf.DUMMYFUNCTION("""COMPUTED_VALUE"""),"-")</f>
        <v>-</v>
      </c>
      <c r="AZ295" s="403" t="str">
        <f>IFERROR(__xludf.DUMMYFUNCTION("""COMPUTED_VALUE"""),"-")</f>
        <v>-</v>
      </c>
      <c r="BA295" s="403" t="str">
        <f>IFERROR(__xludf.DUMMYFUNCTION("""COMPUTED_VALUE"""),"-")</f>
        <v>-</v>
      </c>
      <c r="BB295" s="343">
        <f>IFERROR(__xludf.DUMMYFUNCTION("""COMPUTED_VALUE"""),9.0)</f>
        <v>9</v>
      </c>
      <c r="BC295" s="343">
        <f>IFERROR(__xludf.DUMMYFUNCTION("""COMPUTED_VALUE"""),12.0)</f>
        <v>12</v>
      </c>
      <c r="BD295" s="343">
        <f>IFERROR(__xludf.DUMMYFUNCTION("""COMPUTED_VALUE"""),12.0)</f>
        <v>12</v>
      </c>
      <c r="BE295" s="385" t="str">
        <f>IFERROR(__xludf.DUMMYFUNCTION("""COMPUTED_VALUE"""),"ハイブリッド型")</f>
        <v>ハイブリッド型</v>
      </c>
      <c r="BF295" s="399">
        <f>IFERROR(__xludf.DUMMYFUNCTION("""COMPUTED_VALUE"""),4.0)</f>
        <v>4</v>
      </c>
      <c r="BG295" s="400" t="str">
        <f>IFERROR(__xludf.DUMMYFUNCTION("""COMPUTED_VALUE"""),"効果値")</f>
        <v>効果値</v>
      </c>
      <c r="BH295" s="411">
        <f>IFERROR(__xludf.DUMMYFUNCTION("""COMPUTED_VALUE"""),11.8)</f>
        <v>11.8</v>
      </c>
      <c r="BI295" s="412">
        <f>IFERROR(__xludf.DUMMYFUNCTION("""COMPUTED_VALUE"""),12.4)</f>
        <v>12.4</v>
      </c>
      <c r="BJ295" s="412">
        <f>IFERROR(__xludf.DUMMYFUNCTION("""COMPUTED_VALUE"""),13.1)</f>
        <v>13.1</v>
      </c>
      <c r="BK295" s="412">
        <f>IFERROR(__xludf.DUMMYFUNCTION("""COMPUTED_VALUE"""),13.7)</f>
        <v>13.7</v>
      </c>
      <c r="BL295" s="412">
        <f>IFERROR(__xludf.DUMMYFUNCTION("""COMPUTED_VALUE"""),14.4)</f>
        <v>14.4</v>
      </c>
      <c r="BM295" s="412">
        <f>IFERROR(__xludf.DUMMYFUNCTION("""COMPUTED_VALUE"""),19.4)</f>
        <v>19.4</v>
      </c>
      <c r="BN295" s="412">
        <f>IFERROR(__xludf.DUMMYFUNCTION("""COMPUTED_VALUE"""),24.0)</f>
        <v>24</v>
      </c>
      <c r="BO295" s="413">
        <f>IFERROR(__xludf.DUMMYFUNCTION("""COMPUTED_VALUE"""),29.0)</f>
        <v>29</v>
      </c>
    </row>
    <row r="296">
      <c r="A296" s="435" t="str">
        <f>IFERROR(__xludf.DUMMYFUNCTION("""COMPUTED_VALUE"""),"攻撃力UP(ディフェンス)")</f>
        <v>攻撃力UP(ディフェンス)</v>
      </c>
      <c r="B296" s="385" t="str">
        <f>IFERROR(__xludf.DUMMYFUNCTION("""COMPUTED_VALUE"""),"超瞬間型")</f>
        <v>超瞬間型</v>
      </c>
      <c r="C296" s="386">
        <f>IFERROR(__xludf.DUMMYFUNCTION("""COMPUTED_VALUE"""),4.0)</f>
        <v>4</v>
      </c>
      <c r="D296" s="387" t="str">
        <f>IFERROR(__xludf.DUMMYFUNCTION("""COMPUTED_VALUE"""),"効果時間")</f>
        <v>効果時間</v>
      </c>
      <c r="E296" s="388" t="str">
        <f>IFERROR(__xludf.DUMMYFUNCTION("""COMPUTED_VALUE"""),"-")</f>
        <v>-</v>
      </c>
      <c r="F296" s="389" t="str">
        <f>IFERROR(__xludf.DUMMYFUNCTION("""COMPUTED_VALUE"""),"-")</f>
        <v>-</v>
      </c>
      <c r="G296" s="388" t="str">
        <f>IFERROR(__xludf.DUMMYFUNCTION("""COMPUTED_VALUE"""),"-")</f>
        <v>-</v>
      </c>
      <c r="H296" s="389" t="str">
        <f>IFERROR(__xludf.DUMMYFUNCTION("""COMPUTED_VALUE"""),"-")</f>
        <v>-</v>
      </c>
      <c r="I296" s="388" t="str">
        <f>IFERROR(__xludf.DUMMYFUNCTION("""COMPUTED_VALUE"""),"-")</f>
        <v>-</v>
      </c>
      <c r="J296" s="390">
        <f>IFERROR(__xludf.DUMMYFUNCTION("""COMPUTED_VALUE"""),155.0)</f>
        <v>155</v>
      </c>
      <c r="K296" s="391">
        <f>IFERROR(__xludf.DUMMYFUNCTION("""COMPUTED_VALUE"""),170.0)</f>
        <v>170</v>
      </c>
      <c r="L296" s="340">
        <f>IFERROR(__xludf.DUMMYFUNCTION("""COMPUTED_VALUE"""),195.0)</f>
        <v>195</v>
      </c>
      <c r="M296" s="385" t="str">
        <f>IFERROR(__xludf.DUMMYFUNCTION("""COMPUTED_VALUE"""),"瞬間型")</f>
        <v>瞬間型</v>
      </c>
      <c r="N296" s="386">
        <f>IFERROR(__xludf.DUMMYFUNCTION("""COMPUTED_VALUE"""),4.0)</f>
        <v>4</v>
      </c>
      <c r="O296" s="387" t="str">
        <f>IFERROR(__xludf.DUMMYFUNCTION("""COMPUTED_VALUE"""),"効果時間")</f>
        <v>効果時間</v>
      </c>
      <c r="P296" s="280">
        <f>IFERROR(__xludf.DUMMYFUNCTION("""COMPUTED_VALUE"""),170.0)</f>
        <v>170</v>
      </c>
      <c r="Q296" s="275">
        <f>IFERROR(__xludf.DUMMYFUNCTION("""COMPUTED_VALUE"""),180.0)</f>
        <v>180</v>
      </c>
      <c r="R296" s="280">
        <f>IFERROR(__xludf.DUMMYFUNCTION("""COMPUTED_VALUE"""),185.0)</f>
        <v>185</v>
      </c>
      <c r="S296" s="275">
        <f>IFERROR(__xludf.DUMMYFUNCTION("""COMPUTED_VALUE"""),195.0)</f>
        <v>195</v>
      </c>
      <c r="T296" s="280">
        <f>IFERROR(__xludf.DUMMYFUNCTION("""COMPUTED_VALUE"""),200.0)</f>
        <v>200</v>
      </c>
      <c r="U296" s="280">
        <f>IFERROR(__xludf.DUMMYFUNCTION("""COMPUTED_VALUE"""),215.0)</f>
        <v>215</v>
      </c>
      <c r="V296" s="280">
        <f>IFERROR(__xludf.DUMMYFUNCTION("""COMPUTED_VALUE"""),285.0)</f>
        <v>285</v>
      </c>
      <c r="W296" s="280">
        <f>IFERROR(__xludf.DUMMYFUNCTION("""COMPUTED_VALUE"""),305.0)</f>
        <v>305</v>
      </c>
      <c r="X296" s="385" t="str">
        <f>IFERROR(__xludf.DUMMYFUNCTION("""COMPUTED_VALUE"""),"安定型")</f>
        <v>安定型</v>
      </c>
      <c r="Y296" s="386">
        <f>IFERROR(__xludf.DUMMYFUNCTION("""COMPUTED_VALUE"""),4.0)</f>
        <v>4</v>
      </c>
      <c r="Z296" s="387" t="str">
        <f>IFERROR(__xludf.DUMMYFUNCTION("""COMPUTED_VALUE"""),"効果時間")</f>
        <v>効果時間</v>
      </c>
      <c r="AA296" s="280">
        <f>IFERROR(__xludf.DUMMYFUNCTION("""COMPUTED_VALUE"""),320.0)</f>
        <v>320</v>
      </c>
      <c r="AB296" s="275">
        <f>IFERROR(__xludf.DUMMYFUNCTION("""COMPUTED_VALUE"""),330.0)</f>
        <v>330</v>
      </c>
      <c r="AC296" s="280">
        <f>IFERROR(__xludf.DUMMYFUNCTION("""COMPUTED_VALUE"""),335.0)</f>
        <v>335</v>
      </c>
      <c r="AD296" s="275">
        <f>IFERROR(__xludf.DUMMYFUNCTION("""COMPUTED_VALUE"""),345.0)</f>
        <v>345</v>
      </c>
      <c r="AE296" s="280">
        <f>IFERROR(__xludf.DUMMYFUNCTION("""COMPUTED_VALUE"""),350.0)</f>
        <v>350</v>
      </c>
      <c r="AF296" s="280">
        <f>IFERROR(__xludf.DUMMYFUNCTION("""COMPUTED_VALUE"""),390.0)</f>
        <v>390</v>
      </c>
      <c r="AG296" s="280">
        <f>IFERROR(__xludf.DUMMYFUNCTION("""COMPUTED_VALUE"""),435.0)</f>
        <v>435</v>
      </c>
      <c r="AH296" s="280">
        <f>IFERROR(__xludf.DUMMYFUNCTION("""COMPUTED_VALUE"""),455.0)</f>
        <v>455</v>
      </c>
      <c r="AI296" s="385" t="str">
        <f>IFERROR(__xludf.DUMMYFUNCTION("""COMPUTED_VALUE"""),"持続型")</f>
        <v>持続型</v>
      </c>
      <c r="AJ296" s="386">
        <f>IFERROR(__xludf.DUMMYFUNCTION("""COMPUTED_VALUE"""),4.0)</f>
        <v>4</v>
      </c>
      <c r="AK296" s="387" t="str">
        <f>IFERROR(__xludf.DUMMYFUNCTION("""COMPUTED_VALUE"""),"効果時間")</f>
        <v>効果時間</v>
      </c>
      <c r="AL296" s="280">
        <f>IFERROR(__xludf.DUMMYFUNCTION("""COMPUTED_VALUE"""),470.0)</f>
        <v>470</v>
      </c>
      <c r="AM296" s="275">
        <f>IFERROR(__xludf.DUMMYFUNCTION("""COMPUTED_VALUE"""),480.0)</f>
        <v>480</v>
      </c>
      <c r="AN296" s="280">
        <f>IFERROR(__xludf.DUMMYFUNCTION("""COMPUTED_VALUE"""),485.0)</f>
        <v>485</v>
      </c>
      <c r="AO296" s="275">
        <f>IFERROR(__xludf.DUMMYFUNCTION("""COMPUTED_VALUE"""),495.0)</f>
        <v>495</v>
      </c>
      <c r="AP296" s="280">
        <f>IFERROR(__xludf.DUMMYFUNCTION("""COMPUTED_VALUE"""),500.0)</f>
        <v>500</v>
      </c>
      <c r="AQ296" s="280">
        <f>IFERROR(__xludf.DUMMYFUNCTION("""COMPUTED_VALUE"""),540.0)</f>
        <v>540</v>
      </c>
      <c r="AR296" s="280">
        <f>IFERROR(__xludf.DUMMYFUNCTION("""COMPUTED_VALUE"""),585.0)</f>
        <v>585</v>
      </c>
      <c r="AS296" s="280">
        <f>IFERROR(__xludf.DUMMYFUNCTION("""COMPUTED_VALUE"""),605.0)</f>
        <v>605</v>
      </c>
      <c r="AT296" s="385" t="str">
        <f>IFERROR(__xludf.DUMMYFUNCTION("""COMPUTED_VALUE"""),"超持続型")</f>
        <v>超持続型</v>
      </c>
      <c r="AU296" s="386">
        <f>IFERROR(__xludf.DUMMYFUNCTION("""COMPUTED_VALUE"""),4.0)</f>
        <v>4</v>
      </c>
      <c r="AV296" s="387" t="str">
        <f>IFERROR(__xludf.DUMMYFUNCTION("""COMPUTED_VALUE"""),"効果時間")</f>
        <v>効果時間</v>
      </c>
      <c r="AW296" s="368" t="str">
        <f>IFERROR(__xludf.DUMMYFUNCTION("""COMPUTED_VALUE"""),"-")</f>
        <v>-</v>
      </c>
      <c r="AX296" s="368" t="str">
        <f>IFERROR(__xludf.DUMMYFUNCTION("""COMPUTED_VALUE"""),"-")</f>
        <v>-</v>
      </c>
      <c r="AY296" s="368" t="str">
        <f>IFERROR(__xludf.DUMMYFUNCTION("""COMPUTED_VALUE"""),"-")</f>
        <v>-</v>
      </c>
      <c r="AZ296" s="368" t="str">
        <f>IFERROR(__xludf.DUMMYFUNCTION("""COMPUTED_VALUE"""),"-")</f>
        <v>-</v>
      </c>
      <c r="BA296" s="368" t="str">
        <f>IFERROR(__xludf.DUMMYFUNCTION("""COMPUTED_VALUE"""),"-")</f>
        <v>-</v>
      </c>
      <c r="BB296" s="280">
        <f>IFERROR(__xludf.DUMMYFUNCTION("""COMPUTED_VALUE"""),645.0)</f>
        <v>645</v>
      </c>
      <c r="BC296" s="280">
        <f>IFERROR(__xludf.DUMMYFUNCTION("""COMPUTED_VALUE"""),735.0)</f>
        <v>735</v>
      </c>
      <c r="BD296" s="280">
        <f>IFERROR(__xludf.DUMMYFUNCTION("""COMPUTED_VALUE"""),755.0)</f>
        <v>755</v>
      </c>
      <c r="BE296" s="385" t="str">
        <f>IFERROR(__xludf.DUMMYFUNCTION("""COMPUTED_VALUE"""),"ハイブリッド型")</f>
        <v>ハイブリッド型</v>
      </c>
      <c r="BF296" s="386">
        <f>IFERROR(__xludf.DUMMYFUNCTION("""COMPUTED_VALUE"""),4.0)</f>
        <v>4</v>
      </c>
      <c r="BG296" s="387" t="str">
        <f>IFERROR(__xludf.DUMMYFUNCTION("""COMPUTED_VALUE"""),"効果時間")</f>
        <v>効果時間</v>
      </c>
      <c r="BH296" s="417">
        <f>IFERROR(__xludf.DUMMYFUNCTION("""COMPUTED_VALUE"""),240.0)</f>
        <v>240</v>
      </c>
      <c r="BI296" s="417">
        <f>IFERROR(__xludf.DUMMYFUNCTION("""COMPUTED_VALUE"""),255.0)</f>
        <v>255</v>
      </c>
      <c r="BJ296" s="417">
        <f>IFERROR(__xludf.DUMMYFUNCTION("""COMPUTED_VALUE"""),265.0)</f>
        <v>265</v>
      </c>
      <c r="BK296" s="418">
        <f>IFERROR(__xludf.DUMMYFUNCTION("""COMPUTED_VALUE"""),275.0)</f>
        <v>275</v>
      </c>
      <c r="BL296" s="417">
        <f>IFERROR(__xludf.DUMMYFUNCTION("""COMPUTED_VALUE"""),285.0)</f>
        <v>285</v>
      </c>
      <c r="BM296" s="418">
        <f>IFERROR(__xludf.DUMMYFUNCTION("""COMPUTED_VALUE"""),395.0)</f>
        <v>395</v>
      </c>
      <c r="BN296" s="417">
        <f>IFERROR(__xludf.DUMMYFUNCTION("""COMPUTED_VALUE"""),500.0)</f>
        <v>500</v>
      </c>
      <c r="BO296" s="418">
        <f>IFERROR(__xludf.DUMMYFUNCTION("""COMPUTED_VALUE"""),520.0)</f>
        <v>520</v>
      </c>
    </row>
    <row r="297">
      <c r="A297" s="435" t="str">
        <f>IFERROR(__xludf.DUMMYFUNCTION("""COMPUTED_VALUE"""),"攻撃力UP(ディフェンス)")</f>
        <v>攻撃力UP(ディフェンス)</v>
      </c>
      <c r="B297" s="385" t="str">
        <f>IFERROR(__xludf.DUMMYFUNCTION("""COMPUTED_VALUE"""),"超瞬間型")</f>
        <v>超瞬間型</v>
      </c>
      <c r="C297" s="399">
        <f>IFERROR(__xludf.DUMMYFUNCTION("""COMPUTED_VALUE"""),5.0)</f>
        <v>5</v>
      </c>
      <c r="D297" s="400" t="str">
        <f>IFERROR(__xludf.DUMMYFUNCTION("""COMPUTED_VALUE"""),"効果値")</f>
        <v>効果値</v>
      </c>
      <c r="E297" s="419" t="str">
        <f>IFERROR(__xludf.DUMMYFUNCTION("""COMPUTED_VALUE"""),"-")</f>
        <v>-</v>
      </c>
      <c r="F297" s="409" t="str">
        <f>IFERROR(__xludf.DUMMYFUNCTION("""COMPUTED_VALUE"""),"-")</f>
        <v>-</v>
      </c>
      <c r="G297" s="409" t="str">
        <f>IFERROR(__xludf.DUMMYFUNCTION("""COMPUTED_VALUE"""),"-")</f>
        <v>-</v>
      </c>
      <c r="H297" s="409" t="str">
        <f>IFERROR(__xludf.DUMMYFUNCTION("""COMPUTED_VALUE"""),"-")</f>
        <v>-</v>
      </c>
      <c r="I297" s="409" t="str">
        <f>IFERROR(__xludf.DUMMYFUNCTION("""COMPUTED_VALUE"""),"-")</f>
        <v>-</v>
      </c>
      <c r="J297" s="420">
        <f>IFERROR(__xludf.DUMMYFUNCTION("""COMPUTED_VALUE"""),60.0)</f>
        <v>60</v>
      </c>
      <c r="K297" s="421">
        <f>IFERROR(__xludf.DUMMYFUNCTION("""COMPUTED_VALUE"""),70.0)</f>
        <v>70</v>
      </c>
      <c r="L297" s="421">
        <f>IFERROR(__xludf.DUMMYFUNCTION("""COMPUTED_VALUE"""),75.0)</f>
        <v>75</v>
      </c>
      <c r="M297" s="385" t="str">
        <f>IFERROR(__xludf.DUMMYFUNCTION("""COMPUTED_VALUE"""),"瞬間型")</f>
        <v>瞬間型</v>
      </c>
      <c r="N297" s="399">
        <f>IFERROR(__xludf.DUMMYFUNCTION("""COMPUTED_VALUE"""),5.0)</f>
        <v>5</v>
      </c>
      <c r="O297" s="400" t="str">
        <f>IFERROR(__xludf.DUMMYFUNCTION("""COMPUTED_VALUE"""),"効果値")</f>
        <v>効果値</v>
      </c>
      <c r="P297" s="422">
        <f>IFERROR(__xludf.DUMMYFUNCTION("""COMPUTED_VALUE"""),23.0)</f>
        <v>23</v>
      </c>
      <c r="Q297" s="423">
        <f>IFERROR(__xludf.DUMMYFUNCTION("""COMPUTED_VALUE"""),23.0)</f>
        <v>23</v>
      </c>
      <c r="R297" s="422">
        <f>IFERROR(__xludf.DUMMYFUNCTION("""COMPUTED_VALUE"""),24.0)</f>
        <v>24</v>
      </c>
      <c r="S297" s="423">
        <f>IFERROR(__xludf.DUMMYFUNCTION("""COMPUTED_VALUE"""),24.0)</f>
        <v>24</v>
      </c>
      <c r="T297" s="422">
        <f>IFERROR(__xludf.DUMMYFUNCTION("""COMPUTED_VALUE"""),24.0)</f>
        <v>24</v>
      </c>
      <c r="U297" s="423">
        <f>IFERROR(__xludf.DUMMYFUNCTION("""COMPUTED_VALUE"""),30.0)</f>
        <v>30</v>
      </c>
      <c r="V297" s="423">
        <f>IFERROR(__xludf.DUMMYFUNCTION("""COMPUTED_VALUE"""),35.0)</f>
        <v>35</v>
      </c>
      <c r="W297" s="424">
        <f>IFERROR(__xludf.DUMMYFUNCTION("""COMPUTED_VALUE"""),40.0)</f>
        <v>40</v>
      </c>
      <c r="X297" s="385" t="str">
        <f>IFERROR(__xludf.DUMMYFUNCTION("""COMPUTED_VALUE"""),"安定型")</f>
        <v>安定型</v>
      </c>
      <c r="Y297" s="399">
        <f>IFERROR(__xludf.DUMMYFUNCTION("""COMPUTED_VALUE"""),5.0)</f>
        <v>5</v>
      </c>
      <c r="Z297" s="400" t="str">
        <f>IFERROR(__xludf.DUMMYFUNCTION("""COMPUTED_VALUE"""),"効果値")</f>
        <v>効果値</v>
      </c>
      <c r="AA297" s="422">
        <f>IFERROR(__xludf.DUMMYFUNCTION("""COMPUTED_VALUE"""),13.0)</f>
        <v>13</v>
      </c>
      <c r="AB297" s="423">
        <f>IFERROR(__xludf.DUMMYFUNCTION("""COMPUTED_VALUE"""),13.0)</f>
        <v>13</v>
      </c>
      <c r="AC297" s="422">
        <f>IFERROR(__xludf.DUMMYFUNCTION("""COMPUTED_VALUE"""),14.0)</f>
        <v>14</v>
      </c>
      <c r="AD297" s="423">
        <f>IFERROR(__xludf.DUMMYFUNCTION("""COMPUTED_VALUE"""),14.0)</f>
        <v>14</v>
      </c>
      <c r="AE297" s="422">
        <f>IFERROR(__xludf.DUMMYFUNCTION("""COMPUTED_VALUE"""),14.0)</f>
        <v>14</v>
      </c>
      <c r="AF297" s="423">
        <f>IFERROR(__xludf.DUMMYFUNCTION("""COMPUTED_VALUE"""),15.0)</f>
        <v>15</v>
      </c>
      <c r="AG297" s="423">
        <f>IFERROR(__xludf.DUMMYFUNCTION("""COMPUTED_VALUE"""),20.0)</f>
        <v>20</v>
      </c>
      <c r="AH297" s="424">
        <f>IFERROR(__xludf.DUMMYFUNCTION("""COMPUTED_VALUE"""),25.0)</f>
        <v>25</v>
      </c>
      <c r="AI297" s="385" t="str">
        <f>IFERROR(__xludf.DUMMYFUNCTION("""COMPUTED_VALUE"""),"持続型")</f>
        <v>持続型</v>
      </c>
      <c r="AJ297" s="399">
        <f>IFERROR(__xludf.DUMMYFUNCTION("""COMPUTED_VALUE"""),5.0)</f>
        <v>5</v>
      </c>
      <c r="AK297" s="400" t="str">
        <f>IFERROR(__xludf.DUMMYFUNCTION("""COMPUTED_VALUE"""),"効果値")</f>
        <v>効果値</v>
      </c>
      <c r="AL297" s="422">
        <f>IFERROR(__xludf.DUMMYFUNCTION("""COMPUTED_VALUE"""),8.0)</f>
        <v>8</v>
      </c>
      <c r="AM297" s="423">
        <f>IFERROR(__xludf.DUMMYFUNCTION("""COMPUTED_VALUE"""),8.0)</f>
        <v>8</v>
      </c>
      <c r="AN297" s="422">
        <f>IFERROR(__xludf.DUMMYFUNCTION("""COMPUTED_VALUE"""),9.0)</f>
        <v>9</v>
      </c>
      <c r="AO297" s="423">
        <f>IFERROR(__xludf.DUMMYFUNCTION("""COMPUTED_VALUE"""),9.0)</f>
        <v>9</v>
      </c>
      <c r="AP297" s="422">
        <f>IFERROR(__xludf.DUMMYFUNCTION("""COMPUTED_VALUE"""),9.0)</f>
        <v>9</v>
      </c>
      <c r="AQ297" s="423">
        <f>IFERROR(__xludf.DUMMYFUNCTION("""COMPUTED_VALUE"""),10.0)</f>
        <v>10</v>
      </c>
      <c r="AR297" s="423">
        <f>IFERROR(__xludf.DUMMYFUNCTION("""COMPUTED_VALUE"""),12.0)</f>
        <v>12</v>
      </c>
      <c r="AS297" s="424">
        <f>IFERROR(__xludf.DUMMYFUNCTION("""COMPUTED_VALUE"""),12.0)</f>
        <v>12</v>
      </c>
      <c r="AT297" s="385" t="str">
        <f>IFERROR(__xludf.DUMMYFUNCTION("""COMPUTED_VALUE"""),"超持続型")</f>
        <v>超持続型</v>
      </c>
      <c r="AU297" s="399">
        <f>IFERROR(__xludf.DUMMYFUNCTION("""COMPUTED_VALUE"""),5.0)</f>
        <v>5</v>
      </c>
      <c r="AV297" s="400" t="str">
        <f>IFERROR(__xludf.DUMMYFUNCTION("""COMPUTED_VALUE"""),"効果値")</f>
        <v>効果値</v>
      </c>
      <c r="AW297" s="425" t="str">
        <f>IFERROR(__xludf.DUMMYFUNCTION("""COMPUTED_VALUE"""),"-")</f>
        <v>-</v>
      </c>
      <c r="AX297" s="426" t="str">
        <f>IFERROR(__xludf.DUMMYFUNCTION("""COMPUTED_VALUE"""),"-")</f>
        <v>-</v>
      </c>
      <c r="AY297" s="426" t="str">
        <f>IFERROR(__xludf.DUMMYFUNCTION("""COMPUTED_VALUE"""),"-")</f>
        <v>-</v>
      </c>
      <c r="AZ297" s="426" t="str">
        <f>IFERROR(__xludf.DUMMYFUNCTION("""COMPUTED_VALUE"""),"-")</f>
        <v>-</v>
      </c>
      <c r="BA297" s="426" t="str">
        <f>IFERROR(__xludf.DUMMYFUNCTION("""COMPUTED_VALUE"""),"-")</f>
        <v>-</v>
      </c>
      <c r="BB297" s="423">
        <f>IFERROR(__xludf.DUMMYFUNCTION("""COMPUTED_VALUE"""),10.0)</f>
        <v>10</v>
      </c>
      <c r="BC297" s="423">
        <f>IFERROR(__xludf.DUMMYFUNCTION("""COMPUTED_VALUE"""),12.0)</f>
        <v>12</v>
      </c>
      <c r="BD297" s="424">
        <f>IFERROR(__xludf.DUMMYFUNCTION("""COMPUTED_VALUE"""),12.0)</f>
        <v>12</v>
      </c>
      <c r="BE297" s="385" t="str">
        <f>IFERROR(__xludf.DUMMYFUNCTION("""COMPUTED_VALUE"""),"ハイブリッド型")</f>
        <v>ハイブリッド型</v>
      </c>
      <c r="BF297" s="399">
        <f>IFERROR(__xludf.DUMMYFUNCTION("""COMPUTED_VALUE"""),5.0)</f>
        <v>5</v>
      </c>
      <c r="BG297" s="400" t="str">
        <f>IFERROR(__xludf.DUMMYFUNCTION("""COMPUTED_VALUE"""),"効果値")</f>
        <v>効果値</v>
      </c>
      <c r="BH297" s="427">
        <f>IFERROR(__xludf.DUMMYFUNCTION("""COMPUTED_VALUE"""),12.0)</f>
        <v>12</v>
      </c>
      <c r="BI297" s="428">
        <f>IFERROR(__xludf.DUMMYFUNCTION("""COMPUTED_VALUE"""),12.75)</f>
        <v>12.75</v>
      </c>
      <c r="BJ297" s="428">
        <f>IFERROR(__xludf.DUMMYFUNCTION("""COMPUTED_VALUE"""),13.5)</f>
        <v>13.5</v>
      </c>
      <c r="BK297" s="428">
        <f>IFERROR(__xludf.DUMMYFUNCTION("""COMPUTED_VALUE"""),14.25)</f>
        <v>14.25</v>
      </c>
      <c r="BL297" s="427">
        <f>IFERROR(__xludf.DUMMYFUNCTION("""COMPUTED_VALUE"""),15.0)</f>
        <v>15</v>
      </c>
      <c r="BM297" s="427">
        <f>IFERROR(__xludf.DUMMYFUNCTION("""COMPUTED_VALUE"""),20.0)</f>
        <v>20</v>
      </c>
      <c r="BN297" s="427">
        <f>IFERROR(__xludf.DUMMYFUNCTION("""COMPUTED_VALUE"""),25.0)</f>
        <v>25</v>
      </c>
      <c r="BO297" s="429">
        <f>IFERROR(__xludf.DUMMYFUNCTION("""COMPUTED_VALUE"""),30.0)</f>
        <v>30</v>
      </c>
    </row>
    <row r="298">
      <c r="A298" s="435" t="str">
        <f>IFERROR(__xludf.DUMMYFUNCTION("""COMPUTED_VALUE"""),"攻撃力UP(ディフェンス)")</f>
        <v>攻撃力UP(ディフェンス)</v>
      </c>
      <c r="B298" s="385" t="str">
        <f>IFERROR(__xludf.DUMMYFUNCTION("""COMPUTED_VALUE"""),"超瞬間型")</f>
        <v>超瞬間型</v>
      </c>
      <c r="C298" s="430">
        <f>IFERROR(__xludf.DUMMYFUNCTION("""COMPUTED_VALUE"""),5.0)</f>
        <v>5</v>
      </c>
      <c r="D298" s="431" t="str">
        <f>IFERROR(__xludf.DUMMYFUNCTION("""COMPUTED_VALUE"""),"効果時間")</f>
        <v>効果時間</v>
      </c>
      <c r="E298" s="388" t="str">
        <f>IFERROR(__xludf.DUMMYFUNCTION("""COMPUTED_VALUE"""),"-")</f>
        <v>-</v>
      </c>
      <c r="F298" s="389" t="str">
        <f>IFERROR(__xludf.DUMMYFUNCTION("""COMPUTED_VALUE"""),"-")</f>
        <v>-</v>
      </c>
      <c r="G298" s="388" t="str">
        <f>IFERROR(__xludf.DUMMYFUNCTION("""COMPUTED_VALUE"""),"-")</f>
        <v>-</v>
      </c>
      <c r="H298" s="389" t="str">
        <f>IFERROR(__xludf.DUMMYFUNCTION("""COMPUTED_VALUE"""),"-")</f>
        <v>-</v>
      </c>
      <c r="I298" s="388" t="str">
        <f>IFERROR(__xludf.DUMMYFUNCTION("""COMPUTED_VALUE"""),"-")</f>
        <v>-</v>
      </c>
      <c r="J298" s="390">
        <f>IFERROR(__xludf.DUMMYFUNCTION("""COMPUTED_VALUE"""),160.0)</f>
        <v>160</v>
      </c>
      <c r="K298" s="391">
        <f>IFERROR(__xludf.DUMMYFUNCTION("""COMPUTED_VALUE"""),175.0)</f>
        <v>175</v>
      </c>
      <c r="L298" s="340">
        <f>IFERROR(__xludf.DUMMYFUNCTION("""COMPUTED_VALUE"""),200.0)</f>
        <v>200</v>
      </c>
      <c r="M298" s="385" t="str">
        <f>IFERROR(__xludf.DUMMYFUNCTION("""COMPUTED_VALUE"""),"瞬間型")</f>
        <v>瞬間型</v>
      </c>
      <c r="N298" s="430">
        <f>IFERROR(__xludf.DUMMYFUNCTION("""COMPUTED_VALUE"""),5.0)</f>
        <v>5</v>
      </c>
      <c r="O298" s="431" t="str">
        <f>IFERROR(__xludf.DUMMYFUNCTION("""COMPUTED_VALUE"""),"効果時間")</f>
        <v>効果時間</v>
      </c>
      <c r="P298" s="392">
        <f>IFERROR(__xludf.DUMMYFUNCTION("""COMPUTED_VALUE"""),175.0)</f>
        <v>175</v>
      </c>
      <c r="Q298" s="414">
        <f>IFERROR(__xludf.DUMMYFUNCTION("""COMPUTED_VALUE"""),185.0)</f>
        <v>185</v>
      </c>
      <c r="R298" s="414">
        <f>IFERROR(__xludf.DUMMYFUNCTION("""COMPUTED_VALUE"""),190.0)</f>
        <v>190</v>
      </c>
      <c r="S298" s="414">
        <f>IFERROR(__xludf.DUMMYFUNCTION("""COMPUTED_VALUE"""),195.0)</f>
        <v>195</v>
      </c>
      <c r="T298" s="394">
        <f>IFERROR(__xludf.DUMMYFUNCTION("""COMPUTED_VALUE"""),200.0)</f>
        <v>200</v>
      </c>
      <c r="U298" s="394">
        <f>IFERROR(__xludf.DUMMYFUNCTION("""COMPUTED_VALUE"""),225.0)</f>
        <v>225</v>
      </c>
      <c r="V298" s="394">
        <f>IFERROR(__xludf.DUMMYFUNCTION("""COMPUTED_VALUE"""),300.0)</f>
        <v>300</v>
      </c>
      <c r="W298" s="394">
        <f>IFERROR(__xludf.DUMMYFUNCTION("""COMPUTED_VALUE"""),325.0)</f>
        <v>325</v>
      </c>
      <c r="X298" s="385" t="str">
        <f>IFERROR(__xludf.DUMMYFUNCTION("""COMPUTED_VALUE"""),"安定型")</f>
        <v>安定型</v>
      </c>
      <c r="Y298" s="430">
        <f>IFERROR(__xludf.DUMMYFUNCTION("""COMPUTED_VALUE"""),5.0)</f>
        <v>5</v>
      </c>
      <c r="Z298" s="431" t="str">
        <f>IFERROR(__xludf.DUMMYFUNCTION("""COMPUTED_VALUE"""),"効果時間")</f>
        <v>効果時間</v>
      </c>
      <c r="AA298" s="392">
        <f>IFERROR(__xludf.DUMMYFUNCTION("""COMPUTED_VALUE"""),325.0)</f>
        <v>325</v>
      </c>
      <c r="AB298" s="414">
        <f>IFERROR(__xludf.DUMMYFUNCTION("""COMPUTED_VALUE"""),335.0)</f>
        <v>335</v>
      </c>
      <c r="AC298" s="414">
        <f>IFERROR(__xludf.DUMMYFUNCTION("""COMPUTED_VALUE"""),340.0)</f>
        <v>340</v>
      </c>
      <c r="AD298" s="414">
        <f>IFERROR(__xludf.DUMMYFUNCTION("""COMPUTED_VALUE"""),345.0)</f>
        <v>345</v>
      </c>
      <c r="AE298" s="394">
        <f>IFERROR(__xludf.DUMMYFUNCTION("""COMPUTED_VALUE"""),350.0)</f>
        <v>350</v>
      </c>
      <c r="AF298" s="394">
        <f>IFERROR(__xludf.DUMMYFUNCTION("""COMPUTED_VALUE"""),400.0)</f>
        <v>400</v>
      </c>
      <c r="AG298" s="394">
        <f>IFERROR(__xludf.DUMMYFUNCTION("""COMPUTED_VALUE"""),450.0)</f>
        <v>450</v>
      </c>
      <c r="AH298" s="394">
        <f>IFERROR(__xludf.DUMMYFUNCTION("""COMPUTED_VALUE"""),475.0)</f>
        <v>475</v>
      </c>
      <c r="AI298" s="385" t="str">
        <f>IFERROR(__xludf.DUMMYFUNCTION("""COMPUTED_VALUE"""),"持続型")</f>
        <v>持続型</v>
      </c>
      <c r="AJ298" s="430">
        <f>IFERROR(__xludf.DUMMYFUNCTION("""COMPUTED_VALUE"""),5.0)</f>
        <v>5</v>
      </c>
      <c r="AK298" s="431" t="str">
        <f>IFERROR(__xludf.DUMMYFUNCTION("""COMPUTED_VALUE"""),"効果時間")</f>
        <v>効果時間</v>
      </c>
      <c r="AL298" s="392">
        <f>IFERROR(__xludf.DUMMYFUNCTION("""COMPUTED_VALUE"""),475.0)</f>
        <v>475</v>
      </c>
      <c r="AM298" s="414">
        <f>IFERROR(__xludf.DUMMYFUNCTION("""COMPUTED_VALUE"""),485.0)</f>
        <v>485</v>
      </c>
      <c r="AN298" s="414">
        <f>IFERROR(__xludf.DUMMYFUNCTION("""COMPUTED_VALUE"""),490.0)</f>
        <v>490</v>
      </c>
      <c r="AO298" s="414">
        <f>IFERROR(__xludf.DUMMYFUNCTION("""COMPUTED_VALUE"""),495.0)</f>
        <v>495</v>
      </c>
      <c r="AP298" s="394">
        <f>IFERROR(__xludf.DUMMYFUNCTION("""COMPUTED_VALUE"""),500.0)</f>
        <v>500</v>
      </c>
      <c r="AQ298" s="394">
        <f>IFERROR(__xludf.DUMMYFUNCTION("""COMPUTED_VALUE"""),550.0)</f>
        <v>550</v>
      </c>
      <c r="AR298" s="394">
        <f>IFERROR(__xludf.DUMMYFUNCTION("""COMPUTED_VALUE"""),600.0)</f>
        <v>600</v>
      </c>
      <c r="AS298" s="394">
        <f>IFERROR(__xludf.DUMMYFUNCTION("""COMPUTED_VALUE"""),625.0)</f>
        <v>625</v>
      </c>
      <c r="AT298" s="385" t="str">
        <f>IFERROR(__xludf.DUMMYFUNCTION("""COMPUTED_VALUE"""),"超持続型")</f>
        <v>超持続型</v>
      </c>
      <c r="AU298" s="430">
        <f>IFERROR(__xludf.DUMMYFUNCTION("""COMPUTED_VALUE"""),5.0)</f>
        <v>5</v>
      </c>
      <c r="AV298" s="431" t="str">
        <f>IFERROR(__xludf.DUMMYFUNCTION("""COMPUTED_VALUE"""),"効果時間")</f>
        <v>効果時間</v>
      </c>
      <c r="AW298" s="395" t="str">
        <f>IFERROR(__xludf.DUMMYFUNCTION("""COMPUTED_VALUE"""),"-")</f>
        <v>-</v>
      </c>
      <c r="AX298" s="396" t="str">
        <f>IFERROR(__xludf.DUMMYFUNCTION("""COMPUTED_VALUE"""),"-")</f>
        <v>-</v>
      </c>
      <c r="AY298" s="396" t="str">
        <f>IFERROR(__xludf.DUMMYFUNCTION("""COMPUTED_VALUE"""),"-")</f>
        <v>-</v>
      </c>
      <c r="AZ298" s="396" t="str">
        <f>IFERROR(__xludf.DUMMYFUNCTION("""COMPUTED_VALUE"""),"-")</f>
        <v>-</v>
      </c>
      <c r="BA298" s="396" t="str">
        <f>IFERROR(__xludf.DUMMYFUNCTION("""COMPUTED_VALUE"""),"-")</f>
        <v>-</v>
      </c>
      <c r="BB298" s="393">
        <f>IFERROR(__xludf.DUMMYFUNCTION("""COMPUTED_VALUE"""),650.0)</f>
        <v>650</v>
      </c>
      <c r="BC298" s="393">
        <f>IFERROR(__xludf.DUMMYFUNCTION("""COMPUTED_VALUE"""),750.0)</f>
        <v>750</v>
      </c>
      <c r="BD298" s="394">
        <f>IFERROR(__xludf.DUMMYFUNCTION("""COMPUTED_VALUE"""),775.0)</f>
        <v>775</v>
      </c>
      <c r="BE298" s="385" t="str">
        <f>IFERROR(__xludf.DUMMYFUNCTION("""COMPUTED_VALUE"""),"ハイブリッド型")</f>
        <v>ハイブリッド型</v>
      </c>
      <c r="BF298" s="430">
        <f>IFERROR(__xludf.DUMMYFUNCTION("""COMPUTED_VALUE"""),5.0)</f>
        <v>5</v>
      </c>
      <c r="BG298" s="431" t="str">
        <f>IFERROR(__xludf.DUMMYFUNCTION("""COMPUTED_VALUE"""),"効果時間")</f>
        <v>効果時間</v>
      </c>
      <c r="BH298" s="304">
        <f>IFERROR(__xludf.DUMMYFUNCTION("""COMPUTED_VALUE"""),250.0)</f>
        <v>250</v>
      </c>
      <c r="BI298" s="432">
        <f>IFERROR(__xludf.DUMMYFUNCTION("""COMPUTED_VALUE"""),265.0)</f>
        <v>265</v>
      </c>
      <c r="BJ298" s="432">
        <f>IFERROR(__xludf.DUMMYFUNCTION("""COMPUTED_VALUE"""),275.0)</f>
        <v>275</v>
      </c>
      <c r="BK298" s="432">
        <f>IFERROR(__xludf.DUMMYFUNCTION("""COMPUTED_VALUE"""),290.0)</f>
        <v>290</v>
      </c>
      <c r="BL298" s="304">
        <f>IFERROR(__xludf.DUMMYFUNCTION("""COMPUTED_VALUE"""),300.0)</f>
        <v>300</v>
      </c>
      <c r="BM298" s="304">
        <f>IFERROR(__xludf.DUMMYFUNCTION("""COMPUTED_VALUE"""),400.0)</f>
        <v>400</v>
      </c>
      <c r="BN298" s="304">
        <f>IFERROR(__xludf.DUMMYFUNCTION("""COMPUTED_VALUE"""),500.0)</f>
        <v>500</v>
      </c>
      <c r="BO298" s="304">
        <f>IFERROR(__xludf.DUMMYFUNCTION("""COMPUTED_VALUE"""),525.0)</f>
        <v>525</v>
      </c>
    </row>
    <row r="299">
      <c r="A299" s="433" t="str">
        <f>IFERROR(__xludf.DUMMYFUNCTION("""COMPUTED_VALUE"""),"攻撃力UP(サポート)")</f>
        <v>攻撃力UP(サポート)</v>
      </c>
      <c r="B299" s="374" t="str">
        <f>IFERROR(__xludf.DUMMYFUNCTION("""COMPUTED_VALUE"""),"超瞬間型")</f>
        <v>超瞬間型</v>
      </c>
      <c r="C299" s="375">
        <f>IFERROR(__xludf.DUMMYFUNCTION("""COMPUTED_VALUE"""),1.0)</f>
        <v>1</v>
      </c>
      <c r="D299" s="376" t="str">
        <f>IFERROR(__xludf.DUMMYFUNCTION("""COMPUTED_VALUE"""),"効果値")</f>
        <v>効果値</v>
      </c>
      <c r="E299" s="377" t="str">
        <f>IFERROR(__xludf.DUMMYFUNCTION("""COMPUTED_VALUE"""),"-")</f>
        <v>-</v>
      </c>
      <c r="F299" s="378" t="str">
        <f>IFERROR(__xludf.DUMMYFUNCTION("""COMPUTED_VALUE"""),"-")</f>
        <v>-</v>
      </c>
      <c r="G299" s="377" t="str">
        <f>IFERROR(__xludf.DUMMYFUNCTION("""COMPUTED_VALUE"""),"-")</f>
        <v>-</v>
      </c>
      <c r="H299" s="378" t="str">
        <f>IFERROR(__xludf.DUMMYFUNCTION("""COMPUTED_VALUE"""),"-")</f>
        <v>-</v>
      </c>
      <c r="I299" s="377" t="str">
        <f>IFERROR(__xludf.DUMMYFUNCTION("""COMPUTED_VALUE"""),"-")</f>
        <v>-</v>
      </c>
      <c r="J299" s="379">
        <f>IFERROR(__xludf.DUMMYFUNCTION("""COMPUTED_VALUE"""),55.0)</f>
        <v>55</v>
      </c>
      <c r="K299" s="294">
        <f>IFERROR(__xludf.DUMMYFUNCTION("""COMPUTED_VALUE"""),65.0)</f>
        <v>65</v>
      </c>
      <c r="L299" s="294">
        <f>IFERROR(__xludf.DUMMYFUNCTION("""COMPUTED_VALUE"""),65.0)</f>
        <v>65</v>
      </c>
      <c r="M299" s="374" t="str">
        <f>IFERROR(__xludf.DUMMYFUNCTION("""COMPUTED_VALUE"""),"瞬間型")</f>
        <v>瞬間型</v>
      </c>
      <c r="N299" s="375">
        <f>IFERROR(__xludf.DUMMYFUNCTION("""COMPUTED_VALUE"""),1.0)</f>
        <v>1</v>
      </c>
      <c r="O299" s="376" t="str">
        <f>IFERROR(__xludf.DUMMYFUNCTION("""COMPUTED_VALUE"""),"効果値")</f>
        <v>効果値</v>
      </c>
      <c r="P299" s="380">
        <f>IFERROR(__xludf.DUMMYFUNCTION("""COMPUTED_VALUE"""),20.0)</f>
        <v>20</v>
      </c>
      <c r="Q299" s="263">
        <f>IFERROR(__xludf.DUMMYFUNCTION("""COMPUTED_VALUE"""),20.0)</f>
        <v>20</v>
      </c>
      <c r="R299" s="263">
        <f>IFERROR(__xludf.DUMMYFUNCTION("""COMPUTED_VALUE"""),20.0)</f>
        <v>20</v>
      </c>
      <c r="S299" s="263">
        <f>IFERROR(__xludf.DUMMYFUNCTION("""COMPUTED_VALUE"""),20.0)</f>
        <v>20</v>
      </c>
      <c r="T299" s="263">
        <f>IFERROR(__xludf.DUMMYFUNCTION("""COMPUTED_VALUE"""),20.0)</f>
        <v>20</v>
      </c>
      <c r="U299" s="263">
        <f>IFERROR(__xludf.DUMMYFUNCTION("""COMPUTED_VALUE"""),25.0)</f>
        <v>25</v>
      </c>
      <c r="V299" s="266">
        <f>IFERROR(__xludf.DUMMYFUNCTION("""COMPUTED_VALUE"""),30.0)</f>
        <v>30</v>
      </c>
      <c r="W299" s="266">
        <f>IFERROR(__xludf.DUMMYFUNCTION("""COMPUTED_VALUE"""),30.0)</f>
        <v>30</v>
      </c>
      <c r="X299" s="374" t="str">
        <f>IFERROR(__xludf.DUMMYFUNCTION("""COMPUTED_VALUE"""),"安定型")</f>
        <v>安定型</v>
      </c>
      <c r="Y299" s="375">
        <f>IFERROR(__xludf.DUMMYFUNCTION("""COMPUTED_VALUE"""),1.0)</f>
        <v>1</v>
      </c>
      <c r="Z299" s="376" t="str">
        <f>IFERROR(__xludf.DUMMYFUNCTION("""COMPUTED_VALUE"""),"効果値")</f>
        <v>効果値</v>
      </c>
      <c r="AA299" s="380">
        <f>IFERROR(__xludf.DUMMYFUNCTION("""COMPUTED_VALUE"""),10.0)</f>
        <v>10</v>
      </c>
      <c r="AB299" s="263">
        <f>IFERROR(__xludf.DUMMYFUNCTION("""COMPUTED_VALUE"""),10.0)</f>
        <v>10</v>
      </c>
      <c r="AC299" s="263">
        <f>IFERROR(__xludf.DUMMYFUNCTION("""COMPUTED_VALUE"""),10.0)</f>
        <v>10</v>
      </c>
      <c r="AD299" s="263">
        <f>IFERROR(__xludf.DUMMYFUNCTION("""COMPUTED_VALUE"""),10.0)</f>
        <v>10</v>
      </c>
      <c r="AE299" s="263">
        <f>IFERROR(__xludf.DUMMYFUNCTION("""COMPUTED_VALUE"""),10.0)</f>
        <v>10</v>
      </c>
      <c r="AF299" s="263">
        <f>IFERROR(__xludf.DUMMYFUNCTION("""COMPUTED_VALUE"""),10.0)</f>
        <v>10</v>
      </c>
      <c r="AG299" s="266">
        <f>IFERROR(__xludf.DUMMYFUNCTION("""COMPUTED_VALUE"""),15.0)</f>
        <v>15</v>
      </c>
      <c r="AH299" s="266">
        <f>IFERROR(__xludf.DUMMYFUNCTION("""COMPUTED_VALUE"""),15.0)</f>
        <v>15</v>
      </c>
      <c r="AI299" s="374" t="str">
        <f>IFERROR(__xludf.DUMMYFUNCTION("""COMPUTED_VALUE"""),"持続型")</f>
        <v>持続型</v>
      </c>
      <c r="AJ299" s="375">
        <f>IFERROR(__xludf.DUMMYFUNCTION("""COMPUTED_VALUE"""),1.0)</f>
        <v>1</v>
      </c>
      <c r="AK299" s="376" t="str">
        <f>IFERROR(__xludf.DUMMYFUNCTION("""COMPUTED_VALUE"""),"効果値")</f>
        <v>効果値</v>
      </c>
      <c r="AL299" s="380">
        <f>IFERROR(__xludf.DUMMYFUNCTION("""COMPUTED_VALUE"""),5.0)</f>
        <v>5</v>
      </c>
      <c r="AM299" s="263">
        <f>IFERROR(__xludf.DUMMYFUNCTION("""COMPUTED_VALUE"""),5.0)</f>
        <v>5</v>
      </c>
      <c r="AN299" s="263">
        <f>IFERROR(__xludf.DUMMYFUNCTION("""COMPUTED_VALUE"""),5.0)</f>
        <v>5</v>
      </c>
      <c r="AO299" s="263">
        <f>IFERROR(__xludf.DUMMYFUNCTION("""COMPUTED_VALUE"""),5.0)</f>
        <v>5</v>
      </c>
      <c r="AP299" s="263">
        <f>IFERROR(__xludf.DUMMYFUNCTION("""COMPUTED_VALUE"""),5.0)</f>
        <v>5</v>
      </c>
      <c r="AQ299" s="263">
        <f>IFERROR(__xludf.DUMMYFUNCTION("""COMPUTED_VALUE"""),5.0)</f>
        <v>5</v>
      </c>
      <c r="AR299" s="266">
        <f>IFERROR(__xludf.DUMMYFUNCTION("""COMPUTED_VALUE"""),10.0)</f>
        <v>10</v>
      </c>
      <c r="AS299" s="266">
        <f>IFERROR(__xludf.DUMMYFUNCTION("""COMPUTED_VALUE"""),10.0)</f>
        <v>10</v>
      </c>
      <c r="AT299" s="374" t="str">
        <f>IFERROR(__xludf.DUMMYFUNCTION("""COMPUTED_VALUE"""),"超持続型")</f>
        <v>超持続型</v>
      </c>
      <c r="AU299" s="375">
        <f>IFERROR(__xludf.DUMMYFUNCTION("""COMPUTED_VALUE"""),1.0)</f>
        <v>1</v>
      </c>
      <c r="AV299" s="376" t="str">
        <f>IFERROR(__xludf.DUMMYFUNCTION("""COMPUTED_VALUE"""),"効果値")</f>
        <v>効果値</v>
      </c>
      <c r="AW299" s="350" t="str">
        <f>IFERROR(__xludf.DUMMYFUNCTION("""COMPUTED_VALUE"""),"-")</f>
        <v>-</v>
      </c>
      <c r="AX299" s="348" t="str">
        <f>IFERROR(__xludf.DUMMYFUNCTION("""COMPUTED_VALUE"""),"-")</f>
        <v>-</v>
      </c>
      <c r="AY299" s="348" t="str">
        <f>IFERROR(__xludf.DUMMYFUNCTION("""COMPUTED_VALUE"""),"-")</f>
        <v>-</v>
      </c>
      <c r="AZ299" s="348" t="str">
        <f>IFERROR(__xludf.DUMMYFUNCTION("""COMPUTED_VALUE"""),"-")</f>
        <v>-</v>
      </c>
      <c r="BA299" s="348" t="str">
        <f>IFERROR(__xludf.DUMMYFUNCTION("""COMPUTED_VALUE"""),"-")</f>
        <v>-</v>
      </c>
      <c r="BB299" s="263">
        <f>IFERROR(__xludf.DUMMYFUNCTION("""COMPUTED_VALUE"""),5.0)</f>
        <v>5</v>
      </c>
      <c r="BC299" s="266">
        <f>IFERROR(__xludf.DUMMYFUNCTION("""COMPUTED_VALUE"""),10.0)</f>
        <v>10</v>
      </c>
      <c r="BD299" s="266">
        <f>IFERROR(__xludf.DUMMYFUNCTION("""COMPUTED_VALUE"""),10.0)</f>
        <v>10</v>
      </c>
      <c r="BE299" s="374" t="str">
        <f>IFERROR(__xludf.DUMMYFUNCTION("""COMPUTED_VALUE"""),"ハイブリッド型")</f>
        <v>ハイブリッド型</v>
      </c>
      <c r="BF299" s="375">
        <f>IFERROR(__xludf.DUMMYFUNCTION("""COMPUTED_VALUE"""),1.0)</f>
        <v>1</v>
      </c>
      <c r="BG299" s="376" t="str">
        <f>IFERROR(__xludf.DUMMYFUNCTION("""COMPUTED_VALUE"""),"効果値")</f>
        <v>効果値</v>
      </c>
      <c r="BH299" s="381">
        <f>IFERROR(__xludf.DUMMYFUNCTION("""COMPUTED_VALUE"""),10.0)</f>
        <v>10</v>
      </c>
      <c r="BI299" s="382">
        <f>IFERROR(__xludf.DUMMYFUNCTION("""COMPUTED_VALUE"""),10.0)</f>
        <v>10</v>
      </c>
      <c r="BJ299" s="382">
        <f>IFERROR(__xludf.DUMMYFUNCTION("""COMPUTED_VALUE"""),10.0)</f>
        <v>10</v>
      </c>
      <c r="BK299" s="382">
        <f>IFERROR(__xludf.DUMMYFUNCTION("""COMPUTED_VALUE"""),10.0)</f>
        <v>10</v>
      </c>
      <c r="BL299" s="382">
        <f>IFERROR(__xludf.DUMMYFUNCTION("""COMPUTED_VALUE"""),10.0)</f>
        <v>10</v>
      </c>
      <c r="BM299" s="382">
        <f>IFERROR(__xludf.DUMMYFUNCTION("""COMPUTED_VALUE"""),15.0)</f>
        <v>15</v>
      </c>
      <c r="BN299" s="382">
        <f>IFERROR(__xludf.DUMMYFUNCTION("""COMPUTED_VALUE"""),20.0)</f>
        <v>20</v>
      </c>
      <c r="BO299" s="383">
        <f>IFERROR(__xludf.DUMMYFUNCTION("""COMPUTED_VALUE"""),20.0)</f>
        <v>20</v>
      </c>
    </row>
    <row r="300">
      <c r="A300" s="434" t="str">
        <f>IFERROR(__xludf.DUMMYFUNCTION("""COMPUTED_VALUE"""),"攻撃力UP(サポート)")</f>
        <v>攻撃力UP(サポート)</v>
      </c>
      <c r="B300" s="385" t="str">
        <f>IFERROR(__xludf.DUMMYFUNCTION("""COMPUTED_VALUE"""),"超瞬間型")</f>
        <v>超瞬間型</v>
      </c>
      <c r="C300" s="386">
        <f>IFERROR(__xludf.DUMMYFUNCTION("""COMPUTED_VALUE"""),1.0)</f>
        <v>1</v>
      </c>
      <c r="D300" s="387" t="str">
        <f>IFERROR(__xludf.DUMMYFUNCTION("""COMPUTED_VALUE"""),"効果時間")</f>
        <v>効果時間</v>
      </c>
      <c r="E300" s="388" t="str">
        <f>IFERROR(__xludf.DUMMYFUNCTION("""COMPUTED_VALUE"""),"-")</f>
        <v>-</v>
      </c>
      <c r="F300" s="389" t="str">
        <f>IFERROR(__xludf.DUMMYFUNCTION("""COMPUTED_VALUE"""),"-")</f>
        <v>-</v>
      </c>
      <c r="G300" s="388" t="str">
        <f>IFERROR(__xludf.DUMMYFUNCTION("""COMPUTED_VALUE"""),"-")</f>
        <v>-</v>
      </c>
      <c r="H300" s="389" t="str">
        <f>IFERROR(__xludf.DUMMYFUNCTION("""COMPUTED_VALUE"""),"-")</f>
        <v>-</v>
      </c>
      <c r="I300" s="388" t="str">
        <f>IFERROR(__xludf.DUMMYFUNCTION("""COMPUTED_VALUE"""),"-")</f>
        <v>-</v>
      </c>
      <c r="J300" s="390">
        <f>IFERROR(__xludf.DUMMYFUNCTION("""COMPUTED_VALUE"""),150.0)</f>
        <v>150</v>
      </c>
      <c r="K300" s="391">
        <f>IFERROR(__xludf.DUMMYFUNCTION("""COMPUTED_VALUE"""),160.0)</f>
        <v>160</v>
      </c>
      <c r="L300" s="340">
        <f>IFERROR(__xludf.DUMMYFUNCTION("""COMPUTED_VALUE"""),160.0)</f>
        <v>160</v>
      </c>
      <c r="M300" s="385" t="str">
        <f>IFERROR(__xludf.DUMMYFUNCTION("""COMPUTED_VALUE"""),"瞬間型")</f>
        <v>瞬間型</v>
      </c>
      <c r="N300" s="386">
        <f>IFERROR(__xludf.DUMMYFUNCTION("""COMPUTED_VALUE"""),1.0)</f>
        <v>1</v>
      </c>
      <c r="O300" s="387" t="str">
        <f>IFERROR(__xludf.DUMMYFUNCTION("""COMPUTED_VALUE"""),"効果時間")</f>
        <v>効果時間</v>
      </c>
      <c r="P300" s="392">
        <f>IFERROR(__xludf.DUMMYFUNCTION("""COMPUTED_VALUE"""),150.0)</f>
        <v>150</v>
      </c>
      <c r="Q300" s="393">
        <f>IFERROR(__xludf.DUMMYFUNCTION("""COMPUTED_VALUE"""),150.0)</f>
        <v>150</v>
      </c>
      <c r="R300" s="393">
        <f>IFERROR(__xludf.DUMMYFUNCTION("""COMPUTED_VALUE"""),150.0)</f>
        <v>150</v>
      </c>
      <c r="S300" s="393">
        <f>IFERROR(__xludf.DUMMYFUNCTION("""COMPUTED_VALUE"""),150.0)</f>
        <v>150</v>
      </c>
      <c r="T300" s="393">
        <f>IFERROR(__xludf.DUMMYFUNCTION("""COMPUTED_VALUE"""),150.0)</f>
        <v>150</v>
      </c>
      <c r="U300" s="393">
        <f>IFERROR(__xludf.DUMMYFUNCTION("""COMPUTED_VALUE"""),150.0)</f>
        <v>150</v>
      </c>
      <c r="V300" s="393">
        <f>IFERROR(__xludf.DUMMYFUNCTION("""COMPUTED_VALUE"""),160.0)</f>
        <v>160</v>
      </c>
      <c r="W300" s="394">
        <f>IFERROR(__xludf.DUMMYFUNCTION("""COMPUTED_VALUE"""),160.0)</f>
        <v>160</v>
      </c>
      <c r="X300" s="385" t="str">
        <f>IFERROR(__xludf.DUMMYFUNCTION("""COMPUTED_VALUE"""),"安定型")</f>
        <v>安定型</v>
      </c>
      <c r="Y300" s="386">
        <f>IFERROR(__xludf.DUMMYFUNCTION("""COMPUTED_VALUE"""),1.0)</f>
        <v>1</v>
      </c>
      <c r="Z300" s="387" t="str">
        <f>IFERROR(__xludf.DUMMYFUNCTION("""COMPUTED_VALUE"""),"効果時間")</f>
        <v>効果時間</v>
      </c>
      <c r="AA300" s="392">
        <f>IFERROR(__xludf.DUMMYFUNCTION("""COMPUTED_VALUE"""),300.0)</f>
        <v>300</v>
      </c>
      <c r="AB300" s="393">
        <f>IFERROR(__xludf.DUMMYFUNCTION("""COMPUTED_VALUE"""),300.0)</f>
        <v>300</v>
      </c>
      <c r="AC300" s="393">
        <f>IFERROR(__xludf.DUMMYFUNCTION("""COMPUTED_VALUE"""),300.0)</f>
        <v>300</v>
      </c>
      <c r="AD300" s="393">
        <f>IFERROR(__xludf.DUMMYFUNCTION("""COMPUTED_VALUE"""),300.0)</f>
        <v>300</v>
      </c>
      <c r="AE300" s="393">
        <f>IFERROR(__xludf.DUMMYFUNCTION("""COMPUTED_VALUE"""),300.0)</f>
        <v>300</v>
      </c>
      <c r="AF300" s="393">
        <f>IFERROR(__xludf.DUMMYFUNCTION("""COMPUTED_VALUE"""),300.0)</f>
        <v>300</v>
      </c>
      <c r="AG300" s="393">
        <f>IFERROR(__xludf.DUMMYFUNCTION("""COMPUTED_VALUE"""),310.0)</f>
        <v>310</v>
      </c>
      <c r="AH300" s="394">
        <f>IFERROR(__xludf.DUMMYFUNCTION("""COMPUTED_VALUE"""),310.0)</f>
        <v>310</v>
      </c>
      <c r="AI300" s="385" t="str">
        <f>IFERROR(__xludf.DUMMYFUNCTION("""COMPUTED_VALUE"""),"持続型")</f>
        <v>持続型</v>
      </c>
      <c r="AJ300" s="386">
        <f>IFERROR(__xludf.DUMMYFUNCTION("""COMPUTED_VALUE"""),1.0)</f>
        <v>1</v>
      </c>
      <c r="AK300" s="387" t="str">
        <f>IFERROR(__xludf.DUMMYFUNCTION("""COMPUTED_VALUE"""),"効果時間")</f>
        <v>効果時間</v>
      </c>
      <c r="AL300" s="392">
        <f>IFERROR(__xludf.DUMMYFUNCTION("""COMPUTED_VALUE"""),450.0)</f>
        <v>450</v>
      </c>
      <c r="AM300" s="393">
        <f>IFERROR(__xludf.DUMMYFUNCTION("""COMPUTED_VALUE"""),450.0)</f>
        <v>450</v>
      </c>
      <c r="AN300" s="393">
        <f>IFERROR(__xludf.DUMMYFUNCTION("""COMPUTED_VALUE"""),450.0)</f>
        <v>450</v>
      </c>
      <c r="AO300" s="393">
        <f>IFERROR(__xludf.DUMMYFUNCTION("""COMPUTED_VALUE"""),450.0)</f>
        <v>450</v>
      </c>
      <c r="AP300" s="393">
        <f>IFERROR(__xludf.DUMMYFUNCTION("""COMPUTED_VALUE"""),450.0)</f>
        <v>450</v>
      </c>
      <c r="AQ300" s="393">
        <f>IFERROR(__xludf.DUMMYFUNCTION("""COMPUTED_VALUE"""),450.0)</f>
        <v>450</v>
      </c>
      <c r="AR300" s="393">
        <f>IFERROR(__xludf.DUMMYFUNCTION("""COMPUTED_VALUE"""),460.0)</f>
        <v>460</v>
      </c>
      <c r="AS300" s="394">
        <f>IFERROR(__xludf.DUMMYFUNCTION("""COMPUTED_VALUE"""),460.0)</f>
        <v>460</v>
      </c>
      <c r="AT300" s="385" t="str">
        <f>IFERROR(__xludf.DUMMYFUNCTION("""COMPUTED_VALUE"""),"超持続型")</f>
        <v>超持続型</v>
      </c>
      <c r="AU300" s="386">
        <f>IFERROR(__xludf.DUMMYFUNCTION("""COMPUTED_VALUE"""),1.0)</f>
        <v>1</v>
      </c>
      <c r="AV300" s="387" t="str">
        <f>IFERROR(__xludf.DUMMYFUNCTION("""COMPUTED_VALUE"""),"効果時間")</f>
        <v>効果時間</v>
      </c>
      <c r="AW300" s="395" t="str">
        <f>IFERROR(__xludf.DUMMYFUNCTION("""COMPUTED_VALUE"""),"-")</f>
        <v>-</v>
      </c>
      <c r="AX300" s="396" t="str">
        <f>IFERROR(__xludf.DUMMYFUNCTION("""COMPUTED_VALUE"""),"-")</f>
        <v>-</v>
      </c>
      <c r="AY300" s="396" t="str">
        <f>IFERROR(__xludf.DUMMYFUNCTION("""COMPUTED_VALUE"""),"-")</f>
        <v>-</v>
      </c>
      <c r="AZ300" s="396" t="str">
        <f>IFERROR(__xludf.DUMMYFUNCTION("""COMPUTED_VALUE"""),"-")</f>
        <v>-</v>
      </c>
      <c r="BA300" s="396" t="str">
        <f>IFERROR(__xludf.DUMMYFUNCTION("""COMPUTED_VALUE"""),"-")</f>
        <v>-</v>
      </c>
      <c r="BB300" s="393">
        <f>IFERROR(__xludf.DUMMYFUNCTION("""COMPUTED_VALUE"""),600.0)</f>
        <v>600</v>
      </c>
      <c r="BC300" s="393">
        <f>IFERROR(__xludf.DUMMYFUNCTION("""COMPUTED_VALUE"""),610.0)</f>
        <v>610</v>
      </c>
      <c r="BD300" s="394">
        <f>IFERROR(__xludf.DUMMYFUNCTION("""COMPUTED_VALUE"""),610.0)</f>
        <v>610</v>
      </c>
      <c r="BE300" s="385" t="str">
        <f>IFERROR(__xludf.DUMMYFUNCTION("""COMPUTED_VALUE"""),"ハイブリッド型")</f>
        <v>ハイブリッド型</v>
      </c>
      <c r="BF300" s="386">
        <f>IFERROR(__xludf.DUMMYFUNCTION("""COMPUTED_VALUE"""),1.0)</f>
        <v>1</v>
      </c>
      <c r="BG300" s="387" t="str">
        <f>IFERROR(__xludf.DUMMYFUNCTION("""COMPUTED_VALUE"""),"効果時間")</f>
        <v>効果時間</v>
      </c>
      <c r="BH300" s="397">
        <f>IFERROR(__xludf.DUMMYFUNCTION("""COMPUTED_VALUE"""),150.0)</f>
        <v>150</v>
      </c>
      <c r="BI300" s="397">
        <f>IFERROR(__xludf.DUMMYFUNCTION("""COMPUTED_VALUE"""),150.0)</f>
        <v>150</v>
      </c>
      <c r="BJ300" s="397">
        <f>IFERROR(__xludf.DUMMYFUNCTION("""COMPUTED_VALUE"""),150.0)</f>
        <v>150</v>
      </c>
      <c r="BK300" s="398">
        <f>IFERROR(__xludf.DUMMYFUNCTION("""COMPUTED_VALUE"""),150.0)</f>
        <v>150</v>
      </c>
      <c r="BL300" s="397">
        <f>IFERROR(__xludf.DUMMYFUNCTION("""COMPUTED_VALUE"""),150.0)</f>
        <v>150</v>
      </c>
      <c r="BM300" s="398">
        <f>IFERROR(__xludf.DUMMYFUNCTION("""COMPUTED_VALUE"""),350.0)</f>
        <v>350</v>
      </c>
      <c r="BN300" s="397">
        <f>IFERROR(__xludf.DUMMYFUNCTION("""COMPUTED_VALUE"""),460.0)</f>
        <v>460</v>
      </c>
      <c r="BO300" s="398">
        <f>IFERROR(__xludf.DUMMYFUNCTION("""COMPUTED_VALUE"""),460.0)</f>
        <v>460</v>
      </c>
    </row>
    <row r="301">
      <c r="A301" s="435" t="str">
        <f>IFERROR(__xludf.DUMMYFUNCTION("""COMPUTED_VALUE"""),"攻撃力UP(サポート)")</f>
        <v>攻撃力UP(サポート)</v>
      </c>
      <c r="B301" s="385" t="str">
        <f>IFERROR(__xludf.DUMMYFUNCTION("""COMPUTED_VALUE"""),"超瞬間型")</f>
        <v>超瞬間型</v>
      </c>
      <c r="C301" s="399">
        <f>IFERROR(__xludf.DUMMYFUNCTION("""COMPUTED_VALUE"""),2.0)</f>
        <v>2</v>
      </c>
      <c r="D301" s="400" t="str">
        <f>IFERROR(__xludf.DUMMYFUNCTION("""COMPUTED_VALUE"""),"効果値")</f>
        <v>効果値</v>
      </c>
      <c r="E301" s="401" t="str">
        <f>IFERROR(__xludf.DUMMYFUNCTION("""COMPUTED_VALUE"""),"-")</f>
        <v>-</v>
      </c>
      <c r="F301" s="401" t="str">
        <f>IFERROR(__xludf.DUMMYFUNCTION("""COMPUTED_VALUE"""),"-")</f>
        <v>-</v>
      </c>
      <c r="G301" s="401" t="str">
        <f>IFERROR(__xludf.DUMMYFUNCTION("""COMPUTED_VALUE"""),"-")</f>
        <v>-</v>
      </c>
      <c r="H301" s="401" t="str">
        <f>IFERROR(__xludf.DUMMYFUNCTION("""COMPUTED_VALUE"""),"-")</f>
        <v>-</v>
      </c>
      <c r="I301" s="401" t="str">
        <f>IFERROR(__xludf.DUMMYFUNCTION("""COMPUTED_VALUE"""),"-")</f>
        <v>-</v>
      </c>
      <c r="J301" s="318">
        <f>IFERROR(__xludf.DUMMYFUNCTION("""COMPUTED_VALUE"""),57.0)</f>
        <v>57</v>
      </c>
      <c r="K301" s="318">
        <f>IFERROR(__xludf.DUMMYFUNCTION("""COMPUTED_VALUE"""),67.0)</f>
        <v>67</v>
      </c>
      <c r="L301" s="318">
        <f>IFERROR(__xludf.DUMMYFUNCTION("""COMPUTED_VALUE"""),69.0)</f>
        <v>69</v>
      </c>
      <c r="M301" s="385" t="str">
        <f>IFERROR(__xludf.DUMMYFUNCTION("""COMPUTED_VALUE"""),"瞬間型")</f>
        <v>瞬間型</v>
      </c>
      <c r="N301" s="399">
        <f>IFERROR(__xludf.DUMMYFUNCTION("""COMPUTED_VALUE"""),2.0)</f>
        <v>2</v>
      </c>
      <c r="O301" s="400" t="str">
        <f>IFERROR(__xludf.DUMMYFUNCTION("""COMPUTED_VALUE"""),"効果値")</f>
        <v>効果値</v>
      </c>
      <c r="P301" s="343">
        <f>IFERROR(__xludf.DUMMYFUNCTION("""COMPUTED_VALUE"""),21.0)</f>
        <v>21</v>
      </c>
      <c r="Q301" s="402">
        <f>IFERROR(__xludf.DUMMYFUNCTION("""COMPUTED_VALUE"""),21.0)</f>
        <v>21</v>
      </c>
      <c r="R301" s="343">
        <f>IFERROR(__xludf.DUMMYFUNCTION("""COMPUTED_VALUE"""),22.0)</f>
        <v>22</v>
      </c>
      <c r="S301" s="402">
        <f>IFERROR(__xludf.DUMMYFUNCTION("""COMPUTED_VALUE"""),22.0)</f>
        <v>22</v>
      </c>
      <c r="T301" s="343">
        <f>IFERROR(__xludf.DUMMYFUNCTION("""COMPUTED_VALUE"""),22.0)</f>
        <v>22</v>
      </c>
      <c r="U301" s="343">
        <f>IFERROR(__xludf.DUMMYFUNCTION("""COMPUTED_VALUE"""),27.0)</f>
        <v>27</v>
      </c>
      <c r="V301" s="343">
        <f>IFERROR(__xludf.DUMMYFUNCTION("""COMPUTED_VALUE"""),32.0)</f>
        <v>32</v>
      </c>
      <c r="W301" s="343">
        <f>IFERROR(__xludf.DUMMYFUNCTION("""COMPUTED_VALUE"""),34.0)</f>
        <v>34</v>
      </c>
      <c r="X301" s="385" t="str">
        <f>IFERROR(__xludf.DUMMYFUNCTION("""COMPUTED_VALUE"""),"安定型")</f>
        <v>安定型</v>
      </c>
      <c r="Y301" s="399">
        <f>IFERROR(__xludf.DUMMYFUNCTION("""COMPUTED_VALUE"""),2.0)</f>
        <v>2</v>
      </c>
      <c r="Z301" s="400" t="str">
        <f>IFERROR(__xludf.DUMMYFUNCTION("""COMPUTED_VALUE"""),"効果値")</f>
        <v>効果値</v>
      </c>
      <c r="AA301" s="343">
        <f>IFERROR(__xludf.DUMMYFUNCTION("""COMPUTED_VALUE"""),11.0)</f>
        <v>11</v>
      </c>
      <c r="AB301" s="402">
        <f>IFERROR(__xludf.DUMMYFUNCTION("""COMPUTED_VALUE"""),11.0)</f>
        <v>11</v>
      </c>
      <c r="AC301" s="343">
        <f>IFERROR(__xludf.DUMMYFUNCTION("""COMPUTED_VALUE"""),12.0)</f>
        <v>12</v>
      </c>
      <c r="AD301" s="402">
        <f>IFERROR(__xludf.DUMMYFUNCTION("""COMPUTED_VALUE"""),12.0)</f>
        <v>12</v>
      </c>
      <c r="AE301" s="343">
        <f>IFERROR(__xludf.DUMMYFUNCTION("""COMPUTED_VALUE"""),12.0)</f>
        <v>12</v>
      </c>
      <c r="AF301" s="343">
        <f>IFERROR(__xludf.DUMMYFUNCTION("""COMPUTED_VALUE"""),12.0)</f>
        <v>12</v>
      </c>
      <c r="AG301" s="343">
        <f>IFERROR(__xludf.DUMMYFUNCTION("""COMPUTED_VALUE"""),17.0)</f>
        <v>17</v>
      </c>
      <c r="AH301" s="343">
        <f>IFERROR(__xludf.DUMMYFUNCTION("""COMPUTED_VALUE"""),19.0)</f>
        <v>19</v>
      </c>
      <c r="AI301" s="385" t="str">
        <f>IFERROR(__xludf.DUMMYFUNCTION("""COMPUTED_VALUE"""),"持続型")</f>
        <v>持続型</v>
      </c>
      <c r="AJ301" s="399">
        <f>IFERROR(__xludf.DUMMYFUNCTION("""COMPUTED_VALUE"""),2.0)</f>
        <v>2</v>
      </c>
      <c r="AK301" s="400" t="str">
        <f>IFERROR(__xludf.DUMMYFUNCTION("""COMPUTED_VALUE"""),"効果値")</f>
        <v>効果値</v>
      </c>
      <c r="AL301" s="343">
        <f>IFERROR(__xludf.DUMMYFUNCTION("""COMPUTED_VALUE"""),6.0)</f>
        <v>6</v>
      </c>
      <c r="AM301" s="402">
        <f>IFERROR(__xludf.DUMMYFUNCTION("""COMPUTED_VALUE"""),6.0)</f>
        <v>6</v>
      </c>
      <c r="AN301" s="343">
        <f>IFERROR(__xludf.DUMMYFUNCTION("""COMPUTED_VALUE"""),7.0)</f>
        <v>7</v>
      </c>
      <c r="AO301" s="402">
        <f>IFERROR(__xludf.DUMMYFUNCTION("""COMPUTED_VALUE"""),7.0)</f>
        <v>7</v>
      </c>
      <c r="AP301" s="343">
        <f>IFERROR(__xludf.DUMMYFUNCTION("""COMPUTED_VALUE"""),7.0)</f>
        <v>7</v>
      </c>
      <c r="AQ301" s="343">
        <f>IFERROR(__xludf.DUMMYFUNCTION("""COMPUTED_VALUE"""),7.0)</f>
        <v>7</v>
      </c>
      <c r="AR301" s="343">
        <f>IFERROR(__xludf.DUMMYFUNCTION("""COMPUTED_VALUE"""),11.0)</f>
        <v>11</v>
      </c>
      <c r="AS301" s="343">
        <f>IFERROR(__xludf.DUMMYFUNCTION("""COMPUTED_VALUE"""),11.0)</f>
        <v>11</v>
      </c>
      <c r="AT301" s="385" t="str">
        <f>IFERROR(__xludf.DUMMYFUNCTION("""COMPUTED_VALUE"""),"超持続型")</f>
        <v>超持続型</v>
      </c>
      <c r="AU301" s="399">
        <f>IFERROR(__xludf.DUMMYFUNCTION("""COMPUTED_VALUE"""),2.0)</f>
        <v>2</v>
      </c>
      <c r="AV301" s="400" t="str">
        <f>IFERROR(__xludf.DUMMYFUNCTION("""COMPUTED_VALUE"""),"効果値")</f>
        <v>効果値</v>
      </c>
      <c r="AW301" s="403" t="str">
        <f>IFERROR(__xludf.DUMMYFUNCTION("""COMPUTED_VALUE"""),"-")</f>
        <v>-</v>
      </c>
      <c r="AX301" s="403" t="str">
        <f>IFERROR(__xludf.DUMMYFUNCTION("""COMPUTED_VALUE"""),"-")</f>
        <v>-</v>
      </c>
      <c r="AY301" s="403" t="str">
        <f>IFERROR(__xludf.DUMMYFUNCTION("""COMPUTED_VALUE"""),"-")</f>
        <v>-</v>
      </c>
      <c r="AZ301" s="403" t="str">
        <f>IFERROR(__xludf.DUMMYFUNCTION("""COMPUTED_VALUE"""),"-")</f>
        <v>-</v>
      </c>
      <c r="BA301" s="403" t="str">
        <f>IFERROR(__xludf.DUMMYFUNCTION("""COMPUTED_VALUE"""),"-")</f>
        <v>-</v>
      </c>
      <c r="BB301" s="343">
        <f>IFERROR(__xludf.DUMMYFUNCTION("""COMPUTED_VALUE"""),7.0)</f>
        <v>7</v>
      </c>
      <c r="BC301" s="343">
        <f>IFERROR(__xludf.DUMMYFUNCTION("""COMPUTED_VALUE"""),11.0)</f>
        <v>11</v>
      </c>
      <c r="BD301" s="343">
        <f>IFERROR(__xludf.DUMMYFUNCTION("""COMPUTED_VALUE"""),11.0)</f>
        <v>11</v>
      </c>
      <c r="BE301" s="385" t="str">
        <f>IFERROR(__xludf.DUMMYFUNCTION("""COMPUTED_VALUE"""),"ハイブリッド型")</f>
        <v>ハイブリッド型</v>
      </c>
      <c r="BF301" s="399">
        <f>IFERROR(__xludf.DUMMYFUNCTION("""COMPUTED_VALUE"""),2.0)</f>
        <v>2</v>
      </c>
      <c r="BG301" s="400" t="str">
        <f>IFERROR(__xludf.DUMMYFUNCTION("""COMPUTED_VALUE"""),"効果値")</f>
        <v>効果値</v>
      </c>
      <c r="BH301" s="404">
        <f>IFERROR(__xludf.DUMMYFUNCTION("""COMPUTED_VALUE"""),10.8)</f>
        <v>10.8</v>
      </c>
      <c r="BI301" s="405">
        <f>IFERROR(__xludf.DUMMYFUNCTION("""COMPUTED_VALUE"""),11.2)</f>
        <v>11.2</v>
      </c>
      <c r="BJ301" s="405">
        <f>IFERROR(__xludf.DUMMYFUNCTION("""COMPUTED_VALUE"""),11.5)</f>
        <v>11.5</v>
      </c>
      <c r="BK301" s="405">
        <f>IFERROR(__xludf.DUMMYFUNCTION("""COMPUTED_VALUE"""),11.8)</f>
        <v>11.8</v>
      </c>
      <c r="BL301" s="405">
        <f>IFERROR(__xludf.DUMMYFUNCTION("""COMPUTED_VALUE"""),12.1)</f>
        <v>12.1</v>
      </c>
      <c r="BM301" s="405">
        <f>IFERROR(__xludf.DUMMYFUNCTION("""COMPUTED_VALUE"""),17.1)</f>
        <v>17.1</v>
      </c>
      <c r="BN301" s="405">
        <f>IFERROR(__xludf.DUMMYFUNCTION("""COMPUTED_VALUE"""),22.0)</f>
        <v>22</v>
      </c>
      <c r="BO301" s="406">
        <f>IFERROR(__xludf.DUMMYFUNCTION("""COMPUTED_VALUE"""),24.0)</f>
        <v>24</v>
      </c>
    </row>
    <row r="302">
      <c r="A302" s="435" t="str">
        <f>IFERROR(__xludf.DUMMYFUNCTION("""COMPUTED_VALUE"""),"攻撃力UP(サポート)")</f>
        <v>攻撃力UP(サポート)</v>
      </c>
      <c r="B302" s="385" t="str">
        <f>IFERROR(__xludf.DUMMYFUNCTION("""COMPUTED_VALUE"""),"超瞬間型")</f>
        <v>超瞬間型</v>
      </c>
      <c r="C302" s="386">
        <f>IFERROR(__xludf.DUMMYFUNCTION("""COMPUTED_VALUE"""),2.0)</f>
        <v>2</v>
      </c>
      <c r="D302" s="387" t="str">
        <f>IFERROR(__xludf.DUMMYFUNCTION("""COMPUTED_VALUE"""),"効果時間")</f>
        <v>効果時間</v>
      </c>
      <c r="E302" s="388" t="str">
        <f>IFERROR(__xludf.DUMMYFUNCTION("""COMPUTED_VALUE"""),"-")</f>
        <v>-</v>
      </c>
      <c r="F302" s="389" t="str">
        <f>IFERROR(__xludf.DUMMYFUNCTION("""COMPUTED_VALUE"""),"-")</f>
        <v>-</v>
      </c>
      <c r="G302" s="388" t="str">
        <f>IFERROR(__xludf.DUMMYFUNCTION("""COMPUTED_VALUE"""),"-")</f>
        <v>-</v>
      </c>
      <c r="H302" s="389" t="str">
        <f>IFERROR(__xludf.DUMMYFUNCTION("""COMPUTED_VALUE"""),"-")</f>
        <v>-</v>
      </c>
      <c r="I302" s="388" t="str">
        <f>IFERROR(__xludf.DUMMYFUNCTION("""COMPUTED_VALUE"""),"-")</f>
        <v>-</v>
      </c>
      <c r="J302" s="390">
        <f>IFERROR(__xludf.DUMMYFUNCTION("""COMPUTED_VALUE"""),150.0)</f>
        <v>150</v>
      </c>
      <c r="K302" s="391">
        <f>IFERROR(__xludf.DUMMYFUNCTION("""COMPUTED_VALUE"""),160.0)</f>
        <v>160</v>
      </c>
      <c r="L302" s="340">
        <f>IFERROR(__xludf.DUMMYFUNCTION("""COMPUTED_VALUE"""),170.0)</f>
        <v>170</v>
      </c>
      <c r="M302" s="385" t="str">
        <f>IFERROR(__xludf.DUMMYFUNCTION("""COMPUTED_VALUE"""),"瞬間型")</f>
        <v>瞬間型</v>
      </c>
      <c r="N302" s="386">
        <f>IFERROR(__xludf.DUMMYFUNCTION("""COMPUTED_VALUE"""),2.0)</f>
        <v>2</v>
      </c>
      <c r="O302" s="387" t="str">
        <f>IFERROR(__xludf.DUMMYFUNCTION("""COMPUTED_VALUE"""),"効果時間")</f>
        <v>効果時間</v>
      </c>
      <c r="P302" s="392">
        <f>IFERROR(__xludf.DUMMYFUNCTION("""COMPUTED_VALUE"""),160.0)</f>
        <v>160</v>
      </c>
      <c r="Q302" s="275">
        <f>IFERROR(__xludf.DUMMYFUNCTION("""COMPUTED_VALUE"""),165.0)</f>
        <v>165</v>
      </c>
      <c r="R302" s="280">
        <f>IFERROR(__xludf.DUMMYFUNCTION("""COMPUTED_VALUE"""),170.0)</f>
        <v>170</v>
      </c>
      <c r="S302" s="275">
        <f>IFERROR(__xludf.DUMMYFUNCTION("""COMPUTED_VALUE"""),175.0)</f>
        <v>175</v>
      </c>
      <c r="T302" s="280">
        <f>IFERROR(__xludf.DUMMYFUNCTION("""COMPUTED_VALUE"""),180.0)</f>
        <v>180</v>
      </c>
      <c r="U302" s="280">
        <f>IFERROR(__xludf.DUMMYFUNCTION("""COMPUTED_VALUE"""),180.0)</f>
        <v>180</v>
      </c>
      <c r="V302" s="280">
        <f>IFERROR(__xludf.DUMMYFUNCTION("""COMPUTED_VALUE"""),220.0)</f>
        <v>220</v>
      </c>
      <c r="W302" s="280">
        <f>IFERROR(__xludf.DUMMYFUNCTION("""COMPUTED_VALUE"""),230.0)</f>
        <v>230</v>
      </c>
      <c r="X302" s="385" t="str">
        <f>IFERROR(__xludf.DUMMYFUNCTION("""COMPUTED_VALUE"""),"安定型")</f>
        <v>安定型</v>
      </c>
      <c r="Y302" s="386">
        <f>IFERROR(__xludf.DUMMYFUNCTION("""COMPUTED_VALUE"""),2.0)</f>
        <v>2</v>
      </c>
      <c r="Z302" s="387" t="str">
        <f>IFERROR(__xludf.DUMMYFUNCTION("""COMPUTED_VALUE"""),"効果時間")</f>
        <v>効果時間</v>
      </c>
      <c r="AA302" s="392">
        <f>IFERROR(__xludf.DUMMYFUNCTION("""COMPUTED_VALUE"""),310.0)</f>
        <v>310</v>
      </c>
      <c r="AB302" s="275">
        <f>IFERROR(__xludf.DUMMYFUNCTION("""COMPUTED_VALUE"""),315.0)</f>
        <v>315</v>
      </c>
      <c r="AC302" s="280">
        <f>IFERROR(__xludf.DUMMYFUNCTION("""COMPUTED_VALUE"""),320.0)</f>
        <v>320</v>
      </c>
      <c r="AD302" s="275">
        <f>IFERROR(__xludf.DUMMYFUNCTION("""COMPUTED_VALUE"""),325.0)</f>
        <v>325</v>
      </c>
      <c r="AE302" s="280">
        <f>IFERROR(__xludf.DUMMYFUNCTION("""COMPUTED_VALUE"""),330.0)</f>
        <v>330</v>
      </c>
      <c r="AF302" s="280">
        <f>IFERROR(__xludf.DUMMYFUNCTION("""COMPUTED_VALUE"""),345.0)</f>
        <v>345</v>
      </c>
      <c r="AG302" s="280">
        <f>IFERROR(__xludf.DUMMYFUNCTION("""COMPUTED_VALUE"""),370.0)</f>
        <v>370</v>
      </c>
      <c r="AH302" s="280">
        <f>IFERROR(__xludf.DUMMYFUNCTION("""COMPUTED_VALUE"""),380.0)</f>
        <v>380</v>
      </c>
      <c r="AI302" s="385" t="str">
        <f>IFERROR(__xludf.DUMMYFUNCTION("""COMPUTED_VALUE"""),"持続型")</f>
        <v>持続型</v>
      </c>
      <c r="AJ302" s="386">
        <f>IFERROR(__xludf.DUMMYFUNCTION("""COMPUTED_VALUE"""),2.0)</f>
        <v>2</v>
      </c>
      <c r="AK302" s="387" t="str">
        <f>IFERROR(__xludf.DUMMYFUNCTION("""COMPUTED_VALUE"""),"効果時間")</f>
        <v>効果時間</v>
      </c>
      <c r="AL302" s="392">
        <f>IFERROR(__xludf.DUMMYFUNCTION("""COMPUTED_VALUE"""),460.0)</f>
        <v>460</v>
      </c>
      <c r="AM302" s="275">
        <f>IFERROR(__xludf.DUMMYFUNCTION("""COMPUTED_VALUE"""),465.0)</f>
        <v>465</v>
      </c>
      <c r="AN302" s="280">
        <f>IFERROR(__xludf.DUMMYFUNCTION("""COMPUTED_VALUE"""),470.0)</f>
        <v>470</v>
      </c>
      <c r="AO302" s="275">
        <f>IFERROR(__xludf.DUMMYFUNCTION("""COMPUTED_VALUE"""),475.0)</f>
        <v>475</v>
      </c>
      <c r="AP302" s="280">
        <f>IFERROR(__xludf.DUMMYFUNCTION("""COMPUTED_VALUE"""),480.0)</f>
        <v>480</v>
      </c>
      <c r="AQ302" s="280">
        <f>IFERROR(__xludf.DUMMYFUNCTION("""COMPUTED_VALUE"""),495.0)</f>
        <v>495</v>
      </c>
      <c r="AR302" s="280">
        <f>IFERROR(__xludf.DUMMYFUNCTION("""COMPUTED_VALUE"""),520.0)</f>
        <v>520</v>
      </c>
      <c r="AS302" s="280">
        <f>IFERROR(__xludf.DUMMYFUNCTION("""COMPUTED_VALUE"""),530.0)</f>
        <v>530</v>
      </c>
      <c r="AT302" s="385" t="str">
        <f>IFERROR(__xludf.DUMMYFUNCTION("""COMPUTED_VALUE"""),"超持続型")</f>
        <v>超持続型</v>
      </c>
      <c r="AU302" s="386">
        <f>IFERROR(__xludf.DUMMYFUNCTION("""COMPUTED_VALUE"""),2.0)</f>
        <v>2</v>
      </c>
      <c r="AV302" s="387" t="str">
        <f>IFERROR(__xludf.DUMMYFUNCTION("""COMPUTED_VALUE"""),"効果時間")</f>
        <v>効果時間</v>
      </c>
      <c r="AW302" s="368" t="str">
        <f>IFERROR(__xludf.DUMMYFUNCTION("""COMPUTED_VALUE"""),"-")</f>
        <v>-</v>
      </c>
      <c r="AX302" s="368" t="str">
        <f>IFERROR(__xludf.DUMMYFUNCTION("""COMPUTED_VALUE"""),"-")</f>
        <v>-</v>
      </c>
      <c r="AY302" s="368" t="str">
        <f>IFERROR(__xludf.DUMMYFUNCTION("""COMPUTED_VALUE"""),"-")</f>
        <v>-</v>
      </c>
      <c r="AZ302" s="368" t="str">
        <f>IFERROR(__xludf.DUMMYFUNCTION("""COMPUTED_VALUE"""),"-")</f>
        <v>-</v>
      </c>
      <c r="BA302" s="368" t="str">
        <f>IFERROR(__xludf.DUMMYFUNCTION("""COMPUTED_VALUE"""),"-")</f>
        <v>-</v>
      </c>
      <c r="BB302" s="280">
        <f>IFERROR(__xludf.DUMMYFUNCTION("""COMPUTED_VALUE"""),625.0)</f>
        <v>625</v>
      </c>
      <c r="BC302" s="280">
        <f>IFERROR(__xludf.DUMMYFUNCTION("""COMPUTED_VALUE"""),670.0)</f>
        <v>670</v>
      </c>
      <c r="BD302" s="280">
        <f>IFERROR(__xludf.DUMMYFUNCTION("""COMPUTED_VALUE"""),680.0)</f>
        <v>680</v>
      </c>
      <c r="BE302" s="385" t="str">
        <f>IFERROR(__xludf.DUMMYFUNCTION("""COMPUTED_VALUE"""),"ハイブリッド型")</f>
        <v>ハイブリッド型</v>
      </c>
      <c r="BF302" s="386">
        <f>IFERROR(__xludf.DUMMYFUNCTION("""COMPUTED_VALUE"""),2.0)</f>
        <v>2</v>
      </c>
      <c r="BG302" s="387" t="str">
        <f>IFERROR(__xludf.DUMMYFUNCTION("""COMPUTED_VALUE"""),"効果時間")</f>
        <v>効果時間</v>
      </c>
      <c r="BH302" s="407">
        <f>IFERROR(__xludf.DUMMYFUNCTION("""COMPUTED_VALUE"""),195.0)</f>
        <v>195</v>
      </c>
      <c r="BI302" s="407">
        <f>IFERROR(__xludf.DUMMYFUNCTION("""COMPUTED_VALUE"""),205.0)</f>
        <v>205</v>
      </c>
      <c r="BJ302" s="407">
        <f>IFERROR(__xludf.DUMMYFUNCTION("""COMPUTED_VALUE"""),205.0)</f>
        <v>205</v>
      </c>
      <c r="BK302" s="408">
        <f>IFERROR(__xludf.DUMMYFUNCTION("""COMPUTED_VALUE"""),210.0)</f>
        <v>210</v>
      </c>
      <c r="BL302" s="407">
        <f>IFERROR(__xludf.DUMMYFUNCTION("""COMPUTED_VALUE"""),215.0)</f>
        <v>215</v>
      </c>
      <c r="BM302" s="408">
        <f>IFERROR(__xludf.DUMMYFUNCTION("""COMPUTED_VALUE"""),375.0)</f>
        <v>375</v>
      </c>
      <c r="BN302" s="407">
        <f>IFERROR(__xludf.DUMMYFUNCTION("""COMPUTED_VALUE"""),480.0)</f>
        <v>480</v>
      </c>
      <c r="BO302" s="408">
        <f>IFERROR(__xludf.DUMMYFUNCTION("""COMPUTED_VALUE"""),490.0)</f>
        <v>490</v>
      </c>
    </row>
    <row r="303">
      <c r="A303" s="435" t="str">
        <f>IFERROR(__xludf.DUMMYFUNCTION("""COMPUTED_VALUE"""),"攻撃力UP(サポート)")</f>
        <v>攻撃力UP(サポート)</v>
      </c>
      <c r="B303" s="385" t="str">
        <f>IFERROR(__xludf.DUMMYFUNCTION("""COMPUTED_VALUE"""),"超瞬間型")</f>
        <v>超瞬間型</v>
      </c>
      <c r="C303" s="399">
        <f>IFERROR(__xludf.DUMMYFUNCTION("""COMPUTED_VALUE"""),3.0)</f>
        <v>3</v>
      </c>
      <c r="D303" s="400" t="str">
        <f>IFERROR(__xludf.DUMMYFUNCTION("""COMPUTED_VALUE"""),"効果値")</f>
        <v>効果値</v>
      </c>
      <c r="E303" s="401" t="str">
        <f>IFERROR(__xludf.DUMMYFUNCTION("""COMPUTED_VALUE"""),"-")</f>
        <v>-</v>
      </c>
      <c r="F303" s="409" t="str">
        <f>IFERROR(__xludf.DUMMYFUNCTION("""COMPUTED_VALUE"""),"-")</f>
        <v>-</v>
      </c>
      <c r="G303" s="401" t="str">
        <f>IFERROR(__xludf.DUMMYFUNCTION("""COMPUTED_VALUE"""),"-")</f>
        <v>-</v>
      </c>
      <c r="H303" s="409" t="str">
        <f>IFERROR(__xludf.DUMMYFUNCTION("""COMPUTED_VALUE"""),"-")</f>
        <v>-</v>
      </c>
      <c r="I303" s="409" t="str">
        <f>IFERROR(__xludf.DUMMYFUNCTION("""COMPUTED_VALUE"""),"-")</f>
        <v>-</v>
      </c>
      <c r="J303" s="410">
        <f>IFERROR(__xludf.DUMMYFUNCTION("""COMPUTED_VALUE"""),58.0)</f>
        <v>58</v>
      </c>
      <c r="K303" s="410">
        <f>IFERROR(__xludf.DUMMYFUNCTION("""COMPUTED_VALUE"""),68.0)</f>
        <v>68</v>
      </c>
      <c r="L303" s="410">
        <f>IFERROR(__xludf.DUMMYFUNCTION("""COMPUTED_VALUE"""),72.0)</f>
        <v>72</v>
      </c>
      <c r="M303" s="385" t="str">
        <f>IFERROR(__xludf.DUMMYFUNCTION("""COMPUTED_VALUE"""),"瞬間型")</f>
        <v>瞬間型</v>
      </c>
      <c r="N303" s="399">
        <f>IFERROR(__xludf.DUMMYFUNCTION("""COMPUTED_VALUE"""),3.0)</f>
        <v>3</v>
      </c>
      <c r="O303" s="400" t="str">
        <f>IFERROR(__xludf.DUMMYFUNCTION("""COMPUTED_VALUE"""),"効果値")</f>
        <v>効果値</v>
      </c>
      <c r="P303" s="343">
        <f>IFERROR(__xludf.DUMMYFUNCTION("""COMPUTED_VALUE"""),22.0)</f>
        <v>22</v>
      </c>
      <c r="Q303" s="402">
        <f>IFERROR(__xludf.DUMMYFUNCTION("""COMPUTED_VALUE"""),22.0)</f>
        <v>22</v>
      </c>
      <c r="R303" s="402">
        <f>IFERROR(__xludf.DUMMYFUNCTION("""COMPUTED_VALUE"""),23.0)</f>
        <v>23</v>
      </c>
      <c r="S303" s="402">
        <f>IFERROR(__xludf.DUMMYFUNCTION("""COMPUTED_VALUE"""),23.0)</f>
        <v>23</v>
      </c>
      <c r="T303" s="402">
        <f>IFERROR(__xludf.DUMMYFUNCTION("""COMPUTED_VALUE"""),23.0)</f>
        <v>23</v>
      </c>
      <c r="U303" s="402">
        <f>IFERROR(__xludf.DUMMYFUNCTION("""COMPUTED_VALUE"""),28.0)</f>
        <v>28</v>
      </c>
      <c r="V303" s="402">
        <f>IFERROR(__xludf.DUMMYFUNCTION("""COMPUTED_VALUE"""),33.0)</f>
        <v>33</v>
      </c>
      <c r="W303" s="402">
        <f>IFERROR(__xludf.DUMMYFUNCTION("""COMPUTED_VALUE"""),37.0)</f>
        <v>37</v>
      </c>
      <c r="X303" s="385" t="str">
        <f>IFERROR(__xludf.DUMMYFUNCTION("""COMPUTED_VALUE"""),"安定型")</f>
        <v>安定型</v>
      </c>
      <c r="Y303" s="399">
        <f>IFERROR(__xludf.DUMMYFUNCTION("""COMPUTED_VALUE"""),3.0)</f>
        <v>3</v>
      </c>
      <c r="Z303" s="400" t="str">
        <f>IFERROR(__xludf.DUMMYFUNCTION("""COMPUTED_VALUE"""),"効果値")</f>
        <v>効果値</v>
      </c>
      <c r="AA303" s="343">
        <f>IFERROR(__xludf.DUMMYFUNCTION("""COMPUTED_VALUE"""),12.0)</f>
        <v>12</v>
      </c>
      <c r="AB303" s="402">
        <f>IFERROR(__xludf.DUMMYFUNCTION("""COMPUTED_VALUE"""),12.0)</f>
        <v>12</v>
      </c>
      <c r="AC303" s="402">
        <f>IFERROR(__xludf.DUMMYFUNCTION("""COMPUTED_VALUE"""),13.0)</f>
        <v>13</v>
      </c>
      <c r="AD303" s="402">
        <f>IFERROR(__xludf.DUMMYFUNCTION("""COMPUTED_VALUE"""),13.0)</f>
        <v>13</v>
      </c>
      <c r="AE303" s="402">
        <f>IFERROR(__xludf.DUMMYFUNCTION("""COMPUTED_VALUE"""),13.0)</f>
        <v>13</v>
      </c>
      <c r="AF303" s="402">
        <f>IFERROR(__xludf.DUMMYFUNCTION("""COMPUTED_VALUE"""),13.0)</f>
        <v>13</v>
      </c>
      <c r="AG303" s="402">
        <f>IFERROR(__xludf.DUMMYFUNCTION("""COMPUTED_VALUE"""),18.0)</f>
        <v>18</v>
      </c>
      <c r="AH303" s="402">
        <f>IFERROR(__xludf.DUMMYFUNCTION("""COMPUTED_VALUE"""),22.0)</f>
        <v>22</v>
      </c>
      <c r="AI303" s="385" t="str">
        <f>IFERROR(__xludf.DUMMYFUNCTION("""COMPUTED_VALUE"""),"持続型")</f>
        <v>持続型</v>
      </c>
      <c r="AJ303" s="399">
        <f>IFERROR(__xludf.DUMMYFUNCTION("""COMPUTED_VALUE"""),3.0)</f>
        <v>3</v>
      </c>
      <c r="AK303" s="400" t="str">
        <f>IFERROR(__xludf.DUMMYFUNCTION("""COMPUTED_VALUE"""),"効果値")</f>
        <v>効果値</v>
      </c>
      <c r="AL303" s="343">
        <f>IFERROR(__xludf.DUMMYFUNCTION("""COMPUTED_VALUE"""),7.0)</f>
        <v>7</v>
      </c>
      <c r="AM303" s="402">
        <f>IFERROR(__xludf.DUMMYFUNCTION("""COMPUTED_VALUE"""),7.0)</f>
        <v>7</v>
      </c>
      <c r="AN303" s="402">
        <f>IFERROR(__xludf.DUMMYFUNCTION("""COMPUTED_VALUE"""),8.0)</f>
        <v>8</v>
      </c>
      <c r="AO303" s="402">
        <f>IFERROR(__xludf.DUMMYFUNCTION("""COMPUTED_VALUE"""),8.0)</f>
        <v>8</v>
      </c>
      <c r="AP303" s="402">
        <f>IFERROR(__xludf.DUMMYFUNCTION("""COMPUTED_VALUE"""),8.0)</f>
        <v>8</v>
      </c>
      <c r="AQ303" s="402">
        <f>IFERROR(__xludf.DUMMYFUNCTION("""COMPUTED_VALUE"""),8.0)</f>
        <v>8</v>
      </c>
      <c r="AR303" s="402">
        <f>IFERROR(__xludf.DUMMYFUNCTION("""COMPUTED_VALUE"""),11.0)</f>
        <v>11</v>
      </c>
      <c r="AS303" s="402">
        <f>IFERROR(__xludf.DUMMYFUNCTION("""COMPUTED_VALUE"""),11.0)</f>
        <v>11</v>
      </c>
      <c r="AT303" s="385" t="str">
        <f>IFERROR(__xludf.DUMMYFUNCTION("""COMPUTED_VALUE"""),"超持続型")</f>
        <v>超持続型</v>
      </c>
      <c r="AU303" s="399">
        <f>IFERROR(__xludf.DUMMYFUNCTION("""COMPUTED_VALUE"""),3.0)</f>
        <v>3</v>
      </c>
      <c r="AV303" s="400" t="str">
        <f>IFERROR(__xludf.DUMMYFUNCTION("""COMPUTED_VALUE"""),"効果値")</f>
        <v>効果値</v>
      </c>
      <c r="AW303" s="403" t="str">
        <f>IFERROR(__xludf.DUMMYFUNCTION("""COMPUTED_VALUE"""),"-")</f>
        <v>-</v>
      </c>
      <c r="AX303" s="403" t="str">
        <f>IFERROR(__xludf.DUMMYFUNCTION("""COMPUTED_VALUE"""),"-")</f>
        <v>-</v>
      </c>
      <c r="AY303" s="403" t="str">
        <f>IFERROR(__xludf.DUMMYFUNCTION("""COMPUTED_VALUE"""),"-")</f>
        <v>-</v>
      </c>
      <c r="AZ303" s="403" t="str">
        <f>IFERROR(__xludf.DUMMYFUNCTION("""COMPUTED_VALUE"""),"-")</f>
        <v>-</v>
      </c>
      <c r="BA303" s="403" t="str">
        <f>IFERROR(__xludf.DUMMYFUNCTION("""COMPUTED_VALUE"""),"-")</f>
        <v>-</v>
      </c>
      <c r="BB303" s="343">
        <f>IFERROR(__xludf.DUMMYFUNCTION("""COMPUTED_VALUE"""),8.0)</f>
        <v>8</v>
      </c>
      <c r="BC303" s="343">
        <f>IFERROR(__xludf.DUMMYFUNCTION("""COMPUTED_VALUE"""),11.0)</f>
        <v>11</v>
      </c>
      <c r="BD303" s="343">
        <f>IFERROR(__xludf.DUMMYFUNCTION("""COMPUTED_VALUE"""),11.0)</f>
        <v>11</v>
      </c>
      <c r="BE303" s="385" t="str">
        <f>IFERROR(__xludf.DUMMYFUNCTION("""COMPUTED_VALUE"""),"ハイブリッド型")</f>
        <v>ハイブリッド型</v>
      </c>
      <c r="BF303" s="399">
        <f>IFERROR(__xludf.DUMMYFUNCTION("""COMPUTED_VALUE"""),3.0)</f>
        <v>3</v>
      </c>
      <c r="BG303" s="400" t="str">
        <f>IFERROR(__xludf.DUMMYFUNCTION("""COMPUTED_VALUE"""),"効果値")</f>
        <v>効果値</v>
      </c>
      <c r="BH303" s="411">
        <f>IFERROR(__xludf.DUMMYFUNCTION("""COMPUTED_VALUE"""),11.4)</f>
        <v>11.4</v>
      </c>
      <c r="BI303" s="412">
        <f>IFERROR(__xludf.DUMMYFUNCTION("""COMPUTED_VALUE"""),11.9)</f>
        <v>11.9</v>
      </c>
      <c r="BJ303" s="412">
        <f>IFERROR(__xludf.DUMMYFUNCTION("""COMPUTED_VALUE"""),12.5)</f>
        <v>12.5</v>
      </c>
      <c r="BK303" s="412">
        <f>IFERROR(__xludf.DUMMYFUNCTION("""COMPUTED_VALUE"""),13.0)</f>
        <v>13</v>
      </c>
      <c r="BL303" s="412">
        <f>IFERROR(__xludf.DUMMYFUNCTION("""COMPUTED_VALUE"""),13.5)</f>
        <v>13.5</v>
      </c>
      <c r="BM303" s="412">
        <f>IFERROR(__xludf.DUMMYFUNCTION("""COMPUTED_VALUE"""),18.5)</f>
        <v>18.5</v>
      </c>
      <c r="BN303" s="412">
        <f>IFERROR(__xludf.DUMMYFUNCTION("""COMPUTED_VALUE"""),23.0)</f>
        <v>23</v>
      </c>
      <c r="BO303" s="413">
        <f>IFERROR(__xludf.DUMMYFUNCTION("""COMPUTED_VALUE"""),27.0)</f>
        <v>27</v>
      </c>
    </row>
    <row r="304">
      <c r="A304" s="435" t="str">
        <f>IFERROR(__xludf.DUMMYFUNCTION("""COMPUTED_VALUE"""),"攻撃力UP(サポート)")</f>
        <v>攻撃力UP(サポート)</v>
      </c>
      <c r="B304" s="385" t="str">
        <f>IFERROR(__xludf.DUMMYFUNCTION("""COMPUTED_VALUE"""),"超瞬間型")</f>
        <v>超瞬間型</v>
      </c>
      <c r="C304" s="386">
        <f>IFERROR(__xludf.DUMMYFUNCTION("""COMPUTED_VALUE"""),3.0)</f>
        <v>3</v>
      </c>
      <c r="D304" s="387" t="str">
        <f>IFERROR(__xludf.DUMMYFUNCTION("""COMPUTED_VALUE"""),"効果時間")</f>
        <v>効果時間</v>
      </c>
      <c r="E304" s="388" t="str">
        <f>IFERROR(__xludf.DUMMYFUNCTION("""COMPUTED_VALUE"""),"-")</f>
        <v>-</v>
      </c>
      <c r="F304" s="389" t="str">
        <f>IFERROR(__xludf.DUMMYFUNCTION("""COMPUTED_VALUE"""),"-")</f>
        <v>-</v>
      </c>
      <c r="G304" s="388" t="str">
        <f>IFERROR(__xludf.DUMMYFUNCTION("""COMPUTED_VALUE"""),"-")</f>
        <v>-</v>
      </c>
      <c r="H304" s="389" t="str">
        <f>IFERROR(__xludf.DUMMYFUNCTION("""COMPUTED_VALUE"""),"-")</f>
        <v>-</v>
      </c>
      <c r="I304" s="388" t="str">
        <f>IFERROR(__xludf.DUMMYFUNCTION("""COMPUTED_VALUE"""),"-")</f>
        <v>-</v>
      </c>
      <c r="J304" s="390">
        <f>IFERROR(__xludf.DUMMYFUNCTION("""COMPUTED_VALUE"""),155.0)</f>
        <v>155</v>
      </c>
      <c r="K304" s="391">
        <f>IFERROR(__xludf.DUMMYFUNCTION("""COMPUTED_VALUE"""),165.0)</f>
        <v>165</v>
      </c>
      <c r="L304" s="340">
        <f>IFERROR(__xludf.DUMMYFUNCTION("""COMPUTED_VALUE"""),185.0)</f>
        <v>185</v>
      </c>
      <c r="M304" s="385" t="str">
        <f>IFERROR(__xludf.DUMMYFUNCTION("""COMPUTED_VALUE"""),"瞬間型")</f>
        <v>瞬間型</v>
      </c>
      <c r="N304" s="386">
        <f>IFERROR(__xludf.DUMMYFUNCTION("""COMPUTED_VALUE"""),3.0)</f>
        <v>3</v>
      </c>
      <c r="O304" s="387" t="str">
        <f>IFERROR(__xludf.DUMMYFUNCTION("""COMPUTED_VALUE"""),"効果時間")</f>
        <v>効果時間</v>
      </c>
      <c r="P304" s="392">
        <f>IFERROR(__xludf.DUMMYFUNCTION("""COMPUTED_VALUE"""),165.0)</f>
        <v>165</v>
      </c>
      <c r="Q304" s="414">
        <f>IFERROR(__xludf.DUMMYFUNCTION("""COMPUTED_VALUE"""),175.0)</f>
        <v>175</v>
      </c>
      <c r="R304" s="415">
        <f>IFERROR(__xludf.DUMMYFUNCTION("""COMPUTED_VALUE"""),180.0)</f>
        <v>180</v>
      </c>
      <c r="S304" s="393">
        <f>IFERROR(__xludf.DUMMYFUNCTION("""COMPUTED_VALUE"""),185.0)</f>
        <v>185</v>
      </c>
      <c r="T304" s="393">
        <f>IFERROR(__xludf.DUMMYFUNCTION("""COMPUTED_VALUE"""),195.0)</f>
        <v>195</v>
      </c>
      <c r="U304" s="414">
        <f>IFERROR(__xludf.DUMMYFUNCTION("""COMPUTED_VALUE"""),200.0)</f>
        <v>200</v>
      </c>
      <c r="V304" s="416">
        <f>IFERROR(__xludf.DUMMYFUNCTION("""COMPUTED_VALUE"""),255.0)</f>
        <v>255</v>
      </c>
      <c r="W304" s="415">
        <f>IFERROR(__xludf.DUMMYFUNCTION("""COMPUTED_VALUE"""),270.0)</f>
        <v>270</v>
      </c>
      <c r="X304" s="385" t="str">
        <f>IFERROR(__xludf.DUMMYFUNCTION("""COMPUTED_VALUE"""),"安定型")</f>
        <v>安定型</v>
      </c>
      <c r="Y304" s="386">
        <f>IFERROR(__xludf.DUMMYFUNCTION("""COMPUTED_VALUE"""),3.0)</f>
        <v>3</v>
      </c>
      <c r="Z304" s="387" t="str">
        <f>IFERROR(__xludf.DUMMYFUNCTION("""COMPUTED_VALUE"""),"効果時間")</f>
        <v>効果時間</v>
      </c>
      <c r="AA304" s="392">
        <f>IFERROR(__xludf.DUMMYFUNCTION("""COMPUTED_VALUE"""),315.0)</f>
        <v>315</v>
      </c>
      <c r="AB304" s="414">
        <f>IFERROR(__xludf.DUMMYFUNCTION("""COMPUTED_VALUE"""),325.0)</f>
        <v>325</v>
      </c>
      <c r="AC304" s="415">
        <f>IFERROR(__xludf.DUMMYFUNCTION("""COMPUTED_VALUE"""),330.0)</f>
        <v>330</v>
      </c>
      <c r="AD304" s="393">
        <f>IFERROR(__xludf.DUMMYFUNCTION("""COMPUTED_VALUE"""),335.0)</f>
        <v>335</v>
      </c>
      <c r="AE304" s="393">
        <f>IFERROR(__xludf.DUMMYFUNCTION("""COMPUTED_VALUE"""),345.0)</f>
        <v>345</v>
      </c>
      <c r="AF304" s="414">
        <f>IFERROR(__xludf.DUMMYFUNCTION("""COMPUTED_VALUE"""),370.0)</f>
        <v>370</v>
      </c>
      <c r="AG304" s="416">
        <f>IFERROR(__xludf.DUMMYFUNCTION("""COMPUTED_VALUE"""),405.0)</f>
        <v>405</v>
      </c>
      <c r="AH304" s="415">
        <f>IFERROR(__xludf.DUMMYFUNCTION("""COMPUTED_VALUE"""),420.0)</f>
        <v>420</v>
      </c>
      <c r="AI304" s="385" t="str">
        <f>IFERROR(__xludf.DUMMYFUNCTION("""COMPUTED_VALUE"""),"持続型")</f>
        <v>持続型</v>
      </c>
      <c r="AJ304" s="386">
        <f>IFERROR(__xludf.DUMMYFUNCTION("""COMPUTED_VALUE"""),3.0)</f>
        <v>3</v>
      </c>
      <c r="AK304" s="387" t="str">
        <f>IFERROR(__xludf.DUMMYFUNCTION("""COMPUTED_VALUE"""),"効果時間")</f>
        <v>効果時間</v>
      </c>
      <c r="AL304" s="392">
        <f>IFERROR(__xludf.DUMMYFUNCTION("""COMPUTED_VALUE"""),465.0)</f>
        <v>465</v>
      </c>
      <c r="AM304" s="414">
        <f>IFERROR(__xludf.DUMMYFUNCTION("""COMPUTED_VALUE"""),475.0)</f>
        <v>475</v>
      </c>
      <c r="AN304" s="415">
        <f>IFERROR(__xludf.DUMMYFUNCTION("""COMPUTED_VALUE"""),480.0)</f>
        <v>480</v>
      </c>
      <c r="AO304" s="393">
        <f>IFERROR(__xludf.DUMMYFUNCTION("""COMPUTED_VALUE"""),485.0)</f>
        <v>485</v>
      </c>
      <c r="AP304" s="393">
        <f>IFERROR(__xludf.DUMMYFUNCTION("""COMPUTED_VALUE"""),495.0)</f>
        <v>495</v>
      </c>
      <c r="AQ304" s="414">
        <f>IFERROR(__xludf.DUMMYFUNCTION("""COMPUTED_VALUE"""),520.0)</f>
        <v>520</v>
      </c>
      <c r="AR304" s="416">
        <f>IFERROR(__xludf.DUMMYFUNCTION("""COMPUTED_VALUE"""),555.0)</f>
        <v>555</v>
      </c>
      <c r="AS304" s="415">
        <f>IFERROR(__xludf.DUMMYFUNCTION("""COMPUTED_VALUE"""),570.0)</f>
        <v>570</v>
      </c>
      <c r="AT304" s="385" t="str">
        <f>IFERROR(__xludf.DUMMYFUNCTION("""COMPUTED_VALUE"""),"超持続型")</f>
        <v>超持続型</v>
      </c>
      <c r="AU304" s="386">
        <f>IFERROR(__xludf.DUMMYFUNCTION("""COMPUTED_VALUE"""),3.0)</f>
        <v>3</v>
      </c>
      <c r="AV304" s="387" t="str">
        <f>IFERROR(__xludf.DUMMYFUNCTION("""COMPUTED_VALUE"""),"効果時間")</f>
        <v>効果時間</v>
      </c>
      <c r="AW304" s="368" t="str">
        <f>IFERROR(__xludf.DUMMYFUNCTION("""COMPUTED_VALUE"""),"-")</f>
        <v>-</v>
      </c>
      <c r="AX304" s="368" t="str">
        <f>IFERROR(__xludf.DUMMYFUNCTION("""COMPUTED_VALUE"""),"-")</f>
        <v>-</v>
      </c>
      <c r="AY304" s="368" t="str">
        <f>IFERROR(__xludf.DUMMYFUNCTION("""COMPUTED_VALUE"""),"-")</f>
        <v>-</v>
      </c>
      <c r="AZ304" s="368" t="str">
        <f>IFERROR(__xludf.DUMMYFUNCTION("""COMPUTED_VALUE"""),"-")</f>
        <v>-</v>
      </c>
      <c r="BA304" s="368" t="str">
        <f>IFERROR(__xludf.DUMMYFUNCTION("""COMPUTED_VALUE"""),"-")</f>
        <v>-</v>
      </c>
      <c r="BB304" s="280">
        <f>IFERROR(__xludf.DUMMYFUNCTION("""COMPUTED_VALUE"""),635.0)</f>
        <v>635</v>
      </c>
      <c r="BC304" s="280">
        <f>IFERROR(__xludf.DUMMYFUNCTION("""COMPUTED_VALUE"""),705.0)</f>
        <v>705</v>
      </c>
      <c r="BD304" s="280">
        <f>IFERROR(__xludf.DUMMYFUNCTION("""COMPUTED_VALUE"""),720.0)</f>
        <v>720</v>
      </c>
      <c r="BE304" s="385" t="str">
        <f>IFERROR(__xludf.DUMMYFUNCTION("""COMPUTED_VALUE"""),"ハイブリッド型")</f>
        <v>ハイブリッド型</v>
      </c>
      <c r="BF304" s="386">
        <f>IFERROR(__xludf.DUMMYFUNCTION("""COMPUTED_VALUE"""),3.0)</f>
        <v>3</v>
      </c>
      <c r="BG304" s="387" t="str">
        <f>IFERROR(__xludf.DUMMYFUNCTION("""COMPUTED_VALUE"""),"効果時間")</f>
        <v>効果時間</v>
      </c>
      <c r="BH304" s="407">
        <f>IFERROR(__xludf.DUMMYFUNCTION("""COMPUTED_VALUE"""),220.0)</f>
        <v>220</v>
      </c>
      <c r="BI304" s="407">
        <f>IFERROR(__xludf.DUMMYFUNCTION("""COMPUTED_VALUE"""),235.0)</f>
        <v>235</v>
      </c>
      <c r="BJ304" s="407">
        <f>IFERROR(__xludf.DUMMYFUNCTION("""COMPUTED_VALUE"""),240.0)</f>
        <v>240</v>
      </c>
      <c r="BK304" s="408">
        <f>IFERROR(__xludf.DUMMYFUNCTION("""COMPUTED_VALUE"""),250.0)</f>
        <v>250</v>
      </c>
      <c r="BL304" s="407">
        <f>IFERROR(__xludf.DUMMYFUNCTION("""COMPUTED_VALUE"""),255.0)</f>
        <v>255</v>
      </c>
      <c r="BM304" s="408">
        <f>IFERROR(__xludf.DUMMYFUNCTION("""COMPUTED_VALUE"""),385.0)</f>
        <v>385</v>
      </c>
      <c r="BN304" s="407">
        <f>IFERROR(__xludf.DUMMYFUNCTION("""COMPUTED_VALUE"""),490.0)</f>
        <v>490</v>
      </c>
      <c r="BO304" s="408">
        <f>IFERROR(__xludf.DUMMYFUNCTION("""COMPUTED_VALUE"""),505.0)</f>
        <v>505</v>
      </c>
    </row>
    <row r="305">
      <c r="A305" s="435" t="str">
        <f>IFERROR(__xludf.DUMMYFUNCTION("""COMPUTED_VALUE"""),"攻撃力UP(サポート)")</f>
        <v>攻撃力UP(サポート)</v>
      </c>
      <c r="B305" s="385" t="str">
        <f>IFERROR(__xludf.DUMMYFUNCTION("""COMPUTED_VALUE"""),"超瞬間型")</f>
        <v>超瞬間型</v>
      </c>
      <c r="C305" s="399">
        <f>IFERROR(__xludf.DUMMYFUNCTION("""COMPUTED_VALUE"""),4.0)</f>
        <v>4</v>
      </c>
      <c r="D305" s="400" t="str">
        <f>IFERROR(__xludf.DUMMYFUNCTION("""COMPUTED_VALUE"""),"効果値")</f>
        <v>効果値</v>
      </c>
      <c r="E305" s="401" t="str">
        <f>IFERROR(__xludf.DUMMYFUNCTION("""COMPUTED_VALUE"""),"-")</f>
        <v>-</v>
      </c>
      <c r="F305" s="409" t="str">
        <f>IFERROR(__xludf.DUMMYFUNCTION("""COMPUTED_VALUE"""),"-")</f>
        <v>-</v>
      </c>
      <c r="G305" s="409" t="str">
        <f>IFERROR(__xludf.DUMMYFUNCTION("""COMPUTED_VALUE"""),"-")</f>
        <v>-</v>
      </c>
      <c r="H305" s="409" t="str">
        <f>IFERROR(__xludf.DUMMYFUNCTION("""COMPUTED_VALUE"""),"-")</f>
        <v>-</v>
      </c>
      <c r="I305" s="409" t="str">
        <f>IFERROR(__xludf.DUMMYFUNCTION("""COMPUTED_VALUE"""),"-")</f>
        <v>-</v>
      </c>
      <c r="J305" s="410">
        <f>IFERROR(__xludf.DUMMYFUNCTION("""COMPUTED_VALUE"""),59.0)</f>
        <v>59</v>
      </c>
      <c r="K305" s="410">
        <f>IFERROR(__xludf.DUMMYFUNCTION("""COMPUTED_VALUE"""),69.0)</f>
        <v>69</v>
      </c>
      <c r="L305" s="410">
        <f>IFERROR(__xludf.DUMMYFUNCTION("""COMPUTED_VALUE"""),74.0)</f>
        <v>74</v>
      </c>
      <c r="M305" s="385" t="str">
        <f>IFERROR(__xludf.DUMMYFUNCTION("""COMPUTED_VALUE"""),"瞬間型")</f>
        <v>瞬間型</v>
      </c>
      <c r="N305" s="399">
        <f>IFERROR(__xludf.DUMMYFUNCTION("""COMPUTED_VALUE"""),4.0)</f>
        <v>4</v>
      </c>
      <c r="O305" s="400" t="str">
        <f>IFERROR(__xludf.DUMMYFUNCTION("""COMPUTED_VALUE"""),"効果値")</f>
        <v>効果値</v>
      </c>
      <c r="P305" s="343">
        <f>IFERROR(__xludf.DUMMYFUNCTION("""COMPUTED_VALUE"""),23.0)</f>
        <v>23</v>
      </c>
      <c r="Q305" s="402">
        <f>IFERROR(__xludf.DUMMYFUNCTION("""COMPUTED_VALUE"""),23.0)</f>
        <v>23</v>
      </c>
      <c r="R305" s="343">
        <f>IFERROR(__xludf.DUMMYFUNCTION("""COMPUTED_VALUE"""),23.0)</f>
        <v>23</v>
      </c>
      <c r="S305" s="402">
        <f>IFERROR(__xludf.DUMMYFUNCTION("""COMPUTED_VALUE"""),23.0)</f>
        <v>23</v>
      </c>
      <c r="T305" s="343">
        <f>IFERROR(__xludf.DUMMYFUNCTION("""COMPUTED_VALUE"""),23.0)</f>
        <v>23</v>
      </c>
      <c r="U305" s="343">
        <f>IFERROR(__xludf.DUMMYFUNCTION("""COMPUTED_VALUE"""),29.0)</f>
        <v>29</v>
      </c>
      <c r="V305" s="343">
        <f>IFERROR(__xludf.DUMMYFUNCTION("""COMPUTED_VALUE"""),34.0)</f>
        <v>34</v>
      </c>
      <c r="W305" s="343">
        <f>IFERROR(__xludf.DUMMYFUNCTION("""COMPUTED_VALUE"""),39.0)</f>
        <v>39</v>
      </c>
      <c r="X305" s="385" t="str">
        <f>IFERROR(__xludf.DUMMYFUNCTION("""COMPUTED_VALUE"""),"安定型")</f>
        <v>安定型</v>
      </c>
      <c r="Y305" s="399">
        <f>IFERROR(__xludf.DUMMYFUNCTION("""COMPUTED_VALUE"""),4.0)</f>
        <v>4</v>
      </c>
      <c r="Z305" s="400" t="str">
        <f>IFERROR(__xludf.DUMMYFUNCTION("""COMPUTED_VALUE"""),"効果値")</f>
        <v>効果値</v>
      </c>
      <c r="AA305" s="343">
        <f>IFERROR(__xludf.DUMMYFUNCTION("""COMPUTED_VALUE"""),13.0)</f>
        <v>13</v>
      </c>
      <c r="AB305" s="402">
        <f>IFERROR(__xludf.DUMMYFUNCTION("""COMPUTED_VALUE"""),13.0)</f>
        <v>13</v>
      </c>
      <c r="AC305" s="343">
        <f>IFERROR(__xludf.DUMMYFUNCTION("""COMPUTED_VALUE"""),13.0)</f>
        <v>13</v>
      </c>
      <c r="AD305" s="402">
        <f>IFERROR(__xludf.DUMMYFUNCTION("""COMPUTED_VALUE"""),13.0)</f>
        <v>13</v>
      </c>
      <c r="AE305" s="343">
        <f>IFERROR(__xludf.DUMMYFUNCTION("""COMPUTED_VALUE"""),13.0)</f>
        <v>13</v>
      </c>
      <c r="AF305" s="343">
        <f>IFERROR(__xludf.DUMMYFUNCTION("""COMPUTED_VALUE"""),14.0)</f>
        <v>14</v>
      </c>
      <c r="AG305" s="343">
        <f>IFERROR(__xludf.DUMMYFUNCTION("""COMPUTED_VALUE"""),19.0)</f>
        <v>19</v>
      </c>
      <c r="AH305" s="343">
        <f>IFERROR(__xludf.DUMMYFUNCTION("""COMPUTED_VALUE"""),24.0)</f>
        <v>24</v>
      </c>
      <c r="AI305" s="385" t="str">
        <f>IFERROR(__xludf.DUMMYFUNCTION("""COMPUTED_VALUE"""),"持続型")</f>
        <v>持続型</v>
      </c>
      <c r="AJ305" s="399">
        <f>IFERROR(__xludf.DUMMYFUNCTION("""COMPUTED_VALUE"""),4.0)</f>
        <v>4</v>
      </c>
      <c r="AK305" s="400" t="str">
        <f>IFERROR(__xludf.DUMMYFUNCTION("""COMPUTED_VALUE"""),"効果値")</f>
        <v>効果値</v>
      </c>
      <c r="AL305" s="343">
        <f>IFERROR(__xludf.DUMMYFUNCTION("""COMPUTED_VALUE"""),8.0)</f>
        <v>8</v>
      </c>
      <c r="AM305" s="402">
        <f>IFERROR(__xludf.DUMMYFUNCTION("""COMPUTED_VALUE"""),8.0)</f>
        <v>8</v>
      </c>
      <c r="AN305" s="343">
        <f>IFERROR(__xludf.DUMMYFUNCTION("""COMPUTED_VALUE"""),8.0)</f>
        <v>8</v>
      </c>
      <c r="AO305" s="402">
        <f>IFERROR(__xludf.DUMMYFUNCTION("""COMPUTED_VALUE"""),8.0)</f>
        <v>8</v>
      </c>
      <c r="AP305" s="343">
        <f>IFERROR(__xludf.DUMMYFUNCTION("""COMPUTED_VALUE"""),8.0)</f>
        <v>8</v>
      </c>
      <c r="AQ305" s="343">
        <f>IFERROR(__xludf.DUMMYFUNCTION("""COMPUTED_VALUE"""),9.0)</f>
        <v>9</v>
      </c>
      <c r="AR305" s="343">
        <f>IFERROR(__xludf.DUMMYFUNCTION("""COMPUTED_VALUE"""),12.0)</f>
        <v>12</v>
      </c>
      <c r="AS305" s="343">
        <f>IFERROR(__xludf.DUMMYFUNCTION("""COMPUTED_VALUE"""),12.0)</f>
        <v>12</v>
      </c>
      <c r="AT305" s="385" t="str">
        <f>IFERROR(__xludf.DUMMYFUNCTION("""COMPUTED_VALUE"""),"超持続型")</f>
        <v>超持続型</v>
      </c>
      <c r="AU305" s="399">
        <f>IFERROR(__xludf.DUMMYFUNCTION("""COMPUTED_VALUE"""),4.0)</f>
        <v>4</v>
      </c>
      <c r="AV305" s="400" t="str">
        <f>IFERROR(__xludf.DUMMYFUNCTION("""COMPUTED_VALUE"""),"効果値")</f>
        <v>効果値</v>
      </c>
      <c r="AW305" s="403" t="str">
        <f>IFERROR(__xludf.DUMMYFUNCTION("""COMPUTED_VALUE"""),"-")</f>
        <v>-</v>
      </c>
      <c r="AX305" s="403" t="str">
        <f>IFERROR(__xludf.DUMMYFUNCTION("""COMPUTED_VALUE"""),"-")</f>
        <v>-</v>
      </c>
      <c r="AY305" s="403" t="str">
        <f>IFERROR(__xludf.DUMMYFUNCTION("""COMPUTED_VALUE"""),"-")</f>
        <v>-</v>
      </c>
      <c r="AZ305" s="403" t="str">
        <f>IFERROR(__xludf.DUMMYFUNCTION("""COMPUTED_VALUE"""),"-")</f>
        <v>-</v>
      </c>
      <c r="BA305" s="403" t="str">
        <f>IFERROR(__xludf.DUMMYFUNCTION("""COMPUTED_VALUE"""),"-")</f>
        <v>-</v>
      </c>
      <c r="BB305" s="343">
        <f>IFERROR(__xludf.DUMMYFUNCTION("""COMPUTED_VALUE"""),9.0)</f>
        <v>9</v>
      </c>
      <c r="BC305" s="343">
        <f>IFERROR(__xludf.DUMMYFUNCTION("""COMPUTED_VALUE"""),12.0)</f>
        <v>12</v>
      </c>
      <c r="BD305" s="343">
        <f>IFERROR(__xludf.DUMMYFUNCTION("""COMPUTED_VALUE"""),12.0)</f>
        <v>12</v>
      </c>
      <c r="BE305" s="385" t="str">
        <f>IFERROR(__xludf.DUMMYFUNCTION("""COMPUTED_VALUE"""),"ハイブリッド型")</f>
        <v>ハイブリッド型</v>
      </c>
      <c r="BF305" s="399">
        <f>IFERROR(__xludf.DUMMYFUNCTION("""COMPUTED_VALUE"""),4.0)</f>
        <v>4</v>
      </c>
      <c r="BG305" s="400" t="str">
        <f>IFERROR(__xludf.DUMMYFUNCTION("""COMPUTED_VALUE"""),"効果値")</f>
        <v>効果値</v>
      </c>
      <c r="BH305" s="411">
        <f>IFERROR(__xludf.DUMMYFUNCTION("""COMPUTED_VALUE"""),11.8)</f>
        <v>11.8</v>
      </c>
      <c r="BI305" s="412">
        <f>IFERROR(__xludf.DUMMYFUNCTION("""COMPUTED_VALUE"""),12.4)</f>
        <v>12.4</v>
      </c>
      <c r="BJ305" s="412">
        <f>IFERROR(__xludf.DUMMYFUNCTION("""COMPUTED_VALUE"""),13.1)</f>
        <v>13.1</v>
      </c>
      <c r="BK305" s="412">
        <f>IFERROR(__xludf.DUMMYFUNCTION("""COMPUTED_VALUE"""),13.7)</f>
        <v>13.7</v>
      </c>
      <c r="BL305" s="412">
        <f>IFERROR(__xludf.DUMMYFUNCTION("""COMPUTED_VALUE"""),14.4)</f>
        <v>14.4</v>
      </c>
      <c r="BM305" s="412">
        <f>IFERROR(__xludf.DUMMYFUNCTION("""COMPUTED_VALUE"""),19.4)</f>
        <v>19.4</v>
      </c>
      <c r="BN305" s="412">
        <f>IFERROR(__xludf.DUMMYFUNCTION("""COMPUTED_VALUE"""),24.0)</f>
        <v>24</v>
      </c>
      <c r="BO305" s="413">
        <f>IFERROR(__xludf.DUMMYFUNCTION("""COMPUTED_VALUE"""),29.0)</f>
        <v>29</v>
      </c>
    </row>
    <row r="306">
      <c r="A306" s="435" t="str">
        <f>IFERROR(__xludf.DUMMYFUNCTION("""COMPUTED_VALUE"""),"攻撃力UP(サポート)")</f>
        <v>攻撃力UP(サポート)</v>
      </c>
      <c r="B306" s="385" t="str">
        <f>IFERROR(__xludf.DUMMYFUNCTION("""COMPUTED_VALUE"""),"超瞬間型")</f>
        <v>超瞬間型</v>
      </c>
      <c r="C306" s="386">
        <f>IFERROR(__xludf.DUMMYFUNCTION("""COMPUTED_VALUE"""),4.0)</f>
        <v>4</v>
      </c>
      <c r="D306" s="387" t="str">
        <f>IFERROR(__xludf.DUMMYFUNCTION("""COMPUTED_VALUE"""),"効果時間")</f>
        <v>効果時間</v>
      </c>
      <c r="E306" s="388" t="str">
        <f>IFERROR(__xludf.DUMMYFUNCTION("""COMPUTED_VALUE"""),"-")</f>
        <v>-</v>
      </c>
      <c r="F306" s="389" t="str">
        <f>IFERROR(__xludf.DUMMYFUNCTION("""COMPUTED_VALUE"""),"-")</f>
        <v>-</v>
      </c>
      <c r="G306" s="388" t="str">
        <f>IFERROR(__xludf.DUMMYFUNCTION("""COMPUTED_VALUE"""),"-")</f>
        <v>-</v>
      </c>
      <c r="H306" s="389" t="str">
        <f>IFERROR(__xludf.DUMMYFUNCTION("""COMPUTED_VALUE"""),"-")</f>
        <v>-</v>
      </c>
      <c r="I306" s="388" t="str">
        <f>IFERROR(__xludf.DUMMYFUNCTION("""COMPUTED_VALUE"""),"-")</f>
        <v>-</v>
      </c>
      <c r="J306" s="390">
        <f>IFERROR(__xludf.DUMMYFUNCTION("""COMPUTED_VALUE"""),155.0)</f>
        <v>155</v>
      </c>
      <c r="K306" s="391">
        <f>IFERROR(__xludf.DUMMYFUNCTION("""COMPUTED_VALUE"""),170.0)</f>
        <v>170</v>
      </c>
      <c r="L306" s="340">
        <f>IFERROR(__xludf.DUMMYFUNCTION("""COMPUTED_VALUE"""),195.0)</f>
        <v>195</v>
      </c>
      <c r="M306" s="385" t="str">
        <f>IFERROR(__xludf.DUMMYFUNCTION("""COMPUTED_VALUE"""),"瞬間型")</f>
        <v>瞬間型</v>
      </c>
      <c r="N306" s="386">
        <f>IFERROR(__xludf.DUMMYFUNCTION("""COMPUTED_VALUE"""),4.0)</f>
        <v>4</v>
      </c>
      <c r="O306" s="387" t="str">
        <f>IFERROR(__xludf.DUMMYFUNCTION("""COMPUTED_VALUE"""),"効果時間")</f>
        <v>効果時間</v>
      </c>
      <c r="P306" s="280">
        <f>IFERROR(__xludf.DUMMYFUNCTION("""COMPUTED_VALUE"""),170.0)</f>
        <v>170</v>
      </c>
      <c r="Q306" s="275">
        <f>IFERROR(__xludf.DUMMYFUNCTION("""COMPUTED_VALUE"""),180.0)</f>
        <v>180</v>
      </c>
      <c r="R306" s="280">
        <f>IFERROR(__xludf.DUMMYFUNCTION("""COMPUTED_VALUE"""),185.0)</f>
        <v>185</v>
      </c>
      <c r="S306" s="275">
        <f>IFERROR(__xludf.DUMMYFUNCTION("""COMPUTED_VALUE"""),195.0)</f>
        <v>195</v>
      </c>
      <c r="T306" s="280">
        <f>IFERROR(__xludf.DUMMYFUNCTION("""COMPUTED_VALUE"""),200.0)</f>
        <v>200</v>
      </c>
      <c r="U306" s="280">
        <f>IFERROR(__xludf.DUMMYFUNCTION("""COMPUTED_VALUE"""),215.0)</f>
        <v>215</v>
      </c>
      <c r="V306" s="280">
        <f>IFERROR(__xludf.DUMMYFUNCTION("""COMPUTED_VALUE"""),285.0)</f>
        <v>285</v>
      </c>
      <c r="W306" s="280">
        <f>IFERROR(__xludf.DUMMYFUNCTION("""COMPUTED_VALUE"""),305.0)</f>
        <v>305</v>
      </c>
      <c r="X306" s="385" t="str">
        <f>IFERROR(__xludf.DUMMYFUNCTION("""COMPUTED_VALUE"""),"安定型")</f>
        <v>安定型</v>
      </c>
      <c r="Y306" s="386">
        <f>IFERROR(__xludf.DUMMYFUNCTION("""COMPUTED_VALUE"""),4.0)</f>
        <v>4</v>
      </c>
      <c r="Z306" s="387" t="str">
        <f>IFERROR(__xludf.DUMMYFUNCTION("""COMPUTED_VALUE"""),"効果時間")</f>
        <v>効果時間</v>
      </c>
      <c r="AA306" s="280">
        <f>IFERROR(__xludf.DUMMYFUNCTION("""COMPUTED_VALUE"""),320.0)</f>
        <v>320</v>
      </c>
      <c r="AB306" s="275">
        <f>IFERROR(__xludf.DUMMYFUNCTION("""COMPUTED_VALUE"""),330.0)</f>
        <v>330</v>
      </c>
      <c r="AC306" s="280">
        <f>IFERROR(__xludf.DUMMYFUNCTION("""COMPUTED_VALUE"""),335.0)</f>
        <v>335</v>
      </c>
      <c r="AD306" s="275">
        <f>IFERROR(__xludf.DUMMYFUNCTION("""COMPUTED_VALUE"""),345.0)</f>
        <v>345</v>
      </c>
      <c r="AE306" s="280">
        <f>IFERROR(__xludf.DUMMYFUNCTION("""COMPUTED_VALUE"""),350.0)</f>
        <v>350</v>
      </c>
      <c r="AF306" s="280">
        <f>IFERROR(__xludf.DUMMYFUNCTION("""COMPUTED_VALUE"""),390.0)</f>
        <v>390</v>
      </c>
      <c r="AG306" s="280">
        <f>IFERROR(__xludf.DUMMYFUNCTION("""COMPUTED_VALUE"""),435.0)</f>
        <v>435</v>
      </c>
      <c r="AH306" s="280">
        <f>IFERROR(__xludf.DUMMYFUNCTION("""COMPUTED_VALUE"""),455.0)</f>
        <v>455</v>
      </c>
      <c r="AI306" s="385" t="str">
        <f>IFERROR(__xludf.DUMMYFUNCTION("""COMPUTED_VALUE"""),"持続型")</f>
        <v>持続型</v>
      </c>
      <c r="AJ306" s="386">
        <f>IFERROR(__xludf.DUMMYFUNCTION("""COMPUTED_VALUE"""),4.0)</f>
        <v>4</v>
      </c>
      <c r="AK306" s="387" t="str">
        <f>IFERROR(__xludf.DUMMYFUNCTION("""COMPUTED_VALUE"""),"効果時間")</f>
        <v>効果時間</v>
      </c>
      <c r="AL306" s="280">
        <f>IFERROR(__xludf.DUMMYFUNCTION("""COMPUTED_VALUE"""),470.0)</f>
        <v>470</v>
      </c>
      <c r="AM306" s="275">
        <f>IFERROR(__xludf.DUMMYFUNCTION("""COMPUTED_VALUE"""),480.0)</f>
        <v>480</v>
      </c>
      <c r="AN306" s="280">
        <f>IFERROR(__xludf.DUMMYFUNCTION("""COMPUTED_VALUE"""),485.0)</f>
        <v>485</v>
      </c>
      <c r="AO306" s="275">
        <f>IFERROR(__xludf.DUMMYFUNCTION("""COMPUTED_VALUE"""),495.0)</f>
        <v>495</v>
      </c>
      <c r="AP306" s="280">
        <f>IFERROR(__xludf.DUMMYFUNCTION("""COMPUTED_VALUE"""),500.0)</f>
        <v>500</v>
      </c>
      <c r="AQ306" s="280">
        <f>IFERROR(__xludf.DUMMYFUNCTION("""COMPUTED_VALUE"""),540.0)</f>
        <v>540</v>
      </c>
      <c r="AR306" s="280">
        <f>IFERROR(__xludf.DUMMYFUNCTION("""COMPUTED_VALUE"""),585.0)</f>
        <v>585</v>
      </c>
      <c r="AS306" s="280">
        <f>IFERROR(__xludf.DUMMYFUNCTION("""COMPUTED_VALUE"""),605.0)</f>
        <v>605</v>
      </c>
      <c r="AT306" s="385" t="str">
        <f>IFERROR(__xludf.DUMMYFUNCTION("""COMPUTED_VALUE"""),"超持続型")</f>
        <v>超持続型</v>
      </c>
      <c r="AU306" s="386">
        <f>IFERROR(__xludf.DUMMYFUNCTION("""COMPUTED_VALUE"""),4.0)</f>
        <v>4</v>
      </c>
      <c r="AV306" s="387" t="str">
        <f>IFERROR(__xludf.DUMMYFUNCTION("""COMPUTED_VALUE"""),"効果時間")</f>
        <v>効果時間</v>
      </c>
      <c r="AW306" s="368" t="str">
        <f>IFERROR(__xludf.DUMMYFUNCTION("""COMPUTED_VALUE"""),"-")</f>
        <v>-</v>
      </c>
      <c r="AX306" s="368" t="str">
        <f>IFERROR(__xludf.DUMMYFUNCTION("""COMPUTED_VALUE"""),"-")</f>
        <v>-</v>
      </c>
      <c r="AY306" s="368" t="str">
        <f>IFERROR(__xludf.DUMMYFUNCTION("""COMPUTED_VALUE"""),"-")</f>
        <v>-</v>
      </c>
      <c r="AZ306" s="368" t="str">
        <f>IFERROR(__xludf.DUMMYFUNCTION("""COMPUTED_VALUE"""),"-")</f>
        <v>-</v>
      </c>
      <c r="BA306" s="368" t="str">
        <f>IFERROR(__xludf.DUMMYFUNCTION("""COMPUTED_VALUE"""),"-")</f>
        <v>-</v>
      </c>
      <c r="BB306" s="280">
        <f>IFERROR(__xludf.DUMMYFUNCTION("""COMPUTED_VALUE"""),645.0)</f>
        <v>645</v>
      </c>
      <c r="BC306" s="280">
        <f>IFERROR(__xludf.DUMMYFUNCTION("""COMPUTED_VALUE"""),735.0)</f>
        <v>735</v>
      </c>
      <c r="BD306" s="280">
        <f>IFERROR(__xludf.DUMMYFUNCTION("""COMPUTED_VALUE"""),755.0)</f>
        <v>755</v>
      </c>
      <c r="BE306" s="385" t="str">
        <f>IFERROR(__xludf.DUMMYFUNCTION("""COMPUTED_VALUE"""),"ハイブリッド型")</f>
        <v>ハイブリッド型</v>
      </c>
      <c r="BF306" s="386">
        <f>IFERROR(__xludf.DUMMYFUNCTION("""COMPUTED_VALUE"""),4.0)</f>
        <v>4</v>
      </c>
      <c r="BG306" s="387" t="str">
        <f>IFERROR(__xludf.DUMMYFUNCTION("""COMPUTED_VALUE"""),"効果時間")</f>
        <v>効果時間</v>
      </c>
      <c r="BH306" s="417">
        <f>IFERROR(__xludf.DUMMYFUNCTION("""COMPUTED_VALUE"""),240.0)</f>
        <v>240</v>
      </c>
      <c r="BI306" s="417">
        <f>IFERROR(__xludf.DUMMYFUNCTION("""COMPUTED_VALUE"""),255.0)</f>
        <v>255</v>
      </c>
      <c r="BJ306" s="417">
        <f>IFERROR(__xludf.DUMMYFUNCTION("""COMPUTED_VALUE"""),265.0)</f>
        <v>265</v>
      </c>
      <c r="BK306" s="418">
        <f>IFERROR(__xludf.DUMMYFUNCTION("""COMPUTED_VALUE"""),275.0)</f>
        <v>275</v>
      </c>
      <c r="BL306" s="417">
        <f>IFERROR(__xludf.DUMMYFUNCTION("""COMPUTED_VALUE"""),285.0)</f>
        <v>285</v>
      </c>
      <c r="BM306" s="418">
        <f>IFERROR(__xludf.DUMMYFUNCTION("""COMPUTED_VALUE"""),395.0)</f>
        <v>395</v>
      </c>
      <c r="BN306" s="417">
        <f>IFERROR(__xludf.DUMMYFUNCTION("""COMPUTED_VALUE"""),500.0)</f>
        <v>500</v>
      </c>
      <c r="BO306" s="418">
        <f>IFERROR(__xludf.DUMMYFUNCTION("""COMPUTED_VALUE"""),520.0)</f>
        <v>520</v>
      </c>
    </row>
    <row r="307">
      <c r="A307" s="435" t="str">
        <f>IFERROR(__xludf.DUMMYFUNCTION("""COMPUTED_VALUE"""),"攻撃力UP(サポート)")</f>
        <v>攻撃力UP(サポート)</v>
      </c>
      <c r="B307" s="385" t="str">
        <f>IFERROR(__xludf.DUMMYFUNCTION("""COMPUTED_VALUE"""),"超瞬間型")</f>
        <v>超瞬間型</v>
      </c>
      <c r="C307" s="399">
        <f>IFERROR(__xludf.DUMMYFUNCTION("""COMPUTED_VALUE"""),5.0)</f>
        <v>5</v>
      </c>
      <c r="D307" s="400" t="str">
        <f>IFERROR(__xludf.DUMMYFUNCTION("""COMPUTED_VALUE"""),"効果値")</f>
        <v>効果値</v>
      </c>
      <c r="E307" s="419" t="str">
        <f>IFERROR(__xludf.DUMMYFUNCTION("""COMPUTED_VALUE"""),"-")</f>
        <v>-</v>
      </c>
      <c r="F307" s="409" t="str">
        <f>IFERROR(__xludf.DUMMYFUNCTION("""COMPUTED_VALUE"""),"-")</f>
        <v>-</v>
      </c>
      <c r="G307" s="409" t="str">
        <f>IFERROR(__xludf.DUMMYFUNCTION("""COMPUTED_VALUE"""),"-")</f>
        <v>-</v>
      </c>
      <c r="H307" s="409" t="str">
        <f>IFERROR(__xludf.DUMMYFUNCTION("""COMPUTED_VALUE"""),"-")</f>
        <v>-</v>
      </c>
      <c r="I307" s="409" t="str">
        <f>IFERROR(__xludf.DUMMYFUNCTION("""COMPUTED_VALUE"""),"-")</f>
        <v>-</v>
      </c>
      <c r="J307" s="420">
        <f>IFERROR(__xludf.DUMMYFUNCTION("""COMPUTED_VALUE"""),60.0)</f>
        <v>60</v>
      </c>
      <c r="K307" s="421">
        <f>IFERROR(__xludf.DUMMYFUNCTION("""COMPUTED_VALUE"""),70.0)</f>
        <v>70</v>
      </c>
      <c r="L307" s="421">
        <f>IFERROR(__xludf.DUMMYFUNCTION("""COMPUTED_VALUE"""),75.0)</f>
        <v>75</v>
      </c>
      <c r="M307" s="385" t="str">
        <f>IFERROR(__xludf.DUMMYFUNCTION("""COMPUTED_VALUE"""),"瞬間型")</f>
        <v>瞬間型</v>
      </c>
      <c r="N307" s="399">
        <f>IFERROR(__xludf.DUMMYFUNCTION("""COMPUTED_VALUE"""),5.0)</f>
        <v>5</v>
      </c>
      <c r="O307" s="400" t="str">
        <f>IFERROR(__xludf.DUMMYFUNCTION("""COMPUTED_VALUE"""),"効果値")</f>
        <v>効果値</v>
      </c>
      <c r="P307" s="422">
        <f>IFERROR(__xludf.DUMMYFUNCTION("""COMPUTED_VALUE"""),23.0)</f>
        <v>23</v>
      </c>
      <c r="Q307" s="423">
        <f>IFERROR(__xludf.DUMMYFUNCTION("""COMPUTED_VALUE"""),23.0)</f>
        <v>23</v>
      </c>
      <c r="R307" s="422">
        <f>IFERROR(__xludf.DUMMYFUNCTION("""COMPUTED_VALUE"""),24.0)</f>
        <v>24</v>
      </c>
      <c r="S307" s="423">
        <f>IFERROR(__xludf.DUMMYFUNCTION("""COMPUTED_VALUE"""),24.0)</f>
        <v>24</v>
      </c>
      <c r="T307" s="422">
        <f>IFERROR(__xludf.DUMMYFUNCTION("""COMPUTED_VALUE"""),24.0)</f>
        <v>24</v>
      </c>
      <c r="U307" s="423">
        <f>IFERROR(__xludf.DUMMYFUNCTION("""COMPUTED_VALUE"""),30.0)</f>
        <v>30</v>
      </c>
      <c r="V307" s="423">
        <f>IFERROR(__xludf.DUMMYFUNCTION("""COMPUTED_VALUE"""),35.0)</f>
        <v>35</v>
      </c>
      <c r="W307" s="424">
        <f>IFERROR(__xludf.DUMMYFUNCTION("""COMPUTED_VALUE"""),40.0)</f>
        <v>40</v>
      </c>
      <c r="X307" s="385" t="str">
        <f>IFERROR(__xludf.DUMMYFUNCTION("""COMPUTED_VALUE"""),"安定型")</f>
        <v>安定型</v>
      </c>
      <c r="Y307" s="399">
        <f>IFERROR(__xludf.DUMMYFUNCTION("""COMPUTED_VALUE"""),5.0)</f>
        <v>5</v>
      </c>
      <c r="Z307" s="400" t="str">
        <f>IFERROR(__xludf.DUMMYFUNCTION("""COMPUTED_VALUE"""),"効果値")</f>
        <v>効果値</v>
      </c>
      <c r="AA307" s="422">
        <f>IFERROR(__xludf.DUMMYFUNCTION("""COMPUTED_VALUE"""),13.0)</f>
        <v>13</v>
      </c>
      <c r="AB307" s="423">
        <f>IFERROR(__xludf.DUMMYFUNCTION("""COMPUTED_VALUE"""),13.0)</f>
        <v>13</v>
      </c>
      <c r="AC307" s="422">
        <f>IFERROR(__xludf.DUMMYFUNCTION("""COMPUTED_VALUE"""),14.0)</f>
        <v>14</v>
      </c>
      <c r="AD307" s="423">
        <f>IFERROR(__xludf.DUMMYFUNCTION("""COMPUTED_VALUE"""),14.0)</f>
        <v>14</v>
      </c>
      <c r="AE307" s="422">
        <f>IFERROR(__xludf.DUMMYFUNCTION("""COMPUTED_VALUE"""),14.0)</f>
        <v>14</v>
      </c>
      <c r="AF307" s="423">
        <f>IFERROR(__xludf.DUMMYFUNCTION("""COMPUTED_VALUE"""),15.0)</f>
        <v>15</v>
      </c>
      <c r="AG307" s="423">
        <f>IFERROR(__xludf.DUMMYFUNCTION("""COMPUTED_VALUE"""),20.0)</f>
        <v>20</v>
      </c>
      <c r="AH307" s="424">
        <f>IFERROR(__xludf.DUMMYFUNCTION("""COMPUTED_VALUE"""),25.0)</f>
        <v>25</v>
      </c>
      <c r="AI307" s="385" t="str">
        <f>IFERROR(__xludf.DUMMYFUNCTION("""COMPUTED_VALUE"""),"持続型")</f>
        <v>持続型</v>
      </c>
      <c r="AJ307" s="399">
        <f>IFERROR(__xludf.DUMMYFUNCTION("""COMPUTED_VALUE"""),5.0)</f>
        <v>5</v>
      </c>
      <c r="AK307" s="400" t="str">
        <f>IFERROR(__xludf.DUMMYFUNCTION("""COMPUTED_VALUE"""),"効果値")</f>
        <v>効果値</v>
      </c>
      <c r="AL307" s="422">
        <f>IFERROR(__xludf.DUMMYFUNCTION("""COMPUTED_VALUE"""),8.0)</f>
        <v>8</v>
      </c>
      <c r="AM307" s="423">
        <f>IFERROR(__xludf.DUMMYFUNCTION("""COMPUTED_VALUE"""),8.0)</f>
        <v>8</v>
      </c>
      <c r="AN307" s="422">
        <f>IFERROR(__xludf.DUMMYFUNCTION("""COMPUTED_VALUE"""),9.0)</f>
        <v>9</v>
      </c>
      <c r="AO307" s="423">
        <f>IFERROR(__xludf.DUMMYFUNCTION("""COMPUTED_VALUE"""),9.0)</f>
        <v>9</v>
      </c>
      <c r="AP307" s="422">
        <f>IFERROR(__xludf.DUMMYFUNCTION("""COMPUTED_VALUE"""),9.0)</f>
        <v>9</v>
      </c>
      <c r="AQ307" s="423">
        <f>IFERROR(__xludf.DUMMYFUNCTION("""COMPUTED_VALUE"""),10.0)</f>
        <v>10</v>
      </c>
      <c r="AR307" s="423">
        <f>IFERROR(__xludf.DUMMYFUNCTION("""COMPUTED_VALUE"""),12.0)</f>
        <v>12</v>
      </c>
      <c r="AS307" s="424">
        <f>IFERROR(__xludf.DUMMYFUNCTION("""COMPUTED_VALUE"""),12.0)</f>
        <v>12</v>
      </c>
      <c r="AT307" s="385" t="str">
        <f>IFERROR(__xludf.DUMMYFUNCTION("""COMPUTED_VALUE"""),"超持続型")</f>
        <v>超持続型</v>
      </c>
      <c r="AU307" s="399">
        <f>IFERROR(__xludf.DUMMYFUNCTION("""COMPUTED_VALUE"""),5.0)</f>
        <v>5</v>
      </c>
      <c r="AV307" s="400" t="str">
        <f>IFERROR(__xludf.DUMMYFUNCTION("""COMPUTED_VALUE"""),"効果値")</f>
        <v>効果値</v>
      </c>
      <c r="AW307" s="425" t="str">
        <f>IFERROR(__xludf.DUMMYFUNCTION("""COMPUTED_VALUE"""),"-")</f>
        <v>-</v>
      </c>
      <c r="AX307" s="426" t="str">
        <f>IFERROR(__xludf.DUMMYFUNCTION("""COMPUTED_VALUE"""),"-")</f>
        <v>-</v>
      </c>
      <c r="AY307" s="426" t="str">
        <f>IFERROR(__xludf.DUMMYFUNCTION("""COMPUTED_VALUE"""),"-")</f>
        <v>-</v>
      </c>
      <c r="AZ307" s="426" t="str">
        <f>IFERROR(__xludf.DUMMYFUNCTION("""COMPUTED_VALUE"""),"-")</f>
        <v>-</v>
      </c>
      <c r="BA307" s="426" t="str">
        <f>IFERROR(__xludf.DUMMYFUNCTION("""COMPUTED_VALUE"""),"-")</f>
        <v>-</v>
      </c>
      <c r="BB307" s="423">
        <f>IFERROR(__xludf.DUMMYFUNCTION("""COMPUTED_VALUE"""),10.0)</f>
        <v>10</v>
      </c>
      <c r="BC307" s="423">
        <f>IFERROR(__xludf.DUMMYFUNCTION("""COMPUTED_VALUE"""),12.0)</f>
        <v>12</v>
      </c>
      <c r="BD307" s="424">
        <f>IFERROR(__xludf.DUMMYFUNCTION("""COMPUTED_VALUE"""),12.0)</f>
        <v>12</v>
      </c>
      <c r="BE307" s="385" t="str">
        <f>IFERROR(__xludf.DUMMYFUNCTION("""COMPUTED_VALUE"""),"ハイブリッド型")</f>
        <v>ハイブリッド型</v>
      </c>
      <c r="BF307" s="399">
        <f>IFERROR(__xludf.DUMMYFUNCTION("""COMPUTED_VALUE"""),5.0)</f>
        <v>5</v>
      </c>
      <c r="BG307" s="400" t="str">
        <f>IFERROR(__xludf.DUMMYFUNCTION("""COMPUTED_VALUE"""),"効果値")</f>
        <v>効果値</v>
      </c>
      <c r="BH307" s="427">
        <f>IFERROR(__xludf.DUMMYFUNCTION("""COMPUTED_VALUE"""),12.0)</f>
        <v>12</v>
      </c>
      <c r="BI307" s="428">
        <f>IFERROR(__xludf.DUMMYFUNCTION("""COMPUTED_VALUE"""),12.75)</f>
        <v>12.75</v>
      </c>
      <c r="BJ307" s="428">
        <f>IFERROR(__xludf.DUMMYFUNCTION("""COMPUTED_VALUE"""),13.5)</f>
        <v>13.5</v>
      </c>
      <c r="BK307" s="428">
        <f>IFERROR(__xludf.DUMMYFUNCTION("""COMPUTED_VALUE"""),14.25)</f>
        <v>14.25</v>
      </c>
      <c r="BL307" s="427">
        <f>IFERROR(__xludf.DUMMYFUNCTION("""COMPUTED_VALUE"""),15.0)</f>
        <v>15</v>
      </c>
      <c r="BM307" s="427">
        <f>IFERROR(__xludf.DUMMYFUNCTION("""COMPUTED_VALUE"""),20.0)</f>
        <v>20</v>
      </c>
      <c r="BN307" s="427">
        <f>IFERROR(__xludf.DUMMYFUNCTION("""COMPUTED_VALUE"""),25.0)</f>
        <v>25</v>
      </c>
      <c r="BO307" s="429">
        <f>IFERROR(__xludf.DUMMYFUNCTION("""COMPUTED_VALUE"""),30.0)</f>
        <v>30</v>
      </c>
    </row>
    <row r="308">
      <c r="A308" s="435" t="str">
        <f>IFERROR(__xludf.DUMMYFUNCTION("""COMPUTED_VALUE"""),"攻撃力UP(サポート)")</f>
        <v>攻撃力UP(サポート)</v>
      </c>
      <c r="B308" s="385" t="str">
        <f>IFERROR(__xludf.DUMMYFUNCTION("""COMPUTED_VALUE"""),"超瞬間型")</f>
        <v>超瞬間型</v>
      </c>
      <c r="C308" s="430">
        <f>IFERROR(__xludf.DUMMYFUNCTION("""COMPUTED_VALUE"""),5.0)</f>
        <v>5</v>
      </c>
      <c r="D308" s="431" t="str">
        <f>IFERROR(__xludf.DUMMYFUNCTION("""COMPUTED_VALUE"""),"効果時間")</f>
        <v>効果時間</v>
      </c>
      <c r="E308" s="388" t="str">
        <f>IFERROR(__xludf.DUMMYFUNCTION("""COMPUTED_VALUE"""),"-")</f>
        <v>-</v>
      </c>
      <c r="F308" s="389" t="str">
        <f>IFERROR(__xludf.DUMMYFUNCTION("""COMPUTED_VALUE"""),"-")</f>
        <v>-</v>
      </c>
      <c r="G308" s="388" t="str">
        <f>IFERROR(__xludf.DUMMYFUNCTION("""COMPUTED_VALUE"""),"-")</f>
        <v>-</v>
      </c>
      <c r="H308" s="389" t="str">
        <f>IFERROR(__xludf.DUMMYFUNCTION("""COMPUTED_VALUE"""),"-")</f>
        <v>-</v>
      </c>
      <c r="I308" s="388" t="str">
        <f>IFERROR(__xludf.DUMMYFUNCTION("""COMPUTED_VALUE"""),"-")</f>
        <v>-</v>
      </c>
      <c r="J308" s="390">
        <f>IFERROR(__xludf.DUMMYFUNCTION("""COMPUTED_VALUE"""),160.0)</f>
        <v>160</v>
      </c>
      <c r="K308" s="391">
        <f>IFERROR(__xludf.DUMMYFUNCTION("""COMPUTED_VALUE"""),175.0)</f>
        <v>175</v>
      </c>
      <c r="L308" s="340">
        <f>IFERROR(__xludf.DUMMYFUNCTION("""COMPUTED_VALUE"""),200.0)</f>
        <v>200</v>
      </c>
      <c r="M308" s="385" t="str">
        <f>IFERROR(__xludf.DUMMYFUNCTION("""COMPUTED_VALUE"""),"瞬間型")</f>
        <v>瞬間型</v>
      </c>
      <c r="N308" s="430">
        <f>IFERROR(__xludf.DUMMYFUNCTION("""COMPUTED_VALUE"""),5.0)</f>
        <v>5</v>
      </c>
      <c r="O308" s="431" t="str">
        <f>IFERROR(__xludf.DUMMYFUNCTION("""COMPUTED_VALUE"""),"効果時間")</f>
        <v>効果時間</v>
      </c>
      <c r="P308" s="392">
        <f>IFERROR(__xludf.DUMMYFUNCTION("""COMPUTED_VALUE"""),175.0)</f>
        <v>175</v>
      </c>
      <c r="Q308" s="414">
        <f>IFERROR(__xludf.DUMMYFUNCTION("""COMPUTED_VALUE"""),185.0)</f>
        <v>185</v>
      </c>
      <c r="R308" s="414">
        <f>IFERROR(__xludf.DUMMYFUNCTION("""COMPUTED_VALUE"""),190.0)</f>
        <v>190</v>
      </c>
      <c r="S308" s="414">
        <f>IFERROR(__xludf.DUMMYFUNCTION("""COMPUTED_VALUE"""),195.0)</f>
        <v>195</v>
      </c>
      <c r="T308" s="394">
        <f>IFERROR(__xludf.DUMMYFUNCTION("""COMPUTED_VALUE"""),200.0)</f>
        <v>200</v>
      </c>
      <c r="U308" s="394">
        <f>IFERROR(__xludf.DUMMYFUNCTION("""COMPUTED_VALUE"""),225.0)</f>
        <v>225</v>
      </c>
      <c r="V308" s="394">
        <f>IFERROR(__xludf.DUMMYFUNCTION("""COMPUTED_VALUE"""),300.0)</f>
        <v>300</v>
      </c>
      <c r="W308" s="394">
        <f>IFERROR(__xludf.DUMMYFUNCTION("""COMPUTED_VALUE"""),325.0)</f>
        <v>325</v>
      </c>
      <c r="X308" s="385" t="str">
        <f>IFERROR(__xludf.DUMMYFUNCTION("""COMPUTED_VALUE"""),"安定型")</f>
        <v>安定型</v>
      </c>
      <c r="Y308" s="430">
        <f>IFERROR(__xludf.DUMMYFUNCTION("""COMPUTED_VALUE"""),5.0)</f>
        <v>5</v>
      </c>
      <c r="Z308" s="431" t="str">
        <f>IFERROR(__xludf.DUMMYFUNCTION("""COMPUTED_VALUE"""),"効果時間")</f>
        <v>効果時間</v>
      </c>
      <c r="AA308" s="392">
        <f>IFERROR(__xludf.DUMMYFUNCTION("""COMPUTED_VALUE"""),325.0)</f>
        <v>325</v>
      </c>
      <c r="AB308" s="414">
        <f>IFERROR(__xludf.DUMMYFUNCTION("""COMPUTED_VALUE"""),335.0)</f>
        <v>335</v>
      </c>
      <c r="AC308" s="414">
        <f>IFERROR(__xludf.DUMMYFUNCTION("""COMPUTED_VALUE"""),340.0)</f>
        <v>340</v>
      </c>
      <c r="AD308" s="414">
        <f>IFERROR(__xludf.DUMMYFUNCTION("""COMPUTED_VALUE"""),345.0)</f>
        <v>345</v>
      </c>
      <c r="AE308" s="394">
        <f>IFERROR(__xludf.DUMMYFUNCTION("""COMPUTED_VALUE"""),350.0)</f>
        <v>350</v>
      </c>
      <c r="AF308" s="394">
        <f>IFERROR(__xludf.DUMMYFUNCTION("""COMPUTED_VALUE"""),400.0)</f>
        <v>400</v>
      </c>
      <c r="AG308" s="394">
        <f>IFERROR(__xludf.DUMMYFUNCTION("""COMPUTED_VALUE"""),450.0)</f>
        <v>450</v>
      </c>
      <c r="AH308" s="394">
        <f>IFERROR(__xludf.DUMMYFUNCTION("""COMPUTED_VALUE"""),475.0)</f>
        <v>475</v>
      </c>
      <c r="AI308" s="385" t="str">
        <f>IFERROR(__xludf.DUMMYFUNCTION("""COMPUTED_VALUE"""),"持続型")</f>
        <v>持続型</v>
      </c>
      <c r="AJ308" s="430">
        <f>IFERROR(__xludf.DUMMYFUNCTION("""COMPUTED_VALUE"""),5.0)</f>
        <v>5</v>
      </c>
      <c r="AK308" s="431" t="str">
        <f>IFERROR(__xludf.DUMMYFUNCTION("""COMPUTED_VALUE"""),"効果時間")</f>
        <v>効果時間</v>
      </c>
      <c r="AL308" s="392">
        <f>IFERROR(__xludf.DUMMYFUNCTION("""COMPUTED_VALUE"""),475.0)</f>
        <v>475</v>
      </c>
      <c r="AM308" s="414">
        <f>IFERROR(__xludf.DUMMYFUNCTION("""COMPUTED_VALUE"""),485.0)</f>
        <v>485</v>
      </c>
      <c r="AN308" s="414">
        <f>IFERROR(__xludf.DUMMYFUNCTION("""COMPUTED_VALUE"""),490.0)</f>
        <v>490</v>
      </c>
      <c r="AO308" s="414">
        <f>IFERROR(__xludf.DUMMYFUNCTION("""COMPUTED_VALUE"""),495.0)</f>
        <v>495</v>
      </c>
      <c r="AP308" s="394">
        <f>IFERROR(__xludf.DUMMYFUNCTION("""COMPUTED_VALUE"""),500.0)</f>
        <v>500</v>
      </c>
      <c r="AQ308" s="394">
        <f>IFERROR(__xludf.DUMMYFUNCTION("""COMPUTED_VALUE"""),550.0)</f>
        <v>550</v>
      </c>
      <c r="AR308" s="394">
        <f>IFERROR(__xludf.DUMMYFUNCTION("""COMPUTED_VALUE"""),600.0)</f>
        <v>600</v>
      </c>
      <c r="AS308" s="394">
        <f>IFERROR(__xludf.DUMMYFUNCTION("""COMPUTED_VALUE"""),625.0)</f>
        <v>625</v>
      </c>
      <c r="AT308" s="385" t="str">
        <f>IFERROR(__xludf.DUMMYFUNCTION("""COMPUTED_VALUE"""),"超持続型")</f>
        <v>超持続型</v>
      </c>
      <c r="AU308" s="430">
        <f>IFERROR(__xludf.DUMMYFUNCTION("""COMPUTED_VALUE"""),5.0)</f>
        <v>5</v>
      </c>
      <c r="AV308" s="431" t="str">
        <f>IFERROR(__xludf.DUMMYFUNCTION("""COMPUTED_VALUE"""),"効果時間")</f>
        <v>効果時間</v>
      </c>
      <c r="AW308" s="395" t="str">
        <f>IFERROR(__xludf.DUMMYFUNCTION("""COMPUTED_VALUE"""),"-")</f>
        <v>-</v>
      </c>
      <c r="AX308" s="396" t="str">
        <f>IFERROR(__xludf.DUMMYFUNCTION("""COMPUTED_VALUE"""),"-")</f>
        <v>-</v>
      </c>
      <c r="AY308" s="396" t="str">
        <f>IFERROR(__xludf.DUMMYFUNCTION("""COMPUTED_VALUE"""),"-")</f>
        <v>-</v>
      </c>
      <c r="AZ308" s="396" t="str">
        <f>IFERROR(__xludf.DUMMYFUNCTION("""COMPUTED_VALUE"""),"-")</f>
        <v>-</v>
      </c>
      <c r="BA308" s="396" t="str">
        <f>IFERROR(__xludf.DUMMYFUNCTION("""COMPUTED_VALUE"""),"-")</f>
        <v>-</v>
      </c>
      <c r="BB308" s="393">
        <f>IFERROR(__xludf.DUMMYFUNCTION("""COMPUTED_VALUE"""),650.0)</f>
        <v>650</v>
      </c>
      <c r="BC308" s="393">
        <f>IFERROR(__xludf.DUMMYFUNCTION("""COMPUTED_VALUE"""),750.0)</f>
        <v>750</v>
      </c>
      <c r="BD308" s="394">
        <f>IFERROR(__xludf.DUMMYFUNCTION("""COMPUTED_VALUE"""),775.0)</f>
        <v>775</v>
      </c>
      <c r="BE308" s="385" t="str">
        <f>IFERROR(__xludf.DUMMYFUNCTION("""COMPUTED_VALUE"""),"ハイブリッド型")</f>
        <v>ハイブリッド型</v>
      </c>
      <c r="BF308" s="430">
        <f>IFERROR(__xludf.DUMMYFUNCTION("""COMPUTED_VALUE"""),5.0)</f>
        <v>5</v>
      </c>
      <c r="BG308" s="431" t="str">
        <f>IFERROR(__xludf.DUMMYFUNCTION("""COMPUTED_VALUE"""),"効果時間")</f>
        <v>効果時間</v>
      </c>
      <c r="BH308" s="304">
        <f>IFERROR(__xludf.DUMMYFUNCTION("""COMPUTED_VALUE"""),250.0)</f>
        <v>250</v>
      </c>
      <c r="BI308" s="432">
        <f>IFERROR(__xludf.DUMMYFUNCTION("""COMPUTED_VALUE"""),265.0)</f>
        <v>265</v>
      </c>
      <c r="BJ308" s="432">
        <f>IFERROR(__xludf.DUMMYFUNCTION("""COMPUTED_VALUE"""),275.0)</f>
        <v>275</v>
      </c>
      <c r="BK308" s="432">
        <f>IFERROR(__xludf.DUMMYFUNCTION("""COMPUTED_VALUE"""),290.0)</f>
        <v>290</v>
      </c>
      <c r="BL308" s="304">
        <f>IFERROR(__xludf.DUMMYFUNCTION("""COMPUTED_VALUE"""),300.0)</f>
        <v>300</v>
      </c>
      <c r="BM308" s="304">
        <f>IFERROR(__xludf.DUMMYFUNCTION("""COMPUTED_VALUE"""),400.0)</f>
        <v>400</v>
      </c>
      <c r="BN308" s="304">
        <f>IFERROR(__xludf.DUMMYFUNCTION("""COMPUTED_VALUE"""),500.0)</f>
        <v>500</v>
      </c>
      <c r="BO308" s="304">
        <f>IFERROR(__xludf.DUMMYFUNCTION("""COMPUTED_VALUE"""),525.0)</f>
        <v>525</v>
      </c>
    </row>
    <row r="309">
      <c r="A309" s="306" t="str">
        <f>IFERROR(__xludf.DUMMYFUNCTION("""COMPUTED_VALUE"""),"攻撃力Down")</f>
        <v>攻撃力Down</v>
      </c>
      <c r="B309" s="374" t="str">
        <f>IFERROR(__xludf.DUMMYFUNCTION("""COMPUTED_VALUE"""),"超瞬間型")</f>
        <v>超瞬間型</v>
      </c>
      <c r="C309" s="375">
        <f>IFERROR(__xludf.DUMMYFUNCTION("""COMPUTED_VALUE"""),1.0)</f>
        <v>1</v>
      </c>
      <c r="D309" s="376" t="str">
        <f>IFERROR(__xludf.DUMMYFUNCTION("""COMPUTED_VALUE"""),"効果値")</f>
        <v>効果値</v>
      </c>
      <c r="E309" s="377" t="str">
        <f>IFERROR(__xludf.DUMMYFUNCTION("""COMPUTED_VALUE"""),"-")</f>
        <v>-</v>
      </c>
      <c r="F309" s="378" t="str">
        <f>IFERROR(__xludf.DUMMYFUNCTION("""COMPUTED_VALUE"""),"-")</f>
        <v>-</v>
      </c>
      <c r="G309" s="377" t="str">
        <f>IFERROR(__xludf.DUMMYFUNCTION("""COMPUTED_VALUE"""),"-")</f>
        <v>-</v>
      </c>
      <c r="H309" s="378" t="str">
        <f>IFERROR(__xludf.DUMMYFUNCTION("""COMPUTED_VALUE"""),"-")</f>
        <v>-</v>
      </c>
      <c r="I309" s="377" t="str">
        <f>IFERROR(__xludf.DUMMYFUNCTION("""COMPUTED_VALUE"""),"-")</f>
        <v>-</v>
      </c>
      <c r="J309" s="379">
        <f>IFERROR(__xludf.DUMMYFUNCTION("""COMPUTED_VALUE"""),55.0)</f>
        <v>55</v>
      </c>
      <c r="K309" s="294">
        <f>IFERROR(__xludf.DUMMYFUNCTION("""COMPUTED_VALUE"""),65.0)</f>
        <v>65</v>
      </c>
      <c r="L309" s="294">
        <f>IFERROR(__xludf.DUMMYFUNCTION("""COMPUTED_VALUE"""),65.0)</f>
        <v>65</v>
      </c>
      <c r="M309" s="374" t="str">
        <f>IFERROR(__xludf.DUMMYFUNCTION("""COMPUTED_VALUE"""),"瞬間型")</f>
        <v>瞬間型</v>
      </c>
      <c r="N309" s="375">
        <f>IFERROR(__xludf.DUMMYFUNCTION("""COMPUTED_VALUE"""),1.0)</f>
        <v>1</v>
      </c>
      <c r="O309" s="376" t="str">
        <f>IFERROR(__xludf.DUMMYFUNCTION("""COMPUTED_VALUE"""),"効果値")</f>
        <v>効果値</v>
      </c>
      <c r="P309" s="380">
        <f>IFERROR(__xludf.DUMMYFUNCTION("""COMPUTED_VALUE"""),20.0)</f>
        <v>20</v>
      </c>
      <c r="Q309" s="263">
        <f>IFERROR(__xludf.DUMMYFUNCTION("""COMPUTED_VALUE"""),20.0)</f>
        <v>20</v>
      </c>
      <c r="R309" s="263">
        <f>IFERROR(__xludf.DUMMYFUNCTION("""COMPUTED_VALUE"""),20.0)</f>
        <v>20</v>
      </c>
      <c r="S309" s="263">
        <f>IFERROR(__xludf.DUMMYFUNCTION("""COMPUTED_VALUE"""),20.0)</f>
        <v>20</v>
      </c>
      <c r="T309" s="263">
        <f>IFERROR(__xludf.DUMMYFUNCTION("""COMPUTED_VALUE"""),20.0)</f>
        <v>20</v>
      </c>
      <c r="U309" s="263">
        <f>IFERROR(__xludf.DUMMYFUNCTION("""COMPUTED_VALUE"""),25.0)</f>
        <v>25</v>
      </c>
      <c r="V309" s="266">
        <f>IFERROR(__xludf.DUMMYFUNCTION("""COMPUTED_VALUE"""),30.0)</f>
        <v>30</v>
      </c>
      <c r="W309" s="266">
        <f>IFERROR(__xludf.DUMMYFUNCTION("""COMPUTED_VALUE"""),30.0)</f>
        <v>30</v>
      </c>
      <c r="X309" s="374" t="str">
        <f>IFERROR(__xludf.DUMMYFUNCTION("""COMPUTED_VALUE"""),"安定型")</f>
        <v>安定型</v>
      </c>
      <c r="Y309" s="375">
        <f>IFERROR(__xludf.DUMMYFUNCTION("""COMPUTED_VALUE"""),1.0)</f>
        <v>1</v>
      </c>
      <c r="Z309" s="376" t="str">
        <f>IFERROR(__xludf.DUMMYFUNCTION("""COMPUTED_VALUE"""),"効果値")</f>
        <v>効果値</v>
      </c>
      <c r="AA309" s="380">
        <f>IFERROR(__xludf.DUMMYFUNCTION("""COMPUTED_VALUE"""),10.0)</f>
        <v>10</v>
      </c>
      <c r="AB309" s="263">
        <f>IFERROR(__xludf.DUMMYFUNCTION("""COMPUTED_VALUE"""),10.0)</f>
        <v>10</v>
      </c>
      <c r="AC309" s="263">
        <f>IFERROR(__xludf.DUMMYFUNCTION("""COMPUTED_VALUE"""),10.0)</f>
        <v>10</v>
      </c>
      <c r="AD309" s="263">
        <f>IFERROR(__xludf.DUMMYFUNCTION("""COMPUTED_VALUE"""),10.0)</f>
        <v>10</v>
      </c>
      <c r="AE309" s="263">
        <f>IFERROR(__xludf.DUMMYFUNCTION("""COMPUTED_VALUE"""),10.0)</f>
        <v>10</v>
      </c>
      <c r="AF309" s="263">
        <f>IFERROR(__xludf.DUMMYFUNCTION("""COMPUTED_VALUE"""),10.0)</f>
        <v>10</v>
      </c>
      <c r="AG309" s="266">
        <f>IFERROR(__xludf.DUMMYFUNCTION("""COMPUTED_VALUE"""),15.0)</f>
        <v>15</v>
      </c>
      <c r="AH309" s="266">
        <f>IFERROR(__xludf.DUMMYFUNCTION("""COMPUTED_VALUE"""),15.0)</f>
        <v>15</v>
      </c>
      <c r="AI309" s="374" t="str">
        <f>IFERROR(__xludf.DUMMYFUNCTION("""COMPUTED_VALUE"""),"持続型")</f>
        <v>持続型</v>
      </c>
      <c r="AJ309" s="375">
        <f>IFERROR(__xludf.DUMMYFUNCTION("""COMPUTED_VALUE"""),1.0)</f>
        <v>1</v>
      </c>
      <c r="AK309" s="376" t="str">
        <f>IFERROR(__xludf.DUMMYFUNCTION("""COMPUTED_VALUE"""),"効果値")</f>
        <v>効果値</v>
      </c>
      <c r="AL309" s="380">
        <f>IFERROR(__xludf.DUMMYFUNCTION("""COMPUTED_VALUE"""),5.0)</f>
        <v>5</v>
      </c>
      <c r="AM309" s="263">
        <f>IFERROR(__xludf.DUMMYFUNCTION("""COMPUTED_VALUE"""),5.0)</f>
        <v>5</v>
      </c>
      <c r="AN309" s="263">
        <f>IFERROR(__xludf.DUMMYFUNCTION("""COMPUTED_VALUE"""),5.0)</f>
        <v>5</v>
      </c>
      <c r="AO309" s="263">
        <f>IFERROR(__xludf.DUMMYFUNCTION("""COMPUTED_VALUE"""),5.0)</f>
        <v>5</v>
      </c>
      <c r="AP309" s="263">
        <f>IFERROR(__xludf.DUMMYFUNCTION("""COMPUTED_VALUE"""),5.0)</f>
        <v>5</v>
      </c>
      <c r="AQ309" s="263">
        <f>IFERROR(__xludf.DUMMYFUNCTION("""COMPUTED_VALUE"""),5.0)</f>
        <v>5</v>
      </c>
      <c r="AR309" s="266">
        <f>IFERROR(__xludf.DUMMYFUNCTION("""COMPUTED_VALUE"""),10.0)</f>
        <v>10</v>
      </c>
      <c r="AS309" s="266">
        <f>IFERROR(__xludf.DUMMYFUNCTION("""COMPUTED_VALUE"""),10.0)</f>
        <v>10</v>
      </c>
      <c r="AT309" s="374" t="str">
        <f>IFERROR(__xludf.DUMMYFUNCTION("""COMPUTED_VALUE"""),"超持続型")</f>
        <v>超持続型</v>
      </c>
      <c r="AU309" s="375">
        <f>IFERROR(__xludf.DUMMYFUNCTION("""COMPUTED_VALUE"""),1.0)</f>
        <v>1</v>
      </c>
      <c r="AV309" s="376" t="str">
        <f>IFERROR(__xludf.DUMMYFUNCTION("""COMPUTED_VALUE"""),"効果値")</f>
        <v>効果値</v>
      </c>
      <c r="AW309" s="350" t="str">
        <f>IFERROR(__xludf.DUMMYFUNCTION("""COMPUTED_VALUE"""),"-")</f>
        <v>-</v>
      </c>
      <c r="AX309" s="348" t="str">
        <f>IFERROR(__xludf.DUMMYFUNCTION("""COMPUTED_VALUE"""),"-")</f>
        <v>-</v>
      </c>
      <c r="AY309" s="348" t="str">
        <f>IFERROR(__xludf.DUMMYFUNCTION("""COMPUTED_VALUE"""),"-")</f>
        <v>-</v>
      </c>
      <c r="AZ309" s="348" t="str">
        <f>IFERROR(__xludf.DUMMYFUNCTION("""COMPUTED_VALUE"""),"-")</f>
        <v>-</v>
      </c>
      <c r="BA309" s="348" t="str">
        <f>IFERROR(__xludf.DUMMYFUNCTION("""COMPUTED_VALUE"""),"-")</f>
        <v>-</v>
      </c>
      <c r="BB309" s="263">
        <f>IFERROR(__xludf.DUMMYFUNCTION("""COMPUTED_VALUE"""),5.0)</f>
        <v>5</v>
      </c>
      <c r="BC309" s="266">
        <f>IFERROR(__xludf.DUMMYFUNCTION("""COMPUTED_VALUE"""),10.0)</f>
        <v>10</v>
      </c>
      <c r="BD309" s="266">
        <f>IFERROR(__xludf.DUMMYFUNCTION("""COMPUTED_VALUE"""),10.0)</f>
        <v>10</v>
      </c>
      <c r="BE309" s="374" t="str">
        <f>IFERROR(__xludf.DUMMYFUNCTION("""COMPUTED_VALUE"""),"ハイブリッド型")</f>
        <v>ハイブリッド型</v>
      </c>
      <c r="BF309" s="375">
        <f>IFERROR(__xludf.DUMMYFUNCTION("""COMPUTED_VALUE"""),1.0)</f>
        <v>1</v>
      </c>
      <c r="BG309" s="376" t="str">
        <f>IFERROR(__xludf.DUMMYFUNCTION("""COMPUTED_VALUE"""),"効果値")</f>
        <v>効果値</v>
      </c>
      <c r="BH309" s="381">
        <f>IFERROR(__xludf.DUMMYFUNCTION("""COMPUTED_VALUE"""),10.0)</f>
        <v>10</v>
      </c>
      <c r="BI309" s="382">
        <f>IFERROR(__xludf.DUMMYFUNCTION("""COMPUTED_VALUE"""),10.0)</f>
        <v>10</v>
      </c>
      <c r="BJ309" s="382">
        <f>IFERROR(__xludf.DUMMYFUNCTION("""COMPUTED_VALUE"""),10.0)</f>
        <v>10</v>
      </c>
      <c r="BK309" s="382">
        <f>IFERROR(__xludf.DUMMYFUNCTION("""COMPUTED_VALUE"""),10.0)</f>
        <v>10</v>
      </c>
      <c r="BL309" s="382">
        <f>IFERROR(__xludf.DUMMYFUNCTION("""COMPUTED_VALUE"""),10.0)</f>
        <v>10</v>
      </c>
      <c r="BM309" s="382">
        <f>IFERROR(__xludf.DUMMYFUNCTION("""COMPUTED_VALUE"""),15.0)</f>
        <v>15</v>
      </c>
      <c r="BN309" s="382">
        <f>IFERROR(__xludf.DUMMYFUNCTION("""COMPUTED_VALUE"""),20.0)</f>
        <v>20</v>
      </c>
      <c r="BO309" s="383">
        <f>IFERROR(__xludf.DUMMYFUNCTION("""COMPUTED_VALUE"""),20.0)</f>
        <v>20</v>
      </c>
    </row>
    <row r="310">
      <c r="A310" s="384" t="str">
        <f>IFERROR(__xludf.DUMMYFUNCTION("""COMPUTED_VALUE"""),"攻撃力Down")</f>
        <v>攻撃力Down</v>
      </c>
      <c r="B310" s="385" t="str">
        <f>IFERROR(__xludf.DUMMYFUNCTION("""COMPUTED_VALUE"""),"超瞬間型")</f>
        <v>超瞬間型</v>
      </c>
      <c r="C310" s="386">
        <f>IFERROR(__xludf.DUMMYFUNCTION("""COMPUTED_VALUE"""),1.0)</f>
        <v>1</v>
      </c>
      <c r="D310" s="387" t="str">
        <f>IFERROR(__xludf.DUMMYFUNCTION("""COMPUTED_VALUE"""),"効果時間")</f>
        <v>効果時間</v>
      </c>
      <c r="E310" s="388" t="str">
        <f>IFERROR(__xludf.DUMMYFUNCTION("""COMPUTED_VALUE"""),"-")</f>
        <v>-</v>
      </c>
      <c r="F310" s="389" t="str">
        <f>IFERROR(__xludf.DUMMYFUNCTION("""COMPUTED_VALUE"""),"-")</f>
        <v>-</v>
      </c>
      <c r="G310" s="388" t="str">
        <f>IFERROR(__xludf.DUMMYFUNCTION("""COMPUTED_VALUE"""),"-")</f>
        <v>-</v>
      </c>
      <c r="H310" s="389" t="str">
        <f>IFERROR(__xludf.DUMMYFUNCTION("""COMPUTED_VALUE"""),"-")</f>
        <v>-</v>
      </c>
      <c r="I310" s="388" t="str">
        <f>IFERROR(__xludf.DUMMYFUNCTION("""COMPUTED_VALUE"""),"-")</f>
        <v>-</v>
      </c>
      <c r="J310" s="390">
        <f>IFERROR(__xludf.DUMMYFUNCTION("""COMPUTED_VALUE"""),150.0)</f>
        <v>150</v>
      </c>
      <c r="K310" s="391">
        <f>IFERROR(__xludf.DUMMYFUNCTION("""COMPUTED_VALUE"""),160.0)</f>
        <v>160</v>
      </c>
      <c r="L310" s="340">
        <f>IFERROR(__xludf.DUMMYFUNCTION("""COMPUTED_VALUE"""),160.0)</f>
        <v>160</v>
      </c>
      <c r="M310" s="385" t="str">
        <f>IFERROR(__xludf.DUMMYFUNCTION("""COMPUTED_VALUE"""),"瞬間型")</f>
        <v>瞬間型</v>
      </c>
      <c r="N310" s="386">
        <f>IFERROR(__xludf.DUMMYFUNCTION("""COMPUTED_VALUE"""),1.0)</f>
        <v>1</v>
      </c>
      <c r="O310" s="387" t="str">
        <f>IFERROR(__xludf.DUMMYFUNCTION("""COMPUTED_VALUE"""),"効果時間")</f>
        <v>効果時間</v>
      </c>
      <c r="P310" s="392">
        <f>IFERROR(__xludf.DUMMYFUNCTION("""COMPUTED_VALUE"""),150.0)</f>
        <v>150</v>
      </c>
      <c r="Q310" s="393">
        <f>IFERROR(__xludf.DUMMYFUNCTION("""COMPUTED_VALUE"""),150.0)</f>
        <v>150</v>
      </c>
      <c r="R310" s="393">
        <f>IFERROR(__xludf.DUMMYFUNCTION("""COMPUTED_VALUE"""),150.0)</f>
        <v>150</v>
      </c>
      <c r="S310" s="393">
        <f>IFERROR(__xludf.DUMMYFUNCTION("""COMPUTED_VALUE"""),150.0)</f>
        <v>150</v>
      </c>
      <c r="T310" s="393">
        <f>IFERROR(__xludf.DUMMYFUNCTION("""COMPUTED_VALUE"""),150.0)</f>
        <v>150</v>
      </c>
      <c r="U310" s="393">
        <f>IFERROR(__xludf.DUMMYFUNCTION("""COMPUTED_VALUE"""),150.0)</f>
        <v>150</v>
      </c>
      <c r="V310" s="393">
        <f>IFERROR(__xludf.DUMMYFUNCTION("""COMPUTED_VALUE"""),160.0)</f>
        <v>160</v>
      </c>
      <c r="W310" s="394">
        <f>IFERROR(__xludf.DUMMYFUNCTION("""COMPUTED_VALUE"""),160.0)</f>
        <v>160</v>
      </c>
      <c r="X310" s="385" t="str">
        <f>IFERROR(__xludf.DUMMYFUNCTION("""COMPUTED_VALUE"""),"安定型")</f>
        <v>安定型</v>
      </c>
      <c r="Y310" s="386">
        <f>IFERROR(__xludf.DUMMYFUNCTION("""COMPUTED_VALUE"""),1.0)</f>
        <v>1</v>
      </c>
      <c r="Z310" s="387" t="str">
        <f>IFERROR(__xludf.DUMMYFUNCTION("""COMPUTED_VALUE"""),"効果時間")</f>
        <v>効果時間</v>
      </c>
      <c r="AA310" s="392">
        <f>IFERROR(__xludf.DUMMYFUNCTION("""COMPUTED_VALUE"""),300.0)</f>
        <v>300</v>
      </c>
      <c r="AB310" s="393">
        <f>IFERROR(__xludf.DUMMYFUNCTION("""COMPUTED_VALUE"""),300.0)</f>
        <v>300</v>
      </c>
      <c r="AC310" s="393">
        <f>IFERROR(__xludf.DUMMYFUNCTION("""COMPUTED_VALUE"""),300.0)</f>
        <v>300</v>
      </c>
      <c r="AD310" s="393">
        <f>IFERROR(__xludf.DUMMYFUNCTION("""COMPUTED_VALUE"""),300.0)</f>
        <v>300</v>
      </c>
      <c r="AE310" s="393">
        <f>IFERROR(__xludf.DUMMYFUNCTION("""COMPUTED_VALUE"""),300.0)</f>
        <v>300</v>
      </c>
      <c r="AF310" s="393">
        <f>IFERROR(__xludf.DUMMYFUNCTION("""COMPUTED_VALUE"""),300.0)</f>
        <v>300</v>
      </c>
      <c r="AG310" s="393">
        <f>IFERROR(__xludf.DUMMYFUNCTION("""COMPUTED_VALUE"""),310.0)</f>
        <v>310</v>
      </c>
      <c r="AH310" s="394">
        <f>IFERROR(__xludf.DUMMYFUNCTION("""COMPUTED_VALUE"""),310.0)</f>
        <v>310</v>
      </c>
      <c r="AI310" s="385" t="str">
        <f>IFERROR(__xludf.DUMMYFUNCTION("""COMPUTED_VALUE"""),"持続型")</f>
        <v>持続型</v>
      </c>
      <c r="AJ310" s="386">
        <f>IFERROR(__xludf.DUMMYFUNCTION("""COMPUTED_VALUE"""),1.0)</f>
        <v>1</v>
      </c>
      <c r="AK310" s="387" t="str">
        <f>IFERROR(__xludf.DUMMYFUNCTION("""COMPUTED_VALUE"""),"効果時間")</f>
        <v>効果時間</v>
      </c>
      <c r="AL310" s="392">
        <f>IFERROR(__xludf.DUMMYFUNCTION("""COMPUTED_VALUE"""),450.0)</f>
        <v>450</v>
      </c>
      <c r="AM310" s="393">
        <f>IFERROR(__xludf.DUMMYFUNCTION("""COMPUTED_VALUE"""),450.0)</f>
        <v>450</v>
      </c>
      <c r="AN310" s="393">
        <f>IFERROR(__xludf.DUMMYFUNCTION("""COMPUTED_VALUE"""),450.0)</f>
        <v>450</v>
      </c>
      <c r="AO310" s="393">
        <f>IFERROR(__xludf.DUMMYFUNCTION("""COMPUTED_VALUE"""),450.0)</f>
        <v>450</v>
      </c>
      <c r="AP310" s="393">
        <f>IFERROR(__xludf.DUMMYFUNCTION("""COMPUTED_VALUE"""),450.0)</f>
        <v>450</v>
      </c>
      <c r="AQ310" s="393">
        <f>IFERROR(__xludf.DUMMYFUNCTION("""COMPUTED_VALUE"""),450.0)</f>
        <v>450</v>
      </c>
      <c r="AR310" s="393">
        <f>IFERROR(__xludf.DUMMYFUNCTION("""COMPUTED_VALUE"""),460.0)</f>
        <v>460</v>
      </c>
      <c r="AS310" s="394">
        <f>IFERROR(__xludf.DUMMYFUNCTION("""COMPUTED_VALUE"""),460.0)</f>
        <v>460</v>
      </c>
      <c r="AT310" s="385" t="str">
        <f>IFERROR(__xludf.DUMMYFUNCTION("""COMPUTED_VALUE"""),"超持続型")</f>
        <v>超持続型</v>
      </c>
      <c r="AU310" s="386">
        <f>IFERROR(__xludf.DUMMYFUNCTION("""COMPUTED_VALUE"""),1.0)</f>
        <v>1</v>
      </c>
      <c r="AV310" s="387" t="str">
        <f>IFERROR(__xludf.DUMMYFUNCTION("""COMPUTED_VALUE"""),"効果時間")</f>
        <v>効果時間</v>
      </c>
      <c r="AW310" s="395" t="str">
        <f>IFERROR(__xludf.DUMMYFUNCTION("""COMPUTED_VALUE"""),"-")</f>
        <v>-</v>
      </c>
      <c r="AX310" s="396" t="str">
        <f>IFERROR(__xludf.DUMMYFUNCTION("""COMPUTED_VALUE"""),"-")</f>
        <v>-</v>
      </c>
      <c r="AY310" s="396" t="str">
        <f>IFERROR(__xludf.DUMMYFUNCTION("""COMPUTED_VALUE"""),"-")</f>
        <v>-</v>
      </c>
      <c r="AZ310" s="396" t="str">
        <f>IFERROR(__xludf.DUMMYFUNCTION("""COMPUTED_VALUE"""),"-")</f>
        <v>-</v>
      </c>
      <c r="BA310" s="396" t="str">
        <f>IFERROR(__xludf.DUMMYFUNCTION("""COMPUTED_VALUE"""),"-")</f>
        <v>-</v>
      </c>
      <c r="BB310" s="393">
        <f>IFERROR(__xludf.DUMMYFUNCTION("""COMPUTED_VALUE"""),600.0)</f>
        <v>600</v>
      </c>
      <c r="BC310" s="393">
        <f>IFERROR(__xludf.DUMMYFUNCTION("""COMPUTED_VALUE"""),610.0)</f>
        <v>610</v>
      </c>
      <c r="BD310" s="394">
        <f>IFERROR(__xludf.DUMMYFUNCTION("""COMPUTED_VALUE"""),610.0)</f>
        <v>610</v>
      </c>
      <c r="BE310" s="385" t="str">
        <f>IFERROR(__xludf.DUMMYFUNCTION("""COMPUTED_VALUE"""),"ハイブリッド型")</f>
        <v>ハイブリッド型</v>
      </c>
      <c r="BF310" s="386">
        <f>IFERROR(__xludf.DUMMYFUNCTION("""COMPUTED_VALUE"""),1.0)</f>
        <v>1</v>
      </c>
      <c r="BG310" s="387" t="str">
        <f>IFERROR(__xludf.DUMMYFUNCTION("""COMPUTED_VALUE"""),"効果時間")</f>
        <v>効果時間</v>
      </c>
      <c r="BH310" s="397">
        <f>IFERROR(__xludf.DUMMYFUNCTION("""COMPUTED_VALUE"""),150.0)</f>
        <v>150</v>
      </c>
      <c r="BI310" s="397">
        <f>IFERROR(__xludf.DUMMYFUNCTION("""COMPUTED_VALUE"""),150.0)</f>
        <v>150</v>
      </c>
      <c r="BJ310" s="397">
        <f>IFERROR(__xludf.DUMMYFUNCTION("""COMPUTED_VALUE"""),150.0)</f>
        <v>150</v>
      </c>
      <c r="BK310" s="398">
        <f>IFERROR(__xludf.DUMMYFUNCTION("""COMPUTED_VALUE"""),150.0)</f>
        <v>150</v>
      </c>
      <c r="BL310" s="397">
        <f>IFERROR(__xludf.DUMMYFUNCTION("""COMPUTED_VALUE"""),150.0)</f>
        <v>150</v>
      </c>
      <c r="BM310" s="398">
        <f>IFERROR(__xludf.DUMMYFUNCTION("""COMPUTED_VALUE"""),350.0)</f>
        <v>350</v>
      </c>
      <c r="BN310" s="397">
        <f>IFERROR(__xludf.DUMMYFUNCTION("""COMPUTED_VALUE"""),460.0)</f>
        <v>460</v>
      </c>
      <c r="BO310" s="398">
        <f>IFERROR(__xludf.DUMMYFUNCTION("""COMPUTED_VALUE"""),460.0)</f>
        <v>460</v>
      </c>
    </row>
    <row r="311">
      <c r="A311" s="307" t="str">
        <f>IFERROR(__xludf.DUMMYFUNCTION("""COMPUTED_VALUE"""),"攻撃力Down")</f>
        <v>攻撃力Down</v>
      </c>
      <c r="B311" s="385" t="str">
        <f>IFERROR(__xludf.DUMMYFUNCTION("""COMPUTED_VALUE"""),"超瞬間型")</f>
        <v>超瞬間型</v>
      </c>
      <c r="C311" s="399">
        <f>IFERROR(__xludf.DUMMYFUNCTION("""COMPUTED_VALUE"""),2.0)</f>
        <v>2</v>
      </c>
      <c r="D311" s="400" t="str">
        <f>IFERROR(__xludf.DUMMYFUNCTION("""COMPUTED_VALUE"""),"効果値")</f>
        <v>効果値</v>
      </c>
      <c r="E311" s="401" t="str">
        <f>IFERROR(__xludf.DUMMYFUNCTION("""COMPUTED_VALUE"""),"-")</f>
        <v>-</v>
      </c>
      <c r="F311" s="401" t="str">
        <f>IFERROR(__xludf.DUMMYFUNCTION("""COMPUTED_VALUE"""),"-")</f>
        <v>-</v>
      </c>
      <c r="G311" s="401" t="str">
        <f>IFERROR(__xludf.DUMMYFUNCTION("""COMPUTED_VALUE"""),"-")</f>
        <v>-</v>
      </c>
      <c r="H311" s="401" t="str">
        <f>IFERROR(__xludf.DUMMYFUNCTION("""COMPUTED_VALUE"""),"-")</f>
        <v>-</v>
      </c>
      <c r="I311" s="401" t="str">
        <f>IFERROR(__xludf.DUMMYFUNCTION("""COMPUTED_VALUE"""),"-")</f>
        <v>-</v>
      </c>
      <c r="J311" s="318">
        <f>IFERROR(__xludf.DUMMYFUNCTION("""COMPUTED_VALUE"""),57.0)</f>
        <v>57</v>
      </c>
      <c r="K311" s="318">
        <f>IFERROR(__xludf.DUMMYFUNCTION("""COMPUTED_VALUE"""),67.0)</f>
        <v>67</v>
      </c>
      <c r="L311" s="318">
        <f>IFERROR(__xludf.DUMMYFUNCTION("""COMPUTED_VALUE"""),69.0)</f>
        <v>69</v>
      </c>
      <c r="M311" s="385" t="str">
        <f>IFERROR(__xludf.DUMMYFUNCTION("""COMPUTED_VALUE"""),"瞬間型")</f>
        <v>瞬間型</v>
      </c>
      <c r="N311" s="399">
        <f>IFERROR(__xludf.DUMMYFUNCTION("""COMPUTED_VALUE"""),2.0)</f>
        <v>2</v>
      </c>
      <c r="O311" s="400" t="str">
        <f>IFERROR(__xludf.DUMMYFUNCTION("""COMPUTED_VALUE"""),"効果値")</f>
        <v>効果値</v>
      </c>
      <c r="P311" s="343">
        <f>IFERROR(__xludf.DUMMYFUNCTION("""COMPUTED_VALUE"""),21.0)</f>
        <v>21</v>
      </c>
      <c r="Q311" s="402">
        <f>IFERROR(__xludf.DUMMYFUNCTION("""COMPUTED_VALUE"""),21.0)</f>
        <v>21</v>
      </c>
      <c r="R311" s="343">
        <f>IFERROR(__xludf.DUMMYFUNCTION("""COMPUTED_VALUE"""),22.0)</f>
        <v>22</v>
      </c>
      <c r="S311" s="402">
        <f>IFERROR(__xludf.DUMMYFUNCTION("""COMPUTED_VALUE"""),22.0)</f>
        <v>22</v>
      </c>
      <c r="T311" s="343">
        <f>IFERROR(__xludf.DUMMYFUNCTION("""COMPUTED_VALUE"""),22.0)</f>
        <v>22</v>
      </c>
      <c r="U311" s="343">
        <f>IFERROR(__xludf.DUMMYFUNCTION("""COMPUTED_VALUE"""),27.0)</f>
        <v>27</v>
      </c>
      <c r="V311" s="343">
        <f>IFERROR(__xludf.DUMMYFUNCTION("""COMPUTED_VALUE"""),32.0)</f>
        <v>32</v>
      </c>
      <c r="W311" s="343">
        <f>IFERROR(__xludf.DUMMYFUNCTION("""COMPUTED_VALUE"""),34.0)</f>
        <v>34</v>
      </c>
      <c r="X311" s="385" t="str">
        <f>IFERROR(__xludf.DUMMYFUNCTION("""COMPUTED_VALUE"""),"安定型")</f>
        <v>安定型</v>
      </c>
      <c r="Y311" s="399">
        <f>IFERROR(__xludf.DUMMYFUNCTION("""COMPUTED_VALUE"""),2.0)</f>
        <v>2</v>
      </c>
      <c r="Z311" s="400" t="str">
        <f>IFERROR(__xludf.DUMMYFUNCTION("""COMPUTED_VALUE"""),"効果値")</f>
        <v>効果値</v>
      </c>
      <c r="AA311" s="343">
        <f>IFERROR(__xludf.DUMMYFUNCTION("""COMPUTED_VALUE"""),11.0)</f>
        <v>11</v>
      </c>
      <c r="AB311" s="402">
        <f>IFERROR(__xludf.DUMMYFUNCTION("""COMPUTED_VALUE"""),11.0)</f>
        <v>11</v>
      </c>
      <c r="AC311" s="343">
        <f>IFERROR(__xludf.DUMMYFUNCTION("""COMPUTED_VALUE"""),12.0)</f>
        <v>12</v>
      </c>
      <c r="AD311" s="402">
        <f>IFERROR(__xludf.DUMMYFUNCTION("""COMPUTED_VALUE"""),12.0)</f>
        <v>12</v>
      </c>
      <c r="AE311" s="343">
        <f>IFERROR(__xludf.DUMMYFUNCTION("""COMPUTED_VALUE"""),12.0)</f>
        <v>12</v>
      </c>
      <c r="AF311" s="343">
        <f>IFERROR(__xludf.DUMMYFUNCTION("""COMPUTED_VALUE"""),12.0)</f>
        <v>12</v>
      </c>
      <c r="AG311" s="343">
        <f>IFERROR(__xludf.DUMMYFUNCTION("""COMPUTED_VALUE"""),17.0)</f>
        <v>17</v>
      </c>
      <c r="AH311" s="343">
        <f>IFERROR(__xludf.DUMMYFUNCTION("""COMPUTED_VALUE"""),19.0)</f>
        <v>19</v>
      </c>
      <c r="AI311" s="385" t="str">
        <f>IFERROR(__xludf.DUMMYFUNCTION("""COMPUTED_VALUE"""),"持続型")</f>
        <v>持続型</v>
      </c>
      <c r="AJ311" s="399">
        <f>IFERROR(__xludf.DUMMYFUNCTION("""COMPUTED_VALUE"""),2.0)</f>
        <v>2</v>
      </c>
      <c r="AK311" s="400" t="str">
        <f>IFERROR(__xludf.DUMMYFUNCTION("""COMPUTED_VALUE"""),"効果値")</f>
        <v>効果値</v>
      </c>
      <c r="AL311" s="343">
        <f>IFERROR(__xludf.DUMMYFUNCTION("""COMPUTED_VALUE"""),6.0)</f>
        <v>6</v>
      </c>
      <c r="AM311" s="402">
        <f>IFERROR(__xludf.DUMMYFUNCTION("""COMPUTED_VALUE"""),6.0)</f>
        <v>6</v>
      </c>
      <c r="AN311" s="343">
        <f>IFERROR(__xludf.DUMMYFUNCTION("""COMPUTED_VALUE"""),7.0)</f>
        <v>7</v>
      </c>
      <c r="AO311" s="402">
        <f>IFERROR(__xludf.DUMMYFUNCTION("""COMPUTED_VALUE"""),7.0)</f>
        <v>7</v>
      </c>
      <c r="AP311" s="343">
        <f>IFERROR(__xludf.DUMMYFUNCTION("""COMPUTED_VALUE"""),7.0)</f>
        <v>7</v>
      </c>
      <c r="AQ311" s="343">
        <f>IFERROR(__xludf.DUMMYFUNCTION("""COMPUTED_VALUE"""),7.0)</f>
        <v>7</v>
      </c>
      <c r="AR311" s="343">
        <f>IFERROR(__xludf.DUMMYFUNCTION("""COMPUTED_VALUE"""),11.0)</f>
        <v>11</v>
      </c>
      <c r="AS311" s="343">
        <f>IFERROR(__xludf.DUMMYFUNCTION("""COMPUTED_VALUE"""),11.0)</f>
        <v>11</v>
      </c>
      <c r="AT311" s="385" t="str">
        <f>IFERROR(__xludf.DUMMYFUNCTION("""COMPUTED_VALUE"""),"超持続型")</f>
        <v>超持続型</v>
      </c>
      <c r="AU311" s="399">
        <f>IFERROR(__xludf.DUMMYFUNCTION("""COMPUTED_VALUE"""),2.0)</f>
        <v>2</v>
      </c>
      <c r="AV311" s="400" t="str">
        <f>IFERROR(__xludf.DUMMYFUNCTION("""COMPUTED_VALUE"""),"効果値")</f>
        <v>効果値</v>
      </c>
      <c r="AW311" s="403" t="str">
        <f>IFERROR(__xludf.DUMMYFUNCTION("""COMPUTED_VALUE"""),"-")</f>
        <v>-</v>
      </c>
      <c r="AX311" s="403" t="str">
        <f>IFERROR(__xludf.DUMMYFUNCTION("""COMPUTED_VALUE"""),"-")</f>
        <v>-</v>
      </c>
      <c r="AY311" s="403" t="str">
        <f>IFERROR(__xludf.DUMMYFUNCTION("""COMPUTED_VALUE"""),"-")</f>
        <v>-</v>
      </c>
      <c r="AZ311" s="403" t="str">
        <f>IFERROR(__xludf.DUMMYFUNCTION("""COMPUTED_VALUE"""),"-")</f>
        <v>-</v>
      </c>
      <c r="BA311" s="403" t="str">
        <f>IFERROR(__xludf.DUMMYFUNCTION("""COMPUTED_VALUE"""),"-")</f>
        <v>-</v>
      </c>
      <c r="BB311" s="343">
        <f>IFERROR(__xludf.DUMMYFUNCTION("""COMPUTED_VALUE"""),7.0)</f>
        <v>7</v>
      </c>
      <c r="BC311" s="343">
        <f>IFERROR(__xludf.DUMMYFUNCTION("""COMPUTED_VALUE"""),11.0)</f>
        <v>11</v>
      </c>
      <c r="BD311" s="343">
        <f>IFERROR(__xludf.DUMMYFUNCTION("""COMPUTED_VALUE"""),11.0)</f>
        <v>11</v>
      </c>
      <c r="BE311" s="385" t="str">
        <f>IFERROR(__xludf.DUMMYFUNCTION("""COMPUTED_VALUE"""),"ハイブリッド型")</f>
        <v>ハイブリッド型</v>
      </c>
      <c r="BF311" s="399">
        <f>IFERROR(__xludf.DUMMYFUNCTION("""COMPUTED_VALUE"""),2.0)</f>
        <v>2</v>
      </c>
      <c r="BG311" s="400" t="str">
        <f>IFERROR(__xludf.DUMMYFUNCTION("""COMPUTED_VALUE"""),"効果値")</f>
        <v>効果値</v>
      </c>
      <c r="BH311" s="404">
        <f>IFERROR(__xludf.DUMMYFUNCTION("""COMPUTED_VALUE"""),10.8)</f>
        <v>10.8</v>
      </c>
      <c r="BI311" s="405">
        <f>IFERROR(__xludf.DUMMYFUNCTION("""COMPUTED_VALUE"""),11.2)</f>
        <v>11.2</v>
      </c>
      <c r="BJ311" s="405">
        <f>IFERROR(__xludf.DUMMYFUNCTION("""COMPUTED_VALUE"""),11.5)</f>
        <v>11.5</v>
      </c>
      <c r="BK311" s="405">
        <f>IFERROR(__xludf.DUMMYFUNCTION("""COMPUTED_VALUE"""),11.8)</f>
        <v>11.8</v>
      </c>
      <c r="BL311" s="405">
        <f>IFERROR(__xludf.DUMMYFUNCTION("""COMPUTED_VALUE"""),12.1)</f>
        <v>12.1</v>
      </c>
      <c r="BM311" s="405">
        <f>IFERROR(__xludf.DUMMYFUNCTION("""COMPUTED_VALUE"""),17.1)</f>
        <v>17.1</v>
      </c>
      <c r="BN311" s="405">
        <f>IFERROR(__xludf.DUMMYFUNCTION("""COMPUTED_VALUE"""),22.0)</f>
        <v>22</v>
      </c>
      <c r="BO311" s="406">
        <f>IFERROR(__xludf.DUMMYFUNCTION("""COMPUTED_VALUE"""),24.0)</f>
        <v>24</v>
      </c>
    </row>
    <row r="312">
      <c r="A312" s="307" t="str">
        <f>IFERROR(__xludf.DUMMYFUNCTION("""COMPUTED_VALUE"""),"攻撃力Down")</f>
        <v>攻撃力Down</v>
      </c>
      <c r="B312" s="385" t="str">
        <f>IFERROR(__xludf.DUMMYFUNCTION("""COMPUTED_VALUE"""),"超瞬間型")</f>
        <v>超瞬間型</v>
      </c>
      <c r="C312" s="386">
        <f>IFERROR(__xludf.DUMMYFUNCTION("""COMPUTED_VALUE"""),2.0)</f>
        <v>2</v>
      </c>
      <c r="D312" s="387" t="str">
        <f>IFERROR(__xludf.DUMMYFUNCTION("""COMPUTED_VALUE"""),"効果時間")</f>
        <v>効果時間</v>
      </c>
      <c r="E312" s="388" t="str">
        <f>IFERROR(__xludf.DUMMYFUNCTION("""COMPUTED_VALUE"""),"-")</f>
        <v>-</v>
      </c>
      <c r="F312" s="389" t="str">
        <f>IFERROR(__xludf.DUMMYFUNCTION("""COMPUTED_VALUE"""),"-")</f>
        <v>-</v>
      </c>
      <c r="G312" s="388" t="str">
        <f>IFERROR(__xludf.DUMMYFUNCTION("""COMPUTED_VALUE"""),"-")</f>
        <v>-</v>
      </c>
      <c r="H312" s="389" t="str">
        <f>IFERROR(__xludf.DUMMYFUNCTION("""COMPUTED_VALUE"""),"-")</f>
        <v>-</v>
      </c>
      <c r="I312" s="388" t="str">
        <f>IFERROR(__xludf.DUMMYFUNCTION("""COMPUTED_VALUE"""),"-")</f>
        <v>-</v>
      </c>
      <c r="J312" s="390">
        <f>IFERROR(__xludf.DUMMYFUNCTION("""COMPUTED_VALUE"""),150.0)</f>
        <v>150</v>
      </c>
      <c r="K312" s="391">
        <f>IFERROR(__xludf.DUMMYFUNCTION("""COMPUTED_VALUE"""),160.0)</f>
        <v>160</v>
      </c>
      <c r="L312" s="340">
        <f>IFERROR(__xludf.DUMMYFUNCTION("""COMPUTED_VALUE"""),170.0)</f>
        <v>170</v>
      </c>
      <c r="M312" s="385" t="str">
        <f>IFERROR(__xludf.DUMMYFUNCTION("""COMPUTED_VALUE"""),"瞬間型")</f>
        <v>瞬間型</v>
      </c>
      <c r="N312" s="386">
        <f>IFERROR(__xludf.DUMMYFUNCTION("""COMPUTED_VALUE"""),2.0)</f>
        <v>2</v>
      </c>
      <c r="O312" s="387" t="str">
        <f>IFERROR(__xludf.DUMMYFUNCTION("""COMPUTED_VALUE"""),"効果時間")</f>
        <v>効果時間</v>
      </c>
      <c r="P312" s="392">
        <f>IFERROR(__xludf.DUMMYFUNCTION("""COMPUTED_VALUE"""),160.0)</f>
        <v>160</v>
      </c>
      <c r="Q312" s="275">
        <f>IFERROR(__xludf.DUMMYFUNCTION("""COMPUTED_VALUE"""),165.0)</f>
        <v>165</v>
      </c>
      <c r="R312" s="280">
        <f>IFERROR(__xludf.DUMMYFUNCTION("""COMPUTED_VALUE"""),170.0)</f>
        <v>170</v>
      </c>
      <c r="S312" s="275">
        <f>IFERROR(__xludf.DUMMYFUNCTION("""COMPUTED_VALUE"""),175.0)</f>
        <v>175</v>
      </c>
      <c r="T312" s="280">
        <f>IFERROR(__xludf.DUMMYFUNCTION("""COMPUTED_VALUE"""),180.0)</f>
        <v>180</v>
      </c>
      <c r="U312" s="280">
        <f>IFERROR(__xludf.DUMMYFUNCTION("""COMPUTED_VALUE"""),180.0)</f>
        <v>180</v>
      </c>
      <c r="V312" s="280">
        <f>IFERROR(__xludf.DUMMYFUNCTION("""COMPUTED_VALUE"""),220.0)</f>
        <v>220</v>
      </c>
      <c r="W312" s="280">
        <f>IFERROR(__xludf.DUMMYFUNCTION("""COMPUTED_VALUE"""),230.0)</f>
        <v>230</v>
      </c>
      <c r="X312" s="385" t="str">
        <f>IFERROR(__xludf.DUMMYFUNCTION("""COMPUTED_VALUE"""),"安定型")</f>
        <v>安定型</v>
      </c>
      <c r="Y312" s="386">
        <f>IFERROR(__xludf.DUMMYFUNCTION("""COMPUTED_VALUE"""),2.0)</f>
        <v>2</v>
      </c>
      <c r="Z312" s="387" t="str">
        <f>IFERROR(__xludf.DUMMYFUNCTION("""COMPUTED_VALUE"""),"効果時間")</f>
        <v>効果時間</v>
      </c>
      <c r="AA312" s="392">
        <f>IFERROR(__xludf.DUMMYFUNCTION("""COMPUTED_VALUE"""),310.0)</f>
        <v>310</v>
      </c>
      <c r="AB312" s="275">
        <f>IFERROR(__xludf.DUMMYFUNCTION("""COMPUTED_VALUE"""),315.0)</f>
        <v>315</v>
      </c>
      <c r="AC312" s="280">
        <f>IFERROR(__xludf.DUMMYFUNCTION("""COMPUTED_VALUE"""),320.0)</f>
        <v>320</v>
      </c>
      <c r="AD312" s="275">
        <f>IFERROR(__xludf.DUMMYFUNCTION("""COMPUTED_VALUE"""),325.0)</f>
        <v>325</v>
      </c>
      <c r="AE312" s="280">
        <f>IFERROR(__xludf.DUMMYFUNCTION("""COMPUTED_VALUE"""),330.0)</f>
        <v>330</v>
      </c>
      <c r="AF312" s="280">
        <f>IFERROR(__xludf.DUMMYFUNCTION("""COMPUTED_VALUE"""),345.0)</f>
        <v>345</v>
      </c>
      <c r="AG312" s="280">
        <f>IFERROR(__xludf.DUMMYFUNCTION("""COMPUTED_VALUE"""),370.0)</f>
        <v>370</v>
      </c>
      <c r="AH312" s="280">
        <f>IFERROR(__xludf.DUMMYFUNCTION("""COMPUTED_VALUE"""),380.0)</f>
        <v>380</v>
      </c>
      <c r="AI312" s="385" t="str">
        <f>IFERROR(__xludf.DUMMYFUNCTION("""COMPUTED_VALUE"""),"持続型")</f>
        <v>持続型</v>
      </c>
      <c r="AJ312" s="386">
        <f>IFERROR(__xludf.DUMMYFUNCTION("""COMPUTED_VALUE"""),2.0)</f>
        <v>2</v>
      </c>
      <c r="AK312" s="387" t="str">
        <f>IFERROR(__xludf.DUMMYFUNCTION("""COMPUTED_VALUE"""),"効果時間")</f>
        <v>効果時間</v>
      </c>
      <c r="AL312" s="392">
        <f>IFERROR(__xludf.DUMMYFUNCTION("""COMPUTED_VALUE"""),460.0)</f>
        <v>460</v>
      </c>
      <c r="AM312" s="275">
        <f>IFERROR(__xludf.DUMMYFUNCTION("""COMPUTED_VALUE"""),465.0)</f>
        <v>465</v>
      </c>
      <c r="AN312" s="280">
        <f>IFERROR(__xludf.DUMMYFUNCTION("""COMPUTED_VALUE"""),470.0)</f>
        <v>470</v>
      </c>
      <c r="AO312" s="275">
        <f>IFERROR(__xludf.DUMMYFUNCTION("""COMPUTED_VALUE"""),475.0)</f>
        <v>475</v>
      </c>
      <c r="AP312" s="280">
        <f>IFERROR(__xludf.DUMMYFUNCTION("""COMPUTED_VALUE"""),480.0)</f>
        <v>480</v>
      </c>
      <c r="AQ312" s="280">
        <f>IFERROR(__xludf.DUMMYFUNCTION("""COMPUTED_VALUE"""),495.0)</f>
        <v>495</v>
      </c>
      <c r="AR312" s="280">
        <f>IFERROR(__xludf.DUMMYFUNCTION("""COMPUTED_VALUE"""),520.0)</f>
        <v>520</v>
      </c>
      <c r="AS312" s="280">
        <f>IFERROR(__xludf.DUMMYFUNCTION("""COMPUTED_VALUE"""),530.0)</f>
        <v>530</v>
      </c>
      <c r="AT312" s="385" t="str">
        <f>IFERROR(__xludf.DUMMYFUNCTION("""COMPUTED_VALUE"""),"超持続型")</f>
        <v>超持続型</v>
      </c>
      <c r="AU312" s="386">
        <f>IFERROR(__xludf.DUMMYFUNCTION("""COMPUTED_VALUE"""),2.0)</f>
        <v>2</v>
      </c>
      <c r="AV312" s="387" t="str">
        <f>IFERROR(__xludf.DUMMYFUNCTION("""COMPUTED_VALUE"""),"効果時間")</f>
        <v>効果時間</v>
      </c>
      <c r="AW312" s="368" t="str">
        <f>IFERROR(__xludf.DUMMYFUNCTION("""COMPUTED_VALUE"""),"-")</f>
        <v>-</v>
      </c>
      <c r="AX312" s="368" t="str">
        <f>IFERROR(__xludf.DUMMYFUNCTION("""COMPUTED_VALUE"""),"-")</f>
        <v>-</v>
      </c>
      <c r="AY312" s="368" t="str">
        <f>IFERROR(__xludf.DUMMYFUNCTION("""COMPUTED_VALUE"""),"-")</f>
        <v>-</v>
      </c>
      <c r="AZ312" s="368" t="str">
        <f>IFERROR(__xludf.DUMMYFUNCTION("""COMPUTED_VALUE"""),"-")</f>
        <v>-</v>
      </c>
      <c r="BA312" s="368" t="str">
        <f>IFERROR(__xludf.DUMMYFUNCTION("""COMPUTED_VALUE"""),"-")</f>
        <v>-</v>
      </c>
      <c r="BB312" s="280">
        <f>IFERROR(__xludf.DUMMYFUNCTION("""COMPUTED_VALUE"""),625.0)</f>
        <v>625</v>
      </c>
      <c r="BC312" s="280">
        <f>IFERROR(__xludf.DUMMYFUNCTION("""COMPUTED_VALUE"""),670.0)</f>
        <v>670</v>
      </c>
      <c r="BD312" s="280">
        <f>IFERROR(__xludf.DUMMYFUNCTION("""COMPUTED_VALUE"""),680.0)</f>
        <v>680</v>
      </c>
      <c r="BE312" s="385" t="str">
        <f>IFERROR(__xludf.DUMMYFUNCTION("""COMPUTED_VALUE"""),"ハイブリッド型")</f>
        <v>ハイブリッド型</v>
      </c>
      <c r="BF312" s="386">
        <f>IFERROR(__xludf.DUMMYFUNCTION("""COMPUTED_VALUE"""),2.0)</f>
        <v>2</v>
      </c>
      <c r="BG312" s="387" t="str">
        <f>IFERROR(__xludf.DUMMYFUNCTION("""COMPUTED_VALUE"""),"効果時間")</f>
        <v>効果時間</v>
      </c>
      <c r="BH312" s="407">
        <f>IFERROR(__xludf.DUMMYFUNCTION("""COMPUTED_VALUE"""),195.0)</f>
        <v>195</v>
      </c>
      <c r="BI312" s="407">
        <f>IFERROR(__xludf.DUMMYFUNCTION("""COMPUTED_VALUE"""),205.0)</f>
        <v>205</v>
      </c>
      <c r="BJ312" s="407">
        <f>IFERROR(__xludf.DUMMYFUNCTION("""COMPUTED_VALUE"""),205.0)</f>
        <v>205</v>
      </c>
      <c r="BK312" s="408">
        <f>IFERROR(__xludf.DUMMYFUNCTION("""COMPUTED_VALUE"""),210.0)</f>
        <v>210</v>
      </c>
      <c r="BL312" s="407">
        <f>IFERROR(__xludf.DUMMYFUNCTION("""COMPUTED_VALUE"""),215.0)</f>
        <v>215</v>
      </c>
      <c r="BM312" s="408">
        <f>IFERROR(__xludf.DUMMYFUNCTION("""COMPUTED_VALUE"""),375.0)</f>
        <v>375</v>
      </c>
      <c r="BN312" s="407">
        <f>IFERROR(__xludf.DUMMYFUNCTION("""COMPUTED_VALUE"""),480.0)</f>
        <v>480</v>
      </c>
      <c r="BO312" s="408">
        <f>IFERROR(__xludf.DUMMYFUNCTION("""COMPUTED_VALUE"""),490.0)</f>
        <v>490</v>
      </c>
    </row>
    <row r="313">
      <c r="A313" s="307" t="str">
        <f>IFERROR(__xludf.DUMMYFUNCTION("""COMPUTED_VALUE"""),"攻撃力Down")</f>
        <v>攻撃力Down</v>
      </c>
      <c r="B313" s="385" t="str">
        <f>IFERROR(__xludf.DUMMYFUNCTION("""COMPUTED_VALUE"""),"超瞬間型")</f>
        <v>超瞬間型</v>
      </c>
      <c r="C313" s="399">
        <f>IFERROR(__xludf.DUMMYFUNCTION("""COMPUTED_VALUE"""),3.0)</f>
        <v>3</v>
      </c>
      <c r="D313" s="400" t="str">
        <f>IFERROR(__xludf.DUMMYFUNCTION("""COMPUTED_VALUE"""),"効果値")</f>
        <v>効果値</v>
      </c>
      <c r="E313" s="401" t="str">
        <f>IFERROR(__xludf.DUMMYFUNCTION("""COMPUTED_VALUE"""),"-")</f>
        <v>-</v>
      </c>
      <c r="F313" s="409" t="str">
        <f>IFERROR(__xludf.DUMMYFUNCTION("""COMPUTED_VALUE"""),"-")</f>
        <v>-</v>
      </c>
      <c r="G313" s="401" t="str">
        <f>IFERROR(__xludf.DUMMYFUNCTION("""COMPUTED_VALUE"""),"-")</f>
        <v>-</v>
      </c>
      <c r="H313" s="409" t="str">
        <f>IFERROR(__xludf.DUMMYFUNCTION("""COMPUTED_VALUE"""),"-")</f>
        <v>-</v>
      </c>
      <c r="I313" s="409" t="str">
        <f>IFERROR(__xludf.DUMMYFUNCTION("""COMPUTED_VALUE"""),"-")</f>
        <v>-</v>
      </c>
      <c r="J313" s="410">
        <f>IFERROR(__xludf.DUMMYFUNCTION("""COMPUTED_VALUE"""),58.0)</f>
        <v>58</v>
      </c>
      <c r="K313" s="410">
        <f>IFERROR(__xludf.DUMMYFUNCTION("""COMPUTED_VALUE"""),68.0)</f>
        <v>68</v>
      </c>
      <c r="L313" s="410">
        <f>IFERROR(__xludf.DUMMYFUNCTION("""COMPUTED_VALUE"""),72.0)</f>
        <v>72</v>
      </c>
      <c r="M313" s="385" t="str">
        <f>IFERROR(__xludf.DUMMYFUNCTION("""COMPUTED_VALUE"""),"瞬間型")</f>
        <v>瞬間型</v>
      </c>
      <c r="N313" s="399">
        <f>IFERROR(__xludf.DUMMYFUNCTION("""COMPUTED_VALUE"""),3.0)</f>
        <v>3</v>
      </c>
      <c r="O313" s="400" t="str">
        <f>IFERROR(__xludf.DUMMYFUNCTION("""COMPUTED_VALUE"""),"効果値")</f>
        <v>効果値</v>
      </c>
      <c r="P313" s="343">
        <f>IFERROR(__xludf.DUMMYFUNCTION("""COMPUTED_VALUE"""),22.0)</f>
        <v>22</v>
      </c>
      <c r="Q313" s="402">
        <f>IFERROR(__xludf.DUMMYFUNCTION("""COMPUTED_VALUE"""),22.0)</f>
        <v>22</v>
      </c>
      <c r="R313" s="402">
        <f>IFERROR(__xludf.DUMMYFUNCTION("""COMPUTED_VALUE"""),23.0)</f>
        <v>23</v>
      </c>
      <c r="S313" s="402">
        <f>IFERROR(__xludf.DUMMYFUNCTION("""COMPUTED_VALUE"""),23.0)</f>
        <v>23</v>
      </c>
      <c r="T313" s="402">
        <f>IFERROR(__xludf.DUMMYFUNCTION("""COMPUTED_VALUE"""),23.0)</f>
        <v>23</v>
      </c>
      <c r="U313" s="402">
        <f>IFERROR(__xludf.DUMMYFUNCTION("""COMPUTED_VALUE"""),28.0)</f>
        <v>28</v>
      </c>
      <c r="V313" s="402">
        <f>IFERROR(__xludf.DUMMYFUNCTION("""COMPUTED_VALUE"""),33.0)</f>
        <v>33</v>
      </c>
      <c r="W313" s="402">
        <f>IFERROR(__xludf.DUMMYFUNCTION("""COMPUTED_VALUE"""),37.0)</f>
        <v>37</v>
      </c>
      <c r="X313" s="385" t="str">
        <f>IFERROR(__xludf.DUMMYFUNCTION("""COMPUTED_VALUE"""),"安定型")</f>
        <v>安定型</v>
      </c>
      <c r="Y313" s="399">
        <f>IFERROR(__xludf.DUMMYFUNCTION("""COMPUTED_VALUE"""),3.0)</f>
        <v>3</v>
      </c>
      <c r="Z313" s="400" t="str">
        <f>IFERROR(__xludf.DUMMYFUNCTION("""COMPUTED_VALUE"""),"効果値")</f>
        <v>効果値</v>
      </c>
      <c r="AA313" s="343">
        <f>IFERROR(__xludf.DUMMYFUNCTION("""COMPUTED_VALUE"""),12.0)</f>
        <v>12</v>
      </c>
      <c r="AB313" s="402">
        <f>IFERROR(__xludf.DUMMYFUNCTION("""COMPUTED_VALUE"""),12.0)</f>
        <v>12</v>
      </c>
      <c r="AC313" s="402">
        <f>IFERROR(__xludf.DUMMYFUNCTION("""COMPUTED_VALUE"""),13.0)</f>
        <v>13</v>
      </c>
      <c r="AD313" s="402">
        <f>IFERROR(__xludf.DUMMYFUNCTION("""COMPUTED_VALUE"""),13.0)</f>
        <v>13</v>
      </c>
      <c r="AE313" s="402">
        <f>IFERROR(__xludf.DUMMYFUNCTION("""COMPUTED_VALUE"""),13.0)</f>
        <v>13</v>
      </c>
      <c r="AF313" s="402">
        <f>IFERROR(__xludf.DUMMYFUNCTION("""COMPUTED_VALUE"""),13.0)</f>
        <v>13</v>
      </c>
      <c r="AG313" s="402">
        <f>IFERROR(__xludf.DUMMYFUNCTION("""COMPUTED_VALUE"""),18.0)</f>
        <v>18</v>
      </c>
      <c r="AH313" s="402">
        <f>IFERROR(__xludf.DUMMYFUNCTION("""COMPUTED_VALUE"""),22.0)</f>
        <v>22</v>
      </c>
      <c r="AI313" s="385" t="str">
        <f>IFERROR(__xludf.DUMMYFUNCTION("""COMPUTED_VALUE"""),"持続型")</f>
        <v>持続型</v>
      </c>
      <c r="AJ313" s="399">
        <f>IFERROR(__xludf.DUMMYFUNCTION("""COMPUTED_VALUE"""),3.0)</f>
        <v>3</v>
      </c>
      <c r="AK313" s="400" t="str">
        <f>IFERROR(__xludf.DUMMYFUNCTION("""COMPUTED_VALUE"""),"効果値")</f>
        <v>効果値</v>
      </c>
      <c r="AL313" s="343">
        <f>IFERROR(__xludf.DUMMYFUNCTION("""COMPUTED_VALUE"""),7.0)</f>
        <v>7</v>
      </c>
      <c r="AM313" s="402">
        <f>IFERROR(__xludf.DUMMYFUNCTION("""COMPUTED_VALUE"""),7.0)</f>
        <v>7</v>
      </c>
      <c r="AN313" s="402">
        <f>IFERROR(__xludf.DUMMYFUNCTION("""COMPUTED_VALUE"""),8.0)</f>
        <v>8</v>
      </c>
      <c r="AO313" s="402">
        <f>IFERROR(__xludf.DUMMYFUNCTION("""COMPUTED_VALUE"""),8.0)</f>
        <v>8</v>
      </c>
      <c r="AP313" s="402">
        <f>IFERROR(__xludf.DUMMYFUNCTION("""COMPUTED_VALUE"""),8.0)</f>
        <v>8</v>
      </c>
      <c r="AQ313" s="402">
        <f>IFERROR(__xludf.DUMMYFUNCTION("""COMPUTED_VALUE"""),8.0)</f>
        <v>8</v>
      </c>
      <c r="AR313" s="402">
        <f>IFERROR(__xludf.DUMMYFUNCTION("""COMPUTED_VALUE"""),11.0)</f>
        <v>11</v>
      </c>
      <c r="AS313" s="402">
        <f>IFERROR(__xludf.DUMMYFUNCTION("""COMPUTED_VALUE"""),11.0)</f>
        <v>11</v>
      </c>
      <c r="AT313" s="385" t="str">
        <f>IFERROR(__xludf.DUMMYFUNCTION("""COMPUTED_VALUE"""),"超持続型")</f>
        <v>超持続型</v>
      </c>
      <c r="AU313" s="399">
        <f>IFERROR(__xludf.DUMMYFUNCTION("""COMPUTED_VALUE"""),3.0)</f>
        <v>3</v>
      </c>
      <c r="AV313" s="400" t="str">
        <f>IFERROR(__xludf.DUMMYFUNCTION("""COMPUTED_VALUE"""),"効果値")</f>
        <v>効果値</v>
      </c>
      <c r="AW313" s="403" t="str">
        <f>IFERROR(__xludf.DUMMYFUNCTION("""COMPUTED_VALUE"""),"-")</f>
        <v>-</v>
      </c>
      <c r="AX313" s="403" t="str">
        <f>IFERROR(__xludf.DUMMYFUNCTION("""COMPUTED_VALUE"""),"-")</f>
        <v>-</v>
      </c>
      <c r="AY313" s="403" t="str">
        <f>IFERROR(__xludf.DUMMYFUNCTION("""COMPUTED_VALUE"""),"-")</f>
        <v>-</v>
      </c>
      <c r="AZ313" s="403" t="str">
        <f>IFERROR(__xludf.DUMMYFUNCTION("""COMPUTED_VALUE"""),"-")</f>
        <v>-</v>
      </c>
      <c r="BA313" s="403" t="str">
        <f>IFERROR(__xludf.DUMMYFUNCTION("""COMPUTED_VALUE"""),"-")</f>
        <v>-</v>
      </c>
      <c r="BB313" s="343">
        <f>IFERROR(__xludf.DUMMYFUNCTION("""COMPUTED_VALUE"""),8.0)</f>
        <v>8</v>
      </c>
      <c r="BC313" s="343">
        <f>IFERROR(__xludf.DUMMYFUNCTION("""COMPUTED_VALUE"""),11.0)</f>
        <v>11</v>
      </c>
      <c r="BD313" s="343">
        <f>IFERROR(__xludf.DUMMYFUNCTION("""COMPUTED_VALUE"""),11.0)</f>
        <v>11</v>
      </c>
      <c r="BE313" s="385" t="str">
        <f>IFERROR(__xludf.DUMMYFUNCTION("""COMPUTED_VALUE"""),"ハイブリッド型")</f>
        <v>ハイブリッド型</v>
      </c>
      <c r="BF313" s="399">
        <f>IFERROR(__xludf.DUMMYFUNCTION("""COMPUTED_VALUE"""),3.0)</f>
        <v>3</v>
      </c>
      <c r="BG313" s="400" t="str">
        <f>IFERROR(__xludf.DUMMYFUNCTION("""COMPUTED_VALUE"""),"効果値")</f>
        <v>効果値</v>
      </c>
      <c r="BH313" s="411">
        <f>IFERROR(__xludf.DUMMYFUNCTION("""COMPUTED_VALUE"""),11.4)</f>
        <v>11.4</v>
      </c>
      <c r="BI313" s="412">
        <f>IFERROR(__xludf.DUMMYFUNCTION("""COMPUTED_VALUE"""),11.9)</f>
        <v>11.9</v>
      </c>
      <c r="BJ313" s="412">
        <f>IFERROR(__xludf.DUMMYFUNCTION("""COMPUTED_VALUE"""),12.5)</f>
        <v>12.5</v>
      </c>
      <c r="BK313" s="412">
        <f>IFERROR(__xludf.DUMMYFUNCTION("""COMPUTED_VALUE"""),13.0)</f>
        <v>13</v>
      </c>
      <c r="BL313" s="412">
        <f>IFERROR(__xludf.DUMMYFUNCTION("""COMPUTED_VALUE"""),13.5)</f>
        <v>13.5</v>
      </c>
      <c r="BM313" s="412">
        <f>IFERROR(__xludf.DUMMYFUNCTION("""COMPUTED_VALUE"""),18.5)</f>
        <v>18.5</v>
      </c>
      <c r="BN313" s="412">
        <f>IFERROR(__xludf.DUMMYFUNCTION("""COMPUTED_VALUE"""),23.0)</f>
        <v>23</v>
      </c>
      <c r="BO313" s="413">
        <f>IFERROR(__xludf.DUMMYFUNCTION("""COMPUTED_VALUE"""),27.0)</f>
        <v>27</v>
      </c>
    </row>
    <row r="314">
      <c r="A314" s="320" t="str">
        <f>IFERROR(__xludf.DUMMYFUNCTION("""COMPUTED_VALUE"""),"攻撃力Down")</f>
        <v>攻撃力Down</v>
      </c>
      <c r="B314" s="385" t="str">
        <f>IFERROR(__xludf.DUMMYFUNCTION("""COMPUTED_VALUE"""),"超瞬間型")</f>
        <v>超瞬間型</v>
      </c>
      <c r="C314" s="386">
        <f>IFERROR(__xludf.DUMMYFUNCTION("""COMPUTED_VALUE"""),3.0)</f>
        <v>3</v>
      </c>
      <c r="D314" s="387" t="str">
        <f>IFERROR(__xludf.DUMMYFUNCTION("""COMPUTED_VALUE"""),"効果時間")</f>
        <v>効果時間</v>
      </c>
      <c r="E314" s="388" t="str">
        <f>IFERROR(__xludf.DUMMYFUNCTION("""COMPUTED_VALUE"""),"-")</f>
        <v>-</v>
      </c>
      <c r="F314" s="389" t="str">
        <f>IFERROR(__xludf.DUMMYFUNCTION("""COMPUTED_VALUE"""),"-")</f>
        <v>-</v>
      </c>
      <c r="G314" s="388" t="str">
        <f>IFERROR(__xludf.DUMMYFUNCTION("""COMPUTED_VALUE"""),"-")</f>
        <v>-</v>
      </c>
      <c r="H314" s="389" t="str">
        <f>IFERROR(__xludf.DUMMYFUNCTION("""COMPUTED_VALUE"""),"-")</f>
        <v>-</v>
      </c>
      <c r="I314" s="388" t="str">
        <f>IFERROR(__xludf.DUMMYFUNCTION("""COMPUTED_VALUE"""),"-")</f>
        <v>-</v>
      </c>
      <c r="J314" s="390">
        <f>IFERROR(__xludf.DUMMYFUNCTION("""COMPUTED_VALUE"""),155.0)</f>
        <v>155</v>
      </c>
      <c r="K314" s="391">
        <f>IFERROR(__xludf.DUMMYFUNCTION("""COMPUTED_VALUE"""),165.0)</f>
        <v>165</v>
      </c>
      <c r="L314" s="340">
        <f>IFERROR(__xludf.DUMMYFUNCTION("""COMPUTED_VALUE"""),185.0)</f>
        <v>185</v>
      </c>
      <c r="M314" s="385" t="str">
        <f>IFERROR(__xludf.DUMMYFUNCTION("""COMPUTED_VALUE"""),"瞬間型")</f>
        <v>瞬間型</v>
      </c>
      <c r="N314" s="386">
        <f>IFERROR(__xludf.DUMMYFUNCTION("""COMPUTED_VALUE"""),3.0)</f>
        <v>3</v>
      </c>
      <c r="O314" s="387" t="str">
        <f>IFERROR(__xludf.DUMMYFUNCTION("""COMPUTED_VALUE"""),"効果時間")</f>
        <v>効果時間</v>
      </c>
      <c r="P314" s="392">
        <f>IFERROR(__xludf.DUMMYFUNCTION("""COMPUTED_VALUE"""),165.0)</f>
        <v>165</v>
      </c>
      <c r="Q314" s="414">
        <f>IFERROR(__xludf.DUMMYFUNCTION("""COMPUTED_VALUE"""),175.0)</f>
        <v>175</v>
      </c>
      <c r="R314" s="415">
        <f>IFERROR(__xludf.DUMMYFUNCTION("""COMPUTED_VALUE"""),180.0)</f>
        <v>180</v>
      </c>
      <c r="S314" s="393">
        <f>IFERROR(__xludf.DUMMYFUNCTION("""COMPUTED_VALUE"""),185.0)</f>
        <v>185</v>
      </c>
      <c r="T314" s="393">
        <f>IFERROR(__xludf.DUMMYFUNCTION("""COMPUTED_VALUE"""),195.0)</f>
        <v>195</v>
      </c>
      <c r="U314" s="414">
        <f>IFERROR(__xludf.DUMMYFUNCTION("""COMPUTED_VALUE"""),200.0)</f>
        <v>200</v>
      </c>
      <c r="V314" s="416">
        <f>IFERROR(__xludf.DUMMYFUNCTION("""COMPUTED_VALUE"""),255.0)</f>
        <v>255</v>
      </c>
      <c r="W314" s="415">
        <f>IFERROR(__xludf.DUMMYFUNCTION("""COMPUTED_VALUE"""),270.0)</f>
        <v>270</v>
      </c>
      <c r="X314" s="385" t="str">
        <f>IFERROR(__xludf.DUMMYFUNCTION("""COMPUTED_VALUE"""),"安定型")</f>
        <v>安定型</v>
      </c>
      <c r="Y314" s="386">
        <f>IFERROR(__xludf.DUMMYFUNCTION("""COMPUTED_VALUE"""),3.0)</f>
        <v>3</v>
      </c>
      <c r="Z314" s="387" t="str">
        <f>IFERROR(__xludf.DUMMYFUNCTION("""COMPUTED_VALUE"""),"効果時間")</f>
        <v>効果時間</v>
      </c>
      <c r="AA314" s="392">
        <f>IFERROR(__xludf.DUMMYFUNCTION("""COMPUTED_VALUE"""),315.0)</f>
        <v>315</v>
      </c>
      <c r="AB314" s="414">
        <f>IFERROR(__xludf.DUMMYFUNCTION("""COMPUTED_VALUE"""),325.0)</f>
        <v>325</v>
      </c>
      <c r="AC314" s="415">
        <f>IFERROR(__xludf.DUMMYFUNCTION("""COMPUTED_VALUE"""),330.0)</f>
        <v>330</v>
      </c>
      <c r="AD314" s="393">
        <f>IFERROR(__xludf.DUMMYFUNCTION("""COMPUTED_VALUE"""),335.0)</f>
        <v>335</v>
      </c>
      <c r="AE314" s="393">
        <f>IFERROR(__xludf.DUMMYFUNCTION("""COMPUTED_VALUE"""),345.0)</f>
        <v>345</v>
      </c>
      <c r="AF314" s="414">
        <f>IFERROR(__xludf.DUMMYFUNCTION("""COMPUTED_VALUE"""),370.0)</f>
        <v>370</v>
      </c>
      <c r="AG314" s="416">
        <f>IFERROR(__xludf.DUMMYFUNCTION("""COMPUTED_VALUE"""),405.0)</f>
        <v>405</v>
      </c>
      <c r="AH314" s="415">
        <f>IFERROR(__xludf.DUMMYFUNCTION("""COMPUTED_VALUE"""),420.0)</f>
        <v>420</v>
      </c>
      <c r="AI314" s="385" t="str">
        <f>IFERROR(__xludf.DUMMYFUNCTION("""COMPUTED_VALUE"""),"持続型")</f>
        <v>持続型</v>
      </c>
      <c r="AJ314" s="386">
        <f>IFERROR(__xludf.DUMMYFUNCTION("""COMPUTED_VALUE"""),3.0)</f>
        <v>3</v>
      </c>
      <c r="AK314" s="387" t="str">
        <f>IFERROR(__xludf.DUMMYFUNCTION("""COMPUTED_VALUE"""),"効果時間")</f>
        <v>効果時間</v>
      </c>
      <c r="AL314" s="392">
        <f>IFERROR(__xludf.DUMMYFUNCTION("""COMPUTED_VALUE"""),465.0)</f>
        <v>465</v>
      </c>
      <c r="AM314" s="414">
        <f>IFERROR(__xludf.DUMMYFUNCTION("""COMPUTED_VALUE"""),475.0)</f>
        <v>475</v>
      </c>
      <c r="AN314" s="415">
        <f>IFERROR(__xludf.DUMMYFUNCTION("""COMPUTED_VALUE"""),480.0)</f>
        <v>480</v>
      </c>
      <c r="AO314" s="393">
        <f>IFERROR(__xludf.DUMMYFUNCTION("""COMPUTED_VALUE"""),485.0)</f>
        <v>485</v>
      </c>
      <c r="AP314" s="393">
        <f>IFERROR(__xludf.DUMMYFUNCTION("""COMPUTED_VALUE"""),495.0)</f>
        <v>495</v>
      </c>
      <c r="AQ314" s="414">
        <f>IFERROR(__xludf.DUMMYFUNCTION("""COMPUTED_VALUE"""),520.0)</f>
        <v>520</v>
      </c>
      <c r="AR314" s="416">
        <f>IFERROR(__xludf.DUMMYFUNCTION("""COMPUTED_VALUE"""),555.0)</f>
        <v>555</v>
      </c>
      <c r="AS314" s="415">
        <f>IFERROR(__xludf.DUMMYFUNCTION("""COMPUTED_VALUE"""),570.0)</f>
        <v>570</v>
      </c>
      <c r="AT314" s="385" t="str">
        <f>IFERROR(__xludf.DUMMYFUNCTION("""COMPUTED_VALUE"""),"超持続型")</f>
        <v>超持続型</v>
      </c>
      <c r="AU314" s="386">
        <f>IFERROR(__xludf.DUMMYFUNCTION("""COMPUTED_VALUE"""),3.0)</f>
        <v>3</v>
      </c>
      <c r="AV314" s="387" t="str">
        <f>IFERROR(__xludf.DUMMYFUNCTION("""COMPUTED_VALUE"""),"効果時間")</f>
        <v>効果時間</v>
      </c>
      <c r="AW314" s="368" t="str">
        <f>IFERROR(__xludf.DUMMYFUNCTION("""COMPUTED_VALUE"""),"-")</f>
        <v>-</v>
      </c>
      <c r="AX314" s="368" t="str">
        <f>IFERROR(__xludf.DUMMYFUNCTION("""COMPUTED_VALUE"""),"-")</f>
        <v>-</v>
      </c>
      <c r="AY314" s="368" t="str">
        <f>IFERROR(__xludf.DUMMYFUNCTION("""COMPUTED_VALUE"""),"-")</f>
        <v>-</v>
      </c>
      <c r="AZ314" s="368" t="str">
        <f>IFERROR(__xludf.DUMMYFUNCTION("""COMPUTED_VALUE"""),"-")</f>
        <v>-</v>
      </c>
      <c r="BA314" s="368" t="str">
        <f>IFERROR(__xludf.DUMMYFUNCTION("""COMPUTED_VALUE"""),"-")</f>
        <v>-</v>
      </c>
      <c r="BB314" s="280">
        <f>IFERROR(__xludf.DUMMYFUNCTION("""COMPUTED_VALUE"""),635.0)</f>
        <v>635</v>
      </c>
      <c r="BC314" s="280">
        <f>IFERROR(__xludf.DUMMYFUNCTION("""COMPUTED_VALUE"""),705.0)</f>
        <v>705</v>
      </c>
      <c r="BD314" s="280">
        <f>IFERROR(__xludf.DUMMYFUNCTION("""COMPUTED_VALUE"""),720.0)</f>
        <v>720</v>
      </c>
      <c r="BE314" s="385" t="str">
        <f>IFERROR(__xludf.DUMMYFUNCTION("""COMPUTED_VALUE"""),"ハイブリッド型")</f>
        <v>ハイブリッド型</v>
      </c>
      <c r="BF314" s="386">
        <f>IFERROR(__xludf.DUMMYFUNCTION("""COMPUTED_VALUE"""),3.0)</f>
        <v>3</v>
      </c>
      <c r="BG314" s="387" t="str">
        <f>IFERROR(__xludf.DUMMYFUNCTION("""COMPUTED_VALUE"""),"効果時間")</f>
        <v>効果時間</v>
      </c>
      <c r="BH314" s="407">
        <f>IFERROR(__xludf.DUMMYFUNCTION("""COMPUTED_VALUE"""),220.0)</f>
        <v>220</v>
      </c>
      <c r="BI314" s="407">
        <f>IFERROR(__xludf.DUMMYFUNCTION("""COMPUTED_VALUE"""),235.0)</f>
        <v>235</v>
      </c>
      <c r="BJ314" s="407">
        <f>IFERROR(__xludf.DUMMYFUNCTION("""COMPUTED_VALUE"""),240.0)</f>
        <v>240</v>
      </c>
      <c r="BK314" s="408">
        <f>IFERROR(__xludf.DUMMYFUNCTION("""COMPUTED_VALUE"""),250.0)</f>
        <v>250</v>
      </c>
      <c r="BL314" s="407">
        <f>IFERROR(__xludf.DUMMYFUNCTION("""COMPUTED_VALUE"""),255.0)</f>
        <v>255</v>
      </c>
      <c r="BM314" s="408">
        <f>IFERROR(__xludf.DUMMYFUNCTION("""COMPUTED_VALUE"""),385.0)</f>
        <v>385</v>
      </c>
      <c r="BN314" s="407">
        <f>IFERROR(__xludf.DUMMYFUNCTION("""COMPUTED_VALUE"""),490.0)</f>
        <v>490</v>
      </c>
      <c r="BO314" s="408">
        <f>IFERROR(__xludf.DUMMYFUNCTION("""COMPUTED_VALUE"""),505.0)</f>
        <v>505</v>
      </c>
    </row>
    <row r="315">
      <c r="A315" s="320" t="str">
        <f>IFERROR(__xludf.DUMMYFUNCTION("""COMPUTED_VALUE"""),"攻撃力Down")</f>
        <v>攻撃力Down</v>
      </c>
      <c r="B315" s="385" t="str">
        <f>IFERROR(__xludf.DUMMYFUNCTION("""COMPUTED_VALUE"""),"超瞬間型")</f>
        <v>超瞬間型</v>
      </c>
      <c r="C315" s="399">
        <f>IFERROR(__xludf.DUMMYFUNCTION("""COMPUTED_VALUE"""),4.0)</f>
        <v>4</v>
      </c>
      <c r="D315" s="400" t="str">
        <f>IFERROR(__xludf.DUMMYFUNCTION("""COMPUTED_VALUE"""),"効果値")</f>
        <v>効果値</v>
      </c>
      <c r="E315" s="401" t="str">
        <f>IFERROR(__xludf.DUMMYFUNCTION("""COMPUTED_VALUE"""),"-")</f>
        <v>-</v>
      </c>
      <c r="F315" s="409" t="str">
        <f>IFERROR(__xludf.DUMMYFUNCTION("""COMPUTED_VALUE"""),"-")</f>
        <v>-</v>
      </c>
      <c r="G315" s="409" t="str">
        <f>IFERROR(__xludf.DUMMYFUNCTION("""COMPUTED_VALUE"""),"-")</f>
        <v>-</v>
      </c>
      <c r="H315" s="409" t="str">
        <f>IFERROR(__xludf.DUMMYFUNCTION("""COMPUTED_VALUE"""),"-")</f>
        <v>-</v>
      </c>
      <c r="I315" s="409" t="str">
        <f>IFERROR(__xludf.DUMMYFUNCTION("""COMPUTED_VALUE"""),"-")</f>
        <v>-</v>
      </c>
      <c r="J315" s="410">
        <f>IFERROR(__xludf.DUMMYFUNCTION("""COMPUTED_VALUE"""),59.0)</f>
        <v>59</v>
      </c>
      <c r="K315" s="410">
        <f>IFERROR(__xludf.DUMMYFUNCTION("""COMPUTED_VALUE"""),69.0)</f>
        <v>69</v>
      </c>
      <c r="L315" s="410">
        <f>IFERROR(__xludf.DUMMYFUNCTION("""COMPUTED_VALUE"""),74.0)</f>
        <v>74</v>
      </c>
      <c r="M315" s="385" t="str">
        <f>IFERROR(__xludf.DUMMYFUNCTION("""COMPUTED_VALUE"""),"瞬間型")</f>
        <v>瞬間型</v>
      </c>
      <c r="N315" s="399">
        <f>IFERROR(__xludf.DUMMYFUNCTION("""COMPUTED_VALUE"""),4.0)</f>
        <v>4</v>
      </c>
      <c r="O315" s="400" t="str">
        <f>IFERROR(__xludf.DUMMYFUNCTION("""COMPUTED_VALUE"""),"効果値")</f>
        <v>効果値</v>
      </c>
      <c r="P315" s="343">
        <f>IFERROR(__xludf.DUMMYFUNCTION("""COMPUTED_VALUE"""),23.0)</f>
        <v>23</v>
      </c>
      <c r="Q315" s="402">
        <f>IFERROR(__xludf.DUMMYFUNCTION("""COMPUTED_VALUE"""),23.0)</f>
        <v>23</v>
      </c>
      <c r="R315" s="343">
        <f>IFERROR(__xludf.DUMMYFUNCTION("""COMPUTED_VALUE"""),23.0)</f>
        <v>23</v>
      </c>
      <c r="S315" s="402">
        <f>IFERROR(__xludf.DUMMYFUNCTION("""COMPUTED_VALUE"""),23.0)</f>
        <v>23</v>
      </c>
      <c r="T315" s="343">
        <f>IFERROR(__xludf.DUMMYFUNCTION("""COMPUTED_VALUE"""),23.0)</f>
        <v>23</v>
      </c>
      <c r="U315" s="343">
        <f>IFERROR(__xludf.DUMMYFUNCTION("""COMPUTED_VALUE"""),29.0)</f>
        <v>29</v>
      </c>
      <c r="V315" s="343">
        <f>IFERROR(__xludf.DUMMYFUNCTION("""COMPUTED_VALUE"""),34.0)</f>
        <v>34</v>
      </c>
      <c r="W315" s="343">
        <f>IFERROR(__xludf.DUMMYFUNCTION("""COMPUTED_VALUE"""),39.0)</f>
        <v>39</v>
      </c>
      <c r="X315" s="385" t="str">
        <f>IFERROR(__xludf.DUMMYFUNCTION("""COMPUTED_VALUE"""),"安定型")</f>
        <v>安定型</v>
      </c>
      <c r="Y315" s="399">
        <f>IFERROR(__xludf.DUMMYFUNCTION("""COMPUTED_VALUE"""),4.0)</f>
        <v>4</v>
      </c>
      <c r="Z315" s="400" t="str">
        <f>IFERROR(__xludf.DUMMYFUNCTION("""COMPUTED_VALUE"""),"効果値")</f>
        <v>効果値</v>
      </c>
      <c r="AA315" s="343">
        <f>IFERROR(__xludf.DUMMYFUNCTION("""COMPUTED_VALUE"""),13.0)</f>
        <v>13</v>
      </c>
      <c r="AB315" s="402">
        <f>IFERROR(__xludf.DUMMYFUNCTION("""COMPUTED_VALUE"""),13.0)</f>
        <v>13</v>
      </c>
      <c r="AC315" s="343">
        <f>IFERROR(__xludf.DUMMYFUNCTION("""COMPUTED_VALUE"""),13.0)</f>
        <v>13</v>
      </c>
      <c r="AD315" s="402">
        <f>IFERROR(__xludf.DUMMYFUNCTION("""COMPUTED_VALUE"""),13.0)</f>
        <v>13</v>
      </c>
      <c r="AE315" s="343">
        <f>IFERROR(__xludf.DUMMYFUNCTION("""COMPUTED_VALUE"""),13.0)</f>
        <v>13</v>
      </c>
      <c r="AF315" s="343">
        <f>IFERROR(__xludf.DUMMYFUNCTION("""COMPUTED_VALUE"""),14.0)</f>
        <v>14</v>
      </c>
      <c r="AG315" s="343">
        <f>IFERROR(__xludf.DUMMYFUNCTION("""COMPUTED_VALUE"""),19.0)</f>
        <v>19</v>
      </c>
      <c r="AH315" s="343">
        <f>IFERROR(__xludf.DUMMYFUNCTION("""COMPUTED_VALUE"""),24.0)</f>
        <v>24</v>
      </c>
      <c r="AI315" s="385" t="str">
        <f>IFERROR(__xludf.DUMMYFUNCTION("""COMPUTED_VALUE"""),"持続型")</f>
        <v>持続型</v>
      </c>
      <c r="AJ315" s="399">
        <f>IFERROR(__xludf.DUMMYFUNCTION("""COMPUTED_VALUE"""),4.0)</f>
        <v>4</v>
      </c>
      <c r="AK315" s="400" t="str">
        <f>IFERROR(__xludf.DUMMYFUNCTION("""COMPUTED_VALUE"""),"効果値")</f>
        <v>効果値</v>
      </c>
      <c r="AL315" s="343">
        <f>IFERROR(__xludf.DUMMYFUNCTION("""COMPUTED_VALUE"""),8.0)</f>
        <v>8</v>
      </c>
      <c r="AM315" s="402">
        <f>IFERROR(__xludf.DUMMYFUNCTION("""COMPUTED_VALUE"""),8.0)</f>
        <v>8</v>
      </c>
      <c r="AN315" s="343">
        <f>IFERROR(__xludf.DUMMYFUNCTION("""COMPUTED_VALUE"""),8.0)</f>
        <v>8</v>
      </c>
      <c r="AO315" s="402">
        <f>IFERROR(__xludf.DUMMYFUNCTION("""COMPUTED_VALUE"""),8.0)</f>
        <v>8</v>
      </c>
      <c r="AP315" s="343">
        <f>IFERROR(__xludf.DUMMYFUNCTION("""COMPUTED_VALUE"""),8.0)</f>
        <v>8</v>
      </c>
      <c r="AQ315" s="343">
        <f>IFERROR(__xludf.DUMMYFUNCTION("""COMPUTED_VALUE"""),9.0)</f>
        <v>9</v>
      </c>
      <c r="AR315" s="343">
        <f>IFERROR(__xludf.DUMMYFUNCTION("""COMPUTED_VALUE"""),12.0)</f>
        <v>12</v>
      </c>
      <c r="AS315" s="343">
        <f>IFERROR(__xludf.DUMMYFUNCTION("""COMPUTED_VALUE"""),12.0)</f>
        <v>12</v>
      </c>
      <c r="AT315" s="385" t="str">
        <f>IFERROR(__xludf.DUMMYFUNCTION("""COMPUTED_VALUE"""),"超持続型")</f>
        <v>超持続型</v>
      </c>
      <c r="AU315" s="399">
        <f>IFERROR(__xludf.DUMMYFUNCTION("""COMPUTED_VALUE"""),4.0)</f>
        <v>4</v>
      </c>
      <c r="AV315" s="400" t="str">
        <f>IFERROR(__xludf.DUMMYFUNCTION("""COMPUTED_VALUE"""),"効果値")</f>
        <v>効果値</v>
      </c>
      <c r="AW315" s="403" t="str">
        <f>IFERROR(__xludf.DUMMYFUNCTION("""COMPUTED_VALUE"""),"-")</f>
        <v>-</v>
      </c>
      <c r="AX315" s="403" t="str">
        <f>IFERROR(__xludf.DUMMYFUNCTION("""COMPUTED_VALUE"""),"-")</f>
        <v>-</v>
      </c>
      <c r="AY315" s="403" t="str">
        <f>IFERROR(__xludf.DUMMYFUNCTION("""COMPUTED_VALUE"""),"-")</f>
        <v>-</v>
      </c>
      <c r="AZ315" s="403" t="str">
        <f>IFERROR(__xludf.DUMMYFUNCTION("""COMPUTED_VALUE"""),"-")</f>
        <v>-</v>
      </c>
      <c r="BA315" s="403" t="str">
        <f>IFERROR(__xludf.DUMMYFUNCTION("""COMPUTED_VALUE"""),"-")</f>
        <v>-</v>
      </c>
      <c r="BB315" s="343">
        <f>IFERROR(__xludf.DUMMYFUNCTION("""COMPUTED_VALUE"""),9.0)</f>
        <v>9</v>
      </c>
      <c r="BC315" s="343">
        <f>IFERROR(__xludf.DUMMYFUNCTION("""COMPUTED_VALUE"""),12.0)</f>
        <v>12</v>
      </c>
      <c r="BD315" s="343">
        <f>IFERROR(__xludf.DUMMYFUNCTION("""COMPUTED_VALUE"""),12.0)</f>
        <v>12</v>
      </c>
      <c r="BE315" s="385" t="str">
        <f>IFERROR(__xludf.DUMMYFUNCTION("""COMPUTED_VALUE"""),"ハイブリッド型")</f>
        <v>ハイブリッド型</v>
      </c>
      <c r="BF315" s="399">
        <f>IFERROR(__xludf.DUMMYFUNCTION("""COMPUTED_VALUE"""),4.0)</f>
        <v>4</v>
      </c>
      <c r="BG315" s="400" t="str">
        <f>IFERROR(__xludf.DUMMYFUNCTION("""COMPUTED_VALUE"""),"効果値")</f>
        <v>効果値</v>
      </c>
      <c r="BH315" s="411">
        <f>IFERROR(__xludf.DUMMYFUNCTION("""COMPUTED_VALUE"""),11.8)</f>
        <v>11.8</v>
      </c>
      <c r="BI315" s="412">
        <f>IFERROR(__xludf.DUMMYFUNCTION("""COMPUTED_VALUE"""),12.4)</f>
        <v>12.4</v>
      </c>
      <c r="BJ315" s="412">
        <f>IFERROR(__xludf.DUMMYFUNCTION("""COMPUTED_VALUE"""),13.1)</f>
        <v>13.1</v>
      </c>
      <c r="BK315" s="412">
        <f>IFERROR(__xludf.DUMMYFUNCTION("""COMPUTED_VALUE"""),13.7)</f>
        <v>13.7</v>
      </c>
      <c r="BL315" s="412">
        <f>IFERROR(__xludf.DUMMYFUNCTION("""COMPUTED_VALUE"""),14.4)</f>
        <v>14.4</v>
      </c>
      <c r="BM315" s="412">
        <f>IFERROR(__xludf.DUMMYFUNCTION("""COMPUTED_VALUE"""),19.4)</f>
        <v>19.4</v>
      </c>
      <c r="BN315" s="412">
        <f>IFERROR(__xludf.DUMMYFUNCTION("""COMPUTED_VALUE"""),24.0)</f>
        <v>24</v>
      </c>
      <c r="BO315" s="413">
        <f>IFERROR(__xludf.DUMMYFUNCTION("""COMPUTED_VALUE"""),29.0)</f>
        <v>29</v>
      </c>
    </row>
    <row r="316">
      <c r="A316" s="307" t="str">
        <f>IFERROR(__xludf.DUMMYFUNCTION("""COMPUTED_VALUE"""),"攻撃力Down")</f>
        <v>攻撃力Down</v>
      </c>
      <c r="B316" s="385" t="str">
        <f>IFERROR(__xludf.DUMMYFUNCTION("""COMPUTED_VALUE"""),"超瞬間型")</f>
        <v>超瞬間型</v>
      </c>
      <c r="C316" s="386">
        <f>IFERROR(__xludf.DUMMYFUNCTION("""COMPUTED_VALUE"""),4.0)</f>
        <v>4</v>
      </c>
      <c r="D316" s="387" t="str">
        <f>IFERROR(__xludf.DUMMYFUNCTION("""COMPUTED_VALUE"""),"効果時間")</f>
        <v>効果時間</v>
      </c>
      <c r="E316" s="388" t="str">
        <f>IFERROR(__xludf.DUMMYFUNCTION("""COMPUTED_VALUE"""),"-")</f>
        <v>-</v>
      </c>
      <c r="F316" s="389" t="str">
        <f>IFERROR(__xludf.DUMMYFUNCTION("""COMPUTED_VALUE"""),"-")</f>
        <v>-</v>
      </c>
      <c r="G316" s="388" t="str">
        <f>IFERROR(__xludf.DUMMYFUNCTION("""COMPUTED_VALUE"""),"-")</f>
        <v>-</v>
      </c>
      <c r="H316" s="389" t="str">
        <f>IFERROR(__xludf.DUMMYFUNCTION("""COMPUTED_VALUE"""),"-")</f>
        <v>-</v>
      </c>
      <c r="I316" s="388" t="str">
        <f>IFERROR(__xludf.DUMMYFUNCTION("""COMPUTED_VALUE"""),"-")</f>
        <v>-</v>
      </c>
      <c r="J316" s="390">
        <f>IFERROR(__xludf.DUMMYFUNCTION("""COMPUTED_VALUE"""),155.0)</f>
        <v>155</v>
      </c>
      <c r="K316" s="391">
        <f>IFERROR(__xludf.DUMMYFUNCTION("""COMPUTED_VALUE"""),170.0)</f>
        <v>170</v>
      </c>
      <c r="L316" s="340">
        <f>IFERROR(__xludf.DUMMYFUNCTION("""COMPUTED_VALUE"""),195.0)</f>
        <v>195</v>
      </c>
      <c r="M316" s="385" t="str">
        <f>IFERROR(__xludf.DUMMYFUNCTION("""COMPUTED_VALUE"""),"瞬間型")</f>
        <v>瞬間型</v>
      </c>
      <c r="N316" s="386">
        <f>IFERROR(__xludf.DUMMYFUNCTION("""COMPUTED_VALUE"""),4.0)</f>
        <v>4</v>
      </c>
      <c r="O316" s="387" t="str">
        <f>IFERROR(__xludf.DUMMYFUNCTION("""COMPUTED_VALUE"""),"効果時間")</f>
        <v>効果時間</v>
      </c>
      <c r="P316" s="280">
        <f>IFERROR(__xludf.DUMMYFUNCTION("""COMPUTED_VALUE"""),170.0)</f>
        <v>170</v>
      </c>
      <c r="Q316" s="275">
        <f>IFERROR(__xludf.DUMMYFUNCTION("""COMPUTED_VALUE"""),180.0)</f>
        <v>180</v>
      </c>
      <c r="R316" s="280">
        <f>IFERROR(__xludf.DUMMYFUNCTION("""COMPUTED_VALUE"""),185.0)</f>
        <v>185</v>
      </c>
      <c r="S316" s="275">
        <f>IFERROR(__xludf.DUMMYFUNCTION("""COMPUTED_VALUE"""),195.0)</f>
        <v>195</v>
      </c>
      <c r="T316" s="280">
        <f>IFERROR(__xludf.DUMMYFUNCTION("""COMPUTED_VALUE"""),200.0)</f>
        <v>200</v>
      </c>
      <c r="U316" s="280">
        <f>IFERROR(__xludf.DUMMYFUNCTION("""COMPUTED_VALUE"""),215.0)</f>
        <v>215</v>
      </c>
      <c r="V316" s="280">
        <f>IFERROR(__xludf.DUMMYFUNCTION("""COMPUTED_VALUE"""),285.0)</f>
        <v>285</v>
      </c>
      <c r="W316" s="280">
        <f>IFERROR(__xludf.DUMMYFUNCTION("""COMPUTED_VALUE"""),305.0)</f>
        <v>305</v>
      </c>
      <c r="X316" s="385" t="str">
        <f>IFERROR(__xludf.DUMMYFUNCTION("""COMPUTED_VALUE"""),"安定型")</f>
        <v>安定型</v>
      </c>
      <c r="Y316" s="386">
        <f>IFERROR(__xludf.DUMMYFUNCTION("""COMPUTED_VALUE"""),4.0)</f>
        <v>4</v>
      </c>
      <c r="Z316" s="387" t="str">
        <f>IFERROR(__xludf.DUMMYFUNCTION("""COMPUTED_VALUE"""),"効果時間")</f>
        <v>効果時間</v>
      </c>
      <c r="AA316" s="280">
        <f>IFERROR(__xludf.DUMMYFUNCTION("""COMPUTED_VALUE"""),320.0)</f>
        <v>320</v>
      </c>
      <c r="AB316" s="275">
        <f>IFERROR(__xludf.DUMMYFUNCTION("""COMPUTED_VALUE"""),330.0)</f>
        <v>330</v>
      </c>
      <c r="AC316" s="280">
        <f>IFERROR(__xludf.DUMMYFUNCTION("""COMPUTED_VALUE"""),335.0)</f>
        <v>335</v>
      </c>
      <c r="AD316" s="275">
        <f>IFERROR(__xludf.DUMMYFUNCTION("""COMPUTED_VALUE"""),345.0)</f>
        <v>345</v>
      </c>
      <c r="AE316" s="280">
        <f>IFERROR(__xludf.DUMMYFUNCTION("""COMPUTED_VALUE"""),350.0)</f>
        <v>350</v>
      </c>
      <c r="AF316" s="280">
        <f>IFERROR(__xludf.DUMMYFUNCTION("""COMPUTED_VALUE"""),390.0)</f>
        <v>390</v>
      </c>
      <c r="AG316" s="280">
        <f>IFERROR(__xludf.DUMMYFUNCTION("""COMPUTED_VALUE"""),435.0)</f>
        <v>435</v>
      </c>
      <c r="AH316" s="280">
        <f>IFERROR(__xludf.DUMMYFUNCTION("""COMPUTED_VALUE"""),455.0)</f>
        <v>455</v>
      </c>
      <c r="AI316" s="385" t="str">
        <f>IFERROR(__xludf.DUMMYFUNCTION("""COMPUTED_VALUE"""),"持続型")</f>
        <v>持続型</v>
      </c>
      <c r="AJ316" s="386">
        <f>IFERROR(__xludf.DUMMYFUNCTION("""COMPUTED_VALUE"""),4.0)</f>
        <v>4</v>
      </c>
      <c r="AK316" s="387" t="str">
        <f>IFERROR(__xludf.DUMMYFUNCTION("""COMPUTED_VALUE"""),"効果時間")</f>
        <v>効果時間</v>
      </c>
      <c r="AL316" s="280">
        <f>IFERROR(__xludf.DUMMYFUNCTION("""COMPUTED_VALUE"""),470.0)</f>
        <v>470</v>
      </c>
      <c r="AM316" s="275">
        <f>IFERROR(__xludf.DUMMYFUNCTION("""COMPUTED_VALUE"""),480.0)</f>
        <v>480</v>
      </c>
      <c r="AN316" s="280">
        <f>IFERROR(__xludf.DUMMYFUNCTION("""COMPUTED_VALUE"""),485.0)</f>
        <v>485</v>
      </c>
      <c r="AO316" s="275">
        <f>IFERROR(__xludf.DUMMYFUNCTION("""COMPUTED_VALUE"""),495.0)</f>
        <v>495</v>
      </c>
      <c r="AP316" s="280">
        <f>IFERROR(__xludf.DUMMYFUNCTION("""COMPUTED_VALUE"""),500.0)</f>
        <v>500</v>
      </c>
      <c r="AQ316" s="280">
        <f>IFERROR(__xludf.DUMMYFUNCTION("""COMPUTED_VALUE"""),540.0)</f>
        <v>540</v>
      </c>
      <c r="AR316" s="280">
        <f>IFERROR(__xludf.DUMMYFUNCTION("""COMPUTED_VALUE"""),585.0)</f>
        <v>585</v>
      </c>
      <c r="AS316" s="280">
        <f>IFERROR(__xludf.DUMMYFUNCTION("""COMPUTED_VALUE"""),605.0)</f>
        <v>605</v>
      </c>
      <c r="AT316" s="385" t="str">
        <f>IFERROR(__xludf.DUMMYFUNCTION("""COMPUTED_VALUE"""),"超持続型")</f>
        <v>超持続型</v>
      </c>
      <c r="AU316" s="386">
        <f>IFERROR(__xludf.DUMMYFUNCTION("""COMPUTED_VALUE"""),4.0)</f>
        <v>4</v>
      </c>
      <c r="AV316" s="387" t="str">
        <f>IFERROR(__xludf.DUMMYFUNCTION("""COMPUTED_VALUE"""),"効果時間")</f>
        <v>効果時間</v>
      </c>
      <c r="AW316" s="368" t="str">
        <f>IFERROR(__xludf.DUMMYFUNCTION("""COMPUTED_VALUE"""),"-")</f>
        <v>-</v>
      </c>
      <c r="AX316" s="368" t="str">
        <f>IFERROR(__xludf.DUMMYFUNCTION("""COMPUTED_VALUE"""),"-")</f>
        <v>-</v>
      </c>
      <c r="AY316" s="368" t="str">
        <f>IFERROR(__xludf.DUMMYFUNCTION("""COMPUTED_VALUE"""),"-")</f>
        <v>-</v>
      </c>
      <c r="AZ316" s="368" t="str">
        <f>IFERROR(__xludf.DUMMYFUNCTION("""COMPUTED_VALUE"""),"-")</f>
        <v>-</v>
      </c>
      <c r="BA316" s="368" t="str">
        <f>IFERROR(__xludf.DUMMYFUNCTION("""COMPUTED_VALUE"""),"-")</f>
        <v>-</v>
      </c>
      <c r="BB316" s="280">
        <f>IFERROR(__xludf.DUMMYFUNCTION("""COMPUTED_VALUE"""),645.0)</f>
        <v>645</v>
      </c>
      <c r="BC316" s="280">
        <f>IFERROR(__xludf.DUMMYFUNCTION("""COMPUTED_VALUE"""),735.0)</f>
        <v>735</v>
      </c>
      <c r="BD316" s="280">
        <f>IFERROR(__xludf.DUMMYFUNCTION("""COMPUTED_VALUE"""),755.0)</f>
        <v>755</v>
      </c>
      <c r="BE316" s="385" t="str">
        <f>IFERROR(__xludf.DUMMYFUNCTION("""COMPUTED_VALUE"""),"ハイブリッド型")</f>
        <v>ハイブリッド型</v>
      </c>
      <c r="BF316" s="386">
        <f>IFERROR(__xludf.DUMMYFUNCTION("""COMPUTED_VALUE"""),4.0)</f>
        <v>4</v>
      </c>
      <c r="BG316" s="387" t="str">
        <f>IFERROR(__xludf.DUMMYFUNCTION("""COMPUTED_VALUE"""),"効果時間")</f>
        <v>効果時間</v>
      </c>
      <c r="BH316" s="417">
        <f>IFERROR(__xludf.DUMMYFUNCTION("""COMPUTED_VALUE"""),240.0)</f>
        <v>240</v>
      </c>
      <c r="BI316" s="417">
        <f>IFERROR(__xludf.DUMMYFUNCTION("""COMPUTED_VALUE"""),255.0)</f>
        <v>255</v>
      </c>
      <c r="BJ316" s="417">
        <f>IFERROR(__xludf.DUMMYFUNCTION("""COMPUTED_VALUE"""),265.0)</f>
        <v>265</v>
      </c>
      <c r="BK316" s="418">
        <f>IFERROR(__xludf.DUMMYFUNCTION("""COMPUTED_VALUE"""),275.0)</f>
        <v>275</v>
      </c>
      <c r="BL316" s="417">
        <f>IFERROR(__xludf.DUMMYFUNCTION("""COMPUTED_VALUE"""),285.0)</f>
        <v>285</v>
      </c>
      <c r="BM316" s="418">
        <f>IFERROR(__xludf.DUMMYFUNCTION("""COMPUTED_VALUE"""),395.0)</f>
        <v>395</v>
      </c>
      <c r="BN316" s="417">
        <f>IFERROR(__xludf.DUMMYFUNCTION("""COMPUTED_VALUE"""),500.0)</f>
        <v>500</v>
      </c>
      <c r="BO316" s="418">
        <f>IFERROR(__xludf.DUMMYFUNCTION("""COMPUTED_VALUE"""),520.0)</f>
        <v>520</v>
      </c>
    </row>
    <row r="317">
      <c r="A317" s="307" t="str">
        <f>IFERROR(__xludf.DUMMYFUNCTION("""COMPUTED_VALUE"""),"攻撃力Down")</f>
        <v>攻撃力Down</v>
      </c>
      <c r="B317" s="385" t="str">
        <f>IFERROR(__xludf.DUMMYFUNCTION("""COMPUTED_VALUE"""),"超瞬間型")</f>
        <v>超瞬間型</v>
      </c>
      <c r="C317" s="399">
        <f>IFERROR(__xludf.DUMMYFUNCTION("""COMPUTED_VALUE"""),5.0)</f>
        <v>5</v>
      </c>
      <c r="D317" s="400" t="str">
        <f>IFERROR(__xludf.DUMMYFUNCTION("""COMPUTED_VALUE"""),"効果値")</f>
        <v>効果値</v>
      </c>
      <c r="E317" s="419" t="str">
        <f>IFERROR(__xludf.DUMMYFUNCTION("""COMPUTED_VALUE"""),"-")</f>
        <v>-</v>
      </c>
      <c r="F317" s="409" t="str">
        <f>IFERROR(__xludf.DUMMYFUNCTION("""COMPUTED_VALUE"""),"-")</f>
        <v>-</v>
      </c>
      <c r="G317" s="409" t="str">
        <f>IFERROR(__xludf.DUMMYFUNCTION("""COMPUTED_VALUE"""),"-")</f>
        <v>-</v>
      </c>
      <c r="H317" s="409" t="str">
        <f>IFERROR(__xludf.DUMMYFUNCTION("""COMPUTED_VALUE"""),"-")</f>
        <v>-</v>
      </c>
      <c r="I317" s="409" t="str">
        <f>IFERROR(__xludf.DUMMYFUNCTION("""COMPUTED_VALUE"""),"-")</f>
        <v>-</v>
      </c>
      <c r="J317" s="420">
        <f>IFERROR(__xludf.DUMMYFUNCTION("""COMPUTED_VALUE"""),60.0)</f>
        <v>60</v>
      </c>
      <c r="K317" s="421">
        <f>IFERROR(__xludf.DUMMYFUNCTION("""COMPUTED_VALUE"""),70.0)</f>
        <v>70</v>
      </c>
      <c r="L317" s="421">
        <f>IFERROR(__xludf.DUMMYFUNCTION("""COMPUTED_VALUE"""),75.0)</f>
        <v>75</v>
      </c>
      <c r="M317" s="385" t="str">
        <f>IFERROR(__xludf.DUMMYFUNCTION("""COMPUTED_VALUE"""),"瞬間型")</f>
        <v>瞬間型</v>
      </c>
      <c r="N317" s="399">
        <f>IFERROR(__xludf.DUMMYFUNCTION("""COMPUTED_VALUE"""),5.0)</f>
        <v>5</v>
      </c>
      <c r="O317" s="400" t="str">
        <f>IFERROR(__xludf.DUMMYFUNCTION("""COMPUTED_VALUE"""),"効果値")</f>
        <v>効果値</v>
      </c>
      <c r="P317" s="422">
        <f>IFERROR(__xludf.DUMMYFUNCTION("""COMPUTED_VALUE"""),23.0)</f>
        <v>23</v>
      </c>
      <c r="Q317" s="423">
        <f>IFERROR(__xludf.DUMMYFUNCTION("""COMPUTED_VALUE"""),23.0)</f>
        <v>23</v>
      </c>
      <c r="R317" s="422">
        <f>IFERROR(__xludf.DUMMYFUNCTION("""COMPUTED_VALUE"""),24.0)</f>
        <v>24</v>
      </c>
      <c r="S317" s="423">
        <f>IFERROR(__xludf.DUMMYFUNCTION("""COMPUTED_VALUE"""),24.0)</f>
        <v>24</v>
      </c>
      <c r="T317" s="422">
        <f>IFERROR(__xludf.DUMMYFUNCTION("""COMPUTED_VALUE"""),24.0)</f>
        <v>24</v>
      </c>
      <c r="U317" s="423">
        <f>IFERROR(__xludf.DUMMYFUNCTION("""COMPUTED_VALUE"""),30.0)</f>
        <v>30</v>
      </c>
      <c r="V317" s="423">
        <f>IFERROR(__xludf.DUMMYFUNCTION("""COMPUTED_VALUE"""),35.0)</f>
        <v>35</v>
      </c>
      <c r="W317" s="424">
        <f>IFERROR(__xludf.DUMMYFUNCTION("""COMPUTED_VALUE"""),40.0)</f>
        <v>40</v>
      </c>
      <c r="X317" s="385" t="str">
        <f>IFERROR(__xludf.DUMMYFUNCTION("""COMPUTED_VALUE"""),"安定型")</f>
        <v>安定型</v>
      </c>
      <c r="Y317" s="399">
        <f>IFERROR(__xludf.DUMMYFUNCTION("""COMPUTED_VALUE"""),5.0)</f>
        <v>5</v>
      </c>
      <c r="Z317" s="400" t="str">
        <f>IFERROR(__xludf.DUMMYFUNCTION("""COMPUTED_VALUE"""),"効果値")</f>
        <v>効果値</v>
      </c>
      <c r="AA317" s="422">
        <f>IFERROR(__xludf.DUMMYFUNCTION("""COMPUTED_VALUE"""),13.0)</f>
        <v>13</v>
      </c>
      <c r="AB317" s="423">
        <f>IFERROR(__xludf.DUMMYFUNCTION("""COMPUTED_VALUE"""),13.0)</f>
        <v>13</v>
      </c>
      <c r="AC317" s="422">
        <f>IFERROR(__xludf.DUMMYFUNCTION("""COMPUTED_VALUE"""),14.0)</f>
        <v>14</v>
      </c>
      <c r="AD317" s="423">
        <f>IFERROR(__xludf.DUMMYFUNCTION("""COMPUTED_VALUE"""),14.0)</f>
        <v>14</v>
      </c>
      <c r="AE317" s="422">
        <f>IFERROR(__xludf.DUMMYFUNCTION("""COMPUTED_VALUE"""),14.0)</f>
        <v>14</v>
      </c>
      <c r="AF317" s="423">
        <f>IFERROR(__xludf.DUMMYFUNCTION("""COMPUTED_VALUE"""),15.0)</f>
        <v>15</v>
      </c>
      <c r="AG317" s="423">
        <f>IFERROR(__xludf.DUMMYFUNCTION("""COMPUTED_VALUE"""),20.0)</f>
        <v>20</v>
      </c>
      <c r="AH317" s="424">
        <f>IFERROR(__xludf.DUMMYFUNCTION("""COMPUTED_VALUE"""),25.0)</f>
        <v>25</v>
      </c>
      <c r="AI317" s="385" t="str">
        <f>IFERROR(__xludf.DUMMYFUNCTION("""COMPUTED_VALUE"""),"持続型")</f>
        <v>持続型</v>
      </c>
      <c r="AJ317" s="399">
        <f>IFERROR(__xludf.DUMMYFUNCTION("""COMPUTED_VALUE"""),5.0)</f>
        <v>5</v>
      </c>
      <c r="AK317" s="400" t="str">
        <f>IFERROR(__xludf.DUMMYFUNCTION("""COMPUTED_VALUE"""),"効果値")</f>
        <v>効果値</v>
      </c>
      <c r="AL317" s="422">
        <f>IFERROR(__xludf.DUMMYFUNCTION("""COMPUTED_VALUE"""),8.0)</f>
        <v>8</v>
      </c>
      <c r="AM317" s="423">
        <f>IFERROR(__xludf.DUMMYFUNCTION("""COMPUTED_VALUE"""),8.0)</f>
        <v>8</v>
      </c>
      <c r="AN317" s="422">
        <f>IFERROR(__xludf.DUMMYFUNCTION("""COMPUTED_VALUE"""),9.0)</f>
        <v>9</v>
      </c>
      <c r="AO317" s="423">
        <f>IFERROR(__xludf.DUMMYFUNCTION("""COMPUTED_VALUE"""),9.0)</f>
        <v>9</v>
      </c>
      <c r="AP317" s="422">
        <f>IFERROR(__xludf.DUMMYFUNCTION("""COMPUTED_VALUE"""),9.0)</f>
        <v>9</v>
      </c>
      <c r="AQ317" s="423">
        <f>IFERROR(__xludf.DUMMYFUNCTION("""COMPUTED_VALUE"""),10.0)</f>
        <v>10</v>
      </c>
      <c r="AR317" s="423">
        <f>IFERROR(__xludf.DUMMYFUNCTION("""COMPUTED_VALUE"""),12.0)</f>
        <v>12</v>
      </c>
      <c r="AS317" s="424">
        <f>IFERROR(__xludf.DUMMYFUNCTION("""COMPUTED_VALUE"""),12.0)</f>
        <v>12</v>
      </c>
      <c r="AT317" s="385" t="str">
        <f>IFERROR(__xludf.DUMMYFUNCTION("""COMPUTED_VALUE"""),"超持続型")</f>
        <v>超持続型</v>
      </c>
      <c r="AU317" s="399">
        <f>IFERROR(__xludf.DUMMYFUNCTION("""COMPUTED_VALUE"""),5.0)</f>
        <v>5</v>
      </c>
      <c r="AV317" s="400" t="str">
        <f>IFERROR(__xludf.DUMMYFUNCTION("""COMPUTED_VALUE"""),"効果値")</f>
        <v>効果値</v>
      </c>
      <c r="AW317" s="425" t="str">
        <f>IFERROR(__xludf.DUMMYFUNCTION("""COMPUTED_VALUE"""),"-")</f>
        <v>-</v>
      </c>
      <c r="AX317" s="426" t="str">
        <f>IFERROR(__xludf.DUMMYFUNCTION("""COMPUTED_VALUE"""),"-")</f>
        <v>-</v>
      </c>
      <c r="AY317" s="426" t="str">
        <f>IFERROR(__xludf.DUMMYFUNCTION("""COMPUTED_VALUE"""),"-")</f>
        <v>-</v>
      </c>
      <c r="AZ317" s="426" t="str">
        <f>IFERROR(__xludf.DUMMYFUNCTION("""COMPUTED_VALUE"""),"-")</f>
        <v>-</v>
      </c>
      <c r="BA317" s="426" t="str">
        <f>IFERROR(__xludf.DUMMYFUNCTION("""COMPUTED_VALUE"""),"-")</f>
        <v>-</v>
      </c>
      <c r="BB317" s="423">
        <f>IFERROR(__xludf.DUMMYFUNCTION("""COMPUTED_VALUE"""),10.0)</f>
        <v>10</v>
      </c>
      <c r="BC317" s="423">
        <f>IFERROR(__xludf.DUMMYFUNCTION("""COMPUTED_VALUE"""),12.0)</f>
        <v>12</v>
      </c>
      <c r="BD317" s="424">
        <f>IFERROR(__xludf.DUMMYFUNCTION("""COMPUTED_VALUE"""),12.0)</f>
        <v>12</v>
      </c>
      <c r="BE317" s="385" t="str">
        <f>IFERROR(__xludf.DUMMYFUNCTION("""COMPUTED_VALUE"""),"ハイブリッド型")</f>
        <v>ハイブリッド型</v>
      </c>
      <c r="BF317" s="399">
        <f>IFERROR(__xludf.DUMMYFUNCTION("""COMPUTED_VALUE"""),5.0)</f>
        <v>5</v>
      </c>
      <c r="BG317" s="400" t="str">
        <f>IFERROR(__xludf.DUMMYFUNCTION("""COMPUTED_VALUE"""),"効果値")</f>
        <v>効果値</v>
      </c>
      <c r="BH317" s="427">
        <f>IFERROR(__xludf.DUMMYFUNCTION("""COMPUTED_VALUE"""),12.0)</f>
        <v>12</v>
      </c>
      <c r="BI317" s="428">
        <f>IFERROR(__xludf.DUMMYFUNCTION("""COMPUTED_VALUE"""),12.75)</f>
        <v>12.75</v>
      </c>
      <c r="BJ317" s="428">
        <f>IFERROR(__xludf.DUMMYFUNCTION("""COMPUTED_VALUE"""),13.5)</f>
        <v>13.5</v>
      </c>
      <c r="BK317" s="428">
        <f>IFERROR(__xludf.DUMMYFUNCTION("""COMPUTED_VALUE"""),14.25)</f>
        <v>14.25</v>
      </c>
      <c r="BL317" s="427">
        <f>IFERROR(__xludf.DUMMYFUNCTION("""COMPUTED_VALUE"""),15.0)</f>
        <v>15</v>
      </c>
      <c r="BM317" s="427">
        <f>IFERROR(__xludf.DUMMYFUNCTION("""COMPUTED_VALUE"""),20.0)</f>
        <v>20</v>
      </c>
      <c r="BN317" s="427">
        <f>IFERROR(__xludf.DUMMYFUNCTION("""COMPUTED_VALUE"""),25.0)</f>
        <v>25</v>
      </c>
      <c r="BO317" s="429">
        <f>IFERROR(__xludf.DUMMYFUNCTION("""COMPUTED_VALUE"""),30.0)</f>
        <v>30</v>
      </c>
    </row>
    <row r="318">
      <c r="A318" s="307" t="str">
        <f>IFERROR(__xludf.DUMMYFUNCTION("""COMPUTED_VALUE"""),"攻撃力Down")</f>
        <v>攻撃力Down</v>
      </c>
      <c r="B318" s="385" t="str">
        <f>IFERROR(__xludf.DUMMYFUNCTION("""COMPUTED_VALUE"""),"超瞬間型")</f>
        <v>超瞬間型</v>
      </c>
      <c r="C318" s="430">
        <f>IFERROR(__xludf.DUMMYFUNCTION("""COMPUTED_VALUE"""),5.0)</f>
        <v>5</v>
      </c>
      <c r="D318" s="431" t="str">
        <f>IFERROR(__xludf.DUMMYFUNCTION("""COMPUTED_VALUE"""),"効果時間")</f>
        <v>効果時間</v>
      </c>
      <c r="E318" s="388" t="str">
        <f>IFERROR(__xludf.DUMMYFUNCTION("""COMPUTED_VALUE"""),"-")</f>
        <v>-</v>
      </c>
      <c r="F318" s="389" t="str">
        <f>IFERROR(__xludf.DUMMYFUNCTION("""COMPUTED_VALUE"""),"-")</f>
        <v>-</v>
      </c>
      <c r="G318" s="388" t="str">
        <f>IFERROR(__xludf.DUMMYFUNCTION("""COMPUTED_VALUE"""),"-")</f>
        <v>-</v>
      </c>
      <c r="H318" s="389" t="str">
        <f>IFERROR(__xludf.DUMMYFUNCTION("""COMPUTED_VALUE"""),"-")</f>
        <v>-</v>
      </c>
      <c r="I318" s="388" t="str">
        <f>IFERROR(__xludf.DUMMYFUNCTION("""COMPUTED_VALUE"""),"-")</f>
        <v>-</v>
      </c>
      <c r="J318" s="390">
        <f>IFERROR(__xludf.DUMMYFUNCTION("""COMPUTED_VALUE"""),160.0)</f>
        <v>160</v>
      </c>
      <c r="K318" s="391">
        <f>IFERROR(__xludf.DUMMYFUNCTION("""COMPUTED_VALUE"""),175.0)</f>
        <v>175</v>
      </c>
      <c r="L318" s="340">
        <f>IFERROR(__xludf.DUMMYFUNCTION("""COMPUTED_VALUE"""),200.0)</f>
        <v>200</v>
      </c>
      <c r="M318" s="385" t="str">
        <f>IFERROR(__xludf.DUMMYFUNCTION("""COMPUTED_VALUE"""),"瞬間型")</f>
        <v>瞬間型</v>
      </c>
      <c r="N318" s="430">
        <f>IFERROR(__xludf.DUMMYFUNCTION("""COMPUTED_VALUE"""),5.0)</f>
        <v>5</v>
      </c>
      <c r="O318" s="431" t="str">
        <f>IFERROR(__xludf.DUMMYFUNCTION("""COMPUTED_VALUE"""),"効果時間")</f>
        <v>効果時間</v>
      </c>
      <c r="P318" s="392">
        <f>IFERROR(__xludf.DUMMYFUNCTION("""COMPUTED_VALUE"""),175.0)</f>
        <v>175</v>
      </c>
      <c r="Q318" s="414">
        <f>IFERROR(__xludf.DUMMYFUNCTION("""COMPUTED_VALUE"""),185.0)</f>
        <v>185</v>
      </c>
      <c r="R318" s="414">
        <f>IFERROR(__xludf.DUMMYFUNCTION("""COMPUTED_VALUE"""),190.0)</f>
        <v>190</v>
      </c>
      <c r="S318" s="414">
        <f>IFERROR(__xludf.DUMMYFUNCTION("""COMPUTED_VALUE"""),195.0)</f>
        <v>195</v>
      </c>
      <c r="T318" s="394">
        <f>IFERROR(__xludf.DUMMYFUNCTION("""COMPUTED_VALUE"""),200.0)</f>
        <v>200</v>
      </c>
      <c r="U318" s="394">
        <f>IFERROR(__xludf.DUMMYFUNCTION("""COMPUTED_VALUE"""),225.0)</f>
        <v>225</v>
      </c>
      <c r="V318" s="394">
        <f>IFERROR(__xludf.DUMMYFUNCTION("""COMPUTED_VALUE"""),300.0)</f>
        <v>300</v>
      </c>
      <c r="W318" s="394">
        <f>IFERROR(__xludf.DUMMYFUNCTION("""COMPUTED_VALUE"""),325.0)</f>
        <v>325</v>
      </c>
      <c r="X318" s="385" t="str">
        <f>IFERROR(__xludf.DUMMYFUNCTION("""COMPUTED_VALUE"""),"安定型")</f>
        <v>安定型</v>
      </c>
      <c r="Y318" s="430">
        <f>IFERROR(__xludf.DUMMYFUNCTION("""COMPUTED_VALUE"""),5.0)</f>
        <v>5</v>
      </c>
      <c r="Z318" s="431" t="str">
        <f>IFERROR(__xludf.DUMMYFUNCTION("""COMPUTED_VALUE"""),"効果時間")</f>
        <v>効果時間</v>
      </c>
      <c r="AA318" s="392">
        <f>IFERROR(__xludf.DUMMYFUNCTION("""COMPUTED_VALUE"""),325.0)</f>
        <v>325</v>
      </c>
      <c r="AB318" s="414">
        <f>IFERROR(__xludf.DUMMYFUNCTION("""COMPUTED_VALUE"""),335.0)</f>
        <v>335</v>
      </c>
      <c r="AC318" s="414">
        <f>IFERROR(__xludf.DUMMYFUNCTION("""COMPUTED_VALUE"""),340.0)</f>
        <v>340</v>
      </c>
      <c r="AD318" s="414">
        <f>IFERROR(__xludf.DUMMYFUNCTION("""COMPUTED_VALUE"""),345.0)</f>
        <v>345</v>
      </c>
      <c r="AE318" s="394">
        <f>IFERROR(__xludf.DUMMYFUNCTION("""COMPUTED_VALUE"""),350.0)</f>
        <v>350</v>
      </c>
      <c r="AF318" s="394">
        <f>IFERROR(__xludf.DUMMYFUNCTION("""COMPUTED_VALUE"""),400.0)</f>
        <v>400</v>
      </c>
      <c r="AG318" s="394">
        <f>IFERROR(__xludf.DUMMYFUNCTION("""COMPUTED_VALUE"""),450.0)</f>
        <v>450</v>
      </c>
      <c r="AH318" s="394">
        <f>IFERROR(__xludf.DUMMYFUNCTION("""COMPUTED_VALUE"""),475.0)</f>
        <v>475</v>
      </c>
      <c r="AI318" s="385" t="str">
        <f>IFERROR(__xludf.DUMMYFUNCTION("""COMPUTED_VALUE"""),"持続型")</f>
        <v>持続型</v>
      </c>
      <c r="AJ318" s="430">
        <f>IFERROR(__xludf.DUMMYFUNCTION("""COMPUTED_VALUE"""),5.0)</f>
        <v>5</v>
      </c>
      <c r="AK318" s="431" t="str">
        <f>IFERROR(__xludf.DUMMYFUNCTION("""COMPUTED_VALUE"""),"効果時間")</f>
        <v>効果時間</v>
      </c>
      <c r="AL318" s="392">
        <f>IFERROR(__xludf.DUMMYFUNCTION("""COMPUTED_VALUE"""),475.0)</f>
        <v>475</v>
      </c>
      <c r="AM318" s="414">
        <f>IFERROR(__xludf.DUMMYFUNCTION("""COMPUTED_VALUE"""),485.0)</f>
        <v>485</v>
      </c>
      <c r="AN318" s="414">
        <f>IFERROR(__xludf.DUMMYFUNCTION("""COMPUTED_VALUE"""),490.0)</f>
        <v>490</v>
      </c>
      <c r="AO318" s="414">
        <f>IFERROR(__xludf.DUMMYFUNCTION("""COMPUTED_VALUE"""),495.0)</f>
        <v>495</v>
      </c>
      <c r="AP318" s="394">
        <f>IFERROR(__xludf.DUMMYFUNCTION("""COMPUTED_VALUE"""),500.0)</f>
        <v>500</v>
      </c>
      <c r="AQ318" s="394">
        <f>IFERROR(__xludf.DUMMYFUNCTION("""COMPUTED_VALUE"""),550.0)</f>
        <v>550</v>
      </c>
      <c r="AR318" s="394">
        <f>IFERROR(__xludf.DUMMYFUNCTION("""COMPUTED_VALUE"""),600.0)</f>
        <v>600</v>
      </c>
      <c r="AS318" s="394">
        <f>IFERROR(__xludf.DUMMYFUNCTION("""COMPUTED_VALUE"""),625.0)</f>
        <v>625</v>
      </c>
      <c r="AT318" s="385" t="str">
        <f>IFERROR(__xludf.DUMMYFUNCTION("""COMPUTED_VALUE"""),"超持続型")</f>
        <v>超持続型</v>
      </c>
      <c r="AU318" s="430">
        <f>IFERROR(__xludf.DUMMYFUNCTION("""COMPUTED_VALUE"""),5.0)</f>
        <v>5</v>
      </c>
      <c r="AV318" s="431" t="str">
        <f>IFERROR(__xludf.DUMMYFUNCTION("""COMPUTED_VALUE"""),"効果時間")</f>
        <v>効果時間</v>
      </c>
      <c r="AW318" s="395" t="str">
        <f>IFERROR(__xludf.DUMMYFUNCTION("""COMPUTED_VALUE"""),"-")</f>
        <v>-</v>
      </c>
      <c r="AX318" s="396" t="str">
        <f>IFERROR(__xludf.DUMMYFUNCTION("""COMPUTED_VALUE"""),"-")</f>
        <v>-</v>
      </c>
      <c r="AY318" s="396" t="str">
        <f>IFERROR(__xludf.DUMMYFUNCTION("""COMPUTED_VALUE"""),"-")</f>
        <v>-</v>
      </c>
      <c r="AZ318" s="396" t="str">
        <f>IFERROR(__xludf.DUMMYFUNCTION("""COMPUTED_VALUE"""),"-")</f>
        <v>-</v>
      </c>
      <c r="BA318" s="396" t="str">
        <f>IFERROR(__xludf.DUMMYFUNCTION("""COMPUTED_VALUE"""),"-")</f>
        <v>-</v>
      </c>
      <c r="BB318" s="393">
        <f>IFERROR(__xludf.DUMMYFUNCTION("""COMPUTED_VALUE"""),650.0)</f>
        <v>650</v>
      </c>
      <c r="BC318" s="393">
        <f>IFERROR(__xludf.DUMMYFUNCTION("""COMPUTED_VALUE"""),750.0)</f>
        <v>750</v>
      </c>
      <c r="BD318" s="394">
        <f>IFERROR(__xludf.DUMMYFUNCTION("""COMPUTED_VALUE"""),775.0)</f>
        <v>775</v>
      </c>
      <c r="BE318" s="385" t="str">
        <f>IFERROR(__xludf.DUMMYFUNCTION("""COMPUTED_VALUE"""),"ハイブリッド型")</f>
        <v>ハイブリッド型</v>
      </c>
      <c r="BF318" s="430">
        <f>IFERROR(__xludf.DUMMYFUNCTION("""COMPUTED_VALUE"""),5.0)</f>
        <v>5</v>
      </c>
      <c r="BG318" s="431" t="str">
        <f>IFERROR(__xludf.DUMMYFUNCTION("""COMPUTED_VALUE"""),"効果時間")</f>
        <v>効果時間</v>
      </c>
      <c r="BH318" s="304">
        <f>IFERROR(__xludf.DUMMYFUNCTION("""COMPUTED_VALUE"""),250.0)</f>
        <v>250</v>
      </c>
      <c r="BI318" s="432">
        <f>IFERROR(__xludf.DUMMYFUNCTION("""COMPUTED_VALUE"""),265.0)</f>
        <v>265</v>
      </c>
      <c r="BJ318" s="432">
        <f>IFERROR(__xludf.DUMMYFUNCTION("""COMPUTED_VALUE"""),275.0)</f>
        <v>275</v>
      </c>
      <c r="BK318" s="432">
        <f>IFERROR(__xludf.DUMMYFUNCTION("""COMPUTED_VALUE"""),290.0)</f>
        <v>290</v>
      </c>
      <c r="BL318" s="304">
        <f>IFERROR(__xludf.DUMMYFUNCTION("""COMPUTED_VALUE"""),300.0)</f>
        <v>300</v>
      </c>
      <c r="BM318" s="304">
        <f>IFERROR(__xludf.DUMMYFUNCTION("""COMPUTED_VALUE"""),400.0)</f>
        <v>400</v>
      </c>
      <c r="BN318" s="304">
        <f>IFERROR(__xludf.DUMMYFUNCTION("""COMPUTED_VALUE"""),500.0)</f>
        <v>500</v>
      </c>
      <c r="BO318" s="304">
        <f>IFERROR(__xludf.DUMMYFUNCTION("""COMPUTED_VALUE"""),525.0)</f>
        <v>525</v>
      </c>
    </row>
    <row r="319">
      <c r="A319" s="306" t="str">
        <f>IFERROR(__xludf.DUMMYFUNCTION("""COMPUTED_VALUE"""),"攻撃力Down(自身)")</f>
        <v>攻撃力Down(自身)</v>
      </c>
      <c r="B319" s="260" t="str">
        <f>IFERROR(__xludf.DUMMYFUNCTION("""COMPUTED_VALUE"""),"超瞬間型")</f>
        <v>超瞬間型</v>
      </c>
      <c r="C319" s="375">
        <f>IFERROR(__xludf.DUMMYFUNCTION("""COMPUTED_VALUE"""),1.0)</f>
        <v>1</v>
      </c>
      <c r="D319" s="376" t="str">
        <f>IFERROR(__xludf.DUMMYFUNCTION("""COMPUTED_VALUE"""),"効果値")</f>
        <v>効果値</v>
      </c>
      <c r="E319" s="377" t="str">
        <f>IFERROR(__xludf.DUMMYFUNCTION("""COMPUTED_VALUE"""),"-")</f>
        <v>-</v>
      </c>
      <c r="F319" s="378" t="str">
        <f>IFERROR(__xludf.DUMMYFUNCTION("""COMPUTED_VALUE"""),"-")</f>
        <v>-</v>
      </c>
      <c r="G319" s="377" t="str">
        <f>IFERROR(__xludf.DUMMYFUNCTION("""COMPUTED_VALUE"""),"-")</f>
        <v>-</v>
      </c>
      <c r="H319" s="378" t="str">
        <f>IFERROR(__xludf.DUMMYFUNCTION("""COMPUTED_VALUE"""),"-")</f>
        <v>-</v>
      </c>
      <c r="I319" s="377" t="str">
        <f>IFERROR(__xludf.DUMMYFUNCTION("""COMPUTED_VALUE"""),"-")</f>
        <v>-</v>
      </c>
      <c r="J319" s="379">
        <f>IFERROR(__xludf.DUMMYFUNCTION("""COMPUTED_VALUE"""),55.0)</f>
        <v>55</v>
      </c>
      <c r="K319" s="294">
        <f>IFERROR(__xludf.DUMMYFUNCTION("""COMPUTED_VALUE"""),65.0)</f>
        <v>65</v>
      </c>
      <c r="L319" s="294">
        <f>IFERROR(__xludf.DUMMYFUNCTION("""COMPUTED_VALUE"""),65.0)</f>
        <v>65</v>
      </c>
      <c r="M319" s="260" t="str">
        <f>IFERROR(__xludf.DUMMYFUNCTION("""COMPUTED_VALUE"""),"瞬間型")</f>
        <v>瞬間型</v>
      </c>
      <c r="N319" s="375">
        <f>IFERROR(__xludf.DUMMYFUNCTION("""COMPUTED_VALUE"""),1.0)</f>
        <v>1</v>
      </c>
      <c r="O319" s="376" t="str">
        <f>IFERROR(__xludf.DUMMYFUNCTION("""COMPUTED_VALUE"""),"効果値")</f>
        <v>効果値</v>
      </c>
      <c r="P319" s="380">
        <f>IFERROR(__xludf.DUMMYFUNCTION("""COMPUTED_VALUE"""),20.0)</f>
        <v>20</v>
      </c>
      <c r="Q319" s="263">
        <f>IFERROR(__xludf.DUMMYFUNCTION("""COMPUTED_VALUE"""),20.0)</f>
        <v>20</v>
      </c>
      <c r="R319" s="263">
        <f>IFERROR(__xludf.DUMMYFUNCTION("""COMPUTED_VALUE"""),20.0)</f>
        <v>20</v>
      </c>
      <c r="S319" s="263">
        <f>IFERROR(__xludf.DUMMYFUNCTION("""COMPUTED_VALUE"""),20.0)</f>
        <v>20</v>
      </c>
      <c r="T319" s="263">
        <f>IFERROR(__xludf.DUMMYFUNCTION("""COMPUTED_VALUE"""),20.0)</f>
        <v>20</v>
      </c>
      <c r="U319" s="263">
        <f>IFERROR(__xludf.DUMMYFUNCTION("""COMPUTED_VALUE"""),25.0)</f>
        <v>25</v>
      </c>
      <c r="V319" s="266">
        <f>IFERROR(__xludf.DUMMYFUNCTION("""COMPUTED_VALUE"""),30.0)</f>
        <v>30</v>
      </c>
      <c r="W319" s="266">
        <f>IFERROR(__xludf.DUMMYFUNCTION("""COMPUTED_VALUE"""),30.0)</f>
        <v>30</v>
      </c>
      <c r="X319" s="260" t="str">
        <f>IFERROR(__xludf.DUMMYFUNCTION("""COMPUTED_VALUE"""),"安定型")</f>
        <v>安定型</v>
      </c>
      <c r="Y319" s="375">
        <f>IFERROR(__xludf.DUMMYFUNCTION("""COMPUTED_VALUE"""),1.0)</f>
        <v>1</v>
      </c>
      <c r="Z319" s="376" t="str">
        <f>IFERROR(__xludf.DUMMYFUNCTION("""COMPUTED_VALUE"""),"効果値")</f>
        <v>効果値</v>
      </c>
      <c r="AA319" s="380">
        <f>IFERROR(__xludf.DUMMYFUNCTION("""COMPUTED_VALUE"""),10.0)</f>
        <v>10</v>
      </c>
      <c r="AB319" s="263">
        <f>IFERROR(__xludf.DUMMYFUNCTION("""COMPUTED_VALUE"""),10.0)</f>
        <v>10</v>
      </c>
      <c r="AC319" s="263">
        <f>IFERROR(__xludf.DUMMYFUNCTION("""COMPUTED_VALUE"""),10.0)</f>
        <v>10</v>
      </c>
      <c r="AD319" s="263">
        <f>IFERROR(__xludf.DUMMYFUNCTION("""COMPUTED_VALUE"""),10.0)</f>
        <v>10</v>
      </c>
      <c r="AE319" s="263">
        <f>IFERROR(__xludf.DUMMYFUNCTION("""COMPUTED_VALUE"""),10.0)</f>
        <v>10</v>
      </c>
      <c r="AF319" s="263">
        <f>IFERROR(__xludf.DUMMYFUNCTION("""COMPUTED_VALUE"""),10.0)</f>
        <v>10</v>
      </c>
      <c r="AG319" s="266">
        <f>IFERROR(__xludf.DUMMYFUNCTION("""COMPUTED_VALUE"""),15.0)</f>
        <v>15</v>
      </c>
      <c r="AH319" s="266">
        <f>IFERROR(__xludf.DUMMYFUNCTION("""COMPUTED_VALUE"""),15.0)</f>
        <v>15</v>
      </c>
      <c r="AI319" s="260" t="str">
        <f>IFERROR(__xludf.DUMMYFUNCTION("""COMPUTED_VALUE"""),"持続型")</f>
        <v>持続型</v>
      </c>
      <c r="AJ319" s="375">
        <f>IFERROR(__xludf.DUMMYFUNCTION("""COMPUTED_VALUE"""),1.0)</f>
        <v>1</v>
      </c>
      <c r="AK319" s="376" t="str">
        <f>IFERROR(__xludf.DUMMYFUNCTION("""COMPUTED_VALUE"""),"効果値")</f>
        <v>効果値</v>
      </c>
      <c r="AL319" s="380">
        <f>IFERROR(__xludf.DUMMYFUNCTION("""COMPUTED_VALUE"""),5.0)</f>
        <v>5</v>
      </c>
      <c r="AM319" s="263">
        <f>IFERROR(__xludf.DUMMYFUNCTION("""COMPUTED_VALUE"""),5.0)</f>
        <v>5</v>
      </c>
      <c r="AN319" s="263">
        <f>IFERROR(__xludf.DUMMYFUNCTION("""COMPUTED_VALUE"""),5.0)</f>
        <v>5</v>
      </c>
      <c r="AO319" s="263">
        <f>IFERROR(__xludf.DUMMYFUNCTION("""COMPUTED_VALUE"""),5.0)</f>
        <v>5</v>
      </c>
      <c r="AP319" s="263">
        <f>IFERROR(__xludf.DUMMYFUNCTION("""COMPUTED_VALUE"""),5.0)</f>
        <v>5</v>
      </c>
      <c r="AQ319" s="263">
        <f>IFERROR(__xludf.DUMMYFUNCTION("""COMPUTED_VALUE"""),5.0)</f>
        <v>5</v>
      </c>
      <c r="AR319" s="266">
        <f>IFERROR(__xludf.DUMMYFUNCTION("""COMPUTED_VALUE"""),10.0)</f>
        <v>10</v>
      </c>
      <c r="AS319" s="266">
        <f>IFERROR(__xludf.DUMMYFUNCTION("""COMPUTED_VALUE"""),10.0)</f>
        <v>10</v>
      </c>
      <c r="AT319" s="260" t="str">
        <f>IFERROR(__xludf.DUMMYFUNCTION("""COMPUTED_VALUE"""),"超持続型")</f>
        <v>超持続型</v>
      </c>
      <c r="AU319" s="375">
        <f>IFERROR(__xludf.DUMMYFUNCTION("""COMPUTED_VALUE"""),1.0)</f>
        <v>1</v>
      </c>
      <c r="AV319" s="376" t="str">
        <f>IFERROR(__xludf.DUMMYFUNCTION("""COMPUTED_VALUE"""),"効果値")</f>
        <v>効果値</v>
      </c>
      <c r="AW319" s="350" t="str">
        <f>IFERROR(__xludf.DUMMYFUNCTION("""COMPUTED_VALUE"""),"-")</f>
        <v>-</v>
      </c>
      <c r="AX319" s="348" t="str">
        <f>IFERROR(__xludf.DUMMYFUNCTION("""COMPUTED_VALUE"""),"-")</f>
        <v>-</v>
      </c>
      <c r="AY319" s="348" t="str">
        <f>IFERROR(__xludf.DUMMYFUNCTION("""COMPUTED_VALUE"""),"-")</f>
        <v>-</v>
      </c>
      <c r="AZ319" s="348" t="str">
        <f>IFERROR(__xludf.DUMMYFUNCTION("""COMPUTED_VALUE"""),"-")</f>
        <v>-</v>
      </c>
      <c r="BA319" s="348" t="str">
        <f>IFERROR(__xludf.DUMMYFUNCTION("""COMPUTED_VALUE"""),"-")</f>
        <v>-</v>
      </c>
      <c r="BB319" s="263">
        <f>IFERROR(__xludf.DUMMYFUNCTION("""COMPUTED_VALUE"""),5.0)</f>
        <v>5</v>
      </c>
      <c r="BC319" s="266">
        <f>IFERROR(__xludf.DUMMYFUNCTION("""COMPUTED_VALUE"""),10.0)</f>
        <v>10</v>
      </c>
      <c r="BD319" s="266">
        <f>IFERROR(__xludf.DUMMYFUNCTION("""COMPUTED_VALUE"""),10.0)</f>
        <v>10</v>
      </c>
      <c r="BE319" s="260" t="str">
        <f>IFERROR(__xludf.DUMMYFUNCTION("""COMPUTED_VALUE"""),"ハイブリッド型")</f>
        <v>ハイブリッド型</v>
      </c>
      <c r="BF319" s="375">
        <f>IFERROR(__xludf.DUMMYFUNCTION("""COMPUTED_VALUE"""),1.0)</f>
        <v>1</v>
      </c>
      <c r="BG319" s="376" t="str">
        <f>IFERROR(__xludf.DUMMYFUNCTION("""COMPUTED_VALUE"""),"効果値")</f>
        <v>効果値</v>
      </c>
      <c r="BH319" s="381">
        <f>IFERROR(__xludf.DUMMYFUNCTION("""COMPUTED_VALUE"""),10.0)</f>
        <v>10</v>
      </c>
      <c r="BI319" s="382">
        <f>IFERROR(__xludf.DUMMYFUNCTION("""COMPUTED_VALUE"""),10.0)</f>
        <v>10</v>
      </c>
      <c r="BJ319" s="382">
        <f>IFERROR(__xludf.DUMMYFUNCTION("""COMPUTED_VALUE"""),10.0)</f>
        <v>10</v>
      </c>
      <c r="BK319" s="382">
        <f>IFERROR(__xludf.DUMMYFUNCTION("""COMPUTED_VALUE"""),10.0)</f>
        <v>10</v>
      </c>
      <c r="BL319" s="382">
        <f>IFERROR(__xludf.DUMMYFUNCTION("""COMPUTED_VALUE"""),10.0)</f>
        <v>10</v>
      </c>
      <c r="BM319" s="382">
        <f>IFERROR(__xludf.DUMMYFUNCTION("""COMPUTED_VALUE"""),15.0)</f>
        <v>15</v>
      </c>
      <c r="BN319" s="382">
        <f>IFERROR(__xludf.DUMMYFUNCTION("""COMPUTED_VALUE"""),20.0)</f>
        <v>20</v>
      </c>
      <c r="BO319" s="383">
        <f>IFERROR(__xludf.DUMMYFUNCTION("""COMPUTED_VALUE"""),20.0)</f>
        <v>20</v>
      </c>
    </row>
    <row r="320">
      <c r="A320" s="384" t="str">
        <f>IFERROR(__xludf.DUMMYFUNCTION("""COMPUTED_VALUE"""),"攻撃力Down(自身)")</f>
        <v>攻撃力Down(自身)</v>
      </c>
      <c r="B320" s="272" t="str">
        <f>IFERROR(__xludf.DUMMYFUNCTION("""COMPUTED_VALUE"""),"超瞬間型")</f>
        <v>超瞬間型</v>
      </c>
      <c r="C320" s="386">
        <f>IFERROR(__xludf.DUMMYFUNCTION("""COMPUTED_VALUE"""),1.0)</f>
        <v>1</v>
      </c>
      <c r="D320" s="387" t="str">
        <f>IFERROR(__xludf.DUMMYFUNCTION("""COMPUTED_VALUE"""),"効果時間")</f>
        <v>効果時間</v>
      </c>
      <c r="E320" s="388" t="str">
        <f>IFERROR(__xludf.DUMMYFUNCTION("""COMPUTED_VALUE"""),"-")</f>
        <v>-</v>
      </c>
      <c r="F320" s="389" t="str">
        <f>IFERROR(__xludf.DUMMYFUNCTION("""COMPUTED_VALUE"""),"-")</f>
        <v>-</v>
      </c>
      <c r="G320" s="388" t="str">
        <f>IFERROR(__xludf.DUMMYFUNCTION("""COMPUTED_VALUE"""),"-")</f>
        <v>-</v>
      </c>
      <c r="H320" s="389" t="str">
        <f>IFERROR(__xludf.DUMMYFUNCTION("""COMPUTED_VALUE"""),"-")</f>
        <v>-</v>
      </c>
      <c r="I320" s="388" t="str">
        <f>IFERROR(__xludf.DUMMYFUNCTION("""COMPUTED_VALUE"""),"-")</f>
        <v>-</v>
      </c>
      <c r="J320" s="390">
        <f>IFERROR(__xludf.DUMMYFUNCTION("""COMPUTED_VALUE"""),150.0)</f>
        <v>150</v>
      </c>
      <c r="K320" s="391">
        <f>IFERROR(__xludf.DUMMYFUNCTION("""COMPUTED_VALUE"""),160.0)</f>
        <v>160</v>
      </c>
      <c r="L320" s="340">
        <f>IFERROR(__xludf.DUMMYFUNCTION("""COMPUTED_VALUE"""),160.0)</f>
        <v>160</v>
      </c>
      <c r="M320" s="272" t="str">
        <f>IFERROR(__xludf.DUMMYFUNCTION("""COMPUTED_VALUE"""),"瞬間型")</f>
        <v>瞬間型</v>
      </c>
      <c r="N320" s="386">
        <f>IFERROR(__xludf.DUMMYFUNCTION("""COMPUTED_VALUE"""),1.0)</f>
        <v>1</v>
      </c>
      <c r="O320" s="387" t="str">
        <f>IFERROR(__xludf.DUMMYFUNCTION("""COMPUTED_VALUE"""),"効果時間")</f>
        <v>効果時間</v>
      </c>
      <c r="P320" s="392">
        <f>IFERROR(__xludf.DUMMYFUNCTION("""COMPUTED_VALUE"""),150.0)</f>
        <v>150</v>
      </c>
      <c r="Q320" s="393">
        <f>IFERROR(__xludf.DUMMYFUNCTION("""COMPUTED_VALUE"""),150.0)</f>
        <v>150</v>
      </c>
      <c r="R320" s="393">
        <f>IFERROR(__xludf.DUMMYFUNCTION("""COMPUTED_VALUE"""),150.0)</f>
        <v>150</v>
      </c>
      <c r="S320" s="393">
        <f>IFERROR(__xludf.DUMMYFUNCTION("""COMPUTED_VALUE"""),150.0)</f>
        <v>150</v>
      </c>
      <c r="T320" s="393">
        <f>IFERROR(__xludf.DUMMYFUNCTION("""COMPUTED_VALUE"""),150.0)</f>
        <v>150</v>
      </c>
      <c r="U320" s="393">
        <f>IFERROR(__xludf.DUMMYFUNCTION("""COMPUTED_VALUE"""),150.0)</f>
        <v>150</v>
      </c>
      <c r="V320" s="393">
        <f>IFERROR(__xludf.DUMMYFUNCTION("""COMPUTED_VALUE"""),160.0)</f>
        <v>160</v>
      </c>
      <c r="W320" s="394">
        <f>IFERROR(__xludf.DUMMYFUNCTION("""COMPUTED_VALUE"""),160.0)</f>
        <v>160</v>
      </c>
      <c r="X320" s="272" t="str">
        <f>IFERROR(__xludf.DUMMYFUNCTION("""COMPUTED_VALUE"""),"安定型")</f>
        <v>安定型</v>
      </c>
      <c r="Y320" s="386">
        <f>IFERROR(__xludf.DUMMYFUNCTION("""COMPUTED_VALUE"""),1.0)</f>
        <v>1</v>
      </c>
      <c r="Z320" s="387" t="str">
        <f>IFERROR(__xludf.DUMMYFUNCTION("""COMPUTED_VALUE"""),"効果時間")</f>
        <v>効果時間</v>
      </c>
      <c r="AA320" s="392">
        <f>IFERROR(__xludf.DUMMYFUNCTION("""COMPUTED_VALUE"""),300.0)</f>
        <v>300</v>
      </c>
      <c r="AB320" s="393">
        <f>IFERROR(__xludf.DUMMYFUNCTION("""COMPUTED_VALUE"""),300.0)</f>
        <v>300</v>
      </c>
      <c r="AC320" s="393">
        <f>IFERROR(__xludf.DUMMYFUNCTION("""COMPUTED_VALUE"""),300.0)</f>
        <v>300</v>
      </c>
      <c r="AD320" s="393">
        <f>IFERROR(__xludf.DUMMYFUNCTION("""COMPUTED_VALUE"""),300.0)</f>
        <v>300</v>
      </c>
      <c r="AE320" s="393">
        <f>IFERROR(__xludf.DUMMYFUNCTION("""COMPUTED_VALUE"""),300.0)</f>
        <v>300</v>
      </c>
      <c r="AF320" s="393">
        <f>IFERROR(__xludf.DUMMYFUNCTION("""COMPUTED_VALUE"""),300.0)</f>
        <v>300</v>
      </c>
      <c r="AG320" s="393">
        <f>IFERROR(__xludf.DUMMYFUNCTION("""COMPUTED_VALUE"""),310.0)</f>
        <v>310</v>
      </c>
      <c r="AH320" s="394">
        <f>IFERROR(__xludf.DUMMYFUNCTION("""COMPUTED_VALUE"""),310.0)</f>
        <v>310</v>
      </c>
      <c r="AI320" s="272" t="str">
        <f>IFERROR(__xludf.DUMMYFUNCTION("""COMPUTED_VALUE"""),"持続型")</f>
        <v>持続型</v>
      </c>
      <c r="AJ320" s="386">
        <f>IFERROR(__xludf.DUMMYFUNCTION("""COMPUTED_VALUE"""),1.0)</f>
        <v>1</v>
      </c>
      <c r="AK320" s="387" t="str">
        <f>IFERROR(__xludf.DUMMYFUNCTION("""COMPUTED_VALUE"""),"効果時間")</f>
        <v>効果時間</v>
      </c>
      <c r="AL320" s="392">
        <f>IFERROR(__xludf.DUMMYFUNCTION("""COMPUTED_VALUE"""),450.0)</f>
        <v>450</v>
      </c>
      <c r="AM320" s="393">
        <f>IFERROR(__xludf.DUMMYFUNCTION("""COMPUTED_VALUE"""),450.0)</f>
        <v>450</v>
      </c>
      <c r="AN320" s="393">
        <f>IFERROR(__xludf.DUMMYFUNCTION("""COMPUTED_VALUE"""),450.0)</f>
        <v>450</v>
      </c>
      <c r="AO320" s="393">
        <f>IFERROR(__xludf.DUMMYFUNCTION("""COMPUTED_VALUE"""),450.0)</f>
        <v>450</v>
      </c>
      <c r="AP320" s="393">
        <f>IFERROR(__xludf.DUMMYFUNCTION("""COMPUTED_VALUE"""),450.0)</f>
        <v>450</v>
      </c>
      <c r="AQ320" s="393">
        <f>IFERROR(__xludf.DUMMYFUNCTION("""COMPUTED_VALUE"""),450.0)</f>
        <v>450</v>
      </c>
      <c r="AR320" s="393">
        <f>IFERROR(__xludf.DUMMYFUNCTION("""COMPUTED_VALUE"""),460.0)</f>
        <v>460</v>
      </c>
      <c r="AS320" s="394">
        <f>IFERROR(__xludf.DUMMYFUNCTION("""COMPUTED_VALUE"""),460.0)</f>
        <v>460</v>
      </c>
      <c r="AT320" s="272" t="str">
        <f>IFERROR(__xludf.DUMMYFUNCTION("""COMPUTED_VALUE"""),"超持続型")</f>
        <v>超持続型</v>
      </c>
      <c r="AU320" s="386">
        <f>IFERROR(__xludf.DUMMYFUNCTION("""COMPUTED_VALUE"""),1.0)</f>
        <v>1</v>
      </c>
      <c r="AV320" s="387" t="str">
        <f>IFERROR(__xludf.DUMMYFUNCTION("""COMPUTED_VALUE"""),"効果時間")</f>
        <v>効果時間</v>
      </c>
      <c r="AW320" s="395" t="str">
        <f>IFERROR(__xludf.DUMMYFUNCTION("""COMPUTED_VALUE"""),"-")</f>
        <v>-</v>
      </c>
      <c r="AX320" s="396" t="str">
        <f>IFERROR(__xludf.DUMMYFUNCTION("""COMPUTED_VALUE"""),"-")</f>
        <v>-</v>
      </c>
      <c r="AY320" s="396" t="str">
        <f>IFERROR(__xludf.DUMMYFUNCTION("""COMPUTED_VALUE"""),"-")</f>
        <v>-</v>
      </c>
      <c r="AZ320" s="396" t="str">
        <f>IFERROR(__xludf.DUMMYFUNCTION("""COMPUTED_VALUE"""),"-")</f>
        <v>-</v>
      </c>
      <c r="BA320" s="396" t="str">
        <f>IFERROR(__xludf.DUMMYFUNCTION("""COMPUTED_VALUE"""),"-")</f>
        <v>-</v>
      </c>
      <c r="BB320" s="393">
        <f>IFERROR(__xludf.DUMMYFUNCTION("""COMPUTED_VALUE"""),600.0)</f>
        <v>600</v>
      </c>
      <c r="BC320" s="393">
        <f>IFERROR(__xludf.DUMMYFUNCTION("""COMPUTED_VALUE"""),610.0)</f>
        <v>610</v>
      </c>
      <c r="BD320" s="394">
        <f>IFERROR(__xludf.DUMMYFUNCTION("""COMPUTED_VALUE"""),610.0)</f>
        <v>610</v>
      </c>
      <c r="BE320" s="272" t="str">
        <f>IFERROR(__xludf.DUMMYFUNCTION("""COMPUTED_VALUE"""),"ハイブリッド型")</f>
        <v>ハイブリッド型</v>
      </c>
      <c r="BF320" s="386">
        <f>IFERROR(__xludf.DUMMYFUNCTION("""COMPUTED_VALUE"""),1.0)</f>
        <v>1</v>
      </c>
      <c r="BG320" s="387" t="str">
        <f>IFERROR(__xludf.DUMMYFUNCTION("""COMPUTED_VALUE"""),"効果時間")</f>
        <v>効果時間</v>
      </c>
      <c r="BH320" s="397">
        <f>IFERROR(__xludf.DUMMYFUNCTION("""COMPUTED_VALUE"""),150.0)</f>
        <v>150</v>
      </c>
      <c r="BI320" s="397">
        <f>IFERROR(__xludf.DUMMYFUNCTION("""COMPUTED_VALUE"""),150.0)</f>
        <v>150</v>
      </c>
      <c r="BJ320" s="397">
        <f>IFERROR(__xludf.DUMMYFUNCTION("""COMPUTED_VALUE"""),150.0)</f>
        <v>150</v>
      </c>
      <c r="BK320" s="398">
        <f>IFERROR(__xludf.DUMMYFUNCTION("""COMPUTED_VALUE"""),150.0)</f>
        <v>150</v>
      </c>
      <c r="BL320" s="397">
        <f>IFERROR(__xludf.DUMMYFUNCTION("""COMPUTED_VALUE"""),150.0)</f>
        <v>150</v>
      </c>
      <c r="BM320" s="398">
        <f>IFERROR(__xludf.DUMMYFUNCTION("""COMPUTED_VALUE"""),350.0)</f>
        <v>350</v>
      </c>
      <c r="BN320" s="397">
        <f>IFERROR(__xludf.DUMMYFUNCTION("""COMPUTED_VALUE"""),460.0)</f>
        <v>460</v>
      </c>
      <c r="BO320" s="398">
        <f>IFERROR(__xludf.DUMMYFUNCTION("""COMPUTED_VALUE"""),460.0)</f>
        <v>460</v>
      </c>
    </row>
    <row r="321">
      <c r="A321" s="307" t="str">
        <f>IFERROR(__xludf.DUMMYFUNCTION("""COMPUTED_VALUE"""),"攻撃力Down(自身)")</f>
        <v>攻撃力Down(自身)</v>
      </c>
      <c r="B321" s="272" t="str">
        <f>IFERROR(__xludf.DUMMYFUNCTION("""COMPUTED_VALUE"""),"超瞬間型")</f>
        <v>超瞬間型</v>
      </c>
      <c r="C321" s="399">
        <f>IFERROR(__xludf.DUMMYFUNCTION("""COMPUTED_VALUE"""),2.0)</f>
        <v>2</v>
      </c>
      <c r="D321" s="400" t="str">
        <f>IFERROR(__xludf.DUMMYFUNCTION("""COMPUTED_VALUE"""),"効果値")</f>
        <v>効果値</v>
      </c>
      <c r="E321" s="401" t="str">
        <f>IFERROR(__xludf.DUMMYFUNCTION("""COMPUTED_VALUE"""),"-")</f>
        <v>-</v>
      </c>
      <c r="F321" s="401" t="str">
        <f>IFERROR(__xludf.DUMMYFUNCTION("""COMPUTED_VALUE"""),"-")</f>
        <v>-</v>
      </c>
      <c r="G321" s="401" t="str">
        <f>IFERROR(__xludf.DUMMYFUNCTION("""COMPUTED_VALUE"""),"-")</f>
        <v>-</v>
      </c>
      <c r="H321" s="401" t="str">
        <f>IFERROR(__xludf.DUMMYFUNCTION("""COMPUTED_VALUE"""),"-")</f>
        <v>-</v>
      </c>
      <c r="I321" s="401" t="str">
        <f>IFERROR(__xludf.DUMMYFUNCTION("""COMPUTED_VALUE"""),"-")</f>
        <v>-</v>
      </c>
      <c r="J321" s="318">
        <f>IFERROR(__xludf.DUMMYFUNCTION("""COMPUTED_VALUE"""),57.0)</f>
        <v>57</v>
      </c>
      <c r="K321" s="318">
        <f>IFERROR(__xludf.DUMMYFUNCTION("""COMPUTED_VALUE"""),67.0)</f>
        <v>67</v>
      </c>
      <c r="L321" s="318">
        <f>IFERROR(__xludf.DUMMYFUNCTION("""COMPUTED_VALUE"""),69.0)</f>
        <v>69</v>
      </c>
      <c r="M321" s="272" t="str">
        <f>IFERROR(__xludf.DUMMYFUNCTION("""COMPUTED_VALUE"""),"瞬間型")</f>
        <v>瞬間型</v>
      </c>
      <c r="N321" s="399">
        <f>IFERROR(__xludf.DUMMYFUNCTION("""COMPUTED_VALUE"""),2.0)</f>
        <v>2</v>
      </c>
      <c r="O321" s="400" t="str">
        <f>IFERROR(__xludf.DUMMYFUNCTION("""COMPUTED_VALUE"""),"効果値")</f>
        <v>効果値</v>
      </c>
      <c r="P321" s="343">
        <f>IFERROR(__xludf.DUMMYFUNCTION("""COMPUTED_VALUE"""),21.0)</f>
        <v>21</v>
      </c>
      <c r="Q321" s="402">
        <f>IFERROR(__xludf.DUMMYFUNCTION("""COMPUTED_VALUE"""),21.0)</f>
        <v>21</v>
      </c>
      <c r="R321" s="343">
        <f>IFERROR(__xludf.DUMMYFUNCTION("""COMPUTED_VALUE"""),22.0)</f>
        <v>22</v>
      </c>
      <c r="S321" s="402">
        <f>IFERROR(__xludf.DUMMYFUNCTION("""COMPUTED_VALUE"""),22.0)</f>
        <v>22</v>
      </c>
      <c r="T321" s="343">
        <f>IFERROR(__xludf.DUMMYFUNCTION("""COMPUTED_VALUE"""),22.0)</f>
        <v>22</v>
      </c>
      <c r="U321" s="343">
        <f>IFERROR(__xludf.DUMMYFUNCTION("""COMPUTED_VALUE"""),27.0)</f>
        <v>27</v>
      </c>
      <c r="V321" s="343">
        <f>IFERROR(__xludf.DUMMYFUNCTION("""COMPUTED_VALUE"""),32.0)</f>
        <v>32</v>
      </c>
      <c r="W321" s="343">
        <f>IFERROR(__xludf.DUMMYFUNCTION("""COMPUTED_VALUE"""),34.0)</f>
        <v>34</v>
      </c>
      <c r="X321" s="272" t="str">
        <f>IFERROR(__xludf.DUMMYFUNCTION("""COMPUTED_VALUE"""),"安定型")</f>
        <v>安定型</v>
      </c>
      <c r="Y321" s="399">
        <f>IFERROR(__xludf.DUMMYFUNCTION("""COMPUTED_VALUE"""),2.0)</f>
        <v>2</v>
      </c>
      <c r="Z321" s="400" t="str">
        <f>IFERROR(__xludf.DUMMYFUNCTION("""COMPUTED_VALUE"""),"効果値")</f>
        <v>効果値</v>
      </c>
      <c r="AA321" s="343">
        <f>IFERROR(__xludf.DUMMYFUNCTION("""COMPUTED_VALUE"""),11.0)</f>
        <v>11</v>
      </c>
      <c r="AB321" s="402">
        <f>IFERROR(__xludf.DUMMYFUNCTION("""COMPUTED_VALUE"""),11.0)</f>
        <v>11</v>
      </c>
      <c r="AC321" s="343">
        <f>IFERROR(__xludf.DUMMYFUNCTION("""COMPUTED_VALUE"""),12.0)</f>
        <v>12</v>
      </c>
      <c r="AD321" s="402">
        <f>IFERROR(__xludf.DUMMYFUNCTION("""COMPUTED_VALUE"""),12.0)</f>
        <v>12</v>
      </c>
      <c r="AE321" s="343">
        <f>IFERROR(__xludf.DUMMYFUNCTION("""COMPUTED_VALUE"""),12.0)</f>
        <v>12</v>
      </c>
      <c r="AF321" s="343">
        <f>IFERROR(__xludf.DUMMYFUNCTION("""COMPUTED_VALUE"""),12.0)</f>
        <v>12</v>
      </c>
      <c r="AG321" s="343">
        <f>IFERROR(__xludf.DUMMYFUNCTION("""COMPUTED_VALUE"""),17.0)</f>
        <v>17</v>
      </c>
      <c r="AH321" s="343">
        <f>IFERROR(__xludf.DUMMYFUNCTION("""COMPUTED_VALUE"""),19.0)</f>
        <v>19</v>
      </c>
      <c r="AI321" s="272" t="str">
        <f>IFERROR(__xludf.DUMMYFUNCTION("""COMPUTED_VALUE"""),"持続型")</f>
        <v>持続型</v>
      </c>
      <c r="AJ321" s="399">
        <f>IFERROR(__xludf.DUMMYFUNCTION("""COMPUTED_VALUE"""),2.0)</f>
        <v>2</v>
      </c>
      <c r="AK321" s="400" t="str">
        <f>IFERROR(__xludf.DUMMYFUNCTION("""COMPUTED_VALUE"""),"効果値")</f>
        <v>効果値</v>
      </c>
      <c r="AL321" s="343">
        <f>IFERROR(__xludf.DUMMYFUNCTION("""COMPUTED_VALUE"""),6.0)</f>
        <v>6</v>
      </c>
      <c r="AM321" s="402">
        <f>IFERROR(__xludf.DUMMYFUNCTION("""COMPUTED_VALUE"""),6.0)</f>
        <v>6</v>
      </c>
      <c r="AN321" s="343">
        <f>IFERROR(__xludf.DUMMYFUNCTION("""COMPUTED_VALUE"""),7.0)</f>
        <v>7</v>
      </c>
      <c r="AO321" s="402">
        <f>IFERROR(__xludf.DUMMYFUNCTION("""COMPUTED_VALUE"""),7.0)</f>
        <v>7</v>
      </c>
      <c r="AP321" s="343">
        <f>IFERROR(__xludf.DUMMYFUNCTION("""COMPUTED_VALUE"""),7.0)</f>
        <v>7</v>
      </c>
      <c r="AQ321" s="343">
        <f>IFERROR(__xludf.DUMMYFUNCTION("""COMPUTED_VALUE"""),7.0)</f>
        <v>7</v>
      </c>
      <c r="AR321" s="343">
        <f>IFERROR(__xludf.DUMMYFUNCTION("""COMPUTED_VALUE"""),11.0)</f>
        <v>11</v>
      </c>
      <c r="AS321" s="343">
        <f>IFERROR(__xludf.DUMMYFUNCTION("""COMPUTED_VALUE"""),11.0)</f>
        <v>11</v>
      </c>
      <c r="AT321" s="272" t="str">
        <f>IFERROR(__xludf.DUMMYFUNCTION("""COMPUTED_VALUE"""),"超持続型")</f>
        <v>超持続型</v>
      </c>
      <c r="AU321" s="399">
        <f>IFERROR(__xludf.DUMMYFUNCTION("""COMPUTED_VALUE"""),2.0)</f>
        <v>2</v>
      </c>
      <c r="AV321" s="400" t="str">
        <f>IFERROR(__xludf.DUMMYFUNCTION("""COMPUTED_VALUE"""),"効果値")</f>
        <v>効果値</v>
      </c>
      <c r="AW321" s="403" t="str">
        <f>IFERROR(__xludf.DUMMYFUNCTION("""COMPUTED_VALUE"""),"-")</f>
        <v>-</v>
      </c>
      <c r="AX321" s="403" t="str">
        <f>IFERROR(__xludf.DUMMYFUNCTION("""COMPUTED_VALUE"""),"-")</f>
        <v>-</v>
      </c>
      <c r="AY321" s="403" t="str">
        <f>IFERROR(__xludf.DUMMYFUNCTION("""COMPUTED_VALUE"""),"-")</f>
        <v>-</v>
      </c>
      <c r="AZ321" s="403" t="str">
        <f>IFERROR(__xludf.DUMMYFUNCTION("""COMPUTED_VALUE"""),"-")</f>
        <v>-</v>
      </c>
      <c r="BA321" s="403" t="str">
        <f>IFERROR(__xludf.DUMMYFUNCTION("""COMPUTED_VALUE"""),"-")</f>
        <v>-</v>
      </c>
      <c r="BB321" s="343">
        <f>IFERROR(__xludf.DUMMYFUNCTION("""COMPUTED_VALUE"""),7.0)</f>
        <v>7</v>
      </c>
      <c r="BC321" s="343">
        <f>IFERROR(__xludf.DUMMYFUNCTION("""COMPUTED_VALUE"""),11.0)</f>
        <v>11</v>
      </c>
      <c r="BD321" s="343">
        <f>IFERROR(__xludf.DUMMYFUNCTION("""COMPUTED_VALUE"""),11.0)</f>
        <v>11</v>
      </c>
      <c r="BE321" s="272" t="str">
        <f>IFERROR(__xludf.DUMMYFUNCTION("""COMPUTED_VALUE"""),"ハイブリッド型")</f>
        <v>ハイブリッド型</v>
      </c>
      <c r="BF321" s="399">
        <f>IFERROR(__xludf.DUMMYFUNCTION("""COMPUTED_VALUE"""),2.0)</f>
        <v>2</v>
      </c>
      <c r="BG321" s="400" t="str">
        <f>IFERROR(__xludf.DUMMYFUNCTION("""COMPUTED_VALUE"""),"効果値")</f>
        <v>効果値</v>
      </c>
      <c r="BH321" s="404">
        <f>IFERROR(__xludf.DUMMYFUNCTION("""COMPUTED_VALUE"""),10.8)</f>
        <v>10.8</v>
      </c>
      <c r="BI321" s="405">
        <f>IFERROR(__xludf.DUMMYFUNCTION("""COMPUTED_VALUE"""),11.2)</f>
        <v>11.2</v>
      </c>
      <c r="BJ321" s="405">
        <f>IFERROR(__xludf.DUMMYFUNCTION("""COMPUTED_VALUE"""),11.5)</f>
        <v>11.5</v>
      </c>
      <c r="BK321" s="405">
        <f>IFERROR(__xludf.DUMMYFUNCTION("""COMPUTED_VALUE"""),11.8)</f>
        <v>11.8</v>
      </c>
      <c r="BL321" s="405">
        <f>IFERROR(__xludf.DUMMYFUNCTION("""COMPUTED_VALUE"""),12.1)</f>
        <v>12.1</v>
      </c>
      <c r="BM321" s="405">
        <f>IFERROR(__xludf.DUMMYFUNCTION("""COMPUTED_VALUE"""),17.1)</f>
        <v>17.1</v>
      </c>
      <c r="BN321" s="405">
        <f>IFERROR(__xludf.DUMMYFUNCTION("""COMPUTED_VALUE"""),22.0)</f>
        <v>22</v>
      </c>
      <c r="BO321" s="406">
        <f>IFERROR(__xludf.DUMMYFUNCTION("""COMPUTED_VALUE"""),24.0)</f>
        <v>24</v>
      </c>
    </row>
    <row r="322">
      <c r="A322" s="307" t="str">
        <f>IFERROR(__xludf.DUMMYFUNCTION("""COMPUTED_VALUE"""),"攻撃力Down(自身)")</f>
        <v>攻撃力Down(自身)</v>
      </c>
      <c r="B322" s="272" t="str">
        <f>IFERROR(__xludf.DUMMYFUNCTION("""COMPUTED_VALUE"""),"超瞬間型")</f>
        <v>超瞬間型</v>
      </c>
      <c r="C322" s="386">
        <f>IFERROR(__xludf.DUMMYFUNCTION("""COMPUTED_VALUE"""),2.0)</f>
        <v>2</v>
      </c>
      <c r="D322" s="387" t="str">
        <f>IFERROR(__xludf.DUMMYFUNCTION("""COMPUTED_VALUE"""),"効果時間")</f>
        <v>効果時間</v>
      </c>
      <c r="E322" s="388" t="str">
        <f>IFERROR(__xludf.DUMMYFUNCTION("""COMPUTED_VALUE"""),"-")</f>
        <v>-</v>
      </c>
      <c r="F322" s="389" t="str">
        <f>IFERROR(__xludf.DUMMYFUNCTION("""COMPUTED_VALUE"""),"-")</f>
        <v>-</v>
      </c>
      <c r="G322" s="388" t="str">
        <f>IFERROR(__xludf.DUMMYFUNCTION("""COMPUTED_VALUE"""),"-")</f>
        <v>-</v>
      </c>
      <c r="H322" s="389" t="str">
        <f>IFERROR(__xludf.DUMMYFUNCTION("""COMPUTED_VALUE"""),"-")</f>
        <v>-</v>
      </c>
      <c r="I322" s="388" t="str">
        <f>IFERROR(__xludf.DUMMYFUNCTION("""COMPUTED_VALUE"""),"-")</f>
        <v>-</v>
      </c>
      <c r="J322" s="390">
        <f>IFERROR(__xludf.DUMMYFUNCTION("""COMPUTED_VALUE"""),150.0)</f>
        <v>150</v>
      </c>
      <c r="K322" s="391">
        <f>IFERROR(__xludf.DUMMYFUNCTION("""COMPUTED_VALUE"""),160.0)</f>
        <v>160</v>
      </c>
      <c r="L322" s="340">
        <f>IFERROR(__xludf.DUMMYFUNCTION("""COMPUTED_VALUE"""),170.0)</f>
        <v>170</v>
      </c>
      <c r="M322" s="272" t="str">
        <f>IFERROR(__xludf.DUMMYFUNCTION("""COMPUTED_VALUE"""),"瞬間型")</f>
        <v>瞬間型</v>
      </c>
      <c r="N322" s="386">
        <f>IFERROR(__xludf.DUMMYFUNCTION("""COMPUTED_VALUE"""),2.0)</f>
        <v>2</v>
      </c>
      <c r="O322" s="387" t="str">
        <f>IFERROR(__xludf.DUMMYFUNCTION("""COMPUTED_VALUE"""),"効果時間")</f>
        <v>効果時間</v>
      </c>
      <c r="P322" s="392">
        <f>IFERROR(__xludf.DUMMYFUNCTION("""COMPUTED_VALUE"""),160.0)</f>
        <v>160</v>
      </c>
      <c r="Q322" s="275">
        <f>IFERROR(__xludf.DUMMYFUNCTION("""COMPUTED_VALUE"""),165.0)</f>
        <v>165</v>
      </c>
      <c r="R322" s="280">
        <f>IFERROR(__xludf.DUMMYFUNCTION("""COMPUTED_VALUE"""),170.0)</f>
        <v>170</v>
      </c>
      <c r="S322" s="275">
        <f>IFERROR(__xludf.DUMMYFUNCTION("""COMPUTED_VALUE"""),175.0)</f>
        <v>175</v>
      </c>
      <c r="T322" s="280">
        <f>IFERROR(__xludf.DUMMYFUNCTION("""COMPUTED_VALUE"""),180.0)</f>
        <v>180</v>
      </c>
      <c r="U322" s="280">
        <f>IFERROR(__xludf.DUMMYFUNCTION("""COMPUTED_VALUE"""),180.0)</f>
        <v>180</v>
      </c>
      <c r="V322" s="280">
        <f>IFERROR(__xludf.DUMMYFUNCTION("""COMPUTED_VALUE"""),220.0)</f>
        <v>220</v>
      </c>
      <c r="W322" s="280">
        <f>IFERROR(__xludf.DUMMYFUNCTION("""COMPUTED_VALUE"""),230.0)</f>
        <v>230</v>
      </c>
      <c r="X322" s="272" t="str">
        <f>IFERROR(__xludf.DUMMYFUNCTION("""COMPUTED_VALUE"""),"安定型")</f>
        <v>安定型</v>
      </c>
      <c r="Y322" s="386">
        <f>IFERROR(__xludf.DUMMYFUNCTION("""COMPUTED_VALUE"""),2.0)</f>
        <v>2</v>
      </c>
      <c r="Z322" s="387" t="str">
        <f>IFERROR(__xludf.DUMMYFUNCTION("""COMPUTED_VALUE"""),"効果時間")</f>
        <v>効果時間</v>
      </c>
      <c r="AA322" s="392">
        <f>IFERROR(__xludf.DUMMYFUNCTION("""COMPUTED_VALUE"""),310.0)</f>
        <v>310</v>
      </c>
      <c r="AB322" s="275">
        <f>IFERROR(__xludf.DUMMYFUNCTION("""COMPUTED_VALUE"""),315.0)</f>
        <v>315</v>
      </c>
      <c r="AC322" s="280">
        <f>IFERROR(__xludf.DUMMYFUNCTION("""COMPUTED_VALUE"""),320.0)</f>
        <v>320</v>
      </c>
      <c r="AD322" s="275">
        <f>IFERROR(__xludf.DUMMYFUNCTION("""COMPUTED_VALUE"""),325.0)</f>
        <v>325</v>
      </c>
      <c r="AE322" s="280">
        <f>IFERROR(__xludf.DUMMYFUNCTION("""COMPUTED_VALUE"""),330.0)</f>
        <v>330</v>
      </c>
      <c r="AF322" s="280">
        <f>IFERROR(__xludf.DUMMYFUNCTION("""COMPUTED_VALUE"""),345.0)</f>
        <v>345</v>
      </c>
      <c r="AG322" s="280">
        <f>IFERROR(__xludf.DUMMYFUNCTION("""COMPUTED_VALUE"""),370.0)</f>
        <v>370</v>
      </c>
      <c r="AH322" s="280">
        <f>IFERROR(__xludf.DUMMYFUNCTION("""COMPUTED_VALUE"""),380.0)</f>
        <v>380</v>
      </c>
      <c r="AI322" s="272" t="str">
        <f>IFERROR(__xludf.DUMMYFUNCTION("""COMPUTED_VALUE"""),"持続型")</f>
        <v>持続型</v>
      </c>
      <c r="AJ322" s="386">
        <f>IFERROR(__xludf.DUMMYFUNCTION("""COMPUTED_VALUE"""),2.0)</f>
        <v>2</v>
      </c>
      <c r="AK322" s="387" t="str">
        <f>IFERROR(__xludf.DUMMYFUNCTION("""COMPUTED_VALUE"""),"効果時間")</f>
        <v>効果時間</v>
      </c>
      <c r="AL322" s="392">
        <f>IFERROR(__xludf.DUMMYFUNCTION("""COMPUTED_VALUE"""),460.0)</f>
        <v>460</v>
      </c>
      <c r="AM322" s="275">
        <f>IFERROR(__xludf.DUMMYFUNCTION("""COMPUTED_VALUE"""),465.0)</f>
        <v>465</v>
      </c>
      <c r="AN322" s="280">
        <f>IFERROR(__xludf.DUMMYFUNCTION("""COMPUTED_VALUE"""),470.0)</f>
        <v>470</v>
      </c>
      <c r="AO322" s="275">
        <f>IFERROR(__xludf.DUMMYFUNCTION("""COMPUTED_VALUE"""),475.0)</f>
        <v>475</v>
      </c>
      <c r="AP322" s="280">
        <f>IFERROR(__xludf.DUMMYFUNCTION("""COMPUTED_VALUE"""),480.0)</f>
        <v>480</v>
      </c>
      <c r="AQ322" s="280">
        <f>IFERROR(__xludf.DUMMYFUNCTION("""COMPUTED_VALUE"""),495.0)</f>
        <v>495</v>
      </c>
      <c r="AR322" s="280">
        <f>IFERROR(__xludf.DUMMYFUNCTION("""COMPUTED_VALUE"""),520.0)</f>
        <v>520</v>
      </c>
      <c r="AS322" s="280">
        <f>IFERROR(__xludf.DUMMYFUNCTION("""COMPUTED_VALUE"""),530.0)</f>
        <v>530</v>
      </c>
      <c r="AT322" s="272" t="str">
        <f>IFERROR(__xludf.DUMMYFUNCTION("""COMPUTED_VALUE"""),"超持続型")</f>
        <v>超持続型</v>
      </c>
      <c r="AU322" s="386">
        <f>IFERROR(__xludf.DUMMYFUNCTION("""COMPUTED_VALUE"""),2.0)</f>
        <v>2</v>
      </c>
      <c r="AV322" s="387" t="str">
        <f>IFERROR(__xludf.DUMMYFUNCTION("""COMPUTED_VALUE"""),"効果時間")</f>
        <v>効果時間</v>
      </c>
      <c r="AW322" s="368" t="str">
        <f>IFERROR(__xludf.DUMMYFUNCTION("""COMPUTED_VALUE"""),"-")</f>
        <v>-</v>
      </c>
      <c r="AX322" s="368" t="str">
        <f>IFERROR(__xludf.DUMMYFUNCTION("""COMPUTED_VALUE"""),"-")</f>
        <v>-</v>
      </c>
      <c r="AY322" s="368" t="str">
        <f>IFERROR(__xludf.DUMMYFUNCTION("""COMPUTED_VALUE"""),"-")</f>
        <v>-</v>
      </c>
      <c r="AZ322" s="368" t="str">
        <f>IFERROR(__xludf.DUMMYFUNCTION("""COMPUTED_VALUE"""),"-")</f>
        <v>-</v>
      </c>
      <c r="BA322" s="368" t="str">
        <f>IFERROR(__xludf.DUMMYFUNCTION("""COMPUTED_VALUE"""),"-")</f>
        <v>-</v>
      </c>
      <c r="BB322" s="280">
        <f>IFERROR(__xludf.DUMMYFUNCTION("""COMPUTED_VALUE"""),625.0)</f>
        <v>625</v>
      </c>
      <c r="BC322" s="280">
        <f>IFERROR(__xludf.DUMMYFUNCTION("""COMPUTED_VALUE"""),670.0)</f>
        <v>670</v>
      </c>
      <c r="BD322" s="280">
        <f>IFERROR(__xludf.DUMMYFUNCTION("""COMPUTED_VALUE"""),680.0)</f>
        <v>680</v>
      </c>
      <c r="BE322" s="272" t="str">
        <f>IFERROR(__xludf.DUMMYFUNCTION("""COMPUTED_VALUE"""),"ハイブリッド型")</f>
        <v>ハイブリッド型</v>
      </c>
      <c r="BF322" s="386">
        <f>IFERROR(__xludf.DUMMYFUNCTION("""COMPUTED_VALUE"""),2.0)</f>
        <v>2</v>
      </c>
      <c r="BG322" s="387" t="str">
        <f>IFERROR(__xludf.DUMMYFUNCTION("""COMPUTED_VALUE"""),"効果時間")</f>
        <v>効果時間</v>
      </c>
      <c r="BH322" s="407">
        <f>IFERROR(__xludf.DUMMYFUNCTION("""COMPUTED_VALUE"""),195.0)</f>
        <v>195</v>
      </c>
      <c r="BI322" s="407">
        <f>IFERROR(__xludf.DUMMYFUNCTION("""COMPUTED_VALUE"""),205.0)</f>
        <v>205</v>
      </c>
      <c r="BJ322" s="407">
        <f>IFERROR(__xludf.DUMMYFUNCTION("""COMPUTED_VALUE"""),205.0)</f>
        <v>205</v>
      </c>
      <c r="BK322" s="408">
        <f>IFERROR(__xludf.DUMMYFUNCTION("""COMPUTED_VALUE"""),210.0)</f>
        <v>210</v>
      </c>
      <c r="BL322" s="407">
        <f>IFERROR(__xludf.DUMMYFUNCTION("""COMPUTED_VALUE"""),215.0)</f>
        <v>215</v>
      </c>
      <c r="BM322" s="408">
        <f>IFERROR(__xludf.DUMMYFUNCTION("""COMPUTED_VALUE"""),375.0)</f>
        <v>375</v>
      </c>
      <c r="BN322" s="407">
        <f>IFERROR(__xludf.DUMMYFUNCTION("""COMPUTED_VALUE"""),480.0)</f>
        <v>480</v>
      </c>
      <c r="BO322" s="408">
        <f>IFERROR(__xludf.DUMMYFUNCTION("""COMPUTED_VALUE"""),490.0)</f>
        <v>490</v>
      </c>
    </row>
    <row r="323">
      <c r="A323" s="307" t="str">
        <f>IFERROR(__xludf.DUMMYFUNCTION("""COMPUTED_VALUE"""),"攻撃力Down(自身)")</f>
        <v>攻撃力Down(自身)</v>
      </c>
      <c r="B323" s="272" t="str">
        <f>IFERROR(__xludf.DUMMYFUNCTION("""COMPUTED_VALUE"""),"超瞬間型")</f>
        <v>超瞬間型</v>
      </c>
      <c r="C323" s="399">
        <f>IFERROR(__xludf.DUMMYFUNCTION("""COMPUTED_VALUE"""),3.0)</f>
        <v>3</v>
      </c>
      <c r="D323" s="400" t="str">
        <f>IFERROR(__xludf.DUMMYFUNCTION("""COMPUTED_VALUE"""),"効果値")</f>
        <v>効果値</v>
      </c>
      <c r="E323" s="401" t="str">
        <f>IFERROR(__xludf.DUMMYFUNCTION("""COMPUTED_VALUE"""),"-")</f>
        <v>-</v>
      </c>
      <c r="F323" s="409" t="str">
        <f>IFERROR(__xludf.DUMMYFUNCTION("""COMPUTED_VALUE"""),"-")</f>
        <v>-</v>
      </c>
      <c r="G323" s="401" t="str">
        <f>IFERROR(__xludf.DUMMYFUNCTION("""COMPUTED_VALUE"""),"-")</f>
        <v>-</v>
      </c>
      <c r="H323" s="409" t="str">
        <f>IFERROR(__xludf.DUMMYFUNCTION("""COMPUTED_VALUE"""),"-")</f>
        <v>-</v>
      </c>
      <c r="I323" s="409" t="str">
        <f>IFERROR(__xludf.DUMMYFUNCTION("""COMPUTED_VALUE"""),"-")</f>
        <v>-</v>
      </c>
      <c r="J323" s="410">
        <f>IFERROR(__xludf.DUMMYFUNCTION("""COMPUTED_VALUE"""),58.0)</f>
        <v>58</v>
      </c>
      <c r="K323" s="410">
        <f>IFERROR(__xludf.DUMMYFUNCTION("""COMPUTED_VALUE"""),68.0)</f>
        <v>68</v>
      </c>
      <c r="L323" s="410">
        <f>IFERROR(__xludf.DUMMYFUNCTION("""COMPUTED_VALUE"""),72.0)</f>
        <v>72</v>
      </c>
      <c r="M323" s="272" t="str">
        <f>IFERROR(__xludf.DUMMYFUNCTION("""COMPUTED_VALUE"""),"瞬間型")</f>
        <v>瞬間型</v>
      </c>
      <c r="N323" s="399">
        <f>IFERROR(__xludf.DUMMYFUNCTION("""COMPUTED_VALUE"""),3.0)</f>
        <v>3</v>
      </c>
      <c r="O323" s="400" t="str">
        <f>IFERROR(__xludf.DUMMYFUNCTION("""COMPUTED_VALUE"""),"効果値")</f>
        <v>効果値</v>
      </c>
      <c r="P323" s="343">
        <f>IFERROR(__xludf.DUMMYFUNCTION("""COMPUTED_VALUE"""),22.0)</f>
        <v>22</v>
      </c>
      <c r="Q323" s="402">
        <f>IFERROR(__xludf.DUMMYFUNCTION("""COMPUTED_VALUE"""),22.0)</f>
        <v>22</v>
      </c>
      <c r="R323" s="402">
        <f>IFERROR(__xludf.DUMMYFUNCTION("""COMPUTED_VALUE"""),23.0)</f>
        <v>23</v>
      </c>
      <c r="S323" s="402">
        <f>IFERROR(__xludf.DUMMYFUNCTION("""COMPUTED_VALUE"""),23.0)</f>
        <v>23</v>
      </c>
      <c r="T323" s="402">
        <f>IFERROR(__xludf.DUMMYFUNCTION("""COMPUTED_VALUE"""),23.0)</f>
        <v>23</v>
      </c>
      <c r="U323" s="402">
        <f>IFERROR(__xludf.DUMMYFUNCTION("""COMPUTED_VALUE"""),28.0)</f>
        <v>28</v>
      </c>
      <c r="V323" s="402">
        <f>IFERROR(__xludf.DUMMYFUNCTION("""COMPUTED_VALUE"""),33.0)</f>
        <v>33</v>
      </c>
      <c r="W323" s="402">
        <f>IFERROR(__xludf.DUMMYFUNCTION("""COMPUTED_VALUE"""),37.0)</f>
        <v>37</v>
      </c>
      <c r="X323" s="272" t="str">
        <f>IFERROR(__xludf.DUMMYFUNCTION("""COMPUTED_VALUE"""),"安定型")</f>
        <v>安定型</v>
      </c>
      <c r="Y323" s="399">
        <f>IFERROR(__xludf.DUMMYFUNCTION("""COMPUTED_VALUE"""),3.0)</f>
        <v>3</v>
      </c>
      <c r="Z323" s="400" t="str">
        <f>IFERROR(__xludf.DUMMYFUNCTION("""COMPUTED_VALUE"""),"効果値")</f>
        <v>効果値</v>
      </c>
      <c r="AA323" s="343">
        <f>IFERROR(__xludf.DUMMYFUNCTION("""COMPUTED_VALUE"""),12.0)</f>
        <v>12</v>
      </c>
      <c r="AB323" s="402">
        <f>IFERROR(__xludf.DUMMYFUNCTION("""COMPUTED_VALUE"""),12.0)</f>
        <v>12</v>
      </c>
      <c r="AC323" s="402">
        <f>IFERROR(__xludf.DUMMYFUNCTION("""COMPUTED_VALUE"""),13.0)</f>
        <v>13</v>
      </c>
      <c r="AD323" s="402">
        <f>IFERROR(__xludf.DUMMYFUNCTION("""COMPUTED_VALUE"""),13.0)</f>
        <v>13</v>
      </c>
      <c r="AE323" s="402">
        <f>IFERROR(__xludf.DUMMYFUNCTION("""COMPUTED_VALUE"""),13.0)</f>
        <v>13</v>
      </c>
      <c r="AF323" s="402">
        <f>IFERROR(__xludf.DUMMYFUNCTION("""COMPUTED_VALUE"""),13.0)</f>
        <v>13</v>
      </c>
      <c r="AG323" s="402">
        <f>IFERROR(__xludf.DUMMYFUNCTION("""COMPUTED_VALUE"""),18.0)</f>
        <v>18</v>
      </c>
      <c r="AH323" s="402">
        <f>IFERROR(__xludf.DUMMYFUNCTION("""COMPUTED_VALUE"""),22.0)</f>
        <v>22</v>
      </c>
      <c r="AI323" s="272" t="str">
        <f>IFERROR(__xludf.DUMMYFUNCTION("""COMPUTED_VALUE"""),"持続型")</f>
        <v>持続型</v>
      </c>
      <c r="AJ323" s="399">
        <f>IFERROR(__xludf.DUMMYFUNCTION("""COMPUTED_VALUE"""),3.0)</f>
        <v>3</v>
      </c>
      <c r="AK323" s="400" t="str">
        <f>IFERROR(__xludf.DUMMYFUNCTION("""COMPUTED_VALUE"""),"効果値")</f>
        <v>効果値</v>
      </c>
      <c r="AL323" s="343">
        <f>IFERROR(__xludf.DUMMYFUNCTION("""COMPUTED_VALUE"""),7.0)</f>
        <v>7</v>
      </c>
      <c r="AM323" s="402">
        <f>IFERROR(__xludf.DUMMYFUNCTION("""COMPUTED_VALUE"""),7.0)</f>
        <v>7</v>
      </c>
      <c r="AN323" s="402">
        <f>IFERROR(__xludf.DUMMYFUNCTION("""COMPUTED_VALUE"""),8.0)</f>
        <v>8</v>
      </c>
      <c r="AO323" s="402">
        <f>IFERROR(__xludf.DUMMYFUNCTION("""COMPUTED_VALUE"""),8.0)</f>
        <v>8</v>
      </c>
      <c r="AP323" s="402">
        <f>IFERROR(__xludf.DUMMYFUNCTION("""COMPUTED_VALUE"""),8.0)</f>
        <v>8</v>
      </c>
      <c r="AQ323" s="402">
        <f>IFERROR(__xludf.DUMMYFUNCTION("""COMPUTED_VALUE"""),8.0)</f>
        <v>8</v>
      </c>
      <c r="AR323" s="402">
        <f>IFERROR(__xludf.DUMMYFUNCTION("""COMPUTED_VALUE"""),11.0)</f>
        <v>11</v>
      </c>
      <c r="AS323" s="402">
        <f>IFERROR(__xludf.DUMMYFUNCTION("""COMPUTED_VALUE"""),11.0)</f>
        <v>11</v>
      </c>
      <c r="AT323" s="272" t="str">
        <f>IFERROR(__xludf.DUMMYFUNCTION("""COMPUTED_VALUE"""),"超持続型")</f>
        <v>超持続型</v>
      </c>
      <c r="AU323" s="399">
        <f>IFERROR(__xludf.DUMMYFUNCTION("""COMPUTED_VALUE"""),3.0)</f>
        <v>3</v>
      </c>
      <c r="AV323" s="400" t="str">
        <f>IFERROR(__xludf.DUMMYFUNCTION("""COMPUTED_VALUE"""),"効果値")</f>
        <v>効果値</v>
      </c>
      <c r="AW323" s="403" t="str">
        <f>IFERROR(__xludf.DUMMYFUNCTION("""COMPUTED_VALUE"""),"-")</f>
        <v>-</v>
      </c>
      <c r="AX323" s="403" t="str">
        <f>IFERROR(__xludf.DUMMYFUNCTION("""COMPUTED_VALUE"""),"-")</f>
        <v>-</v>
      </c>
      <c r="AY323" s="403" t="str">
        <f>IFERROR(__xludf.DUMMYFUNCTION("""COMPUTED_VALUE"""),"-")</f>
        <v>-</v>
      </c>
      <c r="AZ323" s="403" t="str">
        <f>IFERROR(__xludf.DUMMYFUNCTION("""COMPUTED_VALUE"""),"-")</f>
        <v>-</v>
      </c>
      <c r="BA323" s="403" t="str">
        <f>IFERROR(__xludf.DUMMYFUNCTION("""COMPUTED_VALUE"""),"-")</f>
        <v>-</v>
      </c>
      <c r="BB323" s="343">
        <f>IFERROR(__xludf.DUMMYFUNCTION("""COMPUTED_VALUE"""),8.0)</f>
        <v>8</v>
      </c>
      <c r="BC323" s="343">
        <f>IFERROR(__xludf.DUMMYFUNCTION("""COMPUTED_VALUE"""),11.0)</f>
        <v>11</v>
      </c>
      <c r="BD323" s="343">
        <f>IFERROR(__xludf.DUMMYFUNCTION("""COMPUTED_VALUE"""),11.0)</f>
        <v>11</v>
      </c>
      <c r="BE323" s="272" t="str">
        <f>IFERROR(__xludf.DUMMYFUNCTION("""COMPUTED_VALUE"""),"ハイブリッド型")</f>
        <v>ハイブリッド型</v>
      </c>
      <c r="BF323" s="399">
        <f>IFERROR(__xludf.DUMMYFUNCTION("""COMPUTED_VALUE"""),3.0)</f>
        <v>3</v>
      </c>
      <c r="BG323" s="400" t="str">
        <f>IFERROR(__xludf.DUMMYFUNCTION("""COMPUTED_VALUE"""),"効果値")</f>
        <v>効果値</v>
      </c>
      <c r="BH323" s="411">
        <f>IFERROR(__xludf.DUMMYFUNCTION("""COMPUTED_VALUE"""),11.4)</f>
        <v>11.4</v>
      </c>
      <c r="BI323" s="412">
        <f>IFERROR(__xludf.DUMMYFUNCTION("""COMPUTED_VALUE"""),11.9)</f>
        <v>11.9</v>
      </c>
      <c r="BJ323" s="412">
        <f>IFERROR(__xludf.DUMMYFUNCTION("""COMPUTED_VALUE"""),12.5)</f>
        <v>12.5</v>
      </c>
      <c r="BK323" s="412">
        <f>IFERROR(__xludf.DUMMYFUNCTION("""COMPUTED_VALUE"""),13.0)</f>
        <v>13</v>
      </c>
      <c r="BL323" s="412">
        <f>IFERROR(__xludf.DUMMYFUNCTION("""COMPUTED_VALUE"""),13.5)</f>
        <v>13.5</v>
      </c>
      <c r="BM323" s="412">
        <f>IFERROR(__xludf.DUMMYFUNCTION("""COMPUTED_VALUE"""),18.5)</f>
        <v>18.5</v>
      </c>
      <c r="BN323" s="412">
        <f>IFERROR(__xludf.DUMMYFUNCTION("""COMPUTED_VALUE"""),23.0)</f>
        <v>23</v>
      </c>
      <c r="BO323" s="413">
        <f>IFERROR(__xludf.DUMMYFUNCTION("""COMPUTED_VALUE"""),27.0)</f>
        <v>27</v>
      </c>
    </row>
    <row r="324">
      <c r="A324" s="320" t="str">
        <f>IFERROR(__xludf.DUMMYFUNCTION("""COMPUTED_VALUE"""),"攻撃力Down(自身)")</f>
        <v>攻撃力Down(自身)</v>
      </c>
      <c r="B324" s="272" t="str">
        <f>IFERROR(__xludf.DUMMYFUNCTION("""COMPUTED_VALUE"""),"超瞬間型")</f>
        <v>超瞬間型</v>
      </c>
      <c r="C324" s="386">
        <f>IFERROR(__xludf.DUMMYFUNCTION("""COMPUTED_VALUE"""),3.0)</f>
        <v>3</v>
      </c>
      <c r="D324" s="387" t="str">
        <f>IFERROR(__xludf.DUMMYFUNCTION("""COMPUTED_VALUE"""),"効果時間")</f>
        <v>効果時間</v>
      </c>
      <c r="E324" s="388" t="str">
        <f>IFERROR(__xludf.DUMMYFUNCTION("""COMPUTED_VALUE"""),"-")</f>
        <v>-</v>
      </c>
      <c r="F324" s="389" t="str">
        <f>IFERROR(__xludf.DUMMYFUNCTION("""COMPUTED_VALUE"""),"-")</f>
        <v>-</v>
      </c>
      <c r="G324" s="388" t="str">
        <f>IFERROR(__xludf.DUMMYFUNCTION("""COMPUTED_VALUE"""),"-")</f>
        <v>-</v>
      </c>
      <c r="H324" s="389" t="str">
        <f>IFERROR(__xludf.DUMMYFUNCTION("""COMPUTED_VALUE"""),"-")</f>
        <v>-</v>
      </c>
      <c r="I324" s="388" t="str">
        <f>IFERROR(__xludf.DUMMYFUNCTION("""COMPUTED_VALUE"""),"-")</f>
        <v>-</v>
      </c>
      <c r="J324" s="390">
        <f>IFERROR(__xludf.DUMMYFUNCTION("""COMPUTED_VALUE"""),155.0)</f>
        <v>155</v>
      </c>
      <c r="K324" s="391">
        <f>IFERROR(__xludf.DUMMYFUNCTION("""COMPUTED_VALUE"""),165.0)</f>
        <v>165</v>
      </c>
      <c r="L324" s="340">
        <f>IFERROR(__xludf.DUMMYFUNCTION("""COMPUTED_VALUE"""),185.0)</f>
        <v>185</v>
      </c>
      <c r="M324" s="272" t="str">
        <f>IFERROR(__xludf.DUMMYFUNCTION("""COMPUTED_VALUE"""),"瞬間型")</f>
        <v>瞬間型</v>
      </c>
      <c r="N324" s="386">
        <f>IFERROR(__xludf.DUMMYFUNCTION("""COMPUTED_VALUE"""),3.0)</f>
        <v>3</v>
      </c>
      <c r="O324" s="387" t="str">
        <f>IFERROR(__xludf.DUMMYFUNCTION("""COMPUTED_VALUE"""),"効果時間")</f>
        <v>効果時間</v>
      </c>
      <c r="P324" s="392">
        <f>IFERROR(__xludf.DUMMYFUNCTION("""COMPUTED_VALUE"""),165.0)</f>
        <v>165</v>
      </c>
      <c r="Q324" s="414">
        <f>IFERROR(__xludf.DUMMYFUNCTION("""COMPUTED_VALUE"""),175.0)</f>
        <v>175</v>
      </c>
      <c r="R324" s="415">
        <f>IFERROR(__xludf.DUMMYFUNCTION("""COMPUTED_VALUE"""),180.0)</f>
        <v>180</v>
      </c>
      <c r="S324" s="393">
        <f>IFERROR(__xludf.DUMMYFUNCTION("""COMPUTED_VALUE"""),185.0)</f>
        <v>185</v>
      </c>
      <c r="T324" s="393">
        <f>IFERROR(__xludf.DUMMYFUNCTION("""COMPUTED_VALUE"""),195.0)</f>
        <v>195</v>
      </c>
      <c r="U324" s="414">
        <f>IFERROR(__xludf.DUMMYFUNCTION("""COMPUTED_VALUE"""),200.0)</f>
        <v>200</v>
      </c>
      <c r="V324" s="416">
        <f>IFERROR(__xludf.DUMMYFUNCTION("""COMPUTED_VALUE"""),255.0)</f>
        <v>255</v>
      </c>
      <c r="W324" s="415">
        <f>IFERROR(__xludf.DUMMYFUNCTION("""COMPUTED_VALUE"""),270.0)</f>
        <v>270</v>
      </c>
      <c r="X324" s="272" t="str">
        <f>IFERROR(__xludf.DUMMYFUNCTION("""COMPUTED_VALUE"""),"安定型")</f>
        <v>安定型</v>
      </c>
      <c r="Y324" s="386">
        <f>IFERROR(__xludf.DUMMYFUNCTION("""COMPUTED_VALUE"""),3.0)</f>
        <v>3</v>
      </c>
      <c r="Z324" s="387" t="str">
        <f>IFERROR(__xludf.DUMMYFUNCTION("""COMPUTED_VALUE"""),"効果時間")</f>
        <v>効果時間</v>
      </c>
      <c r="AA324" s="392">
        <f>IFERROR(__xludf.DUMMYFUNCTION("""COMPUTED_VALUE"""),315.0)</f>
        <v>315</v>
      </c>
      <c r="AB324" s="414">
        <f>IFERROR(__xludf.DUMMYFUNCTION("""COMPUTED_VALUE"""),325.0)</f>
        <v>325</v>
      </c>
      <c r="AC324" s="415">
        <f>IFERROR(__xludf.DUMMYFUNCTION("""COMPUTED_VALUE"""),330.0)</f>
        <v>330</v>
      </c>
      <c r="AD324" s="393">
        <f>IFERROR(__xludf.DUMMYFUNCTION("""COMPUTED_VALUE"""),335.0)</f>
        <v>335</v>
      </c>
      <c r="AE324" s="393">
        <f>IFERROR(__xludf.DUMMYFUNCTION("""COMPUTED_VALUE"""),345.0)</f>
        <v>345</v>
      </c>
      <c r="AF324" s="414">
        <f>IFERROR(__xludf.DUMMYFUNCTION("""COMPUTED_VALUE"""),370.0)</f>
        <v>370</v>
      </c>
      <c r="AG324" s="416">
        <f>IFERROR(__xludf.DUMMYFUNCTION("""COMPUTED_VALUE"""),405.0)</f>
        <v>405</v>
      </c>
      <c r="AH324" s="415">
        <f>IFERROR(__xludf.DUMMYFUNCTION("""COMPUTED_VALUE"""),420.0)</f>
        <v>420</v>
      </c>
      <c r="AI324" s="272" t="str">
        <f>IFERROR(__xludf.DUMMYFUNCTION("""COMPUTED_VALUE"""),"持続型")</f>
        <v>持続型</v>
      </c>
      <c r="AJ324" s="386">
        <f>IFERROR(__xludf.DUMMYFUNCTION("""COMPUTED_VALUE"""),3.0)</f>
        <v>3</v>
      </c>
      <c r="AK324" s="387" t="str">
        <f>IFERROR(__xludf.DUMMYFUNCTION("""COMPUTED_VALUE"""),"効果時間")</f>
        <v>効果時間</v>
      </c>
      <c r="AL324" s="392">
        <f>IFERROR(__xludf.DUMMYFUNCTION("""COMPUTED_VALUE"""),465.0)</f>
        <v>465</v>
      </c>
      <c r="AM324" s="414">
        <f>IFERROR(__xludf.DUMMYFUNCTION("""COMPUTED_VALUE"""),475.0)</f>
        <v>475</v>
      </c>
      <c r="AN324" s="415">
        <f>IFERROR(__xludf.DUMMYFUNCTION("""COMPUTED_VALUE"""),480.0)</f>
        <v>480</v>
      </c>
      <c r="AO324" s="393">
        <f>IFERROR(__xludf.DUMMYFUNCTION("""COMPUTED_VALUE"""),485.0)</f>
        <v>485</v>
      </c>
      <c r="AP324" s="393">
        <f>IFERROR(__xludf.DUMMYFUNCTION("""COMPUTED_VALUE"""),495.0)</f>
        <v>495</v>
      </c>
      <c r="AQ324" s="414">
        <f>IFERROR(__xludf.DUMMYFUNCTION("""COMPUTED_VALUE"""),520.0)</f>
        <v>520</v>
      </c>
      <c r="AR324" s="416">
        <f>IFERROR(__xludf.DUMMYFUNCTION("""COMPUTED_VALUE"""),555.0)</f>
        <v>555</v>
      </c>
      <c r="AS324" s="415">
        <f>IFERROR(__xludf.DUMMYFUNCTION("""COMPUTED_VALUE"""),570.0)</f>
        <v>570</v>
      </c>
      <c r="AT324" s="272" t="str">
        <f>IFERROR(__xludf.DUMMYFUNCTION("""COMPUTED_VALUE"""),"超持続型")</f>
        <v>超持続型</v>
      </c>
      <c r="AU324" s="386">
        <f>IFERROR(__xludf.DUMMYFUNCTION("""COMPUTED_VALUE"""),3.0)</f>
        <v>3</v>
      </c>
      <c r="AV324" s="387" t="str">
        <f>IFERROR(__xludf.DUMMYFUNCTION("""COMPUTED_VALUE"""),"効果時間")</f>
        <v>効果時間</v>
      </c>
      <c r="AW324" s="368" t="str">
        <f>IFERROR(__xludf.DUMMYFUNCTION("""COMPUTED_VALUE"""),"-")</f>
        <v>-</v>
      </c>
      <c r="AX324" s="368" t="str">
        <f>IFERROR(__xludf.DUMMYFUNCTION("""COMPUTED_VALUE"""),"-")</f>
        <v>-</v>
      </c>
      <c r="AY324" s="368" t="str">
        <f>IFERROR(__xludf.DUMMYFUNCTION("""COMPUTED_VALUE"""),"-")</f>
        <v>-</v>
      </c>
      <c r="AZ324" s="368" t="str">
        <f>IFERROR(__xludf.DUMMYFUNCTION("""COMPUTED_VALUE"""),"-")</f>
        <v>-</v>
      </c>
      <c r="BA324" s="368" t="str">
        <f>IFERROR(__xludf.DUMMYFUNCTION("""COMPUTED_VALUE"""),"-")</f>
        <v>-</v>
      </c>
      <c r="BB324" s="280">
        <f>IFERROR(__xludf.DUMMYFUNCTION("""COMPUTED_VALUE"""),635.0)</f>
        <v>635</v>
      </c>
      <c r="BC324" s="280">
        <f>IFERROR(__xludf.DUMMYFUNCTION("""COMPUTED_VALUE"""),705.0)</f>
        <v>705</v>
      </c>
      <c r="BD324" s="280">
        <f>IFERROR(__xludf.DUMMYFUNCTION("""COMPUTED_VALUE"""),720.0)</f>
        <v>720</v>
      </c>
      <c r="BE324" s="272" t="str">
        <f>IFERROR(__xludf.DUMMYFUNCTION("""COMPUTED_VALUE"""),"ハイブリッド型")</f>
        <v>ハイブリッド型</v>
      </c>
      <c r="BF324" s="386">
        <f>IFERROR(__xludf.DUMMYFUNCTION("""COMPUTED_VALUE"""),3.0)</f>
        <v>3</v>
      </c>
      <c r="BG324" s="387" t="str">
        <f>IFERROR(__xludf.DUMMYFUNCTION("""COMPUTED_VALUE"""),"効果時間")</f>
        <v>効果時間</v>
      </c>
      <c r="BH324" s="407">
        <f>IFERROR(__xludf.DUMMYFUNCTION("""COMPUTED_VALUE"""),220.0)</f>
        <v>220</v>
      </c>
      <c r="BI324" s="407">
        <f>IFERROR(__xludf.DUMMYFUNCTION("""COMPUTED_VALUE"""),235.0)</f>
        <v>235</v>
      </c>
      <c r="BJ324" s="407">
        <f>IFERROR(__xludf.DUMMYFUNCTION("""COMPUTED_VALUE"""),240.0)</f>
        <v>240</v>
      </c>
      <c r="BK324" s="408">
        <f>IFERROR(__xludf.DUMMYFUNCTION("""COMPUTED_VALUE"""),250.0)</f>
        <v>250</v>
      </c>
      <c r="BL324" s="407">
        <f>IFERROR(__xludf.DUMMYFUNCTION("""COMPUTED_VALUE"""),255.0)</f>
        <v>255</v>
      </c>
      <c r="BM324" s="408">
        <f>IFERROR(__xludf.DUMMYFUNCTION("""COMPUTED_VALUE"""),385.0)</f>
        <v>385</v>
      </c>
      <c r="BN324" s="407">
        <f>IFERROR(__xludf.DUMMYFUNCTION("""COMPUTED_VALUE"""),490.0)</f>
        <v>490</v>
      </c>
      <c r="BO324" s="408">
        <f>IFERROR(__xludf.DUMMYFUNCTION("""COMPUTED_VALUE"""),505.0)</f>
        <v>505</v>
      </c>
    </row>
    <row r="325">
      <c r="A325" s="320" t="str">
        <f>IFERROR(__xludf.DUMMYFUNCTION("""COMPUTED_VALUE"""),"攻撃力Down(自身)")</f>
        <v>攻撃力Down(自身)</v>
      </c>
      <c r="B325" s="272" t="str">
        <f>IFERROR(__xludf.DUMMYFUNCTION("""COMPUTED_VALUE"""),"超瞬間型")</f>
        <v>超瞬間型</v>
      </c>
      <c r="C325" s="399">
        <f>IFERROR(__xludf.DUMMYFUNCTION("""COMPUTED_VALUE"""),4.0)</f>
        <v>4</v>
      </c>
      <c r="D325" s="400" t="str">
        <f>IFERROR(__xludf.DUMMYFUNCTION("""COMPUTED_VALUE"""),"効果値")</f>
        <v>効果値</v>
      </c>
      <c r="E325" s="401" t="str">
        <f>IFERROR(__xludf.DUMMYFUNCTION("""COMPUTED_VALUE"""),"-")</f>
        <v>-</v>
      </c>
      <c r="F325" s="409" t="str">
        <f>IFERROR(__xludf.DUMMYFUNCTION("""COMPUTED_VALUE"""),"-")</f>
        <v>-</v>
      </c>
      <c r="G325" s="409" t="str">
        <f>IFERROR(__xludf.DUMMYFUNCTION("""COMPUTED_VALUE"""),"-")</f>
        <v>-</v>
      </c>
      <c r="H325" s="409" t="str">
        <f>IFERROR(__xludf.DUMMYFUNCTION("""COMPUTED_VALUE"""),"-")</f>
        <v>-</v>
      </c>
      <c r="I325" s="409" t="str">
        <f>IFERROR(__xludf.DUMMYFUNCTION("""COMPUTED_VALUE"""),"-")</f>
        <v>-</v>
      </c>
      <c r="J325" s="410">
        <f>IFERROR(__xludf.DUMMYFUNCTION("""COMPUTED_VALUE"""),59.0)</f>
        <v>59</v>
      </c>
      <c r="K325" s="410">
        <f>IFERROR(__xludf.DUMMYFUNCTION("""COMPUTED_VALUE"""),69.0)</f>
        <v>69</v>
      </c>
      <c r="L325" s="410">
        <f>IFERROR(__xludf.DUMMYFUNCTION("""COMPUTED_VALUE"""),74.0)</f>
        <v>74</v>
      </c>
      <c r="M325" s="272" t="str">
        <f>IFERROR(__xludf.DUMMYFUNCTION("""COMPUTED_VALUE"""),"瞬間型")</f>
        <v>瞬間型</v>
      </c>
      <c r="N325" s="399">
        <f>IFERROR(__xludf.DUMMYFUNCTION("""COMPUTED_VALUE"""),4.0)</f>
        <v>4</v>
      </c>
      <c r="O325" s="400" t="str">
        <f>IFERROR(__xludf.DUMMYFUNCTION("""COMPUTED_VALUE"""),"効果値")</f>
        <v>効果値</v>
      </c>
      <c r="P325" s="343">
        <f>IFERROR(__xludf.DUMMYFUNCTION("""COMPUTED_VALUE"""),23.0)</f>
        <v>23</v>
      </c>
      <c r="Q325" s="402">
        <f>IFERROR(__xludf.DUMMYFUNCTION("""COMPUTED_VALUE"""),23.0)</f>
        <v>23</v>
      </c>
      <c r="R325" s="343">
        <f>IFERROR(__xludf.DUMMYFUNCTION("""COMPUTED_VALUE"""),23.0)</f>
        <v>23</v>
      </c>
      <c r="S325" s="402">
        <f>IFERROR(__xludf.DUMMYFUNCTION("""COMPUTED_VALUE"""),23.0)</f>
        <v>23</v>
      </c>
      <c r="T325" s="343">
        <f>IFERROR(__xludf.DUMMYFUNCTION("""COMPUTED_VALUE"""),23.0)</f>
        <v>23</v>
      </c>
      <c r="U325" s="343">
        <f>IFERROR(__xludf.DUMMYFUNCTION("""COMPUTED_VALUE"""),29.0)</f>
        <v>29</v>
      </c>
      <c r="V325" s="343">
        <f>IFERROR(__xludf.DUMMYFUNCTION("""COMPUTED_VALUE"""),34.0)</f>
        <v>34</v>
      </c>
      <c r="W325" s="343">
        <f>IFERROR(__xludf.DUMMYFUNCTION("""COMPUTED_VALUE"""),39.0)</f>
        <v>39</v>
      </c>
      <c r="X325" s="272" t="str">
        <f>IFERROR(__xludf.DUMMYFUNCTION("""COMPUTED_VALUE"""),"安定型")</f>
        <v>安定型</v>
      </c>
      <c r="Y325" s="399">
        <f>IFERROR(__xludf.DUMMYFUNCTION("""COMPUTED_VALUE"""),4.0)</f>
        <v>4</v>
      </c>
      <c r="Z325" s="400" t="str">
        <f>IFERROR(__xludf.DUMMYFUNCTION("""COMPUTED_VALUE"""),"効果値")</f>
        <v>効果値</v>
      </c>
      <c r="AA325" s="343">
        <f>IFERROR(__xludf.DUMMYFUNCTION("""COMPUTED_VALUE"""),13.0)</f>
        <v>13</v>
      </c>
      <c r="AB325" s="402">
        <f>IFERROR(__xludf.DUMMYFUNCTION("""COMPUTED_VALUE"""),13.0)</f>
        <v>13</v>
      </c>
      <c r="AC325" s="343">
        <f>IFERROR(__xludf.DUMMYFUNCTION("""COMPUTED_VALUE"""),13.0)</f>
        <v>13</v>
      </c>
      <c r="AD325" s="402">
        <f>IFERROR(__xludf.DUMMYFUNCTION("""COMPUTED_VALUE"""),13.0)</f>
        <v>13</v>
      </c>
      <c r="AE325" s="343">
        <f>IFERROR(__xludf.DUMMYFUNCTION("""COMPUTED_VALUE"""),13.0)</f>
        <v>13</v>
      </c>
      <c r="AF325" s="343">
        <f>IFERROR(__xludf.DUMMYFUNCTION("""COMPUTED_VALUE"""),14.0)</f>
        <v>14</v>
      </c>
      <c r="AG325" s="343">
        <f>IFERROR(__xludf.DUMMYFUNCTION("""COMPUTED_VALUE"""),19.0)</f>
        <v>19</v>
      </c>
      <c r="AH325" s="343">
        <f>IFERROR(__xludf.DUMMYFUNCTION("""COMPUTED_VALUE"""),24.0)</f>
        <v>24</v>
      </c>
      <c r="AI325" s="272" t="str">
        <f>IFERROR(__xludf.DUMMYFUNCTION("""COMPUTED_VALUE"""),"持続型")</f>
        <v>持続型</v>
      </c>
      <c r="AJ325" s="399">
        <f>IFERROR(__xludf.DUMMYFUNCTION("""COMPUTED_VALUE"""),4.0)</f>
        <v>4</v>
      </c>
      <c r="AK325" s="400" t="str">
        <f>IFERROR(__xludf.DUMMYFUNCTION("""COMPUTED_VALUE"""),"効果値")</f>
        <v>効果値</v>
      </c>
      <c r="AL325" s="343">
        <f>IFERROR(__xludf.DUMMYFUNCTION("""COMPUTED_VALUE"""),8.0)</f>
        <v>8</v>
      </c>
      <c r="AM325" s="402">
        <f>IFERROR(__xludf.DUMMYFUNCTION("""COMPUTED_VALUE"""),8.0)</f>
        <v>8</v>
      </c>
      <c r="AN325" s="343">
        <f>IFERROR(__xludf.DUMMYFUNCTION("""COMPUTED_VALUE"""),8.0)</f>
        <v>8</v>
      </c>
      <c r="AO325" s="402">
        <f>IFERROR(__xludf.DUMMYFUNCTION("""COMPUTED_VALUE"""),8.0)</f>
        <v>8</v>
      </c>
      <c r="AP325" s="343">
        <f>IFERROR(__xludf.DUMMYFUNCTION("""COMPUTED_VALUE"""),8.0)</f>
        <v>8</v>
      </c>
      <c r="AQ325" s="343">
        <f>IFERROR(__xludf.DUMMYFUNCTION("""COMPUTED_VALUE"""),9.0)</f>
        <v>9</v>
      </c>
      <c r="AR325" s="343">
        <f>IFERROR(__xludf.DUMMYFUNCTION("""COMPUTED_VALUE"""),12.0)</f>
        <v>12</v>
      </c>
      <c r="AS325" s="343">
        <f>IFERROR(__xludf.DUMMYFUNCTION("""COMPUTED_VALUE"""),12.0)</f>
        <v>12</v>
      </c>
      <c r="AT325" s="272" t="str">
        <f>IFERROR(__xludf.DUMMYFUNCTION("""COMPUTED_VALUE"""),"超持続型")</f>
        <v>超持続型</v>
      </c>
      <c r="AU325" s="399">
        <f>IFERROR(__xludf.DUMMYFUNCTION("""COMPUTED_VALUE"""),4.0)</f>
        <v>4</v>
      </c>
      <c r="AV325" s="400" t="str">
        <f>IFERROR(__xludf.DUMMYFUNCTION("""COMPUTED_VALUE"""),"効果値")</f>
        <v>効果値</v>
      </c>
      <c r="AW325" s="403" t="str">
        <f>IFERROR(__xludf.DUMMYFUNCTION("""COMPUTED_VALUE"""),"-")</f>
        <v>-</v>
      </c>
      <c r="AX325" s="403" t="str">
        <f>IFERROR(__xludf.DUMMYFUNCTION("""COMPUTED_VALUE"""),"-")</f>
        <v>-</v>
      </c>
      <c r="AY325" s="403" t="str">
        <f>IFERROR(__xludf.DUMMYFUNCTION("""COMPUTED_VALUE"""),"-")</f>
        <v>-</v>
      </c>
      <c r="AZ325" s="403" t="str">
        <f>IFERROR(__xludf.DUMMYFUNCTION("""COMPUTED_VALUE"""),"-")</f>
        <v>-</v>
      </c>
      <c r="BA325" s="403" t="str">
        <f>IFERROR(__xludf.DUMMYFUNCTION("""COMPUTED_VALUE"""),"-")</f>
        <v>-</v>
      </c>
      <c r="BB325" s="343">
        <f>IFERROR(__xludf.DUMMYFUNCTION("""COMPUTED_VALUE"""),9.0)</f>
        <v>9</v>
      </c>
      <c r="BC325" s="343">
        <f>IFERROR(__xludf.DUMMYFUNCTION("""COMPUTED_VALUE"""),12.0)</f>
        <v>12</v>
      </c>
      <c r="BD325" s="343">
        <f>IFERROR(__xludf.DUMMYFUNCTION("""COMPUTED_VALUE"""),12.0)</f>
        <v>12</v>
      </c>
      <c r="BE325" s="272" t="str">
        <f>IFERROR(__xludf.DUMMYFUNCTION("""COMPUTED_VALUE"""),"ハイブリッド型")</f>
        <v>ハイブリッド型</v>
      </c>
      <c r="BF325" s="399">
        <f>IFERROR(__xludf.DUMMYFUNCTION("""COMPUTED_VALUE"""),4.0)</f>
        <v>4</v>
      </c>
      <c r="BG325" s="400" t="str">
        <f>IFERROR(__xludf.DUMMYFUNCTION("""COMPUTED_VALUE"""),"効果値")</f>
        <v>効果値</v>
      </c>
      <c r="BH325" s="411">
        <f>IFERROR(__xludf.DUMMYFUNCTION("""COMPUTED_VALUE"""),11.8)</f>
        <v>11.8</v>
      </c>
      <c r="BI325" s="412">
        <f>IFERROR(__xludf.DUMMYFUNCTION("""COMPUTED_VALUE"""),12.4)</f>
        <v>12.4</v>
      </c>
      <c r="BJ325" s="412">
        <f>IFERROR(__xludf.DUMMYFUNCTION("""COMPUTED_VALUE"""),13.1)</f>
        <v>13.1</v>
      </c>
      <c r="BK325" s="412">
        <f>IFERROR(__xludf.DUMMYFUNCTION("""COMPUTED_VALUE"""),13.7)</f>
        <v>13.7</v>
      </c>
      <c r="BL325" s="412">
        <f>IFERROR(__xludf.DUMMYFUNCTION("""COMPUTED_VALUE"""),14.4)</f>
        <v>14.4</v>
      </c>
      <c r="BM325" s="412">
        <f>IFERROR(__xludf.DUMMYFUNCTION("""COMPUTED_VALUE"""),19.4)</f>
        <v>19.4</v>
      </c>
      <c r="BN325" s="412">
        <f>IFERROR(__xludf.DUMMYFUNCTION("""COMPUTED_VALUE"""),24.0)</f>
        <v>24</v>
      </c>
      <c r="BO325" s="413">
        <f>IFERROR(__xludf.DUMMYFUNCTION("""COMPUTED_VALUE"""),29.0)</f>
        <v>29</v>
      </c>
    </row>
    <row r="326">
      <c r="A326" s="307" t="str">
        <f>IFERROR(__xludf.DUMMYFUNCTION("""COMPUTED_VALUE"""),"攻撃力Down(自身)")</f>
        <v>攻撃力Down(自身)</v>
      </c>
      <c r="B326" s="272" t="str">
        <f>IFERROR(__xludf.DUMMYFUNCTION("""COMPUTED_VALUE"""),"超瞬間型")</f>
        <v>超瞬間型</v>
      </c>
      <c r="C326" s="386">
        <f>IFERROR(__xludf.DUMMYFUNCTION("""COMPUTED_VALUE"""),4.0)</f>
        <v>4</v>
      </c>
      <c r="D326" s="387" t="str">
        <f>IFERROR(__xludf.DUMMYFUNCTION("""COMPUTED_VALUE"""),"効果時間")</f>
        <v>効果時間</v>
      </c>
      <c r="E326" s="388" t="str">
        <f>IFERROR(__xludf.DUMMYFUNCTION("""COMPUTED_VALUE"""),"-")</f>
        <v>-</v>
      </c>
      <c r="F326" s="389" t="str">
        <f>IFERROR(__xludf.DUMMYFUNCTION("""COMPUTED_VALUE"""),"-")</f>
        <v>-</v>
      </c>
      <c r="G326" s="388" t="str">
        <f>IFERROR(__xludf.DUMMYFUNCTION("""COMPUTED_VALUE"""),"-")</f>
        <v>-</v>
      </c>
      <c r="H326" s="389" t="str">
        <f>IFERROR(__xludf.DUMMYFUNCTION("""COMPUTED_VALUE"""),"-")</f>
        <v>-</v>
      </c>
      <c r="I326" s="388" t="str">
        <f>IFERROR(__xludf.DUMMYFUNCTION("""COMPUTED_VALUE"""),"-")</f>
        <v>-</v>
      </c>
      <c r="J326" s="390">
        <f>IFERROR(__xludf.DUMMYFUNCTION("""COMPUTED_VALUE"""),155.0)</f>
        <v>155</v>
      </c>
      <c r="K326" s="391">
        <f>IFERROR(__xludf.DUMMYFUNCTION("""COMPUTED_VALUE"""),170.0)</f>
        <v>170</v>
      </c>
      <c r="L326" s="340">
        <f>IFERROR(__xludf.DUMMYFUNCTION("""COMPUTED_VALUE"""),195.0)</f>
        <v>195</v>
      </c>
      <c r="M326" s="272" t="str">
        <f>IFERROR(__xludf.DUMMYFUNCTION("""COMPUTED_VALUE"""),"瞬間型")</f>
        <v>瞬間型</v>
      </c>
      <c r="N326" s="386">
        <f>IFERROR(__xludf.DUMMYFUNCTION("""COMPUTED_VALUE"""),4.0)</f>
        <v>4</v>
      </c>
      <c r="O326" s="387" t="str">
        <f>IFERROR(__xludf.DUMMYFUNCTION("""COMPUTED_VALUE"""),"効果時間")</f>
        <v>効果時間</v>
      </c>
      <c r="P326" s="280">
        <f>IFERROR(__xludf.DUMMYFUNCTION("""COMPUTED_VALUE"""),170.0)</f>
        <v>170</v>
      </c>
      <c r="Q326" s="275">
        <f>IFERROR(__xludf.DUMMYFUNCTION("""COMPUTED_VALUE"""),180.0)</f>
        <v>180</v>
      </c>
      <c r="R326" s="280">
        <f>IFERROR(__xludf.DUMMYFUNCTION("""COMPUTED_VALUE"""),185.0)</f>
        <v>185</v>
      </c>
      <c r="S326" s="275">
        <f>IFERROR(__xludf.DUMMYFUNCTION("""COMPUTED_VALUE"""),195.0)</f>
        <v>195</v>
      </c>
      <c r="T326" s="280">
        <f>IFERROR(__xludf.DUMMYFUNCTION("""COMPUTED_VALUE"""),200.0)</f>
        <v>200</v>
      </c>
      <c r="U326" s="280">
        <f>IFERROR(__xludf.DUMMYFUNCTION("""COMPUTED_VALUE"""),215.0)</f>
        <v>215</v>
      </c>
      <c r="V326" s="280">
        <f>IFERROR(__xludf.DUMMYFUNCTION("""COMPUTED_VALUE"""),285.0)</f>
        <v>285</v>
      </c>
      <c r="W326" s="280">
        <f>IFERROR(__xludf.DUMMYFUNCTION("""COMPUTED_VALUE"""),305.0)</f>
        <v>305</v>
      </c>
      <c r="X326" s="272" t="str">
        <f>IFERROR(__xludf.DUMMYFUNCTION("""COMPUTED_VALUE"""),"安定型")</f>
        <v>安定型</v>
      </c>
      <c r="Y326" s="386">
        <f>IFERROR(__xludf.DUMMYFUNCTION("""COMPUTED_VALUE"""),4.0)</f>
        <v>4</v>
      </c>
      <c r="Z326" s="387" t="str">
        <f>IFERROR(__xludf.DUMMYFUNCTION("""COMPUTED_VALUE"""),"効果時間")</f>
        <v>効果時間</v>
      </c>
      <c r="AA326" s="280">
        <f>IFERROR(__xludf.DUMMYFUNCTION("""COMPUTED_VALUE"""),320.0)</f>
        <v>320</v>
      </c>
      <c r="AB326" s="275">
        <f>IFERROR(__xludf.DUMMYFUNCTION("""COMPUTED_VALUE"""),330.0)</f>
        <v>330</v>
      </c>
      <c r="AC326" s="280">
        <f>IFERROR(__xludf.DUMMYFUNCTION("""COMPUTED_VALUE"""),335.0)</f>
        <v>335</v>
      </c>
      <c r="AD326" s="275">
        <f>IFERROR(__xludf.DUMMYFUNCTION("""COMPUTED_VALUE"""),345.0)</f>
        <v>345</v>
      </c>
      <c r="AE326" s="280">
        <f>IFERROR(__xludf.DUMMYFUNCTION("""COMPUTED_VALUE"""),350.0)</f>
        <v>350</v>
      </c>
      <c r="AF326" s="280">
        <f>IFERROR(__xludf.DUMMYFUNCTION("""COMPUTED_VALUE"""),390.0)</f>
        <v>390</v>
      </c>
      <c r="AG326" s="280">
        <f>IFERROR(__xludf.DUMMYFUNCTION("""COMPUTED_VALUE"""),435.0)</f>
        <v>435</v>
      </c>
      <c r="AH326" s="280">
        <f>IFERROR(__xludf.DUMMYFUNCTION("""COMPUTED_VALUE"""),455.0)</f>
        <v>455</v>
      </c>
      <c r="AI326" s="272" t="str">
        <f>IFERROR(__xludf.DUMMYFUNCTION("""COMPUTED_VALUE"""),"持続型")</f>
        <v>持続型</v>
      </c>
      <c r="AJ326" s="386">
        <f>IFERROR(__xludf.DUMMYFUNCTION("""COMPUTED_VALUE"""),4.0)</f>
        <v>4</v>
      </c>
      <c r="AK326" s="387" t="str">
        <f>IFERROR(__xludf.DUMMYFUNCTION("""COMPUTED_VALUE"""),"効果時間")</f>
        <v>効果時間</v>
      </c>
      <c r="AL326" s="280">
        <f>IFERROR(__xludf.DUMMYFUNCTION("""COMPUTED_VALUE"""),470.0)</f>
        <v>470</v>
      </c>
      <c r="AM326" s="275">
        <f>IFERROR(__xludf.DUMMYFUNCTION("""COMPUTED_VALUE"""),480.0)</f>
        <v>480</v>
      </c>
      <c r="AN326" s="280">
        <f>IFERROR(__xludf.DUMMYFUNCTION("""COMPUTED_VALUE"""),485.0)</f>
        <v>485</v>
      </c>
      <c r="AO326" s="275">
        <f>IFERROR(__xludf.DUMMYFUNCTION("""COMPUTED_VALUE"""),495.0)</f>
        <v>495</v>
      </c>
      <c r="AP326" s="280">
        <f>IFERROR(__xludf.DUMMYFUNCTION("""COMPUTED_VALUE"""),500.0)</f>
        <v>500</v>
      </c>
      <c r="AQ326" s="280">
        <f>IFERROR(__xludf.DUMMYFUNCTION("""COMPUTED_VALUE"""),540.0)</f>
        <v>540</v>
      </c>
      <c r="AR326" s="280">
        <f>IFERROR(__xludf.DUMMYFUNCTION("""COMPUTED_VALUE"""),585.0)</f>
        <v>585</v>
      </c>
      <c r="AS326" s="280">
        <f>IFERROR(__xludf.DUMMYFUNCTION("""COMPUTED_VALUE"""),605.0)</f>
        <v>605</v>
      </c>
      <c r="AT326" s="272" t="str">
        <f>IFERROR(__xludf.DUMMYFUNCTION("""COMPUTED_VALUE"""),"超持続型")</f>
        <v>超持続型</v>
      </c>
      <c r="AU326" s="386">
        <f>IFERROR(__xludf.DUMMYFUNCTION("""COMPUTED_VALUE"""),4.0)</f>
        <v>4</v>
      </c>
      <c r="AV326" s="387" t="str">
        <f>IFERROR(__xludf.DUMMYFUNCTION("""COMPUTED_VALUE"""),"効果時間")</f>
        <v>効果時間</v>
      </c>
      <c r="AW326" s="368" t="str">
        <f>IFERROR(__xludf.DUMMYFUNCTION("""COMPUTED_VALUE"""),"-")</f>
        <v>-</v>
      </c>
      <c r="AX326" s="368" t="str">
        <f>IFERROR(__xludf.DUMMYFUNCTION("""COMPUTED_VALUE"""),"-")</f>
        <v>-</v>
      </c>
      <c r="AY326" s="368" t="str">
        <f>IFERROR(__xludf.DUMMYFUNCTION("""COMPUTED_VALUE"""),"-")</f>
        <v>-</v>
      </c>
      <c r="AZ326" s="368" t="str">
        <f>IFERROR(__xludf.DUMMYFUNCTION("""COMPUTED_VALUE"""),"-")</f>
        <v>-</v>
      </c>
      <c r="BA326" s="368" t="str">
        <f>IFERROR(__xludf.DUMMYFUNCTION("""COMPUTED_VALUE"""),"-")</f>
        <v>-</v>
      </c>
      <c r="BB326" s="280">
        <f>IFERROR(__xludf.DUMMYFUNCTION("""COMPUTED_VALUE"""),645.0)</f>
        <v>645</v>
      </c>
      <c r="BC326" s="280">
        <f>IFERROR(__xludf.DUMMYFUNCTION("""COMPUTED_VALUE"""),735.0)</f>
        <v>735</v>
      </c>
      <c r="BD326" s="280">
        <f>IFERROR(__xludf.DUMMYFUNCTION("""COMPUTED_VALUE"""),755.0)</f>
        <v>755</v>
      </c>
      <c r="BE326" s="272" t="str">
        <f>IFERROR(__xludf.DUMMYFUNCTION("""COMPUTED_VALUE"""),"ハイブリッド型")</f>
        <v>ハイブリッド型</v>
      </c>
      <c r="BF326" s="386">
        <f>IFERROR(__xludf.DUMMYFUNCTION("""COMPUTED_VALUE"""),4.0)</f>
        <v>4</v>
      </c>
      <c r="BG326" s="387" t="str">
        <f>IFERROR(__xludf.DUMMYFUNCTION("""COMPUTED_VALUE"""),"効果時間")</f>
        <v>効果時間</v>
      </c>
      <c r="BH326" s="417">
        <f>IFERROR(__xludf.DUMMYFUNCTION("""COMPUTED_VALUE"""),240.0)</f>
        <v>240</v>
      </c>
      <c r="BI326" s="417">
        <f>IFERROR(__xludf.DUMMYFUNCTION("""COMPUTED_VALUE"""),255.0)</f>
        <v>255</v>
      </c>
      <c r="BJ326" s="417">
        <f>IFERROR(__xludf.DUMMYFUNCTION("""COMPUTED_VALUE"""),265.0)</f>
        <v>265</v>
      </c>
      <c r="BK326" s="418">
        <f>IFERROR(__xludf.DUMMYFUNCTION("""COMPUTED_VALUE"""),275.0)</f>
        <v>275</v>
      </c>
      <c r="BL326" s="417">
        <f>IFERROR(__xludf.DUMMYFUNCTION("""COMPUTED_VALUE"""),285.0)</f>
        <v>285</v>
      </c>
      <c r="BM326" s="418">
        <f>IFERROR(__xludf.DUMMYFUNCTION("""COMPUTED_VALUE"""),395.0)</f>
        <v>395</v>
      </c>
      <c r="BN326" s="417">
        <f>IFERROR(__xludf.DUMMYFUNCTION("""COMPUTED_VALUE"""),500.0)</f>
        <v>500</v>
      </c>
      <c r="BO326" s="418">
        <f>IFERROR(__xludf.DUMMYFUNCTION("""COMPUTED_VALUE"""),520.0)</f>
        <v>520</v>
      </c>
    </row>
    <row r="327">
      <c r="A327" s="307" t="str">
        <f>IFERROR(__xludf.DUMMYFUNCTION("""COMPUTED_VALUE"""),"攻撃力Down(自身)")</f>
        <v>攻撃力Down(自身)</v>
      </c>
      <c r="B327" s="272" t="str">
        <f>IFERROR(__xludf.DUMMYFUNCTION("""COMPUTED_VALUE"""),"超瞬間型")</f>
        <v>超瞬間型</v>
      </c>
      <c r="C327" s="399">
        <f>IFERROR(__xludf.DUMMYFUNCTION("""COMPUTED_VALUE"""),5.0)</f>
        <v>5</v>
      </c>
      <c r="D327" s="400" t="str">
        <f>IFERROR(__xludf.DUMMYFUNCTION("""COMPUTED_VALUE"""),"効果値")</f>
        <v>効果値</v>
      </c>
      <c r="E327" s="419" t="str">
        <f>IFERROR(__xludf.DUMMYFUNCTION("""COMPUTED_VALUE"""),"-")</f>
        <v>-</v>
      </c>
      <c r="F327" s="409" t="str">
        <f>IFERROR(__xludf.DUMMYFUNCTION("""COMPUTED_VALUE"""),"-")</f>
        <v>-</v>
      </c>
      <c r="G327" s="409" t="str">
        <f>IFERROR(__xludf.DUMMYFUNCTION("""COMPUTED_VALUE"""),"-")</f>
        <v>-</v>
      </c>
      <c r="H327" s="409" t="str">
        <f>IFERROR(__xludf.DUMMYFUNCTION("""COMPUTED_VALUE"""),"-")</f>
        <v>-</v>
      </c>
      <c r="I327" s="409" t="str">
        <f>IFERROR(__xludf.DUMMYFUNCTION("""COMPUTED_VALUE"""),"-")</f>
        <v>-</v>
      </c>
      <c r="J327" s="420">
        <f>IFERROR(__xludf.DUMMYFUNCTION("""COMPUTED_VALUE"""),60.0)</f>
        <v>60</v>
      </c>
      <c r="K327" s="421">
        <f>IFERROR(__xludf.DUMMYFUNCTION("""COMPUTED_VALUE"""),70.0)</f>
        <v>70</v>
      </c>
      <c r="L327" s="421">
        <f>IFERROR(__xludf.DUMMYFUNCTION("""COMPUTED_VALUE"""),75.0)</f>
        <v>75</v>
      </c>
      <c r="M327" s="272" t="str">
        <f>IFERROR(__xludf.DUMMYFUNCTION("""COMPUTED_VALUE"""),"瞬間型")</f>
        <v>瞬間型</v>
      </c>
      <c r="N327" s="399">
        <f>IFERROR(__xludf.DUMMYFUNCTION("""COMPUTED_VALUE"""),5.0)</f>
        <v>5</v>
      </c>
      <c r="O327" s="400" t="str">
        <f>IFERROR(__xludf.DUMMYFUNCTION("""COMPUTED_VALUE"""),"効果値")</f>
        <v>効果値</v>
      </c>
      <c r="P327" s="422">
        <f>IFERROR(__xludf.DUMMYFUNCTION("""COMPUTED_VALUE"""),23.0)</f>
        <v>23</v>
      </c>
      <c r="Q327" s="423">
        <f>IFERROR(__xludf.DUMMYFUNCTION("""COMPUTED_VALUE"""),23.0)</f>
        <v>23</v>
      </c>
      <c r="R327" s="422">
        <f>IFERROR(__xludf.DUMMYFUNCTION("""COMPUTED_VALUE"""),24.0)</f>
        <v>24</v>
      </c>
      <c r="S327" s="423">
        <f>IFERROR(__xludf.DUMMYFUNCTION("""COMPUTED_VALUE"""),24.0)</f>
        <v>24</v>
      </c>
      <c r="T327" s="422">
        <f>IFERROR(__xludf.DUMMYFUNCTION("""COMPUTED_VALUE"""),24.0)</f>
        <v>24</v>
      </c>
      <c r="U327" s="423">
        <f>IFERROR(__xludf.DUMMYFUNCTION("""COMPUTED_VALUE"""),30.0)</f>
        <v>30</v>
      </c>
      <c r="V327" s="423">
        <f>IFERROR(__xludf.DUMMYFUNCTION("""COMPUTED_VALUE"""),35.0)</f>
        <v>35</v>
      </c>
      <c r="W327" s="424">
        <f>IFERROR(__xludf.DUMMYFUNCTION("""COMPUTED_VALUE"""),40.0)</f>
        <v>40</v>
      </c>
      <c r="X327" s="272" t="str">
        <f>IFERROR(__xludf.DUMMYFUNCTION("""COMPUTED_VALUE"""),"安定型")</f>
        <v>安定型</v>
      </c>
      <c r="Y327" s="399">
        <f>IFERROR(__xludf.DUMMYFUNCTION("""COMPUTED_VALUE"""),5.0)</f>
        <v>5</v>
      </c>
      <c r="Z327" s="400" t="str">
        <f>IFERROR(__xludf.DUMMYFUNCTION("""COMPUTED_VALUE"""),"効果値")</f>
        <v>効果値</v>
      </c>
      <c r="AA327" s="422">
        <f>IFERROR(__xludf.DUMMYFUNCTION("""COMPUTED_VALUE"""),13.0)</f>
        <v>13</v>
      </c>
      <c r="AB327" s="423">
        <f>IFERROR(__xludf.DUMMYFUNCTION("""COMPUTED_VALUE"""),13.0)</f>
        <v>13</v>
      </c>
      <c r="AC327" s="422">
        <f>IFERROR(__xludf.DUMMYFUNCTION("""COMPUTED_VALUE"""),14.0)</f>
        <v>14</v>
      </c>
      <c r="AD327" s="423">
        <f>IFERROR(__xludf.DUMMYFUNCTION("""COMPUTED_VALUE"""),14.0)</f>
        <v>14</v>
      </c>
      <c r="AE327" s="422">
        <f>IFERROR(__xludf.DUMMYFUNCTION("""COMPUTED_VALUE"""),14.0)</f>
        <v>14</v>
      </c>
      <c r="AF327" s="423">
        <f>IFERROR(__xludf.DUMMYFUNCTION("""COMPUTED_VALUE"""),15.0)</f>
        <v>15</v>
      </c>
      <c r="AG327" s="423">
        <f>IFERROR(__xludf.DUMMYFUNCTION("""COMPUTED_VALUE"""),20.0)</f>
        <v>20</v>
      </c>
      <c r="AH327" s="424">
        <f>IFERROR(__xludf.DUMMYFUNCTION("""COMPUTED_VALUE"""),25.0)</f>
        <v>25</v>
      </c>
      <c r="AI327" s="272" t="str">
        <f>IFERROR(__xludf.DUMMYFUNCTION("""COMPUTED_VALUE"""),"持続型")</f>
        <v>持続型</v>
      </c>
      <c r="AJ327" s="399">
        <f>IFERROR(__xludf.DUMMYFUNCTION("""COMPUTED_VALUE"""),5.0)</f>
        <v>5</v>
      </c>
      <c r="AK327" s="400" t="str">
        <f>IFERROR(__xludf.DUMMYFUNCTION("""COMPUTED_VALUE"""),"効果値")</f>
        <v>効果値</v>
      </c>
      <c r="AL327" s="422">
        <f>IFERROR(__xludf.DUMMYFUNCTION("""COMPUTED_VALUE"""),8.0)</f>
        <v>8</v>
      </c>
      <c r="AM327" s="423">
        <f>IFERROR(__xludf.DUMMYFUNCTION("""COMPUTED_VALUE"""),8.0)</f>
        <v>8</v>
      </c>
      <c r="AN327" s="422">
        <f>IFERROR(__xludf.DUMMYFUNCTION("""COMPUTED_VALUE"""),9.0)</f>
        <v>9</v>
      </c>
      <c r="AO327" s="423">
        <f>IFERROR(__xludf.DUMMYFUNCTION("""COMPUTED_VALUE"""),9.0)</f>
        <v>9</v>
      </c>
      <c r="AP327" s="422">
        <f>IFERROR(__xludf.DUMMYFUNCTION("""COMPUTED_VALUE"""),9.0)</f>
        <v>9</v>
      </c>
      <c r="AQ327" s="423">
        <f>IFERROR(__xludf.DUMMYFUNCTION("""COMPUTED_VALUE"""),10.0)</f>
        <v>10</v>
      </c>
      <c r="AR327" s="423">
        <f>IFERROR(__xludf.DUMMYFUNCTION("""COMPUTED_VALUE"""),12.0)</f>
        <v>12</v>
      </c>
      <c r="AS327" s="424">
        <f>IFERROR(__xludf.DUMMYFUNCTION("""COMPUTED_VALUE"""),12.0)</f>
        <v>12</v>
      </c>
      <c r="AT327" s="272" t="str">
        <f>IFERROR(__xludf.DUMMYFUNCTION("""COMPUTED_VALUE"""),"超持続型")</f>
        <v>超持続型</v>
      </c>
      <c r="AU327" s="399">
        <f>IFERROR(__xludf.DUMMYFUNCTION("""COMPUTED_VALUE"""),5.0)</f>
        <v>5</v>
      </c>
      <c r="AV327" s="400" t="str">
        <f>IFERROR(__xludf.DUMMYFUNCTION("""COMPUTED_VALUE"""),"効果値")</f>
        <v>効果値</v>
      </c>
      <c r="AW327" s="425" t="str">
        <f>IFERROR(__xludf.DUMMYFUNCTION("""COMPUTED_VALUE"""),"-")</f>
        <v>-</v>
      </c>
      <c r="AX327" s="426" t="str">
        <f>IFERROR(__xludf.DUMMYFUNCTION("""COMPUTED_VALUE"""),"-")</f>
        <v>-</v>
      </c>
      <c r="AY327" s="426" t="str">
        <f>IFERROR(__xludf.DUMMYFUNCTION("""COMPUTED_VALUE"""),"-")</f>
        <v>-</v>
      </c>
      <c r="AZ327" s="426" t="str">
        <f>IFERROR(__xludf.DUMMYFUNCTION("""COMPUTED_VALUE"""),"-")</f>
        <v>-</v>
      </c>
      <c r="BA327" s="426" t="str">
        <f>IFERROR(__xludf.DUMMYFUNCTION("""COMPUTED_VALUE"""),"-")</f>
        <v>-</v>
      </c>
      <c r="BB327" s="423">
        <f>IFERROR(__xludf.DUMMYFUNCTION("""COMPUTED_VALUE"""),10.0)</f>
        <v>10</v>
      </c>
      <c r="BC327" s="423">
        <f>IFERROR(__xludf.DUMMYFUNCTION("""COMPUTED_VALUE"""),12.0)</f>
        <v>12</v>
      </c>
      <c r="BD327" s="424">
        <f>IFERROR(__xludf.DUMMYFUNCTION("""COMPUTED_VALUE"""),12.0)</f>
        <v>12</v>
      </c>
      <c r="BE327" s="272" t="str">
        <f>IFERROR(__xludf.DUMMYFUNCTION("""COMPUTED_VALUE"""),"ハイブリッド型")</f>
        <v>ハイブリッド型</v>
      </c>
      <c r="BF327" s="399">
        <f>IFERROR(__xludf.DUMMYFUNCTION("""COMPUTED_VALUE"""),5.0)</f>
        <v>5</v>
      </c>
      <c r="BG327" s="400" t="str">
        <f>IFERROR(__xludf.DUMMYFUNCTION("""COMPUTED_VALUE"""),"効果値")</f>
        <v>効果値</v>
      </c>
      <c r="BH327" s="427">
        <f>IFERROR(__xludf.DUMMYFUNCTION("""COMPUTED_VALUE"""),12.0)</f>
        <v>12</v>
      </c>
      <c r="BI327" s="428">
        <f>IFERROR(__xludf.DUMMYFUNCTION("""COMPUTED_VALUE"""),12.75)</f>
        <v>12.75</v>
      </c>
      <c r="BJ327" s="428">
        <f>IFERROR(__xludf.DUMMYFUNCTION("""COMPUTED_VALUE"""),13.5)</f>
        <v>13.5</v>
      </c>
      <c r="BK327" s="428">
        <f>IFERROR(__xludf.DUMMYFUNCTION("""COMPUTED_VALUE"""),14.25)</f>
        <v>14.25</v>
      </c>
      <c r="BL327" s="427">
        <f>IFERROR(__xludf.DUMMYFUNCTION("""COMPUTED_VALUE"""),15.0)</f>
        <v>15</v>
      </c>
      <c r="BM327" s="427">
        <f>IFERROR(__xludf.DUMMYFUNCTION("""COMPUTED_VALUE"""),20.0)</f>
        <v>20</v>
      </c>
      <c r="BN327" s="427">
        <f>IFERROR(__xludf.DUMMYFUNCTION("""COMPUTED_VALUE"""),25.0)</f>
        <v>25</v>
      </c>
      <c r="BO327" s="429">
        <f>IFERROR(__xludf.DUMMYFUNCTION("""COMPUTED_VALUE"""),30.0)</f>
        <v>30</v>
      </c>
    </row>
    <row r="328">
      <c r="A328" s="307" t="str">
        <f>IFERROR(__xludf.DUMMYFUNCTION("""COMPUTED_VALUE"""),"攻撃力Down(自身)")</f>
        <v>攻撃力Down(自身)</v>
      </c>
      <c r="B328" s="272" t="str">
        <f>IFERROR(__xludf.DUMMYFUNCTION("""COMPUTED_VALUE"""),"超瞬間型")</f>
        <v>超瞬間型</v>
      </c>
      <c r="C328" s="430">
        <f>IFERROR(__xludf.DUMMYFUNCTION("""COMPUTED_VALUE"""),5.0)</f>
        <v>5</v>
      </c>
      <c r="D328" s="431" t="str">
        <f>IFERROR(__xludf.DUMMYFUNCTION("""COMPUTED_VALUE"""),"効果時間")</f>
        <v>効果時間</v>
      </c>
      <c r="E328" s="388" t="str">
        <f>IFERROR(__xludf.DUMMYFUNCTION("""COMPUTED_VALUE"""),"-")</f>
        <v>-</v>
      </c>
      <c r="F328" s="389" t="str">
        <f>IFERROR(__xludf.DUMMYFUNCTION("""COMPUTED_VALUE"""),"-")</f>
        <v>-</v>
      </c>
      <c r="G328" s="388" t="str">
        <f>IFERROR(__xludf.DUMMYFUNCTION("""COMPUTED_VALUE"""),"-")</f>
        <v>-</v>
      </c>
      <c r="H328" s="389" t="str">
        <f>IFERROR(__xludf.DUMMYFUNCTION("""COMPUTED_VALUE"""),"-")</f>
        <v>-</v>
      </c>
      <c r="I328" s="388" t="str">
        <f>IFERROR(__xludf.DUMMYFUNCTION("""COMPUTED_VALUE"""),"-")</f>
        <v>-</v>
      </c>
      <c r="J328" s="390">
        <f>IFERROR(__xludf.DUMMYFUNCTION("""COMPUTED_VALUE"""),160.0)</f>
        <v>160</v>
      </c>
      <c r="K328" s="391">
        <f>IFERROR(__xludf.DUMMYFUNCTION("""COMPUTED_VALUE"""),175.0)</f>
        <v>175</v>
      </c>
      <c r="L328" s="340">
        <f>IFERROR(__xludf.DUMMYFUNCTION("""COMPUTED_VALUE"""),200.0)</f>
        <v>200</v>
      </c>
      <c r="M328" s="272" t="str">
        <f>IFERROR(__xludf.DUMMYFUNCTION("""COMPUTED_VALUE"""),"瞬間型")</f>
        <v>瞬間型</v>
      </c>
      <c r="N328" s="430">
        <f>IFERROR(__xludf.DUMMYFUNCTION("""COMPUTED_VALUE"""),5.0)</f>
        <v>5</v>
      </c>
      <c r="O328" s="431" t="str">
        <f>IFERROR(__xludf.DUMMYFUNCTION("""COMPUTED_VALUE"""),"効果時間")</f>
        <v>効果時間</v>
      </c>
      <c r="P328" s="392">
        <f>IFERROR(__xludf.DUMMYFUNCTION("""COMPUTED_VALUE"""),175.0)</f>
        <v>175</v>
      </c>
      <c r="Q328" s="414">
        <f>IFERROR(__xludf.DUMMYFUNCTION("""COMPUTED_VALUE"""),185.0)</f>
        <v>185</v>
      </c>
      <c r="R328" s="414">
        <f>IFERROR(__xludf.DUMMYFUNCTION("""COMPUTED_VALUE"""),190.0)</f>
        <v>190</v>
      </c>
      <c r="S328" s="414">
        <f>IFERROR(__xludf.DUMMYFUNCTION("""COMPUTED_VALUE"""),195.0)</f>
        <v>195</v>
      </c>
      <c r="T328" s="394">
        <f>IFERROR(__xludf.DUMMYFUNCTION("""COMPUTED_VALUE"""),200.0)</f>
        <v>200</v>
      </c>
      <c r="U328" s="394">
        <f>IFERROR(__xludf.DUMMYFUNCTION("""COMPUTED_VALUE"""),225.0)</f>
        <v>225</v>
      </c>
      <c r="V328" s="394">
        <f>IFERROR(__xludf.DUMMYFUNCTION("""COMPUTED_VALUE"""),300.0)</f>
        <v>300</v>
      </c>
      <c r="W328" s="394">
        <f>IFERROR(__xludf.DUMMYFUNCTION("""COMPUTED_VALUE"""),325.0)</f>
        <v>325</v>
      </c>
      <c r="X328" s="272" t="str">
        <f>IFERROR(__xludf.DUMMYFUNCTION("""COMPUTED_VALUE"""),"安定型")</f>
        <v>安定型</v>
      </c>
      <c r="Y328" s="430">
        <f>IFERROR(__xludf.DUMMYFUNCTION("""COMPUTED_VALUE"""),5.0)</f>
        <v>5</v>
      </c>
      <c r="Z328" s="431" t="str">
        <f>IFERROR(__xludf.DUMMYFUNCTION("""COMPUTED_VALUE"""),"効果時間")</f>
        <v>効果時間</v>
      </c>
      <c r="AA328" s="392">
        <f>IFERROR(__xludf.DUMMYFUNCTION("""COMPUTED_VALUE"""),325.0)</f>
        <v>325</v>
      </c>
      <c r="AB328" s="414">
        <f>IFERROR(__xludf.DUMMYFUNCTION("""COMPUTED_VALUE"""),335.0)</f>
        <v>335</v>
      </c>
      <c r="AC328" s="414">
        <f>IFERROR(__xludf.DUMMYFUNCTION("""COMPUTED_VALUE"""),340.0)</f>
        <v>340</v>
      </c>
      <c r="AD328" s="414">
        <f>IFERROR(__xludf.DUMMYFUNCTION("""COMPUTED_VALUE"""),345.0)</f>
        <v>345</v>
      </c>
      <c r="AE328" s="394">
        <f>IFERROR(__xludf.DUMMYFUNCTION("""COMPUTED_VALUE"""),350.0)</f>
        <v>350</v>
      </c>
      <c r="AF328" s="394">
        <f>IFERROR(__xludf.DUMMYFUNCTION("""COMPUTED_VALUE"""),400.0)</f>
        <v>400</v>
      </c>
      <c r="AG328" s="394">
        <f>IFERROR(__xludf.DUMMYFUNCTION("""COMPUTED_VALUE"""),450.0)</f>
        <v>450</v>
      </c>
      <c r="AH328" s="394">
        <f>IFERROR(__xludf.DUMMYFUNCTION("""COMPUTED_VALUE"""),475.0)</f>
        <v>475</v>
      </c>
      <c r="AI328" s="272" t="str">
        <f>IFERROR(__xludf.DUMMYFUNCTION("""COMPUTED_VALUE"""),"持続型")</f>
        <v>持続型</v>
      </c>
      <c r="AJ328" s="430">
        <f>IFERROR(__xludf.DUMMYFUNCTION("""COMPUTED_VALUE"""),5.0)</f>
        <v>5</v>
      </c>
      <c r="AK328" s="431" t="str">
        <f>IFERROR(__xludf.DUMMYFUNCTION("""COMPUTED_VALUE"""),"効果時間")</f>
        <v>効果時間</v>
      </c>
      <c r="AL328" s="392">
        <f>IFERROR(__xludf.DUMMYFUNCTION("""COMPUTED_VALUE"""),475.0)</f>
        <v>475</v>
      </c>
      <c r="AM328" s="414">
        <f>IFERROR(__xludf.DUMMYFUNCTION("""COMPUTED_VALUE"""),485.0)</f>
        <v>485</v>
      </c>
      <c r="AN328" s="414">
        <f>IFERROR(__xludf.DUMMYFUNCTION("""COMPUTED_VALUE"""),490.0)</f>
        <v>490</v>
      </c>
      <c r="AO328" s="414">
        <f>IFERROR(__xludf.DUMMYFUNCTION("""COMPUTED_VALUE"""),495.0)</f>
        <v>495</v>
      </c>
      <c r="AP328" s="394">
        <f>IFERROR(__xludf.DUMMYFUNCTION("""COMPUTED_VALUE"""),500.0)</f>
        <v>500</v>
      </c>
      <c r="AQ328" s="394">
        <f>IFERROR(__xludf.DUMMYFUNCTION("""COMPUTED_VALUE"""),550.0)</f>
        <v>550</v>
      </c>
      <c r="AR328" s="394">
        <f>IFERROR(__xludf.DUMMYFUNCTION("""COMPUTED_VALUE"""),600.0)</f>
        <v>600</v>
      </c>
      <c r="AS328" s="394">
        <f>IFERROR(__xludf.DUMMYFUNCTION("""COMPUTED_VALUE"""),625.0)</f>
        <v>625</v>
      </c>
      <c r="AT328" s="272" t="str">
        <f>IFERROR(__xludf.DUMMYFUNCTION("""COMPUTED_VALUE"""),"超持続型")</f>
        <v>超持続型</v>
      </c>
      <c r="AU328" s="430">
        <f>IFERROR(__xludf.DUMMYFUNCTION("""COMPUTED_VALUE"""),5.0)</f>
        <v>5</v>
      </c>
      <c r="AV328" s="431" t="str">
        <f>IFERROR(__xludf.DUMMYFUNCTION("""COMPUTED_VALUE"""),"効果時間")</f>
        <v>効果時間</v>
      </c>
      <c r="AW328" s="395" t="str">
        <f>IFERROR(__xludf.DUMMYFUNCTION("""COMPUTED_VALUE"""),"-")</f>
        <v>-</v>
      </c>
      <c r="AX328" s="396" t="str">
        <f>IFERROR(__xludf.DUMMYFUNCTION("""COMPUTED_VALUE"""),"-")</f>
        <v>-</v>
      </c>
      <c r="AY328" s="396" t="str">
        <f>IFERROR(__xludf.DUMMYFUNCTION("""COMPUTED_VALUE"""),"-")</f>
        <v>-</v>
      </c>
      <c r="AZ328" s="396" t="str">
        <f>IFERROR(__xludf.DUMMYFUNCTION("""COMPUTED_VALUE"""),"-")</f>
        <v>-</v>
      </c>
      <c r="BA328" s="396" t="str">
        <f>IFERROR(__xludf.DUMMYFUNCTION("""COMPUTED_VALUE"""),"-")</f>
        <v>-</v>
      </c>
      <c r="BB328" s="393">
        <f>IFERROR(__xludf.DUMMYFUNCTION("""COMPUTED_VALUE"""),650.0)</f>
        <v>650</v>
      </c>
      <c r="BC328" s="393">
        <f>IFERROR(__xludf.DUMMYFUNCTION("""COMPUTED_VALUE"""),750.0)</f>
        <v>750</v>
      </c>
      <c r="BD328" s="394">
        <f>IFERROR(__xludf.DUMMYFUNCTION("""COMPUTED_VALUE"""),775.0)</f>
        <v>775</v>
      </c>
      <c r="BE328" s="272" t="str">
        <f>IFERROR(__xludf.DUMMYFUNCTION("""COMPUTED_VALUE"""),"ハイブリッド型")</f>
        <v>ハイブリッド型</v>
      </c>
      <c r="BF328" s="430">
        <f>IFERROR(__xludf.DUMMYFUNCTION("""COMPUTED_VALUE"""),5.0)</f>
        <v>5</v>
      </c>
      <c r="BG328" s="431" t="str">
        <f>IFERROR(__xludf.DUMMYFUNCTION("""COMPUTED_VALUE"""),"効果時間")</f>
        <v>効果時間</v>
      </c>
      <c r="BH328" s="304">
        <f>IFERROR(__xludf.DUMMYFUNCTION("""COMPUTED_VALUE"""),250.0)</f>
        <v>250</v>
      </c>
      <c r="BI328" s="432">
        <f>IFERROR(__xludf.DUMMYFUNCTION("""COMPUTED_VALUE"""),265.0)</f>
        <v>265</v>
      </c>
      <c r="BJ328" s="432">
        <f>IFERROR(__xludf.DUMMYFUNCTION("""COMPUTED_VALUE"""),275.0)</f>
        <v>275</v>
      </c>
      <c r="BK328" s="432">
        <f>IFERROR(__xludf.DUMMYFUNCTION("""COMPUTED_VALUE"""),290.0)</f>
        <v>290</v>
      </c>
      <c r="BL328" s="304">
        <f>IFERROR(__xludf.DUMMYFUNCTION("""COMPUTED_VALUE"""),300.0)</f>
        <v>300</v>
      </c>
      <c r="BM328" s="304">
        <f>IFERROR(__xludf.DUMMYFUNCTION("""COMPUTED_VALUE"""),400.0)</f>
        <v>400</v>
      </c>
      <c r="BN328" s="304">
        <f>IFERROR(__xludf.DUMMYFUNCTION("""COMPUTED_VALUE"""),500.0)</f>
        <v>500</v>
      </c>
      <c r="BO328" s="304">
        <f>IFERROR(__xludf.DUMMYFUNCTION("""COMPUTED_VALUE"""),525.0)</f>
        <v>525</v>
      </c>
    </row>
    <row r="329">
      <c r="A329" s="433" t="str">
        <f>IFERROR(__xludf.DUMMYFUNCTION("""COMPUTED_VALUE"""),"攻撃力Down(赤)")</f>
        <v>攻撃力Down(赤)</v>
      </c>
      <c r="B329" s="374" t="str">
        <f>IFERROR(__xludf.DUMMYFUNCTION("""COMPUTED_VALUE"""),"超瞬間型")</f>
        <v>超瞬間型</v>
      </c>
      <c r="C329" s="375">
        <f>IFERROR(__xludf.DUMMYFUNCTION("""COMPUTED_VALUE"""),1.0)</f>
        <v>1</v>
      </c>
      <c r="D329" s="376" t="str">
        <f>IFERROR(__xludf.DUMMYFUNCTION("""COMPUTED_VALUE"""),"効果値")</f>
        <v>効果値</v>
      </c>
      <c r="E329" s="377" t="str">
        <f>IFERROR(__xludf.DUMMYFUNCTION("""COMPUTED_VALUE"""),"-")</f>
        <v>-</v>
      </c>
      <c r="F329" s="378" t="str">
        <f>IFERROR(__xludf.DUMMYFUNCTION("""COMPUTED_VALUE"""),"-")</f>
        <v>-</v>
      </c>
      <c r="G329" s="377" t="str">
        <f>IFERROR(__xludf.DUMMYFUNCTION("""COMPUTED_VALUE"""),"-")</f>
        <v>-</v>
      </c>
      <c r="H329" s="378" t="str">
        <f>IFERROR(__xludf.DUMMYFUNCTION("""COMPUTED_VALUE"""),"-")</f>
        <v>-</v>
      </c>
      <c r="I329" s="377" t="str">
        <f>IFERROR(__xludf.DUMMYFUNCTION("""COMPUTED_VALUE"""),"-")</f>
        <v>-</v>
      </c>
      <c r="J329" s="379">
        <f>IFERROR(__xludf.DUMMYFUNCTION("""COMPUTED_VALUE"""),55.0)</f>
        <v>55</v>
      </c>
      <c r="K329" s="294">
        <f>IFERROR(__xludf.DUMMYFUNCTION("""COMPUTED_VALUE"""),65.0)</f>
        <v>65</v>
      </c>
      <c r="L329" s="294">
        <f>IFERROR(__xludf.DUMMYFUNCTION("""COMPUTED_VALUE"""),65.0)</f>
        <v>65</v>
      </c>
      <c r="M329" s="374" t="str">
        <f>IFERROR(__xludf.DUMMYFUNCTION("""COMPUTED_VALUE"""),"瞬間型")</f>
        <v>瞬間型</v>
      </c>
      <c r="N329" s="375">
        <f>IFERROR(__xludf.DUMMYFUNCTION("""COMPUTED_VALUE"""),1.0)</f>
        <v>1</v>
      </c>
      <c r="O329" s="376" t="str">
        <f>IFERROR(__xludf.DUMMYFUNCTION("""COMPUTED_VALUE"""),"効果値")</f>
        <v>効果値</v>
      </c>
      <c r="P329" s="380">
        <f>IFERROR(__xludf.DUMMYFUNCTION("""COMPUTED_VALUE"""),20.0)</f>
        <v>20</v>
      </c>
      <c r="Q329" s="263">
        <f>IFERROR(__xludf.DUMMYFUNCTION("""COMPUTED_VALUE"""),20.0)</f>
        <v>20</v>
      </c>
      <c r="R329" s="263">
        <f>IFERROR(__xludf.DUMMYFUNCTION("""COMPUTED_VALUE"""),20.0)</f>
        <v>20</v>
      </c>
      <c r="S329" s="263">
        <f>IFERROR(__xludf.DUMMYFUNCTION("""COMPUTED_VALUE"""),20.0)</f>
        <v>20</v>
      </c>
      <c r="T329" s="263">
        <f>IFERROR(__xludf.DUMMYFUNCTION("""COMPUTED_VALUE"""),20.0)</f>
        <v>20</v>
      </c>
      <c r="U329" s="263">
        <f>IFERROR(__xludf.DUMMYFUNCTION("""COMPUTED_VALUE"""),25.0)</f>
        <v>25</v>
      </c>
      <c r="V329" s="266">
        <f>IFERROR(__xludf.DUMMYFUNCTION("""COMPUTED_VALUE"""),30.0)</f>
        <v>30</v>
      </c>
      <c r="W329" s="266">
        <f>IFERROR(__xludf.DUMMYFUNCTION("""COMPUTED_VALUE"""),30.0)</f>
        <v>30</v>
      </c>
      <c r="X329" s="374" t="str">
        <f>IFERROR(__xludf.DUMMYFUNCTION("""COMPUTED_VALUE"""),"安定型")</f>
        <v>安定型</v>
      </c>
      <c r="Y329" s="375">
        <f>IFERROR(__xludf.DUMMYFUNCTION("""COMPUTED_VALUE"""),1.0)</f>
        <v>1</v>
      </c>
      <c r="Z329" s="376" t="str">
        <f>IFERROR(__xludf.DUMMYFUNCTION("""COMPUTED_VALUE"""),"効果値")</f>
        <v>効果値</v>
      </c>
      <c r="AA329" s="380">
        <f>IFERROR(__xludf.DUMMYFUNCTION("""COMPUTED_VALUE"""),10.0)</f>
        <v>10</v>
      </c>
      <c r="AB329" s="263">
        <f>IFERROR(__xludf.DUMMYFUNCTION("""COMPUTED_VALUE"""),10.0)</f>
        <v>10</v>
      </c>
      <c r="AC329" s="263">
        <f>IFERROR(__xludf.DUMMYFUNCTION("""COMPUTED_VALUE"""),10.0)</f>
        <v>10</v>
      </c>
      <c r="AD329" s="263">
        <f>IFERROR(__xludf.DUMMYFUNCTION("""COMPUTED_VALUE"""),10.0)</f>
        <v>10</v>
      </c>
      <c r="AE329" s="263">
        <f>IFERROR(__xludf.DUMMYFUNCTION("""COMPUTED_VALUE"""),10.0)</f>
        <v>10</v>
      </c>
      <c r="AF329" s="263">
        <f>IFERROR(__xludf.DUMMYFUNCTION("""COMPUTED_VALUE"""),10.0)</f>
        <v>10</v>
      </c>
      <c r="AG329" s="266">
        <f>IFERROR(__xludf.DUMMYFUNCTION("""COMPUTED_VALUE"""),15.0)</f>
        <v>15</v>
      </c>
      <c r="AH329" s="266">
        <f>IFERROR(__xludf.DUMMYFUNCTION("""COMPUTED_VALUE"""),15.0)</f>
        <v>15</v>
      </c>
      <c r="AI329" s="374" t="str">
        <f>IFERROR(__xludf.DUMMYFUNCTION("""COMPUTED_VALUE"""),"持続型")</f>
        <v>持続型</v>
      </c>
      <c r="AJ329" s="375">
        <f>IFERROR(__xludf.DUMMYFUNCTION("""COMPUTED_VALUE"""),1.0)</f>
        <v>1</v>
      </c>
      <c r="AK329" s="376" t="str">
        <f>IFERROR(__xludf.DUMMYFUNCTION("""COMPUTED_VALUE"""),"効果値")</f>
        <v>効果値</v>
      </c>
      <c r="AL329" s="380">
        <f>IFERROR(__xludf.DUMMYFUNCTION("""COMPUTED_VALUE"""),5.0)</f>
        <v>5</v>
      </c>
      <c r="AM329" s="263">
        <f>IFERROR(__xludf.DUMMYFUNCTION("""COMPUTED_VALUE"""),5.0)</f>
        <v>5</v>
      </c>
      <c r="AN329" s="263">
        <f>IFERROR(__xludf.DUMMYFUNCTION("""COMPUTED_VALUE"""),5.0)</f>
        <v>5</v>
      </c>
      <c r="AO329" s="263">
        <f>IFERROR(__xludf.DUMMYFUNCTION("""COMPUTED_VALUE"""),5.0)</f>
        <v>5</v>
      </c>
      <c r="AP329" s="263">
        <f>IFERROR(__xludf.DUMMYFUNCTION("""COMPUTED_VALUE"""),5.0)</f>
        <v>5</v>
      </c>
      <c r="AQ329" s="263">
        <f>IFERROR(__xludf.DUMMYFUNCTION("""COMPUTED_VALUE"""),5.0)</f>
        <v>5</v>
      </c>
      <c r="AR329" s="266">
        <f>IFERROR(__xludf.DUMMYFUNCTION("""COMPUTED_VALUE"""),10.0)</f>
        <v>10</v>
      </c>
      <c r="AS329" s="266">
        <f>IFERROR(__xludf.DUMMYFUNCTION("""COMPUTED_VALUE"""),10.0)</f>
        <v>10</v>
      </c>
      <c r="AT329" s="374" t="str">
        <f>IFERROR(__xludf.DUMMYFUNCTION("""COMPUTED_VALUE"""),"超持続型")</f>
        <v>超持続型</v>
      </c>
      <c r="AU329" s="375">
        <f>IFERROR(__xludf.DUMMYFUNCTION("""COMPUTED_VALUE"""),1.0)</f>
        <v>1</v>
      </c>
      <c r="AV329" s="376" t="str">
        <f>IFERROR(__xludf.DUMMYFUNCTION("""COMPUTED_VALUE"""),"効果値")</f>
        <v>効果値</v>
      </c>
      <c r="AW329" s="350" t="str">
        <f>IFERROR(__xludf.DUMMYFUNCTION("""COMPUTED_VALUE"""),"-")</f>
        <v>-</v>
      </c>
      <c r="AX329" s="348" t="str">
        <f>IFERROR(__xludf.DUMMYFUNCTION("""COMPUTED_VALUE"""),"-")</f>
        <v>-</v>
      </c>
      <c r="AY329" s="348" t="str">
        <f>IFERROR(__xludf.DUMMYFUNCTION("""COMPUTED_VALUE"""),"-")</f>
        <v>-</v>
      </c>
      <c r="AZ329" s="348" t="str">
        <f>IFERROR(__xludf.DUMMYFUNCTION("""COMPUTED_VALUE"""),"-")</f>
        <v>-</v>
      </c>
      <c r="BA329" s="348" t="str">
        <f>IFERROR(__xludf.DUMMYFUNCTION("""COMPUTED_VALUE"""),"-")</f>
        <v>-</v>
      </c>
      <c r="BB329" s="263">
        <f>IFERROR(__xludf.DUMMYFUNCTION("""COMPUTED_VALUE"""),5.0)</f>
        <v>5</v>
      </c>
      <c r="BC329" s="266">
        <f>IFERROR(__xludf.DUMMYFUNCTION("""COMPUTED_VALUE"""),10.0)</f>
        <v>10</v>
      </c>
      <c r="BD329" s="266">
        <f>IFERROR(__xludf.DUMMYFUNCTION("""COMPUTED_VALUE"""),10.0)</f>
        <v>10</v>
      </c>
      <c r="BE329" s="374" t="str">
        <f>IFERROR(__xludf.DUMMYFUNCTION("""COMPUTED_VALUE"""),"ハイブリッド型")</f>
        <v>ハイブリッド型</v>
      </c>
      <c r="BF329" s="375">
        <f>IFERROR(__xludf.DUMMYFUNCTION("""COMPUTED_VALUE"""),1.0)</f>
        <v>1</v>
      </c>
      <c r="BG329" s="376" t="str">
        <f>IFERROR(__xludf.DUMMYFUNCTION("""COMPUTED_VALUE"""),"効果値")</f>
        <v>効果値</v>
      </c>
      <c r="BH329" s="381">
        <f>IFERROR(__xludf.DUMMYFUNCTION("""COMPUTED_VALUE"""),10.0)</f>
        <v>10</v>
      </c>
      <c r="BI329" s="382">
        <f>IFERROR(__xludf.DUMMYFUNCTION("""COMPUTED_VALUE"""),10.0)</f>
        <v>10</v>
      </c>
      <c r="BJ329" s="382">
        <f>IFERROR(__xludf.DUMMYFUNCTION("""COMPUTED_VALUE"""),10.0)</f>
        <v>10</v>
      </c>
      <c r="BK329" s="382">
        <f>IFERROR(__xludf.DUMMYFUNCTION("""COMPUTED_VALUE"""),10.0)</f>
        <v>10</v>
      </c>
      <c r="BL329" s="382">
        <f>IFERROR(__xludf.DUMMYFUNCTION("""COMPUTED_VALUE"""),10.0)</f>
        <v>10</v>
      </c>
      <c r="BM329" s="382">
        <f>IFERROR(__xludf.DUMMYFUNCTION("""COMPUTED_VALUE"""),15.0)</f>
        <v>15</v>
      </c>
      <c r="BN329" s="382">
        <f>IFERROR(__xludf.DUMMYFUNCTION("""COMPUTED_VALUE"""),20.0)</f>
        <v>20</v>
      </c>
      <c r="BO329" s="383">
        <f>IFERROR(__xludf.DUMMYFUNCTION("""COMPUTED_VALUE"""),20.0)</f>
        <v>20</v>
      </c>
    </row>
    <row r="330">
      <c r="A330" s="434" t="str">
        <f>IFERROR(__xludf.DUMMYFUNCTION("""COMPUTED_VALUE"""),"攻撃力Down(赤)")</f>
        <v>攻撃力Down(赤)</v>
      </c>
      <c r="B330" s="385" t="str">
        <f>IFERROR(__xludf.DUMMYFUNCTION("""COMPUTED_VALUE"""),"超瞬間型")</f>
        <v>超瞬間型</v>
      </c>
      <c r="C330" s="386">
        <f>IFERROR(__xludf.DUMMYFUNCTION("""COMPUTED_VALUE"""),1.0)</f>
        <v>1</v>
      </c>
      <c r="D330" s="387" t="str">
        <f>IFERROR(__xludf.DUMMYFUNCTION("""COMPUTED_VALUE"""),"効果時間")</f>
        <v>効果時間</v>
      </c>
      <c r="E330" s="388" t="str">
        <f>IFERROR(__xludf.DUMMYFUNCTION("""COMPUTED_VALUE"""),"-")</f>
        <v>-</v>
      </c>
      <c r="F330" s="389" t="str">
        <f>IFERROR(__xludf.DUMMYFUNCTION("""COMPUTED_VALUE"""),"-")</f>
        <v>-</v>
      </c>
      <c r="G330" s="388" t="str">
        <f>IFERROR(__xludf.DUMMYFUNCTION("""COMPUTED_VALUE"""),"-")</f>
        <v>-</v>
      </c>
      <c r="H330" s="389" t="str">
        <f>IFERROR(__xludf.DUMMYFUNCTION("""COMPUTED_VALUE"""),"-")</f>
        <v>-</v>
      </c>
      <c r="I330" s="388" t="str">
        <f>IFERROR(__xludf.DUMMYFUNCTION("""COMPUTED_VALUE"""),"-")</f>
        <v>-</v>
      </c>
      <c r="J330" s="390">
        <f>IFERROR(__xludf.DUMMYFUNCTION("""COMPUTED_VALUE"""),150.0)</f>
        <v>150</v>
      </c>
      <c r="K330" s="391">
        <f>IFERROR(__xludf.DUMMYFUNCTION("""COMPUTED_VALUE"""),160.0)</f>
        <v>160</v>
      </c>
      <c r="L330" s="340">
        <f>IFERROR(__xludf.DUMMYFUNCTION("""COMPUTED_VALUE"""),160.0)</f>
        <v>160</v>
      </c>
      <c r="M330" s="385" t="str">
        <f>IFERROR(__xludf.DUMMYFUNCTION("""COMPUTED_VALUE"""),"瞬間型")</f>
        <v>瞬間型</v>
      </c>
      <c r="N330" s="386">
        <f>IFERROR(__xludf.DUMMYFUNCTION("""COMPUTED_VALUE"""),1.0)</f>
        <v>1</v>
      </c>
      <c r="O330" s="387" t="str">
        <f>IFERROR(__xludf.DUMMYFUNCTION("""COMPUTED_VALUE"""),"効果時間")</f>
        <v>効果時間</v>
      </c>
      <c r="P330" s="392">
        <f>IFERROR(__xludf.DUMMYFUNCTION("""COMPUTED_VALUE"""),150.0)</f>
        <v>150</v>
      </c>
      <c r="Q330" s="393">
        <f>IFERROR(__xludf.DUMMYFUNCTION("""COMPUTED_VALUE"""),150.0)</f>
        <v>150</v>
      </c>
      <c r="R330" s="393">
        <f>IFERROR(__xludf.DUMMYFUNCTION("""COMPUTED_VALUE"""),150.0)</f>
        <v>150</v>
      </c>
      <c r="S330" s="393">
        <f>IFERROR(__xludf.DUMMYFUNCTION("""COMPUTED_VALUE"""),150.0)</f>
        <v>150</v>
      </c>
      <c r="T330" s="393">
        <f>IFERROR(__xludf.DUMMYFUNCTION("""COMPUTED_VALUE"""),150.0)</f>
        <v>150</v>
      </c>
      <c r="U330" s="393">
        <f>IFERROR(__xludf.DUMMYFUNCTION("""COMPUTED_VALUE"""),150.0)</f>
        <v>150</v>
      </c>
      <c r="V330" s="393">
        <f>IFERROR(__xludf.DUMMYFUNCTION("""COMPUTED_VALUE"""),160.0)</f>
        <v>160</v>
      </c>
      <c r="W330" s="394">
        <f>IFERROR(__xludf.DUMMYFUNCTION("""COMPUTED_VALUE"""),160.0)</f>
        <v>160</v>
      </c>
      <c r="X330" s="385" t="str">
        <f>IFERROR(__xludf.DUMMYFUNCTION("""COMPUTED_VALUE"""),"安定型")</f>
        <v>安定型</v>
      </c>
      <c r="Y330" s="386">
        <f>IFERROR(__xludf.DUMMYFUNCTION("""COMPUTED_VALUE"""),1.0)</f>
        <v>1</v>
      </c>
      <c r="Z330" s="387" t="str">
        <f>IFERROR(__xludf.DUMMYFUNCTION("""COMPUTED_VALUE"""),"効果時間")</f>
        <v>効果時間</v>
      </c>
      <c r="AA330" s="392">
        <f>IFERROR(__xludf.DUMMYFUNCTION("""COMPUTED_VALUE"""),300.0)</f>
        <v>300</v>
      </c>
      <c r="AB330" s="393">
        <f>IFERROR(__xludf.DUMMYFUNCTION("""COMPUTED_VALUE"""),300.0)</f>
        <v>300</v>
      </c>
      <c r="AC330" s="393">
        <f>IFERROR(__xludf.DUMMYFUNCTION("""COMPUTED_VALUE"""),300.0)</f>
        <v>300</v>
      </c>
      <c r="AD330" s="393">
        <f>IFERROR(__xludf.DUMMYFUNCTION("""COMPUTED_VALUE"""),300.0)</f>
        <v>300</v>
      </c>
      <c r="AE330" s="393">
        <f>IFERROR(__xludf.DUMMYFUNCTION("""COMPUTED_VALUE"""),300.0)</f>
        <v>300</v>
      </c>
      <c r="AF330" s="393">
        <f>IFERROR(__xludf.DUMMYFUNCTION("""COMPUTED_VALUE"""),300.0)</f>
        <v>300</v>
      </c>
      <c r="AG330" s="393">
        <f>IFERROR(__xludf.DUMMYFUNCTION("""COMPUTED_VALUE"""),310.0)</f>
        <v>310</v>
      </c>
      <c r="AH330" s="394">
        <f>IFERROR(__xludf.DUMMYFUNCTION("""COMPUTED_VALUE"""),310.0)</f>
        <v>310</v>
      </c>
      <c r="AI330" s="385" t="str">
        <f>IFERROR(__xludf.DUMMYFUNCTION("""COMPUTED_VALUE"""),"持続型")</f>
        <v>持続型</v>
      </c>
      <c r="AJ330" s="386">
        <f>IFERROR(__xludf.DUMMYFUNCTION("""COMPUTED_VALUE"""),1.0)</f>
        <v>1</v>
      </c>
      <c r="AK330" s="387" t="str">
        <f>IFERROR(__xludf.DUMMYFUNCTION("""COMPUTED_VALUE"""),"効果時間")</f>
        <v>効果時間</v>
      </c>
      <c r="AL330" s="392">
        <f>IFERROR(__xludf.DUMMYFUNCTION("""COMPUTED_VALUE"""),450.0)</f>
        <v>450</v>
      </c>
      <c r="AM330" s="393">
        <f>IFERROR(__xludf.DUMMYFUNCTION("""COMPUTED_VALUE"""),450.0)</f>
        <v>450</v>
      </c>
      <c r="AN330" s="393">
        <f>IFERROR(__xludf.DUMMYFUNCTION("""COMPUTED_VALUE"""),450.0)</f>
        <v>450</v>
      </c>
      <c r="AO330" s="393">
        <f>IFERROR(__xludf.DUMMYFUNCTION("""COMPUTED_VALUE"""),450.0)</f>
        <v>450</v>
      </c>
      <c r="AP330" s="393">
        <f>IFERROR(__xludf.DUMMYFUNCTION("""COMPUTED_VALUE"""),450.0)</f>
        <v>450</v>
      </c>
      <c r="AQ330" s="393">
        <f>IFERROR(__xludf.DUMMYFUNCTION("""COMPUTED_VALUE"""),450.0)</f>
        <v>450</v>
      </c>
      <c r="AR330" s="393">
        <f>IFERROR(__xludf.DUMMYFUNCTION("""COMPUTED_VALUE"""),460.0)</f>
        <v>460</v>
      </c>
      <c r="AS330" s="394">
        <f>IFERROR(__xludf.DUMMYFUNCTION("""COMPUTED_VALUE"""),460.0)</f>
        <v>460</v>
      </c>
      <c r="AT330" s="385" t="str">
        <f>IFERROR(__xludf.DUMMYFUNCTION("""COMPUTED_VALUE"""),"超持続型")</f>
        <v>超持続型</v>
      </c>
      <c r="AU330" s="386">
        <f>IFERROR(__xludf.DUMMYFUNCTION("""COMPUTED_VALUE"""),1.0)</f>
        <v>1</v>
      </c>
      <c r="AV330" s="387" t="str">
        <f>IFERROR(__xludf.DUMMYFUNCTION("""COMPUTED_VALUE"""),"効果時間")</f>
        <v>効果時間</v>
      </c>
      <c r="AW330" s="395" t="str">
        <f>IFERROR(__xludf.DUMMYFUNCTION("""COMPUTED_VALUE"""),"-")</f>
        <v>-</v>
      </c>
      <c r="AX330" s="396" t="str">
        <f>IFERROR(__xludf.DUMMYFUNCTION("""COMPUTED_VALUE"""),"-")</f>
        <v>-</v>
      </c>
      <c r="AY330" s="396" t="str">
        <f>IFERROR(__xludf.DUMMYFUNCTION("""COMPUTED_VALUE"""),"-")</f>
        <v>-</v>
      </c>
      <c r="AZ330" s="396" t="str">
        <f>IFERROR(__xludf.DUMMYFUNCTION("""COMPUTED_VALUE"""),"-")</f>
        <v>-</v>
      </c>
      <c r="BA330" s="396" t="str">
        <f>IFERROR(__xludf.DUMMYFUNCTION("""COMPUTED_VALUE"""),"-")</f>
        <v>-</v>
      </c>
      <c r="BB330" s="393">
        <f>IFERROR(__xludf.DUMMYFUNCTION("""COMPUTED_VALUE"""),600.0)</f>
        <v>600</v>
      </c>
      <c r="BC330" s="393">
        <f>IFERROR(__xludf.DUMMYFUNCTION("""COMPUTED_VALUE"""),610.0)</f>
        <v>610</v>
      </c>
      <c r="BD330" s="394">
        <f>IFERROR(__xludf.DUMMYFUNCTION("""COMPUTED_VALUE"""),610.0)</f>
        <v>610</v>
      </c>
      <c r="BE330" s="385" t="str">
        <f>IFERROR(__xludf.DUMMYFUNCTION("""COMPUTED_VALUE"""),"ハイブリッド型")</f>
        <v>ハイブリッド型</v>
      </c>
      <c r="BF330" s="386">
        <f>IFERROR(__xludf.DUMMYFUNCTION("""COMPUTED_VALUE"""),1.0)</f>
        <v>1</v>
      </c>
      <c r="BG330" s="387" t="str">
        <f>IFERROR(__xludf.DUMMYFUNCTION("""COMPUTED_VALUE"""),"効果時間")</f>
        <v>効果時間</v>
      </c>
      <c r="BH330" s="397">
        <f>IFERROR(__xludf.DUMMYFUNCTION("""COMPUTED_VALUE"""),150.0)</f>
        <v>150</v>
      </c>
      <c r="BI330" s="397">
        <f>IFERROR(__xludf.DUMMYFUNCTION("""COMPUTED_VALUE"""),150.0)</f>
        <v>150</v>
      </c>
      <c r="BJ330" s="397">
        <f>IFERROR(__xludf.DUMMYFUNCTION("""COMPUTED_VALUE"""),150.0)</f>
        <v>150</v>
      </c>
      <c r="BK330" s="398">
        <f>IFERROR(__xludf.DUMMYFUNCTION("""COMPUTED_VALUE"""),150.0)</f>
        <v>150</v>
      </c>
      <c r="BL330" s="397">
        <f>IFERROR(__xludf.DUMMYFUNCTION("""COMPUTED_VALUE"""),150.0)</f>
        <v>150</v>
      </c>
      <c r="BM330" s="398">
        <f>IFERROR(__xludf.DUMMYFUNCTION("""COMPUTED_VALUE"""),350.0)</f>
        <v>350</v>
      </c>
      <c r="BN330" s="397">
        <f>IFERROR(__xludf.DUMMYFUNCTION("""COMPUTED_VALUE"""),460.0)</f>
        <v>460</v>
      </c>
      <c r="BO330" s="398">
        <f>IFERROR(__xludf.DUMMYFUNCTION("""COMPUTED_VALUE"""),460.0)</f>
        <v>460</v>
      </c>
    </row>
    <row r="331">
      <c r="A331" s="435" t="str">
        <f>IFERROR(__xludf.DUMMYFUNCTION("""COMPUTED_VALUE"""),"攻撃力Down(赤)")</f>
        <v>攻撃力Down(赤)</v>
      </c>
      <c r="B331" s="385" t="str">
        <f>IFERROR(__xludf.DUMMYFUNCTION("""COMPUTED_VALUE"""),"超瞬間型")</f>
        <v>超瞬間型</v>
      </c>
      <c r="C331" s="399">
        <f>IFERROR(__xludf.DUMMYFUNCTION("""COMPUTED_VALUE"""),2.0)</f>
        <v>2</v>
      </c>
      <c r="D331" s="400" t="str">
        <f>IFERROR(__xludf.DUMMYFUNCTION("""COMPUTED_VALUE"""),"効果値")</f>
        <v>効果値</v>
      </c>
      <c r="E331" s="401" t="str">
        <f>IFERROR(__xludf.DUMMYFUNCTION("""COMPUTED_VALUE"""),"-")</f>
        <v>-</v>
      </c>
      <c r="F331" s="401" t="str">
        <f>IFERROR(__xludf.DUMMYFUNCTION("""COMPUTED_VALUE"""),"-")</f>
        <v>-</v>
      </c>
      <c r="G331" s="401" t="str">
        <f>IFERROR(__xludf.DUMMYFUNCTION("""COMPUTED_VALUE"""),"-")</f>
        <v>-</v>
      </c>
      <c r="H331" s="401" t="str">
        <f>IFERROR(__xludf.DUMMYFUNCTION("""COMPUTED_VALUE"""),"-")</f>
        <v>-</v>
      </c>
      <c r="I331" s="401" t="str">
        <f>IFERROR(__xludf.DUMMYFUNCTION("""COMPUTED_VALUE"""),"-")</f>
        <v>-</v>
      </c>
      <c r="J331" s="318">
        <f>IFERROR(__xludf.DUMMYFUNCTION("""COMPUTED_VALUE"""),57.0)</f>
        <v>57</v>
      </c>
      <c r="K331" s="318">
        <f>IFERROR(__xludf.DUMMYFUNCTION("""COMPUTED_VALUE"""),67.0)</f>
        <v>67</v>
      </c>
      <c r="L331" s="318">
        <f>IFERROR(__xludf.DUMMYFUNCTION("""COMPUTED_VALUE"""),69.0)</f>
        <v>69</v>
      </c>
      <c r="M331" s="385" t="str">
        <f>IFERROR(__xludf.DUMMYFUNCTION("""COMPUTED_VALUE"""),"瞬間型")</f>
        <v>瞬間型</v>
      </c>
      <c r="N331" s="399">
        <f>IFERROR(__xludf.DUMMYFUNCTION("""COMPUTED_VALUE"""),2.0)</f>
        <v>2</v>
      </c>
      <c r="O331" s="400" t="str">
        <f>IFERROR(__xludf.DUMMYFUNCTION("""COMPUTED_VALUE"""),"効果値")</f>
        <v>効果値</v>
      </c>
      <c r="P331" s="343">
        <f>IFERROR(__xludf.DUMMYFUNCTION("""COMPUTED_VALUE"""),21.0)</f>
        <v>21</v>
      </c>
      <c r="Q331" s="402">
        <f>IFERROR(__xludf.DUMMYFUNCTION("""COMPUTED_VALUE"""),21.0)</f>
        <v>21</v>
      </c>
      <c r="R331" s="343">
        <f>IFERROR(__xludf.DUMMYFUNCTION("""COMPUTED_VALUE"""),22.0)</f>
        <v>22</v>
      </c>
      <c r="S331" s="402">
        <f>IFERROR(__xludf.DUMMYFUNCTION("""COMPUTED_VALUE"""),22.0)</f>
        <v>22</v>
      </c>
      <c r="T331" s="343">
        <f>IFERROR(__xludf.DUMMYFUNCTION("""COMPUTED_VALUE"""),22.0)</f>
        <v>22</v>
      </c>
      <c r="U331" s="343">
        <f>IFERROR(__xludf.DUMMYFUNCTION("""COMPUTED_VALUE"""),27.0)</f>
        <v>27</v>
      </c>
      <c r="V331" s="343">
        <f>IFERROR(__xludf.DUMMYFUNCTION("""COMPUTED_VALUE"""),32.0)</f>
        <v>32</v>
      </c>
      <c r="W331" s="343">
        <f>IFERROR(__xludf.DUMMYFUNCTION("""COMPUTED_VALUE"""),34.0)</f>
        <v>34</v>
      </c>
      <c r="X331" s="385" t="str">
        <f>IFERROR(__xludf.DUMMYFUNCTION("""COMPUTED_VALUE"""),"安定型")</f>
        <v>安定型</v>
      </c>
      <c r="Y331" s="399">
        <f>IFERROR(__xludf.DUMMYFUNCTION("""COMPUTED_VALUE"""),2.0)</f>
        <v>2</v>
      </c>
      <c r="Z331" s="400" t="str">
        <f>IFERROR(__xludf.DUMMYFUNCTION("""COMPUTED_VALUE"""),"効果値")</f>
        <v>効果値</v>
      </c>
      <c r="AA331" s="343">
        <f>IFERROR(__xludf.DUMMYFUNCTION("""COMPUTED_VALUE"""),11.0)</f>
        <v>11</v>
      </c>
      <c r="AB331" s="402">
        <f>IFERROR(__xludf.DUMMYFUNCTION("""COMPUTED_VALUE"""),11.0)</f>
        <v>11</v>
      </c>
      <c r="AC331" s="343">
        <f>IFERROR(__xludf.DUMMYFUNCTION("""COMPUTED_VALUE"""),12.0)</f>
        <v>12</v>
      </c>
      <c r="AD331" s="402">
        <f>IFERROR(__xludf.DUMMYFUNCTION("""COMPUTED_VALUE"""),12.0)</f>
        <v>12</v>
      </c>
      <c r="AE331" s="343">
        <f>IFERROR(__xludf.DUMMYFUNCTION("""COMPUTED_VALUE"""),12.0)</f>
        <v>12</v>
      </c>
      <c r="AF331" s="343">
        <f>IFERROR(__xludf.DUMMYFUNCTION("""COMPUTED_VALUE"""),12.0)</f>
        <v>12</v>
      </c>
      <c r="AG331" s="343">
        <f>IFERROR(__xludf.DUMMYFUNCTION("""COMPUTED_VALUE"""),17.0)</f>
        <v>17</v>
      </c>
      <c r="AH331" s="343">
        <f>IFERROR(__xludf.DUMMYFUNCTION("""COMPUTED_VALUE"""),19.0)</f>
        <v>19</v>
      </c>
      <c r="AI331" s="385" t="str">
        <f>IFERROR(__xludf.DUMMYFUNCTION("""COMPUTED_VALUE"""),"持続型")</f>
        <v>持続型</v>
      </c>
      <c r="AJ331" s="399">
        <f>IFERROR(__xludf.DUMMYFUNCTION("""COMPUTED_VALUE"""),2.0)</f>
        <v>2</v>
      </c>
      <c r="AK331" s="400" t="str">
        <f>IFERROR(__xludf.DUMMYFUNCTION("""COMPUTED_VALUE"""),"効果値")</f>
        <v>効果値</v>
      </c>
      <c r="AL331" s="343">
        <f>IFERROR(__xludf.DUMMYFUNCTION("""COMPUTED_VALUE"""),6.0)</f>
        <v>6</v>
      </c>
      <c r="AM331" s="402">
        <f>IFERROR(__xludf.DUMMYFUNCTION("""COMPUTED_VALUE"""),6.0)</f>
        <v>6</v>
      </c>
      <c r="AN331" s="343">
        <f>IFERROR(__xludf.DUMMYFUNCTION("""COMPUTED_VALUE"""),7.0)</f>
        <v>7</v>
      </c>
      <c r="AO331" s="402">
        <f>IFERROR(__xludf.DUMMYFUNCTION("""COMPUTED_VALUE"""),7.0)</f>
        <v>7</v>
      </c>
      <c r="AP331" s="343">
        <f>IFERROR(__xludf.DUMMYFUNCTION("""COMPUTED_VALUE"""),7.0)</f>
        <v>7</v>
      </c>
      <c r="AQ331" s="343">
        <f>IFERROR(__xludf.DUMMYFUNCTION("""COMPUTED_VALUE"""),7.0)</f>
        <v>7</v>
      </c>
      <c r="AR331" s="343">
        <f>IFERROR(__xludf.DUMMYFUNCTION("""COMPUTED_VALUE"""),11.0)</f>
        <v>11</v>
      </c>
      <c r="AS331" s="343">
        <f>IFERROR(__xludf.DUMMYFUNCTION("""COMPUTED_VALUE"""),11.0)</f>
        <v>11</v>
      </c>
      <c r="AT331" s="385" t="str">
        <f>IFERROR(__xludf.DUMMYFUNCTION("""COMPUTED_VALUE"""),"超持続型")</f>
        <v>超持続型</v>
      </c>
      <c r="AU331" s="399">
        <f>IFERROR(__xludf.DUMMYFUNCTION("""COMPUTED_VALUE"""),2.0)</f>
        <v>2</v>
      </c>
      <c r="AV331" s="400" t="str">
        <f>IFERROR(__xludf.DUMMYFUNCTION("""COMPUTED_VALUE"""),"効果値")</f>
        <v>効果値</v>
      </c>
      <c r="AW331" s="403" t="str">
        <f>IFERROR(__xludf.DUMMYFUNCTION("""COMPUTED_VALUE"""),"-")</f>
        <v>-</v>
      </c>
      <c r="AX331" s="403" t="str">
        <f>IFERROR(__xludf.DUMMYFUNCTION("""COMPUTED_VALUE"""),"-")</f>
        <v>-</v>
      </c>
      <c r="AY331" s="403" t="str">
        <f>IFERROR(__xludf.DUMMYFUNCTION("""COMPUTED_VALUE"""),"-")</f>
        <v>-</v>
      </c>
      <c r="AZ331" s="403" t="str">
        <f>IFERROR(__xludf.DUMMYFUNCTION("""COMPUTED_VALUE"""),"-")</f>
        <v>-</v>
      </c>
      <c r="BA331" s="403" t="str">
        <f>IFERROR(__xludf.DUMMYFUNCTION("""COMPUTED_VALUE"""),"-")</f>
        <v>-</v>
      </c>
      <c r="BB331" s="343">
        <f>IFERROR(__xludf.DUMMYFUNCTION("""COMPUTED_VALUE"""),7.0)</f>
        <v>7</v>
      </c>
      <c r="BC331" s="343">
        <f>IFERROR(__xludf.DUMMYFUNCTION("""COMPUTED_VALUE"""),11.0)</f>
        <v>11</v>
      </c>
      <c r="BD331" s="343">
        <f>IFERROR(__xludf.DUMMYFUNCTION("""COMPUTED_VALUE"""),11.0)</f>
        <v>11</v>
      </c>
      <c r="BE331" s="385" t="str">
        <f>IFERROR(__xludf.DUMMYFUNCTION("""COMPUTED_VALUE"""),"ハイブリッド型")</f>
        <v>ハイブリッド型</v>
      </c>
      <c r="BF331" s="399">
        <f>IFERROR(__xludf.DUMMYFUNCTION("""COMPUTED_VALUE"""),2.0)</f>
        <v>2</v>
      </c>
      <c r="BG331" s="400" t="str">
        <f>IFERROR(__xludf.DUMMYFUNCTION("""COMPUTED_VALUE"""),"効果値")</f>
        <v>効果値</v>
      </c>
      <c r="BH331" s="404">
        <f>IFERROR(__xludf.DUMMYFUNCTION("""COMPUTED_VALUE"""),10.8)</f>
        <v>10.8</v>
      </c>
      <c r="BI331" s="405">
        <f>IFERROR(__xludf.DUMMYFUNCTION("""COMPUTED_VALUE"""),11.2)</f>
        <v>11.2</v>
      </c>
      <c r="BJ331" s="405">
        <f>IFERROR(__xludf.DUMMYFUNCTION("""COMPUTED_VALUE"""),11.5)</f>
        <v>11.5</v>
      </c>
      <c r="BK331" s="405">
        <f>IFERROR(__xludf.DUMMYFUNCTION("""COMPUTED_VALUE"""),11.8)</f>
        <v>11.8</v>
      </c>
      <c r="BL331" s="405">
        <f>IFERROR(__xludf.DUMMYFUNCTION("""COMPUTED_VALUE"""),12.1)</f>
        <v>12.1</v>
      </c>
      <c r="BM331" s="405">
        <f>IFERROR(__xludf.DUMMYFUNCTION("""COMPUTED_VALUE"""),17.1)</f>
        <v>17.1</v>
      </c>
      <c r="BN331" s="405">
        <f>IFERROR(__xludf.DUMMYFUNCTION("""COMPUTED_VALUE"""),22.0)</f>
        <v>22</v>
      </c>
      <c r="BO331" s="406">
        <f>IFERROR(__xludf.DUMMYFUNCTION("""COMPUTED_VALUE"""),24.0)</f>
        <v>24</v>
      </c>
    </row>
    <row r="332">
      <c r="A332" s="435" t="str">
        <f>IFERROR(__xludf.DUMMYFUNCTION("""COMPUTED_VALUE"""),"攻撃力Down(赤)")</f>
        <v>攻撃力Down(赤)</v>
      </c>
      <c r="B332" s="385" t="str">
        <f>IFERROR(__xludf.DUMMYFUNCTION("""COMPUTED_VALUE"""),"超瞬間型")</f>
        <v>超瞬間型</v>
      </c>
      <c r="C332" s="386">
        <f>IFERROR(__xludf.DUMMYFUNCTION("""COMPUTED_VALUE"""),2.0)</f>
        <v>2</v>
      </c>
      <c r="D332" s="387" t="str">
        <f>IFERROR(__xludf.DUMMYFUNCTION("""COMPUTED_VALUE"""),"効果時間")</f>
        <v>効果時間</v>
      </c>
      <c r="E332" s="388" t="str">
        <f>IFERROR(__xludf.DUMMYFUNCTION("""COMPUTED_VALUE"""),"-")</f>
        <v>-</v>
      </c>
      <c r="F332" s="389" t="str">
        <f>IFERROR(__xludf.DUMMYFUNCTION("""COMPUTED_VALUE"""),"-")</f>
        <v>-</v>
      </c>
      <c r="G332" s="388" t="str">
        <f>IFERROR(__xludf.DUMMYFUNCTION("""COMPUTED_VALUE"""),"-")</f>
        <v>-</v>
      </c>
      <c r="H332" s="389" t="str">
        <f>IFERROR(__xludf.DUMMYFUNCTION("""COMPUTED_VALUE"""),"-")</f>
        <v>-</v>
      </c>
      <c r="I332" s="388" t="str">
        <f>IFERROR(__xludf.DUMMYFUNCTION("""COMPUTED_VALUE"""),"-")</f>
        <v>-</v>
      </c>
      <c r="J332" s="390">
        <f>IFERROR(__xludf.DUMMYFUNCTION("""COMPUTED_VALUE"""),150.0)</f>
        <v>150</v>
      </c>
      <c r="K332" s="391">
        <f>IFERROR(__xludf.DUMMYFUNCTION("""COMPUTED_VALUE"""),160.0)</f>
        <v>160</v>
      </c>
      <c r="L332" s="340">
        <f>IFERROR(__xludf.DUMMYFUNCTION("""COMPUTED_VALUE"""),170.0)</f>
        <v>170</v>
      </c>
      <c r="M332" s="385" t="str">
        <f>IFERROR(__xludf.DUMMYFUNCTION("""COMPUTED_VALUE"""),"瞬間型")</f>
        <v>瞬間型</v>
      </c>
      <c r="N332" s="386">
        <f>IFERROR(__xludf.DUMMYFUNCTION("""COMPUTED_VALUE"""),2.0)</f>
        <v>2</v>
      </c>
      <c r="O332" s="387" t="str">
        <f>IFERROR(__xludf.DUMMYFUNCTION("""COMPUTED_VALUE"""),"効果時間")</f>
        <v>効果時間</v>
      </c>
      <c r="P332" s="392">
        <f>IFERROR(__xludf.DUMMYFUNCTION("""COMPUTED_VALUE"""),160.0)</f>
        <v>160</v>
      </c>
      <c r="Q332" s="275">
        <f>IFERROR(__xludf.DUMMYFUNCTION("""COMPUTED_VALUE"""),165.0)</f>
        <v>165</v>
      </c>
      <c r="R332" s="280">
        <f>IFERROR(__xludf.DUMMYFUNCTION("""COMPUTED_VALUE"""),170.0)</f>
        <v>170</v>
      </c>
      <c r="S332" s="275">
        <f>IFERROR(__xludf.DUMMYFUNCTION("""COMPUTED_VALUE"""),175.0)</f>
        <v>175</v>
      </c>
      <c r="T332" s="280">
        <f>IFERROR(__xludf.DUMMYFUNCTION("""COMPUTED_VALUE"""),180.0)</f>
        <v>180</v>
      </c>
      <c r="U332" s="280">
        <f>IFERROR(__xludf.DUMMYFUNCTION("""COMPUTED_VALUE"""),180.0)</f>
        <v>180</v>
      </c>
      <c r="V332" s="280">
        <f>IFERROR(__xludf.DUMMYFUNCTION("""COMPUTED_VALUE"""),220.0)</f>
        <v>220</v>
      </c>
      <c r="W332" s="280">
        <f>IFERROR(__xludf.DUMMYFUNCTION("""COMPUTED_VALUE"""),230.0)</f>
        <v>230</v>
      </c>
      <c r="X332" s="385" t="str">
        <f>IFERROR(__xludf.DUMMYFUNCTION("""COMPUTED_VALUE"""),"安定型")</f>
        <v>安定型</v>
      </c>
      <c r="Y332" s="386">
        <f>IFERROR(__xludf.DUMMYFUNCTION("""COMPUTED_VALUE"""),2.0)</f>
        <v>2</v>
      </c>
      <c r="Z332" s="387" t="str">
        <f>IFERROR(__xludf.DUMMYFUNCTION("""COMPUTED_VALUE"""),"効果時間")</f>
        <v>効果時間</v>
      </c>
      <c r="AA332" s="392">
        <f>IFERROR(__xludf.DUMMYFUNCTION("""COMPUTED_VALUE"""),310.0)</f>
        <v>310</v>
      </c>
      <c r="AB332" s="275">
        <f>IFERROR(__xludf.DUMMYFUNCTION("""COMPUTED_VALUE"""),315.0)</f>
        <v>315</v>
      </c>
      <c r="AC332" s="280">
        <f>IFERROR(__xludf.DUMMYFUNCTION("""COMPUTED_VALUE"""),320.0)</f>
        <v>320</v>
      </c>
      <c r="AD332" s="275">
        <f>IFERROR(__xludf.DUMMYFUNCTION("""COMPUTED_VALUE"""),325.0)</f>
        <v>325</v>
      </c>
      <c r="AE332" s="280">
        <f>IFERROR(__xludf.DUMMYFUNCTION("""COMPUTED_VALUE"""),330.0)</f>
        <v>330</v>
      </c>
      <c r="AF332" s="280">
        <f>IFERROR(__xludf.DUMMYFUNCTION("""COMPUTED_VALUE"""),345.0)</f>
        <v>345</v>
      </c>
      <c r="AG332" s="280">
        <f>IFERROR(__xludf.DUMMYFUNCTION("""COMPUTED_VALUE"""),370.0)</f>
        <v>370</v>
      </c>
      <c r="AH332" s="280">
        <f>IFERROR(__xludf.DUMMYFUNCTION("""COMPUTED_VALUE"""),380.0)</f>
        <v>380</v>
      </c>
      <c r="AI332" s="385" t="str">
        <f>IFERROR(__xludf.DUMMYFUNCTION("""COMPUTED_VALUE"""),"持続型")</f>
        <v>持続型</v>
      </c>
      <c r="AJ332" s="386">
        <f>IFERROR(__xludf.DUMMYFUNCTION("""COMPUTED_VALUE"""),2.0)</f>
        <v>2</v>
      </c>
      <c r="AK332" s="387" t="str">
        <f>IFERROR(__xludf.DUMMYFUNCTION("""COMPUTED_VALUE"""),"効果時間")</f>
        <v>効果時間</v>
      </c>
      <c r="AL332" s="392">
        <f>IFERROR(__xludf.DUMMYFUNCTION("""COMPUTED_VALUE"""),460.0)</f>
        <v>460</v>
      </c>
      <c r="AM332" s="275">
        <f>IFERROR(__xludf.DUMMYFUNCTION("""COMPUTED_VALUE"""),465.0)</f>
        <v>465</v>
      </c>
      <c r="AN332" s="280">
        <f>IFERROR(__xludf.DUMMYFUNCTION("""COMPUTED_VALUE"""),470.0)</f>
        <v>470</v>
      </c>
      <c r="AO332" s="275">
        <f>IFERROR(__xludf.DUMMYFUNCTION("""COMPUTED_VALUE"""),475.0)</f>
        <v>475</v>
      </c>
      <c r="AP332" s="280">
        <f>IFERROR(__xludf.DUMMYFUNCTION("""COMPUTED_VALUE"""),480.0)</f>
        <v>480</v>
      </c>
      <c r="AQ332" s="280">
        <f>IFERROR(__xludf.DUMMYFUNCTION("""COMPUTED_VALUE"""),495.0)</f>
        <v>495</v>
      </c>
      <c r="AR332" s="280">
        <f>IFERROR(__xludf.DUMMYFUNCTION("""COMPUTED_VALUE"""),520.0)</f>
        <v>520</v>
      </c>
      <c r="AS332" s="280">
        <f>IFERROR(__xludf.DUMMYFUNCTION("""COMPUTED_VALUE"""),530.0)</f>
        <v>530</v>
      </c>
      <c r="AT332" s="385" t="str">
        <f>IFERROR(__xludf.DUMMYFUNCTION("""COMPUTED_VALUE"""),"超持続型")</f>
        <v>超持続型</v>
      </c>
      <c r="AU332" s="386">
        <f>IFERROR(__xludf.DUMMYFUNCTION("""COMPUTED_VALUE"""),2.0)</f>
        <v>2</v>
      </c>
      <c r="AV332" s="387" t="str">
        <f>IFERROR(__xludf.DUMMYFUNCTION("""COMPUTED_VALUE"""),"効果時間")</f>
        <v>効果時間</v>
      </c>
      <c r="AW332" s="368" t="str">
        <f>IFERROR(__xludf.DUMMYFUNCTION("""COMPUTED_VALUE"""),"-")</f>
        <v>-</v>
      </c>
      <c r="AX332" s="368" t="str">
        <f>IFERROR(__xludf.DUMMYFUNCTION("""COMPUTED_VALUE"""),"-")</f>
        <v>-</v>
      </c>
      <c r="AY332" s="368" t="str">
        <f>IFERROR(__xludf.DUMMYFUNCTION("""COMPUTED_VALUE"""),"-")</f>
        <v>-</v>
      </c>
      <c r="AZ332" s="368" t="str">
        <f>IFERROR(__xludf.DUMMYFUNCTION("""COMPUTED_VALUE"""),"-")</f>
        <v>-</v>
      </c>
      <c r="BA332" s="368" t="str">
        <f>IFERROR(__xludf.DUMMYFUNCTION("""COMPUTED_VALUE"""),"-")</f>
        <v>-</v>
      </c>
      <c r="BB332" s="280">
        <f>IFERROR(__xludf.DUMMYFUNCTION("""COMPUTED_VALUE"""),625.0)</f>
        <v>625</v>
      </c>
      <c r="BC332" s="280">
        <f>IFERROR(__xludf.DUMMYFUNCTION("""COMPUTED_VALUE"""),670.0)</f>
        <v>670</v>
      </c>
      <c r="BD332" s="280">
        <f>IFERROR(__xludf.DUMMYFUNCTION("""COMPUTED_VALUE"""),680.0)</f>
        <v>680</v>
      </c>
      <c r="BE332" s="385" t="str">
        <f>IFERROR(__xludf.DUMMYFUNCTION("""COMPUTED_VALUE"""),"ハイブリッド型")</f>
        <v>ハイブリッド型</v>
      </c>
      <c r="BF332" s="386">
        <f>IFERROR(__xludf.DUMMYFUNCTION("""COMPUTED_VALUE"""),2.0)</f>
        <v>2</v>
      </c>
      <c r="BG332" s="387" t="str">
        <f>IFERROR(__xludf.DUMMYFUNCTION("""COMPUTED_VALUE"""),"効果時間")</f>
        <v>効果時間</v>
      </c>
      <c r="BH332" s="407">
        <f>IFERROR(__xludf.DUMMYFUNCTION("""COMPUTED_VALUE"""),195.0)</f>
        <v>195</v>
      </c>
      <c r="BI332" s="407">
        <f>IFERROR(__xludf.DUMMYFUNCTION("""COMPUTED_VALUE"""),205.0)</f>
        <v>205</v>
      </c>
      <c r="BJ332" s="407">
        <f>IFERROR(__xludf.DUMMYFUNCTION("""COMPUTED_VALUE"""),205.0)</f>
        <v>205</v>
      </c>
      <c r="BK332" s="408">
        <f>IFERROR(__xludf.DUMMYFUNCTION("""COMPUTED_VALUE"""),210.0)</f>
        <v>210</v>
      </c>
      <c r="BL332" s="407">
        <f>IFERROR(__xludf.DUMMYFUNCTION("""COMPUTED_VALUE"""),215.0)</f>
        <v>215</v>
      </c>
      <c r="BM332" s="408">
        <f>IFERROR(__xludf.DUMMYFUNCTION("""COMPUTED_VALUE"""),375.0)</f>
        <v>375</v>
      </c>
      <c r="BN332" s="407">
        <f>IFERROR(__xludf.DUMMYFUNCTION("""COMPUTED_VALUE"""),480.0)</f>
        <v>480</v>
      </c>
      <c r="BO332" s="408">
        <f>IFERROR(__xludf.DUMMYFUNCTION("""COMPUTED_VALUE"""),490.0)</f>
        <v>490</v>
      </c>
    </row>
    <row r="333">
      <c r="A333" s="435" t="str">
        <f>IFERROR(__xludf.DUMMYFUNCTION("""COMPUTED_VALUE"""),"攻撃力Down(赤)")</f>
        <v>攻撃力Down(赤)</v>
      </c>
      <c r="B333" s="385" t="str">
        <f>IFERROR(__xludf.DUMMYFUNCTION("""COMPUTED_VALUE"""),"超瞬間型")</f>
        <v>超瞬間型</v>
      </c>
      <c r="C333" s="399">
        <f>IFERROR(__xludf.DUMMYFUNCTION("""COMPUTED_VALUE"""),3.0)</f>
        <v>3</v>
      </c>
      <c r="D333" s="400" t="str">
        <f>IFERROR(__xludf.DUMMYFUNCTION("""COMPUTED_VALUE"""),"効果値")</f>
        <v>効果値</v>
      </c>
      <c r="E333" s="401" t="str">
        <f>IFERROR(__xludf.DUMMYFUNCTION("""COMPUTED_VALUE"""),"-")</f>
        <v>-</v>
      </c>
      <c r="F333" s="409" t="str">
        <f>IFERROR(__xludf.DUMMYFUNCTION("""COMPUTED_VALUE"""),"-")</f>
        <v>-</v>
      </c>
      <c r="G333" s="401" t="str">
        <f>IFERROR(__xludf.DUMMYFUNCTION("""COMPUTED_VALUE"""),"-")</f>
        <v>-</v>
      </c>
      <c r="H333" s="409" t="str">
        <f>IFERROR(__xludf.DUMMYFUNCTION("""COMPUTED_VALUE"""),"-")</f>
        <v>-</v>
      </c>
      <c r="I333" s="409" t="str">
        <f>IFERROR(__xludf.DUMMYFUNCTION("""COMPUTED_VALUE"""),"-")</f>
        <v>-</v>
      </c>
      <c r="J333" s="410">
        <f>IFERROR(__xludf.DUMMYFUNCTION("""COMPUTED_VALUE"""),58.0)</f>
        <v>58</v>
      </c>
      <c r="K333" s="410">
        <f>IFERROR(__xludf.DUMMYFUNCTION("""COMPUTED_VALUE"""),68.0)</f>
        <v>68</v>
      </c>
      <c r="L333" s="410">
        <f>IFERROR(__xludf.DUMMYFUNCTION("""COMPUTED_VALUE"""),72.0)</f>
        <v>72</v>
      </c>
      <c r="M333" s="385" t="str">
        <f>IFERROR(__xludf.DUMMYFUNCTION("""COMPUTED_VALUE"""),"瞬間型")</f>
        <v>瞬間型</v>
      </c>
      <c r="N333" s="399">
        <f>IFERROR(__xludf.DUMMYFUNCTION("""COMPUTED_VALUE"""),3.0)</f>
        <v>3</v>
      </c>
      <c r="O333" s="400" t="str">
        <f>IFERROR(__xludf.DUMMYFUNCTION("""COMPUTED_VALUE"""),"効果値")</f>
        <v>効果値</v>
      </c>
      <c r="P333" s="343">
        <f>IFERROR(__xludf.DUMMYFUNCTION("""COMPUTED_VALUE"""),22.0)</f>
        <v>22</v>
      </c>
      <c r="Q333" s="402">
        <f>IFERROR(__xludf.DUMMYFUNCTION("""COMPUTED_VALUE"""),22.0)</f>
        <v>22</v>
      </c>
      <c r="R333" s="402">
        <f>IFERROR(__xludf.DUMMYFUNCTION("""COMPUTED_VALUE"""),23.0)</f>
        <v>23</v>
      </c>
      <c r="S333" s="402">
        <f>IFERROR(__xludf.DUMMYFUNCTION("""COMPUTED_VALUE"""),23.0)</f>
        <v>23</v>
      </c>
      <c r="T333" s="402">
        <f>IFERROR(__xludf.DUMMYFUNCTION("""COMPUTED_VALUE"""),23.0)</f>
        <v>23</v>
      </c>
      <c r="U333" s="402">
        <f>IFERROR(__xludf.DUMMYFUNCTION("""COMPUTED_VALUE"""),28.0)</f>
        <v>28</v>
      </c>
      <c r="V333" s="402">
        <f>IFERROR(__xludf.DUMMYFUNCTION("""COMPUTED_VALUE"""),33.0)</f>
        <v>33</v>
      </c>
      <c r="W333" s="402">
        <f>IFERROR(__xludf.DUMMYFUNCTION("""COMPUTED_VALUE"""),37.0)</f>
        <v>37</v>
      </c>
      <c r="X333" s="385" t="str">
        <f>IFERROR(__xludf.DUMMYFUNCTION("""COMPUTED_VALUE"""),"安定型")</f>
        <v>安定型</v>
      </c>
      <c r="Y333" s="399">
        <f>IFERROR(__xludf.DUMMYFUNCTION("""COMPUTED_VALUE"""),3.0)</f>
        <v>3</v>
      </c>
      <c r="Z333" s="400" t="str">
        <f>IFERROR(__xludf.DUMMYFUNCTION("""COMPUTED_VALUE"""),"効果値")</f>
        <v>効果値</v>
      </c>
      <c r="AA333" s="343">
        <f>IFERROR(__xludf.DUMMYFUNCTION("""COMPUTED_VALUE"""),12.0)</f>
        <v>12</v>
      </c>
      <c r="AB333" s="402">
        <f>IFERROR(__xludf.DUMMYFUNCTION("""COMPUTED_VALUE"""),12.0)</f>
        <v>12</v>
      </c>
      <c r="AC333" s="402">
        <f>IFERROR(__xludf.DUMMYFUNCTION("""COMPUTED_VALUE"""),13.0)</f>
        <v>13</v>
      </c>
      <c r="AD333" s="402">
        <f>IFERROR(__xludf.DUMMYFUNCTION("""COMPUTED_VALUE"""),13.0)</f>
        <v>13</v>
      </c>
      <c r="AE333" s="402">
        <f>IFERROR(__xludf.DUMMYFUNCTION("""COMPUTED_VALUE"""),13.0)</f>
        <v>13</v>
      </c>
      <c r="AF333" s="402">
        <f>IFERROR(__xludf.DUMMYFUNCTION("""COMPUTED_VALUE"""),13.0)</f>
        <v>13</v>
      </c>
      <c r="AG333" s="402">
        <f>IFERROR(__xludf.DUMMYFUNCTION("""COMPUTED_VALUE"""),18.0)</f>
        <v>18</v>
      </c>
      <c r="AH333" s="402">
        <f>IFERROR(__xludf.DUMMYFUNCTION("""COMPUTED_VALUE"""),22.0)</f>
        <v>22</v>
      </c>
      <c r="AI333" s="385" t="str">
        <f>IFERROR(__xludf.DUMMYFUNCTION("""COMPUTED_VALUE"""),"持続型")</f>
        <v>持続型</v>
      </c>
      <c r="AJ333" s="399">
        <f>IFERROR(__xludf.DUMMYFUNCTION("""COMPUTED_VALUE"""),3.0)</f>
        <v>3</v>
      </c>
      <c r="AK333" s="400" t="str">
        <f>IFERROR(__xludf.DUMMYFUNCTION("""COMPUTED_VALUE"""),"効果値")</f>
        <v>効果値</v>
      </c>
      <c r="AL333" s="343">
        <f>IFERROR(__xludf.DUMMYFUNCTION("""COMPUTED_VALUE"""),7.0)</f>
        <v>7</v>
      </c>
      <c r="AM333" s="402">
        <f>IFERROR(__xludf.DUMMYFUNCTION("""COMPUTED_VALUE"""),7.0)</f>
        <v>7</v>
      </c>
      <c r="AN333" s="402">
        <f>IFERROR(__xludf.DUMMYFUNCTION("""COMPUTED_VALUE"""),8.0)</f>
        <v>8</v>
      </c>
      <c r="AO333" s="402">
        <f>IFERROR(__xludf.DUMMYFUNCTION("""COMPUTED_VALUE"""),8.0)</f>
        <v>8</v>
      </c>
      <c r="AP333" s="402">
        <f>IFERROR(__xludf.DUMMYFUNCTION("""COMPUTED_VALUE"""),8.0)</f>
        <v>8</v>
      </c>
      <c r="AQ333" s="402">
        <f>IFERROR(__xludf.DUMMYFUNCTION("""COMPUTED_VALUE"""),8.0)</f>
        <v>8</v>
      </c>
      <c r="AR333" s="402">
        <f>IFERROR(__xludf.DUMMYFUNCTION("""COMPUTED_VALUE"""),11.0)</f>
        <v>11</v>
      </c>
      <c r="AS333" s="402">
        <f>IFERROR(__xludf.DUMMYFUNCTION("""COMPUTED_VALUE"""),11.0)</f>
        <v>11</v>
      </c>
      <c r="AT333" s="385" t="str">
        <f>IFERROR(__xludf.DUMMYFUNCTION("""COMPUTED_VALUE"""),"超持続型")</f>
        <v>超持続型</v>
      </c>
      <c r="AU333" s="399">
        <f>IFERROR(__xludf.DUMMYFUNCTION("""COMPUTED_VALUE"""),3.0)</f>
        <v>3</v>
      </c>
      <c r="AV333" s="400" t="str">
        <f>IFERROR(__xludf.DUMMYFUNCTION("""COMPUTED_VALUE"""),"効果値")</f>
        <v>効果値</v>
      </c>
      <c r="AW333" s="403" t="str">
        <f>IFERROR(__xludf.DUMMYFUNCTION("""COMPUTED_VALUE"""),"-")</f>
        <v>-</v>
      </c>
      <c r="AX333" s="403" t="str">
        <f>IFERROR(__xludf.DUMMYFUNCTION("""COMPUTED_VALUE"""),"-")</f>
        <v>-</v>
      </c>
      <c r="AY333" s="403" t="str">
        <f>IFERROR(__xludf.DUMMYFUNCTION("""COMPUTED_VALUE"""),"-")</f>
        <v>-</v>
      </c>
      <c r="AZ333" s="403" t="str">
        <f>IFERROR(__xludf.DUMMYFUNCTION("""COMPUTED_VALUE"""),"-")</f>
        <v>-</v>
      </c>
      <c r="BA333" s="403" t="str">
        <f>IFERROR(__xludf.DUMMYFUNCTION("""COMPUTED_VALUE"""),"-")</f>
        <v>-</v>
      </c>
      <c r="BB333" s="343">
        <f>IFERROR(__xludf.DUMMYFUNCTION("""COMPUTED_VALUE"""),8.0)</f>
        <v>8</v>
      </c>
      <c r="BC333" s="343">
        <f>IFERROR(__xludf.DUMMYFUNCTION("""COMPUTED_VALUE"""),11.0)</f>
        <v>11</v>
      </c>
      <c r="BD333" s="343">
        <f>IFERROR(__xludf.DUMMYFUNCTION("""COMPUTED_VALUE"""),11.0)</f>
        <v>11</v>
      </c>
      <c r="BE333" s="385" t="str">
        <f>IFERROR(__xludf.DUMMYFUNCTION("""COMPUTED_VALUE"""),"ハイブリッド型")</f>
        <v>ハイブリッド型</v>
      </c>
      <c r="BF333" s="399">
        <f>IFERROR(__xludf.DUMMYFUNCTION("""COMPUTED_VALUE"""),3.0)</f>
        <v>3</v>
      </c>
      <c r="BG333" s="400" t="str">
        <f>IFERROR(__xludf.DUMMYFUNCTION("""COMPUTED_VALUE"""),"効果値")</f>
        <v>効果値</v>
      </c>
      <c r="BH333" s="411">
        <f>IFERROR(__xludf.DUMMYFUNCTION("""COMPUTED_VALUE"""),11.4)</f>
        <v>11.4</v>
      </c>
      <c r="BI333" s="412">
        <f>IFERROR(__xludf.DUMMYFUNCTION("""COMPUTED_VALUE"""),11.9)</f>
        <v>11.9</v>
      </c>
      <c r="BJ333" s="412">
        <f>IFERROR(__xludf.DUMMYFUNCTION("""COMPUTED_VALUE"""),12.5)</f>
        <v>12.5</v>
      </c>
      <c r="BK333" s="412">
        <f>IFERROR(__xludf.DUMMYFUNCTION("""COMPUTED_VALUE"""),13.0)</f>
        <v>13</v>
      </c>
      <c r="BL333" s="412">
        <f>IFERROR(__xludf.DUMMYFUNCTION("""COMPUTED_VALUE"""),13.5)</f>
        <v>13.5</v>
      </c>
      <c r="BM333" s="412">
        <f>IFERROR(__xludf.DUMMYFUNCTION("""COMPUTED_VALUE"""),18.5)</f>
        <v>18.5</v>
      </c>
      <c r="BN333" s="412">
        <f>IFERROR(__xludf.DUMMYFUNCTION("""COMPUTED_VALUE"""),23.0)</f>
        <v>23</v>
      </c>
      <c r="BO333" s="413">
        <f>IFERROR(__xludf.DUMMYFUNCTION("""COMPUTED_VALUE"""),27.0)</f>
        <v>27</v>
      </c>
    </row>
    <row r="334">
      <c r="A334" s="435" t="str">
        <f>IFERROR(__xludf.DUMMYFUNCTION("""COMPUTED_VALUE"""),"攻撃力Down(赤)")</f>
        <v>攻撃力Down(赤)</v>
      </c>
      <c r="B334" s="385" t="str">
        <f>IFERROR(__xludf.DUMMYFUNCTION("""COMPUTED_VALUE"""),"超瞬間型")</f>
        <v>超瞬間型</v>
      </c>
      <c r="C334" s="386">
        <f>IFERROR(__xludf.DUMMYFUNCTION("""COMPUTED_VALUE"""),3.0)</f>
        <v>3</v>
      </c>
      <c r="D334" s="387" t="str">
        <f>IFERROR(__xludf.DUMMYFUNCTION("""COMPUTED_VALUE"""),"効果時間")</f>
        <v>効果時間</v>
      </c>
      <c r="E334" s="388" t="str">
        <f>IFERROR(__xludf.DUMMYFUNCTION("""COMPUTED_VALUE"""),"-")</f>
        <v>-</v>
      </c>
      <c r="F334" s="389" t="str">
        <f>IFERROR(__xludf.DUMMYFUNCTION("""COMPUTED_VALUE"""),"-")</f>
        <v>-</v>
      </c>
      <c r="G334" s="388" t="str">
        <f>IFERROR(__xludf.DUMMYFUNCTION("""COMPUTED_VALUE"""),"-")</f>
        <v>-</v>
      </c>
      <c r="H334" s="389" t="str">
        <f>IFERROR(__xludf.DUMMYFUNCTION("""COMPUTED_VALUE"""),"-")</f>
        <v>-</v>
      </c>
      <c r="I334" s="388" t="str">
        <f>IFERROR(__xludf.DUMMYFUNCTION("""COMPUTED_VALUE"""),"-")</f>
        <v>-</v>
      </c>
      <c r="J334" s="390">
        <f>IFERROR(__xludf.DUMMYFUNCTION("""COMPUTED_VALUE"""),155.0)</f>
        <v>155</v>
      </c>
      <c r="K334" s="391">
        <f>IFERROR(__xludf.DUMMYFUNCTION("""COMPUTED_VALUE"""),165.0)</f>
        <v>165</v>
      </c>
      <c r="L334" s="340">
        <f>IFERROR(__xludf.DUMMYFUNCTION("""COMPUTED_VALUE"""),185.0)</f>
        <v>185</v>
      </c>
      <c r="M334" s="385" t="str">
        <f>IFERROR(__xludf.DUMMYFUNCTION("""COMPUTED_VALUE"""),"瞬間型")</f>
        <v>瞬間型</v>
      </c>
      <c r="N334" s="386">
        <f>IFERROR(__xludf.DUMMYFUNCTION("""COMPUTED_VALUE"""),3.0)</f>
        <v>3</v>
      </c>
      <c r="O334" s="387" t="str">
        <f>IFERROR(__xludf.DUMMYFUNCTION("""COMPUTED_VALUE"""),"効果時間")</f>
        <v>効果時間</v>
      </c>
      <c r="P334" s="392">
        <f>IFERROR(__xludf.DUMMYFUNCTION("""COMPUTED_VALUE"""),165.0)</f>
        <v>165</v>
      </c>
      <c r="Q334" s="414">
        <f>IFERROR(__xludf.DUMMYFUNCTION("""COMPUTED_VALUE"""),175.0)</f>
        <v>175</v>
      </c>
      <c r="R334" s="415">
        <f>IFERROR(__xludf.DUMMYFUNCTION("""COMPUTED_VALUE"""),180.0)</f>
        <v>180</v>
      </c>
      <c r="S334" s="393">
        <f>IFERROR(__xludf.DUMMYFUNCTION("""COMPUTED_VALUE"""),185.0)</f>
        <v>185</v>
      </c>
      <c r="T334" s="393">
        <f>IFERROR(__xludf.DUMMYFUNCTION("""COMPUTED_VALUE"""),195.0)</f>
        <v>195</v>
      </c>
      <c r="U334" s="414">
        <f>IFERROR(__xludf.DUMMYFUNCTION("""COMPUTED_VALUE"""),200.0)</f>
        <v>200</v>
      </c>
      <c r="V334" s="416">
        <f>IFERROR(__xludf.DUMMYFUNCTION("""COMPUTED_VALUE"""),255.0)</f>
        <v>255</v>
      </c>
      <c r="W334" s="415">
        <f>IFERROR(__xludf.DUMMYFUNCTION("""COMPUTED_VALUE"""),270.0)</f>
        <v>270</v>
      </c>
      <c r="X334" s="385" t="str">
        <f>IFERROR(__xludf.DUMMYFUNCTION("""COMPUTED_VALUE"""),"安定型")</f>
        <v>安定型</v>
      </c>
      <c r="Y334" s="386">
        <f>IFERROR(__xludf.DUMMYFUNCTION("""COMPUTED_VALUE"""),3.0)</f>
        <v>3</v>
      </c>
      <c r="Z334" s="387" t="str">
        <f>IFERROR(__xludf.DUMMYFUNCTION("""COMPUTED_VALUE"""),"効果時間")</f>
        <v>効果時間</v>
      </c>
      <c r="AA334" s="392">
        <f>IFERROR(__xludf.DUMMYFUNCTION("""COMPUTED_VALUE"""),315.0)</f>
        <v>315</v>
      </c>
      <c r="AB334" s="414">
        <f>IFERROR(__xludf.DUMMYFUNCTION("""COMPUTED_VALUE"""),325.0)</f>
        <v>325</v>
      </c>
      <c r="AC334" s="415">
        <f>IFERROR(__xludf.DUMMYFUNCTION("""COMPUTED_VALUE"""),330.0)</f>
        <v>330</v>
      </c>
      <c r="AD334" s="393">
        <f>IFERROR(__xludf.DUMMYFUNCTION("""COMPUTED_VALUE"""),335.0)</f>
        <v>335</v>
      </c>
      <c r="AE334" s="393">
        <f>IFERROR(__xludf.DUMMYFUNCTION("""COMPUTED_VALUE"""),345.0)</f>
        <v>345</v>
      </c>
      <c r="AF334" s="414">
        <f>IFERROR(__xludf.DUMMYFUNCTION("""COMPUTED_VALUE"""),370.0)</f>
        <v>370</v>
      </c>
      <c r="AG334" s="416">
        <f>IFERROR(__xludf.DUMMYFUNCTION("""COMPUTED_VALUE"""),405.0)</f>
        <v>405</v>
      </c>
      <c r="AH334" s="415">
        <f>IFERROR(__xludf.DUMMYFUNCTION("""COMPUTED_VALUE"""),420.0)</f>
        <v>420</v>
      </c>
      <c r="AI334" s="385" t="str">
        <f>IFERROR(__xludf.DUMMYFUNCTION("""COMPUTED_VALUE"""),"持続型")</f>
        <v>持続型</v>
      </c>
      <c r="AJ334" s="386">
        <f>IFERROR(__xludf.DUMMYFUNCTION("""COMPUTED_VALUE"""),3.0)</f>
        <v>3</v>
      </c>
      <c r="AK334" s="387" t="str">
        <f>IFERROR(__xludf.DUMMYFUNCTION("""COMPUTED_VALUE"""),"効果時間")</f>
        <v>効果時間</v>
      </c>
      <c r="AL334" s="392">
        <f>IFERROR(__xludf.DUMMYFUNCTION("""COMPUTED_VALUE"""),465.0)</f>
        <v>465</v>
      </c>
      <c r="AM334" s="414">
        <f>IFERROR(__xludf.DUMMYFUNCTION("""COMPUTED_VALUE"""),475.0)</f>
        <v>475</v>
      </c>
      <c r="AN334" s="415">
        <f>IFERROR(__xludf.DUMMYFUNCTION("""COMPUTED_VALUE"""),480.0)</f>
        <v>480</v>
      </c>
      <c r="AO334" s="393">
        <f>IFERROR(__xludf.DUMMYFUNCTION("""COMPUTED_VALUE"""),485.0)</f>
        <v>485</v>
      </c>
      <c r="AP334" s="393">
        <f>IFERROR(__xludf.DUMMYFUNCTION("""COMPUTED_VALUE"""),495.0)</f>
        <v>495</v>
      </c>
      <c r="AQ334" s="414">
        <f>IFERROR(__xludf.DUMMYFUNCTION("""COMPUTED_VALUE"""),520.0)</f>
        <v>520</v>
      </c>
      <c r="AR334" s="416">
        <f>IFERROR(__xludf.DUMMYFUNCTION("""COMPUTED_VALUE"""),555.0)</f>
        <v>555</v>
      </c>
      <c r="AS334" s="415">
        <f>IFERROR(__xludf.DUMMYFUNCTION("""COMPUTED_VALUE"""),570.0)</f>
        <v>570</v>
      </c>
      <c r="AT334" s="385" t="str">
        <f>IFERROR(__xludf.DUMMYFUNCTION("""COMPUTED_VALUE"""),"超持続型")</f>
        <v>超持続型</v>
      </c>
      <c r="AU334" s="386">
        <f>IFERROR(__xludf.DUMMYFUNCTION("""COMPUTED_VALUE"""),3.0)</f>
        <v>3</v>
      </c>
      <c r="AV334" s="387" t="str">
        <f>IFERROR(__xludf.DUMMYFUNCTION("""COMPUTED_VALUE"""),"効果時間")</f>
        <v>効果時間</v>
      </c>
      <c r="AW334" s="368" t="str">
        <f>IFERROR(__xludf.DUMMYFUNCTION("""COMPUTED_VALUE"""),"-")</f>
        <v>-</v>
      </c>
      <c r="AX334" s="368" t="str">
        <f>IFERROR(__xludf.DUMMYFUNCTION("""COMPUTED_VALUE"""),"-")</f>
        <v>-</v>
      </c>
      <c r="AY334" s="368" t="str">
        <f>IFERROR(__xludf.DUMMYFUNCTION("""COMPUTED_VALUE"""),"-")</f>
        <v>-</v>
      </c>
      <c r="AZ334" s="368" t="str">
        <f>IFERROR(__xludf.DUMMYFUNCTION("""COMPUTED_VALUE"""),"-")</f>
        <v>-</v>
      </c>
      <c r="BA334" s="368" t="str">
        <f>IFERROR(__xludf.DUMMYFUNCTION("""COMPUTED_VALUE"""),"-")</f>
        <v>-</v>
      </c>
      <c r="BB334" s="280">
        <f>IFERROR(__xludf.DUMMYFUNCTION("""COMPUTED_VALUE"""),635.0)</f>
        <v>635</v>
      </c>
      <c r="BC334" s="280">
        <f>IFERROR(__xludf.DUMMYFUNCTION("""COMPUTED_VALUE"""),705.0)</f>
        <v>705</v>
      </c>
      <c r="BD334" s="280">
        <f>IFERROR(__xludf.DUMMYFUNCTION("""COMPUTED_VALUE"""),720.0)</f>
        <v>720</v>
      </c>
      <c r="BE334" s="385" t="str">
        <f>IFERROR(__xludf.DUMMYFUNCTION("""COMPUTED_VALUE"""),"ハイブリッド型")</f>
        <v>ハイブリッド型</v>
      </c>
      <c r="BF334" s="386">
        <f>IFERROR(__xludf.DUMMYFUNCTION("""COMPUTED_VALUE"""),3.0)</f>
        <v>3</v>
      </c>
      <c r="BG334" s="387" t="str">
        <f>IFERROR(__xludf.DUMMYFUNCTION("""COMPUTED_VALUE"""),"効果時間")</f>
        <v>効果時間</v>
      </c>
      <c r="BH334" s="407">
        <f>IFERROR(__xludf.DUMMYFUNCTION("""COMPUTED_VALUE"""),220.0)</f>
        <v>220</v>
      </c>
      <c r="BI334" s="407">
        <f>IFERROR(__xludf.DUMMYFUNCTION("""COMPUTED_VALUE"""),235.0)</f>
        <v>235</v>
      </c>
      <c r="BJ334" s="407">
        <f>IFERROR(__xludf.DUMMYFUNCTION("""COMPUTED_VALUE"""),240.0)</f>
        <v>240</v>
      </c>
      <c r="BK334" s="408">
        <f>IFERROR(__xludf.DUMMYFUNCTION("""COMPUTED_VALUE"""),250.0)</f>
        <v>250</v>
      </c>
      <c r="BL334" s="407">
        <f>IFERROR(__xludf.DUMMYFUNCTION("""COMPUTED_VALUE"""),255.0)</f>
        <v>255</v>
      </c>
      <c r="BM334" s="408">
        <f>IFERROR(__xludf.DUMMYFUNCTION("""COMPUTED_VALUE"""),385.0)</f>
        <v>385</v>
      </c>
      <c r="BN334" s="407">
        <f>IFERROR(__xludf.DUMMYFUNCTION("""COMPUTED_VALUE"""),490.0)</f>
        <v>490</v>
      </c>
      <c r="BO334" s="408">
        <f>IFERROR(__xludf.DUMMYFUNCTION("""COMPUTED_VALUE"""),505.0)</f>
        <v>505</v>
      </c>
    </row>
    <row r="335">
      <c r="A335" s="435" t="str">
        <f>IFERROR(__xludf.DUMMYFUNCTION("""COMPUTED_VALUE"""),"攻撃力Down(赤)")</f>
        <v>攻撃力Down(赤)</v>
      </c>
      <c r="B335" s="385" t="str">
        <f>IFERROR(__xludf.DUMMYFUNCTION("""COMPUTED_VALUE"""),"超瞬間型")</f>
        <v>超瞬間型</v>
      </c>
      <c r="C335" s="399">
        <f>IFERROR(__xludf.DUMMYFUNCTION("""COMPUTED_VALUE"""),4.0)</f>
        <v>4</v>
      </c>
      <c r="D335" s="400" t="str">
        <f>IFERROR(__xludf.DUMMYFUNCTION("""COMPUTED_VALUE"""),"効果値")</f>
        <v>効果値</v>
      </c>
      <c r="E335" s="401" t="str">
        <f>IFERROR(__xludf.DUMMYFUNCTION("""COMPUTED_VALUE"""),"-")</f>
        <v>-</v>
      </c>
      <c r="F335" s="409" t="str">
        <f>IFERROR(__xludf.DUMMYFUNCTION("""COMPUTED_VALUE"""),"-")</f>
        <v>-</v>
      </c>
      <c r="G335" s="409" t="str">
        <f>IFERROR(__xludf.DUMMYFUNCTION("""COMPUTED_VALUE"""),"-")</f>
        <v>-</v>
      </c>
      <c r="H335" s="409" t="str">
        <f>IFERROR(__xludf.DUMMYFUNCTION("""COMPUTED_VALUE"""),"-")</f>
        <v>-</v>
      </c>
      <c r="I335" s="409" t="str">
        <f>IFERROR(__xludf.DUMMYFUNCTION("""COMPUTED_VALUE"""),"-")</f>
        <v>-</v>
      </c>
      <c r="J335" s="410">
        <f>IFERROR(__xludf.DUMMYFUNCTION("""COMPUTED_VALUE"""),59.0)</f>
        <v>59</v>
      </c>
      <c r="K335" s="410">
        <f>IFERROR(__xludf.DUMMYFUNCTION("""COMPUTED_VALUE"""),69.0)</f>
        <v>69</v>
      </c>
      <c r="L335" s="410">
        <f>IFERROR(__xludf.DUMMYFUNCTION("""COMPUTED_VALUE"""),74.0)</f>
        <v>74</v>
      </c>
      <c r="M335" s="385" t="str">
        <f>IFERROR(__xludf.DUMMYFUNCTION("""COMPUTED_VALUE"""),"瞬間型")</f>
        <v>瞬間型</v>
      </c>
      <c r="N335" s="399">
        <f>IFERROR(__xludf.DUMMYFUNCTION("""COMPUTED_VALUE"""),4.0)</f>
        <v>4</v>
      </c>
      <c r="O335" s="400" t="str">
        <f>IFERROR(__xludf.DUMMYFUNCTION("""COMPUTED_VALUE"""),"効果値")</f>
        <v>効果値</v>
      </c>
      <c r="P335" s="343">
        <f>IFERROR(__xludf.DUMMYFUNCTION("""COMPUTED_VALUE"""),23.0)</f>
        <v>23</v>
      </c>
      <c r="Q335" s="402">
        <f>IFERROR(__xludf.DUMMYFUNCTION("""COMPUTED_VALUE"""),23.0)</f>
        <v>23</v>
      </c>
      <c r="R335" s="343">
        <f>IFERROR(__xludf.DUMMYFUNCTION("""COMPUTED_VALUE"""),23.0)</f>
        <v>23</v>
      </c>
      <c r="S335" s="402">
        <f>IFERROR(__xludf.DUMMYFUNCTION("""COMPUTED_VALUE"""),23.0)</f>
        <v>23</v>
      </c>
      <c r="T335" s="343">
        <f>IFERROR(__xludf.DUMMYFUNCTION("""COMPUTED_VALUE"""),23.0)</f>
        <v>23</v>
      </c>
      <c r="U335" s="343">
        <f>IFERROR(__xludf.DUMMYFUNCTION("""COMPUTED_VALUE"""),29.0)</f>
        <v>29</v>
      </c>
      <c r="V335" s="343">
        <f>IFERROR(__xludf.DUMMYFUNCTION("""COMPUTED_VALUE"""),34.0)</f>
        <v>34</v>
      </c>
      <c r="W335" s="343">
        <f>IFERROR(__xludf.DUMMYFUNCTION("""COMPUTED_VALUE"""),39.0)</f>
        <v>39</v>
      </c>
      <c r="X335" s="385" t="str">
        <f>IFERROR(__xludf.DUMMYFUNCTION("""COMPUTED_VALUE"""),"安定型")</f>
        <v>安定型</v>
      </c>
      <c r="Y335" s="399">
        <f>IFERROR(__xludf.DUMMYFUNCTION("""COMPUTED_VALUE"""),4.0)</f>
        <v>4</v>
      </c>
      <c r="Z335" s="400" t="str">
        <f>IFERROR(__xludf.DUMMYFUNCTION("""COMPUTED_VALUE"""),"効果値")</f>
        <v>効果値</v>
      </c>
      <c r="AA335" s="343">
        <f>IFERROR(__xludf.DUMMYFUNCTION("""COMPUTED_VALUE"""),13.0)</f>
        <v>13</v>
      </c>
      <c r="AB335" s="402">
        <f>IFERROR(__xludf.DUMMYFUNCTION("""COMPUTED_VALUE"""),13.0)</f>
        <v>13</v>
      </c>
      <c r="AC335" s="343">
        <f>IFERROR(__xludf.DUMMYFUNCTION("""COMPUTED_VALUE"""),13.0)</f>
        <v>13</v>
      </c>
      <c r="AD335" s="402">
        <f>IFERROR(__xludf.DUMMYFUNCTION("""COMPUTED_VALUE"""),13.0)</f>
        <v>13</v>
      </c>
      <c r="AE335" s="343">
        <f>IFERROR(__xludf.DUMMYFUNCTION("""COMPUTED_VALUE"""),13.0)</f>
        <v>13</v>
      </c>
      <c r="AF335" s="343">
        <f>IFERROR(__xludf.DUMMYFUNCTION("""COMPUTED_VALUE"""),14.0)</f>
        <v>14</v>
      </c>
      <c r="AG335" s="343">
        <f>IFERROR(__xludf.DUMMYFUNCTION("""COMPUTED_VALUE"""),19.0)</f>
        <v>19</v>
      </c>
      <c r="AH335" s="343">
        <f>IFERROR(__xludf.DUMMYFUNCTION("""COMPUTED_VALUE"""),24.0)</f>
        <v>24</v>
      </c>
      <c r="AI335" s="385" t="str">
        <f>IFERROR(__xludf.DUMMYFUNCTION("""COMPUTED_VALUE"""),"持続型")</f>
        <v>持続型</v>
      </c>
      <c r="AJ335" s="399">
        <f>IFERROR(__xludf.DUMMYFUNCTION("""COMPUTED_VALUE"""),4.0)</f>
        <v>4</v>
      </c>
      <c r="AK335" s="400" t="str">
        <f>IFERROR(__xludf.DUMMYFUNCTION("""COMPUTED_VALUE"""),"効果値")</f>
        <v>効果値</v>
      </c>
      <c r="AL335" s="343">
        <f>IFERROR(__xludf.DUMMYFUNCTION("""COMPUTED_VALUE"""),8.0)</f>
        <v>8</v>
      </c>
      <c r="AM335" s="402">
        <f>IFERROR(__xludf.DUMMYFUNCTION("""COMPUTED_VALUE"""),8.0)</f>
        <v>8</v>
      </c>
      <c r="AN335" s="343">
        <f>IFERROR(__xludf.DUMMYFUNCTION("""COMPUTED_VALUE"""),8.0)</f>
        <v>8</v>
      </c>
      <c r="AO335" s="402">
        <f>IFERROR(__xludf.DUMMYFUNCTION("""COMPUTED_VALUE"""),8.0)</f>
        <v>8</v>
      </c>
      <c r="AP335" s="343">
        <f>IFERROR(__xludf.DUMMYFUNCTION("""COMPUTED_VALUE"""),8.0)</f>
        <v>8</v>
      </c>
      <c r="AQ335" s="343">
        <f>IFERROR(__xludf.DUMMYFUNCTION("""COMPUTED_VALUE"""),9.0)</f>
        <v>9</v>
      </c>
      <c r="AR335" s="343">
        <f>IFERROR(__xludf.DUMMYFUNCTION("""COMPUTED_VALUE"""),12.0)</f>
        <v>12</v>
      </c>
      <c r="AS335" s="343">
        <f>IFERROR(__xludf.DUMMYFUNCTION("""COMPUTED_VALUE"""),12.0)</f>
        <v>12</v>
      </c>
      <c r="AT335" s="385" t="str">
        <f>IFERROR(__xludf.DUMMYFUNCTION("""COMPUTED_VALUE"""),"超持続型")</f>
        <v>超持続型</v>
      </c>
      <c r="AU335" s="399">
        <f>IFERROR(__xludf.DUMMYFUNCTION("""COMPUTED_VALUE"""),4.0)</f>
        <v>4</v>
      </c>
      <c r="AV335" s="400" t="str">
        <f>IFERROR(__xludf.DUMMYFUNCTION("""COMPUTED_VALUE"""),"効果値")</f>
        <v>効果値</v>
      </c>
      <c r="AW335" s="403" t="str">
        <f>IFERROR(__xludf.DUMMYFUNCTION("""COMPUTED_VALUE"""),"-")</f>
        <v>-</v>
      </c>
      <c r="AX335" s="403" t="str">
        <f>IFERROR(__xludf.DUMMYFUNCTION("""COMPUTED_VALUE"""),"-")</f>
        <v>-</v>
      </c>
      <c r="AY335" s="403" t="str">
        <f>IFERROR(__xludf.DUMMYFUNCTION("""COMPUTED_VALUE"""),"-")</f>
        <v>-</v>
      </c>
      <c r="AZ335" s="403" t="str">
        <f>IFERROR(__xludf.DUMMYFUNCTION("""COMPUTED_VALUE"""),"-")</f>
        <v>-</v>
      </c>
      <c r="BA335" s="403" t="str">
        <f>IFERROR(__xludf.DUMMYFUNCTION("""COMPUTED_VALUE"""),"-")</f>
        <v>-</v>
      </c>
      <c r="BB335" s="343">
        <f>IFERROR(__xludf.DUMMYFUNCTION("""COMPUTED_VALUE"""),9.0)</f>
        <v>9</v>
      </c>
      <c r="BC335" s="343">
        <f>IFERROR(__xludf.DUMMYFUNCTION("""COMPUTED_VALUE"""),12.0)</f>
        <v>12</v>
      </c>
      <c r="BD335" s="343">
        <f>IFERROR(__xludf.DUMMYFUNCTION("""COMPUTED_VALUE"""),12.0)</f>
        <v>12</v>
      </c>
      <c r="BE335" s="385" t="str">
        <f>IFERROR(__xludf.DUMMYFUNCTION("""COMPUTED_VALUE"""),"ハイブリッド型")</f>
        <v>ハイブリッド型</v>
      </c>
      <c r="BF335" s="399">
        <f>IFERROR(__xludf.DUMMYFUNCTION("""COMPUTED_VALUE"""),4.0)</f>
        <v>4</v>
      </c>
      <c r="BG335" s="400" t="str">
        <f>IFERROR(__xludf.DUMMYFUNCTION("""COMPUTED_VALUE"""),"効果値")</f>
        <v>効果値</v>
      </c>
      <c r="BH335" s="411">
        <f>IFERROR(__xludf.DUMMYFUNCTION("""COMPUTED_VALUE"""),11.8)</f>
        <v>11.8</v>
      </c>
      <c r="BI335" s="412">
        <f>IFERROR(__xludf.DUMMYFUNCTION("""COMPUTED_VALUE"""),12.4)</f>
        <v>12.4</v>
      </c>
      <c r="BJ335" s="412">
        <f>IFERROR(__xludf.DUMMYFUNCTION("""COMPUTED_VALUE"""),13.1)</f>
        <v>13.1</v>
      </c>
      <c r="BK335" s="412">
        <f>IFERROR(__xludf.DUMMYFUNCTION("""COMPUTED_VALUE"""),13.7)</f>
        <v>13.7</v>
      </c>
      <c r="BL335" s="412">
        <f>IFERROR(__xludf.DUMMYFUNCTION("""COMPUTED_VALUE"""),14.4)</f>
        <v>14.4</v>
      </c>
      <c r="BM335" s="412">
        <f>IFERROR(__xludf.DUMMYFUNCTION("""COMPUTED_VALUE"""),19.4)</f>
        <v>19.4</v>
      </c>
      <c r="BN335" s="412">
        <f>IFERROR(__xludf.DUMMYFUNCTION("""COMPUTED_VALUE"""),24.0)</f>
        <v>24</v>
      </c>
      <c r="BO335" s="413">
        <f>IFERROR(__xludf.DUMMYFUNCTION("""COMPUTED_VALUE"""),29.0)</f>
        <v>29</v>
      </c>
    </row>
    <row r="336">
      <c r="A336" s="435" t="str">
        <f>IFERROR(__xludf.DUMMYFUNCTION("""COMPUTED_VALUE"""),"攻撃力Down(赤)")</f>
        <v>攻撃力Down(赤)</v>
      </c>
      <c r="B336" s="385" t="str">
        <f>IFERROR(__xludf.DUMMYFUNCTION("""COMPUTED_VALUE"""),"超瞬間型")</f>
        <v>超瞬間型</v>
      </c>
      <c r="C336" s="386">
        <f>IFERROR(__xludf.DUMMYFUNCTION("""COMPUTED_VALUE"""),4.0)</f>
        <v>4</v>
      </c>
      <c r="D336" s="387" t="str">
        <f>IFERROR(__xludf.DUMMYFUNCTION("""COMPUTED_VALUE"""),"効果時間")</f>
        <v>効果時間</v>
      </c>
      <c r="E336" s="388" t="str">
        <f>IFERROR(__xludf.DUMMYFUNCTION("""COMPUTED_VALUE"""),"-")</f>
        <v>-</v>
      </c>
      <c r="F336" s="389" t="str">
        <f>IFERROR(__xludf.DUMMYFUNCTION("""COMPUTED_VALUE"""),"-")</f>
        <v>-</v>
      </c>
      <c r="G336" s="388" t="str">
        <f>IFERROR(__xludf.DUMMYFUNCTION("""COMPUTED_VALUE"""),"-")</f>
        <v>-</v>
      </c>
      <c r="H336" s="389" t="str">
        <f>IFERROR(__xludf.DUMMYFUNCTION("""COMPUTED_VALUE"""),"-")</f>
        <v>-</v>
      </c>
      <c r="I336" s="388" t="str">
        <f>IFERROR(__xludf.DUMMYFUNCTION("""COMPUTED_VALUE"""),"-")</f>
        <v>-</v>
      </c>
      <c r="J336" s="390">
        <f>IFERROR(__xludf.DUMMYFUNCTION("""COMPUTED_VALUE"""),155.0)</f>
        <v>155</v>
      </c>
      <c r="K336" s="391">
        <f>IFERROR(__xludf.DUMMYFUNCTION("""COMPUTED_VALUE"""),170.0)</f>
        <v>170</v>
      </c>
      <c r="L336" s="340">
        <f>IFERROR(__xludf.DUMMYFUNCTION("""COMPUTED_VALUE"""),195.0)</f>
        <v>195</v>
      </c>
      <c r="M336" s="385" t="str">
        <f>IFERROR(__xludf.DUMMYFUNCTION("""COMPUTED_VALUE"""),"瞬間型")</f>
        <v>瞬間型</v>
      </c>
      <c r="N336" s="386">
        <f>IFERROR(__xludf.DUMMYFUNCTION("""COMPUTED_VALUE"""),4.0)</f>
        <v>4</v>
      </c>
      <c r="O336" s="387" t="str">
        <f>IFERROR(__xludf.DUMMYFUNCTION("""COMPUTED_VALUE"""),"効果時間")</f>
        <v>効果時間</v>
      </c>
      <c r="P336" s="280">
        <f>IFERROR(__xludf.DUMMYFUNCTION("""COMPUTED_VALUE"""),170.0)</f>
        <v>170</v>
      </c>
      <c r="Q336" s="275">
        <f>IFERROR(__xludf.DUMMYFUNCTION("""COMPUTED_VALUE"""),180.0)</f>
        <v>180</v>
      </c>
      <c r="R336" s="280">
        <f>IFERROR(__xludf.DUMMYFUNCTION("""COMPUTED_VALUE"""),185.0)</f>
        <v>185</v>
      </c>
      <c r="S336" s="275">
        <f>IFERROR(__xludf.DUMMYFUNCTION("""COMPUTED_VALUE"""),195.0)</f>
        <v>195</v>
      </c>
      <c r="T336" s="280">
        <f>IFERROR(__xludf.DUMMYFUNCTION("""COMPUTED_VALUE"""),200.0)</f>
        <v>200</v>
      </c>
      <c r="U336" s="280">
        <f>IFERROR(__xludf.DUMMYFUNCTION("""COMPUTED_VALUE"""),215.0)</f>
        <v>215</v>
      </c>
      <c r="V336" s="280">
        <f>IFERROR(__xludf.DUMMYFUNCTION("""COMPUTED_VALUE"""),285.0)</f>
        <v>285</v>
      </c>
      <c r="W336" s="280">
        <f>IFERROR(__xludf.DUMMYFUNCTION("""COMPUTED_VALUE"""),305.0)</f>
        <v>305</v>
      </c>
      <c r="X336" s="385" t="str">
        <f>IFERROR(__xludf.DUMMYFUNCTION("""COMPUTED_VALUE"""),"安定型")</f>
        <v>安定型</v>
      </c>
      <c r="Y336" s="386">
        <f>IFERROR(__xludf.DUMMYFUNCTION("""COMPUTED_VALUE"""),4.0)</f>
        <v>4</v>
      </c>
      <c r="Z336" s="387" t="str">
        <f>IFERROR(__xludf.DUMMYFUNCTION("""COMPUTED_VALUE"""),"効果時間")</f>
        <v>効果時間</v>
      </c>
      <c r="AA336" s="280">
        <f>IFERROR(__xludf.DUMMYFUNCTION("""COMPUTED_VALUE"""),320.0)</f>
        <v>320</v>
      </c>
      <c r="AB336" s="275">
        <f>IFERROR(__xludf.DUMMYFUNCTION("""COMPUTED_VALUE"""),330.0)</f>
        <v>330</v>
      </c>
      <c r="AC336" s="280">
        <f>IFERROR(__xludf.DUMMYFUNCTION("""COMPUTED_VALUE"""),335.0)</f>
        <v>335</v>
      </c>
      <c r="AD336" s="275">
        <f>IFERROR(__xludf.DUMMYFUNCTION("""COMPUTED_VALUE"""),345.0)</f>
        <v>345</v>
      </c>
      <c r="AE336" s="280">
        <f>IFERROR(__xludf.DUMMYFUNCTION("""COMPUTED_VALUE"""),350.0)</f>
        <v>350</v>
      </c>
      <c r="AF336" s="280">
        <f>IFERROR(__xludf.DUMMYFUNCTION("""COMPUTED_VALUE"""),390.0)</f>
        <v>390</v>
      </c>
      <c r="AG336" s="280">
        <f>IFERROR(__xludf.DUMMYFUNCTION("""COMPUTED_VALUE"""),435.0)</f>
        <v>435</v>
      </c>
      <c r="AH336" s="280">
        <f>IFERROR(__xludf.DUMMYFUNCTION("""COMPUTED_VALUE"""),455.0)</f>
        <v>455</v>
      </c>
      <c r="AI336" s="385" t="str">
        <f>IFERROR(__xludf.DUMMYFUNCTION("""COMPUTED_VALUE"""),"持続型")</f>
        <v>持続型</v>
      </c>
      <c r="AJ336" s="386">
        <f>IFERROR(__xludf.DUMMYFUNCTION("""COMPUTED_VALUE"""),4.0)</f>
        <v>4</v>
      </c>
      <c r="AK336" s="387" t="str">
        <f>IFERROR(__xludf.DUMMYFUNCTION("""COMPUTED_VALUE"""),"効果時間")</f>
        <v>効果時間</v>
      </c>
      <c r="AL336" s="280">
        <f>IFERROR(__xludf.DUMMYFUNCTION("""COMPUTED_VALUE"""),470.0)</f>
        <v>470</v>
      </c>
      <c r="AM336" s="275">
        <f>IFERROR(__xludf.DUMMYFUNCTION("""COMPUTED_VALUE"""),480.0)</f>
        <v>480</v>
      </c>
      <c r="AN336" s="280">
        <f>IFERROR(__xludf.DUMMYFUNCTION("""COMPUTED_VALUE"""),485.0)</f>
        <v>485</v>
      </c>
      <c r="AO336" s="275">
        <f>IFERROR(__xludf.DUMMYFUNCTION("""COMPUTED_VALUE"""),495.0)</f>
        <v>495</v>
      </c>
      <c r="AP336" s="280">
        <f>IFERROR(__xludf.DUMMYFUNCTION("""COMPUTED_VALUE"""),500.0)</f>
        <v>500</v>
      </c>
      <c r="AQ336" s="280">
        <f>IFERROR(__xludf.DUMMYFUNCTION("""COMPUTED_VALUE"""),540.0)</f>
        <v>540</v>
      </c>
      <c r="AR336" s="280">
        <f>IFERROR(__xludf.DUMMYFUNCTION("""COMPUTED_VALUE"""),585.0)</f>
        <v>585</v>
      </c>
      <c r="AS336" s="280">
        <f>IFERROR(__xludf.DUMMYFUNCTION("""COMPUTED_VALUE"""),605.0)</f>
        <v>605</v>
      </c>
      <c r="AT336" s="385" t="str">
        <f>IFERROR(__xludf.DUMMYFUNCTION("""COMPUTED_VALUE"""),"超持続型")</f>
        <v>超持続型</v>
      </c>
      <c r="AU336" s="386">
        <f>IFERROR(__xludf.DUMMYFUNCTION("""COMPUTED_VALUE"""),4.0)</f>
        <v>4</v>
      </c>
      <c r="AV336" s="387" t="str">
        <f>IFERROR(__xludf.DUMMYFUNCTION("""COMPUTED_VALUE"""),"効果時間")</f>
        <v>効果時間</v>
      </c>
      <c r="AW336" s="368" t="str">
        <f>IFERROR(__xludf.DUMMYFUNCTION("""COMPUTED_VALUE"""),"-")</f>
        <v>-</v>
      </c>
      <c r="AX336" s="368" t="str">
        <f>IFERROR(__xludf.DUMMYFUNCTION("""COMPUTED_VALUE"""),"-")</f>
        <v>-</v>
      </c>
      <c r="AY336" s="368" t="str">
        <f>IFERROR(__xludf.DUMMYFUNCTION("""COMPUTED_VALUE"""),"-")</f>
        <v>-</v>
      </c>
      <c r="AZ336" s="368" t="str">
        <f>IFERROR(__xludf.DUMMYFUNCTION("""COMPUTED_VALUE"""),"-")</f>
        <v>-</v>
      </c>
      <c r="BA336" s="368" t="str">
        <f>IFERROR(__xludf.DUMMYFUNCTION("""COMPUTED_VALUE"""),"-")</f>
        <v>-</v>
      </c>
      <c r="BB336" s="280">
        <f>IFERROR(__xludf.DUMMYFUNCTION("""COMPUTED_VALUE"""),645.0)</f>
        <v>645</v>
      </c>
      <c r="BC336" s="280">
        <f>IFERROR(__xludf.DUMMYFUNCTION("""COMPUTED_VALUE"""),735.0)</f>
        <v>735</v>
      </c>
      <c r="BD336" s="280">
        <f>IFERROR(__xludf.DUMMYFUNCTION("""COMPUTED_VALUE"""),755.0)</f>
        <v>755</v>
      </c>
      <c r="BE336" s="385" t="str">
        <f>IFERROR(__xludf.DUMMYFUNCTION("""COMPUTED_VALUE"""),"ハイブリッド型")</f>
        <v>ハイブリッド型</v>
      </c>
      <c r="BF336" s="386">
        <f>IFERROR(__xludf.DUMMYFUNCTION("""COMPUTED_VALUE"""),4.0)</f>
        <v>4</v>
      </c>
      <c r="BG336" s="387" t="str">
        <f>IFERROR(__xludf.DUMMYFUNCTION("""COMPUTED_VALUE"""),"効果時間")</f>
        <v>効果時間</v>
      </c>
      <c r="BH336" s="417">
        <f>IFERROR(__xludf.DUMMYFUNCTION("""COMPUTED_VALUE"""),240.0)</f>
        <v>240</v>
      </c>
      <c r="BI336" s="417">
        <f>IFERROR(__xludf.DUMMYFUNCTION("""COMPUTED_VALUE"""),255.0)</f>
        <v>255</v>
      </c>
      <c r="BJ336" s="417">
        <f>IFERROR(__xludf.DUMMYFUNCTION("""COMPUTED_VALUE"""),265.0)</f>
        <v>265</v>
      </c>
      <c r="BK336" s="418">
        <f>IFERROR(__xludf.DUMMYFUNCTION("""COMPUTED_VALUE"""),275.0)</f>
        <v>275</v>
      </c>
      <c r="BL336" s="417">
        <f>IFERROR(__xludf.DUMMYFUNCTION("""COMPUTED_VALUE"""),285.0)</f>
        <v>285</v>
      </c>
      <c r="BM336" s="418">
        <f>IFERROR(__xludf.DUMMYFUNCTION("""COMPUTED_VALUE"""),395.0)</f>
        <v>395</v>
      </c>
      <c r="BN336" s="417">
        <f>IFERROR(__xludf.DUMMYFUNCTION("""COMPUTED_VALUE"""),500.0)</f>
        <v>500</v>
      </c>
      <c r="BO336" s="418">
        <f>IFERROR(__xludf.DUMMYFUNCTION("""COMPUTED_VALUE"""),520.0)</f>
        <v>520</v>
      </c>
    </row>
    <row r="337">
      <c r="A337" s="435" t="str">
        <f>IFERROR(__xludf.DUMMYFUNCTION("""COMPUTED_VALUE"""),"攻撃力Down(赤)")</f>
        <v>攻撃力Down(赤)</v>
      </c>
      <c r="B337" s="385" t="str">
        <f>IFERROR(__xludf.DUMMYFUNCTION("""COMPUTED_VALUE"""),"超瞬間型")</f>
        <v>超瞬間型</v>
      </c>
      <c r="C337" s="399">
        <f>IFERROR(__xludf.DUMMYFUNCTION("""COMPUTED_VALUE"""),5.0)</f>
        <v>5</v>
      </c>
      <c r="D337" s="400" t="str">
        <f>IFERROR(__xludf.DUMMYFUNCTION("""COMPUTED_VALUE"""),"効果値")</f>
        <v>効果値</v>
      </c>
      <c r="E337" s="419" t="str">
        <f>IFERROR(__xludf.DUMMYFUNCTION("""COMPUTED_VALUE"""),"-")</f>
        <v>-</v>
      </c>
      <c r="F337" s="409" t="str">
        <f>IFERROR(__xludf.DUMMYFUNCTION("""COMPUTED_VALUE"""),"-")</f>
        <v>-</v>
      </c>
      <c r="G337" s="409" t="str">
        <f>IFERROR(__xludf.DUMMYFUNCTION("""COMPUTED_VALUE"""),"-")</f>
        <v>-</v>
      </c>
      <c r="H337" s="409" t="str">
        <f>IFERROR(__xludf.DUMMYFUNCTION("""COMPUTED_VALUE"""),"-")</f>
        <v>-</v>
      </c>
      <c r="I337" s="409" t="str">
        <f>IFERROR(__xludf.DUMMYFUNCTION("""COMPUTED_VALUE"""),"-")</f>
        <v>-</v>
      </c>
      <c r="J337" s="420">
        <f>IFERROR(__xludf.DUMMYFUNCTION("""COMPUTED_VALUE"""),60.0)</f>
        <v>60</v>
      </c>
      <c r="K337" s="421">
        <f>IFERROR(__xludf.DUMMYFUNCTION("""COMPUTED_VALUE"""),70.0)</f>
        <v>70</v>
      </c>
      <c r="L337" s="421">
        <f>IFERROR(__xludf.DUMMYFUNCTION("""COMPUTED_VALUE"""),75.0)</f>
        <v>75</v>
      </c>
      <c r="M337" s="385" t="str">
        <f>IFERROR(__xludf.DUMMYFUNCTION("""COMPUTED_VALUE"""),"瞬間型")</f>
        <v>瞬間型</v>
      </c>
      <c r="N337" s="399">
        <f>IFERROR(__xludf.DUMMYFUNCTION("""COMPUTED_VALUE"""),5.0)</f>
        <v>5</v>
      </c>
      <c r="O337" s="400" t="str">
        <f>IFERROR(__xludf.DUMMYFUNCTION("""COMPUTED_VALUE"""),"効果値")</f>
        <v>効果値</v>
      </c>
      <c r="P337" s="422">
        <f>IFERROR(__xludf.DUMMYFUNCTION("""COMPUTED_VALUE"""),23.0)</f>
        <v>23</v>
      </c>
      <c r="Q337" s="423">
        <f>IFERROR(__xludf.DUMMYFUNCTION("""COMPUTED_VALUE"""),23.0)</f>
        <v>23</v>
      </c>
      <c r="R337" s="422">
        <f>IFERROR(__xludf.DUMMYFUNCTION("""COMPUTED_VALUE"""),24.0)</f>
        <v>24</v>
      </c>
      <c r="S337" s="423">
        <f>IFERROR(__xludf.DUMMYFUNCTION("""COMPUTED_VALUE"""),24.0)</f>
        <v>24</v>
      </c>
      <c r="T337" s="422">
        <f>IFERROR(__xludf.DUMMYFUNCTION("""COMPUTED_VALUE"""),24.0)</f>
        <v>24</v>
      </c>
      <c r="U337" s="423">
        <f>IFERROR(__xludf.DUMMYFUNCTION("""COMPUTED_VALUE"""),30.0)</f>
        <v>30</v>
      </c>
      <c r="V337" s="423">
        <f>IFERROR(__xludf.DUMMYFUNCTION("""COMPUTED_VALUE"""),35.0)</f>
        <v>35</v>
      </c>
      <c r="W337" s="424">
        <f>IFERROR(__xludf.DUMMYFUNCTION("""COMPUTED_VALUE"""),40.0)</f>
        <v>40</v>
      </c>
      <c r="X337" s="385" t="str">
        <f>IFERROR(__xludf.DUMMYFUNCTION("""COMPUTED_VALUE"""),"安定型")</f>
        <v>安定型</v>
      </c>
      <c r="Y337" s="399">
        <f>IFERROR(__xludf.DUMMYFUNCTION("""COMPUTED_VALUE"""),5.0)</f>
        <v>5</v>
      </c>
      <c r="Z337" s="400" t="str">
        <f>IFERROR(__xludf.DUMMYFUNCTION("""COMPUTED_VALUE"""),"効果値")</f>
        <v>効果値</v>
      </c>
      <c r="AA337" s="422">
        <f>IFERROR(__xludf.DUMMYFUNCTION("""COMPUTED_VALUE"""),13.0)</f>
        <v>13</v>
      </c>
      <c r="AB337" s="423">
        <f>IFERROR(__xludf.DUMMYFUNCTION("""COMPUTED_VALUE"""),13.0)</f>
        <v>13</v>
      </c>
      <c r="AC337" s="422">
        <f>IFERROR(__xludf.DUMMYFUNCTION("""COMPUTED_VALUE"""),14.0)</f>
        <v>14</v>
      </c>
      <c r="AD337" s="423">
        <f>IFERROR(__xludf.DUMMYFUNCTION("""COMPUTED_VALUE"""),14.0)</f>
        <v>14</v>
      </c>
      <c r="AE337" s="422">
        <f>IFERROR(__xludf.DUMMYFUNCTION("""COMPUTED_VALUE"""),14.0)</f>
        <v>14</v>
      </c>
      <c r="AF337" s="423">
        <f>IFERROR(__xludf.DUMMYFUNCTION("""COMPUTED_VALUE"""),15.0)</f>
        <v>15</v>
      </c>
      <c r="AG337" s="423">
        <f>IFERROR(__xludf.DUMMYFUNCTION("""COMPUTED_VALUE"""),20.0)</f>
        <v>20</v>
      </c>
      <c r="AH337" s="424">
        <f>IFERROR(__xludf.DUMMYFUNCTION("""COMPUTED_VALUE"""),25.0)</f>
        <v>25</v>
      </c>
      <c r="AI337" s="385" t="str">
        <f>IFERROR(__xludf.DUMMYFUNCTION("""COMPUTED_VALUE"""),"持続型")</f>
        <v>持続型</v>
      </c>
      <c r="AJ337" s="399">
        <f>IFERROR(__xludf.DUMMYFUNCTION("""COMPUTED_VALUE"""),5.0)</f>
        <v>5</v>
      </c>
      <c r="AK337" s="400" t="str">
        <f>IFERROR(__xludf.DUMMYFUNCTION("""COMPUTED_VALUE"""),"効果値")</f>
        <v>効果値</v>
      </c>
      <c r="AL337" s="422">
        <f>IFERROR(__xludf.DUMMYFUNCTION("""COMPUTED_VALUE"""),8.0)</f>
        <v>8</v>
      </c>
      <c r="AM337" s="423">
        <f>IFERROR(__xludf.DUMMYFUNCTION("""COMPUTED_VALUE"""),8.0)</f>
        <v>8</v>
      </c>
      <c r="AN337" s="422">
        <f>IFERROR(__xludf.DUMMYFUNCTION("""COMPUTED_VALUE"""),9.0)</f>
        <v>9</v>
      </c>
      <c r="AO337" s="423">
        <f>IFERROR(__xludf.DUMMYFUNCTION("""COMPUTED_VALUE"""),9.0)</f>
        <v>9</v>
      </c>
      <c r="AP337" s="422">
        <f>IFERROR(__xludf.DUMMYFUNCTION("""COMPUTED_VALUE"""),9.0)</f>
        <v>9</v>
      </c>
      <c r="AQ337" s="423">
        <f>IFERROR(__xludf.DUMMYFUNCTION("""COMPUTED_VALUE"""),10.0)</f>
        <v>10</v>
      </c>
      <c r="AR337" s="423">
        <f>IFERROR(__xludf.DUMMYFUNCTION("""COMPUTED_VALUE"""),12.0)</f>
        <v>12</v>
      </c>
      <c r="AS337" s="424">
        <f>IFERROR(__xludf.DUMMYFUNCTION("""COMPUTED_VALUE"""),12.0)</f>
        <v>12</v>
      </c>
      <c r="AT337" s="385" t="str">
        <f>IFERROR(__xludf.DUMMYFUNCTION("""COMPUTED_VALUE"""),"超持続型")</f>
        <v>超持続型</v>
      </c>
      <c r="AU337" s="399">
        <f>IFERROR(__xludf.DUMMYFUNCTION("""COMPUTED_VALUE"""),5.0)</f>
        <v>5</v>
      </c>
      <c r="AV337" s="400" t="str">
        <f>IFERROR(__xludf.DUMMYFUNCTION("""COMPUTED_VALUE"""),"効果値")</f>
        <v>効果値</v>
      </c>
      <c r="AW337" s="425" t="str">
        <f>IFERROR(__xludf.DUMMYFUNCTION("""COMPUTED_VALUE"""),"-")</f>
        <v>-</v>
      </c>
      <c r="AX337" s="426" t="str">
        <f>IFERROR(__xludf.DUMMYFUNCTION("""COMPUTED_VALUE"""),"-")</f>
        <v>-</v>
      </c>
      <c r="AY337" s="426" t="str">
        <f>IFERROR(__xludf.DUMMYFUNCTION("""COMPUTED_VALUE"""),"-")</f>
        <v>-</v>
      </c>
      <c r="AZ337" s="426" t="str">
        <f>IFERROR(__xludf.DUMMYFUNCTION("""COMPUTED_VALUE"""),"-")</f>
        <v>-</v>
      </c>
      <c r="BA337" s="426" t="str">
        <f>IFERROR(__xludf.DUMMYFUNCTION("""COMPUTED_VALUE"""),"-")</f>
        <v>-</v>
      </c>
      <c r="BB337" s="423">
        <f>IFERROR(__xludf.DUMMYFUNCTION("""COMPUTED_VALUE"""),10.0)</f>
        <v>10</v>
      </c>
      <c r="BC337" s="423">
        <f>IFERROR(__xludf.DUMMYFUNCTION("""COMPUTED_VALUE"""),12.0)</f>
        <v>12</v>
      </c>
      <c r="BD337" s="424">
        <f>IFERROR(__xludf.DUMMYFUNCTION("""COMPUTED_VALUE"""),12.0)</f>
        <v>12</v>
      </c>
      <c r="BE337" s="385" t="str">
        <f>IFERROR(__xludf.DUMMYFUNCTION("""COMPUTED_VALUE"""),"ハイブリッド型")</f>
        <v>ハイブリッド型</v>
      </c>
      <c r="BF337" s="399">
        <f>IFERROR(__xludf.DUMMYFUNCTION("""COMPUTED_VALUE"""),5.0)</f>
        <v>5</v>
      </c>
      <c r="BG337" s="400" t="str">
        <f>IFERROR(__xludf.DUMMYFUNCTION("""COMPUTED_VALUE"""),"効果値")</f>
        <v>効果値</v>
      </c>
      <c r="BH337" s="427">
        <f>IFERROR(__xludf.DUMMYFUNCTION("""COMPUTED_VALUE"""),12.0)</f>
        <v>12</v>
      </c>
      <c r="BI337" s="428">
        <f>IFERROR(__xludf.DUMMYFUNCTION("""COMPUTED_VALUE"""),12.75)</f>
        <v>12.75</v>
      </c>
      <c r="BJ337" s="428">
        <f>IFERROR(__xludf.DUMMYFUNCTION("""COMPUTED_VALUE"""),13.5)</f>
        <v>13.5</v>
      </c>
      <c r="BK337" s="428">
        <f>IFERROR(__xludf.DUMMYFUNCTION("""COMPUTED_VALUE"""),14.25)</f>
        <v>14.25</v>
      </c>
      <c r="BL337" s="427">
        <f>IFERROR(__xludf.DUMMYFUNCTION("""COMPUTED_VALUE"""),15.0)</f>
        <v>15</v>
      </c>
      <c r="BM337" s="427">
        <f>IFERROR(__xludf.DUMMYFUNCTION("""COMPUTED_VALUE"""),20.0)</f>
        <v>20</v>
      </c>
      <c r="BN337" s="427">
        <f>IFERROR(__xludf.DUMMYFUNCTION("""COMPUTED_VALUE"""),25.0)</f>
        <v>25</v>
      </c>
      <c r="BO337" s="429">
        <f>IFERROR(__xludf.DUMMYFUNCTION("""COMPUTED_VALUE"""),30.0)</f>
        <v>30</v>
      </c>
    </row>
    <row r="338">
      <c r="A338" s="435" t="str">
        <f>IFERROR(__xludf.DUMMYFUNCTION("""COMPUTED_VALUE"""),"攻撃力Down(赤)")</f>
        <v>攻撃力Down(赤)</v>
      </c>
      <c r="B338" s="385" t="str">
        <f>IFERROR(__xludf.DUMMYFUNCTION("""COMPUTED_VALUE"""),"超瞬間型")</f>
        <v>超瞬間型</v>
      </c>
      <c r="C338" s="430">
        <f>IFERROR(__xludf.DUMMYFUNCTION("""COMPUTED_VALUE"""),5.0)</f>
        <v>5</v>
      </c>
      <c r="D338" s="431" t="str">
        <f>IFERROR(__xludf.DUMMYFUNCTION("""COMPUTED_VALUE"""),"効果時間")</f>
        <v>効果時間</v>
      </c>
      <c r="E338" s="388" t="str">
        <f>IFERROR(__xludf.DUMMYFUNCTION("""COMPUTED_VALUE"""),"-")</f>
        <v>-</v>
      </c>
      <c r="F338" s="389" t="str">
        <f>IFERROR(__xludf.DUMMYFUNCTION("""COMPUTED_VALUE"""),"-")</f>
        <v>-</v>
      </c>
      <c r="G338" s="388" t="str">
        <f>IFERROR(__xludf.DUMMYFUNCTION("""COMPUTED_VALUE"""),"-")</f>
        <v>-</v>
      </c>
      <c r="H338" s="389" t="str">
        <f>IFERROR(__xludf.DUMMYFUNCTION("""COMPUTED_VALUE"""),"-")</f>
        <v>-</v>
      </c>
      <c r="I338" s="388" t="str">
        <f>IFERROR(__xludf.DUMMYFUNCTION("""COMPUTED_VALUE"""),"-")</f>
        <v>-</v>
      </c>
      <c r="J338" s="390">
        <f>IFERROR(__xludf.DUMMYFUNCTION("""COMPUTED_VALUE"""),160.0)</f>
        <v>160</v>
      </c>
      <c r="K338" s="391">
        <f>IFERROR(__xludf.DUMMYFUNCTION("""COMPUTED_VALUE"""),175.0)</f>
        <v>175</v>
      </c>
      <c r="L338" s="340">
        <f>IFERROR(__xludf.DUMMYFUNCTION("""COMPUTED_VALUE"""),200.0)</f>
        <v>200</v>
      </c>
      <c r="M338" s="385" t="str">
        <f>IFERROR(__xludf.DUMMYFUNCTION("""COMPUTED_VALUE"""),"瞬間型")</f>
        <v>瞬間型</v>
      </c>
      <c r="N338" s="430">
        <f>IFERROR(__xludf.DUMMYFUNCTION("""COMPUTED_VALUE"""),5.0)</f>
        <v>5</v>
      </c>
      <c r="O338" s="431" t="str">
        <f>IFERROR(__xludf.DUMMYFUNCTION("""COMPUTED_VALUE"""),"効果時間")</f>
        <v>効果時間</v>
      </c>
      <c r="P338" s="392">
        <f>IFERROR(__xludf.DUMMYFUNCTION("""COMPUTED_VALUE"""),175.0)</f>
        <v>175</v>
      </c>
      <c r="Q338" s="414">
        <f>IFERROR(__xludf.DUMMYFUNCTION("""COMPUTED_VALUE"""),185.0)</f>
        <v>185</v>
      </c>
      <c r="R338" s="414">
        <f>IFERROR(__xludf.DUMMYFUNCTION("""COMPUTED_VALUE"""),190.0)</f>
        <v>190</v>
      </c>
      <c r="S338" s="414">
        <f>IFERROR(__xludf.DUMMYFUNCTION("""COMPUTED_VALUE"""),195.0)</f>
        <v>195</v>
      </c>
      <c r="T338" s="394">
        <f>IFERROR(__xludf.DUMMYFUNCTION("""COMPUTED_VALUE"""),200.0)</f>
        <v>200</v>
      </c>
      <c r="U338" s="394">
        <f>IFERROR(__xludf.DUMMYFUNCTION("""COMPUTED_VALUE"""),225.0)</f>
        <v>225</v>
      </c>
      <c r="V338" s="394">
        <f>IFERROR(__xludf.DUMMYFUNCTION("""COMPUTED_VALUE"""),300.0)</f>
        <v>300</v>
      </c>
      <c r="W338" s="394">
        <f>IFERROR(__xludf.DUMMYFUNCTION("""COMPUTED_VALUE"""),325.0)</f>
        <v>325</v>
      </c>
      <c r="X338" s="385" t="str">
        <f>IFERROR(__xludf.DUMMYFUNCTION("""COMPUTED_VALUE"""),"安定型")</f>
        <v>安定型</v>
      </c>
      <c r="Y338" s="430">
        <f>IFERROR(__xludf.DUMMYFUNCTION("""COMPUTED_VALUE"""),5.0)</f>
        <v>5</v>
      </c>
      <c r="Z338" s="431" t="str">
        <f>IFERROR(__xludf.DUMMYFUNCTION("""COMPUTED_VALUE"""),"効果時間")</f>
        <v>効果時間</v>
      </c>
      <c r="AA338" s="392">
        <f>IFERROR(__xludf.DUMMYFUNCTION("""COMPUTED_VALUE"""),325.0)</f>
        <v>325</v>
      </c>
      <c r="AB338" s="414">
        <f>IFERROR(__xludf.DUMMYFUNCTION("""COMPUTED_VALUE"""),335.0)</f>
        <v>335</v>
      </c>
      <c r="AC338" s="414">
        <f>IFERROR(__xludf.DUMMYFUNCTION("""COMPUTED_VALUE"""),340.0)</f>
        <v>340</v>
      </c>
      <c r="AD338" s="414">
        <f>IFERROR(__xludf.DUMMYFUNCTION("""COMPUTED_VALUE"""),345.0)</f>
        <v>345</v>
      </c>
      <c r="AE338" s="394">
        <f>IFERROR(__xludf.DUMMYFUNCTION("""COMPUTED_VALUE"""),350.0)</f>
        <v>350</v>
      </c>
      <c r="AF338" s="394">
        <f>IFERROR(__xludf.DUMMYFUNCTION("""COMPUTED_VALUE"""),400.0)</f>
        <v>400</v>
      </c>
      <c r="AG338" s="394">
        <f>IFERROR(__xludf.DUMMYFUNCTION("""COMPUTED_VALUE"""),450.0)</f>
        <v>450</v>
      </c>
      <c r="AH338" s="394">
        <f>IFERROR(__xludf.DUMMYFUNCTION("""COMPUTED_VALUE"""),475.0)</f>
        <v>475</v>
      </c>
      <c r="AI338" s="385" t="str">
        <f>IFERROR(__xludf.DUMMYFUNCTION("""COMPUTED_VALUE"""),"持続型")</f>
        <v>持続型</v>
      </c>
      <c r="AJ338" s="430">
        <f>IFERROR(__xludf.DUMMYFUNCTION("""COMPUTED_VALUE"""),5.0)</f>
        <v>5</v>
      </c>
      <c r="AK338" s="431" t="str">
        <f>IFERROR(__xludf.DUMMYFUNCTION("""COMPUTED_VALUE"""),"効果時間")</f>
        <v>効果時間</v>
      </c>
      <c r="AL338" s="392">
        <f>IFERROR(__xludf.DUMMYFUNCTION("""COMPUTED_VALUE"""),475.0)</f>
        <v>475</v>
      </c>
      <c r="AM338" s="414">
        <f>IFERROR(__xludf.DUMMYFUNCTION("""COMPUTED_VALUE"""),485.0)</f>
        <v>485</v>
      </c>
      <c r="AN338" s="414">
        <f>IFERROR(__xludf.DUMMYFUNCTION("""COMPUTED_VALUE"""),490.0)</f>
        <v>490</v>
      </c>
      <c r="AO338" s="414">
        <f>IFERROR(__xludf.DUMMYFUNCTION("""COMPUTED_VALUE"""),495.0)</f>
        <v>495</v>
      </c>
      <c r="AP338" s="394">
        <f>IFERROR(__xludf.DUMMYFUNCTION("""COMPUTED_VALUE"""),500.0)</f>
        <v>500</v>
      </c>
      <c r="AQ338" s="394">
        <f>IFERROR(__xludf.DUMMYFUNCTION("""COMPUTED_VALUE"""),550.0)</f>
        <v>550</v>
      </c>
      <c r="AR338" s="394">
        <f>IFERROR(__xludf.DUMMYFUNCTION("""COMPUTED_VALUE"""),600.0)</f>
        <v>600</v>
      </c>
      <c r="AS338" s="394">
        <f>IFERROR(__xludf.DUMMYFUNCTION("""COMPUTED_VALUE"""),625.0)</f>
        <v>625</v>
      </c>
      <c r="AT338" s="385" t="str">
        <f>IFERROR(__xludf.DUMMYFUNCTION("""COMPUTED_VALUE"""),"超持続型")</f>
        <v>超持続型</v>
      </c>
      <c r="AU338" s="430">
        <f>IFERROR(__xludf.DUMMYFUNCTION("""COMPUTED_VALUE"""),5.0)</f>
        <v>5</v>
      </c>
      <c r="AV338" s="431" t="str">
        <f>IFERROR(__xludf.DUMMYFUNCTION("""COMPUTED_VALUE"""),"効果時間")</f>
        <v>効果時間</v>
      </c>
      <c r="AW338" s="395" t="str">
        <f>IFERROR(__xludf.DUMMYFUNCTION("""COMPUTED_VALUE"""),"-")</f>
        <v>-</v>
      </c>
      <c r="AX338" s="396" t="str">
        <f>IFERROR(__xludf.DUMMYFUNCTION("""COMPUTED_VALUE"""),"-")</f>
        <v>-</v>
      </c>
      <c r="AY338" s="396" t="str">
        <f>IFERROR(__xludf.DUMMYFUNCTION("""COMPUTED_VALUE"""),"-")</f>
        <v>-</v>
      </c>
      <c r="AZ338" s="396" t="str">
        <f>IFERROR(__xludf.DUMMYFUNCTION("""COMPUTED_VALUE"""),"-")</f>
        <v>-</v>
      </c>
      <c r="BA338" s="396" t="str">
        <f>IFERROR(__xludf.DUMMYFUNCTION("""COMPUTED_VALUE"""),"-")</f>
        <v>-</v>
      </c>
      <c r="BB338" s="393">
        <f>IFERROR(__xludf.DUMMYFUNCTION("""COMPUTED_VALUE"""),650.0)</f>
        <v>650</v>
      </c>
      <c r="BC338" s="393">
        <f>IFERROR(__xludf.DUMMYFUNCTION("""COMPUTED_VALUE"""),750.0)</f>
        <v>750</v>
      </c>
      <c r="BD338" s="394">
        <f>IFERROR(__xludf.DUMMYFUNCTION("""COMPUTED_VALUE"""),775.0)</f>
        <v>775</v>
      </c>
      <c r="BE338" s="385" t="str">
        <f>IFERROR(__xludf.DUMMYFUNCTION("""COMPUTED_VALUE"""),"ハイブリッド型")</f>
        <v>ハイブリッド型</v>
      </c>
      <c r="BF338" s="430">
        <f>IFERROR(__xludf.DUMMYFUNCTION("""COMPUTED_VALUE"""),5.0)</f>
        <v>5</v>
      </c>
      <c r="BG338" s="431" t="str">
        <f>IFERROR(__xludf.DUMMYFUNCTION("""COMPUTED_VALUE"""),"効果時間")</f>
        <v>効果時間</v>
      </c>
      <c r="BH338" s="304">
        <f>IFERROR(__xludf.DUMMYFUNCTION("""COMPUTED_VALUE"""),250.0)</f>
        <v>250</v>
      </c>
      <c r="BI338" s="432">
        <f>IFERROR(__xludf.DUMMYFUNCTION("""COMPUTED_VALUE"""),265.0)</f>
        <v>265</v>
      </c>
      <c r="BJ338" s="432">
        <f>IFERROR(__xludf.DUMMYFUNCTION("""COMPUTED_VALUE"""),275.0)</f>
        <v>275</v>
      </c>
      <c r="BK338" s="432">
        <f>IFERROR(__xludf.DUMMYFUNCTION("""COMPUTED_VALUE"""),290.0)</f>
        <v>290</v>
      </c>
      <c r="BL338" s="304">
        <f>IFERROR(__xludf.DUMMYFUNCTION("""COMPUTED_VALUE"""),300.0)</f>
        <v>300</v>
      </c>
      <c r="BM338" s="304">
        <f>IFERROR(__xludf.DUMMYFUNCTION("""COMPUTED_VALUE"""),400.0)</f>
        <v>400</v>
      </c>
      <c r="BN338" s="304">
        <f>IFERROR(__xludf.DUMMYFUNCTION("""COMPUTED_VALUE"""),500.0)</f>
        <v>500</v>
      </c>
      <c r="BO338" s="304">
        <f>IFERROR(__xludf.DUMMYFUNCTION("""COMPUTED_VALUE"""),525.0)</f>
        <v>525</v>
      </c>
    </row>
    <row r="339">
      <c r="A339" s="433" t="str">
        <f>IFERROR(__xludf.DUMMYFUNCTION("""COMPUTED_VALUE"""),"攻撃力Down(青)")</f>
        <v>攻撃力Down(青)</v>
      </c>
      <c r="B339" s="374" t="str">
        <f>IFERROR(__xludf.DUMMYFUNCTION("""COMPUTED_VALUE"""),"超瞬間型")</f>
        <v>超瞬間型</v>
      </c>
      <c r="C339" s="375">
        <f>IFERROR(__xludf.DUMMYFUNCTION("""COMPUTED_VALUE"""),1.0)</f>
        <v>1</v>
      </c>
      <c r="D339" s="376" t="str">
        <f>IFERROR(__xludf.DUMMYFUNCTION("""COMPUTED_VALUE"""),"効果値")</f>
        <v>効果値</v>
      </c>
      <c r="E339" s="377" t="str">
        <f>IFERROR(__xludf.DUMMYFUNCTION("""COMPUTED_VALUE"""),"-")</f>
        <v>-</v>
      </c>
      <c r="F339" s="378" t="str">
        <f>IFERROR(__xludf.DUMMYFUNCTION("""COMPUTED_VALUE"""),"-")</f>
        <v>-</v>
      </c>
      <c r="G339" s="377" t="str">
        <f>IFERROR(__xludf.DUMMYFUNCTION("""COMPUTED_VALUE"""),"-")</f>
        <v>-</v>
      </c>
      <c r="H339" s="378" t="str">
        <f>IFERROR(__xludf.DUMMYFUNCTION("""COMPUTED_VALUE"""),"-")</f>
        <v>-</v>
      </c>
      <c r="I339" s="377" t="str">
        <f>IFERROR(__xludf.DUMMYFUNCTION("""COMPUTED_VALUE"""),"-")</f>
        <v>-</v>
      </c>
      <c r="J339" s="379">
        <f>IFERROR(__xludf.DUMMYFUNCTION("""COMPUTED_VALUE"""),55.0)</f>
        <v>55</v>
      </c>
      <c r="K339" s="294">
        <f>IFERROR(__xludf.DUMMYFUNCTION("""COMPUTED_VALUE"""),65.0)</f>
        <v>65</v>
      </c>
      <c r="L339" s="294">
        <f>IFERROR(__xludf.DUMMYFUNCTION("""COMPUTED_VALUE"""),65.0)</f>
        <v>65</v>
      </c>
      <c r="M339" s="374" t="str">
        <f>IFERROR(__xludf.DUMMYFUNCTION("""COMPUTED_VALUE"""),"瞬間型")</f>
        <v>瞬間型</v>
      </c>
      <c r="N339" s="375">
        <f>IFERROR(__xludf.DUMMYFUNCTION("""COMPUTED_VALUE"""),1.0)</f>
        <v>1</v>
      </c>
      <c r="O339" s="376" t="str">
        <f>IFERROR(__xludf.DUMMYFUNCTION("""COMPUTED_VALUE"""),"効果値")</f>
        <v>効果値</v>
      </c>
      <c r="P339" s="380">
        <f>IFERROR(__xludf.DUMMYFUNCTION("""COMPUTED_VALUE"""),20.0)</f>
        <v>20</v>
      </c>
      <c r="Q339" s="263">
        <f>IFERROR(__xludf.DUMMYFUNCTION("""COMPUTED_VALUE"""),20.0)</f>
        <v>20</v>
      </c>
      <c r="R339" s="263">
        <f>IFERROR(__xludf.DUMMYFUNCTION("""COMPUTED_VALUE"""),20.0)</f>
        <v>20</v>
      </c>
      <c r="S339" s="263">
        <f>IFERROR(__xludf.DUMMYFUNCTION("""COMPUTED_VALUE"""),20.0)</f>
        <v>20</v>
      </c>
      <c r="T339" s="263">
        <f>IFERROR(__xludf.DUMMYFUNCTION("""COMPUTED_VALUE"""),20.0)</f>
        <v>20</v>
      </c>
      <c r="U339" s="263">
        <f>IFERROR(__xludf.DUMMYFUNCTION("""COMPUTED_VALUE"""),25.0)</f>
        <v>25</v>
      </c>
      <c r="V339" s="266">
        <f>IFERROR(__xludf.DUMMYFUNCTION("""COMPUTED_VALUE"""),30.0)</f>
        <v>30</v>
      </c>
      <c r="W339" s="266">
        <f>IFERROR(__xludf.DUMMYFUNCTION("""COMPUTED_VALUE"""),30.0)</f>
        <v>30</v>
      </c>
      <c r="X339" s="374" t="str">
        <f>IFERROR(__xludf.DUMMYFUNCTION("""COMPUTED_VALUE"""),"安定型")</f>
        <v>安定型</v>
      </c>
      <c r="Y339" s="375">
        <f>IFERROR(__xludf.DUMMYFUNCTION("""COMPUTED_VALUE"""),1.0)</f>
        <v>1</v>
      </c>
      <c r="Z339" s="376" t="str">
        <f>IFERROR(__xludf.DUMMYFUNCTION("""COMPUTED_VALUE"""),"効果値")</f>
        <v>効果値</v>
      </c>
      <c r="AA339" s="380">
        <f>IFERROR(__xludf.DUMMYFUNCTION("""COMPUTED_VALUE"""),10.0)</f>
        <v>10</v>
      </c>
      <c r="AB339" s="263">
        <f>IFERROR(__xludf.DUMMYFUNCTION("""COMPUTED_VALUE"""),10.0)</f>
        <v>10</v>
      </c>
      <c r="AC339" s="263">
        <f>IFERROR(__xludf.DUMMYFUNCTION("""COMPUTED_VALUE"""),10.0)</f>
        <v>10</v>
      </c>
      <c r="AD339" s="263">
        <f>IFERROR(__xludf.DUMMYFUNCTION("""COMPUTED_VALUE"""),10.0)</f>
        <v>10</v>
      </c>
      <c r="AE339" s="263">
        <f>IFERROR(__xludf.DUMMYFUNCTION("""COMPUTED_VALUE"""),10.0)</f>
        <v>10</v>
      </c>
      <c r="AF339" s="263">
        <f>IFERROR(__xludf.DUMMYFUNCTION("""COMPUTED_VALUE"""),10.0)</f>
        <v>10</v>
      </c>
      <c r="AG339" s="266">
        <f>IFERROR(__xludf.DUMMYFUNCTION("""COMPUTED_VALUE"""),15.0)</f>
        <v>15</v>
      </c>
      <c r="AH339" s="266">
        <f>IFERROR(__xludf.DUMMYFUNCTION("""COMPUTED_VALUE"""),15.0)</f>
        <v>15</v>
      </c>
      <c r="AI339" s="374" t="str">
        <f>IFERROR(__xludf.DUMMYFUNCTION("""COMPUTED_VALUE"""),"持続型")</f>
        <v>持続型</v>
      </c>
      <c r="AJ339" s="375">
        <f>IFERROR(__xludf.DUMMYFUNCTION("""COMPUTED_VALUE"""),1.0)</f>
        <v>1</v>
      </c>
      <c r="AK339" s="376" t="str">
        <f>IFERROR(__xludf.DUMMYFUNCTION("""COMPUTED_VALUE"""),"効果値")</f>
        <v>効果値</v>
      </c>
      <c r="AL339" s="380">
        <f>IFERROR(__xludf.DUMMYFUNCTION("""COMPUTED_VALUE"""),5.0)</f>
        <v>5</v>
      </c>
      <c r="AM339" s="263">
        <f>IFERROR(__xludf.DUMMYFUNCTION("""COMPUTED_VALUE"""),5.0)</f>
        <v>5</v>
      </c>
      <c r="AN339" s="263">
        <f>IFERROR(__xludf.DUMMYFUNCTION("""COMPUTED_VALUE"""),5.0)</f>
        <v>5</v>
      </c>
      <c r="AO339" s="263">
        <f>IFERROR(__xludf.DUMMYFUNCTION("""COMPUTED_VALUE"""),5.0)</f>
        <v>5</v>
      </c>
      <c r="AP339" s="263">
        <f>IFERROR(__xludf.DUMMYFUNCTION("""COMPUTED_VALUE"""),5.0)</f>
        <v>5</v>
      </c>
      <c r="AQ339" s="263">
        <f>IFERROR(__xludf.DUMMYFUNCTION("""COMPUTED_VALUE"""),5.0)</f>
        <v>5</v>
      </c>
      <c r="AR339" s="266">
        <f>IFERROR(__xludf.DUMMYFUNCTION("""COMPUTED_VALUE"""),10.0)</f>
        <v>10</v>
      </c>
      <c r="AS339" s="266">
        <f>IFERROR(__xludf.DUMMYFUNCTION("""COMPUTED_VALUE"""),10.0)</f>
        <v>10</v>
      </c>
      <c r="AT339" s="374" t="str">
        <f>IFERROR(__xludf.DUMMYFUNCTION("""COMPUTED_VALUE"""),"超持続型")</f>
        <v>超持続型</v>
      </c>
      <c r="AU339" s="375">
        <f>IFERROR(__xludf.DUMMYFUNCTION("""COMPUTED_VALUE"""),1.0)</f>
        <v>1</v>
      </c>
      <c r="AV339" s="376" t="str">
        <f>IFERROR(__xludf.DUMMYFUNCTION("""COMPUTED_VALUE"""),"効果値")</f>
        <v>効果値</v>
      </c>
      <c r="AW339" s="350" t="str">
        <f>IFERROR(__xludf.DUMMYFUNCTION("""COMPUTED_VALUE"""),"-")</f>
        <v>-</v>
      </c>
      <c r="AX339" s="348" t="str">
        <f>IFERROR(__xludf.DUMMYFUNCTION("""COMPUTED_VALUE"""),"-")</f>
        <v>-</v>
      </c>
      <c r="AY339" s="348" t="str">
        <f>IFERROR(__xludf.DUMMYFUNCTION("""COMPUTED_VALUE"""),"-")</f>
        <v>-</v>
      </c>
      <c r="AZ339" s="348" t="str">
        <f>IFERROR(__xludf.DUMMYFUNCTION("""COMPUTED_VALUE"""),"-")</f>
        <v>-</v>
      </c>
      <c r="BA339" s="348" t="str">
        <f>IFERROR(__xludf.DUMMYFUNCTION("""COMPUTED_VALUE"""),"-")</f>
        <v>-</v>
      </c>
      <c r="BB339" s="263">
        <f>IFERROR(__xludf.DUMMYFUNCTION("""COMPUTED_VALUE"""),5.0)</f>
        <v>5</v>
      </c>
      <c r="BC339" s="266">
        <f>IFERROR(__xludf.DUMMYFUNCTION("""COMPUTED_VALUE"""),10.0)</f>
        <v>10</v>
      </c>
      <c r="BD339" s="266">
        <f>IFERROR(__xludf.DUMMYFUNCTION("""COMPUTED_VALUE"""),10.0)</f>
        <v>10</v>
      </c>
      <c r="BE339" s="374" t="str">
        <f>IFERROR(__xludf.DUMMYFUNCTION("""COMPUTED_VALUE"""),"ハイブリッド型")</f>
        <v>ハイブリッド型</v>
      </c>
      <c r="BF339" s="375">
        <f>IFERROR(__xludf.DUMMYFUNCTION("""COMPUTED_VALUE"""),1.0)</f>
        <v>1</v>
      </c>
      <c r="BG339" s="376" t="str">
        <f>IFERROR(__xludf.DUMMYFUNCTION("""COMPUTED_VALUE"""),"効果値")</f>
        <v>効果値</v>
      </c>
      <c r="BH339" s="381">
        <f>IFERROR(__xludf.DUMMYFUNCTION("""COMPUTED_VALUE"""),10.0)</f>
        <v>10</v>
      </c>
      <c r="BI339" s="382">
        <f>IFERROR(__xludf.DUMMYFUNCTION("""COMPUTED_VALUE"""),10.0)</f>
        <v>10</v>
      </c>
      <c r="BJ339" s="382">
        <f>IFERROR(__xludf.DUMMYFUNCTION("""COMPUTED_VALUE"""),10.0)</f>
        <v>10</v>
      </c>
      <c r="BK339" s="382">
        <f>IFERROR(__xludf.DUMMYFUNCTION("""COMPUTED_VALUE"""),10.0)</f>
        <v>10</v>
      </c>
      <c r="BL339" s="382">
        <f>IFERROR(__xludf.DUMMYFUNCTION("""COMPUTED_VALUE"""),10.0)</f>
        <v>10</v>
      </c>
      <c r="BM339" s="382">
        <f>IFERROR(__xludf.DUMMYFUNCTION("""COMPUTED_VALUE"""),15.0)</f>
        <v>15</v>
      </c>
      <c r="BN339" s="382">
        <f>IFERROR(__xludf.DUMMYFUNCTION("""COMPUTED_VALUE"""),20.0)</f>
        <v>20</v>
      </c>
      <c r="BO339" s="383">
        <f>IFERROR(__xludf.DUMMYFUNCTION("""COMPUTED_VALUE"""),20.0)</f>
        <v>20</v>
      </c>
    </row>
    <row r="340">
      <c r="A340" s="434" t="str">
        <f>IFERROR(__xludf.DUMMYFUNCTION("""COMPUTED_VALUE"""),"攻撃力Down(青)")</f>
        <v>攻撃力Down(青)</v>
      </c>
      <c r="B340" s="385" t="str">
        <f>IFERROR(__xludf.DUMMYFUNCTION("""COMPUTED_VALUE"""),"超瞬間型")</f>
        <v>超瞬間型</v>
      </c>
      <c r="C340" s="386">
        <f>IFERROR(__xludf.DUMMYFUNCTION("""COMPUTED_VALUE"""),1.0)</f>
        <v>1</v>
      </c>
      <c r="D340" s="387" t="str">
        <f>IFERROR(__xludf.DUMMYFUNCTION("""COMPUTED_VALUE"""),"効果時間")</f>
        <v>効果時間</v>
      </c>
      <c r="E340" s="388" t="str">
        <f>IFERROR(__xludf.DUMMYFUNCTION("""COMPUTED_VALUE"""),"-")</f>
        <v>-</v>
      </c>
      <c r="F340" s="389" t="str">
        <f>IFERROR(__xludf.DUMMYFUNCTION("""COMPUTED_VALUE"""),"-")</f>
        <v>-</v>
      </c>
      <c r="G340" s="388" t="str">
        <f>IFERROR(__xludf.DUMMYFUNCTION("""COMPUTED_VALUE"""),"-")</f>
        <v>-</v>
      </c>
      <c r="H340" s="389" t="str">
        <f>IFERROR(__xludf.DUMMYFUNCTION("""COMPUTED_VALUE"""),"-")</f>
        <v>-</v>
      </c>
      <c r="I340" s="388" t="str">
        <f>IFERROR(__xludf.DUMMYFUNCTION("""COMPUTED_VALUE"""),"-")</f>
        <v>-</v>
      </c>
      <c r="J340" s="390">
        <f>IFERROR(__xludf.DUMMYFUNCTION("""COMPUTED_VALUE"""),150.0)</f>
        <v>150</v>
      </c>
      <c r="K340" s="391">
        <f>IFERROR(__xludf.DUMMYFUNCTION("""COMPUTED_VALUE"""),160.0)</f>
        <v>160</v>
      </c>
      <c r="L340" s="340">
        <f>IFERROR(__xludf.DUMMYFUNCTION("""COMPUTED_VALUE"""),160.0)</f>
        <v>160</v>
      </c>
      <c r="M340" s="385" t="str">
        <f>IFERROR(__xludf.DUMMYFUNCTION("""COMPUTED_VALUE"""),"瞬間型")</f>
        <v>瞬間型</v>
      </c>
      <c r="N340" s="386">
        <f>IFERROR(__xludf.DUMMYFUNCTION("""COMPUTED_VALUE"""),1.0)</f>
        <v>1</v>
      </c>
      <c r="O340" s="387" t="str">
        <f>IFERROR(__xludf.DUMMYFUNCTION("""COMPUTED_VALUE"""),"効果時間")</f>
        <v>効果時間</v>
      </c>
      <c r="P340" s="392">
        <f>IFERROR(__xludf.DUMMYFUNCTION("""COMPUTED_VALUE"""),150.0)</f>
        <v>150</v>
      </c>
      <c r="Q340" s="393">
        <f>IFERROR(__xludf.DUMMYFUNCTION("""COMPUTED_VALUE"""),150.0)</f>
        <v>150</v>
      </c>
      <c r="R340" s="393">
        <f>IFERROR(__xludf.DUMMYFUNCTION("""COMPUTED_VALUE"""),150.0)</f>
        <v>150</v>
      </c>
      <c r="S340" s="393">
        <f>IFERROR(__xludf.DUMMYFUNCTION("""COMPUTED_VALUE"""),150.0)</f>
        <v>150</v>
      </c>
      <c r="T340" s="393">
        <f>IFERROR(__xludf.DUMMYFUNCTION("""COMPUTED_VALUE"""),150.0)</f>
        <v>150</v>
      </c>
      <c r="U340" s="393">
        <f>IFERROR(__xludf.DUMMYFUNCTION("""COMPUTED_VALUE"""),150.0)</f>
        <v>150</v>
      </c>
      <c r="V340" s="393">
        <f>IFERROR(__xludf.DUMMYFUNCTION("""COMPUTED_VALUE"""),160.0)</f>
        <v>160</v>
      </c>
      <c r="W340" s="394">
        <f>IFERROR(__xludf.DUMMYFUNCTION("""COMPUTED_VALUE"""),160.0)</f>
        <v>160</v>
      </c>
      <c r="X340" s="385" t="str">
        <f>IFERROR(__xludf.DUMMYFUNCTION("""COMPUTED_VALUE"""),"安定型")</f>
        <v>安定型</v>
      </c>
      <c r="Y340" s="386">
        <f>IFERROR(__xludf.DUMMYFUNCTION("""COMPUTED_VALUE"""),1.0)</f>
        <v>1</v>
      </c>
      <c r="Z340" s="387" t="str">
        <f>IFERROR(__xludf.DUMMYFUNCTION("""COMPUTED_VALUE"""),"効果時間")</f>
        <v>効果時間</v>
      </c>
      <c r="AA340" s="392">
        <f>IFERROR(__xludf.DUMMYFUNCTION("""COMPUTED_VALUE"""),300.0)</f>
        <v>300</v>
      </c>
      <c r="AB340" s="393">
        <f>IFERROR(__xludf.DUMMYFUNCTION("""COMPUTED_VALUE"""),300.0)</f>
        <v>300</v>
      </c>
      <c r="AC340" s="393">
        <f>IFERROR(__xludf.DUMMYFUNCTION("""COMPUTED_VALUE"""),300.0)</f>
        <v>300</v>
      </c>
      <c r="AD340" s="393">
        <f>IFERROR(__xludf.DUMMYFUNCTION("""COMPUTED_VALUE"""),300.0)</f>
        <v>300</v>
      </c>
      <c r="AE340" s="393">
        <f>IFERROR(__xludf.DUMMYFUNCTION("""COMPUTED_VALUE"""),300.0)</f>
        <v>300</v>
      </c>
      <c r="AF340" s="393">
        <f>IFERROR(__xludf.DUMMYFUNCTION("""COMPUTED_VALUE"""),300.0)</f>
        <v>300</v>
      </c>
      <c r="AG340" s="393">
        <f>IFERROR(__xludf.DUMMYFUNCTION("""COMPUTED_VALUE"""),310.0)</f>
        <v>310</v>
      </c>
      <c r="AH340" s="394">
        <f>IFERROR(__xludf.DUMMYFUNCTION("""COMPUTED_VALUE"""),310.0)</f>
        <v>310</v>
      </c>
      <c r="AI340" s="385" t="str">
        <f>IFERROR(__xludf.DUMMYFUNCTION("""COMPUTED_VALUE"""),"持続型")</f>
        <v>持続型</v>
      </c>
      <c r="AJ340" s="386">
        <f>IFERROR(__xludf.DUMMYFUNCTION("""COMPUTED_VALUE"""),1.0)</f>
        <v>1</v>
      </c>
      <c r="AK340" s="387" t="str">
        <f>IFERROR(__xludf.DUMMYFUNCTION("""COMPUTED_VALUE"""),"効果時間")</f>
        <v>効果時間</v>
      </c>
      <c r="AL340" s="392">
        <f>IFERROR(__xludf.DUMMYFUNCTION("""COMPUTED_VALUE"""),450.0)</f>
        <v>450</v>
      </c>
      <c r="AM340" s="393">
        <f>IFERROR(__xludf.DUMMYFUNCTION("""COMPUTED_VALUE"""),450.0)</f>
        <v>450</v>
      </c>
      <c r="AN340" s="393">
        <f>IFERROR(__xludf.DUMMYFUNCTION("""COMPUTED_VALUE"""),450.0)</f>
        <v>450</v>
      </c>
      <c r="AO340" s="393">
        <f>IFERROR(__xludf.DUMMYFUNCTION("""COMPUTED_VALUE"""),450.0)</f>
        <v>450</v>
      </c>
      <c r="AP340" s="393">
        <f>IFERROR(__xludf.DUMMYFUNCTION("""COMPUTED_VALUE"""),450.0)</f>
        <v>450</v>
      </c>
      <c r="AQ340" s="393">
        <f>IFERROR(__xludf.DUMMYFUNCTION("""COMPUTED_VALUE"""),450.0)</f>
        <v>450</v>
      </c>
      <c r="AR340" s="393">
        <f>IFERROR(__xludf.DUMMYFUNCTION("""COMPUTED_VALUE"""),460.0)</f>
        <v>460</v>
      </c>
      <c r="AS340" s="394">
        <f>IFERROR(__xludf.DUMMYFUNCTION("""COMPUTED_VALUE"""),460.0)</f>
        <v>460</v>
      </c>
      <c r="AT340" s="385" t="str">
        <f>IFERROR(__xludf.DUMMYFUNCTION("""COMPUTED_VALUE"""),"超持続型")</f>
        <v>超持続型</v>
      </c>
      <c r="AU340" s="386">
        <f>IFERROR(__xludf.DUMMYFUNCTION("""COMPUTED_VALUE"""),1.0)</f>
        <v>1</v>
      </c>
      <c r="AV340" s="387" t="str">
        <f>IFERROR(__xludf.DUMMYFUNCTION("""COMPUTED_VALUE"""),"効果時間")</f>
        <v>効果時間</v>
      </c>
      <c r="AW340" s="395" t="str">
        <f>IFERROR(__xludf.DUMMYFUNCTION("""COMPUTED_VALUE"""),"-")</f>
        <v>-</v>
      </c>
      <c r="AX340" s="396" t="str">
        <f>IFERROR(__xludf.DUMMYFUNCTION("""COMPUTED_VALUE"""),"-")</f>
        <v>-</v>
      </c>
      <c r="AY340" s="396" t="str">
        <f>IFERROR(__xludf.DUMMYFUNCTION("""COMPUTED_VALUE"""),"-")</f>
        <v>-</v>
      </c>
      <c r="AZ340" s="396" t="str">
        <f>IFERROR(__xludf.DUMMYFUNCTION("""COMPUTED_VALUE"""),"-")</f>
        <v>-</v>
      </c>
      <c r="BA340" s="396" t="str">
        <f>IFERROR(__xludf.DUMMYFUNCTION("""COMPUTED_VALUE"""),"-")</f>
        <v>-</v>
      </c>
      <c r="BB340" s="393">
        <f>IFERROR(__xludf.DUMMYFUNCTION("""COMPUTED_VALUE"""),600.0)</f>
        <v>600</v>
      </c>
      <c r="BC340" s="393">
        <f>IFERROR(__xludf.DUMMYFUNCTION("""COMPUTED_VALUE"""),610.0)</f>
        <v>610</v>
      </c>
      <c r="BD340" s="394">
        <f>IFERROR(__xludf.DUMMYFUNCTION("""COMPUTED_VALUE"""),610.0)</f>
        <v>610</v>
      </c>
      <c r="BE340" s="385" t="str">
        <f>IFERROR(__xludf.DUMMYFUNCTION("""COMPUTED_VALUE"""),"ハイブリッド型")</f>
        <v>ハイブリッド型</v>
      </c>
      <c r="BF340" s="386">
        <f>IFERROR(__xludf.DUMMYFUNCTION("""COMPUTED_VALUE"""),1.0)</f>
        <v>1</v>
      </c>
      <c r="BG340" s="387" t="str">
        <f>IFERROR(__xludf.DUMMYFUNCTION("""COMPUTED_VALUE"""),"効果時間")</f>
        <v>効果時間</v>
      </c>
      <c r="BH340" s="397">
        <f>IFERROR(__xludf.DUMMYFUNCTION("""COMPUTED_VALUE"""),150.0)</f>
        <v>150</v>
      </c>
      <c r="BI340" s="397">
        <f>IFERROR(__xludf.DUMMYFUNCTION("""COMPUTED_VALUE"""),150.0)</f>
        <v>150</v>
      </c>
      <c r="BJ340" s="397">
        <f>IFERROR(__xludf.DUMMYFUNCTION("""COMPUTED_VALUE"""),150.0)</f>
        <v>150</v>
      </c>
      <c r="BK340" s="398">
        <f>IFERROR(__xludf.DUMMYFUNCTION("""COMPUTED_VALUE"""),150.0)</f>
        <v>150</v>
      </c>
      <c r="BL340" s="397">
        <f>IFERROR(__xludf.DUMMYFUNCTION("""COMPUTED_VALUE"""),150.0)</f>
        <v>150</v>
      </c>
      <c r="BM340" s="398">
        <f>IFERROR(__xludf.DUMMYFUNCTION("""COMPUTED_VALUE"""),350.0)</f>
        <v>350</v>
      </c>
      <c r="BN340" s="397">
        <f>IFERROR(__xludf.DUMMYFUNCTION("""COMPUTED_VALUE"""),460.0)</f>
        <v>460</v>
      </c>
      <c r="BO340" s="398">
        <f>IFERROR(__xludf.DUMMYFUNCTION("""COMPUTED_VALUE"""),460.0)</f>
        <v>460</v>
      </c>
    </row>
    <row r="341">
      <c r="A341" s="435" t="str">
        <f>IFERROR(__xludf.DUMMYFUNCTION("""COMPUTED_VALUE"""),"攻撃力Down(青)")</f>
        <v>攻撃力Down(青)</v>
      </c>
      <c r="B341" s="385" t="str">
        <f>IFERROR(__xludf.DUMMYFUNCTION("""COMPUTED_VALUE"""),"超瞬間型")</f>
        <v>超瞬間型</v>
      </c>
      <c r="C341" s="399">
        <f>IFERROR(__xludf.DUMMYFUNCTION("""COMPUTED_VALUE"""),2.0)</f>
        <v>2</v>
      </c>
      <c r="D341" s="400" t="str">
        <f>IFERROR(__xludf.DUMMYFUNCTION("""COMPUTED_VALUE"""),"効果値")</f>
        <v>効果値</v>
      </c>
      <c r="E341" s="401" t="str">
        <f>IFERROR(__xludf.DUMMYFUNCTION("""COMPUTED_VALUE"""),"-")</f>
        <v>-</v>
      </c>
      <c r="F341" s="401" t="str">
        <f>IFERROR(__xludf.DUMMYFUNCTION("""COMPUTED_VALUE"""),"-")</f>
        <v>-</v>
      </c>
      <c r="G341" s="401" t="str">
        <f>IFERROR(__xludf.DUMMYFUNCTION("""COMPUTED_VALUE"""),"-")</f>
        <v>-</v>
      </c>
      <c r="H341" s="401" t="str">
        <f>IFERROR(__xludf.DUMMYFUNCTION("""COMPUTED_VALUE"""),"-")</f>
        <v>-</v>
      </c>
      <c r="I341" s="401" t="str">
        <f>IFERROR(__xludf.DUMMYFUNCTION("""COMPUTED_VALUE"""),"-")</f>
        <v>-</v>
      </c>
      <c r="J341" s="318">
        <f>IFERROR(__xludf.DUMMYFUNCTION("""COMPUTED_VALUE"""),57.0)</f>
        <v>57</v>
      </c>
      <c r="K341" s="318">
        <f>IFERROR(__xludf.DUMMYFUNCTION("""COMPUTED_VALUE"""),67.0)</f>
        <v>67</v>
      </c>
      <c r="L341" s="318">
        <f>IFERROR(__xludf.DUMMYFUNCTION("""COMPUTED_VALUE"""),69.0)</f>
        <v>69</v>
      </c>
      <c r="M341" s="385" t="str">
        <f>IFERROR(__xludf.DUMMYFUNCTION("""COMPUTED_VALUE"""),"瞬間型")</f>
        <v>瞬間型</v>
      </c>
      <c r="N341" s="399">
        <f>IFERROR(__xludf.DUMMYFUNCTION("""COMPUTED_VALUE"""),2.0)</f>
        <v>2</v>
      </c>
      <c r="O341" s="400" t="str">
        <f>IFERROR(__xludf.DUMMYFUNCTION("""COMPUTED_VALUE"""),"効果値")</f>
        <v>効果値</v>
      </c>
      <c r="P341" s="343">
        <f>IFERROR(__xludf.DUMMYFUNCTION("""COMPUTED_VALUE"""),21.0)</f>
        <v>21</v>
      </c>
      <c r="Q341" s="402">
        <f>IFERROR(__xludf.DUMMYFUNCTION("""COMPUTED_VALUE"""),21.0)</f>
        <v>21</v>
      </c>
      <c r="R341" s="343">
        <f>IFERROR(__xludf.DUMMYFUNCTION("""COMPUTED_VALUE"""),22.0)</f>
        <v>22</v>
      </c>
      <c r="S341" s="402">
        <f>IFERROR(__xludf.DUMMYFUNCTION("""COMPUTED_VALUE"""),22.0)</f>
        <v>22</v>
      </c>
      <c r="T341" s="343">
        <f>IFERROR(__xludf.DUMMYFUNCTION("""COMPUTED_VALUE"""),22.0)</f>
        <v>22</v>
      </c>
      <c r="U341" s="343">
        <f>IFERROR(__xludf.DUMMYFUNCTION("""COMPUTED_VALUE"""),27.0)</f>
        <v>27</v>
      </c>
      <c r="V341" s="343">
        <f>IFERROR(__xludf.DUMMYFUNCTION("""COMPUTED_VALUE"""),32.0)</f>
        <v>32</v>
      </c>
      <c r="W341" s="343">
        <f>IFERROR(__xludf.DUMMYFUNCTION("""COMPUTED_VALUE"""),34.0)</f>
        <v>34</v>
      </c>
      <c r="X341" s="385" t="str">
        <f>IFERROR(__xludf.DUMMYFUNCTION("""COMPUTED_VALUE"""),"安定型")</f>
        <v>安定型</v>
      </c>
      <c r="Y341" s="399">
        <f>IFERROR(__xludf.DUMMYFUNCTION("""COMPUTED_VALUE"""),2.0)</f>
        <v>2</v>
      </c>
      <c r="Z341" s="400" t="str">
        <f>IFERROR(__xludf.DUMMYFUNCTION("""COMPUTED_VALUE"""),"効果値")</f>
        <v>効果値</v>
      </c>
      <c r="AA341" s="343">
        <f>IFERROR(__xludf.DUMMYFUNCTION("""COMPUTED_VALUE"""),11.0)</f>
        <v>11</v>
      </c>
      <c r="AB341" s="402">
        <f>IFERROR(__xludf.DUMMYFUNCTION("""COMPUTED_VALUE"""),11.0)</f>
        <v>11</v>
      </c>
      <c r="AC341" s="343">
        <f>IFERROR(__xludf.DUMMYFUNCTION("""COMPUTED_VALUE"""),12.0)</f>
        <v>12</v>
      </c>
      <c r="AD341" s="402">
        <f>IFERROR(__xludf.DUMMYFUNCTION("""COMPUTED_VALUE"""),12.0)</f>
        <v>12</v>
      </c>
      <c r="AE341" s="343">
        <f>IFERROR(__xludf.DUMMYFUNCTION("""COMPUTED_VALUE"""),12.0)</f>
        <v>12</v>
      </c>
      <c r="AF341" s="343">
        <f>IFERROR(__xludf.DUMMYFUNCTION("""COMPUTED_VALUE"""),12.0)</f>
        <v>12</v>
      </c>
      <c r="AG341" s="343">
        <f>IFERROR(__xludf.DUMMYFUNCTION("""COMPUTED_VALUE"""),17.0)</f>
        <v>17</v>
      </c>
      <c r="AH341" s="343">
        <f>IFERROR(__xludf.DUMMYFUNCTION("""COMPUTED_VALUE"""),19.0)</f>
        <v>19</v>
      </c>
      <c r="AI341" s="385" t="str">
        <f>IFERROR(__xludf.DUMMYFUNCTION("""COMPUTED_VALUE"""),"持続型")</f>
        <v>持続型</v>
      </c>
      <c r="AJ341" s="399">
        <f>IFERROR(__xludf.DUMMYFUNCTION("""COMPUTED_VALUE"""),2.0)</f>
        <v>2</v>
      </c>
      <c r="AK341" s="400" t="str">
        <f>IFERROR(__xludf.DUMMYFUNCTION("""COMPUTED_VALUE"""),"効果値")</f>
        <v>効果値</v>
      </c>
      <c r="AL341" s="343">
        <f>IFERROR(__xludf.DUMMYFUNCTION("""COMPUTED_VALUE"""),6.0)</f>
        <v>6</v>
      </c>
      <c r="AM341" s="402">
        <f>IFERROR(__xludf.DUMMYFUNCTION("""COMPUTED_VALUE"""),6.0)</f>
        <v>6</v>
      </c>
      <c r="AN341" s="343">
        <f>IFERROR(__xludf.DUMMYFUNCTION("""COMPUTED_VALUE"""),7.0)</f>
        <v>7</v>
      </c>
      <c r="AO341" s="402">
        <f>IFERROR(__xludf.DUMMYFUNCTION("""COMPUTED_VALUE"""),7.0)</f>
        <v>7</v>
      </c>
      <c r="AP341" s="343">
        <f>IFERROR(__xludf.DUMMYFUNCTION("""COMPUTED_VALUE"""),7.0)</f>
        <v>7</v>
      </c>
      <c r="AQ341" s="343">
        <f>IFERROR(__xludf.DUMMYFUNCTION("""COMPUTED_VALUE"""),7.0)</f>
        <v>7</v>
      </c>
      <c r="AR341" s="343">
        <f>IFERROR(__xludf.DUMMYFUNCTION("""COMPUTED_VALUE"""),11.0)</f>
        <v>11</v>
      </c>
      <c r="AS341" s="343">
        <f>IFERROR(__xludf.DUMMYFUNCTION("""COMPUTED_VALUE"""),11.0)</f>
        <v>11</v>
      </c>
      <c r="AT341" s="385" t="str">
        <f>IFERROR(__xludf.DUMMYFUNCTION("""COMPUTED_VALUE"""),"超持続型")</f>
        <v>超持続型</v>
      </c>
      <c r="AU341" s="399">
        <f>IFERROR(__xludf.DUMMYFUNCTION("""COMPUTED_VALUE"""),2.0)</f>
        <v>2</v>
      </c>
      <c r="AV341" s="400" t="str">
        <f>IFERROR(__xludf.DUMMYFUNCTION("""COMPUTED_VALUE"""),"効果値")</f>
        <v>効果値</v>
      </c>
      <c r="AW341" s="403" t="str">
        <f>IFERROR(__xludf.DUMMYFUNCTION("""COMPUTED_VALUE"""),"-")</f>
        <v>-</v>
      </c>
      <c r="AX341" s="403" t="str">
        <f>IFERROR(__xludf.DUMMYFUNCTION("""COMPUTED_VALUE"""),"-")</f>
        <v>-</v>
      </c>
      <c r="AY341" s="403" t="str">
        <f>IFERROR(__xludf.DUMMYFUNCTION("""COMPUTED_VALUE"""),"-")</f>
        <v>-</v>
      </c>
      <c r="AZ341" s="403" t="str">
        <f>IFERROR(__xludf.DUMMYFUNCTION("""COMPUTED_VALUE"""),"-")</f>
        <v>-</v>
      </c>
      <c r="BA341" s="403" t="str">
        <f>IFERROR(__xludf.DUMMYFUNCTION("""COMPUTED_VALUE"""),"-")</f>
        <v>-</v>
      </c>
      <c r="BB341" s="343">
        <f>IFERROR(__xludf.DUMMYFUNCTION("""COMPUTED_VALUE"""),7.0)</f>
        <v>7</v>
      </c>
      <c r="BC341" s="343">
        <f>IFERROR(__xludf.DUMMYFUNCTION("""COMPUTED_VALUE"""),11.0)</f>
        <v>11</v>
      </c>
      <c r="BD341" s="343">
        <f>IFERROR(__xludf.DUMMYFUNCTION("""COMPUTED_VALUE"""),11.0)</f>
        <v>11</v>
      </c>
      <c r="BE341" s="385" t="str">
        <f>IFERROR(__xludf.DUMMYFUNCTION("""COMPUTED_VALUE"""),"ハイブリッド型")</f>
        <v>ハイブリッド型</v>
      </c>
      <c r="BF341" s="399">
        <f>IFERROR(__xludf.DUMMYFUNCTION("""COMPUTED_VALUE"""),2.0)</f>
        <v>2</v>
      </c>
      <c r="BG341" s="400" t="str">
        <f>IFERROR(__xludf.DUMMYFUNCTION("""COMPUTED_VALUE"""),"効果値")</f>
        <v>効果値</v>
      </c>
      <c r="BH341" s="404">
        <f>IFERROR(__xludf.DUMMYFUNCTION("""COMPUTED_VALUE"""),10.8)</f>
        <v>10.8</v>
      </c>
      <c r="BI341" s="405">
        <f>IFERROR(__xludf.DUMMYFUNCTION("""COMPUTED_VALUE"""),11.2)</f>
        <v>11.2</v>
      </c>
      <c r="BJ341" s="405">
        <f>IFERROR(__xludf.DUMMYFUNCTION("""COMPUTED_VALUE"""),11.5)</f>
        <v>11.5</v>
      </c>
      <c r="BK341" s="405">
        <f>IFERROR(__xludf.DUMMYFUNCTION("""COMPUTED_VALUE"""),11.8)</f>
        <v>11.8</v>
      </c>
      <c r="BL341" s="405">
        <f>IFERROR(__xludf.DUMMYFUNCTION("""COMPUTED_VALUE"""),12.1)</f>
        <v>12.1</v>
      </c>
      <c r="BM341" s="405">
        <f>IFERROR(__xludf.DUMMYFUNCTION("""COMPUTED_VALUE"""),17.1)</f>
        <v>17.1</v>
      </c>
      <c r="BN341" s="405">
        <f>IFERROR(__xludf.DUMMYFUNCTION("""COMPUTED_VALUE"""),22.0)</f>
        <v>22</v>
      </c>
      <c r="BO341" s="406">
        <f>IFERROR(__xludf.DUMMYFUNCTION("""COMPUTED_VALUE"""),24.0)</f>
        <v>24</v>
      </c>
    </row>
    <row r="342">
      <c r="A342" s="435" t="str">
        <f>IFERROR(__xludf.DUMMYFUNCTION("""COMPUTED_VALUE"""),"攻撃力Down(青)")</f>
        <v>攻撃力Down(青)</v>
      </c>
      <c r="B342" s="385" t="str">
        <f>IFERROR(__xludf.DUMMYFUNCTION("""COMPUTED_VALUE"""),"超瞬間型")</f>
        <v>超瞬間型</v>
      </c>
      <c r="C342" s="386">
        <f>IFERROR(__xludf.DUMMYFUNCTION("""COMPUTED_VALUE"""),2.0)</f>
        <v>2</v>
      </c>
      <c r="D342" s="387" t="str">
        <f>IFERROR(__xludf.DUMMYFUNCTION("""COMPUTED_VALUE"""),"効果時間")</f>
        <v>効果時間</v>
      </c>
      <c r="E342" s="388" t="str">
        <f>IFERROR(__xludf.DUMMYFUNCTION("""COMPUTED_VALUE"""),"-")</f>
        <v>-</v>
      </c>
      <c r="F342" s="389" t="str">
        <f>IFERROR(__xludf.DUMMYFUNCTION("""COMPUTED_VALUE"""),"-")</f>
        <v>-</v>
      </c>
      <c r="G342" s="388" t="str">
        <f>IFERROR(__xludf.DUMMYFUNCTION("""COMPUTED_VALUE"""),"-")</f>
        <v>-</v>
      </c>
      <c r="H342" s="389" t="str">
        <f>IFERROR(__xludf.DUMMYFUNCTION("""COMPUTED_VALUE"""),"-")</f>
        <v>-</v>
      </c>
      <c r="I342" s="388" t="str">
        <f>IFERROR(__xludf.DUMMYFUNCTION("""COMPUTED_VALUE"""),"-")</f>
        <v>-</v>
      </c>
      <c r="J342" s="390">
        <f>IFERROR(__xludf.DUMMYFUNCTION("""COMPUTED_VALUE"""),150.0)</f>
        <v>150</v>
      </c>
      <c r="K342" s="391">
        <f>IFERROR(__xludf.DUMMYFUNCTION("""COMPUTED_VALUE"""),160.0)</f>
        <v>160</v>
      </c>
      <c r="L342" s="340">
        <f>IFERROR(__xludf.DUMMYFUNCTION("""COMPUTED_VALUE"""),170.0)</f>
        <v>170</v>
      </c>
      <c r="M342" s="385" t="str">
        <f>IFERROR(__xludf.DUMMYFUNCTION("""COMPUTED_VALUE"""),"瞬間型")</f>
        <v>瞬間型</v>
      </c>
      <c r="N342" s="386">
        <f>IFERROR(__xludf.DUMMYFUNCTION("""COMPUTED_VALUE"""),2.0)</f>
        <v>2</v>
      </c>
      <c r="O342" s="387" t="str">
        <f>IFERROR(__xludf.DUMMYFUNCTION("""COMPUTED_VALUE"""),"効果時間")</f>
        <v>効果時間</v>
      </c>
      <c r="P342" s="392">
        <f>IFERROR(__xludf.DUMMYFUNCTION("""COMPUTED_VALUE"""),160.0)</f>
        <v>160</v>
      </c>
      <c r="Q342" s="275">
        <f>IFERROR(__xludf.DUMMYFUNCTION("""COMPUTED_VALUE"""),165.0)</f>
        <v>165</v>
      </c>
      <c r="R342" s="280">
        <f>IFERROR(__xludf.DUMMYFUNCTION("""COMPUTED_VALUE"""),170.0)</f>
        <v>170</v>
      </c>
      <c r="S342" s="275">
        <f>IFERROR(__xludf.DUMMYFUNCTION("""COMPUTED_VALUE"""),175.0)</f>
        <v>175</v>
      </c>
      <c r="T342" s="280">
        <f>IFERROR(__xludf.DUMMYFUNCTION("""COMPUTED_VALUE"""),180.0)</f>
        <v>180</v>
      </c>
      <c r="U342" s="280">
        <f>IFERROR(__xludf.DUMMYFUNCTION("""COMPUTED_VALUE"""),180.0)</f>
        <v>180</v>
      </c>
      <c r="V342" s="280">
        <f>IFERROR(__xludf.DUMMYFUNCTION("""COMPUTED_VALUE"""),220.0)</f>
        <v>220</v>
      </c>
      <c r="W342" s="280">
        <f>IFERROR(__xludf.DUMMYFUNCTION("""COMPUTED_VALUE"""),230.0)</f>
        <v>230</v>
      </c>
      <c r="X342" s="385" t="str">
        <f>IFERROR(__xludf.DUMMYFUNCTION("""COMPUTED_VALUE"""),"安定型")</f>
        <v>安定型</v>
      </c>
      <c r="Y342" s="386">
        <f>IFERROR(__xludf.DUMMYFUNCTION("""COMPUTED_VALUE"""),2.0)</f>
        <v>2</v>
      </c>
      <c r="Z342" s="387" t="str">
        <f>IFERROR(__xludf.DUMMYFUNCTION("""COMPUTED_VALUE"""),"効果時間")</f>
        <v>効果時間</v>
      </c>
      <c r="AA342" s="392">
        <f>IFERROR(__xludf.DUMMYFUNCTION("""COMPUTED_VALUE"""),310.0)</f>
        <v>310</v>
      </c>
      <c r="AB342" s="275">
        <f>IFERROR(__xludf.DUMMYFUNCTION("""COMPUTED_VALUE"""),315.0)</f>
        <v>315</v>
      </c>
      <c r="AC342" s="280">
        <f>IFERROR(__xludf.DUMMYFUNCTION("""COMPUTED_VALUE"""),320.0)</f>
        <v>320</v>
      </c>
      <c r="AD342" s="275">
        <f>IFERROR(__xludf.DUMMYFUNCTION("""COMPUTED_VALUE"""),325.0)</f>
        <v>325</v>
      </c>
      <c r="AE342" s="280">
        <f>IFERROR(__xludf.DUMMYFUNCTION("""COMPUTED_VALUE"""),330.0)</f>
        <v>330</v>
      </c>
      <c r="AF342" s="280">
        <f>IFERROR(__xludf.DUMMYFUNCTION("""COMPUTED_VALUE"""),345.0)</f>
        <v>345</v>
      </c>
      <c r="AG342" s="280">
        <f>IFERROR(__xludf.DUMMYFUNCTION("""COMPUTED_VALUE"""),370.0)</f>
        <v>370</v>
      </c>
      <c r="AH342" s="280">
        <f>IFERROR(__xludf.DUMMYFUNCTION("""COMPUTED_VALUE"""),380.0)</f>
        <v>380</v>
      </c>
      <c r="AI342" s="385" t="str">
        <f>IFERROR(__xludf.DUMMYFUNCTION("""COMPUTED_VALUE"""),"持続型")</f>
        <v>持続型</v>
      </c>
      <c r="AJ342" s="386">
        <f>IFERROR(__xludf.DUMMYFUNCTION("""COMPUTED_VALUE"""),2.0)</f>
        <v>2</v>
      </c>
      <c r="AK342" s="387" t="str">
        <f>IFERROR(__xludf.DUMMYFUNCTION("""COMPUTED_VALUE"""),"効果時間")</f>
        <v>効果時間</v>
      </c>
      <c r="AL342" s="392">
        <f>IFERROR(__xludf.DUMMYFUNCTION("""COMPUTED_VALUE"""),460.0)</f>
        <v>460</v>
      </c>
      <c r="AM342" s="275">
        <f>IFERROR(__xludf.DUMMYFUNCTION("""COMPUTED_VALUE"""),465.0)</f>
        <v>465</v>
      </c>
      <c r="AN342" s="280">
        <f>IFERROR(__xludf.DUMMYFUNCTION("""COMPUTED_VALUE"""),470.0)</f>
        <v>470</v>
      </c>
      <c r="AO342" s="275">
        <f>IFERROR(__xludf.DUMMYFUNCTION("""COMPUTED_VALUE"""),475.0)</f>
        <v>475</v>
      </c>
      <c r="AP342" s="280">
        <f>IFERROR(__xludf.DUMMYFUNCTION("""COMPUTED_VALUE"""),480.0)</f>
        <v>480</v>
      </c>
      <c r="AQ342" s="280">
        <f>IFERROR(__xludf.DUMMYFUNCTION("""COMPUTED_VALUE"""),495.0)</f>
        <v>495</v>
      </c>
      <c r="AR342" s="280">
        <f>IFERROR(__xludf.DUMMYFUNCTION("""COMPUTED_VALUE"""),520.0)</f>
        <v>520</v>
      </c>
      <c r="AS342" s="280">
        <f>IFERROR(__xludf.DUMMYFUNCTION("""COMPUTED_VALUE"""),530.0)</f>
        <v>530</v>
      </c>
      <c r="AT342" s="385" t="str">
        <f>IFERROR(__xludf.DUMMYFUNCTION("""COMPUTED_VALUE"""),"超持続型")</f>
        <v>超持続型</v>
      </c>
      <c r="AU342" s="386">
        <f>IFERROR(__xludf.DUMMYFUNCTION("""COMPUTED_VALUE"""),2.0)</f>
        <v>2</v>
      </c>
      <c r="AV342" s="387" t="str">
        <f>IFERROR(__xludf.DUMMYFUNCTION("""COMPUTED_VALUE"""),"効果時間")</f>
        <v>効果時間</v>
      </c>
      <c r="AW342" s="368" t="str">
        <f>IFERROR(__xludf.DUMMYFUNCTION("""COMPUTED_VALUE"""),"-")</f>
        <v>-</v>
      </c>
      <c r="AX342" s="368" t="str">
        <f>IFERROR(__xludf.DUMMYFUNCTION("""COMPUTED_VALUE"""),"-")</f>
        <v>-</v>
      </c>
      <c r="AY342" s="368" t="str">
        <f>IFERROR(__xludf.DUMMYFUNCTION("""COMPUTED_VALUE"""),"-")</f>
        <v>-</v>
      </c>
      <c r="AZ342" s="368" t="str">
        <f>IFERROR(__xludf.DUMMYFUNCTION("""COMPUTED_VALUE"""),"-")</f>
        <v>-</v>
      </c>
      <c r="BA342" s="368" t="str">
        <f>IFERROR(__xludf.DUMMYFUNCTION("""COMPUTED_VALUE"""),"-")</f>
        <v>-</v>
      </c>
      <c r="BB342" s="280">
        <f>IFERROR(__xludf.DUMMYFUNCTION("""COMPUTED_VALUE"""),625.0)</f>
        <v>625</v>
      </c>
      <c r="BC342" s="280">
        <f>IFERROR(__xludf.DUMMYFUNCTION("""COMPUTED_VALUE"""),670.0)</f>
        <v>670</v>
      </c>
      <c r="BD342" s="280">
        <f>IFERROR(__xludf.DUMMYFUNCTION("""COMPUTED_VALUE"""),680.0)</f>
        <v>680</v>
      </c>
      <c r="BE342" s="385" t="str">
        <f>IFERROR(__xludf.DUMMYFUNCTION("""COMPUTED_VALUE"""),"ハイブリッド型")</f>
        <v>ハイブリッド型</v>
      </c>
      <c r="BF342" s="386">
        <f>IFERROR(__xludf.DUMMYFUNCTION("""COMPUTED_VALUE"""),2.0)</f>
        <v>2</v>
      </c>
      <c r="BG342" s="387" t="str">
        <f>IFERROR(__xludf.DUMMYFUNCTION("""COMPUTED_VALUE"""),"効果時間")</f>
        <v>効果時間</v>
      </c>
      <c r="BH342" s="407">
        <f>IFERROR(__xludf.DUMMYFUNCTION("""COMPUTED_VALUE"""),195.0)</f>
        <v>195</v>
      </c>
      <c r="BI342" s="407">
        <f>IFERROR(__xludf.DUMMYFUNCTION("""COMPUTED_VALUE"""),205.0)</f>
        <v>205</v>
      </c>
      <c r="BJ342" s="407">
        <f>IFERROR(__xludf.DUMMYFUNCTION("""COMPUTED_VALUE"""),205.0)</f>
        <v>205</v>
      </c>
      <c r="BK342" s="408">
        <f>IFERROR(__xludf.DUMMYFUNCTION("""COMPUTED_VALUE"""),210.0)</f>
        <v>210</v>
      </c>
      <c r="BL342" s="407">
        <f>IFERROR(__xludf.DUMMYFUNCTION("""COMPUTED_VALUE"""),215.0)</f>
        <v>215</v>
      </c>
      <c r="BM342" s="408">
        <f>IFERROR(__xludf.DUMMYFUNCTION("""COMPUTED_VALUE"""),375.0)</f>
        <v>375</v>
      </c>
      <c r="BN342" s="407">
        <f>IFERROR(__xludf.DUMMYFUNCTION("""COMPUTED_VALUE"""),480.0)</f>
        <v>480</v>
      </c>
      <c r="BO342" s="408">
        <f>IFERROR(__xludf.DUMMYFUNCTION("""COMPUTED_VALUE"""),490.0)</f>
        <v>490</v>
      </c>
    </row>
    <row r="343">
      <c r="A343" s="435" t="str">
        <f>IFERROR(__xludf.DUMMYFUNCTION("""COMPUTED_VALUE"""),"攻撃力Down(青)")</f>
        <v>攻撃力Down(青)</v>
      </c>
      <c r="B343" s="385" t="str">
        <f>IFERROR(__xludf.DUMMYFUNCTION("""COMPUTED_VALUE"""),"超瞬間型")</f>
        <v>超瞬間型</v>
      </c>
      <c r="C343" s="399">
        <f>IFERROR(__xludf.DUMMYFUNCTION("""COMPUTED_VALUE"""),3.0)</f>
        <v>3</v>
      </c>
      <c r="D343" s="400" t="str">
        <f>IFERROR(__xludf.DUMMYFUNCTION("""COMPUTED_VALUE"""),"効果値")</f>
        <v>効果値</v>
      </c>
      <c r="E343" s="401" t="str">
        <f>IFERROR(__xludf.DUMMYFUNCTION("""COMPUTED_VALUE"""),"-")</f>
        <v>-</v>
      </c>
      <c r="F343" s="409" t="str">
        <f>IFERROR(__xludf.DUMMYFUNCTION("""COMPUTED_VALUE"""),"-")</f>
        <v>-</v>
      </c>
      <c r="G343" s="401" t="str">
        <f>IFERROR(__xludf.DUMMYFUNCTION("""COMPUTED_VALUE"""),"-")</f>
        <v>-</v>
      </c>
      <c r="H343" s="409" t="str">
        <f>IFERROR(__xludf.DUMMYFUNCTION("""COMPUTED_VALUE"""),"-")</f>
        <v>-</v>
      </c>
      <c r="I343" s="409" t="str">
        <f>IFERROR(__xludf.DUMMYFUNCTION("""COMPUTED_VALUE"""),"-")</f>
        <v>-</v>
      </c>
      <c r="J343" s="410">
        <f>IFERROR(__xludf.DUMMYFUNCTION("""COMPUTED_VALUE"""),58.0)</f>
        <v>58</v>
      </c>
      <c r="K343" s="410">
        <f>IFERROR(__xludf.DUMMYFUNCTION("""COMPUTED_VALUE"""),68.0)</f>
        <v>68</v>
      </c>
      <c r="L343" s="410">
        <f>IFERROR(__xludf.DUMMYFUNCTION("""COMPUTED_VALUE"""),72.0)</f>
        <v>72</v>
      </c>
      <c r="M343" s="385" t="str">
        <f>IFERROR(__xludf.DUMMYFUNCTION("""COMPUTED_VALUE"""),"瞬間型")</f>
        <v>瞬間型</v>
      </c>
      <c r="N343" s="399">
        <f>IFERROR(__xludf.DUMMYFUNCTION("""COMPUTED_VALUE"""),3.0)</f>
        <v>3</v>
      </c>
      <c r="O343" s="400" t="str">
        <f>IFERROR(__xludf.DUMMYFUNCTION("""COMPUTED_VALUE"""),"効果値")</f>
        <v>効果値</v>
      </c>
      <c r="P343" s="343">
        <f>IFERROR(__xludf.DUMMYFUNCTION("""COMPUTED_VALUE"""),22.0)</f>
        <v>22</v>
      </c>
      <c r="Q343" s="402">
        <f>IFERROR(__xludf.DUMMYFUNCTION("""COMPUTED_VALUE"""),22.0)</f>
        <v>22</v>
      </c>
      <c r="R343" s="402">
        <f>IFERROR(__xludf.DUMMYFUNCTION("""COMPUTED_VALUE"""),23.0)</f>
        <v>23</v>
      </c>
      <c r="S343" s="402">
        <f>IFERROR(__xludf.DUMMYFUNCTION("""COMPUTED_VALUE"""),23.0)</f>
        <v>23</v>
      </c>
      <c r="T343" s="402">
        <f>IFERROR(__xludf.DUMMYFUNCTION("""COMPUTED_VALUE"""),23.0)</f>
        <v>23</v>
      </c>
      <c r="U343" s="402">
        <f>IFERROR(__xludf.DUMMYFUNCTION("""COMPUTED_VALUE"""),28.0)</f>
        <v>28</v>
      </c>
      <c r="V343" s="402">
        <f>IFERROR(__xludf.DUMMYFUNCTION("""COMPUTED_VALUE"""),33.0)</f>
        <v>33</v>
      </c>
      <c r="W343" s="402">
        <f>IFERROR(__xludf.DUMMYFUNCTION("""COMPUTED_VALUE"""),37.0)</f>
        <v>37</v>
      </c>
      <c r="X343" s="385" t="str">
        <f>IFERROR(__xludf.DUMMYFUNCTION("""COMPUTED_VALUE"""),"安定型")</f>
        <v>安定型</v>
      </c>
      <c r="Y343" s="399">
        <f>IFERROR(__xludf.DUMMYFUNCTION("""COMPUTED_VALUE"""),3.0)</f>
        <v>3</v>
      </c>
      <c r="Z343" s="400" t="str">
        <f>IFERROR(__xludf.DUMMYFUNCTION("""COMPUTED_VALUE"""),"効果値")</f>
        <v>効果値</v>
      </c>
      <c r="AA343" s="343">
        <f>IFERROR(__xludf.DUMMYFUNCTION("""COMPUTED_VALUE"""),12.0)</f>
        <v>12</v>
      </c>
      <c r="AB343" s="402">
        <f>IFERROR(__xludf.DUMMYFUNCTION("""COMPUTED_VALUE"""),12.0)</f>
        <v>12</v>
      </c>
      <c r="AC343" s="402">
        <f>IFERROR(__xludf.DUMMYFUNCTION("""COMPUTED_VALUE"""),13.0)</f>
        <v>13</v>
      </c>
      <c r="AD343" s="402">
        <f>IFERROR(__xludf.DUMMYFUNCTION("""COMPUTED_VALUE"""),13.0)</f>
        <v>13</v>
      </c>
      <c r="AE343" s="402">
        <f>IFERROR(__xludf.DUMMYFUNCTION("""COMPUTED_VALUE"""),13.0)</f>
        <v>13</v>
      </c>
      <c r="AF343" s="402">
        <f>IFERROR(__xludf.DUMMYFUNCTION("""COMPUTED_VALUE"""),13.0)</f>
        <v>13</v>
      </c>
      <c r="AG343" s="402">
        <f>IFERROR(__xludf.DUMMYFUNCTION("""COMPUTED_VALUE"""),18.0)</f>
        <v>18</v>
      </c>
      <c r="AH343" s="402">
        <f>IFERROR(__xludf.DUMMYFUNCTION("""COMPUTED_VALUE"""),22.0)</f>
        <v>22</v>
      </c>
      <c r="AI343" s="385" t="str">
        <f>IFERROR(__xludf.DUMMYFUNCTION("""COMPUTED_VALUE"""),"持続型")</f>
        <v>持続型</v>
      </c>
      <c r="AJ343" s="399">
        <f>IFERROR(__xludf.DUMMYFUNCTION("""COMPUTED_VALUE"""),3.0)</f>
        <v>3</v>
      </c>
      <c r="AK343" s="400" t="str">
        <f>IFERROR(__xludf.DUMMYFUNCTION("""COMPUTED_VALUE"""),"効果値")</f>
        <v>効果値</v>
      </c>
      <c r="AL343" s="343">
        <f>IFERROR(__xludf.DUMMYFUNCTION("""COMPUTED_VALUE"""),7.0)</f>
        <v>7</v>
      </c>
      <c r="AM343" s="402">
        <f>IFERROR(__xludf.DUMMYFUNCTION("""COMPUTED_VALUE"""),7.0)</f>
        <v>7</v>
      </c>
      <c r="AN343" s="402">
        <f>IFERROR(__xludf.DUMMYFUNCTION("""COMPUTED_VALUE"""),8.0)</f>
        <v>8</v>
      </c>
      <c r="AO343" s="402">
        <f>IFERROR(__xludf.DUMMYFUNCTION("""COMPUTED_VALUE"""),8.0)</f>
        <v>8</v>
      </c>
      <c r="AP343" s="402">
        <f>IFERROR(__xludf.DUMMYFUNCTION("""COMPUTED_VALUE"""),8.0)</f>
        <v>8</v>
      </c>
      <c r="AQ343" s="402">
        <f>IFERROR(__xludf.DUMMYFUNCTION("""COMPUTED_VALUE"""),8.0)</f>
        <v>8</v>
      </c>
      <c r="AR343" s="402">
        <f>IFERROR(__xludf.DUMMYFUNCTION("""COMPUTED_VALUE"""),11.0)</f>
        <v>11</v>
      </c>
      <c r="AS343" s="402">
        <f>IFERROR(__xludf.DUMMYFUNCTION("""COMPUTED_VALUE"""),11.0)</f>
        <v>11</v>
      </c>
      <c r="AT343" s="385" t="str">
        <f>IFERROR(__xludf.DUMMYFUNCTION("""COMPUTED_VALUE"""),"超持続型")</f>
        <v>超持続型</v>
      </c>
      <c r="AU343" s="399">
        <f>IFERROR(__xludf.DUMMYFUNCTION("""COMPUTED_VALUE"""),3.0)</f>
        <v>3</v>
      </c>
      <c r="AV343" s="400" t="str">
        <f>IFERROR(__xludf.DUMMYFUNCTION("""COMPUTED_VALUE"""),"効果値")</f>
        <v>効果値</v>
      </c>
      <c r="AW343" s="403" t="str">
        <f>IFERROR(__xludf.DUMMYFUNCTION("""COMPUTED_VALUE"""),"-")</f>
        <v>-</v>
      </c>
      <c r="AX343" s="403" t="str">
        <f>IFERROR(__xludf.DUMMYFUNCTION("""COMPUTED_VALUE"""),"-")</f>
        <v>-</v>
      </c>
      <c r="AY343" s="403" t="str">
        <f>IFERROR(__xludf.DUMMYFUNCTION("""COMPUTED_VALUE"""),"-")</f>
        <v>-</v>
      </c>
      <c r="AZ343" s="403" t="str">
        <f>IFERROR(__xludf.DUMMYFUNCTION("""COMPUTED_VALUE"""),"-")</f>
        <v>-</v>
      </c>
      <c r="BA343" s="403" t="str">
        <f>IFERROR(__xludf.DUMMYFUNCTION("""COMPUTED_VALUE"""),"-")</f>
        <v>-</v>
      </c>
      <c r="BB343" s="343">
        <f>IFERROR(__xludf.DUMMYFUNCTION("""COMPUTED_VALUE"""),8.0)</f>
        <v>8</v>
      </c>
      <c r="BC343" s="343">
        <f>IFERROR(__xludf.DUMMYFUNCTION("""COMPUTED_VALUE"""),11.0)</f>
        <v>11</v>
      </c>
      <c r="BD343" s="343">
        <f>IFERROR(__xludf.DUMMYFUNCTION("""COMPUTED_VALUE"""),11.0)</f>
        <v>11</v>
      </c>
      <c r="BE343" s="385" t="str">
        <f>IFERROR(__xludf.DUMMYFUNCTION("""COMPUTED_VALUE"""),"ハイブリッド型")</f>
        <v>ハイブリッド型</v>
      </c>
      <c r="BF343" s="399">
        <f>IFERROR(__xludf.DUMMYFUNCTION("""COMPUTED_VALUE"""),3.0)</f>
        <v>3</v>
      </c>
      <c r="BG343" s="400" t="str">
        <f>IFERROR(__xludf.DUMMYFUNCTION("""COMPUTED_VALUE"""),"効果値")</f>
        <v>効果値</v>
      </c>
      <c r="BH343" s="411">
        <f>IFERROR(__xludf.DUMMYFUNCTION("""COMPUTED_VALUE"""),11.4)</f>
        <v>11.4</v>
      </c>
      <c r="BI343" s="412">
        <f>IFERROR(__xludf.DUMMYFUNCTION("""COMPUTED_VALUE"""),11.9)</f>
        <v>11.9</v>
      </c>
      <c r="BJ343" s="412">
        <f>IFERROR(__xludf.DUMMYFUNCTION("""COMPUTED_VALUE"""),12.5)</f>
        <v>12.5</v>
      </c>
      <c r="BK343" s="412">
        <f>IFERROR(__xludf.DUMMYFUNCTION("""COMPUTED_VALUE"""),13.0)</f>
        <v>13</v>
      </c>
      <c r="BL343" s="412">
        <f>IFERROR(__xludf.DUMMYFUNCTION("""COMPUTED_VALUE"""),13.5)</f>
        <v>13.5</v>
      </c>
      <c r="BM343" s="412">
        <f>IFERROR(__xludf.DUMMYFUNCTION("""COMPUTED_VALUE"""),18.5)</f>
        <v>18.5</v>
      </c>
      <c r="BN343" s="412">
        <f>IFERROR(__xludf.DUMMYFUNCTION("""COMPUTED_VALUE"""),23.0)</f>
        <v>23</v>
      </c>
      <c r="BO343" s="413">
        <f>IFERROR(__xludf.DUMMYFUNCTION("""COMPUTED_VALUE"""),27.0)</f>
        <v>27</v>
      </c>
    </row>
    <row r="344">
      <c r="A344" s="435" t="str">
        <f>IFERROR(__xludf.DUMMYFUNCTION("""COMPUTED_VALUE"""),"攻撃力Down(青)")</f>
        <v>攻撃力Down(青)</v>
      </c>
      <c r="B344" s="385" t="str">
        <f>IFERROR(__xludf.DUMMYFUNCTION("""COMPUTED_VALUE"""),"超瞬間型")</f>
        <v>超瞬間型</v>
      </c>
      <c r="C344" s="386">
        <f>IFERROR(__xludf.DUMMYFUNCTION("""COMPUTED_VALUE"""),3.0)</f>
        <v>3</v>
      </c>
      <c r="D344" s="387" t="str">
        <f>IFERROR(__xludf.DUMMYFUNCTION("""COMPUTED_VALUE"""),"効果時間")</f>
        <v>効果時間</v>
      </c>
      <c r="E344" s="388" t="str">
        <f>IFERROR(__xludf.DUMMYFUNCTION("""COMPUTED_VALUE"""),"-")</f>
        <v>-</v>
      </c>
      <c r="F344" s="389" t="str">
        <f>IFERROR(__xludf.DUMMYFUNCTION("""COMPUTED_VALUE"""),"-")</f>
        <v>-</v>
      </c>
      <c r="G344" s="388" t="str">
        <f>IFERROR(__xludf.DUMMYFUNCTION("""COMPUTED_VALUE"""),"-")</f>
        <v>-</v>
      </c>
      <c r="H344" s="389" t="str">
        <f>IFERROR(__xludf.DUMMYFUNCTION("""COMPUTED_VALUE"""),"-")</f>
        <v>-</v>
      </c>
      <c r="I344" s="388" t="str">
        <f>IFERROR(__xludf.DUMMYFUNCTION("""COMPUTED_VALUE"""),"-")</f>
        <v>-</v>
      </c>
      <c r="J344" s="390">
        <f>IFERROR(__xludf.DUMMYFUNCTION("""COMPUTED_VALUE"""),155.0)</f>
        <v>155</v>
      </c>
      <c r="K344" s="391">
        <f>IFERROR(__xludf.DUMMYFUNCTION("""COMPUTED_VALUE"""),165.0)</f>
        <v>165</v>
      </c>
      <c r="L344" s="340">
        <f>IFERROR(__xludf.DUMMYFUNCTION("""COMPUTED_VALUE"""),185.0)</f>
        <v>185</v>
      </c>
      <c r="M344" s="385" t="str">
        <f>IFERROR(__xludf.DUMMYFUNCTION("""COMPUTED_VALUE"""),"瞬間型")</f>
        <v>瞬間型</v>
      </c>
      <c r="N344" s="386">
        <f>IFERROR(__xludf.DUMMYFUNCTION("""COMPUTED_VALUE"""),3.0)</f>
        <v>3</v>
      </c>
      <c r="O344" s="387" t="str">
        <f>IFERROR(__xludf.DUMMYFUNCTION("""COMPUTED_VALUE"""),"効果時間")</f>
        <v>効果時間</v>
      </c>
      <c r="P344" s="392">
        <f>IFERROR(__xludf.DUMMYFUNCTION("""COMPUTED_VALUE"""),165.0)</f>
        <v>165</v>
      </c>
      <c r="Q344" s="414">
        <f>IFERROR(__xludf.DUMMYFUNCTION("""COMPUTED_VALUE"""),175.0)</f>
        <v>175</v>
      </c>
      <c r="R344" s="415">
        <f>IFERROR(__xludf.DUMMYFUNCTION("""COMPUTED_VALUE"""),180.0)</f>
        <v>180</v>
      </c>
      <c r="S344" s="393">
        <f>IFERROR(__xludf.DUMMYFUNCTION("""COMPUTED_VALUE"""),185.0)</f>
        <v>185</v>
      </c>
      <c r="T344" s="393">
        <f>IFERROR(__xludf.DUMMYFUNCTION("""COMPUTED_VALUE"""),195.0)</f>
        <v>195</v>
      </c>
      <c r="U344" s="414">
        <f>IFERROR(__xludf.DUMMYFUNCTION("""COMPUTED_VALUE"""),200.0)</f>
        <v>200</v>
      </c>
      <c r="V344" s="416">
        <f>IFERROR(__xludf.DUMMYFUNCTION("""COMPUTED_VALUE"""),255.0)</f>
        <v>255</v>
      </c>
      <c r="W344" s="415">
        <f>IFERROR(__xludf.DUMMYFUNCTION("""COMPUTED_VALUE"""),270.0)</f>
        <v>270</v>
      </c>
      <c r="X344" s="385" t="str">
        <f>IFERROR(__xludf.DUMMYFUNCTION("""COMPUTED_VALUE"""),"安定型")</f>
        <v>安定型</v>
      </c>
      <c r="Y344" s="386">
        <f>IFERROR(__xludf.DUMMYFUNCTION("""COMPUTED_VALUE"""),3.0)</f>
        <v>3</v>
      </c>
      <c r="Z344" s="387" t="str">
        <f>IFERROR(__xludf.DUMMYFUNCTION("""COMPUTED_VALUE"""),"効果時間")</f>
        <v>効果時間</v>
      </c>
      <c r="AA344" s="392">
        <f>IFERROR(__xludf.DUMMYFUNCTION("""COMPUTED_VALUE"""),315.0)</f>
        <v>315</v>
      </c>
      <c r="AB344" s="414">
        <f>IFERROR(__xludf.DUMMYFUNCTION("""COMPUTED_VALUE"""),325.0)</f>
        <v>325</v>
      </c>
      <c r="AC344" s="415">
        <f>IFERROR(__xludf.DUMMYFUNCTION("""COMPUTED_VALUE"""),330.0)</f>
        <v>330</v>
      </c>
      <c r="AD344" s="393">
        <f>IFERROR(__xludf.DUMMYFUNCTION("""COMPUTED_VALUE"""),335.0)</f>
        <v>335</v>
      </c>
      <c r="AE344" s="393">
        <f>IFERROR(__xludf.DUMMYFUNCTION("""COMPUTED_VALUE"""),345.0)</f>
        <v>345</v>
      </c>
      <c r="AF344" s="414">
        <f>IFERROR(__xludf.DUMMYFUNCTION("""COMPUTED_VALUE"""),370.0)</f>
        <v>370</v>
      </c>
      <c r="AG344" s="416">
        <f>IFERROR(__xludf.DUMMYFUNCTION("""COMPUTED_VALUE"""),405.0)</f>
        <v>405</v>
      </c>
      <c r="AH344" s="415">
        <f>IFERROR(__xludf.DUMMYFUNCTION("""COMPUTED_VALUE"""),420.0)</f>
        <v>420</v>
      </c>
      <c r="AI344" s="385" t="str">
        <f>IFERROR(__xludf.DUMMYFUNCTION("""COMPUTED_VALUE"""),"持続型")</f>
        <v>持続型</v>
      </c>
      <c r="AJ344" s="386">
        <f>IFERROR(__xludf.DUMMYFUNCTION("""COMPUTED_VALUE"""),3.0)</f>
        <v>3</v>
      </c>
      <c r="AK344" s="387" t="str">
        <f>IFERROR(__xludf.DUMMYFUNCTION("""COMPUTED_VALUE"""),"効果時間")</f>
        <v>効果時間</v>
      </c>
      <c r="AL344" s="392">
        <f>IFERROR(__xludf.DUMMYFUNCTION("""COMPUTED_VALUE"""),465.0)</f>
        <v>465</v>
      </c>
      <c r="AM344" s="414">
        <f>IFERROR(__xludf.DUMMYFUNCTION("""COMPUTED_VALUE"""),475.0)</f>
        <v>475</v>
      </c>
      <c r="AN344" s="415">
        <f>IFERROR(__xludf.DUMMYFUNCTION("""COMPUTED_VALUE"""),480.0)</f>
        <v>480</v>
      </c>
      <c r="AO344" s="393">
        <f>IFERROR(__xludf.DUMMYFUNCTION("""COMPUTED_VALUE"""),485.0)</f>
        <v>485</v>
      </c>
      <c r="AP344" s="393">
        <f>IFERROR(__xludf.DUMMYFUNCTION("""COMPUTED_VALUE"""),495.0)</f>
        <v>495</v>
      </c>
      <c r="AQ344" s="414">
        <f>IFERROR(__xludf.DUMMYFUNCTION("""COMPUTED_VALUE"""),520.0)</f>
        <v>520</v>
      </c>
      <c r="AR344" s="416">
        <f>IFERROR(__xludf.DUMMYFUNCTION("""COMPUTED_VALUE"""),555.0)</f>
        <v>555</v>
      </c>
      <c r="AS344" s="415">
        <f>IFERROR(__xludf.DUMMYFUNCTION("""COMPUTED_VALUE"""),570.0)</f>
        <v>570</v>
      </c>
      <c r="AT344" s="385" t="str">
        <f>IFERROR(__xludf.DUMMYFUNCTION("""COMPUTED_VALUE"""),"超持続型")</f>
        <v>超持続型</v>
      </c>
      <c r="AU344" s="386">
        <f>IFERROR(__xludf.DUMMYFUNCTION("""COMPUTED_VALUE"""),3.0)</f>
        <v>3</v>
      </c>
      <c r="AV344" s="387" t="str">
        <f>IFERROR(__xludf.DUMMYFUNCTION("""COMPUTED_VALUE"""),"効果時間")</f>
        <v>効果時間</v>
      </c>
      <c r="AW344" s="368" t="str">
        <f>IFERROR(__xludf.DUMMYFUNCTION("""COMPUTED_VALUE"""),"-")</f>
        <v>-</v>
      </c>
      <c r="AX344" s="368" t="str">
        <f>IFERROR(__xludf.DUMMYFUNCTION("""COMPUTED_VALUE"""),"-")</f>
        <v>-</v>
      </c>
      <c r="AY344" s="368" t="str">
        <f>IFERROR(__xludf.DUMMYFUNCTION("""COMPUTED_VALUE"""),"-")</f>
        <v>-</v>
      </c>
      <c r="AZ344" s="368" t="str">
        <f>IFERROR(__xludf.DUMMYFUNCTION("""COMPUTED_VALUE"""),"-")</f>
        <v>-</v>
      </c>
      <c r="BA344" s="368" t="str">
        <f>IFERROR(__xludf.DUMMYFUNCTION("""COMPUTED_VALUE"""),"-")</f>
        <v>-</v>
      </c>
      <c r="BB344" s="280">
        <f>IFERROR(__xludf.DUMMYFUNCTION("""COMPUTED_VALUE"""),635.0)</f>
        <v>635</v>
      </c>
      <c r="BC344" s="280">
        <f>IFERROR(__xludf.DUMMYFUNCTION("""COMPUTED_VALUE"""),705.0)</f>
        <v>705</v>
      </c>
      <c r="BD344" s="280">
        <f>IFERROR(__xludf.DUMMYFUNCTION("""COMPUTED_VALUE"""),720.0)</f>
        <v>720</v>
      </c>
      <c r="BE344" s="385" t="str">
        <f>IFERROR(__xludf.DUMMYFUNCTION("""COMPUTED_VALUE"""),"ハイブリッド型")</f>
        <v>ハイブリッド型</v>
      </c>
      <c r="BF344" s="386">
        <f>IFERROR(__xludf.DUMMYFUNCTION("""COMPUTED_VALUE"""),3.0)</f>
        <v>3</v>
      </c>
      <c r="BG344" s="387" t="str">
        <f>IFERROR(__xludf.DUMMYFUNCTION("""COMPUTED_VALUE"""),"効果時間")</f>
        <v>効果時間</v>
      </c>
      <c r="BH344" s="407">
        <f>IFERROR(__xludf.DUMMYFUNCTION("""COMPUTED_VALUE"""),220.0)</f>
        <v>220</v>
      </c>
      <c r="BI344" s="407">
        <f>IFERROR(__xludf.DUMMYFUNCTION("""COMPUTED_VALUE"""),235.0)</f>
        <v>235</v>
      </c>
      <c r="BJ344" s="407">
        <f>IFERROR(__xludf.DUMMYFUNCTION("""COMPUTED_VALUE"""),240.0)</f>
        <v>240</v>
      </c>
      <c r="BK344" s="408">
        <f>IFERROR(__xludf.DUMMYFUNCTION("""COMPUTED_VALUE"""),250.0)</f>
        <v>250</v>
      </c>
      <c r="BL344" s="407">
        <f>IFERROR(__xludf.DUMMYFUNCTION("""COMPUTED_VALUE"""),255.0)</f>
        <v>255</v>
      </c>
      <c r="BM344" s="408">
        <f>IFERROR(__xludf.DUMMYFUNCTION("""COMPUTED_VALUE"""),385.0)</f>
        <v>385</v>
      </c>
      <c r="BN344" s="407">
        <f>IFERROR(__xludf.DUMMYFUNCTION("""COMPUTED_VALUE"""),490.0)</f>
        <v>490</v>
      </c>
      <c r="BO344" s="408">
        <f>IFERROR(__xludf.DUMMYFUNCTION("""COMPUTED_VALUE"""),505.0)</f>
        <v>505</v>
      </c>
    </row>
    <row r="345">
      <c r="A345" s="435" t="str">
        <f>IFERROR(__xludf.DUMMYFUNCTION("""COMPUTED_VALUE"""),"攻撃力Down(青)")</f>
        <v>攻撃力Down(青)</v>
      </c>
      <c r="B345" s="385" t="str">
        <f>IFERROR(__xludf.DUMMYFUNCTION("""COMPUTED_VALUE"""),"超瞬間型")</f>
        <v>超瞬間型</v>
      </c>
      <c r="C345" s="399">
        <f>IFERROR(__xludf.DUMMYFUNCTION("""COMPUTED_VALUE"""),4.0)</f>
        <v>4</v>
      </c>
      <c r="D345" s="400" t="str">
        <f>IFERROR(__xludf.DUMMYFUNCTION("""COMPUTED_VALUE"""),"効果値")</f>
        <v>効果値</v>
      </c>
      <c r="E345" s="401" t="str">
        <f>IFERROR(__xludf.DUMMYFUNCTION("""COMPUTED_VALUE"""),"-")</f>
        <v>-</v>
      </c>
      <c r="F345" s="409" t="str">
        <f>IFERROR(__xludf.DUMMYFUNCTION("""COMPUTED_VALUE"""),"-")</f>
        <v>-</v>
      </c>
      <c r="G345" s="409" t="str">
        <f>IFERROR(__xludf.DUMMYFUNCTION("""COMPUTED_VALUE"""),"-")</f>
        <v>-</v>
      </c>
      <c r="H345" s="409" t="str">
        <f>IFERROR(__xludf.DUMMYFUNCTION("""COMPUTED_VALUE"""),"-")</f>
        <v>-</v>
      </c>
      <c r="I345" s="409" t="str">
        <f>IFERROR(__xludf.DUMMYFUNCTION("""COMPUTED_VALUE"""),"-")</f>
        <v>-</v>
      </c>
      <c r="J345" s="410">
        <f>IFERROR(__xludf.DUMMYFUNCTION("""COMPUTED_VALUE"""),59.0)</f>
        <v>59</v>
      </c>
      <c r="K345" s="410">
        <f>IFERROR(__xludf.DUMMYFUNCTION("""COMPUTED_VALUE"""),69.0)</f>
        <v>69</v>
      </c>
      <c r="L345" s="410">
        <f>IFERROR(__xludf.DUMMYFUNCTION("""COMPUTED_VALUE"""),74.0)</f>
        <v>74</v>
      </c>
      <c r="M345" s="385" t="str">
        <f>IFERROR(__xludf.DUMMYFUNCTION("""COMPUTED_VALUE"""),"瞬間型")</f>
        <v>瞬間型</v>
      </c>
      <c r="N345" s="399">
        <f>IFERROR(__xludf.DUMMYFUNCTION("""COMPUTED_VALUE"""),4.0)</f>
        <v>4</v>
      </c>
      <c r="O345" s="400" t="str">
        <f>IFERROR(__xludf.DUMMYFUNCTION("""COMPUTED_VALUE"""),"効果値")</f>
        <v>効果値</v>
      </c>
      <c r="P345" s="343">
        <f>IFERROR(__xludf.DUMMYFUNCTION("""COMPUTED_VALUE"""),23.0)</f>
        <v>23</v>
      </c>
      <c r="Q345" s="402">
        <f>IFERROR(__xludf.DUMMYFUNCTION("""COMPUTED_VALUE"""),23.0)</f>
        <v>23</v>
      </c>
      <c r="R345" s="343">
        <f>IFERROR(__xludf.DUMMYFUNCTION("""COMPUTED_VALUE"""),23.0)</f>
        <v>23</v>
      </c>
      <c r="S345" s="402">
        <f>IFERROR(__xludf.DUMMYFUNCTION("""COMPUTED_VALUE"""),23.0)</f>
        <v>23</v>
      </c>
      <c r="T345" s="343">
        <f>IFERROR(__xludf.DUMMYFUNCTION("""COMPUTED_VALUE"""),23.0)</f>
        <v>23</v>
      </c>
      <c r="U345" s="343">
        <f>IFERROR(__xludf.DUMMYFUNCTION("""COMPUTED_VALUE"""),29.0)</f>
        <v>29</v>
      </c>
      <c r="V345" s="343">
        <f>IFERROR(__xludf.DUMMYFUNCTION("""COMPUTED_VALUE"""),34.0)</f>
        <v>34</v>
      </c>
      <c r="W345" s="343">
        <f>IFERROR(__xludf.DUMMYFUNCTION("""COMPUTED_VALUE"""),39.0)</f>
        <v>39</v>
      </c>
      <c r="X345" s="385" t="str">
        <f>IFERROR(__xludf.DUMMYFUNCTION("""COMPUTED_VALUE"""),"安定型")</f>
        <v>安定型</v>
      </c>
      <c r="Y345" s="399">
        <f>IFERROR(__xludf.DUMMYFUNCTION("""COMPUTED_VALUE"""),4.0)</f>
        <v>4</v>
      </c>
      <c r="Z345" s="400" t="str">
        <f>IFERROR(__xludf.DUMMYFUNCTION("""COMPUTED_VALUE"""),"効果値")</f>
        <v>効果値</v>
      </c>
      <c r="AA345" s="343">
        <f>IFERROR(__xludf.DUMMYFUNCTION("""COMPUTED_VALUE"""),13.0)</f>
        <v>13</v>
      </c>
      <c r="AB345" s="402">
        <f>IFERROR(__xludf.DUMMYFUNCTION("""COMPUTED_VALUE"""),13.0)</f>
        <v>13</v>
      </c>
      <c r="AC345" s="343">
        <f>IFERROR(__xludf.DUMMYFUNCTION("""COMPUTED_VALUE"""),13.0)</f>
        <v>13</v>
      </c>
      <c r="AD345" s="402">
        <f>IFERROR(__xludf.DUMMYFUNCTION("""COMPUTED_VALUE"""),13.0)</f>
        <v>13</v>
      </c>
      <c r="AE345" s="343">
        <f>IFERROR(__xludf.DUMMYFUNCTION("""COMPUTED_VALUE"""),13.0)</f>
        <v>13</v>
      </c>
      <c r="AF345" s="343">
        <f>IFERROR(__xludf.DUMMYFUNCTION("""COMPUTED_VALUE"""),14.0)</f>
        <v>14</v>
      </c>
      <c r="AG345" s="343">
        <f>IFERROR(__xludf.DUMMYFUNCTION("""COMPUTED_VALUE"""),19.0)</f>
        <v>19</v>
      </c>
      <c r="AH345" s="343">
        <f>IFERROR(__xludf.DUMMYFUNCTION("""COMPUTED_VALUE"""),24.0)</f>
        <v>24</v>
      </c>
      <c r="AI345" s="385" t="str">
        <f>IFERROR(__xludf.DUMMYFUNCTION("""COMPUTED_VALUE"""),"持続型")</f>
        <v>持続型</v>
      </c>
      <c r="AJ345" s="399">
        <f>IFERROR(__xludf.DUMMYFUNCTION("""COMPUTED_VALUE"""),4.0)</f>
        <v>4</v>
      </c>
      <c r="AK345" s="400" t="str">
        <f>IFERROR(__xludf.DUMMYFUNCTION("""COMPUTED_VALUE"""),"効果値")</f>
        <v>効果値</v>
      </c>
      <c r="AL345" s="343">
        <f>IFERROR(__xludf.DUMMYFUNCTION("""COMPUTED_VALUE"""),8.0)</f>
        <v>8</v>
      </c>
      <c r="AM345" s="402">
        <f>IFERROR(__xludf.DUMMYFUNCTION("""COMPUTED_VALUE"""),8.0)</f>
        <v>8</v>
      </c>
      <c r="AN345" s="343">
        <f>IFERROR(__xludf.DUMMYFUNCTION("""COMPUTED_VALUE"""),8.0)</f>
        <v>8</v>
      </c>
      <c r="AO345" s="402">
        <f>IFERROR(__xludf.DUMMYFUNCTION("""COMPUTED_VALUE"""),8.0)</f>
        <v>8</v>
      </c>
      <c r="AP345" s="343">
        <f>IFERROR(__xludf.DUMMYFUNCTION("""COMPUTED_VALUE"""),8.0)</f>
        <v>8</v>
      </c>
      <c r="AQ345" s="343">
        <f>IFERROR(__xludf.DUMMYFUNCTION("""COMPUTED_VALUE"""),9.0)</f>
        <v>9</v>
      </c>
      <c r="AR345" s="343">
        <f>IFERROR(__xludf.DUMMYFUNCTION("""COMPUTED_VALUE"""),12.0)</f>
        <v>12</v>
      </c>
      <c r="AS345" s="343">
        <f>IFERROR(__xludf.DUMMYFUNCTION("""COMPUTED_VALUE"""),12.0)</f>
        <v>12</v>
      </c>
      <c r="AT345" s="385" t="str">
        <f>IFERROR(__xludf.DUMMYFUNCTION("""COMPUTED_VALUE"""),"超持続型")</f>
        <v>超持続型</v>
      </c>
      <c r="AU345" s="399">
        <f>IFERROR(__xludf.DUMMYFUNCTION("""COMPUTED_VALUE"""),4.0)</f>
        <v>4</v>
      </c>
      <c r="AV345" s="400" t="str">
        <f>IFERROR(__xludf.DUMMYFUNCTION("""COMPUTED_VALUE"""),"効果値")</f>
        <v>効果値</v>
      </c>
      <c r="AW345" s="403" t="str">
        <f>IFERROR(__xludf.DUMMYFUNCTION("""COMPUTED_VALUE"""),"-")</f>
        <v>-</v>
      </c>
      <c r="AX345" s="403" t="str">
        <f>IFERROR(__xludf.DUMMYFUNCTION("""COMPUTED_VALUE"""),"-")</f>
        <v>-</v>
      </c>
      <c r="AY345" s="403" t="str">
        <f>IFERROR(__xludf.DUMMYFUNCTION("""COMPUTED_VALUE"""),"-")</f>
        <v>-</v>
      </c>
      <c r="AZ345" s="403" t="str">
        <f>IFERROR(__xludf.DUMMYFUNCTION("""COMPUTED_VALUE"""),"-")</f>
        <v>-</v>
      </c>
      <c r="BA345" s="403" t="str">
        <f>IFERROR(__xludf.DUMMYFUNCTION("""COMPUTED_VALUE"""),"-")</f>
        <v>-</v>
      </c>
      <c r="BB345" s="343">
        <f>IFERROR(__xludf.DUMMYFUNCTION("""COMPUTED_VALUE"""),9.0)</f>
        <v>9</v>
      </c>
      <c r="BC345" s="343">
        <f>IFERROR(__xludf.DUMMYFUNCTION("""COMPUTED_VALUE"""),12.0)</f>
        <v>12</v>
      </c>
      <c r="BD345" s="343">
        <f>IFERROR(__xludf.DUMMYFUNCTION("""COMPUTED_VALUE"""),12.0)</f>
        <v>12</v>
      </c>
      <c r="BE345" s="385" t="str">
        <f>IFERROR(__xludf.DUMMYFUNCTION("""COMPUTED_VALUE"""),"ハイブリッド型")</f>
        <v>ハイブリッド型</v>
      </c>
      <c r="BF345" s="399">
        <f>IFERROR(__xludf.DUMMYFUNCTION("""COMPUTED_VALUE"""),4.0)</f>
        <v>4</v>
      </c>
      <c r="BG345" s="400" t="str">
        <f>IFERROR(__xludf.DUMMYFUNCTION("""COMPUTED_VALUE"""),"効果値")</f>
        <v>効果値</v>
      </c>
      <c r="BH345" s="411">
        <f>IFERROR(__xludf.DUMMYFUNCTION("""COMPUTED_VALUE"""),11.8)</f>
        <v>11.8</v>
      </c>
      <c r="BI345" s="412">
        <f>IFERROR(__xludf.DUMMYFUNCTION("""COMPUTED_VALUE"""),12.4)</f>
        <v>12.4</v>
      </c>
      <c r="BJ345" s="412">
        <f>IFERROR(__xludf.DUMMYFUNCTION("""COMPUTED_VALUE"""),13.1)</f>
        <v>13.1</v>
      </c>
      <c r="BK345" s="412">
        <f>IFERROR(__xludf.DUMMYFUNCTION("""COMPUTED_VALUE"""),13.7)</f>
        <v>13.7</v>
      </c>
      <c r="BL345" s="412">
        <f>IFERROR(__xludf.DUMMYFUNCTION("""COMPUTED_VALUE"""),14.4)</f>
        <v>14.4</v>
      </c>
      <c r="BM345" s="412">
        <f>IFERROR(__xludf.DUMMYFUNCTION("""COMPUTED_VALUE"""),19.4)</f>
        <v>19.4</v>
      </c>
      <c r="BN345" s="412">
        <f>IFERROR(__xludf.DUMMYFUNCTION("""COMPUTED_VALUE"""),24.0)</f>
        <v>24</v>
      </c>
      <c r="BO345" s="413">
        <f>IFERROR(__xludf.DUMMYFUNCTION("""COMPUTED_VALUE"""),29.0)</f>
        <v>29</v>
      </c>
    </row>
    <row r="346">
      <c r="A346" s="435" t="str">
        <f>IFERROR(__xludf.DUMMYFUNCTION("""COMPUTED_VALUE"""),"攻撃力Down(青)")</f>
        <v>攻撃力Down(青)</v>
      </c>
      <c r="B346" s="385" t="str">
        <f>IFERROR(__xludf.DUMMYFUNCTION("""COMPUTED_VALUE"""),"超瞬間型")</f>
        <v>超瞬間型</v>
      </c>
      <c r="C346" s="386">
        <f>IFERROR(__xludf.DUMMYFUNCTION("""COMPUTED_VALUE"""),4.0)</f>
        <v>4</v>
      </c>
      <c r="D346" s="387" t="str">
        <f>IFERROR(__xludf.DUMMYFUNCTION("""COMPUTED_VALUE"""),"効果時間")</f>
        <v>効果時間</v>
      </c>
      <c r="E346" s="388" t="str">
        <f>IFERROR(__xludf.DUMMYFUNCTION("""COMPUTED_VALUE"""),"-")</f>
        <v>-</v>
      </c>
      <c r="F346" s="389" t="str">
        <f>IFERROR(__xludf.DUMMYFUNCTION("""COMPUTED_VALUE"""),"-")</f>
        <v>-</v>
      </c>
      <c r="G346" s="388" t="str">
        <f>IFERROR(__xludf.DUMMYFUNCTION("""COMPUTED_VALUE"""),"-")</f>
        <v>-</v>
      </c>
      <c r="H346" s="389" t="str">
        <f>IFERROR(__xludf.DUMMYFUNCTION("""COMPUTED_VALUE"""),"-")</f>
        <v>-</v>
      </c>
      <c r="I346" s="388" t="str">
        <f>IFERROR(__xludf.DUMMYFUNCTION("""COMPUTED_VALUE"""),"-")</f>
        <v>-</v>
      </c>
      <c r="J346" s="390">
        <f>IFERROR(__xludf.DUMMYFUNCTION("""COMPUTED_VALUE"""),155.0)</f>
        <v>155</v>
      </c>
      <c r="K346" s="391">
        <f>IFERROR(__xludf.DUMMYFUNCTION("""COMPUTED_VALUE"""),170.0)</f>
        <v>170</v>
      </c>
      <c r="L346" s="340">
        <f>IFERROR(__xludf.DUMMYFUNCTION("""COMPUTED_VALUE"""),195.0)</f>
        <v>195</v>
      </c>
      <c r="M346" s="385" t="str">
        <f>IFERROR(__xludf.DUMMYFUNCTION("""COMPUTED_VALUE"""),"瞬間型")</f>
        <v>瞬間型</v>
      </c>
      <c r="N346" s="386">
        <f>IFERROR(__xludf.DUMMYFUNCTION("""COMPUTED_VALUE"""),4.0)</f>
        <v>4</v>
      </c>
      <c r="O346" s="387" t="str">
        <f>IFERROR(__xludf.DUMMYFUNCTION("""COMPUTED_VALUE"""),"効果時間")</f>
        <v>効果時間</v>
      </c>
      <c r="P346" s="280">
        <f>IFERROR(__xludf.DUMMYFUNCTION("""COMPUTED_VALUE"""),170.0)</f>
        <v>170</v>
      </c>
      <c r="Q346" s="275">
        <f>IFERROR(__xludf.DUMMYFUNCTION("""COMPUTED_VALUE"""),180.0)</f>
        <v>180</v>
      </c>
      <c r="R346" s="280">
        <f>IFERROR(__xludf.DUMMYFUNCTION("""COMPUTED_VALUE"""),185.0)</f>
        <v>185</v>
      </c>
      <c r="S346" s="275">
        <f>IFERROR(__xludf.DUMMYFUNCTION("""COMPUTED_VALUE"""),195.0)</f>
        <v>195</v>
      </c>
      <c r="T346" s="280">
        <f>IFERROR(__xludf.DUMMYFUNCTION("""COMPUTED_VALUE"""),200.0)</f>
        <v>200</v>
      </c>
      <c r="U346" s="280">
        <f>IFERROR(__xludf.DUMMYFUNCTION("""COMPUTED_VALUE"""),215.0)</f>
        <v>215</v>
      </c>
      <c r="V346" s="280">
        <f>IFERROR(__xludf.DUMMYFUNCTION("""COMPUTED_VALUE"""),285.0)</f>
        <v>285</v>
      </c>
      <c r="W346" s="280">
        <f>IFERROR(__xludf.DUMMYFUNCTION("""COMPUTED_VALUE"""),305.0)</f>
        <v>305</v>
      </c>
      <c r="X346" s="385" t="str">
        <f>IFERROR(__xludf.DUMMYFUNCTION("""COMPUTED_VALUE"""),"安定型")</f>
        <v>安定型</v>
      </c>
      <c r="Y346" s="386">
        <f>IFERROR(__xludf.DUMMYFUNCTION("""COMPUTED_VALUE"""),4.0)</f>
        <v>4</v>
      </c>
      <c r="Z346" s="387" t="str">
        <f>IFERROR(__xludf.DUMMYFUNCTION("""COMPUTED_VALUE"""),"効果時間")</f>
        <v>効果時間</v>
      </c>
      <c r="AA346" s="280">
        <f>IFERROR(__xludf.DUMMYFUNCTION("""COMPUTED_VALUE"""),320.0)</f>
        <v>320</v>
      </c>
      <c r="AB346" s="275">
        <f>IFERROR(__xludf.DUMMYFUNCTION("""COMPUTED_VALUE"""),330.0)</f>
        <v>330</v>
      </c>
      <c r="AC346" s="280">
        <f>IFERROR(__xludf.DUMMYFUNCTION("""COMPUTED_VALUE"""),335.0)</f>
        <v>335</v>
      </c>
      <c r="AD346" s="275">
        <f>IFERROR(__xludf.DUMMYFUNCTION("""COMPUTED_VALUE"""),345.0)</f>
        <v>345</v>
      </c>
      <c r="AE346" s="280">
        <f>IFERROR(__xludf.DUMMYFUNCTION("""COMPUTED_VALUE"""),350.0)</f>
        <v>350</v>
      </c>
      <c r="AF346" s="280">
        <f>IFERROR(__xludf.DUMMYFUNCTION("""COMPUTED_VALUE"""),390.0)</f>
        <v>390</v>
      </c>
      <c r="AG346" s="280">
        <f>IFERROR(__xludf.DUMMYFUNCTION("""COMPUTED_VALUE"""),435.0)</f>
        <v>435</v>
      </c>
      <c r="AH346" s="280">
        <f>IFERROR(__xludf.DUMMYFUNCTION("""COMPUTED_VALUE"""),455.0)</f>
        <v>455</v>
      </c>
      <c r="AI346" s="385" t="str">
        <f>IFERROR(__xludf.DUMMYFUNCTION("""COMPUTED_VALUE"""),"持続型")</f>
        <v>持続型</v>
      </c>
      <c r="AJ346" s="386">
        <f>IFERROR(__xludf.DUMMYFUNCTION("""COMPUTED_VALUE"""),4.0)</f>
        <v>4</v>
      </c>
      <c r="AK346" s="387" t="str">
        <f>IFERROR(__xludf.DUMMYFUNCTION("""COMPUTED_VALUE"""),"効果時間")</f>
        <v>効果時間</v>
      </c>
      <c r="AL346" s="280">
        <f>IFERROR(__xludf.DUMMYFUNCTION("""COMPUTED_VALUE"""),470.0)</f>
        <v>470</v>
      </c>
      <c r="AM346" s="275">
        <f>IFERROR(__xludf.DUMMYFUNCTION("""COMPUTED_VALUE"""),480.0)</f>
        <v>480</v>
      </c>
      <c r="AN346" s="280">
        <f>IFERROR(__xludf.DUMMYFUNCTION("""COMPUTED_VALUE"""),485.0)</f>
        <v>485</v>
      </c>
      <c r="AO346" s="275">
        <f>IFERROR(__xludf.DUMMYFUNCTION("""COMPUTED_VALUE"""),495.0)</f>
        <v>495</v>
      </c>
      <c r="AP346" s="280">
        <f>IFERROR(__xludf.DUMMYFUNCTION("""COMPUTED_VALUE"""),500.0)</f>
        <v>500</v>
      </c>
      <c r="AQ346" s="280">
        <f>IFERROR(__xludf.DUMMYFUNCTION("""COMPUTED_VALUE"""),540.0)</f>
        <v>540</v>
      </c>
      <c r="AR346" s="280">
        <f>IFERROR(__xludf.DUMMYFUNCTION("""COMPUTED_VALUE"""),585.0)</f>
        <v>585</v>
      </c>
      <c r="AS346" s="280">
        <f>IFERROR(__xludf.DUMMYFUNCTION("""COMPUTED_VALUE"""),605.0)</f>
        <v>605</v>
      </c>
      <c r="AT346" s="385" t="str">
        <f>IFERROR(__xludf.DUMMYFUNCTION("""COMPUTED_VALUE"""),"超持続型")</f>
        <v>超持続型</v>
      </c>
      <c r="AU346" s="386">
        <f>IFERROR(__xludf.DUMMYFUNCTION("""COMPUTED_VALUE"""),4.0)</f>
        <v>4</v>
      </c>
      <c r="AV346" s="387" t="str">
        <f>IFERROR(__xludf.DUMMYFUNCTION("""COMPUTED_VALUE"""),"効果時間")</f>
        <v>効果時間</v>
      </c>
      <c r="AW346" s="368" t="str">
        <f>IFERROR(__xludf.DUMMYFUNCTION("""COMPUTED_VALUE"""),"-")</f>
        <v>-</v>
      </c>
      <c r="AX346" s="368" t="str">
        <f>IFERROR(__xludf.DUMMYFUNCTION("""COMPUTED_VALUE"""),"-")</f>
        <v>-</v>
      </c>
      <c r="AY346" s="368" t="str">
        <f>IFERROR(__xludf.DUMMYFUNCTION("""COMPUTED_VALUE"""),"-")</f>
        <v>-</v>
      </c>
      <c r="AZ346" s="368" t="str">
        <f>IFERROR(__xludf.DUMMYFUNCTION("""COMPUTED_VALUE"""),"-")</f>
        <v>-</v>
      </c>
      <c r="BA346" s="368" t="str">
        <f>IFERROR(__xludf.DUMMYFUNCTION("""COMPUTED_VALUE"""),"-")</f>
        <v>-</v>
      </c>
      <c r="BB346" s="280">
        <f>IFERROR(__xludf.DUMMYFUNCTION("""COMPUTED_VALUE"""),645.0)</f>
        <v>645</v>
      </c>
      <c r="BC346" s="280">
        <f>IFERROR(__xludf.DUMMYFUNCTION("""COMPUTED_VALUE"""),735.0)</f>
        <v>735</v>
      </c>
      <c r="BD346" s="280">
        <f>IFERROR(__xludf.DUMMYFUNCTION("""COMPUTED_VALUE"""),755.0)</f>
        <v>755</v>
      </c>
      <c r="BE346" s="385" t="str">
        <f>IFERROR(__xludf.DUMMYFUNCTION("""COMPUTED_VALUE"""),"ハイブリッド型")</f>
        <v>ハイブリッド型</v>
      </c>
      <c r="BF346" s="386">
        <f>IFERROR(__xludf.DUMMYFUNCTION("""COMPUTED_VALUE"""),4.0)</f>
        <v>4</v>
      </c>
      <c r="BG346" s="387" t="str">
        <f>IFERROR(__xludf.DUMMYFUNCTION("""COMPUTED_VALUE"""),"効果時間")</f>
        <v>効果時間</v>
      </c>
      <c r="BH346" s="417">
        <f>IFERROR(__xludf.DUMMYFUNCTION("""COMPUTED_VALUE"""),240.0)</f>
        <v>240</v>
      </c>
      <c r="BI346" s="417">
        <f>IFERROR(__xludf.DUMMYFUNCTION("""COMPUTED_VALUE"""),255.0)</f>
        <v>255</v>
      </c>
      <c r="BJ346" s="417">
        <f>IFERROR(__xludf.DUMMYFUNCTION("""COMPUTED_VALUE"""),265.0)</f>
        <v>265</v>
      </c>
      <c r="BK346" s="418">
        <f>IFERROR(__xludf.DUMMYFUNCTION("""COMPUTED_VALUE"""),275.0)</f>
        <v>275</v>
      </c>
      <c r="BL346" s="417">
        <f>IFERROR(__xludf.DUMMYFUNCTION("""COMPUTED_VALUE"""),285.0)</f>
        <v>285</v>
      </c>
      <c r="BM346" s="418">
        <f>IFERROR(__xludf.DUMMYFUNCTION("""COMPUTED_VALUE"""),395.0)</f>
        <v>395</v>
      </c>
      <c r="BN346" s="417">
        <f>IFERROR(__xludf.DUMMYFUNCTION("""COMPUTED_VALUE"""),500.0)</f>
        <v>500</v>
      </c>
      <c r="BO346" s="418">
        <f>IFERROR(__xludf.DUMMYFUNCTION("""COMPUTED_VALUE"""),520.0)</f>
        <v>520</v>
      </c>
    </row>
    <row r="347">
      <c r="A347" s="435" t="str">
        <f>IFERROR(__xludf.DUMMYFUNCTION("""COMPUTED_VALUE"""),"攻撃力Down(青)")</f>
        <v>攻撃力Down(青)</v>
      </c>
      <c r="B347" s="385" t="str">
        <f>IFERROR(__xludf.DUMMYFUNCTION("""COMPUTED_VALUE"""),"超瞬間型")</f>
        <v>超瞬間型</v>
      </c>
      <c r="C347" s="399">
        <f>IFERROR(__xludf.DUMMYFUNCTION("""COMPUTED_VALUE"""),5.0)</f>
        <v>5</v>
      </c>
      <c r="D347" s="400" t="str">
        <f>IFERROR(__xludf.DUMMYFUNCTION("""COMPUTED_VALUE"""),"効果値")</f>
        <v>効果値</v>
      </c>
      <c r="E347" s="419" t="str">
        <f>IFERROR(__xludf.DUMMYFUNCTION("""COMPUTED_VALUE"""),"-")</f>
        <v>-</v>
      </c>
      <c r="F347" s="409" t="str">
        <f>IFERROR(__xludf.DUMMYFUNCTION("""COMPUTED_VALUE"""),"-")</f>
        <v>-</v>
      </c>
      <c r="G347" s="409" t="str">
        <f>IFERROR(__xludf.DUMMYFUNCTION("""COMPUTED_VALUE"""),"-")</f>
        <v>-</v>
      </c>
      <c r="H347" s="409" t="str">
        <f>IFERROR(__xludf.DUMMYFUNCTION("""COMPUTED_VALUE"""),"-")</f>
        <v>-</v>
      </c>
      <c r="I347" s="409" t="str">
        <f>IFERROR(__xludf.DUMMYFUNCTION("""COMPUTED_VALUE"""),"-")</f>
        <v>-</v>
      </c>
      <c r="J347" s="420">
        <f>IFERROR(__xludf.DUMMYFUNCTION("""COMPUTED_VALUE"""),60.0)</f>
        <v>60</v>
      </c>
      <c r="K347" s="421">
        <f>IFERROR(__xludf.DUMMYFUNCTION("""COMPUTED_VALUE"""),70.0)</f>
        <v>70</v>
      </c>
      <c r="L347" s="421">
        <f>IFERROR(__xludf.DUMMYFUNCTION("""COMPUTED_VALUE"""),75.0)</f>
        <v>75</v>
      </c>
      <c r="M347" s="385" t="str">
        <f>IFERROR(__xludf.DUMMYFUNCTION("""COMPUTED_VALUE"""),"瞬間型")</f>
        <v>瞬間型</v>
      </c>
      <c r="N347" s="399">
        <f>IFERROR(__xludf.DUMMYFUNCTION("""COMPUTED_VALUE"""),5.0)</f>
        <v>5</v>
      </c>
      <c r="O347" s="400" t="str">
        <f>IFERROR(__xludf.DUMMYFUNCTION("""COMPUTED_VALUE"""),"効果値")</f>
        <v>効果値</v>
      </c>
      <c r="P347" s="422">
        <f>IFERROR(__xludf.DUMMYFUNCTION("""COMPUTED_VALUE"""),23.0)</f>
        <v>23</v>
      </c>
      <c r="Q347" s="423">
        <f>IFERROR(__xludf.DUMMYFUNCTION("""COMPUTED_VALUE"""),23.0)</f>
        <v>23</v>
      </c>
      <c r="R347" s="422">
        <f>IFERROR(__xludf.DUMMYFUNCTION("""COMPUTED_VALUE"""),24.0)</f>
        <v>24</v>
      </c>
      <c r="S347" s="423">
        <f>IFERROR(__xludf.DUMMYFUNCTION("""COMPUTED_VALUE"""),24.0)</f>
        <v>24</v>
      </c>
      <c r="T347" s="422">
        <f>IFERROR(__xludf.DUMMYFUNCTION("""COMPUTED_VALUE"""),24.0)</f>
        <v>24</v>
      </c>
      <c r="U347" s="423">
        <f>IFERROR(__xludf.DUMMYFUNCTION("""COMPUTED_VALUE"""),30.0)</f>
        <v>30</v>
      </c>
      <c r="V347" s="423">
        <f>IFERROR(__xludf.DUMMYFUNCTION("""COMPUTED_VALUE"""),35.0)</f>
        <v>35</v>
      </c>
      <c r="W347" s="424">
        <f>IFERROR(__xludf.DUMMYFUNCTION("""COMPUTED_VALUE"""),40.0)</f>
        <v>40</v>
      </c>
      <c r="X347" s="385" t="str">
        <f>IFERROR(__xludf.DUMMYFUNCTION("""COMPUTED_VALUE"""),"安定型")</f>
        <v>安定型</v>
      </c>
      <c r="Y347" s="399">
        <f>IFERROR(__xludf.DUMMYFUNCTION("""COMPUTED_VALUE"""),5.0)</f>
        <v>5</v>
      </c>
      <c r="Z347" s="400" t="str">
        <f>IFERROR(__xludf.DUMMYFUNCTION("""COMPUTED_VALUE"""),"効果値")</f>
        <v>効果値</v>
      </c>
      <c r="AA347" s="422">
        <f>IFERROR(__xludf.DUMMYFUNCTION("""COMPUTED_VALUE"""),13.0)</f>
        <v>13</v>
      </c>
      <c r="AB347" s="423">
        <f>IFERROR(__xludf.DUMMYFUNCTION("""COMPUTED_VALUE"""),13.0)</f>
        <v>13</v>
      </c>
      <c r="AC347" s="422">
        <f>IFERROR(__xludf.DUMMYFUNCTION("""COMPUTED_VALUE"""),14.0)</f>
        <v>14</v>
      </c>
      <c r="AD347" s="423">
        <f>IFERROR(__xludf.DUMMYFUNCTION("""COMPUTED_VALUE"""),14.0)</f>
        <v>14</v>
      </c>
      <c r="AE347" s="422">
        <f>IFERROR(__xludf.DUMMYFUNCTION("""COMPUTED_VALUE"""),14.0)</f>
        <v>14</v>
      </c>
      <c r="AF347" s="423">
        <f>IFERROR(__xludf.DUMMYFUNCTION("""COMPUTED_VALUE"""),15.0)</f>
        <v>15</v>
      </c>
      <c r="AG347" s="423">
        <f>IFERROR(__xludf.DUMMYFUNCTION("""COMPUTED_VALUE"""),20.0)</f>
        <v>20</v>
      </c>
      <c r="AH347" s="424">
        <f>IFERROR(__xludf.DUMMYFUNCTION("""COMPUTED_VALUE"""),25.0)</f>
        <v>25</v>
      </c>
      <c r="AI347" s="385" t="str">
        <f>IFERROR(__xludf.DUMMYFUNCTION("""COMPUTED_VALUE"""),"持続型")</f>
        <v>持続型</v>
      </c>
      <c r="AJ347" s="399">
        <f>IFERROR(__xludf.DUMMYFUNCTION("""COMPUTED_VALUE"""),5.0)</f>
        <v>5</v>
      </c>
      <c r="AK347" s="400" t="str">
        <f>IFERROR(__xludf.DUMMYFUNCTION("""COMPUTED_VALUE"""),"効果値")</f>
        <v>効果値</v>
      </c>
      <c r="AL347" s="422">
        <f>IFERROR(__xludf.DUMMYFUNCTION("""COMPUTED_VALUE"""),8.0)</f>
        <v>8</v>
      </c>
      <c r="AM347" s="423">
        <f>IFERROR(__xludf.DUMMYFUNCTION("""COMPUTED_VALUE"""),8.0)</f>
        <v>8</v>
      </c>
      <c r="AN347" s="422">
        <f>IFERROR(__xludf.DUMMYFUNCTION("""COMPUTED_VALUE"""),9.0)</f>
        <v>9</v>
      </c>
      <c r="AO347" s="423">
        <f>IFERROR(__xludf.DUMMYFUNCTION("""COMPUTED_VALUE"""),9.0)</f>
        <v>9</v>
      </c>
      <c r="AP347" s="422">
        <f>IFERROR(__xludf.DUMMYFUNCTION("""COMPUTED_VALUE"""),9.0)</f>
        <v>9</v>
      </c>
      <c r="AQ347" s="423">
        <f>IFERROR(__xludf.DUMMYFUNCTION("""COMPUTED_VALUE"""),10.0)</f>
        <v>10</v>
      </c>
      <c r="AR347" s="423">
        <f>IFERROR(__xludf.DUMMYFUNCTION("""COMPUTED_VALUE"""),12.0)</f>
        <v>12</v>
      </c>
      <c r="AS347" s="424">
        <f>IFERROR(__xludf.DUMMYFUNCTION("""COMPUTED_VALUE"""),12.0)</f>
        <v>12</v>
      </c>
      <c r="AT347" s="385" t="str">
        <f>IFERROR(__xludf.DUMMYFUNCTION("""COMPUTED_VALUE"""),"超持続型")</f>
        <v>超持続型</v>
      </c>
      <c r="AU347" s="399">
        <f>IFERROR(__xludf.DUMMYFUNCTION("""COMPUTED_VALUE"""),5.0)</f>
        <v>5</v>
      </c>
      <c r="AV347" s="400" t="str">
        <f>IFERROR(__xludf.DUMMYFUNCTION("""COMPUTED_VALUE"""),"効果値")</f>
        <v>効果値</v>
      </c>
      <c r="AW347" s="425" t="str">
        <f>IFERROR(__xludf.DUMMYFUNCTION("""COMPUTED_VALUE"""),"-")</f>
        <v>-</v>
      </c>
      <c r="AX347" s="426" t="str">
        <f>IFERROR(__xludf.DUMMYFUNCTION("""COMPUTED_VALUE"""),"-")</f>
        <v>-</v>
      </c>
      <c r="AY347" s="426" t="str">
        <f>IFERROR(__xludf.DUMMYFUNCTION("""COMPUTED_VALUE"""),"-")</f>
        <v>-</v>
      </c>
      <c r="AZ347" s="426" t="str">
        <f>IFERROR(__xludf.DUMMYFUNCTION("""COMPUTED_VALUE"""),"-")</f>
        <v>-</v>
      </c>
      <c r="BA347" s="426" t="str">
        <f>IFERROR(__xludf.DUMMYFUNCTION("""COMPUTED_VALUE"""),"-")</f>
        <v>-</v>
      </c>
      <c r="BB347" s="423">
        <f>IFERROR(__xludf.DUMMYFUNCTION("""COMPUTED_VALUE"""),10.0)</f>
        <v>10</v>
      </c>
      <c r="BC347" s="423">
        <f>IFERROR(__xludf.DUMMYFUNCTION("""COMPUTED_VALUE"""),12.0)</f>
        <v>12</v>
      </c>
      <c r="BD347" s="424">
        <f>IFERROR(__xludf.DUMMYFUNCTION("""COMPUTED_VALUE"""),12.0)</f>
        <v>12</v>
      </c>
      <c r="BE347" s="385" t="str">
        <f>IFERROR(__xludf.DUMMYFUNCTION("""COMPUTED_VALUE"""),"ハイブリッド型")</f>
        <v>ハイブリッド型</v>
      </c>
      <c r="BF347" s="399">
        <f>IFERROR(__xludf.DUMMYFUNCTION("""COMPUTED_VALUE"""),5.0)</f>
        <v>5</v>
      </c>
      <c r="BG347" s="400" t="str">
        <f>IFERROR(__xludf.DUMMYFUNCTION("""COMPUTED_VALUE"""),"効果値")</f>
        <v>効果値</v>
      </c>
      <c r="BH347" s="427">
        <f>IFERROR(__xludf.DUMMYFUNCTION("""COMPUTED_VALUE"""),12.0)</f>
        <v>12</v>
      </c>
      <c r="BI347" s="428">
        <f>IFERROR(__xludf.DUMMYFUNCTION("""COMPUTED_VALUE"""),12.75)</f>
        <v>12.75</v>
      </c>
      <c r="BJ347" s="428">
        <f>IFERROR(__xludf.DUMMYFUNCTION("""COMPUTED_VALUE"""),13.5)</f>
        <v>13.5</v>
      </c>
      <c r="BK347" s="428">
        <f>IFERROR(__xludf.DUMMYFUNCTION("""COMPUTED_VALUE"""),14.25)</f>
        <v>14.25</v>
      </c>
      <c r="BL347" s="427">
        <f>IFERROR(__xludf.DUMMYFUNCTION("""COMPUTED_VALUE"""),15.0)</f>
        <v>15</v>
      </c>
      <c r="BM347" s="427">
        <f>IFERROR(__xludf.DUMMYFUNCTION("""COMPUTED_VALUE"""),20.0)</f>
        <v>20</v>
      </c>
      <c r="BN347" s="427">
        <f>IFERROR(__xludf.DUMMYFUNCTION("""COMPUTED_VALUE"""),25.0)</f>
        <v>25</v>
      </c>
      <c r="BO347" s="429">
        <f>IFERROR(__xludf.DUMMYFUNCTION("""COMPUTED_VALUE"""),30.0)</f>
        <v>30</v>
      </c>
    </row>
    <row r="348">
      <c r="A348" s="435" t="str">
        <f>IFERROR(__xludf.DUMMYFUNCTION("""COMPUTED_VALUE"""),"攻撃力Down(青)")</f>
        <v>攻撃力Down(青)</v>
      </c>
      <c r="B348" s="385" t="str">
        <f>IFERROR(__xludf.DUMMYFUNCTION("""COMPUTED_VALUE"""),"超瞬間型")</f>
        <v>超瞬間型</v>
      </c>
      <c r="C348" s="430">
        <f>IFERROR(__xludf.DUMMYFUNCTION("""COMPUTED_VALUE"""),5.0)</f>
        <v>5</v>
      </c>
      <c r="D348" s="431" t="str">
        <f>IFERROR(__xludf.DUMMYFUNCTION("""COMPUTED_VALUE"""),"効果時間")</f>
        <v>効果時間</v>
      </c>
      <c r="E348" s="388" t="str">
        <f>IFERROR(__xludf.DUMMYFUNCTION("""COMPUTED_VALUE"""),"-")</f>
        <v>-</v>
      </c>
      <c r="F348" s="389" t="str">
        <f>IFERROR(__xludf.DUMMYFUNCTION("""COMPUTED_VALUE"""),"-")</f>
        <v>-</v>
      </c>
      <c r="G348" s="388" t="str">
        <f>IFERROR(__xludf.DUMMYFUNCTION("""COMPUTED_VALUE"""),"-")</f>
        <v>-</v>
      </c>
      <c r="H348" s="389" t="str">
        <f>IFERROR(__xludf.DUMMYFUNCTION("""COMPUTED_VALUE"""),"-")</f>
        <v>-</v>
      </c>
      <c r="I348" s="388" t="str">
        <f>IFERROR(__xludf.DUMMYFUNCTION("""COMPUTED_VALUE"""),"-")</f>
        <v>-</v>
      </c>
      <c r="J348" s="390">
        <f>IFERROR(__xludf.DUMMYFUNCTION("""COMPUTED_VALUE"""),160.0)</f>
        <v>160</v>
      </c>
      <c r="K348" s="391">
        <f>IFERROR(__xludf.DUMMYFUNCTION("""COMPUTED_VALUE"""),175.0)</f>
        <v>175</v>
      </c>
      <c r="L348" s="340">
        <f>IFERROR(__xludf.DUMMYFUNCTION("""COMPUTED_VALUE"""),200.0)</f>
        <v>200</v>
      </c>
      <c r="M348" s="385" t="str">
        <f>IFERROR(__xludf.DUMMYFUNCTION("""COMPUTED_VALUE"""),"瞬間型")</f>
        <v>瞬間型</v>
      </c>
      <c r="N348" s="430">
        <f>IFERROR(__xludf.DUMMYFUNCTION("""COMPUTED_VALUE"""),5.0)</f>
        <v>5</v>
      </c>
      <c r="O348" s="431" t="str">
        <f>IFERROR(__xludf.DUMMYFUNCTION("""COMPUTED_VALUE"""),"効果時間")</f>
        <v>効果時間</v>
      </c>
      <c r="P348" s="392">
        <f>IFERROR(__xludf.DUMMYFUNCTION("""COMPUTED_VALUE"""),175.0)</f>
        <v>175</v>
      </c>
      <c r="Q348" s="414">
        <f>IFERROR(__xludf.DUMMYFUNCTION("""COMPUTED_VALUE"""),185.0)</f>
        <v>185</v>
      </c>
      <c r="R348" s="414">
        <f>IFERROR(__xludf.DUMMYFUNCTION("""COMPUTED_VALUE"""),190.0)</f>
        <v>190</v>
      </c>
      <c r="S348" s="414">
        <f>IFERROR(__xludf.DUMMYFUNCTION("""COMPUTED_VALUE"""),195.0)</f>
        <v>195</v>
      </c>
      <c r="T348" s="394">
        <f>IFERROR(__xludf.DUMMYFUNCTION("""COMPUTED_VALUE"""),200.0)</f>
        <v>200</v>
      </c>
      <c r="U348" s="394">
        <f>IFERROR(__xludf.DUMMYFUNCTION("""COMPUTED_VALUE"""),225.0)</f>
        <v>225</v>
      </c>
      <c r="V348" s="394">
        <f>IFERROR(__xludf.DUMMYFUNCTION("""COMPUTED_VALUE"""),300.0)</f>
        <v>300</v>
      </c>
      <c r="W348" s="394">
        <f>IFERROR(__xludf.DUMMYFUNCTION("""COMPUTED_VALUE"""),325.0)</f>
        <v>325</v>
      </c>
      <c r="X348" s="385" t="str">
        <f>IFERROR(__xludf.DUMMYFUNCTION("""COMPUTED_VALUE"""),"安定型")</f>
        <v>安定型</v>
      </c>
      <c r="Y348" s="430">
        <f>IFERROR(__xludf.DUMMYFUNCTION("""COMPUTED_VALUE"""),5.0)</f>
        <v>5</v>
      </c>
      <c r="Z348" s="431" t="str">
        <f>IFERROR(__xludf.DUMMYFUNCTION("""COMPUTED_VALUE"""),"効果時間")</f>
        <v>効果時間</v>
      </c>
      <c r="AA348" s="392">
        <f>IFERROR(__xludf.DUMMYFUNCTION("""COMPUTED_VALUE"""),325.0)</f>
        <v>325</v>
      </c>
      <c r="AB348" s="414">
        <f>IFERROR(__xludf.DUMMYFUNCTION("""COMPUTED_VALUE"""),335.0)</f>
        <v>335</v>
      </c>
      <c r="AC348" s="414">
        <f>IFERROR(__xludf.DUMMYFUNCTION("""COMPUTED_VALUE"""),340.0)</f>
        <v>340</v>
      </c>
      <c r="AD348" s="414">
        <f>IFERROR(__xludf.DUMMYFUNCTION("""COMPUTED_VALUE"""),345.0)</f>
        <v>345</v>
      </c>
      <c r="AE348" s="394">
        <f>IFERROR(__xludf.DUMMYFUNCTION("""COMPUTED_VALUE"""),350.0)</f>
        <v>350</v>
      </c>
      <c r="AF348" s="394">
        <f>IFERROR(__xludf.DUMMYFUNCTION("""COMPUTED_VALUE"""),400.0)</f>
        <v>400</v>
      </c>
      <c r="AG348" s="394">
        <f>IFERROR(__xludf.DUMMYFUNCTION("""COMPUTED_VALUE"""),450.0)</f>
        <v>450</v>
      </c>
      <c r="AH348" s="394">
        <f>IFERROR(__xludf.DUMMYFUNCTION("""COMPUTED_VALUE"""),475.0)</f>
        <v>475</v>
      </c>
      <c r="AI348" s="385" t="str">
        <f>IFERROR(__xludf.DUMMYFUNCTION("""COMPUTED_VALUE"""),"持続型")</f>
        <v>持続型</v>
      </c>
      <c r="AJ348" s="430">
        <f>IFERROR(__xludf.DUMMYFUNCTION("""COMPUTED_VALUE"""),5.0)</f>
        <v>5</v>
      </c>
      <c r="AK348" s="431" t="str">
        <f>IFERROR(__xludf.DUMMYFUNCTION("""COMPUTED_VALUE"""),"効果時間")</f>
        <v>効果時間</v>
      </c>
      <c r="AL348" s="392">
        <f>IFERROR(__xludf.DUMMYFUNCTION("""COMPUTED_VALUE"""),475.0)</f>
        <v>475</v>
      </c>
      <c r="AM348" s="414">
        <f>IFERROR(__xludf.DUMMYFUNCTION("""COMPUTED_VALUE"""),485.0)</f>
        <v>485</v>
      </c>
      <c r="AN348" s="414">
        <f>IFERROR(__xludf.DUMMYFUNCTION("""COMPUTED_VALUE"""),490.0)</f>
        <v>490</v>
      </c>
      <c r="AO348" s="414">
        <f>IFERROR(__xludf.DUMMYFUNCTION("""COMPUTED_VALUE"""),495.0)</f>
        <v>495</v>
      </c>
      <c r="AP348" s="394">
        <f>IFERROR(__xludf.DUMMYFUNCTION("""COMPUTED_VALUE"""),500.0)</f>
        <v>500</v>
      </c>
      <c r="AQ348" s="394">
        <f>IFERROR(__xludf.DUMMYFUNCTION("""COMPUTED_VALUE"""),550.0)</f>
        <v>550</v>
      </c>
      <c r="AR348" s="394">
        <f>IFERROR(__xludf.DUMMYFUNCTION("""COMPUTED_VALUE"""),600.0)</f>
        <v>600</v>
      </c>
      <c r="AS348" s="394">
        <f>IFERROR(__xludf.DUMMYFUNCTION("""COMPUTED_VALUE"""),625.0)</f>
        <v>625</v>
      </c>
      <c r="AT348" s="385" t="str">
        <f>IFERROR(__xludf.DUMMYFUNCTION("""COMPUTED_VALUE"""),"超持続型")</f>
        <v>超持続型</v>
      </c>
      <c r="AU348" s="430">
        <f>IFERROR(__xludf.DUMMYFUNCTION("""COMPUTED_VALUE"""),5.0)</f>
        <v>5</v>
      </c>
      <c r="AV348" s="431" t="str">
        <f>IFERROR(__xludf.DUMMYFUNCTION("""COMPUTED_VALUE"""),"効果時間")</f>
        <v>効果時間</v>
      </c>
      <c r="AW348" s="395" t="str">
        <f>IFERROR(__xludf.DUMMYFUNCTION("""COMPUTED_VALUE"""),"-")</f>
        <v>-</v>
      </c>
      <c r="AX348" s="396" t="str">
        <f>IFERROR(__xludf.DUMMYFUNCTION("""COMPUTED_VALUE"""),"-")</f>
        <v>-</v>
      </c>
      <c r="AY348" s="396" t="str">
        <f>IFERROR(__xludf.DUMMYFUNCTION("""COMPUTED_VALUE"""),"-")</f>
        <v>-</v>
      </c>
      <c r="AZ348" s="396" t="str">
        <f>IFERROR(__xludf.DUMMYFUNCTION("""COMPUTED_VALUE"""),"-")</f>
        <v>-</v>
      </c>
      <c r="BA348" s="396" t="str">
        <f>IFERROR(__xludf.DUMMYFUNCTION("""COMPUTED_VALUE"""),"-")</f>
        <v>-</v>
      </c>
      <c r="BB348" s="393">
        <f>IFERROR(__xludf.DUMMYFUNCTION("""COMPUTED_VALUE"""),650.0)</f>
        <v>650</v>
      </c>
      <c r="BC348" s="393">
        <f>IFERROR(__xludf.DUMMYFUNCTION("""COMPUTED_VALUE"""),750.0)</f>
        <v>750</v>
      </c>
      <c r="BD348" s="394">
        <f>IFERROR(__xludf.DUMMYFUNCTION("""COMPUTED_VALUE"""),775.0)</f>
        <v>775</v>
      </c>
      <c r="BE348" s="385" t="str">
        <f>IFERROR(__xludf.DUMMYFUNCTION("""COMPUTED_VALUE"""),"ハイブリッド型")</f>
        <v>ハイブリッド型</v>
      </c>
      <c r="BF348" s="430">
        <f>IFERROR(__xludf.DUMMYFUNCTION("""COMPUTED_VALUE"""),5.0)</f>
        <v>5</v>
      </c>
      <c r="BG348" s="431" t="str">
        <f>IFERROR(__xludf.DUMMYFUNCTION("""COMPUTED_VALUE"""),"効果時間")</f>
        <v>効果時間</v>
      </c>
      <c r="BH348" s="304">
        <f>IFERROR(__xludf.DUMMYFUNCTION("""COMPUTED_VALUE"""),250.0)</f>
        <v>250</v>
      </c>
      <c r="BI348" s="432">
        <f>IFERROR(__xludf.DUMMYFUNCTION("""COMPUTED_VALUE"""),265.0)</f>
        <v>265</v>
      </c>
      <c r="BJ348" s="432">
        <f>IFERROR(__xludf.DUMMYFUNCTION("""COMPUTED_VALUE"""),275.0)</f>
        <v>275</v>
      </c>
      <c r="BK348" s="432">
        <f>IFERROR(__xludf.DUMMYFUNCTION("""COMPUTED_VALUE"""),290.0)</f>
        <v>290</v>
      </c>
      <c r="BL348" s="304">
        <f>IFERROR(__xludf.DUMMYFUNCTION("""COMPUTED_VALUE"""),300.0)</f>
        <v>300</v>
      </c>
      <c r="BM348" s="304">
        <f>IFERROR(__xludf.DUMMYFUNCTION("""COMPUTED_VALUE"""),400.0)</f>
        <v>400</v>
      </c>
      <c r="BN348" s="304">
        <f>IFERROR(__xludf.DUMMYFUNCTION("""COMPUTED_VALUE"""),500.0)</f>
        <v>500</v>
      </c>
      <c r="BO348" s="304">
        <f>IFERROR(__xludf.DUMMYFUNCTION("""COMPUTED_VALUE"""),525.0)</f>
        <v>525</v>
      </c>
    </row>
    <row r="349">
      <c r="A349" s="433" t="str">
        <f>IFERROR(__xludf.DUMMYFUNCTION("""COMPUTED_VALUE"""),"攻撃力Down(緑)")</f>
        <v>攻撃力Down(緑)</v>
      </c>
      <c r="B349" s="374" t="str">
        <f>IFERROR(__xludf.DUMMYFUNCTION("""COMPUTED_VALUE"""),"超瞬間型")</f>
        <v>超瞬間型</v>
      </c>
      <c r="C349" s="375">
        <f>IFERROR(__xludf.DUMMYFUNCTION("""COMPUTED_VALUE"""),1.0)</f>
        <v>1</v>
      </c>
      <c r="D349" s="376" t="str">
        <f>IFERROR(__xludf.DUMMYFUNCTION("""COMPUTED_VALUE"""),"効果値")</f>
        <v>効果値</v>
      </c>
      <c r="E349" s="377" t="str">
        <f>IFERROR(__xludf.DUMMYFUNCTION("""COMPUTED_VALUE"""),"-")</f>
        <v>-</v>
      </c>
      <c r="F349" s="378" t="str">
        <f>IFERROR(__xludf.DUMMYFUNCTION("""COMPUTED_VALUE"""),"-")</f>
        <v>-</v>
      </c>
      <c r="G349" s="377" t="str">
        <f>IFERROR(__xludf.DUMMYFUNCTION("""COMPUTED_VALUE"""),"-")</f>
        <v>-</v>
      </c>
      <c r="H349" s="378" t="str">
        <f>IFERROR(__xludf.DUMMYFUNCTION("""COMPUTED_VALUE"""),"-")</f>
        <v>-</v>
      </c>
      <c r="I349" s="377" t="str">
        <f>IFERROR(__xludf.DUMMYFUNCTION("""COMPUTED_VALUE"""),"-")</f>
        <v>-</v>
      </c>
      <c r="J349" s="379">
        <f>IFERROR(__xludf.DUMMYFUNCTION("""COMPUTED_VALUE"""),55.0)</f>
        <v>55</v>
      </c>
      <c r="K349" s="294">
        <f>IFERROR(__xludf.DUMMYFUNCTION("""COMPUTED_VALUE"""),65.0)</f>
        <v>65</v>
      </c>
      <c r="L349" s="294">
        <f>IFERROR(__xludf.DUMMYFUNCTION("""COMPUTED_VALUE"""),65.0)</f>
        <v>65</v>
      </c>
      <c r="M349" s="374" t="str">
        <f>IFERROR(__xludf.DUMMYFUNCTION("""COMPUTED_VALUE"""),"瞬間型")</f>
        <v>瞬間型</v>
      </c>
      <c r="N349" s="375">
        <f>IFERROR(__xludf.DUMMYFUNCTION("""COMPUTED_VALUE"""),1.0)</f>
        <v>1</v>
      </c>
      <c r="O349" s="376" t="str">
        <f>IFERROR(__xludf.DUMMYFUNCTION("""COMPUTED_VALUE"""),"効果値")</f>
        <v>効果値</v>
      </c>
      <c r="P349" s="380">
        <f>IFERROR(__xludf.DUMMYFUNCTION("""COMPUTED_VALUE"""),20.0)</f>
        <v>20</v>
      </c>
      <c r="Q349" s="263">
        <f>IFERROR(__xludf.DUMMYFUNCTION("""COMPUTED_VALUE"""),20.0)</f>
        <v>20</v>
      </c>
      <c r="R349" s="263">
        <f>IFERROR(__xludf.DUMMYFUNCTION("""COMPUTED_VALUE"""),20.0)</f>
        <v>20</v>
      </c>
      <c r="S349" s="263">
        <f>IFERROR(__xludf.DUMMYFUNCTION("""COMPUTED_VALUE"""),20.0)</f>
        <v>20</v>
      </c>
      <c r="T349" s="263">
        <f>IFERROR(__xludf.DUMMYFUNCTION("""COMPUTED_VALUE"""),20.0)</f>
        <v>20</v>
      </c>
      <c r="U349" s="263">
        <f>IFERROR(__xludf.DUMMYFUNCTION("""COMPUTED_VALUE"""),25.0)</f>
        <v>25</v>
      </c>
      <c r="V349" s="266">
        <f>IFERROR(__xludf.DUMMYFUNCTION("""COMPUTED_VALUE"""),30.0)</f>
        <v>30</v>
      </c>
      <c r="W349" s="266">
        <f>IFERROR(__xludf.DUMMYFUNCTION("""COMPUTED_VALUE"""),30.0)</f>
        <v>30</v>
      </c>
      <c r="X349" s="374" t="str">
        <f>IFERROR(__xludf.DUMMYFUNCTION("""COMPUTED_VALUE"""),"安定型")</f>
        <v>安定型</v>
      </c>
      <c r="Y349" s="375">
        <f>IFERROR(__xludf.DUMMYFUNCTION("""COMPUTED_VALUE"""),1.0)</f>
        <v>1</v>
      </c>
      <c r="Z349" s="376" t="str">
        <f>IFERROR(__xludf.DUMMYFUNCTION("""COMPUTED_VALUE"""),"効果値")</f>
        <v>効果値</v>
      </c>
      <c r="AA349" s="380">
        <f>IFERROR(__xludf.DUMMYFUNCTION("""COMPUTED_VALUE"""),10.0)</f>
        <v>10</v>
      </c>
      <c r="AB349" s="263">
        <f>IFERROR(__xludf.DUMMYFUNCTION("""COMPUTED_VALUE"""),10.0)</f>
        <v>10</v>
      </c>
      <c r="AC349" s="263">
        <f>IFERROR(__xludf.DUMMYFUNCTION("""COMPUTED_VALUE"""),10.0)</f>
        <v>10</v>
      </c>
      <c r="AD349" s="263">
        <f>IFERROR(__xludf.DUMMYFUNCTION("""COMPUTED_VALUE"""),10.0)</f>
        <v>10</v>
      </c>
      <c r="AE349" s="263">
        <f>IFERROR(__xludf.DUMMYFUNCTION("""COMPUTED_VALUE"""),10.0)</f>
        <v>10</v>
      </c>
      <c r="AF349" s="263">
        <f>IFERROR(__xludf.DUMMYFUNCTION("""COMPUTED_VALUE"""),10.0)</f>
        <v>10</v>
      </c>
      <c r="AG349" s="266">
        <f>IFERROR(__xludf.DUMMYFUNCTION("""COMPUTED_VALUE"""),15.0)</f>
        <v>15</v>
      </c>
      <c r="AH349" s="266">
        <f>IFERROR(__xludf.DUMMYFUNCTION("""COMPUTED_VALUE"""),15.0)</f>
        <v>15</v>
      </c>
      <c r="AI349" s="374" t="str">
        <f>IFERROR(__xludf.DUMMYFUNCTION("""COMPUTED_VALUE"""),"持続型")</f>
        <v>持続型</v>
      </c>
      <c r="AJ349" s="375">
        <f>IFERROR(__xludf.DUMMYFUNCTION("""COMPUTED_VALUE"""),1.0)</f>
        <v>1</v>
      </c>
      <c r="AK349" s="376" t="str">
        <f>IFERROR(__xludf.DUMMYFUNCTION("""COMPUTED_VALUE"""),"効果値")</f>
        <v>効果値</v>
      </c>
      <c r="AL349" s="380">
        <f>IFERROR(__xludf.DUMMYFUNCTION("""COMPUTED_VALUE"""),5.0)</f>
        <v>5</v>
      </c>
      <c r="AM349" s="263">
        <f>IFERROR(__xludf.DUMMYFUNCTION("""COMPUTED_VALUE"""),5.0)</f>
        <v>5</v>
      </c>
      <c r="AN349" s="263">
        <f>IFERROR(__xludf.DUMMYFUNCTION("""COMPUTED_VALUE"""),5.0)</f>
        <v>5</v>
      </c>
      <c r="AO349" s="263">
        <f>IFERROR(__xludf.DUMMYFUNCTION("""COMPUTED_VALUE"""),5.0)</f>
        <v>5</v>
      </c>
      <c r="AP349" s="263">
        <f>IFERROR(__xludf.DUMMYFUNCTION("""COMPUTED_VALUE"""),5.0)</f>
        <v>5</v>
      </c>
      <c r="AQ349" s="263">
        <f>IFERROR(__xludf.DUMMYFUNCTION("""COMPUTED_VALUE"""),5.0)</f>
        <v>5</v>
      </c>
      <c r="AR349" s="266">
        <f>IFERROR(__xludf.DUMMYFUNCTION("""COMPUTED_VALUE"""),10.0)</f>
        <v>10</v>
      </c>
      <c r="AS349" s="266">
        <f>IFERROR(__xludf.DUMMYFUNCTION("""COMPUTED_VALUE"""),10.0)</f>
        <v>10</v>
      </c>
      <c r="AT349" s="374" t="str">
        <f>IFERROR(__xludf.DUMMYFUNCTION("""COMPUTED_VALUE"""),"超持続型")</f>
        <v>超持続型</v>
      </c>
      <c r="AU349" s="375">
        <f>IFERROR(__xludf.DUMMYFUNCTION("""COMPUTED_VALUE"""),1.0)</f>
        <v>1</v>
      </c>
      <c r="AV349" s="376" t="str">
        <f>IFERROR(__xludf.DUMMYFUNCTION("""COMPUTED_VALUE"""),"効果値")</f>
        <v>効果値</v>
      </c>
      <c r="AW349" s="350" t="str">
        <f>IFERROR(__xludf.DUMMYFUNCTION("""COMPUTED_VALUE"""),"-")</f>
        <v>-</v>
      </c>
      <c r="AX349" s="348" t="str">
        <f>IFERROR(__xludf.DUMMYFUNCTION("""COMPUTED_VALUE"""),"-")</f>
        <v>-</v>
      </c>
      <c r="AY349" s="348" t="str">
        <f>IFERROR(__xludf.DUMMYFUNCTION("""COMPUTED_VALUE"""),"-")</f>
        <v>-</v>
      </c>
      <c r="AZ349" s="348" t="str">
        <f>IFERROR(__xludf.DUMMYFUNCTION("""COMPUTED_VALUE"""),"-")</f>
        <v>-</v>
      </c>
      <c r="BA349" s="348" t="str">
        <f>IFERROR(__xludf.DUMMYFUNCTION("""COMPUTED_VALUE"""),"-")</f>
        <v>-</v>
      </c>
      <c r="BB349" s="263">
        <f>IFERROR(__xludf.DUMMYFUNCTION("""COMPUTED_VALUE"""),5.0)</f>
        <v>5</v>
      </c>
      <c r="BC349" s="266">
        <f>IFERROR(__xludf.DUMMYFUNCTION("""COMPUTED_VALUE"""),10.0)</f>
        <v>10</v>
      </c>
      <c r="BD349" s="266">
        <f>IFERROR(__xludf.DUMMYFUNCTION("""COMPUTED_VALUE"""),10.0)</f>
        <v>10</v>
      </c>
      <c r="BE349" s="374" t="str">
        <f>IFERROR(__xludf.DUMMYFUNCTION("""COMPUTED_VALUE"""),"ハイブリッド型")</f>
        <v>ハイブリッド型</v>
      </c>
      <c r="BF349" s="375">
        <f>IFERROR(__xludf.DUMMYFUNCTION("""COMPUTED_VALUE"""),1.0)</f>
        <v>1</v>
      </c>
      <c r="BG349" s="376" t="str">
        <f>IFERROR(__xludf.DUMMYFUNCTION("""COMPUTED_VALUE"""),"効果値")</f>
        <v>効果値</v>
      </c>
      <c r="BH349" s="381">
        <f>IFERROR(__xludf.DUMMYFUNCTION("""COMPUTED_VALUE"""),10.0)</f>
        <v>10</v>
      </c>
      <c r="BI349" s="382">
        <f>IFERROR(__xludf.DUMMYFUNCTION("""COMPUTED_VALUE"""),10.0)</f>
        <v>10</v>
      </c>
      <c r="BJ349" s="382">
        <f>IFERROR(__xludf.DUMMYFUNCTION("""COMPUTED_VALUE"""),10.0)</f>
        <v>10</v>
      </c>
      <c r="BK349" s="382">
        <f>IFERROR(__xludf.DUMMYFUNCTION("""COMPUTED_VALUE"""),10.0)</f>
        <v>10</v>
      </c>
      <c r="BL349" s="382">
        <f>IFERROR(__xludf.DUMMYFUNCTION("""COMPUTED_VALUE"""),10.0)</f>
        <v>10</v>
      </c>
      <c r="BM349" s="382">
        <f>IFERROR(__xludf.DUMMYFUNCTION("""COMPUTED_VALUE"""),15.0)</f>
        <v>15</v>
      </c>
      <c r="BN349" s="382">
        <f>IFERROR(__xludf.DUMMYFUNCTION("""COMPUTED_VALUE"""),20.0)</f>
        <v>20</v>
      </c>
      <c r="BO349" s="383">
        <f>IFERROR(__xludf.DUMMYFUNCTION("""COMPUTED_VALUE"""),20.0)</f>
        <v>20</v>
      </c>
    </row>
    <row r="350">
      <c r="A350" s="434" t="str">
        <f>IFERROR(__xludf.DUMMYFUNCTION("""COMPUTED_VALUE"""),"攻撃力Down(緑)")</f>
        <v>攻撃力Down(緑)</v>
      </c>
      <c r="B350" s="385" t="str">
        <f>IFERROR(__xludf.DUMMYFUNCTION("""COMPUTED_VALUE"""),"超瞬間型")</f>
        <v>超瞬間型</v>
      </c>
      <c r="C350" s="386">
        <f>IFERROR(__xludf.DUMMYFUNCTION("""COMPUTED_VALUE"""),1.0)</f>
        <v>1</v>
      </c>
      <c r="D350" s="387" t="str">
        <f>IFERROR(__xludf.DUMMYFUNCTION("""COMPUTED_VALUE"""),"効果時間")</f>
        <v>効果時間</v>
      </c>
      <c r="E350" s="388" t="str">
        <f>IFERROR(__xludf.DUMMYFUNCTION("""COMPUTED_VALUE"""),"-")</f>
        <v>-</v>
      </c>
      <c r="F350" s="389" t="str">
        <f>IFERROR(__xludf.DUMMYFUNCTION("""COMPUTED_VALUE"""),"-")</f>
        <v>-</v>
      </c>
      <c r="G350" s="388" t="str">
        <f>IFERROR(__xludf.DUMMYFUNCTION("""COMPUTED_VALUE"""),"-")</f>
        <v>-</v>
      </c>
      <c r="H350" s="389" t="str">
        <f>IFERROR(__xludf.DUMMYFUNCTION("""COMPUTED_VALUE"""),"-")</f>
        <v>-</v>
      </c>
      <c r="I350" s="388" t="str">
        <f>IFERROR(__xludf.DUMMYFUNCTION("""COMPUTED_VALUE"""),"-")</f>
        <v>-</v>
      </c>
      <c r="J350" s="390">
        <f>IFERROR(__xludf.DUMMYFUNCTION("""COMPUTED_VALUE"""),150.0)</f>
        <v>150</v>
      </c>
      <c r="K350" s="391">
        <f>IFERROR(__xludf.DUMMYFUNCTION("""COMPUTED_VALUE"""),160.0)</f>
        <v>160</v>
      </c>
      <c r="L350" s="340">
        <f>IFERROR(__xludf.DUMMYFUNCTION("""COMPUTED_VALUE"""),160.0)</f>
        <v>160</v>
      </c>
      <c r="M350" s="385" t="str">
        <f>IFERROR(__xludf.DUMMYFUNCTION("""COMPUTED_VALUE"""),"瞬間型")</f>
        <v>瞬間型</v>
      </c>
      <c r="N350" s="386">
        <f>IFERROR(__xludf.DUMMYFUNCTION("""COMPUTED_VALUE"""),1.0)</f>
        <v>1</v>
      </c>
      <c r="O350" s="387" t="str">
        <f>IFERROR(__xludf.DUMMYFUNCTION("""COMPUTED_VALUE"""),"効果時間")</f>
        <v>効果時間</v>
      </c>
      <c r="P350" s="392">
        <f>IFERROR(__xludf.DUMMYFUNCTION("""COMPUTED_VALUE"""),150.0)</f>
        <v>150</v>
      </c>
      <c r="Q350" s="393">
        <f>IFERROR(__xludf.DUMMYFUNCTION("""COMPUTED_VALUE"""),150.0)</f>
        <v>150</v>
      </c>
      <c r="R350" s="393">
        <f>IFERROR(__xludf.DUMMYFUNCTION("""COMPUTED_VALUE"""),150.0)</f>
        <v>150</v>
      </c>
      <c r="S350" s="393">
        <f>IFERROR(__xludf.DUMMYFUNCTION("""COMPUTED_VALUE"""),150.0)</f>
        <v>150</v>
      </c>
      <c r="T350" s="393">
        <f>IFERROR(__xludf.DUMMYFUNCTION("""COMPUTED_VALUE"""),150.0)</f>
        <v>150</v>
      </c>
      <c r="U350" s="393">
        <f>IFERROR(__xludf.DUMMYFUNCTION("""COMPUTED_VALUE"""),150.0)</f>
        <v>150</v>
      </c>
      <c r="V350" s="393">
        <f>IFERROR(__xludf.DUMMYFUNCTION("""COMPUTED_VALUE"""),160.0)</f>
        <v>160</v>
      </c>
      <c r="W350" s="394">
        <f>IFERROR(__xludf.DUMMYFUNCTION("""COMPUTED_VALUE"""),160.0)</f>
        <v>160</v>
      </c>
      <c r="X350" s="385" t="str">
        <f>IFERROR(__xludf.DUMMYFUNCTION("""COMPUTED_VALUE"""),"安定型")</f>
        <v>安定型</v>
      </c>
      <c r="Y350" s="386">
        <f>IFERROR(__xludf.DUMMYFUNCTION("""COMPUTED_VALUE"""),1.0)</f>
        <v>1</v>
      </c>
      <c r="Z350" s="387" t="str">
        <f>IFERROR(__xludf.DUMMYFUNCTION("""COMPUTED_VALUE"""),"効果時間")</f>
        <v>効果時間</v>
      </c>
      <c r="AA350" s="392">
        <f>IFERROR(__xludf.DUMMYFUNCTION("""COMPUTED_VALUE"""),300.0)</f>
        <v>300</v>
      </c>
      <c r="AB350" s="393">
        <f>IFERROR(__xludf.DUMMYFUNCTION("""COMPUTED_VALUE"""),300.0)</f>
        <v>300</v>
      </c>
      <c r="AC350" s="393">
        <f>IFERROR(__xludf.DUMMYFUNCTION("""COMPUTED_VALUE"""),300.0)</f>
        <v>300</v>
      </c>
      <c r="AD350" s="393">
        <f>IFERROR(__xludf.DUMMYFUNCTION("""COMPUTED_VALUE"""),300.0)</f>
        <v>300</v>
      </c>
      <c r="AE350" s="393">
        <f>IFERROR(__xludf.DUMMYFUNCTION("""COMPUTED_VALUE"""),300.0)</f>
        <v>300</v>
      </c>
      <c r="AF350" s="393">
        <f>IFERROR(__xludf.DUMMYFUNCTION("""COMPUTED_VALUE"""),300.0)</f>
        <v>300</v>
      </c>
      <c r="AG350" s="393">
        <f>IFERROR(__xludf.DUMMYFUNCTION("""COMPUTED_VALUE"""),310.0)</f>
        <v>310</v>
      </c>
      <c r="AH350" s="394">
        <f>IFERROR(__xludf.DUMMYFUNCTION("""COMPUTED_VALUE"""),310.0)</f>
        <v>310</v>
      </c>
      <c r="AI350" s="385" t="str">
        <f>IFERROR(__xludf.DUMMYFUNCTION("""COMPUTED_VALUE"""),"持続型")</f>
        <v>持続型</v>
      </c>
      <c r="AJ350" s="386">
        <f>IFERROR(__xludf.DUMMYFUNCTION("""COMPUTED_VALUE"""),1.0)</f>
        <v>1</v>
      </c>
      <c r="AK350" s="387" t="str">
        <f>IFERROR(__xludf.DUMMYFUNCTION("""COMPUTED_VALUE"""),"効果時間")</f>
        <v>効果時間</v>
      </c>
      <c r="AL350" s="392">
        <f>IFERROR(__xludf.DUMMYFUNCTION("""COMPUTED_VALUE"""),450.0)</f>
        <v>450</v>
      </c>
      <c r="AM350" s="393">
        <f>IFERROR(__xludf.DUMMYFUNCTION("""COMPUTED_VALUE"""),450.0)</f>
        <v>450</v>
      </c>
      <c r="AN350" s="393">
        <f>IFERROR(__xludf.DUMMYFUNCTION("""COMPUTED_VALUE"""),450.0)</f>
        <v>450</v>
      </c>
      <c r="AO350" s="393">
        <f>IFERROR(__xludf.DUMMYFUNCTION("""COMPUTED_VALUE"""),450.0)</f>
        <v>450</v>
      </c>
      <c r="AP350" s="393">
        <f>IFERROR(__xludf.DUMMYFUNCTION("""COMPUTED_VALUE"""),450.0)</f>
        <v>450</v>
      </c>
      <c r="AQ350" s="393">
        <f>IFERROR(__xludf.DUMMYFUNCTION("""COMPUTED_VALUE"""),450.0)</f>
        <v>450</v>
      </c>
      <c r="AR350" s="393">
        <f>IFERROR(__xludf.DUMMYFUNCTION("""COMPUTED_VALUE"""),460.0)</f>
        <v>460</v>
      </c>
      <c r="AS350" s="394">
        <f>IFERROR(__xludf.DUMMYFUNCTION("""COMPUTED_VALUE"""),460.0)</f>
        <v>460</v>
      </c>
      <c r="AT350" s="385" t="str">
        <f>IFERROR(__xludf.DUMMYFUNCTION("""COMPUTED_VALUE"""),"超持続型")</f>
        <v>超持続型</v>
      </c>
      <c r="AU350" s="386">
        <f>IFERROR(__xludf.DUMMYFUNCTION("""COMPUTED_VALUE"""),1.0)</f>
        <v>1</v>
      </c>
      <c r="AV350" s="387" t="str">
        <f>IFERROR(__xludf.DUMMYFUNCTION("""COMPUTED_VALUE"""),"効果時間")</f>
        <v>効果時間</v>
      </c>
      <c r="AW350" s="395" t="str">
        <f>IFERROR(__xludf.DUMMYFUNCTION("""COMPUTED_VALUE"""),"-")</f>
        <v>-</v>
      </c>
      <c r="AX350" s="396" t="str">
        <f>IFERROR(__xludf.DUMMYFUNCTION("""COMPUTED_VALUE"""),"-")</f>
        <v>-</v>
      </c>
      <c r="AY350" s="396" t="str">
        <f>IFERROR(__xludf.DUMMYFUNCTION("""COMPUTED_VALUE"""),"-")</f>
        <v>-</v>
      </c>
      <c r="AZ350" s="396" t="str">
        <f>IFERROR(__xludf.DUMMYFUNCTION("""COMPUTED_VALUE"""),"-")</f>
        <v>-</v>
      </c>
      <c r="BA350" s="396" t="str">
        <f>IFERROR(__xludf.DUMMYFUNCTION("""COMPUTED_VALUE"""),"-")</f>
        <v>-</v>
      </c>
      <c r="BB350" s="393">
        <f>IFERROR(__xludf.DUMMYFUNCTION("""COMPUTED_VALUE"""),600.0)</f>
        <v>600</v>
      </c>
      <c r="BC350" s="393">
        <f>IFERROR(__xludf.DUMMYFUNCTION("""COMPUTED_VALUE"""),610.0)</f>
        <v>610</v>
      </c>
      <c r="BD350" s="394">
        <f>IFERROR(__xludf.DUMMYFUNCTION("""COMPUTED_VALUE"""),610.0)</f>
        <v>610</v>
      </c>
      <c r="BE350" s="385" t="str">
        <f>IFERROR(__xludf.DUMMYFUNCTION("""COMPUTED_VALUE"""),"ハイブリッド型")</f>
        <v>ハイブリッド型</v>
      </c>
      <c r="BF350" s="386">
        <f>IFERROR(__xludf.DUMMYFUNCTION("""COMPUTED_VALUE"""),1.0)</f>
        <v>1</v>
      </c>
      <c r="BG350" s="387" t="str">
        <f>IFERROR(__xludf.DUMMYFUNCTION("""COMPUTED_VALUE"""),"効果時間")</f>
        <v>効果時間</v>
      </c>
      <c r="BH350" s="397">
        <f>IFERROR(__xludf.DUMMYFUNCTION("""COMPUTED_VALUE"""),150.0)</f>
        <v>150</v>
      </c>
      <c r="BI350" s="397">
        <f>IFERROR(__xludf.DUMMYFUNCTION("""COMPUTED_VALUE"""),150.0)</f>
        <v>150</v>
      </c>
      <c r="BJ350" s="397">
        <f>IFERROR(__xludf.DUMMYFUNCTION("""COMPUTED_VALUE"""),150.0)</f>
        <v>150</v>
      </c>
      <c r="BK350" s="398">
        <f>IFERROR(__xludf.DUMMYFUNCTION("""COMPUTED_VALUE"""),150.0)</f>
        <v>150</v>
      </c>
      <c r="BL350" s="397">
        <f>IFERROR(__xludf.DUMMYFUNCTION("""COMPUTED_VALUE"""),150.0)</f>
        <v>150</v>
      </c>
      <c r="BM350" s="398">
        <f>IFERROR(__xludf.DUMMYFUNCTION("""COMPUTED_VALUE"""),350.0)</f>
        <v>350</v>
      </c>
      <c r="BN350" s="397">
        <f>IFERROR(__xludf.DUMMYFUNCTION("""COMPUTED_VALUE"""),460.0)</f>
        <v>460</v>
      </c>
      <c r="BO350" s="398">
        <f>IFERROR(__xludf.DUMMYFUNCTION("""COMPUTED_VALUE"""),460.0)</f>
        <v>460</v>
      </c>
    </row>
    <row r="351">
      <c r="A351" s="435" t="str">
        <f>IFERROR(__xludf.DUMMYFUNCTION("""COMPUTED_VALUE"""),"攻撃力Down(緑)")</f>
        <v>攻撃力Down(緑)</v>
      </c>
      <c r="B351" s="385" t="str">
        <f>IFERROR(__xludf.DUMMYFUNCTION("""COMPUTED_VALUE"""),"超瞬間型")</f>
        <v>超瞬間型</v>
      </c>
      <c r="C351" s="399">
        <f>IFERROR(__xludf.DUMMYFUNCTION("""COMPUTED_VALUE"""),2.0)</f>
        <v>2</v>
      </c>
      <c r="D351" s="400" t="str">
        <f>IFERROR(__xludf.DUMMYFUNCTION("""COMPUTED_VALUE"""),"効果値")</f>
        <v>効果値</v>
      </c>
      <c r="E351" s="401" t="str">
        <f>IFERROR(__xludf.DUMMYFUNCTION("""COMPUTED_VALUE"""),"-")</f>
        <v>-</v>
      </c>
      <c r="F351" s="401" t="str">
        <f>IFERROR(__xludf.DUMMYFUNCTION("""COMPUTED_VALUE"""),"-")</f>
        <v>-</v>
      </c>
      <c r="G351" s="401" t="str">
        <f>IFERROR(__xludf.DUMMYFUNCTION("""COMPUTED_VALUE"""),"-")</f>
        <v>-</v>
      </c>
      <c r="H351" s="401" t="str">
        <f>IFERROR(__xludf.DUMMYFUNCTION("""COMPUTED_VALUE"""),"-")</f>
        <v>-</v>
      </c>
      <c r="I351" s="401" t="str">
        <f>IFERROR(__xludf.DUMMYFUNCTION("""COMPUTED_VALUE"""),"-")</f>
        <v>-</v>
      </c>
      <c r="J351" s="318">
        <f>IFERROR(__xludf.DUMMYFUNCTION("""COMPUTED_VALUE"""),57.0)</f>
        <v>57</v>
      </c>
      <c r="K351" s="318">
        <f>IFERROR(__xludf.DUMMYFUNCTION("""COMPUTED_VALUE"""),67.0)</f>
        <v>67</v>
      </c>
      <c r="L351" s="318">
        <f>IFERROR(__xludf.DUMMYFUNCTION("""COMPUTED_VALUE"""),69.0)</f>
        <v>69</v>
      </c>
      <c r="M351" s="385" t="str">
        <f>IFERROR(__xludf.DUMMYFUNCTION("""COMPUTED_VALUE"""),"瞬間型")</f>
        <v>瞬間型</v>
      </c>
      <c r="N351" s="399">
        <f>IFERROR(__xludf.DUMMYFUNCTION("""COMPUTED_VALUE"""),2.0)</f>
        <v>2</v>
      </c>
      <c r="O351" s="400" t="str">
        <f>IFERROR(__xludf.DUMMYFUNCTION("""COMPUTED_VALUE"""),"効果値")</f>
        <v>効果値</v>
      </c>
      <c r="P351" s="343">
        <f>IFERROR(__xludf.DUMMYFUNCTION("""COMPUTED_VALUE"""),21.0)</f>
        <v>21</v>
      </c>
      <c r="Q351" s="402">
        <f>IFERROR(__xludf.DUMMYFUNCTION("""COMPUTED_VALUE"""),21.0)</f>
        <v>21</v>
      </c>
      <c r="R351" s="343">
        <f>IFERROR(__xludf.DUMMYFUNCTION("""COMPUTED_VALUE"""),22.0)</f>
        <v>22</v>
      </c>
      <c r="S351" s="402">
        <f>IFERROR(__xludf.DUMMYFUNCTION("""COMPUTED_VALUE"""),22.0)</f>
        <v>22</v>
      </c>
      <c r="T351" s="343">
        <f>IFERROR(__xludf.DUMMYFUNCTION("""COMPUTED_VALUE"""),22.0)</f>
        <v>22</v>
      </c>
      <c r="U351" s="343">
        <f>IFERROR(__xludf.DUMMYFUNCTION("""COMPUTED_VALUE"""),27.0)</f>
        <v>27</v>
      </c>
      <c r="V351" s="343">
        <f>IFERROR(__xludf.DUMMYFUNCTION("""COMPUTED_VALUE"""),32.0)</f>
        <v>32</v>
      </c>
      <c r="W351" s="343">
        <f>IFERROR(__xludf.DUMMYFUNCTION("""COMPUTED_VALUE"""),34.0)</f>
        <v>34</v>
      </c>
      <c r="X351" s="385" t="str">
        <f>IFERROR(__xludf.DUMMYFUNCTION("""COMPUTED_VALUE"""),"安定型")</f>
        <v>安定型</v>
      </c>
      <c r="Y351" s="399">
        <f>IFERROR(__xludf.DUMMYFUNCTION("""COMPUTED_VALUE"""),2.0)</f>
        <v>2</v>
      </c>
      <c r="Z351" s="400" t="str">
        <f>IFERROR(__xludf.DUMMYFUNCTION("""COMPUTED_VALUE"""),"効果値")</f>
        <v>効果値</v>
      </c>
      <c r="AA351" s="343">
        <f>IFERROR(__xludf.DUMMYFUNCTION("""COMPUTED_VALUE"""),11.0)</f>
        <v>11</v>
      </c>
      <c r="AB351" s="402">
        <f>IFERROR(__xludf.DUMMYFUNCTION("""COMPUTED_VALUE"""),11.0)</f>
        <v>11</v>
      </c>
      <c r="AC351" s="343">
        <f>IFERROR(__xludf.DUMMYFUNCTION("""COMPUTED_VALUE"""),12.0)</f>
        <v>12</v>
      </c>
      <c r="AD351" s="402">
        <f>IFERROR(__xludf.DUMMYFUNCTION("""COMPUTED_VALUE"""),12.0)</f>
        <v>12</v>
      </c>
      <c r="AE351" s="343">
        <f>IFERROR(__xludf.DUMMYFUNCTION("""COMPUTED_VALUE"""),12.0)</f>
        <v>12</v>
      </c>
      <c r="AF351" s="343">
        <f>IFERROR(__xludf.DUMMYFUNCTION("""COMPUTED_VALUE"""),12.0)</f>
        <v>12</v>
      </c>
      <c r="AG351" s="343">
        <f>IFERROR(__xludf.DUMMYFUNCTION("""COMPUTED_VALUE"""),17.0)</f>
        <v>17</v>
      </c>
      <c r="AH351" s="343">
        <f>IFERROR(__xludf.DUMMYFUNCTION("""COMPUTED_VALUE"""),19.0)</f>
        <v>19</v>
      </c>
      <c r="AI351" s="385" t="str">
        <f>IFERROR(__xludf.DUMMYFUNCTION("""COMPUTED_VALUE"""),"持続型")</f>
        <v>持続型</v>
      </c>
      <c r="AJ351" s="399">
        <f>IFERROR(__xludf.DUMMYFUNCTION("""COMPUTED_VALUE"""),2.0)</f>
        <v>2</v>
      </c>
      <c r="AK351" s="400" t="str">
        <f>IFERROR(__xludf.DUMMYFUNCTION("""COMPUTED_VALUE"""),"効果値")</f>
        <v>効果値</v>
      </c>
      <c r="AL351" s="343">
        <f>IFERROR(__xludf.DUMMYFUNCTION("""COMPUTED_VALUE"""),6.0)</f>
        <v>6</v>
      </c>
      <c r="AM351" s="402">
        <f>IFERROR(__xludf.DUMMYFUNCTION("""COMPUTED_VALUE"""),6.0)</f>
        <v>6</v>
      </c>
      <c r="AN351" s="343">
        <f>IFERROR(__xludf.DUMMYFUNCTION("""COMPUTED_VALUE"""),7.0)</f>
        <v>7</v>
      </c>
      <c r="AO351" s="402">
        <f>IFERROR(__xludf.DUMMYFUNCTION("""COMPUTED_VALUE"""),7.0)</f>
        <v>7</v>
      </c>
      <c r="AP351" s="343">
        <f>IFERROR(__xludf.DUMMYFUNCTION("""COMPUTED_VALUE"""),7.0)</f>
        <v>7</v>
      </c>
      <c r="AQ351" s="343">
        <f>IFERROR(__xludf.DUMMYFUNCTION("""COMPUTED_VALUE"""),7.0)</f>
        <v>7</v>
      </c>
      <c r="AR351" s="343">
        <f>IFERROR(__xludf.DUMMYFUNCTION("""COMPUTED_VALUE"""),11.0)</f>
        <v>11</v>
      </c>
      <c r="AS351" s="343">
        <f>IFERROR(__xludf.DUMMYFUNCTION("""COMPUTED_VALUE"""),11.0)</f>
        <v>11</v>
      </c>
      <c r="AT351" s="385" t="str">
        <f>IFERROR(__xludf.DUMMYFUNCTION("""COMPUTED_VALUE"""),"超持続型")</f>
        <v>超持続型</v>
      </c>
      <c r="AU351" s="399">
        <f>IFERROR(__xludf.DUMMYFUNCTION("""COMPUTED_VALUE"""),2.0)</f>
        <v>2</v>
      </c>
      <c r="AV351" s="400" t="str">
        <f>IFERROR(__xludf.DUMMYFUNCTION("""COMPUTED_VALUE"""),"効果値")</f>
        <v>効果値</v>
      </c>
      <c r="AW351" s="403" t="str">
        <f>IFERROR(__xludf.DUMMYFUNCTION("""COMPUTED_VALUE"""),"-")</f>
        <v>-</v>
      </c>
      <c r="AX351" s="403" t="str">
        <f>IFERROR(__xludf.DUMMYFUNCTION("""COMPUTED_VALUE"""),"-")</f>
        <v>-</v>
      </c>
      <c r="AY351" s="403" t="str">
        <f>IFERROR(__xludf.DUMMYFUNCTION("""COMPUTED_VALUE"""),"-")</f>
        <v>-</v>
      </c>
      <c r="AZ351" s="403" t="str">
        <f>IFERROR(__xludf.DUMMYFUNCTION("""COMPUTED_VALUE"""),"-")</f>
        <v>-</v>
      </c>
      <c r="BA351" s="403" t="str">
        <f>IFERROR(__xludf.DUMMYFUNCTION("""COMPUTED_VALUE"""),"-")</f>
        <v>-</v>
      </c>
      <c r="BB351" s="343">
        <f>IFERROR(__xludf.DUMMYFUNCTION("""COMPUTED_VALUE"""),7.0)</f>
        <v>7</v>
      </c>
      <c r="BC351" s="343">
        <f>IFERROR(__xludf.DUMMYFUNCTION("""COMPUTED_VALUE"""),11.0)</f>
        <v>11</v>
      </c>
      <c r="BD351" s="343">
        <f>IFERROR(__xludf.DUMMYFUNCTION("""COMPUTED_VALUE"""),11.0)</f>
        <v>11</v>
      </c>
      <c r="BE351" s="385" t="str">
        <f>IFERROR(__xludf.DUMMYFUNCTION("""COMPUTED_VALUE"""),"ハイブリッド型")</f>
        <v>ハイブリッド型</v>
      </c>
      <c r="BF351" s="399">
        <f>IFERROR(__xludf.DUMMYFUNCTION("""COMPUTED_VALUE"""),2.0)</f>
        <v>2</v>
      </c>
      <c r="BG351" s="400" t="str">
        <f>IFERROR(__xludf.DUMMYFUNCTION("""COMPUTED_VALUE"""),"効果値")</f>
        <v>効果値</v>
      </c>
      <c r="BH351" s="404">
        <f>IFERROR(__xludf.DUMMYFUNCTION("""COMPUTED_VALUE"""),10.8)</f>
        <v>10.8</v>
      </c>
      <c r="BI351" s="405">
        <f>IFERROR(__xludf.DUMMYFUNCTION("""COMPUTED_VALUE"""),11.2)</f>
        <v>11.2</v>
      </c>
      <c r="BJ351" s="405">
        <f>IFERROR(__xludf.DUMMYFUNCTION("""COMPUTED_VALUE"""),11.5)</f>
        <v>11.5</v>
      </c>
      <c r="BK351" s="405">
        <f>IFERROR(__xludf.DUMMYFUNCTION("""COMPUTED_VALUE"""),11.8)</f>
        <v>11.8</v>
      </c>
      <c r="BL351" s="405">
        <f>IFERROR(__xludf.DUMMYFUNCTION("""COMPUTED_VALUE"""),12.1)</f>
        <v>12.1</v>
      </c>
      <c r="BM351" s="405">
        <f>IFERROR(__xludf.DUMMYFUNCTION("""COMPUTED_VALUE"""),17.1)</f>
        <v>17.1</v>
      </c>
      <c r="BN351" s="405">
        <f>IFERROR(__xludf.DUMMYFUNCTION("""COMPUTED_VALUE"""),22.0)</f>
        <v>22</v>
      </c>
      <c r="BO351" s="406">
        <f>IFERROR(__xludf.DUMMYFUNCTION("""COMPUTED_VALUE"""),24.0)</f>
        <v>24</v>
      </c>
    </row>
    <row r="352">
      <c r="A352" s="435" t="str">
        <f>IFERROR(__xludf.DUMMYFUNCTION("""COMPUTED_VALUE"""),"攻撃力Down(緑)")</f>
        <v>攻撃力Down(緑)</v>
      </c>
      <c r="B352" s="385" t="str">
        <f>IFERROR(__xludf.DUMMYFUNCTION("""COMPUTED_VALUE"""),"超瞬間型")</f>
        <v>超瞬間型</v>
      </c>
      <c r="C352" s="386">
        <f>IFERROR(__xludf.DUMMYFUNCTION("""COMPUTED_VALUE"""),2.0)</f>
        <v>2</v>
      </c>
      <c r="D352" s="387" t="str">
        <f>IFERROR(__xludf.DUMMYFUNCTION("""COMPUTED_VALUE"""),"効果時間")</f>
        <v>効果時間</v>
      </c>
      <c r="E352" s="388" t="str">
        <f>IFERROR(__xludf.DUMMYFUNCTION("""COMPUTED_VALUE"""),"-")</f>
        <v>-</v>
      </c>
      <c r="F352" s="389" t="str">
        <f>IFERROR(__xludf.DUMMYFUNCTION("""COMPUTED_VALUE"""),"-")</f>
        <v>-</v>
      </c>
      <c r="G352" s="388" t="str">
        <f>IFERROR(__xludf.DUMMYFUNCTION("""COMPUTED_VALUE"""),"-")</f>
        <v>-</v>
      </c>
      <c r="H352" s="389" t="str">
        <f>IFERROR(__xludf.DUMMYFUNCTION("""COMPUTED_VALUE"""),"-")</f>
        <v>-</v>
      </c>
      <c r="I352" s="388" t="str">
        <f>IFERROR(__xludf.DUMMYFUNCTION("""COMPUTED_VALUE"""),"-")</f>
        <v>-</v>
      </c>
      <c r="J352" s="390">
        <f>IFERROR(__xludf.DUMMYFUNCTION("""COMPUTED_VALUE"""),150.0)</f>
        <v>150</v>
      </c>
      <c r="K352" s="391">
        <f>IFERROR(__xludf.DUMMYFUNCTION("""COMPUTED_VALUE"""),160.0)</f>
        <v>160</v>
      </c>
      <c r="L352" s="340">
        <f>IFERROR(__xludf.DUMMYFUNCTION("""COMPUTED_VALUE"""),170.0)</f>
        <v>170</v>
      </c>
      <c r="M352" s="385" t="str">
        <f>IFERROR(__xludf.DUMMYFUNCTION("""COMPUTED_VALUE"""),"瞬間型")</f>
        <v>瞬間型</v>
      </c>
      <c r="N352" s="386">
        <f>IFERROR(__xludf.DUMMYFUNCTION("""COMPUTED_VALUE"""),2.0)</f>
        <v>2</v>
      </c>
      <c r="O352" s="387" t="str">
        <f>IFERROR(__xludf.DUMMYFUNCTION("""COMPUTED_VALUE"""),"効果時間")</f>
        <v>効果時間</v>
      </c>
      <c r="P352" s="392">
        <f>IFERROR(__xludf.DUMMYFUNCTION("""COMPUTED_VALUE"""),160.0)</f>
        <v>160</v>
      </c>
      <c r="Q352" s="275">
        <f>IFERROR(__xludf.DUMMYFUNCTION("""COMPUTED_VALUE"""),165.0)</f>
        <v>165</v>
      </c>
      <c r="R352" s="280">
        <f>IFERROR(__xludf.DUMMYFUNCTION("""COMPUTED_VALUE"""),170.0)</f>
        <v>170</v>
      </c>
      <c r="S352" s="275">
        <f>IFERROR(__xludf.DUMMYFUNCTION("""COMPUTED_VALUE"""),175.0)</f>
        <v>175</v>
      </c>
      <c r="T352" s="280">
        <f>IFERROR(__xludf.DUMMYFUNCTION("""COMPUTED_VALUE"""),180.0)</f>
        <v>180</v>
      </c>
      <c r="U352" s="280">
        <f>IFERROR(__xludf.DUMMYFUNCTION("""COMPUTED_VALUE"""),180.0)</f>
        <v>180</v>
      </c>
      <c r="V352" s="280">
        <f>IFERROR(__xludf.DUMMYFUNCTION("""COMPUTED_VALUE"""),220.0)</f>
        <v>220</v>
      </c>
      <c r="W352" s="280">
        <f>IFERROR(__xludf.DUMMYFUNCTION("""COMPUTED_VALUE"""),230.0)</f>
        <v>230</v>
      </c>
      <c r="X352" s="385" t="str">
        <f>IFERROR(__xludf.DUMMYFUNCTION("""COMPUTED_VALUE"""),"安定型")</f>
        <v>安定型</v>
      </c>
      <c r="Y352" s="386">
        <f>IFERROR(__xludf.DUMMYFUNCTION("""COMPUTED_VALUE"""),2.0)</f>
        <v>2</v>
      </c>
      <c r="Z352" s="387" t="str">
        <f>IFERROR(__xludf.DUMMYFUNCTION("""COMPUTED_VALUE"""),"効果時間")</f>
        <v>効果時間</v>
      </c>
      <c r="AA352" s="392">
        <f>IFERROR(__xludf.DUMMYFUNCTION("""COMPUTED_VALUE"""),310.0)</f>
        <v>310</v>
      </c>
      <c r="AB352" s="275">
        <f>IFERROR(__xludf.DUMMYFUNCTION("""COMPUTED_VALUE"""),315.0)</f>
        <v>315</v>
      </c>
      <c r="AC352" s="280">
        <f>IFERROR(__xludf.DUMMYFUNCTION("""COMPUTED_VALUE"""),320.0)</f>
        <v>320</v>
      </c>
      <c r="AD352" s="275">
        <f>IFERROR(__xludf.DUMMYFUNCTION("""COMPUTED_VALUE"""),325.0)</f>
        <v>325</v>
      </c>
      <c r="AE352" s="280">
        <f>IFERROR(__xludf.DUMMYFUNCTION("""COMPUTED_VALUE"""),330.0)</f>
        <v>330</v>
      </c>
      <c r="AF352" s="280">
        <f>IFERROR(__xludf.DUMMYFUNCTION("""COMPUTED_VALUE"""),345.0)</f>
        <v>345</v>
      </c>
      <c r="AG352" s="280">
        <f>IFERROR(__xludf.DUMMYFUNCTION("""COMPUTED_VALUE"""),370.0)</f>
        <v>370</v>
      </c>
      <c r="AH352" s="280">
        <f>IFERROR(__xludf.DUMMYFUNCTION("""COMPUTED_VALUE"""),380.0)</f>
        <v>380</v>
      </c>
      <c r="AI352" s="385" t="str">
        <f>IFERROR(__xludf.DUMMYFUNCTION("""COMPUTED_VALUE"""),"持続型")</f>
        <v>持続型</v>
      </c>
      <c r="AJ352" s="386">
        <f>IFERROR(__xludf.DUMMYFUNCTION("""COMPUTED_VALUE"""),2.0)</f>
        <v>2</v>
      </c>
      <c r="AK352" s="387" t="str">
        <f>IFERROR(__xludf.DUMMYFUNCTION("""COMPUTED_VALUE"""),"効果時間")</f>
        <v>効果時間</v>
      </c>
      <c r="AL352" s="392">
        <f>IFERROR(__xludf.DUMMYFUNCTION("""COMPUTED_VALUE"""),460.0)</f>
        <v>460</v>
      </c>
      <c r="AM352" s="275">
        <f>IFERROR(__xludf.DUMMYFUNCTION("""COMPUTED_VALUE"""),465.0)</f>
        <v>465</v>
      </c>
      <c r="AN352" s="280">
        <f>IFERROR(__xludf.DUMMYFUNCTION("""COMPUTED_VALUE"""),470.0)</f>
        <v>470</v>
      </c>
      <c r="AO352" s="275">
        <f>IFERROR(__xludf.DUMMYFUNCTION("""COMPUTED_VALUE"""),475.0)</f>
        <v>475</v>
      </c>
      <c r="AP352" s="280">
        <f>IFERROR(__xludf.DUMMYFUNCTION("""COMPUTED_VALUE"""),480.0)</f>
        <v>480</v>
      </c>
      <c r="AQ352" s="280">
        <f>IFERROR(__xludf.DUMMYFUNCTION("""COMPUTED_VALUE"""),495.0)</f>
        <v>495</v>
      </c>
      <c r="AR352" s="280">
        <f>IFERROR(__xludf.DUMMYFUNCTION("""COMPUTED_VALUE"""),520.0)</f>
        <v>520</v>
      </c>
      <c r="AS352" s="280">
        <f>IFERROR(__xludf.DUMMYFUNCTION("""COMPUTED_VALUE"""),530.0)</f>
        <v>530</v>
      </c>
      <c r="AT352" s="385" t="str">
        <f>IFERROR(__xludf.DUMMYFUNCTION("""COMPUTED_VALUE"""),"超持続型")</f>
        <v>超持続型</v>
      </c>
      <c r="AU352" s="386">
        <f>IFERROR(__xludf.DUMMYFUNCTION("""COMPUTED_VALUE"""),2.0)</f>
        <v>2</v>
      </c>
      <c r="AV352" s="387" t="str">
        <f>IFERROR(__xludf.DUMMYFUNCTION("""COMPUTED_VALUE"""),"効果時間")</f>
        <v>効果時間</v>
      </c>
      <c r="AW352" s="368" t="str">
        <f>IFERROR(__xludf.DUMMYFUNCTION("""COMPUTED_VALUE"""),"-")</f>
        <v>-</v>
      </c>
      <c r="AX352" s="368" t="str">
        <f>IFERROR(__xludf.DUMMYFUNCTION("""COMPUTED_VALUE"""),"-")</f>
        <v>-</v>
      </c>
      <c r="AY352" s="368" t="str">
        <f>IFERROR(__xludf.DUMMYFUNCTION("""COMPUTED_VALUE"""),"-")</f>
        <v>-</v>
      </c>
      <c r="AZ352" s="368" t="str">
        <f>IFERROR(__xludf.DUMMYFUNCTION("""COMPUTED_VALUE"""),"-")</f>
        <v>-</v>
      </c>
      <c r="BA352" s="368" t="str">
        <f>IFERROR(__xludf.DUMMYFUNCTION("""COMPUTED_VALUE"""),"-")</f>
        <v>-</v>
      </c>
      <c r="BB352" s="280">
        <f>IFERROR(__xludf.DUMMYFUNCTION("""COMPUTED_VALUE"""),625.0)</f>
        <v>625</v>
      </c>
      <c r="BC352" s="280">
        <f>IFERROR(__xludf.DUMMYFUNCTION("""COMPUTED_VALUE"""),670.0)</f>
        <v>670</v>
      </c>
      <c r="BD352" s="280">
        <f>IFERROR(__xludf.DUMMYFUNCTION("""COMPUTED_VALUE"""),680.0)</f>
        <v>680</v>
      </c>
      <c r="BE352" s="385" t="str">
        <f>IFERROR(__xludf.DUMMYFUNCTION("""COMPUTED_VALUE"""),"ハイブリッド型")</f>
        <v>ハイブリッド型</v>
      </c>
      <c r="BF352" s="386">
        <f>IFERROR(__xludf.DUMMYFUNCTION("""COMPUTED_VALUE"""),2.0)</f>
        <v>2</v>
      </c>
      <c r="BG352" s="387" t="str">
        <f>IFERROR(__xludf.DUMMYFUNCTION("""COMPUTED_VALUE"""),"効果時間")</f>
        <v>効果時間</v>
      </c>
      <c r="BH352" s="407">
        <f>IFERROR(__xludf.DUMMYFUNCTION("""COMPUTED_VALUE"""),195.0)</f>
        <v>195</v>
      </c>
      <c r="BI352" s="407">
        <f>IFERROR(__xludf.DUMMYFUNCTION("""COMPUTED_VALUE"""),205.0)</f>
        <v>205</v>
      </c>
      <c r="BJ352" s="407">
        <f>IFERROR(__xludf.DUMMYFUNCTION("""COMPUTED_VALUE"""),205.0)</f>
        <v>205</v>
      </c>
      <c r="BK352" s="408">
        <f>IFERROR(__xludf.DUMMYFUNCTION("""COMPUTED_VALUE"""),210.0)</f>
        <v>210</v>
      </c>
      <c r="BL352" s="407">
        <f>IFERROR(__xludf.DUMMYFUNCTION("""COMPUTED_VALUE"""),215.0)</f>
        <v>215</v>
      </c>
      <c r="BM352" s="408">
        <f>IFERROR(__xludf.DUMMYFUNCTION("""COMPUTED_VALUE"""),375.0)</f>
        <v>375</v>
      </c>
      <c r="BN352" s="407">
        <f>IFERROR(__xludf.DUMMYFUNCTION("""COMPUTED_VALUE"""),480.0)</f>
        <v>480</v>
      </c>
      <c r="BO352" s="408">
        <f>IFERROR(__xludf.DUMMYFUNCTION("""COMPUTED_VALUE"""),490.0)</f>
        <v>490</v>
      </c>
    </row>
    <row r="353">
      <c r="A353" s="435" t="str">
        <f>IFERROR(__xludf.DUMMYFUNCTION("""COMPUTED_VALUE"""),"攻撃力Down(緑)")</f>
        <v>攻撃力Down(緑)</v>
      </c>
      <c r="B353" s="385" t="str">
        <f>IFERROR(__xludf.DUMMYFUNCTION("""COMPUTED_VALUE"""),"超瞬間型")</f>
        <v>超瞬間型</v>
      </c>
      <c r="C353" s="399">
        <f>IFERROR(__xludf.DUMMYFUNCTION("""COMPUTED_VALUE"""),3.0)</f>
        <v>3</v>
      </c>
      <c r="D353" s="400" t="str">
        <f>IFERROR(__xludf.DUMMYFUNCTION("""COMPUTED_VALUE"""),"効果値")</f>
        <v>効果値</v>
      </c>
      <c r="E353" s="401" t="str">
        <f>IFERROR(__xludf.DUMMYFUNCTION("""COMPUTED_VALUE"""),"-")</f>
        <v>-</v>
      </c>
      <c r="F353" s="409" t="str">
        <f>IFERROR(__xludf.DUMMYFUNCTION("""COMPUTED_VALUE"""),"-")</f>
        <v>-</v>
      </c>
      <c r="G353" s="401" t="str">
        <f>IFERROR(__xludf.DUMMYFUNCTION("""COMPUTED_VALUE"""),"-")</f>
        <v>-</v>
      </c>
      <c r="H353" s="409" t="str">
        <f>IFERROR(__xludf.DUMMYFUNCTION("""COMPUTED_VALUE"""),"-")</f>
        <v>-</v>
      </c>
      <c r="I353" s="409" t="str">
        <f>IFERROR(__xludf.DUMMYFUNCTION("""COMPUTED_VALUE"""),"-")</f>
        <v>-</v>
      </c>
      <c r="J353" s="410">
        <f>IFERROR(__xludf.DUMMYFUNCTION("""COMPUTED_VALUE"""),58.0)</f>
        <v>58</v>
      </c>
      <c r="K353" s="410">
        <f>IFERROR(__xludf.DUMMYFUNCTION("""COMPUTED_VALUE"""),68.0)</f>
        <v>68</v>
      </c>
      <c r="L353" s="410">
        <f>IFERROR(__xludf.DUMMYFUNCTION("""COMPUTED_VALUE"""),72.0)</f>
        <v>72</v>
      </c>
      <c r="M353" s="385" t="str">
        <f>IFERROR(__xludf.DUMMYFUNCTION("""COMPUTED_VALUE"""),"瞬間型")</f>
        <v>瞬間型</v>
      </c>
      <c r="N353" s="399">
        <f>IFERROR(__xludf.DUMMYFUNCTION("""COMPUTED_VALUE"""),3.0)</f>
        <v>3</v>
      </c>
      <c r="O353" s="400" t="str">
        <f>IFERROR(__xludf.DUMMYFUNCTION("""COMPUTED_VALUE"""),"効果値")</f>
        <v>効果値</v>
      </c>
      <c r="P353" s="343">
        <f>IFERROR(__xludf.DUMMYFUNCTION("""COMPUTED_VALUE"""),22.0)</f>
        <v>22</v>
      </c>
      <c r="Q353" s="402">
        <f>IFERROR(__xludf.DUMMYFUNCTION("""COMPUTED_VALUE"""),22.0)</f>
        <v>22</v>
      </c>
      <c r="R353" s="402">
        <f>IFERROR(__xludf.DUMMYFUNCTION("""COMPUTED_VALUE"""),23.0)</f>
        <v>23</v>
      </c>
      <c r="S353" s="402">
        <f>IFERROR(__xludf.DUMMYFUNCTION("""COMPUTED_VALUE"""),23.0)</f>
        <v>23</v>
      </c>
      <c r="T353" s="402">
        <f>IFERROR(__xludf.DUMMYFUNCTION("""COMPUTED_VALUE"""),23.0)</f>
        <v>23</v>
      </c>
      <c r="U353" s="402">
        <f>IFERROR(__xludf.DUMMYFUNCTION("""COMPUTED_VALUE"""),28.0)</f>
        <v>28</v>
      </c>
      <c r="V353" s="402">
        <f>IFERROR(__xludf.DUMMYFUNCTION("""COMPUTED_VALUE"""),33.0)</f>
        <v>33</v>
      </c>
      <c r="W353" s="402">
        <f>IFERROR(__xludf.DUMMYFUNCTION("""COMPUTED_VALUE"""),37.0)</f>
        <v>37</v>
      </c>
      <c r="X353" s="385" t="str">
        <f>IFERROR(__xludf.DUMMYFUNCTION("""COMPUTED_VALUE"""),"安定型")</f>
        <v>安定型</v>
      </c>
      <c r="Y353" s="399">
        <f>IFERROR(__xludf.DUMMYFUNCTION("""COMPUTED_VALUE"""),3.0)</f>
        <v>3</v>
      </c>
      <c r="Z353" s="400" t="str">
        <f>IFERROR(__xludf.DUMMYFUNCTION("""COMPUTED_VALUE"""),"効果値")</f>
        <v>効果値</v>
      </c>
      <c r="AA353" s="343">
        <f>IFERROR(__xludf.DUMMYFUNCTION("""COMPUTED_VALUE"""),12.0)</f>
        <v>12</v>
      </c>
      <c r="AB353" s="402">
        <f>IFERROR(__xludf.DUMMYFUNCTION("""COMPUTED_VALUE"""),12.0)</f>
        <v>12</v>
      </c>
      <c r="AC353" s="402">
        <f>IFERROR(__xludf.DUMMYFUNCTION("""COMPUTED_VALUE"""),13.0)</f>
        <v>13</v>
      </c>
      <c r="AD353" s="402">
        <f>IFERROR(__xludf.DUMMYFUNCTION("""COMPUTED_VALUE"""),13.0)</f>
        <v>13</v>
      </c>
      <c r="AE353" s="402">
        <f>IFERROR(__xludf.DUMMYFUNCTION("""COMPUTED_VALUE"""),13.0)</f>
        <v>13</v>
      </c>
      <c r="AF353" s="402">
        <f>IFERROR(__xludf.DUMMYFUNCTION("""COMPUTED_VALUE"""),13.0)</f>
        <v>13</v>
      </c>
      <c r="AG353" s="402">
        <f>IFERROR(__xludf.DUMMYFUNCTION("""COMPUTED_VALUE"""),18.0)</f>
        <v>18</v>
      </c>
      <c r="AH353" s="402">
        <f>IFERROR(__xludf.DUMMYFUNCTION("""COMPUTED_VALUE"""),22.0)</f>
        <v>22</v>
      </c>
      <c r="AI353" s="385" t="str">
        <f>IFERROR(__xludf.DUMMYFUNCTION("""COMPUTED_VALUE"""),"持続型")</f>
        <v>持続型</v>
      </c>
      <c r="AJ353" s="399">
        <f>IFERROR(__xludf.DUMMYFUNCTION("""COMPUTED_VALUE"""),3.0)</f>
        <v>3</v>
      </c>
      <c r="AK353" s="400" t="str">
        <f>IFERROR(__xludf.DUMMYFUNCTION("""COMPUTED_VALUE"""),"効果値")</f>
        <v>効果値</v>
      </c>
      <c r="AL353" s="343">
        <f>IFERROR(__xludf.DUMMYFUNCTION("""COMPUTED_VALUE"""),7.0)</f>
        <v>7</v>
      </c>
      <c r="AM353" s="402">
        <f>IFERROR(__xludf.DUMMYFUNCTION("""COMPUTED_VALUE"""),7.0)</f>
        <v>7</v>
      </c>
      <c r="AN353" s="402">
        <f>IFERROR(__xludf.DUMMYFUNCTION("""COMPUTED_VALUE"""),8.0)</f>
        <v>8</v>
      </c>
      <c r="AO353" s="402">
        <f>IFERROR(__xludf.DUMMYFUNCTION("""COMPUTED_VALUE"""),8.0)</f>
        <v>8</v>
      </c>
      <c r="AP353" s="402">
        <f>IFERROR(__xludf.DUMMYFUNCTION("""COMPUTED_VALUE"""),8.0)</f>
        <v>8</v>
      </c>
      <c r="AQ353" s="402">
        <f>IFERROR(__xludf.DUMMYFUNCTION("""COMPUTED_VALUE"""),8.0)</f>
        <v>8</v>
      </c>
      <c r="AR353" s="402">
        <f>IFERROR(__xludf.DUMMYFUNCTION("""COMPUTED_VALUE"""),11.0)</f>
        <v>11</v>
      </c>
      <c r="AS353" s="402">
        <f>IFERROR(__xludf.DUMMYFUNCTION("""COMPUTED_VALUE"""),11.0)</f>
        <v>11</v>
      </c>
      <c r="AT353" s="385" t="str">
        <f>IFERROR(__xludf.DUMMYFUNCTION("""COMPUTED_VALUE"""),"超持続型")</f>
        <v>超持続型</v>
      </c>
      <c r="AU353" s="399">
        <f>IFERROR(__xludf.DUMMYFUNCTION("""COMPUTED_VALUE"""),3.0)</f>
        <v>3</v>
      </c>
      <c r="AV353" s="400" t="str">
        <f>IFERROR(__xludf.DUMMYFUNCTION("""COMPUTED_VALUE"""),"効果値")</f>
        <v>効果値</v>
      </c>
      <c r="AW353" s="403" t="str">
        <f>IFERROR(__xludf.DUMMYFUNCTION("""COMPUTED_VALUE"""),"-")</f>
        <v>-</v>
      </c>
      <c r="AX353" s="403" t="str">
        <f>IFERROR(__xludf.DUMMYFUNCTION("""COMPUTED_VALUE"""),"-")</f>
        <v>-</v>
      </c>
      <c r="AY353" s="403" t="str">
        <f>IFERROR(__xludf.DUMMYFUNCTION("""COMPUTED_VALUE"""),"-")</f>
        <v>-</v>
      </c>
      <c r="AZ353" s="403" t="str">
        <f>IFERROR(__xludf.DUMMYFUNCTION("""COMPUTED_VALUE"""),"-")</f>
        <v>-</v>
      </c>
      <c r="BA353" s="403" t="str">
        <f>IFERROR(__xludf.DUMMYFUNCTION("""COMPUTED_VALUE"""),"-")</f>
        <v>-</v>
      </c>
      <c r="BB353" s="343">
        <f>IFERROR(__xludf.DUMMYFUNCTION("""COMPUTED_VALUE"""),8.0)</f>
        <v>8</v>
      </c>
      <c r="BC353" s="343">
        <f>IFERROR(__xludf.DUMMYFUNCTION("""COMPUTED_VALUE"""),11.0)</f>
        <v>11</v>
      </c>
      <c r="BD353" s="343">
        <f>IFERROR(__xludf.DUMMYFUNCTION("""COMPUTED_VALUE"""),11.0)</f>
        <v>11</v>
      </c>
      <c r="BE353" s="385" t="str">
        <f>IFERROR(__xludf.DUMMYFUNCTION("""COMPUTED_VALUE"""),"ハイブリッド型")</f>
        <v>ハイブリッド型</v>
      </c>
      <c r="BF353" s="399">
        <f>IFERROR(__xludf.DUMMYFUNCTION("""COMPUTED_VALUE"""),3.0)</f>
        <v>3</v>
      </c>
      <c r="BG353" s="400" t="str">
        <f>IFERROR(__xludf.DUMMYFUNCTION("""COMPUTED_VALUE"""),"効果値")</f>
        <v>効果値</v>
      </c>
      <c r="BH353" s="411">
        <f>IFERROR(__xludf.DUMMYFUNCTION("""COMPUTED_VALUE"""),11.4)</f>
        <v>11.4</v>
      </c>
      <c r="BI353" s="412">
        <f>IFERROR(__xludf.DUMMYFUNCTION("""COMPUTED_VALUE"""),11.9)</f>
        <v>11.9</v>
      </c>
      <c r="BJ353" s="412">
        <f>IFERROR(__xludf.DUMMYFUNCTION("""COMPUTED_VALUE"""),12.5)</f>
        <v>12.5</v>
      </c>
      <c r="BK353" s="412">
        <f>IFERROR(__xludf.DUMMYFUNCTION("""COMPUTED_VALUE"""),13.0)</f>
        <v>13</v>
      </c>
      <c r="BL353" s="412">
        <f>IFERROR(__xludf.DUMMYFUNCTION("""COMPUTED_VALUE"""),13.5)</f>
        <v>13.5</v>
      </c>
      <c r="BM353" s="412">
        <f>IFERROR(__xludf.DUMMYFUNCTION("""COMPUTED_VALUE"""),18.5)</f>
        <v>18.5</v>
      </c>
      <c r="BN353" s="412">
        <f>IFERROR(__xludf.DUMMYFUNCTION("""COMPUTED_VALUE"""),23.0)</f>
        <v>23</v>
      </c>
      <c r="BO353" s="413">
        <f>IFERROR(__xludf.DUMMYFUNCTION("""COMPUTED_VALUE"""),27.0)</f>
        <v>27</v>
      </c>
    </row>
    <row r="354">
      <c r="A354" s="435" t="str">
        <f>IFERROR(__xludf.DUMMYFUNCTION("""COMPUTED_VALUE"""),"攻撃力Down(緑)")</f>
        <v>攻撃力Down(緑)</v>
      </c>
      <c r="B354" s="385" t="str">
        <f>IFERROR(__xludf.DUMMYFUNCTION("""COMPUTED_VALUE"""),"超瞬間型")</f>
        <v>超瞬間型</v>
      </c>
      <c r="C354" s="386">
        <f>IFERROR(__xludf.DUMMYFUNCTION("""COMPUTED_VALUE"""),3.0)</f>
        <v>3</v>
      </c>
      <c r="D354" s="387" t="str">
        <f>IFERROR(__xludf.DUMMYFUNCTION("""COMPUTED_VALUE"""),"効果時間")</f>
        <v>効果時間</v>
      </c>
      <c r="E354" s="388" t="str">
        <f>IFERROR(__xludf.DUMMYFUNCTION("""COMPUTED_VALUE"""),"-")</f>
        <v>-</v>
      </c>
      <c r="F354" s="389" t="str">
        <f>IFERROR(__xludf.DUMMYFUNCTION("""COMPUTED_VALUE"""),"-")</f>
        <v>-</v>
      </c>
      <c r="G354" s="388" t="str">
        <f>IFERROR(__xludf.DUMMYFUNCTION("""COMPUTED_VALUE"""),"-")</f>
        <v>-</v>
      </c>
      <c r="H354" s="389" t="str">
        <f>IFERROR(__xludf.DUMMYFUNCTION("""COMPUTED_VALUE"""),"-")</f>
        <v>-</v>
      </c>
      <c r="I354" s="388" t="str">
        <f>IFERROR(__xludf.DUMMYFUNCTION("""COMPUTED_VALUE"""),"-")</f>
        <v>-</v>
      </c>
      <c r="J354" s="390">
        <f>IFERROR(__xludf.DUMMYFUNCTION("""COMPUTED_VALUE"""),155.0)</f>
        <v>155</v>
      </c>
      <c r="K354" s="391">
        <f>IFERROR(__xludf.DUMMYFUNCTION("""COMPUTED_VALUE"""),165.0)</f>
        <v>165</v>
      </c>
      <c r="L354" s="340">
        <f>IFERROR(__xludf.DUMMYFUNCTION("""COMPUTED_VALUE"""),185.0)</f>
        <v>185</v>
      </c>
      <c r="M354" s="385" t="str">
        <f>IFERROR(__xludf.DUMMYFUNCTION("""COMPUTED_VALUE"""),"瞬間型")</f>
        <v>瞬間型</v>
      </c>
      <c r="N354" s="386">
        <f>IFERROR(__xludf.DUMMYFUNCTION("""COMPUTED_VALUE"""),3.0)</f>
        <v>3</v>
      </c>
      <c r="O354" s="387" t="str">
        <f>IFERROR(__xludf.DUMMYFUNCTION("""COMPUTED_VALUE"""),"効果時間")</f>
        <v>効果時間</v>
      </c>
      <c r="P354" s="392">
        <f>IFERROR(__xludf.DUMMYFUNCTION("""COMPUTED_VALUE"""),165.0)</f>
        <v>165</v>
      </c>
      <c r="Q354" s="414">
        <f>IFERROR(__xludf.DUMMYFUNCTION("""COMPUTED_VALUE"""),175.0)</f>
        <v>175</v>
      </c>
      <c r="R354" s="415">
        <f>IFERROR(__xludf.DUMMYFUNCTION("""COMPUTED_VALUE"""),180.0)</f>
        <v>180</v>
      </c>
      <c r="S354" s="393">
        <f>IFERROR(__xludf.DUMMYFUNCTION("""COMPUTED_VALUE"""),185.0)</f>
        <v>185</v>
      </c>
      <c r="T354" s="393">
        <f>IFERROR(__xludf.DUMMYFUNCTION("""COMPUTED_VALUE"""),195.0)</f>
        <v>195</v>
      </c>
      <c r="U354" s="414">
        <f>IFERROR(__xludf.DUMMYFUNCTION("""COMPUTED_VALUE"""),200.0)</f>
        <v>200</v>
      </c>
      <c r="V354" s="416">
        <f>IFERROR(__xludf.DUMMYFUNCTION("""COMPUTED_VALUE"""),255.0)</f>
        <v>255</v>
      </c>
      <c r="W354" s="415">
        <f>IFERROR(__xludf.DUMMYFUNCTION("""COMPUTED_VALUE"""),270.0)</f>
        <v>270</v>
      </c>
      <c r="X354" s="385" t="str">
        <f>IFERROR(__xludf.DUMMYFUNCTION("""COMPUTED_VALUE"""),"安定型")</f>
        <v>安定型</v>
      </c>
      <c r="Y354" s="386">
        <f>IFERROR(__xludf.DUMMYFUNCTION("""COMPUTED_VALUE"""),3.0)</f>
        <v>3</v>
      </c>
      <c r="Z354" s="387" t="str">
        <f>IFERROR(__xludf.DUMMYFUNCTION("""COMPUTED_VALUE"""),"効果時間")</f>
        <v>効果時間</v>
      </c>
      <c r="AA354" s="392">
        <f>IFERROR(__xludf.DUMMYFUNCTION("""COMPUTED_VALUE"""),315.0)</f>
        <v>315</v>
      </c>
      <c r="AB354" s="414">
        <f>IFERROR(__xludf.DUMMYFUNCTION("""COMPUTED_VALUE"""),325.0)</f>
        <v>325</v>
      </c>
      <c r="AC354" s="415">
        <f>IFERROR(__xludf.DUMMYFUNCTION("""COMPUTED_VALUE"""),330.0)</f>
        <v>330</v>
      </c>
      <c r="AD354" s="393">
        <f>IFERROR(__xludf.DUMMYFUNCTION("""COMPUTED_VALUE"""),335.0)</f>
        <v>335</v>
      </c>
      <c r="AE354" s="393">
        <f>IFERROR(__xludf.DUMMYFUNCTION("""COMPUTED_VALUE"""),345.0)</f>
        <v>345</v>
      </c>
      <c r="AF354" s="414">
        <f>IFERROR(__xludf.DUMMYFUNCTION("""COMPUTED_VALUE"""),370.0)</f>
        <v>370</v>
      </c>
      <c r="AG354" s="416">
        <f>IFERROR(__xludf.DUMMYFUNCTION("""COMPUTED_VALUE"""),405.0)</f>
        <v>405</v>
      </c>
      <c r="AH354" s="415">
        <f>IFERROR(__xludf.DUMMYFUNCTION("""COMPUTED_VALUE"""),420.0)</f>
        <v>420</v>
      </c>
      <c r="AI354" s="385" t="str">
        <f>IFERROR(__xludf.DUMMYFUNCTION("""COMPUTED_VALUE"""),"持続型")</f>
        <v>持続型</v>
      </c>
      <c r="AJ354" s="386">
        <f>IFERROR(__xludf.DUMMYFUNCTION("""COMPUTED_VALUE"""),3.0)</f>
        <v>3</v>
      </c>
      <c r="AK354" s="387" t="str">
        <f>IFERROR(__xludf.DUMMYFUNCTION("""COMPUTED_VALUE"""),"効果時間")</f>
        <v>効果時間</v>
      </c>
      <c r="AL354" s="392">
        <f>IFERROR(__xludf.DUMMYFUNCTION("""COMPUTED_VALUE"""),465.0)</f>
        <v>465</v>
      </c>
      <c r="AM354" s="414">
        <f>IFERROR(__xludf.DUMMYFUNCTION("""COMPUTED_VALUE"""),475.0)</f>
        <v>475</v>
      </c>
      <c r="AN354" s="415">
        <f>IFERROR(__xludf.DUMMYFUNCTION("""COMPUTED_VALUE"""),480.0)</f>
        <v>480</v>
      </c>
      <c r="AO354" s="393">
        <f>IFERROR(__xludf.DUMMYFUNCTION("""COMPUTED_VALUE"""),485.0)</f>
        <v>485</v>
      </c>
      <c r="AP354" s="393">
        <f>IFERROR(__xludf.DUMMYFUNCTION("""COMPUTED_VALUE"""),495.0)</f>
        <v>495</v>
      </c>
      <c r="AQ354" s="414">
        <f>IFERROR(__xludf.DUMMYFUNCTION("""COMPUTED_VALUE"""),520.0)</f>
        <v>520</v>
      </c>
      <c r="AR354" s="416">
        <f>IFERROR(__xludf.DUMMYFUNCTION("""COMPUTED_VALUE"""),555.0)</f>
        <v>555</v>
      </c>
      <c r="AS354" s="415">
        <f>IFERROR(__xludf.DUMMYFUNCTION("""COMPUTED_VALUE"""),570.0)</f>
        <v>570</v>
      </c>
      <c r="AT354" s="385" t="str">
        <f>IFERROR(__xludf.DUMMYFUNCTION("""COMPUTED_VALUE"""),"超持続型")</f>
        <v>超持続型</v>
      </c>
      <c r="AU354" s="386">
        <f>IFERROR(__xludf.DUMMYFUNCTION("""COMPUTED_VALUE"""),3.0)</f>
        <v>3</v>
      </c>
      <c r="AV354" s="387" t="str">
        <f>IFERROR(__xludf.DUMMYFUNCTION("""COMPUTED_VALUE"""),"効果時間")</f>
        <v>効果時間</v>
      </c>
      <c r="AW354" s="368" t="str">
        <f>IFERROR(__xludf.DUMMYFUNCTION("""COMPUTED_VALUE"""),"-")</f>
        <v>-</v>
      </c>
      <c r="AX354" s="368" t="str">
        <f>IFERROR(__xludf.DUMMYFUNCTION("""COMPUTED_VALUE"""),"-")</f>
        <v>-</v>
      </c>
      <c r="AY354" s="368" t="str">
        <f>IFERROR(__xludf.DUMMYFUNCTION("""COMPUTED_VALUE"""),"-")</f>
        <v>-</v>
      </c>
      <c r="AZ354" s="368" t="str">
        <f>IFERROR(__xludf.DUMMYFUNCTION("""COMPUTED_VALUE"""),"-")</f>
        <v>-</v>
      </c>
      <c r="BA354" s="368" t="str">
        <f>IFERROR(__xludf.DUMMYFUNCTION("""COMPUTED_VALUE"""),"-")</f>
        <v>-</v>
      </c>
      <c r="BB354" s="280">
        <f>IFERROR(__xludf.DUMMYFUNCTION("""COMPUTED_VALUE"""),635.0)</f>
        <v>635</v>
      </c>
      <c r="BC354" s="280">
        <f>IFERROR(__xludf.DUMMYFUNCTION("""COMPUTED_VALUE"""),705.0)</f>
        <v>705</v>
      </c>
      <c r="BD354" s="280">
        <f>IFERROR(__xludf.DUMMYFUNCTION("""COMPUTED_VALUE"""),720.0)</f>
        <v>720</v>
      </c>
      <c r="BE354" s="385" t="str">
        <f>IFERROR(__xludf.DUMMYFUNCTION("""COMPUTED_VALUE"""),"ハイブリッド型")</f>
        <v>ハイブリッド型</v>
      </c>
      <c r="BF354" s="386">
        <f>IFERROR(__xludf.DUMMYFUNCTION("""COMPUTED_VALUE"""),3.0)</f>
        <v>3</v>
      </c>
      <c r="BG354" s="387" t="str">
        <f>IFERROR(__xludf.DUMMYFUNCTION("""COMPUTED_VALUE"""),"効果時間")</f>
        <v>効果時間</v>
      </c>
      <c r="BH354" s="407">
        <f>IFERROR(__xludf.DUMMYFUNCTION("""COMPUTED_VALUE"""),220.0)</f>
        <v>220</v>
      </c>
      <c r="BI354" s="407">
        <f>IFERROR(__xludf.DUMMYFUNCTION("""COMPUTED_VALUE"""),235.0)</f>
        <v>235</v>
      </c>
      <c r="BJ354" s="407">
        <f>IFERROR(__xludf.DUMMYFUNCTION("""COMPUTED_VALUE"""),240.0)</f>
        <v>240</v>
      </c>
      <c r="BK354" s="408">
        <f>IFERROR(__xludf.DUMMYFUNCTION("""COMPUTED_VALUE"""),250.0)</f>
        <v>250</v>
      </c>
      <c r="BL354" s="407">
        <f>IFERROR(__xludf.DUMMYFUNCTION("""COMPUTED_VALUE"""),255.0)</f>
        <v>255</v>
      </c>
      <c r="BM354" s="408">
        <f>IFERROR(__xludf.DUMMYFUNCTION("""COMPUTED_VALUE"""),385.0)</f>
        <v>385</v>
      </c>
      <c r="BN354" s="407">
        <f>IFERROR(__xludf.DUMMYFUNCTION("""COMPUTED_VALUE"""),490.0)</f>
        <v>490</v>
      </c>
      <c r="BO354" s="408">
        <f>IFERROR(__xludf.DUMMYFUNCTION("""COMPUTED_VALUE"""),505.0)</f>
        <v>505</v>
      </c>
    </row>
    <row r="355">
      <c r="A355" s="435" t="str">
        <f>IFERROR(__xludf.DUMMYFUNCTION("""COMPUTED_VALUE"""),"攻撃力Down(緑)")</f>
        <v>攻撃力Down(緑)</v>
      </c>
      <c r="B355" s="385" t="str">
        <f>IFERROR(__xludf.DUMMYFUNCTION("""COMPUTED_VALUE"""),"超瞬間型")</f>
        <v>超瞬間型</v>
      </c>
      <c r="C355" s="399">
        <f>IFERROR(__xludf.DUMMYFUNCTION("""COMPUTED_VALUE"""),4.0)</f>
        <v>4</v>
      </c>
      <c r="D355" s="400" t="str">
        <f>IFERROR(__xludf.DUMMYFUNCTION("""COMPUTED_VALUE"""),"効果値")</f>
        <v>効果値</v>
      </c>
      <c r="E355" s="401" t="str">
        <f>IFERROR(__xludf.DUMMYFUNCTION("""COMPUTED_VALUE"""),"-")</f>
        <v>-</v>
      </c>
      <c r="F355" s="409" t="str">
        <f>IFERROR(__xludf.DUMMYFUNCTION("""COMPUTED_VALUE"""),"-")</f>
        <v>-</v>
      </c>
      <c r="G355" s="409" t="str">
        <f>IFERROR(__xludf.DUMMYFUNCTION("""COMPUTED_VALUE"""),"-")</f>
        <v>-</v>
      </c>
      <c r="H355" s="409" t="str">
        <f>IFERROR(__xludf.DUMMYFUNCTION("""COMPUTED_VALUE"""),"-")</f>
        <v>-</v>
      </c>
      <c r="I355" s="409" t="str">
        <f>IFERROR(__xludf.DUMMYFUNCTION("""COMPUTED_VALUE"""),"-")</f>
        <v>-</v>
      </c>
      <c r="J355" s="410">
        <f>IFERROR(__xludf.DUMMYFUNCTION("""COMPUTED_VALUE"""),59.0)</f>
        <v>59</v>
      </c>
      <c r="K355" s="410">
        <f>IFERROR(__xludf.DUMMYFUNCTION("""COMPUTED_VALUE"""),69.0)</f>
        <v>69</v>
      </c>
      <c r="L355" s="410">
        <f>IFERROR(__xludf.DUMMYFUNCTION("""COMPUTED_VALUE"""),74.0)</f>
        <v>74</v>
      </c>
      <c r="M355" s="385" t="str">
        <f>IFERROR(__xludf.DUMMYFUNCTION("""COMPUTED_VALUE"""),"瞬間型")</f>
        <v>瞬間型</v>
      </c>
      <c r="N355" s="399">
        <f>IFERROR(__xludf.DUMMYFUNCTION("""COMPUTED_VALUE"""),4.0)</f>
        <v>4</v>
      </c>
      <c r="O355" s="400" t="str">
        <f>IFERROR(__xludf.DUMMYFUNCTION("""COMPUTED_VALUE"""),"効果値")</f>
        <v>効果値</v>
      </c>
      <c r="P355" s="343">
        <f>IFERROR(__xludf.DUMMYFUNCTION("""COMPUTED_VALUE"""),23.0)</f>
        <v>23</v>
      </c>
      <c r="Q355" s="402">
        <f>IFERROR(__xludf.DUMMYFUNCTION("""COMPUTED_VALUE"""),23.0)</f>
        <v>23</v>
      </c>
      <c r="R355" s="343">
        <f>IFERROR(__xludf.DUMMYFUNCTION("""COMPUTED_VALUE"""),23.0)</f>
        <v>23</v>
      </c>
      <c r="S355" s="402">
        <f>IFERROR(__xludf.DUMMYFUNCTION("""COMPUTED_VALUE"""),23.0)</f>
        <v>23</v>
      </c>
      <c r="T355" s="343">
        <f>IFERROR(__xludf.DUMMYFUNCTION("""COMPUTED_VALUE"""),23.0)</f>
        <v>23</v>
      </c>
      <c r="U355" s="343">
        <f>IFERROR(__xludf.DUMMYFUNCTION("""COMPUTED_VALUE"""),29.0)</f>
        <v>29</v>
      </c>
      <c r="V355" s="343">
        <f>IFERROR(__xludf.DUMMYFUNCTION("""COMPUTED_VALUE"""),34.0)</f>
        <v>34</v>
      </c>
      <c r="W355" s="343">
        <f>IFERROR(__xludf.DUMMYFUNCTION("""COMPUTED_VALUE"""),39.0)</f>
        <v>39</v>
      </c>
      <c r="X355" s="385" t="str">
        <f>IFERROR(__xludf.DUMMYFUNCTION("""COMPUTED_VALUE"""),"安定型")</f>
        <v>安定型</v>
      </c>
      <c r="Y355" s="399">
        <f>IFERROR(__xludf.DUMMYFUNCTION("""COMPUTED_VALUE"""),4.0)</f>
        <v>4</v>
      </c>
      <c r="Z355" s="400" t="str">
        <f>IFERROR(__xludf.DUMMYFUNCTION("""COMPUTED_VALUE"""),"効果値")</f>
        <v>効果値</v>
      </c>
      <c r="AA355" s="343">
        <f>IFERROR(__xludf.DUMMYFUNCTION("""COMPUTED_VALUE"""),13.0)</f>
        <v>13</v>
      </c>
      <c r="AB355" s="402">
        <f>IFERROR(__xludf.DUMMYFUNCTION("""COMPUTED_VALUE"""),13.0)</f>
        <v>13</v>
      </c>
      <c r="AC355" s="343">
        <f>IFERROR(__xludf.DUMMYFUNCTION("""COMPUTED_VALUE"""),13.0)</f>
        <v>13</v>
      </c>
      <c r="AD355" s="402">
        <f>IFERROR(__xludf.DUMMYFUNCTION("""COMPUTED_VALUE"""),13.0)</f>
        <v>13</v>
      </c>
      <c r="AE355" s="343">
        <f>IFERROR(__xludf.DUMMYFUNCTION("""COMPUTED_VALUE"""),13.0)</f>
        <v>13</v>
      </c>
      <c r="AF355" s="343">
        <f>IFERROR(__xludf.DUMMYFUNCTION("""COMPUTED_VALUE"""),14.0)</f>
        <v>14</v>
      </c>
      <c r="AG355" s="343">
        <f>IFERROR(__xludf.DUMMYFUNCTION("""COMPUTED_VALUE"""),19.0)</f>
        <v>19</v>
      </c>
      <c r="AH355" s="343">
        <f>IFERROR(__xludf.DUMMYFUNCTION("""COMPUTED_VALUE"""),24.0)</f>
        <v>24</v>
      </c>
      <c r="AI355" s="385" t="str">
        <f>IFERROR(__xludf.DUMMYFUNCTION("""COMPUTED_VALUE"""),"持続型")</f>
        <v>持続型</v>
      </c>
      <c r="AJ355" s="399">
        <f>IFERROR(__xludf.DUMMYFUNCTION("""COMPUTED_VALUE"""),4.0)</f>
        <v>4</v>
      </c>
      <c r="AK355" s="400" t="str">
        <f>IFERROR(__xludf.DUMMYFUNCTION("""COMPUTED_VALUE"""),"効果値")</f>
        <v>効果値</v>
      </c>
      <c r="AL355" s="343">
        <f>IFERROR(__xludf.DUMMYFUNCTION("""COMPUTED_VALUE"""),8.0)</f>
        <v>8</v>
      </c>
      <c r="AM355" s="402">
        <f>IFERROR(__xludf.DUMMYFUNCTION("""COMPUTED_VALUE"""),8.0)</f>
        <v>8</v>
      </c>
      <c r="AN355" s="343">
        <f>IFERROR(__xludf.DUMMYFUNCTION("""COMPUTED_VALUE"""),8.0)</f>
        <v>8</v>
      </c>
      <c r="AO355" s="402">
        <f>IFERROR(__xludf.DUMMYFUNCTION("""COMPUTED_VALUE"""),8.0)</f>
        <v>8</v>
      </c>
      <c r="AP355" s="343">
        <f>IFERROR(__xludf.DUMMYFUNCTION("""COMPUTED_VALUE"""),8.0)</f>
        <v>8</v>
      </c>
      <c r="AQ355" s="343">
        <f>IFERROR(__xludf.DUMMYFUNCTION("""COMPUTED_VALUE"""),9.0)</f>
        <v>9</v>
      </c>
      <c r="AR355" s="343">
        <f>IFERROR(__xludf.DUMMYFUNCTION("""COMPUTED_VALUE"""),12.0)</f>
        <v>12</v>
      </c>
      <c r="AS355" s="343">
        <f>IFERROR(__xludf.DUMMYFUNCTION("""COMPUTED_VALUE"""),12.0)</f>
        <v>12</v>
      </c>
      <c r="AT355" s="385" t="str">
        <f>IFERROR(__xludf.DUMMYFUNCTION("""COMPUTED_VALUE"""),"超持続型")</f>
        <v>超持続型</v>
      </c>
      <c r="AU355" s="399">
        <f>IFERROR(__xludf.DUMMYFUNCTION("""COMPUTED_VALUE"""),4.0)</f>
        <v>4</v>
      </c>
      <c r="AV355" s="400" t="str">
        <f>IFERROR(__xludf.DUMMYFUNCTION("""COMPUTED_VALUE"""),"効果値")</f>
        <v>効果値</v>
      </c>
      <c r="AW355" s="403" t="str">
        <f>IFERROR(__xludf.DUMMYFUNCTION("""COMPUTED_VALUE"""),"-")</f>
        <v>-</v>
      </c>
      <c r="AX355" s="403" t="str">
        <f>IFERROR(__xludf.DUMMYFUNCTION("""COMPUTED_VALUE"""),"-")</f>
        <v>-</v>
      </c>
      <c r="AY355" s="403" t="str">
        <f>IFERROR(__xludf.DUMMYFUNCTION("""COMPUTED_VALUE"""),"-")</f>
        <v>-</v>
      </c>
      <c r="AZ355" s="403" t="str">
        <f>IFERROR(__xludf.DUMMYFUNCTION("""COMPUTED_VALUE"""),"-")</f>
        <v>-</v>
      </c>
      <c r="BA355" s="403" t="str">
        <f>IFERROR(__xludf.DUMMYFUNCTION("""COMPUTED_VALUE"""),"-")</f>
        <v>-</v>
      </c>
      <c r="BB355" s="343">
        <f>IFERROR(__xludf.DUMMYFUNCTION("""COMPUTED_VALUE"""),9.0)</f>
        <v>9</v>
      </c>
      <c r="BC355" s="343">
        <f>IFERROR(__xludf.DUMMYFUNCTION("""COMPUTED_VALUE"""),12.0)</f>
        <v>12</v>
      </c>
      <c r="BD355" s="343">
        <f>IFERROR(__xludf.DUMMYFUNCTION("""COMPUTED_VALUE"""),12.0)</f>
        <v>12</v>
      </c>
      <c r="BE355" s="385" t="str">
        <f>IFERROR(__xludf.DUMMYFUNCTION("""COMPUTED_VALUE"""),"ハイブリッド型")</f>
        <v>ハイブリッド型</v>
      </c>
      <c r="BF355" s="399">
        <f>IFERROR(__xludf.DUMMYFUNCTION("""COMPUTED_VALUE"""),4.0)</f>
        <v>4</v>
      </c>
      <c r="BG355" s="400" t="str">
        <f>IFERROR(__xludf.DUMMYFUNCTION("""COMPUTED_VALUE"""),"効果値")</f>
        <v>効果値</v>
      </c>
      <c r="BH355" s="411">
        <f>IFERROR(__xludf.DUMMYFUNCTION("""COMPUTED_VALUE"""),11.8)</f>
        <v>11.8</v>
      </c>
      <c r="BI355" s="412">
        <f>IFERROR(__xludf.DUMMYFUNCTION("""COMPUTED_VALUE"""),12.4)</f>
        <v>12.4</v>
      </c>
      <c r="BJ355" s="412">
        <f>IFERROR(__xludf.DUMMYFUNCTION("""COMPUTED_VALUE"""),13.1)</f>
        <v>13.1</v>
      </c>
      <c r="BK355" s="412">
        <f>IFERROR(__xludf.DUMMYFUNCTION("""COMPUTED_VALUE"""),13.7)</f>
        <v>13.7</v>
      </c>
      <c r="BL355" s="412">
        <f>IFERROR(__xludf.DUMMYFUNCTION("""COMPUTED_VALUE"""),14.4)</f>
        <v>14.4</v>
      </c>
      <c r="BM355" s="412">
        <f>IFERROR(__xludf.DUMMYFUNCTION("""COMPUTED_VALUE"""),19.4)</f>
        <v>19.4</v>
      </c>
      <c r="BN355" s="412">
        <f>IFERROR(__xludf.DUMMYFUNCTION("""COMPUTED_VALUE"""),24.0)</f>
        <v>24</v>
      </c>
      <c r="BO355" s="413">
        <f>IFERROR(__xludf.DUMMYFUNCTION("""COMPUTED_VALUE"""),29.0)</f>
        <v>29</v>
      </c>
    </row>
    <row r="356">
      <c r="A356" s="435" t="str">
        <f>IFERROR(__xludf.DUMMYFUNCTION("""COMPUTED_VALUE"""),"攻撃力Down(緑)")</f>
        <v>攻撃力Down(緑)</v>
      </c>
      <c r="B356" s="385" t="str">
        <f>IFERROR(__xludf.DUMMYFUNCTION("""COMPUTED_VALUE"""),"超瞬間型")</f>
        <v>超瞬間型</v>
      </c>
      <c r="C356" s="386">
        <f>IFERROR(__xludf.DUMMYFUNCTION("""COMPUTED_VALUE"""),4.0)</f>
        <v>4</v>
      </c>
      <c r="D356" s="387" t="str">
        <f>IFERROR(__xludf.DUMMYFUNCTION("""COMPUTED_VALUE"""),"効果時間")</f>
        <v>効果時間</v>
      </c>
      <c r="E356" s="388" t="str">
        <f>IFERROR(__xludf.DUMMYFUNCTION("""COMPUTED_VALUE"""),"-")</f>
        <v>-</v>
      </c>
      <c r="F356" s="389" t="str">
        <f>IFERROR(__xludf.DUMMYFUNCTION("""COMPUTED_VALUE"""),"-")</f>
        <v>-</v>
      </c>
      <c r="G356" s="388" t="str">
        <f>IFERROR(__xludf.DUMMYFUNCTION("""COMPUTED_VALUE"""),"-")</f>
        <v>-</v>
      </c>
      <c r="H356" s="389" t="str">
        <f>IFERROR(__xludf.DUMMYFUNCTION("""COMPUTED_VALUE"""),"-")</f>
        <v>-</v>
      </c>
      <c r="I356" s="388" t="str">
        <f>IFERROR(__xludf.DUMMYFUNCTION("""COMPUTED_VALUE"""),"-")</f>
        <v>-</v>
      </c>
      <c r="J356" s="390">
        <f>IFERROR(__xludf.DUMMYFUNCTION("""COMPUTED_VALUE"""),155.0)</f>
        <v>155</v>
      </c>
      <c r="K356" s="391">
        <f>IFERROR(__xludf.DUMMYFUNCTION("""COMPUTED_VALUE"""),170.0)</f>
        <v>170</v>
      </c>
      <c r="L356" s="340">
        <f>IFERROR(__xludf.DUMMYFUNCTION("""COMPUTED_VALUE"""),195.0)</f>
        <v>195</v>
      </c>
      <c r="M356" s="385" t="str">
        <f>IFERROR(__xludf.DUMMYFUNCTION("""COMPUTED_VALUE"""),"瞬間型")</f>
        <v>瞬間型</v>
      </c>
      <c r="N356" s="386">
        <f>IFERROR(__xludf.DUMMYFUNCTION("""COMPUTED_VALUE"""),4.0)</f>
        <v>4</v>
      </c>
      <c r="O356" s="387" t="str">
        <f>IFERROR(__xludf.DUMMYFUNCTION("""COMPUTED_VALUE"""),"効果時間")</f>
        <v>効果時間</v>
      </c>
      <c r="P356" s="280">
        <f>IFERROR(__xludf.DUMMYFUNCTION("""COMPUTED_VALUE"""),170.0)</f>
        <v>170</v>
      </c>
      <c r="Q356" s="275">
        <f>IFERROR(__xludf.DUMMYFUNCTION("""COMPUTED_VALUE"""),180.0)</f>
        <v>180</v>
      </c>
      <c r="R356" s="280">
        <f>IFERROR(__xludf.DUMMYFUNCTION("""COMPUTED_VALUE"""),185.0)</f>
        <v>185</v>
      </c>
      <c r="S356" s="275">
        <f>IFERROR(__xludf.DUMMYFUNCTION("""COMPUTED_VALUE"""),195.0)</f>
        <v>195</v>
      </c>
      <c r="T356" s="280">
        <f>IFERROR(__xludf.DUMMYFUNCTION("""COMPUTED_VALUE"""),200.0)</f>
        <v>200</v>
      </c>
      <c r="U356" s="280">
        <f>IFERROR(__xludf.DUMMYFUNCTION("""COMPUTED_VALUE"""),215.0)</f>
        <v>215</v>
      </c>
      <c r="V356" s="280">
        <f>IFERROR(__xludf.DUMMYFUNCTION("""COMPUTED_VALUE"""),285.0)</f>
        <v>285</v>
      </c>
      <c r="W356" s="280">
        <f>IFERROR(__xludf.DUMMYFUNCTION("""COMPUTED_VALUE"""),305.0)</f>
        <v>305</v>
      </c>
      <c r="X356" s="385" t="str">
        <f>IFERROR(__xludf.DUMMYFUNCTION("""COMPUTED_VALUE"""),"安定型")</f>
        <v>安定型</v>
      </c>
      <c r="Y356" s="386">
        <f>IFERROR(__xludf.DUMMYFUNCTION("""COMPUTED_VALUE"""),4.0)</f>
        <v>4</v>
      </c>
      <c r="Z356" s="387" t="str">
        <f>IFERROR(__xludf.DUMMYFUNCTION("""COMPUTED_VALUE"""),"効果時間")</f>
        <v>効果時間</v>
      </c>
      <c r="AA356" s="280">
        <f>IFERROR(__xludf.DUMMYFUNCTION("""COMPUTED_VALUE"""),320.0)</f>
        <v>320</v>
      </c>
      <c r="AB356" s="275">
        <f>IFERROR(__xludf.DUMMYFUNCTION("""COMPUTED_VALUE"""),330.0)</f>
        <v>330</v>
      </c>
      <c r="AC356" s="280">
        <f>IFERROR(__xludf.DUMMYFUNCTION("""COMPUTED_VALUE"""),335.0)</f>
        <v>335</v>
      </c>
      <c r="AD356" s="275">
        <f>IFERROR(__xludf.DUMMYFUNCTION("""COMPUTED_VALUE"""),345.0)</f>
        <v>345</v>
      </c>
      <c r="AE356" s="280">
        <f>IFERROR(__xludf.DUMMYFUNCTION("""COMPUTED_VALUE"""),350.0)</f>
        <v>350</v>
      </c>
      <c r="AF356" s="280">
        <f>IFERROR(__xludf.DUMMYFUNCTION("""COMPUTED_VALUE"""),390.0)</f>
        <v>390</v>
      </c>
      <c r="AG356" s="280">
        <f>IFERROR(__xludf.DUMMYFUNCTION("""COMPUTED_VALUE"""),435.0)</f>
        <v>435</v>
      </c>
      <c r="AH356" s="280">
        <f>IFERROR(__xludf.DUMMYFUNCTION("""COMPUTED_VALUE"""),455.0)</f>
        <v>455</v>
      </c>
      <c r="AI356" s="385" t="str">
        <f>IFERROR(__xludf.DUMMYFUNCTION("""COMPUTED_VALUE"""),"持続型")</f>
        <v>持続型</v>
      </c>
      <c r="AJ356" s="386">
        <f>IFERROR(__xludf.DUMMYFUNCTION("""COMPUTED_VALUE"""),4.0)</f>
        <v>4</v>
      </c>
      <c r="AK356" s="387" t="str">
        <f>IFERROR(__xludf.DUMMYFUNCTION("""COMPUTED_VALUE"""),"効果時間")</f>
        <v>効果時間</v>
      </c>
      <c r="AL356" s="280">
        <f>IFERROR(__xludf.DUMMYFUNCTION("""COMPUTED_VALUE"""),470.0)</f>
        <v>470</v>
      </c>
      <c r="AM356" s="275">
        <f>IFERROR(__xludf.DUMMYFUNCTION("""COMPUTED_VALUE"""),480.0)</f>
        <v>480</v>
      </c>
      <c r="AN356" s="280">
        <f>IFERROR(__xludf.DUMMYFUNCTION("""COMPUTED_VALUE"""),485.0)</f>
        <v>485</v>
      </c>
      <c r="AO356" s="275">
        <f>IFERROR(__xludf.DUMMYFUNCTION("""COMPUTED_VALUE"""),495.0)</f>
        <v>495</v>
      </c>
      <c r="AP356" s="280">
        <f>IFERROR(__xludf.DUMMYFUNCTION("""COMPUTED_VALUE"""),500.0)</f>
        <v>500</v>
      </c>
      <c r="AQ356" s="280">
        <f>IFERROR(__xludf.DUMMYFUNCTION("""COMPUTED_VALUE"""),540.0)</f>
        <v>540</v>
      </c>
      <c r="AR356" s="280">
        <f>IFERROR(__xludf.DUMMYFUNCTION("""COMPUTED_VALUE"""),585.0)</f>
        <v>585</v>
      </c>
      <c r="AS356" s="280">
        <f>IFERROR(__xludf.DUMMYFUNCTION("""COMPUTED_VALUE"""),605.0)</f>
        <v>605</v>
      </c>
      <c r="AT356" s="385" t="str">
        <f>IFERROR(__xludf.DUMMYFUNCTION("""COMPUTED_VALUE"""),"超持続型")</f>
        <v>超持続型</v>
      </c>
      <c r="AU356" s="386">
        <f>IFERROR(__xludf.DUMMYFUNCTION("""COMPUTED_VALUE"""),4.0)</f>
        <v>4</v>
      </c>
      <c r="AV356" s="387" t="str">
        <f>IFERROR(__xludf.DUMMYFUNCTION("""COMPUTED_VALUE"""),"効果時間")</f>
        <v>効果時間</v>
      </c>
      <c r="AW356" s="368" t="str">
        <f>IFERROR(__xludf.DUMMYFUNCTION("""COMPUTED_VALUE"""),"-")</f>
        <v>-</v>
      </c>
      <c r="AX356" s="368" t="str">
        <f>IFERROR(__xludf.DUMMYFUNCTION("""COMPUTED_VALUE"""),"-")</f>
        <v>-</v>
      </c>
      <c r="AY356" s="368" t="str">
        <f>IFERROR(__xludf.DUMMYFUNCTION("""COMPUTED_VALUE"""),"-")</f>
        <v>-</v>
      </c>
      <c r="AZ356" s="368" t="str">
        <f>IFERROR(__xludf.DUMMYFUNCTION("""COMPUTED_VALUE"""),"-")</f>
        <v>-</v>
      </c>
      <c r="BA356" s="368" t="str">
        <f>IFERROR(__xludf.DUMMYFUNCTION("""COMPUTED_VALUE"""),"-")</f>
        <v>-</v>
      </c>
      <c r="BB356" s="280">
        <f>IFERROR(__xludf.DUMMYFUNCTION("""COMPUTED_VALUE"""),645.0)</f>
        <v>645</v>
      </c>
      <c r="BC356" s="280">
        <f>IFERROR(__xludf.DUMMYFUNCTION("""COMPUTED_VALUE"""),735.0)</f>
        <v>735</v>
      </c>
      <c r="BD356" s="280">
        <f>IFERROR(__xludf.DUMMYFUNCTION("""COMPUTED_VALUE"""),755.0)</f>
        <v>755</v>
      </c>
      <c r="BE356" s="385" t="str">
        <f>IFERROR(__xludf.DUMMYFUNCTION("""COMPUTED_VALUE"""),"ハイブリッド型")</f>
        <v>ハイブリッド型</v>
      </c>
      <c r="BF356" s="386">
        <f>IFERROR(__xludf.DUMMYFUNCTION("""COMPUTED_VALUE"""),4.0)</f>
        <v>4</v>
      </c>
      <c r="BG356" s="387" t="str">
        <f>IFERROR(__xludf.DUMMYFUNCTION("""COMPUTED_VALUE"""),"効果時間")</f>
        <v>効果時間</v>
      </c>
      <c r="BH356" s="417">
        <f>IFERROR(__xludf.DUMMYFUNCTION("""COMPUTED_VALUE"""),240.0)</f>
        <v>240</v>
      </c>
      <c r="BI356" s="417">
        <f>IFERROR(__xludf.DUMMYFUNCTION("""COMPUTED_VALUE"""),255.0)</f>
        <v>255</v>
      </c>
      <c r="BJ356" s="417">
        <f>IFERROR(__xludf.DUMMYFUNCTION("""COMPUTED_VALUE"""),265.0)</f>
        <v>265</v>
      </c>
      <c r="BK356" s="418">
        <f>IFERROR(__xludf.DUMMYFUNCTION("""COMPUTED_VALUE"""),275.0)</f>
        <v>275</v>
      </c>
      <c r="BL356" s="417">
        <f>IFERROR(__xludf.DUMMYFUNCTION("""COMPUTED_VALUE"""),285.0)</f>
        <v>285</v>
      </c>
      <c r="BM356" s="418">
        <f>IFERROR(__xludf.DUMMYFUNCTION("""COMPUTED_VALUE"""),395.0)</f>
        <v>395</v>
      </c>
      <c r="BN356" s="417">
        <f>IFERROR(__xludf.DUMMYFUNCTION("""COMPUTED_VALUE"""),500.0)</f>
        <v>500</v>
      </c>
      <c r="BO356" s="418">
        <f>IFERROR(__xludf.DUMMYFUNCTION("""COMPUTED_VALUE"""),520.0)</f>
        <v>520</v>
      </c>
    </row>
    <row r="357">
      <c r="A357" s="435" t="str">
        <f>IFERROR(__xludf.DUMMYFUNCTION("""COMPUTED_VALUE"""),"攻撃力Down(緑)")</f>
        <v>攻撃力Down(緑)</v>
      </c>
      <c r="B357" s="385" t="str">
        <f>IFERROR(__xludf.DUMMYFUNCTION("""COMPUTED_VALUE"""),"超瞬間型")</f>
        <v>超瞬間型</v>
      </c>
      <c r="C357" s="399">
        <f>IFERROR(__xludf.DUMMYFUNCTION("""COMPUTED_VALUE"""),5.0)</f>
        <v>5</v>
      </c>
      <c r="D357" s="400" t="str">
        <f>IFERROR(__xludf.DUMMYFUNCTION("""COMPUTED_VALUE"""),"効果値")</f>
        <v>効果値</v>
      </c>
      <c r="E357" s="419" t="str">
        <f>IFERROR(__xludf.DUMMYFUNCTION("""COMPUTED_VALUE"""),"-")</f>
        <v>-</v>
      </c>
      <c r="F357" s="409" t="str">
        <f>IFERROR(__xludf.DUMMYFUNCTION("""COMPUTED_VALUE"""),"-")</f>
        <v>-</v>
      </c>
      <c r="G357" s="409" t="str">
        <f>IFERROR(__xludf.DUMMYFUNCTION("""COMPUTED_VALUE"""),"-")</f>
        <v>-</v>
      </c>
      <c r="H357" s="409" t="str">
        <f>IFERROR(__xludf.DUMMYFUNCTION("""COMPUTED_VALUE"""),"-")</f>
        <v>-</v>
      </c>
      <c r="I357" s="409" t="str">
        <f>IFERROR(__xludf.DUMMYFUNCTION("""COMPUTED_VALUE"""),"-")</f>
        <v>-</v>
      </c>
      <c r="J357" s="420">
        <f>IFERROR(__xludf.DUMMYFUNCTION("""COMPUTED_VALUE"""),60.0)</f>
        <v>60</v>
      </c>
      <c r="K357" s="421">
        <f>IFERROR(__xludf.DUMMYFUNCTION("""COMPUTED_VALUE"""),70.0)</f>
        <v>70</v>
      </c>
      <c r="L357" s="421">
        <f>IFERROR(__xludf.DUMMYFUNCTION("""COMPUTED_VALUE"""),75.0)</f>
        <v>75</v>
      </c>
      <c r="M357" s="385" t="str">
        <f>IFERROR(__xludf.DUMMYFUNCTION("""COMPUTED_VALUE"""),"瞬間型")</f>
        <v>瞬間型</v>
      </c>
      <c r="N357" s="399">
        <f>IFERROR(__xludf.DUMMYFUNCTION("""COMPUTED_VALUE"""),5.0)</f>
        <v>5</v>
      </c>
      <c r="O357" s="400" t="str">
        <f>IFERROR(__xludf.DUMMYFUNCTION("""COMPUTED_VALUE"""),"効果値")</f>
        <v>効果値</v>
      </c>
      <c r="P357" s="422">
        <f>IFERROR(__xludf.DUMMYFUNCTION("""COMPUTED_VALUE"""),23.0)</f>
        <v>23</v>
      </c>
      <c r="Q357" s="423">
        <f>IFERROR(__xludf.DUMMYFUNCTION("""COMPUTED_VALUE"""),23.0)</f>
        <v>23</v>
      </c>
      <c r="R357" s="422">
        <f>IFERROR(__xludf.DUMMYFUNCTION("""COMPUTED_VALUE"""),24.0)</f>
        <v>24</v>
      </c>
      <c r="S357" s="423">
        <f>IFERROR(__xludf.DUMMYFUNCTION("""COMPUTED_VALUE"""),24.0)</f>
        <v>24</v>
      </c>
      <c r="T357" s="422">
        <f>IFERROR(__xludf.DUMMYFUNCTION("""COMPUTED_VALUE"""),24.0)</f>
        <v>24</v>
      </c>
      <c r="U357" s="423">
        <f>IFERROR(__xludf.DUMMYFUNCTION("""COMPUTED_VALUE"""),30.0)</f>
        <v>30</v>
      </c>
      <c r="V357" s="423">
        <f>IFERROR(__xludf.DUMMYFUNCTION("""COMPUTED_VALUE"""),35.0)</f>
        <v>35</v>
      </c>
      <c r="W357" s="424">
        <f>IFERROR(__xludf.DUMMYFUNCTION("""COMPUTED_VALUE"""),40.0)</f>
        <v>40</v>
      </c>
      <c r="X357" s="385" t="str">
        <f>IFERROR(__xludf.DUMMYFUNCTION("""COMPUTED_VALUE"""),"安定型")</f>
        <v>安定型</v>
      </c>
      <c r="Y357" s="399">
        <f>IFERROR(__xludf.DUMMYFUNCTION("""COMPUTED_VALUE"""),5.0)</f>
        <v>5</v>
      </c>
      <c r="Z357" s="400" t="str">
        <f>IFERROR(__xludf.DUMMYFUNCTION("""COMPUTED_VALUE"""),"効果値")</f>
        <v>効果値</v>
      </c>
      <c r="AA357" s="422">
        <f>IFERROR(__xludf.DUMMYFUNCTION("""COMPUTED_VALUE"""),13.0)</f>
        <v>13</v>
      </c>
      <c r="AB357" s="423">
        <f>IFERROR(__xludf.DUMMYFUNCTION("""COMPUTED_VALUE"""),13.0)</f>
        <v>13</v>
      </c>
      <c r="AC357" s="422">
        <f>IFERROR(__xludf.DUMMYFUNCTION("""COMPUTED_VALUE"""),14.0)</f>
        <v>14</v>
      </c>
      <c r="AD357" s="423">
        <f>IFERROR(__xludf.DUMMYFUNCTION("""COMPUTED_VALUE"""),14.0)</f>
        <v>14</v>
      </c>
      <c r="AE357" s="422">
        <f>IFERROR(__xludf.DUMMYFUNCTION("""COMPUTED_VALUE"""),14.0)</f>
        <v>14</v>
      </c>
      <c r="AF357" s="423">
        <f>IFERROR(__xludf.DUMMYFUNCTION("""COMPUTED_VALUE"""),15.0)</f>
        <v>15</v>
      </c>
      <c r="AG357" s="423">
        <f>IFERROR(__xludf.DUMMYFUNCTION("""COMPUTED_VALUE"""),20.0)</f>
        <v>20</v>
      </c>
      <c r="AH357" s="424">
        <f>IFERROR(__xludf.DUMMYFUNCTION("""COMPUTED_VALUE"""),25.0)</f>
        <v>25</v>
      </c>
      <c r="AI357" s="385" t="str">
        <f>IFERROR(__xludf.DUMMYFUNCTION("""COMPUTED_VALUE"""),"持続型")</f>
        <v>持続型</v>
      </c>
      <c r="AJ357" s="399">
        <f>IFERROR(__xludf.DUMMYFUNCTION("""COMPUTED_VALUE"""),5.0)</f>
        <v>5</v>
      </c>
      <c r="AK357" s="400" t="str">
        <f>IFERROR(__xludf.DUMMYFUNCTION("""COMPUTED_VALUE"""),"効果値")</f>
        <v>効果値</v>
      </c>
      <c r="AL357" s="422">
        <f>IFERROR(__xludf.DUMMYFUNCTION("""COMPUTED_VALUE"""),8.0)</f>
        <v>8</v>
      </c>
      <c r="AM357" s="423">
        <f>IFERROR(__xludf.DUMMYFUNCTION("""COMPUTED_VALUE"""),8.0)</f>
        <v>8</v>
      </c>
      <c r="AN357" s="422">
        <f>IFERROR(__xludf.DUMMYFUNCTION("""COMPUTED_VALUE"""),9.0)</f>
        <v>9</v>
      </c>
      <c r="AO357" s="423">
        <f>IFERROR(__xludf.DUMMYFUNCTION("""COMPUTED_VALUE"""),9.0)</f>
        <v>9</v>
      </c>
      <c r="AP357" s="422">
        <f>IFERROR(__xludf.DUMMYFUNCTION("""COMPUTED_VALUE"""),9.0)</f>
        <v>9</v>
      </c>
      <c r="AQ357" s="423">
        <f>IFERROR(__xludf.DUMMYFUNCTION("""COMPUTED_VALUE"""),10.0)</f>
        <v>10</v>
      </c>
      <c r="AR357" s="423">
        <f>IFERROR(__xludf.DUMMYFUNCTION("""COMPUTED_VALUE"""),12.0)</f>
        <v>12</v>
      </c>
      <c r="AS357" s="424">
        <f>IFERROR(__xludf.DUMMYFUNCTION("""COMPUTED_VALUE"""),12.0)</f>
        <v>12</v>
      </c>
      <c r="AT357" s="385" t="str">
        <f>IFERROR(__xludf.DUMMYFUNCTION("""COMPUTED_VALUE"""),"超持続型")</f>
        <v>超持続型</v>
      </c>
      <c r="AU357" s="399">
        <f>IFERROR(__xludf.DUMMYFUNCTION("""COMPUTED_VALUE"""),5.0)</f>
        <v>5</v>
      </c>
      <c r="AV357" s="400" t="str">
        <f>IFERROR(__xludf.DUMMYFUNCTION("""COMPUTED_VALUE"""),"効果値")</f>
        <v>効果値</v>
      </c>
      <c r="AW357" s="425" t="str">
        <f>IFERROR(__xludf.DUMMYFUNCTION("""COMPUTED_VALUE"""),"-")</f>
        <v>-</v>
      </c>
      <c r="AX357" s="426" t="str">
        <f>IFERROR(__xludf.DUMMYFUNCTION("""COMPUTED_VALUE"""),"-")</f>
        <v>-</v>
      </c>
      <c r="AY357" s="426" t="str">
        <f>IFERROR(__xludf.DUMMYFUNCTION("""COMPUTED_VALUE"""),"-")</f>
        <v>-</v>
      </c>
      <c r="AZ357" s="426" t="str">
        <f>IFERROR(__xludf.DUMMYFUNCTION("""COMPUTED_VALUE"""),"-")</f>
        <v>-</v>
      </c>
      <c r="BA357" s="426" t="str">
        <f>IFERROR(__xludf.DUMMYFUNCTION("""COMPUTED_VALUE"""),"-")</f>
        <v>-</v>
      </c>
      <c r="BB357" s="423">
        <f>IFERROR(__xludf.DUMMYFUNCTION("""COMPUTED_VALUE"""),10.0)</f>
        <v>10</v>
      </c>
      <c r="BC357" s="423">
        <f>IFERROR(__xludf.DUMMYFUNCTION("""COMPUTED_VALUE"""),12.0)</f>
        <v>12</v>
      </c>
      <c r="BD357" s="424">
        <f>IFERROR(__xludf.DUMMYFUNCTION("""COMPUTED_VALUE"""),12.0)</f>
        <v>12</v>
      </c>
      <c r="BE357" s="385" t="str">
        <f>IFERROR(__xludf.DUMMYFUNCTION("""COMPUTED_VALUE"""),"ハイブリッド型")</f>
        <v>ハイブリッド型</v>
      </c>
      <c r="BF357" s="399">
        <f>IFERROR(__xludf.DUMMYFUNCTION("""COMPUTED_VALUE"""),5.0)</f>
        <v>5</v>
      </c>
      <c r="BG357" s="400" t="str">
        <f>IFERROR(__xludf.DUMMYFUNCTION("""COMPUTED_VALUE"""),"効果値")</f>
        <v>効果値</v>
      </c>
      <c r="BH357" s="427">
        <f>IFERROR(__xludf.DUMMYFUNCTION("""COMPUTED_VALUE"""),12.0)</f>
        <v>12</v>
      </c>
      <c r="BI357" s="428">
        <f>IFERROR(__xludf.DUMMYFUNCTION("""COMPUTED_VALUE"""),12.75)</f>
        <v>12.75</v>
      </c>
      <c r="BJ357" s="428">
        <f>IFERROR(__xludf.DUMMYFUNCTION("""COMPUTED_VALUE"""),13.5)</f>
        <v>13.5</v>
      </c>
      <c r="BK357" s="428">
        <f>IFERROR(__xludf.DUMMYFUNCTION("""COMPUTED_VALUE"""),14.25)</f>
        <v>14.25</v>
      </c>
      <c r="BL357" s="427">
        <f>IFERROR(__xludf.DUMMYFUNCTION("""COMPUTED_VALUE"""),15.0)</f>
        <v>15</v>
      </c>
      <c r="BM357" s="427">
        <f>IFERROR(__xludf.DUMMYFUNCTION("""COMPUTED_VALUE"""),20.0)</f>
        <v>20</v>
      </c>
      <c r="BN357" s="427">
        <f>IFERROR(__xludf.DUMMYFUNCTION("""COMPUTED_VALUE"""),25.0)</f>
        <v>25</v>
      </c>
      <c r="BO357" s="429">
        <f>IFERROR(__xludf.DUMMYFUNCTION("""COMPUTED_VALUE"""),30.0)</f>
        <v>30</v>
      </c>
    </row>
    <row r="358">
      <c r="A358" s="435" t="str">
        <f>IFERROR(__xludf.DUMMYFUNCTION("""COMPUTED_VALUE"""),"攻撃力Down(緑)")</f>
        <v>攻撃力Down(緑)</v>
      </c>
      <c r="B358" s="385" t="str">
        <f>IFERROR(__xludf.DUMMYFUNCTION("""COMPUTED_VALUE"""),"超瞬間型")</f>
        <v>超瞬間型</v>
      </c>
      <c r="C358" s="430">
        <f>IFERROR(__xludf.DUMMYFUNCTION("""COMPUTED_VALUE"""),5.0)</f>
        <v>5</v>
      </c>
      <c r="D358" s="431" t="str">
        <f>IFERROR(__xludf.DUMMYFUNCTION("""COMPUTED_VALUE"""),"効果時間")</f>
        <v>効果時間</v>
      </c>
      <c r="E358" s="388" t="str">
        <f>IFERROR(__xludf.DUMMYFUNCTION("""COMPUTED_VALUE"""),"-")</f>
        <v>-</v>
      </c>
      <c r="F358" s="389" t="str">
        <f>IFERROR(__xludf.DUMMYFUNCTION("""COMPUTED_VALUE"""),"-")</f>
        <v>-</v>
      </c>
      <c r="G358" s="388" t="str">
        <f>IFERROR(__xludf.DUMMYFUNCTION("""COMPUTED_VALUE"""),"-")</f>
        <v>-</v>
      </c>
      <c r="H358" s="389" t="str">
        <f>IFERROR(__xludf.DUMMYFUNCTION("""COMPUTED_VALUE"""),"-")</f>
        <v>-</v>
      </c>
      <c r="I358" s="388" t="str">
        <f>IFERROR(__xludf.DUMMYFUNCTION("""COMPUTED_VALUE"""),"-")</f>
        <v>-</v>
      </c>
      <c r="J358" s="390">
        <f>IFERROR(__xludf.DUMMYFUNCTION("""COMPUTED_VALUE"""),160.0)</f>
        <v>160</v>
      </c>
      <c r="K358" s="391">
        <f>IFERROR(__xludf.DUMMYFUNCTION("""COMPUTED_VALUE"""),175.0)</f>
        <v>175</v>
      </c>
      <c r="L358" s="340">
        <f>IFERROR(__xludf.DUMMYFUNCTION("""COMPUTED_VALUE"""),200.0)</f>
        <v>200</v>
      </c>
      <c r="M358" s="385" t="str">
        <f>IFERROR(__xludf.DUMMYFUNCTION("""COMPUTED_VALUE"""),"瞬間型")</f>
        <v>瞬間型</v>
      </c>
      <c r="N358" s="430">
        <f>IFERROR(__xludf.DUMMYFUNCTION("""COMPUTED_VALUE"""),5.0)</f>
        <v>5</v>
      </c>
      <c r="O358" s="431" t="str">
        <f>IFERROR(__xludf.DUMMYFUNCTION("""COMPUTED_VALUE"""),"効果時間")</f>
        <v>効果時間</v>
      </c>
      <c r="P358" s="392">
        <f>IFERROR(__xludf.DUMMYFUNCTION("""COMPUTED_VALUE"""),175.0)</f>
        <v>175</v>
      </c>
      <c r="Q358" s="414">
        <f>IFERROR(__xludf.DUMMYFUNCTION("""COMPUTED_VALUE"""),185.0)</f>
        <v>185</v>
      </c>
      <c r="R358" s="414">
        <f>IFERROR(__xludf.DUMMYFUNCTION("""COMPUTED_VALUE"""),190.0)</f>
        <v>190</v>
      </c>
      <c r="S358" s="414">
        <f>IFERROR(__xludf.DUMMYFUNCTION("""COMPUTED_VALUE"""),195.0)</f>
        <v>195</v>
      </c>
      <c r="T358" s="394">
        <f>IFERROR(__xludf.DUMMYFUNCTION("""COMPUTED_VALUE"""),200.0)</f>
        <v>200</v>
      </c>
      <c r="U358" s="394">
        <f>IFERROR(__xludf.DUMMYFUNCTION("""COMPUTED_VALUE"""),225.0)</f>
        <v>225</v>
      </c>
      <c r="V358" s="394">
        <f>IFERROR(__xludf.DUMMYFUNCTION("""COMPUTED_VALUE"""),300.0)</f>
        <v>300</v>
      </c>
      <c r="W358" s="394">
        <f>IFERROR(__xludf.DUMMYFUNCTION("""COMPUTED_VALUE"""),325.0)</f>
        <v>325</v>
      </c>
      <c r="X358" s="385" t="str">
        <f>IFERROR(__xludf.DUMMYFUNCTION("""COMPUTED_VALUE"""),"安定型")</f>
        <v>安定型</v>
      </c>
      <c r="Y358" s="430">
        <f>IFERROR(__xludf.DUMMYFUNCTION("""COMPUTED_VALUE"""),5.0)</f>
        <v>5</v>
      </c>
      <c r="Z358" s="431" t="str">
        <f>IFERROR(__xludf.DUMMYFUNCTION("""COMPUTED_VALUE"""),"効果時間")</f>
        <v>効果時間</v>
      </c>
      <c r="AA358" s="392">
        <f>IFERROR(__xludf.DUMMYFUNCTION("""COMPUTED_VALUE"""),325.0)</f>
        <v>325</v>
      </c>
      <c r="AB358" s="414">
        <f>IFERROR(__xludf.DUMMYFUNCTION("""COMPUTED_VALUE"""),335.0)</f>
        <v>335</v>
      </c>
      <c r="AC358" s="414">
        <f>IFERROR(__xludf.DUMMYFUNCTION("""COMPUTED_VALUE"""),340.0)</f>
        <v>340</v>
      </c>
      <c r="AD358" s="414">
        <f>IFERROR(__xludf.DUMMYFUNCTION("""COMPUTED_VALUE"""),345.0)</f>
        <v>345</v>
      </c>
      <c r="AE358" s="394">
        <f>IFERROR(__xludf.DUMMYFUNCTION("""COMPUTED_VALUE"""),350.0)</f>
        <v>350</v>
      </c>
      <c r="AF358" s="394">
        <f>IFERROR(__xludf.DUMMYFUNCTION("""COMPUTED_VALUE"""),400.0)</f>
        <v>400</v>
      </c>
      <c r="AG358" s="394">
        <f>IFERROR(__xludf.DUMMYFUNCTION("""COMPUTED_VALUE"""),450.0)</f>
        <v>450</v>
      </c>
      <c r="AH358" s="394">
        <f>IFERROR(__xludf.DUMMYFUNCTION("""COMPUTED_VALUE"""),475.0)</f>
        <v>475</v>
      </c>
      <c r="AI358" s="385" t="str">
        <f>IFERROR(__xludf.DUMMYFUNCTION("""COMPUTED_VALUE"""),"持続型")</f>
        <v>持続型</v>
      </c>
      <c r="AJ358" s="430">
        <f>IFERROR(__xludf.DUMMYFUNCTION("""COMPUTED_VALUE"""),5.0)</f>
        <v>5</v>
      </c>
      <c r="AK358" s="431" t="str">
        <f>IFERROR(__xludf.DUMMYFUNCTION("""COMPUTED_VALUE"""),"効果時間")</f>
        <v>効果時間</v>
      </c>
      <c r="AL358" s="392">
        <f>IFERROR(__xludf.DUMMYFUNCTION("""COMPUTED_VALUE"""),475.0)</f>
        <v>475</v>
      </c>
      <c r="AM358" s="414">
        <f>IFERROR(__xludf.DUMMYFUNCTION("""COMPUTED_VALUE"""),485.0)</f>
        <v>485</v>
      </c>
      <c r="AN358" s="414">
        <f>IFERROR(__xludf.DUMMYFUNCTION("""COMPUTED_VALUE"""),490.0)</f>
        <v>490</v>
      </c>
      <c r="AO358" s="414">
        <f>IFERROR(__xludf.DUMMYFUNCTION("""COMPUTED_VALUE"""),495.0)</f>
        <v>495</v>
      </c>
      <c r="AP358" s="394">
        <f>IFERROR(__xludf.DUMMYFUNCTION("""COMPUTED_VALUE"""),500.0)</f>
        <v>500</v>
      </c>
      <c r="AQ358" s="394">
        <f>IFERROR(__xludf.DUMMYFUNCTION("""COMPUTED_VALUE"""),550.0)</f>
        <v>550</v>
      </c>
      <c r="AR358" s="394">
        <f>IFERROR(__xludf.DUMMYFUNCTION("""COMPUTED_VALUE"""),600.0)</f>
        <v>600</v>
      </c>
      <c r="AS358" s="394">
        <f>IFERROR(__xludf.DUMMYFUNCTION("""COMPUTED_VALUE"""),625.0)</f>
        <v>625</v>
      </c>
      <c r="AT358" s="385" t="str">
        <f>IFERROR(__xludf.DUMMYFUNCTION("""COMPUTED_VALUE"""),"超持続型")</f>
        <v>超持続型</v>
      </c>
      <c r="AU358" s="430">
        <f>IFERROR(__xludf.DUMMYFUNCTION("""COMPUTED_VALUE"""),5.0)</f>
        <v>5</v>
      </c>
      <c r="AV358" s="431" t="str">
        <f>IFERROR(__xludf.DUMMYFUNCTION("""COMPUTED_VALUE"""),"効果時間")</f>
        <v>効果時間</v>
      </c>
      <c r="AW358" s="395" t="str">
        <f>IFERROR(__xludf.DUMMYFUNCTION("""COMPUTED_VALUE"""),"-")</f>
        <v>-</v>
      </c>
      <c r="AX358" s="396" t="str">
        <f>IFERROR(__xludf.DUMMYFUNCTION("""COMPUTED_VALUE"""),"-")</f>
        <v>-</v>
      </c>
      <c r="AY358" s="396" t="str">
        <f>IFERROR(__xludf.DUMMYFUNCTION("""COMPUTED_VALUE"""),"-")</f>
        <v>-</v>
      </c>
      <c r="AZ358" s="396" t="str">
        <f>IFERROR(__xludf.DUMMYFUNCTION("""COMPUTED_VALUE"""),"-")</f>
        <v>-</v>
      </c>
      <c r="BA358" s="396" t="str">
        <f>IFERROR(__xludf.DUMMYFUNCTION("""COMPUTED_VALUE"""),"-")</f>
        <v>-</v>
      </c>
      <c r="BB358" s="393">
        <f>IFERROR(__xludf.DUMMYFUNCTION("""COMPUTED_VALUE"""),650.0)</f>
        <v>650</v>
      </c>
      <c r="BC358" s="393">
        <f>IFERROR(__xludf.DUMMYFUNCTION("""COMPUTED_VALUE"""),750.0)</f>
        <v>750</v>
      </c>
      <c r="BD358" s="394">
        <f>IFERROR(__xludf.DUMMYFUNCTION("""COMPUTED_VALUE"""),775.0)</f>
        <v>775</v>
      </c>
      <c r="BE358" s="385" t="str">
        <f>IFERROR(__xludf.DUMMYFUNCTION("""COMPUTED_VALUE"""),"ハイブリッド型")</f>
        <v>ハイブリッド型</v>
      </c>
      <c r="BF358" s="430">
        <f>IFERROR(__xludf.DUMMYFUNCTION("""COMPUTED_VALUE"""),5.0)</f>
        <v>5</v>
      </c>
      <c r="BG358" s="431" t="str">
        <f>IFERROR(__xludf.DUMMYFUNCTION("""COMPUTED_VALUE"""),"効果時間")</f>
        <v>効果時間</v>
      </c>
      <c r="BH358" s="304">
        <f>IFERROR(__xludf.DUMMYFUNCTION("""COMPUTED_VALUE"""),250.0)</f>
        <v>250</v>
      </c>
      <c r="BI358" s="432">
        <f>IFERROR(__xludf.DUMMYFUNCTION("""COMPUTED_VALUE"""),265.0)</f>
        <v>265</v>
      </c>
      <c r="BJ358" s="432">
        <f>IFERROR(__xludf.DUMMYFUNCTION("""COMPUTED_VALUE"""),275.0)</f>
        <v>275</v>
      </c>
      <c r="BK358" s="432">
        <f>IFERROR(__xludf.DUMMYFUNCTION("""COMPUTED_VALUE"""),290.0)</f>
        <v>290</v>
      </c>
      <c r="BL358" s="304">
        <f>IFERROR(__xludf.DUMMYFUNCTION("""COMPUTED_VALUE"""),300.0)</f>
        <v>300</v>
      </c>
      <c r="BM358" s="304">
        <f>IFERROR(__xludf.DUMMYFUNCTION("""COMPUTED_VALUE"""),400.0)</f>
        <v>400</v>
      </c>
      <c r="BN358" s="304">
        <f>IFERROR(__xludf.DUMMYFUNCTION("""COMPUTED_VALUE"""),500.0)</f>
        <v>500</v>
      </c>
      <c r="BO358" s="304">
        <f>IFERROR(__xludf.DUMMYFUNCTION("""COMPUTED_VALUE"""),525.0)</f>
        <v>525</v>
      </c>
    </row>
    <row r="359">
      <c r="A359" s="433" t="str">
        <f>IFERROR(__xludf.DUMMYFUNCTION("""COMPUTED_VALUE"""),"攻撃力Down(黄)")</f>
        <v>攻撃力Down(黄)</v>
      </c>
      <c r="B359" s="374" t="str">
        <f>IFERROR(__xludf.DUMMYFUNCTION("""COMPUTED_VALUE"""),"超瞬間型")</f>
        <v>超瞬間型</v>
      </c>
      <c r="C359" s="375">
        <f>IFERROR(__xludf.DUMMYFUNCTION("""COMPUTED_VALUE"""),1.0)</f>
        <v>1</v>
      </c>
      <c r="D359" s="376" t="str">
        <f>IFERROR(__xludf.DUMMYFUNCTION("""COMPUTED_VALUE"""),"効果値")</f>
        <v>効果値</v>
      </c>
      <c r="E359" s="377" t="str">
        <f>IFERROR(__xludf.DUMMYFUNCTION("""COMPUTED_VALUE"""),"-")</f>
        <v>-</v>
      </c>
      <c r="F359" s="378" t="str">
        <f>IFERROR(__xludf.DUMMYFUNCTION("""COMPUTED_VALUE"""),"-")</f>
        <v>-</v>
      </c>
      <c r="G359" s="377" t="str">
        <f>IFERROR(__xludf.DUMMYFUNCTION("""COMPUTED_VALUE"""),"-")</f>
        <v>-</v>
      </c>
      <c r="H359" s="378" t="str">
        <f>IFERROR(__xludf.DUMMYFUNCTION("""COMPUTED_VALUE"""),"-")</f>
        <v>-</v>
      </c>
      <c r="I359" s="377" t="str">
        <f>IFERROR(__xludf.DUMMYFUNCTION("""COMPUTED_VALUE"""),"-")</f>
        <v>-</v>
      </c>
      <c r="J359" s="379">
        <f>IFERROR(__xludf.DUMMYFUNCTION("""COMPUTED_VALUE"""),55.0)</f>
        <v>55</v>
      </c>
      <c r="K359" s="294">
        <f>IFERROR(__xludf.DUMMYFUNCTION("""COMPUTED_VALUE"""),65.0)</f>
        <v>65</v>
      </c>
      <c r="L359" s="294">
        <f>IFERROR(__xludf.DUMMYFUNCTION("""COMPUTED_VALUE"""),65.0)</f>
        <v>65</v>
      </c>
      <c r="M359" s="374" t="str">
        <f>IFERROR(__xludf.DUMMYFUNCTION("""COMPUTED_VALUE"""),"瞬間型")</f>
        <v>瞬間型</v>
      </c>
      <c r="N359" s="375">
        <f>IFERROR(__xludf.DUMMYFUNCTION("""COMPUTED_VALUE"""),1.0)</f>
        <v>1</v>
      </c>
      <c r="O359" s="376" t="str">
        <f>IFERROR(__xludf.DUMMYFUNCTION("""COMPUTED_VALUE"""),"効果値")</f>
        <v>効果値</v>
      </c>
      <c r="P359" s="380">
        <f>IFERROR(__xludf.DUMMYFUNCTION("""COMPUTED_VALUE"""),20.0)</f>
        <v>20</v>
      </c>
      <c r="Q359" s="263">
        <f>IFERROR(__xludf.DUMMYFUNCTION("""COMPUTED_VALUE"""),20.0)</f>
        <v>20</v>
      </c>
      <c r="R359" s="263">
        <f>IFERROR(__xludf.DUMMYFUNCTION("""COMPUTED_VALUE"""),20.0)</f>
        <v>20</v>
      </c>
      <c r="S359" s="263">
        <f>IFERROR(__xludf.DUMMYFUNCTION("""COMPUTED_VALUE"""),20.0)</f>
        <v>20</v>
      </c>
      <c r="T359" s="263">
        <f>IFERROR(__xludf.DUMMYFUNCTION("""COMPUTED_VALUE"""),20.0)</f>
        <v>20</v>
      </c>
      <c r="U359" s="263">
        <f>IFERROR(__xludf.DUMMYFUNCTION("""COMPUTED_VALUE"""),25.0)</f>
        <v>25</v>
      </c>
      <c r="V359" s="266">
        <f>IFERROR(__xludf.DUMMYFUNCTION("""COMPUTED_VALUE"""),30.0)</f>
        <v>30</v>
      </c>
      <c r="W359" s="266">
        <f>IFERROR(__xludf.DUMMYFUNCTION("""COMPUTED_VALUE"""),30.0)</f>
        <v>30</v>
      </c>
      <c r="X359" s="374" t="str">
        <f>IFERROR(__xludf.DUMMYFUNCTION("""COMPUTED_VALUE"""),"安定型")</f>
        <v>安定型</v>
      </c>
      <c r="Y359" s="375">
        <f>IFERROR(__xludf.DUMMYFUNCTION("""COMPUTED_VALUE"""),1.0)</f>
        <v>1</v>
      </c>
      <c r="Z359" s="376" t="str">
        <f>IFERROR(__xludf.DUMMYFUNCTION("""COMPUTED_VALUE"""),"効果値")</f>
        <v>効果値</v>
      </c>
      <c r="AA359" s="380">
        <f>IFERROR(__xludf.DUMMYFUNCTION("""COMPUTED_VALUE"""),10.0)</f>
        <v>10</v>
      </c>
      <c r="AB359" s="263">
        <f>IFERROR(__xludf.DUMMYFUNCTION("""COMPUTED_VALUE"""),10.0)</f>
        <v>10</v>
      </c>
      <c r="AC359" s="263">
        <f>IFERROR(__xludf.DUMMYFUNCTION("""COMPUTED_VALUE"""),10.0)</f>
        <v>10</v>
      </c>
      <c r="AD359" s="263">
        <f>IFERROR(__xludf.DUMMYFUNCTION("""COMPUTED_VALUE"""),10.0)</f>
        <v>10</v>
      </c>
      <c r="AE359" s="263">
        <f>IFERROR(__xludf.DUMMYFUNCTION("""COMPUTED_VALUE"""),10.0)</f>
        <v>10</v>
      </c>
      <c r="AF359" s="263">
        <f>IFERROR(__xludf.DUMMYFUNCTION("""COMPUTED_VALUE"""),10.0)</f>
        <v>10</v>
      </c>
      <c r="AG359" s="266">
        <f>IFERROR(__xludf.DUMMYFUNCTION("""COMPUTED_VALUE"""),15.0)</f>
        <v>15</v>
      </c>
      <c r="AH359" s="266">
        <f>IFERROR(__xludf.DUMMYFUNCTION("""COMPUTED_VALUE"""),15.0)</f>
        <v>15</v>
      </c>
      <c r="AI359" s="374" t="str">
        <f>IFERROR(__xludf.DUMMYFUNCTION("""COMPUTED_VALUE"""),"持続型")</f>
        <v>持続型</v>
      </c>
      <c r="AJ359" s="375">
        <f>IFERROR(__xludf.DUMMYFUNCTION("""COMPUTED_VALUE"""),1.0)</f>
        <v>1</v>
      </c>
      <c r="AK359" s="376" t="str">
        <f>IFERROR(__xludf.DUMMYFUNCTION("""COMPUTED_VALUE"""),"効果値")</f>
        <v>効果値</v>
      </c>
      <c r="AL359" s="380">
        <f>IFERROR(__xludf.DUMMYFUNCTION("""COMPUTED_VALUE"""),5.0)</f>
        <v>5</v>
      </c>
      <c r="AM359" s="263">
        <f>IFERROR(__xludf.DUMMYFUNCTION("""COMPUTED_VALUE"""),5.0)</f>
        <v>5</v>
      </c>
      <c r="AN359" s="263">
        <f>IFERROR(__xludf.DUMMYFUNCTION("""COMPUTED_VALUE"""),5.0)</f>
        <v>5</v>
      </c>
      <c r="AO359" s="263">
        <f>IFERROR(__xludf.DUMMYFUNCTION("""COMPUTED_VALUE"""),5.0)</f>
        <v>5</v>
      </c>
      <c r="AP359" s="263">
        <f>IFERROR(__xludf.DUMMYFUNCTION("""COMPUTED_VALUE"""),5.0)</f>
        <v>5</v>
      </c>
      <c r="AQ359" s="263">
        <f>IFERROR(__xludf.DUMMYFUNCTION("""COMPUTED_VALUE"""),5.0)</f>
        <v>5</v>
      </c>
      <c r="AR359" s="266">
        <f>IFERROR(__xludf.DUMMYFUNCTION("""COMPUTED_VALUE"""),10.0)</f>
        <v>10</v>
      </c>
      <c r="AS359" s="266">
        <f>IFERROR(__xludf.DUMMYFUNCTION("""COMPUTED_VALUE"""),10.0)</f>
        <v>10</v>
      </c>
      <c r="AT359" s="374" t="str">
        <f>IFERROR(__xludf.DUMMYFUNCTION("""COMPUTED_VALUE"""),"超持続型")</f>
        <v>超持続型</v>
      </c>
      <c r="AU359" s="375">
        <f>IFERROR(__xludf.DUMMYFUNCTION("""COMPUTED_VALUE"""),1.0)</f>
        <v>1</v>
      </c>
      <c r="AV359" s="376" t="str">
        <f>IFERROR(__xludf.DUMMYFUNCTION("""COMPUTED_VALUE"""),"効果値")</f>
        <v>効果値</v>
      </c>
      <c r="AW359" s="350" t="str">
        <f>IFERROR(__xludf.DUMMYFUNCTION("""COMPUTED_VALUE"""),"-")</f>
        <v>-</v>
      </c>
      <c r="AX359" s="348" t="str">
        <f>IFERROR(__xludf.DUMMYFUNCTION("""COMPUTED_VALUE"""),"-")</f>
        <v>-</v>
      </c>
      <c r="AY359" s="348" t="str">
        <f>IFERROR(__xludf.DUMMYFUNCTION("""COMPUTED_VALUE"""),"-")</f>
        <v>-</v>
      </c>
      <c r="AZ359" s="348" t="str">
        <f>IFERROR(__xludf.DUMMYFUNCTION("""COMPUTED_VALUE"""),"-")</f>
        <v>-</v>
      </c>
      <c r="BA359" s="348" t="str">
        <f>IFERROR(__xludf.DUMMYFUNCTION("""COMPUTED_VALUE"""),"-")</f>
        <v>-</v>
      </c>
      <c r="BB359" s="263">
        <f>IFERROR(__xludf.DUMMYFUNCTION("""COMPUTED_VALUE"""),5.0)</f>
        <v>5</v>
      </c>
      <c r="BC359" s="266">
        <f>IFERROR(__xludf.DUMMYFUNCTION("""COMPUTED_VALUE"""),10.0)</f>
        <v>10</v>
      </c>
      <c r="BD359" s="266">
        <f>IFERROR(__xludf.DUMMYFUNCTION("""COMPUTED_VALUE"""),10.0)</f>
        <v>10</v>
      </c>
      <c r="BE359" s="374" t="str">
        <f>IFERROR(__xludf.DUMMYFUNCTION("""COMPUTED_VALUE"""),"ハイブリッド型")</f>
        <v>ハイブリッド型</v>
      </c>
      <c r="BF359" s="375">
        <f>IFERROR(__xludf.DUMMYFUNCTION("""COMPUTED_VALUE"""),1.0)</f>
        <v>1</v>
      </c>
      <c r="BG359" s="376" t="str">
        <f>IFERROR(__xludf.DUMMYFUNCTION("""COMPUTED_VALUE"""),"効果値")</f>
        <v>効果値</v>
      </c>
      <c r="BH359" s="381">
        <f>IFERROR(__xludf.DUMMYFUNCTION("""COMPUTED_VALUE"""),10.0)</f>
        <v>10</v>
      </c>
      <c r="BI359" s="382">
        <f>IFERROR(__xludf.DUMMYFUNCTION("""COMPUTED_VALUE"""),10.0)</f>
        <v>10</v>
      </c>
      <c r="BJ359" s="382">
        <f>IFERROR(__xludf.DUMMYFUNCTION("""COMPUTED_VALUE"""),10.0)</f>
        <v>10</v>
      </c>
      <c r="BK359" s="382">
        <f>IFERROR(__xludf.DUMMYFUNCTION("""COMPUTED_VALUE"""),10.0)</f>
        <v>10</v>
      </c>
      <c r="BL359" s="382">
        <f>IFERROR(__xludf.DUMMYFUNCTION("""COMPUTED_VALUE"""),10.0)</f>
        <v>10</v>
      </c>
      <c r="BM359" s="382">
        <f>IFERROR(__xludf.DUMMYFUNCTION("""COMPUTED_VALUE"""),15.0)</f>
        <v>15</v>
      </c>
      <c r="BN359" s="382">
        <f>IFERROR(__xludf.DUMMYFUNCTION("""COMPUTED_VALUE"""),20.0)</f>
        <v>20</v>
      </c>
      <c r="BO359" s="383">
        <f>IFERROR(__xludf.DUMMYFUNCTION("""COMPUTED_VALUE"""),20.0)</f>
        <v>20</v>
      </c>
    </row>
    <row r="360">
      <c r="A360" s="434" t="str">
        <f>IFERROR(__xludf.DUMMYFUNCTION("""COMPUTED_VALUE"""),"攻撃力Down(黄)")</f>
        <v>攻撃力Down(黄)</v>
      </c>
      <c r="B360" s="385" t="str">
        <f>IFERROR(__xludf.DUMMYFUNCTION("""COMPUTED_VALUE"""),"超瞬間型")</f>
        <v>超瞬間型</v>
      </c>
      <c r="C360" s="386">
        <f>IFERROR(__xludf.DUMMYFUNCTION("""COMPUTED_VALUE"""),1.0)</f>
        <v>1</v>
      </c>
      <c r="D360" s="387" t="str">
        <f>IFERROR(__xludf.DUMMYFUNCTION("""COMPUTED_VALUE"""),"効果時間")</f>
        <v>効果時間</v>
      </c>
      <c r="E360" s="388" t="str">
        <f>IFERROR(__xludf.DUMMYFUNCTION("""COMPUTED_VALUE"""),"-")</f>
        <v>-</v>
      </c>
      <c r="F360" s="389" t="str">
        <f>IFERROR(__xludf.DUMMYFUNCTION("""COMPUTED_VALUE"""),"-")</f>
        <v>-</v>
      </c>
      <c r="G360" s="388" t="str">
        <f>IFERROR(__xludf.DUMMYFUNCTION("""COMPUTED_VALUE"""),"-")</f>
        <v>-</v>
      </c>
      <c r="H360" s="389" t="str">
        <f>IFERROR(__xludf.DUMMYFUNCTION("""COMPUTED_VALUE"""),"-")</f>
        <v>-</v>
      </c>
      <c r="I360" s="388" t="str">
        <f>IFERROR(__xludf.DUMMYFUNCTION("""COMPUTED_VALUE"""),"-")</f>
        <v>-</v>
      </c>
      <c r="J360" s="390">
        <f>IFERROR(__xludf.DUMMYFUNCTION("""COMPUTED_VALUE"""),150.0)</f>
        <v>150</v>
      </c>
      <c r="K360" s="391">
        <f>IFERROR(__xludf.DUMMYFUNCTION("""COMPUTED_VALUE"""),160.0)</f>
        <v>160</v>
      </c>
      <c r="L360" s="340">
        <f>IFERROR(__xludf.DUMMYFUNCTION("""COMPUTED_VALUE"""),160.0)</f>
        <v>160</v>
      </c>
      <c r="M360" s="385" t="str">
        <f>IFERROR(__xludf.DUMMYFUNCTION("""COMPUTED_VALUE"""),"瞬間型")</f>
        <v>瞬間型</v>
      </c>
      <c r="N360" s="386">
        <f>IFERROR(__xludf.DUMMYFUNCTION("""COMPUTED_VALUE"""),1.0)</f>
        <v>1</v>
      </c>
      <c r="O360" s="387" t="str">
        <f>IFERROR(__xludf.DUMMYFUNCTION("""COMPUTED_VALUE"""),"効果時間")</f>
        <v>効果時間</v>
      </c>
      <c r="P360" s="392">
        <f>IFERROR(__xludf.DUMMYFUNCTION("""COMPUTED_VALUE"""),150.0)</f>
        <v>150</v>
      </c>
      <c r="Q360" s="393">
        <f>IFERROR(__xludf.DUMMYFUNCTION("""COMPUTED_VALUE"""),150.0)</f>
        <v>150</v>
      </c>
      <c r="R360" s="393">
        <f>IFERROR(__xludf.DUMMYFUNCTION("""COMPUTED_VALUE"""),150.0)</f>
        <v>150</v>
      </c>
      <c r="S360" s="393">
        <f>IFERROR(__xludf.DUMMYFUNCTION("""COMPUTED_VALUE"""),150.0)</f>
        <v>150</v>
      </c>
      <c r="T360" s="393">
        <f>IFERROR(__xludf.DUMMYFUNCTION("""COMPUTED_VALUE"""),150.0)</f>
        <v>150</v>
      </c>
      <c r="U360" s="393">
        <f>IFERROR(__xludf.DUMMYFUNCTION("""COMPUTED_VALUE"""),150.0)</f>
        <v>150</v>
      </c>
      <c r="V360" s="393">
        <f>IFERROR(__xludf.DUMMYFUNCTION("""COMPUTED_VALUE"""),160.0)</f>
        <v>160</v>
      </c>
      <c r="W360" s="394">
        <f>IFERROR(__xludf.DUMMYFUNCTION("""COMPUTED_VALUE"""),160.0)</f>
        <v>160</v>
      </c>
      <c r="X360" s="385" t="str">
        <f>IFERROR(__xludf.DUMMYFUNCTION("""COMPUTED_VALUE"""),"安定型")</f>
        <v>安定型</v>
      </c>
      <c r="Y360" s="386">
        <f>IFERROR(__xludf.DUMMYFUNCTION("""COMPUTED_VALUE"""),1.0)</f>
        <v>1</v>
      </c>
      <c r="Z360" s="387" t="str">
        <f>IFERROR(__xludf.DUMMYFUNCTION("""COMPUTED_VALUE"""),"効果時間")</f>
        <v>効果時間</v>
      </c>
      <c r="AA360" s="392">
        <f>IFERROR(__xludf.DUMMYFUNCTION("""COMPUTED_VALUE"""),300.0)</f>
        <v>300</v>
      </c>
      <c r="AB360" s="393">
        <f>IFERROR(__xludf.DUMMYFUNCTION("""COMPUTED_VALUE"""),300.0)</f>
        <v>300</v>
      </c>
      <c r="AC360" s="393">
        <f>IFERROR(__xludf.DUMMYFUNCTION("""COMPUTED_VALUE"""),300.0)</f>
        <v>300</v>
      </c>
      <c r="AD360" s="393">
        <f>IFERROR(__xludf.DUMMYFUNCTION("""COMPUTED_VALUE"""),300.0)</f>
        <v>300</v>
      </c>
      <c r="AE360" s="393">
        <f>IFERROR(__xludf.DUMMYFUNCTION("""COMPUTED_VALUE"""),300.0)</f>
        <v>300</v>
      </c>
      <c r="AF360" s="393">
        <f>IFERROR(__xludf.DUMMYFUNCTION("""COMPUTED_VALUE"""),300.0)</f>
        <v>300</v>
      </c>
      <c r="AG360" s="393">
        <f>IFERROR(__xludf.DUMMYFUNCTION("""COMPUTED_VALUE"""),310.0)</f>
        <v>310</v>
      </c>
      <c r="AH360" s="394">
        <f>IFERROR(__xludf.DUMMYFUNCTION("""COMPUTED_VALUE"""),310.0)</f>
        <v>310</v>
      </c>
      <c r="AI360" s="385" t="str">
        <f>IFERROR(__xludf.DUMMYFUNCTION("""COMPUTED_VALUE"""),"持続型")</f>
        <v>持続型</v>
      </c>
      <c r="AJ360" s="386">
        <f>IFERROR(__xludf.DUMMYFUNCTION("""COMPUTED_VALUE"""),1.0)</f>
        <v>1</v>
      </c>
      <c r="AK360" s="387" t="str">
        <f>IFERROR(__xludf.DUMMYFUNCTION("""COMPUTED_VALUE"""),"効果時間")</f>
        <v>効果時間</v>
      </c>
      <c r="AL360" s="392">
        <f>IFERROR(__xludf.DUMMYFUNCTION("""COMPUTED_VALUE"""),450.0)</f>
        <v>450</v>
      </c>
      <c r="AM360" s="393">
        <f>IFERROR(__xludf.DUMMYFUNCTION("""COMPUTED_VALUE"""),450.0)</f>
        <v>450</v>
      </c>
      <c r="AN360" s="393">
        <f>IFERROR(__xludf.DUMMYFUNCTION("""COMPUTED_VALUE"""),450.0)</f>
        <v>450</v>
      </c>
      <c r="AO360" s="393">
        <f>IFERROR(__xludf.DUMMYFUNCTION("""COMPUTED_VALUE"""),450.0)</f>
        <v>450</v>
      </c>
      <c r="AP360" s="393">
        <f>IFERROR(__xludf.DUMMYFUNCTION("""COMPUTED_VALUE"""),450.0)</f>
        <v>450</v>
      </c>
      <c r="AQ360" s="393">
        <f>IFERROR(__xludf.DUMMYFUNCTION("""COMPUTED_VALUE"""),450.0)</f>
        <v>450</v>
      </c>
      <c r="AR360" s="393">
        <f>IFERROR(__xludf.DUMMYFUNCTION("""COMPUTED_VALUE"""),460.0)</f>
        <v>460</v>
      </c>
      <c r="AS360" s="394">
        <f>IFERROR(__xludf.DUMMYFUNCTION("""COMPUTED_VALUE"""),460.0)</f>
        <v>460</v>
      </c>
      <c r="AT360" s="385" t="str">
        <f>IFERROR(__xludf.DUMMYFUNCTION("""COMPUTED_VALUE"""),"超持続型")</f>
        <v>超持続型</v>
      </c>
      <c r="AU360" s="386">
        <f>IFERROR(__xludf.DUMMYFUNCTION("""COMPUTED_VALUE"""),1.0)</f>
        <v>1</v>
      </c>
      <c r="AV360" s="387" t="str">
        <f>IFERROR(__xludf.DUMMYFUNCTION("""COMPUTED_VALUE"""),"効果時間")</f>
        <v>効果時間</v>
      </c>
      <c r="AW360" s="395" t="str">
        <f>IFERROR(__xludf.DUMMYFUNCTION("""COMPUTED_VALUE"""),"-")</f>
        <v>-</v>
      </c>
      <c r="AX360" s="396" t="str">
        <f>IFERROR(__xludf.DUMMYFUNCTION("""COMPUTED_VALUE"""),"-")</f>
        <v>-</v>
      </c>
      <c r="AY360" s="396" t="str">
        <f>IFERROR(__xludf.DUMMYFUNCTION("""COMPUTED_VALUE"""),"-")</f>
        <v>-</v>
      </c>
      <c r="AZ360" s="396" t="str">
        <f>IFERROR(__xludf.DUMMYFUNCTION("""COMPUTED_VALUE"""),"-")</f>
        <v>-</v>
      </c>
      <c r="BA360" s="396" t="str">
        <f>IFERROR(__xludf.DUMMYFUNCTION("""COMPUTED_VALUE"""),"-")</f>
        <v>-</v>
      </c>
      <c r="BB360" s="393">
        <f>IFERROR(__xludf.DUMMYFUNCTION("""COMPUTED_VALUE"""),600.0)</f>
        <v>600</v>
      </c>
      <c r="BC360" s="393">
        <f>IFERROR(__xludf.DUMMYFUNCTION("""COMPUTED_VALUE"""),610.0)</f>
        <v>610</v>
      </c>
      <c r="BD360" s="394">
        <f>IFERROR(__xludf.DUMMYFUNCTION("""COMPUTED_VALUE"""),610.0)</f>
        <v>610</v>
      </c>
      <c r="BE360" s="385" t="str">
        <f>IFERROR(__xludf.DUMMYFUNCTION("""COMPUTED_VALUE"""),"ハイブリッド型")</f>
        <v>ハイブリッド型</v>
      </c>
      <c r="BF360" s="386">
        <f>IFERROR(__xludf.DUMMYFUNCTION("""COMPUTED_VALUE"""),1.0)</f>
        <v>1</v>
      </c>
      <c r="BG360" s="387" t="str">
        <f>IFERROR(__xludf.DUMMYFUNCTION("""COMPUTED_VALUE"""),"効果時間")</f>
        <v>効果時間</v>
      </c>
      <c r="BH360" s="397">
        <f>IFERROR(__xludf.DUMMYFUNCTION("""COMPUTED_VALUE"""),150.0)</f>
        <v>150</v>
      </c>
      <c r="BI360" s="397">
        <f>IFERROR(__xludf.DUMMYFUNCTION("""COMPUTED_VALUE"""),150.0)</f>
        <v>150</v>
      </c>
      <c r="BJ360" s="397">
        <f>IFERROR(__xludf.DUMMYFUNCTION("""COMPUTED_VALUE"""),150.0)</f>
        <v>150</v>
      </c>
      <c r="BK360" s="398">
        <f>IFERROR(__xludf.DUMMYFUNCTION("""COMPUTED_VALUE"""),150.0)</f>
        <v>150</v>
      </c>
      <c r="BL360" s="397">
        <f>IFERROR(__xludf.DUMMYFUNCTION("""COMPUTED_VALUE"""),150.0)</f>
        <v>150</v>
      </c>
      <c r="BM360" s="398">
        <f>IFERROR(__xludf.DUMMYFUNCTION("""COMPUTED_VALUE"""),350.0)</f>
        <v>350</v>
      </c>
      <c r="BN360" s="397">
        <f>IFERROR(__xludf.DUMMYFUNCTION("""COMPUTED_VALUE"""),460.0)</f>
        <v>460</v>
      </c>
      <c r="BO360" s="398">
        <f>IFERROR(__xludf.DUMMYFUNCTION("""COMPUTED_VALUE"""),460.0)</f>
        <v>460</v>
      </c>
    </row>
    <row r="361">
      <c r="A361" s="435" t="str">
        <f>IFERROR(__xludf.DUMMYFUNCTION("""COMPUTED_VALUE"""),"攻撃力Down(黄)")</f>
        <v>攻撃力Down(黄)</v>
      </c>
      <c r="B361" s="385" t="str">
        <f>IFERROR(__xludf.DUMMYFUNCTION("""COMPUTED_VALUE"""),"超瞬間型")</f>
        <v>超瞬間型</v>
      </c>
      <c r="C361" s="399">
        <f>IFERROR(__xludf.DUMMYFUNCTION("""COMPUTED_VALUE"""),2.0)</f>
        <v>2</v>
      </c>
      <c r="D361" s="400" t="str">
        <f>IFERROR(__xludf.DUMMYFUNCTION("""COMPUTED_VALUE"""),"効果値")</f>
        <v>効果値</v>
      </c>
      <c r="E361" s="401" t="str">
        <f>IFERROR(__xludf.DUMMYFUNCTION("""COMPUTED_VALUE"""),"-")</f>
        <v>-</v>
      </c>
      <c r="F361" s="401" t="str">
        <f>IFERROR(__xludf.DUMMYFUNCTION("""COMPUTED_VALUE"""),"-")</f>
        <v>-</v>
      </c>
      <c r="G361" s="401" t="str">
        <f>IFERROR(__xludf.DUMMYFUNCTION("""COMPUTED_VALUE"""),"-")</f>
        <v>-</v>
      </c>
      <c r="H361" s="401" t="str">
        <f>IFERROR(__xludf.DUMMYFUNCTION("""COMPUTED_VALUE"""),"-")</f>
        <v>-</v>
      </c>
      <c r="I361" s="401" t="str">
        <f>IFERROR(__xludf.DUMMYFUNCTION("""COMPUTED_VALUE"""),"-")</f>
        <v>-</v>
      </c>
      <c r="J361" s="318">
        <f>IFERROR(__xludf.DUMMYFUNCTION("""COMPUTED_VALUE"""),57.0)</f>
        <v>57</v>
      </c>
      <c r="K361" s="318">
        <f>IFERROR(__xludf.DUMMYFUNCTION("""COMPUTED_VALUE"""),67.0)</f>
        <v>67</v>
      </c>
      <c r="L361" s="318">
        <f>IFERROR(__xludf.DUMMYFUNCTION("""COMPUTED_VALUE"""),69.0)</f>
        <v>69</v>
      </c>
      <c r="M361" s="385" t="str">
        <f>IFERROR(__xludf.DUMMYFUNCTION("""COMPUTED_VALUE"""),"瞬間型")</f>
        <v>瞬間型</v>
      </c>
      <c r="N361" s="399">
        <f>IFERROR(__xludf.DUMMYFUNCTION("""COMPUTED_VALUE"""),2.0)</f>
        <v>2</v>
      </c>
      <c r="O361" s="400" t="str">
        <f>IFERROR(__xludf.DUMMYFUNCTION("""COMPUTED_VALUE"""),"効果値")</f>
        <v>効果値</v>
      </c>
      <c r="P361" s="343">
        <f>IFERROR(__xludf.DUMMYFUNCTION("""COMPUTED_VALUE"""),21.0)</f>
        <v>21</v>
      </c>
      <c r="Q361" s="402">
        <f>IFERROR(__xludf.DUMMYFUNCTION("""COMPUTED_VALUE"""),21.0)</f>
        <v>21</v>
      </c>
      <c r="R361" s="343">
        <f>IFERROR(__xludf.DUMMYFUNCTION("""COMPUTED_VALUE"""),22.0)</f>
        <v>22</v>
      </c>
      <c r="S361" s="402">
        <f>IFERROR(__xludf.DUMMYFUNCTION("""COMPUTED_VALUE"""),22.0)</f>
        <v>22</v>
      </c>
      <c r="T361" s="343">
        <f>IFERROR(__xludf.DUMMYFUNCTION("""COMPUTED_VALUE"""),22.0)</f>
        <v>22</v>
      </c>
      <c r="U361" s="343">
        <f>IFERROR(__xludf.DUMMYFUNCTION("""COMPUTED_VALUE"""),27.0)</f>
        <v>27</v>
      </c>
      <c r="V361" s="343">
        <f>IFERROR(__xludf.DUMMYFUNCTION("""COMPUTED_VALUE"""),32.0)</f>
        <v>32</v>
      </c>
      <c r="W361" s="343">
        <f>IFERROR(__xludf.DUMMYFUNCTION("""COMPUTED_VALUE"""),34.0)</f>
        <v>34</v>
      </c>
      <c r="X361" s="385" t="str">
        <f>IFERROR(__xludf.DUMMYFUNCTION("""COMPUTED_VALUE"""),"安定型")</f>
        <v>安定型</v>
      </c>
      <c r="Y361" s="399">
        <f>IFERROR(__xludf.DUMMYFUNCTION("""COMPUTED_VALUE"""),2.0)</f>
        <v>2</v>
      </c>
      <c r="Z361" s="400" t="str">
        <f>IFERROR(__xludf.DUMMYFUNCTION("""COMPUTED_VALUE"""),"効果値")</f>
        <v>効果値</v>
      </c>
      <c r="AA361" s="343">
        <f>IFERROR(__xludf.DUMMYFUNCTION("""COMPUTED_VALUE"""),11.0)</f>
        <v>11</v>
      </c>
      <c r="AB361" s="402">
        <f>IFERROR(__xludf.DUMMYFUNCTION("""COMPUTED_VALUE"""),11.0)</f>
        <v>11</v>
      </c>
      <c r="AC361" s="343">
        <f>IFERROR(__xludf.DUMMYFUNCTION("""COMPUTED_VALUE"""),12.0)</f>
        <v>12</v>
      </c>
      <c r="AD361" s="402">
        <f>IFERROR(__xludf.DUMMYFUNCTION("""COMPUTED_VALUE"""),12.0)</f>
        <v>12</v>
      </c>
      <c r="AE361" s="343">
        <f>IFERROR(__xludf.DUMMYFUNCTION("""COMPUTED_VALUE"""),12.0)</f>
        <v>12</v>
      </c>
      <c r="AF361" s="343">
        <f>IFERROR(__xludf.DUMMYFUNCTION("""COMPUTED_VALUE"""),12.0)</f>
        <v>12</v>
      </c>
      <c r="AG361" s="343">
        <f>IFERROR(__xludf.DUMMYFUNCTION("""COMPUTED_VALUE"""),17.0)</f>
        <v>17</v>
      </c>
      <c r="AH361" s="343">
        <f>IFERROR(__xludf.DUMMYFUNCTION("""COMPUTED_VALUE"""),19.0)</f>
        <v>19</v>
      </c>
      <c r="AI361" s="385" t="str">
        <f>IFERROR(__xludf.DUMMYFUNCTION("""COMPUTED_VALUE"""),"持続型")</f>
        <v>持続型</v>
      </c>
      <c r="AJ361" s="399">
        <f>IFERROR(__xludf.DUMMYFUNCTION("""COMPUTED_VALUE"""),2.0)</f>
        <v>2</v>
      </c>
      <c r="AK361" s="400" t="str">
        <f>IFERROR(__xludf.DUMMYFUNCTION("""COMPUTED_VALUE"""),"効果値")</f>
        <v>効果値</v>
      </c>
      <c r="AL361" s="343">
        <f>IFERROR(__xludf.DUMMYFUNCTION("""COMPUTED_VALUE"""),6.0)</f>
        <v>6</v>
      </c>
      <c r="AM361" s="402">
        <f>IFERROR(__xludf.DUMMYFUNCTION("""COMPUTED_VALUE"""),6.0)</f>
        <v>6</v>
      </c>
      <c r="AN361" s="343">
        <f>IFERROR(__xludf.DUMMYFUNCTION("""COMPUTED_VALUE"""),7.0)</f>
        <v>7</v>
      </c>
      <c r="AO361" s="402">
        <f>IFERROR(__xludf.DUMMYFUNCTION("""COMPUTED_VALUE"""),7.0)</f>
        <v>7</v>
      </c>
      <c r="AP361" s="343">
        <f>IFERROR(__xludf.DUMMYFUNCTION("""COMPUTED_VALUE"""),7.0)</f>
        <v>7</v>
      </c>
      <c r="AQ361" s="343">
        <f>IFERROR(__xludf.DUMMYFUNCTION("""COMPUTED_VALUE"""),7.0)</f>
        <v>7</v>
      </c>
      <c r="AR361" s="343">
        <f>IFERROR(__xludf.DUMMYFUNCTION("""COMPUTED_VALUE"""),11.0)</f>
        <v>11</v>
      </c>
      <c r="AS361" s="343">
        <f>IFERROR(__xludf.DUMMYFUNCTION("""COMPUTED_VALUE"""),11.0)</f>
        <v>11</v>
      </c>
      <c r="AT361" s="385" t="str">
        <f>IFERROR(__xludf.DUMMYFUNCTION("""COMPUTED_VALUE"""),"超持続型")</f>
        <v>超持続型</v>
      </c>
      <c r="AU361" s="399">
        <f>IFERROR(__xludf.DUMMYFUNCTION("""COMPUTED_VALUE"""),2.0)</f>
        <v>2</v>
      </c>
      <c r="AV361" s="400" t="str">
        <f>IFERROR(__xludf.DUMMYFUNCTION("""COMPUTED_VALUE"""),"効果値")</f>
        <v>効果値</v>
      </c>
      <c r="AW361" s="403" t="str">
        <f>IFERROR(__xludf.DUMMYFUNCTION("""COMPUTED_VALUE"""),"-")</f>
        <v>-</v>
      </c>
      <c r="AX361" s="403" t="str">
        <f>IFERROR(__xludf.DUMMYFUNCTION("""COMPUTED_VALUE"""),"-")</f>
        <v>-</v>
      </c>
      <c r="AY361" s="403" t="str">
        <f>IFERROR(__xludf.DUMMYFUNCTION("""COMPUTED_VALUE"""),"-")</f>
        <v>-</v>
      </c>
      <c r="AZ361" s="403" t="str">
        <f>IFERROR(__xludf.DUMMYFUNCTION("""COMPUTED_VALUE"""),"-")</f>
        <v>-</v>
      </c>
      <c r="BA361" s="403" t="str">
        <f>IFERROR(__xludf.DUMMYFUNCTION("""COMPUTED_VALUE"""),"-")</f>
        <v>-</v>
      </c>
      <c r="BB361" s="343">
        <f>IFERROR(__xludf.DUMMYFUNCTION("""COMPUTED_VALUE"""),7.0)</f>
        <v>7</v>
      </c>
      <c r="BC361" s="343">
        <f>IFERROR(__xludf.DUMMYFUNCTION("""COMPUTED_VALUE"""),11.0)</f>
        <v>11</v>
      </c>
      <c r="BD361" s="343">
        <f>IFERROR(__xludf.DUMMYFUNCTION("""COMPUTED_VALUE"""),11.0)</f>
        <v>11</v>
      </c>
      <c r="BE361" s="385" t="str">
        <f>IFERROR(__xludf.DUMMYFUNCTION("""COMPUTED_VALUE"""),"ハイブリッド型")</f>
        <v>ハイブリッド型</v>
      </c>
      <c r="BF361" s="399">
        <f>IFERROR(__xludf.DUMMYFUNCTION("""COMPUTED_VALUE"""),2.0)</f>
        <v>2</v>
      </c>
      <c r="BG361" s="400" t="str">
        <f>IFERROR(__xludf.DUMMYFUNCTION("""COMPUTED_VALUE"""),"効果値")</f>
        <v>効果値</v>
      </c>
      <c r="BH361" s="404">
        <f>IFERROR(__xludf.DUMMYFUNCTION("""COMPUTED_VALUE"""),10.8)</f>
        <v>10.8</v>
      </c>
      <c r="BI361" s="405">
        <f>IFERROR(__xludf.DUMMYFUNCTION("""COMPUTED_VALUE"""),11.2)</f>
        <v>11.2</v>
      </c>
      <c r="BJ361" s="405">
        <f>IFERROR(__xludf.DUMMYFUNCTION("""COMPUTED_VALUE"""),11.5)</f>
        <v>11.5</v>
      </c>
      <c r="BK361" s="405">
        <f>IFERROR(__xludf.DUMMYFUNCTION("""COMPUTED_VALUE"""),11.8)</f>
        <v>11.8</v>
      </c>
      <c r="BL361" s="405">
        <f>IFERROR(__xludf.DUMMYFUNCTION("""COMPUTED_VALUE"""),12.1)</f>
        <v>12.1</v>
      </c>
      <c r="BM361" s="405">
        <f>IFERROR(__xludf.DUMMYFUNCTION("""COMPUTED_VALUE"""),17.1)</f>
        <v>17.1</v>
      </c>
      <c r="BN361" s="405">
        <f>IFERROR(__xludf.DUMMYFUNCTION("""COMPUTED_VALUE"""),22.0)</f>
        <v>22</v>
      </c>
      <c r="BO361" s="406">
        <f>IFERROR(__xludf.DUMMYFUNCTION("""COMPUTED_VALUE"""),24.0)</f>
        <v>24</v>
      </c>
    </row>
    <row r="362">
      <c r="A362" s="435" t="str">
        <f>IFERROR(__xludf.DUMMYFUNCTION("""COMPUTED_VALUE"""),"攻撃力Down(黄)")</f>
        <v>攻撃力Down(黄)</v>
      </c>
      <c r="B362" s="385" t="str">
        <f>IFERROR(__xludf.DUMMYFUNCTION("""COMPUTED_VALUE"""),"超瞬間型")</f>
        <v>超瞬間型</v>
      </c>
      <c r="C362" s="386">
        <f>IFERROR(__xludf.DUMMYFUNCTION("""COMPUTED_VALUE"""),2.0)</f>
        <v>2</v>
      </c>
      <c r="D362" s="387" t="str">
        <f>IFERROR(__xludf.DUMMYFUNCTION("""COMPUTED_VALUE"""),"効果時間")</f>
        <v>効果時間</v>
      </c>
      <c r="E362" s="388" t="str">
        <f>IFERROR(__xludf.DUMMYFUNCTION("""COMPUTED_VALUE"""),"-")</f>
        <v>-</v>
      </c>
      <c r="F362" s="389" t="str">
        <f>IFERROR(__xludf.DUMMYFUNCTION("""COMPUTED_VALUE"""),"-")</f>
        <v>-</v>
      </c>
      <c r="G362" s="388" t="str">
        <f>IFERROR(__xludf.DUMMYFUNCTION("""COMPUTED_VALUE"""),"-")</f>
        <v>-</v>
      </c>
      <c r="H362" s="389" t="str">
        <f>IFERROR(__xludf.DUMMYFUNCTION("""COMPUTED_VALUE"""),"-")</f>
        <v>-</v>
      </c>
      <c r="I362" s="388" t="str">
        <f>IFERROR(__xludf.DUMMYFUNCTION("""COMPUTED_VALUE"""),"-")</f>
        <v>-</v>
      </c>
      <c r="J362" s="390">
        <f>IFERROR(__xludf.DUMMYFUNCTION("""COMPUTED_VALUE"""),150.0)</f>
        <v>150</v>
      </c>
      <c r="K362" s="391">
        <f>IFERROR(__xludf.DUMMYFUNCTION("""COMPUTED_VALUE"""),160.0)</f>
        <v>160</v>
      </c>
      <c r="L362" s="340">
        <f>IFERROR(__xludf.DUMMYFUNCTION("""COMPUTED_VALUE"""),170.0)</f>
        <v>170</v>
      </c>
      <c r="M362" s="385" t="str">
        <f>IFERROR(__xludf.DUMMYFUNCTION("""COMPUTED_VALUE"""),"瞬間型")</f>
        <v>瞬間型</v>
      </c>
      <c r="N362" s="386">
        <f>IFERROR(__xludf.DUMMYFUNCTION("""COMPUTED_VALUE"""),2.0)</f>
        <v>2</v>
      </c>
      <c r="O362" s="387" t="str">
        <f>IFERROR(__xludf.DUMMYFUNCTION("""COMPUTED_VALUE"""),"効果時間")</f>
        <v>効果時間</v>
      </c>
      <c r="P362" s="392">
        <f>IFERROR(__xludf.DUMMYFUNCTION("""COMPUTED_VALUE"""),160.0)</f>
        <v>160</v>
      </c>
      <c r="Q362" s="275">
        <f>IFERROR(__xludf.DUMMYFUNCTION("""COMPUTED_VALUE"""),165.0)</f>
        <v>165</v>
      </c>
      <c r="R362" s="280">
        <f>IFERROR(__xludf.DUMMYFUNCTION("""COMPUTED_VALUE"""),170.0)</f>
        <v>170</v>
      </c>
      <c r="S362" s="275">
        <f>IFERROR(__xludf.DUMMYFUNCTION("""COMPUTED_VALUE"""),175.0)</f>
        <v>175</v>
      </c>
      <c r="T362" s="280">
        <f>IFERROR(__xludf.DUMMYFUNCTION("""COMPUTED_VALUE"""),180.0)</f>
        <v>180</v>
      </c>
      <c r="U362" s="280">
        <f>IFERROR(__xludf.DUMMYFUNCTION("""COMPUTED_VALUE"""),180.0)</f>
        <v>180</v>
      </c>
      <c r="V362" s="280">
        <f>IFERROR(__xludf.DUMMYFUNCTION("""COMPUTED_VALUE"""),220.0)</f>
        <v>220</v>
      </c>
      <c r="W362" s="280">
        <f>IFERROR(__xludf.DUMMYFUNCTION("""COMPUTED_VALUE"""),230.0)</f>
        <v>230</v>
      </c>
      <c r="X362" s="385" t="str">
        <f>IFERROR(__xludf.DUMMYFUNCTION("""COMPUTED_VALUE"""),"安定型")</f>
        <v>安定型</v>
      </c>
      <c r="Y362" s="386">
        <f>IFERROR(__xludf.DUMMYFUNCTION("""COMPUTED_VALUE"""),2.0)</f>
        <v>2</v>
      </c>
      <c r="Z362" s="387" t="str">
        <f>IFERROR(__xludf.DUMMYFUNCTION("""COMPUTED_VALUE"""),"効果時間")</f>
        <v>効果時間</v>
      </c>
      <c r="AA362" s="392">
        <f>IFERROR(__xludf.DUMMYFUNCTION("""COMPUTED_VALUE"""),310.0)</f>
        <v>310</v>
      </c>
      <c r="AB362" s="275">
        <f>IFERROR(__xludf.DUMMYFUNCTION("""COMPUTED_VALUE"""),315.0)</f>
        <v>315</v>
      </c>
      <c r="AC362" s="280">
        <f>IFERROR(__xludf.DUMMYFUNCTION("""COMPUTED_VALUE"""),320.0)</f>
        <v>320</v>
      </c>
      <c r="AD362" s="275">
        <f>IFERROR(__xludf.DUMMYFUNCTION("""COMPUTED_VALUE"""),325.0)</f>
        <v>325</v>
      </c>
      <c r="AE362" s="280">
        <f>IFERROR(__xludf.DUMMYFUNCTION("""COMPUTED_VALUE"""),330.0)</f>
        <v>330</v>
      </c>
      <c r="AF362" s="280">
        <f>IFERROR(__xludf.DUMMYFUNCTION("""COMPUTED_VALUE"""),345.0)</f>
        <v>345</v>
      </c>
      <c r="AG362" s="280">
        <f>IFERROR(__xludf.DUMMYFUNCTION("""COMPUTED_VALUE"""),370.0)</f>
        <v>370</v>
      </c>
      <c r="AH362" s="280">
        <f>IFERROR(__xludf.DUMMYFUNCTION("""COMPUTED_VALUE"""),380.0)</f>
        <v>380</v>
      </c>
      <c r="AI362" s="385" t="str">
        <f>IFERROR(__xludf.DUMMYFUNCTION("""COMPUTED_VALUE"""),"持続型")</f>
        <v>持続型</v>
      </c>
      <c r="AJ362" s="386">
        <f>IFERROR(__xludf.DUMMYFUNCTION("""COMPUTED_VALUE"""),2.0)</f>
        <v>2</v>
      </c>
      <c r="AK362" s="387" t="str">
        <f>IFERROR(__xludf.DUMMYFUNCTION("""COMPUTED_VALUE"""),"効果時間")</f>
        <v>効果時間</v>
      </c>
      <c r="AL362" s="392">
        <f>IFERROR(__xludf.DUMMYFUNCTION("""COMPUTED_VALUE"""),460.0)</f>
        <v>460</v>
      </c>
      <c r="AM362" s="275">
        <f>IFERROR(__xludf.DUMMYFUNCTION("""COMPUTED_VALUE"""),465.0)</f>
        <v>465</v>
      </c>
      <c r="AN362" s="280">
        <f>IFERROR(__xludf.DUMMYFUNCTION("""COMPUTED_VALUE"""),470.0)</f>
        <v>470</v>
      </c>
      <c r="AO362" s="275">
        <f>IFERROR(__xludf.DUMMYFUNCTION("""COMPUTED_VALUE"""),475.0)</f>
        <v>475</v>
      </c>
      <c r="AP362" s="280">
        <f>IFERROR(__xludf.DUMMYFUNCTION("""COMPUTED_VALUE"""),480.0)</f>
        <v>480</v>
      </c>
      <c r="AQ362" s="280">
        <f>IFERROR(__xludf.DUMMYFUNCTION("""COMPUTED_VALUE"""),495.0)</f>
        <v>495</v>
      </c>
      <c r="AR362" s="280">
        <f>IFERROR(__xludf.DUMMYFUNCTION("""COMPUTED_VALUE"""),520.0)</f>
        <v>520</v>
      </c>
      <c r="AS362" s="280">
        <f>IFERROR(__xludf.DUMMYFUNCTION("""COMPUTED_VALUE"""),530.0)</f>
        <v>530</v>
      </c>
      <c r="AT362" s="385" t="str">
        <f>IFERROR(__xludf.DUMMYFUNCTION("""COMPUTED_VALUE"""),"超持続型")</f>
        <v>超持続型</v>
      </c>
      <c r="AU362" s="386">
        <f>IFERROR(__xludf.DUMMYFUNCTION("""COMPUTED_VALUE"""),2.0)</f>
        <v>2</v>
      </c>
      <c r="AV362" s="387" t="str">
        <f>IFERROR(__xludf.DUMMYFUNCTION("""COMPUTED_VALUE"""),"効果時間")</f>
        <v>効果時間</v>
      </c>
      <c r="AW362" s="368" t="str">
        <f>IFERROR(__xludf.DUMMYFUNCTION("""COMPUTED_VALUE"""),"-")</f>
        <v>-</v>
      </c>
      <c r="AX362" s="368" t="str">
        <f>IFERROR(__xludf.DUMMYFUNCTION("""COMPUTED_VALUE"""),"-")</f>
        <v>-</v>
      </c>
      <c r="AY362" s="368" t="str">
        <f>IFERROR(__xludf.DUMMYFUNCTION("""COMPUTED_VALUE"""),"-")</f>
        <v>-</v>
      </c>
      <c r="AZ362" s="368" t="str">
        <f>IFERROR(__xludf.DUMMYFUNCTION("""COMPUTED_VALUE"""),"-")</f>
        <v>-</v>
      </c>
      <c r="BA362" s="368" t="str">
        <f>IFERROR(__xludf.DUMMYFUNCTION("""COMPUTED_VALUE"""),"-")</f>
        <v>-</v>
      </c>
      <c r="BB362" s="280">
        <f>IFERROR(__xludf.DUMMYFUNCTION("""COMPUTED_VALUE"""),625.0)</f>
        <v>625</v>
      </c>
      <c r="BC362" s="280">
        <f>IFERROR(__xludf.DUMMYFUNCTION("""COMPUTED_VALUE"""),670.0)</f>
        <v>670</v>
      </c>
      <c r="BD362" s="280">
        <f>IFERROR(__xludf.DUMMYFUNCTION("""COMPUTED_VALUE"""),680.0)</f>
        <v>680</v>
      </c>
      <c r="BE362" s="385" t="str">
        <f>IFERROR(__xludf.DUMMYFUNCTION("""COMPUTED_VALUE"""),"ハイブリッド型")</f>
        <v>ハイブリッド型</v>
      </c>
      <c r="BF362" s="386">
        <f>IFERROR(__xludf.DUMMYFUNCTION("""COMPUTED_VALUE"""),2.0)</f>
        <v>2</v>
      </c>
      <c r="BG362" s="387" t="str">
        <f>IFERROR(__xludf.DUMMYFUNCTION("""COMPUTED_VALUE"""),"効果時間")</f>
        <v>効果時間</v>
      </c>
      <c r="BH362" s="407">
        <f>IFERROR(__xludf.DUMMYFUNCTION("""COMPUTED_VALUE"""),195.0)</f>
        <v>195</v>
      </c>
      <c r="BI362" s="407">
        <f>IFERROR(__xludf.DUMMYFUNCTION("""COMPUTED_VALUE"""),205.0)</f>
        <v>205</v>
      </c>
      <c r="BJ362" s="407">
        <f>IFERROR(__xludf.DUMMYFUNCTION("""COMPUTED_VALUE"""),205.0)</f>
        <v>205</v>
      </c>
      <c r="BK362" s="408">
        <f>IFERROR(__xludf.DUMMYFUNCTION("""COMPUTED_VALUE"""),210.0)</f>
        <v>210</v>
      </c>
      <c r="BL362" s="407">
        <f>IFERROR(__xludf.DUMMYFUNCTION("""COMPUTED_VALUE"""),215.0)</f>
        <v>215</v>
      </c>
      <c r="BM362" s="408">
        <f>IFERROR(__xludf.DUMMYFUNCTION("""COMPUTED_VALUE"""),375.0)</f>
        <v>375</v>
      </c>
      <c r="BN362" s="407">
        <f>IFERROR(__xludf.DUMMYFUNCTION("""COMPUTED_VALUE"""),480.0)</f>
        <v>480</v>
      </c>
      <c r="BO362" s="408">
        <f>IFERROR(__xludf.DUMMYFUNCTION("""COMPUTED_VALUE"""),490.0)</f>
        <v>490</v>
      </c>
    </row>
    <row r="363">
      <c r="A363" s="435" t="str">
        <f>IFERROR(__xludf.DUMMYFUNCTION("""COMPUTED_VALUE"""),"攻撃力Down(黄)")</f>
        <v>攻撃力Down(黄)</v>
      </c>
      <c r="B363" s="385" t="str">
        <f>IFERROR(__xludf.DUMMYFUNCTION("""COMPUTED_VALUE"""),"超瞬間型")</f>
        <v>超瞬間型</v>
      </c>
      <c r="C363" s="399">
        <f>IFERROR(__xludf.DUMMYFUNCTION("""COMPUTED_VALUE"""),3.0)</f>
        <v>3</v>
      </c>
      <c r="D363" s="400" t="str">
        <f>IFERROR(__xludf.DUMMYFUNCTION("""COMPUTED_VALUE"""),"効果値")</f>
        <v>効果値</v>
      </c>
      <c r="E363" s="401" t="str">
        <f>IFERROR(__xludf.DUMMYFUNCTION("""COMPUTED_VALUE"""),"-")</f>
        <v>-</v>
      </c>
      <c r="F363" s="409" t="str">
        <f>IFERROR(__xludf.DUMMYFUNCTION("""COMPUTED_VALUE"""),"-")</f>
        <v>-</v>
      </c>
      <c r="G363" s="401" t="str">
        <f>IFERROR(__xludf.DUMMYFUNCTION("""COMPUTED_VALUE"""),"-")</f>
        <v>-</v>
      </c>
      <c r="H363" s="409" t="str">
        <f>IFERROR(__xludf.DUMMYFUNCTION("""COMPUTED_VALUE"""),"-")</f>
        <v>-</v>
      </c>
      <c r="I363" s="409" t="str">
        <f>IFERROR(__xludf.DUMMYFUNCTION("""COMPUTED_VALUE"""),"-")</f>
        <v>-</v>
      </c>
      <c r="J363" s="410">
        <f>IFERROR(__xludf.DUMMYFUNCTION("""COMPUTED_VALUE"""),58.0)</f>
        <v>58</v>
      </c>
      <c r="K363" s="410">
        <f>IFERROR(__xludf.DUMMYFUNCTION("""COMPUTED_VALUE"""),68.0)</f>
        <v>68</v>
      </c>
      <c r="L363" s="410">
        <f>IFERROR(__xludf.DUMMYFUNCTION("""COMPUTED_VALUE"""),72.0)</f>
        <v>72</v>
      </c>
      <c r="M363" s="385" t="str">
        <f>IFERROR(__xludf.DUMMYFUNCTION("""COMPUTED_VALUE"""),"瞬間型")</f>
        <v>瞬間型</v>
      </c>
      <c r="N363" s="399">
        <f>IFERROR(__xludf.DUMMYFUNCTION("""COMPUTED_VALUE"""),3.0)</f>
        <v>3</v>
      </c>
      <c r="O363" s="400" t="str">
        <f>IFERROR(__xludf.DUMMYFUNCTION("""COMPUTED_VALUE"""),"効果値")</f>
        <v>効果値</v>
      </c>
      <c r="P363" s="343">
        <f>IFERROR(__xludf.DUMMYFUNCTION("""COMPUTED_VALUE"""),22.0)</f>
        <v>22</v>
      </c>
      <c r="Q363" s="402">
        <f>IFERROR(__xludf.DUMMYFUNCTION("""COMPUTED_VALUE"""),22.0)</f>
        <v>22</v>
      </c>
      <c r="R363" s="402">
        <f>IFERROR(__xludf.DUMMYFUNCTION("""COMPUTED_VALUE"""),23.0)</f>
        <v>23</v>
      </c>
      <c r="S363" s="402">
        <f>IFERROR(__xludf.DUMMYFUNCTION("""COMPUTED_VALUE"""),23.0)</f>
        <v>23</v>
      </c>
      <c r="T363" s="402">
        <f>IFERROR(__xludf.DUMMYFUNCTION("""COMPUTED_VALUE"""),23.0)</f>
        <v>23</v>
      </c>
      <c r="U363" s="402">
        <f>IFERROR(__xludf.DUMMYFUNCTION("""COMPUTED_VALUE"""),28.0)</f>
        <v>28</v>
      </c>
      <c r="V363" s="402">
        <f>IFERROR(__xludf.DUMMYFUNCTION("""COMPUTED_VALUE"""),33.0)</f>
        <v>33</v>
      </c>
      <c r="W363" s="402">
        <f>IFERROR(__xludf.DUMMYFUNCTION("""COMPUTED_VALUE"""),37.0)</f>
        <v>37</v>
      </c>
      <c r="X363" s="385" t="str">
        <f>IFERROR(__xludf.DUMMYFUNCTION("""COMPUTED_VALUE"""),"安定型")</f>
        <v>安定型</v>
      </c>
      <c r="Y363" s="399">
        <f>IFERROR(__xludf.DUMMYFUNCTION("""COMPUTED_VALUE"""),3.0)</f>
        <v>3</v>
      </c>
      <c r="Z363" s="400" t="str">
        <f>IFERROR(__xludf.DUMMYFUNCTION("""COMPUTED_VALUE"""),"効果値")</f>
        <v>効果値</v>
      </c>
      <c r="AA363" s="343">
        <f>IFERROR(__xludf.DUMMYFUNCTION("""COMPUTED_VALUE"""),12.0)</f>
        <v>12</v>
      </c>
      <c r="AB363" s="402">
        <f>IFERROR(__xludf.DUMMYFUNCTION("""COMPUTED_VALUE"""),12.0)</f>
        <v>12</v>
      </c>
      <c r="AC363" s="402">
        <f>IFERROR(__xludf.DUMMYFUNCTION("""COMPUTED_VALUE"""),13.0)</f>
        <v>13</v>
      </c>
      <c r="AD363" s="402">
        <f>IFERROR(__xludf.DUMMYFUNCTION("""COMPUTED_VALUE"""),13.0)</f>
        <v>13</v>
      </c>
      <c r="AE363" s="402">
        <f>IFERROR(__xludf.DUMMYFUNCTION("""COMPUTED_VALUE"""),13.0)</f>
        <v>13</v>
      </c>
      <c r="AF363" s="402">
        <f>IFERROR(__xludf.DUMMYFUNCTION("""COMPUTED_VALUE"""),13.0)</f>
        <v>13</v>
      </c>
      <c r="AG363" s="402">
        <f>IFERROR(__xludf.DUMMYFUNCTION("""COMPUTED_VALUE"""),18.0)</f>
        <v>18</v>
      </c>
      <c r="AH363" s="402">
        <f>IFERROR(__xludf.DUMMYFUNCTION("""COMPUTED_VALUE"""),22.0)</f>
        <v>22</v>
      </c>
      <c r="AI363" s="385" t="str">
        <f>IFERROR(__xludf.DUMMYFUNCTION("""COMPUTED_VALUE"""),"持続型")</f>
        <v>持続型</v>
      </c>
      <c r="AJ363" s="399">
        <f>IFERROR(__xludf.DUMMYFUNCTION("""COMPUTED_VALUE"""),3.0)</f>
        <v>3</v>
      </c>
      <c r="AK363" s="400" t="str">
        <f>IFERROR(__xludf.DUMMYFUNCTION("""COMPUTED_VALUE"""),"効果値")</f>
        <v>効果値</v>
      </c>
      <c r="AL363" s="343">
        <f>IFERROR(__xludf.DUMMYFUNCTION("""COMPUTED_VALUE"""),7.0)</f>
        <v>7</v>
      </c>
      <c r="AM363" s="402">
        <f>IFERROR(__xludf.DUMMYFUNCTION("""COMPUTED_VALUE"""),7.0)</f>
        <v>7</v>
      </c>
      <c r="AN363" s="402">
        <f>IFERROR(__xludf.DUMMYFUNCTION("""COMPUTED_VALUE"""),8.0)</f>
        <v>8</v>
      </c>
      <c r="AO363" s="402">
        <f>IFERROR(__xludf.DUMMYFUNCTION("""COMPUTED_VALUE"""),8.0)</f>
        <v>8</v>
      </c>
      <c r="AP363" s="402">
        <f>IFERROR(__xludf.DUMMYFUNCTION("""COMPUTED_VALUE"""),8.0)</f>
        <v>8</v>
      </c>
      <c r="AQ363" s="402">
        <f>IFERROR(__xludf.DUMMYFUNCTION("""COMPUTED_VALUE"""),8.0)</f>
        <v>8</v>
      </c>
      <c r="AR363" s="402">
        <f>IFERROR(__xludf.DUMMYFUNCTION("""COMPUTED_VALUE"""),11.0)</f>
        <v>11</v>
      </c>
      <c r="AS363" s="402">
        <f>IFERROR(__xludf.DUMMYFUNCTION("""COMPUTED_VALUE"""),11.0)</f>
        <v>11</v>
      </c>
      <c r="AT363" s="385" t="str">
        <f>IFERROR(__xludf.DUMMYFUNCTION("""COMPUTED_VALUE"""),"超持続型")</f>
        <v>超持続型</v>
      </c>
      <c r="AU363" s="399">
        <f>IFERROR(__xludf.DUMMYFUNCTION("""COMPUTED_VALUE"""),3.0)</f>
        <v>3</v>
      </c>
      <c r="AV363" s="400" t="str">
        <f>IFERROR(__xludf.DUMMYFUNCTION("""COMPUTED_VALUE"""),"効果値")</f>
        <v>効果値</v>
      </c>
      <c r="AW363" s="403" t="str">
        <f>IFERROR(__xludf.DUMMYFUNCTION("""COMPUTED_VALUE"""),"-")</f>
        <v>-</v>
      </c>
      <c r="AX363" s="403" t="str">
        <f>IFERROR(__xludf.DUMMYFUNCTION("""COMPUTED_VALUE"""),"-")</f>
        <v>-</v>
      </c>
      <c r="AY363" s="403" t="str">
        <f>IFERROR(__xludf.DUMMYFUNCTION("""COMPUTED_VALUE"""),"-")</f>
        <v>-</v>
      </c>
      <c r="AZ363" s="403" t="str">
        <f>IFERROR(__xludf.DUMMYFUNCTION("""COMPUTED_VALUE"""),"-")</f>
        <v>-</v>
      </c>
      <c r="BA363" s="403" t="str">
        <f>IFERROR(__xludf.DUMMYFUNCTION("""COMPUTED_VALUE"""),"-")</f>
        <v>-</v>
      </c>
      <c r="BB363" s="343">
        <f>IFERROR(__xludf.DUMMYFUNCTION("""COMPUTED_VALUE"""),8.0)</f>
        <v>8</v>
      </c>
      <c r="BC363" s="343">
        <f>IFERROR(__xludf.DUMMYFUNCTION("""COMPUTED_VALUE"""),11.0)</f>
        <v>11</v>
      </c>
      <c r="BD363" s="343">
        <f>IFERROR(__xludf.DUMMYFUNCTION("""COMPUTED_VALUE"""),11.0)</f>
        <v>11</v>
      </c>
      <c r="BE363" s="385" t="str">
        <f>IFERROR(__xludf.DUMMYFUNCTION("""COMPUTED_VALUE"""),"ハイブリッド型")</f>
        <v>ハイブリッド型</v>
      </c>
      <c r="BF363" s="399">
        <f>IFERROR(__xludf.DUMMYFUNCTION("""COMPUTED_VALUE"""),3.0)</f>
        <v>3</v>
      </c>
      <c r="BG363" s="400" t="str">
        <f>IFERROR(__xludf.DUMMYFUNCTION("""COMPUTED_VALUE"""),"効果値")</f>
        <v>効果値</v>
      </c>
      <c r="BH363" s="411">
        <f>IFERROR(__xludf.DUMMYFUNCTION("""COMPUTED_VALUE"""),11.4)</f>
        <v>11.4</v>
      </c>
      <c r="BI363" s="412">
        <f>IFERROR(__xludf.DUMMYFUNCTION("""COMPUTED_VALUE"""),11.9)</f>
        <v>11.9</v>
      </c>
      <c r="BJ363" s="412">
        <f>IFERROR(__xludf.DUMMYFUNCTION("""COMPUTED_VALUE"""),12.5)</f>
        <v>12.5</v>
      </c>
      <c r="BK363" s="412">
        <f>IFERROR(__xludf.DUMMYFUNCTION("""COMPUTED_VALUE"""),13.0)</f>
        <v>13</v>
      </c>
      <c r="BL363" s="412">
        <f>IFERROR(__xludf.DUMMYFUNCTION("""COMPUTED_VALUE"""),13.5)</f>
        <v>13.5</v>
      </c>
      <c r="BM363" s="412">
        <f>IFERROR(__xludf.DUMMYFUNCTION("""COMPUTED_VALUE"""),18.5)</f>
        <v>18.5</v>
      </c>
      <c r="BN363" s="412">
        <f>IFERROR(__xludf.DUMMYFUNCTION("""COMPUTED_VALUE"""),23.0)</f>
        <v>23</v>
      </c>
      <c r="BO363" s="413">
        <f>IFERROR(__xludf.DUMMYFUNCTION("""COMPUTED_VALUE"""),27.0)</f>
        <v>27</v>
      </c>
    </row>
    <row r="364">
      <c r="A364" s="435" t="str">
        <f>IFERROR(__xludf.DUMMYFUNCTION("""COMPUTED_VALUE"""),"攻撃力Down(黄)")</f>
        <v>攻撃力Down(黄)</v>
      </c>
      <c r="B364" s="385" t="str">
        <f>IFERROR(__xludf.DUMMYFUNCTION("""COMPUTED_VALUE"""),"超瞬間型")</f>
        <v>超瞬間型</v>
      </c>
      <c r="C364" s="386">
        <f>IFERROR(__xludf.DUMMYFUNCTION("""COMPUTED_VALUE"""),3.0)</f>
        <v>3</v>
      </c>
      <c r="D364" s="387" t="str">
        <f>IFERROR(__xludf.DUMMYFUNCTION("""COMPUTED_VALUE"""),"効果時間")</f>
        <v>効果時間</v>
      </c>
      <c r="E364" s="388" t="str">
        <f>IFERROR(__xludf.DUMMYFUNCTION("""COMPUTED_VALUE"""),"-")</f>
        <v>-</v>
      </c>
      <c r="F364" s="389" t="str">
        <f>IFERROR(__xludf.DUMMYFUNCTION("""COMPUTED_VALUE"""),"-")</f>
        <v>-</v>
      </c>
      <c r="G364" s="388" t="str">
        <f>IFERROR(__xludf.DUMMYFUNCTION("""COMPUTED_VALUE"""),"-")</f>
        <v>-</v>
      </c>
      <c r="H364" s="389" t="str">
        <f>IFERROR(__xludf.DUMMYFUNCTION("""COMPUTED_VALUE"""),"-")</f>
        <v>-</v>
      </c>
      <c r="I364" s="388" t="str">
        <f>IFERROR(__xludf.DUMMYFUNCTION("""COMPUTED_VALUE"""),"-")</f>
        <v>-</v>
      </c>
      <c r="J364" s="390">
        <f>IFERROR(__xludf.DUMMYFUNCTION("""COMPUTED_VALUE"""),155.0)</f>
        <v>155</v>
      </c>
      <c r="K364" s="391">
        <f>IFERROR(__xludf.DUMMYFUNCTION("""COMPUTED_VALUE"""),165.0)</f>
        <v>165</v>
      </c>
      <c r="L364" s="340">
        <f>IFERROR(__xludf.DUMMYFUNCTION("""COMPUTED_VALUE"""),185.0)</f>
        <v>185</v>
      </c>
      <c r="M364" s="385" t="str">
        <f>IFERROR(__xludf.DUMMYFUNCTION("""COMPUTED_VALUE"""),"瞬間型")</f>
        <v>瞬間型</v>
      </c>
      <c r="N364" s="386">
        <f>IFERROR(__xludf.DUMMYFUNCTION("""COMPUTED_VALUE"""),3.0)</f>
        <v>3</v>
      </c>
      <c r="O364" s="387" t="str">
        <f>IFERROR(__xludf.DUMMYFUNCTION("""COMPUTED_VALUE"""),"効果時間")</f>
        <v>効果時間</v>
      </c>
      <c r="P364" s="392">
        <f>IFERROR(__xludf.DUMMYFUNCTION("""COMPUTED_VALUE"""),165.0)</f>
        <v>165</v>
      </c>
      <c r="Q364" s="414">
        <f>IFERROR(__xludf.DUMMYFUNCTION("""COMPUTED_VALUE"""),175.0)</f>
        <v>175</v>
      </c>
      <c r="R364" s="415">
        <f>IFERROR(__xludf.DUMMYFUNCTION("""COMPUTED_VALUE"""),180.0)</f>
        <v>180</v>
      </c>
      <c r="S364" s="393">
        <f>IFERROR(__xludf.DUMMYFUNCTION("""COMPUTED_VALUE"""),185.0)</f>
        <v>185</v>
      </c>
      <c r="T364" s="393">
        <f>IFERROR(__xludf.DUMMYFUNCTION("""COMPUTED_VALUE"""),195.0)</f>
        <v>195</v>
      </c>
      <c r="U364" s="414">
        <f>IFERROR(__xludf.DUMMYFUNCTION("""COMPUTED_VALUE"""),200.0)</f>
        <v>200</v>
      </c>
      <c r="V364" s="416">
        <f>IFERROR(__xludf.DUMMYFUNCTION("""COMPUTED_VALUE"""),255.0)</f>
        <v>255</v>
      </c>
      <c r="W364" s="415">
        <f>IFERROR(__xludf.DUMMYFUNCTION("""COMPUTED_VALUE"""),270.0)</f>
        <v>270</v>
      </c>
      <c r="X364" s="385" t="str">
        <f>IFERROR(__xludf.DUMMYFUNCTION("""COMPUTED_VALUE"""),"安定型")</f>
        <v>安定型</v>
      </c>
      <c r="Y364" s="386">
        <f>IFERROR(__xludf.DUMMYFUNCTION("""COMPUTED_VALUE"""),3.0)</f>
        <v>3</v>
      </c>
      <c r="Z364" s="387" t="str">
        <f>IFERROR(__xludf.DUMMYFUNCTION("""COMPUTED_VALUE"""),"効果時間")</f>
        <v>効果時間</v>
      </c>
      <c r="AA364" s="392">
        <f>IFERROR(__xludf.DUMMYFUNCTION("""COMPUTED_VALUE"""),315.0)</f>
        <v>315</v>
      </c>
      <c r="AB364" s="414">
        <f>IFERROR(__xludf.DUMMYFUNCTION("""COMPUTED_VALUE"""),325.0)</f>
        <v>325</v>
      </c>
      <c r="AC364" s="415">
        <f>IFERROR(__xludf.DUMMYFUNCTION("""COMPUTED_VALUE"""),330.0)</f>
        <v>330</v>
      </c>
      <c r="AD364" s="393">
        <f>IFERROR(__xludf.DUMMYFUNCTION("""COMPUTED_VALUE"""),335.0)</f>
        <v>335</v>
      </c>
      <c r="AE364" s="393">
        <f>IFERROR(__xludf.DUMMYFUNCTION("""COMPUTED_VALUE"""),345.0)</f>
        <v>345</v>
      </c>
      <c r="AF364" s="414">
        <f>IFERROR(__xludf.DUMMYFUNCTION("""COMPUTED_VALUE"""),370.0)</f>
        <v>370</v>
      </c>
      <c r="AG364" s="416">
        <f>IFERROR(__xludf.DUMMYFUNCTION("""COMPUTED_VALUE"""),405.0)</f>
        <v>405</v>
      </c>
      <c r="AH364" s="415">
        <f>IFERROR(__xludf.DUMMYFUNCTION("""COMPUTED_VALUE"""),420.0)</f>
        <v>420</v>
      </c>
      <c r="AI364" s="385" t="str">
        <f>IFERROR(__xludf.DUMMYFUNCTION("""COMPUTED_VALUE"""),"持続型")</f>
        <v>持続型</v>
      </c>
      <c r="AJ364" s="386">
        <f>IFERROR(__xludf.DUMMYFUNCTION("""COMPUTED_VALUE"""),3.0)</f>
        <v>3</v>
      </c>
      <c r="AK364" s="387" t="str">
        <f>IFERROR(__xludf.DUMMYFUNCTION("""COMPUTED_VALUE"""),"効果時間")</f>
        <v>効果時間</v>
      </c>
      <c r="AL364" s="392">
        <f>IFERROR(__xludf.DUMMYFUNCTION("""COMPUTED_VALUE"""),465.0)</f>
        <v>465</v>
      </c>
      <c r="AM364" s="414">
        <f>IFERROR(__xludf.DUMMYFUNCTION("""COMPUTED_VALUE"""),475.0)</f>
        <v>475</v>
      </c>
      <c r="AN364" s="415">
        <f>IFERROR(__xludf.DUMMYFUNCTION("""COMPUTED_VALUE"""),480.0)</f>
        <v>480</v>
      </c>
      <c r="AO364" s="393">
        <f>IFERROR(__xludf.DUMMYFUNCTION("""COMPUTED_VALUE"""),485.0)</f>
        <v>485</v>
      </c>
      <c r="AP364" s="393">
        <f>IFERROR(__xludf.DUMMYFUNCTION("""COMPUTED_VALUE"""),495.0)</f>
        <v>495</v>
      </c>
      <c r="AQ364" s="414">
        <f>IFERROR(__xludf.DUMMYFUNCTION("""COMPUTED_VALUE"""),520.0)</f>
        <v>520</v>
      </c>
      <c r="AR364" s="416">
        <f>IFERROR(__xludf.DUMMYFUNCTION("""COMPUTED_VALUE"""),555.0)</f>
        <v>555</v>
      </c>
      <c r="AS364" s="415">
        <f>IFERROR(__xludf.DUMMYFUNCTION("""COMPUTED_VALUE"""),570.0)</f>
        <v>570</v>
      </c>
      <c r="AT364" s="385" t="str">
        <f>IFERROR(__xludf.DUMMYFUNCTION("""COMPUTED_VALUE"""),"超持続型")</f>
        <v>超持続型</v>
      </c>
      <c r="AU364" s="386">
        <f>IFERROR(__xludf.DUMMYFUNCTION("""COMPUTED_VALUE"""),3.0)</f>
        <v>3</v>
      </c>
      <c r="AV364" s="387" t="str">
        <f>IFERROR(__xludf.DUMMYFUNCTION("""COMPUTED_VALUE"""),"効果時間")</f>
        <v>効果時間</v>
      </c>
      <c r="AW364" s="368" t="str">
        <f>IFERROR(__xludf.DUMMYFUNCTION("""COMPUTED_VALUE"""),"-")</f>
        <v>-</v>
      </c>
      <c r="AX364" s="368" t="str">
        <f>IFERROR(__xludf.DUMMYFUNCTION("""COMPUTED_VALUE"""),"-")</f>
        <v>-</v>
      </c>
      <c r="AY364" s="368" t="str">
        <f>IFERROR(__xludf.DUMMYFUNCTION("""COMPUTED_VALUE"""),"-")</f>
        <v>-</v>
      </c>
      <c r="AZ364" s="368" t="str">
        <f>IFERROR(__xludf.DUMMYFUNCTION("""COMPUTED_VALUE"""),"-")</f>
        <v>-</v>
      </c>
      <c r="BA364" s="368" t="str">
        <f>IFERROR(__xludf.DUMMYFUNCTION("""COMPUTED_VALUE"""),"-")</f>
        <v>-</v>
      </c>
      <c r="BB364" s="280">
        <f>IFERROR(__xludf.DUMMYFUNCTION("""COMPUTED_VALUE"""),635.0)</f>
        <v>635</v>
      </c>
      <c r="BC364" s="280">
        <f>IFERROR(__xludf.DUMMYFUNCTION("""COMPUTED_VALUE"""),705.0)</f>
        <v>705</v>
      </c>
      <c r="BD364" s="280">
        <f>IFERROR(__xludf.DUMMYFUNCTION("""COMPUTED_VALUE"""),720.0)</f>
        <v>720</v>
      </c>
      <c r="BE364" s="385" t="str">
        <f>IFERROR(__xludf.DUMMYFUNCTION("""COMPUTED_VALUE"""),"ハイブリッド型")</f>
        <v>ハイブリッド型</v>
      </c>
      <c r="BF364" s="386">
        <f>IFERROR(__xludf.DUMMYFUNCTION("""COMPUTED_VALUE"""),3.0)</f>
        <v>3</v>
      </c>
      <c r="BG364" s="387" t="str">
        <f>IFERROR(__xludf.DUMMYFUNCTION("""COMPUTED_VALUE"""),"効果時間")</f>
        <v>効果時間</v>
      </c>
      <c r="BH364" s="407">
        <f>IFERROR(__xludf.DUMMYFUNCTION("""COMPUTED_VALUE"""),220.0)</f>
        <v>220</v>
      </c>
      <c r="BI364" s="407">
        <f>IFERROR(__xludf.DUMMYFUNCTION("""COMPUTED_VALUE"""),235.0)</f>
        <v>235</v>
      </c>
      <c r="BJ364" s="407">
        <f>IFERROR(__xludf.DUMMYFUNCTION("""COMPUTED_VALUE"""),240.0)</f>
        <v>240</v>
      </c>
      <c r="BK364" s="408">
        <f>IFERROR(__xludf.DUMMYFUNCTION("""COMPUTED_VALUE"""),250.0)</f>
        <v>250</v>
      </c>
      <c r="BL364" s="407">
        <f>IFERROR(__xludf.DUMMYFUNCTION("""COMPUTED_VALUE"""),255.0)</f>
        <v>255</v>
      </c>
      <c r="BM364" s="408">
        <f>IFERROR(__xludf.DUMMYFUNCTION("""COMPUTED_VALUE"""),385.0)</f>
        <v>385</v>
      </c>
      <c r="BN364" s="407">
        <f>IFERROR(__xludf.DUMMYFUNCTION("""COMPUTED_VALUE"""),490.0)</f>
        <v>490</v>
      </c>
      <c r="BO364" s="408">
        <f>IFERROR(__xludf.DUMMYFUNCTION("""COMPUTED_VALUE"""),505.0)</f>
        <v>505</v>
      </c>
    </row>
    <row r="365">
      <c r="A365" s="435" t="str">
        <f>IFERROR(__xludf.DUMMYFUNCTION("""COMPUTED_VALUE"""),"攻撃力Down(黄)")</f>
        <v>攻撃力Down(黄)</v>
      </c>
      <c r="B365" s="385" t="str">
        <f>IFERROR(__xludf.DUMMYFUNCTION("""COMPUTED_VALUE"""),"超瞬間型")</f>
        <v>超瞬間型</v>
      </c>
      <c r="C365" s="399">
        <f>IFERROR(__xludf.DUMMYFUNCTION("""COMPUTED_VALUE"""),4.0)</f>
        <v>4</v>
      </c>
      <c r="D365" s="400" t="str">
        <f>IFERROR(__xludf.DUMMYFUNCTION("""COMPUTED_VALUE"""),"効果値")</f>
        <v>効果値</v>
      </c>
      <c r="E365" s="401" t="str">
        <f>IFERROR(__xludf.DUMMYFUNCTION("""COMPUTED_VALUE"""),"-")</f>
        <v>-</v>
      </c>
      <c r="F365" s="409" t="str">
        <f>IFERROR(__xludf.DUMMYFUNCTION("""COMPUTED_VALUE"""),"-")</f>
        <v>-</v>
      </c>
      <c r="G365" s="409" t="str">
        <f>IFERROR(__xludf.DUMMYFUNCTION("""COMPUTED_VALUE"""),"-")</f>
        <v>-</v>
      </c>
      <c r="H365" s="409" t="str">
        <f>IFERROR(__xludf.DUMMYFUNCTION("""COMPUTED_VALUE"""),"-")</f>
        <v>-</v>
      </c>
      <c r="I365" s="409" t="str">
        <f>IFERROR(__xludf.DUMMYFUNCTION("""COMPUTED_VALUE"""),"-")</f>
        <v>-</v>
      </c>
      <c r="J365" s="410">
        <f>IFERROR(__xludf.DUMMYFUNCTION("""COMPUTED_VALUE"""),59.0)</f>
        <v>59</v>
      </c>
      <c r="K365" s="410">
        <f>IFERROR(__xludf.DUMMYFUNCTION("""COMPUTED_VALUE"""),69.0)</f>
        <v>69</v>
      </c>
      <c r="L365" s="410">
        <f>IFERROR(__xludf.DUMMYFUNCTION("""COMPUTED_VALUE"""),74.0)</f>
        <v>74</v>
      </c>
      <c r="M365" s="385" t="str">
        <f>IFERROR(__xludf.DUMMYFUNCTION("""COMPUTED_VALUE"""),"瞬間型")</f>
        <v>瞬間型</v>
      </c>
      <c r="N365" s="399">
        <f>IFERROR(__xludf.DUMMYFUNCTION("""COMPUTED_VALUE"""),4.0)</f>
        <v>4</v>
      </c>
      <c r="O365" s="400" t="str">
        <f>IFERROR(__xludf.DUMMYFUNCTION("""COMPUTED_VALUE"""),"効果値")</f>
        <v>効果値</v>
      </c>
      <c r="P365" s="343">
        <f>IFERROR(__xludf.DUMMYFUNCTION("""COMPUTED_VALUE"""),23.0)</f>
        <v>23</v>
      </c>
      <c r="Q365" s="402">
        <f>IFERROR(__xludf.DUMMYFUNCTION("""COMPUTED_VALUE"""),23.0)</f>
        <v>23</v>
      </c>
      <c r="R365" s="343">
        <f>IFERROR(__xludf.DUMMYFUNCTION("""COMPUTED_VALUE"""),23.0)</f>
        <v>23</v>
      </c>
      <c r="S365" s="402">
        <f>IFERROR(__xludf.DUMMYFUNCTION("""COMPUTED_VALUE"""),23.0)</f>
        <v>23</v>
      </c>
      <c r="T365" s="343">
        <f>IFERROR(__xludf.DUMMYFUNCTION("""COMPUTED_VALUE"""),23.0)</f>
        <v>23</v>
      </c>
      <c r="U365" s="343">
        <f>IFERROR(__xludf.DUMMYFUNCTION("""COMPUTED_VALUE"""),29.0)</f>
        <v>29</v>
      </c>
      <c r="V365" s="343">
        <f>IFERROR(__xludf.DUMMYFUNCTION("""COMPUTED_VALUE"""),34.0)</f>
        <v>34</v>
      </c>
      <c r="W365" s="343">
        <f>IFERROR(__xludf.DUMMYFUNCTION("""COMPUTED_VALUE"""),39.0)</f>
        <v>39</v>
      </c>
      <c r="X365" s="385" t="str">
        <f>IFERROR(__xludf.DUMMYFUNCTION("""COMPUTED_VALUE"""),"安定型")</f>
        <v>安定型</v>
      </c>
      <c r="Y365" s="399">
        <f>IFERROR(__xludf.DUMMYFUNCTION("""COMPUTED_VALUE"""),4.0)</f>
        <v>4</v>
      </c>
      <c r="Z365" s="400" t="str">
        <f>IFERROR(__xludf.DUMMYFUNCTION("""COMPUTED_VALUE"""),"効果値")</f>
        <v>効果値</v>
      </c>
      <c r="AA365" s="343">
        <f>IFERROR(__xludf.DUMMYFUNCTION("""COMPUTED_VALUE"""),13.0)</f>
        <v>13</v>
      </c>
      <c r="AB365" s="402">
        <f>IFERROR(__xludf.DUMMYFUNCTION("""COMPUTED_VALUE"""),13.0)</f>
        <v>13</v>
      </c>
      <c r="AC365" s="343">
        <f>IFERROR(__xludf.DUMMYFUNCTION("""COMPUTED_VALUE"""),13.0)</f>
        <v>13</v>
      </c>
      <c r="AD365" s="402">
        <f>IFERROR(__xludf.DUMMYFUNCTION("""COMPUTED_VALUE"""),13.0)</f>
        <v>13</v>
      </c>
      <c r="AE365" s="343">
        <f>IFERROR(__xludf.DUMMYFUNCTION("""COMPUTED_VALUE"""),13.0)</f>
        <v>13</v>
      </c>
      <c r="AF365" s="343">
        <f>IFERROR(__xludf.DUMMYFUNCTION("""COMPUTED_VALUE"""),14.0)</f>
        <v>14</v>
      </c>
      <c r="AG365" s="343">
        <f>IFERROR(__xludf.DUMMYFUNCTION("""COMPUTED_VALUE"""),19.0)</f>
        <v>19</v>
      </c>
      <c r="AH365" s="343">
        <f>IFERROR(__xludf.DUMMYFUNCTION("""COMPUTED_VALUE"""),24.0)</f>
        <v>24</v>
      </c>
      <c r="AI365" s="385" t="str">
        <f>IFERROR(__xludf.DUMMYFUNCTION("""COMPUTED_VALUE"""),"持続型")</f>
        <v>持続型</v>
      </c>
      <c r="AJ365" s="399">
        <f>IFERROR(__xludf.DUMMYFUNCTION("""COMPUTED_VALUE"""),4.0)</f>
        <v>4</v>
      </c>
      <c r="AK365" s="400" t="str">
        <f>IFERROR(__xludf.DUMMYFUNCTION("""COMPUTED_VALUE"""),"効果値")</f>
        <v>効果値</v>
      </c>
      <c r="AL365" s="343">
        <f>IFERROR(__xludf.DUMMYFUNCTION("""COMPUTED_VALUE"""),8.0)</f>
        <v>8</v>
      </c>
      <c r="AM365" s="402">
        <f>IFERROR(__xludf.DUMMYFUNCTION("""COMPUTED_VALUE"""),8.0)</f>
        <v>8</v>
      </c>
      <c r="AN365" s="343">
        <f>IFERROR(__xludf.DUMMYFUNCTION("""COMPUTED_VALUE"""),8.0)</f>
        <v>8</v>
      </c>
      <c r="AO365" s="402">
        <f>IFERROR(__xludf.DUMMYFUNCTION("""COMPUTED_VALUE"""),8.0)</f>
        <v>8</v>
      </c>
      <c r="AP365" s="343">
        <f>IFERROR(__xludf.DUMMYFUNCTION("""COMPUTED_VALUE"""),8.0)</f>
        <v>8</v>
      </c>
      <c r="AQ365" s="343">
        <f>IFERROR(__xludf.DUMMYFUNCTION("""COMPUTED_VALUE"""),9.0)</f>
        <v>9</v>
      </c>
      <c r="AR365" s="343">
        <f>IFERROR(__xludf.DUMMYFUNCTION("""COMPUTED_VALUE"""),12.0)</f>
        <v>12</v>
      </c>
      <c r="AS365" s="343">
        <f>IFERROR(__xludf.DUMMYFUNCTION("""COMPUTED_VALUE"""),12.0)</f>
        <v>12</v>
      </c>
      <c r="AT365" s="385" t="str">
        <f>IFERROR(__xludf.DUMMYFUNCTION("""COMPUTED_VALUE"""),"超持続型")</f>
        <v>超持続型</v>
      </c>
      <c r="AU365" s="399">
        <f>IFERROR(__xludf.DUMMYFUNCTION("""COMPUTED_VALUE"""),4.0)</f>
        <v>4</v>
      </c>
      <c r="AV365" s="400" t="str">
        <f>IFERROR(__xludf.DUMMYFUNCTION("""COMPUTED_VALUE"""),"効果値")</f>
        <v>効果値</v>
      </c>
      <c r="AW365" s="403" t="str">
        <f>IFERROR(__xludf.DUMMYFUNCTION("""COMPUTED_VALUE"""),"-")</f>
        <v>-</v>
      </c>
      <c r="AX365" s="403" t="str">
        <f>IFERROR(__xludf.DUMMYFUNCTION("""COMPUTED_VALUE"""),"-")</f>
        <v>-</v>
      </c>
      <c r="AY365" s="403" t="str">
        <f>IFERROR(__xludf.DUMMYFUNCTION("""COMPUTED_VALUE"""),"-")</f>
        <v>-</v>
      </c>
      <c r="AZ365" s="403" t="str">
        <f>IFERROR(__xludf.DUMMYFUNCTION("""COMPUTED_VALUE"""),"-")</f>
        <v>-</v>
      </c>
      <c r="BA365" s="403" t="str">
        <f>IFERROR(__xludf.DUMMYFUNCTION("""COMPUTED_VALUE"""),"-")</f>
        <v>-</v>
      </c>
      <c r="BB365" s="343">
        <f>IFERROR(__xludf.DUMMYFUNCTION("""COMPUTED_VALUE"""),9.0)</f>
        <v>9</v>
      </c>
      <c r="BC365" s="343">
        <f>IFERROR(__xludf.DUMMYFUNCTION("""COMPUTED_VALUE"""),12.0)</f>
        <v>12</v>
      </c>
      <c r="BD365" s="343">
        <f>IFERROR(__xludf.DUMMYFUNCTION("""COMPUTED_VALUE"""),12.0)</f>
        <v>12</v>
      </c>
      <c r="BE365" s="385" t="str">
        <f>IFERROR(__xludf.DUMMYFUNCTION("""COMPUTED_VALUE"""),"ハイブリッド型")</f>
        <v>ハイブリッド型</v>
      </c>
      <c r="BF365" s="399">
        <f>IFERROR(__xludf.DUMMYFUNCTION("""COMPUTED_VALUE"""),4.0)</f>
        <v>4</v>
      </c>
      <c r="BG365" s="400" t="str">
        <f>IFERROR(__xludf.DUMMYFUNCTION("""COMPUTED_VALUE"""),"効果値")</f>
        <v>効果値</v>
      </c>
      <c r="BH365" s="411">
        <f>IFERROR(__xludf.DUMMYFUNCTION("""COMPUTED_VALUE"""),11.8)</f>
        <v>11.8</v>
      </c>
      <c r="BI365" s="412">
        <f>IFERROR(__xludf.DUMMYFUNCTION("""COMPUTED_VALUE"""),12.4)</f>
        <v>12.4</v>
      </c>
      <c r="BJ365" s="412">
        <f>IFERROR(__xludf.DUMMYFUNCTION("""COMPUTED_VALUE"""),13.1)</f>
        <v>13.1</v>
      </c>
      <c r="BK365" s="412">
        <f>IFERROR(__xludf.DUMMYFUNCTION("""COMPUTED_VALUE"""),13.7)</f>
        <v>13.7</v>
      </c>
      <c r="BL365" s="412">
        <f>IFERROR(__xludf.DUMMYFUNCTION("""COMPUTED_VALUE"""),14.4)</f>
        <v>14.4</v>
      </c>
      <c r="BM365" s="412">
        <f>IFERROR(__xludf.DUMMYFUNCTION("""COMPUTED_VALUE"""),19.4)</f>
        <v>19.4</v>
      </c>
      <c r="BN365" s="412">
        <f>IFERROR(__xludf.DUMMYFUNCTION("""COMPUTED_VALUE"""),24.0)</f>
        <v>24</v>
      </c>
      <c r="BO365" s="413">
        <f>IFERROR(__xludf.DUMMYFUNCTION("""COMPUTED_VALUE"""),29.0)</f>
        <v>29</v>
      </c>
    </row>
    <row r="366">
      <c r="A366" s="435" t="str">
        <f>IFERROR(__xludf.DUMMYFUNCTION("""COMPUTED_VALUE"""),"攻撃力Down(黄)")</f>
        <v>攻撃力Down(黄)</v>
      </c>
      <c r="B366" s="385" t="str">
        <f>IFERROR(__xludf.DUMMYFUNCTION("""COMPUTED_VALUE"""),"超瞬間型")</f>
        <v>超瞬間型</v>
      </c>
      <c r="C366" s="386">
        <f>IFERROR(__xludf.DUMMYFUNCTION("""COMPUTED_VALUE"""),4.0)</f>
        <v>4</v>
      </c>
      <c r="D366" s="387" t="str">
        <f>IFERROR(__xludf.DUMMYFUNCTION("""COMPUTED_VALUE"""),"効果時間")</f>
        <v>効果時間</v>
      </c>
      <c r="E366" s="388" t="str">
        <f>IFERROR(__xludf.DUMMYFUNCTION("""COMPUTED_VALUE"""),"-")</f>
        <v>-</v>
      </c>
      <c r="F366" s="389" t="str">
        <f>IFERROR(__xludf.DUMMYFUNCTION("""COMPUTED_VALUE"""),"-")</f>
        <v>-</v>
      </c>
      <c r="G366" s="388" t="str">
        <f>IFERROR(__xludf.DUMMYFUNCTION("""COMPUTED_VALUE"""),"-")</f>
        <v>-</v>
      </c>
      <c r="H366" s="389" t="str">
        <f>IFERROR(__xludf.DUMMYFUNCTION("""COMPUTED_VALUE"""),"-")</f>
        <v>-</v>
      </c>
      <c r="I366" s="388" t="str">
        <f>IFERROR(__xludf.DUMMYFUNCTION("""COMPUTED_VALUE"""),"-")</f>
        <v>-</v>
      </c>
      <c r="J366" s="390">
        <f>IFERROR(__xludf.DUMMYFUNCTION("""COMPUTED_VALUE"""),155.0)</f>
        <v>155</v>
      </c>
      <c r="K366" s="391">
        <f>IFERROR(__xludf.DUMMYFUNCTION("""COMPUTED_VALUE"""),170.0)</f>
        <v>170</v>
      </c>
      <c r="L366" s="340">
        <f>IFERROR(__xludf.DUMMYFUNCTION("""COMPUTED_VALUE"""),195.0)</f>
        <v>195</v>
      </c>
      <c r="M366" s="385" t="str">
        <f>IFERROR(__xludf.DUMMYFUNCTION("""COMPUTED_VALUE"""),"瞬間型")</f>
        <v>瞬間型</v>
      </c>
      <c r="N366" s="386">
        <f>IFERROR(__xludf.DUMMYFUNCTION("""COMPUTED_VALUE"""),4.0)</f>
        <v>4</v>
      </c>
      <c r="O366" s="387" t="str">
        <f>IFERROR(__xludf.DUMMYFUNCTION("""COMPUTED_VALUE"""),"効果時間")</f>
        <v>効果時間</v>
      </c>
      <c r="P366" s="280">
        <f>IFERROR(__xludf.DUMMYFUNCTION("""COMPUTED_VALUE"""),170.0)</f>
        <v>170</v>
      </c>
      <c r="Q366" s="275">
        <f>IFERROR(__xludf.DUMMYFUNCTION("""COMPUTED_VALUE"""),180.0)</f>
        <v>180</v>
      </c>
      <c r="R366" s="280">
        <f>IFERROR(__xludf.DUMMYFUNCTION("""COMPUTED_VALUE"""),185.0)</f>
        <v>185</v>
      </c>
      <c r="S366" s="275">
        <f>IFERROR(__xludf.DUMMYFUNCTION("""COMPUTED_VALUE"""),195.0)</f>
        <v>195</v>
      </c>
      <c r="T366" s="280">
        <f>IFERROR(__xludf.DUMMYFUNCTION("""COMPUTED_VALUE"""),200.0)</f>
        <v>200</v>
      </c>
      <c r="U366" s="280">
        <f>IFERROR(__xludf.DUMMYFUNCTION("""COMPUTED_VALUE"""),215.0)</f>
        <v>215</v>
      </c>
      <c r="V366" s="280">
        <f>IFERROR(__xludf.DUMMYFUNCTION("""COMPUTED_VALUE"""),285.0)</f>
        <v>285</v>
      </c>
      <c r="W366" s="280">
        <f>IFERROR(__xludf.DUMMYFUNCTION("""COMPUTED_VALUE"""),305.0)</f>
        <v>305</v>
      </c>
      <c r="X366" s="385" t="str">
        <f>IFERROR(__xludf.DUMMYFUNCTION("""COMPUTED_VALUE"""),"安定型")</f>
        <v>安定型</v>
      </c>
      <c r="Y366" s="386">
        <f>IFERROR(__xludf.DUMMYFUNCTION("""COMPUTED_VALUE"""),4.0)</f>
        <v>4</v>
      </c>
      <c r="Z366" s="387" t="str">
        <f>IFERROR(__xludf.DUMMYFUNCTION("""COMPUTED_VALUE"""),"効果時間")</f>
        <v>効果時間</v>
      </c>
      <c r="AA366" s="280">
        <f>IFERROR(__xludf.DUMMYFUNCTION("""COMPUTED_VALUE"""),320.0)</f>
        <v>320</v>
      </c>
      <c r="AB366" s="275">
        <f>IFERROR(__xludf.DUMMYFUNCTION("""COMPUTED_VALUE"""),330.0)</f>
        <v>330</v>
      </c>
      <c r="AC366" s="280">
        <f>IFERROR(__xludf.DUMMYFUNCTION("""COMPUTED_VALUE"""),335.0)</f>
        <v>335</v>
      </c>
      <c r="AD366" s="275">
        <f>IFERROR(__xludf.DUMMYFUNCTION("""COMPUTED_VALUE"""),345.0)</f>
        <v>345</v>
      </c>
      <c r="AE366" s="280">
        <f>IFERROR(__xludf.DUMMYFUNCTION("""COMPUTED_VALUE"""),350.0)</f>
        <v>350</v>
      </c>
      <c r="AF366" s="280">
        <f>IFERROR(__xludf.DUMMYFUNCTION("""COMPUTED_VALUE"""),390.0)</f>
        <v>390</v>
      </c>
      <c r="AG366" s="280">
        <f>IFERROR(__xludf.DUMMYFUNCTION("""COMPUTED_VALUE"""),435.0)</f>
        <v>435</v>
      </c>
      <c r="AH366" s="280">
        <f>IFERROR(__xludf.DUMMYFUNCTION("""COMPUTED_VALUE"""),455.0)</f>
        <v>455</v>
      </c>
      <c r="AI366" s="385" t="str">
        <f>IFERROR(__xludf.DUMMYFUNCTION("""COMPUTED_VALUE"""),"持続型")</f>
        <v>持続型</v>
      </c>
      <c r="AJ366" s="386">
        <f>IFERROR(__xludf.DUMMYFUNCTION("""COMPUTED_VALUE"""),4.0)</f>
        <v>4</v>
      </c>
      <c r="AK366" s="387" t="str">
        <f>IFERROR(__xludf.DUMMYFUNCTION("""COMPUTED_VALUE"""),"効果時間")</f>
        <v>効果時間</v>
      </c>
      <c r="AL366" s="280">
        <f>IFERROR(__xludf.DUMMYFUNCTION("""COMPUTED_VALUE"""),470.0)</f>
        <v>470</v>
      </c>
      <c r="AM366" s="275">
        <f>IFERROR(__xludf.DUMMYFUNCTION("""COMPUTED_VALUE"""),480.0)</f>
        <v>480</v>
      </c>
      <c r="AN366" s="280">
        <f>IFERROR(__xludf.DUMMYFUNCTION("""COMPUTED_VALUE"""),485.0)</f>
        <v>485</v>
      </c>
      <c r="AO366" s="275">
        <f>IFERROR(__xludf.DUMMYFUNCTION("""COMPUTED_VALUE"""),495.0)</f>
        <v>495</v>
      </c>
      <c r="AP366" s="280">
        <f>IFERROR(__xludf.DUMMYFUNCTION("""COMPUTED_VALUE"""),500.0)</f>
        <v>500</v>
      </c>
      <c r="AQ366" s="280">
        <f>IFERROR(__xludf.DUMMYFUNCTION("""COMPUTED_VALUE"""),540.0)</f>
        <v>540</v>
      </c>
      <c r="AR366" s="280">
        <f>IFERROR(__xludf.DUMMYFUNCTION("""COMPUTED_VALUE"""),585.0)</f>
        <v>585</v>
      </c>
      <c r="AS366" s="280">
        <f>IFERROR(__xludf.DUMMYFUNCTION("""COMPUTED_VALUE"""),605.0)</f>
        <v>605</v>
      </c>
      <c r="AT366" s="385" t="str">
        <f>IFERROR(__xludf.DUMMYFUNCTION("""COMPUTED_VALUE"""),"超持続型")</f>
        <v>超持続型</v>
      </c>
      <c r="AU366" s="386">
        <f>IFERROR(__xludf.DUMMYFUNCTION("""COMPUTED_VALUE"""),4.0)</f>
        <v>4</v>
      </c>
      <c r="AV366" s="387" t="str">
        <f>IFERROR(__xludf.DUMMYFUNCTION("""COMPUTED_VALUE"""),"効果時間")</f>
        <v>効果時間</v>
      </c>
      <c r="AW366" s="368" t="str">
        <f>IFERROR(__xludf.DUMMYFUNCTION("""COMPUTED_VALUE"""),"-")</f>
        <v>-</v>
      </c>
      <c r="AX366" s="368" t="str">
        <f>IFERROR(__xludf.DUMMYFUNCTION("""COMPUTED_VALUE"""),"-")</f>
        <v>-</v>
      </c>
      <c r="AY366" s="368" t="str">
        <f>IFERROR(__xludf.DUMMYFUNCTION("""COMPUTED_VALUE"""),"-")</f>
        <v>-</v>
      </c>
      <c r="AZ366" s="368" t="str">
        <f>IFERROR(__xludf.DUMMYFUNCTION("""COMPUTED_VALUE"""),"-")</f>
        <v>-</v>
      </c>
      <c r="BA366" s="368" t="str">
        <f>IFERROR(__xludf.DUMMYFUNCTION("""COMPUTED_VALUE"""),"-")</f>
        <v>-</v>
      </c>
      <c r="BB366" s="280">
        <f>IFERROR(__xludf.DUMMYFUNCTION("""COMPUTED_VALUE"""),645.0)</f>
        <v>645</v>
      </c>
      <c r="BC366" s="280">
        <f>IFERROR(__xludf.DUMMYFUNCTION("""COMPUTED_VALUE"""),735.0)</f>
        <v>735</v>
      </c>
      <c r="BD366" s="280">
        <f>IFERROR(__xludf.DUMMYFUNCTION("""COMPUTED_VALUE"""),755.0)</f>
        <v>755</v>
      </c>
      <c r="BE366" s="385" t="str">
        <f>IFERROR(__xludf.DUMMYFUNCTION("""COMPUTED_VALUE"""),"ハイブリッド型")</f>
        <v>ハイブリッド型</v>
      </c>
      <c r="BF366" s="386">
        <f>IFERROR(__xludf.DUMMYFUNCTION("""COMPUTED_VALUE"""),4.0)</f>
        <v>4</v>
      </c>
      <c r="BG366" s="387" t="str">
        <f>IFERROR(__xludf.DUMMYFUNCTION("""COMPUTED_VALUE"""),"効果時間")</f>
        <v>効果時間</v>
      </c>
      <c r="BH366" s="417">
        <f>IFERROR(__xludf.DUMMYFUNCTION("""COMPUTED_VALUE"""),240.0)</f>
        <v>240</v>
      </c>
      <c r="BI366" s="417">
        <f>IFERROR(__xludf.DUMMYFUNCTION("""COMPUTED_VALUE"""),255.0)</f>
        <v>255</v>
      </c>
      <c r="BJ366" s="417">
        <f>IFERROR(__xludf.DUMMYFUNCTION("""COMPUTED_VALUE"""),265.0)</f>
        <v>265</v>
      </c>
      <c r="BK366" s="418">
        <f>IFERROR(__xludf.DUMMYFUNCTION("""COMPUTED_VALUE"""),275.0)</f>
        <v>275</v>
      </c>
      <c r="BL366" s="417">
        <f>IFERROR(__xludf.DUMMYFUNCTION("""COMPUTED_VALUE"""),285.0)</f>
        <v>285</v>
      </c>
      <c r="BM366" s="418">
        <f>IFERROR(__xludf.DUMMYFUNCTION("""COMPUTED_VALUE"""),395.0)</f>
        <v>395</v>
      </c>
      <c r="BN366" s="417">
        <f>IFERROR(__xludf.DUMMYFUNCTION("""COMPUTED_VALUE"""),500.0)</f>
        <v>500</v>
      </c>
      <c r="BO366" s="418">
        <f>IFERROR(__xludf.DUMMYFUNCTION("""COMPUTED_VALUE"""),520.0)</f>
        <v>520</v>
      </c>
    </row>
    <row r="367">
      <c r="A367" s="435" t="str">
        <f>IFERROR(__xludf.DUMMYFUNCTION("""COMPUTED_VALUE"""),"攻撃力Down(黄)")</f>
        <v>攻撃力Down(黄)</v>
      </c>
      <c r="B367" s="385" t="str">
        <f>IFERROR(__xludf.DUMMYFUNCTION("""COMPUTED_VALUE"""),"超瞬間型")</f>
        <v>超瞬間型</v>
      </c>
      <c r="C367" s="399">
        <f>IFERROR(__xludf.DUMMYFUNCTION("""COMPUTED_VALUE"""),5.0)</f>
        <v>5</v>
      </c>
      <c r="D367" s="400" t="str">
        <f>IFERROR(__xludf.DUMMYFUNCTION("""COMPUTED_VALUE"""),"効果値")</f>
        <v>効果値</v>
      </c>
      <c r="E367" s="419" t="str">
        <f>IFERROR(__xludf.DUMMYFUNCTION("""COMPUTED_VALUE"""),"-")</f>
        <v>-</v>
      </c>
      <c r="F367" s="409" t="str">
        <f>IFERROR(__xludf.DUMMYFUNCTION("""COMPUTED_VALUE"""),"-")</f>
        <v>-</v>
      </c>
      <c r="G367" s="409" t="str">
        <f>IFERROR(__xludf.DUMMYFUNCTION("""COMPUTED_VALUE"""),"-")</f>
        <v>-</v>
      </c>
      <c r="H367" s="409" t="str">
        <f>IFERROR(__xludf.DUMMYFUNCTION("""COMPUTED_VALUE"""),"-")</f>
        <v>-</v>
      </c>
      <c r="I367" s="409" t="str">
        <f>IFERROR(__xludf.DUMMYFUNCTION("""COMPUTED_VALUE"""),"-")</f>
        <v>-</v>
      </c>
      <c r="J367" s="420">
        <f>IFERROR(__xludf.DUMMYFUNCTION("""COMPUTED_VALUE"""),60.0)</f>
        <v>60</v>
      </c>
      <c r="K367" s="421">
        <f>IFERROR(__xludf.DUMMYFUNCTION("""COMPUTED_VALUE"""),70.0)</f>
        <v>70</v>
      </c>
      <c r="L367" s="421">
        <f>IFERROR(__xludf.DUMMYFUNCTION("""COMPUTED_VALUE"""),75.0)</f>
        <v>75</v>
      </c>
      <c r="M367" s="385" t="str">
        <f>IFERROR(__xludf.DUMMYFUNCTION("""COMPUTED_VALUE"""),"瞬間型")</f>
        <v>瞬間型</v>
      </c>
      <c r="N367" s="399">
        <f>IFERROR(__xludf.DUMMYFUNCTION("""COMPUTED_VALUE"""),5.0)</f>
        <v>5</v>
      </c>
      <c r="O367" s="400" t="str">
        <f>IFERROR(__xludf.DUMMYFUNCTION("""COMPUTED_VALUE"""),"効果値")</f>
        <v>効果値</v>
      </c>
      <c r="P367" s="422">
        <f>IFERROR(__xludf.DUMMYFUNCTION("""COMPUTED_VALUE"""),23.0)</f>
        <v>23</v>
      </c>
      <c r="Q367" s="423">
        <f>IFERROR(__xludf.DUMMYFUNCTION("""COMPUTED_VALUE"""),23.0)</f>
        <v>23</v>
      </c>
      <c r="R367" s="422">
        <f>IFERROR(__xludf.DUMMYFUNCTION("""COMPUTED_VALUE"""),24.0)</f>
        <v>24</v>
      </c>
      <c r="S367" s="423">
        <f>IFERROR(__xludf.DUMMYFUNCTION("""COMPUTED_VALUE"""),24.0)</f>
        <v>24</v>
      </c>
      <c r="T367" s="422">
        <f>IFERROR(__xludf.DUMMYFUNCTION("""COMPUTED_VALUE"""),24.0)</f>
        <v>24</v>
      </c>
      <c r="U367" s="423">
        <f>IFERROR(__xludf.DUMMYFUNCTION("""COMPUTED_VALUE"""),30.0)</f>
        <v>30</v>
      </c>
      <c r="V367" s="423">
        <f>IFERROR(__xludf.DUMMYFUNCTION("""COMPUTED_VALUE"""),35.0)</f>
        <v>35</v>
      </c>
      <c r="W367" s="424">
        <f>IFERROR(__xludf.DUMMYFUNCTION("""COMPUTED_VALUE"""),40.0)</f>
        <v>40</v>
      </c>
      <c r="X367" s="385" t="str">
        <f>IFERROR(__xludf.DUMMYFUNCTION("""COMPUTED_VALUE"""),"安定型")</f>
        <v>安定型</v>
      </c>
      <c r="Y367" s="399">
        <f>IFERROR(__xludf.DUMMYFUNCTION("""COMPUTED_VALUE"""),5.0)</f>
        <v>5</v>
      </c>
      <c r="Z367" s="400" t="str">
        <f>IFERROR(__xludf.DUMMYFUNCTION("""COMPUTED_VALUE"""),"効果値")</f>
        <v>効果値</v>
      </c>
      <c r="AA367" s="422">
        <f>IFERROR(__xludf.DUMMYFUNCTION("""COMPUTED_VALUE"""),13.0)</f>
        <v>13</v>
      </c>
      <c r="AB367" s="423">
        <f>IFERROR(__xludf.DUMMYFUNCTION("""COMPUTED_VALUE"""),13.0)</f>
        <v>13</v>
      </c>
      <c r="AC367" s="422">
        <f>IFERROR(__xludf.DUMMYFUNCTION("""COMPUTED_VALUE"""),14.0)</f>
        <v>14</v>
      </c>
      <c r="AD367" s="423">
        <f>IFERROR(__xludf.DUMMYFUNCTION("""COMPUTED_VALUE"""),14.0)</f>
        <v>14</v>
      </c>
      <c r="AE367" s="422">
        <f>IFERROR(__xludf.DUMMYFUNCTION("""COMPUTED_VALUE"""),14.0)</f>
        <v>14</v>
      </c>
      <c r="AF367" s="423">
        <f>IFERROR(__xludf.DUMMYFUNCTION("""COMPUTED_VALUE"""),15.0)</f>
        <v>15</v>
      </c>
      <c r="AG367" s="423">
        <f>IFERROR(__xludf.DUMMYFUNCTION("""COMPUTED_VALUE"""),20.0)</f>
        <v>20</v>
      </c>
      <c r="AH367" s="424">
        <f>IFERROR(__xludf.DUMMYFUNCTION("""COMPUTED_VALUE"""),25.0)</f>
        <v>25</v>
      </c>
      <c r="AI367" s="385" t="str">
        <f>IFERROR(__xludf.DUMMYFUNCTION("""COMPUTED_VALUE"""),"持続型")</f>
        <v>持続型</v>
      </c>
      <c r="AJ367" s="399">
        <f>IFERROR(__xludf.DUMMYFUNCTION("""COMPUTED_VALUE"""),5.0)</f>
        <v>5</v>
      </c>
      <c r="AK367" s="400" t="str">
        <f>IFERROR(__xludf.DUMMYFUNCTION("""COMPUTED_VALUE"""),"効果値")</f>
        <v>効果値</v>
      </c>
      <c r="AL367" s="422">
        <f>IFERROR(__xludf.DUMMYFUNCTION("""COMPUTED_VALUE"""),8.0)</f>
        <v>8</v>
      </c>
      <c r="AM367" s="423">
        <f>IFERROR(__xludf.DUMMYFUNCTION("""COMPUTED_VALUE"""),8.0)</f>
        <v>8</v>
      </c>
      <c r="AN367" s="422">
        <f>IFERROR(__xludf.DUMMYFUNCTION("""COMPUTED_VALUE"""),9.0)</f>
        <v>9</v>
      </c>
      <c r="AO367" s="423">
        <f>IFERROR(__xludf.DUMMYFUNCTION("""COMPUTED_VALUE"""),9.0)</f>
        <v>9</v>
      </c>
      <c r="AP367" s="422">
        <f>IFERROR(__xludf.DUMMYFUNCTION("""COMPUTED_VALUE"""),9.0)</f>
        <v>9</v>
      </c>
      <c r="AQ367" s="423">
        <f>IFERROR(__xludf.DUMMYFUNCTION("""COMPUTED_VALUE"""),10.0)</f>
        <v>10</v>
      </c>
      <c r="AR367" s="423">
        <f>IFERROR(__xludf.DUMMYFUNCTION("""COMPUTED_VALUE"""),12.0)</f>
        <v>12</v>
      </c>
      <c r="AS367" s="424">
        <f>IFERROR(__xludf.DUMMYFUNCTION("""COMPUTED_VALUE"""),12.0)</f>
        <v>12</v>
      </c>
      <c r="AT367" s="385" t="str">
        <f>IFERROR(__xludf.DUMMYFUNCTION("""COMPUTED_VALUE"""),"超持続型")</f>
        <v>超持続型</v>
      </c>
      <c r="AU367" s="399">
        <f>IFERROR(__xludf.DUMMYFUNCTION("""COMPUTED_VALUE"""),5.0)</f>
        <v>5</v>
      </c>
      <c r="AV367" s="400" t="str">
        <f>IFERROR(__xludf.DUMMYFUNCTION("""COMPUTED_VALUE"""),"効果値")</f>
        <v>効果値</v>
      </c>
      <c r="AW367" s="425" t="str">
        <f>IFERROR(__xludf.DUMMYFUNCTION("""COMPUTED_VALUE"""),"-")</f>
        <v>-</v>
      </c>
      <c r="AX367" s="426" t="str">
        <f>IFERROR(__xludf.DUMMYFUNCTION("""COMPUTED_VALUE"""),"-")</f>
        <v>-</v>
      </c>
      <c r="AY367" s="426" t="str">
        <f>IFERROR(__xludf.DUMMYFUNCTION("""COMPUTED_VALUE"""),"-")</f>
        <v>-</v>
      </c>
      <c r="AZ367" s="426" t="str">
        <f>IFERROR(__xludf.DUMMYFUNCTION("""COMPUTED_VALUE"""),"-")</f>
        <v>-</v>
      </c>
      <c r="BA367" s="426" t="str">
        <f>IFERROR(__xludf.DUMMYFUNCTION("""COMPUTED_VALUE"""),"-")</f>
        <v>-</v>
      </c>
      <c r="BB367" s="423">
        <f>IFERROR(__xludf.DUMMYFUNCTION("""COMPUTED_VALUE"""),10.0)</f>
        <v>10</v>
      </c>
      <c r="BC367" s="423">
        <f>IFERROR(__xludf.DUMMYFUNCTION("""COMPUTED_VALUE"""),12.0)</f>
        <v>12</v>
      </c>
      <c r="BD367" s="424">
        <f>IFERROR(__xludf.DUMMYFUNCTION("""COMPUTED_VALUE"""),12.0)</f>
        <v>12</v>
      </c>
      <c r="BE367" s="385" t="str">
        <f>IFERROR(__xludf.DUMMYFUNCTION("""COMPUTED_VALUE"""),"ハイブリッド型")</f>
        <v>ハイブリッド型</v>
      </c>
      <c r="BF367" s="399">
        <f>IFERROR(__xludf.DUMMYFUNCTION("""COMPUTED_VALUE"""),5.0)</f>
        <v>5</v>
      </c>
      <c r="BG367" s="400" t="str">
        <f>IFERROR(__xludf.DUMMYFUNCTION("""COMPUTED_VALUE"""),"効果値")</f>
        <v>効果値</v>
      </c>
      <c r="BH367" s="427">
        <f>IFERROR(__xludf.DUMMYFUNCTION("""COMPUTED_VALUE"""),12.0)</f>
        <v>12</v>
      </c>
      <c r="BI367" s="428">
        <f>IFERROR(__xludf.DUMMYFUNCTION("""COMPUTED_VALUE"""),12.75)</f>
        <v>12.75</v>
      </c>
      <c r="BJ367" s="428">
        <f>IFERROR(__xludf.DUMMYFUNCTION("""COMPUTED_VALUE"""),13.5)</f>
        <v>13.5</v>
      </c>
      <c r="BK367" s="428">
        <f>IFERROR(__xludf.DUMMYFUNCTION("""COMPUTED_VALUE"""),14.25)</f>
        <v>14.25</v>
      </c>
      <c r="BL367" s="427">
        <f>IFERROR(__xludf.DUMMYFUNCTION("""COMPUTED_VALUE"""),15.0)</f>
        <v>15</v>
      </c>
      <c r="BM367" s="427">
        <f>IFERROR(__xludf.DUMMYFUNCTION("""COMPUTED_VALUE"""),20.0)</f>
        <v>20</v>
      </c>
      <c r="BN367" s="427">
        <f>IFERROR(__xludf.DUMMYFUNCTION("""COMPUTED_VALUE"""),25.0)</f>
        <v>25</v>
      </c>
      <c r="BO367" s="429">
        <f>IFERROR(__xludf.DUMMYFUNCTION("""COMPUTED_VALUE"""),30.0)</f>
        <v>30</v>
      </c>
    </row>
    <row r="368">
      <c r="A368" s="435" t="str">
        <f>IFERROR(__xludf.DUMMYFUNCTION("""COMPUTED_VALUE"""),"攻撃力Down(黄)")</f>
        <v>攻撃力Down(黄)</v>
      </c>
      <c r="B368" s="385" t="str">
        <f>IFERROR(__xludf.DUMMYFUNCTION("""COMPUTED_VALUE"""),"超瞬間型")</f>
        <v>超瞬間型</v>
      </c>
      <c r="C368" s="430">
        <f>IFERROR(__xludf.DUMMYFUNCTION("""COMPUTED_VALUE"""),5.0)</f>
        <v>5</v>
      </c>
      <c r="D368" s="431" t="str">
        <f>IFERROR(__xludf.DUMMYFUNCTION("""COMPUTED_VALUE"""),"効果時間")</f>
        <v>効果時間</v>
      </c>
      <c r="E368" s="388" t="str">
        <f>IFERROR(__xludf.DUMMYFUNCTION("""COMPUTED_VALUE"""),"-")</f>
        <v>-</v>
      </c>
      <c r="F368" s="389" t="str">
        <f>IFERROR(__xludf.DUMMYFUNCTION("""COMPUTED_VALUE"""),"-")</f>
        <v>-</v>
      </c>
      <c r="G368" s="388" t="str">
        <f>IFERROR(__xludf.DUMMYFUNCTION("""COMPUTED_VALUE"""),"-")</f>
        <v>-</v>
      </c>
      <c r="H368" s="389" t="str">
        <f>IFERROR(__xludf.DUMMYFUNCTION("""COMPUTED_VALUE"""),"-")</f>
        <v>-</v>
      </c>
      <c r="I368" s="388" t="str">
        <f>IFERROR(__xludf.DUMMYFUNCTION("""COMPUTED_VALUE"""),"-")</f>
        <v>-</v>
      </c>
      <c r="J368" s="390">
        <f>IFERROR(__xludf.DUMMYFUNCTION("""COMPUTED_VALUE"""),160.0)</f>
        <v>160</v>
      </c>
      <c r="K368" s="391">
        <f>IFERROR(__xludf.DUMMYFUNCTION("""COMPUTED_VALUE"""),175.0)</f>
        <v>175</v>
      </c>
      <c r="L368" s="340">
        <f>IFERROR(__xludf.DUMMYFUNCTION("""COMPUTED_VALUE"""),200.0)</f>
        <v>200</v>
      </c>
      <c r="M368" s="385" t="str">
        <f>IFERROR(__xludf.DUMMYFUNCTION("""COMPUTED_VALUE"""),"瞬間型")</f>
        <v>瞬間型</v>
      </c>
      <c r="N368" s="430">
        <f>IFERROR(__xludf.DUMMYFUNCTION("""COMPUTED_VALUE"""),5.0)</f>
        <v>5</v>
      </c>
      <c r="O368" s="431" t="str">
        <f>IFERROR(__xludf.DUMMYFUNCTION("""COMPUTED_VALUE"""),"効果時間")</f>
        <v>効果時間</v>
      </c>
      <c r="P368" s="392">
        <f>IFERROR(__xludf.DUMMYFUNCTION("""COMPUTED_VALUE"""),175.0)</f>
        <v>175</v>
      </c>
      <c r="Q368" s="414">
        <f>IFERROR(__xludf.DUMMYFUNCTION("""COMPUTED_VALUE"""),185.0)</f>
        <v>185</v>
      </c>
      <c r="R368" s="414">
        <f>IFERROR(__xludf.DUMMYFUNCTION("""COMPUTED_VALUE"""),190.0)</f>
        <v>190</v>
      </c>
      <c r="S368" s="414">
        <f>IFERROR(__xludf.DUMMYFUNCTION("""COMPUTED_VALUE"""),195.0)</f>
        <v>195</v>
      </c>
      <c r="T368" s="394">
        <f>IFERROR(__xludf.DUMMYFUNCTION("""COMPUTED_VALUE"""),200.0)</f>
        <v>200</v>
      </c>
      <c r="U368" s="394">
        <f>IFERROR(__xludf.DUMMYFUNCTION("""COMPUTED_VALUE"""),225.0)</f>
        <v>225</v>
      </c>
      <c r="V368" s="394">
        <f>IFERROR(__xludf.DUMMYFUNCTION("""COMPUTED_VALUE"""),300.0)</f>
        <v>300</v>
      </c>
      <c r="W368" s="394">
        <f>IFERROR(__xludf.DUMMYFUNCTION("""COMPUTED_VALUE"""),325.0)</f>
        <v>325</v>
      </c>
      <c r="X368" s="385" t="str">
        <f>IFERROR(__xludf.DUMMYFUNCTION("""COMPUTED_VALUE"""),"安定型")</f>
        <v>安定型</v>
      </c>
      <c r="Y368" s="430">
        <f>IFERROR(__xludf.DUMMYFUNCTION("""COMPUTED_VALUE"""),5.0)</f>
        <v>5</v>
      </c>
      <c r="Z368" s="431" t="str">
        <f>IFERROR(__xludf.DUMMYFUNCTION("""COMPUTED_VALUE"""),"効果時間")</f>
        <v>効果時間</v>
      </c>
      <c r="AA368" s="392">
        <f>IFERROR(__xludf.DUMMYFUNCTION("""COMPUTED_VALUE"""),325.0)</f>
        <v>325</v>
      </c>
      <c r="AB368" s="414">
        <f>IFERROR(__xludf.DUMMYFUNCTION("""COMPUTED_VALUE"""),335.0)</f>
        <v>335</v>
      </c>
      <c r="AC368" s="414">
        <f>IFERROR(__xludf.DUMMYFUNCTION("""COMPUTED_VALUE"""),340.0)</f>
        <v>340</v>
      </c>
      <c r="AD368" s="414">
        <f>IFERROR(__xludf.DUMMYFUNCTION("""COMPUTED_VALUE"""),345.0)</f>
        <v>345</v>
      </c>
      <c r="AE368" s="394">
        <f>IFERROR(__xludf.DUMMYFUNCTION("""COMPUTED_VALUE"""),350.0)</f>
        <v>350</v>
      </c>
      <c r="AF368" s="394">
        <f>IFERROR(__xludf.DUMMYFUNCTION("""COMPUTED_VALUE"""),400.0)</f>
        <v>400</v>
      </c>
      <c r="AG368" s="394">
        <f>IFERROR(__xludf.DUMMYFUNCTION("""COMPUTED_VALUE"""),450.0)</f>
        <v>450</v>
      </c>
      <c r="AH368" s="394">
        <f>IFERROR(__xludf.DUMMYFUNCTION("""COMPUTED_VALUE"""),475.0)</f>
        <v>475</v>
      </c>
      <c r="AI368" s="385" t="str">
        <f>IFERROR(__xludf.DUMMYFUNCTION("""COMPUTED_VALUE"""),"持続型")</f>
        <v>持続型</v>
      </c>
      <c r="AJ368" s="430">
        <f>IFERROR(__xludf.DUMMYFUNCTION("""COMPUTED_VALUE"""),5.0)</f>
        <v>5</v>
      </c>
      <c r="AK368" s="431" t="str">
        <f>IFERROR(__xludf.DUMMYFUNCTION("""COMPUTED_VALUE"""),"効果時間")</f>
        <v>効果時間</v>
      </c>
      <c r="AL368" s="392">
        <f>IFERROR(__xludf.DUMMYFUNCTION("""COMPUTED_VALUE"""),475.0)</f>
        <v>475</v>
      </c>
      <c r="AM368" s="414">
        <f>IFERROR(__xludf.DUMMYFUNCTION("""COMPUTED_VALUE"""),485.0)</f>
        <v>485</v>
      </c>
      <c r="AN368" s="414">
        <f>IFERROR(__xludf.DUMMYFUNCTION("""COMPUTED_VALUE"""),490.0)</f>
        <v>490</v>
      </c>
      <c r="AO368" s="414">
        <f>IFERROR(__xludf.DUMMYFUNCTION("""COMPUTED_VALUE"""),495.0)</f>
        <v>495</v>
      </c>
      <c r="AP368" s="394">
        <f>IFERROR(__xludf.DUMMYFUNCTION("""COMPUTED_VALUE"""),500.0)</f>
        <v>500</v>
      </c>
      <c r="AQ368" s="394">
        <f>IFERROR(__xludf.DUMMYFUNCTION("""COMPUTED_VALUE"""),550.0)</f>
        <v>550</v>
      </c>
      <c r="AR368" s="394">
        <f>IFERROR(__xludf.DUMMYFUNCTION("""COMPUTED_VALUE"""),600.0)</f>
        <v>600</v>
      </c>
      <c r="AS368" s="394">
        <f>IFERROR(__xludf.DUMMYFUNCTION("""COMPUTED_VALUE"""),625.0)</f>
        <v>625</v>
      </c>
      <c r="AT368" s="385" t="str">
        <f>IFERROR(__xludf.DUMMYFUNCTION("""COMPUTED_VALUE"""),"超持続型")</f>
        <v>超持続型</v>
      </c>
      <c r="AU368" s="430">
        <f>IFERROR(__xludf.DUMMYFUNCTION("""COMPUTED_VALUE"""),5.0)</f>
        <v>5</v>
      </c>
      <c r="AV368" s="431" t="str">
        <f>IFERROR(__xludf.DUMMYFUNCTION("""COMPUTED_VALUE"""),"効果時間")</f>
        <v>効果時間</v>
      </c>
      <c r="AW368" s="395" t="str">
        <f>IFERROR(__xludf.DUMMYFUNCTION("""COMPUTED_VALUE"""),"-")</f>
        <v>-</v>
      </c>
      <c r="AX368" s="396" t="str">
        <f>IFERROR(__xludf.DUMMYFUNCTION("""COMPUTED_VALUE"""),"-")</f>
        <v>-</v>
      </c>
      <c r="AY368" s="396" t="str">
        <f>IFERROR(__xludf.DUMMYFUNCTION("""COMPUTED_VALUE"""),"-")</f>
        <v>-</v>
      </c>
      <c r="AZ368" s="396" t="str">
        <f>IFERROR(__xludf.DUMMYFUNCTION("""COMPUTED_VALUE"""),"-")</f>
        <v>-</v>
      </c>
      <c r="BA368" s="396" t="str">
        <f>IFERROR(__xludf.DUMMYFUNCTION("""COMPUTED_VALUE"""),"-")</f>
        <v>-</v>
      </c>
      <c r="BB368" s="393">
        <f>IFERROR(__xludf.DUMMYFUNCTION("""COMPUTED_VALUE"""),650.0)</f>
        <v>650</v>
      </c>
      <c r="BC368" s="393">
        <f>IFERROR(__xludf.DUMMYFUNCTION("""COMPUTED_VALUE"""),750.0)</f>
        <v>750</v>
      </c>
      <c r="BD368" s="394">
        <f>IFERROR(__xludf.DUMMYFUNCTION("""COMPUTED_VALUE"""),775.0)</f>
        <v>775</v>
      </c>
      <c r="BE368" s="385" t="str">
        <f>IFERROR(__xludf.DUMMYFUNCTION("""COMPUTED_VALUE"""),"ハイブリッド型")</f>
        <v>ハイブリッド型</v>
      </c>
      <c r="BF368" s="430">
        <f>IFERROR(__xludf.DUMMYFUNCTION("""COMPUTED_VALUE"""),5.0)</f>
        <v>5</v>
      </c>
      <c r="BG368" s="431" t="str">
        <f>IFERROR(__xludf.DUMMYFUNCTION("""COMPUTED_VALUE"""),"効果時間")</f>
        <v>効果時間</v>
      </c>
      <c r="BH368" s="304">
        <f>IFERROR(__xludf.DUMMYFUNCTION("""COMPUTED_VALUE"""),250.0)</f>
        <v>250</v>
      </c>
      <c r="BI368" s="432">
        <f>IFERROR(__xludf.DUMMYFUNCTION("""COMPUTED_VALUE"""),265.0)</f>
        <v>265</v>
      </c>
      <c r="BJ368" s="432">
        <f>IFERROR(__xludf.DUMMYFUNCTION("""COMPUTED_VALUE"""),275.0)</f>
        <v>275</v>
      </c>
      <c r="BK368" s="432">
        <f>IFERROR(__xludf.DUMMYFUNCTION("""COMPUTED_VALUE"""),290.0)</f>
        <v>290</v>
      </c>
      <c r="BL368" s="304">
        <f>IFERROR(__xludf.DUMMYFUNCTION("""COMPUTED_VALUE"""),300.0)</f>
        <v>300</v>
      </c>
      <c r="BM368" s="304">
        <f>IFERROR(__xludf.DUMMYFUNCTION("""COMPUTED_VALUE"""),400.0)</f>
        <v>400</v>
      </c>
      <c r="BN368" s="304">
        <f>IFERROR(__xludf.DUMMYFUNCTION("""COMPUTED_VALUE"""),500.0)</f>
        <v>500</v>
      </c>
      <c r="BO368" s="304">
        <f>IFERROR(__xludf.DUMMYFUNCTION("""COMPUTED_VALUE"""),525.0)</f>
        <v>525</v>
      </c>
    </row>
    <row r="369">
      <c r="A369" s="433" t="str">
        <f>IFERROR(__xludf.DUMMYFUNCTION("""COMPUTED_VALUE"""),"攻撃力Down(アタック)")</f>
        <v>攻撃力Down(アタック)</v>
      </c>
      <c r="B369" s="374" t="str">
        <f>IFERROR(__xludf.DUMMYFUNCTION("""COMPUTED_VALUE"""),"超瞬間型")</f>
        <v>超瞬間型</v>
      </c>
      <c r="C369" s="375">
        <f>IFERROR(__xludf.DUMMYFUNCTION("""COMPUTED_VALUE"""),1.0)</f>
        <v>1</v>
      </c>
      <c r="D369" s="376" t="str">
        <f>IFERROR(__xludf.DUMMYFUNCTION("""COMPUTED_VALUE"""),"効果値")</f>
        <v>効果値</v>
      </c>
      <c r="E369" s="377" t="str">
        <f>IFERROR(__xludf.DUMMYFUNCTION("""COMPUTED_VALUE"""),"-")</f>
        <v>-</v>
      </c>
      <c r="F369" s="378" t="str">
        <f>IFERROR(__xludf.DUMMYFUNCTION("""COMPUTED_VALUE"""),"-")</f>
        <v>-</v>
      </c>
      <c r="G369" s="377" t="str">
        <f>IFERROR(__xludf.DUMMYFUNCTION("""COMPUTED_VALUE"""),"-")</f>
        <v>-</v>
      </c>
      <c r="H369" s="378" t="str">
        <f>IFERROR(__xludf.DUMMYFUNCTION("""COMPUTED_VALUE"""),"-")</f>
        <v>-</v>
      </c>
      <c r="I369" s="377" t="str">
        <f>IFERROR(__xludf.DUMMYFUNCTION("""COMPUTED_VALUE"""),"-")</f>
        <v>-</v>
      </c>
      <c r="J369" s="379">
        <f>IFERROR(__xludf.DUMMYFUNCTION("""COMPUTED_VALUE"""),55.0)</f>
        <v>55</v>
      </c>
      <c r="K369" s="294">
        <f>IFERROR(__xludf.DUMMYFUNCTION("""COMPUTED_VALUE"""),65.0)</f>
        <v>65</v>
      </c>
      <c r="L369" s="294">
        <f>IFERROR(__xludf.DUMMYFUNCTION("""COMPUTED_VALUE"""),65.0)</f>
        <v>65</v>
      </c>
      <c r="M369" s="374" t="str">
        <f>IFERROR(__xludf.DUMMYFUNCTION("""COMPUTED_VALUE"""),"瞬間型")</f>
        <v>瞬間型</v>
      </c>
      <c r="N369" s="375">
        <f>IFERROR(__xludf.DUMMYFUNCTION("""COMPUTED_VALUE"""),1.0)</f>
        <v>1</v>
      </c>
      <c r="O369" s="376" t="str">
        <f>IFERROR(__xludf.DUMMYFUNCTION("""COMPUTED_VALUE"""),"効果値")</f>
        <v>効果値</v>
      </c>
      <c r="P369" s="380">
        <f>IFERROR(__xludf.DUMMYFUNCTION("""COMPUTED_VALUE"""),20.0)</f>
        <v>20</v>
      </c>
      <c r="Q369" s="263">
        <f>IFERROR(__xludf.DUMMYFUNCTION("""COMPUTED_VALUE"""),20.0)</f>
        <v>20</v>
      </c>
      <c r="R369" s="263">
        <f>IFERROR(__xludf.DUMMYFUNCTION("""COMPUTED_VALUE"""),20.0)</f>
        <v>20</v>
      </c>
      <c r="S369" s="263">
        <f>IFERROR(__xludf.DUMMYFUNCTION("""COMPUTED_VALUE"""),20.0)</f>
        <v>20</v>
      </c>
      <c r="T369" s="263">
        <f>IFERROR(__xludf.DUMMYFUNCTION("""COMPUTED_VALUE"""),20.0)</f>
        <v>20</v>
      </c>
      <c r="U369" s="263">
        <f>IFERROR(__xludf.DUMMYFUNCTION("""COMPUTED_VALUE"""),25.0)</f>
        <v>25</v>
      </c>
      <c r="V369" s="266">
        <f>IFERROR(__xludf.DUMMYFUNCTION("""COMPUTED_VALUE"""),30.0)</f>
        <v>30</v>
      </c>
      <c r="W369" s="266">
        <f>IFERROR(__xludf.DUMMYFUNCTION("""COMPUTED_VALUE"""),30.0)</f>
        <v>30</v>
      </c>
      <c r="X369" s="374" t="str">
        <f>IFERROR(__xludf.DUMMYFUNCTION("""COMPUTED_VALUE"""),"安定型")</f>
        <v>安定型</v>
      </c>
      <c r="Y369" s="375">
        <f>IFERROR(__xludf.DUMMYFUNCTION("""COMPUTED_VALUE"""),1.0)</f>
        <v>1</v>
      </c>
      <c r="Z369" s="376" t="str">
        <f>IFERROR(__xludf.DUMMYFUNCTION("""COMPUTED_VALUE"""),"効果値")</f>
        <v>効果値</v>
      </c>
      <c r="AA369" s="380">
        <f>IFERROR(__xludf.DUMMYFUNCTION("""COMPUTED_VALUE"""),10.0)</f>
        <v>10</v>
      </c>
      <c r="AB369" s="263">
        <f>IFERROR(__xludf.DUMMYFUNCTION("""COMPUTED_VALUE"""),10.0)</f>
        <v>10</v>
      </c>
      <c r="AC369" s="263">
        <f>IFERROR(__xludf.DUMMYFUNCTION("""COMPUTED_VALUE"""),10.0)</f>
        <v>10</v>
      </c>
      <c r="AD369" s="263">
        <f>IFERROR(__xludf.DUMMYFUNCTION("""COMPUTED_VALUE"""),10.0)</f>
        <v>10</v>
      </c>
      <c r="AE369" s="263">
        <f>IFERROR(__xludf.DUMMYFUNCTION("""COMPUTED_VALUE"""),10.0)</f>
        <v>10</v>
      </c>
      <c r="AF369" s="263">
        <f>IFERROR(__xludf.DUMMYFUNCTION("""COMPUTED_VALUE"""),10.0)</f>
        <v>10</v>
      </c>
      <c r="AG369" s="266">
        <f>IFERROR(__xludf.DUMMYFUNCTION("""COMPUTED_VALUE"""),15.0)</f>
        <v>15</v>
      </c>
      <c r="AH369" s="266">
        <f>IFERROR(__xludf.DUMMYFUNCTION("""COMPUTED_VALUE"""),15.0)</f>
        <v>15</v>
      </c>
      <c r="AI369" s="374" t="str">
        <f>IFERROR(__xludf.DUMMYFUNCTION("""COMPUTED_VALUE"""),"持続型")</f>
        <v>持続型</v>
      </c>
      <c r="AJ369" s="375">
        <f>IFERROR(__xludf.DUMMYFUNCTION("""COMPUTED_VALUE"""),1.0)</f>
        <v>1</v>
      </c>
      <c r="AK369" s="376" t="str">
        <f>IFERROR(__xludf.DUMMYFUNCTION("""COMPUTED_VALUE"""),"効果値")</f>
        <v>効果値</v>
      </c>
      <c r="AL369" s="380">
        <f>IFERROR(__xludf.DUMMYFUNCTION("""COMPUTED_VALUE"""),5.0)</f>
        <v>5</v>
      </c>
      <c r="AM369" s="263">
        <f>IFERROR(__xludf.DUMMYFUNCTION("""COMPUTED_VALUE"""),5.0)</f>
        <v>5</v>
      </c>
      <c r="AN369" s="263">
        <f>IFERROR(__xludf.DUMMYFUNCTION("""COMPUTED_VALUE"""),5.0)</f>
        <v>5</v>
      </c>
      <c r="AO369" s="263">
        <f>IFERROR(__xludf.DUMMYFUNCTION("""COMPUTED_VALUE"""),5.0)</f>
        <v>5</v>
      </c>
      <c r="AP369" s="263">
        <f>IFERROR(__xludf.DUMMYFUNCTION("""COMPUTED_VALUE"""),5.0)</f>
        <v>5</v>
      </c>
      <c r="AQ369" s="263">
        <f>IFERROR(__xludf.DUMMYFUNCTION("""COMPUTED_VALUE"""),5.0)</f>
        <v>5</v>
      </c>
      <c r="AR369" s="266">
        <f>IFERROR(__xludf.DUMMYFUNCTION("""COMPUTED_VALUE"""),10.0)</f>
        <v>10</v>
      </c>
      <c r="AS369" s="266">
        <f>IFERROR(__xludf.DUMMYFUNCTION("""COMPUTED_VALUE"""),10.0)</f>
        <v>10</v>
      </c>
      <c r="AT369" s="374" t="str">
        <f>IFERROR(__xludf.DUMMYFUNCTION("""COMPUTED_VALUE"""),"超持続型")</f>
        <v>超持続型</v>
      </c>
      <c r="AU369" s="375">
        <f>IFERROR(__xludf.DUMMYFUNCTION("""COMPUTED_VALUE"""),1.0)</f>
        <v>1</v>
      </c>
      <c r="AV369" s="376" t="str">
        <f>IFERROR(__xludf.DUMMYFUNCTION("""COMPUTED_VALUE"""),"効果値")</f>
        <v>効果値</v>
      </c>
      <c r="AW369" s="350" t="str">
        <f>IFERROR(__xludf.DUMMYFUNCTION("""COMPUTED_VALUE"""),"-")</f>
        <v>-</v>
      </c>
      <c r="AX369" s="348" t="str">
        <f>IFERROR(__xludf.DUMMYFUNCTION("""COMPUTED_VALUE"""),"-")</f>
        <v>-</v>
      </c>
      <c r="AY369" s="348" t="str">
        <f>IFERROR(__xludf.DUMMYFUNCTION("""COMPUTED_VALUE"""),"-")</f>
        <v>-</v>
      </c>
      <c r="AZ369" s="348" t="str">
        <f>IFERROR(__xludf.DUMMYFUNCTION("""COMPUTED_VALUE"""),"-")</f>
        <v>-</v>
      </c>
      <c r="BA369" s="348" t="str">
        <f>IFERROR(__xludf.DUMMYFUNCTION("""COMPUTED_VALUE"""),"-")</f>
        <v>-</v>
      </c>
      <c r="BB369" s="263">
        <f>IFERROR(__xludf.DUMMYFUNCTION("""COMPUTED_VALUE"""),5.0)</f>
        <v>5</v>
      </c>
      <c r="BC369" s="266">
        <f>IFERROR(__xludf.DUMMYFUNCTION("""COMPUTED_VALUE"""),10.0)</f>
        <v>10</v>
      </c>
      <c r="BD369" s="266">
        <f>IFERROR(__xludf.DUMMYFUNCTION("""COMPUTED_VALUE"""),10.0)</f>
        <v>10</v>
      </c>
      <c r="BE369" s="374" t="str">
        <f>IFERROR(__xludf.DUMMYFUNCTION("""COMPUTED_VALUE"""),"ハイブリッド型")</f>
        <v>ハイブリッド型</v>
      </c>
      <c r="BF369" s="375">
        <f>IFERROR(__xludf.DUMMYFUNCTION("""COMPUTED_VALUE"""),1.0)</f>
        <v>1</v>
      </c>
      <c r="BG369" s="376" t="str">
        <f>IFERROR(__xludf.DUMMYFUNCTION("""COMPUTED_VALUE"""),"効果値")</f>
        <v>効果値</v>
      </c>
      <c r="BH369" s="381">
        <f>IFERROR(__xludf.DUMMYFUNCTION("""COMPUTED_VALUE"""),10.0)</f>
        <v>10</v>
      </c>
      <c r="BI369" s="382">
        <f>IFERROR(__xludf.DUMMYFUNCTION("""COMPUTED_VALUE"""),10.0)</f>
        <v>10</v>
      </c>
      <c r="BJ369" s="382">
        <f>IFERROR(__xludf.DUMMYFUNCTION("""COMPUTED_VALUE"""),10.0)</f>
        <v>10</v>
      </c>
      <c r="BK369" s="382">
        <f>IFERROR(__xludf.DUMMYFUNCTION("""COMPUTED_VALUE"""),10.0)</f>
        <v>10</v>
      </c>
      <c r="BL369" s="382">
        <f>IFERROR(__xludf.DUMMYFUNCTION("""COMPUTED_VALUE"""),10.0)</f>
        <v>10</v>
      </c>
      <c r="BM369" s="382">
        <f>IFERROR(__xludf.DUMMYFUNCTION("""COMPUTED_VALUE"""),15.0)</f>
        <v>15</v>
      </c>
      <c r="BN369" s="382">
        <f>IFERROR(__xludf.DUMMYFUNCTION("""COMPUTED_VALUE"""),20.0)</f>
        <v>20</v>
      </c>
      <c r="BO369" s="383">
        <f>IFERROR(__xludf.DUMMYFUNCTION("""COMPUTED_VALUE"""),20.0)</f>
        <v>20</v>
      </c>
    </row>
    <row r="370">
      <c r="A370" s="434" t="str">
        <f>IFERROR(__xludf.DUMMYFUNCTION("""COMPUTED_VALUE"""),"攻撃力Down(アタック)")</f>
        <v>攻撃力Down(アタック)</v>
      </c>
      <c r="B370" s="385" t="str">
        <f>IFERROR(__xludf.DUMMYFUNCTION("""COMPUTED_VALUE"""),"超瞬間型")</f>
        <v>超瞬間型</v>
      </c>
      <c r="C370" s="386">
        <f>IFERROR(__xludf.DUMMYFUNCTION("""COMPUTED_VALUE"""),1.0)</f>
        <v>1</v>
      </c>
      <c r="D370" s="387" t="str">
        <f>IFERROR(__xludf.DUMMYFUNCTION("""COMPUTED_VALUE"""),"効果時間")</f>
        <v>効果時間</v>
      </c>
      <c r="E370" s="388" t="str">
        <f>IFERROR(__xludf.DUMMYFUNCTION("""COMPUTED_VALUE"""),"-")</f>
        <v>-</v>
      </c>
      <c r="F370" s="389" t="str">
        <f>IFERROR(__xludf.DUMMYFUNCTION("""COMPUTED_VALUE"""),"-")</f>
        <v>-</v>
      </c>
      <c r="G370" s="388" t="str">
        <f>IFERROR(__xludf.DUMMYFUNCTION("""COMPUTED_VALUE"""),"-")</f>
        <v>-</v>
      </c>
      <c r="H370" s="389" t="str">
        <f>IFERROR(__xludf.DUMMYFUNCTION("""COMPUTED_VALUE"""),"-")</f>
        <v>-</v>
      </c>
      <c r="I370" s="388" t="str">
        <f>IFERROR(__xludf.DUMMYFUNCTION("""COMPUTED_VALUE"""),"-")</f>
        <v>-</v>
      </c>
      <c r="J370" s="390">
        <f>IFERROR(__xludf.DUMMYFUNCTION("""COMPUTED_VALUE"""),150.0)</f>
        <v>150</v>
      </c>
      <c r="K370" s="391">
        <f>IFERROR(__xludf.DUMMYFUNCTION("""COMPUTED_VALUE"""),160.0)</f>
        <v>160</v>
      </c>
      <c r="L370" s="340">
        <f>IFERROR(__xludf.DUMMYFUNCTION("""COMPUTED_VALUE"""),160.0)</f>
        <v>160</v>
      </c>
      <c r="M370" s="385" t="str">
        <f>IFERROR(__xludf.DUMMYFUNCTION("""COMPUTED_VALUE"""),"瞬間型")</f>
        <v>瞬間型</v>
      </c>
      <c r="N370" s="386">
        <f>IFERROR(__xludf.DUMMYFUNCTION("""COMPUTED_VALUE"""),1.0)</f>
        <v>1</v>
      </c>
      <c r="O370" s="387" t="str">
        <f>IFERROR(__xludf.DUMMYFUNCTION("""COMPUTED_VALUE"""),"効果時間")</f>
        <v>効果時間</v>
      </c>
      <c r="P370" s="392">
        <f>IFERROR(__xludf.DUMMYFUNCTION("""COMPUTED_VALUE"""),150.0)</f>
        <v>150</v>
      </c>
      <c r="Q370" s="393">
        <f>IFERROR(__xludf.DUMMYFUNCTION("""COMPUTED_VALUE"""),150.0)</f>
        <v>150</v>
      </c>
      <c r="R370" s="393">
        <f>IFERROR(__xludf.DUMMYFUNCTION("""COMPUTED_VALUE"""),150.0)</f>
        <v>150</v>
      </c>
      <c r="S370" s="393">
        <f>IFERROR(__xludf.DUMMYFUNCTION("""COMPUTED_VALUE"""),150.0)</f>
        <v>150</v>
      </c>
      <c r="T370" s="393">
        <f>IFERROR(__xludf.DUMMYFUNCTION("""COMPUTED_VALUE"""),150.0)</f>
        <v>150</v>
      </c>
      <c r="U370" s="393">
        <f>IFERROR(__xludf.DUMMYFUNCTION("""COMPUTED_VALUE"""),150.0)</f>
        <v>150</v>
      </c>
      <c r="V370" s="393">
        <f>IFERROR(__xludf.DUMMYFUNCTION("""COMPUTED_VALUE"""),160.0)</f>
        <v>160</v>
      </c>
      <c r="W370" s="394">
        <f>IFERROR(__xludf.DUMMYFUNCTION("""COMPUTED_VALUE"""),160.0)</f>
        <v>160</v>
      </c>
      <c r="X370" s="385" t="str">
        <f>IFERROR(__xludf.DUMMYFUNCTION("""COMPUTED_VALUE"""),"安定型")</f>
        <v>安定型</v>
      </c>
      <c r="Y370" s="386">
        <f>IFERROR(__xludf.DUMMYFUNCTION("""COMPUTED_VALUE"""),1.0)</f>
        <v>1</v>
      </c>
      <c r="Z370" s="387" t="str">
        <f>IFERROR(__xludf.DUMMYFUNCTION("""COMPUTED_VALUE"""),"効果時間")</f>
        <v>効果時間</v>
      </c>
      <c r="AA370" s="392">
        <f>IFERROR(__xludf.DUMMYFUNCTION("""COMPUTED_VALUE"""),300.0)</f>
        <v>300</v>
      </c>
      <c r="AB370" s="393">
        <f>IFERROR(__xludf.DUMMYFUNCTION("""COMPUTED_VALUE"""),300.0)</f>
        <v>300</v>
      </c>
      <c r="AC370" s="393">
        <f>IFERROR(__xludf.DUMMYFUNCTION("""COMPUTED_VALUE"""),300.0)</f>
        <v>300</v>
      </c>
      <c r="AD370" s="393">
        <f>IFERROR(__xludf.DUMMYFUNCTION("""COMPUTED_VALUE"""),300.0)</f>
        <v>300</v>
      </c>
      <c r="AE370" s="393">
        <f>IFERROR(__xludf.DUMMYFUNCTION("""COMPUTED_VALUE"""),300.0)</f>
        <v>300</v>
      </c>
      <c r="AF370" s="393">
        <f>IFERROR(__xludf.DUMMYFUNCTION("""COMPUTED_VALUE"""),300.0)</f>
        <v>300</v>
      </c>
      <c r="AG370" s="393">
        <f>IFERROR(__xludf.DUMMYFUNCTION("""COMPUTED_VALUE"""),310.0)</f>
        <v>310</v>
      </c>
      <c r="AH370" s="394">
        <f>IFERROR(__xludf.DUMMYFUNCTION("""COMPUTED_VALUE"""),310.0)</f>
        <v>310</v>
      </c>
      <c r="AI370" s="385" t="str">
        <f>IFERROR(__xludf.DUMMYFUNCTION("""COMPUTED_VALUE"""),"持続型")</f>
        <v>持続型</v>
      </c>
      <c r="AJ370" s="386">
        <f>IFERROR(__xludf.DUMMYFUNCTION("""COMPUTED_VALUE"""),1.0)</f>
        <v>1</v>
      </c>
      <c r="AK370" s="387" t="str">
        <f>IFERROR(__xludf.DUMMYFUNCTION("""COMPUTED_VALUE"""),"効果時間")</f>
        <v>効果時間</v>
      </c>
      <c r="AL370" s="392">
        <f>IFERROR(__xludf.DUMMYFUNCTION("""COMPUTED_VALUE"""),450.0)</f>
        <v>450</v>
      </c>
      <c r="AM370" s="393">
        <f>IFERROR(__xludf.DUMMYFUNCTION("""COMPUTED_VALUE"""),450.0)</f>
        <v>450</v>
      </c>
      <c r="AN370" s="393">
        <f>IFERROR(__xludf.DUMMYFUNCTION("""COMPUTED_VALUE"""),450.0)</f>
        <v>450</v>
      </c>
      <c r="AO370" s="393">
        <f>IFERROR(__xludf.DUMMYFUNCTION("""COMPUTED_VALUE"""),450.0)</f>
        <v>450</v>
      </c>
      <c r="AP370" s="393">
        <f>IFERROR(__xludf.DUMMYFUNCTION("""COMPUTED_VALUE"""),450.0)</f>
        <v>450</v>
      </c>
      <c r="AQ370" s="393">
        <f>IFERROR(__xludf.DUMMYFUNCTION("""COMPUTED_VALUE"""),450.0)</f>
        <v>450</v>
      </c>
      <c r="AR370" s="393">
        <f>IFERROR(__xludf.DUMMYFUNCTION("""COMPUTED_VALUE"""),460.0)</f>
        <v>460</v>
      </c>
      <c r="AS370" s="394">
        <f>IFERROR(__xludf.DUMMYFUNCTION("""COMPUTED_VALUE"""),460.0)</f>
        <v>460</v>
      </c>
      <c r="AT370" s="385" t="str">
        <f>IFERROR(__xludf.DUMMYFUNCTION("""COMPUTED_VALUE"""),"超持続型")</f>
        <v>超持続型</v>
      </c>
      <c r="AU370" s="386">
        <f>IFERROR(__xludf.DUMMYFUNCTION("""COMPUTED_VALUE"""),1.0)</f>
        <v>1</v>
      </c>
      <c r="AV370" s="387" t="str">
        <f>IFERROR(__xludf.DUMMYFUNCTION("""COMPUTED_VALUE"""),"効果時間")</f>
        <v>効果時間</v>
      </c>
      <c r="AW370" s="395" t="str">
        <f>IFERROR(__xludf.DUMMYFUNCTION("""COMPUTED_VALUE"""),"-")</f>
        <v>-</v>
      </c>
      <c r="AX370" s="396" t="str">
        <f>IFERROR(__xludf.DUMMYFUNCTION("""COMPUTED_VALUE"""),"-")</f>
        <v>-</v>
      </c>
      <c r="AY370" s="396" t="str">
        <f>IFERROR(__xludf.DUMMYFUNCTION("""COMPUTED_VALUE"""),"-")</f>
        <v>-</v>
      </c>
      <c r="AZ370" s="396" t="str">
        <f>IFERROR(__xludf.DUMMYFUNCTION("""COMPUTED_VALUE"""),"-")</f>
        <v>-</v>
      </c>
      <c r="BA370" s="396" t="str">
        <f>IFERROR(__xludf.DUMMYFUNCTION("""COMPUTED_VALUE"""),"-")</f>
        <v>-</v>
      </c>
      <c r="BB370" s="393">
        <f>IFERROR(__xludf.DUMMYFUNCTION("""COMPUTED_VALUE"""),600.0)</f>
        <v>600</v>
      </c>
      <c r="BC370" s="393">
        <f>IFERROR(__xludf.DUMMYFUNCTION("""COMPUTED_VALUE"""),610.0)</f>
        <v>610</v>
      </c>
      <c r="BD370" s="394">
        <f>IFERROR(__xludf.DUMMYFUNCTION("""COMPUTED_VALUE"""),610.0)</f>
        <v>610</v>
      </c>
      <c r="BE370" s="385" t="str">
        <f>IFERROR(__xludf.DUMMYFUNCTION("""COMPUTED_VALUE"""),"ハイブリッド型")</f>
        <v>ハイブリッド型</v>
      </c>
      <c r="BF370" s="386">
        <f>IFERROR(__xludf.DUMMYFUNCTION("""COMPUTED_VALUE"""),1.0)</f>
        <v>1</v>
      </c>
      <c r="BG370" s="387" t="str">
        <f>IFERROR(__xludf.DUMMYFUNCTION("""COMPUTED_VALUE"""),"効果時間")</f>
        <v>効果時間</v>
      </c>
      <c r="BH370" s="397">
        <f>IFERROR(__xludf.DUMMYFUNCTION("""COMPUTED_VALUE"""),150.0)</f>
        <v>150</v>
      </c>
      <c r="BI370" s="397">
        <f>IFERROR(__xludf.DUMMYFUNCTION("""COMPUTED_VALUE"""),150.0)</f>
        <v>150</v>
      </c>
      <c r="BJ370" s="397">
        <f>IFERROR(__xludf.DUMMYFUNCTION("""COMPUTED_VALUE"""),150.0)</f>
        <v>150</v>
      </c>
      <c r="BK370" s="398">
        <f>IFERROR(__xludf.DUMMYFUNCTION("""COMPUTED_VALUE"""),150.0)</f>
        <v>150</v>
      </c>
      <c r="BL370" s="397">
        <f>IFERROR(__xludf.DUMMYFUNCTION("""COMPUTED_VALUE"""),150.0)</f>
        <v>150</v>
      </c>
      <c r="BM370" s="398">
        <f>IFERROR(__xludf.DUMMYFUNCTION("""COMPUTED_VALUE"""),350.0)</f>
        <v>350</v>
      </c>
      <c r="BN370" s="397">
        <f>IFERROR(__xludf.DUMMYFUNCTION("""COMPUTED_VALUE"""),460.0)</f>
        <v>460</v>
      </c>
      <c r="BO370" s="398">
        <f>IFERROR(__xludf.DUMMYFUNCTION("""COMPUTED_VALUE"""),460.0)</f>
        <v>460</v>
      </c>
    </row>
    <row r="371">
      <c r="A371" s="435" t="str">
        <f>IFERROR(__xludf.DUMMYFUNCTION("""COMPUTED_VALUE"""),"攻撃力Down(アタック)")</f>
        <v>攻撃力Down(アタック)</v>
      </c>
      <c r="B371" s="385" t="str">
        <f>IFERROR(__xludf.DUMMYFUNCTION("""COMPUTED_VALUE"""),"超瞬間型")</f>
        <v>超瞬間型</v>
      </c>
      <c r="C371" s="399">
        <f>IFERROR(__xludf.DUMMYFUNCTION("""COMPUTED_VALUE"""),2.0)</f>
        <v>2</v>
      </c>
      <c r="D371" s="400" t="str">
        <f>IFERROR(__xludf.DUMMYFUNCTION("""COMPUTED_VALUE"""),"効果値")</f>
        <v>効果値</v>
      </c>
      <c r="E371" s="401" t="str">
        <f>IFERROR(__xludf.DUMMYFUNCTION("""COMPUTED_VALUE"""),"-")</f>
        <v>-</v>
      </c>
      <c r="F371" s="401" t="str">
        <f>IFERROR(__xludf.DUMMYFUNCTION("""COMPUTED_VALUE"""),"-")</f>
        <v>-</v>
      </c>
      <c r="G371" s="401" t="str">
        <f>IFERROR(__xludf.DUMMYFUNCTION("""COMPUTED_VALUE"""),"-")</f>
        <v>-</v>
      </c>
      <c r="H371" s="401" t="str">
        <f>IFERROR(__xludf.DUMMYFUNCTION("""COMPUTED_VALUE"""),"-")</f>
        <v>-</v>
      </c>
      <c r="I371" s="401" t="str">
        <f>IFERROR(__xludf.DUMMYFUNCTION("""COMPUTED_VALUE"""),"-")</f>
        <v>-</v>
      </c>
      <c r="J371" s="318">
        <f>IFERROR(__xludf.DUMMYFUNCTION("""COMPUTED_VALUE"""),57.0)</f>
        <v>57</v>
      </c>
      <c r="K371" s="318">
        <f>IFERROR(__xludf.DUMMYFUNCTION("""COMPUTED_VALUE"""),67.0)</f>
        <v>67</v>
      </c>
      <c r="L371" s="318">
        <f>IFERROR(__xludf.DUMMYFUNCTION("""COMPUTED_VALUE"""),69.0)</f>
        <v>69</v>
      </c>
      <c r="M371" s="385" t="str">
        <f>IFERROR(__xludf.DUMMYFUNCTION("""COMPUTED_VALUE"""),"瞬間型")</f>
        <v>瞬間型</v>
      </c>
      <c r="N371" s="399">
        <f>IFERROR(__xludf.DUMMYFUNCTION("""COMPUTED_VALUE"""),2.0)</f>
        <v>2</v>
      </c>
      <c r="O371" s="400" t="str">
        <f>IFERROR(__xludf.DUMMYFUNCTION("""COMPUTED_VALUE"""),"効果値")</f>
        <v>効果値</v>
      </c>
      <c r="P371" s="343">
        <f>IFERROR(__xludf.DUMMYFUNCTION("""COMPUTED_VALUE"""),21.0)</f>
        <v>21</v>
      </c>
      <c r="Q371" s="402">
        <f>IFERROR(__xludf.DUMMYFUNCTION("""COMPUTED_VALUE"""),21.0)</f>
        <v>21</v>
      </c>
      <c r="R371" s="343">
        <f>IFERROR(__xludf.DUMMYFUNCTION("""COMPUTED_VALUE"""),22.0)</f>
        <v>22</v>
      </c>
      <c r="S371" s="402">
        <f>IFERROR(__xludf.DUMMYFUNCTION("""COMPUTED_VALUE"""),22.0)</f>
        <v>22</v>
      </c>
      <c r="T371" s="343">
        <f>IFERROR(__xludf.DUMMYFUNCTION("""COMPUTED_VALUE"""),22.0)</f>
        <v>22</v>
      </c>
      <c r="U371" s="343">
        <f>IFERROR(__xludf.DUMMYFUNCTION("""COMPUTED_VALUE"""),27.0)</f>
        <v>27</v>
      </c>
      <c r="V371" s="343">
        <f>IFERROR(__xludf.DUMMYFUNCTION("""COMPUTED_VALUE"""),32.0)</f>
        <v>32</v>
      </c>
      <c r="W371" s="343">
        <f>IFERROR(__xludf.DUMMYFUNCTION("""COMPUTED_VALUE"""),34.0)</f>
        <v>34</v>
      </c>
      <c r="X371" s="385" t="str">
        <f>IFERROR(__xludf.DUMMYFUNCTION("""COMPUTED_VALUE"""),"安定型")</f>
        <v>安定型</v>
      </c>
      <c r="Y371" s="399">
        <f>IFERROR(__xludf.DUMMYFUNCTION("""COMPUTED_VALUE"""),2.0)</f>
        <v>2</v>
      </c>
      <c r="Z371" s="400" t="str">
        <f>IFERROR(__xludf.DUMMYFUNCTION("""COMPUTED_VALUE"""),"効果値")</f>
        <v>効果値</v>
      </c>
      <c r="AA371" s="343">
        <f>IFERROR(__xludf.DUMMYFUNCTION("""COMPUTED_VALUE"""),11.0)</f>
        <v>11</v>
      </c>
      <c r="AB371" s="402">
        <f>IFERROR(__xludf.DUMMYFUNCTION("""COMPUTED_VALUE"""),11.0)</f>
        <v>11</v>
      </c>
      <c r="AC371" s="343">
        <f>IFERROR(__xludf.DUMMYFUNCTION("""COMPUTED_VALUE"""),12.0)</f>
        <v>12</v>
      </c>
      <c r="AD371" s="402">
        <f>IFERROR(__xludf.DUMMYFUNCTION("""COMPUTED_VALUE"""),12.0)</f>
        <v>12</v>
      </c>
      <c r="AE371" s="343">
        <f>IFERROR(__xludf.DUMMYFUNCTION("""COMPUTED_VALUE"""),12.0)</f>
        <v>12</v>
      </c>
      <c r="AF371" s="343">
        <f>IFERROR(__xludf.DUMMYFUNCTION("""COMPUTED_VALUE"""),12.0)</f>
        <v>12</v>
      </c>
      <c r="AG371" s="343">
        <f>IFERROR(__xludf.DUMMYFUNCTION("""COMPUTED_VALUE"""),17.0)</f>
        <v>17</v>
      </c>
      <c r="AH371" s="343">
        <f>IFERROR(__xludf.DUMMYFUNCTION("""COMPUTED_VALUE"""),19.0)</f>
        <v>19</v>
      </c>
      <c r="AI371" s="385" t="str">
        <f>IFERROR(__xludf.DUMMYFUNCTION("""COMPUTED_VALUE"""),"持続型")</f>
        <v>持続型</v>
      </c>
      <c r="AJ371" s="399">
        <f>IFERROR(__xludf.DUMMYFUNCTION("""COMPUTED_VALUE"""),2.0)</f>
        <v>2</v>
      </c>
      <c r="AK371" s="400" t="str">
        <f>IFERROR(__xludf.DUMMYFUNCTION("""COMPUTED_VALUE"""),"効果値")</f>
        <v>効果値</v>
      </c>
      <c r="AL371" s="343">
        <f>IFERROR(__xludf.DUMMYFUNCTION("""COMPUTED_VALUE"""),6.0)</f>
        <v>6</v>
      </c>
      <c r="AM371" s="402">
        <f>IFERROR(__xludf.DUMMYFUNCTION("""COMPUTED_VALUE"""),6.0)</f>
        <v>6</v>
      </c>
      <c r="AN371" s="343">
        <f>IFERROR(__xludf.DUMMYFUNCTION("""COMPUTED_VALUE"""),7.0)</f>
        <v>7</v>
      </c>
      <c r="AO371" s="402">
        <f>IFERROR(__xludf.DUMMYFUNCTION("""COMPUTED_VALUE"""),7.0)</f>
        <v>7</v>
      </c>
      <c r="AP371" s="343">
        <f>IFERROR(__xludf.DUMMYFUNCTION("""COMPUTED_VALUE"""),7.0)</f>
        <v>7</v>
      </c>
      <c r="AQ371" s="343">
        <f>IFERROR(__xludf.DUMMYFUNCTION("""COMPUTED_VALUE"""),7.0)</f>
        <v>7</v>
      </c>
      <c r="AR371" s="343">
        <f>IFERROR(__xludf.DUMMYFUNCTION("""COMPUTED_VALUE"""),11.0)</f>
        <v>11</v>
      </c>
      <c r="AS371" s="343">
        <f>IFERROR(__xludf.DUMMYFUNCTION("""COMPUTED_VALUE"""),11.0)</f>
        <v>11</v>
      </c>
      <c r="AT371" s="385" t="str">
        <f>IFERROR(__xludf.DUMMYFUNCTION("""COMPUTED_VALUE"""),"超持続型")</f>
        <v>超持続型</v>
      </c>
      <c r="AU371" s="399">
        <f>IFERROR(__xludf.DUMMYFUNCTION("""COMPUTED_VALUE"""),2.0)</f>
        <v>2</v>
      </c>
      <c r="AV371" s="400" t="str">
        <f>IFERROR(__xludf.DUMMYFUNCTION("""COMPUTED_VALUE"""),"効果値")</f>
        <v>効果値</v>
      </c>
      <c r="AW371" s="403" t="str">
        <f>IFERROR(__xludf.DUMMYFUNCTION("""COMPUTED_VALUE"""),"-")</f>
        <v>-</v>
      </c>
      <c r="AX371" s="403" t="str">
        <f>IFERROR(__xludf.DUMMYFUNCTION("""COMPUTED_VALUE"""),"-")</f>
        <v>-</v>
      </c>
      <c r="AY371" s="403" t="str">
        <f>IFERROR(__xludf.DUMMYFUNCTION("""COMPUTED_VALUE"""),"-")</f>
        <v>-</v>
      </c>
      <c r="AZ371" s="403" t="str">
        <f>IFERROR(__xludf.DUMMYFUNCTION("""COMPUTED_VALUE"""),"-")</f>
        <v>-</v>
      </c>
      <c r="BA371" s="403" t="str">
        <f>IFERROR(__xludf.DUMMYFUNCTION("""COMPUTED_VALUE"""),"-")</f>
        <v>-</v>
      </c>
      <c r="BB371" s="343">
        <f>IFERROR(__xludf.DUMMYFUNCTION("""COMPUTED_VALUE"""),7.0)</f>
        <v>7</v>
      </c>
      <c r="BC371" s="343">
        <f>IFERROR(__xludf.DUMMYFUNCTION("""COMPUTED_VALUE"""),11.0)</f>
        <v>11</v>
      </c>
      <c r="BD371" s="343">
        <f>IFERROR(__xludf.DUMMYFUNCTION("""COMPUTED_VALUE"""),11.0)</f>
        <v>11</v>
      </c>
      <c r="BE371" s="385" t="str">
        <f>IFERROR(__xludf.DUMMYFUNCTION("""COMPUTED_VALUE"""),"ハイブリッド型")</f>
        <v>ハイブリッド型</v>
      </c>
      <c r="BF371" s="399">
        <f>IFERROR(__xludf.DUMMYFUNCTION("""COMPUTED_VALUE"""),2.0)</f>
        <v>2</v>
      </c>
      <c r="BG371" s="400" t="str">
        <f>IFERROR(__xludf.DUMMYFUNCTION("""COMPUTED_VALUE"""),"効果値")</f>
        <v>効果値</v>
      </c>
      <c r="BH371" s="404">
        <f>IFERROR(__xludf.DUMMYFUNCTION("""COMPUTED_VALUE"""),10.8)</f>
        <v>10.8</v>
      </c>
      <c r="BI371" s="405">
        <f>IFERROR(__xludf.DUMMYFUNCTION("""COMPUTED_VALUE"""),11.2)</f>
        <v>11.2</v>
      </c>
      <c r="BJ371" s="405">
        <f>IFERROR(__xludf.DUMMYFUNCTION("""COMPUTED_VALUE"""),11.5)</f>
        <v>11.5</v>
      </c>
      <c r="BK371" s="405">
        <f>IFERROR(__xludf.DUMMYFUNCTION("""COMPUTED_VALUE"""),11.8)</f>
        <v>11.8</v>
      </c>
      <c r="BL371" s="405">
        <f>IFERROR(__xludf.DUMMYFUNCTION("""COMPUTED_VALUE"""),12.1)</f>
        <v>12.1</v>
      </c>
      <c r="BM371" s="405">
        <f>IFERROR(__xludf.DUMMYFUNCTION("""COMPUTED_VALUE"""),17.1)</f>
        <v>17.1</v>
      </c>
      <c r="BN371" s="405">
        <f>IFERROR(__xludf.DUMMYFUNCTION("""COMPUTED_VALUE"""),22.0)</f>
        <v>22</v>
      </c>
      <c r="BO371" s="406">
        <f>IFERROR(__xludf.DUMMYFUNCTION("""COMPUTED_VALUE"""),24.0)</f>
        <v>24</v>
      </c>
    </row>
    <row r="372">
      <c r="A372" s="435" t="str">
        <f>IFERROR(__xludf.DUMMYFUNCTION("""COMPUTED_VALUE"""),"攻撃力Down(アタック)")</f>
        <v>攻撃力Down(アタック)</v>
      </c>
      <c r="B372" s="385" t="str">
        <f>IFERROR(__xludf.DUMMYFUNCTION("""COMPUTED_VALUE"""),"超瞬間型")</f>
        <v>超瞬間型</v>
      </c>
      <c r="C372" s="386">
        <f>IFERROR(__xludf.DUMMYFUNCTION("""COMPUTED_VALUE"""),2.0)</f>
        <v>2</v>
      </c>
      <c r="D372" s="387" t="str">
        <f>IFERROR(__xludf.DUMMYFUNCTION("""COMPUTED_VALUE"""),"効果時間")</f>
        <v>効果時間</v>
      </c>
      <c r="E372" s="388" t="str">
        <f>IFERROR(__xludf.DUMMYFUNCTION("""COMPUTED_VALUE"""),"-")</f>
        <v>-</v>
      </c>
      <c r="F372" s="389" t="str">
        <f>IFERROR(__xludf.DUMMYFUNCTION("""COMPUTED_VALUE"""),"-")</f>
        <v>-</v>
      </c>
      <c r="G372" s="388" t="str">
        <f>IFERROR(__xludf.DUMMYFUNCTION("""COMPUTED_VALUE"""),"-")</f>
        <v>-</v>
      </c>
      <c r="H372" s="389" t="str">
        <f>IFERROR(__xludf.DUMMYFUNCTION("""COMPUTED_VALUE"""),"-")</f>
        <v>-</v>
      </c>
      <c r="I372" s="388" t="str">
        <f>IFERROR(__xludf.DUMMYFUNCTION("""COMPUTED_VALUE"""),"-")</f>
        <v>-</v>
      </c>
      <c r="J372" s="390">
        <f>IFERROR(__xludf.DUMMYFUNCTION("""COMPUTED_VALUE"""),150.0)</f>
        <v>150</v>
      </c>
      <c r="K372" s="391">
        <f>IFERROR(__xludf.DUMMYFUNCTION("""COMPUTED_VALUE"""),160.0)</f>
        <v>160</v>
      </c>
      <c r="L372" s="340">
        <f>IFERROR(__xludf.DUMMYFUNCTION("""COMPUTED_VALUE"""),170.0)</f>
        <v>170</v>
      </c>
      <c r="M372" s="385" t="str">
        <f>IFERROR(__xludf.DUMMYFUNCTION("""COMPUTED_VALUE"""),"瞬間型")</f>
        <v>瞬間型</v>
      </c>
      <c r="N372" s="386">
        <f>IFERROR(__xludf.DUMMYFUNCTION("""COMPUTED_VALUE"""),2.0)</f>
        <v>2</v>
      </c>
      <c r="O372" s="387" t="str">
        <f>IFERROR(__xludf.DUMMYFUNCTION("""COMPUTED_VALUE"""),"効果時間")</f>
        <v>効果時間</v>
      </c>
      <c r="P372" s="392">
        <f>IFERROR(__xludf.DUMMYFUNCTION("""COMPUTED_VALUE"""),160.0)</f>
        <v>160</v>
      </c>
      <c r="Q372" s="275">
        <f>IFERROR(__xludf.DUMMYFUNCTION("""COMPUTED_VALUE"""),165.0)</f>
        <v>165</v>
      </c>
      <c r="R372" s="280">
        <f>IFERROR(__xludf.DUMMYFUNCTION("""COMPUTED_VALUE"""),170.0)</f>
        <v>170</v>
      </c>
      <c r="S372" s="275">
        <f>IFERROR(__xludf.DUMMYFUNCTION("""COMPUTED_VALUE"""),175.0)</f>
        <v>175</v>
      </c>
      <c r="T372" s="280">
        <f>IFERROR(__xludf.DUMMYFUNCTION("""COMPUTED_VALUE"""),180.0)</f>
        <v>180</v>
      </c>
      <c r="U372" s="280">
        <f>IFERROR(__xludf.DUMMYFUNCTION("""COMPUTED_VALUE"""),180.0)</f>
        <v>180</v>
      </c>
      <c r="V372" s="280">
        <f>IFERROR(__xludf.DUMMYFUNCTION("""COMPUTED_VALUE"""),220.0)</f>
        <v>220</v>
      </c>
      <c r="W372" s="280">
        <f>IFERROR(__xludf.DUMMYFUNCTION("""COMPUTED_VALUE"""),230.0)</f>
        <v>230</v>
      </c>
      <c r="X372" s="385" t="str">
        <f>IFERROR(__xludf.DUMMYFUNCTION("""COMPUTED_VALUE"""),"安定型")</f>
        <v>安定型</v>
      </c>
      <c r="Y372" s="386">
        <f>IFERROR(__xludf.DUMMYFUNCTION("""COMPUTED_VALUE"""),2.0)</f>
        <v>2</v>
      </c>
      <c r="Z372" s="387" t="str">
        <f>IFERROR(__xludf.DUMMYFUNCTION("""COMPUTED_VALUE"""),"効果時間")</f>
        <v>効果時間</v>
      </c>
      <c r="AA372" s="392">
        <f>IFERROR(__xludf.DUMMYFUNCTION("""COMPUTED_VALUE"""),310.0)</f>
        <v>310</v>
      </c>
      <c r="AB372" s="275">
        <f>IFERROR(__xludf.DUMMYFUNCTION("""COMPUTED_VALUE"""),315.0)</f>
        <v>315</v>
      </c>
      <c r="AC372" s="280">
        <f>IFERROR(__xludf.DUMMYFUNCTION("""COMPUTED_VALUE"""),320.0)</f>
        <v>320</v>
      </c>
      <c r="AD372" s="275">
        <f>IFERROR(__xludf.DUMMYFUNCTION("""COMPUTED_VALUE"""),325.0)</f>
        <v>325</v>
      </c>
      <c r="AE372" s="280">
        <f>IFERROR(__xludf.DUMMYFUNCTION("""COMPUTED_VALUE"""),330.0)</f>
        <v>330</v>
      </c>
      <c r="AF372" s="280">
        <f>IFERROR(__xludf.DUMMYFUNCTION("""COMPUTED_VALUE"""),345.0)</f>
        <v>345</v>
      </c>
      <c r="AG372" s="280">
        <f>IFERROR(__xludf.DUMMYFUNCTION("""COMPUTED_VALUE"""),370.0)</f>
        <v>370</v>
      </c>
      <c r="AH372" s="280">
        <f>IFERROR(__xludf.DUMMYFUNCTION("""COMPUTED_VALUE"""),380.0)</f>
        <v>380</v>
      </c>
      <c r="AI372" s="385" t="str">
        <f>IFERROR(__xludf.DUMMYFUNCTION("""COMPUTED_VALUE"""),"持続型")</f>
        <v>持続型</v>
      </c>
      <c r="AJ372" s="386">
        <f>IFERROR(__xludf.DUMMYFUNCTION("""COMPUTED_VALUE"""),2.0)</f>
        <v>2</v>
      </c>
      <c r="AK372" s="387" t="str">
        <f>IFERROR(__xludf.DUMMYFUNCTION("""COMPUTED_VALUE"""),"効果時間")</f>
        <v>効果時間</v>
      </c>
      <c r="AL372" s="392">
        <f>IFERROR(__xludf.DUMMYFUNCTION("""COMPUTED_VALUE"""),460.0)</f>
        <v>460</v>
      </c>
      <c r="AM372" s="275">
        <f>IFERROR(__xludf.DUMMYFUNCTION("""COMPUTED_VALUE"""),465.0)</f>
        <v>465</v>
      </c>
      <c r="AN372" s="280">
        <f>IFERROR(__xludf.DUMMYFUNCTION("""COMPUTED_VALUE"""),470.0)</f>
        <v>470</v>
      </c>
      <c r="AO372" s="275">
        <f>IFERROR(__xludf.DUMMYFUNCTION("""COMPUTED_VALUE"""),475.0)</f>
        <v>475</v>
      </c>
      <c r="AP372" s="280">
        <f>IFERROR(__xludf.DUMMYFUNCTION("""COMPUTED_VALUE"""),480.0)</f>
        <v>480</v>
      </c>
      <c r="AQ372" s="280">
        <f>IFERROR(__xludf.DUMMYFUNCTION("""COMPUTED_VALUE"""),495.0)</f>
        <v>495</v>
      </c>
      <c r="AR372" s="280">
        <f>IFERROR(__xludf.DUMMYFUNCTION("""COMPUTED_VALUE"""),520.0)</f>
        <v>520</v>
      </c>
      <c r="AS372" s="280">
        <f>IFERROR(__xludf.DUMMYFUNCTION("""COMPUTED_VALUE"""),530.0)</f>
        <v>530</v>
      </c>
      <c r="AT372" s="385" t="str">
        <f>IFERROR(__xludf.DUMMYFUNCTION("""COMPUTED_VALUE"""),"超持続型")</f>
        <v>超持続型</v>
      </c>
      <c r="AU372" s="386">
        <f>IFERROR(__xludf.DUMMYFUNCTION("""COMPUTED_VALUE"""),2.0)</f>
        <v>2</v>
      </c>
      <c r="AV372" s="387" t="str">
        <f>IFERROR(__xludf.DUMMYFUNCTION("""COMPUTED_VALUE"""),"効果時間")</f>
        <v>効果時間</v>
      </c>
      <c r="AW372" s="368" t="str">
        <f>IFERROR(__xludf.DUMMYFUNCTION("""COMPUTED_VALUE"""),"-")</f>
        <v>-</v>
      </c>
      <c r="AX372" s="368" t="str">
        <f>IFERROR(__xludf.DUMMYFUNCTION("""COMPUTED_VALUE"""),"-")</f>
        <v>-</v>
      </c>
      <c r="AY372" s="368" t="str">
        <f>IFERROR(__xludf.DUMMYFUNCTION("""COMPUTED_VALUE"""),"-")</f>
        <v>-</v>
      </c>
      <c r="AZ372" s="368" t="str">
        <f>IFERROR(__xludf.DUMMYFUNCTION("""COMPUTED_VALUE"""),"-")</f>
        <v>-</v>
      </c>
      <c r="BA372" s="368" t="str">
        <f>IFERROR(__xludf.DUMMYFUNCTION("""COMPUTED_VALUE"""),"-")</f>
        <v>-</v>
      </c>
      <c r="BB372" s="280">
        <f>IFERROR(__xludf.DUMMYFUNCTION("""COMPUTED_VALUE"""),625.0)</f>
        <v>625</v>
      </c>
      <c r="BC372" s="280">
        <f>IFERROR(__xludf.DUMMYFUNCTION("""COMPUTED_VALUE"""),670.0)</f>
        <v>670</v>
      </c>
      <c r="BD372" s="280">
        <f>IFERROR(__xludf.DUMMYFUNCTION("""COMPUTED_VALUE"""),680.0)</f>
        <v>680</v>
      </c>
      <c r="BE372" s="385" t="str">
        <f>IFERROR(__xludf.DUMMYFUNCTION("""COMPUTED_VALUE"""),"ハイブリッド型")</f>
        <v>ハイブリッド型</v>
      </c>
      <c r="BF372" s="386">
        <f>IFERROR(__xludf.DUMMYFUNCTION("""COMPUTED_VALUE"""),2.0)</f>
        <v>2</v>
      </c>
      <c r="BG372" s="387" t="str">
        <f>IFERROR(__xludf.DUMMYFUNCTION("""COMPUTED_VALUE"""),"効果時間")</f>
        <v>効果時間</v>
      </c>
      <c r="BH372" s="407">
        <f>IFERROR(__xludf.DUMMYFUNCTION("""COMPUTED_VALUE"""),195.0)</f>
        <v>195</v>
      </c>
      <c r="BI372" s="407">
        <f>IFERROR(__xludf.DUMMYFUNCTION("""COMPUTED_VALUE"""),205.0)</f>
        <v>205</v>
      </c>
      <c r="BJ372" s="407">
        <f>IFERROR(__xludf.DUMMYFUNCTION("""COMPUTED_VALUE"""),205.0)</f>
        <v>205</v>
      </c>
      <c r="BK372" s="408">
        <f>IFERROR(__xludf.DUMMYFUNCTION("""COMPUTED_VALUE"""),210.0)</f>
        <v>210</v>
      </c>
      <c r="BL372" s="407">
        <f>IFERROR(__xludf.DUMMYFUNCTION("""COMPUTED_VALUE"""),215.0)</f>
        <v>215</v>
      </c>
      <c r="BM372" s="408">
        <f>IFERROR(__xludf.DUMMYFUNCTION("""COMPUTED_VALUE"""),375.0)</f>
        <v>375</v>
      </c>
      <c r="BN372" s="407">
        <f>IFERROR(__xludf.DUMMYFUNCTION("""COMPUTED_VALUE"""),480.0)</f>
        <v>480</v>
      </c>
      <c r="BO372" s="408">
        <f>IFERROR(__xludf.DUMMYFUNCTION("""COMPUTED_VALUE"""),490.0)</f>
        <v>490</v>
      </c>
    </row>
    <row r="373">
      <c r="A373" s="435" t="str">
        <f>IFERROR(__xludf.DUMMYFUNCTION("""COMPUTED_VALUE"""),"攻撃力Down(アタック)")</f>
        <v>攻撃力Down(アタック)</v>
      </c>
      <c r="B373" s="385" t="str">
        <f>IFERROR(__xludf.DUMMYFUNCTION("""COMPUTED_VALUE"""),"超瞬間型")</f>
        <v>超瞬間型</v>
      </c>
      <c r="C373" s="399">
        <f>IFERROR(__xludf.DUMMYFUNCTION("""COMPUTED_VALUE"""),3.0)</f>
        <v>3</v>
      </c>
      <c r="D373" s="400" t="str">
        <f>IFERROR(__xludf.DUMMYFUNCTION("""COMPUTED_VALUE"""),"効果値")</f>
        <v>効果値</v>
      </c>
      <c r="E373" s="401" t="str">
        <f>IFERROR(__xludf.DUMMYFUNCTION("""COMPUTED_VALUE"""),"-")</f>
        <v>-</v>
      </c>
      <c r="F373" s="409" t="str">
        <f>IFERROR(__xludf.DUMMYFUNCTION("""COMPUTED_VALUE"""),"-")</f>
        <v>-</v>
      </c>
      <c r="G373" s="401" t="str">
        <f>IFERROR(__xludf.DUMMYFUNCTION("""COMPUTED_VALUE"""),"-")</f>
        <v>-</v>
      </c>
      <c r="H373" s="409" t="str">
        <f>IFERROR(__xludf.DUMMYFUNCTION("""COMPUTED_VALUE"""),"-")</f>
        <v>-</v>
      </c>
      <c r="I373" s="409" t="str">
        <f>IFERROR(__xludf.DUMMYFUNCTION("""COMPUTED_VALUE"""),"-")</f>
        <v>-</v>
      </c>
      <c r="J373" s="410">
        <f>IFERROR(__xludf.DUMMYFUNCTION("""COMPUTED_VALUE"""),58.0)</f>
        <v>58</v>
      </c>
      <c r="K373" s="410">
        <f>IFERROR(__xludf.DUMMYFUNCTION("""COMPUTED_VALUE"""),68.0)</f>
        <v>68</v>
      </c>
      <c r="L373" s="410">
        <f>IFERROR(__xludf.DUMMYFUNCTION("""COMPUTED_VALUE"""),72.0)</f>
        <v>72</v>
      </c>
      <c r="M373" s="385" t="str">
        <f>IFERROR(__xludf.DUMMYFUNCTION("""COMPUTED_VALUE"""),"瞬間型")</f>
        <v>瞬間型</v>
      </c>
      <c r="N373" s="399">
        <f>IFERROR(__xludf.DUMMYFUNCTION("""COMPUTED_VALUE"""),3.0)</f>
        <v>3</v>
      </c>
      <c r="O373" s="400" t="str">
        <f>IFERROR(__xludf.DUMMYFUNCTION("""COMPUTED_VALUE"""),"効果値")</f>
        <v>効果値</v>
      </c>
      <c r="P373" s="343">
        <f>IFERROR(__xludf.DUMMYFUNCTION("""COMPUTED_VALUE"""),22.0)</f>
        <v>22</v>
      </c>
      <c r="Q373" s="402">
        <f>IFERROR(__xludf.DUMMYFUNCTION("""COMPUTED_VALUE"""),22.0)</f>
        <v>22</v>
      </c>
      <c r="R373" s="402">
        <f>IFERROR(__xludf.DUMMYFUNCTION("""COMPUTED_VALUE"""),23.0)</f>
        <v>23</v>
      </c>
      <c r="S373" s="402">
        <f>IFERROR(__xludf.DUMMYFUNCTION("""COMPUTED_VALUE"""),23.0)</f>
        <v>23</v>
      </c>
      <c r="T373" s="402">
        <f>IFERROR(__xludf.DUMMYFUNCTION("""COMPUTED_VALUE"""),23.0)</f>
        <v>23</v>
      </c>
      <c r="U373" s="402">
        <f>IFERROR(__xludf.DUMMYFUNCTION("""COMPUTED_VALUE"""),28.0)</f>
        <v>28</v>
      </c>
      <c r="V373" s="402">
        <f>IFERROR(__xludf.DUMMYFUNCTION("""COMPUTED_VALUE"""),33.0)</f>
        <v>33</v>
      </c>
      <c r="W373" s="402">
        <f>IFERROR(__xludf.DUMMYFUNCTION("""COMPUTED_VALUE"""),37.0)</f>
        <v>37</v>
      </c>
      <c r="X373" s="385" t="str">
        <f>IFERROR(__xludf.DUMMYFUNCTION("""COMPUTED_VALUE"""),"安定型")</f>
        <v>安定型</v>
      </c>
      <c r="Y373" s="399">
        <f>IFERROR(__xludf.DUMMYFUNCTION("""COMPUTED_VALUE"""),3.0)</f>
        <v>3</v>
      </c>
      <c r="Z373" s="400" t="str">
        <f>IFERROR(__xludf.DUMMYFUNCTION("""COMPUTED_VALUE"""),"効果値")</f>
        <v>効果値</v>
      </c>
      <c r="AA373" s="343">
        <f>IFERROR(__xludf.DUMMYFUNCTION("""COMPUTED_VALUE"""),12.0)</f>
        <v>12</v>
      </c>
      <c r="AB373" s="402">
        <f>IFERROR(__xludf.DUMMYFUNCTION("""COMPUTED_VALUE"""),12.0)</f>
        <v>12</v>
      </c>
      <c r="AC373" s="402">
        <f>IFERROR(__xludf.DUMMYFUNCTION("""COMPUTED_VALUE"""),13.0)</f>
        <v>13</v>
      </c>
      <c r="AD373" s="402">
        <f>IFERROR(__xludf.DUMMYFUNCTION("""COMPUTED_VALUE"""),13.0)</f>
        <v>13</v>
      </c>
      <c r="AE373" s="402">
        <f>IFERROR(__xludf.DUMMYFUNCTION("""COMPUTED_VALUE"""),13.0)</f>
        <v>13</v>
      </c>
      <c r="AF373" s="402">
        <f>IFERROR(__xludf.DUMMYFUNCTION("""COMPUTED_VALUE"""),13.0)</f>
        <v>13</v>
      </c>
      <c r="AG373" s="402">
        <f>IFERROR(__xludf.DUMMYFUNCTION("""COMPUTED_VALUE"""),18.0)</f>
        <v>18</v>
      </c>
      <c r="AH373" s="402">
        <f>IFERROR(__xludf.DUMMYFUNCTION("""COMPUTED_VALUE"""),22.0)</f>
        <v>22</v>
      </c>
      <c r="AI373" s="385" t="str">
        <f>IFERROR(__xludf.DUMMYFUNCTION("""COMPUTED_VALUE"""),"持続型")</f>
        <v>持続型</v>
      </c>
      <c r="AJ373" s="399">
        <f>IFERROR(__xludf.DUMMYFUNCTION("""COMPUTED_VALUE"""),3.0)</f>
        <v>3</v>
      </c>
      <c r="AK373" s="400" t="str">
        <f>IFERROR(__xludf.DUMMYFUNCTION("""COMPUTED_VALUE"""),"効果値")</f>
        <v>効果値</v>
      </c>
      <c r="AL373" s="343">
        <f>IFERROR(__xludf.DUMMYFUNCTION("""COMPUTED_VALUE"""),7.0)</f>
        <v>7</v>
      </c>
      <c r="AM373" s="402">
        <f>IFERROR(__xludf.DUMMYFUNCTION("""COMPUTED_VALUE"""),7.0)</f>
        <v>7</v>
      </c>
      <c r="AN373" s="402">
        <f>IFERROR(__xludf.DUMMYFUNCTION("""COMPUTED_VALUE"""),8.0)</f>
        <v>8</v>
      </c>
      <c r="AO373" s="402">
        <f>IFERROR(__xludf.DUMMYFUNCTION("""COMPUTED_VALUE"""),8.0)</f>
        <v>8</v>
      </c>
      <c r="AP373" s="402">
        <f>IFERROR(__xludf.DUMMYFUNCTION("""COMPUTED_VALUE"""),8.0)</f>
        <v>8</v>
      </c>
      <c r="AQ373" s="402">
        <f>IFERROR(__xludf.DUMMYFUNCTION("""COMPUTED_VALUE"""),8.0)</f>
        <v>8</v>
      </c>
      <c r="AR373" s="402">
        <f>IFERROR(__xludf.DUMMYFUNCTION("""COMPUTED_VALUE"""),11.0)</f>
        <v>11</v>
      </c>
      <c r="AS373" s="402">
        <f>IFERROR(__xludf.DUMMYFUNCTION("""COMPUTED_VALUE"""),11.0)</f>
        <v>11</v>
      </c>
      <c r="AT373" s="385" t="str">
        <f>IFERROR(__xludf.DUMMYFUNCTION("""COMPUTED_VALUE"""),"超持続型")</f>
        <v>超持続型</v>
      </c>
      <c r="AU373" s="399">
        <f>IFERROR(__xludf.DUMMYFUNCTION("""COMPUTED_VALUE"""),3.0)</f>
        <v>3</v>
      </c>
      <c r="AV373" s="400" t="str">
        <f>IFERROR(__xludf.DUMMYFUNCTION("""COMPUTED_VALUE"""),"効果値")</f>
        <v>効果値</v>
      </c>
      <c r="AW373" s="403" t="str">
        <f>IFERROR(__xludf.DUMMYFUNCTION("""COMPUTED_VALUE"""),"-")</f>
        <v>-</v>
      </c>
      <c r="AX373" s="403" t="str">
        <f>IFERROR(__xludf.DUMMYFUNCTION("""COMPUTED_VALUE"""),"-")</f>
        <v>-</v>
      </c>
      <c r="AY373" s="403" t="str">
        <f>IFERROR(__xludf.DUMMYFUNCTION("""COMPUTED_VALUE"""),"-")</f>
        <v>-</v>
      </c>
      <c r="AZ373" s="403" t="str">
        <f>IFERROR(__xludf.DUMMYFUNCTION("""COMPUTED_VALUE"""),"-")</f>
        <v>-</v>
      </c>
      <c r="BA373" s="403" t="str">
        <f>IFERROR(__xludf.DUMMYFUNCTION("""COMPUTED_VALUE"""),"-")</f>
        <v>-</v>
      </c>
      <c r="BB373" s="343">
        <f>IFERROR(__xludf.DUMMYFUNCTION("""COMPUTED_VALUE"""),8.0)</f>
        <v>8</v>
      </c>
      <c r="BC373" s="343">
        <f>IFERROR(__xludf.DUMMYFUNCTION("""COMPUTED_VALUE"""),11.0)</f>
        <v>11</v>
      </c>
      <c r="BD373" s="343">
        <f>IFERROR(__xludf.DUMMYFUNCTION("""COMPUTED_VALUE"""),11.0)</f>
        <v>11</v>
      </c>
      <c r="BE373" s="385" t="str">
        <f>IFERROR(__xludf.DUMMYFUNCTION("""COMPUTED_VALUE"""),"ハイブリッド型")</f>
        <v>ハイブリッド型</v>
      </c>
      <c r="BF373" s="399">
        <f>IFERROR(__xludf.DUMMYFUNCTION("""COMPUTED_VALUE"""),3.0)</f>
        <v>3</v>
      </c>
      <c r="BG373" s="400" t="str">
        <f>IFERROR(__xludf.DUMMYFUNCTION("""COMPUTED_VALUE"""),"効果値")</f>
        <v>効果値</v>
      </c>
      <c r="BH373" s="411">
        <f>IFERROR(__xludf.DUMMYFUNCTION("""COMPUTED_VALUE"""),11.4)</f>
        <v>11.4</v>
      </c>
      <c r="BI373" s="412">
        <f>IFERROR(__xludf.DUMMYFUNCTION("""COMPUTED_VALUE"""),11.9)</f>
        <v>11.9</v>
      </c>
      <c r="BJ373" s="412">
        <f>IFERROR(__xludf.DUMMYFUNCTION("""COMPUTED_VALUE"""),12.5)</f>
        <v>12.5</v>
      </c>
      <c r="BK373" s="412">
        <f>IFERROR(__xludf.DUMMYFUNCTION("""COMPUTED_VALUE"""),13.0)</f>
        <v>13</v>
      </c>
      <c r="BL373" s="412">
        <f>IFERROR(__xludf.DUMMYFUNCTION("""COMPUTED_VALUE"""),13.5)</f>
        <v>13.5</v>
      </c>
      <c r="BM373" s="412">
        <f>IFERROR(__xludf.DUMMYFUNCTION("""COMPUTED_VALUE"""),18.5)</f>
        <v>18.5</v>
      </c>
      <c r="BN373" s="412">
        <f>IFERROR(__xludf.DUMMYFUNCTION("""COMPUTED_VALUE"""),23.0)</f>
        <v>23</v>
      </c>
      <c r="BO373" s="413">
        <f>IFERROR(__xludf.DUMMYFUNCTION("""COMPUTED_VALUE"""),27.0)</f>
        <v>27</v>
      </c>
    </row>
    <row r="374">
      <c r="A374" s="435" t="str">
        <f>IFERROR(__xludf.DUMMYFUNCTION("""COMPUTED_VALUE"""),"攻撃力Down(アタック)")</f>
        <v>攻撃力Down(アタック)</v>
      </c>
      <c r="B374" s="385" t="str">
        <f>IFERROR(__xludf.DUMMYFUNCTION("""COMPUTED_VALUE"""),"超瞬間型")</f>
        <v>超瞬間型</v>
      </c>
      <c r="C374" s="386">
        <f>IFERROR(__xludf.DUMMYFUNCTION("""COMPUTED_VALUE"""),3.0)</f>
        <v>3</v>
      </c>
      <c r="D374" s="387" t="str">
        <f>IFERROR(__xludf.DUMMYFUNCTION("""COMPUTED_VALUE"""),"効果時間")</f>
        <v>効果時間</v>
      </c>
      <c r="E374" s="388" t="str">
        <f>IFERROR(__xludf.DUMMYFUNCTION("""COMPUTED_VALUE"""),"-")</f>
        <v>-</v>
      </c>
      <c r="F374" s="389" t="str">
        <f>IFERROR(__xludf.DUMMYFUNCTION("""COMPUTED_VALUE"""),"-")</f>
        <v>-</v>
      </c>
      <c r="G374" s="388" t="str">
        <f>IFERROR(__xludf.DUMMYFUNCTION("""COMPUTED_VALUE"""),"-")</f>
        <v>-</v>
      </c>
      <c r="H374" s="389" t="str">
        <f>IFERROR(__xludf.DUMMYFUNCTION("""COMPUTED_VALUE"""),"-")</f>
        <v>-</v>
      </c>
      <c r="I374" s="388" t="str">
        <f>IFERROR(__xludf.DUMMYFUNCTION("""COMPUTED_VALUE"""),"-")</f>
        <v>-</v>
      </c>
      <c r="J374" s="390">
        <f>IFERROR(__xludf.DUMMYFUNCTION("""COMPUTED_VALUE"""),155.0)</f>
        <v>155</v>
      </c>
      <c r="K374" s="391">
        <f>IFERROR(__xludf.DUMMYFUNCTION("""COMPUTED_VALUE"""),165.0)</f>
        <v>165</v>
      </c>
      <c r="L374" s="340">
        <f>IFERROR(__xludf.DUMMYFUNCTION("""COMPUTED_VALUE"""),185.0)</f>
        <v>185</v>
      </c>
      <c r="M374" s="385" t="str">
        <f>IFERROR(__xludf.DUMMYFUNCTION("""COMPUTED_VALUE"""),"瞬間型")</f>
        <v>瞬間型</v>
      </c>
      <c r="N374" s="386">
        <f>IFERROR(__xludf.DUMMYFUNCTION("""COMPUTED_VALUE"""),3.0)</f>
        <v>3</v>
      </c>
      <c r="O374" s="387" t="str">
        <f>IFERROR(__xludf.DUMMYFUNCTION("""COMPUTED_VALUE"""),"効果時間")</f>
        <v>効果時間</v>
      </c>
      <c r="P374" s="392">
        <f>IFERROR(__xludf.DUMMYFUNCTION("""COMPUTED_VALUE"""),165.0)</f>
        <v>165</v>
      </c>
      <c r="Q374" s="414">
        <f>IFERROR(__xludf.DUMMYFUNCTION("""COMPUTED_VALUE"""),175.0)</f>
        <v>175</v>
      </c>
      <c r="R374" s="415">
        <f>IFERROR(__xludf.DUMMYFUNCTION("""COMPUTED_VALUE"""),180.0)</f>
        <v>180</v>
      </c>
      <c r="S374" s="393">
        <f>IFERROR(__xludf.DUMMYFUNCTION("""COMPUTED_VALUE"""),185.0)</f>
        <v>185</v>
      </c>
      <c r="T374" s="393">
        <f>IFERROR(__xludf.DUMMYFUNCTION("""COMPUTED_VALUE"""),195.0)</f>
        <v>195</v>
      </c>
      <c r="U374" s="414">
        <f>IFERROR(__xludf.DUMMYFUNCTION("""COMPUTED_VALUE"""),200.0)</f>
        <v>200</v>
      </c>
      <c r="V374" s="416">
        <f>IFERROR(__xludf.DUMMYFUNCTION("""COMPUTED_VALUE"""),255.0)</f>
        <v>255</v>
      </c>
      <c r="W374" s="415">
        <f>IFERROR(__xludf.DUMMYFUNCTION("""COMPUTED_VALUE"""),270.0)</f>
        <v>270</v>
      </c>
      <c r="X374" s="385" t="str">
        <f>IFERROR(__xludf.DUMMYFUNCTION("""COMPUTED_VALUE"""),"安定型")</f>
        <v>安定型</v>
      </c>
      <c r="Y374" s="386">
        <f>IFERROR(__xludf.DUMMYFUNCTION("""COMPUTED_VALUE"""),3.0)</f>
        <v>3</v>
      </c>
      <c r="Z374" s="387" t="str">
        <f>IFERROR(__xludf.DUMMYFUNCTION("""COMPUTED_VALUE"""),"効果時間")</f>
        <v>効果時間</v>
      </c>
      <c r="AA374" s="392">
        <f>IFERROR(__xludf.DUMMYFUNCTION("""COMPUTED_VALUE"""),315.0)</f>
        <v>315</v>
      </c>
      <c r="AB374" s="414">
        <f>IFERROR(__xludf.DUMMYFUNCTION("""COMPUTED_VALUE"""),325.0)</f>
        <v>325</v>
      </c>
      <c r="AC374" s="415">
        <f>IFERROR(__xludf.DUMMYFUNCTION("""COMPUTED_VALUE"""),330.0)</f>
        <v>330</v>
      </c>
      <c r="AD374" s="393">
        <f>IFERROR(__xludf.DUMMYFUNCTION("""COMPUTED_VALUE"""),335.0)</f>
        <v>335</v>
      </c>
      <c r="AE374" s="393">
        <f>IFERROR(__xludf.DUMMYFUNCTION("""COMPUTED_VALUE"""),345.0)</f>
        <v>345</v>
      </c>
      <c r="AF374" s="414">
        <f>IFERROR(__xludf.DUMMYFUNCTION("""COMPUTED_VALUE"""),370.0)</f>
        <v>370</v>
      </c>
      <c r="AG374" s="416">
        <f>IFERROR(__xludf.DUMMYFUNCTION("""COMPUTED_VALUE"""),405.0)</f>
        <v>405</v>
      </c>
      <c r="AH374" s="415">
        <f>IFERROR(__xludf.DUMMYFUNCTION("""COMPUTED_VALUE"""),420.0)</f>
        <v>420</v>
      </c>
      <c r="AI374" s="385" t="str">
        <f>IFERROR(__xludf.DUMMYFUNCTION("""COMPUTED_VALUE"""),"持続型")</f>
        <v>持続型</v>
      </c>
      <c r="AJ374" s="386">
        <f>IFERROR(__xludf.DUMMYFUNCTION("""COMPUTED_VALUE"""),3.0)</f>
        <v>3</v>
      </c>
      <c r="AK374" s="387" t="str">
        <f>IFERROR(__xludf.DUMMYFUNCTION("""COMPUTED_VALUE"""),"効果時間")</f>
        <v>効果時間</v>
      </c>
      <c r="AL374" s="392">
        <f>IFERROR(__xludf.DUMMYFUNCTION("""COMPUTED_VALUE"""),465.0)</f>
        <v>465</v>
      </c>
      <c r="AM374" s="414">
        <f>IFERROR(__xludf.DUMMYFUNCTION("""COMPUTED_VALUE"""),475.0)</f>
        <v>475</v>
      </c>
      <c r="AN374" s="415">
        <f>IFERROR(__xludf.DUMMYFUNCTION("""COMPUTED_VALUE"""),480.0)</f>
        <v>480</v>
      </c>
      <c r="AO374" s="393">
        <f>IFERROR(__xludf.DUMMYFUNCTION("""COMPUTED_VALUE"""),485.0)</f>
        <v>485</v>
      </c>
      <c r="AP374" s="393">
        <f>IFERROR(__xludf.DUMMYFUNCTION("""COMPUTED_VALUE"""),495.0)</f>
        <v>495</v>
      </c>
      <c r="AQ374" s="414">
        <f>IFERROR(__xludf.DUMMYFUNCTION("""COMPUTED_VALUE"""),520.0)</f>
        <v>520</v>
      </c>
      <c r="AR374" s="416">
        <f>IFERROR(__xludf.DUMMYFUNCTION("""COMPUTED_VALUE"""),555.0)</f>
        <v>555</v>
      </c>
      <c r="AS374" s="415">
        <f>IFERROR(__xludf.DUMMYFUNCTION("""COMPUTED_VALUE"""),570.0)</f>
        <v>570</v>
      </c>
      <c r="AT374" s="385" t="str">
        <f>IFERROR(__xludf.DUMMYFUNCTION("""COMPUTED_VALUE"""),"超持続型")</f>
        <v>超持続型</v>
      </c>
      <c r="AU374" s="386">
        <f>IFERROR(__xludf.DUMMYFUNCTION("""COMPUTED_VALUE"""),3.0)</f>
        <v>3</v>
      </c>
      <c r="AV374" s="387" t="str">
        <f>IFERROR(__xludf.DUMMYFUNCTION("""COMPUTED_VALUE"""),"効果時間")</f>
        <v>効果時間</v>
      </c>
      <c r="AW374" s="368" t="str">
        <f>IFERROR(__xludf.DUMMYFUNCTION("""COMPUTED_VALUE"""),"-")</f>
        <v>-</v>
      </c>
      <c r="AX374" s="368" t="str">
        <f>IFERROR(__xludf.DUMMYFUNCTION("""COMPUTED_VALUE"""),"-")</f>
        <v>-</v>
      </c>
      <c r="AY374" s="368" t="str">
        <f>IFERROR(__xludf.DUMMYFUNCTION("""COMPUTED_VALUE"""),"-")</f>
        <v>-</v>
      </c>
      <c r="AZ374" s="368" t="str">
        <f>IFERROR(__xludf.DUMMYFUNCTION("""COMPUTED_VALUE"""),"-")</f>
        <v>-</v>
      </c>
      <c r="BA374" s="368" t="str">
        <f>IFERROR(__xludf.DUMMYFUNCTION("""COMPUTED_VALUE"""),"-")</f>
        <v>-</v>
      </c>
      <c r="BB374" s="280">
        <f>IFERROR(__xludf.DUMMYFUNCTION("""COMPUTED_VALUE"""),635.0)</f>
        <v>635</v>
      </c>
      <c r="BC374" s="280">
        <f>IFERROR(__xludf.DUMMYFUNCTION("""COMPUTED_VALUE"""),705.0)</f>
        <v>705</v>
      </c>
      <c r="BD374" s="280">
        <f>IFERROR(__xludf.DUMMYFUNCTION("""COMPUTED_VALUE"""),720.0)</f>
        <v>720</v>
      </c>
      <c r="BE374" s="385" t="str">
        <f>IFERROR(__xludf.DUMMYFUNCTION("""COMPUTED_VALUE"""),"ハイブリッド型")</f>
        <v>ハイブリッド型</v>
      </c>
      <c r="BF374" s="386">
        <f>IFERROR(__xludf.DUMMYFUNCTION("""COMPUTED_VALUE"""),3.0)</f>
        <v>3</v>
      </c>
      <c r="BG374" s="387" t="str">
        <f>IFERROR(__xludf.DUMMYFUNCTION("""COMPUTED_VALUE"""),"効果時間")</f>
        <v>効果時間</v>
      </c>
      <c r="BH374" s="407">
        <f>IFERROR(__xludf.DUMMYFUNCTION("""COMPUTED_VALUE"""),220.0)</f>
        <v>220</v>
      </c>
      <c r="BI374" s="407">
        <f>IFERROR(__xludf.DUMMYFUNCTION("""COMPUTED_VALUE"""),235.0)</f>
        <v>235</v>
      </c>
      <c r="BJ374" s="407">
        <f>IFERROR(__xludf.DUMMYFUNCTION("""COMPUTED_VALUE"""),240.0)</f>
        <v>240</v>
      </c>
      <c r="BK374" s="408">
        <f>IFERROR(__xludf.DUMMYFUNCTION("""COMPUTED_VALUE"""),250.0)</f>
        <v>250</v>
      </c>
      <c r="BL374" s="407">
        <f>IFERROR(__xludf.DUMMYFUNCTION("""COMPUTED_VALUE"""),255.0)</f>
        <v>255</v>
      </c>
      <c r="BM374" s="408">
        <f>IFERROR(__xludf.DUMMYFUNCTION("""COMPUTED_VALUE"""),385.0)</f>
        <v>385</v>
      </c>
      <c r="BN374" s="407">
        <f>IFERROR(__xludf.DUMMYFUNCTION("""COMPUTED_VALUE"""),490.0)</f>
        <v>490</v>
      </c>
      <c r="BO374" s="408">
        <f>IFERROR(__xludf.DUMMYFUNCTION("""COMPUTED_VALUE"""),505.0)</f>
        <v>505</v>
      </c>
    </row>
    <row r="375">
      <c r="A375" s="435" t="str">
        <f>IFERROR(__xludf.DUMMYFUNCTION("""COMPUTED_VALUE"""),"攻撃力Down(アタック)")</f>
        <v>攻撃力Down(アタック)</v>
      </c>
      <c r="B375" s="385" t="str">
        <f>IFERROR(__xludf.DUMMYFUNCTION("""COMPUTED_VALUE"""),"超瞬間型")</f>
        <v>超瞬間型</v>
      </c>
      <c r="C375" s="399">
        <f>IFERROR(__xludf.DUMMYFUNCTION("""COMPUTED_VALUE"""),4.0)</f>
        <v>4</v>
      </c>
      <c r="D375" s="400" t="str">
        <f>IFERROR(__xludf.DUMMYFUNCTION("""COMPUTED_VALUE"""),"効果値")</f>
        <v>効果値</v>
      </c>
      <c r="E375" s="401" t="str">
        <f>IFERROR(__xludf.DUMMYFUNCTION("""COMPUTED_VALUE"""),"-")</f>
        <v>-</v>
      </c>
      <c r="F375" s="409" t="str">
        <f>IFERROR(__xludf.DUMMYFUNCTION("""COMPUTED_VALUE"""),"-")</f>
        <v>-</v>
      </c>
      <c r="G375" s="409" t="str">
        <f>IFERROR(__xludf.DUMMYFUNCTION("""COMPUTED_VALUE"""),"-")</f>
        <v>-</v>
      </c>
      <c r="H375" s="409" t="str">
        <f>IFERROR(__xludf.DUMMYFUNCTION("""COMPUTED_VALUE"""),"-")</f>
        <v>-</v>
      </c>
      <c r="I375" s="409" t="str">
        <f>IFERROR(__xludf.DUMMYFUNCTION("""COMPUTED_VALUE"""),"-")</f>
        <v>-</v>
      </c>
      <c r="J375" s="410">
        <f>IFERROR(__xludf.DUMMYFUNCTION("""COMPUTED_VALUE"""),59.0)</f>
        <v>59</v>
      </c>
      <c r="K375" s="410">
        <f>IFERROR(__xludf.DUMMYFUNCTION("""COMPUTED_VALUE"""),69.0)</f>
        <v>69</v>
      </c>
      <c r="L375" s="410">
        <f>IFERROR(__xludf.DUMMYFUNCTION("""COMPUTED_VALUE"""),74.0)</f>
        <v>74</v>
      </c>
      <c r="M375" s="385" t="str">
        <f>IFERROR(__xludf.DUMMYFUNCTION("""COMPUTED_VALUE"""),"瞬間型")</f>
        <v>瞬間型</v>
      </c>
      <c r="N375" s="399">
        <f>IFERROR(__xludf.DUMMYFUNCTION("""COMPUTED_VALUE"""),4.0)</f>
        <v>4</v>
      </c>
      <c r="O375" s="400" t="str">
        <f>IFERROR(__xludf.DUMMYFUNCTION("""COMPUTED_VALUE"""),"効果値")</f>
        <v>効果値</v>
      </c>
      <c r="P375" s="343">
        <f>IFERROR(__xludf.DUMMYFUNCTION("""COMPUTED_VALUE"""),23.0)</f>
        <v>23</v>
      </c>
      <c r="Q375" s="402">
        <f>IFERROR(__xludf.DUMMYFUNCTION("""COMPUTED_VALUE"""),23.0)</f>
        <v>23</v>
      </c>
      <c r="R375" s="343">
        <f>IFERROR(__xludf.DUMMYFUNCTION("""COMPUTED_VALUE"""),23.0)</f>
        <v>23</v>
      </c>
      <c r="S375" s="402">
        <f>IFERROR(__xludf.DUMMYFUNCTION("""COMPUTED_VALUE"""),23.0)</f>
        <v>23</v>
      </c>
      <c r="T375" s="343">
        <f>IFERROR(__xludf.DUMMYFUNCTION("""COMPUTED_VALUE"""),23.0)</f>
        <v>23</v>
      </c>
      <c r="U375" s="343">
        <f>IFERROR(__xludf.DUMMYFUNCTION("""COMPUTED_VALUE"""),29.0)</f>
        <v>29</v>
      </c>
      <c r="V375" s="343">
        <f>IFERROR(__xludf.DUMMYFUNCTION("""COMPUTED_VALUE"""),34.0)</f>
        <v>34</v>
      </c>
      <c r="W375" s="343">
        <f>IFERROR(__xludf.DUMMYFUNCTION("""COMPUTED_VALUE"""),39.0)</f>
        <v>39</v>
      </c>
      <c r="X375" s="385" t="str">
        <f>IFERROR(__xludf.DUMMYFUNCTION("""COMPUTED_VALUE"""),"安定型")</f>
        <v>安定型</v>
      </c>
      <c r="Y375" s="399">
        <f>IFERROR(__xludf.DUMMYFUNCTION("""COMPUTED_VALUE"""),4.0)</f>
        <v>4</v>
      </c>
      <c r="Z375" s="400" t="str">
        <f>IFERROR(__xludf.DUMMYFUNCTION("""COMPUTED_VALUE"""),"効果値")</f>
        <v>効果値</v>
      </c>
      <c r="AA375" s="343">
        <f>IFERROR(__xludf.DUMMYFUNCTION("""COMPUTED_VALUE"""),13.0)</f>
        <v>13</v>
      </c>
      <c r="AB375" s="402">
        <f>IFERROR(__xludf.DUMMYFUNCTION("""COMPUTED_VALUE"""),13.0)</f>
        <v>13</v>
      </c>
      <c r="AC375" s="343">
        <f>IFERROR(__xludf.DUMMYFUNCTION("""COMPUTED_VALUE"""),13.0)</f>
        <v>13</v>
      </c>
      <c r="AD375" s="402">
        <f>IFERROR(__xludf.DUMMYFUNCTION("""COMPUTED_VALUE"""),13.0)</f>
        <v>13</v>
      </c>
      <c r="AE375" s="343">
        <f>IFERROR(__xludf.DUMMYFUNCTION("""COMPUTED_VALUE"""),13.0)</f>
        <v>13</v>
      </c>
      <c r="AF375" s="343">
        <f>IFERROR(__xludf.DUMMYFUNCTION("""COMPUTED_VALUE"""),14.0)</f>
        <v>14</v>
      </c>
      <c r="AG375" s="343">
        <f>IFERROR(__xludf.DUMMYFUNCTION("""COMPUTED_VALUE"""),19.0)</f>
        <v>19</v>
      </c>
      <c r="AH375" s="343">
        <f>IFERROR(__xludf.DUMMYFUNCTION("""COMPUTED_VALUE"""),24.0)</f>
        <v>24</v>
      </c>
      <c r="AI375" s="385" t="str">
        <f>IFERROR(__xludf.DUMMYFUNCTION("""COMPUTED_VALUE"""),"持続型")</f>
        <v>持続型</v>
      </c>
      <c r="AJ375" s="399">
        <f>IFERROR(__xludf.DUMMYFUNCTION("""COMPUTED_VALUE"""),4.0)</f>
        <v>4</v>
      </c>
      <c r="AK375" s="400" t="str">
        <f>IFERROR(__xludf.DUMMYFUNCTION("""COMPUTED_VALUE"""),"効果値")</f>
        <v>効果値</v>
      </c>
      <c r="AL375" s="343">
        <f>IFERROR(__xludf.DUMMYFUNCTION("""COMPUTED_VALUE"""),8.0)</f>
        <v>8</v>
      </c>
      <c r="AM375" s="402">
        <f>IFERROR(__xludf.DUMMYFUNCTION("""COMPUTED_VALUE"""),8.0)</f>
        <v>8</v>
      </c>
      <c r="AN375" s="343">
        <f>IFERROR(__xludf.DUMMYFUNCTION("""COMPUTED_VALUE"""),8.0)</f>
        <v>8</v>
      </c>
      <c r="AO375" s="402">
        <f>IFERROR(__xludf.DUMMYFUNCTION("""COMPUTED_VALUE"""),8.0)</f>
        <v>8</v>
      </c>
      <c r="AP375" s="343">
        <f>IFERROR(__xludf.DUMMYFUNCTION("""COMPUTED_VALUE"""),8.0)</f>
        <v>8</v>
      </c>
      <c r="AQ375" s="343">
        <f>IFERROR(__xludf.DUMMYFUNCTION("""COMPUTED_VALUE"""),9.0)</f>
        <v>9</v>
      </c>
      <c r="AR375" s="343">
        <f>IFERROR(__xludf.DUMMYFUNCTION("""COMPUTED_VALUE"""),12.0)</f>
        <v>12</v>
      </c>
      <c r="AS375" s="343">
        <f>IFERROR(__xludf.DUMMYFUNCTION("""COMPUTED_VALUE"""),12.0)</f>
        <v>12</v>
      </c>
      <c r="AT375" s="385" t="str">
        <f>IFERROR(__xludf.DUMMYFUNCTION("""COMPUTED_VALUE"""),"超持続型")</f>
        <v>超持続型</v>
      </c>
      <c r="AU375" s="399">
        <f>IFERROR(__xludf.DUMMYFUNCTION("""COMPUTED_VALUE"""),4.0)</f>
        <v>4</v>
      </c>
      <c r="AV375" s="400" t="str">
        <f>IFERROR(__xludf.DUMMYFUNCTION("""COMPUTED_VALUE"""),"効果値")</f>
        <v>効果値</v>
      </c>
      <c r="AW375" s="403" t="str">
        <f>IFERROR(__xludf.DUMMYFUNCTION("""COMPUTED_VALUE"""),"-")</f>
        <v>-</v>
      </c>
      <c r="AX375" s="403" t="str">
        <f>IFERROR(__xludf.DUMMYFUNCTION("""COMPUTED_VALUE"""),"-")</f>
        <v>-</v>
      </c>
      <c r="AY375" s="403" t="str">
        <f>IFERROR(__xludf.DUMMYFUNCTION("""COMPUTED_VALUE"""),"-")</f>
        <v>-</v>
      </c>
      <c r="AZ375" s="403" t="str">
        <f>IFERROR(__xludf.DUMMYFUNCTION("""COMPUTED_VALUE"""),"-")</f>
        <v>-</v>
      </c>
      <c r="BA375" s="403" t="str">
        <f>IFERROR(__xludf.DUMMYFUNCTION("""COMPUTED_VALUE"""),"-")</f>
        <v>-</v>
      </c>
      <c r="BB375" s="343">
        <f>IFERROR(__xludf.DUMMYFUNCTION("""COMPUTED_VALUE"""),9.0)</f>
        <v>9</v>
      </c>
      <c r="BC375" s="343">
        <f>IFERROR(__xludf.DUMMYFUNCTION("""COMPUTED_VALUE"""),12.0)</f>
        <v>12</v>
      </c>
      <c r="BD375" s="343">
        <f>IFERROR(__xludf.DUMMYFUNCTION("""COMPUTED_VALUE"""),12.0)</f>
        <v>12</v>
      </c>
      <c r="BE375" s="385" t="str">
        <f>IFERROR(__xludf.DUMMYFUNCTION("""COMPUTED_VALUE"""),"ハイブリッド型")</f>
        <v>ハイブリッド型</v>
      </c>
      <c r="BF375" s="399">
        <f>IFERROR(__xludf.DUMMYFUNCTION("""COMPUTED_VALUE"""),4.0)</f>
        <v>4</v>
      </c>
      <c r="BG375" s="400" t="str">
        <f>IFERROR(__xludf.DUMMYFUNCTION("""COMPUTED_VALUE"""),"効果値")</f>
        <v>効果値</v>
      </c>
      <c r="BH375" s="411">
        <f>IFERROR(__xludf.DUMMYFUNCTION("""COMPUTED_VALUE"""),11.8)</f>
        <v>11.8</v>
      </c>
      <c r="BI375" s="412">
        <f>IFERROR(__xludf.DUMMYFUNCTION("""COMPUTED_VALUE"""),12.4)</f>
        <v>12.4</v>
      </c>
      <c r="BJ375" s="412">
        <f>IFERROR(__xludf.DUMMYFUNCTION("""COMPUTED_VALUE"""),13.1)</f>
        <v>13.1</v>
      </c>
      <c r="BK375" s="412">
        <f>IFERROR(__xludf.DUMMYFUNCTION("""COMPUTED_VALUE"""),13.7)</f>
        <v>13.7</v>
      </c>
      <c r="BL375" s="412">
        <f>IFERROR(__xludf.DUMMYFUNCTION("""COMPUTED_VALUE"""),14.4)</f>
        <v>14.4</v>
      </c>
      <c r="BM375" s="412">
        <f>IFERROR(__xludf.DUMMYFUNCTION("""COMPUTED_VALUE"""),19.4)</f>
        <v>19.4</v>
      </c>
      <c r="BN375" s="412">
        <f>IFERROR(__xludf.DUMMYFUNCTION("""COMPUTED_VALUE"""),24.0)</f>
        <v>24</v>
      </c>
      <c r="BO375" s="413">
        <f>IFERROR(__xludf.DUMMYFUNCTION("""COMPUTED_VALUE"""),29.0)</f>
        <v>29</v>
      </c>
    </row>
    <row r="376">
      <c r="A376" s="435" t="str">
        <f>IFERROR(__xludf.DUMMYFUNCTION("""COMPUTED_VALUE"""),"攻撃力Down(アタック)")</f>
        <v>攻撃力Down(アタック)</v>
      </c>
      <c r="B376" s="385" t="str">
        <f>IFERROR(__xludf.DUMMYFUNCTION("""COMPUTED_VALUE"""),"超瞬間型")</f>
        <v>超瞬間型</v>
      </c>
      <c r="C376" s="386">
        <f>IFERROR(__xludf.DUMMYFUNCTION("""COMPUTED_VALUE"""),4.0)</f>
        <v>4</v>
      </c>
      <c r="D376" s="387" t="str">
        <f>IFERROR(__xludf.DUMMYFUNCTION("""COMPUTED_VALUE"""),"効果時間")</f>
        <v>効果時間</v>
      </c>
      <c r="E376" s="388" t="str">
        <f>IFERROR(__xludf.DUMMYFUNCTION("""COMPUTED_VALUE"""),"-")</f>
        <v>-</v>
      </c>
      <c r="F376" s="389" t="str">
        <f>IFERROR(__xludf.DUMMYFUNCTION("""COMPUTED_VALUE"""),"-")</f>
        <v>-</v>
      </c>
      <c r="G376" s="388" t="str">
        <f>IFERROR(__xludf.DUMMYFUNCTION("""COMPUTED_VALUE"""),"-")</f>
        <v>-</v>
      </c>
      <c r="H376" s="389" t="str">
        <f>IFERROR(__xludf.DUMMYFUNCTION("""COMPUTED_VALUE"""),"-")</f>
        <v>-</v>
      </c>
      <c r="I376" s="388" t="str">
        <f>IFERROR(__xludf.DUMMYFUNCTION("""COMPUTED_VALUE"""),"-")</f>
        <v>-</v>
      </c>
      <c r="J376" s="390">
        <f>IFERROR(__xludf.DUMMYFUNCTION("""COMPUTED_VALUE"""),155.0)</f>
        <v>155</v>
      </c>
      <c r="K376" s="391">
        <f>IFERROR(__xludf.DUMMYFUNCTION("""COMPUTED_VALUE"""),170.0)</f>
        <v>170</v>
      </c>
      <c r="L376" s="340">
        <f>IFERROR(__xludf.DUMMYFUNCTION("""COMPUTED_VALUE"""),195.0)</f>
        <v>195</v>
      </c>
      <c r="M376" s="385" t="str">
        <f>IFERROR(__xludf.DUMMYFUNCTION("""COMPUTED_VALUE"""),"瞬間型")</f>
        <v>瞬間型</v>
      </c>
      <c r="N376" s="386">
        <f>IFERROR(__xludf.DUMMYFUNCTION("""COMPUTED_VALUE"""),4.0)</f>
        <v>4</v>
      </c>
      <c r="O376" s="387" t="str">
        <f>IFERROR(__xludf.DUMMYFUNCTION("""COMPUTED_VALUE"""),"効果時間")</f>
        <v>効果時間</v>
      </c>
      <c r="P376" s="280">
        <f>IFERROR(__xludf.DUMMYFUNCTION("""COMPUTED_VALUE"""),170.0)</f>
        <v>170</v>
      </c>
      <c r="Q376" s="275">
        <f>IFERROR(__xludf.DUMMYFUNCTION("""COMPUTED_VALUE"""),180.0)</f>
        <v>180</v>
      </c>
      <c r="R376" s="280">
        <f>IFERROR(__xludf.DUMMYFUNCTION("""COMPUTED_VALUE"""),185.0)</f>
        <v>185</v>
      </c>
      <c r="S376" s="275">
        <f>IFERROR(__xludf.DUMMYFUNCTION("""COMPUTED_VALUE"""),195.0)</f>
        <v>195</v>
      </c>
      <c r="T376" s="280">
        <f>IFERROR(__xludf.DUMMYFUNCTION("""COMPUTED_VALUE"""),200.0)</f>
        <v>200</v>
      </c>
      <c r="U376" s="280">
        <f>IFERROR(__xludf.DUMMYFUNCTION("""COMPUTED_VALUE"""),215.0)</f>
        <v>215</v>
      </c>
      <c r="V376" s="280">
        <f>IFERROR(__xludf.DUMMYFUNCTION("""COMPUTED_VALUE"""),285.0)</f>
        <v>285</v>
      </c>
      <c r="W376" s="280">
        <f>IFERROR(__xludf.DUMMYFUNCTION("""COMPUTED_VALUE"""),305.0)</f>
        <v>305</v>
      </c>
      <c r="X376" s="385" t="str">
        <f>IFERROR(__xludf.DUMMYFUNCTION("""COMPUTED_VALUE"""),"安定型")</f>
        <v>安定型</v>
      </c>
      <c r="Y376" s="386">
        <f>IFERROR(__xludf.DUMMYFUNCTION("""COMPUTED_VALUE"""),4.0)</f>
        <v>4</v>
      </c>
      <c r="Z376" s="387" t="str">
        <f>IFERROR(__xludf.DUMMYFUNCTION("""COMPUTED_VALUE"""),"効果時間")</f>
        <v>効果時間</v>
      </c>
      <c r="AA376" s="280">
        <f>IFERROR(__xludf.DUMMYFUNCTION("""COMPUTED_VALUE"""),320.0)</f>
        <v>320</v>
      </c>
      <c r="AB376" s="275">
        <f>IFERROR(__xludf.DUMMYFUNCTION("""COMPUTED_VALUE"""),330.0)</f>
        <v>330</v>
      </c>
      <c r="AC376" s="280">
        <f>IFERROR(__xludf.DUMMYFUNCTION("""COMPUTED_VALUE"""),335.0)</f>
        <v>335</v>
      </c>
      <c r="AD376" s="275">
        <f>IFERROR(__xludf.DUMMYFUNCTION("""COMPUTED_VALUE"""),345.0)</f>
        <v>345</v>
      </c>
      <c r="AE376" s="280">
        <f>IFERROR(__xludf.DUMMYFUNCTION("""COMPUTED_VALUE"""),350.0)</f>
        <v>350</v>
      </c>
      <c r="AF376" s="280">
        <f>IFERROR(__xludf.DUMMYFUNCTION("""COMPUTED_VALUE"""),390.0)</f>
        <v>390</v>
      </c>
      <c r="AG376" s="280">
        <f>IFERROR(__xludf.DUMMYFUNCTION("""COMPUTED_VALUE"""),435.0)</f>
        <v>435</v>
      </c>
      <c r="AH376" s="280">
        <f>IFERROR(__xludf.DUMMYFUNCTION("""COMPUTED_VALUE"""),455.0)</f>
        <v>455</v>
      </c>
      <c r="AI376" s="385" t="str">
        <f>IFERROR(__xludf.DUMMYFUNCTION("""COMPUTED_VALUE"""),"持続型")</f>
        <v>持続型</v>
      </c>
      <c r="AJ376" s="386">
        <f>IFERROR(__xludf.DUMMYFUNCTION("""COMPUTED_VALUE"""),4.0)</f>
        <v>4</v>
      </c>
      <c r="AK376" s="387" t="str">
        <f>IFERROR(__xludf.DUMMYFUNCTION("""COMPUTED_VALUE"""),"効果時間")</f>
        <v>効果時間</v>
      </c>
      <c r="AL376" s="280">
        <f>IFERROR(__xludf.DUMMYFUNCTION("""COMPUTED_VALUE"""),470.0)</f>
        <v>470</v>
      </c>
      <c r="AM376" s="275">
        <f>IFERROR(__xludf.DUMMYFUNCTION("""COMPUTED_VALUE"""),480.0)</f>
        <v>480</v>
      </c>
      <c r="AN376" s="280">
        <f>IFERROR(__xludf.DUMMYFUNCTION("""COMPUTED_VALUE"""),485.0)</f>
        <v>485</v>
      </c>
      <c r="AO376" s="275">
        <f>IFERROR(__xludf.DUMMYFUNCTION("""COMPUTED_VALUE"""),495.0)</f>
        <v>495</v>
      </c>
      <c r="AP376" s="280">
        <f>IFERROR(__xludf.DUMMYFUNCTION("""COMPUTED_VALUE"""),500.0)</f>
        <v>500</v>
      </c>
      <c r="AQ376" s="280">
        <f>IFERROR(__xludf.DUMMYFUNCTION("""COMPUTED_VALUE"""),540.0)</f>
        <v>540</v>
      </c>
      <c r="AR376" s="280">
        <f>IFERROR(__xludf.DUMMYFUNCTION("""COMPUTED_VALUE"""),585.0)</f>
        <v>585</v>
      </c>
      <c r="AS376" s="280">
        <f>IFERROR(__xludf.DUMMYFUNCTION("""COMPUTED_VALUE"""),605.0)</f>
        <v>605</v>
      </c>
      <c r="AT376" s="385" t="str">
        <f>IFERROR(__xludf.DUMMYFUNCTION("""COMPUTED_VALUE"""),"超持続型")</f>
        <v>超持続型</v>
      </c>
      <c r="AU376" s="386">
        <f>IFERROR(__xludf.DUMMYFUNCTION("""COMPUTED_VALUE"""),4.0)</f>
        <v>4</v>
      </c>
      <c r="AV376" s="387" t="str">
        <f>IFERROR(__xludf.DUMMYFUNCTION("""COMPUTED_VALUE"""),"効果時間")</f>
        <v>効果時間</v>
      </c>
      <c r="AW376" s="368" t="str">
        <f>IFERROR(__xludf.DUMMYFUNCTION("""COMPUTED_VALUE"""),"-")</f>
        <v>-</v>
      </c>
      <c r="AX376" s="368" t="str">
        <f>IFERROR(__xludf.DUMMYFUNCTION("""COMPUTED_VALUE"""),"-")</f>
        <v>-</v>
      </c>
      <c r="AY376" s="368" t="str">
        <f>IFERROR(__xludf.DUMMYFUNCTION("""COMPUTED_VALUE"""),"-")</f>
        <v>-</v>
      </c>
      <c r="AZ376" s="368" t="str">
        <f>IFERROR(__xludf.DUMMYFUNCTION("""COMPUTED_VALUE"""),"-")</f>
        <v>-</v>
      </c>
      <c r="BA376" s="368" t="str">
        <f>IFERROR(__xludf.DUMMYFUNCTION("""COMPUTED_VALUE"""),"-")</f>
        <v>-</v>
      </c>
      <c r="BB376" s="280">
        <f>IFERROR(__xludf.DUMMYFUNCTION("""COMPUTED_VALUE"""),645.0)</f>
        <v>645</v>
      </c>
      <c r="BC376" s="280">
        <f>IFERROR(__xludf.DUMMYFUNCTION("""COMPUTED_VALUE"""),735.0)</f>
        <v>735</v>
      </c>
      <c r="BD376" s="280">
        <f>IFERROR(__xludf.DUMMYFUNCTION("""COMPUTED_VALUE"""),755.0)</f>
        <v>755</v>
      </c>
      <c r="BE376" s="385" t="str">
        <f>IFERROR(__xludf.DUMMYFUNCTION("""COMPUTED_VALUE"""),"ハイブリッド型")</f>
        <v>ハイブリッド型</v>
      </c>
      <c r="BF376" s="386">
        <f>IFERROR(__xludf.DUMMYFUNCTION("""COMPUTED_VALUE"""),4.0)</f>
        <v>4</v>
      </c>
      <c r="BG376" s="387" t="str">
        <f>IFERROR(__xludf.DUMMYFUNCTION("""COMPUTED_VALUE"""),"効果時間")</f>
        <v>効果時間</v>
      </c>
      <c r="BH376" s="417">
        <f>IFERROR(__xludf.DUMMYFUNCTION("""COMPUTED_VALUE"""),240.0)</f>
        <v>240</v>
      </c>
      <c r="BI376" s="417">
        <f>IFERROR(__xludf.DUMMYFUNCTION("""COMPUTED_VALUE"""),255.0)</f>
        <v>255</v>
      </c>
      <c r="BJ376" s="417">
        <f>IFERROR(__xludf.DUMMYFUNCTION("""COMPUTED_VALUE"""),265.0)</f>
        <v>265</v>
      </c>
      <c r="BK376" s="418">
        <f>IFERROR(__xludf.DUMMYFUNCTION("""COMPUTED_VALUE"""),275.0)</f>
        <v>275</v>
      </c>
      <c r="BL376" s="417">
        <f>IFERROR(__xludf.DUMMYFUNCTION("""COMPUTED_VALUE"""),285.0)</f>
        <v>285</v>
      </c>
      <c r="BM376" s="418">
        <f>IFERROR(__xludf.DUMMYFUNCTION("""COMPUTED_VALUE"""),395.0)</f>
        <v>395</v>
      </c>
      <c r="BN376" s="417">
        <f>IFERROR(__xludf.DUMMYFUNCTION("""COMPUTED_VALUE"""),500.0)</f>
        <v>500</v>
      </c>
      <c r="BO376" s="418">
        <f>IFERROR(__xludf.DUMMYFUNCTION("""COMPUTED_VALUE"""),520.0)</f>
        <v>520</v>
      </c>
    </row>
    <row r="377">
      <c r="A377" s="435" t="str">
        <f>IFERROR(__xludf.DUMMYFUNCTION("""COMPUTED_VALUE"""),"攻撃力Down(アタック)")</f>
        <v>攻撃力Down(アタック)</v>
      </c>
      <c r="B377" s="385" t="str">
        <f>IFERROR(__xludf.DUMMYFUNCTION("""COMPUTED_VALUE"""),"超瞬間型")</f>
        <v>超瞬間型</v>
      </c>
      <c r="C377" s="399">
        <f>IFERROR(__xludf.DUMMYFUNCTION("""COMPUTED_VALUE"""),5.0)</f>
        <v>5</v>
      </c>
      <c r="D377" s="400" t="str">
        <f>IFERROR(__xludf.DUMMYFUNCTION("""COMPUTED_VALUE"""),"効果値")</f>
        <v>効果値</v>
      </c>
      <c r="E377" s="419" t="str">
        <f>IFERROR(__xludf.DUMMYFUNCTION("""COMPUTED_VALUE"""),"-")</f>
        <v>-</v>
      </c>
      <c r="F377" s="409" t="str">
        <f>IFERROR(__xludf.DUMMYFUNCTION("""COMPUTED_VALUE"""),"-")</f>
        <v>-</v>
      </c>
      <c r="G377" s="409" t="str">
        <f>IFERROR(__xludf.DUMMYFUNCTION("""COMPUTED_VALUE"""),"-")</f>
        <v>-</v>
      </c>
      <c r="H377" s="409" t="str">
        <f>IFERROR(__xludf.DUMMYFUNCTION("""COMPUTED_VALUE"""),"-")</f>
        <v>-</v>
      </c>
      <c r="I377" s="409" t="str">
        <f>IFERROR(__xludf.DUMMYFUNCTION("""COMPUTED_VALUE"""),"-")</f>
        <v>-</v>
      </c>
      <c r="J377" s="420">
        <f>IFERROR(__xludf.DUMMYFUNCTION("""COMPUTED_VALUE"""),60.0)</f>
        <v>60</v>
      </c>
      <c r="K377" s="421">
        <f>IFERROR(__xludf.DUMMYFUNCTION("""COMPUTED_VALUE"""),70.0)</f>
        <v>70</v>
      </c>
      <c r="L377" s="421">
        <f>IFERROR(__xludf.DUMMYFUNCTION("""COMPUTED_VALUE"""),75.0)</f>
        <v>75</v>
      </c>
      <c r="M377" s="385" t="str">
        <f>IFERROR(__xludf.DUMMYFUNCTION("""COMPUTED_VALUE"""),"瞬間型")</f>
        <v>瞬間型</v>
      </c>
      <c r="N377" s="399">
        <f>IFERROR(__xludf.DUMMYFUNCTION("""COMPUTED_VALUE"""),5.0)</f>
        <v>5</v>
      </c>
      <c r="O377" s="400" t="str">
        <f>IFERROR(__xludf.DUMMYFUNCTION("""COMPUTED_VALUE"""),"効果値")</f>
        <v>効果値</v>
      </c>
      <c r="P377" s="422">
        <f>IFERROR(__xludf.DUMMYFUNCTION("""COMPUTED_VALUE"""),23.0)</f>
        <v>23</v>
      </c>
      <c r="Q377" s="423">
        <f>IFERROR(__xludf.DUMMYFUNCTION("""COMPUTED_VALUE"""),23.0)</f>
        <v>23</v>
      </c>
      <c r="R377" s="422">
        <f>IFERROR(__xludf.DUMMYFUNCTION("""COMPUTED_VALUE"""),24.0)</f>
        <v>24</v>
      </c>
      <c r="S377" s="423">
        <f>IFERROR(__xludf.DUMMYFUNCTION("""COMPUTED_VALUE"""),24.0)</f>
        <v>24</v>
      </c>
      <c r="T377" s="422">
        <f>IFERROR(__xludf.DUMMYFUNCTION("""COMPUTED_VALUE"""),24.0)</f>
        <v>24</v>
      </c>
      <c r="U377" s="423">
        <f>IFERROR(__xludf.DUMMYFUNCTION("""COMPUTED_VALUE"""),30.0)</f>
        <v>30</v>
      </c>
      <c r="V377" s="423">
        <f>IFERROR(__xludf.DUMMYFUNCTION("""COMPUTED_VALUE"""),35.0)</f>
        <v>35</v>
      </c>
      <c r="W377" s="424">
        <f>IFERROR(__xludf.DUMMYFUNCTION("""COMPUTED_VALUE"""),40.0)</f>
        <v>40</v>
      </c>
      <c r="X377" s="385" t="str">
        <f>IFERROR(__xludf.DUMMYFUNCTION("""COMPUTED_VALUE"""),"安定型")</f>
        <v>安定型</v>
      </c>
      <c r="Y377" s="399">
        <f>IFERROR(__xludf.DUMMYFUNCTION("""COMPUTED_VALUE"""),5.0)</f>
        <v>5</v>
      </c>
      <c r="Z377" s="400" t="str">
        <f>IFERROR(__xludf.DUMMYFUNCTION("""COMPUTED_VALUE"""),"効果値")</f>
        <v>効果値</v>
      </c>
      <c r="AA377" s="422">
        <f>IFERROR(__xludf.DUMMYFUNCTION("""COMPUTED_VALUE"""),13.0)</f>
        <v>13</v>
      </c>
      <c r="AB377" s="423">
        <f>IFERROR(__xludf.DUMMYFUNCTION("""COMPUTED_VALUE"""),13.0)</f>
        <v>13</v>
      </c>
      <c r="AC377" s="422">
        <f>IFERROR(__xludf.DUMMYFUNCTION("""COMPUTED_VALUE"""),14.0)</f>
        <v>14</v>
      </c>
      <c r="AD377" s="423">
        <f>IFERROR(__xludf.DUMMYFUNCTION("""COMPUTED_VALUE"""),14.0)</f>
        <v>14</v>
      </c>
      <c r="AE377" s="422">
        <f>IFERROR(__xludf.DUMMYFUNCTION("""COMPUTED_VALUE"""),14.0)</f>
        <v>14</v>
      </c>
      <c r="AF377" s="423">
        <f>IFERROR(__xludf.DUMMYFUNCTION("""COMPUTED_VALUE"""),15.0)</f>
        <v>15</v>
      </c>
      <c r="AG377" s="423">
        <f>IFERROR(__xludf.DUMMYFUNCTION("""COMPUTED_VALUE"""),20.0)</f>
        <v>20</v>
      </c>
      <c r="AH377" s="424">
        <f>IFERROR(__xludf.DUMMYFUNCTION("""COMPUTED_VALUE"""),25.0)</f>
        <v>25</v>
      </c>
      <c r="AI377" s="385" t="str">
        <f>IFERROR(__xludf.DUMMYFUNCTION("""COMPUTED_VALUE"""),"持続型")</f>
        <v>持続型</v>
      </c>
      <c r="AJ377" s="399">
        <f>IFERROR(__xludf.DUMMYFUNCTION("""COMPUTED_VALUE"""),5.0)</f>
        <v>5</v>
      </c>
      <c r="AK377" s="400" t="str">
        <f>IFERROR(__xludf.DUMMYFUNCTION("""COMPUTED_VALUE"""),"効果値")</f>
        <v>効果値</v>
      </c>
      <c r="AL377" s="422">
        <f>IFERROR(__xludf.DUMMYFUNCTION("""COMPUTED_VALUE"""),8.0)</f>
        <v>8</v>
      </c>
      <c r="AM377" s="423">
        <f>IFERROR(__xludf.DUMMYFUNCTION("""COMPUTED_VALUE"""),8.0)</f>
        <v>8</v>
      </c>
      <c r="AN377" s="422">
        <f>IFERROR(__xludf.DUMMYFUNCTION("""COMPUTED_VALUE"""),9.0)</f>
        <v>9</v>
      </c>
      <c r="AO377" s="423">
        <f>IFERROR(__xludf.DUMMYFUNCTION("""COMPUTED_VALUE"""),9.0)</f>
        <v>9</v>
      </c>
      <c r="AP377" s="422">
        <f>IFERROR(__xludf.DUMMYFUNCTION("""COMPUTED_VALUE"""),9.0)</f>
        <v>9</v>
      </c>
      <c r="AQ377" s="423">
        <f>IFERROR(__xludf.DUMMYFUNCTION("""COMPUTED_VALUE"""),10.0)</f>
        <v>10</v>
      </c>
      <c r="AR377" s="423">
        <f>IFERROR(__xludf.DUMMYFUNCTION("""COMPUTED_VALUE"""),12.0)</f>
        <v>12</v>
      </c>
      <c r="AS377" s="424">
        <f>IFERROR(__xludf.DUMMYFUNCTION("""COMPUTED_VALUE"""),12.0)</f>
        <v>12</v>
      </c>
      <c r="AT377" s="385" t="str">
        <f>IFERROR(__xludf.DUMMYFUNCTION("""COMPUTED_VALUE"""),"超持続型")</f>
        <v>超持続型</v>
      </c>
      <c r="AU377" s="399">
        <f>IFERROR(__xludf.DUMMYFUNCTION("""COMPUTED_VALUE"""),5.0)</f>
        <v>5</v>
      </c>
      <c r="AV377" s="400" t="str">
        <f>IFERROR(__xludf.DUMMYFUNCTION("""COMPUTED_VALUE"""),"効果値")</f>
        <v>効果値</v>
      </c>
      <c r="AW377" s="425" t="str">
        <f>IFERROR(__xludf.DUMMYFUNCTION("""COMPUTED_VALUE"""),"-")</f>
        <v>-</v>
      </c>
      <c r="AX377" s="426" t="str">
        <f>IFERROR(__xludf.DUMMYFUNCTION("""COMPUTED_VALUE"""),"-")</f>
        <v>-</v>
      </c>
      <c r="AY377" s="426" t="str">
        <f>IFERROR(__xludf.DUMMYFUNCTION("""COMPUTED_VALUE"""),"-")</f>
        <v>-</v>
      </c>
      <c r="AZ377" s="426" t="str">
        <f>IFERROR(__xludf.DUMMYFUNCTION("""COMPUTED_VALUE"""),"-")</f>
        <v>-</v>
      </c>
      <c r="BA377" s="426" t="str">
        <f>IFERROR(__xludf.DUMMYFUNCTION("""COMPUTED_VALUE"""),"-")</f>
        <v>-</v>
      </c>
      <c r="BB377" s="423">
        <f>IFERROR(__xludf.DUMMYFUNCTION("""COMPUTED_VALUE"""),10.0)</f>
        <v>10</v>
      </c>
      <c r="BC377" s="423">
        <f>IFERROR(__xludf.DUMMYFUNCTION("""COMPUTED_VALUE"""),12.0)</f>
        <v>12</v>
      </c>
      <c r="BD377" s="424">
        <f>IFERROR(__xludf.DUMMYFUNCTION("""COMPUTED_VALUE"""),12.0)</f>
        <v>12</v>
      </c>
      <c r="BE377" s="385" t="str">
        <f>IFERROR(__xludf.DUMMYFUNCTION("""COMPUTED_VALUE"""),"ハイブリッド型")</f>
        <v>ハイブリッド型</v>
      </c>
      <c r="BF377" s="399">
        <f>IFERROR(__xludf.DUMMYFUNCTION("""COMPUTED_VALUE"""),5.0)</f>
        <v>5</v>
      </c>
      <c r="BG377" s="400" t="str">
        <f>IFERROR(__xludf.DUMMYFUNCTION("""COMPUTED_VALUE"""),"効果値")</f>
        <v>効果値</v>
      </c>
      <c r="BH377" s="427">
        <f>IFERROR(__xludf.DUMMYFUNCTION("""COMPUTED_VALUE"""),12.0)</f>
        <v>12</v>
      </c>
      <c r="BI377" s="428">
        <f>IFERROR(__xludf.DUMMYFUNCTION("""COMPUTED_VALUE"""),12.75)</f>
        <v>12.75</v>
      </c>
      <c r="BJ377" s="428">
        <f>IFERROR(__xludf.DUMMYFUNCTION("""COMPUTED_VALUE"""),13.5)</f>
        <v>13.5</v>
      </c>
      <c r="BK377" s="428">
        <f>IFERROR(__xludf.DUMMYFUNCTION("""COMPUTED_VALUE"""),14.25)</f>
        <v>14.25</v>
      </c>
      <c r="BL377" s="427">
        <f>IFERROR(__xludf.DUMMYFUNCTION("""COMPUTED_VALUE"""),15.0)</f>
        <v>15</v>
      </c>
      <c r="BM377" s="427">
        <f>IFERROR(__xludf.DUMMYFUNCTION("""COMPUTED_VALUE"""),20.0)</f>
        <v>20</v>
      </c>
      <c r="BN377" s="427">
        <f>IFERROR(__xludf.DUMMYFUNCTION("""COMPUTED_VALUE"""),25.0)</f>
        <v>25</v>
      </c>
      <c r="BO377" s="429">
        <f>IFERROR(__xludf.DUMMYFUNCTION("""COMPUTED_VALUE"""),30.0)</f>
        <v>30</v>
      </c>
    </row>
    <row r="378">
      <c r="A378" s="435" t="str">
        <f>IFERROR(__xludf.DUMMYFUNCTION("""COMPUTED_VALUE"""),"攻撃力Down(アタック)")</f>
        <v>攻撃力Down(アタック)</v>
      </c>
      <c r="B378" s="385" t="str">
        <f>IFERROR(__xludf.DUMMYFUNCTION("""COMPUTED_VALUE"""),"超瞬間型")</f>
        <v>超瞬間型</v>
      </c>
      <c r="C378" s="430">
        <f>IFERROR(__xludf.DUMMYFUNCTION("""COMPUTED_VALUE"""),5.0)</f>
        <v>5</v>
      </c>
      <c r="D378" s="431" t="str">
        <f>IFERROR(__xludf.DUMMYFUNCTION("""COMPUTED_VALUE"""),"効果時間")</f>
        <v>効果時間</v>
      </c>
      <c r="E378" s="388" t="str">
        <f>IFERROR(__xludf.DUMMYFUNCTION("""COMPUTED_VALUE"""),"-")</f>
        <v>-</v>
      </c>
      <c r="F378" s="389" t="str">
        <f>IFERROR(__xludf.DUMMYFUNCTION("""COMPUTED_VALUE"""),"-")</f>
        <v>-</v>
      </c>
      <c r="G378" s="388" t="str">
        <f>IFERROR(__xludf.DUMMYFUNCTION("""COMPUTED_VALUE"""),"-")</f>
        <v>-</v>
      </c>
      <c r="H378" s="389" t="str">
        <f>IFERROR(__xludf.DUMMYFUNCTION("""COMPUTED_VALUE"""),"-")</f>
        <v>-</v>
      </c>
      <c r="I378" s="388" t="str">
        <f>IFERROR(__xludf.DUMMYFUNCTION("""COMPUTED_VALUE"""),"-")</f>
        <v>-</v>
      </c>
      <c r="J378" s="390">
        <f>IFERROR(__xludf.DUMMYFUNCTION("""COMPUTED_VALUE"""),160.0)</f>
        <v>160</v>
      </c>
      <c r="K378" s="391">
        <f>IFERROR(__xludf.DUMMYFUNCTION("""COMPUTED_VALUE"""),175.0)</f>
        <v>175</v>
      </c>
      <c r="L378" s="340">
        <f>IFERROR(__xludf.DUMMYFUNCTION("""COMPUTED_VALUE"""),200.0)</f>
        <v>200</v>
      </c>
      <c r="M378" s="385" t="str">
        <f>IFERROR(__xludf.DUMMYFUNCTION("""COMPUTED_VALUE"""),"瞬間型")</f>
        <v>瞬間型</v>
      </c>
      <c r="N378" s="430">
        <f>IFERROR(__xludf.DUMMYFUNCTION("""COMPUTED_VALUE"""),5.0)</f>
        <v>5</v>
      </c>
      <c r="O378" s="431" t="str">
        <f>IFERROR(__xludf.DUMMYFUNCTION("""COMPUTED_VALUE"""),"効果時間")</f>
        <v>効果時間</v>
      </c>
      <c r="P378" s="392">
        <f>IFERROR(__xludf.DUMMYFUNCTION("""COMPUTED_VALUE"""),175.0)</f>
        <v>175</v>
      </c>
      <c r="Q378" s="414">
        <f>IFERROR(__xludf.DUMMYFUNCTION("""COMPUTED_VALUE"""),185.0)</f>
        <v>185</v>
      </c>
      <c r="R378" s="414">
        <f>IFERROR(__xludf.DUMMYFUNCTION("""COMPUTED_VALUE"""),190.0)</f>
        <v>190</v>
      </c>
      <c r="S378" s="414">
        <f>IFERROR(__xludf.DUMMYFUNCTION("""COMPUTED_VALUE"""),195.0)</f>
        <v>195</v>
      </c>
      <c r="T378" s="394">
        <f>IFERROR(__xludf.DUMMYFUNCTION("""COMPUTED_VALUE"""),200.0)</f>
        <v>200</v>
      </c>
      <c r="U378" s="394">
        <f>IFERROR(__xludf.DUMMYFUNCTION("""COMPUTED_VALUE"""),225.0)</f>
        <v>225</v>
      </c>
      <c r="V378" s="394">
        <f>IFERROR(__xludf.DUMMYFUNCTION("""COMPUTED_VALUE"""),300.0)</f>
        <v>300</v>
      </c>
      <c r="W378" s="394">
        <f>IFERROR(__xludf.DUMMYFUNCTION("""COMPUTED_VALUE"""),325.0)</f>
        <v>325</v>
      </c>
      <c r="X378" s="385" t="str">
        <f>IFERROR(__xludf.DUMMYFUNCTION("""COMPUTED_VALUE"""),"安定型")</f>
        <v>安定型</v>
      </c>
      <c r="Y378" s="430">
        <f>IFERROR(__xludf.DUMMYFUNCTION("""COMPUTED_VALUE"""),5.0)</f>
        <v>5</v>
      </c>
      <c r="Z378" s="431" t="str">
        <f>IFERROR(__xludf.DUMMYFUNCTION("""COMPUTED_VALUE"""),"効果時間")</f>
        <v>効果時間</v>
      </c>
      <c r="AA378" s="392">
        <f>IFERROR(__xludf.DUMMYFUNCTION("""COMPUTED_VALUE"""),325.0)</f>
        <v>325</v>
      </c>
      <c r="AB378" s="414">
        <f>IFERROR(__xludf.DUMMYFUNCTION("""COMPUTED_VALUE"""),335.0)</f>
        <v>335</v>
      </c>
      <c r="AC378" s="414">
        <f>IFERROR(__xludf.DUMMYFUNCTION("""COMPUTED_VALUE"""),340.0)</f>
        <v>340</v>
      </c>
      <c r="AD378" s="414">
        <f>IFERROR(__xludf.DUMMYFUNCTION("""COMPUTED_VALUE"""),345.0)</f>
        <v>345</v>
      </c>
      <c r="AE378" s="394">
        <f>IFERROR(__xludf.DUMMYFUNCTION("""COMPUTED_VALUE"""),350.0)</f>
        <v>350</v>
      </c>
      <c r="AF378" s="394">
        <f>IFERROR(__xludf.DUMMYFUNCTION("""COMPUTED_VALUE"""),400.0)</f>
        <v>400</v>
      </c>
      <c r="AG378" s="394">
        <f>IFERROR(__xludf.DUMMYFUNCTION("""COMPUTED_VALUE"""),450.0)</f>
        <v>450</v>
      </c>
      <c r="AH378" s="394">
        <f>IFERROR(__xludf.DUMMYFUNCTION("""COMPUTED_VALUE"""),475.0)</f>
        <v>475</v>
      </c>
      <c r="AI378" s="385" t="str">
        <f>IFERROR(__xludf.DUMMYFUNCTION("""COMPUTED_VALUE"""),"持続型")</f>
        <v>持続型</v>
      </c>
      <c r="AJ378" s="430">
        <f>IFERROR(__xludf.DUMMYFUNCTION("""COMPUTED_VALUE"""),5.0)</f>
        <v>5</v>
      </c>
      <c r="AK378" s="431" t="str">
        <f>IFERROR(__xludf.DUMMYFUNCTION("""COMPUTED_VALUE"""),"効果時間")</f>
        <v>効果時間</v>
      </c>
      <c r="AL378" s="392">
        <f>IFERROR(__xludf.DUMMYFUNCTION("""COMPUTED_VALUE"""),475.0)</f>
        <v>475</v>
      </c>
      <c r="AM378" s="414">
        <f>IFERROR(__xludf.DUMMYFUNCTION("""COMPUTED_VALUE"""),485.0)</f>
        <v>485</v>
      </c>
      <c r="AN378" s="414">
        <f>IFERROR(__xludf.DUMMYFUNCTION("""COMPUTED_VALUE"""),490.0)</f>
        <v>490</v>
      </c>
      <c r="AO378" s="414">
        <f>IFERROR(__xludf.DUMMYFUNCTION("""COMPUTED_VALUE"""),495.0)</f>
        <v>495</v>
      </c>
      <c r="AP378" s="394">
        <f>IFERROR(__xludf.DUMMYFUNCTION("""COMPUTED_VALUE"""),500.0)</f>
        <v>500</v>
      </c>
      <c r="AQ378" s="394">
        <f>IFERROR(__xludf.DUMMYFUNCTION("""COMPUTED_VALUE"""),550.0)</f>
        <v>550</v>
      </c>
      <c r="AR378" s="394">
        <f>IFERROR(__xludf.DUMMYFUNCTION("""COMPUTED_VALUE"""),600.0)</f>
        <v>600</v>
      </c>
      <c r="AS378" s="394">
        <f>IFERROR(__xludf.DUMMYFUNCTION("""COMPUTED_VALUE"""),625.0)</f>
        <v>625</v>
      </c>
      <c r="AT378" s="385" t="str">
        <f>IFERROR(__xludf.DUMMYFUNCTION("""COMPUTED_VALUE"""),"超持続型")</f>
        <v>超持続型</v>
      </c>
      <c r="AU378" s="430">
        <f>IFERROR(__xludf.DUMMYFUNCTION("""COMPUTED_VALUE"""),5.0)</f>
        <v>5</v>
      </c>
      <c r="AV378" s="431" t="str">
        <f>IFERROR(__xludf.DUMMYFUNCTION("""COMPUTED_VALUE"""),"効果時間")</f>
        <v>効果時間</v>
      </c>
      <c r="AW378" s="395" t="str">
        <f>IFERROR(__xludf.DUMMYFUNCTION("""COMPUTED_VALUE"""),"-")</f>
        <v>-</v>
      </c>
      <c r="AX378" s="396" t="str">
        <f>IFERROR(__xludf.DUMMYFUNCTION("""COMPUTED_VALUE"""),"-")</f>
        <v>-</v>
      </c>
      <c r="AY378" s="396" t="str">
        <f>IFERROR(__xludf.DUMMYFUNCTION("""COMPUTED_VALUE"""),"-")</f>
        <v>-</v>
      </c>
      <c r="AZ378" s="396" t="str">
        <f>IFERROR(__xludf.DUMMYFUNCTION("""COMPUTED_VALUE"""),"-")</f>
        <v>-</v>
      </c>
      <c r="BA378" s="396" t="str">
        <f>IFERROR(__xludf.DUMMYFUNCTION("""COMPUTED_VALUE"""),"-")</f>
        <v>-</v>
      </c>
      <c r="BB378" s="393">
        <f>IFERROR(__xludf.DUMMYFUNCTION("""COMPUTED_VALUE"""),650.0)</f>
        <v>650</v>
      </c>
      <c r="BC378" s="393">
        <f>IFERROR(__xludf.DUMMYFUNCTION("""COMPUTED_VALUE"""),750.0)</f>
        <v>750</v>
      </c>
      <c r="BD378" s="394">
        <f>IFERROR(__xludf.DUMMYFUNCTION("""COMPUTED_VALUE"""),775.0)</f>
        <v>775</v>
      </c>
      <c r="BE378" s="385" t="str">
        <f>IFERROR(__xludf.DUMMYFUNCTION("""COMPUTED_VALUE"""),"ハイブリッド型")</f>
        <v>ハイブリッド型</v>
      </c>
      <c r="BF378" s="430">
        <f>IFERROR(__xludf.DUMMYFUNCTION("""COMPUTED_VALUE"""),5.0)</f>
        <v>5</v>
      </c>
      <c r="BG378" s="431" t="str">
        <f>IFERROR(__xludf.DUMMYFUNCTION("""COMPUTED_VALUE"""),"効果時間")</f>
        <v>効果時間</v>
      </c>
      <c r="BH378" s="304">
        <f>IFERROR(__xludf.DUMMYFUNCTION("""COMPUTED_VALUE"""),250.0)</f>
        <v>250</v>
      </c>
      <c r="BI378" s="432">
        <f>IFERROR(__xludf.DUMMYFUNCTION("""COMPUTED_VALUE"""),265.0)</f>
        <v>265</v>
      </c>
      <c r="BJ378" s="432">
        <f>IFERROR(__xludf.DUMMYFUNCTION("""COMPUTED_VALUE"""),275.0)</f>
        <v>275</v>
      </c>
      <c r="BK378" s="432">
        <f>IFERROR(__xludf.DUMMYFUNCTION("""COMPUTED_VALUE"""),290.0)</f>
        <v>290</v>
      </c>
      <c r="BL378" s="304">
        <f>IFERROR(__xludf.DUMMYFUNCTION("""COMPUTED_VALUE"""),300.0)</f>
        <v>300</v>
      </c>
      <c r="BM378" s="304">
        <f>IFERROR(__xludf.DUMMYFUNCTION("""COMPUTED_VALUE"""),400.0)</f>
        <v>400</v>
      </c>
      <c r="BN378" s="304">
        <f>IFERROR(__xludf.DUMMYFUNCTION("""COMPUTED_VALUE"""),500.0)</f>
        <v>500</v>
      </c>
      <c r="BO378" s="304">
        <f>IFERROR(__xludf.DUMMYFUNCTION("""COMPUTED_VALUE"""),525.0)</f>
        <v>525</v>
      </c>
    </row>
    <row r="379">
      <c r="A379" s="433" t="str">
        <f>IFERROR(__xludf.DUMMYFUNCTION("""COMPUTED_VALUE"""),"攻撃力Down(テクニカル)")</f>
        <v>攻撃力Down(テクニカル)</v>
      </c>
      <c r="B379" s="374" t="str">
        <f>IFERROR(__xludf.DUMMYFUNCTION("""COMPUTED_VALUE"""),"超瞬間型")</f>
        <v>超瞬間型</v>
      </c>
      <c r="C379" s="375">
        <f>IFERROR(__xludf.DUMMYFUNCTION("""COMPUTED_VALUE"""),1.0)</f>
        <v>1</v>
      </c>
      <c r="D379" s="376" t="str">
        <f>IFERROR(__xludf.DUMMYFUNCTION("""COMPUTED_VALUE"""),"効果値")</f>
        <v>効果値</v>
      </c>
      <c r="E379" s="377" t="str">
        <f>IFERROR(__xludf.DUMMYFUNCTION("""COMPUTED_VALUE"""),"-")</f>
        <v>-</v>
      </c>
      <c r="F379" s="378" t="str">
        <f>IFERROR(__xludf.DUMMYFUNCTION("""COMPUTED_VALUE"""),"-")</f>
        <v>-</v>
      </c>
      <c r="G379" s="377" t="str">
        <f>IFERROR(__xludf.DUMMYFUNCTION("""COMPUTED_VALUE"""),"-")</f>
        <v>-</v>
      </c>
      <c r="H379" s="378" t="str">
        <f>IFERROR(__xludf.DUMMYFUNCTION("""COMPUTED_VALUE"""),"-")</f>
        <v>-</v>
      </c>
      <c r="I379" s="377" t="str">
        <f>IFERROR(__xludf.DUMMYFUNCTION("""COMPUTED_VALUE"""),"-")</f>
        <v>-</v>
      </c>
      <c r="J379" s="379">
        <f>IFERROR(__xludf.DUMMYFUNCTION("""COMPUTED_VALUE"""),55.0)</f>
        <v>55</v>
      </c>
      <c r="K379" s="294">
        <f>IFERROR(__xludf.DUMMYFUNCTION("""COMPUTED_VALUE"""),65.0)</f>
        <v>65</v>
      </c>
      <c r="L379" s="294">
        <f>IFERROR(__xludf.DUMMYFUNCTION("""COMPUTED_VALUE"""),65.0)</f>
        <v>65</v>
      </c>
      <c r="M379" s="374" t="str">
        <f>IFERROR(__xludf.DUMMYFUNCTION("""COMPUTED_VALUE"""),"瞬間型")</f>
        <v>瞬間型</v>
      </c>
      <c r="N379" s="375">
        <f>IFERROR(__xludf.DUMMYFUNCTION("""COMPUTED_VALUE"""),1.0)</f>
        <v>1</v>
      </c>
      <c r="O379" s="376" t="str">
        <f>IFERROR(__xludf.DUMMYFUNCTION("""COMPUTED_VALUE"""),"効果値")</f>
        <v>効果値</v>
      </c>
      <c r="P379" s="380">
        <f>IFERROR(__xludf.DUMMYFUNCTION("""COMPUTED_VALUE"""),20.0)</f>
        <v>20</v>
      </c>
      <c r="Q379" s="263">
        <f>IFERROR(__xludf.DUMMYFUNCTION("""COMPUTED_VALUE"""),20.0)</f>
        <v>20</v>
      </c>
      <c r="R379" s="263">
        <f>IFERROR(__xludf.DUMMYFUNCTION("""COMPUTED_VALUE"""),20.0)</f>
        <v>20</v>
      </c>
      <c r="S379" s="263">
        <f>IFERROR(__xludf.DUMMYFUNCTION("""COMPUTED_VALUE"""),20.0)</f>
        <v>20</v>
      </c>
      <c r="T379" s="263">
        <f>IFERROR(__xludf.DUMMYFUNCTION("""COMPUTED_VALUE"""),20.0)</f>
        <v>20</v>
      </c>
      <c r="U379" s="263">
        <f>IFERROR(__xludf.DUMMYFUNCTION("""COMPUTED_VALUE"""),25.0)</f>
        <v>25</v>
      </c>
      <c r="V379" s="266">
        <f>IFERROR(__xludf.DUMMYFUNCTION("""COMPUTED_VALUE"""),30.0)</f>
        <v>30</v>
      </c>
      <c r="W379" s="266">
        <f>IFERROR(__xludf.DUMMYFUNCTION("""COMPUTED_VALUE"""),30.0)</f>
        <v>30</v>
      </c>
      <c r="X379" s="374" t="str">
        <f>IFERROR(__xludf.DUMMYFUNCTION("""COMPUTED_VALUE"""),"安定型")</f>
        <v>安定型</v>
      </c>
      <c r="Y379" s="375">
        <f>IFERROR(__xludf.DUMMYFUNCTION("""COMPUTED_VALUE"""),1.0)</f>
        <v>1</v>
      </c>
      <c r="Z379" s="376" t="str">
        <f>IFERROR(__xludf.DUMMYFUNCTION("""COMPUTED_VALUE"""),"効果値")</f>
        <v>効果値</v>
      </c>
      <c r="AA379" s="380">
        <f>IFERROR(__xludf.DUMMYFUNCTION("""COMPUTED_VALUE"""),10.0)</f>
        <v>10</v>
      </c>
      <c r="AB379" s="263">
        <f>IFERROR(__xludf.DUMMYFUNCTION("""COMPUTED_VALUE"""),10.0)</f>
        <v>10</v>
      </c>
      <c r="AC379" s="263">
        <f>IFERROR(__xludf.DUMMYFUNCTION("""COMPUTED_VALUE"""),10.0)</f>
        <v>10</v>
      </c>
      <c r="AD379" s="263">
        <f>IFERROR(__xludf.DUMMYFUNCTION("""COMPUTED_VALUE"""),10.0)</f>
        <v>10</v>
      </c>
      <c r="AE379" s="263">
        <f>IFERROR(__xludf.DUMMYFUNCTION("""COMPUTED_VALUE"""),10.0)</f>
        <v>10</v>
      </c>
      <c r="AF379" s="263">
        <f>IFERROR(__xludf.DUMMYFUNCTION("""COMPUTED_VALUE"""),10.0)</f>
        <v>10</v>
      </c>
      <c r="AG379" s="266">
        <f>IFERROR(__xludf.DUMMYFUNCTION("""COMPUTED_VALUE"""),15.0)</f>
        <v>15</v>
      </c>
      <c r="AH379" s="266">
        <f>IFERROR(__xludf.DUMMYFUNCTION("""COMPUTED_VALUE"""),15.0)</f>
        <v>15</v>
      </c>
      <c r="AI379" s="374" t="str">
        <f>IFERROR(__xludf.DUMMYFUNCTION("""COMPUTED_VALUE"""),"持続型")</f>
        <v>持続型</v>
      </c>
      <c r="AJ379" s="375">
        <f>IFERROR(__xludf.DUMMYFUNCTION("""COMPUTED_VALUE"""),1.0)</f>
        <v>1</v>
      </c>
      <c r="AK379" s="376" t="str">
        <f>IFERROR(__xludf.DUMMYFUNCTION("""COMPUTED_VALUE"""),"効果値")</f>
        <v>効果値</v>
      </c>
      <c r="AL379" s="380">
        <f>IFERROR(__xludf.DUMMYFUNCTION("""COMPUTED_VALUE"""),5.0)</f>
        <v>5</v>
      </c>
      <c r="AM379" s="263">
        <f>IFERROR(__xludf.DUMMYFUNCTION("""COMPUTED_VALUE"""),5.0)</f>
        <v>5</v>
      </c>
      <c r="AN379" s="263">
        <f>IFERROR(__xludf.DUMMYFUNCTION("""COMPUTED_VALUE"""),5.0)</f>
        <v>5</v>
      </c>
      <c r="AO379" s="263">
        <f>IFERROR(__xludf.DUMMYFUNCTION("""COMPUTED_VALUE"""),5.0)</f>
        <v>5</v>
      </c>
      <c r="AP379" s="263">
        <f>IFERROR(__xludf.DUMMYFUNCTION("""COMPUTED_VALUE"""),5.0)</f>
        <v>5</v>
      </c>
      <c r="AQ379" s="263">
        <f>IFERROR(__xludf.DUMMYFUNCTION("""COMPUTED_VALUE"""),5.0)</f>
        <v>5</v>
      </c>
      <c r="AR379" s="266">
        <f>IFERROR(__xludf.DUMMYFUNCTION("""COMPUTED_VALUE"""),10.0)</f>
        <v>10</v>
      </c>
      <c r="AS379" s="266">
        <f>IFERROR(__xludf.DUMMYFUNCTION("""COMPUTED_VALUE"""),10.0)</f>
        <v>10</v>
      </c>
      <c r="AT379" s="374" t="str">
        <f>IFERROR(__xludf.DUMMYFUNCTION("""COMPUTED_VALUE"""),"超持続型")</f>
        <v>超持続型</v>
      </c>
      <c r="AU379" s="375">
        <f>IFERROR(__xludf.DUMMYFUNCTION("""COMPUTED_VALUE"""),1.0)</f>
        <v>1</v>
      </c>
      <c r="AV379" s="376" t="str">
        <f>IFERROR(__xludf.DUMMYFUNCTION("""COMPUTED_VALUE"""),"効果値")</f>
        <v>効果値</v>
      </c>
      <c r="AW379" s="350" t="str">
        <f>IFERROR(__xludf.DUMMYFUNCTION("""COMPUTED_VALUE"""),"-")</f>
        <v>-</v>
      </c>
      <c r="AX379" s="348" t="str">
        <f>IFERROR(__xludf.DUMMYFUNCTION("""COMPUTED_VALUE"""),"-")</f>
        <v>-</v>
      </c>
      <c r="AY379" s="348" t="str">
        <f>IFERROR(__xludf.DUMMYFUNCTION("""COMPUTED_VALUE"""),"-")</f>
        <v>-</v>
      </c>
      <c r="AZ379" s="348" t="str">
        <f>IFERROR(__xludf.DUMMYFUNCTION("""COMPUTED_VALUE"""),"-")</f>
        <v>-</v>
      </c>
      <c r="BA379" s="348" t="str">
        <f>IFERROR(__xludf.DUMMYFUNCTION("""COMPUTED_VALUE"""),"-")</f>
        <v>-</v>
      </c>
      <c r="BB379" s="263">
        <f>IFERROR(__xludf.DUMMYFUNCTION("""COMPUTED_VALUE"""),5.0)</f>
        <v>5</v>
      </c>
      <c r="BC379" s="266">
        <f>IFERROR(__xludf.DUMMYFUNCTION("""COMPUTED_VALUE"""),10.0)</f>
        <v>10</v>
      </c>
      <c r="BD379" s="266">
        <f>IFERROR(__xludf.DUMMYFUNCTION("""COMPUTED_VALUE"""),10.0)</f>
        <v>10</v>
      </c>
      <c r="BE379" s="374" t="str">
        <f>IFERROR(__xludf.DUMMYFUNCTION("""COMPUTED_VALUE"""),"ハイブリッド型")</f>
        <v>ハイブリッド型</v>
      </c>
      <c r="BF379" s="375">
        <f>IFERROR(__xludf.DUMMYFUNCTION("""COMPUTED_VALUE"""),1.0)</f>
        <v>1</v>
      </c>
      <c r="BG379" s="376" t="str">
        <f>IFERROR(__xludf.DUMMYFUNCTION("""COMPUTED_VALUE"""),"効果値")</f>
        <v>効果値</v>
      </c>
      <c r="BH379" s="381">
        <f>IFERROR(__xludf.DUMMYFUNCTION("""COMPUTED_VALUE"""),10.0)</f>
        <v>10</v>
      </c>
      <c r="BI379" s="382">
        <f>IFERROR(__xludf.DUMMYFUNCTION("""COMPUTED_VALUE"""),10.0)</f>
        <v>10</v>
      </c>
      <c r="BJ379" s="382">
        <f>IFERROR(__xludf.DUMMYFUNCTION("""COMPUTED_VALUE"""),10.0)</f>
        <v>10</v>
      </c>
      <c r="BK379" s="382">
        <f>IFERROR(__xludf.DUMMYFUNCTION("""COMPUTED_VALUE"""),10.0)</f>
        <v>10</v>
      </c>
      <c r="BL379" s="382">
        <f>IFERROR(__xludf.DUMMYFUNCTION("""COMPUTED_VALUE"""),10.0)</f>
        <v>10</v>
      </c>
      <c r="BM379" s="382">
        <f>IFERROR(__xludf.DUMMYFUNCTION("""COMPUTED_VALUE"""),15.0)</f>
        <v>15</v>
      </c>
      <c r="BN379" s="382">
        <f>IFERROR(__xludf.DUMMYFUNCTION("""COMPUTED_VALUE"""),20.0)</f>
        <v>20</v>
      </c>
      <c r="BO379" s="383">
        <f>IFERROR(__xludf.DUMMYFUNCTION("""COMPUTED_VALUE"""),20.0)</f>
        <v>20</v>
      </c>
    </row>
    <row r="380">
      <c r="A380" s="434" t="str">
        <f>IFERROR(__xludf.DUMMYFUNCTION("""COMPUTED_VALUE"""),"攻撃力Down(テクニカル)")</f>
        <v>攻撃力Down(テクニカル)</v>
      </c>
      <c r="B380" s="385" t="str">
        <f>IFERROR(__xludf.DUMMYFUNCTION("""COMPUTED_VALUE"""),"超瞬間型")</f>
        <v>超瞬間型</v>
      </c>
      <c r="C380" s="386">
        <f>IFERROR(__xludf.DUMMYFUNCTION("""COMPUTED_VALUE"""),1.0)</f>
        <v>1</v>
      </c>
      <c r="D380" s="387" t="str">
        <f>IFERROR(__xludf.DUMMYFUNCTION("""COMPUTED_VALUE"""),"効果時間")</f>
        <v>効果時間</v>
      </c>
      <c r="E380" s="388" t="str">
        <f>IFERROR(__xludf.DUMMYFUNCTION("""COMPUTED_VALUE"""),"-")</f>
        <v>-</v>
      </c>
      <c r="F380" s="389" t="str">
        <f>IFERROR(__xludf.DUMMYFUNCTION("""COMPUTED_VALUE"""),"-")</f>
        <v>-</v>
      </c>
      <c r="G380" s="388" t="str">
        <f>IFERROR(__xludf.DUMMYFUNCTION("""COMPUTED_VALUE"""),"-")</f>
        <v>-</v>
      </c>
      <c r="H380" s="389" t="str">
        <f>IFERROR(__xludf.DUMMYFUNCTION("""COMPUTED_VALUE"""),"-")</f>
        <v>-</v>
      </c>
      <c r="I380" s="388" t="str">
        <f>IFERROR(__xludf.DUMMYFUNCTION("""COMPUTED_VALUE"""),"-")</f>
        <v>-</v>
      </c>
      <c r="J380" s="390">
        <f>IFERROR(__xludf.DUMMYFUNCTION("""COMPUTED_VALUE"""),150.0)</f>
        <v>150</v>
      </c>
      <c r="K380" s="391">
        <f>IFERROR(__xludf.DUMMYFUNCTION("""COMPUTED_VALUE"""),160.0)</f>
        <v>160</v>
      </c>
      <c r="L380" s="340">
        <f>IFERROR(__xludf.DUMMYFUNCTION("""COMPUTED_VALUE"""),160.0)</f>
        <v>160</v>
      </c>
      <c r="M380" s="385" t="str">
        <f>IFERROR(__xludf.DUMMYFUNCTION("""COMPUTED_VALUE"""),"瞬間型")</f>
        <v>瞬間型</v>
      </c>
      <c r="N380" s="386">
        <f>IFERROR(__xludf.DUMMYFUNCTION("""COMPUTED_VALUE"""),1.0)</f>
        <v>1</v>
      </c>
      <c r="O380" s="387" t="str">
        <f>IFERROR(__xludf.DUMMYFUNCTION("""COMPUTED_VALUE"""),"効果時間")</f>
        <v>効果時間</v>
      </c>
      <c r="P380" s="392">
        <f>IFERROR(__xludf.DUMMYFUNCTION("""COMPUTED_VALUE"""),150.0)</f>
        <v>150</v>
      </c>
      <c r="Q380" s="393">
        <f>IFERROR(__xludf.DUMMYFUNCTION("""COMPUTED_VALUE"""),150.0)</f>
        <v>150</v>
      </c>
      <c r="R380" s="393">
        <f>IFERROR(__xludf.DUMMYFUNCTION("""COMPUTED_VALUE"""),150.0)</f>
        <v>150</v>
      </c>
      <c r="S380" s="393">
        <f>IFERROR(__xludf.DUMMYFUNCTION("""COMPUTED_VALUE"""),150.0)</f>
        <v>150</v>
      </c>
      <c r="T380" s="393">
        <f>IFERROR(__xludf.DUMMYFUNCTION("""COMPUTED_VALUE"""),150.0)</f>
        <v>150</v>
      </c>
      <c r="U380" s="393">
        <f>IFERROR(__xludf.DUMMYFUNCTION("""COMPUTED_VALUE"""),150.0)</f>
        <v>150</v>
      </c>
      <c r="V380" s="393">
        <f>IFERROR(__xludf.DUMMYFUNCTION("""COMPUTED_VALUE"""),160.0)</f>
        <v>160</v>
      </c>
      <c r="W380" s="394">
        <f>IFERROR(__xludf.DUMMYFUNCTION("""COMPUTED_VALUE"""),160.0)</f>
        <v>160</v>
      </c>
      <c r="X380" s="385" t="str">
        <f>IFERROR(__xludf.DUMMYFUNCTION("""COMPUTED_VALUE"""),"安定型")</f>
        <v>安定型</v>
      </c>
      <c r="Y380" s="386">
        <f>IFERROR(__xludf.DUMMYFUNCTION("""COMPUTED_VALUE"""),1.0)</f>
        <v>1</v>
      </c>
      <c r="Z380" s="387" t="str">
        <f>IFERROR(__xludf.DUMMYFUNCTION("""COMPUTED_VALUE"""),"効果時間")</f>
        <v>効果時間</v>
      </c>
      <c r="AA380" s="392">
        <f>IFERROR(__xludf.DUMMYFUNCTION("""COMPUTED_VALUE"""),300.0)</f>
        <v>300</v>
      </c>
      <c r="AB380" s="393">
        <f>IFERROR(__xludf.DUMMYFUNCTION("""COMPUTED_VALUE"""),300.0)</f>
        <v>300</v>
      </c>
      <c r="AC380" s="393">
        <f>IFERROR(__xludf.DUMMYFUNCTION("""COMPUTED_VALUE"""),300.0)</f>
        <v>300</v>
      </c>
      <c r="AD380" s="393">
        <f>IFERROR(__xludf.DUMMYFUNCTION("""COMPUTED_VALUE"""),300.0)</f>
        <v>300</v>
      </c>
      <c r="AE380" s="393">
        <f>IFERROR(__xludf.DUMMYFUNCTION("""COMPUTED_VALUE"""),300.0)</f>
        <v>300</v>
      </c>
      <c r="AF380" s="393">
        <f>IFERROR(__xludf.DUMMYFUNCTION("""COMPUTED_VALUE"""),300.0)</f>
        <v>300</v>
      </c>
      <c r="AG380" s="393">
        <f>IFERROR(__xludf.DUMMYFUNCTION("""COMPUTED_VALUE"""),310.0)</f>
        <v>310</v>
      </c>
      <c r="AH380" s="394">
        <f>IFERROR(__xludf.DUMMYFUNCTION("""COMPUTED_VALUE"""),310.0)</f>
        <v>310</v>
      </c>
      <c r="AI380" s="385" t="str">
        <f>IFERROR(__xludf.DUMMYFUNCTION("""COMPUTED_VALUE"""),"持続型")</f>
        <v>持続型</v>
      </c>
      <c r="AJ380" s="386">
        <f>IFERROR(__xludf.DUMMYFUNCTION("""COMPUTED_VALUE"""),1.0)</f>
        <v>1</v>
      </c>
      <c r="AK380" s="387" t="str">
        <f>IFERROR(__xludf.DUMMYFUNCTION("""COMPUTED_VALUE"""),"効果時間")</f>
        <v>効果時間</v>
      </c>
      <c r="AL380" s="392">
        <f>IFERROR(__xludf.DUMMYFUNCTION("""COMPUTED_VALUE"""),450.0)</f>
        <v>450</v>
      </c>
      <c r="AM380" s="393">
        <f>IFERROR(__xludf.DUMMYFUNCTION("""COMPUTED_VALUE"""),450.0)</f>
        <v>450</v>
      </c>
      <c r="AN380" s="393">
        <f>IFERROR(__xludf.DUMMYFUNCTION("""COMPUTED_VALUE"""),450.0)</f>
        <v>450</v>
      </c>
      <c r="AO380" s="393">
        <f>IFERROR(__xludf.DUMMYFUNCTION("""COMPUTED_VALUE"""),450.0)</f>
        <v>450</v>
      </c>
      <c r="AP380" s="393">
        <f>IFERROR(__xludf.DUMMYFUNCTION("""COMPUTED_VALUE"""),450.0)</f>
        <v>450</v>
      </c>
      <c r="AQ380" s="393">
        <f>IFERROR(__xludf.DUMMYFUNCTION("""COMPUTED_VALUE"""),450.0)</f>
        <v>450</v>
      </c>
      <c r="AR380" s="393">
        <f>IFERROR(__xludf.DUMMYFUNCTION("""COMPUTED_VALUE"""),460.0)</f>
        <v>460</v>
      </c>
      <c r="AS380" s="394">
        <f>IFERROR(__xludf.DUMMYFUNCTION("""COMPUTED_VALUE"""),460.0)</f>
        <v>460</v>
      </c>
      <c r="AT380" s="385" t="str">
        <f>IFERROR(__xludf.DUMMYFUNCTION("""COMPUTED_VALUE"""),"超持続型")</f>
        <v>超持続型</v>
      </c>
      <c r="AU380" s="386">
        <f>IFERROR(__xludf.DUMMYFUNCTION("""COMPUTED_VALUE"""),1.0)</f>
        <v>1</v>
      </c>
      <c r="AV380" s="387" t="str">
        <f>IFERROR(__xludf.DUMMYFUNCTION("""COMPUTED_VALUE"""),"効果時間")</f>
        <v>効果時間</v>
      </c>
      <c r="AW380" s="395" t="str">
        <f>IFERROR(__xludf.DUMMYFUNCTION("""COMPUTED_VALUE"""),"-")</f>
        <v>-</v>
      </c>
      <c r="AX380" s="396" t="str">
        <f>IFERROR(__xludf.DUMMYFUNCTION("""COMPUTED_VALUE"""),"-")</f>
        <v>-</v>
      </c>
      <c r="AY380" s="396" t="str">
        <f>IFERROR(__xludf.DUMMYFUNCTION("""COMPUTED_VALUE"""),"-")</f>
        <v>-</v>
      </c>
      <c r="AZ380" s="396" t="str">
        <f>IFERROR(__xludf.DUMMYFUNCTION("""COMPUTED_VALUE"""),"-")</f>
        <v>-</v>
      </c>
      <c r="BA380" s="396" t="str">
        <f>IFERROR(__xludf.DUMMYFUNCTION("""COMPUTED_VALUE"""),"-")</f>
        <v>-</v>
      </c>
      <c r="BB380" s="393">
        <f>IFERROR(__xludf.DUMMYFUNCTION("""COMPUTED_VALUE"""),600.0)</f>
        <v>600</v>
      </c>
      <c r="BC380" s="393">
        <f>IFERROR(__xludf.DUMMYFUNCTION("""COMPUTED_VALUE"""),610.0)</f>
        <v>610</v>
      </c>
      <c r="BD380" s="394">
        <f>IFERROR(__xludf.DUMMYFUNCTION("""COMPUTED_VALUE"""),610.0)</f>
        <v>610</v>
      </c>
      <c r="BE380" s="385" t="str">
        <f>IFERROR(__xludf.DUMMYFUNCTION("""COMPUTED_VALUE"""),"ハイブリッド型")</f>
        <v>ハイブリッド型</v>
      </c>
      <c r="BF380" s="386">
        <f>IFERROR(__xludf.DUMMYFUNCTION("""COMPUTED_VALUE"""),1.0)</f>
        <v>1</v>
      </c>
      <c r="BG380" s="387" t="str">
        <f>IFERROR(__xludf.DUMMYFUNCTION("""COMPUTED_VALUE"""),"効果時間")</f>
        <v>効果時間</v>
      </c>
      <c r="BH380" s="397">
        <f>IFERROR(__xludf.DUMMYFUNCTION("""COMPUTED_VALUE"""),150.0)</f>
        <v>150</v>
      </c>
      <c r="BI380" s="397">
        <f>IFERROR(__xludf.DUMMYFUNCTION("""COMPUTED_VALUE"""),150.0)</f>
        <v>150</v>
      </c>
      <c r="BJ380" s="397">
        <f>IFERROR(__xludf.DUMMYFUNCTION("""COMPUTED_VALUE"""),150.0)</f>
        <v>150</v>
      </c>
      <c r="BK380" s="398">
        <f>IFERROR(__xludf.DUMMYFUNCTION("""COMPUTED_VALUE"""),150.0)</f>
        <v>150</v>
      </c>
      <c r="BL380" s="397">
        <f>IFERROR(__xludf.DUMMYFUNCTION("""COMPUTED_VALUE"""),150.0)</f>
        <v>150</v>
      </c>
      <c r="BM380" s="398">
        <f>IFERROR(__xludf.DUMMYFUNCTION("""COMPUTED_VALUE"""),350.0)</f>
        <v>350</v>
      </c>
      <c r="BN380" s="397">
        <f>IFERROR(__xludf.DUMMYFUNCTION("""COMPUTED_VALUE"""),460.0)</f>
        <v>460</v>
      </c>
      <c r="BO380" s="398">
        <f>IFERROR(__xludf.DUMMYFUNCTION("""COMPUTED_VALUE"""),460.0)</f>
        <v>460</v>
      </c>
    </row>
    <row r="381">
      <c r="A381" s="435" t="str">
        <f>IFERROR(__xludf.DUMMYFUNCTION("""COMPUTED_VALUE"""),"攻撃力Down(テクニカル)")</f>
        <v>攻撃力Down(テクニカル)</v>
      </c>
      <c r="B381" s="385" t="str">
        <f>IFERROR(__xludf.DUMMYFUNCTION("""COMPUTED_VALUE"""),"超瞬間型")</f>
        <v>超瞬間型</v>
      </c>
      <c r="C381" s="399">
        <f>IFERROR(__xludf.DUMMYFUNCTION("""COMPUTED_VALUE"""),2.0)</f>
        <v>2</v>
      </c>
      <c r="D381" s="400" t="str">
        <f>IFERROR(__xludf.DUMMYFUNCTION("""COMPUTED_VALUE"""),"効果値")</f>
        <v>効果値</v>
      </c>
      <c r="E381" s="401" t="str">
        <f>IFERROR(__xludf.DUMMYFUNCTION("""COMPUTED_VALUE"""),"-")</f>
        <v>-</v>
      </c>
      <c r="F381" s="401" t="str">
        <f>IFERROR(__xludf.DUMMYFUNCTION("""COMPUTED_VALUE"""),"-")</f>
        <v>-</v>
      </c>
      <c r="G381" s="401" t="str">
        <f>IFERROR(__xludf.DUMMYFUNCTION("""COMPUTED_VALUE"""),"-")</f>
        <v>-</v>
      </c>
      <c r="H381" s="401" t="str">
        <f>IFERROR(__xludf.DUMMYFUNCTION("""COMPUTED_VALUE"""),"-")</f>
        <v>-</v>
      </c>
      <c r="I381" s="401" t="str">
        <f>IFERROR(__xludf.DUMMYFUNCTION("""COMPUTED_VALUE"""),"-")</f>
        <v>-</v>
      </c>
      <c r="J381" s="318">
        <f>IFERROR(__xludf.DUMMYFUNCTION("""COMPUTED_VALUE"""),57.0)</f>
        <v>57</v>
      </c>
      <c r="K381" s="318">
        <f>IFERROR(__xludf.DUMMYFUNCTION("""COMPUTED_VALUE"""),67.0)</f>
        <v>67</v>
      </c>
      <c r="L381" s="318">
        <f>IFERROR(__xludf.DUMMYFUNCTION("""COMPUTED_VALUE"""),69.0)</f>
        <v>69</v>
      </c>
      <c r="M381" s="385" t="str">
        <f>IFERROR(__xludf.DUMMYFUNCTION("""COMPUTED_VALUE"""),"瞬間型")</f>
        <v>瞬間型</v>
      </c>
      <c r="N381" s="399">
        <f>IFERROR(__xludf.DUMMYFUNCTION("""COMPUTED_VALUE"""),2.0)</f>
        <v>2</v>
      </c>
      <c r="O381" s="400" t="str">
        <f>IFERROR(__xludf.DUMMYFUNCTION("""COMPUTED_VALUE"""),"効果値")</f>
        <v>効果値</v>
      </c>
      <c r="P381" s="343">
        <f>IFERROR(__xludf.DUMMYFUNCTION("""COMPUTED_VALUE"""),21.0)</f>
        <v>21</v>
      </c>
      <c r="Q381" s="402">
        <f>IFERROR(__xludf.DUMMYFUNCTION("""COMPUTED_VALUE"""),21.0)</f>
        <v>21</v>
      </c>
      <c r="R381" s="343">
        <f>IFERROR(__xludf.DUMMYFUNCTION("""COMPUTED_VALUE"""),22.0)</f>
        <v>22</v>
      </c>
      <c r="S381" s="402">
        <f>IFERROR(__xludf.DUMMYFUNCTION("""COMPUTED_VALUE"""),22.0)</f>
        <v>22</v>
      </c>
      <c r="T381" s="343">
        <f>IFERROR(__xludf.DUMMYFUNCTION("""COMPUTED_VALUE"""),22.0)</f>
        <v>22</v>
      </c>
      <c r="U381" s="343">
        <f>IFERROR(__xludf.DUMMYFUNCTION("""COMPUTED_VALUE"""),27.0)</f>
        <v>27</v>
      </c>
      <c r="V381" s="343">
        <f>IFERROR(__xludf.DUMMYFUNCTION("""COMPUTED_VALUE"""),32.0)</f>
        <v>32</v>
      </c>
      <c r="W381" s="343">
        <f>IFERROR(__xludf.DUMMYFUNCTION("""COMPUTED_VALUE"""),34.0)</f>
        <v>34</v>
      </c>
      <c r="X381" s="385" t="str">
        <f>IFERROR(__xludf.DUMMYFUNCTION("""COMPUTED_VALUE"""),"安定型")</f>
        <v>安定型</v>
      </c>
      <c r="Y381" s="399">
        <f>IFERROR(__xludf.DUMMYFUNCTION("""COMPUTED_VALUE"""),2.0)</f>
        <v>2</v>
      </c>
      <c r="Z381" s="400" t="str">
        <f>IFERROR(__xludf.DUMMYFUNCTION("""COMPUTED_VALUE"""),"効果値")</f>
        <v>効果値</v>
      </c>
      <c r="AA381" s="343">
        <f>IFERROR(__xludf.DUMMYFUNCTION("""COMPUTED_VALUE"""),11.0)</f>
        <v>11</v>
      </c>
      <c r="AB381" s="402">
        <f>IFERROR(__xludf.DUMMYFUNCTION("""COMPUTED_VALUE"""),11.0)</f>
        <v>11</v>
      </c>
      <c r="AC381" s="343">
        <f>IFERROR(__xludf.DUMMYFUNCTION("""COMPUTED_VALUE"""),12.0)</f>
        <v>12</v>
      </c>
      <c r="AD381" s="402">
        <f>IFERROR(__xludf.DUMMYFUNCTION("""COMPUTED_VALUE"""),12.0)</f>
        <v>12</v>
      </c>
      <c r="AE381" s="343">
        <f>IFERROR(__xludf.DUMMYFUNCTION("""COMPUTED_VALUE"""),12.0)</f>
        <v>12</v>
      </c>
      <c r="AF381" s="343">
        <f>IFERROR(__xludf.DUMMYFUNCTION("""COMPUTED_VALUE"""),12.0)</f>
        <v>12</v>
      </c>
      <c r="AG381" s="343">
        <f>IFERROR(__xludf.DUMMYFUNCTION("""COMPUTED_VALUE"""),17.0)</f>
        <v>17</v>
      </c>
      <c r="AH381" s="343">
        <f>IFERROR(__xludf.DUMMYFUNCTION("""COMPUTED_VALUE"""),19.0)</f>
        <v>19</v>
      </c>
      <c r="AI381" s="385" t="str">
        <f>IFERROR(__xludf.DUMMYFUNCTION("""COMPUTED_VALUE"""),"持続型")</f>
        <v>持続型</v>
      </c>
      <c r="AJ381" s="399">
        <f>IFERROR(__xludf.DUMMYFUNCTION("""COMPUTED_VALUE"""),2.0)</f>
        <v>2</v>
      </c>
      <c r="AK381" s="400" t="str">
        <f>IFERROR(__xludf.DUMMYFUNCTION("""COMPUTED_VALUE"""),"効果値")</f>
        <v>効果値</v>
      </c>
      <c r="AL381" s="343">
        <f>IFERROR(__xludf.DUMMYFUNCTION("""COMPUTED_VALUE"""),6.0)</f>
        <v>6</v>
      </c>
      <c r="AM381" s="402">
        <f>IFERROR(__xludf.DUMMYFUNCTION("""COMPUTED_VALUE"""),6.0)</f>
        <v>6</v>
      </c>
      <c r="AN381" s="343">
        <f>IFERROR(__xludf.DUMMYFUNCTION("""COMPUTED_VALUE"""),7.0)</f>
        <v>7</v>
      </c>
      <c r="AO381" s="402">
        <f>IFERROR(__xludf.DUMMYFUNCTION("""COMPUTED_VALUE"""),7.0)</f>
        <v>7</v>
      </c>
      <c r="AP381" s="343">
        <f>IFERROR(__xludf.DUMMYFUNCTION("""COMPUTED_VALUE"""),7.0)</f>
        <v>7</v>
      </c>
      <c r="AQ381" s="343">
        <f>IFERROR(__xludf.DUMMYFUNCTION("""COMPUTED_VALUE"""),7.0)</f>
        <v>7</v>
      </c>
      <c r="AR381" s="343">
        <f>IFERROR(__xludf.DUMMYFUNCTION("""COMPUTED_VALUE"""),11.0)</f>
        <v>11</v>
      </c>
      <c r="AS381" s="343">
        <f>IFERROR(__xludf.DUMMYFUNCTION("""COMPUTED_VALUE"""),11.0)</f>
        <v>11</v>
      </c>
      <c r="AT381" s="385" t="str">
        <f>IFERROR(__xludf.DUMMYFUNCTION("""COMPUTED_VALUE"""),"超持続型")</f>
        <v>超持続型</v>
      </c>
      <c r="AU381" s="399">
        <f>IFERROR(__xludf.DUMMYFUNCTION("""COMPUTED_VALUE"""),2.0)</f>
        <v>2</v>
      </c>
      <c r="AV381" s="400" t="str">
        <f>IFERROR(__xludf.DUMMYFUNCTION("""COMPUTED_VALUE"""),"効果値")</f>
        <v>効果値</v>
      </c>
      <c r="AW381" s="403" t="str">
        <f>IFERROR(__xludf.DUMMYFUNCTION("""COMPUTED_VALUE"""),"-")</f>
        <v>-</v>
      </c>
      <c r="AX381" s="403" t="str">
        <f>IFERROR(__xludf.DUMMYFUNCTION("""COMPUTED_VALUE"""),"-")</f>
        <v>-</v>
      </c>
      <c r="AY381" s="403" t="str">
        <f>IFERROR(__xludf.DUMMYFUNCTION("""COMPUTED_VALUE"""),"-")</f>
        <v>-</v>
      </c>
      <c r="AZ381" s="403" t="str">
        <f>IFERROR(__xludf.DUMMYFUNCTION("""COMPUTED_VALUE"""),"-")</f>
        <v>-</v>
      </c>
      <c r="BA381" s="403" t="str">
        <f>IFERROR(__xludf.DUMMYFUNCTION("""COMPUTED_VALUE"""),"-")</f>
        <v>-</v>
      </c>
      <c r="BB381" s="343">
        <f>IFERROR(__xludf.DUMMYFUNCTION("""COMPUTED_VALUE"""),7.0)</f>
        <v>7</v>
      </c>
      <c r="BC381" s="343">
        <f>IFERROR(__xludf.DUMMYFUNCTION("""COMPUTED_VALUE"""),11.0)</f>
        <v>11</v>
      </c>
      <c r="BD381" s="343">
        <f>IFERROR(__xludf.DUMMYFUNCTION("""COMPUTED_VALUE"""),11.0)</f>
        <v>11</v>
      </c>
      <c r="BE381" s="385" t="str">
        <f>IFERROR(__xludf.DUMMYFUNCTION("""COMPUTED_VALUE"""),"ハイブリッド型")</f>
        <v>ハイブリッド型</v>
      </c>
      <c r="BF381" s="399">
        <f>IFERROR(__xludf.DUMMYFUNCTION("""COMPUTED_VALUE"""),2.0)</f>
        <v>2</v>
      </c>
      <c r="BG381" s="400" t="str">
        <f>IFERROR(__xludf.DUMMYFUNCTION("""COMPUTED_VALUE"""),"効果値")</f>
        <v>効果値</v>
      </c>
      <c r="BH381" s="404">
        <f>IFERROR(__xludf.DUMMYFUNCTION("""COMPUTED_VALUE"""),10.8)</f>
        <v>10.8</v>
      </c>
      <c r="BI381" s="405">
        <f>IFERROR(__xludf.DUMMYFUNCTION("""COMPUTED_VALUE"""),11.2)</f>
        <v>11.2</v>
      </c>
      <c r="BJ381" s="405">
        <f>IFERROR(__xludf.DUMMYFUNCTION("""COMPUTED_VALUE"""),11.5)</f>
        <v>11.5</v>
      </c>
      <c r="BK381" s="405">
        <f>IFERROR(__xludf.DUMMYFUNCTION("""COMPUTED_VALUE"""),11.8)</f>
        <v>11.8</v>
      </c>
      <c r="BL381" s="405">
        <f>IFERROR(__xludf.DUMMYFUNCTION("""COMPUTED_VALUE"""),12.1)</f>
        <v>12.1</v>
      </c>
      <c r="BM381" s="405">
        <f>IFERROR(__xludf.DUMMYFUNCTION("""COMPUTED_VALUE"""),17.1)</f>
        <v>17.1</v>
      </c>
      <c r="BN381" s="405">
        <f>IFERROR(__xludf.DUMMYFUNCTION("""COMPUTED_VALUE"""),22.0)</f>
        <v>22</v>
      </c>
      <c r="BO381" s="406">
        <f>IFERROR(__xludf.DUMMYFUNCTION("""COMPUTED_VALUE"""),24.0)</f>
        <v>24</v>
      </c>
    </row>
    <row r="382">
      <c r="A382" s="435" t="str">
        <f>IFERROR(__xludf.DUMMYFUNCTION("""COMPUTED_VALUE"""),"攻撃力Down(テクニカル)")</f>
        <v>攻撃力Down(テクニカル)</v>
      </c>
      <c r="B382" s="385" t="str">
        <f>IFERROR(__xludf.DUMMYFUNCTION("""COMPUTED_VALUE"""),"超瞬間型")</f>
        <v>超瞬間型</v>
      </c>
      <c r="C382" s="386">
        <f>IFERROR(__xludf.DUMMYFUNCTION("""COMPUTED_VALUE"""),2.0)</f>
        <v>2</v>
      </c>
      <c r="D382" s="387" t="str">
        <f>IFERROR(__xludf.DUMMYFUNCTION("""COMPUTED_VALUE"""),"効果時間")</f>
        <v>効果時間</v>
      </c>
      <c r="E382" s="388" t="str">
        <f>IFERROR(__xludf.DUMMYFUNCTION("""COMPUTED_VALUE"""),"-")</f>
        <v>-</v>
      </c>
      <c r="F382" s="389" t="str">
        <f>IFERROR(__xludf.DUMMYFUNCTION("""COMPUTED_VALUE"""),"-")</f>
        <v>-</v>
      </c>
      <c r="G382" s="388" t="str">
        <f>IFERROR(__xludf.DUMMYFUNCTION("""COMPUTED_VALUE"""),"-")</f>
        <v>-</v>
      </c>
      <c r="H382" s="389" t="str">
        <f>IFERROR(__xludf.DUMMYFUNCTION("""COMPUTED_VALUE"""),"-")</f>
        <v>-</v>
      </c>
      <c r="I382" s="388" t="str">
        <f>IFERROR(__xludf.DUMMYFUNCTION("""COMPUTED_VALUE"""),"-")</f>
        <v>-</v>
      </c>
      <c r="J382" s="390">
        <f>IFERROR(__xludf.DUMMYFUNCTION("""COMPUTED_VALUE"""),150.0)</f>
        <v>150</v>
      </c>
      <c r="K382" s="391">
        <f>IFERROR(__xludf.DUMMYFUNCTION("""COMPUTED_VALUE"""),160.0)</f>
        <v>160</v>
      </c>
      <c r="L382" s="340">
        <f>IFERROR(__xludf.DUMMYFUNCTION("""COMPUTED_VALUE"""),170.0)</f>
        <v>170</v>
      </c>
      <c r="M382" s="385" t="str">
        <f>IFERROR(__xludf.DUMMYFUNCTION("""COMPUTED_VALUE"""),"瞬間型")</f>
        <v>瞬間型</v>
      </c>
      <c r="N382" s="386">
        <f>IFERROR(__xludf.DUMMYFUNCTION("""COMPUTED_VALUE"""),2.0)</f>
        <v>2</v>
      </c>
      <c r="O382" s="387" t="str">
        <f>IFERROR(__xludf.DUMMYFUNCTION("""COMPUTED_VALUE"""),"効果時間")</f>
        <v>効果時間</v>
      </c>
      <c r="P382" s="392">
        <f>IFERROR(__xludf.DUMMYFUNCTION("""COMPUTED_VALUE"""),160.0)</f>
        <v>160</v>
      </c>
      <c r="Q382" s="275">
        <f>IFERROR(__xludf.DUMMYFUNCTION("""COMPUTED_VALUE"""),165.0)</f>
        <v>165</v>
      </c>
      <c r="R382" s="280">
        <f>IFERROR(__xludf.DUMMYFUNCTION("""COMPUTED_VALUE"""),170.0)</f>
        <v>170</v>
      </c>
      <c r="S382" s="275">
        <f>IFERROR(__xludf.DUMMYFUNCTION("""COMPUTED_VALUE"""),175.0)</f>
        <v>175</v>
      </c>
      <c r="T382" s="280">
        <f>IFERROR(__xludf.DUMMYFUNCTION("""COMPUTED_VALUE"""),180.0)</f>
        <v>180</v>
      </c>
      <c r="U382" s="280">
        <f>IFERROR(__xludf.DUMMYFUNCTION("""COMPUTED_VALUE"""),180.0)</f>
        <v>180</v>
      </c>
      <c r="V382" s="280">
        <f>IFERROR(__xludf.DUMMYFUNCTION("""COMPUTED_VALUE"""),220.0)</f>
        <v>220</v>
      </c>
      <c r="W382" s="280">
        <f>IFERROR(__xludf.DUMMYFUNCTION("""COMPUTED_VALUE"""),230.0)</f>
        <v>230</v>
      </c>
      <c r="X382" s="385" t="str">
        <f>IFERROR(__xludf.DUMMYFUNCTION("""COMPUTED_VALUE"""),"安定型")</f>
        <v>安定型</v>
      </c>
      <c r="Y382" s="386">
        <f>IFERROR(__xludf.DUMMYFUNCTION("""COMPUTED_VALUE"""),2.0)</f>
        <v>2</v>
      </c>
      <c r="Z382" s="387" t="str">
        <f>IFERROR(__xludf.DUMMYFUNCTION("""COMPUTED_VALUE"""),"効果時間")</f>
        <v>効果時間</v>
      </c>
      <c r="AA382" s="392">
        <f>IFERROR(__xludf.DUMMYFUNCTION("""COMPUTED_VALUE"""),310.0)</f>
        <v>310</v>
      </c>
      <c r="AB382" s="275">
        <f>IFERROR(__xludf.DUMMYFUNCTION("""COMPUTED_VALUE"""),315.0)</f>
        <v>315</v>
      </c>
      <c r="AC382" s="280">
        <f>IFERROR(__xludf.DUMMYFUNCTION("""COMPUTED_VALUE"""),320.0)</f>
        <v>320</v>
      </c>
      <c r="AD382" s="275">
        <f>IFERROR(__xludf.DUMMYFUNCTION("""COMPUTED_VALUE"""),325.0)</f>
        <v>325</v>
      </c>
      <c r="AE382" s="280">
        <f>IFERROR(__xludf.DUMMYFUNCTION("""COMPUTED_VALUE"""),330.0)</f>
        <v>330</v>
      </c>
      <c r="AF382" s="280">
        <f>IFERROR(__xludf.DUMMYFUNCTION("""COMPUTED_VALUE"""),345.0)</f>
        <v>345</v>
      </c>
      <c r="AG382" s="280">
        <f>IFERROR(__xludf.DUMMYFUNCTION("""COMPUTED_VALUE"""),370.0)</f>
        <v>370</v>
      </c>
      <c r="AH382" s="280">
        <f>IFERROR(__xludf.DUMMYFUNCTION("""COMPUTED_VALUE"""),380.0)</f>
        <v>380</v>
      </c>
      <c r="AI382" s="385" t="str">
        <f>IFERROR(__xludf.DUMMYFUNCTION("""COMPUTED_VALUE"""),"持続型")</f>
        <v>持続型</v>
      </c>
      <c r="AJ382" s="386">
        <f>IFERROR(__xludf.DUMMYFUNCTION("""COMPUTED_VALUE"""),2.0)</f>
        <v>2</v>
      </c>
      <c r="AK382" s="387" t="str">
        <f>IFERROR(__xludf.DUMMYFUNCTION("""COMPUTED_VALUE"""),"効果時間")</f>
        <v>効果時間</v>
      </c>
      <c r="AL382" s="392">
        <f>IFERROR(__xludf.DUMMYFUNCTION("""COMPUTED_VALUE"""),460.0)</f>
        <v>460</v>
      </c>
      <c r="AM382" s="275">
        <f>IFERROR(__xludf.DUMMYFUNCTION("""COMPUTED_VALUE"""),465.0)</f>
        <v>465</v>
      </c>
      <c r="AN382" s="280">
        <f>IFERROR(__xludf.DUMMYFUNCTION("""COMPUTED_VALUE"""),470.0)</f>
        <v>470</v>
      </c>
      <c r="AO382" s="275">
        <f>IFERROR(__xludf.DUMMYFUNCTION("""COMPUTED_VALUE"""),475.0)</f>
        <v>475</v>
      </c>
      <c r="AP382" s="280">
        <f>IFERROR(__xludf.DUMMYFUNCTION("""COMPUTED_VALUE"""),480.0)</f>
        <v>480</v>
      </c>
      <c r="AQ382" s="280">
        <f>IFERROR(__xludf.DUMMYFUNCTION("""COMPUTED_VALUE"""),495.0)</f>
        <v>495</v>
      </c>
      <c r="AR382" s="280">
        <f>IFERROR(__xludf.DUMMYFUNCTION("""COMPUTED_VALUE"""),520.0)</f>
        <v>520</v>
      </c>
      <c r="AS382" s="280">
        <f>IFERROR(__xludf.DUMMYFUNCTION("""COMPUTED_VALUE"""),530.0)</f>
        <v>530</v>
      </c>
      <c r="AT382" s="385" t="str">
        <f>IFERROR(__xludf.DUMMYFUNCTION("""COMPUTED_VALUE"""),"超持続型")</f>
        <v>超持続型</v>
      </c>
      <c r="AU382" s="386">
        <f>IFERROR(__xludf.DUMMYFUNCTION("""COMPUTED_VALUE"""),2.0)</f>
        <v>2</v>
      </c>
      <c r="AV382" s="387" t="str">
        <f>IFERROR(__xludf.DUMMYFUNCTION("""COMPUTED_VALUE"""),"効果時間")</f>
        <v>効果時間</v>
      </c>
      <c r="AW382" s="368" t="str">
        <f>IFERROR(__xludf.DUMMYFUNCTION("""COMPUTED_VALUE"""),"-")</f>
        <v>-</v>
      </c>
      <c r="AX382" s="368" t="str">
        <f>IFERROR(__xludf.DUMMYFUNCTION("""COMPUTED_VALUE"""),"-")</f>
        <v>-</v>
      </c>
      <c r="AY382" s="368" t="str">
        <f>IFERROR(__xludf.DUMMYFUNCTION("""COMPUTED_VALUE"""),"-")</f>
        <v>-</v>
      </c>
      <c r="AZ382" s="368" t="str">
        <f>IFERROR(__xludf.DUMMYFUNCTION("""COMPUTED_VALUE"""),"-")</f>
        <v>-</v>
      </c>
      <c r="BA382" s="368" t="str">
        <f>IFERROR(__xludf.DUMMYFUNCTION("""COMPUTED_VALUE"""),"-")</f>
        <v>-</v>
      </c>
      <c r="BB382" s="280">
        <f>IFERROR(__xludf.DUMMYFUNCTION("""COMPUTED_VALUE"""),625.0)</f>
        <v>625</v>
      </c>
      <c r="BC382" s="280">
        <f>IFERROR(__xludf.DUMMYFUNCTION("""COMPUTED_VALUE"""),670.0)</f>
        <v>670</v>
      </c>
      <c r="BD382" s="280">
        <f>IFERROR(__xludf.DUMMYFUNCTION("""COMPUTED_VALUE"""),680.0)</f>
        <v>680</v>
      </c>
      <c r="BE382" s="385" t="str">
        <f>IFERROR(__xludf.DUMMYFUNCTION("""COMPUTED_VALUE"""),"ハイブリッド型")</f>
        <v>ハイブリッド型</v>
      </c>
      <c r="BF382" s="386">
        <f>IFERROR(__xludf.DUMMYFUNCTION("""COMPUTED_VALUE"""),2.0)</f>
        <v>2</v>
      </c>
      <c r="BG382" s="387" t="str">
        <f>IFERROR(__xludf.DUMMYFUNCTION("""COMPUTED_VALUE"""),"効果時間")</f>
        <v>効果時間</v>
      </c>
      <c r="BH382" s="407">
        <f>IFERROR(__xludf.DUMMYFUNCTION("""COMPUTED_VALUE"""),195.0)</f>
        <v>195</v>
      </c>
      <c r="BI382" s="407">
        <f>IFERROR(__xludf.DUMMYFUNCTION("""COMPUTED_VALUE"""),205.0)</f>
        <v>205</v>
      </c>
      <c r="BJ382" s="407">
        <f>IFERROR(__xludf.DUMMYFUNCTION("""COMPUTED_VALUE"""),205.0)</f>
        <v>205</v>
      </c>
      <c r="BK382" s="408">
        <f>IFERROR(__xludf.DUMMYFUNCTION("""COMPUTED_VALUE"""),210.0)</f>
        <v>210</v>
      </c>
      <c r="BL382" s="407">
        <f>IFERROR(__xludf.DUMMYFUNCTION("""COMPUTED_VALUE"""),215.0)</f>
        <v>215</v>
      </c>
      <c r="BM382" s="408">
        <f>IFERROR(__xludf.DUMMYFUNCTION("""COMPUTED_VALUE"""),375.0)</f>
        <v>375</v>
      </c>
      <c r="BN382" s="407">
        <f>IFERROR(__xludf.DUMMYFUNCTION("""COMPUTED_VALUE"""),480.0)</f>
        <v>480</v>
      </c>
      <c r="BO382" s="408">
        <f>IFERROR(__xludf.DUMMYFUNCTION("""COMPUTED_VALUE"""),490.0)</f>
        <v>490</v>
      </c>
    </row>
    <row r="383">
      <c r="A383" s="435" t="str">
        <f>IFERROR(__xludf.DUMMYFUNCTION("""COMPUTED_VALUE"""),"攻撃力Down(テクニカル)")</f>
        <v>攻撃力Down(テクニカル)</v>
      </c>
      <c r="B383" s="385" t="str">
        <f>IFERROR(__xludf.DUMMYFUNCTION("""COMPUTED_VALUE"""),"超瞬間型")</f>
        <v>超瞬間型</v>
      </c>
      <c r="C383" s="399">
        <f>IFERROR(__xludf.DUMMYFUNCTION("""COMPUTED_VALUE"""),3.0)</f>
        <v>3</v>
      </c>
      <c r="D383" s="400" t="str">
        <f>IFERROR(__xludf.DUMMYFUNCTION("""COMPUTED_VALUE"""),"効果値")</f>
        <v>効果値</v>
      </c>
      <c r="E383" s="401" t="str">
        <f>IFERROR(__xludf.DUMMYFUNCTION("""COMPUTED_VALUE"""),"-")</f>
        <v>-</v>
      </c>
      <c r="F383" s="409" t="str">
        <f>IFERROR(__xludf.DUMMYFUNCTION("""COMPUTED_VALUE"""),"-")</f>
        <v>-</v>
      </c>
      <c r="G383" s="401" t="str">
        <f>IFERROR(__xludf.DUMMYFUNCTION("""COMPUTED_VALUE"""),"-")</f>
        <v>-</v>
      </c>
      <c r="H383" s="409" t="str">
        <f>IFERROR(__xludf.DUMMYFUNCTION("""COMPUTED_VALUE"""),"-")</f>
        <v>-</v>
      </c>
      <c r="I383" s="409" t="str">
        <f>IFERROR(__xludf.DUMMYFUNCTION("""COMPUTED_VALUE"""),"-")</f>
        <v>-</v>
      </c>
      <c r="J383" s="410">
        <f>IFERROR(__xludf.DUMMYFUNCTION("""COMPUTED_VALUE"""),58.0)</f>
        <v>58</v>
      </c>
      <c r="K383" s="410">
        <f>IFERROR(__xludf.DUMMYFUNCTION("""COMPUTED_VALUE"""),68.0)</f>
        <v>68</v>
      </c>
      <c r="L383" s="410">
        <f>IFERROR(__xludf.DUMMYFUNCTION("""COMPUTED_VALUE"""),72.0)</f>
        <v>72</v>
      </c>
      <c r="M383" s="385" t="str">
        <f>IFERROR(__xludf.DUMMYFUNCTION("""COMPUTED_VALUE"""),"瞬間型")</f>
        <v>瞬間型</v>
      </c>
      <c r="N383" s="399">
        <f>IFERROR(__xludf.DUMMYFUNCTION("""COMPUTED_VALUE"""),3.0)</f>
        <v>3</v>
      </c>
      <c r="O383" s="400" t="str">
        <f>IFERROR(__xludf.DUMMYFUNCTION("""COMPUTED_VALUE"""),"効果値")</f>
        <v>効果値</v>
      </c>
      <c r="P383" s="343">
        <f>IFERROR(__xludf.DUMMYFUNCTION("""COMPUTED_VALUE"""),22.0)</f>
        <v>22</v>
      </c>
      <c r="Q383" s="402">
        <f>IFERROR(__xludf.DUMMYFUNCTION("""COMPUTED_VALUE"""),22.0)</f>
        <v>22</v>
      </c>
      <c r="R383" s="402">
        <f>IFERROR(__xludf.DUMMYFUNCTION("""COMPUTED_VALUE"""),23.0)</f>
        <v>23</v>
      </c>
      <c r="S383" s="402">
        <f>IFERROR(__xludf.DUMMYFUNCTION("""COMPUTED_VALUE"""),23.0)</f>
        <v>23</v>
      </c>
      <c r="T383" s="402">
        <f>IFERROR(__xludf.DUMMYFUNCTION("""COMPUTED_VALUE"""),23.0)</f>
        <v>23</v>
      </c>
      <c r="U383" s="402">
        <f>IFERROR(__xludf.DUMMYFUNCTION("""COMPUTED_VALUE"""),28.0)</f>
        <v>28</v>
      </c>
      <c r="V383" s="402">
        <f>IFERROR(__xludf.DUMMYFUNCTION("""COMPUTED_VALUE"""),33.0)</f>
        <v>33</v>
      </c>
      <c r="W383" s="402">
        <f>IFERROR(__xludf.DUMMYFUNCTION("""COMPUTED_VALUE"""),37.0)</f>
        <v>37</v>
      </c>
      <c r="X383" s="385" t="str">
        <f>IFERROR(__xludf.DUMMYFUNCTION("""COMPUTED_VALUE"""),"安定型")</f>
        <v>安定型</v>
      </c>
      <c r="Y383" s="399">
        <f>IFERROR(__xludf.DUMMYFUNCTION("""COMPUTED_VALUE"""),3.0)</f>
        <v>3</v>
      </c>
      <c r="Z383" s="400" t="str">
        <f>IFERROR(__xludf.DUMMYFUNCTION("""COMPUTED_VALUE"""),"効果値")</f>
        <v>効果値</v>
      </c>
      <c r="AA383" s="343">
        <f>IFERROR(__xludf.DUMMYFUNCTION("""COMPUTED_VALUE"""),12.0)</f>
        <v>12</v>
      </c>
      <c r="AB383" s="402">
        <f>IFERROR(__xludf.DUMMYFUNCTION("""COMPUTED_VALUE"""),12.0)</f>
        <v>12</v>
      </c>
      <c r="AC383" s="402">
        <f>IFERROR(__xludf.DUMMYFUNCTION("""COMPUTED_VALUE"""),13.0)</f>
        <v>13</v>
      </c>
      <c r="AD383" s="402">
        <f>IFERROR(__xludf.DUMMYFUNCTION("""COMPUTED_VALUE"""),13.0)</f>
        <v>13</v>
      </c>
      <c r="AE383" s="402">
        <f>IFERROR(__xludf.DUMMYFUNCTION("""COMPUTED_VALUE"""),13.0)</f>
        <v>13</v>
      </c>
      <c r="AF383" s="402">
        <f>IFERROR(__xludf.DUMMYFUNCTION("""COMPUTED_VALUE"""),13.0)</f>
        <v>13</v>
      </c>
      <c r="AG383" s="402">
        <f>IFERROR(__xludf.DUMMYFUNCTION("""COMPUTED_VALUE"""),18.0)</f>
        <v>18</v>
      </c>
      <c r="AH383" s="402">
        <f>IFERROR(__xludf.DUMMYFUNCTION("""COMPUTED_VALUE"""),22.0)</f>
        <v>22</v>
      </c>
      <c r="AI383" s="385" t="str">
        <f>IFERROR(__xludf.DUMMYFUNCTION("""COMPUTED_VALUE"""),"持続型")</f>
        <v>持続型</v>
      </c>
      <c r="AJ383" s="399">
        <f>IFERROR(__xludf.DUMMYFUNCTION("""COMPUTED_VALUE"""),3.0)</f>
        <v>3</v>
      </c>
      <c r="AK383" s="400" t="str">
        <f>IFERROR(__xludf.DUMMYFUNCTION("""COMPUTED_VALUE"""),"効果値")</f>
        <v>効果値</v>
      </c>
      <c r="AL383" s="343">
        <f>IFERROR(__xludf.DUMMYFUNCTION("""COMPUTED_VALUE"""),7.0)</f>
        <v>7</v>
      </c>
      <c r="AM383" s="402">
        <f>IFERROR(__xludf.DUMMYFUNCTION("""COMPUTED_VALUE"""),7.0)</f>
        <v>7</v>
      </c>
      <c r="AN383" s="402">
        <f>IFERROR(__xludf.DUMMYFUNCTION("""COMPUTED_VALUE"""),8.0)</f>
        <v>8</v>
      </c>
      <c r="AO383" s="402">
        <f>IFERROR(__xludf.DUMMYFUNCTION("""COMPUTED_VALUE"""),8.0)</f>
        <v>8</v>
      </c>
      <c r="AP383" s="402">
        <f>IFERROR(__xludf.DUMMYFUNCTION("""COMPUTED_VALUE"""),8.0)</f>
        <v>8</v>
      </c>
      <c r="AQ383" s="402">
        <f>IFERROR(__xludf.DUMMYFUNCTION("""COMPUTED_VALUE"""),8.0)</f>
        <v>8</v>
      </c>
      <c r="AR383" s="402">
        <f>IFERROR(__xludf.DUMMYFUNCTION("""COMPUTED_VALUE"""),11.0)</f>
        <v>11</v>
      </c>
      <c r="AS383" s="402">
        <f>IFERROR(__xludf.DUMMYFUNCTION("""COMPUTED_VALUE"""),11.0)</f>
        <v>11</v>
      </c>
      <c r="AT383" s="385" t="str">
        <f>IFERROR(__xludf.DUMMYFUNCTION("""COMPUTED_VALUE"""),"超持続型")</f>
        <v>超持続型</v>
      </c>
      <c r="AU383" s="399">
        <f>IFERROR(__xludf.DUMMYFUNCTION("""COMPUTED_VALUE"""),3.0)</f>
        <v>3</v>
      </c>
      <c r="AV383" s="400" t="str">
        <f>IFERROR(__xludf.DUMMYFUNCTION("""COMPUTED_VALUE"""),"効果値")</f>
        <v>効果値</v>
      </c>
      <c r="AW383" s="403" t="str">
        <f>IFERROR(__xludf.DUMMYFUNCTION("""COMPUTED_VALUE"""),"-")</f>
        <v>-</v>
      </c>
      <c r="AX383" s="403" t="str">
        <f>IFERROR(__xludf.DUMMYFUNCTION("""COMPUTED_VALUE"""),"-")</f>
        <v>-</v>
      </c>
      <c r="AY383" s="403" t="str">
        <f>IFERROR(__xludf.DUMMYFUNCTION("""COMPUTED_VALUE"""),"-")</f>
        <v>-</v>
      </c>
      <c r="AZ383" s="403" t="str">
        <f>IFERROR(__xludf.DUMMYFUNCTION("""COMPUTED_VALUE"""),"-")</f>
        <v>-</v>
      </c>
      <c r="BA383" s="403" t="str">
        <f>IFERROR(__xludf.DUMMYFUNCTION("""COMPUTED_VALUE"""),"-")</f>
        <v>-</v>
      </c>
      <c r="BB383" s="343">
        <f>IFERROR(__xludf.DUMMYFUNCTION("""COMPUTED_VALUE"""),8.0)</f>
        <v>8</v>
      </c>
      <c r="BC383" s="343">
        <f>IFERROR(__xludf.DUMMYFUNCTION("""COMPUTED_VALUE"""),11.0)</f>
        <v>11</v>
      </c>
      <c r="BD383" s="343">
        <f>IFERROR(__xludf.DUMMYFUNCTION("""COMPUTED_VALUE"""),11.0)</f>
        <v>11</v>
      </c>
      <c r="BE383" s="385" t="str">
        <f>IFERROR(__xludf.DUMMYFUNCTION("""COMPUTED_VALUE"""),"ハイブリッド型")</f>
        <v>ハイブリッド型</v>
      </c>
      <c r="BF383" s="399">
        <f>IFERROR(__xludf.DUMMYFUNCTION("""COMPUTED_VALUE"""),3.0)</f>
        <v>3</v>
      </c>
      <c r="BG383" s="400" t="str">
        <f>IFERROR(__xludf.DUMMYFUNCTION("""COMPUTED_VALUE"""),"効果値")</f>
        <v>効果値</v>
      </c>
      <c r="BH383" s="411">
        <f>IFERROR(__xludf.DUMMYFUNCTION("""COMPUTED_VALUE"""),11.4)</f>
        <v>11.4</v>
      </c>
      <c r="BI383" s="412">
        <f>IFERROR(__xludf.DUMMYFUNCTION("""COMPUTED_VALUE"""),11.9)</f>
        <v>11.9</v>
      </c>
      <c r="BJ383" s="412">
        <f>IFERROR(__xludf.DUMMYFUNCTION("""COMPUTED_VALUE"""),12.5)</f>
        <v>12.5</v>
      </c>
      <c r="BK383" s="412">
        <f>IFERROR(__xludf.DUMMYFUNCTION("""COMPUTED_VALUE"""),13.0)</f>
        <v>13</v>
      </c>
      <c r="BL383" s="412">
        <f>IFERROR(__xludf.DUMMYFUNCTION("""COMPUTED_VALUE"""),13.5)</f>
        <v>13.5</v>
      </c>
      <c r="BM383" s="412">
        <f>IFERROR(__xludf.DUMMYFUNCTION("""COMPUTED_VALUE"""),18.5)</f>
        <v>18.5</v>
      </c>
      <c r="BN383" s="412">
        <f>IFERROR(__xludf.DUMMYFUNCTION("""COMPUTED_VALUE"""),23.0)</f>
        <v>23</v>
      </c>
      <c r="BO383" s="413">
        <f>IFERROR(__xludf.DUMMYFUNCTION("""COMPUTED_VALUE"""),27.0)</f>
        <v>27</v>
      </c>
    </row>
    <row r="384">
      <c r="A384" s="435" t="str">
        <f>IFERROR(__xludf.DUMMYFUNCTION("""COMPUTED_VALUE"""),"攻撃力Down(テクニカル)")</f>
        <v>攻撃力Down(テクニカル)</v>
      </c>
      <c r="B384" s="385" t="str">
        <f>IFERROR(__xludf.DUMMYFUNCTION("""COMPUTED_VALUE"""),"超瞬間型")</f>
        <v>超瞬間型</v>
      </c>
      <c r="C384" s="386">
        <f>IFERROR(__xludf.DUMMYFUNCTION("""COMPUTED_VALUE"""),3.0)</f>
        <v>3</v>
      </c>
      <c r="D384" s="387" t="str">
        <f>IFERROR(__xludf.DUMMYFUNCTION("""COMPUTED_VALUE"""),"効果時間")</f>
        <v>効果時間</v>
      </c>
      <c r="E384" s="388" t="str">
        <f>IFERROR(__xludf.DUMMYFUNCTION("""COMPUTED_VALUE"""),"-")</f>
        <v>-</v>
      </c>
      <c r="F384" s="389" t="str">
        <f>IFERROR(__xludf.DUMMYFUNCTION("""COMPUTED_VALUE"""),"-")</f>
        <v>-</v>
      </c>
      <c r="G384" s="388" t="str">
        <f>IFERROR(__xludf.DUMMYFUNCTION("""COMPUTED_VALUE"""),"-")</f>
        <v>-</v>
      </c>
      <c r="H384" s="389" t="str">
        <f>IFERROR(__xludf.DUMMYFUNCTION("""COMPUTED_VALUE"""),"-")</f>
        <v>-</v>
      </c>
      <c r="I384" s="388" t="str">
        <f>IFERROR(__xludf.DUMMYFUNCTION("""COMPUTED_VALUE"""),"-")</f>
        <v>-</v>
      </c>
      <c r="J384" s="390">
        <f>IFERROR(__xludf.DUMMYFUNCTION("""COMPUTED_VALUE"""),155.0)</f>
        <v>155</v>
      </c>
      <c r="K384" s="391">
        <f>IFERROR(__xludf.DUMMYFUNCTION("""COMPUTED_VALUE"""),165.0)</f>
        <v>165</v>
      </c>
      <c r="L384" s="340">
        <f>IFERROR(__xludf.DUMMYFUNCTION("""COMPUTED_VALUE"""),185.0)</f>
        <v>185</v>
      </c>
      <c r="M384" s="385" t="str">
        <f>IFERROR(__xludf.DUMMYFUNCTION("""COMPUTED_VALUE"""),"瞬間型")</f>
        <v>瞬間型</v>
      </c>
      <c r="N384" s="386">
        <f>IFERROR(__xludf.DUMMYFUNCTION("""COMPUTED_VALUE"""),3.0)</f>
        <v>3</v>
      </c>
      <c r="O384" s="387" t="str">
        <f>IFERROR(__xludf.DUMMYFUNCTION("""COMPUTED_VALUE"""),"効果時間")</f>
        <v>効果時間</v>
      </c>
      <c r="P384" s="392">
        <f>IFERROR(__xludf.DUMMYFUNCTION("""COMPUTED_VALUE"""),165.0)</f>
        <v>165</v>
      </c>
      <c r="Q384" s="414">
        <f>IFERROR(__xludf.DUMMYFUNCTION("""COMPUTED_VALUE"""),175.0)</f>
        <v>175</v>
      </c>
      <c r="R384" s="415">
        <f>IFERROR(__xludf.DUMMYFUNCTION("""COMPUTED_VALUE"""),180.0)</f>
        <v>180</v>
      </c>
      <c r="S384" s="393">
        <f>IFERROR(__xludf.DUMMYFUNCTION("""COMPUTED_VALUE"""),185.0)</f>
        <v>185</v>
      </c>
      <c r="T384" s="393">
        <f>IFERROR(__xludf.DUMMYFUNCTION("""COMPUTED_VALUE"""),195.0)</f>
        <v>195</v>
      </c>
      <c r="U384" s="414">
        <f>IFERROR(__xludf.DUMMYFUNCTION("""COMPUTED_VALUE"""),200.0)</f>
        <v>200</v>
      </c>
      <c r="V384" s="416">
        <f>IFERROR(__xludf.DUMMYFUNCTION("""COMPUTED_VALUE"""),255.0)</f>
        <v>255</v>
      </c>
      <c r="W384" s="415">
        <f>IFERROR(__xludf.DUMMYFUNCTION("""COMPUTED_VALUE"""),270.0)</f>
        <v>270</v>
      </c>
      <c r="X384" s="385" t="str">
        <f>IFERROR(__xludf.DUMMYFUNCTION("""COMPUTED_VALUE"""),"安定型")</f>
        <v>安定型</v>
      </c>
      <c r="Y384" s="386">
        <f>IFERROR(__xludf.DUMMYFUNCTION("""COMPUTED_VALUE"""),3.0)</f>
        <v>3</v>
      </c>
      <c r="Z384" s="387" t="str">
        <f>IFERROR(__xludf.DUMMYFUNCTION("""COMPUTED_VALUE"""),"効果時間")</f>
        <v>効果時間</v>
      </c>
      <c r="AA384" s="392">
        <f>IFERROR(__xludf.DUMMYFUNCTION("""COMPUTED_VALUE"""),315.0)</f>
        <v>315</v>
      </c>
      <c r="AB384" s="414">
        <f>IFERROR(__xludf.DUMMYFUNCTION("""COMPUTED_VALUE"""),325.0)</f>
        <v>325</v>
      </c>
      <c r="AC384" s="415">
        <f>IFERROR(__xludf.DUMMYFUNCTION("""COMPUTED_VALUE"""),330.0)</f>
        <v>330</v>
      </c>
      <c r="AD384" s="393">
        <f>IFERROR(__xludf.DUMMYFUNCTION("""COMPUTED_VALUE"""),335.0)</f>
        <v>335</v>
      </c>
      <c r="AE384" s="393">
        <f>IFERROR(__xludf.DUMMYFUNCTION("""COMPUTED_VALUE"""),345.0)</f>
        <v>345</v>
      </c>
      <c r="AF384" s="414">
        <f>IFERROR(__xludf.DUMMYFUNCTION("""COMPUTED_VALUE"""),370.0)</f>
        <v>370</v>
      </c>
      <c r="AG384" s="416">
        <f>IFERROR(__xludf.DUMMYFUNCTION("""COMPUTED_VALUE"""),405.0)</f>
        <v>405</v>
      </c>
      <c r="AH384" s="415">
        <f>IFERROR(__xludf.DUMMYFUNCTION("""COMPUTED_VALUE"""),420.0)</f>
        <v>420</v>
      </c>
      <c r="AI384" s="385" t="str">
        <f>IFERROR(__xludf.DUMMYFUNCTION("""COMPUTED_VALUE"""),"持続型")</f>
        <v>持続型</v>
      </c>
      <c r="AJ384" s="386">
        <f>IFERROR(__xludf.DUMMYFUNCTION("""COMPUTED_VALUE"""),3.0)</f>
        <v>3</v>
      </c>
      <c r="AK384" s="387" t="str">
        <f>IFERROR(__xludf.DUMMYFUNCTION("""COMPUTED_VALUE"""),"効果時間")</f>
        <v>効果時間</v>
      </c>
      <c r="AL384" s="392">
        <f>IFERROR(__xludf.DUMMYFUNCTION("""COMPUTED_VALUE"""),465.0)</f>
        <v>465</v>
      </c>
      <c r="AM384" s="414">
        <f>IFERROR(__xludf.DUMMYFUNCTION("""COMPUTED_VALUE"""),475.0)</f>
        <v>475</v>
      </c>
      <c r="AN384" s="415">
        <f>IFERROR(__xludf.DUMMYFUNCTION("""COMPUTED_VALUE"""),480.0)</f>
        <v>480</v>
      </c>
      <c r="AO384" s="393">
        <f>IFERROR(__xludf.DUMMYFUNCTION("""COMPUTED_VALUE"""),485.0)</f>
        <v>485</v>
      </c>
      <c r="AP384" s="393">
        <f>IFERROR(__xludf.DUMMYFUNCTION("""COMPUTED_VALUE"""),495.0)</f>
        <v>495</v>
      </c>
      <c r="AQ384" s="414">
        <f>IFERROR(__xludf.DUMMYFUNCTION("""COMPUTED_VALUE"""),520.0)</f>
        <v>520</v>
      </c>
      <c r="AR384" s="416">
        <f>IFERROR(__xludf.DUMMYFUNCTION("""COMPUTED_VALUE"""),555.0)</f>
        <v>555</v>
      </c>
      <c r="AS384" s="415">
        <f>IFERROR(__xludf.DUMMYFUNCTION("""COMPUTED_VALUE"""),570.0)</f>
        <v>570</v>
      </c>
      <c r="AT384" s="385" t="str">
        <f>IFERROR(__xludf.DUMMYFUNCTION("""COMPUTED_VALUE"""),"超持続型")</f>
        <v>超持続型</v>
      </c>
      <c r="AU384" s="386">
        <f>IFERROR(__xludf.DUMMYFUNCTION("""COMPUTED_VALUE"""),3.0)</f>
        <v>3</v>
      </c>
      <c r="AV384" s="387" t="str">
        <f>IFERROR(__xludf.DUMMYFUNCTION("""COMPUTED_VALUE"""),"効果時間")</f>
        <v>効果時間</v>
      </c>
      <c r="AW384" s="368" t="str">
        <f>IFERROR(__xludf.DUMMYFUNCTION("""COMPUTED_VALUE"""),"-")</f>
        <v>-</v>
      </c>
      <c r="AX384" s="368" t="str">
        <f>IFERROR(__xludf.DUMMYFUNCTION("""COMPUTED_VALUE"""),"-")</f>
        <v>-</v>
      </c>
      <c r="AY384" s="368" t="str">
        <f>IFERROR(__xludf.DUMMYFUNCTION("""COMPUTED_VALUE"""),"-")</f>
        <v>-</v>
      </c>
      <c r="AZ384" s="368" t="str">
        <f>IFERROR(__xludf.DUMMYFUNCTION("""COMPUTED_VALUE"""),"-")</f>
        <v>-</v>
      </c>
      <c r="BA384" s="368" t="str">
        <f>IFERROR(__xludf.DUMMYFUNCTION("""COMPUTED_VALUE"""),"-")</f>
        <v>-</v>
      </c>
      <c r="BB384" s="280">
        <f>IFERROR(__xludf.DUMMYFUNCTION("""COMPUTED_VALUE"""),635.0)</f>
        <v>635</v>
      </c>
      <c r="BC384" s="280">
        <f>IFERROR(__xludf.DUMMYFUNCTION("""COMPUTED_VALUE"""),705.0)</f>
        <v>705</v>
      </c>
      <c r="BD384" s="280">
        <f>IFERROR(__xludf.DUMMYFUNCTION("""COMPUTED_VALUE"""),720.0)</f>
        <v>720</v>
      </c>
      <c r="BE384" s="385" t="str">
        <f>IFERROR(__xludf.DUMMYFUNCTION("""COMPUTED_VALUE"""),"ハイブリッド型")</f>
        <v>ハイブリッド型</v>
      </c>
      <c r="BF384" s="386">
        <f>IFERROR(__xludf.DUMMYFUNCTION("""COMPUTED_VALUE"""),3.0)</f>
        <v>3</v>
      </c>
      <c r="BG384" s="387" t="str">
        <f>IFERROR(__xludf.DUMMYFUNCTION("""COMPUTED_VALUE"""),"効果時間")</f>
        <v>効果時間</v>
      </c>
      <c r="BH384" s="407">
        <f>IFERROR(__xludf.DUMMYFUNCTION("""COMPUTED_VALUE"""),220.0)</f>
        <v>220</v>
      </c>
      <c r="BI384" s="407">
        <f>IFERROR(__xludf.DUMMYFUNCTION("""COMPUTED_VALUE"""),235.0)</f>
        <v>235</v>
      </c>
      <c r="BJ384" s="407">
        <f>IFERROR(__xludf.DUMMYFUNCTION("""COMPUTED_VALUE"""),240.0)</f>
        <v>240</v>
      </c>
      <c r="BK384" s="408">
        <f>IFERROR(__xludf.DUMMYFUNCTION("""COMPUTED_VALUE"""),250.0)</f>
        <v>250</v>
      </c>
      <c r="BL384" s="407">
        <f>IFERROR(__xludf.DUMMYFUNCTION("""COMPUTED_VALUE"""),255.0)</f>
        <v>255</v>
      </c>
      <c r="BM384" s="408">
        <f>IFERROR(__xludf.DUMMYFUNCTION("""COMPUTED_VALUE"""),385.0)</f>
        <v>385</v>
      </c>
      <c r="BN384" s="407">
        <f>IFERROR(__xludf.DUMMYFUNCTION("""COMPUTED_VALUE"""),490.0)</f>
        <v>490</v>
      </c>
      <c r="BO384" s="408">
        <f>IFERROR(__xludf.DUMMYFUNCTION("""COMPUTED_VALUE"""),505.0)</f>
        <v>505</v>
      </c>
    </row>
    <row r="385">
      <c r="A385" s="435" t="str">
        <f>IFERROR(__xludf.DUMMYFUNCTION("""COMPUTED_VALUE"""),"攻撃力Down(テクニカル)")</f>
        <v>攻撃力Down(テクニカル)</v>
      </c>
      <c r="B385" s="385" t="str">
        <f>IFERROR(__xludf.DUMMYFUNCTION("""COMPUTED_VALUE"""),"超瞬間型")</f>
        <v>超瞬間型</v>
      </c>
      <c r="C385" s="399">
        <f>IFERROR(__xludf.DUMMYFUNCTION("""COMPUTED_VALUE"""),4.0)</f>
        <v>4</v>
      </c>
      <c r="D385" s="400" t="str">
        <f>IFERROR(__xludf.DUMMYFUNCTION("""COMPUTED_VALUE"""),"効果値")</f>
        <v>効果値</v>
      </c>
      <c r="E385" s="401" t="str">
        <f>IFERROR(__xludf.DUMMYFUNCTION("""COMPUTED_VALUE"""),"-")</f>
        <v>-</v>
      </c>
      <c r="F385" s="409" t="str">
        <f>IFERROR(__xludf.DUMMYFUNCTION("""COMPUTED_VALUE"""),"-")</f>
        <v>-</v>
      </c>
      <c r="G385" s="409" t="str">
        <f>IFERROR(__xludf.DUMMYFUNCTION("""COMPUTED_VALUE"""),"-")</f>
        <v>-</v>
      </c>
      <c r="H385" s="409" t="str">
        <f>IFERROR(__xludf.DUMMYFUNCTION("""COMPUTED_VALUE"""),"-")</f>
        <v>-</v>
      </c>
      <c r="I385" s="409" t="str">
        <f>IFERROR(__xludf.DUMMYFUNCTION("""COMPUTED_VALUE"""),"-")</f>
        <v>-</v>
      </c>
      <c r="J385" s="410">
        <f>IFERROR(__xludf.DUMMYFUNCTION("""COMPUTED_VALUE"""),59.0)</f>
        <v>59</v>
      </c>
      <c r="K385" s="410">
        <f>IFERROR(__xludf.DUMMYFUNCTION("""COMPUTED_VALUE"""),69.0)</f>
        <v>69</v>
      </c>
      <c r="L385" s="410">
        <f>IFERROR(__xludf.DUMMYFUNCTION("""COMPUTED_VALUE"""),74.0)</f>
        <v>74</v>
      </c>
      <c r="M385" s="385" t="str">
        <f>IFERROR(__xludf.DUMMYFUNCTION("""COMPUTED_VALUE"""),"瞬間型")</f>
        <v>瞬間型</v>
      </c>
      <c r="N385" s="399">
        <f>IFERROR(__xludf.DUMMYFUNCTION("""COMPUTED_VALUE"""),4.0)</f>
        <v>4</v>
      </c>
      <c r="O385" s="400" t="str">
        <f>IFERROR(__xludf.DUMMYFUNCTION("""COMPUTED_VALUE"""),"効果値")</f>
        <v>効果値</v>
      </c>
      <c r="P385" s="343">
        <f>IFERROR(__xludf.DUMMYFUNCTION("""COMPUTED_VALUE"""),23.0)</f>
        <v>23</v>
      </c>
      <c r="Q385" s="402">
        <f>IFERROR(__xludf.DUMMYFUNCTION("""COMPUTED_VALUE"""),23.0)</f>
        <v>23</v>
      </c>
      <c r="R385" s="343">
        <f>IFERROR(__xludf.DUMMYFUNCTION("""COMPUTED_VALUE"""),23.0)</f>
        <v>23</v>
      </c>
      <c r="S385" s="402">
        <f>IFERROR(__xludf.DUMMYFUNCTION("""COMPUTED_VALUE"""),23.0)</f>
        <v>23</v>
      </c>
      <c r="T385" s="343">
        <f>IFERROR(__xludf.DUMMYFUNCTION("""COMPUTED_VALUE"""),23.0)</f>
        <v>23</v>
      </c>
      <c r="U385" s="343">
        <f>IFERROR(__xludf.DUMMYFUNCTION("""COMPUTED_VALUE"""),29.0)</f>
        <v>29</v>
      </c>
      <c r="V385" s="343">
        <f>IFERROR(__xludf.DUMMYFUNCTION("""COMPUTED_VALUE"""),34.0)</f>
        <v>34</v>
      </c>
      <c r="W385" s="343">
        <f>IFERROR(__xludf.DUMMYFUNCTION("""COMPUTED_VALUE"""),39.0)</f>
        <v>39</v>
      </c>
      <c r="X385" s="385" t="str">
        <f>IFERROR(__xludf.DUMMYFUNCTION("""COMPUTED_VALUE"""),"安定型")</f>
        <v>安定型</v>
      </c>
      <c r="Y385" s="399">
        <f>IFERROR(__xludf.DUMMYFUNCTION("""COMPUTED_VALUE"""),4.0)</f>
        <v>4</v>
      </c>
      <c r="Z385" s="400" t="str">
        <f>IFERROR(__xludf.DUMMYFUNCTION("""COMPUTED_VALUE"""),"効果値")</f>
        <v>効果値</v>
      </c>
      <c r="AA385" s="343">
        <f>IFERROR(__xludf.DUMMYFUNCTION("""COMPUTED_VALUE"""),13.0)</f>
        <v>13</v>
      </c>
      <c r="AB385" s="402">
        <f>IFERROR(__xludf.DUMMYFUNCTION("""COMPUTED_VALUE"""),13.0)</f>
        <v>13</v>
      </c>
      <c r="AC385" s="343">
        <f>IFERROR(__xludf.DUMMYFUNCTION("""COMPUTED_VALUE"""),13.0)</f>
        <v>13</v>
      </c>
      <c r="AD385" s="402">
        <f>IFERROR(__xludf.DUMMYFUNCTION("""COMPUTED_VALUE"""),13.0)</f>
        <v>13</v>
      </c>
      <c r="AE385" s="343">
        <f>IFERROR(__xludf.DUMMYFUNCTION("""COMPUTED_VALUE"""),13.0)</f>
        <v>13</v>
      </c>
      <c r="AF385" s="343">
        <f>IFERROR(__xludf.DUMMYFUNCTION("""COMPUTED_VALUE"""),14.0)</f>
        <v>14</v>
      </c>
      <c r="AG385" s="343">
        <f>IFERROR(__xludf.DUMMYFUNCTION("""COMPUTED_VALUE"""),19.0)</f>
        <v>19</v>
      </c>
      <c r="AH385" s="343">
        <f>IFERROR(__xludf.DUMMYFUNCTION("""COMPUTED_VALUE"""),24.0)</f>
        <v>24</v>
      </c>
      <c r="AI385" s="385" t="str">
        <f>IFERROR(__xludf.DUMMYFUNCTION("""COMPUTED_VALUE"""),"持続型")</f>
        <v>持続型</v>
      </c>
      <c r="AJ385" s="399">
        <f>IFERROR(__xludf.DUMMYFUNCTION("""COMPUTED_VALUE"""),4.0)</f>
        <v>4</v>
      </c>
      <c r="AK385" s="400" t="str">
        <f>IFERROR(__xludf.DUMMYFUNCTION("""COMPUTED_VALUE"""),"効果値")</f>
        <v>効果値</v>
      </c>
      <c r="AL385" s="343">
        <f>IFERROR(__xludf.DUMMYFUNCTION("""COMPUTED_VALUE"""),8.0)</f>
        <v>8</v>
      </c>
      <c r="AM385" s="402">
        <f>IFERROR(__xludf.DUMMYFUNCTION("""COMPUTED_VALUE"""),8.0)</f>
        <v>8</v>
      </c>
      <c r="AN385" s="343">
        <f>IFERROR(__xludf.DUMMYFUNCTION("""COMPUTED_VALUE"""),8.0)</f>
        <v>8</v>
      </c>
      <c r="AO385" s="402">
        <f>IFERROR(__xludf.DUMMYFUNCTION("""COMPUTED_VALUE"""),8.0)</f>
        <v>8</v>
      </c>
      <c r="AP385" s="343">
        <f>IFERROR(__xludf.DUMMYFUNCTION("""COMPUTED_VALUE"""),8.0)</f>
        <v>8</v>
      </c>
      <c r="AQ385" s="343">
        <f>IFERROR(__xludf.DUMMYFUNCTION("""COMPUTED_VALUE"""),9.0)</f>
        <v>9</v>
      </c>
      <c r="AR385" s="343">
        <f>IFERROR(__xludf.DUMMYFUNCTION("""COMPUTED_VALUE"""),12.0)</f>
        <v>12</v>
      </c>
      <c r="AS385" s="343">
        <f>IFERROR(__xludf.DUMMYFUNCTION("""COMPUTED_VALUE"""),12.0)</f>
        <v>12</v>
      </c>
      <c r="AT385" s="385" t="str">
        <f>IFERROR(__xludf.DUMMYFUNCTION("""COMPUTED_VALUE"""),"超持続型")</f>
        <v>超持続型</v>
      </c>
      <c r="AU385" s="399">
        <f>IFERROR(__xludf.DUMMYFUNCTION("""COMPUTED_VALUE"""),4.0)</f>
        <v>4</v>
      </c>
      <c r="AV385" s="400" t="str">
        <f>IFERROR(__xludf.DUMMYFUNCTION("""COMPUTED_VALUE"""),"効果値")</f>
        <v>効果値</v>
      </c>
      <c r="AW385" s="403" t="str">
        <f>IFERROR(__xludf.DUMMYFUNCTION("""COMPUTED_VALUE"""),"-")</f>
        <v>-</v>
      </c>
      <c r="AX385" s="403" t="str">
        <f>IFERROR(__xludf.DUMMYFUNCTION("""COMPUTED_VALUE"""),"-")</f>
        <v>-</v>
      </c>
      <c r="AY385" s="403" t="str">
        <f>IFERROR(__xludf.DUMMYFUNCTION("""COMPUTED_VALUE"""),"-")</f>
        <v>-</v>
      </c>
      <c r="AZ385" s="403" t="str">
        <f>IFERROR(__xludf.DUMMYFUNCTION("""COMPUTED_VALUE"""),"-")</f>
        <v>-</v>
      </c>
      <c r="BA385" s="403" t="str">
        <f>IFERROR(__xludf.DUMMYFUNCTION("""COMPUTED_VALUE"""),"-")</f>
        <v>-</v>
      </c>
      <c r="BB385" s="343">
        <f>IFERROR(__xludf.DUMMYFUNCTION("""COMPUTED_VALUE"""),9.0)</f>
        <v>9</v>
      </c>
      <c r="BC385" s="343">
        <f>IFERROR(__xludf.DUMMYFUNCTION("""COMPUTED_VALUE"""),12.0)</f>
        <v>12</v>
      </c>
      <c r="BD385" s="343">
        <f>IFERROR(__xludf.DUMMYFUNCTION("""COMPUTED_VALUE"""),12.0)</f>
        <v>12</v>
      </c>
      <c r="BE385" s="385" t="str">
        <f>IFERROR(__xludf.DUMMYFUNCTION("""COMPUTED_VALUE"""),"ハイブリッド型")</f>
        <v>ハイブリッド型</v>
      </c>
      <c r="BF385" s="399">
        <f>IFERROR(__xludf.DUMMYFUNCTION("""COMPUTED_VALUE"""),4.0)</f>
        <v>4</v>
      </c>
      <c r="BG385" s="400" t="str">
        <f>IFERROR(__xludf.DUMMYFUNCTION("""COMPUTED_VALUE"""),"効果値")</f>
        <v>効果値</v>
      </c>
      <c r="BH385" s="411">
        <f>IFERROR(__xludf.DUMMYFUNCTION("""COMPUTED_VALUE"""),11.8)</f>
        <v>11.8</v>
      </c>
      <c r="BI385" s="412">
        <f>IFERROR(__xludf.DUMMYFUNCTION("""COMPUTED_VALUE"""),12.4)</f>
        <v>12.4</v>
      </c>
      <c r="BJ385" s="412">
        <f>IFERROR(__xludf.DUMMYFUNCTION("""COMPUTED_VALUE"""),13.1)</f>
        <v>13.1</v>
      </c>
      <c r="BK385" s="412">
        <f>IFERROR(__xludf.DUMMYFUNCTION("""COMPUTED_VALUE"""),13.7)</f>
        <v>13.7</v>
      </c>
      <c r="BL385" s="412">
        <f>IFERROR(__xludf.DUMMYFUNCTION("""COMPUTED_VALUE"""),14.4)</f>
        <v>14.4</v>
      </c>
      <c r="BM385" s="412">
        <f>IFERROR(__xludf.DUMMYFUNCTION("""COMPUTED_VALUE"""),19.4)</f>
        <v>19.4</v>
      </c>
      <c r="BN385" s="412">
        <f>IFERROR(__xludf.DUMMYFUNCTION("""COMPUTED_VALUE"""),24.0)</f>
        <v>24</v>
      </c>
      <c r="BO385" s="413">
        <f>IFERROR(__xludf.DUMMYFUNCTION("""COMPUTED_VALUE"""),29.0)</f>
        <v>29</v>
      </c>
    </row>
    <row r="386">
      <c r="A386" s="435" t="str">
        <f>IFERROR(__xludf.DUMMYFUNCTION("""COMPUTED_VALUE"""),"攻撃力Down(テクニカル)")</f>
        <v>攻撃力Down(テクニカル)</v>
      </c>
      <c r="B386" s="385" t="str">
        <f>IFERROR(__xludf.DUMMYFUNCTION("""COMPUTED_VALUE"""),"超瞬間型")</f>
        <v>超瞬間型</v>
      </c>
      <c r="C386" s="386">
        <f>IFERROR(__xludf.DUMMYFUNCTION("""COMPUTED_VALUE"""),4.0)</f>
        <v>4</v>
      </c>
      <c r="D386" s="387" t="str">
        <f>IFERROR(__xludf.DUMMYFUNCTION("""COMPUTED_VALUE"""),"効果時間")</f>
        <v>効果時間</v>
      </c>
      <c r="E386" s="388" t="str">
        <f>IFERROR(__xludf.DUMMYFUNCTION("""COMPUTED_VALUE"""),"-")</f>
        <v>-</v>
      </c>
      <c r="F386" s="389" t="str">
        <f>IFERROR(__xludf.DUMMYFUNCTION("""COMPUTED_VALUE"""),"-")</f>
        <v>-</v>
      </c>
      <c r="G386" s="388" t="str">
        <f>IFERROR(__xludf.DUMMYFUNCTION("""COMPUTED_VALUE"""),"-")</f>
        <v>-</v>
      </c>
      <c r="H386" s="389" t="str">
        <f>IFERROR(__xludf.DUMMYFUNCTION("""COMPUTED_VALUE"""),"-")</f>
        <v>-</v>
      </c>
      <c r="I386" s="388" t="str">
        <f>IFERROR(__xludf.DUMMYFUNCTION("""COMPUTED_VALUE"""),"-")</f>
        <v>-</v>
      </c>
      <c r="J386" s="390">
        <f>IFERROR(__xludf.DUMMYFUNCTION("""COMPUTED_VALUE"""),155.0)</f>
        <v>155</v>
      </c>
      <c r="K386" s="391">
        <f>IFERROR(__xludf.DUMMYFUNCTION("""COMPUTED_VALUE"""),170.0)</f>
        <v>170</v>
      </c>
      <c r="L386" s="340">
        <f>IFERROR(__xludf.DUMMYFUNCTION("""COMPUTED_VALUE"""),195.0)</f>
        <v>195</v>
      </c>
      <c r="M386" s="385" t="str">
        <f>IFERROR(__xludf.DUMMYFUNCTION("""COMPUTED_VALUE"""),"瞬間型")</f>
        <v>瞬間型</v>
      </c>
      <c r="N386" s="386">
        <f>IFERROR(__xludf.DUMMYFUNCTION("""COMPUTED_VALUE"""),4.0)</f>
        <v>4</v>
      </c>
      <c r="O386" s="387" t="str">
        <f>IFERROR(__xludf.DUMMYFUNCTION("""COMPUTED_VALUE"""),"効果時間")</f>
        <v>効果時間</v>
      </c>
      <c r="P386" s="280">
        <f>IFERROR(__xludf.DUMMYFUNCTION("""COMPUTED_VALUE"""),170.0)</f>
        <v>170</v>
      </c>
      <c r="Q386" s="275">
        <f>IFERROR(__xludf.DUMMYFUNCTION("""COMPUTED_VALUE"""),180.0)</f>
        <v>180</v>
      </c>
      <c r="R386" s="280">
        <f>IFERROR(__xludf.DUMMYFUNCTION("""COMPUTED_VALUE"""),185.0)</f>
        <v>185</v>
      </c>
      <c r="S386" s="275">
        <f>IFERROR(__xludf.DUMMYFUNCTION("""COMPUTED_VALUE"""),195.0)</f>
        <v>195</v>
      </c>
      <c r="T386" s="280">
        <f>IFERROR(__xludf.DUMMYFUNCTION("""COMPUTED_VALUE"""),200.0)</f>
        <v>200</v>
      </c>
      <c r="U386" s="280">
        <f>IFERROR(__xludf.DUMMYFUNCTION("""COMPUTED_VALUE"""),215.0)</f>
        <v>215</v>
      </c>
      <c r="V386" s="280">
        <f>IFERROR(__xludf.DUMMYFUNCTION("""COMPUTED_VALUE"""),285.0)</f>
        <v>285</v>
      </c>
      <c r="W386" s="280">
        <f>IFERROR(__xludf.DUMMYFUNCTION("""COMPUTED_VALUE"""),305.0)</f>
        <v>305</v>
      </c>
      <c r="X386" s="385" t="str">
        <f>IFERROR(__xludf.DUMMYFUNCTION("""COMPUTED_VALUE"""),"安定型")</f>
        <v>安定型</v>
      </c>
      <c r="Y386" s="386">
        <f>IFERROR(__xludf.DUMMYFUNCTION("""COMPUTED_VALUE"""),4.0)</f>
        <v>4</v>
      </c>
      <c r="Z386" s="387" t="str">
        <f>IFERROR(__xludf.DUMMYFUNCTION("""COMPUTED_VALUE"""),"効果時間")</f>
        <v>効果時間</v>
      </c>
      <c r="AA386" s="280">
        <f>IFERROR(__xludf.DUMMYFUNCTION("""COMPUTED_VALUE"""),320.0)</f>
        <v>320</v>
      </c>
      <c r="AB386" s="275">
        <f>IFERROR(__xludf.DUMMYFUNCTION("""COMPUTED_VALUE"""),330.0)</f>
        <v>330</v>
      </c>
      <c r="AC386" s="280">
        <f>IFERROR(__xludf.DUMMYFUNCTION("""COMPUTED_VALUE"""),335.0)</f>
        <v>335</v>
      </c>
      <c r="AD386" s="275">
        <f>IFERROR(__xludf.DUMMYFUNCTION("""COMPUTED_VALUE"""),345.0)</f>
        <v>345</v>
      </c>
      <c r="AE386" s="280">
        <f>IFERROR(__xludf.DUMMYFUNCTION("""COMPUTED_VALUE"""),350.0)</f>
        <v>350</v>
      </c>
      <c r="AF386" s="280">
        <f>IFERROR(__xludf.DUMMYFUNCTION("""COMPUTED_VALUE"""),390.0)</f>
        <v>390</v>
      </c>
      <c r="AG386" s="280">
        <f>IFERROR(__xludf.DUMMYFUNCTION("""COMPUTED_VALUE"""),435.0)</f>
        <v>435</v>
      </c>
      <c r="AH386" s="280">
        <f>IFERROR(__xludf.DUMMYFUNCTION("""COMPUTED_VALUE"""),455.0)</f>
        <v>455</v>
      </c>
      <c r="AI386" s="385" t="str">
        <f>IFERROR(__xludf.DUMMYFUNCTION("""COMPUTED_VALUE"""),"持続型")</f>
        <v>持続型</v>
      </c>
      <c r="AJ386" s="386">
        <f>IFERROR(__xludf.DUMMYFUNCTION("""COMPUTED_VALUE"""),4.0)</f>
        <v>4</v>
      </c>
      <c r="AK386" s="387" t="str">
        <f>IFERROR(__xludf.DUMMYFUNCTION("""COMPUTED_VALUE"""),"効果時間")</f>
        <v>効果時間</v>
      </c>
      <c r="AL386" s="280">
        <f>IFERROR(__xludf.DUMMYFUNCTION("""COMPUTED_VALUE"""),470.0)</f>
        <v>470</v>
      </c>
      <c r="AM386" s="275">
        <f>IFERROR(__xludf.DUMMYFUNCTION("""COMPUTED_VALUE"""),480.0)</f>
        <v>480</v>
      </c>
      <c r="AN386" s="280">
        <f>IFERROR(__xludf.DUMMYFUNCTION("""COMPUTED_VALUE"""),485.0)</f>
        <v>485</v>
      </c>
      <c r="AO386" s="275">
        <f>IFERROR(__xludf.DUMMYFUNCTION("""COMPUTED_VALUE"""),495.0)</f>
        <v>495</v>
      </c>
      <c r="AP386" s="280">
        <f>IFERROR(__xludf.DUMMYFUNCTION("""COMPUTED_VALUE"""),500.0)</f>
        <v>500</v>
      </c>
      <c r="AQ386" s="280">
        <f>IFERROR(__xludf.DUMMYFUNCTION("""COMPUTED_VALUE"""),540.0)</f>
        <v>540</v>
      </c>
      <c r="AR386" s="280">
        <f>IFERROR(__xludf.DUMMYFUNCTION("""COMPUTED_VALUE"""),585.0)</f>
        <v>585</v>
      </c>
      <c r="AS386" s="280">
        <f>IFERROR(__xludf.DUMMYFUNCTION("""COMPUTED_VALUE"""),605.0)</f>
        <v>605</v>
      </c>
      <c r="AT386" s="385" t="str">
        <f>IFERROR(__xludf.DUMMYFUNCTION("""COMPUTED_VALUE"""),"超持続型")</f>
        <v>超持続型</v>
      </c>
      <c r="AU386" s="386">
        <f>IFERROR(__xludf.DUMMYFUNCTION("""COMPUTED_VALUE"""),4.0)</f>
        <v>4</v>
      </c>
      <c r="AV386" s="387" t="str">
        <f>IFERROR(__xludf.DUMMYFUNCTION("""COMPUTED_VALUE"""),"効果時間")</f>
        <v>効果時間</v>
      </c>
      <c r="AW386" s="368" t="str">
        <f>IFERROR(__xludf.DUMMYFUNCTION("""COMPUTED_VALUE"""),"-")</f>
        <v>-</v>
      </c>
      <c r="AX386" s="368" t="str">
        <f>IFERROR(__xludf.DUMMYFUNCTION("""COMPUTED_VALUE"""),"-")</f>
        <v>-</v>
      </c>
      <c r="AY386" s="368" t="str">
        <f>IFERROR(__xludf.DUMMYFUNCTION("""COMPUTED_VALUE"""),"-")</f>
        <v>-</v>
      </c>
      <c r="AZ386" s="368" t="str">
        <f>IFERROR(__xludf.DUMMYFUNCTION("""COMPUTED_VALUE"""),"-")</f>
        <v>-</v>
      </c>
      <c r="BA386" s="368" t="str">
        <f>IFERROR(__xludf.DUMMYFUNCTION("""COMPUTED_VALUE"""),"-")</f>
        <v>-</v>
      </c>
      <c r="BB386" s="280">
        <f>IFERROR(__xludf.DUMMYFUNCTION("""COMPUTED_VALUE"""),645.0)</f>
        <v>645</v>
      </c>
      <c r="BC386" s="280">
        <f>IFERROR(__xludf.DUMMYFUNCTION("""COMPUTED_VALUE"""),735.0)</f>
        <v>735</v>
      </c>
      <c r="BD386" s="280">
        <f>IFERROR(__xludf.DUMMYFUNCTION("""COMPUTED_VALUE"""),755.0)</f>
        <v>755</v>
      </c>
      <c r="BE386" s="385" t="str">
        <f>IFERROR(__xludf.DUMMYFUNCTION("""COMPUTED_VALUE"""),"ハイブリッド型")</f>
        <v>ハイブリッド型</v>
      </c>
      <c r="BF386" s="386">
        <f>IFERROR(__xludf.DUMMYFUNCTION("""COMPUTED_VALUE"""),4.0)</f>
        <v>4</v>
      </c>
      <c r="BG386" s="387" t="str">
        <f>IFERROR(__xludf.DUMMYFUNCTION("""COMPUTED_VALUE"""),"効果時間")</f>
        <v>効果時間</v>
      </c>
      <c r="BH386" s="417">
        <f>IFERROR(__xludf.DUMMYFUNCTION("""COMPUTED_VALUE"""),240.0)</f>
        <v>240</v>
      </c>
      <c r="BI386" s="417">
        <f>IFERROR(__xludf.DUMMYFUNCTION("""COMPUTED_VALUE"""),255.0)</f>
        <v>255</v>
      </c>
      <c r="BJ386" s="417">
        <f>IFERROR(__xludf.DUMMYFUNCTION("""COMPUTED_VALUE"""),265.0)</f>
        <v>265</v>
      </c>
      <c r="BK386" s="418">
        <f>IFERROR(__xludf.DUMMYFUNCTION("""COMPUTED_VALUE"""),275.0)</f>
        <v>275</v>
      </c>
      <c r="BL386" s="417">
        <f>IFERROR(__xludf.DUMMYFUNCTION("""COMPUTED_VALUE"""),285.0)</f>
        <v>285</v>
      </c>
      <c r="BM386" s="418">
        <f>IFERROR(__xludf.DUMMYFUNCTION("""COMPUTED_VALUE"""),395.0)</f>
        <v>395</v>
      </c>
      <c r="BN386" s="417">
        <f>IFERROR(__xludf.DUMMYFUNCTION("""COMPUTED_VALUE"""),500.0)</f>
        <v>500</v>
      </c>
      <c r="BO386" s="418">
        <f>IFERROR(__xludf.DUMMYFUNCTION("""COMPUTED_VALUE"""),520.0)</f>
        <v>520</v>
      </c>
    </row>
    <row r="387">
      <c r="A387" s="435" t="str">
        <f>IFERROR(__xludf.DUMMYFUNCTION("""COMPUTED_VALUE"""),"攻撃力Down(テクニカル)")</f>
        <v>攻撃力Down(テクニカル)</v>
      </c>
      <c r="B387" s="385" t="str">
        <f>IFERROR(__xludf.DUMMYFUNCTION("""COMPUTED_VALUE"""),"超瞬間型")</f>
        <v>超瞬間型</v>
      </c>
      <c r="C387" s="399">
        <f>IFERROR(__xludf.DUMMYFUNCTION("""COMPUTED_VALUE"""),5.0)</f>
        <v>5</v>
      </c>
      <c r="D387" s="400" t="str">
        <f>IFERROR(__xludf.DUMMYFUNCTION("""COMPUTED_VALUE"""),"効果値")</f>
        <v>効果値</v>
      </c>
      <c r="E387" s="419" t="str">
        <f>IFERROR(__xludf.DUMMYFUNCTION("""COMPUTED_VALUE"""),"-")</f>
        <v>-</v>
      </c>
      <c r="F387" s="409" t="str">
        <f>IFERROR(__xludf.DUMMYFUNCTION("""COMPUTED_VALUE"""),"-")</f>
        <v>-</v>
      </c>
      <c r="G387" s="409" t="str">
        <f>IFERROR(__xludf.DUMMYFUNCTION("""COMPUTED_VALUE"""),"-")</f>
        <v>-</v>
      </c>
      <c r="H387" s="409" t="str">
        <f>IFERROR(__xludf.DUMMYFUNCTION("""COMPUTED_VALUE"""),"-")</f>
        <v>-</v>
      </c>
      <c r="I387" s="409" t="str">
        <f>IFERROR(__xludf.DUMMYFUNCTION("""COMPUTED_VALUE"""),"-")</f>
        <v>-</v>
      </c>
      <c r="J387" s="420">
        <f>IFERROR(__xludf.DUMMYFUNCTION("""COMPUTED_VALUE"""),60.0)</f>
        <v>60</v>
      </c>
      <c r="K387" s="421">
        <f>IFERROR(__xludf.DUMMYFUNCTION("""COMPUTED_VALUE"""),70.0)</f>
        <v>70</v>
      </c>
      <c r="L387" s="421">
        <f>IFERROR(__xludf.DUMMYFUNCTION("""COMPUTED_VALUE"""),75.0)</f>
        <v>75</v>
      </c>
      <c r="M387" s="385" t="str">
        <f>IFERROR(__xludf.DUMMYFUNCTION("""COMPUTED_VALUE"""),"瞬間型")</f>
        <v>瞬間型</v>
      </c>
      <c r="N387" s="399">
        <f>IFERROR(__xludf.DUMMYFUNCTION("""COMPUTED_VALUE"""),5.0)</f>
        <v>5</v>
      </c>
      <c r="O387" s="400" t="str">
        <f>IFERROR(__xludf.DUMMYFUNCTION("""COMPUTED_VALUE"""),"効果値")</f>
        <v>効果値</v>
      </c>
      <c r="P387" s="422">
        <f>IFERROR(__xludf.DUMMYFUNCTION("""COMPUTED_VALUE"""),23.0)</f>
        <v>23</v>
      </c>
      <c r="Q387" s="423">
        <f>IFERROR(__xludf.DUMMYFUNCTION("""COMPUTED_VALUE"""),23.0)</f>
        <v>23</v>
      </c>
      <c r="R387" s="422">
        <f>IFERROR(__xludf.DUMMYFUNCTION("""COMPUTED_VALUE"""),24.0)</f>
        <v>24</v>
      </c>
      <c r="S387" s="423">
        <f>IFERROR(__xludf.DUMMYFUNCTION("""COMPUTED_VALUE"""),24.0)</f>
        <v>24</v>
      </c>
      <c r="T387" s="422">
        <f>IFERROR(__xludf.DUMMYFUNCTION("""COMPUTED_VALUE"""),24.0)</f>
        <v>24</v>
      </c>
      <c r="U387" s="423">
        <f>IFERROR(__xludf.DUMMYFUNCTION("""COMPUTED_VALUE"""),30.0)</f>
        <v>30</v>
      </c>
      <c r="V387" s="423">
        <f>IFERROR(__xludf.DUMMYFUNCTION("""COMPUTED_VALUE"""),35.0)</f>
        <v>35</v>
      </c>
      <c r="W387" s="424">
        <f>IFERROR(__xludf.DUMMYFUNCTION("""COMPUTED_VALUE"""),40.0)</f>
        <v>40</v>
      </c>
      <c r="X387" s="385" t="str">
        <f>IFERROR(__xludf.DUMMYFUNCTION("""COMPUTED_VALUE"""),"安定型")</f>
        <v>安定型</v>
      </c>
      <c r="Y387" s="399">
        <f>IFERROR(__xludf.DUMMYFUNCTION("""COMPUTED_VALUE"""),5.0)</f>
        <v>5</v>
      </c>
      <c r="Z387" s="400" t="str">
        <f>IFERROR(__xludf.DUMMYFUNCTION("""COMPUTED_VALUE"""),"効果値")</f>
        <v>効果値</v>
      </c>
      <c r="AA387" s="422">
        <f>IFERROR(__xludf.DUMMYFUNCTION("""COMPUTED_VALUE"""),13.0)</f>
        <v>13</v>
      </c>
      <c r="AB387" s="423">
        <f>IFERROR(__xludf.DUMMYFUNCTION("""COMPUTED_VALUE"""),13.0)</f>
        <v>13</v>
      </c>
      <c r="AC387" s="422">
        <f>IFERROR(__xludf.DUMMYFUNCTION("""COMPUTED_VALUE"""),14.0)</f>
        <v>14</v>
      </c>
      <c r="AD387" s="423">
        <f>IFERROR(__xludf.DUMMYFUNCTION("""COMPUTED_VALUE"""),14.0)</f>
        <v>14</v>
      </c>
      <c r="AE387" s="422">
        <f>IFERROR(__xludf.DUMMYFUNCTION("""COMPUTED_VALUE"""),14.0)</f>
        <v>14</v>
      </c>
      <c r="AF387" s="423">
        <f>IFERROR(__xludf.DUMMYFUNCTION("""COMPUTED_VALUE"""),15.0)</f>
        <v>15</v>
      </c>
      <c r="AG387" s="423">
        <f>IFERROR(__xludf.DUMMYFUNCTION("""COMPUTED_VALUE"""),20.0)</f>
        <v>20</v>
      </c>
      <c r="AH387" s="424">
        <f>IFERROR(__xludf.DUMMYFUNCTION("""COMPUTED_VALUE"""),25.0)</f>
        <v>25</v>
      </c>
      <c r="AI387" s="385" t="str">
        <f>IFERROR(__xludf.DUMMYFUNCTION("""COMPUTED_VALUE"""),"持続型")</f>
        <v>持続型</v>
      </c>
      <c r="AJ387" s="399">
        <f>IFERROR(__xludf.DUMMYFUNCTION("""COMPUTED_VALUE"""),5.0)</f>
        <v>5</v>
      </c>
      <c r="AK387" s="400" t="str">
        <f>IFERROR(__xludf.DUMMYFUNCTION("""COMPUTED_VALUE"""),"効果値")</f>
        <v>効果値</v>
      </c>
      <c r="AL387" s="422">
        <f>IFERROR(__xludf.DUMMYFUNCTION("""COMPUTED_VALUE"""),8.0)</f>
        <v>8</v>
      </c>
      <c r="AM387" s="423">
        <f>IFERROR(__xludf.DUMMYFUNCTION("""COMPUTED_VALUE"""),8.0)</f>
        <v>8</v>
      </c>
      <c r="AN387" s="422">
        <f>IFERROR(__xludf.DUMMYFUNCTION("""COMPUTED_VALUE"""),9.0)</f>
        <v>9</v>
      </c>
      <c r="AO387" s="423">
        <f>IFERROR(__xludf.DUMMYFUNCTION("""COMPUTED_VALUE"""),9.0)</f>
        <v>9</v>
      </c>
      <c r="AP387" s="422">
        <f>IFERROR(__xludf.DUMMYFUNCTION("""COMPUTED_VALUE"""),9.0)</f>
        <v>9</v>
      </c>
      <c r="AQ387" s="423">
        <f>IFERROR(__xludf.DUMMYFUNCTION("""COMPUTED_VALUE"""),10.0)</f>
        <v>10</v>
      </c>
      <c r="AR387" s="423">
        <f>IFERROR(__xludf.DUMMYFUNCTION("""COMPUTED_VALUE"""),12.0)</f>
        <v>12</v>
      </c>
      <c r="AS387" s="424">
        <f>IFERROR(__xludf.DUMMYFUNCTION("""COMPUTED_VALUE"""),12.0)</f>
        <v>12</v>
      </c>
      <c r="AT387" s="385" t="str">
        <f>IFERROR(__xludf.DUMMYFUNCTION("""COMPUTED_VALUE"""),"超持続型")</f>
        <v>超持続型</v>
      </c>
      <c r="AU387" s="399">
        <f>IFERROR(__xludf.DUMMYFUNCTION("""COMPUTED_VALUE"""),5.0)</f>
        <v>5</v>
      </c>
      <c r="AV387" s="400" t="str">
        <f>IFERROR(__xludf.DUMMYFUNCTION("""COMPUTED_VALUE"""),"効果値")</f>
        <v>効果値</v>
      </c>
      <c r="AW387" s="425" t="str">
        <f>IFERROR(__xludf.DUMMYFUNCTION("""COMPUTED_VALUE"""),"-")</f>
        <v>-</v>
      </c>
      <c r="AX387" s="426" t="str">
        <f>IFERROR(__xludf.DUMMYFUNCTION("""COMPUTED_VALUE"""),"-")</f>
        <v>-</v>
      </c>
      <c r="AY387" s="426" t="str">
        <f>IFERROR(__xludf.DUMMYFUNCTION("""COMPUTED_VALUE"""),"-")</f>
        <v>-</v>
      </c>
      <c r="AZ387" s="426" t="str">
        <f>IFERROR(__xludf.DUMMYFUNCTION("""COMPUTED_VALUE"""),"-")</f>
        <v>-</v>
      </c>
      <c r="BA387" s="426" t="str">
        <f>IFERROR(__xludf.DUMMYFUNCTION("""COMPUTED_VALUE"""),"-")</f>
        <v>-</v>
      </c>
      <c r="BB387" s="423">
        <f>IFERROR(__xludf.DUMMYFUNCTION("""COMPUTED_VALUE"""),10.0)</f>
        <v>10</v>
      </c>
      <c r="BC387" s="423">
        <f>IFERROR(__xludf.DUMMYFUNCTION("""COMPUTED_VALUE"""),12.0)</f>
        <v>12</v>
      </c>
      <c r="BD387" s="424">
        <f>IFERROR(__xludf.DUMMYFUNCTION("""COMPUTED_VALUE"""),12.0)</f>
        <v>12</v>
      </c>
      <c r="BE387" s="385" t="str">
        <f>IFERROR(__xludf.DUMMYFUNCTION("""COMPUTED_VALUE"""),"ハイブリッド型")</f>
        <v>ハイブリッド型</v>
      </c>
      <c r="BF387" s="399">
        <f>IFERROR(__xludf.DUMMYFUNCTION("""COMPUTED_VALUE"""),5.0)</f>
        <v>5</v>
      </c>
      <c r="BG387" s="400" t="str">
        <f>IFERROR(__xludf.DUMMYFUNCTION("""COMPUTED_VALUE"""),"効果値")</f>
        <v>効果値</v>
      </c>
      <c r="BH387" s="427">
        <f>IFERROR(__xludf.DUMMYFUNCTION("""COMPUTED_VALUE"""),12.0)</f>
        <v>12</v>
      </c>
      <c r="BI387" s="428">
        <f>IFERROR(__xludf.DUMMYFUNCTION("""COMPUTED_VALUE"""),12.75)</f>
        <v>12.75</v>
      </c>
      <c r="BJ387" s="428">
        <f>IFERROR(__xludf.DUMMYFUNCTION("""COMPUTED_VALUE"""),13.5)</f>
        <v>13.5</v>
      </c>
      <c r="BK387" s="428">
        <f>IFERROR(__xludf.DUMMYFUNCTION("""COMPUTED_VALUE"""),14.25)</f>
        <v>14.25</v>
      </c>
      <c r="BL387" s="427">
        <f>IFERROR(__xludf.DUMMYFUNCTION("""COMPUTED_VALUE"""),15.0)</f>
        <v>15</v>
      </c>
      <c r="BM387" s="427">
        <f>IFERROR(__xludf.DUMMYFUNCTION("""COMPUTED_VALUE"""),20.0)</f>
        <v>20</v>
      </c>
      <c r="BN387" s="427">
        <f>IFERROR(__xludf.DUMMYFUNCTION("""COMPUTED_VALUE"""),25.0)</f>
        <v>25</v>
      </c>
      <c r="BO387" s="429">
        <f>IFERROR(__xludf.DUMMYFUNCTION("""COMPUTED_VALUE"""),30.0)</f>
        <v>30</v>
      </c>
    </row>
    <row r="388">
      <c r="A388" s="435" t="str">
        <f>IFERROR(__xludf.DUMMYFUNCTION("""COMPUTED_VALUE"""),"攻撃力Down(テクニカル)")</f>
        <v>攻撃力Down(テクニカル)</v>
      </c>
      <c r="B388" s="385" t="str">
        <f>IFERROR(__xludf.DUMMYFUNCTION("""COMPUTED_VALUE"""),"超瞬間型")</f>
        <v>超瞬間型</v>
      </c>
      <c r="C388" s="430">
        <f>IFERROR(__xludf.DUMMYFUNCTION("""COMPUTED_VALUE"""),5.0)</f>
        <v>5</v>
      </c>
      <c r="D388" s="431" t="str">
        <f>IFERROR(__xludf.DUMMYFUNCTION("""COMPUTED_VALUE"""),"効果時間")</f>
        <v>効果時間</v>
      </c>
      <c r="E388" s="388" t="str">
        <f>IFERROR(__xludf.DUMMYFUNCTION("""COMPUTED_VALUE"""),"-")</f>
        <v>-</v>
      </c>
      <c r="F388" s="389" t="str">
        <f>IFERROR(__xludf.DUMMYFUNCTION("""COMPUTED_VALUE"""),"-")</f>
        <v>-</v>
      </c>
      <c r="G388" s="388" t="str">
        <f>IFERROR(__xludf.DUMMYFUNCTION("""COMPUTED_VALUE"""),"-")</f>
        <v>-</v>
      </c>
      <c r="H388" s="389" t="str">
        <f>IFERROR(__xludf.DUMMYFUNCTION("""COMPUTED_VALUE"""),"-")</f>
        <v>-</v>
      </c>
      <c r="I388" s="388" t="str">
        <f>IFERROR(__xludf.DUMMYFUNCTION("""COMPUTED_VALUE"""),"-")</f>
        <v>-</v>
      </c>
      <c r="J388" s="390">
        <f>IFERROR(__xludf.DUMMYFUNCTION("""COMPUTED_VALUE"""),160.0)</f>
        <v>160</v>
      </c>
      <c r="K388" s="391">
        <f>IFERROR(__xludf.DUMMYFUNCTION("""COMPUTED_VALUE"""),175.0)</f>
        <v>175</v>
      </c>
      <c r="L388" s="340">
        <f>IFERROR(__xludf.DUMMYFUNCTION("""COMPUTED_VALUE"""),200.0)</f>
        <v>200</v>
      </c>
      <c r="M388" s="385" t="str">
        <f>IFERROR(__xludf.DUMMYFUNCTION("""COMPUTED_VALUE"""),"瞬間型")</f>
        <v>瞬間型</v>
      </c>
      <c r="N388" s="430">
        <f>IFERROR(__xludf.DUMMYFUNCTION("""COMPUTED_VALUE"""),5.0)</f>
        <v>5</v>
      </c>
      <c r="O388" s="431" t="str">
        <f>IFERROR(__xludf.DUMMYFUNCTION("""COMPUTED_VALUE"""),"効果時間")</f>
        <v>効果時間</v>
      </c>
      <c r="P388" s="392">
        <f>IFERROR(__xludf.DUMMYFUNCTION("""COMPUTED_VALUE"""),175.0)</f>
        <v>175</v>
      </c>
      <c r="Q388" s="414">
        <f>IFERROR(__xludf.DUMMYFUNCTION("""COMPUTED_VALUE"""),185.0)</f>
        <v>185</v>
      </c>
      <c r="R388" s="414">
        <f>IFERROR(__xludf.DUMMYFUNCTION("""COMPUTED_VALUE"""),190.0)</f>
        <v>190</v>
      </c>
      <c r="S388" s="414">
        <f>IFERROR(__xludf.DUMMYFUNCTION("""COMPUTED_VALUE"""),195.0)</f>
        <v>195</v>
      </c>
      <c r="T388" s="394">
        <f>IFERROR(__xludf.DUMMYFUNCTION("""COMPUTED_VALUE"""),200.0)</f>
        <v>200</v>
      </c>
      <c r="U388" s="394">
        <f>IFERROR(__xludf.DUMMYFUNCTION("""COMPUTED_VALUE"""),225.0)</f>
        <v>225</v>
      </c>
      <c r="V388" s="394">
        <f>IFERROR(__xludf.DUMMYFUNCTION("""COMPUTED_VALUE"""),300.0)</f>
        <v>300</v>
      </c>
      <c r="W388" s="394">
        <f>IFERROR(__xludf.DUMMYFUNCTION("""COMPUTED_VALUE"""),325.0)</f>
        <v>325</v>
      </c>
      <c r="X388" s="385" t="str">
        <f>IFERROR(__xludf.DUMMYFUNCTION("""COMPUTED_VALUE"""),"安定型")</f>
        <v>安定型</v>
      </c>
      <c r="Y388" s="430">
        <f>IFERROR(__xludf.DUMMYFUNCTION("""COMPUTED_VALUE"""),5.0)</f>
        <v>5</v>
      </c>
      <c r="Z388" s="431" t="str">
        <f>IFERROR(__xludf.DUMMYFUNCTION("""COMPUTED_VALUE"""),"効果時間")</f>
        <v>効果時間</v>
      </c>
      <c r="AA388" s="392">
        <f>IFERROR(__xludf.DUMMYFUNCTION("""COMPUTED_VALUE"""),325.0)</f>
        <v>325</v>
      </c>
      <c r="AB388" s="414">
        <f>IFERROR(__xludf.DUMMYFUNCTION("""COMPUTED_VALUE"""),335.0)</f>
        <v>335</v>
      </c>
      <c r="AC388" s="414">
        <f>IFERROR(__xludf.DUMMYFUNCTION("""COMPUTED_VALUE"""),340.0)</f>
        <v>340</v>
      </c>
      <c r="AD388" s="414">
        <f>IFERROR(__xludf.DUMMYFUNCTION("""COMPUTED_VALUE"""),345.0)</f>
        <v>345</v>
      </c>
      <c r="AE388" s="394">
        <f>IFERROR(__xludf.DUMMYFUNCTION("""COMPUTED_VALUE"""),350.0)</f>
        <v>350</v>
      </c>
      <c r="AF388" s="394">
        <f>IFERROR(__xludf.DUMMYFUNCTION("""COMPUTED_VALUE"""),400.0)</f>
        <v>400</v>
      </c>
      <c r="AG388" s="394">
        <f>IFERROR(__xludf.DUMMYFUNCTION("""COMPUTED_VALUE"""),450.0)</f>
        <v>450</v>
      </c>
      <c r="AH388" s="394">
        <f>IFERROR(__xludf.DUMMYFUNCTION("""COMPUTED_VALUE"""),475.0)</f>
        <v>475</v>
      </c>
      <c r="AI388" s="385" t="str">
        <f>IFERROR(__xludf.DUMMYFUNCTION("""COMPUTED_VALUE"""),"持続型")</f>
        <v>持続型</v>
      </c>
      <c r="AJ388" s="430">
        <f>IFERROR(__xludf.DUMMYFUNCTION("""COMPUTED_VALUE"""),5.0)</f>
        <v>5</v>
      </c>
      <c r="AK388" s="431" t="str">
        <f>IFERROR(__xludf.DUMMYFUNCTION("""COMPUTED_VALUE"""),"効果時間")</f>
        <v>効果時間</v>
      </c>
      <c r="AL388" s="392">
        <f>IFERROR(__xludf.DUMMYFUNCTION("""COMPUTED_VALUE"""),475.0)</f>
        <v>475</v>
      </c>
      <c r="AM388" s="414">
        <f>IFERROR(__xludf.DUMMYFUNCTION("""COMPUTED_VALUE"""),485.0)</f>
        <v>485</v>
      </c>
      <c r="AN388" s="414">
        <f>IFERROR(__xludf.DUMMYFUNCTION("""COMPUTED_VALUE"""),490.0)</f>
        <v>490</v>
      </c>
      <c r="AO388" s="414">
        <f>IFERROR(__xludf.DUMMYFUNCTION("""COMPUTED_VALUE"""),495.0)</f>
        <v>495</v>
      </c>
      <c r="AP388" s="394">
        <f>IFERROR(__xludf.DUMMYFUNCTION("""COMPUTED_VALUE"""),500.0)</f>
        <v>500</v>
      </c>
      <c r="AQ388" s="394">
        <f>IFERROR(__xludf.DUMMYFUNCTION("""COMPUTED_VALUE"""),550.0)</f>
        <v>550</v>
      </c>
      <c r="AR388" s="394">
        <f>IFERROR(__xludf.DUMMYFUNCTION("""COMPUTED_VALUE"""),600.0)</f>
        <v>600</v>
      </c>
      <c r="AS388" s="394">
        <f>IFERROR(__xludf.DUMMYFUNCTION("""COMPUTED_VALUE"""),625.0)</f>
        <v>625</v>
      </c>
      <c r="AT388" s="385" t="str">
        <f>IFERROR(__xludf.DUMMYFUNCTION("""COMPUTED_VALUE"""),"超持続型")</f>
        <v>超持続型</v>
      </c>
      <c r="AU388" s="430">
        <f>IFERROR(__xludf.DUMMYFUNCTION("""COMPUTED_VALUE"""),5.0)</f>
        <v>5</v>
      </c>
      <c r="AV388" s="431" t="str">
        <f>IFERROR(__xludf.DUMMYFUNCTION("""COMPUTED_VALUE"""),"効果時間")</f>
        <v>効果時間</v>
      </c>
      <c r="AW388" s="395" t="str">
        <f>IFERROR(__xludf.DUMMYFUNCTION("""COMPUTED_VALUE"""),"-")</f>
        <v>-</v>
      </c>
      <c r="AX388" s="396" t="str">
        <f>IFERROR(__xludf.DUMMYFUNCTION("""COMPUTED_VALUE"""),"-")</f>
        <v>-</v>
      </c>
      <c r="AY388" s="396" t="str">
        <f>IFERROR(__xludf.DUMMYFUNCTION("""COMPUTED_VALUE"""),"-")</f>
        <v>-</v>
      </c>
      <c r="AZ388" s="396" t="str">
        <f>IFERROR(__xludf.DUMMYFUNCTION("""COMPUTED_VALUE"""),"-")</f>
        <v>-</v>
      </c>
      <c r="BA388" s="396" t="str">
        <f>IFERROR(__xludf.DUMMYFUNCTION("""COMPUTED_VALUE"""),"-")</f>
        <v>-</v>
      </c>
      <c r="BB388" s="393">
        <f>IFERROR(__xludf.DUMMYFUNCTION("""COMPUTED_VALUE"""),650.0)</f>
        <v>650</v>
      </c>
      <c r="BC388" s="393">
        <f>IFERROR(__xludf.DUMMYFUNCTION("""COMPUTED_VALUE"""),750.0)</f>
        <v>750</v>
      </c>
      <c r="BD388" s="394">
        <f>IFERROR(__xludf.DUMMYFUNCTION("""COMPUTED_VALUE"""),775.0)</f>
        <v>775</v>
      </c>
      <c r="BE388" s="385" t="str">
        <f>IFERROR(__xludf.DUMMYFUNCTION("""COMPUTED_VALUE"""),"ハイブリッド型")</f>
        <v>ハイブリッド型</v>
      </c>
      <c r="BF388" s="430">
        <f>IFERROR(__xludf.DUMMYFUNCTION("""COMPUTED_VALUE"""),5.0)</f>
        <v>5</v>
      </c>
      <c r="BG388" s="431" t="str">
        <f>IFERROR(__xludf.DUMMYFUNCTION("""COMPUTED_VALUE"""),"効果時間")</f>
        <v>効果時間</v>
      </c>
      <c r="BH388" s="304">
        <f>IFERROR(__xludf.DUMMYFUNCTION("""COMPUTED_VALUE"""),250.0)</f>
        <v>250</v>
      </c>
      <c r="BI388" s="432">
        <f>IFERROR(__xludf.DUMMYFUNCTION("""COMPUTED_VALUE"""),265.0)</f>
        <v>265</v>
      </c>
      <c r="BJ388" s="432">
        <f>IFERROR(__xludf.DUMMYFUNCTION("""COMPUTED_VALUE"""),275.0)</f>
        <v>275</v>
      </c>
      <c r="BK388" s="432">
        <f>IFERROR(__xludf.DUMMYFUNCTION("""COMPUTED_VALUE"""),290.0)</f>
        <v>290</v>
      </c>
      <c r="BL388" s="304">
        <f>IFERROR(__xludf.DUMMYFUNCTION("""COMPUTED_VALUE"""),300.0)</f>
        <v>300</v>
      </c>
      <c r="BM388" s="304">
        <f>IFERROR(__xludf.DUMMYFUNCTION("""COMPUTED_VALUE"""),400.0)</f>
        <v>400</v>
      </c>
      <c r="BN388" s="304">
        <f>IFERROR(__xludf.DUMMYFUNCTION("""COMPUTED_VALUE"""),500.0)</f>
        <v>500</v>
      </c>
      <c r="BO388" s="304">
        <f>IFERROR(__xludf.DUMMYFUNCTION("""COMPUTED_VALUE"""),525.0)</f>
        <v>525</v>
      </c>
    </row>
    <row r="389">
      <c r="A389" s="433" t="str">
        <f>IFERROR(__xludf.DUMMYFUNCTION("""COMPUTED_VALUE"""),"攻撃力Down(ディフェンス)")</f>
        <v>攻撃力Down(ディフェンス)</v>
      </c>
      <c r="B389" s="374" t="str">
        <f>IFERROR(__xludf.DUMMYFUNCTION("""COMPUTED_VALUE"""),"超瞬間型")</f>
        <v>超瞬間型</v>
      </c>
      <c r="C389" s="375">
        <f>IFERROR(__xludf.DUMMYFUNCTION("""COMPUTED_VALUE"""),1.0)</f>
        <v>1</v>
      </c>
      <c r="D389" s="376" t="str">
        <f>IFERROR(__xludf.DUMMYFUNCTION("""COMPUTED_VALUE"""),"効果値")</f>
        <v>効果値</v>
      </c>
      <c r="E389" s="377" t="str">
        <f>IFERROR(__xludf.DUMMYFUNCTION("""COMPUTED_VALUE"""),"-")</f>
        <v>-</v>
      </c>
      <c r="F389" s="378" t="str">
        <f>IFERROR(__xludf.DUMMYFUNCTION("""COMPUTED_VALUE"""),"-")</f>
        <v>-</v>
      </c>
      <c r="G389" s="377" t="str">
        <f>IFERROR(__xludf.DUMMYFUNCTION("""COMPUTED_VALUE"""),"-")</f>
        <v>-</v>
      </c>
      <c r="H389" s="378" t="str">
        <f>IFERROR(__xludf.DUMMYFUNCTION("""COMPUTED_VALUE"""),"-")</f>
        <v>-</v>
      </c>
      <c r="I389" s="377" t="str">
        <f>IFERROR(__xludf.DUMMYFUNCTION("""COMPUTED_VALUE"""),"-")</f>
        <v>-</v>
      </c>
      <c r="J389" s="379">
        <f>IFERROR(__xludf.DUMMYFUNCTION("""COMPUTED_VALUE"""),55.0)</f>
        <v>55</v>
      </c>
      <c r="K389" s="294">
        <f>IFERROR(__xludf.DUMMYFUNCTION("""COMPUTED_VALUE"""),65.0)</f>
        <v>65</v>
      </c>
      <c r="L389" s="294">
        <f>IFERROR(__xludf.DUMMYFUNCTION("""COMPUTED_VALUE"""),65.0)</f>
        <v>65</v>
      </c>
      <c r="M389" s="374" t="str">
        <f>IFERROR(__xludf.DUMMYFUNCTION("""COMPUTED_VALUE"""),"瞬間型")</f>
        <v>瞬間型</v>
      </c>
      <c r="N389" s="375">
        <f>IFERROR(__xludf.DUMMYFUNCTION("""COMPUTED_VALUE"""),1.0)</f>
        <v>1</v>
      </c>
      <c r="O389" s="376" t="str">
        <f>IFERROR(__xludf.DUMMYFUNCTION("""COMPUTED_VALUE"""),"効果値")</f>
        <v>効果値</v>
      </c>
      <c r="P389" s="380">
        <f>IFERROR(__xludf.DUMMYFUNCTION("""COMPUTED_VALUE"""),20.0)</f>
        <v>20</v>
      </c>
      <c r="Q389" s="263">
        <f>IFERROR(__xludf.DUMMYFUNCTION("""COMPUTED_VALUE"""),20.0)</f>
        <v>20</v>
      </c>
      <c r="R389" s="263">
        <f>IFERROR(__xludf.DUMMYFUNCTION("""COMPUTED_VALUE"""),20.0)</f>
        <v>20</v>
      </c>
      <c r="S389" s="263">
        <f>IFERROR(__xludf.DUMMYFUNCTION("""COMPUTED_VALUE"""),20.0)</f>
        <v>20</v>
      </c>
      <c r="T389" s="263">
        <f>IFERROR(__xludf.DUMMYFUNCTION("""COMPUTED_VALUE"""),20.0)</f>
        <v>20</v>
      </c>
      <c r="U389" s="263">
        <f>IFERROR(__xludf.DUMMYFUNCTION("""COMPUTED_VALUE"""),25.0)</f>
        <v>25</v>
      </c>
      <c r="V389" s="266">
        <f>IFERROR(__xludf.DUMMYFUNCTION("""COMPUTED_VALUE"""),30.0)</f>
        <v>30</v>
      </c>
      <c r="W389" s="266">
        <f>IFERROR(__xludf.DUMMYFUNCTION("""COMPUTED_VALUE"""),30.0)</f>
        <v>30</v>
      </c>
      <c r="X389" s="374" t="str">
        <f>IFERROR(__xludf.DUMMYFUNCTION("""COMPUTED_VALUE"""),"安定型")</f>
        <v>安定型</v>
      </c>
      <c r="Y389" s="375">
        <f>IFERROR(__xludf.DUMMYFUNCTION("""COMPUTED_VALUE"""),1.0)</f>
        <v>1</v>
      </c>
      <c r="Z389" s="376" t="str">
        <f>IFERROR(__xludf.DUMMYFUNCTION("""COMPUTED_VALUE"""),"効果値")</f>
        <v>効果値</v>
      </c>
      <c r="AA389" s="380">
        <f>IFERROR(__xludf.DUMMYFUNCTION("""COMPUTED_VALUE"""),10.0)</f>
        <v>10</v>
      </c>
      <c r="AB389" s="263">
        <f>IFERROR(__xludf.DUMMYFUNCTION("""COMPUTED_VALUE"""),10.0)</f>
        <v>10</v>
      </c>
      <c r="AC389" s="263">
        <f>IFERROR(__xludf.DUMMYFUNCTION("""COMPUTED_VALUE"""),10.0)</f>
        <v>10</v>
      </c>
      <c r="AD389" s="263">
        <f>IFERROR(__xludf.DUMMYFUNCTION("""COMPUTED_VALUE"""),10.0)</f>
        <v>10</v>
      </c>
      <c r="AE389" s="263">
        <f>IFERROR(__xludf.DUMMYFUNCTION("""COMPUTED_VALUE"""),10.0)</f>
        <v>10</v>
      </c>
      <c r="AF389" s="263">
        <f>IFERROR(__xludf.DUMMYFUNCTION("""COMPUTED_VALUE"""),10.0)</f>
        <v>10</v>
      </c>
      <c r="AG389" s="266">
        <f>IFERROR(__xludf.DUMMYFUNCTION("""COMPUTED_VALUE"""),15.0)</f>
        <v>15</v>
      </c>
      <c r="AH389" s="266">
        <f>IFERROR(__xludf.DUMMYFUNCTION("""COMPUTED_VALUE"""),15.0)</f>
        <v>15</v>
      </c>
      <c r="AI389" s="374" t="str">
        <f>IFERROR(__xludf.DUMMYFUNCTION("""COMPUTED_VALUE"""),"持続型")</f>
        <v>持続型</v>
      </c>
      <c r="AJ389" s="375">
        <f>IFERROR(__xludf.DUMMYFUNCTION("""COMPUTED_VALUE"""),1.0)</f>
        <v>1</v>
      </c>
      <c r="AK389" s="376" t="str">
        <f>IFERROR(__xludf.DUMMYFUNCTION("""COMPUTED_VALUE"""),"効果値")</f>
        <v>効果値</v>
      </c>
      <c r="AL389" s="380">
        <f>IFERROR(__xludf.DUMMYFUNCTION("""COMPUTED_VALUE"""),5.0)</f>
        <v>5</v>
      </c>
      <c r="AM389" s="263">
        <f>IFERROR(__xludf.DUMMYFUNCTION("""COMPUTED_VALUE"""),5.0)</f>
        <v>5</v>
      </c>
      <c r="AN389" s="263">
        <f>IFERROR(__xludf.DUMMYFUNCTION("""COMPUTED_VALUE"""),5.0)</f>
        <v>5</v>
      </c>
      <c r="AO389" s="263">
        <f>IFERROR(__xludf.DUMMYFUNCTION("""COMPUTED_VALUE"""),5.0)</f>
        <v>5</v>
      </c>
      <c r="AP389" s="263">
        <f>IFERROR(__xludf.DUMMYFUNCTION("""COMPUTED_VALUE"""),5.0)</f>
        <v>5</v>
      </c>
      <c r="AQ389" s="263">
        <f>IFERROR(__xludf.DUMMYFUNCTION("""COMPUTED_VALUE"""),5.0)</f>
        <v>5</v>
      </c>
      <c r="AR389" s="266">
        <f>IFERROR(__xludf.DUMMYFUNCTION("""COMPUTED_VALUE"""),10.0)</f>
        <v>10</v>
      </c>
      <c r="AS389" s="266">
        <f>IFERROR(__xludf.DUMMYFUNCTION("""COMPUTED_VALUE"""),10.0)</f>
        <v>10</v>
      </c>
      <c r="AT389" s="374" t="str">
        <f>IFERROR(__xludf.DUMMYFUNCTION("""COMPUTED_VALUE"""),"超持続型")</f>
        <v>超持続型</v>
      </c>
      <c r="AU389" s="375">
        <f>IFERROR(__xludf.DUMMYFUNCTION("""COMPUTED_VALUE"""),1.0)</f>
        <v>1</v>
      </c>
      <c r="AV389" s="376" t="str">
        <f>IFERROR(__xludf.DUMMYFUNCTION("""COMPUTED_VALUE"""),"効果値")</f>
        <v>効果値</v>
      </c>
      <c r="AW389" s="350" t="str">
        <f>IFERROR(__xludf.DUMMYFUNCTION("""COMPUTED_VALUE"""),"-")</f>
        <v>-</v>
      </c>
      <c r="AX389" s="348" t="str">
        <f>IFERROR(__xludf.DUMMYFUNCTION("""COMPUTED_VALUE"""),"-")</f>
        <v>-</v>
      </c>
      <c r="AY389" s="348" t="str">
        <f>IFERROR(__xludf.DUMMYFUNCTION("""COMPUTED_VALUE"""),"-")</f>
        <v>-</v>
      </c>
      <c r="AZ389" s="348" t="str">
        <f>IFERROR(__xludf.DUMMYFUNCTION("""COMPUTED_VALUE"""),"-")</f>
        <v>-</v>
      </c>
      <c r="BA389" s="348" t="str">
        <f>IFERROR(__xludf.DUMMYFUNCTION("""COMPUTED_VALUE"""),"-")</f>
        <v>-</v>
      </c>
      <c r="BB389" s="263">
        <f>IFERROR(__xludf.DUMMYFUNCTION("""COMPUTED_VALUE"""),5.0)</f>
        <v>5</v>
      </c>
      <c r="BC389" s="266">
        <f>IFERROR(__xludf.DUMMYFUNCTION("""COMPUTED_VALUE"""),10.0)</f>
        <v>10</v>
      </c>
      <c r="BD389" s="266">
        <f>IFERROR(__xludf.DUMMYFUNCTION("""COMPUTED_VALUE"""),10.0)</f>
        <v>10</v>
      </c>
      <c r="BE389" s="374" t="str">
        <f>IFERROR(__xludf.DUMMYFUNCTION("""COMPUTED_VALUE"""),"ハイブリッド型")</f>
        <v>ハイブリッド型</v>
      </c>
      <c r="BF389" s="375">
        <f>IFERROR(__xludf.DUMMYFUNCTION("""COMPUTED_VALUE"""),1.0)</f>
        <v>1</v>
      </c>
      <c r="BG389" s="376" t="str">
        <f>IFERROR(__xludf.DUMMYFUNCTION("""COMPUTED_VALUE"""),"効果値")</f>
        <v>効果値</v>
      </c>
      <c r="BH389" s="381">
        <f>IFERROR(__xludf.DUMMYFUNCTION("""COMPUTED_VALUE"""),10.0)</f>
        <v>10</v>
      </c>
      <c r="BI389" s="382">
        <f>IFERROR(__xludf.DUMMYFUNCTION("""COMPUTED_VALUE"""),10.0)</f>
        <v>10</v>
      </c>
      <c r="BJ389" s="382">
        <f>IFERROR(__xludf.DUMMYFUNCTION("""COMPUTED_VALUE"""),10.0)</f>
        <v>10</v>
      </c>
      <c r="BK389" s="382">
        <f>IFERROR(__xludf.DUMMYFUNCTION("""COMPUTED_VALUE"""),10.0)</f>
        <v>10</v>
      </c>
      <c r="BL389" s="382">
        <f>IFERROR(__xludf.DUMMYFUNCTION("""COMPUTED_VALUE"""),10.0)</f>
        <v>10</v>
      </c>
      <c r="BM389" s="382">
        <f>IFERROR(__xludf.DUMMYFUNCTION("""COMPUTED_VALUE"""),15.0)</f>
        <v>15</v>
      </c>
      <c r="BN389" s="382">
        <f>IFERROR(__xludf.DUMMYFUNCTION("""COMPUTED_VALUE"""),20.0)</f>
        <v>20</v>
      </c>
      <c r="BO389" s="383">
        <f>IFERROR(__xludf.DUMMYFUNCTION("""COMPUTED_VALUE"""),20.0)</f>
        <v>20</v>
      </c>
    </row>
    <row r="390">
      <c r="A390" s="434" t="str">
        <f>IFERROR(__xludf.DUMMYFUNCTION("""COMPUTED_VALUE"""),"攻撃力Down(ディフェンス)")</f>
        <v>攻撃力Down(ディフェンス)</v>
      </c>
      <c r="B390" s="385" t="str">
        <f>IFERROR(__xludf.DUMMYFUNCTION("""COMPUTED_VALUE"""),"超瞬間型")</f>
        <v>超瞬間型</v>
      </c>
      <c r="C390" s="386">
        <f>IFERROR(__xludf.DUMMYFUNCTION("""COMPUTED_VALUE"""),1.0)</f>
        <v>1</v>
      </c>
      <c r="D390" s="387" t="str">
        <f>IFERROR(__xludf.DUMMYFUNCTION("""COMPUTED_VALUE"""),"効果時間")</f>
        <v>効果時間</v>
      </c>
      <c r="E390" s="388" t="str">
        <f>IFERROR(__xludf.DUMMYFUNCTION("""COMPUTED_VALUE"""),"-")</f>
        <v>-</v>
      </c>
      <c r="F390" s="389" t="str">
        <f>IFERROR(__xludf.DUMMYFUNCTION("""COMPUTED_VALUE"""),"-")</f>
        <v>-</v>
      </c>
      <c r="G390" s="388" t="str">
        <f>IFERROR(__xludf.DUMMYFUNCTION("""COMPUTED_VALUE"""),"-")</f>
        <v>-</v>
      </c>
      <c r="H390" s="389" t="str">
        <f>IFERROR(__xludf.DUMMYFUNCTION("""COMPUTED_VALUE"""),"-")</f>
        <v>-</v>
      </c>
      <c r="I390" s="388" t="str">
        <f>IFERROR(__xludf.DUMMYFUNCTION("""COMPUTED_VALUE"""),"-")</f>
        <v>-</v>
      </c>
      <c r="J390" s="390">
        <f>IFERROR(__xludf.DUMMYFUNCTION("""COMPUTED_VALUE"""),150.0)</f>
        <v>150</v>
      </c>
      <c r="K390" s="391">
        <f>IFERROR(__xludf.DUMMYFUNCTION("""COMPUTED_VALUE"""),160.0)</f>
        <v>160</v>
      </c>
      <c r="L390" s="340">
        <f>IFERROR(__xludf.DUMMYFUNCTION("""COMPUTED_VALUE"""),160.0)</f>
        <v>160</v>
      </c>
      <c r="M390" s="385" t="str">
        <f>IFERROR(__xludf.DUMMYFUNCTION("""COMPUTED_VALUE"""),"瞬間型")</f>
        <v>瞬間型</v>
      </c>
      <c r="N390" s="386">
        <f>IFERROR(__xludf.DUMMYFUNCTION("""COMPUTED_VALUE"""),1.0)</f>
        <v>1</v>
      </c>
      <c r="O390" s="387" t="str">
        <f>IFERROR(__xludf.DUMMYFUNCTION("""COMPUTED_VALUE"""),"効果時間")</f>
        <v>効果時間</v>
      </c>
      <c r="P390" s="392">
        <f>IFERROR(__xludf.DUMMYFUNCTION("""COMPUTED_VALUE"""),150.0)</f>
        <v>150</v>
      </c>
      <c r="Q390" s="393">
        <f>IFERROR(__xludf.DUMMYFUNCTION("""COMPUTED_VALUE"""),150.0)</f>
        <v>150</v>
      </c>
      <c r="R390" s="393">
        <f>IFERROR(__xludf.DUMMYFUNCTION("""COMPUTED_VALUE"""),150.0)</f>
        <v>150</v>
      </c>
      <c r="S390" s="393">
        <f>IFERROR(__xludf.DUMMYFUNCTION("""COMPUTED_VALUE"""),150.0)</f>
        <v>150</v>
      </c>
      <c r="T390" s="393">
        <f>IFERROR(__xludf.DUMMYFUNCTION("""COMPUTED_VALUE"""),150.0)</f>
        <v>150</v>
      </c>
      <c r="U390" s="393">
        <f>IFERROR(__xludf.DUMMYFUNCTION("""COMPUTED_VALUE"""),150.0)</f>
        <v>150</v>
      </c>
      <c r="V390" s="393">
        <f>IFERROR(__xludf.DUMMYFUNCTION("""COMPUTED_VALUE"""),160.0)</f>
        <v>160</v>
      </c>
      <c r="W390" s="394">
        <f>IFERROR(__xludf.DUMMYFUNCTION("""COMPUTED_VALUE"""),160.0)</f>
        <v>160</v>
      </c>
      <c r="X390" s="385" t="str">
        <f>IFERROR(__xludf.DUMMYFUNCTION("""COMPUTED_VALUE"""),"安定型")</f>
        <v>安定型</v>
      </c>
      <c r="Y390" s="386">
        <f>IFERROR(__xludf.DUMMYFUNCTION("""COMPUTED_VALUE"""),1.0)</f>
        <v>1</v>
      </c>
      <c r="Z390" s="387" t="str">
        <f>IFERROR(__xludf.DUMMYFUNCTION("""COMPUTED_VALUE"""),"効果時間")</f>
        <v>効果時間</v>
      </c>
      <c r="AA390" s="392">
        <f>IFERROR(__xludf.DUMMYFUNCTION("""COMPUTED_VALUE"""),300.0)</f>
        <v>300</v>
      </c>
      <c r="AB390" s="393">
        <f>IFERROR(__xludf.DUMMYFUNCTION("""COMPUTED_VALUE"""),300.0)</f>
        <v>300</v>
      </c>
      <c r="AC390" s="393">
        <f>IFERROR(__xludf.DUMMYFUNCTION("""COMPUTED_VALUE"""),300.0)</f>
        <v>300</v>
      </c>
      <c r="AD390" s="393">
        <f>IFERROR(__xludf.DUMMYFUNCTION("""COMPUTED_VALUE"""),300.0)</f>
        <v>300</v>
      </c>
      <c r="AE390" s="393">
        <f>IFERROR(__xludf.DUMMYFUNCTION("""COMPUTED_VALUE"""),300.0)</f>
        <v>300</v>
      </c>
      <c r="AF390" s="393">
        <f>IFERROR(__xludf.DUMMYFUNCTION("""COMPUTED_VALUE"""),300.0)</f>
        <v>300</v>
      </c>
      <c r="AG390" s="393">
        <f>IFERROR(__xludf.DUMMYFUNCTION("""COMPUTED_VALUE"""),310.0)</f>
        <v>310</v>
      </c>
      <c r="AH390" s="394">
        <f>IFERROR(__xludf.DUMMYFUNCTION("""COMPUTED_VALUE"""),310.0)</f>
        <v>310</v>
      </c>
      <c r="AI390" s="385" t="str">
        <f>IFERROR(__xludf.DUMMYFUNCTION("""COMPUTED_VALUE"""),"持続型")</f>
        <v>持続型</v>
      </c>
      <c r="AJ390" s="386">
        <f>IFERROR(__xludf.DUMMYFUNCTION("""COMPUTED_VALUE"""),1.0)</f>
        <v>1</v>
      </c>
      <c r="AK390" s="387" t="str">
        <f>IFERROR(__xludf.DUMMYFUNCTION("""COMPUTED_VALUE"""),"効果時間")</f>
        <v>効果時間</v>
      </c>
      <c r="AL390" s="392">
        <f>IFERROR(__xludf.DUMMYFUNCTION("""COMPUTED_VALUE"""),450.0)</f>
        <v>450</v>
      </c>
      <c r="AM390" s="393">
        <f>IFERROR(__xludf.DUMMYFUNCTION("""COMPUTED_VALUE"""),450.0)</f>
        <v>450</v>
      </c>
      <c r="AN390" s="393">
        <f>IFERROR(__xludf.DUMMYFUNCTION("""COMPUTED_VALUE"""),450.0)</f>
        <v>450</v>
      </c>
      <c r="AO390" s="393">
        <f>IFERROR(__xludf.DUMMYFUNCTION("""COMPUTED_VALUE"""),450.0)</f>
        <v>450</v>
      </c>
      <c r="AP390" s="393">
        <f>IFERROR(__xludf.DUMMYFUNCTION("""COMPUTED_VALUE"""),450.0)</f>
        <v>450</v>
      </c>
      <c r="AQ390" s="393">
        <f>IFERROR(__xludf.DUMMYFUNCTION("""COMPUTED_VALUE"""),450.0)</f>
        <v>450</v>
      </c>
      <c r="AR390" s="393">
        <f>IFERROR(__xludf.DUMMYFUNCTION("""COMPUTED_VALUE"""),460.0)</f>
        <v>460</v>
      </c>
      <c r="AS390" s="394">
        <f>IFERROR(__xludf.DUMMYFUNCTION("""COMPUTED_VALUE"""),460.0)</f>
        <v>460</v>
      </c>
      <c r="AT390" s="385" t="str">
        <f>IFERROR(__xludf.DUMMYFUNCTION("""COMPUTED_VALUE"""),"超持続型")</f>
        <v>超持続型</v>
      </c>
      <c r="AU390" s="386">
        <f>IFERROR(__xludf.DUMMYFUNCTION("""COMPUTED_VALUE"""),1.0)</f>
        <v>1</v>
      </c>
      <c r="AV390" s="387" t="str">
        <f>IFERROR(__xludf.DUMMYFUNCTION("""COMPUTED_VALUE"""),"効果時間")</f>
        <v>効果時間</v>
      </c>
      <c r="AW390" s="395" t="str">
        <f>IFERROR(__xludf.DUMMYFUNCTION("""COMPUTED_VALUE"""),"-")</f>
        <v>-</v>
      </c>
      <c r="AX390" s="396" t="str">
        <f>IFERROR(__xludf.DUMMYFUNCTION("""COMPUTED_VALUE"""),"-")</f>
        <v>-</v>
      </c>
      <c r="AY390" s="396" t="str">
        <f>IFERROR(__xludf.DUMMYFUNCTION("""COMPUTED_VALUE"""),"-")</f>
        <v>-</v>
      </c>
      <c r="AZ390" s="396" t="str">
        <f>IFERROR(__xludf.DUMMYFUNCTION("""COMPUTED_VALUE"""),"-")</f>
        <v>-</v>
      </c>
      <c r="BA390" s="396" t="str">
        <f>IFERROR(__xludf.DUMMYFUNCTION("""COMPUTED_VALUE"""),"-")</f>
        <v>-</v>
      </c>
      <c r="BB390" s="393">
        <f>IFERROR(__xludf.DUMMYFUNCTION("""COMPUTED_VALUE"""),600.0)</f>
        <v>600</v>
      </c>
      <c r="BC390" s="393">
        <f>IFERROR(__xludf.DUMMYFUNCTION("""COMPUTED_VALUE"""),610.0)</f>
        <v>610</v>
      </c>
      <c r="BD390" s="394">
        <f>IFERROR(__xludf.DUMMYFUNCTION("""COMPUTED_VALUE"""),610.0)</f>
        <v>610</v>
      </c>
      <c r="BE390" s="385" t="str">
        <f>IFERROR(__xludf.DUMMYFUNCTION("""COMPUTED_VALUE"""),"ハイブリッド型")</f>
        <v>ハイブリッド型</v>
      </c>
      <c r="BF390" s="386">
        <f>IFERROR(__xludf.DUMMYFUNCTION("""COMPUTED_VALUE"""),1.0)</f>
        <v>1</v>
      </c>
      <c r="BG390" s="387" t="str">
        <f>IFERROR(__xludf.DUMMYFUNCTION("""COMPUTED_VALUE"""),"効果時間")</f>
        <v>効果時間</v>
      </c>
      <c r="BH390" s="397">
        <f>IFERROR(__xludf.DUMMYFUNCTION("""COMPUTED_VALUE"""),150.0)</f>
        <v>150</v>
      </c>
      <c r="BI390" s="397">
        <f>IFERROR(__xludf.DUMMYFUNCTION("""COMPUTED_VALUE"""),150.0)</f>
        <v>150</v>
      </c>
      <c r="BJ390" s="397">
        <f>IFERROR(__xludf.DUMMYFUNCTION("""COMPUTED_VALUE"""),150.0)</f>
        <v>150</v>
      </c>
      <c r="BK390" s="398">
        <f>IFERROR(__xludf.DUMMYFUNCTION("""COMPUTED_VALUE"""),150.0)</f>
        <v>150</v>
      </c>
      <c r="BL390" s="397">
        <f>IFERROR(__xludf.DUMMYFUNCTION("""COMPUTED_VALUE"""),150.0)</f>
        <v>150</v>
      </c>
      <c r="BM390" s="398">
        <f>IFERROR(__xludf.DUMMYFUNCTION("""COMPUTED_VALUE"""),350.0)</f>
        <v>350</v>
      </c>
      <c r="BN390" s="397">
        <f>IFERROR(__xludf.DUMMYFUNCTION("""COMPUTED_VALUE"""),460.0)</f>
        <v>460</v>
      </c>
      <c r="BO390" s="398">
        <f>IFERROR(__xludf.DUMMYFUNCTION("""COMPUTED_VALUE"""),460.0)</f>
        <v>460</v>
      </c>
    </row>
    <row r="391">
      <c r="A391" s="435" t="str">
        <f>IFERROR(__xludf.DUMMYFUNCTION("""COMPUTED_VALUE"""),"攻撃力Down(ディフェンス)")</f>
        <v>攻撃力Down(ディフェンス)</v>
      </c>
      <c r="B391" s="385" t="str">
        <f>IFERROR(__xludf.DUMMYFUNCTION("""COMPUTED_VALUE"""),"超瞬間型")</f>
        <v>超瞬間型</v>
      </c>
      <c r="C391" s="399">
        <f>IFERROR(__xludf.DUMMYFUNCTION("""COMPUTED_VALUE"""),2.0)</f>
        <v>2</v>
      </c>
      <c r="D391" s="400" t="str">
        <f>IFERROR(__xludf.DUMMYFUNCTION("""COMPUTED_VALUE"""),"効果値")</f>
        <v>効果値</v>
      </c>
      <c r="E391" s="401" t="str">
        <f>IFERROR(__xludf.DUMMYFUNCTION("""COMPUTED_VALUE"""),"-")</f>
        <v>-</v>
      </c>
      <c r="F391" s="401" t="str">
        <f>IFERROR(__xludf.DUMMYFUNCTION("""COMPUTED_VALUE"""),"-")</f>
        <v>-</v>
      </c>
      <c r="G391" s="401" t="str">
        <f>IFERROR(__xludf.DUMMYFUNCTION("""COMPUTED_VALUE"""),"-")</f>
        <v>-</v>
      </c>
      <c r="H391" s="401" t="str">
        <f>IFERROR(__xludf.DUMMYFUNCTION("""COMPUTED_VALUE"""),"-")</f>
        <v>-</v>
      </c>
      <c r="I391" s="401" t="str">
        <f>IFERROR(__xludf.DUMMYFUNCTION("""COMPUTED_VALUE"""),"-")</f>
        <v>-</v>
      </c>
      <c r="J391" s="318">
        <f>IFERROR(__xludf.DUMMYFUNCTION("""COMPUTED_VALUE"""),57.0)</f>
        <v>57</v>
      </c>
      <c r="K391" s="318">
        <f>IFERROR(__xludf.DUMMYFUNCTION("""COMPUTED_VALUE"""),67.0)</f>
        <v>67</v>
      </c>
      <c r="L391" s="318">
        <f>IFERROR(__xludf.DUMMYFUNCTION("""COMPUTED_VALUE"""),69.0)</f>
        <v>69</v>
      </c>
      <c r="M391" s="385" t="str">
        <f>IFERROR(__xludf.DUMMYFUNCTION("""COMPUTED_VALUE"""),"瞬間型")</f>
        <v>瞬間型</v>
      </c>
      <c r="N391" s="399">
        <f>IFERROR(__xludf.DUMMYFUNCTION("""COMPUTED_VALUE"""),2.0)</f>
        <v>2</v>
      </c>
      <c r="O391" s="400" t="str">
        <f>IFERROR(__xludf.DUMMYFUNCTION("""COMPUTED_VALUE"""),"効果値")</f>
        <v>効果値</v>
      </c>
      <c r="P391" s="343">
        <f>IFERROR(__xludf.DUMMYFUNCTION("""COMPUTED_VALUE"""),21.0)</f>
        <v>21</v>
      </c>
      <c r="Q391" s="402">
        <f>IFERROR(__xludf.DUMMYFUNCTION("""COMPUTED_VALUE"""),21.0)</f>
        <v>21</v>
      </c>
      <c r="R391" s="343">
        <f>IFERROR(__xludf.DUMMYFUNCTION("""COMPUTED_VALUE"""),22.0)</f>
        <v>22</v>
      </c>
      <c r="S391" s="402">
        <f>IFERROR(__xludf.DUMMYFUNCTION("""COMPUTED_VALUE"""),22.0)</f>
        <v>22</v>
      </c>
      <c r="T391" s="343">
        <f>IFERROR(__xludf.DUMMYFUNCTION("""COMPUTED_VALUE"""),22.0)</f>
        <v>22</v>
      </c>
      <c r="U391" s="343">
        <f>IFERROR(__xludf.DUMMYFUNCTION("""COMPUTED_VALUE"""),27.0)</f>
        <v>27</v>
      </c>
      <c r="V391" s="343">
        <f>IFERROR(__xludf.DUMMYFUNCTION("""COMPUTED_VALUE"""),32.0)</f>
        <v>32</v>
      </c>
      <c r="W391" s="343">
        <f>IFERROR(__xludf.DUMMYFUNCTION("""COMPUTED_VALUE"""),34.0)</f>
        <v>34</v>
      </c>
      <c r="X391" s="385" t="str">
        <f>IFERROR(__xludf.DUMMYFUNCTION("""COMPUTED_VALUE"""),"安定型")</f>
        <v>安定型</v>
      </c>
      <c r="Y391" s="399">
        <f>IFERROR(__xludf.DUMMYFUNCTION("""COMPUTED_VALUE"""),2.0)</f>
        <v>2</v>
      </c>
      <c r="Z391" s="400" t="str">
        <f>IFERROR(__xludf.DUMMYFUNCTION("""COMPUTED_VALUE"""),"効果値")</f>
        <v>効果値</v>
      </c>
      <c r="AA391" s="343">
        <f>IFERROR(__xludf.DUMMYFUNCTION("""COMPUTED_VALUE"""),11.0)</f>
        <v>11</v>
      </c>
      <c r="AB391" s="402">
        <f>IFERROR(__xludf.DUMMYFUNCTION("""COMPUTED_VALUE"""),11.0)</f>
        <v>11</v>
      </c>
      <c r="AC391" s="343">
        <f>IFERROR(__xludf.DUMMYFUNCTION("""COMPUTED_VALUE"""),12.0)</f>
        <v>12</v>
      </c>
      <c r="AD391" s="402">
        <f>IFERROR(__xludf.DUMMYFUNCTION("""COMPUTED_VALUE"""),12.0)</f>
        <v>12</v>
      </c>
      <c r="AE391" s="343">
        <f>IFERROR(__xludf.DUMMYFUNCTION("""COMPUTED_VALUE"""),12.0)</f>
        <v>12</v>
      </c>
      <c r="AF391" s="343">
        <f>IFERROR(__xludf.DUMMYFUNCTION("""COMPUTED_VALUE"""),12.0)</f>
        <v>12</v>
      </c>
      <c r="AG391" s="343">
        <f>IFERROR(__xludf.DUMMYFUNCTION("""COMPUTED_VALUE"""),17.0)</f>
        <v>17</v>
      </c>
      <c r="AH391" s="343">
        <f>IFERROR(__xludf.DUMMYFUNCTION("""COMPUTED_VALUE"""),19.0)</f>
        <v>19</v>
      </c>
      <c r="AI391" s="385" t="str">
        <f>IFERROR(__xludf.DUMMYFUNCTION("""COMPUTED_VALUE"""),"持続型")</f>
        <v>持続型</v>
      </c>
      <c r="AJ391" s="399">
        <f>IFERROR(__xludf.DUMMYFUNCTION("""COMPUTED_VALUE"""),2.0)</f>
        <v>2</v>
      </c>
      <c r="AK391" s="400" t="str">
        <f>IFERROR(__xludf.DUMMYFUNCTION("""COMPUTED_VALUE"""),"効果値")</f>
        <v>効果値</v>
      </c>
      <c r="AL391" s="343">
        <f>IFERROR(__xludf.DUMMYFUNCTION("""COMPUTED_VALUE"""),6.0)</f>
        <v>6</v>
      </c>
      <c r="AM391" s="402">
        <f>IFERROR(__xludf.DUMMYFUNCTION("""COMPUTED_VALUE"""),6.0)</f>
        <v>6</v>
      </c>
      <c r="AN391" s="343">
        <f>IFERROR(__xludf.DUMMYFUNCTION("""COMPUTED_VALUE"""),7.0)</f>
        <v>7</v>
      </c>
      <c r="AO391" s="402">
        <f>IFERROR(__xludf.DUMMYFUNCTION("""COMPUTED_VALUE"""),7.0)</f>
        <v>7</v>
      </c>
      <c r="AP391" s="343">
        <f>IFERROR(__xludf.DUMMYFUNCTION("""COMPUTED_VALUE"""),7.0)</f>
        <v>7</v>
      </c>
      <c r="AQ391" s="343">
        <f>IFERROR(__xludf.DUMMYFUNCTION("""COMPUTED_VALUE"""),7.0)</f>
        <v>7</v>
      </c>
      <c r="AR391" s="343">
        <f>IFERROR(__xludf.DUMMYFUNCTION("""COMPUTED_VALUE"""),11.0)</f>
        <v>11</v>
      </c>
      <c r="AS391" s="343">
        <f>IFERROR(__xludf.DUMMYFUNCTION("""COMPUTED_VALUE"""),11.0)</f>
        <v>11</v>
      </c>
      <c r="AT391" s="385" t="str">
        <f>IFERROR(__xludf.DUMMYFUNCTION("""COMPUTED_VALUE"""),"超持続型")</f>
        <v>超持続型</v>
      </c>
      <c r="AU391" s="399">
        <f>IFERROR(__xludf.DUMMYFUNCTION("""COMPUTED_VALUE"""),2.0)</f>
        <v>2</v>
      </c>
      <c r="AV391" s="400" t="str">
        <f>IFERROR(__xludf.DUMMYFUNCTION("""COMPUTED_VALUE"""),"効果値")</f>
        <v>効果値</v>
      </c>
      <c r="AW391" s="403" t="str">
        <f>IFERROR(__xludf.DUMMYFUNCTION("""COMPUTED_VALUE"""),"-")</f>
        <v>-</v>
      </c>
      <c r="AX391" s="403" t="str">
        <f>IFERROR(__xludf.DUMMYFUNCTION("""COMPUTED_VALUE"""),"-")</f>
        <v>-</v>
      </c>
      <c r="AY391" s="403" t="str">
        <f>IFERROR(__xludf.DUMMYFUNCTION("""COMPUTED_VALUE"""),"-")</f>
        <v>-</v>
      </c>
      <c r="AZ391" s="403" t="str">
        <f>IFERROR(__xludf.DUMMYFUNCTION("""COMPUTED_VALUE"""),"-")</f>
        <v>-</v>
      </c>
      <c r="BA391" s="403" t="str">
        <f>IFERROR(__xludf.DUMMYFUNCTION("""COMPUTED_VALUE"""),"-")</f>
        <v>-</v>
      </c>
      <c r="BB391" s="343">
        <f>IFERROR(__xludf.DUMMYFUNCTION("""COMPUTED_VALUE"""),7.0)</f>
        <v>7</v>
      </c>
      <c r="BC391" s="343">
        <f>IFERROR(__xludf.DUMMYFUNCTION("""COMPUTED_VALUE"""),11.0)</f>
        <v>11</v>
      </c>
      <c r="BD391" s="343">
        <f>IFERROR(__xludf.DUMMYFUNCTION("""COMPUTED_VALUE"""),11.0)</f>
        <v>11</v>
      </c>
      <c r="BE391" s="385" t="str">
        <f>IFERROR(__xludf.DUMMYFUNCTION("""COMPUTED_VALUE"""),"ハイブリッド型")</f>
        <v>ハイブリッド型</v>
      </c>
      <c r="BF391" s="399">
        <f>IFERROR(__xludf.DUMMYFUNCTION("""COMPUTED_VALUE"""),2.0)</f>
        <v>2</v>
      </c>
      <c r="BG391" s="400" t="str">
        <f>IFERROR(__xludf.DUMMYFUNCTION("""COMPUTED_VALUE"""),"効果値")</f>
        <v>効果値</v>
      </c>
      <c r="BH391" s="404">
        <f>IFERROR(__xludf.DUMMYFUNCTION("""COMPUTED_VALUE"""),10.8)</f>
        <v>10.8</v>
      </c>
      <c r="BI391" s="405">
        <f>IFERROR(__xludf.DUMMYFUNCTION("""COMPUTED_VALUE"""),11.2)</f>
        <v>11.2</v>
      </c>
      <c r="BJ391" s="405">
        <f>IFERROR(__xludf.DUMMYFUNCTION("""COMPUTED_VALUE"""),11.5)</f>
        <v>11.5</v>
      </c>
      <c r="BK391" s="405">
        <f>IFERROR(__xludf.DUMMYFUNCTION("""COMPUTED_VALUE"""),11.8)</f>
        <v>11.8</v>
      </c>
      <c r="BL391" s="405">
        <f>IFERROR(__xludf.DUMMYFUNCTION("""COMPUTED_VALUE"""),12.1)</f>
        <v>12.1</v>
      </c>
      <c r="BM391" s="405">
        <f>IFERROR(__xludf.DUMMYFUNCTION("""COMPUTED_VALUE"""),17.1)</f>
        <v>17.1</v>
      </c>
      <c r="BN391" s="405">
        <f>IFERROR(__xludf.DUMMYFUNCTION("""COMPUTED_VALUE"""),22.0)</f>
        <v>22</v>
      </c>
      <c r="BO391" s="406">
        <f>IFERROR(__xludf.DUMMYFUNCTION("""COMPUTED_VALUE"""),24.0)</f>
        <v>24</v>
      </c>
    </row>
    <row r="392">
      <c r="A392" s="435" t="str">
        <f>IFERROR(__xludf.DUMMYFUNCTION("""COMPUTED_VALUE"""),"攻撃力Down(ディフェンス)")</f>
        <v>攻撃力Down(ディフェンス)</v>
      </c>
      <c r="B392" s="385" t="str">
        <f>IFERROR(__xludf.DUMMYFUNCTION("""COMPUTED_VALUE"""),"超瞬間型")</f>
        <v>超瞬間型</v>
      </c>
      <c r="C392" s="386">
        <f>IFERROR(__xludf.DUMMYFUNCTION("""COMPUTED_VALUE"""),2.0)</f>
        <v>2</v>
      </c>
      <c r="D392" s="387" t="str">
        <f>IFERROR(__xludf.DUMMYFUNCTION("""COMPUTED_VALUE"""),"効果時間")</f>
        <v>効果時間</v>
      </c>
      <c r="E392" s="388" t="str">
        <f>IFERROR(__xludf.DUMMYFUNCTION("""COMPUTED_VALUE"""),"-")</f>
        <v>-</v>
      </c>
      <c r="F392" s="389" t="str">
        <f>IFERROR(__xludf.DUMMYFUNCTION("""COMPUTED_VALUE"""),"-")</f>
        <v>-</v>
      </c>
      <c r="G392" s="388" t="str">
        <f>IFERROR(__xludf.DUMMYFUNCTION("""COMPUTED_VALUE"""),"-")</f>
        <v>-</v>
      </c>
      <c r="H392" s="389" t="str">
        <f>IFERROR(__xludf.DUMMYFUNCTION("""COMPUTED_VALUE"""),"-")</f>
        <v>-</v>
      </c>
      <c r="I392" s="388" t="str">
        <f>IFERROR(__xludf.DUMMYFUNCTION("""COMPUTED_VALUE"""),"-")</f>
        <v>-</v>
      </c>
      <c r="J392" s="390">
        <f>IFERROR(__xludf.DUMMYFUNCTION("""COMPUTED_VALUE"""),150.0)</f>
        <v>150</v>
      </c>
      <c r="K392" s="391">
        <f>IFERROR(__xludf.DUMMYFUNCTION("""COMPUTED_VALUE"""),160.0)</f>
        <v>160</v>
      </c>
      <c r="L392" s="340">
        <f>IFERROR(__xludf.DUMMYFUNCTION("""COMPUTED_VALUE"""),170.0)</f>
        <v>170</v>
      </c>
      <c r="M392" s="385" t="str">
        <f>IFERROR(__xludf.DUMMYFUNCTION("""COMPUTED_VALUE"""),"瞬間型")</f>
        <v>瞬間型</v>
      </c>
      <c r="N392" s="386">
        <f>IFERROR(__xludf.DUMMYFUNCTION("""COMPUTED_VALUE"""),2.0)</f>
        <v>2</v>
      </c>
      <c r="O392" s="387" t="str">
        <f>IFERROR(__xludf.DUMMYFUNCTION("""COMPUTED_VALUE"""),"効果時間")</f>
        <v>効果時間</v>
      </c>
      <c r="P392" s="392">
        <f>IFERROR(__xludf.DUMMYFUNCTION("""COMPUTED_VALUE"""),160.0)</f>
        <v>160</v>
      </c>
      <c r="Q392" s="275">
        <f>IFERROR(__xludf.DUMMYFUNCTION("""COMPUTED_VALUE"""),165.0)</f>
        <v>165</v>
      </c>
      <c r="R392" s="280">
        <f>IFERROR(__xludf.DUMMYFUNCTION("""COMPUTED_VALUE"""),170.0)</f>
        <v>170</v>
      </c>
      <c r="S392" s="275">
        <f>IFERROR(__xludf.DUMMYFUNCTION("""COMPUTED_VALUE"""),175.0)</f>
        <v>175</v>
      </c>
      <c r="T392" s="280">
        <f>IFERROR(__xludf.DUMMYFUNCTION("""COMPUTED_VALUE"""),180.0)</f>
        <v>180</v>
      </c>
      <c r="U392" s="280">
        <f>IFERROR(__xludf.DUMMYFUNCTION("""COMPUTED_VALUE"""),180.0)</f>
        <v>180</v>
      </c>
      <c r="V392" s="280">
        <f>IFERROR(__xludf.DUMMYFUNCTION("""COMPUTED_VALUE"""),220.0)</f>
        <v>220</v>
      </c>
      <c r="W392" s="280">
        <f>IFERROR(__xludf.DUMMYFUNCTION("""COMPUTED_VALUE"""),230.0)</f>
        <v>230</v>
      </c>
      <c r="X392" s="385" t="str">
        <f>IFERROR(__xludf.DUMMYFUNCTION("""COMPUTED_VALUE"""),"安定型")</f>
        <v>安定型</v>
      </c>
      <c r="Y392" s="386">
        <f>IFERROR(__xludf.DUMMYFUNCTION("""COMPUTED_VALUE"""),2.0)</f>
        <v>2</v>
      </c>
      <c r="Z392" s="387" t="str">
        <f>IFERROR(__xludf.DUMMYFUNCTION("""COMPUTED_VALUE"""),"効果時間")</f>
        <v>効果時間</v>
      </c>
      <c r="AA392" s="392">
        <f>IFERROR(__xludf.DUMMYFUNCTION("""COMPUTED_VALUE"""),310.0)</f>
        <v>310</v>
      </c>
      <c r="AB392" s="275">
        <f>IFERROR(__xludf.DUMMYFUNCTION("""COMPUTED_VALUE"""),315.0)</f>
        <v>315</v>
      </c>
      <c r="AC392" s="280">
        <f>IFERROR(__xludf.DUMMYFUNCTION("""COMPUTED_VALUE"""),320.0)</f>
        <v>320</v>
      </c>
      <c r="AD392" s="275">
        <f>IFERROR(__xludf.DUMMYFUNCTION("""COMPUTED_VALUE"""),325.0)</f>
        <v>325</v>
      </c>
      <c r="AE392" s="280">
        <f>IFERROR(__xludf.DUMMYFUNCTION("""COMPUTED_VALUE"""),330.0)</f>
        <v>330</v>
      </c>
      <c r="AF392" s="280">
        <f>IFERROR(__xludf.DUMMYFUNCTION("""COMPUTED_VALUE"""),345.0)</f>
        <v>345</v>
      </c>
      <c r="AG392" s="280">
        <f>IFERROR(__xludf.DUMMYFUNCTION("""COMPUTED_VALUE"""),370.0)</f>
        <v>370</v>
      </c>
      <c r="AH392" s="280">
        <f>IFERROR(__xludf.DUMMYFUNCTION("""COMPUTED_VALUE"""),380.0)</f>
        <v>380</v>
      </c>
      <c r="AI392" s="385" t="str">
        <f>IFERROR(__xludf.DUMMYFUNCTION("""COMPUTED_VALUE"""),"持続型")</f>
        <v>持続型</v>
      </c>
      <c r="AJ392" s="386">
        <f>IFERROR(__xludf.DUMMYFUNCTION("""COMPUTED_VALUE"""),2.0)</f>
        <v>2</v>
      </c>
      <c r="AK392" s="387" t="str">
        <f>IFERROR(__xludf.DUMMYFUNCTION("""COMPUTED_VALUE"""),"効果時間")</f>
        <v>効果時間</v>
      </c>
      <c r="AL392" s="392">
        <f>IFERROR(__xludf.DUMMYFUNCTION("""COMPUTED_VALUE"""),460.0)</f>
        <v>460</v>
      </c>
      <c r="AM392" s="275">
        <f>IFERROR(__xludf.DUMMYFUNCTION("""COMPUTED_VALUE"""),465.0)</f>
        <v>465</v>
      </c>
      <c r="AN392" s="280">
        <f>IFERROR(__xludf.DUMMYFUNCTION("""COMPUTED_VALUE"""),470.0)</f>
        <v>470</v>
      </c>
      <c r="AO392" s="275">
        <f>IFERROR(__xludf.DUMMYFUNCTION("""COMPUTED_VALUE"""),475.0)</f>
        <v>475</v>
      </c>
      <c r="AP392" s="280">
        <f>IFERROR(__xludf.DUMMYFUNCTION("""COMPUTED_VALUE"""),480.0)</f>
        <v>480</v>
      </c>
      <c r="AQ392" s="280">
        <f>IFERROR(__xludf.DUMMYFUNCTION("""COMPUTED_VALUE"""),495.0)</f>
        <v>495</v>
      </c>
      <c r="AR392" s="280">
        <f>IFERROR(__xludf.DUMMYFUNCTION("""COMPUTED_VALUE"""),520.0)</f>
        <v>520</v>
      </c>
      <c r="AS392" s="280">
        <f>IFERROR(__xludf.DUMMYFUNCTION("""COMPUTED_VALUE"""),530.0)</f>
        <v>530</v>
      </c>
      <c r="AT392" s="385" t="str">
        <f>IFERROR(__xludf.DUMMYFUNCTION("""COMPUTED_VALUE"""),"超持続型")</f>
        <v>超持続型</v>
      </c>
      <c r="AU392" s="386">
        <f>IFERROR(__xludf.DUMMYFUNCTION("""COMPUTED_VALUE"""),2.0)</f>
        <v>2</v>
      </c>
      <c r="AV392" s="387" t="str">
        <f>IFERROR(__xludf.DUMMYFUNCTION("""COMPUTED_VALUE"""),"効果時間")</f>
        <v>効果時間</v>
      </c>
      <c r="AW392" s="368" t="str">
        <f>IFERROR(__xludf.DUMMYFUNCTION("""COMPUTED_VALUE"""),"-")</f>
        <v>-</v>
      </c>
      <c r="AX392" s="368" t="str">
        <f>IFERROR(__xludf.DUMMYFUNCTION("""COMPUTED_VALUE"""),"-")</f>
        <v>-</v>
      </c>
      <c r="AY392" s="368" t="str">
        <f>IFERROR(__xludf.DUMMYFUNCTION("""COMPUTED_VALUE"""),"-")</f>
        <v>-</v>
      </c>
      <c r="AZ392" s="368" t="str">
        <f>IFERROR(__xludf.DUMMYFUNCTION("""COMPUTED_VALUE"""),"-")</f>
        <v>-</v>
      </c>
      <c r="BA392" s="368" t="str">
        <f>IFERROR(__xludf.DUMMYFUNCTION("""COMPUTED_VALUE"""),"-")</f>
        <v>-</v>
      </c>
      <c r="BB392" s="280">
        <f>IFERROR(__xludf.DUMMYFUNCTION("""COMPUTED_VALUE"""),625.0)</f>
        <v>625</v>
      </c>
      <c r="BC392" s="280">
        <f>IFERROR(__xludf.DUMMYFUNCTION("""COMPUTED_VALUE"""),670.0)</f>
        <v>670</v>
      </c>
      <c r="BD392" s="280">
        <f>IFERROR(__xludf.DUMMYFUNCTION("""COMPUTED_VALUE"""),680.0)</f>
        <v>680</v>
      </c>
      <c r="BE392" s="385" t="str">
        <f>IFERROR(__xludf.DUMMYFUNCTION("""COMPUTED_VALUE"""),"ハイブリッド型")</f>
        <v>ハイブリッド型</v>
      </c>
      <c r="BF392" s="386">
        <f>IFERROR(__xludf.DUMMYFUNCTION("""COMPUTED_VALUE"""),2.0)</f>
        <v>2</v>
      </c>
      <c r="BG392" s="387" t="str">
        <f>IFERROR(__xludf.DUMMYFUNCTION("""COMPUTED_VALUE"""),"効果時間")</f>
        <v>効果時間</v>
      </c>
      <c r="BH392" s="407">
        <f>IFERROR(__xludf.DUMMYFUNCTION("""COMPUTED_VALUE"""),195.0)</f>
        <v>195</v>
      </c>
      <c r="BI392" s="407">
        <f>IFERROR(__xludf.DUMMYFUNCTION("""COMPUTED_VALUE"""),205.0)</f>
        <v>205</v>
      </c>
      <c r="BJ392" s="407">
        <f>IFERROR(__xludf.DUMMYFUNCTION("""COMPUTED_VALUE"""),205.0)</f>
        <v>205</v>
      </c>
      <c r="BK392" s="408">
        <f>IFERROR(__xludf.DUMMYFUNCTION("""COMPUTED_VALUE"""),210.0)</f>
        <v>210</v>
      </c>
      <c r="BL392" s="407">
        <f>IFERROR(__xludf.DUMMYFUNCTION("""COMPUTED_VALUE"""),215.0)</f>
        <v>215</v>
      </c>
      <c r="BM392" s="408">
        <f>IFERROR(__xludf.DUMMYFUNCTION("""COMPUTED_VALUE"""),375.0)</f>
        <v>375</v>
      </c>
      <c r="BN392" s="407">
        <f>IFERROR(__xludf.DUMMYFUNCTION("""COMPUTED_VALUE"""),480.0)</f>
        <v>480</v>
      </c>
      <c r="BO392" s="408">
        <f>IFERROR(__xludf.DUMMYFUNCTION("""COMPUTED_VALUE"""),490.0)</f>
        <v>490</v>
      </c>
    </row>
    <row r="393">
      <c r="A393" s="435" t="str">
        <f>IFERROR(__xludf.DUMMYFUNCTION("""COMPUTED_VALUE"""),"攻撃力Down(ディフェンス)")</f>
        <v>攻撃力Down(ディフェンス)</v>
      </c>
      <c r="B393" s="385" t="str">
        <f>IFERROR(__xludf.DUMMYFUNCTION("""COMPUTED_VALUE"""),"超瞬間型")</f>
        <v>超瞬間型</v>
      </c>
      <c r="C393" s="399">
        <f>IFERROR(__xludf.DUMMYFUNCTION("""COMPUTED_VALUE"""),3.0)</f>
        <v>3</v>
      </c>
      <c r="D393" s="400" t="str">
        <f>IFERROR(__xludf.DUMMYFUNCTION("""COMPUTED_VALUE"""),"効果値")</f>
        <v>効果値</v>
      </c>
      <c r="E393" s="401" t="str">
        <f>IFERROR(__xludf.DUMMYFUNCTION("""COMPUTED_VALUE"""),"-")</f>
        <v>-</v>
      </c>
      <c r="F393" s="409" t="str">
        <f>IFERROR(__xludf.DUMMYFUNCTION("""COMPUTED_VALUE"""),"-")</f>
        <v>-</v>
      </c>
      <c r="G393" s="401" t="str">
        <f>IFERROR(__xludf.DUMMYFUNCTION("""COMPUTED_VALUE"""),"-")</f>
        <v>-</v>
      </c>
      <c r="H393" s="409" t="str">
        <f>IFERROR(__xludf.DUMMYFUNCTION("""COMPUTED_VALUE"""),"-")</f>
        <v>-</v>
      </c>
      <c r="I393" s="409" t="str">
        <f>IFERROR(__xludf.DUMMYFUNCTION("""COMPUTED_VALUE"""),"-")</f>
        <v>-</v>
      </c>
      <c r="J393" s="410">
        <f>IFERROR(__xludf.DUMMYFUNCTION("""COMPUTED_VALUE"""),58.0)</f>
        <v>58</v>
      </c>
      <c r="K393" s="410">
        <f>IFERROR(__xludf.DUMMYFUNCTION("""COMPUTED_VALUE"""),68.0)</f>
        <v>68</v>
      </c>
      <c r="L393" s="410">
        <f>IFERROR(__xludf.DUMMYFUNCTION("""COMPUTED_VALUE"""),72.0)</f>
        <v>72</v>
      </c>
      <c r="M393" s="385" t="str">
        <f>IFERROR(__xludf.DUMMYFUNCTION("""COMPUTED_VALUE"""),"瞬間型")</f>
        <v>瞬間型</v>
      </c>
      <c r="N393" s="399">
        <f>IFERROR(__xludf.DUMMYFUNCTION("""COMPUTED_VALUE"""),3.0)</f>
        <v>3</v>
      </c>
      <c r="O393" s="400" t="str">
        <f>IFERROR(__xludf.DUMMYFUNCTION("""COMPUTED_VALUE"""),"効果値")</f>
        <v>効果値</v>
      </c>
      <c r="P393" s="343">
        <f>IFERROR(__xludf.DUMMYFUNCTION("""COMPUTED_VALUE"""),22.0)</f>
        <v>22</v>
      </c>
      <c r="Q393" s="402">
        <f>IFERROR(__xludf.DUMMYFUNCTION("""COMPUTED_VALUE"""),22.0)</f>
        <v>22</v>
      </c>
      <c r="R393" s="402">
        <f>IFERROR(__xludf.DUMMYFUNCTION("""COMPUTED_VALUE"""),23.0)</f>
        <v>23</v>
      </c>
      <c r="S393" s="402">
        <f>IFERROR(__xludf.DUMMYFUNCTION("""COMPUTED_VALUE"""),23.0)</f>
        <v>23</v>
      </c>
      <c r="T393" s="402">
        <f>IFERROR(__xludf.DUMMYFUNCTION("""COMPUTED_VALUE"""),23.0)</f>
        <v>23</v>
      </c>
      <c r="U393" s="402">
        <f>IFERROR(__xludf.DUMMYFUNCTION("""COMPUTED_VALUE"""),28.0)</f>
        <v>28</v>
      </c>
      <c r="V393" s="402">
        <f>IFERROR(__xludf.DUMMYFUNCTION("""COMPUTED_VALUE"""),33.0)</f>
        <v>33</v>
      </c>
      <c r="W393" s="402">
        <f>IFERROR(__xludf.DUMMYFUNCTION("""COMPUTED_VALUE"""),37.0)</f>
        <v>37</v>
      </c>
      <c r="X393" s="385" t="str">
        <f>IFERROR(__xludf.DUMMYFUNCTION("""COMPUTED_VALUE"""),"安定型")</f>
        <v>安定型</v>
      </c>
      <c r="Y393" s="399">
        <f>IFERROR(__xludf.DUMMYFUNCTION("""COMPUTED_VALUE"""),3.0)</f>
        <v>3</v>
      </c>
      <c r="Z393" s="400" t="str">
        <f>IFERROR(__xludf.DUMMYFUNCTION("""COMPUTED_VALUE"""),"効果値")</f>
        <v>効果値</v>
      </c>
      <c r="AA393" s="343">
        <f>IFERROR(__xludf.DUMMYFUNCTION("""COMPUTED_VALUE"""),12.0)</f>
        <v>12</v>
      </c>
      <c r="AB393" s="402">
        <f>IFERROR(__xludf.DUMMYFUNCTION("""COMPUTED_VALUE"""),12.0)</f>
        <v>12</v>
      </c>
      <c r="AC393" s="402">
        <f>IFERROR(__xludf.DUMMYFUNCTION("""COMPUTED_VALUE"""),13.0)</f>
        <v>13</v>
      </c>
      <c r="AD393" s="402">
        <f>IFERROR(__xludf.DUMMYFUNCTION("""COMPUTED_VALUE"""),13.0)</f>
        <v>13</v>
      </c>
      <c r="AE393" s="402">
        <f>IFERROR(__xludf.DUMMYFUNCTION("""COMPUTED_VALUE"""),13.0)</f>
        <v>13</v>
      </c>
      <c r="AF393" s="402">
        <f>IFERROR(__xludf.DUMMYFUNCTION("""COMPUTED_VALUE"""),13.0)</f>
        <v>13</v>
      </c>
      <c r="AG393" s="402">
        <f>IFERROR(__xludf.DUMMYFUNCTION("""COMPUTED_VALUE"""),18.0)</f>
        <v>18</v>
      </c>
      <c r="AH393" s="402">
        <f>IFERROR(__xludf.DUMMYFUNCTION("""COMPUTED_VALUE"""),22.0)</f>
        <v>22</v>
      </c>
      <c r="AI393" s="385" t="str">
        <f>IFERROR(__xludf.DUMMYFUNCTION("""COMPUTED_VALUE"""),"持続型")</f>
        <v>持続型</v>
      </c>
      <c r="AJ393" s="399">
        <f>IFERROR(__xludf.DUMMYFUNCTION("""COMPUTED_VALUE"""),3.0)</f>
        <v>3</v>
      </c>
      <c r="AK393" s="400" t="str">
        <f>IFERROR(__xludf.DUMMYFUNCTION("""COMPUTED_VALUE"""),"効果値")</f>
        <v>効果値</v>
      </c>
      <c r="AL393" s="343">
        <f>IFERROR(__xludf.DUMMYFUNCTION("""COMPUTED_VALUE"""),7.0)</f>
        <v>7</v>
      </c>
      <c r="AM393" s="402">
        <f>IFERROR(__xludf.DUMMYFUNCTION("""COMPUTED_VALUE"""),7.0)</f>
        <v>7</v>
      </c>
      <c r="AN393" s="402">
        <f>IFERROR(__xludf.DUMMYFUNCTION("""COMPUTED_VALUE"""),8.0)</f>
        <v>8</v>
      </c>
      <c r="AO393" s="402">
        <f>IFERROR(__xludf.DUMMYFUNCTION("""COMPUTED_VALUE"""),8.0)</f>
        <v>8</v>
      </c>
      <c r="AP393" s="402">
        <f>IFERROR(__xludf.DUMMYFUNCTION("""COMPUTED_VALUE"""),8.0)</f>
        <v>8</v>
      </c>
      <c r="AQ393" s="402">
        <f>IFERROR(__xludf.DUMMYFUNCTION("""COMPUTED_VALUE"""),8.0)</f>
        <v>8</v>
      </c>
      <c r="AR393" s="402">
        <f>IFERROR(__xludf.DUMMYFUNCTION("""COMPUTED_VALUE"""),11.0)</f>
        <v>11</v>
      </c>
      <c r="AS393" s="402">
        <f>IFERROR(__xludf.DUMMYFUNCTION("""COMPUTED_VALUE"""),11.0)</f>
        <v>11</v>
      </c>
      <c r="AT393" s="385" t="str">
        <f>IFERROR(__xludf.DUMMYFUNCTION("""COMPUTED_VALUE"""),"超持続型")</f>
        <v>超持続型</v>
      </c>
      <c r="AU393" s="399">
        <f>IFERROR(__xludf.DUMMYFUNCTION("""COMPUTED_VALUE"""),3.0)</f>
        <v>3</v>
      </c>
      <c r="AV393" s="400" t="str">
        <f>IFERROR(__xludf.DUMMYFUNCTION("""COMPUTED_VALUE"""),"効果値")</f>
        <v>効果値</v>
      </c>
      <c r="AW393" s="403" t="str">
        <f>IFERROR(__xludf.DUMMYFUNCTION("""COMPUTED_VALUE"""),"-")</f>
        <v>-</v>
      </c>
      <c r="AX393" s="403" t="str">
        <f>IFERROR(__xludf.DUMMYFUNCTION("""COMPUTED_VALUE"""),"-")</f>
        <v>-</v>
      </c>
      <c r="AY393" s="403" t="str">
        <f>IFERROR(__xludf.DUMMYFUNCTION("""COMPUTED_VALUE"""),"-")</f>
        <v>-</v>
      </c>
      <c r="AZ393" s="403" t="str">
        <f>IFERROR(__xludf.DUMMYFUNCTION("""COMPUTED_VALUE"""),"-")</f>
        <v>-</v>
      </c>
      <c r="BA393" s="403" t="str">
        <f>IFERROR(__xludf.DUMMYFUNCTION("""COMPUTED_VALUE"""),"-")</f>
        <v>-</v>
      </c>
      <c r="BB393" s="343">
        <f>IFERROR(__xludf.DUMMYFUNCTION("""COMPUTED_VALUE"""),8.0)</f>
        <v>8</v>
      </c>
      <c r="BC393" s="343">
        <f>IFERROR(__xludf.DUMMYFUNCTION("""COMPUTED_VALUE"""),11.0)</f>
        <v>11</v>
      </c>
      <c r="BD393" s="343">
        <f>IFERROR(__xludf.DUMMYFUNCTION("""COMPUTED_VALUE"""),11.0)</f>
        <v>11</v>
      </c>
      <c r="BE393" s="385" t="str">
        <f>IFERROR(__xludf.DUMMYFUNCTION("""COMPUTED_VALUE"""),"ハイブリッド型")</f>
        <v>ハイブリッド型</v>
      </c>
      <c r="BF393" s="399">
        <f>IFERROR(__xludf.DUMMYFUNCTION("""COMPUTED_VALUE"""),3.0)</f>
        <v>3</v>
      </c>
      <c r="BG393" s="400" t="str">
        <f>IFERROR(__xludf.DUMMYFUNCTION("""COMPUTED_VALUE"""),"効果値")</f>
        <v>効果値</v>
      </c>
      <c r="BH393" s="411">
        <f>IFERROR(__xludf.DUMMYFUNCTION("""COMPUTED_VALUE"""),11.4)</f>
        <v>11.4</v>
      </c>
      <c r="BI393" s="412">
        <f>IFERROR(__xludf.DUMMYFUNCTION("""COMPUTED_VALUE"""),11.9)</f>
        <v>11.9</v>
      </c>
      <c r="BJ393" s="412">
        <f>IFERROR(__xludf.DUMMYFUNCTION("""COMPUTED_VALUE"""),12.5)</f>
        <v>12.5</v>
      </c>
      <c r="BK393" s="412">
        <f>IFERROR(__xludf.DUMMYFUNCTION("""COMPUTED_VALUE"""),13.0)</f>
        <v>13</v>
      </c>
      <c r="BL393" s="412">
        <f>IFERROR(__xludf.DUMMYFUNCTION("""COMPUTED_VALUE"""),13.5)</f>
        <v>13.5</v>
      </c>
      <c r="BM393" s="412">
        <f>IFERROR(__xludf.DUMMYFUNCTION("""COMPUTED_VALUE"""),18.5)</f>
        <v>18.5</v>
      </c>
      <c r="BN393" s="412">
        <f>IFERROR(__xludf.DUMMYFUNCTION("""COMPUTED_VALUE"""),23.0)</f>
        <v>23</v>
      </c>
      <c r="BO393" s="413">
        <f>IFERROR(__xludf.DUMMYFUNCTION("""COMPUTED_VALUE"""),27.0)</f>
        <v>27</v>
      </c>
    </row>
    <row r="394">
      <c r="A394" s="435" t="str">
        <f>IFERROR(__xludf.DUMMYFUNCTION("""COMPUTED_VALUE"""),"攻撃力Down(ディフェンス)")</f>
        <v>攻撃力Down(ディフェンス)</v>
      </c>
      <c r="B394" s="385" t="str">
        <f>IFERROR(__xludf.DUMMYFUNCTION("""COMPUTED_VALUE"""),"超瞬間型")</f>
        <v>超瞬間型</v>
      </c>
      <c r="C394" s="386">
        <f>IFERROR(__xludf.DUMMYFUNCTION("""COMPUTED_VALUE"""),3.0)</f>
        <v>3</v>
      </c>
      <c r="D394" s="387" t="str">
        <f>IFERROR(__xludf.DUMMYFUNCTION("""COMPUTED_VALUE"""),"効果時間")</f>
        <v>効果時間</v>
      </c>
      <c r="E394" s="388" t="str">
        <f>IFERROR(__xludf.DUMMYFUNCTION("""COMPUTED_VALUE"""),"-")</f>
        <v>-</v>
      </c>
      <c r="F394" s="389" t="str">
        <f>IFERROR(__xludf.DUMMYFUNCTION("""COMPUTED_VALUE"""),"-")</f>
        <v>-</v>
      </c>
      <c r="G394" s="388" t="str">
        <f>IFERROR(__xludf.DUMMYFUNCTION("""COMPUTED_VALUE"""),"-")</f>
        <v>-</v>
      </c>
      <c r="H394" s="389" t="str">
        <f>IFERROR(__xludf.DUMMYFUNCTION("""COMPUTED_VALUE"""),"-")</f>
        <v>-</v>
      </c>
      <c r="I394" s="388" t="str">
        <f>IFERROR(__xludf.DUMMYFUNCTION("""COMPUTED_VALUE"""),"-")</f>
        <v>-</v>
      </c>
      <c r="J394" s="390">
        <f>IFERROR(__xludf.DUMMYFUNCTION("""COMPUTED_VALUE"""),155.0)</f>
        <v>155</v>
      </c>
      <c r="K394" s="391">
        <f>IFERROR(__xludf.DUMMYFUNCTION("""COMPUTED_VALUE"""),165.0)</f>
        <v>165</v>
      </c>
      <c r="L394" s="340">
        <f>IFERROR(__xludf.DUMMYFUNCTION("""COMPUTED_VALUE"""),185.0)</f>
        <v>185</v>
      </c>
      <c r="M394" s="385" t="str">
        <f>IFERROR(__xludf.DUMMYFUNCTION("""COMPUTED_VALUE"""),"瞬間型")</f>
        <v>瞬間型</v>
      </c>
      <c r="N394" s="386">
        <f>IFERROR(__xludf.DUMMYFUNCTION("""COMPUTED_VALUE"""),3.0)</f>
        <v>3</v>
      </c>
      <c r="O394" s="387" t="str">
        <f>IFERROR(__xludf.DUMMYFUNCTION("""COMPUTED_VALUE"""),"効果時間")</f>
        <v>効果時間</v>
      </c>
      <c r="P394" s="392">
        <f>IFERROR(__xludf.DUMMYFUNCTION("""COMPUTED_VALUE"""),165.0)</f>
        <v>165</v>
      </c>
      <c r="Q394" s="414">
        <f>IFERROR(__xludf.DUMMYFUNCTION("""COMPUTED_VALUE"""),175.0)</f>
        <v>175</v>
      </c>
      <c r="R394" s="415">
        <f>IFERROR(__xludf.DUMMYFUNCTION("""COMPUTED_VALUE"""),180.0)</f>
        <v>180</v>
      </c>
      <c r="S394" s="393">
        <f>IFERROR(__xludf.DUMMYFUNCTION("""COMPUTED_VALUE"""),185.0)</f>
        <v>185</v>
      </c>
      <c r="T394" s="393">
        <f>IFERROR(__xludf.DUMMYFUNCTION("""COMPUTED_VALUE"""),195.0)</f>
        <v>195</v>
      </c>
      <c r="U394" s="414">
        <f>IFERROR(__xludf.DUMMYFUNCTION("""COMPUTED_VALUE"""),200.0)</f>
        <v>200</v>
      </c>
      <c r="V394" s="416">
        <f>IFERROR(__xludf.DUMMYFUNCTION("""COMPUTED_VALUE"""),255.0)</f>
        <v>255</v>
      </c>
      <c r="W394" s="415">
        <f>IFERROR(__xludf.DUMMYFUNCTION("""COMPUTED_VALUE"""),270.0)</f>
        <v>270</v>
      </c>
      <c r="X394" s="385" t="str">
        <f>IFERROR(__xludf.DUMMYFUNCTION("""COMPUTED_VALUE"""),"安定型")</f>
        <v>安定型</v>
      </c>
      <c r="Y394" s="386">
        <f>IFERROR(__xludf.DUMMYFUNCTION("""COMPUTED_VALUE"""),3.0)</f>
        <v>3</v>
      </c>
      <c r="Z394" s="387" t="str">
        <f>IFERROR(__xludf.DUMMYFUNCTION("""COMPUTED_VALUE"""),"効果時間")</f>
        <v>効果時間</v>
      </c>
      <c r="AA394" s="392">
        <f>IFERROR(__xludf.DUMMYFUNCTION("""COMPUTED_VALUE"""),315.0)</f>
        <v>315</v>
      </c>
      <c r="AB394" s="414">
        <f>IFERROR(__xludf.DUMMYFUNCTION("""COMPUTED_VALUE"""),325.0)</f>
        <v>325</v>
      </c>
      <c r="AC394" s="415">
        <f>IFERROR(__xludf.DUMMYFUNCTION("""COMPUTED_VALUE"""),330.0)</f>
        <v>330</v>
      </c>
      <c r="AD394" s="393">
        <f>IFERROR(__xludf.DUMMYFUNCTION("""COMPUTED_VALUE"""),335.0)</f>
        <v>335</v>
      </c>
      <c r="AE394" s="393">
        <f>IFERROR(__xludf.DUMMYFUNCTION("""COMPUTED_VALUE"""),345.0)</f>
        <v>345</v>
      </c>
      <c r="AF394" s="414">
        <f>IFERROR(__xludf.DUMMYFUNCTION("""COMPUTED_VALUE"""),370.0)</f>
        <v>370</v>
      </c>
      <c r="AG394" s="416">
        <f>IFERROR(__xludf.DUMMYFUNCTION("""COMPUTED_VALUE"""),405.0)</f>
        <v>405</v>
      </c>
      <c r="AH394" s="415">
        <f>IFERROR(__xludf.DUMMYFUNCTION("""COMPUTED_VALUE"""),420.0)</f>
        <v>420</v>
      </c>
      <c r="AI394" s="385" t="str">
        <f>IFERROR(__xludf.DUMMYFUNCTION("""COMPUTED_VALUE"""),"持続型")</f>
        <v>持続型</v>
      </c>
      <c r="AJ394" s="386">
        <f>IFERROR(__xludf.DUMMYFUNCTION("""COMPUTED_VALUE"""),3.0)</f>
        <v>3</v>
      </c>
      <c r="AK394" s="387" t="str">
        <f>IFERROR(__xludf.DUMMYFUNCTION("""COMPUTED_VALUE"""),"効果時間")</f>
        <v>効果時間</v>
      </c>
      <c r="AL394" s="392">
        <f>IFERROR(__xludf.DUMMYFUNCTION("""COMPUTED_VALUE"""),465.0)</f>
        <v>465</v>
      </c>
      <c r="AM394" s="414">
        <f>IFERROR(__xludf.DUMMYFUNCTION("""COMPUTED_VALUE"""),475.0)</f>
        <v>475</v>
      </c>
      <c r="AN394" s="415">
        <f>IFERROR(__xludf.DUMMYFUNCTION("""COMPUTED_VALUE"""),480.0)</f>
        <v>480</v>
      </c>
      <c r="AO394" s="393">
        <f>IFERROR(__xludf.DUMMYFUNCTION("""COMPUTED_VALUE"""),485.0)</f>
        <v>485</v>
      </c>
      <c r="AP394" s="393">
        <f>IFERROR(__xludf.DUMMYFUNCTION("""COMPUTED_VALUE"""),495.0)</f>
        <v>495</v>
      </c>
      <c r="AQ394" s="414">
        <f>IFERROR(__xludf.DUMMYFUNCTION("""COMPUTED_VALUE"""),520.0)</f>
        <v>520</v>
      </c>
      <c r="AR394" s="416">
        <f>IFERROR(__xludf.DUMMYFUNCTION("""COMPUTED_VALUE"""),555.0)</f>
        <v>555</v>
      </c>
      <c r="AS394" s="415">
        <f>IFERROR(__xludf.DUMMYFUNCTION("""COMPUTED_VALUE"""),570.0)</f>
        <v>570</v>
      </c>
      <c r="AT394" s="385" t="str">
        <f>IFERROR(__xludf.DUMMYFUNCTION("""COMPUTED_VALUE"""),"超持続型")</f>
        <v>超持続型</v>
      </c>
      <c r="AU394" s="386">
        <f>IFERROR(__xludf.DUMMYFUNCTION("""COMPUTED_VALUE"""),3.0)</f>
        <v>3</v>
      </c>
      <c r="AV394" s="387" t="str">
        <f>IFERROR(__xludf.DUMMYFUNCTION("""COMPUTED_VALUE"""),"効果時間")</f>
        <v>効果時間</v>
      </c>
      <c r="AW394" s="368" t="str">
        <f>IFERROR(__xludf.DUMMYFUNCTION("""COMPUTED_VALUE"""),"-")</f>
        <v>-</v>
      </c>
      <c r="AX394" s="368" t="str">
        <f>IFERROR(__xludf.DUMMYFUNCTION("""COMPUTED_VALUE"""),"-")</f>
        <v>-</v>
      </c>
      <c r="AY394" s="368" t="str">
        <f>IFERROR(__xludf.DUMMYFUNCTION("""COMPUTED_VALUE"""),"-")</f>
        <v>-</v>
      </c>
      <c r="AZ394" s="368" t="str">
        <f>IFERROR(__xludf.DUMMYFUNCTION("""COMPUTED_VALUE"""),"-")</f>
        <v>-</v>
      </c>
      <c r="BA394" s="368" t="str">
        <f>IFERROR(__xludf.DUMMYFUNCTION("""COMPUTED_VALUE"""),"-")</f>
        <v>-</v>
      </c>
      <c r="BB394" s="280">
        <f>IFERROR(__xludf.DUMMYFUNCTION("""COMPUTED_VALUE"""),635.0)</f>
        <v>635</v>
      </c>
      <c r="BC394" s="280">
        <f>IFERROR(__xludf.DUMMYFUNCTION("""COMPUTED_VALUE"""),705.0)</f>
        <v>705</v>
      </c>
      <c r="BD394" s="280">
        <f>IFERROR(__xludf.DUMMYFUNCTION("""COMPUTED_VALUE"""),720.0)</f>
        <v>720</v>
      </c>
      <c r="BE394" s="385" t="str">
        <f>IFERROR(__xludf.DUMMYFUNCTION("""COMPUTED_VALUE"""),"ハイブリッド型")</f>
        <v>ハイブリッド型</v>
      </c>
      <c r="BF394" s="386">
        <f>IFERROR(__xludf.DUMMYFUNCTION("""COMPUTED_VALUE"""),3.0)</f>
        <v>3</v>
      </c>
      <c r="BG394" s="387" t="str">
        <f>IFERROR(__xludf.DUMMYFUNCTION("""COMPUTED_VALUE"""),"効果時間")</f>
        <v>効果時間</v>
      </c>
      <c r="BH394" s="407">
        <f>IFERROR(__xludf.DUMMYFUNCTION("""COMPUTED_VALUE"""),220.0)</f>
        <v>220</v>
      </c>
      <c r="BI394" s="407">
        <f>IFERROR(__xludf.DUMMYFUNCTION("""COMPUTED_VALUE"""),235.0)</f>
        <v>235</v>
      </c>
      <c r="BJ394" s="407">
        <f>IFERROR(__xludf.DUMMYFUNCTION("""COMPUTED_VALUE"""),240.0)</f>
        <v>240</v>
      </c>
      <c r="BK394" s="408">
        <f>IFERROR(__xludf.DUMMYFUNCTION("""COMPUTED_VALUE"""),250.0)</f>
        <v>250</v>
      </c>
      <c r="BL394" s="407">
        <f>IFERROR(__xludf.DUMMYFUNCTION("""COMPUTED_VALUE"""),255.0)</f>
        <v>255</v>
      </c>
      <c r="BM394" s="408">
        <f>IFERROR(__xludf.DUMMYFUNCTION("""COMPUTED_VALUE"""),385.0)</f>
        <v>385</v>
      </c>
      <c r="BN394" s="407">
        <f>IFERROR(__xludf.DUMMYFUNCTION("""COMPUTED_VALUE"""),490.0)</f>
        <v>490</v>
      </c>
      <c r="BO394" s="408">
        <f>IFERROR(__xludf.DUMMYFUNCTION("""COMPUTED_VALUE"""),505.0)</f>
        <v>505</v>
      </c>
    </row>
    <row r="395">
      <c r="A395" s="435" t="str">
        <f>IFERROR(__xludf.DUMMYFUNCTION("""COMPUTED_VALUE"""),"攻撃力Down(ディフェンス)")</f>
        <v>攻撃力Down(ディフェンス)</v>
      </c>
      <c r="B395" s="385" t="str">
        <f>IFERROR(__xludf.DUMMYFUNCTION("""COMPUTED_VALUE"""),"超瞬間型")</f>
        <v>超瞬間型</v>
      </c>
      <c r="C395" s="399">
        <f>IFERROR(__xludf.DUMMYFUNCTION("""COMPUTED_VALUE"""),4.0)</f>
        <v>4</v>
      </c>
      <c r="D395" s="400" t="str">
        <f>IFERROR(__xludf.DUMMYFUNCTION("""COMPUTED_VALUE"""),"効果値")</f>
        <v>効果値</v>
      </c>
      <c r="E395" s="401" t="str">
        <f>IFERROR(__xludf.DUMMYFUNCTION("""COMPUTED_VALUE"""),"-")</f>
        <v>-</v>
      </c>
      <c r="F395" s="409" t="str">
        <f>IFERROR(__xludf.DUMMYFUNCTION("""COMPUTED_VALUE"""),"-")</f>
        <v>-</v>
      </c>
      <c r="G395" s="409" t="str">
        <f>IFERROR(__xludf.DUMMYFUNCTION("""COMPUTED_VALUE"""),"-")</f>
        <v>-</v>
      </c>
      <c r="H395" s="409" t="str">
        <f>IFERROR(__xludf.DUMMYFUNCTION("""COMPUTED_VALUE"""),"-")</f>
        <v>-</v>
      </c>
      <c r="I395" s="409" t="str">
        <f>IFERROR(__xludf.DUMMYFUNCTION("""COMPUTED_VALUE"""),"-")</f>
        <v>-</v>
      </c>
      <c r="J395" s="410">
        <f>IFERROR(__xludf.DUMMYFUNCTION("""COMPUTED_VALUE"""),59.0)</f>
        <v>59</v>
      </c>
      <c r="K395" s="410">
        <f>IFERROR(__xludf.DUMMYFUNCTION("""COMPUTED_VALUE"""),69.0)</f>
        <v>69</v>
      </c>
      <c r="L395" s="410">
        <f>IFERROR(__xludf.DUMMYFUNCTION("""COMPUTED_VALUE"""),74.0)</f>
        <v>74</v>
      </c>
      <c r="M395" s="385" t="str">
        <f>IFERROR(__xludf.DUMMYFUNCTION("""COMPUTED_VALUE"""),"瞬間型")</f>
        <v>瞬間型</v>
      </c>
      <c r="N395" s="399">
        <f>IFERROR(__xludf.DUMMYFUNCTION("""COMPUTED_VALUE"""),4.0)</f>
        <v>4</v>
      </c>
      <c r="O395" s="400" t="str">
        <f>IFERROR(__xludf.DUMMYFUNCTION("""COMPUTED_VALUE"""),"効果値")</f>
        <v>効果値</v>
      </c>
      <c r="P395" s="343">
        <f>IFERROR(__xludf.DUMMYFUNCTION("""COMPUTED_VALUE"""),23.0)</f>
        <v>23</v>
      </c>
      <c r="Q395" s="402">
        <f>IFERROR(__xludf.DUMMYFUNCTION("""COMPUTED_VALUE"""),23.0)</f>
        <v>23</v>
      </c>
      <c r="R395" s="343">
        <f>IFERROR(__xludf.DUMMYFUNCTION("""COMPUTED_VALUE"""),23.0)</f>
        <v>23</v>
      </c>
      <c r="S395" s="402">
        <f>IFERROR(__xludf.DUMMYFUNCTION("""COMPUTED_VALUE"""),23.0)</f>
        <v>23</v>
      </c>
      <c r="T395" s="343">
        <f>IFERROR(__xludf.DUMMYFUNCTION("""COMPUTED_VALUE"""),23.0)</f>
        <v>23</v>
      </c>
      <c r="U395" s="343">
        <f>IFERROR(__xludf.DUMMYFUNCTION("""COMPUTED_VALUE"""),29.0)</f>
        <v>29</v>
      </c>
      <c r="V395" s="343">
        <f>IFERROR(__xludf.DUMMYFUNCTION("""COMPUTED_VALUE"""),34.0)</f>
        <v>34</v>
      </c>
      <c r="W395" s="343">
        <f>IFERROR(__xludf.DUMMYFUNCTION("""COMPUTED_VALUE"""),39.0)</f>
        <v>39</v>
      </c>
      <c r="X395" s="385" t="str">
        <f>IFERROR(__xludf.DUMMYFUNCTION("""COMPUTED_VALUE"""),"安定型")</f>
        <v>安定型</v>
      </c>
      <c r="Y395" s="399">
        <f>IFERROR(__xludf.DUMMYFUNCTION("""COMPUTED_VALUE"""),4.0)</f>
        <v>4</v>
      </c>
      <c r="Z395" s="400" t="str">
        <f>IFERROR(__xludf.DUMMYFUNCTION("""COMPUTED_VALUE"""),"効果値")</f>
        <v>効果値</v>
      </c>
      <c r="AA395" s="343">
        <f>IFERROR(__xludf.DUMMYFUNCTION("""COMPUTED_VALUE"""),13.0)</f>
        <v>13</v>
      </c>
      <c r="AB395" s="402">
        <f>IFERROR(__xludf.DUMMYFUNCTION("""COMPUTED_VALUE"""),13.0)</f>
        <v>13</v>
      </c>
      <c r="AC395" s="343">
        <f>IFERROR(__xludf.DUMMYFUNCTION("""COMPUTED_VALUE"""),13.0)</f>
        <v>13</v>
      </c>
      <c r="AD395" s="402">
        <f>IFERROR(__xludf.DUMMYFUNCTION("""COMPUTED_VALUE"""),13.0)</f>
        <v>13</v>
      </c>
      <c r="AE395" s="343">
        <f>IFERROR(__xludf.DUMMYFUNCTION("""COMPUTED_VALUE"""),13.0)</f>
        <v>13</v>
      </c>
      <c r="AF395" s="343">
        <f>IFERROR(__xludf.DUMMYFUNCTION("""COMPUTED_VALUE"""),14.0)</f>
        <v>14</v>
      </c>
      <c r="AG395" s="343">
        <f>IFERROR(__xludf.DUMMYFUNCTION("""COMPUTED_VALUE"""),19.0)</f>
        <v>19</v>
      </c>
      <c r="AH395" s="343">
        <f>IFERROR(__xludf.DUMMYFUNCTION("""COMPUTED_VALUE"""),24.0)</f>
        <v>24</v>
      </c>
      <c r="AI395" s="385" t="str">
        <f>IFERROR(__xludf.DUMMYFUNCTION("""COMPUTED_VALUE"""),"持続型")</f>
        <v>持続型</v>
      </c>
      <c r="AJ395" s="399">
        <f>IFERROR(__xludf.DUMMYFUNCTION("""COMPUTED_VALUE"""),4.0)</f>
        <v>4</v>
      </c>
      <c r="AK395" s="400" t="str">
        <f>IFERROR(__xludf.DUMMYFUNCTION("""COMPUTED_VALUE"""),"効果値")</f>
        <v>効果値</v>
      </c>
      <c r="AL395" s="343">
        <f>IFERROR(__xludf.DUMMYFUNCTION("""COMPUTED_VALUE"""),8.0)</f>
        <v>8</v>
      </c>
      <c r="AM395" s="402">
        <f>IFERROR(__xludf.DUMMYFUNCTION("""COMPUTED_VALUE"""),8.0)</f>
        <v>8</v>
      </c>
      <c r="AN395" s="343">
        <f>IFERROR(__xludf.DUMMYFUNCTION("""COMPUTED_VALUE"""),8.0)</f>
        <v>8</v>
      </c>
      <c r="AO395" s="402">
        <f>IFERROR(__xludf.DUMMYFUNCTION("""COMPUTED_VALUE"""),8.0)</f>
        <v>8</v>
      </c>
      <c r="AP395" s="343">
        <f>IFERROR(__xludf.DUMMYFUNCTION("""COMPUTED_VALUE"""),8.0)</f>
        <v>8</v>
      </c>
      <c r="AQ395" s="343">
        <f>IFERROR(__xludf.DUMMYFUNCTION("""COMPUTED_VALUE"""),9.0)</f>
        <v>9</v>
      </c>
      <c r="AR395" s="343">
        <f>IFERROR(__xludf.DUMMYFUNCTION("""COMPUTED_VALUE"""),12.0)</f>
        <v>12</v>
      </c>
      <c r="AS395" s="343">
        <f>IFERROR(__xludf.DUMMYFUNCTION("""COMPUTED_VALUE"""),12.0)</f>
        <v>12</v>
      </c>
      <c r="AT395" s="385" t="str">
        <f>IFERROR(__xludf.DUMMYFUNCTION("""COMPUTED_VALUE"""),"超持続型")</f>
        <v>超持続型</v>
      </c>
      <c r="AU395" s="399">
        <f>IFERROR(__xludf.DUMMYFUNCTION("""COMPUTED_VALUE"""),4.0)</f>
        <v>4</v>
      </c>
      <c r="AV395" s="400" t="str">
        <f>IFERROR(__xludf.DUMMYFUNCTION("""COMPUTED_VALUE"""),"効果値")</f>
        <v>効果値</v>
      </c>
      <c r="AW395" s="403" t="str">
        <f>IFERROR(__xludf.DUMMYFUNCTION("""COMPUTED_VALUE"""),"-")</f>
        <v>-</v>
      </c>
      <c r="AX395" s="403" t="str">
        <f>IFERROR(__xludf.DUMMYFUNCTION("""COMPUTED_VALUE"""),"-")</f>
        <v>-</v>
      </c>
      <c r="AY395" s="403" t="str">
        <f>IFERROR(__xludf.DUMMYFUNCTION("""COMPUTED_VALUE"""),"-")</f>
        <v>-</v>
      </c>
      <c r="AZ395" s="403" t="str">
        <f>IFERROR(__xludf.DUMMYFUNCTION("""COMPUTED_VALUE"""),"-")</f>
        <v>-</v>
      </c>
      <c r="BA395" s="403" t="str">
        <f>IFERROR(__xludf.DUMMYFUNCTION("""COMPUTED_VALUE"""),"-")</f>
        <v>-</v>
      </c>
      <c r="BB395" s="343">
        <f>IFERROR(__xludf.DUMMYFUNCTION("""COMPUTED_VALUE"""),9.0)</f>
        <v>9</v>
      </c>
      <c r="BC395" s="343">
        <f>IFERROR(__xludf.DUMMYFUNCTION("""COMPUTED_VALUE"""),12.0)</f>
        <v>12</v>
      </c>
      <c r="BD395" s="343">
        <f>IFERROR(__xludf.DUMMYFUNCTION("""COMPUTED_VALUE"""),12.0)</f>
        <v>12</v>
      </c>
      <c r="BE395" s="385" t="str">
        <f>IFERROR(__xludf.DUMMYFUNCTION("""COMPUTED_VALUE"""),"ハイブリッド型")</f>
        <v>ハイブリッド型</v>
      </c>
      <c r="BF395" s="399">
        <f>IFERROR(__xludf.DUMMYFUNCTION("""COMPUTED_VALUE"""),4.0)</f>
        <v>4</v>
      </c>
      <c r="BG395" s="400" t="str">
        <f>IFERROR(__xludf.DUMMYFUNCTION("""COMPUTED_VALUE"""),"効果値")</f>
        <v>効果値</v>
      </c>
      <c r="BH395" s="411">
        <f>IFERROR(__xludf.DUMMYFUNCTION("""COMPUTED_VALUE"""),11.8)</f>
        <v>11.8</v>
      </c>
      <c r="BI395" s="412">
        <f>IFERROR(__xludf.DUMMYFUNCTION("""COMPUTED_VALUE"""),12.4)</f>
        <v>12.4</v>
      </c>
      <c r="BJ395" s="412">
        <f>IFERROR(__xludf.DUMMYFUNCTION("""COMPUTED_VALUE"""),13.1)</f>
        <v>13.1</v>
      </c>
      <c r="BK395" s="412">
        <f>IFERROR(__xludf.DUMMYFUNCTION("""COMPUTED_VALUE"""),13.7)</f>
        <v>13.7</v>
      </c>
      <c r="BL395" s="412">
        <f>IFERROR(__xludf.DUMMYFUNCTION("""COMPUTED_VALUE"""),14.4)</f>
        <v>14.4</v>
      </c>
      <c r="BM395" s="412">
        <f>IFERROR(__xludf.DUMMYFUNCTION("""COMPUTED_VALUE"""),19.4)</f>
        <v>19.4</v>
      </c>
      <c r="BN395" s="412">
        <f>IFERROR(__xludf.DUMMYFUNCTION("""COMPUTED_VALUE"""),24.0)</f>
        <v>24</v>
      </c>
      <c r="BO395" s="413">
        <f>IFERROR(__xludf.DUMMYFUNCTION("""COMPUTED_VALUE"""),29.0)</f>
        <v>29</v>
      </c>
    </row>
    <row r="396">
      <c r="A396" s="435" t="str">
        <f>IFERROR(__xludf.DUMMYFUNCTION("""COMPUTED_VALUE"""),"攻撃力Down(ディフェンス)")</f>
        <v>攻撃力Down(ディフェンス)</v>
      </c>
      <c r="B396" s="385" t="str">
        <f>IFERROR(__xludf.DUMMYFUNCTION("""COMPUTED_VALUE"""),"超瞬間型")</f>
        <v>超瞬間型</v>
      </c>
      <c r="C396" s="386">
        <f>IFERROR(__xludf.DUMMYFUNCTION("""COMPUTED_VALUE"""),4.0)</f>
        <v>4</v>
      </c>
      <c r="D396" s="387" t="str">
        <f>IFERROR(__xludf.DUMMYFUNCTION("""COMPUTED_VALUE"""),"効果時間")</f>
        <v>効果時間</v>
      </c>
      <c r="E396" s="388" t="str">
        <f>IFERROR(__xludf.DUMMYFUNCTION("""COMPUTED_VALUE"""),"-")</f>
        <v>-</v>
      </c>
      <c r="F396" s="389" t="str">
        <f>IFERROR(__xludf.DUMMYFUNCTION("""COMPUTED_VALUE"""),"-")</f>
        <v>-</v>
      </c>
      <c r="G396" s="388" t="str">
        <f>IFERROR(__xludf.DUMMYFUNCTION("""COMPUTED_VALUE"""),"-")</f>
        <v>-</v>
      </c>
      <c r="H396" s="389" t="str">
        <f>IFERROR(__xludf.DUMMYFUNCTION("""COMPUTED_VALUE"""),"-")</f>
        <v>-</v>
      </c>
      <c r="I396" s="388" t="str">
        <f>IFERROR(__xludf.DUMMYFUNCTION("""COMPUTED_VALUE"""),"-")</f>
        <v>-</v>
      </c>
      <c r="J396" s="390">
        <f>IFERROR(__xludf.DUMMYFUNCTION("""COMPUTED_VALUE"""),155.0)</f>
        <v>155</v>
      </c>
      <c r="K396" s="391">
        <f>IFERROR(__xludf.DUMMYFUNCTION("""COMPUTED_VALUE"""),170.0)</f>
        <v>170</v>
      </c>
      <c r="L396" s="340">
        <f>IFERROR(__xludf.DUMMYFUNCTION("""COMPUTED_VALUE"""),195.0)</f>
        <v>195</v>
      </c>
      <c r="M396" s="385" t="str">
        <f>IFERROR(__xludf.DUMMYFUNCTION("""COMPUTED_VALUE"""),"瞬間型")</f>
        <v>瞬間型</v>
      </c>
      <c r="N396" s="386">
        <f>IFERROR(__xludf.DUMMYFUNCTION("""COMPUTED_VALUE"""),4.0)</f>
        <v>4</v>
      </c>
      <c r="O396" s="387" t="str">
        <f>IFERROR(__xludf.DUMMYFUNCTION("""COMPUTED_VALUE"""),"効果時間")</f>
        <v>効果時間</v>
      </c>
      <c r="P396" s="280">
        <f>IFERROR(__xludf.DUMMYFUNCTION("""COMPUTED_VALUE"""),170.0)</f>
        <v>170</v>
      </c>
      <c r="Q396" s="275">
        <f>IFERROR(__xludf.DUMMYFUNCTION("""COMPUTED_VALUE"""),180.0)</f>
        <v>180</v>
      </c>
      <c r="R396" s="280">
        <f>IFERROR(__xludf.DUMMYFUNCTION("""COMPUTED_VALUE"""),185.0)</f>
        <v>185</v>
      </c>
      <c r="S396" s="275">
        <f>IFERROR(__xludf.DUMMYFUNCTION("""COMPUTED_VALUE"""),195.0)</f>
        <v>195</v>
      </c>
      <c r="T396" s="280">
        <f>IFERROR(__xludf.DUMMYFUNCTION("""COMPUTED_VALUE"""),200.0)</f>
        <v>200</v>
      </c>
      <c r="U396" s="280">
        <f>IFERROR(__xludf.DUMMYFUNCTION("""COMPUTED_VALUE"""),215.0)</f>
        <v>215</v>
      </c>
      <c r="V396" s="280">
        <f>IFERROR(__xludf.DUMMYFUNCTION("""COMPUTED_VALUE"""),285.0)</f>
        <v>285</v>
      </c>
      <c r="W396" s="280">
        <f>IFERROR(__xludf.DUMMYFUNCTION("""COMPUTED_VALUE"""),305.0)</f>
        <v>305</v>
      </c>
      <c r="X396" s="385" t="str">
        <f>IFERROR(__xludf.DUMMYFUNCTION("""COMPUTED_VALUE"""),"安定型")</f>
        <v>安定型</v>
      </c>
      <c r="Y396" s="386">
        <f>IFERROR(__xludf.DUMMYFUNCTION("""COMPUTED_VALUE"""),4.0)</f>
        <v>4</v>
      </c>
      <c r="Z396" s="387" t="str">
        <f>IFERROR(__xludf.DUMMYFUNCTION("""COMPUTED_VALUE"""),"効果時間")</f>
        <v>効果時間</v>
      </c>
      <c r="AA396" s="280">
        <f>IFERROR(__xludf.DUMMYFUNCTION("""COMPUTED_VALUE"""),320.0)</f>
        <v>320</v>
      </c>
      <c r="AB396" s="275">
        <f>IFERROR(__xludf.DUMMYFUNCTION("""COMPUTED_VALUE"""),330.0)</f>
        <v>330</v>
      </c>
      <c r="AC396" s="280">
        <f>IFERROR(__xludf.DUMMYFUNCTION("""COMPUTED_VALUE"""),335.0)</f>
        <v>335</v>
      </c>
      <c r="AD396" s="275">
        <f>IFERROR(__xludf.DUMMYFUNCTION("""COMPUTED_VALUE"""),345.0)</f>
        <v>345</v>
      </c>
      <c r="AE396" s="280">
        <f>IFERROR(__xludf.DUMMYFUNCTION("""COMPUTED_VALUE"""),350.0)</f>
        <v>350</v>
      </c>
      <c r="AF396" s="280">
        <f>IFERROR(__xludf.DUMMYFUNCTION("""COMPUTED_VALUE"""),390.0)</f>
        <v>390</v>
      </c>
      <c r="AG396" s="280">
        <f>IFERROR(__xludf.DUMMYFUNCTION("""COMPUTED_VALUE"""),435.0)</f>
        <v>435</v>
      </c>
      <c r="AH396" s="280">
        <f>IFERROR(__xludf.DUMMYFUNCTION("""COMPUTED_VALUE"""),455.0)</f>
        <v>455</v>
      </c>
      <c r="AI396" s="385" t="str">
        <f>IFERROR(__xludf.DUMMYFUNCTION("""COMPUTED_VALUE"""),"持続型")</f>
        <v>持続型</v>
      </c>
      <c r="AJ396" s="386">
        <f>IFERROR(__xludf.DUMMYFUNCTION("""COMPUTED_VALUE"""),4.0)</f>
        <v>4</v>
      </c>
      <c r="AK396" s="387" t="str">
        <f>IFERROR(__xludf.DUMMYFUNCTION("""COMPUTED_VALUE"""),"効果時間")</f>
        <v>効果時間</v>
      </c>
      <c r="AL396" s="280">
        <f>IFERROR(__xludf.DUMMYFUNCTION("""COMPUTED_VALUE"""),470.0)</f>
        <v>470</v>
      </c>
      <c r="AM396" s="275">
        <f>IFERROR(__xludf.DUMMYFUNCTION("""COMPUTED_VALUE"""),480.0)</f>
        <v>480</v>
      </c>
      <c r="AN396" s="280">
        <f>IFERROR(__xludf.DUMMYFUNCTION("""COMPUTED_VALUE"""),485.0)</f>
        <v>485</v>
      </c>
      <c r="AO396" s="275">
        <f>IFERROR(__xludf.DUMMYFUNCTION("""COMPUTED_VALUE"""),495.0)</f>
        <v>495</v>
      </c>
      <c r="AP396" s="280">
        <f>IFERROR(__xludf.DUMMYFUNCTION("""COMPUTED_VALUE"""),500.0)</f>
        <v>500</v>
      </c>
      <c r="AQ396" s="280">
        <f>IFERROR(__xludf.DUMMYFUNCTION("""COMPUTED_VALUE"""),540.0)</f>
        <v>540</v>
      </c>
      <c r="AR396" s="280">
        <f>IFERROR(__xludf.DUMMYFUNCTION("""COMPUTED_VALUE"""),585.0)</f>
        <v>585</v>
      </c>
      <c r="AS396" s="280">
        <f>IFERROR(__xludf.DUMMYFUNCTION("""COMPUTED_VALUE"""),605.0)</f>
        <v>605</v>
      </c>
      <c r="AT396" s="385" t="str">
        <f>IFERROR(__xludf.DUMMYFUNCTION("""COMPUTED_VALUE"""),"超持続型")</f>
        <v>超持続型</v>
      </c>
      <c r="AU396" s="386">
        <f>IFERROR(__xludf.DUMMYFUNCTION("""COMPUTED_VALUE"""),4.0)</f>
        <v>4</v>
      </c>
      <c r="AV396" s="387" t="str">
        <f>IFERROR(__xludf.DUMMYFUNCTION("""COMPUTED_VALUE"""),"効果時間")</f>
        <v>効果時間</v>
      </c>
      <c r="AW396" s="368" t="str">
        <f>IFERROR(__xludf.DUMMYFUNCTION("""COMPUTED_VALUE"""),"-")</f>
        <v>-</v>
      </c>
      <c r="AX396" s="368" t="str">
        <f>IFERROR(__xludf.DUMMYFUNCTION("""COMPUTED_VALUE"""),"-")</f>
        <v>-</v>
      </c>
      <c r="AY396" s="368" t="str">
        <f>IFERROR(__xludf.DUMMYFUNCTION("""COMPUTED_VALUE"""),"-")</f>
        <v>-</v>
      </c>
      <c r="AZ396" s="368" t="str">
        <f>IFERROR(__xludf.DUMMYFUNCTION("""COMPUTED_VALUE"""),"-")</f>
        <v>-</v>
      </c>
      <c r="BA396" s="368" t="str">
        <f>IFERROR(__xludf.DUMMYFUNCTION("""COMPUTED_VALUE"""),"-")</f>
        <v>-</v>
      </c>
      <c r="BB396" s="280">
        <f>IFERROR(__xludf.DUMMYFUNCTION("""COMPUTED_VALUE"""),645.0)</f>
        <v>645</v>
      </c>
      <c r="BC396" s="280">
        <f>IFERROR(__xludf.DUMMYFUNCTION("""COMPUTED_VALUE"""),735.0)</f>
        <v>735</v>
      </c>
      <c r="BD396" s="280">
        <f>IFERROR(__xludf.DUMMYFUNCTION("""COMPUTED_VALUE"""),755.0)</f>
        <v>755</v>
      </c>
      <c r="BE396" s="385" t="str">
        <f>IFERROR(__xludf.DUMMYFUNCTION("""COMPUTED_VALUE"""),"ハイブリッド型")</f>
        <v>ハイブリッド型</v>
      </c>
      <c r="BF396" s="386">
        <f>IFERROR(__xludf.DUMMYFUNCTION("""COMPUTED_VALUE"""),4.0)</f>
        <v>4</v>
      </c>
      <c r="BG396" s="387" t="str">
        <f>IFERROR(__xludf.DUMMYFUNCTION("""COMPUTED_VALUE"""),"効果時間")</f>
        <v>効果時間</v>
      </c>
      <c r="BH396" s="417">
        <f>IFERROR(__xludf.DUMMYFUNCTION("""COMPUTED_VALUE"""),240.0)</f>
        <v>240</v>
      </c>
      <c r="BI396" s="417">
        <f>IFERROR(__xludf.DUMMYFUNCTION("""COMPUTED_VALUE"""),255.0)</f>
        <v>255</v>
      </c>
      <c r="BJ396" s="417">
        <f>IFERROR(__xludf.DUMMYFUNCTION("""COMPUTED_VALUE"""),265.0)</f>
        <v>265</v>
      </c>
      <c r="BK396" s="418">
        <f>IFERROR(__xludf.DUMMYFUNCTION("""COMPUTED_VALUE"""),275.0)</f>
        <v>275</v>
      </c>
      <c r="BL396" s="417">
        <f>IFERROR(__xludf.DUMMYFUNCTION("""COMPUTED_VALUE"""),285.0)</f>
        <v>285</v>
      </c>
      <c r="BM396" s="418">
        <f>IFERROR(__xludf.DUMMYFUNCTION("""COMPUTED_VALUE"""),395.0)</f>
        <v>395</v>
      </c>
      <c r="BN396" s="417">
        <f>IFERROR(__xludf.DUMMYFUNCTION("""COMPUTED_VALUE"""),500.0)</f>
        <v>500</v>
      </c>
      <c r="BO396" s="418">
        <f>IFERROR(__xludf.DUMMYFUNCTION("""COMPUTED_VALUE"""),520.0)</f>
        <v>520</v>
      </c>
    </row>
    <row r="397">
      <c r="A397" s="435" t="str">
        <f>IFERROR(__xludf.DUMMYFUNCTION("""COMPUTED_VALUE"""),"攻撃力Down(ディフェンス)")</f>
        <v>攻撃力Down(ディフェンス)</v>
      </c>
      <c r="B397" s="385" t="str">
        <f>IFERROR(__xludf.DUMMYFUNCTION("""COMPUTED_VALUE"""),"超瞬間型")</f>
        <v>超瞬間型</v>
      </c>
      <c r="C397" s="399">
        <f>IFERROR(__xludf.DUMMYFUNCTION("""COMPUTED_VALUE"""),5.0)</f>
        <v>5</v>
      </c>
      <c r="D397" s="400" t="str">
        <f>IFERROR(__xludf.DUMMYFUNCTION("""COMPUTED_VALUE"""),"効果値")</f>
        <v>効果値</v>
      </c>
      <c r="E397" s="419" t="str">
        <f>IFERROR(__xludf.DUMMYFUNCTION("""COMPUTED_VALUE"""),"-")</f>
        <v>-</v>
      </c>
      <c r="F397" s="409" t="str">
        <f>IFERROR(__xludf.DUMMYFUNCTION("""COMPUTED_VALUE"""),"-")</f>
        <v>-</v>
      </c>
      <c r="G397" s="409" t="str">
        <f>IFERROR(__xludf.DUMMYFUNCTION("""COMPUTED_VALUE"""),"-")</f>
        <v>-</v>
      </c>
      <c r="H397" s="409" t="str">
        <f>IFERROR(__xludf.DUMMYFUNCTION("""COMPUTED_VALUE"""),"-")</f>
        <v>-</v>
      </c>
      <c r="I397" s="409" t="str">
        <f>IFERROR(__xludf.DUMMYFUNCTION("""COMPUTED_VALUE"""),"-")</f>
        <v>-</v>
      </c>
      <c r="J397" s="420">
        <f>IFERROR(__xludf.DUMMYFUNCTION("""COMPUTED_VALUE"""),60.0)</f>
        <v>60</v>
      </c>
      <c r="K397" s="421">
        <f>IFERROR(__xludf.DUMMYFUNCTION("""COMPUTED_VALUE"""),70.0)</f>
        <v>70</v>
      </c>
      <c r="L397" s="421">
        <f>IFERROR(__xludf.DUMMYFUNCTION("""COMPUTED_VALUE"""),75.0)</f>
        <v>75</v>
      </c>
      <c r="M397" s="385" t="str">
        <f>IFERROR(__xludf.DUMMYFUNCTION("""COMPUTED_VALUE"""),"瞬間型")</f>
        <v>瞬間型</v>
      </c>
      <c r="N397" s="399">
        <f>IFERROR(__xludf.DUMMYFUNCTION("""COMPUTED_VALUE"""),5.0)</f>
        <v>5</v>
      </c>
      <c r="O397" s="400" t="str">
        <f>IFERROR(__xludf.DUMMYFUNCTION("""COMPUTED_VALUE"""),"効果値")</f>
        <v>効果値</v>
      </c>
      <c r="P397" s="422">
        <f>IFERROR(__xludf.DUMMYFUNCTION("""COMPUTED_VALUE"""),23.0)</f>
        <v>23</v>
      </c>
      <c r="Q397" s="423">
        <f>IFERROR(__xludf.DUMMYFUNCTION("""COMPUTED_VALUE"""),23.0)</f>
        <v>23</v>
      </c>
      <c r="R397" s="422">
        <f>IFERROR(__xludf.DUMMYFUNCTION("""COMPUTED_VALUE"""),24.0)</f>
        <v>24</v>
      </c>
      <c r="S397" s="423">
        <f>IFERROR(__xludf.DUMMYFUNCTION("""COMPUTED_VALUE"""),24.0)</f>
        <v>24</v>
      </c>
      <c r="T397" s="422">
        <f>IFERROR(__xludf.DUMMYFUNCTION("""COMPUTED_VALUE"""),24.0)</f>
        <v>24</v>
      </c>
      <c r="U397" s="423">
        <f>IFERROR(__xludf.DUMMYFUNCTION("""COMPUTED_VALUE"""),30.0)</f>
        <v>30</v>
      </c>
      <c r="V397" s="423">
        <f>IFERROR(__xludf.DUMMYFUNCTION("""COMPUTED_VALUE"""),35.0)</f>
        <v>35</v>
      </c>
      <c r="W397" s="424">
        <f>IFERROR(__xludf.DUMMYFUNCTION("""COMPUTED_VALUE"""),40.0)</f>
        <v>40</v>
      </c>
      <c r="X397" s="385" t="str">
        <f>IFERROR(__xludf.DUMMYFUNCTION("""COMPUTED_VALUE"""),"安定型")</f>
        <v>安定型</v>
      </c>
      <c r="Y397" s="399">
        <f>IFERROR(__xludf.DUMMYFUNCTION("""COMPUTED_VALUE"""),5.0)</f>
        <v>5</v>
      </c>
      <c r="Z397" s="400" t="str">
        <f>IFERROR(__xludf.DUMMYFUNCTION("""COMPUTED_VALUE"""),"効果値")</f>
        <v>効果値</v>
      </c>
      <c r="AA397" s="422">
        <f>IFERROR(__xludf.DUMMYFUNCTION("""COMPUTED_VALUE"""),13.0)</f>
        <v>13</v>
      </c>
      <c r="AB397" s="423">
        <f>IFERROR(__xludf.DUMMYFUNCTION("""COMPUTED_VALUE"""),13.0)</f>
        <v>13</v>
      </c>
      <c r="AC397" s="422">
        <f>IFERROR(__xludf.DUMMYFUNCTION("""COMPUTED_VALUE"""),14.0)</f>
        <v>14</v>
      </c>
      <c r="AD397" s="423">
        <f>IFERROR(__xludf.DUMMYFUNCTION("""COMPUTED_VALUE"""),14.0)</f>
        <v>14</v>
      </c>
      <c r="AE397" s="422">
        <f>IFERROR(__xludf.DUMMYFUNCTION("""COMPUTED_VALUE"""),14.0)</f>
        <v>14</v>
      </c>
      <c r="AF397" s="423">
        <f>IFERROR(__xludf.DUMMYFUNCTION("""COMPUTED_VALUE"""),15.0)</f>
        <v>15</v>
      </c>
      <c r="AG397" s="423">
        <f>IFERROR(__xludf.DUMMYFUNCTION("""COMPUTED_VALUE"""),20.0)</f>
        <v>20</v>
      </c>
      <c r="AH397" s="424">
        <f>IFERROR(__xludf.DUMMYFUNCTION("""COMPUTED_VALUE"""),25.0)</f>
        <v>25</v>
      </c>
      <c r="AI397" s="385" t="str">
        <f>IFERROR(__xludf.DUMMYFUNCTION("""COMPUTED_VALUE"""),"持続型")</f>
        <v>持続型</v>
      </c>
      <c r="AJ397" s="399">
        <f>IFERROR(__xludf.DUMMYFUNCTION("""COMPUTED_VALUE"""),5.0)</f>
        <v>5</v>
      </c>
      <c r="AK397" s="400" t="str">
        <f>IFERROR(__xludf.DUMMYFUNCTION("""COMPUTED_VALUE"""),"効果値")</f>
        <v>効果値</v>
      </c>
      <c r="AL397" s="422">
        <f>IFERROR(__xludf.DUMMYFUNCTION("""COMPUTED_VALUE"""),8.0)</f>
        <v>8</v>
      </c>
      <c r="AM397" s="423">
        <f>IFERROR(__xludf.DUMMYFUNCTION("""COMPUTED_VALUE"""),8.0)</f>
        <v>8</v>
      </c>
      <c r="AN397" s="422">
        <f>IFERROR(__xludf.DUMMYFUNCTION("""COMPUTED_VALUE"""),9.0)</f>
        <v>9</v>
      </c>
      <c r="AO397" s="423">
        <f>IFERROR(__xludf.DUMMYFUNCTION("""COMPUTED_VALUE"""),9.0)</f>
        <v>9</v>
      </c>
      <c r="AP397" s="422">
        <f>IFERROR(__xludf.DUMMYFUNCTION("""COMPUTED_VALUE"""),9.0)</f>
        <v>9</v>
      </c>
      <c r="AQ397" s="423">
        <f>IFERROR(__xludf.DUMMYFUNCTION("""COMPUTED_VALUE"""),10.0)</f>
        <v>10</v>
      </c>
      <c r="AR397" s="423">
        <f>IFERROR(__xludf.DUMMYFUNCTION("""COMPUTED_VALUE"""),12.0)</f>
        <v>12</v>
      </c>
      <c r="AS397" s="424">
        <f>IFERROR(__xludf.DUMMYFUNCTION("""COMPUTED_VALUE"""),12.0)</f>
        <v>12</v>
      </c>
      <c r="AT397" s="385" t="str">
        <f>IFERROR(__xludf.DUMMYFUNCTION("""COMPUTED_VALUE"""),"超持続型")</f>
        <v>超持続型</v>
      </c>
      <c r="AU397" s="399">
        <f>IFERROR(__xludf.DUMMYFUNCTION("""COMPUTED_VALUE"""),5.0)</f>
        <v>5</v>
      </c>
      <c r="AV397" s="400" t="str">
        <f>IFERROR(__xludf.DUMMYFUNCTION("""COMPUTED_VALUE"""),"効果値")</f>
        <v>効果値</v>
      </c>
      <c r="AW397" s="425" t="str">
        <f>IFERROR(__xludf.DUMMYFUNCTION("""COMPUTED_VALUE"""),"-")</f>
        <v>-</v>
      </c>
      <c r="AX397" s="426" t="str">
        <f>IFERROR(__xludf.DUMMYFUNCTION("""COMPUTED_VALUE"""),"-")</f>
        <v>-</v>
      </c>
      <c r="AY397" s="426" t="str">
        <f>IFERROR(__xludf.DUMMYFUNCTION("""COMPUTED_VALUE"""),"-")</f>
        <v>-</v>
      </c>
      <c r="AZ397" s="426" t="str">
        <f>IFERROR(__xludf.DUMMYFUNCTION("""COMPUTED_VALUE"""),"-")</f>
        <v>-</v>
      </c>
      <c r="BA397" s="426" t="str">
        <f>IFERROR(__xludf.DUMMYFUNCTION("""COMPUTED_VALUE"""),"-")</f>
        <v>-</v>
      </c>
      <c r="BB397" s="423">
        <f>IFERROR(__xludf.DUMMYFUNCTION("""COMPUTED_VALUE"""),10.0)</f>
        <v>10</v>
      </c>
      <c r="BC397" s="423">
        <f>IFERROR(__xludf.DUMMYFUNCTION("""COMPUTED_VALUE"""),12.0)</f>
        <v>12</v>
      </c>
      <c r="BD397" s="424">
        <f>IFERROR(__xludf.DUMMYFUNCTION("""COMPUTED_VALUE"""),12.0)</f>
        <v>12</v>
      </c>
      <c r="BE397" s="385" t="str">
        <f>IFERROR(__xludf.DUMMYFUNCTION("""COMPUTED_VALUE"""),"ハイブリッド型")</f>
        <v>ハイブリッド型</v>
      </c>
      <c r="BF397" s="399">
        <f>IFERROR(__xludf.DUMMYFUNCTION("""COMPUTED_VALUE"""),5.0)</f>
        <v>5</v>
      </c>
      <c r="BG397" s="400" t="str">
        <f>IFERROR(__xludf.DUMMYFUNCTION("""COMPUTED_VALUE"""),"効果値")</f>
        <v>効果値</v>
      </c>
      <c r="BH397" s="427">
        <f>IFERROR(__xludf.DUMMYFUNCTION("""COMPUTED_VALUE"""),12.0)</f>
        <v>12</v>
      </c>
      <c r="BI397" s="428">
        <f>IFERROR(__xludf.DUMMYFUNCTION("""COMPUTED_VALUE"""),12.75)</f>
        <v>12.75</v>
      </c>
      <c r="BJ397" s="428">
        <f>IFERROR(__xludf.DUMMYFUNCTION("""COMPUTED_VALUE"""),13.5)</f>
        <v>13.5</v>
      </c>
      <c r="BK397" s="428">
        <f>IFERROR(__xludf.DUMMYFUNCTION("""COMPUTED_VALUE"""),14.25)</f>
        <v>14.25</v>
      </c>
      <c r="BL397" s="427">
        <f>IFERROR(__xludf.DUMMYFUNCTION("""COMPUTED_VALUE"""),15.0)</f>
        <v>15</v>
      </c>
      <c r="BM397" s="427">
        <f>IFERROR(__xludf.DUMMYFUNCTION("""COMPUTED_VALUE"""),20.0)</f>
        <v>20</v>
      </c>
      <c r="BN397" s="427">
        <f>IFERROR(__xludf.DUMMYFUNCTION("""COMPUTED_VALUE"""),25.0)</f>
        <v>25</v>
      </c>
      <c r="BO397" s="429">
        <f>IFERROR(__xludf.DUMMYFUNCTION("""COMPUTED_VALUE"""),30.0)</f>
        <v>30</v>
      </c>
    </row>
    <row r="398">
      <c r="A398" s="435" t="str">
        <f>IFERROR(__xludf.DUMMYFUNCTION("""COMPUTED_VALUE"""),"攻撃力Down(ディフェンス)")</f>
        <v>攻撃力Down(ディフェンス)</v>
      </c>
      <c r="B398" s="385" t="str">
        <f>IFERROR(__xludf.DUMMYFUNCTION("""COMPUTED_VALUE"""),"超瞬間型")</f>
        <v>超瞬間型</v>
      </c>
      <c r="C398" s="430">
        <f>IFERROR(__xludf.DUMMYFUNCTION("""COMPUTED_VALUE"""),5.0)</f>
        <v>5</v>
      </c>
      <c r="D398" s="431" t="str">
        <f>IFERROR(__xludf.DUMMYFUNCTION("""COMPUTED_VALUE"""),"効果時間")</f>
        <v>効果時間</v>
      </c>
      <c r="E398" s="388" t="str">
        <f>IFERROR(__xludf.DUMMYFUNCTION("""COMPUTED_VALUE"""),"-")</f>
        <v>-</v>
      </c>
      <c r="F398" s="389" t="str">
        <f>IFERROR(__xludf.DUMMYFUNCTION("""COMPUTED_VALUE"""),"-")</f>
        <v>-</v>
      </c>
      <c r="G398" s="388" t="str">
        <f>IFERROR(__xludf.DUMMYFUNCTION("""COMPUTED_VALUE"""),"-")</f>
        <v>-</v>
      </c>
      <c r="H398" s="389" t="str">
        <f>IFERROR(__xludf.DUMMYFUNCTION("""COMPUTED_VALUE"""),"-")</f>
        <v>-</v>
      </c>
      <c r="I398" s="388" t="str">
        <f>IFERROR(__xludf.DUMMYFUNCTION("""COMPUTED_VALUE"""),"-")</f>
        <v>-</v>
      </c>
      <c r="J398" s="390">
        <f>IFERROR(__xludf.DUMMYFUNCTION("""COMPUTED_VALUE"""),160.0)</f>
        <v>160</v>
      </c>
      <c r="K398" s="391">
        <f>IFERROR(__xludf.DUMMYFUNCTION("""COMPUTED_VALUE"""),175.0)</f>
        <v>175</v>
      </c>
      <c r="L398" s="340">
        <f>IFERROR(__xludf.DUMMYFUNCTION("""COMPUTED_VALUE"""),200.0)</f>
        <v>200</v>
      </c>
      <c r="M398" s="385" t="str">
        <f>IFERROR(__xludf.DUMMYFUNCTION("""COMPUTED_VALUE"""),"瞬間型")</f>
        <v>瞬間型</v>
      </c>
      <c r="N398" s="430">
        <f>IFERROR(__xludf.DUMMYFUNCTION("""COMPUTED_VALUE"""),5.0)</f>
        <v>5</v>
      </c>
      <c r="O398" s="431" t="str">
        <f>IFERROR(__xludf.DUMMYFUNCTION("""COMPUTED_VALUE"""),"効果時間")</f>
        <v>効果時間</v>
      </c>
      <c r="P398" s="392">
        <f>IFERROR(__xludf.DUMMYFUNCTION("""COMPUTED_VALUE"""),175.0)</f>
        <v>175</v>
      </c>
      <c r="Q398" s="414">
        <f>IFERROR(__xludf.DUMMYFUNCTION("""COMPUTED_VALUE"""),185.0)</f>
        <v>185</v>
      </c>
      <c r="R398" s="414">
        <f>IFERROR(__xludf.DUMMYFUNCTION("""COMPUTED_VALUE"""),190.0)</f>
        <v>190</v>
      </c>
      <c r="S398" s="414">
        <f>IFERROR(__xludf.DUMMYFUNCTION("""COMPUTED_VALUE"""),195.0)</f>
        <v>195</v>
      </c>
      <c r="T398" s="394">
        <f>IFERROR(__xludf.DUMMYFUNCTION("""COMPUTED_VALUE"""),200.0)</f>
        <v>200</v>
      </c>
      <c r="U398" s="394">
        <f>IFERROR(__xludf.DUMMYFUNCTION("""COMPUTED_VALUE"""),225.0)</f>
        <v>225</v>
      </c>
      <c r="V398" s="394">
        <f>IFERROR(__xludf.DUMMYFUNCTION("""COMPUTED_VALUE"""),300.0)</f>
        <v>300</v>
      </c>
      <c r="W398" s="394">
        <f>IFERROR(__xludf.DUMMYFUNCTION("""COMPUTED_VALUE"""),325.0)</f>
        <v>325</v>
      </c>
      <c r="X398" s="385" t="str">
        <f>IFERROR(__xludf.DUMMYFUNCTION("""COMPUTED_VALUE"""),"安定型")</f>
        <v>安定型</v>
      </c>
      <c r="Y398" s="430">
        <f>IFERROR(__xludf.DUMMYFUNCTION("""COMPUTED_VALUE"""),5.0)</f>
        <v>5</v>
      </c>
      <c r="Z398" s="431" t="str">
        <f>IFERROR(__xludf.DUMMYFUNCTION("""COMPUTED_VALUE"""),"効果時間")</f>
        <v>効果時間</v>
      </c>
      <c r="AA398" s="392">
        <f>IFERROR(__xludf.DUMMYFUNCTION("""COMPUTED_VALUE"""),325.0)</f>
        <v>325</v>
      </c>
      <c r="AB398" s="414">
        <f>IFERROR(__xludf.DUMMYFUNCTION("""COMPUTED_VALUE"""),335.0)</f>
        <v>335</v>
      </c>
      <c r="AC398" s="414">
        <f>IFERROR(__xludf.DUMMYFUNCTION("""COMPUTED_VALUE"""),340.0)</f>
        <v>340</v>
      </c>
      <c r="AD398" s="414">
        <f>IFERROR(__xludf.DUMMYFUNCTION("""COMPUTED_VALUE"""),345.0)</f>
        <v>345</v>
      </c>
      <c r="AE398" s="394">
        <f>IFERROR(__xludf.DUMMYFUNCTION("""COMPUTED_VALUE"""),350.0)</f>
        <v>350</v>
      </c>
      <c r="AF398" s="394">
        <f>IFERROR(__xludf.DUMMYFUNCTION("""COMPUTED_VALUE"""),400.0)</f>
        <v>400</v>
      </c>
      <c r="AG398" s="394">
        <f>IFERROR(__xludf.DUMMYFUNCTION("""COMPUTED_VALUE"""),450.0)</f>
        <v>450</v>
      </c>
      <c r="AH398" s="394">
        <f>IFERROR(__xludf.DUMMYFUNCTION("""COMPUTED_VALUE"""),475.0)</f>
        <v>475</v>
      </c>
      <c r="AI398" s="385" t="str">
        <f>IFERROR(__xludf.DUMMYFUNCTION("""COMPUTED_VALUE"""),"持続型")</f>
        <v>持続型</v>
      </c>
      <c r="AJ398" s="430">
        <f>IFERROR(__xludf.DUMMYFUNCTION("""COMPUTED_VALUE"""),5.0)</f>
        <v>5</v>
      </c>
      <c r="AK398" s="431" t="str">
        <f>IFERROR(__xludf.DUMMYFUNCTION("""COMPUTED_VALUE"""),"効果時間")</f>
        <v>効果時間</v>
      </c>
      <c r="AL398" s="392">
        <f>IFERROR(__xludf.DUMMYFUNCTION("""COMPUTED_VALUE"""),475.0)</f>
        <v>475</v>
      </c>
      <c r="AM398" s="414">
        <f>IFERROR(__xludf.DUMMYFUNCTION("""COMPUTED_VALUE"""),485.0)</f>
        <v>485</v>
      </c>
      <c r="AN398" s="414">
        <f>IFERROR(__xludf.DUMMYFUNCTION("""COMPUTED_VALUE"""),490.0)</f>
        <v>490</v>
      </c>
      <c r="AO398" s="414">
        <f>IFERROR(__xludf.DUMMYFUNCTION("""COMPUTED_VALUE"""),495.0)</f>
        <v>495</v>
      </c>
      <c r="AP398" s="394">
        <f>IFERROR(__xludf.DUMMYFUNCTION("""COMPUTED_VALUE"""),500.0)</f>
        <v>500</v>
      </c>
      <c r="AQ398" s="394">
        <f>IFERROR(__xludf.DUMMYFUNCTION("""COMPUTED_VALUE"""),550.0)</f>
        <v>550</v>
      </c>
      <c r="AR398" s="394">
        <f>IFERROR(__xludf.DUMMYFUNCTION("""COMPUTED_VALUE"""),600.0)</f>
        <v>600</v>
      </c>
      <c r="AS398" s="394">
        <f>IFERROR(__xludf.DUMMYFUNCTION("""COMPUTED_VALUE"""),625.0)</f>
        <v>625</v>
      </c>
      <c r="AT398" s="385" t="str">
        <f>IFERROR(__xludf.DUMMYFUNCTION("""COMPUTED_VALUE"""),"超持続型")</f>
        <v>超持続型</v>
      </c>
      <c r="AU398" s="430">
        <f>IFERROR(__xludf.DUMMYFUNCTION("""COMPUTED_VALUE"""),5.0)</f>
        <v>5</v>
      </c>
      <c r="AV398" s="431" t="str">
        <f>IFERROR(__xludf.DUMMYFUNCTION("""COMPUTED_VALUE"""),"効果時間")</f>
        <v>効果時間</v>
      </c>
      <c r="AW398" s="395" t="str">
        <f>IFERROR(__xludf.DUMMYFUNCTION("""COMPUTED_VALUE"""),"-")</f>
        <v>-</v>
      </c>
      <c r="AX398" s="396" t="str">
        <f>IFERROR(__xludf.DUMMYFUNCTION("""COMPUTED_VALUE"""),"-")</f>
        <v>-</v>
      </c>
      <c r="AY398" s="396" t="str">
        <f>IFERROR(__xludf.DUMMYFUNCTION("""COMPUTED_VALUE"""),"-")</f>
        <v>-</v>
      </c>
      <c r="AZ398" s="396" t="str">
        <f>IFERROR(__xludf.DUMMYFUNCTION("""COMPUTED_VALUE"""),"-")</f>
        <v>-</v>
      </c>
      <c r="BA398" s="396" t="str">
        <f>IFERROR(__xludf.DUMMYFUNCTION("""COMPUTED_VALUE"""),"-")</f>
        <v>-</v>
      </c>
      <c r="BB398" s="393">
        <f>IFERROR(__xludf.DUMMYFUNCTION("""COMPUTED_VALUE"""),650.0)</f>
        <v>650</v>
      </c>
      <c r="BC398" s="393">
        <f>IFERROR(__xludf.DUMMYFUNCTION("""COMPUTED_VALUE"""),750.0)</f>
        <v>750</v>
      </c>
      <c r="BD398" s="394">
        <f>IFERROR(__xludf.DUMMYFUNCTION("""COMPUTED_VALUE"""),775.0)</f>
        <v>775</v>
      </c>
      <c r="BE398" s="385" t="str">
        <f>IFERROR(__xludf.DUMMYFUNCTION("""COMPUTED_VALUE"""),"ハイブリッド型")</f>
        <v>ハイブリッド型</v>
      </c>
      <c r="BF398" s="430">
        <f>IFERROR(__xludf.DUMMYFUNCTION("""COMPUTED_VALUE"""),5.0)</f>
        <v>5</v>
      </c>
      <c r="BG398" s="431" t="str">
        <f>IFERROR(__xludf.DUMMYFUNCTION("""COMPUTED_VALUE"""),"効果時間")</f>
        <v>効果時間</v>
      </c>
      <c r="BH398" s="304">
        <f>IFERROR(__xludf.DUMMYFUNCTION("""COMPUTED_VALUE"""),250.0)</f>
        <v>250</v>
      </c>
      <c r="BI398" s="432">
        <f>IFERROR(__xludf.DUMMYFUNCTION("""COMPUTED_VALUE"""),265.0)</f>
        <v>265</v>
      </c>
      <c r="BJ398" s="432">
        <f>IFERROR(__xludf.DUMMYFUNCTION("""COMPUTED_VALUE"""),275.0)</f>
        <v>275</v>
      </c>
      <c r="BK398" s="432">
        <f>IFERROR(__xludf.DUMMYFUNCTION("""COMPUTED_VALUE"""),290.0)</f>
        <v>290</v>
      </c>
      <c r="BL398" s="304">
        <f>IFERROR(__xludf.DUMMYFUNCTION("""COMPUTED_VALUE"""),300.0)</f>
        <v>300</v>
      </c>
      <c r="BM398" s="304">
        <f>IFERROR(__xludf.DUMMYFUNCTION("""COMPUTED_VALUE"""),400.0)</f>
        <v>400</v>
      </c>
      <c r="BN398" s="304">
        <f>IFERROR(__xludf.DUMMYFUNCTION("""COMPUTED_VALUE"""),500.0)</f>
        <v>500</v>
      </c>
      <c r="BO398" s="304">
        <f>IFERROR(__xludf.DUMMYFUNCTION("""COMPUTED_VALUE"""),525.0)</f>
        <v>525</v>
      </c>
    </row>
    <row r="399">
      <c r="A399" s="433" t="str">
        <f>IFERROR(__xludf.DUMMYFUNCTION("""COMPUTED_VALUE"""),"攻撃力Down(サポート)")</f>
        <v>攻撃力Down(サポート)</v>
      </c>
      <c r="B399" s="374" t="str">
        <f>IFERROR(__xludf.DUMMYFUNCTION("""COMPUTED_VALUE"""),"超瞬間型")</f>
        <v>超瞬間型</v>
      </c>
      <c r="C399" s="375">
        <f>IFERROR(__xludf.DUMMYFUNCTION("""COMPUTED_VALUE"""),1.0)</f>
        <v>1</v>
      </c>
      <c r="D399" s="376" t="str">
        <f>IFERROR(__xludf.DUMMYFUNCTION("""COMPUTED_VALUE"""),"効果値")</f>
        <v>効果値</v>
      </c>
      <c r="E399" s="377" t="str">
        <f>IFERROR(__xludf.DUMMYFUNCTION("""COMPUTED_VALUE"""),"-")</f>
        <v>-</v>
      </c>
      <c r="F399" s="378" t="str">
        <f>IFERROR(__xludf.DUMMYFUNCTION("""COMPUTED_VALUE"""),"-")</f>
        <v>-</v>
      </c>
      <c r="G399" s="377" t="str">
        <f>IFERROR(__xludf.DUMMYFUNCTION("""COMPUTED_VALUE"""),"-")</f>
        <v>-</v>
      </c>
      <c r="H399" s="378" t="str">
        <f>IFERROR(__xludf.DUMMYFUNCTION("""COMPUTED_VALUE"""),"-")</f>
        <v>-</v>
      </c>
      <c r="I399" s="377" t="str">
        <f>IFERROR(__xludf.DUMMYFUNCTION("""COMPUTED_VALUE"""),"-")</f>
        <v>-</v>
      </c>
      <c r="J399" s="379">
        <f>IFERROR(__xludf.DUMMYFUNCTION("""COMPUTED_VALUE"""),55.0)</f>
        <v>55</v>
      </c>
      <c r="K399" s="294">
        <f>IFERROR(__xludf.DUMMYFUNCTION("""COMPUTED_VALUE"""),65.0)</f>
        <v>65</v>
      </c>
      <c r="L399" s="294">
        <f>IFERROR(__xludf.DUMMYFUNCTION("""COMPUTED_VALUE"""),65.0)</f>
        <v>65</v>
      </c>
      <c r="M399" s="374" t="str">
        <f>IFERROR(__xludf.DUMMYFUNCTION("""COMPUTED_VALUE"""),"瞬間型")</f>
        <v>瞬間型</v>
      </c>
      <c r="N399" s="375">
        <f>IFERROR(__xludf.DUMMYFUNCTION("""COMPUTED_VALUE"""),1.0)</f>
        <v>1</v>
      </c>
      <c r="O399" s="376" t="str">
        <f>IFERROR(__xludf.DUMMYFUNCTION("""COMPUTED_VALUE"""),"効果値")</f>
        <v>効果値</v>
      </c>
      <c r="P399" s="380">
        <f>IFERROR(__xludf.DUMMYFUNCTION("""COMPUTED_VALUE"""),20.0)</f>
        <v>20</v>
      </c>
      <c r="Q399" s="263">
        <f>IFERROR(__xludf.DUMMYFUNCTION("""COMPUTED_VALUE"""),20.0)</f>
        <v>20</v>
      </c>
      <c r="R399" s="263">
        <f>IFERROR(__xludf.DUMMYFUNCTION("""COMPUTED_VALUE"""),20.0)</f>
        <v>20</v>
      </c>
      <c r="S399" s="263">
        <f>IFERROR(__xludf.DUMMYFUNCTION("""COMPUTED_VALUE"""),20.0)</f>
        <v>20</v>
      </c>
      <c r="T399" s="263">
        <f>IFERROR(__xludf.DUMMYFUNCTION("""COMPUTED_VALUE"""),20.0)</f>
        <v>20</v>
      </c>
      <c r="U399" s="263">
        <f>IFERROR(__xludf.DUMMYFUNCTION("""COMPUTED_VALUE"""),25.0)</f>
        <v>25</v>
      </c>
      <c r="V399" s="266">
        <f>IFERROR(__xludf.DUMMYFUNCTION("""COMPUTED_VALUE"""),30.0)</f>
        <v>30</v>
      </c>
      <c r="W399" s="266">
        <f>IFERROR(__xludf.DUMMYFUNCTION("""COMPUTED_VALUE"""),30.0)</f>
        <v>30</v>
      </c>
      <c r="X399" s="374" t="str">
        <f>IFERROR(__xludf.DUMMYFUNCTION("""COMPUTED_VALUE"""),"安定型")</f>
        <v>安定型</v>
      </c>
      <c r="Y399" s="375">
        <f>IFERROR(__xludf.DUMMYFUNCTION("""COMPUTED_VALUE"""),1.0)</f>
        <v>1</v>
      </c>
      <c r="Z399" s="376" t="str">
        <f>IFERROR(__xludf.DUMMYFUNCTION("""COMPUTED_VALUE"""),"効果値")</f>
        <v>効果値</v>
      </c>
      <c r="AA399" s="380">
        <f>IFERROR(__xludf.DUMMYFUNCTION("""COMPUTED_VALUE"""),10.0)</f>
        <v>10</v>
      </c>
      <c r="AB399" s="263">
        <f>IFERROR(__xludf.DUMMYFUNCTION("""COMPUTED_VALUE"""),10.0)</f>
        <v>10</v>
      </c>
      <c r="AC399" s="263">
        <f>IFERROR(__xludf.DUMMYFUNCTION("""COMPUTED_VALUE"""),10.0)</f>
        <v>10</v>
      </c>
      <c r="AD399" s="263">
        <f>IFERROR(__xludf.DUMMYFUNCTION("""COMPUTED_VALUE"""),10.0)</f>
        <v>10</v>
      </c>
      <c r="AE399" s="263">
        <f>IFERROR(__xludf.DUMMYFUNCTION("""COMPUTED_VALUE"""),10.0)</f>
        <v>10</v>
      </c>
      <c r="AF399" s="263">
        <f>IFERROR(__xludf.DUMMYFUNCTION("""COMPUTED_VALUE"""),10.0)</f>
        <v>10</v>
      </c>
      <c r="AG399" s="266">
        <f>IFERROR(__xludf.DUMMYFUNCTION("""COMPUTED_VALUE"""),15.0)</f>
        <v>15</v>
      </c>
      <c r="AH399" s="266">
        <f>IFERROR(__xludf.DUMMYFUNCTION("""COMPUTED_VALUE"""),15.0)</f>
        <v>15</v>
      </c>
      <c r="AI399" s="374" t="str">
        <f>IFERROR(__xludf.DUMMYFUNCTION("""COMPUTED_VALUE"""),"持続型")</f>
        <v>持続型</v>
      </c>
      <c r="AJ399" s="375">
        <f>IFERROR(__xludf.DUMMYFUNCTION("""COMPUTED_VALUE"""),1.0)</f>
        <v>1</v>
      </c>
      <c r="AK399" s="376" t="str">
        <f>IFERROR(__xludf.DUMMYFUNCTION("""COMPUTED_VALUE"""),"効果値")</f>
        <v>効果値</v>
      </c>
      <c r="AL399" s="380">
        <f>IFERROR(__xludf.DUMMYFUNCTION("""COMPUTED_VALUE"""),5.0)</f>
        <v>5</v>
      </c>
      <c r="AM399" s="263">
        <f>IFERROR(__xludf.DUMMYFUNCTION("""COMPUTED_VALUE"""),5.0)</f>
        <v>5</v>
      </c>
      <c r="AN399" s="263">
        <f>IFERROR(__xludf.DUMMYFUNCTION("""COMPUTED_VALUE"""),5.0)</f>
        <v>5</v>
      </c>
      <c r="AO399" s="263">
        <f>IFERROR(__xludf.DUMMYFUNCTION("""COMPUTED_VALUE"""),5.0)</f>
        <v>5</v>
      </c>
      <c r="AP399" s="263">
        <f>IFERROR(__xludf.DUMMYFUNCTION("""COMPUTED_VALUE"""),5.0)</f>
        <v>5</v>
      </c>
      <c r="AQ399" s="263">
        <f>IFERROR(__xludf.DUMMYFUNCTION("""COMPUTED_VALUE"""),5.0)</f>
        <v>5</v>
      </c>
      <c r="AR399" s="266">
        <f>IFERROR(__xludf.DUMMYFUNCTION("""COMPUTED_VALUE"""),10.0)</f>
        <v>10</v>
      </c>
      <c r="AS399" s="266">
        <f>IFERROR(__xludf.DUMMYFUNCTION("""COMPUTED_VALUE"""),10.0)</f>
        <v>10</v>
      </c>
      <c r="AT399" s="374" t="str">
        <f>IFERROR(__xludf.DUMMYFUNCTION("""COMPUTED_VALUE"""),"超持続型")</f>
        <v>超持続型</v>
      </c>
      <c r="AU399" s="375">
        <f>IFERROR(__xludf.DUMMYFUNCTION("""COMPUTED_VALUE"""),1.0)</f>
        <v>1</v>
      </c>
      <c r="AV399" s="376" t="str">
        <f>IFERROR(__xludf.DUMMYFUNCTION("""COMPUTED_VALUE"""),"効果値")</f>
        <v>効果値</v>
      </c>
      <c r="AW399" s="350" t="str">
        <f>IFERROR(__xludf.DUMMYFUNCTION("""COMPUTED_VALUE"""),"-")</f>
        <v>-</v>
      </c>
      <c r="AX399" s="348" t="str">
        <f>IFERROR(__xludf.DUMMYFUNCTION("""COMPUTED_VALUE"""),"-")</f>
        <v>-</v>
      </c>
      <c r="AY399" s="348" t="str">
        <f>IFERROR(__xludf.DUMMYFUNCTION("""COMPUTED_VALUE"""),"-")</f>
        <v>-</v>
      </c>
      <c r="AZ399" s="348" t="str">
        <f>IFERROR(__xludf.DUMMYFUNCTION("""COMPUTED_VALUE"""),"-")</f>
        <v>-</v>
      </c>
      <c r="BA399" s="348" t="str">
        <f>IFERROR(__xludf.DUMMYFUNCTION("""COMPUTED_VALUE"""),"-")</f>
        <v>-</v>
      </c>
      <c r="BB399" s="263">
        <f>IFERROR(__xludf.DUMMYFUNCTION("""COMPUTED_VALUE"""),5.0)</f>
        <v>5</v>
      </c>
      <c r="BC399" s="266">
        <f>IFERROR(__xludf.DUMMYFUNCTION("""COMPUTED_VALUE"""),10.0)</f>
        <v>10</v>
      </c>
      <c r="BD399" s="266">
        <f>IFERROR(__xludf.DUMMYFUNCTION("""COMPUTED_VALUE"""),10.0)</f>
        <v>10</v>
      </c>
      <c r="BE399" s="374" t="str">
        <f>IFERROR(__xludf.DUMMYFUNCTION("""COMPUTED_VALUE"""),"ハイブリッド型")</f>
        <v>ハイブリッド型</v>
      </c>
      <c r="BF399" s="375">
        <f>IFERROR(__xludf.DUMMYFUNCTION("""COMPUTED_VALUE"""),1.0)</f>
        <v>1</v>
      </c>
      <c r="BG399" s="376" t="str">
        <f>IFERROR(__xludf.DUMMYFUNCTION("""COMPUTED_VALUE"""),"効果値")</f>
        <v>効果値</v>
      </c>
      <c r="BH399" s="381">
        <f>IFERROR(__xludf.DUMMYFUNCTION("""COMPUTED_VALUE"""),10.0)</f>
        <v>10</v>
      </c>
      <c r="BI399" s="382">
        <f>IFERROR(__xludf.DUMMYFUNCTION("""COMPUTED_VALUE"""),10.0)</f>
        <v>10</v>
      </c>
      <c r="BJ399" s="382">
        <f>IFERROR(__xludf.DUMMYFUNCTION("""COMPUTED_VALUE"""),10.0)</f>
        <v>10</v>
      </c>
      <c r="BK399" s="382">
        <f>IFERROR(__xludf.DUMMYFUNCTION("""COMPUTED_VALUE"""),10.0)</f>
        <v>10</v>
      </c>
      <c r="BL399" s="382">
        <f>IFERROR(__xludf.DUMMYFUNCTION("""COMPUTED_VALUE"""),10.0)</f>
        <v>10</v>
      </c>
      <c r="BM399" s="382">
        <f>IFERROR(__xludf.DUMMYFUNCTION("""COMPUTED_VALUE"""),15.0)</f>
        <v>15</v>
      </c>
      <c r="BN399" s="382">
        <f>IFERROR(__xludf.DUMMYFUNCTION("""COMPUTED_VALUE"""),20.0)</f>
        <v>20</v>
      </c>
      <c r="BO399" s="383">
        <f>IFERROR(__xludf.DUMMYFUNCTION("""COMPUTED_VALUE"""),20.0)</f>
        <v>20</v>
      </c>
    </row>
    <row r="400">
      <c r="A400" s="434" t="str">
        <f>IFERROR(__xludf.DUMMYFUNCTION("""COMPUTED_VALUE"""),"攻撃力Down(サポート)")</f>
        <v>攻撃力Down(サポート)</v>
      </c>
      <c r="B400" s="385" t="str">
        <f>IFERROR(__xludf.DUMMYFUNCTION("""COMPUTED_VALUE"""),"超瞬間型")</f>
        <v>超瞬間型</v>
      </c>
      <c r="C400" s="386">
        <f>IFERROR(__xludf.DUMMYFUNCTION("""COMPUTED_VALUE"""),1.0)</f>
        <v>1</v>
      </c>
      <c r="D400" s="387" t="str">
        <f>IFERROR(__xludf.DUMMYFUNCTION("""COMPUTED_VALUE"""),"効果時間")</f>
        <v>効果時間</v>
      </c>
      <c r="E400" s="388" t="str">
        <f>IFERROR(__xludf.DUMMYFUNCTION("""COMPUTED_VALUE"""),"-")</f>
        <v>-</v>
      </c>
      <c r="F400" s="389" t="str">
        <f>IFERROR(__xludf.DUMMYFUNCTION("""COMPUTED_VALUE"""),"-")</f>
        <v>-</v>
      </c>
      <c r="G400" s="388" t="str">
        <f>IFERROR(__xludf.DUMMYFUNCTION("""COMPUTED_VALUE"""),"-")</f>
        <v>-</v>
      </c>
      <c r="H400" s="389" t="str">
        <f>IFERROR(__xludf.DUMMYFUNCTION("""COMPUTED_VALUE"""),"-")</f>
        <v>-</v>
      </c>
      <c r="I400" s="388" t="str">
        <f>IFERROR(__xludf.DUMMYFUNCTION("""COMPUTED_VALUE"""),"-")</f>
        <v>-</v>
      </c>
      <c r="J400" s="390">
        <f>IFERROR(__xludf.DUMMYFUNCTION("""COMPUTED_VALUE"""),150.0)</f>
        <v>150</v>
      </c>
      <c r="K400" s="391">
        <f>IFERROR(__xludf.DUMMYFUNCTION("""COMPUTED_VALUE"""),160.0)</f>
        <v>160</v>
      </c>
      <c r="L400" s="340">
        <f>IFERROR(__xludf.DUMMYFUNCTION("""COMPUTED_VALUE"""),160.0)</f>
        <v>160</v>
      </c>
      <c r="M400" s="385" t="str">
        <f>IFERROR(__xludf.DUMMYFUNCTION("""COMPUTED_VALUE"""),"瞬間型")</f>
        <v>瞬間型</v>
      </c>
      <c r="N400" s="386">
        <f>IFERROR(__xludf.DUMMYFUNCTION("""COMPUTED_VALUE"""),1.0)</f>
        <v>1</v>
      </c>
      <c r="O400" s="387" t="str">
        <f>IFERROR(__xludf.DUMMYFUNCTION("""COMPUTED_VALUE"""),"効果時間")</f>
        <v>効果時間</v>
      </c>
      <c r="P400" s="392">
        <f>IFERROR(__xludf.DUMMYFUNCTION("""COMPUTED_VALUE"""),150.0)</f>
        <v>150</v>
      </c>
      <c r="Q400" s="393">
        <f>IFERROR(__xludf.DUMMYFUNCTION("""COMPUTED_VALUE"""),150.0)</f>
        <v>150</v>
      </c>
      <c r="R400" s="393">
        <f>IFERROR(__xludf.DUMMYFUNCTION("""COMPUTED_VALUE"""),150.0)</f>
        <v>150</v>
      </c>
      <c r="S400" s="393">
        <f>IFERROR(__xludf.DUMMYFUNCTION("""COMPUTED_VALUE"""),150.0)</f>
        <v>150</v>
      </c>
      <c r="T400" s="393">
        <f>IFERROR(__xludf.DUMMYFUNCTION("""COMPUTED_VALUE"""),150.0)</f>
        <v>150</v>
      </c>
      <c r="U400" s="393">
        <f>IFERROR(__xludf.DUMMYFUNCTION("""COMPUTED_VALUE"""),150.0)</f>
        <v>150</v>
      </c>
      <c r="V400" s="393">
        <f>IFERROR(__xludf.DUMMYFUNCTION("""COMPUTED_VALUE"""),160.0)</f>
        <v>160</v>
      </c>
      <c r="W400" s="394">
        <f>IFERROR(__xludf.DUMMYFUNCTION("""COMPUTED_VALUE"""),160.0)</f>
        <v>160</v>
      </c>
      <c r="X400" s="385" t="str">
        <f>IFERROR(__xludf.DUMMYFUNCTION("""COMPUTED_VALUE"""),"安定型")</f>
        <v>安定型</v>
      </c>
      <c r="Y400" s="386">
        <f>IFERROR(__xludf.DUMMYFUNCTION("""COMPUTED_VALUE"""),1.0)</f>
        <v>1</v>
      </c>
      <c r="Z400" s="387" t="str">
        <f>IFERROR(__xludf.DUMMYFUNCTION("""COMPUTED_VALUE"""),"効果時間")</f>
        <v>効果時間</v>
      </c>
      <c r="AA400" s="392">
        <f>IFERROR(__xludf.DUMMYFUNCTION("""COMPUTED_VALUE"""),300.0)</f>
        <v>300</v>
      </c>
      <c r="AB400" s="393">
        <f>IFERROR(__xludf.DUMMYFUNCTION("""COMPUTED_VALUE"""),300.0)</f>
        <v>300</v>
      </c>
      <c r="AC400" s="393">
        <f>IFERROR(__xludf.DUMMYFUNCTION("""COMPUTED_VALUE"""),300.0)</f>
        <v>300</v>
      </c>
      <c r="AD400" s="393">
        <f>IFERROR(__xludf.DUMMYFUNCTION("""COMPUTED_VALUE"""),300.0)</f>
        <v>300</v>
      </c>
      <c r="AE400" s="393">
        <f>IFERROR(__xludf.DUMMYFUNCTION("""COMPUTED_VALUE"""),300.0)</f>
        <v>300</v>
      </c>
      <c r="AF400" s="393">
        <f>IFERROR(__xludf.DUMMYFUNCTION("""COMPUTED_VALUE"""),300.0)</f>
        <v>300</v>
      </c>
      <c r="AG400" s="393">
        <f>IFERROR(__xludf.DUMMYFUNCTION("""COMPUTED_VALUE"""),310.0)</f>
        <v>310</v>
      </c>
      <c r="AH400" s="394">
        <f>IFERROR(__xludf.DUMMYFUNCTION("""COMPUTED_VALUE"""),310.0)</f>
        <v>310</v>
      </c>
      <c r="AI400" s="385" t="str">
        <f>IFERROR(__xludf.DUMMYFUNCTION("""COMPUTED_VALUE"""),"持続型")</f>
        <v>持続型</v>
      </c>
      <c r="AJ400" s="386">
        <f>IFERROR(__xludf.DUMMYFUNCTION("""COMPUTED_VALUE"""),1.0)</f>
        <v>1</v>
      </c>
      <c r="AK400" s="387" t="str">
        <f>IFERROR(__xludf.DUMMYFUNCTION("""COMPUTED_VALUE"""),"効果時間")</f>
        <v>効果時間</v>
      </c>
      <c r="AL400" s="392">
        <f>IFERROR(__xludf.DUMMYFUNCTION("""COMPUTED_VALUE"""),450.0)</f>
        <v>450</v>
      </c>
      <c r="AM400" s="393">
        <f>IFERROR(__xludf.DUMMYFUNCTION("""COMPUTED_VALUE"""),450.0)</f>
        <v>450</v>
      </c>
      <c r="AN400" s="393">
        <f>IFERROR(__xludf.DUMMYFUNCTION("""COMPUTED_VALUE"""),450.0)</f>
        <v>450</v>
      </c>
      <c r="AO400" s="393">
        <f>IFERROR(__xludf.DUMMYFUNCTION("""COMPUTED_VALUE"""),450.0)</f>
        <v>450</v>
      </c>
      <c r="AP400" s="393">
        <f>IFERROR(__xludf.DUMMYFUNCTION("""COMPUTED_VALUE"""),450.0)</f>
        <v>450</v>
      </c>
      <c r="AQ400" s="393">
        <f>IFERROR(__xludf.DUMMYFUNCTION("""COMPUTED_VALUE"""),450.0)</f>
        <v>450</v>
      </c>
      <c r="AR400" s="393">
        <f>IFERROR(__xludf.DUMMYFUNCTION("""COMPUTED_VALUE"""),460.0)</f>
        <v>460</v>
      </c>
      <c r="AS400" s="394">
        <f>IFERROR(__xludf.DUMMYFUNCTION("""COMPUTED_VALUE"""),460.0)</f>
        <v>460</v>
      </c>
      <c r="AT400" s="385" t="str">
        <f>IFERROR(__xludf.DUMMYFUNCTION("""COMPUTED_VALUE"""),"超持続型")</f>
        <v>超持続型</v>
      </c>
      <c r="AU400" s="386">
        <f>IFERROR(__xludf.DUMMYFUNCTION("""COMPUTED_VALUE"""),1.0)</f>
        <v>1</v>
      </c>
      <c r="AV400" s="387" t="str">
        <f>IFERROR(__xludf.DUMMYFUNCTION("""COMPUTED_VALUE"""),"効果時間")</f>
        <v>効果時間</v>
      </c>
      <c r="AW400" s="395" t="str">
        <f>IFERROR(__xludf.DUMMYFUNCTION("""COMPUTED_VALUE"""),"-")</f>
        <v>-</v>
      </c>
      <c r="AX400" s="396" t="str">
        <f>IFERROR(__xludf.DUMMYFUNCTION("""COMPUTED_VALUE"""),"-")</f>
        <v>-</v>
      </c>
      <c r="AY400" s="396" t="str">
        <f>IFERROR(__xludf.DUMMYFUNCTION("""COMPUTED_VALUE"""),"-")</f>
        <v>-</v>
      </c>
      <c r="AZ400" s="396" t="str">
        <f>IFERROR(__xludf.DUMMYFUNCTION("""COMPUTED_VALUE"""),"-")</f>
        <v>-</v>
      </c>
      <c r="BA400" s="396" t="str">
        <f>IFERROR(__xludf.DUMMYFUNCTION("""COMPUTED_VALUE"""),"-")</f>
        <v>-</v>
      </c>
      <c r="BB400" s="393">
        <f>IFERROR(__xludf.DUMMYFUNCTION("""COMPUTED_VALUE"""),600.0)</f>
        <v>600</v>
      </c>
      <c r="BC400" s="393">
        <f>IFERROR(__xludf.DUMMYFUNCTION("""COMPUTED_VALUE"""),610.0)</f>
        <v>610</v>
      </c>
      <c r="BD400" s="394">
        <f>IFERROR(__xludf.DUMMYFUNCTION("""COMPUTED_VALUE"""),610.0)</f>
        <v>610</v>
      </c>
      <c r="BE400" s="385" t="str">
        <f>IFERROR(__xludf.DUMMYFUNCTION("""COMPUTED_VALUE"""),"ハイブリッド型")</f>
        <v>ハイブリッド型</v>
      </c>
      <c r="BF400" s="386">
        <f>IFERROR(__xludf.DUMMYFUNCTION("""COMPUTED_VALUE"""),1.0)</f>
        <v>1</v>
      </c>
      <c r="BG400" s="387" t="str">
        <f>IFERROR(__xludf.DUMMYFUNCTION("""COMPUTED_VALUE"""),"効果時間")</f>
        <v>効果時間</v>
      </c>
      <c r="BH400" s="397">
        <f>IFERROR(__xludf.DUMMYFUNCTION("""COMPUTED_VALUE"""),150.0)</f>
        <v>150</v>
      </c>
      <c r="BI400" s="397">
        <f>IFERROR(__xludf.DUMMYFUNCTION("""COMPUTED_VALUE"""),150.0)</f>
        <v>150</v>
      </c>
      <c r="BJ400" s="397">
        <f>IFERROR(__xludf.DUMMYFUNCTION("""COMPUTED_VALUE"""),150.0)</f>
        <v>150</v>
      </c>
      <c r="BK400" s="398">
        <f>IFERROR(__xludf.DUMMYFUNCTION("""COMPUTED_VALUE"""),150.0)</f>
        <v>150</v>
      </c>
      <c r="BL400" s="397">
        <f>IFERROR(__xludf.DUMMYFUNCTION("""COMPUTED_VALUE"""),150.0)</f>
        <v>150</v>
      </c>
      <c r="BM400" s="398">
        <f>IFERROR(__xludf.DUMMYFUNCTION("""COMPUTED_VALUE"""),350.0)</f>
        <v>350</v>
      </c>
      <c r="BN400" s="397">
        <f>IFERROR(__xludf.DUMMYFUNCTION("""COMPUTED_VALUE"""),460.0)</f>
        <v>460</v>
      </c>
      <c r="BO400" s="398">
        <f>IFERROR(__xludf.DUMMYFUNCTION("""COMPUTED_VALUE"""),460.0)</f>
        <v>460</v>
      </c>
    </row>
    <row r="401">
      <c r="A401" s="435" t="str">
        <f>IFERROR(__xludf.DUMMYFUNCTION("""COMPUTED_VALUE"""),"攻撃力Down(サポート)")</f>
        <v>攻撃力Down(サポート)</v>
      </c>
      <c r="B401" s="385" t="str">
        <f>IFERROR(__xludf.DUMMYFUNCTION("""COMPUTED_VALUE"""),"超瞬間型")</f>
        <v>超瞬間型</v>
      </c>
      <c r="C401" s="399">
        <f>IFERROR(__xludf.DUMMYFUNCTION("""COMPUTED_VALUE"""),2.0)</f>
        <v>2</v>
      </c>
      <c r="D401" s="400" t="str">
        <f>IFERROR(__xludf.DUMMYFUNCTION("""COMPUTED_VALUE"""),"効果値")</f>
        <v>効果値</v>
      </c>
      <c r="E401" s="401" t="str">
        <f>IFERROR(__xludf.DUMMYFUNCTION("""COMPUTED_VALUE"""),"-")</f>
        <v>-</v>
      </c>
      <c r="F401" s="401" t="str">
        <f>IFERROR(__xludf.DUMMYFUNCTION("""COMPUTED_VALUE"""),"-")</f>
        <v>-</v>
      </c>
      <c r="G401" s="401" t="str">
        <f>IFERROR(__xludf.DUMMYFUNCTION("""COMPUTED_VALUE"""),"-")</f>
        <v>-</v>
      </c>
      <c r="H401" s="401" t="str">
        <f>IFERROR(__xludf.DUMMYFUNCTION("""COMPUTED_VALUE"""),"-")</f>
        <v>-</v>
      </c>
      <c r="I401" s="401" t="str">
        <f>IFERROR(__xludf.DUMMYFUNCTION("""COMPUTED_VALUE"""),"-")</f>
        <v>-</v>
      </c>
      <c r="J401" s="318">
        <f>IFERROR(__xludf.DUMMYFUNCTION("""COMPUTED_VALUE"""),57.0)</f>
        <v>57</v>
      </c>
      <c r="K401" s="318">
        <f>IFERROR(__xludf.DUMMYFUNCTION("""COMPUTED_VALUE"""),67.0)</f>
        <v>67</v>
      </c>
      <c r="L401" s="318">
        <f>IFERROR(__xludf.DUMMYFUNCTION("""COMPUTED_VALUE"""),69.0)</f>
        <v>69</v>
      </c>
      <c r="M401" s="385" t="str">
        <f>IFERROR(__xludf.DUMMYFUNCTION("""COMPUTED_VALUE"""),"瞬間型")</f>
        <v>瞬間型</v>
      </c>
      <c r="N401" s="399">
        <f>IFERROR(__xludf.DUMMYFUNCTION("""COMPUTED_VALUE"""),2.0)</f>
        <v>2</v>
      </c>
      <c r="O401" s="400" t="str">
        <f>IFERROR(__xludf.DUMMYFUNCTION("""COMPUTED_VALUE"""),"効果値")</f>
        <v>効果値</v>
      </c>
      <c r="P401" s="343">
        <f>IFERROR(__xludf.DUMMYFUNCTION("""COMPUTED_VALUE"""),21.0)</f>
        <v>21</v>
      </c>
      <c r="Q401" s="402">
        <f>IFERROR(__xludf.DUMMYFUNCTION("""COMPUTED_VALUE"""),21.0)</f>
        <v>21</v>
      </c>
      <c r="R401" s="343">
        <f>IFERROR(__xludf.DUMMYFUNCTION("""COMPUTED_VALUE"""),22.0)</f>
        <v>22</v>
      </c>
      <c r="S401" s="402">
        <f>IFERROR(__xludf.DUMMYFUNCTION("""COMPUTED_VALUE"""),22.0)</f>
        <v>22</v>
      </c>
      <c r="T401" s="343">
        <f>IFERROR(__xludf.DUMMYFUNCTION("""COMPUTED_VALUE"""),22.0)</f>
        <v>22</v>
      </c>
      <c r="U401" s="343">
        <f>IFERROR(__xludf.DUMMYFUNCTION("""COMPUTED_VALUE"""),27.0)</f>
        <v>27</v>
      </c>
      <c r="V401" s="343">
        <f>IFERROR(__xludf.DUMMYFUNCTION("""COMPUTED_VALUE"""),32.0)</f>
        <v>32</v>
      </c>
      <c r="W401" s="343">
        <f>IFERROR(__xludf.DUMMYFUNCTION("""COMPUTED_VALUE"""),34.0)</f>
        <v>34</v>
      </c>
      <c r="X401" s="385" t="str">
        <f>IFERROR(__xludf.DUMMYFUNCTION("""COMPUTED_VALUE"""),"安定型")</f>
        <v>安定型</v>
      </c>
      <c r="Y401" s="399">
        <f>IFERROR(__xludf.DUMMYFUNCTION("""COMPUTED_VALUE"""),2.0)</f>
        <v>2</v>
      </c>
      <c r="Z401" s="400" t="str">
        <f>IFERROR(__xludf.DUMMYFUNCTION("""COMPUTED_VALUE"""),"効果値")</f>
        <v>効果値</v>
      </c>
      <c r="AA401" s="343">
        <f>IFERROR(__xludf.DUMMYFUNCTION("""COMPUTED_VALUE"""),11.0)</f>
        <v>11</v>
      </c>
      <c r="AB401" s="402">
        <f>IFERROR(__xludf.DUMMYFUNCTION("""COMPUTED_VALUE"""),11.0)</f>
        <v>11</v>
      </c>
      <c r="AC401" s="343">
        <f>IFERROR(__xludf.DUMMYFUNCTION("""COMPUTED_VALUE"""),12.0)</f>
        <v>12</v>
      </c>
      <c r="AD401" s="402">
        <f>IFERROR(__xludf.DUMMYFUNCTION("""COMPUTED_VALUE"""),12.0)</f>
        <v>12</v>
      </c>
      <c r="AE401" s="343">
        <f>IFERROR(__xludf.DUMMYFUNCTION("""COMPUTED_VALUE"""),12.0)</f>
        <v>12</v>
      </c>
      <c r="AF401" s="343">
        <f>IFERROR(__xludf.DUMMYFUNCTION("""COMPUTED_VALUE"""),12.0)</f>
        <v>12</v>
      </c>
      <c r="AG401" s="343">
        <f>IFERROR(__xludf.DUMMYFUNCTION("""COMPUTED_VALUE"""),17.0)</f>
        <v>17</v>
      </c>
      <c r="AH401" s="343">
        <f>IFERROR(__xludf.DUMMYFUNCTION("""COMPUTED_VALUE"""),19.0)</f>
        <v>19</v>
      </c>
      <c r="AI401" s="385" t="str">
        <f>IFERROR(__xludf.DUMMYFUNCTION("""COMPUTED_VALUE"""),"持続型")</f>
        <v>持続型</v>
      </c>
      <c r="AJ401" s="399">
        <f>IFERROR(__xludf.DUMMYFUNCTION("""COMPUTED_VALUE"""),2.0)</f>
        <v>2</v>
      </c>
      <c r="AK401" s="400" t="str">
        <f>IFERROR(__xludf.DUMMYFUNCTION("""COMPUTED_VALUE"""),"効果値")</f>
        <v>効果値</v>
      </c>
      <c r="AL401" s="343">
        <f>IFERROR(__xludf.DUMMYFUNCTION("""COMPUTED_VALUE"""),6.0)</f>
        <v>6</v>
      </c>
      <c r="AM401" s="402">
        <f>IFERROR(__xludf.DUMMYFUNCTION("""COMPUTED_VALUE"""),6.0)</f>
        <v>6</v>
      </c>
      <c r="AN401" s="343">
        <f>IFERROR(__xludf.DUMMYFUNCTION("""COMPUTED_VALUE"""),7.0)</f>
        <v>7</v>
      </c>
      <c r="AO401" s="402">
        <f>IFERROR(__xludf.DUMMYFUNCTION("""COMPUTED_VALUE"""),7.0)</f>
        <v>7</v>
      </c>
      <c r="AP401" s="343">
        <f>IFERROR(__xludf.DUMMYFUNCTION("""COMPUTED_VALUE"""),7.0)</f>
        <v>7</v>
      </c>
      <c r="AQ401" s="343">
        <f>IFERROR(__xludf.DUMMYFUNCTION("""COMPUTED_VALUE"""),7.0)</f>
        <v>7</v>
      </c>
      <c r="AR401" s="343">
        <f>IFERROR(__xludf.DUMMYFUNCTION("""COMPUTED_VALUE"""),11.0)</f>
        <v>11</v>
      </c>
      <c r="AS401" s="343">
        <f>IFERROR(__xludf.DUMMYFUNCTION("""COMPUTED_VALUE"""),11.0)</f>
        <v>11</v>
      </c>
      <c r="AT401" s="385" t="str">
        <f>IFERROR(__xludf.DUMMYFUNCTION("""COMPUTED_VALUE"""),"超持続型")</f>
        <v>超持続型</v>
      </c>
      <c r="AU401" s="399">
        <f>IFERROR(__xludf.DUMMYFUNCTION("""COMPUTED_VALUE"""),2.0)</f>
        <v>2</v>
      </c>
      <c r="AV401" s="400" t="str">
        <f>IFERROR(__xludf.DUMMYFUNCTION("""COMPUTED_VALUE"""),"効果値")</f>
        <v>効果値</v>
      </c>
      <c r="AW401" s="403" t="str">
        <f>IFERROR(__xludf.DUMMYFUNCTION("""COMPUTED_VALUE"""),"-")</f>
        <v>-</v>
      </c>
      <c r="AX401" s="403" t="str">
        <f>IFERROR(__xludf.DUMMYFUNCTION("""COMPUTED_VALUE"""),"-")</f>
        <v>-</v>
      </c>
      <c r="AY401" s="403" t="str">
        <f>IFERROR(__xludf.DUMMYFUNCTION("""COMPUTED_VALUE"""),"-")</f>
        <v>-</v>
      </c>
      <c r="AZ401" s="403" t="str">
        <f>IFERROR(__xludf.DUMMYFUNCTION("""COMPUTED_VALUE"""),"-")</f>
        <v>-</v>
      </c>
      <c r="BA401" s="403" t="str">
        <f>IFERROR(__xludf.DUMMYFUNCTION("""COMPUTED_VALUE"""),"-")</f>
        <v>-</v>
      </c>
      <c r="BB401" s="343">
        <f>IFERROR(__xludf.DUMMYFUNCTION("""COMPUTED_VALUE"""),7.0)</f>
        <v>7</v>
      </c>
      <c r="BC401" s="343">
        <f>IFERROR(__xludf.DUMMYFUNCTION("""COMPUTED_VALUE"""),11.0)</f>
        <v>11</v>
      </c>
      <c r="BD401" s="343">
        <f>IFERROR(__xludf.DUMMYFUNCTION("""COMPUTED_VALUE"""),11.0)</f>
        <v>11</v>
      </c>
      <c r="BE401" s="385" t="str">
        <f>IFERROR(__xludf.DUMMYFUNCTION("""COMPUTED_VALUE"""),"ハイブリッド型")</f>
        <v>ハイブリッド型</v>
      </c>
      <c r="BF401" s="399">
        <f>IFERROR(__xludf.DUMMYFUNCTION("""COMPUTED_VALUE"""),2.0)</f>
        <v>2</v>
      </c>
      <c r="BG401" s="400" t="str">
        <f>IFERROR(__xludf.DUMMYFUNCTION("""COMPUTED_VALUE"""),"効果値")</f>
        <v>効果値</v>
      </c>
      <c r="BH401" s="404">
        <f>IFERROR(__xludf.DUMMYFUNCTION("""COMPUTED_VALUE"""),10.8)</f>
        <v>10.8</v>
      </c>
      <c r="BI401" s="405">
        <f>IFERROR(__xludf.DUMMYFUNCTION("""COMPUTED_VALUE"""),11.2)</f>
        <v>11.2</v>
      </c>
      <c r="BJ401" s="405">
        <f>IFERROR(__xludf.DUMMYFUNCTION("""COMPUTED_VALUE"""),11.5)</f>
        <v>11.5</v>
      </c>
      <c r="BK401" s="405">
        <f>IFERROR(__xludf.DUMMYFUNCTION("""COMPUTED_VALUE"""),11.8)</f>
        <v>11.8</v>
      </c>
      <c r="BL401" s="405">
        <f>IFERROR(__xludf.DUMMYFUNCTION("""COMPUTED_VALUE"""),12.1)</f>
        <v>12.1</v>
      </c>
      <c r="BM401" s="405">
        <f>IFERROR(__xludf.DUMMYFUNCTION("""COMPUTED_VALUE"""),17.1)</f>
        <v>17.1</v>
      </c>
      <c r="BN401" s="405">
        <f>IFERROR(__xludf.DUMMYFUNCTION("""COMPUTED_VALUE"""),22.0)</f>
        <v>22</v>
      </c>
      <c r="BO401" s="406">
        <f>IFERROR(__xludf.DUMMYFUNCTION("""COMPUTED_VALUE"""),24.0)</f>
        <v>24</v>
      </c>
    </row>
    <row r="402">
      <c r="A402" s="435" t="str">
        <f>IFERROR(__xludf.DUMMYFUNCTION("""COMPUTED_VALUE"""),"攻撃力Down(サポート)")</f>
        <v>攻撃力Down(サポート)</v>
      </c>
      <c r="B402" s="385" t="str">
        <f>IFERROR(__xludf.DUMMYFUNCTION("""COMPUTED_VALUE"""),"超瞬間型")</f>
        <v>超瞬間型</v>
      </c>
      <c r="C402" s="386">
        <f>IFERROR(__xludf.DUMMYFUNCTION("""COMPUTED_VALUE"""),2.0)</f>
        <v>2</v>
      </c>
      <c r="D402" s="387" t="str">
        <f>IFERROR(__xludf.DUMMYFUNCTION("""COMPUTED_VALUE"""),"効果時間")</f>
        <v>効果時間</v>
      </c>
      <c r="E402" s="388" t="str">
        <f>IFERROR(__xludf.DUMMYFUNCTION("""COMPUTED_VALUE"""),"-")</f>
        <v>-</v>
      </c>
      <c r="F402" s="389" t="str">
        <f>IFERROR(__xludf.DUMMYFUNCTION("""COMPUTED_VALUE"""),"-")</f>
        <v>-</v>
      </c>
      <c r="G402" s="388" t="str">
        <f>IFERROR(__xludf.DUMMYFUNCTION("""COMPUTED_VALUE"""),"-")</f>
        <v>-</v>
      </c>
      <c r="H402" s="389" t="str">
        <f>IFERROR(__xludf.DUMMYFUNCTION("""COMPUTED_VALUE"""),"-")</f>
        <v>-</v>
      </c>
      <c r="I402" s="388" t="str">
        <f>IFERROR(__xludf.DUMMYFUNCTION("""COMPUTED_VALUE"""),"-")</f>
        <v>-</v>
      </c>
      <c r="J402" s="390">
        <f>IFERROR(__xludf.DUMMYFUNCTION("""COMPUTED_VALUE"""),150.0)</f>
        <v>150</v>
      </c>
      <c r="K402" s="391">
        <f>IFERROR(__xludf.DUMMYFUNCTION("""COMPUTED_VALUE"""),160.0)</f>
        <v>160</v>
      </c>
      <c r="L402" s="340">
        <f>IFERROR(__xludf.DUMMYFUNCTION("""COMPUTED_VALUE"""),170.0)</f>
        <v>170</v>
      </c>
      <c r="M402" s="385" t="str">
        <f>IFERROR(__xludf.DUMMYFUNCTION("""COMPUTED_VALUE"""),"瞬間型")</f>
        <v>瞬間型</v>
      </c>
      <c r="N402" s="386">
        <f>IFERROR(__xludf.DUMMYFUNCTION("""COMPUTED_VALUE"""),2.0)</f>
        <v>2</v>
      </c>
      <c r="O402" s="387" t="str">
        <f>IFERROR(__xludf.DUMMYFUNCTION("""COMPUTED_VALUE"""),"効果時間")</f>
        <v>効果時間</v>
      </c>
      <c r="P402" s="392">
        <f>IFERROR(__xludf.DUMMYFUNCTION("""COMPUTED_VALUE"""),160.0)</f>
        <v>160</v>
      </c>
      <c r="Q402" s="275">
        <f>IFERROR(__xludf.DUMMYFUNCTION("""COMPUTED_VALUE"""),165.0)</f>
        <v>165</v>
      </c>
      <c r="R402" s="280">
        <f>IFERROR(__xludf.DUMMYFUNCTION("""COMPUTED_VALUE"""),170.0)</f>
        <v>170</v>
      </c>
      <c r="S402" s="275">
        <f>IFERROR(__xludf.DUMMYFUNCTION("""COMPUTED_VALUE"""),175.0)</f>
        <v>175</v>
      </c>
      <c r="T402" s="280">
        <f>IFERROR(__xludf.DUMMYFUNCTION("""COMPUTED_VALUE"""),180.0)</f>
        <v>180</v>
      </c>
      <c r="U402" s="280">
        <f>IFERROR(__xludf.DUMMYFUNCTION("""COMPUTED_VALUE"""),180.0)</f>
        <v>180</v>
      </c>
      <c r="V402" s="280">
        <f>IFERROR(__xludf.DUMMYFUNCTION("""COMPUTED_VALUE"""),220.0)</f>
        <v>220</v>
      </c>
      <c r="W402" s="280">
        <f>IFERROR(__xludf.DUMMYFUNCTION("""COMPUTED_VALUE"""),230.0)</f>
        <v>230</v>
      </c>
      <c r="X402" s="385" t="str">
        <f>IFERROR(__xludf.DUMMYFUNCTION("""COMPUTED_VALUE"""),"安定型")</f>
        <v>安定型</v>
      </c>
      <c r="Y402" s="386">
        <f>IFERROR(__xludf.DUMMYFUNCTION("""COMPUTED_VALUE"""),2.0)</f>
        <v>2</v>
      </c>
      <c r="Z402" s="387" t="str">
        <f>IFERROR(__xludf.DUMMYFUNCTION("""COMPUTED_VALUE"""),"効果時間")</f>
        <v>効果時間</v>
      </c>
      <c r="AA402" s="392">
        <f>IFERROR(__xludf.DUMMYFUNCTION("""COMPUTED_VALUE"""),310.0)</f>
        <v>310</v>
      </c>
      <c r="AB402" s="275">
        <f>IFERROR(__xludf.DUMMYFUNCTION("""COMPUTED_VALUE"""),315.0)</f>
        <v>315</v>
      </c>
      <c r="AC402" s="280">
        <f>IFERROR(__xludf.DUMMYFUNCTION("""COMPUTED_VALUE"""),320.0)</f>
        <v>320</v>
      </c>
      <c r="AD402" s="275">
        <f>IFERROR(__xludf.DUMMYFUNCTION("""COMPUTED_VALUE"""),325.0)</f>
        <v>325</v>
      </c>
      <c r="AE402" s="280">
        <f>IFERROR(__xludf.DUMMYFUNCTION("""COMPUTED_VALUE"""),330.0)</f>
        <v>330</v>
      </c>
      <c r="AF402" s="280">
        <f>IFERROR(__xludf.DUMMYFUNCTION("""COMPUTED_VALUE"""),345.0)</f>
        <v>345</v>
      </c>
      <c r="AG402" s="280">
        <f>IFERROR(__xludf.DUMMYFUNCTION("""COMPUTED_VALUE"""),370.0)</f>
        <v>370</v>
      </c>
      <c r="AH402" s="280">
        <f>IFERROR(__xludf.DUMMYFUNCTION("""COMPUTED_VALUE"""),380.0)</f>
        <v>380</v>
      </c>
      <c r="AI402" s="385" t="str">
        <f>IFERROR(__xludf.DUMMYFUNCTION("""COMPUTED_VALUE"""),"持続型")</f>
        <v>持続型</v>
      </c>
      <c r="AJ402" s="386">
        <f>IFERROR(__xludf.DUMMYFUNCTION("""COMPUTED_VALUE"""),2.0)</f>
        <v>2</v>
      </c>
      <c r="AK402" s="387" t="str">
        <f>IFERROR(__xludf.DUMMYFUNCTION("""COMPUTED_VALUE"""),"効果時間")</f>
        <v>効果時間</v>
      </c>
      <c r="AL402" s="392">
        <f>IFERROR(__xludf.DUMMYFUNCTION("""COMPUTED_VALUE"""),460.0)</f>
        <v>460</v>
      </c>
      <c r="AM402" s="275">
        <f>IFERROR(__xludf.DUMMYFUNCTION("""COMPUTED_VALUE"""),465.0)</f>
        <v>465</v>
      </c>
      <c r="AN402" s="280">
        <f>IFERROR(__xludf.DUMMYFUNCTION("""COMPUTED_VALUE"""),470.0)</f>
        <v>470</v>
      </c>
      <c r="AO402" s="275">
        <f>IFERROR(__xludf.DUMMYFUNCTION("""COMPUTED_VALUE"""),475.0)</f>
        <v>475</v>
      </c>
      <c r="AP402" s="280">
        <f>IFERROR(__xludf.DUMMYFUNCTION("""COMPUTED_VALUE"""),480.0)</f>
        <v>480</v>
      </c>
      <c r="AQ402" s="280">
        <f>IFERROR(__xludf.DUMMYFUNCTION("""COMPUTED_VALUE"""),495.0)</f>
        <v>495</v>
      </c>
      <c r="AR402" s="280">
        <f>IFERROR(__xludf.DUMMYFUNCTION("""COMPUTED_VALUE"""),520.0)</f>
        <v>520</v>
      </c>
      <c r="AS402" s="280">
        <f>IFERROR(__xludf.DUMMYFUNCTION("""COMPUTED_VALUE"""),530.0)</f>
        <v>530</v>
      </c>
      <c r="AT402" s="385" t="str">
        <f>IFERROR(__xludf.DUMMYFUNCTION("""COMPUTED_VALUE"""),"超持続型")</f>
        <v>超持続型</v>
      </c>
      <c r="AU402" s="386">
        <f>IFERROR(__xludf.DUMMYFUNCTION("""COMPUTED_VALUE"""),2.0)</f>
        <v>2</v>
      </c>
      <c r="AV402" s="387" t="str">
        <f>IFERROR(__xludf.DUMMYFUNCTION("""COMPUTED_VALUE"""),"効果時間")</f>
        <v>効果時間</v>
      </c>
      <c r="AW402" s="368" t="str">
        <f>IFERROR(__xludf.DUMMYFUNCTION("""COMPUTED_VALUE"""),"-")</f>
        <v>-</v>
      </c>
      <c r="AX402" s="368" t="str">
        <f>IFERROR(__xludf.DUMMYFUNCTION("""COMPUTED_VALUE"""),"-")</f>
        <v>-</v>
      </c>
      <c r="AY402" s="368" t="str">
        <f>IFERROR(__xludf.DUMMYFUNCTION("""COMPUTED_VALUE"""),"-")</f>
        <v>-</v>
      </c>
      <c r="AZ402" s="368" t="str">
        <f>IFERROR(__xludf.DUMMYFUNCTION("""COMPUTED_VALUE"""),"-")</f>
        <v>-</v>
      </c>
      <c r="BA402" s="368" t="str">
        <f>IFERROR(__xludf.DUMMYFUNCTION("""COMPUTED_VALUE"""),"-")</f>
        <v>-</v>
      </c>
      <c r="BB402" s="280">
        <f>IFERROR(__xludf.DUMMYFUNCTION("""COMPUTED_VALUE"""),625.0)</f>
        <v>625</v>
      </c>
      <c r="BC402" s="280">
        <f>IFERROR(__xludf.DUMMYFUNCTION("""COMPUTED_VALUE"""),670.0)</f>
        <v>670</v>
      </c>
      <c r="BD402" s="280">
        <f>IFERROR(__xludf.DUMMYFUNCTION("""COMPUTED_VALUE"""),680.0)</f>
        <v>680</v>
      </c>
      <c r="BE402" s="385" t="str">
        <f>IFERROR(__xludf.DUMMYFUNCTION("""COMPUTED_VALUE"""),"ハイブリッド型")</f>
        <v>ハイブリッド型</v>
      </c>
      <c r="BF402" s="386">
        <f>IFERROR(__xludf.DUMMYFUNCTION("""COMPUTED_VALUE"""),2.0)</f>
        <v>2</v>
      </c>
      <c r="BG402" s="387" t="str">
        <f>IFERROR(__xludf.DUMMYFUNCTION("""COMPUTED_VALUE"""),"効果時間")</f>
        <v>効果時間</v>
      </c>
      <c r="BH402" s="407">
        <f>IFERROR(__xludf.DUMMYFUNCTION("""COMPUTED_VALUE"""),195.0)</f>
        <v>195</v>
      </c>
      <c r="BI402" s="407">
        <f>IFERROR(__xludf.DUMMYFUNCTION("""COMPUTED_VALUE"""),205.0)</f>
        <v>205</v>
      </c>
      <c r="BJ402" s="407">
        <f>IFERROR(__xludf.DUMMYFUNCTION("""COMPUTED_VALUE"""),205.0)</f>
        <v>205</v>
      </c>
      <c r="BK402" s="408">
        <f>IFERROR(__xludf.DUMMYFUNCTION("""COMPUTED_VALUE"""),210.0)</f>
        <v>210</v>
      </c>
      <c r="BL402" s="407">
        <f>IFERROR(__xludf.DUMMYFUNCTION("""COMPUTED_VALUE"""),215.0)</f>
        <v>215</v>
      </c>
      <c r="BM402" s="408">
        <f>IFERROR(__xludf.DUMMYFUNCTION("""COMPUTED_VALUE"""),375.0)</f>
        <v>375</v>
      </c>
      <c r="BN402" s="407">
        <f>IFERROR(__xludf.DUMMYFUNCTION("""COMPUTED_VALUE"""),480.0)</f>
        <v>480</v>
      </c>
      <c r="BO402" s="408">
        <f>IFERROR(__xludf.DUMMYFUNCTION("""COMPUTED_VALUE"""),490.0)</f>
        <v>490</v>
      </c>
    </row>
    <row r="403">
      <c r="A403" s="435" t="str">
        <f>IFERROR(__xludf.DUMMYFUNCTION("""COMPUTED_VALUE"""),"攻撃力Down(サポート)")</f>
        <v>攻撃力Down(サポート)</v>
      </c>
      <c r="B403" s="385" t="str">
        <f>IFERROR(__xludf.DUMMYFUNCTION("""COMPUTED_VALUE"""),"超瞬間型")</f>
        <v>超瞬間型</v>
      </c>
      <c r="C403" s="399">
        <f>IFERROR(__xludf.DUMMYFUNCTION("""COMPUTED_VALUE"""),3.0)</f>
        <v>3</v>
      </c>
      <c r="D403" s="400" t="str">
        <f>IFERROR(__xludf.DUMMYFUNCTION("""COMPUTED_VALUE"""),"効果値")</f>
        <v>効果値</v>
      </c>
      <c r="E403" s="401" t="str">
        <f>IFERROR(__xludf.DUMMYFUNCTION("""COMPUTED_VALUE"""),"-")</f>
        <v>-</v>
      </c>
      <c r="F403" s="409" t="str">
        <f>IFERROR(__xludf.DUMMYFUNCTION("""COMPUTED_VALUE"""),"-")</f>
        <v>-</v>
      </c>
      <c r="G403" s="401" t="str">
        <f>IFERROR(__xludf.DUMMYFUNCTION("""COMPUTED_VALUE"""),"-")</f>
        <v>-</v>
      </c>
      <c r="H403" s="409" t="str">
        <f>IFERROR(__xludf.DUMMYFUNCTION("""COMPUTED_VALUE"""),"-")</f>
        <v>-</v>
      </c>
      <c r="I403" s="409" t="str">
        <f>IFERROR(__xludf.DUMMYFUNCTION("""COMPUTED_VALUE"""),"-")</f>
        <v>-</v>
      </c>
      <c r="J403" s="410">
        <f>IFERROR(__xludf.DUMMYFUNCTION("""COMPUTED_VALUE"""),58.0)</f>
        <v>58</v>
      </c>
      <c r="K403" s="410">
        <f>IFERROR(__xludf.DUMMYFUNCTION("""COMPUTED_VALUE"""),68.0)</f>
        <v>68</v>
      </c>
      <c r="L403" s="410">
        <f>IFERROR(__xludf.DUMMYFUNCTION("""COMPUTED_VALUE"""),72.0)</f>
        <v>72</v>
      </c>
      <c r="M403" s="385" t="str">
        <f>IFERROR(__xludf.DUMMYFUNCTION("""COMPUTED_VALUE"""),"瞬間型")</f>
        <v>瞬間型</v>
      </c>
      <c r="N403" s="399">
        <f>IFERROR(__xludf.DUMMYFUNCTION("""COMPUTED_VALUE"""),3.0)</f>
        <v>3</v>
      </c>
      <c r="O403" s="400" t="str">
        <f>IFERROR(__xludf.DUMMYFUNCTION("""COMPUTED_VALUE"""),"効果値")</f>
        <v>効果値</v>
      </c>
      <c r="P403" s="343">
        <f>IFERROR(__xludf.DUMMYFUNCTION("""COMPUTED_VALUE"""),22.0)</f>
        <v>22</v>
      </c>
      <c r="Q403" s="402">
        <f>IFERROR(__xludf.DUMMYFUNCTION("""COMPUTED_VALUE"""),22.0)</f>
        <v>22</v>
      </c>
      <c r="R403" s="402">
        <f>IFERROR(__xludf.DUMMYFUNCTION("""COMPUTED_VALUE"""),23.0)</f>
        <v>23</v>
      </c>
      <c r="S403" s="402">
        <f>IFERROR(__xludf.DUMMYFUNCTION("""COMPUTED_VALUE"""),23.0)</f>
        <v>23</v>
      </c>
      <c r="T403" s="402">
        <f>IFERROR(__xludf.DUMMYFUNCTION("""COMPUTED_VALUE"""),23.0)</f>
        <v>23</v>
      </c>
      <c r="U403" s="402">
        <f>IFERROR(__xludf.DUMMYFUNCTION("""COMPUTED_VALUE"""),28.0)</f>
        <v>28</v>
      </c>
      <c r="V403" s="402">
        <f>IFERROR(__xludf.DUMMYFUNCTION("""COMPUTED_VALUE"""),33.0)</f>
        <v>33</v>
      </c>
      <c r="W403" s="402">
        <f>IFERROR(__xludf.DUMMYFUNCTION("""COMPUTED_VALUE"""),37.0)</f>
        <v>37</v>
      </c>
      <c r="X403" s="385" t="str">
        <f>IFERROR(__xludf.DUMMYFUNCTION("""COMPUTED_VALUE"""),"安定型")</f>
        <v>安定型</v>
      </c>
      <c r="Y403" s="399">
        <f>IFERROR(__xludf.DUMMYFUNCTION("""COMPUTED_VALUE"""),3.0)</f>
        <v>3</v>
      </c>
      <c r="Z403" s="400" t="str">
        <f>IFERROR(__xludf.DUMMYFUNCTION("""COMPUTED_VALUE"""),"効果値")</f>
        <v>効果値</v>
      </c>
      <c r="AA403" s="343">
        <f>IFERROR(__xludf.DUMMYFUNCTION("""COMPUTED_VALUE"""),12.0)</f>
        <v>12</v>
      </c>
      <c r="AB403" s="402">
        <f>IFERROR(__xludf.DUMMYFUNCTION("""COMPUTED_VALUE"""),12.0)</f>
        <v>12</v>
      </c>
      <c r="AC403" s="402">
        <f>IFERROR(__xludf.DUMMYFUNCTION("""COMPUTED_VALUE"""),13.0)</f>
        <v>13</v>
      </c>
      <c r="AD403" s="402">
        <f>IFERROR(__xludf.DUMMYFUNCTION("""COMPUTED_VALUE"""),13.0)</f>
        <v>13</v>
      </c>
      <c r="AE403" s="402">
        <f>IFERROR(__xludf.DUMMYFUNCTION("""COMPUTED_VALUE"""),13.0)</f>
        <v>13</v>
      </c>
      <c r="AF403" s="402">
        <f>IFERROR(__xludf.DUMMYFUNCTION("""COMPUTED_VALUE"""),13.0)</f>
        <v>13</v>
      </c>
      <c r="AG403" s="402">
        <f>IFERROR(__xludf.DUMMYFUNCTION("""COMPUTED_VALUE"""),18.0)</f>
        <v>18</v>
      </c>
      <c r="AH403" s="402">
        <f>IFERROR(__xludf.DUMMYFUNCTION("""COMPUTED_VALUE"""),22.0)</f>
        <v>22</v>
      </c>
      <c r="AI403" s="385" t="str">
        <f>IFERROR(__xludf.DUMMYFUNCTION("""COMPUTED_VALUE"""),"持続型")</f>
        <v>持続型</v>
      </c>
      <c r="AJ403" s="399">
        <f>IFERROR(__xludf.DUMMYFUNCTION("""COMPUTED_VALUE"""),3.0)</f>
        <v>3</v>
      </c>
      <c r="AK403" s="400" t="str">
        <f>IFERROR(__xludf.DUMMYFUNCTION("""COMPUTED_VALUE"""),"効果値")</f>
        <v>効果値</v>
      </c>
      <c r="AL403" s="343">
        <f>IFERROR(__xludf.DUMMYFUNCTION("""COMPUTED_VALUE"""),7.0)</f>
        <v>7</v>
      </c>
      <c r="AM403" s="402">
        <f>IFERROR(__xludf.DUMMYFUNCTION("""COMPUTED_VALUE"""),7.0)</f>
        <v>7</v>
      </c>
      <c r="AN403" s="402">
        <f>IFERROR(__xludf.DUMMYFUNCTION("""COMPUTED_VALUE"""),8.0)</f>
        <v>8</v>
      </c>
      <c r="AO403" s="402">
        <f>IFERROR(__xludf.DUMMYFUNCTION("""COMPUTED_VALUE"""),8.0)</f>
        <v>8</v>
      </c>
      <c r="AP403" s="402">
        <f>IFERROR(__xludf.DUMMYFUNCTION("""COMPUTED_VALUE"""),8.0)</f>
        <v>8</v>
      </c>
      <c r="AQ403" s="402">
        <f>IFERROR(__xludf.DUMMYFUNCTION("""COMPUTED_VALUE"""),8.0)</f>
        <v>8</v>
      </c>
      <c r="AR403" s="402">
        <f>IFERROR(__xludf.DUMMYFUNCTION("""COMPUTED_VALUE"""),11.0)</f>
        <v>11</v>
      </c>
      <c r="AS403" s="402">
        <f>IFERROR(__xludf.DUMMYFUNCTION("""COMPUTED_VALUE"""),11.0)</f>
        <v>11</v>
      </c>
      <c r="AT403" s="385" t="str">
        <f>IFERROR(__xludf.DUMMYFUNCTION("""COMPUTED_VALUE"""),"超持続型")</f>
        <v>超持続型</v>
      </c>
      <c r="AU403" s="399">
        <f>IFERROR(__xludf.DUMMYFUNCTION("""COMPUTED_VALUE"""),3.0)</f>
        <v>3</v>
      </c>
      <c r="AV403" s="400" t="str">
        <f>IFERROR(__xludf.DUMMYFUNCTION("""COMPUTED_VALUE"""),"効果値")</f>
        <v>効果値</v>
      </c>
      <c r="AW403" s="403" t="str">
        <f>IFERROR(__xludf.DUMMYFUNCTION("""COMPUTED_VALUE"""),"-")</f>
        <v>-</v>
      </c>
      <c r="AX403" s="403" t="str">
        <f>IFERROR(__xludf.DUMMYFUNCTION("""COMPUTED_VALUE"""),"-")</f>
        <v>-</v>
      </c>
      <c r="AY403" s="403" t="str">
        <f>IFERROR(__xludf.DUMMYFUNCTION("""COMPUTED_VALUE"""),"-")</f>
        <v>-</v>
      </c>
      <c r="AZ403" s="403" t="str">
        <f>IFERROR(__xludf.DUMMYFUNCTION("""COMPUTED_VALUE"""),"-")</f>
        <v>-</v>
      </c>
      <c r="BA403" s="403" t="str">
        <f>IFERROR(__xludf.DUMMYFUNCTION("""COMPUTED_VALUE"""),"-")</f>
        <v>-</v>
      </c>
      <c r="BB403" s="343">
        <f>IFERROR(__xludf.DUMMYFUNCTION("""COMPUTED_VALUE"""),8.0)</f>
        <v>8</v>
      </c>
      <c r="BC403" s="343">
        <f>IFERROR(__xludf.DUMMYFUNCTION("""COMPUTED_VALUE"""),11.0)</f>
        <v>11</v>
      </c>
      <c r="BD403" s="343">
        <f>IFERROR(__xludf.DUMMYFUNCTION("""COMPUTED_VALUE"""),11.0)</f>
        <v>11</v>
      </c>
      <c r="BE403" s="385" t="str">
        <f>IFERROR(__xludf.DUMMYFUNCTION("""COMPUTED_VALUE"""),"ハイブリッド型")</f>
        <v>ハイブリッド型</v>
      </c>
      <c r="BF403" s="399">
        <f>IFERROR(__xludf.DUMMYFUNCTION("""COMPUTED_VALUE"""),3.0)</f>
        <v>3</v>
      </c>
      <c r="BG403" s="400" t="str">
        <f>IFERROR(__xludf.DUMMYFUNCTION("""COMPUTED_VALUE"""),"効果値")</f>
        <v>効果値</v>
      </c>
      <c r="BH403" s="411">
        <f>IFERROR(__xludf.DUMMYFUNCTION("""COMPUTED_VALUE"""),11.4)</f>
        <v>11.4</v>
      </c>
      <c r="BI403" s="412">
        <f>IFERROR(__xludf.DUMMYFUNCTION("""COMPUTED_VALUE"""),11.9)</f>
        <v>11.9</v>
      </c>
      <c r="BJ403" s="412">
        <f>IFERROR(__xludf.DUMMYFUNCTION("""COMPUTED_VALUE"""),12.5)</f>
        <v>12.5</v>
      </c>
      <c r="BK403" s="412">
        <f>IFERROR(__xludf.DUMMYFUNCTION("""COMPUTED_VALUE"""),13.0)</f>
        <v>13</v>
      </c>
      <c r="BL403" s="412">
        <f>IFERROR(__xludf.DUMMYFUNCTION("""COMPUTED_VALUE"""),13.5)</f>
        <v>13.5</v>
      </c>
      <c r="BM403" s="412">
        <f>IFERROR(__xludf.DUMMYFUNCTION("""COMPUTED_VALUE"""),18.5)</f>
        <v>18.5</v>
      </c>
      <c r="BN403" s="412">
        <f>IFERROR(__xludf.DUMMYFUNCTION("""COMPUTED_VALUE"""),23.0)</f>
        <v>23</v>
      </c>
      <c r="BO403" s="413">
        <f>IFERROR(__xludf.DUMMYFUNCTION("""COMPUTED_VALUE"""),27.0)</f>
        <v>27</v>
      </c>
    </row>
    <row r="404">
      <c r="A404" s="435" t="str">
        <f>IFERROR(__xludf.DUMMYFUNCTION("""COMPUTED_VALUE"""),"攻撃力Down(サポート)")</f>
        <v>攻撃力Down(サポート)</v>
      </c>
      <c r="B404" s="385" t="str">
        <f>IFERROR(__xludf.DUMMYFUNCTION("""COMPUTED_VALUE"""),"超瞬間型")</f>
        <v>超瞬間型</v>
      </c>
      <c r="C404" s="386">
        <f>IFERROR(__xludf.DUMMYFUNCTION("""COMPUTED_VALUE"""),3.0)</f>
        <v>3</v>
      </c>
      <c r="D404" s="387" t="str">
        <f>IFERROR(__xludf.DUMMYFUNCTION("""COMPUTED_VALUE"""),"効果時間")</f>
        <v>効果時間</v>
      </c>
      <c r="E404" s="388" t="str">
        <f>IFERROR(__xludf.DUMMYFUNCTION("""COMPUTED_VALUE"""),"-")</f>
        <v>-</v>
      </c>
      <c r="F404" s="389" t="str">
        <f>IFERROR(__xludf.DUMMYFUNCTION("""COMPUTED_VALUE"""),"-")</f>
        <v>-</v>
      </c>
      <c r="G404" s="388" t="str">
        <f>IFERROR(__xludf.DUMMYFUNCTION("""COMPUTED_VALUE"""),"-")</f>
        <v>-</v>
      </c>
      <c r="H404" s="389" t="str">
        <f>IFERROR(__xludf.DUMMYFUNCTION("""COMPUTED_VALUE"""),"-")</f>
        <v>-</v>
      </c>
      <c r="I404" s="388" t="str">
        <f>IFERROR(__xludf.DUMMYFUNCTION("""COMPUTED_VALUE"""),"-")</f>
        <v>-</v>
      </c>
      <c r="J404" s="390">
        <f>IFERROR(__xludf.DUMMYFUNCTION("""COMPUTED_VALUE"""),155.0)</f>
        <v>155</v>
      </c>
      <c r="K404" s="391">
        <f>IFERROR(__xludf.DUMMYFUNCTION("""COMPUTED_VALUE"""),165.0)</f>
        <v>165</v>
      </c>
      <c r="L404" s="340">
        <f>IFERROR(__xludf.DUMMYFUNCTION("""COMPUTED_VALUE"""),185.0)</f>
        <v>185</v>
      </c>
      <c r="M404" s="385" t="str">
        <f>IFERROR(__xludf.DUMMYFUNCTION("""COMPUTED_VALUE"""),"瞬間型")</f>
        <v>瞬間型</v>
      </c>
      <c r="N404" s="386">
        <f>IFERROR(__xludf.DUMMYFUNCTION("""COMPUTED_VALUE"""),3.0)</f>
        <v>3</v>
      </c>
      <c r="O404" s="387" t="str">
        <f>IFERROR(__xludf.DUMMYFUNCTION("""COMPUTED_VALUE"""),"効果時間")</f>
        <v>効果時間</v>
      </c>
      <c r="P404" s="392">
        <f>IFERROR(__xludf.DUMMYFUNCTION("""COMPUTED_VALUE"""),165.0)</f>
        <v>165</v>
      </c>
      <c r="Q404" s="414">
        <f>IFERROR(__xludf.DUMMYFUNCTION("""COMPUTED_VALUE"""),175.0)</f>
        <v>175</v>
      </c>
      <c r="R404" s="415">
        <f>IFERROR(__xludf.DUMMYFUNCTION("""COMPUTED_VALUE"""),180.0)</f>
        <v>180</v>
      </c>
      <c r="S404" s="393">
        <f>IFERROR(__xludf.DUMMYFUNCTION("""COMPUTED_VALUE"""),185.0)</f>
        <v>185</v>
      </c>
      <c r="T404" s="393">
        <f>IFERROR(__xludf.DUMMYFUNCTION("""COMPUTED_VALUE"""),195.0)</f>
        <v>195</v>
      </c>
      <c r="U404" s="414">
        <f>IFERROR(__xludf.DUMMYFUNCTION("""COMPUTED_VALUE"""),200.0)</f>
        <v>200</v>
      </c>
      <c r="V404" s="416">
        <f>IFERROR(__xludf.DUMMYFUNCTION("""COMPUTED_VALUE"""),255.0)</f>
        <v>255</v>
      </c>
      <c r="W404" s="415">
        <f>IFERROR(__xludf.DUMMYFUNCTION("""COMPUTED_VALUE"""),270.0)</f>
        <v>270</v>
      </c>
      <c r="X404" s="385" t="str">
        <f>IFERROR(__xludf.DUMMYFUNCTION("""COMPUTED_VALUE"""),"安定型")</f>
        <v>安定型</v>
      </c>
      <c r="Y404" s="386">
        <f>IFERROR(__xludf.DUMMYFUNCTION("""COMPUTED_VALUE"""),3.0)</f>
        <v>3</v>
      </c>
      <c r="Z404" s="387" t="str">
        <f>IFERROR(__xludf.DUMMYFUNCTION("""COMPUTED_VALUE"""),"効果時間")</f>
        <v>効果時間</v>
      </c>
      <c r="AA404" s="392">
        <f>IFERROR(__xludf.DUMMYFUNCTION("""COMPUTED_VALUE"""),315.0)</f>
        <v>315</v>
      </c>
      <c r="AB404" s="414">
        <f>IFERROR(__xludf.DUMMYFUNCTION("""COMPUTED_VALUE"""),325.0)</f>
        <v>325</v>
      </c>
      <c r="AC404" s="415">
        <f>IFERROR(__xludf.DUMMYFUNCTION("""COMPUTED_VALUE"""),330.0)</f>
        <v>330</v>
      </c>
      <c r="AD404" s="393">
        <f>IFERROR(__xludf.DUMMYFUNCTION("""COMPUTED_VALUE"""),335.0)</f>
        <v>335</v>
      </c>
      <c r="AE404" s="393">
        <f>IFERROR(__xludf.DUMMYFUNCTION("""COMPUTED_VALUE"""),345.0)</f>
        <v>345</v>
      </c>
      <c r="AF404" s="414">
        <f>IFERROR(__xludf.DUMMYFUNCTION("""COMPUTED_VALUE"""),370.0)</f>
        <v>370</v>
      </c>
      <c r="AG404" s="416">
        <f>IFERROR(__xludf.DUMMYFUNCTION("""COMPUTED_VALUE"""),405.0)</f>
        <v>405</v>
      </c>
      <c r="AH404" s="415">
        <f>IFERROR(__xludf.DUMMYFUNCTION("""COMPUTED_VALUE"""),420.0)</f>
        <v>420</v>
      </c>
      <c r="AI404" s="385" t="str">
        <f>IFERROR(__xludf.DUMMYFUNCTION("""COMPUTED_VALUE"""),"持続型")</f>
        <v>持続型</v>
      </c>
      <c r="AJ404" s="386">
        <f>IFERROR(__xludf.DUMMYFUNCTION("""COMPUTED_VALUE"""),3.0)</f>
        <v>3</v>
      </c>
      <c r="AK404" s="387" t="str">
        <f>IFERROR(__xludf.DUMMYFUNCTION("""COMPUTED_VALUE"""),"効果時間")</f>
        <v>効果時間</v>
      </c>
      <c r="AL404" s="392">
        <f>IFERROR(__xludf.DUMMYFUNCTION("""COMPUTED_VALUE"""),465.0)</f>
        <v>465</v>
      </c>
      <c r="AM404" s="414">
        <f>IFERROR(__xludf.DUMMYFUNCTION("""COMPUTED_VALUE"""),475.0)</f>
        <v>475</v>
      </c>
      <c r="AN404" s="415">
        <f>IFERROR(__xludf.DUMMYFUNCTION("""COMPUTED_VALUE"""),480.0)</f>
        <v>480</v>
      </c>
      <c r="AO404" s="393">
        <f>IFERROR(__xludf.DUMMYFUNCTION("""COMPUTED_VALUE"""),485.0)</f>
        <v>485</v>
      </c>
      <c r="AP404" s="393">
        <f>IFERROR(__xludf.DUMMYFUNCTION("""COMPUTED_VALUE"""),495.0)</f>
        <v>495</v>
      </c>
      <c r="AQ404" s="414">
        <f>IFERROR(__xludf.DUMMYFUNCTION("""COMPUTED_VALUE"""),520.0)</f>
        <v>520</v>
      </c>
      <c r="AR404" s="416">
        <f>IFERROR(__xludf.DUMMYFUNCTION("""COMPUTED_VALUE"""),555.0)</f>
        <v>555</v>
      </c>
      <c r="AS404" s="415">
        <f>IFERROR(__xludf.DUMMYFUNCTION("""COMPUTED_VALUE"""),570.0)</f>
        <v>570</v>
      </c>
      <c r="AT404" s="385" t="str">
        <f>IFERROR(__xludf.DUMMYFUNCTION("""COMPUTED_VALUE"""),"超持続型")</f>
        <v>超持続型</v>
      </c>
      <c r="AU404" s="386">
        <f>IFERROR(__xludf.DUMMYFUNCTION("""COMPUTED_VALUE"""),3.0)</f>
        <v>3</v>
      </c>
      <c r="AV404" s="387" t="str">
        <f>IFERROR(__xludf.DUMMYFUNCTION("""COMPUTED_VALUE"""),"効果時間")</f>
        <v>効果時間</v>
      </c>
      <c r="AW404" s="368" t="str">
        <f>IFERROR(__xludf.DUMMYFUNCTION("""COMPUTED_VALUE"""),"-")</f>
        <v>-</v>
      </c>
      <c r="AX404" s="368" t="str">
        <f>IFERROR(__xludf.DUMMYFUNCTION("""COMPUTED_VALUE"""),"-")</f>
        <v>-</v>
      </c>
      <c r="AY404" s="368" t="str">
        <f>IFERROR(__xludf.DUMMYFUNCTION("""COMPUTED_VALUE"""),"-")</f>
        <v>-</v>
      </c>
      <c r="AZ404" s="368" t="str">
        <f>IFERROR(__xludf.DUMMYFUNCTION("""COMPUTED_VALUE"""),"-")</f>
        <v>-</v>
      </c>
      <c r="BA404" s="368" t="str">
        <f>IFERROR(__xludf.DUMMYFUNCTION("""COMPUTED_VALUE"""),"-")</f>
        <v>-</v>
      </c>
      <c r="BB404" s="280">
        <f>IFERROR(__xludf.DUMMYFUNCTION("""COMPUTED_VALUE"""),635.0)</f>
        <v>635</v>
      </c>
      <c r="BC404" s="280">
        <f>IFERROR(__xludf.DUMMYFUNCTION("""COMPUTED_VALUE"""),705.0)</f>
        <v>705</v>
      </c>
      <c r="BD404" s="280">
        <f>IFERROR(__xludf.DUMMYFUNCTION("""COMPUTED_VALUE"""),720.0)</f>
        <v>720</v>
      </c>
      <c r="BE404" s="385" t="str">
        <f>IFERROR(__xludf.DUMMYFUNCTION("""COMPUTED_VALUE"""),"ハイブリッド型")</f>
        <v>ハイブリッド型</v>
      </c>
      <c r="BF404" s="386">
        <f>IFERROR(__xludf.DUMMYFUNCTION("""COMPUTED_VALUE"""),3.0)</f>
        <v>3</v>
      </c>
      <c r="BG404" s="387" t="str">
        <f>IFERROR(__xludf.DUMMYFUNCTION("""COMPUTED_VALUE"""),"効果時間")</f>
        <v>効果時間</v>
      </c>
      <c r="BH404" s="407">
        <f>IFERROR(__xludf.DUMMYFUNCTION("""COMPUTED_VALUE"""),220.0)</f>
        <v>220</v>
      </c>
      <c r="BI404" s="407">
        <f>IFERROR(__xludf.DUMMYFUNCTION("""COMPUTED_VALUE"""),235.0)</f>
        <v>235</v>
      </c>
      <c r="BJ404" s="407">
        <f>IFERROR(__xludf.DUMMYFUNCTION("""COMPUTED_VALUE"""),240.0)</f>
        <v>240</v>
      </c>
      <c r="BK404" s="408">
        <f>IFERROR(__xludf.DUMMYFUNCTION("""COMPUTED_VALUE"""),250.0)</f>
        <v>250</v>
      </c>
      <c r="BL404" s="407">
        <f>IFERROR(__xludf.DUMMYFUNCTION("""COMPUTED_VALUE"""),255.0)</f>
        <v>255</v>
      </c>
      <c r="BM404" s="408">
        <f>IFERROR(__xludf.DUMMYFUNCTION("""COMPUTED_VALUE"""),385.0)</f>
        <v>385</v>
      </c>
      <c r="BN404" s="407">
        <f>IFERROR(__xludf.DUMMYFUNCTION("""COMPUTED_VALUE"""),490.0)</f>
        <v>490</v>
      </c>
      <c r="BO404" s="408">
        <f>IFERROR(__xludf.DUMMYFUNCTION("""COMPUTED_VALUE"""),505.0)</f>
        <v>505</v>
      </c>
    </row>
    <row r="405">
      <c r="A405" s="435" t="str">
        <f>IFERROR(__xludf.DUMMYFUNCTION("""COMPUTED_VALUE"""),"攻撃力Down(サポート)")</f>
        <v>攻撃力Down(サポート)</v>
      </c>
      <c r="B405" s="385" t="str">
        <f>IFERROR(__xludf.DUMMYFUNCTION("""COMPUTED_VALUE"""),"超瞬間型")</f>
        <v>超瞬間型</v>
      </c>
      <c r="C405" s="399">
        <f>IFERROR(__xludf.DUMMYFUNCTION("""COMPUTED_VALUE"""),4.0)</f>
        <v>4</v>
      </c>
      <c r="D405" s="400" t="str">
        <f>IFERROR(__xludf.DUMMYFUNCTION("""COMPUTED_VALUE"""),"効果値")</f>
        <v>効果値</v>
      </c>
      <c r="E405" s="401" t="str">
        <f>IFERROR(__xludf.DUMMYFUNCTION("""COMPUTED_VALUE"""),"-")</f>
        <v>-</v>
      </c>
      <c r="F405" s="409" t="str">
        <f>IFERROR(__xludf.DUMMYFUNCTION("""COMPUTED_VALUE"""),"-")</f>
        <v>-</v>
      </c>
      <c r="G405" s="409" t="str">
        <f>IFERROR(__xludf.DUMMYFUNCTION("""COMPUTED_VALUE"""),"-")</f>
        <v>-</v>
      </c>
      <c r="H405" s="409" t="str">
        <f>IFERROR(__xludf.DUMMYFUNCTION("""COMPUTED_VALUE"""),"-")</f>
        <v>-</v>
      </c>
      <c r="I405" s="409" t="str">
        <f>IFERROR(__xludf.DUMMYFUNCTION("""COMPUTED_VALUE"""),"-")</f>
        <v>-</v>
      </c>
      <c r="J405" s="410">
        <f>IFERROR(__xludf.DUMMYFUNCTION("""COMPUTED_VALUE"""),59.0)</f>
        <v>59</v>
      </c>
      <c r="K405" s="410">
        <f>IFERROR(__xludf.DUMMYFUNCTION("""COMPUTED_VALUE"""),69.0)</f>
        <v>69</v>
      </c>
      <c r="L405" s="410">
        <f>IFERROR(__xludf.DUMMYFUNCTION("""COMPUTED_VALUE"""),74.0)</f>
        <v>74</v>
      </c>
      <c r="M405" s="385" t="str">
        <f>IFERROR(__xludf.DUMMYFUNCTION("""COMPUTED_VALUE"""),"瞬間型")</f>
        <v>瞬間型</v>
      </c>
      <c r="N405" s="399">
        <f>IFERROR(__xludf.DUMMYFUNCTION("""COMPUTED_VALUE"""),4.0)</f>
        <v>4</v>
      </c>
      <c r="O405" s="400" t="str">
        <f>IFERROR(__xludf.DUMMYFUNCTION("""COMPUTED_VALUE"""),"効果値")</f>
        <v>効果値</v>
      </c>
      <c r="P405" s="343">
        <f>IFERROR(__xludf.DUMMYFUNCTION("""COMPUTED_VALUE"""),23.0)</f>
        <v>23</v>
      </c>
      <c r="Q405" s="402">
        <f>IFERROR(__xludf.DUMMYFUNCTION("""COMPUTED_VALUE"""),23.0)</f>
        <v>23</v>
      </c>
      <c r="R405" s="343">
        <f>IFERROR(__xludf.DUMMYFUNCTION("""COMPUTED_VALUE"""),23.0)</f>
        <v>23</v>
      </c>
      <c r="S405" s="402">
        <f>IFERROR(__xludf.DUMMYFUNCTION("""COMPUTED_VALUE"""),23.0)</f>
        <v>23</v>
      </c>
      <c r="T405" s="343">
        <f>IFERROR(__xludf.DUMMYFUNCTION("""COMPUTED_VALUE"""),23.0)</f>
        <v>23</v>
      </c>
      <c r="U405" s="343">
        <f>IFERROR(__xludf.DUMMYFUNCTION("""COMPUTED_VALUE"""),29.0)</f>
        <v>29</v>
      </c>
      <c r="V405" s="343">
        <f>IFERROR(__xludf.DUMMYFUNCTION("""COMPUTED_VALUE"""),34.0)</f>
        <v>34</v>
      </c>
      <c r="W405" s="343">
        <f>IFERROR(__xludf.DUMMYFUNCTION("""COMPUTED_VALUE"""),39.0)</f>
        <v>39</v>
      </c>
      <c r="X405" s="385" t="str">
        <f>IFERROR(__xludf.DUMMYFUNCTION("""COMPUTED_VALUE"""),"安定型")</f>
        <v>安定型</v>
      </c>
      <c r="Y405" s="399">
        <f>IFERROR(__xludf.DUMMYFUNCTION("""COMPUTED_VALUE"""),4.0)</f>
        <v>4</v>
      </c>
      <c r="Z405" s="400" t="str">
        <f>IFERROR(__xludf.DUMMYFUNCTION("""COMPUTED_VALUE"""),"効果値")</f>
        <v>効果値</v>
      </c>
      <c r="AA405" s="343">
        <f>IFERROR(__xludf.DUMMYFUNCTION("""COMPUTED_VALUE"""),13.0)</f>
        <v>13</v>
      </c>
      <c r="AB405" s="402">
        <f>IFERROR(__xludf.DUMMYFUNCTION("""COMPUTED_VALUE"""),13.0)</f>
        <v>13</v>
      </c>
      <c r="AC405" s="343">
        <f>IFERROR(__xludf.DUMMYFUNCTION("""COMPUTED_VALUE"""),13.0)</f>
        <v>13</v>
      </c>
      <c r="AD405" s="402">
        <f>IFERROR(__xludf.DUMMYFUNCTION("""COMPUTED_VALUE"""),13.0)</f>
        <v>13</v>
      </c>
      <c r="AE405" s="343">
        <f>IFERROR(__xludf.DUMMYFUNCTION("""COMPUTED_VALUE"""),13.0)</f>
        <v>13</v>
      </c>
      <c r="AF405" s="343">
        <f>IFERROR(__xludf.DUMMYFUNCTION("""COMPUTED_VALUE"""),14.0)</f>
        <v>14</v>
      </c>
      <c r="AG405" s="343">
        <f>IFERROR(__xludf.DUMMYFUNCTION("""COMPUTED_VALUE"""),19.0)</f>
        <v>19</v>
      </c>
      <c r="AH405" s="343">
        <f>IFERROR(__xludf.DUMMYFUNCTION("""COMPUTED_VALUE"""),24.0)</f>
        <v>24</v>
      </c>
      <c r="AI405" s="385" t="str">
        <f>IFERROR(__xludf.DUMMYFUNCTION("""COMPUTED_VALUE"""),"持続型")</f>
        <v>持続型</v>
      </c>
      <c r="AJ405" s="399">
        <f>IFERROR(__xludf.DUMMYFUNCTION("""COMPUTED_VALUE"""),4.0)</f>
        <v>4</v>
      </c>
      <c r="AK405" s="400" t="str">
        <f>IFERROR(__xludf.DUMMYFUNCTION("""COMPUTED_VALUE"""),"効果値")</f>
        <v>効果値</v>
      </c>
      <c r="AL405" s="343">
        <f>IFERROR(__xludf.DUMMYFUNCTION("""COMPUTED_VALUE"""),8.0)</f>
        <v>8</v>
      </c>
      <c r="AM405" s="402">
        <f>IFERROR(__xludf.DUMMYFUNCTION("""COMPUTED_VALUE"""),8.0)</f>
        <v>8</v>
      </c>
      <c r="AN405" s="343">
        <f>IFERROR(__xludf.DUMMYFUNCTION("""COMPUTED_VALUE"""),8.0)</f>
        <v>8</v>
      </c>
      <c r="AO405" s="402">
        <f>IFERROR(__xludf.DUMMYFUNCTION("""COMPUTED_VALUE"""),8.0)</f>
        <v>8</v>
      </c>
      <c r="AP405" s="343">
        <f>IFERROR(__xludf.DUMMYFUNCTION("""COMPUTED_VALUE"""),8.0)</f>
        <v>8</v>
      </c>
      <c r="AQ405" s="343">
        <f>IFERROR(__xludf.DUMMYFUNCTION("""COMPUTED_VALUE"""),9.0)</f>
        <v>9</v>
      </c>
      <c r="AR405" s="343">
        <f>IFERROR(__xludf.DUMMYFUNCTION("""COMPUTED_VALUE"""),12.0)</f>
        <v>12</v>
      </c>
      <c r="AS405" s="343">
        <f>IFERROR(__xludf.DUMMYFUNCTION("""COMPUTED_VALUE"""),12.0)</f>
        <v>12</v>
      </c>
      <c r="AT405" s="385" t="str">
        <f>IFERROR(__xludf.DUMMYFUNCTION("""COMPUTED_VALUE"""),"超持続型")</f>
        <v>超持続型</v>
      </c>
      <c r="AU405" s="399">
        <f>IFERROR(__xludf.DUMMYFUNCTION("""COMPUTED_VALUE"""),4.0)</f>
        <v>4</v>
      </c>
      <c r="AV405" s="400" t="str">
        <f>IFERROR(__xludf.DUMMYFUNCTION("""COMPUTED_VALUE"""),"効果値")</f>
        <v>効果値</v>
      </c>
      <c r="AW405" s="403" t="str">
        <f>IFERROR(__xludf.DUMMYFUNCTION("""COMPUTED_VALUE"""),"-")</f>
        <v>-</v>
      </c>
      <c r="AX405" s="403" t="str">
        <f>IFERROR(__xludf.DUMMYFUNCTION("""COMPUTED_VALUE"""),"-")</f>
        <v>-</v>
      </c>
      <c r="AY405" s="403" t="str">
        <f>IFERROR(__xludf.DUMMYFUNCTION("""COMPUTED_VALUE"""),"-")</f>
        <v>-</v>
      </c>
      <c r="AZ405" s="403" t="str">
        <f>IFERROR(__xludf.DUMMYFUNCTION("""COMPUTED_VALUE"""),"-")</f>
        <v>-</v>
      </c>
      <c r="BA405" s="403" t="str">
        <f>IFERROR(__xludf.DUMMYFUNCTION("""COMPUTED_VALUE"""),"-")</f>
        <v>-</v>
      </c>
      <c r="BB405" s="343">
        <f>IFERROR(__xludf.DUMMYFUNCTION("""COMPUTED_VALUE"""),9.0)</f>
        <v>9</v>
      </c>
      <c r="BC405" s="343">
        <f>IFERROR(__xludf.DUMMYFUNCTION("""COMPUTED_VALUE"""),12.0)</f>
        <v>12</v>
      </c>
      <c r="BD405" s="343">
        <f>IFERROR(__xludf.DUMMYFUNCTION("""COMPUTED_VALUE"""),12.0)</f>
        <v>12</v>
      </c>
      <c r="BE405" s="385" t="str">
        <f>IFERROR(__xludf.DUMMYFUNCTION("""COMPUTED_VALUE"""),"ハイブリッド型")</f>
        <v>ハイブリッド型</v>
      </c>
      <c r="BF405" s="399">
        <f>IFERROR(__xludf.DUMMYFUNCTION("""COMPUTED_VALUE"""),4.0)</f>
        <v>4</v>
      </c>
      <c r="BG405" s="400" t="str">
        <f>IFERROR(__xludf.DUMMYFUNCTION("""COMPUTED_VALUE"""),"効果値")</f>
        <v>効果値</v>
      </c>
      <c r="BH405" s="411">
        <f>IFERROR(__xludf.DUMMYFUNCTION("""COMPUTED_VALUE"""),11.8)</f>
        <v>11.8</v>
      </c>
      <c r="BI405" s="412">
        <f>IFERROR(__xludf.DUMMYFUNCTION("""COMPUTED_VALUE"""),12.4)</f>
        <v>12.4</v>
      </c>
      <c r="BJ405" s="412">
        <f>IFERROR(__xludf.DUMMYFUNCTION("""COMPUTED_VALUE"""),13.1)</f>
        <v>13.1</v>
      </c>
      <c r="BK405" s="412">
        <f>IFERROR(__xludf.DUMMYFUNCTION("""COMPUTED_VALUE"""),13.7)</f>
        <v>13.7</v>
      </c>
      <c r="BL405" s="412">
        <f>IFERROR(__xludf.DUMMYFUNCTION("""COMPUTED_VALUE"""),14.4)</f>
        <v>14.4</v>
      </c>
      <c r="BM405" s="412">
        <f>IFERROR(__xludf.DUMMYFUNCTION("""COMPUTED_VALUE"""),19.4)</f>
        <v>19.4</v>
      </c>
      <c r="BN405" s="412">
        <f>IFERROR(__xludf.DUMMYFUNCTION("""COMPUTED_VALUE"""),24.0)</f>
        <v>24</v>
      </c>
      <c r="BO405" s="413">
        <f>IFERROR(__xludf.DUMMYFUNCTION("""COMPUTED_VALUE"""),29.0)</f>
        <v>29</v>
      </c>
    </row>
    <row r="406">
      <c r="A406" s="435" t="str">
        <f>IFERROR(__xludf.DUMMYFUNCTION("""COMPUTED_VALUE"""),"攻撃力Down(サポート)")</f>
        <v>攻撃力Down(サポート)</v>
      </c>
      <c r="B406" s="385" t="str">
        <f>IFERROR(__xludf.DUMMYFUNCTION("""COMPUTED_VALUE"""),"超瞬間型")</f>
        <v>超瞬間型</v>
      </c>
      <c r="C406" s="386">
        <f>IFERROR(__xludf.DUMMYFUNCTION("""COMPUTED_VALUE"""),4.0)</f>
        <v>4</v>
      </c>
      <c r="D406" s="387" t="str">
        <f>IFERROR(__xludf.DUMMYFUNCTION("""COMPUTED_VALUE"""),"効果時間")</f>
        <v>効果時間</v>
      </c>
      <c r="E406" s="388" t="str">
        <f>IFERROR(__xludf.DUMMYFUNCTION("""COMPUTED_VALUE"""),"-")</f>
        <v>-</v>
      </c>
      <c r="F406" s="389" t="str">
        <f>IFERROR(__xludf.DUMMYFUNCTION("""COMPUTED_VALUE"""),"-")</f>
        <v>-</v>
      </c>
      <c r="G406" s="388" t="str">
        <f>IFERROR(__xludf.DUMMYFUNCTION("""COMPUTED_VALUE"""),"-")</f>
        <v>-</v>
      </c>
      <c r="H406" s="389" t="str">
        <f>IFERROR(__xludf.DUMMYFUNCTION("""COMPUTED_VALUE"""),"-")</f>
        <v>-</v>
      </c>
      <c r="I406" s="388" t="str">
        <f>IFERROR(__xludf.DUMMYFUNCTION("""COMPUTED_VALUE"""),"-")</f>
        <v>-</v>
      </c>
      <c r="J406" s="390">
        <f>IFERROR(__xludf.DUMMYFUNCTION("""COMPUTED_VALUE"""),155.0)</f>
        <v>155</v>
      </c>
      <c r="K406" s="391">
        <f>IFERROR(__xludf.DUMMYFUNCTION("""COMPUTED_VALUE"""),170.0)</f>
        <v>170</v>
      </c>
      <c r="L406" s="340">
        <f>IFERROR(__xludf.DUMMYFUNCTION("""COMPUTED_VALUE"""),195.0)</f>
        <v>195</v>
      </c>
      <c r="M406" s="385" t="str">
        <f>IFERROR(__xludf.DUMMYFUNCTION("""COMPUTED_VALUE"""),"瞬間型")</f>
        <v>瞬間型</v>
      </c>
      <c r="N406" s="386">
        <f>IFERROR(__xludf.DUMMYFUNCTION("""COMPUTED_VALUE"""),4.0)</f>
        <v>4</v>
      </c>
      <c r="O406" s="387" t="str">
        <f>IFERROR(__xludf.DUMMYFUNCTION("""COMPUTED_VALUE"""),"効果時間")</f>
        <v>効果時間</v>
      </c>
      <c r="P406" s="280">
        <f>IFERROR(__xludf.DUMMYFUNCTION("""COMPUTED_VALUE"""),170.0)</f>
        <v>170</v>
      </c>
      <c r="Q406" s="275">
        <f>IFERROR(__xludf.DUMMYFUNCTION("""COMPUTED_VALUE"""),180.0)</f>
        <v>180</v>
      </c>
      <c r="R406" s="280">
        <f>IFERROR(__xludf.DUMMYFUNCTION("""COMPUTED_VALUE"""),185.0)</f>
        <v>185</v>
      </c>
      <c r="S406" s="275">
        <f>IFERROR(__xludf.DUMMYFUNCTION("""COMPUTED_VALUE"""),195.0)</f>
        <v>195</v>
      </c>
      <c r="T406" s="280">
        <f>IFERROR(__xludf.DUMMYFUNCTION("""COMPUTED_VALUE"""),200.0)</f>
        <v>200</v>
      </c>
      <c r="U406" s="280">
        <f>IFERROR(__xludf.DUMMYFUNCTION("""COMPUTED_VALUE"""),215.0)</f>
        <v>215</v>
      </c>
      <c r="V406" s="280">
        <f>IFERROR(__xludf.DUMMYFUNCTION("""COMPUTED_VALUE"""),285.0)</f>
        <v>285</v>
      </c>
      <c r="W406" s="280">
        <f>IFERROR(__xludf.DUMMYFUNCTION("""COMPUTED_VALUE"""),305.0)</f>
        <v>305</v>
      </c>
      <c r="X406" s="385" t="str">
        <f>IFERROR(__xludf.DUMMYFUNCTION("""COMPUTED_VALUE"""),"安定型")</f>
        <v>安定型</v>
      </c>
      <c r="Y406" s="386">
        <f>IFERROR(__xludf.DUMMYFUNCTION("""COMPUTED_VALUE"""),4.0)</f>
        <v>4</v>
      </c>
      <c r="Z406" s="387" t="str">
        <f>IFERROR(__xludf.DUMMYFUNCTION("""COMPUTED_VALUE"""),"効果時間")</f>
        <v>効果時間</v>
      </c>
      <c r="AA406" s="280">
        <f>IFERROR(__xludf.DUMMYFUNCTION("""COMPUTED_VALUE"""),320.0)</f>
        <v>320</v>
      </c>
      <c r="AB406" s="275">
        <f>IFERROR(__xludf.DUMMYFUNCTION("""COMPUTED_VALUE"""),330.0)</f>
        <v>330</v>
      </c>
      <c r="AC406" s="280">
        <f>IFERROR(__xludf.DUMMYFUNCTION("""COMPUTED_VALUE"""),335.0)</f>
        <v>335</v>
      </c>
      <c r="AD406" s="275">
        <f>IFERROR(__xludf.DUMMYFUNCTION("""COMPUTED_VALUE"""),345.0)</f>
        <v>345</v>
      </c>
      <c r="AE406" s="280">
        <f>IFERROR(__xludf.DUMMYFUNCTION("""COMPUTED_VALUE"""),350.0)</f>
        <v>350</v>
      </c>
      <c r="AF406" s="280">
        <f>IFERROR(__xludf.DUMMYFUNCTION("""COMPUTED_VALUE"""),390.0)</f>
        <v>390</v>
      </c>
      <c r="AG406" s="280">
        <f>IFERROR(__xludf.DUMMYFUNCTION("""COMPUTED_VALUE"""),435.0)</f>
        <v>435</v>
      </c>
      <c r="AH406" s="280">
        <f>IFERROR(__xludf.DUMMYFUNCTION("""COMPUTED_VALUE"""),455.0)</f>
        <v>455</v>
      </c>
      <c r="AI406" s="385" t="str">
        <f>IFERROR(__xludf.DUMMYFUNCTION("""COMPUTED_VALUE"""),"持続型")</f>
        <v>持続型</v>
      </c>
      <c r="AJ406" s="386">
        <f>IFERROR(__xludf.DUMMYFUNCTION("""COMPUTED_VALUE"""),4.0)</f>
        <v>4</v>
      </c>
      <c r="AK406" s="387" t="str">
        <f>IFERROR(__xludf.DUMMYFUNCTION("""COMPUTED_VALUE"""),"効果時間")</f>
        <v>効果時間</v>
      </c>
      <c r="AL406" s="280">
        <f>IFERROR(__xludf.DUMMYFUNCTION("""COMPUTED_VALUE"""),470.0)</f>
        <v>470</v>
      </c>
      <c r="AM406" s="275">
        <f>IFERROR(__xludf.DUMMYFUNCTION("""COMPUTED_VALUE"""),480.0)</f>
        <v>480</v>
      </c>
      <c r="AN406" s="280">
        <f>IFERROR(__xludf.DUMMYFUNCTION("""COMPUTED_VALUE"""),485.0)</f>
        <v>485</v>
      </c>
      <c r="AO406" s="275">
        <f>IFERROR(__xludf.DUMMYFUNCTION("""COMPUTED_VALUE"""),495.0)</f>
        <v>495</v>
      </c>
      <c r="AP406" s="280">
        <f>IFERROR(__xludf.DUMMYFUNCTION("""COMPUTED_VALUE"""),500.0)</f>
        <v>500</v>
      </c>
      <c r="AQ406" s="280">
        <f>IFERROR(__xludf.DUMMYFUNCTION("""COMPUTED_VALUE"""),540.0)</f>
        <v>540</v>
      </c>
      <c r="AR406" s="280">
        <f>IFERROR(__xludf.DUMMYFUNCTION("""COMPUTED_VALUE"""),585.0)</f>
        <v>585</v>
      </c>
      <c r="AS406" s="280">
        <f>IFERROR(__xludf.DUMMYFUNCTION("""COMPUTED_VALUE"""),605.0)</f>
        <v>605</v>
      </c>
      <c r="AT406" s="385" t="str">
        <f>IFERROR(__xludf.DUMMYFUNCTION("""COMPUTED_VALUE"""),"超持続型")</f>
        <v>超持続型</v>
      </c>
      <c r="AU406" s="386">
        <f>IFERROR(__xludf.DUMMYFUNCTION("""COMPUTED_VALUE"""),4.0)</f>
        <v>4</v>
      </c>
      <c r="AV406" s="387" t="str">
        <f>IFERROR(__xludf.DUMMYFUNCTION("""COMPUTED_VALUE"""),"効果時間")</f>
        <v>効果時間</v>
      </c>
      <c r="AW406" s="368" t="str">
        <f>IFERROR(__xludf.DUMMYFUNCTION("""COMPUTED_VALUE"""),"-")</f>
        <v>-</v>
      </c>
      <c r="AX406" s="368" t="str">
        <f>IFERROR(__xludf.DUMMYFUNCTION("""COMPUTED_VALUE"""),"-")</f>
        <v>-</v>
      </c>
      <c r="AY406" s="368" t="str">
        <f>IFERROR(__xludf.DUMMYFUNCTION("""COMPUTED_VALUE"""),"-")</f>
        <v>-</v>
      </c>
      <c r="AZ406" s="368" t="str">
        <f>IFERROR(__xludf.DUMMYFUNCTION("""COMPUTED_VALUE"""),"-")</f>
        <v>-</v>
      </c>
      <c r="BA406" s="368" t="str">
        <f>IFERROR(__xludf.DUMMYFUNCTION("""COMPUTED_VALUE"""),"-")</f>
        <v>-</v>
      </c>
      <c r="BB406" s="280">
        <f>IFERROR(__xludf.DUMMYFUNCTION("""COMPUTED_VALUE"""),645.0)</f>
        <v>645</v>
      </c>
      <c r="BC406" s="280">
        <f>IFERROR(__xludf.DUMMYFUNCTION("""COMPUTED_VALUE"""),735.0)</f>
        <v>735</v>
      </c>
      <c r="BD406" s="280">
        <f>IFERROR(__xludf.DUMMYFUNCTION("""COMPUTED_VALUE"""),755.0)</f>
        <v>755</v>
      </c>
      <c r="BE406" s="385" t="str">
        <f>IFERROR(__xludf.DUMMYFUNCTION("""COMPUTED_VALUE"""),"ハイブリッド型")</f>
        <v>ハイブリッド型</v>
      </c>
      <c r="BF406" s="386">
        <f>IFERROR(__xludf.DUMMYFUNCTION("""COMPUTED_VALUE"""),4.0)</f>
        <v>4</v>
      </c>
      <c r="BG406" s="387" t="str">
        <f>IFERROR(__xludf.DUMMYFUNCTION("""COMPUTED_VALUE"""),"効果時間")</f>
        <v>効果時間</v>
      </c>
      <c r="BH406" s="417">
        <f>IFERROR(__xludf.DUMMYFUNCTION("""COMPUTED_VALUE"""),240.0)</f>
        <v>240</v>
      </c>
      <c r="BI406" s="417">
        <f>IFERROR(__xludf.DUMMYFUNCTION("""COMPUTED_VALUE"""),255.0)</f>
        <v>255</v>
      </c>
      <c r="BJ406" s="417">
        <f>IFERROR(__xludf.DUMMYFUNCTION("""COMPUTED_VALUE"""),265.0)</f>
        <v>265</v>
      </c>
      <c r="BK406" s="418">
        <f>IFERROR(__xludf.DUMMYFUNCTION("""COMPUTED_VALUE"""),275.0)</f>
        <v>275</v>
      </c>
      <c r="BL406" s="417">
        <f>IFERROR(__xludf.DUMMYFUNCTION("""COMPUTED_VALUE"""),285.0)</f>
        <v>285</v>
      </c>
      <c r="BM406" s="418">
        <f>IFERROR(__xludf.DUMMYFUNCTION("""COMPUTED_VALUE"""),395.0)</f>
        <v>395</v>
      </c>
      <c r="BN406" s="417">
        <f>IFERROR(__xludf.DUMMYFUNCTION("""COMPUTED_VALUE"""),500.0)</f>
        <v>500</v>
      </c>
      <c r="BO406" s="418">
        <f>IFERROR(__xludf.DUMMYFUNCTION("""COMPUTED_VALUE"""),520.0)</f>
        <v>520</v>
      </c>
    </row>
    <row r="407">
      <c r="A407" s="435" t="str">
        <f>IFERROR(__xludf.DUMMYFUNCTION("""COMPUTED_VALUE"""),"攻撃力Down(サポート)")</f>
        <v>攻撃力Down(サポート)</v>
      </c>
      <c r="B407" s="385" t="str">
        <f>IFERROR(__xludf.DUMMYFUNCTION("""COMPUTED_VALUE"""),"超瞬間型")</f>
        <v>超瞬間型</v>
      </c>
      <c r="C407" s="399">
        <f>IFERROR(__xludf.DUMMYFUNCTION("""COMPUTED_VALUE"""),5.0)</f>
        <v>5</v>
      </c>
      <c r="D407" s="400" t="str">
        <f>IFERROR(__xludf.DUMMYFUNCTION("""COMPUTED_VALUE"""),"効果値")</f>
        <v>効果値</v>
      </c>
      <c r="E407" s="419" t="str">
        <f>IFERROR(__xludf.DUMMYFUNCTION("""COMPUTED_VALUE"""),"-")</f>
        <v>-</v>
      </c>
      <c r="F407" s="409" t="str">
        <f>IFERROR(__xludf.DUMMYFUNCTION("""COMPUTED_VALUE"""),"-")</f>
        <v>-</v>
      </c>
      <c r="G407" s="409" t="str">
        <f>IFERROR(__xludf.DUMMYFUNCTION("""COMPUTED_VALUE"""),"-")</f>
        <v>-</v>
      </c>
      <c r="H407" s="409" t="str">
        <f>IFERROR(__xludf.DUMMYFUNCTION("""COMPUTED_VALUE"""),"-")</f>
        <v>-</v>
      </c>
      <c r="I407" s="409" t="str">
        <f>IFERROR(__xludf.DUMMYFUNCTION("""COMPUTED_VALUE"""),"-")</f>
        <v>-</v>
      </c>
      <c r="J407" s="420">
        <f>IFERROR(__xludf.DUMMYFUNCTION("""COMPUTED_VALUE"""),60.0)</f>
        <v>60</v>
      </c>
      <c r="K407" s="421">
        <f>IFERROR(__xludf.DUMMYFUNCTION("""COMPUTED_VALUE"""),70.0)</f>
        <v>70</v>
      </c>
      <c r="L407" s="421">
        <f>IFERROR(__xludf.DUMMYFUNCTION("""COMPUTED_VALUE"""),75.0)</f>
        <v>75</v>
      </c>
      <c r="M407" s="385" t="str">
        <f>IFERROR(__xludf.DUMMYFUNCTION("""COMPUTED_VALUE"""),"瞬間型")</f>
        <v>瞬間型</v>
      </c>
      <c r="N407" s="399">
        <f>IFERROR(__xludf.DUMMYFUNCTION("""COMPUTED_VALUE"""),5.0)</f>
        <v>5</v>
      </c>
      <c r="O407" s="400" t="str">
        <f>IFERROR(__xludf.DUMMYFUNCTION("""COMPUTED_VALUE"""),"効果値")</f>
        <v>効果値</v>
      </c>
      <c r="P407" s="422">
        <f>IFERROR(__xludf.DUMMYFUNCTION("""COMPUTED_VALUE"""),23.0)</f>
        <v>23</v>
      </c>
      <c r="Q407" s="423">
        <f>IFERROR(__xludf.DUMMYFUNCTION("""COMPUTED_VALUE"""),23.0)</f>
        <v>23</v>
      </c>
      <c r="R407" s="422">
        <f>IFERROR(__xludf.DUMMYFUNCTION("""COMPUTED_VALUE"""),24.0)</f>
        <v>24</v>
      </c>
      <c r="S407" s="423">
        <f>IFERROR(__xludf.DUMMYFUNCTION("""COMPUTED_VALUE"""),24.0)</f>
        <v>24</v>
      </c>
      <c r="T407" s="422">
        <f>IFERROR(__xludf.DUMMYFUNCTION("""COMPUTED_VALUE"""),24.0)</f>
        <v>24</v>
      </c>
      <c r="U407" s="423">
        <f>IFERROR(__xludf.DUMMYFUNCTION("""COMPUTED_VALUE"""),30.0)</f>
        <v>30</v>
      </c>
      <c r="V407" s="423">
        <f>IFERROR(__xludf.DUMMYFUNCTION("""COMPUTED_VALUE"""),35.0)</f>
        <v>35</v>
      </c>
      <c r="W407" s="424">
        <f>IFERROR(__xludf.DUMMYFUNCTION("""COMPUTED_VALUE"""),40.0)</f>
        <v>40</v>
      </c>
      <c r="X407" s="385" t="str">
        <f>IFERROR(__xludf.DUMMYFUNCTION("""COMPUTED_VALUE"""),"安定型")</f>
        <v>安定型</v>
      </c>
      <c r="Y407" s="399">
        <f>IFERROR(__xludf.DUMMYFUNCTION("""COMPUTED_VALUE"""),5.0)</f>
        <v>5</v>
      </c>
      <c r="Z407" s="400" t="str">
        <f>IFERROR(__xludf.DUMMYFUNCTION("""COMPUTED_VALUE"""),"効果値")</f>
        <v>効果値</v>
      </c>
      <c r="AA407" s="422">
        <f>IFERROR(__xludf.DUMMYFUNCTION("""COMPUTED_VALUE"""),13.0)</f>
        <v>13</v>
      </c>
      <c r="AB407" s="423">
        <f>IFERROR(__xludf.DUMMYFUNCTION("""COMPUTED_VALUE"""),13.0)</f>
        <v>13</v>
      </c>
      <c r="AC407" s="422">
        <f>IFERROR(__xludf.DUMMYFUNCTION("""COMPUTED_VALUE"""),14.0)</f>
        <v>14</v>
      </c>
      <c r="AD407" s="423">
        <f>IFERROR(__xludf.DUMMYFUNCTION("""COMPUTED_VALUE"""),14.0)</f>
        <v>14</v>
      </c>
      <c r="AE407" s="422">
        <f>IFERROR(__xludf.DUMMYFUNCTION("""COMPUTED_VALUE"""),14.0)</f>
        <v>14</v>
      </c>
      <c r="AF407" s="423">
        <f>IFERROR(__xludf.DUMMYFUNCTION("""COMPUTED_VALUE"""),15.0)</f>
        <v>15</v>
      </c>
      <c r="AG407" s="423">
        <f>IFERROR(__xludf.DUMMYFUNCTION("""COMPUTED_VALUE"""),20.0)</f>
        <v>20</v>
      </c>
      <c r="AH407" s="424">
        <f>IFERROR(__xludf.DUMMYFUNCTION("""COMPUTED_VALUE"""),25.0)</f>
        <v>25</v>
      </c>
      <c r="AI407" s="385" t="str">
        <f>IFERROR(__xludf.DUMMYFUNCTION("""COMPUTED_VALUE"""),"持続型")</f>
        <v>持続型</v>
      </c>
      <c r="AJ407" s="399">
        <f>IFERROR(__xludf.DUMMYFUNCTION("""COMPUTED_VALUE"""),5.0)</f>
        <v>5</v>
      </c>
      <c r="AK407" s="400" t="str">
        <f>IFERROR(__xludf.DUMMYFUNCTION("""COMPUTED_VALUE"""),"効果値")</f>
        <v>効果値</v>
      </c>
      <c r="AL407" s="422">
        <f>IFERROR(__xludf.DUMMYFUNCTION("""COMPUTED_VALUE"""),8.0)</f>
        <v>8</v>
      </c>
      <c r="AM407" s="423">
        <f>IFERROR(__xludf.DUMMYFUNCTION("""COMPUTED_VALUE"""),8.0)</f>
        <v>8</v>
      </c>
      <c r="AN407" s="422">
        <f>IFERROR(__xludf.DUMMYFUNCTION("""COMPUTED_VALUE"""),9.0)</f>
        <v>9</v>
      </c>
      <c r="AO407" s="423">
        <f>IFERROR(__xludf.DUMMYFUNCTION("""COMPUTED_VALUE"""),9.0)</f>
        <v>9</v>
      </c>
      <c r="AP407" s="422">
        <f>IFERROR(__xludf.DUMMYFUNCTION("""COMPUTED_VALUE"""),9.0)</f>
        <v>9</v>
      </c>
      <c r="AQ407" s="423">
        <f>IFERROR(__xludf.DUMMYFUNCTION("""COMPUTED_VALUE"""),10.0)</f>
        <v>10</v>
      </c>
      <c r="AR407" s="423">
        <f>IFERROR(__xludf.DUMMYFUNCTION("""COMPUTED_VALUE"""),12.0)</f>
        <v>12</v>
      </c>
      <c r="AS407" s="424">
        <f>IFERROR(__xludf.DUMMYFUNCTION("""COMPUTED_VALUE"""),12.0)</f>
        <v>12</v>
      </c>
      <c r="AT407" s="385" t="str">
        <f>IFERROR(__xludf.DUMMYFUNCTION("""COMPUTED_VALUE"""),"超持続型")</f>
        <v>超持続型</v>
      </c>
      <c r="AU407" s="399">
        <f>IFERROR(__xludf.DUMMYFUNCTION("""COMPUTED_VALUE"""),5.0)</f>
        <v>5</v>
      </c>
      <c r="AV407" s="400" t="str">
        <f>IFERROR(__xludf.DUMMYFUNCTION("""COMPUTED_VALUE"""),"効果値")</f>
        <v>効果値</v>
      </c>
      <c r="AW407" s="425" t="str">
        <f>IFERROR(__xludf.DUMMYFUNCTION("""COMPUTED_VALUE"""),"-")</f>
        <v>-</v>
      </c>
      <c r="AX407" s="426" t="str">
        <f>IFERROR(__xludf.DUMMYFUNCTION("""COMPUTED_VALUE"""),"-")</f>
        <v>-</v>
      </c>
      <c r="AY407" s="426" t="str">
        <f>IFERROR(__xludf.DUMMYFUNCTION("""COMPUTED_VALUE"""),"-")</f>
        <v>-</v>
      </c>
      <c r="AZ407" s="426" t="str">
        <f>IFERROR(__xludf.DUMMYFUNCTION("""COMPUTED_VALUE"""),"-")</f>
        <v>-</v>
      </c>
      <c r="BA407" s="426" t="str">
        <f>IFERROR(__xludf.DUMMYFUNCTION("""COMPUTED_VALUE"""),"-")</f>
        <v>-</v>
      </c>
      <c r="BB407" s="423">
        <f>IFERROR(__xludf.DUMMYFUNCTION("""COMPUTED_VALUE"""),10.0)</f>
        <v>10</v>
      </c>
      <c r="BC407" s="423">
        <f>IFERROR(__xludf.DUMMYFUNCTION("""COMPUTED_VALUE"""),12.0)</f>
        <v>12</v>
      </c>
      <c r="BD407" s="424">
        <f>IFERROR(__xludf.DUMMYFUNCTION("""COMPUTED_VALUE"""),12.0)</f>
        <v>12</v>
      </c>
      <c r="BE407" s="385" t="str">
        <f>IFERROR(__xludf.DUMMYFUNCTION("""COMPUTED_VALUE"""),"ハイブリッド型")</f>
        <v>ハイブリッド型</v>
      </c>
      <c r="BF407" s="399">
        <f>IFERROR(__xludf.DUMMYFUNCTION("""COMPUTED_VALUE"""),5.0)</f>
        <v>5</v>
      </c>
      <c r="BG407" s="400" t="str">
        <f>IFERROR(__xludf.DUMMYFUNCTION("""COMPUTED_VALUE"""),"効果値")</f>
        <v>効果値</v>
      </c>
      <c r="BH407" s="427">
        <f>IFERROR(__xludf.DUMMYFUNCTION("""COMPUTED_VALUE"""),12.0)</f>
        <v>12</v>
      </c>
      <c r="BI407" s="428">
        <f>IFERROR(__xludf.DUMMYFUNCTION("""COMPUTED_VALUE"""),12.75)</f>
        <v>12.75</v>
      </c>
      <c r="BJ407" s="428">
        <f>IFERROR(__xludf.DUMMYFUNCTION("""COMPUTED_VALUE"""),13.5)</f>
        <v>13.5</v>
      </c>
      <c r="BK407" s="428">
        <f>IFERROR(__xludf.DUMMYFUNCTION("""COMPUTED_VALUE"""),14.25)</f>
        <v>14.25</v>
      </c>
      <c r="BL407" s="427">
        <f>IFERROR(__xludf.DUMMYFUNCTION("""COMPUTED_VALUE"""),15.0)</f>
        <v>15</v>
      </c>
      <c r="BM407" s="427">
        <f>IFERROR(__xludf.DUMMYFUNCTION("""COMPUTED_VALUE"""),20.0)</f>
        <v>20</v>
      </c>
      <c r="BN407" s="427">
        <f>IFERROR(__xludf.DUMMYFUNCTION("""COMPUTED_VALUE"""),25.0)</f>
        <v>25</v>
      </c>
      <c r="BO407" s="429">
        <f>IFERROR(__xludf.DUMMYFUNCTION("""COMPUTED_VALUE"""),30.0)</f>
        <v>30</v>
      </c>
    </row>
    <row r="408">
      <c r="A408" s="435" t="str">
        <f>IFERROR(__xludf.DUMMYFUNCTION("""COMPUTED_VALUE"""),"攻撃力Down(サポート)")</f>
        <v>攻撃力Down(サポート)</v>
      </c>
      <c r="B408" s="385" t="str">
        <f>IFERROR(__xludf.DUMMYFUNCTION("""COMPUTED_VALUE"""),"超瞬間型")</f>
        <v>超瞬間型</v>
      </c>
      <c r="C408" s="430">
        <f>IFERROR(__xludf.DUMMYFUNCTION("""COMPUTED_VALUE"""),5.0)</f>
        <v>5</v>
      </c>
      <c r="D408" s="431" t="str">
        <f>IFERROR(__xludf.DUMMYFUNCTION("""COMPUTED_VALUE"""),"効果時間")</f>
        <v>効果時間</v>
      </c>
      <c r="E408" s="388" t="str">
        <f>IFERROR(__xludf.DUMMYFUNCTION("""COMPUTED_VALUE"""),"-")</f>
        <v>-</v>
      </c>
      <c r="F408" s="389" t="str">
        <f>IFERROR(__xludf.DUMMYFUNCTION("""COMPUTED_VALUE"""),"-")</f>
        <v>-</v>
      </c>
      <c r="G408" s="388" t="str">
        <f>IFERROR(__xludf.DUMMYFUNCTION("""COMPUTED_VALUE"""),"-")</f>
        <v>-</v>
      </c>
      <c r="H408" s="389" t="str">
        <f>IFERROR(__xludf.DUMMYFUNCTION("""COMPUTED_VALUE"""),"-")</f>
        <v>-</v>
      </c>
      <c r="I408" s="388" t="str">
        <f>IFERROR(__xludf.DUMMYFUNCTION("""COMPUTED_VALUE"""),"-")</f>
        <v>-</v>
      </c>
      <c r="J408" s="390">
        <f>IFERROR(__xludf.DUMMYFUNCTION("""COMPUTED_VALUE"""),160.0)</f>
        <v>160</v>
      </c>
      <c r="K408" s="391">
        <f>IFERROR(__xludf.DUMMYFUNCTION("""COMPUTED_VALUE"""),175.0)</f>
        <v>175</v>
      </c>
      <c r="L408" s="340">
        <f>IFERROR(__xludf.DUMMYFUNCTION("""COMPUTED_VALUE"""),200.0)</f>
        <v>200</v>
      </c>
      <c r="M408" s="385" t="str">
        <f>IFERROR(__xludf.DUMMYFUNCTION("""COMPUTED_VALUE"""),"瞬間型")</f>
        <v>瞬間型</v>
      </c>
      <c r="N408" s="430">
        <f>IFERROR(__xludf.DUMMYFUNCTION("""COMPUTED_VALUE"""),5.0)</f>
        <v>5</v>
      </c>
      <c r="O408" s="431" t="str">
        <f>IFERROR(__xludf.DUMMYFUNCTION("""COMPUTED_VALUE"""),"効果時間")</f>
        <v>効果時間</v>
      </c>
      <c r="P408" s="392">
        <f>IFERROR(__xludf.DUMMYFUNCTION("""COMPUTED_VALUE"""),175.0)</f>
        <v>175</v>
      </c>
      <c r="Q408" s="414">
        <f>IFERROR(__xludf.DUMMYFUNCTION("""COMPUTED_VALUE"""),185.0)</f>
        <v>185</v>
      </c>
      <c r="R408" s="414">
        <f>IFERROR(__xludf.DUMMYFUNCTION("""COMPUTED_VALUE"""),190.0)</f>
        <v>190</v>
      </c>
      <c r="S408" s="414">
        <f>IFERROR(__xludf.DUMMYFUNCTION("""COMPUTED_VALUE"""),195.0)</f>
        <v>195</v>
      </c>
      <c r="T408" s="394">
        <f>IFERROR(__xludf.DUMMYFUNCTION("""COMPUTED_VALUE"""),200.0)</f>
        <v>200</v>
      </c>
      <c r="U408" s="394">
        <f>IFERROR(__xludf.DUMMYFUNCTION("""COMPUTED_VALUE"""),225.0)</f>
        <v>225</v>
      </c>
      <c r="V408" s="394">
        <f>IFERROR(__xludf.DUMMYFUNCTION("""COMPUTED_VALUE"""),300.0)</f>
        <v>300</v>
      </c>
      <c r="W408" s="394">
        <f>IFERROR(__xludf.DUMMYFUNCTION("""COMPUTED_VALUE"""),325.0)</f>
        <v>325</v>
      </c>
      <c r="X408" s="385" t="str">
        <f>IFERROR(__xludf.DUMMYFUNCTION("""COMPUTED_VALUE"""),"安定型")</f>
        <v>安定型</v>
      </c>
      <c r="Y408" s="430">
        <f>IFERROR(__xludf.DUMMYFUNCTION("""COMPUTED_VALUE"""),5.0)</f>
        <v>5</v>
      </c>
      <c r="Z408" s="431" t="str">
        <f>IFERROR(__xludf.DUMMYFUNCTION("""COMPUTED_VALUE"""),"効果時間")</f>
        <v>効果時間</v>
      </c>
      <c r="AA408" s="392">
        <f>IFERROR(__xludf.DUMMYFUNCTION("""COMPUTED_VALUE"""),325.0)</f>
        <v>325</v>
      </c>
      <c r="AB408" s="414">
        <f>IFERROR(__xludf.DUMMYFUNCTION("""COMPUTED_VALUE"""),335.0)</f>
        <v>335</v>
      </c>
      <c r="AC408" s="414">
        <f>IFERROR(__xludf.DUMMYFUNCTION("""COMPUTED_VALUE"""),340.0)</f>
        <v>340</v>
      </c>
      <c r="AD408" s="414">
        <f>IFERROR(__xludf.DUMMYFUNCTION("""COMPUTED_VALUE"""),345.0)</f>
        <v>345</v>
      </c>
      <c r="AE408" s="394">
        <f>IFERROR(__xludf.DUMMYFUNCTION("""COMPUTED_VALUE"""),350.0)</f>
        <v>350</v>
      </c>
      <c r="AF408" s="394">
        <f>IFERROR(__xludf.DUMMYFUNCTION("""COMPUTED_VALUE"""),400.0)</f>
        <v>400</v>
      </c>
      <c r="AG408" s="394">
        <f>IFERROR(__xludf.DUMMYFUNCTION("""COMPUTED_VALUE"""),450.0)</f>
        <v>450</v>
      </c>
      <c r="AH408" s="394">
        <f>IFERROR(__xludf.DUMMYFUNCTION("""COMPUTED_VALUE"""),475.0)</f>
        <v>475</v>
      </c>
      <c r="AI408" s="385" t="str">
        <f>IFERROR(__xludf.DUMMYFUNCTION("""COMPUTED_VALUE"""),"持続型")</f>
        <v>持続型</v>
      </c>
      <c r="AJ408" s="430">
        <f>IFERROR(__xludf.DUMMYFUNCTION("""COMPUTED_VALUE"""),5.0)</f>
        <v>5</v>
      </c>
      <c r="AK408" s="431" t="str">
        <f>IFERROR(__xludf.DUMMYFUNCTION("""COMPUTED_VALUE"""),"効果時間")</f>
        <v>効果時間</v>
      </c>
      <c r="AL408" s="392">
        <f>IFERROR(__xludf.DUMMYFUNCTION("""COMPUTED_VALUE"""),475.0)</f>
        <v>475</v>
      </c>
      <c r="AM408" s="414">
        <f>IFERROR(__xludf.DUMMYFUNCTION("""COMPUTED_VALUE"""),485.0)</f>
        <v>485</v>
      </c>
      <c r="AN408" s="414">
        <f>IFERROR(__xludf.DUMMYFUNCTION("""COMPUTED_VALUE"""),490.0)</f>
        <v>490</v>
      </c>
      <c r="AO408" s="414">
        <f>IFERROR(__xludf.DUMMYFUNCTION("""COMPUTED_VALUE"""),495.0)</f>
        <v>495</v>
      </c>
      <c r="AP408" s="394">
        <f>IFERROR(__xludf.DUMMYFUNCTION("""COMPUTED_VALUE"""),500.0)</f>
        <v>500</v>
      </c>
      <c r="AQ408" s="394">
        <f>IFERROR(__xludf.DUMMYFUNCTION("""COMPUTED_VALUE"""),550.0)</f>
        <v>550</v>
      </c>
      <c r="AR408" s="394">
        <f>IFERROR(__xludf.DUMMYFUNCTION("""COMPUTED_VALUE"""),600.0)</f>
        <v>600</v>
      </c>
      <c r="AS408" s="394">
        <f>IFERROR(__xludf.DUMMYFUNCTION("""COMPUTED_VALUE"""),625.0)</f>
        <v>625</v>
      </c>
      <c r="AT408" s="385" t="str">
        <f>IFERROR(__xludf.DUMMYFUNCTION("""COMPUTED_VALUE"""),"超持続型")</f>
        <v>超持続型</v>
      </c>
      <c r="AU408" s="430">
        <f>IFERROR(__xludf.DUMMYFUNCTION("""COMPUTED_VALUE"""),5.0)</f>
        <v>5</v>
      </c>
      <c r="AV408" s="431" t="str">
        <f>IFERROR(__xludf.DUMMYFUNCTION("""COMPUTED_VALUE"""),"効果時間")</f>
        <v>効果時間</v>
      </c>
      <c r="AW408" s="395" t="str">
        <f>IFERROR(__xludf.DUMMYFUNCTION("""COMPUTED_VALUE"""),"-")</f>
        <v>-</v>
      </c>
      <c r="AX408" s="396" t="str">
        <f>IFERROR(__xludf.DUMMYFUNCTION("""COMPUTED_VALUE"""),"-")</f>
        <v>-</v>
      </c>
      <c r="AY408" s="396" t="str">
        <f>IFERROR(__xludf.DUMMYFUNCTION("""COMPUTED_VALUE"""),"-")</f>
        <v>-</v>
      </c>
      <c r="AZ408" s="396" t="str">
        <f>IFERROR(__xludf.DUMMYFUNCTION("""COMPUTED_VALUE"""),"-")</f>
        <v>-</v>
      </c>
      <c r="BA408" s="396" t="str">
        <f>IFERROR(__xludf.DUMMYFUNCTION("""COMPUTED_VALUE"""),"-")</f>
        <v>-</v>
      </c>
      <c r="BB408" s="393">
        <f>IFERROR(__xludf.DUMMYFUNCTION("""COMPUTED_VALUE"""),650.0)</f>
        <v>650</v>
      </c>
      <c r="BC408" s="393">
        <f>IFERROR(__xludf.DUMMYFUNCTION("""COMPUTED_VALUE"""),750.0)</f>
        <v>750</v>
      </c>
      <c r="BD408" s="394">
        <f>IFERROR(__xludf.DUMMYFUNCTION("""COMPUTED_VALUE"""),775.0)</f>
        <v>775</v>
      </c>
      <c r="BE408" s="385" t="str">
        <f>IFERROR(__xludf.DUMMYFUNCTION("""COMPUTED_VALUE"""),"ハイブリッド型")</f>
        <v>ハイブリッド型</v>
      </c>
      <c r="BF408" s="430">
        <f>IFERROR(__xludf.DUMMYFUNCTION("""COMPUTED_VALUE"""),5.0)</f>
        <v>5</v>
      </c>
      <c r="BG408" s="431" t="str">
        <f>IFERROR(__xludf.DUMMYFUNCTION("""COMPUTED_VALUE"""),"効果時間")</f>
        <v>効果時間</v>
      </c>
      <c r="BH408" s="304">
        <f>IFERROR(__xludf.DUMMYFUNCTION("""COMPUTED_VALUE"""),250.0)</f>
        <v>250</v>
      </c>
      <c r="BI408" s="432">
        <f>IFERROR(__xludf.DUMMYFUNCTION("""COMPUTED_VALUE"""),265.0)</f>
        <v>265</v>
      </c>
      <c r="BJ408" s="432">
        <f>IFERROR(__xludf.DUMMYFUNCTION("""COMPUTED_VALUE"""),275.0)</f>
        <v>275</v>
      </c>
      <c r="BK408" s="432">
        <f>IFERROR(__xludf.DUMMYFUNCTION("""COMPUTED_VALUE"""),290.0)</f>
        <v>290</v>
      </c>
      <c r="BL408" s="304">
        <f>IFERROR(__xludf.DUMMYFUNCTION("""COMPUTED_VALUE"""),300.0)</f>
        <v>300</v>
      </c>
      <c r="BM408" s="304">
        <f>IFERROR(__xludf.DUMMYFUNCTION("""COMPUTED_VALUE"""),400.0)</f>
        <v>400</v>
      </c>
      <c r="BN408" s="304">
        <f>IFERROR(__xludf.DUMMYFUNCTION("""COMPUTED_VALUE"""),500.0)</f>
        <v>500</v>
      </c>
      <c r="BO408" s="304">
        <f>IFERROR(__xludf.DUMMYFUNCTION("""COMPUTED_VALUE"""),525.0)</f>
        <v>525</v>
      </c>
    </row>
    <row r="409">
      <c r="A409" s="306"/>
      <c r="B409" s="436"/>
      <c r="C409" s="437"/>
      <c r="D409" s="438"/>
      <c r="E409" s="381"/>
      <c r="F409" s="382"/>
      <c r="G409" s="382"/>
      <c r="H409" s="382"/>
      <c r="I409" s="382"/>
      <c r="J409" s="382"/>
      <c r="K409" s="382"/>
      <c r="L409" s="383"/>
      <c r="M409" s="384"/>
      <c r="N409" s="439"/>
      <c r="O409" s="255"/>
      <c r="P409" s="440"/>
      <c r="Q409" s="441"/>
      <c r="R409" s="441"/>
      <c r="S409" s="441"/>
      <c r="T409" s="440"/>
      <c r="U409" s="440"/>
      <c r="V409" s="440"/>
      <c r="W409" s="440"/>
      <c r="X409" s="384"/>
      <c r="Y409" s="439"/>
      <c r="Z409" s="255"/>
      <c r="AA409" s="440"/>
      <c r="AB409" s="441"/>
      <c r="AC409" s="441"/>
      <c r="AD409" s="441"/>
      <c r="AE409" s="440"/>
      <c r="AF409" s="440"/>
      <c r="AG409" s="440"/>
      <c r="AH409" s="440"/>
      <c r="AI409" s="384"/>
      <c r="AJ409" s="439"/>
      <c r="AK409" s="255"/>
      <c r="AL409" s="440"/>
      <c r="AM409" s="441"/>
      <c r="AN409" s="441"/>
      <c r="AO409" s="441"/>
      <c r="AP409" s="440"/>
      <c r="AQ409" s="440"/>
      <c r="AR409" s="440"/>
      <c r="AS409" s="440"/>
      <c r="AT409" s="384"/>
      <c r="AU409" s="439"/>
      <c r="AV409" s="255"/>
      <c r="AW409" s="442"/>
      <c r="AX409" s="442"/>
      <c r="AY409" s="442"/>
      <c r="AZ409" s="442"/>
      <c r="BA409" s="442"/>
      <c r="BB409" s="440"/>
      <c r="BC409" s="440"/>
      <c r="BD409" s="440"/>
      <c r="BE409" s="384"/>
      <c r="BF409" s="439"/>
      <c r="BG409" s="255"/>
      <c r="BH409" s="442"/>
      <c r="BI409" s="442"/>
      <c r="BJ409" s="442"/>
      <c r="BK409" s="442"/>
      <c r="BL409" s="442"/>
      <c r="BM409" s="442"/>
      <c r="BN409" s="443"/>
      <c r="BO409" s="443"/>
    </row>
    <row r="410">
      <c r="A410" s="307"/>
      <c r="B410" s="444"/>
      <c r="C410" s="445"/>
      <c r="D410" s="446"/>
      <c r="E410" s="397"/>
      <c r="F410" s="397"/>
      <c r="G410" s="397"/>
      <c r="H410" s="398"/>
      <c r="I410" s="397"/>
      <c r="J410" s="398"/>
      <c r="K410" s="397"/>
      <c r="L410" s="398"/>
      <c r="M410" s="384"/>
      <c r="N410" s="439"/>
      <c r="O410" s="255"/>
      <c r="P410" s="440"/>
      <c r="Q410" s="441"/>
      <c r="R410" s="441"/>
      <c r="S410" s="441"/>
      <c r="T410" s="440"/>
      <c r="U410" s="440"/>
      <c r="V410" s="440"/>
      <c r="W410" s="440"/>
      <c r="X410" s="384"/>
      <c r="Y410" s="439"/>
      <c r="Z410" s="255"/>
      <c r="AA410" s="440"/>
      <c r="AB410" s="441"/>
      <c r="AC410" s="441"/>
      <c r="AD410" s="441"/>
      <c r="AE410" s="440"/>
      <c r="AF410" s="440"/>
      <c r="AG410" s="440"/>
      <c r="AH410" s="440"/>
      <c r="AI410" s="384"/>
      <c r="AJ410" s="439"/>
      <c r="AK410" s="255"/>
      <c r="AL410" s="440"/>
      <c r="AM410" s="441"/>
      <c r="AN410" s="441"/>
      <c r="AO410" s="441"/>
      <c r="AP410" s="440"/>
      <c r="AQ410" s="440"/>
      <c r="AR410" s="440"/>
      <c r="AS410" s="440"/>
      <c r="AT410" s="384"/>
      <c r="AU410" s="439"/>
      <c r="AV410" s="255"/>
      <c r="AW410" s="442"/>
      <c r="AX410" s="442"/>
      <c r="AY410" s="442"/>
      <c r="AZ410" s="442"/>
      <c r="BA410" s="442"/>
      <c r="BB410" s="440"/>
      <c r="BC410" s="440"/>
      <c r="BD410" s="440"/>
      <c r="BE410" s="384"/>
      <c r="BF410" s="439"/>
      <c r="BG410" s="255"/>
      <c r="BH410" s="442"/>
      <c r="BI410" s="442"/>
      <c r="BJ410" s="442"/>
      <c r="BK410" s="442"/>
      <c r="BL410" s="442"/>
      <c r="BM410" s="442"/>
      <c r="BN410" s="443"/>
      <c r="BO410" s="443"/>
    </row>
    <row r="411">
      <c r="A411" s="276"/>
      <c r="B411" s="447"/>
      <c r="C411" s="448"/>
      <c r="D411" s="449"/>
      <c r="E411" s="450"/>
      <c r="F411" s="451"/>
      <c r="G411" s="451"/>
      <c r="H411" s="451"/>
      <c r="I411" s="451"/>
      <c r="J411" s="451"/>
      <c r="K411" s="451"/>
      <c r="L411" s="452"/>
      <c r="M411" s="384"/>
      <c r="N411" s="439"/>
      <c r="O411" s="255"/>
      <c r="P411" s="440"/>
      <c r="Q411" s="441"/>
      <c r="R411" s="441"/>
      <c r="S411" s="441"/>
      <c r="T411" s="440"/>
      <c r="U411" s="440"/>
      <c r="V411" s="440"/>
      <c r="W411" s="440"/>
      <c r="X411" s="384"/>
      <c r="Y411" s="439"/>
      <c r="Z411" s="255"/>
      <c r="AA411" s="440"/>
      <c r="AB411" s="441"/>
      <c r="AC411" s="441"/>
      <c r="AD411" s="441"/>
      <c r="AE411" s="440"/>
      <c r="AF411" s="440"/>
      <c r="AG411" s="440"/>
      <c r="AH411" s="440"/>
      <c r="AI411" s="384"/>
      <c r="AJ411" s="439"/>
      <c r="AK411" s="255"/>
      <c r="AL411" s="440"/>
      <c r="AM411" s="441"/>
      <c r="AN411" s="441"/>
      <c r="AO411" s="441"/>
      <c r="AP411" s="440"/>
      <c r="AQ411" s="440"/>
      <c r="AR411" s="440"/>
      <c r="AS411" s="440"/>
      <c r="AT411" s="384"/>
      <c r="AU411" s="439"/>
      <c r="AV411" s="255"/>
      <c r="AW411" s="442"/>
      <c r="AX411" s="442"/>
      <c r="AY411" s="442"/>
      <c r="AZ411" s="442"/>
      <c r="BA411" s="442"/>
      <c r="BB411" s="440"/>
      <c r="BC411" s="440"/>
      <c r="BD411" s="440"/>
      <c r="BE411" s="384"/>
      <c r="BF411" s="439"/>
      <c r="BG411" s="255"/>
      <c r="BH411" s="442"/>
      <c r="BI411" s="442"/>
      <c r="BJ411" s="442"/>
      <c r="BK411" s="442"/>
      <c r="BL411" s="442"/>
      <c r="BM411" s="442"/>
      <c r="BN411" s="443"/>
      <c r="BO411" s="443"/>
    </row>
    <row r="412">
      <c r="A412" s="276"/>
      <c r="B412" s="447"/>
      <c r="C412" s="445"/>
      <c r="D412" s="453"/>
      <c r="E412" s="454"/>
      <c r="F412" s="454"/>
      <c r="G412" s="454"/>
      <c r="H412" s="455"/>
      <c r="I412" s="454"/>
      <c r="J412" s="455"/>
      <c r="K412" s="454"/>
      <c r="L412" s="455"/>
      <c r="M412" s="384"/>
      <c r="N412" s="439"/>
      <c r="O412" s="255"/>
      <c r="P412" s="440"/>
      <c r="Q412" s="441"/>
      <c r="R412" s="441"/>
      <c r="S412" s="441"/>
      <c r="T412" s="440"/>
      <c r="U412" s="440"/>
      <c r="V412" s="440"/>
      <c r="W412" s="440"/>
      <c r="X412" s="384"/>
      <c r="Y412" s="439"/>
      <c r="Z412" s="255"/>
      <c r="AA412" s="440"/>
      <c r="AB412" s="441"/>
      <c r="AC412" s="441"/>
      <c r="AD412" s="441"/>
      <c r="AE412" s="440"/>
      <c r="AF412" s="440"/>
      <c r="AG412" s="440"/>
      <c r="AH412" s="440"/>
      <c r="AI412" s="384"/>
      <c r="AJ412" s="439"/>
      <c r="AK412" s="255"/>
      <c r="AL412" s="440"/>
      <c r="AM412" s="441"/>
      <c r="AN412" s="441"/>
      <c r="AO412" s="441"/>
      <c r="AP412" s="440"/>
      <c r="AQ412" s="440"/>
      <c r="AR412" s="440"/>
      <c r="AS412" s="440"/>
      <c r="AT412" s="384"/>
      <c r="AU412" s="439"/>
      <c r="AV412" s="255"/>
      <c r="AW412" s="442"/>
      <c r="AX412" s="442"/>
      <c r="AY412" s="442"/>
      <c r="AZ412" s="442"/>
      <c r="BA412" s="442"/>
      <c r="BB412" s="440"/>
      <c r="BC412" s="440"/>
      <c r="BD412" s="440"/>
      <c r="BE412" s="384"/>
      <c r="BF412" s="439"/>
      <c r="BG412" s="255"/>
      <c r="BH412" s="442"/>
      <c r="BI412" s="442"/>
      <c r="BJ412" s="442"/>
      <c r="BK412" s="442"/>
      <c r="BL412" s="442"/>
      <c r="BM412" s="442"/>
      <c r="BN412" s="443"/>
      <c r="BO412" s="443"/>
    </row>
    <row r="413">
      <c r="A413" s="456"/>
      <c r="B413" s="447"/>
      <c r="C413" s="448"/>
      <c r="D413" s="449"/>
      <c r="E413" s="411"/>
      <c r="F413" s="412"/>
      <c r="G413" s="412"/>
      <c r="H413" s="412"/>
      <c r="I413" s="412"/>
      <c r="J413" s="412"/>
      <c r="K413" s="412"/>
      <c r="L413" s="413"/>
      <c r="M413" s="384"/>
      <c r="N413" s="439"/>
      <c r="O413" s="255"/>
      <c r="P413" s="440"/>
      <c r="Q413" s="441"/>
      <c r="R413" s="441"/>
      <c r="S413" s="441"/>
      <c r="T413" s="440"/>
      <c r="U413" s="440"/>
      <c r="V413" s="440"/>
      <c r="W413" s="440"/>
      <c r="X413" s="384"/>
      <c r="Y413" s="439"/>
      <c r="Z413" s="255"/>
      <c r="AA413" s="440"/>
      <c r="AB413" s="441"/>
      <c r="AC413" s="441"/>
      <c r="AD413" s="441"/>
      <c r="AE413" s="440"/>
      <c r="AF413" s="440"/>
      <c r="AG413" s="440"/>
      <c r="AH413" s="440"/>
      <c r="AI413" s="384"/>
      <c r="AJ413" s="439"/>
      <c r="AK413" s="255"/>
      <c r="AL413" s="440"/>
      <c r="AM413" s="441"/>
      <c r="AN413" s="441"/>
      <c r="AO413" s="441"/>
      <c r="AP413" s="440"/>
      <c r="AQ413" s="440"/>
      <c r="AR413" s="440"/>
      <c r="AS413" s="440"/>
      <c r="AT413" s="384"/>
      <c r="AU413" s="439"/>
      <c r="AV413" s="255"/>
      <c r="AW413" s="442"/>
      <c r="AX413" s="442"/>
      <c r="AY413" s="442"/>
      <c r="AZ413" s="442"/>
      <c r="BA413" s="442"/>
      <c r="BB413" s="440"/>
      <c r="BC413" s="440"/>
      <c r="BD413" s="440"/>
      <c r="BE413" s="384"/>
      <c r="BF413" s="439"/>
      <c r="BG413" s="255"/>
      <c r="BH413" s="442"/>
      <c r="BI413" s="442"/>
      <c r="BJ413" s="442"/>
      <c r="BK413" s="442"/>
      <c r="BL413" s="442"/>
      <c r="BM413" s="442"/>
      <c r="BN413" s="443"/>
      <c r="BO413" s="443"/>
    </row>
    <row r="414">
      <c r="A414" s="456"/>
      <c r="B414" s="447"/>
      <c r="C414" s="445"/>
      <c r="D414" s="453"/>
      <c r="E414" s="407"/>
      <c r="F414" s="407"/>
      <c r="G414" s="407"/>
      <c r="H414" s="408"/>
      <c r="I414" s="407"/>
      <c r="J414" s="408"/>
      <c r="K414" s="407"/>
      <c r="L414" s="408"/>
      <c r="M414" s="384"/>
      <c r="N414" s="439"/>
      <c r="O414" s="255"/>
      <c r="P414" s="440"/>
      <c r="Q414" s="441"/>
      <c r="R414" s="441"/>
      <c r="S414" s="441"/>
      <c r="T414" s="440"/>
      <c r="U414" s="440"/>
      <c r="V414" s="440"/>
      <c r="W414" s="440"/>
      <c r="X414" s="384"/>
      <c r="Y414" s="439"/>
      <c r="Z414" s="255"/>
      <c r="AA414" s="440"/>
      <c r="AB414" s="441"/>
      <c r="AC414" s="441"/>
      <c r="AD414" s="441"/>
      <c r="AE414" s="440"/>
      <c r="AF414" s="440"/>
      <c r="AG414" s="440"/>
      <c r="AH414" s="440"/>
      <c r="AI414" s="384"/>
      <c r="AJ414" s="439"/>
      <c r="AK414" s="255"/>
      <c r="AL414" s="440"/>
      <c r="AM414" s="441"/>
      <c r="AN414" s="441"/>
      <c r="AO414" s="441"/>
      <c r="AP414" s="440"/>
      <c r="AQ414" s="440"/>
      <c r="AR414" s="440"/>
      <c r="AS414" s="440"/>
      <c r="AT414" s="384"/>
      <c r="AU414" s="439"/>
      <c r="AV414" s="255"/>
      <c r="AW414" s="442"/>
      <c r="AX414" s="442"/>
      <c r="AY414" s="442"/>
      <c r="AZ414" s="442"/>
      <c r="BA414" s="442"/>
      <c r="BB414" s="440"/>
      <c r="BC414" s="440"/>
      <c r="BD414" s="440"/>
      <c r="BE414" s="384"/>
      <c r="BF414" s="439"/>
      <c r="BG414" s="255"/>
      <c r="BH414" s="442"/>
      <c r="BI414" s="442"/>
      <c r="BJ414" s="442"/>
      <c r="BK414" s="442"/>
      <c r="BL414" s="442"/>
      <c r="BM414" s="442"/>
      <c r="BN414" s="443"/>
      <c r="BO414" s="443"/>
    </row>
    <row r="415">
      <c r="A415" s="456"/>
      <c r="B415" s="447"/>
      <c r="C415" s="448"/>
      <c r="D415" s="449"/>
      <c r="E415" s="411"/>
      <c r="F415" s="412"/>
      <c r="G415" s="412"/>
      <c r="H415" s="412"/>
      <c r="I415" s="412"/>
      <c r="J415" s="412"/>
      <c r="K415" s="412"/>
      <c r="L415" s="413"/>
      <c r="M415" s="384"/>
      <c r="N415" s="439"/>
      <c r="O415" s="255"/>
      <c r="P415" s="440"/>
      <c r="Q415" s="441"/>
      <c r="R415" s="441"/>
      <c r="S415" s="441"/>
      <c r="T415" s="440"/>
      <c r="U415" s="440"/>
      <c r="V415" s="440"/>
      <c r="W415" s="440"/>
      <c r="X415" s="384"/>
      <c r="Y415" s="439"/>
      <c r="Z415" s="255"/>
      <c r="AA415" s="440"/>
      <c r="AB415" s="441"/>
      <c r="AC415" s="441"/>
      <c r="AD415" s="441"/>
      <c r="AE415" s="440"/>
      <c r="AF415" s="440"/>
      <c r="AG415" s="440"/>
      <c r="AH415" s="440"/>
      <c r="AI415" s="384"/>
      <c r="AJ415" s="439"/>
      <c r="AK415" s="255"/>
      <c r="AL415" s="440"/>
      <c r="AM415" s="441"/>
      <c r="AN415" s="441"/>
      <c r="AO415" s="441"/>
      <c r="AP415" s="440"/>
      <c r="AQ415" s="440"/>
      <c r="AR415" s="440"/>
      <c r="AS415" s="440"/>
      <c r="AT415" s="384"/>
      <c r="AU415" s="439"/>
      <c r="AV415" s="255"/>
      <c r="AW415" s="442"/>
      <c r="AX415" s="442"/>
      <c r="AY415" s="442"/>
      <c r="AZ415" s="442"/>
      <c r="BA415" s="442"/>
      <c r="BB415" s="440"/>
      <c r="BC415" s="440"/>
      <c r="BD415" s="440"/>
      <c r="BE415" s="384"/>
      <c r="BF415" s="439"/>
      <c r="BG415" s="255"/>
      <c r="BH415" s="442"/>
      <c r="BI415" s="442"/>
      <c r="BJ415" s="442"/>
      <c r="BK415" s="442"/>
      <c r="BL415" s="442"/>
      <c r="BM415" s="442"/>
      <c r="BN415" s="443"/>
      <c r="BO415" s="443"/>
    </row>
    <row r="416">
      <c r="A416" s="456"/>
      <c r="B416" s="447"/>
      <c r="C416" s="445"/>
      <c r="D416" s="453"/>
      <c r="E416" s="417"/>
      <c r="F416" s="417"/>
      <c r="G416" s="417"/>
      <c r="H416" s="418"/>
      <c r="I416" s="417"/>
      <c r="J416" s="418"/>
      <c r="K416" s="417"/>
      <c r="L416" s="418"/>
      <c r="M416" s="384"/>
      <c r="N416" s="439"/>
      <c r="O416" s="255"/>
      <c r="P416" s="440"/>
      <c r="Q416" s="441"/>
      <c r="R416" s="441"/>
      <c r="S416" s="441"/>
      <c r="T416" s="440"/>
      <c r="U416" s="440"/>
      <c r="V416" s="440"/>
      <c r="W416" s="440"/>
      <c r="X416" s="384"/>
      <c r="Y416" s="439"/>
      <c r="Z416" s="255"/>
      <c r="AA416" s="440"/>
      <c r="AB416" s="441"/>
      <c r="AC416" s="441"/>
      <c r="AD416" s="441"/>
      <c r="AE416" s="440"/>
      <c r="AF416" s="440"/>
      <c r="AG416" s="440"/>
      <c r="AH416" s="440"/>
      <c r="AI416" s="384"/>
      <c r="AJ416" s="439"/>
      <c r="AK416" s="255"/>
      <c r="AL416" s="440"/>
      <c r="AM416" s="441"/>
      <c r="AN416" s="441"/>
      <c r="AO416" s="441"/>
      <c r="AP416" s="440"/>
      <c r="AQ416" s="440"/>
      <c r="AR416" s="440"/>
      <c r="AS416" s="440"/>
      <c r="AT416" s="384"/>
      <c r="AU416" s="439"/>
      <c r="AV416" s="255"/>
      <c r="AW416" s="442"/>
      <c r="AX416" s="442"/>
      <c r="AY416" s="442"/>
      <c r="AZ416" s="442"/>
      <c r="BA416" s="442"/>
      <c r="BB416" s="440"/>
      <c r="BC416" s="440"/>
      <c r="BD416" s="440"/>
      <c r="BE416" s="384"/>
      <c r="BF416" s="439"/>
      <c r="BG416" s="255"/>
      <c r="BH416" s="442"/>
      <c r="BI416" s="442"/>
      <c r="BJ416" s="442"/>
      <c r="BK416" s="442"/>
      <c r="BL416" s="442"/>
      <c r="BM416" s="442"/>
      <c r="BN416" s="443"/>
      <c r="BO416" s="443"/>
    </row>
    <row r="417">
      <c r="A417" s="444"/>
      <c r="B417" s="447"/>
      <c r="C417" s="448"/>
      <c r="D417" s="449"/>
      <c r="E417" s="427"/>
      <c r="F417" s="427"/>
      <c r="G417" s="427"/>
      <c r="H417" s="427"/>
      <c r="I417" s="427"/>
      <c r="J417" s="427"/>
      <c r="K417" s="427"/>
      <c r="L417" s="429"/>
      <c r="M417" s="384"/>
      <c r="N417" s="439"/>
      <c r="O417" s="255"/>
      <c r="P417" s="440"/>
      <c r="Q417" s="441"/>
      <c r="R417" s="441"/>
      <c r="S417" s="441"/>
      <c r="T417" s="440"/>
      <c r="U417" s="440"/>
      <c r="V417" s="440"/>
      <c r="W417" s="440"/>
      <c r="X417" s="384"/>
      <c r="Y417" s="439"/>
      <c r="Z417" s="255"/>
      <c r="AA417" s="440"/>
      <c r="AB417" s="441"/>
      <c r="AC417" s="441"/>
      <c r="AD417" s="441"/>
      <c r="AE417" s="440"/>
      <c r="AF417" s="440"/>
      <c r="AG417" s="440"/>
      <c r="AH417" s="440"/>
      <c r="AI417" s="384"/>
      <c r="AJ417" s="439"/>
      <c r="AK417" s="255"/>
      <c r="AL417" s="440"/>
      <c r="AM417" s="441"/>
      <c r="AN417" s="441"/>
      <c r="AO417" s="441"/>
      <c r="AP417" s="440"/>
      <c r="AQ417" s="440"/>
      <c r="AR417" s="440"/>
      <c r="AS417" s="440"/>
      <c r="AT417" s="384"/>
      <c r="AU417" s="439"/>
      <c r="AV417" s="255"/>
      <c r="AW417" s="442"/>
      <c r="AX417" s="442"/>
      <c r="AY417" s="442"/>
      <c r="AZ417" s="442"/>
      <c r="BA417" s="442"/>
      <c r="BB417" s="440"/>
      <c r="BC417" s="440"/>
      <c r="BD417" s="440"/>
      <c r="BE417" s="384"/>
      <c r="BF417" s="439"/>
      <c r="BG417" s="255"/>
      <c r="BH417" s="442"/>
      <c r="BI417" s="442"/>
      <c r="BJ417" s="442"/>
      <c r="BK417" s="442"/>
      <c r="BL417" s="442"/>
      <c r="BM417" s="442"/>
      <c r="BN417" s="443"/>
      <c r="BO417" s="443"/>
    </row>
    <row r="418">
      <c r="A418" s="320"/>
      <c r="B418" s="444"/>
      <c r="C418" s="457"/>
      <c r="D418" s="458"/>
      <c r="E418" s="304"/>
      <c r="F418" s="304"/>
      <c r="G418" s="304"/>
      <c r="H418" s="304"/>
      <c r="I418" s="304"/>
      <c r="J418" s="304"/>
      <c r="K418" s="304"/>
      <c r="L418" s="304"/>
      <c r="M418" s="384"/>
      <c r="N418" s="439"/>
      <c r="O418" s="255"/>
      <c r="P418" s="440"/>
      <c r="Q418" s="441"/>
      <c r="R418" s="441"/>
      <c r="S418" s="441"/>
      <c r="T418" s="440"/>
      <c r="U418" s="440"/>
      <c r="V418" s="440"/>
      <c r="W418" s="440"/>
      <c r="X418" s="384"/>
      <c r="Y418" s="439"/>
      <c r="Z418" s="255"/>
      <c r="AA418" s="440"/>
      <c r="AB418" s="441"/>
      <c r="AC418" s="441"/>
      <c r="AD418" s="441"/>
      <c r="AE418" s="440"/>
      <c r="AF418" s="440"/>
      <c r="AG418" s="440"/>
      <c r="AH418" s="440"/>
      <c r="AI418" s="384"/>
      <c r="AJ418" s="439"/>
      <c r="AK418" s="255"/>
      <c r="AL418" s="440"/>
      <c r="AM418" s="441"/>
      <c r="AN418" s="441"/>
      <c r="AO418" s="441"/>
      <c r="AP418" s="440"/>
      <c r="AQ418" s="440"/>
      <c r="AR418" s="440"/>
      <c r="AS418" s="440"/>
      <c r="AT418" s="384"/>
      <c r="AU418" s="439"/>
      <c r="AV418" s="255"/>
      <c r="AW418" s="442"/>
      <c r="AX418" s="442"/>
      <c r="AY418" s="442"/>
      <c r="AZ418" s="442"/>
      <c r="BA418" s="442"/>
      <c r="BB418" s="440"/>
      <c r="BC418" s="440"/>
      <c r="BD418" s="440"/>
      <c r="BE418" s="384"/>
      <c r="BF418" s="439"/>
      <c r="BG418" s="255"/>
      <c r="BH418" s="442"/>
      <c r="BI418" s="442"/>
      <c r="BJ418" s="442"/>
      <c r="BK418" s="442"/>
      <c r="BL418" s="442"/>
      <c r="BM418" s="442"/>
      <c r="BN418" s="443"/>
      <c r="BO418" s="443"/>
    </row>
    <row r="419">
      <c r="A419" s="306"/>
      <c r="B419" s="436"/>
      <c r="C419" s="437"/>
      <c r="D419" s="374"/>
      <c r="E419" s="459"/>
      <c r="F419" s="460"/>
      <c r="G419" s="460"/>
      <c r="H419" s="460"/>
      <c r="I419" s="460"/>
      <c r="J419" s="460"/>
      <c r="K419" s="460"/>
      <c r="L419" s="461"/>
      <c r="M419" s="384"/>
      <c r="N419" s="439"/>
      <c r="O419" s="255"/>
      <c r="P419" s="440"/>
      <c r="Q419" s="441"/>
      <c r="R419" s="441"/>
      <c r="S419" s="441"/>
      <c r="T419" s="440"/>
      <c r="U419" s="440"/>
      <c r="V419" s="440"/>
      <c r="W419" s="440"/>
      <c r="X419" s="384"/>
      <c r="Y419" s="439"/>
      <c r="Z419" s="255"/>
      <c r="AA419" s="440"/>
      <c r="AB419" s="441"/>
      <c r="AC419" s="441"/>
      <c r="AD419" s="441"/>
      <c r="AE419" s="440"/>
      <c r="AF419" s="440"/>
      <c r="AG419" s="440"/>
      <c r="AH419" s="440"/>
      <c r="AI419" s="384"/>
      <c r="AJ419" s="439"/>
      <c r="AK419" s="255"/>
      <c r="AL419" s="440"/>
      <c r="AM419" s="441"/>
      <c r="AN419" s="441"/>
      <c r="AO419" s="441"/>
      <c r="AP419" s="440"/>
      <c r="AQ419" s="440"/>
      <c r="AR419" s="440"/>
      <c r="AS419" s="440"/>
      <c r="AT419" s="384"/>
      <c r="AU419" s="439"/>
      <c r="AV419" s="255"/>
      <c r="AW419" s="442"/>
      <c r="AX419" s="442"/>
      <c r="AY419" s="442"/>
      <c r="AZ419" s="442"/>
      <c r="BA419" s="442"/>
      <c r="BB419" s="440"/>
      <c r="BC419" s="440"/>
      <c r="BD419" s="440"/>
      <c r="BE419" s="384"/>
      <c r="BF419" s="439"/>
      <c r="BG419" s="255"/>
      <c r="BH419" s="442"/>
      <c r="BI419" s="442"/>
      <c r="BJ419" s="442"/>
      <c r="BK419" s="442"/>
      <c r="BL419" s="442"/>
      <c r="BM419" s="442"/>
      <c r="BN419" s="443"/>
      <c r="BO419" s="443"/>
    </row>
    <row r="420">
      <c r="A420" s="307"/>
      <c r="B420" s="444"/>
      <c r="C420" s="448"/>
      <c r="D420" s="462"/>
      <c r="E420" s="463"/>
      <c r="F420" s="463"/>
      <c r="G420" s="463"/>
      <c r="H420" s="463"/>
      <c r="I420" s="463"/>
      <c r="J420" s="463"/>
      <c r="K420" s="463"/>
      <c r="L420" s="464"/>
      <c r="M420" s="384"/>
      <c r="N420" s="439"/>
      <c r="O420" s="255"/>
      <c r="P420" s="440"/>
      <c r="Q420" s="441"/>
      <c r="R420" s="441"/>
      <c r="S420" s="441"/>
      <c r="T420" s="440"/>
      <c r="U420" s="440"/>
      <c r="V420" s="440"/>
      <c r="W420" s="440"/>
      <c r="X420" s="384"/>
      <c r="Y420" s="439"/>
      <c r="Z420" s="255"/>
      <c r="AA420" s="440"/>
      <c r="AB420" s="441"/>
      <c r="AC420" s="441"/>
      <c r="AD420" s="441"/>
      <c r="AE420" s="440"/>
      <c r="AF420" s="440"/>
      <c r="AG420" s="440"/>
      <c r="AH420" s="440"/>
      <c r="AI420" s="384"/>
      <c r="AJ420" s="439"/>
      <c r="AK420" s="255"/>
      <c r="AL420" s="440"/>
      <c r="AM420" s="441"/>
      <c r="AN420" s="441"/>
      <c r="AO420" s="441"/>
      <c r="AP420" s="440"/>
      <c r="AQ420" s="440"/>
      <c r="AR420" s="440"/>
      <c r="AS420" s="440"/>
      <c r="AT420" s="384"/>
      <c r="AU420" s="439"/>
      <c r="AV420" s="255"/>
      <c r="AW420" s="442"/>
      <c r="AX420" s="442"/>
      <c r="AY420" s="442"/>
      <c r="AZ420" s="442"/>
      <c r="BA420" s="442"/>
      <c r="BB420" s="440"/>
      <c r="BC420" s="440"/>
      <c r="BD420" s="440"/>
      <c r="BE420" s="384"/>
      <c r="BF420" s="439"/>
      <c r="BG420" s="255"/>
      <c r="BH420" s="442"/>
      <c r="BI420" s="442"/>
      <c r="BJ420" s="442"/>
      <c r="BK420" s="442"/>
      <c r="BL420" s="442"/>
      <c r="BM420" s="442"/>
      <c r="BN420" s="443"/>
      <c r="BO420" s="443"/>
    </row>
    <row r="421">
      <c r="A421" s="320"/>
      <c r="B421" s="444"/>
      <c r="C421" s="448"/>
      <c r="D421" s="462"/>
      <c r="E421" s="463"/>
      <c r="F421" s="463"/>
      <c r="G421" s="463"/>
      <c r="H421" s="463"/>
      <c r="I421" s="463"/>
      <c r="J421" s="463"/>
      <c r="K421" s="463"/>
      <c r="L421" s="464"/>
      <c r="M421" s="384"/>
      <c r="N421" s="439"/>
      <c r="O421" s="255"/>
      <c r="P421" s="440"/>
      <c r="Q421" s="441"/>
      <c r="R421" s="441"/>
      <c r="S421" s="441"/>
      <c r="T421" s="440"/>
      <c r="U421" s="440"/>
      <c r="V421" s="440"/>
      <c r="W421" s="440"/>
      <c r="X421" s="384"/>
      <c r="Y421" s="439"/>
      <c r="Z421" s="255"/>
      <c r="AA421" s="440"/>
      <c r="AB421" s="441"/>
      <c r="AC421" s="441"/>
      <c r="AD421" s="441"/>
      <c r="AE421" s="440"/>
      <c r="AF421" s="440"/>
      <c r="AG421" s="440"/>
      <c r="AH421" s="440"/>
      <c r="AI421" s="384"/>
      <c r="AJ421" s="439"/>
      <c r="AK421" s="255"/>
      <c r="AL421" s="440"/>
      <c r="AM421" s="441"/>
      <c r="AN421" s="441"/>
      <c r="AO421" s="441"/>
      <c r="AP421" s="440"/>
      <c r="AQ421" s="440"/>
      <c r="AR421" s="440"/>
      <c r="AS421" s="440"/>
      <c r="AT421" s="384"/>
      <c r="AU421" s="439"/>
      <c r="AV421" s="255"/>
      <c r="AW421" s="442"/>
      <c r="AX421" s="442"/>
      <c r="AY421" s="442"/>
      <c r="AZ421" s="442"/>
      <c r="BA421" s="442"/>
      <c r="BB421" s="440"/>
      <c r="BC421" s="440"/>
      <c r="BD421" s="440"/>
      <c r="BE421" s="384"/>
      <c r="BF421" s="439"/>
      <c r="BG421" s="255"/>
      <c r="BH421" s="442"/>
      <c r="BI421" s="442"/>
      <c r="BJ421" s="442"/>
      <c r="BK421" s="442"/>
      <c r="BL421" s="442"/>
      <c r="BM421" s="442"/>
      <c r="BN421" s="443"/>
      <c r="BO421" s="443"/>
    </row>
    <row r="422">
      <c r="A422" s="320"/>
      <c r="B422" s="444"/>
      <c r="C422" s="448"/>
      <c r="D422" s="462"/>
      <c r="E422" s="463"/>
      <c r="F422" s="463"/>
      <c r="G422" s="463"/>
      <c r="H422" s="463"/>
      <c r="I422" s="463"/>
      <c r="J422" s="463"/>
      <c r="K422" s="463"/>
      <c r="L422" s="464"/>
      <c r="M422" s="384"/>
      <c r="N422" s="439"/>
      <c r="O422" s="255"/>
      <c r="P422" s="440"/>
      <c r="Q422" s="441"/>
      <c r="R422" s="441"/>
      <c r="S422" s="441"/>
      <c r="T422" s="440"/>
      <c r="U422" s="440"/>
      <c r="V422" s="440"/>
      <c r="W422" s="440"/>
      <c r="X422" s="384"/>
      <c r="Y422" s="439"/>
      <c r="Z422" s="255"/>
      <c r="AA422" s="440"/>
      <c r="AB422" s="441"/>
      <c r="AC422" s="441"/>
      <c r="AD422" s="441"/>
      <c r="AE422" s="440"/>
      <c r="AF422" s="440"/>
      <c r="AG422" s="440"/>
      <c r="AH422" s="440"/>
      <c r="AI422" s="384"/>
      <c r="AJ422" s="439"/>
      <c r="AK422" s="255"/>
      <c r="AL422" s="440"/>
      <c r="AM422" s="441"/>
      <c r="AN422" s="441"/>
      <c r="AO422" s="441"/>
      <c r="AP422" s="440"/>
      <c r="AQ422" s="440"/>
      <c r="AR422" s="440"/>
      <c r="AS422" s="440"/>
      <c r="AT422" s="384"/>
      <c r="AU422" s="439"/>
      <c r="AV422" s="255"/>
      <c r="AW422" s="442"/>
      <c r="AX422" s="442"/>
      <c r="AY422" s="442"/>
      <c r="AZ422" s="442"/>
      <c r="BA422" s="442"/>
      <c r="BB422" s="440"/>
      <c r="BC422" s="440"/>
      <c r="BD422" s="440"/>
      <c r="BE422" s="384"/>
      <c r="BF422" s="439"/>
      <c r="BG422" s="255"/>
      <c r="BH422" s="442"/>
      <c r="BI422" s="442"/>
      <c r="BJ422" s="442"/>
      <c r="BK422" s="442"/>
      <c r="BL422" s="442"/>
      <c r="BM422" s="442"/>
      <c r="BN422" s="443"/>
      <c r="BO422" s="443"/>
    </row>
    <row r="423">
      <c r="A423" s="465"/>
      <c r="B423" s="466"/>
      <c r="C423" s="467"/>
      <c r="D423" s="462"/>
      <c r="E423" s="468"/>
      <c r="F423" s="468"/>
      <c r="G423" s="468"/>
      <c r="H423" s="468"/>
      <c r="I423" s="468"/>
      <c r="J423" s="468"/>
      <c r="K423" s="468"/>
      <c r="L423" s="469"/>
      <c r="M423" s="384"/>
      <c r="N423" s="439"/>
      <c r="O423" s="255"/>
      <c r="P423" s="440"/>
      <c r="Q423" s="441"/>
      <c r="R423" s="441"/>
      <c r="S423" s="441"/>
      <c r="T423" s="440"/>
      <c r="U423" s="440"/>
      <c r="V423" s="440"/>
      <c r="W423" s="440"/>
      <c r="X423" s="384"/>
      <c r="Y423" s="439"/>
      <c r="Z423" s="255"/>
      <c r="AA423" s="440"/>
      <c r="AB423" s="441"/>
      <c r="AC423" s="441"/>
      <c r="AD423" s="441"/>
      <c r="AE423" s="440"/>
      <c r="AF423" s="440"/>
      <c r="AG423" s="440"/>
      <c r="AH423" s="440"/>
      <c r="AI423" s="384"/>
      <c r="AJ423" s="439"/>
      <c r="AK423" s="255"/>
      <c r="AL423" s="440"/>
      <c r="AM423" s="441"/>
      <c r="AN423" s="441"/>
      <c r="AO423" s="441"/>
      <c r="AP423" s="440"/>
      <c r="AQ423" s="440"/>
      <c r="AR423" s="440"/>
      <c r="AS423" s="440"/>
      <c r="AT423" s="384"/>
      <c r="AU423" s="439"/>
      <c r="AV423" s="255"/>
      <c r="AW423" s="442"/>
      <c r="AX423" s="442"/>
      <c r="AY423" s="442"/>
      <c r="AZ423" s="442"/>
      <c r="BA423" s="442"/>
      <c r="BB423" s="440"/>
      <c r="BC423" s="440"/>
      <c r="BD423" s="440"/>
      <c r="BE423" s="384"/>
      <c r="BF423" s="439"/>
      <c r="BG423" s="255"/>
      <c r="BH423" s="442"/>
      <c r="BI423" s="442"/>
      <c r="BJ423" s="442"/>
      <c r="BK423" s="442"/>
      <c r="BL423" s="442"/>
      <c r="BM423" s="442"/>
      <c r="BN423" s="443"/>
      <c r="BO423" s="443"/>
    </row>
    <row r="424">
      <c r="A424" s="434"/>
      <c r="B424" s="384"/>
      <c r="C424" s="439"/>
      <c r="D424" s="255"/>
      <c r="E424" s="439"/>
      <c r="F424" s="439"/>
      <c r="G424" s="439"/>
      <c r="H424" s="439"/>
      <c r="I424" s="439"/>
      <c r="J424" s="439"/>
      <c r="K424" s="443"/>
      <c r="L424" s="443"/>
      <c r="M424" s="384"/>
      <c r="N424" s="439"/>
      <c r="O424" s="255"/>
      <c r="P424" s="440"/>
      <c r="Q424" s="441"/>
      <c r="R424" s="441"/>
      <c r="S424" s="441"/>
      <c r="T424" s="440"/>
      <c r="U424" s="440"/>
      <c r="V424" s="440"/>
      <c r="W424" s="440"/>
      <c r="X424" s="384"/>
      <c r="Y424" s="439"/>
      <c r="Z424" s="255"/>
      <c r="AA424" s="440"/>
      <c r="AB424" s="441"/>
      <c r="AC424" s="441"/>
      <c r="AD424" s="441"/>
      <c r="AE424" s="440"/>
      <c r="AF424" s="440"/>
      <c r="AG424" s="440"/>
      <c r="AH424" s="440"/>
      <c r="AI424" s="384"/>
      <c r="AJ424" s="439"/>
      <c r="AK424" s="255"/>
      <c r="AL424" s="440"/>
      <c r="AM424" s="441"/>
      <c r="AN424" s="441"/>
      <c r="AO424" s="441"/>
      <c r="AP424" s="440"/>
      <c r="AQ424" s="440"/>
      <c r="AR424" s="440"/>
      <c r="AS424" s="440"/>
      <c r="AT424" s="384"/>
      <c r="AU424" s="439"/>
      <c r="AV424" s="255"/>
      <c r="AW424" s="442"/>
      <c r="AX424" s="442"/>
      <c r="AY424" s="442"/>
      <c r="AZ424" s="442"/>
      <c r="BA424" s="442"/>
      <c r="BB424" s="440"/>
      <c r="BC424" s="440"/>
      <c r="BD424" s="440"/>
      <c r="BE424" s="384"/>
      <c r="BF424" s="439"/>
      <c r="BG424" s="255"/>
      <c r="BH424" s="442"/>
      <c r="BI424" s="442"/>
      <c r="BJ424" s="442"/>
      <c r="BK424" s="442"/>
      <c r="BL424" s="442"/>
      <c r="BM424" s="442"/>
      <c r="BN424" s="443"/>
      <c r="BO424" s="443"/>
    </row>
    <row r="425">
      <c r="A425" s="434"/>
      <c r="B425" s="384"/>
      <c r="C425" s="439"/>
      <c r="D425" s="255"/>
      <c r="E425" s="439"/>
      <c r="F425" s="439"/>
      <c r="G425" s="439"/>
      <c r="H425" s="439"/>
      <c r="I425" s="439"/>
      <c r="J425" s="439"/>
      <c r="K425" s="443"/>
      <c r="L425" s="443"/>
      <c r="M425" s="384"/>
      <c r="N425" s="439"/>
      <c r="O425" s="255"/>
      <c r="P425" s="440"/>
      <c r="Q425" s="441"/>
      <c r="R425" s="441"/>
      <c r="S425" s="441"/>
      <c r="T425" s="440"/>
      <c r="U425" s="440"/>
      <c r="V425" s="440"/>
      <c r="W425" s="440"/>
      <c r="X425" s="384"/>
      <c r="Y425" s="439"/>
      <c r="Z425" s="255"/>
      <c r="AA425" s="440"/>
      <c r="AB425" s="441"/>
      <c r="AC425" s="441"/>
      <c r="AD425" s="441"/>
      <c r="AE425" s="440"/>
      <c r="AF425" s="440"/>
      <c r="AG425" s="440"/>
      <c r="AH425" s="440"/>
      <c r="AI425" s="384"/>
      <c r="AJ425" s="439"/>
      <c r="AK425" s="255"/>
      <c r="AL425" s="440"/>
      <c r="AM425" s="441"/>
      <c r="AN425" s="441"/>
      <c r="AO425" s="441"/>
      <c r="AP425" s="440"/>
      <c r="AQ425" s="440"/>
      <c r="AR425" s="440"/>
      <c r="AS425" s="440"/>
      <c r="AT425" s="384"/>
      <c r="AU425" s="439"/>
      <c r="AV425" s="255"/>
      <c r="AW425" s="442"/>
      <c r="AX425" s="442"/>
      <c r="AY425" s="442"/>
      <c r="AZ425" s="442"/>
      <c r="BA425" s="442"/>
      <c r="BB425" s="440"/>
      <c r="BC425" s="440"/>
      <c r="BD425" s="440"/>
      <c r="BE425" s="384"/>
      <c r="BF425" s="439"/>
      <c r="BG425" s="255"/>
      <c r="BH425" s="442"/>
      <c r="BI425" s="442"/>
      <c r="BJ425" s="442"/>
      <c r="BK425" s="442"/>
      <c r="BL425" s="442"/>
      <c r="BM425" s="442"/>
      <c r="BN425" s="443"/>
      <c r="BO425" s="443"/>
    </row>
    <row r="426">
      <c r="A426" s="434"/>
      <c r="B426" s="384"/>
      <c r="C426" s="439"/>
      <c r="D426" s="255"/>
      <c r="E426" s="439"/>
      <c r="F426" s="439"/>
      <c r="G426" s="439"/>
      <c r="H426" s="439"/>
      <c r="I426" s="439"/>
      <c r="J426" s="439"/>
      <c r="K426" s="443"/>
      <c r="L426" s="443"/>
      <c r="M426" s="384"/>
      <c r="N426" s="439"/>
      <c r="O426" s="255"/>
      <c r="P426" s="440"/>
      <c r="Q426" s="441"/>
      <c r="R426" s="441"/>
      <c r="S426" s="441"/>
      <c r="T426" s="440"/>
      <c r="U426" s="440"/>
      <c r="V426" s="440"/>
      <c r="W426" s="440"/>
      <c r="X426" s="384"/>
      <c r="Y426" s="439"/>
      <c r="Z426" s="255"/>
      <c r="AA426" s="440"/>
      <c r="AB426" s="441"/>
      <c r="AC426" s="441"/>
      <c r="AD426" s="441"/>
      <c r="AE426" s="440"/>
      <c r="AF426" s="440"/>
      <c r="AG426" s="440"/>
      <c r="AH426" s="440"/>
      <c r="AI426" s="384"/>
      <c r="AJ426" s="439"/>
      <c r="AK426" s="255"/>
      <c r="AL426" s="440"/>
      <c r="AM426" s="441"/>
      <c r="AN426" s="441"/>
      <c r="AO426" s="441"/>
      <c r="AP426" s="440"/>
      <c r="AQ426" s="440"/>
      <c r="AR426" s="440"/>
      <c r="AS426" s="440"/>
      <c r="AT426" s="384"/>
      <c r="AU426" s="439"/>
      <c r="AV426" s="255"/>
      <c r="AW426" s="442"/>
      <c r="AX426" s="442"/>
      <c r="AY426" s="442"/>
      <c r="AZ426" s="442"/>
      <c r="BA426" s="442"/>
      <c r="BB426" s="440"/>
      <c r="BC426" s="440"/>
      <c r="BD426" s="440"/>
      <c r="BE426" s="384"/>
      <c r="BF426" s="439"/>
      <c r="BG426" s="255"/>
      <c r="BH426" s="442"/>
      <c r="BI426" s="442"/>
      <c r="BJ426" s="442"/>
      <c r="BK426" s="442"/>
      <c r="BL426" s="442"/>
      <c r="BM426" s="442"/>
      <c r="BN426" s="443"/>
      <c r="BO426" s="443"/>
    </row>
    <row r="427">
      <c r="A427" s="434"/>
      <c r="B427" s="384"/>
      <c r="C427" s="439"/>
      <c r="D427" s="255"/>
      <c r="E427" s="439"/>
      <c r="F427" s="439"/>
      <c r="G427" s="439"/>
      <c r="H427" s="439"/>
      <c r="I427" s="439"/>
      <c r="J427" s="439"/>
      <c r="K427" s="443"/>
      <c r="L427" s="443"/>
      <c r="M427" s="384"/>
      <c r="N427" s="439"/>
      <c r="O427" s="255"/>
      <c r="P427" s="440"/>
      <c r="Q427" s="441"/>
      <c r="R427" s="441"/>
      <c r="S427" s="441"/>
      <c r="T427" s="440"/>
      <c r="U427" s="440"/>
      <c r="V427" s="440"/>
      <c r="W427" s="440"/>
      <c r="X427" s="384"/>
      <c r="Y427" s="439"/>
      <c r="Z427" s="255"/>
      <c r="AA427" s="440"/>
      <c r="AB427" s="441"/>
      <c r="AC427" s="441"/>
      <c r="AD427" s="441"/>
      <c r="AE427" s="440"/>
      <c r="AF427" s="440"/>
      <c r="AG427" s="440"/>
      <c r="AH427" s="440"/>
      <c r="AI427" s="384"/>
      <c r="AJ427" s="439"/>
      <c r="AK427" s="255"/>
      <c r="AL427" s="440"/>
      <c r="AM427" s="441"/>
      <c r="AN427" s="441"/>
      <c r="AO427" s="441"/>
      <c r="AP427" s="440"/>
      <c r="AQ427" s="440"/>
      <c r="AR427" s="440"/>
      <c r="AS427" s="440"/>
      <c r="AT427" s="384"/>
      <c r="AU427" s="439"/>
      <c r="AV427" s="255"/>
      <c r="AW427" s="442"/>
      <c r="AX427" s="442"/>
      <c r="AY427" s="442"/>
      <c r="AZ427" s="442"/>
      <c r="BA427" s="442"/>
      <c r="BB427" s="440"/>
      <c r="BC427" s="440"/>
      <c r="BD427" s="440"/>
      <c r="BE427" s="384"/>
      <c r="BF427" s="439"/>
      <c r="BG427" s="255"/>
      <c r="BH427" s="442"/>
      <c r="BI427" s="442"/>
      <c r="BJ427" s="442"/>
      <c r="BK427" s="442"/>
      <c r="BL427" s="442"/>
      <c r="BM427" s="442"/>
      <c r="BN427" s="443"/>
      <c r="BO427" s="443"/>
    </row>
    <row r="428">
      <c r="A428" s="434"/>
      <c r="B428" s="384"/>
      <c r="C428" s="439"/>
      <c r="D428" s="255"/>
      <c r="E428" s="439"/>
      <c r="F428" s="439"/>
      <c r="G428" s="439"/>
      <c r="H428" s="439"/>
      <c r="I428" s="439"/>
      <c r="J428" s="439"/>
      <c r="K428" s="443"/>
      <c r="L428" s="443"/>
      <c r="M428" s="384"/>
      <c r="N428" s="439"/>
      <c r="O428" s="255"/>
      <c r="P428" s="440"/>
      <c r="Q428" s="441"/>
      <c r="R428" s="441"/>
      <c r="S428" s="441"/>
      <c r="T428" s="440"/>
      <c r="U428" s="440"/>
      <c r="V428" s="440"/>
      <c r="W428" s="440"/>
      <c r="X428" s="384"/>
      <c r="Y428" s="439"/>
      <c r="Z428" s="255"/>
      <c r="AA428" s="440"/>
      <c r="AB428" s="441"/>
      <c r="AC428" s="441"/>
      <c r="AD428" s="441"/>
      <c r="AE428" s="440"/>
      <c r="AF428" s="440"/>
      <c r="AG428" s="440"/>
      <c r="AH428" s="440"/>
      <c r="AI428" s="384"/>
      <c r="AJ428" s="439"/>
      <c r="AK428" s="255"/>
      <c r="AL428" s="440"/>
      <c r="AM428" s="441"/>
      <c r="AN428" s="441"/>
      <c r="AO428" s="441"/>
      <c r="AP428" s="440"/>
      <c r="AQ428" s="440"/>
      <c r="AR428" s="440"/>
      <c r="AS428" s="440"/>
      <c r="AT428" s="384"/>
      <c r="AU428" s="439"/>
      <c r="AV428" s="255"/>
      <c r="AW428" s="442"/>
      <c r="AX428" s="442"/>
      <c r="AY428" s="442"/>
      <c r="AZ428" s="442"/>
      <c r="BA428" s="442"/>
      <c r="BB428" s="440"/>
      <c r="BC428" s="440"/>
      <c r="BD428" s="440"/>
      <c r="BE428" s="384"/>
      <c r="BF428" s="439"/>
      <c r="BG428" s="255"/>
      <c r="BH428" s="442"/>
      <c r="BI428" s="442"/>
      <c r="BJ428" s="442"/>
      <c r="BK428" s="442"/>
      <c r="BL428" s="442"/>
      <c r="BM428" s="442"/>
      <c r="BN428" s="443"/>
      <c r="BO428" s="443"/>
    </row>
    <row r="429">
      <c r="A429" s="255"/>
      <c r="B429" s="255"/>
      <c r="C429" s="255"/>
      <c r="D429" s="255"/>
      <c r="E429" s="439"/>
      <c r="F429" s="439"/>
      <c r="G429" s="439"/>
      <c r="H429" s="439"/>
      <c r="I429" s="439"/>
      <c r="J429" s="439"/>
      <c r="K429" s="254"/>
      <c r="L429" s="254"/>
      <c r="M429" s="255"/>
      <c r="N429" s="255"/>
      <c r="O429" s="255"/>
      <c r="P429" s="254"/>
      <c r="Q429" s="254"/>
      <c r="R429" s="254"/>
      <c r="S429" s="254"/>
      <c r="T429" s="254"/>
      <c r="U429" s="254"/>
      <c r="V429" s="254"/>
      <c r="W429" s="254"/>
      <c r="X429" s="255"/>
      <c r="Y429" s="255"/>
      <c r="Z429" s="255"/>
      <c r="AA429" s="254"/>
      <c r="AB429" s="254"/>
      <c r="AC429" s="254"/>
      <c r="AD429" s="254"/>
      <c r="AE429" s="254"/>
      <c r="AF429" s="254"/>
      <c r="AG429" s="254"/>
      <c r="AH429" s="254"/>
      <c r="AI429" s="255"/>
      <c r="AJ429" s="255"/>
      <c r="AK429" s="255"/>
      <c r="AL429" s="254"/>
      <c r="AM429" s="254"/>
      <c r="AN429" s="254"/>
      <c r="AO429" s="254"/>
      <c r="AP429" s="254"/>
      <c r="AQ429" s="254"/>
      <c r="AR429" s="254"/>
      <c r="AS429" s="254"/>
      <c r="AT429" s="255"/>
      <c r="AU429" s="255"/>
      <c r="AV429" s="255"/>
      <c r="AW429" s="254"/>
      <c r="AX429" s="254"/>
      <c r="AY429" s="254"/>
      <c r="AZ429" s="254"/>
      <c r="BA429" s="254"/>
      <c r="BB429" s="254"/>
      <c r="BC429" s="254"/>
      <c r="BD429" s="254"/>
      <c r="BE429" s="255"/>
      <c r="BF429" s="255"/>
      <c r="BG429" s="255"/>
      <c r="BH429" s="254"/>
      <c r="BI429" s="254"/>
      <c r="BJ429" s="254"/>
      <c r="BK429" s="254"/>
      <c r="BL429" s="254"/>
      <c r="BM429" s="254"/>
      <c r="BN429" s="254"/>
      <c r="BO429" s="254"/>
    </row>
    <row r="430">
      <c r="A430" s="255"/>
      <c r="B430" s="255"/>
      <c r="C430" s="255"/>
      <c r="D430" s="255"/>
      <c r="E430" s="254"/>
      <c r="F430" s="254"/>
      <c r="G430" s="254"/>
      <c r="H430" s="254"/>
      <c r="I430" s="254"/>
      <c r="J430" s="254"/>
      <c r="K430" s="254"/>
      <c r="L430" s="254"/>
      <c r="M430" s="255"/>
      <c r="N430" s="255"/>
      <c r="O430" s="255"/>
      <c r="P430" s="254"/>
      <c r="Q430" s="254"/>
      <c r="R430" s="254"/>
      <c r="S430" s="254"/>
      <c r="T430" s="254"/>
      <c r="U430" s="254"/>
      <c r="V430" s="254"/>
      <c r="W430" s="254"/>
      <c r="X430" s="255"/>
      <c r="Y430" s="255"/>
      <c r="Z430" s="255"/>
      <c r="AA430" s="254"/>
      <c r="AB430" s="254"/>
      <c r="AC430" s="254"/>
      <c r="AD430" s="254"/>
      <c r="AE430" s="254"/>
      <c r="AF430" s="254"/>
      <c r="AG430" s="254"/>
      <c r="AH430" s="254"/>
      <c r="AI430" s="255"/>
      <c r="AJ430" s="255"/>
      <c r="AK430" s="255"/>
      <c r="AL430" s="254"/>
      <c r="AM430" s="254"/>
      <c r="AN430" s="254"/>
      <c r="AO430" s="254"/>
      <c r="AP430" s="254"/>
      <c r="AQ430" s="254"/>
      <c r="AR430" s="254"/>
      <c r="AS430" s="254"/>
      <c r="AT430" s="255"/>
      <c r="AU430" s="255"/>
      <c r="AV430" s="255"/>
      <c r="AW430" s="254"/>
      <c r="AX430" s="254"/>
      <c r="AY430" s="254"/>
      <c r="AZ430" s="254"/>
      <c r="BA430" s="254"/>
      <c r="BB430" s="254"/>
      <c r="BC430" s="254"/>
      <c r="BD430" s="254"/>
      <c r="BE430" s="255"/>
      <c r="BF430" s="255"/>
      <c r="BG430" s="255"/>
      <c r="BH430" s="254"/>
      <c r="BI430" s="254"/>
      <c r="BJ430" s="254"/>
      <c r="BK430" s="254"/>
      <c r="BL430" s="254"/>
      <c r="BM430" s="254"/>
      <c r="BN430" s="254"/>
      <c r="BO430" s="254"/>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23.63"/>
    <col customWidth="1" min="3" max="3" width="8.25"/>
  </cols>
  <sheetData>
    <row r="1">
      <c r="A1" s="257" t="str">
        <f>IFERROR(__xludf.DUMMYFUNCTION("IMPORTRANGE(""https://docs.google.com/spreadsheets/d/1tAaChe98Zh7vhMfGMK5Y4_ijmNb40fr519GtdZkkDUY/edit?gid=889896918#gid=889896918"",""必殺ワザ(スペシャル系)_グレード差分!A:AS"")"),"到達指定ランク(どのランクまでに※2~4を設定)")</f>
        <v>到達指定ランク(どのランクまでに※2~4を設定)</v>
      </c>
      <c r="B1" s="105"/>
      <c r="C1" s="470" t="str">
        <f>IFERROR(__xludf.DUMMYFUNCTION("""COMPUTED_VALUE"""),"■効果値 x コスト関係
　└コスト500基準の数値設計
　　効果時間は以下の詳細数値で固定。コストによって変動しない(体感にも関わる部分のため)
　　例：コスト100 →各効果値の「0.2」倍
・総攻撃バフについて
　└設定可能レアリティSSR以上
　コストに比例して効果が上昇し、次回攻撃までスキルを発動するたびに効果が加算され続ける仕様。
　コストを支払えば何度でも発動可能なため、コスト1000の高効果値のキャラスキルを1回使うよりも、コスト100のスキルを複数回積み重ねた方が効率的。
　結果として"&amp;"、高コストスキルにメリットがなく、使用価値が低い状態になっているため、設定可能なレアリティを制限。
　SSRの選定理由は、リリース時に大川村 寧SSRに総攻撃バフが設定されているため。
※「グレード毎の効果値差分(成長曲線)」と「レアリティ毎の効果値差分」は通常キャラの設計と同様(必殺ワザレギュ_グレード差分に記載)
")</f>
        <v>■効果値 x コスト関係
　└コスト500基準の数値設計
　　効果時間は以下の詳細数値で固定。コストによって変動しない(体感にも関わる部分のため)
　　例：コスト100 →各効果値の「0.2」倍
・総攻撃バフについて
　└設定可能レアリティSSR以上
　コストに比例して効果が上昇し、次回攻撃までスキルを発動するたびに効果が加算され続ける仕様。
　コストを支払えば何度でも発動可能なため、コスト1000の高効果値のキャラスキルを1回使うよりも、コスト100のスキルを複数回積み重ねた方が効率的。
　結果として、高コストスキルにメリットがなく、使用価値が低い状態になっているため、設定可能なレアリティを制限。
　SSRの選定理由は、リリース時に大川村 寧SSRに総攻撃バフが設定されているため。
※「グレード毎の効果値差分(成長曲線)」と「レアリティ毎の効果値差分」は通常キャラの設計と同様(必殺ワザレギュ_グレード差分に記載)
</v>
      </c>
      <c r="D1" s="471"/>
      <c r="E1" s="471"/>
      <c r="F1" s="471"/>
      <c r="G1" s="471"/>
      <c r="H1" s="471"/>
      <c r="I1" s="471"/>
      <c r="J1" s="471"/>
      <c r="K1" s="471"/>
      <c r="L1" s="471"/>
      <c r="M1" s="471"/>
      <c r="N1" s="471"/>
      <c r="O1" s="471"/>
      <c r="P1" s="471"/>
      <c r="Q1" s="471"/>
      <c r="R1" s="471"/>
      <c r="S1" s="471"/>
      <c r="T1" s="471"/>
      <c r="U1" s="471"/>
      <c r="V1" s="471"/>
      <c r="W1" s="471"/>
      <c r="X1" s="471"/>
      <c r="Y1" s="471"/>
      <c r="Z1" s="471"/>
      <c r="AA1" s="471"/>
      <c r="AB1" s="471"/>
      <c r="AC1" s="471"/>
      <c r="AD1" s="471"/>
      <c r="AE1" s="471"/>
      <c r="AF1" s="471"/>
      <c r="AG1" s="471"/>
      <c r="AH1" s="471"/>
      <c r="AI1" s="471"/>
      <c r="AJ1" s="471"/>
      <c r="AK1" s="471"/>
      <c r="AL1" s="471"/>
      <c r="AM1" s="156"/>
      <c r="AN1" s="115"/>
      <c r="AO1" s="115"/>
      <c r="AP1" s="472"/>
      <c r="AQ1" s="115"/>
      <c r="AR1" s="115"/>
      <c r="AS1" s="115"/>
      <c r="AT1" s="115"/>
      <c r="AU1" s="115"/>
      <c r="AV1" s="115"/>
      <c r="AW1" s="115"/>
      <c r="AX1" s="115"/>
      <c r="AY1" s="115"/>
      <c r="AZ1" s="115"/>
      <c r="BA1" s="115"/>
      <c r="BB1" s="115"/>
      <c r="BC1" s="115"/>
    </row>
    <row r="2">
      <c r="A2" s="473">
        <f>IFERROR(__xludf.DUMMYFUNCTION("""COMPUTED_VALUE"""),3.0)</f>
        <v>3</v>
      </c>
      <c r="B2" s="105"/>
      <c r="C2" s="474"/>
      <c r="AM2" s="475"/>
      <c r="AN2" s="115"/>
      <c r="AO2" s="115"/>
      <c r="AP2" s="115"/>
      <c r="AQ2" s="115"/>
      <c r="AR2" s="115"/>
      <c r="AS2" s="115"/>
      <c r="AT2" s="115"/>
      <c r="AU2" s="115"/>
      <c r="AV2" s="115"/>
      <c r="AW2" s="115"/>
      <c r="AX2" s="115"/>
      <c r="AY2" s="115"/>
      <c r="AZ2" s="115"/>
      <c r="BA2" s="115"/>
      <c r="BB2" s="115"/>
      <c r="BC2" s="115"/>
    </row>
    <row r="3">
      <c r="A3" s="257" t="str">
        <f>IFERROR(__xludf.DUMMYFUNCTION("""COMPUTED_VALUE"""),"到達割合(上限値の大体何割くらいを到達させたいか※1~10を設定)")</f>
        <v>到達割合(上限値の大体何割くらいを到達させたいか※1~10を設定)</v>
      </c>
      <c r="B3" s="472"/>
      <c r="C3" s="474"/>
      <c r="AM3" s="475"/>
      <c r="AN3" s="115"/>
      <c r="AO3" s="115"/>
      <c r="AP3" s="115"/>
      <c r="AQ3" s="115"/>
      <c r="AR3" s="115"/>
      <c r="AS3" s="115"/>
      <c r="AT3" s="115"/>
      <c r="AU3" s="115"/>
      <c r="AV3" s="115"/>
      <c r="AW3" s="115"/>
      <c r="AX3" s="115"/>
      <c r="AY3" s="115"/>
      <c r="AZ3" s="115"/>
      <c r="BA3" s="115"/>
      <c r="BB3" s="115"/>
      <c r="BC3" s="115"/>
    </row>
    <row r="4">
      <c r="A4" s="473">
        <f>IFERROR(__xludf.DUMMYFUNCTION("""COMPUTED_VALUE"""),7.0)</f>
        <v>7</v>
      </c>
      <c r="B4" s="105"/>
      <c r="C4" s="474"/>
      <c r="AM4" s="475"/>
      <c r="AN4" s="115"/>
      <c r="AO4" s="115"/>
      <c r="AP4" s="115"/>
      <c r="AQ4" s="115"/>
      <c r="AR4" s="115"/>
      <c r="AS4" s="115"/>
      <c r="AT4" s="115"/>
      <c r="AU4" s="115"/>
      <c r="AV4" s="115"/>
      <c r="AW4" s="115"/>
      <c r="AX4" s="115"/>
      <c r="AY4" s="115"/>
      <c r="AZ4" s="115"/>
      <c r="BA4" s="115"/>
      <c r="BB4" s="115"/>
      <c r="BC4" s="115"/>
    </row>
    <row r="5">
      <c r="A5" s="257" t="str">
        <f>IFERROR(__xludf.DUMMYFUNCTION("""COMPUTED_VALUE"""),"成長速度")</f>
        <v>成長速度</v>
      </c>
      <c r="B5" s="105"/>
      <c r="C5" s="474"/>
      <c r="AM5" s="475"/>
      <c r="AN5" s="115"/>
      <c r="AO5" s="115"/>
      <c r="AP5" s="115"/>
      <c r="AQ5" s="115"/>
      <c r="AR5" s="115"/>
      <c r="AS5" s="115"/>
      <c r="AT5" s="115"/>
      <c r="AU5" s="115"/>
      <c r="AV5" s="115"/>
      <c r="AW5" s="115"/>
      <c r="AX5" s="115"/>
      <c r="AY5" s="115"/>
      <c r="AZ5" s="115"/>
      <c r="BA5" s="115"/>
      <c r="BB5" s="115"/>
      <c r="BC5" s="115"/>
    </row>
    <row r="6">
      <c r="A6" s="473">
        <f>IFERROR(__xludf.DUMMYFUNCTION("""COMPUTED_VALUE"""),-3.0)</f>
        <v>-3</v>
      </c>
      <c r="B6" s="476" t="str">
        <f>IFERROR(__xludf.DUMMYFUNCTION("""COMPUTED_VALUE"""),"※←↑反映済み数値とズレる
ので変更しないで")</f>
        <v>※←↑反映済み数値とズレる
ので変更しないで</v>
      </c>
      <c r="C6" s="474"/>
      <c r="AM6" s="475"/>
      <c r="AN6" s="115"/>
      <c r="AO6" s="472"/>
      <c r="AP6" s="115"/>
      <c r="AQ6" s="115"/>
      <c r="AR6" s="115"/>
      <c r="AS6" s="115"/>
      <c r="AT6" s="115"/>
      <c r="AU6" s="115"/>
      <c r="AV6" s="115"/>
      <c r="AW6" s="115"/>
      <c r="AX6" s="115"/>
      <c r="AY6" s="115"/>
      <c r="AZ6" s="115"/>
      <c r="BA6" s="115"/>
      <c r="BB6" s="115"/>
      <c r="BC6" s="115"/>
    </row>
    <row r="7">
      <c r="A7" s="257" t="str">
        <f>IFERROR(__xludf.DUMMYFUNCTION("""COMPUTED_VALUE"""),"コスト")</f>
        <v>コスト</v>
      </c>
      <c r="B7" s="472"/>
      <c r="C7" s="474"/>
      <c r="AM7" s="475"/>
      <c r="AN7" s="472"/>
      <c r="AO7" s="472"/>
      <c r="AP7" s="472"/>
      <c r="AQ7" s="472"/>
      <c r="AR7" s="472"/>
      <c r="AS7" s="472"/>
      <c r="AT7" s="115"/>
      <c r="AU7" s="115"/>
      <c r="AV7" s="115"/>
      <c r="AW7" s="115"/>
      <c r="AX7" s="115"/>
      <c r="AY7" s="115"/>
      <c r="AZ7" s="115"/>
      <c r="BA7" s="115"/>
      <c r="BB7" s="115"/>
      <c r="BC7" s="115"/>
    </row>
    <row r="8">
      <c r="A8" s="477">
        <f>IFERROR(__xludf.DUMMYFUNCTION("""COMPUTED_VALUE"""),540.0)</f>
        <v>540</v>
      </c>
      <c r="B8" s="255" t="str">
        <f>IFERROR(__xludf.DUMMYFUNCTION("""COMPUTED_VALUE"""),"※任意で変更")</f>
        <v>※任意で変更</v>
      </c>
      <c r="C8" s="478"/>
      <c r="D8" s="479"/>
      <c r="E8" s="479"/>
      <c r="F8" s="479"/>
      <c r="G8" s="479"/>
      <c r="H8" s="479"/>
      <c r="I8" s="479"/>
      <c r="J8" s="479"/>
      <c r="K8" s="479"/>
      <c r="L8" s="479"/>
      <c r="M8" s="479"/>
      <c r="N8" s="479"/>
      <c r="O8" s="479"/>
      <c r="P8" s="479"/>
      <c r="Q8" s="479"/>
      <c r="R8" s="479"/>
      <c r="S8" s="479"/>
      <c r="T8" s="479"/>
      <c r="U8" s="479"/>
      <c r="V8" s="479"/>
      <c r="W8" s="479"/>
      <c r="X8" s="479"/>
      <c r="Y8" s="479"/>
      <c r="Z8" s="479"/>
      <c r="AA8" s="479"/>
      <c r="AB8" s="479"/>
      <c r="AC8" s="479"/>
      <c r="AD8" s="479"/>
      <c r="AE8" s="479"/>
      <c r="AF8" s="479"/>
      <c r="AG8" s="479"/>
      <c r="AH8" s="479"/>
      <c r="AI8" s="479"/>
      <c r="AJ8" s="479"/>
      <c r="AK8" s="479"/>
      <c r="AL8" s="479"/>
      <c r="AM8" s="480"/>
      <c r="AN8" s="472"/>
      <c r="AO8" s="472"/>
      <c r="AP8" s="472"/>
      <c r="AQ8" s="472"/>
      <c r="AR8" s="472"/>
      <c r="AS8" s="472"/>
      <c r="AT8" s="115"/>
      <c r="AU8" s="115"/>
      <c r="AV8" s="115"/>
      <c r="AW8" s="115"/>
      <c r="AX8" s="115"/>
      <c r="AY8" s="115"/>
      <c r="AZ8" s="115"/>
      <c r="BA8" s="115"/>
      <c r="BB8" s="115"/>
      <c r="BC8" s="115"/>
    </row>
    <row r="9">
      <c r="A9" s="472"/>
      <c r="B9" s="472"/>
      <c r="C9" s="472"/>
      <c r="D9" s="472"/>
      <c r="E9" s="115"/>
      <c r="F9" s="115"/>
      <c r="G9" s="115"/>
      <c r="H9" s="115"/>
      <c r="I9" s="115"/>
      <c r="J9" s="472"/>
      <c r="K9" s="115"/>
      <c r="L9" s="472"/>
      <c r="M9" s="472"/>
      <c r="N9" s="472"/>
      <c r="O9" s="472"/>
      <c r="P9" s="472"/>
      <c r="Q9" s="472"/>
      <c r="R9" s="472"/>
      <c r="S9" s="472"/>
      <c r="T9" s="472"/>
      <c r="U9" s="472"/>
      <c r="V9" s="472"/>
      <c r="W9" s="472"/>
      <c r="X9" s="472"/>
      <c r="Y9" s="472"/>
      <c r="Z9" s="472"/>
      <c r="AA9" s="472"/>
      <c r="AB9" s="472"/>
      <c r="AC9" s="472"/>
      <c r="AD9" s="472"/>
      <c r="AE9" s="472"/>
      <c r="AF9" s="472"/>
      <c r="AG9" s="472"/>
      <c r="AH9" s="472"/>
      <c r="AI9" s="472"/>
      <c r="AJ9" s="472"/>
      <c r="AK9" s="472"/>
      <c r="AL9" s="472"/>
      <c r="AM9" s="472"/>
      <c r="AN9" s="472"/>
      <c r="AO9" s="472"/>
      <c r="AP9" s="472"/>
      <c r="AQ9" s="472"/>
      <c r="AR9" s="472"/>
      <c r="AS9" s="472"/>
      <c r="AT9" s="115"/>
      <c r="AU9" s="115"/>
      <c r="AV9" s="115"/>
      <c r="AW9" s="115"/>
      <c r="AX9" s="115"/>
      <c r="AY9" s="115"/>
      <c r="AZ9" s="115"/>
      <c r="BA9" s="115"/>
      <c r="BB9" s="115"/>
      <c r="BC9" s="115"/>
    </row>
    <row r="10">
      <c r="A10" s="255" t="str">
        <f>IFERROR(__xludf.DUMMYFUNCTION("""COMPUTED_VALUE"""),"グレード倍率")</f>
        <v>グレード倍率</v>
      </c>
      <c r="B10" s="472"/>
      <c r="C10" s="255" t="str">
        <f>IFERROR(__xludf.DUMMYFUNCTION("""COMPUTED_VALUE"""),"※合計値")</f>
        <v>※合計値</v>
      </c>
      <c r="D10" s="472"/>
      <c r="E10" s="115"/>
      <c r="F10" s="115"/>
      <c r="G10" s="115"/>
      <c r="H10" s="115"/>
      <c r="I10" s="115"/>
      <c r="J10" s="115"/>
      <c r="K10" s="115"/>
      <c r="L10" s="115"/>
      <c r="M10" s="472"/>
      <c r="N10" s="255" t="str">
        <f>IFERROR(__xludf.DUMMYFUNCTION("""COMPUTED_VALUE"""),"※グレード差分")</f>
        <v>※グレード差分</v>
      </c>
      <c r="O10" s="472"/>
      <c r="P10" s="258" t="str">
        <f>IFERROR(__xludf.DUMMYFUNCTION("""COMPUTED_VALUE"""),"割合")</f>
        <v>割合</v>
      </c>
      <c r="Q10" s="481">
        <f>IFERROR(__xludf.DUMMYFUNCTION("""COMPUTED_VALUE"""),0.7)</f>
        <v>0.7</v>
      </c>
      <c r="R10" s="472"/>
      <c r="S10" s="472"/>
      <c r="T10" s="472"/>
      <c r="U10" s="472"/>
      <c r="V10" s="472"/>
      <c r="W10" s="472"/>
      <c r="X10" s="472"/>
      <c r="Y10" s="255" t="str">
        <f>IFERROR(__xludf.DUMMYFUNCTION("""COMPUTED_VALUE"""),"※Lvアップ差分")</f>
        <v>※Lvアップ差分</v>
      </c>
      <c r="Z10" s="472"/>
      <c r="AA10" s="258" t="str">
        <f>IFERROR(__xludf.DUMMYFUNCTION("""COMPUTED_VALUE"""),"割合")</f>
        <v>割合</v>
      </c>
      <c r="AB10" s="481">
        <f>IFERROR(__xludf.DUMMYFUNCTION("""COMPUTED_VALUE"""),0.3)</f>
        <v>0.3</v>
      </c>
      <c r="AC10" s="472"/>
      <c r="AD10" s="472"/>
      <c r="AE10" s="472"/>
      <c r="AF10" s="472"/>
      <c r="AG10" s="472"/>
      <c r="AH10" s="472"/>
      <c r="AI10" s="472"/>
      <c r="AJ10" s="472"/>
      <c r="AK10" s="472"/>
      <c r="AL10" s="472"/>
      <c r="AM10" s="472"/>
      <c r="AN10" s="472"/>
      <c r="AO10" s="472"/>
      <c r="AP10" s="472"/>
      <c r="AQ10" s="472"/>
      <c r="AR10" s="472"/>
      <c r="AS10" s="472"/>
      <c r="AT10" s="115"/>
      <c r="AU10" s="115"/>
      <c r="AV10" s="115"/>
      <c r="AW10" s="115"/>
      <c r="AX10" s="115"/>
      <c r="AY10" s="115"/>
      <c r="AZ10" s="115"/>
      <c r="BA10" s="115"/>
      <c r="BB10" s="115"/>
      <c r="BC10" s="115"/>
    </row>
    <row r="11">
      <c r="A11" s="256" t="str">
        <f>IFERROR(__xludf.DUMMYFUNCTION("""COMPUTED_VALUE"""),"必殺ワザ")</f>
        <v>必殺ワザ</v>
      </c>
      <c r="B11" s="257" t="str">
        <f>IFERROR(__xludf.DUMMYFUNCTION("""COMPUTED_VALUE"""),"攻撃範囲")</f>
        <v>攻撃範囲</v>
      </c>
      <c r="C11" s="257" t="str">
        <f>IFERROR(__xludf.DUMMYFUNCTION("""COMPUTED_VALUE"""),"グレード")</f>
        <v>グレード</v>
      </c>
      <c r="D11" s="257" t="str">
        <f>IFERROR(__xludf.DUMMYFUNCTION("""COMPUTED_VALUE"""),"効果種別")</f>
        <v>効果種別</v>
      </c>
      <c r="E11" s="258" t="str">
        <f>IFERROR(__xludf.DUMMYFUNCTION("""COMPUTED_VALUE"""),"DropR")</f>
        <v>DropR</v>
      </c>
      <c r="F11" s="258" t="str">
        <f>IFERROR(__xludf.DUMMYFUNCTION("""COMPUTED_VALUE"""),"DropSR")</f>
        <v>DropSR</v>
      </c>
      <c r="G11" s="258" t="str">
        <f>IFERROR(__xludf.DUMMYFUNCTION("""COMPUTED_VALUE"""),"DropSSR")</f>
        <v>DropSSR</v>
      </c>
      <c r="H11" s="258" t="str">
        <f>IFERROR(__xludf.DUMMYFUNCTION("""COMPUTED_VALUE"""),"PremiumR")</f>
        <v>PremiumR</v>
      </c>
      <c r="I11" s="258" t="str">
        <f>IFERROR(__xludf.DUMMYFUNCTION("""COMPUTED_VALUE"""),"PremiumSR")</f>
        <v>PremiumSR</v>
      </c>
      <c r="J11" s="258" t="str">
        <f>IFERROR(__xludf.DUMMYFUNCTION("""COMPUTED_VALUE"""),"PremiumSSR")</f>
        <v>PremiumSSR</v>
      </c>
      <c r="K11" s="258" t="str">
        <f>IFERROR(__xludf.DUMMYFUNCTION("""COMPUTED_VALUE"""),"PremiumUR")</f>
        <v>PremiumUR</v>
      </c>
      <c r="L11" s="258" t="str">
        <f>IFERROR(__xludf.DUMMYFUNCTION("""COMPUTED_VALUE"""),"FestivalUR")</f>
        <v>FestivalUR</v>
      </c>
      <c r="M11" s="482"/>
      <c r="N11" s="257" t="str">
        <f>IFERROR(__xludf.DUMMYFUNCTION("""COMPUTED_VALUE"""),"グレード")</f>
        <v>グレード</v>
      </c>
      <c r="O11" s="257" t="str">
        <f>IFERROR(__xludf.DUMMYFUNCTION("""COMPUTED_VALUE"""),"効果種別")</f>
        <v>効果種別</v>
      </c>
      <c r="P11" s="258" t="str">
        <f>IFERROR(__xludf.DUMMYFUNCTION("""COMPUTED_VALUE"""),"DropR")</f>
        <v>DropR</v>
      </c>
      <c r="Q11" s="258" t="str">
        <f>IFERROR(__xludf.DUMMYFUNCTION("""COMPUTED_VALUE"""),"DropSR")</f>
        <v>DropSR</v>
      </c>
      <c r="R11" s="258" t="str">
        <f>IFERROR(__xludf.DUMMYFUNCTION("""COMPUTED_VALUE"""),"DropSSR")</f>
        <v>DropSSR</v>
      </c>
      <c r="S11" s="258" t="str">
        <f>IFERROR(__xludf.DUMMYFUNCTION("""COMPUTED_VALUE"""),"PremiumR")</f>
        <v>PremiumR</v>
      </c>
      <c r="T11" s="258" t="str">
        <f>IFERROR(__xludf.DUMMYFUNCTION("""COMPUTED_VALUE"""),"PremiumSR")</f>
        <v>PremiumSR</v>
      </c>
      <c r="U11" s="258" t="str">
        <f>IFERROR(__xludf.DUMMYFUNCTION("""COMPUTED_VALUE"""),"PremiumSSR")</f>
        <v>PremiumSSR</v>
      </c>
      <c r="V11" s="258" t="str">
        <f>IFERROR(__xludf.DUMMYFUNCTION("""COMPUTED_VALUE"""),"PremiumUR")</f>
        <v>PremiumUR</v>
      </c>
      <c r="W11" s="258" t="str">
        <f>IFERROR(__xludf.DUMMYFUNCTION("""COMPUTED_VALUE"""),"FestivalUR")</f>
        <v>FestivalUR</v>
      </c>
      <c r="X11" s="482"/>
      <c r="Y11" s="482"/>
      <c r="Z11" s="257" t="str">
        <f>IFERROR(__xludf.DUMMYFUNCTION("""COMPUTED_VALUE"""),"効果種別")</f>
        <v>効果種別</v>
      </c>
      <c r="AA11" s="258" t="str">
        <f>IFERROR(__xludf.DUMMYFUNCTION("""COMPUTED_VALUE"""),"DropR")</f>
        <v>DropR</v>
      </c>
      <c r="AB11" s="258" t="str">
        <f>IFERROR(__xludf.DUMMYFUNCTION("""COMPUTED_VALUE"""),"DropSR")</f>
        <v>DropSR</v>
      </c>
      <c r="AC11" s="258" t="str">
        <f>IFERROR(__xludf.DUMMYFUNCTION("""COMPUTED_VALUE"""),"DropSSR")</f>
        <v>DropSSR</v>
      </c>
      <c r="AD11" s="258" t="str">
        <f>IFERROR(__xludf.DUMMYFUNCTION("""COMPUTED_VALUE"""),"PremiumR")</f>
        <v>PremiumR</v>
      </c>
      <c r="AE11" s="258" t="str">
        <f>IFERROR(__xludf.DUMMYFUNCTION("""COMPUTED_VALUE"""),"PremiumSR")</f>
        <v>PremiumSR</v>
      </c>
      <c r="AF11" s="258" t="str">
        <f>IFERROR(__xludf.DUMMYFUNCTION("""COMPUTED_VALUE"""),"PremiumSSR")</f>
        <v>PremiumSSR</v>
      </c>
      <c r="AG11" s="258" t="str">
        <f>IFERROR(__xludf.DUMMYFUNCTION("""COMPUTED_VALUE"""),"PremiumUR")</f>
        <v>PremiumUR</v>
      </c>
      <c r="AH11" s="258" t="str">
        <f>IFERROR(__xludf.DUMMYFUNCTION("""COMPUTED_VALUE"""),"FestivalUR")</f>
        <v>FestivalUR</v>
      </c>
      <c r="AI11" s="482"/>
      <c r="AJ11" s="257" t="str">
        <f>IFERROR(__xludf.DUMMYFUNCTION("""COMPUTED_VALUE"""),"グレード")</f>
        <v>グレード</v>
      </c>
      <c r="AK11" s="257" t="str">
        <f>IFERROR(__xludf.DUMMYFUNCTION("""COMPUTED_VALUE"""),"効果種別")</f>
        <v>効果種別</v>
      </c>
      <c r="AL11" s="258" t="str">
        <f>IFERROR(__xludf.DUMMYFUNCTION("""COMPUTED_VALUE"""),"DropR")</f>
        <v>DropR</v>
      </c>
      <c r="AM11" s="258" t="str">
        <f>IFERROR(__xludf.DUMMYFUNCTION("""COMPUTED_VALUE"""),"DropSR")</f>
        <v>DropSR</v>
      </c>
      <c r="AN11" s="258" t="str">
        <f>IFERROR(__xludf.DUMMYFUNCTION("""COMPUTED_VALUE"""),"DropSSR")</f>
        <v>DropSSR</v>
      </c>
      <c r="AO11" s="258" t="str">
        <f>IFERROR(__xludf.DUMMYFUNCTION("""COMPUTED_VALUE"""),"PremiumR")</f>
        <v>PremiumR</v>
      </c>
      <c r="AP11" s="258" t="str">
        <f>IFERROR(__xludf.DUMMYFUNCTION("""COMPUTED_VALUE"""),"PremiumSR")</f>
        <v>PremiumSR</v>
      </c>
      <c r="AQ11" s="258" t="str">
        <f>IFERROR(__xludf.DUMMYFUNCTION("""COMPUTED_VALUE"""),"PremiumSSR")</f>
        <v>PremiumSSR</v>
      </c>
      <c r="AR11" s="258" t="str">
        <f>IFERROR(__xludf.DUMMYFUNCTION("""COMPUTED_VALUE"""),"PremiumUR")</f>
        <v>PremiumUR</v>
      </c>
      <c r="AS11" s="258" t="str">
        <f>IFERROR(__xludf.DUMMYFUNCTION("""COMPUTED_VALUE"""),"FestivalUR")</f>
        <v>FestivalUR</v>
      </c>
      <c r="AT11" s="115"/>
      <c r="AU11" s="115"/>
      <c r="AV11" s="115"/>
      <c r="AW11" s="115"/>
      <c r="AX11" s="115"/>
      <c r="AY11" s="115"/>
      <c r="AZ11" s="115"/>
      <c r="BA11" s="115"/>
      <c r="BB11" s="115"/>
      <c r="BC11" s="115"/>
    </row>
    <row r="12">
      <c r="A12" s="483" t="str">
        <f>IFERROR(__xludf.DUMMYFUNCTION("""COMPUTED_VALUE"""),"HP継続回復")</f>
        <v>HP継続回復</v>
      </c>
      <c r="B12" s="484" t="str">
        <f>IFERROR(__xludf.DUMMYFUNCTION("""COMPUTED_VALUE"""),"SP専用")</f>
        <v>SP専用</v>
      </c>
      <c r="C12" s="375">
        <f>IFERROR(__xludf.DUMMYFUNCTION("""COMPUTED_VALUE"""),1.0)</f>
        <v>1</v>
      </c>
      <c r="D12" s="485" t="str">
        <f>IFERROR(__xludf.DUMMYFUNCTION("""COMPUTED_VALUE"""),"効果値")</f>
        <v>効果値</v>
      </c>
      <c r="E12" s="486">
        <f>IFERROR(__xludf.DUMMYFUNCTION("""COMPUTED_VALUE"""),1.62)</f>
        <v>1.62</v>
      </c>
      <c r="F12" s="487">
        <f>IFERROR(__xludf.DUMMYFUNCTION("""COMPUTED_VALUE"""),1.62)</f>
        <v>1.62</v>
      </c>
      <c r="G12" s="487">
        <f>IFERROR(__xludf.DUMMYFUNCTION("""COMPUTED_VALUE"""),1.8900000000000001)</f>
        <v>1.89</v>
      </c>
      <c r="H12" s="487">
        <f>IFERROR(__xludf.DUMMYFUNCTION("""COMPUTED_VALUE"""),2.16)</f>
        <v>2.16</v>
      </c>
      <c r="I12" s="487">
        <f>IFERROR(__xludf.DUMMYFUNCTION("""COMPUTED_VALUE"""),2.7)</f>
        <v>2.7</v>
      </c>
      <c r="J12" s="487">
        <f>IFERROR(__xludf.DUMMYFUNCTION("""COMPUTED_VALUE"""),3.24)</f>
        <v>3.24</v>
      </c>
      <c r="K12" s="487">
        <f>IFERROR(__xludf.DUMMYFUNCTION("""COMPUTED_VALUE"""),3.24)</f>
        <v>3.24</v>
      </c>
      <c r="L12" s="488">
        <f>IFERROR(__xludf.DUMMYFUNCTION("""COMPUTED_VALUE"""),3.24)</f>
        <v>3.24</v>
      </c>
      <c r="M12" s="489"/>
      <c r="N12" s="375">
        <f>IFERROR(__xludf.DUMMYFUNCTION("""COMPUTED_VALUE"""),1.0)</f>
        <v>1</v>
      </c>
      <c r="O12" s="485" t="str">
        <f>IFERROR(__xludf.DUMMYFUNCTION("""COMPUTED_VALUE"""),"効果値")</f>
        <v>効果値</v>
      </c>
      <c r="P12" s="486">
        <f>IFERROR(__xludf.DUMMYFUNCTION("""COMPUTED_VALUE"""),1.134)</f>
        <v>1.134</v>
      </c>
      <c r="Q12" s="486">
        <f>IFERROR(__xludf.DUMMYFUNCTION("""COMPUTED_VALUE"""),1.134)</f>
        <v>1.134</v>
      </c>
      <c r="R12" s="486">
        <f>IFERROR(__xludf.DUMMYFUNCTION("""COMPUTED_VALUE"""),1.323)</f>
        <v>1.323</v>
      </c>
      <c r="S12" s="486">
        <f>IFERROR(__xludf.DUMMYFUNCTION("""COMPUTED_VALUE"""),1.512)</f>
        <v>1.512</v>
      </c>
      <c r="T12" s="486">
        <f>IFERROR(__xludf.DUMMYFUNCTION("""COMPUTED_VALUE"""),1.89)</f>
        <v>1.89</v>
      </c>
      <c r="U12" s="486">
        <f>IFERROR(__xludf.DUMMYFUNCTION("""COMPUTED_VALUE"""),2.268)</f>
        <v>2.268</v>
      </c>
      <c r="V12" s="486">
        <f>IFERROR(__xludf.DUMMYFUNCTION("""COMPUTED_VALUE"""),2.268)</f>
        <v>2.268</v>
      </c>
      <c r="W12" s="486">
        <f>IFERROR(__xludf.DUMMYFUNCTION("""COMPUTED_VALUE"""),2.268)</f>
        <v>2.268</v>
      </c>
      <c r="X12" s="489"/>
      <c r="Y12" s="490"/>
      <c r="Z12" s="491"/>
      <c r="AA12" s="492"/>
      <c r="AB12" s="492"/>
      <c r="AC12" s="492"/>
      <c r="AD12" s="492"/>
      <c r="AE12" s="492"/>
      <c r="AF12" s="492"/>
      <c r="AG12" s="492"/>
      <c r="AH12" s="492"/>
      <c r="AI12" s="489"/>
      <c r="AJ12" s="375">
        <f>IFERROR(__xludf.DUMMYFUNCTION("""COMPUTED_VALUE"""),1.0)</f>
        <v>1</v>
      </c>
      <c r="AK12" s="376" t="str">
        <f>IFERROR(__xludf.DUMMYFUNCTION("""COMPUTED_VALUE"""),"合計回復量(%)")</f>
        <v>合計回復量(%)</v>
      </c>
      <c r="AL12" s="263">
        <f>IFERROR(__xludf.DUMMYFUNCTION("""COMPUTED_VALUE"""),4.86)</f>
        <v>4.86</v>
      </c>
      <c r="AM12" s="263">
        <f>IFERROR(__xludf.DUMMYFUNCTION("""COMPUTED_VALUE"""),4.86)</f>
        <v>4.86</v>
      </c>
      <c r="AN12" s="263">
        <f>IFERROR(__xludf.DUMMYFUNCTION("""COMPUTED_VALUE"""),5.67)</f>
        <v>5.67</v>
      </c>
      <c r="AO12" s="263">
        <f>IFERROR(__xludf.DUMMYFUNCTION("""COMPUTED_VALUE"""),6.48)</f>
        <v>6.48</v>
      </c>
      <c r="AP12" s="263">
        <f>IFERROR(__xludf.DUMMYFUNCTION("""COMPUTED_VALUE"""),8.100000000000001)</f>
        <v>8.1</v>
      </c>
      <c r="AQ12" s="263">
        <f>IFERROR(__xludf.DUMMYFUNCTION("""COMPUTED_VALUE"""),12.96)</f>
        <v>12.96</v>
      </c>
      <c r="AR12" s="263">
        <f>IFERROR(__xludf.DUMMYFUNCTION("""COMPUTED_VALUE"""),22.68)</f>
        <v>22.68</v>
      </c>
      <c r="AS12" s="493">
        <f>IFERROR(__xludf.DUMMYFUNCTION("""COMPUTED_VALUE"""),22.68)</f>
        <v>22.68</v>
      </c>
      <c r="AT12" s="115"/>
      <c r="AU12" s="115"/>
      <c r="AV12" s="115"/>
      <c r="AW12" s="115"/>
      <c r="AX12" s="115"/>
      <c r="AY12" s="115"/>
      <c r="AZ12" s="115"/>
      <c r="BA12" s="115"/>
      <c r="BB12" s="115"/>
      <c r="BC12" s="115"/>
    </row>
    <row r="13">
      <c r="A13" s="494" t="str">
        <f>IFERROR(__xludf.DUMMYFUNCTION("""COMPUTED_VALUE"""),"※スペシャル専用")</f>
        <v>※スペシャル専用</v>
      </c>
      <c r="B13" s="495"/>
      <c r="C13" s="386">
        <f>IFERROR(__xludf.DUMMYFUNCTION("""COMPUTED_VALUE"""),1.0)</f>
        <v>1</v>
      </c>
      <c r="D13" s="496" t="str">
        <f>IFERROR(__xludf.DUMMYFUNCTION("""COMPUTED_VALUE"""),"効果時間")</f>
        <v>効果時間</v>
      </c>
      <c r="E13" s="302">
        <f>IFERROR(__xludf.DUMMYFUNCTION("""COMPUTED_VALUE"""),150.0)</f>
        <v>150</v>
      </c>
      <c r="F13" s="302">
        <f>IFERROR(__xludf.DUMMYFUNCTION("""COMPUTED_VALUE"""),150.0)</f>
        <v>150</v>
      </c>
      <c r="G13" s="302">
        <f>IFERROR(__xludf.DUMMYFUNCTION("""COMPUTED_VALUE"""),150.0)</f>
        <v>150</v>
      </c>
      <c r="H13" s="301">
        <f>IFERROR(__xludf.DUMMYFUNCTION("""COMPUTED_VALUE"""),150.0)</f>
        <v>150</v>
      </c>
      <c r="I13" s="302">
        <f>IFERROR(__xludf.DUMMYFUNCTION("""COMPUTED_VALUE"""),150.0)</f>
        <v>150</v>
      </c>
      <c r="J13" s="301">
        <f>IFERROR(__xludf.DUMMYFUNCTION("""COMPUTED_VALUE"""),200.0)</f>
        <v>200</v>
      </c>
      <c r="K13" s="302">
        <f>IFERROR(__xludf.DUMMYFUNCTION("""COMPUTED_VALUE"""),350.0)</f>
        <v>350</v>
      </c>
      <c r="L13" s="301">
        <f>IFERROR(__xludf.DUMMYFUNCTION("""COMPUTED_VALUE"""),350.0)</f>
        <v>350</v>
      </c>
      <c r="M13" s="497"/>
      <c r="N13" s="386">
        <f>IFERROR(__xludf.DUMMYFUNCTION("""COMPUTED_VALUE"""),1.0)</f>
        <v>1</v>
      </c>
      <c r="O13" s="496" t="str">
        <f>IFERROR(__xludf.DUMMYFUNCTION("""COMPUTED_VALUE"""),"効果時間")</f>
        <v>効果時間</v>
      </c>
      <c r="P13" s="302">
        <f>IFERROR(__xludf.DUMMYFUNCTION("""COMPUTED_VALUE"""),150.0)</f>
        <v>150</v>
      </c>
      <c r="Q13" s="302">
        <f>IFERROR(__xludf.DUMMYFUNCTION("""COMPUTED_VALUE"""),150.0)</f>
        <v>150</v>
      </c>
      <c r="R13" s="302">
        <f>IFERROR(__xludf.DUMMYFUNCTION("""COMPUTED_VALUE"""),150.0)</f>
        <v>150</v>
      </c>
      <c r="S13" s="302">
        <f>IFERROR(__xludf.DUMMYFUNCTION("""COMPUTED_VALUE"""),150.0)</f>
        <v>150</v>
      </c>
      <c r="T13" s="302">
        <f>IFERROR(__xludf.DUMMYFUNCTION("""COMPUTED_VALUE"""),150.0)</f>
        <v>150</v>
      </c>
      <c r="U13" s="302">
        <f>IFERROR(__xludf.DUMMYFUNCTION("""COMPUTED_VALUE"""),200.0)</f>
        <v>200</v>
      </c>
      <c r="V13" s="302">
        <f>IFERROR(__xludf.DUMMYFUNCTION("""COMPUTED_VALUE"""),350.0)</f>
        <v>350</v>
      </c>
      <c r="W13" s="302">
        <f>IFERROR(__xludf.DUMMYFUNCTION("""COMPUTED_VALUE"""),350.0)</f>
        <v>350</v>
      </c>
      <c r="X13" s="497"/>
      <c r="Y13" s="498"/>
      <c r="Z13" s="499"/>
      <c r="AA13" s="500"/>
      <c r="AB13" s="500"/>
      <c r="AC13" s="500"/>
      <c r="AD13" s="501"/>
      <c r="AE13" s="500"/>
      <c r="AF13" s="501"/>
      <c r="AG13" s="500"/>
      <c r="AH13" s="501"/>
      <c r="AI13" s="497"/>
      <c r="AJ13" s="386">
        <f>IFERROR(__xludf.DUMMYFUNCTION("""COMPUTED_VALUE"""),1.0)</f>
        <v>1</v>
      </c>
      <c r="AK13" s="502" t="str">
        <f>IFERROR(__xludf.DUMMYFUNCTION("""COMPUTED_VALUE"""),"効果時間(s)")</f>
        <v>効果時間(s)</v>
      </c>
      <c r="AL13" s="503">
        <f>IFERROR(__xludf.DUMMYFUNCTION("""COMPUTED_VALUE"""),3.0)</f>
        <v>3</v>
      </c>
      <c r="AM13" s="503">
        <f>IFERROR(__xludf.DUMMYFUNCTION("""COMPUTED_VALUE"""),3.0)</f>
        <v>3</v>
      </c>
      <c r="AN13" s="503">
        <f>IFERROR(__xludf.DUMMYFUNCTION("""COMPUTED_VALUE"""),3.0)</f>
        <v>3</v>
      </c>
      <c r="AO13" s="503">
        <f>IFERROR(__xludf.DUMMYFUNCTION("""COMPUTED_VALUE"""),3.0)</f>
        <v>3</v>
      </c>
      <c r="AP13" s="503">
        <f>IFERROR(__xludf.DUMMYFUNCTION("""COMPUTED_VALUE"""),3.0)</f>
        <v>3</v>
      </c>
      <c r="AQ13" s="503">
        <f>IFERROR(__xludf.DUMMYFUNCTION("""COMPUTED_VALUE"""),4.0)</f>
        <v>4</v>
      </c>
      <c r="AR13" s="503">
        <f>IFERROR(__xludf.DUMMYFUNCTION("""COMPUTED_VALUE"""),7.0)</f>
        <v>7</v>
      </c>
      <c r="AS13" s="504">
        <f>IFERROR(__xludf.DUMMYFUNCTION("""COMPUTED_VALUE"""),7.0)</f>
        <v>7</v>
      </c>
      <c r="AT13" s="115"/>
      <c r="AU13" s="115"/>
      <c r="AV13" s="115"/>
      <c r="AW13" s="115"/>
      <c r="AX13" s="115"/>
      <c r="AY13" s="115"/>
      <c r="AZ13" s="115"/>
      <c r="BA13" s="115"/>
      <c r="BB13" s="115"/>
      <c r="BC13" s="115"/>
    </row>
    <row r="14">
      <c r="A14" s="497"/>
      <c r="B14" s="505" t="str">
        <f>IFERROR(__xludf.DUMMYFUNCTION("""COMPUTED_VALUE"""),"タップしたコマ")</f>
        <v>タップしたコマ</v>
      </c>
      <c r="C14" s="399">
        <f>IFERROR(__xludf.DUMMYFUNCTION("""COMPUTED_VALUE"""),2.0)</f>
        <v>2</v>
      </c>
      <c r="D14" s="400" t="str">
        <f>IFERROR(__xludf.DUMMYFUNCTION("""COMPUTED_VALUE"""),"効果値")</f>
        <v>効果値</v>
      </c>
      <c r="E14" s="506">
        <f>IFERROR(__xludf.DUMMYFUNCTION("""COMPUTED_VALUE"""),1.62)</f>
        <v>1.62</v>
      </c>
      <c r="F14" s="507">
        <f>IFERROR(__xludf.DUMMYFUNCTION("""COMPUTED_VALUE"""),1.7334)</f>
        <v>1.7334</v>
      </c>
      <c r="G14" s="507">
        <f>IFERROR(__xludf.DUMMYFUNCTION("""COMPUTED_VALUE"""),2.0034)</f>
        <v>2.0034</v>
      </c>
      <c r="H14" s="507">
        <f>IFERROR(__xludf.DUMMYFUNCTION("""COMPUTED_VALUE"""),2.2734)</f>
        <v>2.2734</v>
      </c>
      <c r="I14" s="507">
        <f>IFERROR(__xludf.DUMMYFUNCTION("""COMPUTED_VALUE"""),2.7)</f>
        <v>2.7</v>
      </c>
      <c r="J14" s="507">
        <f>IFERROR(__xludf.DUMMYFUNCTION("""COMPUTED_VALUE"""),3.24)</f>
        <v>3.24</v>
      </c>
      <c r="K14" s="507">
        <f>IFERROR(__xludf.DUMMYFUNCTION("""COMPUTED_VALUE"""),3.3987600000000002)</f>
        <v>3.39876</v>
      </c>
      <c r="L14" s="508">
        <f>IFERROR(__xludf.DUMMYFUNCTION("""COMPUTED_VALUE"""),3.42144)</f>
        <v>3.42144</v>
      </c>
      <c r="M14" s="509"/>
      <c r="N14" s="399">
        <f>IFERROR(__xludf.DUMMYFUNCTION("""COMPUTED_VALUE"""),2.0)</f>
        <v>2</v>
      </c>
      <c r="O14" s="400" t="str">
        <f>IFERROR(__xludf.DUMMYFUNCTION("""COMPUTED_VALUE"""),"効果値")</f>
        <v>効果値</v>
      </c>
      <c r="P14" s="506">
        <f>IFERROR(__xludf.DUMMYFUNCTION("""COMPUTED_VALUE"""),1.134)</f>
        <v>1.134</v>
      </c>
      <c r="Q14" s="506">
        <f>IFERROR(__xludf.DUMMYFUNCTION("""COMPUTED_VALUE"""),1.21338)</f>
        <v>1.21338</v>
      </c>
      <c r="R14" s="506">
        <f>IFERROR(__xludf.DUMMYFUNCTION("""COMPUTED_VALUE"""),1.40238)</f>
        <v>1.40238</v>
      </c>
      <c r="S14" s="506">
        <f>IFERROR(__xludf.DUMMYFUNCTION("""COMPUTED_VALUE"""),1.59138)</f>
        <v>1.59138</v>
      </c>
      <c r="T14" s="506">
        <f>IFERROR(__xludf.DUMMYFUNCTION("""COMPUTED_VALUE"""),1.89)</f>
        <v>1.89</v>
      </c>
      <c r="U14" s="506">
        <f>IFERROR(__xludf.DUMMYFUNCTION("""COMPUTED_VALUE"""),2.268)</f>
        <v>2.268</v>
      </c>
      <c r="V14" s="506">
        <f>IFERROR(__xludf.DUMMYFUNCTION("""COMPUTED_VALUE"""),2.379132)</f>
        <v>2.379132</v>
      </c>
      <c r="W14" s="506">
        <f>IFERROR(__xludf.DUMMYFUNCTION("""COMPUTED_VALUE"""),2.395008)</f>
        <v>2.395008</v>
      </c>
      <c r="X14" s="509"/>
      <c r="Y14" s="510"/>
      <c r="Z14" s="511"/>
      <c r="AA14" s="512"/>
      <c r="AB14" s="513"/>
      <c r="AC14" s="513"/>
      <c r="AD14" s="513"/>
      <c r="AE14" s="513"/>
      <c r="AF14" s="513"/>
      <c r="AG14" s="513"/>
      <c r="AH14" s="514"/>
      <c r="AI14" s="509"/>
      <c r="AJ14" s="399">
        <f>IFERROR(__xludf.DUMMYFUNCTION("""COMPUTED_VALUE"""),2.0)</f>
        <v>2</v>
      </c>
      <c r="AK14" s="400" t="str">
        <f>IFERROR(__xludf.DUMMYFUNCTION("""COMPUTED_VALUE"""),"合計回復量(%)")</f>
        <v>合計回復量(%)</v>
      </c>
      <c r="AL14" s="423">
        <f>IFERROR(__xludf.DUMMYFUNCTION("""COMPUTED_VALUE"""),6.3180000000000005)</f>
        <v>6.318</v>
      </c>
      <c r="AM14" s="423">
        <f>IFERROR(__xludf.DUMMYFUNCTION("""COMPUTED_VALUE"""),7.45362)</f>
        <v>7.45362</v>
      </c>
      <c r="AN14" s="423">
        <f>IFERROR(__xludf.DUMMYFUNCTION("""COMPUTED_VALUE"""),9.415980000000001)</f>
        <v>9.41598</v>
      </c>
      <c r="AO14" s="423">
        <f>IFERROR(__xludf.DUMMYFUNCTION("""COMPUTED_VALUE"""),11.594339999999999)</f>
        <v>11.59434</v>
      </c>
      <c r="AP14" s="423">
        <f>IFERROR(__xludf.DUMMYFUNCTION("""COMPUTED_VALUE"""),15.12)</f>
        <v>15.12</v>
      </c>
      <c r="AQ14" s="423">
        <f>IFERROR(__xludf.DUMMYFUNCTION("""COMPUTED_VALUE"""),21.384)</f>
        <v>21.384</v>
      </c>
      <c r="AR14" s="423">
        <f>IFERROR(__xludf.DUMMYFUNCTION("""COMPUTED_VALUE"""),30.928716)</f>
        <v>30.928716</v>
      </c>
      <c r="AS14" s="515">
        <f>IFERROR(__xludf.DUMMYFUNCTION("""COMPUTED_VALUE"""),32.161536)</f>
        <v>32.161536</v>
      </c>
      <c r="AT14" s="115"/>
      <c r="AU14" s="115"/>
      <c r="AV14" s="115"/>
      <c r="AW14" s="115"/>
      <c r="AX14" s="115"/>
      <c r="AY14" s="115"/>
      <c r="AZ14" s="115"/>
      <c r="BA14" s="115"/>
      <c r="BB14" s="115"/>
      <c r="BC14" s="115"/>
    </row>
    <row r="15">
      <c r="A15" s="497"/>
      <c r="B15" s="505" t="str">
        <f>IFERROR(__xludf.DUMMYFUNCTION("""COMPUTED_VALUE"""),"or")</f>
        <v>or</v>
      </c>
      <c r="C15" s="386">
        <f>IFERROR(__xludf.DUMMYFUNCTION("""COMPUTED_VALUE"""),2.0)</f>
        <v>2</v>
      </c>
      <c r="D15" s="387" t="str">
        <f>IFERROR(__xludf.DUMMYFUNCTION("""COMPUTED_VALUE"""),"効果時間")</f>
        <v>効果時間</v>
      </c>
      <c r="E15" s="516">
        <f>IFERROR(__xludf.DUMMYFUNCTION("""COMPUTED_VALUE"""),195.0)</f>
        <v>195</v>
      </c>
      <c r="F15" s="516">
        <f>IFERROR(__xludf.DUMMYFUNCTION("""COMPUTED_VALUE"""),215.0)</f>
        <v>215</v>
      </c>
      <c r="G15" s="516">
        <f>IFERROR(__xludf.DUMMYFUNCTION("""COMPUTED_VALUE"""),235.0)</f>
        <v>235</v>
      </c>
      <c r="H15" s="517">
        <f>IFERROR(__xludf.DUMMYFUNCTION("""COMPUTED_VALUE"""),255.0)</f>
        <v>255</v>
      </c>
      <c r="I15" s="516">
        <f>IFERROR(__xludf.DUMMYFUNCTION("""COMPUTED_VALUE"""),280.0)</f>
        <v>280</v>
      </c>
      <c r="J15" s="517">
        <f>IFERROR(__xludf.DUMMYFUNCTION("""COMPUTED_VALUE"""),330.0)</f>
        <v>330</v>
      </c>
      <c r="K15" s="516">
        <f>IFERROR(__xludf.DUMMYFUNCTION("""COMPUTED_VALUE"""),455.0)</f>
        <v>455</v>
      </c>
      <c r="L15" s="517">
        <f>IFERROR(__xludf.DUMMYFUNCTION("""COMPUTED_VALUE"""),470.0)</f>
        <v>470</v>
      </c>
      <c r="M15" s="497"/>
      <c r="N15" s="386">
        <f>IFERROR(__xludf.DUMMYFUNCTION("""COMPUTED_VALUE"""),2.0)</f>
        <v>2</v>
      </c>
      <c r="O15" s="387" t="str">
        <f>IFERROR(__xludf.DUMMYFUNCTION("""COMPUTED_VALUE"""),"効果時間")</f>
        <v>効果時間</v>
      </c>
      <c r="P15" s="516">
        <f>IFERROR(__xludf.DUMMYFUNCTION("""COMPUTED_VALUE"""),195.0)</f>
        <v>195</v>
      </c>
      <c r="Q15" s="516">
        <f>IFERROR(__xludf.DUMMYFUNCTION("""COMPUTED_VALUE"""),215.0)</f>
        <v>215</v>
      </c>
      <c r="R15" s="516">
        <f>IFERROR(__xludf.DUMMYFUNCTION("""COMPUTED_VALUE"""),235.0)</f>
        <v>235</v>
      </c>
      <c r="S15" s="516">
        <f>IFERROR(__xludf.DUMMYFUNCTION("""COMPUTED_VALUE"""),255.0)</f>
        <v>255</v>
      </c>
      <c r="T15" s="516">
        <f>IFERROR(__xludf.DUMMYFUNCTION("""COMPUTED_VALUE"""),280.0)</f>
        <v>280</v>
      </c>
      <c r="U15" s="516">
        <f>IFERROR(__xludf.DUMMYFUNCTION("""COMPUTED_VALUE"""),330.0)</f>
        <v>330</v>
      </c>
      <c r="V15" s="516">
        <f>IFERROR(__xludf.DUMMYFUNCTION("""COMPUTED_VALUE"""),455.0)</f>
        <v>455</v>
      </c>
      <c r="W15" s="516">
        <f>IFERROR(__xludf.DUMMYFUNCTION("""COMPUTED_VALUE"""),470.0)</f>
        <v>470</v>
      </c>
      <c r="X15" s="497"/>
      <c r="Y15" s="498"/>
      <c r="Z15" s="518"/>
      <c r="AA15" s="519"/>
      <c r="AB15" s="519"/>
      <c r="AC15" s="519"/>
      <c r="AD15" s="520"/>
      <c r="AE15" s="519"/>
      <c r="AF15" s="520"/>
      <c r="AG15" s="519"/>
      <c r="AH15" s="520"/>
      <c r="AI15" s="497"/>
      <c r="AJ15" s="386">
        <f>IFERROR(__xludf.DUMMYFUNCTION("""COMPUTED_VALUE"""),2.0)</f>
        <v>2</v>
      </c>
      <c r="AK15" s="502" t="str">
        <f>IFERROR(__xludf.DUMMYFUNCTION("""COMPUTED_VALUE"""),"効果時間(s)")</f>
        <v>効果時間(s)</v>
      </c>
      <c r="AL15" s="503">
        <f>IFERROR(__xludf.DUMMYFUNCTION("""COMPUTED_VALUE"""),3.9)</f>
        <v>3.9</v>
      </c>
      <c r="AM15" s="503">
        <f>IFERROR(__xludf.DUMMYFUNCTION("""COMPUTED_VALUE"""),4.3)</f>
        <v>4.3</v>
      </c>
      <c r="AN15" s="503">
        <f>IFERROR(__xludf.DUMMYFUNCTION("""COMPUTED_VALUE"""),4.7)</f>
        <v>4.7</v>
      </c>
      <c r="AO15" s="503">
        <f>IFERROR(__xludf.DUMMYFUNCTION("""COMPUTED_VALUE"""),5.1)</f>
        <v>5.1</v>
      </c>
      <c r="AP15" s="503">
        <f>IFERROR(__xludf.DUMMYFUNCTION("""COMPUTED_VALUE"""),5.6)</f>
        <v>5.6</v>
      </c>
      <c r="AQ15" s="503">
        <f>IFERROR(__xludf.DUMMYFUNCTION("""COMPUTED_VALUE"""),6.6)</f>
        <v>6.6</v>
      </c>
      <c r="AR15" s="503">
        <f>IFERROR(__xludf.DUMMYFUNCTION("""COMPUTED_VALUE"""),9.1)</f>
        <v>9.1</v>
      </c>
      <c r="AS15" s="504">
        <f>IFERROR(__xludf.DUMMYFUNCTION("""COMPUTED_VALUE"""),9.4)</f>
        <v>9.4</v>
      </c>
      <c r="AT15" s="115"/>
      <c r="AU15" s="115"/>
      <c r="AV15" s="115"/>
      <c r="AW15" s="115"/>
      <c r="AX15" s="115"/>
      <c r="AY15" s="115"/>
      <c r="AZ15" s="115"/>
      <c r="BA15" s="115"/>
      <c r="BB15" s="115"/>
      <c r="BC15" s="115"/>
    </row>
    <row r="16">
      <c r="A16" s="497"/>
      <c r="B16" s="521" t="str">
        <f>IFERROR(__xludf.DUMMYFUNCTION("""COMPUTED_VALUE"""),"タップしたコマ(属性orロール)")</f>
        <v>タップしたコマ(属性orロール)</v>
      </c>
      <c r="C16" s="399">
        <f>IFERROR(__xludf.DUMMYFUNCTION("""COMPUTED_VALUE"""),3.0)</f>
        <v>3</v>
      </c>
      <c r="D16" s="400" t="str">
        <f>IFERROR(__xludf.DUMMYFUNCTION("""COMPUTED_VALUE"""),"効果値")</f>
        <v>効果値</v>
      </c>
      <c r="E16" s="522">
        <f>IFERROR(__xludf.DUMMYFUNCTION("""COMPUTED_VALUE"""),1.62)</f>
        <v>1.62</v>
      </c>
      <c r="F16" s="523">
        <f>IFERROR(__xludf.DUMMYFUNCTION("""COMPUTED_VALUE"""),1.8090000000000002)</f>
        <v>1.809</v>
      </c>
      <c r="G16" s="523">
        <f>IFERROR(__xludf.DUMMYFUNCTION("""COMPUTED_VALUE"""),2.079)</f>
        <v>2.079</v>
      </c>
      <c r="H16" s="523">
        <f>IFERROR(__xludf.DUMMYFUNCTION("""COMPUTED_VALUE"""),2.349)</f>
        <v>2.349</v>
      </c>
      <c r="I16" s="523">
        <f>IFERROR(__xludf.DUMMYFUNCTION("""COMPUTED_VALUE"""),2.7)</f>
        <v>2.7</v>
      </c>
      <c r="J16" s="523">
        <f>IFERROR(__xludf.DUMMYFUNCTION("""COMPUTED_VALUE"""),3.24)</f>
        <v>3.24</v>
      </c>
      <c r="K16" s="523">
        <f>IFERROR(__xludf.DUMMYFUNCTION("""COMPUTED_VALUE"""),3.5046000000000004)</f>
        <v>3.5046</v>
      </c>
      <c r="L16" s="524">
        <f>IFERROR(__xludf.DUMMYFUNCTION("""COMPUTED_VALUE"""),3.5424)</f>
        <v>3.5424</v>
      </c>
      <c r="M16" s="497"/>
      <c r="N16" s="399">
        <f>IFERROR(__xludf.DUMMYFUNCTION("""COMPUTED_VALUE"""),3.0)</f>
        <v>3</v>
      </c>
      <c r="O16" s="400" t="str">
        <f>IFERROR(__xludf.DUMMYFUNCTION("""COMPUTED_VALUE"""),"効果値")</f>
        <v>効果値</v>
      </c>
      <c r="P16" s="506">
        <f>IFERROR(__xludf.DUMMYFUNCTION("""COMPUTED_VALUE"""),1.134)</f>
        <v>1.134</v>
      </c>
      <c r="Q16" s="506">
        <f>IFERROR(__xludf.DUMMYFUNCTION("""COMPUTED_VALUE"""),1.2663)</f>
        <v>1.2663</v>
      </c>
      <c r="R16" s="506">
        <f>IFERROR(__xludf.DUMMYFUNCTION("""COMPUTED_VALUE"""),1.4553)</f>
        <v>1.4553</v>
      </c>
      <c r="S16" s="506">
        <f>IFERROR(__xludf.DUMMYFUNCTION("""COMPUTED_VALUE"""),1.6443)</f>
        <v>1.6443</v>
      </c>
      <c r="T16" s="506">
        <f>IFERROR(__xludf.DUMMYFUNCTION("""COMPUTED_VALUE"""),1.89)</f>
        <v>1.89</v>
      </c>
      <c r="U16" s="506">
        <f>IFERROR(__xludf.DUMMYFUNCTION("""COMPUTED_VALUE"""),2.268)</f>
        <v>2.268</v>
      </c>
      <c r="V16" s="506">
        <f>IFERROR(__xludf.DUMMYFUNCTION("""COMPUTED_VALUE"""),2.45322)</f>
        <v>2.45322</v>
      </c>
      <c r="W16" s="506">
        <f>IFERROR(__xludf.DUMMYFUNCTION("""COMPUTED_VALUE"""),2.47968)</f>
        <v>2.47968</v>
      </c>
      <c r="X16" s="497"/>
      <c r="Y16" s="510"/>
      <c r="Z16" s="511"/>
      <c r="AA16" s="525"/>
      <c r="AB16" s="526"/>
      <c r="AC16" s="526"/>
      <c r="AD16" s="526"/>
      <c r="AE16" s="526"/>
      <c r="AF16" s="526"/>
      <c r="AG16" s="526"/>
      <c r="AH16" s="527"/>
      <c r="AI16" s="497"/>
      <c r="AJ16" s="399">
        <f>IFERROR(__xludf.DUMMYFUNCTION("""COMPUTED_VALUE"""),3.0)</f>
        <v>3</v>
      </c>
      <c r="AK16" s="400" t="str">
        <f>IFERROR(__xludf.DUMMYFUNCTION("""COMPUTED_VALUE"""),"合計回復量(%)")</f>
        <v>合計回復量(%)</v>
      </c>
      <c r="AL16" s="423">
        <f>IFERROR(__xludf.DUMMYFUNCTION("""COMPUTED_VALUE"""),7.128000000000001)</f>
        <v>7.128</v>
      </c>
      <c r="AM16" s="423">
        <f>IFERROR(__xludf.DUMMYFUNCTION("""COMPUTED_VALUE"""),9.2259)</f>
        <v>9.2259</v>
      </c>
      <c r="AN16" s="423">
        <f>IFERROR(__xludf.DUMMYFUNCTION("""COMPUTED_VALUE"""),12.058200000000001)</f>
        <v>12.0582</v>
      </c>
      <c r="AO16" s="423">
        <f>IFERROR(__xludf.DUMMYFUNCTION("""COMPUTED_VALUE"""),15.268500000000001)</f>
        <v>15.2685</v>
      </c>
      <c r="AP16" s="423">
        <f>IFERROR(__xludf.DUMMYFUNCTION("""COMPUTED_VALUE"""),19.44)</f>
        <v>19.44</v>
      </c>
      <c r="AQ16" s="423">
        <f>IFERROR(__xludf.DUMMYFUNCTION("""COMPUTED_VALUE"""),26.567999999999998)</f>
        <v>26.568</v>
      </c>
      <c r="AR16" s="423">
        <f>IFERROR(__xludf.DUMMYFUNCTION("""COMPUTED_VALUE"""),36.798300000000005)</f>
        <v>36.7983</v>
      </c>
      <c r="AS16" s="515">
        <f>IFERROR(__xludf.DUMMYFUNCTION("""COMPUTED_VALUE"""),38.61216)</f>
        <v>38.61216</v>
      </c>
      <c r="AT16" s="115"/>
      <c r="AU16" s="115"/>
      <c r="AV16" s="115"/>
      <c r="AW16" s="115"/>
      <c r="AX16" s="115"/>
      <c r="AY16" s="115"/>
      <c r="AZ16" s="115"/>
      <c r="BA16" s="115"/>
      <c r="BB16" s="115"/>
      <c r="BC16" s="115"/>
    </row>
    <row r="17">
      <c r="A17" s="509"/>
      <c r="B17" s="528"/>
      <c r="C17" s="386">
        <f>IFERROR(__xludf.DUMMYFUNCTION("""COMPUTED_VALUE"""),3.0)</f>
        <v>3</v>
      </c>
      <c r="D17" s="387" t="str">
        <f>IFERROR(__xludf.DUMMYFUNCTION("""COMPUTED_VALUE"""),"効果時間")</f>
        <v>効果時間</v>
      </c>
      <c r="E17" s="516">
        <f>IFERROR(__xludf.DUMMYFUNCTION("""COMPUTED_VALUE"""),220.0)</f>
        <v>220</v>
      </c>
      <c r="F17" s="516">
        <f>IFERROR(__xludf.DUMMYFUNCTION("""COMPUTED_VALUE"""),255.0)</f>
        <v>255</v>
      </c>
      <c r="G17" s="516">
        <f>IFERROR(__xludf.DUMMYFUNCTION("""COMPUTED_VALUE"""),290.0)</f>
        <v>290</v>
      </c>
      <c r="H17" s="517">
        <f>IFERROR(__xludf.DUMMYFUNCTION("""COMPUTED_VALUE"""),325.0)</f>
        <v>325</v>
      </c>
      <c r="I17" s="516">
        <f>IFERROR(__xludf.DUMMYFUNCTION("""COMPUTED_VALUE"""),360.0)</f>
        <v>360</v>
      </c>
      <c r="J17" s="517">
        <f>IFERROR(__xludf.DUMMYFUNCTION("""COMPUTED_VALUE"""),410.0)</f>
        <v>410</v>
      </c>
      <c r="K17" s="516">
        <f>IFERROR(__xludf.DUMMYFUNCTION("""COMPUTED_VALUE"""),525.0)</f>
        <v>525</v>
      </c>
      <c r="L17" s="517">
        <f>IFERROR(__xludf.DUMMYFUNCTION("""COMPUTED_VALUE"""),545.0)</f>
        <v>545</v>
      </c>
      <c r="M17" s="497"/>
      <c r="N17" s="386">
        <f>IFERROR(__xludf.DUMMYFUNCTION("""COMPUTED_VALUE"""),3.0)</f>
        <v>3</v>
      </c>
      <c r="O17" s="387" t="str">
        <f>IFERROR(__xludf.DUMMYFUNCTION("""COMPUTED_VALUE"""),"効果時間")</f>
        <v>効果時間</v>
      </c>
      <c r="P17" s="516">
        <f>IFERROR(__xludf.DUMMYFUNCTION("""COMPUTED_VALUE"""),220.0)</f>
        <v>220</v>
      </c>
      <c r="Q17" s="516">
        <f>IFERROR(__xludf.DUMMYFUNCTION("""COMPUTED_VALUE"""),255.0)</f>
        <v>255</v>
      </c>
      <c r="R17" s="516">
        <f>IFERROR(__xludf.DUMMYFUNCTION("""COMPUTED_VALUE"""),290.0)</f>
        <v>290</v>
      </c>
      <c r="S17" s="516">
        <f>IFERROR(__xludf.DUMMYFUNCTION("""COMPUTED_VALUE"""),325.0)</f>
        <v>325</v>
      </c>
      <c r="T17" s="516">
        <f>IFERROR(__xludf.DUMMYFUNCTION("""COMPUTED_VALUE"""),360.0)</f>
        <v>360</v>
      </c>
      <c r="U17" s="516">
        <f>IFERROR(__xludf.DUMMYFUNCTION("""COMPUTED_VALUE"""),410.0)</f>
        <v>410</v>
      </c>
      <c r="V17" s="516">
        <f>IFERROR(__xludf.DUMMYFUNCTION("""COMPUTED_VALUE"""),525.0)</f>
        <v>525</v>
      </c>
      <c r="W17" s="516">
        <f>IFERROR(__xludf.DUMMYFUNCTION("""COMPUTED_VALUE"""),545.0)</f>
        <v>545</v>
      </c>
      <c r="X17" s="497"/>
      <c r="Y17" s="498"/>
      <c r="Z17" s="518"/>
      <c r="AA17" s="519"/>
      <c r="AB17" s="519"/>
      <c r="AC17" s="519"/>
      <c r="AD17" s="520"/>
      <c r="AE17" s="519"/>
      <c r="AF17" s="520"/>
      <c r="AG17" s="519"/>
      <c r="AH17" s="520"/>
      <c r="AI17" s="497"/>
      <c r="AJ17" s="386">
        <f>IFERROR(__xludf.DUMMYFUNCTION("""COMPUTED_VALUE"""),3.0)</f>
        <v>3</v>
      </c>
      <c r="AK17" s="502" t="str">
        <f>IFERROR(__xludf.DUMMYFUNCTION("""COMPUTED_VALUE"""),"効果時間(s)")</f>
        <v>効果時間(s)</v>
      </c>
      <c r="AL17" s="503">
        <f>IFERROR(__xludf.DUMMYFUNCTION("""COMPUTED_VALUE"""),4.4)</f>
        <v>4.4</v>
      </c>
      <c r="AM17" s="503">
        <f>IFERROR(__xludf.DUMMYFUNCTION("""COMPUTED_VALUE"""),5.1)</f>
        <v>5.1</v>
      </c>
      <c r="AN17" s="503">
        <f>IFERROR(__xludf.DUMMYFUNCTION("""COMPUTED_VALUE"""),5.8)</f>
        <v>5.8</v>
      </c>
      <c r="AO17" s="503">
        <f>IFERROR(__xludf.DUMMYFUNCTION("""COMPUTED_VALUE"""),6.5)</f>
        <v>6.5</v>
      </c>
      <c r="AP17" s="503">
        <f>IFERROR(__xludf.DUMMYFUNCTION("""COMPUTED_VALUE"""),7.2)</f>
        <v>7.2</v>
      </c>
      <c r="AQ17" s="503">
        <f>IFERROR(__xludf.DUMMYFUNCTION("""COMPUTED_VALUE"""),8.2)</f>
        <v>8.2</v>
      </c>
      <c r="AR17" s="503">
        <f>IFERROR(__xludf.DUMMYFUNCTION("""COMPUTED_VALUE"""),10.5)</f>
        <v>10.5</v>
      </c>
      <c r="AS17" s="504">
        <f>IFERROR(__xludf.DUMMYFUNCTION("""COMPUTED_VALUE"""),10.9)</f>
        <v>10.9</v>
      </c>
      <c r="AT17" s="115"/>
      <c r="AU17" s="115"/>
      <c r="AV17" s="115"/>
      <c r="AW17" s="115"/>
      <c r="AX17" s="115"/>
      <c r="AY17" s="115"/>
      <c r="AZ17" s="115"/>
      <c r="BA17" s="115"/>
      <c r="BB17" s="115"/>
      <c r="BC17" s="115"/>
    </row>
    <row r="18">
      <c r="A18" s="497"/>
      <c r="B18" s="528"/>
      <c r="C18" s="399">
        <f>IFERROR(__xludf.DUMMYFUNCTION("""COMPUTED_VALUE"""),4.0)</f>
        <v>4</v>
      </c>
      <c r="D18" s="400" t="str">
        <f>IFERROR(__xludf.DUMMYFUNCTION("""COMPUTED_VALUE"""),"効果値")</f>
        <v>効果値</v>
      </c>
      <c r="E18" s="522">
        <f>IFERROR(__xludf.DUMMYFUNCTION("""COMPUTED_VALUE"""),1.62)</f>
        <v>1.62</v>
      </c>
      <c r="F18" s="523">
        <f>IFERROR(__xludf.DUMMYFUNCTION("""COMPUTED_VALUE"""),1.8576000000000001)</f>
        <v>1.8576</v>
      </c>
      <c r="G18" s="523">
        <f>IFERROR(__xludf.DUMMYFUNCTION("""COMPUTED_VALUE"""),2.1276)</f>
        <v>2.1276</v>
      </c>
      <c r="H18" s="523">
        <f>IFERROR(__xludf.DUMMYFUNCTION("""COMPUTED_VALUE"""),2.3976)</f>
        <v>2.3976</v>
      </c>
      <c r="I18" s="523">
        <f>IFERROR(__xludf.DUMMYFUNCTION("""COMPUTED_VALUE"""),2.7)</f>
        <v>2.7</v>
      </c>
      <c r="J18" s="523">
        <f>IFERROR(__xludf.DUMMYFUNCTION("""COMPUTED_VALUE"""),3.24)</f>
        <v>3.24</v>
      </c>
      <c r="K18" s="523">
        <f>IFERROR(__xludf.DUMMYFUNCTION("""COMPUTED_VALUE"""),3.5726400000000003)</f>
        <v>3.57264</v>
      </c>
      <c r="L18" s="524">
        <f>IFERROR(__xludf.DUMMYFUNCTION("""COMPUTED_VALUE"""),3.6201600000000003)</f>
        <v>3.62016</v>
      </c>
      <c r="M18" s="509"/>
      <c r="N18" s="399">
        <f>IFERROR(__xludf.DUMMYFUNCTION("""COMPUTED_VALUE"""),4.0)</f>
        <v>4</v>
      </c>
      <c r="O18" s="400" t="str">
        <f>IFERROR(__xludf.DUMMYFUNCTION("""COMPUTED_VALUE"""),"効果値")</f>
        <v>効果値</v>
      </c>
      <c r="P18" s="506">
        <f>IFERROR(__xludf.DUMMYFUNCTION("""COMPUTED_VALUE"""),1.134)</f>
        <v>1.134</v>
      </c>
      <c r="Q18" s="506">
        <f>IFERROR(__xludf.DUMMYFUNCTION("""COMPUTED_VALUE"""),1.30032)</f>
        <v>1.30032</v>
      </c>
      <c r="R18" s="506">
        <f>IFERROR(__xludf.DUMMYFUNCTION("""COMPUTED_VALUE"""),1.48932)</f>
        <v>1.48932</v>
      </c>
      <c r="S18" s="506">
        <f>IFERROR(__xludf.DUMMYFUNCTION("""COMPUTED_VALUE"""),1.67832)</f>
        <v>1.67832</v>
      </c>
      <c r="T18" s="506">
        <f>IFERROR(__xludf.DUMMYFUNCTION("""COMPUTED_VALUE"""),1.89)</f>
        <v>1.89</v>
      </c>
      <c r="U18" s="506">
        <f>IFERROR(__xludf.DUMMYFUNCTION("""COMPUTED_VALUE"""),2.268)</f>
        <v>2.268</v>
      </c>
      <c r="V18" s="506">
        <f>IFERROR(__xludf.DUMMYFUNCTION("""COMPUTED_VALUE"""),2.500848)</f>
        <v>2.500848</v>
      </c>
      <c r="W18" s="506">
        <f>IFERROR(__xludf.DUMMYFUNCTION("""COMPUTED_VALUE"""),2.534112)</f>
        <v>2.534112</v>
      </c>
      <c r="X18" s="509"/>
      <c r="Y18" s="510"/>
      <c r="Z18" s="511"/>
      <c r="AA18" s="525"/>
      <c r="AB18" s="526"/>
      <c r="AC18" s="526"/>
      <c r="AD18" s="526"/>
      <c r="AE18" s="526"/>
      <c r="AF18" s="526"/>
      <c r="AG18" s="526"/>
      <c r="AH18" s="527"/>
      <c r="AI18" s="509"/>
      <c r="AJ18" s="399">
        <f>IFERROR(__xludf.DUMMYFUNCTION("""COMPUTED_VALUE"""),4.0)</f>
        <v>4</v>
      </c>
      <c r="AK18" s="529" t="str">
        <f>IFERROR(__xludf.DUMMYFUNCTION("""COMPUTED_VALUE"""),"合計回復量(%)")</f>
        <v>合計回復量(%)</v>
      </c>
      <c r="AL18" s="393">
        <f>IFERROR(__xludf.DUMMYFUNCTION("""COMPUTED_VALUE"""),7.776)</f>
        <v>7.776</v>
      </c>
      <c r="AM18" s="393">
        <f>IFERROR(__xludf.DUMMYFUNCTION("""COMPUTED_VALUE"""),10.588320000000001)</f>
        <v>10.58832</v>
      </c>
      <c r="AN18" s="393">
        <f>IFERROR(__xludf.DUMMYFUNCTION("""COMPUTED_VALUE"""),14.04216)</f>
        <v>14.04216</v>
      </c>
      <c r="AO18" s="393">
        <f>IFERROR(__xludf.DUMMYFUNCTION("""COMPUTED_VALUE"""),17.742240000000002)</f>
        <v>17.74224</v>
      </c>
      <c r="AP18" s="393">
        <f>IFERROR(__xludf.DUMMYFUNCTION("""COMPUTED_VALUE"""),22.410000000000004)</f>
        <v>22.41</v>
      </c>
      <c r="AQ18" s="393">
        <f>IFERROR(__xludf.DUMMYFUNCTION("""COMPUTED_VALUE"""),30.132000000000005)</f>
        <v>30.132</v>
      </c>
      <c r="AR18" s="393">
        <f>IFERROR(__xludf.DUMMYFUNCTION("""COMPUTED_VALUE"""),40.728096)</f>
        <v>40.728096</v>
      </c>
      <c r="AS18" s="530">
        <f>IFERROR(__xludf.DUMMYFUNCTION("""COMPUTED_VALUE"""),43.079904000000006)</f>
        <v>43.079904</v>
      </c>
      <c r="AT18" s="115"/>
      <c r="AU18" s="115"/>
      <c r="AV18" s="115"/>
      <c r="AW18" s="115"/>
      <c r="AX18" s="115"/>
      <c r="AY18" s="115"/>
      <c r="AZ18" s="115"/>
      <c r="BA18" s="115"/>
      <c r="BB18" s="115"/>
      <c r="BC18" s="115"/>
    </row>
    <row r="19">
      <c r="A19" s="497"/>
      <c r="B19" s="528"/>
      <c r="C19" s="386">
        <f>IFERROR(__xludf.DUMMYFUNCTION("""COMPUTED_VALUE"""),4.0)</f>
        <v>4</v>
      </c>
      <c r="D19" s="387" t="str">
        <f>IFERROR(__xludf.DUMMYFUNCTION("""COMPUTED_VALUE"""),"効果時間")</f>
        <v>効果時間</v>
      </c>
      <c r="E19" s="531">
        <f>IFERROR(__xludf.DUMMYFUNCTION("""COMPUTED_VALUE"""),240.0)</f>
        <v>240</v>
      </c>
      <c r="F19" s="531">
        <f>IFERROR(__xludf.DUMMYFUNCTION("""COMPUTED_VALUE"""),285.0)</f>
        <v>285</v>
      </c>
      <c r="G19" s="531">
        <f>IFERROR(__xludf.DUMMYFUNCTION("""COMPUTED_VALUE"""),330.0)</f>
        <v>330</v>
      </c>
      <c r="H19" s="532">
        <f>IFERROR(__xludf.DUMMYFUNCTION("""COMPUTED_VALUE"""),370.0)</f>
        <v>370</v>
      </c>
      <c r="I19" s="531">
        <f>IFERROR(__xludf.DUMMYFUNCTION("""COMPUTED_VALUE"""),415.0)</f>
        <v>415</v>
      </c>
      <c r="J19" s="532">
        <f>IFERROR(__xludf.DUMMYFUNCTION("""COMPUTED_VALUE"""),465.0)</f>
        <v>465</v>
      </c>
      <c r="K19" s="531">
        <f>IFERROR(__xludf.DUMMYFUNCTION("""COMPUTED_VALUE"""),570.0)</f>
        <v>570</v>
      </c>
      <c r="L19" s="532">
        <f>IFERROR(__xludf.DUMMYFUNCTION("""COMPUTED_VALUE"""),595.0)</f>
        <v>595</v>
      </c>
      <c r="M19" s="509"/>
      <c r="N19" s="386">
        <f>IFERROR(__xludf.DUMMYFUNCTION("""COMPUTED_VALUE"""),4.0)</f>
        <v>4</v>
      </c>
      <c r="O19" s="387" t="str">
        <f>IFERROR(__xludf.DUMMYFUNCTION("""COMPUTED_VALUE"""),"効果時間")</f>
        <v>効果時間</v>
      </c>
      <c r="P19" s="516">
        <f>IFERROR(__xludf.DUMMYFUNCTION("""COMPUTED_VALUE"""),240.0)</f>
        <v>240</v>
      </c>
      <c r="Q19" s="516">
        <f>IFERROR(__xludf.DUMMYFUNCTION("""COMPUTED_VALUE"""),285.0)</f>
        <v>285</v>
      </c>
      <c r="R19" s="516">
        <f>IFERROR(__xludf.DUMMYFUNCTION("""COMPUTED_VALUE"""),330.0)</f>
        <v>330</v>
      </c>
      <c r="S19" s="516">
        <f>IFERROR(__xludf.DUMMYFUNCTION("""COMPUTED_VALUE"""),370.0)</f>
        <v>370</v>
      </c>
      <c r="T19" s="516">
        <f>IFERROR(__xludf.DUMMYFUNCTION("""COMPUTED_VALUE"""),415.0)</f>
        <v>415</v>
      </c>
      <c r="U19" s="516">
        <f>IFERROR(__xludf.DUMMYFUNCTION("""COMPUTED_VALUE"""),465.0)</f>
        <v>465</v>
      </c>
      <c r="V19" s="516">
        <f>IFERROR(__xludf.DUMMYFUNCTION("""COMPUTED_VALUE"""),570.0)</f>
        <v>570</v>
      </c>
      <c r="W19" s="516">
        <f>IFERROR(__xludf.DUMMYFUNCTION("""COMPUTED_VALUE"""),595.0)</f>
        <v>595</v>
      </c>
      <c r="X19" s="509"/>
      <c r="Y19" s="498"/>
      <c r="Z19" s="518"/>
      <c r="AA19" s="500"/>
      <c r="AB19" s="500"/>
      <c r="AC19" s="500"/>
      <c r="AD19" s="501"/>
      <c r="AE19" s="500"/>
      <c r="AF19" s="501"/>
      <c r="AG19" s="500"/>
      <c r="AH19" s="501"/>
      <c r="AI19" s="509"/>
      <c r="AJ19" s="386">
        <f>IFERROR(__xludf.DUMMYFUNCTION("""COMPUTED_VALUE"""),4.0)</f>
        <v>4</v>
      </c>
      <c r="AK19" s="502" t="str">
        <f>IFERROR(__xludf.DUMMYFUNCTION("""COMPUTED_VALUE"""),"効果時間(s)")</f>
        <v>効果時間(s)</v>
      </c>
      <c r="AL19" s="503">
        <f>IFERROR(__xludf.DUMMYFUNCTION("""COMPUTED_VALUE"""),4.8)</f>
        <v>4.8</v>
      </c>
      <c r="AM19" s="503">
        <f>IFERROR(__xludf.DUMMYFUNCTION("""COMPUTED_VALUE"""),5.7)</f>
        <v>5.7</v>
      </c>
      <c r="AN19" s="503">
        <f>IFERROR(__xludf.DUMMYFUNCTION("""COMPUTED_VALUE"""),6.6)</f>
        <v>6.6</v>
      </c>
      <c r="AO19" s="503">
        <f>IFERROR(__xludf.DUMMYFUNCTION("""COMPUTED_VALUE"""),7.4)</f>
        <v>7.4</v>
      </c>
      <c r="AP19" s="503">
        <f>IFERROR(__xludf.DUMMYFUNCTION("""COMPUTED_VALUE"""),8.3)</f>
        <v>8.3</v>
      </c>
      <c r="AQ19" s="503">
        <f>IFERROR(__xludf.DUMMYFUNCTION("""COMPUTED_VALUE"""),9.3)</f>
        <v>9.3</v>
      </c>
      <c r="AR19" s="503">
        <f>IFERROR(__xludf.DUMMYFUNCTION("""COMPUTED_VALUE"""),11.4)</f>
        <v>11.4</v>
      </c>
      <c r="AS19" s="504">
        <f>IFERROR(__xludf.DUMMYFUNCTION("""COMPUTED_VALUE"""),11.9)</f>
        <v>11.9</v>
      </c>
      <c r="AT19" s="115"/>
      <c r="AU19" s="115"/>
      <c r="AV19" s="115"/>
      <c r="AW19" s="115"/>
      <c r="AX19" s="115"/>
      <c r="AY19" s="115"/>
      <c r="AZ19" s="115"/>
      <c r="BA19" s="115"/>
      <c r="BB19" s="115"/>
      <c r="BC19" s="115"/>
    </row>
    <row r="20">
      <c r="A20" s="495"/>
      <c r="B20" s="528"/>
      <c r="C20" s="399">
        <f>IFERROR(__xludf.DUMMYFUNCTION("""COMPUTED_VALUE"""),5.0)</f>
        <v>5</v>
      </c>
      <c r="D20" s="400" t="str">
        <f>IFERROR(__xludf.DUMMYFUNCTION("""COMPUTED_VALUE"""),"効果値")</f>
        <v>効果値</v>
      </c>
      <c r="E20" s="533">
        <f>IFERROR(__xludf.DUMMYFUNCTION("""COMPUTED_VALUE"""),1.62)</f>
        <v>1.62</v>
      </c>
      <c r="F20" s="533">
        <f>IFERROR(__xludf.DUMMYFUNCTION("""COMPUTED_VALUE"""),1.8900000000000001)</f>
        <v>1.89</v>
      </c>
      <c r="G20" s="533">
        <f>IFERROR(__xludf.DUMMYFUNCTION("""COMPUTED_VALUE"""),2.16)</f>
        <v>2.16</v>
      </c>
      <c r="H20" s="533">
        <f>IFERROR(__xludf.DUMMYFUNCTION("""COMPUTED_VALUE"""),2.43)</f>
        <v>2.43</v>
      </c>
      <c r="I20" s="533">
        <f>IFERROR(__xludf.DUMMYFUNCTION("""COMPUTED_VALUE"""),2.7)</f>
        <v>2.7</v>
      </c>
      <c r="J20" s="533">
        <f>IFERROR(__xludf.DUMMYFUNCTION("""COMPUTED_VALUE"""),3.24)</f>
        <v>3.24</v>
      </c>
      <c r="K20" s="533">
        <f>IFERROR(__xludf.DUMMYFUNCTION("""COMPUTED_VALUE"""),3.6180000000000003)</f>
        <v>3.618</v>
      </c>
      <c r="L20" s="534">
        <f>IFERROR(__xludf.DUMMYFUNCTION("""COMPUTED_VALUE"""),3.672)</f>
        <v>3.672</v>
      </c>
      <c r="M20" s="509"/>
      <c r="N20" s="399">
        <f>IFERROR(__xludf.DUMMYFUNCTION("""COMPUTED_VALUE"""),5.0)</f>
        <v>5</v>
      </c>
      <c r="O20" s="400" t="str">
        <f>IFERROR(__xludf.DUMMYFUNCTION("""COMPUTED_VALUE"""),"効果値")</f>
        <v>効果値</v>
      </c>
      <c r="P20" s="533">
        <f>IFERROR(__xludf.DUMMYFUNCTION("""COMPUTED_VALUE"""),1.134)</f>
        <v>1.134</v>
      </c>
      <c r="Q20" s="533">
        <f>IFERROR(__xludf.DUMMYFUNCTION("""COMPUTED_VALUE"""),1.323)</f>
        <v>1.323</v>
      </c>
      <c r="R20" s="533">
        <f>IFERROR(__xludf.DUMMYFUNCTION("""COMPUTED_VALUE"""),1.512)</f>
        <v>1.512</v>
      </c>
      <c r="S20" s="533">
        <f>IFERROR(__xludf.DUMMYFUNCTION("""COMPUTED_VALUE"""),1.701)</f>
        <v>1.701</v>
      </c>
      <c r="T20" s="533">
        <f>IFERROR(__xludf.DUMMYFUNCTION("""COMPUTED_VALUE"""),1.89)</f>
        <v>1.89</v>
      </c>
      <c r="U20" s="533">
        <f>IFERROR(__xludf.DUMMYFUNCTION("""COMPUTED_VALUE"""),2.268)</f>
        <v>2.268</v>
      </c>
      <c r="V20" s="533">
        <f>IFERROR(__xludf.DUMMYFUNCTION("""COMPUTED_VALUE"""),2.5326)</f>
        <v>2.5326</v>
      </c>
      <c r="W20" s="533">
        <f>IFERROR(__xludf.DUMMYFUNCTION("""COMPUTED_VALUE"""),2.5704)</f>
        <v>2.5704</v>
      </c>
      <c r="X20" s="509"/>
      <c r="Y20" s="399">
        <f>IFERROR(__xludf.DUMMYFUNCTION("""COMPUTED_VALUE"""),5.0)</f>
        <v>5</v>
      </c>
      <c r="Z20" s="400" t="str">
        <f>IFERROR(__xludf.DUMMYFUNCTION("""COMPUTED_VALUE"""),"効果値")</f>
        <v>効果値</v>
      </c>
      <c r="AA20" s="533">
        <f>IFERROR(__xludf.DUMMYFUNCTION("""COMPUTED_VALUE"""),0.486)</f>
        <v>0.486</v>
      </c>
      <c r="AB20" s="533">
        <f>IFERROR(__xludf.DUMMYFUNCTION("""COMPUTED_VALUE"""),0.5670000000000001)</f>
        <v>0.567</v>
      </c>
      <c r="AC20" s="533">
        <f>IFERROR(__xludf.DUMMYFUNCTION("""COMPUTED_VALUE"""),0.648)</f>
        <v>0.648</v>
      </c>
      <c r="AD20" s="533">
        <f>IFERROR(__xludf.DUMMYFUNCTION("""COMPUTED_VALUE"""),0.729)</f>
        <v>0.729</v>
      </c>
      <c r="AE20" s="533">
        <f>IFERROR(__xludf.DUMMYFUNCTION("""COMPUTED_VALUE"""),0.81)</f>
        <v>0.81</v>
      </c>
      <c r="AF20" s="533">
        <f>IFERROR(__xludf.DUMMYFUNCTION("""COMPUTED_VALUE"""),0.972)</f>
        <v>0.972</v>
      </c>
      <c r="AG20" s="533">
        <f>IFERROR(__xludf.DUMMYFUNCTION("""COMPUTED_VALUE"""),1.0854000000000001)</f>
        <v>1.0854</v>
      </c>
      <c r="AH20" s="533">
        <f>IFERROR(__xludf.DUMMYFUNCTION("""COMPUTED_VALUE"""),1.1016)</f>
        <v>1.1016</v>
      </c>
      <c r="AI20" s="509"/>
      <c r="AJ20" s="399">
        <f>IFERROR(__xludf.DUMMYFUNCTION("""COMPUTED_VALUE"""),5.0)</f>
        <v>5</v>
      </c>
      <c r="AK20" s="529" t="str">
        <f>IFERROR(__xludf.DUMMYFUNCTION("""COMPUTED_VALUE"""),"合計回復量(%)")</f>
        <v>合計回復量(%)</v>
      </c>
      <c r="AL20" s="535">
        <f>IFERROR(__xludf.DUMMYFUNCTION("""COMPUTED_VALUE"""),8.100000000000001)</f>
        <v>8.1</v>
      </c>
      <c r="AM20" s="535">
        <f>IFERROR(__xludf.DUMMYFUNCTION("""COMPUTED_VALUE"""),11.34)</f>
        <v>11.34</v>
      </c>
      <c r="AN20" s="535">
        <f>IFERROR(__xludf.DUMMYFUNCTION("""COMPUTED_VALUE"""),15.120000000000001)</f>
        <v>15.12</v>
      </c>
      <c r="AO20" s="535">
        <f>IFERROR(__xludf.DUMMYFUNCTION("""COMPUTED_VALUE"""),19.44)</f>
        <v>19.44</v>
      </c>
      <c r="AP20" s="535">
        <f>IFERROR(__xludf.DUMMYFUNCTION("""COMPUTED_VALUE"""),24.3)</f>
        <v>24.3</v>
      </c>
      <c r="AQ20" s="535">
        <f>IFERROR(__xludf.DUMMYFUNCTION("""COMPUTED_VALUE"""),32.400000000000006)</f>
        <v>32.4</v>
      </c>
      <c r="AR20" s="535">
        <f>IFERROR(__xludf.DUMMYFUNCTION("""COMPUTED_VALUE"""),43.416000000000004)</f>
        <v>43.416</v>
      </c>
      <c r="AS20" s="536">
        <f>IFERROR(__xludf.DUMMYFUNCTION("""COMPUTED_VALUE"""),45.9)</f>
        <v>45.9</v>
      </c>
      <c r="AT20" s="115"/>
      <c r="AU20" s="115"/>
      <c r="AV20" s="115"/>
      <c r="AW20" s="115"/>
      <c r="AX20" s="115"/>
      <c r="AY20" s="115"/>
      <c r="AZ20" s="115"/>
      <c r="BA20" s="115"/>
      <c r="BB20" s="115"/>
      <c r="BC20" s="115"/>
    </row>
    <row r="21">
      <c r="A21" s="537"/>
      <c r="B21" s="538"/>
      <c r="C21" s="539">
        <f>IFERROR(__xludf.DUMMYFUNCTION("""COMPUTED_VALUE"""),5.0)</f>
        <v>5</v>
      </c>
      <c r="D21" s="540" t="str">
        <f>IFERROR(__xludf.DUMMYFUNCTION("""COMPUTED_VALUE"""),"効果時間")</f>
        <v>効果時間</v>
      </c>
      <c r="E21" s="288">
        <f>IFERROR(__xludf.DUMMYFUNCTION("""COMPUTED_VALUE"""),250.0)</f>
        <v>250</v>
      </c>
      <c r="F21" s="288">
        <f>IFERROR(__xludf.DUMMYFUNCTION("""COMPUTED_VALUE"""),300.0)</f>
        <v>300</v>
      </c>
      <c r="G21" s="288">
        <f>IFERROR(__xludf.DUMMYFUNCTION("""COMPUTED_VALUE"""),350.0)</f>
        <v>350</v>
      </c>
      <c r="H21" s="288">
        <f>IFERROR(__xludf.DUMMYFUNCTION("""COMPUTED_VALUE"""),400.0)</f>
        <v>400</v>
      </c>
      <c r="I21" s="288">
        <f>IFERROR(__xludf.DUMMYFUNCTION("""COMPUTED_VALUE"""),450.0)</f>
        <v>450</v>
      </c>
      <c r="J21" s="288">
        <f>IFERROR(__xludf.DUMMYFUNCTION("""COMPUTED_VALUE"""),500.0)</f>
        <v>500</v>
      </c>
      <c r="K21" s="288">
        <f>IFERROR(__xludf.DUMMYFUNCTION("""COMPUTED_VALUE"""),600.0)</f>
        <v>600</v>
      </c>
      <c r="L21" s="288">
        <f>IFERROR(__xludf.DUMMYFUNCTION("""COMPUTED_VALUE"""),625.0)</f>
        <v>625</v>
      </c>
      <c r="M21" s="541"/>
      <c r="N21" s="539">
        <f>IFERROR(__xludf.DUMMYFUNCTION("""COMPUTED_VALUE"""),5.0)</f>
        <v>5</v>
      </c>
      <c r="O21" s="540" t="str">
        <f>IFERROR(__xludf.DUMMYFUNCTION("""COMPUTED_VALUE"""),"効果時間")</f>
        <v>効果時間</v>
      </c>
      <c r="P21" s="288">
        <f>IFERROR(__xludf.DUMMYFUNCTION("""COMPUTED_VALUE"""),250.0)</f>
        <v>250</v>
      </c>
      <c r="Q21" s="288">
        <f>IFERROR(__xludf.DUMMYFUNCTION("""COMPUTED_VALUE"""),300.0)</f>
        <v>300</v>
      </c>
      <c r="R21" s="288">
        <f>IFERROR(__xludf.DUMMYFUNCTION("""COMPUTED_VALUE"""),350.0)</f>
        <v>350</v>
      </c>
      <c r="S21" s="288">
        <f>IFERROR(__xludf.DUMMYFUNCTION("""COMPUTED_VALUE"""),400.0)</f>
        <v>400</v>
      </c>
      <c r="T21" s="288">
        <f>IFERROR(__xludf.DUMMYFUNCTION("""COMPUTED_VALUE"""),450.0)</f>
        <v>450</v>
      </c>
      <c r="U21" s="288">
        <f>IFERROR(__xludf.DUMMYFUNCTION("""COMPUTED_VALUE"""),500.0)</f>
        <v>500</v>
      </c>
      <c r="V21" s="288">
        <f>IFERROR(__xludf.DUMMYFUNCTION("""COMPUTED_VALUE"""),600.0)</f>
        <v>600</v>
      </c>
      <c r="W21" s="288">
        <f>IFERROR(__xludf.DUMMYFUNCTION("""COMPUTED_VALUE"""),625.0)</f>
        <v>625</v>
      </c>
      <c r="X21" s="541"/>
      <c r="Y21" s="539">
        <f>IFERROR(__xludf.DUMMYFUNCTION("""COMPUTED_VALUE"""),5.0)</f>
        <v>5</v>
      </c>
      <c r="Z21" s="540" t="str">
        <f>IFERROR(__xludf.DUMMYFUNCTION("""COMPUTED_VALUE"""),"効果値")</f>
        <v>効果値</v>
      </c>
      <c r="AA21" s="542"/>
      <c r="AB21" s="542"/>
      <c r="AC21" s="542"/>
      <c r="AD21" s="542"/>
      <c r="AE21" s="542"/>
      <c r="AF21" s="542"/>
      <c r="AG21" s="542"/>
      <c r="AH21" s="542"/>
      <c r="AI21" s="541"/>
      <c r="AJ21" s="539">
        <f>IFERROR(__xludf.DUMMYFUNCTION("""COMPUTED_VALUE"""),5.0)</f>
        <v>5</v>
      </c>
      <c r="AK21" s="540" t="str">
        <f>IFERROR(__xludf.DUMMYFUNCTION("""COMPUTED_VALUE"""),"効果時間(s)")</f>
        <v>効果時間(s)</v>
      </c>
      <c r="AL21" s="543">
        <f>IFERROR(__xludf.DUMMYFUNCTION("""COMPUTED_VALUE"""),5.0)</f>
        <v>5</v>
      </c>
      <c r="AM21" s="543">
        <f>IFERROR(__xludf.DUMMYFUNCTION("""COMPUTED_VALUE"""),6.0)</f>
        <v>6</v>
      </c>
      <c r="AN21" s="543">
        <f>IFERROR(__xludf.DUMMYFUNCTION("""COMPUTED_VALUE"""),7.0)</f>
        <v>7</v>
      </c>
      <c r="AO21" s="543">
        <f>IFERROR(__xludf.DUMMYFUNCTION("""COMPUTED_VALUE"""),8.0)</f>
        <v>8</v>
      </c>
      <c r="AP21" s="543">
        <f>IFERROR(__xludf.DUMMYFUNCTION("""COMPUTED_VALUE"""),9.0)</f>
        <v>9</v>
      </c>
      <c r="AQ21" s="543">
        <f>IFERROR(__xludf.DUMMYFUNCTION("""COMPUTED_VALUE"""),10.0)</f>
        <v>10</v>
      </c>
      <c r="AR21" s="543">
        <f>IFERROR(__xludf.DUMMYFUNCTION("""COMPUTED_VALUE"""),12.0)</f>
        <v>12</v>
      </c>
      <c r="AS21" s="544">
        <f>IFERROR(__xludf.DUMMYFUNCTION("""COMPUTED_VALUE"""),12.5)</f>
        <v>12.5</v>
      </c>
      <c r="AT21" s="115"/>
      <c r="AU21" s="115"/>
      <c r="AV21" s="115"/>
      <c r="AW21" s="115"/>
      <c r="AX21" s="115"/>
      <c r="AY21" s="115"/>
      <c r="AZ21" s="115"/>
      <c r="BA21" s="115"/>
      <c r="BB21" s="115"/>
      <c r="BC21" s="115"/>
    </row>
    <row r="22">
      <c r="A22" s="545" t="str">
        <f>IFERROR(__xludf.DUMMYFUNCTION("""COMPUTED_VALUE"""),"HP回復(割合)")</f>
        <v>HP回復(割合)</v>
      </c>
      <c r="B22" s="347" t="str">
        <f>IFERROR(__xludf.DUMMYFUNCTION("""COMPUTED_VALUE"""),"SP専用")</f>
        <v>SP専用</v>
      </c>
      <c r="C22" s="375">
        <f>IFERROR(__xludf.DUMMYFUNCTION("""COMPUTED_VALUE"""),1.0)</f>
        <v>1</v>
      </c>
      <c r="D22" s="485" t="str">
        <f>IFERROR(__xludf.DUMMYFUNCTION("""COMPUTED_VALUE"""),"効果値")</f>
        <v>効果値</v>
      </c>
      <c r="E22" s="546">
        <f>IFERROR(__xludf.DUMMYFUNCTION("""COMPUTED_VALUE"""),21.6)</f>
        <v>21.6</v>
      </c>
      <c r="F22" s="546">
        <f>IFERROR(__xludf.DUMMYFUNCTION("""COMPUTED_VALUE"""),21.6)</f>
        <v>21.6</v>
      </c>
      <c r="G22" s="546">
        <f>IFERROR(__xludf.DUMMYFUNCTION("""COMPUTED_VALUE"""),21.6)</f>
        <v>21.6</v>
      </c>
      <c r="H22" s="546">
        <f>IFERROR(__xludf.DUMMYFUNCTION("""COMPUTED_VALUE"""),21.6)</f>
        <v>21.6</v>
      </c>
      <c r="I22" s="546">
        <f>IFERROR(__xludf.DUMMYFUNCTION("""COMPUTED_VALUE"""),21.6)</f>
        <v>21.6</v>
      </c>
      <c r="J22" s="546">
        <f>IFERROR(__xludf.DUMMYFUNCTION("""COMPUTED_VALUE"""),29.16)</f>
        <v>29.16</v>
      </c>
      <c r="K22" s="546">
        <f>IFERROR(__xludf.DUMMYFUNCTION("""COMPUTED_VALUE"""),35.64)</f>
        <v>35.64</v>
      </c>
      <c r="L22" s="547">
        <f>IFERROR(__xludf.DUMMYFUNCTION("""COMPUTED_VALUE"""),37.800000000000004)</f>
        <v>37.8</v>
      </c>
      <c r="M22" s="489"/>
      <c r="N22" s="375">
        <f>IFERROR(__xludf.DUMMYFUNCTION("""COMPUTED_VALUE"""),1.0)</f>
        <v>1</v>
      </c>
      <c r="O22" s="485" t="str">
        <f>IFERROR(__xludf.DUMMYFUNCTION("""COMPUTED_VALUE"""),"効果値")</f>
        <v>効果値</v>
      </c>
      <c r="P22" s="548">
        <f>IFERROR(__xludf.DUMMYFUNCTION("""COMPUTED_VALUE"""),5.4)</f>
        <v>5.4</v>
      </c>
      <c r="Q22" s="549">
        <f>IFERROR(__xludf.DUMMYFUNCTION("""COMPUTED_VALUE"""),5.4)</f>
        <v>5.4</v>
      </c>
      <c r="R22" s="549">
        <f>IFERROR(__xludf.DUMMYFUNCTION("""COMPUTED_VALUE"""),5.4)</f>
        <v>5.4</v>
      </c>
      <c r="S22" s="549">
        <f>IFERROR(__xludf.DUMMYFUNCTION("""COMPUTED_VALUE"""),5.4)</f>
        <v>5.4</v>
      </c>
      <c r="T22" s="549">
        <f>IFERROR(__xludf.DUMMYFUNCTION("""COMPUTED_VALUE"""),5.4)</f>
        <v>5.4</v>
      </c>
      <c r="U22" s="549">
        <f>IFERROR(__xludf.DUMMYFUNCTION("""COMPUTED_VALUE"""),10.8)</f>
        <v>10.8</v>
      </c>
      <c r="V22" s="549">
        <f>IFERROR(__xludf.DUMMYFUNCTION("""COMPUTED_VALUE"""),16.200000000000003)</f>
        <v>16.2</v>
      </c>
      <c r="W22" s="550">
        <f>IFERROR(__xludf.DUMMYFUNCTION("""COMPUTED_VALUE"""),16.200000000000003)</f>
        <v>16.2</v>
      </c>
      <c r="X22" s="489"/>
      <c r="Y22" s="490"/>
      <c r="Z22" s="491"/>
      <c r="AA22" s="549">
        <f>IFERROR(__xludf.DUMMYFUNCTION("""COMPUTED_VALUE"""),16.200000000000003)</f>
        <v>16.2</v>
      </c>
      <c r="AB22" s="549">
        <f>IFERROR(__xludf.DUMMYFUNCTION("""COMPUTED_VALUE"""),16.200000000000003)</f>
        <v>16.2</v>
      </c>
      <c r="AC22" s="549">
        <f>IFERROR(__xludf.DUMMYFUNCTION("""COMPUTED_VALUE"""),16.200000000000003)</f>
        <v>16.2</v>
      </c>
      <c r="AD22" s="549">
        <f>IFERROR(__xludf.DUMMYFUNCTION("""COMPUTED_VALUE"""),16.200000000000003)</f>
        <v>16.2</v>
      </c>
      <c r="AE22" s="549">
        <f>IFERROR(__xludf.DUMMYFUNCTION("""COMPUTED_VALUE"""),16.200000000000003)</f>
        <v>16.2</v>
      </c>
      <c r="AF22" s="549">
        <f>IFERROR(__xludf.DUMMYFUNCTION("""COMPUTED_VALUE"""),18.36)</f>
        <v>18.36</v>
      </c>
      <c r="AG22" s="549">
        <f>IFERROR(__xludf.DUMMYFUNCTION("""COMPUTED_VALUE"""),19.44)</f>
        <v>19.44</v>
      </c>
      <c r="AH22" s="550">
        <f>IFERROR(__xludf.DUMMYFUNCTION("""COMPUTED_VALUE"""),21.6)</f>
        <v>21.6</v>
      </c>
      <c r="AI22" s="489"/>
      <c r="AJ22" s="551"/>
      <c r="AK22" s="552"/>
      <c r="AL22" s="551"/>
      <c r="AM22" s="551"/>
      <c r="AN22" s="551"/>
      <c r="AO22" s="551"/>
      <c r="AP22" s="551"/>
      <c r="AQ22" s="551"/>
      <c r="AR22" s="551"/>
      <c r="AS22" s="553"/>
      <c r="AT22" s="115"/>
      <c r="AU22" s="115"/>
      <c r="AV22" s="115"/>
      <c r="AW22" s="115"/>
      <c r="AX22" s="115"/>
      <c r="AY22" s="115"/>
      <c r="AZ22" s="115"/>
      <c r="BA22" s="115"/>
      <c r="BB22" s="115"/>
      <c r="BC22" s="115"/>
    </row>
    <row r="23">
      <c r="A23" s="554" t="str">
        <f>IFERROR(__xludf.DUMMYFUNCTION("""COMPUTED_VALUE"""),"※スペシャル専用")</f>
        <v>※スペシャル専用</v>
      </c>
      <c r="B23" s="472" t="str">
        <f>IFERROR(__xludf.DUMMYFUNCTION("""COMPUTED_VALUE"""),"タップしたコマ")</f>
        <v>タップしたコマ</v>
      </c>
      <c r="C23" s="386">
        <f>IFERROR(__xludf.DUMMYFUNCTION("""COMPUTED_VALUE"""),2.0)</f>
        <v>2</v>
      </c>
      <c r="D23" s="496" t="str">
        <f>IFERROR(__xludf.DUMMYFUNCTION("""COMPUTED_VALUE"""),"効果値")</f>
        <v>効果値</v>
      </c>
      <c r="E23" s="302">
        <f>IFERROR(__xludf.DUMMYFUNCTION("""COMPUTED_VALUE"""),26.589600000000004)</f>
        <v>26.5896</v>
      </c>
      <c r="F23" s="302">
        <f>IFERROR(__xludf.DUMMYFUNCTION("""COMPUTED_VALUE"""),26.8164)</f>
        <v>26.8164</v>
      </c>
      <c r="G23" s="302">
        <f>IFERROR(__xludf.DUMMYFUNCTION("""COMPUTED_VALUE"""),27.043200000000002)</f>
        <v>27.0432</v>
      </c>
      <c r="H23" s="302">
        <f>IFERROR(__xludf.DUMMYFUNCTION("""COMPUTED_VALUE"""),27.270000000000003)</f>
        <v>27.27</v>
      </c>
      <c r="I23" s="302">
        <f>IFERROR(__xludf.DUMMYFUNCTION("""COMPUTED_VALUE"""),28.404000000000003)</f>
        <v>28.404</v>
      </c>
      <c r="J23" s="302">
        <f>IFERROR(__xludf.DUMMYFUNCTION("""COMPUTED_VALUE"""),34.5168)</f>
        <v>34.5168</v>
      </c>
      <c r="K23" s="302">
        <f>IFERROR(__xludf.DUMMYFUNCTION("""COMPUTED_VALUE"""),41.083200000000005)</f>
        <v>41.0832</v>
      </c>
      <c r="L23" s="303">
        <f>IFERROR(__xludf.DUMMYFUNCTION("""COMPUTED_VALUE"""),44.604000000000006)</f>
        <v>44.604</v>
      </c>
      <c r="M23" s="497"/>
      <c r="N23" s="386">
        <f>IFERROR(__xludf.DUMMYFUNCTION("""COMPUTED_VALUE"""),2.0)</f>
        <v>2</v>
      </c>
      <c r="O23" s="496" t="str">
        <f>IFERROR(__xludf.DUMMYFUNCTION("""COMPUTED_VALUE"""),"効果値")</f>
        <v>効果値</v>
      </c>
      <c r="P23" s="302">
        <f>IFERROR(__xludf.DUMMYFUNCTION("""COMPUTED_VALUE"""),10.389600000000002)</f>
        <v>10.3896</v>
      </c>
      <c r="Q23" s="302">
        <f>IFERROR(__xludf.DUMMYFUNCTION("""COMPUTED_VALUE"""),10.616399999999999)</f>
        <v>10.6164</v>
      </c>
      <c r="R23" s="302">
        <f>IFERROR(__xludf.DUMMYFUNCTION("""COMPUTED_VALUE"""),10.8432)</f>
        <v>10.8432</v>
      </c>
      <c r="S23" s="302">
        <f>IFERROR(__xludf.DUMMYFUNCTION("""COMPUTED_VALUE"""),11.07)</f>
        <v>11.07</v>
      </c>
      <c r="T23" s="302">
        <f>IFERROR(__xludf.DUMMYFUNCTION("""COMPUTED_VALUE"""),12.204)</f>
        <v>12.204</v>
      </c>
      <c r="U23" s="302">
        <f>IFERROR(__xludf.DUMMYFUNCTION("""COMPUTED_VALUE"""),16.6968)</f>
        <v>16.6968</v>
      </c>
      <c r="V23" s="302">
        <f>IFERROR(__xludf.DUMMYFUNCTION("""COMPUTED_VALUE"""),21.6432)</f>
        <v>21.6432</v>
      </c>
      <c r="W23" s="555">
        <f>IFERROR(__xludf.DUMMYFUNCTION("""COMPUTED_VALUE"""),23.004000000000005)</f>
        <v>23.004</v>
      </c>
      <c r="X23" s="497"/>
      <c r="Y23" s="498"/>
      <c r="Z23" s="499"/>
      <c r="AA23" s="556">
        <f>IFERROR(__xludf.DUMMYFUNCTION("""COMPUTED_VALUE"""),16.200000000000003)</f>
        <v>16.2</v>
      </c>
      <c r="AB23" s="500">
        <f>IFERROR(__xludf.DUMMYFUNCTION("""COMPUTED_VALUE"""),16.200000000000003)</f>
        <v>16.2</v>
      </c>
      <c r="AC23" s="500">
        <f>IFERROR(__xludf.DUMMYFUNCTION("""COMPUTED_VALUE"""),16.200000000000003)</f>
        <v>16.2</v>
      </c>
      <c r="AD23" s="501">
        <f>IFERROR(__xludf.DUMMYFUNCTION("""COMPUTED_VALUE"""),16.200000000000003)</f>
        <v>16.2</v>
      </c>
      <c r="AE23" s="500">
        <f>IFERROR(__xludf.DUMMYFUNCTION("""COMPUTED_VALUE"""),16.200000000000003)</f>
        <v>16.2</v>
      </c>
      <c r="AF23" s="501">
        <f>IFERROR(__xludf.DUMMYFUNCTION("""COMPUTED_VALUE"""),17.82)</f>
        <v>17.82</v>
      </c>
      <c r="AG23" s="500">
        <f>IFERROR(__xludf.DUMMYFUNCTION("""COMPUTED_VALUE"""),19.44)</f>
        <v>19.44</v>
      </c>
      <c r="AH23" s="557">
        <f>IFERROR(__xludf.DUMMYFUNCTION("""COMPUTED_VALUE"""),21.6)</f>
        <v>21.6</v>
      </c>
      <c r="AI23" s="497"/>
      <c r="AJ23" s="558"/>
      <c r="AK23" s="559"/>
      <c r="AL23" s="560"/>
      <c r="AM23" s="560"/>
      <c r="AN23" s="560"/>
      <c r="AO23" s="560"/>
      <c r="AP23" s="560"/>
      <c r="AQ23" s="560"/>
      <c r="AR23" s="560"/>
      <c r="AS23" s="561"/>
      <c r="AT23" s="115"/>
      <c r="AU23" s="115"/>
      <c r="AV23" s="115"/>
      <c r="AW23" s="115"/>
      <c r="AX23" s="115"/>
      <c r="AY23" s="115"/>
      <c r="AZ23" s="115"/>
      <c r="BA23" s="115"/>
      <c r="BB23" s="115"/>
      <c r="BC23" s="115"/>
    </row>
    <row r="24">
      <c r="A24" s="562"/>
      <c r="B24" s="563" t="str">
        <f>IFERROR(__xludf.DUMMYFUNCTION("""COMPUTED_VALUE"""),"タップしたコマ(属性orロール)")</f>
        <v>タップしたコマ(属性orロール)</v>
      </c>
      <c r="C24" s="399">
        <f>IFERROR(__xludf.DUMMYFUNCTION("""COMPUTED_VALUE"""),3.0)</f>
        <v>3</v>
      </c>
      <c r="D24" s="400" t="str">
        <f>IFERROR(__xludf.DUMMYFUNCTION("""COMPUTED_VALUE"""),"効果値")</f>
        <v>効果値</v>
      </c>
      <c r="E24" s="564">
        <f>IFERROR(__xludf.DUMMYFUNCTION("""COMPUTED_VALUE"""),29.916000000000004)</f>
        <v>29.916</v>
      </c>
      <c r="F24" s="564">
        <f>IFERROR(__xludf.DUMMYFUNCTION("""COMPUTED_VALUE"""),30.294000000000004)</f>
        <v>30.294</v>
      </c>
      <c r="G24" s="564">
        <f>IFERROR(__xludf.DUMMYFUNCTION("""COMPUTED_VALUE"""),30.672000000000004)</f>
        <v>30.672</v>
      </c>
      <c r="H24" s="564">
        <f>IFERROR(__xludf.DUMMYFUNCTION("""COMPUTED_VALUE"""),31.050000000000004)</f>
        <v>31.05</v>
      </c>
      <c r="I24" s="564">
        <f>IFERROR(__xludf.DUMMYFUNCTION("""COMPUTED_VALUE"""),32.940000000000005)</f>
        <v>32.94</v>
      </c>
      <c r="J24" s="564">
        <f>IFERROR(__xludf.DUMMYFUNCTION("""COMPUTED_VALUE"""),38.448)</f>
        <v>38.448</v>
      </c>
      <c r="K24" s="564">
        <f>IFERROR(__xludf.DUMMYFUNCTION("""COMPUTED_VALUE"""),44.712)</f>
        <v>44.712</v>
      </c>
      <c r="L24" s="565">
        <f>IFERROR(__xludf.DUMMYFUNCTION("""COMPUTED_VALUE"""),49.14000000000001)</f>
        <v>49.14</v>
      </c>
      <c r="M24" s="509"/>
      <c r="N24" s="399">
        <f>IFERROR(__xludf.DUMMYFUNCTION("""COMPUTED_VALUE"""),3.0)</f>
        <v>3</v>
      </c>
      <c r="O24" s="400" t="str">
        <f>IFERROR(__xludf.DUMMYFUNCTION("""COMPUTED_VALUE"""),"効果値")</f>
        <v>効果値</v>
      </c>
      <c r="P24" s="564">
        <f>IFERROR(__xludf.DUMMYFUNCTION("""COMPUTED_VALUE"""),13.716000000000001)</f>
        <v>13.716</v>
      </c>
      <c r="Q24" s="566">
        <f>IFERROR(__xludf.DUMMYFUNCTION("""COMPUTED_VALUE"""),14.094)</f>
        <v>14.094</v>
      </c>
      <c r="R24" s="566">
        <f>IFERROR(__xludf.DUMMYFUNCTION("""COMPUTED_VALUE"""),14.472)</f>
        <v>14.472</v>
      </c>
      <c r="S24" s="566">
        <f>IFERROR(__xludf.DUMMYFUNCTION("""COMPUTED_VALUE"""),14.850000000000001)</f>
        <v>14.85</v>
      </c>
      <c r="T24" s="566">
        <f>IFERROR(__xludf.DUMMYFUNCTION("""COMPUTED_VALUE"""),16.740000000000002)</f>
        <v>16.74</v>
      </c>
      <c r="U24" s="566">
        <f>IFERROR(__xludf.DUMMYFUNCTION("""COMPUTED_VALUE"""),20.628)</f>
        <v>20.628</v>
      </c>
      <c r="V24" s="566">
        <f>IFERROR(__xludf.DUMMYFUNCTION("""COMPUTED_VALUE"""),25.272000000000002)</f>
        <v>25.272</v>
      </c>
      <c r="W24" s="567">
        <f>IFERROR(__xludf.DUMMYFUNCTION("""COMPUTED_VALUE"""),27.540000000000006)</f>
        <v>27.54</v>
      </c>
      <c r="X24" s="509"/>
      <c r="Y24" s="510"/>
      <c r="Z24" s="511"/>
      <c r="AA24" s="568">
        <f>IFERROR(__xludf.DUMMYFUNCTION("""COMPUTED_VALUE"""),16.200000000000003)</f>
        <v>16.2</v>
      </c>
      <c r="AB24" s="568">
        <f>IFERROR(__xludf.DUMMYFUNCTION("""COMPUTED_VALUE"""),16.200000000000003)</f>
        <v>16.2</v>
      </c>
      <c r="AC24" s="568">
        <f>IFERROR(__xludf.DUMMYFUNCTION("""COMPUTED_VALUE"""),16.200000000000003)</f>
        <v>16.2</v>
      </c>
      <c r="AD24" s="568">
        <f>IFERROR(__xludf.DUMMYFUNCTION("""COMPUTED_VALUE"""),16.200000000000003)</f>
        <v>16.2</v>
      </c>
      <c r="AE24" s="568">
        <f>IFERROR(__xludf.DUMMYFUNCTION("""COMPUTED_VALUE"""),16.200000000000003)</f>
        <v>16.2</v>
      </c>
      <c r="AF24" s="568">
        <f>IFERROR(__xludf.DUMMYFUNCTION("""COMPUTED_VALUE"""),17.82)</f>
        <v>17.82</v>
      </c>
      <c r="AG24" s="568">
        <f>IFERROR(__xludf.DUMMYFUNCTION("""COMPUTED_VALUE"""),19.44)</f>
        <v>19.44</v>
      </c>
      <c r="AH24" s="569">
        <f>IFERROR(__xludf.DUMMYFUNCTION("""COMPUTED_VALUE"""),21.6)</f>
        <v>21.6</v>
      </c>
      <c r="AI24" s="509"/>
      <c r="AJ24" s="570"/>
      <c r="AK24" s="571"/>
      <c r="AL24" s="570"/>
      <c r="AM24" s="570"/>
      <c r="AN24" s="570"/>
      <c r="AO24" s="570"/>
      <c r="AP24" s="570"/>
      <c r="AQ24" s="570"/>
      <c r="AR24" s="570"/>
      <c r="AS24" s="572"/>
      <c r="AT24" s="115"/>
      <c r="AU24" s="115"/>
      <c r="AV24" s="115"/>
      <c r="AW24" s="115"/>
      <c r="AX24" s="115"/>
      <c r="AY24" s="115"/>
      <c r="AZ24" s="115"/>
      <c r="BA24" s="115"/>
      <c r="BB24" s="115"/>
      <c r="BC24" s="115"/>
    </row>
    <row r="25">
      <c r="A25" s="573"/>
      <c r="B25" s="563"/>
      <c r="C25" s="386">
        <f>IFERROR(__xludf.DUMMYFUNCTION("""COMPUTED_VALUE"""),4.0)</f>
        <v>4</v>
      </c>
      <c r="D25" s="387" t="str">
        <f>IFERROR(__xludf.DUMMYFUNCTION("""COMPUTED_VALUE"""),"効果値")</f>
        <v>効果値</v>
      </c>
      <c r="E25" s="516">
        <f>IFERROR(__xludf.DUMMYFUNCTION("""COMPUTED_VALUE"""),32.0544)</f>
        <v>32.0544</v>
      </c>
      <c r="F25" s="516">
        <f>IFERROR(__xludf.DUMMYFUNCTION("""COMPUTED_VALUE"""),32.5296)</f>
        <v>32.5296</v>
      </c>
      <c r="G25" s="516">
        <f>IFERROR(__xludf.DUMMYFUNCTION("""COMPUTED_VALUE"""),33.0048)</f>
        <v>33.0048</v>
      </c>
      <c r="H25" s="516">
        <f>IFERROR(__xludf.DUMMYFUNCTION("""COMPUTED_VALUE"""),33.480000000000004)</f>
        <v>33.48</v>
      </c>
      <c r="I25" s="516">
        <f>IFERROR(__xludf.DUMMYFUNCTION("""COMPUTED_VALUE"""),35.85600000000001)</f>
        <v>35.856</v>
      </c>
      <c r="J25" s="516">
        <f>IFERROR(__xludf.DUMMYFUNCTION("""COMPUTED_VALUE"""),40.9752)</f>
        <v>40.9752</v>
      </c>
      <c r="K25" s="516">
        <f>IFERROR(__xludf.DUMMYFUNCTION("""COMPUTED_VALUE"""),47.04480000000001)</f>
        <v>47.0448</v>
      </c>
      <c r="L25" s="574">
        <f>IFERROR(__xludf.DUMMYFUNCTION("""COMPUTED_VALUE"""),52.05600000000001)</f>
        <v>52.056</v>
      </c>
      <c r="M25" s="497"/>
      <c r="N25" s="386">
        <f>IFERROR(__xludf.DUMMYFUNCTION("""COMPUTED_VALUE"""),4.0)</f>
        <v>4</v>
      </c>
      <c r="O25" s="387" t="str">
        <f>IFERROR(__xludf.DUMMYFUNCTION("""COMPUTED_VALUE"""),"効果値")</f>
        <v>効果値</v>
      </c>
      <c r="P25" s="516">
        <f>IFERROR(__xludf.DUMMYFUNCTION("""COMPUTED_VALUE"""),15.854400000000002)</f>
        <v>15.8544</v>
      </c>
      <c r="Q25" s="516">
        <f>IFERROR(__xludf.DUMMYFUNCTION("""COMPUTED_VALUE"""),16.3296)</f>
        <v>16.3296</v>
      </c>
      <c r="R25" s="516">
        <f>IFERROR(__xludf.DUMMYFUNCTION("""COMPUTED_VALUE"""),16.8048)</f>
        <v>16.8048</v>
      </c>
      <c r="S25" s="516">
        <f>IFERROR(__xludf.DUMMYFUNCTION("""COMPUTED_VALUE"""),17.28)</f>
        <v>17.28</v>
      </c>
      <c r="T25" s="516">
        <f>IFERROR(__xludf.DUMMYFUNCTION("""COMPUTED_VALUE"""),19.656000000000002)</f>
        <v>19.656</v>
      </c>
      <c r="U25" s="516">
        <f>IFERROR(__xludf.DUMMYFUNCTION("""COMPUTED_VALUE"""),23.1552)</f>
        <v>23.1552</v>
      </c>
      <c r="V25" s="516">
        <f>IFERROR(__xludf.DUMMYFUNCTION("""COMPUTED_VALUE"""),27.604800000000004)</f>
        <v>27.6048</v>
      </c>
      <c r="W25" s="575">
        <f>IFERROR(__xludf.DUMMYFUNCTION("""COMPUTED_VALUE"""),30.456000000000007)</f>
        <v>30.456</v>
      </c>
      <c r="X25" s="497"/>
      <c r="Y25" s="498"/>
      <c r="Z25" s="518"/>
      <c r="AA25" s="576">
        <f>IFERROR(__xludf.DUMMYFUNCTION("""COMPUTED_VALUE"""),16.200000000000003)</f>
        <v>16.2</v>
      </c>
      <c r="AB25" s="519">
        <f>IFERROR(__xludf.DUMMYFUNCTION("""COMPUTED_VALUE"""),16.200000000000003)</f>
        <v>16.2</v>
      </c>
      <c r="AC25" s="519">
        <f>IFERROR(__xludf.DUMMYFUNCTION("""COMPUTED_VALUE"""),16.200000000000003)</f>
        <v>16.2</v>
      </c>
      <c r="AD25" s="520">
        <f>IFERROR(__xludf.DUMMYFUNCTION("""COMPUTED_VALUE"""),16.200000000000003)</f>
        <v>16.2</v>
      </c>
      <c r="AE25" s="519">
        <f>IFERROR(__xludf.DUMMYFUNCTION("""COMPUTED_VALUE"""),16.200000000000003)</f>
        <v>16.2</v>
      </c>
      <c r="AF25" s="520">
        <f>IFERROR(__xludf.DUMMYFUNCTION("""COMPUTED_VALUE"""),17.82)</f>
        <v>17.82</v>
      </c>
      <c r="AG25" s="519">
        <f>IFERROR(__xludf.DUMMYFUNCTION("""COMPUTED_VALUE"""),19.44)</f>
        <v>19.44</v>
      </c>
      <c r="AH25" s="577">
        <f>IFERROR(__xludf.DUMMYFUNCTION("""COMPUTED_VALUE"""),21.6)</f>
        <v>21.6</v>
      </c>
      <c r="AI25" s="497"/>
      <c r="AJ25" s="558"/>
      <c r="AK25" s="559"/>
      <c r="AL25" s="560"/>
      <c r="AM25" s="560"/>
      <c r="AN25" s="560"/>
      <c r="AO25" s="560"/>
      <c r="AP25" s="560"/>
      <c r="AQ25" s="560"/>
      <c r="AR25" s="560"/>
      <c r="AS25" s="561"/>
      <c r="AT25" s="115"/>
      <c r="AU25" s="115"/>
      <c r="AV25" s="115"/>
      <c r="AW25" s="115"/>
      <c r="AX25" s="115"/>
      <c r="AY25" s="115"/>
      <c r="AZ25" s="115"/>
      <c r="BA25" s="115"/>
      <c r="BB25" s="115"/>
      <c r="BC25" s="115"/>
    </row>
    <row r="26">
      <c r="A26" s="573"/>
      <c r="B26" s="578"/>
      <c r="C26" s="399">
        <f>IFERROR(__xludf.DUMMYFUNCTION("""COMPUTED_VALUE"""),5.0)</f>
        <v>5</v>
      </c>
      <c r="D26" s="400" t="str">
        <f>IFERROR(__xludf.DUMMYFUNCTION("""COMPUTED_VALUE"""),"効果値")</f>
        <v>効果値</v>
      </c>
      <c r="E26" s="564">
        <f>IFERROR(__xludf.DUMMYFUNCTION("""COMPUTED_VALUE"""),33.480000000000004)</f>
        <v>33.48</v>
      </c>
      <c r="F26" s="564">
        <f>IFERROR(__xludf.DUMMYFUNCTION("""COMPUTED_VALUE"""),34.02)</f>
        <v>34.02</v>
      </c>
      <c r="G26" s="564">
        <f>IFERROR(__xludf.DUMMYFUNCTION("""COMPUTED_VALUE"""),34.56)</f>
        <v>34.56</v>
      </c>
      <c r="H26" s="564">
        <f>IFERROR(__xludf.DUMMYFUNCTION("""COMPUTED_VALUE"""),35.10000000000001)</f>
        <v>35.1</v>
      </c>
      <c r="I26" s="564">
        <f>IFERROR(__xludf.DUMMYFUNCTION("""COMPUTED_VALUE"""),37.800000000000004)</f>
        <v>37.8</v>
      </c>
      <c r="J26" s="564">
        <f>IFERROR(__xludf.DUMMYFUNCTION("""COMPUTED_VALUE"""),43.2)</f>
        <v>43.2</v>
      </c>
      <c r="K26" s="564">
        <f>IFERROR(__xludf.DUMMYFUNCTION("""COMPUTED_VALUE"""),48.60000000000001)</f>
        <v>48.6</v>
      </c>
      <c r="L26" s="565">
        <f>IFERROR(__xludf.DUMMYFUNCTION("""COMPUTED_VALUE"""),54.00000000000001)</f>
        <v>54</v>
      </c>
      <c r="M26" s="497"/>
      <c r="N26" s="399">
        <f>IFERROR(__xludf.DUMMYFUNCTION("""COMPUTED_VALUE"""),5.0)</f>
        <v>5</v>
      </c>
      <c r="O26" s="400" t="str">
        <f>IFERROR(__xludf.DUMMYFUNCTION("""COMPUTED_VALUE"""),"効果値")</f>
        <v>効果値</v>
      </c>
      <c r="P26" s="579">
        <f>IFERROR(__xludf.DUMMYFUNCTION("""COMPUTED_VALUE"""),17.28)</f>
        <v>17.28</v>
      </c>
      <c r="Q26" s="579">
        <f>IFERROR(__xludf.DUMMYFUNCTION("""COMPUTED_VALUE"""),17.82)</f>
        <v>17.82</v>
      </c>
      <c r="R26" s="579">
        <f>IFERROR(__xludf.DUMMYFUNCTION("""COMPUTED_VALUE"""),18.36)</f>
        <v>18.36</v>
      </c>
      <c r="S26" s="579">
        <f>IFERROR(__xludf.DUMMYFUNCTION("""COMPUTED_VALUE"""),18.900000000000002)</f>
        <v>18.9</v>
      </c>
      <c r="T26" s="579">
        <f>IFERROR(__xludf.DUMMYFUNCTION("""COMPUTED_VALUE"""),21.6)</f>
        <v>21.6</v>
      </c>
      <c r="U26" s="579">
        <f>IFERROR(__xludf.DUMMYFUNCTION("""COMPUTED_VALUE"""),24.840000000000003)</f>
        <v>24.84</v>
      </c>
      <c r="V26" s="579">
        <f>IFERROR(__xludf.DUMMYFUNCTION("""COMPUTED_VALUE"""),29.160000000000004)</f>
        <v>29.16</v>
      </c>
      <c r="W26" s="580">
        <f>IFERROR(__xludf.DUMMYFUNCTION("""COMPUTED_VALUE"""),32.400000000000006)</f>
        <v>32.4</v>
      </c>
      <c r="X26" s="497"/>
      <c r="Y26" s="510"/>
      <c r="Z26" s="511"/>
      <c r="AA26" s="568">
        <f>IFERROR(__xludf.DUMMYFUNCTION("""COMPUTED_VALUE"""),16.200000000000003)</f>
        <v>16.2</v>
      </c>
      <c r="AB26" s="568">
        <f>IFERROR(__xludf.DUMMYFUNCTION("""COMPUTED_VALUE"""),16.200000000000003)</f>
        <v>16.2</v>
      </c>
      <c r="AC26" s="568">
        <f>IFERROR(__xludf.DUMMYFUNCTION("""COMPUTED_VALUE"""),16.200000000000003)</f>
        <v>16.2</v>
      </c>
      <c r="AD26" s="568">
        <f>IFERROR(__xludf.DUMMYFUNCTION("""COMPUTED_VALUE"""),16.200000000000003)</f>
        <v>16.2</v>
      </c>
      <c r="AE26" s="568">
        <f>IFERROR(__xludf.DUMMYFUNCTION("""COMPUTED_VALUE"""),16.200000000000003)</f>
        <v>16.2</v>
      </c>
      <c r="AF26" s="568">
        <f>IFERROR(__xludf.DUMMYFUNCTION("""COMPUTED_VALUE"""),18.36)</f>
        <v>18.36</v>
      </c>
      <c r="AG26" s="568">
        <f>IFERROR(__xludf.DUMMYFUNCTION("""COMPUTED_VALUE"""),19.44)</f>
        <v>19.44</v>
      </c>
      <c r="AH26" s="569">
        <f>IFERROR(__xludf.DUMMYFUNCTION("""COMPUTED_VALUE"""),21.6)</f>
        <v>21.6</v>
      </c>
      <c r="AI26" s="497"/>
      <c r="AJ26" s="570"/>
      <c r="AK26" s="571"/>
      <c r="AL26" s="570"/>
      <c r="AM26" s="570"/>
      <c r="AN26" s="570"/>
      <c r="AO26" s="570"/>
      <c r="AP26" s="570"/>
      <c r="AQ26" s="570"/>
      <c r="AR26" s="570"/>
      <c r="AS26" s="572"/>
      <c r="AT26" s="115"/>
      <c r="AU26" s="115"/>
      <c r="AV26" s="115"/>
      <c r="AW26" s="115"/>
      <c r="AX26" s="115"/>
      <c r="AY26" s="115"/>
      <c r="AZ26" s="115"/>
      <c r="BA26" s="115"/>
      <c r="BB26" s="115"/>
      <c r="BC26" s="115"/>
    </row>
    <row r="27">
      <c r="A27" s="581" t="str">
        <f>IFERROR(__xludf.DUMMYFUNCTION("""COMPUTED_VALUE"""),"総攻撃バフ")</f>
        <v>総攻撃バフ</v>
      </c>
      <c r="B27" s="582" t="str">
        <f>IFERROR(__xludf.DUMMYFUNCTION("""COMPUTED_VALUE"""),"SP専用")</f>
        <v>SP専用</v>
      </c>
      <c r="C27" s="386">
        <f>IFERROR(__xludf.DUMMYFUNCTION("""COMPUTED_VALUE"""),1.0)</f>
        <v>1</v>
      </c>
      <c r="D27" s="387" t="str">
        <f>IFERROR(__xludf.DUMMYFUNCTION("""COMPUTED_VALUE"""),"効果値")</f>
        <v>効果値</v>
      </c>
      <c r="E27" s="516">
        <f>IFERROR(__xludf.DUMMYFUNCTION("""COMPUTED_VALUE"""),3.0)</f>
        <v>3</v>
      </c>
      <c r="F27" s="516">
        <f>IFERROR(__xludf.DUMMYFUNCTION("""COMPUTED_VALUE"""),3.0)</f>
        <v>3</v>
      </c>
      <c r="G27" s="516">
        <f>IFERROR(__xludf.DUMMYFUNCTION("""COMPUTED_VALUE"""),3.5)</f>
        <v>3.5</v>
      </c>
      <c r="H27" s="516">
        <f>IFERROR(__xludf.DUMMYFUNCTION("""COMPUTED_VALUE"""),4.0)</f>
        <v>4</v>
      </c>
      <c r="I27" s="516">
        <f>IFERROR(__xludf.DUMMYFUNCTION("""COMPUTED_VALUE"""),21.6)</f>
        <v>21.6</v>
      </c>
      <c r="J27" s="516">
        <f>IFERROR(__xludf.DUMMYFUNCTION("""COMPUTED_VALUE"""),29.16)</f>
        <v>29.16</v>
      </c>
      <c r="K27" s="516">
        <f>IFERROR(__xludf.DUMMYFUNCTION("""COMPUTED_VALUE"""),35.64)</f>
        <v>35.64</v>
      </c>
      <c r="L27" s="574">
        <f>IFERROR(__xludf.DUMMYFUNCTION("""COMPUTED_VALUE"""),37.800000000000004)</f>
        <v>37.8</v>
      </c>
      <c r="M27" s="497"/>
      <c r="N27" s="386">
        <f>IFERROR(__xludf.DUMMYFUNCTION("""COMPUTED_VALUE"""),1.0)</f>
        <v>1</v>
      </c>
      <c r="O27" s="387" t="str">
        <f>IFERROR(__xludf.DUMMYFUNCTION("""COMPUTED_VALUE"""),"効果値")</f>
        <v>効果値</v>
      </c>
      <c r="P27" s="516">
        <f>IFERROR(__xludf.DUMMYFUNCTION("""COMPUTED_VALUE"""),2.0999999999999996)</f>
        <v>2.1</v>
      </c>
      <c r="Q27" s="516">
        <f>IFERROR(__xludf.DUMMYFUNCTION("""COMPUTED_VALUE"""),2.0999999999999996)</f>
        <v>2.1</v>
      </c>
      <c r="R27" s="516">
        <f>IFERROR(__xludf.DUMMYFUNCTION("""COMPUTED_VALUE"""),2.4499999999999997)</f>
        <v>2.45</v>
      </c>
      <c r="S27" s="516">
        <f>IFERROR(__xludf.DUMMYFUNCTION("""COMPUTED_VALUE"""),2.8)</f>
        <v>2.8</v>
      </c>
      <c r="T27" s="516">
        <f>IFERROR(__xludf.DUMMYFUNCTION("""COMPUTED_VALUE"""),5.4)</f>
        <v>5.4</v>
      </c>
      <c r="U27" s="516">
        <f>IFERROR(__xludf.DUMMYFUNCTION("""COMPUTED_VALUE"""),10.8)</f>
        <v>10.8</v>
      </c>
      <c r="V27" s="516">
        <f>IFERROR(__xludf.DUMMYFUNCTION("""COMPUTED_VALUE"""),16.200000000000003)</f>
        <v>16.2</v>
      </c>
      <c r="W27" s="575">
        <f>IFERROR(__xludf.DUMMYFUNCTION("""COMPUTED_VALUE"""),16.200000000000003)</f>
        <v>16.2</v>
      </c>
      <c r="X27" s="497"/>
      <c r="Y27" s="498"/>
      <c r="Z27" s="518"/>
      <c r="AA27" s="576"/>
      <c r="AB27" s="519"/>
      <c r="AC27" s="519"/>
      <c r="AD27" s="520"/>
      <c r="AE27" s="519">
        <f>IFERROR(__xludf.DUMMYFUNCTION("""COMPUTED_VALUE"""),16.200000000000003)</f>
        <v>16.2</v>
      </c>
      <c r="AF27" s="520">
        <f>IFERROR(__xludf.DUMMYFUNCTION("""COMPUTED_VALUE"""),18.36)</f>
        <v>18.36</v>
      </c>
      <c r="AG27" s="519">
        <f>IFERROR(__xludf.DUMMYFUNCTION("""COMPUTED_VALUE"""),19.44)</f>
        <v>19.44</v>
      </c>
      <c r="AH27" s="577">
        <f>IFERROR(__xludf.DUMMYFUNCTION("""COMPUTED_VALUE"""),21.6)</f>
        <v>21.6</v>
      </c>
      <c r="AI27" s="497"/>
      <c r="AJ27" s="558">
        <f>IFERROR(__xludf.DUMMYFUNCTION("""COMPUTED_VALUE"""),1.0)</f>
        <v>1</v>
      </c>
      <c r="AK27" s="559"/>
      <c r="AL27" s="560"/>
      <c r="AM27" s="560"/>
      <c r="AN27" s="560"/>
      <c r="AO27" s="560"/>
      <c r="AP27" s="560"/>
      <c r="AQ27" s="560"/>
      <c r="AR27" s="560"/>
      <c r="AS27" s="561"/>
      <c r="AT27" s="115"/>
      <c r="AU27" s="115"/>
      <c r="AV27" s="115"/>
      <c r="AW27" s="115"/>
      <c r="AX27" s="115"/>
      <c r="AY27" s="115"/>
      <c r="AZ27" s="115"/>
      <c r="BA27" s="115"/>
      <c r="BB27" s="115"/>
      <c r="BC27" s="115"/>
    </row>
    <row r="28">
      <c r="A28" s="573" t="str">
        <f>IFERROR(__xludf.DUMMYFUNCTION("""COMPUTED_VALUE"""),"※スペシャル専用")</f>
        <v>※スペシャル専用</v>
      </c>
      <c r="B28" s="582"/>
      <c r="C28" s="399">
        <f>IFERROR(__xludf.DUMMYFUNCTION("""COMPUTED_VALUE"""),2.0)</f>
        <v>2</v>
      </c>
      <c r="D28" s="400" t="str">
        <f>IFERROR(__xludf.DUMMYFUNCTION("""COMPUTED_VALUE"""),"効果値")</f>
        <v>効果値</v>
      </c>
      <c r="E28" s="564">
        <f>IFERROR(__xludf.DUMMYFUNCTION("""COMPUTED_VALUE"""),3.8400000000000003)</f>
        <v>3.84</v>
      </c>
      <c r="F28" s="564">
        <f>IFERROR(__xludf.DUMMYFUNCTION("""COMPUTED_VALUE"""),4.26)</f>
        <v>4.26</v>
      </c>
      <c r="G28" s="564">
        <f>IFERROR(__xludf.DUMMYFUNCTION("""COMPUTED_VALUE"""),4.97)</f>
        <v>4.97</v>
      </c>
      <c r="H28" s="564">
        <f>IFERROR(__xludf.DUMMYFUNCTION("""COMPUTED_VALUE"""),5.68)</f>
        <v>5.68</v>
      </c>
      <c r="I28" s="564">
        <f>IFERROR(__xludf.DUMMYFUNCTION("""COMPUTED_VALUE"""),27.043200000000002)</f>
        <v>27.0432</v>
      </c>
      <c r="J28" s="564">
        <f>IFERROR(__xludf.DUMMYFUNCTION("""COMPUTED_VALUE"""),32.788799999999995)</f>
        <v>32.7888</v>
      </c>
      <c r="K28" s="564">
        <f>IFERROR(__xludf.DUMMYFUNCTION("""COMPUTED_VALUE"""),38.815200000000004)</f>
        <v>38.8152</v>
      </c>
      <c r="L28" s="565">
        <f>IFERROR(__xludf.DUMMYFUNCTION("""COMPUTED_VALUE"""),42.336)</f>
        <v>42.336</v>
      </c>
      <c r="M28" s="509"/>
      <c r="N28" s="399">
        <f>IFERROR(__xludf.DUMMYFUNCTION("""COMPUTED_VALUE"""),2.0)</f>
        <v>2</v>
      </c>
      <c r="O28" s="400" t="str">
        <f>IFERROR(__xludf.DUMMYFUNCTION("""COMPUTED_VALUE"""),"効果値")</f>
        <v>効果値</v>
      </c>
      <c r="P28" s="579">
        <f>IFERROR(__xludf.DUMMYFUNCTION("""COMPUTED_VALUE"""),2.688)</f>
        <v>2.688</v>
      </c>
      <c r="Q28" s="583">
        <f>IFERROR(__xludf.DUMMYFUNCTION("""COMPUTED_VALUE"""),2.9819999999999998)</f>
        <v>2.982</v>
      </c>
      <c r="R28" s="583">
        <f>IFERROR(__xludf.DUMMYFUNCTION("""COMPUTED_VALUE"""),3.4789999999999996)</f>
        <v>3.479</v>
      </c>
      <c r="S28" s="583">
        <f>IFERROR(__xludf.DUMMYFUNCTION("""COMPUTED_VALUE"""),3.9759999999999995)</f>
        <v>3.976</v>
      </c>
      <c r="T28" s="583">
        <f>IFERROR(__xludf.DUMMYFUNCTION("""COMPUTED_VALUE"""),10.8432)</f>
        <v>10.8432</v>
      </c>
      <c r="U28" s="583">
        <f>IFERROR(__xludf.DUMMYFUNCTION("""COMPUTED_VALUE"""),14.428799999999999)</f>
        <v>14.4288</v>
      </c>
      <c r="V28" s="583">
        <f>IFERROR(__xludf.DUMMYFUNCTION("""COMPUTED_VALUE"""),19.375200000000003)</f>
        <v>19.3752</v>
      </c>
      <c r="W28" s="584">
        <f>IFERROR(__xludf.DUMMYFUNCTION("""COMPUTED_VALUE"""),20.736)</f>
        <v>20.736</v>
      </c>
      <c r="X28" s="509"/>
      <c r="Y28" s="510"/>
      <c r="Z28" s="511"/>
      <c r="AA28" s="568"/>
      <c r="AB28" s="568"/>
      <c r="AC28" s="568"/>
      <c r="AD28" s="568"/>
      <c r="AE28" s="568">
        <f>IFERROR(__xludf.DUMMYFUNCTION("""COMPUTED_VALUE"""),16.200000000000003)</f>
        <v>16.2</v>
      </c>
      <c r="AF28" s="568">
        <f>IFERROR(__xludf.DUMMYFUNCTION("""COMPUTED_VALUE"""),18.36)</f>
        <v>18.36</v>
      </c>
      <c r="AG28" s="568">
        <f>IFERROR(__xludf.DUMMYFUNCTION("""COMPUTED_VALUE"""),19.44)</f>
        <v>19.44</v>
      </c>
      <c r="AH28" s="569">
        <f>IFERROR(__xludf.DUMMYFUNCTION("""COMPUTED_VALUE"""),21.6)</f>
        <v>21.6</v>
      </c>
      <c r="AI28" s="509"/>
      <c r="AJ28" s="570">
        <f>IFERROR(__xludf.DUMMYFUNCTION("""COMPUTED_VALUE"""),2.0)</f>
        <v>2</v>
      </c>
      <c r="AK28" s="585"/>
      <c r="AL28" s="558"/>
      <c r="AM28" s="558"/>
      <c r="AN28" s="558"/>
      <c r="AO28" s="558"/>
      <c r="AP28" s="558"/>
      <c r="AQ28" s="558"/>
      <c r="AR28" s="558"/>
      <c r="AS28" s="586"/>
      <c r="AT28" s="115"/>
      <c r="AU28" s="115"/>
      <c r="AV28" s="115"/>
      <c r="AW28" s="115"/>
      <c r="AX28" s="115"/>
      <c r="AY28" s="115"/>
      <c r="AZ28" s="115"/>
      <c r="BA28" s="115"/>
      <c r="BB28" s="115"/>
      <c r="BC28" s="115"/>
    </row>
    <row r="29">
      <c r="A29" s="573" t="str">
        <f>IFERROR(__xludf.DUMMYFUNCTION("""COMPUTED_VALUE"""),"※SSR以上に設定可能")</f>
        <v>※SSR以上に設定可能</v>
      </c>
      <c r="B29" s="582" t="str">
        <f>IFERROR(__xludf.DUMMYFUNCTION("""COMPUTED_VALUE"""),"タップしたコマ")</f>
        <v>タップしたコマ</v>
      </c>
      <c r="C29" s="386">
        <f>IFERROR(__xludf.DUMMYFUNCTION("""COMPUTED_VALUE"""),3.0)</f>
        <v>3</v>
      </c>
      <c r="D29" s="387" t="str">
        <f>IFERROR(__xludf.DUMMYFUNCTION("""COMPUTED_VALUE"""),"効果値")</f>
        <v>効果値</v>
      </c>
      <c r="E29" s="516">
        <f>IFERROR(__xludf.DUMMYFUNCTION("""COMPUTED_VALUE"""),4.4)</f>
        <v>4.4</v>
      </c>
      <c r="F29" s="516">
        <f>IFERROR(__xludf.DUMMYFUNCTION("""COMPUTED_VALUE"""),5.1)</f>
        <v>5.1</v>
      </c>
      <c r="G29" s="516">
        <f>IFERROR(__xludf.DUMMYFUNCTION("""COMPUTED_VALUE"""),5.949999999999999)</f>
        <v>5.95</v>
      </c>
      <c r="H29" s="516">
        <f>IFERROR(__xludf.DUMMYFUNCTION("""COMPUTED_VALUE"""),6.8)</f>
        <v>6.8</v>
      </c>
      <c r="I29" s="516">
        <f>IFERROR(__xludf.DUMMYFUNCTION("""COMPUTED_VALUE"""),30.672000000000004)</f>
        <v>30.672</v>
      </c>
      <c r="J29" s="516">
        <f>IFERROR(__xludf.DUMMYFUNCTION("""COMPUTED_VALUE"""),35.208)</f>
        <v>35.208</v>
      </c>
      <c r="K29" s="516">
        <f>IFERROR(__xludf.DUMMYFUNCTION("""COMPUTED_VALUE"""),40.932)</f>
        <v>40.932</v>
      </c>
      <c r="L29" s="574">
        <f>IFERROR(__xludf.DUMMYFUNCTION("""COMPUTED_VALUE"""),45.36)</f>
        <v>45.36</v>
      </c>
      <c r="M29" s="509"/>
      <c r="N29" s="386">
        <f>IFERROR(__xludf.DUMMYFUNCTION("""COMPUTED_VALUE"""),3.0)</f>
        <v>3</v>
      </c>
      <c r="O29" s="387" t="str">
        <f>IFERROR(__xludf.DUMMYFUNCTION("""COMPUTED_VALUE"""),"効果値")</f>
        <v>効果値</v>
      </c>
      <c r="P29" s="531">
        <f>IFERROR(__xludf.DUMMYFUNCTION("""COMPUTED_VALUE"""),3.08)</f>
        <v>3.08</v>
      </c>
      <c r="Q29" s="531">
        <f>IFERROR(__xludf.DUMMYFUNCTION("""COMPUTED_VALUE"""),3.5699999999999994)</f>
        <v>3.57</v>
      </c>
      <c r="R29" s="531">
        <f>IFERROR(__xludf.DUMMYFUNCTION("""COMPUTED_VALUE"""),4.164999999999999)</f>
        <v>4.165</v>
      </c>
      <c r="S29" s="532">
        <f>IFERROR(__xludf.DUMMYFUNCTION("""COMPUTED_VALUE"""),4.76)</f>
        <v>4.76</v>
      </c>
      <c r="T29" s="531">
        <f>IFERROR(__xludf.DUMMYFUNCTION("""COMPUTED_VALUE"""),14.472)</f>
        <v>14.472</v>
      </c>
      <c r="U29" s="532">
        <f>IFERROR(__xludf.DUMMYFUNCTION("""COMPUTED_VALUE"""),16.848)</f>
        <v>16.848</v>
      </c>
      <c r="V29" s="531">
        <f>IFERROR(__xludf.DUMMYFUNCTION("""COMPUTED_VALUE"""),21.492)</f>
        <v>21.492</v>
      </c>
      <c r="W29" s="587">
        <f>IFERROR(__xludf.DUMMYFUNCTION("""COMPUTED_VALUE"""),23.76)</f>
        <v>23.76</v>
      </c>
      <c r="X29" s="509"/>
      <c r="Y29" s="498"/>
      <c r="Z29" s="518"/>
      <c r="AA29" s="556"/>
      <c r="AB29" s="500"/>
      <c r="AC29" s="500"/>
      <c r="AD29" s="501"/>
      <c r="AE29" s="500">
        <f>IFERROR(__xludf.DUMMYFUNCTION("""COMPUTED_VALUE"""),16.200000000000003)</f>
        <v>16.2</v>
      </c>
      <c r="AF29" s="501">
        <f>IFERROR(__xludf.DUMMYFUNCTION("""COMPUTED_VALUE"""),18.36)</f>
        <v>18.36</v>
      </c>
      <c r="AG29" s="500">
        <f>IFERROR(__xludf.DUMMYFUNCTION("""COMPUTED_VALUE"""),19.44)</f>
        <v>19.44</v>
      </c>
      <c r="AH29" s="557">
        <f>IFERROR(__xludf.DUMMYFUNCTION("""COMPUTED_VALUE"""),21.6)</f>
        <v>21.6</v>
      </c>
      <c r="AI29" s="509"/>
      <c r="AJ29" s="558">
        <f>IFERROR(__xludf.DUMMYFUNCTION("""COMPUTED_VALUE"""),3.0)</f>
        <v>3</v>
      </c>
      <c r="AK29" s="559"/>
      <c r="AL29" s="560"/>
      <c r="AM29" s="560"/>
      <c r="AN29" s="560"/>
      <c r="AO29" s="560"/>
      <c r="AP29" s="560"/>
      <c r="AQ29" s="560"/>
      <c r="AR29" s="560"/>
      <c r="AS29" s="561"/>
      <c r="AT29" s="115"/>
      <c r="AU29" s="115"/>
      <c r="AV29" s="115"/>
      <c r="AW29" s="115"/>
      <c r="AX29" s="115"/>
      <c r="AY29" s="115"/>
      <c r="AZ29" s="115"/>
      <c r="BA29" s="115"/>
      <c r="BB29" s="115"/>
      <c r="BC29" s="115"/>
    </row>
    <row r="30">
      <c r="A30" s="115"/>
      <c r="B30" s="582" t="str">
        <f>IFERROR(__xludf.DUMMYFUNCTION("""COMPUTED_VALUE"""),"or")</f>
        <v>or</v>
      </c>
      <c r="C30" s="399">
        <f>IFERROR(__xludf.DUMMYFUNCTION("""COMPUTED_VALUE"""),4.0)</f>
        <v>4</v>
      </c>
      <c r="D30" s="400" t="str">
        <f>IFERROR(__xludf.DUMMYFUNCTION("""COMPUTED_VALUE"""),"効果値")</f>
        <v>効果値</v>
      </c>
      <c r="E30" s="564">
        <f>IFERROR(__xludf.DUMMYFUNCTION("""COMPUTED_VALUE"""),4.76)</f>
        <v>4.76</v>
      </c>
      <c r="F30" s="564">
        <f>IFERROR(__xludf.DUMMYFUNCTION("""COMPUTED_VALUE"""),5.64)</f>
        <v>5.64</v>
      </c>
      <c r="G30" s="564">
        <f>IFERROR(__xludf.DUMMYFUNCTION("""COMPUTED_VALUE"""),6.58)</f>
        <v>6.58</v>
      </c>
      <c r="H30" s="564">
        <f>IFERROR(__xludf.DUMMYFUNCTION("""COMPUTED_VALUE"""),7.52)</f>
        <v>7.52</v>
      </c>
      <c r="I30" s="564">
        <f>IFERROR(__xludf.DUMMYFUNCTION("""COMPUTED_VALUE"""),33.0048)</f>
        <v>33.0048</v>
      </c>
      <c r="J30" s="564">
        <f>IFERROR(__xludf.DUMMYFUNCTION("""COMPUTED_VALUE"""),36.7632)</f>
        <v>36.7632</v>
      </c>
      <c r="K30" s="564">
        <f>IFERROR(__xludf.DUMMYFUNCTION("""COMPUTED_VALUE"""),42.2928)</f>
        <v>42.2928</v>
      </c>
      <c r="L30" s="565">
        <f>IFERROR(__xludf.DUMMYFUNCTION("""COMPUTED_VALUE"""),47.304)</f>
        <v>47.304</v>
      </c>
      <c r="M30" s="509"/>
      <c r="N30" s="399">
        <f>IFERROR(__xludf.DUMMYFUNCTION("""COMPUTED_VALUE"""),4.0)</f>
        <v>4</v>
      </c>
      <c r="O30" s="400" t="str">
        <f>IFERROR(__xludf.DUMMYFUNCTION("""COMPUTED_VALUE"""),"効果値")</f>
        <v>効果値</v>
      </c>
      <c r="P30" s="588">
        <f>IFERROR(__xludf.DUMMYFUNCTION("""COMPUTED_VALUE"""),3.332)</f>
        <v>3.332</v>
      </c>
      <c r="Q30" s="568">
        <f>IFERROR(__xludf.DUMMYFUNCTION("""COMPUTED_VALUE"""),3.9479999999999995)</f>
        <v>3.948</v>
      </c>
      <c r="R30" s="568">
        <f>IFERROR(__xludf.DUMMYFUNCTION("""COMPUTED_VALUE"""),4.606)</f>
        <v>4.606</v>
      </c>
      <c r="S30" s="568">
        <f>IFERROR(__xludf.DUMMYFUNCTION("""COMPUTED_VALUE"""),5.263999999999999)</f>
        <v>5.264</v>
      </c>
      <c r="T30" s="568">
        <f>IFERROR(__xludf.DUMMYFUNCTION("""COMPUTED_VALUE"""),16.8048)</f>
        <v>16.8048</v>
      </c>
      <c r="U30" s="568">
        <f>IFERROR(__xludf.DUMMYFUNCTION("""COMPUTED_VALUE"""),18.403200000000002)</f>
        <v>18.4032</v>
      </c>
      <c r="V30" s="568">
        <f>IFERROR(__xludf.DUMMYFUNCTION("""COMPUTED_VALUE"""),22.852800000000002)</f>
        <v>22.8528</v>
      </c>
      <c r="W30" s="569">
        <f>IFERROR(__xludf.DUMMYFUNCTION("""COMPUTED_VALUE"""),25.704)</f>
        <v>25.704</v>
      </c>
      <c r="X30" s="509"/>
      <c r="Y30" s="510"/>
      <c r="Z30" s="511"/>
      <c r="AA30" s="568"/>
      <c r="AB30" s="568"/>
      <c r="AC30" s="568"/>
      <c r="AD30" s="568"/>
      <c r="AE30" s="568">
        <f>IFERROR(__xludf.DUMMYFUNCTION("""COMPUTED_VALUE"""),16.200000000000003)</f>
        <v>16.2</v>
      </c>
      <c r="AF30" s="568">
        <f>IFERROR(__xludf.DUMMYFUNCTION("""COMPUTED_VALUE"""),18.36)</f>
        <v>18.36</v>
      </c>
      <c r="AG30" s="568">
        <f>IFERROR(__xludf.DUMMYFUNCTION("""COMPUTED_VALUE"""),19.44)</f>
        <v>19.44</v>
      </c>
      <c r="AH30" s="569">
        <f>IFERROR(__xludf.DUMMYFUNCTION("""COMPUTED_VALUE"""),21.6)</f>
        <v>21.6</v>
      </c>
      <c r="AI30" s="509"/>
      <c r="AJ30" s="570">
        <f>IFERROR(__xludf.DUMMYFUNCTION("""COMPUTED_VALUE"""),4.0)</f>
        <v>4</v>
      </c>
      <c r="AK30" s="585"/>
      <c r="AL30" s="589"/>
      <c r="AM30" s="589"/>
      <c r="AN30" s="589"/>
      <c r="AO30" s="589"/>
      <c r="AP30" s="589"/>
      <c r="AQ30" s="589"/>
      <c r="AR30" s="589"/>
      <c r="AS30" s="590"/>
      <c r="AT30" s="115"/>
      <c r="AU30" s="115"/>
      <c r="AV30" s="115"/>
      <c r="AW30" s="115"/>
      <c r="AX30" s="115"/>
      <c r="AY30" s="115"/>
      <c r="AZ30" s="115"/>
      <c r="BA30" s="115"/>
      <c r="BB30" s="115"/>
      <c r="BC30" s="115"/>
    </row>
    <row r="31">
      <c r="A31" s="591"/>
      <c r="B31" s="592" t="str">
        <f>IFERROR(__xludf.DUMMYFUNCTION("""COMPUTED_VALUE"""),"タップしたコマ(属性orロール)")</f>
        <v>タップしたコマ(属性orロール)</v>
      </c>
      <c r="C31" s="539">
        <f>IFERROR(__xludf.DUMMYFUNCTION("""COMPUTED_VALUE"""),5.0)</f>
        <v>5</v>
      </c>
      <c r="D31" s="540" t="str">
        <f>IFERROR(__xludf.DUMMYFUNCTION("""COMPUTED_VALUE"""),"効果値")</f>
        <v>効果値</v>
      </c>
      <c r="E31" s="303">
        <f>IFERROR(__xludf.DUMMYFUNCTION("""COMPUTED_VALUE"""),5.0)</f>
        <v>5</v>
      </c>
      <c r="F31" s="593">
        <f>IFERROR(__xludf.DUMMYFUNCTION("""COMPUTED_VALUE"""),6.0)</f>
        <v>6</v>
      </c>
      <c r="G31" s="593">
        <f>IFERROR(__xludf.DUMMYFUNCTION("""COMPUTED_VALUE"""),7.0)</f>
        <v>7</v>
      </c>
      <c r="H31" s="593">
        <f>IFERROR(__xludf.DUMMYFUNCTION("""COMPUTED_VALUE"""),8.0)</f>
        <v>8</v>
      </c>
      <c r="I31" s="303">
        <f>IFERROR(__xludf.DUMMYFUNCTION("""COMPUTED_VALUE"""),34.56)</f>
        <v>34.56</v>
      </c>
      <c r="J31" s="303">
        <f>IFERROR(__xludf.DUMMYFUNCTION("""COMPUTED_VALUE"""),37.8)</f>
        <v>37.8</v>
      </c>
      <c r="K31" s="303">
        <f>IFERROR(__xludf.DUMMYFUNCTION("""COMPUTED_VALUE"""),43.2)</f>
        <v>43.2</v>
      </c>
      <c r="L31" s="303">
        <f>IFERROR(__xludf.DUMMYFUNCTION("""COMPUTED_VALUE"""),48.6)</f>
        <v>48.6</v>
      </c>
      <c r="M31" s="541"/>
      <c r="N31" s="539">
        <f>IFERROR(__xludf.DUMMYFUNCTION("""COMPUTED_VALUE"""),5.0)</f>
        <v>5</v>
      </c>
      <c r="O31" s="540" t="str">
        <f>IFERROR(__xludf.DUMMYFUNCTION("""COMPUTED_VALUE"""),"効果値")</f>
        <v>効果値</v>
      </c>
      <c r="P31" s="288">
        <f>IFERROR(__xludf.DUMMYFUNCTION("""COMPUTED_VALUE"""),3.5)</f>
        <v>3.5</v>
      </c>
      <c r="Q31" s="286">
        <f>IFERROR(__xludf.DUMMYFUNCTION("""COMPUTED_VALUE"""),4.199999999999999)</f>
        <v>4.2</v>
      </c>
      <c r="R31" s="286">
        <f>IFERROR(__xludf.DUMMYFUNCTION("""COMPUTED_VALUE"""),4.8999999999999995)</f>
        <v>4.9</v>
      </c>
      <c r="S31" s="286">
        <f>IFERROR(__xludf.DUMMYFUNCTION("""COMPUTED_VALUE"""),5.6)</f>
        <v>5.6</v>
      </c>
      <c r="T31" s="288">
        <f>IFERROR(__xludf.DUMMYFUNCTION("""COMPUTED_VALUE"""),18.36)</f>
        <v>18.36</v>
      </c>
      <c r="U31" s="288">
        <f>IFERROR(__xludf.DUMMYFUNCTION("""COMPUTED_VALUE"""),19.44)</f>
        <v>19.44</v>
      </c>
      <c r="V31" s="288">
        <f>IFERROR(__xludf.DUMMYFUNCTION("""COMPUTED_VALUE"""),23.76)</f>
        <v>23.76</v>
      </c>
      <c r="W31" s="594">
        <f>IFERROR(__xludf.DUMMYFUNCTION("""COMPUTED_VALUE"""),27.0)</f>
        <v>27</v>
      </c>
      <c r="X31" s="541"/>
      <c r="Y31" s="595"/>
      <c r="Z31" s="596"/>
      <c r="AA31" s="597">
        <f>IFERROR(__xludf.DUMMYFUNCTION("""COMPUTED_VALUE"""),1.5)</f>
        <v>1.5</v>
      </c>
      <c r="AB31" s="598">
        <f>IFERROR(__xludf.DUMMYFUNCTION("""COMPUTED_VALUE"""),1.7999999999999998)</f>
        <v>1.8</v>
      </c>
      <c r="AC31" s="598">
        <f>IFERROR(__xludf.DUMMYFUNCTION("""COMPUTED_VALUE"""),2.1)</f>
        <v>2.1</v>
      </c>
      <c r="AD31" s="598">
        <f>IFERROR(__xludf.DUMMYFUNCTION("""COMPUTED_VALUE"""),2.4)</f>
        <v>2.4</v>
      </c>
      <c r="AE31" s="598">
        <f>IFERROR(__xludf.DUMMYFUNCTION("""COMPUTED_VALUE"""),16.200000000000003)</f>
        <v>16.2</v>
      </c>
      <c r="AF31" s="598">
        <f>IFERROR(__xludf.DUMMYFUNCTION("""COMPUTED_VALUE"""),18.36)</f>
        <v>18.36</v>
      </c>
      <c r="AG31" s="598">
        <f>IFERROR(__xludf.DUMMYFUNCTION("""COMPUTED_VALUE"""),19.44)</f>
        <v>19.44</v>
      </c>
      <c r="AH31" s="599">
        <f>IFERROR(__xludf.DUMMYFUNCTION("""COMPUTED_VALUE"""),21.6)</f>
        <v>21.6</v>
      </c>
      <c r="AI31" s="541"/>
      <c r="AJ31" s="600">
        <f>IFERROR(__xludf.DUMMYFUNCTION("""COMPUTED_VALUE"""),5.0)</f>
        <v>5</v>
      </c>
      <c r="AK31" s="601" t="str">
        <f>IFERROR(__xludf.DUMMYFUNCTION("""COMPUTED_VALUE"""),"※↓下記効果値は理論値。1秒に1回攻撃するキャラの合計ダメージ%")</f>
        <v>※↓下記効果値は理論値。1秒に1回攻撃するキャラの合計ダメージ%</v>
      </c>
      <c r="AL31" s="602"/>
      <c r="AM31" s="602"/>
      <c r="AN31" s="602"/>
      <c r="AO31" s="602"/>
      <c r="AP31" s="602"/>
      <c r="AQ31" s="602"/>
      <c r="AR31" s="602"/>
      <c r="AS31" s="603"/>
      <c r="AT31" s="115"/>
      <c r="AU31" s="115"/>
      <c r="AV31" s="115"/>
      <c r="AW31" s="115"/>
      <c r="AX31" s="115"/>
      <c r="AY31" s="115"/>
      <c r="AZ31" s="115"/>
      <c r="BA31" s="115"/>
      <c r="BB31" s="115"/>
      <c r="BC31" s="115"/>
    </row>
    <row r="32">
      <c r="A32" s="545" t="str">
        <f>IFERROR(__xludf.DUMMYFUNCTION("""COMPUTED_VALUE"""),"ダメージカット")</f>
        <v>ダメージカット</v>
      </c>
      <c r="B32" s="347" t="str">
        <f>IFERROR(__xludf.DUMMYFUNCTION("""COMPUTED_VALUE"""),"ハイブリッド型")</f>
        <v>ハイブリッド型</v>
      </c>
      <c r="C32" s="375">
        <f>IFERROR(__xludf.DUMMYFUNCTION("""COMPUTED_VALUE"""),1.0)</f>
        <v>1</v>
      </c>
      <c r="D32" s="260" t="str">
        <f>IFERROR(__xludf.DUMMYFUNCTION("""COMPUTED_VALUE"""),"効果値")</f>
        <v>効果値</v>
      </c>
      <c r="E32" s="604">
        <f>IFERROR(__xludf.DUMMYFUNCTION("""COMPUTED_VALUE"""),21.6)</f>
        <v>21.6</v>
      </c>
      <c r="F32" s="605">
        <f>IFERROR(__xludf.DUMMYFUNCTION("""COMPUTED_VALUE"""),21.6)</f>
        <v>21.6</v>
      </c>
      <c r="G32" s="605">
        <f>IFERROR(__xludf.DUMMYFUNCTION("""COMPUTED_VALUE"""),21.6)</f>
        <v>21.6</v>
      </c>
      <c r="H32" s="605">
        <f>IFERROR(__xludf.DUMMYFUNCTION("""COMPUTED_VALUE"""),21.6)</f>
        <v>21.6</v>
      </c>
      <c r="I32" s="606">
        <f>IFERROR(__xludf.DUMMYFUNCTION("""COMPUTED_VALUE"""),21.6)</f>
        <v>21.6</v>
      </c>
      <c r="J32" s="606">
        <f>IFERROR(__xludf.DUMMYFUNCTION("""COMPUTED_VALUE"""),29.16)</f>
        <v>29.16</v>
      </c>
      <c r="K32" s="606">
        <f>IFERROR(__xludf.DUMMYFUNCTION("""COMPUTED_VALUE"""),35.64)</f>
        <v>35.64</v>
      </c>
      <c r="L32" s="607">
        <f>IFERROR(__xludf.DUMMYFUNCTION("""COMPUTED_VALUE"""),37.800000000000004)</f>
        <v>37.8</v>
      </c>
      <c r="M32" s="608"/>
      <c r="N32" s="375">
        <f>IFERROR(__xludf.DUMMYFUNCTION("""COMPUTED_VALUE"""),1.0)</f>
        <v>1</v>
      </c>
      <c r="O32" s="609" t="str">
        <f>IFERROR(__xludf.DUMMYFUNCTION("""COMPUTED_VALUE"""),"効果値")</f>
        <v>効果値</v>
      </c>
      <c r="P32" s="604">
        <f>IFERROR(__xludf.DUMMYFUNCTION("""COMPUTED_VALUE"""),5.4)</f>
        <v>5.4</v>
      </c>
      <c r="Q32" s="604">
        <f>IFERROR(__xludf.DUMMYFUNCTION("""COMPUTED_VALUE"""),5.4)</f>
        <v>5.4</v>
      </c>
      <c r="R32" s="604">
        <f>IFERROR(__xludf.DUMMYFUNCTION("""COMPUTED_VALUE"""),5.4)</f>
        <v>5.4</v>
      </c>
      <c r="S32" s="604">
        <f>IFERROR(__xludf.DUMMYFUNCTION("""COMPUTED_VALUE"""),5.4)</f>
        <v>5.4</v>
      </c>
      <c r="T32" s="610">
        <f>IFERROR(__xludf.DUMMYFUNCTION("""COMPUTED_VALUE"""),5.4)</f>
        <v>5.4</v>
      </c>
      <c r="U32" s="610">
        <f>IFERROR(__xludf.DUMMYFUNCTION("""COMPUTED_VALUE"""),10.8)</f>
        <v>10.8</v>
      </c>
      <c r="V32" s="610">
        <f>IFERROR(__xludf.DUMMYFUNCTION("""COMPUTED_VALUE"""),16.200000000000003)</f>
        <v>16.2</v>
      </c>
      <c r="W32" s="611">
        <f>IFERROR(__xludf.DUMMYFUNCTION("""COMPUTED_VALUE"""),16.200000000000003)</f>
        <v>16.2</v>
      </c>
      <c r="X32" s="608"/>
      <c r="Y32" s="490"/>
      <c r="Z32" s="612"/>
      <c r="AA32" s="613">
        <f>IFERROR(__xludf.DUMMYFUNCTION("""COMPUTED_VALUE"""),16.200000000000003)</f>
        <v>16.2</v>
      </c>
      <c r="AB32" s="614">
        <f>IFERROR(__xludf.DUMMYFUNCTION("""COMPUTED_VALUE"""),16.200000000000003)</f>
        <v>16.2</v>
      </c>
      <c r="AC32" s="614">
        <f>IFERROR(__xludf.DUMMYFUNCTION("""COMPUTED_VALUE"""),16.200000000000003)</f>
        <v>16.2</v>
      </c>
      <c r="AD32" s="614">
        <f>IFERROR(__xludf.DUMMYFUNCTION("""COMPUTED_VALUE"""),16.200000000000003)</f>
        <v>16.2</v>
      </c>
      <c r="AE32" s="568">
        <f>IFERROR(__xludf.DUMMYFUNCTION("""COMPUTED_VALUE"""),16.200000000000003)</f>
        <v>16.2</v>
      </c>
      <c r="AF32" s="568">
        <f>IFERROR(__xludf.DUMMYFUNCTION("""COMPUTED_VALUE"""),18.36)</f>
        <v>18.36</v>
      </c>
      <c r="AG32" s="568">
        <f>IFERROR(__xludf.DUMMYFUNCTION("""COMPUTED_VALUE"""),19.44)</f>
        <v>19.44</v>
      </c>
      <c r="AH32" s="569">
        <f>IFERROR(__xludf.DUMMYFUNCTION("""COMPUTED_VALUE"""),21.6)</f>
        <v>21.6</v>
      </c>
      <c r="AI32" s="489"/>
      <c r="AJ32" s="615">
        <f>IFERROR(__xludf.DUMMYFUNCTION("""COMPUTED_VALUE"""),1.0)</f>
        <v>1</v>
      </c>
      <c r="AK32" s="616" t="str">
        <f>IFERROR(__xludf.DUMMYFUNCTION("""COMPUTED_VALUE"""),"効果値")</f>
        <v>効果値</v>
      </c>
      <c r="AL32" s="617">
        <f>IFERROR(__xludf.DUMMYFUNCTION("""COMPUTED_VALUE"""),5.4)</f>
        <v>5.4</v>
      </c>
      <c r="AM32" s="618">
        <f>IFERROR(__xludf.DUMMYFUNCTION("""COMPUTED_VALUE"""),5.4)</f>
        <v>5.4</v>
      </c>
      <c r="AN32" s="618">
        <f>IFERROR(__xludf.DUMMYFUNCTION("""COMPUTED_VALUE"""),5.4)</f>
        <v>5.4</v>
      </c>
      <c r="AO32" s="618">
        <f>IFERROR(__xludf.DUMMYFUNCTION("""COMPUTED_VALUE"""),5.4)</f>
        <v>5.4</v>
      </c>
      <c r="AP32" s="618">
        <f>IFERROR(__xludf.DUMMYFUNCTION("""COMPUTED_VALUE"""),5.4)</f>
        <v>5.4</v>
      </c>
      <c r="AQ32" s="618">
        <f>IFERROR(__xludf.DUMMYFUNCTION("""COMPUTED_VALUE"""),8.100000000000001)</f>
        <v>8.1</v>
      </c>
      <c r="AR32" s="618">
        <f>IFERROR(__xludf.DUMMYFUNCTION("""COMPUTED_VALUE"""),10.8)</f>
        <v>10.8</v>
      </c>
      <c r="AS32" s="619">
        <f>IFERROR(__xludf.DUMMYFUNCTION("""COMPUTED_VALUE"""),10.8)</f>
        <v>10.8</v>
      </c>
      <c r="AT32" s="115"/>
      <c r="AU32" s="115"/>
      <c r="AV32" s="115"/>
      <c r="AW32" s="115"/>
      <c r="AX32" s="115"/>
      <c r="AY32" s="115"/>
      <c r="AZ32" s="115"/>
      <c r="BA32" s="115"/>
      <c r="BB32" s="115"/>
      <c r="BC32" s="115"/>
    </row>
    <row r="33">
      <c r="A33" s="554"/>
      <c r="B33" s="472"/>
      <c r="C33" s="399">
        <f>IFERROR(__xludf.DUMMYFUNCTION("""COMPUTED_VALUE"""),1.0)</f>
        <v>1</v>
      </c>
      <c r="D33" s="620" t="str">
        <f>IFERROR(__xludf.DUMMYFUNCTION("""COMPUTED_VALUE"""),"効果時間")</f>
        <v>効果時間</v>
      </c>
      <c r="E33" s="621">
        <f>IFERROR(__xludf.DUMMYFUNCTION("""COMPUTED_VALUE"""),150.0)</f>
        <v>150</v>
      </c>
      <c r="F33" s="621">
        <f>IFERROR(__xludf.DUMMYFUNCTION("""COMPUTED_VALUE"""),150.0)</f>
        <v>150</v>
      </c>
      <c r="G33" s="621">
        <f>IFERROR(__xludf.DUMMYFUNCTION("""COMPUTED_VALUE"""),150.0)</f>
        <v>150</v>
      </c>
      <c r="H33" s="621">
        <f>IFERROR(__xludf.DUMMYFUNCTION("""COMPUTED_VALUE"""),150.0)</f>
        <v>150</v>
      </c>
      <c r="I33" s="622">
        <f>IFERROR(__xludf.DUMMYFUNCTION("""COMPUTED_VALUE"""),150.0)</f>
        <v>150</v>
      </c>
      <c r="J33" s="622">
        <f>IFERROR(__xludf.DUMMYFUNCTION("""COMPUTED_VALUE"""),350.0)</f>
        <v>350</v>
      </c>
      <c r="K33" s="622">
        <f>IFERROR(__xludf.DUMMYFUNCTION("""COMPUTED_VALUE"""),460.0)</f>
        <v>460</v>
      </c>
      <c r="L33" s="623">
        <f>IFERROR(__xludf.DUMMYFUNCTION("""COMPUTED_VALUE"""),460.0)</f>
        <v>460</v>
      </c>
      <c r="M33" s="624"/>
      <c r="N33" s="399">
        <f>IFERROR(__xludf.DUMMYFUNCTION("""COMPUTED_VALUE"""),1.0)</f>
        <v>1</v>
      </c>
      <c r="O33" s="625" t="str">
        <f>IFERROR(__xludf.DUMMYFUNCTION("""COMPUTED_VALUE"""),"効果時間")</f>
        <v>効果時間</v>
      </c>
      <c r="P33" s="621">
        <f>IFERROR(__xludf.DUMMYFUNCTION("""COMPUTED_VALUE"""),150.0)</f>
        <v>150</v>
      </c>
      <c r="Q33" s="621">
        <f>IFERROR(__xludf.DUMMYFUNCTION("""COMPUTED_VALUE"""),150.0)</f>
        <v>150</v>
      </c>
      <c r="R33" s="621">
        <f>IFERROR(__xludf.DUMMYFUNCTION("""COMPUTED_VALUE"""),150.0)</f>
        <v>150</v>
      </c>
      <c r="S33" s="621">
        <f>IFERROR(__xludf.DUMMYFUNCTION("""COMPUTED_VALUE"""),150.0)</f>
        <v>150</v>
      </c>
      <c r="T33" s="622">
        <f>IFERROR(__xludf.DUMMYFUNCTION("""COMPUTED_VALUE"""),150.0)</f>
        <v>150</v>
      </c>
      <c r="U33" s="622">
        <f>IFERROR(__xludf.DUMMYFUNCTION("""COMPUTED_VALUE"""),350.0)</f>
        <v>350</v>
      </c>
      <c r="V33" s="622">
        <f>IFERROR(__xludf.DUMMYFUNCTION("""COMPUTED_VALUE"""),460.0)</f>
        <v>460</v>
      </c>
      <c r="W33" s="626">
        <f>IFERROR(__xludf.DUMMYFUNCTION("""COMPUTED_VALUE"""),460.0)</f>
        <v>460</v>
      </c>
      <c r="X33" s="509"/>
      <c r="Y33" s="510"/>
      <c r="Z33" s="627"/>
      <c r="AA33" s="628"/>
      <c r="AB33" s="628"/>
      <c r="AC33" s="628"/>
      <c r="AD33" s="628"/>
      <c r="AE33" s="568"/>
      <c r="AF33" s="568"/>
      <c r="AG33" s="568"/>
      <c r="AH33" s="569"/>
      <c r="AI33" s="509"/>
      <c r="AJ33" s="629">
        <f>IFERROR(__xludf.DUMMYFUNCTION("""COMPUTED_VALUE"""),1.0)</f>
        <v>1</v>
      </c>
      <c r="AK33" s="630" t="str">
        <f>IFERROR(__xludf.DUMMYFUNCTION("""COMPUTED_VALUE"""),"効果時間")</f>
        <v>効果時間</v>
      </c>
      <c r="AL33" s="631">
        <f>IFERROR(__xludf.DUMMYFUNCTION("""COMPUTED_VALUE"""),150.0)</f>
        <v>150</v>
      </c>
      <c r="AM33" s="631">
        <f>IFERROR(__xludf.DUMMYFUNCTION("""COMPUTED_VALUE"""),150.0)</f>
        <v>150</v>
      </c>
      <c r="AN33" s="631">
        <f>IFERROR(__xludf.DUMMYFUNCTION("""COMPUTED_VALUE"""),150.0)</f>
        <v>150</v>
      </c>
      <c r="AO33" s="631">
        <f>IFERROR(__xludf.DUMMYFUNCTION("""COMPUTED_VALUE"""),150.0)</f>
        <v>150</v>
      </c>
      <c r="AP33" s="631">
        <f>IFERROR(__xludf.DUMMYFUNCTION("""COMPUTED_VALUE"""),150.0)</f>
        <v>150</v>
      </c>
      <c r="AQ33" s="631">
        <f>IFERROR(__xludf.DUMMYFUNCTION("""COMPUTED_VALUE"""),350.0)</f>
        <v>350</v>
      </c>
      <c r="AR33" s="631">
        <f>IFERROR(__xludf.DUMMYFUNCTION("""COMPUTED_VALUE"""),460.0)</f>
        <v>460</v>
      </c>
      <c r="AS33" s="632">
        <f>IFERROR(__xludf.DUMMYFUNCTION("""COMPUTED_VALUE"""),460.0)</f>
        <v>460</v>
      </c>
      <c r="AT33" s="115"/>
      <c r="AU33" s="115"/>
      <c r="AV33" s="115"/>
      <c r="AW33" s="115"/>
      <c r="AX33" s="115"/>
      <c r="AY33" s="115"/>
      <c r="AZ33" s="115"/>
      <c r="BA33" s="115"/>
      <c r="BB33" s="115"/>
      <c r="BC33" s="115"/>
    </row>
    <row r="34">
      <c r="A34" s="633"/>
      <c r="B34" s="255" t="str">
        <f>IFERROR(__xludf.DUMMYFUNCTION("""COMPUTED_VALUE"""),"タップしたコマ")</f>
        <v>タップしたコマ</v>
      </c>
      <c r="C34" s="399">
        <f>IFERROR(__xludf.DUMMYFUNCTION("""COMPUTED_VALUE"""),2.0)</f>
        <v>2</v>
      </c>
      <c r="D34" s="620" t="str">
        <f>IFERROR(__xludf.DUMMYFUNCTION("""COMPUTED_VALUE"""),"効果値")</f>
        <v>効果値</v>
      </c>
      <c r="E34" s="621">
        <f>IFERROR(__xludf.DUMMYFUNCTION("""COMPUTED_VALUE"""),26.589600000000004)</f>
        <v>26.5896</v>
      </c>
      <c r="F34" s="621">
        <f>IFERROR(__xludf.DUMMYFUNCTION("""COMPUTED_VALUE"""),26.8164)</f>
        <v>26.8164</v>
      </c>
      <c r="G34" s="621">
        <f>IFERROR(__xludf.DUMMYFUNCTION("""COMPUTED_VALUE"""),27.043200000000002)</f>
        <v>27.0432</v>
      </c>
      <c r="H34" s="621">
        <f>IFERROR(__xludf.DUMMYFUNCTION("""COMPUTED_VALUE"""),27.270000000000003)</f>
        <v>27.27</v>
      </c>
      <c r="I34" s="622">
        <f>IFERROR(__xludf.DUMMYFUNCTION("""COMPUTED_VALUE"""),28.404000000000003)</f>
        <v>28.404</v>
      </c>
      <c r="J34" s="622">
        <f>IFERROR(__xludf.DUMMYFUNCTION("""COMPUTED_VALUE"""),35.056799999999996)</f>
        <v>35.0568</v>
      </c>
      <c r="K34" s="622">
        <f>IFERROR(__xludf.DUMMYFUNCTION("""COMPUTED_VALUE"""),41.083200000000005)</f>
        <v>41.0832</v>
      </c>
      <c r="L34" s="623">
        <f>IFERROR(__xludf.DUMMYFUNCTION("""COMPUTED_VALUE"""),44.604000000000006)</f>
        <v>44.604</v>
      </c>
      <c r="M34" s="624"/>
      <c r="N34" s="399">
        <f>IFERROR(__xludf.DUMMYFUNCTION("""COMPUTED_VALUE"""),2.0)</f>
        <v>2</v>
      </c>
      <c r="O34" s="625" t="str">
        <f>IFERROR(__xludf.DUMMYFUNCTION("""COMPUTED_VALUE"""),"効果値")</f>
        <v>効果値</v>
      </c>
      <c r="P34" s="621">
        <f>IFERROR(__xludf.DUMMYFUNCTION("""COMPUTED_VALUE"""),10.389600000000002)</f>
        <v>10.3896</v>
      </c>
      <c r="Q34" s="621">
        <f>IFERROR(__xludf.DUMMYFUNCTION("""COMPUTED_VALUE"""),10.616399999999999)</f>
        <v>10.6164</v>
      </c>
      <c r="R34" s="621">
        <f>IFERROR(__xludf.DUMMYFUNCTION("""COMPUTED_VALUE"""),10.8432)</f>
        <v>10.8432</v>
      </c>
      <c r="S34" s="621">
        <f>IFERROR(__xludf.DUMMYFUNCTION("""COMPUTED_VALUE"""),11.07)</f>
        <v>11.07</v>
      </c>
      <c r="T34" s="622">
        <f>IFERROR(__xludf.DUMMYFUNCTION("""COMPUTED_VALUE"""),12.204)</f>
        <v>12.204</v>
      </c>
      <c r="U34" s="622">
        <f>IFERROR(__xludf.DUMMYFUNCTION("""COMPUTED_VALUE"""),16.6968)</f>
        <v>16.6968</v>
      </c>
      <c r="V34" s="622">
        <f>IFERROR(__xludf.DUMMYFUNCTION("""COMPUTED_VALUE"""),21.6432)</f>
        <v>21.6432</v>
      </c>
      <c r="W34" s="626">
        <f>IFERROR(__xludf.DUMMYFUNCTION("""COMPUTED_VALUE"""),23.004000000000005)</f>
        <v>23.004</v>
      </c>
      <c r="X34" s="509"/>
      <c r="Y34" s="510"/>
      <c r="Z34" s="627"/>
      <c r="AA34" s="628">
        <f>IFERROR(__xludf.DUMMYFUNCTION("""COMPUTED_VALUE"""),16.200000000000003)</f>
        <v>16.2</v>
      </c>
      <c r="AB34" s="628">
        <f>IFERROR(__xludf.DUMMYFUNCTION("""COMPUTED_VALUE"""),16.200000000000003)</f>
        <v>16.2</v>
      </c>
      <c r="AC34" s="628">
        <f>IFERROR(__xludf.DUMMYFUNCTION("""COMPUTED_VALUE"""),16.200000000000003)</f>
        <v>16.2</v>
      </c>
      <c r="AD34" s="628">
        <f>IFERROR(__xludf.DUMMYFUNCTION("""COMPUTED_VALUE"""),16.200000000000003)</f>
        <v>16.2</v>
      </c>
      <c r="AE34" s="568">
        <f>IFERROR(__xludf.DUMMYFUNCTION("""COMPUTED_VALUE"""),16.200000000000003)</f>
        <v>16.2</v>
      </c>
      <c r="AF34" s="568">
        <f>IFERROR(__xludf.DUMMYFUNCTION("""COMPUTED_VALUE"""),18.36)</f>
        <v>18.36</v>
      </c>
      <c r="AG34" s="568">
        <f>IFERROR(__xludf.DUMMYFUNCTION("""COMPUTED_VALUE"""),19.44)</f>
        <v>19.44</v>
      </c>
      <c r="AH34" s="569">
        <f>IFERROR(__xludf.DUMMYFUNCTION("""COMPUTED_VALUE"""),21.6)</f>
        <v>21.6</v>
      </c>
      <c r="AI34" s="509"/>
      <c r="AJ34" s="629">
        <f>IFERROR(__xludf.DUMMYFUNCTION("""COMPUTED_VALUE"""),2.0)</f>
        <v>2</v>
      </c>
      <c r="AK34" s="630" t="str">
        <f>IFERROR(__xludf.DUMMYFUNCTION("""COMPUTED_VALUE"""),"効果値")</f>
        <v>効果値</v>
      </c>
      <c r="AL34" s="631">
        <f>IFERROR(__xludf.DUMMYFUNCTION("""COMPUTED_VALUE"""),24.131999999999998)</f>
        <v>24.132</v>
      </c>
      <c r="AM34" s="631">
        <f>IFERROR(__xludf.DUMMYFUNCTION("""COMPUTED_VALUE"""),24.131999999999998)</f>
        <v>24.132</v>
      </c>
      <c r="AN34" s="631">
        <f>IFERROR(__xludf.DUMMYFUNCTION("""COMPUTED_VALUE"""),24.131999999999998)</f>
        <v>24.132</v>
      </c>
      <c r="AO34" s="631">
        <f>IFERROR(__xludf.DUMMYFUNCTION("""COMPUTED_VALUE"""),24.131999999999998)</f>
        <v>24.132</v>
      </c>
      <c r="AP34" s="631">
        <f>IFERROR(__xludf.DUMMYFUNCTION("""COMPUTED_VALUE"""),24.131999999999998)</f>
        <v>24.132</v>
      </c>
      <c r="AQ34" s="631">
        <f>IFERROR(__xludf.DUMMYFUNCTION("""COMPUTED_VALUE"""),27.798)</f>
        <v>27.798</v>
      </c>
      <c r="AR34" s="631">
        <f>IFERROR(__xludf.DUMMYFUNCTION("""COMPUTED_VALUE"""),31.464)</f>
        <v>31.464</v>
      </c>
      <c r="AS34" s="632">
        <f>IFERROR(__xludf.DUMMYFUNCTION("""COMPUTED_VALUE"""),35.664)</f>
        <v>35.664</v>
      </c>
      <c r="AT34" s="115"/>
      <c r="AU34" s="115"/>
      <c r="AV34" s="115"/>
      <c r="AW34" s="115"/>
      <c r="AX34" s="115"/>
      <c r="AY34" s="115"/>
      <c r="AZ34" s="115"/>
      <c r="BA34" s="115"/>
      <c r="BB34" s="115"/>
      <c r="BC34" s="115"/>
    </row>
    <row r="35">
      <c r="A35" s="562"/>
      <c r="B35" s="255" t="str">
        <f>IFERROR(__xludf.DUMMYFUNCTION("""COMPUTED_VALUE"""),"or")</f>
        <v>or</v>
      </c>
      <c r="C35" s="399">
        <f>IFERROR(__xludf.DUMMYFUNCTION("""COMPUTED_VALUE"""),2.0)</f>
        <v>2</v>
      </c>
      <c r="D35" s="620" t="str">
        <f>IFERROR(__xludf.DUMMYFUNCTION("""COMPUTED_VALUE"""),"効果時間")</f>
        <v>効果時間</v>
      </c>
      <c r="E35" s="621">
        <f>IFERROR(__xludf.DUMMYFUNCTION("""COMPUTED_VALUE"""),195.0)</f>
        <v>195</v>
      </c>
      <c r="F35" s="621">
        <f>IFERROR(__xludf.DUMMYFUNCTION("""COMPUTED_VALUE"""),205.0)</f>
        <v>205</v>
      </c>
      <c r="G35" s="621">
        <f>IFERROR(__xludf.DUMMYFUNCTION("""COMPUTED_VALUE"""),205.0)</f>
        <v>205</v>
      </c>
      <c r="H35" s="621">
        <f>IFERROR(__xludf.DUMMYFUNCTION("""COMPUTED_VALUE"""),210.0)</f>
        <v>210</v>
      </c>
      <c r="I35" s="622">
        <f>IFERROR(__xludf.DUMMYFUNCTION("""COMPUTED_VALUE"""),215.0)</f>
        <v>215</v>
      </c>
      <c r="J35" s="622">
        <f>IFERROR(__xludf.DUMMYFUNCTION("""COMPUTED_VALUE"""),375.0)</f>
        <v>375</v>
      </c>
      <c r="K35" s="622">
        <f>IFERROR(__xludf.DUMMYFUNCTION("""COMPUTED_VALUE"""),480.0)</f>
        <v>480</v>
      </c>
      <c r="L35" s="623">
        <f>IFERROR(__xludf.DUMMYFUNCTION("""COMPUTED_VALUE"""),500.0)</f>
        <v>500</v>
      </c>
      <c r="M35" s="624"/>
      <c r="N35" s="399">
        <f>IFERROR(__xludf.DUMMYFUNCTION("""COMPUTED_VALUE"""),2.0)</f>
        <v>2</v>
      </c>
      <c r="O35" s="625" t="str">
        <f>IFERROR(__xludf.DUMMYFUNCTION("""COMPUTED_VALUE"""),"効果時間")</f>
        <v>効果時間</v>
      </c>
      <c r="P35" s="621">
        <f>IFERROR(__xludf.DUMMYFUNCTION("""COMPUTED_VALUE"""),195.0)</f>
        <v>195</v>
      </c>
      <c r="Q35" s="621">
        <f>IFERROR(__xludf.DUMMYFUNCTION("""COMPUTED_VALUE"""),205.0)</f>
        <v>205</v>
      </c>
      <c r="R35" s="621">
        <f>IFERROR(__xludf.DUMMYFUNCTION("""COMPUTED_VALUE"""),205.0)</f>
        <v>205</v>
      </c>
      <c r="S35" s="621">
        <f>IFERROR(__xludf.DUMMYFUNCTION("""COMPUTED_VALUE"""),210.0)</f>
        <v>210</v>
      </c>
      <c r="T35" s="622">
        <f>IFERROR(__xludf.DUMMYFUNCTION("""COMPUTED_VALUE"""),215.0)</f>
        <v>215</v>
      </c>
      <c r="U35" s="622">
        <f>IFERROR(__xludf.DUMMYFUNCTION("""COMPUTED_VALUE"""),375.0)</f>
        <v>375</v>
      </c>
      <c r="V35" s="622">
        <f>IFERROR(__xludf.DUMMYFUNCTION("""COMPUTED_VALUE"""),480.0)</f>
        <v>480</v>
      </c>
      <c r="W35" s="626">
        <f>IFERROR(__xludf.DUMMYFUNCTION("""COMPUTED_VALUE"""),500.0)</f>
        <v>500</v>
      </c>
      <c r="X35" s="509"/>
      <c r="Y35" s="510"/>
      <c r="Z35" s="627"/>
      <c r="AA35" s="628"/>
      <c r="AB35" s="628"/>
      <c r="AC35" s="628"/>
      <c r="AD35" s="628"/>
      <c r="AE35" s="568"/>
      <c r="AF35" s="568"/>
      <c r="AG35" s="568"/>
      <c r="AH35" s="569"/>
      <c r="AI35" s="509"/>
      <c r="AJ35" s="629">
        <f>IFERROR(__xludf.DUMMYFUNCTION("""COMPUTED_VALUE"""),2.0)</f>
        <v>2</v>
      </c>
      <c r="AK35" s="630" t="str">
        <f>IFERROR(__xludf.DUMMYFUNCTION("""COMPUTED_VALUE"""),"効果時間")</f>
        <v>効果時間</v>
      </c>
      <c r="AL35" s="631">
        <f>IFERROR(__xludf.DUMMYFUNCTION("""COMPUTED_VALUE"""),195.0)</f>
        <v>195</v>
      </c>
      <c r="AM35" s="631">
        <f>IFERROR(__xludf.DUMMYFUNCTION("""COMPUTED_VALUE"""),205.0)</f>
        <v>205</v>
      </c>
      <c r="AN35" s="631">
        <f>IFERROR(__xludf.DUMMYFUNCTION("""COMPUTED_VALUE"""),205.0)</f>
        <v>205</v>
      </c>
      <c r="AO35" s="631">
        <f>IFERROR(__xludf.DUMMYFUNCTION("""COMPUTED_VALUE"""),210.0)</f>
        <v>210</v>
      </c>
      <c r="AP35" s="631">
        <f>IFERROR(__xludf.DUMMYFUNCTION("""COMPUTED_VALUE"""),215.0)</f>
        <v>215</v>
      </c>
      <c r="AQ35" s="631">
        <f>IFERROR(__xludf.DUMMYFUNCTION("""COMPUTED_VALUE"""),375.0)</f>
        <v>375</v>
      </c>
      <c r="AR35" s="631">
        <f>IFERROR(__xludf.DUMMYFUNCTION("""COMPUTED_VALUE"""),480.0)</f>
        <v>480</v>
      </c>
      <c r="AS35" s="632">
        <f>IFERROR(__xludf.DUMMYFUNCTION("""COMPUTED_VALUE"""),500.0)</f>
        <v>500</v>
      </c>
      <c r="AT35" s="115"/>
      <c r="AU35" s="115"/>
      <c r="AV35" s="115"/>
      <c r="AW35" s="115"/>
      <c r="AX35" s="115"/>
      <c r="AY35" s="115"/>
      <c r="AZ35" s="115"/>
      <c r="BA35" s="115"/>
      <c r="BB35" s="115"/>
      <c r="BC35" s="115"/>
    </row>
    <row r="36">
      <c r="A36" s="634"/>
      <c r="B36" s="635" t="str">
        <f>IFERROR(__xludf.DUMMYFUNCTION("""COMPUTED_VALUE"""),"タップしたコマ(属性orロール)")</f>
        <v>タップしたコマ(属性orロール)</v>
      </c>
      <c r="C36" s="636">
        <f>IFERROR(__xludf.DUMMYFUNCTION("""COMPUTED_VALUE"""),3.0)</f>
        <v>3</v>
      </c>
      <c r="D36" s="637" t="str">
        <f>IFERROR(__xludf.DUMMYFUNCTION("""COMPUTED_VALUE"""),"効果値")</f>
        <v>効果値</v>
      </c>
      <c r="E36" s="638">
        <f>IFERROR(__xludf.DUMMYFUNCTION("""COMPUTED_VALUE"""),29.916000000000004)</f>
        <v>29.916</v>
      </c>
      <c r="F36" s="638">
        <f>IFERROR(__xludf.DUMMYFUNCTION("""COMPUTED_VALUE"""),30.294000000000004)</f>
        <v>30.294</v>
      </c>
      <c r="G36" s="638">
        <f>IFERROR(__xludf.DUMMYFUNCTION("""COMPUTED_VALUE"""),30.672000000000004)</f>
        <v>30.672</v>
      </c>
      <c r="H36" s="638">
        <f>IFERROR(__xludf.DUMMYFUNCTION("""COMPUTED_VALUE"""),31.050000000000004)</f>
        <v>31.05</v>
      </c>
      <c r="I36" s="579">
        <f>IFERROR(__xludf.DUMMYFUNCTION("""COMPUTED_VALUE"""),32.940000000000005)</f>
        <v>32.94</v>
      </c>
      <c r="J36" s="579">
        <f>IFERROR(__xludf.DUMMYFUNCTION("""COMPUTED_VALUE"""),38.988)</f>
        <v>38.988</v>
      </c>
      <c r="K36" s="579">
        <f>IFERROR(__xludf.DUMMYFUNCTION("""COMPUTED_VALUE"""),44.712)</f>
        <v>44.712</v>
      </c>
      <c r="L36" s="639">
        <f>IFERROR(__xludf.DUMMYFUNCTION("""COMPUTED_VALUE"""),49.14000000000001)</f>
        <v>49.14</v>
      </c>
      <c r="M36" s="509"/>
      <c r="N36" s="636">
        <f>IFERROR(__xludf.DUMMYFUNCTION("""COMPUTED_VALUE"""),3.0)</f>
        <v>3</v>
      </c>
      <c r="O36" s="640" t="str">
        <f>IFERROR(__xludf.DUMMYFUNCTION("""COMPUTED_VALUE"""),"効果値")</f>
        <v>効果値</v>
      </c>
      <c r="P36" s="638">
        <f>IFERROR(__xludf.DUMMYFUNCTION("""COMPUTED_VALUE"""),13.716000000000001)</f>
        <v>13.716</v>
      </c>
      <c r="Q36" s="638">
        <f>IFERROR(__xludf.DUMMYFUNCTION("""COMPUTED_VALUE"""),14.094)</f>
        <v>14.094</v>
      </c>
      <c r="R36" s="638">
        <f>IFERROR(__xludf.DUMMYFUNCTION("""COMPUTED_VALUE"""),14.472)</f>
        <v>14.472</v>
      </c>
      <c r="S36" s="638">
        <f>IFERROR(__xludf.DUMMYFUNCTION("""COMPUTED_VALUE"""),14.850000000000001)</f>
        <v>14.85</v>
      </c>
      <c r="T36" s="641">
        <f>IFERROR(__xludf.DUMMYFUNCTION("""COMPUTED_VALUE"""),16.740000000000002)</f>
        <v>16.74</v>
      </c>
      <c r="U36" s="641">
        <f>IFERROR(__xludf.DUMMYFUNCTION("""COMPUTED_VALUE"""),20.628)</f>
        <v>20.628</v>
      </c>
      <c r="V36" s="641">
        <f>IFERROR(__xludf.DUMMYFUNCTION("""COMPUTED_VALUE"""),25.272000000000002)</f>
        <v>25.272</v>
      </c>
      <c r="W36" s="641">
        <f>IFERROR(__xludf.DUMMYFUNCTION("""COMPUTED_VALUE"""),27.540000000000006)</f>
        <v>27.54</v>
      </c>
      <c r="X36" s="509"/>
      <c r="Y36" s="642"/>
      <c r="Z36" s="642"/>
      <c r="AA36" s="643">
        <f>IFERROR(__xludf.DUMMYFUNCTION("""COMPUTED_VALUE"""),16.200000000000003)</f>
        <v>16.2</v>
      </c>
      <c r="AB36" s="643">
        <f>IFERROR(__xludf.DUMMYFUNCTION("""COMPUTED_VALUE"""),16.200000000000003)</f>
        <v>16.2</v>
      </c>
      <c r="AC36" s="643">
        <f>IFERROR(__xludf.DUMMYFUNCTION("""COMPUTED_VALUE"""),16.200000000000003)</f>
        <v>16.2</v>
      </c>
      <c r="AD36" s="643">
        <f>IFERROR(__xludf.DUMMYFUNCTION("""COMPUTED_VALUE"""),16.200000000000003)</f>
        <v>16.2</v>
      </c>
      <c r="AE36" s="568">
        <f>IFERROR(__xludf.DUMMYFUNCTION("""COMPUTED_VALUE"""),16.200000000000003)</f>
        <v>16.2</v>
      </c>
      <c r="AF36" s="568">
        <f>IFERROR(__xludf.DUMMYFUNCTION("""COMPUTED_VALUE"""),18.36)</f>
        <v>18.36</v>
      </c>
      <c r="AG36" s="568">
        <f>IFERROR(__xludf.DUMMYFUNCTION("""COMPUTED_VALUE"""),19.44)</f>
        <v>19.44</v>
      </c>
      <c r="AH36" s="569">
        <f>IFERROR(__xludf.DUMMYFUNCTION("""COMPUTED_VALUE"""),21.6)</f>
        <v>21.6</v>
      </c>
      <c r="AI36" s="644"/>
      <c r="AJ36" s="645">
        <f>IFERROR(__xludf.DUMMYFUNCTION("""COMPUTED_VALUE"""),3.0)</f>
        <v>3</v>
      </c>
      <c r="AK36" s="646" t="str">
        <f>IFERROR(__xludf.DUMMYFUNCTION("""COMPUTED_VALUE"""),"効果値")</f>
        <v>効果値</v>
      </c>
      <c r="AL36" s="631">
        <f>IFERROR(__xludf.DUMMYFUNCTION("""COMPUTED_VALUE"""),36.62)</f>
        <v>36.62</v>
      </c>
      <c r="AM36" s="631">
        <f>IFERROR(__xludf.DUMMYFUNCTION("""COMPUTED_VALUE"""),36.62)</f>
        <v>36.62</v>
      </c>
      <c r="AN36" s="631">
        <f>IFERROR(__xludf.DUMMYFUNCTION("""COMPUTED_VALUE"""),36.62)</f>
        <v>36.62</v>
      </c>
      <c r="AO36" s="631">
        <f>IFERROR(__xludf.DUMMYFUNCTION("""COMPUTED_VALUE"""),36.62)</f>
        <v>36.62</v>
      </c>
      <c r="AP36" s="631">
        <f>IFERROR(__xludf.DUMMYFUNCTION("""COMPUTED_VALUE"""),36.62)</f>
        <v>36.62</v>
      </c>
      <c r="AQ36" s="631">
        <f>IFERROR(__xludf.DUMMYFUNCTION("""COMPUTED_VALUE"""),40.93)</f>
        <v>40.93</v>
      </c>
      <c r="AR36" s="631">
        <f>IFERROR(__xludf.DUMMYFUNCTION("""COMPUTED_VALUE"""),45.239999999999995)</f>
        <v>45.24</v>
      </c>
      <c r="AS36" s="632">
        <f>IFERROR(__xludf.DUMMYFUNCTION("""COMPUTED_VALUE"""),52.239999999999995)</f>
        <v>52.24</v>
      </c>
      <c r="AT36" s="115"/>
      <c r="AU36" s="115"/>
      <c r="AV36" s="115"/>
      <c r="AW36" s="115"/>
      <c r="AX36" s="115"/>
      <c r="AY36" s="115"/>
      <c r="AZ36" s="115"/>
      <c r="BA36" s="115"/>
      <c r="BB36" s="115"/>
      <c r="BC36" s="115"/>
    </row>
    <row r="37">
      <c r="A37" s="545"/>
      <c r="B37" s="347"/>
      <c r="C37" s="375">
        <f>IFERROR(__xludf.DUMMYFUNCTION("""COMPUTED_VALUE"""),3.0)</f>
        <v>3</v>
      </c>
      <c r="D37" s="647" t="str">
        <f>IFERROR(__xludf.DUMMYFUNCTION("""COMPUTED_VALUE"""),"効果時間")</f>
        <v>効果時間</v>
      </c>
      <c r="E37" s="546">
        <f>IFERROR(__xludf.DUMMYFUNCTION("""COMPUTED_VALUE"""),220.0)</f>
        <v>220</v>
      </c>
      <c r="F37" s="546">
        <f>IFERROR(__xludf.DUMMYFUNCTION("""COMPUTED_VALUE"""),235.0)</f>
        <v>235</v>
      </c>
      <c r="G37" s="546">
        <f>IFERROR(__xludf.DUMMYFUNCTION("""COMPUTED_VALUE"""),240.0)</f>
        <v>240</v>
      </c>
      <c r="H37" s="546">
        <f>IFERROR(__xludf.DUMMYFUNCTION("""COMPUTED_VALUE"""),250.0)</f>
        <v>250</v>
      </c>
      <c r="I37" s="546">
        <f>IFERROR(__xludf.DUMMYFUNCTION("""COMPUTED_VALUE"""),255.0)</f>
        <v>255</v>
      </c>
      <c r="J37" s="546">
        <f>IFERROR(__xludf.DUMMYFUNCTION("""COMPUTED_VALUE"""),385.0)</f>
        <v>385</v>
      </c>
      <c r="K37" s="546">
        <f>IFERROR(__xludf.DUMMYFUNCTION("""COMPUTED_VALUE"""),490.0)</f>
        <v>490</v>
      </c>
      <c r="L37" s="547">
        <f>IFERROR(__xludf.DUMMYFUNCTION("""COMPUTED_VALUE"""),525.0)</f>
        <v>525</v>
      </c>
      <c r="M37" s="608"/>
      <c r="N37" s="375">
        <f>IFERROR(__xludf.DUMMYFUNCTION("""COMPUTED_VALUE"""),3.0)</f>
        <v>3</v>
      </c>
      <c r="O37" s="647" t="str">
        <f>IFERROR(__xludf.DUMMYFUNCTION("""COMPUTED_VALUE"""),"効果時間")</f>
        <v>効果時間</v>
      </c>
      <c r="P37" s="548">
        <f>IFERROR(__xludf.DUMMYFUNCTION("""COMPUTED_VALUE"""),220.0)</f>
        <v>220</v>
      </c>
      <c r="Q37" s="549">
        <f>IFERROR(__xludf.DUMMYFUNCTION("""COMPUTED_VALUE"""),235.0)</f>
        <v>235</v>
      </c>
      <c r="R37" s="549">
        <f>IFERROR(__xludf.DUMMYFUNCTION("""COMPUTED_VALUE"""),240.0)</f>
        <v>240</v>
      </c>
      <c r="S37" s="549">
        <f>IFERROR(__xludf.DUMMYFUNCTION("""COMPUTED_VALUE"""),250.0)</f>
        <v>250</v>
      </c>
      <c r="T37" s="549">
        <f>IFERROR(__xludf.DUMMYFUNCTION("""COMPUTED_VALUE"""),255.0)</f>
        <v>255</v>
      </c>
      <c r="U37" s="549">
        <f>IFERROR(__xludf.DUMMYFUNCTION("""COMPUTED_VALUE"""),385.0)</f>
        <v>385</v>
      </c>
      <c r="V37" s="549">
        <f>IFERROR(__xludf.DUMMYFUNCTION("""COMPUTED_VALUE"""),490.0)</f>
        <v>490</v>
      </c>
      <c r="W37" s="550">
        <f>IFERROR(__xludf.DUMMYFUNCTION("""COMPUTED_VALUE"""),525.0)</f>
        <v>525</v>
      </c>
      <c r="X37" s="648"/>
      <c r="Y37" s="490"/>
      <c r="Z37" s="490"/>
      <c r="AA37" s="549"/>
      <c r="AB37" s="549"/>
      <c r="AC37" s="549"/>
      <c r="AD37" s="549"/>
      <c r="AE37" s="549"/>
      <c r="AF37" s="549"/>
      <c r="AG37" s="549"/>
      <c r="AH37" s="550"/>
      <c r="AI37" s="649"/>
      <c r="AJ37" s="375">
        <f>IFERROR(__xludf.DUMMYFUNCTION("""COMPUTED_VALUE"""),3.0)</f>
        <v>3</v>
      </c>
      <c r="AK37" s="485" t="str">
        <f>IFERROR(__xludf.DUMMYFUNCTION("""COMPUTED_VALUE"""),"効果時間")</f>
        <v>効果時間</v>
      </c>
      <c r="AL37" s="549">
        <f>IFERROR(__xludf.DUMMYFUNCTION("""COMPUTED_VALUE"""),220.0)</f>
        <v>220</v>
      </c>
      <c r="AM37" s="549">
        <f>IFERROR(__xludf.DUMMYFUNCTION("""COMPUTED_VALUE"""),235.0)</f>
        <v>235</v>
      </c>
      <c r="AN37" s="549">
        <f>IFERROR(__xludf.DUMMYFUNCTION("""COMPUTED_VALUE"""),240.0)</f>
        <v>240</v>
      </c>
      <c r="AO37" s="549">
        <f>IFERROR(__xludf.DUMMYFUNCTION("""COMPUTED_VALUE"""),250.0)</f>
        <v>250</v>
      </c>
      <c r="AP37" s="549">
        <f>IFERROR(__xludf.DUMMYFUNCTION("""COMPUTED_VALUE"""),255.0)</f>
        <v>255</v>
      </c>
      <c r="AQ37" s="549">
        <f>IFERROR(__xludf.DUMMYFUNCTION("""COMPUTED_VALUE"""),385.0)</f>
        <v>385</v>
      </c>
      <c r="AR37" s="549">
        <f>IFERROR(__xludf.DUMMYFUNCTION("""COMPUTED_VALUE"""),490.0)</f>
        <v>490</v>
      </c>
      <c r="AS37" s="650">
        <f>IFERROR(__xludf.DUMMYFUNCTION("""COMPUTED_VALUE"""),525.0)</f>
        <v>525</v>
      </c>
      <c r="AT37" s="115"/>
      <c r="AU37" s="115"/>
      <c r="AV37" s="115"/>
      <c r="AW37" s="115"/>
      <c r="AX37" s="115"/>
      <c r="AY37" s="115"/>
      <c r="AZ37" s="115"/>
      <c r="BA37" s="115"/>
      <c r="BB37" s="115"/>
      <c r="BC37" s="115"/>
    </row>
    <row r="38">
      <c r="A38" s="562"/>
      <c r="B38" s="472"/>
      <c r="C38" s="386">
        <f>IFERROR(__xludf.DUMMYFUNCTION("""COMPUTED_VALUE"""),4.0)</f>
        <v>4</v>
      </c>
      <c r="D38" s="651" t="str">
        <f>IFERROR(__xludf.DUMMYFUNCTION("""COMPUTED_VALUE"""),"効果値")</f>
        <v>効果値</v>
      </c>
      <c r="E38" s="302">
        <f>IFERROR(__xludf.DUMMYFUNCTION("""COMPUTED_VALUE"""),32.0544)</f>
        <v>32.0544</v>
      </c>
      <c r="F38" s="302">
        <f>IFERROR(__xludf.DUMMYFUNCTION("""COMPUTED_VALUE"""),32.5296)</f>
        <v>32.5296</v>
      </c>
      <c r="G38" s="302">
        <f>IFERROR(__xludf.DUMMYFUNCTION("""COMPUTED_VALUE"""),33.0048)</f>
        <v>33.0048</v>
      </c>
      <c r="H38" s="302">
        <f>IFERROR(__xludf.DUMMYFUNCTION("""COMPUTED_VALUE"""),33.480000000000004)</f>
        <v>33.48</v>
      </c>
      <c r="I38" s="302">
        <f>IFERROR(__xludf.DUMMYFUNCTION("""COMPUTED_VALUE"""),35.85600000000001)</f>
        <v>35.856</v>
      </c>
      <c r="J38" s="302">
        <f>IFERROR(__xludf.DUMMYFUNCTION("""COMPUTED_VALUE"""),41.5152)</f>
        <v>41.5152</v>
      </c>
      <c r="K38" s="302">
        <f>IFERROR(__xludf.DUMMYFUNCTION("""COMPUTED_VALUE"""),47.04480000000001)</f>
        <v>47.0448</v>
      </c>
      <c r="L38" s="303">
        <f>IFERROR(__xludf.DUMMYFUNCTION("""COMPUTED_VALUE"""),52.05600000000001)</f>
        <v>52.056</v>
      </c>
      <c r="M38" s="509"/>
      <c r="N38" s="386">
        <f>IFERROR(__xludf.DUMMYFUNCTION("""COMPUTED_VALUE"""),4.0)</f>
        <v>4</v>
      </c>
      <c r="O38" s="651" t="str">
        <f>IFERROR(__xludf.DUMMYFUNCTION("""COMPUTED_VALUE"""),"効果値")</f>
        <v>効果値</v>
      </c>
      <c r="P38" s="302">
        <f>IFERROR(__xludf.DUMMYFUNCTION("""COMPUTED_VALUE"""),15.854400000000002)</f>
        <v>15.8544</v>
      </c>
      <c r="Q38" s="302">
        <f>IFERROR(__xludf.DUMMYFUNCTION("""COMPUTED_VALUE"""),16.3296)</f>
        <v>16.3296</v>
      </c>
      <c r="R38" s="302">
        <f>IFERROR(__xludf.DUMMYFUNCTION("""COMPUTED_VALUE"""),16.8048)</f>
        <v>16.8048</v>
      </c>
      <c r="S38" s="302">
        <f>IFERROR(__xludf.DUMMYFUNCTION("""COMPUTED_VALUE"""),17.28)</f>
        <v>17.28</v>
      </c>
      <c r="T38" s="302">
        <f>IFERROR(__xludf.DUMMYFUNCTION("""COMPUTED_VALUE"""),19.656000000000002)</f>
        <v>19.656</v>
      </c>
      <c r="U38" s="302">
        <f>IFERROR(__xludf.DUMMYFUNCTION("""COMPUTED_VALUE"""),23.1552)</f>
        <v>23.1552</v>
      </c>
      <c r="V38" s="302">
        <f>IFERROR(__xludf.DUMMYFUNCTION("""COMPUTED_VALUE"""),27.604800000000004)</f>
        <v>27.6048</v>
      </c>
      <c r="W38" s="555">
        <f>IFERROR(__xludf.DUMMYFUNCTION("""COMPUTED_VALUE"""),30.456000000000007)</f>
        <v>30.456</v>
      </c>
      <c r="X38" s="624"/>
      <c r="Y38" s="498"/>
      <c r="Z38" s="652"/>
      <c r="AA38" s="556">
        <f>IFERROR(__xludf.DUMMYFUNCTION("""COMPUTED_VALUE"""),16.200000000000003)</f>
        <v>16.2</v>
      </c>
      <c r="AB38" s="500">
        <f>IFERROR(__xludf.DUMMYFUNCTION("""COMPUTED_VALUE"""),16.200000000000003)</f>
        <v>16.2</v>
      </c>
      <c r="AC38" s="500">
        <f>IFERROR(__xludf.DUMMYFUNCTION("""COMPUTED_VALUE"""),16.200000000000003)</f>
        <v>16.2</v>
      </c>
      <c r="AD38" s="501">
        <f>IFERROR(__xludf.DUMMYFUNCTION("""COMPUTED_VALUE"""),16.200000000000003)</f>
        <v>16.2</v>
      </c>
      <c r="AE38" s="500">
        <f>IFERROR(__xludf.DUMMYFUNCTION("""COMPUTED_VALUE"""),16.200000000000003)</f>
        <v>16.2</v>
      </c>
      <c r="AF38" s="501">
        <f>IFERROR(__xludf.DUMMYFUNCTION("""COMPUTED_VALUE"""),18.36)</f>
        <v>18.36</v>
      </c>
      <c r="AG38" s="500">
        <f>IFERROR(__xludf.DUMMYFUNCTION("""COMPUTED_VALUE"""),19.44)</f>
        <v>19.44</v>
      </c>
      <c r="AH38" s="557">
        <f>IFERROR(__xludf.DUMMYFUNCTION("""COMPUTED_VALUE"""),21.6)</f>
        <v>21.6</v>
      </c>
      <c r="AI38" s="495"/>
      <c r="AJ38" s="386">
        <f>IFERROR(__xludf.DUMMYFUNCTION("""COMPUTED_VALUE"""),4.0)</f>
        <v>4</v>
      </c>
      <c r="AK38" s="496" t="str">
        <f>IFERROR(__xludf.DUMMYFUNCTION("""COMPUTED_VALUE"""),"効果値")</f>
        <v>効果値</v>
      </c>
      <c r="AL38" s="302">
        <f>IFERROR(__xludf.DUMMYFUNCTION("""COMPUTED_VALUE"""),44.647999999999996)</f>
        <v>44.648</v>
      </c>
      <c r="AM38" s="302">
        <f>IFERROR(__xludf.DUMMYFUNCTION("""COMPUTED_VALUE"""),44.647999999999996)</f>
        <v>44.648</v>
      </c>
      <c r="AN38" s="302">
        <f>IFERROR(__xludf.DUMMYFUNCTION("""COMPUTED_VALUE"""),44.647999999999996)</f>
        <v>44.648</v>
      </c>
      <c r="AO38" s="301">
        <f>IFERROR(__xludf.DUMMYFUNCTION("""COMPUTED_VALUE"""),44.647999999999996)</f>
        <v>44.648</v>
      </c>
      <c r="AP38" s="302">
        <f>IFERROR(__xludf.DUMMYFUNCTION("""COMPUTED_VALUE"""),44.647999999999996)</f>
        <v>44.648</v>
      </c>
      <c r="AQ38" s="301">
        <f>IFERROR(__xludf.DUMMYFUNCTION("""COMPUTED_VALUE"""),49.372)</f>
        <v>49.372</v>
      </c>
      <c r="AR38" s="302">
        <f>IFERROR(__xludf.DUMMYFUNCTION("""COMPUTED_VALUE"""),54.096)</f>
        <v>54.096</v>
      </c>
      <c r="AS38" s="301">
        <f>IFERROR(__xludf.DUMMYFUNCTION("""COMPUTED_VALUE"""),62.896)</f>
        <v>62.896</v>
      </c>
      <c r="AT38" s="115"/>
      <c r="AU38" s="115"/>
      <c r="AV38" s="115"/>
      <c r="AW38" s="115"/>
      <c r="AX38" s="115"/>
      <c r="AY38" s="115"/>
      <c r="AZ38" s="115"/>
      <c r="BA38" s="115"/>
      <c r="BB38" s="115"/>
      <c r="BC38" s="115"/>
    </row>
    <row r="39">
      <c r="A39" s="573"/>
      <c r="B39" s="563"/>
      <c r="C39" s="399">
        <f>IFERROR(__xludf.DUMMYFUNCTION("""COMPUTED_VALUE"""),4.0)</f>
        <v>4</v>
      </c>
      <c r="D39" s="653" t="str">
        <f>IFERROR(__xludf.DUMMYFUNCTION("""COMPUTED_VALUE"""),"効果時間")</f>
        <v>効果時間</v>
      </c>
      <c r="E39" s="564">
        <f>IFERROR(__xludf.DUMMYFUNCTION("""COMPUTED_VALUE"""),240.0)</f>
        <v>240</v>
      </c>
      <c r="F39" s="564">
        <f>IFERROR(__xludf.DUMMYFUNCTION("""COMPUTED_VALUE"""),255.0)</f>
        <v>255</v>
      </c>
      <c r="G39" s="564">
        <f>IFERROR(__xludf.DUMMYFUNCTION("""COMPUTED_VALUE"""),265.0)</f>
        <v>265</v>
      </c>
      <c r="H39" s="564">
        <f>IFERROR(__xludf.DUMMYFUNCTION("""COMPUTED_VALUE"""),275.0)</f>
        <v>275</v>
      </c>
      <c r="I39" s="564">
        <f>IFERROR(__xludf.DUMMYFUNCTION("""COMPUTED_VALUE"""),285.0)</f>
        <v>285</v>
      </c>
      <c r="J39" s="564">
        <f>IFERROR(__xludf.DUMMYFUNCTION("""COMPUTED_VALUE"""),395.0)</f>
        <v>395</v>
      </c>
      <c r="K39" s="564">
        <f>IFERROR(__xludf.DUMMYFUNCTION("""COMPUTED_VALUE"""),500.0)</f>
        <v>500</v>
      </c>
      <c r="L39" s="565">
        <f>IFERROR(__xludf.DUMMYFUNCTION("""COMPUTED_VALUE"""),540.0)</f>
        <v>540</v>
      </c>
      <c r="M39" s="509"/>
      <c r="N39" s="399">
        <f>IFERROR(__xludf.DUMMYFUNCTION("""COMPUTED_VALUE"""),4.0)</f>
        <v>4</v>
      </c>
      <c r="O39" s="654" t="str">
        <f>IFERROR(__xludf.DUMMYFUNCTION("""COMPUTED_VALUE"""),"効果時間")</f>
        <v>効果時間</v>
      </c>
      <c r="P39" s="564">
        <f>IFERROR(__xludf.DUMMYFUNCTION("""COMPUTED_VALUE"""),240.0)</f>
        <v>240</v>
      </c>
      <c r="Q39" s="566">
        <f>IFERROR(__xludf.DUMMYFUNCTION("""COMPUTED_VALUE"""),255.0)</f>
        <v>255</v>
      </c>
      <c r="R39" s="566">
        <f>IFERROR(__xludf.DUMMYFUNCTION("""COMPUTED_VALUE"""),265.0)</f>
        <v>265</v>
      </c>
      <c r="S39" s="566">
        <f>IFERROR(__xludf.DUMMYFUNCTION("""COMPUTED_VALUE"""),275.0)</f>
        <v>275</v>
      </c>
      <c r="T39" s="566">
        <f>IFERROR(__xludf.DUMMYFUNCTION("""COMPUTED_VALUE"""),285.0)</f>
        <v>285</v>
      </c>
      <c r="U39" s="566">
        <f>IFERROR(__xludf.DUMMYFUNCTION("""COMPUTED_VALUE"""),395.0)</f>
        <v>395</v>
      </c>
      <c r="V39" s="566">
        <f>IFERROR(__xludf.DUMMYFUNCTION("""COMPUTED_VALUE"""),500.0)</f>
        <v>500</v>
      </c>
      <c r="W39" s="567">
        <f>IFERROR(__xludf.DUMMYFUNCTION("""COMPUTED_VALUE"""),540.0)</f>
        <v>540</v>
      </c>
      <c r="X39" s="624"/>
      <c r="Y39" s="510"/>
      <c r="Z39" s="510"/>
      <c r="AA39" s="568"/>
      <c r="AB39" s="568"/>
      <c r="AC39" s="568"/>
      <c r="AD39" s="568"/>
      <c r="AE39" s="568"/>
      <c r="AF39" s="568"/>
      <c r="AG39" s="568"/>
      <c r="AH39" s="569"/>
      <c r="AI39" s="624"/>
      <c r="AJ39" s="399">
        <f>IFERROR(__xludf.DUMMYFUNCTION("""COMPUTED_VALUE"""),4.0)</f>
        <v>4</v>
      </c>
      <c r="AK39" s="400" t="str">
        <f>IFERROR(__xludf.DUMMYFUNCTION("""COMPUTED_VALUE"""),"効果時間")</f>
        <v>効果時間</v>
      </c>
      <c r="AL39" s="566">
        <f>IFERROR(__xludf.DUMMYFUNCTION("""COMPUTED_VALUE"""),240.0)</f>
        <v>240</v>
      </c>
      <c r="AM39" s="566">
        <f>IFERROR(__xludf.DUMMYFUNCTION("""COMPUTED_VALUE"""),255.0)</f>
        <v>255</v>
      </c>
      <c r="AN39" s="566">
        <f>IFERROR(__xludf.DUMMYFUNCTION("""COMPUTED_VALUE"""),265.0)</f>
        <v>265</v>
      </c>
      <c r="AO39" s="566">
        <f>IFERROR(__xludf.DUMMYFUNCTION("""COMPUTED_VALUE"""),275.0)</f>
        <v>275</v>
      </c>
      <c r="AP39" s="566">
        <f>IFERROR(__xludf.DUMMYFUNCTION("""COMPUTED_VALUE"""),285.0)</f>
        <v>285</v>
      </c>
      <c r="AQ39" s="566">
        <f>IFERROR(__xludf.DUMMYFUNCTION("""COMPUTED_VALUE"""),395.0)</f>
        <v>395</v>
      </c>
      <c r="AR39" s="566">
        <f>IFERROR(__xludf.DUMMYFUNCTION("""COMPUTED_VALUE"""),500.0)</f>
        <v>500</v>
      </c>
      <c r="AS39" s="655">
        <f>IFERROR(__xludf.DUMMYFUNCTION("""COMPUTED_VALUE"""),540.0)</f>
        <v>540</v>
      </c>
      <c r="AT39" s="115"/>
      <c r="AU39" s="115"/>
      <c r="AV39" s="115"/>
      <c r="AW39" s="115"/>
      <c r="AX39" s="115"/>
      <c r="AY39" s="115"/>
      <c r="AZ39" s="115"/>
      <c r="BA39" s="115"/>
      <c r="BB39" s="115"/>
      <c r="BC39" s="115"/>
    </row>
    <row r="40">
      <c r="A40" s="573"/>
      <c r="B40" s="563"/>
      <c r="C40" s="386">
        <f>IFERROR(__xludf.DUMMYFUNCTION("""COMPUTED_VALUE"""),5.0)</f>
        <v>5</v>
      </c>
      <c r="D40" s="656" t="str">
        <f>IFERROR(__xludf.DUMMYFUNCTION("""COMPUTED_VALUE"""),"効果値")</f>
        <v>効果値</v>
      </c>
      <c r="E40" s="516">
        <f>IFERROR(__xludf.DUMMYFUNCTION("""COMPUTED_VALUE"""),33.480000000000004)</f>
        <v>33.48</v>
      </c>
      <c r="F40" s="516">
        <f>IFERROR(__xludf.DUMMYFUNCTION("""COMPUTED_VALUE"""),34.02)</f>
        <v>34.02</v>
      </c>
      <c r="G40" s="516">
        <f>IFERROR(__xludf.DUMMYFUNCTION("""COMPUTED_VALUE"""),34.56)</f>
        <v>34.56</v>
      </c>
      <c r="H40" s="516">
        <f>IFERROR(__xludf.DUMMYFUNCTION("""COMPUTED_VALUE"""),35.10000000000001)</f>
        <v>35.1</v>
      </c>
      <c r="I40" s="516">
        <f>IFERROR(__xludf.DUMMYFUNCTION("""COMPUTED_VALUE"""),37.800000000000004)</f>
        <v>37.8</v>
      </c>
      <c r="J40" s="516">
        <f>IFERROR(__xludf.DUMMYFUNCTION("""COMPUTED_VALUE"""),43.2)</f>
        <v>43.2</v>
      </c>
      <c r="K40" s="516">
        <f>IFERROR(__xludf.DUMMYFUNCTION("""COMPUTED_VALUE"""),48.60000000000001)</f>
        <v>48.6</v>
      </c>
      <c r="L40" s="574">
        <f>IFERROR(__xludf.DUMMYFUNCTION("""COMPUTED_VALUE"""),54.00000000000001)</f>
        <v>54</v>
      </c>
      <c r="M40" s="509"/>
      <c r="N40" s="386">
        <f>IFERROR(__xludf.DUMMYFUNCTION("""COMPUTED_VALUE"""),5.0)</f>
        <v>5</v>
      </c>
      <c r="O40" s="651" t="str">
        <f>IFERROR(__xludf.DUMMYFUNCTION("""COMPUTED_VALUE"""),"効果値")</f>
        <v>効果値</v>
      </c>
      <c r="P40" s="516">
        <f>IFERROR(__xludf.DUMMYFUNCTION("""COMPUTED_VALUE"""),17.28)</f>
        <v>17.28</v>
      </c>
      <c r="Q40" s="516">
        <f>IFERROR(__xludf.DUMMYFUNCTION("""COMPUTED_VALUE"""),17.82)</f>
        <v>17.82</v>
      </c>
      <c r="R40" s="516">
        <f>IFERROR(__xludf.DUMMYFUNCTION("""COMPUTED_VALUE"""),18.36)</f>
        <v>18.36</v>
      </c>
      <c r="S40" s="516">
        <f>IFERROR(__xludf.DUMMYFUNCTION("""COMPUTED_VALUE"""),18.900000000000002)</f>
        <v>18.9</v>
      </c>
      <c r="T40" s="516">
        <f>IFERROR(__xludf.DUMMYFUNCTION("""COMPUTED_VALUE"""),21.6)</f>
        <v>21.6</v>
      </c>
      <c r="U40" s="516">
        <f>IFERROR(__xludf.DUMMYFUNCTION("""COMPUTED_VALUE"""),24.840000000000003)</f>
        <v>24.84</v>
      </c>
      <c r="V40" s="516">
        <f>IFERROR(__xludf.DUMMYFUNCTION("""COMPUTED_VALUE"""),29.160000000000004)</f>
        <v>29.16</v>
      </c>
      <c r="W40" s="575">
        <f>IFERROR(__xludf.DUMMYFUNCTION("""COMPUTED_VALUE"""),32.400000000000006)</f>
        <v>32.4</v>
      </c>
      <c r="X40" s="624"/>
      <c r="Y40" s="498"/>
      <c r="Z40" s="652"/>
      <c r="AA40" s="576">
        <f>IFERROR(__xludf.DUMMYFUNCTION("""COMPUTED_VALUE"""),16.200000000000003)</f>
        <v>16.2</v>
      </c>
      <c r="AB40" s="519">
        <f>IFERROR(__xludf.DUMMYFUNCTION("""COMPUTED_VALUE"""),16.200000000000003)</f>
        <v>16.2</v>
      </c>
      <c r="AC40" s="519">
        <f>IFERROR(__xludf.DUMMYFUNCTION("""COMPUTED_VALUE"""),16.200000000000003)</f>
        <v>16.2</v>
      </c>
      <c r="AD40" s="520">
        <f>IFERROR(__xludf.DUMMYFUNCTION("""COMPUTED_VALUE"""),16.200000000000003)</f>
        <v>16.2</v>
      </c>
      <c r="AE40" s="519">
        <f>IFERROR(__xludf.DUMMYFUNCTION("""COMPUTED_VALUE"""),16.200000000000003)</f>
        <v>16.2</v>
      </c>
      <c r="AF40" s="520">
        <f>IFERROR(__xludf.DUMMYFUNCTION("""COMPUTED_VALUE"""),18.36)</f>
        <v>18.36</v>
      </c>
      <c r="AG40" s="519">
        <f>IFERROR(__xludf.DUMMYFUNCTION("""COMPUTED_VALUE"""),19.44)</f>
        <v>19.44</v>
      </c>
      <c r="AH40" s="577">
        <f>IFERROR(__xludf.DUMMYFUNCTION("""COMPUTED_VALUE"""),21.6)</f>
        <v>21.6</v>
      </c>
      <c r="AI40" s="495"/>
      <c r="AJ40" s="386">
        <f>IFERROR(__xludf.DUMMYFUNCTION("""COMPUTED_VALUE"""),5.0)</f>
        <v>5</v>
      </c>
      <c r="AK40" s="387" t="str">
        <f>IFERROR(__xludf.DUMMYFUNCTION("""COMPUTED_VALUE"""),"効果値")</f>
        <v>効果値</v>
      </c>
      <c r="AL40" s="516">
        <f>IFERROR(__xludf.DUMMYFUNCTION("""COMPUTED_VALUE"""),50.0)</f>
        <v>50</v>
      </c>
      <c r="AM40" s="516">
        <f>IFERROR(__xludf.DUMMYFUNCTION("""COMPUTED_VALUE"""),50.0)</f>
        <v>50</v>
      </c>
      <c r="AN40" s="516">
        <f>IFERROR(__xludf.DUMMYFUNCTION("""COMPUTED_VALUE"""),50.0)</f>
        <v>50</v>
      </c>
      <c r="AO40" s="517">
        <f>IFERROR(__xludf.DUMMYFUNCTION("""COMPUTED_VALUE"""),50.0)</f>
        <v>50</v>
      </c>
      <c r="AP40" s="516">
        <f>IFERROR(__xludf.DUMMYFUNCTION("""COMPUTED_VALUE"""),50.0)</f>
        <v>50</v>
      </c>
      <c r="AQ40" s="517">
        <f>IFERROR(__xludf.DUMMYFUNCTION("""COMPUTED_VALUE"""),55.0)</f>
        <v>55</v>
      </c>
      <c r="AR40" s="516">
        <f>IFERROR(__xludf.DUMMYFUNCTION("""COMPUTED_VALUE"""),60.0)</f>
        <v>60</v>
      </c>
      <c r="AS40" s="517">
        <f>IFERROR(__xludf.DUMMYFUNCTION("""COMPUTED_VALUE"""),70.0)</f>
        <v>70</v>
      </c>
      <c r="AT40" s="115"/>
      <c r="AU40" s="115"/>
      <c r="AV40" s="115"/>
      <c r="AW40" s="115"/>
      <c r="AX40" s="115"/>
      <c r="AY40" s="115"/>
      <c r="AZ40" s="115"/>
      <c r="BA40" s="115"/>
      <c r="BB40" s="115"/>
      <c r="BC40" s="115"/>
    </row>
    <row r="41">
      <c r="A41" s="573"/>
      <c r="B41" s="578"/>
      <c r="C41" s="399">
        <f>IFERROR(__xludf.DUMMYFUNCTION("""COMPUTED_VALUE"""),5.0)</f>
        <v>5</v>
      </c>
      <c r="D41" s="653" t="str">
        <f>IFERROR(__xludf.DUMMYFUNCTION("""COMPUTED_VALUE"""),"効果時間")</f>
        <v>効果時間</v>
      </c>
      <c r="E41" s="564">
        <f>IFERROR(__xludf.DUMMYFUNCTION("""COMPUTED_VALUE"""),250.0)</f>
        <v>250</v>
      </c>
      <c r="F41" s="564">
        <f>IFERROR(__xludf.DUMMYFUNCTION("""COMPUTED_VALUE"""),265.0)</f>
        <v>265</v>
      </c>
      <c r="G41" s="564">
        <f>IFERROR(__xludf.DUMMYFUNCTION("""COMPUTED_VALUE"""),275.0)</f>
        <v>275</v>
      </c>
      <c r="H41" s="564">
        <f>IFERROR(__xludf.DUMMYFUNCTION("""COMPUTED_VALUE"""),290.0)</f>
        <v>290</v>
      </c>
      <c r="I41" s="564">
        <f>IFERROR(__xludf.DUMMYFUNCTION("""COMPUTED_VALUE"""),300.0)</f>
        <v>300</v>
      </c>
      <c r="J41" s="564">
        <f>IFERROR(__xludf.DUMMYFUNCTION("""COMPUTED_VALUE"""),400.0)</f>
        <v>400</v>
      </c>
      <c r="K41" s="564">
        <f>IFERROR(__xludf.DUMMYFUNCTION("""COMPUTED_VALUE"""),500.0)</f>
        <v>500</v>
      </c>
      <c r="L41" s="565">
        <f>IFERROR(__xludf.DUMMYFUNCTION("""COMPUTED_VALUE"""),550.0)</f>
        <v>550</v>
      </c>
      <c r="M41" s="509"/>
      <c r="N41" s="399">
        <f>IFERROR(__xludf.DUMMYFUNCTION("""COMPUTED_VALUE"""),5.0)</f>
        <v>5</v>
      </c>
      <c r="O41" s="654" t="str">
        <f>IFERROR(__xludf.DUMMYFUNCTION("""COMPUTED_VALUE"""),"効果時間")</f>
        <v>効果時間</v>
      </c>
      <c r="P41" s="579">
        <f>IFERROR(__xludf.DUMMYFUNCTION("""COMPUTED_VALUE"""),250.0)</f>
        <v>250</v>
      </c>
      <c r="Q41" s="579">
        <f>IFERROR(__xludf.DUMMYFUNCTION("""COMPUTED_VALUE"""),265.0)</f>
        <v>265</v>
      </c>
      <c r="R41" s="579">
        <f>IFERROR(__xludf.DUMMYFUNCTION("""COMPUTED_VALUE"""),275.0)</f>
        <v>275</v>
      </c>
      <c r="S41" s="579">
        <f>IFERROR(__xludf.DUMMYFUNCTION("""COMPUTED_VALUE"""),290.0)</f>
        <v>290</v>
      </c>
      <c r="T41" s="579">
        <f>IFERROR(__xludf.DUMMYFUNCTION("""COMPUTED_VALUE"""),300.0)</f>
        <v>300</v>
      </c>
      <c r="U41" s="579">
        <f>IFERROR(__xludf.DUMMYFUNCTION("""COMPUTED_VALUE"""),400.0)</f>
        <v>400</v>
      </c>
      <c r="V41" s="579">
        <f>IFERROR(__xludf.DUMMYFUNCTION("""COMPUTED_VALUE"""),500.0)</f>
        <v>500</v>
      </c>
      <c r="W41" s="580">
        <f>IFERROR(__xludf.DUMMYFUNCTION("""COMPUTED_VALUE"""),550.0)</f>
        <v>550</v>
      </c>
      <c r="X41" s="624"/>
      <c r="Y41" s="510"/>
      <c r="Z41" s="510"/>
      <c r="AA41" s="568"/>
      <c r="AB41" s="568"/>
      <c r="AC41" s="568"/>
      <c r="AD41" s="568"/>
      <c r="AE41" s="568"/>
      <c r="AF41" s="568"/>
      <c r="AG41" s="568"/>
      <c r="AH41" s="569"/>
      <c r="AI41" s="495"/>
      <c r="AJ41" s="399">
        <f>IFERROR(__xludf.DUMMYFUNCTION("""COMPUTED_VALUE"""),5.0)</f>
        <v>5</v>
      </c>
      <c r="AK41" s="400" t="str">
        <f>IFERROR(__xludf.DUMMYFUNCTION("""COMPUTED_VALUE"""),"効果時間")</f>
        <v>効果時間</v>
      </c>
      <c r="AL41" s="579">
        <f>IFERROR(__xludf.DUMMYFUNCTION("""COMPUTED_VALUE"""),250.0)</f>
        <v>250</v>
      </c>
      <c r="AM41" s="583">
        <f>IFERROR(__xludf.DUMMYFUNCTION("""COMPUTED_VALUE"""),265.0)</f>
        <v>265</v>
      </c>
      <c r="AN41" s="583">
        <f>IFERROR(__xludf.DUMMYFUNCTION("""COMPUTED_VALUE"""),275.0)</f>
        <v>275</v>
      </c>
      <c r="AO41" s="583">
        <f>IFERROR(__xludf.DUMMYFUNCTION("""COMPUTED_VALUE"""),290.0)</f>
        <v>290</v>
      </c>
      <c r="AP41" s="583">
        <f>IFERROR(__xludf.DUMMYFUNCTION("""COMPUTED_VALUE"""),300.0)</f>
        <v>300</v>
      </c>
      <c r="AQ41" s="583">
        <f>IFERROR(__xludf.DUMMYFUNCTION("""COMPUTED_VALUE"""),400.0)</f>
        <v>400</v>
      </c>
      <c r="AR41" s="583">
        <f>IFERROR(__xludf.DUMMYFUNCTION("""COMPUTED_VALUE"""),500.0)</f>
        <v>500</v>
      </c>
      <c r="AS41" s="657">
        <f>IFERROR(__xludf.DUMMYFUNCTION("""COMPUTED_VALUE"""),550.0)</f>
        <v>550</v>
      </c>
      <c r="AT41" s="115"/>
      <c r="AU41" s="115"/>
      <c r="AV41" s="115"/>
      <c r="AW41" s="115"/>
      <c r="AX41" s="115"/>
      <c r="AY41" s="115"/>
      <c r="AZ41" s="115"/>
      <c r="BA41" s="115"/>
      <c r="BB41" s="115"/>
      <c r="BC41" s="115"/>
    </row>
    <row r="42">
      <c r="A42" s="581" t="str">
        <f>IFERROR(__xludf.DUMMYFUNCTION("""COMPUTED_VALUE"""),"攻撃UP")</f>
        <v>攻撃UP</v>
      </c>
      <c r="B42" s="582" t="str">
        <f>IFERROR(__xludf.DUMMYFUNCTION("""COMPUTED_VALUE"""),"ハイブリッド型")</f>
        <v>ハイブリッド型</v>
      </c>
      <c r="C42" s="386">
        <f>IFERROR(__xludf.DUMMYFUNCTION("""COMPUTED_VALUE"""),1.0)</f>
        <v>1</v>
      </c>
      <c r="D42" s="656" t="str">
        <f>IFERROR(__xludf.DUMMYFUNCTION("""COMPUTED_VALUE"""),"効果値")</f>
        <v>効果値</v>
      </c>
      <c r="E42" s="516">
        <f>IFERROR(__xludf.DUMMYFUNCTION("""COMPUTED_VALUE"""),21.6)</f>
        <v>21.6</v>
      </c>
      <c r="F42" s="516">
        <f>IFERROR(__xludf.DUMMYFUNCTION("""COMPUTED_VALUE"""),21.6)</f>
        <v>21.6</v>
      </c>
      <c r="G42" s="516">
        <f>IFERROR(__xludf.DUMMYFUNCTION("""COMPUTED_VALUE"""),21.6)</f>
        <v>21.6</v>
      </c>
      <c r="H42" s="516">
        <f>IFERROR(__xludf.DUMMYFUNCTION("""COMPUTED_VALUE"""),21.6)</f>
        <v>21.6</v>
      </c>
      <c r="I42" s="516">
        <f>IFERROR(__xludf.DUMMYFUNCTION("""COMPUTED_VALUE"""),21.6)</f>
        <v>21.6</v>
      </c>
      <c r="J42" s="516">
        <f>IFERROR(__xludf.DUMMYFUNCTION("""COMPUTED_VALUE"""),29.16)</f>
        <v>29.16</v>
      </c>
      <c r="K42" s="516">
        <f>IFERROR(__xludf.DUMMYFUNCTION("""COMPUTED_VALUE"""),35.64)</f>
        <v>35.64</v>
      </c>
      <c r="L42" s="574">
        <f>IFERROR(__xludf.DUMMYFUNCTION("""COMPUTED_VALUE"""),37.800000000000004)</f>
        <v>37.8</v>
      </c>
      <c r="M42" s="509"/>
      <c r="N42" s="386">
        <f>IFERROR(__xludf.DUMMYFUNCTION("""COMPUTED_VALUE"""),1.0)</f>
        <v>1</v>
      </c>
      <c r="O42" s="651" t="str">
        <f>IFERROR(__xludf.DUMMYFUNCTION("""COMPUTED_VALUE"""),"効果値")</f>
        <v>効果値</v>
      </c>
      <c r="P42" s="516">
        <f>IFERROR(__xludf.DUMMYFUNCTION("""COMPUTED_VALUE"""),5.4)</f>
        <v>5.4</v>
      </c>
      <c r="Q42" s="516">
        <f>IFERROR(__xludf.DUMMYFUNCTION("""COMPUTED_VALUE"""),5.4)</f>
        <v>5.4</v>
      </c>
      <c r="R42" s="516">
        <f>IFERROR(__xludf.DUMMYFUNCTION("""COMPUTED_VALUE"""),5.4)</f>
        <v>5.4</v>
      </c>
      <c r="S42" s="516">
        <f>IFERROR(__xludf.DUMMYFUNCTION("""COMPUTED_VALUE"""),5.4)</f>
        <v>5.4</v>
      </c>
      <c r="T42" s="516">
        <f>IFERROR(__xludf.DUMMYFUNCTION("""COMPUTED_VALUE"""),5.4)</f>
        <v>5.4</v>
      </c>
      <c r="U42" s="516">
        <f>IFERROR(__xludf.DUMMYFUNCTION("""COMPUTED_VALUE"""),10.8)</f>
        <v>10.8</v>
      </c>
      <c r="V42" s="516">
        <f>IFERROR(__xludf.DUMMYFUNCTION("""COMPUTED_VALUE"""),16.200000000000003)</f>
        <v>16.2</v>
      </c>
      <c r="W42" s="575">
        <f>IFERROR(__xludf.DUMMYFUNCTION("""COMPUTED_VALUE"""),16.200000000000003)</f>
        <v>16.2</v>
      </c>
      <c r="X42" s="624"/>
      <c r="Y42" s="498"/>
      <c r="Z42" s="652"/>
      <c r="AA42" s="576">
        <f>IFERROR(__xludf.DUMMYFUNCTION("""COMPUTED_VALUE"""),16.200000000000003)</f>
        <v>16.2</v>
      </c>
      <c r="AB42" s="519">
        <f>IFERROR(__xludf.DUMMYFUNCTION("""COMPUTED_VALUE"""),16.200000000000003)</f>
        <v>16.2</v>
      </c>
      <c r="AC42" s="519">
        <f>IFERROR(__xludf.DUMMYFUNCTION("""COMPUTED_VALUE"""),16.200000000000003)</f>
        <v>16.2</v>
      </c>
      <c r="AD42" s="520">
        <f>IFERROR(__xludf.DUMMYFUNCTION("""COMPUTED_VALUE"""),16.200000000000003)</f>
        <v>16.2</v>
      </c>
      <c r="AE42" s="519">
        <f>IFERROR(__xludf.DUMMYFUNCTION("""COMPUTED_VALUE"""),16.200000000000003)</f>
        <v>16.2</v>
      </c>
      <c r="AF42" s="520">
        <f>IFERROR(__xludf.DUMMYFUNCTION("""COMPUTED_VALUE"""),18.36)</f>
        <v>18.36</v>
      </c>
      <c r="AG42" s="519">
        <f>IFERROR(__xludf.DUMMYFUNCTION("""COMPUTED_VALUE"""),19.44)</f>
        <v>19.44</v>
      </c>
      <c r="AH42" s="577">
        <f>IFERROR(__xludf.DUMMYFUNCTION("""COMPUTED_VALUE"""),21.6)</f>
        <v>21.6</v>
      </c>
      <c r="AI42" s="495"/>
      <c r="AJ42" s="386">
        <f>IFERROR(__xludf.DUMMYFUNCTION("""COMPUTED_VALUE"""),1.0)</f>
        <v>1</v>
      </c>
      <c r="AK42" s="387" t="str">
        <f>IFERROR(__xludf.DUMMYFUNCTION("""COMPUTED_VALUE"""),"効果値(%)")</f>
        <v>効果値(%)</v>
      </c>
      <c r="AL42" s="516">
        <f>IFERROR(__xludf.DUMMYFUNCTION("""COMPUTED_VALUE"""),64.80000000000001)</f>
        <v>64.8</v>
      </c>
      <c r="AM42" s="516">
        <f>IFERROR(__xludf.DUMMYFUNCTION("""COMPUTED_VALUE"""),64.80000000000001)</f>
        <v>64.8</v>
      </c>
      <c r="AN42" s="516">
        <f>IFERROR(__xludf.DUMMYFUNCTION("""COMPUTED_VALUE"""),64.80000000000001)</f>
        <v>64.8</v>
      </c>
      <c r="AO42" s="517">
        <f>IFERROR(__xludf.DUMMYFUNCTION("""COMPUTED_VALUE"""),64.80000000000001)</f>
        <v>64.8</v>
      </c>
      <c r="AP42" s="516">
        <f>IFERROR(__xludf.DUMMYFUNCTION("""COMPUTED_VALUE"""),64.80000000000001)</f>
        <v>64.8</v>
      </c>
      <c r="AQ42" s="517">
        <f>IFERROR(__xludf.DUMMYFUNCTION("""COMPUTED_VALUE"""),204.12)</f>
        <v>204.12</v>
      </c>
      <c r="AR42" s="516">
        <f>IFERROR(__xludf.DUMMYFUNCTION("""COMPUTED_VALUE"""),327.888)</f>
        <v>327.888</v>
      </c>
      <c r="AS42" s="517">
        <f>IFERROR(__xludf.DUMMYFUNCTION("""COMPUTED_VALUE"""),347.76)</f>
        <v>347.76</v>
      </c>
      <c r="AT42" s="115"/>
      <c r="AU42" s="115"/>
      <c r="AV42" s="115"/>
      <c r="AW42" s="115"/>
      <c r="AX42" s="115"/>
      <c r="AY42" s="115"/>
      <c r="AZ42" s="115"/>
      <c r="BA42" s="115"/>
      <c r="BB42" s="115"/>
      <c r="BC42" s="115"/>
    </row>
    <row r="43">
      <c r="A43" s="581"/>
      <c r="B43" s="582"/>
      <c r="C43" s="399">
        <f>IFERROR(__xludf.DUMMYFUNCTION("""COMPUTED_VALUE"""),1.0)</f>
        <v>1</v>
      </c>
      <c r="D43" s="653" t="str">
        <f>IFERROR(__xludf.DUMMYFUNCTION("""COMPUTED_VALUE"""),"効果時間")</f>
        <v>効果時間</v>
      </c>
      <c r="E43" s="564">
        <f>IFERROR(__xludf.DUMMYFUNCTION("""COMPUTED_VALUE"""),150.0)</f>
        <v>150</v>
      </c>
      <c r="F43" s="564">
        <f>IFERROR(__xludf.DUMMYFUNCTION("""COMPUTED_VALUE"""),150.0)</f>
        <v>150</v>
      </c>
      <c r="G43" s="564">
        <f>IFERROR(__xludf.DUMMYFUNCTION("""COMPUTED_VALUE"""),150.0)</f>
        <v>150</v>
      </c>
      <c r="H43" s="564">
        <f>IFERROR(__xludf.DUMMYFUNCTION("""COMPUTED_VALUE"""),150.0)</f>
        <v>150</v>
      </c>
      <c r="I43" s="564">
        <f>IFERROR(__xludf.DUMMYFUNCTION("""COMPUTED_VALUE"""),150.0)</f>
        <v>150</v>
      </c>
      <c r="J43" s="564">
        <f>IFERROR(__xludf.DUMMYFUNCTION("""COMPUTED_VALUE"""),350.0)</f>
        <v>350</v>
      </c>
      <c r="K43" s="564">
        <f>IFERROR(__xludf.DUMMYFUNCTION("""COMPUTED_VALUE"""),460.0)</f>
        <v>460</v>
      </c>
      <c r="L43" s="565">
        <f>IFERROR(__xludf.DUMMYFUNCTION("""COMPUTED_VALUE"""),460.0)</f>
        <v>460</v>
      </c>
      <c r="M43" s="509"/>
      <c r="N43" s="399">
        <f>IFERROR(__xludf.DUMMYFUNCTION("""COMPUTED_VALUE"""),1.0)</f>
        <v>1</v>
      </c>
      <c r="O43" s="654" t="str">
        <f>IFERROR(__xludf.DUMMYFUNCTION("""COMPUTED_VALUE"""),"効果時間")</f>
        <v>効果時間</v>
      </c>
      <c r="P43" s="579">
        <f>IFERROR(__xludf.DUMMYFUNCTION("""COMPUTED_VALUE"""),150.0)</f>
        <v>150</v>
      </c>
      <c r="Q43" s="583">
        <f>IFERROR(__xludf.DUMMYFUNCTION("""COMPUTED_VALUE"""),150.0)</f>
        <v>150</v>
      </c>
      <c r="R43" s="583">
        <f>IFERROR(__xludf.DUMMYFUNCTION("""COMPUTED_VALUE"""),150.0)</f>
        <v>150</v>
      </c>
      <c r="S43" s="583">
        <f>IFERROR(__xludf.DUMMYFUNCTION("""COMPUTED_VALUE"""),150.0)</f>
        <v>150</v>
      </c>
      <c r="T43" s="583">
        <f>IFERROR(__xludf.DUMMYFUNCTION("""COMPUTED_VALUE"""),150.0)</f>
        <v>150</v>
      </c>
      <c r="U43" s="583">
        <f>IFERROR(__xludf.DUMMYFUNCTION("""COMPUTED_VALUE"""),350.0)</f>
        <v>350</v>
      </c>
      <c r="V43" s="583">
        <f>IFERROR(__xludf.DUMMYFUNCTION("""COMPUTED_VALUE"""),460.0)</f>
        <v>460</v>
      </c>
      <c r="W43" s="584">
        <f>IFERROR(__xludf.DUMMYFUNCTION("""COMPUTED_VALUE"""),460.0)</f>
        <v>460</v>
      </c>
      <c r="X43" s="624"/>
      <c r="Y43" s="510"/>
      <c r="Z43" s="510"/>
      <c r="AA43" s="568"/>
      <c r="AB43" s="568"/>
      <c r="AC43" s="568"/>
      <c r="AD43" s="568"/>
      <c r="AE43" s="568"/>
      <c r="AF43" s="568"/>
      <c r="AG43" s="568"/>
      <c r="AH43" s="569"/>
      <c r="AI43" s="624"/>
      <c r="AJ43" s="399">
        <f>IFERROR(__xludf.DUMMYFUNCTION("""COMPUTED_VALUE"""),1.0)</f>
        <v>1</v>
      </c>
      <c r="AK43" s="400" t="str">
        <f>IFERROR(__xludf.DUMMYFUNCTION("""COMPUTED_VALUE"""),"効果時間(s)")</f>
        <v>効果時間(s)</v>
      </c>
      <c r="AL43" s="579">
        <f>IFERROR(__xludf.DUMMYFUNCTION("""COMPUTED_VALUE"""),3.0)</f>
        <v>3</v>
      </c>
      <c r="AM43" s="583">
        <f>IFERROR(__xludf.DUMMYFUNCTION("""COMPUTED_VALUE"""),3.0)</f>
        <v>3</v>
      </c>
      <c r="AN43" s="583">
        <f>IFERROR(__xludf.DUMMYFUNCTION("""COMPUTED_VALUE"""),3.0)</f>
        <v>3</v>
      </c>
      <c r="AO43" s="583">
        <f>IFERROR(__xludf.DUMMYFUNCTION("""COMPUTED_VALUE"""),3.0)</f>
        <v>3</v>
      </c>
      <c r="AP43" s="583">
        <f>IFERROR(__xludf.DUMMYFUNCTION("""COMPUTED_VALUE"""),3.0)</f>
        <v>3</v>
      </c>
      <c r="AQ43" s="583">
        <f>IFERROR(__xludf.DUMMYFUNCTION("""COMPUTED_VALUE"""),7.0)</f>
        <v>7</v>
      </c>
      <c r="AR43" s="583">
        <f>IFERROR(__xludf.DUMMYFUNCTION("""COMPUTED_VALUE"""),9.2)</f>
        <v>9.2</v>
      </c>
      <c r="AS43" s="657">
        <f>IFERROR(__xludf.DUMMYFUNCTION("""COMPUTED_VALUE"""),9.2)</f>
        <v>9.2</v>
      </c>
      <c r="AT43" s="115"/>
      <c r="AU43" s="115"/>
      <c r="AV43" s="115"/>
      <c r="AW43" s="115"/>
      <c r="AX43" s="115"/>
      <c r="AY43" s="115"/>
      <c r="AZ43" s="115"/>
      <c r="BA43" s="115"/>
      <c r="BB43" s="115"/>
      <c r="BC43" s="115"/>
    </row>
    <row r="44">
      <c r="A44" s="573"/>
      <c r="B44" s="582" t="str">
        <f>IFERROR(__xludf.DUMMYFUNCTION("""COMPUTED_VALUE"""),"タップしたコマ")</f>
        <v>タップしたコマ</v>
      </c>
      <c r="C44" s="386">
        <f>IFERROR(__xludf.DUMMYFUNCTION("""COMPUTED_VALUE"""),2.0)</f>
        <v>2</v>
      </c>
      <c r="D44" s="656" t="str">
        <f>IFERROR(__xludf.DUMMYFUNCTION("""COMPUTED_VALUE"""),"効果値")</f>
        <v>効果値</v>
      </c>
      <c r="E44" s="516">
        <f>IFERROR(__xludf.DUMMYFUNCTION("""COMPUTED_VALUE"""),26.589600000000004)</f>
        <v>26.5896</v>
      </c>
      <c r="F44" s="516">
        <f>IFERROR(__xludf.DUMMYFUNCTION("""COMPUTED_VALUE"""),26.8164)</f>
        <v>26.8164</v>
      </c>
      <c r="G44" s="516">
        <f>IFERROR(__xludf.DUMMYFUNCTION("""COMPUTED_VALUE"""),27.043200000000002)</f>
        <v>27.0432</v>
      </c>
      <c r="H44" s="516">
        <f>IFERROR(__xludf.DUMMYFUNCTION("""COMPUTED_VALUE"""),27.270000000000003)</f>
        <v>27.27</v>
      </c>
      <c r="I44" s="516">
        <f>IFERROR(__xludf.DUMMYFUNCTION("""COMPUTED_VALUE"""),28.404000000000003)</f>
        <v>28.404</v>
      </c>
      <c r="J44" s="516">
        <f>IFERROR(__xludf.DUMMYFUNCTION("""COMPUTED_VALUE"""),35.056799999999996)</f>
        <v>35.0568</v>
      </c>
      <c r="K44" s="516">
        <f>IFERROR(__xludf.DUMMYFUNCTION("""COMPUTED_VALUE"""),41.083200000000005)</f>
        <v>41.0832</v>
      </c>
      <c r="L44" s="574">
        <f>IFERROR(__xludf.DUMMYFUNCTION("""COMPUTED_VALUE"""),44.604000000000006)</f>
        <v>44.604</v>
      </c>
      <c r="M44" s="509"/>
      <c r="N44" s="386">
        <f>IFERROR(__xludf.DUMMYFUNCTION("""COMPUTED_VALUE"""),2.0)</f>
        <v>2</v>
      </c>
      <c r="O44" s="651" t="str">
        <f>IFERROR(__xludf.DUMMYFUNCTION("""COMPUTED_VALUE"""),"効果値")</f>
        <v>効果値</v>
      </c>
      <c r="P44" s="531">
        <f>IFERROR(__xludf.DUMMYFUNCTION("""COMPUTED_VALUE"""),10.389600000000002)</f>
        <v>10.3896</v>
      </c>
      <c r="Q44" s="531">
        <f>IFERROR(__xludf.DUMMYFUNCTION("""COMPUTED_VALUE"""),10.616399999999999)</f>
        <v>10.6164</v>
      </c>
      <c r="R44" s="531">
        <f>IFERROR(__xludf.DUMMYFUNCTION("""COMPUTED_VALUE"""),10.8432)</f>
        <v>10.8432</v>
      </c>
      <c r="S44" s="532">
        <f>IFERROR(__xludf.DUMMYFUNCTION("""COMPUTED_VALUE"""),11.07)</f>
        <v>11.07</v>
      </c>
      <c r="T44" s="531">
        <f>IFERROR(__xludf.DUMMYFUNCTION("""COMPUTED_VALUE"""),12.204)</f>
        <v>12.204</v>
      </c>
      <c r="U44" s="532">
        <f>IFERROR(__xludf.DUMMYFUNCTION("""COMPUTED_VALUE"""),16.6968)</f>
        <v>16.6968</v>
      </c>
      <c r="V44" s="531">
        <f>IFERROR(__xludf.DUMMYFUNCTION("""COMPUTED_VALUE"""),21.6432)</f>
        <v>21.6432</v>
      </c>
      <c r="W44" s="587">
        <f>IFERROR(__xludf.DUMMYFUNCTION("""COMPUTED_VALUE"""),23.004000000000005)</f>
        <v>23.004</v>
      </c>
      <c r="X44" s="624"/>
      <c r="Y44" s="498"/>
      <c r="Z44" s="652"/>
      <c r="AA44" s="556">
        <f>IFERROR(__xludf.DUMMYFUNCTION("""COMPUTED_VALUE"""),16.200000000000003)</f>
        <v>16.2</v>
      </c>
      <c r="AB44" s="500">
        <f>IFERROR(__xludf.DUMMYFUNCTION("""COMPUTED_VALUE"""),16.200000000000003)</f>
        <v>16.2</v>
      </c>
      <c r="AC44" s="500">
        <f>IFERROR(__xludf.DUMMYFUNCTION("""COMPUTED_VALUE"""),16.200000000000003)</f>
        <v>16.2</v>
      </c>
      <c r="AD44" s="501">
        <f>IFERROR(__xludf.DUMMYFUNCTION("""COMPUTED_VALUE"""),16.200000000000003)</f>
        <v>16.2</v>
      </c>
      <c r="AE44" s="500">
        <f>IFERROR(__xludf.DUMMYFUNCTION("""COMPUTED_VALUE"""),16.200000000000003)</f>
        <v>16.2</v>
      </c>
      <c r="AF44" s="501">
        <f>IFERROR(__xludf.DUMMYFUNCTION("""COMPUTED_VALUE"""),18.36)</f>
        <v>18.36</v>
      </c>
      <c r="AG44" s="500">
        <f>IFERROR(__xludf.DUMMYFUNCTION("""COMPUTED_VALUE"""),19.44)</f>
        <v>19.44</v>
      </c>
      <c r="AH44" s="557">
        <f>IFERROR(__xludf.DUMMYFUNCTION("""COMPUTED_VALUE"""),21.6)</f>
        <v>21.6</v>
      </c>
      <c r="AI44" s="624"/>
      <c r="AJ44" s="386">
        <f>IFERROR(__xludf.DUMMYFUNCTION("""COMPUTED_VALUE"""),2.0)</f>
        <v>2</v>
      </c>
      <c r="AK44" s="387" t="str">
        <f>IFERROR(__xludf.DUMMYFUNCTION("""COMPUTED_VALUE"""),"効果値(%)")</f>
        <v>効果値(%)</v>
      </c>
      <c r="AL44" s="531">
        <f>IFERROR(__xludf.DUMMYFUNCTION("""COMPUTED_VALUE"""),103.69944000000001)</f>
        <v>103.69944</v>
      </c>
      <c r="AM44" s="531">
        <f>IFERROR(__xludf.DUMMYFUNCTION("""COMPUTED_VALUE"""),109.94724)</f>
        <v>109.94724</v>
      </c>
      <c r="AN44" s="531">
        <f>IFERROR(__xludf.DUMMYFUNCTION("""COMPUTED_VALUE"""),110.87712)</f>
        <v>110.87712</v>
      </c>
      <c r="AO44" s="532">
        <f>IFERROR(__xludf.DUMMYFUNCTION("""COMPUTED_VALUE"""),114.53400000000002)</f>
        <v>114.534</v>
      </c>
      <c r="AP44" s="531">
        <f>IFERROR(__xludf.DUMMYFUNCTION("""COMPUTED_VALUE"""),122.1372)</f>
        <v>122.1372</v>
      </c>
      <c r="AQ44" s="532">
        <f>IFERROR(__xludf.DUMMYFUNCTION("""COMPUTED_VALUE"""),262.926)</f>
        <v>262.926</v>
      </c>
      <c r="AR44" s="531">
        <f>IFERROR(__xludf.DUMMYFUNCTION("""COMPUTED_VALUE"""),394.39872)</f>
        <v>394.39872</v>
      </c>
      <c r="AS44" s="532">
        <f>IFERROR(__xludf.DUMMYFUNCTION("""COMPUTED_VALUE"""),446.0400000000001)</f>
        <v>446.04</v>
      </c>
      <c r="AT44" s="115"/>
      <c r="AU44" s="115"/>
      <c r="AV44" s="115"/>
      <c r="AW44" s="115"/>
      <c r="AX44" s="115"/>
      <c r="AY44" s="115"/>
      <c r="AZ44" s="115"/>
      <c r="BA44" s="115"/>
      <c r="BB44" s="115"/>
      <c r="BC44" s="115"/>
    </row>
    <row r="45">
      <c r="A45" s="106"/>
      <c r="B45" s="658" t="str">
        <f>IFERROR(__xludf.DUMMYFUNCTION("""COMPUTED_VALUE"""),"or")</f>
        <v>or</v>
      </c>
      <c r="C45" s="399">
        <f>IFERROR(__xludf.DUMMYFUNCTION("""COMPUTED_VALUE"""),2.0)</f>
        <v>2</v>
      </c>
      <c r="D45" s="653" t="str">
        <f>IFERROR(__xludf.DUMMYFUNCTION("""COMPUTED_VALUE"""),"効果時間")</f>
        <v>効果時間</v>
      </c>
      <c r="E45" s="564">
        <f>IFERROR(__xludf.DUMMYFUNCTION("""COMPUTED_VALUE"""),195.0)</f>
        <v>195</v>
      </c>
      <c r="F45" s="564">
        <f>IFERROR(__xludf.DUMMYFUNCTION("""COMPUTED_VALUE"""),205.0)</f>
        <v>205</v>
      </c>
      <c r="G45" s="564">
        <f>IFERROR(__xludf.DUMMYFUNCTION("""COMPUTED_VALUE"""),205.0)</f>
        <v>205</v>
      </c>
      <c r="H45" s="564">
        <f>IFERROR(__xludf.DUMMYFUNCTION("""COMPUTED_VALUE"""),210.0)</f>
        <v>210</v>
      </c>
      <c r="I45" s="564">
        <f>IFERROR(__xludf.DUMMYFUNCTION("""COMPUTED_VALUE"""),215.0)</f>
        <v>215</v>
      </c>
      <c r="J45" s="564">
        <f>IFERROR(__xludf.DUMMYFUNCTION("""COMPUTED_VALUE"""),375.0)</f>
        <v>375</v>
      </c>
      <c r="K45" s="564">
        <f>IFERROR(__xludf.DUMMYFUNCTION("""COMPUTED_VALUE"""),480.0)</f>
        <v>480</v>
      </c>
      <c r="L45" s="565">
        <f>IFERROR(__xludf.DUMMYFUNCTION("""COMPUTED_VALUE"""),500.0)</f>
        <v>500</v>
      </c>
      <c r="M45" s="509"/>
      <c r="N45" s="399">
        <f>IFERROR(__xludf.DUMMYFUNCTION("""COMPUTED_VALUE"""),2.0)</f>
        <v>2</v>
      </c>
      <c r="O45" s="654" t="str">
        <f>IFERROR(__xludf.DUMMYFUNCTION("""COMPUTED_VALUE"""),"効果時間")</f>
        <v>効果時間</v>
      </c>
      <c r="P45" s="588">
        <f>IFERROR(__xludf.DUMMYFUNCTION("""COMPUTED_VALUE"""),195.0)</f>
        <v>195</v>
      </c>
      <c r="Q45" s="568">
        <f>IFERROR(__xludf.DUMMYFUNCTION("""COMPUTED_VALUE"""),205.0)</f>
        <v>205</v>
      </c>
      <c r="R45" s="568">
        <f>IFERROR(__xludf.DUMMYFUNCTION("""COMPUTED_VALUE"""),205.0)</f>
        <v>205</v>
      </c>
      <c r="S45" s="568">
        <f>IFERROR(__xludf.DUMMYFUNCTION("""COMPUTED_VALUE"""),210.0)</f>
        <v>210</v>
      </c>
      <c r="T45" s="568">
        <f>IFERROR(__xludf.DUMMYFUNCTION("""COMPUTED_VALUE"""),215.0)</f>
        <v>215</v>
      </c>
      <c r="U45" s="568">
        <f>IFERROR(__xludf.DUMMYFUNCTION("""COMPUTED_VALUE"""),375.0)</f>
        <v>375</v>
      </c>
      <c r="V45" s="568">
        <f>IFERROR(__xludf.DUMMYFUNCTION("""COMPUTED_VALUE"""),480.0)</f>
        <v>480</v>
      </c>
      <c r="W45" s="569">
        <f>IFERROR(__xludf.DUMMYFUNCTION("""COMPUTED_VALUE"""),500.0)</f>
        <v>500</v>
      </c>
      <c r="X45" s="624"/>
      <c r="Y45" s="510"/>
      <c r="Z45" s="510"/>
      <c r="AA45" s="568"/>
      <c r="AB45" s="568"/>
      <c r="AC45" s="568"/>
      <c r="AD45" s="568"/>
      <c r="AE45" s="568"/>
      <c r="AF45" s="568"/>
      <c r="AG45" s="568"/>
      <c r="AH45" s="569"/>
      <c r="AI45" s="659"/>
      <c r="AJ45" s="399">
        <f>IFERROR(__xludf.DUMMYFUNCTION("""COMPUTED_VALUE"""),2.0)</f>
        <v>2</v>
      </c>
      <c r="AK45" s="660" t="str">
        <f>IFERROR(__xludf.DUMMYFUNCTION("""COMPUTED_VALUE"""),"効果時間(s)")</f>
        <v>効果時間(s)</v>
      </c>
      <c r="AL45" s="568">
        <f>IFERROR(__xludf.DUMMYFUNCTION("""COMPUTED_VALUE"""),3.9)</f>
        <v>3.9</v>
      </c>
      <c r="AM45" s="566">
        <f>IFERROR(__xludf.DUMMYFUNCTION("""COMPUTED_VALUE"""),4.1)</f>
        <v>4.1</v>
      </c>
      <c r="AN45" s="566">
        <f>IFERROR(__xludf.DUMMYFUNCTION("""COMPUTED_VALUE"""),4.1)</f>
        <v>4.1</v>
      </c>
      <c r="AO45" s="566">
        <f>IFERROR(__xludf.DUMMYFUNCTION("""COMPUTED_VALUE"""),4.2)</f>
        <v>4.2</v>
      </c>
      <c r="AP45" s="568">
        <f>IFERROR(__xludf.DUMMYFUNCTION("""COMPUTED_VALUE"""),4.3)</f>
        <v>4.3</v>
      </c>
      <c r="AQ45" s="568">
        <f>IFERROR(__xludf.DUMMYFUNCTION("""COMPUTED_VALUE"""),7.5)</f>
        <v>7.5</v>
      </c>
      <c r="AR45" s="568">
        <f>IFERROR(__xludf.DUMMYFUNCTION("""COMPUTED_VALUE"""),9.6)</f>
        <v>9.6</v>
      </c>
      <c r="AS45" s="661">
        <f>IFERROR(__xludf.DUMMYFUNCTION("""COMPUTED_VALUE"""),10.0)</f>
        <v>10</v>
      </c>
      <c r="AT45" s="115"/>
      <c r="AU45" s="115"/>
      <c r="AV45" s="115"/>
      <c r="AW45" s="115"/>
      <c r="AX45" s="115"/>
      <c r="AY45" s="115"/>
      <c r="AZ45" s="115"/>
      <c r="BA45" s="115"/>
      <c r="BB45" s="115"/>
      <c r="BC45" s="115"/>
    </row>
    <row r="46">
      <c r="A46" s="562"/>
      <c r="B46" s="115" t="str">
        <f>IFERROR(__xludf.DUMMYFUNCTION("""COMPUTED_VALUE"""),"タップしたコマ(属性orロール)")</f>
        <v>タップしたコマ(属性orロール)</v>
      </c>
      <c r="C46" s="430">
        <f>IFERROR(__xludf.DUMMYFUNCTION("""COMPUTED_VALUE"""),3.0)</f>
        <v>3</v>
      </c>
      <c r="D46" s="662" t="str">
        <f>IFERROR(__xludf.DUMMYFUNCTION("""COMPUTED_VALUE"""),"効果値")</f>
        <v>効果値</v>
      </c>
      <c r="E46" s="303">
        <f>IFERROR(__xludf.DUMMYFUNCTION("""COMPUTED_VALUE"""),29.916000000000004)</f>
        <v>29.916</v>
      </c>
      <c r="F46" s="593">
        <f>IFERROR(__xludf.DUMMYFUNCTION("""COMPUTED_VALUE"""),30.294000000000004)</f>
        <v>30.294</v>
      </c>
      <c r="G46" s="593">
        <f>IFERROR(__xludf.DUMMYFUNCTION("""COMPUTED_VALUE"""),30.672000000000004)</f>
        <v>30.672</v>
      </c>
      <c r="H46" s="593">
        <f>IFERROR(__xludf.DUMMYFUNCTION("""COMPUTED_VALUE"""),31.050000000000004)</f>
        <v>31.05</v>
      </c>
      <c r="I46" s="303">
        <f>IFERROR(__xludf.DUMMYFUNCTION("""COMPUTED_VALUE"""),32.940000000000005)</f>
        <v>32.94</v>
      </c>
      <c r="J46" s="303">
        <f>IFERROR(__xludf.DUMMYFUNCTION("""COMPUTED_VALUE"""),38.988)</f>
        <v>38.988</v>
      </c>
      <c r="K46" s="303">
        <f>IFERROR(__xludf.DUMMYFUNCTION("""COMPUTED_VALUE"""),44.712)</f>
        <v>44.712</v>
      </c>
      <c r="L46" s="303">
        <f>IFERROR(__xludf.DUMMYFUNCTION("""COMPUTED_VALUE"""),49.14000000000001)</f>
        <v>49.14</v>
      </c>
      <c r="M46" s="541"/>
      <c r="N46" s="539">
        <f>IFERROR(__xludf.DUMMYFUNCTION("""COMPUTED_VALUE"""),3.0)</f>
        <v>3</v>
      </c>
      <c r="O46" s="663" t="str">
        <f>IFERROR(__xludf.DUMMYFUNCTION("""COMPUTED_VALUE"""),"効果値")</f>
        <v>効果値</v>
      </c>
      <c r="P46" s="288">
        <f>IFERROR(__xludf.DUMMYFUNCTION("""COMPUTED_VALUE"""),13.716000000000001)</f>
        <v>13.716</v>
      </c>
      <c r="Q46" s="286">
        <f>IFERROR(__xludf.DUMMYFUNCTION("""COMPUTED_VALUE"""),14.094)</f>
        <v>14.094</v>
      </c>
      <c r="R46" s="286">
        <f>IFERROR(__xludf.DUMMYFUNCTION("""COMPUTED_VALUE"""),14.472)</f>
        <v>14.472</v>
      </c>
      <c r="S46" s="286">
        <f>IFERROR(__xludf.DUMMYFUNCTION("""COMPUTED_VALUE"""),14.850000000000001)</f>
        <v>14.85</v>
      </c>
      <c r="T46" s="288">
        <f>IFERROR(__xludf.DUMMYFUNCTION("""COMPUTED_VALUE"""),16.740000000000002)</f>
        <v>16.74</v>
      </c>
      <c r="U46" s="288">
        <f>IFERROR(__xludf.DUMMYFUNCTION("""COMPUTED_VALUE"""),20.628)</f>
        <v>20.628</v>
      </c>
      <c r="V46" s="288">
        <f>IFERROR(__xludf.DUMMYFUNCTION("""COMPUTED_VALUE"""),25.272000000000002)</f>
        <v>25.272</v>
      </c>
      <c r="W46" s="594">
        <f>IFERROR(__xludf.DUMMYFUNCTION("""COMPUTED_VALUE"""),27.540000000000006)</f>
        <v>27.54</v>
      </c>
      <c r="X46" s="538"/>
      <c r="Y46" s="595"/>
      <c r="Z46" s="664"/>
      <c r="AA46" s="597">
        <f>IFERROR(__xludf.DUMMYFUNCTION("""COMPUTED_VALUE"""),16.200000000000003)</f>
        <v>16.2</v>
      </c>
      <c r="AB46" s="598">
        <f>IFERROR(__xludf.DUMMYFUNCTION("""COMPUTED_VALUE"""),16.200000000000003)</f>
        <v>16.2</v>
      </c>
      <c r="AC46" s="598">
        <f>IFERROR(__xludf.DUMMYFUNCTION("""COMPUTED_VALUE"""),16.200000000000003)</f>
        <v>16.2</v>
      </c>
      <c r="AD46" s="598">
        <f>IFERROR(__xludf.DUMMYFUNCTION("""COMPUTED_VALUE"""),16.200000000000003)</f>
        <v>16.2</v>
      </c>
      <c r="AE46" s="598">
        <f>IFERROR(__xludf.DUMMYFUNCTION("""COMPUTED_VALUE"""),16.200000000000003)</f>
        <v>16.2</v>
      </c>
      <c r="AF46" s="598">
        <f>IFERROR(__xludf.DUMMYFUNCTION("""COMPUTED_VALUE"""),18.36)</f>
        <v>18.36</v>
      </c>
      <c r="AG46" s="598">
        <f>IFERROR(__xludf.DUMMYFUNCTION("""COMPUTED_VALUE"""),19.44)</f>
        <v>19.44</v>
      </c>
      <c r="AH46" s="599">
        <f>IFERROR(__xludf.DUMMYFUNCTION("""COMPUTED_VALUE"""),21.6)</f>
        <v>21.6</v>
      </c>
      <c r="AI46" s="624"/>
      <c r="AJ46" s="430">
        <f>IFERROR(__xludf.DUMMYFUNCTION("""COMPUTED_VALUE"""),3.0)</f>
        <v>3</v>
      </c>
      <c r="AK46" s="431" t="str">
        <f>IFERROR(__xludf.DUMMYFUNCTION("""COMPUTED_VALUE"""),"効果値(%)")</f>
        <v>効果値(%)</v>
      </c>
      <c r="AL46" s="303">
        <f>IFERROR(__xludf.DUMMYFUNCTION("""COMPUTED_VALUE"""),131.63040000000004)</f>
        <v>131.6304</v>
      </c>
      <c r="AM46" s="593">
        <f>IFERROR(__xludf.DUMMYFUNCTION("""COMPUTED_VALUE"""),142.38180000000003)</f>
        <v>142.3818</v>
      </c>
      <c r="AN46" s="593">
        <f>IFERROR(__xludf.DUMMYFUNCTION("""COMPUTED_VALUE"""),147.22560000000001)</f>
        <v>147.2256</v>
      </c>
      <c r="AO46" s="593">
        <f>IFERROR(__xludf.DUMMYFUNCTION("""COMPUTED_VALUE"""),155.25000000000003)</f>
        <v>155.25</v>
      </c>
      <c r="AP46" s="303">
        <f>IFERROR(__xludf.DUMMYFUNCTION("""COMPUTED_VALUE"""),167.994)</f>
        <v>167.994</v>
      </c>
      <c r="AQ46" s="303">
        <f>IFERROR(__xludf.DUMMYFUNCTION("""COMPUTED_VALUE"""),300.2076)</f>
        <v>300.2076</v>
      </c>
      <c r="AR46" s="303">
        <f>IFERROR(__xludf.DUMMYFUNCTION("""COMPUTED_VALUE"""),438.17760000000004)</f>
        <v>438.1776</v>
      </c>
      <c r="AS46" s="303">
        <f>IFERROR(__xludf.DUMMYFUNCTION("""COMPUTED_VALUE"""),515.97)</f>
        <v>515.97</v>
      </c>
      <c r="AT46" s="115"/>
      <c r="AU46" s="115"/>
      <c r="AV46" s="115"/>
      <c r="AW46" s="115"/>
      <c r="AX46" s="115"/>
      <c r="AY46" s="115"/>
      <c r="AZ46" s="115"/>
      <c r="BA46" s="115"/>
      <c r="BB46" s="115"/>
      <c r="BC46" s="115"/>
    </row>
    <row r="47">
      <c r="A47" s="259"/>
      <c r="B47" s="259"/>
      <c r="C47" s="375">
        <f>IFERROR(__xludf.DUMMYFUNCTION("""COMPUTED_VALUE"""),3.0)</f>
        <v>3</v>
      </c>
      <c r="D47" s="485" t="str">
        <f>IFERROR(__xludf.DUMMYFUNCTION("""COMPUTED_VALUE"""),"効果時間")</f>
        <v>効果時間</v>
      </c>
      <c r="E47" s="546">
        <f>IFERROR(__xludf.DUMMYFUNCTION("""COMPUTED_VALUE"""),220.0)</f>
        <v>220</v>
      </c>
      <c r="F47" s="546">
        <f>IFERROR(__xludf.DUMMYFUNCTION("""COMPUTED_VALUE"""),235.0)</f>
        <v>235</v>
      </c>
      <c r="G47" s="546">
        <f>IFERROR(__xludf.DUMMYFUNCTION("""COMPUTED_VALUE"""),240.0)</f>
        <v>240</v>
      </c>
      <c r="H47" s="546">
        <f>IFERROR(__xludf.DUMMYFUNCTION("""COMPUTED_VALUE"""),250.0)</f>
        <v>250</v>
      </c>
      <c r="I47" s="546">
        <f>IFERROR(__xludf.DUMMYFUNCTION("""COMPUTED_VALUE"""),255.0)</f>
        <v>255</v>
      </c>
      <c r="J47" s="546">
        <f>IFERROR(__xludf.DUMMYFUNCTION("""COMPUTED_VALUE"""),385.0)</f>
        <v>385</v>
      </c>
      <c r="K47" s="546">
        <f>IFERROR(__xludf.DUMMYFUNCTION("""COMPUTED_VALUE"""),490.0)</f>
        <v>490</v>
      </c>
      <c r="L47" s="547">
        <f>IFERROR(__xludf.DUMMYFUNCTION("""COMPUTED_VALUE"""),525.0)</f>
        <v>525</v>
      </c>
      <c r="M47" s="509"/>
      <c r="N47" s="386">
        <f>IFERROR(__xludf.DUMMYFUNCTION("""COMPUTED_VALUE"""),3.0)</f>
        <v>3</v>
      </c>
      <c r="O47" s="665" t="str">
        <f>IFERROR(__xludf.DUMMYFUNCTION("""COMPUTED_VALUE"""),"効果時間")</f>
        <v>効果時間</v>
      </c>
      <c r="P47" s="486">
        <f>IFERROR(__xludf.DUMMYFUNCTION("""COMPUTED_VALUE"""),220.0)</f>
        <v>220</v>
      </c>
      <c r="Q47" s="487">
        <f>IFERROR(__xludf.DUMMYFUNCTION("""COMPUTED_VALUE"""),235.0)</f>
        <v>235</v>
      </c>
      <c r="R47" s="487">
        <f>IFERROR(__xludf.DUMMYFUNCTION("""COMPUTED_VALUE"""),240.0)</f>
        <v>240</v>
      </c>
      <c r="S47" s="487">
        <f>IFERROR(__xludf.DUMMYFUNCTION("""COMPUTED_VALUE"""),250.0)</f>
        <v>250</v>
      </c>
      <c r="T47" s="487">
        <f>IFERROR(__xludf.DUMMYFUNCTION("""COMPUTED_VALUE"""),255.0)</f>
        <v>255</v>
      </c>
      <c r="U47" s="487">
        <f>IFERROR(__xludf.DUMMYFUNCTION("""COMPUTED_VALUE"""),385.0)</f>
        <v>385</v>
      </c>
      <c r="V47" s="487">
        <f>IFERROR(__xludf.DUMMYFUNCTION("""COMPUTED_VALUE"""),490.0)</f>
        <v>490</v>
      </c>
      <c r="W47" s="666">
        <f>IFERROR(__xludf.DUMMYFUNCTION("""COMPUTED_VALUE"""),525.0)</f>
        <v>525</v>
      </c>
      <c r="X47" s="624"/>
      <c r="Y47" s="498"/>
      <c r="Z47" s="498"/>
      <c r="AA47" s="549"/>
      <c r="AB47" s="549"/>
      <c r="AC47" s="549"/>
      <c r="AD47" s="549"/>
      <c r="AE47" s="549"/>
      <c r="AF47" s="549"/>
      <c r="AG47" s="549"/>
      <c r="AH47" s="550"/>
      <c r="AI47" s="489"/>
      <c r="AJ47" s="375">
        <f>IFERROR(__xludf.DUMMYFUNCTION("""COMPUTED_VALUE"""),3.0)</f>
        <v>3</v>
      </c>
      <c r="AK47" s="376" t="str">
        <f>IFERROR(__xludf.DUMMYFUNCTION("""COMPUTED_VALUE"""),"効果時間(s)")</f>
        <v>効果時間(s)</v>
      </c>
      <c r="AL47" s="263">
        <f>IFERROR(__xludf.DUMMYFUNCTION("""COMPUTED_VALUE"""),4.4)</f>
        <v>4.4</v>
      </c>
      <c r="AM47" s="263">
        <f>IFERROR(__xludf.DUMMYFUNCTION("""COMPUTED_VALUE"""),4.7)</f>
        <v>4.7</v>
      </c>
      <c r="AN47" s="263">
        <f>IFERROR(__xludf.DUMMYFUNCTION("""COMPUTED_VALUE"""),4.8)</f>
        <v>4.8</v>
      </c>
      <c r="AO47" s="263">
        <f>IFERROR(__xludf.DUMMYFUNCTION("""COMPUTED_VALUE"""),5.0)</f>
        <v>5</v>
      </c>
      <c r="AP47" s="263">
        <f>IFERROR(__xludf.DUMMYFUNCTION("""COMPUTED_VALUE"""),5.1)</f>
        <v>5.1</v>
      </c>
      <c r="AQ47" s="263">
        <f>IFERROR(__xludf.DUMMYFUNCTION("""COMPUTED_VALUE"""),7.7)</f>
        <v>7.7</v>
      </c>
      <c r="AR47" s="263">
        <f>IFERROR(__xludf.DUMMYFUNCTION("""COMPUTED_VALUE"""),9.8)</f>
        <v>9.8</v>
      </c>
      <c r="AS47" s="493">
        <f>IFERROR(__xludf.DUMMYFUNCTION("""COMPUTED_VALUE"""),10.5)</f>
        <v>10.5</v>
      </c>
      <c r="AT47" s="115"/>
      <c r="AU47" s="115"/>
      <c r="AV47" s="115"/>
      <c r="AW47" s="115"/>
      <c r="AX47" s="115"/>
      <c r="AY47" s="115"/>
      <c r="AZ47" s="115"/>
      <c r="BA47" s="115"/>
      <c r="BB47" s="115"/>
      <c r="BC47" s="115"/>
    </row>
    <row r="48">
      <c r="A48" s="562"/>
      <c r="B48" s="573"/>
      <c r="C48" s="386">
        <f>IFERROR(__xludf.DUMMYFUNCTION("""COMPUTED_VALUE"""),4.0)</f>
        <v>4</v>
      </c>
      <c r="D48" s="496" t="str">
        <f>IFERROR(__xludf.DUMMYFUNCTION("""COMPUTED_VALUE"""),"効果値")</f>
        <v>効果値</v>
      </c>
      <c r="E48" s="302">
        <f>IFERROR(__xludf.DUMMYFUNCTION("""COMPUTED_VALUE"""),32.0544)</f>
        <v>32.0544</v>
      </c>
      <c r="F48" s="302">
        <f>IFERROR(__xludf.DUMMYFUNCTION("""COMPUTED_VALUE"""),32.5296)</f>
        <v>32.5296</v>
      </c>
      <c r="G48" s="302">
        <f>IFERROR(__xludf.DUMMYFUNCTION("""COMPUTED_VALUE"""),33.0048)</f>
        <v>33.0048</v>
      </c>
      <c r="H48" s="302">
        <f>IFERROR(__xludf.DUMMYFUNCTION("""COMPUTED_VALUE"""),33.480000000000004)</f>
        <v>33.48</v>
      </c>
      <c r="I48" s="302">
        <f>IFERROR(__xludf.DUMMYFUNCTION("""COMPUTED_VALUE"""),35.85600000000001)</f>
        <v>35.856</v>
      </c>
      <c r="J48" s="302">
        <f>IFERROR(__xludf.DUMMYFUNCTION("""COMPUTED_VALUE"""),41.5152)</f>
        <v>41.5152</v>
      </c>
      <c r="K48" s="302">
        <f>IFERROR(__xludf.DUMMYFUNCTION("""COMPUTED_VALUE"""),47.04480000000001)</f>
        <v>47.0448</v>
      </c>
      <c r="L48" s="303">
        <f>IFERROR(__xludf.DUMMYFUNCTION("""COMPUTED_VALUE"""),52.05600000000001)</f>
        <v>52.056</v>
      </c>
      <c r="M48" s="509"/>
      <c r="N48" s="386">
        <f>IFERROR(__xludf.DUMMYFUNCTION("""COMPUTED_VALUE"""),4.0)</f>
        <v>4</v>
      </c>
      <c r="O48" s="651" t="str">
        <f>IFERROR(__xludf.DUMMYFUNCTION("""COMPUTED_VALUE"""),"効果値")</f>
        <v>効果値</v>
      </c>
      <c r="P48" s="302">
        <f>IFERROR(__xludf.DUMMYFUNCTION("""COMPUTED_VALUE"""),15.854400000000002)</f>
        <v>15.8544</v>
      </c>
      <c r="Q48" s="302">
        <f>IFERROR(__xludf.DUMMYFUNCTION("""COMPUTED_VALUE"""),16.3296)</f>
        <v>16.3296</v>
      </c>
      <c r="R48" s="302">
        <f>IFERROR(__xludf.DUMMYFUNCTION("""COMPUTED_VALUE"""),16.8048)</f>
        <v>16.8048</v>
      </c>
      <c r="S48" s="302">
        <f>IFERROR(__xludf.DUMMYFUNCTION("""COMPUTED_VALUE"""),17.28)</f>
        <v>17.28</v>
      </c>
      <c r="T48" s="302">
        <f>IFERROR(__xludf.DUMMYFUNCTION("""COMPUTED_VALUE"""),19.656000000000002)</f>
        <v>19.656</v>
      </c>
      <c r="U48" s="302">
        <f>IFERROR(__xludf.DUMMYFUNCTION("""COMPUTED_VALUE"""),23.1552)</f>
        <v>23.1552</v>
      </c>
      <c r="V48" s="302">
        <f>IFERROR(__xludf.DUMMYFUNCTION("""COMPUTED_VALUE"""),27.604800000000004)</f>
        <v>27.6048</v>
      </c>
      <c r="W48" s="555">
        <f>IFERROR(__xludf.DUMMYFUNCTION("""COMPUTED_VALUE"""),30.456000000000007)</f>
        <v>30.456</v>
      </c>
      <c r="X48" s="624"/>
      <c r="Y48" s="498"/>
      <c r="Z48" s="652"/>
      <c r="AA48" s="556">
        <f>IFERROR(__xludf.DUMMYFUNCTION("""COMPUTED_VALUE"""),16.200000000000003)</f>
        <v>16.2</v>
      </c>
      <c r="AB48" s="500">
        <f>IFERROR(__xludf.DUMMYFUNCTION("""COMPUTED_VALUE"""),16.200000000000003)</f>
        <v>16.2</v>
      </c>
      <c r="AC48" s="500">
        <f>IFERROR(__xludf.DUMMYFUNCTION("""COMPUTED_VALUE"""),16.200000000000003)</f>
        <v>16.2</v>
      </c>
      <c r="AD48" s="501">
        <f>IFERROR(__xludf.DUMMYFUNCTION("""COMPUTED_VALUE"""),16.200000000000003)</f>
        <v>16.2</v>
      </c>
      <c r="AE48" s="500">
        <f>IFERROR(__xludf.DUMMYFUNCTION("""COMPUTED_VALUE"""),16.200000000000003)</f>
        <v>16.2</v>
      </c>
      <c r="AF48" s="501">
        <f>IFERROR(__xludf.DUMMYFUNCTION("""COMPUTED_VALUE"""),18.36)</f>
        <v>18.36</v>
      </c>
      <c r="AG48" s="500">
        <f>IFERROR(__xludf.DUMMYFUNCTION("""COMPUTED_VALUE"""),19.44)</f>
        <v>19.44</v>
      </c>
      <c r="AH48" s="557">
        <f>IFERROR(__xludf.DUMMYFUNCTION("""COMPUTED_VALUE"""),21.6)</f>
        <v>21.6</v>
      </c>
      <c r="AI48" s="497"/>
      <c r="AJ48" s="386">
        <f>IFERROR(__xludf.DUMMYFUNCTION("""COMPUTED_VALUE"""),4.0)</f>
        <v>4</v>
      </c>
      <c r="AK48" s="502" t="str">
        <f>IFERROR(__xludf.DUMMYFUNCTION("""COMPUTED_VALUE"""),"効果値(%)")</f>
        <v>効果値(%)</v>
      </c>
      <c r="AL48" s="503">
        <f>IFERROR(__xludf.DUMMYFUNCTION("""COMPUTED_VALUE"""),153.86112)</f>
        <v>153.86112</v>
      </c>
      <c r="AM48" s="503">
        <f>IFERROR(__xludf.DUMMYFUNCTION("""COMPUTED_VALUE"""),165.90096)</f>
        <v>165.90096</v>
      </c>
      <c r="AN48" s="503">
        <f>IFERROR(__xludf.DUMMYFUNCTION("""COMPUTED_VALUE"""),174.92544)</f>
        <v>174.92544</v>
      </c>
      <c r="AO48" s="503">
        <f>IFERROR(__xludf.DUMMYFUNCTION("""COMPUTED_VALUE"""),184.14000000000001)</f>
        <v>184.14</v>
      </c>
      <c r="AP48" s="503">
        <f>IFERROR(__xludf.DUMMYFUNCTION("""COMPUTED_VALUE"""),204.37920000000005)</f>
        <v>204.3792</v>
      </c>
      <c r="AQ48" s="503">
        <f>IFERROR(__xludf.DUMMYFUNCTION("""COMPUTED_VALUE"""),327.97008)</f>
        <v>327.97008</v>
      </c>
      <c r="AR48" s="503">
        <f>IFERROR(__xludf.DUMMYFUNCTION("""COMPUTED_VALUE"""),470.4480000000001)</f>
        <v>470.448</v>
      </c>
      <c r="AS48" s="504">
        <f>IFERROR(__xludf.DUMMYFUNCTION("""COMPUTED_VALUE"""),562.2048000000002)</f>
        <v>562.2048</v>
      </c>
      <c r="AT48" s="115"/>
      <c r="AU48" s="115"/>
      <c r="AV48" s="115"/>
      <c r="AW48" s="115"/>
      <c r="AX48" s="115"/>
      <c r="AY48" s="115"/>
      <c r="AZ48" s="115"/>
      <c r="BA48" s="115"/>
      <c r="BB48" s="115"/>
      <c r="BC48" s="115"/>
    </row>
    <row r="49">
      <c r="A49" s="573"/>
      <c r="B49" s="554"/>
      <c r="C49" s="399">
        <f>IFERROR(__xludf.DUMMYFUNCTION("""COMPUTED_VALUE"""),4.0)</f>
        <v>4</v>
      </c>
      <c r="D49" s="400" t="str">
        <f>IFERROR(__xludf.DUMMYFUNCTION("""COMPUTED_VALUE"""),"効果時間")</f>
        <v>効果時間</v>
      </c>
      <c r="E49" s="564">
        <f>IFERROR(__xludf.DUMMYFUNCTION("""COMPUTED_VALUE"""),240.0)</f>
        <v>240</v>
      </c>
      <c r="F49" s="564">
        <f>IFERROR(__xludf.DUMMYFUNCTION("""COMPUTED_VALUE"""),255.0)</f>
        <v>255</v>
      </c>
      <c r="G49" s="564">
        <f>IFERROR(__xludf.DUMMYFUNCTION("""COMPUTED_VALUE"""),265.0)</f>
        <v>265</v>
      </c>
      <c r="H49" s="564">
        <f>IFERROR(__xludf.DUMMYFUNCTION("""COMPUTED_VALUE"""),275.0)</f>
        <v>275</v>
      </c>
      <c r="I49" s="564">
        <f>IFERROR(__xludf.DUMMYFUNCTION("""COMPUTED_VALUE"""),285.0)</f>
        <v>285</v>
      </c>
      <c r="J49" s="564">
        <f>IFERROR(__xludf.DUMMYFUNCTION("""COMPUTED_VALUE"""),395.0)</f>
        <v>395</v>
      </c>
      <c r="K49" s="564">
        <f>IFERROR(__xludf.DUMMYFUNCTION("""COMPUTED_VALUE"""),500.0)</f>
        <v>500</v>
      </c>
      <c r="L49" s="565">
        <f>IFERROR(__xludf.DUMMYFUNCTION("""COMPUTED_VALUE"""),540.0)</f>
        <v>540</v>
      </c>
      <c r="M49" s="509"/>
      <c r="N49" s="399">
        <f>IFERROR(__xludf.DUMMYFUNCTION("""COMPUTED_VALUE"""),4.0)</f>
        <v>4</v>
      </c>
      <c r="O49" s="653" t="str">
        <f>IFERROR(__xludf.DUMMYFUNCTION("""COMPUTED_VALUE"""),"効果時間")</f>
        <v>効果時間</v>
      </c>
      <c r="P49" s="564">
        <f>IFERROR(__xludf.DUMMYFUNCTION("""COMPUTED_VALUE"""),240.0)</f>
        <v>240</v>
      </c>
      <c r="Q49" s="566">
        <f>IFERROR(__xludf.DUMMYFUNCTION("""COMPUTED_VALUE"""),255.0)</f>
        <v>255</v>
      </c>
      <c r="R49" s="566">
        <f>IFERROR(__xludf.DUMMYFUNCTION("""COMPUTED_VALUE"""),265.0)</f>
        <v>265</v>
      </c>
      <c r="S49" s="566">
        <f>IFERROR(__xludf.DUMMYFUNCTION("""COMPUTED_VALUE"""),275.0)</f>
        <v>275</v>
      </c>
      <c r="T49" s="566">
        <f>IFERROR(__xludf.DUMMYFUNCTION("""COMPUTED_VALUE"""),285.0)</f>
        <v>285</v>
      </c>
      <c r="U49" s="566">
        <f>IFERROR(__xludf.DUMMYFUNCTION("""COMPUTED_VALUE"""),395.0)</f>
        <v>395</v>
      </c>
      <c r="V49" s="566">
        <f>IFERROR(__xludf.DUMMYFUNCTION("""COMPUTED_VALUE"""),500.0)</f>
        <v>500</v>
      </c>
      <c r="W49" s="567">
        <f>IFERROR(__xludf.DUMMYFUNCTION("""COMPUTED_VALUE"""),540.0)</f>
        <v>540</v>
      </c>
      <c r="X49" s="624"/>
      <c r="Y49" s="510"/>
      <c r="Z49" s="510"/>
      <c r="AA49" s="568"/>
      <c r="AB49" s="568"/>
      <c r="AC49" s="568"/>
      <c r="AD49" s="568"/>
      <c r="AE49" s="568"/>
      <c r="AF49" s="568"/>
      <c r="AG49" s="568"/>
      <c r="AH49" s="569"/>
      <c r="AI49" s="509"/>
      <c r="AJ49" s="399">
        <f>IFERROR(__xludf.DUMMYFUNCTION("""COMPUTED_VALUE"""),4.0)</f>
        <v>4</v>
      </c>
      <c r="AK49" s="400" t="str">
        <f>IFERROR(__xludf.DUMMYFUNCTION("""COMPUTED_VALUE"""),"効果時間(s)")</f>
        <v>効果時間(s)</v>
      </c>
      <c r="AL49" s="423">
        <f>IFERROR(__xludf.DUMMYFUNCTION("""COMPUTED_VALUE"""),4.8)</f>
        <v>4.8</v>
      </c>
      <c r="AM49" s="423">
        <f>IFERROR(__xludf.DUMMYFUNCTION("""COMPUTED_VALUE"""),5.1)</f>
        <v>5.1</v>
      </c>
      <c r="AN49" s="423">
        <f>IFERROR(__xludf.DUMMYFUNCTION("""COMPUTED_VALUE"""),5.3)</f>
        <v>5.3</v>
      </c>
      <c r="AO49" s="423">
        <f>IFERROR(__xludf.DUMMYFUNCTION("""COMPUTED_VALUE"""),5.5)</f>
        <v>5.5</v>
      </c>
      <c r="AP49" s="423">
        <f>IFERROR(__xludf.DUMMYFUNCTION("""COMPUTED_VALUE"""),5.7)</f>
        <v>5.7</v>
      </c>
      <c r="AQ49" s="423">
        <f>IFERROR(__xludf.DUMMYFUNCTION("""COMPUTED_VALUE"""),7.9)</f>
        <v>7.9</v>
      </c>
      <c r="AR49" s="423">
        <f>IFERROR(__xludf.DUMMYFUNCTION("""COMPUTED_VALUE"""),10.0)</f>
        <v>10</v>
      </c>
      <c r="AS49" s="515">
        <f>IFERROR(__xludf.DUMMYFUNCTION("""COMPUTED_VALUE"""),10.8)</f>
        <v>10.8</v>
      </c>
      <c r="AT49" s="115"/>
      <c r="AU49" s="115"/>
      <c r="AV49" s="115"/>
      <c r="AW49" s="115"/>
      <c r="AX49" s="115"/>
      <c r="AY49" s="115"/>
      <c r="AZ49" s="115"/>
      <c r="BA49" s="115"/>
      <c r="BB49" s="115"/>
      <c r="BC49" s="115"/>
    </row>
    <row r="50">
      <c r="A50" s="573"/>
      <c r="B50" s="554"/>
      <c r="C50" s="386">
        <f>IFERROR(__xludf.DUMMYFUNCTION("""COMPUTED_VALUE"""),5.0)</f>
        <v>5</v>
      </c>
      <c r="D50" s="387" t="str">
        <f>IFERROR(__xludf.DUMMYFUNCTION("""COMPUTED_VALUE"""),"効果値")</f>
        <v>効果値</v>
      </c>
      <c r="E50" s="516">
        <f>IFERROR(__xludf.DUMMYFUNCTION("""COMPUTED_VALUE"""),33.480000000000004)</f>
        <v>33.48</v>
      </c>
      <c r="F50" s="516">
        <f>IFERROR(__xludf.DUMMYFUNCTION("""COMPUTED_VALUE"""),34.02)</f>
        <v>34.02</v>
      </c>
      <c r="G50" s="516">
        <f>IFERROR(__xludf.DUMMYFUNCTION("""COMPUTED_VALUE"""),34.56)</f>
        <v>34.56</v>
      </c>
      <c r="H50" s="516">
        <f>IFERROR(__xludf.DUMMYFUNCTION("""COMPUTED_VALUE"""),35.10000000000001)</f>
        <v>35.1</v>
      </c>
      <c r="I50" s="516">
        <f>IFERROR(__xludf.DUMMYFUNCTION("""COMPUTED_VALUE"""),37.800000000000004)</f>
        <v>37.8</v>
      </c>
      <c r="J50" s="516">
        <f>IFERROR(__xludf.DUMMYFUNCTION("""COMPUTED_VALUE"""),43.2)</f>
        <v>43.2</v>
      </c>
      <c r="K50" s="516">
        <f>IFERROR(__xludf.DUMMYFUNCTION("""COMPUTED_VALUE"""),48.60000000000001)</f>
        <v>48.6</v>
      </c>
      <c r="L50" s="574">
        <f>IFERROR(__xludf.DUMMYFUNCTION("""COMPUTED_VALUE"""),54.00000000000001)</f>
        <v>54</v>
      </c>
      <c r="M50" s="509"/>
      <c r="N50" s="386">
        <f>IFERROR(__xludf.DUMMYFUNCTION("""COMPUTED_VALUE"""),5.0)</f>
        <v>5</v>
      </c>
      <c r="O50" s="656" t="str">
        <f>IFERROR(__xludf.DUMMYFUNCTION("""COMPUTED_VALUE"""),"効果値")</f>
        <v>効果値</v>
      </c>
      <c r="P50" s="516">
        <f>IFERROR(__xludf.DUMMYFUNCTION("""COMPUTED_VALUE"""),17.28)</f>
        <v>17.28</v>
      </c>
      <c r="Q50" s="516">
        <f>IFERROR(__xludf.DUMMYFUNCTION("""COMPUTED_VALUE"""),17.82)</f>
        <v>17.82</v>
      </c>
      <c r="R50" s="516">
        <f>IFERROR(__xludf.DUMMYFUNCTION("""COMPUTED_VALUE"""),18.36)</f>
        <v>18.36</v>
      </c>
      <c r="S50" s="516">
        <f>IFERROR(__xludf.DUMMYFUNCTION("""COMPUTED_VALUE"""),18.900000000000002)</f>
        <v>18.9</v>
      </c>
      <c r="T50" s="516">
        <f>IFERROR(__xludf.DUMMYFUNCTION("""COMPUTED_VALUE"""),21.6)</f>
        <v>21.6</v>
      </c>
      <c r="U50" s="516">
        <f>IFERROR(__xludf.DUMMYFUNCTION("""COMPUTED_VALUE"""),24.840000000000003)</f>
        <v>24.84</v>
      </c>
      <c r="V50" s="516">
        <f>IFERROR(__xludf.DUMMYFUNCTION("""COMPUTED_VALUE"""),29.160000000000004)</f>
        <v>29.16</v>
      </c>
      <c r="W50" s="575">
        <f>IFERROR(__xludf.DUMMYFUNCTION("""COMPUTED_VALUE"""),32.400000000000006)</f>
        <v>32.4</v>
      </c>
      <c r="X50" s="624"/>
      <c r="Y50" s="498"/>
      <c r="Z50" s="652"/>
      <c r="AA50" s="576">
        <f>IFERROR(__xludf.DUMMYFUNCTION("""COMPUTED_VALUE"""),16.200000000000003)</f>
        <v>16.2</v>
      </c>
      <c r="AB50" s="519">
        <f>IFERROR(__xludf.DUMMYFUNCTION("""COMPUTED_VALUE"""),16.200000000000003)</f>
        <v>16.2</v>
      </c>
      <c r="AC50" s="519">
        <f>IFERROR(__xludf.DUMMYFUNCTION("""COMPUTED_VALUE"""),16.200000000000003)</f>
        <v>16.2</v>
      </c>
      <c r="AD50" s="520">
        <f>IFERROR(__xludf.DUMMYFUNCTION("""COMPUTED_VALUE"""),16.200000000000003)</f>
        <v>16.2</v>
      </c>
      <c r="AE50" s="519">
        <f>IFERROR(__xludf.DUMMYFUNCTION("""COMPUTED_VALUE"""),16.200000000000003)</f>
        <v>16.2</v>
      </c>
      <c r="AF50" s="520">
        <f>IFERROR(__xludf.DUMMYFUNCTION("""COMPUTED_VALUE"""),18.36)</f>
        <v>18.36</v>
      </c>
      <c r="AG50" s="519">
        <f>IFERROR(__xludf.DUMMYFUNCTION("""COMPUTED_VALUE"""),19.44)</f>
        <v>19.44</v>
      </c>
      <c r="AH50" s="577">
        <f>IFERROR(__xludf.DUMMYFUNCTION("""COMPUTED_VALUE"""),21.6)</f>
        <v>21.6</v>
      </c>
      <c r="AI50" s="497"/>
      <c r="AJ50" s="386">
        <f>IFERROR(__xludf.DUMMYFUNCTION("""COMPUTED_VALUE"""),5.0)</f>
        <v>5</v>
      </c>
      <c r="AK50" s="502" t="str">
        <f>IFERROR(__xludf.DUMMYFUNCTION("""COMPUTED_VALUE"""),"効果値(%)")</f>
        <v>効果値(%)</v>
      </c>
      <c r="AL50" s="503">
        <f>IFERROR(__xludf.DUMMYFUNCTION("""COMPUTED_VALUE"""),167.40000000000003)</f>
        <v>167.4</v>
      </c>
      <c r="AM50" s="503">
        <f>IFERROR(__xludf.DUMMYFUNCTION("""COMPUTED_VALUE"""),180.306)</f>
        <v>180.306</v>
      </c>
      <c r="AN50" s="503">
        <f>IFERROR(__xludf.DUMMYFUNCTION("""COMPUTED_VALUE"""),190.08)</f>
        <v>190.08</v>
      </c>
      <c r="AO50" s="503">
        <f>IFERROR(__xludf.DUMMYFUNCTION("""COMPUTED_VALUE"""),203.58000000000004)</f>
        <v>203.58</v>
      </c>
      <c r="AP50" s="503">
        <f>IFERROR(__xludf.DUMMYFUNCTION("""COMPUTED_VALUE"""),226.8)</f>
        <v>226.8</v>
      </c>
      <c r="AQ50" s="503">
        <f>IFERROR(__xludf.DUMMYFUNCTION("""COMPUTED_VALUE"""),345.6)</f>
        <v>345.6</v>
      </c>
      <c r="AR50" s="503">
        <f>IFERROR(__xludf.DUMMYFUNCTION("""COMPUTED_VALUE"""),486.0000000000001)</f>
        <v>486</v>
      </c>
      <c r="AS50" s="504">
        <f>IFERROR(__xludf.DUMMYFUNCTION("""COMPUTED_VALUE"""),594.0000000000001)</f>
        <v>594</v>
      </c>
      <c r="AT50" s="115"/>
      <c r="AU50" s="115"/>
      <c r="AV50" s="115"/>
      <c r="AW50" s="115"/>
      <c r="AX50" s="115"/>
      <c r="AY50" s="115"/>
      <c r="AZ50" s="115"/>
      <c r="BA50" s="115"/>
      <c r="BB50" s="115"/>
      <c r="BC50" s="115"/>
    </row>
    <row r="51">
      <c r="A51" s="573"/>
      <c r="B51" s="667"/>
      <c r="C51" s="399">
        <f>IFERROR(__xludf.DUMMYFUNCTION("""COMPUTED_VALUE"""),5.0)</f>
        <v>5</v>
      </c>
      <c r="D51" s="400" t="str">
        <f>IFERROR(__xludf.DUMMYFUNCTION("""COMPUTED_VALUE"""),"効果時間")</f>
        <v>効果時間</v>
      </c>
      <c r="E51" s="564">
        <f>IFERROR(__xludf.DUMMYFUNCTION("""COMPUTED_VALUE"""),250.0)</f>
        <v>250</v>
      </c>
      <c r="F51" s="564">
        <f>IFERROR(__xludf.DUMMYFUNCTION("""COMPUTED_VALUE"""),265.0)</f>
        <v>265</v>
      </c>
      <c r="G51" s="564">
        <f>IFERROR(__xludf.DUMMYFUNCTION("""COMPUTED_VALUE"""),275.0)</f>
        <v>275</v>
      </c>
      <c r="H51" s="564">
        <f>IFERROR(__xludf.DUMMYFUNCTION("""COMPUTED_VALUE"""),290.0)</f>
        <v>290</v>
      </c>
      <c r="I51" s="564">
        <f>IFERROR(__xludf.DUMMYFUNCTION("""COMPUTED_VALUE"""),300.0)</f>
        <v>300</v>
      </c>
      <c r="J51" s="564">
        <f>IFERROR(__xludf.DUMMYFUNCTION("""COMPUTED_VALUE"""),400.0)</f>
        <v>400</v>
      </c>
      <c r="K51" s="564">
        <f>IFERROR(__xludf.DUMMYFUNCTION("""COMPUTED_VALUE"""),500.0)</f>
        <v>500</v>
      </c>
      <c r="L51" s="565">
        <f>IFERROR(__xludf.DUMMYFUNCTION("""COMPUTED_VALUE"""),550.0)</f>
        <v>550</v>
      </c>
      <c r="M51" s="509"/>
      <c r="N51" s="399">
        <f>IFERROR(__xludf.DUMMYFUNCTION("""COMPUTED_VALUE"""),5.0)</f>
        <v>5</v>
      </c>
      <c r="O51" s="653" t="str">
        <f>IFERROR(__xludf.DUMMYFUNCTION("""COMPUTED_VALUE"""),"効果時間")</f>
        <v>効果時間</v>
      </c>
      <c r="P51" s="579">
        <f>IFERROR(__xludf.DUMMYFUNCTION("""COMPUTED_VALUE"""),250.0)</f>
        <v>250</v>
      </c>
      <c r="Q51" s="579">
        <f>IFERROR(__xludf.DUMMYFUNCTION("""COMPUTED_VALUE"""),265.0)</f>
        <v>265</v>
      </c>
      <c r="R51" s="579">
        <f>IFERROR(__xludf.DUMMYFUNCTION("""COMPUTED_VALUE"""),275.0)</f>
        <v>275</v>
      </c>
      <c r="S51" s="579">
        <f>IFERROR(__xludf.DUMMYFUNCTION("""COMPUTED_VALUE"""),290.0)</f>
        <v>290</v>
      </c>
      <c r="T51" s="579">
        <f>IFERROR(__xludf.DUMMYFUNCTION("""COMPUTED_VALUE"""),300.0)</f>
        <v>300</v>
      </c>
      <c r="U51" s="579">
        <f>IFERROR(__xludf.DUMMYFUNCTION("""COMPUTED_VALUE"""),400.0)</f>
        <v>400</v>
      </c>
      <c r="V51" s="579">
        <f>IFERROR(__xludf.DUMMYFUNCTION("""COMPUTED_VALUE"""),500.0)</f>
        <v>500</v>
      </c>
      <c r="W51" s="580">
        <f>IFERROR(__xludf.DUMMYFUNCTION("""COMPUTED_VALUE"""),550.0)</f>
        <v>550</v>
      </c>
      <c r="X51" s="624"/>
      <c r="Y51" s="510"/>
      <c r="Z51" s="510"/>
      <c r="AA51" s="568"/>
      <c r="AB51" s="568"/>
      <c r="AC51" s="568"/>
      <c r="AD51" s="568"/>
      <c r="AE51" s="568"/>
      <c r="AF51" s="568"/>
      <c r="AG51" s="568"/>
      <c r="AH51" s="569"/>
      <c r="AI51" s="497"/>
      <c r="AJ51" s="399">
        <f>IFERROR(__xludf.DUMMYFUNCTION("""COMPUTED_VALUE"""),5.0)</f>
        <v>5</v>
      </c>
      <c r="AK51" s="400" t="str">
        <f>IFERROR(__xludf.DUMMYFUNCTION("""COMPUTED_VALUE"""),"効果時間(s)")</f>
        <v>効果時間(s)</v>
      </c>
      <c r="AL51" s="423">
        <f>IFERROR(__xludf.DUMMYFUNCTION("""COMPUTED_VALUE"""),5.0)</f>
        <v>5</v>
      </c>
      <c r="AM51" s="423">
        <f>IFERROR(__xludf.DUMMYFUNCTION("""COMPUTED_VALUE"""),5.3)</f>
        <v>5.3</v>
      </c>
      <c r="AN51" s="423">
        <f>IFERROR(__xludf.DUMMYFUNCTION("""COMPUTED_VALUE"""),5.5)</f>
        <v>5.5</v>
      </c>
      <c r="AO51" s="423">
        <f>IFERROR(__xludf.DUMMYFUNCTION("""COMPUTED_VALUE"""),5.8)</f>
        <v>5.8</v>
      </c>
      <c r="AP51" s="423">
        <f>IFERROR(__xludf.DUMMYFUNCTION("""COMPUTED_VALUE"""),6.0)</f>
        <v>6</v>
      </c>
      <c r="AQ51" s="423">
        <f>IFERROR(__xludf.DUMMYFUNCTION("""COMPUTED_VALUE"""),8.0)</f>
        <v>8</v>
      </c>
      <c r="AR51" s="423">
        <f>IFERROR(__xludf.DUMMYFUNCTION("""COMPUTED_VALUE"""),10.0)</f>
        <v>10</v>
      </c>
      <c r="AS51" s="515">
        <f>IFERROR(__xludf.DUMMYFUNCTION("""COMPUTED_VALUE"""),11.0)</f>
        <v>11</v>
      </c>
      <c r="AT51" s="115"/>
      <c r="AU51" s="115"/>
      <c r="AV51" s="115"/>
      <c r="AW51" s="115"/>
      <c r="AX51" s="115"/>
      <c r="AY51" s="115"/>
      <c r="AZ51" s="115"/>
      <c r="BA51" s="115"/>
      <c r="BB51" s="115"/>
      <c r="BC51" s="115"/>
    </row>
    <row r="52">
      <c r="A52" s="581" t="str">
        <f>IFERROR(__xludf.DUMMYFUNCTION("""COMPUTED_VALUE"""),"※アーニャ専用")</f>
        <v>※アーニャ専用</v>
      </c>
      <c r="B52" s="668" t="str">
        <f>IFERROR(__xludf.DUMMYFUNCTION("""COMPUTED_VALUE"""),"タップしたコマ前後")</f>
        <v>タップしたコマ前後</v>
      </c>
      <c r="C52" s="386">
        <f>IFERROR(__xludf.DUMMYFUNCTION("""COMPUTED_VALUE"""),1.0)</f>
        <v>1</v>
      </c>
      <c r="D52" s="387" t="str">
        <f>IFERROR(__xludf.DUMMYFUNCTION("""COMPUTED_VALUE"""),"効果値")</f>
        <v>効果値</v>
      </c>
      <c r="E52" s="516">
        <f>IFERROR(__xludf.DUMMYFUNCTION("""COMPUTED_VALUE"""),60.0)</f>
        <v>60</v>
      </c>
      <c r="F52" s="516"/>
      <c r="G52" s="516"/>
      <c r="H52" s="516"/>
      <c r="I52" s="516"/>
      <c r="J52" s="516"/>
      <c r="K52" s="516"/>
      <c r="L52" s="574"/>
      <c r="M52" s="509"/>
      <c r="N52" s="386">
        <f>IFERROR(__xludf.DUMMYFUNCTION("""COMPUTED_VALUE"""),1.0)</f>
        <v>1</v>
      </c>
      <c r="O52" s="656" t="str">
        <f>IFERROR(__xludf.DUMMYFUNCTION("""COMPUTED_VALUE"""),"効果値")</f>
        <v>効果値</v>
      </c>
      <c r="P52" s="516">
        <f>IFERROR(__xludf.DUMMYFUNCTION("""COMPUTED_VALUE"""),30.0)</f>
        <v>30</v>
      </c>
      <c r="Q52" s="516"/>
      <c r="R52" s="516"/>
      <c r="S52" s="516"/>
      <c r="T52" s="516"/>
      <c r="U52" s="516"/>
      <c r="V52" s="516"/>
      <c r="W52" s="575"/>
      <c r="X52" s="624"/>
      <c r="Y52" s="498"/>
      <c r="Z52" s="652"/>
      <c r="AA52" s="576">
        <f>IFERROR(__xludf.DUMMYFUNCTION("""COMPUTED_VALUE"""),30.0)</f>
        <v>30</v>
      </c>
      <c r="AB52" s="519"/>
      <c r="AC52" s="519"/>
      <c r="AD52" s="520"/>
      <c r="AE52" s="519"/>
      <c r="AF52" s="520"/>
      <c r="AG52" s="519"/>
      <c r="AH52" s="577"/>
      <c r="AI52" s="497"/>
      <c r="AJ52" s="386"/>
      <c r="AK52" s="502"/>
      <c r="AL52" s="503"/>
      <c r="AM52" s="503"/>
      <c r="AN52" s="503"/>
      <c r="AO52" s="503"/>
      <c r="AP52" s="503"/>
      <c r="AQ52" s="503"/>
      <c r="AR52" s="503"/>
      <c r="AS52" s="504"/>
      <c r="AT52" s="115"/>
      <c r="AU52" s="115"/>
      <c r="AV52" s="115"/>
      <c r="AW52" s="115"/>
      <c r="AX52" s="115"/>
      <c r="AY52" s="115"/>
      <c r="AZ52" s="115"/>
      <c r="BA52" s="115"/>
      <c r="BB52" s="115"/>
      <c r="BC52" s="115"/>
    </row>
    <row r="53">
      <c r="A53" s="581" t="str">
        <f>IFERROR(__xludf.DUMMYFUNCTION("""COMPUTED_VALUE"""),"HP回復(割合)")</f>
        <v>HP回復(割合)</v>
      </c>
      <c r="B53" s="668"/>
      <c r="C53" s="399">
        <f>IFERROR(__xludf.DUMMYFUNCTION("""COMPUTED_VALUE"""),2.0)</f>
        <v>2</v>
      </c>
      <c r="D53" s="400" t="str">
        <f>IFERROR(__xludf.DUMMYFUNCTION("""COMPUTED_VALUE"""),"効果値")</f>
        <v>効果値</v>
      </c>
      <c r="E53" s="564">
        <f>IFERROR(__xludf.DUMMYFUNCTION("""COMPUTED_VALUE"""),70.0)</f>
        <v>70</v>
      </c>
      <c r="F53" s="564"/>
      <c r="G53" s="564"/>
      <c r="H53" s="564"/>
      <c r="I53" s="564"/>
      <c r="J53" s="564"/>
      <c r="K53" s="564"/>
      <c r="L53" s="565"/>
      <c r="M53" s="509"/>
      <c r="N53" s="399">
        <f>IFERROR(__xludf.DUMMYFUNCTION("""COMPUTED_VALUE"""),2.0)</f>
        <v>2</v>
      </c>
      <c r="O53" s="653" t="str">
        <f>IFERROR(__xludf.DUMMYFUNCTION("""COMPUTED_VALUE"""),"効果値")</f>
        <v>効果値</v>
      </c>
      <c r="P53" s="579">
        <f>IFERROR(__xludf.DUMMYFUNCTION("""COMPUTED_VALUE"""),46.0)</f>
        <v>46</v>
      </c>
      <c r="Q53" s="583"/>
      <c r="R53" s="583"/>
      <c r="S53" s="583"/>
      <c r="T53" s="583"/>
      <c r="U53" s="583"/>
      <c r="V53" s="583"/>
      <c r="W53" s="584"/>
      <c r="X53" s="624"/>
      <c r="Y53" s="510"/>
      <c r="Z53" s="510"/>
      <c r="AA53" s="568">
        <f>IFERROR(__xludf.DUMMYFUNCTION("""COMPUTED_VALUE"""),30.0)</f>
        <v>30</v>
      </c>
      <c r="AB53" s="568"/>
      <c r="AC53" s="568"/>
      <c r="AD53" s="568"/>
      <c r="AE53" s="568"/>
      <c r="AF53" s="568"/>
      <c r="AG53" s="568"/>
      <c r="AH53" s="569"/>
      <c r="AI53" s="509"/>
      <c r="AJ53" s="399"/>
      <c r="AK53" s="529"/>
      <c r="AL53" s="393"/>
      <c r="AM53" s="393"/>
      <c r="AN53" s="393"/>
      <c r="AO53" s="393"/>
      <c r="AP53" s="393"/>
      <c r="AQ53" s="393"/>
      <c r="AR53" s="393"/>
      <c r="AS53" s="530"/>
      <c r="AT53" s="115"/>
      <c r="AU53" s="115"/>
      <c r="AV53" s="115"/>
      <c r="AW53" s="115"/>
      <c r="AX53" s="115"/>
      <c r="AY53" s="115"/>
      <c r="AZ53" s="115"/>
      <c r="BA53" s="115"/>
      <c r="BB53" s="115"/>
      <c r="BC53" s="115"/>
    </row>
    <row r="54">
      <c r="A54" s="573"/>
      <c r="B54" s="668"/>
      <c r="C54" s="386">
        <f>IFERROR(__xludf.DUMMYFUNCTION("""COMPUTED_VALUE"""),3.0)</f>
        <v>3</v>
      </c>
      <c r="D54" s="387" t="str">
        <f>IFERROR(__xludf.DUMMYFUNCTION("""COMPUTED_VALUE"""),"効果値")</f>
        <v>効果値</v>
      </c>
      <c r="E54" s="516">
        <f>IFERROR(__xludf.DUMMYFUNCTION("""COMPUTED_VALUE"""),80.0)</f>
        <v>80</v>
      </c>
      <c r="F54" s="516"/>
      <c r="G54" s="516"/>
      <c r="H54" s="516"/>
      <c r="I54" s="516"/>
      <c r="J54" s="516"/>
      <c r="K54" s="516"/>
      <c r="L54" s="574"/>
      <c r="M54" s="509"/>
      <c r="N54" s="386">
        <f>IFERROR(__xludf.DUMMYFUNCTION("""COMPUTED_VALUE"""),3.0)</f>
        <v>3</v>
      </c>
      <c r="O54" s="656" t="str">
        <f>IFERROR(__xludf.DUMMYFUNCTION("""COMPUTED_VALUE"""),"効果値")</f>
        <v>効果値</v>
      </c>
      <c r="P54" s="531">
        <f>IFERROR(__xludf.DUMMYFUNCTION("""COMPUTED_VALUE"""),58.0)</f>
        <v>58</v>
      </c>
      <c r="Q54" s="531"/>
      <c r="R54" s="531"/>
      <c r="S54" s="532"/>
      <c r="T54" s="531"/>
      <c r="U54" s="532"/>
      <c r="V54" s="531"/>
      <c r="W54" s="587"/>
      <c r="X54" s="624"/>
      <c r="Y54" s="498"/>
      <c r="Z54" s="652"/>
      <c r="AA54" s="556">
        <f>IFERROR(__xludf.DUMMYFUNCTION("""COMPUTED_VALUE"""),30.0)</f>
        <v>30</v>
      </c>
      <c r="AB54" s="500"/>
      <c r="AC54" s="500"/>
      <c r="AD54" s="501"/>
      <c r="AE54" s="500"/>
      <c r="AF54" s="501"/>
      <c r="AG54" s="500"/>
      <c r="AH54" s="557"/>
      <c r="AI54" s="509"/>
      <c r="AJ54" s="386"/>
      <c r="AK54" s="502"/>
      <c r="AL54" s="503"/>
      <c r="AM54" s="503"/>
      <c r="AN54" s="503"/>
      <c r="AO54" s="503"/>
      <c r="AP54" s="503"/>
      <c r="AQ54" s="503"/>
      <c r="AR54" s="503"/>
      <c r="AS54" s="504"/>
      <c r="AT54" s="115"/>
      <c r="AU54" s="115"/>
      <c r="AV54" s="115"/>
      <c r="AW54" s="115"/>
      <c r="AX54" s="115"/>
      <c r="AY54" s="115"/>
      <c r="AZ54" s="115"/>
      <c r="BA54" s="115"/>
      <c r="BB54" s="115"/>
      <c r="BC54" s="115"/>
    </row>
    <row r="55">
      <c r="A55" s="669"/>
      <c r="B55" s="668"/>
      <c r="C55" s="399">
        <f>IFERROR(__xludf.DUMMYFUNCTION("""COMPUTED_VALUE"""),4.0)</f>
        <v>4</v>
      </c>
      <c r="D55" s="400" t="str">
        <f>IFERROR(__xludf.DUMMYFUNCTION("""COMPUTED_VALUE"""),"効果値")</f>
        <v>効果値</v>
      </c>
      <c r="E55" s="564">
        <f>IFERROR(__xludf.DUMMYFUNCTION("""COMPUTED_VALUE"""),90.0)</f>
        <v>90</v>
      </c>
      <c r="F55" s="564"/>
      <c r="G55" s="564"/>
      <c r="H55" s="564"/>
      <c r="I55" s="564"/>
      <c r="J55" s="564"/>
      <c r="K55" s="564"/>
      <c r="L55" s="565"/>
      <c r="M55" s="509"/>
      <c r="N55" s="399">
        <f>IFERROR(__xludf.DUMMYFUNCTION("""COMPUTED_VALUE"""),4.0)</f>
        <v>4</v>
      </c>
      <c r="O55" s="653" t="str">
        <f>IFERROR(__xludf.DUMMYFUNCTION("""COMPUTED_VALUE"""),"効果値")</f>
        <v>効果値</v>
      </c>
      <c r="P55" s="588">
        <f>IFERROR(__xludf.DUMMYFUNCTION("""COMPUTED_VALUE"""),65.0)</f>
        <v>65</v>
      </c>
      <c r="Q55" s="568"/>
      <c r="R55" s="568"/>
      <c r="S55" s="568"/>
      <c r="T55" s="568"/>
      <c r="U55" s="568"/>
      <c r="V55" s="568"/>
      <c r="W55" s="569"/>
      <c r="X55" s="624"/>
      <c r="Y55" s="510"/>
      <c r="Z55" s="510"/>
      <c r="AA55" s="568">
        <f>IFERROR(__xludf.DUMMYFUNCTION("""COMPUTED_VALUE"""),30.0)</f>
        <v>30</v>
      </c>
      <c r="AB55" s="568"/>
      <c r="AC55" s="568"/>
      <c r="AD55" s="568"/>
      <c r="AE55" s="568"/>
      <c r="AF55" s="568"/>
      <c r="AG55" s="568"/>
      <c r="AH55" s="569"/>
      <c r="AI55" s="509"/>
      <c r="AJ55" s="399"/>
      <c r="AK55" s="529"/>
      <c r="AL55" s="535"/>
      <c r="AM55" s="535"/>
      <c r="AN55" s="535"/>
      <c r="AO55" s="535"/>
      <c r="AP55" s="535"/>
      <c r="AQ55" s="535"/>
      <c r="AR55" s="535"/>
      <c r="AS55" s="536"/>
      <c r="AT55" s="115"/>
      <c r="AU55" s="115"/>
      <c r="AV55" s="115"/>
      <c r="AW55" s="115"/>
      <c r="AX55" s="115"/>
      <c r="AY55" s="115"/>
      <c r="AZ55" s="115"/>
      <c r="BA55" s="115"/>
      <c r="BB55" s="115"/>
      <c r="BC55" s="115"/>
    </row>
    <row r="56">
      <c r="A56" s="670"/>
      <c r="B56" s="671"/>
      <c r="C56" s="539">
        <f>IFERROR(__xludf.DUMMYFUNCTION("""COMPUTED_VALUE"""),5.0)</f>
        <v>5</v>
      </c>
      <c r="D56" s="540" t="str">
        <f>IFERROR(__xludf.DUMMYFUNCTION("""COMPUTED_VALUE"""),"効果値")</f>
        <v>効果値</v>
      </c>
      <c r="E56" s="288">
        <f>IFERROR(__xludf.DUMMYFUNCTION("""COMPUTED_VALUE"""),100.0)</f>
        <v>100</v>
      </c>
      <c r="F56" s="286"/>
      <c r="G56" s="286"/>
      <c r="H56" s="286"/>
      <c r="I56" s="288"/>
      <c r="J56" s="288"/>
      <c r="K56" s="288"/>
      <c r="L56" s="288"/>
      <c r="M56" s="541"/>
      <c r="N56" s="539">
        <f>IFERROR(__xludf.DUMMYFUNCTION("""COMPUTED_VALUE"""),5.0)</f>
        <v>5</v>
      </c>
      <c r="O56" s="672" t="str">
        <f>IFERROR(__xludf.DUMMYFUNCTION("""COMPUTED_VALUE"""),"効果値")</f>
        <v>効果値</v>
      </c>
      <c r="P56" s="288">
        <f>IFERROR(__xludf.DUMMYFUNCTION("""COMPUTED_VALUE"""),70.0)</f>
        <v>70</v>
      </c>
      <c r="Q56" s="286"/>
      <c r="R56" s="286"/>
      <c r="S56" s="286"/>
      <c r="T56" s="288"/>
      <c r="U56" s="288"/>
      <c r="V56" s="288"/>
      <c r="W56" s="594"/>
      <c r="X56" s="538"/>
      <c r="Y56" s="595"/>
      <c r="Z56" s="664"/>
      <c r="AA56" s="597">
        <f>IFERROR(__xludf.DUMMYFUNCTION("""COMPUTED_VALUE"""),30.0)</f>
        <v>30</v>
      </c>
      <c r="AB56" s="598"/>
      <c r="AC56" s="598"/>
      <c r="AD56" s="598"/>
      <c r="AE56" s="598"/>
      <c r="AF56" s="598"/>
      <c r="AG56" s="598"/>
      <c r="AH56" s="599"/>
      <c r="AI56" s="541"/>
      <c r="AJ56" s="539"/>
      <c r="AK56" s="540"/>
      <c r="AL56" s="543"/>
      <c r="AM56" s="543"/>
      <c r="AN56" s="543"/>
      <c r="AO56" s="543"/>
      <c r="AP56" s="543"/>
      <c r="AQ56" s="543"/>
      <c r="AR56" s="543"/>
      <c r="AS56" s="544"/>
      <c r="AT56" s="115"/>
      <c r="AU56" s="115"/>
      <c r="AV56" s="115"/>
      <c r="AW56" s="115"/>
      <c r="AX56" s="115"/>
      <c r="AY56" s="115"/>
      <c r="AZ56" s="115"/>
      <c r="BA56" s="115"/>
      <c r="BB56" s="115"/>
      <c r="BC56" s="115"/>
    </row>
    <row r="57">
      <c r="A57" s="673" t="str">
        <f>IFERROR(__xludf.DUMMYFUNCTION("""COMPUTED_VALUE"""),"※アーニャ専用")</f>
        <v>※アーニャ専用</v>
      </c>
      <c r="B57" s="673" t="str">
        <f>IFERROR(__xludf.DUMMYFUNCTION("""COMPUTED_VALUE"""),"タップしたコマ前後")</f>
        <v>タップしたコマ前後</v>
      </c>
      <c r="C57" s="674">
        <f>IFERROR(__xludf.DUMMYFUNCTION("""COMPUTED_VALUE"""),1.0)</f>
        <v>1</v>
      </c>
      <c r="D57" s="673" t="str">
        <f>IFERROR(__xludf.DUMMYFUNCTION("""COMPUTED_VALUE"""),"効果値")</f>
        <v>効果値</v>
      </c>
      <c r="E57" s="675">
        <f>IFERROR(__xludf.DUMMYFUNCTION("""COMPUTED_VALUE"""),30.0)</f>
        <v>30</v>
      </c>
      <c r="F57" s="139"/>
      <c r="G57" s="139"/>
      <c r="H57" s="139"/>
      <c r="I57" s="139"/>
      <c r="J57" s="139"/>
      <c r="K57" s="139"/>
      <c r="L57" s="139"/>
      <c r="M57" s="139"/>
      <c r="N57" s="674">
        <f>IFERROR(__xludf.DUMMYFUNCTION("""COMPUTED_VALUE"""),1.0)</f>
        <v>1</v>
      </c>
      <c r="O57" s="674" t="str">
        <f>IFERROR(__xludf.DUMMYFUNCTION("""COMPUTED_VALUE"""),"効果値")</f>
        <v>効果値</v>
      </c>
      <c r="P57" s="673">
        <f>IFERROR(__xludf.DUMMYFUNCTION("""COMPUTED_VALUE"""),10.0)</f>
        <v>10</v>
      </c>
      <c r="Q57" s="139"/>
      <c r="R57" s="139"/>
      <c r="S57" s="139"/>
      <c r="T57" s="139"/>
      <c r="U57" s="139"/>
      <c r="V57" s="139"/>
      <c r="W57" s="139"/>
      <c r="X57" s="139"/>
      <c r="Y57" s="139"/>
      <c r="Z57" s="139"/>
      <c r="AA57" s="675">
        <f>IFERROR(__xludf.DUMMYFUNCTION("""COMPUTED_VALUE"""),20.0)</f>
        <v>20</v>
      </c>
      <c r="AB57" s="139"/>
      <c r="AC57" s="139"/>
      <c r="AD57" s="139"/>
      <c r="AE57" s="139"/>
      <c r="AF57" s="139"/>
      <c r="AG57" s="139"/>
      <c r="AH57" s="139"/>
      <c r="AI57" s="139"/>
      <c r="AJ57" s="674">
        <f>IFERROR(__xludf.DUMMYFUNCTION("""COMPUTED_VALUE"""),1.0)</f>
        <v>1</v>
      </c>
      <c r="AK57" s="673" t="str">
        <f>IFERROR(__xludf.DUMMYFUNCTION("""COMPUTED_VALUE"""),"効果値(%)")</f>
        <v>効果値(%)</v>
      </c>
      <c r="AL57" s="674">
        <f>IFERROR(__xludf.DUMMYFUNCTION("""COMPUTED_VALUE"""),300.0)</f>
        <v>300</v>
      </c>
      <c r="AM57" s="674">
        <f>IFERROR(__xludf.DUMMYFUNCTION("""COMPUTED_VALUE"""),0.0)</f>
        <v>0</v>
      </c>
      <c r="AN57" s="674">
        <f>IFERROR(__xludf.DUMMYFUNCTION("""COMPUTED_VALUE"""),0.0)</f>
        <v>0</v>
      </c>
      <c r="AO57" s="674">
        <f>IFERROR(__xludf.DUMMYFUNCTION("""COMPUTED_VALUE"""),0.0)</f>
        <v>0</v>
      </c>
      <c r="AP57" s="674">
        <f>IFERROR(__xludf.DUMMYFUNCTION("""COMPUTED_VALUE"""),0.0)</f>
        <v>0</v>
      </c>
      <c r="AQ57" s="674">
        <f>IFERROR(__xludf.DUMMYFUNCTION("""COMPUTED_VALUE"""),0.0)</f>
        <v>0</v>
      </c>
      <c r="AR57" s="674">
        <f>IFERROR(__xludf.DUMMYFUNCTION("""COMPUTED_VALUE"""),0.0)</f>
        <v>0</v>
      </c>
      <c r="AS57" s="674">
        <f>IFERROR(__xludf.DUMMYFUNCTION("""COMPUTED_VALUE"""),0.0)</f>
        <v>0</v>
      </c>
      <c r="AT57" s="115"/>
      <c r="AU57" s="115"/>
      <c r="AV57" s="115"/>
      <c r="AW57" s="115"/>
      <c r="AX57" s="115"/>
      <c r="AY57" s="115"/>
      <c r="AZ57" s="115"/>
      <c r="BA57" s="115"/>
      <c r="BB57" s="115"/>
      <c r="BC57" s="115"/>
    </row>
    <row r="58">
      <c r="A58" s="673" t="str">
        <f>IFERROR(__xludf.DUMMYFUNCTION("""COMPUTED_VALUE"""),"攻撃UP")</f>
        <v>攻撃UP</v>
      </c>
      <c r="B58" s="139"/>
      <c r="C58" s="674">
        <f>IFERROR(__xludf.DUMMYFUNCTION("""COMPUTED_VALUE"""),1.0)</f>
        <v>1</v>
      </c>
      <c r="D58" s="673" t="str">
        <f>IFERROR(__xludf.DUMMYFUNCTION("""COMPUTED_VALUE"""),"効果時間")</f>
        <v>効果時間</v>
      </c>
      <c r="E58" s="674">
        <f>IFERROR(__xludf.DUMMYFUNCTION("""COMPUTED_VALUE"""),500.0)</f>
        <v>500</v>
      </c>
      <c r="F58" s="139"/>
      <c r="G58" s="139"/>
      <c r="H58" s="139"/>
      <c r="I58" s="139"/>
      <c r="J58" s="139"/>
      <c r="K58" s="139"/>
      <c r="L58" s="139"/>
      <c r="M58" s="139"/>
      <c r="N58" s="674">
        <f>IFERROR(__xludf.DUMMYFUNCTION("""COMPUTED_VALUE"""),1.0)</f>
        <v>1</v>
      </c>
      <c r="O58" s="674" t="str">
        <f>IFERROR(__xludf.DUMMYFUNCTION("""COMPUTED_VALUE"""),"効果時間")</f>
        <v>効果時間</v>
      </c>
      <c r="P58" s="674">
        <f>IFERROR(__xludf.DUMMYFUNCTION("""COMPUTED_VALUE"""),500.0)</f>
        <v>500</v>
      </c>
      <c r="Q58" s="139"/>
      <c r="R58" s="139"/>
      <c r="S58" s="139"/>
      <c r="T58" s="139"/>
      <c r="U58" s="139"/>
      <c r="V58" s="139"/>
      <c r="W58" s="139"/>
      <c r="X58" s="139"/>
      <c r="Y58" s="139"/>
      <c r="Z58" s="139"/>
      <c r="AA58" s="139"/>
      <c r="AB58" s="139"/>
      <c r="AC58" s="139"/>
      <c r="AD58" s="139"/>
      <c r="AE58" s="139"/>
      <c r="AF58" s="139"/>
      <c r="AG58" s="139"/>
      <c r="AH58" s="139"/>
      <c r="AI58" s="139"/>
      <c r="AJ58" s="674">
        <f>IFERROR(__xludf.DUMMYFUNCTION("""COMPUTED_VALUE"""),1.0)</f>
        <v>1</v>
      </c>
      <c r="AK58" s="673" t="str">
        <f>IFERROR(__xludf.DUMMYFUNCTION("""COMPUTED_VALUE"""),"効果時間(s)")</f>
        <v>効果時間(s)</v>
      </c>
      <c r="AL58" s="675">
        <f>IFERROR(__xludf.DUMMYFUNCTION("""COMPUTED_VALUE"""),10.0)</f>
        <v>10</v>
      </c>
      <c r="AM58" s="675">
        <f>IFERROR(__xludf.DUMMYFUNCTION("""COMPUTED_VALUE"""),0.0)</f>
        <v>0</v>
      </c>
      <c r="AN58" s="675">
        <f>IFERROR(__xludf.DUMMYFUNCTION("""COMPUTED_VALUE"""),0.0)</f>
        <v>0</v>
      </c>
      <c r="AO58" s="675">
        <f>IFERROR(__xludf.DUMMYFUNCTION("""COMPUTED_VALUE"""),0.0)</f>
        <v>0</v>
      </c>
      <c r="AP58" s="675">
        <f>IFERROR(__xludf.DUMMYFUNCTION("""COMPUTED_VALUE"""),0.0)</f>
        <v>0</v>
      </c>
      <c r="AQ58" s="675">
        <f>IFERROR(__xludf.DUMMYFUNCTION("""COMPUTED_VALUE"""),0.0)</f>
        <v>0</v>
      </c>
      <c r="AR58" s="675">
        <f>IFERROR(__xludf.DUMMYFUNCTION("""COMPUTED_VALUE"""),0.0)</f>
        <v>0</v>
      </c>
      <c r="AS58" s="675">
        <f>IFERROR(__xludf.DUMMYFUNCTION("""COMPUTED_VALUE"""),0.0)</f>
        <v>0</v>
      </c>
      <c r="AT58" s="115"/>
      <c r="AU58" s="115"/>
      <c r="AV58" s="115"/>
      <c r="AW58" s="115"/>
      <c r="AX58" s="115"/>
      <c r="AY58" s="115"/>
      <c r="AZ58" s="115"/>
      <c r="BA58" s="115"/>
      <c r="BB58" s="115"/>
      <c r="BC58" s="115"/>
    </row>
    <row r="59">
      <c r="A59" s="139"/>
      <c r="B59" s="139"/>
      <c r="C59" s="674">
        <f>IFERROR(__xludf.DUMMYFUNCTION("""COMPUTED_VALUE"""),2.0)</f>
        <v>2</v>
      </c>
      <c r="D59" s="673" t="str">
        <f>IFERROR(__xludf.DUMMYFUNCTION("""COMPUTED_VALUE"""),"効果値")</f>
        <v>効果値</v>
      </c>
      <c r="E59" s="675">
        <f>IFERROR(__xludf.DUMMYFUNCTION("""COMPUTED_VALUE"""),38.4)</f>
        <v>38.4</v>
      </c>
      <c r="F59" s="139"/>
      <c r="G59" s="139"/>
      <c r="H59" s="139"/>
      <c r="I59" s="139"/>
      <c r="J59" s="139"/>
      <c r="K59" s="139"/>
      <c r="L59" s="139"/>
      <c r="M59" s="139"/>
      <c r="N59" s="674">
        <f>IFERROR(__xludf.DUMMYFUNCTION("""COMPUTED_VALUE"""),2.0)</f>
        <v>2</v>
      </c>
      <c r="O59" s="674" t="str">
        <f>IFERROR(__xludf.DUMMYFUNCTION("""COMPUTED_VALUE"""),"効果値")</f>
        <v>効果値</v>
      </c>
      <c r="P59" s="675">
        <f>IFERROR(__xludf.DUMMYFUNCTION("""COMPUTED_VALUE"""),18.4)</f>
        <v>18.4</v>
      </c>
      <c r="Q59" s="139"/>
      <c r="R59" s="139"/>
      <c r="S59" s="139"/>
      <c r="T59" s="139"/>
      <c r="U59" s="139"/>
      <c r="V59" s="139"/>
      <c r="W59" s="139"/>
      <c r="X59" s="139"/>
      <c r="Y59" s="139"/>
      <c r="Z59" s="139"/>
      <c r="AA59" s="675">
        <f>IFERROR(__xludf.DUMMYFUNCTION("""COMPUTED_VALUE"""),20.0)</f>
        <v>20</v>
      </c>
      <c r="AB59" s="139"/>
      <c r="AC59" s="139"/>
      <c r="AD59" s="139"/>
      <c r="AE59" s="139"/>
      <c r="AF59" s="139"/>
      <c r="AG59" s="139"/>
      <c r="AH59" s="139"/>
      <c r="AI59" s="139"/>
      <c r="AJ59" s="674">
        <f>IFERROR(__xludf.DUMMYFUNCTION("""COMPUTED_VALUE"""),2.0)</f>
        <v>2</v>
      </c>
      <c r="AK59" s="673" t="str">
        <f>IFERROR(__xludf.DUMMYFUNCTION("""COMPUTED_VALUE"""),"効果値(%)")</f>
        <v>効果値(%)</v>
      </c>
      <c r="AL59" s="674">
        <f>IFERROR(__xludf.DUMMYFUNCTION("""COMPUTED_VALUE"""),149.76)</f>
        <v>149.76</v>
      </c>
      <c r="AM59" s="674">
        <f>IFERROR(__xludf.DUMMYFUNCTION("""COMPUTED_VALUE"""),0.0)</f>
        <v>0</v>
      </c>
      <c r="AN59" s="674">
        <f>IFERROR(__xludf.DUMMYFUNCTION("""COMPUTED_VALUE"""),0.0)</f>
        <v>0</v>
      </c>
      <c r="AO59" s="674">
        <f>IFERROR(__xludf.DUMMYFUNCTION("""COMPUTED_VALUE"""),0.0)</f>
        <v>0</v>
      </c>
      <c r="AP59" s="674">
        <f>IFERROR(__xludf.DUMMYFUNCTION("""COMPUTED_VALUE"""),0.0)</f>
        <v>0</v>
      </c>
      <c r="AQ59" s="674">
        <f>IFERROR(__xludf.DUMMYFUNCTION("""COMPUTED_VALUE"""),0.0)</f>
        <v>0</v>
      </c>
      <c r="AR59" s="674">
        <f>IFERROR(__xludf.DUMMYFUNCTION("""COMPUTED_VALUE"""),0.0)</f>
        <v>0</v>
      </c>
      <c r="AS59" s="674">
        <f>IFERROR(__xludf.DUMMYFUNCTION("""COMPUTED_VALUE"""),0.0)</f>
        <v>0</v>
      </c>
      <c r="AT59" s="115"/>
      <c r="AU59" s="115"/>
      <c r="AV59" s="115"/>
      <c r="AW59" s="115"/>
      <c r="AX59" s="115"/>
      <c r="AY59" s="115"/>
      <c r="AZ59" s="115"/>
      <c r="BA59" s="115"/>
      <c r="BB59" s="115"/>
      <c r="BC59" s="115"/>
    </row>
    <row r="60">
      <c r="A60" s="139"/>
      <c r="B60" s="139"/>
      <c r="C60" s="674">
        <f>IFERROR(__xludf.DUMMYFUNCTION("""COMPUTED_VALUE"""),2.0)</f>
        <v>2</v>
      </c>
      <c r="D60" s="673" t="str">
        <f>IFERROR(__xludf.DUMMYFUNCTION("""COMPUTED_VALUE"""),"効果時間")</f>
        <v>効果時間</v>
      </c>
      <c r="E60" s="674">
        <f>IFERROR(__xludf.DUMMYFUNCTION("""COMPUTED_VALUE"""),195.0)</f>
        <v>195</v>
      </c>
      <c r="F60" s="139"/>
      <c r="G60" s="139"/>
      <c r="H60" s="139"/>
      <c r="I60" s="139"/>
      <c r="J60" s="139"/>
      <c r="K60" s="139"/>
      <c r="L60" s="139"/>
      <c r="M60" s="139"/>
      <c r="N60" s="674">
        <f>IFERROR(__xludf.DUMMYFUNCTION("""COMPUTED_VALUE"""),2.0)</f>
        <v>2</v>
      </c>
      <c r="O60" s="674" t="str">
        <f>IFERROR(__xludf.DUMMYFUNCTION("""COMPUTED_VALUE"""),"効果時間")</f>
        <v>効果時間</v>
      </c>
      <c r="P60" s="674">
        <f>IFERROR(__xludf.DUMMYFUNCTION("""COMPUTED_VALUE"""),545.0)</f>
        <v>545</v>
      </c>
      <c r="Q60" s="139"/>
      <c r="R60" s="139"/>
      <c r="S60" s="139"/>
      <c r="T60" s="139"/>
      <c r="U60" s="139"/>
      <c r="V60" s="139"/>
      <c r="W60" s="139"/>
      <c r="X60" s="139"/>
      <c r="Y60" s="139"/>
      <c r="Z60" s="139"/>
      <c r="AA60" s="139"/>
      <c r="AB60" s="139"/>
      <c r="AC60" s="139"/>
      <c r="AD60" s="139"/>
      <c r="AE60" s="139"/>
      <c r="AF60" s="139"/>
      <c r="AG60" s="139"/>
      <c r="AH60" s="139"/>
      <c r="AI60" s="139"/>
      <c r="AJ60" s="674">
        <f>IFERROR(__xludf.DUMMYFUNCTION("""COMPUTED_VALUE"""),2.0)</f>
        <v>2</v>
      </c>
      <c r="AK60" s="673" t="str">
        <f>IFERROR(__xludf.DUMMYFUNCTION("""COMPUTED_VALUE"""),"効果時間(s)")</f>
        <v>効果時間(s)</v>
      </c>
      <c r="AL60" s="675">
        <f>IFERROR(__xludf.DUMMYFUNCTION("""COMPUTED_VALUE"""),3.9)</f>
        <v>3.9</v>
      </c>
      <c r="AM60" s="675">
        <f>IFERROR(__xludf.DUMMYFUNCTION("""COMPUTED_VALUE"""),0.0)</f>
        <v>0</v>
      </c>
      <c r="AN60" s="675">
        <f>IFERROR(__xludf.DUMMYFUNCTION("""COMPUTED_VALUE"""),0.0)</f>
        <v>0</v>
      </c>
      <c r="AO60" s="675">
        <f>IFERROR(__xludf.DUMMYFUNCTION("""COMPUTED_VALUE"""),0.0)</f>
        <v>0</v>
      </c>
      <c r="AP60" s="675">
        <f>IFERROR(__xludf.DUMMYFUNCTION("""COMPUTED_VALUE"""),0.0)</f>
        <v>0</v>
      </c>
      <c r="AQ60" s="675">
        <f>IFERROR(__xludf.DUMMYFUNCTION("""COMPUTED_VALUE"""),0.0)</f>
        <v>0</v>
      </c>
      <c r="AR60" s="675">
        <f>IFERROR(__xludf.DUMMYFUNCTION("""COMPUTED_VALUE"""),0.0)</f>
        <v>0</v>
      </c>
      <c r="AS60" s="675">
        <f>IFERROR(__xludf.DUMMYFUNCTION("""COMPUTED_VALUE"""),0.0)</f>
        <v>0</v>
      </c>
      <c r="AT60" s="115"/>
      <c r="AU60" s="115"/>
      <c r="AV60" s="115"/>
      <c r="AW60" s="115"/>
      <c r="AX60" s="115"/>
      <c r="AY60" s="115"/>
      <c r="AZ60" s="115"/>
      <c r="BA60" s="115"/>
      <c r="BB60" s="115"/>
      <c r="BC60" s="115"/>
    </row>
    <row r="61">
      <c r="A61" s="139"/>
      <c r="B61" s="139"/>
      <c r="C61" s="674">
        <f>IFERROR(__xludf.DUMMYFUNCTION("""COMPUTED_VALUE"""),3.0)</f>
        <v>3</v>
      </c>
      <c r="D61" s="673" t="str">
        <f>IFERROR(__xludf.DUMMYFUNCTION("""COMPUTED_VALUE"""),"効果値")</f>
        <v>効果値</v>
      </c>
      <c r="E61" s="675">
        <f>IFERROR(__xludf.DUMMYFUNCTION("""COMPUTED_VALUE"""),44.0)</f>
        <v>44</v>
      </c>
      <c r="F61" s="139"/>
      <c r="G61" s="139"/>
      <c r="H61" s="139"/>
      <c r="I61" s="139"/>
      <c r="J61" s="139"/>
      <c r="K61" s="139"/>
      <c r="L61" s="139"/>
      <c r="M61" s="139"/>
      <c r="N61" s="674">
        <f>IFERROR(__xludf.DUMMYFUNCTION("""COMPUTED_VALUE"""),3.0)</f>
        <v>3</v>
      </c>
      <c r="O61" s="674" t="str">
        <f>IFERROR(__xludf.DUMMYFUNCTION("""COMPUTED_VALUE"""),"効果値")</f>
        <v>効果値</v>
      </c>
      <c r="P61" s="675">
        <f>IFERROR(__xludf.DUMMYFUNCTION("""COMPUTED_VALUE"""),24.0)</f>
        <v>24</v>
      </c>
      <c r="Q61" s="139"/>
      <c r="R61" s="139"/>
      <c r="S61" s="139"/>
      <c r="T61" s="139"/>
      <c r="U61" s="139"/>
      <c r="V61" s="139"/>
      <c r="W61" s="139"/>
      <c r="X61" s="139"/>
      <c r="Y61" s="139"/>
      <c r="Z61" s="139"/>
      <c r="AA61" s="675">
        <f>IFERROR(__xludf.DUMMYFUNCTION("""COMPUTED_VALUE"""),20.0)</f>
        <v>20</v>
      </c>
      <c r="AB61" s="139"/>
      <c r="AC61" s="139"/>
      <c r="AD61" s="139"/>
      <c r="AE61" s="139"/>
      <c r="AF61" s="139"/>
      <c r="AG61" s="139"/>
      <c r="AH61" s="139"/>
      <c r="AI61" s="139"/>
      <c r="AJ61" s="674">
        <f>IFERROR(__xludf.DUMMYFUNCTION("""COMPUTED_VALUE"""),3.0)</f>
        <v>3</v>
      </c>
      <c r="AK61" s="673" t="str">
        <f>IFERROR(__xludf.DUMMYFUNCTION("""COMPUTED_VALUE"""),"効果値(%)")</f>
        <v>効果値(%)</v>
      </c>
      <c r="AL61" s="674">
        <f>IFERROR(__xludf.DUMMYFUNCTION("""COMPUTED_VALUE"""),193.60000000000002)</f>
        <v>193.6</v>
      </c>
      <c r="AM61" s="674">
        <f>IFERROR(__xludf.DUMMYFUNCTION("""COMPUTED_VALUE"""),0.0)</f>
        <v>0</v>
      </c>
      <c r="AN61" s="674">
        <f>IFERROR(__xludf.DUMMYFUNCTION("""COMPUTED_VALUE"""),0.0)</f>
        <v>0</v>
      </c>
      <c r="AO61" s="674">
        <f>IFERROR(__xludf.DUMMYFUNCTION("""COMPUTED_VALUE"""),0.0)</f>
        <v>0</v>
      </c>
      <c r="AP61" s="674">
        <f>IFERROR(__xludf.DUMMYFUNCTION("""COMPUTED_VALUE"""),0.0)</f>
        <v>0</v>
      </c>
      <c r="AQ61" s="674">
        <f>IFERROR(__xludf.DUMMYFUNCTION("""COMPUTED_VALUE"""),0.0)</f>
        <v>0</v>
      </c>
      <c r="AR61" s="674">
        <f>IFERROR(__xludf.DUMMYFUNCTION("""COMPUTED_VALUE"""),0.0)</f>
        <v>0</v>
      </c>
      <c r="AS61" s="674">
        <f>IFERROR(__xludf.DUMMYFUNCTION("""COMPUTED_VALUE"""),0.0)</f>
        <v>0</v>
      </c>
      <c r="AT61" s="115"/>
      <c r="AU61" s="115"/>
      <c r="AV61" s="115"/>
      <c r="AW61" s="115"/>
      <c r="AX61" s="115"/>
      <c r="AY61" s="115"/>
      <c r="AZ61" s="115"/>
      <c r="BA61" s="115"/>
      <c r="BB61" s="115"/>
      <c r="BC61" s="115"/>
    </row>
    <row r="62">
      <c r="A62" s="139"/>
      <c r="B62" s="139"/>
      <c r="C62" s="674">
        <f>IFERROR(__xludf.DUMMYFUNCTION("""COMPUTED_VALUE"""),3.0)</f>
        <v>3</v>
      </c>
      <c r="D62" s="673" t="str">
        <f>IFERROR(__xludf.DUMMYFUNCTION("""COMPUTED_VALUE"""),"効果時間")</f>
        <v>効果時間</v>
      </c>
      <c r="E62" s="674">
        <f>IFERROR(__xludf.DUMMYFUNCTION("""COMPUTED_VALUE"""),220.0)</f>
        <v>220</v>
      </c>
      <c r="F62" s="139"/>
      <c r="G62" s="139"/>
      <c r="H62" s="139"/>
      <c r="I62" s="139"/>
      <c r="J62" s="139"/>
      <c r="K62" s="139"/>
      <c r="L62" s="139"/>
      <c r="M62" s="139"/>
      <c r="N62" s="674">
        <f>IFERROR(__xludf.DUMMYFUNCTION("""COMPUTED_VALUE"""),3.0)</f>
        <v>3</v>
      </c>
      <c r="O62" s="674" t="str">
        <f>IFERROR(__xludf.DUMMYFUNCTION("""COMPUTED_VALUE"""),"効果時間")</f>
        <v>効果時間</v>
      </c>
      <c r="P62" s="674">
        <f>IFERROR(__xludf.DUMMYFUNCTION("""COMPUTED_VALUE"""),570.0)</f>
        <v>570</v>
      </c>
      <c r="Q62" s="139"/>
      <c r="R62" s="139"/>
      <c r="S62" s="139"/>
      <c r="T62" s="139"/>
      <c r="U62" s="139"/>
      <c r="V62" s="139"/>
      <c r="W62" s="139"/>
      <c r="X62" s="139"/>
      <c r="Y62" s="139"/>
      <c r="Z62" s="139"/>
      <c r="AA62" s="139"/>
      <c r="AB62" s="139"/>
      <c r="AC62" s="139"/>
      <c r="AD62" s="139"/>
      <c r="AE62" s="139"/>
      <c r="AF62" s="139"/>
      <c r="AG62" s="139"/>
      <c r="AH62" s="139"/>
      <c r="AI62" s="139"/>
      <c r="AJ62" s="674">
        <f>IFERROR(__xludf.DUMMYFUNCTION("""COMPUTED_VALUE"""),3.0)</f>
        <v>3</v>
      </c>
      <c r="AK62" s="673" t="str">
        <f>IFERROR(__xludf.DUMMYFUNCTION("""COMPUTED_VALUE"""),"効果時間(s)")</f>
        <v>効果時間(s)</v>
      </c>
      <c r="AL62" s="675">
        <f>IFERROR(__xludf.DUMMYFUNCTION("""COMPUTED_VALUE"""),4.4)</f>
        <v>4.4</v>
      </c>
      <c r="AM62" s="675">
        <f>IFERROR(__xludf.DUMMYFUNCTION("""COMPUTED_VALUE"""),0.0)</f>
        <v>0</v>
      </c>
      <c r="AN62" s="675">
        <f>IFERROR(__xludf.DUMMYFUNCTION("""COMPUTED_VALUE"""),0.0)</f>
        <v>0</v>
      </c>
      <c r="AO62" s="675">
        <f>IFERROR(__xludf.DUMMYFUNCTION("""COMPUTED_VALUE"""),0.0)</f>
        <v>0</v>
      </c>
      <c r="AP62" s="675">
        <f>IFERROR(__xludf.DUMMYFUNCTION("""COMPUTED_VALUE"""),0.0)</f>
        <v>0</v>
      </c>
      <c r="AQ62" s="675">
        <f>IFERROR(__xludf.DUMMYFUNCTION("""COMPUTED_VALUE"""),0.0)</f>
        <v>0</v>
      </c>
      <c r="AR62" s="675">
        <f>IFERROR(__xludf.DUMMYFUNCTION("""COMPUTED_VALUE"""),0.0)</f>
        <v>0</v>
      </c>
      <c r="AS62" s="675">
        <f>IFERROR(__xludf.DUMMYFUNCTION("""COMPUTED_VALUE"""),0.0)</f>
        <v>0</v>
      </c>
      <c r="AT62" s="115"/>
      <c r="AU62" s="115"/>
      <c r="AV62" s="115"/>
      <c r="AW62" s="115"/>
      <c r="AX62" s="115"/>
      <c r="AY62" s="115"/>
      <c r="AZ62" s="115"/>
      <c r="BA62" s="115"/>
      <c r="BB62" s="115"/>
      <c r="BC62" s="115"/>
    </row>
    <row r="63">
      <c r="A63" s="139"/>
      <c r="B63" s="139"/>
      <c r="C63" s="674">
        <f>IFERROR(__xludf.DUMMYFUNCTION("""COMPUTED_VALUE"""),4.0)</f>
        <v>4</v>
      </c>
      <c r="D63" s="673" t="str">
        <f>IFERROR(__xludf.DUMMYFUNCTION("""COMPUTED_VALUE"""),"効果値")</f>
        <v>効果値</v>
      </c>
      <c r="E63" s="675">
        <f>IFERROR(__xludf.DUMMYFUNCTION("""COMPUTED_VALUE"""),47.6)</f>
        <v>47.6</v>
      </c>
      <c r="F63" s="139"/>
      <c r="G63" s="139"/>
      <c r="H63" s="139"/>
      <c r="I63" s="139"/>
      <c r="J63" s="139"/>
      <c r="K63" s="139"/>
      <c r="L63" s="139"/>
      <c r="M63" s="139"/>
      <c r="N63" s="674">
        <f>IFERROR(__xludf.DUMMYFUNCTION("""COMPUTED_VALUE"""),4.0)</f>
        <v>4</v>
      </c>
      <c r="O63" s="674" t="str">
        <f>IFERROR(__xludf.DUMMYFUNCTION("""COMPUTED_VALUE"""),"効果値")</f>
        <v>効果値</v>
      </c>
      <c r="P63" s="675">
        <f>IFERROR(__xludf.DUMMYFUNCTION("""COMPUTED_VALUE"""),27.6)</f>
        <v>27.6</v>
      </c>
      <c r="Q63" s="139"/>
      <c r="R63" s="139"/>
      <c r="S63" s="139"/>
      <c r="T63" s="139"/>
      <c r="U63" s="139"/>
      <c r="V63" s="139"/>
      <c r="W63" s="139"/>
      <c r="X63" s="139"/>
      <c r="Y63" s="139"/>
      <c r="Z63" s="139"/>
      <c r="AA63" s="675">
        <f>IFERROR(__xludf.DUMMYFUNCTION("""COMPUTED_VALUE"""),20.0)</f>
        <v>20</v>
      </c>
      <c r="AB63" s="139"/>
      <c r="AC63" s="139"/>
      <c r="AD63" s="139"/>
      <c r="AE63" s="139"/>
      <c r="AF63" s="139"/>
      <c r="AG63" s="139"/>
      <c r="AH63" s="139"/>
      <c r="AI63" s="139"/>
      <c r="AJ63" s="674">
        <f>IFERROR(__xludf.DUMMYFUNCTION("""COMPUTED_VALUE"""),4.0)</f>
        <v>4</v>
      </c>
      <c r="AK63" s="673" t="str">
        <f>IFERROR(__xludf.DUMMYFUNCTION("""COMPUTED_VALUE"""),"効果値(%)")</f>
        <v>効果値(%)</v>
      </c>
      <c r="AL63" s="674">
        <f>IFERROR(__xludf.DUMMYFUNCTION("""COMPUTED_VALUE"""),228.48)</f>
        <v>228.48</v>
      </c>
      <c r="AM63" s="674">
        <f>IFERROR(__xludf.DUMMYFUNCTION("""COMPUTED_VALUE"""),0.0)</f>
        <v>0</v>
      </c>
      <c r="AN63" s="674">
        <f>IFERROR(__xludf.DUMMYFUNCTION("""COMPUTED_VALUE"""),0.0)</f>
        <v>0</v>
      </c>
      <c r="AO63" s="674">
        <f>IFERROR(__xludf.DUMMYFUNCTION("""COMPUTED_VALUE"""),0.0)</f>
        <v>0</v>
      </c>
      <c r="AP63" s="674">
        <f>IFERROR(__xludf.DUMMYFUNCTION("""COMPUTED_VALUE"""),0.0)</f>
        <v>0</v>
      </c>
      <c r="AQ63" s="674">
        <f>IFERROR(__xludf.DUMMYFUNCTION("""COMPUTED_VALUE"""),0.0)</f>
        <v>0</v>
      </c>
      <c r="AR63" s="674">
        <f>IFERROR(__xludf.DUMMYFUNCTION("""COMPUTED_VALUE"""),0.0)</f>
        <v>0</v>
      </c>
      <c r="AS63" s="674">
        <f>IFERROR(__xludf.DUMMYFUNCTION("""COMPUTED_VALUE"""),0.0)</f>
        <v>0</v>
      </c>
      <c r="AT63" s="115"/>
      <c r="AU63" s="115"/>
      <c r="AV63" s="115"/>
      <c r="AW63" s="115"/>
      <c r="AX63" s="115"/>
      <c r="AY63" s="115"/>
      <c r="AZ63" s="115"/>
      <c r="BA63" s="115"/>
      <c r="BB63" s="115"/>
      <c r="BC63" s="115"/>
    </row>
    <row r="64">
      <c r="A64" s="139"/>
      <c r="B64" s="139"/>
      <c r="C64" s="674">
        <f>IFERROR(__xludf.DUMMYFUNCTION("""COMPUTED_VALUE"""),4.0)</f>
        <v>4</v>
      </c>
      <c r="D64" s="673" t="str">
        <f>IFERROR(__xludf.DUMMYFUNCTION("""COMPUTED_VALUE"""),"効果時間")</f>
        <v>効果時間</v>
      </c>
      <c r="E64" s="674">
        <f>IFERROR(__xludf.DUMMYFUNCTION("""COMPUTED_VALUE"""),240.0)</f>
        <v>240</v>
      </c>
      <c r="F64" s="139"/>
      <c r="G64" s="139"/>
      <c r="H64" s="139"/>
      <c r="I64" s="139"/>
      <c r="J64" s="139"/>
      <c r="K64" s="139"/>
      <c r="L64" s="139"/>
      <c r="M64" s="139"/>
      <c r="N64" s="674">
        <f>IFERROR(__xludf.DUMMYFUNCTION("""COMPUTED_VALUE"""),4.0)</f>
        <v>4</v>
      </c>
      <c r="O64" s="674" t="str">
        <f>IFERROR(__xludf.DUMMYFUNCTION("""COMPUTED_VALUE"""),"効果時間")</f>
        <v>効果時間</v>
      </c>
      <c r="P64" s="674">
        <f>IFERROR(__xludf.DUMMYFUNCTION("""COMPUTED_VALUE"""),590.0)</f>
        <v>590</v>
      </c>
      <c r="Q64" s="139"/>
      <c r="R64" s="139"/>
      <c r="S64" s="139"/>
      <c r="T64" s="139"/>
      <c r="U64" s="139"/>
      <c r="V64" s="139"/>
      <c r="W64" s="139"/>
      <c r="X64" s="139"/>
      <c r="Y64" s="139"/>
      <c r="Z64" s="139"/>
      <c r="AA64" s="139"/>
      <c r="AB64" s="139"/>
      <c r="AC64" s="139"/>
      <c r="AD64" s="139"/>
      <c r="AE64" s="139"/>
      <c r="AF64" s="139"/>
      <c r="AG64" s="139"/>
      <c r="AH64" s="139"/>
      <c r="AI64" s="139"/>
      <c r="AJ64" s="674">
        <f>IFERROR(__xludf.DUMMYFUNCTION("""COMPUTED_VALUE"""),4.0)</f>
        <v>4</v>
      </c>
      <c r="AK64" s="673" t="str">
        <f>IFERROR(__xludf.DUMMYFUNCTION("""COMPUTED_VALUE"""),"効果時間(s)")</f>
        <v>効果時間(s)</v>
      </c>
      <c r="AL64" s="675">
        <f>IFERROR(__xludf.DUMMYFUNCTION("""COMPUTED_VALUE"""),4.8)</f>
        <v>4.8</v>
      </c>
      <c r="AM64" s="675">
        <f>IFERROR(__xludf.DUMMYFUNCTION("""COMPUTED_VALUE"""),0.0)</f>
        <v>0</v>
      </c>
      <c r="AN64" s="675">
        <f>IFERROR(__xludf.DUMMYFUNCTION("""COMPUTED_VALUE"""),0.0)</f>
        <v>0</v>
      </c>
      <c r="AO64" s="675">
        <f>IFERROR(__xludf.DUMMYFUNCTION("""COMPUTED_VALUE"""),0.0)</f>
        <v>0</v>
      </c>
      <c r="AP64" s="675">
        <f>IFERROR(__xludf.DUMMYFUNCTION("""COMPUTED_VALUE"""),0.0)</f>
        <v>0</v>
      </c>
      <c r="AQ64" s="675">
        <f>IFERROR(__xludf.DUMMYFUNCTION("""COMPUTED_VALUE"""),0.0)</f>
        <v>0</v>
      </c>
      <c r="AR64" s="675">
        <f>IFERROR(__xludf.DUMMYFUNCTION("""COMPUTED_VALUE"""),0.0)</f>
        <v>0</v>
      </c>
      <c r="AS64" s="675">
        <f>IFERROR(__xludf.DUMMYFUNCTION("""COMPUTED_VALUE"""),0.0)</f>
        <v>0</v>
      </c>
      <c r="AT64" s="115"/>
      <c r="AU64" s="115"/>
      <c r="AV64" s="115"/>
      <c r="AW64" s="115"/>
      <c r="AX64" s="115"/>
      <c r="AY64" s="115"/>
      <c r="AZ64" s="115"/>
      <c r="BA64" s="115"/>
      <c r="BB64" s="115"/>
      <c r="BC64" s="115"/>
    </row>
    <row r="65">
      <c r="A65" s="139"/>
      <c r="B65" s="139"/>
      <c r="C65" s="674">
        <f>IFERROR(__xludf.DUMMYFUNCTION("""COMPUTED_VALUE"""),5.0)</f>
        <v>5</v>
      </c>
      <c r="D65" s="673" t="str">
        <f>IFERROR(__xludf.DUMMYFUNCTION("""COMPUTED_VALUE"""),"効果値")</f>
        <v>効果値</v>
      </c>
      <c r="E65" s="675">
        <f>IFERROR(__xludf.DUMMYFUNCTION("""COMPUTED_VALUE"""),50.0)</f>
        <v>50</v>
      </c>
      <c r="F65" s="139"/>
      <c r="G65" s="139"/>
      <c r="H65" s="139"/>
      <c r="I65" s="139"/>
      <c r="J65" s="139"/>
      <c r="K65" s="139"/>
      <c r="L65" s="139"/>
      <c r="M65" s="139"/>
      <c r="N65" s="674">
        <f>IFERROR(__xludf.DUMMYFUNCTION("""COMPUTED_VALUE"""),5.0)</f>
        <v>5</v>
      </c>
      <c r="O65" s="674" t="str">
        <f>IFERROR(__xludf.DUMMYFUNCTION("""COMPUTED_VALUE"""),"効果値")</f>
        <v>効果値</v>
      </c>
      <c r="P65" s="675">
        <f>IFERROR(__xludf.DUMMYFUNCTION("""COMPUTED_VALUE"""),30.0)</f>
        <v>30</v>
      </c>
      <c r="Q65" s="139"/>
      <c r="R65" s="139"/>
      <c r="S65" s="139"/>
      <c r="T65" s="139"/>
      <c r="U65" s="139"/>
      <c r="V65" s="139"/>
      <c r="W65" s="139"/>
      <c r="X65" s="139"/>
      <c r="Y65" s="139"/>
      <c r="Z65" s="139"/>
      <c r="AA65" s="675">
        <f>IFERROR(__xludf.DUMMYFUNCTION("""COMPUTED_VALUE"""),20.0)</f>
        <v>20</v>
      </c>
      <c r="AB65" s="139"/>
      <c r="AC65" s="139"/>
      <c r="AD65" s="139"/>
      <c r="AE65" s="139"/>
      <c r="AF65" s="139"/>
      <c r="AG65" s="139"/>
      <c r="AH65" s="139"/>
      <c r="AI65" s="139"/>
      <c r="AJ65" s="674">
        <f>IFERROR(__xludf.DUMMYFUNCTION("""COMPUTED_VALUE"""),5.0)</f>
        <v>5</v>
      </c>
      <c r="AK65" s="673" t="str">
        <f>IFERROR(__xludf.DUMMYFUNCTION("""COMPUTED_VALUE"""),"効果値(%)")</f>
        <v>効果値(%)</v>
      </c>
      <c r="AL65" s="674">
        <f>IFERROR(__xludf.DUMMYFUNCTION("""COMPUTED_VALUE"""),600.0)</f>
        <v>600</v>
      </c>
      <c r="AM65" s="674">
        <f>IFERROR(__xludf.DUMMYFUNCTION("""COMPUTED_VALUE"""),0.0)</f>
        <v>0</v>
      </c>
      <c r="AN65" s="674">
        <f>IFERROR(__xludf.DUMMYFUNCTION("""COMPUTED_VALUE"""),0.0)</f>
        <v>0</v>
      </c>
      <c r="AO65" s="674">
        <f>IFERROR(__xludf.DUMMYFUNCTION("""COMPUTED_VALUE"""),0.0)</f>
        <v>0</v>
      </c>
      <c r="AP65" s="674">
        <f>IFERROR(__xludf.DUMMYFUNCTION("""COMPUTED_VALUE"""),0.0)</f>
        <v>0</v>
      </c>
      <c r="AQ65" s="674">
        <f>IFERROR(__xludf.DUMMYFUNCTION("""COMPUTED_VALUE"""),0.0)</f>
        <v>0</v>
      </c>
      <c r="AR65" s="674">
        <f>IFERROR(__xludf.DUMMYFUNCTION("""COMPUTED_VALUE"""),0.0)</f>
        <v>0</v>
      </c>
      <c r="AS65" s="674">
        <f>IFERROR(__xludf.DUMMYFUNCTION("""COMPUTED_VALUE"""),0.0)</f>
        <v>0</v>
      </c>
      <c r="AT65" s="115"/>
      <c r="AU65" s="115"/>
      <c r="AV65" s="115"/>
      <c r="AW65" s="115"/>
      <c r="AX65" s="115"/>
      <c r="AY65" s="115"/>
      <c r="AZ65" s="115"/>
      <c r="BA65" s="115"/>
      <c r="BB65" s="115"/>
      <c r="BC65" s="115"/>
    </row>
    <row r="66">
      <c r="A66" s="139"/>
      <c r="B66" s="139"/>
      <c r="C66" s="674">
        <f>IFERROR(__xludf.DUMMYFUNCTION("""COMPUTED_VALUE"""),5.0)</f>
        <v>5</v>
      </c>
      <c r="D66" s="673" t="str">
        <f>IFERROR(__xludf.DUMMYFUNCTION("""COMPUTED_VALUE"""),"効果時間")</f>
        <v>効果時間</v>
      </c>
      <c r="E66" s="674">
        <f>IFERROR(__xludf.DUMMYFUNCTION("""COMPUTED_VALUE"""),600.0)</f>
        <v>600</v>
      </c>
      <c r="F66" s="139"/>
      <c r="G66" s="139"/>
      <c r="H66" s="139"/>
      <c r="I66" s="139"/>
      <c r="J66" s="139"/>
      <c r="K66" s="139"/>
      <c r="L66" s="139"/>
      <c r="M66" s="139"/>
      <c r="N66" s="674">
        <f>IFERROR(__xludf.DUMMYFUNCTION("""COMPUTED_VALUE"""),5.0)</f>
        <v>5</v>
      </c>
      <c r="O66" s="674" t="str">
        <f>IFERROR(__xludf.DUMMYFUNCTION("""COMPUTED_VALUE"""),"効果時間")</f>
        <v>効果時間</v>
      </c>
      <c r="P66" s="674">
        <f>IFERROR(__xludf.DUMMYFUNCTION("""COMPUTED_VALUE"""),600.0)</f>
        <v>600</v>
      </c>
      <c r="Q66" s="139"/>
      <c r="R66" s="139"/>
      <c r="S66" s="139"/>
      <c r="T66" s="139"/>
      <c r="U66" s="139"/>
      <c r="V66" s="139"/>
      <c r="W66" s="139"/>
      <c r="X66" s="139"/>
      <c r="Y66" s="139"/>
      <c r="Z66" s="139"/>
      <c r="AA66" s="139"/>
      <c r="AB66" s="139"/>
      <c r="AC66" s="139"/>
      <c r="AD66" s="139"/>
      <c r="AE66" s="139"/>
      <c r="AF66" s="139"/>
      <c r="AG66" s="139"/>
      <c r="AH66" s="139"/>
      <c r="AI66" s="139"/>
      <c r="AJ66" s="674">
        <f>IFERROR(__xludf.DUMMYFUNCTION("""COMPUTED_VALUE"""),5.0)</f>
        <v>5</v>
      </c>
      <c r="AK66" s="673" t="str">
        <f>IFERROR(__xludf.DUMMYFUNCTION("""COMPUTED_VALUE"""),"効果時間(s)")</f>
        <v>効果時間(s)</v>
      </c>
      <c r="AL66" s="675">
        <f>IFERROR(__xludf.DUMMYFUNCTION("""COMPUTED_VALUE"""),12.0)</f>
        <v>12</v>
      </c>
      <c r="AM66" s="675">
        <f>IFERROR(__xludf.DUMMYFUNCTION("""COMPUTED_VALUE"""),0.0)</f>
        <v>0</v>
      </c>
      <c r="AN66" s="675">
        <f>IFERROR(__xludf.DUMMYFUNCTION("""COMPUTED_VALUE"""),0.0)</f>
        <v>0</v>
      </c>
      <c r="AO66" s="675">
        <f>IFERROR(__xludf.DUMMYFUNCTION("""COMPUTED_VALUE"""),0.0)</f>
        <v>0</v>
      </c>
      <c r="AP66" s="675">
        <f>IFERROR(__xludf.DUMMYFUNCTION("""COMPUTED_VALUE"""),0.0)</f>
        <v>0</v>
      </c>
      <c r="AQ66" s="675">
        <f>IFERROR(__xludf.DUMMYFUNCTION("""COMPUTED_VALUE"""),0.0)</f>
        <v>0</v>
      </c>
      <c r="AR66" s="675">
        <f>IFERROR(__xludf.DUMMYFUNCTION("""COMPUTED_VALUE"""),0.0)</f>
        <v>0</v>
      </c>
      <c r="AS66" s="675">
        <f>IFERROR(__xludf.DUMMYFUNCTION("""COMPUTED_VALUE"""),0.0)</f>
        <v>0</v>
      </c>
      <c r="AT66" s="115"/>
      <c r="AU66" s="115"/>
      <c r="AV66" s="115"/>
      <c r="AW66" s="115"/>
      <c r="AX66" s="115"/>
      <c r="AY66" s="115"/>
      <c r="AZ66" s="115"/>
      <c r="BA66" s="115"/>
      <c r="BB66" s="115"/>
      <c r="BC66" s="115"/>
    </row>
    <row r="67">
      <c r="A67" s="673" t="str">
        <f>IFERROR(__xludf.DUMMYFUNCTION("""COMPUTED_VALUE"""),"コマ指定：固定ダメージ")</f>
        <v>コマ指定：固定ダメージ</v>
      </c>
      <c r="B67" s="139"/>
      <c r="C67" s="674">
        <f>IFERROR(__xludf.DUMMYFUNCTION("""COMPUTED_VALUE"""),1.0)</f>
        <v>1</v>
      </c>
      <c r="D67" s="673" t="str">
        <f>IFERROR(__xludf.DUMMYFUNCTION("""COMPUTED_VALUE"""),"効果値")</f>
        <v>効果値</v>
      </c>
      <c r="E67" s="139"/>
      <c r="F67" s="139"/>
      <c r="G67" s="139"/>
      <c r="H67" s="139"/>
      <c r="I67" s="139"/>
      <c r="J67" s="139"/>
      <c r="K67" s="139"/>
      <c r="L67" s="139"/>
      <c r="M67" s="139"/>
      <c r="N67" s="674">
        <f>IFERROR(__xludf.DUMMYFUNCTION("""COMPUTED_VALUE"""),1.0)</f>
        <v>1</v>
      </c>
      <c r="O67" s="673" t="str">
        <f>IFERROR(__xludf.DUMMYFUNCTION("""COMPUTED_VALUE"""),"効果値")</f>
        <v>効果値</v>
      </c>
      <c r="P67" s="139"/>
      <c r="Q67" s="139"/>
      <c r="R67" s="139"/>
      <c r="S67" s="139"/>
      <c r="T67" s="139"/>
      <c r="U67" s="139"/>
      <c r="V67" s="139"/>
      <c r="W67" s="139"/>
      <c r="X67" s="139"/>
      <c r="Y67" s="674">
        <f>IFERROR(__xludf.DUMMYFUNCTION("""COMPUTED_VALUE"""),1.0)</f>
        <v>1</v>
      </c>
      <c r="Z67" s="673" t="str">
        <f>IFERROR(__xludf.DUMMYFUNCTION("""COMPUTED_VALUE"""),"効果値")</f>
        <v>効果値</v>
      </c>
      <c r="AA67" s="139"/>
      <c r="AB67" s="139"/>
      <c r="AC67" s="139"/>
      <c r="AD67" s="139"/>
      <c r="AE67" s="139"/>
      <c r="AF67" s="139"/>
      <c r="AG67" s="139"/>
      <c r="AH67" s="139"/>
      <c r="AI67" s="139"/>
      <c r="AJ67" s="674">
        <f>IFERROR(__xludf.DUMMYFUNCTION("""COMPUTED_VALUE"""),1.0)</f>
        <v>1</v>
      </c>
      <c r="AK67" s="673" t="str">
        <f>IFERROR(__xludf.DUMMYFUNCTION("""COMPUTED_VALUE"""),"効果値")</f>
        <v>効果値</v>
      </c>
      <c r="AL67" s="139"/>
      <c r="AM67" s="139"/>
      <c r="AN67" s="139"/>
      <c r="AO67" s="139"/>
      <c r="AP67" s="139"/>
      <c r="AQ67" s="139"/>
      <c r="AR67" s="139"/>
      <c r="AS67" s="139"/>
      <c r="AT67" s="115"/>
      <c r="AU67" s="115"/>
      <c r="AV67" s="115"/>
      <c r="AW67" s="115"/>
      <c r="AX67" s="115"/>
      <c r="AY67" s="115"/>
      <c r="AZ67" s="115"/>
      <c r="BA67" s="115"/>
      <c r="BB67" s="115"/>
      <c r="BC67" s="115"/>
    </row>
    <row r="68">
      <c r="A68" s="673" t="str">
        <f>IFERROR(__xludf.DUMMYFUNCTION("""COMPUTED_VALUE"""),"※スペシャル専用")</f>
        <v>※スペシャル専用</v>
      </c>
      <c r="B68" s="139"/>
      <c r="C68" s="674">
        <f>IFERROR(__xludf.DUMMYFUNCTION("""COMPUTED_VALUE"""),1.0)</f>
        <v>1</v>
      </c>
      <c r="D68" s="673" t="str">
        <f>IFERROR(__xludf.DUMMYFUNCTION("""COMPUTED_VALUE"""),"効果時間")</f>
        <v>効果時間</v>
      </c>
      <c r="E68" s="139"/>
      <c r="F68" s="139"/>
      <c r="G68" s="139"/>
      <c r="H68" s="139"/>
      <c r="I68" s="139"/>
      <c r="J68" s="139"/>
      <c r="K68" s="139"/>
      <c r="L68" s="139"/>
      <c r="M68" s="139"/>
      <c r="N68" s="674">
        <f>IFERROR(__xludf.DUMMYFUNCTION("""COMPUTED_VALUE"""),1.0)</f>
        <v>1</v>
      </c>
      <c r="O68" s="673" t="str">
        <f>IFERROR(__xludf.DUMMYFUNCTION("""COMPUTED_VALUE"""),"効果時間")</f>
        <v>効果時間</v>
      </c>
      <c r="P68" s="139"/>
      <c r="Q68" s="139"/>
      <c r="R68" s="139"/>
      <c r="S68" s="139"/>
      <c r="T68" s="139"/>
      <c r="U68" s="139"/>
      <c r="V68" s="139"/>
      <c r="W68" s="139"/>
      <c r="X68" s="139"/>
      <c r="Y68" s="674">
        <f>IFERROR(__xludf.DUMMYFUNCTION("""COMPUTED_VALUE"""),1.0)</f>
        <v>1</v>
      </c>
      <c r="Z68" s="673" t="str">
        <f>IFERROR(__xludf.DUMMYFUNCTION("""COMPUTED_VALUE"""),"効果時間")</f>
        <v>効果時間</v>
      </c>
      <c r="AA68" s="139"/>
      <c r="AB68" s="139"/>
      <c r="AC68" s="139"/>
      <c r="AD68" s="139"/>
      <c r="AE68" s="139"/>
      <c r="AF68" s="139"/>
      <c r="AG68" s="139"/>
      <c r="AH68" s="139"/>
      <c r="AI68" s="139"/>
      <c r="AJ68" s="674">
        <f>IFERROR(__xludf.DUMMYFUNCTION("""COMPUTED_VALUE"""),1.0)</f>
        <v>1</v>
      </c>
      <c r="AK68" s="673" t="str">
        <f>IFERROR(__xludf.DUMMYFUNCTION("""COMPUTED_VALUE"""),"効果時間")</f>
        <v>効果時間</v>
      </c>
      <c r="AL68" s="139"/>
      <c r="AM68" s="139"/>
      <c r="AN68" s="139"/>
      <c r="AO68" s="139"/>
      <c r="AP68" s="139"/>
      <c r="AQ68" s="139"/>
      <c r="AR68" s="139"/>
      <c r="AS68" s="139"/>
      <c r="AT68" s="115"/>
      <c r="AU68" s="115"/>
      <c r="AV68" s="115"/>
      <c r="AW68" s="115"/>
      <c r="AX68" s="115"/>
      <c r="AY68" s="115"/>
      <c r="AZ68" s="115"/>
      <c r="BA68" s="115"/>
      <c r="BB68" s="115"/>
      <c r="BC68" s="115"/>
    </row>
    <row r="69">
      <c r="A69" s="673" t="str">
        <f>IFERROR(__xludf.DUMMYFUNCTION("""COMPUTED_VALUE"""),"※SSR以上に設定可能")</f>
        <v>※SSR以上に設定可能</v>
      </c>
      <c r="B69" s="139"/>
      <c r="C69" s="674">
        <f>IFERROR(__xludf.DUMMYFUNCTION("""COMPUTED_VALUE"""),2.0)</f>
        <v>2</v>
      </c>
      <c r="D69" s="673" t="str">
        <f>IFERROR(__xludf.DUMMYFUNCTION("""COMPUTED_VALUE"""),"効果値")</f>
        <v>効果値</v>
      </c>
      <c r="E69" s="139"/>
      <c r="F69" s="139"/>
      <c r="G69" s="139"/>
      <c r="H69" s="139"/>
      <c r="I69" s="139"/>
      <c r="J69" s="139"/>
      <c r="K69" s="139"/>
      <c r="L69" s="139"/>
      <c r="M69" s="139"/>
      <c r="N69" s="674">
        <f>IFERROR(__xludf.DUMMYFUNCTION("""COMPUTED_VALUE"""),2.0)</f>
        <v>2</v>
      </c>
      <c r="O69" s="673" t="str">
        <f>IFERROR(__xludf.DUMMYFUNCTION("""COMPUTED_VALUE"""),"効果値")</f>
        <v>効果値</v>
      </c>
      <c r="P69" s="139"/>
      <c r="Q69" s="139"/>
      <c r="R69" s="139"/>
      <c r="S69" s="139"/>
      <c r="T69" s="139"/>
      <c r="U69" s="139"/>
      <c r="V69" s="139"/>
      <c r="W69" s="139"/>
      <c r="X69" s="139"/>
      <c r="Y69" s="674">
        <f>IFERROR(__xludf.DUMMYFUNCTION("""COMPUTED_VALUE"""),2.0)</f>
        <v>2</v>
      </c>
      <c r="Z69" s="673" t="str">
        <f>IFERROR(__xludf.DUMMYFUNCTION("""COMPUTED_VALUE"""),"効果値")</f>
        <v>効果値</v>
      </c>
      <c r="AA69" s="139"/>
      <c r="AB69" s="139"/>
      <c r="AC69" s="139"/>
      <c r="AD69" s="139"/>
      <c r="AE69" s="139"/>
      <c r="AF69" s="139"/>
      <c r="AG69" s="139"/>
      <c r="AH69" s="139"/>
      <c r="AI69" s="139"/>
      <c r="AJ69" s="674">
        <f>IFERROR(__xludf.DUMMYFUNCTION("""COMPUTED_VALUE"""),2.0)</f>
        <v>2</v>
      </c>
      <c r="AK69" s="673" t="str">
        <f>IFERROR(__xludf.DUMMYFUNCTION("""COMPUTED_VALUE"""),"効果値")</f>
        <v>効果値</v>
      </c>
      <c r="AL69" s="139"/>
      <c r="AM69" s="139"/>
      <c r="AN69" s="139"/>
      <c r="AO69" s="139"/>
      <c r="AP69" s="139"/>
      <c r="AQ69" s="139"/>
      <c r="AR69" s="139"/>
      <c r="AS69" s="139"/>
      <c r="AT69" s="115"/>
      <c r="AU69" s="115"/>
      <c r="AV69" s="115"/>
      <c r="AW69" s="115"/>
      <c r="AX69" s="115"/>
      <c r="AY69" s="115"/>
      <c r="AZ69" s="115"/>
      <c r="BA69" s="115"/>
      <c r="BB69" s="115"/>
      <c r="BC69" s="115"/>
    </row>
    <row r="70">
      <c r="A70" s="139"/>
      <c r="B70" s="139"/>
      <c r="C70" s="674">
        <f>IFERROR(__xludf.DUMMYFUNCTION("""COMPUTED_VALUE"""),2.0)</f>
        <v>2</v>
      </c>
      <c r="D70" s="673" t="str">
        <f>IFERROR(__xludf.DUMMYFUNCTION("""COMPUTED_VALUE"""),"効果時間")</f>
        <v>効果時間</v>
      </c>
      <c r="E70" s="139"/>
      <c r="F70" s="139"/>
      <c r="G70" s="139"/>
      <c r="H70" s="139"/>
      <c r="I70" s="139"/>
      <c r="J70" s="139"/>
      <c r="K70" s="139"/>
      <c r="L70" s="139"/>
      <c r="M70" s="139"/>
      <c r="N70" s="674">
        <f>IFERROR(__xludf.DUMMYFUNCTION("""COMPUTED_VALUE"""),2.0)</f>
        <v>2</v>
      </c>
      <c r="O70" s="673" t="str">
        <f>IFERROR(__xludf.DUMMYFUNCTION("""COMPUTED_VALUE"""),"効果時間")</f>
        <v>効果時間</v>
      </c>
      <c r="P70" s="139"/>
      <c r="Q70" s="139"/>
      <c r="R70" s="139"/>
      <c r="S70" s="139"/>
      <c r="T70" s="139"/>
      <c r="U70" s="139"/>
      <c r="V70" s="139"/>
      <c r="W70" s="139"/>
      <c r="X70" s="139"/>
      <c r="Y70" s="674">
        <f>IFERROR(__xludf.DUMMYFUNCTION("""COMPUTED_VALUE"""),2.0)</f>
        <v>2</v>
      </c>
      <c r="Z70" s="673" t="str">
        <f>IFERROR(__xludf.DUMMYFUNCTION("""COMPUTED_VALUE"""),"効果時間")</f>
        <v>効果時間</v>
      </c>
      <c r="AA70" s="139"/>
      <c r="AB70" s="139"/>
      <c r="AC70" s="139"/>
      <c r="AD70" s="139"/>
      <c r="AE70" s="139"/>
      <c r="AF70" s="139"/>
      <c r="AG70" s="139"/>
      <c r="AH70" s="139"/>
      <c r="AI70" s="139"/>
      <c r="AJ70" s="674">
        <f>IFERROR(__xludf.DUMMYFUNCTION("""COMPUTED_VALUE"""),2.0)</f>
        <v>2</v>
      </c>
      <c r="AK70" s="673" t="str">
        <f>IFERROR(__xludf.DUMMYFUNCTION("""COMPUTED_VALUE"""),"効果時間")</f>
        <v>効果時間</v>
      </c>
      <c r="AL70" s="139"/>
      <c r="AM70" s="139"/>
      <c r="AN70" s="139"/>
      <c r="AO70" s="139"/>
      <c r="AP70" s="139"/>
      <c r="AQ70" s="139"/>
      <c r="AR70" s="139"/>
      <c r="AS70" s="139"/>
      <c r="AT70" s="115"/>
      <c r="AU70" s="115"/>
      <c r="AV70" s="115"/>
      <c r="AW70" s="115"/>
      <c r="AX70" s="115"/>
      <c r="AY70" s="115"/>
      <c r="AZ70" s="115"/>
      <c r="BA70" s="115"/>
      <c r="BB70" s="115"/>
      <c r="BC70" s="115"/>
    </row>
    <row r="71">
      <c r="A71" s="139"/>
      <c r="B71" s="139"/>
      <c r="C71" s="674">
        <f>IFERROR(__xludf.DUMMYFUNCTION("""COMPUTED_VALUE"""),3.0)</f>
        <v>3</v>
      </c>
      <c r="D71" s="673" t="str">
        <f>IFERROR(__xludf.DUMMYFUNCTION("""COMPUTED_VALUE"""),"効果値")</f>
        <v>効果値</v>
      </c>
      <c r="E71" s="139"/>
      <c r="F71" s="139"/>
      <c r="G71" s="139"/>
      <c r="H71" s="139"/>
      <c r="I71" s="139"/>
      <c r="J71" s="139"/>
      <c r="K71" s="139"/>
      <c r="L71" s="139"/>
      <c r="M71" s="139"/>
      <c r="N71" s="674">
        <f>IFERROR(__xludf.DUMMYFUNCTION("""COMPUTED_VALUE"""),3.0)</f>
        <v>3</v>
      </c>
      <c r="O71" s="673" t="str">
        <f>IFERROR(__xludf.DUMMYFUNCTION("""COMPUTED_VALUE"""),"効果値")</f>
        <v>効果値</v>
      </c>
      <c r="P71" s="139"/>
      <c r="Q71" s="139"/>
      <c r="R71" s="139"/>
      <c r="S71" s="139"/>
      <c r="T71" s="139"/>
      <c r="U71" s="139"/>
      <c r="V71" s="139"/>
      <c r="W71" s="139"/>
      <c r="X71" s="139"/>
      <c r="Y71" s="674">
        <f>IFERROR(__xludf.DUMMYFUNCTION("""COMPUTED_VALUE"""),3.0)</f>
        <v>3</v>
      </c>
      <c r="Z71" s="673" t="str">
        <f>IFERROR(__xludf.DUMMYFUNCTION("""COMPUTED_VALUE"""),"効果値")</f>
        <v>効果値</v>
      </c>
      <c r="AA71" s="139"/>
      <c r="AB71" s="139"/>
      <c r="AC71" s="139"/>
      <c r="AD71" s="139"/>
      <c r="AE71" s="139"/>
      <c r="AF71" s="139"/>
      <c r="AG71" s="139"/>
      <c r="AH71" s="139"/>
      <c r="AI71" s="139"/>
      <c r="AJ71" s="674">
        <f>IFERROR(__xludf.DUMMYFUNCTION("""COMPUTED_VALUE"""),3.0)</f>
        <v>3</v>
      </c>
      <c r="AK71" s="673" t="str">
        <f>IFERROR(__xludf.DUMMYFUNCTION("""COMPUTED_VALUE"""),"効果値")</f>
        <v>効果値</v>
      </c>
      <c r="AL71" s="139"/>
      <c r="AM71" s="139"/>
      <c r="AN71" s="139"/>
      <c r="AO71" s="139"/>
      <c r="AP71" s="139"/>
      <c r="AQ71" s="139"/>
      <c r="AR71" s="139"/>
      <c r="AS71" s="139"/>
      <c r="AT71" s="115"/>
      <c r="AU71" s="115"/>
      <c r="AV71" s="115"/>
      <c r="AW71" s="115"/>
      <c r="AX71" s="115"/>
      <c r="AY71" s="115"/>
      <c r="AZ71" s="115"/>
      <c r="BA71" s="115"/>
      <c r="BB71" s="115"/>
      <c r="BC71" s="115"/>
    </row>
    <row r="72">
      <c r="A72" s="139"/>
      <c r="B72" s="139"/>
      <c r="C72" s="674">
        <f>IFERROR(__xludf.DUMMYFUNCTION("""COMPUTED_VALUE"""),3.0)</f>
        <v>3</v>
      </c>
      <c r="D72" s="673" t="str">
        <f>IFERROR(__xludf.DUMMYFUNCTION("""COMPUTED_VALUE"""),"効果時間")</f>
        <v>効果時間</v>
      </c>
      <c r="E72" s="139"/>
      <c r="F72" s="139"/>
      <c r="G72" s="139"/>
      <c r="H72" s="139"/>
      <c r="I72" s="139"/>
      <c r="J72" s="139"/>
      <c r="K72" s="139"/>
      <c r="L72" s="139"/>
      <c r="M72" s="139"/>
      <c r="N72" s="674">
        <f>IFERROR(__xludf.DUMMYFUNCTION("""COMPUTED_VALUE"""),3.0)</f>
        <v>3</v>
      </c>
      <c r="O72" s="673" t="str">
        <f>IFERROR(__xludf.DUMMYFUNCTION("""COMPUTED_VALUE"""),"効果時間")</f>
        <v>効果時間</v>
      </c>
      <c r="P72" s="139"/>
      <c r="Q72" s="139"/>
      <c r="R72" s="139"/>
      <c r="S72" s="139"/>
      <c r="T72" s="139"/>
      <c r="U72" s="139"/>
      <c r="V72" s="139"/>
      <c r="W72" s="139"/>
      <c r="X72" s="139"/>
      <c r="Y72" s="674">
        <f>IFERROR(__xludf.DUMMYFUNCTION("""COMPUTED_VALUE"""),3.0)</f>
        <v>3</v>
      </c>
      <c r="Z72" s="673" t="str">
        <f>IFERROR(__xludf.DUMMYFUNCTION("""COMPUTED_VALUE"""),"効果時間")</f>
        <v>効果時間</v>
      </c>
      <c r="AA72" s="139"/>
      <c r="AB72" s="139"/>
      <c r="AC72" s="139"/>
      <c r="AD72" s="139"/>
      <c r="AE72" s="139"/>
      <c r="AF72" s="139"/>
      <c r="AG72" s="139"/>
      <c r="AH72" s="139"/>
      <c r="AI72" s="139"/>
      <c r="AJ72" s="674">
        <f>IFERROR(__xludf.DUMMYFUNCTION("""COMPUTED_VALUE"""),3.0)</f>
        <v>3</v>
      </c>
      <c r="AK72" s="673" t="str">
        <f>IFERROR(__xludf.DUMMYFUNCTION("""COMPUTED_VALUE"""),"効果時間")</f>
        <v>効果時間</v>
      </c>
      <c r="AL72" s="139"/>
      <c r="AM72" s="139"/>
      <c r="AN72" s="139"/>
      <c r="AO72" s="139"/>
      <c r="AP72" s="139"/>
      <c r="AQ72" s="139"/>
      <c r="AR72" s="139"/>
      <c r="AS72" s="139"/>
      <c r="AT72" s="115"/>
      <c r="AU72" s="115"/>
      <c r="AV72" s="115"/>
      <c r="AW72" s="115"/>
      <c r="AX72" s="115"/>
      <c r="AY72" s="115"/>
      <c r="AZ72" s="115"/>
      <c r="BA72" s="115"/>
      <c r="BB72" s="115"/>
      <c r="BC72" s="115"/>
    </row>
    <row r="73">
      <c r="A73" s="139"/>
      <c r="B73" s="139"/>
      <c r="C73" s="674">
        <f>IFERROR(__xludf.DUMMYFUNCTION("""COMPUTED_VALUE"""),4.0)</f>
        <v>4</v>
      </c>
      <c r="D73" s="673" t="str">
        <f>IFERROR(__xludf.DUMMYFUNCTION("""COMPUTED_VALUE"""),"効果値")</f>
        <v>効果値</v>
      </c>
      <c r="E73" s="139"/>
      <c r="F73" s="139"/>
      <c r="G73" s="139"/>
      <c r="H73" s="139"/>
      <c r="I73" s="139"/>
      <c r="J73" s="139"/>
      <c r="K73" s="139"/>
      <c r="L73" s="139"/>
      <c r="M73" s="139"/>
      <c r="N73" s="674">
        <f>IFERROR(__xludf.DUMMYFUNCTION("""COMPUTED_VALUE"""),4.0)</f>
        <v>4</v>
      </c>
      <c r="O73" s="673" t="str">
        <f>IFERROR(__xludf.DUMMYFUNCTION("""COMPUTED_VALUE"""),"効果値")</f>
        <v>効果値</v>
      </c>
      <c r="P73" s="139"/>
      <c r="Q73" s="139"/>
      <c r="R73" s="139"/>
      <c r="S73" s="139"/>
      <c r="T73" s="139"/>
      <c r="U73" s="139"/>
      <c r="V73" s="139"/>
      <c r="W73" s="139"/>
      <c r="X73" s="139"/>
      <c r="Y73" s="674">
        <f>IFERROR(__xludf.DUMMYFUNCTION("""COMPUTED_VALUE"""),4.0)</f>
        <v>4</v>
      </c>
      <c r="Z73" s="673" t="str">
        <f>IFERROR(__xludf.DUMMYFUNCTION("""COMPUTED_VALUE"""),"効果値")</f>
        <v>効果値</v>
      </c>
      <c r="AA73" s="139"/>
      <c r="AB73" s="139"/>
      <c r="AC73" s="139"/>
      <c r="AD73" s="139"/>
      <c r="AE73" s="139"/>
      <c r="AF73" s="139"/>
      <c r="AG73" s="139"/>
      <c r="AH73" s="139"/>
      <c r="AI73" s="139"/>
      <c r="AJ73" s="674">
        <f>IFERROR(__xludf.DUMMYFUNCTION("""COMPUTED_VALUE"""),4.0)</f>
        <v>4</v>
      </c>
      <c r="AK73" s="673" t="str">
        <f>IFERROR(__xludf.DUMMYFUNCTION("""COMPUTED_VALUE"""),"効果値")</f>
        <v>効果値</v>
      </c>
      <c r="AL73" s="139"/>
      <c r="AM73" s="139"/>
      <c r="AN73" s="139"/>
      <c r="AO73" s="139"/>
      <c r="AP73" s="139"/>
      <c r="AQ73" s="139"/>
      <c r="AR73" s="139"/>
      <c r="AS73" s="139"/>
      <c r="AT73" s="115"/>
      <c r="AU73" s="115"/>
      <c r="AV73" s="115"/>
      <c r="AW73" s="115"/>
      <c r="AX73" s="115"/>
      <c r="AY73" s="115"/>
      <c r="AZ73" s="115"/>
      <c r="BA73" s="115"/>
      <c r="BB73" s="115"/>
      <c r="BC73" s="115"/>
    </row>
    <row r="74">
      <c r="A74" s="139"/>
      <c r="B74" s="139"/>
      <c r="C74" s="674">
        <f>IFERROR(__xludf.DUMMYFUNCTION("""COMPUTED_VALUE"""),4.0)</f>
        <v>4</v>
      </c>
      <c r="D74" s="673" t="str">
        <f>IFERROR(__xludf.DUMMYFUNCTION("""COMPUTED_VALUE"""),"効果時間")</f>
        <v>効果時間</v>
      </c>
      <c r="E74" s="139"/>
      <c r="F74" s="139"/>
      <c r="G74" s="139"/>
      <c r="H74" s="139"/>
      <c r="I74" s="139"/>
      <c r="J74" s="139"/>
      <c r="K74" s="139"/>
      <c r="L74" s="139"/>
      <c r="M74" s="139"/>
      <c r="N74" s="674">
        <f>IFERROR(__xludf.DUMMYFUNCTION("""COMPUTED_VALUE"""),4.0)</f>
        <v>4</v>
      </c>
      <c r="O74" s="673" t="str">
        <f>IFERROR(__xludf.DUMMYFUNCTION("""COMPUTED_VALUE"""),"効果時間")</f>
        <v>効果時間</v>
      </c>
      <c r="P74" s="139"/>
      <c r="Q74" s="139"/>
      <c r="R74" s="139"/>
      <c r="S74" s="139"/>
      <c r="T74" s="139"/>
      <c r="U74" s="139"/>
      <c r="V74" s="139"/>
      <c r="W74" s="139"/>
      <c r="X74" s="139"/>
      <c r="Y74" s="674">
        <f>IFERROR(__xludf.DUMMYFUNCTION("""COMPUTED_VALUE"""),4.0)</f>
        <v>4</v>
      </c>
      <c r="Z74" s="673" t="str">
        <f>IFERROR(__xludf.DUMMYFUNCTION("""COMPUTED_VALUE"""),"効果時間")</f>
        <v>効果時間</v>
      </c>
      <c r="AA74" s="139"/>
      <c r="AB74" s="139"/>
      <c r="AC74" s="139"/>
      <c r="AD74" s="139"/>
      <c r="AE74" s="139"/>
      <c r="AF74" s="139"/>
      <c r="AG74" s="139"/>
      <c r="AH74" s="139"/>
      <c r="AI74" s="139"/>
      <c r="AJ74" s="674">
        <f>IFERROR(__xludf.DUMMYFUNCTION("""COMPUTED_VALUE"""),4.0)</f>
        <v>4</v>
      </c>
      <c r="AK74" s="673" t="str">
        <f>IFERROR(__xludf.DUMMYFUNCTION("""COMPUTED_VALUE"""),"効果時間")</f>
        <v>効果時間</v>
      </c>
      <c r="AL74" s="139"/>
      <c r="AM74" s="139"/>
      <c r="AN74" s="139"/>
      <c r="AO74" s="139"/>
      <c r="AP74" s="139"/>
      <c r="AQ74" s="139"/>
      <c r="AR74" s="139"/>
      <c r="AS74" s="139"/>
      <c r="AT74" s="115"/>
      <c r="AU74" s="115"/>
      <c r="AV74" s="115"/>
      <c r="AW74" s="115"/>
      <c r="AX74" s="115"/>
      <c r="AY74" s="115"/>
      <c r="AZ74" s="115"/>
      <c r="BA74" s="115"/>
      <c r="BB74" s="115"/>
      <c r="BC74" s="115"/>
    </row>
    <row r="75">
      <c r="A75" s="139"/>
      <c r="B75" s="139"/>
      <c r="C75" s="674">
        <f>IFERROR(__xludf.DUMMYFUNCTION("""COMPUTED_VALUE"""),5.0)</f>
        <v>5</v>
      </c>
      <c r="D75" s="673" t="str">
        <f>IFERROR(__xludf.DUMMYFUNCTION("""COMPUTED_VALUE"""),"効果値")</f>
        <v>効果値</v>
      </c>
      <c r="E75" s="139"/>
      <c r="F75" s="139"/>
      <c r="G75" s="139"/>
      <c r="H75" s="139"/>
      <c r="I75" s="139"/>
      <c r="J75" s="139"/>
      <c r="K75" s="139"/>
      <c r="L75" s="139"/>
      <c r="M75" s="139"/>
      <c r="N75" s="674">
        <f>IFERROR(__xludf.DUMMYFUNCTION("""COMPUTED_VALUE"""),5.0)</f>
        <v>5</v>
      </c>
      <c r="O75" s="673" t="str">
        <f>IFERROR(__xludf.DUMMYFUNCTION("""COMPUTED_VALUE"""),"効果値")</f>
        <v>効果値</v>
      </c>
      <c r="P75" s="139"/>
      <c r="Q75" s="139"/>
      <c r="R75" s="139"/>
      <c r="S75" s="139"/>
      <c r="T75" s="139"/>
      <c r="U75" s="139"/>
      <c r="V75" s="139"/>
      <c r="W75" s="139"/>
      <c r="X75" s="139"/>
      <c r="Y75" s="674">
        <f>IFERROR(__xludf.DUMMYFUNCTION("""COMPUTED_VALUE"""),5.0)</f>
        <v>5</v>
      </c>
      <c r="Z75" s="673" t="str">
        <f>IFERROR(__xludf.DUMMYFUNCTION("""COMPUTED_VALUE"""),"効果値")</f>
        <v>効果値</v>
      </c>
      <c r="AA75" s="139"/>
      <c r="AB75" s="139"/>
      <c r="AC75" s="139"/>
      <c r="AD75" s="139"/>
      <c r="AE75" s="139"/>
      <c r="AF75" s="139"/>
      <c r="AG75" s="139"/>
      <c r="AH75" s="139"/>
      <c r="AI75" s="139"/>
      <c r="AJ75" s="674">
        <f>IFERROR(__xludf.DUMMYFUNCTION("""COMPUTED_VALUE"""),5.0)</f>
        <v>5</v>
      </c>
      <c r="AK75" s="673" t="str">
        <f>IFERROR(__xludf.DUMMYFUNCTION("""COMPUTED_VALUE"""),"効果値")</f>
        <v>効果値</v>
      </c>
      <c r="AL75" s="139"/>
      <c r="AM75" s="139"/>
      <c r="AN75" s="139"/>
      <c r="AO75" s="139"/>
      <c r="AP75" s="139"/>
      <c r="AQ75" s="139"/>
      <c r="AR75" s="139"/>
      <c r="AS75" s="139"/>
      <c r="AT75" s="115"/>
      <c r="AU75" s="115"/>
      <c r="AV75" s="115"/>
      <c r="AW75" s="115"/>
      <c r="AX75" s="115"/>
      <c r="AY75" s="115"/>
      <c r="AZ75" s="115"/>
      <c r="BA75" s="115"/>
      <c r="BB75" s="115"/>
      <c r="BC75" s="115"/>
    </row>
    <row r="76">
      <c r="A76" s="139"/>
      <c r="B76" s="139"/>
      <c r="C76" s="674">
        <f>IFERROR(__xludf.DUMMYFUNCTION("""COMPUTED_VALUE"""),5.0)</f>
        <v>5</v>
      </c>
      <c r="D76" s="673" t="str">
        <f>IFERROR(__xludf.DUMMYFUNCTION("""COMPUTED_VALUE"""),"効果時間")</f>
        <v>効果時間</v>
      </c>
      <c r="E76" s="139"/>
      <c r="F76" s="139"/>
      <c r="G76" s="139"/>
      <c r="H76" s="139"/>
      <c r="I76" s="139"/>
      <c r="J76" s="139"/>
      <c r="K76" s="139"/>
      <c r="L76" s="139"/>
      <c r="M76" s="139"/>
      <c r="N76" s="674">
        <f>IFERROR(__xludf.DUMMYFUNCTION("""COMPUTED_VALUE"""),5.0)</f>
        <v>5</v>
      </c>
      <c r="O76" s="673" t="str">
        <f>IFERROR(__xludf.DUMMYFUNCTION("""COMPUTED_VALUE"""),"効果時間")</f>
        <v>効果時間</v>
      </c>
      <c r="P76" s="139"/>
      <c r="Q76" s="139"/>
      <c r="R76" s="139"/>
      <c r="S76" s="139"/>
      <c r="T76" s="139"/>
      <c r="U76" s="139"/>
      <c r="V76" s="139"/>
      <c r="W76" s="139"/>
      <c r="X76" s="139"/>
      <c r="Y76" s="674">
        <f>IFERROR(__xludf.DUMMYFUNCTION("""COMPUTED_VALUE"""),5.0)</f>
        <v>5</v>
      </c>
      <c r="Z76" s="673" t="str">
        <f>IFERROR(__xludf.DUMMYFUNCTION("""COMPUTED_VALUE"""),"効果時間")</f>
        <v>効果時間</v>
      </c>
      <c r="AA76" s="139"/>
      <c r="AB76" s="139"/>
      <c r="AC76" s="139"/>
      <c r="AD76" s="139"/>
      <c r="AE76" s="139"/>
      <c r="AF76" s="139"/>
      <c r="AG76" s="139"/>
      <c r="AH76" s="139"/>
      <c r="AI76" s="139"/>
      <c r="AJ76" s="674">
        <f>IFERROR(__xludf.DUMMYFUNCTION("""COMPUTED_VALUE"""),5.0)</f>
        <v>5</v>
      </c>
      <c r="AK76" s="673" t="str">
        <f>IFERROR(__xludf.DUMMYFUNCTION("""COMPUTED_VALUE"""),"効果時間")</f>
        <v>効果時間</v>
      </c>
      <c r="AL76" s="139"/>
      <c r="AM76" s="139"/>
      <c r="AN76" s="139"/>
      <c r="AO76" s="139"/>
      <c r="AP76" s="139"/>
      <c r="AQ76" s="139"/>
      <c r="AR76" s="139"/>
      <c r="AS76" s="139"/>
      <c r="AT76" s="115"/>
      <c r="AU76" s="115"/>
      <c r="AV76" s="115"/>
      <c r="AW76" s="115"/>
      <c r="AX76" s="115"/>
      <c r="AY76" s="115"/>
      <c r="AZ76" s="115"/>
      <c r="BA76" s="115"/>
      <c r="BB76" s="115"/>
      <c r="BC76" s="115"/>
    </row>
    <row r="77">
      <c r="A77" s="673" t="str">
        <f>IFERROR(__xludf.DUMMYFUNCTION("""COMPUTED_VALUE"""),"コマ指定固定ダメージ")</f>
        <v>コマ指定固定ダメージ</v>
      </c>
      <c r="B77" s="139"/>
      <c r="C77" s="674">
        <f>IFERROR(__xludf.DUMMYFUNCTION("""COMPUTED_VALUE"""),1.0)</f>
        <v>1</v>
      </c>
      <c r="D77" s="673" t="str">
        <f>IFERROR(__xludf.DUMMYFUNCTION("""COMPUTED_VALUE"""),"効果値")</f>
        <v>効果値</v>
      </c>
      <c r="E77" s="139"/>
      <c r="F77" s="139"/>
      <c r="G77" s="674">
        <f>IFERROR(__xludf.DUMMYFUNCTION("""COMPUTED_VALUE"""),5160.0)</f>
        <v>5160</v>
      </c>
      <c r="H77" s="139"/>
      <c r="I77" s="139"/>
      <c r="J77" s="674">
        <f>IFERROR(__xludf.DUMMYFUNCTION("""COMPUTED_VALUE"""),11940.0)</f>
        <v>11940</v>
      </c>
      <c r="K77" s="674">
        <f>IFERROR(__xludf.DUMMYFUNCTION("""COMPUTED_VALUE"""),20800.0)</f>
        <v>20800</v>
      </c>
      <c r="L77" s="674">
        <f>IFERROR(__xludf.DUMMYFUNCTION("""COMPUTED_VALUE"""),31200.0)</f>
        <v>31200</v>
      </c>
      <c r="M77" s="139"/>
      <c r="N77" s="674">
        <f>IFERROR(__xludf.DUMMYFUNCTION("""COMPUTED_VALUE"""),1.0)</f>
        <v>1</v>
      </c>
      <c r="O77" s="673" t="str">
        <f>IFERROR(__xludf.DUMMYFUNCTION("""COMPUTED_VALUE"""),"効果値")</f>
        <v>効果値</v>
      </c>
      <c r="P77" s="139"/>
      <c r="Q77" s="139"/>
      <c r="R77" s="674">
        <f>IFERROR(__xludf.DUMMYFUNCTION("""COMPUTED_VALUE"""),2160.0)</f>
        <v>2160</v>
      </c>
      <c r="S77" s="139"/>
      <c r="T77" s="139"/>
      <c r="U77" s="674">
        <f>IFERROR(__xludf.DUMMYFUNCTION("""COMPUTED_VALUE"""),5940.0)</f>
        <v>5940</v>
      </c>
      <c r="V77" s="674">
        <f>IFERROR(__xludf.DUMMYFUNCTION("""COMPUTED_VALUE"""),10800.0)</f>
        <v>10800</v>
      </c>
      <c r="W77" s="674">
        <f>IFERROR(__xludf.DUMMYFUNCTION("""COMPUTED_VALUE"""),16200.000000000002)</f>
        <v>16200</v>
      </c>
      <c r="X77" s="139"/>
      <c r="Y77" s="674">
        <f>IFERROR(__xludf.DUMMYFUNCTION("""COMPUTED_VALUE"""),1.0)</f>
        <v>1</v>
      </c>
      <c r="Z77" s="673" t="str">
        <f>IFERROR(__xludf.DUMMYFUNCTION("""COMPUTED_VALUE"""),"効果値")</f>
        <v>効果値</v>
      </c>
      <c r="AA77" s="139"/>
      <c r="AB77" s="139"/>
      <c r="AC77" s="674">
        <f>IFERROR(__xludf.DUMMYFUNCTION("""COMPUTED_VALUE"""),3000.0)</f>
        <v>3000</v>
      </c>
      <c r="AD77" s="139"/>
      <c r="AE77" s="139"/>
      <c r="AF77" s="674">
        <f>IFERROR(__xludf.DUMMYFUNCTION("""COMPUTED_VALUE"""),6000.0)</f>
        <v>6000</v>
      </c>
      <c r="AG77" s="674">
        <f>IFERROR(__xludf.DUMMYFUNCTION("""COMPUTED_VALUE"""),10000.0)</f>
        <v>10000</v>
      </c>
      <c r="AH77" s="674">
        <f>IFERROR(__xludf.DUMMYFUNCTION("""COMPUTED_VALUE"""),15000.0)</f>
        <v>15000</v>
      </c>
      <c r="AI77" s="139"/>
      <c r="AJ77" s="674">
        <f>IFERROR(__xludf.DUMMYFUNCTION("""COMPUTED_VALUE"""),1.0)</f>
        <v>1</v>
      </c>
      <c r="AK77" s="673" t="str">
        <f>IFERROR(__xludf.DUMMYFUNCTION("""COMPUTED_VALUE"""),"効果値")</f>
        <v>効果値</v>
      </c>
      <c r="AL77" s="139"/>
      <c r="AM77" s="139"/>
      <c r="AN77" s="139"/>
      <c r="AO77" s="139"/>
      <c r="AP77" s="139"/>
      <c r="AQ77" s="139"/>
      <c r="AR77" s="139"/>
      <c r="AS77" s="139"/>
      <c r="AT77" s="115"/>
      <c r="AU77" s="115"/>
      <c r="AV77" s="115"/>
      <c r="AW77" s="115"/>
      <c r="AX77" s="115"/>
      <c r="AY77" s="115"/>
      <c r="AZ77" s="115"/>
      <c r="BA77" s="115"/>
      <c r="BB77" s="115"/>
      <c r="BC77" s="115"/>
    </row>
    <row r="78">
      <c r="A78" s="673" t="str">
        <f>IFERROR(__xludf.DUMMYFUNCTION("""COMPUTED_VALUE"""),"※スペシャル専用")</f>
        <v>※スペシャル専用</v>
      </c>
      <c r="B78" s="139"/>
      <c r="C78" s="674">
        <f>IFERROR(__xludf.DUMMYFUNCTION("""COMPUTED_VALUE"""),1.0)</f>
        <v>1</v>
      </c>
      <c r="D78" s="673" t="str">
        <f>IFERROR(__xludf.DUMMYFUNCTION("""COMPUTED_VALUE"""),"効果時間")</f>
        <v>効果時間</v>
      </c>
      <c r="E78" s="139"/>
      <c r="F78" s="139"/>
      <c r="G78" s="139"/>
      <c r="H78" s="139"/>
      <c r="I78" s="139"/>
      <c r="J78" s="139"/>
      <c r="K78" s="139"/>
      <c r="L78" s="139"/>
      <c r="M78" s="139"/>
      <c r="N78" s="674">
        <f>IFERROR(__xludf.DUMMYFUNCTION("""COMPUTED_VALUE"""),1.0)</f>
        <v>1</v>
      </c>
      <c r="O78" s="673" t="str">
        <f>IFERROR(__xludf.DUMMYFUNCTION("""COMPUTED_VALUE"""),"効果時間")</f>
        <v>効果時間</v>
      </c>
      <c r="P78" s="139"/>
      <c r="Q78" s="139"/>
      <c r="R78" s="139"/>
      <c r="S78" s="139"/>
      <c r="T78" s="139"/>
      <c r="U78" s="139"/>
      <c r="V78" s="139"/>
      <c r="W78" s="139"/>
      <c r="X78" s="139"/>
      <c r="Y78" s="674">
        <f>IFERROR(__xludf.DUMMYFUNCTION("""COMPUTED_VALUE"""),1.0)</f>
        <v>1</v>
      </c>
      <c r="Z78" s="673" t="str">
        <f>IFERROR(__xludf.DUMMYFUNCTION("""COMPUTED_VALUE"""),"効果時間")</f>
        <v>効果時間</v>
      </c>
      <c r="AA78" s="139"/>
      <c r="AB78" s="139"/>
      <c r="AC78" s="139"/>
      <c r="AD78" s="139"/>
      <c r="AE78" s="139"/>
      <c r="AF78" s="139"/>
      <c r="AG78" s="139"/>
      <c r="AH78" s="139"/>
      <c r="AI78" s="139"/>
      <c r="AJ78" s="674">
        <f>IFERROR(__xludf.DUMMYFUNCTION("""COMPUTED_VALUE"""),1.0)</f>
        <v>1</v>
      </c>
      <c r="AK78" s="673" t="str">
        <f>IFERROR(__xludf.DUMMYFUNCTION("""COMPUTED_VALUE"""),"効果時間")</f>
        <v>効果時間</v>
      </c>
      <c r="AL78" s="139"/>
      <c r="AM78" s="139"/>
      <c r="AN78" s="139"/>
      <c r="AO78" s="139"/>
      <c r="AP78" s="139"/>
      <c r="AQ78" s="139"/>
      <c r="AR78" s="139"/>
      <c r="AS78" s="139"/>
      <c r="AT78" s="115"/>
      <c r="AU78" s="115"/>
      <c r="AV78" s="115"/>
      <c r="AW78" s="115"/>
      <c r="AX78" s="115"/>
      <c r="AY78" s="115"/>
      <c r="AZ78" s="115"/>
      <c r="BA78" s="115"/>
      <c r="BB78" s="115"/>
      <c r="BC78" s="115"/>
    </row>
    <row r="79">
      <c r="A79" s="673" t="str">
        <f>IFERROR(__xludf.DUMMYFUNCTION("""COMPUTED_VALUE"""),"※SSR以上に設定可能")</f>
        <v>※SSR以上に設定可能</v>
      </c>
      <c r="B79" s="139"/>
      <c r="C79" s="674">
        <f>IFERROR(__xludf.DUMMYFUNCTION("""COMPUTED_VALUE"""),2.0)</f>
        <v>2</v>
      </c>
      <c r="D79" s="673" t="str">
        <f>IFERROR(__xludf.DUMMYFUNCTION("""COMPUTED_VALUE"""),"効果値")</f>
        <v>効果値</v>
      </c>
      <c r="E79" s="139"/>
      <c r="F79" s="139"/>
      <c r="G79" s="674">
        <f>IFERROR(__xludf.DUMMYFUNCTION("""COMPUTED_VALUE"""),5505.6)</f>
        <v>5505.6</v>
      </c>
      <c r="H79" s="139"/>
      <c r="I79" s="139"/>
      <c r="J79" s="674">
        <f>IFERROR(__xludf.DUMMYFUNCTION("""COMPUTED_VALUE"""),12890.4)</f>
        <v>12890.4</v>
      </c>
      <c r="K79" s="674">
        <f>IFERROR(__xludf.DUMMYFUNCTION("""COMPUTED_VALUE"""),22528.0)</f>
        <v>22528</v>
      </c>
      <c r="L79" s="674">
        <f>IFERROR(__xludf.DUMMYFUNCTION("""COMPUTED_VALUE"""),33792.0)</f>
        <v>33792</v>
      </c>
      <c r="M79" s="139"/>
      <c r="N79" s="674">
        <f>IFERROR(__xludf.DUMMYFUNCTION("""COMPUTED_VALUE"""),2.0)</f>
        <v>2</v>
      </c>
      <c r="O79" s="673" t="str">
        <f>IFERROR(__xludf.DUMMYFUNCTION("""COMPUTED_VALUE"""),"効果値")</f>
        <v>効果値</v>
      </c>
      <c r="P79" s="139"/>
      <c r="Q79" s="139"/>
      <c r="R79" s="674">
        <f>IFERROR(__xludf.DUMMYFUNCTION("""COMPUTED_VALUE"""),2505.6)</f>
        <v>2505.6</v>
      </c>
      <c r="S79" s="139"/>
      <c r="T79" s="139"/>
      <c r="U79" s="674">
        <f>IFERROR(__xludf.DUMMYFUNCTION("""COMPUTED_VALUE"""),6890.4)</f>
        <v>6890.4</v>
      </c>
      <c r="V79" s="674">
        <f>IFERROR(__xludf.DUMMYFUNCTION("""COMPUTED_VALUE"""),12528.0)</f>
        <v>12528</v>
      </c>
      <c r="W79" s="674">
        <f>IFERROR(__xludf.DUMMYFUNCTION("""COMPUTED_VALUE"""),18792.000000000004)</f>
        <v>18792</v>
      </c>
      <c r="X79" s="139"/>
      <c r="Y79" s="674">
        <f>IFERROR(__xludf.DUMMYFUNCTION("""COMPUTED_VALUE"""),2.0)</f>
        <v>2</v>
      </c>
      <c r="Z79" s="673" t="str">
        <f>IFERROR(__xludf.DUMMYFUNCTION("""COMPUTED_VALUE"""),"効果値")</f>
        <v>効果値</v>
      </c>
      <c r="AA79" s="139"/>
      <c r="AB79" s="139"/>
      <c r="AC79" s="674">
        <f>IFERROR(__xludf.DUMMYFUNCTION("""COMPUTED_VALUE"""),3000.0)</f>
        <v>3000</v>
      </c>
      <c r="AD79" s="139"/>
      <c r="AE79" s="139"/>
      <c r="AF79" s="674">
        <f>IFERROR(__xludf.DUMMYFUNCTION("""COMPUTED_VALUE"""),6000.0)</f>
        <v>6000</v>
      </c>
      <c r="AG79" s="674">
        <f>IFERROR(__xludf.DUMMYFUNCTION("""COMPUTED_VALUE"""),10000.0)</f>
        <v>10000</v>
      </c>
      <c r="AH79" s="674">
        <f>IFERROR(__xludf.DUMMYFUNCTION("""COMPUTED_VALUE"""),15000.0)</f>
        <v>15000</v>
      </c>
      <c r="AI79" s="139"/>
      <c r="AJ79" s="674">
        <f>IFERROR(__xludf.DUMMYFUNCTION("""COMPUTED_VALUE"""),2.0)</f>
        <v>2</v>
      </c>
      <c r="AK79" s="673" t="str">
        <f>IFERROR(__xludf.DUMMYFUNCTION("""COMPUTED_VALUE"""),"効果値")</f>
        <v>効果値</v>
      </c>
      <c r="AL79" s="139"/>
      <c r="AM79" s="139"/>
      <c r="AN79" s="139"/>
      <c r="AO79" s="139"/>
      <c r="AP79" s="139"/>
      <c r="AQ79" s="139"/>
      <c r="AR79" s="139"/>
      <c r="AS79" s="139"/>
      <c r="AT79" s="115"/>
      <c r="AU79" s="115"/>
      <c r="AV79" s="115"/>
      <c r="AW79" s="115"/>
      <c r="AX79" s="115"/>
      <c r="AY79" s="115"/>
      <c r="AZ79" s="115"/>
      <c r="BA79" s="115"/>
      <c r="BB79" s="115"/>
      <c r="BC79" s="115"/>
    </row>
    <row r="80">
      <c r="A80" s="139"/>
      <c r="B80" s="139"/>
      <c r="C80" s="674">
        <f>IFERROR(__xludf.DUMMYFUNCTION("""COMPUTED_VALUE"""),2.0)</f>
        <v>2</v>
      </c>
      <c r="D80" s="673" t="str">
        <f>IFERROR(__xludf.DUMMYFUNCTION("""COMPUTED_VALUE"""),"効果時間")</f>
        <v>効果時間</v>
      </c>
      <c r="E80" s="139"/>
      <c r="F80" s="139"/>
      <c r="G80" s="139"/>
      <c r="H80" s="139"/>
      <c r="I80" s="139"/>
      <c r="J80" s="139"/>
      <c r="K80" s="139"/>
      <c r="L80" s="139"/>
      <c r="M80" s="139"/>
      <c r="N80" s="674">
        <f>IFERROR(__xludf.DUMMYFUNCTION("""COMPUTED_VALUE"""),2.0)</f>
        <v>2</v>
      </c>
      <c r="O80" s="673" t="str">
        <f>IFERROR(__xludf.DUMMYFUNCTION("""COMPUTED_VALUE"""),"効果時間")</f>
        <v>効果時間</v>
      </c>
      <c r="P80" s="139"/>
      <c r="Q80" s="139"/>
      <c r="R80" s="139"/>
      <c r="S80" s="139"/>
      <c r="T80" s="139"/>
      <c r="U80" s="139"/>
      <c r="V80" s="139"/>
      <c r="W80" s="139"/>
      <c r="X80" s="139"/>
      <c r="Y80" s="674">
        <f>IFERROR(__xludf.DUMMYFUNCTION("""COMPUTED_VALUE"""),2.0)</f>
        <v>2</v>
      </c>
      <c r="Z80" s="673" t="str">
        <f>IFERROR(__xludf.DUMMYFUNCTION("""COMPUTED_VALUE"""),"効果時間")</f>
        <v>効果時間</v>
      </c>
      <c r="AA80" s="139"/>
      <c r="AB80" s="139"/>
      <c r="AC80" s="139"/>
      <c r="AD80" s="139"/>
      <c r="AE80" s="139"/>
      <c r="AF80" s="139"/>
      <c r="AG80" s="139"/>
      <c r="AH80" s="139"/>
      <c r="AI80" s="139"/>
      <c r="AJ80" s="674">
        <f>IFERROR(__xludf.DUMMYFUNCTION("""COMPUTED_VALUE"""),2.0)</f>
        <v>2</v>
      </c>
      <c r="AK80" s="673" t="str">
        <f>IFERROR(__xludf.DUMMYFUNCTION("""COMPUTED_VALUE"""),"効果時間")</f>
        <v>効果時間</v>
      </c>
      <c r="AL80" s="139"/>
      <c r="AM80" s="139"/>
      <c r="AN80" s="139"/>
      <c r="AO80" s="139"/>
      <c r="AP80" s="139"/>
      <c r="AQ80" s="139"/>
      <c r="AR80" s="139"/>
      <c r="AS80" s="139"/>
      <c r="AT80" s="115"/>
      <c r="AU80" s="115"/>
      <c r="AV80" s="115"/>
      <c r="AW80" s="115"/>
      <c r="AX80" s="115"/>
      <c r="AY80" s="115"/>
      <c r="AZ80" s="115"/>
      <c r="BA80" s="115"/>
      <c r="BB80" s="115"/>
      <c r="BC80" s="115"/>
    </row>
    <row r="81">
      <c r="A81" s="139"/>
      <c r="B81" s="139"/>
      <c r="C81" s="674">
        <f>IFERROR(__xludf.DUMMYFUNCTION("""COMPUTED_VALUE"""),3.0)</f>
        <v>3</v>
      </c>
      <c r="D81" s="673" t="str">
        <f>IFERROR(__xludf.DUMMYFUNCTION("""COMPUTED_VALUE"""),"効果値")</f>
        <v>効果値</v>
      </c>
      <c r="E81" s="139"/>
      <c r="F81" s="139"/>
      <c r="G81" s="674">
        <f>IFERROR(__xludf.DUMMYFUNCTION("""COMPUTED_VALUE"""),6024.0)</f>
        <v>6024</v>
      </c>
      <c r="H81" s="139"/>
      <c r="I81" s="139"/>
      <c r="J81" s="674">
        <f>IFERROR(__xludf.DUMMYFUNCTION("""COMPUTED_VALUE"""),14316.0)</f>
        <v>14316</v>
      </c>
      <c r="K81" s="674">
        <f>IFERROR(__xludf.DUMMYFUNCTION("""COMPUTED_VALUE"""),25120.0)</f>
        <v>25120</v>
      </c>
      <c r="L81" s="674">
        <f>IFERROR(__xludf.DUMMYFUNCTION("""COMPUTED_VALUE"""),37680.0)</f>
        <v>37680</v>
      </c>
      <c r="M81" s="139"/>
      <c r="N81" s="674">
        <f>IFERROR(__xludf.DUMMYFUNCTION("""COMPUTED_VALUE"""),3.0)</f>
        <v>3</v>
      </c>
      <c r="O81" s="673" t="str">
        <f>IFERROR(__xludf.DUMMYFUNCTION("""COMPUTED_VALUE"""),"効果値")</f>
        <v>効果値</v>
      </c>
      <c r="P81" s="139"/>
      <c r="Q81" s="139"/>
      <c r="R81" s="674">
        <f>IFERROR(__xludf.DUMMYFUNCTION("""COMPUTED_VALUE"""),3024.0)</f>
        <v>3024</v>
      </c>
      <c r="S81" s="139"/>
      <c r="T81" s="139"/>
      <c r="U81" s="674">
        <f>IFERROR(__xludf.DUMMYFUNCTION("""COMPUTED_VALUE"""),8316.0)</f>
        <v>8316</v>
      </c>
      <c r="V81" s="674">
        <f>IFERROR(__xludf.DUMMYFUNCTION("""COMPUTED_VALUE"""),15120.0)</f>
        <v>15120</v>
      </c>
      <c r="W81" s="674">
        <f>IFERROR(__xludf.DUMMYFUNCTION("""COMPUTED_VALUE"""),22680.000000000004)</f>
        <v>22680</v>
      </c>
      <c r="X81" s="139"/>
      <c r="Y81" s="674">
        <f>IFERROR(__xludf.DUMMYFUNCTION("""COMPUTED_VALUE"""),3.0)</f>
        <v>3</v>
      </c>
      <c r="Z81" s="673" t="str">
        <f>IFERROR(__xludf.DUMMYFUNCTION("""COMPUTED_VALUE"""),"効果値")</f>
        <v>効果値</v>
      </c>
      <c r="AA81" s="139"/>
      <c r="AB81" s="139"/>
      <c r="AC81" s="674">
        <f>IFERROR(__xludf.DUMMYFUNCTION("""COMPUTED_VALUE"""),3000.0)</f>
        <v>3000</v>
      </c>
      <c r="AD81" s="139"/>
      <c r="AE81" s="139"/>
      <c r="AF81" s="674">
        <f>IFERROR(__xludf.DUMMYFUNCTION("""COMPUTED_VALUE"""),6000.0)</f>
        <v>6000</v>
      </c>
      <c r="AG81" s="674">
        <f>IFERROR(__xludf.DUMMYFUNCTION("""COMPUTED_VALUE"""),10000.0)</f>
        <v>10000</v>
      </c>
      <c r="AH81" s="674">
        <f>IFERROR(__xludf.DUMMYFUNCTION("""COMPUTED_VALUE"""),15000.0)</f>
        <v>15000</v>
      </c>
      <c r="AI81" s="139"/>
      <c r="AJ81" s="674">
        <f>IFERROR(__xludf.DUMMYFUNCTION("""COMPUTED_VALUE"""),3.0)</f>
        <v>3</v>
      </c>
      <c r="AK81" s="673" t="str">
        <f>IFERROR(__xludf.DUMMYFUNCTION("""COMPUTED_VALUE"""),"効果値")</f>
        <v>効果値</v>
      </c>
      <c r="AL81" s="139"/>
      <c r="AM81" s="139"/>
      <c r="AN81" s="139"/>
      <c r="AO81" s="139"/>
      <c r="AP81" s="139"/>
      <c r="AQ81" s="139"/>
      <c r="AR81" s="139"/>
      <c r="AS81" s="139"/>
      <c r="AT81" s="115"/>
      <c r="AU81" s="115"/>
      <c r="AV81" s="115"/>
      <c r="AW81" s="115"/>
      <c r="AX81" s="115"/>
      <c r="AY81" s="115"/>
      <c r="AZ81" s="115"/>
      <c r="BA81" s="115"/>
      <c r="BB81" s="115"/>
      <c r="BC81" s="115"/>
    </row>
    <row r="82">
      <c r="A82" s="139"/>
      <c r="B82" s="139"/>
      <c r="C82" s="674">
        <f>IFERROR(__xludf.DUMMYFUNCTION("""COMPUTED_VALUE"""),3.0)</f>
        <v>3</v>
      </c>
      <c r="D82" s="673" t="str">
        <f>IFERROR(__xludf.DUMMYFUNCTION("""COMPUTED_VALUE"""),"効果時間")</f>
        <v>効果時間</v>
      </c>
      <c r="E82" s="139"/>
      <c r="F82" s="139"/>
      <c r="G82" s="139"/>
      <c r="H82" s="139"/>
      <c r="I82" s="139"/>
      <c r="J82" s="139"/>
      <c r="K82" s="139"/>
      <c r="L82" s="139"/>
      <c r="M82" s="139"/>
      <c r="N82" s="674">
        <f>IFERROR(__xludf.DUMMYFUNCTION("""COMPUTED_VALUE"""),3.0)</f>
        <v>3</v>
      </c>
      <c r="O82" s="673" t="str">
        <f>IFERROR(__xludf.DUMMYFUNCTION("""COMPUTED_VALUE"""),"効果時間")</f>
        <v>効果時間</v>
      </c>
      <c r="P82" s="139"/>
      <c r="Q82" s="139"/>
      <c r="R82" s="139"/>
      <c r="S82" s="139"/>
      <c r="T82" s="139"/>
      <c r="U82" s="139"/>
      <c r="V82" s="139"/>
      <c r="W82" s="139"/>
      <c r="X82" s="139"/>
      <c r="Y82" s="674">
        <f>IFERROR(__xludf.DUMMYFUNCTION("""COMPUTED_VALUE"""),3.0)</f>
        <v>3</v>
      </c>
      <c r="Z82" s="673" t="str">
        <f>IFERROR(__xludf.DUMMYFUNCTION("""COMPUTED_VALUE"""),"効果時間")</f>
        <v>効果時間</v>
      </c>
      <c r="AA82" s="139"/>
      <c r="AB82" s="139"/>
      <c r="AC82" s="139"/>
      <c r="AD82" s="139"/>
      <c r="AE82" s="139"/>
      <c r="AF82" s="139"/>
      <c r="AG82" s="139"/>
      <c r="AH82" s="139"/>
      <c r="AI82" s="139"/>
      <c r="AJ82" s="674">
        <f>IFERROR(__xludf.DUMMYFUNCTION("""COMPUTED_VALUE"""),3.0)</f>
        <v>3</v>
      </c>
      <c r="AK82" s="673" t="str">
        <f>IFERROR(__xludf.DUMMYFUNCTION("""COMPUTED_VALUE"""),"効果時間")</f>
        <v>効果時間</v>
      </c>
      <c r="AL82" s="139"/>
      <c r="AM82" s="139"/>
      <c r="AN82" s="139"/>
      <c r="AO82" s="139"/>
      <c r="AP82" s="139"/>
      <c r="AQ82" s="139"/>
      <c r="AR82" s="139"/>
      <c r="AS82" s="139"/>
      <c r="AT82" s="115"/>
      <c r="AU82" s="115"/>
      <c r="AV82" s="115"/>
      <c r="AW82" s="115"/>
      <c r="AX82" s="115"/>
      <c r="AY82" s="115"/>
      <c r="AZ82" s="115"/>
      <c r="BA82" s="115"/>
      <c r="BB82" s="115"/>
      <c r="BC82" s="115"/>
    </row>
    <row r="83">
      <c r="A83" s="139"/>
      <c r="B83" s="139"/>
      <c r="C83" s="674">
        <f>IFERROR(__xludf.DUMMYFUNCTION("""COMPUTED_VALUE"""),4.0)</f>
        <v>4</v>
      </c>
      <c r="D83" s="673" t="str">
        <f>IFERROR(__xludf.DUMMYFUNCTION("""COMPUTED_VALUE"""),"効果値")</f>
        <v>効果値</v>
      </c>
      <c r="E83" s="139"/>
      <c r="F83" s="139"/>
      <c r="G83" s="674">
        <f>IFERROR(__xludf.DUMMYFUNCTION("""COMPUTED_VALUE"""),6672.0)</f>
        <v>6672</v>
      </c>
      <c r="H83" s="139"/>
      <c r="I83" s="139"/>
      <c r="J83" s="674">
        <f>IFERROR(__xludf.DUMMYFUNCTION("""COMPUTED_VALUE"""),16098.0)</f>
        <v>16098</v>
      </c>
      <c r="K83" s="674">
        <f>IFERROR(__xludf.DUMMYFUNCTION("""COMPUTED_VALUE"""),28360.0)</f>
        <v>28360</v>
      </c>
      <c r="L83" s="674">
        <f>IFERROR(__xludf.DUMMYFUNCTION("""COMPUTED_VALUE"""),42540.0)</f>
        <v>42540</v>
      </c>
      <c r="M83" s="139"/>
      <c r="N83" s="674">
        <f>IFERROR(__xludf.DUMMYFUNCTION("""COMPUTED_VALUE"""),4.0)</f>
        <v>4</v>
      </c>
      <c r="O83" s="673" t="str">
        <f>IFERROR(__xludf.DUMMYFUNCTION("""COMPUTED_VALUE"""),"効果値")</f>
        <v>効果値</v>
      </c>
      <c r="P83" s="139"/>
      <c r="Q83" s="139"/>
      <c r="R83" s="674">
        <f>IFERROR(__xludf.DUMMYFUNCTION("""COMPUTED_VALUE"""),3672.0)</f>
        <v>3672</v>
      </c>
      <c r="S83" s="139"/>
      <c r="T83" s="139"/>
      <c r="U83" s="674">
        <f>IFERROR(__xludf.DUMMYFUNCTION("""COMPUTED_VALUE"""),10098.0)</f>
        <v>10098</v>
      </c>
      <c r="V83" s="674">
        <f>IFERROR(__xludf.DUMMYFUNCTION("""COMPUTED_VALUE"""),18360.0)</f>
        <v>18360</v>
      </c>
      <c r="W83" s="674">
        <f>IFERROR(__xludf.DUMMYFUNCTION("""COMPUTED_VALUE"""),27540.000000000004)</f>
        <v>27540</v>
      </c>
      <c r="X83" s="139"/>
      <c r="Y83" s="674">
        <f>IFERROR(__xludf.DUMMYFUNCTION("""COMPUTED_VALUE"""),4.0)</f>
        <v>4</v>
      </c>
      <c r="Z83" s="673" t="str">
        <f>IFERROR(__xludf.DUMMYFUNCTION("""COMPUTED_VALUE"""),"効果値")</f>
        <v>効果値</v>
      </c>
      <c r="AA83" s="139"/>
      <c r="AB83" s="139"/>
      <c r="AC83" s="674">
        <f>IFERROR(__xludf.DUMMYFUNCTION("""COMPUTED_VALUE"""),3000.0)</f>
        <v>3000</v>
      </c>
      <c r="AD83" s="139"/>
      <c r="AE83" s="139"/>
      <c r="AF83" s="674">
        <f>IFERROR(__xludf.DUMMYFUNCTION("""COMPUTED_VALUE"""),6000.0)</f>
        <v>6000</v>
      </c>
      <c r="AG83" s="674">
        <f>IFERROR(__xludf.DUMMYFUNCTION("""COMPUTED_VALUE"""),10000.0)</f>
        <v>10000</v>
      </c>
      <c r="AH83" s="674">
        <f>IFERROR(__xludf.DUMMYFUNCTION("""COMPUTED_VALUE"""),15000.0)</f>
        <v>15000</v>
      </c>
      <c r="AI83" s="139"/>
      <c r="AJ83" s="674">
        <f>IFERROR(__xludf.DUMMYFUNCTION("""COMPUTED_VALUE"""),4.0)</f>
        <v>4</v>
      </c>
      <c r="AK83" s="673" t="str">
        <f>IFERROR(__xludf.DUMMYFUNCTION("""COMPUTED_VALUE"""),"効果値")</f>
        <v>効果値</v>
      </c>
      <c r="AL83" s="139"/>
      <c r="AM83" s="139"/>
      <c r="AN83" s="139"/>
      <c r="AO83" s="139"/>
      <c r="AP83" s="139"/>
      <c r="AQ83" s="139"/>
      <c r="AR83" s="139"/>
      <c r="AS83" s="139"/>
      <c r="AT83" s="115"/>
      <c r="AU83" s="115"/>
      <c r="AV83" s="115"/>
      <c r="AW83" s="115"/>
      <c r="AX83" s="115"/>
      <c r="AY83" s="115"/>
      <c r="AZ83" s="115"/>
      <c r="BA83" s="115"/>
      <c r="BB83" s="115"/>
      <c r="BC83" s="115"/>
    </row>
    <row r="84">
      <c r="A84" s="139"/>
      <c r="B84" s="139"/>
      <c r="C84" s="674">
        <f>IFERROR(__xludf.DUMMYFUNCTION("""COMPUTED_VALUE"""),4.0)</f>
        <v>4</v>
      </c>
      <c r="D84" s="673" t="str">
        <f>IFERROR(__xludf.DUMMYFUNCTION("""COMPUTED_VALUE"""),"効果時間")</f>
        <v>効果時間</v>
      </c>
      <c r="E84" s="139"/>
      <c r="F84" s="139"/>
      <c r="G84" s="139"/>
      <c r="H84" s="139"/>
      <c r="I84" s="139"/>
      <c r="J84" s="139"/>
      <c r="K84" s="139"/>
      <c r="L84" s="139"/>
      <c r="M84" s="139"/>
      <c r="N84" s="674">
        <f>IFERROR(__xludf.DUMMYFUNCTION("""COMPUTED_VALUE"""),4.0)</f>
        <v>4</v>
      </c>
      <c r="O84" s="673" t="str">
        <f>IFERROR(__xludf.DUMMYFUNCTION("""COMPUTED_VALUE"""),"効果時間")</f>
        <v>効果時間</v>
      </c>
      <c r="P84" s="139"/>
      <c r="Q84" s="139"/>
      <c r="R84" s="139"/>
      <c r="S84" s="139"/>
      <c r="T84" s="139"/>
      <c r="U84" s="139"/>
      <c r="V84" s="139"/>
      <c r="W84" s="139"/>
      <c r="X84" s="139"/>
      <c r="Y84" s="674">
        <f>IFERROR(__xludf.DUMMYFUNCTION("""COMPUTED_VALUE"""),4.0)</f>
        <v>4</v>
      </c>
      <c r="Z84" s="673" t="str">
        <f>IFERROR(__xludf.DUMMYFUNCTION("""COMPUTED_VALUE"""),"効果時間")</f>
        <v>効果時間</v>
      </c>
      <c r="AA84" s="139"/>
      <c r="AB84" s="139"/>
      <c r="AC84" s="139"/>
      <c r="AD84" s="139"/>
      <c r="AE84" s="139"/>
      <c r="AF84" s="139"/>
      <c r="AG84" s="139"/>
      <c r="AH84" s="139"/>
      <c r="AI84" s="139"/>
      <c r="AJ84" s="674">
        <f>IFERROR(__xludf.DUMMYFUNCTION("""COMPUTED_VALUE"""),4.0)</f>
        <v>4</v>
      </c>
      <c r="AK84" s="673" t="str">
        <f>IFERROR(__xludf.DUMMYFUNCTION("""COMPUTED_VALUE"""),"効果時間")</f>
        <v>効果時間</v>
      </c>
      <c r="AL84" s="139"/>
      <c r="AM84" s="139"/>
      <c r="AN84" s="139"/>
      <c r="AO84" s="139"/>
      <c r="AP84" s="139"/>
      <c r="AQ84" s="139"/>
      <c r="AR84" s="139"/>
      <c r="AS84" s="139"/>
      <c r="AT84" s="115"/>
      <c r="AU84" s="115"/>
      <c r="AV84" s="115"/>
      <c r="AW84" s="115"/>
      <c r="AX84" s="115"/>
      <c r="AY84" s="115"/>
      <c r="AZ84" s="115"/>
      <c r="BA84" s="115"/>
      <c r="BB84" s="115"/>
      <c r="BC84" s="115"/>
    </row>
    <row r="85">
      <c r="A85" s="139"/>
      <c r="B85" s="139"/>
      <c r="C85" s="674">
        <f>IFERROR(__xludf.DUMMYFUNCTION("""COMPUTED_VALUE"""),5.0)</f>
        <v>5</v>
      </c>
      <c r="D85" s="673" t="str">
        <f>IFERROR(__xludf.DUMMYFUNCTION("""COMPUTED_VALUE"""),"効果値")</f>
        <v>効果値</v>
      </c>
      <c r="E85" s="139"/>
      <c r="F85" s="139"/>
      <c r="G85" s="674">
        <f>IFERROR(__xludf.DUMMYFUNCTION("""COMPUTED_VALUE"""),7320.0)</f>
        <v>7320</v>
      </c>
      <c r="H85" s="139"/>
      <c r="I85" s="139"/>
      <c r="J85" s="674">
        <f>IFERROR(__xludf.DUMMYFUNCTION("""COMPUTED_VALUE"""),17880.0)</f>
        <v>17880</v>
      </c>
      <c r="K85" s="674">
        <f>IFERROR(__xludf.DUMMYFUNCTION("""COMPUTED_VALUE"""),31600.0)</f>
        <v>31600</v>
      </c>
      <c r="L85" s="674">
        <f>IFERROR(__xludf.DUMMYFUNCTION("""COMPUTED_VALUE"""),47400.0)</f>
        <v>47400</v>
      </c>
      <c r="M85" s="139"/>
      <c r="N85" s="674">
        <f>IFERROR(__xludf.DUMMYFUNCTION("""COMPUTED_VALUE"""),5.0)</f>
        <v>5</v>
      </c>
      <c r="O85" s="673" t="str">
        <f>IFERROR(__xludf.DUMMYFUNCTION("""COMPUTED_VALUE"""),"効果値")</f>
        <v>効果値</v>
      </c>
      <c r="P85" s="139"/>
      <c r="Q85" s="139"/>
      <c r="R85" s="674">
        <f>IFERROR(__xludf.DUMMYFUNCTION("""COMPUTED_VALUE"""),4320.0)</f>
        <v>4320</v>
      </c>
      <c r="S85" s="139"/>
      <c r="T85" s="139"/>
      <c r="U85" s="674">
        <f>IFERROR(__xludf.DUMMYFUNCTION("""COMPUTED_VALUE"""),11880.0)</f>
        <v>11880</v>
      </c>
      <c r="V85" s="674">
        <f>IFERROR(__xludf.DUMMYFUNCTION("""COMPUTED_VALUE"""),21600.0)</f>
        <v>21600</v>
      </c>
      <c r="W85" s="674">
        <f>IFERROR(__xludf.DUMMYFUNCTION("""COMPUTED_VALUE"""),32400.000000000004)</f>
        <v>32400</v>
      </c>
      <c r="X85" s="139"/>
      <c r="Y85" s="674">
        <f>IFERROR(__xludf.DUMMYFUNCTION("""COMPUTED_VALUE"""),5.0)</f>
        <v>5</v>
      </c>
      <c r="Z85" s="673" t="str">
        <f>IFERROR(__xludf.DUMMYFUNCTION("""COMPUTED_VALUE"""),"効果値")</f>
        <v>効果値</v>
      </c>
      <c r="AA85" s="139"/>
      <c r="AB85" s="139"/>
      <c r="AC85" s="674">
        <f>IFERROR(__xludf.DUMMYFUNCTION("""COMPUTED_VALUE"""),3000.0)</f>
        <v>3000</v>
      </c>
      <c r="AD85" s="139"/>
      <c r="AE85" s="139"/>
      <c r="AF85" s="674">
        <f>IFERROR(__xludf.DUMMYFUNCTION("""COMPUTED_VALUE"""),6000.0)</f>
        <v>6000</v>
      </c>
      <c r="AG85" s="674">
        <f>IFERROR(__xludf.DUMMYFUNCTION("""COMPUTED_VALUE"""),10000.0)</f>
        <v>10000</v>
      </c>
      <c r="AH85" s="674">
        <f>IFERROR(__xludf.DUMMYFUNCTION("""COMPUTED_VALUE"""),15000.0)</f>
        <v>15000</v>
      </c>
      <c r="AI85" s="139"/>
      <c r="AJ85" s="674">
        <f>IFERROR(__xludf.DUMMYFUNCTION("""COMPUTED_VALUE"""),5.0)</f>
        <v>5</v>
      </c>
      <c r="AK85" s="673" t="str">
        <f>IFERROR(__xludf.DUMMYFUNCTION("""COMPUTED_VALUE"""),"効果値")</f>
        <v>効果値</v>
      </c>
      <c r="AL85" s="139"/>
      <c r="AM85" s="139"/>
      <c r="AN85" s="139"/>
      <c r="AO85" s="139"/>
      <c r="AP85" s="139"/>
      <c r="AQ85" s="139"/>
      <c r="AR85" s="139"/>
      <c r="AS85" s="139"/>
      <c r="AT85" s="115"/>
      <c r="AU85" s="115"/>
      <c r="AV85" s="115"/>
      <c r="AW85" s="115"/>
      <c r="AX85" s="115"/>
      <c r="AY85" s="115"/>
      <c r="AZ85" s="115"/>
      <c r="BA85" s="115"/>
      <c r="BB85" s="115"/>
      <c r="BC85" s="115"/>
    </row>
    <row r="86">
      <c r="A86" s="139"/>
      <c r="B86" s="139"/>
      <c r="C86" s="674">
        <f>IFERROR(__xludf.DUMMYFUNCTION("""COMPUTED_VALUE"""),5.0)</f>
        <v>5</v>
      </c>
      <c r="D86" s="673" t="str">
        <f>IFERROR(__xludf.DUMMYFUNCTION("""COMPUTED_VALUE"""),"効果時間")</f>
        <v>効果時間</v>
      </c>
      <c r="E86" s="139"/>
      <c r="F86" s="139"/>
      <c r="G86" s="139"/>
      <c r="H86" s="139"/>
      <c r="I86" s="139"/>
      <c r="J86" s="139"/>
      <c r="K86" s="139"/>
      <c r="L86" s="139"/>
      <c r="M86" s="139"/>
      <c r="N86" s="674">
        <f>IFERROR(__xludf.DUMMYFUNCTION("""COMPUTED_VALUE"""),5.0)</f>
        <v>5</v>
      </c>
      <c r="O86" s="673" t="str">
        <f>IFERROR(__xludf.DUMMYFUNCTION("""COMPUTED_VALUE"""),"効果時間")</f>
        <v>効果時間</v>
      </c>
      <c r="P86" s="139"/>
      <c r="Q86" s="139"/>
      <c r="R86" s="139"/>
      <c r="S86" s="139"/>
      <c r="T86" s="139"/>
      <c r="U86" s="139"/>
      <c r="V86" s="139"/>
      <c r="W86" s="139"/>
      <c r="X86" s="139"/>
      <c r="Y86" s="674">
        <f>IFERROR(__xludf.DUMMYFUNCTION("""COMPUTED_VALUE"""),5.0)</f>
        <v>5</v>
      </c>
      <c r="Z86" s="673" t="str">
        <f>IFERROR(__xludf.DUMMYFUNCTION("""COMPUTED_VALUE"""),"効果時間")</f>
        <v>効果時間</v>
      </c>
      <c r="AA86" s="139"/>
      <c r="AB86" s="139"/>
      <c r="AC86" s="139"/>
      <c r="AD86" s="139"/>
      <c r="AE86" s="139"/>
      <c r="AF86" s="139"/>
      <c r="AG86" s="139"/>
      <c r="AH86" s="139"/>
      <c r="AI86" s="139"/>
      <c r="AJ86" s="674">
        <f>IFERROR(__xludf.DUMMYFUNCTION("""COMPUTED_VALUE"""),5.0)</f>
        <v>5</v>
      </c>
      <c r="AK86" s="673" t="str">
        <f>IFERROR(__xludf.DUMMYFUNCTION("""COMPUTED_VALUE"""),"効果時間")</f>
        <v>効果時間</v>
      </c>
      <c r="AL86" s="139"/>
      <c r="AM86" s="139"/>
      <c r="AN86" s="139"/>
      <c r="AO86" s="139"/>
      <c r="AP86" s="139"/>
      <c r="AQ86" s="139"/>
      <c r="AR86" s="139"/>
      <c r="AS86" s="139"/>
      <c r="AT86" s="115"/>
      <c r="AU86" s="115"/>
      <c r="AV86" s="115"/>
      <c r="AW86" s="115"/>
      <c r="AX86" s="115"/>
      <c r="AY86" s="115"/>
      <c r="AZ86" s="115"/>
      <c r="BA86" s="115"/>
      <c r="BB86" s="115"/>
      <c r="BC86" s="115"/>
    </row>
    <row r="87">
      <c r="A87" s="673" t="str">
        <f>IFERROR(__xludf.DUMMYFUNCTION("""COMPUTED_VALUE"""),"再召喚時間短縮")</f>
        <v>再召喚時間短縮</v>
      </c>
      <c r="B87" s="139"/>
      <c r="C87" s="674">
        <f>IFERROR(__xludf.DUMMYFUNCTION("""COMPUTED_VALUE"""),1.0)</f>
        <v>1</v>
      </c>
      <c r="D87" s="673" t="str">
        <f>IFERROR(__xludf.DUMMYFUNCTION("""COMPUTED_VALUE"""),"効果値")</f>
        <v>効果値</v>
      </c>
      <c r="E87" s="139"/>
      <c r="F87" s="139"/>
      <c r="G87" s="674">
        <f>IFERROR(__xludf.DUMMYFUNCTION("""COMPUTED_VALUE"""),50.0)</f>
        <v>50</v>
      </c>
      <c r="H87" s="139"/>
      <c r="I87" s="139"/>
      <c r="J87" s="674">
        <f>IFERROR(__xludf.DUMMYFUNCTION("""COMPUTED_VALUE"""),75.0)</f>
        <v>75</v>
      </c>
      <c r="K87" s="674">
        <f>IFERROR(__xludf.DUMMYFUNCTION("""COMPUTED_VALUE"""),125.0)</f>
        <v>125</v>
      </c>
      <c r="L87" s="674">
        <f>IFERROR(__xludf.DUMMYFUNCTION("""COMPUTED_VALUE"""),200.0)</f>
        <v>200</v>
      </c>
      <c r="M87" s="139"/>
      <c r="N87" s="674">
        <f>IFERROR(__xludf.DUMMYFUNCTION("""COMPUTED_VALUE"""),1.0)</f>
        <v>1</v>
      </c>
      <c r="O87" s="673" t="str">
        <f>IFERROR(__xludf.DUMMYFUNCTION("""COMPUTED_VALUE"""),"効果値")</f>
        <v>効果値</v>
      </c>
      <c r="P87" s="139"/>
      <c r="Q87" s="139"/>
      <c r="R87" s="139"/>
      <c r="S87" s="139"/>
      <c r="T87" s="139"/>
      <c r="U87" s="139"/>
      <c r="V87" s="139"/>
      <c r="W87" s="139"/>
      <c r="X87" s="139"/>
      <c r="Y87" s="674">
        <f>IFERROR(__xludf.DUMMYFUNCTION("""COMPUTED_VALUE"""),1.0)</f>
        <v>1</v>
      </c>
      <c r="Z87" s="673" t="str">
        <f>IFERROR(__xludf.DUMMYFUNCTION("""COMPUTED_VALUE"""),"効果値")</f>
        <v>効果値</v>
      </c>
      <c r="AA87" s="139"/>
      <c r="AB87" s="139"/>
      <c r="AC87" s="139"/>
      <c r="AD87" s="139"/>
      <c r="AE87" s="139"/>
      <c r="AF87" s="139"/>
      <c r="AG87" s="139"/>
      <c r="AH87" s="139"/>
      <c r="AI87" s="139"/>
      <c r="AJ87" s="674">
        <f>IFERROR(__xludf.DUMMYFUNCTION("""COMPUTED_VALUE"""),1.0)</f>
        <v>1</v>
      </c>
      <c r="AK87" s="673" t="str">
        <f>IFERROR(__xludf.DUMMYFUNCTION("""COMPUTED_VALUE"""),"効果値")</f>
        <v>効果値</v>
      </c>
      <c r="AL87" s="139"/>
      <c r="AM87" s="139"/>
      <c r="AN87" s="139"/>
      <c r="AO87" s="139"/>
      <c r="AP87" s="139"/>
      <c r="AQ87" s="139"/>
      <c r="AR87" s="139"/>
      <c r="AS87" s="139"/>
      <c r="AT87" s="115"/>
      <c r="AU87" s="115"/>
      <c r="AV87" s="115"/>
      <c r="AW87" s="115"/>
      <c r="AX87" s="115"/>
      <c r="AY87" s="115"/>
      <c r="AZ87" s="115"/>
      <c r="BA87" s="115"/>
      <c r="BB87" s="115"/>
      <c r="BC87" s="115"/>
    </row>
    <row r="88">
      <c r="A88" s="673" t="str">
        <f>IFERROR(__xludf.DUMMYFUNCTION("""COMPUTED_VALUE"""),"※スペシャル専用")</f>
        <v>※スペシャル専用</v>
      </c>
      <c r="B88" s="139"/>
      <c r="C88" s="674">
        <f>IFERROR(__xludf.DUMMYFUNCTION("""COMPUTED_VALUE"""),1.0)</f>
        <v>1</v>
      </c>
      <c r="D88" s="673" t="str">
        <f>IFERROR(__xludf.DUMMYFUNCTION("""COMPUTED_VALUE"""),"効果時間")</f>
        <v>効果時間</v>
      </c>
      <c r="E88" s="139"/>
      <c r="F88" s="139"/>
      <c r="G88" s="139"/>
      <c r="H88" s="139"/>
      <c r="I88" s="139"/>
      <c r="J88" s="139"/>
      <c r="K88" s="139"/>
      <c r="L88" s="139"/>
      <c r="M88" s="139"/>
      <c r="N88" s="674">
        <f>IFERROR(__xludf.DUMMYFUNCTION("""COMPUTED_VALUE"""),1.0)</f>
        <v>1</v>
      </c>
      <c r="O88" s="673" t="str">
        <f>IFERROR(__xludf.DUMMYFUNCTION("""COMPUTED_VALUE"""),"効果時間")</f>
        <v>効果時間</v>
      </c>
      <c r="P88" s="139"/>
      <c r="Q88" s="139"/>
      <c r="R88" s="139"/>
      <c r="S88" s="139"/>
      <c r="T88" s="139"/>
      <c r="U88" s="139"/>
      <c r="V88" s="139"/>
      <c r="W88" s="139"/>
      <c r="X88" s="139"/>
      <c r="Y88" s="674">
        <f>IFERROR(__xludf.DUMMYFUNCTION("""COMPUTED_VALUE"""),1.0)</f>
        <v>1</v>
      </c>
      <c r="Z88" s="673" t="str">
        <f>IFERROR(__xludf.DUMMYFUNCTION("""COMPUTED_VALUE"""),"効果時間")</f>
        <v>効果時間</v>
      </c>
      <c r="AA88" s="139"/>
      <c r="AB88" s="139"/>
      <c r="AC88" s="139"/>
      <c r="AD88" s="139"/>
      <c r="AE88" s="139"/>
      <c r="AF88" s="139"/>
      <c r="AG88" s="139"/>
      <c r="AH88" s="139"/>
      <c r="AI88" s="139"/>
      <c r="AJ88" s="674">
        <f>IFERROR(__xludf.DUMMYFUNCTION("""COMPUTED_VALUE"""),1.0)</f>
        <v>1</v>
      </c>
      <c r="AK88" s="673" t="str">
        <f>IFERROR(__xludf.DUMMYFUNCTION("""COMPUTED_VALUE"""),"効果時間")</f>
        <v>効果時間</v>
      </c>
      <c r="AL88" s="139"/>
      <c r="AM88" s="139"/>
      <c r="AN88" s="139"/>
      <c r="AO88" s="139"/>
      <c r="AP88" s="139"/>
      <c r="AQ88" s="139"/>
      <c r="AR88" s="139"/>
      <c r="AS88" s="139"/>
      <c r="AT88" s="115"/>
      <c r="AU88" s="115"/>
      <c r="AV88" s="115"/>
      <c r="AW88" s="115"/>
      <c r="AX88" s="115"/>
      <c r="AY88" s="115"/>
      <c r="AZ88" s="115"/>
      <c r="BA88" s="115"/>
      <c r="BB88" s="115"/>
      <c r="BC88" s="115"/>
    </row>
    <row r="89">
      <c r="A89" s="673" t="str">
        <f>IFERROR(__xludf.DUMMYFUNCTION("""COMPUTED_VALUE"""),"※SSR以上に設定可能")</f>
        <v>※SSR以上に設定可能</v>
      </c>
      <c r="B89" s="139"/>
      <c r="C89" s="674">
        <f>IFERROR(__xludf.DUMMYFUNCTION("""COMPUTED_VALUE"""),2.0)</f>
        <v>2</v>
      </c>
      <c r="D89" s="673" t="str">
        <f>IFERROR(__xludf.DUMMYFUNCTION("""COMPUTED_VALUE"""),"効果値")</f>
        <v>効果値</v>
      </c>
      <c r="E89" s="139"/>
      <c r="F89" s="139"/>
      <c r="G89" s="674">
        <f>IFERROR(__xludf.DUMMYFUNCTION("""COMPUTED_VALUE"""),50.0)</f>
        <v>50</v>
      </c>
      <c r="H89" s="139"/>
      <c r="I89" s="139"/>
      <c r="J89" s="674">
        <f>IFERROR(__xludf.DUMMYFUNCTION("""COMPUTED_VALUE"""),75.0)</f>
        <v>75</v>
      </c>
      <c r="K89" s="674">
        <f>IFERROR(__xludf.DUMMYFUNCTION("""COMPUTED_VALUE"""),125.0)</f>
        <v>125</v>
      </c>
      <c r="L89" s="674">
        <f>IFERROR(__xludf.DUMMYFUNCTION("""COMPUTED_VALUE"""),200.0)</f>
        <v>200</v>
      </c>
      <c r="M89" s="139"/>
      <c r="N89" s="674">
        <f>IFERROR(__xludf.DUMMYFUNCTION("""COMPUTED_VALUE"""),2.0)</f>
        <v>2</v>
      </c>
      <c r="O89" s="673" t="str">
        <f>IFERROR(__xludf.DUMMYFUNCTION("""COMPUTED_VALUE"""),"効果値")</f>
        <v>効果値</v>
      </c>
      <c r="P89" s="139"/>
      <c r="Q89" s="139"/>
      <c r="R89" s="139"/>
      <c r="S89" s="139"/>
      <c r="T89" s="139"/>
      <c r="U89" s="139"/>
      <c r="V89" s="139"/>
      <c r="W89" s="139"/>
      <c r="X89" s="139"/>
      <c r="Y89" s="674">
        <f>IFERROR(__xludf.DUMMYFUNCTION("""COMPUTED_VALUE"""),2.0)</f>
        <v>2</v>
      </c>
      <c r="Z89" s="673" t="str">
        <f>IFERROR(__xludf.DUMMYFUNCTION("""COMPUTED_VALUE"""),"効果値")</f>
        <v>効果値</v>
      </c>
      <c r="AA89" s="139"/>
      <c r="AB89" s="139"/>
      <c r="AC89" s="139"/>
      <c r="AD89" s="139"/>
      <c r="AE89" s="139"/>
      <c r="AF89" s="139"/>
      <c r="AG89" s="139"/>
      <c r="AH89" s="139"/>
      <c r="AI89" s="139"/>
      <c r="AJ89" s="674">
        <f>IFERROR(__xludf.DUMMYFUNCTION("""COMPUTED_VALUE"""),2.0)</f>
        <v>2</v>
      </c>
      <c r="AK89" s="673" t="str">
        <f>IFERROR(__xludf.DUMMYFUNCTION("""COMPUTED_VALUE"""),"効果値")</f>
        <v>効果値</v>
      </c>
      <c r="AL89" s="139"/>
      <c r="AM89" s="139"/>
      <c r="AN89" s="139"/>
      <c r="AO89" s="139"/>
      <c r="AP89" s="139"/>
      <c r="AQ89" s="139"/>
      <c r="AR89" s="139"/>
      <c r="AS89" s="139"/>
      <c r="AT89" s="115"/>
      <c r="AU89" s="115"/>
      <c r="AV89" s="115"/>
      <c r="AW89" s="115"/>
      <c r="AX89" s="115"/>
      <c r="AY89" s="115"/>
      <c r="AZ89" s="115"/>
      <c r="BA89" s="115"/>
      <c r="BB89" s="115"/>
      <c r="BC89" s="115"/>
    </row>
    <row r="90">
      <c r="A90" s="139"/>
      <c r="B90" s="139"/>
      <c r="C90" s="674">
        <f>IFERROR(__xludf.DUMMYFUNCTION("""COMPUTED_VALUE"""),2.0)</f>
        <v>2</v>
      </c>
      <c r="D90" s="673" t="str">
        <f>IFERROR(__xludf.DUMMYFUNCTION("""COMPUTED_VALUE"""),"効果時間")</f>
        <v>効果時間</v>
      </c>
      <c r="E90" s="139"/>
      <c r="F90" s="139"/>
      <c r="G90" s="139"/>
      <c r="H90" s="139"/>
      <c r="I90" s="139"/>
      <c r="J90" s="139"/>
      <c r="K90" s="139"/>
      <c r="L90" s="139"/>
      <c r="M90" s="139"/>
      <c r="N90" s="674">
        <f>IFERROR(__xludf.DUMMYFUNCTION("""COMPUTED_VALUE"""),2.0)</f>
        <v>2</v>
      </c>
      <c r="O90" s="673" t="str">
        <f>IFERROR(__xludf.DUMMYFUNCTION("""COMPUTED_VALUE"""),"効果時間")</f>
        <v>効果時間</v>
      </c>
      <c r="P90" s="139"/>
      <c r="Q90" s="139"/>
      <c r="R90" s="139"/>
      <c r="S90" s="139"/>
      <c r="T90" s="139"/>
      <c r="U90" s="139"/>
      <c r="V90" s="139"/>
      <c r="W90" s="139"/>
      <c r="X90" s="139"/>
      <c r="Y90" s="674">
        <f>IFERROR(__xludf.DUMMYFUNCTION("""COMPUTED_VALUE"""),2.0)</f>
        <v>2</v>
      </c>
      <c r="Z90" s="673" t="str">
        <f>IFERROR(__xludf.DUMMYFUNCTION("""COMPUTED_VALUE"""),"効果時間")</f>
        <v>効果時間</v>
      </c>
      <c r="AA90" s="139"/>
      <c r="AB90" s="139"/>
      <c r="AC90" s="139"/>
      <c r="AD90" s="139"/>
      <c r="AE90" s="139"/>
      <c r="AF90" s="139"/>
      <c r="AG90" s="139"/>
      <c r="AH90" s="139"/>
      <c r="AI90" s="139"/>
      <c r="AJ90" s="674">
        <f>IFERROR(__xludf.DUMMYFUNCTION("""COMPUTED_VALUE"""),2.0)</f>
        <v>2</v>
      </c>
      <c r="AK90" s="673" t="str">
        <f>IFERROR(__xludf.DUMMYFUNCTION("""COMPUTED_VALUE"""),"効果時間")</f>
        <v>効果時間</v>
      </c>
      <c r="AL90" s="139"/>
      <c r="AM90" s="139"/>
      <c r="AN90" s="139"/>
      <c r="AO90" s="139"/>
      <c r="AP90" s="139"/>
      <c r="AQ90" s="139"/>
      <c r="AR90" s="139"/>
      <c r="AS90" s="139"/>
      <c r="AT90" s="115"/>
      <c r="AU90" s="115"/>
      <c r="AV90" s="115"/>
      <c r="AW90" s="115"/>
      <c r="AX90" s="115"/>
      <c r="AY90" s="115"/>
      <c r="AZ90" s="115"/>
      <c r="BA90" s="115"/>
      <c r="BB90" s="115"/>
      <c r="BC90" s="115"/>
    </row>
    <row r="91">
      <c r="A91" s="139"/>
      <c r="B91" s="139"/>
      <c r="C91" s="674">
        <f>IFERROR(__xludf.DUMMYFUNCTION("""COMPUTED_VALUE"""),3.0)</f>
        <v>3</v>
      </c>
      <c r="D91" s="673" t="str">
        <f>IFERROR(__xludf.DUMMYFUNCTION("""COMPUTED_VALUE"""),"効果値")</f>
        <v>効果値</v>
      </c>
      <c r="E91" s="139"/>
      <c r="F91" s="139"/>
      <c r="G91" s="674">
        <f>IFERROR(__xludf.DUMMYFUNCTION("""COMPUTED_VALUE"""),50.0)</f>
        <v>50</v>
      </c>
      <c r="H91" s="139"/>
      <c r="I91" s="139"/>
      <c r="J91" s="674">
        <f>IFERROR(__xludf.DUMMYFUNCTION("""COMPUTED_VALUE"""),75.0)</f>
        <v>75</v>
      </c>
      <c r="K91" s="674">
        <f>IFERROR(__xludf.DUMMYFUNCTION("""COMPUTED_VALUE"""),125.0)</f>
        <v>125</v>
      </c>
      <c r="L91" s="674">
        <f>IFERROR(__xludf.DUMMYFUNCTION("""COMPUTED_VALUE"""),200.0)</f>
        <v>200</v>
      </c>
      <c r="M91" s="139"/>
      <c r="N91" s="674">
        <f>IFERROR(__xludf.DUMMYFUNCTION("""COMPUTED_VALUE"""),3.0)</f>
        <v>3</v>
      </c>
      <c r="O91" s="673" t="str">
        <f>IFERROR(__xludf.DUMMYFUNCTION("""COMPUTED_VALUE"""),"効果値")</f>
        <v>効果値</v>
      </c>
      <c r="P91" s="139"/>
      <c r="Q91" s="139"/>
      <c r="R91" s="139"/>
      <c r="S91" s="139"/>
      <c r="T91" s="139"/>
      <c r="U91" s="139"/>
      <c r="V91" s="139"/>
      <c r="W91" s="139"/>
      <c r="X91" s="139"/>
      <c r="Y91" s="674">
        <f>IFERROR(__xludf.DUMMYFUNCTION("""COMPUTED_VALUE"""),3.0)</f>
        <v>3</v>
      </c>
      <c r="Z91" s="673" t="str">
        <f>IFERROR(__xludf.DUMMYFUNCTION("""COMPUTED_VALUE"""),"効果値")</f>
        <v>効果値</v>
      </c>
      <c r="AA91" s="139"/>
      <c r="AB91" s="139"/>
      <c r="AC91" s="139"/>
      <c r="AD91" s="139"/>
      <c r="AE91" s="139"/>
      <c r="AF91" s="139"/>
      <c r="AG91" s="139"/>
      <c r="AH91" s="139"/>
      <c r="AI91" s="139"/>
      <c r="AJ91" s="674">
        <f>IFERROR(__xludf.DUMMYFUNCTION("""COMPUTED_VALUE"""),3.0)</f>
        <v>3</v>
      </c>
      <c r="AK91" s="673" t="str">
        <f>IFERROR(__xludf.DUMMYFUNCTION("""COMPUTED_VALUE"""),"効果値")</f>
        <v>効果値</v>
      </c>
      <c r="AL91" s="139"/>
      <c r="AM91" s="139"/>
      <c r="AN91" s="139"/>
      <c r="AO91" s="139"/>
      <c r="AP91" s="139"/>
      <c r="AQ91" s="139"/>
      <c r="AR91" s="139"/>
      <c r="AS91" s="139"/>
      <c r="AT91" s="115"/>
      <c r="AU91" s="115"/>
      <c r="AV91" s="115"/>
      <c r="AW91" s="115"/>
      <c r="AX91" s="115"/>
      <c r="AY91" s="115"/>
      <c r="AZ91" s="115"/>
      <c r="BA91" s="115"/>
      <c r="BB91" s="115"/>
      <c r="BC91" s="115"/>
    </row>
    <row r="92">
      <c r="A92" s="139"/>
      <c r="B92" s="139"/>
      <c r="C92" s="674">
        <f>IFERROR(__xludf.DUMMYFUNCTION("""COMPUTED_VALUE"""),3.0)</f>
        <v>3</v>
      </c>
      <c r="D92" s="673" t="str">
        <f>IFERROR(__xludf.DUMMYFUNCTION("""COMPUTED_VALUE"""),"効果時間")</f>
        <v>効果時間</v>
      </c>
      <c r="E92" s="139"/>
      <c r="F92" s="139"/>
      <c r="G92" s="139"/>
      <c r="H92" s="139"/>
      <c r="I92" s="139"/>
      <c r="J92" s="139"/>
      <c r="K92" s="139"/>
      <c r="L92" s="139"/>
      <c r="M92" s="139"/>
      <c r="N92" s="674">
        <f>IFERROR(__xludf.DUMMYFUNCTION("""COMPUTED_VALUE"""),3.0)</f>
        <v>3</v>
      </c>
      <c r="O92" s="673" t="str">
        <f>IFERROR(__xludf.DUMMYFUNCTION("""COMPUTED_VALUE"""),"効果時間")</f>
        <v>効果時間</v>
      </c>
      <c r="P92" s="139"/>
      <c r="Q92" s="139"/>
      <c r="R92" s="139"/>
      <c r="S92" s="139"/>
      <c r="T92" s="139"/>
      <c r="U92" s="139"/>
      <c r="V92" s="139"/>
      <c r="W92" s="139"/>
      <c r="X92" s="139"/>
      <c r="Y92" s="674">
        <f>IFERROR(__xludf.DUMMYFUNCTION("""COMPUTED_VALUE"""),3.0)</f>
        <v>3</v>
      </c>
      <c r="Z92" s="673" t="str">
        <f>IFERROR(__xludf.DUMMYFUNCTION("""COMPUTED_VALUE"""),"効果時間")</f>
        <v>効果時間</v>
      </c>
      <c r="AA92" s="139"/>
      <c r="AB92" s="139"/>
      <c r="AC92" s="139"/>
      <c r="AD92" s="139"/>
      <c r="AE92" s="139"/>
      <c r="AF92" s="139"/>
      <c r="AG92" s="139"/>
      <c r="AH92" s="139"/>
      <c r="AI92" s="139"/>
      <c r="AJ92" s="674">
        <f>IFERROR(__xludf.DUMMYFUNCTION("""COMPUTED_VALUE"""),3.0)</f>
        <v>3</v>
      </c>
      <c r="AK92" s="673" t="str">
        <f>IFERROR(__xludf.DUMMYFUNCTION("""COMPUTED_VALUE"""),"効果時間")</f>
        <v>効果時間</v>
      </c>
      <c r="AL92" s="139"/>
      <c r="AM92" s="139"/>
      <c r="AN92" s="139"/>
      <c r="AO92" s="139"/>
      <c r="AP92" s="139"/>
      <c r="AQ92" s="139"/>
      <c r="AR92" s="139"/>
      <c r="AS92" s="139"/>
      <c r="AT92" s="115"/>
      <c r="AU92" s="115"/>
      <c r="AV92" s="115"/>
      <c r="AW92" s="115"/>
      <c r="AX92" s="115"/>
      <c r="AY92" s="115"/>
      <c r="AZ92" s="115"/>
      <c r="BA92" s="115"/>
      <c r="BB92" s="115"/>
      <c r="BC92" s="115"/>
    </row>
    <row r="93">
      <c r="A93" s="139"/>
      <c r="B93" s="139"/>
      <c r="C93" s="674">
        <f>IFERROR(__xludf.DUMMYFUNCTION("""COMPUTED_VALUE"""),4.0)</f>
        <v>4</v>
      </c>
      <c r="D93" s="673" t="str">
        <f>IFERROR(__xludf.DUMMYFUNCTION("""COMPUTED_VALUE"""),"効果値")</f>
        <v>効果値</v>
      </c>
      <c r="E93" s="139"/>
      <c r="F93" s="139"/>
      <c r="G93" s="674">
        <f>IFERROR(__xludf.DUMMYFUNCTION("""COMPUTED_VALUE"""),50.0)</f>
        <v>50</v>
      </c>
      <c r="H93" s="139"/>
      <c r="I93" s="139"/>
      <c r="J93" s="674">
        <f>IFERROR(__xludf.DUMMYFUNCTION("""COMPUTED_VALUE"""),75.0)</f>
        <v>75</v>
      </c>
      <c r="K93" s="674">
        <f>IFERROR(__xludf.DUMMYFUNCTION("""COMPUTED_VALUE"""),125.0)</f>
        <v>125</v>
      </c>
      <c r="L93" s="674">
        <f>IFERROR(__xludf.DUMMYFUNCTION("""COMPUTED_VALUE"""),200.0)</f>
        <v>200</v>
      </c>
      <c r="M93" s="139"/>
      <c r="N93" s="674">
        <f>IFERROR(__xludf.DUMMYFUNCTION("""COMPUTED_VALUE"""),4.0)</f>
        <v>4</v>
      </c>
      <c r="O93" s="673" t="str">
        <f>IFERROR(__xludf.DUMMYFUNCTION("""COMPUTED_VALUE"""),"効果値")</f>
        <v>効果値</v>
      </c>
      <c r="P93" s="139"/>
      <c r="Q93" s="139"/>
      <c r="R93" s="139"/>
      <c r="S93" s="139"/>
      <c r="T93" s="139"/>
      <c r="U93" s="139"/>
      <c r="V93" s="139"/>
      <c r="W93" s="139"/>
      <c r="X93" s="139"/>
      <c r="Y93" s="674">
        <f>IFERROR(__xludf.DUMMYFUNCTION("""COMPUTED_VALUE"""),4.0)</f>
        <v>4</v>
      </c>
      <c r="Z93" s="673" t="str">
        <f>IFERROR(__xludf.DUMMYFUNCTION("""COMPUTED_VALUE"""),"効果値")</f>
        <v>効果値</v>
      </c>
      <c r="AA93" s="139"/>
      <c r="AB93" s="139"/>
      <c r="AC93" s="139"/>
      <c r="AD93" s="139"/>
      <c r="AE93" s="139"/>
      <c r="AF93" s="139"/>
      <c r="AG93" s="139"/>
      <c r="AH93" s="139"/>
      <c r="AI93" s="139"/>
      <c r="AJ93" s="674">
        <f>IFERROR(__xludf.DUMMYFUNCTION("""COMPUTED_VALUE"""),4.0)</f>
        <v>4</v>
      </c>
      <c r="AK93" s="673" t="str">
        <f>IFERROR(__xludf.DUMMYFUNCTION("""COMPUTED_VALUE"""),"効果値")</f>
        <v>効果値</v>
      </c>
      <c r="AL93" s="139"/>
      <c r="AM93" s="139"/>
      <c r="AN93" s="139"/>
      <c r="AO93" s="139"/>
      <c r="AP93" s="139"/>
      <c r="AQ93" s="139"/>
      <c r="AR93" s="139"/>
      <c r="AS93" s="139"/>
      <c r="AT93" s="115"/>
      <c r="AU93" s="115"/>
      <c r="AV93" s="115"/>
      <c r="AW93" s="115"/>
      <c r="AX93" s="115"/>
      <c r="AY93" s="115"/>
      <c r="AZ93" s="115"/>
      <c r="BA93" s="115"/>
      <c r="BB93" s="115"/>
      <c r="BC93" s="115"/>
    </row>
    <row r="94">
      <c r="A94" s="139"/>
      <c r="B94" s="139"/>
      <c r="C94" s="674">
        <f>IFERROR(__xludf.DUMMYFUNCTION("""COMPUTED_VALUE"""),4.0)</f>
        <v>4</v>
      </c>
      <c r="D94" s="673" t="str">
        <f>IFERROR(__xludf.DUMMYFUNCTION("""COMPUTED_VALUE"""),"効果時間")</f>
        <v>効果時間</v>
      </c>
      <c r="E94" s="139"/>
      <c r="F94" s="139"/>
      <c r="G94" s="139"/>
      <c r="H94" s="139"/>
      <c r="I94" s="139"/>
      <c r="J94" s="139"/>
      <c r="K94" s="139"/>
      <c r="L94" s="139"/>
      <c r="M94" s="139"/>
      <c r="N94" s="674">
        <f>IFERROR(__xludf.DUMMYFUNCTION("""COMPUTED_VALUE"""),4.0)</f>
        <v>4</v>
      </c>
      <c r="O94" s="673" t="str">
        <f>IFERROR(__xludf.DUMMYFUNCTION("""COMPUTED_VALUE"""),"効果時間")</f>
        <v>効果時間</v>
      </c>
      <c r="P94" s="139"/>
      <c r="Q94" s="139"/>
      <c r="R94" s="139"/>
      <c r="S94" s="139"/>
      <c r="T94" s="139"/>
      <c r="U94" s="139"/>
      <c r="V94" s="139"/>
      <c r="W94" s="139"/>
      <c r="X94" s="139"/>
      <c r="Y94" s="674">
        <f>IFERROR(__xludf.DUMMYFUNCTION("""COMPUTED_VALUE"""),4.0)</f>
        <v>4</v>
      </c>
      <c r="Z94" s="673" t="str">
        <f>IFERROR(__xludf.DUMMYFUNCTION("""COMPUTED_VALUE"""),"効果時間")</f>
        <v>効果時間</v>
      </c>
      <c r="AA94" s="139"/>
      <c r="AB94" s="139"/>
      <c r="AC94" s="139"/>
      <c r="AD94" s="139"/>
      <c r="AE94" s="139"/>
      <c r="AF94" s="139"/>
      <c r="AG94" s="139"/>
      <c r="AH94" s="139"/>
      <c r="AI94" s="139"/>
      <c r="AJ94" s="674">
        <f>IFERROR(__xludf.DUMMYFUNCTION("""COMPUTED_VALUE"""),4.0)</f>
        <v>4</v>
      </c>
      <c r="AK94" s="673" t="str">
        <f>IFERROR(__xludf.DUMMYFUNCTION("""COMPUTED_VALUE"""),"効果時間")</f>
        <v>効果時間</v>
      </c>
      <c r="AL94" s="139"/>
      <c r="AM94" s="139"/>
      <c r="AN94" s="139"/>
      <c r="AO94" s="139"/>
      <c r="AP94" s="139"/>
      <c r="AQ94" s="139"/>
      <c r="AR94" s="139"/>
      <c r="AS94" s="139"/>
      <c r="AT94" s="115"/>
      <c r="AU94" s="115"/>
      <c r="AV94" s="115"/>
      <c r="AW94" s="115"/>
      <c r="AX94" s="115"/>
      <c r="AY94" s="115"/>
      <c r="AZ94" s="115"/>
      <c r="BA94" s="115"/>
      <c r="BB94" s="115"/>
      <c r="BC94" s="115"/>
    </row>
    <row r="95">
      <c r="A95" s="139"/>
      <c r="B95" s="139"/>
      <c r="C95" s="674">
        <f>IFERROR(__xludf.DUMMYFUNCTION("""COMPUTED_VALUE"""),5.0)</f>
        <v>5</v>
      </c>
      <c r="D95" s="673" t="str">
        <f>IFERROR(__xludf.DUMMYFUNCTION("""COMPUTED_VALUE"""),"効果値")</f>
        <v>効果値</v>
      </c>
      <c r="E95" s="139"/>
      <c r="F95" s="139"/>
      <c r="G95" s="674">
        <f>IFERROR(__xludf.DUMMYFUNCTION("""COMPUTED_VALUE"""),50.0)</f>
        <v>50</v>
      </c>
      <c r="H95" s="139"/>
      <c r="I95" s="139"/>
      <c r="J95" s="674">
        <f>IFERROR(__xludf.DUMMYFUNCTION("""COMPUTED_VALUE"""),75.0)</f>
        <v>75</v>
      </c>
      <c r="K95" s="674">
        <f>IFERROR(__xludf.DUMMYFUNCTION("""COMPUTED_VALUE"""),125.0)</f>
        <v>125</v>
      </c>
      <c r="L95" s="674">
        <f>IFERROR(__xludf.DUMMYFUNCTION("""COMPUTED_VALUE"""),200.0)</f>
        <v>200</v>
      </c>
      <c r="M95" s="139"/>
      <c r="N95" s="674">
        <f>IFERROR(__xludf.DUMMYFUNCTION("""COMPUTED_VALUE"""),5.0)</f>
        <v>5</v>
      </c>
      <c r="O95" s="673" t="str">
        <f>IFERROR(__xludf.DUMMYFUNCTION("""COMPUTED_VALUE"""),"効果値")</f>
        <v>効果値</v>
      </c>
      <c r="P95" s="139"/>
      <c r="Q95" s="139"/>
      <c r="R95" s="139"/>
      <c r="S95" s="139"/>
      <c r="T95" s="139"/>
      <c r="U95" s="139"/>
      <c r="V95" s="139"/>
      <c r="W95" s="139"/>
      <c r="X95" s="139"/>
      <c r="Y95" s="674">
        <f>IFERROR(__xludf.DUMMYFUNCTION("""COMPUTED_VALUE"""),5.0)</f>
        <v>5</v>
      </c>
      <c r="Z95" s="673" t="str">
        <f>IFERROR(__xludf.DUMMYFUNCTION("""COMPUTED_VALUE"""),"効果値")</f>
        <v>効果値</v>
      </c>
      <c r="AA95" s="139"/>
      <c r="AB95" s="139"/>
      <c r="AC95" s="139"/>
      <c r="AD95" s="139"/>
      <c r="AE95" s="139"/>
      <c r="AF95" s="139"/>
      <c r="AG95" s="139"/>
      <c r="AH95" s="139"/>
      <c r="AI95" s="139"/>
      <c r="AJ95" s="674">
        <f>IFERROR(__xludf.DUMMYFUNCTION("""COMPUTED_VALUE"""),5.0)</f>
        <v>5</v>
      </c>
      <c r="AK95" s="673" t="str">
        <f>IFERROR(__xludf.DUMMYFUNCTION("""COMPUTED_VALUE"""),"効果値")</f>
        <v>効果値</v>
      </c>
      <c r="AL95" s="139"/>
      <c r="AM95" s="139"/>
      <c r="AN95" s="139"/>
      <c r="AO95" s="139"/>
      <c r="AP95" s="139"/>
      <c r="AQ95" s="139"/>
      <c r="AR95" s="139"/>
      <c r="AS95" s="139"/>
      <c r="AT95" s="115"/>
      <c r="AU95" s="115"/>
      <c r="AV95" s="115"/>
      <c r="AW95" s="115"/>
      <c r="AX95" s="115"/>
      <c r="AY95" s="115"/>
      <c r="AZ95" s="115"/>
      <c r="BA95" s="115"/>
      <c r="BB95" s="115"/>
      <c r="BC95" s="115"/>
    </row>
    <row r="96">
      <c r="A96" s="139"/>
      <c r="B96" s="139"/>
      <c r="C96" s="674">
        <f>IFERROR(__xludf.DUMMYFUNCTION("""COMPUTED_VALUE"""),5.0)</f>
        <v>5</v>
      </c>
      <c r="D96" s="673" t="str">
        <f>IFERROR(__xludf.DUMMYFUNCTION("""COMPUTED_VALUE"""),"効果時間")</f>
        <v>効果時間</v>
      </c>
      <c r="E96" s="139"/>
      <c r="F96" s="139"/>
      <c r="G96" s="139"/>
      <c r="H96" s="139"/>
      <c r="I96" s="139"/>
      <c r="J96" s="139"/>
      <c r="K96" s="139"/>
      <c r="L96" s="139"/>
      <c r="M96" s="139"/>
      <c r="N96" s="674">
        <f>IFERROR(__xludf.DUMMYFUNCTION("""COMPUTED_VALUE"""),5.0)</f>
        <v>5</v>
      </c>
      <c r="O96" s="673" t="str">
        <f>IFERROR(__xludf.DUMMYFUNCTION("""COMPUTED_VALUE"""),"効果時間")</f>
        <v>効果時間</v>
      </c>
      <c r="P96" s="139"/>
      <c r="Q96" s="139"/>
      <c r="R96" s="139"/>
      <c r="S96" s="139"/>
      <c r="T96" s="139"/>
      <c r="U96" s="139"/>
      <c r="V96" s="139"/>
      <c r="W96" s="139"/>
      <c r="X96" s="139"/>
      <c r="Y96" s="674">
        <f>IFERROR(__xludf.DUMMYFUNCTION("""COMPUTED_VALUE"""),5.0)</f>
        <v>5</v>
      </c>
      <c r="Z96" s="673" t="str">
        <f>IFERROR(__xludf.DUMMYFUNCTION("""COMPUTED_VALUE"""),"効果時間")</f>
        <v>効果時間</v>
      </c>
      <c r="AA96" s="139"/>
      <c r="AB96" s="139"/>
      <c r="AC96" s="139"/>
      <c r="AD96" s="139"/>
      <c r="AE96" s="139"/>
      <c r="AF96" s="139"/>
      <c r="AG96" s="139"/>
      <c r="AH96" s="139"/>
      <c r="AI96" s="139"/>
      <c r="AJ96" s="674">
        <f>IFERROR(__xludf.DUMMYFUNCTION("""COMPUTED_VALUE"""),5.0)</f>
        <v>5</v>
      </c>
      <c r="AK96" s="673" t="str">
        <f>IFERROR(__xludf.DUMMYFUNCTION("""COMPUTED_VALUE"""),"効果時間")</f>
        <v>効果時間</v>
      </c>
      <c r="AL96" s="139"/>
      <c r="AM96" s="139"/>
      <c r="AN96" s="139"/>
      <c r="AO96" s="139"/>
      <c r="AP96" s="139"/>
      <c r="AQ96" s="139"/>
      <c r="AR96" s="139"/>
      <c r="AS96" s="139"/>
      <c r="AT96" s="115"/>
      <c r="AU96" s="115"/>
      <c r="AV96" s="115"/>
      <c r="AW96" s="115"/>
      <c r="AX96" s="115"/>
      <c r="AY96" s="115"/>
      <c r="AZ96" s="115"/>
      <c r="BA96" s="115"/>
      <c r="BB96" s="115"/>
      <c r="BC96" s="115"/>
    </row>
    <row r="97">
      <c r="A97" s="139"/>
      <c r="B97" s="139"/>
      <c r="C97" s="139"/>
      <c r="D97" s="139"/>
      <c r="E97" s="139"/>
      <c r="F97" s="139"/>
      <c r="G97" s="139"/>
      <c r="H97" s="139"/>
      <c r="I97" s="139"/>
      <c r="J97" s="139"/>
      <c r="K97" s="139"/>
      <c r="L97" s="139"/>
      <c r="M97" s="139"/>
      <c r="N97" s="139"/>
      <c r="O97" s="139"/>
      <c r="P97" s="139"/>
      <c r="Q97" s="139"/>
      <c r="R97" s="139"/>
      <c r="S97" s="139"/>
      <c r="T97" s="139"/>
      <c r="U97" s="139"/>
      <c r="V97" s="139"/>
      <c r="W97" s="139"/>
      <c r="X97" s="139"/>
      <c r="Y97" s="139"/>
      <c r="Z97" s="139"/>
      <c r="AA97" s="139"/>
      <c r="AB97" s="139"/>
      <c r="AC97" s="139"/>
      <c r="AD97" s="139"/>
      <c r="AE97" s="139"/>
      <c r="AF97" s="139"/>
      <c r="AG97" s="139"/>
      <c r="AH97" s="139"/>
      <c r="AI97" s="139"/>
      <c r="AJ97" s="139"/>
      <c r="AK97" s="139"/>
      <c r="AL97" s="139"/>
      <c r="AM97" s="139"/>
      <c r="AN97" s="139"/>
      <c r="AO97" s="139"/>
      <c r="AP97" s="139"/>
      <c r="AQ97" s="139"/>
      <c r="AR97" s="139"/>
      <c r="AS97" s="139"/>
      <c r="AT97" s="115"/>
      <c r="AU97" s="115"/>
      <c r="AV97" s="115"/>
      <c r="AW97" s="115"/>
      <c r="AX97" s="115"/>
      <c r="AY97" s="115"/>
      <c r="AZ97" s="115"/>
      <c r="BA97" s="115"/>
      <c r="BB97" s="115"/>
      <c r="BC97" s="115"/>
    </row>
    <row r="98">
      <c r="A98" s="139"/>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15"/>
      <c r="AU98" s="115"/>
      <c r="AV98" s="115"/>
      <c r="AW98" s="115"/>
      <c r="AX98" s="115"/>
      <c r="AY98" s="115"/>
      <c r="AZ98" s="115"/>
      <c r="BA98" s="115"/>
      <c r="BB98" s="115"/>
      <c r="BC98" s="115"/>
    </row>
    <row r="99">
      <c r="AT99" s="115"/>
      <c r="AU99" s="115"/>
      <c r="AV99" s="115"/>
      <c r="AW99" s="115"/>
      <c r="AX99" s="115"/>
      <c r="AY99" s="115"/>
      <c r="AZ99" s="115"/>
      <c r="BA99" s="115"/>
      <c r="BB99" s="115"/>
      <c r="BC99" s="115"/>
    </row>
    <row r="100">
      <c r="AT100" s="115"/>
      <c r="AU100" s="115"/>
      <c r="AV100" s="115"/>
      <c r="AW100" s="115"/>
      <c r="AX100" s="115"/>
      <c r="AY100" s="115"/>
      <c r="AZ100" s="115"/>
      <c r="BA100" s="115"/>
      <c r="BB100" s="115"/>
      <c r="BC100" s="115"/>
    </row>
    <row r="101">
      <c r="AT101" s="115"/>
      <c r="AU101" s="115"/>
      <c r="AV101" s="115"/>
      <c r="AW101" s="115"/>
      <c r="AX101" s="115"/>
      <c r="AY101" s="115"/>
      <c r="AZ101" s="115"/>
      <c r="BA101" s="115"/>
      <c r="BB101" s="115"/>
      <c r="BC101" s="115"/>
    </row>
    <row r="102">
      <c r="AT102" s="115"/>
      <c r="AU102" s="115"/>
      <c r="AV102" s="115"/>
      <c r="AW102" s="115"/>
      <c r="AX102" s="115"/>
      <c r="AY102" s="115"/>
      <c r="AZ102" s="115"/>
      <c r="BA102" s="115"/>
      <c r="BB102" s="115"/>
      <c r="BC102" s="115"/>
    </row>
    <row r="103">
      <c r="AT103" s="115"/>
      <c r="AU103" s="115"/>
      <c r="AV103" s="115"/>
      <c r="AW103" s="115"/>
      <c r="AX103" s="115"/>
      <c r="AY103" s="115"/>
      <c r="AZ103" s="115"/>
      <c r="BA103" s="115"/>
      <c r="BB103" s="115"/>
      <c r="BC103" s="115"/>
    </row>
    <row r="104">
      <c r="AT104" s="115"/>
      <c r="AU104" s="115"/>
      <c r="AV104" s="115"/>
      <c r="AW104" s="115"/>
      <c r="AX104" s="115"/>
      <c r="AY104" s="115"/>
      <c r="AZ104" s="115"/>
      <c r="BA104" s="115"/>
      <c r="BB104" s="115"/>
      <c r="BC104" s="115"/>
    </row>
    <row r="105">
      <c r="AT105" s="115"/>
      <c r="AU105" s="115"/>
      <c r="AV105" s="115"/>
      <c r="AW105" s="115"/>
      <c r="AX105" s="115"/>
      <c r="AY105" s="115"/>
      <c r="AZ105" s="115"/>
      <c r="BA105" s="115"/>
      <c r="BB105" s="115"/>
      <c r="BC105" s="115"/>
    </row>
    <row r="106">
      <c r="AT106" s="115"/>
      <c r="AU106" s="115"/>
      <c r="AV106" s="115"/>
      <c r="AW106" s="115"/>
      <c r="AX106" s="115"/>
      <c r="AY106" s="115"/>
      <c r="AZ106" s="115"/>
      <c r="BA106" s="115"/>
      <c r="BB106" s="115"/>
      <c r="BC106" s="115"/>
    </row>
    <row r="107">
      <c r="AT107" s="115"/>
      <c r="AU107" s="115"/>
      <c r="AV107" s="115"/>
      <c r="AW107" s="115"/>
      <c r="AX107" s="115"/>
      <c r="AY107" s="115"/>
      <c r="AZ107" s="115"/>
      <c r="BA107" s="115"/>
      <c r="BB107" s="115"/>
      <c r="BC107" s="115"/>
    </row>
    <row r="108">
      <c r="AT108" s="115"/>
      <c r="AU108" s="115"/>
      <c r="AV108" s="115"/>
      <c r="AW108" s="115"/>
      <c r="AX108" s="115"/>
      <c r="AY108" s="115"/>
      <c r="AZ108" s="115"/>
      <c r="BA108" s="115"/>
      <c r="BB108" s="115"/>
      <c r="BC108" s="115"/>
    </row>
    <row r="109">
      <c r="AT109" s="115"/>
      <c r="AU109" s="115"/>
      <c r="AV109" s="115"/>
      <c r="AW109" s="115"/>
      <c r="AX109" s="115"/>
      <c r="AY109" s="115"/>
      <c r="AZ109" s="115"/>
      <c r="BA109" s="115"/>
      <c r="BB109" s="115"/>
      <c r="BC109" s="115"/>
    </row>
    <row r="110">
      <c r="AT110" s="115"/>
      <c r="AU110" s="115"/>
      <c r="AV110" s="115"/>
      <c r="AW110" s="115"/>
      <c r="AX110" s="115"/>
      <c r="AY110" s="115"/>
      <c r="AZ110" s="115"/>
      <c r="BA110" s="115"/>
      <c r="BB110" s="115"/>
      <c r="BC110" s="115"/>
    </row>
    <row r="111">
      <c r="AT111" s="115"/>
      <c r="AU111" s="115"/>
      <c r="AV111" s="115"/>
      <c r="AW111" s="115"/>
      <c r="AX111" s="115"/>
      <c r="AY111" s="115"/>
      <c r="AZ111" s="115"/>
      <c r="BA111" s="115"/>
      <c r="BB111" s="115"/>
      <c r="BC111" s="115"/>
    </row>
    <row r="112">
      <c r="AT112" s="115"/>
      <c r="AU112" s="115"/>
      <c r="AV112" s="115"/>
      <c r="AW112" s="115"/>
      <c r="AX112" s="115"/>
      <c r="AY112" s="115"/>
      <c r="AZ112" s="115"/>
      <c r="BA112" s="115"/>
      <c r="BB112" s="115"/>
      <c r="BC112" s="115"/>
    </row>
    <row r="113">
      <c r="AT113" s="115"/>
      <c r="AU113" s="115"/>
      <c r="AV113" s="115"/>
      <c r="AW113" s="115"/>
      <c r="AX113" s="115"/>
      <c r="AY113" s="115"/>
      <c r="AZ113" s="115"/>
      <c r="BA113" s="115"/>
      <c r="BB113" s="115"/>
      <c r="BC113" s="115"/>
    </row>
    <row r="114">
      <c r="AT114" s="115"/>
      <c r="AU114" s="115"/>
      <c r="AV114" s="115"/>
      <c r="AW114" s="115"/>
      <c r="AX114" s="115"/>
      <c r="AY114" s="115"/>
      <c r="AZ114" s="115"/>
      <c r="BA114" s="115"/>
      <c r="BB114" s="115"/>
      <c r="BC114" s="115"/>
    </row>
    <row r="115">
      <c r="AT115" s="115"/>
      <c r="AU115" s="115"/>
      <c r="AV115" s="115"/>
      <c r="AW115" s="115"/>
      <c r="AX115" s="115"/>
      <c r="AY115" s="115"/>
      <c r="AZ115" s="115"/>
      <c r="BA115" s="115"/>
      <c r="BB115" s="115"/>
      <c r="BC115" s="115"/>
    </row>
    <row r="116">
      <c r="AT116" s="115"/>
      <c r="AU116" s="115"/>
      <c r="AV116" s="115"/>
      <c r="AW116" s="115"/>
      <c r="AX116" s="115"/>
      <c r="AY116" s="115"/>
      <c r="AZ116" s="115"/>
      <c r="BA116" s="115"/>
      <c r="BB116" s="115"/>
      <c r="BC116" s="115"/>
    </row>
    <row r="117">
      <c r="AT117" s="115"/>
      <c r="AU117" s="115"/>
      <c r="AV117" s="115"/>
      <c r="AW117" s="115"/>
      <c r="AX117" s="115"/>
      <c r="AY117" s="115"/>
      <c r="AZ117" s="115"/>
      <c r="BA117" s="115"/>
      <c r="BB117" s="115"/>
      <c r="BC117" s="115"/>
    </row>
    <row r="118">
      <c r="AT118" s="115"/>
      <c r="AU118" s="115"/>
      <c r="AV118" s="115"/>
      <c r="AW118" s="115"/>
      <c r="AX118" s="115"/>
      <c r="AY118" s="115"/>
      <c r="AZ118" s="115"/>
      <c r="BA118" s="115"/>
      <c r="BB118" s="115"/>
      <c r="BC118" s="115"/>
    </row>
    <row r="119">
      <c r="AT119" s="115"/>
      <c r="AU119" s="115"/>
      <c r="AV119" s="115"/>
      <c r="AW119" s="115"/>
      <c r="AX119" s="115"/>
      <c r="AY119" s="115"/>
      <c r="AZ119" s="115"/>
      <c r="BA119" s="115"/>
      <c r="BB119" s="115"/>
      <c r="BC119" s="115"/>
    </row>
    <row r="120">
      <c r="AT120" s="115"/>
      <c r="AU120" s="115"/>
      <c r="AV120" s="115"/>
      <c r="AW120" s="115"/>
      <c r="AX120" s="115"/>
      <c r="AY120" s="115"/>
      <c r="AZ120" s="115"/>
      <c r="BA120" s="115"/>
      <c r="BB120" s="115"/>
      <c r="BC120" s="115"/>
    </row>
    <row r="121">
      <c r="AT121" s="115"/>
      <c r="AU121" s="115"/>
      <c r="AV121" s="115"/>
      <c r="AW121" s="115"/>
      <c r="AX121" s="115"/>
      <c r="AY121" s="115"/>
      <c r="AZ121" s="115"/>
      <c r="BA121" s="115"/>
      <c r="BB121" s="115"/>
      <c r="BC121" s="115"/>
    </row>
    <row r="122">
      <c r="AT122" s="115"/>
      <c r="AU122" s="115"/>
      <c r="AV122" s="115"/>
      <c r="AW122" s="115"/>
      <c r="AX122" s="115"/>
      <c r="AY122" s="115"/>
      <c r="AZ122" s="115"/>
      <c r="BA122" s="115"/>
      <c r="BB122" s="115"/>
      <c r="BC122" s="115"/>
    </row>
    <row r="123">
      <c r="AT123" s="115"/>
      <c r="AU123" s="115"/>
      <c r="AV123" s="115"/>
      <c r="AW123" s="115"/>
      <c r="AX123" s="115"/>
      <c r="AY123" s="115"/>
      <c r="AZ123" s="115"/>
      <c r="BA123" s="115"/>
      <c r="BB123" s="115"/>
      <c r="BC123" s="115"/>
    </row>
    <row r="124">
      <c r="AT124" s="115"/>
      <c r="AU124" s="115"/>
      <c r="AV124" s="115"/>
      <c r="AW124" s="115"/>
      <c r="AX124" s="115"/>
      <c r="AY124" s="115"/>
      <c r="AZ124" s="115"/>
      <c r="BA124" s="115"/>
      <c r="BB124" s="115"/>
      <c r="BC124" s="115"/>
    </row>
    <row r="125">
      <c r="AT125" s="115"/>
      <c r="AU125" s="115"/>
      <c r="AV125" s="115"/>
      <c r="AW125" s="115"/>
      <c r="AX125" s="115"/>
      <c r="AY125" s="115"/>
      <c r="AZ125" s="115"/>
      <c r="BA125" s="115"/>
      <c r="BB125" s="115"/>
      <c r="BC125" s="115"/>
    </row>
    <row r="126">
      <c r="AT126" s="115"/>
      <c r="AU126" s="115"/>
      <c r="AV126" s="115"/>
      <c r="AW126" s="115"/>
      <c r="AX126" s="115"/>
      <c r="AY126" s="115"/>
      <c r="AZ126" s="115"/>
      <c r="BA126" s="115"/>
      <c r="BB126" s="115"/>
      <c r="BC126" s="115"/>
    </row>
    <row r="127">
      <c r="AT127" s="115"/>
      <c r="AU127" s="115"/>
      <c r="AV127" s="115"/>
      <c r="AW127" s="115"/>
      <c r="AX127" s="115"/>
      <c r="AY127" s="115"/>
      <c r="AZ127" s="115"/>
      <c r="BA127" s="115"/>
      <c r="BB127" s="115"/>
      <c r="BC127" s="115"/>
    </row>
    <row r="128">
      <c r="AT128" s="115"/>
      <c r="AU128" s="115"/>
      <c r="AV128" s="115"/>
      <c r="AW128" s="115"/>
      <c r="AX128" s="115"/>
      <c r="AY128" s="115"/>
      <c r="AZ128" s="115"/>
      <c r="BA128" s="115"/>
      <c r="BB128" s="115"/>
      <c r="BC128" s="115"/>
    </row>
    <row r="129">
      <c r="AT129" s="115"/>
      <c r="AU129" s="115"/>
      <c r="AV129" s="115"/>
      <c r="AW129" s="115"/>
      <c r="AX129" s="115"/>
      <c r="AY129" s="115"/>
      <c r="AZ129" s="115"/>
      <c r="BA129" s="115"/>
      <c r="BB129" s="115"/>
      <c r="BC129" s="115"/>
    </row>
    <row r="130">
      <c r="AT130" s="115"/>
      <c r="AU130" s="115"/>
      <c r="AV130" s="115"/>
      <c r="AW130" s="115"/>
      <c r="AX130" s="115"/>
      <c r="AY130" s="115"/>
      <c r="AZ130" s="115"/>
      <c r="BA130" s="115"/>
      <c r="BB130" s="115"/>
      <c r="BC130" s="115"/>
    </row>
    <row r="131">
      <c r="AT131" s="115"/>
      <c r="AU131" s="115"/>
      <c r="AV131" s="115"/>
      <c r="AW131" s="115"/>
      <c r="AX131" s="115"/>
      <c r="AY131" s="115"/>
      <c r="AZ131" s="115"/>
      <c r="BA131" s="115"/>
      <c r="BB131" s="115"/>
      <c r="BC131" s="115"/>
    </row>
    <row r="132">
      <c r="AT132" s="115"/>
      <c r="AU132" s="115"/>
      <c r="AV132" s="115"/>
      <c r="AW132" s="115"/>
      <c r="AX132" s="115"/>
      <c r="AY132" s="115"/>
      <c r="AZ132" s="115"/>
      <c r="BA132" s="115"/>
      <c r="BB132" s="115"/>
      <c r="BC132" s="115"/>
    </row>
    <row r="133">
      <c r="AT133" s="115"/>
      <c r="AU133" s="115"/>
      <c r="AV133" s="115"/>
      <c r="AW133" s="115"/>
      <c r="AX133" s="115"/>
      <c r="AY133" s="115"/>
      <c r="AZ133" s="115"/>
      <c r="BA133" s="115"/>
      <c r="BB133" s="115"/>
      <c r="BC133" s="115"/>
    </row>
    <row r="134">
      <c r="AT134" s="115"/>
      <c r="AU134" s="115"/>
      <c r="AV134" s="115"/>
      <c r="AW134" s="115"/>
      <c r="AX134" s="115"/>
      <c r="AY134" s="115"/>
      <c r="AZ134" s="115"/>
      <c r="BA134" s="115"/>
      <c r="BB134" s="115"/>
      <c r="BC134" s="115"/>
    </row>
    <row r="135">
      <c r="AT135" s="115"/>
      <c r="AU135" s="115"/>
      <c r="AV135" s="115"/>
      <c r="AW135" s="115"/>
      <c r="AX135" s="115"/>
      <c r="AY135" s="115"/>
      <c r="AZ135" s="115"/>
      <c r="BA135" s="115"/>
      <c r="BB135" s="115"/>
      <c r="BC135" s="115"/>
    </row>
    <row r="136">
      <c r="AT136" s="115"/>
      <c r="AU136" s="115"/>
      <c r="AV136" s="115"/>
      <c r="AW136" s="115"/>
      <c r="AX136" s="115"/>
      <c r="AY136" s="115"/>
      <c r="AZ136" s="115"/>
      <c r="BA136" s="115"/>
      <c r="BB136" s="115"/>
      <c r="BC136" s="115"/>
    </row>
    <row r="137">
      <c r="AT137" s="115"/>
      <c r="AU137" s="115"/>
      <c r="AV137" s="115"/>
      <c r="AW137" s="115"/>
      <c r="AX137" s="115"/>
      <c r="AY137" s="115"/>
      <c r="AZ137" s="115"/>
      <c r="BA137" s="115"/>
      <c r="BB137" s="115"/>
      <c r="BC137" s="115"/>
    </row>
    <row r="138">
      <c r="AT138" s="115"/>
      <c r="AU138" s="115"/>
      <c r="AV138" s="115"/>
      <c r="AW138" s="115"/>
      <c r="AX138" s="115"/>
      <c r="AY138" s="115"/>
      <c r="AZ138" s="115"/>
      <c r="BA138" s="115"/>
      <c r="BB138" s="115"/>
      <c r="BC138" s="115"/>
    </row>
    <row r="139">
      <c r="AT139" s="115"/>
      <c r="AU139" s="115"/>
      <c r="AV139" s="115"/>
      <c r="AW139" s="115"/>
      <c r="AX139" s="115"/>
      <c r="AY139" s="115"/>
      <c r="AZ139" s="115"/>
      <c r="BA139" s="115"/>
      <c r="BB139" s="115"/>
      <c r="BC139" s="115"/>
    </row>
    <row r="140">
      <c r="AT140" s="115"/>
      <c r="AU140" s="115"/>
      <c r="AV140" s="115"/>
      <c r="AW140" s="115"/>
      <c r="AX140" s="115"/>
      <c r="AY140" s="115"/>
      <c r="AZ140" s="115"/>
      <c r="BA140" s="115"/>
      <c r="BB140" s="115"/>
      <c r="BC140" s="115"/>
    </row>
    <row r="141">
      <c r="AT141" s="115"/>
      <c r="AU141" s="115"/>
      <c r="AV141" s="115"/>
      <c r="AW141" s="115"/>
      <c r="AX141" s="115"/>
      <c r="AY141" s="115"/>
      <c r="AZ141" s="115"/>
      <c r="BA141" s="115"/>
      <c r="BB141" s="115"/>
      <c r="BC141" s="115"/>
    </row>
    <row r="142">
      <c r="AT142" s="115"/>
      <c r="AU142" s="115"/>
      <c r="AV142" s="115"/>
      <c r="AW142" s="115"/>
      <c r="AX142" s="115"/>
      <c r="AY142" s="115"/>
      <c r="AZ142" s="115"/>
      <c r="BA142" s="115"/>
      <c r="BB142" s="115"/>
      <c r="BC142" s="115"/>
    </row>
    <row r="143">
      <c r="AT143" s="115"/>
      <c r="AU143" s="115"/>
      <c r="AV143" s="115"/>
      <c r="AW143" s="115"/>
      <c r="AX143" s="115"/>
      <c r="AY143" s="115"/>
      <c r="AZ143" s="115"/>
      <c r="BA143" s="115"/>
      <c r="BB143" s="115"/>
      <c r="BC143" s="115"/>
    </row>
    <row r="144">
      <c r="AT144" s="115"/>
      <c r="AU144" s="115"/>
      <c r="AV144" s="115"/>
      <c r="AW144" s="115"/>
      <c r="AX144" s="115"/>
      <c r="AY144" s="115"/>
      <c r="AZ144" s="115"/>
      <c r="BA144" s="115"/>
      <c r="BB144" s="115"/>
      <c r="BC144" s="115"/>
    </row>
    <row r="145">
      <c r="AT145" s="115"/>
      <c r="AU145" s="115"/>
      <c r="AV145" s="115"/>
      <c r="AW145" s="115"/>
      <c r="AX145" s="115"/>
      <c r="AY145" s="115"/>
      <c r="AZ145" s="115"/>
      <c r="BA145" s="115"/>
      <c r="BB145" s="115"/>
      <c r="BC145" s="115"/>
    </row>
    <row r="146">
      <c r="AT146" s="115"/>
      <c r="AU146" s="115"/>
      <c r="AV146" s="115"/>
      <c r="AW146" s="115"/>
      <c r="AX146" s="115"/>
      <c r="AY146" s="115"/>
      <c r="AZ146" s="115"/>
      <c r="BA146" s="115"/>
      <c r="BB146" s="115"/>
      <c r="BC146" s="115"/>
    </row>
    <row r="147">
      <c r="AT147" s="115"/>
      <c r="AU147" s="115"/>
      <c r="AV147" s="115"/>
      <c r="AW147" s="115"/>
      <c r="AX147" s="115"/>
      <c r="AY147" s="115"/>
      <c r="AZ147" s="115"/>
      <c r="BA147" s="115"/>
      <c r="BB147" s="115"/>
      <c r="BC147" s="115"/>
    </row>
    <row r="148">
      <c r="AT148" s="115"/>
      <c r="AU148" s="115"/>
      <c r="AV148" s="115"/>
      <c r="AW148" s="115"/>
      <c r="AX148" s="115"/>
      <c r="AY148" s="115"/>
      <c r="AZ148" s="115"/>
      <c r="BA148" s="115"/>
      <c r="BB148" s="115"/>
      <c r="BC148" s="115"/>
    </row>
    <row r="149">
      <c r="AT149" s="115"/>
      <c r="AU149" s="115"/>
      <c r="AV149" s="115"/>
      <c r="AW149" s="115"/>
      <c r="AX149" s="115"/>
      <c r="AY149" s="115"/>
      <c r="AZ149" s="115"/>
      <c r="BA149" s="115"/>
      <c r="BB149" s="115"/>
      <c r="BC149" s="115"/>
    </row>
    <row r="150">
      <c r="AT150" s="115"/>
      <c r="AU150" s="115"/>
      <c r="AV150" s="115"/>
      <c r="AW150" s="115"/>
      <c r="AX150" s="115"/>
      <c r="AY150" s="115"/>
      <c r="AZ150" s="115"/>
      <c r="BA150" s="115"/>
      <c r="BB150" s="115"/>
      <c r="BC150" s="115"/>
    </row>
    <row r="151">
      <c r="AT151" s="115"/>
      <c r="AU151" s="115"/>
      <c r="AV151" s="115"/>
      <c r="AW151" s="115"/>
      <c r="AX151" s="115"/>
      <c r="AY151" s="115"/>
      <c r="AZ151" s="115"/>
      <c r="BA151" s="115"/>
      <c r="BB151" s="115"/>
      <c r="BC151" s="115"/>
    </row>
    <row r="152">
      <c r="AT152" s="115"/>
      <c r="AU152" s="115"/>
      <c r="AV152" s="115"/>
      <c r="AW152" s="115"/>
      <c r="AX152" s="115"/>
      <c r="AY152" s="115"/>
      <c r="AZ152" s="115"/>
      <c r="BA152" s="115"/>
      <c r="BB152" s="115"/>
      <c r="BC152" s="115"/>
    </row>
    <row r="153">
      <c r="AT153" s="115"/>
      <c r="AU153" s="115"/>
      <c r="AV153" s="115"/>
      <c r="AW153" s="115"/>
      <c r="AX153" s="115"/>
      <c r="AY153" s="115"/>
      <c r="AZ153" s="115"/>
      <c r="BA153" s="115"/>
      <c r="BB153" s="115"/>
      <c r="BC153" s="115"/>
    </row>
    <row r="154">
      <c r="AT154" s="115"/>
      <c r="AU154" s="115"/>
      <c r="AV154" s="115"/>
      <c r="AW154" s="115"/>
      <c r="AX154" s="115"/>
      <c r="AY154" s="115"/>
      <c r="AZ154" s="115"/>
      <c r="BA154" s="115"/>
      <c r="BB154" s="115"/>
      <c r="BC154" s="115"/>
    </row>
    <row r="155">
      <c r="AT155" s="115"/>
      <c r="AU155" s="115"/>
      <c r="AV155" s="115"/>
      <c r="AW155" s="115"/>
      <c r="AX155" s="115"/>
      <c r="AY155" s="115"/>
      <c r="AZ155" s="115"/>
      <c r="BA155" s="115"/>
      <c r="BB155" s="115"/>
      <c r="BC155" s="115"/>
    </row>
    <row r="156">
      <c r="AT156" s="115"/>
      <c r="AU156" s="115"/>
      <c r="AV156" s="115"/>
      <c r="AW156" s="115"/>
      <c r="AX156" s="115"/>
      <c r="AY156" s="115"/>
      <c r="AZ156" s="115"/>
      <c r="BA156" s="115"/>
      <c r="BB156" s="115"/>
      <c r="BC156" s="115"/>
    </row>
    <row r="157">
      <c r="AT157" s="115"/>
      <c r="AU157" s="115"/>
      <c r="AV157" s="115"/>
      <c r="AW157" s="115"/>
      <c r="AX157" s="115"/>
      <c r="AY157" s="115"/>
      <c r="AZ157" s="115"/>
      <c r="BA157" s="115"/>
      <c r="BB157" s="115"/>
      <c r="BC157" s="115"/>
    </row>
    <row r="158">
      <c r="AT158" s="115"/>
      <c r="AU158" s="115"/>
      <c r="AV158" s="115"/>
      <c r="AW158" s="115"/>
      <c r="AX158" s="115"/>
      <c r="AY158" s="115"/>
      <c r="AZ158" s="115"/>
      <c r="BA158" s="115"/>
      <c r="BB158" s="115"/>
      <c r="BC158" s="115"/>
    </row>
    <row r="159">
      <c r="AT159" s="115"/>
      <c r="AU159" s="115"/>
      <c r="AV159" s="115"/>
      <c r="AW159" s="115"/>
      <c r="AX159" s="115"/>
      <c r="AY159" s="115"/>
      <c r="AZ159" s="115"/>
      <c r="BA159" s="115"/>
      <c r="BB159" s="115"/>
      <c r="BC159" s="115"/>
    </row>
    <row r="160">
      <c r="AT160" s="115"/>
      <c r="AU160" s="115"/>
      <c r="AV160" s="115"/>
      <c r="AW160" s="115"/>
      <c r="AX160" s="115"/>
      <c r="AY160" s="115"/>
      <c r="AZ160" s="115"/>
      <c r="BA160" s="115"/>
      <c r="BB160" s="115"/>
      <c r="BC160" s="115"/>
    </row>
    <row r="161">
      <c r="AT161" s="115"/>
      <c r="AU161" s="115"/>
      <c r="AV161" s="115"/>
      <c r="AW161" s="115"/>
      <c r="AX161" s="115"/>
      <c r="AY161" s="115"/>
      <c r="AZ161" s="115"/>
      <c r="BA161" s="115"/>
      <c r="BB161" s="115"/>
      <c r="BC161" s="115"/>
    </row>
    <row r="162">
      <c r="AT162" s="115"/>
      <c r="AU162" s="115"/>
      <c r="AV162" s="115"/>
      <c r="AW162" s="115"/>
      <c r="AX162" s="115"/>
      <c r="AY162" s="115"/>
      <c r="AZ162" s="115"/>
      <c r="BA162" s="115"/>
      <c r="BB162" s="115"/>
      <c r="BC162" s="115"/>
    </row>
    <row r="163">
      <c r="AT163" s="115"/>
      <c r="AU163" s="115"/>
      <c r="AV163" s="115"/>
      <c r="AW163" s="115"/>
      <c r="AX163" s="115"/>
      <c r="AY163" s="115"/>
      <c r="AZ163" s="115"/>
      <c r="BA163" s="115"/>
      <c r="BB163" s="115"/>
      <c r="BC163" s="115"/>
    </row>
    <row r="164">
      <c r="AT164" s="115"/>
      <c r="AU164" s="115"/>
      <c r="AV164" s="115"/>
      <c r="AW164" s="115"/>
      <c r="AX164" s="115"/>
      <c r="AY164" s="115"/>
      <c r="AZ164" s="115"/>
      <c r="BA164" s="115"/>
      <c r="BB164" s="115"/>
      <c r="BC164" s="115"/>
    </row>
    <row r="165">
      <c r="AT165" s="115"/>
      <c r="AU165" s="115"/>
      <c r="AV165" s="115"/>
      <c r="AW165" s="115"/>
      <c r="AX165" s="115"/>
      <c r="AY165" s="115"/>
      <c r="AZ165" s="115"/>
      <c r="BA165" s="115"/>
      <c r="BB165" s="115"/>
      <c r="BC165" s="115"/>
    </row>
    <row r="166">
      <c r="AT166" s="115"/>
      <c r="AU166" s="115"/>
      <c r="AV166" s="115"/>
      <c r="AW166" s="115"/>
      <c r="AX166" s="115"/>
      <c r="AY166" s="115"/>
      <c r="AZ166" s="115"/>
      <c r="BA166" s="115"/>
      <c r="BB166" s="115"/>
      <c r="BC166" s="115"/>
    </row>
    <row r="167">
      <c r="AT167" s="115"/>
      <c r="AU167" s="115"/>
      <c r="AV167" s="115"/>
      <c r="AW167" s="115"/>
      <c r="AX167" s="115"/>
      <c r="AY167" s="115"/>
      <c r="AZ167" s="115"/>
      <c r="BA167" s="115"/>
      <c r="BB167" s="115"/>
      <c r="BC167" s="115"/>
    </row>
    <row r="168">
      <c r="AT168" s="115"/>
      <c r="AU168" s="115"/>
      <c r="AV168" s="115"/>
      <c r="AW168" s="115"/>
      <c r="AX168" s="115"/>
      <c r="AY168" s="115"/>
      <c r="AZ168" s="115"/>
      <c r="BA168" s="115"/>
      <c r="BB168" s="115"/>
      <c r="BC168" s="115"/>
    </row>
    <row r="169">
      <c r="AT169" s="115"/>
      <c r="AU169" s="115"/>
      <c r="AV169" s="115"/>
      <c r="AW169" s="115"/>
      <c r="AX169" s="115"/>
      <c r="AY169" s="115"/>
      <c r="AZ169" s="115"/>
      <c r="BA169" s="115"/>
      <c r="BB169" s="115"/>
      <c r="BC169" s="115"/>
    </row>
    <row r="170">
      <c r="AT170" s="115"/>
      <c r="AU170" s="115"/>
      <c r="AV170" s="115"/>
      <c r="AW170" s="115"/>
      <c r="AX170" s="115"/>
      <c r="AY170" s="115"/>
      <c r="AZ170" s="115"/>
      <c r="BA170" s="115"/>
      <c r="BB170" s="115"/>
      <c r="BC170" s="115"/>
    </row>
    <row r="171">
      <c r="AT171" s="115"/>
      <c r="AU171" s="115"/>
      <c r="AV171" s="115"/>
      <c r="AW171" s="115"/>
      <c r="AX171" s="115"/>
      <c r="AY171" s="115"/>
      <c r="AZ171" s="115"/>
      <c r="BA171" s="115"/>
      <c r="BB171" s="115"/>
      <c r="BC171" s="115"/>
    </row>
    <row r="172">
      <c r="AT172" s="115"/>
      <c r="AU172" s="115"/>
      <c r="AV172" s="115"/>
      <c r="AW172" s="115"/>
      <c r="AX172" s="115"/>
      <c r="AY172" s="115"/>
      <c r="AZ172" s="115"/>
      <c r="BA172" s="115"/>
      <c r="BB172" s="115"/>
      <c r="BC172" s="115"/>
    </row>
    <row r="173">
      <c r="AT173" s="115"/>
      <c r="AU173" s="115"/>
      <c r="AV173" s="115"/>
      <c r="AW173" s="115"/>
      <c r="AX173" s="115"/>
      <c r="AY173" s="115"/>
      <c r="AZ173" s="115"/>
      <c r="BA173" s="115"/>
      <c r="BB173" s="115"/>
      <c r="BC173" s="115"/>
    </row>
    <row r="174">
      <c r="AT174" s="115"/>
      <c r="AU174" s="115"/>
      <c r="AV174" s="115"/>
      <c r="AW174" s="115"/>
      <c r="AX174" s="115"/>
      <c r="AY174" s="115"/>
      <c r="AZ174" s="115"/>
      <c r="BA174" s="115"/>
      <c r="BB174" s="115"/>
      <c r="BC174" s="115"/>
    </row>
    <row r="175">
      <c r="AT175" s="115"/>
      <c r="AU175" s="115"/>
      <c r="AV175" s="115"/>
      <c r="AW175" s="115"/>
      <c r="AX175" s="115"/>
      <c r="AY175" s="115"/>
      <c r="AZ175" s="115"/>
      <c r="BA175" s="115"/>
      <c r="BB175" s="115"/>
      <c r="BC175" s="115"/>
    </row>
    <row r="176">
      <c r="AT176" s="115"/>
      <c r="AU176" s="115"/>
      <c r="AV176" s="115"/>
      <c r="AW176" s="115"/>
      <c r="AX176" s="115"/>
      <c r="AY176" s="115"/>
      <c r="AZ176" s="115"/>
      <c r="BA176" s="115"/>
      <c r="BB176" s="115"/>
      <c r="BC176" s="115"/>
    </row>
    <row r="177">
      <c r="AT177" s="115"/>
      <c r="AU177" s="115"/>
      <c r="AV177" s="115"/>
      <c r="AW177" s="115"/>
      <c r="AX177" s="115"/>
      <c r="AY177" s="115"/>
      <c r="AZ177" s="115"/>
      <c r="BA177" s="115"/>
      <c r="BB177" s="115"/>
      <c r="BC177" s="115"/>
    </row>
    <row r="178">
      <c r="AT178" s="115"/>
      <c r="AU178" s="115"/>
      <c r="AV178" s="115"/>
      <c r="AW178" s="115"/>
      <c r="AX178" s="115"/>
      <c r="AY178" s="115"/>
      <c r="AZ178" s="115"/>
      <c r="BA178" s="115"/>
      <c r="BB178" s="115"/>
      <c r="BC178" s="115"/>
    </row>
    <row r="179">
      <c r="AT179" s="115"/>
      <c r="AU179" s="115"/>
      <c r="AV179" s="115"/>
      <c r="AW179" s="115"/>
      <c r="AX179" s="115"/>
      <c r="AY179" s="115"/>
      <c r="AZ179" s="115"/>
      <c r="BA179" s="115"/>
      <c r="BB179" s="115"/>
      <c r="BC179" s="115"/>
    </row>
    <row r="180">
      <c r="AT180" s="115"/>
      <c r="AU180" s="115"/>
      <c r="AV180" s="115"/>
      <c r="AW180" s="115"/>
      <c r="AX180" s="115"/>
      <c r="AY180" s="115"/>
      <c r="AZ180" s="115"/>
      <c r="BA180" s="115"/>
      <c r="BB180" s="115"/>
      <c r="BC180" s="115"/>
    </row>
    <row r="181">
      <c r="AT181" s="115"/>
      <c r="AU181" s="115"/>
      <c r="AV181" s="115"/>
      <c r="AW181" s="115"/>
      <c r="AX181" s="115"/>
      <c r="AY181" s="115"/>
      <c r="AZ181" s="115"/>
      <c r="BA181" s="115"/>
      <c r="BB181" s="115"/>
      <c r="BC181" s="115"/>
    </row>
    <row r="182">
      <c r="AT182" s="115"/>
      <c r="AU182" s="115"/>
      <c r="AV182" s="115"/>
      <c r="AW182" s="115"/>
      <c r="AX182" s="115"/>
      <c r="AY182" s="115"/>
      <c r="AZ182" s="115"/>
      <c r="BA182" s="115"/>
      <c r="BB182" s="115"/>
      <c r="BC182" s="115"/>
    </row>
    <row r="183">
      <c r="AT183" s="115"/>
      <c r="AU183" s="115"/>
      <c r="AV183" s="115"/>
      <c r="AW183" s="115"/>
      <c r="AX183" s="115"/>
      <c r="AY183" s="115"/>
      <c r="AZ183" s="115"/>
      <c r="BA183" s="115"/>
      <c r="BB183" s="115"/>
      <c r="BC183" s="115"/>
    </row>
    <row r="184">
      <c r="AT184" s="115"/>
      <c r="AU184" s="115"/>
      <c r="AV184" s="115"/>
      <c r="AW184" s="115"/>
      <c r="AX184" s="115"/>
      <c r="AY184" s="115"/>
      <c r="AZ184" s="115"/>
      <c r="BA184" s="115"/>
      <c r="BB184" s="115"/>
      <c r="BC184" s="115"/>
    </row>
    <row r="185">
      <c r="AT185" s="115"/>
      <c r="AU185" s="115"/>
      <c r="AV185" s="115"/>
      <c r="AW185" s="115"/>
      <c r="AX185" s="115"/>
      <c r="AY185" s="115"/>
      <c r="AZ185" s="115"/>
      <c r="BA185" s="115"/>
      <c r="BB185" s="115"/>
      <c r="BC185" s="115"/>
    </row>
    <row r="186">
      <c r="AT186" s="115"/>
      <c r="AU186" s="115"/>
      <c r="AV186" s="115"/>
      <c r="AW186" s="115"/>
      <c r="AX186" s="115"/>
      <c r="AY186" s="115"/>
      <c r="AZ186" s="115"/>
      <c r="BA186" s="115"/>
      <c r="BB186" s="115"/>
      <c r="BC186" s="115"/>
    </row>
    <row r="187">
      <c r="AT187" s="115"/>
      <c r="AU187" s="115"/>
      <c r="AV187" s="115"/>
      <c r="AW187" s="115"/>
      <c r="AX187" s="115"/>
      <c r="AY187" s="115"/>
      <c r="AZ187" s="115"/>
      <c r="BA187" s="115"/>
      <c r="BB187" s="115"/>
      <c r="BC187" s="115"/>
    </row>
    <row r="188">
      <c r="AT188" s="115"/>
      <c r="AU188" s="115"/>
      <c r="AV188" s="115"/>
      <c r="AW188" s="115"/>
      <c r="AX188" s="115"/>
      <c r="AY188" s="115"/>
      <c r="AZ188" s="115"/>
      <c r="BA188" s="115"/>
      <c r="BB188" s="115"/>
      <c r="BC188" s="115"/>
    </row>
    <row r="189">
      <c r="AT189" s="115"/>
      <c r="AU189" s="115"/>
      <c r="AV189" s="115"/>
      <c r="AW189" s="115"/>
      <c r="AX189" s="115"/>
      <c r="AY189" s="115"/>
      <c r="AZ189" s="115"/>
      <c r="BA189" s="115"/>
      <c r="BB189" s="115"/>
      <c r="BC189" s="115"/>
    </row>
    <row r="190">
      <c r="AT190" s="115"/>
      <c r="AU190" s="115"/>
      <c r="AV190" s="115"/>
      <c r="AW190" s="115"/>
      <c r="AX190" s="115"/>
      <c r="AY190" s="115"/>
      <c r="AZ190" s="115"/>
      <c r="BA190" s="115"/>
      <c r="BB190" s="115"/>
      <c r="BC190" s="115"/>
    </row>
    <row r="191">
      <c r="AT191" s="115"/>
      <c r="AU191" s="115"/>
      <c r="AV191" s="115"/>
      <c r="AW191" s="115"/>
      <c r="AX191" s="115"/>
      <c r="AY191" s="115"/>
      <c r="AZ191" s="115"/>
      <c r="BA191" s="115"/>
      <c r="BB191" s="115"/>
      <c r="BC191" s="115"/>
    </row>
    <row r="192">
      <c r="AT192" s="115"/>
      <c r="AU192" s="115"/>
      <c r="AV192" s="115"/>
      <c r="AW192" s="115"/>
      <c r="AX192" s="115"/>
      <c r="AY192" s="115"/>
      <c r="AZ192" s="115"/>
      <c r="BA192" s="115"/>
      <c r="BB192" s="115"/>
      <c r="BC192" s="115"/>
    </row>
    <row r="193">
      <c r="AT193" s="115"/>
      <c r="AU193" s="115"/>
      <c r="AV193" s="115"/>
      <c r="AW193" s="115"/>
      <c r="AX193" s="115"/>
      <c r="AY193" s="115"/>
      <c r="AZ193" s="115"/>
      <c r="BA193" s="115"/>
      <c r="BB193" s="115"/>
      <c r="BC193" s="115"/>
    </row>
    <row r="194">
      <c r="AT194" s="115"/>
      <c r="AU194" s="115"/>
      <c r="AV194" s="115"/>
      <c r="AW194" s="115"/>
      <c r="AX194" s="115"/>
      <c r="AY194" s="115"/>
      <c r="AZ194" s="115"/>
      <c r="BA194" s="115"/>
      <c r="BB194" s="115"/>
      <c r="BC194" s="115"/>
    </row>
    <row r="195">
      <c r="AT195" s="115"/>
      <c r="AU195" s="115"/>
      <c r="AV195" s="115"/>
      <c r="AW195" s="115"/>
      <c r="AX195" s="115"/>
      <c r="AY195" s="115"/>
      <c r="AZ195" s="115"/>
      <c r="BA195" s="115"/>
      <c r="BB195" s="115"/>
      <c r="BC195" s="115"/>
    </row>
    <row r="196">
      <c r="AT196" s="115"/>
      <c r="AU196" s="115"/>
      <c r="AV196" s="115"/>
      <c r="AW196" s="115"/>
      <c r="AX196" s="115"/>
      <c r="AY196" s="115"/>
      <c r="AZ196" s="115"/>
      <c r="BA196" s="115"/>
      <c r="BB196" s="115"/>
      <c r="BC196" s="115"/>
    </row>
    <row r="197">
      <c r="AT197" s="115"/>
      <c r="AU197" s="115"/>
      <c r="AV197" s="115"/>
      <c r="AW197" s="115"/>
      <c r="AX197" s="115"/>
      <c r="AY197" s="115"/>
      <c r="AZ197" s="115"/>
      <c r="BA197" s="115"/>
      <c r="BB197" s="115"/>
      <c r="BC197" s="115"/>
    </row>
    <row r="198">
      <c r="AT198" s="115"/>
      <c r="AU198" s="115"/>
      <c r="AV198" s="115"/>
      <c r="AW198" s="115"/>
      <c r="AX198" s="115"/>
      <c r="AY198" s="115"/>
      <c r="AZ198" s="115"/>
      <c r="BA198" s="115"/>
      <c r="BB198" s="115"/>
      <c r="BC198" s="115"/>
    </row>
    <row r="199">
      <c r="AT199" s="115"/>
      <c r="AU199" s="115"/>
      <c r="AV199" s="115"/>
      <c r="AW199" s="115"/>
      <c r="AX199" s="115"/>
      <c r="AY199" s="115"/>
      <c r="AZ199" s="115"/>
      <c r="BA199" s="115"/>
      <c r="BB199" s="115"/>
      <c r="BC199" s="115"/>
    </row>
    <row r="200">
      <c r="AT200" s="115"/>
      <c r="AU200" s="115"/>
      <c r="AV200" s="115"/>
      <c r="AW200" s="115"/>
      <c r="AX200" s="115"/>
      <c r="AY200" s="115"/>
      <c r="AZ200" s="115"/>
      <c r="BA200" s="115"/>
      <c r="BB200" s="115"/>
      <c r="BC200" s="115"/>
    </row>
    <row r="201">
      <c r="AT201" s="115"/>
      <c r="AU201" s="115"/>
      <c r="AV201" s="115"/>
      <c r="AW201" s="115"/>
      <c r="AX201" s="115"/>
      <c r="AY201" s="115"/>
      <c r="AZ201" s="115"/>
      <c r="BA201" s="115"/>
      <c r="BB201" s="115"/>
      <c r="BC201" s="115"/>
    </row>
    <row r="202">
      <c r="AT202" s="115"/>
      <c r="AU202" s="115"/>
      <c r="AV202" s="115"/>
      <c r="AW202" s="115"/>
      <c r="AX202" s="115"/>
      <c r="AY202" s="115"/>
      <c r="AZ202" s="115"/>
      <c r="BA202" s="115"/>
      <c r="BB202" s="115"/>
      <c r="BC202" s="115"/>
    </row>
    <row r="203">
      <c r="AT203" s="115"/>
      <c r="AU203" s="115"/>
      <c r="AV203" s="115"/>
      <c r="AW203" s="115"/>
      <c r="AX203" s="115"/>
      <c r="AY203" s="115"/>
      <c r="AZ203" s="115"/>
      <c r="BA203" s="115"/>
      <c r="BB203" s="115"/>
      <c r="BC203" s="115"/>
    </row>
    <row r="204">
      <c r="AT204" s="115"/>
      <c r="AU204" s="115"/>
      <c r="AV204" s="115"/>
      <c r="AW204" s="115"/>
      <c r="AX204" s="115"/>
      <c r="AY204" s="115"/>
      <c r="AZ204" s="115"/>
      <c r="BA204" s="115"/>
      <c r="BB204" s="115"/>
      <c r="BC204" s="115"/>
    </row>
    <row r="205">
      <c r="AT205" s="115"/>
      <c r="AU205" s="115"/>
      <c r="AV205" s="115"/>
      <c r="AW205" s="115"/>
      <c r="AX205" s="115"/>
      <c r="AY205" s="115"/>
      <c r="AZ205" s="115"/>
      <c r="BA205" s="115"/>
      <c r="BB205" s="115"/>
      <c r="BC205" s="115"/>
    </row>
    <row r="206">
      <c r="AT206" s="115"/>
      <c r="AU206" s="115"/>
      <c r="AV206" s="115"/>
      <c r="AW206" s="115"/>
      <c r="AX206" s="115"/>
      <c r="AY206" s="115"/>
      <c r="AZ206" s="115"/>
      <c r="BA206" s="115"/>
      <c r="BB206" s="115"/>
      <c r="BC206" s="115"/>
    </row>
    <row r="207">
      <c r="AT207" s="115"/>
      <c r="AU207" s="115"/>
      <c r="AV207" s="115"/>
      <c r="AW207" s="115"/>
      <c r="AX207" s="115"/>
      <c r="AY207" s="115"/>
      <c r="AZ207" s="115"/>
      <c r="BA207" s="115"/>
      <c r="BB207" s="115"/>
      <c r="BC207" s="115"/>
    </row>
    <row r="208">
      <c r="AT208" s="115"/>
      <c r="AU208" s="115"/>
      <c r="AV208" s="115"/>
      <c r="AW208" s="115"/>
      <c r="AX208" s="115"/>
      <c r="AY208" s="115"/>
      <c r="AZ208" s="115"/>
      <c r="BA208" s="115"/>
      <c r="BB208" s="115"/>
      <c r="BC208" s="115"/>
    </row>
    <row r="209">
      <c r="AT209" s="115"/>
      <c r="AU209" s="115"/>
      <c r="AV209" s="115"/>
      <c r="AW209" s="115"/>
      <c r="AX209" s="115"/>
      <c r="AY209" s="115"/>
      <c r="AZ209" s="115"/>
      <c r="BA209" s="115"/>
      <c r="BB209" s="115"/>
      <c r="BC209" s="115"/>
    </row>
    <row r="210">
      <c r="AT210" s="115"/>
      <c r="AU210" s="115"/>
      <c r="AV210" s="115"/>
      <c r="AW210" s="115"/>
      <c r="AX210" s="115"/>
      <c r="AY210" s="115"/>
      <c r="AZ210" s="115"/>
      <c r="BA210" s="115"/>
      <c r="BB210" s="115"/>
      <c r="BC210" s="115"/>
    </row>
    <row r="211">
      <c r="AT211" s="115"/>
      <c r="AU211" s="115"/>
      <c r="AV211" s="115"/>
      <c r="AW211" s="115"/>
      <c r="AX211" s="115"/>
      <c r="AY211" s="115"/>
      <c r="AZ211" s="115"/>
      <c r="BA211" s="115"/>
      <c r="BB211" s="115"/>
      <c r="BC211" s="115"/>
    </row>
    <row r="212">
      <c r="AT212" s="115"/>
      <c r="AU212" s="115"/>
      <c r="AV212" s="115"/>
      <c r="AW212" s="115"/>
      <c r="AX212" s="115"/>
      <c r="AY212" s="115"/>
      <c r="AZ212" s="115"/>
      <c r="BA212" s="115"/>
      <c r="BB212" s="115"/>
      <c r="BC212" s="115"/>
    </row>
    <row r="213">
      <c r="AT213" s="115"/>
      <c r="AU213" s="115"/>
      <c r="AV213" s="115"/>
      <c r="AW213" s="115"/>
      <c r="AX213" s="115"/>
      <c r="AY213" s="115"/>
      <c r="AZ213" s="115"/>
      <c r="BA213" s="115"/>
      <c r="BB213" s="115"/>
      <c r="BC213" s="115"/>
    </row>
    <row r="214">
      <c r="AT214" s="115"/>
      <c r="AU214" s="115"/>
      <c r="AV214" s="115"/>
      <c r="AW214" s="115"/>
      <c r="AX214" s="115"/>
      <c r="AY214" s="115"/>
      <c r="AZ214" s="115"/>
      <c r="BA214" s="115"/>
      <c r="BB214" s="115"/>
      <c r="BC214" s="115"/>
    </row>
    <row r="215">
      <c r="AT215" s="115"/>
      <c r="AU215" s="115"/>
      <c r="AV215" s="115"/>
      <c r="AW215" s="115"/>
      <c r="AX215" s="115"/>
      <c r="AY215" s="115"/>
      <c r="AZ215" s="115"/>
      <c r="BA215" s="115"/>
      <c r="BB215" s="115"/>
      <c r="BC215" s="115"/>
    </row>
    <row r="216">
      <c r="AT216" s="115"/>
      <c r="AU216" s="115"/>
      <c r="AV216" s="115"/>
      <c r="AW216" s="115"/>
      <c r="AX216" s="115"/>
      <c r="AY216" s="115"/>
      <c r="AZ216" s="115"/>
      <c r="BA216" s="115"/>
      <c r="BB216" s="115"/>
      <c r="BC216" s="115"/>
    </row>
    <row r="217">
      <c r="AT217" s="115"/>
      <c r="AU217" s="115"/>
      <c r="AV217" s="115"/>
      <c r="AW217" s="115"/>
      <c r="AX217" s="115"/>
      <c r="AY217" s="115"/>
      <c r="AZ217" s="115"/>
      <c r="BA217" s="115"/>
      <c r="BB217" s="115"/>
      <c r="BC217" s="115"/>
    </row>
    <row r="218">
      <c r="AT218" s="115"/>
      <c r="AU218" s="115"/>
      <c r="AV218" s="115"/>
      <c r="AW218" s="115"/>
      <c r="AX218" s="115"/>
      <c r="AY218" s="115"/>
      <c r="AZ218" s="115"/>
      <c r="BA218" s="115"/>
      <c r="BB218" s="115"/>
      <c r="BC218" s="115"/>
    </row>
    <row r="219">
      <c r="AT219" s="115"/>
      <c r="AU219" s="115"/>
      <c r="AV219" s="115"/>
      <c r="AW219" s="115"/>
      <c r="AX219" s="115"/>
      <c r="AY219" s="115"/>
      <c r="AZ219" s="115"/>
      <c r="BA219" s="115"/>
      <c r="BB219" s="115"/>
      <c r="BC219" s="115"/>
    </row>
    <row r="220">
      <c r="AT220" s="115"/>
      <c r="AU220" s="115"/>
      <c r="AV220" s="115"/>
      <c r="AW220" s="115"/>
      <c r="AX220" s="115"/>
      <c r="AY220" s="115"/>
      <c r="AZ220" s="115"/>
      <c r="BA220" s="115"/>
      <c r="BB220" s="115"/>
      <c r="BC220" s="115"/>
    </row>
    <row r="221">
      <c r="AT221" s="115"/>
      <c r="AU221" s="115"/>
      <c r="AV221" s="115"/>
      <c r="AW221" s="115"/>
      <c r="AX221" s="115"/>
      <c r="AY221" s="115"/>
      <c r="AZ221" s="115"/>
      <c r="BA221" s="115"/>
      <c r="BB221" s="115"/>
      <c r="BC221" s="115"/>
    </row>
    <row r="222">
      <c r="AT222" s="115"/>
      <c r="AU222" s="115"/>
      <c r="AV222" s="115"/>
      <c r="AW222" s="115"/>
      <c r="AX222" s="115"/>
      <c r="AY222" s="115"/>
      <c r="AZ222" s="115"/>
      <c r="BA222" s="115"/>
      <c r="BB222" s="115"/>
      <c r="BC222" s="115"/>
    </row>
    <row r="223">
      <c r="AT223" s="115"/>
      <c r="AU223" s="115"/>
      <c r="AV223" s="115"/>
      <c r="AW223" s="115"/>
      <c r="AX223" s="115"/>
      <c r="AY223" s="115"/>
      <c r="AZ223" s="115"/>
      <c r="BA223" s="115"/>
      <c r="BB223" s="115"/>
      <c r="BC223" s="115"/>
    </row>
    <row r="224">
      <c r="AT224" s="115"/>
      <c r="AU224" s="115"/>
      <c r="AV224" s="115"/>
      <c r="AW224" s="115"/>
      <c r="AX224" s="115"/>
      <c r="AY224" s="115"/>
      <c r="AZ224" s="115"/>
      <c r="BA224" s="115"/>
      <c r="BB224" s="115"/>
      <c r="BC224" s="115"/>
    </row>
    <row r="225">
      <c r="AT225" s="115"/>
      <c r="AU225" s="115"/>
      <c r="AV225" s="115"/>
      <c r="AW225" s="115"/>
      <c r="AX225" s="115"/>
      <c r="AY225" s="115"/>
      <c r="AZ225" s="115"/>
      <c r="BA225" s="115"/>
      <c r="BB225" s="115"/>
      <c r="BC225" s="115"/>
    </row>
    <row r="226">
      <c r="AT226" s="115"/>
      <c r="AU226" s="115"/>
      <c r="AV226" s="115"/>
      <c r="AW226" s="115"/>
      <c r="AX226" s="115"/>
      <c r="AY226" s="115"/>
      <c r="AZ226" s="115"/>
      <c r="BA226" s="115"/>
      <c r="BB226" s="115"/>
      <c r="BC226" s="115"/>
    </row>
    <row r="227">
      <c r="AT227" s="115"/>
      <c r="AU227" s="115"/>
      <c r="AV227" s="115"/>
      <c r="AW227" s="115"/>
      <c r="AX227" s="115"/>
      <c r="AY227" s="115"/>
      <c r="AZ227" s="115"/>
      <c r="BA227" s="115"/>
      <c r="BB227" s="115"/>
      <c r="BC227" s="115"/>
    </row>
    <row r="228">
      <c r="AT228" s="115"/>
      <c r="AU228" s="115"/>
      <c r="AV228" s="115"/>
      <c r="AW228" s="115"/>
      <c r="AX228" s="115"/>
      <c r="AY228" s="115"/>
      <c r="AZ228" s="115"/>
      <c r="BA228" s="115"/>
      <c r="BB228" s="115"/>
      <c r="BC228" s="115"/>
    </row>
    <row r="229">
      <c r="AT229" s="115"/>
      <c r="AU229" s="115"/>
      <c r="AV229" s="115"/>
      <c r="AW229" s="115"/>
      <c r="AX229" s="115"/>
      <c r="AY229" s="115"/>
      <c r="AZ229" s="115"/>
      <c r="BA229" s="115"/>
      <c r="BB229" s="115"/>
      <c r="BC229" s="115"/>
    </row>
    <row r="230">
      <c r="AT230" s="115"/>
      <c r="AU230" s="115"/>
      <c r="AV230" s="115"/>
      <c r="AW230" s="115"/>
      <c r="AX230" s="115"/>
      <c r="AY230" s="115"/>
      <c r="AZ230" s="115"/>
      <c r="BA230" s="115"/>
      <c r="BB230" s="115"/>
      <c r="BC230" s="115"/>
    </row>
    <row r="231">
      <c r="AT231" s="115"/>
      <c r="AU231" s="115"/>
      <c r="AV231" s="115"/>
      <c r="AW231" s="115"/>
      <c r="AX231" s="115"/>
      <c r="AY231" s="115"/>
      <c r="AZ231" s="115"/>
      <c r="BA231" s="115"/>
      <c r="BB231" s="115"/>
      <c r="BC231" s="115"/>
    </row>
    <row r="232">
      <c r="AT232" s="115"/>
      <c r="AU232" s="115"/>
      <c r="AV232" s="115"/>
      <c r="AW232" s="115"/>
      <c r="AX232" s="115"/>
      <c r="AY232" s="115"/>
      <c r="AZ232" s="115"/>
      <c r="BA232" s="115"/>
      <c r="BB232" s="115"/>
      <c r="BC232" s="115"/>
    </row>
    <row r="233">
      <c r="AT233" s="115"/>
      <c r="AU233" s="115"/>
      <c r="AV233" s="115"/>
      <c r="AW233" s="115"/>
      <c r="AX233" s="115"/>
      <c r="AY233" s="115"/>
      <c r="AZ233" s="115"/>
      <c r="BA233" s="115"/>
      <c r="BB233" s="115"/>
      <c r="BC233" s="115"/>
    </row>
    <row r="234">
      <c r="AT234" s="115"/>
      <c r="AU234" s="115"/>
      <c r="AV234" s="115"/>
      <c r="AW234" s="115"/>
      <c r="AX234" s="115"/>
      <c r="AY234" s="115"/>
      <c r="AZ234" s="115"/>
      <c r="BA234" s="115"/>
      <c r="BB234" s="115"/>
      <c r="BC234" s="115"/>
    </row>
    <row r="235">
      <c r="AT235" s="115"/>
      <c r="AU235" s="115"/>
      <c r="AV235" s="115"/>
      <c r="AW235" s="115"/>
      <c r="AX235" s="115"/>
      <c r="AY235" s="115"/>
      <c r="AZ235" s="115"/>
      <c r="BA235" s="115"/>
      <c r="BB235" s="115"/>
      <c r="BC235" s="115"/>
    </row>
    <row r="236">
      <c r="AT236" s="115"/>
      <c r="AU236" s="115"/>
      <c r="AV236" s="115"/>
      <c r="AW236" s="115"/>
      <c r="AX236" s="115"/>
      <c r="AY236" s="115"/>
      <c r="AZ236" s="115"/>
      <c r="BA236" s="115"/>
      <c r="BB236" s="115"/>
      <c r="BC236" s="115"/>
    </row>
    <row r="237">
      <c r="AT237" s="115"/>
      <c r="AU237" s="115"/>
      <c r="AV237" s="115"/>
      <c r="AW237" s="115"/>
      <c r="AX237" s="115"/>
      <c r="AY237" s="115"/>
      <c r="AZ237" s="115"/>
      <c r="BA237" s="115"/>
      <c r="BB237" s="115"/>
      <c r="BC237" s="115"/>
    </row>
    <row r="238">
      <c r="AT238" s="115"/>
      <c r="AU238" s="115"/>
      <c r="AV238" s="115"/>
      <c r="AW238" s="115"/>
      <c r="AX238" s="115"/>
      <c r="AY238" s="115"/>
      <c r="AZ238" s="115"/>
      <c r="BA238" s="115"/>
      <c r="BB238" s="115"/>
      <c r="BC238" s="115"/>
    </row>
    <row r="239">
      <c r="AT239" s="115"/>
      <c r="AU239" s="115"/>
      <c r="AV239" s="115"/>
      <c r="AW239" s="115"/>
      <c r="AX239" s="115"/>
      <c r="AY239" s="115"/>
      <c r="AZ239" s="115"/>
      <c r="BA239" s="115"/>
      <c r="BB239" s="115"/>
      <c r="BC239" s="115"/>
    </row>
    <row r="240">
      <c r="AT240" s="115"/>
      <c r="AU240" s="115"/>
      <c r="AV240" s="115"/>
      <c r="AW240" s="115"/>
      <c r="AX240" s="115"/>
      <c r="AY240" s="115"/>
      <c r="AZ240" s="115"/>
      <c r="BA240" s="115"/>
      <c r="BB240" s="115"/>
      <c r="BC240" s="115"/>
    </row>
    <row r="241">
      <c r="AT241" s="115"/>
      <c r="AU241" s="115"/>
      <c r="AV241" s="115"/>
      <c r="AW241" s="115"/>
      <c r="AX241" s="115"/>
      <c r="AY241" s="115"/>
      <c r="AZ241" s="115"/>
      <c r="BA241" s="115"/>
      <c r="BB241" s="115"/>
      <c r="BC241" s="115"/>
    </row>
    <row r="242">
      <c r="AT242" s="115"/>
      <c r="AU242" s="115"/>
      <c r="AV242" s="115"/>
      <c r="AW242" s="115"/>
      <c r="AX242" s="115"/>
      <c r="AY242" s="115"/>
      <c r="AZ242" s="115"/>
      <c r="BA242" s="115"/>
      <c r="BB242" s="115"/>
      <c r="BC242" s="115"/>
    </row>
    <row r="243">
      <c r="AT243" s="115"/>
      <c r="AU243" s="115"/>
      <c r="AV243" s="115"/>
      <c r="AW243" s="115"/>
      <c r="AX243" s="115"/>
      <c r="AY243" s="115"/>
      <c r="AZ243" s="115"/>
      <c r="BA243" s="115"/>
      <c r="BB243" s="115"/>
      <c r="BC243" s="115"/>
    </row>
    <row r="244">
      <c r="AT244" s="115"/>
      <c r="AU244" s="115"/>
      <c r="AV244" s="115"/>
      <c r="AW244" s="115"/>
      <c r="AX244" s="115"/>
      <c r="AY244" s="115"/>
      <c r="AZ244" s="115"/>
      <c r="BA244" s="115"/>
      <c r="BB244" s="115"/>
      <c r="BC244" s="115"/>
    </row>
    <row r="245">
      <c r="AT245" s="115"/>
      <c r="AU245" s="115"/>
      <c r="AV245" s="115"/>
      <c r="AW245" s="115"/>
      <c r="AX245" s="115"/>
      <c r="AY245" s="115"/>
      <c r="AZ245" s="115"/>
      <c r="BA245" s="115"/>
      <c r="BB245" s="115"/>
      <c r="BC245" s="115"/>
    </row>
    <row r="246">
      <c r="AT246" s="115"/>
      <c r="AU246" s="115"/>
      <c r="AV246" s="115"/>
      <c r="AW246" s="115"/>
      <c r="AX246" s="115"/>
      <c r="AY246" s="115"/>
      <c r="AZ246" s="115"/>
      <c r="BA246" s="115"/>
      <c r="BB246" s="115"/>
      <c r="BC246" s="115"/>
    </row>
    <row r="247">
      <c r="AT247" s="115"/>
      <c r="AU247" s="115"/>
      <c r="AV247" s="115"/>
      <c r="AW247" s="115"/>
      <c r="AX247" s="115"/>
      <c r="AY247" s="115"/>
      <c r="AZ247" s="115"/>
      <c r="BA247" s="115"/>
      <c r="BB247" s="115"/>
      <c r="BC247" s="115"/>
    </row>
    <row r="248">
      <c r="AT248" s="115"/>
      <c r="AU248" s="115"/>
      <c r="AV248" s="115"/>
      <c r="AW248" s="115"/>
      <c r="AX248" s="115"/>
      <c r="AY248" s="115"/>
      <c r="AZ248" s="115"/>
      <c r="BA248" s="115"/>
      <c r="BB248" s="115"/>
      <c r="BC248" s="115"/>
    </row>
    <row r="249">
      <c r="AT249" s="115"/>
      <c r="AU249" s="115"/>
      <c r="AV249" s="115"/>
      <c r="AW249" s="115"/>
      <c r="AX249" s="115"/>
      <c r="AY249" s="115"/>
      <c r="AZ249" s="115"/>
      <c r="BA249" s="115"/>
      <c r="BB249" s="115"/>
      <c r="BC249" s="115"/>
    </row>
    <row r="250">
      <c r="AT250" s="115"/>
      <c r="AU250" s="115"/>
      <c r="AV250" s="115"/>
      <c r="AW250" s="115"/>
      <c r="AX250" s="115"/>
      <c r="AY250" s="115"/>
      <c r="AZ250" s="115"/>
      <c r="BA250" s="115"/>
      <c r="BB250" s="115"/>
      <c r="BC250" s="115"/>
    </row>
    <row r="251">
      <c r="AT251" s="115"/>
      <c r="AU251" s="115"/>
      <c r="AV251" s="115"/>
      <c r="AW251" s="115"/>
      <c r="AX251" s="115"/>
      <c r="AY251" s="115"/>
      <c r="AZ251" s="115"/>
      <c r="BA251" s="115"/>
      <c r="BB251" s="115"/>
      <c r="BC251" s="115"/>
    </row>
    <row r="252">
      <c r="AT252" s="115"/>
      <c r="AU252" s="115"/>
      <c r="AV252" s="115"/>
      <c r="AW252" s="115"/>
      <c r="AX252" s="115"/>
      <c r="AY252" s="115"/>
      <c r="AZ252" s="115"/>
      <c r="BA252" s="115"/>
      <c r="BB252" s="115"/>
      <c r="BC252" s="115"/>
    </row>
    <row r="253">
      <c r="AT253" s="115"/>
      <c r="AU253" s="115"/>
      <c r="AV253" s="115"/>
      <c r="AW253" s="115"/>
      <c r="AX253" s="115"/>
      <c r="AY253" s="115"/>
      <c r="AZ253" s="115"/>
      <c r="BA253" s="115"/>
      <c r="BB253" s="115"/>
      <c r="BC253" s="115"/>
    </row>
    <row r="254">
      <c r="AT254" s="115"/>
      <c r="AU254" s="115"/>
      <c r="AV254" s="115"/>
      <c r="AW254" s="115"/>
      <c r="AX254" s="115"/>
      <c r="AY254" s="115"/>
      <c r="AZ254" s="115"/>
      <c r="BA254" s="115"/>
      <c r="BB254" s="115"/>
      <c r="BC254" s="115"/>
    </row>
    <row r="255">
      <c r="AT255" s="115"/>
      <c r="AU255" s="115"/>
      <c r="AV255" s="115"/>
      <c r="AW255" s="115"/>
      <c r="AX255" s="115"/>
      <c r="AY255" s="115"/>
      <c r="AZ255" s="115"/>
      <c r="BA255" s="115"/>
      <c r="BB255" s="115"/>
      <c r="BC255" s="115"/>
    </row>
    <row r="256">
      <c r="AT256" s="115"/>
      <c r="AU256" s="115"/>
      <c r="AV256" s="115"/>
      <c r="AW256" s="115"/>
      <c r="AX256" s="115"/>
      <c r="AY256" s="115"/>
      <c r="AZ256" s="115"/>
      <c r="BA256" s="115"/>
      <c r="BB256" s="115"/>
      <c r="BC256" s="115"/>
    </row>
    <row r="257">
      <c r="AT257" s="115"/>
      <c r="AU257" s="115"/>
      <c r="AV257" s="115"/>
      <c r="AW257" s="115"/>
      <c r="AX257" s="115"/>
      <c r="AY257" s="115"/>
      <c r="AZ257" s="115"/>
      <c r="BA257" s="115"/>
      <c r="BB257" s="115"/>
      <c r="BC257" s="115"/>
    </row>
    <row r="258">
      <c r="AT258" s="115"/>
      <c r="AU258" s="115"/>
      <c r="AV258" s="115"/>
      <c r="AW258" s="115"/>
      <c r="AX258" s="115"/>
      <c r="AY258" s="115"/>
      <c r="AZ258" s="115"/>
      <c r="BA258" s="115"/>
      <c r="BB258" s="115"/>
      <c r="BC258" s="115"/>
    </row>
    <row r="259">
      <c r="AT259" s="115"/>
      <c r="AU259" s="115"/>
      <c r="AV259" s="115"/>
      <c r="AW259" s="115"/>
      <c r="AX259" s="115"/>
      <c r="AY259" s="115"/>
      <c r="AZ259" s="115"/>
      <c r="BA259" s="115"/>
      <c r="BB259" s="115"/>
      <c r="BC259" s="115"/>
    </row>
    <row r="260">
      <c r="AT260" s="115"/>
      <c r="AU260" s="115"/>
      <c r="AV260" s="115"/>
      <c r="AW260" s="115"/>
      <c r="AX260" s="115"/>
      <c r="AY260" s="115"/>
      <c r="AZ260" s="115"/>
      <c r="BA260" s="115"/>
      <c r="BB260" s="115"/>
      <c r="BC260" s="115"/>
    </row>
    <row r="261">
      <c r="AT261" s="115"/>
      <c r="AU261" s="115"/>
      <c r="AV261" s="115"/>
      <c r="AW261" s="115"/>
      <c r="AX261" s="115"/>
      <c r="AY261" s="115"/>
      <c r="AZ261" s="115"/>
      <c r="BA261" s="115"/>
      <c r="BB261" s="115"/>
      <c r="BC261" s="115"/>
    </row>
    <row r="262">
      <c r="AT262" s="115"/>
      <c r="AU262" s="115"/>
      <c r="AV262" s="115"/>
      <c r="AW262" s="115"/>
      <c r="AX262" s="115"/>
      <c r="AY262" s="115"/>
      <c r="AZ262" s="115"/>
      <c r="BA262" s="115"/>
      <c r="BB262" s="115"/>
      <c r="BC262" s="115"/>
    </row>
    <row r="263">
      <c r="AT263" s="115"/>
      <c r="AU263" s="115"/>
      <c r="AV263" s="115"/>
      <c r="AW263" s="115"/>
      <c r="AX263" s="115"/>
      <c r="AY263" s="115"/>
      <c r="AZ263" s="115"/>
      <c r="BA263" s="115"/>
      <c r="BB263" s="115"/>
      <c r="BC263" s="115"/>
    </row>
    <row r="264">
      <c r="AT264" s="115"/>
      <c r="AU264" s="115"/>
      <c r="AV264" s="115"/>
      <c r="AW264" s="115"/>
      <c r="AX264" s="115"/>
      <c r="AY264" s="115"/>
      <c r="AZ264" s="115"/>
      <c r="BA264" s="115"/>
      <c r="BB264" s="115"/>
      <c r="BC264" s="115"/>
    </row>
    <row r="265">
      <c r="AT265" s="115"/>
      <c r="AU265" s="115"/>
      <c r="AV265" s="115"/>
      <c r="AW265" s="115"/>
      <c r="AX265" s="115"/>
      <c r="AY265" s="115"/>
      <c r="AZ265" s="115"/>
      <c r="BA265" s="115"/>
      <c r="BB265" s="115"/>
      <c r="BC265" s="115"/>
    </row>
    <row r="266">
      <c r="AT266" s="115"/>
      <c r="AU266" s="115"/>
      <c r="AV266" s="115"/>
      <c r="AW266" s="115"/>
      <c r="AX266" s="115"/>
      <c r="AY266" s="115"/>
      <c r="AZ266" s="115"/>
      <c r="BA266" s="115"/>
      <c r="BB266" s="115"/>
      <c r="BC266" s="115"/>
    </row>
    <row r="267">
      <c r="AT267" s="115"/>
      <c r="AU267" s="115"/>
      <c r="AV267" s="115"/>
      <c r="AW267" s="115"/>
      <c r="AX267" s="115"/>
      <c r="AY267" s="115"/>
      <c r="AZ267" s="115"/>
      <c r="BA267" s="115"/>
      <c r="BB267" s="115"/>
      <c r="BC267" s="115"/>
    </row>
    <row r="268">
      <c r="AT268" s="115"/>
      <c r="AU268" s="115"/>
      <c r="AV268" s="115"/>
      <c r="AW268" s="115"/>
      <c r="AX268" s="115"/>
      <c r="AY268" s="115"/>
      <c r="AZ268" s="115"/>
      <c r="BA268" s="115"/>
      <c r="BB268" s="115"/>
      <c r="BC268" s="115"/>
    </row>
    <row r="269">
      <c r="AT269" s="115"/>
      <c r="AU269" s="115"/>
      <c r="AV269" s="115"/>
      <c r="AW269" s="115"/>
      <c r="AX269" s="115"/>
      <c r="AY269" s="115"/>
      <c r="AZ269" s="115"/>
      <c r="BA269" s="115"/>
      <c r="BB269" s="115"/>
      <c r="BC269" s="115"/>
    </row>
    <row r="270">
      <c r="AT270" s="115"/>
      <c r="AU270" s="115"/>
      <c r="AV270" s="115"/>
      <c r="AW270" s="115"/>
      <c r="AX270" s="115"/>
      <c r="AY270" s="115"/>
      <c r="AZ270" s="115"/>
      <c r="BA270" s="115"/>
      <c r="BB270" s="115"/>
      <c r="BC270" s="115"/>
    </row>
    <row r="271">
      <c r="AT271" s="115"/>
      <c r="AU271" s="115"/>
      <c r="AV271" s="115"/>
      <c r="AW271" s="115"/>
      <c r="AX271" s="115"/>
      <c r="AY271" s="115"/>
      <c r="AZ271" s="115"/>
      <c r="BA271" s="115"/>
      <c r="BB271" s="115"/>
      <c r="BC271" s="115"/>
    </row>
    <row r="272">
      <c r="AT272" s="115"/>
      <c r="AU272" s="115"/>
      <c r="AV272" s="115"/>
      <c r="AW272" s="115"/>
      <c r="AX272" s="115"/>
      <c r="AY272" s="115"/>
      <c r="AZ272" s="115"/>
      <c r="BA272" s="115"/>
      <c r="BB272" s="115"/>
      <c r="BC272" s="115"/>
    </row>
    <row r="273">
      <c r="AT273" s="115"/>
      <c r="AU273" s="115"/>
      <c r="AV273" s="115"/>
      <c r="AW273" s="115"/>
      <c r="AX273" s="115"/>
      <c r="AY273" s="115"/>
      <c r="AZ273" s="115"/>
      <c r="BA273" s="115"/>
      <c r="BB273" s="115"/>
      <c r="BC273" s="115"/>
    </row>
    <row r="274">
      <c r="AT274" s="115"/>
      <c r="AU274" s="115"/>
      <c r="AV274" s="115"/>
      <c r="AW274" s="115"/>
      <c r="AX274" s="115"/>
      <c r="AY274" s="115"/>
      <c r="AZ274" s="115"/>
      <c r="BA274" s="115"/>
      <c r="BB274" s="115"/>
      <c r="BC274" s="115"/>
    </row>
    <row r="275">
      <c r="AT275" s="115"/>
      <c r="AU275" s="115"/>
      <c r="AV275" s="115"/>
      <c r="AW275" s="115"/>
      <c r="AX275" s="115"/>
      <c r="AY275" s="115"/>
      <c r="AZ275" s="115"/>
      <c r="BA275" s="115"/>
      <c r="BB275" s="115"/>
      <c r="BC275" s="115"/>
    </row>
    <row r="276">
      <c r="AT276" s="115"/>
      <c r="AU276" s="115"/>
      <c r="AV276" s="115"/>
      <c r="AW276" s="115"/>
      <c r="AX276" s="115"/>
      <c r="AY276" s="115"/>
      <c r="AZ276" s="115"/>
      <c r="BA276" s="115"/>
      <c r="BB276" s="115"/>
      <c r="BC276" s="115"/>
    </row>
    <row r="277">
      <c r="AT277" s="115"/>
      <c r="AU277" s="115"/>
      <c r="AV277" s="115"/>
      <c r="AW277" s="115"/>
      <c r="AX277" s="115"/>
      <c r="AY277" s="115"/>
      <c r="AZ277" s="115"/>
      <c r="BA277" s="115"/>
      <c r="BB277" s="115"/>
      <c r="BC277" s="115"/>
    </row>
    <row r="278">
      <c r="AT278" s="115"/>
      <c r="AU278" s="115"/>
      <c r="AV278" s="115"/>
      <c r="AW278" s="115"/>
      <c r="AX278" s="115"/>
      <c r="AY278" s="115"/>
      <c r="AZ278" s="115"/>
      <c r="BA278" s="115"/>
      <c r="BB278" s="115"/>
      <c r="BC278" s="115"/>
    </row>
    <row r="279">
      <c r="AT279" s="115"/>
      <c r="AU279" s="115"/>
      <c r="AV279" s="115"/>
      <c r="AW279" s="115"/>
      <c r="AX279" s="115"/>
      <c r="AY279" s="115"/>
      <c r="AZ279" s="115"/>
      <c r="BA279" s="115"/>
      <c r="BB279" s="115"/>
      <c r="BC279" s="115"/>
    </row>
    <row r="280">
      <c r="AT280" s="115"/>
      <c r="AU280" s="115"/>
      <c r="AV280" s="115"/>
      <c r="AW280" s="115"/>
      <c r="AX280" s="115"/>
      <c r="AY280" s="115"/>
      <c r="AZ280" s="115"/>
      <c r="BA280" s="115"/>
      <c r="BB280" s="115"/>
      <c r="BC280" s="115"/>
    </row>
    <row r="281">
      <c r="AT281" s="115"/>
      <c r="AU281" s="115"/>
      <c r="AV281" s="115"/>
      <c r="AW281" s="115"/>
      <c r="AX281" s="115"/>
      <c r="AY281" s="115"/>
      <c r="AZ281" s="115"/>
      <c r="BA281" s="115"/>
      <c r="BB281" s="115"/>
      <c r="BC281" s="115"/>
    </row>
    <row r="282">
      <c r="AT282" s="115"/>
      <c r="AU282" s="115"/>
      <c r="AV282" s="115"/>
      <c r="AW282" s="115"/>
      <c r="AX282" s="115"/>
      <c r="AY282" s="115"/>
      <c r="AZ282" s="115"/>
      <c r="BA282" s="115"/>
      <c r="BB282" s="115"/>
      <c r="BC282" s="115"/>
    </row>
    <row r="283">
      <c r="AT283" s="115"/>
      <c r="AU283" s="115"/>
      <c r="AV283" s="115"/>
      <c r="AW283" s="115"/>
      <c r="AX283" s="115"/>
      <c r="AY283" s="115"/>
      <c r="AZ283" s="115"/>
      <c r="BA283" s="115"/>
      <c r="BB283" s="115"/>
      <c r="BC283" s="115"/>
    </row>
    <row r="284">
      <c r="AT284" s="115"/>
      <c r="AU284" s="115"/>
      <c r="AV284" s="115"/>
      <c r="AW284" s="115"/>
      <c r="AX284" s="115"/>
      <c r="AY284" s="115"/>
      <c r="AZ284" s="115"/>
      <c r="BA284" s="115"/>
      <c r="BB284" s="115"/>
      <c r="BC284" s="115"/>
    </row>
    <row r="285">
      <c r="AT285" s="115"/>
      <c r="AU285" s="115"/>
      <c r="AV285" s="115"/>
      <c r="AW285" s="115"/>
      <c r="AX285" s="115"/>
      <c r="AY285" s="115"/>
      <c r="AZ285" s="115"/>
      <c r="BA285" s="115"/>
      <c r="BB285" s="115"/>
      <c r="BC285" s="115"/>
    </row>
    <row r="286">
      <c r="AT286" s="115"/>
      <c r="AU286" s="115"/>
      <c r="AV286" s="115"/>
      <c r="AW286" s="115"/>
      <c r="AX286" s="115"/>
      <c r="AY286" s="115"/>
      <c r="AZ286" s="115"/>
      <c r="BA286" s="115"/>
      <c r="BB286" s="115"/>
      <c r="BC286" s="115"/>
    </row>
    <row r="287">
      <c r="AT287" s="115"/>
      <c r="AU287" s="115"/>
      <c r="AV287" s="115"/>
      <c r="AW287" s="115"/>
      <c r="AX287" s="115"/>
      <c r="AY287" s="115"/>
      <c r="AZ287" s="115"/>
      <c r="BA287" s="115"/>
      <c r="BB287" s="115"/>
      <c r="BC287" s="115"/>
    </row>
    <row r="288">
      <c r="AT288" s="115"/>
      <c r="AU288" s="115"/>
      <c r="AV288" s="115"/>
      <c r="AW288" s="115"/>
      <c r="AX288" s="115"/>
      <c r="AY288" s="115"/>
      <c r="AZ288" s="115"/>
      <c r="BA288" s="115"/>
      <c r="BB288" s="115"/>
      <c r="BC288" s="115"/>
    </row>
    <row r="289">
      <c r="AT289" s="115"/>
      <c r="AU289" s="115"/>
      <c r="AV289" s="115"/>
      <c r="AW289" s="115"/>
      <c r="AX289" s="115"/>
      <c r="AY289" s="115"/>
      <c r="AZ289" s="115"/>
      <c r="BA289" s="115"/>
      <c r="BB289" s="115"/>
      <c r="BC289" s="115"/>
    </row>
    <row r="290">
      <c r="AT290" s="115"/>
      <c r="AU290" s="115"/>
      <c r="AV290" s="115"/>
      <c r="AW290" s="115"/>
      <c r="AX290" s="115"/>
      <c r="AY290" s="115"/>
      <c r="AZ290" s="115"/>
      <c r="BA290" s="115"/>
      <c r="BB290" s="115"/>
      <c r="BC290" s="115"/>
    </row>
    <row r="291">
      <c r="AT291" s="115"/>
      <c r="AU291" s="115"/>
      <c r="AV291" s="115"/>
      <c r="AW291" s="115"/>
      <c r="AX291" s="115"/>
      <c r="AY291" s="115"/>
      <c r="AZ291" s="115"/>
      <c r="BA291" s="115"/>
      <c r="BB291" s="115"/>
      <c r="BC291" s="115"/>
    </row>
    <row r="292">
      <c r="AT292" s="115"/>
      <c r="AU292" s="115"/>
      <c r="AV292" s="115"/>
      <c r="AW292" s="115"/>
      <c r="AX292" s="115"/>
      <c r="AY292" s="115"/>
      <c r="AZ292" s="115"/>
      <c r="BA292" s="115"/>
      <c r="BB292" s="115"/>
      <c r="BC292" s="115"/>
    </row>
    <row r="293">
      <c r="AT293" s="115"/>
      <c r="AU293" s="115"/>
      <c r="AV293" s="115"/>
      <c r="AW293" s="115"/>
      <c r="AX293" s="115"/>
      <c r="AY293" s="115"/>
      <c r="AZ293" s="115"/>
      <c r="BA293" s="115"/>
      <c r="BB293" s="115"/>
      <c r="BC293" s="115"/>
    </row>
    <row r="294">
      <c r="AT294" s="115"/>
      <c r="AU294" s="115"/>
      <c r="AV294" s="115"/>
      <c r="AW294" s="115"/>
      <c r="AX294" s="115"/>
      <c r="AY294" s="115"/>
      <c r="AZ294" s="115"/>
      <c r="BA294" s="115"/>
      <c r="BB294" s="115"/>
      <c r="BC294" s="115"/>
    </row>
    <row r="295">
      <c r="AT295" s="115"/>
      <c r="AU295" s="115"/>
      <c r="AV295" s="115"/>
      <c r="AW295" s="115"/>
      <c r="AX295" s="115"/>
      <c r="AY295" s="115"/>
      <c r="AZ295" s="115"/>
      <c r="BA295" s="115"/>
      <c r="BB295" s="115"/>
      <c r="BC295" s="115"/>
    </row>
    <row r="296">
      <c r="AT296" s="115"/>
      <c r="AU296" s="115"/>
      <c r="AV296" s="115"/>
      <c r="AW296" s="115"/>
      <c r="AX296" s="115"/>
      <c r="AY296" s="115"/>
      <c r="AZ296" s="115"/>
      <c r="BA296" s="115"/>
      <c r="BB296" s="115"/>
      <c r="BC296" s="115"/>
    </row>
    <row r="297">
      <c r="AT297" s="115"/>
      <c r="AU297" s="115"/>
      <c r="AV297" s="115"/>
      <c r="AW297" s="115"/>
      <c r="AX297" s="115"/>
      <c r="AY297" s="115"/>
      <c r="AZ297" s="115"/>
      <c r="BA297" s="115"/>
      <c r="BB297" s="115"/>
      <c r="BC297" s="115"/>
    </row>
    <row r="298">
      <c r="AT298" s="115"/>
      <c r="AU298" s="115"/>
      <c r="AV298" s="115"/>
      <c r="AW298" s="115"/>
      <c r="AX298" s="115"/>
      <c r="AY298" s="115"/>
      <c r="AZ298" s="115"/>
      <c r="BA298" s="115"/>
      <c r="BB298" s="115"/>
      <c r="BC298" s="115"/>
    </row>
    <row r="299">
      <c r="AT299" s="115"/>
      <c r="AU299" s="115"/>
      <c r="AV299" s="115"/>
      <c r="AW299" s="115"/>
      <c r="AX299" s="115"/>
      <c r="AY299" s="115"/>
      <c r="AZ299" s="115"/>
      <c r="BA299" s="115"/>
      <c r="BB299" s="115"/>
      <c r="BC299" s="115"/>
    </row>
    <row r="300">
      <c r="AT300" s="115"/>
      <c r="AU300" s="115"/>
      <c r="AV300" s="115"/>
      <c r="AW300" s="115"/>
      <c r="AX300" s="115"/>
      <c r="AY300" s="115"/>
      <c r="AZ300" s="115"/>
      <c r="BA300" s="115"/>
      <c r="BB300" s="115"/>
      <c r="BC300" s="115"/>
    </row>
    <row r="301">
      <c r="AT301" s="115"/>
      <c r="AU301" s="115"/>
      <c r="AV301" s="115"/>
      <c r="AW301" s="115"/>
      <c r="AX301" s="115"/>
      <c r="AY301" s="115"/>
      <c r="AZ301" s="115"/>
      <c r="BA301" s="115"/>
      <c r="BB301" s="115"/>
      <c r="BC301" s="115"/>
    </row>
    <row r="302">
      <c r="AT302" s="115"/>
      <c r="AU302" s="115"/>
      <c r="AV302" s="115"/>
      <c r="AW302" s="115"/>
      <c r="AX302" s="115"/>
      <c r="AY302" s="115"/>
      <c r="AZ302" s="115"/>
      <c r="BA302" s="115"/>
      <c r="BB302" s="115"/>
      <c r="BC302" s="115"/>
    </row>
    <row r="303">
      <c r="AT303" s="115"/>
      <c r="AU303" s="115"/>
      <c r="AV303" s="115"/>
      <c r="AW303" s="115"/>
      <c r="AX303" s="115"/>
      <c r="AY303" s="115"/>
      <c r="AZ303" s="115"/>
      <c r="BA303" s="115"/>
      <c r="BB303" s="115"/>
      <c r="BC303" s="115"/>
    </row>
    <row r="304">
      <c r="AT304" s="115"/>
      <c r="AU304" s="115"/>
      <c r="AV304" s="115"/>
      <c r="AW304" s="115"/>
      <c r="AX304" s="115"/>
      <c r="AY304" s="115"/>
      <c r="AZ304" s="115"/>
      <c r="BA304" s="115"/>
      <c r="BB304" s="115"/>
      <c r="BC304" s="115"/>
    </row>
    <row r="305">
      <c r="AT305" s="115"/>
      <c r="AU305" s="115"/>
      <c r="AV305" s="115"/>
      <c r="AW305" s="115"/>
      <c r="AX305" s="115"/>
      <c r="AY305" s="115"/>
      <c r="AZ305" s="115"/>
      <c r="BA305" s="115"/>
      <c r="BB305" s="115"/>
      <c r="BC305" s="115"/>
    </row>
    <row r="306">
      <c r="AT306" s="115"/>
      <c r="AU306" s="115"/>
      <c r="AV306" s="115"/>
      <c r="AW306" s="115"/>
      <c r="AX306" s="115"/>
      <c r="AY306" s="115"/>
      <c r="AZ306" s="115"/>
      <c r="BA306" s="115"/>
      <c r="BB306" s="115"/>
      <c r="BC306" s="115"/>
    </row>
    <row r="307">
      <c r="AT307" s="115"/>
      <c r="AU307" s="115"/>
      <c r="AV307" s="115"/>
      <c r="AW307" s="115"/>
      <c r="AX307" s="115"/>
      <c r="AY307" s="115"/>
      <c r="AZ307" s="115"/>
      <c r="BA307" s="115"/>
      <c r="BB307" s="115"/>
      <c r="BC307" s="115"/>
    </row>
    <row r="308">
      <c r="AT308" s="115"/>
      <c r="AU308" s="115"/>
      <c r="AV308" s="115"/>
      <c r="AW308" s="115"/>
      <c r="AX308" s="115"/>
      <c r="AY308" s="115"/>
      <c r="AZ308" s="115"/>
      <c r="BA308" s="115"/>
      <c r="BB308" s="115"/>
      <c r="BC308" s="115"/>
    </row>
    <row r="309">
      <c r="AT309" s="115"/>
      <c r="AU309" s="115"/>
      <c r="AV309" s="115"/>
      <c r="AW309" s="115"/>
      <c r="AX309" s="115"/>
      <c r="AY309" s="115"/>
      <c r="AZ309" s="115"/>
      <c r="BA309" s="115"/>
      <c r="BB309" s="115"/>
      <c r="BC309" s="115"/>
    </row>
    <row r="310">
      <c r="AT310" s="115"/>
      <c r="AU310" s="115"/>
      <c r="AV310" s="115"/>
      <c r="AW310" s="115"/>
      <c r="AX310" s="115"/>
      <c r="AY310" s="115"/>
      <c r="AZ310" s="115"/>
      <c r="BA310" s="115"/>
      <c r="BB310" s="115"/>
      <c r="BC310" s="115"/>
    </row>
    <row r="311">
      <c r="AT311" s="115"/>
      <c r="AU311" s="115"/>
      <c r="AV311" s="115"/>
      <c r="AW311" s="115"/>
      <c r="AX311" s="115"/>
      <c r="AY311" s="115"/>
      <c r="AZ311" s="115"/>
      <c r="BA311" s="115"/>
      <c r="BB311" s="115"/>
      <c r="BC311" s="115"/>
    </row>
    <row r="312">
      <c r="AT312" s="115"/>
      <c r="AU312" s="115"/>
      <c r="AV312" s="115"/>
      <c r="AW312" s="115"/>
      <c r="AX312" s="115"/>
      <c r="AY312" s="115"/>
      <c r="AZ312" s="115"/>
      <c r="BA312" s="115"/>
      <c r="BB312" s="115"/>
      <c r="BC312" s="115"/>
    </row>
    <row r="313">
      <c r="AT313" s="115"/>
      <c r="AU313" s="115"/>
      <c r="AV313" s="115"/>
      <c r="AW313" s="115"/>
      <c r="AX313" s="115"/>
      <c r="AY313" s="115"/>
      <c r="AZ313" s="115"/>
      <c r="BA313" s="115"/>
      <c r="BB313" s="115"/>
      <c r="BC313" s="115"/>
    </row>
    <row r="314">
      <c r="AT314" s="115"/>
      <c r="AU314" s="115"/>
      <c r="AV314" s="115"/>
      <c r="AW314" s="115"/>
      <c r="AX314" s="115"/>
      <c r="AY314" s="115"/>
      <c r="AZ314" s="115"/>
      <c r="BA314" s="115"/>
      <c r="BB314" s="115"/>
      <c r="BC314" s="115"/>
    </row>
    <row r="315">
      <c r="AT315" s="115"/>
      <c r="AU315" s="115"/>
      <c r="AV315" s="115"/>
      <c r="AW315" s="115"/>
      <c r="AX315" s="115"/>
      <c r="AY315" s="115"/>
      <c r="AZ315" s="115"/>
      <c r="BA315" s="115"/>
      <c r="BB315" s="115"/>
      <c r="BC315" s="115"/>
    </row>
    <row r="316">
      <c r="AT316" s="115"/>
      <c r="AU316" s="115"/>
      <c r="AV316" s="115"/>
      <c r="AW316" s="115"/>
      <c r="AX316" s="115"/>
      <c r="AY316" s="115"/>
      <c r="AZ316" s="115"/>
      <c r="BA316" s="115"/>
      <c r="BB316" s="115"/>
      <c r="BC316" s="115"/>
    </row>
    <row r="317">
      <c r="AT317" s="115"/>
      <c r="AU317" s="115"/>
      <c r="AV317" s="115"/>
      <c r="AW317" s="115"/>
      <c r="AX317" s="115"/>
      <c r="AY317" s="115"/>
      <c r="AZ317" s="115"/>
      <c r="BA317" s="115"/>
      <c r="BB317" s="115"/>
      <c r="BC317" s="115"/>
    </row>
    <row r="318">
      <c r="AT318" s="115"/>
      <c r="AU318" s="115"/>
      <c r="AV318" s="115"/>
      <c r="AW318" s="115"/>
      <c r="AX318" s="115"/>
      <c r="AY318" s="115"/>
      <c r="AZ318" s="115"/>
      <c r="BA318" s="115"/>
      <c r="BB318" s="115"/>
      <c r="BC318" s="115"/>
    </row>
    <row r="319">
      <c r="AT319" s="115"/>
      <c r="AU319" s="115"/>
      <c r="AV319" s="115"/>
      <c r="AW319" s="115"/>
      <c r="AX319" s="115"/>
      <c r="AY319" s="115"/>
      <c r="AZ319" s="115"/>
      <c r="BA319" s="115"/>
      <c r="BB319" s="115"/>
      <c r="BC319" s="115"/>
    </row>
    <row r="320">
      <c r="AT320" s="115"/>
      <c r="AU320" s="115"/>
      <c r="AV320" s="115"/>
      <c r="AW320" s="115"/>
      <c r="AX320" s="115"/>
      <c r="AY320" s="115"/>
      <c r="AZ320" s="115"/>
      <c r="BA320" s="115"/>
      <c r="BB320" s="115"/>
      <c r="BC320" s="115"/>
    </row>
    <row r="321">
      <c r="AT321" s="115"/>
      <c r="AU321" s="115"/>
      <c r="AV321" s="115"/>
      <c r="AW321" s="115"/>
      <c r="AX321" s="115"/>
      <c r="AY321" s="115"/>
      <c r="AZ321" s="115"/>
      <c r="BA321" s="115"/>
      <c r="BB321" s="115"/>
      <c r="BC321" s="115"/>
    </row>
    <row r="322">
      <c r="AT322" s="115"/>
      <c r="AU322" s="115"/>
      <c r="AV322" s="115"/>
      <c r="AW322" s="115"/>
      <c r="AX322" s="115"/>
      <c r="AY322" s="115"/>
      <c r="AZ322" s="115"/>
      <c r="BA322" s="115"/>
      <c r="BB322" s="115"/>
      <c r="BC322" s="115"/>
    </row>
    <row r="323">
      <c r="AT323" s="115"/>
      <c r="AU323" s="115"/>
      <c r="AV323" s="115"/>
      <c r="AW323" s="115"/>
      <c r="AX323" s="115"/>
      <c r="AY323" s="115"/>
      <c r="AZ323" s="115"/>
      <c r="BA323" s="115"/>
      <c r="BB323" s="115"/>
      <c r="BC323" s="115"/>
    </row>
    <row r="324">
      <c r="AT324" s="115"/>
      <c r="AU324" s="115"/>
      <c r="AV324" s="115"/>
      <c r="AW324" s="115"/>
      <c r="AX324" s="115"/>
      <c r="AY324" s="115"/>
      <c r="AZ324" s="115"/>
      <c r="BA324" s="115"/>
      <c r="BB324" s="115"/>
      <c r="BC324" s="115"/>
    </row>
    <row r="325">
      <c r="AT325" s="115"/>
      <c r="AU325" s="115"/>
      <c r="AV325" s="115"/>
      <c r="AW325" s="115"/>
      <c r="AX325" s="115"/>
      <c r="AY325" s="115"/>
      <c r="AZ325" s="115"/>
      <c r="BA325" s="115"/>
      <c r="BB325" s="115"/>
      <c r="BC325" s="115"/>
    </row>
    <row r="326">
      <c r="AT326" s="115"/>
      <c r="AU326" s="115"/>
      <c r="AV326" s="115"/>
      <c r="AW326" s="115"/>
      <c r="AX326" s="115"/>
      <c r="AY326" s="115"/>
      <c r="AZ326" s="115"/>
      <c r="BA326" s="115"/>
      <c r="BB326" s="115"/>
      <c r="BC326" s="115"/>
    </row>
    <row r="327">
      <c r="AT327" s="115"/>
      <c r="AU327" s="115"/>
      <c r="AV327" s="115"/>
      <c r="AW327" s="115"/>
      <c r="AX327" s="115"/>
      <c r="AY327" s="115"/>
      <c r="AZ327" s="115"/>
      <c r="BA327" s="115"/>
      <c r="BB327" s="115"/>
      <c r="BC327" s="115"/>
    </row>
    <row r="328">
      <c r="AT328" s="115"/>
      <c r="AU328" s="115"/>
      <c r="AV328" s="115"/>
      <c r="AW328" s="115"/>
      <c r="AX328" s="115"/>
      <c r="AY328" s="115"/>
      <c r="AZ328" s="115"/>
      <c r="BA328" s="115"/>
      <c r="BB328" s="115"/>
      <c r="BC328" s="115"/>
    </row>
    <row r="329">
      <c r="AT329" s="115"/>
      <c r="AU329" s="115"/>
      <c r="AV329" s="115"/>
      <c r="AW329" s="115"/>
      <c r="AX329" s="115"/>
      <c r="AY329" s="115"/>
      <c r="AZ329" s="115"/>
      <c r="BA329" s="115"/>
      <c r="BB329" s="115"/>
      <c r="BC329" s="115"/>
    </row>
    <row r="330">
      <c r="AT330" s="115"/>
      <c r="AU330" s="115"/>
      <c r="AV330" s="115"/>
      <c r="AW330" s="115"/>
      <c r="AX330" s="115"/>
      <c r="AY330" s="115"/>
      <c r="AZ330" s="115"/>
      <c r="BA330" s="115"/>
      <c r="BB330" s="115"/>
      <c r="BC330" s="115"/>
    </row>
    <row r="331">
      <c r="AT331" s="115"/>
      <c r="AU331" s="115"/>
      <c r="AV331" s="115"/>
      <c r="AW331" s="115"/>
      <c r="AX331" s="115"/>
      <c r="AY331" s="115"/>
      <c r="AZ331" s="115"/>
      <c r="BA331" s="115"/>
      <c r="BB331" s="115"/>
      <c r="BC331" s="115"/>
    </row>
    <row r="332">
      <c r="AT332" s="115"/>
      <c r="AU332" s="115"/>
      <c r="AV332" s="115"/>
      <c r="AW332" s="115"/>
      <c r="AX332" s="115"/>
      <c r="AY332" s="115"/>
      <c r="AZ332" s="115"/>
      <c r="BA332" s="115"/>
      <c r="BB332" s="115"/>
      <c r="BC332" s="115"/>
    </row>
    <row r="333">
      <c r="AT333" s="115"/>
      <c r="AU333" s="115"/>
      <c r="AV333" s="115"/>
      <c r="AW333" s="115"/>
      <c r="AX333" s="115"/>
      <c r="AY333" s="115"/>
      <c r="AZ333" s="115"/>
      <c r="BA333" s="115"/>
      <c r="BB333" s="115"/>
      <c r="BC333" s="115"/>
    </row>
    <row r="334">
      <c r="AT334" s="115"/>
      <c r="AU334" s="115"/>
      <c r="AV334" s="115"/>
      <c r="AW334" s="115"/>
      <c r="AX334" s="115"/>
      <c r="AY334" s="115"/>
      <c r="AZ334" s="115"/>
      <c r="BA334" s="115"/>
      <c r="BB334" s="115"/>
      <c r="BC334" s="115"/>
    </row>
    <row r="335">
      <c r="AT335" s="115"/>
      <c r="AU335" s="115"/>
      <c r="AV335" s="115"/>
      <c r="AW335" s="115"/>
      <c r="AX335" s="115"/>
      <c r="AY335" s="115"/>
      <c r="AZ335" s="115"/>
      <c r="BA335" s="115"/>
      <c r="BB335" s="115"/>
      <c r="BC335" s="115"/>
    </row>
    <row r="336">
      <c r="AT336" s="115"/>
      <c r="AU336" s="115"/>
      <c r="AV336" s="115"/>
      <c r="AW336" s="115"/>
      <c r="AX336" s="115"/>
      <c r="AY336" s="115"/>
      <c r="AZ336" s="115"/>
      <c r="BA336" s="115"/>
      <c r="BB336" s="115"/>
      <c r="BC336" s="115"/>
    </row>
    <row r="337">
      <c r="AT337" s="115"/>
      <c r="AU337" s="115"/>
      <c r="AV337" s="115"/>
      <c r="AW337" s="115"/>
      <c r="AX337" s="115"/>
      <c r="AY337" s="115"/>
      <c r="AZ337" s="115"/>
      <c r="BA337" s="115"/>
      <c r="BB337" s="115"/>
      <c r="BC337" s="115"/>
    </row>
    <row r="338">
      <c r="AT338" s="115"/>
      <c r="AU338" s="115"/>
      <c r="AV338" s="115"/>
      <c r="AW338" s="115"/>
      <c r="AX338" s="115"/>
      <c r="AY338" s="115"/>
      <c r="AZ338" s="115"/>
      <c r="BA338" s="115"/>
      <c r="BB338" s="115"/>
      <c r="BC338" s="115"/>
    </row>
    <row r="339">
      <c r="AT339" s="115"/>
      <c r="AU339" s="115"/>
      <c r="AV339" s="115"/>
      <c r="AW339" s="115"/>
      <c r="AX339" s="115"/>
      <c r="AY339" s="115"/>
      <c r="AZ339" s="115"/>
      <c r="BA339" s="115"/>
      <c r="BB339" s="115"/>
      <c r="BC339" s="115"/>
    </row>
    <row r="340">
      <c r="AT340" s="115"/>
      <c r="AU340" s="115"/>
      <c r="AV340" s="115"/>
      <c r="AW340" s="115"/>
      <c r="AX340" s="115"/>
      <c r="AY340" s="115"/>
      <c r="AZ340" s="115"/>
      <c r="BA340" s="115"/>
      <c r="BB340" s="115"/>
      <c r="BC340" s="115"/>
    </row>
    <row r="341">
      <c r="AT341" s="115"/>
      <c r="AU341" s="115"/>
      <c r="AV341" s="115"/>
      <c r="AW341" s="115"/>
      <c r="AX341" s="115"/>
      <c r="AY341" s="115"/>
      <c r="AZ341" s="115"/>
      <c r="BA341" s="115"/>
      <c r="BB341" s="115"/>
      <c r="BC341" s="115"/>
    </row>
    <row r="342">
      <c r="AT342" s="115"/>
      <c r="AU342" s="115"/>
      <c r="AV342" s="115"/>
      <c r="AW342" s="115"/>
      <c r="AX342" s="115"/>
      <c r="AY342" s="115"/>
      <c r="AZ342" s="115"/>
      <c r="BA342" s="115"/>
      <c r="BB342" s="115"/>
      <c r="BC342" s="115"/>
    </row>
    <row r="343">
      <c r="AT343" s="115"/>
      <c r="AU343" s="115"/>
      <c r="AV343" s="115"/>
      <c r="AW343" s="115"/>
      <c r="AX343" s="115"/>
      <c r="AY343" s="115"/>
      <c r="AZ343" s="115"/>
      <c r="BA343" s="115"/>
      <c r="BB343" s="115"/>
      <c r="BC343" s="115"/>
    </row>
    <row r="344">
      <c r="AT344" s="115"/>
      <c r="AU344" s="115"/>
      <c r="AV344" s="115"/>
      <c r="AW344" s="115"/>
      <c r="AX344" s="115"/>
      <c r="AY344" s="115"/>
      <c r="AZ344" s="115"/>
      <c r="BA344" s="115"/>
      <c r="BB344" s="115"/>
      <c r="BC344" s="115"/>
    </row>
    <row r="345">
      <c r="AT345" s="115"/>
      <c r="AU345" s="115"/>
      <c r="AV345" s="115"/>
      <c r="AW345" s="115"/>
      <c r="AX345" s="115"/>
      <c r="AY345" s="115"/>
      <c r="AZ345" s="115"/>
      <c r="BA345" s="115"/>
      <c r="BB345" s="115"/>
      <c r="BC345" s="115"/>
    </row>
    <row r="346">
      <c r="AT346" s="115"/>
      <c r="AU346" s="115"/>
      <c r="AV346" s="115"/>
      <c r="AW346" s="115"/>
      <c r="AX346" s="115"/>
      <c r="AY346" s="115"/>
      <c r="AZ346" s="115"/>
      <c r="BA346" s="115"/>
      <c r="BB346" s="115"/>
      <c r="BC346" s="115"/>
    </row>
    <row r="347">
      <c r="AT347" s="115"/>
      <c r="AU347" s="115"/>
      <c r="AV347" s="115"/>
      <c r="AW347" s="115"/>
      <c r="AX347" s="115"/>
      <c r="AY347" s="115"/>
      <c r="AZ347" s="115"/>
      <c r="BA347" s="115"/>
      <c r="BB347" s="115"/>
      <c r="BC347" s="115"/>
    </row>
    <row r="348">
      <c r="AT348" s="115"/>
      <c r="AU348" s="115"/>
      <c r="AV348" s="115"/>
      <c r="AW348" s="115"/>
      <c r="AX348" s="115"/>
      <c r="AY348" s="115"/>
      <c r="AZ348" s="115"/>
      <c r="BA348" s="115"/>
      <c r="BB348" s="115"/>
      <c r="BC348" s="115"/>
    </row>
    <row r="349">
      <c r="AT349" s="115"/>
      <c r="AU349" s="115"/>
      <c r="AV349" s="115"/>
      <c r="AW349" s="115"/>
      <c r="AX349" s="115"/>
      <c r="AY349" s="115"/>
      <c r="AZ349" s="115"/>
      <c r="BA349" s="115"/>
      <c r="BB349" s="115"/>
      <c r="BC349" s="115"/>
    </row>
    <row r="350">
      <c r="AT350" s="115"/>
      <c r="AU350" s="115"/>
      <c r="AV350" s="115"/>
      <c r="AW350" s="115"/>
      <c r="AX350" s="115"/>
      <c r="AY350" s="115"/>
      <c r="AZ350" s="115"/>
      <c r="BA350" s="115"/>
      <c r="BB350" s="115"/>
      <c r="BC350" s="115"/>
    </row>
    <row r="351">
      <c r="AT351" s="115"/>
      <c r="AU351" s="115"/>
      <c r="AV351" s="115"/>
      <c r="AW351" s="115"/>
      <c r="AX351" s="115"/>
      <c r="AY351" s="115"/>
      <c r="AZ351" s="115"/>
      <c r="BA351" s="115"/>
      <c r="BB351" s="115"/>
      <c r="BC351" s="115"/>
    </row>
    <row r="352">
      <c r="AT352" s="115"/>
      <c r="AU352" s="115"/>
      <c r="AV352" s="115"/>
      <c r="AW352" s="115"/>
      <c r="AX352" s="115"/>
      <c r="AY352" s="115"/>
      <c r="AZ352" s="115"/>
      <c r="BA352" s="115"/>
      <c r="BB352" s="115"/>
      <c r="BC352" s="115"/>
    </row>
    <row r="353">
      <c r="AT353" s="115"/>
      <c r="AU353" s="115"/>
      <c r="AV353" s="115"/>
      <c r="AW353" s="115"/>
      <c r="AX353" s="115"/>
      <c r="AY353" s="115"/>
      <c r="AZ353" s="115"/>
      <c r="BA353" s="115"/>
      <c r="BB353" s="115"/>
      <c r="BC353" s="115"/>
    </row>
    <row r="354">
      <c r="AT354" s="115"/>
      <c r="AU354" s="115"/>
      <c r="AV354" s="115"/>
      <c r="AW354" s="115"/>
      <c r="AX354" s="115"/>
      <c r="AY354" s="115"/>
      <c r="AZ354" s="115"/>
      <c r="BA354" s="115"/>
      <c r="BB354" s="115"/>
      <c r="BC354" s="115"/>
    </row>
    <row r="355">
      <c r="AT355" s="115"/>
      <c r="AU355" s="115"/>
      <c r="AV355" s="115"/>
      <c r="AW355" s="115"/>
      <c r="AX355" s="115"/>
      <c r="AY355" s="115"/>
      <c r="AZ355" s="115"/>
      <c r="BA355" s="115"/>
      <c r="BB355" s="115"/>
      <c r="BC355" s="115"/>
    </row>
    <row r="356">
      <c r="AT356" s="115"/>
      <c r="AU356" s="115"/>
      <c r="AV356" s="115"/>
      <c r="AW356" s="115"/>
      <c r="AX356" s="115"/>
      <c r="AY356" s="115"/>
      <c r="AZ356" s="115"/>
      <c r="BA356" s="115"/>
      <c r="BB356" s="115"/>
      <c r="BC356" s="115"/>
    </row>
    <row r="357">
      <c r="AT357" s="115"/>
      <c r="AU357" s="115"/>
      <c r="AV357" s="115"/>
      <c r="AW357" s="115"/>
      <c r="AX357" s="115"/>
      <c r="AY357" s="115"/>
      <c r="AZ357" s="115"/>
      <c r="BA357" s="115"/>
      <c r="BB357" s="115"/>
      <c r="BC357" s="115"/>
    </row>
    <row r="358">
      <c r="AT358" s="115"/>
      <c r="AU358" s="115"/>
      <c r="AV358" s="115"/>
      <c r="AW358" s="115"/>
      <c r="AX358" s="115"/>
      <c r="AY358" s="115"/>
      <c r="AZ358" s="115"/>
      <c r="BA358" s="115"/>
      <c r="BB358" s="115"/>
      <c r="BC358" s="115"/>
    </row>
    <row r="359">
      <c r="AT359" s="115"/>
      <c r="AU359" s="115"/>
      <c r="AV359" s="115"/>
      <c r="AW359" s="115"/>
      <c r="AX359" s="115"/>
      <c r="AY359" s="115"/>
      <c r="AZ359" s="115"/>
      <c r="BA359" s="115"/>
      <c r="BB359" s="115"/>
      <c r="BC359" s="115"/>
    </row>
    <row r="360">
      <c r="AT360" s="115"/>
      <c r="AU360" s="115"/>
      <c r="AV360" s="115"/>
      <c r="AW360" s="115"/>
      <c r="AX360" s="115"/>
      <c r="AY360" s="115"/>
      <c r="AZ360" s="115"/>
      <c r="BA360" s="115"/>
      <c r="BB360" s="115"/>
      <c r="BC360" s="115"/>
    </row>
    <row r="361">
      <c r="AT361" s="115"/>
      <c r="AU361" s="115"/>
      <c r="AV361" s="115"/>
      <c r="AW361" s="115"/>
      <c r="AX361" s="115"/>
      <c r="AY361" s="115"/>
      <c r="AZ361" s="115"/>
      <c r="BA361" s="115"/>
      <c r="BB361" s="115"/>
      <c r="BC361" s="115"/>
    </row>
    <row r="362">
      <c r="AT362" s="115"/>
      <c r="AU362" s="115"/>
      <c r="AV362" s="115"/>
      <c r="AW362" s="115"/>
      <c r="AX362" s="115"/>
      <c r="AY362" s="115"/>
      <c r="AZ362" s="115"/>
      <c r="BA362" s="115"/>
      <c r="BB362" s="115"/>
      <c r="BC362" s="115"/>
    </row>
    <row r="363">
      <c r="AT363" s="115"/>
      <c r="AU363" s="115"/>
      <c r="AV363" s="115"/>
      <c r="AW363" s="115"/>
      <c r="AX363" s="115"/>
      <c r="AY363" s="115"/>
      <c r="AZ363" s="115"/>
      <c r="BA363" s="115"/>
      <c r="BB363" s="115"/>
      <c r="BC363" s="115"/>
    </row>
    <row r="364">
      <c r="AT364" s="115"/>
      <c r="AU364" s="115"/>
      <c r="AV364" s="115"/>
      <c r="AW364" s="115"/>
      <c r="AX364" s="115"/>
      <c r="AY364" s="115"/>
      <c r="AZ364" s="115"/>
      <c r="BA364" s="115"/>
      <c r="BB364" s="115"/>
      <c r="BC364" s="115"/>
    </row>
    <row r="365">
      <c r="AT365" s="115"/>
      <c r="AU365" s="115"/>
      <c r="AV365" s="115"/>
      <c r="AW365" s="115"/>
      <c r="AX365" s="115"/>
      <c r="AY365" s="115"/>
      <c r="AZ365" s="115"/>
      <c r="BA365" s="115"/>
      <c r="BB365" s="115"/>
      <c r="BC365" s="115"/>
    </row>
    <row r="366">
      <c r="AT366" s="115"/>
      <c r="AU366" s="115"/>
      <c r="AV366" s="115"/>
      <c r="AW366" s="115"/>
      <c r="AX366" s="115"/>
      <c r="AY366" s="115"/>
      <c r="AZ366" s="115"/>
      <c r="BA366" s="115"/>
      <c r="BB366" s="115"/>
      <c r="BC366" s="115"/>
    </row>
    <row r="367">
      <c r="AT367" s="115"/>
      <c r="AU367" s="115"/>
      <c r="AV367" s="115"/>
      <c r="AW367" s="115"/>
      <c r="AX367" s="115"/>
      <c r="AY367" s="115"/>
      <c r="AZ367" s="115"/>
      <c r="BA367" s="115"/>
      <c r="BB367" s="115"/>
      <c r="BC367" s="115"/>
    </row>
    <row r="368">
      <c r="AT368" s="115"/>
      <c r="AU368" s="115"/>
      <c r="AV368" s="115"/>
      <c r="AW368" s="115"/>
      <c r="AX368" s="115"/>
      <c r="AY368" s="115"/>
      <c r="AZ368" s="115"/>
      <c r="BA368" s="115"/>
      <c r="BB368" s="115"/>
      <c r="BC368" s="115"/>
    </row>
    <row r="369">
      <c r="AT369" s="115"/>
      <c r="AU369" s="115"/>
      <c r="AV369" s="115"/>
      <c r="AW369" s="115"/>
      <c r="AX369" s="115"/>
      <c r="AY369" s="115"/>
      <c r="AZ369" s="115"/>
      <c r="BA369" s="115"/>
      <c r="BB369" s="115"/>
      <c r="BC369" s="115"/>
    </row>
    <row r="370">
      <c r="AT370" s="115"/>
      <c r="AU370" s="115"/>
      <c r="AV370" s="115"/>
      <c r="AW370" s="115"/>
      <c r="AX370" s="115"/>
      <c r="AY370" s="115"/>
      <c r="AZ370" s="115"/>
      <c r="BA370" s="115"/>
      <c r="BB370" s="115"/>
      <c r="BC370" s="115"/>
    </row>
    <row r="371">
      <c r="AT371" s="115"/>
      <c r="AU371" s="115"/>
      <c r="AV371" s="115"/>
      <c r="AW371" s="115"/>
      <c r="AX371" s="115"/>
      <c r="AY371" s="115"/>
      <c r="AZ371" s="115"/>
      <c r="BA371" s="115"/>
      <c r="BB371" s="115"/>
      <c r="BC371" s="115"/>
    </row>
    <row r="372">
      <c r="AT372" s="115"/>
      <c r="AU372" s="115"/>
      <c r="AV372" s="115"/>
      <c r="AW372" s="115"/>
      <c r="AX372" s="115"/>
      <c r="AY372" s="115"/>
      <c r="AZ372" s="115"/>
      <c r="BA372" s="115"/>
      <c r="BB372" s="115"/>
      <c r="BC372" s="115"/>
    </row>
    <row r="373">
      <c r="AT373" s="115"/>
      <c r="AU373" s="115"/>
      <c r="AV373" s="115"/>
      <c r="AW373" s="115"/>
      <c r="AX373" s="115"/>
      <c r="AY373" s="115"/>
      <c r="AZ373" s="115"/>
      <c r="BA373" s="115"/>
      <c r="BB373" s="115"/>
      <c r="BC373" s="115"/>
    </row>
    <row r="374">
      <c r="AT374" s="115"/>
      <c r="AU374" s="115"/>
      <c r="AV374" s="115"/>
      <c r="AW374" s="115"/>
      <c r="AX374" s="115"/>
      <c r="AY374" s="115"/>
      <c r="AZ374" s="115"/>
      <c r="BA374" s="115"/>
      <c r="BB374" s="115"/>
      <c r="BC374" s="115"/>
    </row>
    <row r="375">
      <c r="AT375" s="115"/>
      <c r="AU375" s="115"/>
      <c r="AV375" s="115"/>
      <c r="AW375" s="115"/>
      <c r="AX375" s="115"/>
      <c r="AY375" s="115"/>
      <c r="AZ375" s="115"/>
      <c r="BA375" s="115"/>
      <c r="BB375" s="115"/>
      <c r="BC375" s="115"/>
    </row>
    <row r="376">
      <c r="AT376" s="115"/>
      <c r="AU376" s="115"/>
      <c r="AV376" s="115"/>
      <c r="AW376" s="115"/>
      <c r="AX376" s="115"/>
      <c r="AY376" s="115"/>
      <c r="AZ376" s="115"/>
      <c r="BA376" s="115"/>
      <c r="BB376" s="115"/>
      <c r="BC376" s="115"/>
    </row>
    <row r="377">
      <c r="AT377" s="115"/>
      <c r="AU377" s="115"/>
      <c r="AV377" s="115"/>
      <c r="AW377" s="115"/>
      <c r="AX377" s="115"/>
      <c r="AY377" s="115"/>
      <c r="AZ377" s="115"/>
      <c r="BA377" s="115"/>
      <c r="BB377" s="115"/>
      <c r="BC377" s="115"/>
    </row>
    <row r="378">
      <c r="AT378" s="115"/>
      <c r="AU378" s="115"/>
      <c r="AV378" s="115"/>
      <c r="AW378" s="115"/>
      <c r="AX378" s="115"/>
      <c r="AY378" s="115"/>
      <c r="AZ378" s="115"/>
      <c r="BA378" s="115"/>
      <c r="BB378" s="115"/>
      <c r="BC378" s="115"/>
    </row>
    <row r="379">
      <c r="AT379" s="115"/>
      <c r="AU379" s="115"/>
      <c r="AV379" s="115"/>
      <c r="AW379" s="115"/>
      <c r="AX379" s="115"/>
      <c r="AY379" s="115"/>
      <c r="AZ379" s="115"/>
      <c r="BA379" s="115"/>
      <c r="BB379" s="115"/>
      <c r="BC379" s="115"/>
    </row>
    <row r="380">
      <c r="AT380" s="115"/>
      <c r="AU380" s="115"/>
      <c r="AV380" s="115"/>
      <c r="AW380" s="115"/>
      <c r="AX380" s="115"/>
      <c r="AY380" s="115"/>
      <c r="AZ380" s="115"/>
      <c r="BA380" s="115"/>
      <c r="BB380" s="115"/>
      <c r="BC380" s="115"/>
    </row>
    <row r="381">
      <c r="AT381" s="115"/>
      <c r="AU381" s="115"/>
      <c r="AV381" s="115"/>
      <c r="AW381" s="115"/>
      <c r="AX381" s="115"/>
      <c r="AY381" s="115"/>
      <c r="AZ381" s="115"/>
      <c r="BA381" s="115"/>
      <c r="BB381" s="115"/>
      <c r="BC381" s="115"/>
    </row>
    <row r="382">
      <c r="AT382" s="115"/>
      <c r="AU382" s="115"/>
      <c r="AV382" s="115"/>
      <c r="AW382" s="115"/>
      <c r="AX382" s="115"/>
      <c r="AY382" s="115"/>
      <c r="AZ382" s="115"/>
      <c r="BA382" s="115"/>
      <c r="BB382" s="115"/>
      <c r="BC382" s="115"/>
    </row>
    <row r="383">
      <c r="AT383" s="115"/>
      <c r="AU383" s="115"/>
      <c r="AV383" s="115"/>
      <c r="AW383" s="115"/>
      <c r="AX383" s="115"/>
      <c r="AY383" s="115"/>
      <c r="AZ383" s="115"/>
      <c r="BA383" s="115"/>
      <c r="BB383" s="115"/>
      <c r="BC383" s="115"/>
    </row>
    <row r="384">
      <c r="AT384" s="115"/>
      <c r="AU384" s="115"/>
      <c r="AV384" s="115"/>
      <c r="AW384" s="115"/>
      <c r="AX384" s="115"/>
      <c r="AY384" s="115"/>
      <c r="AZ384" s="115"/>
      <c r="BA384" s="115"/>
      <c r="BB384" s="115"/>
      <c r="BC384" s="115"/>
    </row>
    <row r="385">
      <c r="AT385" s="115"/>
      <c r="AU385" s="115"/>
      <c r="AV385" s="115"/>
      <c r="AW385" s="115"/>
      <c r="AX385" s="115"/>
      <c r="AY385" s="115"/>
      <c r="AZ385" s="115"/>
      <c r="BA385" s="115"/>
      <c r="BB385" s="115"/>
      <c r="BC385" s="115"/>
    </row>
    <row r="386">
      <c r="AT386" s="115"/>
      <c r="AU386" s="115"/>
      <c r="AV386" s="115"/>
      <c r="AW386" s="115"/>
      <c r="AX386" s="115"/>
      <c r="AY386" s="115"/>
      <c r="AZ386" s="115"/>
      <c r="BA386" s="115"/>
      <c r="BB386" s="115"/>
      <c r="BC386" s="115"/>
    </row>
    <row r="387">
      <c r="AT387" s="115"/>
      <c r="AU387" s="115"/>
      <c r="AV387" s="115"/>
      <c r="AW387" s="115"/>
      <c r="AX387" s="115"/>
      <c r="AY387" s="115"/>
      <c r="AZ387" s="115"/>
      <c r="BA387" s="115"/>
      <c r="BB387" s="115"/>
      <c r="BC387" s="115"/>
    </row>
    <row r="388">
      <c r="AT388" s="115"/>
      <c r="AU388" s="115"/>
      <c r="AV388" s="115"/>
      <c r="AW388" s="115"/>
      <c r="AX388" s="115"/>
      <c r="AY388" s="115"/>
      <c r="AZ388" s="115"/>
      <c r="BA388" s="115"/>
      <c r="BB388" s="115"/>
      <c r="BC388" s="115"/>
    </row>
    <row r="389">
      <c r="AT389" s="115"/>
      <c r="AU389" s="115"/>
      <c r="AV389" s="115"/>
      <c r="AW389" s="115"/>
      <c r="AX389" s="115"/>
      <c r="AY389" s="115"/>
      <c r="AZ389" s="115"/>
      <c r="BA389" s="115"/>
      <c r="BB389" s="115"/>
      <c r="BC389" s="115"/>
    </row>
    <row r="390">
      <c r="AT390" s="115"/>
      <c r="AU390" s="115"/>
      <c r="AV390" s="115"/>
      <c r="AW390" s="115"/>
      <c r="AX390" s="115"/>
      <c r="AY390" s="115"/>
      <c r="AZ390" s="115"/>
      <c r="BA390" s="115"/>
      <c r="BB390" s="115"/>
      <c r="BC390" s="115"/>
    </row>
    <row r="391">
      <c r="AT391" s="115"/>
      <c r="AU391" s="115"/>
      <c r="AV391" s="115"/>
      <c r="AW391" s="115"/>
      <c r="AX391" s="115"/>
      <c r="AY391" s="115"/>
      <c r="AZ391" s="115"/>
      <c r="BA391" s="115"/>
      <c r="BB391" s="115"/>
      <c r="BC391" s="115"/>
    </row>
    <row r="392">
      <c r="AT392" s="115"/>
      <c r="AU392" s="115"/>
      <c r="AV392" s="115"/>
      <c r="AW392" s="115"/>
      <c r="AX392" s="115"/>
      <c r="AY392" s="115"/>
      <c r="AZ392" s="115"/>
      <c r="BA392" s="115"/>
      <c r="BB392" s="115"/>
      <c r="BC392" s="115"/>
    </row>
    <row r="393">
      <c r="AT393" s="115"/>
      <c r="AU393" s="115"/>
      <c r="AV393" s="115"/>
      <c r="AW393" s="115"/>
      <c r="AX393" s="115"/>
      <c r="AY393" s="115"/>
      <c r="AZ393" s="115"/>
      <c r="BA393" s="115"/>
      <c r="BB393" s="115"/>
      <c r="BC393" s="115"/>
    </row>
    <row r="394">
      <c r="AT394" s="115"/>
      <c r="AU394" s="115"/>
      <c r="AV394" s="115"/>
      <c r="AW394" s="115"/>
      <c r="AX394" s="115"/>
      <c r="AY394" s="115"/>
      <c r="AZ394" s="115"/>
      <c r="BA394" s="115"/>
      <c r="BB394" s="115"/>
      <c r="BC394" s="115"/>
    </row>
    <row r="395">
      <c r="AT395" s="115"/>
      <c r="AU395" s="115"/>
      <c r="AV395" s="115"/>
      <c r="AW395" s="115"/>
      <c r="AX395" s="115"/>
      <c r="AY395" s="115"/>
      <c r="AZ395" s="115"/>
      <c r="BA395" s="115"/>
      <c r="BB395" s="115"/>
      <c r="BC395" s="115"/>
    </row>
    <row r="396">
      <c r="AT396" s="115"/>
      <c r="AU396" s="115"/>
      <c r="AV396" s="115"/>
      <c r="AW396" s="115"/>
      <c r="AX396" s="115"/>
      <c r="AY396" s="115"/>
      <c r="AZ396" s="115"/>
      <c r="BA396" s="115"/>
      <c r="BB396" s="115"/>
      <c r="BC396" s="115"/>
    </row>
    <row r="397">
      <c r="AT397" s="115"/>
      <c r="AU397" s="115"/>
      <c r="AV397" s="115"/>
      <c r="AW397" s="115"/>
      <c r="AX397" s="115"/>
      <c r="AY397" s="115"/>
      <c r="AZ397" s="115"/>
      <c r="BA397" s="115"/>
      <c r="BB397" s="115"/>
      <c r="BC397" s="115"/>
    </row>
    <row r="398">
      <c r="AT398" s="115"/>
      <c r="AU398" s="115"/>
      <c r="AV398" s="115"/>
      <c r="AW398" s="115"/>
      <c r="AX398" s="115"/>
      <c r="AY398" s="115"/>
      <c r="AZ398" s="115"/>
      <c r="BA398" s="115"/>
      <c r="BB398" s="115"/>
      <c r="BC398" s="115"/>
    </row>
    <row r="399">
      <c r="AT399" s="115"/>
      <c r="AU399" s="115"/>
      <c r="AV399" s="115"/>
      <c r="AW399" s="115"/>
      <c r="AX399" s="115"/>
      <c r="AY399" s="115"/>
      <c r="AZ399" s="115"/>
      <c r="BA399" s="115"/>
      <c r="BB399" s="115"/>
      <c r="BC399" s="115"/>
    </row>
    <row r="400">
      <c r="AT400" s="115"/>
      <c r="AU400" s="115"/>
      <c r="AV400" s="115"/>
      <c r="AW400" s="115"/>
      <c r="AX400" s="115"/>
      <c r="AY400" s="115"/>
      <c r="AZ400" s="115"/>
      <c r="BA400" s="115"/>
      <c r="BB400" s="115"/>
      <c r="BC400" s="115"/>
    </row>
    <row r="401">
      <c r="AT401" s="115"/>
      <c r="AU401" s="115"/>
      <c r="AV401" s="115"/>
      <c r="AW401" s="115"/>
      <c r="AX401" s="115"/>
      <c r="AY401" s="115"/>
      <c r="AZ401" s="115"/>
      <c r="BA401" s="115"/>
      <c r="BB401" s="115"/>
      <c r="BC401" s="115"/>
    </row>
    <row r="402">
      <c r="AT402" s="115"/>
      <c r="AU402" s="115"/>
      <c r="AV402" s="115"/>
      <c r="AW402" s="115"/>
      <c r="AX402" s="115"/>
      <c r="AY402" s="115"/>
      <c r="AZ402" s="115"/>
      <c r="BA402" s="115"/>
      <c r="BB402" s="115"/>
      <c r="BC402" s="115"/>
    </row>
    <row r="403">
      <c r="AT403" s="115"/>
      <c r="AU403" s="115"/>
      <c r="AV403" s="115"/>
      <c r="AW403" s="115"/>
      <c r="AX403" s="115"/>
      <c r="AY403" s="115"/>
      <c r="AZ403" s="115"/>
      <c r="BA403" s="115"/>
      <c r="BB403" s="115"/>
      <c r="BC403" s="115"/>
    </row>
    <row r="404">
      <c r="AT404" s="115"/>
      <c r="AU404" s="115"/>
      <c r="AV404" s="115"/>
      <c r="AW404" s="115"/>
      <c r="AX404" s="115"/>
      <c r="AY404" s="115"/>
      <c r="AZ404" s="115"/>
      <c r="BA404" s="115"/>
      <c r="BB404" s="115"/>
      <c r="BC404" s="115"/>
    </row>
    <row r="405">
      <c r="AT405" s="115"/>
      <c r="AU405" s="115"/>
      <c r="AV405" s="115"/>
      <c r="AW405" s="115"/>
      <c r="AX405" s="115"/>
      <c r="AY405" s="115"/>
      <c r="AZ405" s="115"/>
      <c r="BA405" s="115"/>
      <c r="BB405" s="115"/>
      <c r="BC405" s="115"/>
    </row>
    <row r="406">
      <c r="AT406" s="115"/>
      <c r="AU406" s="115"/>
      <c r="AV406" s="115"/>
      <c r="AW406" s="115"/>
      <c r="AX406" s="115"/>
      <c r="AY406" s="115"/>
      <c r="AZ406" s="115"/>
      <c r="BA406" s="115"/>
      <c r="BB406" s="115"/>
      <c r="BC406" s="115"/>
    </row>
    <row r="407">
      <c r="AT407" s="115"/>
      <c r="AU407" s="115"/>
      <c r="AV407" s="115"/>
      <c r="AW407" s="115"/>
      <c r="AX407" s="115"/>
      <c r="AY407" s="115"/>
      <c r="AZ407" s="115"/>
      <c r="BA407" s="115"/>
      <c r="BB407" s="115"/>
      <c r="BC407" s="115"/>
    </row>
    <row r="408">
      <c r="AT408" s="115"/>
      <c r="AU408" s="115"/>
      <c r="AV408" s="115"/>
      <c r="AW408" s="115"/>
      <c r="AX408" s="115"/>
      <c r="AY408" s="115"/>
      <c r="AZ408" s="115"/>
      <c r="BA408" s="115"/>
      <c r="BB408" s="115"/>
      <c r="BC408" s="115"/>
    </row>
    <row r="409">
      <c r="AT409" s="115"/>
      <c r="AU409" s="115"/>
      <c r="AV409" s="115"/>
      <c r="AW409" s="115"/>
      <c r="AX409" s="115"/>
      <c r="AY409" s="115"/>
      <c r="AZ409" s="115"/>
      <c r="BA409" s="115"/>
      <c r="BB409" s="115"/>
      <c r="BC409" s="115"/>
    </row>
    <row r="410">
      <c r="AT410" s="115"/>
      <c r="AU410" s="115"/>
      <c r="AV410" s="115"/>
      <c r="AW410" s="115"/>
      <c r="AX410" s="115"/>
      <c r="AY410" s="115"/>
      <c r="AZ410" s="115"/>
      <c r="BA410" s="115"/>
      <c r="BB410" s="115"/>
      <c r="BC410" s="115"/>
    </row>
    <row r="411">
      <c r="AT411" s="115"/>
      <c r="AU411" s="115"/>
      <c r="AV411" s="115"/>
      <c r="AW411" s="115"/>
      <c r="AX411" s="115"/>
      <c r="AY411" s="115"/>
      <c r="AZ411" s="115"/>
      <c r="BA411" s="115"/>
      <c r="BB411" s="115"/>
      <c r="BC411" s="115"/>
    </row>
    <row r="412">
      <c r="AT412" s="115"/>
      <c r="AU412" s="115"/>
      <c r="AV412" s="115"/>
      <c r="AW412" s="115"/>
      <c r="AX412" s="115"/>
      <c r="AY412" s="115"/>
      <c r="AZ412" s="115"/>
      <c r="BA412" s="115"/>
      <c r="BB412" s="115"/>
      <c r="BC412" s="115"/>
    </row>
    <row r="413">
      <c r="AT413" s="115"/>
      <c r="AU413" s="115"/>
      <c r="AV413" s="115"/>
      <c r="AW413" s="115"/>
      <c r="AX413" s="115"/>
      <c r="AY413" s="115"/>
      <c r="AZ413" s="115"/>
      <c r="BA413" s="115"/>
      <c r="BB413" s="115"/>
      <c r="BC413" s="115"/>
    </row>
    <row r="414">
      <c r="AT414" s="115"/>
      <c r="AU414" s="115"/>
      <c r="AV414" s="115"/>
      <c r="AW414" s="115"/>
      <c r="AX414" s="115"/>
      <c r="AY414" s="115"/>
      <c r="AZ414" s="115"/>
      <c r="BA414" s="115"/>
      <c r="BB414" s="115"/>
      <c r="BC414" s="115"/>
    </row>
    <row r="415">
      <c r="AT415" s="115"/>
      <c r="AU415" s="115"/>
      <c r="AV415" s="115"/>
      <c r="AW415" s="115"/>
      <c r="AX415" s="115"/>
      <c r="AY415" s="115"/>
      <c r="AZ415" s="115"/>
      <c r="BA415" s="115"/>
      <c r="BB415" s="115"/>
      <c r="BC415" s="115"/>
    </row>
    <row r="416">
      <c r="AT416" s="115"/>
      <c r="AU416" s="115"/>
      <c r="AV416" s="115"/>
      <c r="AW416" s="115"/>
      <c r="AX416" s="115"/>
      <c r="AY416" s="115"/>
      <c r="AZ416" s="115"/>
      <c r="BA416" s="115"/>
      <c r="BB416" s="115"/>
      <c r="BC416" s="115"/>
    </row>
    <row r="417">
      <c r="AT417" s="115"/>
      <c r="AU417" s="115"/>
      <c r="AV417" s="115"/>
      <c r="AW417" s="115"/>
      <c r="AX417" s="115"/>
      <c r="AY417" s="115"/>
      <c r="AZ417" s="115"/>
      <c r="BA417" s="115"/>
      <c r="BB417" s="115"/>
      <c r="BC417" s="115"/>
    </row>
    <row r="418">
      <c r="AT418" s="115"/>
      <c r="AU418" s="115"/>
      <c r="AV418" s="115"/>
      <c r="AW418" s="115"/>
      <c r="AX418" s="115"/>
      <c r="AY418" s="115"/>
      <c r="AZ418" s="115"/>
      <c r="BA418" s="115"/>
      <c r="BB418" s="115"/>
      <c r="BC418" s="115"/>
    </row>
    <row r="419">
      <c r="AT419" s="115"/>
      <c r="AU419" s="115"/>
      <c r="AV419" s="115"/>
      <c r="AW419" s="115"/>
      <c r="AX419" s="115"/>
      <c r="AY419" s="115"/>
      <c r="AZ419" s="115"/>
      <c r="BA419" s="115"/>
      <c r="BB419" s="115"/>
      <c r="BC419" s="115"/>
    </row>
    <row r="420">
      <c r="AT420" s="115"/>
      <c r="AU420" s="115"/>
      <c r="AV420" s="115"/>
      <c r="AW420" s="115"/>
      <c r="AX420" s="115"/>
      <c r="AY420" s="115"/>
      <c r="AZ420" s="115"/>
      <c r="BA420" s="115"/>
      <c r="BB420" s="115"/>
      <c r="BC420" s="115"/>
    </row>
    <row r="421">
      <c r="AT421" s="115"/>
      <c r="AU421" s="115"/>
      <c r="AV421" s="115"/>
      <c r="AW421" s="115"/>
      <c r="AX421" s="115"/>
      <c r="AY421" s="115"/>
      <c r="AZ421" s="115"/>
      <c r="BA421" s="115"/>
      <c r="BB421" s="115"/>
      <c r="BC421" s="115"/>
    </row>
    <row r="422">
      <c r="AT422" s="115"/>
      <c r="AU422" s="115"/>
      <c r="AV422" s="115"/>
      <c r="AW422" s="115"/>
      <c r="AX422" s="115"/>
      <c r="AY422" s="115"/>
      <c r="AZ422" s="115"/>
      <c r="BA422" s="115"/>
      <c r="BB422" s="115"/>
      <c r="BC422" s="115"/>
    </row>
    <row r="423">
      <c r="AT423" s="115"/>
      <c r="AU423" s="115"/>
      <c r="AV423" s="115"/>
      <c r="AW423" s="115"/>
      <c r="AX423" s="115"/>
      <c r="AY423" s="115"/>
      <c r="AZ423" s="115"/>
      <c r="BA423" s="115"/>
      <c r="BB423" s="115"/>
      <c r="BC423" s="115"/>
    </row>
    <row r="424">
      <c r="AT424" s="115"/>
      <c r="AU424" s="115"/>
      <c r="AV424" s="115"/>
      <c r="AW424" s="115"/>
      <c r="AX424" s="115"/>
      <c r="AY424" s="115"/>
      <c r="AZ424" s="115"/>
      <c r="BA424" s="115"/>
      <c r="BB424" s="115"/>
      <c r="BC424" s="115"/>
    </row>
    <row r="425">
      <c r="AT425" s="115"/>
      <c r="AU425" s="115"/>
      <c r="AV425" s="115"/>
      <c r="AW425" s="115"/>
      <c r="AX425" s="115"/>
      <c r="AY425" s="115"/>
      <c r="AZ425" s="115"/>
      <c r="BA425" s="115"/>
      <c r="BB425" s="115"/>
      <c r="BC425" s="115"/>
    </row>
    <row r="426">
      <c r="AT426" s="115"/>
      <c r="AU426" s="115"/>
      <c r="AV426" s="115"/>
      <c r="AW426" s="115"/>
      <c r="AX426" s="115"/>
      <c r="AY426" s="115"/>
      <c r="AZ426" s="115"/>
      <c r="BA426" s="115"/>
      <c r="BB426" s="115"/>
      <c r="BC426" s="115"/>
    </row>
    <row r="427">
      <c r="AT427" s="115"/>
      <c r="AU427" s="115"/>
      <c r="AV427" s="115"/>
      <c r="AW427" s="115"/>
      <c r="AX427" s="115"/>
      <c r="AY427" s="115"/>
      <c r="AZ427" s="115"/>
      <c r="BA427" s="115"/>
      <c r="BB427" s="115"/>
      <c r="BC427" s="115"/>
    </row>
    <row r="428">
      <c r="AT428" s="115"/>
      <c r="AU428" s="115"/>
      <c r="AV428" s="115"/>
      <c r="AW428" s="115"/>
      <c r="AX428" s="115"/>
      <c r="AY428" s="115"/>
      <c r="AZ428" s="115"/>
      <c r="BA428" s="115"/>
      <c r="BB428" s="115"/>
      <c r="BC428" s="115"/>
    </row>
    <row r="429">
      <c r="AT429" s="115"/>
      <c r="AU429" s="115"/>
      <c r="AV429" s="115"/>
      <c r="AW429" s="115"/>
      <c r="AX429" s="115"/>
      <c r="AY429" s="115"/>
      <c r="AZ429" s="115"/>
      <c r="BA429" s="115"/>
      <c r="BB429" s="115"/>
      <c r="BC429" s="115"/>
    </row>
    <row r="430">
      <c r="AT430" s="115"/>
      <c r="AU430" s="115"/>
      <c r="AV430" s="115"/>
      <c r="AW430" s="115"/>
      <c r="AX430" s="115"/>
      <c r="AY430" s="115"/>
      <c r="AZ430" s="115"/>
      <c r="BA430" s="115"/>
      <c r="BB430" s="115"/>
      <c r="BC430" s="115"/>
    </row>
    <row r="431">
      <c r="AT431" s="115"/>
      <c r="AU431" s="115"/>
      <c r="AV431" s="115"/>
      <c r="AW431" s="115"/>
      <c r="AX431" s="115"/>
      <c r="AY431" s="115"/>
      <c r="AZ431" s="115"/>
      <c r="BA431" s="115"/>
      <c r="BB431" s="115"/>
      <c r="BC431" s="115"/>
    </row>
    <row r="432">
      <c r="AT432" s="115"/>
      <c r="AU432" s="115"/>
      <c r="AV432" s="115"/>
      <c r="AW432" s="115"/>
      <c r="AX432" s="115"/>
      <c r="AY432" s="115"/>
      <c r="AZ432" s="115"/>
      <c r="BA432" s="115"/>
      <c r="BB432" s="115"/>
      <c r="BC432" s="115"/>
    </row>
    <row r="433">
      <c r="AT433" s="115"/>
      <c r="AU433" s="115"/>
      <c r="AV433" s="115"/>
      <c r="AW433" s="115"/>
      <c r="AX433" s="115"/>
      <c r="AY433" s="115"/>
      <c r="AZ433" s="115"/>
      <c r="BA433" s="115"/>
      <c r="BB433" s="115"/>
      <c r="BC433" s="115"/>
    </row>
    <row r="434">
      <c r="AT434" s="115"/>
      <c r="AU434" s="115"/>
      <c r="AV434" s="115"/>
      <c r="AW434" s="115"/>
      <c r="AX434" s="115"/>
      <c r="AY434" s="115"/>
      <c r="AZ434" s="115"/>
      <c r="BA434" s="115"/>
      <c r="BB434" s="115"/>
      <c r="BC434" s="115"/>
    </row>
    <row r="435">
      <c r="AT435" s="115"/>
      <c r="AU435" s="115"/>
      <c r="AV435" s="115"/>
      <c r="AW435" s="115"/>
      <c r="AX435" s="115"/>
      <c r="AY435" s="115"/>
      <c r="AZ435" s="115"/>
      <c r="BA435" s="115"/>
      <c r="BB435" s="115"/>
      <c r="BC435" s="115"/>
    </row>
    <row r="436">
      <c r="AT436" s="115"/>
      <c r="AU436" s="115"/>
      <c r="AV436" s="115"/>
      <c r="AW436" s="115"/>
      <c r="AX436" s="115"/>
      <c r="AY436" s="115"/>
      <c r="AZ436" s="115"/>
      <c r="BA436" s="115"/>
      <c r="BB436" s="115"/>
      <c r="BC436" s="115"/>
    </row>
    <row r="437">
      <c r="AT437" s="115"/>
      <c r="AU437" s="115"/>
      <c r="AV437" s="115"/>
      <c r="AW437" s="115"/>
      <c r="AX437" s="115"/>
      <c r="AY437" s="115"/>
      <c r="AZ437" s="115"/>
      <c r="BA437" s="115"/>
      <c r="BB437" s="115"/>
      <c r="BC437" s="115"/>
    </row>
    <row r="438">
      <c r="AT438" s="115"/>
      <c r="AU438" s="115"/>
      <c r="AV438" s="115"/>
      <c r="AW438" s="115"/>
      <c r="AX438" s="115"/>
      <c r="AY438" s="115"/>
      <c r="AZ438" s="115"/>
      <c r="BA438" s="115"/>
      <c r="BB438" s="115"/>
      <c r="BC438" s="115"/>
    </row>
    <row r="439">
      <c r="AT439" s="115"/>
      <c r="AU439" s="115"/>
      <c r="AV439" s="115"/>
      <c r="AW439" s="115"/>
      <c r="AX439" s="115"/>
      <c r="AY439" s="115"/>
      <c r="AZ439" s="115"/>
      <c r="BA439" s="115"/>
      <c r="BB439" s="115"/>
      <c r="BC439" s="115"/>
    </row>
    <row r="440">
      <c r="AT440" s="115"/>
      <c r="AU440" s="115"/>
      <c r="AV440" s="115"/>
      <c r="AW440" s="115"/>
      <c r="AX440" s="115"/>
      <c r="AY440" s="115"/>
      <c r="AZ440" s="115"/>
      <c r="BA440" s="115"/>
      <c r="BB440" s="115"/>
      <c r="BC440" s="115"/>
    </row>
    <row r="441">
      <c r="AT441" s="115"/>
      <c r="AU441" s="115"/>
      <c r="AV441" s="115"/>
      <c r="AW441" s="115"/>
      <c r="AX441" s="115"/>
      <c r="AY441" s="115"/>
      <c r="AZ441" s="115"/>
      <c r="BA441" s="115"/>
      <c r="BB441" s="115"/>
      <c r="BC441" s="115"/>
    </row>
    <row r="442">
      <c r="AT442" s="115"/>
      <c r="AU442" s="115"/>
      <c r="AV442" s="115"/>
      <c r="AW442" s="115"/>
      <c r="AX442" s="115"/>
      <c r="AY442" s="115"/>
      <c r="AZ442" s="115"/>
      <c r="BA442" s="115"/>
      <c r="BB442" s="115"/>
      <c r="BC442" s="115"/>
    </row>
    <row r="443">
      <c r="AT443" s="115"/>
      <c r="AU443" s="115"/>
      <c r="AV443" s="115"/>
      <c r="AW443" s="115"/>
      <c r="AX443" s="115"/>
      <c r="AY443" s="115"/>
      <c r="AZ443" s="115"/>
      <c r="BA443" s="115"/>
      <c r="BB443" s="115"/>
      <c r="BC443" s="115"/>
    </row>
    <row r="444">
      <c r="AT444" s="115"/>
      <c r="AU444" s="115"/>
      <c r="AV444" s="115"/>
      <c r="AW444" s="115"/>
      <c r="AX444" s="115"/>
      <c r="AY444" s="115"/>
      <c r="AZ444" s="115"/>
      <c r="BA444" s="115"/>
      <c r="BB444" s="115"/>
      <c r="BC444" s="115"/>
    </row>
    <row r="445">
      <c r="AT445" s="115"/>
      <c r="AU445" s="115"/>
      <c r="AV445" s="115"/>
      <c r="AW445" s="115"/>
      <c r="AX445" s="115"/>
      <c r="AY445" s="115"/>
      <c r="AZ445" s="115"/>
      <c r="BA445" s="115"/>
      <c r="BB445" s="115"/>
      <c r="BC445" s="115"/>
    </row>
    <row r="446">
      <c r="AT446" s="115"/>
      <c r="AU446" s="115"/>
      <c r="AV446" s="115"/>
      <c r="AW446" s="115"/>
      <c r="AX446" s="115"/>
      <c r="AY446" s="115"/>
      <c r="AZ446" s="115"/>
      <c r="BA446" s="115"/>
      <c r="BB446" s="115"/>
      <c r="BC446" s="115"/>
    </row>
    <row r="447">
      <c r="AT447" s="115"/>
      <c r="AU447" s="115"/>
      <c r="AV447" s="115"/>
      <c r="AW447" s="115"/>
      <c r="AX447" s="115"/>
      <c r="AY447" s="115"/>
      <c r="AZ447" s="115"/>
      <c r="BA447" s="115"/>
      <c r="BB447" s="115"/>
      <c r="BC447" s="115"/>
    </row>
    <row r="448">
      <c r="AT448" s="115"/>
      <c r="AU448" s="115"/>
      <c r="AV448" s="115"/>
      <c r="AW448" s="115"/>
      <c r="AX448" s="115"/>
      <c r="AY448" s="115"/>
      <c r="AZ448" s="115"/>
      <c r="BA448" s="115"/>
      <c r="BB448" s="115"/>
      <c r="BC448" s="115"/>
    </row>
    <row r="449">
      <c r="AT449" s="115"/>
      <c r="AU449" s="115"/>
      <c r="AV449" s="115"/>
      <c r="AW449" s="115"/>
      <c r="AX449" s="115"/>
      <c r="AY449" s="115"/>
      <c r="AZ449" s="115"/>
      <c r="BA449" s="115"/>
      <c r="BB449" s="115"/>
      <c r="BC449" s="115"/>
    </row>
    <row r="450">
      <c r="AT450" s="115"/>
      <c r="AU450" s="115"/>
      <c r="AV450" s="115"/>
      <c r="AW450" s="115"/>
      <c r="AX450" s="115"/>
      <c r="AY450" s="115"/>
      <c r="AZ450" s="115"/>
      <c r="BA450" s="115"/>
      <c r="BB450" s="115"/>
      <c r="BC450" s="115"/>
    </row>
    <row r="451">
      <c r="AT451" s="115"/>
      <c r="AU451" s="115"/>
      <c r="AV451" s="115"/>
      <c r="AW451" s="115"/>
      <c r="AX451" s="115"/>
      <c r="AY451" s="115"/>
      <c r="AZ451" s="115"/>
      <c r="BA451" s="115"/>
      <c r="BB451" s="115"/>
      <c r="BC451" s="115"/>
    </row>
    <row r="452">
      <c r="AT452" s="115"/>
      <c r="AU452" s="115"/>
      <c r="AV452" s="115"/>
      <c r="AW452" s="115"/>
      <c r="AX452" s="115"/>
      <c r="AY452" s="115"/>
      <c r="AZ452" s="115"/>
      <c r="BA452" s="115"/>
      <c r="BB452" s="115"/>
      <c r="BC452" s="115"/>
    </row>
    <row r="453">
      <c r="AT453" s="115"/>
      <c r="AU453" s="115"/>
      <c r="AV453" s="115"/>
      <c r="AW453" s="115"/>
      <c r="AX453" s="115"/>
      <c r="AY453" s="115"/>
      <c r="AZ453" s="115"/>
      <c r="BA453" s="115"/>
      <c r="BB453" s="115"/>
      <c r="BC453" s="115"/>
    </row>
    <row r="454">
      <c r="AT454" s="115"/>
      <c r="AU454" s="115"/>
      <c r="AV454" s="115"/>
      <c r="AW454" s="115"/>
      <c r="AX454" s="115"/>
      <c r="AY454" s="115"/>
      <c r="AZ454" s="115"/>
      <c r="BA454" s="115"/>
      <c r="BB454" s="115"/>
      <c r="BC454" s="115"/>
    </row>
    <row r="455">
      <c r="AT455" s="115"/>
      <c r="AU455" s="115"/>
      <c r="AV455" s="115"/>
      <c r="AW455" s="115"/>
      <c r="AX455" s="115"/>
      <c r="AY455" s="115"/>
      <c r="AZ455" s="115"/>
      <c r="BA455" s="115"/>
      <c r="BB455" s="115"/>
      <c r="BC455" s="115"/>
    </row>
    <row r="456">
      <c r="AT456" s="115"/>
      <c r="AU456" s="115"/>
      <c r="AV456" s="115"/>
      <c r="AW456" s="115"/>
      <c r="AX456" s="115"/>
      <c r="AY456" s="115"/>
      <c r="AZ456" s="115"/>
      <c r="BA456" s="115"/>
      <c r="BB456" s="115"/>
      <c r="BC456" s="115"/>
    </row>
    <row r="457">
      <c r="AT457" s="115"/>
      <c r="AU457" s="115"/>
      <c r="AV457" s="115"/>
      <c r="AW457" s="115"/>
      <c r="AX457" s="115"/>
      <c r="AY457" s="115"/>
      <c r="AZ457" s="115"/>
      <c r="BA457" s="115"/>
      <c r="BB457" s="115"/>
      <c r="BC457" s="115"/>
    </row>
    <row r="458">
      <c r="AT458" s="115"/>
      <c r="AU458" s="115"/>
      <c r="AV458" s="115"/>
      <c r="AW458" s="115"/>
      <c r="AX458" s="115"/>
      <c r="AY458" s="115"/>
      <c r="AZ458" s="115"/>
      <c r="BA458" s="115"/>
      <c r="BB458" s="115"/>
      <c r="BC458" s="115"/>
    </row>
    <row r="459">
      <c r="AT459" s="115"/>
      <c r="AU459" s="115"/>
      <c r="AV459" s="115"/>
      <c r="AW459" s="115"/>
      <c r="AX459" s="115"/>
      <c r="AY459" s="115"/>
      <c r="AZ459" s="115"/>
      <c r="BA459" s="115"/>
      <c r="BB459" s="115"/>
      <c r="BC459" s="115"/>
    </row>
    <row r="460">
      <c r="AT460" s="115"/>
      <c r="AU460" s="115"/>
      <c r="AV460" s="115"/>
      <c r="AW460" s="115"/>
      <c r="AX460" s="115"/>
      <c r="AY460" s="115"/>
      <c r="AZ460" s="115"/>
      <c r="BA460" s="115"/>
      <c r="BB460" s="115"/>
      <c r="BC460" s="115"/>
    </row>
    <row r="461">
      <c r="AT461" s="115"/>
      <c r="AU461" s="115"/>
      <c r="AV461" s="115"/>
      <c r="AW461" s="115"/>
      <c r="AX461" s="115"/>
      <c r="AY461" s="115"/>
      <c r="AZ461" s="115"/>
      <c r="BA461" s="115"/>
      <c r="BB461" s="115"/>
      <c r="BC461" s="115"/>
    </row>
    <row r="462">
      <c r="AT462" s="115"/>
      <c r="AU462" s="115"/>
      <c r="AV462" s="115"/>
      <c r="AW462" s="115"/>
      <c r="AX462" s="115"/>
      <c r="AY462" s="115"/>
      <c r="AZ462" s="115"/>
      <c r="BA462" s="115"/>
      <c r="BB462" s="115"/>
      <c r="BC462" s="115"/>
    </row>
    <row r="463">
      <c r="AT463" s="115"/>
      <c r="AU463" s="115"/>
      <c r="AV463" s="115"/>
      <c r="AW463" s="115"/>
      <c r="AX463" s="115"/>
      <c r="AY463" s="115"/>
      <c r="AZ463" s="115"/>
      <c r="BA463" s="115"/>
      <c r="BB463" s="115"/>
      <c r="BC463" s="115"/>
    </row>
    <row r="464">
      <c r="AT464" s="115"/>
      <c r="AU464" s="115"/>
      <c r="AV464" s="115"/>
      <c r="AW464" s="115"/>
      <c r="AX464" s="115"/>
      <c r="AY464" s="115"/>
      <c r="AZ464" s="115"/>
      <c r="BA464" s="115"/>
      <c r="BB464" s="115"/>
      <c r="BC464" s="115"/>
    </row>
    <row r="465">
      <c r="AT465" s="115"/>
      <c r="AU465" s="115"/>
      <c r="AV465" s="115"/>
      <c r="AW465" s="115"/>
      <c r="AX465" s="115"/>
      <c r="AY465" s="115"/>
      <c r="AZ465" s="115"/>
      <c r="BA465" s="115"/>
      <c r="BB465" s="115"/>
      <c r="BC465" s="115"/>
    </row>
    <row r="466">
      <c r="AT466" s="115"/>
      <c r="AU466" s="115"/>
      <c r="AV466" s="115"/>
      <c r="AW466" s="115"/>
      <c r="AX466" s="115"/>
      <c r="AY466" s="115"/>
      <c r="AZ466" s="115"/>
      <c r="BA466" s="115"/>
      <c r="BB466" s="115"/>
      <c r="BC466" s="115"/>
    </row>
    <row r="467">
      <c r="AT467" s="115"/>
      <c r="AU467" s="115"/>
      <c r="AV467" s="115"/>
      <c r="AW467" s="115"/>
      <c r="AX467" s="115"/>
      <c r="AY467" s="115"/>
      <c r="AZ467" s="115"/>
      <c r="BA467" s="115"/>
      <c r="BB467" s="115"/>
      <c r="BC467" s="115"/>
    </row>
    <row r="468">
      <c r="AT468" s="115"/>
      <c r="AU468" s="115"/>
      <c r="AV468" s="115"/>
      <c r="AW468" s="115"/>
      <c r="AX468" s="115"/>
      <c r="AY468" s="115"/>
      <c r="AZ468" s="115"/>
      <c r="BA468" s="115"/>
      <c r="BB468" s="115"/>
      <c r="BC468" s="115"/>
    </row>
    <row r="469">
      <c r="AT469" s="115"/>
      <c r="AU469" s="115"/>
      <c r="AV469" s="115"/>
      <c r="AW469" s="115"/>
      <c r="AX469" s="115"/>
      <c r="AY469" s="115"/>
      <c r="AZ469" s="115"/>
      <c r="BA469" s="115"/>
      <c r="BB469" s="115"/>
      <c r="BC469" s="115"/>
    </row>
    <row r="470">
      <c r="AT470" s="115"/>
      <c r="AU470" s="115"/>
      <c r="AV470" s="115"/>
      <c r="AW470" s="115"/>
      <c r="AX470" s="115"/>
      <c r="AY470" s="115"/>
      <c r="AZ470" s="115"/>
      <c r="BA470" s="115"/>
      <c r="BB470" s="115"/>
      <c r="BC470" s="115"/>
    </row>
    <row r="471">
      <c r="AT471" s="115"/>
      <c r="AU471" s="115"/>
      <c r="AV471" s="115"/>
      <c r="AW471" s="115"/>
      <c r="AX471" s="115"/>
      <c r="AY471" s="115"/>
      <c r="AZ471" s="115"/>
      <c r="BA471" s="115"/>
      <c r="BB471" s="115"/>
      <c r="BC471" s="115"/>
    </row>
    <row r="472">
      <c r="AT472" s="115"/>
      <c r="AU472" s="115"/>
      <c r="AV472" s="115"/>
      <c r="AW472" s="115"/>
      <c r="AX472" s="115"/>
      <c r="AY472" s="115"/>
      <c r="AZ472" s="115"/>
      <c r="BA472" s="115"/>
      <c r="BB472" s="115"/>
      <c r="BC472" s="115"/>
    </row>
    <row r="473">
      <c r="AT473" s="115"/>
      <c r="AU473" s="115"/>
      <c r="AV473" s="115"/>
      <c r="AW473" s="115"/>
      <c r="AX473" s="115"/>
      <c r="AY473" s="115"/>
      <c r="AZ473" s="115"/>
      <c r="BA473" s="115"/>
      <c r="BB473" s="115"/>
      <c r="BC473" s="115"/>
    </row>
    <row r="474">
      <c r="AT474" s="115"/>
      <c r="AU474" s="115"/>
      <c r="AV474" s="115"/>
      <c r="AW474" s="115"/>
      <c r="AX474" s="115"/>
      <c r="AY474" s="115"/>
      <c r="AZ474" s="115"/>
      <c r="BA474" s="115"/>
      <c r="BB474" s="115"/>
      <c r="BC474" s="115"/>
    </row>
    <row r="475">
      <c r="AT475" s="115"/>
      <c r="AU475" s="115"/>
      <c r="AV475" s="115"/>
      <c r="AW475" s="115"/>
      <c r="AX475" s="115"/>
      <c r="AY475" s="115"/>
      <c r="AZ475" s="115"/>
      <c r="BA475" s="115"/>
      <c r="BB475" s="115"/>
      <c r="BC475" s="115"/>
    </row>
    <row r="476">
      <c r="AT476" s="115"/>
      <c r="AU476" s="115"/>
      <c r="AV476" s="115"/>
      <c r="AW476" s="115"/>
      <c r="AX476" s="115"/>
      <c r="AY476" s="115"/>
      <c r="AZ476" s="115"/>
      <c r="BA476" s="115"/>
      <c r="BB476" s="115"/>
      <c r="BC476" s="115"/>
    </row>
    <row r="477">
      <c r="AT477" s="115"/>
      <c r="AU477" s="115"/>
      <c r="AV477" s="115"/>
      <c r="AW477" s="115"/>
      <c r="AX477" s="115"/>
      <c r="AY477" s="115"/>
      <c r="AZ477" s="115"/>
      <c r="BA477" s="115"/>
      <c r="BB477" s="115"/>
      <c r="BC477" s="115"/>
    </row>
    <row r="478">
      <c r="AT478" s="115"/>
      <c r="AU478" s="115"/>
      <c r="AV478" s="115"/>
      <c r="AW478" s="115"/>
      <c r="AX478" s="115"/>
      <c r="AY478" s="115"/>
      <c r="AZ478" s="115"/>
      <c r="BA478" s="115"/>
      <c r="BB478" s="115"/>
      <c r="BC478" s="115"/>
    </row>
    <row r="479">
      <c r="AT479" s="115"/>
      <c r="AU479" s="115"/>
      <c r="AV479" s="115"/>
      <c r="AW479" s="115"/>
      <c r="AX479" s="115"/>
      <c r="AY479" s="115"/>
      <c r="AZ479" s="115"/>
      <c r="BA479" s="115"/>
      <c r="BB479" s="115"/>
      <c r="BC479" s="115"/>
    </row>
    <row r="480">
      <c r="AT480" s="115"/>
      <c r="AU480" s="115"/>
      <c r="AV480" s="115"/>
      <c r="AW480" s="115"/>
      <c r="AX480" s="115"/>
      <c r="AY480" s="115"/>
      <c r="AZ480" s="115"/>
      <c r="BA480" s="115"/>
      <c r="BB480" s="115"/>
      <c r="BC480" s="115"/>
    </row>
    <row r="481">
      <c r="AT481" s="115"/>
      <c r="AU481" s="115"/>
      <c r="AV481" s="115"/>
      <c r="AW481" s="115"/>
      <c r="AX481" s="115"/>
      <c r="AY481" s="115"/>
      <c r="AZ481" s="115"/>
      <c r="BA481" s="115"/>
      <c r="BB481" s="115"/>
      <c r="BC481" s="115"/>
    </row>
    <row r="482">
      <c r="AT482" s="115"/>
      <c r="AU482" s="115"/>
      <c r="AV482" s="115"/>
      <c r="AW482" s="115"/>
      <c r="AX482" s="115"/>
      <c r="AY482" s="115"/>
      <c r="AZ482" s="115"/>
      <c r="BA482" s="115"/>
      <c r="BB482" s="115"/>
      <c r="BC482" s="115"/>
    </row>
    <row r="483">
      <c r="AT483" s="115"/>
      <c r="AU483" s="115"/>
      <c r="AV483" s="115"/>
      <c r="AW483" s="115"/>
      <c r="AX483" s="115"/>
      <c r="AY483" s="115"/>
      <c r="AZ483" s="115"/>
      <c r="BA483" s="115"/>
      <c r="BB483" s="115"/>
      <c r="BC483" s="115"/>
    </row>
    <row r="484">
      <c r="AT484" s="115"/>
      <c r="AU484" s="115"/>
      <c r="AV484" s="115"/>
      <c r="AW484" s="115"/>
      <c r="AX484" s="115"/>
      <c r="AY484" s="115"/>
      <c r="AZ484" s="115"/>
      <c r="BA484" s="115"/>
      <c r="BB484" s="115"/>
      <c r="BC484" s="115"/>
    </row>
    <row r="485">
      <c r="AT485" s="115"/>
      <c r="AU485" s="115"/>
      <c r="AV485" s="115"/>
      <c r="AW485" s="115"/>
      <c r="AX485" s="115"/>
      <c r="AY485" s="115"/>
      <c r="AZ485" s="115"/>
      <c r="BA485" s="115"/>
      <c r="BB485" s="115"/>
      <c r="BC485" s="115"/>
    </row>
    <row r="486">
      <c r="AT486" s="115"/>
      <c r="AU486" s="115"/>
      <c r="AV486" s="115"/>
      <c r="AW486" s="115"/>
      <c r="AX486" s="115"/>
      <c r="AY486" s="115"/>
      <c r="AZ486" s="115"/>
      <c r="BA486" s="115"/>
      <c r="BB486" s="115"/>
      <c r="BC486" s="115"/>
    </row>
    <row r="487">
      <c r="AT487" s="115"/>
      <c r="AU487" s="115"/>
      <c r="AV487" s="115"/>
      <c r="AW487" s="115"/>
      <c r="AX487" s="115"/>
      <c r="AY487" s="115"/>
      <c r="AZ487" s="115"/>
      <c r="BA487" s="115"/>
      <c r="BB487" s="115"/>
      <c r="BC487" s="115"/>
    </row>
    <row r="488">
      <c r="AT488" s="115"/>
      <c r="AU488" s="115"/>
      <c r="AV488" s="115"/>
      <c r="AW488" s="115"/>
      <c r="AX488" s="115"/>
      <c r="AY488" s="115"/>
      <c r="AZ488" s="115"/>
      <c r="BA488" s="115"/>
      <c r="BB488" s="115"/>
      <c r="BC488" s="115"/>
    </row>
    <row r="489">
      <c r="AT489" s="115"/>
      <c r="AU489" s="115"/>
      <c r="AV489" s="115"/>
      <c r="AW489" s="115"/>
      <c r="AX489" s="115"/>
      <c r="AY489" s="115"/>
      <c r="AZ489" s="115"/>
      <c r="BA489" s="115"/>
      <c r="BB489" s="115"/>
      <c r="BC489" s="115"/>
    </row>
    <row r="490">
      <c r="AT490" s="115"/>
      <c r="AU490" s="115"/>
      <c r="AV490" s="115"/>
      <c r="AW490" s="115"/>
      <c r="AX490" s="115"/>
      <c r="AY490" s="115"/>
      <c r="AZ490" s="115"/>
      <c r="BA490" s="115"/>
      <c r="BB490" s="115"/>
      <c r="BC490" s="115"/>
    </row>
    <row r="491">
      <c r="AT491" s="115"/>
      <c r="AU491" s="115"/>
      <c r="AV491" s="115"/>
      <c r="AW491" s="115"/>
      <c r="AX491" s="115"/>
      <c r="AY491" s="115"/>
      <c r="AZ491" s="115"/>
      <c r="BA491" s="115"/>
      <c r="BB491" s="115"/>
      <c r="BC491" s="115"/>
    </row>
    <row r="492">
      <c r="AT492" s="115"/>
      <c r="AU492" s="115"/>
      <c r="AV492" s="115"/>
      <c r="AW492" s="115"/>
      <c r="AX492" s="115"/>
      <c r="AY492" s="115"/>
      <c r="AZ492" s="115"/>
      <c r="BA492" s="115"/>
      <c r="BB492" s="115"/>
      <c r="BC492" s="115"/>
    </row>
    <row r="493">
      <c r="AT493" s="115"/>
      <c r="AU493" s="115"/>
      <c r="AV493" s="115"/>
      <c r="AW493" s="115"/>
      <c r="AX493" s="115"/>
      <c r="AY493" s="115"/>
      <c r="AZ493" s="115"/>
      <c r="BA493" s="115"/>
      <c r="BB493" s="115"/>
      <c r="BC493" s="115"/>
    </row>
    <row r="494">
      <c r="AT494" s="115"/>
      <c r="AU494" s="115"/>
      <c r="AV494" s="115"/>
      <c r="AW494" s="115"/>
      <c r="AX494" s="115"/>
      <c r="AY494" s="115"/>
      <c r="AZ494" s="115"/>
      <c r="BA494" s="115"/>
      <c r="BB494" s="115"/>
      <c r="BC494" s="115"/>
    </row>
    <row r="495">
      <c r="AT495" s="115"/>
      <c r="AU495" s="115"/>
      <c r="AV495" s="115"/>
      <c r="AW495" s="115"/>
      <c r="AX495" s="115"/>
      <c r="AY495" s="115"/>
      <c r="AZ495" s="115"/>
      <c r="BA495" s="115"/>
      <c r="BB495" s="115"/>
      <c r="BC495" s="115"/>
    </row>
    <row r="496">
      <c r="AT496" s="115"/>
      <c r="AU496" s="115"/>
      <c r="AV496" s="115"/>
      <c r="AW496" s="115"/>
      <c r="AX496" s="115"/>
      <c r="AY496" s="115"/>
      <c r="AZ496" s="115"/>
      <c r="BA496" s="115"/>
      <c r="BB496" s="115"/>
      <c r="BC496" s="115"/>
    </row>
    <row r="497">
      <c r="AT497" s="115"/>
      <c r="AU497" s="115"/>
      <c r="AV497" s="115"/>
      <c r="AW497" s="115"/>
      <c r="AX497" s="115"/>
      <c r="AY497" s="115"/>
      <c r="AZ497" s="115"/>
      <c r="BA497" s="115"/>
      <c r="BB497" s="115"/>
      <c r="BC497" s="115"/>
    </row>
    <row r="498">
      <c r="AT498" s="115"/>
      <c r="AU498" s="115"/>
      <c r="AV498" s="115"/>
      <c r="AW498" s="115"/>
      <c r="AX498" s="115"/>
      <c r="AY498" s="115"/>
      <c r="AZ498" s="115"/>
      <c r="BA498" s="115"/>
      <c r="BB498" s="115"/>
      <c r="BC498" s="115"/>
    </row>
    <row r="499">
      <c r="AT499" s="115"/>
      <c r="AU499" s="115"/>
      <c r="AV499" s="115"/>
      <c r="AW499" s="115"/>
      <c r="AX499" s="115"/>
      <c r="AY499" s="115"/>
      <c r="AZ499" s="115"/>
      <c r="BA499" s="115"/>
      <c r="BB499" s="115"/>
      <c r="BC499" s="115"/>
    </row>
    <row r="500">
      <c r="AT500" s="115"/>
      <c r="AU500" s="115"/>
      <c r="AV500" s="115"/>
      <c r="AW500" s="115"/>
      <c r="AX500" s="115"/>
      <c r="AY500" s="115"/>
      <c r="AZ500" s="115"/>
      <c r="BA500" s="115"/>
      <c r="BB500" s="115"/>
      <c r="BC500" s="115"/>
    </row>
    <row r="501">
      <c r="AT501" s="115"/>
      <c r="AU501" s="115"/>
      <c r="AV501" s="115"/>
      <c r="AW501" s="115"/>
      <c r="AX501" s="115"/>
      <c r="AY501" s="115"/>
      <c r="AZ501" s="115"/>
      <c r="BA501" s="115"/>
      <c r="BB501" s="115"/>
      <c r="BC501" s="115"/>
    </row>
    <row r="502">
      <c r="AT502" s="115"/>
      <c r="AU502" s="115"/>
      <c r="AV502" s="115"/>
      <c r="AW502" s="115"/>
      <c r="AX502" s="115"/>
      <c r="AY502" s="115"/>
      <c r="AZ502" s="115"/>
      <c r="BA502" s="115"/>
      <c r="BB502" s="115"/>
      <c r="BC502" s="115"/>
    </row>
    <row r="503">
      <c r="AT503" s="115"/>
      <c r="AU503" s="115"/>
      <c r="AV503" s="115"/>
      <c r="AW503" s="115"/>
      <c r="AX503" s="115"/>
      <c r="AY503" s="115"/>
      <c r="AZ503" s="115"/>
      <c r="BA503" s="115"/>
      <c r="BB503" s="115"/>
      <c r="BC503" s="115"/>
    </row>
    <row r="504">
      <c r="AT504" s="115"/>
      <c r="AU504" s="115"/>
      <c r="AV504" s="115"/>
      <c r="AW504" s="115"/>
      <c r="AX504" s="115"/>
      <c r="AY504" s="115"/>
      <c r="AZ504" s="115"/>
      <c r="BA504" s="115"/>
      <c r="BB504" s="115"/>
      <c r="BC504" s="115"/>
    </row>
    <row r="505">
      <c r="AT505" s="115"/>
      <c r="AU505" s="115"/>
      <c r="AV505" s="115"/>
      <c r="AW505" s="115"/>
      <c r="AX505" s="115"/>
      <c r="AY505" s="115"/>
      <c r="AZ505" s="115"/>
      <c r="BA505" s="115"/>
      <c r="BB505" s="115"/>
      <c r="BC505" s="115"/>
    </row>
    <row r="506">
      <c r="AT506" s="115"/>
      <c r="AU506" s="115"/>
      <c r="AV506" s="115"/>
      <c r="AW506" s="115"/>
      <c r="AX506" s="115"/>
      <c r="AY506" s="115"/>
      <c r="AZ506" s="115"/>
      <c r="BA506" s="115"/>
      <c r="BB506" s="115"/>
      <c r="BC506" s="115"/>
    </row>
    <row r="507">
      <c r="AT507" s="115"/>
      <c r="AU507" s="115"/>
      <c r="AV507" s="115"/>
      <c r="AW507" s="115"/>
      <c r="AX507" s="115"/>
      <c r="AY507" s="115"/>
      <c r="AZ507" s="115"/>
      <c r="BA507" s="115"/>
      <c r="BB507" s="115"/>
      <c r="BC507" s="115"/>
    </row>
    <row r="508">
      <c r="AT508" s="115"/>
      <c r="AU508" s="115"/>
      <c r="AV508" s="115"/>
      <c r="AW508" s="115"/>
      <c r="AX508" s="115"/>
      <c r="AY508" s="115"/>
      <c r="AZ508" s="115"/>
      <c r="BA508" s="115"/>
      <c r="BB508" s="115"/>
      <c r="BC508" s="115"/>
    </row>
    <row r="509">
      <c r="AT509" s="115"/>
      <c r="AU509" s="115"/>
      <c r="AV509" s="115"/>
      <c r="AW509" s="115"/>
      <c r="AX509" s="115"/>
      <c r="AY509" s="115"/>
      <c r="AZ509" s="115"/>
      <c r="BA509" s="115"/>
      <c r="BB509" s="115"/>
      <c r="BC509" s="115"/>
    </row>
    <row r="510">
      <c r="AT510" s="115"/>
      <c r="AU510" s="115"/>
      <c r="AV510" s="115"/>
      <c r="AW510" s="115"/>
      <c r="AX510" s="115"/>
      <c r="AY510" s="115"/>
      <c r="AZ510" s="115"/>
      <c r="BA510" s="115"/>
      <c r="BB510" s="115"/>
      <c r="BC510" s="115"/>
    </row>
    <row r="511">
      <c r="AT511" s="115"/>
      <c r="AU511" s="115"/>
      <c r="AV511" s="115"/>
      <c r="AW511" s="115"/>
      <c r="AX511" s="115"/>
      <c r="AY511" s="115"/>
      <c r="AZ511" s="115"/>
      <c r="BA511" s="115"/>
      <c r="BB511" s="115"/>
      <c r="BC511" s="115"/>
    </row>
    <row r="512">
      <c r="AT512" s="115"/>
      <c r="AU512" s="115"/>
      <c r="AV512" s="115"/>
      <c r="AW512" s="115"/>
      <c r="AX512" s="115"/>
      <c r="AY512" s="115"/>
      <c r="AZ512" s="115"/>
      <c r="BA512" s="115"/>
      <c r="BB512" s="115"/>
      <c r="BC512" s="115"/>
    </row>
    <row r="513">
      <c r="AT513" s="115"/>
      <c r="AU513" s="115"/>
      <c r="AV513" s="115"/>
      <c r="AW513" s="115"/>
      <c r="AX513" s="115"/>
      <c r="AY513" s="115"/>
      <c r="AZ513" s="115"/>
      <c r="BA513" s="115"/>
      <c r="BB513" s="115"/>
      <c r="BC513" s="115"/>
    </row>
    <row r="514">
      <c r="AT514" s="115"/>
      <c r="AU514" s="115"/>
      <c r="AV514" s="115"/>
      <c r="AW514" s="115"/>
      <c r="AX514" s="115"/>
      <c r="AY514" s="115"/>
      <c r="AZ514" s="115"/>
      <c r="BA514" s="115"/>
      <c r="BB514" s="115"/>
      <c r="BC514" s="115"/>
    </row>
    <row r="515">
      <c r="AT515" s="115"/>
      <c r="AU515" s="115"/>
      <c r="AV515" s="115"/>
      <c r="AW515" s="115"/>
      <c r="AX515" s="115"/>
      <c r="AY515" s="115"/>
      <c r="AZ515" s="115"/>
      <c r="BA515" s="115"/>
      <c r="BB515" s="115"/>
      <c r="BC515" s="115"/>
    </row>
    <row r="516">
      <c r="AT516" s="115"/>
      <c r="AU516" s="115"/>
      <c r="AV516" s="115"/>
      <c r="AW516" s="115"/>
      <c r="AX516" s="115"/>
      <c r="AY516" s="115"/>
      <c r="AZ516" s="115"/>
      <c r="BA516" s="115"/>
      <c r="BB516" s="115"/>
      <c r="BC516" s="115"/>
    </row>
    <row r="517">
      <c r="AT517" s="115"/>
      <c r="AU517" s="115"/>
      <c r="AV517" s="115"/>
      <c r="AW517" s="115"/>
      <c r="AX517" s="115"/>
      <c r="AY517" s="115"/>
      <c r="AZ517" s="115"/>
      <c r="BA517" s="115"/>
      <c r="BB517" s="115"/>
      <c r="BC517" s="115"/>
    </row>
    <row r="518">
      <c r="AT518" s="115"/>
      <c r="AU518" s="115"/>
      <c r="AV518" s="115"/>
      <c r="AW518" s="115"/>
      <c r="AX518" s="115"/>
      <c r="AY518" s="115"/>
      <c r="AZ518" s="115"/>
      <c r="BA518" s="115"/>
      <c r="BB518" s="115"/>
      <c r="BC518" s="115"/>
    </row>
    <row r="519">
      <c r="AT519" s="115"/>
      <c r="AU519" s="115"/>
      <c r="AV519" s="115"/>
      <c r="AW519" s="115"/>
      <c r="AX519" s="115"/>
      <c r="AY519" s="115"/>
      <c r="AZ519" s="115"/>
      <c r="BA519" s="115"/>
      <c r="BB519" s="115"/>
      <c r="BC519" s="115"/>
    </row>
    <row r="520">
      <c r="AT520" s="115"/>
      <c r="AU520" s="115"/>
      <c r="AV520" s="115"/>
      <c r="AW520" s="115"/>
      <c r="AX520" s="115"/>
      <c r="AY520" s="115"/>
      <c r="AZ520" s="115"/>
      <c r="BA520" s="115"/>
      <c r="BB520" s="115"/>
      <c r="BC520" s="115"/>
    </row>
    <row r="521">
      <c r="AT521" s="115"/>
      <c r="AU521" s="115"/>
      <c r="AV521" s="115"/>
      <c r="AW521" s="115"/>
      <c r="AX521" s="115"/>
      <c r="AY521" s="115"/>
      <c r="AZ521" s="115"/>
      <c r="BA521" s="115"/>
      <c r="BB521" s="115"/>
      <c r="BC521" s="115"/>
    </row>
    <row r="522">
      <c r="AT522" s="115"/>
      <c r="AU522" s="115"/>
      <c r="AV522" s="115"/>
      <c r="AW522" s="115"/>
      <c r="AX522" s="115"/>
      <c r="AY522" s="115"/>
      <c r="AZ522" s="115"/>
      <c r="BA522" s="115"/>
      <c r="BB522" s="115"/>
      <c r="BC522" s="115"/>
    </row>
    <row r="523">
      <c r="AT523" s="115"/>
      <c r="AU523" s="115"/>
      <c r="AV523" s="115"/>
      <c r="AW523" s="115"/>
      <c r="AX523" s="115"/>
      <c r="AY523" s="115"/>
      <c r="AZ523" s="115"/>
      <c r="BA523" s="115"/>
      <c r="BB523" s="115"/>
      <c r="BC523" s="115"/>
    </row>
    <row r="524">
      <c r="AT524" s="115"/>
      <c r="AU524" s="115"/>
      <c r="AV524" s="115"/>
      <c r="AW524" s="115"/>
      <c r="AX524" s="115"/>
      <c r="AY524" s="115"/>
      <c r="AZ524" s="115"/>
      <c r="BA524" s="115"/>
      <c r="BB524" s="115"/>
      <c r="BC524" s="115"/>
    </row>
    <row r="525">
      <c r="AT525" s="115"/>
      <c r="AU525" s="115"/>
      <c r="AV525" s="115"/>
      <c r="AW525" s="115"/>
      <c r="AX525" s="115"/>
      <c r="AY525" s="115"/>
      <c r="AZ525" s="115"/>
      <c r="BA525" s="115"/>
      <c r="BB525" s="115"/>
      <c r="BC525" s="115"/>
    </row>
    <row r="526">
      <c r="AT526" s="115"/>
      <c r="AU526" s="115"/>
      <c r="AV526" s="115"/>
      <c r="AW526" s="115"/>
      <c r="AX526" s="115"/>
      <c r="AY526" s="115"/>
      <c r="AZ526" s="115"/>
      <c r="BA526" s="115"/>
      <c r="BB526" s="115"/>
      <c r="BC526" s="115"/>
    </row>
    <row r="527">
      <c r="AT527" s="115"/>
      <c r="AU527" s="115"/>
      <c r="AV527" s="115"/>
      <c r="AW527" s="115"/>
      <c r="AX527" s="115"/>
      <c r="AY527" s="115"/>
      <c r="AZ527" s="115"/>
      <c r="BA527" s="115"/>
      <c r="BB527" s="115"/>
      <c r="BC527" s="115"/>
    </row>
    <row r="528">
      <c r="AT528" s="115"/>
      <c r="AU528" s="115"/>
      <c r="AV528" s="115"/>
      <c r="AW528" s="115"/>
      <c r="AX528" s="115"/>
      <c r="AY528" s="115"/>
      <c r="AZ528" s="115"/>
      <c r="BA528" s="115"/>
      <c r="BB528" s="115"/>
      <c r="BC528" s="115"/>
    </row>
    <row r="529">
      <c r="AT529" s="115"/>
      <c r="AU529" s="115"/>
      <c r="AV529" s="115"/>
      <c r="AW529" s="115"/>
      <c r="AX529" s="115"/>
      <c r="AY529" s="115"/>
      <c r="AZ529" s="115"/>
      <c r="BA529" s="115"/>
      <c r="BB529" s="115"/>
      <c r="BC529" s="115"/>
    </row>
    <row r="530">
      <c r="AT530" s="115"/>
      <c r="AU530" s="115"/>
      <c r="AV530" s="115"/>
      <c r="AW530" s="115"/>
      <c r="AX530" s="115"/>
      <c r="AY530" s="115"/>
      <c r="AZ530" s="115"/>
      <c r="BA530" s="115"/>
      <c r="BB530" s="115"/>
      <c r="BC530" s="115"/>
    </row>
    <row r="531">
      <c r="AT531" s="115"/>
      <c r="AU531" s="115"/>
      <c r="AV531" s="115"/>
      <c r="AW531" s="115"/>
      <c r="AX531" s="115"/>
      <c r="AY531" s="115"/>
      <c r="AZ531" s="115"/>
      <c r="BA531" s="115"/>
      <c r="BB531" s="115"/>
      <c r="BC531" s="115"/>
    </row>
    <row r="532">
      <c r="AT532" s="115"/>
      <c r="AU532" s="115"/>
      <c r="AV532" s="115"/>
      <c r="AW532" s="115"/>
      <c r="AX532" s="115"/>
      <c r="AY532" s="115"/>
      <c r="AZ532" s="115"/>
      <c r="BA532" s="115"/>
      <c r="BB532" s="115"/>
      <c r="BC532" s="115"/>
    </row>
    <row r="533">
      <c r="AT533" s="115"/>
      <c r="AU533" s="115"/>
      <c r="AV533" s="115"/>
      <c r="AW533" s="115"/>
      <c r="AX533" s="115"/>
      <c r="AY533" s="115"/>
      <c r="AZ533" s="115"/>
      <c r="BA533" s="115"/>
      <c r="BB533" s="115"/>
      <c r="BC533" s="115"/>
    </row>
    <row r="534">
      <c r="AT534" s="115"/>
      <c r="AU534" s="115"/>
      <c r="AV534" s="115"/>
      <c r="AW534" s="115"/>
      <c r="AX534" s="115"/>
      <c r="AY534" s="115"/>
      <c r="AZ534" s="115"/>
      <c r="BA534" s="115"/>
      <c r="BB534" s="115"/>
      <c r="BC534" s="115"/>
    </row>
    <row r="535">
      <c r="AT535" s="115"/>
      <c r="AU535" s="115"/>
      <c r="AV535" s="115"/>
      <c r="AW535" s="115"/>
      <c r="AX535" s="115"/>
      <c r="AY535" s="115"/>
      <c r="AZ535" s="115"/>
      <c r="BA535" s="115"/>
      <c r="BB535" s="115"/>
      <c r="BC535" s="115"/>
    </row>
    <row r="536">
      <c r="AT536" s="115"/>
      <c r="AU536" s="115"/>
      <c r="AV536" s="115"/>
      <c r="AW536" s="115"/>
      <c r="AX536" s="115"/>
      <c r="AY536" s="115"/>
      <c r="AZ536" s="115"/>
      <c r="BA536" s="115"/>
      <c r="BB536" s="115"/>
      <c r="BC536" s="115"/>
    </row>
    <row r="537">
      <c r="AT537" s="115"/>
      <c r="AU537" s="115"/>
      <c r="AV537" s="115"/>
      <c r="AW537" s="115"/>
      <c r="AX537" s="115"/>
      <c r="AY537" s="115"/>
      <c r="AZ537" s="115"/>
      <c r="BA537" s="115"/>
      <c r="BB537" s="115"/>
      <c r="BC537" s="115"/>
    </row>
    <row r="538">
      <c r="AT538" s="115"/>
      <c r="AU538" s="115"/>
      <c r="AV538" s="115"/>
      <c r="AW538" s="115"/>
      <c r="AX538" s="115"/>
      <c r="AY538" s="115"/>
      <c r="AZ538" s="115"/>
      <c r="BA538" s="115"/>
      <c r="BB538" s="115"/>
      <c r="BC538" s="115"/>
    </row>
    <row r="539">
      <c r="AT539" s="115"/>
      <c r="AU539" s="115"/>
      <c r="AV539" s="115"/>
      <c r="AW539" s="115"/>
      <c r="AX539" s="115"/>
      <c r="AY539" s="115"/>
      <c r="AZ539" s="115"/>
      <c r="BA539" s="115"/>
      <c r="BB539" s="115"/>
      <c r="BC539" s="115"/>
    </row>
    <row r="540">
      <c r="AT540" s="115"/>
      <c r="AU540" s="115"/>
      <c r="AV540" s="115"/>
      <c r="AW540" s="115"/>
      <c r="AX540" s="115"/>
      <c r="AY540" s="115"/>
      <c r="AZ540" s="115"/>
      <c r="BA540" s="115"/>
      <c r="BB540" s="115"/>
      <c r="BC540" s="115"/>
    </row>
    <row r="541">
      <c r="AT541" s="115"/>
      <c r="AU541" s="115"/>
      <c r="AV541" s="115"/>
      <c r="AW541" s="115"/>
      <c r="AX541" s="115"/>
      <c r="AY541" s="115"/>
      <c r="AZ541" s="115"/>
      <c r="BA541" s="115"/>
      <c r="BB541" s="115"/>
      <c r="BC541" s="115"/>
    </row>
    <row r="542">
      <c r="AT542" s="115"/>
      <c r="AU542" s="115"/>
      <c r="AV542" s="115"/>
      <c r="AW542" s="115"/>
      <c r="AX542" s="115"/>
      <c r="AY542" s="115"/>
      <c r="AZ542" s="115"/>
      <c r="BA542" s="115"/>
      <c r="BB542" s="115"/>
      <c r="BC542" s="115"/>
    </row>
    <row r="543">
      <c r="AT543" s="115"/>
      <c r="AU543" s="115"/>
      <c r="AV543" s="115"/>
      <c r="AW543" s="115"/>
      <c r="AX543" s="115"/>
      <c r="AY543" s="115"/>
      <c r="AZ543" s="115"/>
      <c r="BA543" s="115"/>
      <c r="BB543" s="115"/>
      <c r="BC543" s="115"/>
    </row>
    <row r="544">
      <c r="AT544" s="115"/>
      <c r="AU544" s="115"/>
      <c r="AV544" s="115"/>
      <c r="AW544" s="115"/>
      <c r="AX544" s="115"/>
      <c r="AY544" s="115"/>
      <c r="AZ544" s="115"/>
      <c r="BA544" s="115"/>
      <c r="BB544" s="115"/>
      <c r="BC544" s="115"/>
    </row>
    <row r="545">
      <c r="AT545" s="115"/>
      <c r="AU545" s="115"/>
      <c r="AV545" s="115"/>
      <c r="AW545" s="115"/>
      <c r="AX545" s="115"/>
      <c r="AY545" s="115"/>
      <c r="AZ545" s="115"/>
      <c r="BA545" s="115"/>
      <c r="BB545" s="115"/>
      <c r="BC545" s="115"/>
    </row>
    <row r="546">
      <c r="AT546" s="115"/>
      <c r="AU546" s="115"/>
      <c r="AV546" s="115"/>
      <c r="AW546" s="115"/>
      <c r="AX546" s="115"/>
      <c r="AY546" s="115"/>
      <c r="AZ546" s="115"/>
      <c r="BA546" s="115"/>
      <c r="BB546" s="115"/>
      <c r="BC546" s="115"/>
    </row>
    <row r="547">
      <c r="AT547" s="115"/>
      <c r="AU547" s="115"/>
      <c r="AV547" s="115"/>
      <c r="AW547" s="115"/>
      <c r="AX547" s="115"/>
      <c r="AY547" s="115"/>
      <c r="AZ547" s="115"/>
      <c r="BA547" s="115"/>
      <c r="BB547" s="115"/>
      <c r="BC547" s="115"/>
    </row>
    <row r="548">
      <c r="AT548" s="115"/>
      <c r="AU548" s="115"/>
      <c r="AV548" s="115"/>
      <c r="AW548" s="115"/>
      <c r="AX548" s="115"/>
      <c r="AY548" s="115"/>
      <c r="AZ548" s="115"/>
      <c r="BA548" s="115"/>
      <c r="BB548" s="115"/>
      <c r="BC548" s="115"/>
    </row>
    <row r="549">
      <c r="AT549" s="115"/>
      <c r="AU549" s="115"/>
      <c r="AV549" s="115"/>
      <c r="AW549" s="115"/>
      <c r="AX549" s="115"/>
      <c r="AY549" s="115"/>
      <c r="AZ549" s="115"/>
      <c r="BA549" s="115"/>
      <c r="BB549" s="115"/>
      <c r="BC549" s="115"/>
    </row>
    <row r="550">
      <c r="AT550" s="115"/>
      <c r="AU550" s="115"/>
      <c r="AV550" s="115"/>
      <c r="AW550" s="115"/>
      <c r="AX550" s="115"/>
      <c r="AY550" s="115"/>
      <c r="AZ550" s="115"/>
      <c r="BA550" s="115"/>
      <c r="BB550" s="115"/>
      <c r="BC550" s="115"/>
    </row>
    <row r="551">
      <c r="AT551" s="115"/>
      <c r="AU551" s="115"/>
      <c r="AV551" s="115"/>
      <c r="AW551" s="115"/>
      <c r="AX551" s="115"/>
      <c r="AY551" s="115"/>
      <c r="AZ551" s="115"/>
      <c r="BA551" s="115"/>
      <c r="BB551" s="115"/>
      <c r="BC551" s="115"/>
    </row>
    <row r="552">
      <c r="AT552" s="115"/>
      <c r="AU552" s="115"/>
      <c r="AV552" s="115"/>
      <c r="AW552" s="115"/>
      <c r="AX552" s="115"/>
      <c r="AY552" s="115"/>
      <c r="AZ552" s="115"/>
      <c r="BA552" s="115"/>
      <c r="BB552" s="115"/>
      <c r="BC552" s="115"/>
    </row>
    <row r="553">
      <c r="AT553" s="115"/>
      <c r="AU553" s="115"/>
      <c r="AV553" s="115"/>
      <c r="AW553" s="115"/>
      <c r="AX553" s="115"/>
      <c r="AY553" s="115"/>
      <c r="AZ553" s="115"/>
      <c r="BA553" s="115"/>
      <c r="BB553" s="115"/>
      <c r="BC553" s="115"/>
    </row>
    <row r="554">
      <c r="AT554" s="115"/>
      <c r="AU554" s="115"/>
      <c r="AV554" s="115"/>
      <c r="AW554" s="115"/>
      <c r="AX554" s="115"/>
      <c r="AY554" s="115"/>
      <c r="AZ554" s="115"/>
      <c r="BA554" s="115"/>
      <c r="BB554" s="115"/>
      <c r="BC554" s="115"/>
    </row>
    <row r="555">
      <c r="AT555" s="115"/>
      <c r="AU555" s="115"/>
      <c r="AV555" s="115"/>
      <c r="AW555" s="115"/>
      <c r="AX555" s="115"/>
      <c r="AY555" s="115"/>
      <c r="AZ555" s="115"/>
      <c r="BA555" s="115"/>
      <c r="BB555" s="115"/>
      <c r="BC555" s="115"/>
    </row>
    <row r="556">
      <c r="AT556" s="115"/>
      <c r="AU556" s="115"/>
      <c r="AV556" s="115"/>
      <c r="AW556" s="115"/>
      <c r="AX556" s="115"/>
      <c r="AY556" s="115"/>
      <c r="AZ556" s="115"/>
      <c r="BA556" s="115"/>
      <c r="BB556" s="115"/>
      <c r="BC556" s="115"/>
    </row>
    <row r="557">
      <c r="AT557" s="115"/>
      <c r="AU557" s="115"/>
      <c r="AV557" s="115"/>
      <c r="AW557" s="115"/>
      <c r="AX557" s="115"/>
      <c r="AY557" s="115"/>
      <c r="AZ557" s="115"/>
      <c r="BA557" s="115"/>
      <c r="BB557" s="115"/>
      <c r="BC557" s="115"/>
    </row>
    <row r="558">
      <c r="AT558" s="115"/>
      <c r="AU558" s="115"/>
      <c r="AV558" s="115"/>
      <c r="AW558" s="115"/>
      <c r="AX558" s="115"/>
      <c r="AY558" s="115"/>
      <c r="AZ558" s="115"/>
      <c r="BA558" s="115"/>
      <c r="BB558" s="115"/>
      <c r="BC558" s="115"/>
    </row>
    <row r="559">
      <c r="AT559" s="115"/>
      <c r="AU559" s="115"/>
      <c r="AV559" s="115"/>
      <c r="AW559" s="115"/>
      <c r="AX559" s="115"/>
      <c r="AY559" s="115"/>
      <c r="AZ559" s="115"/>
      <c r="BA559" s="115"/>
      <c r="BB559" s="115"/>
      <c r="BC559" s="115"/>
    </row>
    <row r="560">
      <c r="AT560" s="115"/>
      <c r="AU560" s="115"/>
      <c r="AV560" s="115"/>
      <c r="AW560" s="115"/>
      <c r="AX560" s="115"/>
      <c r="AY560" s="115"/>
      <c r="AZ560" s="115"/>
      <c r="BA560" s="115"/>
      <c r="BB560" s="115"/>
      <c r="BC560" s="115"/>
    </row>
    <row r="561">
      <c r="AT561" s="115"/>
      <c r="AU561" s="115"/>
      <c r="AV561" s="115"/>
      <c r="AW561" s="115"/>
      <c r="AX561" s="115"/>
      <c r="AY561" s="115"/>
      <c r="AZ561" s="115"/>
      <c r="BA561" s="115"/>
      <c r="BB561" s="115"/>
      <c r="BC561" s="115"/>
    </row>
    <row r="562">
      <c r="AT562" s="115"/>
      <c r="AU562" s="115"/>
      <c r="AV562" s="115"/>
      <c r="AW562" s="115"/>
      <c r="AX562" s="115"/>
      <c r="AY562" s="115"/>
      <c r="AZ562" s="115"/>
      <c r="BA562" s="115"/>
      <c r="BB562" s="115"/>
      <c r="BC562" s="115"/>
    </row>
    <row r="563">
      <c r="AT563" s="115"/>
      <c r="AU563" s="115"/>
      <c r="AV563" s="115"/>
      <c r="AW563" s="115"/>
      <c r="AX563" s="115"/>
      <c r="AY563" s="115"/>
      <c r="AZ563" s="115"/>
      <c r="BA563" s="115"/>
      <c r="BB563" s="115"/>
      <c r="BC563" s="115"/>
    </row>
    <row r="564">
      <c r="AT564" s="115"/>
      <c r="AU564" s="115"/>
      <c r="AV564" s="115"/>
      <c r="AW564" s="115"/>
      <c r="AX564" s="115"/>
      <c r="AY564" s="115"/>
      <c r="AZ564" s="115"/>
      <c r="BA564" s="115"/>
      <c r="BB564" s="115"/>
      <c r="BC564" s="115"/>
    </row>
    <row r="565">
      <c r="AT565" s="115"/>
      <c r="AU565" s="115"/>
      <c r="AV565" s="115"/>
      <c r="AW565" s="115"/>
      <c r="AX565" s="115"/>
      <c r="AY565" s="115"/>
      <c r="AZ565" s="115"/>
      <c r="BA565" s="115"/>
      <c r="BB565" s="115"/>
      <c r="BC565" s="115"/>
    </row>
    <row r="566">
      <c r="AT566" s="115"/>
      <c r="AU566" s="115"/>
      <c r="AV566" s="115"/>
      <c r="AW566" s="115"/>
      <c r="AX566" s="115"/>
      <c r="AY566" s="115"/>
      <c r="AZ566" s="115"/>
      <c r="BA566" s="115"/>
      <c r="BB566" s="115"/>
      <c r="BC566" s="115"/>
    </row>
  </sheetData>
  <mergeCells count="1">
    <mergeCell ref="C1:AM8"/>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3.25"/>
    <col customWidth="1" min="8" max="8" width="27.13"/>
  </cols>
  <sheetData>
    <row r="1">
      <c r="A1" s="676" t="str">
        <f>IFERROR(__xludf.DUMMYFUNCTION("IMPORTRANGE(""https://docs.google.com/spreadsheets/d/1oJmkDK37Qizzdaxn4KCwh1BMwdNWuHCx3AGH8BC9yu0/edit#gid=781951868"",""作品!A:Z"")"),"作品_ID")</f>
        <v>作品_ID</v>
      </c>
      <c r="B1" s="677" t="str">
        <f>IFERROR(__xludf.DUMMYFUNCTION("""COMPUTED_VALUE"""),"作品バナーID")</f>
        <v>作品バナーID</v>
      </c>
      <c r="C1" s="677" t="str">
        <f>IFERROR(__xludf.DUMMYFUNCTION("""COMPUTED_VALUE"""),"作品ロゴID")</f>
        <v>作品ロゴID</v>
      </c>
      <c r="D1" s="677" t="str">
        <f>IFERROR(__xludf.DUMMYFUNCTION("""COMPUTED_VALUE"""),"作品名")</f>
        <v>作品名</v>
      </c>
      <c r="E1" s="678" t="str">
        <f>IFERROR(__xludf.DUMMYFUNCTION("""COMPUTED_VALUE"""),"display_order")</f>
        <v>display_order</v>
      </c>
      <c r="F1" s="677" t="str">
        <f>IFERROR(__xludf.DUMMYFUNCTION("""COMPUTED_VALUE"""),"メインサムネ1画像AssetKey")</f>
        <v>メインサムネ1画像AssetKey</v>
      </c>
      <c r="G1" s="677" t="str">
        <f>IFERROR(__xludf.DUMMYFUNCTION("""COMPUTED_VALUE"""),"メインサムネ2画像AssetKey")</f>
        <v>メインサムネ2画像AssetKey</v>
      </c>
      <c r="H1" s="677" t="str">
        <f>IFERROR(__xludf.DUMMYFUNCTION("""COMPUTED_VALUE"""),"BGMジャンル(通常)")</f>
        <v>BGMジャンル(通常)</v>
      </c>
      <c r="I1" s="678" t="str">
        <f>IFERROR(__xludf.DUMMYFUNCTION("""COMPUTED_VALUE"""),"BGMジャンル(ボス)")</f>
        <v>BGMジャンル(ボス)</v>
      </c>
      <c r="J1" s="677" t="str">
        <f>IFERROR(__xludf.DUMMYFUNCTION("""COMPUTED_VALUE"""),"リリースキー")</f>
        <v>リリースキー</v>
      </c>
      <c r="K1" s="679"/>
      <c r="L1" s="679"/>
      <c r="M1" s="680"/>
      <c r="N1" s="680"/>
      <c r="O1" s="677"/>
      <c r="P1" s="105"/>
      <c r="Q1" s="105"/>
      <c r="R1" s="105"/>
      <c r="S1" s="105"/>
      <c r="T1" s="105"/>
      <c r="U1" s="105"/>
      <c r="V1" s="105"/>
      <c r="W1" s="105"/>
      <c r="X1" s="105"/>
      <c r="Y1" s="105"/>
      <c r="Z1" s="105"/>
    </row>
    <row r="2">
      <c r="A2" s="681" t="str">
        <f>IFERROR(__xludf.DUMMYFUNCTION("""COMPUTED_VALUE"""),"▼作品イベント")</f>
        <v>▼作品イベント</v>
      </c>
      <c r="B2" s="681"/>
      <c r="C2" s="681"/>
      <c r="D2" s="681"/>
      <c r="E2" s="681"/>
      <c r="F2" s="682"/>
      <c r="G2" s="683"/>
      <c r="H2" s="681"/>
      <c r="I2" s="684"/>
      <c r="J2" s="681"/>
      <c r="K2" s="681"/>
      <c r="L2" s="681"/>
      <c r="M2" s="681"/>
      <c r="N2" s="683"/>
      <c r="O2" s="683"/>
      <c r="P2" s="105"/>
      <c r="Q2" s="105"/>
      <c r="R2" s="105"/>
      <c r="S2" s="105"/>
      <c r="T2" s="105"/>
      <c r="U2" s="105"/>
      <c r="V2" s="105"/>
      <c r="W2" s="105"/>
      <c r="X2" s="105"/>
      <c r="Y2" s="105"/>
      <c r="Z2" s="105"/>
    </row>
    <row r="3">
      <c r="A3" s="681" t="str">
        <f>IFERROR(__xludf.DUMMYFUNCTION("""COMPUTED_VALUE"""),"spy")</f>
        <v>spy</v>
      </c>
      <c r="B3" s="681" t="str">
        <f>IFERROR(__xludf.DUMMYFUNCTION("""COMPUTED_VALUE"""),"series_banner_spy")</f>
        <v>series_banner_spy</v>
      </c>
      <c r="C3" s="681" t="str">
        <f>IFERROR(__xludf.DUMMYFUNCTION("""COMPUTED_VALUE"""),"series_logo_spy")</f>
        <v>series_logo_spy</v>
      </c>
      <c r="D3" s="681" t="str">
        <f>IFERROR(__xludf.DUMMYFUNCTION("""COMPUTED_VALUE"""),"SPY×FAMILY")</f>
        <v>SPY×FAMILY</v>
      </c>
      <c r="E3" s="684" t="str">
        <f>IFERROR(__xludf.DUMMYFUNCTION("""COMPUTED_VALUE"""),"001")</f>
        <v>001</v>
      </c>
      <c r="F3" s="682" t="str">
        <f>IFERROR(__xludf.DUMMYFUNCTION("""COMPUTED_VALUE"""),"quest_image_spy_01")</f>
        <v>quest_image_spy_01</v>
      </c>
      <c r="G3" s="683"/>
      <c r="H3" s="681" t="str">
        <f>IFERROR(__xludf.DUMMYFUNCTION("""COMPUTED_VALUE"""),"日常・ギャグ")</f>
        <v>日常・ギャグ</v>
      </c>
      <c r="I3" s="684" t="str">
        <f>IFERROR(__xludf.DUMMYFUNCTION("""COMPUTED_VALUE"""),"強敵/ボス登場時2 （高難度）")</f>
        <v>強敵/ボス登場時2 （高難度）</v>
      </c>
      <c r="J3" s="681"/>
      <c r="K3" s="681"/>
      <c r="L3" s="681"/>
      <c r="M3" s="681"/>
      <c r="N3" s="683"/>
      <c r="O3" s="683"/>
      <c r="P3" s="105"/>
      <c r="Q3" s="105"/>
      <c r="R3" s="105"/>
      <c r="S3" s="105"/>
      <c r="T3" s="105"/>
      <c r="U3" s="105"/>
      <c r="V3" s="105"/>
      <c r="W3" s="105"/>
      <c r="X3" s="105"/>
      <c r="Y3" s="105"/>
      <c r="Z3" s="105"/>
    </row>
    <row r="4">
      <c r="A4" s="681" t="str">
        <f>IFERROR(__xludf.DUMMYFUNCTION("""COMPUTED_VALUE"""),"aka")</f>
        <v>aka</v>
      </c>
      <c r="B4" s="681" t="str">
        <f>IFERROR(__xludf.DUMMYFUNCTION("""COMPUTED_VALUE"""),"series_banner_aka")</f>
        <v>series_banner_aka</v>
      </c>
      <c r="C4" s="681" t="str">
        <f>IFERROR(__xludf.DUMMYFUNCTION("""COMPUTED_VALUE"""),"series_logo_aka")</f>
        <v>series_logo_aka</v>
      </c>
      <c r="D4" s="681" t="str">
        <f>IFERROR(__xludf.DUMMYFUNCTION("""COMPUTED_VALUE"""),"ラーメン赤猫")</f>
        <v>ラーメン赤猫</v>
      </c>
      <c r="E4" s="684" t="str">
        <f>IFERROR(__xludf.DUMMYFUNCTION("""COMPUTED_VALUE"""),"002")</f>
        <v>002</v>
      </c>
      <c r="F4" s="682" t="str">
        <f>IFERROR(__xludf.DUMMYFUNCTION("""COMPUTED_VALUE"""),"quest_image_aka_01")</f>
        <v>quest_image_aka_01</v>
      </c>
      <c r="G4" s="198"/>
      <c r="H4" s="685" t="str">
        <f>IFERROR(__xludf.DUMMYFUNCTION("""COMPUTED_VALUE"""),"バトル系2")</f>
        <v>バトル系2</v>
      </c>
      <c r="I4" s="684" t="str">
        <f>IFERROR(__xludf.DUMMYFUNCTION("""COMPUTED_VALUE"""),"強敵/ボス登場時2 （高難度）")</f>
        <v>強敵/ボス登場時2 （高難度）</v>
      </c>
      <c r="J4" s="681"/>
      <c r="K4" s="681"/>
      <c r="L4" s="681"/>
      <c r="M4" s="681"/>
      <c r="N4" s="683"/>
      <c r="O4" s="683"/>
      <c r="P4" s="105"/>
      <c r="Q4" s="105"/>
      <c r="R4" s="105"/>
      <c r="S4" s="105"/>
      <c r="T4" s="105"/>
      <c r="U4" s="105"/>
      <c r="V4" s="105"/>
      <c r="W4" s="105"/>
      <c r="X4" s="105"/>
      <c r="Y4" s="105"/>
      <c r="Z4" s="105"/>
    </row>
    <row r="5">
      <c r="A5" s="681" t="str">
        <f>IFERROR(__xludf.DUMMYFUNCTION("""COMPUTED_VALUE"""),"rik")</f>
        <v>rik</v>
      </c>
      <c r="B5" s="681" t="str">
        <f>IFERROR(__xludf.DUMMYFUNCTION("""COMPUTED_VALUE"""),"series_banner_rik")</f>
        <v>series_banner_rik</v>
      </c>
      <c r="C5" s="681" t="str">
        <f>IFERROR(__xludf.DUMMYFUNCTION("""COMPUTED_VALUE"""),"series_logo_rik")</f>
        <v>series_logo_rik</v>
      </c>
      <c r="D5" s="681" t="str">
        <f>IFERROR(__xludf.DUMMYFUNCTION("""COMPUTED_VALUE"""),"トマトイプーのリコピン")</f>
        <v>トマトイプーのリコピン</v>
      </c>
      <c r="E5" s="684" t="str">
        <f>IFERROR(__xludf.DUMMYFUNCTION("""COMPUTED_VALUE"""),"003")</f>
        <v>003</v>
      </c>
      <c r="F5" s="682" t="str">
        <f>IFERROR(__xludf.DUMMYFUNCTION("""COMPUTED_VALUE"""),"quest_image_rik_01")</f>
        <v>quest_image_rik_01</v>
      </c>
      <c r="G5" s="683"/>
      <c r="H5" s="681" t="str">
        <f>IFERROR(__xludf.DUMMYFUNCTION("""COMPUTED_VALUE"""),"日常・ギャグ")</f>
        <v>日常・ギャグ</v>
      </c>
      <c r="I5" s="684" t="str">
        <f>IFERROR(__xludf.DUMMYFUNCTION("""COMPUTED_VALUE"""),"強敵/ボス登場時2 （高難度）")</f>
        <v>強敵/ボス登場時2 （高難度）</v>
      </c>
      <c r="J5" s="681"/>
      <c r="K5" s="681"/>
      <c r="L5" s="681"/>
      <c r="M5" s="681"/>
      <c r="N5" s="683"/>
      <c r="O5" s="683"/>
      <c r="P5" s="105"/>
      <c r="Q5" s="105"/>
      <c r="R5" s="105"/>
      <c r="S5" s="105"/>
      <c r="T5" s="105"/>
      <c r="U5" s="105"/>
      <c r="V5" s="105"/>
      <c r="W5" s="105"/>
      <c r="X5" s="105"/>
      <c r="Y5" s="105"/>
      <c r="Z5" s="105"/>
    </row>
    <row r="6">
      <c r="A6" s="681" t="str">
        <f>IFERROR(__xludf.DUMMYFUNCTION("""COMPUTED_VALUE"""),"dan")</f>
        <v>dan</v>
      </c>
      <c r="B6" s="681" t="str">
        <f>IFERROR(__xludf.DUMMYFUNCTION("""COMPUTED_VALUE"""),"series_banner_dan")</f>
        <v>series_banner_dan</v>
      </c>
      <c r="C6" s="681" t="str">
        <f>IFERROR(__xludf.DUMMYFUNCTION("""COMPUTED_VALUE"""),"series_logo_dan")</f>
        <v>series_logo_dan</v>
      </c>
      <c r="D6" s="681" t="str">
        <f>IFERROR(__xludf.DUMMYFUNCTION("""COMPUTED_VALUE"""),"ダンダダン")</f>
        <v>ダンダダン</v>
      </c>
      <c r="E6" s="684" t="str">
        <f>IFERROR(__xludf.DUMMYFUNCTION("""COMPUTED_VALUE"""),"004")</f>
        <v>004</v>
      </c>
      <c r="F6" s="682" t="str">
        <f>IFERROR(__xludf.DUMMYFUNCTION("""COMPUTED_VALUE"""),"quest_image_dan_01")</f>
        <v>quest_image_dan_01</v>
      </c>
      <c r="G6" s="198"/>
      <c r="H6" s="685" t="str">
        <f>IFERROR(__xludf.DUMMYFUNCTION("""COMPUTED_VALUE"""),"バトル系1")</f>
        <v>バトル系1</v>
      </c>
      <c r="I6" s="684" t="str">
        <f>IFERROR(__xludf.DUMMYFUNCTION("""COMPUTED_VALUE"""),"強敵/ボスバトル1")</f>
        <v>強敵/ボスバトル1</v>
      </c>
      <c r="J6" s="681"/>
      <c r="K6" s="681"/>
      <c r="L6" s="681"/>
      <c r="M6" s="681"/>
      <c r="N6" s="683"/>
      <c r="O6" s="683"/>
      <c r="P6" s="105"/>
      <c r="Q6" s="105"/>
      <c r="R6" s="105"/>
      <c r="S6" s="105"/>
      <c r="T6" s="105"/>
      <c r="U6" s="105"/>
      <c r="V6" s="105"/>
      <c r="W6" s="105"/>
      <c r="X6" s="105"/>
      <c r="Y6" s="105"/>
      <c r="Z6" s="105"/>
    </row>
    <row r="7">
      <c r="A7" s="681" t="str">
        <f>IFERROR(__xludf.DUMMYFUNCTION("""COMPUTED_VALUE"""),"gom")</f>
        <v>gom</v>
      </c>
      <c r="B7" s="681" t="str">
        <f>IFERROR(__xludf.DUMMYFUNCTION("""COMPUTED_VALUE"""),"series_banner_gom")</f>
        <v>series_banner_gom</v>
      </c>
      <c r="C7" s="681" t="str">
        <f>IFERROR(__xludf.DUMMYFUNCTION("""COMPUTED_VALUE"""),"series_logo_gom")</f>
        <v>series_logo_gom</v>
      </c>
      <c r="D7" s="681" t="str">
        <f>IFERROR(__xludf.DUMMYFUNCTION("""COMPUTED_VALUE"""),"姫様“拷問”の時間です")</f>
        <v>姫様“拷問”の時間です</v>
      </c>
      <c r="E7" s="684" t="str">
        <f>IFERROR(__xludf.DUMMYFUNCTION("""COMPUTED_VALUE"""),"005")</f>
        <v>005</v>
      </c>
      <c r="F7" s="682" t="str">
        <f>IFERROR(__xludf.DUMMYFUNCTION("""COMPUTED_VALUE"""),"quest_image_gom_01")</f>
        <v>quest_image_gom_01</v>
      </c>
      <c r="G7" s="683"/>
      <c r="H7" s="681" t="str">
        <f>IFERROR(__xludf.DUMMYFUNCTION("""COMPUTED_VALUE"""),"バトル系2")</f>
        <v>バトル系2</v>
      </c>
      <c r="I7" s="684" t="str">
        <f>IFERROR(__xludf.DUMMYFUNCTION("""COMPUTED_VALUE"""),"強敵/ボス登場時2 （高難度）")</f>
        <v>強敵/ボス登場時2 （高難度）</v>
      </c>
      <c r="J7" s="681"/>
      <c r="K7" s="681"/>
      <c r="L7" s="681"/>
      <c r="M7" s="681"/>
      <c r="N7" s="683"/>
      <c r="O7" s="683"/>
      <c r="P7" s="105"/>
      <c r="Q7" s="105"/>
      <c r="R7" s="105"/>
      <c r="S7" s="105"/>
      <c r="T7" s="105"/>
      <c r="U7" s="105"/>
      <c r="V7" s="105"/>
      <c r="W7" s="105"/>
      <c r="X7" s="105"/>
      <c r="Y7" s="105"/>
      <c r="Z7" s="105"/>
    </row>
    <row r="8">
      <c r="A8" s="681" t="str">
        <f>IFERROR(__xludf.DUMMYFUNCTION("""COMPUTED_VALUE"""),"chi")</f>
        <v>chi</v>
      </c>
      <c r="B8" s="686" t="str">
        <f>IFERROR(__xludf.DUMMYFUNCTION("""COMPUTED_VALUE"""),"series_banner_chi")</f>
        <v>series_banner_chi</v>
      </c>
      <c r="C8" s="686" t="str">
        <f>IFERROR(__xludf.DUMMYFUNCTION("""COMPUTED_VALUE"""),"series_logo_chi")</f>
        <v>series_logo_chi</v>
      </c>
      <c r="D8" s="686" t="str">
        <f>IFERROR(__xludf.DUMMYFUNCTION("""COMPUTED_VALUE"""),"チェンソーマン")</f>
        <v>チェンソーマン</v>
      </c>
      <c r="E8" s="684" t="str">
        <f>IFERROR(__xludf.DUMMYFUNCTION("""COMPUTED_VALUE"""),"006")</f>
        <v>006</v>
      </c>
      <c r="F8" s="682" t="str">
        <f>IFERROR(__xludf.DUMMYFUNCTION("""COMPUTED_VALUE"""),"quest_image_chi_01")</f>
        <v>quest_image_chi_01</v>
      </c>
      <c r="G8" s="683"/>
      <c r="H8" s="681" t="str">
        <f>IFERROR(__xludf.DUMMYFUNCTION("""COMPUTED_VALUE"""),"バトル系1")</f>
        <v>バトル系1</v>
      </c>
      <c r="I8" s="684" t="str">
        <f>IFERROR(__xludf.DUMMYFUNCTION("""COMPUTED_VALUE"""),"強敵/ボスバトル1")</f>
        <v>強敵/ボスバトル1</v>
      </c>
      <c r="J8" s="681"/>
      <c r="K8" s="681"/>
      <c r="L8" s="681"/>
      <c r="M8" s="681"/>
      <c r="N8" s="683"/>
      <c r="O8" s="683"/>
      <c r="P8" s="105"/>
      <c r="Q8" s="105"/>
      <c r="R8" s="105"/>
      <c r="S8" s="105"/>
      <c r="T8" s="105"/>
      <c r="U8" s="105"/>
      <c r="V8" s="105"/>
      <c r="W8" s="105"/>
      <c r="X8" s="105"/>
      <c r="Y8" s="105"/>
      <c r="Z8" s="105"/>
    </row>
    <row r="9">
      <c r="A9" s="681" t="str">
        <f>IFERROR(__xludf.DUMMYFUNCTION("""COMPUTED_VALUE"""),"chi2")</f>
        <v>chi2</v>
      </c>
      <c r="B9" s="686" t="str">
        <f>IFERROR(__xludf.DUMMYFUNCTION("""COMPUTED_VALUE"""),"series_banner_chi2")</f>
        <v>series_banner_chi2</v>
      </c>
      <c r="C9" s="686" t="str">
        <f>IFERROR(__xludf.DUMMYFUNCTION("""COMPUTED_VALUE"""),"series_logo_chi2")</f>
        <v>series_logo_chi2</v>
      </c>
      <c r="D9" s="686" t="str">
        <f>IFERROR(__xludf.DUMMYFUNCTION("""COMPUTED_VALUE"""),"チェンソーマン 第二部")</f>
        <v>チェンソーマン 第二部</v>
      </c>
      <c r="E9" s="681"/>
      <c r="F9" s="682"/>
      <c r="G9" s="198"/>
      <c r="H9" s="685"/>
      <c r="I9" s="684"/>
      <c r="J9" s="681"/>
      <c r="K9" s="681"/>
      <c r="L9" s="681"/>
      <c r="M9" s="681"/>
      <c r="N9" s="683"/>
      <c r="O9" s="683"/>
      <c r="P9" s="105"/>
      <c r="Q9" s="105"/>
      <c r="R9" s="105"/>
      <c r="S9" s="105"/>
      <c r="T9" s="105"/>
      <c r="U9" s="105"/>
      <c r="V9" s="105"/>
      <c r="W9" s="105"/>
      <c r="X9" s="105"/>
      <c r="Y9" s="105"/>
      <c r="Z9" s="105"/>
    </row>
    <row r="10">
      <c r="A10" s="681" t="str">
        <f>IFERROR(__xludf.DUMMYFUNCTION("""COMPUTED_VALUE"""),"mag")</f>
        <v>mag</v>
      </c>
      <c r="B10" s="681" t="str">
        <f>IFERROR(__xludf.DUMMYFUNCTION("""COMPUTED_VALUE"""),"series_banner_mag")</f>
        <v>series_banner_mag</v>
      </c>
      <c r="C10" s="681" t="str">
        <f>IFERROR(__xludf.DUMMYFUNCTION("""COMPUTED_VALUE"""),"series_logo_mag")</f>
        <v>series_logo_mag</v>
      </c>
      <c r="D10" s="681" t="str">
        <f>IFERROR(__xludf.DUMMYFUNCTION("""COMPUTED_VALUE"""),"株式会社マジルミエ")</f>
        <v>株式会社マジルミエ</v>
      </c>
      <c r="E10" s="684" t="str">
        <f>IFERROR(__xludf.DUMMYFUNCTION("""COMPUTED_VALUE"""),"007")</f>
        <v>007</v>
      </c>
      <c r="F10" s="682" t="str">
        <f>IFERROR(__xludf.DUMMYFUNCTION("""COMPUTED_VALUE"""),"quest_image_mag_01")</f>
        <v>quest_image_mag_01</v>
      </c>
      <c r="G10" s="683"/>
      <c r="H10" s="681" t="str">
        <f>IFERROR(__xludf.DUMMYFUNCTION("""COMPUTED_VALUE"""),"バトル系1")</f>
        <v>バトル系1</v>
      </c>
      <c r="I10" s="684" t="str">
        <f>IFERROR(__xludf.DUMMYFUNCTION("""COMPUTED_VALUE"""),"強敵/ボスバトル1")</f>
        <v>強敵/ボスバトル1</v>
      </c>
      <c r="J10" s="681"/>
      <c r="K10" s="681"/>
      <c r="L10" s="681"/>
      <c r="M10" s="681"/>
      <c r="N10" s="683"/>
      <c r="O10" s="683"/>
      <c r="P10" s="105"/>
      <c r="Q10" s="105"/>
      <c r="R10" s="105"/>
      <c r="S10" s="105"/>
      <c r="T10" s="105"/>
      <c r="U10" s="105"/>
      <c r="V10" s="105"/>
      <c r="W10" s="105"/>
      <c r="X10" s="105"/>
      <c r="Y10" s="105"/>
      <c r="Z10" s="105"/>
    </row>
    <row r="11">
      <c r="A11" s="681" t="str">
        <f>IFERROR(__xludf.DUMMYFUNCTION("""COMPUTED_VALUE"""),"dos")</f>
        <v>dos</v>
      </c>
      <c r="B11" s="681" t="str">
        <f>IFERROR(__xludf.DUMMYFUNCTION("""COMPUTED_VALUE"""),"series_banner_dos")</f>
        <v>series_banner_dos</v>
      </c>
      <c r="C11" s="681" t="str">
        <f>IFERROR(__xludf.DUMMYFUNCTION("""COMPUTED_VALUE"""),"series_logo_dos")</f>
        <v>series_logo_dos</v>
      </c>
      <c r="D11" s="681" t="str">
        <f>IFERROR(__xludf.DUMMYFUNCTION("""COMPUTED_VALUE"""),"道産子ギャルはなまらめんこい")</f>
        <v>道産子ギャルはなまらめんこい</v>
      </c>
      <c r="E11" s="684" t="str">
        <f>IFERROR(__xludf.DUMMYFUNCTION("""COMPUTED_VALUE"""),"008")</f>
        <v>008</v>
      </c>
      <c r="F11" s="682" t="str">
        <f>IFERROR(__xludf.DUMMYFUNCTION("""COMPUTED_VALUE"""),"quest_image_dos_01")</f>
        <v>quest_image_dos_01</v>
      </c>
      <c r="G11" s="683"/>
      <c r="H11" s="681" t="str">
        <f>IFERROR(__xludf.DUMMYFUNCTION("""COMPUTED_VALUE"""),"ラブコメ2")</f>
        <v>ラブコメ2</v>
      </c>
      <c r="I11" s="684" t="str">
        <f>IFERROR(__xludf.DUMMYFUNCTION("""COMPUTED_VALUE"""),"強敵/ボス登場時2 （高難度）")</f>
        <v>強敵/ボス登場時2 （高難度）</v>
      </c>
      <c r="J11" s="681"/>
      <c r="K11" s="681"/>
      <c r="L11" s="681"/>
      <c r="M11" s="681"/>
      <c r="N11" s="683"/>
      <c r="O11" s="683"/>
      <c r="P11" s="105"/>
      <c r="Q11" s="105"/>
      <c r="R11" s="105"/>
      <c r="S11" s="105"/>
      <c r="T11" s="105"/>
      <c r="U11" s="105"/>
      <c r="V11" s="105"/>
      <c r="W11" s="105"/>
      <c r="X11" s="105"/>
      <c r="Y11" s="105"/>
      <c r="Z11" s="105"/>
    </row>
    <row r="12">
      <c r="A12" s="681" t="str">
        <f>IFERROR(__xludf.DUMMYFUNCTION("""COMPUTED_VALUE"""),"bat")</f>
        <v>bat</v>
      </c>
      <c r="B12" s="681" t="str">
        <f>IFERROR(__xludf.DUMMYFUNCTION("""COMPUTED_VALUE"""),"series_banner_bat")</f>
        <v>series_banner_bat</v>
      </c>
      <c r="C12" s="681" t="str">
        <f>IFERROR(__xludf.DUMMYFUNCTION("""COMPUTED_VALUE"""),"series_logo_bat")</f>
        <v>series_logo_bat</v>
      </c>
      <c r="D12" s="681" t="str">
        <f>IFERROR(__xludf.DUMMYFUNCTION("""COMPUTED_VALUE"""),"忘却バッテリー")</f>
        <v>忘却バッテリー</v>
      </c>
      <c r="E12" s="684" t="str">
        <f>IFERROR(__xludf.DUMMYFUNCTION("""COMPUTED_VALUE"""),"009")</f>
        <v>009</v>
      </c>
      <c r="F12" s="682" t="str">
        <f>IFERROR(__xludf.DUMMYFUNCTION("""COMPUTED_VALUE"""),"quest_image_bat_01")</f>
        <v>quest_image_bat_01</v>
      </c>
      <c r="G12" s="683"/>
      <c r="H12" s="681" t="str">
        <f>IFERROR(__xludf.DUMMYFUNCTION("""COMPUTED_VALUE"""),"バトル系1")</f>
        <v>バトル系1</v>
      </c>
      <c r="I12" s="684" t="str">
        <f>IFERROR(__xludf.DUMMYFUNCTION("""COMPUTED_VALUE"""),"強敵/ボス登場時2 （高難度）")</f>
        <v>強敵/ボス登場時2 （高難度）</v>
      </c>
      <c r="J12" s="681"/>
      <c r="K12" s="681"/>
      <c r="L12" s="681"/>
      <c r="M12" s="681"/>
      <c r="N12" s="683"/>
      <c r="O12" s="683"/>
      <c r="P12" s="105"/>
      <c r="Q12" s="105"/>
      <c r="R12" s="105"/>
      <c r="S12" s="105"/>
      <c r="T12" s="105"/>
      <c r="U12" s="105"/>
      <c r="V12" s="105"/>
      <c r="W12" s="105"/>
      <c r="X12" s="105"/>
      <c r="Y12" s="105"/>
      <c r="Z12" s="105"/>
    </row>
    <row r="13">
      <c r="A13" s="681" t="str">
        <f>IFERROR(__xludf.DUMMYFUNCTION("""COMPUTED_VALUE"""),"kai")</f>
        <v>kai</v>
      </c>
      <c r="B13" s="681" t="str">
        <f>IFERROR(__xludf.DUMMYFUNCTION("""COMPUTED_VALUE"""),"series_banner_kai")</f>
        <v>series_banner_kai</v>
      </c>
      <c r="C13" s="681" t="str">
        <f>IFERROR(__xludf.DUMMYFUNCTION("""COMPUTED_VALUE"""),"series_logo_kai")</f>
        <v>series_logo_kai</v>
      </c>
      <c r="D13" s="681" t="str">
        <f>IFERROR(__xludf.DUMMYFUNCTION("""COMPUTED_VALUE"""),"怪獣８号")</f>
        <v>怪獣８号</v>
      </c>
      <c r="E13" s="684" t="str">
        <f>IFERROR(__xludf.DUMMYFUNCTION("""COMPUTED_VALUE"""),"010")</f>
        <v>010</v>
      </c>
      <c r="F13" s="682" t="str">
        <f>IFERROR(__xludf.DUMMYFUNCTION("""COMPUTED_VALUE"""),"quest_image_kai_01")</f>
        <v>quest_image_kai_01</v>
      </c>
      <c r="G13" s="683"/>
      <c r="H13" s="681" t="str">
        <f>IFERROR(__xludf.DUMMYFUNCTION("""COMPUTED_VALUE"""),"バトル系1")</f>
        <v>バトル系1</v>
      </c>
      <c r="I13" s="684" t="str">
        <f>IFERROR(__xludf.DUMMYFUNCTION("""COMPUTED_VALUE"""),"強敵/ボスバトル1")</f>
        <v>強敵/ボスバトル1</v>
      </c>
      <c r="J13" s="681"/>
      <c r="K13" s="681"/>
      <c r="L13" s="681"/>
      <c r="M13" s="681"/>
      <c r="N13" s="683"/>
      <c r="O13" s="683"/>
      <c r="P13" s="105"/>
      <c r="Q13" s="105"/>
      <c r="R13" s="105"/>
      <c r="S13" s="105"/>
      <c r="T13" s="105"/>
      <c r="U13" s="105"/>
      <c r="V13" s="105"/>
      <c r="W13" s="105"/>
      <c r="X13" s="105"/>
      <c r="Y13" s="105"/>
      <c r="Z13" s="105"/>
    </row>
    <row r="14">
      <c r="A14" s="681" t="str">
        <f>IFERROR(__xludf.DUMMYFUNCTION("""COMPUTED_VALUE"""),"yuw")</f>
        <v>yuw</v>
      </c>
      <c r="B14" s="681" t="str">
        <f>IFERROR(__xludf.DUMMYFUNCTION("""COMPUTED_VALUE"""),"series_banner_yuw")</f>
        <v>series_banner_yuw</v>
      </c>
      <c r="C14" s="681" t="str">
        <f>IFERROR(__xludf.DUMMYFUNCTION("""COMPUTED_VALUE"""),"series_logo_yuw")</f>
        <v>series_logo_yuw</v>
      </c>
      <c r="D14" s="681" t="str">
        <f>IFERROR(__xludf.DUMMYFUNCTION("""COMPUTED_VALUE"""),"2.5次元の誘惑")</f>
        <v>2.5次元の誘惑</v>
      </c>
      <c r="E14" s="684" t="str">
        <f>IFERROR(__xludf.DUMMYFUNCTION("""COMPUTED_VALUE"""),"011")</f>
        <v>011</v>
      </c>
      <c r="F14" s="682" t="str">
        <f>IFERROR(__xludf.DUMMYFUNCTION("""COMPUTED_VALUE"""),"quest_image_yuw_01")</f>
        <v>quest_image_yuw_01</v>
      </c>
      <c r="G14" s="198"/>
      <c r="H14" s="685" t="str">
        <f>IFERROR(__xludf.DUMMYFUNCTION("""COMPUTED_VALUE"""),"バトル系2")</f>
        <v>バトル系2</v>
      </c>
      <c r="I14" s="684" t="str">
        <f>IFERROR(__xludf.DUMMYFUNCTION("""COMPUTED_VALUE"""),"強敵/ボス登場時2 （高難度）")</f>
        <v>強敵/ボス登場時2 （高難度）</v>
      </c>
      <c r="J14" s="681"/>
      <c r="K14" s="681"/>
      <c r="L14" s="681"/>
      <c r="M14" s="681"/>
      <c r="N14" s="683"/>
      <c r="O14" s="683"/>
      <c r="P14" s="105"/>
      <c r="Q14" s="105"/>
      <c r="R14" s="105"/>
      <c r="S14" s="105"/>
      <c r="T14" s="105"/>
      <c r="U14" s="105"/>
      <c r="V14" s="105"/>
      <c r="W14" s="105"/>
      <c r="X14" s="105"/>
      <c r="Y14" s="105"/>
      <c r="Z14" s="105"/>
    </row>
    <row r="15">
      <c r="A15" s="681" t="str">
        <f>IFERROR(__xludf.DUMMYFUNCTION("""COMPUTED_VALUE"""),"sur")</f>
        <v>sur</v>
      </c>
      <c r="B15" s="681" t="str">
        <f>IFERROR(__xludf.DUMMYFUNCTION("""COMPUTED_VALUE"""),"series_banner_sur")</f>
        <v>series_banner_sur</v>
      </c>
      <c r="C15" s="681" t="str">
        <f>IFERROR(__xludf.DUMMYFUNCTION("""COMPUTED_VALUE"""),"series_logo_sur")</f>
        <v>series_logo_sur</v>
      </c>
      <c r="D15" s="681" t="str">
        <f>IFERROR(__xludf.DUMMYFUNCTION("""COMPUTED_VALUE"""),"魔都精兵のスレイブ")</f>
        <v>魔都精兵のスレイブ</v>
      </c>
      <c r="E15" s="684" t="str">
        <f>IFERROR(__xludf.DUMMYFUNCTION("""COMPUTED_VALUE"""),"012")</f>
        <v>012</v>
      </c>
      <c r="F15" s="682" t="str">
        <f>IFERROR(__xludf.DUMMYFUNCTION("""COMPUTED_VALUE"""),"quest_image_sur_01")</f>
        <v>quest_image_sur_01</v>
      </c>
      <c r="G15" s="198"/>
      <c r="H15" s="685" t="str">
        <f>IFERROR(__xludf.DUMMYFUNCTION("""COMPUTED_VALUE"""),"バトル系1")</f>
        <v>バトル系1</v>
      </c>
      <c r="I15" s="684" t="str">
        <f>IFERROR(__xludf.DUMMYFUNCTION("""COMPUTED_VALUE"""),"強敵/ボスバトル1")</f>
        <v>強敵/ボスバトル1</v>
      </c>
      <c r="J15" s="681"/>
      <c r="K15" s="681"/>
      <c r="L15" s="681"/>
      <c r="M15" s="681"/>
      <c r="N15" s="683"/>
      <c r="O15" s="683"/>
      <c r="P15" s="105"/>
      <c r="Q15" s="105"/>
      <c r="R15" s="105"/>
      <c r="S15" s="105"/>
      <c r="T15" s="105"/>
      <c r="U15" s="105"/>
      <c r="V15" s="105"/>
      <c r="W15" s="105"/>
      <c r="X15" s="105"/>
      <c r="Y15" s="105"/>
      <c r="Z15" s="105"/>
    </row>
    <row r="16">
      <c r="A16" s="681" t="str">
        <f>IFERROR(__xludf.DUMMYFUNCTION("""COMPUTED_VALUE"""),"ron")</f>
        <v>ron</v>
      </c>
      <c r="B16" s="686" t="str">
        <f>IFERROR(__xludf.DUMMYFUNCTION("""COMPUTED_VALUE"""),"series_banner_ron")</f>
        <v>series_banner_ron</v>
      </c>
      <c r="C16" s="686" t="str">
        <f>IFERROR(__xludf.DUMMYFUNCTION("""COMPUTED_VALUE"""),"series_logo_ron")</f>
        <v>series_logo_ron</v>
      </c>
      <c r="D16" s="686" t="str">
        <f>IFERROR(__xludf.DUMMYFUNCTION("""COMPUTED_VALUE"""),"鴨乃橋ロンの禁断推理")</f>
        <v>鴨乃橋ロンの禁断推理</v>
      </c>
      <c r="E16" s="684" t="str">
        <f>IFERROR(__xludf.DUMMYFUNCTION("""COMPUTED_VALUE"""),"013")</f>
        <v>013</v>
      </c>
      <c r="F16" s="682" t="str">
        <f>IFERROR(__xludf.DUMMYFUNCTION("""COMPUTED_VALUE"""),"quest_image_ron_01")</f>
        <v>quest_image_ron_01</v>
      </c>
      <c r="G16" s="683"/>
      <c r="H16" s="681" t="str">
        <f>IFERROR(__xludf.DUMMYFUNCTION("""COMPUTED_VALUE"""),"シリアス")</f>
        <v>シリアス</v>
      </c>
      <c r="I16" s="684" t="str">
        <f>IFERROR(__xludf.DUMMYFUNCTION("""COMPUTED_VALUE"""),"強敵/ボス登場時2 （高難度）")</f>
        <v>強敵/ボス登場時2 （高難度）</v>
      </c>
      <c r="J16" s="681"/>
      <c r="K16" s="681"/>
      <c r="L16" s="681"/>
      <c r="M16" s="681"/>
      <c r="N16" s="683"/>
      <c r="O16" s="683"/>
      <c r="P16" s="105"/>
      <c r="Q16" s="105"/>
      <c r="R16" s="105"/>
      <c r="S16" s="105"/>
      <c r="T16" s="105"/>
      <c r="U16" s="105"/>
      <c r="V16" s="105"/>
      <c r="W16" s="105"/>
      <c r="X16" s="105"/>
      <c r="Y16" s="105"/>
      <c r="Z16" s="105"/>
    </row>
    <row r="17">
      <c r="A17" s="681" t="str">
        <f>IFERROR(__xludf.DUMMYFUNCTION("""COMPUTED_VALUE"""),"aha")</f>
        <v>aha</v>
      </c>
      <c r="B17" s="686" t="str">
        <f>IFERROR(__xludf.DUMMYFUNCTION("""COMPUTED_VALUE"""),"series_banner_aha")</f>
        <v>series_banner_aha</v>
      </c>
      <c r="C17" s="686" t="str">
        <f>IFERROR(__xludf.DUMMYFUNCTION("""COMPUTED_VALUE"""),"series_logo_aha")</f>
        <v>series_logo_aha</v>
      </c>
      <c r="D17" s="681" t="str">
        <f>IFERROR(__xludf.DUMMYFUNCTION("""COMPUTED_VALUE"""),"阿波連さんははかれない")</f>
        <v>阿波連さんははかれない</v>
      </c>
      <c r="E17" s="684" t="str">
        <f>IFERROR(__xludf.DUMMYFUNCTION("""COMPUTED_VALUE"""),"014")</f>
        <v>014</v>
      </c>
      <c r="F17" s="682" t="str">
        <f>IFERROR(__xludf.DUMMYFUNCTION("""COMPUTED_VALUE"""),"quest_image_aha_01")</f>
        <v>quest_image_aha_01</v>
      </c>
      <c r="G17" s="683"/>
      <c r="H17" s="681" t="str">
        <f>IFERROR(__xludf.DUMMYFUNCTION("""COMPUTED_VALUE"""),"バトル系2")</f>
        <v>バトル系2</v>
      </c>
      <c r="I17" s="684" t="str">
        <f>IFERROR(__xludf.DUMMYFUNCTION("""COMPUTED_VALUE"""),"強敵/ボス登場時2 （高難度）")</f>
        <v>強敵/ボス登場時2 （高難度）</v>
      </c>
      <c r="J17" s="681"/>
      <c r="K17" s="681"/>
      <c r="L17" s="681"/>
      <c r="M17" s="681"/>
      <c r="N17" s="683"/>
      <c r="O17" s="683"/>
      <c r="P17" s="105"/>
      <c r="Q17" s="105"/>
      <c r="R17" s="105"/>
      <c r="S17" s="105"/>
      <c r="T17" s="105"/>
      <c r="U17" s="105"/>
      <c r="V17" s="105"/>
      <c r="W17" s="105"/>
      <c r="X17" s="105"/>
      <c r="Y17" s="105"/>
      <c r="Z17" s="105"/>
    </row>
    <row r="18">
      <c r="A18" s="681" t="str">
        <f>IFERROR(__xludf.DUMMYFUNCTION("""COMPUTED_VALUE"""),"sum")</f>
        <v>sum</v>
      </c>
      <c r="B18" s="681" t="str">
        <f>IFERROR(__xludf.DUMMYFUNCTION("""COMPUTED_VALUE"""),"series_banner_sum")</f>
        <v>series_banner_sum</v>
      </c>
      <c r="C18" s="681" t="str">
        <f>IFERROR(__xludf.DUMMYFUNCTION("""COMPUTED_VALUE"""),"series_logo_sum")</f>
        <v>series_logo_sum</v>
      </c>
      <c r="D18" s="681" t="str">
        <f>IFERROR(__xludf.DUMMYFUNCTION("""COMPUTED_VALUE"""),"サマータイムレンダ")</f>
        <v>サマータイムレンダ</v>
      </c>
      <c r="E18" s="684" t="str">
        <f>IFERROR(__xludf.DUMMYFUNCTION("""COMPUTED_VALUE"""),"015")</f>
        <v>015</v>
      </c>
      <c r="F18" s="682" t="str">
        <f>IFERROR(__xludf.DUMMYFUNCTION("""COMPUTED_VALUE"""),"quest_image_sum_01")</f>
        <v>quest_image_sum_01</v>
      </c>
      <c r="G18" s="683"/>
      <c r="H18" s="681" t="str">
        <f>IFERROR(__xludf.DUMMYFUNCTION("""COMPUTED_VALUE"""),"シリアス")</f>
        <v>シリアス</v>
      </c>
      <c r="I18" s="684" t="str">
        <f>IFERROR(__xludf.DUMMYFUNCTION("""COMPUTED_VALUE"""),"強敵/ボスバトル1")</f>
        <v>強敵/ボスバトル1</v>
      </c>
      <c r="J18" s="681"/>
      <c r="K18" s="681"/>
      <c r="L18" s="681"/>
      <c r="M18" s="681"/>
      <c r="N18" s="683"/>
      <c r="O18" s="683"/>
      <c r="P18" s="105"/>
      <c r="Q18" s="105"/>
      <c r="R18" s="105"/>
      <c r="S18" s="105"/>
      <c r="T18" s="105"/>
      <c r="U18" s="105"/>
      <c r="V18" s="105"/>
      <c r="W18" s="105"/>
      <c r="X18" s="105"/>
      <c r="Y18" s="105"/>
      <c r="Z18" s="105"/>
    </row>
    <row r="19">
      <c r="A19" s="681" t="str">
        <f>IFERROR(__xludf.DUMMYFUNCTION("""COMPUTED_VALUE"""),"jig")</f>
        <v>jig</v>
      </c>
      <c r="B19" s="681" t="str">
        <f>IFERROR(__xludf.DUMMYFUNCTION("""COMPUTED_VALUE"""),"series_banner_jig")</f>
        <v>series_banner_jig</v>
      </c>
      <c r="C19" s="681" t="str">
        <f>IFERROR(__xludf.DUMMYFUNCTION("""COMPUTED_VALUE"""),"series_logo_jig")</f>
        <v>series_logo_jig</v>
      </c>
      <c r="D19" s="686" t="str">
        <f>IFERROR(__xludf.DUMMYFUNCTION("""COMPUTED_VALUE"""),"地獄楽")</f>
        <v>地獄楽</v>
      </c>
      <c r="E19" s="684" t="str">
        <f>IFERROR(__xludf.DUMMYFUNCTION("""COMPUTED_VALUE"""),"016")</f>
        <v>016</v>
      </c>
      <c r="F19" s="682" t="str">
        <f>IFERROR(__xludf.DUMMYFUNCTION("""COMPUTED_VALUE"""),"quest_image_jig_01")</f>
        <v>quest_image_jig_01</v>
      </c>
      <c r="G19" s="683"/>
      <c r="H19" s="681" t="str">
        <f>IFERROR(__xludf.DUMMYFUNCTION("""COMPUTED_VALUE"""),"シリアス")</f>
        <v>シリアス</v>
      </c>
      <c r="I19" s="684" t="str">
        <f>IFERROR(__xludf.DUMMYFUNCTION("""COMPUTED_VALUE"""),"強敵/ボスバトル1")</f>
        <v>強敵/ボスバトル1</v>
      </c>
      <c r="J19" s="681"/>
      <c r="K19" s="681"/>
      <c r="L19" s="681"/>
      <c r="M19" s="681"/>
      <c r="N19" s="683"/>
      <c r="O19" s="683"/>
      <c r="P19" s="105"/>
      <c r="Q19" s="105"/>
      <c r="R19" s="105"/>
      <c r="S19" s="105"/>
      <c r="T19" s="105"/>
      <c r="U19" s="105"/>
      <c r="V19" s="105"/>
      <c r="W19" s="105"/>
      <c r="X19" s="105"/>
      <c r="Y19" s="105"/>
      <c r="Z19" s="105"/>
    </row>
    <row r="20">
      <c r="A20" s="105" t="str">
        <f>IFERROR(__xludf.DUMMYFUNCTION("""COMPUTED_VALUE"""),"tak")</f>
        <v>tak</v>
      </c>
      <c r="B20" s="105" t="str">
        <f>IFERROR(__xludf.DUMMYFUNCTION("""COMPUTED_VALUE"""),"series_banner_tak")</f>
        <v>series_banner_tak</v>
      </c>
      <c r="C20" s="105" t="str">
        <f>IFERROR(__xludf.DUMMYFUNCTION("""COMPUTED_VALUE"""),"series_logo_tak")</f>
        <v>series_logo_tak</v>
      </c>
      <c r="D20" s="105" t="str">
        <f>IFERROR(__xludf.DUMMYFUNCTION("""COMPUTED_VALUE"""),"タコピーの原罪")</f>
        <v>タコピーの原罪</v>
      </c>
      <c r="E20" s="213" t="str">
        <f>IFERROR(__xludf.DUMMYFUNCTION("""COMPUTED_VALUE"""),"017")</f>
        <v>017</v>
      </c>
      <c r="F20" s="105" t="str">
        <f>IFERROR(__xludf.DUMMYFUNCTION("""COMPUTED_VALUE"""),"quest_image_tak_01")</f>
        <v>quest_image_tak_01</v>
      </c>
      <c r="G20" s="105"/>
      <c r="H20" s="105" t="str">
        <f>IFERROR(__xludf.DUMMYFUNCTION("""COMPUTED_VALUE"""),"日常・ギャグ")</f>
        <v>日常・ギャグ</v>
      </c>
      <c r="I20" s="213" t="str">
        <f>IFERROR(__xludf.DUMMYFUNCTION("""COMPUTED_VALUE"""),"強敵/ボス登場時2 （高難度）")</f>
        <v>強敵/ボス登場時2 （高難度）</v>
      </c>
      <c r="J20" s="105"/>
      <c r="K20" s="105"/>
      <c r="L20" s="105"/>
      <c r="M20" s="105"/>
      <c r="N20" s="105"/>
      <c r="O20" s="105"/>
      <c r="P20" s="105"/>
      <c r="Q20" s="105"/>
      <c r="R20" s="105"/>
      <c r="S20" s="105"/>
      <c r="T20" s="105"/>
      <c r="U20" s="105"/>
      <c r="V20" s="105"/>
      <c r="W20" s="105"/>
      <c r="X20" s="105"/>
      <c r="Y20" s="105"/>
      <c r="Z20" s="105"/>
    </row>
    <row r="21">
      <c r="A21" s="105" t="str">
        <f>IFERROR(__xludf.DUMMYFUNCTION("""COMPUTED_VALUE"""),"osh")</f>
        <v>osh</v>
      </c>
      <c r="B21" s="105" t="str">
        <f>IFERROR(__xludf.DUMMYFUNCTION("""COMPUTED_VALUE"""),"series_banner_osh")</f>
        <v>series_banner_osh</v>
      </c>
      <c r="C21" s="105" t="str">
        <f>IFERROR(__xludf.DUMMYFUNCTION("""COMPUTED_VALUE"""),"series_logo_tak")</f>
        <v>series_logo_tak</v>
      </c>
      <c r="D21" s="225" t="str">
        <f>IFERROR(__xludf.DUMMYFUNCTION("""COMPUTED_VALUE"""),"【推しの子】")</f>
        <v>【推しの子】</v>
      </c>
      <c r="E21" s="213" t="str">
        <f>IFERROR(__xludf.DUMMYFUNCTION("""COMPUTED_VALUE"""),"018")</f>
        <v>018</v>
      </c>
      <c r="F21" s="105" t="str">
        <f>IFERROR(__xludf.DUMMYFUNCTION("""COMPUTED_VALUE"""),"quest_image_osh_01")</f>
        <v>quest_image_osh_01</v>
      </c>
      <c r="G21" s="105"/>
      <c r="H21" s="105" t="str">
        <f>IFERROR(__xludf.DUMMYFUNCTION("""COMPUTED_VALUE"""),"ラブコメ2")</f>
        <v>ラブコメ2</v>
      </c>
      <c r="I21" s="213" t="str">
        <f>IFERROR(__xludf.DUMMYFUNCTION("""COMPUTED_VALUE"""),"強敵/ボス登場時2 （高難度）")</f>
        <v>強敵/ボス登場時2 （高難度）</v>
      </c>
      <c r="J21" s="105"/>
      <c r="K21" s="105"/>
      <c r="L21" s="105"/>
      <c r="M21" s="105"/>
      <c r="N21" s="105"/>
      <c r="O21" s="105"/>
      <c r="P21" s="105"/>
      <c r="Q21" s="105"/>
      <c r="R21" s="105"/>
      <c r="S21" s="105"/>
      <c r="T21" s="105"/>
      <c r="U21" s="105"/>
      <c r="V21" s="105"/>
      <c r="W21" s="105"/>
      <c r="X21" s="105"/>
      <c r="Y21" s="105"/>
      <c r="Z21" s="105"/>
    </row>
    <row r="22">
      <c r="A22" s="105" t="str">
        <f>IFERROR(__xludf.DUMMYFUNCTION("""COMPUTED_VALUE"""),"you")</f>
        <v>you</v>
      </c>
      <c r="B22" s="105" t="str">
        <f>IFERROR(__xludf.DUMMYFUNCTION("""COMPUTED_VALUE"""),"series_banner_you")</f>
        <v>series_banner_you</v>
      </c>
      <c r="C22" s="105" t="str">
        <f>IFERROR(__xludf.DUMMYFUNCTION("""COMPUTED_VALUE"""),"series_logo_tak")</f>
        <v>series_logo_tak</v>
      </c>
      <c r="D22" s="105" t="str">
        <f>IFERROR(__xludf.DUMMYFUNCTION("""COMPUTED_VALUE"""),"幼稚園WARS")</f>
        <v>幼稚園WARS</v>
      </c>
      <c r="E22" s="213" t="str">
        <f>IFERROR(__xludf.DUMMYFUNCTION("""COMPUTED_VALUE"""),"019")</f>
        <v>019</v>
      </c>
      <c r="F22" s="105" t="str">
        <f>IFERROR(__xludf.DUMMYFUNCTION("""COMPUTED_VALUE"""),"quest_image_you_01")</f>
        <v>quest_image_you_01</v>
      </c>
      <c r="G22" s="105"/>
      <c r="H22" s="105" t="str">
        <f>IFERROR(__xludf.DUMMYFUNCTION("""COMPUTED_VALUE"""),"バトル系2")</f>
        <v>バトル系2</v>
      </c>
      <c r="I22" s="213" t="str">
        <f>IFERROR(__xludf.DUMMYFUNCTION("""COMPUTED_VALUE"""),"強敵/ボスバトル1")</f>
        <v>強敵/ボスバトル1</v>
      </c>
      <c r="J22" s="105"/>
      <c r="K22" s="105"/>
      <c r="L22" s="105"/>
      <c r="M22" s="105"/>
      <c r="N22" s="105"/>
      <c r="O22" s="105"/>
      <c r="P22" s="105"/>
      <c r="Q22" s="105"/>
      <c r="R22" s="105"/>
      <c r="S22" s="105"/>
      <c r="T22" s="105"/>
      <c r="U22" s="105"/>
      <c r="V22" s="105"/>
      <c r="W22" s="105"/>
      <c r="X22" s="105"/>
      <c r="Y22" s="105"/>
      <c r="Z22" s="105"/>
    </row>
    <row r="23">
      <c r="A23" s="105" t="str">
        <f>IFERROR(__xludf.DUMMYFUNCTION("""COMPUTED_VALUE"""),"kim")</f>
        <v>kim</v>
      </c>
      <c r="B23" s="105" t="str">
        <f>IFERROR(__xludf.DUMMYFUNCTION("""COMPUTED_VALUE"""),"series_banner_kim")</f>
        <v>series_banner_kim</v>
      </c>
      <c r="C23" s="105" t="str">
        <f>IFERROR(__xludf.DUMMYFUNCTION("""COMPUTED_VALUE"""),"series_logo_tak")</f>
        <v>series_logo_tak</v>
      </c>
      <c r="D23" s="105" t="str">
        <f>IFERROR(__xludf.DUMMYFUNCTION("""COMPUTED_VALUE"""),"君のことが大大大大大好きな100人の彼女")</f>
        <v>君のことが大大大大大好きな100人の彼女</v>
      </c>
      <c r="E23" s="213" t="str">
        <f>IFERROR(__xludf.DUMMYFUNCTION("""COMPUTED_VALUE"""),"020")</f>
        <v>020</v>
      </c>
      <c r="F23" s="105" t="str">
        <f>IFERROR(__xludf.DUMMYFUNCTION("""COMPUTED_VALUE"""),"quest_image_kim_01")</f>
        <v>quest_image_kim_01</v>
      </c>
      <c r="G23" s="105"/>
      <c r="H23" s="105" t="str">
        <f>IFERROR(__xludf.DUMMYFUNCTION("""COMPUTED_VALUE"""),"ラブコメ2")</f>
        <v>ラブコメ2</v>
      </c>
      <c r="I23" s="213" t="str">
        <f>IFERROR(__xludf.DUMMYFUNCTION("""COMPUTED_VALUE"""),"強敵/ボス登場時2 （高難度）")</f>
        <v>強敵/ボス登場時2 （高難度）</v>
      </c>
      <c r="J23" s="105"/>
      <c r="K23" s="105"/>
      <c r="L23" s="105"/>
      <c r="M23" s="105"/>
      <c r="N23" s="105"/>
      <c r="O23" s="105"/>
      <c r="P23" s="105"/>
      <c r="Q23" s="105"/>
      <c r="R23" s="105"/>
      <c r="S23" s="105"/>
      <c r="T23" s="105"/>
      <c r="U23" s="105"/>
      <c r="V23" s="105"/>
      <c r="W23" s="105"/>
      <c r="X23" s="105"/>
      <c r="Y23" s="105"/>
      <c r="Z23" s="105"/>
    </row>
    <row r="24">
      <c r="A24" s="105" t="str">
        <f>IFERROR(__xludf.DUMMYFUNCTION("""COMPUTED_VALUE"""),"hut")</f>
        <v>hut</v>
      </c>
      <c r="B24" s="105" t="str">
        <f>IFERROR(__xludf.DUMMYFUNCTION("""COMPUTED_VALUE"""),"series_banner_hut")</f>
        <v>series_banner_hut</v>
      </c>
      <c r="C24" s="105" t="str">
        <f>IFERROR(__xludf.DUMMYFUNCTION("""COMPUTED_VALUE"""),"series_logo_hut")</f>
        <v>series_logo_hut</v>
      </c>
      <c r="D24" s="105" t="str">
        <f>IFERROR(__xludf.DUMMYFUNCTION("""COMPUTED_VALUE"""),"ふつうの軽音部")</f>
        <v>ふつうの軽音部</v>
      </c>
      <c r="E24" s="213" t="str">
        <f>IFERROR(__xludf.DUMMYFUNCTION("""COMPUTED_VALUE"""),"021")</f>
        <v>021</v>
      </c>
      <c r="F24" s="105" t="str">
        <f>IFERROR(__xludf.DUMMYFUNCTION("""COMPUTED_VALUE"""),"quest_image_hut_01")</f>
        <v>quest_image_hut_01</v>
      </c>
      <c r="G24" s="105"/>
      <c r="H24" s="105" t="str">
        <f>IFERROR(__xludf.DUMMYFUNCTION("""COMPUTED_VALUE"""),"日常・ギャグ")</f>
        <v>日常・ギャグ</v>
      </c>
      <c r="I24" s="213" t="str">
        <f>IFERROR(__xludf.DUMMYFUNCTION("""COMPUTED_VALUE"""),"強敵/ボスバトル1")</f>
        <v>強敵/ボスバトル1</v>
      </c>
      <c r="J24" s="105"/>
      <c r="K24" s="105"/>
      <c r="L24" s="105"/>
      <c r="M24" s="105"/>
      <c r="N24" s="105"/>
      <c r="O24" s="105"/>
      <c r="P24" s="105"/>
      <c r="Q24" s="105"/>
      <c r="R24" s="105"/>
      <c r="S24" s="105"/>
      <c r="T24" s="105"/>
      <c r="U24" s="105"/>
      <c r="V24" s="105"/>
      <c r="W24" s="105"/>
      <c r="X24" s="105"/>
      <c r="Y24" s="105"/>
      <c r="Z24" s="105"/>
    </row>
    <row r="25">
      <c r="A25" s="105" t="str">
        <f>IFERROR(__xludf.DUMMYFUNCTION("""COMPUTED_VALUE"""),"rur")</f>
        <v>rur</v>
      </c>
      <c r="B25" s="105" t="str">
        <f>IFERROR(__xludf.DUMMYFUNCTION("""COMPUTED_VALUE"""),"series_banner_rur")</f>
        <v>series_banner_rur</v>
      </c>
      <c r="C25" s="105" t="str">
        <f>IFERROR(__xludf.DUMMYFUNCTION("""COMPUTED_VALUE"""),"series_logo_rur")</f>
        <v>series_logo_rur</v>
      </c>
      <c r="D25" s="105" t="str">
        <f>IFERROR(__xludf.DUMMYFUNCTION("""COMPUTED_VALUE"""),"ルリドラゴン")</f>
        <v>ルリドラゴン</v>
      </c>
      <c r="E25" s="213" t="str">
        <f>IFERROR(__xludf.DUMMYFUNCTION("""COMPUTED_VALUE"""),"022")</f>
        <v>022</v>
      </c>
      <c r="F25" s="105" t="str">
        <f>IFERROR(__xludf.DUMMYFUNCTION("""COMPUTED_VALUE"""),"quest_image_rur_01")</f>
        <v>quest_image_rur_01</v>
      </c>
      <c r="G25" s="105"/>
      <c r="H25" s="105" t="str">
        <f>IFERROR(__xludf.DUMMYFUNCTION("""COMPUTED_VALUE"""),"日常・ギャグ")</f>
        <v>日常・ギャグ</v>
      </c>
      <c r="I25" s="213" t="str">
        <f>IFERROR(__xludf.DUMMYFUNCTION("""COMPUTED_VALUE"""),"強敵/ボスバトル1")</f>
        <v>強敵/ボスバトル1</v>
      </c>
      <c r="J25" s="105"/>
      <c r="K25" s="105"/>
      <c r="L25" s="105"/>
      <c r="M25" s="105"/>
      <c r="N25" s="105"/>
      <c r="O25" s="105"/>
      <c r="P25" s="105"/>
      <c r="Q25" s="105"/>
      <c r="R25" s="105"/>
      <c r="S25" s="105"/>
      <c r="T25" s="105"/>
      <c r="U25" s="105"/>
      <c r="V25" s="105"/>
      <c r="W25" s="105"/>
      <c r="X25" s="105"/>
      <c r="Y25" s="105"/>
      <c r="Z25" s="105"/>
    </row>
    <row r="26">
      <c r="A26" s="105" t="str">
        <f>IFERROR(__xludf.DUMMYFUNCTION("""COMPUTED_VALUE"""),"hyp")</f>
        <v>hyp</v>
      </c>
      <c r="B26" s="105" t="str">
        <f>IFERROR(__xludf.DUMMYFUNCTION("""COMPUTED_VALUE"""),"series_banner_hyp")</f>
        <v>series_banner_hyp</v>
      </c>
      <c r="C26" s="105" t="str">
        <f>IFERROR(__xludf.DUMMYFUNCTION("""COMPUTED_VALUE"""),"series_logo_hyp")</f>
        <v>series_logo_hyp</v>
      </c>
      <c r="D26" s="105" t="str">
        <f>IFERROR(__xludf.DUMMYFUNCTION("""COMPUTED_VALUE"""),"ハイパーインフレーション")</f>
        <v>ハイパーインフレーション</v>
      </c>
      <c r="E26" s="213" t="str">
        <f>IFERROR(__xludf.DUMMYFUNCTION("""COMPUTED_VALUE"""),"023")</f>
        <v>023</v>
      </c>
      <c r="F26" s="105" t="str">
        <f>IFERROR(__xludf.DUMMYFUNCTION("""COMPUTED_VALUE"""),"quest_image_hyp_01")</f>
        <v>quest_image_hyp_01</v>
      </c>
      <c r="G26" s="105"/>
      <c r="H26" s="105" t="str">
        <f>IFERROR(__xludf.DUMMYFUNCTION("""COMPUTED_VALUE"""),"シリアス")</f>
        <v>シリアス</v>
      </c>
      <c r="I26" s="213" t="str">
        <f>IFERROR(__xludf.DUMMYFUNCTION("""COMPUTED_VALUE"""),"強敵/ボスバトル1")</f>
        <v>強敵/ボスバトル1</v>
      </c>
      <c r="J26" s="105"/>
      <c r="K26" s="105"/>
      <c r="L26" s="105"/>
      <c r="M26" s="105"/>
      <c r="N26" s="105"/>
      <c r="O26" s="105"/>
      <c r="P26" s="105"/>
      <c r="Q26" s="105"/>
      <c r="R26" s="105"/>
      <c r="S26" s="105"/>
      <c r="T26" s="105"/>
      <c r="U26" s="105"/>
      <c r="V26" s="105"/>
      <c r="W26" s="105"/>
      <c r="X26" s="105"/>
      <c r="Y26" s="105"/>
      <c r="Z26" s="105"/>
    </row>
    <row r="27">
      <c r="A27" s="105" t="str">
        <f>IFERROR(__xludf.DUMMYFUNCTION("""COMPUTED_VALUE"""),"gam")</f>
        <v>gam</v>
      </c>
      <c r="B27" s="105" t="str">
        <f>IFERROR(__xludf.DUMMYFUNCTION("""COMPUTED_VALUE"""),"series_banner_gam")</f>
        <v>series_banner_gam</v>
      </c>
      <c r="C27" s="105" t="str">
        <f>IFERROR(__xludf.DUMMYFUNCTION("""COMPUTED_VALUE"""),"series_logo_gam")</f>
        <v>series_logo_gam</v>
      </c>
      <c r="D27" s="105" t="str">
        <f>IFERROR(__xludf.DUMMYFUNCTION("""COMPUTED_VALUE"""),"ゲーミングお嬢様")</f>
        <v>ゲーミングお嬢様</v>
      </c>
      <c r="E27" s="213" t="str">
        <f>IFERROR(__xludf.DUMMYFUNCTION("""COMPUTED_VALUE"""),"024")</f>
        <v>024</v>
      </c>
      <c r="F27" s="105" t="str">
        <f>IFERROR(__xludf.DUMMYFUNCTION("""COMPUTED_VALUE"""),"quest_image_gam_01")</f>
        <v>quest_image_gam_01</v>
      </c>
      <c r="G27" s="105"/>
      <c r="H27" s="105"/>
      <c r="I27" s="213"/>
      <c r="J27" s="105"/>
      <c r="K27" s="105"/>
      <c r="L27" s="105"/>
      <c r="M27" s="105"/>
      <c r="N27" s="105"/>
      <c r="O27" s="105"/>
      <c r="P27" s="105"/>
      <c r="Q27" s="105"/>
      <c r="R27" s="105"/>
      <c r="S27" s="105"/>
      <c r="T27" s="105"/>
      <c r="U27" s="105"/>
      <c r="V27" s="105"/>
      <c r="W27" s="105"/>
      <c r="X27" s="105"/>
      <c r="Y27" s="105"/>
      <c r="Z27" s="105"/>
    </row>
    <row r="28">
      <c r="A28" s="105" t="str">
        <f>IFERROR(__xludf.DUMMYFUNCTION("""COMPUTED_VALUE"""),"ara")</f>
        <v>ara</v>
      </c>
      <c r="B28" s="105" t="str">
        <f>IFERROR(__xludf.DUMMYFUNCTION("""COMPUTED_VALUE"""),"series_banner_ara")</f>
        <v>series_banner_ara</v>
      </c>
      <c r="C28" s="105" t="str">
        <f>IFERROR(__xludf.DUMMYFUNCTION("""COMPUTED_VALUE"""),"series_logo_ara")</f>
        <v>series_logo_ara</v>
      </c>
      <c r="D28" s="105" t="str">
        <f>IFERROR(__xludf.DUMMYFUNCTION("""COMPUTED_VALUE"""),"アラガネの子")</f>
        <v>アラガネの子</v>
      </c>
      <c r="E28" s="213" t="str">
        <f>IFERROR(__xludf.DUMMYFUNCTION("""COMPUTED_VALUE"""),"025")</f>
        <v>025</v>
      </c>
      <c r="F28" s="105" t="str">
        <f>IFERROR(__xludf.DUMMYFUNCTION("""COMPUTED_VALUE"""),"quest_image_ara_01")</f>
        <v>quest_image_ara_01</v>
      </c>
      <c r="G28" s="105"/>
      <c r="H28" s="105"/>
      <c r="I28" s="213"/>
      <c r="J28" s="105"/>
      <c r="K28" s="105"/>
      <c r="L28" s="105"/>
      <c r="M28" s="105"/>
      <c r="N28" s="105"/>
      <c r="O28" s="105"/>
      <c r="P28" s="105"/>
      <c r="Q28" s="105"/>
      <c r="R28" s="105"/>
      <c r="S28" s="105"/>
      <c r="T28" s="105"/>
      <c r="U28" s="105"/>
      <c r="V28" s="105"/>
      <c r="W28" s="105"/>
      <c r="X28" s="105"/>
      <c r="Y28" s="105"/>
      <c r="Z28" s="105"/>
    </row>
    <row r="29">
      <c r="A29" s="105" t="str">
        <f>IFERROR(__xludf.DUMMYFUNCTION("""COMPUTED_VALUE"""),"aya")</f>
        <v>aya</v>
      </c>
      <c r="B29" s="105" t="str">
        <f>IFERROR(__xludf.DUMMYFUNCTION("""COMPUTED_VALUE"""),"series_banner_aya")</f>
        <v>series_banner_aya</v>
      </c>
      <c r="C29" s="105" t="str">
        <f>IFERROR(__xludf.DUMMYFUNCTION("""COMPUTED_VALUE"""),"series_logo_aya")</f>
        <v>series_logo_aya</v>
      </c>
      <c r="D29" s="105" t="str">
        <f>IFERROR(__xludf.DUMMYFUNCTION("""COMPUTED_VALUE"""),"あやかしトライアングル")</f>
        <v>あやかしトライアングル</v>
      </c>
      <c r="E29" s="213" t="str">
        <f>IFERROR(__xludf.DUMMYFUNCTION("""COMPUTED_VALUE"""),"026")</f>
        <v>026</v>
      </c>
      <c r="F29" s="105" t="str">
        <f>IFERROR(__xludf.DUMMYFUNCTION("""COMPUTED_VALUE"""),"quest_image_aya_01")</f>
        <v>quest_image_aya_01</v>
      </c>
      <c r="G29" s="105"/>
      <c r="H29" s="105"/>
      <c r="I29" s="213"/>
      <c r="J29" s="105"/>
      <c r="K29" s="105"/>
      <c r="L29" s="105"/>
      <c r="M29" s="105"/>
      <c r="N29" s="105"/>
      <c r="O29" s="105"/>
      <c r="P29" s="105"/>
      <c r="Q29" s="105"/>
      <c r="R29" s="105"/>
      <c r="S29" s="105"/>
      <c r="T29" s="105"/>
      <c r="U29" s="105"/>
      <c r="V29" s="105"/>
      <c r="W29" s="105"/>
      <c r="X29" s="105"/>
      <c r="Y29" s="105"/>
      <c r="Z29" s="105"/>
    </row>
    <row r="30">
      <c r="A30" s="105" t="str">
        <f>IFERROR(__xludf.DUMMYFUNCTION("""COMPUTED_VALUE"""),"mar")</f>
        <v>mar</v>
      </c>
      <c r="B30" s="105" t="str">
        <f>IFERROR(__xludf.DUMMYFUNCTION("""COMPUTED_VALUE"""),"series_banner_mar")</f>
        <v>series_banner_mar</v>
      </c>
      <c r="C30" s="105" t="str">
        <f>IFERROR(__xludf.DUMMYFUNCTION("""COMPUTED_VALUE"""),"series_logo_mar")</f>
        <v>series_logo_mar</v>
      </c>
      <c r="D30" s="105" t="str">
        <f>IFERROR(__xludf.DUMMYFUNCTION("""COMPUTED_VALUE"""),"マリッジトキシン")</f>
        <v>マリッジトキシン</v>
      </c>
      <c r="E30" s="213" t="str">
        <f>IFERROR(__xludf.DUMMYFUNCTION("""COMPUTED_VALUE"""),"027")</f>
        <v>027</v>
      </c>
      <c r="F30" s="105" t="str">
        <f>IFERROR(__xludf.DUMMYFUNCTION("""COMPUTED_VALUE"""),"quest_image_mar_01")</f>
        <v>quest_image_mar_01</v>
      </c>
      <c r="G30" s="105"/>
      <c r="H30" s="105"/>
      <c r="I30" s="213"/>
      <c r="J30" s="105"/>
      <c r="K30" s="105"/>
      <c r="L30" s="105"/>
      <c r="M30" s="105"/>
      <c r="N30" s="105"/>
      <c r="O30" s="105"/>
      <c r="P30" s="105"/>
      <c r="Q30" s="105"/>
      <c r="R30" s="105"/>
      <c r="S30" s="105"/>
      <c r="T30" s="105"/>
      <c r="U30" s="105"/>
      <c r="V30" s="105"/>
      <c r="W30" s="105"/>
      <c r="X30" s="105"/>
      <c r="Y30" s="105"/>
      <c r="Z30" s="105"/>
    </row>
    <row r="31">
      <c r="A31" s="105" t="str">
        <f>IFERROR(__xludf.DUMMYFUNCTION("""COMPUTED_VALUE"""),"sib")</f>
        <v>sib</v>
      </c>
      <c r="B31" s="105" t="str">
        <f>IFERROR(__xludf.DUMMYFUNCTION("""COMPUTED_VALUE"""),"series_banner_sib")</f>
        <v>series_banner_sib</v>
      </c>
      <c r="C31" s="105" t="str">
        <f>IFERROR(__xludf.DUMMYFUNCTION("""COMPUTED_VALUE"""),"series_logo_sib")</f>
        <v>series_logo_sib</v>
      </c>
      <c r="D31" s="105" t="str">
        <f>IFERROR(__xludf.DUMMYFUNCTION("""COMPUTED_VALUE"""),"シバつき物件")</f>
        <v>シバつき物件</v>
      </c>
      <c r="E31" s="213" t="str">
        <f>IFERROR(__xludf.DUMMYFUNCTION("""COMPUTED_VALUE"""),"028")</f>
        <v>028</v>
      </c>
      <c r="F31" s="105" t="str">
        <f>IFERROR(__xludf.DUMMYFUNCTION("""COMPUTED_VALUE"""),"quest_image_sib_01")</f>
        <v>quest_image_sib_01</v>
      </c>
      <c r="G31" s="105"/>
      <c r="H31" s="105"/>
      <c r="I31" s="213"/>
      <c r="J31" s="105"/>
      <c r="K31" s="105"/>
      <c r="L31" s="105"/>
      <c r="M31" s="105"/>
      <c r="N31" s="105"/>
      <c r="O31" s="105"/>
      <c r="P31" s="105"/>
      <c r="Q31" s="105"/>
      <c r="R31" s="105"/>
      <c r="S31" s="105"/>
      <c r="T31" s="105"/>
      <c r="U31" s="105"/>
      <c r="V31" s="105"/>
      <c r="W31" s="105"/>
      <c r="X31" s="105"/>
      <c r="Y31" s="105"/>
      <c r="Z31" s="105"/>
    </row>
    <row r="32">
      <c r="A32" s="105" t="str">
        <f>IFERROR(__xludf.DUMMYFUNCTION("""COMPUTED_VALUE"""),"nek")</f>
        <v>nek</v>
      </c>
      <c r="B32" s="105" t="str">
        <f>IFERROR(__xludf.DUMMYFUNCTION("""COMPUTED_VALUE"""),"series_banner_nek")</f>
        <v>series_banner_nek</v>
      </c>
      <c r="C32" s="105" t="str">
        <f>IFERROR(__xludf.DUMMYFUNCTION("""COMPUTED_VALUE"""),"series_logo_nek")</f>
        <v>series_logo_nek</v>
      </c>
      <c r="D32" s="105" t="str">
        <f>IFERROR(__xludf.DUMMYFUNCTION("""COMPUTED_VALUE"""),"猫田びより")</f>
        <v>猫田びより</v>
      </c>
      <c r="E32" s="213" t="str">
        <f>IFERROR(__xludf.DUMMYFUNCTION("""COMPUTED_VALUE"""),"029")</f>
        <v>029</v>
      </c>
      <c r="F32" s="105" t="str">
        <f>IFERROR(__xludf.DUMMYFUNCTION("""COMPUTED_VALUE"""),"quest_image_nek_01")</f>
        <v>quest_image_nek_01</v>
      </c>
      <c r="G32" s="105"/>
      <c r="H32" s="105"/>
      <c r="I32" s="105"/>
      <c r="J32" s="105"/>
      <c r="K32" s="105"/>
      <c r="L32" s="105"/>
      <c r="M32" s="105"/>
      <c r="N32" s="105"/>
      <c r="O32" s="105"/>
      <c r="P32" s="105"/>
      <c r="Q32" s="105"/>
      <c r="R32" s="105"/>
      <c r="S32" s="105"/>
      <c r="T32" s="105"/>
      <c r="U32" s="105"/>
      <c r="V32" s="105"/>
      <c r="W32" s="105"/>
      <c r="X32" s="105"/>
      <c r="Y32" s="105"/>
      <c r="Z32" s="105"/>
    </row>
    <row r="33">
      <c r="A33" s="105" t="str">
        <f>IFERROR(__xludf.DUMMYFUNCTION("""COMPUTED_VALUE"""),"mad")</f>
        <v>mad</v>
      </c>
      <c r="B33" s="105" t="str">
        <f>IFERROR(__xludf.DUMMYFUNCTION("""COMPUTED_VALUE"""),"series_banner_mad")</f>
        <v>series_banner_mad</v>
      </c>
      <c r="C33" s="105" t="str">
        <f>IFERROR(__xludf.DUMMYFUNCTION("""COMPUTED_VALUE"""),"series_logo_mad")</f>
        <v>series_logo_mad</v>
      </c>
      <c r="D33" s="105" t="str">
        <f>IFERROR(__xludf.DUMMYFUNCTION("""COMPUTED_VALUE"""),"MAD")</f>
        <v>MAD</v>
      </c>
      <c r="E33" s="213" t="str">
        <f>IFERROR(__xludf.DUMMYFUNCTION("""COMPUTED_VALUE"""),"030")</f>
        <v>030</v>
      </c>
      <c r="F33" s="105" t="str">
        <f>IFERROR(__xludf.DUMMYFUNCTION("""COMPUTED_VALUE"""),"quest_image_mad_01")</f>
        <v>quest_image_mad_01</v>
      </c>
      <c r="G33" s="105"/>
      <c r="H33" s="105"/>
      <c r="I33" s="105"/>
      <c r="J33" s="105"/>
      <c r="K33" s="105"/>
      <c r="L33" s="105"/>
      <c r="M33" s="105"/>
      <c r="N33" s="105"/>
      <c r="O33" s="105"/>
      <c r="P33" s="105"/>
      <c r="Q33" s="105"/>
      <c r="R33" s="105"/>
      <c r="S33" s="105"/>
      <c r="T33" s="105"/>
      <c r="U33" s="105"/>
      <c r="V33" s="105"/>
      <c r="W33" s="105"/>
      <c r="X33" s="105"/>
      <c r="Y33" s="105"/>
      <c r="Z33" s="105"/>
    </row>
    <row r="34">
      <c r="A34" s="105" t="str">
        <f>IFERROR(__xludf.DUMMYFUNCTION("""COMPUTED_VALUE"""),"syu")</f>
        <v>syu</v>
      </c>
      <c r="B34" s="105" t="str">
        <f>IFERROR(__xludf.DUMMYFUNCTION("""COMPUTED_VALUE"""),"series_banner_syu")</f>
        <v>series_banner_syu</v>
      </c>
      <c r="C34" s="105" t="str">
        <f>IFERROR(__xludf.DUMMYFUNCTION("""COMPUTED_VALUE"""),"series_logo_syu")</f>
        <v>series_logo_syu</v>
      </c>
      <c r="D34" s="105" t="str">
        <f>IFERROR(__xludf.DUMMYFUNCTION("""COMPUTED_VALUE"""),"終末のハーレム")</f>
        <v>終末のハーレム</v>
      </c>
      <c r="E34" s="213" t="str">
        <f>IFERROR(__xludf.DUMMYFUNCTION("""COMPUTED_VALUE"""),"031")</f>
        <v>031</v>
      </c>
      <c r="F34" s="105" t="str">
        <f>IFERROR(__xludf.DUMMYFUNCTION("""COMPUTED_VALUE"""),"quest_image_syu_01")</f>
        <v>quest_image_syu_01</v>
      </c>
      <c r="G34" s="105"/>
      <c r="H34" s="105"/>
      <c r="I34" s="105"/>
      <c r="J34" s="105"/>
      <c r="K34" s="105"/>
      <c r="L34" s="105"/>
      <c r="M34" s="105"/>
      <c r="N34" s="105"/>
      <c r="O34" s="105"/>
      <c r="P34" s="105"/>
      <c r="Q34" s="105"/>
      <c r="R34" s="105"/>
      <c r="S34" s="105"/>
      <c r="T34" s="105"/>
      <c r="U34" s="105"/>
      <c r="V34" s="105"/>
      <c r="W34" s="105"/>
      <c r="X34" s="105"/>
      <c r="Y34" s="105"/>
      <c r="Z34" s="105"/>
    </row>
    <row r="35">
      <c r="A35" s="105" t="str">
        <f>IFERROR(__xludf.DUMMYFUNCTION("""COMPUTED_VALUE"""),"aft")</f>
        <v>aft</v>
      </c>
      <c r="B35" s="105" t="str">
        <f>IFERROR(__xludf.DUMMYFUNCTION("""COMPUTED_VALUE"""),"series_banner_aft")</f>
        <v>series_banner_aft</v>
      </c>
      <c r="C35" s="105" t="str">
        <f>IFERROR(__xludf.DUMMYFUNCTION("""COMPUTED_VALUE"""),"series_logo_aft")</f>
        <v>series_logo_aft</v>
      </c>
      <c r="D35" s="105" t="str">
        <f>IFERROR(__xludf.DUMMYFUNCTION("""COMPUTED_VALUE"""),"終末のハーレム After World")</f>
        <v>終末のハーレム After World</v>
      </c>
      <c r="E35" s="213" t="str">
        <f>IFERROR(__xludf.DUMMYFUNCTION("""COMPUTED_VALUE"""),"032")</f>
        <v>032</v>
      </c>
      <c r="F35" s="105" t="str">
        <f>IFERROR(__xludf.DUMMYFUNCTION("""COMPUTED_VALUE"""),"quest_image_aft_01")</f>
        <v>quest_image_aft_01</v>
      </c>
      <c r="G35" s="105"/>
      <c r="H35" s="105"/>
      <c r="I35" s="105"/>
      <c r="J35" s="105"/>
      <c r="K35" s="105"/>
      <c r="L35" s="105"/>
      <c r="M35" s="105"/>
      <c r="N35" s="105"/>
      <c r="O35" s="105"/>
      <c r="P35" s="105"/>
      <c r="Q35" s="105"/>
      <c r="R35" s="105"/>
      <c r="S35" s="105"/>
      <c r="T35" s="105"/>
      <c r="U35" s="105"/>
      <c r="V35" s="105"/>
      <c r="W35" s="105"/>
      <c r="X35" s="105"/>
      <c r="Y35" s="105"/>
      <c r="Z35" s="105"/>
    </row>
    <row r="36">
      <c r="A36" s="105" t="str">
        <f>IFERROR(__xludf.DUMMYFUNCTION("""COMPUTED_VALUE"""),"fan")</f>
        <v>fan</v>
      </c>
      <c r="B36" s="105" t="str">
        <f>IFERROR(__xludf.DUMMYFUNCTION("""COMPUTED_VALUE"""),"series_banner_fan")</f>
        <v>series_banner_fan</v>
      </c>
      <c r="C36" s="105" t="str">
        <f>IFERROR(__xludf.DUMMYFUNCTION("""COMPUTED_VALUE"""),"series_logo_fan")</f>
        <v>series_logo_fan</v>
      </c>
      <c r="D36" s="105" t="str">
        <f>IFERROR(__xludf.DUMMYFUNCTION("""COMPUTED_VALUE"""),"終末のハーレム ファンタジア")</f>
        <v>終末のハーレム ファンタジア</v>
      </c>
      <c r="E36" s="213" t="str">
        <f>IFERROR(__xludf.DUMMYFUNCTION("""COMPUTED_VALUE"""),"033")</f>
        <v>033</v>
      </c>
      <c r="F36" s="105" t="str">
        <f>IFERROR(__xludf.DUMMYFUNCTION("""COMPUTED_VALUE"""),"quest_image_fan_01")</f>
        <v>quest_image_fan_01</v>
      </c>
      <c r="G36" s="105"/>
      <c r="H36" s="105"/>
      <c r="I36" s="105"/>
      <c r="J36" s="105"/>
      <c r="K36" s="105"/>
      <c r="L36" s="105"/>
      <c r="M36" s="105"/>
      <c r="N36" s="105"/>
      <c r="O36" s="105"/>
      <c r="P36" s="105"/>
      <c r="Q36" s="105"/>
      <c r="R36" s="105"/>
      <c r="S36" s="105"/>
      <c r="T36" s="105"/>
      <c r="U36" s="105"/>
      <c r="V36" s="105"/>
      <c r="W36" s="105"/>
      <c r="X36" s="105"/>
      <c r="Y36" s="105"/>
      <c r="Z36" s="105"/>
    </row>
    <row r="37">
      <c r="A37" s="105" t="str">
        <f>IFERROR(__xludf.DUMMYFUNCTION("""COMPUTED_VALUE"""),"kut")</f>
        <v>kut</v>
      </c>
      <c r="B37" s="105" t="str">
        <f>IFERROR(__xludf.DUMMYFUNCTION("""COMPUTED_VALUE"""),"series_banner_kut")</f>
        <v>series_banner_kut</v>
      </c>
      <c r="C37" s="105" t="str">
        <f>IFERROR(__xludf.DUMMYFUNCTION("""COMPUTED_VALUE"""),"series_logo_kut")</f>
        <v>series_logo_kut</v>
      </c>
      <c r="D37" s="105" t="str">
        <f>IFERROR(__xludf.DUMMYFUNCTION("""COMPUTED_VALUE"""),"口が裂けても君には")</f>
        <v>口が裂けても君には</v>
      </c>
      <c r="E37" s="213" t="str">
        <f>IFERROR(__xludf.DUMMYFUNCTION("""COMPUTED_VALUE"""),"034")</f>
        <v>034</v>
      </c>
      <c r="F37" s="105" t="str">
        <f>IFERROR(__xludf.DUMMYFUNCTION("""COMPUTED_VALUE"""),"quest_image_kut_01")</f>
        <v>quest_image_kut_01</v>
      </c>
      <c r="G37" s="105"/>
      <c r="H37" s="105"/>
      <c r="I37" s="105"/>
      <c r="J37" s="105"/>
      <c r="K37" s="105"/>
      <c r="L37" s="105"/>
      <c r="M37" s="105"/>
      <c r="N37" s="105"/>
      <c r="O37" s="105"/>
      <c r="P37" s="105"/>
      <c r="Q37" s="105"/>
      <c r="R37" s="105"/>
      <c r="S37" s="105"/>
      <c r="T37" s="105"/>
      <c r="U37" s="105"/>
      <c r="V37" s="105"/>
      <c r="W37" s="105"/>
      <c r="X37" s="105"/>
      <c r="Y37" s="105"/>
      <c r="Z37" s="105"/>
    </row>
    <row r="38">
      <c r="A38" s="105" t="str">
        <f>IFERROR(__xludf.DUMMYFUNCTION("""COMPUTED_VALUE"""),"san")</f>
        <v>san</v>
      </c>
      <c r="B38" s="105" t="str">
        <f>IFERROR(__xludf.DUMMYFUNCTION("""COMPUTED_VALUE"""),"series_banner_san")</f>
        <v>series_banner_san</v>
      </c>
      <c r="C38" s="105" t="str">
        <f>IFERROR(__xludf.DUMMYFUNCTION("""COMPUTED_VALUE"""),"series_logo_san")</f>
        <v>series_logo_san</v>
      </c>
      <c r="D38" s="105" t="str">
        <f>IFERROR(__xludf.DUMMYFUNCTION("""COMPUTED_VALUE"""),"サンキューピッチ")</f>
        <v>サンキューピッチ</v>
      </c>
      <c r="E38" s="213" t="str">
        <f>IFERROR(__xludf.DUMMYFUNCTION("""COMPUTED_VALUE"""),"035")</f>
        <v>035</v>
      </c>
      <c r="F38" s="105" t="str">
        <f>IFERROR(__xludf.DUMMYFUNCTION("""COMPUTED_VALUE"""),"quest_image_san_01")</f>
        <v>quest_image_san_01</v>
      </c>
      <c r="G38" s="105"/>
      <c r="H38" s="105"/>
      <c r="I38" s="105"/>
      <c r="J38" s="105"/>
      <c r="K38" s="105"/>
      <c r="L38" s="105"/>
      <c r="M38" s="105"/>
      <c r="N38" s="105"/>
      <c r="O38" s="105"/>
      <c r="P38" s="105"/>
      <c r="Q38" s="105"/>
      <c r="R38" s="105"/>
      <c r="S38" s="105"/>
      <c r="T38" s="105"/>
      <c r="U38" s="105"/>
      <c r="V38" s="105"/>
      <c r="W38" s="105"/>
      <c r="X38" s="105"/>
      <c r="Y38" s="105"/>
      <c r="Z38" s="105"/>
    </row>
    <row r="39">
      <c r="A39" s="105" t="str">
        <f>IFERROR(__xludf.DUMMYFUNCTION("""COMPUTED_VALUE"""),"kus")</f>
        <v>kus</v>
      </c>
      <c r="B39" s="105" t="str">
        <f>IFERROR(__xludf.DUMMYFUNCTION("""COMPUTED_VALUE"""),"series_banner_kus")</f>
        <v>series_banner_kus</v>
      </c>
      <c r="C39" s="105" t="str">
        <f>IFERROR(__xludf.DUMMYFUNCTION("""COMPUTED_VALUE"""),"series_logo_kus")</f>
        <v>series_logo_kus</v>
      </c>
      <c r="D39" s="105" t="str">
        <f>IFERROR(__xludf.DUMMYFUNCTION("""COMPUTED_VALUE"""),"クソ女に幸あれ")</f>
        <v>クソ女に幸あれ</v>
      </c>
      <c r="E39" s="213" t="str">
        <f>IFERROR(__xludf.DUMMYFUNCTION("""COMPUTED_VALUE"""),"036")</f>
        <v>036</v>
      </c>
      <c r="F39" s="105" t="str">
        <f>IFERROR(__xludf.DUMMYFUNCTION("""COMPUTED_VALUE"""),"quest_image_kus_01")</f>
        <v>quest_image_kus_01</v>
      </c>
      <c r="G39" s="105"/>
      <c r="H39" s="105"/>
      <c r="I39" s="105"/>
      <c r="J39" s="105"/>
      <c r="K39" s="105"/>
      <c r="L39" s="105"/>
      <c r="M39" s="105"/>
      <c r="N39" s="105"/>
      <c r="O39" s="105"/>
      <c r="P39" s="105"/>
      <c r="Q39" s="105"/>
      <c r="R39" s="105"/>
      <c r="S39" s="105"/>
      <c r="T39" s="105"/>
      <c r="U39" s="105"/>
      <c r="V39" s="105"/>
      <c r="W39" s="105"/>
      <c r="X39" s="105"/>
      <c r="Y39" s="105"/>
      <c r="Z39" s="105"/>
    </row>
    <row r="40">
      <c r="A40" s="105" t="str">
        <f>IFERROR(__xludf.DUMMYFUNCTION("""COMPUTED_VALUE"""),"han")</f>
        <v>han</v>
      </c>
      <c r="B40" s="105" t="str">
        <f>IFERROR(__xludf.DUMMYFUNCTION("""COMPUTED_VALUE"""),"series_banner_han")</f>
        <v>series_banner_han</v>
      </c>
      <c r="C40" s="105" t="str">
        <f>IFERROR(__xludf.DUMMYFUNCTION("""COMPUTED_VALUE"""),"series_logo_han")</f>
        <v>series_logo_han</v>
      </c>
      <c r="D40" s="105" t="str">
        <f>IFERROR(__xludf.DUMMYFUNCTION("""COMPUTED_VALUE"""),"半人前の恋人")</f>
        <v>半人前の恋人</v>
      </c>
      <c r="E40" s="213" t="str">
        <f>IFERROR(__xludf.DUMMYFUNCTION("""COMPUTED_VALUE"""),"037")</f>
        <v>037</v>
      </c>
      <c r="F40" s="105" t="str">
        <f>IFERROR(__xludf.DUMMYFUNCTION("""COMPUTED_VALUE"""),"quest_image_han_01")</f>
        <v>quest_image_han_01</v>
      </c>
      <c r="G40" s="105"/>
      <c r="H40" s="105"/>
      <c r="I40" s="105"/>
      <c r="J40" s="105"/>
      <c r="K40" s="105"/>
      <c r="L40" s="105"/>
      <c r="M40" s="105"/>
      <c r="N40" s="105"/>
      <c r="O40" s="105"/>
      <c r="P40" s="105"/>
      <c r="Q40" s="105"/>
      <c r="R40" s="105"/>
      <c r="S40" s="105"/>
      <c r="T40" s="105"/>
      <c r="U40" s="105"/>
      <c r="V40" s="105"/>
      <c r="W40" s="105"/>
      <c r="X40" s="105"/>
      <c r="Y40" s="105"/>
      <c r="Z40" s="105"/>
    </row>
    <row r="41">
      <c r="A41" s="105" t="str">
        <f>IFERROR(__xludf.DUMMYFUNCTION("""COMPUTED_VALUE"""),"kub")</f>
        <v>kub</v>
      </c>
      <c r="B41" s="105" t="str">
        <f>IFERROR(__xludf.DUMMYFUNCTION("""COMPUTED_VALUE"""),"series_banner_kub")</f>
        <v>series_banner_kub</v>
      </c>
      <c r="C41" s="105" t="str">
        <f>IFERROR(__xludf.DUMMYFUNCTION("""COMPUTED_VALUE"""),"series_logo_kub")</f>
        <v>series_logo_kub</v>
      </c>
      <c r="D41" s="105" t="str">
        <f>IFERROR(__xludf.DUMMYFUNCTION("""COMPUTED_VALUE"""),"久保さんは僕を許さない")</f>
        <v>久保さんは僕を許さない</v>
      </c>
      <c r="E41" s="213" t="str">
        <f>IFERROR(__xludf.DUMMYFUNCTION("""COMPUTED_VALUE"""),"038")</f>
        <v>038</v>
      </c>
      <c r="F41" s="105" t="str">
        <f>IFERROR(__xludf.DUMMYFUNCTION("""COMPUTED_VALUE"""),"quest_image_kub_01")</f>
        <v>quest_image_kub_01</v>
      </c>
      <c r="G41" s="105"/>
      <c r="H41" s="105"/>
      <c r="I41" s="105"/>
      <c r="J41" s="105"/>
      <c r="K41" s="105"/>
      <c r="L41" s="105"/>
      <c r="M41" s="105"/>
      <c r="N41" s="105"/>
      <c r="O41" s="105"/>
      <c r="P41" s="105"/>
      <c r="Q41" s="105"/>
      <c r="R41" s="105"/>
      <c r="S41" s="105"/>
      <c r="T41" s="105"/>
      <c r="U41" s="105"/>
      <c r="V41" s="105"/>
      <c r="W41" s="105"/>
      <c r="X41" s="105"/>
      <c r="Y41" s="105"/>
      <c r="Z41" s="105"/>
    </row>
    <row r="42">
      <c r="A42" s="105" t="str">
        <f>IFERROR(__xludf.DUMMYFUNCTION("""COMPUTED_VALUE"""),"sei")</f>
        <v>sei</v>
      </c>
      <c r="B42" s="105" t="str">
        <f>IFERROR(__xludf.DUMMYFUNCTION("""COMPUTED_VALUE"""),"series_banner_sei")</f>
        <v>series_banner_sei</v>
      </c>
      <c r="C42" s="105" t="str">
        <f>IFERROR(__xludf.DUMMYFUNCTION("""COMPUTED_VALUE"""),"series_logo_sei")</f>
        <v>series_logo_sei</v>
      </c>
      <c r="D42" s="105" t="str">
        <f>IFERROR(__xludf.DUMMYFUNCTION("""COMPUTED_VALUE"""),"正反対な君と僕")</f>
        <v>正反対な君と僕</v>
      </c>
      <c r="E42" s="213" t="str">
        <f>IFERROR(__xludf.DUMMYFUNCTION("""COMPUTED_VALUE"""),"039")</f>
        <v>039</v>
      </c>
      <c r="F42" s="105" t="str">
        <f>IFERROR(__xludf.DUMMYFUNCTION("""COMPUTED_VALUE"""),"quest_image_sei_01")</f>
        <v>quest_image_sei_01</v>
      </c>
      <c r="G42" s="105"/>
      <c r="H42" s="105"/>
      <c r="I42" s="105"/>
      <c r="J42" s="105"/>
      <c r="K42" s="105"/>
      <c r="L42" s="105"/>
      <c r="M42" s="105"/>
      <c r="N42" s="105"/>
      <c r="O42" s="105"/>
      <c r="P42" s="105"/>
      <c r="Q42" s="105"/>
      <c r="R42" s="105"/>
      <c r="S42" s="105"/>
      <c r="T42" s="105"/>
      <c r="U42" s="105"/>
      <c r="V42" s="105"/>
      <c r="W42" s="105"/>
      <c r="X42" s="105"/>
      <c r="Y42" s="105"/>
      <c r="Z42" s="105"/>
    </row>
    <row r="43">
      <c r="A43" s="105" t="str">
        <f>IFERROR(__xludf.DUMMYFUNCTION("""COMPUTED_VALUE"""),"kaw")</f>
        <v>kaw</v>
      </c>
      <c r="B43" s="105" t="str">
        <f>IFERROR(__xludf.DUMMYFUNCTION("""COMPUTED_VALUE"""),"series_banner_kaw")</f>
        <v>series_banner_kaw</v>
      </c>
      <c r="C43" s="105" t="str">
        <f>IFERROR(__xludf.DUMMYFUNCTION("""COMPUTED_VALUE"""),"series_logo_kaw")</f>
        <v>series_logo_kaw</v>
      </c>
      <c r="D43" s="105" t="str">
        <f>IFERROR(__xludf.DUMMYFUNCTION("""COMPUTED_VALUE"""),"カワイスギクライシス")</f>
        <v>カワイスギクライシス</v>
      </c>
      <c r="E43" s="213" t="str">
        <f>IFERROR(__xludf.DUMMYFUNCTION("""COMPUTED_VALUE"""),"040")</f>
        <v>040</v>
      </c>
      <c r="F43" s="105" t="str">
        <f>IFERROR(__xludf.DUMMYFUNCTION("""COMPUTED_VALUE"""),"quest_image_kaw_01")</f>
        <v>quest_image_kaw_01</v>
      </c>
      <c r="G43" s="105"/>
      <c r="H43" s="105"/>
      <c r="I43" s="105"/>
      <c r="J43" s="105"/>
      <c r="K43" s="105"/>
      <c r="L43" s="105"/>
      <c r="M43" s="105"/>
      <c r="N43" s="105"/>
      <c r="O43" s="105"/>
      <c r="P43" s="105"/>
      <c r="Q43" s="105"/>
      <c r="R43" s="105"/>
      <c r="S43" s="105"/>
      <c r="T43" s="105"/>
      <c r="U43" s="105"/>
      <c r="V43" s="105"/>
      <c r="W43" s="105"/>
      <c r="X43" s="105"/>
      <c r="Y43" s="105"/>
      <c r="Z43" s="105"/>
    </row>
    <row r="44">
      <c r="A44" s="105" t="str">
        <f>IFERROR(__xludf.DUMMYFUNCTION("""COMPUTED_VALUE"""),"c8m")</f>
        <v>c8m</v>
      </c>
      <c r="B44" s="105" t="str">
        <f>IFERROR(__xludf.DUMMYFUNCTION("""COMPUTED_VALUE"""),"series_banner_c8m")</f>
        <v>series_banner_c8m</v>
      </c>
      <c r="C44" s="105" t="str">
        <f>IFERROR(__xludf.DUMMYFUNCTION("""COMPUTED_VALUE"""),"series_logo_c8m")</f>
        <v>series_logo_c8m</v>
      </c>
      <c r="D44" s="105" t="str">
        <f>IFERROR(__xludf.DUMMYFUNCTION("""COMPUTED_VALUE"""),"ちえりの恋は8メートル")</f>
        <v>ちえりの恋は8メートル</v>
      </c>
      <c r="E44" s="213" t="str">
        <f>IFERROR(__xludf.DUMMYFUNCTION("""COMPUTED_VALUE"""),"041")</f>
        <v>041</v>
      </c>
      <c r="F44" s="105" t="str">
        <f>IFERROR(__xludf.DUMMYFUNCTION("""COMPUTED_VALUE"""),"quest_image_c8m_01")</f>
        <v>quest_image_c8m_01</v>
      </c>
      <c r="G44" s="105"/>
      <c r="H44" s="105"/>
      <c r="I44" s="105"/>
      <c r="J44" s="105"/>
      <c r="K44" s="105"/>
      <c r="L44" s="105"/>
      <c r="M44" s="105"/>
      <c r="N44" s="105"/>
      <c r="O44" s="105"/>
      <c r="P44" s="105"/>
      <c r="Q44" s="105"/>
      <c r="R44" s="105"/>
      <c r="S44" s="105"/>
      <c r="T44" s="105"/>
      <c r="U44" s="105"/>
      <c r="V44" s="105"/>
      <c r="W44" s="105"/>
      <c r="X44" s="105"/>
      <c r="Y44" s="105"/>
      <c r="Z44" s="105"/>
    </row>
    <row r="45">
      <c r="A45" s="105" t="str">
        <f>IFERROR(__xludf.DUMMYFUNCTION("""COMPUTED_VALUE"""),"vig")</f>
        <v>vig</v>
      </c>
      <c r="B45" s="105" t="str">
        <f>IFERROR(__xludf.DUMMYFUNCTION("""COMPUTED_VALUE"""),"series_banner_vig")</f>
        <v>series_banner_vig</v>
      </c>
      <c r="C45" s="105" t="str">
        <f>IFERROR(__xludf.DUMMYFUNCTION("""COMPUTED_VALUE"""),"series_logo_vig")</f>
        <v>series_logo_vig</v>
      </c>
      <c r="D45" s="105" t="str">
        <f>IFERROR(__xludf.DUMMYFUNCTION("""COMPUTED_VALUE"""),"ヴィジランテ-僕のヒーローアカデミア ILLEGALS-")</f>
        <v>ヴィジランテ-僕のヒーローアカデミア ILLEGALS-</v>
      </c>
      <c r="E45" s="213" t="str">
        <f>IFERROR(__xludf.DUMMYFUNCTION("""COMPUTED_VALUE"""),"042")</f>
        <v>042</v>
      </c>
      <c r="F45" s="105" t="str">
        <f>IFERROR(__xludf.DUMMYFUNCTION("""COMPUTED_VALUE"""),"quest_image_vig_01")</f>
        <v>quest_image_vig_01</v>
      </c>
      <c r="G45" s="105"/>
      <c r="H45" s="105"/>
      <c r="I45" s="105"/>
      <c r="J45" s="105"/>
      <c r="K45" s="105"/>
      <c r="L45" s="105"/>
      <c r="M45" s="105"/>
      <c r="N45" s="105"/>
      <c r="O45" s="105"/>
      <c r="P45" s="105"/>
      <c r="Q45" s="105"/>
      <c r="R45" s="105"/>
      <c r="S45" s="105"/>
      <c r="T45" s="105"/>
      <c r="U45" s="105"/>
      <c r="V45" s="105"/>
      <c r="W45" s="105"/>
      <c r="X45" s="105"/>
      <c r="Y45" s="105"/>
      <c r="Z45" s="105"/>
    </row>
    <row r="46">
      <c r="A46" s="105" t="str">
        <f>IFERROR(__xludf.DUMMYFUNCTION("""COMPUTED_VALUE"""),"ssm")</f>
        <v>ssm</v>
      </c>
      <c r="B46" s="105" t="str">
        <f>IFERROR(__xludf.DUMMYFUNCTION("""COMPUTED_VALUE"""),"series_banner_ssm")</f>
        <v>series_banner_ssm</v>
      </c>
      <c r="C46" s="105" t="str">
        <f>IFERROR(__xludf.DUMMYFUNCTION("""COMPUTED_VALUE"""),"series_logo_ssm")</f>
        <v>series_logo_ssm</v>
      </c>
      <c r="D46" s="105" t="str">
        <f>IFERROR(__xludf.DUMMYFUNCTION("""COMPUTED_VALUE"""),"すすめ！ジャンプへっぽこ探検隊！")</f>
        <v>すすめ！ジャンプへっぽこ探検隊！</v>
      </c>
      <c r="E46" s="213" t="str">
        <f>IFERROR(__xludf.DUMMYFUNCTION("""COMPUTED_VALUE"""),"043")</f>
        <v>043</v>
      </c>
      <c r="F46" s="105" t="str">
        <f>IFERROR(__xludf.DUMMYFUNCTION("""COMPUTED_VALUE"""),"quest_image_ssm_01")</f>
        <v>quest_image_ssm_01</v>
      </c>
      <c r="G46" s="105"/>
      <c r="H46" s="105"/>
      <c r="I46" s="105"/>
      <c r="J46" s="105"/>
      <c r="K46" s="105"/>
      <c r="L46" s="105"/>
      <c r="M46" s="105"/>
      <c r="N46" s="105"/>
      <c r="O46" s="105"/>
      <c r="P46" s="105"/>
      <c r="Q46" s="105"/>
      <c r="R46" s="105"/>
      <c r="S46" s="105"/>
      <c r="T46" s="105"/>
      <c r="U46" s="105"/>
      <c r="V46" s="105"/>
      <c r="W46" s="105"/>
      <c r="X46" s="105"/>
      <c r="Y46" s="105"/>
      <c r="Z46" s="105"/>
    </row>
    <row r="47">
      <c r="A47" s="105" t="str">
        <f>IFERROR(__xludf.DUMMYFUNCTION("""COMPUTED_VALUE"""),"eiu")</f>
        <v>eiu</v>
      </c>
      <c r="B47" s="105" t="str">
        <f>IFERROR(__xludf.DUMMYFUNCTION("""COMPUTED_VALUE"""),"series_banner_eiu")</f>
        <v>series_banner_eiu</v>
      </c>
      <c r="C47" s="105" t="str">
        <f>IFERROR(__xludf.DUMMYFUNCTION("""COMPUTED_VALUE"""),"series_logo_eiu")</f>
        <v>series_logo_eiu</v>
      </c>
      <c r="D47" s="105" t="str">
        <f>IFERROR(__xludf.DUMMYFUNCTION("""COMPUTED_VALUE"""),"英雄機関")</f>
        <v>英雄機関</v>
      </c>
      <c r="E47" s="213" t="str">
        <f>IFERROR(__xludf.DUMMYFUNCTION("""COMPUTED_VALUE"""),"044")</f>
        <v>044</v>
      </c>
      <c r="F47" s="105" t="str">
        <f>IFERROR(__xludf.DUMMYFUNCTION("""COMPUTED_VALUE"""),"quest_image_eiu_01")</f>
        <v>quest_image_eiu_01</v>
      </c>
      <c r="G47" s="105"/>
      <c r="H47" s="105"/>
      <c r="I47" s="105"/>
      <c r="J47" s="105"/>
      <c r="K47" s="105"/>
      <c r="L47" s="105"/>
      <c r="M47" s="105"/>
      <c r="N47" s="105"/>
      <c r="O47" s="105"/>
      <c r="P47" s="105"/>
      <c r="Q47" s="105"/>
      <c r="R47" s="105"/>
      <c r="S47" s="105"/>
      <c r="T47" s="105"/>
      <c r="U47" s="105"/>
      <c r="V47" s="105"/>
      <c r="W47" s="105"/>
      <c r="X47" s="105"/>
      <c r="Y47" s="105"/>
      <c r="Z47" s="105"/>
    </row>
    <row r="48">
      <c r="A48" s="105" t="str">
        <f>IFERROR(__xludf.DUMMYFUNCTION("""COMPUTED_VALUE"""),"exo")</f>
        <v>exo</v>
      </c>
      <c r="B48" s="105" t="str">
        <f>IFERROR(__xludf.DUMMYFUNCTION("""COMPUTED_VALUE"""),"series_banner_exo")</f>
        <v>series_banner_exo</v>
      </c>
      <c r="C48" s="105" t="str">
        <f>IFERROR(__xludf.DUMMYFUNCTION("""COMPUTED_VALUE"""),"series_logo_exo")</f>
        <v>series_logo_exo</v>
      </c>
      <c r="D48" s="105" t="str">
        <f>IFERROR(__xludf.DUMMYFUNCTION("""COMPUTED_VALUE"""),"エクソシストを堕とせない")</f>
        <v>エクソシストを堕とせない</v>
      </c>
      <c r="E48" s="213" t="str">
        <f>IFERROR(__xludf.DUMMYFUNCTION("""COMPUTED_VALUE"""),"045")</f>
        <v>045</v>
      </c>
      <c r="F48" s="105" t="str">
        <f>IFERROR(__xludf.DUMMYFUNCTION("""COMPUTED_VALUE"""),"quest_image_exo_01")</f>
        <v>quest_image_exo_01</v>
      </c>
      <c r="G48" s="105"/>
      <c r="H48" s="105"/>
      <c r="I48" s="105"/>
      <c r="J48" s="105"/>
      <c r="K48" s="105"/>
      <c r="L48" s="105"/>
      <c r="M48" s="105"/>
      <c r="N48" s="105"/>
      <c r="O48" s="105"/>
      <c r="P48" s="105"/>
      <c r="Q48" s="105"/>
      <c r="R48" s="105"/>
      <c r="S48" s="105"/>
      <c r="T48" s="105"/>
      <c r="U48" s="105"/>
      <c r="V48" s="105"/>
      <c r="W48" s="105"/>
      <c r="X48" s="105"/>
      <c r="Y48" s="105"/>
      <c r="Z48" s="105"/>
    </row>
    <row r="49">
      <c r="A49" s="105" t="str">
        <f>IFERROR(__xludf.DUMMYFUNCTION("""COMPUTED_VALUE"""),"oto")</f>
        <v>oto</v>
      </c>
      <c r="B49" s="105" t="str">
        <f>IFERROR(__xludf.DUMMYFUNCTION("""COMPUTED_VALUE"""),"series_banner_oto")</f>
        <v>series_banner_oto</v>
      </c>
      <c r="C49" s="105" t="str">
        <f>IFERROR(__xludf.DUMMYFUNCTION("""COMPUTED_VALUE"""),"series_logo_oto")</f>
        <v>series_logo_oto</v>
      </c>
      <c r="D49" s="105" t="str">
        <f>IFERROR(__xludf.DUMMYFUNCTION("""COMPUTED_VALUE"""),"大人大戦")</f>
        <v>大人大戦</v>
      </c>
      <c r="E49" s="213" t="str">
        <f>IFERROR(__xludf.DUMMYFUNCTION("""COMPUTED_VALUE"""),"046")</f>
        <v>046</v>
      </c>
      <c r="F49" s="105" t="str">
        <f>IFERROR(__xludf.DUMMYFUNCTION("""COMPUTED_VALUE"""),"quest_image_oto_01")</f>
        <v>quest_image_oto_01</v>
      </c>
      <c r="G49" s="105"/>
      <c r="H49" s="105"/>
      <c r="I49" s="105"/>
      <c r="J49" s="105"/>
      <c r="K49" s="105"/>
      <c r="L49" s="105"/>
      <c r="M49" s="105"/>
      <c r="N49" s="105"/>
      <c r="O49" s="105"/>
      <c r="P49" s="105"/>
      <c r="Q49" s="105"/>
      <c r="R49" s="105"/>
      <c r="S49" s="105"/>
      <c r="T49" s="105"/>
      <c r="U49" s="105"/>
      <c r="V49" s="105"/>
      <c r="W49" s="105"/>
      <c r="X49" s="105"/>
      <c r="Y49" s="105"/>
      <c r="Z49" s="105"/>
    </row>
    <row r="50">
      <c r="A50" s="105"/>
      <c r="B50" s="105" t="str">
        <f>IFERROR(__xludf.DUMMYFUNCTION("""COMPUTED_VALUE"""),"series_banner_")</f>
        <v>series_banner_</v>
      </c>
      <c r="C50" s="105" t="str">
        <f>IFERROR(__xludf.DUMMYFUNCTION("""COMPUTED_VALUE"""),"series_logo_")</f>
        <v>series_logo_</v>
      </c>
      <c r="D50" s="105"/>
      <c r="E50" s="105"/>
      <c r="F50" s="105"/>
      <c r="G50" s="105"/>
      <c r="H50" s="105"/>
      <c r="I50" s="105"/>
      <c r="J50" s="105"/>
      <c r="K50" s="105"/>
      <c r="L50" s="105"/>
      <c r="M50" s="105"/>
      <c r="N50" s="105"/>
      <c r="O50" s="105"/>
      <c r="P50" s="105"/>
      <c r="Q50" s="105"/>
      <c r="R50" s="105"/>
      <c r="S50" s="105"/>
      <c r="T50" s="105"/>
      <c r="U50" s="105"/>
      <c r="V50" s="105"/>
      <c r="W50" s="105"/>
      <c r="X50" s="105"/>
      <c r="Y50" s="105"/>
      <c r="Z50" s="105"/>
    </row>
    <row r="51">
      <c r="A51" s="105"/>
      <c r="B51" s="105" t="str">
        <f>IFERROR(__xludf.DUMMYFUNCTION("""COMPUTED_VALUE"""),"series_banner_")</f>
        <v>series_banner_</v>
      </c>
      <c r="C51" s="105" t="str">
        <f>IFERROR(__xludf.DUMMYFUNCTION("""COMPUTED_VALUE"""),"series_logo_")</f>
        <v>series_logo_</v>
      </c>
      <c r="D51" s="105"/>
      <c r="E51" s="105"/>
      <c r="F51" s="105"/>
      <c r="G51" s="105"/>
      <c r="H51" s="105"/>
      <c r="I51" s="105"/>
      <c r="J51" s="105"/>
      <c r="K51" s="105"/>
      <c r="L51" s="105"/>
      <c r="M51" s="105"/>
      <c r="N51" s="105"/>
      <c r="O51" s="105"/>
      <c r="P51" s="105"/>
      <c r="Q51" s="105"/>
      <c r="R51" s="105"/>
      <c r="S51" s="105"/>
      <c r="T51" s="105"/>
      <c r="U51" s="105"/>
      <c r="V51" s="105"/>
      <c r="W51" s="105"/>
      <c r="X51" s="105"/>
      <c r="Y51" s="105"/>
      <c r="Z51" s="105"/>
    </row>
    <row r="52">
      <c r="A52" s="105"/>
      <c r="B52" s="105" t="str">
        <f>IFERROR(__xludf.DUMMYFUNCTION("""COMPUTED_VALUE"""),"series_banner_")</f>
        <v>series_banner_</v>
      </c>
      <c r="C52" s="105" t="str">
        <f>IFERROR(__xludf.DUMMYFUNCTION("""COMPUTED_VALUE"""),"series_logo_")</f>
        <v>series_logo_</v>
      </c>
      <c r="D52" s="105"/>
      <c r="E52" s="105"/>
      <c r="F52" s="105"/>
      <c r="G52" s="105"/>
      <c r="H52" s="105"/>
      <c r="I52" s="105"/>
      <c r="J52" s="105"/>
      <c r="K52" s="105"/>
      <c r="L52" s="105"/>
      <c r="M52" s="105"/>
      <c r="N52" s="105"/>
      <c r="O52" s="105"/>
      <c r="P52" s="105"/>
      <c r="Q52" s="105"/>
      <c r="R52" s="105"/>
      <c r="S52" s="105"/>
      <c r="T52" s="105"/>
      <c r="U52" s="105"/>
      <c r="V52" s="105"/>
      <c r="W52" s="105"/>
      <c r="X52" s="105"/>
      <c r="Y52" s="105"/>
      <c r="Z52" s="105"/>
    </row>
    <row r="53">
      <c r="A53" s="105" t="str">
        <f>IFERROR(__xludf.DUMMYFUNCTION("""COMPUTED_VALUE"""),"▼GLOWオリジナルイベント（アニバーサリーや季節イベントなど）")</f>
        <v>▼GLOWオリジナルイベント（アニバーサリーや季節イベントなど）</v>
      </c>
      <c r="B53" s="105"/>
      <c r="C53" s="105"/>
      <c r="D53" s="105"/>
      <c r="E53" s="105"/>
      <c r="F53" s="105"/>
      <c r="G53" s="105"/>
      <c r="H53" s="105"/>
      <c r="I53" s="105"/>
      <c r="J53" s="105"/>
      <c r="K53" s="105"/>
      <c r="L53" s="105"/>
      <c r="M53" s="105"/>
      <c r="N53" s="105"/>
      <c r="O53" s="105"/>
      <c r="P53" s="105"/>
      <c r="Q53" s="105"/>
      <c r="R53" s="105"/>
      <c r="S53" s="105"/>
      <c r="T53" s="105"/>
      <c r="U53" s="105"/>
      <c r="V53" s="105"/>
      <c r="W53" s="105"/>
      <c r="X53" s="105"/>
      <c r="Y53" s="105"/>
      <c r="Z53" s="105"/>
    </row>
    <row r="54">
      <c r="A54" s="105" t="str">
        <f>IFERROR(__xludf.DUMMYFUNCTION("""COMPUTED_VALUE"""),"glo")</f>
        <v>glo</v>
      </c>
      <c r="B54" s="105"/>
      <c r="C54" s="105" t="str">
        <f>IFERROR(__xludf.DUMMYFUNCTION("""COMPUTED_VALUE"""),"series_logo_glo")</f>
        <v>series_logo_glo</v>
      </c>
      <c r="D54" s="105" t="str">
        <f>IFERROR(__xludf.DUMMYFUNCTION("""COMPUTED_VALUE"""),"GLOW")</f>
        <v>GLOW</v>
      </c>
      <c r="E54" s="213" t="str">
        <f>IFERROR(__xludf.DUMMYFUNCTION("""COMPUTED_VALUE"""),"999")</f>
        <v>999</v>
      </c>
      <c r="F54" s="105" t="str">
        <f>IFERROR(__xludf.DUMMYFUNCTION("""COMPUTED_VALUE"""),"quest_image_glo_01")</f>
        <v>quest_image_glo_01</v>
      </c>
      <c r="G54" s="105"/>
      <c r="H54" s="105"/>
      <c r="I54" s="105"/>
      <c r="J54" s="105"/>
      <c r="K54" s="105"/>
      <c r="L54" s="105"/>
      <c r="M54" s="105"/>
      <c r="N54" s="105"/>
      <c r="O54" s="105"/>
      <c r="P54" s="105"/>
      <c r="Q54" s="105"/>
      <c r="R54" s="105"/>
      <c r="S54" s="105"/>
      <c r="T54" s="105"/>
      <c r="U54" s="105"/>
      <c r="V54" s="105"/>
      <c r="W54" s="105"/>
      <c r="X54" s="105"/>
      <c r="Y54" s="105"/>
      <c r="Z54" s="105"/>
    </row>
    <row r="55">
      <c r="A55" s="105" t="str">
        <f>IFERROR(__xludf.DUMMYFUNCTION("""COMPUTED_VALUE"""),"f05anniv")</f>
        <v>f05anniv</v>
      </c>
      <c r="B55" s="105"/>
      <c r="C55" s="105" t="str">
        <f>IFERROR(__xludf.DUMMYFUNCTION("""COMPUTED_VALUE"""),"series_logo_f05anniv")</f>
        <v>series_logo_f05anniv</v>
      </c>
      <c r="D55" s="105" t="str">
        <f>IFERROR(__xludf.DUMMYFUNCTION("""COMPUTED_VALUE"""),"ハーフアニバーサリー 感謝祭！前半")</f>
        <v>ハーフアニバーサリー 感謝祭！前半</v>
      </c>
      <c r="E55" s="213" t="str">
        <f>IFERROR(__xludf.DUMMYFUNCTION("""COMPUTED_VALUE"""),"1000")</f>
        <v>1000</v>
      </c>
      <c r="F55" s="105" t="str">
        <f>IFERROR(__xludf.DUMMYFUNCTION("""COMPUTED_VALUE"""),"quest_image_f05anniv_01")</f>
        <v>quest_image_f05anniv_01</v>
      </c>
      <c r="G55" s="105"/>
      <c r="H55" s="105"/>
      <c r="I55" s="105"/>
      <c r="J55" s="105"/>
      <c r="K55" s="105"/>
      <c r="L55" s="105"/>
      <c r="M55" s="105"/>
      <c r="N55" s="105"/>
      <c r="O55" s="105"/>
      <c r="P55" s="105"/>
      <c r="Q55" s="105"/>
      <c r="R55" s="105"/>
      <c r="S55" s="105"/>
      <c r="T55" s="105"/>
      <c r="U55" s="105"/>
      <c r="V55" s="105"/>
      <c r="W55" s="105"/>
      <c r="X55" s="105"/>
      <c r="Y55" s="105"/>
      <c r="Z55" s="105"/>
    </row>
    <row r="56">
      <c r="A56" s="105" t="str">
        <f>IFERROR(__xludf.DUMMYFUNCTION("""COMPUTED_VALUE"""),"l05anniv")</f>
        <v>l05anniv</v>
      </c>
      <c r="B56" s="105"/>
      <c r="C56" s="105" t="str">
        <f>IFERROR(__xludf.DUMMYFUNCTION("""COMPUTED_VALUE"""),"series_logo_l05anniv")</f>
        <v>series_logo_l05anniv</v>
      </c>
      <c r="D56" s="105" t="str">
        <f>IFERROR(__xludf.DUMMYFUNCTION("""COMPUTED_VALUE"""),"ハーフアニバーサリー 感謝祭！後半")</f>
        <v>ハーフアニバーサリー 感謝祭！後半</v>
      </c>
      <c r="E56" s="213" t="str">
        <f>IFERROR(__xludf.DUMMYFUNCTION("""COMPUTED_VALUE"""),"1001")</f>
        <v>1001</v>
      </c>
      <c r="F56" s="105" t="str">
        <f>IFERROR(__xludf.DUMMYFUNCTION("""COMPUTED_VALUE"""),"quest_image_l05anniv_01")</f>
        <v>quest_image_l05anniv_01</v>
      </c>
      <c r="G56" s="105"/>
      <c r="H56" s="105"/>
      <c r="I56" s="105"/>
      <c r="J56" s="105"/>
      <c r="K56" s="105"/>
      <c r="L56" s="105"/>
      <c r="M56" s="105"/>
      <c r="N56" s="105"/>
      <c r="O56" s="105"/>
      <c r="P56" s="105"/>
      <c r="Q56" s="105"/>
      <c r="R56" s="105"/>
      <c r="S56" s="105"/>
      <c r="T56" s="105"/>
      <c r="U56" s="105"/>
      <c r="V56" s="105"/>
      <c r="W56" s="105"/>
      <c r="X56" s="105"/>
      <c r="Y56" s="105"/>
      <c r="Z56" s="105"/>
    </row>
    <row r="57">
      <c r="A57" s="105" t="str">
        <f>IFERROR(__xludf.DUMMYFUNCTION("""COMPUTED_VALUE"""),"animal")</f>
        <v>animal</v>
      </c>
      <c r="B57" s="105"/>
      <c r="C57" s="105" t="str">
        <f>IFERROR(__xludf.DUMMYFUNCTION("""COMPUTED_VALUE"""),"series_logo_animal")</f>
        <v>series_logo_animal</v>
      </c>
      <c r="D57" s="105" t="str">
        <f>IFERROR(__xludf.DUMMYFUNCTION("""COMPUTED_VALUE"""),"いいジャン祭 特別編 アニマル大集合!!")</f>
        <v>いいジャン祭 特別編 アニマル大集合!!</v>
      </c>
      <c r="E57" s="105">
        <f>IFERROR(__xludf.DUMMYFUNCTION("""COMPUTED_VALUE"""),1002.0)</f>
        <v>1002</v>
      </c>
      <c r="F57" s="105" t="str">
        <f>IFERROR(__xludf.DUMMYFUNCTION("""COMPUTED_VALUE"""),"quest_image_animal_01")</f>
        <v>quest_image_animal_01</v>
      </c>
      <c r="G57" s="105"/>
      <c r="H57" s="105"/>
      <c r="I57" s="105"/>
      <c r="J57" s="105"/>
      <c r="K57" s="105"/>
      <c r="L57" s="105"/>
      <c r="M57" s="105"/>
      <c r="N57" s="105"/>
      <c r="O57" s="105"/>
      <c r="P57" s="105"/>
      <c r="Q57" s="105"/>
      <c r="R57" s="105"/>
      <c r="S57" s="105"/>
      <c r="T57" s="105"/>
      <c r="U57" s="105"/>
      <c r="V57" s="105"/>
      <c r="W57" s="105"/>
      <c r="X57" s="105"/>
      <c r="Y57" s="105"/>
      <c r="Z57" s="105"/>
    </row>
    <row r="58">
      <c r="A58" s="105" t="str">
        <f>IFERROR(__xludf.DUMMYFUNCTION("""COMPUTED_VALUE"""),"gw1")</f>
        <v>gw1</v>
      </c>
      <c r="B58" s="105"/>
      <c r="C58" s="105" t="str">
        <f>IFERROR(__xludf.DUMMYFUNCTION("""COMPUTED_VALUE"""),"series_logo_gw1")</f>
        <v>series_logo_gw1</v>
      </c>
      <c r="D58" s="105" t="str">
        <f>IFERROR(__xludf.DUMMYFUNCTION("""COMPUTED_VALUE"""),"GWスペシャル 黄金祭")</f>
        <v>GWスペシャル 黄金祭</v>
      </c>
      <c r="E58" s="105">
        <f>IFERROR(__xludf.DUMMYFUNCTION("""COMPUTED_VALUE"""),1003.0)</f>
        <v>1003</v>
      </c>
      <c r="F58" s="105" t="str">
        <f>IFERROR(__xludf.DUMMYFUNCTION("""COMPUTED_VALUE"""),"quest_image_gw1_01")</f>
        <v>quest_image_gw1_01</v>
      </c>
      <c r="G58" s="105"/>
      <c r="H58" s="105"/>
      <c r="I58" s="105"/>
      <c r="J58" s="105"/>
      <c r="K58" s="105"/>
      <c r="L58" s="105"/>
      <c r="M58" s="105"/>
      <c r="N58" s="105"/>
      <c r="O58" s="105"/>
      <c r="P58" s="105"/>
      <c r="Q58" s="105"/>
      <c r="R58" s="105"/>
      <c r="S58" s="105"/>
      <c r="T58" s="105"/>
      <c r="U58" s="105"/>
      <c r="V58" s="105"/>
      <c r="W58" s="105"/>
      <c r="X58" s="105"/>
      <c r="Y58" s="105"/>
      <c r="Z58" s="105"/>
    </row>
    <row r="59">
      <c r="A59" s="105" t="str">
        <f>IFERROR(__xludf.DUMMYFUNCTION("""COMPUTED_VALUE"""),"jbf")</f>
        <v>jbf</v>
      </c>
      <c r="B59" s="105"/>
      <c r="C59" s="105" t="str">
        <f>IFERROR(__xludf.DUMMYFUNCTION("""COMPUTED_VALUE"""),"series_logo_jbf")</f>
        <v>series_logo_jbf</v>
      </c>
      <c r="D59" s="105" t="str">
        <f>IFERROR(__xludf.DUMMYFUNCTION("""COMPUTED_VALUE"""),"いいジャン祭 特別編 ジューンブライド特集!!")</f>
        <v>いいジャン祭 特別編 ジューンブライド特集!!</v>
      </c>
      <c r="E59" s="105">
        <f>IFERROR(__xludf.DUMMYFUNCTION("""COMPUTED_VALUE"""),1004.0)</f>
        <v>1004</v>
      </c>
      <c r="F59" s="105" t="str">
        <f>IFERROR(__xludf.DUMMYFUNCTION("""COMPUTED_VALUE"""),"quest_image_jbf_01")</f>
        <v>quest_image_jbf_01</v>
      </c>
      <c r="G59" s="105"/>
      <c r="H59" s="105"/>
      <c r="I59" s="105"/>
      <c r="J59" s="105"/>
      <c r="K59" s="105"/>
      <c r="L59" s="105"/>
      <c r="M59" s="105"/>
      <c r="N59" s="105"/>
      <c r="O59" s="105"/>
      <c r="P59" s="105"/>
      <c r="Q59" s="105"/>
      <c r="R59" s="105"/>
      <c r="S59" s="105"/>
      <c r="T59" s="105"/>
      <c r="U59" s="105"/>
      <c r="V59" s="105"/>
      <c r="W59" s="105"/>
      <c r="X59" s="105"/>
      <c r="Y59" s="105"/>
      <c r="Z59" s="105"/>
    </row>
    <row r="60">
      <c r="A60" s="105"/>
      <c r="B60" s="105"/>
      <c r="C60" s="105"/>
      <c r="D60" s="105"/>
      <c r="E60" s="105"/>
      <c r="F60" s="105"/>
      <c r="G60" s="105"/>
      <c r="H60" s="105"/>
      <c r="I60" s="105"/>
      <c r="J60" s="105"/>
      <c r="K60" s="105"/>
      <c r="L60" s="105"/>
      <c r="M60" s="105"/>
      <c r="N60" s="105"/>
      <c r="O60" s="105"/>
      <c r="P60" s="105"/>
      <c r="Q60" s="105"/>
      <c r="R60" s="105"/>
      <c r="S60" s="105"/>
      <c r="T60" s="105"/>
      <c r="U60" s="105"/>
      <c r="V60" s="105"/>
      <c r="W60" s="105"/>
      <c r="X60" s="105"/>
      <c r="Y60" s="105"/>
      <c r="Z60" s="105"/>
    </row>
    <row r="61">
      <c r="A61" s="105" t="str">
        <f>IFERROR(__xludf.DUMMYFUNCTION("""COMPUTED_VALUE"""),"※連載中のものは上記の曜日の区分を優先とし月曜〜順に表示され、中身の順としてはこちらの順にゲーム内では表示する。
※既に連鎖機終了しているものは日曜日連載作品の後ろに来るようになり、記載順は作品名のあいうえお順とする。")</f>
        <v>※連載中のものは上記の曜日の区分を優先とし月曜〜順に表示され、中身の順としてはこちらの順にゲーム内では表示する。
※既に連鎖機終了しているものは日曜日連載作品の後ろに来るようになり、記載順は作品名のあいうえお順とする。</v>
      </c>
      <c r="B61" s="105"/>
      <c r="C61" s="105"/>
      <c r="D61" s="105"/>
      <c r="E61" s="105"/>
      <c r="F61" s="105"/>
      <c r="G61" s="105"/>
      <c r="H61" s="105"/>
      <c r="I61" s="105"/>
      <c r="J61" s="105"/>
      <c r="K61" s="105"/>
      <c r="L61" s="105"/>
      <c r="M61" s="105"/>
      <c r="N61" s="105"/>
      <c r="O61" s="105"/>
      <c r="P61" s="105"/>
      <c r="Q61" s="105"/>
      <c r="R61" s="105"/>
      <c r="S61" s="105"/>
      <c r="T61" s="105"/>
      <c r="U61" s="105"/>
      <c r="V61" s="105"/>
      <c r="W61" s="105"/>
      <c r="X61" s="105"/>
      <c r="Y61" s="105"/>
      <c r="Z61" s="105"/>
    </row>
    <row r="62">
      <c r="A62" s="105"/>
      <c r="B62" s="105"/>
      <c r="C62" s="105"/>
      <c r="D62" s="105"/>
      <c r="E62" s="105"/>
      <c r="F62" s="105"/>
      <c r="G62" s="105"/>
      <c r="H62" s="105"/>
      <c r="I62" s="105"/>
      <c r="J62" s="105"/>
      <c r="K62" s="105"/>
      <c r="L62" s="105"/>
      <c r="M62" s="105"/>
      <c r="N62" s="105"/>
      <c r="O62" s="105"/>
      <c r="P62" s="105"/>
      <c r="Q62" s="105"/>
      <c r="R62" s="105"/>
      <c r="S62" s="105"/>
      <c r="T62" s="105"/>
      <c r="U62" s="105"/>
      <c r="V62" s="105"/>
      <c r="W62" s="105"/>
      <c r="X62" s="105"/>
      <c r="Y62" s="105"/>
      <c r="Z62" s="105"/>
    </row>
    <row r="63">
      <c r="A63" s="105"/>
      <c r="B63" s="105"/>
      <c r="C63" s="105"/>
      <c r="D63" s="105"/>
      <c r="E63" s="105"/>
      <c r="F63" s="105"/>
      <c r="G63" s="105"/>
      <c r="H63" s="105"/>
      <c r="I63" s="105"/>
      <c r="J63" s="105"/>
      <c r="K63" s="105"/>
      <c r="L63" s="105"/>
      <c r="M63" s="105"/>
      <c r="N63" s="105"/>
      <c r="O63" s="105"/>
      <c r="P63" s="105"/>
      <c r="Q63" s="105"/>
      <c r="R63" s="105"/>
      <c r="S63" s="105"/>
      <c r="T63" s="105"/>
      <c r="U63" s="105"/>
      <c r="V63" s="105"/>
      <c r="W63" s="105"/>
      <c r="X63" s="105"/>
      <c r="Y63" s="105"/>
      <c r="Z63" s="105"/>
    </row>
    <row r="64">
      <c r="A64" s="105"/>
      <c r="B64" s="105"/>
      <c r="C64" s="105"/>
      <c r="D64" s="105"/>
      <c r="E64" s="105"/>
      <c r="F64" s="105"/>
      <c r="G64" s="105"/>
      <c r="H64" s="105"/>
      <c r="I64" s="105"/>
      <c r="J64" s="105"/>
      <c r="K64" s="105"/>
      <c r="L64" s="105"/>
      <c r="M64" s="105"/>
      <c r="N64" s="105"/>
      <c r="O64" s="105"/>
      <c r="P64" s="105"/>
      <c r="Q64" s="105"/>
      <c r="R64" s="105"/>
      <c r="S64" s="105"/>
      <c r="T64" s="105"/>
      <c r="U64" s="105"/>
      <c r="V64" s="105"/>
      <c r="W64" s="105"/>
      <c r="X64" s="105"/>
      <c r="Y64" s="105"/>
      <c r="Z64" s="105"/>
    </row>
    <row r="65">
      <c r="A65" s="105"/>
      <c r="B65" s="105"/>
      <c r="C65" s="105"/>
      <c r="D65" s="105"/>
      <c r="E65" s="105"/>
      <c r="F65" s="105"/>
      <c r="G65" s="105"/>
      <c r="H65" s="105"/>
      <c r="I65" s="105"/>
      <c r="J65" s="105"/>
      <c r="K65" s="105"/>
      <c r="L65" s="105"/>
      <c r="M65" s="105"/>
      <c r="N65" s="105"/>
      <c r="O65" s="105"/>
      <c r="P65" s="105"/>
      <c r="Q65" s="105"/>
      <c r="R65" s="105"/>
      <c r="S65" s="105"/>
      <c r="T65" s="105"/>
      <c r="U65" s="105"/>
      <c r="V65" s="105"/>
      <c r="W65" s="105"/>
      <c r="X65" s="105"/>
      <c r="Y65" s="105"/>
      <c r="Z65" s="105"/>
    </row>
    <row r="66">
      <c r="A66" s="105"/>
      <c r="B66" s="105"/>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row>
    <row r="67">
      <c r="A67" s="105"/>
      <c r="B67" s="105"/>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row>
    <row r="68">
      <c r="A68" s="105"/>
      <c r="B68" s="105"/>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row>
    <row r="69">
      <c r="A69" s="105"/>
      <c r="B69" s="105"/>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row>
    <row r="70">
      <c r="A70" s="105"/>
      <c r="B70" s="105"/>
      <c r="C70" s="105"/>
      <c r="D70" s="105"/>
      <c r="E70" s="105"/>
      <c r="F70" s="105"/>
      <c r="G70" s="105"/>
      <c r="H70" s="105"/>
      <c r="I70" s="105"/>
      <c r="J70" s="105"/>
      <c r="K70" s="105"/>
      <c r="L70" s="105"/>
      <c r="M70" s="105"/>
      <c r="N70" s="105"/>
      <c r="O70" s="105"/>
      <c r="P70" s="105"/>
      <c r="Q70" s="105"/>
      <c r="R70" s="105"/>
      <c r="S70" s="105"/>
      <c r="T70" s="105"/>
      <c r="U70" s="105"/>
      <c r="V70" s="105"/>
      <c r="W70" s="105"/>
      <c r="X70" s="105"/>
      <c r="Y70" s="105"/>
      <c r="Z70" s="105"/>
    </row>
    <row r="71">
      <c r="A71" s="105"/>
      <c r="B71" s="105"/>
      <c r="C71" s="105"/>
      <c r="D71" s="105"/>
      <c r="E71" s="105"/>
      <c r="F71" s="105"/>
      <c r="G71" s="105"/>
      <c r="H71" s="105"/>
      <c r="I71" s="105"/>
      <c r="J71" s="105"/>
      <c r="K71" s="105"/>
      <c r="L71" s="105"/>
      <c r="M71" s="105"/>
      <c r="N71" s="105"/>
      <c r="O71" s="105"/>
      <c r="P71" s="105"/>
      <c r="Q71" s="105"/>
      <c r="R71" s="105"/>
      <c r="S71" s="105"/>
      <c r="T71" s="105"/>
      <c r="U71" s="105"/>
      <c r="V71" s="105"/>
      <c r="W71" s="105"/>
      <c r="X71" s="105"/>
      <c r="Y71" s="105"/>
      <c r="Z71" s="105"/>
    </row>
    <row r="72">
      <c r="A72" s="105"/>
      <c r="B72" s="105"/>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row>
    <row r="73">
      <c r="A73" s="105"/>
      <c r="B73" s="105"/>
      <c r="C73" s="105"/>
      <c r="D73" s="105"/>
      <c r="E73" s="105"/>
      <c r="F73" s="105"/>
      <c r="G73" s="105"/>
      <c r="H73" s="105"/>
      <c r="I73" s="105"/>
      <c r="J73" s="105"/>
      <c r="K73" s="105"/>
      <c r="L73" s="105"/>
      <c r="M73" s="105"/>
      <c r="N73" s="105"/>
      <c r="O73" s="105"/>
      <c r="P73" s="105"/>
      <c r="Q73" s="105"/>
      <c r="R73" s="105"/>
      <c r="S73" s="105"/>
      <c r="T73" s="105"/>
      <c r="U73" s="105"/>
      <c r="V73" s="105"/>
      <c r="W73" s="105"/>
      <c r="X73" s="105"/>
      <c r="Y73" s="105"/>
      <c r="Z73" s="105"/>
    </row>
    <row r="74">
      <c r="A74" s="105"/>
      <c r="B74" s="105"/>
      <c r="C74" s="105"/>
      <c r="D74" s="105"/>
      <c r="E74" s="105"/>
      <c r="F74" s="105"/>
      <c r="G74" s="105"/>
      <c r="H74" s="105"/>
      <c r="I74" s="105"/>
      <c r="J74" s="105"/>
      <c r="K74" s="105"/>
      <c r="L74" s="105"/>
      <c r="M74" s="105"/>
      <c r="N74" s="105"/>
      <c r="O74" s="105"/>
      <c r="P74" s="105"/>
      <c r="Q74" s="105"/>
      <c r="R74" s="105"/>
      <c r="S74" s="105"/>
      <c r="T74" s="105"/>
      <c r="U74" s="105"/>
      <c r="V74" s="105"/>
      <c r="W74" s="105"/>
      <c r="X74" s="105"/>
      <c r="Y74" s="105"/>
      <c r="Z74" s="105"/>
    </row>
    <row r="75">
      <c r="A75" s="105"/>
      <c r="B75" s="105"/>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row>
    <row r="76">
      <c r="A76" s="105"/>
      <c r="B76" s="105"/>
      <c r="C76" s="105"/>
      <c r="D76" s="105"/>
      <c r="E76" s="105"/>
      <c r="F76" s="105"/>
      <c r="G76" s="105"/>
      <c r="H76" s="105"/>
      <c r="I76" s="105"/>
      <c r="J76" s="105"/>
      <c r="K76" s="105"/>
      <c r="L76" s="105"/>
      <c r="M76" s="105"/>
      <c r="N76" s="105"/>
      <c r="O76" s="105"/>
      <c r="P76" s="105"/>
      <c r="Q76" s="105"/>
      <c r="R76" s="105"/>
      <c r="S76" s="105"/>
      <c r="T76" s="105"/>
      <c r="U76" s="105"/>
      <c r="V76" s="105"/>
      <c r="W76" s="105"/>
      <c r="X76" s="105"/>
      <c r="Y76" s="105"/>
      <c r="Z76" s="105"/>
    </row>
    <row r="77">
      <c r="A77" s="105"/>
      <c r="B77" s="105"/>
      <c r="C77" s="105"/>
      <c r="D77" s="105"/>
      <c r="E77" s="105"/>
      <c r="F77" s="105"/>
      <c r="G77" s="105"/>
      <c r="H77" s="105"/>
      <c r="I77" s="105"/>
      <c r="J77" s="105"/>
      <c r="K77" s="105"/>
      <c r="L77" s="105"/>
      <c r="M77" s="105"/>
      <c r="N77" s="105"/>
      <c r="O77" s="105"/>
      <c r="P77" s="105"/>
      <c r="Q77" s="105"/>
      <c r="R77" s="105"/>
      <c r="S77" s="105"/>
      <c r="T77" s="105"/>
      <c r="U77" s="105"/>
      <c r="V77" s="105"/>
      <c r="W77" s="105"/>
      <c r="X77" s="105"/>
      <c r="Y77" s="105"/>
      <c r="Z77" s="105"/>
    </row>
    <row r="78">
      <c r="A78" s="105"/>
      <c r="B78" s="105"/>
      <c r="C78" s="105"/>
      <c r="D78" s="105"/>
      <c r="E78" s="105"/>
      <c r="F78" s="105"/>
      <c r="G78" s="105"/>
      <c r="H78" s="105"/>
      <c r="I78" s="105"/>
      <c r="J78" s="105"/>
      <c r="K78" s="105"/>
      <c r="L78" s="105"/>
      <c r="M78" s="105"/>
      <c r="N78" s="105"/>
      <c r="O78" s="105"/>
      <c r="P78" s="105"/>
      <c r="Q78" s="105"/>
      <c r="R78" s="105"/>
      <c r="S78" s="105"/>
      <c r="T78" s="105"/>
      <c r="U78" s="105"/>
      <c r="V78" s="105"/>
      <c r="W78" s="105"/>
      <c r="X78" s="105"/>
      <c r="Y78" s="105"/>
      <c r="Z78" s="105"/>
    </row>
    <row r="79">
      <c r="A79" s="105"/>
      <c r="B79" s="105"/>
      <c r="C79" s="105"/>
      <c r="D79" s="105"/>
      <c r="E79" s="105"/>
      <c r="F79" s="105"/>
      <c r="G79" s="105"/>
      <c r="H79" s="105"/>
      <c r="I79" s="105"/>
      <c r="J79" s="105"/>
      <c r="K79" s="105"/>
      <c r="L79" s="105"/>
      <c r="M79" s="105"/>
      <c r="N79" s="105"/>
      <c r="O79" s="105"/>
      <c r="P79" s="105"/>
      <c r="Q79" s="105"/>
      <c r="R79" s="105"/>
      <c r="S79" s="105"/>
      <c r="T79" s="105"/>
      <c r="U79" s="105"/>
      <c r="V79" s="105"/>
      <c r="W79" s="105"/>
      <c r="X79" s="105"/>
      <c r="Y79" s="105"/>
      <c r="Z79" s="105"/>
    </row>
    <row r="80">
      <c r="A80" s="105"/>
      <c r="B80" s="105"/>
      <c r="C80" s="105"/>
      <c r="D80" s="105"/>
      <c r="E80" s="105"/>
      <c r="F80" s="105"/>
      <c r="G80" s="105"/>
      <c r="H80" s="105"/>
      <c r="I80" s="105"/>
      <c r="J80" s="105"/>
      <c r="K80" s="105"/>
      <c r="L80" s="105"/>
      <c r="M80" s="105"/>
      <c r="N80" s="105"/>
      <c r="O80" s="105"/>
      <c r="P80" s="105"/>
      <c r="Q80" s="105"/>
      <c r="R80" s="105"/>
      <c r="S80" s="105"/>
      <c r="T80" s="105"/>
      <c r="U80" s="105"/>
      <c r="V80" s="105"/>
      <c r="W80" s="105"/>
      <c r="X80" s="105"/>
      <c r="Y80" s="105"/>
      <c r="Z80" s="105"/>
    </row>
    <row r="81">
      <c r="A81" s="105"/>
      <c r="B81" s="105"/>
      <c r="C81" s="105"/>
      <c r="D81" s="105"/>
      <c r="E81" s="105"/>
      <c r="F81" s="105"/>
      <c r="G81" s="105"/>
      <c r="H81" s="105"/>
      <c r="I81" s="105"/>
      <c r="J81" s="105"/>
      <c r="K81" s="105"/>
      <c r="L81" s="105"/>
      <c r="M81" s="105"/>
      <c r="N81" s="105"/>
      <c r="O81" s="105"/>
      <c r="P81" s="105"/>
      <c r="Q81" s="105"/>
      <c r="R81" s="105"/>
      <c r="S81" s="105"/>
      <c r="T81" s="105"/>
      <c r="U81" s="105"/>
      <c r="V81" s="105"/>
      <c r="W81" s="105"/>
      <c r="X81" s="105"/>
      <c r="Y81" s="105"/>
      <c r="Z81" s="105"/>
    </row>
    <row r="82">
      <c r="A82" s="105"/>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row>
    <row r="83">
      <c r="A83" s="105"/>
      <c r="B83" s="105"/>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row>
    <row r="84">
      <c r="A84" s="105"/>
      <c r="B84" s="105"/>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row>
    <row r="85">
      <c r="A85" s="105"/>
      <c r="B85" s="105"/>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row>
    <row r="86">
      <c r="A86" s="105"/>
      <c r="B86" s="105"/>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row>
    <row r="87">
      <c r="A87" s="105"/>
      <c r="B87" s="105"/>
      <c r="C87" s="105"/>
      <c r="D87" s="105"/>
      <c r="E87" s="105"/>
      <c r="F87" s="105"/>
      <c r="G87" s="105"/>
      <c r="H87" s="105"/>
      <c r="I87" s="105"/>
      <c r="J87" s="105"/>
      <c r="K87" s="105"/>
      <c r="L87" s="105"/>
      <c r="M87" s="105"/>
      <c r="N87" s="105"/>
      <c r="O87" s="105"/>
      <c r="P87" s="105"/>
      <c r="Q87" s="105"/>
      <c r="R87" s="105"/>
      <c r="S87" s="105"/>
      <c r="T87" s="105"/>
      <c r="U87" s="105"/>
      <c r="V87" s="105"/>
      <c r="W87" s="105"/>
      <c r="X87" s="105"/>
      <c r="Y87" s="105"/>
      <c r="Z87" s="105"/>
    </row>
    <row r="88">
      <c r="A88" s="105"/>
      <c r="B88" s="105"/>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row>
    <row r="89">
      <c r="A89" s="105"/>
      <c r="B89" s="105"/>
      <c r="C89" s="105"/>
      <c r="D89" s="105"/>
      <c r="E89" s="105"/>
      <c r="F89" s="105"/>
      <c r="G89" s="105"/>
      <c r="H89" s="105"/>
      <c r="I89" s="105"/>
      <c r="J89" s="105"/>
      <c r="K89" s="105"/>
      <c r="L89" s="105"/>
      <c r="M89" s="105"/>
      <c r="N89" s="105"/>
      <c r="O89" s="105"/>
      <c r="P89" s="105"/>
      <c r="Q89" s="105"/>
      <c r="R89" s="105"/>
      <c r="S89" s="105"/>
      <c r="T89" s="105"/>
      <c r="U89" s="105"/>
      <c r="V89" s="105"/>
      <c r="W89" s="105"/>
      <c r="X89" s="105"/>
      <c r="Y89" s="105"/>
      <c r="Z89" s="105"/>
    </row>
    <row r="90">
      <c r="A90" s="105"/>
      <c r="B90" s="105"/>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row>
    <row r="91">
      <c r="A91" s="105"/>
      <c r="B91" s="105"/>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row>
    <row r="92">
      <c r="A92" s="105"/>
      <c r="B92" s="105"/>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row>
    <row r="93">
      <c r="A93" s="105"/>
      <c r="B93" s="105"/>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row>
    <row r="94">
      <c r="A94" s="105"/>
      <c r="B94" s="105"/>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row>
    <row r="95">
      <c r="A95" s="105"/>
      <c r="B95" s="105"/>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row>
    <row r="96">
      <c r="A96" s="105"/>
      <c r="B96" s="105"/>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row>
    <row r="97">
      <c r="A97" s="105"/>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row>
    <row r="98">
      <c r="A98" s="105"/>
      <c r="B98" s="105"/>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row>
    <row r="99">
      <c r="A99" s="105"/>
      <c r="B99" s="105"/>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row>
    <row r="100">
      <c r="A100" s="105"/>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row>
    <row r="101">
      <c r="A101" s="105"/>
      <c r="B101" s="105"/>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row>
    <row r="102">
      <c r="A102" s="105"/>
      <c r="B102" s="105"/>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row>
    <row r="103">
      <c r="A103" s="105"/>
      <c r="B103" s="105"/>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row>
    <row r="104">
      <c r="A104" s="105"/>
      <c r="B104" s="105"/>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row>
    <row r="105">
      <c r="A105" s="105"/>
      <c r="B105" s="105"/>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row>
    <row r="106">
      <c r="A106" s="105"/>
      <c r="B106" s="105"/>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row>
    <row r="107">
      <c r="A107" s="105"/>
      <c r="B107" s="105"/>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row>
    <row r="108">
      <c r="A108" s="105"/>
      <c r="B108" s="105"/>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row>
    <row r="109">
      <c r="A109" s="105"/>
      <c r="B109" s="105"/>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row>
    <row r="110">
      <c r="A110" s="105"/>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row>
    <row r="111">
      <c r="A111" s="105"/>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row>
    <row r="112">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row>
    <row r="113">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row>
    <row r="114">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row>
    <row r="115">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row>
    <row r="116">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row>
    <row r="117">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row>
    <row r="118">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row>
    <row r="119">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row>
    <row r="120">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row>
    <row r="12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row>
    <row r="122">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row>
    <row r="123">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row>
    <row r="124">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row>
    <row r="125">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row>
    <row r="126">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row>
    <row r="127">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row>
    <row r="128">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row>
    <row r="129">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row>
    <row r="130">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row>
    <row r="13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row>
    <row r="132">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row>
    <row r="133">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row>
    <row r="134">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row>
    <row r="135">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row>
    <row r="136">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row>
    <row r="137">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row>
    <row r="138">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row>
    <row r="139">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row>
    <row r="140">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row>
    <row r="14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row>
    <row r="142">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row>
    <row r="143">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row>
    <row r="144">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row>
    <row r="145">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row>
    <row r="146">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row>
    <row r="147">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row>
    <row r="148">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row>
    <row r="149">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row>
    <row r="150">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row>
    <row r="15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row>
    <row r="152">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row>
    <row r="153">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row>
    <row r="154">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row>
    <row r="155">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row>
    <row r="156">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row>
    <row r="157">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row>
    <row r="158">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row>
    <row r="159">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row>
    <row r="160">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row>
    <row r="16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row>
    <row r="162">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row>
    <row r="163">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row>
    <row r="164">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row>
    <row r="165">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row>
    <row r="166">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row>
    <row r="167">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row>
    <row r="168">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row>
    <row r="169">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row>
    <row r="170">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row>
    <row r="17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row>
    <row r="172">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row>
    <row r="173">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row>
    <row r="174">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row>
    <row r="175">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row>
    <row r="176">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row>
    <row r="177">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row>
    <row r="178">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row>
    <row r="179">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row>
    <row r="180">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row>
    <row r="18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row>
    <row r="182">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row>
    <row r="183">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row>
    <row r="184">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row>
    <row r="185">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row>
    <row r="186">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row>
    <row r="187">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row>
    <row r="188">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row>
    <row r="189">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row>
    <row r="190">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row>
    <row r="19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row>
    <row r="192">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row>
    <row r="193">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row>
    <row r="194">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row>
    <row r="195">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row>
    <row r="196">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row>
    <row r="197">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row>
    <row r="198">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row>
    <row r="199">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row>
    <row r="200">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row>
    <row r="20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row>
    <row r="202">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row>
    <row r="203">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row>
    <row r="204">
      <c r="A204" s="105"/>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row>
    <row r="205">
      <c r="A205" s="105"/>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row>
    <row r="206">
      <c r="A206" s="105"/>
      <c r="B206" s="105"/>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row>
    <row r="207">
      <c r="A207" s="105"/>
      <c r="B207" s="105"/>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row>
    <row r="208">
      <c r="A208" s="105"/>
      <c r="B208" s="105"/>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row>
    <row r="209">
      <c r="A209" s="105"/>
      <c r="B209" s="105"/>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row>
    <row r="210">
      <c r="A210" s="105"/>
      <c r="B210" s="105"/>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row>
    <row r="211">
      <c r="A211" s="105"/>
      <c r="B211" s="105"/>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row>
    <row r="212">
      <c r="A212" s="105"/>
      <c r="B212" s="105"/>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row>
    <row r="213">
      <c r="A213" s="105"/>
      <c r="B213" s="105"/>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row>
    <row r="214">
      <c r="A214" s="105"/>
      <c r="B214" s="105"/>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row>
    <row r="215">
      <c r="A215" s="105"/>
      <c r="B215" s="105"/>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row>
    <row r="216">
      <c r="A216" s="105"/>
      <c r="B216" s="105"/>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row>
    <row r="217">
      <c r="A217" s="105"/>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row>
    <row r="218">
      <c r="A218" s="105"/>
      <c r="B218" s="105"/>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row>
    <row r="219">
      <c r="A219" s="105"/>
      <c r="B219" s="105"/>
      <c r="C219" s="105"/>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row>
    <row r="220">
      <c r="A220" s="105"/>
      <c r="B220" s="105"/>
      <c r="C220" s="105"/>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row>
    <row r="221">
      <c r="A221" s="105"/>
      <c r="B221" s="105"/>
      <c r="C221" s="105"/>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row>
    <row r="222">
      <c r="A222" s="105"/>
      <c r="B222" s="105"/>
      <c r="C222" s="105"/>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row>
    <row r="223">
      <c r="A223" s="105"/>
      <c r="B223" s="105"/>
      <c r="C223" s="105"/>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row>
    <row r="224">
      <c r="A224" s="105"/>
      <c r="B224" s="105"/>
      <c r="C224" s="105"/>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row>
    <row r="225">
      <c r="A225" s="105"/>
      <c r="B225" s="105"/>
      <c r="C225" s="105"/>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row>
    <row r="226">
      <c r="A226" s="105"/>
      <c r="B226" s="105"/>
      <c r="C226" s="105"/>
      <c r="D226" s="105"/>
      <c r="E226" s="105"/>
      <c r="F226" s="105"/>
      <c r="G226" s="105"/>
      <c r="H226" s="105"/>
      <c r="I226" s="105"/>
      <c r="J226" s="105"/>
      <c r="K226" s="105"/>
      <c r="L226" s="105"/>
      <c r="M226" s="105"/>
      <c r="N226" s="105"/>
      <c r="O226" s="105"/>
      <c r="P226" s="105"/>
      <c r="Q226" s="105"/>
      <c r="R226" s="105"/>
      <c r="S226" s="105"/>
      <c r="T226" s="105"/>
      <c r="U226" s="105"/>
      <c r="V226" s="105"/>
      <c r="W226" s="105"/>
      <c r="X226" s="105"/>
      <c r="Y226" s="105"/>
      <c r="Z226" s="105"/>
    </row>
    <row r="227">
      <c r="A227" s="105"/>
      <c r="B227" s="105"/>
      <c r="C227" s="105"/>
      <c r="D227" s="105"/>
      <c r="E227" s="105"/>
      <c r="F227" s="105"/>
      <c r="G227" s="105"/>
      <c r="H227" s="105"/>
      <c r="I227" s="105"/>
      <c r="J227" s="105"/>
      <c r="K227" s="105"/>
      <c r="L227" s="105"/>
      <c r="M227" s="105"/>
      <c r="N227" s="105"/>
      <c r="O227" s="105"/>
      <c r="P227" s="105"/>
      <c r="Q227" s="105"/>
      <c r="R227" s="105"/>
      <c r="S227" s="105"/>
      <c r="T227" s="105"/>
      <c r="U227" s="105"/>
      <c r="V227" s="105"/>
      <c r="W227" s="105"/>
      <c r="X227" s="105"/>
      <c r="Y227" s="105"/>
      <c r="Z227" s="105"/>
    </row>
    <row r="228">
      <c r="A228" s="105"/>
      <c r="B228" s="105"/>
      <c r="C228" s="105"/>
      <c r="D228" s="105"/>
      <c r="E228" s="105"/>
      <c r="F228" s="105"/>
      <c r="G228" s="105"/>
      <c r="H228" s="105"/>
      <c r="I228" s="105"/>
      <c r="J228" s="105"/>
      <c r="K228" s="105"/>
      <c r="L228" s="105"/>
      <c r="M228" s="105"/>
      <c r="N228" s="105"/>
      <c r="O228" s="105"/>
      <c r="P228" s="105"/>
      <c r="Q228" s="105"/>
      <c r="R228" s="105"/>
      <c r="S228" s="105"/>
      <c r="T228" s="105"/>
      <c r="U228" s="105"/>
      <c r="V228" s="105"/>
      <c r="W228" s="105"/>
      <c r="X228" s="105"/>
      <c r="Y228" s="105"/>
      <c r="Z228" s="105"/>
    </row>
    <row r="229">
      <c r="A229" s="105"/>
      <c r="B229" s="105"/>
      <c r="C229" s="105"/>
      <c r="D229" s="105"/>
      <c r="E229" s="105"/>
      <c r="F229" s="105"/>
      <c r="G229" s="105"/>
      <c r="H229" s="105"/>
      <c r="I229" s="105"/>
      <c r="J229" s="105"/>
      <c r="K229" s="105"/>
      <c r="L229" s="105"/>
      <c r="M229" s="105"/>
      <c r="N229" s="105"/>
      <c r="O229" s="105"/>
      <c r="P229" s="105"/>
      <c r="Q229" s="105"/>
      <c r="R229" s="105"/>
      <c r="S229" s="105"/>
      <c r="T229" s="105"/>
      <c r="U229" s="105"/>
      <c r="V229" s="105"/>
      <c r="W229" s="105"/>
      <c r="X229" s="105"/>
      <c r="Y229" s="105"/>
      <c r="Z229" s="105"/>
    </row>
    <row r="230">
      <c r="A230" s="105"/>
      <c r="B230" s="105"/>
      <c r="C230" s="105"/>
      <c r="D230" s="105"/>
      <c r="E230" s="105"/>
      <c r="F230" s="105"/>
      <c r="G230" s="105"/>
      <c r="H230" s="105"/>
      <c r="I230" s="105"/>
      <c r="J230" s="105"/>
      <c r="K230" s="105"/>
      <c r="L230" s="105"/>
      <c r="M230" s="105"/>
      <c r="N230" s="105"/>
      <c r="O230" s="105"/>
      <c r="P230" s="105"/>
      <c r="Q230" s="105"/>
      <c r="R230" s="105"/>
      <c r="S230" s="105"/>
      <c r="T230" s="105"/>
      <c r="U230" s="105"/>
      <c r="V230" s="105"/>
      <c r="W230" s="105"/>
      <c r="X230" s="105"/>
      <c r="Y230" s="105"/>
      <c r="Z230" s="105"/>
    </row>
    <row r="231">
      <c r="A231" s="105"/>
      <c r="B231" s="105"/>
      <c r="C231" s="105"/>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row>
    <row r="232">
      <c r="A232" s="105"/>
      <c r="B232" s="105"/>
      <c r="C232" s="105"/>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row>
    <row r="233">
      <c r="A233" s="105"/>
      <c r="B233" s="105"/>
      <c r="C233" s="105"/>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row>
    <row r="234">
      <c r="A234" s="105"/>
      <c r="B234" s="105"/>
      <c r="C234" s="105"/>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row>
    <row r="235">
      <c r="A235" s="105"/>
      <c r="B235" s="105"/>
      <c r="C235" s="105"/>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row>
    <row r="236">
      <c r="A236" s="105"/>
      <c r="B236" s="105"/>
      <c r="C236" s="105"/>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row>
    <row r="237">
      <c r="A237" s="105"/>
      <c r="B237" s="105"/>
      <c r="C237" s="105"/>
      <c r="D237" s="105"/>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row>
    <row r="238">
      <c r="A238" s="105"/>
      <c r="B238" s="105"/>
      <c r="C238" s="105"/>
      <c r="D238" s="105"/>
      <c r="E238" s="105"/>
      <c r="F238" s="105"/>
      <c r="G238" s="105"/>
      <c r="H238" s="105"/>
      <c r="I238" s="105"/>
      <c r="J238" s="105"/>
      <c r="K238" s="105"/>
      <c r="L238" s="105"/>
      <c r="M238" s="105"/>
      <c r="N238" s="105"/>
      <c r="O238" s="105"/>
      <c r="P238" s="105"/>
      <c r="Q238" s="105"/>
      <c r="R238" s="105"/>
      <c r="S238" s="105"/>
      <c r="T238" s="105"/>
      <c r="U238" s="105"/>
      <c r="V238" s="105"/>
      <c r="W238" s="105"/>
      <c r="X238" s="105"/>
      <c r="Y238" s="105"/>
      <c r="Z238" s="105"/>
    </row>
    <row r="239">
      <c r="A239" s="105"/>
      <c r="B239" s="105"/>
      <c r="C239" s="105"/>
      <c r="D239" s="105"/>
      <c r="E239" s="105"/>
      <c r="F239" s="105"/>
      <c r="G239" s="105"/>
      <c r="H239" s="105"/>
      <c r="I239" s="105"/>
      <c r="J239" s="105"/>
      <c r="K239" s="105"/>
      <c r="L239" s="105"/>
      <c r="M239" s="105"/>
      <c r="N239" s="105"/>
      <c r="O239" s="105"/>
      <c r="P239" s="105"/>
      <c r="Q239" s="105"/>
      <c r="R239" s="105"/>
      <c r="S239" s="105"/>
      <c r="T239" s="105"/>
      <c r="U239" s="105"/>
      <c r="V239" s="105"/>
      <c r="W239" s="105"/>
      <c r="X239" s="105"/>
      <c r="Y239" s="105"/>
      <c r="Z239" s="105"/>
    </row>
    <row r="240">
      <c r="A240" s="105"/>
      <c r="B240" s="105"/>
      <c r="C240" s="105"/>
      <c r="D240" s="105"/>
      <c r="E240" s="105"/>
      <c r="F240" s="105"/>
      <c r="G240" s="105"/>
      <c r="H240" s="105"/>
      <c r="I240" s="105"/>
      <c r="J240" s="105"/>
      <c r="K240" s="105"/>
      <c r="L240" s="105"/>
      <c r="M240" s="105"/>
      <c r="N240" s="105"/>
      <c r="O240" s="105"/>
      <c r="P240" s="105"/>
      <c r="Q240" s="105"/>
      <c r="R240" s="105"/>
      <c r="S240" s="105"/>
      <c r="T240" s="105"/>
      <c r="U240" s="105"/>
      <c r="V240" s="105"/>
      <c r="W240" s="105"/>
      <c r="X240" s="105"/>
      <c r="Y240" s="105"/>
      <c r="Z240" s="105"/>
    </row>
    <row r="241">
      <c r="A241" s="105"/>
      <c r="B241" s="105"/>
      <c r="C241" s="105"/>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row>
    <row r="242">
      <c r="A242" s="105"/>
      <c r="B242" s="105"/>
      <c r="C242" s="105"/>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row>
    <row r="243">
      <c r="A243" s="105"/>
      <c r="B243" s="105"/>
      <c r="C243" s="105"/>
      <c r="D243" s="105"/>
      <c r="E243" s="105"/>
      <c r="F243" s="105"/>
      <c r="G243" s="105"/>
      <c r="H243" s="105"/>
      <c r="I243" s="105"/>
      <c r="J243" s="105"/>
      <c r="K243" s="105"/>
      <c r="L243" s="105"/>
      <c r="M243" s="105"/>
      <c r="N243" s="105"/>
      <c r="O243" s="105"/>
      <c r="P243" s="105"/>
      <c r="Q243" s="105"/>
      <c r="R243" s="105"/>
      <c r="S243" s="105"/>
      <c r="T243" s="105"/>
      <c r="U243" s="105"/>
      <c r="V243" s="105"/>
      <c r="W243" s="105"/>
      <c r="X243" s="105"/>
      <c r="Y243" s="105"/>
      <c r="Z243" s="105"/>
    </row>
    <row r="244">
      <c r="A244" s="105"/>
      <c r="B244" s="105"/>
      <c r="C244" s="105"/>
      <c r="D244" s="105"/>
      <c r="E244" s="105"/>
      <c r="F244" s="105"/>
      <c r="G244" s="105"/>
      <c r="H244" s="105"/>
      <c r="I244" s="105"/>
      <c r="J244" s="105"/>
      <c r="K244" s="105"/>
      <c r="L244" s="105"/>
      <c r="M244" s="105"/>
      <c r="N244" s="105"/>
      <c r="O244" s="105"/>
      <c r="P244" s="105"/>
      <c r="Q244" s="105"/>
      <c r="R244" s="105"/>
      <c r="S244" s="105"/>
      <c r="T244" s="105"/>
      <c r="U244" s="105"/>
      <c r="V244" s="105"/>
      <c r="W244" s="105"/>
      <c r="X244" s="105"/>
      <c r="Y244" s="105"/>
      <c r="Z244" s="105"/>
    </row>
    <row r="245">
      <c r="A245" s="105"/>
      <c r="B245" s="105"/>
      <c r="C245" s="105"/>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row>
    <row r="246">
      <c r="A246" s="105"/>
      <c r="B246" s="105"/>
      <c r="C246" s="105"/>
      <c r="D246" s="105"/>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row>
    <row r="247">
      <c r="A247" s="105"/>
      <c r="B247" s="105"/>
      <c r="C247" s="105"/>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row>
    <row r="248">
      <c r="A248" s="105"/>
      <c r="B248" s="105"/>
      <c r="C248" s="105"/>
      <c r="D248" s="105"/>
      <c r="E248" s="105"/>
      <c r="F248" s="105"/>
      <c r="G248" s="105"/>
      <c r="H248" s="105"/>
      <c r="I248" s="105"/>
      <c r="J248" s="105"/>
      <c r="K248" s="105"/>
      <c r="L248" s="105"/>
      <c r="M248" s="105"/>
      <c r="N248" s="105"/>
      <c r="O248" s="105"/>
      <c r="P248" s="105"/>
      <c r="Q248" s="105"/>
      <c r="R248" s="105"/>
      <c r="S248" s="105"/>
      <c r="T248" s="105"/>
      <c r="U248" s="105"/>
      <c r="V248" s="105"/>
      <c r="W248" s="105"/>
      <c r="X248" s="105"/>
      <c r="Y248" s="105"/>
      <c r="Z248" s="105"/>
    </row>
    <row r="249">
      <c r="A249" s="105"/>
      <c r="B249" s="105"/>
      <c r="C249" s="105"/>
      <c r="D249" s="105"/>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row>
    <row r="250">
      <c r="A250" s="105"/>
      <c r="B250" s="105"/>
      <c r="C250" s="105"/>
      <c r="D250" s="105"/>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row>
    <row r="251">
      <c r="A251" s="105"/>
      <c r="B251" s="105"/>
      <c r="C251" s="105"/>
      <c r="D251" s="105"/>
      <c r="E251" s="105"/>
      <c r="F251" s="105"/>
      <c r="G251" s="105"/>
      <c r="H251" s="105"/>
      <c r="I251" s="105"/>
      <c r="J251" s="105"/>
      <c r="K251" s="105"/>
      <c r="L251" s="105"/>
      <c r="M251" s="105"/>
      <c r="N251" s="105"/>
      <c r="O251" s="105"/>
      <c r="P251" s="105"/>
      <c r="Q251" s="105"/>
      <c r="R251" s="105"/>
      <c r="S251" s="105"/>
      <c r="T251" s="105"/>
      <c r="U251" s="105"/>
      <c r="V251" s="105"/>
      <c r="W251" s="105"/>
      <c r="X251" s="105"/>
      <c r="Y251" s="105"/>
      <c r="Z251" s="105"/>
    </row>
    <row r="252">
      <c r="A252" s="105"/>
      <c r="B252" s="105"/>
      <c r="C252" s="105"/>
      <c r="D252" s="105"/>
      <c r="E252" s="105"/>
      <c r="F252" s="105"/>
      <c r="G252" s="105"/>
      <c r="H252" s="105"/>
      <c r="I252" s="105"/>
      <c r="J252" s="105"/>
      <c r="K252" s="105"/>
      <c r="L252" s="105"/>
      <c r="M252" s="105"/>
      <c r="N252" s="105"/>
      <c r="O252" s="105"/>
      <c r="P252" s="105"/>
      <c r="Q252" s="105"/>
      <c r="R252" s="105"/>
      <c r="S252" s="105"/>
      <c r="T252" s="105"/>
      <c r="U252" s="105"/>
      <c r="V252" s="105"/>
      <c r="W252" s="105"/>
      <c r="X252" s="105"/>
      <c r="Y252" s="105"/>
      <c r="Z252" s="105"/>
    </row>
    <row r="253">
      <c r="A253" s="105"/>
      <c r="B253" s="105"/>
      <c r="C253" s="105"/>
      <c r="D253" s="105"/>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row>
    <row r="254">
      <c r="A254" s="105"/>
      <c r="B254" s="105"/>
      <c r="C254" s="105"/>
      <c r="D254" s="105"/>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row>
    <row r="255">
      <c r="A255" s="105"/>
      <c r="B255" s="105"/>
      <c r="C255" s="105"/>
      <c r="D255" s="105"/>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row>
    <row r="256">
      <c r="A256" s="105"/>
      <c r="B256" s="105"/>
      <c r="C256" s="105"/>
      <c r="D256" s="105"/>
      <c r="E256" s="105"/>
      <c r="F256" s="105"/>
      <c r="G256" s="105"/>
      <c r="H256" s="105"/>
      <c r="I256" s="105"/>
      <c r="J256" s="105"/>
      <c r="K256" s="105"/>
      <c r="L256" s="105"/>
      <c r="M256" s="105"/>
      <c r="N256" s="105"/>
      <c r="O256" s="105"/>
      <c r="P256" s="105"/>
      <c r="Q256" s="105"/>
      <c r="R256" s="105"/>
      <c r="S256" s="105"/>
      <c r="T256" s="105"/>
      <c r="U256" s="105"/>
      <c r="V256" s="105"/>
      <c r="W256" s="105"/>
      <c r="X256" s="105"/>
      <c r="Y256" s="105"/>
      <c r="Z256" s="105"/>
    </row>
    <row r="257">
      <c r="A257" s="105"/>
      <c r="B257" s="105"/>
      <c r="C257" s="105"/>
      <c r="D257" s="105"/>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row>
    <row r="258">
      <c r="A258" s="105"/>
      <c r="B258" s="105"/>
      <c r="C258" s="105"/>
      <c r="D258" s="105"/>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row>
    <row r="259">
      <c r="A259" s="105"/>
      <c r="B259" s="105"/>
      <c r="C259" s="105"/>
      <c r="D259" s="105"/>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row>
    <row r="260">
      <c r="A260" s="105"/>
      <c r="B260" s="105"/>
      <c r="C260" s="105"/>
      <c r="D260" s="105"/>
      <c r="E260" s="105"/>
      <c r="F260" s="105"/>
      <c r="G260" s="105"/>
      <c r="H260" s="105"/>
      <c r="I260" s="105"/>
      <c r="J260" s="105"/>
      <c r="K260" s="105"/>
      <c r="L260" s="105"/>
      <c r="M260" s="105"/>
      <c r="N260" s="105"/>
      <c r="O260" s="105"/>
      <c r="P260" s="105"/>
      <c r="Q260" s="105"/>
      <c r="R260" s="105"/>
      <c r="S260" s="105"/>
      <c r="T260" s="105"/>
      <c r="U260" s="105"/>
      <c r="V260" s="105"/>
      <c r="W260" s="105"/>
      <c r="X260" s="105"/>
      <c r="Y260" s="105"/>
      <c r="Z260" s="105"/>
    </row>
    <row r="261">
      <c r="A261" s="105"/>
      <c r="B261" s="105"/>
      <c r="C261" s="105"/>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row>
    <row r="262">
      <c r="A262" s="105"/>
      <c r="B262" s="105"/>
      <c r="C262" s="105"/>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row>
    <row r="263">
      <c r="A263" s="105"/>
      <c r="B263" s="105"/>
      <c r="C263" s="105"/>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row>
    <row r="264">
      <c r="A264" s="105"/>
      <c r="B264" s="105"/>
      <c r="C264" s="105"/>
      <c r="D264" s="105"/>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row>
    <row r="265">
      <c r="A265" s="105"/>
      <c r="B265" s="105"/>
      <c r="C265" s="105"/>
      <c r="D265" s="105"/>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row>
    <row r="266">
      <c r="A266" s="105"/>
      <c r="B266" s="105"/>
      <c r="C266" s="105"/>
      <c r="D266" s="105"/>
      <c r="E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row>
    <row r="267">
      <c r="A267" s="105"/>
      <c r="B267" s="105"/>
      <c r="C267" s="105"/>
      <c r="D267" s="105"/>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row>
    <row r="268">
      <c r="A268" s="105"/>
      <c r="B268" s="105"/>
      <c r="C268" s="105"/>
      <c r="D268" s="105"/>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row>
    <row r="269">
      <c r="A269" s="105"/>
      <c r="B269" s="105"/>
      <c r="C269" s="105"/>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row>
    <row r="270">
      <c r="A270" s="105"/>
      <c r="B270" s="105"/>
      <c r="C270" s="105"/>
      <c r="D270" s="105"/>
      <c r="E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row>
    <row r="271">
      <c r="A271" s="105"/>
      <c r="B271" s="105"/>
      <c r="C271" s="105"/>
      <c r="D271" s="105"/>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row>
    <row r="272">
      <c r="A272" s="105"/>
      <c r="B272" s="105"/>
      <c r="C272" s="105"/>
      <c r="D272" s="105"/>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row>
    <row r="273">
      <c r="A273" s="105"/>
      <c r="B273" s="105"/>
      <c r="C273" s="105"/>
      <c r="D273" s="105"/>
      <c r="E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row>
    <row r="274">
      <c r="A274" s="105"/>
      <c r="B274" s="105"/>
      <c r="C274" s="105"/>
      <c r="D274" s="105"/>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row>
    <row r="275">
      <c r="A275" s="105"/>
      <c r="B275" s="105"/>
      <c r="C275" s="105"/>
      <c r="D275" s="105"/>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row>
    <row r="276">
      <c r="A276" s="105"/>
      <c r="B276" s="105"/>
      <c r="C276" s="105"/>
      <c r="D276" s="105"/>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row>
    <row r="277">
      <c r="A277" s="105"/>
      <c r="B277" s="105"/>
      <c r="C277" s="105"/>
      <c r="D277" s="105"/>
      <c r="E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row>
    <row r="278">
      <c r="A278" s="105"/>
      <c r="B278" s="105"/>
      <c r="C278" s="105"/>
      <c r="D278" s="105"/>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row>
    <row r="279">
      <c r="A279" s="105"/>
      <c r="B279" s="105"/>
      <c r="C279" s="105"/>
      <c r="D279" s="105"/>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row>
    <row r="280">
      <c r="A280" s="105"/>
      <c r="B280" s="105"/>
      <c r="C280" s="105"/>
      <c r="D280" s="105"/>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row>
    <row r="281">
      <c r="A281" s="105"/>
      <c r="B281" s="105"/>
      <c r="C281" s="105"/>
      <c r="D281" s="105"/>
      <c r="E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row>
    <row r="282">
      <c r="A282" s="105"/>
      <c r="B282" s="105"/>
      <c r="C282" s="105"/>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row>
    <row r="283">
      <c r="A283" s="105"/>
      <c r="B283" s="105"/>
      <c r="C283" s="105"/>
      <c r="D283" s="105"/>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row>
    <row r="284">
      <c r="A284" s="105"/>
      <c r="B284" s="105"/>
      <c r="C284" s="105"/>
      <c r="D284" s="105"/>
      <c r="E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row>
    <row r="285">
      <c r="A285" s="105"/>
      <c r="B285" s="105"/>
      <c r="C285" s="105"/>
      <c r="D285" s="105"/>
      <c r="E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row>
    <row r="286">
      <c r="A286" s="105"/>
      <c r="B286" s="105"/>
      <c r="C286" s="105"/>
      <c r="D286" s="105"/>
      <c r="E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row>
    <row r="287">
      <c r="A287" s="105"/>
      <c r="B287" s="105"/>
      <c r="C287" s="105"/>
      <c r="D287" s="105"/>
      <c r="E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row>
    <row r="288">
      <c r="A288" s="105"/>
      <c r="B288" s="105"/>
      <c r="C288" s="105"/>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row>
    <row r="289">
      <c r="A289" s="105"/>
      <c r="B289" s="105"/>
      <c r="C289" s="105"/>
      <c r="D289" s="105"/>
      <c r="E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row>
    <row r="290">
      <c r="A290" s="105"/>
      <c r="B290" s="105"/>
      <c r="C290" s="105"/>
      <c r="D290" s="105"/>
      <c r="E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row>
    <row r="291">
      <c r="A291" s="105"/>
      <c r="B291" s="105"/>
      <c r="C291" s="105"/>
      <c r="D291" s="105"/>
      <c r="E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row>
    <row r="292">
      <c r="A292" s="105"/>
      <c r="B292" s="105"/>
      <c r="C292" s="105"/>
      <c r="D292" s="105"/>
      <c r="E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row>
    <row r="293">
      <c r="A293" s="105"/>
      <c r="B293" s="105"/>
      <c r="C293" s="105"/>
      <c r="D293" s="105"/>
      <c r="E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row>
    <row r="294">
      <c r="A294" s="105"/>
      <c r="B294" s="105"/>
      <c r="C294" s="105"/>
      <c r="D294" s="105"/>
      <c r="E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row>
    <row r="295">
      <c r="A295" s="105"/>
      <c r="B295" s="105"/>
      <c r="C295" s="105"/>
      <c r="D295" s="105"/>
      <c r="E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row>
    <row r="296">
      <c r="A296" s="105"/>
      <c r="B296" s="105"/>
      <c r="C296" s="105"/>
      <c r="D296" s="105"/>
      <c r="E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row>
    <row r="297">
      <c r="A297" s="105"/>
      <c r="B297" s="105"/>
      <c r="C297" s="105"/>
      <c r="D297" s="105"/>
      <c r="E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row>
    <row r="298">
      <c r="A298" s="105"/>
      <c r="B298" s="105"/>
      <c r="C298" s="105"/>
      <c r="D298" s="105"/>
      <c r="E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row>
    <row r="299">
      <c r="A299" s="105"/>
      <c r="B299" s="105"/>
      <c r="C299" s="105"/>
      <c r="D299" s="105"/>
      <c r="E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row>
    <row r="300">
      <c r="A300" s="105"/>
      <c r="B300" s="105"/>
      <c r="C300" s="105"/>
      <c r="D300" s="105"/>
      <c r="E300" s="105"/>
      <c r="F300" s="105"/>
      <c r="G300" s="105"/>
      <c r="H300" s="105"/>
      <c r="I300" s="105"/>
      <c r="J300" s="105"/>
      <c r="K300" s="105"/>
      <c r="L300" s="105"/>
      <c r="M300" s="105"/>
      <c r="N300" s="105"/>
      <c r="O300" s="105"/>
      <c r="P300" s="105"/>
      <c r="Q300" s="105"/>
      <c r="R300" s="105"/>
      <c r="S300" s="105"/>
      <c r="T300" s="105"/>
      <c r="U300" s="105"/>
      <c r="V300" s="105"/>
      <c r="W300" s="105"/>
      <c r="X300" s="105"/>
      <c r="Y300" s="105"/>
      <c r="Z300" s="105"/>
    </row>
    <row r="301">
      <c r="A301" s="105"/>
      <c r="B301" s="105"/>
      <c r="C301" s="105"/>
      <c r="D301" s="105"/>
      <c r="E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row>
    <row r="302">
      <c r="A302" s="105"/>
      <c r="B302" s="105"/>
      <c r="C302" s="105"/>
      <c r="D302" s="105"/>
      <c r="E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row>
    <row r="303">
      <c r="A303" s="105"/>
      <c r="B303" s="105"/>
      <c r="C303" s="105"/>
      <c r="D303" s="105"/>
      <c r="E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row>
    <row r="304">
      <c r="A304" s="105"/>
      <c r="B304" s="105"/>
      <c r="C304" s="105"/>
      <c r="D304" s="105"/>
      <c r="E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row>
    <row r="305">
      <c r="A305" s="105"/>
      <c r="B305" s="105"/>
      <c r="C305" s="105"/>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row>
    <row r="306">
      <c r="A306" s="105"/>
      <c r="B306" s="105"/>
      <c r="C306" s="105"/>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row>
    <row r="307">
      <c r="A307" s="105"/>
      <c r="B307" s="105"/>
      <c r="C307" s="105"/>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row>
    <row r="308">
      <c r="A308" s="105"/>
      <c r="B308" s="105"/>
      <c r="C308" s="105"/>
      <c r="D308" s="105"/>
      <c r="E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row>
    <row r="309">
      <c r="A309" s="105"/>
      <c r="B309" s="105"/>
      <c r="C309" s="105"/>
      <c r="D309" s="105"/>
      <c r="E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row>
    <row r="310">
      <c r="A310" s="105"/>
      <c r="B310" s="105"/>
      <c r="C310" s="105"/>
      <c r="D310" s="105"/>
      <c r="E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row>
    <row r="311">
      <c r="A311" s="105"/>
      <c r="B311" s="105"/>
      <c r="C311" s="105"/>
      <c r="D311" s="105"/>
      <c r="E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row>
    <row r="312">
      <c r="A312" s="105"/>
      <c r="B312" s="105"/>
      <c r="C312" s="105"/>
      <c r="D312" s="105"/>
      <c r="E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row>
    <row r="313">
      <c r="A313" s="105"/>
      <c r="B313" s="105"/>
      <c r="C313" s="105"/>
      <c r="D313" s="105"/>
      <c r="E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row>
    <row r="314">
      <c r="A314" s="105"/>
      <c r="B314" s="105"/>
      <c r="C314" s="105"/>
      <c r="D314" s="105"/>
      <c r="E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row>
    <row r="315">
      <c r="A315" s="105"/>
      <c r="B315" s="105"/>
      <c r="C315" s="105"/>
      <c r="D315" s="105"/>
      <c r="E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row>
    <row r="316">
      <c r="A316" s="105"/>
      <c r="B316" s="105"/>
      <c r="C316" s="105"/>
      <c r="D316" s="105"/>
      <c r="E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row>
    <row r="317">
      <c r="A317" s="105"/>
      <c r="B317" s="105"/>
      <c r="C317" s="105"/>
      <c r="D317" s="105"/>
      <c r="E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row>
    <row r="318">
      <c r="A318" s="105"/>
      <c r="B318" s="105"/>
      <c r="C318" s="105"/>
      <c r="D318" s="105"/>
      <c r="E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row>
    <row r="319">
      <c r="A319" s="105"/>
      <c r="B319" s="105"/>
      <c r="C319" s="105"/>
      <c r="D319" s="105"/>
      <c r="E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row>
    <row r="320">
      <c r="A320" s="105"/>
      <c r="B320" s="105"/>
      <c r="C320" s="105"/>
      <c r="D320" s="105"/>
      <c r="E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row>
    <row r="321">
      <c r="A321" s="105"/>
      <c r="B321" s="105"/>
      <c r="C321" s="105"/>
      <c r="D321" s="105"/>
      <c r="E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row>
    <row r="322">
      <c r="A322" s="105"/>
      <c r="B322" s="105"/>
      <c r="C322" s="105"/>
      <c r="D322" s="105"/>
      <c r="E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row>
    <row r="323">
      <c r="A323" s="105"/>
      <c r="B323" s="105"/>
      <c r="C323" s="105"/>
      <c r="D323" s="105"/>
      <c r="E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row>
    <row r="324">
      <c r="A324" s="105"/>
      <c r="B324" s="105"/>
      <c r="C324" s="105"/>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row>
    <row r="325">
      <c r="A325" s="105"/>
      <c r="B325" s="105"/>
      <c r="C325" s="105"/>
      <c r="D325" s="105"/>
      <c r="E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row>
    <row r="326">
      <c r="A326" s="105"/>
      <c r="B326" s="105"/>
      <c r="C326" s="105"/>
      <c r="D326" s="105"/>
      <c r="E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row>
    <row r="327">
      <c r="A327" s="105"/>
      <c r="B327" s="105"/>
      <c r="C327" s="105"/>
      <c r="D327" s="105"/>
      <c r="E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row>
    <row r="328">
      <c r="A328" s="105"/>
      <c r="B328" s="105"/>
      <c r="C328" s="105"/>
      <c r="D328" s="105"/>
      <c r="E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row>
    <row r="329">
      <c r="A329" s="105"/>
      <c r="B329" s="105"/>
      <c r="C329" s="105"/>
      <c r="D329" s="105"/>
      <c r="E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row>
    <row r="330">
      <c r="A330" s="105"/>
      <c r="B330" s="105"/>
      <c r="C330" s="105"/>
      <c r="D330" s="105"/>
      <c r="E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row>
    <row r="331">
      <c r="A331" s="105"/>
      <c r="B331" s="105"/>
      <c r="C331" s="105"/>
      <c r="D331" s="105"/>
      <c r="E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row>
    <row r="332">
      <c r="A332" s="105"/>
      <c r="B332" s="105"/>
      <c r="C332" s="105"/>
      <c r="D332" s="105"/>
      <c r="E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row>
    <row r="333">
      <c r="A333" s="105"/>
      <c r="B333" s="105"/>
      <c r="C333" s="105"/>
      <c r="D333" s="105"/>
      <c r="E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row>
    <row r="334">
      <c r="A334" s="105"/>
      <c r="B334" s="105"/>
      <c r="C334" s="105"/>
      <c r="D334" s="105"/>
      <c r="E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row>
    <row r="335">
      <c r="A335" s="105"/>
      <c r="B335" s="105"/>
      <c r="C335" s="105"/>
      <c r="D335" s="105"/>
      <c r="E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row>
    <row r="336">
      <c r="A336" s="105"/>
      <c r="B336" s="105"/>
      <c r="C336" s="105"/>
      <c r="D336" s="105"/>
      <c r="E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row>
    <row r="337">
      <c r="A337" s="105"/>
      <c r="B337" s="105"/>
      <c r="C337" s="105"/>
      <c r="D337" s="105"/>
      <c r="E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row>
    <row r="338">
      <c r="A338" s="105"/>
      <c r="B338" s="105"/>
      <c r="C338" s="105"/>
      <c r="D338" s="105"/>
      <c r="E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row>
    <row r="339">
      <c r="A339" s="105"/>
      <c r="B339" s="105"/>
      <c r="C339" s="105"/>
      <c r="D339" s="105"/>
      <c r="E339" s="105"/>
      <c r="F339" s="105"/>
      <c r="G339" s="105"/>
      <c r="H339" s="105"/>
      <c r="I339" s="105"/>
      <c r="J339" s="105"/>
      <c r="K339" s="105"/>
      <c r="L339" s="105"/>
      <c r="M339" s="105"/>
      <c r="N339" s="105"/>
      <c r="O339" s="105"/>
      <c r="P339" s="105"/>
      <c r="Q339" s="105"/>
      <c r="R339" s="105"/>
      <c r="S339" s="105"/>
      <c r="T339" s="105"/>
      <c r="U339" s="105"/>
      <c r="V339" s="105"/>
      <c r="W339" s="105"/>
      <c r="X339" s="105"/>
      <c r="Y339" s="105"/>
      <c r="Z339" s="105"/>
    </row>
    <row r="340">
      <c r="A340" s="105"/>
      <c r="B340" s="105"/>
      <c r="C340" s="105"/>
      <c r="D340" s="105"/>
      <c r="E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row>
    <row r="341">
      <c r="A341" s="105"/>
      <c r="B341" s="105"/>
      <c r="C341" s="105"/>
      <c r="D341" s="105"/>
      <c r="E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row>
    <row r="342">
      <c r="A342" s="105"/>
      <c r="B342" s="105"/>
      <c r="C342" s="105"/>
      <c r="D342" s="105"/>
      <c r="E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row>
    <row r="343">
      <c r="A343" s="105"/>
      <c r="B343" s="105"/>
      <c r="C343" s="105"/>
      <c r="D343" s="105"/>
      <c r="E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row>
    <row r="344">
      <c r="A344" s="105"/>
      <c r="B344" s="105"/>
      <c r="C344" s="105"/>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row>
    <row r="345">
      <c r="A345" s="105"/>
      <c r="B345" s="105"/>
      <c r="C345" s="105"/>
      <c r="D345" s="105"/>
      <c r="E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row>
    <row r="346">
      <c r="A346" s="105"/>
      <c r="B346" s="105"/>
      <c r="C346" s="105"/>
      <c r="D346" s="105"/>
      <c r="E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row>
    <row r="347">
      <c r="A347" s="105"/>
      <c r="B347" s="105"/>
      <c r="C347" s="105"/>
      <c r="D347" s="105"/>
      <c r="E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row>
    <row r="348">
      <c r="A348" s="105"/>
      <c r="B348" s="105"/>
      <c r="C348" s="105"/>
      <c r="D348" s="105"/>
      <c r="E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row>
    <row r="349">
      <c r="A349" s="105"/>
      <c r="B349" s="105"/>
      <c r="C349" s="105"/>
      <c r="D349" s="105"/>
      <c r="E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row>
    <row r="350">
      <c r="A350" s="105"/>
      <c r="B350" s="105"/>
      <c r="C350" s="105"/>
      <c r="D350" s="105"/>
      <c r="E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row>
    <row r="351">
      <c r="A351" s="105"/>
      <c r="B351" s="105"/>
      <c r="C351" s="105"/>
      <c r="D351" s="105"/>
      <c r="E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row>
    <row r="352">
      <c r="A352" s="105"/>
      <c r="B352" s="105"/>
      <c r="C352" s="105"/>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row>
    <row r="353">
      <c r="A353" s="105"/>
      <c r="B353" s="105"/>
      <c r="C353" s="105"/>
      <c r="D353" s="105"/>
      <c r="E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row>
    <row r="354">
      <c r="A354" s="105"/>
      <c r="B354" s="105"/>
      <c r="C354" s="105"/>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row>
    <row r="355">
      <c r="A355" s="105"/>
      <c r="B355" s="105"/>
      <c r="C355" s="105"/>
      <c r="D355" s="105"/>
      <c r="E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row>
    <row r="356">
      <c r="A356" s="105"/>
      <c r="B356" s="105"/>
      <c r="C356" s="105"/>
      <c r="D356" s="105"/>
      <c r="E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row>
    <row r="357">
      <c r="A357" s="105"/>
      <c r="B357" s="105"/>
      <c r="C357" s="105"/>
      <c r="D357" s="105"/>
      <c r="E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row>
    <row r="358">
      <c r="A358" s="105"/>
      <c r="B358" s="105"/>
      <c r="C358" s="105"/>
      <c r="D358" s="105"/>
      <c r="E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row>
    <row r="359">
      <c r="A359" s="105"/>
      <c r="B359" s="105"/>
      <c r="C359" s="105"/>
      <c r="D359" s="105"/>
      <c r="E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row>
    <row r="360">
      <c r="A360" s="105"/>
      <c r="B360" s="105"/>
      <c r="C360" s="105"/>
      <c r="D360" s="105"/>
      <c r="E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row>
    <row r="361">
      <c r="A361" s="105"/>
      <c r="B361" s="105"/>
      <c r="C361" s="105"/>
      <c r="D361" s="105"/>
      <c r="E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row>
    <row r="362">
      <c r="A362" s="105"/>
      <c r="B362" s="105"/>
      <c r="C362" s="105"/>
      <c r="D362" s="105"/>
      <c r="E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row>
    <row r="363">
      <c r="A363" s="105"/>
      <c r="B363" s="105"/>
      <c r="C363" s="105"/>
      <c r="D363" s="105"/>
      <c r="E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row>
    <row r="364">
      <c r="A364" s="105"/>
      <c r="B364" s="105"/>
      <c r="C364" s="105"/>
      <c r="D364" s="105"/>
      <c r="E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row>
    <row r="365">
      <c r="A365" s="105"/>
      <c r="B365" s="105"/>
      <c r="C365" s="105"/>
      <c r="D365" s="105"/>
      <c r="E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row>
    <row r="366">
      <c r="A366" s="105"/>
      <c r="B366" s="105"/>
      <c r="C366" s="105"/>
      <c r="D366" s="105"/>
      <c r="E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row>
    <row r="367">
      <c r="A367" s="105"/>
      <c r="B367" s="105"/>
      <c r="C367" s="105"/>
      <c r="D367" s="105"/>
      <c r="E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row>
    <row r="368">
      <c r="A368" s="105"/>
      <c r="B368" s="105"/>
      <c r="C368" s="105"/>
      <c r="D368" s="105"/>
      <c r="E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row>
    <row r="369">
      <c r="A369" s="105"/>
      <c r="B369" s="105"/>
      <c r="C369" s="105"/>
      <c r="D369" s="105"/>
      <c r="E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row>
    <row r="370">
      <c r="A370" s="105"/>
      <c r="B370" s="105"/>
      <c r="C370" s="105"/>
      <c r="D370" s="105"/>
      <c r="E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row>
    <row r="371">
      <c r="A371" s="105"/>
      <c r="B371" s="105"/>
      <c r="C371" s="105"/>
      <c r="D371" s="105"/>
      <c r="E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row>
    <row r="372">
      <c r="A372" s="105"/>
      <c r="B372" s="105"/>
      <c r="C372" s="105"/>
      <c r="D372" s="105"/>
      <c r="E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row>
    <row r="373">
      <c r="A373" s="105"/>
      <c r="B373" s="105"/>
      <c r="C373" s="105"/>
      <c r="D373" s="105"/>
      <c r="E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row>
    <row r="374">
      <c r="A374" s="105"/>
      <c r="B374" s="105"/>
      <c r="C374" s="105"/>
      <c r="D374" s="105"/>
      <c r="E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row>
    <row r="375">
      <c r="A375" s="105"/>
      <c r="B375" s="105"/>
      <c r="C375" s="105"/>
      <c r="D375" s="105"/>
      <c r="E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row>
    <row r="376">
      <c r="A376" s="105"/>
      <c r="B376" s="105"/>
      <c r="C376" s="105"/>
      <c r="D376" s="105"/>
      <c r="E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row>
    <row r="377">
      <c r="A377" s="105"/>
      <c r="B377" s="105"/>
      <c r="C377" s="105"/>
      <c r="D377" s="105"/>
      <c r="E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row>
    <row r="378">
      <c r="A378" s="105"/>
      <c r="B378" s="105"/>
      <c r="C378" s="105"/>
      <c r="D378" s="105"/>
      <c r="E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row>
    <row r="379">
      <c r="A379" s="105"/>
      <c r="B379" s="105"/>
      <c r="C379" s="105"/>
      <c r="D379" s="105"/>
      <c r="E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row>
    <row r="380">
      <c r="A380" s="105"/>
      <c r="B380" s="105"/>
      <c r="C380" s="105"/>
      <c r="D380" s="105"/>
      <c r="E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row>
    <row r="381">
      <c r="A381" s="105"/>
      <c r="B381" s="105"/>
      <c r="C381" s="105"/>
      <c r="D381" s="105"/>
      <c r="E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row>
    <row r="382">
      <c r="A382" s="105"/>
      <c r="B382" s="105"/>
      <c r="C382" s="105"/>
      <c r="D382" s="105"/>
      <c r="E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row>
    <row r="383">
      <c r="A383" s="105"/>
      <c r="B383" s="105"/>
      <c r="C383" s="105"/>
      <c r="D383" s="105"/>
      <c r="E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row>
    <row r="384">
      <c r="A384" s="105"/>
      <c r="B384" s="105"/>
      <c r="C384" s="105"/>
      <c r="D384" s="105"/>
      <c r="E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row>
    <row r="385">
      <c r="A385" s="105"/>
      <c r="B385" s="105"/>
      <c r="C385" s="105"/>
      <c r="D385" s="105"/>
      <c r="E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row>
    <row r="386">
      <c r="A386" s="105"/>
      <c r="B386" s="105"/>
      <c r="C386" s="105"/>
      <c r="D386" s="105"/>
      <c r="E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row>
    <row r="387">
      <c r="A387" s="105"/>
      <c r="B387" s="105"/>
      <c r="C387" s="105"/>
      <c r="D387" s="105"/>
      <c r="E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row>
    <row r="388">
      <c r="A388" s="105"/>
      <c r="B388" s="105"/>
      <c r="C388" s="105"/>
      <c r="D388" s="105"/>
      <c r="E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row>
    <row r="389">
      <c r="A389" s="105"/>
      <c r="B389" s="105"/>
      <c r="C389" s="105"/>
      <c r="D389" s="105"/>
      <c r="E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row>
    <row r="390">
      <c r="A390" s="105"/>
      <c r="B390" s="105"/>
      <c r="C390" s="105"/>
      <c r="D390" s="105"/>
      <c r="E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row>
    <row r="391">
      <c r="A391" s="105"/>
      <c r="B391" s="105"/>
      <c r="C391" s="105"/>
      <c r="D391" s="105"/>
      <c r="E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row>
    <row r="392">
      <c r="A392" s="105"/>
      <c r="B392" s="105"/>
      <c r="C392" s="105"/>
      <c r="D392" s="105"/>
      <c r="E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row>
    <row r="393">
      <c r="A393" s="105"/>
      <c r="B393" s="105"/>
      <c r="C393" s="105"/>
      <c r="D393" s="105"/>
      <c r="E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row>
    <row r="394">
      <c r="A394" s="105"/>
      <c r="B394" s="105"/>
      <c r="C394" s="105"/>
      <c r="D394" s="105"/>
      <c r="E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row>
    <row r="395">
      <c r="A395" s="105"/>
      <c r="B395" s="105"/>
      <c r="C395" s="105"/>
      <c r="D395" s="105"/>
      <c r="E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row>
    <row r="396">
      <c r="A396" s="105"/>
      <c r="B396" s="105"/>
      <c r="C396" s="105"/>
      <c r="D396" s="105"/>
      <c r="E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row>
    <row r="397">
      <c r="A397" s="105"/>
      <c r="B397" s="105"/>
      <c r="C397" s="105"/>
      <c r="D397" s="105"/>
      <c r="E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row>
    <row r="398">
      <c r="A398" s="105"/>
      <c r="B398" s="105"/>
      <c r="C398" s="105"/>
      <c r="D398" s="105"/>
      <c r="E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row>
    <row r="399">
      <c r="A399" s="105"/>
      <c r="B399" s="105"/>
      <c r="C399" s="105"/>
      <c r="D399" s="105"/>
      <c r="E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row>
    <row r="400">
      <c r="A400" s="105"/>
      <c r="B400" s="105"/>
      <c r="C400" s="105"/>
      <c r="D400" s="105"/>
      <c r="E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row>
    <row r="401">
      <c r="A401" s="105"/>
      <c r="B401" s="105"/>
      <c r="C401" s="105"/>
      <c r="D401" s="105"/>
      <c r="E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row>
    <row r="402">
      <c r="A402" s="105"/>
      <c r="B402" s="105"/>
      <c r="C402" s="105"/>
      <c r="D402" s="105"/>
      <c r="E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row>
    <row r="403">
      <c r="A403" s="105"/>
      <c r="B403" s="105"/>
      <c r="C403" s="105"/>
      <c r="D403" s="105"/>
      <c r="E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row>
    <row r="404">
      <c r="A404" s="105"/>
      <c r="B404" s="105"/>
      <c r="C404" s="105"/>
      <c r="D404" s="105"/>
      <c r="E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row>
    <row r="405">
      <c r="A405" s="105"/>
      <c r="B405" s="105"/>
      <c r="C405" s="105"/>
      <c r="D405" s="105"/>
      <c r="E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row>
    <row r="406">
      <c r="A406" s="105"/>
      <c r="B406" s="105"/>
      <c r="C406" s="105"/>
      <c r="D406" s="105"/>
      <c r="E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row>
    <row r="407">
      <c r="A407" s="105"/>
      <c r="B407" s="105"/>
      <c r="C407" s="105"/>
      <c r="D407" s="105"/>
      <c r="E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row>
    <row r="408">
      <c r="A408" s="105"/>
      <c r="B408" s="105"/>
      <c r="C408" s="105"/>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row>
    <row r="409">
      <c r="A409" s="105"/>
      <c r="B409" s="105"/>
      <c r="C409" s="105"/>
      <c r="D409" s="105"/>
      <c r="E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row>
    <row r="410">
      <c r="A410" s="105"/>
      <c r="B410" s="105"/>
      <c r="C410" s="105"/>
      <c r="D410" s="105"/>
      <c r="E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row>
    <row r="411">
      <c r="A411" s="105"/>
      <c r="B411" s="105"/>
      <c r="C411" s="105"/>
      <c r="D411" s="105"/>
      <c r="E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row>
    <row r="412">
      <c r="A412" s="105"/>
      <c r="B412" s="105"/>
      <c r="C412" s="105"/>
      <c r="D412" s="105"/>
      <c r="E412" s="105"/>
      <c r="F412" s="105"/>
      <c r="G412" s="105"/>
      <c r="H412" s="105"/>
      <c r="I412" s="105"/>
      <c r="J412" s="105"/>
      <c r="K412" s="105"/>
      <c r="L412" s="105"/>
      <c r="M412" s="105"/>
      <c r="N412" s="105"/>
      <c r="O412" s="105"/>
      <c r="P412" s="105"/>
      <c r="Q412" s="105"/>
      <c r="R412" s="105"/>
      <c r="S412" s="105"/>
      <c r="T412" s="105"/>
      <c r="U412" s="105"/>
      <c r="V412" s="105"/>
      <c r="W412" s="105"/>
      <c r="X412" s="105"/>
      <c r="Y412" s="105"/>
      <c r="Z412" s="105"/>
    </row>
    <row r="413">
      <c r="A413" s="105"/>
      <c r="B413" s="105"/>
      <c r="C413" s="105"/>
      <c r="D413" s="105"/>
      <c r="E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row>
    <row r="414">
      <c r="A414" s="105"/>
      <c r="B414" s="105"/>
      <c r="C414" s="105"/>
      <c r="D414" s="105"/>
      <c r="E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row>
    <row r="415">
      <c r="A415" s="105"/>
      <c r="B415" s="105"/>
      <c r="C415" s="105"/>
      <c r="D415" s="105"/>
      <c r="E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row>
    <row r="416">
      <c r="A416" s="105"/>
      <c r="B416" s="105"/>
      <c r="C416" s="105"/>
      <c r="D416" s="105"/>
      <c r="E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row>
    <row r="417">
      <c r="A417" s="105"/>
      <c r="B417" s="105"/>
      <c r="C417" s="105"/>
      <c r="D417" s="105"/>
      <c r="E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row>
    <row r="418">
      <c r="A418" s="105"/>
      <c r="B418" s="105"/>
      <c r="C418" s="105"/>
      <c r="D418" s="105"/>
      <c r="E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row>
    <row r="419">
      <c r="A419" s="105"/>
      <c r="B419" s="105"/>
      <c r="C419" s="105"/>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row>
    <row r="420">
      <c r="A420" s="105"/>
      <c r="B420" s="105"/>
      <c r="C420" s="105"/>
      <c r="D420" s="105"/>
      <c r="E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row>
    <row r="421">
      <c r="A421" s="105"/>
      <c r="B421" s="105"/>
      <c r="C421" s="105"/>
      <c r="D421" s="105"/>
      <c r="E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row>
    <row r="422">
      <c r="A422" s="105"/>
      <c r="B422" s="105"/>
      <c r="C422" s="105"/>
      <c r="D422" s="105"/>
      <c r="E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row>
    <row r="423">
      <c r="A423" s="105"/>
      <c r="B423" s="105"/>
      <c r="C423" s="105"/>
      <c r="D423" s="105"/>
      <c r="E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row>
    <row r="424">
      <c r="A424" s="105"/>
      <c r="B424" s="105"/>
      <c r="C424" s="105"/>
      <c r="D424" s="105"/>
      <c r="E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row>
    <row r="425">
      <c r="A425" s="105"/>
      <c r="B425" s="105"/>
      <c r="C425" s="105"/>
      <c r="D425" s="105"/>
      <c r="E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row>
    <row r="426">
      <c r="A426" s="105"/>
      <c r="B426" s="105"/>
      <c r="C426" s="105"/>
      <c r="D426" s="105"/>
      <c r="E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row>
    <row r="427">
      <c r="A427" s="105"/>
      <c r="B427" s="105"/>
      <c r="C427" s="105"/>
      <c r="D427" s="105"/>
      <c r="E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row>
    <row r="428">
      <c r="A428" s="105"/>
      <c r="B428" s="105"/>
      <c r="C428" s="105"/>
      <c r="D428" s="105"/>
      <c r="E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row>
    <row r="429">
      <c r="A429" s="105"/>
      <c r="B429" s="105"/>
      <c r="C429" s="105"/>
      <c r="D429" s="105"/>
      <c r="E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row>
    <row r="430">
      <c r="A430" s="105"/>
      <c r="B430" s="105"/>
      <c r="C430" s="105"/>
      <c r="D430" s="105"/>
      <c r="E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row>
    <row r="431">
      <c r="A431" s="105"/>
      <c r="B431" s="105"/>
      <c r="C431" s="105"/>
      <c r="D431" s="105"/>
      <c r="E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row>
    <row r="432">
      <c r="A432" s="105"/>
      <c r="B432" s="105"/>
      <c r="C432" s="105"/>
      <c r="D432" s="105"/>
      <c r="E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row>
    <row r="433">
      <c r="A433" s="105"/>
      <c r="B433" s="105"/>
      <c r="C433" s="105"/>
      <c r="D433" s="105"/>
      <c r="E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row>
    <row r="434">
      <c r="A434" s="105"/>
      <c r="B434" s="105"/>
      <c r="C434" s="105"/>
      <c r="D434" s="105"/>
      <c r="E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row>
    <row r="435">
      <c r="A435" s="105"/>
      <c r="B435" s="105"/>
      <c r="C435" s="105"/>
      <c r="D435" s="105"/>
      <c r="E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row>
    <row r="436">
      <c r="A436" s="105"/>
      <c r="B436" s="105"/>
      <c r="C436" s="105"/>
      <c r="D436" s="105"/>
      <c r="E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row>
    <row r="437">
      <c r="A437" s="105"/>
      <c r="B437" s="105"/>
      <c r="C437" s="105"/>
      <c r="D437" s="105"/>
      <c r="E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row>
    <row r="438">
      <c r="A438" s="105"/>
      <c r="B438" s="105"/>
      <c r="C438" s="105"/>
      <c r="D438" s="105"/>
      <c r="E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row>
    <row r="439">
      <c r="A439" s="105"/>
      <c r="B439" s="105"/>
      <c r="C439" s="105"/>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row>
    <row r="440">
      <c r="A440" s="105"/>
      <c r="B440" s="105"/>
      <c r="C440" s="105"/>
      <c r="D440" s="105"/>
      <c r="E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row>
    <row r="441">
      <c r="A441" s="105"/>
      <c r="B441" s="105"/>
      <c r="C441" s="105"/>
      <c r="D441" s="105"/>
      <c r="E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row>
    <row r="442">
      <c r="A442" s="105"/>
      <c r="B442" s="105"/>
      <c r="C442" s="105"/>
      <c r="D442" s="105"/>
      <c r="E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row>
    <row r="443">
      <c r="A443" s="105"/>
      <c r="B443" s="105"/>
      <c r="C443" s="105"/>
      <c r="D443" s="105"/>
      <c r="E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row>
    <row r="444">
      <c r="A444" s="105"/>
      <c r="B444" s="105"/>
      <c r="C444" s="105"/>
      <c r="D444" s="105"/>
      <c r="E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row>
    <row r="445">
      <c r="A445" s="105"/>
      <c r="B445" s="105"/>
      <c r="C445" s="105"/>
      <c r="D445" s="105"/>
      <c r="E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row>
    <row r="446">
      <c r="A446" s="105"/>
      <c r="B446" s="105"/>
      <c r="C446" s="105"/>
      <c r="D446" s="105"/>
      <c r="E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row>
    <row r="447">
      <c r="A447" s="105"/>
      <c r="B447" s="105"/>
      <c r="C447" s="105"/>
      <c r="D447" s="105"/>
      <c r="E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row>
    <row r="448">
      <c r="A448" s="105"/>
      <c r="B448" s="105"/>
      <c r="C448" s="105"/>
      <c r="D448" s="105"/>
      <c r="E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row>
    <row r="449">
      <c r="A449" s="105"/>
      <c r="B449" s="105"/>
      <c r="C449" s="105"/>
      <c r="D449" s="105"/>
      <c r="E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row>
    <row r="450">
      <c r="A450" s="105"/>
      <c r="B450" s="105"/>
      <c r="C450" s="105"/>
      <c r="D450" s="105"/>
      <c r="E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row>
    <row r="451">
      <c r="A451" s="105"/>
      <c r="B451" s="105"/>
      <c r="C451" s="105"/>
      <c r="D451" s="105"/>
      <c r="E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row>
    <row r="452">
      <c r="A452" s="105"/>
      <c r="B452" s="105"/>
      <c r="C452" s="105"/>
      <c r="D452" s="105"/>
      <c r="E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row>
    <row r="453">
      <c r="A453" s="105"/>
      <c r="B453" s="105"/>
      <c r="C453" s="105"/>
      <c r="D453" s="105"/>
      <c r="E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row>
    <row r="454">
      <c r="A454" s="105"/>
      <c r="B454" s="105"/>
      <c r="C454" s="105"/>
      <c r="D454" s="105"/>
      <c r="E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row>
    <row r="455">
      <c r="A455" s="105"/>
      <c r="B455" s="105"/>
      <c r="C455" s="105"/>
      <c r="D455" s="105"/>
      <c r="E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row>
    <row r="456">
      <c r="A456" s="105"/>
      <c r="B456" s="105"/>
      <c r="C456" s="105"/>
      <c r="D456" s="105"/>
      <c r="E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row>
    <row r="457">
      <c r="A457" s="105"/>
      <c r="B457" s="105"/>
      <c r="C457" s="105"/>
      <c r="D457" s="105"/>
      <c r="E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row>
    <row r="458">
      <c r="A458" s="105"/>
      <c r="B458" s="105"/>
      <c r="C458" s="105"/>
      <c r="D458" s="105"/>
      <c r="E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row>
    <row r="459">
      <c r="A459" s="105"/>
      <c r="B459" s="105"/>
      <c r="C459" s="105"/>
      <c r="D459" s="105"/>
      <c r="E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row>
    <row r="460">
      <c r="A460" s="105"/>
      <c r="B460" s="105"/>
      <c r="C460" s="105"/>
      <c r="D460" s="105"/>
      <c r="E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row>
    <row r="461">
      <c r="A461" s="105"/>
      <c r="B461" s="105"/>
      <c r="C461" s="105"/>
      <c r="D461" s="105"/>
      <c r="E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row>
    <row r="462">
      <c r="A462" s="105"/>
      <c r="B462" s="105"/>
      <c r="C462" s="105"/>
      <c r="D462" s="105"/>
      <c r="E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row>
    <row r="463">
      <c r="A463" s="105"/>
      <c r="B463" s="105"/>
      <c r="C463" s="105"/>
      <c r="D463" s="105"/>
      <c r="E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row>
    <row r="464">
      <c r="A464" s="105"/>
      <c r="B464" s="105"/>
      <c r="C464" s="105"/>
      <c r="D464" s="105"/>
      <c r="E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row>
    <row r="465">
      <c r="A465" s="105"/>
      <c r="B465" s="105"/>
      <c r="C465" s="105"/>
      <c r="D465" s="105"/>
      <c r="E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row>
    <row r="466">
      <c r="A466" s="105"/>
      <c r="B466" s="105"/>
      <c r="C466" s="105"/>
      <c r="D466" s="105"/>
      <c r="E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row>
    <row r="467">
      <c r="A467" s="105"/>
      <c r="B467" s="105"/>
      <c r="C467" s="105"/>
      <c r="D467" s="105"/>
      <c r="E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row>
    <row r="468">
      <c r="A468" s="105"/>
      <c r="B468" s="105"/>
      <c r="C468" s="105"/>
      <c r="D468" s="105"/>
      <c r="E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row>
    <row r="469">
      <c r="A469" s="105"/>
      <c r="B469" s="105"/>
      <c r="C469" s="105"/>
      <c r="D469" s="105"/>
      <c r="E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row>
    <row r="470">
      <c r="A470" s="105"/>
      <c r="B470" s="105"/>
      <c r="C470" s="105"/>
      <c r="D470" s="105"/>
      <c r="E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row>
    <row r="471">
      <c r="A471" s="105"/>
      <c r="B471" s="105"/>
      <c r="C471" s="105"/>
      <c r="D471" s="105"/>
      <c r="E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row>
    <row r="472">
      <c r="A472" s="105"/>
      <c r="B472" s="105"/>
      <c r="C472" s="105"/>
      <c r="D472" s="105"/>
      <c r="E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row>
    <row r="473">
      <c r="A473" s="105"/>
      <c r="B473" s="105"/>
      <c r="C473" s="105"/>
      <c r="D473" s="105"/>
      <c r="E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row>
    <row r="474">
      <c r="A474" s="105"/>
      <c r="B474" s="105"/>
      <c r="C474" s="105"/>
      <c r="D474" s="105"/>
      <c r="E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row>
    <row r="475">
      <c r="A475" s="105"/>
      <c r="B475" s="105"/>
      <c r="C475" s="105"/>
      <c r="D475" s="105"/>
      <c r="E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row>
    <row r="476">
      <c r="A476" s="105"/>
      <c r="B476" s="105"/>
      <c r="C476" s="105"/>
      <c r="D476" s="105"/>
      <c r="E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row>
    <row r="477">
      <c r="A477" s="105"/>
      <c r="B477" s="105"/>
      <c r="C477" s="105"/>
      <c r="D477" s="105"/>
      <c r="E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row>
    <row r="478">
      <c r="A478" s="105"/>
      <c r="B478" s="105"/>
      <c r="C478" s="105"/>
      <c r="D478" s="105"/>
      <c r="E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row>
    <row r="479">
      <c r="A479" s="105"/>
      <c r="B479" s="105"/>
      <c r="C479" s="105"/>
      <c r="D479" s="105"/>
      <c r="E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row>
    <row r="480">
      <c r="A480" s="105"/>
      <c r="B480" s="105"/>
      <c r="C480" s="105"/>
      <c r="D480" s="105"/>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row>
    <row r="481">
      <c r="A481" s="105"/>
      <c r="B481" s="105"/>
      <c r="C481" s="105"/>
      <c r="D481" s="105"/>
      <c r="E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row>
    <row r="482">
      <c r="A482" s="105"/>
      <c r="B482" s="105"/>
      <c r="C482" s="105"/>
      <c r="D482" s="105"/>
      <c r="E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row>
    <row r="483">
      <c r="A483" s="105"/>
      <c r="B483" s="105"/>
      <c r="C483" s="105"/>
      <c r="D483" s="105"/>
      <c r="E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row>
    <row r="484">
      <c r="A484" s="105"/>
      <c r="B484" s="105"/>
      <c r="C484" s="105"/>
      <c r="D484" s="105"/>
      <c r="E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row>
    <row r="485">
      <c r="A485" s="105"/>
      <c r="B485" s="105"/>
      <c r="C485" s="105"/>
      <c r="D485" s="105"/>
      <c r="E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row>
    <row r="486">
      <c r="A486" s="105"/>
      <c r="B486" s="105"/>
      <c r="C486" s="105"/>
      <c r="D486" s="105"/>
      <c r="E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row>
    <row r="487">
      <c r="A487" s="105"/>
      <c r="B487" s="105"/>
      <c r="C487" s="105"/>
      <c r="D487" s="105"/>
      <c r="E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row>
    <row r="488">
      <c r="A488" s="105"/>
      <c r="B488" s="105"/>
      <c r="C488" s="105"/>
      <c r="D488" s="105"/>
      <c r="E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row>
    <row r="489">
      <c r="A489" s="105"/>
      <c r="B489" s="105"/>
      <c r="C489" s="105"/>
      <c r="D489" s="105"/>
      <c r="E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row>
    <row r="490">
      <c r="A490" s="105"/>
      <c r="B490" s="105"/>
      <c r="C490" s="105"/>
      <c r="D490" s="105"/>
      <c r="E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row>
    <row r="491">
      <c r="A491" s="105"/>
      <c r="B491" s="105"/>
      <c r="C491" s="105"/>
      <c r="D491" s="105"/>
      <c r="E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row>
    <row r="492">
      <c r="A492" s="105"/>
      <c r="B492" s="105"/>
      <c r="C492" s="105"/>
      <c r="D492" s="105"/>
      <c r="E492" s="105"/>
      <c r="F492" s="105"/>
      <c r="G492" s="105"/>
      <c r="H492" s="105"/>
      <c r="I492" s="105"/>
      <c r="J492" s="105"/>
      <c r="K492" s="105"/>
      <c r="L492" s="105"/>
      <c r="M492" s="105"/>
      <c r="N492" s="105"/>
      <c r="O492" s="105"/>
      <c r="P492" s="105"/>
      <c r="Q492" s="105"/>
      <c r="R492" s="105"/>
      <c r="S492" s="105"/>
      <c r="T492" s="105"/>
      <c r="U492" s="105"/>
      <c r="V492" s="105"/>
      <c r="W492" s="105"/>
      <c r="X492" s="105"/>
      <c r="Y492" s="105"/>
      <c r="Z492" s="105"/>
    </row>
    <row r="493">
      <c r="A493" s="105"/>
      <c r="B493" s="105"/>
      <c r="C493" s="105"/>
      <c r="D493" s="105"/>
      <c r="E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row>
    <row r="494">
      <c r="A494" s="105"/>
      <c r="B494" s="105"/>
      <c r="C494" s="105"/>
      <c r="D494" s="105"/>
      <c r="E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row>
    <row r="495">
      <c r="A495" s="105"/>
      <c r="B495" s="105"/>
      <c r="C495" s="105"/>
      <c r="D495" s="105"/>
      <c r="E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row>
    <row r="496">
      <c r="A496" s="105"/>
      <c r="B496" s="105"/>
      <c r="C496" s="105"/>
      <c r="D496" s="105"/>
      <c r="E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row>
    <row r="497">
      <c r="A497" s="105"/>
      <c r="B497" s="105"/>
      <c r="C497" s="105"/>
      <c r="D497" s="105"/>
      <c r="E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row>
    <row r="498">
      <c r="A498" s="105"/>
      <c r="B498" s="105"/>
      <c r="C498" s="105"/>
      <c r="D498" s="105"/>
      <c r="E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row>
    <row r="499">
      <c r="A499" s="105"/>
      <c r="B499" s="105"/>
      <c r="C499" s="105"/>
      <c r="D499" s="105"/>
      <c r="E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row>
    <row r="500">
      <c r="A500" s="105"/>
      <c r="B500" s="105"/>
      <c r="C500" s="105"/>
      <c r="D500" s="105"/>
      <c r="E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row>
    <row r="501">
      <c r="A501" s="105"/>
      <c r="B501" s="105"/>
      <c r="C501" s="105"/>
      <c r="D501" s="105"/>
      <c r="E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row>
    <row r="502">
      <c r="A502" s="105"/>
      <c r="B502" s="105"/>
      <c r="C502" s="105"/>
      <c r="D502" s="105"/>
      <c r="E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row>
    <row r="503">
      <c r="A503" s="105"/>
      <c r="B503" s="105"/>
      <c r="C503" s="105"/>
      <c r="D503" s="105"/>
      <c r="E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row>
    <row r="504">
      <c r="A504" s="105"/>
      <c r="B504" s="105"/>
      <c r="C504" s="105"/>
      <c r="D504" s="105"/>
      <c r="E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row>
    <row r="505">
      <c r="A505" s="105"/>
      <c r="B505" s="105"/>
      <c r="C505" s="105"/>
      <c r="D505" s="105"/>
      <c r="E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row>
    <row r="506">
      <c r="A506" s="105"/>
      <c r="B506" s="105"/>
      <c r="C506" s="105"/>
      <c r="D506" s="105"/>
      <c r="E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row>
    <row r="507">
      <c r="A507" s="105"/>
      <c r="B507" s="105"/>
      <c r="C507" s="105"/>
      <c r="D507" s="105"/>
      <c r="E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row>
    <row r="508">
      <c r="A508" s="105"/>
      <c r="B508" s="105"/>
      <c r="C508" s="105"/>
      <c r="D508" s="105"/>
      <c r="E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row>
    <row r="509">
      <c r="A509" s="105"/>
      <c r="B509" s="105"/>
      <c r="C509" s="105"/>
      <c r="D509" s="105"/>
      <c r="E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row>
    <row r="510">
      <c r="A510" s="105"/>
      <c r="B510" s="105"/>
      <c r="C510" s="105"/>
      <c r="D510" s="105"/>
      <c r="E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row>
    <row r="511">
      <c r="A511" s="105"/>
      <c r="B511" s="105"/>
      <c r="C511" s="105"/>
      <c r="D511" s="105"/>
      <c r="E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row>
    <row r="512">
      <c r="A512" s="105"/>
      <c r="B512" s="105"/>
      <c r="C512" s="105"/>
      <c r="D512" s="105"/>
      <c r="E512" s="105"/>
      <c r="F512" s="105"/>
      <c r="G512" s="105"/>
      <c r="H512" s="105"/>
      <c r="I512" s="105"/>
      <c r="J512" s="105"/>
      <c r="K512" s="105"/>
      <c r="L512" s="105"/>
      <c r="M512" s="105"/>
      <c r="N512" s="105"/>
      <c r="O512" s="105"/>
      <c r="P512" s="105"/>
      <c r="Q512" s="105"/>
      <c r="R512" s="105"/>
      <c r="S512" s="105"/>
      <c r="T512" s="105"/>
      <c r="U512" s="105"/>
      <c r="V512" s="105"/>
      <c r="W512" s="105"/>
      <c r="X512" s="105"/>
      <c r="Y512" s="105"/>
      <c r="Z512" s="105"/>
    </row>
    <row r="513">
      <c r="A513" s="105"/>
      <c r="B513" s="105"/>
      <c r="C513" s="105"/>
      <c r="D513" s="105"/>
      <c r="E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row>
    <row r="514">
      <c r="A514" s="105"/>
      <c r="B514" s="105"/>
      <c r="C514" s="105"/>
      <c r="D514" s="105"/>
      <c r="E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row>
    <row r="515">
      <c r="A515" s="105"/>
      <c r="B515" s="105"/>
      <c r="C515" s="105"/>
      <c r="D515" s="105"/>
      <c r="E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row>
    <row r="516">
      <c r="A516" s="105"/>
      <c r="B516" s="105"/>
      <c r="C516" s="105"/>
      <c r="D516" s="105"/>
      <c r="E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row>
    <row r="517">
      <c r="A517" s="105"/>
      <c r="B517" s="105"/>
      <c r="C517" s="105"/>
      <c r="D517" s="105"/>
      <c r="E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row>
    <row r="518">
      <c r="A518" s="105"/>
      <c r="B518" s="105"/>
      <c r="C518" s="105"/>
      <c r="D518" s="105"/>
      <c r="E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row>
    <row r="519">
      <c r="A519" s="105"/>
      <c r="B519" s="105"/>
      <c r="C519" s="105"/>
      <c r="D519" s="105"/>
      <c r="E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row>
    <row r="520">
      <c r="A520" s="105"/>
      <c r="B520" s="105"/>
      <c r="C520" s="105"/>
      <c r="D520" s="105"/>
      <c r="E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row>
    <row r="521">
      <c r="A521" s="105"/>
      <c r="B521" s="105"/>
      <c r="C521" s="105"/>
      <c r="D521" s="105"/>
      <c r="E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row>
    <row r="522">
      <c r="A522" s="105"/>
      <c r="B522" s="105"/>
      <c r="C522" s="105"/>
      <c r="D522" s="105"/>
      <c r="E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row>
    <row r="523">
      <c r="A523" s="105"/>
      <c r="B523" s="105"/>
      <c r="C523" s="105"/>
      <c r="D523" s="105"/>
      <c r="E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row>
    <row r="524">
      <c r="A524" s="105"/>
      <c r="B524" s="105"/>
      <c r="C524" s="105"/>
      <c r="D524" s="105"/>
      <c r="E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row>
    <row r="525">
      <c r="A525" s="105"/>
      <c r="B525" s="105"/>
      <c r="C525" s="105"/>
      <c r="D525" s="105"/>
      <c r="E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row>
    <row r="526">
      <c r="A526" s="105"/>
      <c r="B526" s="105"/>
      <c r="C526" s="105"/>
      <c r="D526" s="105"/>
      <c r="E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row>
    <row r="527">
      <c r="A527" s="105"/>
      <c r="B527" s="105"/>
      <c r="C527" s="105"/>
      <c r="D527" s="105"/>
      <c r="E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row>
    <row r="528">
      <c r="A528" s="105"/>
      <c r="B528" s="105"/>
      <c r="C528" s="105"/>
      <c r="D528" s="105"/>
      <c r="E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row>
    <row r="529">
      <c r="A529" s="105"/>
      <c r="B529" s="105"/>
      <c r="C529" s="105"/>
      <c r="D529" s="105"/>
      <c r="E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row>
    <row r="530">
      <c r="A530" s="105"/>
      <c r="B530" s="105"/>
      <c r="C530" s="105"/>
      <c r="D530" s="105"/>
      <c r="E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row>
    <row r="531">
      <c r="A531" s="105"/>
      <c r="B531" s="105"/>
      <c r="C531" s="105"/>
      <c r="D531" s="105"/>
      <c r="E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row>
    <row r="532">
      <c r="A532" s="105"/>
      <c r="B532" s="105"/>
      <c r="C532" s="105"/>
      <c r="D532" s="105"/>
      <c r="E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row>
    <row r="533">
      <c r="A533" s="105"/>
      <c r="B533" s="105"/>
      <c r="C533" s="105"/>
      <c r="D533" s="105"/>
      <c r="E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row>
    <row r="534">
      <c r="A534" s="105"/>
      <c r="B534" s="105"/>
      <c r="C534" s="105"/>
      <c r="D534" s="105"/>
      <c r="E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row>
    <row r="535">
      <c r="A535" s="105"/>
      <c r="B535" s="105"/>
      <c r="C535" s="105"/>
      <c r="D535" s="105"/>
      <c r="E535" s="105"/>
      <c r="F535" s="105"/>
      <c r="G535" s="105"/>
      <c r="H535" s="105"/>
      <c r="I535" s="105"/>
      <c r="J535" s="105"/>
      <c r="K535" s="105"/>
      <c r="L535" s="105"/>
      <c r="M535" s="105"/>
      <c r="N535" s="105"/>
      <c r="O535" s="105"/>
      <c r="P535" s="105"/>
      <c r="Q535" s="105"/>
      <c r="R535" s="105"/>
      <c r="S535" s="105"/>
      <c r="T535" s="105"/>
      <c r="U535" s="105"/>
      <c r="V535" s="105"/>
      <c r="W535" s="105"/>
      <c r="X535" s="105"/>
      <c r="Y535" s="105"/>
      <c r="Z535" s="105"/>
    </row>
    <row r="536">
      <c r="A536" s="105"/>
      <c r="B536" s="105"/>
      <c r="C536" s="105"/>
      <c r="D536" s="105"/>
      <c r="E536" s="105"/>
      <c r="F536" s="105"/>
      <c r="G536" s="105"/>
      <c r="H536" s="105"/>
      <c r="I536" s="105"/>
      <c r="J536" s="105"/>
      <c r="K536" s="105"/>
      <c r="L536" s="105"/>
      <c r="M536" s="105"/>
      <c r="N536" s="105"/>
      <c r="O536" s="105"/>
      <c r="P536" s="105"/>
      <c r="Q536" s="105"/>
      <c r="R536" s="105"/>
      <c r="S536" s="105"/>
      <c r="T536" s="105"/>
      <c r="U536" s="105"/>
      <c r="V536" s="105"/>
      <c r="W536" s="105"/>
      <c r="X536" s="105"/>
      <c r="Y536" s="105"/>
      <c r="Z536" s="105"/>
    </row>
    <row r="537">
      <c r="A537" s="105"/>
      <c r="B537" s="105"/>
      <c r="C537" s="105"/>
      <c r="D537" s="105"/>
      <c r="E537" s="105"/>
      <c r="F537" s="105"/>
      <c r="G537" s="105"/>
      <c r="H537" s="105"/>
      <c r="I537" s="105"/>
      <c r="J537" s="105"/>
      <c r="K537" s="105"/>
      <c r="L537" s="105"/>
      <c r="M537" s="105"/>
      <c r="N537" s="105"/>
      <c r="O537" s="105"/>
      <c r="P537" s="105"/>
      <c r="Q537" s="105"/>
      <c r="R537" s="105"/>
      <c r="S537" s="105"/>
      <c r="T537" s="105"/>
      <c r="U537" s="105"/>
      <c r="V537" s="105"/>
      <c r="W537" s="105"/>
      <c r="X537" s="105"/>
      <c r="Y537" s="105"/>
      <c r="Z537" s="105"/>
    </row>
    <row r="538">
      <c r="A538" s="105"/>
      <c r="B538" s="105"/>
      <c r="C538" s="105"/>
      <c r="D538" s="105"/>
      <c r="E538" s="105"/>
      <c r="F538" s="105"/>
      <c r="G538" s="105"/>
      <c r="H538" s="105"/>
      <c r="I538" s="105"/>
      <c r="J538" s="105"/>
      <c r="K538" s="105"/>
      <c r="L538" s="105"/>
      <c r="M538" s="105"/>
      <c r="N538" s="105"/>
      <c r="O538" s="105"/>
      <c r="P538" s="105"/>
      <c r="Q538" s="105"/>
      <c r="R538" s="105"/>
      <c r="S538" s="105"/>
      <c r="T538" s="105"/>
      <c r="U538" s="105"/>
      <c r="V538" s="105"/>
      <c r="W538" s="105"/>
      <c r="X538" s="105"/>
      <c r="Y538" s="105"/>
      <c r="Z538" s="105"/>
    </row>
    <row r="539">
      <c r="A539" s="105"/>
      <c r="B539" s="105"/>
      <c r="C539" s="105"/>
      <c r="D539" s="105"/>
      <c r="E539" s="105"/>
      <c r="F539" s="105"/>
      <c r="G539" s="105"/>
      <c r="H539" s="105"/>
      <c r="I539" s="105"/>
      <c r="J539" s="105"/>
      <c r="K539" s="105"/>
      <c r="L539" s="105"/>
      <c r="M539" s="105"/>
      <c r="N539" s="105"/>
      <c r="O539" s="105"/>
      <c r="P539" s="105"/>
      <c r="Q539" s="105"/>
      <c r="R539" s="105"/>
      <c r="S539" s="105"/>
      <c r="T539" s="105"/>
      <c r="U539" s="105"/>
      <c r="V539" s="105"/>
      <c r="W539" s="105"/>
      <c r="X539" s="105"/>
      <c r="Y539" s="105"/>
      <c r="Z539" s="105"/>
    </row>
    <row r="540">
      <c r="A540" s="105"/>
      <c r="B540" s="105"/>
      <c r="C540" s="105"/>
      <c r="D540" s="105"/>
      <c r="E540" s="105"/>
      <c r="F540" s="105"/>
      <c r="G540" s="105"/>
      <c r="H540" s="105"/>
      <c r="I540" s="105"/>
      <c r="J540" s="105"/>
      <c r="K540" s="105"/>
      <c r="L540" s="105"/>
      <c r="M540" s="105"/>
      <c r="N540" s="105"/>
      <c r="O540" s="105"/>
      <c r="P540" s="105"/>
      <c r="Q540" s="105"/>
      <c r="R540" s="105"/>
      <c r="S540" s="105"/>
      <c r="T540" s="105"/>
      <c r="U540" s="105"/>
      <c r="V540" s="105"/>
      <c r="W540" s="105"/>
      <c r="X540" s="105"/>
      <c r="Y540" s="105"/>
      <c r="Z540" s="105"/>
    </row>
    <row r="541">
      <c r="A541" s="105"/>
      <c r="B541" s="105"/>
      <c r="C541" s="105"/>
      <c r="D541" s="105"/>
      <c r="E541" s="105"/>
      <c r="F541" s="105"/>
      <c r="G541" s="105"/>
      <c r="H541" s="105"/>
      <c r="I541" s="105"/>
      <c r="J541" s="105"/>
      <c r="K541" s="105"/>
      <c r="L541" s="105"/>
      <c r="M541" s="105"/>
      <c r="N541" s="105"/>
      <c r="O541" s="105"/>
      <c r="P541" s="105"/>
      <c r="Q541" s="105"/>
      <c r="R541" s="105"/>
      <c r="S541" s="105"/>
      <c r="T541" s="105"/>
      <c r="U541" s="105"/>
      <c r="V541" s="105"/>
      <c r="W541" s="105"/>
      <c r="X541" s="105"/>
      <c r="Y541" s="105"/>
      <c r="Z541" s="105"/>
    </row>
    <row r="542">
      <c r="A542" s="105"/>
      <c r="B542" s="105"/>
      <c r="C542" s="105"/>
      <c r="D542" s="105"/>
      <c r="E542" s="105"/>
      <c r="F542" s="105"/>
      <c r="G542" s="105"/>
      <c r="H542" s="105"/>
      <c r="I542" s="105"/>
      <c r="J542" s="105"/>
      <c r="K542" s="105"/>
      <c r="L542" s="105"/>
      <c r="M542" s="105"/>
      <c r="N542" s="105"/>
      <c r="O542" s="105"/>
      <c r="P542" s="105"/>
      <c r="Q542" s="105"/>
      <c r="R542" s="105"/>
      <c r="S542" s="105"/>
      <c r="T542" s="105"/>
      <c r="U542" s="105"/>
      <c r="V542" s="105"/>
      <c r="W542" s="105"/>
      <c r="X542" s="105"/>
      <c r="Y542" s="105"/>
      <c r="Z542" s="105"/>
    </row>
    <row r="543">
      <c r="A543" s="105"/>
      <c r="B543" s="105"/>
      <c r="C543" s="105"/>
      <c r="D543" s="105"/>
      <c r="E543" s="105"/>
      <c r="F543" s="105"/>
      <c r="G543" s="105"/>
      <c r="H543" s="105"/>
      <c r="I543" s="105"/>
      <c r="J543" s="105"/>
      <c r="K543" s="105"/>
      <c r="L543" s="105"/>
      <c r="M543" s="105"/>
      <c r="N543" s="105"/>
      <c r="O543" s="105"/>
      <c r="P543" s="105"/>
      <c r="Q543" s="105"/>
      <c r="R543" s="105"/>
      <c r="S543" s="105"/>
      <c r="T543" s="105"/>
      <c r="U543" s="105"/>
      <c r="V543" s="105"/>
      <c r="W543" s="105"/>
      <c r="X543" s="105"/>
      <c r="Y543" s="105"/>
      <c r="Z543" s="105"/>
    </row>
    <row r="544">
      <c r="A544" s="105"/>
      <c r="B544" s="105"/>
      <c r="C544" s="105"/>
      <c r="D544" s="105"/>
      <c r="E544" s="105"/>
      <c r="F544" s="105"/>
      <c r="G544" s="105"/>
      <c r="H544" s="105"/>
      <c r="I544" s="105"/>
      <c r="J544" s="105"/>
      <c r="K544" s="105"/>
      <c r="L544" s="105"/>
      <c r="M544" s="105"/>
      <c r="N544" s="105"/>
      <c r="O544" s="105"/>
      <c r="P544" s="105"/>
      <c r="Q544" s="105"/>
      <c r="R544" s="105"/>
      <c r="S544" s="105"/>
      <c r="T544" s="105"/>
      <c r="U544" s="105"/>
      <c r="V544" s="105"/>
      <c r="W544" s="105"/>
      <c r="X544" s="105"/>
      <c r="Y544" s="105"/>
      <c r="Z544" s="105"/>
    </row>
    <row r="545">
      <c r="A545" s="105"/>
      <c r="B545" s="105"/>
      <c r="C545" s="105"/>
      <c r="D545" s="105"/>
      <c r="E545" s="105"/>
      <c r="F545" s="105"/>
      <c r="G545" s="105"/>
      <c r="H545" s="105"/>
      <c r="I545" s="105"/>
      <c r="J545" s="105"/>
      <c r="K545" s="105"/>
      <c r="L545" s="105"/>
      <c r="M545" s="105"/>
      <c r="N545" s="105"/>
      <c r="O545" s="105"/>
      <c r="P545" s="105"/>
      <c r="Q545" s="105"/>
      <c r="R545" s="105"/>
      <c r="S545" s="105"/>
      <c r="T545" s="105"/>
      <c r="U545" s="105"/>
      <c r="V545" s="105"/>
      <c r="W545" s="105"/>
      <c r="X545" s="105"/>
      <c r="Y545" s="105"/>
      <c r="Z545" s="105"/>
    </row>
    <row r="546">
      <c r="A546" s="105"/>
      <c r="B546" s="105"/>
      <c r="C546" s="105"/>
      <c r="D546" s="105"/>
      <c r="E546" s="105"/>
      <c r="F546" s="105"/>
      <c r="G546" s="105"/>
      <c r="H546" s="105"/>
      <c r="I546" s="105"/>
      <c r="J546" s="105"/>
      <c r="K546" s="105"/>
      <c r="L546" s="105"/>
      <c r="M546" s="105"/>
      <c r="N546" s="105"/>
      <c r="O546" s="105"/>
      <c r="P546" s="105"/>
      <c r="Q546" s="105"/>
      <c r="R546" s="105"/>
      <c r="S546" s="105"/>
      <c r="T546" s="105"/>
      <c r="U546" s="105"/>
      <c r="V546" s="105"/>
      <c r="W546" s="105"/>
      <c r="X546" s="105"/>
      <c r="Y546" s="105"/>
      <c r="Z546" s="105"/>
    </row>
    <row r="547">
      <c r="A547" s="105"/>
      <c r="B547" s="105"/>
      <c r="C547" s="105"/>
      <c r="D547" s="105"/>
      <c r="E547" s="105"/>
      <c r="F547" s="105"/>
      <c r="G547" s="105"/>
      <c r="H547" s="105"/>
      <c r="I547" s="105"/>
      <c r="J547" s="105"/>
      <c r="K547" s="105"/>
      <c r="L547" s="105"/>
      <c r="M547" s="105"/>
      <c r="N547" s="105"/>
      <c r="O547" s="105"/>
      <c r="P547" s="105"/>
      <c r="Q547" s="105"/>
      <c r="R547" s="105"/>
      <c r="S547" s="105"/>
      <c r="T547" s="105"/>
      <c r="U547" s="105"/>
      <c r="V547" s="105"/>
      <c r="W547" s="105"/>
      <c r="X547" s="105"/>
      <c r="Y547" s="105"/>
      <c r="Z547" s="105"/>
    </row>
    <row r="548">
      <c r="A548" s="105"/>
      <c r="B548" s="105"/>
      <c r="C548" s="105"/>
      <c r="D548" s="105"/>
      <c r="E548" s="105"/>
      <c r="F548" s="105"/>
      <c r="G548" s="105"/>
      <c r="H548" s="105"/>
      <c r="I548" s="105"/>
      <c r="J548" s="105"/>
      <c r="K548" s="105"/>
      <c r="L548" s="105"/>
      <c r="M548" s="105"/>
      <c r="N548" s="105"/>
      <c r="O548" s="105"/>
      <c r="P548" s="105"/>
      <c r="Q548" s="105"/>
      <c r="R548" s="105"/>
      <c r="S548" s="105"/>
      <c r="T548" s="105"/>
      <c r="U548" s="105"/>
      <c r="V548" s="105"/>
      <c r="W548" s="105"/>
      <c r="X548" s="105"/>
      <c r="Y548" s="105"/>
      <c r="Z548" s="105"/>
    </row>
    <row r="549">
      <c r="A549" s="105"/>
      <c r="B549" s="105"/>
      <c r="C549" s="105"/>
      <c r="D549" s="105"/>
      <c r="E549" s="105"/>
      <c r="F549" s="105"/>
      <c r="G549" s="105"/>
      <c r="H549" s="105"/>
      <c r="I549" s="105"/>
      <c r="J549" s="105"/>
      <c r="K549" s="105"/>
      <c r="L549" s="105"/>
      <c r="M549" s="105"/>
      <c r="N549" s="105"/>
      <c r="O549" s="105"/>
      <c r="P549" s="105"/>
      <c r="Q549" s="105"/>
      <c r="R549" s="105"/>
      <c r="S549" s="105"/>
      <c r="T549" s="105"/>
      <c r="U549" s="105"/>
      <c r="V549" s="105"/>
      <c r="W549" s="105"/>
      <c r="X549" s="105"/>
      <c r="Y549" s="105"/>
      <c r="Z549" s="105"/>
    </row>
    <row r="550">
      <c r="A550" s="105"/>
      <c r="B550" s="105"/>
      <c r="C550" s="105"/>
      <c r="D550" s="105"/>
      <c r="E550" s="105"/>
      <c r="F550" s="105"/>
      <c r="G550" s="105"/>
      <c r="H550" s="105"/>
      <c r="I550" s="105"/>
      <c r="J550" s="105"/>
      <c r="K550" s="105"/>
      <c r="L550" s="105"/>
      <c r="M550" s="105"/>
      <c r="N550" s="105"/>
      <c r="O550" s="105"/>
      <c r="P550" s="105"/>
      <c r="Q550" s="105"/>
      <c r="R550" s="105"/>
      <c r="S550" s="105"/>
      <c r="T550" s="105"/>
      <c r="U550" s="105"/>
      <c r="V550" s="105"/>
      <c r="W550" s="105"/>
      <c r="X550" s="105"/>
      <c r="Y550" s="105"/>
      <c r="Z550" s="105"/>
    </row>
    <row r="551">
      <c r="A551" s="105"/>
      <c r="B551" s="105"/>
      <c r="C551" s="105"/>
      <c r="D551" s="105"/>
      <c r="E551" s="105"/>
      <c r="F551" s="105"/>
      <c r="G551" s="105"/>
      <c r="H551" s="105"/>
      <c r="I551" s="105"/>
      <c r="J551" s="105"/>
      <c r="K551" s="105"/>
      <c r="L551" s="105"/>
      <c r="M551" s="105"/>
      <c r="N551" s="105"/>
      <c r="O551" s="105"/>
      <c r="P551" s="105"/>
      <c r="Q551" s="105"/>
      <c r="R551" s="105"/>
      <c r="S551" s="105"/>
      <c r="T551" s="105"/>
      <c r="U551" s="105"/>
      <c r="V551" s="105"/>
      <c r="W551" s="105"/>
      <c r="X551" s="105"/>
      <c r="Y551" s="105"/>
      <c r="Z551" s="105"/>
    </row>
    <row r="552">
      <c r="A552" s="105"/>
      <c r="B552" s="105"/>
      <c r="C552" s="105"/>
      <c r="D552" s="105"/>
      <c r="E552" s="105"/>
      <c r="F552" s="105"/>
      <c r="G552" s="105"/>
      <c r="H552" s="105"/>
      <c r="I552" s="105"/>
      <c r="J552" s="105"/>
      <c r="K552" s="105"/>
      <c r="L552" s="105"/>
      <c r="M552" s="105"/>
      <c r="N552" s="105"/>
      <c r="O552" s="105"/>
      <c r="P552" s="105"/>
      <c r="Q552" s="105"/>
      <c r="R552" s="105"/>
      <c r="S552" s="105"/>
      <c r="T552" s="105"/>
      <c r="U552" s="105"/>
      <c r="V552" s="105"/>
      <c r="W552" s="105"/>
      <c r="X552" s="105"/>
      <c r="Y552" s="105"/>
      <c r="Z552" s="105"/>
    </row>
    <row r="553">
      <c r="A553" s="105"/>
      <c r="B553" s="105"/>
      <c r="C553" s="105"/>
      <c r="D553" s="105"/>
      <c r="E553" s="105"/>
      <c r="F553" s="105"/>
      <c r="G553" s="105"/>
      <c r="H553" s="105"/>
      <c r="I553" s="105"/>
      <c r="J553" s="105"/>
      <c r="K553" s="105"/>
      <c r="L553" s="105"/>
      <c r="M553" s="105"/>
      <c r="N553" s="105"/>
      <c r="O553" s="105"/>
      <c r="P553" s="105"/>
      <c r="Q553" s="105"/>
      <c r="R553" s="105"/>
      <c r="S553" s="105"/>
      <c r="T553" s="105"/>
      <c r="U553" s="105"/>
      <c r="V553" s="105"/>
      <c r="W553" s="105"/>
      <c r="X553" s="105"/>
      <c r="Y553" s="105"/>
      <c r="Z553" s="105"/>
    </row>
    <row r="554">
      <c r="A554" s="105"/>
      <c r="B554" s="105"/>
      <c r="C554" s="105"/>
      <c r="D554" s="105"/>
      <c r="E554" s="105"/>
      <c r="F554" s="105"/>
      <c r="G554" s="105"/>
      <c r="H554" s="105"/>
      <c r="I554" s="105"/>
      <c r="J554" s="105"/>
      <c r="K554" s="105"/>
      <c r="L554" s="105"/>
      <c r="M554" s="105"/>
      <c r="N554" s="105"/>
      <c r="O554" s="105"/>
      <c r="P554" s="105"/>
      <c r="Q554" s="105"/>
      <c r="R554" s="105"/>
      <c r="S554" s="105"/>
      <c r="T554" s="105"/>
      <c r="U554" s="105"/>
      <c r="V554" s="105"/>
      <c r="W554" s="105"/>
      <c r="X554" s="105"/>
      <c r="Y554" s="105"/>
      <c r="Z554" s="105"/>
    </row>
    <row r="555">
      <c r="A555" s="105"/>
      <c r="B555" s="105"/>
      <c r="C555" s="105"/>
      <c r="D555" s="105"/>
      <c r="E555" s="105"/>
      <c r="F555" s="105"/>
      <c r="G555" s="105"/>
      <c r="H555" s="105"/>
      <c r="I555" s="105"/>
      <c r="J555" s="105"/>
      <c r="K555" s="105"/>
      <c r="L555" s="105"/>
      <c r="M555" s="105"/>
      <c r="N555" s="105"/>
      <c r="O555" s="105"/>
      <c r="P555" s="105"/>
      <c r="Q555" s="105"/>
      <c r="R555" s="105"/>
      <c r="S555" s="105"/>
      <c r="T555" s="105"/>
      <c r="U555" s="105"/>
      <c r="V555" s="105"/>
      <c r="W555" s="105"/>
      <c r="X555" s="105"/>
      <c r="Y555" s="105"/>
      <c r="Z555" s="105"/>
    </row>
    <row r="556">
      <c r="A556" s="105"/>
      <c r="B556" s="105"/>
      <c r="C556" s="105"/>
      <c r="D556" s="105"/>
      <c r="E556" s="105"/>
      <c r="F556" s="105"/>
      <c r="G556" s="105"/>
      <c r="H556" s="105"/>
      <c r="I556" s="105"/>
      <c r="J556" s="105"/>
      <c r="K556" s="105"/>
      <c r="L556" s="105"/>
      <c r="M556" s="105"/>
      <c r="N556" s="105"/>
      <c r="O556" s="105"/>
      <c r="P556" s="105"/>
      <c r="Q556" s="105"/>
      <c r="R556" s="105"/>
      <c r="S556" s="105"/>
      <c r="T556" s="105"/>
      <c r="U556" s="105"/>
      <c r="V556" s="105"/>
      <c r="W556" s="105"/>
      <c r="X556" s="105"/>
      <c r="Y556" s="105"/>
      <c r="Z556" s="105"/>
    </row>
    <row r="557">
      <c r="A557" s="105"/>
      <c r="B557" s="105"/>
      <c r="C557" s="105"/>
      <c r="D557" s="105"/>
      <c r="E557" s="105"/>
      <c r="F557" s="105"/>
      <c r="G557" s="105"/>
      <c r="H557" s="105"/>
      <c r="I557" s="105"/>
      <c r="J557" s="105"/>
      <c r="K557" s="105"/>
      <c r="L557" s="105"/>
      <c r="M557" s="105"/>
      <c r="N557" s="105"/>
      <c r="O557" s="105"/>
      <c r="P557" s="105"/>
      <c r="Q557" s="105"/>
      <c r="R557" s="105"/>
      <c r="S557" s="105"/>
      <c r="T557" s="105"/>
      <c r="U557" s="105"/>
      <c r="V557" s="105"/>
      <c r="W557" s="105"/>
      <c r="X557" s="105"/>
      <c r="Y557" s="105"/>
      <c r="Z557" s="105"/>
    </row>
    <row r="558">
      <c r="A558" s="105"/>
      <c r="B558" s="105"/>
      <c r="C558" s="105"/>
      <c r="D558" s="105"/>
      <c r="E558" s="105"/>
      <c r="F558" s="105"/>
      <c r="G558" s="105"/>
      <c r="H558" s="105"/>
      <c r="I558" s="105"/>
      <c r="J558" s="105"/>
      <c r="K558" s="105"/>
      <c r="L558" s="105"/>
      <c r="M558" s="105"/>
      <c r="N558" s="105"/>
      <c r="O558" s="105"/>
      <c r="P558" s="105"/>
      <c r="Q558" s="105"/>
      <c r="R558" s="105"/>
      <c r="S558" s="105"/>
      <c r="T558" s="105"/>
      <c r="U558" s="105"/>
      <c r="V558" s="105"/>
      <c r="W558" s="105"/>
      <c r="X558" s="105"/>
      <c r="Y558" s="105"/>
      <c r="Z558" s="105"/>
    </row>
    <row r="559">
      <c r="A559" s="105"/>
      <c r="B559" s="105"/>
      <c r="C559" s="105"/>
      <c r="D559" s="105"/>
      <c r="E559" s="105"/>
      <c r="F559" s="105"/>
      <c r="G559" s="105"/>
      <c r="H559" s="105"/>
      <c r="I559" s="105"/>
      <c r="J559" s="105"/>
      <c r="K559" s="105"/>
      <c r="L559" s="105"/>
      <c r="M559" s="105"/>
      <c r="N559" s="105"/>
      <c r="O559" s="105"/>
      <c r="P559" s="105"/>
      <c r="Q559" s="105"/>
      <c r="R559" s="105"/>
      <c r="S559" s="105"/>
      <c r="T559" s="105"/>
      <c r="U559" s="105"/>
      <c r="V559" s="105"/>
      <c r="W559" s="105"/>
      <c r="X559" s="105"/>
      <c r="Y559" s="105"/>
      <c r="Z559" s="105"/>
    </row>
    <row r="560">
      <c r="A560" s="105"/>
      <c r="B560" s="105"/>
      <c r="C560" s="105"/>
      <c r="D560" s="105"/>
      <c r="E560" s="105"/>
      <c r="F560" s="105"/>
      <c r="G560" s="105"/>
      <c r="H560" s="105"/>
      <c r="I560" s="105"/>
      <c r="J560" s="105"/>
      <c r="K560" s="105"/>
      <c r="L560" s="105"/>
      <c r="M560" s="105"/>
      <c r="N560" s="105"/>
      <c r="O560" s="105"/>
      <c r="P560" s="105"/>
      <c r="Q560" s="105"/>
      <c r="R560" s="105"/>
      <c r="S560" s="105"/>
      <c r="T560" s="105"/>
      <c r="U560" s="105"/>
      <c r="V560" s="105"/>
      <c r="W560" s="105"/>
      <c r="X560" s="105"/>
      <c r="Y560" s="105"/>
      <c r="Z560" s="105"/>
    </row>
    <row r="561">
      <c r="A561" s="105"/>
      <c r="B561" s="105"/>
      <c r="C561" s="105"/>
      <c r="D561" s="105"/>
      <c r="E561" s="105"/>
      <c r="F561" s="105"/>
      <c r="G561" s="105"/>
      <c r="H561" s="105"/>
      <c r="I561" s="105"/>
      <c r="J561" s="105"/>
      <c r="K561" s="105"/>
      <c r="L561" s="105"/>
      <c r="M561" s="105"/>
      <c r="N561" s="105"/>
      <c r="O561" s="105"/>
      <c r="P561" s="105"/>
      <c r="Q561" s="105"/>
      <c r="R561" s="105"/>
      <c r="S561" s="105"/>
      <c r="T561" s="105"/>
      <c r="U561" s="105"/>
      <c r="V561" s="105"/>
      <c r="W561" s="105"/>
      <c r="X561" s="105"/>
      <c r="Y561" s="105"/>
      <c r="Z561" s="105"/>
    </row>
    <row r="562">
      <c r="A562" s="105"/>
      <c r="B562" s="105"/>
      <c r="C562" s="105"/>
      <c r="D562" s="105"/>
      <c r="E562" s="105"/>
      <c r="F562" s="105"/>
      <c r="G562" s="105"/>
      <c r="H562" s="105"/>
      <c r="I562" s="105"/>
      <c r="J562" s="105"/>
      <c r="K562" s="105"/>
      <c r="L562" s="105"/>
      <c r="M562" s="105"/>
      <c r="N562" s="105"/>
      <c r="O562" s="105"/>
      <c r="P562" s="105"/>
      <c r="Q562" s="105"/>
      <c r="R562" s="105"/>
      <c r="S562" s="105"/>
      <c r="T562" s="105"/>
      <c r="U562" s="105"/>
      <c r="V562" s="105"/>
      <c r="W562" s="105"/>
      <c r="X562" s="105"/>
      <c r="Y562" s="105"/>
      <c r="Z562" s="105"/>
    </row>
    <row r="563">
      <c r="A563" s="105"/>
      <c r="B563" s="105"/>
      <c r="C563" s="105"/>
      <c r="D563" s="105"/>
      <c r="E563" s="105"/>
      <c r="F563" s="105"/>
      <c r="G563" s="105"/>
      <c r="H563" s="105"/>
      <c r="I563" s="105"/>
      <c r="J563" s="105"/>
      <c r="K563" s="105"/>
      <c r="L563" s="105"/>
      <c r="M563" s="105"/>
      <c r="N563" s="105"/>
      <c r="O563" s="105"/>
      <c r="P563" s="105"/>
      <c r="Q563" s="105"/>
      <c r="R563" s="105"/>
      <c r="S563" s="105"/>
      <c r="T563" s="105"/>
      <c r="U563" s="105"/>
      <c r="V563" s="105"/>
      <c r="W563" s="105"/>
      <c r="X563" s="105"/>
      <c r="Y563" s="105"/>
      <c r="Z563" s="105"/>
    </row>
    <row r="564">
      <c r="A564" s="105"/>
      <c r="B564" s="105"/>
      <c r="C564" s="105"/>
      <c r="D564" s="105"/>
      <c r="E564" s="105"/>
      <c r="F564" s="105"/>
      <c r="G564" s="105"/>
      <c r="H564" s="105"/>
      <c r="I564" s="105"/>
      <c r="J564" s="105"/>
      <c r="K564" s="105"/>
      <c r="L564" s="105"/>
      <c r="M564" s="105"/>
      <c r="N564" s="105"/>
      <c r="O564" s="105"/>
      <c r="P564" s="105"/>
      <c r="Q564" s="105"/>
      <c r="R564" s="105"/>
      <c r="S564" s="105"/>
      <c r="T564" s="105"/>
      <c r="U564" s="105"/>
      <c r="V564" s="105"/>
      <c r="W564" s="105"/>
      <c r="X564" s="105"/>
      <c r="Y564" s="105"/>
      <c r="Z564" s="105"/>
    </row>
    <row r="565">
      <c r="A565" s="105"/>
      <c r="B565" s="105"/>
      <c r="C565" s="105"/>
      <c r="D565" s="105"/>
      <c r="E565" s="105"/>
      <c r="F565" s="105"/>
      <c r="G565" s="105"/>
      <c r="H565" s="105"/>
      <c r="I565" s="105"/>
      <c r="J565" s="105"/>
      <c r="K565" s="105"/>
      <c r="L565" s="105"/>
      <c r="M565" s="105"/>
      <c r="N565" s="105"/>
      <c r="O565" s="105"/>
      <c r="P565" s="105"/>
      <c r="Q565" s="105"/>
      <c r="R565" s="105"/>
      <c r="S565" s="105"/>
      <c r="T565" s="105"/>
      <c r="U565" s="105"/>
      <c r="V565" s="105"/>
      <c r="W565" s="105"/>
      <c r="X565" s="105"/>
      <c r="Y565" s="105"/>
      <c r="Z565" s="105"/>
    </row>
    <row r="566">
      <c r="A566" s="105"/>
      <c r="B566" s="105"/>
      <c r="C566" s="105"/>
      <c r="D566" s="105"/>
      <c r="E566" s="105"/>
      <c r="F566" s="105"/>
      <c r="G566" s="105"/>
      <c r="H566" s="105"/>
      <c r="I566" s="105"/>
      <c r="J566" s="105"/>
      <c r="K566" s="105"/>
      <c r="L566" s="105"/>
      <c r="M566" s="105"/>
      <c r="N566" s="105"/>
      <c r="O566" s="105"/>
      <c r="P566" s="105"/>
      <c r="Q566" s="105"/>
      <c r="R566" s="105"/>
      <c r="S566" s="105"/>
      <c r="T566" s="105"/>
      <c r="U566" s="105"/>
      <c r="V566" s="105"/>
      <c r="W566" s="105"/>
      <c r="X566" s="105"/>
      <c r="Y566" s="105"/>
      <c r="Z566" s="105"/>
    </row>
    <row r="567">
      <c r="A567" s="105"/>
      <c r="B567" s="105"/>
      <c r="C567" s="105"/>
      <c r="D567" s="105"/>
      <c r="E567" s="105"/>
      <c r="F567" s="105"/>
      <c r="G567" s="105"/>
      <c r="H567" s="105"/>
      <c r="I567" s="105"/>
      <c r="J567" s="105"/>
      <c r="K567" s="105"/>
      <c r="L567" s="105"/>
      <c r="M567" s="105"/>
      <c r="N567" s="105"/>
      <c r="O567" s="105"/>
      <c r="P567" s="105"/>
      <c r="Q567" s="105"/>
      <c r="R567" s="105"/>
      <c r="S567" s="105"/>
      <c r="T567" s="105"/>
      <c r="U567" s="105"/>
      <c r="V567" s="105"/>
      <c r="W567" s="105"/>
      <c r="X567" s="105"/>
      <c r="Y567" s="105"/>
      <c r="Z567" s="105"/>
    </row>
    <row r="568">
      <c r="A568" s="105"/>
      <c r="B568" s="105"/>
      <c r="C568" s="105"/>
      <c r="D568" s="105"/>
      <c r="E568" s="105"/>
      <c r="F568" s="105"/>
      <c r="G568" s="105"/>
      <c r="H568" s="105"/>
      <c r="I568" s="105"/>
      <c r="J568" s="105"/>
      <c r="K568" s="105"/>
      <c r="L568" s="105"/>
      <c r="M568" s="105"/>
      <c r="N568" s="105"/>
      <c r="O568" s="105"/>
      <c r="P568" s="105"/>
      <c r="Q568" s="105"/>
      <c r="R568" s="105"/>
      <c r="S568" s="105"/>
      <c r="T568" s="105"/>
      <c r="U568" s="105"/>
      <c r="V568" s="105"/>
      <c r="W568" s="105"/>
      <c r="X568" s="105"/>
      <c r="Y568" s="105"/>
      <c r="Z568" s="105"/>
    </row>
    <row r="569">
      <c r="A569" s="105"/>
      <c r="B569" s="105"/>
      <c r="C569" s="105"/>
      <c r="D569" s="105"/>
      <c r="E569" s="105"/>
      <c r="F569" s="105"/>
      <c r="G569" s="105"/>
      <c r="H569" s="105"/>
      <c r="I569" s="105"/>
      <c r="J569" s="105"/>
      <c r="K569" s="105"/>
      <c r="L569" s="105"/>
      <c r="M569" s="105"/>
      <c r="N569" s="105"/>
      <c r="O569" s="105"/>
      <c r="P569" s="105"/>
      <c r="Q569" s="105"/>
      <c r="R569" s="105"/>
      <c r="S569" s="105"/>
      <c r="T569" s="105"/>
      <c r="U569" s="105"/>
      <c r="V569" s="105"/>
      <c r="W569" s="105"/>
      <c r="X569" s="105"/>
      <c r="Y569" s="105"/>
      <c r="Z569" s="105"/>
    </row>
    <row r="570">
      <c r="A570" s="105"/>
      <c r="B570" s="105"/>
      <c r="C570" s="105"/>
      <c r="D570" s="105"/>
      <c r="E570" s="105"/>
      <c r="F570" s="105"/>
      <c r="G570" s="105"/>
      <c r="H570" s="105"/>
      <c r="I570" s="105"/>
      <c r="J570" s="105"/>
      <c r="K570" s="105"/>
      <c r="L570" s="105"/>
      <c r="M570" s="105"/>
      <c r="N570" s="105"/>
      <c r="O570" s="105"/>
      <c r="P570" s="105"/>
      <c r="Q570" s="105"/>
      <c r="R570" s="105"/>
      <c r="S570" s="105"/>
      <c r="T570" s="105"/>
      <c r="U570" s="105"/>
      <c r="V570" s="105"/>
      <c r="W570" s="105"/>
      <c r="X570" s="105"/>
      <c r="Y570" s="105"/>
      <c r="Z570" s="105"/>
    </row>
    <row r="571">
      <c r="A571" s="105"/>
      <c r="B571" s="105"/>
      <c r="C571" s="105"/>
      <c r="D571" s="105"/>
      <c r="E571" s="105"/>
      <c r="F571" s="105"/>
      <c r="G571" s="105"/>
      <c r="H571" s="105"/>
      <c r="I571" s="105"/>
      <c r="J571" s="105"/>
      <c r="K571" s="105"/>
      <c r="L571" s="105"/>
      <c r="M571" s="105"/>
      <c r="N571" s="105"/>
      <c r="O571" s="105"/>
      <c r="P571" s="105"/>
      <c r="Q571" s="105"/>
      <c r="R571" s="105"/>
      <c r="S571" s="105"/>
      <c r="T571" s="105"/>
      <c r="U571" s="105"/>
      <c r="V571" s="105"/>
      <c r="W571" s="105"/>
      <c r="X571" s="105"/>
      <c r="Y571" s="105"/>
      <c r="Z571" s="105"/>
    </row>
    <row r="572">
      <c r="A572" s="105"/>
      <c r="B572" s="105"/>
      <c r="C572" s="105"/>
      <c r="D572" s="105"/>
      <c r="E572" s="105"/>
      <c r="F572" s="105"/>
      <c r="G572" s="105"/>
      <c r="H572" s="105"/>
      <c r="I572" s="105"/>
      <c r="J572" s="105"/>
      <c r="K572" s="105"/>
      <c r="L572" s="105"/>
      <c r="M572" s="105"/>
      <c r="N572" s="105"/>
      <c r="O572" s="105"/>
      <c r="P572" s="105"/>
      <c r="Q572" s="105"/>
      <c r="R572" s="105"/>
      <c r="S572" s="105"/>
      <c r="T572" s="105"/>
      <c r="U572" s="105"/>
      <c r="V572" s="105"/>
      <c r="W572" s="105"/>
      <c r="X572" s="105"/>
      <c r="Y572" s="105"/>
      <c r="Z572" s="105"/>
    </row>
    <row r="573">
      <c r="A573" s="105"/>
      <c r="B573" s="105"/>
      <c r="C573" s="105"/>
      <c r="D573" s="105"/>
      <c r="E573" s="105"/>
      <c r="F573" s="105"/>
      <c r="G573" s="105"/>
      <c r="H573" s="105"/>
      <c r="I573" s="105"/>
      <c r="J573" s="105"/>
      <c r="K573" s="105"/>
      <c r="L573" s="105"/>
      <c r="M573" s="105"/>
      <c r="N573" s="105"/>
      <c r="O573" s="105"/>
      <c r="P573" s="105"/>
      <c r="Q573" s="105"/>
      <c r="R573" s="105"/>
      <c r="S573" s="105"/>
      <c r="T573" s="105"/>
      <c r="U573" s="105"/>
      <c r="V573" s="105"/>
      <c r="W573" s="105"/>
      <c r="X573" s="105"/>
      <c r="Y573" s="105"/>
      <c r="Z573" s="105"/>
    </row>
    <row r="574">
      <c r="A574" s="105"/>
      <c r="B574" s="105"/>
      <c r="C574" s="105"/>
      <c r="D574" s="105"/>
      <c r="E574" s="105"/>
      <c r="F574" s="105"/>
      <c r="G574" s="105"/>
      <c r="H574" s="105"/>
      <c r="I574" s="105"/>
      <c r="J574" s="105"/>
      <c r="K574" s="105"/>
      <c r="L574" s="105"/>
      <c r="M574" s="105"/>
      <c r="N574" s="105"/>
      <c r="O574" s="105"/>
      <c r="P574" s="105"/>
      <c r="Q574" s="105"/>
      <c r="R574" s="105"/>
      <c r="S574" s="105"/>
      <c r="T574" s="105"/>
      <c r="U574" s="105"/>
      <c r="V574" s="105"/>
      <c r="W574" s="105"/>
      <c r="X574" s="105"/>
      <c r="Y574" s="105"/>
      <c r="Z574" s="105"/>
    </row>
    <row r="575">
      <c r="A575" s="105"/>
      <c r="B575" s="105"/>
      <c r="C575" s="105"/>
      <c r="D575" s="105"/>
      <c r="E575" s="105"/>
      <c r="F575" s="105"/>
      <c r="G575" s="105"/>
      <c r="H575" s="105"/>
      <c r="I575" s="105"/>
      <c r="J575" s="105"/>
      <c r="K575" s="105"/>
      <c r="L575" s="105"/>
      <c r="M575" s="105"/>
      <c r="N575" s="105"/>
      <c r="O575" s="105"/>
      <c r="P575" s="105"/>
      <c r="Q575" s="105"/>
      <c r="R575" s="105"/>
      <c r="S575" s="105"/>
      <c r="T575" s="105"/>
      <c r="U575" s="105"/>
      <c r="V575" s="105"/>
      <c r="W575" s="105"/>
      <c r="X575" s="105"/>
      <c r="Y575" s="105"/>
      <c r="Z575" s="105"/>
    </row>
    <row r="576">
      <c r="A576" s="105"/>
      <c r="B576" s="105"/>
      <c r="C576" s="105"/>
      <c r="D576" s="105"/>
      <c r="E576" s="105"/>
      <c r="F576" s="105"/>
      <c r="G576" s="105"/>
      <c r="H576" s="105"/>
      <c r="I576" s="105"/>
      <c r="J576" s="105"/>
      <c r="K576" s="105"/>
      <c r="L576" s="105"/>
      <c r="M576" s="105"/>
      <c r="N576" s="105"/>
      <c r="O576" s="105"/>
      <c r="P576" s="105"/>
      <c r="Q576" s="105"/>
      <c r="R576" s="105"/>
      <c r="S576" s="105"/>
      <c r="T576" s="105"/>
      <c r="U576" s="105"/>
      <c r="V576" s="105"/>
      <c r="W576" s="105"/>
      <c r="X576" s="105"/>
      <c r="Y576" s="105"/>
      <c r="Z576" s="105"/>
    </row>
    <row r="577">
      <c r="A577" s="105"/>
      <c r="B577" s="105"/>
      <c r="C577" s="105"/>
      <c r="D577" s="105"/>
      <c r="E577" s="105"/>
      <c r="F577" s="105"/>
      <c r="G577" s="105"/>
      <c r="H577" s="105"/>
      <c r="I577" s="105"/>
      <c r="J577" s="105"/>
      <c r="K577" s="105"/>
      <c r="L577" s="105"/>
      <c r="M577" s="105"/>
      <c r="N577" s="105"/>
      <c r="O577" s="105"/>
      <c r="P577" s="105"/>
      <c r="Q577" s="105"/>
      <c r="R577" s="105"/>
      <c r="S577" s="105"/>
      <c r="T577" s="105"/>
      <c r="U577" s="105"/>
      <c r="V577" s="105"/>
      <c r="W577" s="105"/>
      <c r="X577" s="105"/>
      <c r="Y577" s="105"/>
      <c r="Z577" s="105"/>
    </row>
    <row r="578">
      <c r="A578" s="105"/>
      <c r="B578" s="105"/>
      <c r="C578" s="105"/>
      <c r="D578" s="105"/>
      <c r="E578" s="105"/>
      <c r="F578" s="105"/>
      <c r="G578" s="105"/>
      <c r="H578" s="105"/>
      <c r="I578" s="105"/>
      <c r="J578" s="105"/>
      <c r="K578" s="105"/>
      <c r="L578" s="105"/>
      <c r="M578" s="105"/>
      <c r="N578" s="105"/>
      <c r="O578" s="105"/>
      <c r="P578" s="105"/>
      <c r="Q578" s="105"/>
      <c r="R578" s="105"/>
      <c r="S578" s="105"/>
      <c r="T578" s="105"/>
      <c r="U578" s="105"/>
      <c r="V578" s="105"/>
      <c r="W578" s="105"/>
      <c r="X578" s="105"/>
      <c r="Y578" s="105"/>
      <c r="Z578" s="105"/>
    </row>
    <row r="579">
      <c r="A579" s="105"/>
      <c r="B579" s="105"/>
      <c r="C579" s="105"/>
      <c r="D579" s="105"/>
      <c r="E579" s="105"/>
      <c r="F579" s="105"/>
      <c r="G579" s="105"/>
      <c r="H579" s="105"/>
      <c r="I579" s="105"/>
      <c r="J579" s="105"/>
      <c r="K579" s="105"/>
      <c r="L579" s="105"/>
      <c r="M579" s="105"/>
      <c r="N579" s="105"/>
      <c r="O579" s="105"/>
      <c r="P579" s="105"/>
      <c r="Q579" s="105"/>
      <c r="R579" s="105"/>
      <c r="S579" s="105"/>
      <c r="T579" s="105"/>
      <c r="U579" s="105"/>
      <c r="V579" s="105"/>
      <c r="W579" s="105"/>
      <c r="X579" s="105"/>
      <c r="Y579" s="105"/>
      <c r="Z579" s="105"/>
    </row>
    <row r="580">
      <c r="A580" s="105"/>
      <c r="B580" s="105"/>
      <c r="C580" s="105"/>
      <c r="D580" s="105"/>
      <c r="E580" s="105"/>
      <c r="F580" s="105"/>
      <c r="G580" s="105"/>
      <c r="H580" s="105"/>
      <c r="I580" s="105"/>
      <c r="J580" s="105"/>
      <c r="K580" s="105"/>
      <c r="L580" s="105"/>
      <c r="M580" s="105"/>
      <c r="N580" s="105"/>
      <c r="O580" s="105"/>
      <c r="P580" s="105"/>
      <c r="Q580" s="105"/>
      <c r="R580" s="105"/>
      <c r="S580" s="105"/>
      <c r="T580" s="105"/>
      <c r="U580" s="105"/>
      <c r="V580" s="105"/>
      <c r="W580" s="105"/>
      <c r="X580" s="105"/>
      <c r="Y580" s="105"/>
      <c r="Z580" s="105"/>
    </row>
    <row r="581">
      <c r="A581" s="105"/>
      <c r="B581" s="105"/>
      <c r="C581" s="105"/>
      <c r="D581" s="105"/>
      <c r="E581" s="105"/>
      <c r="F581" s="105"/>
      <c r="G581" s="105"/>
      <c r="H581" s="105"/>
      <c r="I581" s="105"/>
      <c r="J581" s="105"/>
      <c r="K581" s="105"/>
      <c r="L581" s="105"/>
      <c r="M581" s="105"/>
      <c r="N581" s="105"/>
      <c r="O581" s="105"/>
      <c r="P581" s="105"/>
      <c r="Q581" s="105"/>
      <c r="R581" s="105"/>
      <c r="S581" s="105"/>
      <c r="T581" s="105"/>
      <c r="U581" s="105"/>
      <c r="V581" s="105"/>
      <c r="W581" s="105"/>
      <c r="X581" s="105"/>
      <c r="Y581" s="105"/>
      <c r="Z581" s="105"/>
    </row>
    <row r="582">
      <c r="A582" s="105"/>
      <c r="B582" s="105"/>
      <c r="C582" s="105"/>
      <c r="D582" s="105"/>
      <c r="E582" s="105"/>
      <c r="F582" s="105"/>
      <c r="G582" s="105"/>
      <c r="H582" s="105"/>
      <c r="I582" s="105"/>
      <c r="J582" s="105"/>
      <c r="K582" s="105"/>
      <c r="L582" s="105"/>
      <c r="M582" s="105"/>
      <c r="N582" s="105"/>
      <c r="O582" s="105"/>
      <c r="P582" s="105"/>
      <c r="Q582" s="105"/>
      <c r="R582" s="105"/>
      <c r="S582" s="105"/>
      <c r="T582" s="105"/>
      <c r="U582" s="105"/>
      <c r="V582" s="105"/>
      <c r="W582" s="105"/>
      <c r="X582" s="105"/>
      <c r="Y582" s="105"/>
      <c r="Z582" s="105"/>
    </row>
    <row r="583">
      <c r="A583" s="105"/>
      <c r="B583" s="105"/>
      <c r="C583" s="105"/>
      <c r="D583" s="105"/>
      <c r="E583" s="105"/>
      <c r="F583" s="105"/>
      <c r="G583" s="105"/>
      <c r="H583" s="105"/>
      <c r="I583" s="105"/>
      <c r="J583" s="105"/>
      <c r="K583" s="105"/>
      <c r="L583" s="105"/>
      <c r="M583" s="105"/>
      <c r="N583" s="105"/>
      <c r="O583" s="105"/>
      <c r="P583" s="105"/>
      <c r="Q583" s="105"/>
      <c r="R583" s="105"/>
      <c r="S583" s="105"/>
      <c r="T583" s="105"/>
      <c r="U583" s="105"/>
      <c r="V583" s="105"/>
      <c r="W583" s="105"/>
      <c r="X583" s="105"/>
      <c r="Y583" s="105"/>
      <c r="Z583" s="105"/>
    </row>
    <row r="584">
      <c r="A584" s="105"/>
      <c r="B584" s="105"/>
      <c r="C584" s="105"/>
      <c r="D584" s="105"/>
      <c r="E584" s="105"/>
      <c r="F584" s="105"/>
      <c r="G584" s="105"/>
      <c r="H584" s="105"/>
      <c r="I584" s="105"/>
      <c r="J584" s="105"/>
      <c r="K584" s="105"/>
      <c r="L584" s="105"/>
      <c r="M584" s="105"/>
      <c r="N584" s="105"/>
      <c r="O584" s="105"/>
      <c r="P584" s="105"/>
      <c r="Q584" s="105"/>
      <c r="R584" s="105"/>
      <c r="S584" s="105"/>
      <c r="T584" s="105"/>
      <c r="U584" s="105"/>
      <c r="V584" s="105"/>
      <c r="W584" s="105"/>
      <c r="X584" s="105"/>
      <c r="Y584" s="105"/>
      <c r="Z584" s="105"/>
    </row>
    <row r="585">
      <c r="A585" s="105"/>
      <c r="B585" s="105"/>
      <c r="C585" s="105"/>
      <c r="D585" s="105"/>
      <c r="E585" s="105"/>
      <c r="F585" s="105"/>
      <c r="G585" s="105"/>
      <c r="H585" s="105"/>
      <c r="I585" s="105"/>
      <c r="J585" s="105"/>
      <c r="K585" s="105"/>
      <c r="L585" s="105"/>
      <c r="M585" s="105"/>
      <c r="N585" s="105"/>
      <c r="O585" s="105"/>
      <c r="P585" s="105"/>
      <c r="Q585" s="105"/>
      <c r="R585" s="105"/>
      <c r="S585" s="105"/>
      <c r="T585" s="105"/>
      <c r="U585" s="105"/>
      <c r="V585" s="105"/>
      <c r="W585" s="105"/>
      <c r="X585" s="105"/>
      <c r="Y585" s="105"/>
      <c r="Z585" s="105"/>
    </row>
    <row r="586">
      <c r="A586" s="105"/>
      <c r="B586" s="105"/>
      <c r="C586" s="105"/>
      <c r="D586" s="105"/>
      <c r="E586" s="105"/>
      <c r="F586" s="105"/>
      <c r="G586" s="105"/>
      <c r="H586" s="105"/>
      <c r="I586" s="105"/>
      <c r="J586" s="105"/>
      <c r="K586" s="105"/>
      <c r="L586" s="105"/>
      <c r="M586" s="105"/>
      <c r="N586" s="105"/>
      <c r="O586" s="105"/>
      <c r="P586" s="105"/>
      <c r="Q586" s="105"/>
      <c r="R586" s="105"/>
      <c r="S586" s="105"/>
      <c r="T586" s="105"/>
      <c r="U586" s="105"/>
      <c r="V586" s="105"/>
      <c r="W586" s="105"/>
      <c r="X586" s="105"/>
      <c r="Y586" s="105"/>
      <c r="Z586" s="105"/>
    </row>
    <row r="587">
      <c r="A587" s="105"/>
      <c r="B587" s="105"/>
      <c r="C587" s="105"/>
      <c r="D587" s="105"/>
      <c r="E587" s="105"/>
      <c r="F587" s="105"/>
      <c r="G587" s="105"/>
      <c r="H587" s="105"/>
      <c r="I587" s="105"/>
      <c r="J587" s="105"/>
      <c r="K587" s="105"/>
      <c r="L587" s="105"/>
      <c r="M587" s="105"/>
      <c r="N587" s="105"/>
      <c r="O587" s="105"/>
      <c r="P587" s="105"/>
      <c r="Q587" s="105"/>
      <c r="R587" s="105"/>
      <c r="S587" s="105"/>
      <c r="T587" s="105"/>
      <c r="U587" s="105"/>
      <c r="V587" s="105"/>
      <c r="W587" s="105"/>
      <c r="X587" s="105"/>
      <c r="Y587" s="105"/>
      <c r="Z587" s="105"/>
    </row>
    <row r="588">
      <c r="A588" s="105"/>
      <c r="B588" s="105"/>
      <c r="C588" s="105"/>
      <c r="D588" s="105"/>
      <c r="E588" s="105"/>
      <c r="F588" s="105"/>
      <c r="G588" s="105"/>
      <c r="H588" s="105"/>
      <c r="I588" s="105"/>
      <c r="J588" s="105"/>
      <c r="K588" s="105"/>
      <c r="L588" s="105"/>
      <c r="M588" s="105"/>
      <c r="N588" s="105"/>
      <c r="O588" s="105"/>
      <c r="P588" s="105"/>
      <c r="Q588" s="105"/>
      <c r="R588" s="105"/>
      <c r="S588" s="105"/>
      <c r="T588" s="105"/>
      <c r="U588" s="105"/>
      <c r="V588" s="105"/>
      <c r="W588" s="105"/>
      <c r="X588" s="105"/>
      <c r="Y588" s="105"/>
      <c r="Z588" s="105"/>
    </row>
    <row r="589">
      <c r="A589" s="105"/>
      <c r="B589" s="105"/>
      <c r="C589" s="105"/>
      <c r="D589" s="105"/>
      <c r="E589" s="105"/>
      <c r="F589" s="105"/>
      <c r="G589" s="105"/>
      <c r="H589" s="105"/>
      <c r="I589" s="105"/>
      <c r="J589" s="105"/>
      <c r="K589" s="105"/>
      <c r="L589" s="105"/>
      <c r="M589" s="105"/>
      <c r="N589" s="105"/>
      <c r="O589" s="105"/>
      <c r="P589" s="105"/>
      <c r="Q589" s="105"/>
      <c r="R589" s="105"/>
      <c r="S589" s="105"/>
      <c r="T589" s="105"/>
      <c r="U589" s="105"/>
      <c r="V589" s="105"/>
      <c r="W589" s="105"/>
      <c r="X589" s="105"/>
      <c r="Y589" s="105"/>
      <c r="Z589" s="105"/>
    </row>
    <row r="590">
      <c r="A590" s="105"/>
      <c r="B590" s="105"/>
      <c r="C590" s="105"/>
      <c r="D590" s="105"/>
      <c r="E590" s="105"/>
      <c r="F590" s="105"/>
      <c r="G590" s="105"/>
      <c r="H590" s="105"/>
      <c r="I590" s="105"/>
      <c r="J590" s="105"/>
      <c r="K590" s="105"/>
      <c r="L590" s="105"/>
      <c r="M590" s="105"/>
      <c r="N590" s="105"/>
      <c r="O590" s="105"/>
      <c r="P590" s="105"/>
      <c r="Q590" s="105"/>
      <c r="R590" s="105"/>
      <c r="S590" s="105"/>
      <c r="T590" s="105"/>
      <c r="U590" s="105"/>
      <c r="V590" s="105"/>
      <c r="W590" s="105"/>
      <c r="X590" s="105"/>
      <c r="Y590" s="105"/>
      <c r="Z590" s="105"/>
    </row>
    <row r="591">
      <c r="A591" s="105"/>
      <c r="B591" s="105"/>
      <c r="C591" s="105"/>
      <c r="D591" s="105"/>
      <c r="E591" s="105"/>
      <c r="F591" s="105"/>
      <c r="G591" s="105"/>
      <c r="H591" s="105"/>
      <c r="I591" s="105"/>
      <c r="J591" s="105"/>
      <c r="K591" s="105"/>
      <c r="L591" s="105"/>
      <c r="M591" s="105"/>
      <c r="N591" s="105"/>
      <c r="O591" s="105"/>
      <c r="P591" s="105"/>
      <c r="Q591" s="105"/>
      <c r="R591" s="105"/>
      <c r="S591" s="105"/>
      <c r="T591" s="105"/>
      <c r="U591" s="105"/>
      <c r="V591" s="105"/>
      <c r="W591" s="105"/>
      <c r="X591" s="105"/>
      <c r="Y591" s="105"/>
      <c r="Z591" s="105"/>
    </row>
    <row r="592">
      <c r="A592" s="105"/>
      <c r="B592" s="105"/>
      <c r="C592" s="105"/>
      <c r="D592" s="105"/>
      <c r="E592" s="105"/>
      <c r="F592" s="105"/>
      <c r="G592" s="105"/>
      <c r="H592" s="105"/>
      <c r="I592" s="105"/>
      <c r="J592" s="105"/>
      <c r="K592" s="105"/>
      <c r="L592" s="105"/>
      <c r="M592" s="105"/>
      <c r="N592" s="105"/>
      <c r="O592" s="105"/>
      <c r="P592" s="105"/>
      <c r="Q592" s="105"/>
      <c r="R592" s="105"/>
      <c r="S592" s="105"/>
      <c r="T592" s="105"/>
      <c r="U592" s="105"/>
      <c r="V592" s="105"/>
      <c r="W592" s="105"/>
      <c r="X592" s="105"/>
      <c r="Y592" s="105"/>
      <c r="Z592" s="105"/>
    </row>
    <row r="593">
      <c r="A593" s="105"/>
      <c r="B593" s="105"/>
      <c r="C593" s="105"/>
      <c r="D593" s="105"/>
      <c r="E593" s="105"/>
      <c r="F593" s="105"/>
      <c r="G593" s="105"/>
      <c r="H593" s="105"/>
      <c r="I593" s="105"/>
      <c r="J593" s="105"/>
      <c r="K593" s="105"/>
      <c r="L593" s="105"/>
      <c r="M593" s="105"/>
      <c r="N593" s="105"/>
      <c r="O593" s="105"/>
      <c r="P593" s="105"/>
      <c r="Q593" s="105"/>
      <c r="R593" s="105"/>
      <c r="S593" s="105"/>
      <c r="T593" s="105"/>
      <c r="U593" s="105"/>
      <c r="V593" s="105"/>
      <c r="W593" s="105"/>
      <c r="X593" s="105"/>
      <c r="Y593" s="105"/>
      <c r="Z593" s="105"/>
    </row>
    <row r="594">
      <c r="A594" s="105"/>
      <c r="B594" s="105"/>
      <c r="C594" s="105"/>
      <c r="D594" s="105"/>
      <c r="E594" s="105"/>
      <c r="F594" s="105"/>
      <c r="G594" s="105"/>
      <c r="H594" s="105"/>
      <c r="I594" s="105"/>
      <c r="J594" s="105"/>
      <c r="K594" s="105"/>
      <c r="L594" s="105"/>
      <c r="M594" s="105"/>
      <c r="N594" s="105"/>
      <c r="O594" s="105"/>
      <c r="P594" s="105"/>
      <c r="Q594" s="105"/>
      <c r="R594" s="105"/>
      <c r="S594" s="105"/>
      <c r="T594" s="105"/>
      <c r="U594" s="105"/>
      <c r="V594" s="105"/>
      <c r="W594" s="105"/>
      <c r="X594" s="105"/>
      <c r="Y594" s="105"/>
      <c r="Z594" s="105"/>
    </row>
    <row r="595">
      <c r="A595" s="105"/>
      <c r="B595" s="105"/>
      <c r="C595" s="105"/>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row>
    <row r="596">
      <c r="A596" s="105"/>
      <c r="B596" s="105"/>
      <c r="C596" s="105"/>
      <c r="D596" s="105"/>
      <c r="E596" s="105"/>
      <c r="F596" s="105"/>
      <c r="G596" s="105"/>
      <c r="H596" s="105"/>
      <c r="I596" s="105"/>
      <c r="J596" s="105"/>
      <c r="K596" s="105"/>
      <c r="L596" s="105"/>
      <c r="M596" s="105"/>
      <c r="N596" s="105"/>
      <c r="O596" s="105"/>
      <c r="P596" s="105"/>
      <c r="Q596" s="105"/>
      <c r="R596" s="105"/>
      <c r="S596" s="105"/>
      <c r="T596" s="105"/>
      <c r="U596" s="105"/>
      <c r="V596" s="105"/>
      <c r="W596" s="105"/>
      <c r="X596" s="105"/>
      <c r="Y596" s="105"/>
      <c r="Z596" s="105"/>
    </row>
    <row r="597">
      <c r="A597" s="105"/>
      <c r="B597" s="105"/>
      <c r="C597" s="105"/>
      <c r="D597" s="105"/>
      <c r="E597" s="105"/>
      <c r="F597" s="105"/>
      <c r="G597" s="105"/>
      <c r="H597" s="105"/>
      <c r="I597" s="105"/>
      <c r="J597" s="105"/>
      <c r="K597" s="105"/>
      <c r="L597" s="105"/>
      <c r="M597" s="105"/>
      <c r="N597" s="105"/>
      <c r="O597" s="105"/>
      <c r="P597" s="105"/>
      <c r="Q597" s="105"/>
      <c r="R597" s="105"/>
      <c r="S597" s="105"/>
      <c r="T597" s="105"/>
      <c r="U597" s="105"/>
      <c r="V597" s="105"/>
      <c r="W597" s="105"/>
      <c r="X597" s="105"/>
      <c r="Y597" s="105"/>
      <c r="Z597" s="105"/>
    </row>
    <row r="598">
      <c r="A598" s="105"/>
      <c r="B598" s="105"/>
      <c r="C598" s="105"/>
      <c r="D598" s="105"/>
      <c r="E598" s="105"/>
      <c r="F598" s="105"/>
      <c r="G598" s="105"/>
      <c r="H598" s="105"/>
      <c r="I598" s="105"/>
      <c r="J598" s="105"/>
      <c r="K598" s="105"/>
      <c r="L598" s="105"/>
      <c r="M598" s="105"/>
      <c r="N598" s="105"/>
      <c r="O598" s="105"/>
      <c r="P598" s="105"/>
      <c r="Q598" s="105"/>
      <c r="R598" s="105"/>
      <c r="S598" s="105"/>
      <c r="T598" s="105"/>
      <c r="U598" s="105"/>
      <c r="V598" s="105"/>
      <c r="W598" s="105"/>
      <c r="X598" s="105"/>
      <c r="Y598" s="105"/>
      <c r="Z598" s="105"/>
    </row>
    <row r="599">
      <c r="A599" s="105"/>
      <c r="B599" s="105"/>
      <c r="C599" s="105"/>
      <c r="D599" s="105"/>
      <c r="E599" s="105"/>
      <c r="F599" s="105"/>
      <c r="G599" s="105"/>
      <c r="H599" s="105"/>
      <c r="I599" s="105"/>
      <c r="J599" s="105"/>
      <c r="K599" s="105"/>
      <c r="L599" s="105"/>
      <c r="M599" s="105"/>
      <c r="N599" s="105"/>
      <c r="O599" s="105"/>
      <c r="P599" s="105"/>
      <c r="Q599" s="105"/>
      <c r="R599" s="105"/>
      <c r="S599" s="105"/>
      <c r="T599" s="105"/>
      <c r="U599" s="105"/>
      <c r="V599" s="105"/>
      <c r="W599" s="105"/>
      <c r="X599" s="105"/>
      <c r="Y599" s="105"/>
      <c r="Z599" s="105"/>
    </row>
    <row r="600">
      <c r="A600" s="105"/>
      <c r="B600" s="105"/>
      <c r="C600" s="105"/>
      <c r="D600" s="105"/>
      <c r="E600" s="105"/>
      <c r="F600" s="105"/>
      <c r="G600" s="105"/>
      <c r="H600" s="105"/>
      <c r="I600" s="105"/>
      <c r="J600" s="105"/>
      <c r="K600" s="105"/>
      <c r="L600" s="105"/>
      <c r="M600" s="105"/>
      <c r="N600" s="105"/>
      <c r="O600" s="105"/>
      <c r="P600" s="105"/>
      <c r="Q600" s="105"/>
      <c r="R600" s="105"/>
      <c r="S600" s="105"/>
      <c r="T600" s="105"/>
      <c r="U600" s="105"/>
      <c r="V600" s="105"/>
      <c r="W600" s="105"/>
      <c r="X600" s="105"/>
      <c r="Y600" s="105"/>
      <c r="Z600" s="105"/>
    </row>
    <row r="601">
      <c r="A601" s="105"/>
      <c r="B601" s="105"/>
      <c r="C601" s="105"/>
      <c r="D601" s="105"/>
      <c r="E601" s="105"/>
      <c r="F601" s="105"/>
      <c r="G601" s="105"/>
      <c r="H601" s="105"/>
      <c r="I601" s="105"/>
      <c r="J601" s="105"/>
      <c r="K601" s="105"/>
      <c r="L601" s="105"/>
      <c r="M601" s="105"/>
      <c r="N601" s="105"/>
      <c r="O601" s="105"/>
      <c r="P601" s="105"/>
      <c r="Q601" s="105"/>
      <c r="R601" s="105"/>
      <c r="S601" s="105"/>
      <c r="T601" s="105"/>
      <c r="U601" s="105"/>
      <c r="V601" s="105"/>
      <c r="W601" s="105"/>
      <c r="X601" s="105"/>
      <c r="Y601" s="105"/>
      <c r="Z601" s="105"/>
    </row>
    <row r="602">
      <c r="A602" s="105"/>
      <c r="B602" s="105"/>
      <c r="C602" s="105"/>
      <c r="D602" s="105"/>
      <c r="E602" s="105"/>
      <c r="F602" s="105"/>
      <c r="G602" s="105"/>
      <c r="H602" s="105"/>
      <c r="I602" s="105"/>
      <c r="J602" s="105"/>
      <c r="K602" s="105"/>
      <c r="L602" s="105"/>
      <c r="M602" s="105"/>
      <c r="N602" s="105"/>
      <c r="O602" s="105"/>
      <c r="P602" s="105"/>
      <c r="Q602" s="105"/>
      <c r="R602" s="105"/>
      <c r="S602" s="105"/>
      <c r="T602" s="105"/>
      <c r="U602" s="105"/>
      <c r="V602" s="105"/>
      <c r="W602" s="105"/>
      <c r="X602" s="105"/>
      <c r="Y602" s="105"/>
      <c r="Z602" s="105"/>
    </row>
    <row r="603">
      <c r="A603" s="105"/>
      <c r="B603" s="105"/>
      <c r="C603" s="105"/>
      <c r="D603" s="105"/>
      <c r="E603" s="105"/>
      <c r="F603" s="105"/>
      <c r="G603" s="105"/>
      <c r="H603" s="105"/>
      <c r="I603" s="105"/>
      <c r="J603" s="105"/>
      <c r="K603" s="105"/>
      <c r="L603" s="105"/>
      <c r="M603" s="105"/>
      <c r="N603" s="105"/>
      <c r="O603" s="105"/>
      <c r="P603" s="105"/>
      <c r="Q603" s="105"/>
      <c r="R603" s="105"/>
      <c r="S603" s="105"/>
      <c r="T603" s="105"/>
      <c r="U603" s="105"/>
      <c r="V603" s="105"/>
      <c r="W603" s="105"/>
      <c r="X603" s="105"/>
      <c r="Y603" s="105"/>
      <c r="Z603" s="105"/>
    </row>
    <row r="604">
      <c r="A604" s="105"/>
      <c r="B604" s="105"/>
      <c r="C604" s="105"/>
      <c r="D604" s="105"/>
      <c r="E604" s="105"/>
      <c r="F604" s="105"/>
      <c r="G604" s="105"/>
      <c r="H604" s="105"/>
      <c r="I604" s="105"/>
      <c r="J604" s="105"/>
      <c r="K604" s="105"/>
      <c r="L604" s="105"/>
      <c r="M604" s="105"/>
      <c r="N604" s="105"/>
      <c r="O604" s="105"/>
      <c r="P604" s="105"/>
      <c r="Q604" s="105"/>
      <c r="R604" s="105"/>
      <c r="S604" s="105"/>
      <c r="T604" s="105"/>
      <c r="U604" s="105"/>
      <c r="V604" s="105"/>
      <c r="W604" s="105"/>
      <c r="X604" s="105"/>
      <c r="Y604" s="105"/>
      <c r="Z604" s="105"/>
    </row>
    <row r="605">
      <c r="A605" s="105"/>
      <c r="B605" s="105"/>
      <c r="C605" s="105"/>
      <c r="D605" s="105"/>
      <c r="E605" s="105"/>
      <c r="F605" s="105"/>
      <c r="G605" s="105"/>
      <c r="H605" s="105"/>
      <c r="I605" s="105"/>
      <c r="J605" s="105"/>
      <c r="K605" s="105"/>
      <c r="L605" s="105"/>
      <c r="M605" s="105"/>
      <c r="N605" s="105"/>
      <c r="O605" s="105"/>
      <c r="P605" s="105"/>
      <c r="Q605" s="105"/>
      <c r="R605" s="105"/>
      <c r="S605" s="105"/>
      <c r="T605" s="105"/>
      <c r="U605" s="105"/>
      <c r="V605" s="105"/>
      <c r="W605" s="105"/>
      <c r="X605" s="105"/>
      <c r="Y605" s="105"/>
      <c r="Z605" s="105"/>
    </row>
    <row r="606">
      <c r="A606" s="105"/>
      <c r="B606" s="105"/>
      <c r="C606" s="105"/>
      <c r="D606" s="105"/>
      <c r="E606" s="105"/>
      <c r="F606" s="105"/>
      <c r="G606" s="105"/>
      <c r="H606" s="105"/>
      <c r="I606" s="105"/>
      <c r="J606" s="105"/>
      <c r="K606" s="105"/>
      <c r="L606" s="105"/>
      <c r="M606" s="105"/>
      <c r="N606" s="105"/>
      <c r="O606" s="105"/>
      <c r="P606" s="105"/>
      <c r="Q606" s="105"/>
      <c r="R606" s="105"/>
      <c r="S606" s="105"/>
      <c r="T606" s="105"/>
      <c r="U606" s="105"/>
      <c r="V606" s="105"/>
      <c r="W606" s="105"/>
      <c r="X606" s="105"/>
      <c r="Y606" s="105"/>
      <c r="Z606" s="105"/>
    </row>
    <row r="607">
      <c r="A607" s="105"/>
      <c r="B607" s="105"/>
      <c r="C607" s="105"/>
      <c r="D607" s="105"/>
      <c r="E607" s="105"/>
      <c r="F607" s="105"/>
      <c r="G607" s="105"/>
      <c r="H607" s="105"/>
      <c r="I607" s="105"/>
      <c r="J607" s="105"/>
      <c r="K607" s="105"/>
      <c r="L607" s="105"/>
      <c r="M607" s="105"/>
      <c r="N607" s="105"/>
      <c r="O607" s="105"/>
      <c r="P607" s="105"/>
      <c r="Q607" s="105"/>
      <c r="R607" s="105"/>
      <c r="S607" s="105"/>
      <c r="T607" s="105"/>
      <c r="U607" s="105"/>
      <c r="V607" s="105"/>
      <c r="W607" s="105"/>
      <c r="X607" s="105"/>
      <c r="Y607" s="105"/>
      <c r="Z607" s="105"/>
    </row>
    <row r="608">
      <c r="A608" s="105"/>
      <c r="B608" s="105"/>
      <c r="C608" s="105"/>
      <c r="D608" s="105"/>
      <c r="E608" s="105"/>
      <c r="F608" s="105"/>
      <c r="G608" s="105"/>
      <c r="H608" s="105"/>
      <c r="I608" s="105"/>
      <c r="J608" s="105"/>
      <c r="K608" s="105"/>
      <c r="L608" s="105"/>
      <c r="M608" s="105"/>
      <c r="N608" s="105"/>
      <c r="O608" s="105"/>
      <c r="P608" s="105"/>
      <c r="Q608" s="105"/>
      <c r="R608" s="105"/>
      <c r="S608" s="105"/>
      <c r="T608" s="105"/>
      <c r="U608" s="105"/>
      <c r="V608" s="105"/>
      <c r="W608" s="105"/>
      <c r="X608" s="105"/>
      <c r="Y608" s="105"/>
      <c r="Z608" s="105"/>
    </row>
    <row r="609">
      <c r="A609" s="105"/>
      <c r="B609" s="105"/>
      <c r="C609" s="105"/>
      <c r="D609" s="105"/>
      <c r="E609" s="105"/>
      <c r="F609" s="105"/>
      <c r="G609" s="105"/>
      <c r="H609" s="105"/>
      <c r="I609" s="105"/>
      <c r="J609" s="105"/>
      <c r="K609" s="105"/>
      <c r="L609" s="105"/>
      <c r="M609" s="105"/>
      <c r="N609" s="105"/>
      <c r="O609" s="105"/>
      <c r="P609" s="105"/>
      <c r="Q609" s="105"/>
      <c r="R609" s="105"/>
      <c r="S609" s="105"/>
      <c r="T609" s="105"/>
      <c r="U609" s="105"/>
      <c r="V609" s="105"/>
      <c r="W609" s="105"/>
      <c r="X609" s="105"/>
      <c r="Y609" s="105"/>
      <c r="Z609" s="105"/>
    </row>
    <row r="610">
      <c r="A610" s="105"/>
      <c r="B610" s="105"/>
      <c r="C610" s="105"/>
      <c r="D610" s="105"/>
      <c r="E610" s="105"/>
      <c r="F610" s="105"/>
      <c r="G610" s="105"/>
      <c r="H610" s="105"/>
      <c r="I610" s="105"/>
      <c r="J610" s="105"/>
      <c r="K610" s="105"/>
      <c r="L610" s="105"/>
      <c r="M610" s="105"/>
      <c r="N610" s="105"/>
      <c r="O610" s="105"/>
      <c r="P610" s="105"/>
      <c r="Q610" s="105"/>
      <c r="R610" s="105"/>
      <c r="S610" s="105"/>
      <c r="T610" s="105"/>
      <c r="U610" s="105"/>
      <c r="V610" s="105"/>
      <c r="W610" s="105"/>
      <c r="X610" s="105"/>
      <c r="Y610" s="105"/>
      <c r="Z610" s="105"/>
    </row>
    <row r="611">
      <c r="A611" s="105"/>
      <c r="B611" s="105"/>
      <c r="C611" s="105"/>
      <c r="D611" s="105"/>
      <c r="E611" s="105"/>
      <c r="F611" s="105"/>
      <c r="G611" s="105"/>
      <c r="H611" s="105"/>
      <c r="I611" s="105"/>
      <c r="J611" s="105"/>
      <c r="K611" s="105"/>
      <c r="L611" s="105"/>
      <c r="M611" s="105"/>
      <c r="N611" s="105"/>
      <c r="O611" s="105"/>
      <c r="P611" s="105"/>
      <c r="Q611" s="105"/>
      <c r="R611" s="105"/>
      <c r="S611" s="105"/>
      <c r="T611" s="105"/>
      <c r="U611" s="105"/>
      <c r="V611" s="105"/>
      <c r="W611" s="105"/>
      <c r="X611" s="105"/>
      <c r="Y611" s="105"/>
      <c r="Z611" s="105"/>
    </row>
    <row r="612">
      <c r="A612" s="105"/>
      <c r="B612" s="105"/>
      <c r="C612" s="105"/>
      <c r="D612" s="105"/>
      <c r="E612" s="105"/>
      <c r="F612" s="105"/>
      <c r="G612" s="105"/>
      <c r="H612" s="105"/>
      <c r="I612" s="105"/>
      <c r="J612" s="105"/>
      <c r="K612" s="105"/>
      <c r="L612" s="105"/>
      <c r="M612" s="105"/>
      <c r="N612" s="105"/>
      <c r="O612" s="105"/>
      <c r="P612" s="105"/>
      <c r="Q612" s="105"/>
      <c r="R612" s="105"/>
      <c r="S612" s="105"/>
      <c r="T612" s="105"/>
      <c r="U612" s="105"/>
      <c r="V612" s="105"/>
      <c r="W612" s="105"/>
      <c r="X612" s="105"/>
      <c r="Y612" s="105"/>
      <c r="Z612" s="105"/>
    </row>
    <row r="613">
      <c r="A613" s="105"/>
      <c r="B613" s="105"/>
      <c r="C613" s="105"/>
      <c r="D613" s="105"/>
      <c r="E613" s="105"/>
      <c r="F613" s="105"/>
      <c r="G613" s="105"/>
      <c r="H613" s="105"/>
      <c r="I613" s="105"/>
      <c r="J613" s="105"/>
      <c r="K613" s="105"/>
      <c r="L613" s="105"/>
      <c r="M613" s="105"/>
      <c r="N613" s="105"/>
      <c r="O613" s="105"/>
      <c r="P613" s="105"/>
      <c r="Q613" s="105"/>
      <c r="R613" s="105"/>
      <c r="S613" s="105"/>
      <c r="T613" s="105"/>
      <c r="U613" s="105"/>
      <c r="V613" s="105"/>
      <c r="W613" s="105"/>
      <c r="X613" s="105"/>
      <c r="Y613" s="105"/>
      <c r="Z613" s="105"/>
    </row>
    <row r="614">
      <c r="A614" s="105"/>
      <c r="B614" s="105"/>
      <c r="C614" s="105"/>
      <c r="D614" s="105"/>
      <c r="E614" s="105"/>
      <c r="F614" s="105"/>
      <c r="G614" s="105"/>
      <c r="H614" s="105"/>
      <c r="I614" s="105"/>
      <c r="J614" s="105"/>
      <c r="K614" s="105"/>
      <c r="L614" s="105"/>
      <c r="M614" s="105"/>
      <c r="N614" s="105"/>
      <c r="O614" s="105"/>
      <c r="P614" s="105"/>
      <c r="Q614" s="105"/>
      <c r="R614" s="105"/>
      <c r="S614" s="105"/>
      <c r="T614" s="105"/>
      <c r="U614" s="105"/>
      <c r="V614" s="105"/>
      <c r="W614" s="105"/>
      <c r="X614" s="105"/>
      <c r="Y614" s="105"/>
      <c r="Z614" s="105"/>
    </row>
    <row r="615">
      <c r="A615" s="105"/>
      <c r="B615" s="105"/>
      <c r="C615" s="105"/>
      <c r="D615" s="105"/>
      <c r="E615" s="105"/>
      <c r="F615" s="105"/>
      <c r="G615" s="105"/>
      <c r="H615" s="105"/>
      <c r="I615" s="105"/>
      <c r="J615" s="105"/>
      <c r="K615" s="105"/>
      <c r="L615" s="105"/>
      <c r="M615" s="105"/>
      <c r="N615" s="105"/>
      <c r="O615" s="105"/>
      <c r="P615" s="105"/>
      <c r="Q615" s="105"/>
      <c r="R615" s="105"/>
      <c r="S615" s="105"/>
      <c r="T615" s="105"/>
      <c r="U615" s="105"/>
      <c r="V615" s="105"/>
      <c r="W615" s="105"/>
      <c r="X615" s="105"/>
      <c r="Y615" s="105"/>
      <c r="Z615" s="105"/>
    </row>
    <row r="616">
      <c r="A616" s="105"/>
      <c r="B616" s="105"/>
      <c r="C616" s="105"/>
      <c r="D616" s="105"/>
      <c r="E616" s="105"/>
      <c r="F616" s="105"/>
      <c r="G616" s="105"/>
      <c r="H616" s="105"/>
      <c r="I616" s="105"/>
      <c r="J616" s="105"/>
      <c r="K616" s="105"/>
      <c r="L616" s="105"/>
      <c r="M616" s="105"/>
      <c r="N616" s="105"/>
      <c r="O616" s="105"/>
      <c r="P616" s="105"/>
      <c r="Q616" s="105"/>
      <c r="R616" s="105"/>
      <c r="S616" s="105"/>
      <c r="T616" s="105"/>
      <c r="U616" s="105"/>
      <c r="V616" s="105"/>
      <c r="W616" s="105"/>
      <c r="X616" s="105"/>
      <c r="Y616" s="105"/>
      <c r="Z616" s="105"/>
    </row>
    <row r="617">
      <c r="A617" s="105"/>
      <c r="B617" s="105"/>
      <c r="C617" s="105"/>
      <c r="D617" s="105"/>
      <c r="E617" s="105"/>
      <c r="F617" s="105"/>
      <c r="G617" s="105"/>
      <c r="H617" s="105"/>
      <c r="I617" s="105"/>
      <c r="J617" s="105"/>
      <c r="K617" s="105"/>
      <c r="L617" s="105"/>
      <c r="M617" s="105"/>
      <c r="N617" s="105"/>
      <c r="O617" s="105"/>
      <c r="P617" s="105"/>
      <c r="Q617" s="105"/>
      <c r="R617" s="105"/>
      <c r="S617" s="105"/>
      <c r="T617" s="105"/>
      <c r="U617" s="105"/>
      <c r="V617" s="105"/>
      <c r="W617" s="105"/>
      <c r="X617" s="105"/>
      <c r="Y617" s="105"/>
      <c r="Z617" s="105"/>
    </row>
    <row r="618">
      <c r="A618" s="105"/>
      <c r="B618" s="105"/>
      <c r="C618" s="105"/>
      <c r="D618" s="105"/>
      <c r="E618" s="105"/>
      <c r="F618" s="105"/>
      <c r="G618" s="105"/>
      <c r="H618" s="105"/>
      <c r="I618" s="105"/>
      <c r="J618" s="105"/>
      <c r="K618" s="105"/>
      <c r="L618" s="105"/>
      <c r="M618" s="105"/>
      <c r="N618" s="105"/>
      <c r="O618" s="105"/>
      <c r="P618" s="105"/>
      <c r="Q618" s="105"/>
      <c r="R618" s="105"/>
      <c r="S618" s="105"/>
      <c r="T618" s="105"/>
      <c r="U618" s="105"/>
      <c r="V618" s="105"/>
      <c r="W618" s="105"/>
      <c r="X618" s="105"/>
      <c r="Y618" s="105"/>
      <c r="Z618" s="105"/>
    </row>
    <row r="619">
      <c r="A619" s="105"/>
      <c r="B619" s="105"/>
      <c r="C619" s="105"/>
      <c r="D619" s="105"/>
      <c r="E619" s="105"/>
      <c r="F619" s="105"/>
      <c r="G619" s="105"/>
      <c r="H619" s="105"/>
      <c r="I619" s="105"/>
      <c r="J619" s="105"/>
      <c r="K619" s="105"/>
      <c r="L619" s="105"/>
      <c r="M619" s="105"/>
      <c r="N619" s="105"/>
      <c r="O619" s="105"/>
      <c r="P619" s="105"/>
      <c r="Q619" s="105"/>
      <c r="R619" s="105"/>
      <c r="S619" s="105"/>
      <c r="T619" s="105"/>
      <c r="U619" s="105"/>
      <c r="V619" s="105"/>
      <c r="W619" s="105"/>
      <c r="X619" s="105"/>
      <c r="Y619" s="105"/>
      <c r="Z619" s="105"/>
    </row>
    <row r="620">
      <c r="A620" s="105"/>
      <c r="B620" s="105"/>
      <c r="C620" s="105"/>
      <c r="D620" s="105"/>
      <c r="E620" s="105"/>
      <c r="F620" s="105"/>
      <c r="G620" s="105"/>
      <c r="H620" s="105"/>
      <c r="I620" s="105"/>
      <c r="J620" s="105"/>
      <c r="K620" s="105"/>
      <c r="L620" s="105"/>
      <c r="M620" s="105"/>
      <c r="N620" s="105"/>
      <c r="O620" s="105"/>
      <c r="P620" s="105"/>
      <c r="Q620" s="105"/>
      <c r="R620" s="105"/>
      <c r="S620" s="105"/>
      <c r="T620" s="105"/>
      <c r="U620" s="105"/>
      <c r="V620" s="105"/>
      <c r="W620" s="105"/>
      <c r="X620" s="105"/>
      <c r="Y620" s="105"/>
      <c r="Z620" s="105"/>
    </row>
    <row r="621">
      <c r="A621" s="105"/>
      <c r="B621" s="105"/>
      <c r="C621" s="105"/>
      <c r="D621" s="105"/>
      <c r="E621" s="105"/>
      <c r="F621" s="105"/>
      <c r="G621" s="105"/>
      <c r="H621" s="105"/>
      <c r="I621" s="105"/>
      <c r="J621" s="105"/>
      <c r="K621" s="105"/>
      <c r="L621" s="105"/>
      <c r="M621" s="105"/>
      <c r="N621" s="105"/>
      <c r="O621" s="105"/>
      <c r="P621" s="105"/>
      <c r="Q621" s="105"/>
      <c r="R621" s="105"/>
      <c r="S621" s="105"/>
      <c r="T621" s="105"/>
      <c r="U621" s="105"/>
      <c r="V621" s="105"/>
      <c r="W621" s="105"/>
      <c r="X621" s="105"/>
      <c r="Y621" s="105"/>
      <c r="Z621" s="105"/>
    </row>
    <row r="622">
      <c r="A622" s="105"/>
      <c r="B622" s="105"/>
      <c r="C622" s="105"/>
      <c r="D622" s="105"/>
      <c r="E622" s="105"/>
      <c r="F622" s="105"/>
      <c r="G622" s="105"/>
      <c r="H622" s="105"/>
      <c r="I622" s="105"/>
      <c r="J622" s="105"/>
      <c r="K622" s="105"/>
      <c r="L622" s="105"/>
      <c r="M622" s="105"/>
      <c r="N622" s="105"/>
      <c r="O622" s="105"/>
      <c r="P622" s="105"/>
      <c r="Q622" s="105"/>
      <c r="R622" s="105"/>
      <c r="S622" s="105"/>
      <c r="T622" s="105"/>
      <c r="U622" s="105"/>
      <c r="V622" s="105"/>
      <c r="W622" s="105"/>
      <c r="X622" s="105"/>
      <c r="Y622" s="105"/>
      <c r="Z622" s="105"/>
    </row>
    <row r="623">
      <c r="A623" s="105"/>
      <c r="B623" s="105"/>
      <c r="C623" s="105"/>
      <c r="D623" s="105"/>
      <c r="E623" s="105"/>
      <c r="F623" s="105"/>
      <c r="G623" s="105"/>
      <c r="H623" s="105"/>
      <c r="I623" s="105"/>
      <c r="J623" s="105"/>
      <c r="K623" s="105"/>
      <c r="L623" s="105"/>
      <c r="M623" s="105"/>
      <c r="N623" s="105"/>
      <c r="O623" s="105"/>
      <c r="P623" s="105"/>
      <c r="Q623" s="105"/>
      <c r="R623" s="105"/>
      <c r="S623" s="105"/>
      <c r="T623" s="105"/>
      <c r="U623" s="105"/>
      <c r="V623" s="105"/>
      <c r="W623" s="105"/>
      <c r="X623" s="105"/>
      <c r="Y623" s="105"/>
      <c r="Z623" s="105"/>
    </row>
    <row r="624">
      <c r="A624" s="105"/>
      <c r="B624" s="105"/>
      <c r="C624" s="105"/>
      <c r="D624" s="105"/>
      <c r="E624" s="105"/>
      <c r="F624" s="105"/>
      <c r="G624" s="105"/>
      <c r="H624" s="105"/>
      <c r="I624" s="105"/>
      <c r="J624" s="105"/>
      <c r="K624" s="105"/>
      <c r="L624" s="105"/>
      <c r="M624" s="105"/>
      <c r="N624" s="105"/>
      <c r="O624" s="105"/>
      <c r="P624" s="105"/>
      <c r="Q624" s="105"/>
      <c r="R624" s="105"/>
      <c r="S624" s="105"/>
      <c r="T624" s="105"/>
      <c r="U624" s="105"/>
      <c r="V624" s="105"/>
      <c r="W624" s="105"/>
      <c r="X624" s="105"/>
      <c r="Y624" s="105"/>
      <c r="Z624" s="105"/>
    </row>
    <row r="625">
      <c r="A625" s="105"/>
      <c r="B625" s="105"/>
      <c r="C625" s="105"/>
      <c r="D625" s="105"/>
      <c r="E625" s="105"/>
      <c r="F625" s="105"/>
      <c r="G625" s="105"/>
      <c r="H625" s="105"/>
      <c r="I625" s="105"/>
      <c r="J625" s="105"/>
      <c r="K625" s="105"/>
      <c r="L625" s="105"/>
      <c r="M625" s="105"/>
      <c r="N625" s="105"/>
      <c r="O625" s="105"/>
      <c r="P625" s="105"/>
      <c r="Q625" s="105"/>
      <c r="R625" s="105"/>
      <c r="S625" s="105"/>
      <c r="T625" s="105"/>
      <c r="U625" s="105"/>
      <c r="V625" s="105"/>
      <c r="W625" s="105"/>
      <c r="X625" s="105"/>
      <c r="Y625" s="105"/>
      <c r="Z625" s="105"/>
    </row>
    <row r="626">
      <c r="A626" s="105"/>
      <c r="B626" s="105"/>
      <c r="C626" s="105"/>
      <c r="D626" s="105"/>
      <c r="E626" s="105"/>
      <c r="F626" s="105"/>
      <c r="G626" s="105"/>
      <c r="H626" s="105"/>
      <c r="I626" s="105"/>
      <c r="J626" s="105"/>
      <c r="K626" s="105"/>
      <c r="L626" s="105"/>
      <c r="M626" s="105"/>
      <c r="N626" s="105"/>
      <c r="O626" s="105"/>
      <c r="P626" s="105"/>
      <c r="Q626" s="105"/>
      <c r="R626" s="105"/>
      <c r="S626" s="105"/>
      <c r="T626" s="105"/>
      <c r="U626" s="105"/>
      <c r="V626" s="105"/>
      <c r="W626" s="105"/>
      <c r="X626" s="105"/>
      <c r="Y626" s="105"/>
      <c r="Z626" s="105"/>
    </row>
    <row r="627">
      <c r="A627" s="105"/>
      <c r="B627" s="105"/>
      <c r="C627" s="105"/>
      <c r="D627" s="105"/>
      <c r="E627" s="105"/>
      <c r="F627" s="105"/>
      <c r="G627" s="105"/>
      <c r="H627" s="105"/>
      <c r="I627" s="105"/>
      <c r="J627" s="105"/>
      <c r="K627" s="105"/>
      <c r="L627" s="105"/>
      <c r="M627" s="105"/>
      <c r="N627" s="105"/>
      <c r="O627" s="105"/>
      <c r="P627" s="105"/>
      <c r="Q627" s="105"/>
      <c r="R627" s="105"/>
      <c r="S627" s="105"/>
      <c r="T627" s="105"/>
      <c r="U627" s="105"/>
      <c r="V627" s="105"/>
      <c r="W627" s="105"/>
      <c r="X627" s="105"/>
      <c r="Y627" s="105"/>
      <c r="Z627" s="105"/>
    </row>
    <row r="628">
      <c r="A628" s="105"/>
      <c r="B628" s="105"/>
      <c r="C628" s="105"/>
      <c r="D628" s="105"/>
      <c r="E628" s="105"/>
      <c r="F628" s="105"/>
      <c r="G628" s="105"/>
      <c r="H628" s="105"/>
      <c r="I628" s="105"/>
      <c r="J628" s="105"/>
      <c r="K628" s="105"/>
      <c r="L628" s="105"/>
      <c r="M628" s="105"/>
      <c r="N628" s="105"/>
      <c r="O628" s="105"/>
      <c r="P628" s="105"/>
      <c r="Q628" s="105"/>
      <c r="R628" s="105"/>
      <c r="S628" s="105"/>
      <c r="T628" s="105"/>
      <c r="U628" s="105"/>
      <c r="V628" s="105"/>
      <c r="W628" s="105"/>
      <c r="X628" s="105"/>
      <c r="Y628" s="105"/>
      <c r="Z628" s="105"/>
    </row>
    <row r="629">
      <c r="A629" s="105"/>
      <c r="B629" s="105"/>
      <c r="C629" s="105"/>
      <c r="D629" s="105"/>
      <c r="E629" s="105"/>
      <c r="F629" s="105"/>
      <c r="G629" s="105"/>
      <c r="H629" s="105"/>
      <c r="I629" s="105"/>
      <c r="J629" s="105"/>
      <c r="K629" s="105"/>
      <c r="L629" s="105"/>
      <c r="M629" s="105"/>
      <c r="N629" s="105"/>
      <c r="O629" s="105"/>
      <c r="P629" s="105"/>
      <c r="Q629" s="105"/>
      <c r="R629" s="105"/>
      <c r="S629" s="105"/>
      <c r="T629" s="105"/>
      <c r="U629" s="105"/>
      <c r="V629" s="105"/>
      <c r="W629" s="105"/>
      <c r="X629" s="105"/>
      <c r="Y629" s="105"/>
      <c r="Z629" s="105"/>
    </row>
    <row r="630">
      <c r="A630" s="105"/>
      <c r="B630" s="105"/>
      <c r="C630" s="105"/>
      <c r="D630" s="105"/>
      <c r="E630" s="105"/>
      <c r="F630" s="105"/>
      <c r="G630" s="105"/>
      <c r="H630" s="105"/>
      <c r="I630" s="105"/>
      <c r="J630" s="105"/>
      <c r="K630" s="105"/>
      <c r="L630" s="105"/>
      <c r="M630" s="105"/>
      <c r="N630" s="105"/>
      <c r="O630" s="105"/>
      <c r="P630" s="105"/>
      <c r="Q630" s="105"/>
      <c r="R630" s="105"/>
      <c r="S630" s="105"/>
      <c r="T630" s="105"/>
      <c r="U630" s="105"/>
      <c r="V630" s="105"/>
      <c r="W630" s="105"/>
      <c r="X630" s="105"/>
      <c r="Y630" s="105"/>
      <c r="Z630" s="105"/>
    </row>
    <row r="631">
      <c r="A631" s="105"/>
      <c r="B631" s="105"/>
      <c r="C631" s="105"/>
      <c r="D631" s="105"/>
      <c r="E631" s="105"/>
      <c r="F631" s="105"/>
      <c r="G631" s="105"/>
      <c r="H631" s="105"/>
      <c r="I631" s="105"/>
      <c r="J631" s="105"/>
      <c r="K631" s="105"/>
      <c r="L631" s="105"/>
      <c r="M631" s="105"/>
      <c r="N631" s="105"/>
      <c r="O631" s="105"/>
      <c r="P631" s="105"/>
      <c r="Q631" s="105"/>
      <c r="R631" s="105"/>
      <c r="S631" s="105"/>
      <c r="T631" s="105"/>
      <c r="U631" s="105"/>
      <c r="V631" s="105"/>
      <c r="W631" s="105"/>
      <c r="X631" s="105"/>
      <c r="Y631" s="105"/>
      <c r="Z631" s="105"/>
    </row>
    <row r="632">
      <c r="A632" s="105"/>
      <c r="B632" s="105"/>
      <c r="C632" s="105"/>
      <c r="D632" s="105"/>
      <c r="E632" s="105"/>
      <c r="F632" s="105"/>
      <c r="G632" s="105"/>
      <c r="H632" s="105"/>
      <c r="I632" s="105"/>
      <c r="J632" s="105"/>
      <c r="K632" s="105"/>
      <c r="L632" s="105"/>
      <c r="M632" s="105"/>
      <c r="N632" s="105"/>
      <c r="O632" s="105"/>
      <c r="P632" s="105"/>
      <c r="Q632" s="105"/>
      <c r="R632" s="105"/>
      <c r="S632" s="105"/>
      <c r="T632" s="105"/>
      <c r="U632" s="105"/>
      <c r="V632" s="105"/>
      <c r="W632" s="105"/>
      <c r="X632" s="105"/>
      <c r="Y632" s="105"/>
      <c r="Z632" s="105"/>
    </row>
    <row r="633">
      <c r="A633" s="105"/>
      <c r="B633" s="105"/>
      <c r="C633" s="105"/>
      <c r="D633" s="105"/>
      <c r="E633" s="105"/>
      <c r="F633" s="105"/>
      <c r="G633" s="105"/>
      <c r="H633" s="105"/>
      <c r="I633" s="105"/>
      <c r="J633" s="105"/>
      <c r="K633" s="105"/>
      <c r="L633" s="105"/>
      <c r="M633" s="105"/>
      <c r="N633" s="105"/>
      <c r="O633" s="105"/>
      <c r="P633" s="105"/>
      <c r="Q633" s="105"/>
      <c r="R633" s="105"/>
      <c r="S633" s="105"/>
      <c r="T633" s="105"/>
      <c r="U633" s="105"/>
      <c r="V633" s="105"/>
      <c r="W633" s="105"/>
      <c r="X633" s="105"/>
      <c r="Y633" s="105"/>
      <c r="Z633" s="105"/>
    </row>
    <row r="634">
      <c r="A634" s="105"/>
      <c r="B634" s="105"/>
      <c r="C634" s="105"/>
      <c r="D634" s="105"/>
      <c r="E634" s="105"/>
      <c r="F634" s="105"/>
      <c r="G634" s="105"/>
      <c r="H634" s="105"/>
      <c r="I634" s="105"/>
      <c r="J634" s="105"/>
      <c r="K634" s="105"/>
      <c r="L634" s="105"/>
      <c r="M634" s="105"/>
      <c r="N634" s="105"/>
      <c r="O634" s="105"/>
      <c r="P634" s="105"/>
      <c r="Q634" s="105"/>
      <c r="R634" s="105"/>
      <c r="S634" s="105"/>
      <c r="T634" s="105"/>
      <c r="U634" s="105"/>
      <c r="V634" s="105"/>
      <c r="W634" s="105"/>
      <c r="X634" s="105"/>
      <c r="Y634" s="105"/>
      <c r="Z634" s="105"/>
    </row>
    <row r="635">
      <c r="A635" s="105"/>
      <c r="B635" s="105"/>
      <c r="C635" s="105"/>
      <c r="D635" s="105"/>
      <c r="E635" s="105"/>
      <c r="F635" s="105"/>
      <c r="G635" s="105"/>
      <c r="H635" s="105"/>
      <c r="I635" s="105"/>
      <c r="J635" s="105"/>
      <c r="K635" s="105"/>
      <c r="L635" s="105"/>
      <c r="M635" s="105"/>
      <c r="N635" s="105"/>
      <c r="O635" s="105"/>
      <c r="P635" s="105"/>
      <c r="Q635" s="105"/>
      <c r="R635" s="105"/>
      <c r="S635" s="105"/>
      <c r="T635" s="105"/>
      <c r="U635" s="105"/>
      <c r="V635" s="105"/>
      <c r="W635" s="105"/>
      <c r="X635" s="105"/>
      <c r="Y635" s="105"/>
      <c r="Z635" s="105"/>
    </row>
    <row r="636">
      <c r="A636" s="105"/>
      <c r="B636" s="105"/>
      <c r="C636" s="105"/>
      <c r="D636" s="105"/>
      <c r="E636" s="105"/>
      <c r="F636" s="105"/>
      <c r="G636" s="105"/>
      <c r="H636" s="105"/>
      <c r="I636" s="105"/>
      <c r="J636" s="105"/>
      <c r="K636" s="105"/>
      <c r="L636" s="105"/>
      <c r="M636" s="105"/>
      <c r="N636" s="105"/>
      <c r="O636" s="105"/>
      <c r="P636" s="105"/>
      <c r="Q636" s="105"/>
      <c r="R636" s="105"/>
      <c r="S636" s="105"/>
      <c r="T636" s="105"/>
      <c r="U636" s="105"/>
      <c r="V636" s="105"/>
      <c r="W636" s="105"/>
      <c r="X636" s="105"/>
      <c r="Y636" s="105"/>
      <c r="Z636" s="105"/>
    </row>
    <row r="637">
      <c r="A637" s="105"/>
      <c r="B637" s="105"/>
      <c r="C637" s="105"/>
      <c r="D637" s="105"/>
      <c r="E637" s="105"/>
      <c r="F637" s="105"/>
      <c r="G637" s="105"/>
      <c r="H637" s="105"/>
      <c r="I637" s="105"/>
      <c r="J637" s="105"/>
      <c r="K637" s="105"/>
      <c r="L637" s="105"/>
      <c r="M637" s="105"/>
      <c r="N637" s="105"/>
      <c r="O637" s="105"/>
      <c r="P637" s="105"/>
      <c r="Q637" s="105"/>
      <c r="R637" s="105"/>
      <c r="S637" s="105"/>
      <c r="T637" s="105"/>
      <c r="U637" s="105"/>
      <c r="V637" s="105"/>
      <c r="W637" s="105"/>
      <c r="X637" s="105"/>
      <c r="Y637" s="105"/>
      <c r="Z637" s="105"/>
    </row>
    <row r="638">
      <c r="A638" s="105"/>
      <c r="B638" s="105"/>
      <c r="C638" s="105"/>
      <c r="D638" s="105"/>
      <c r="E638" s="105"/>
      <c r="F638" s="105"/>
      <c r="G638" s="105"/>
      <c r="H638" s="105"/>
      <c r="I638" s="105"/>
      <c r="J638" s="105"/>
      <c r="K638" s="105"/>
      <c r="L638" s="105"/>
      <c r="M638" s="105"/>
      <c r="N638" s="105"/>
      <c r="O638" s="105"/>
      <c r="P638" s="105"/>
      <c r="Q638" s="105"/>
      <c r="R638" s="105"/>
      <c r="S638" s="105"/>
      <c r="T638" s="105"/>
      <c r="U638" s="105"/>
      <c r="V638" s="105"/>
      <c r="W638" s="105"/>
      <c r="X638" s="105"/>
      <c r="Y638" s="105"/>
      <c r="Z638" s="105"/>
    </row>
    <row r="639">
      <c r="A639" s="105"/>
      <c r="B639" s="105"/>
      <c r="C639" s="105"/>
      <c r="D639" s="105"/>
      <c r="E639" s="105"/>
      <c r="F639" s="105"/>
      <c r="G639" s="105"/>
      <c r="H639" s="105"/>
      <c r="I639" s="105"/>
      <c r="J639" s="105"/>
      <c r="K639" s="105"/>
      <c r="L639" s="105"/>
      <c r="M639" s="105"/>
      <c r="N639" s="105"/>
      <c r="O639" s="105"/>
      <c r="P639" s="105"/>
      <c r="Q639" s="105"/>
      <c r="R639" s="105"/>
      <c r="S639" s="105"/>
      <c r="T639" s="105"/>
      <c r="U639" s="105"/>
      <c r="V639" s="105"/>
      <c r="W639" s="105"/>
      <c r="X639" s="105"/>
      <c r="Y639" s="105"/>
      <c r="Z639" s="105"/>
    </row>
    <row r="640">
      <c r="A640" s="105"/>
      <c r="B640" s="105"/>
      <c r="C640" s="105"/>
      <c r="D640" s="105"/>
      <c r="E640" s="105"/>
      <c r="F640" s="105"/>
      <c r="G640" s="105"/>
      <c r="H640" s="105"/>
      <c r="I640" s="105"/>
      <c r="J640" s="105"/>
      <c r="K640" s="105"/>
      <c r="L640" s="105"/>
      <c r="M640" s="105"/>
      <c r="N640" s="105"/>
      <c r="O640" s="105"/>
      <c r="P640" s="105"/>
      <c r="Q640" s="105"/>
      <c r="R640" s="105"/>
      <c r="S640" s="105"/>
      <c r="T640" s="105"/>
      <c r="U640" s="105"/>
      <c r="V640" s="105"/>
      <c r="W640" s="105"/>
      <c r="X640" s="105"/>
      <c r="Y640" s="105"/>
      <c r="Z640" s="105"/>
    </row>
    <row r="641">
      <c r="A641" s="105"/>
      <c r="B641" s="105"/>
      <c r="C641" s="105"/>
      <c r="D641" s="105"/>
      <c r="E641" s="105"/>
      <c r="F641" s="105"/>
      <c r="G641" s="105"/>
      <c r="H641" s="105"/>
      <c r="I641" s="105"/>
      <c r="J641" s="105"/>
      <c r="K641" s="105"/>
      <c r="L641" s="105"/>
      <c r="M641" s="105"/>
      <c r="N641" s="105"/>
      <c r="O641" s="105"/>
      <c r="P641" s="105"/>
      <c r="Q641" s="105"/>
      <c r="R641" s="105"/>
      <c r="S641" s="105"/>
      <c r="T641" s="105"/>
      <c r="U641" s="105"/>
      <c r="V641" s="105"/>
      <c r="W641" s="105"/>
      <c r="X641" s="105"/>
      <c r="Y641" s="105"/>
      <c r="Z641" s="105"/>
    </row>
    <row r="642">
      <c r="A642" s="105"/>
      <c r="B642" s="105"/>
      <c r="C642" s="105"/>
      <c r="D642" s="105"/>
      <c r="E642" s="105"/>
      <c r="F642" s="105"/>
      <c r="G642" s="105"/>
      <c r="H642" s="105"/>
      <c r="I642" s="105"/>
      <c r="J642" s="105"/>
      <c r="K642" s="105"/>
      <c r="L642" s="105"/>
      <c r="M642" s="105"/>
      <c r="N642" s="105"/>
      <c r="O642" s="105"/>
      <c r="P642" s="105"/>
      <c r="Q642" s="105"/>
      <c r="R642" s="105"/>
      <c r="S642" s="105"/>
      <c r="T642" s="105"/>
      <c r="U642" s="105"/>
      <c r="V642" s="105"/>
      <c r="W642" s="105"/>
      <c r="X642" s="105"/>
      <c r="Y642" s="105"/>
      <c r="Z642" s="105"/>
    </row>
    <row r="643">
      <c r="A643" s="105"/>
      <c r="B643" s="105"/>
      <c r="C643" s="105"/>
      <c r="D643" s="105"/>
      <c r="E643" s="105"/>
      <c r="F643" s="105"/>
      <c r="G643" s="105"/>
      <c r="H643" s="105"/>
      <c r="I643" s="105"/>
      <c r="J643" s="105"/>
      <c r="K643" s="105"/>
      <c r="L643" s="105"/>
      <c r="M643" s="105"/>
      <c r="N643" s="105"/>
      <c r="O643" s="105"/>
      <c r="P643" s="105"/>
      <c r="Q643" s="105"/>
      <c r="R643" s="105"/>
      <c r="S643" s="105"/>
      <c r="T643" s="105"/>
      <c r="U643" s="105"/>
      <c r="V643" s="105"/>
      <c r="W643" s="105"/>
      <c r="X643" s="105"/>
      <c r="Y643" s="105"/>
      <c r="Z643" s="105"/>
    </row>
    <row r="644">
      <c r="A644" s="105"/>
      <c r="B644" s="105"/>
      <c r="C644" s="105"/>
      <c r="D644" s="105"/>
      <c r="E644" s="105"/>
      <c r="F644" s="105"/>
      <c r="G644" s="105"/>
      <c r="H644" s="105"/>
      <c r="I644" s="105"/>
      <c r="J644" s="105"/>
      <c r="K644" s="105"/>
      <c r="L644" s="105"/>
      <c r="M644" s="105"/>
      <c r="N644" s="105"/>
      <c r="O644" s="105"/>
      <c r="P644" s="105"/>
      <c r="Q644" s="105"/>
      <c r="R644" s="105"/>
      <c r="S644" s="105"/>
      <c r="T644" s="105"/>
      <c r="U644" s="105"/>
      <c r="V644" s="105"/>
      <c r="W644" s="105"/>
      <c r="X644" s="105"/>
      <c r="Y644" s="105"/>
      <c r="Z644" s="105"/>
    </row>
    <row r="645">
      <c r="A645" s="105"/>
      <c r="B645" s="105"/>
      <c r="C645" s="105"/>
      <c r="D645" s="105"/>
      <c r="E645" s="105"/>
      <c r="F645" s="105"/>
      <c r="G645" s="105"/>
      <c r="H645" s="105"/>
      <c r="I645" s="105"/>
      <c r="J645" s="105"/>
      <c r="K645" s="105"/>
      <c r="L645" s="105"/>
      <c r="M645" s="105"/>
      <c r="N645" s="105"/>
      <c r="O645" s="105"/>
      <c r="P645" s="105"/>
      <c r="Q645" s="105"/>
      <c r="R645" s="105"/>
      <c r="S645" s="105"/>
      <c r="T645" s="105"/>
      <c r="U645" s="105"/>
      <c r="V645" s="105"/>
      <c r="W645" s="105"/>
      <c r="X645" s="105"/>
      <c r="Y645" s="105"/>
      <c r="Z645" s="105"/>
    </row>
    <row r="646">
      <c r="A646" s="105"/>
      <c r="B646" s="105"/>
      <c r="C646" s="105"/>
      <c r="D646" s="105"/>
      <c r="E646" s="105"/>
      <c r="F646" s="105"/>
      <c r="G646" s="105"/>
      <c r="H646" s="105"/>
      <c r="I646" s="105"/>
      <c r="J646" s="105"/>
      <c r="K646" s="105"/>
      <c r="L646" s="105"/>
      <c r="M646" s="105"/>
      <c r="N646" s="105"/>
      <c r="O646" s="105"/>
      <c r="P646" s="105"/>
      <c r="Q646" s="105"/>
      <c r="R646" s="105"/>
      <c r="S646" s="105"/>
      <c r="T646" s="105"/>
      <c r="U646" s="105"/>
      <c r="V646" s="105"/>
      <c r="W646" s="105"/>
      <c r="X646" s="105"/>
      <c r="Y646" s="105"/>
      <c r="Z646" s="105"/>
    </row>
    <row r="647">
      <c r="A647" s="105"/>
      <c r="B647" s="105"/>
      <c r="C647" s="105"/>
      <c r="D647" s="105"/>
      <c r="E647" s="105"/>
      <c r="F647" s="105"/>
      <c r="G647" s="105"/>
      <c r="H647" s="105"/>
      <c r="I647" s="105"/>
      <c r="J647" s="105"/>
      <c r="K647" s="105"/>
      <c r="L647" s="105"/>
      <c r="M647" s="105"/>
      <c r="N647" s="105"/>
      <c r="O647" s="105"/>
      <c r="P647" s="105"/>
      <c r="Q647" s="105"/>
      <c r="R647" s="105"/>
      <c r="S647" s="105"/>
      <c r="T647" s="105"/>
      <c r="U647" s="105"/>
      <c r="V647" s="105"/>
      <c r="W647" s="105"/>
      <c r="X647" s="105"/>
      <c r="Y647" s="105"/>
      <c r="Z647" s="105"/>
    </row>
    <row r="648">
      <c r="A648" s="105"/>
      <c r="B648" s="105"/>
      <c r="C648" s="105"/>
      <c r="D648" s="105"/>
      <c r="E648" s="105"/>
      <c r="F648" s="105"/>
      <c r="G648" s="105"/>
      <c r="H648" s="105"/>
      <c r="I648" s="105"/>
      <c r="J648" s="105"/>
      <c r="K648" s="105"/>
      <c r="L648" s="105"/>
      <c r="M648" s="105"/>
      <c r="N648" s="105"/>
      <c r="O648" s="105"/>
      <c r="P648" s="105"/>
      <c r="Q648" s="105"/>
      <c r="R648" s="105"/>
      <c r="S648" s="105"/>
      <c r="T648" s="105"/>
      <c r="U648" s="105"/>
      <c r="V648" s="105"/>
      <c r="W648" s="105"/>
      <c r="X648" s="105"/>
      <c r="Y648" s="105"/>
      <c r="Z648" s="105"/>
    </row>
    <row r="649">
      <c r="A649" s="105"/>
      <c r="B649" s="105"/>
      <c r="C649" s="105"/>
      <c r="D649" s="105"/>
      <c r="E649" s="105"/>
      <c r="F649" s="105"/>
      <c r="G649" s="105"/>
      <c r="H649" s="105"/>
      <c r="I649" s="105"/>
      <c r="J649" s="105"/>
      <c r="K649" s="105"/>
      <c r="L649" s="105"/>
      <c r="M649" s="105"/>
      <c r="N649" s="105"/>
      <c r="O649" s="105"/>
      <c r="P649" s="105"/>
      <c r="Q649" s="105"/>
      <c r="R649" s="105"/>
      <c r="S649" s="105"/>
      <c r="T649" s="105"/>
      <c r="U649" s="105"/>
      <c r="V649" s="105"/>
      <c r="W649" s="105"/>
      <c r="X649" s="105"/>
      <c r="Y649" s="105"/>
      <c r="Z649" s="105"/>
    </row>
    <row r="650">
      <c r="A650" s="105"/>
      <c r="B650" s="105"/>
      <c r="C650" s="105"/>
      <c r="D650" s="105"/>
      <c r="E650" s="105"/>
      <c r="F650" s="105"/>
      <c r="G650" s="105"/>
      <c r="H650" s="105"/>
      <c r="I650" s="105"/>
      <c r="J650" s="105"/>
      <c r="K650" s="105"/>
      <c r="L650" s="105"/>
      <c r="M650" s="105"/>
      <c r="N650" s="105"/>
      <c r="O650" s="105"/>
      <c r="P650" s="105"/>
      <c r="Q650" s="105"/>
      <c r="R650" s="105"/>
      <c r="S650" s="105"/>
      <c r="T650" s="105"/>
      <c r="U650" s="105"/>
      <c r="V650" s="105"/>
      <c r="W650" s="105"/>
      <c r="X650" s="105"/>
      <c r="Y650" s="105"/>
      <c r="Z650" s="105"/>
    </row>
    <row r="651">
      <c r="A651" s="105"/>
      <c r="B651" s="105"/>
      <c r="C651" s="105"/>
      <c r="D651" s="105"/>
      <c r="E651" s="105"/>
      <c r="F651" s="105"/>
      <c r="G651" s="105"/>
      <c r="H651" s="105"/>
      <c r="I651" s="105"/>
      <c r="J651" s="105"/>
      <c r="K651" s="105"/>
      <c r="L651" s="105"/>
      <c r="M651" s="105"/>
      <c r="N651" s="105"/>
      <c r="O651" s="105"/>
      <c r="P651" s="105"/>
      <c r="Q651" s="105"/>
      <c r="R651" s="105"/>
      <c r="S651" s="105"/>
      <c r="T651" s="105"/>
      <c r="U651" s="105"/>
      <c r="V651" s="105"/>
      <c r="W651" s="105"/>
      <c r="X651" s="105"/>
      <c r="Y651" s="105"/>
      <c r="Z651" s="105"/>
    </row>
    <row r="652">
      <c r="A652" s="105"/>
      <c r="B652" s="105"/>
      <c r="C652" s="105"/>
      <c r="D652" s="105"/>
      <c r="E652" s="105"/>
      <c r="F652" s="105"/>
      <c r="G652" s="105"/>
      <c r="H652" s="105"/>
      <c r="I652" s="105"/>
      <c r="J652" s="105"/>
      <c r="K652" s="105"/>
      <c r="L652" s="105"/>
      <c r="M652" s="105"/>
      <c r="N652" s="105"/>
      <c r="O652" s="105"/>
      <c r="P652" s="105"/>
      <c r="Q652" s="105"/>
      <c r="R652" s="105"/>
      <c r="S652" s="105"/>
      <c r="T652" s="105"/>
      <c r="U652" s="105"/>
      <c r="V652" s="105"/>
      <c r="W652" s="105"/>
      <c r="X652" s="105"/>
      <c r="Y652" s="105"/>
      <c r="Z652" s="105"/>
    </row>
    <row r="653">
      <c r="A653" s="105"/>
      <c r="B653" s="105"/>
      <c r="C653" s="105"/>
      <c r="D653" s="105"/>
      <c r="E653" s="105"/>
      <c r="F653" s="105"/>
      <c r="G653" s="105"/>
      <c r="H653" s="105"/>
      <c r="I653" s="105"/>
      <c r="J653" s="105"/>
      <c r="K653" s="105"/>
      <c r="L653" s="105"/>
      <c r="M653" s="105"/>
      <c r="N653" s="105"/>
      <c r="O653" s="105"/>
      <c r="P653" s="105"/>
      <c r="Q653" s="105"/>
      <c r="R653" s="105"/>
      <c r="S653" s="105"/>
      <c r="T653" s="105"/>
      <c r="U653" s="105"/>
      <c r="V653" s="105"/>
      <c r="W653" s="105"/>
      <c r="X653" s="105"/>
      <c r="Y653" s="105"/>
      <c r="Z653" s="105"/>
    </row>
    <row r="654">
      <c r="A654" s="105"/>
      <c r="B654" s="105"/>
      <c r="C654" s="105"/>
      <c r="D654" s="105"/>
      <c r="E654" s="105"/>
      <c r="F654" s="105"/>
      <c r="G654" s="105"/>
      <c r="H654" s="105"/>
      <c r="I654" s="105"/>
      <c r="J654" s="105"/>
      <c r="K654" s="105"/>
      <c r="L654" s="105"/>
      <c r="M654" s="105"/>
      <c r="N654" s="105"/>
      <c r="O654" s="105"/>
      <c r="P654" s="105"/>
      <c r="Q654" s="105"/>
      <c r="R654" s="105"/>
      <c r="S654" s="105"/>
      <c r="T654" s="105"/>
      <c r="U654" s="105"/>
      <c r="V654" s="105"/>
      <c r="W654" s="105"/>
      <c r="X654" s="105"/>
      <c r="Y654" s="105"/>
      <c r="Z654" s="105"/>
    </row>
    <row r="655">
      <c r="A655" s="105"/>
      <c r="B655" s="105"/>
      <c r="C655" s="105"/>
      <c r="D655" s="105"/>
      <c r="E655" s="105"/>
      <c r="F655" s="105"/>
      <c r="G655" s="105"/>
      <c r="H655" s="105"/>
      <c r="I655" s="105"/>
      <c r="J655" s="105"/>
      <c r="K655" s="105"/>
      <c r="L655" s="105"/>
      <c r="M655" s="105"/>
      <c r="N655" s="105"/>
      <c r="O655" s="105"/>
      <c r="P655" s="105"/>
      <c r="Q655" s="105"/>
      <c r="R655" s="105"/>
      <c r="S655" s="105"/>
      <c r="T655" s="105"/>
      <c r="U655" s="105"/>
      <c r="V655" s="105"/>
      <c r="W655" s="105"/>
      <c r="X655" s="105"/>
      <c r="Y655" s="105"/>
      <c r="Z655" s="105"/>
    </row>
    <row r="656">
      <c r="A656" s="105"/>
      <c r="B656" s="105"/>
      <c r="C656" s="105"/>
      <c r="D656" s="105"/>
      <c r="E656" s="105"/>
      <c r="F656" s="105"/>
      <c r="G656" s="105"/>
      <c r="H656" s="105"/>
      <c r="I656" s="105"/>
      <c r="J656" s="105"/>
      <c r="K656" s="105"/>
      <c r="L656" s="105"/>
      <c r="M656" s="105"/>
      <c r="N656" s="105"/>
      <c r="O656" s="105"/>
      <c r="P656" s="105"/>
      <c r="Q656" s="105"/>
      <c r="R656" s="105"/>
      <c r="S656" s="105"/>
      <c r="T656" s="105"/>
      <c r="U656" s="105"/>
      <c r="V656" s="105"/>
      <c r="W656" s="105"/>
      <c r="X656" s="105"/>
      <c r="Y656" s="105"/>
      <c r="Z656" s="105"/>
    </row>
    <row r="657">
      <c r="A657" s="105"/>
      <c r="B657" s="105"/>
      <c r="C657" s="105"/>
      <c r="D657" s="105"/>
      <c r="E657" s="105"/>
      <c r="F657" s="105"/>
      <c r="G657" s="105"/>
      <c r="H657" s="105"/>
      <c r="I657" s="105"/>
      <c r="J657" s="105"/>
      <c r="K657" s="105"/>
      <c r="L657" s="105"/>
      <c r="M657" s="105"/>
      <c r="N657" s="105"/>
      <c r="O657" s="105"/>
      <c r="P657" s="105"/>
      <c r="Q657" s="105"/>
      <c r="R657" s="105"/>
      <c r="S657" s="105"/>
      <c r="T657" s="105"/>
      <c r="U657" s="105"/>
      <c r="V657" s="105"/>
      <c r="W657" s="105"/>
      <c r="X657" s="105"/>
      <c r="Y657" s="105"/>
      <c r="Z657" s="105"/>
    </row>
    <row r="658">
      <c r="A658" s="105"/>
      <c r="B658" s="105"/>
      <c r="C658" s="105"/>
      <c r="D658" s="105"/>
      <c r="E658" s="105"/>
      <c r="F658" s="105"/>
      <c r="G658" s="105"/>
      <c r="H658" s="105"/>
      <c r="I658" s="105"/>
      <c r="J658" s="105"/>
      <c r="K658" s="105"/>
      <c r="L658" s="105"/>
      <c r="M658" s="105"/>
      <c r="N658" s="105"/>
      <c r="O658" s="105"/>
      <c r="P658" s="105"/>
      <c r="Q658" s="105"/>
      <c r="R658" s="105"/>
      <c r="S658" s="105"/>
      <c r="T658" s="105"/>
      <c r="U658" s="105"/>
      <c r="V658" s="105"/>
      <c r="W658" s="105"/>
      <c r="X658" s="105"/>
      <c r="Y658" s="105"/>
      <c r="Z658" s="105"/>
    </row>
    <row r="659">
      <c r="A659" s="105"/>
      <c r="B659" s="105"/>
      <c r="C659" s="105"/>
      <c r="D659" s="105"/>
      <c r="E659" s="105"/>
      <c r="F659" s="105"/>
      <c r="G659" s="105"/>
      <c r="H659" s="105"/>
      <c r="I659" s="105"/>
      <c r="J659" s="105"/>
      <c r="K659" s="105"/>
      <c r="L659" s="105"/>
      <c r="M659" s="105"/>
      <c r="N659" s="105"/>
      <c r="O659" s="105"/>
      <c r="P659" s="105"/>
      <c r="Q659" s="105"/>
      <c r="R659" s="105"/>
      <c r="S659" s="105"/>
      <c r="T659" s="105"/>
      <c r="U659" s="105"/>
      <c r="V659" s="105"/>
      <c r="W659" s="105"/>
      <c r="X659" s="105"/>
      <c r="Y659" s="105"/>
      <c r="Z659" s="105"/>
    </row>
    <row r="660">
      <c r="A660" s="105"/>
      <c r="B660" s="105"/>
      <c r="C660" s="105"/>
      <c r="D660" s="105"/>
      <c r="E660" s="105"/>
      <c r="F660" s="105"/>
      <c r="G660" s="105"/>
      <c r="H660" s="105"/>
      <c r="I660" s="105"/>
      <c r="J660" s="105"/>
      <c r="K660" s="105"/>
      <c r="L660" s="105"/>
      <c r="M660" s="105"/>
      <c r="N660" s="105"/>
      <c r="O660" s="105"/>
      <c r="P660" s="105"/>
      <c r="Q660" s="105"/>
      <c r="R660" s="105"/>
      <c r="S660" s="105"/>
      <c r="T660" s="105"/>
      <c r="U660" s="105"/>
      <c r="V660" s="105"/>
      <c r="W660" s="105"/>
      <c r="X660" s="105"/>
      <c r="Y660" s="105"/>
      <c r="Z660" s="105"/>
    </row>
    <row r="661">
      <c r="A661" s="105"/>
      <c r="B661" s="105"/>
      <c r="C661" s="105"/>
      <c r="D661" s="105"/>
      <c r="E661" s="105"/>
      <c r="F661" s="105"/>
      <c r="G661" s="105"/>
      <c r="H661" s="105"/>
      <c r="I661" s="105"/>
      <c r="J661" s="105"/>
      <c r="K661" s="105"/>
      <c r="L661" s="105"/>
      <c r="M661" s="105"/>
      <c r="N661" s="105"/>
      <c r="O661" s="105"/>
      <c r="P661" s="105"/>
      <c r="Q661" s="105"/>
      <c r="R661" s="105"/>
      <c r="S661" s="105"/>
      <c r="T661" s="105"/>
      <c r="U661" s="105"/>
      <c r="V661" s="105"/>
      <c r="W661" s="105"/>
      <c r="X661" s="105"/>
      <c r="Y661" s="105"/>
      <c r="Z661" s="105"/>
    </row>
    <row r="662">
      <c r="A662" s="105"/>
      <c r="B662" s="105"/>
      <c r="C662" s="105"/>
      <c r="D662" s="105"/>
      <c r="E662" s="105"/>
      <c r="F662" s="105"/>
      <c r="G662" s="105"/>
      <c r="H662" s="105"/>
      <c r="I662" s="105"/>
      <c r="J662" s="105"/>
      <c r="K662" s="105"/>
      <c r="L662" s="105"/>
      <c r="M662" s="105"/>
      <c r="N662" s="105"/>
      <c r="O662" s="105"/>
      <c r="P662" s="105"/>
      <c r="Q662" s="105"/>
      <c r="R662" s="105"/>
      <c r="S662" s="105"/>
      <c r="T662" s="105"/>
      <c r="U662" s="105"/>
      <c r="V662" s="105"/>
      <c r="W662" s="105"/>
      <c r="X662" s="105"/>
      <c r="Y662" s="105"/>
      <c r="Z662" s="105"/>
    </row>
    <row r="663">
      <c r="A663" s="105"/>
      <c r="B663" s="105"/>
      <c r="C663" s="105"/>
      <c r="D663" s="105"/>
      <c r="E663" s="105"/>
      <c r="F663" s="105"/>
      <c r="G663" s="105"/>
      <c r="H663" s="105"/>
      <c r="I663" s="105"/>
      <c r="J663" s="105"/>
      <c r="K663" s="105"/>
      <c r="L663" s="105"/>
      <c r="M663" s="105"/>
      <c r="N663" s="105"/>
      <c r="O663" s="105"/>
      <c r="P663" s="105"/>
      <c r="Q663" s="105"/>
      <c r="R663" s="105"/>
      <c r="S663" s="105"/>
      <c r="T663" s="105"/>
      <c r="U663" s="105"/>
      <c r="V663" s="105"/>
      <c r="W663" s="105"/>
      <c r="X663" s="105"/>
      <c r="Y663" s="105"/>
      <c r="Z663" s="105"/>
    </row>
    <row r="664">
      <c r="A664" s="105"/>
      <c r="B664" s="105"/>
      <c r="C664" s="105"/>
      <c r="D664" s="105"/>
      <c r="E664" s="105"/>
      <c r="F664" s="105"/>
      <c r="G664" s="105"/>
      <c r="H664" s="105"/>
      <c r="I664" s="105"/>
      <c r="J664" s="105"/>
      <c r="K664" s="105"/>
      <c r="L664" s="105"/>
      <c r="M664" s="105"/>
      <c r="N664" s="105"/>
      <c r="O664" s="105"/>
      <c r="P664" s="105"/>
      <c r="Q664" s="105"/>
      <c r="R664" s="105"/>
      <c r="S664" s="105"/>
      <c r="T664" s="105"/>
      <c r="U664" s="105"/>
      <c r="V664" s="105"/>
      <c r="W664" s="105"/>
      <c r="X664" s="105"/>
      <c r="Y664" s="105"/>
      <c r="Z664" s="105"/>
    </row>
    <row r="665">
      <c r="A665" s="105"/>
      <c r="B665" s="105"/>
      <c r="C665" s="105"/>
      <c r="D665" s="105"/>
      <c r="E665" s="105"/>
      <c r="F665" s="105"/>
      <c r="G665" s="105"/>
      <c r="H665" s="105"/>
      <c r="I665" s="105"/>
      <c r="J665" s="105"/>
      <c r="K665" s="105"/>
      <c r="L665" s="105"/>
      <c r="M665" s="105"/>
      <c r="N665" s="105"/>
      <c r="O665" s="105"/>
      <c r="P665" s="105"/>
      <c r="Q665" s="105"/>
      <c r="R665" s="105"/>
      <c r="S665" s="105"/>
      <c r="T665" s="105"/>
      <c r="U665" s="105"/>
      <c r="V665" s="105"/>
      <c r="W665" s="105"/>
      <c r="X665" s="105"/>
      <c r="Y665" s="105"/>
      <c r="Z665" s="105"/>
    </row>
    <row r="666">
      <c r="A666" s="105"/>
      <c r="B666" s="105"/>
      <c r="C666" s="105"/>
      <c r="D666" s="105"/>
      <c r="E666" s="105"/>
      <c r="F666" s="105"/>
      <c r="G666" s="105"/>
      <c r="H666" s="105"/>
      <c r="I666" s="105"/>
      <c r="J666" s="105"/>
      <c r="K666" s="105"/>
      <c r="L666" s="105"/>
      <c r="M666" s="105"/>
      <c r="N666" s="105"/>
      <c r="O666" s="105"/>
      <c r="P666" s="105"/>
      <c r="Q666" s="105"/>
      <c r="R666" s="105"/>
      <c r="S666" s="105"/>
      <c r="T666" s="105"/>
      <c r="U666" s="105"/>
      <c r="V666" s="105"/>
      <c r="W666" s="105"/>
      <c r="X666" s="105"/>
      <c r="Y666" s="105"/>
      <c r="Z666" s="105"/>
    </row>
    <row r="667">
      <c r="A667" s="105"/>
      <c r="B667" s="105"/>
      <c r="C667" s="105"/>
      <c r="D667" s="105"/>
      <c r="E667" s="105"/>
      <c r="F667" s="105"/>
      <c r="G667" s="105"/>
      <c r="H667" s="105"/>
      <c r="I667" s="105"/>
      <c r="J667" s="105"/>
      <c r="K667" s="105"/>
      <c r="L667" s="105"/>
      <c r="M667" s="105"/>
      <c r="N667" s="105"/>
      <c r="O667" s="105"/>
      <c r="P667" s="105"/>
      <c r="Q667" s="105"/>
      <c r="R667" s="105"/>
      <c r="S667" s="105"/>
      <c r="T667" s="105"/>
      <c r="U667" s="105"/>
      <c r="V667" s="105"/>
      <c r="W667" s="105"/>
      <c r="X667" s="105"/>
      <c r="Y667" s="105"/>
      <c r="Z667" s="105"/>
    </row>
    <row r="668">
      <c r="A668" s="105"/>
      <c r="B668" s="105"/>
      <c r="C668" s="105"/>
      <c r="D668" s="105"/>
      <c r="E668" s="105"/>
      <c r="F668" s="105"/>
      <c r="G668" s="105"/>
      <c r="H668" s="105"/>
      <c r="I668" s="105"/>
      <c r="J668" s="105"/>
      <c r="K668" s="105"/>
      <c r="L668" s="105"/>
      <c r="M668" s="105"/>
      <c r="N668" s="105"/>
      <c r="O668" s="105"/>
      <c r="P668" s="105"/>
      <c r="Q668" s="105"/>
      <c r="R668" s="105"/>
      <c r="S668" s="105"/>
      <c r="T668" s="105"/>
      <c r="U668" s="105"/>
      <c r="V668" s="105"/>
      <c r="W668" s="105"/>
      <c r="X668" s="105"/>
      <c r="Y668" s="105"/>
      <c r="Z668" s="105"/>
    </row>
    <row r="669">
      <c r="A669" s="105"/>
      <c r="B669" s="105"/>
      <c r="C669" s="105"/>
      <c r="D669" s="105"/>
      <c r="E669" s="105"/>
      <c r="F669" s="105"/>
      <c r="G669" s="105"/>
      <c r="H669" s="105"/>
      <c r="I669" s="105"/>
      <c r="J669" s="105"/>
      <c r="K669" s="105"/>
      <c r="L669" s="105"/>
      <c r="M669" s="105"/>
      <c r="N669" s="105"/>
      <c r="O669" s="105"/>
      <c r="P669" s="105"/>
      <c r="Q669" s="105"/>
      <c r="R669" s="105"/>
      <c r="S669" s="105"/>
      <c r="T669" s="105"/>
      <c r="U669" s="105"/>
      <c r="V669" s="105"/>
      <c r="W669" s="105"/>
      <c r="X669" s="105"/>
      <c r="Y669" s="105"/>
      <c r="Z669" s="105"/>
    </row>
    <row r="670">
      <c r="A670" s="105"/>
      <c r="B670" s="105"/>
      <c r="C670" s="105"/>
      <c r="D670" s="105"/>
      <c r="E670" s="105"/>
      <c r="F670" s="105"/>
      <c r="G670" s="105"/>
      <c r="H670" s="105"/>
      <c r="I670" s="105"/>
      <c r="J670" s="105"/>
      <c r="K670" s="105"/>
      <c r="L670" s="105"/>
      <c r="M670" s="105"/>
      <c r="N670" s="105"/>
      <c r="O670" s="105"/>
      <c r="P670" s="105"/>
      <c r="Q670" s="105"/>
      <c r="R670" s="105"/>
      <c r="S670" s="105"/>
      <c r="T670" s="105"/>
      <c r="U670" s="105"/>
      <c r="V670" s="105"/>
      <c r="W670" s="105"/>
      <c r="X670" s="105"/>
      <c r="Y670" s="105"/>
      <c r="Z670" s="105"/>
    </row>
    <row r="671">
      <c r="A671" s="105"/>
      <c r="B671" s="105"/>
      <c r="C671" s="105"/>
      <c r="D671" s="105"/>
      <c r="E671" s="105"/>
      <c r="F671" s="105"/>
      <c r="G671" s="105"/>
      <c r="H671" s="105"/>
      <c r="I671" s="105"/>
      <c r="J671" s="105"/>
      <c r="K671" s="105"/>
      <c r="L671" s="105"/>
      <c r="M671" s="105"/>
      <c r="N671" s="105"/>
      <c r="O671" s="105"/>
      <c r="P671" s="105"/>
      <c r="Q671" s="105"/>
      <c r="R671" s="105"/>
      <c r="S671" s="105"/>
      <c r="T671" s="105"/>
      <c r="U671" s="105"/>
      <c r="V671" s="105"/>
      <c r="W671" s="105"/>
      <c r="X671" s="105"/>
      <c r="Y671" s="105"/>
      <c r="Z671" s="105"/>
    </row>
    <row r="672">
      <c r="A672" s="105"/>
      <c r="B672" s="105"/>
      <c r="C672" s="105"/>
      <c r="D672" s="105"/>
      <c r="E672" s="105"/>
      <c r="F672" s="105"/>
      <c r="G672" s="105"/>
      <c r="H672" s="105"/>
      <c r="I672" s="105"/>
      <c r="J672" s="105"/>
      <c r="K672" s="105"/>
      <c r="L672" s="105"/>
      <c r="M672" s="105"/>
      <c r="N672" s="105"/>
      <c r="O672" s="105"/>
      <c r="P672" s="105"/>
      <c r="Q672" s="105"/>
      <c r="R672" s="105"/>
      <c r="S672" s="105"/>
      <c r="T672" s="105"/>
      <c r="U672" s="105"/>
      <c r="V672" s="105"/>
      <c r="W672" s="105"/>
      <c r="X672" s="105"/>
      <c r="Y672" s="105"/>
      <c r="Z672" s="105"/>
    </row>
    <row r="673">
      <c r="A673" s="105"/>
      <c r="B673" s="105"/>
      <c r="C673" s="105"/>
      <c r="D673" s="105"/>
      <c r="E673" s="105"/>
      <c r="F673" s="105"/>
      <c r="G673" s="105"/>
      <c r="H673" s="105"/>
      <c r="I673" s="105"/>
      <c r="J673" s="105"/>
      <c r="K673" s="105"/>
      <c r="L673" s="105"/>
      <c r="M673" s="105"/>
      <c r="N673" s="105"/>
      <c r="O673" s="105"/>
      <c r="P673" s="105"/>
      <c r="Q673" s="105"/>
      <c r="R673" s="105"/>
      <c r="S673" s="105"/>
      <c r="T673" s="105"/>
      <c r="U673" s="105"/>
      <c r="V673" s="105"/>
      <c r="W673" s="105"/>
      <c r="X673" s="105"/>
      <c r="Y673" s="105"/>
      <c r="Z673" s="105"/>
    </row>
    <row r="674">
      <c r="A674" s="105"/>
      <c r="B674" s="105"/>
      <c r="C674" s="105"/>
      <c r="D674" s="105"/>
      <c r="E674" s="105"/>
      <c r="F674" s="105"/>
      <c r="G674" s="105"/>
      <c r="H674" s="105"/>
      <c r="I674" s="105"/>
      <c r="J674" s="105"/>
      <c r="K674" s="105"/>
      <c r="L674" s="105"/>
      <c r="M674" s="105"/>
      <c r="N674" s="105"/>
      <c r="O674" s="105"/>
      <c r="P674" s="105"/>
      <c r="Q674" s="105"/>
      <c r="R674" s="105"/>
      <c r="S674" s="105"/>
      <c r="T674" s="105"/>
      <c r="U674" s="105"/>
      <c r="V674" s="105"/>
      <c r="W674" s="105"/>
      <c r="X674" s="105"/>
      <c r="Y674" s="105"/>
      <c r="Z674" s="105"/>
    </row>
    <row r="675">
      <c r="A675" s="105"/>
      <c r="B675" s="105"/>
      <c r="C675" s="105"/>
      <c r="D675" s="105"/>
      <c r="E675" s="105"/>
      <c r="F675" s="105"/>
      <c r="G675" s="105"/>
      <c r="H675" s="105"/>
      <c r="I675" s="105"/>
      <c r="J675" s="105"/>
      <c r="K675" s="105"/>
      <c r="L675" s="105"/>
      <c r="M675" s="105"/>
      <c r="N675" s="105"/>
      <c r="O675" s="105"/>
      <c r="P675" s="105"/>
      <c r="Q675" s="105"/>
      <c r="R675" s="105"/>
      <c r="S675" s="105"/>
      <c r="T675" s="105"/>
      <c r="U675" s="105"/>
      <c r="V675" s="105"/>
      <c r="W675" s="105"/>
      <c r="X675" s="105"/>
      <c r="Y675" s="105"/>
      <c r="Z675" s="105"/>
    </row>
    <row r="676">
      <c r="A676" s="105"/>
      <c r="B676" s="105"/>
      <c r="C676" s="105"/>
      <c r="D676" s="105"/>
      <c r="E676" s="105"/>
      <c r="F676" s="105"/>
      <c r="G676" s="105"/>
      <c r="H676" s="105"/>
      <c r="I676" s="105"/>
      <c r="J676" s="105"/>
      <c r="K676" s="105"/>
      <c r="L676" s="105"/>
      <c r="M676" s="105"/>
      <c r="N676" s="105"/>
      <c r="O676" s="105"/>
      <c r="P676" s="105"/>
      <c r="Q676" s="105"/>
      <c r="R676" s="105"/>
      <c r="S676" s="105"/>
      <c r="T676" s="105"/>
      <c r="U676" s="105"/>
      <c r="V676" s="105"/>
      <c r="W676" s="105"/>
      <c r="X676" s="105"/>
      <c r="Y676" s="105"/>
      <c r="Z676" s="105"/>
    </row>
    <row r="677">
      <c r="A677" s="105"/>
      <c r="B677" s="105"/>
      <c r="C677" s="105"/>
      <c r="D677" s="105"/>
      <c r="E677" s="105"/>
      <c r="F677" s="105"/>
      <c r="G677" s="105"/>
      <c r="H677" s="105"/>
      <c r="I677" s="105"/>
      <c r="J677" s="105"/>
      <c r="K677" s="105"/>
      <c r="L677" s="105"/>
      <c r="M677" s="105"/>
      <c r="N677" s="105"/>
      <c r="O677" s="105"/>
      <c r="P677" s="105"/>
      <c r="Q677" s="105"/>
      <c r="R677" s="105"/>
      <c r="S677" s="105"/>
      <c r="T677" s="105"/>
      <c r="U677" s="105"/>
      <c r="V677" s="105"/>
      <c r="W677" s="105"/>
      <c r="X677" s="105"/>
      <c r="Y677" s="105"/>
      <c r="Z677" s="105"/>
    </row>
    <row r="678">
      <c r="A678" s="105"/>
      <c r="B678" s="105"/>
      <c r="C678" s="105"/>
      <c r="D678" s="105"/>
      <c r="E678" s="105"/>
      <c r="F678" s="105"/>
      <c r="G678" s="105"/>
      <c r="H678" s="105"/>
      <c r="I678" s="105"/>
      <c r="J678" s="105"/>
      <c r="K678" s="105"/>
      <c r="L678" s="105"/>
      <c r="M678" s="105"/>
      <c r="N678" s="105"/>
      <c r="O678" s="105"/>
      <c r="P678" s="105"/>
      <c r="Q678" s="105"/>
      <c r="R678" s="105"/>
      <c r="S678" s="105"/>
      <c r="T678" s="105"/>
      <c r="U678" s="105"/>
      <c r="V678" s="105"/>
      <c r="W678" s="105"/>
      <c r="X678" s="105"/>
      <c r="Y678" s="105"/>
      <c r="Z678" s="105"/>
    </row>
    <row r="679">
      <c r="A679" s="105"/>
      <c r="B679" s="105"/>
      <c r="C679" s="105"/>
      <c r="D679" s="105"/>
      <c r="E679" s="105"/>
      <c r="F679" s="105"/>
      <c r="G679" s="105"/>
      <c r="H679" s="105"/>
      <c r="I679" s="105"/>
      <c r="J679" s="105"/>
      <c r="K679" s="105"/>
      <c r="L679" s="105"/>
      <c r="M679" s="105"/>
      <c r="N679" s="105"/>
      <c r="O679" s="105"/>
      <c r="P679" s="105"/>
      <c r="Q679" s="105"/>
      <c r="R679" s="105"/>
      <c r="S679" s="105"/>
      <c r="T679" s="105"/>
      <c r="U679" s="105"/>
      <c r="V679" s="105"/>
      <c r="W679" s="105"/>
      <c r="X679" s="105"/>
      <c r="Y679" s="105"/>
      <c r="Z679" s="105"/>
    </row>
    <row r="680">
      <c r="A680" s="105"/>
      <c r="B680" s="105"/>
      <c r="C680" s="105"/>
      <c r="D680" s="105"/>
      <c r="E680" s="105"/>
      <c r="F680" s="105"/>
      <c r="G680" s="105"/>
      <c r="H680" s="105"/>
      <c r="I680" s="105"/>
      <c r="J680" s="105"/>
      <c r="K680" s="105"/>
      <c r="L680" s="105"/>
      <c r="M680" s="105"/>
      <c r="N680" s="105"/>
      <c r="O680" s="105"/>
      <c r="P680" s="105"/>
      <c r="Q680" s="105"/>
      <c r="R680" s="105"/>
      <c r="S680" s="105"/>
      <c r="T680" s="105"/>
      <c r="U680" s="105"/>
      <c r="V680" s="105"/>
      <c r="W680" s="105"/>
      <c r="X680" s="105"/>
      <c r="Y680" s="105"/>
      <c r="Z680" s="105"/>
    </row>
    <row r="681">
      <c r="A681" s="105"/>
      <c r="B681" s="105"/>
      <c r="C681" s="105"/>
      <c r="D681" s="105"/>
      <c r="E681" s="105"/>
      <c r="F681" s="105"/>
      <c r="G681" s="105"/>
      <c r="H681" s="105"/>
      <c r="I681" s="105"/>
      <c r="J681" s="105"/>
      <c r="K681" s="105"/>
      <c r="L681" s="105"/>
      <c r="M681" s="105"/>
      <c r="N681" s="105"/>
      <c r="O681" s="105"/>
      <c r="P681" s="105"/>
      <c r="Q681" s="105"/>
      <c r="R681" s="105"/>
      <c r="S681" s="105"/>
      <c r="T681" s="105"/>
      <c r="U681" s="105"/>
      <c r="V681" s="105"/>
      <c r="W681" s="105"/>
      <c r="X681" s="105"/>
      <c r="Y681" s="105"/>
      <c r="Z681" s="105"/>
    </row>
    <row r="682">
      <c r="A682" s="105"/>
      <c r="B682" s="105"/>
      <c r="C682" s="105"/>
      <c r="D682" s="105"/>
      <c r="E682" s="105"/>
      <c r="F682" s="105"/>
      <c r="G682" s="105"/>
      <c r="H682" s="105"/>
      <c r="I682" s="105"/>
      <c r="J682" s="105"/>
      <c r="K682" s="105"/>
      <c r="L682" s="105"/>
      <c r="M682" s="105"/>
      <c r="N682" s="105"/>
      <c r="O682" s="105"/>
      <c r="P682" s="105"/>
      <c r="Q682" s="105"/>
      <c r="R682" s="105"/>
      <c r="S682" s="105"/>
      <c r="T682" s="105"/>
      <c r="U682" s="105"/>
      <c r="V682" s="105"/>
      <c r="W682" s="105"/>
      <c r="X682" s="105"/>
      <c r="Y682" s="105"/>
      <c r="Z682" s="105"/>
    </row>
    <row r="683">
      <c r="A683" s="105"/>
      <c r="B683" s="105"/>
      <c r="C683" s="105"/>
      <c r="D683" s="105"/>
      <c r="E683" s="105"/>
      <c r="F683" s="105"/>
      <c r="G683" s="105"/>
      <c r="H683" s="105"/>
      <c r="I683" s="105"/>
      <c r="J683" s="105"/>
      <c r="K683" s="105"/>
      <c r="L683" s="105"/>
      <c r="M683" s="105"/>
      <c r="N683" s="105"/>
      <c r="O683" s="105"/>
      <c r="P683" s="105"/>
      <c r="Q683" s="105"/>
      <c r="R683" s="105"/>
      <c r="S683" s="105"/>
      <c r="T683" s="105"/>
      <c r="U683" s="105"/>
      <c r="V683" s="105"/>
      <c r="W683" s="105"/>
      <c r="X683" s="105"/>
      <c r="Y683" s="105"/>
      <c r="Z683" s="105"/>
    </row>
    <row r="684">
      <c r="A684" s="105"/>
      <c r="B684" s="105"/>
      <c r="C684" s="105"/>
      <c r="D684" s="105"/>
      <c r="E684" s="105"/>
      <c r="F684" s="105"/>
      <c r="G684" s="105"/>
      <c r="H684" s="105"/>
      <c r="I684" s="105"/>
      <c r="J684" s="105"/>
      <c r="K684" s="105"/>
      <c r="L684" s="105"/>
      <c r="M684" s="105"/>
      <c r="N684" s="105"/>
      <c r="O684" s="105"/>
      <c r="P684" s="105"/>
      <c r="Q684" s="105"/>
      <c r="R684" s="105"/>
      <c r="S684" s="105"/>
      <c r="T684" s="105"/>
      <c r="U684" s="105"/>
      <c r="V684" s="105"/>
      <c r="W684" s="105"/>
      <c r="X684" s="105"/>
      <c r="Y684" s="105"/>
      <c r="Z684" s="105"/>
    </row>
    <row r="685">
      <c r="A685" s="105"/>
      <c r="B685" s="105"/>
      <c r="C685" s="105"/>
      <c r="D685" s="105"/>
      <c r="E685" s="105"/>
      <c r="F685" s="105"/>
      <c r="G685" s="105"/>
      <c r="H685" s="105"/>
      <c r="I685" s="105"/>
      <c r="J685" s="105"/>
      <c r="K685" s="105"/>
      <c r="L685" s="105"/>
      <c r="M685" s="105"/>
      <c r="N685" s="105"/>
      <c r="O685" s="105"/>
      <c r="P685" s="105"/>
      <c r="Q685" s="105"/>
      <c r="R685" s="105"/>
      <c r="S685" s="105"/>
      <c r="T685" s="105"/>
      <c r="U685" s="105"/>
      <c r="V685" s="105"/>
      <c r="W685" s="105"/>
      <c r="X685" s="105"/>
      <c r="Y685" s="105"/>
      <c r="Z685" s="105"/>
    </row>
    <row r="686">
      <c r="A686" s="105"/>
      <c r="B686" s="105"/>
      <c r="C686" s="105"/>
      <c r="D686" s="105"/>
      <c r="E686" s="105"/>
      <c r="F686" s="105"/>
      <c r="G686" s="105"/>
      <c r="H686" s="105"/>
      <c r="I686" s="105"/>
      <c r="J686" s="105"/>
      <c r="K686" s="105"/>
      <c r="L686" s="105"/>
      <c r="M686" s="105"/>
      <c r="N686" s="105"/>
      <c r="O686" s="105"/>
      <c r="P686" s="105"/>
      <c r="Q686" s="105"/>
      <c r="R686" s="105"/>
      <c r="S686" s="105"/>
      <c r="T686" s="105"/>
      <c r="U686" s="105"/>
      <c r="V686" s="105"/>
      <c r="W686" s="105"/>
      <c r="X686" s="105"/>
      <c r="Y686" s="105"/>
      <c r="Z686" s="105"/>
    </row>
    <row r="687">
      <c r="A687" s="105"/>
      <c r="B687" s="105"/>
      <c r="C687" s="105"/>
      <c r="D687" s="105"/>
      <c r="E687" s="105"/>
      <c r="F687" s="105"/>
      <c r="G687" s="105"/>
      <c r="H687" s="105"/>
      <c r="I687" s="105"/>
      <c r="J687" s="105"/>
      <c r="K687" s="105"/>
      <c r="L687" s="105"/>
      <c r="M687" s="105"/>
      <c r="N687" s="105"/>
      <c r="O687" s="105"/>
      <c r="P687" s="105"/>
      <c r="Q687" s="105"/>
      <c r="R687" s="105"/>
      <c r="S687" s="105"/>
      <c r="T687" s="105"/>
      <c r="U687" s="105"/>
      <c r="V687" s="105"/>
      <c r="W687" s="105"/>
      <c r="X687" s="105"/>
      <c r="Y687" s="105"/>
      <c r="Z687" s="105"/>
    </row>
    <row r="688">
      <c r="A688" s="105"/>
      <c r="B688" s="105"/>
      <c r="C688" s="105"/>
      <c r="D688" s="105"/>
      <c r="E688" s="105"/>
      <c r="F688" s="105"/>
      <c r="G688" s="105"/>
      <c r="H688" s="105"/>
      <c r="I688" s="105"/>
      <c r="J688" s="105"/>
      <c r="K688" s="105"/>
      <c r="L688" s="105"/>
      <c r="M688" s="105"/>
      <c r="N688" s="105"/>
      <c r="O688" s="105"/>
      <c r="P688" s="105"/>
      <c r="Q688" s="105"/>
      <c r="R688" s="105"/>
      <c r="S688" s="105"/>
      <c r="T688" s="105"/>
      <c r="U688" s="105"/>
      <c r="V688" s="105"/>
      <c r="W688" s="105"/>
      <c r="X688" s="105"/>
      <c r="Y688" s="105"/>
      <c r="Z688" s="105"/>
    </row>
    <row r="689">
      <c r="A689" s="105"/>
      <c r="B689" s="105"/>
      <c r="C689" s="105"/>
      <c r="D689" s="105"/>
      <c r="E689" s="105"/>
      <c r="F689" s="105"/>
      <c r="G689" s="105"/>
      <c r="H689" s="105"/>
      <c r="I689" s="105"/>
      <c r="J689" s="105"/>
      <c r="K689" s="105"/>
      <c r="L689" s="105"/>
      <c r="M689" s="105"/>
      <c r="N689" s="105"/>
      <c r="O689" s="105"/>
      <c r="P689" s="105"/>
      <c r="Q689" s="105"/>
      <c r="R689" s="105"/>
      <c r="S689" s="105"/>
      <c r="T689" s="105"/>
      <c r="U689" s="105"/>
      <c r="V689" s="105"/>
      <c r="W689" s="105"/>
      <c r="X689" s="105"/>
      <c r="Y689" s="105"/>
      <c r="Z689" s="105"/>
    </row>
    <row r="690">
      <c r="A690" s="105"/>
      <c r="B690" s="105"/>
      <c r="C690" s="105"/>
      <c r="D690" s="105"/>
      <c r="E690" s="105"/>
      <c r="F690" s="105"/>
      <c r="G690" s="105"/>
      <c r="H690" s="105"/>
      <c r="I690" s="105"/>
      <c r="J690" s="105"/>
      <c r="K690" s="105"/>
      <c r="L690" s="105"/>
      <c r="M690" s="105"/>
      <c r="N690" s="105"/>
      <c r="O690" s="105"/>
      <c r="P690" s="105"/>
      <c r="Q690" s="105"/>
      <c r="R690" s="105"/>
      <c r="S690" s="105"/>
      <c r="T690" s="105"/>
      <c r="U690" s="105"/>
      <c r="V690" s="105"/>
      <c r="W690" s="105"/>
      <c r="X690" s="105"/>
      <c r="Y690" s="105"/>
      <c r="Z690" s="105"/>
    </row>
    <row r="691">
      <c r="A691" s="105"/>
      <c r="B691" s="105"/>
      <c r="C691" s="105"/>
      <c r="D691" s="105"/>
      <c r="E691" s="105"/>
      <c r="F691" s="105"/>
      <c r="G691" s="105"/>
      <c r="H691" s="105"/>
      <c r="I691" s="105"/>
      <c r="J691" s="105"/>
      <c r="K691" s="105"/>
      <c r="L691" s="105"/>
      <c r="M691" s="105"/>
      <c r="N691" s="105"/>
      <c r="O691" s="105"/>
      <c r="P691" s="105"/>
      <c r="Q691" s="105"/>
      <c r="R691" s="105"/>
      <c r="S691" s="105"/>
      <c r="T691" s="105"/>
      <c r="U691" s="105"/>
      <c r="V691" s="105"/>
      <c r="W691" s="105"/>
      <c r="X691" s="105"/>
      <c r="Y691" s="105"/>
      <c r="Z691" s="105"/>
    </row>
    <row r="692">
      <c r="A692" s="105"/>
      <c r="B692" s="105"/>
      <c r="C692" s="105"/>
      <c r="D692" s="105"/>
      <c r="E692" s="105"/>
      <c r="F692" s="105"/>
      <c r="G692" s="105"/>
      <c r="H692" s="105"/>
      <c r="I692" s="105"/>
      <c r="J692" s="105"/>
      <c r="K692" s="105"/>
      <c r="L692" s="105"/>
      <c r="M692" s="105"/>
      <c r="N692" s="105"/>
      <c r="O692" s="105"/>
      <c r="P692" s="105"/>
      <c r="Q692" s="105"/>
      <c r="R692" s="105"/>
      <c r="S692" s="105"/>
      <c r="T692" s="105"/>
      <c r="U692" s="105"/>
      <c r="V692" s="105"/>
      <c r="W692" s="105"/>
      <c r="X692" s="105"/>
      <c r="Y692" s="105"/>
      <c r="Z692" s="105"/>
    </row>
    <row r="693">
      <c r="A693" s="105"/>
      <c r="B693" s="105"/>
      <c r="C693" s="105"/>
      <c r="D693" s="105"/>
      <c r="E693" s="105"/>
      <c r="F693" s="105"/>
      <c r="G693" s="105"/>
      <c r="H693" s="105"/>
      <c r="I693" s="105"/>
      <c r="J693" s="105"/>
      <c r="K693" s="105"/>
      <c r="L693" s="105"/>
      <c r="M693" s="105"/>
      <c r="N693" s="105"/>
      <c r="O693" s="105"/>
      <c r="P693" s="105"/>
      <c r="Q693" s="105"/>
      <c r="R693" s="105"/>
      <c r="S693" s="105"/>
      <c r="T693" s="105"/>
      <c r="U693" s="105"/>
      <c r="V693" s="105"/>
      <c r="W693" s="105"/>
      <c r="X693" s="105"/>
      <c r="Y693" s="105"/>
      <c r="Z693" s="105"/>
    </row>
    <row r="694">
      <c r="A694" s="105"/>
      <c r="B694" s="105"/>
      <c r="C694" s="105"/>
      <c r="D694" s="105"/>
      <c r="E694" s="105"/>
      <c r="F694" s="105"/>
      <c r="G694" s="105"/>
      <c r="H694" s="105"/>
      <c r="I694" s="105"/>
      <c r="J694" s="105"/>
      <c r="K694" s="105"/>
      <c r="L694" s="105"/>
      <c r="M694" s="105"/>
      <c r="N694" s="105"/>
      <c r="O694" s="105"/>
      <c r="P694" s="105"/>
      <c r="Q694" s="105"/>
      <c r="R694" s="105"/>
      <c r="S694" s="105"/>
      <c r="T694" s="105"/>
      <c r="U694" s="105"/>
      <c r="V694" s="105"/>
      <c r="W694" s="105"/>
      <c r="X694" s="105"/>
      <c r="Y694" s="105"/>
      <c r="Z694" s="105"/>
    </row>
    <row r="695">
      <c r="A695" s="105"/>
      <c r="B695" s="105"/>
      <c r="C695" s="105"/>
      <c r="D695" s="105"/>
      <c r="E695" s="105"/>
      <c r="F695" s="105"/>
      <c r="G695" s="105"/>
      <c r="H695" s="105"/>
      <c r="I695" s="105"/>
      <c r="J695" s="105"/>
      <c r="K695" s="105"/>
      <c r="L695" s="105"/>
      <c r="M695" s="105"/>
      <c r="N695" s="105"/>
      <c r="O695" s="105"/>
      <c r="P695" s="105"/>
      <c r="Q695" s="105"/>
      <c r="R695" s="105"/>
      <c r="S695" s="105"/>
      <c r="T695" s="105"/>
      <c r="U695" s="105"/>
      <c r="V695" s="105"/>
      <c r="W695" s="105"/>
      <c r="X695" s="105"/>
      <c r="Y695" s="105"/>
      <c r="Z695" s="105"/>
    </row>
    <row r="696">
      <c r="A696" s="105"/>
      <c r="B696" s="105"/>
      <c r="C696" s="105"/>
      <c r="D696" s="105"/>
      <c r="E696" s="105"/>
      <c r="F696" s="105"/>
      <c r="G696" s="105"/>
      <c r="H696" s="105"/>
      <c r="I696" s="105"/>
      <c r="J696" s="105"/>
      <c r="K696" s="105"/>
      <c r="L696" s="105"/>
      <c r="M696" s="105"/>
      <c r="N696" s="105"/>
      <c r="O696" s="105"/>
      <c r="P696" s="105"/>
      <c r="Q696" s="105"/>
      <c r="R696" s="105"/>
      <c r="S696" s="105"/>
      <c r="T696" s="105"/>
      <c r="U696" s="105"/>
      <c r="V696" s="105"/>
      <c r="W696" s="105"/>
      <c r="X696" s="105"/>
      <c r="Y696" s="105"/>
      <c r="Z696" s="105"/>
    </row>
    <row r="697">
      <c r="A697" s="105"/>
      <c r="B697" s="105"/>
      <c r="C697" s="105"/>
      <c r="D697" s="105"/>
      <c r="E697" s="105"/>
      <c r="F697" s="105"/>
      <c r="G697" s="105"/>
      <c r="H697" s="105"/>
      <c r="I697" s="105"/>
      <c r="J697" s="105"/>
      <c r="K697" s="105"/>
      <c r="L697" s="105"/>
      <c r="M697" s="105"/>
      <c r="N697" s="105"/>
      <c r="O697" s="105"/>
      <c r="P697" s="105"/>
      <c r="Q697" s="105"/>
      <c r="R697" s="105"/>
      <c r="S697" s="105"/>
      <c r="T697" s="105"/>
      <c r="U697" s="105"/>
      <c r="V697" s="105"/>
      <c r="W697" s="105"/>
      <c r="X697" s="105"/>
      <c r="Y697" s="105"/>
      <c r="Z697" s="105"/>
    </row>
    <row r="698">
      <c r="A698" s="105"/>
      <c r="B698" s="105"/>
      <c r="C698" s="105"/>
      <c r="D698" s="105"/>
      <c r="E698" s="105"/>
      <c r="F698" s="105"/>
      <c r="G698" s="105"/>
      <c r="H698" s="105"/>
      <c r="I698" s="105"/>
      <c r="J698" s="105"/>
      <c r="K698" s="105"/>
      <c r="L698" s="105"/>
      <c r="M698" s="105"/>
      <c r="N698" s="105"/>
      <c r="O698" s="105"/>
      <c r="P698" s="105"/>
      <c r="Q698" s="105"/>
      <c r="R698" s="105"/>
      <c r="S698" s="105"/>
      <c r="T698" s="105"/>
      <c r="U698" s="105"/>
      <c r="V698" s="105"/>
      <c r="W698" s="105"/>
      <c r="X698" s="105"/>
      <c r="Y698" s="105"/>
      <c r="Z698" s="105"/>
    </row>
    <row r="699">
      <c r="A699" s="105"/>
      <c r="B699" s="105"/>
      <c r="C699" s="105"/>
      <c r="D699" s="105"/>
      <c r="E699" s="105"/>
      <c r="F699" s="105"/>
      <c r="G699" s="105"/>
      <c r="H699" s="105"/>
      <c r="I699" s="105"/>
      <c r="J699" s="105"/>
      <c r="K699" s="105"/>
      <c r="L699" s="105"/>
      <c r="M699" s="105"/>
      <c r="N699" s="105"/>
      <c r="O699" s="105"/>
      <c r="P699" s="105"/>
      <c r="Q699" s="105"/>
      <c r="R699" s="105"/>
      <c r="S699" s="105"/>
      <c r="T699" s="105"/>
      <c r="U699" s="105"/>
      <c r="V699" s="105"/>
      <c r="W699" s="105"/>
      <c r="X699" s="105"/>
      <c r="Y699" s="105"/>
      <c r="Z699" s="105"/>
    </row>
    <row r="700">
      <c r="A700" s="105"/>
      <c r="B700" s="105"/>
      <c r="C700" s="105"/>
      <c r="D700" s="105"/>
      <c r="E700" s="105"/>
      <c r="F700" s="105"/>
      <c r="G700" s="105"/>
      <c r="H700" s="105"/>
      <c r="I700" s="105"/>
      <c r="J700" s="105"/>
      <c r="K700" s="105"/>
      <c r="L700" s="105"/>
      <c r="M700" s="105"/>
      <c r="N700" s="105"/>
      <c r="O700" s="105"/>
      <c r="P700" s="105"/>
      <c r="Q700" s="105"/>
      <c r="R700" s="105"/>
      <c r="S700" s="105"/>
      <c r="T700" s="105"/>
      <c r="U700" s="105"/>
      <c r="V700" s="105"/>
      <c r="W700" s="105"/>
      <c r="X700" s="105"/>
      <c r="Y700" s="105"/>
      <c r="Z700" s="105"/>
    </row>
    <row r="701">
      <c r="A701" s="105"/>
      <c r="B701" s="105"/>
      <c r="C701" s="105"/>
      <c r="D701" s="105"/>
      <c r="E701" s="105"/>
      <c r="F701" s="105"/>
      <c r="G701" s="105"/>
      <c r="H701" s="105"/>
      <c r="I701" s="105"/>
      <c r="J701" s="105"/>
      <c r="K701" s="105"/>
      <c r="L701" s="105"/>
      <c r="M701" s="105"/>
      <c r="N701" s="105"/>
      <c r="O701" s="105"/>
      <c r="P701" s="105"/>
      <c r="Q701" s="105"/>
      <c r="R701" s="105"/>
      <c r="S701" s="105"/>
      <c r="T701" s="105"/>
      <c r="U701" s="105"/>
      <c r="V701" s="105"/>
      <c r="W701" s="105"/>
      <c r="X701" s="105"/>
      <c r="Y701" s="105"/>
      <c r="Z701" s="105"/>
    </row>
    <row r="702">
      <c r="A702" s="105"/>
      <c r="B702" s="105"/>
      <c r="C702" s="105"/>
      <c r="D702" s="105"/>
      <c r="E702" s="105"/>
      <c r="F702" s="105"/>
      <c r="G702" s="105"/>
      <c r="H702" s="105"/>
      <c r="I702" s="105"/>
      <c r="J702" s="105"/>
      <c r="K702" s="105"/>
      <c r="L702" s="105"/>
      <c r="M702" s="105"/>
      <c r="N702" s="105"/>
      <c r="O702" s="105"/>
      <c r="P702" s="105"/>
      <c r="Q702" s="105"/>
      <c r="R702" s="105"/>
      <c r="S702" s="105"/>
      <c r="T702" s="105"/>
      <c r="U702" s="105"/>
      <c r="V702" s="105"/>
      <c r="W702" s="105"/>
      <c r="X702" s="105"/>
      <c r="Y702" s="105"/>
      <c r="Z702" s="105"/>
    </row>
    <row r="703">
      <c r="A703" s="105"/>
      <c r="B703" s="105"/>
      <c r="C703" s="105"/>
      <c r="D703" s="105"/>
      <c r="E703" s="105"/>
      <c r="F703" s="105"/>
      <c r="G703" s="105"/>
      <c r="H703" s="105"/>
      <c r="I703" s="105"/>
      <c r="J703" s="105"/>
      <c r="K703" s="105"/>
      <c r="L703" s="105"/>
      <c r="M703" s="105"/>
      <c r="N703" s="105"/>
      <c r="O703" s="105"/>
      <c r="P703" s="105"/>
      <c r="Q703" s="105"/>
      <c r="R703" s="105"/>
      <c r="S703" s="105"/>
      <c r="T703" s="105"/>
      <c r="U703" s="105"/>
      <c r="V703" s="105"/>
      <c r="W703" s="105"/>
      <c r="X703" s="105"/>
      <c r="Y703" s="105"/>
      <c r="Z703" s="105"/>
    </row>
    <row r="704">
      <c r="A704" s="105"/>
      <c r="B704" s="105"/>
      <c r="C704" s="105"/>
      <c r="D704" s="105"/>
      <c r="E704" s="105"/>
      <c r="F704" s="105"/>
      <c r="G704" s="105"/>
      <c r="H704" s="105"/>
      <c r="I704" s="105"/>
      <c r="J704" s="105"/>
      <c r="K704" s="105"/>
      <c r="L704" s="105"/>
      <c r="M704" s="105"/>
      <c r="N704" s="105"/>
      <c r="O704" s="105"/>
      <c r="P704" s="105"/>
      <c r="Q704" s="105"/>
      <c r="R704" s="105"/>
      <c r="S704" s="105"/>
      <c r="T704" s="105"/>
      <c r="U704" s="105"/>
      <c r="V704" s="105"/>
      <c r="W704" s="105"/>
      <c r="X704" s="105"/>
      <c r="Y704" s="105"/>
      <c r="Z704" s="105"/>
    </row>
    <row r="705">
      <c r="A705" s="105"/>
      <c r="B705" s="105"/>
      <c r="C705" s="105"/>
      <c r="D705" s="105"/>
      <c r="E705" s="105"/>
      <c r="F705" s="105"/>
      <c r="G705" s="105"/>
      <c r="H705" s="105"/>
      <c r="I705" s="105"/>
      <c r="J705" s="105"/>
      <c r="K705" s="105"/>
      <c r="L705" s="105"/>
      <c r="M705" s="105"/>
      <c r="N705" s="105"/>
      <c r="O705" s="105"/>
      <c r="P705" s="105"/>
      <c r="Q705" s="105"/>
      <c r="R705" s="105"/>
      <c r="S705" s="105"/>
      <c r="T705" s="105"/>
      <c r="U705" s="105"/>
      <c r="V705" s="105"/>
      <c r="W705" s="105"/>
      <c r="X705" s="105"/>
      <c r="Y705" s="105"/>
      <c r="Z705" s="105"/>
    </row>
    <row r="706">
      <c r="A706" s="105"/>
      <c r="B706" s="105"/>
      <c r="C706" s="105"/>
      <c r="D706" s="105"/>
      <c r="E706" s="105"/>
      <c r="F706" s="105"/>
      <c r="G706" s="105"/>
      <c r="H706" s="105"/>
      <c r="I706" s="105"/>
      <c r="J706" s="105"/>
      <c r="K706" s="105"/>
      <c r="L706" s="105"/>
      <c r="M706" s="105"/>
      <c r="N706" s="105"/>
      <c r="O706" s="105"/>
      <c r="P706" s="105"/>
      <c r="Q706" s="105"/>
      <c r="R706" s="105"/>
      <c r="S706" s="105"/>
      <c r="T706" s="105"/>
      <c r="U706" s="105"/>
      <c r="V706" s="105"/>
      <c r="W706" s="105"/>
      <c r="X706" s="105"/>
      <c r="Y706" s="105"/>
      <c r="Z706" s="105"/>
    </row>
    <row r="707">
      <c r="A707" s="105"/>
      <c r="B707" s="105"/>
      <c r="C707" s="105"/>
      <c r="D707" s="105"/>
      <c r="E707" s="105"/>
      <c r="F707" s="105"/>
      <c r="G707" s="105"/>
      <c r="H707" s="105"/>
      <c r="I707" s="105"/>
      <c r="J707" s="105"/>
      <c r="K707" s="105"/>
      <c r="L707" s="105"/>
      <c r="M707" s="105"/>
      <c r="N707" s="105"/>
      <c r="O707" s="105"/>
      <c r="P707" s="105"/>
      <c r="Q707" s="105"/>
      <c r="R707" s="105"/>
      <c r="S707" s="105"/>
      <c r="T707" s="105"/>
      <c r="U707" s="105"/>
      <c r="V707" s="105"/>
      <c r="W707" s="105"/>
      <c r="X707" s="105"/>
      <c r="Y707" s="105"/>
      <c r="Z707" s="105"/>
    </row>
    <row r="708">
      <c r="A708" s="105"/>
      <c r="B708" s="105"/>
      <c r="C708" s="105"/>
      <c r="D708" s="105"/>
      <c r="E708" s="105"/>
      <c r="F708" s="105"/>
      <c r="G708" s="105"/>
      <c r="H708" s="105"/>
      <c r="I708" s="105"/>
      <c r="J708" s="105"/>
      <c r="K708" s="105"/>
      <c r="L708" s="105"/>
      <c r="M708" s="105"/>
      <c r="N708" s="105"/>
      <c r="O708" s="105"/>
      <c r="P708" s="105"/>
      <c r="Q708" s="105"/>
      <c r="R708" s="105"/>
      <c r="S708" s="105"/>
      <c r="T708" s="105"/>
      <c r="U708" s="105"/>
      <c r="V708" s="105"/>
      <c r="W708" s="105"/>
      <c r="X708" s="105"/>
      <c r="Y708" s="105"/>
      <c r="Z708" s="105"/>
    </row>
    <row r="709">
      <c r="A709" s="105"/>
      <c r="B709" s="105"/>
      <c r="C709" s="105"/>
      <c r="D709" s="105"/>
      <c r="E709" s="105"/>
      <c r="F709" s="105"/>
      <c r="G709" s="105"/>
      <c r="H709" s="105"/>
      <c r="I709" s="105"/>
      <c r="J709" s="105"/>
      <c r="K709" s="105"/>
      <c r="L709" s="105"/>
      <c r="M709" s="105"/>
      <c r="N709" s="105"/>
      <c r="O709" s="105"/>
      <c r="P709" s="105"/>
      <c r="Q709" s="105"/>
      <c r="R709" s="105"/>
      <c r="S709" s="105"/>
      <c r="T709" s="105"/>
      <c r="U709" s="105"/>
      <c r="V709" s="105"/>
      <c r="W709" s="105"/>
      <c r="X709" s="105"/>
      <c r="Y709" s="105"/>
      <c r="Z709" s="105"/>
    </row>
    <row r="710">
      <c r="A710" s="105"/>
      <c r="B710" s="105"/>
      <c r="C710" s="105"/>
      <c r="D710" s="105"/>
      <c r="E710" s="105"/>
      <c r="F710" s="105"/>
      <c r="G710" s="105"/>
      <c r="H710" s="105"/>
      <c r="I710" s="105"/>
      <c r="J710" s="105"/>
      <c r="K710" s="105"/>
      <c r="L710" s="105"/>
      <c r="M710" s="105"/>
      <c r="N710" s="105"/>
      <c r="O710" s="105"/>
      <c r="P710" s="105"/>
      <c r="Q710" s="105"/>
      <c r="R710" s="105"/>
      <c r="S710" s="105"/>
      <c r="T710" s="105"/>
      <c r="U710" s="105"/>
      <c r="V710" s="105"/>
      <c r="W710" s="105"/>
      <c r="X710" s="105"/>
      <c r="Y710" s="105"/>
      <c r="Z710" s="105"/>
    </row>
    <row r="711">
      <c r="A711" s="105"/>
      <c r="B711" s="105"/>
      <c r="C711" s="105"/>
      <c r="D711" s="105"/>
      <c r="E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row>
    <row r="712">
      <c r="A712" s="105"/>
      <c r="B712" s="105"/>
      <c r="C712" s="105"/>
      <c r="D712" s="105"/>
      <c r="E712" s="105"/>
      <c r="F712" s="105"/>
      <c r="G712" s="105"/>
      <c r="H712" s="105"/>
      <c r="I712" s="105"/>
      <c r="J712" s="105"/>
      <c r="K712" s="105"/>
      <c r="L712" s="105"/>
      <c r="M712" s="105"/>
      <c r="N712" s="105"/>
      <c r="O712" s="105"/>
      <c r="P712" s="105"/>
      <c r="Q712" s="105"/>
      <c r="R712" s="105"/>
      <c r="S712" s="105"/>
      <c r="T712" s="105"/>
      <c r="U712" s="105"/>
      <c r="V712" s="105"/>
      <c r="W712" s="105"/>
      <c r="X712" s="105"/>
      <c r="Y712" s="105"/>
      <c r="Z712" s="105"/>
    </row>
    <row r="713">
      <c r="A713" s="105"/>
      <c r="B713" s="105"/>
      <c r="C713" s="105"/>
      <c r="D713" s="105"/>
      <c r="E713" s="105"/>
      <c r="F713" s="105"/>
      <c r="G713" s="105"/>
      <c r="H713" s="105"/>
      <c r="I713" s="105"/>
      <c r="J713" s="105"/>
      <c r="K713" s="105"/>
      <c r="L713" s="105"/>
      <c r="M713" s="105"/>
      <c r="N713" s="105"/>
      <c r="O713" s="105"/>
      <c r="P713" s="105"/>
      <c r="Q713" s="105"/>
      <c r="R713" s="105"/>
      <c r="S713" s="105"/>
      <c r="T713" s="105"/>
      <c r="U713" s="105"/>
      <c r="V713" s="105"/>
      <c r="W713" s="105"/>
      <c r="X713" s="105"/>
      <c r="Y713" s="105"/>
      <c r="Z713" s="105"/>
    </row>
    <row r="714">
      <c r="A714" s="105"/>
      <c r="B714" s="105"/>
      <c r="C714" s="105"/>
      <c r="D714" s="105"/>
      <c r="E714" s="105"/>
      <c r="F714" s="105"/>
      <c r="G714" s="105"/>
      <c r="H714" s="105"/>
      <c r="I714" s="105"/>
      <c r="J714" s="105"/>
      <c r="K714" s="105"/>
      <c r="L714" s="105"/>
      <c r="M714" s="105"/>
      <c r="N714" s="105"/>
      <c r="O714" s="105"/>
      <c r="P714" s="105"/>
      <c r="Q714" s="105"/>
      <c r="R714" s="105"/>
      <c r="S714" s="105"/>
      <c r="T714" s="105"/>
      <c r="U714" s="105"/>
      <c r="V714" s="105"/>
      <c r="W714" s="105"/>
      <c r="X714" s="105"/>
      <c r="Y714" s="105"/>
      <c r="Z714" s="105"/>
    </row>
    <row r="715">
      <c r="A715" s="105"/>
      <c r="B715" s="105"/>
      <c r="C715" s="105"/>
      <c r="D715" s="105"/>
      <c r="E715" s="105"/>
      <c r="F715" s="105"/>
      <c r="G715" s="105"/>
      <c r="H715" s="105"/>
      <c r="I715" s="105"/>
      <c r="J715" s="105"/>
      <c r="K715" s="105"/>
      <c r="L715" s="105"/>
      <c r="M715" s="105"/>
      <c r="N715" s="105"/>
      <c r="O715" s="105"/>
      <c r="P715" s="105"/>
      <c r="Q715" s="105"/>
      <c r="R715" s="105"/>
      <c r="S715" s="105"/>
      <c r="T715" s="105"/>
      <c r="U715" s="105"/>
      <c r="V715" s="105"/>
      <c r="W715" s="105"/>
      <c r="X715" s="105"/>
      <c r="Y715" s="105"/>
      <c r="Z715" s="105"/>
    </row>
    <row r="716">
      <c r="A716" s="105"/>
      <c r="B716" s="105"/>
      <c r="C716" s="105"/>
      <c r="D716" s="105"/>
      <c r="E716" s="105"/>
      <c r="F716" s="105"/>
      <c r="G716" s="105"/>
      <c r="H716" s="105"/>
      <c r="I716" s="105"/>
      <c r="J716" s="105"/>
      <c r="K716" s="105"/>
      <c r="L716" s="105"/>
      <c r="M716" s="105"/>
      <c r="N716" s="105"/>
      <c r="O716" s="105"/>
      <c r="P716" s="105"/>
      <c r="Q716" s="105"/>
      <c r="R716" s="105"/>
      <c r="S716" s="105"/>
      <c r="T716" s="105"/>
      <c r="U716" s="105"/>
      <c r="V716" s="105"/>
      <c r="W716" s="105"/>
      <c r="X716" s="105"/>
      <c r="Y716" s="105"/>
      <c r="Z716" s="105"/>
    </row>
    <row r="717">
      <c r="A717" s="105"/>
      <c r="B717" s="105"/>
      <c r="C717" s="105"/>
      <c r="D717" s="105"/>
      <c r="E717" s="105"/>
      <c r="F717" s="105"/>
      <c r="G717" s="105"/>
      <c r="H717" s="105"/>
      <c r="I717" s="105"/>
      <c r="J717" s="105"/>
      <c r="K717" s="105"/>
      <c r="L717" s="105"/>
      <c r="M717" s="105"/>
      <c r="N717" s="105"/>
      <c r="O717" s="105"/>
      <c r="P717" s="105"/>
      <c r="Q717" s="105"/>
      <c r="R717" s="105"/>
      <c r="S717" s="105"/>
      <c r="T717" s="105"/>
      <c r="U717" s="105"/>
      <c r="V717" s="105"/>
      <c r="W717" s="105"/>
      <c r="X717" s="105"/>
      <c r="Y717" s="105"/>
      <c r="Z717" s="105"/>
    </row>
    <row r="718">
      <c r="A718" s="105"/>
      <c r="B718" s="105"/>
      <c r="C718" s="105"/>
      <c r="D718" s="105"/>
      <c r="E718" s="105"/>
      <c r="F718" s="105"/>
      <c r="G718" s="105"/>
      <c r="H718" s="105"/>
      <c r="I718" s="105"/>
      <c r="J718" s="105"/>
      <c r="K718" s="105"/>
      <c r="L718" s="105"/>
      <c r="M718" s="105"/>
      <c r="N718" s="105"/>
      <c r="O718" s="105"/>
      <c r="P718" s="105"/>
      <c r="Q718" s="105"/>
      <c r="R718" s="105"/>
      <c r="S718" s="105"/>
      <c r="T718" s="105"/>
      <c r="U718" s="105"/>
      <c r="V718" s="105"/>
      <c r="W718" s="105"/>
      <c r="X718" s="105"/>
      <c r="Y718" s="105"/>
      <c r="Z718" s="105"/>
    </row>
    <row r="719">
      <c r="A719" s="105"/>
      <c r="B719" s="105"/>
      <c r="C719" s="105"/>
      <c r="D719" s="105"/>
      <c r="E719" s="105"/>
      <c r="F719" s="105"/>
      <c r="G719" s="105"/>
      <c r="H719" s="105"/>
      <c r="I719" s="105"/>
      <c r="J719" s="105"/>
      <c r="K719" s="105"/>
      <c r="L719" s="105"/>
      <c r="M719" s="105"/>
      <c r="N719" s="105"/>
      <c r="O719" s="105"/>
      <c r="P719" s="105"/>
      <c r="Q719" s="105"/>
      <c r="R719" s="105"/>
      <c r="S719" s="105"/>
      <c r="T719" s="105"/>
      <c r="U719" s="105"/>
      <c r="V719" s="105"/>
      <c r="W719" s="105"/>
      <c r="X719" s="105"/>
      <c r="Y719" s="105"/>
      <c r="Z719" s="105"/>
    </row>
    <row r="720">
      <c r="A720" s="105"/>
      <c r="B720" s="105"/>
      <c r="C720" s="105"/>
      <c r="D720" s="105"/>
      <c r="E720" s="105"/>
      <c r="F720" s="105"/>
      <c r="G720" s="105"/>
      <c r="H720" s="105"/>
      <c r="I720" s="105"/>
      <c r="J720" s="105"/>
      <c r="K720" s="105"/>
      <c r="L720" s="105"/>
      <c r="M720" s="105"/>
      <c r="N720" s="105"/>
      <c r="O720" s="105"/>
      <c r="P720" s="105"/>
      <c r="Q720" s="105"/>
      <c r="R720" s="105"/>
      <c r="S720" s="105"/>
      <c r="T720" s="105"/>
      <c r="U720" s="105"/>
      <c r="V720" s="105"/>
      <c r="W720" s="105"/>
      <c r="X720" s="105"/>
      <c r="Y720" s="105"/>
      <c r="Z720" s="105"/>
    </row>
    <row r="721">
      <c r="A721" s="105"/>
      <c r="B721" s="105"/>
      <c r="C721" s="105"/>
      <c r="D721" s="105"/>
      <c r="E721" s="105"/>
      <c r="F721" s="105"/>
      <c r="G721" s="105"/>
      <c r="H721" s="105"/>
      <c r="I721" s="105"/>
      <c r="J721" s="105"/>
      <c r="K721" s="105"/>
      <c r="L721" s="105"/>
      <c r="M721" s="105"/>
      <c r="N721" s="105"/>
      <c r="O721" s="105"/>
      <c r="P721" s="105"/>
      <c r="Q721" s="105"/>
      <c r="R721" s="105"/>
      <c r="S721" s="105"/>
      <c r="T721" s="105"/>
      <c r="U721" s="105"/>
      <c r="V721" s="105"/>
      <c r="W721" s="105"/>
      <c r="X721" s="105"/>
      <c r="Y721" s="105"/>
      <c r="Z721" s="105"/>
    </row>
    <row r="722">
      <c r="A722" s="105"/>
      <c r="B722" s="105"/>
      <c r="C722" s="105"/>
      <c r="D722" s="105"/>
      <c r="E722" s="105"/>
      <c r="F722" s="105"/>
      <c r="G722" s="105"/>
      <c r="H722" s="105"/>
      <c r="I722" s="105"/>
      <c r="J722" s="105"/>
      <c r="K722" s="105"/>
      <c r="L722" s="105"/>
      <c r="M722" s="105"/>
      <c r="N722" s="105"/>
      <c r="O722" s="105"/>
      <c r="P722" s="105"/>
      <c r="Q722" s="105"/>
      <c r="R722" s="105"/>
      <c r="S722" s="105"/>
      <c r="T722" s="105"/>
      <c r="U722" s="105"/>
      <c r="V722" s="105"/>
      <c r="W722" s="105"/>
      <c r="X722" s="105"/>
      <c r="Y722" s="105"/>
      <c r="Z722" s="105"/>
    </row>
    <row r="723">
      <c r="A723" s="105"/>
      <c r="B723" s="105"/>
      <c r="C723" s="105"/>
      <c r="D723" s="105"/>
      <c r="E723" s="105"/>
      <c r="F723" s="105"/>
      <c r="G723" s="105"/>
      <c r="H723" s="105"/>
      <c r="I723" s="105"/>
      <c r="J723" s="105"/>
      <c r="K723" s="105"/>
      <c r="L723" s="105"/>
      <c r="M723" s="105"/>
      <c r="N723" s="105"/>
      <c r="O723" s="105"/>
      <c r="P723" s="105"/>
      <c r="Q723" s="105"/>
      <c r="R723" s="105"/>
      <c r="S723" s="105"/>
      <c r="T723" s="105"/>
      <c r="U723" s="105"/>
      <c r="V723" s="105"/>
      <c r="W723" s="105"/>
      <c r="X723" s="105"/>
      <c r="Y723" s="105"/>
      <c r="Z723" s="105"/>
    </row>
    <row r="724">
      <c r="A724" s="105"/>
      <c r="B724" s="105"/>
      <c r="C724" s="105"/>
      <c r="D724" s="105"/>
      <c r="E724" s="105"/>
      <c r="F724" s="105"/>
      <c r="G724" s="105"/>
      <c r="H724" s="105"/>
      <c r="I724" s="105"/>
      <c r="J724" s="105"/>
      <c r="K724" s="105"/>
      <c r="L724" s="105"/>
      <c r="M724" s="105"/>
      <c r="N724" s="105"/>
      <c r="O724" s="105"/>
      <c r="P724" s="105"/>
      <c r="Q724" s="105"/>
      <c r="R724" s="105"/>
      <c r="S724" s="105"/>
      <c r="T724" s="105"/>
      <c r="U724" s="105"/>
      <c r="V724" s="105"/>
      <c r="W724" s="105"/>
      <c r="X724" s="105"/>
      <c r="Y724" s="105"/>
      <c r="Z724" s="105"/>
    </row>
    <row r="725">
      <c r="A725" s="105"/>
      <c r="B725" s="105"/>
      <c r="C725" s="105"/>
      <c r="D725" s="105"/>
      <c r="E725" s="105"/>
      <c r="F725" s="105"/>
      <c r="G725" s="105"/>
      <c r="H725" s="105"/>
      <c r="I725" s="105"/>
      <c r="J725" s="105"/>
      <c r="K725" s="105"/>
      <c r="L725" s="105"/>
      <c r="M725" s="105"/>
      <c r="N725" s="105"/>
      <c r="O725" s="105"/>
      <c r="P725" s="105"/>
      <c r="Q725" s="105"/>
      <c r="R725" s="105"/>
      <c r="S725" s="105"/>
      <c r="T725" s="105"/>
      <c r="U725" s="105"/>
      <c r="V725" s="105"/>
      <c r="W725" s="105"/>
      <c r="X725" s="105"/>
      <c r="Y725" s="105"/>
      <c r="Z725" s="105"/>
    </row>
    <row r="726">
      <c r="A726" s="105"/>
      <c r="B726" s="105"/>
      <c r="C726" s="105"/>
      <c r="D726" s="105"/>
      <c r="E726" s="105"/>
      <c r="F726" s="105"/>
      <c r="G726" s="105"/>
      <c r="H726" s="105"/>
      <c r="I726" s="105"/>
      <c r="J726" s="105"/>
      <c r="K726" s="105"/>
      <c r="L726" s="105"/>
      <c r="M726" s="105"/>
      <c r="N726" s="105"/>
      <c r="O726" s="105"/>
      <c r="P726" s="105"/>
      <c r="Q726" s="105"/>
      <c r="R726" s="105"/>
      <c r="S726" s="105"/>
      <c r="T726" s="105"/>
      <c r="U726" s="105"/>
      <c r="V726" s="105"/>
      <c r="W726" s="105"/>
      <c r="X726" s="105"/>
      <c r="Y726" s="105"/>
      <c r="Z726" s="105"/>
    </row>
    <row r="727">
      <c r="A727" s="105"/>
      <c r="B727" s="105"/>
      <c r="C727" s="105"/>
      <c r="D727" s="105"/>
      <c r="E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row>
    <row r="728">
      <c r="A728" s="105"/>
      <c r="B728" s="105"/>
      <c r="C728" s="105"/>
      <c r="D728" s="105"/>
      <c r="E728" s="105"/>
      <c r="F728" s="105"/>
      <c r="G728" s="105"/>
      <c r="H728" s="105"/>
      <c r="I728" s="105"/>
      <c r="J728" s="105"/>
      <c r="K728" s="105"/>
      <c r="L728" s="105"/>
      <c r="M728" s="105"/>
      <c r="N728" s="105"/>
      <c r="O728" s="105"/>
      <c r="P728" s="105"/>
      <c r="Q728" s="105"/>
      <c r="R728" s="105"/>
      <c r="S728" s="105"/>
      <c r="T728" s="105"/>
      <c r="U728" s="105"/>
      <c r="V728" s="105"/>
      <c r="W728" s="105"/>
      <c r="X728" s="105"/>
      <c r="Y728" s="105"/>
      <c r="Z728" s="105"/>
    </row>
    <row r="729">
      <c r="A729" s="105"/>
      <c r="B729" s="105"/>
      <c r="C729" s="105"/>
      <c r="D729" s="105"/>
      <c r="E729" s="105"/>
      <c r="F729" s="105"/>
      <c r="G729" s="105"/>
      <c r="H729" s="105"/>
      <c r="I729" s="105"/>
      <c r="J729" s="105"/>
      <c r="K729" s="105"/>
      <c r="L729" s="105"/>
      <c r="M729" s="105"/>
      <c r="N729" s="105"/>
      <c r="O729" s="105"/>
      <c r="P729" s="105"/>
      <c r="Q729" s="105"/>
      <c r="R729" s="105"/>
      <c r="S729" s="105"/>
      <c r="T729" s="105"/>
      <c r="U729" s="105"/>
      <c r="V729" s="105"/>
      <c r="W729" s="105"/>
      <c r="X729" s="105"/>
      <c r="Y729" s="105"/>
      <c r="Z729" s="105"/>
    </row>
    <row r="730">
      <c r="A730" s="105"/>
      <c r="B730" s="105"/>
      <c r="C730" s="105"/>
      <c r="D730" s="105"/>
      <c r="E730" s="105"/>
      <c r="F730" s="105"/>
      <c r="G730" s="105"/>
      <c r="H730" s="105"/>
      <c r="I730" s="105"/>
      <c r="J730" s="105"/>
      <c r="K730" s="105"/>
      <c r="L730" s="105"/>
      <c r="M730" s="105"/>
      <c r="N730" s="105"/>
      <c r="O730" s="105"/>
      <c r="P730" s="105"/>
      <c r="Q730" s="105"/>
      <c r="R730" s="105"/>
      <c r="S730" s="105"/>
      <c r="T730" s="105"/>
      <c r="U730" s="105"/>
      <c r="V730" s="105"/>
      <c r="W730" s="105"/>
      <c r="X730" s="105"/>
      <c r="Y730" s="105"/>
      <c r="Z730" s="105"/>
    </row>
    <row r="731">
      <c r="A731" s="105"/>
      <c r="B731" s="105"/>
      <c r="C731" s="105"/>
      <c r="D731" s="105"/>
      <c r="E731" s="105"/>
      <c r="F731" s="105"/>
      <c r="G731" s="105"/>
      <c r="H731" s="105"/>
      <c r="I731" s="105"/>
      <c r="J731" s="105"/>
      <c r="K731" s="105"/>
      <c r="L731" s="105"/>
      <c r="M731" s="105"/>
      <c r="N731" s="105"/>
      <c r="O731" s="105"/>
      <c r="P731" s="105"/>
      <c r="Q731" s="105"/>
      <c r="R731" s="105"/>
      <c r="S731" s="105"/>
      <c r="T731" s="105"/>
      <c r="U731" s="105"/>
      <c r="V731" s="105"/>
      <c r="W731" s="105"/>
      <c r="X731" s="105"/>
      <c r="Y731" s="105"/>
      <c r="Z731" s="105"/>
    </row>
    <row r="732">
      <c r="A732" s="105"/>
      <c r="B732" s="105"/>
      <c r="C732" s="105"/>
      <c r="D732" s="105"/>
      <c r="E732" s="105"/>
      <c r="F732" s="105"/>
      <c r="G732" s="105"/>
      <c r="H732" s="105"/>
      <c r="I732" s="105"/>
      <c r="J732" s="105"/>
      <c r="K732" s="105"/>
      <c r="L732" s="105"/>
      <c r="M732" s="105"/>
      <c r="N732" s="105"/>
      <c r="O732" s="105"/>
      <c r="P732" s="105"/>
      <c r="Q732" s="105"/>
      <c r="R732" s="105"/>
      <c r="S732" s="105"/>
      <c r="T732" s="105"/>
      <c r="U732" s="105"/>
      <c r="V732" s="105"/>
      <c r="W732" s="105"/>
      <c r="X732" s="105"/>
      <c r="Y732" s="105"/>
      <c r="Z732" s="105"/>
    </row>
    <row r="733">
      <c r="A733" s="105"/>
      <c r="B733" s="105"/>
      <c r="C733" s="105"/>
      <c r="D733" s="105"/>
      <c r="E733" s="105"/>
      <c r="F733" s="105"/>
      <c r="G733" s="105"/>
      <c r="H733" s="105"/>
      <c r="I733" s="105"/>
      <c r="J733" s="105"/>
      <c r="K733" s="105"/>
      <c r="L733" s="105"/>
      <c r="M733" s="105"/>
      <c r="N733" s="105"/>
      <c r="O733" s="105"/>
      <c r="P733" s="105"/>
      <c r="Q733" s="105"/>
      <c r="R733" s="105"/>
      <c r="S733" s="105"/>
      <c r="T733" s="105"/>
      <c r="U733" s="105"/>
      <c r="V733" s="105"/>
      <c r="W733" s="105"/>
      <c r="X733" s="105"/>
      <c r="Y733" s="105"/>
      <c r="Z733" s="105"/>
    </row>
    <row r="734">
      <c r="A734" s="105"/>
      <c r="B734" s="105"/>
      <c r="C734" s="105"/>
      <c r="D734" s="105"/>
      <c r="E734" s="105"/>
      <c r="F734" s="105"/>
      <c r="G734" s="105"/>
      <c r="H734" s="105"/>
      <c r="I734" s="105"/>
      <c r="J734" s="105"/>
      <c r="K734" s="105"/>
      <c r="L734" s="105"/>
      <c r="M734" s="105"/>
      <c r="N734" s="105"/>
      <c r="O734" s="105"/>
      <c r="P734" s="105"/>
      <c r="Q734" s="105"/>
      <c r="R734" s="105"/>
      <c r="S734" s="105"/>
      <c r="T734" s="105"/>
      <c r="U734" s="105"/>
      <c r="V734" s="105"/>
      <c r="W734" s="105"/>
      <c r="X734" s="105"/>
      <c r="Y734" s="105"/>
      <c r="Z734" s="105"/>
    </row>
    <row r="735">
      <c r="A735" s="105"/>
      <c r="B735" s="105"/>
      <c r="C735" s="105"/>
      <c r="D735" s="105"/>
      <c r="E735" s="105"/>
      <c r="F735" s="105"/>
      <c r="G735" s="105"/>
      <c r="H735" s="105"/>
      <c r="I735" s="105"/>
      <c r="J735" s="105"/>
      <c r="K735" s="105"/>
      <c r="L735" s="105"/>
      <c r="M735" s="105"/>
      <c r="N735" s="105"/>
      <c r="O735" s="105"/>
      <c r="P735" s="105"/>
      <c r="Q735" s="105"/>
      <c r="R735" s="105"/>
      <c r="S735" s="105"/>
      <c r="T735" s="105"/>
      <c r="U735" s="105"/>
      <c r="V735" s="105"/>
      <c r="W735" s="105"/>
      <c r="X735" s="105"/>
      <c r="Y735" s="105"/>
      <c r="Z735" s="105"/>
    </row>
    <row r="736">
      <c r="A736" s="105"/>
      <c r="B736" s="105"/>
      <c r="C736" s="105"/>
      <c r="D736" s="105"/>
      <c r="E736" s="105"/>
      <c r="F736" s="105"/>
      <c r="G736" s="105"/>
      <c r="H736" s="105"/>
      <c r="I736" s="105"/>
      <c r="J736" s="105"/>
      <c r="K736" s="105"/>
      <c r="L736" s="105"/>
      <c r="M736" s="105"/>
      <c r="N736" s="105"/>
      <c r="O736" s="105"/>
      <c r="P736" s="105"/>
      <c r="Q736" s="105"/>
      <c r="R736" s="105"/>
      <c r="S736" s="105"/>
      <c r="T736" s="105"/>
      <c r="U736" s="105"/>
      <c r="V736" s="105"/>
      <c r="W736" s="105"/>
      <c r="X736" s="105"/>
      <c r="Y736" s="105"/>
      <c r="Z736" s="105"/>
    </row>
    <row r="737">
      <c r="A737" s="105"/>
      <c r="B737" s="105"/>
      <c r="C737" s="105"/>
      <c r="D737" s="105"/>
      <c r="E737" s="105"/>
      <c r="F737" s="105"/>
      <c r="G737" s="105"/>
      <c r="H737" s="105"/>
      <c r="I737" s="105"/>
      <c r="J737" s="105"/>
      <c r="K737" s="105"/>
      <c r="L737" s="105"/>
      <c r="M737" s="105"/>
      <c r="N737" s="105"/>
      <c r="O737" s="105"/>
      <c r="P737" s="105"/>
      <c r="Q737" s="105"/>
      <c r="R737" s="105"/>
      <c r="S737" s="105"/>
      <c r="T737" s="105"/>
      <c r="U737" s="105"/>
      <c r="V737" s="105"/>
      <c r="W737" s="105"/>
      <c r="X737" s="105"/>
      <c r="Y737" s="105"/>
      <c r="Z737" s="105"/>
    </row>
    <row r="738">
      <c r="A738" s="105"/>
      <c r="B738" s="105"/>
      <c r="C738" s="105"/>
      <c r="D738" s="105"/>
      <c r="E738" s="105"/>
      <c r="F738" s="105"/>
      <c r="G738" s="105"/>
      <c r="H738" s="105"/>
      <c r="I738" s="105"/>
      <c r="J738" s="105"/>
      <c r="K738" s="105"/>
      <c r="L738" s="105"/>
      <c r="M738" s="105"/>
      <c r="N738" s="105"/>
      <c r="O738" s="105"/>
      <c r="P738" s="105"/>
      <c r="Q738" s="105"/>
      <c r="R738" s="105"/>
      <c r="S738" s="105"/>
      <c r="T738" s="105"/>
      <c r="U738" s="105"/>
      <c r="V738" s="105"/>
      <c r="W738" s="105"/>
      <c r="X738" s="105"/>
      <c r="Y738" s="105"/>
      <c r="Z738" s="105"/>
    </row>
    <row r="739">
      <c r="A739" s="105"/>
      <c r="B739" s="105"/>
      <c r="C739" s="105"/>
      <c r="D739" s="105"/>
      <c r="E739" s="105"/>
      <c r="F739" s="105"/>
      <c r="G739" s="105"/>
      <c r="H739" s="105"/>
      <c r="I739" s="105"/>
      <c r="J739" s="105"/>
      <c r="K739" s="105"/>
      <c r="L739" s="105"/>
      <c r="M739" s="105"/>
      <c r="N739" s="105"/>
      <c r="O739" s="105"/>
      <c r="P739" s="105"/>
      <c r="Q739" s="105"/>
      <c r="R739" s="105"/>
      <c r="S739" s="105"/>
      <c r="T739" s="105"/>
      <c r="U739" s="105"/>
      <c r="V739" s="105"/>
      <c r="W739" s="105"/>
      <c r="X739" s="105"/>
      <c r="Y739" s="105"/>
      <c r="Z739" s="105"/>
    </row>
    <row r="740">
      <c r="A740" s="105"/>
      <c r="B740" s="105"/>
      <c r="C740" s="105"/>
      <c r="D740" s="105"/>
      <c r="E740" s="105"/>
      <c r="F740" s="105"/>
      <c r="G740" s="105"/>
      <c r="H740" s="105"/>
      <c r="I740" s="105"/>
      <c r="J740" s="105"/>
      <c r="K740" s="105"/>
      <c r="L740" s="105"/>
      <c r="M740" s="105"/>
      <c r="N740" s="105"/>
      <c r="O740" s="105"/>
      <c r="P740" s="105"/>
      <c r="Q740" s="105"/>
      <c r="R740" s="105"/>
      <c r="S740" s="105"/>
      <c r="T740" s="105"/>
      <c r="U740" s="105"/>
      <c r="V740" s="105"/>
      <c r="W740" s="105"/>
      <c r="X740" s="105"/>
      <c r="Y740" s="105"/>
      <c r="Z740" s="105"/>
    </row>
    <row r="741">
      <c r="A741" s="105"/>
      <c r="B741" s="105"/>
      <c r="C741" s="105"/>
      <c r="D741" s="105"/>
      <c r="E741" s="105"/>
      <c r="F741" s="105"/>
      <c r="G741" s="105"/>
      <c r="H741" s="105"/>
      <c r="I741" s="105"/>
      <c r="J741" s="105"/>
      <c r="K741" s="105"/>
      <c r="L741" s="105"/>
      <c r="M741" s="105"/>
      <c r="N741" s="105"/>
      <c r="O741" s="105"/>
      <c r="P741" s="105"/>
      <c r="Q741" s="105"/>
      <c r="R741" s="105"/>
      <c r="S741" s="105"/>
      <c r="T741" s="105"/>
      <c r="U741" s="105"/>
      <c r="V741" s="105"/>
      <c r="W741" s="105"/>
      <c r="X741" s="105"/>
      <c r="Y741" s="105"/>
      <c r="Z741" s="105"/>
    </row>
    <row r="742">
      <c r="A742" s="105"/>
      <c r="B742" s="105"/>
      <c r="C742" s="105"/>
      <c r="D742" s="105"/>
      <c r="E742" s="105"/>
      <c r="F742" s="105"/>
      <c r="G742" s="105"/>
      <c r="H742" s="105"/>
      <c r="I742" s="105"/>
      <c r="J742" s="105"/>
      <c r="K742" s="105"/>
      <c r="L742" s="105"/>
      <c r="M742" s="105"/>
      <c r="N742" s="105"/>
      <c r="O742" s="105"/>
      <c r="P742" s="105"/>
      <c r="Q742" s="105"/>
      <c r="R742" s="105"/>
      <c r="S742" s="105"/>
      <c r="T742" s="105"/>
      <c r="U742" s="105"/>
      <c r="V742" s="105"/>
      <c r="W742" s="105"/>
      <c r="X742" s="105"/>
      <c r="Y742" s="105"/>
      <c r="Z742" s="105"/>
    </row>
    <row r="743">
      <c r="A743" s="105"/>
      <c r="B743" s="105"/>
      <c r="C743" s="105"/>
      <c r="D743" s="105"/>
      <c r="E743" s="105"/>
      <c r="F743" s="105"/>
      <c r="G743" s="105"/>
      <c r="H743" s="105"/>
      <c r="I743" s="105"/>
      <c r="J743" s="105"/>
      <c r="K743" s="105"/>
      <c r="L743" s="105"/>
      <c r="M743" s="105"/>
      <c r="N743" s="105"/>
      <c r="O743" s="105"/>
      <c r="P743" s="105"/>
      <c r="Q743" s="105"/>
      <c r="R743" s="105"/>
      <c r="S743" s="105"/>
      <c r="T743" s="105"/>
      <c r="U743" s="105"/>
      <c r="V743" s="105"/>
      <c r="W743" s="105"/>
      <c r="X743" s="105"/>
      <c r="Y743" s="105"/>
      <c r="Z743" s="105"/>
    </row>
    <row r="744">
      <c r="A744" s="105"/>
      <c r="B744" s="105"/>
      <c r="C744" s="105"/>
      <c r="D744" s="105"/>
      <c r="E744" s="105"/>
      <c r="F744" s="105"/>
      <c r="G744" s="105"/>
      <c r="H744" s="105"/>
      <c r="I744" s="105"/>
      <c r="J744" s="105"/>
      <c r="K744" s="105"/>
      <c r="L744" s="105"/>
      <c r="M744" s="105"/>
      <c r="N744" s="105"/>
      <c r="O744" s="105"/>
      <c r="P744" s="105"/>
      <c r="Q744" s="105"/>
      <c r="R744" s="105"/>
      <c r="S744" s="105"/>
      <c r="T744" s="105"/>
      <c r="U744" s="105"/>
      <c r="V744" s="105"/>
      <c r="W744" s="105"/>
      <c r="X744" s="105"/>
      <c r="Y744" s="105"/>
      <c r="Z744" s="105"/>
    </row>
    <row r="745">
      <c r="A745" s="105"/>
      <c r="B745" s="105"/>
      <c r="C745" s="105"/>
      <c r="D745" s="105"/>
      <c r="E745" s="105"/>
      <c r="F745" s="105"/>
      <c r="G745" s="105"/>
      <c r="H745" s="105"/>
      <c r="I745" s="105"/>
      <c r="J745" s="105"/>
      <c r="K745" s="105"/>
      <c r="L745" s="105"/>
      <c r="M745" s="105"/>
      <c r="N745" s="105"/>
      <c r="O745" s="105"/>
      <c r="P745" s="105"/>
      <c r="Q745" s="105"/>
      <c r="R745" s="105"/>
      <c r="S745" s="105"/>
      <c r="T745" s="105"/>
      <c r="U745" s="105"/>
      <c r="V745" s="105"/>
      <c r="W745" s="105"/>
      <c r="X745" s="105"/>
      <c r="Y745" s="105"/>
      <c r="Z745" s="105"/>
    </row>
    <row r="746">
      <c r="A746" s="105"/>
      <c r="B746" s="105"/>
      <c r="C746" s="105"/>
      <c r="D746" s="105"/>
      <c r="E746" s="105"/>
      <c r="F746" s="105"/>
      <c r="G746" s="105"/>
      <c r="H746" s="105"/>
      <c r="I746" s="105"/>
      <c r="J746" s="105"/>
      <c r="K746" s="105"/>
      <c r="L746" s="105"/>
      <c r="M746" s="105"/>
      <c r="N746" s="105"/>
      <c r="O746" s="105"/>
      <c r="P746" s="105"/>
      <c r="Q746" s="105"/>
      <c r="R746" s="105"/>
      <c r="S746" s="105"/>
      <c r="T746" s="105"/>
      <c r="U746" s="105"/>
      <c r="V746" s="105"/>
      <c r="W746" s="105"/>
      <c r="X746" s="105"/>
      <c r="Y746" s="105"/>
      <c r="Z746" s="105"/>
    </row>
    <row r="747">
      <c r="A747" s="105"/>
      <c r="B747" s="105"/>
      <c r="C747" s="105"/>
      <c r="D747" s="105"/>
      <c r="E747" s="105"/>
      <c r="F747" s="105"/>
      <c r="G747" s="105"/>
      <c r="H747" s="105"/>
      <c r="I747" s="105"/>
      <c r="J747" s="105"/>
      <c r="K747" s="105"/>
      <c r="L747" s="105"/>
      <c r="M747" s="105"/>
      <c r="N747" s="105"/>
      <c r="O747" s="105"/>
      <c r="P747" s="105"/>
      <c r="Q747" s="105"/>
      <c r="R747" s="105"/>
      <c r="S747" s="105"/>
      <c r="T747" s="105"/>
      <c r="U747" s="105"/>
      <c r="V747" s="105"/>
      <c r="W747" s="105"/>
      <c r="X747" s="105"/>
      <c r="Y747" s="105"/>
      <c r="Z747" s="105"/>
    </row>
    <row r="748">
      <c r="A748" s="105"/>
      <c r="B748" s="105"/>
      <c r="C748" s="105"/>
      <c r="D748" s="105"/>
      <c r="E748" s="105"/>
      <c r="F748" s="105"/>
      <c r="G748" s="105"/>
      <c r="H748" s="105"/>
      <c r="I748" s="105"/>
      <c r="J748" s="105"/>
      <c r="K748" s="105"/>
      <c r="L748" s="105"/>
      <c r="M748" s="105"/>
      <c r="N748" s="105"/>
      <c r="O748" s="105"/>
      <c r="P748" s="105"/>
      <c r="Q748" s="105"/>
      <c r="R748" s="105"/>
      <c r="S748" s="105"/>
      <c r="T748" s="105"/>
      <c r="U748" s="105"/>
      <c r="V748" s="105"/>
      <c r="W748" s="105"/>
      <c r="X748" s="105"/>
      <c r="Y748" s="105"/>
      <c r="Z748" s="105"/>
    </row>
    <row r="749">
      <c r="A749" s="105"/>
      <c r="B749" s="105"/>
      <c r="C749" s="105"/>
      <c r="D749" s="105"/>
      <c r="E749" s="105"/>
      <c r="F749" s="105"/>
      <c r="G749" s="105"/>
      <c r="H749" s="105"/>
      <c r="I749" s="105"/>
      <c r="J749" s="105"/>
      <c r="K749" s="105"/>
      <c r="L749" s="105"/>
      <c r="M749" s="105"/>
      <c r="N749" s="105"/>
      <c r="O749" s="105"/>
      <c r="P749" s="105"/>
      <c r="Q749" s="105"/>
      <c r="R749" s="105"/>
      <c r="S749" s="105"/>
      <c r="T749" s="105"/>
      <c r="U749" s="105"/>
      <c r="V749" s="105"/>
      <c r="W749" s="105"/>
      <c r="X749" s="105"/>
      <c r="Y749" s="105"/>
      <c r="Z749" s="105"/>
    </row>
    <row r="750">
      <c r="A750" s="105"/>
      <c r="B750" s="105"/>
      <c r="C750" s="105"/>
      <c r="D750" s="105"/>
      <c r="E750" s="105"/>
      <c r="F750" s="105"/>
      <c r="G750" s="105"/>
      <c r="H750" s="105"/>
      <c r="I750" s="105"/>
      <c r="J750" s="105"/>
      <c r="K750" s="105"/>
      <c r="L750" s="105"/>
      <c r="M750" s="105"/>
      <c r="N750" s="105"/>
      <c r="O750" s="105"/>
      <c r="P750" s="105"/>
      <c r="Q750" s="105"/>
      <c r="R750" s="105"/>
      <c r="S750" s="105"/>
      <c r="T750" s="105"/>
      <c r="U750" s="105"/>
      <c r="V750" s="105"/>
      <c r="W750" s="105"/>
      <c r="X750" s="105"/>
      <c r="Y750" s="105"/>
      <c r="Z750" s="105"/>
    </row>
    <row r="751">
      <c r="A751" s="105"/>
      <c r="B751" s="105"/>
      <c r="C751" s="105"/>
      <c r="D751" s="105"/>
      <c r="E751" s="105"/>
      <c r="F751" s="105"/>
      <c r="G751" s="105"/>
      <c r="H751" s="105"/>
      <c r="I751" s="105"/>
      <c r="J751" s="105"/>
      <c r="K751" s="105"/>
      <c r="L751" s="105"/>
      <c r="M751" s="105"/>
      <c r="N751" s="105"/>
      <c r="O751" s="105"/>
      <c r="P751" s="105"/>
      <c r="Q751" s="105"/>
      <c r="R751" s="105"/>
      <c r="S751" s="105"/>
      <c r="T751" s="105"/>
      <c r="U751" s="105"/>
      <c r="V751" s="105"/>
      <c r="W751" s="105"/>
      <c r="X751" s="105"/>
      <c r="Y751" s="105"/>
      <c r="Z751" s="105"/>
    </row>
    <row r="752">
      <c r="A752" s="105"/>
      <c r="B752" s="105"/>
      <c r="C752" s="105"/>
      <c r="D752" s="105"/>
      <c r="E752" s="105"/>
      <c r="F752" s="105"/>
      <c r="G752" s="105"/>
      <c r="H752" s="105"/>
      <c r="I752" s="105"/>
      <c r="J752" s="105"/>
      <c r="K752" s="105"/>
      <c r="L752" s="105"/>
      <c r="M752" s="105"/>
      <c r="N752" s="105"/>
      <c r="O752" s="105"/>
      <c r="P752" s="105"/>
      <c r="Q752" s="105"/>
      <c r="R752" s="105"/>
      <c r="S752" s="105"/>
      <c r="T752" s="105"/>
      <c r="U752" s="105"/>
      <c r="V752" s="105"/>
      <c r="W752" s="105"/>
      <c r="X752" s="105"/>
      <c r="Y752" s="105"/>
      <c r="Z752" s="105"/>
    </row>
    <row r="753">
      <c r="A753" s="105"/>
      <c r="B753" s="105"/>
      <c r="C753" s="105"/>
      <c r="D753" s="105"/>
      <c r="E753" s="105"/>
      <c r="F753" s="105"/>
      <c r="G753" s="105"/>
      <c r="H753" s="105"/>
      <c r="I753" s="105"/>
      <c r="J753" s="105"/>
      <c r="K753" s="105"/>
      <c r="L753" s="105"/>
      <c r="M753" s="105"/>
      <c r="N753" s="105"/>
      <c r="O753" s="105"/>
      <c r="P753" s="105"/>
      <c r="Q753" s="105"/>
      <c r="R753" s="105"/>
      <c r="S753" s="105"/>
      <c r="T753" s="105"/>
      <c r="U753" s="105"/>
      <c r="V753" s="105"/>
      <c r="W753" s="105"/>
      <c r="X753" s="105"/>
      <c r="Y753" s="105"/>
      <c r="Z753" s="105"/>
    </row>
    <row r="754">
      <c r="A754" s="105"/>
      <c r="B754" s="105"/>
      <c r="C754" s="105"/>
      <c r="D754" s="105"/>
      <c r="E754" s="105"/>
      <c r="F754" s="105"/>
      <c r="G754" s="105"/>
      <c r="H754" s="105"/>
      <c r="I754" s="105"/>
      <c r="J754" s="105"/>
      <c r="K754" s="105"/>
      <c r="L754" s="105"/>
      <c r="M754" s="105"/>
      <c r="N754" s="105"/>
      <c r="O754" s="105"/>
      <c r="P754" s="105"/>
      <c r="Q754" s="105"/>
      <c r="R754" s="105"/>
      <c r="S754" s="105"/>
      <c r="T754" s="105"/>
      <c r="U754" s="105"/>
      <c r="V754" s="105"/>
      <c r="W754" s="105"/>
      <c r="X754" s="105"/>
      <c r="Y754" s="105"/>
      <c r="Z754" s="105"/>
    </row>
    <row r="755">
      <c r="A755" s="105"/>
      <c r="B755" s="105"/>
      <c r="C755" s="105"/>
      <c r="D755" s="105"/>
      <c r="E755" s="105"/>
      <c r="F755" s="105"/>
      <c r="G755" s="105"/>
      <c r="H755" s="105"/>
      <c r="I755" s="105"/>
      <c r="J755" s="105"/>
      <c r="K755" s="105"/>
      <c r="L755" s="105"/>
      <c r="M755" s="105"/>
      <c r="N755" s="105"/>
      <c r="O755" s="105"/>
      <c r="P755" s="105"/>
      <c r="Q755" s="105"/>
      <c r="R755" s="105"/>
      <c r="S755" s="105"/>
      <c r="T755" s="105"/>
      <c r="U755" s="105"/>
      <c r="V755" s="105"/>
      <c r="W755" s="105"/>
      <c r="X755" s="105"/>
      <c r="Y755" s="105"/>
      <c r="Z755" s="105"/>
    </row>
    <row r="756">
      <c r="A756" s="105"/>
      <c r="B756" s="105"/>
      <c r="C756" s="105"/>
      <c r="D756" s="105"/>
      <c r="E756" s="105"/>
      <c r="F756" s="105"/>
      <c r="G756" s="105"/>
      <c r="H756" s="105"/>
      <c r="I756" s="105"/>
      <c r="J756" s="105"/>
      <c r="K756" s="105"/>
      <c r="L756" s="105"/>
      <c r="M756" s="105"/>
      <c r="N756" s="105"/>
      <c r="O756" s="105"/>
      <c r="P756" s="105"/>
      <c r="Q756" s="105"/>
      <c r="R756" s="105"/>
      <c r="S756" s="105"/>
      <c r="T756" s="105"/>
      <c r="U756" s="105"/>
      <c r="V756" s="105"/>
      <c r="W756" s="105"/>
      <c r="X756" s="105"/>
      <c r="Y756" s="105"/>
      <c r="Z756" s="105"/>
    </row>
    <row r="757">
      <c r="A757" s="105"/>
      <c r="B757" s="105"/>
      <c r="C757" s="105"/>
      <c r="D757" s="105"/>
      <c r="E757" s="105"/>
      <c r="F757" s="105"/>
      <c r="G757" s="105"/>
      <c r="H757" s="105"/>
      <c r="I757" s="105"/>
      <c r="J757" s="105"/>
      <c r="K757" s="105"/>
      <c r="L757" s="105"/>
      <c r="M757" s="105"/>
      <c r="N757" s="105"/>
      <c r="O757" s="105"/>
      <c r="P757" s="105"/>
      <c r="Q757" s="105"/>
      <c r="R757" s="105"/>
      <c r="S757" s="105"/>
      <c r="T757" s="105"/>
      <c r="U757" s="105"/>
      <c r="V757" s="105"/>
      <c r="W757" s="105"/>
      <c r="X757" s="105"/>
      <c r="Y757" s="105"/>
      <c r="Z757" s="105"/>
    </row>
    <row r="758">
      <c r="A758" s="105"/>
      <c r="B758" s="105"/>
      <c r="C758" s="105"/>
      <c r="D758" s="105"/>
      <c r="E758" s="105"/>
      <c r="F758" s="105"/>
      <c r="G758" s="105"/>
      <c r="H758" s="105"/>
      <c r="I758" s="105"/>
      <c r="J758" s="105"/>
      <c r="K758" s="105"/>
      <c r="L758" s="105"/>
      <c r="M758" s="105"/>
      <c r="N758" s="105"/>
      <c r="O758" s="105"/>
      <c r="P758" s="105"/>
      <c r="Q758" s="105"/>
      <c r="R758" s="105"/>
      <c r="S758" s="105"/>
      <c r="T758" s="105"/>
      <c r="U758" s="105"/>
      <c r="V758" s="105"/>
      <c r="W758" s="105"/>
      <c r="X758" s="105"/>
      <c r="Y758" s="105"/>
      <c r="Z758" s="105"/>
    </row>
    <row r="759">
      <c r="A759" s="105"/>
      <c r="B759" s="105"/>
      <c r="C759" s="105"/>
      <c r="D759" s="105"/>
      <c r="E759" s="105"/>
      <c r="F759" s="105"/>
      <c r="G759" s="105"/>
      <c r="H759" s="105"/>
      <c r="I759" s="105"/>
      <c r="J759" s="105"/>
      <c r="K759" s="105"/>
      <c r="L759" s="105"/>
      <c r="M759" s="105"/>
      <c r="N759" s="105"/>
      <c r="O759" s="105"/>
      <c r="P759" s="105"/>
      <c r="Q759" s="105"/>
      <c r="R759" s="105"/>
      <c r="S759" s="105"/>
      <c r="T759" s="105"/>
      <c r="U759" s="105"/>
      <c r="V759" s="105"/>
      <c r="W759" s="105"/>
      <c r="X759" s="105"/>
      <c r="Y759" s="105"/>
      <c r="Z759" s="105"/>
    </row>
    <row r="760">
      <c r="A760" s="105"/>
      <c r="B760" s="105"/>
      <c r="C760" s="105"/>
      <c r="D760" s="105"/>
      <c r="E760" s="105"/>
      <c r="F760" s="105"/>
      <c r="G760" s="105"/>
      <c r="H760" s="105"/>
      <c r="I760" s="105"/>
      <c r="J760" s="105"/>
      <c r="K760" s="105"/>
      <c r="L760" s="105"/>
      <c r="M760" s="105"/>
      <c r="N760" s="105"/>
      <c r="O760" s="105"/>
      <c r="P760" s="105"/>
      <c r="Q760" s="105"/>
      <c r="R760" s="105"/>
      <c r="S760" s="105"/>
      <c r="T760" s="105"/>
      <c r="U760" s="105"/>
      <c r="V760" s="105"/>
      <c r="W760" s="105"/>
      <c r="X760" s="105"/>
      <c r="Y760" s="105"/>
      <c r="Z760" s="105"/>
    </row>
    <row r="761">
      <c r="A761" s="105"/>
      <c r="B761" s="105"/>
      <c r="C761" s="105"/>
      <c r="D761" s="105"/>
      <c r="E761" s="105"/>
      <c r="F761" s="105"/>
      <c r="G761" s="105"/>
      <c r="H761" s="105"/>
      <c r="I761" s="105"/>
      <c r="J761" s="105"/>
      <c r="K761" s="105"/>
      <c r="L761" s="105"/>
      <c r="M761" s="105"/>
      <c r="N761" s="105"/>
      <c r="O761" s="105"/>
      <c r="P761" s="105"/>
      <c r="Q761" s="105"/>
      <c r="R761" s="105"/>
      <c r="S761" s="105"/>
      <c r="T761" s="105"/>
      <c r="U761" s="105"/>
      <c r="V761" s="105"/>
      <c r="W761" s="105"/>
      <c r="X761" s="105"/>
      <c r="Y761" s="105"/>
      <c r="Z761" s="105"/>
    </row>
    <row r="762">
      <c r="A762" s="105"/>
      <c r="B762" s="105"/>
      <c r="C762" s="105"/>
      <c r="D762" s="105"/>
      <c r="E762" s="105"/>
      <c r="F762" s="105"/>
      <c r="G762" s="105"/>
      <c r="H762" s="105"/>
      <c r="I762" s="105"/>
      <c r="J762" s="105"/>
      <c r="K762" s="105"/>
      <c r="L762" s="105"/>
      <c r="M762" s="105"/>
      <c r="N762" s="105"/>
      <c r="O762" s="105"/>
      <c r="P762" s="105"/>
      <c r="Q762" s="105"/>
      <c r="R762" s="105"/>
      <c r="S762" s="105"/>
      <c r="T762" s="105"/>
      <c r="U762" s="105"/>
      <c r="V762" s="105"/>
      <c r="W762" s="105"/>
      <c r="X762" s="105"/>
      <c r="Y762" s="105"/>
      <c r="Z762" s="105"/>
    </row>
    <row r="763">
      <c r="A763" s="105"/>
      <c r="B763" s="105"/>
      <c r="C763" s="105"/>
      <c r="D763" s="105"/>
      <c r="E763" s="105"/>
      <c r="F763" s="105"/>
      <c r="G763" s="105"/>
      <c r="H763" s="105"/>
      <c r="I763" s="105"/>
      <c r="J763" s="105"/>
      <c r="K763" s="105"/>
      <c r="L763" s="105"/>
      <c r="M763" s="105"/>
      <c r="N763" s="105"/>
      <c r="O763" s="105"/>
      <c r="P763" s="105"/>
      <c r="Q763" s="105"/>
      <c r="R763" s="105"/>
      <c r="S763" s="105"/>
      <c r="T763" s="105"/>
      <c r="U763" s="105"/>
      <c r="V763" s="105"/>
      <c r="W763" s="105"/>
      <c r="X763" s="105"/>
      <c r="Y763" s="105"/>
      <c r="Z763" s="105"/>
    </row>
    <row r="764">
      <c r="A764" s="105"/>
      <c r="B764" s="105"/>
      <c r="C764" s="105"/>
      <c r="D764" s="105"/>
      <c r="E764" s="105"/>
      <c r="F764" s="105"/>
      <c r="G764" s="105"/>
      <c r="H764" s="105"/>
      <c r="I764" s="105"/>
      <c r="J764" s="105"/>
      <c r="K764" s="105"/>
      <c r="L764" s="105"/>
      <c r="M764" s="105"/>
      <c r="N764" s="105"/>
      <c r="O764" s="105"/>
      <c r="P764" s="105"/>
      <c r="Q764" s="105"/>
      <c r="R764" s="105"/>
      <c r="S764" s="105"/>
      <c r="T764" s="105"/>
      <c r="U764" s="105"/>
      <c r="V764" s="105"/>
      <c r="W764" s="105"/>
      <c r="X764" s="105"/>
      <c r="Y764" s="105"/>
      <c r="Z764" s="105"/>
    </row>
    <row r="765">
      <c r="A765" s="105"/>
      <c r="B765" s="105"/>
      <c r="C765" s="105"/>
      <c r="D765" s="105"/>
      <c r="E765" s="105"/>
      <c r="F765" s="105"/>
      <c r="G765" s="105"/>
      <c r="H765" s="105"/>
      <c r="I765" s="105"/>
      <c r="J765" s="105"/>
      <c r="K765" s="105"/>
      <c r="L765" s="105"/>
      <c r="M765" s="105"/>
      <c r="N765" s="105"/>
      <c r="O765" s="105"/>
      <c r="P765" s="105"/>
      <c r="Q765" s="105"/>
      <c r="R765" s="105"/>
      <c r="S765" s="105"/>
      <c r="T765" s="105"/>
      <c r="U765" s="105"/>
      <c r="V765" s="105"/>
      <c r="W765" s="105"/>
      <c r="X765" s="105"/>
      <c r="Y765" s="105"/>
      <c r="Z765" s="105"/>
    </row>
    <row r="766">
      <c r="A766" s="105"/>
      <c r="B766" s="105"/>
      <c r="C766" s="105"/>
      <c r="D766" s="105"/>
      <c r="E766" s="105"/>
      <c r="F766" s="105"/>
      <c r="G766" s="105"/>
      <c r="H766" s="105"/>
      <c r="I766" s="105"/>
      <c r="J766" s="105"/>
      <c r="K766" s="105"/>
      <c r="L766" s="105"/>
      <c r="M766" s="105"/>
      <c r="N766" s="105"/>
      <c r="O766" s="105"/>
      <c r="P766" s="105"/>
      <c r="Q766" s="105"/>
      <c r="R766" s="105"/>
      <c r="S766" s="105"/>
      <c r="T766" s="105"/>
      <c r="U766" s="105"/>
      <c r="V766" s="105"/>
      <c r="W766" s="105"/>
      <c r="X766" s="105"/>
      <c r="Y766" s="105"/>
      <c r="Z766" s="105"/>
    </row>
    <row r="767">
      <c r="A767" s="105"/>
      <c r="B767" s="105"/>
      <c r="C767" s="105"/>
      <c r="D767" s="105"/>
      <c r="E767" s="105"/>
      <c r="F767" s="105"/>
      <c r="G767" s="105"/>
      <c r="H767" s="105"/>
      <c r="I767" s="105"/>
      <c r="J767" s="105"/>
      <c r="K767" s="105"/>
      <c r="L767" s="105"/>
      <c r="M767" s="105"/>
      <c r="N767" s="105"/>
      <c r="O767" s="105"/>
      <c r="P767" s="105"/>
      <c r="Q767" s="105"/>
      <c r="R767" s="105"/>
      <c r="S767" s="105"/>
      <c r="T767" s="105"/>
      <c r="U767" s="105"/>
      <c r="V767" s="105"/>
      <c r="W767" s="105"/>
      <c r="X767" s="105"/>
      <c r="Y767" s="105"/>
      <c r="Z767" s="105"/>
    </row>
    <row r="768">
      <c r="A768" s="105"/>
      <c r="B768" s="105"/>
      <c r="C768" s="105"/>
      <c r="D768" s="105"/>
      <c r="E768" s="105"/>
      <c r="F768" s="105"/>
      <c r="G768" s="105"/>
      <c r="H768" s="105"/>
      <c r="I768" s="105"/>
      <c r="J768" s="105"/>
      <c r="K768" s="105"/>
      <c r="L768" s="105"/>
      <c r="M768" s="105"/>
      <c r="N768" s="105"/>
      <c r="O768" s="105"/>
      <c r="P768" s="105"/>
      <c r="Q768" s="105"/>
      <c r="R768" s="105"/>
      <c r="S768" s="105"/>
      <c r="T768" s="105"/>
      <c r="U768" s="105"/>
      <c r="V768" s="105"/>
      <c r="W768" s="105"/>
      <c r="X768" s="105"/>
      <c r="Y768" s="105"/>
      <c r="Z768" s="105"/>
    </row>
    <row r="769">
      <c r="A769" s="105"/>
      <c r="B769" s="105"/>
      <c r="C769" s="105"/>
      <c r="D769" s="105"/>
      <c r="E769" s="105"/>
      <c r="F769" s="105"/>
      <c r="G769" s="105"/>
      <c r="H769" s="105"/>
      <c r="I769" s="105"/>
      <c r="J769" s="105"/>
      <c r="K769" s="105"/>
      <c r="L769" s="105"/>
      <c r="M769" s="105"/>
      <c r="N769" s="105"/>
      <c r="O769" s="105"/>
      <c r="P769" s="105"/>
      <c r="Q769" s="105"/>
      <c r="R769" s="105"/>
      <c r="S769" s="105"/>
      <c r="T769" s="105"/>
      <c r="U769" s="105"/>
      <c r="V769" s="105"/>
      <c r="W769" s="105"/>
      <c r="X769" s="105"/>
      <c r="Y769" s="105"/>
      <c r="Z769" s="105"/>
    </row>
    <row r="770">
      <c r="A770" s="105"/>
      <c r="B770" s="105"/>
      <c r="C770" s="105"/>
      <c r="D770" s="105"/>
      <c r="E770" s="105"/>
      <c r="F770" s="105"/>
      <c r="G770" s="105"/>
      <c r="H770" s="105"/>
      <c r="I770" s="105"/>
      <c r="J770" s="105"/>
      <c r="K770" s="105"/>
      <c r="L770" s="105"/>
      <c r="M770" s="105"/>
      <c r="N770" s="105"/>
      <c r="O770" s="105"/>
      <c r="P770" s="105"/>
      <c r="Q770" s="105"/>
      <c r="R770" s="105"/>
      <c r="S770" s="105"/>
      <c r="T770" s="105"/>
      <c r="U770" s="105"/>
      <c r="V770" s="105"/>
      <c r="W770" s="105"/>
      <c r="X770" s="105"/>
      <c r="Y770" s="105"/>
      <c r="Z770" s="105"/>
    </row>
    <row r="771">
      <c r="A771" s="105"/>
      <c r="B771" s="105"/>
      <c r="C771" s="105"/>
      <c r="D771" s="105"/>
      <c r="E771" s="105"/>
      <c r="F771" s="105"/>
      <c r="G771" s="105"/>
      <c r="H771" s="105"/>
      <c r="I771" s="105"/>
      <c r="J771" s="105"/>
      <c r="K771" s="105"/>
      <c r="L771" s="105"/>
      <c r="M771" s="105"/>
      <c r="N771" s="105"/>
      <c r="O771" s="105"/>
      <c r="P771" s="105"/>
      <c r="Q771" s="105"/>
      <c r="R771" s="105"/>
      <c r="S771" s="105"/>
      <c r="T771" s="105"/>
      <c r="U771" s="105"/>
      <c r="V771" s="105"/>
      <c r="W771" s="105"/>
      <c r="X771" s="105"/>
      <c r="Y771" s="105"/>
      <c r="Z771" s="105"/>
    </row>
    <row r="772">
      <c r="A772" s="105"/>
      <c r="B772" s="105"/>
      <c r="C772" s="105"/>
      <c r="D772" s="105"/>
      <c r="E772" s="105"/>
      <c r="F772" s="105"/>
      <c r="G772" s="105"/>
      <c r="H772" s="105"/>
      <c r="I772" s="105"/>
      <c r="J772" s="105"/>
      <c r="K772" s="105"/>
      <c r="L772" s="105"/>
      <c r="M772" s="105"/>
      <c r="N772" s="105"/>
      <c r="O772" s="105"/>
      <c r="P772" s="105"/>
      <c r="Q772" s="105"/>
      <c r="R772" s="105"/>
      <c r="S772" s="105"/>
      <c r="T772" s="105"/>
      <c r="U772" s="105"/>
      <c r="V772" s="105"/>
      <c r="W772" s="105"/>
      <c r="X772" s="105"/>
      <c r="Y772" s="105"/>
      <c r="Z772" s="105"/>
    </row>
    <row r="773">
      <c r="A773" s="105"/>
      <c r="B773" s="105"/>
      <c r="C773" s="105"/>
      <c r="D773" s="105"/>
      <c r="E773" s="105"/>
      <c r="F773" s="105"/>
      <c r="G773" s="105"/>
      <c r="H773" s="105"/>
      <c r="I773" s="105"/>
      <c r="J773" s="105"/>
      <c r="K773" s="105"/>
      <c r="L773" s="105"/>
      <c r="M773" s="105"/>
      <c r="N773" s="105"/>
      <c r="O773" s="105"/>
      <c r="P773" s="105"/>
      <c r="Q773" s="105"/>
      <c r="R773" s="105"/>
      <c r="S773" s="105"/>
      <c r="T773" s="105"/>
      <c r="U773" s="105"/>
      <c r="V773" s="105"/>
      <c r="W773" s="105"/>
      <c r="X773" s="105"/>
      <c r="Y773" s="105"/>
      <c r="Z773" s="105"/>
    </row>
    <row r="774">
      <c r="A774" s="105"/>
      <c r="B774" s="105"/>
      <c r="C774" s="105"/>
      <c r="D774" s="105"/>
      <c r="E774" s="105"/>
      <c r="F774" s="105"/>
      <c r="G774" s="105"/>
      <c r="H774" s="105"/>
      <c r="I774" s="105"/>
      <c r="J774" s="105"/>
      <c r="K774" s="105"/>
      <c r="L774" s="105"/>
      <c r="M774" s="105"/>
      <c r="N774" s="105"/>
      <c r="O774" s="105"/>
      <c r="P774" s="105"/>
      <c r="Q774" s="105"/>
      <c r="R774" s="105"/>
      <c r="S774" s="105"/>
      <c r="T774" s="105"/>
      <c r="U774" s="105"/>
      <c r="V774" s="105"/>
      <c r="W774" s="105"/>
      <c r="X774" s="105"/>
      <c r="Y774" s="105"/>
      <c r="Z774" s="105"/>
    </row>
    <row r="775">
      <c r="A775" s="105"/>
      <c r="B775" s="105"/>
      <c r="C775" s="105"/>
      <c r="D775" s="105"/>
      <c r="E775" s="105"/>
      <c r="F775" s="105"/>
      <c r="G775" s="105"/>
      <c r="H775" s="105"/>
      <c r="I775" s="105"/>
      <c r="J775" s="105"/>
      <c r="K775" s="105"/>
      <c r="L775" s="105"/>
      <c r="M775" s="105"/>
      <c r="N775" s="105"/>
      <c r="O775" s="105"/>
      <c r="P775" s="105"/>
      <c r="Q775" s="105"/>
      <c r="R775" s="105"/>
      <c r="S775" s="105"/>
      <c r="T775" s="105"/>
      <c r="U775" s="105"/>
      <c r="V775" s="105"/>
      <c r="W775" s="105"/>
      <c r="X775" s="105"/>
      <c r="Y775" s="105"/>
      <c r="Z775" s="105"/>
    </row>
    <row r="776">
      <c r="A776" s="105"/>
      <c r="B776" s="105"/>
      <c r="C776" s="105"/>
      <c r="D776" s="105"/>
      <c r="E776" s="105"/>
      <c r="F776" s="105"/>
      <c r="G776" s="105"/>
      <c r="H776" s="105"/>
      <c r="I776" s="105"/>
      <c r="J776" s="105"/>
      <c r="K776" s="105"/>
      <c r="L776" s="105"/>
      <c r="M776" s="105"/>
      <c r="N776" s="105"/>
      <c r="O776" s="105"/>
      <c r="P776" s="105"/>
      <c r="Q776" s="105"/>
      <c r="R776" s="105"/>
      <c r="S776" s="105"/>
      <c r="T776" s="105"/>
      <c r="U776" s="105"/>
      <c r="V776" s="105"/>
      <c r="W776" s="105"/>
      <c r="X776" s="105"/>
      <c r="Y776" s="105"/>
      <c r="Z776" s="105"/>
    </row>
    <row r="777">
      <c r="A777" s="105"/>
      <c r="B777" s="105"/>
      <c r="C777" s="105"/>
      <c r="D777" s="105"/>
      <c r="E777" s="105"/>
      <c r="F777" s="105"/>
      <c r="G777" s="105"/>
      <c r="H777" s="105"/>
      <c r="I777" s="105"/>
      <c r="J777" s="105"/>
      <c r="K777" s="105"/>
      <c r="L777" s="105"/>
      <c r="M777" s="105"/>
      <c r="N777" s="105"/>
      <c r="O777" s="105"/>
      <c r="P777" s="105"/>
      <c r="Q777" s="105"/>
      <c r="R777" s="105"/>
      <c r="S777" s="105"/>
      <c r="T777" s="105"/>
      <c r="U777" s="105"/>
      <c r="V777" s="105"/>
      <c r="W777" s="105"/>
      <c r="X777" s="105"/>
      <c r="Y777" s="105"/>
      <c r="Z777" s="105"/>
    </row>
    <row r="778">
      <c r="A778" s="105"/>
      <c r="B778" s="105"/>
      <c r="C778" s="105"/>
      <c r="D778" s="105"/>
      <c r="E778" s="105"/>
      <c r="F778" s="105"/>
      <c r="G778" s="105"/>
      <c r="H778" s="105"/>
      <c r="I778" s="105"/>
      <c r="J778" s="105"/>
      <c r="K778" s="105"/>
      <c r="L778" s="105"/>
      <c r="M778" s="105"/>
      <c r="N778" s="105"/>
      <c r="O778" s="105"/>
      <c r="P778" s="105"/>
      <c r="Q778" s="105"/>
      <c r="R778" s="105"/>
      <c r="S778" s="105"/>
      <c r="T778" s="105"/>
      <c r="U778" s="105"/>
      <c r="V778" s="105"/>
      <c r="W778" s="105"/>
      <c r="X778" s="105"/>
      <c r="Y778" s="105"/>
      <c r="Z778" s="105"/>
    </row>
    <row r="779">
      <c r="A779" s="105"/>
      <c r="B779" s="105"/>
      <c r="C779" s="105"/>
      <c r="D779" s="105"/>
      <c r="E779" s="105"/>
      <c r="F779" s="105"/>
      <c r="G779" s="105"/>
      <c r="H779" s="105"/>
      <c r="I779" s="105"/>
      <c r="J779" s="105"/>
      <c r="K779" s="105"/>
      <c r="L779" s="105"/>
      <c r="M779" s="105"/>
      <c r="N779" s="105"/>
      <c r="O779" s="105"/>
      <c r="P779" s="105"/>
      <c r="Q779" s="105"/>
      <c r="R779" s="105"/>
      <c r="S779" s="105"/>
      <c r="T779" s="105"/>
      <c r="U779" s="105"/>
      <c r="V779" s="105"/>
      <c r="W779" s="105"/>
      <c r="X779" s="105"/>
      <c r="Y779" s="105"/>
      <c r="Z779" s="105"/>
    </row>
    <row r="780">
      <c r="A780" s="105"/>
      <c r="B780" s="105"/>
      <c r="C780" s="105"/>
      <c r="D780" s="105"/>
      <c r="E780" s="105"/>
      <c r="F780" s="105"/>
      <c r="G780" s="105"/>
      <c r="H780" s="105"/>
      <c r="I780" s="105"/>
      <c r="J780" s="105"/>
      <c r="K780" s="105"/>
      <c r="L780" s="105"/>
      <c r="M780" s="105"/>
      <c r="N780" s="105"/>
      <c r="O780" s="105"/>
      <c r="P780" s="105"/>
      <c r="Q780" s="105"/>
      <c r="R780" s="105"/>
      <c r="S780" s="105"/>
      <c r="T780" s="105"/>
      <c r="U780" s="105"/>
      <c r="V780" s="105"/>
      <c r="W780" s="105"/>
      <c r="X780" s="105"/>
      <c r="Y780" s="105"/>
      <c r="Z780" s="105"/>
    </row>
    <row r="781">
      <c r="A781" s="105"/>
      <c r="B781" s="105"/>
      <c r="C781" s="105"/>
      <c r="D781" s="105"/>
      <c r="E781" s="105"/>
      <c r="F781" s="105"/>
      <c r="G781" s="105"/>
      <c r="H781" s="105"/>
      <c r="I781" s="105"/>
      <c r="J781" s="105"/>
      <c r="K781" s="105"/>
      <c r="L781" s="105"/>
      <c r="M781" s="105"/>
      <c r="N781" s="105"/>
      <c r="O781" s="105"/>
      <c r="P781" s="105"/>
      <c r="Q781" s="105"/>
      <c r="R781" s="105"/>
      <c r="S781" s="105"/>
      <c r="T781" s="105"/>
      <c r="U781" s="105"/>
      <c r="V781" s="105"/>
      <c r="W781" s="105"/>
      <c r="X781" s="105"/>
      <c r="Y781" s="105"/>
      <c r="Z781" s="105"/>
    </row>
    <row r="782">
      <c r="A782" s="105"/>
      <c r="B782" s="105"/>
      <c r="C782" s="105"/>
      <c r="D782" s="105"/>
      <c r="E782" s="105"/>
      <c r="F782" s="105"/>
      <c r="G782" s="105"/>
      <c r="H782" s="105"/>
      <c r="I782" s="105"/>
      <c r="J782" s="105"/>
      <c r="K782" s="105"/>
      <c r="L782" s="105"/>
      <c r="M782" s="105"/>
      <c r="N782" s="105"/>
      <c r="O782" s="105"/>
      <c r="P782" s="105"/>
      <c r="Q782" s="105"/>
      <c r="R782" s="105"/>
      <c r="S782" s="105"/>
      <c r="T782" s="105"/>
      <c r="U782" s="105"/>
      <c r="V782" s="105"/>
      <c r="W782" s="105"/>
      <c r="X782" s="105"/>
      <c r="Y782" s="105"/>
      <c r="Z782" s="105"/>
    </row>
    <row r="783">
      <c r="A783" s="105"/>
      <c r="B783" s="105"/>
      <c r="C783" s="105"/>
      <c r="D783" s="105"/>
      <c r="E783" s="105"/>
      <c r="F783" s="105"/>
      <c r="G783" s="105"/>
      <c r="H783" s="105"/>
      <c r="I783" s="105"/>
      <c r="J783" s="105"/>
      <c r="K783" s="105"/>
      <c r="L783" s="105"/>
      <c r="M783" s="105"/>
      <c r="N783" s="105"/>
      <c r="O783" s="105"/>
      <c r="P783" s="105"/>
      <c r="Q783" s="105"/>
      <c r="R783" s="105"/>
      <c r="S783" s="105"/>
      <c r="T783" s="105"/>
      <c r="U783" s="105"/>
      <c r="V783" s="105"/>
      <c r="W783" s="105"/>
      <c r="X783" s="105"/>
      <c r="Y783" s="105"/>
      <c r="Z783" s="105"/>
    </row>
    <row r="784">
      <c r="A784" s="105"/>
      <c r="B784" s="105"/>
      <c r="C784" s="105"/>
      <c r="D784" s="105"/>
      <c r="E784" s="105"/>
      <c r="F784" s="105"/>
      <c r="G784" s="105"/>
      <c r="H784" s="105"/>
      <c r="I784" s="105"/>
      <c r="J784" s="105"/>
      <c r="K784" s="105"/>
      <c r="L784" s="105"/>
      <c r="M784" s="105"/>
      <c r="N784" s="105"/>
      <c r="O784" s="105"/>
      <c r="P784" s="105"/>
      <c r="Q784" s="105"/>
      <c r="R784" s="105"/>
      <c r="S784" s="105"/>
      <c r="T784" s="105"/>
      <c r="U784" s="105"/>
      <c r="V784" s="105"/>
      <c r="W784" s="105"/>
      <c r="X784" s="105"/>
      <c r="Y784" s="105"/>
      <c r="Z784" s="105"/>
    </row>
    <row r="785">
      <c r="A785" s="105"/>
      <c r="B785" s="105"/>
      <c r="C785" s="105"/>
      <c r="D785" s="105"/>
      <c r="E785" s="105"/>
      <c r="F785" s="105"/>
      <c r="G785" s="105"/>
      <c r="H785" s="105"/>
      <c r="I785" s="105"/>
      <c r="J785" s="105"/>
      <c r="K785" s="105"/>
      <c r="L785" s="105"/>
      <c r="M785" s="105"/>
      <c r="N785" s="105"/>
      <c r="O785" s="105"/>
      <c r="P785" s="105"/>
      <c r="Q785" s="105"/>
      <c r="R785" s="105"/>
      <c r="S785" s="105"/>
      <c r="T785" s="105"/>
      <c r="U785" s="105"/>
      <c r="V785" s="105"/>
      <c r="W785" s="105"/>
      <c r="X785" s="105"/>
      <c r="Y785" s="105"/>
      <c r="Z785" s="105"/>
    </row>
    <row r="786">
      <c r="A786" s="105"/>
      <c r="B786" s="105"/>
      <c r="C786" s="105"/>
      <c r="D786" s="105"/>
      <c r="E786" s="105"/>
      <c r="F786" s="105"/>
      <c r="G786" s="105"/>
      <c r="H786" s="105"/>
      <c r="I786" s="105"/>
      <c r="J786" s="105"/>
      <c r="K786" s="105"/>
      <c r="L786" s="105"/>
      <c r="M786" s="105"/>
      <c r="N786" s="105"/>
      <c r="O786" s="105"/>
      <c r="P786" s="105"/>
      <c r="Q786" s="105"/>
      <c r="R786" s="105"/>
      <c r="S786" s="105"/>
      <c r="T786" s="105"/>
      <c r="U786" s="105"/>
      <c r="V786" s="105"/>
      <c r="W786" s="105"/>
      <c r="X786" s="105"/>
      <c r="Y786" s="105"/>
      <c r="Z786" s="105"/>
    </row>
    <row r="787">
      <c r="A787" s="105"/>
      <c r="B787" s="105"/>
      <c r="C787" s="105"/>
      <c r="D787" s="105"/>
      <c r="E787" s="105"/>
      <c r="F787" s="105"/>
      <c r="G787" s="105"/>
      <c r="H787" s="105"/>
      <c r="I787" s="105"/>
      <c r="J787" s="105"/>
      <c r="K787" s="105"/>
      <c r="L787" s="105"/>
      <c r="M787" s="105"/>
      <c r="N787" s="105"/>
      <c r="O787" s="105"/>
      <c r="P787" s="105"/>
      <c r="Q787" s="105"/>
      <c r="R787" s="105"/>
      <c r="S787" s="105"/>
      <c r="T787" s="105"/>
      <c r="U787" s="105"/>
      <c r="V787" s="105"/>
      <c r="W787" s="105"/>
      <c r="X787" s="105"/>
      <c r="Y787" s="105"/>
      <c r="Z787" s="105"/>
    </row>
    <row r="788">
      <c r="A788" s="105"/>
      <c r="B788" s="105"/>
      <c r="C788" s="105"/>
      <c r="D788" s="105"/>
      <c r="E788" s="105"/>
      <c r="F788" s="105"/>
      <c r="G788" s="105"/>
      <c r="H788" s="105"/>
      <c r="I788" s="105"/>
      <c r="J788" s="105"/>
      <c r="K788" s="105"/>
      <c r="L788" s="105"/>
      <c r="M788" s="105"/>
      <c r="N788" s="105"/>
      <c r="O788" s="105"/>
      <c r="P788" s="105"/>
      <c r="Q788" s="105"/>
      <c r="R788" s="105"/>
      <c r="S788" s="105"/>
      <c r="T788" s="105"/>
      <c r="U788" s="105"/>
      <c r="V788" s="105"/>
      <c r="W788" s="105"/>
      <c r="X788" s="105"/>
      <c r="Y788" s="105"/>
      <c r="Z788" s="105"/>
    </row>
    <row r="789">
      <c r="A789" s="105"/>
      <c r="B789" s="105"/>
      <c r="C789" s="105"/>
      <c r="D789" s="105"/>
      <c r="E789" s="105"/>
      <c r="F789" s="105"/>
      <c r="G789" s="105"/>
      <c r="H789" s="105"/>
      <c r="I789" s="105"/>
      <c r="J789" s="105"/>
      <c r="K789" s="105"/>
      <c r="L789" s="105"/>
      <c r="M789" s="105"/>
      <c r="N789" s="105"/>
      <c r="O789" s="105"/>
      <c r="P789" s="105"/>
      <c r="Q789" s="105"/>
      <c r="R789" s="105"/>
      <c r="S789" s="105"/>
      <c r="T789" s="105"/>
      <c r="U789" s="105"/>
      <c r="V789" s="105"/>
      <c r="W789" s="105"/>
      <c r="X789" s="105"/>
      <c r="Y789" s="105"/>
      <c r="Z789" s="105"/>
    </row>
    <row r="790">
      <c r="A790" s="105"/>
      <c r="B790" s="105"/>
      <c r="C790" s="105"/>
      <c r="D790" s="105"/>
      <c r="E790" s="105"/>
      <c r="F790" s="105"/>
      <c r="G790" s="105"/>
      <c r="H790" s="105"/>
      <c r="I790" s="105"/>
      <c r="J790" s="105"/>
      <c r="K790" s="105"/>
      <c r="L790" s="105"/>
      <c r="M790" s="105"/>
      <c r="N790" s="105"/>
      <c r="O790" s="105"/>
      <c r="P790" s="105"/>
      <c r="Q790" s="105"/>
      <c r="R790" s="105"/>
      <c r="S790" s="105"/>
      <c r="T790" s="105"/>
      <c r="U790" s="105"/>
      <c r="V790" s="105"/>
      <c r="W790" s="105"/>
      <c r="X790" s="105"/>
      <c r="Y790" s="105"/>
      <c r="Z790" s="105"/>
    </row>
    <row r="791">
      <c r="A791" s="105"/>
      <c r="B791" s="105"/>
      <c r="C791" s="105"/>
      <c r="D791" s="105"/>
      <c r="E791" s="105"/>
      <c r="F791" s="105"/>
      <c r="G791" s="105"/>
      <c r="H791" s="105"/>
      <c r="I791" s="105"/>
      <c r="J791" s="105"/>
      <c r="K791" s="105"/>
      <c r="L791" s="105"/>
      <c r="M791" s="105"/>
      <c r="N791" s="105"/>
      <c r="O791" s="105"/>
      <c r="P791" s="105"/>
      <c r="Q791" s="105"/>
      <c r="R791" s="105"/>
      <c r="S791" s="105"/>
      <c r="T791" s="105"/>
      <c r="U791" s="105"/>
      <c r="V791" s="105"/>
      <c r="W791" s="105"/>
      <c r="X791" s="105"/>
      <c r="Y791" s="105"/>
      <c r="Z791" s="105"/>
    </row>
    <row r="792">
      <c r="A792" s="105"/>
      <c r="B792" s="105"/>
      <c r="C792" s="105"/>
      <c r="D792" s="105"/>
      <c r="E792" s="105"/>
      <c r="F792" s="105"/>
      <c r="G792" s="105"/>
      <c r="H792" s="105"/>
      <c r="I792" s="105"/>
      <c r="J792" s="105"/>
      <c r="K792" s="105"/>
      <c r="L792" s="105"/>
      <c r="M792" s="105"/>
      <c r="N792" s="105"/>
      <c r="O792" s="105"/>
      <c r="P792" s="105"/>
      <c r="Q792" s="105"/>
      <c r="R792" s="105"/>
      <c r="S792" s="105"/>
      <c r="T792" s="105"/>
      <c r="U792" s="105"/>
      <c r="V792" s="105"/>
      <c r="W792" s="105"/>
      <c r="X792" s="105"/>
      <c r="Y792" s="105"/>
      <c r="Z792" s="105"/>
    </row>
    <row r="793">
      <c r="A793" s="105"/>
      <c r="B793" s="105"/>
      <c r="C793" s="105"/>
      <c r="D793" s="105"/>
      <c r="E793" s="105"/>
      <c r="F793" s="105"/>
      <c r="G793" s="105"/>
      <c r="H793" s="105"/>
      <c r="I793" s="105"/>
      <c r="J793" s="105"/>
      <c r="K793" s="105"/>
      <c r="L793" s="105"/>
      <c r="M793" s="105"/>
      <c r="N793" s="105"/>
      <c r="O793" s="105"/>
      <c r="P793" s="105"/>
      <c r="Q793" s="105"/>
      <c r="R793" s="105"/>
      <c r="S793" s="105"/>
      <c r="T793" s="105"/>
      <c r="U793" s="105"/>
      <c r="V793" s="105"/>
      <c r="W793" s="105"/>
      <c r="X793" s="105"/>
      <c r="Y793" s="105"/>
      <c r="Z793" s="105"/>
    </row>
    <row r="794">
      <c r="A794" s="105"/>
      <c r="B794" s="105"/>
      <c r="C794" s="105"/>
      <c r="D794" s="105"/>
      <c r="E794" s="105"/>
      <c r="F794" s="105"/>
      <c r="G794" s="105"/>
      <c r="H794" s="105"/>
      <c r="I794" s="105"/>
      <c r="J794" s="105"/>
      <c r="K794" s="105"/>
      <c r="L794" s="105"/>
      <c r="M794" s="105"/>
      <c r="N794" s="105"/>
      <c r="O794" s="105"/>
      <c r="P794" s="105"/>
      <c r="Q794" s="105"/>
      <c r="R794" s="105"/>
      <c r="S794" s="105"/>
      <c r="T794" s="105"/>
      <c r="U794" s="105"/>
      <c r="V794" s="105"/>
      <c r="W794" s="105"/>
      <c r="X794" s="105"/>
      <c r="Y794" s="105"/>
      <c r="Z794" s="105"/>
    </row>
    <row r="795">
      <c r="A795" s="105"/>
      <c r="B795" s="105"/>
      <c r="C795" s="105"/>
      <c r="D795" s="105"/>
      <c r="E795" s="105"/>
      <c r="F795" s="105"/>
      <c r="G795" s="105"/>
      <c r="H795" s="105"/>
      <c r="I795" s="105"/>
      <c r="J795" s="105"/>
      <c r="K795" s="105"/>
      <c r="L795" s="105"/>
      <c r="M795" s="105"/>
      <c r="N795" s="105"/>
      <c r="O795" s="105"/>
      <c r="P795" s="105"/>
      <c r="Q795" s="105"/>
      <c r="R795" s="105"/>
      <c r="S795" s="105"/>
      <c r="T795" s="105"/>
      <c r="U795" s="105"/>
      <c r="V795" s="105"/>
      <c r="W795" s="105"/>
      <c r="X795" s="105"/>
      <c r="Y795" s="105"/>
      <c r="Z795" s="105"/>
    </row>
    <row r="796">
      <c r="A796" s="105"/>
      <c r="B796" s="105"/>
      <c r="C796" s="105"/>
      <c r="D796" s="105"/>
      <c r="E796" s="105"/>
      <c r="F796" s="105"/>
      <c r="G796" s="105"/>
      <c r="H796" s="105"/>
      <c r="I796" s="105"/>
      <c r="J796" s="105"/>
      <c r="K796" s="105"/>
      <c r="L796" s="105"/>
      <c r="M796" s="105"/>
      <c r="N796" s="105"/>
      <c r="O796" s="105"/>
      <c r="P796" s="105"/>
      <c r="Q796" s="105"/>
      <c r="R796" s="105"/>
      <c r="S796" s="105"/>
      <c r="T796" s="105"/>
      <c r="U796" s="105"/>
      <c r="V796" s="105"/>
      <c r="W796" s="105"/>
      <c r="X796" s="105"/>
      <c r="Y796" s="105"/>
      <c r="Z796" s="105"/>
    </row>
    <row r="797">
      <c r="A797" s="105"/>
      <c r="B797" s="105"/>
      <c r="C797" s="105"/>
      <c r="D797" s="105"/>
      <c r="E797" s="105"/>
      <c r="F797" s="105"/>
      <c r="G797" s="105"/>
      <c r="H797" s="105"/>
      <c r="I797" s="105"/>
      <c r="J797" s="105"/>
      <c r="K797" s="105"/>
      <c r="L797" s="105"/>
      <c r="M797" s="105"/>
      <c r="N797" s="105"/>
      <c r="O797" s="105"/>
      <c r="P797" s="105"/>
      <c r="Q797" s="105"/>
      <c r="R797" s="105"/>
      <c r="S797" s="105"/>
      <c r="T797" s="105"/>
      <c r="U797" s="105"/>
      <c r="V797" s="105"/>
      <c r="W797" s="105"/>
      <c r="X797" s="105"/>
      <c r="Y797" s="105"/>
      <c r="Z797" s="105"/>
    </row>
    <row r="798">
      <c r="A798" s="105"/>
      <c r="B798" s="105"/>
      <c r="C798" s="105"/>
      <c r="D798" s="105"/>
      <c r="E798" s="105"/>
      <c r="F798" s="105"/>
      <c r="G798" s="105"/>
      <c r="H798" s="105"/>
      <c r="I798" s="105"/>
      <c r="J798" s="105"/>
      <c r="K798" s="105"/>
      <c r="L798" s="105"/>
      <c r="M798" s="105"/>
      <c r="N798" s="105"/>
      <c r="O798" s="105"/>
      <c r="P798" s="105"/>
      <c r="Q798" s="105"/>
      <c r="R798" s="105"/>
      <c r="S798" s="105"/>
      <c r="T798" s="105"/>
      <c r="U798" s="105"/>
      <c r="V798" s="105"/>
      <c r="W798" s="105"/>
      <c r="X798" s="105"/>
      <c r="Y798" s="105"/>
      <c r="Z798" s="105"/>
    </row>
    <row r="799">
      <c r="A799" s="105"/>
      <c r="B799" s="105"/>
      <c r="C799" s="105"/>
      <c r="D799" s="105"/>
      <c r="E799" s="105"/>
      <c r="F799" s="105"/>
      <c r="G799" s="105"/>
      <c r="H799" s="105"/>
      <c r="I799" s="105"/>
      <c r="J799" s="105"/>
      <c r="K799" s="105"/>
      <c r="L799" s="105"/>
      <c r="M799" s="105"/>
      <c r="N799" s="105"/>
      <c r="O799" s="105"/>
      <c r="P799" s="105"/>
      <c r="Q799" s="105"/>
      <c r="R799" s="105"/>
      <c r="S799" s="105"/>
      <c r="T799" s="105"/>
      <c r="U799" s="105"/>
      <c r="V799" s="105"/>
      <c r="W799" s="105"/>
      <c r="X799" s="105"/>
      <c r="Y799" s="105"/>
      <c r="Z799" s="105"/>
    </row>
    <row r="800">
      <c r="A800" s="105"/>
      <c r="B800" s="105"/>
      <c r="C800" s="105"/>
      <c r="D800" s="105"/>
      <c r="E800" s="105"/>
      <c r="F800" s="105"/>
      <c r="G800" s="105"/>
      <c r="H800" s="105"/>
      <c r="I800" s="105"/>
      <c r="J800" s="105"/>
      <c r="K800" s="105"/>
      <c r="L800" s="105"/>
      <c r="M800" s="105"/>
      <c r="N800" s="105"/>
      <c r="O800" s="105"/>
      <c r="P800" s="105"/>
      <c r="Q800" s="105"/>
      <c r="R800" s="105"/>
      <c r="S800" s="105"/>
      <c r="T800" s="105"/>
      <c r="U800" s="105"/>
      <c r="V800" s="105"/>
      <c r="W800" s="105"/>
      <c r="X800" s="105"/>
      <c r="Y800" s="105"/>
      <c r="Z800" s="105"/>
    </row>
    <row r="801">
      <c r="A801" s="105"/>
      <c r="B801" s="105"/>
      <c r="C801" s="105"/>
      <c r="D801" s="105"/>
      <c r="E801" s="105"/>
      <c r="F801" s="105"/>
      <c r="G801" s="105"/>
      <c r="H801" s="105"/>
      <c r="I801" s="105"/>
      <c r="J801" s="105"/>
      <c r="K801" s="105"/>
      <c r="L801" s="105"/>
      <c r="M801" s="105"/>
      <c r="N801" s="105"/>
      <c r="O801" s="105"/>
      <c r="P801" s="105"/>
      <c r="Q801" s="105"/>
      <c r="R801" s="105"/>
      <c r="S801" s="105"/>
      <c r="T801" s="105"/>
      <c r="U801" s="105"/>
      <c r="V801" s="105"/>
      <c r="W801" s="105"/>
      <c r="X801" s="105"/>
      <c r="Y801" s="105"/>
      <c r="Z801" s="105"/>
    </row>
    <row r="802">
      <c r="A802" s="105"/>
      <c r="B802" s="105"/>
      <c r="C802" s="105"/>
      <c r="D802" s="105"/>
      <c r="E802" s="105"/>
      <c r="F802" s="105"/>
      <c r="G802" s="105"/>
      <c r="H802" s="105"/>
      <c r="I802" s="105"/>
      <c r="J802" s="105"/>
      <c r="K802" s="105"/>
      <c r="L802" s="105"/>
      <c r="M802" s="105"/>
      <c r="N802" s="105"/>
      <c r="O802" s="105"/>
      <c r="P802" s="105"/>
      <c r="Q802" s="105"/>
      <c r="R802" s="105"/>
      <c r="S802" s="105"/>
      <c r="T802" s="105"/>
      <c r="U802" s="105"/>
      <c r="V802" s="105"/>
      <c r="W802" s="105"/>
      <c r="X802" s="105"/>
      <c r="Y802" s="105"/>
      <c r="Z802" s="105"/>
    </row>
    <row r="803">
      <c r="A803" s="105"/>
      <c r="B803" s="105"/>
      <c r="C803" s="105"/>
      <c r="D803" s="105"/>
      <c r="E803" s="105"/>
      <c r="F803" s="105"/>
      <c r="G803" s="105"/>
      <c r="H803" s="105"/>
      <c r="I803" s="105"/>
      <c r="J803" s="105"/>
      <c r="K803" s="105"/>
      <c r="L803" s="105"/>
      <c r="M803" s="105"/>
      <c r="N803" s="105"/>
      <c r="O803" s="105"/>
      <c r="P803" s="105"/>
      <c r="Q803" s="105"/>
      <c r="R803" s="105"/>
      <c r="S803" s="105"/>
      <c r="T803" s="105"/>
      <c r="U803" s="105"/>
      <c r="V803" s="105"/>
      <c r="W803" s="105"/>
      <c r="X803" s="105"/>
      <c r="Y803" s="105"/>
      <c r="Z803" s="105"/>
    </row>
    <row r="804">
      <c r="A804" s="105"/>
      <c r="B804" s="105"/>
      <c r="C804" s="105"/>
      <c r="D804" s="105"/>
      <c r="E804" s="105"/>
      <c r="F804" s="105"/>
      <c r="G804" s="105"/>
      <c r="H804" s="105"/>
      <c r="I804" s="105"/>
      <c r="J804" s="105"/>
      <c r="K804" s="105"/>
      <c r="L804" s="105"/>
      <c r="M804" s="105"/>
      <c r="N804" s="105"/>
      <c r="O804" s="105"/>
      <c r="P804" s="105"/>
      <c r="Q804" s="105"/>
      <c r="R804" s="105"/>
      <c r="S804" s="105"/>
      <c r="T804" s="105"/>
      <c r="U804" s="105"/>
      <c r="V804" s="105"/>
      <c r="W804" s="105"/>
      <c r="X804" s="105"/>
      <c r="Y804" s="105"/>
      <c r="Z804" s="105"/>
    </row>
    <row r="805">
      <c r="A805" s="105"/>
      <c r="B805" s="105"/>
      <c r="C805" s="105"/>
      <c r="D805" s="105"/>
      <c r="E805" s="105"/>
      <c r="F805" s="105"/>
      <c r="G805" s="105"/>
      <c r="H805" s="105"/>
      <c r="I805" s="105"/>
      <c r="J805" s="105"/>
      <c r="K805" s="105"/>
      <c r="L805" s="105"/>
      <c r="M805" s="105"/>
      <c r="N805" s="105"/>
      <c r="O805" s="105"/>
      <c r="P805" s="105"/>
      <c r="Q805" s="105"/>
      <c r="R805" s="105"/>
      <c r="S805" s="105"/>
      <c r="T805" s="105"/>
      <c r="U805" s="105"/>
      <c r="V805" s="105"/>
      <c r="W805" s="105"/>
      <c r="X805" s="105"/>
      <c r="Y805" s="105"/>
      <c r="Z805" s="105"/>
    </row>
    <row r="806">
      <c r="A806" s="105"/>
      <c r="B806" s="105"/>
      <c r="C806" s="105"/>
      <c r="D806" s="105"/>
      <c r="E806" s="105"/>
      <c r="F806" s="105"/>
      <c r="G806" s="105"/>
      <c r="H806" s="105"/>
      <c r="I806" s="105"/>
      <c r="J806" s="105"/>
      <c r="K806" s="105"/>
      <c r="L806" s="105"/>
      <c r="M806" s="105"/>
      <c r="N806" s="105"/>
      <c r="O806" s="105"/>
      <c r="P806" s="105"/>
      <c r="Q806" s="105"/>
      <c r="R806" s="105"/>
      <c r="S806" s="105"/>
      <c r="T806" s="105"/>
      <c r="U806" s="105"/>
      <c r="V806" s="105"/>
      <c r="W806" s="105"/>
      <c r="X806" s="105"/>
      <c r="Y806" s="105"/>
      <c r="Z806" s="105"/>
    </row>
    <row r="807">
      <c r="A807" s="105"/>
      <c r="B807" s="105"/>
      <c r="C807" s="105"/>
      <c r="D807" s="105"/>
      <c r="E807" s="105"/>
      <c r="F807" s="105"/>
      <c r="G807" s="105"/>
      <c r="H807" s="105"/>
      <c r="I807" s="105"/>
      <c r="J807" s="105"/>
      <c r="K807" s="105"/>
      <c r="L807" s="105"/>
      <c r="M807" s="105"/>
      <c r="N807" s="105"/>
      <c r="O807" s="105"/>
      <c r="P807" s="105"/>
      <c r="Q807" s="105"/>
      <c r="R807" s="105"/>
      <c r="S807" s="105"/>
      <c r="T807" s="105"/>
      <c r="U807" s="105"/>
      <c r="V807" s="105"/>
      <c r="W807" s="105"/>
      <c r="X807" s="105"/>
      <c r="Y807" s="105"/>
      <c r="Z807" s="105"/>
    </row>
    <row r="808">
      <c r="A808" s="105"/>
      <c r="B808" s="105"/>
      <c r="C808" s="105"/>
      <c r="D808" s="105"/>
      <c r="E808" s="105"/>
      <c r="F808" s="105"/>
      <c r="G808" s="105"/>
      <c r="H808" s="105"/>
      <c r="I808" s="105"/>
      <c r="J808" s="105"/>
      <c r="K808" s="105"/>
      <c r="L808" s="105"/>
      <c r="M808" s="105"/>
      <c r="N808" s="105"/>
      <c r="O808" s="105"/>
      <c r="P808" s="105"/>
      <c r="Q808" s="105"/>
      <c r="R808" s="105"/>
      <c r="S808" s="105"/>
      <c r="T808" s="105"/>
      <c r="U808" s="105"/>
      <c r="V808" s="105"/>
      <c r="W808" s="105"/>
      <c r="X808" s="105"/>
      <c r="Y808" s="105"/>
      <c r="Z808" s="105"/>
    </row>
    <row r="809">
      <c r="A809" s="105"/>
      <c r="B809" s="105"/>
      <c r="C809" s="105"/>
      <c r="D809" s="105"/>
      <c r="E809" s="105"/>
      <c r="F809" s="105"/>
      <c r="G809" s="105"/>
      <c r="H809" s="105"/>
      <c r="I809" s="105"/>
      <c r="J809" s="105"/>
      <c r="K809" s="105"/>
      <c r="L809" s="105"/>
      <c r="M809" s="105"/>
      <c r="N809" s="105"/>
      <c r="O809" s="105"/>
      <c r="P809" s="105"/>
      <c r="Q809" s="105"/>
      <c r="R809" s="105"/>
      <c r="S809" s="105"/>
      <c r="T809" s="105"/>
      <c r="U809" s="105"/>
      <c r="V809" s="105"/>
      <c r="W809" s="105"/>
      <c r="X809" s="105"/>
      <c r="Y809" s="105"/>
      <c r="Z809" s="105"/>
    </row>
    <row r="810">
      <c r="A810" s="105"/>
      <c r="B810" s="105"/>
      <c r="C810" s="105"/>
      <c r="D810" s="105"/>
      <c r="E810" s="105"/>
      <c r="F810" s="105"/>
      <c r="G810" s="105"/>
      <c r="H810" s="105"/>
      <c r="I810" s="105"/>
      <c r="J810" s="105"/>
      <c r="K810" s="105"/>
      <c r="L810" s="105"/>
      <c r="M810" s="105"/>
      <c r="N810" s="105"/>
      <c r="O810" s="105"/>
      <c r="P810" s="105"/>
      <c r="Q810" s="105"/>
      <c r="R810" s="105"/>
      <c r="S810" s="105"/>
      <c r="T810" s="105"/>
      <c r="U810" s="105"/>
      <c r="V810" s="105"/>
      <c r="W810" s="105"/>
      <c r="X810" s="105"/>
      <c r="Y810" s="105"/>
      <c r="Z810" s="105"/>
    </row>
    <row r="811">
      <c r="A811" s="105"/>
      <c r="B811" s="105"/>
      <c r="C811" s="105"/>
      <c r="D811" s="105"/>
      <c r="E811" s="105"/>
      <c r="F811" s="105"/>
      <c r="G811" s="105"/>
      <c r="H811" s="105"/>
      <c r="I811" s="105"/>
      <c r="J811" s="105"/>
      <c r="K811" s="105"/>
      <c r="L811" s="105"/>
      <c r="M811" s="105"/>
      <c r="N811" s="105"/>
      <c r="O811" s="105"/>
      <c r="P811" s="105"/>
      <c r="Q811" s="105"/>
      <c r="R811" s="105"/>
      <c r="S811" s="105"/>
      <c r="T811" s="105"/>
      <c r="U811" s="105"/>
      <c r="V811" s="105"/>
      <c r="W811" s="105"/>
      <c r="X811" s="105"/>
      <c r="Y811" s="105"/>
      <c r="Z811" s="105"/>
    </row>
    <row r="812">
      <c r="A812" s="105"/>
      <c r="B812" s="105"/>
      <c r="C812" s="105"/>
      <c r="D812" s="105"/>
      <c r="E812" s="105"/>
      <c r="F812" s="105"/>
      <c r="G812" s="105"/>
      <c r="H812" s="105"/>
      <c r="I812" s="105"/>
      <c r="J812" s="105"/>
      <c r="K812" s="105"/>
      <c r="L812" s="105"/>
      <c r="M812" s="105"/>
      <c r="N812" s="105"/>
      <c r="O812" s="105"/>
      <c r="P812" s="105"/>
      <c r="Q812" s="105"/>
      <c r="R812" s="105"/>
      <c r="S812" s="105"/>
      <c r="T812" s="105"/>
      <c r="U812" s="105"/>
      <c r="V812" s="105"/>
      <c r="W812" s="105"/>
      <c r="X812" s="105"/>
      <c r="Y812" s="105"/>
      <c r="Z812" s="105"/>
    </row>
    <row r="813">
      <c r="A813" s="105"/>
      <c r="B813" s="105"/>
      <c r="C813" s="105"/>
      <c r="D813" s="105"/>
      <c r="E813" s="105"/>
      <c r="F813" s="105"/>
      <c r="G813" s="105"/>
      <c r="H813" s="105"/>
      <c r="I813" s="105"/>
      <c r="J813" s="105"/>
      <c r="K813" s="105"/>
      <c r="L813" s="105"/>
      <c r="M813" s="105"/>
      <c r="N813" s="105"/>
      <c r="O813" s="105"/>
      <c r="P813" s="105"/>
      <c r="Q813" s="105"/>
      <c r="R813" s="105"/>
      <c r="S813" s="105"/>
      <c r="T813" s="105"/>
      <c r="U813" s="105"/>
      <c r="V813" s="105"/>
      <c r="W813" s="105"/>
      <c r="X813" s="105"/>
      <c r="Y813" s="105"/>
      <c r="Z813" s="105"/>
    </row>
    <row r="814">
      <c r="A814" s="105"/>
      <c r="B814" s="105"/>
      <c r="C814" s="105"/>
      <c r="D814" s="105"/>
      <c r="E814" s="105"/>
      <c r="F814" s="105"/>
      <c r="G814" s="105"/>
      <c r="H814" s="105"/>
      <c r="I814" s="105"/>
      <c r="J814" s="105"/>
      <c r="K814" s="105"/>
      <c r="L814" s="105"/>
      <c r="M814" s="105"/>
      <c r="N814" s="105"/>
      <c r="O814" s="105"/>
      <c r="P814" s="105"/>
      <c r="Q814" s="105"/>
      <c r="R814" s="105"/>
      <c r="S814" s="105"/>
      <c r="T814" s="105"/>
      <c r="U814" s="105"/>
      <c r="V814" s="105"/>
      <c r="W814" s="105"/>
      <c r="X814" s="105"/>
      <c r="Y814" s="105"/>
      <c r="Z814" s="105"/>
    </row>
    <row r="815">
      <c r="A815" s="105"/>
      <c r="B815" s="105"/>
      <c r="C815" s="105"/>
      <c r="D815" s="105"/>
      <c r="E815" s="105"/>
      <c r="F815" s="105"/>
      <c r="G815" s="105"/>
      <c r="H815" s="105"/>
      <c r="I815" s="105"/>
      <c r="J815" s="105"/>
      <c r="K815" s="105"/>
      <c r="L815" s="105"/>
      <c r="M815" s="105"/>
      <c r="N815" s="105"/>
      <c r="O815" s="105"/>
      <c r="P815" s="105"/>
      <c r="Q815" s="105"/>
      <c r="R815" s="105"/>
      <c r="S815" s="105"/>
      <c r="T815" s="105"/>
      <c r="U815" s="105"/>
      <c r="V815" s="105"/>
      <c r="W815" s="105"/>
      <c r="X815" s="105"/>
      <c r="Y815" s="105"/>
      <c r="Z815" s="105"/>
    </row>
    <row r="816">
      <c r="A816" s="105"/>
      <c r="B816" s="105"/>
      <c r="C816" s="105"/>
      <c r="D816" s="105"/>
      <c r="E816" s="105"/>
      <c r="F816" s="105"/>
      <c r="G816" s="105"/>
      <c r="H816" s="105"/>
      <c r="I816" s="105"/>
      <c r="J816" s="105"/>
      <c r="K816" s="105"/>
      <c r="L816" s="105"/>
      <c r="M816" s="105"/>
      <c r="N816" s="105"/>
      <c r="O816" s="105"/>
      <c r="P816" s="105"/>
      <c r="Q816" s="105"/>
      <c r="R816" s="105"/>
      <c r="S816" s="105"/>
      <c r="T816" s="105"/>
      <c r="U816" s="105"/>
      <c r="V816" s="105"/>
      <c r="W816" s="105"/>
      <c r="X816" s="105"/>
      <c r="Y816" s="105"/>
      <c r="Z816" s="105"/>
    </row>
    <row r="817">
      <c r="A817" s="105"/>
      <c r="B817" s="105"/>
      <c r="C817" s="105"/>
      <c r="D817" s="105"/>
      <c r="E817" s="105"/>
      <c r="F817" s="105"/>
      <c r="G817" s="105"/>
      <c r="H817" s="105"/>
      <c r="I817" s="105"/>
      <c r="J817" s="105"/>
      <c r="K817" s="105"/>
      <c r="L817" s="105"/>
      <c r="M817" s="105"/>
      <c r="N817" s="105"/>
      <c r="O817" s="105"/>
      <c r="P817" s="105"/>
      <c r="Q817" s="105"/>
      <c r="R817" s="105"/>
      <c r="S817" s="105"/>
      <c r="T817" s="105"/>
      <c r="U817" s="105"/>
      <c r="V817" s="105"/>
      <c r="W817" s="105"/>
      <c r="X817" s="105"/>
      <c r="Y817" s="105"/>
      <c r="Z817" s="105"/>
    </row>
    <row r="818">
      <c r="A818" s="105"/>
      <c r="B818" s="105"/>
      <c r="C818" s="105"/>
      <c r="D818" s="105"/>
      <c r="E818" s="105"/>
      <c r="F818" s="105"/>
      <c r="G818" s="105"/>
      <c r="H818" s="105"/>
      <c r="I818" s="105"/>
      <c r="J818" s="105"/>
      <c r="K818" s="105"/>
      <c r="L818" s="105"/>
      <c r="M818" s="105"/>
      <c r="N818" s="105"/>
      <c r="O818" s="105"/>
      <c r="P818" s="105"/>
      <c r="Q818" s="105"/>
      <c r="R818" s="105"/>
      <c r="S818" s="105"/>
      <c r="T818" s="105"/>
      <c r="U818" s="105"/>
      <c r="V818" s="105"/>
      <c r="W818" s="105"/>
      <c r="X818" s="105"/>
      <c r="Y818" s="105"/>
      <c r="Z818" s="105"/>
    </row>
    <row r="819">
      <c r="A819" s="105"/>
      <c r="B819" s="105"/>
      <c r="C819" s="105"/>
      <c r="D819" s="105"/>
      <c r="E819" s="105"/>
      <c r="F819" s="105"/>
      <c r="G819" s="105"/>
      <c r="H819" s="105"/>
      <c r="I819" s="105"/>
      <c r="J819" s="105"/>
      <c r="K819" s="105"/>
      <c r="L819" s="105"/>
      <c r="M819" s="105"/>
      <c r="N819" s="105"/>
      <c r="O819" s="105"/>
      <c r="P819" s="105"/>
      <c r="Q819" s="105"/>
      <c r="R819" s="105"/>
      <c r="S819" s="105"/>
      <c r="T819" s="105"/>
      <c r="U819" s="105"/>
      <c r="V819" s="105"/>
      <c r="W819" s="105"/>
      <c r="X819" s="105"/>
      <c r="Y819" s="105"/>
      <c r="Z819" s="105"/>
    </row>
    <row r="820">
      <c r="A820" s="105"/>
      <c r="B820" s="105"/>
      <c r="C820" s="105"/>
      <c r="D820" s="105"/>
      <c r="E820" s="105"/>
      <c r="F820" s="105"/>
      <c r="G820" s="105"/>
      <c r="H820" s="105"/>
      <c r="I820" s="105"/>
      <c r="J820" s="105"/>
      <c r="K820" s="105"/>
      <c r="L820" s="105"/>
      <c r="M820" s="105"/>
      <c r="N820" s="105"/>
      <c r="O820" s="105"/>
      <c r="P820" s="105"/>
      <c r="Q820" s="105"/>
      <c r="R820" s="105"/>
      <c r="S820" s="105"/>
      <c r="T820" s="105"/>
      <c r="U820" s="105"/>
      <c r="V820" s="105"/>
      <c r="W820" s="105"/>
      <c r="X820" s="105"/>
      <c r="Y820" s="105"/>
      <c r="Z820" s="105"/>
    </row>
    <row r="821">
      <c r="A821" s="105"/>
      <c r="B821" s="105"/>
      <c r="C821" s="105"/>
      <c r="D821" s="105"/>
      <c r="E821" s="105"/>
      <c r="F821" s="105"/>
      <c r="G821" s="105"/>
      <c r="H821" s="105"/>
      <c r="I821" s="105"/>
      <c r="J821" s="105"/>
      <c r="K821" s="105"/>
      <c r="L821" s="105"/>
      <c r="M821" s="105"/>
      <c r="N821" s="105"/>
      <c r="O821" s="105"/>
      <c r="P821" s="105"/>
      <c r="Q821" s="105"/>
      <c r="R821" s="105"/>
      <c r="S821" s="105"/>
      <c r="T821" s="105"/>
      <c r="U821" s="105"/>
      <c r="V821" s="105"/>
      <c r="W821" s="105"/>
      <c r="X821" s="105"/>
      <c r="Y821" s="105"/>
      <c r="Z821" s="105"/>
    </row>
    <row r="822">
      <c r="A822" s="105"/>
      <c r="B822" s="105"/>
      <c r="C822" s="105"/>
      <c r="D822" s="105"/>
      <c r="E822" s="105"/>
      <c r="F822" s="105"/>
      <c r="G822" s="105"/>
      <c r="H822" s="105"/>
      <c r="I822" s="105"/>
      <c r="J822" s="105"/>
      <c r="K822" s="105"/>
      <c r="L822" s="105"/>
      <c r="M822" s="105"/>
      <c r="N822" s="105"/>
      <c r="O822" s="105"/>
      <c r="P822" s="105"/>
      <c r="Q822" s="105"/>
      <c r="R822" s="105"/>
      <c r="S822" s="105"/>
      <c r="T822" s="105"/>
      <c r="U822" s="105"/>
      <c r="V822" s="105"/>
      <c r="W822" s="105"/>
      <c r="X822" s="105"/>
      <c r="Y822" s="105"/>
      <c r="Z822" s="105"/>
    </row>
    <row r="823">
      <c r="A823" s="105"/>
      <c r="B823" s="105"/>
      <c r="C823" s="105"/>
      <c r="D823" s="105"/>
      <c r="E823" s="105"/>
      <c r="F823" s="105"/>
      <c r="G823" s="105"/>
      <c r="H823" s="105"/>
      <c r="I823" s="105"/>
      <c r="J823" s="105"/>
      <c r="K823" s="105"/>
      <c r="L823" s="105"/>
      <c r="M823" s="105"/>
      <c r="N823" s="105"/>
      <c r="O823" s="105"/>
      <c r="P823" s="105"/>
      <c r="Q823" s="105"/>
      <c r="R823" s="105"/>
      <c r="S823" s="105"/>
      <c r="T823" s="105"/>
      <c r="U823" s="105"/>
      <c r="V823" s="105"/>
      <c r="W823" s="105"/>
      <c r="X823" s="105"/>
      <c r="Y823" s="105"/>
      <c r="Z823" s="105"/>
    </row>
    <row r="824">
      <c r="A824" s="105"/>
      <c r="B824" s="105"/>
      <c r="C824" s="105"/>
      <c r="D824" s="105"/>
      <c r="E824" s="105"/>
      <c r="F824" s="105"/>
      <c r="G824" s="105"/>
      <c r="H824" s="105"/>
      <c r="I824" s="105"/>
      <c r="J824" s="105"/>
      <c r="K824" s="105"/>
      <c r="L824" s="105"/>
      <c r="M824" s="105"/>
      <c r="N824" s="105"/>
      <c r="O824" s="105"/>
      <c r="P824" s="105"/>
      <c r="Q824" s="105"/>
      <c r="R824" s="105"/>
      <c r="S824" s="105"/>
      <c r="T824" s="105"/>
      <c r="U824" s="105"/>
      <c r="V824" s="105"/>
      <c r="W824" s="105"/>
      <c r="X824" s="105"/>
      <c r="Y824" s="105"/>
      <c r="Z824" s="105"/>
    </row>
    <row r="825">
      <c r="A825" s="105"/>
      <c r="B825" s="105"/>
      <c r="C825" s="105"/>
      <c r="D825" s="105"/>
      <c r="E825" s="105"/>
      <c r="F825" s="105"/>
      <c r="G825" s="105"/>
      <c r="H825" s="105"/>
      <c r="I825" s="105"/>
      <c r="J825" s="105"/>
      <c r="K825" s="105"/>
      <c r="L825" s="105"/>
      <c r="M825" s="105"/>
      <c r="N825" s="105"/>
      <c r="O825" s="105"/>
      <c r="P825" s="105"/>
      <c r="Q825" s="105"/>
      <c r="R825" s="105"/>
      <c r="S825" s="105"/>
      <c r="T825" s="105"/>
      <c r="U825" s="105"/>
      <c r="V825" s="105"/>
      <c r="W825" s="105"/>
      <c r="X825" s="105"/>
      <c r="Y825" s="105"/>
      <c r="Z825" s="105"/>
    </row>
    <row r="826">
      <c r="A826" s="105"/>
      <c r="B826" s="105"/>
      <c r="C826" s="105"/>
      <c r="D826" s="105"/>
      <c r="E826" s="105"/>
      <c r="F826" s="105"/>
      <c r="G826" s="105"/>
      <c r="H826" s="105"/>
      <c r="I826" s="105"/>
      <c r="J826" s="105"/>
      <c r="K826" s="105"/>
      <c r="L826" s="105"/>
      <c r="M826" s="105"/>
      <c r="N826" s="105"/>
      <c r="O826" s="105"/>
      <c r="P826" s="105"/>
      <c r="Q826" s="105"/>
      <c r="R826" s="105"/>
      <c r="S826" s="105"/>
      <c r="T826" s="105"/>
      <c r="U826" s="105"/>
      <c r="V826" s="105"/>
      <c r="W826" s="105"/>
      <c r="X826" s="105"/>
      <c r="Y826" s="105"/>
      <c r="Z826" s="105"/>
    </row>
    <row r="827">
      <c r="A827" s="105"/>
      <c r="B827" s="105"/>
      <c r="C827" s="105"/>
      <c r="D827" s="105"/>
      <c r="E827" s="105"/>
      <c r="F827" s="105"/>
      <c r="G827" s="105"/>
      <c r="H827" s="105"/>
      <c r="I827" s="105"/>
      <c r="J827" s="105"/>
      <c r="K827" s="105"/>
      <c r="L827" s="105"/>
      <c r="M827" s="105"/>
      <c r="N827" s="105"/>
      <c r="O827" s="105"/>
      <c r="P827" s="105"/>
      <c r="Q827" s="105"/>
      <c r="R827" s="105"/>
      <c r="S827" s="105"/>
      <c r="T827" s="105"/>
      <c r="U827" s="105"/>
      <c r="V827" s="105"/>
      <c r="W827" s="105"/>
      <c r="X827" s="105"/>
      <c r="Y827" s="105"/>
      <c r="Z827" s="105"/>
    </row>
    <row r="828">
      <c r="A828" s="105"/>
      <c r="B828" s="105"/>
      <c r="C828" s="105"/>
      <c r="D828" s="105"/>
      <c r="E828" s="105"/>
      <c r="F828" s="105"/>
      <c r="G828" s="105"/>
      <c r="H828" s="105"/>
      <c r="I828" s="105"/>
      <c r="J828" s="105"/>
      <c r="K828" s="105"/>
      <c r="L828" s="105"/>
      <c r="M828" s="105"/>
      <c r="N828" s="105"/>
      <c r="O828" s="105"/>
      <c r="P828" s="105"/>
      <c r="Q828" s="105"/>
      <c r="R828" s="105"/>
      <c r="S828" s="105"/>
      <c r="T828" s="105"/>
      <c r="U828" s="105"/>
      <c r="V828" s="105"/>
      <c r="W828" s="105"/>
      <c r="X828" s="105"/>
      <c r="Y828" s="105"/>
      <c r="Z828" s="105"/>
    </row>
    <row r="829">
      <c r="A829" s="105"/>
      <c r="B829" s="105"/>
      <c r="C829" s="105"/>
      <c r="D829" s="105"/>
      <c r="E829" s="105"/>
      <c r="F829" s="105"/>
      <c r="G829" s="105"/>
      <c r="H829" s="105"/>
      <c r="I829" s="105"/>
      <c r="J829" s="105"/>
      <c r="K829" s="105"/>
      <c r="L829" s="105"/>
      <c r="M829" s="105"/>
      <c r="N829" s="105"/>
      <c r="O829" s="105"/>
      <c r="P829" s="105"/>
      <c r="Q829" s="105"/>
      <c r="R829" s="105"/>
      <c r="S829" s="105"/>
      <c r="T829" s="105"/>
      <c r="U829" s="105"/>
      <c r="V829" s="105"/>
      <c r="W829" s="105"/>
      <c r="X829" s="105"/>
      <c r="Y829" s="105"/>
      <c r="Z829" s="105"/>
    </row>
    <row r="830">
      <c r="A830" s="105"/>
      <c r="B830" s="105"/>
      <c r="C830" s="105"/>
      <c r="D830" s="105"/>
      <c r="E830" s="105"/>
      <c r="F830" s="105"/>
      <c r="G830" s="105"/>
      <c r="H830" s="105"/>
      <c r="I830" s="105"/>
      <c r="J830" s="105"/>
      <c r="K830" s="105"/>
      <c r="L830" s="105"/>
      <c r="M830" s="105"/>
      <c r="N830" s="105"/>
      <c r="O830" s="105"/>
      <c r="P830" s="105"/>
      <c r="Q830" s="105"/>
      <c r="R830" s="105"/>
      <c r="S830" s="105"/>
      <c r="T830" s="105"/>
      <c r="U830" s="105"/>
      <c r="V830" s="105"/>
      <c r="W830" s="105"/>
      <c r="X830" s="105"/>
      <c r="Y830" s="105"/>
      <c r="Z830" s="105"/>
    </row>
    <row r="831">
      <c r="A831" s="105"/>
      <c r="B831" s="105"/>
      <c r="C831" s="105"/>
      <c r="D831" s="105"/>
      <c r="E831" s="105"/>
      <c r="F831" s="105"/>
      <c r="G831" s="105"/>
      <c r="H831" s="105"/>
      <c r="I831" s="105"/>
      <c r="J831" s="105"/>
      <c r="K831" s="105"/>
      <c r="L831" s="105"/>
      <c r="M831" s="105"/>
      <c r="N831" s="105"/>
      <c r="O831" s="105"/>
      <c r="P831" s="105"/>
      <c r="Q831" s="105"/>
      <c r="R831" s="105"/>
      <c r="S831" s="105"/>
      <c r="T831" s="105"/>
      <c r="U831" s="105"/>
      <c r="V831" s="105"/>
      <c r="W831" s="105"/>
      <c r="X831" s="105"/>
      <c r="Y831" s="105"/>
      <c r="Z831" s="105"/>
    </row>
    <row r="832">
      <c r="A832" s="105"/>
      <c r="B832" s="105"/>
      <c r="C832" s="105"/>
      <c r="D832" s="105"/>
      <c r="E832" s="105"/>
      <c r="F832" s="105"/>
      <c r="G832" s="105"/>
      <c r="H832" s="105"/>
      <c r="I832" s="105"/>
      <c r="J832" s="105"/>
      <c r="K832" s="105"/>
      <c r="L832" s="105"/>
      <c r="M832" s="105"/>
      <c r="N832" s="105"/>
      <c r="O832" s="105"/>
      <c r="P832" s="105"/>
      <c r="Q832" s="105"/>
      <c r="R832" s="105"/>
      <c r="S832" s="105"/>
      <c r="T832" s="105"/>
      <c r="U832" s="105"/>
      <c r="V832" s="105"/>
      <c r="W832" s="105"/>
      <c r="X832" s="105"/>
      <c r="Y832" s="105"/>
      <c r="Z832" s="105"/>
    </row>
    <row r="833">
      <c r="A833" s="105"/>
      <c r="B833" s="105"/>
      <c r="C833" s="105"/>
      <c r="D833" s="105"/>
      <c r="E833" s="105"/>
      <c r="F833" s="105"/>
      <c r="G833" s="105"/>
      <c r="H833" s="105"/>
      <c r="I833" s="105"/>
      <c r="J833" s="105"/>
      <c r="K833" s="105"/>
      <c r="L833" s="105"/>
      <c r="M833" s="105"/>
      <c r="N833" s="105"/>
      <c r="O833" s="105"/>
      <c r="P833" s="105"/>
      <c r="Q833" s="105"/>
      <c r="R833" s="105"/>
      <c r="S833" s="105"/>
      <c r="T833" s="105"/>
      <c r="U833" s="105"/>
      <c r="V833" s="105"/>
      <c r="W833" s="105"/>
      <c r="X833" s="105"/>
      <c r="Y833" s="105"/>
      <c r="Z833" s="105"/>
    </row>
    <row r="834">
      <c r="A834" s="105"/>
      <c r="B834" s="105"/>
      <c r="C834" s="105"/>
      <c r="D834" s="105"/>
      <c r="E834" s="105"/>
      <c r="F834" s="105"/>
      <c r="G834" s="105"/>
      <c r="H834" s="105"/>
      <c r="I834" s="105"/>
      <c r="J834" s="105"/>
      <c r="K834" s="105"/>
      <c r="L834" s="105"/>
      <c r="M834" s="105"/>
      <c r="N834" s="105"/>
      <c r="O834" s="105"/>
      <c r="P834" s="105"/>
      <c r="Q834" s="105"/>
      <c r="R834" s="105"/>
      <c r="S834" s="105"/>
      <c r="T834" s="105"/>
      <c r="U834" s="105"/>
      <c r="V834" s="105"/>
      <c r="W834" s="105"/>
      <c r="X834" s="105"/>
      <c r="Y834" s="105"/>
      <c r="Z834" s="105"/>
    </row>
    <row r="835">
      <c r="A835" s="105"/>
      <c r="B835" s="105"/>
      <c r="C835" s="105"/>
      <c r="D835" s="105"/>
      <c r="E835" s="105"/>
      <c r="F835" s="105"/>
      <c r="G835" s="105"/>
      <c r="H835" s="105"/>
      <c r="I835" s="105"/>
      <c r="J835" s="105"/>
      <c r="K835" s="105"/>
      <c r="L835" s="105"/>
      <c r="M835" s="105"/>
      <c r="N835" s="105"/>
      <c r="O835" s="105"/>
      <c r="P835" s="105"/>
      <c r="Q835" s="105"/>
      <c r="R835" s="105"/>
      <c r="S835" s="105"/>
      <c r="T835" s="105"/>
      <c r="U835" s="105"/>
      <c r="V835" s="105"/>
      <c r="W835" s="105"/>
      <c r="X835" s="105"/>
      <c r="Y835" s="105"/>
      <c r="Z835" s="105"/>
    </row>
    <row r="836">
      <c r="A836" s="105"/>
      <c r="B836" s="105"/>
      <c r="C836" s="105"/>
      <c r="D836" s="105"/>
      <c r="E836" s="105"/>
      <c r="F836" s="105"/>
      <c r="G836" s="105"/>
      <c r="H836" s="105"/>
      <c r="I836" s="105"/>
      <c r="J836" s="105"/>
      <c r="K836" s="105"/>
      <c r="L836" s="105"/>
      <c r="M836" s="105"/>
      <c r="N836" s="105"/>
      <c r="O836" s="105"/>
      <c r="P836" s="105"/>
      <c r="Q836" s="105"/>
      <c r="R836" s="105"/>
      <c r="S836" s="105"/>
      <c r="T836" s="105"/>
      <c r="U836" s="105"/>
      <c r="V836" s="105"/>
      <c r="W836" s="105"/>
      <c r="X836" s="105"/>
      <c r="Y836" s="105"/>
      <c r="Z836" s="105"/>
    </row>
    <row r="837">
      <c r="A837" s="105"/>
      <c r="B837" s="105"/>
      <c r="C837" s="105"/>
      <c r="D837" s="105"/>
      <c r="E837" s="105"/>
      <c r="F837" s="105"/>
      <c r="G837" s="105"/>
      <c r="H837" s="105"/>
      <c r="I837" s="105"/>
      <c r="J837" s="105"/>
      <c r="K837" s="105"/>
      <c r="L837" s="105"/>
      <c r="M837" s="105"/>
      <c r="N837" s="105"/>
      <c r="O837" s="105"/>
      <c r="P837" s="105"/>
      <c r="Q837" s="105"/>
      <c r="R837" s="105"/>
      <c r="S837" s="105"/>
      <c r="T837" s="105"/>
      <c r="U837" s="105"/>
      <c r="V837" s="105"/>
      <c r="W837" s="105"/>
      <c r="X837" s="105"/>
      <c r="Y837" s="105"/>
      <c r="Z837" s="105"/>
    </row>
    <row r="838">
      <c r="A838" s="105"/>
      <c r="B838" s="105"/>
      <c r="C838" s="105"/>
      <c r="D838" s="105"/>
      <c r="E838" s="105"/>
      <c r="F838" s="105"/>
      <c r="G838" s="105"/>
      <c r="H838" s="105"/>
      <c r="I838" s="105"/>
      <c r="J838" s="105"/>
      <c r="K838" s="105"/>
      <c r="L838" s="105"/>
      <c r="M838" s="105"/>
      <c r="N838" s="105"/>
      <c r="O838" s="105"/>
      <c r="P838" s="105"/>
      <c r="Q838" s="105"/>
      <c r="R838" s="105"/>
      <c r="S838" s="105"/>
      <c r="T838" s="105"/>
      <c r="U838" s="105"/>
      <c r="V838" s="105"/>
      <c r="W838" s="105"/>
      <c r="X838" s="105"/>
      <c r="Y838" s="105"/>
      <c r="Z838" s="105"/>
    </row>
    <row r="839">
      <c r="A839" s="105"/>
      <c r="B839" s="105"/>
      <c r="C839" s="105"/>
      <c r="D839" s="105"/>
      <c r="E839" s="105"/>
      <c r="F839" s="105"/>
      <c r="G839" s="105"/>
      <c r="H839" s="105"/>
      <c r="I839" s="105"/>
      <c r="J839" s="105"/>
      <c r="K839" s="105"/>
      <c r="L839" s="105"/>
      <c r="M839" s="105"/>
      <c r="N839" s="105"/>
      <c r="O839" s="105"/>
      <c r="P839" s="105"/>
      <c r="Q839" s="105"/>
      <c r="R839" s="105"/>
      <c r="S839" s="105"/>
      <c r="T839" s="105"/>
      <c r="U839" s="105"/>
      <c r="V839" s="105"/>
      <c r="W839" s="105"/>
      <c r="X839" s="105"/>
      <c r="Y839" s="105"/>
      <c r="Z839" s="105"/>
    </row>
    <row r="840">
      <c r="A840" s="105"/>
      <c r="B840" s="105"/>
      <c r="C840" s="105"/>
      <c r="D840" s="105"/>
      <c r="E840" s="105"/>
      <c r="F840" s="105"/>
      <c r="G840" s="105"/>
      <c r="H840" s="105"/>
      <c r="I840" s="105"/>
      <c r="J840" s="105"/>
      <c r="K840" s="105"/>
      <c r="L840" s="105"/>
      <c r="M840" s="105"/>
      <c r="N840" s="105"/>
      <c r="O840" s="105"/>
      <c r="P840" s="105"/>
      <c r="Q840" s="105"/>
      <c r="R840" s="105"/>
      <c r="S840" s="105"/>
      <c r="T840" s="105"/>
      <c r="U840" s="105"/>
      <c r="V840" s="105"/>
      <c r="W840" s="105"/>
      <c r="X840" s="105"/>
      <c r="Y840" s="105"/>
      <c r="Z840" s="105"/>
    </row>
    <row r="841">
      <c r="A841" s="105"/>
      <c r="B841" s="105"/>
      <c r="C841" s="105"/>
      <c r="D841" s="105"/>
      <c r="E841" s="105"/>
      <c r="F841" s="105"/>
      <c r="G841" s="105"/>
      <c r="H841" s="105"/>
      <c r="I841" s="105"/>
      <c r="J841" s="105"/>
      <c r="K841" s="105"/>
      <c r="L841" s="105"/>
      <c r="M841" s="105"/>
      <c r="N841" s="105"/>
      <c r="O841" s="105"/>
      <c r="P841" s="105"/>
      <c r="Q841" s="105"/>
      <c r="R841" s="105"/>
      <c r="S841" s="105"/>
      <c r="T841" s="105"/>
      <c r="U841" s="105"/>
      <c r="V841" s="105"/>
      <c r="W841" s="105"/>
      <c r="X841" s="105"/>
      <c r="Y841" s="105"/>
      <c r="Z841" s="105"/>
    </row>
    <row r="842">
      <c r="A842" s="105"/>
      <c r="B842" s="105"/>
      <c r="C842" s="105"/>
      <c r="D842" s="105"/>
      <c r="E842" s="105"/>
      <c r="F842" s="105"/>
      <c r="G842" s="105"/>
      <c r="H842" s="105"/>
      <c r="I842" s="105"/>
      <c r="J842" s="105"/>
      <c r="K842" s="105"/>
      <c r="L842" s="105"/>
      <c r="M842" s="105"/>
      <c r="N842" s="105"/>
      <c r="O842" s="105"/>
      <c r="P842" s="105"/>
      <c r="Q842" s="105"/>
      <c r="R842" s="105"/>
      <c r="S842" s="105"/>
      <c r="T842" s="105"/>
      <c r="U842" s="105"/>
      <c r="V842" s="105"/>
      <c r="W842" s="105"/>
      <c r="X842" s="105"/>
      <c r="Y842" s="105"/>
      <c r="Z842" s="105"/>
    </row>
    <row r="843">
      <c r="A843" s="105"/>
      <c r="B843" s="105"/>
      <c r="C843" s="105"/>
      <c r="D843" s="105"/>
      <c r="E843" s="105"/>
      <c r="F843" s="105"/>
      <c r="G843" s="105"/>
      <c r="H843" s="105"/>
      <c r="I843" s="105"/>
      <c r="J843" s="105"/>
      <c r="K843" s="105"/>
      <c r="L843" s="105"/>
      <c r="M843" s="105"/>
      <c r="N843" s="105"/>
      <c r="O843" s="105"/>
      <c r="P843" s="105"/>
      <c r="Q843" s="105"/>
      <c r="R843" s="105"/>
      <c r="S843" s="105"/>
      <c r="T843" s="105"/>
      <c r="U843" s="105"/>
      <c r="V843" s="105"/>
      <c r="W843" s="105"/>
      <c r="X843" s="105"/>
      <c r="Y843" s="105"/>
      <c r="Z843" s="105"/>
    </row>
    <row r="844">
      <c r="A844" s="105"/>
      <c r="B844" s="105"/>
      <c r="C844" s="105"/>
      <c r="D844" s="105"/>
      <c r="E844" s="105"/>
      <c r="F844" s="105"/>
      <c r="G844" s="105"/>
      <c r="H844" s="105"/>
      <c r="I844" s="105"/>
      <c r="J844" s="105"/>
      <c r="K844" s="105"/>
      <c r="L844" s="105"/>
      <c r="M844" s="105"/>
      <c r="N844" s="105"/>
      <c r="O844" s="105"/>
      <c r="P844" s="105"/>
      <c r="Q844" s="105"/>
      <c r="R844" s="105"/>
      <c r="S844" s="105"/>
      <c r="T844" s="105"/>
      <c r="U844" s="105"/>
      <c r="V844" s="105"/>
      <c r="W844" s="105"/>
      <c r="X844" s="105"/>
      <c r="Y844" s="105"/>
      <c r="Z844" s="105"/>
    </row>
    <row r="845">
      <c r="A845" s="105"/>
      <c r="B845" s="105"/>
      <c r="C845" s="105"/>
      <c r="D845" s="105"/>
      <c r="E845" s="105"/>
      <c r="F845" s="105"/>
      <c r="G845" s="105"/>
      <c r="H845" s="105"/>
      <c r="I845" s="105"/>
      <c r="J845" s="105"/>
      <c r="K845" s="105"/>
      <c r="L845" s="105"/>
      <c r="M845" s="105"/>
      <c r="N845" s="105"/>
      <c r="O845" s="105"/>
      <c r="P845" s="105"/>
      <c r="Q845" s="105"/>
      <c r="R845" s="105"/>
      <c r="S845" s="105"/>
      <c r="T845" s="105"/>
      <c r="U845" s="105"/>
      <c r="V845" s="105"/>
      <c r="W845" s="105"/>
      <c r="X845" s="105"/>
      <c r="Y845" s="105"/>
      <c r="Z845" s="105"/>
    </row>
    <row r="846">
      <c r="A846" s="105"/>
      <c r="B846" s="105"/>
      <c r="C846" s="105"/>
      <c r="D846" s="105"/>
      <c r="E846" s="105"/>
      <c r="F846" s="105"/>
      <c r="G846" s="105"/>
      <c r="H846" s="105"/>
      <c r="I846" s="105"/>
      <c r="J846" s="105"/>
      <c r="K846" s="105"/>
      <c r="L846" s="105"/>
      <c r="M846" s="105"/>
      <c r="N846" s="105"/>
      <c r="O846" s="105"/>
      <c r="P846" s="105"/>
      <c r="Q846" s="105"/>
      <c r="R846" s="105"/>
      <c r="S846" s="105"/>
      <c r="T846" s="105"/>
      <c r="U846" s="105"/>
      <c r="V846" s="105"/>
      <c r="W846" s="105"/>
      <c r="X846" s="105"/>
      <c r="Y846" s="105"/>
      <c r="Z846" s="105"/>
    </row>
    <row r="847">
      <c r="A847" s="105"/>
      <c r="B847" s="105"/>
      <c r="C847" s="105"/>
      <c r="D847" s="105"/>
      <c r="E847" s="105"/>
      <c r="F847" s="105"/>
      <c r="G847" s="105"/>
      <c r="H847" s="105"/>
      <c r="I847" s="105"/>
      <c r="J847" s="105"/>
      <c r="K847" s="105"/>
      <c r="L847" s="105"/>
      <c r="M847" s="105"/>
      <c r="N847" s="105"/>
      <c r="O847" s="105"/>
      <c r="P847" s="105"/>
      <c r="Q847" s="105"/>
      <c r="R847" s="105"/>
      <c r="S847" s="105"/>
      <c r="T847" s="105"/>
      <c r="U847" s="105"/>
      <c r="V847" s="105"/>
      <c r="W847" s="105"/>
      <c r="X847" s="105"/>
      <c r="Y847" s="105"/>
      <c r="Z847" s="105"/>
    </row>
    <row r="848">
      <c r="A848" s="105"/>
      <c r="B848" s="105"/>
      <c r="C848" s="105"/>
      <c r="D848" s="105"/>
      <c r="E848" s="105"/>
      <c r="F848" s="105"/>
      <c r="G848" s="105"/>
      <c r="H848" s="105"/>
      <c r="I848" s="105"/>
      <c r="J848" s="105"/>
      <c r="K848" s="105"/>
      <c r="L848" s="105"/>
      <c r="M848" s="105"/>
      <c r="N848" s="105"/>
      <c r="O848" s="105"/>
      <c r="P848" s="105"/>
      <c r="Q848" s="105"/>
      <c r="R848" s="105"/>
      <c r="S848" s="105"/>
      <c r="T848" s="105"/>
      <c r="U848" s="105"/>
      <c r="V848" s="105"/>
      <c r="W848" s="105"/>
      <c r="X848" s="105"/>
      <c r="Y848" s="105"/>
      <c r="Z848" s="105"/>
    </row>
    <row r="849">
      <c r="A849" s="105"/>
      <c r="B849" s="105"/>
      <c r="C849" s="105"/>
      <c r="D849" s="105"/>
      <c r="E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row>
    <row r="850">
      <c r="A850" s="105"/>
      <c r="B850" s="105"/>
      <c r="C850" s="105"/>
      <c r="D850" s="105"/>
      <c r="E850" s="105"/>
      <c r="F850" s="105"/>
      <c r="G850" s="105"/>
      <c r="H850" s="105"/>
      <c r="I850" s="105"/>
      <c r="J850" s="105"/>
      <c r="K850" s="105"/>
      <c r="L850" s="105"/>
      <c r="M850" s="105"/>
      <c r="N850" s="105"/>
      <c r="O850" s="105"/>
      <c r="P850" s="105"/>
      <c r="Q850" s="105"/>
      <c r="R850" s="105"/>
      <c r="S850" s="105"/>
      <c r="T850" s="105"/>
      <c r="U850" s="105"/>
      <c r="V850" s="105"/>
      <c r="W850" s="105"/>
      <c r="X850" s="105"/>
      <c r="Y850" s="105"/>
      <c r="Z850" s="105"/>
    </row>
    <row r="851">
      <c r="A851" s="105"/>
      <c r="B851" s="105"/>
      <c r="C851" s="105"/>
      <c r="D851" s="105"/>
      <c r="E851" s="105"/>
      <c r="F851" s="105"/>
      <c r="G851" s="105"/>
      <c r="H851" s="105"/>
      <c r="I851" s="105"/>
      <c r="J851" s="105"/>
      <c r="K851" s="105"/>
      <c r="L851" s="105"/>
      <c r="M851" s="105"/>
      <c r="N851" s="105"/>
      <c r="O851" s="105"/>
      <c r="P851" s="105"/>
      <c r="Q851" s="105"/>
      <c r="R851" s="105"/>
      <c r="S851" s="105"/>
      <c r="T851" s="105"/>
      <c r="U851" s="105"/>
      <c r="V851" s="105"/>
      <c r="W851" s="105"/>
      <c r="X851" s="105"/>
      <c r="Y851" s="105"/>
      <c r="Z851" s="105"/>
    </row>
    <row r="852">
      <c r="A852" s="105"/>
      <c r="B852" s="105"/>
      <c r="C852" s="105"/>
      <c r="D852" s="105"/>
      <c r="E852" s="105"/>
      <c r="F852" s="105"/>
      <c r="G852" s="105"/>
      <c r="H852" s="105"/>
      <c r="I852" s="105"/>
      <c r="J852" s="105"/>
      <c r="K852" s="105"/>
      <c r="L852" s="105"/>
      <c r="M852" s="105"/>
      <c r="N852" s="105"/>
      <c r="O852" s="105"/>
      <c r="P852" s="105"/>
      <c r="Q852" s="105"/>
      <c r="R852" s="105"/>
      <c r="S852" s="105"/>
      <c r="T852" s="105"/>
      <c r="U852" s="105"/>
      <c r="V852" s="105"/>
      <c r="W852" s="105"/>
      <c r="X852" s="105"/>
      <c r="Y852" s="105"/>
      <c r="Z852" s="105"/>
    </row>
    <row r="853">
      <c r="A853" s="105"/>
      <c r="B853" s="105"/>
      <c r="C853" s="105"/>
      <c r="D853" s="105"/>
      <c r="E853" s="105"/>
      <c r="F853" s="105"/>
      <c r="G853" s="105"/>
      <c r="H853" s="105"/>
      <c r="I853" s="105"/>
      <c r="J853" s="105"/>
      <c r="K853" s="105"/>
      <c r="L853" s="105"/>
      <c r="M853" s="105"/>
      <c r="N853" s="105"/>
      <c r="O853" s="105"/>
      <c r="P853" s="105"/>
      <c r="Q853" s="105"/>
      <c r="R853" s="105"/>
      <c r="S853" s="105"/>
      <c r="T853" s="105"/>
      <c r="U853" s="105"/>
      <c r="V853" s="105"/>
      <c r="W853" s="105"/>
      <c r="X853" s="105"/>
      <c r="Y853" s="105"/>
      <c r="Z853" s="105"/>
    </row>
    <row r="854">
      <c r="A854" s="105"/>
      <c r="B854" s="105"/>
      <c r="C854" s="105"/>
      <c r="D854" s="105"/>
      <c r="E854" s="105"/>
      <c r="F854" s="105"/>
      <c r="G854" s="105"/>
      <c r="H854" s="105"/>
      <c r="I854" s="105"/>
      <c r="J854" s="105"/>
      <c r="K854" s="105"/>
      <c r="L854" s="105"/>
      <c r="M854" s="105"/>
      <c r="N854" s="105"/>
      <c r="O854" s="105"/>
      <c r="P854" s="105"/>
      <c r="Q854" s="105"/>
      <c r="R854" s="105"/>
      <c r="S854" s="105"/>
      <c r="T854" s="105"/>
      <c r="U854" s="105"/>
      <c r="V854" s="105"/>
      <c r="W854" s="105"/>
      <c r="X854" s="105"/>
      <c r="Y854" s="105"/>
      <c r="Z854" s="105"/>
    </row>
    <row r="855">
      <c r="A855" s="105"/>
      <c r="B855" s="105"/>
      <c r="C855" s="105"/>
      <c r="D855" s="105"/>
      <c r="E855" s="105"/>
      <c r="F855" s="105"/>
      <c r="G855" s="105"/>
      <c r="H855" s="105"/>
      <c r="I855" s="105"/>
      <c r="J855" s="105"/>
      <c r="K855" s="105"/>
      <c r="L855" s="105"/>
      <c r="M855" s="105"/>
      <c r="N855" s="105"/>
      <c r="O855" s="105"/>
      <c r="P855" s="105"/>
      <c r="Q855" s="105"/>
      <c r="R855" s="105"/>
      <c r="S855" s="105"/>
      <c r="T855" s="105"/>
      <c r="U855" s="105"/>
      <c r="V855" s="105"/>
      <c r="W855" s="105"/>
      <c r="X855" s="105"/>
      <c r="Y855" s="105"/>
      <c r="Z855" s="105"/>
    </row>
    <row r="856">
      <c r="A856" s="105"/>
      <c r="B856" s="105"/>
      <c r="C856" s="105"/>
      <c r="D856" s="105"/>
      <c r="E856" s="105"/>
      <c r="F856" s="105"/>
      <c r="G856" s="105"/>
      <c r="H856" s="105"/>
      <c r="I856" s="105"/>
      <c r="J856" s="105"/>
      <c r="K856" s="105"/>
      <c r="L856" s="105"/>
      <c r="M856" s="105"/>
      <c r="N856" s="105"/>
      <c r="O856" s="105"/>
      <c r="P856" s="105"/>
      <c r="Q856" s="105"/>
      <c r="R856" s="105"/>
      <c r="S856" s="105"/>
      <c r="T856" s="105"/>
      <c r="U856" s="105"/>
      <c r="V856" s="105"/>
      <c r="W856" s="105"/>
      <c r="X856" s="105"/>
      <c r="Y856" s="105"/>
      <c r="Z856" s="105"/>
    </row>
    <row r="857">
      <c r="A857" s="105"/>
      <c r="B857" s="105"/>
      <c r="C857" s="105"/>
      <c r="D857" s="105"/>
      <c r="E857" s="105"/>
      <c r="F857" s="105"/>
      <c r="G857" s="105"/>
      <c r="H857" s="105"/>
      <c r="I857" s="105"/>
      <c r="J857" s="105"/>
      <c r="K857" s="105"/>
      <c r="L857" s="105"/>
      <c r="M857" s="105"/>
      <c r="N857" s="105"/>
      <c r="O857" s="105"/>
      <c r="P857" s="105"/>
      <c r="Q857" s="105"/>
      <c r="R857" s="105"/>
      <c r="S857" s="105"/>
      <c r="T857" s="105"/>
      <c r="U857" s="105"/>
      <c r="V857" s="105"/>
      <c r="W857" s="105"/>
      <c r="X857" s="105"/>
      <c r="Y857" s="105"/>
      <c r="Z857" s="105"/>
    </row>
    <row r="858">
      <c r="A858" s="105"/>
      <c r="B858" s="105"/>
      <c r="C858" s="105"/>
      <c r="D858" s="105"/>
      <c r="E858" s="105"/>
      <c r="F858" s="105"/>
      <c r="G858" s="105"/>
      <c r="H858" s="105"/>
      <c r="I858" s="105"/>
      <c r="J858" s="105"/>
      <c r="K858" s="105"/>
      <c r="L858" s="105"/>
      <c r="M858" s="105"/>
      <c r="N858" s="105"/>
      <c r="O858" s="105"/>
      <c r="P858" s="105"/>
      <c r="Q858" s="105"/>
      <c r="R858" s="105"/>
      <c r="S858" s="105"/>
      <c r="T858" s="105"/>
      <c r="U858" s="105"/>
      <c r="V858" s="105"/>
      <c r="W858" s="105"/>
      <c r="X858" s="105"/>
      <c r="Y858" s="105"/>
      <c r="Z858" s="105"/>
    </row>
    <row r="859">
      <c r="A859" s="105"/>
      <c r="B859" s="105"/>
      <c r="C859" s="105"/>
      <c r="D859" s="105"/>
      <c r="E859" s="105"/>
      <c r="F859" s="105"/>
      <c r="G859" s="105"/>
      <c r="H859" s="105"/>
      <c r="I859" s="105"/>
      <c r="J859" s="105"/>
      <c r="K859" s="105"/>
      <c r="L859" s="105"/>
      <c r="M859" s="105"/>
      <c r="N859" s="105"/>
      <c r="O859" s="105"/>
      <c r="P859" s="105"/>
      <c r="Q859" s="105"/>
      <c r="R859" s="105"/>
      <c r="S859" s="105"/>
      <c r="T859" s="105"/>
      <c r="U859" s="105"/>
      <c r="V859" s="105"/>
      <c r="W859" s="105"/>
      <c r="X859" s="105"/>
      <c r="Y859" s="105"/>
      <c r="Z859" s="105"/>
    </row>
    <row r="860">
      <c r="A860" s="105"/>
      <c r="B860" s="105"/>
      <c r="C860" s="105"/>
      <c r="D860" s="105"/>
      <c r="E860" s="105"/>
      <c r="F860" s="105"/>
      <c r="G860" s="105"/>
      <c r="H860" s="105"/>
      <c r="I860" s="105"/>
      <c r="J860" s="105"/>
      <c r="K860" s="105"/>
      <c r="L860" s="105"/>
      <c r="M860" s="105"/>
      <c r="N860" s="105"/>
      <c r="O860" s="105"/>
      <c r="P860" s="105"/>
      <c r="Q860" s="105"/>
      <c r="R860" s="105"/>
      <c r="S860" s="105"/>
      <c r="T860" s="105"/>
      <c r="U860" s="105"/>
      <c r="V860" s="105"/>
      <c r="W860" s="105"/>
      <c r="X860" s="105"/>
      <c r="Y860" s="105"/>
      <c r="Z860" s="105"/>
    </row>
    <row r="861">
      <c r="A861" s="105"/>
      <c r="B861" s="105"/>
      <c r="C861" s="105"/>
      <c r="D861" s="105"/>
      <c r="E861" s="105"/>
      <c r="F861" s="105"/>
      <c r="G861" s="105"/>
      <c r="H861" s="105"/>
      <c r="I861" s="105"/>
      <c r="J861" s="105"/>
      <c r="K861" s="105"/>
      <c r="L861" s="105"/>
      <c r="M861" s="105"/>
      <c r="N861" s="105"/>
      <c r="O861" s="105"/>
      <c r="P861" s="105"/>
      <c r="Q861" s="105"/>
      <c r="R861" s="105"/>
      <c r="S861" s="105"/>
      <c r="T861" s="105"/>
      <c r="U861" s="105"/>
      <c r="V861" s="105"/>
      <c r="W861" s="105"/>
      <c r="X861" s="105"/>
      <c r="Y861" s="105"/>
      <c r="Z861" s="105"/>
    </row>
    <row r="862">
      <c r="A862" s="105"/>
      <c r="B862" s="105"/>
      <c r="C862" s="105"/>
      <c r="D862" s="105"/>
      <c r="E862" s="105"/>
      <c r="F862" s="105"/>
      <c r="G862" s="105"/>
      <c r="H862" s="105"/>
      <c r="I862" s="105"/>
      <c r="J862" s="105"/>
      <c r="K862" s="105"/>
      <c r="L862" s="105"/>
      <c r="M862" s="105"/>
      <c r="N862" s="105"/>
      <c r="O862" s="105"/>
      <c r="P862" s="105"/>
      <c r="Q862" s="105"/>
      <c r="R862" s="105"/>
      <c r="S862" s="105"/>
      <c r="T862" s="105"/>
      <c r="U862" s="105"/>
      <c r="V862" s="105"/>
      <c r="W862" s="105"/>
      <c r="X862" s="105"/>
      <c r="Y862" s="105"/>
      <c r="Z862" s="105"/>
    </row>
    <row r="863">
      <c r="A863" s="105"/>
      <c r="B863" s="105"/>
      <c r="C863" s="105"/>
      <c r="D863" s="105"/>
      <c r="E863" s="105"/>
      <c r="F863" s="105"/>
      <c r="G863" s="105"/>
      <c r="H863" s="105"/>
      <c r="I863" s="105"/>
      <c r="J863" s="105"/>
      <c r="K863" s="105"/>
      <c r="L863" s="105"/>
      <c r="M863" s="105"/>
      <c r="N863" s="105"/>
      <c r="O863" s="105"/>
      <c r="P863" s="105"/>
      <c r="Q863" s="105"/>
      <c r="R863" s="105"/>
      <c r="S863" s="105"/>
      <c r="T863" s="105"/>
      <c r="U863" s="105"/>
      <c r="V863" s="105"/>
      <c r="W863" s="105"/>
      <c r="X863" s="105"/>
      <c r="Y863" s="105"/>
      <c r="Z863" s="105"/>
    </row>
    <row r="864">
      <c r="A864" s="105"/>
      <c r="B864" s="105"/>
      <c r="C864" s="105"/>
      <c r="D864" s="105"/>
      <c r="E864" s="105"/>
      <c r="F864" s="105"/>
      <c r="G864" s="105"/>
      <c r="H864" s="105"/>
      <c r="I864" s="105"/>
      <c r="J864" s="105"/>
      <c r="K864" s="105"/>
      <c r="L864" s="105"/>
      <c r="M864" s="105"/>
      <c r="N864" s="105"/>
      <c r="O864" s="105"/>
      <c r="P864" s="105"/>
      <c r="Q864" s="105"/>
      <c r="R864" s="105"/>
      <c r="S864" s="105"/>
      <c r="T864" s="105"/>
      <c r="U864" s="105"/>
      <c r="V864" s="105"/>
      <c r="W864" s="105"/>
      <c r="X864" s="105"/>
      <c r="Y864" s="105"/>
      <c r="Z864" s="105"/>
    </row>
    <row r="865">
      <c r="A865" s="105"/>
      <c r="B865" s="105"/>
      <c r="C865" s="105"/>
      <c r="D865" s="105"/>
      <c r="E865" s="105"/>
      <c r="F865" s="105"/>
      <c r="G865" s="105"/>
      <c r="H865" s="105"/>
      <c r="I865" s="105"/>
      <c r="J865" s="105"/>
      <c r="K865" s="105"/>
      <c r="L865" s="105"/>
      <c r="M865" s="105"/>
      <c r="N865" s="105"/>
      <c r="O865" s="105"/>
      <c r="P865" s="105"/>
      <c r="Q865" s="105"/>
      <c r="R865" s="105"/>
      <c r="S865" s="105"/>
      <c r="T865" s="105"/>
      <c r="U865" s="105"/>
      <c r="V865" s="105"/>
      <c r="W865" s="105"/>
      <c r="X865" s="105"/>
      <c r="Y865" s="105"/>
      <c r="Z865" s="105"/>
    </row>
    <row r="866">
      <c r="A866" s="105"/>
      <c r="B866" s="105"/>
      <c r="C866" s="105"/>
      <c r="D866" s="105"/>
      <c r="E866" s="105"/>
      <c r="F866" s="105"/>
      <c r="G866" s="105"/>
      <c r="H866" s="105"/>
      <c r="I866" s="105"/>
      <c r="J866" s="105"/>
      <c r="K866" s="105"/>
      <c r="L866" s="105"/>
      <c r="M866" s="105"/>
      <c r="N866" s="105"/>
      <c r="O866" s="105"/>
      <c r="P866" s="105"/>
      <c r="Q866" s="105"/>
      <c r="R866" s="105"/>
      <c r="S866" s="105"/>
      <c r="T866" s="105"/>
      <c r="U866" s="105"/>
      <c r="V866" s="105"/>
      <c r="W866" s="105"/>
      <c r="X866" s="105"/>
      <c r="Y866" s="105"/>
      <c r="Z866" s="105"/>
    </row>
    <row r="867">
      <c r="A867" s="105"/>
      <c r="B867" s="105"/>
      <c r="C867" s="105"/>
      <c r="D867" s="105"/>
      <c r="E867" s="105"/>
      <c r="F867" s="105"/>
      <c r="G867" s="105"/>
      <c r="H867" s="105"/>
      <c r="I867" s="105"/>
      <c r="J867" s="105"/>
      <c r="K867" s="105"/>
      <c r="L867" s="105"/>
      <c r="M867" s="105"/>
      <c r="N867" s="105"/>
      <c r="O867" s="105"/>
      <c r="P867" s="105"/>
      <c r="Q867" s="105"/>
      <c r="R867" s="105"/>
      <c r="S867" s="105"/>
      <c r="T867" s="105"/>
      <c r="U867" s="105"/>
      <c r="V867" s="105"/>
      <c r="W867" s="105"/>
      <c r="X867" s="105"/>
      <c r="Y867" s="105"/>
      <c r="Z867" s="105"/>
    </row>
    <row r="868">
      <c r="A868" s="105"/>
      <c r="B868" s="105"/>
      <c r="C868" s="105"/>
      <c r="D868" s="105"/>
      <c r="E868" s="105"/>
      <c r="F868" s="105"/>
      <c r="G868" s="105"/>
      <c r="H868" s="105"/>
      <c r="I868" s="105"/>
      <c r="J868" s="105"/>
      <c r="K868" s="105"/>
      <c r="L868" s="105"/>
      <c r="M868" s="105"/>
      <c r="N868" s="105"/>
      <c r="O868" s="105"/>
      <c r="P868" s="105"/>
      <c r="Q868" s="105"/>
      <c r="R868" s="105"/>
      <c r="S868" s="105"/>
      <c r="T868" s="105"/>
      <c r="U868" s="105"/>
      <c r="V868" s="105"/>
      <c r="W868" s="105"/>
      <c r="X868" s="105"/>
      <c r="Y868" s="105"/>
      <c r="Z868" s="105"/>
    </row>
    <row r="869">
      <c r="A869" s="105"/>
      <c r="B869" s="105"/>
      <c r="C869" s="105"/>
      <c r="D869" s="105"/>
      <c r="E869" s="105"/>
      <c r="F869" s="105"/>
      <c r="G869" s="105"/>
      <c r="H869" s="105"/>
      <c r="I869" s="105"/>
      <c r="J869" s="105"/>
      <c r="K869" s="105"/>
      <c r="L869" s="105"/>
      <c r="M869" s="105"/>
      <c r="N869" s="105"/>
      <c r="O869" s="105"/>
      <c r="P869" s="105"/>
      <c r="Q869" s="105"/>
      <c r="R869" s="105"/>
      <c r="S869" s="105"/>
      <c r="T869" s="105"/>
      <c r="U869" s="105"/>
      <c r="V869" s="105"/>
      <c r="W869" s="105"/>
      <c r="X869" s="105"/>
      <c r="Y869" s="105"/>
      <c r="Z869" s="105"/>
    </row>
    <row r="870">
      <c r="A870" s="105"/>
      <c r="B870" s="105"/>
      <c r="C870" s="105"/>
      <c r="D870" s="105"/>
      <c r="E870" s="105"/>
      <c r="F870" s="105"/>
      <c r="G870" s="105"/>
      <c r="H870" s="105"/>
      <c r="I870" s="105"/>
      <c r="J870" s="105"/>
      <c r="K870" s="105"/>
      <c r="L870" s="105"/>
      <c r="M870" s="105"/>
      <c r="N870" s="105"/>
      <c r="O870" s="105"/>
      <c r="P870" s="105"/>
      <c r="Q870" s="105"/>
      <c r="R870" s="105"/>
      <c r="S870" s="105"/>
      <c r="T870" s="105"/>
      <c r="U870" s="105"/>
      <c r="V870" s="105"/>
      <c r="W870" s="105"/>
      <c r="X870" s="105"/>
      <c r="Y870" s="105"/>
      <c r="Z870" s="105"/>
    </row>
    <row r="871">
      <c r="A871" s="105"/>
      <c r="B871" s="105"/>
      <c r="C871" s="105"/>
      <c r="D871" s="105"/>
      <c r="E871" s="105"/>
      <c r="F871" s="105"/>
      <c r="G871" s="105"/>
      <c r="H871" s="105"/>
      <c r="I871" s="105"/>
      <c r="J871" s="105"/>
      <c r="K871" s="105"/>
      <c r="L871" s="105"/>
      <c r="M871" s="105"/>
      <c r="N871" s="105"/>
      <c r="O871" s="105"/>
      <c r="P871" s="105"/>
      <c r="Q871" s="105"/>
      <c r="R871" s="105"/>
      <c r="S871" s="105"/>
      <c r="T871" s="105"/>
      <c r="U871" s="105"/>
      <c r="V871" s="105"/>
      <c r="W871" s="105"/>
      <c r="X871" s="105"/>
      <c r="Y871" s="105"/>
      <c r="Z871" s="105"/>
    </row>
    <row r="872">
      <c r="A872" s="105"/>
      <c r="B872" s="105"/>
      <c r="C872" s="105"/>
      <c r="D872" s="105"/>
      <c r="E872" s="105"/>
      <c r="F872" s="105"/>
      <c r="G872" s="105"/>
      <c r="H872" s="105"/>
      <c r="I872" s="105"/>
      <c r="J872" s="105"/>
      <c r="K872" s="105"/>
      <c r="L872" s="105"/>
      <c r="M872" s="105"/>
      <c r="N872" s="105"/>
      <c r="O872" s="105"/>
      <c r="P872" s="105"/>
      <c r="Q872" s="105"/>
      <c r="R872" s="105"/>
      <c r="S872" s="105"/>
      <c r="T872" s="105"/>
      <c r="U872" s="105"/>
      <c r="V872" s="105"/>
      <c r="W872" s="105"/>
      <c r="X872" s="105"/>
      <c r="Y872" s="105"/>
      <c r="Z872" s="105"/>
    </row>
    <row r="873">
      <c r="A873" s="105"/>
      <c r="B873" s="105"/>
      <c r="C873" s="105"/>
      <c r="D873" s="105"/>
      <c r="E873" s="105"/>
      <c r="F873" s="105"/>
      <c r="G873" s="105"/>
      <c r="H873" s="105"/>
      <c r="I873" s="105"/>
      <c r="J873" s="105"/>
      <c r="K873" s="105"/>
      <c r="L873" s="105"/>
      <c r="M873" s="105"/>
      <c r="N873" s="105"/>
      <c r="O873" s="105"/>
      <c r="P873" s="105"/>
      <c r="Q873" s="105"/>
      <c r="R873" s="105"/>
      <c r="S873" s="105"/>
      <c r="T873" s="105"/>
      <c r="U873" s="105"/>
      <c r="V873" s="105"/>
      <c r="W873" s="105"/>
      <c r="X873" s="105"/>
      <c r="Y873" s="105"/>
      <c r="Z873" s="105"/>
    </row>
    <row r="874">
      <c r="A874" s="105"/>
      <c r="B874" s="105"/>
      <c r="C874" s="105"/>
      <c r="D874" s="105"/>
      <c r="E874" s="105"/>
      <c r="F874" s="105"/>
      <c r="G874" s="105"/>
      <c r="H874" s="105"/>
      <c r="I874" s="105"/>
      <c r="J874" s="105"/>
      <c r="K874" s="105"/>
      <c r="L874" s="105"/>
      <c r="M874" s="105"/>
      <c r="N874" s="105"/>
      <c r="O874" s="105"/>
      <c r="P874" s="105"/>
      <c r="Q874" s="105"/>
      <c r="R874" s="105"/>
      <c r="S874" s="105"/>
      <c r="T874" s="105"/>
      <c r="U874" s="105"/>
      <c r="V874" s="105"/>
      <c r="W874" s="105"/>
      <c r="X874" s="105"/>
      <c r="Y874" s="105"/>
      <c r="Z874" s="105"/>
    </row>
    <row r="875">
      <c r="A875" s="105"/>
      <c r="B875" s="105"/>
      <c r="C875" s="105"/>
      <c r="D875" s="105"/>
      <c r="E875" s="105"/>
      <c r="F875" s="105"/>
      <c r="G875" s="105"/>
      <c r="H875" s="105"/>
      <c r="I875" s="105"/>
      <c r="J875" s="105"/>
      <c r="K875" s="105"/>
      <c r="L875" s="105"/>
      <c r="M875" s="105"/>
      <c r="N875" s="105"/>
      <c r="O875" s="105"/>
      <c r="P875" s="105"/>
      <c r="Q875" s="105"/>
      <c r="R875" s="105"/>
      <c r="S875" s="105"/>
      <c r="T875" s="105"/>
      <c r="U875" s="105"/>
      <c r="V875" s="105"/>
      <c r="W875" s="105"/>
      <c r="X875" s="105"/>
      <c r="Y875" s="105"/>
      <c r="Z875" s="105"/>
    </row>
    <row r="876">
      <c r="A876" s="105"/>
      <c r="B876" s="105"/>
      <c r="C876" s="105"/>
      <c r="D876" s="105"/>
      <c r="E876" s="105"/>
      <c r="F876" s="105"/>
      <c r="G876" s="105"/>
      <c r="H876" s="105"/>
      <c r="I876" s="105"/>
      <c r="J876" s="105"/>
      <c r="K876" s="105"/>
      <c r="L876" s="105"/>
      <c r="M876" s="105"/>
      <c r="N876" s="105"/>
      <c r="O876" s="105"/>
      <c r="P876" s="105"/>
      <c r="Q876" s="105"/>
      <c r="R876" s="105"/>
      <c r="S876" s="105"/>
      <c r="T876" s="105"/>
      <c r="U876" s="105"/>
      <c r="V876" s="105"/>
      <c r="W876" s="105"/>
      <c r="X876" s="105"/>
      <c r="Y876" s="105"/>
      <c r="Z876" s="105"/>
    </row>
    <row r="877">
      <c r="A877" s="105"/>
      <c r="B877" s="105"/>
      <c r="C877" s="105"/>
      <c r="D877" s="105"/>
      <c r="E877" s="105"/>
      <c r="F877" s="105"/>
      <c r="G877" s="105"/>
      <c r="H877" s="105"/>
      <c r="I877" s="105"/>
      <c r="J877" s="105"/>
      <c r="K877" s="105"/>
      <c r="L877" s="105"/>
      <c r="M877" s="105"/>
      <c r="N877" s="105"/>
      <c r="O877" s="105"/>
      <c r="P877" s="105"/>
      <c r="Q877" s="105"/>
      <c r="R877" s="105"/>
      <c r="S877" s="105"/>
      <c r="T877" s="105"/>
      <c r="U877" s="105"/>
      <c r="V877" s="105"/>
      <c r="W877" s="105"/>
      <c r="X877" s="105"/>
      <c r="Y877" s="105"/>
      <c r="Z877" s="105"/>
    </row>
    <row r="878">
      <c r="A878" s="105"/>
      <c r="B878" s="105"/>
      <c r="C878" s="105"/>
      <c r="D878" s="105"/>
      <c r="E878" s="105"/>
      <c r="F878" s="105"/>
      <c r="G878" s="105"/>
      <c r="H878" s="105"/>
      <c r="I878" s="105"/>
      <c r="J878" s="105"/>
      <c r="K878" s="105"/>
      <c r="L878" s="105"/>
      <c r="M878" s="105"/>
      <c r="N878" s="105"/>
      <c r="O878" s="105"/>
      <c r="P878" s="105"/>
      <c r="Q878" s="105"/>
      <c r="R878" s="105"/>
      <c r="S878" s="105"/>
      <c r="T878" s="105"/>
      <c r="U878" s="105"/>
      <c r="V878" s="105"/>
      <c r="W878" s="105"/>
      <c r="X878" s="105"/>
      <c r="Y878" s="105"/>
      <c r="Z878" s="105"/>
    </row>
    <row r="879">
      <c r="A879" s="105"/>
      <c r="B879" s="105"/>
      <c r="C879" s="105"/>
      <c r="D879" s="105"/>
      <c r="E879" s="105"/>
      <c r="F879" s="105"/>
      <c r="G879" s="105"/>
      <c r="H879" s="105"/>
      <c r="I879" s="105"/>
      <c r="J879" s="105"/>
      <c r="K879" s="105"/>
      <c r="L879" s="105"/>
      <c r="M879" s="105"/>
      <c r="N879" s="105"/>
      <c r="O879" s="105"/>
      <c r="P879" s="105"/>
      <c r="Q879" s="105"/>
      <c r="R879" s="105"/>
      <c r="S879" s="105"/>
      <c r="T879" s="105"/>
      <c r="U879" s="105"/>
      <c r="V879" s="105"/>
      <c r="W879" s="105"/>
      <c r="X879" s="105"/>
      <c r="Y879" s="105"/>
      <c r="Z879" s="105"/>
    </row>
    <row r="880">
      <c r="A880" s="105"/>
      <c r="B880" s="105"/>
      <c r="C880" s="105"/>
      <c r="D880" s="105"/>
      <c r="E880" s="105"/>
      <c r="F880" s="105"/>
      <c r="G880" s="105"/>
      <c r="H880" s="105"/>
      <c r="I880" s="105"/>
      <c r="J880" s="105"/>
      <c r="K880" s="105"/>
      <c r="L880" s="105"/>
      <c r="M880" s="105"/>
      <c r="N880" s="105"/>
      <c r="O880" s="105"/>
      <c r="P880" s="105"/>
      <c r="Q880" s="105"/>
      <c r="R880" s="105"/>
      <c r="S880" s="105"/>
      <c r="T880" s="105"/>
      <c r="U880" s="105"/>
      <c r="V880" s="105"/>
      <c r="W880" s="105"/>
      <c r="X880" s="105"/>
      <c r="Y880" s="105"/>
      <c r="Z880" s="105"/>
    </row>
    <row r="881">
      <c r="A881" s="105"/>
      <c r="B881" s="105"/>
      <c r="C881" s="105"/>
      <c r="D881" s="105"/>
      <c r="E881" s="105"/>
      <c r="F881" s="105"/>
      <c r="G881" s="105"/>
      <c r="H881" s="105"/>
      <c r="I881" s="105"/>
      <c r="J881" s="105"/>
      <c r="K881" s="105"/>
      <c r="L881" s="105"/>
      <c r="M881" s="105"/>
      <c r="N881" s="105"/>
      <c r="O881" s="105"/>
      <c r="P881" s="105"/>
      <c r="Q881" s="105"/>
      <c r="R881" s="105"/>
      <c r="S881" s="105"/>
      <c r="T881" s="105"/>
      <c r="U881" s="105"/>
      <c r="V881" s="105"/>
      <c r="W881" s="105"/>
      <c r="X881" s="105"/>
      <c r="Y881" s="105"/>
      <c r="Z881" s="105"/>
    </row>
    <row r="882">
      <c r="A882" s="105"/>
      <c r="B882" s="105"/>
      <c r="C882" s="105"/>
      <c r="D882" s="105"/>
      <c r="E882" s="105"/>
      <c r="F882" s="105"/>
      <c r="G882" s="105"/>
      <c r="H882" s="105"/>
      <c r="I882" s="105"/>
      <c r="J882" s="105"/>
      <c r="K882" s="105"/>
      <c r="L882" s="105"/>
      <c r="M882" s="105"/>
      <c r="N882" s="105"/>
      <c r="O882" s="105"/>
      <c r="P882" s="105"/>
      <c r="Q882" s="105"/>
      <c r="R882" s="105"/>
      <c r="S882" s="105"/>
      <c r="T882" s="105"/>
      <c r="U882" s="105"/>
      <c r="V882" s="105"/>
      <c r="W882" s="105"/>
      <c r="X882" s="105"/>
      <c r="Y882" s="105"/>
      <c r="Z882" s="105"/>
    </row>
    <row r="883">
      <c r="A883" s="105"/>
      <c r="B883" s="105"/>
      <c r="C883" s="105"/>
      <c r="D883" s="105"/>
      <c r="E883" s="105"/>
      <c r="F883" s="105"/>
      <c r="G883" s="105"/>
      <c r="H883" s="105"/>
      <c r="I883" s="105"/>
      <c r="J883" s="105"/>
      <c r="K883" s="105"/>
      <c r="L883" s="105"/>
      <c r="M883" s="105"/>
      <c r="N883" s="105"/>
      <c r="O883" s="105"/>
      <c r="P883" s="105"/>
      <c r="Q883" s="105"/>
      <c r="R883" s="105"/>
      <c r="S883" s="105"/>
      <c r="T883" s="105"/>
      <c r="U883" s="105"/>
      <c r="V883" s="105"/>
      <c r="W883" s="105"/>
      <c r="X883" s="105"/>
      <c r="Y883" s="105"/>
      <c r="Z883" s="105"/>
    </row>
    <row r="884">
      <c r="A884" s="105"/>
      <c r="B884" s="105"/>
      <c r="C884" s="105"/>
      <c r="D884" s="105"/>
      <c r="E884" s="105"/>
      <c r="F884" s="105"/>
      <c r="G884" s="105"/>
      <c r="H884" s="105"/>
      <c r="I884" s="105"/>
      <c r="J884" s="105"/>
      <c r="K884" s="105"/>
      <c r="L884" s="105"/>
      <c r="M884" s="105"/>
      <c r="N884" s="105"/>
      <c r="O884" s="105"/>
      <c r="P884" s="105"/>
      <c r="Q884" s="105"/>
      <c r="R884" s="105"/>
      <c r="S884" s="105"/>
      <c r="T884" s="105"/>
      <c r="U884" s="105"/>
      <c r="V884" s="105"/>
      <c r="W884" s="105"/>
      <c r="X884" s="105"/>
      <c r="Y884" s="105"/>
      <c r="Z884" s="105"/>
    </row>
    <row r="885">
      <c r="A885" s="105"/>
      <c r="B885" s="105"/>
      <c r="C885" s="105"/>
      <c r="D885" s="105"/>
      <c r="E885" s="105"/>
      <c r="F885" s="105"/>
      <c r="G885" s="105"/>
      <c r="H885" s="105"/>
      <c r="I885" s="105"/>
      <c r="J885" s="105"/>
      <c r="K885" s="105"/>
      <c r="L885" s="105"/>
      <c r="M885" s="105"/>
      <c r="N885" s="105"/>
      <c r="O885" s="105"/>
      <c r="P885" s="105"/>
      <c r="Q885" s="105"/>
      <c r="R885" s="105"/>
      <c r="S885" s="105"/>
      <c r="T885" s="105"/>
      <c r="U885" s="105"/>
      <c r="V885" s="105"/>
      <c r="W885" s="105"/>
      <c r="X885" s="105"/>
      <c r="Y885" s="105"/>
      <c r="Z885" s="105"/>
    </row>
    <row r="886">
      <c r="A886" s="105"/>
      <c r="B886" s="105"/>
      <c r="C886" s="105"/>
      <c r="D886" s="105"/>
      <c r="E886" s="105"/>
      <c r="F886" s="105"/>
      <c r="G886" s="105"/>
      <c r="H886" s="105"/>
      <c r="I886" s="105"/>
      <c r="J886" s="105"/>
      <c r="K886" s="105"/>
      <c r="L886" s="105"/>
      <c r="M886" s="105"/>
      <c r="N886" s="105"/>
      <c r="O886" s="105"/>
      <c r="P886" s="105"/>
      <c r="Q886" s="105"/>
      <c r="R886" s="105"/>
      <c r="S886" s="105"/>
      <c r="T886" s="105"/>
      <c r="U886" s="105"/>
      <c r="V886" s="105"/>
      <c r="W886" s="105"/>
      <c r="X886" s="105"/>
      <c r="Y886" s="105"/>
      <c r="Z886" s="105"/>
    </row>
    <row r="887">
      <c r="A887" s="105"/>
      <c r="B887" s="105"/>
      <c r="C887" s="105"/>
      <c r="D887" s="105"/>
      <c r="E887" s="105"/>
      <c r="F887" s="105"/>
      <c r="G887" s="105"/>
      <c r="H887" s="105"/>
      <c r="I887" s="105"/>
      <c r="J887" s="105"/>
      <c r="K887" s="105"/>
      <c r="L887" s="105"/>
      <c r="M887" s="105"/>
      <c r="N887" s="105"/>
      <c r="O887" s="105"/>
      <c r="P887" s="105"/>
      <c r="Q887" s="105"/>
      <c r="R887" s="105"/>
      <c r="S887" s="105"/>
      <c r="T887" s="105"/>
      <c r="U887" s="105"/>
      <c r="V887" s="105"/>
      <c r="W887" s="105"/>
      <c r="X887" s="105"/>
      <c r="Y887" s="105"/>
      <c r="Z887" s="105"/>
    </row>
    <row r="888">
      <c r="A888" s="105"/>
      <c r="B888" s="105"/>
      <c r="C888" s="105"/>
      <c r="D888" s="105"/>
      <c r="E888" s="105"/>
      <c r="F888" s="105"/>
      <c r="G888" s="105"/>
      <c r="H888" s="105"/>
      <c r="I888" s="105"/>
      <c r="J888" s="105"/>
      <c r="K888" s="105"/>
      <c r="L888" s="105"/>
      <c r="M888" s="105"/>
      <c r="N888" s="105"/>
      <c r="O888" s="105"/>
      <c r="P888" s="105"/>
      <c r="Q888" s="105"/>
      <c r="R888" s="105"/>
      <c r="S888" s="105"/>
      <c r="T888" s="105"/>
      <c r="U888" s="105"/>
      <c r="V888" s="105"/>
      <c r="W888" s="105"/>
      <c r="X888" s="105"/>
      <c r="Y888" s="105"/>
      <c r="Z888" s="105"/>
    </row>
    <row r="889">
      <c r="A889" s="105"/>
      <c r="B889" s="105"/>
      <c r="C889" s="105"/>
      <c r="D889" s="105"/>
      <c r="E889" s="105"/>
      <c r="F889" s="105"/>
      <c r="G889" s="105"/>
      <c r="H889" s="105"/>
      <c r="I889" s="105"/>
      <c r="J889" s="105"/>
      <c r="K889" s="105"/>
      <c r="L889" s="105"/>
      <c r="M889" s="105"/>
      <c r="N889" s="105"/>
      <c r="O889" s="105"/>
      <c r="P889" s="105"/>
      <c r="Q889" s="105"/>
      <c r="R889" s="105"/>
      <c r="S889" s="105"/>
      <c r="T889" s="105"/>
      <c r="U889" s="105"/>
      <c r="V889" s="105"/>
      <c r="W889" s="105"/>
      <c r="X889" s="105"/>
      <c r="Y889" s="105"/>
      <c r="Z889" s="105"/>
    </row>
    <row r="890">
      <c r="A890" s="105"/>
      <c r="B890" s="105"/>
      <c r="C890" s="105"/>
      <c r="D890" s="105"/>
      <c r="E890" s="105"/>
      <c r="F890" s="105"/>
      <c r="G890" s="105"/>
      <c r="H890" s="105"/>
      <c r="I890" s="105"/>
      <c r="J890" s="105"/>
      <c r="K890" s="105"/>
      <c r="L890" s="105"/>
      <c r="M890" s="105"/>
      <c r="N890" s="105"/>
      <c r="O890" s="105"/>
      <c r="P890" s="105"/>
      <c r="Q890" s="105"/>
      <c r="R890" s="105"/>
      <c r="S890" s="105"/>
      <c r="T890" s="105"/>
      <c r="U890" s="105"/>
      <c r="V890" s="105"/>
      <c r="W890" s="105"/>
      <c r="X890" s="105"/>
      <c r="Y890" s="105"/>
      <c r="Z890" s="105"/>
    </row>
    <row r="891">
      <c r="A891" s="105"/>
      <c r="B891" s="105"/>
      <c r="C891" s="105"/>
      <c r="D891" s="105"/>
      <c r="E891" s="105"/>
      <c r="F891" s="105"/>
      <c r="G891" s="105"/>
      <c r="H891" s="105"/>
      <c r="I891" s="105"/>
      <c r="J891" s="105"/>
      <c r="K891" s="105"/>
      <c r="L891" s="105"/>
      <c r="M891" s="105"/>
      <c r="N891" s="105"/>
      <c r="O891" s="105"/>
      <c r="P891" s="105"/>
      <c r="Q891" s="105"/>
      <c r="R891" s="105"/>
      <c r="S891" s="105"/>
      <c r="T891" s="105"/>
      <c r="U891" s="105"/>
      <c r="V891" s="105"/>
      <c r="W891" s="105"/>
      <c r="X891" s="105"/>
      <c r="Y891" s="105"/>
      <c r="Z891" s="105"/>
    </row>
    <row r="892">
      <c r="A892" s="105"/>
      <c r="B892" s="105"/>
      <c r="C892" s="105"/>
      <c r="D892" s="105"/>
      <c r="E892" s="105"/>
      <c r="F892" s="105"/>
      <c r="G892" s="105"/>
      <c r="H892" s="105"/>
      <c r="I892" s="105"/>
      <c r="J892" s="105"/>
      <c r="K892" s="105"/>
      <c r="L892" s="105"/>
      <c r="M892" s="105"/>
      <c r="N892" s="105"/>
      <c r="O892" s="105"/>
      <c r="P892" s="105"/>
      <c r="Q892" s="105"/>
      <c r="R892" s="105"/>
      <c r="S892" s="105"/>
      <c r="T892" s="105"/>
      <c r="U892" s="105"/>
      <c r="V892" s="105"/>
      <c r="W892" s="105"/>
      <c r="X892" s="105"/>
      <c r="Y892" s="105"/>
      <c r="Z892" s="105"/>
    </row>
    <row r="893">
      <c r="A893" s="105"/>
      <c r="B893" s="105"/>
      <c r="C893" s="105"/>
      <c r="D893" s="105"/>
      <c r="E893" s="105"/>
      <c r="F893" s="105"/>
      <c r="G893" s="105"/>
      <c r="H893" s="105"/>
      <c r="I893" s="105"/>
      <c r="J893" s="105"/>
      <c r="K893" s="105"/>
      <c r="L893" s="105"/>
      <c r="M893" s="105"/>
      <c r="N893" s="105"/>
      <c r="O893" s="105"/>
      <c r="P893" s="105"/>
      <c r="Q893" s="105"/>
      <c r="R893" s="105"/>
      <c r="S893" s="105"/>
      <c r="T893" s="105"/>
      <c r="U893" s="105"/>
      <c r="V893" s="105"/>
      <c r="W893" s="105"/>
      <c r="X893" s="105"/>
      <c r="Y893" s="105"/>
      <c r="Z893" s="105"/>
    </row>
    <row r="894">
      <c r="A894" s="105"/>
      <c r="B894" s="105"/>
      <c r="C894" s="105"/>
      <c r="D894" s="105"/>
      <c r="E894" s="105"/>
      <c r="F894" s="105"/>
      <c r="G894" s="105"/>
      <c r="H894" s="105"/>
      <c r="I894" s="105"/>
      <c r="J894" s="105"/>
      <c r="K894" s="105"/>
      <c r="L894" s="105"/>
      <c r="M894" s="105"/>
      <c r="N894" s="105"/>
      <c r="O894" s="105"/>
      <c r="P894" s="105"/>
      <c r="Q894" s="105"/>
      <c r="R894" s="105"/>
      <c r="S894" s="105"/>
      <c r="T894" s="105"/>
      <c r="U894" s="105"/>
      <c r="V894" s="105"/>
      <c r="W894" s="105"/>
      <c r="X894" s="105"/>
      <c r="Y894" s="105"/>
      <c r="Z894" s="105"/>
    </row>
    <row r="895">
      <c r="A895" s="105"/>
      <c r="B895" s="105"/>
      <c r="C895" s="105"/>
      <c r="D895" s="105"/>
      <c r="E895" s="105"/>
      <c r="F895" s="105"/>
      <c r="G895" s="105"/>
      <c r="H895" s="105"/>
      <c r="I895" s="105"/>
      <c r="J895" s="105"/>
      <c r="K895" s="105"/>
      <c r="L895" s="105"/>
      <c r="M895" s="105"/>
      <c r="N895" s="105"/>
      <c r="O895" s="105"/>
      <c r="P895" s="105"/>
      <c r="Q895" s="105"/>
      <c r="R895" s="105"/>
      <c r="S895" s="105"/>
      <c r="T895" s="105"/>
      <c r="U895" s="105"/>
      <c r="V895" s="105"/>
      <c r="W895" s="105"/>
      <c r="X895" s="105"/>
      <c r="Y895" s="105"/>
      <c r="Z895" s="105"/>
    </row>
    <row r="896">
      <c r="A896" s="105"/>
      <c r="B896" s="105"/>
      <c r="C896" s="105"/>
      <c r="D896" s="105"/>
      <c r="E896" s="105"/>
      <c r="F896" s="105"/>
      <c r="G896" s="105"/>
      <c r="H896" s="105"/>
      <c r="I896" s="105"/>
      <c r="J896" s="105"/>
      <c r="K896" s="105"/>
      <c r="L896" s="105"/>
      <c r="M896" s="105"/>
      <c r="N896" s="105"/>
      <c r="O896" s="105"/>
      <c r="P896" s="105"/>
      <c r="Q896" s="105"/>
      <c r="R896" s="105"/>
      <c r="S896" s="105"/>
      <c r="T896" s="105"/>
      <c r="U896" s="105"/>
      <c r="V896" s="105"/>
      <c r="W896" s="105"/>
      <c r="X896" s="105"/>
      <c r="Y896" s="105"/>
      <c r="Z896" s="105"/>
    </row>
    <row r="897">
      <c r="A897" s="105"/>
      <c r="B897" s="105"/>
      <c r="C897" s="105"/>
      <c r="D897" s="105"/>
      <c r="E897" s="105"/>
      <c r="F897" s="105"/>
      <c r="G897" s="105"/>
      <c r="H897" s="105"/>
      <c r="I897" s="105"/>
      <c r="J897" s="105"/>
      <c r="K897" s="105"/>
      <c r="L897" s="105"/>
      <c r="M897" s="105"/>
      <c r="N897" s="105"/>
      <c r="O897" s="105"/>
      <c r="P897" s="105"/>
      <c r="Q897" s="105"/>
      <c r="R897" s="105"/>
      <c r="S897" s="105"/>
      <c r="T897" s="105"/>
      <c r="U897" s="105"/>
      <c r="V897" s="105"/>
      <c r="W897" s="105"/>
      <c r="X897" s="105"/>
      <c r="Y897" s="105"/>
      <c r="Z897" s="105"/>
    </row>
    <row r="898">
      <c r="A898" s="105"/>
      <c r="B898" s="105"/>
      <c r="C898" s="105"/>
      <c r="D898" s="105"/>
      <c r="E898" s="105"/>
      <c r="F898" s="105"/>
      <c r="G898" s="105"/>
      <c r="H898" s="105"/>
      <c r="I898" s="105"/>
      <c r="J898" s="105"/>
      <c r="K898" s="105"/>
      <c r="L898" s="105"/>
      <c r="M898" s="105"/>
      <c r="N898" s="105"/>
      <c r="O898" s="105"/>
      <c r="P898" s="105"/>
      <c r="Q898" s="105"/>
      <c r="R898" s="105"/>
      <c r="S898" s="105"/>
      <c r="T898" s="105"/>
      <c r="U898" s="105"/>
      <c r="V898" s="105"/>
      <c r="W898" s="105"/>
      <c r="X898" s="105"/>
      <c r="Y898" s="105"/>
      <c r="Z898" s="105"/>
    </row>
    <row r="899">
      <c r="A899" s="105"/>
      <c r="B899" s="105"/>
      <c r="C899" s="105"/>
      <c r="D899" s="105"/>
      <c r="E899" s="105"/>
      <c r="F899" s="105"/>
      <c r="G899" s="105"/>
      <c r="H899" s="105"/>
      <c r="I899" s="105"/>
      <c r="J899" s="105"/>
      <c r="K899" s="105"/>
      <c r="L899" s="105"/>
      <c r="M899" s="105"/>
      <c r="N899" s="105"/>
      <c r="O899" s="105"/>
      <c r="P899" s="105"/>
      <c r="Q899" s="105"/>
      <c r="R899" s="105"/>
      <c r="S899" s="105"/>
      <c r="T899" s="105"/>
      <c r="U899" s="105"/>
      <c r="V899" s="105"/>
      <c r="W899" s="105"/>
      <c r="X899" s="105"/>
      <c r="Y899" s="105"/>
      <c r="Z899" s="105"/>
    </row>
    <row r="900">
      <c r="A900" s="105"/>
      <c r="B900" s="105"/>
      <c r="C900" s="105"/>
      <c r="D900" s="105"/>
      <c r="E900" s="105"/>
      <c r="F900" s="105"/>
      <c r="G900" s="105"/>
      <c r="H900" s="105"/>
      <c r="I900" s="105"/>
      <c r="J900" s="105"/>
      <c r="K900" s="105"/>
      <c r="L900" s="105"/>
      <c r="M900" s="105"/>
      <c r="N900" s="105"/>
      <c r="O900" s="105"/>
      <c r="P900" s="105"/>
      <c r="Q900" s="105"/>
      <c r="R900" s="105"/>
      <c r="S900" s="105"/>
      <c r="T900" s="105"/>
      <c r="U900" s="105"/>
      <c r="V900" s="105"/>
      <c r="W900" s="105"/>
      <c r="X900" s="105"/>
      <c r="Y900" s="105"/>
      <c r="Z900" s="105"/>
    </row>
    <row r="901">
      <c r="A901" s="105"/>
      <c r="B901" s="105"/>
      <c r="C901" s="105"/>
      <c r="D901" s="105"/>
      <c r="E901" s="105"/>
      <c r="F901" s="105"/>
      <c r="G901" s="105"/>
      <c r="H901" s="105"/>
      <c r="I901" s="105"/>
      <c r="J901" s="105"/>
      <c r="K901" s="105"/>
      <c r="L901" s="105"/>
      <c r="M901" s="105"/>
      <c r="N901" s="105"/>
      <c r="O901" s="105"/>
      <c r="P901" s="105"/>
      <c r="Q901" s="105"/>
      <c r="R901" s="105"/>
      <c r="S901" s="105"/>
      <c r="T901" s="105"/>
      <c r="U901" s="105"/>
      <c r="V901" s="105"/>
      <c r="W901" s="105"/>
      <c r="X901" s="105"/>
      <c r="Y901" s="105"/>
      <c r="Z901" s="105"/>
    </row>
    <row r="902">
      <c r="A902" s="105"/>
      <c r="B902" s="105"/>
      <c r="C902" s="105"/>
      <c r="D902" s="105"/>
      <c r="E902" s="105"/>
      <c r="F902" s="105"/>
      <c r="G902" s="105"/>
      <c r="H902" s="105"/>
      <c r="I902" s="105"/>
      <c r="J902" s="105"/>
      <c r="K902" s="105"/>
      <c r="L902" s="105"/>
      <c r="M902" s="105"/>
      <c r="N902" s="105"/>
      <c r="O902" s="105"/>
      <c r="P902" s="105"/>
      <c r="Q902" s="105"/>
      <c r="R902" s="105"/>
      <c r="S902" s="105"/>
      <c r="T902" s="105"/>
      <c r="U902" s="105"/>
      <c r="V902" s="105"/>
      <c r="W902" s="105"/>
      <c r="X902" s="105"/>
      <c r="Y902" s="105"/>
      <c r="Z902" s="105"/>
    </row>
    <row r="903">
      <c r="A903" s="105"/>
      <c r="B903" s="105"/>
      <c r="C903" s="105"/>
      <c r="D903" s="105"/>
      <c r="E903" s="105"/>
      <c r="F903" s="105"/>
      <c r="G903" s="105"/>
      <c r="H903" s="105"/>
      <c r="I903" s="105"/>
      <c r="J903" s="105"/>
      <c r="K903" s="105"/>
      <c r="L903" s="105"/>
      <c r="M903" s="105"/>
      <c r="N903" s="105"/>
      <c r="O903" s="105"/>
      <c r="P903" s="105"/>
      <c r="Q903" s="105"/>
      <c r="R903" s="105"/>
      <c r="S903" s="105"/>
      <c r="T903" s="105"/>
      <c r="U903" s="105"/>
      <c r="V903" s="105"/>
      <c r="W903" s="105"/>
      <c r="X903" s="105"/>
      <c r="Y903" s="105"/>
      <c r="Z903" s="105"/>
    </row>
    <row r="904">
      <c r="A904" s="105"/>
      <c r="B904" s="105"/>
      <c r="C904" s="105"/>
      <c r="D904" s="105"/>
      <c r="E904" s="105"/>
      <c r="F904" s="105"/>
      <c r="G904" s="105"/>
      <c r="H904" s="105"/>
      <c r="I904" s="105"/>
      <c r="J904" s="105"/>
      <c r="K904" s="105"/>
      <c r="L904" s="105"/>
      <c r="M904" s="105"/>
      <c r="N904" s="105"/>
      <c r="O904" s="105"/>
      <c r="P904" s="105"/>
      <c r="Q904" s="105"/>
      <c r="R904" s="105"/>
      <c r="S904" s="105"/>
      <c r="T904" s="105"/>
      <c r="U904" s="105"/>
      <c r="V904" s="105"/>
      <c r="W904" s="105"/>
      <c r="X904" s="105"/>
      <c r="Y904" s="105"/>
      <c r="Z904" s="105"/>
    </row>
    <row r="905">
      <c r="A905" s="105"/>
      <c r="B905" s="105"/>
      <c r="C905" s="105"/>
      <c r="D905" s="105"/>
      <c r="E905" s="105"/>
      <c r="F905" s="105"/>
      <c r="G905" s="105"/>
      <c r="H905" s="105"/>
      <c r="I905" s="105"/>
      <c r="J905" s="105"/>
      <c r="K905" s="105"/>
      <c r="L905" s="105"/>
      <c r="M905" s="105"/>
      <c r="N905" s="105"/>
      <c r="O905" s="105"/>
      <c r="P905" s="105"/>
      <c r="Q905" s="105"/>
      <c r="R905" s="105"/>
      <c r="S905" s="105"/>
      <c r="T905" s="105"/>
      <c r="U905" s="105"/>
      <c r="V905" s="105"/>
      <c r="W905" s="105"/>
      <c r="X905" s="105"/>
      <c r="Y905" s="105"/>
      <c r="Z905" s="105"/>
    </row>
    <row r="906">
      <c r="A906" s="105"/>
      <c r="B906" s="105"/>
      <c r="C906" s="105"/>
      <c r="D906" s="105"/>
      <c r="E906" s="105"/>
      <c r="F906" s="105"/>
      <c r="G906" s="105"/>
      <c r="H906" s="105"/>
      <c r="I906" s="105"/>
      <c r="J906" s="105"/>
      <c r="K906" s="105"/>
      <c r="L906" s="105"/>
      <c r="M906" s="105"/>
      <c r="N906" s="105"/>
      <c r="O906" s="105"/>
      <c r="P906" s="105"/>
      <c r="Q906" s="105"/>
      <c r="R906" s="105"/>
      <c r="S906" s="105"/>
      <c r="T906" s="105"/>
      <c r="U906" s="105"/>
      <c r="V906" s="105"/>
      <c r="W906" s="105"/>
      <c r="X906" s="105"/>
      <c r="Y906" s="105"/>
      <c r="Z906" s="105"/>
    </row>
    <row r="907">
      <c r="A907" s="105"/>
      <c r="B907" s="105"/>
      <c r="C907" s="105"/>
      <c r="D907" s="105"/>
      <c r="E907" s="105"/>
      <c r="F907" s="105"/>
      <c r="G907" s="105"/>
      <c r="H907" s="105"/>
      <c r="I907" s="105"/>
      <c r="J907" s="105"/>
      <c r="K907" s="105"/>
      <c r="L907" s="105"/>
      <c r="M907" s="105"/>
      <c r="N907" s="105"/>
      <c r="O907" s="105"/>
      <c r="P907" s="105"/>
      <c r="Q907" s="105"/>
      <c r="R907" s="105"/>
      <c r="S907" s="105"/>
      <c r="T907" s="105"/>
      <c r="U907" s="105"/>
      <c r="V907" s="105"/>
      <c r="W907" s="105"/>
      <c r="X907" s="105"/>
      <c r="Y907" s="105"/>
      <c r="Z907" s="105"/>
    </row>
    <row r="908">
      <c r="A908" s="105"/>
      <c r="B908" s="105"/>
      <c r="C908" s="105"/>
      <c r="D908" s="105"/>
      <c r="E908" s="105"/>
      <c r="F908" s="105"/>
      <c r="G908" s="105"/>
      <c r="H908" s="105"/>
      <c r="I908" s="105"/>
      <c r="J908" s="105"/>
      <c r="K908" s="105"/>
      <c r="L908" s="105"/>
      <c r="M908" s="105"/>
      <c r="N908" s="105"/>
      <c r="O908" s="105"/>
      <c r="P908" s="105"/>
      <c r="Q908" s="105"/>
      <c r="R908" s="105"/>
      <c r="S908" s="105"/>
      <c r="T908" s="105"/>
      <c r="U908" s="105"/>
      <c r="V908" s="105"/>
      <c r="W908" s="105"/>
      <c r="X908" s="105"/>
      <c r="Y908" s="105"/>
      <c r="Z908" s="105"/>
    </row>
    <row r="909">
      <c r="A909" s="105"/>
      <c r="B909" s="105"/>
      <c r="C909" s="105"/>
      <c r="D909" s="105"/>
      <c r="E909" s="105"/>
      <c r="F909" s="105"/>
      <c r="G909" s="105"/>
      <c r="H909" s="105"/>
      <c r="I909" s="105"/>
      <c r="J909" s="105"/>
      <c r="K909" s="105"/>
      <c r="L909" s="105"/>
      <c r="M909" s="105"/>
      <c r="N909" s="105"/>
      <c r="O909" s="105"/>
      <c r="P909" s="105"/>
      <c r="Q909" s="105"/>
      <c r="R909" s="105"/>
      <c r="S909" s="105"/>
      <c r="T909" s="105"/>
      <c r="U909" s="105"/>
      <c r="V909" s="105"/>
      <c r="W909" s="105"/>
      <c r="X909" s="105"/>
      <c r="Y909" s="105"/>
      <c r="Z909" s="105"/>
    </row>
    <row r="910">
      <c r="A910" s="105"/>
      <c r="B910" s="105"/>
      <c r="C910" s="105"/>
      <c r="D910" s="105"/>
      <c r="E910" s="105"/>
      <c r="F910" s="105"/>
      <c r="G910" s="105"/>
      <c r="H910" s="105"/>
      <c r="I910" s="105"/>
      <c r="J910" s="105"/>
      <c r="K910" s="105"/>
      <c r="L910" s="105"/>
      <c r="M910" s="105"/>
      <c r="N910" s="105"/>
      <c r="O910" s="105"/>
      <c r="P910" s="105"/>
      <c r="Q910" s="105"/>
      <c r="R910" s="105"/>
      <c r="S910" s="105"/>
      <c r="T910" s="105"/>
      <c r="U910" s="105"/>
      <c r="V910" s="105"/>
      <c r="W910" s="105"/>
      <c r="X910" s="105"/>
      <c r="Y910" s="105"/>
      <c r="Z910" s="105"/>
    </row>
    <row r="911">
      <c r="A911" s="105"/>
      <c r="B911" s="105"/>
      <c r="C911" s="105"/>
      <c r="D911" s="105"/>
      <c r="E911" s="105"/>
      <c r="F911" s="105"/>
      <c r="G911" s="105"/>
      <c r="H911" s="105"/>
      <c r="I911" s="105"/>
      <c r="J911" s="105"/>
      <c r="K911" s="105"/>
      <c r="L911" s="105"/>
      <c r="M911" s="105"/>
      <c r="N911" s="105"/>
      <c r="O911" s="105"/>
      <c r="P911" s="105"/>
      <c r="Q911" s="105"/>
      <c r="R911" s="105"/>
      <c r="S911" s="105"/>
      <c r="T911" s="105"/>
      <c r="U911" s="105"/>
      <c r="V911" s="105"/>
      <c r="W911" s="105"/>
      <c r="X911" s="105"/>
      <c r="Y911" s="105"/>
      <c r="Z911" s="105"/>
    </row>
    <row r="912">
      <c r="A912" s="105"/>
      <c r="B912" s="105"/>
      <c r="C912" s="105"/>
      <c r="D912" s="105"/>
      <c r="E912" s="105"/>
      <c r="F912" s="105"/>
      <c r="G912" s="105"/>
      <c r="H912" s="105"/>
      <c r="I912" s="105"/>
      <c r="J912" s="105"/>
      <c r="K912" s="105"/>
      <c r="L912" s="105"/>
      <c r="M912" s="105"/>
      <c r="N912" s="105"/>
      <c r="O912" s="105"/>
      <c r="P912" s="105"/>
      <c r="Q912" s="105"/>
      <c r="R912" s="105"/>
      <c r="S912" s="105"/>
      <c r="T912" s="105"/>
      <c r="U912" s="105"/>
      <c r="V912" s="105"/>
      <c r="W912" s="105"/>
      <c r="X912" s="105"/>
      <c r="Y912" s="105"/>
      <c r="Z912" s="105"/>
    </row>
    <row r="913">
      <c r="A913" s="105"/>
      <c r="B913" s="105"/>
      <c r="C913" s="105"/>
      <c r="D913" s="105"/>
      <c r="E913" s="105"/>
      <c r="F913" s="105"/>
      <c r="G913" s="105"/>
      <c r="H913" s="105"/>
      <c r="I913" s="105"/>
      <c r="J913" s="105"/>
      <c r="K913" s="105"/>
      <c r="L913" s="105"/>
      <c r="M913" s="105"/>
      <c r="N913" s="105"/>
      <c r="O913" s="105"/>
      <c r="P913" s="105"/>
      <c r="Q913" s="105"/>
      <c r="R913" s="105"/>
      <c r="S913" s="105"/>
      <c r="T913" s="105"/>
      <c r="U913" s="105"/>
      <c r="V913" s="105"/>
      <c r="W913" s="105"/>
      <c r="X913" s="105"/>
      <c r="Y913" s="105"/>
      <c r="Z913" s="105"/>
    </row>
    <row r="914">
      <c r="A914" s="105"/>
      <c r="B914" s="105"/>
      <c r="C914" s="105"/>
      <c r="D914" s="105"/>
      <c r="E914" s="105"/>
      <c r="F914" s="105"/>
      <c r="G914" s="105"/>
      <c r="H914" s="105"/>
      <c r="I914" s="105"/>
      <c r="J914" s="105"/>
      <c r="K914" s="105"/>
      <c r="L914" s="105"/>
      <c r="M914" s="105"/>
      <c r="N914" s="105"/>
      <c r="O914" s="105"/>
      <c r="P914" s="105"/>
      <c r="Q914" s="105"/>
      <c r="R914" s="105"/>
      <c r="S914" s="105"/>
      <c r="T914" s="105"/>
      <c r="U914" s="105"/>
      <c r="V914" s="105"/>
      <c r="W914" s="105"/>
      <c r="X914" s="105"/>
      <c r="Y914" s="105"/>
      <c r="Z914" s="105"/>
    </row>
    <row r="915">
      <c r="A915" s="105"/>
      <c r="B915" s="105"/>
      <c r="C915" s="105"/>
      <c r="D915" s="105"/>
      <c r="E915" s="105"/>
      <c r="F915" s="105"/>
      <c r="G915" s="105"/>
      <c r="H915" s="105"/>
      <c r="I915" s="105"/>
      <c r="J915" s="105"/>
      <c r="K915" s="105"/>
      <c r="L915" s="105"/>
      <c r="M915" s="105"/>
      <c r="N915" s="105"/>
      <c r="O915" s="105"/>
      <c r="P915" s="105"/>
      <c r="Q915" s="105"/>
      <c r="R915" s="105"/>
      <c r="S915" s="105"/>
      <c r="T915" s="105"/>
      <c r="U915" s="105"/>
      <c r="V915" s="105"/>
      <c r="W915" s="105"/>
      <c r="X915" s="105"/>
      <c r="Y915" s="105"/>
      <c r="Z915" s="105"/>
    </row>
    <row r="916">
      <c r="A916" s="105"/>
      <c r="B916" s="105"/>
      <c r="C916" s="105"/>
      <c r="D916" s="105"/>
      <c r="E916" s="105"/>
      <c r="F916" s="105"/>
      <c r="G916" s="105"/>
      <c r="H916" s="105"/>
      <c r="I916" s="105"/>
      <c r="J916" s="105"/>
      <c r="K916" s="105"/>
      <c r="L916" s="105"/>
      <c r="M916" s="105"/>
      <c r="N916" s="105"/>
      <c r="O916" s="105"/>
      <c r="P916" s="105"/>
      <c r="Q916" s="105"/>
      <c r="R916" s="105"/>
      <c r="S916" s="105"/>
      <c r="T916" s="105"/>
      <c r="U916" s="105"/>
      <c r="V916" s="105"/>
      <c r="W916" s="105"/>
      <c r="X916" s="105"/>
      <c r="Y916" s="105"/>
      <c r="Z916" s="105"/>
    </row>
    <row r="917">
      <c r="A917" s="105"/>
      <c r="B917" s="105"/>
      <c r="C917" s="105"/>
      <c r="D917" s="105"/>
      <c r="E917" s="105"/>
      <c r="F917" s="105"/>
      <c r="G917" s="105"/>
      <c r="H917" s="105"/>
      <c r="I917" s="105"/>
      <c r="J917" s="105"/>
      <c r="K917" s="105"/>
      <c r="L917" s="105"/>
      <c r="M917" s="105"/>
      <c r="N917" s="105"/>
      <c r="O917" s="105"/>
      <c r="P917" s="105"/>
      <c r="Q917" s="105"/>
      <c r="R917" s="105"/>
      <c r="S917" s="105"/>
      <c r="T917" s="105"/>
      <c r="U917" s="105"/>
      <c r="V917" s="105"/>
      <c r="W917" s="105"/>
      <c r="X917" s="105"/>
      <c r="Y917" s="105"/>
      <c r="Z917" s="105"/>
    </row>
    <row r="918">
      <c r="A918" s="105"/>
      <c r="B918" s="105"/>
      <c r="C918" s="105"/>
      <c r="D918" s="105"/>
      <c r="E918" s="105"/>
      <c r="F918" s="105"/>
      <c r="G918" s="105"/>
      <c r="H918" s="105"/>
      <c r="I918" s="105"/>
      <c r="J918" s="105"/>
      <c r="K918" s="105"/>
      <c r="L918" s="105"/>
      <c r="M918" s="105"/>
      <c r="N918" s="105"/>
      <c r="O918" s="105"/>
      <c r="P918" s="105"/>
      <c r="Q918" s="105"/>
      <c r="R918" s="105"/>
      <c r="S918" s="105"/>
      <c r="T918" s="105"/>
      <c r="U918" s="105"/>
      <c r="V918" s="105"/>
      <c r="W918" s="105"/>
      <c r="X918" s="105"/>
      <c r="Y918" s="105"/>
      <c r="Z918" s="105"/>
    </row>
    <row r="919">
      <c r="A919" s="105"/>
      <c r="B919" s="105"/>
      <c r="C919" s="105"/>
      <c r="D919" s="105"/>
      <c r="E919" s="105"/>
      <c r="F919" s="105"/>
      <c r="G919" s="105"/>
      <c r="H919" s="105"/>
      <c r="I919" s="105"/>
      <c r="J919" s="105"/>
      <c r="K919" s="105"/>
      <c r="L919" s="105"/>
      <c r="M919" s="105"/>
      <c r="N919" s="105"/>
      <c r="O919" s="105"/>
      <c r="P919" s="105"/>
      <c r="Q919" s="105"/>
      <c r="R919" s="105"/>
      <c r="S919" s="105"/>
      <c r="T919" s="105"/>
      <c r="U919" s="105"/>
      <c r="V919" s="105"/>
      <c r="W919" s="105"/>
      <c r="X919" s="105"/>
      <c r="Y919" s="105"/>
      <c r="Z919" s="105"/>
    </row>
    <row r="920">
      <c r="A920" s="105"/>
      <c r="B920" s="105"/>
      <c r="C920" s="105"/>
      <c r="D920" s="105"/>
      <c r="E920" s="105"/>
      <c r="F920" s="105"/>
      <c r="G920" s="105"/>
      <c r="H920" s="105"/>
      <c r="I920" s="105"/>
      <c r="J920" s="105"/>
      <c r="K920" s="105"/>
      <c r="L920" s="105"/>
      <c r="M920" s="105"/>
      <c r="N920" s="105"/>
      <c r="O920" s="105"/>
      <c r="P920" s="105"/>
      <c r="Q920" s="105"/>
      <c r="R920" s="105"/>
      <c r="S920" s="105"/>
      <c r="T920" s="105"/>
      <c r="U920" s="105"/>
      <c r="V920" s="105"/>
      <c r="W920" s="105"/>
      <c r="X920" s="105"/>
      <c r="Y920" s="105"/>
      <c r="Z920" s="105"/>
    </row>
    <row r="921">
      <c r="A921" s="105"/>
      <c r="B921" s="105"/>
      <c r="C921" s="105"/>
      <c r="D921" s="105"/>
      <c r="E921" s="105"/>
      <c r="F921" s="105"/>
      <c r="G921" s="105"/>
      <c r="H921" s="105"/>
      <c r="I921" s="105"/>
      <c r="J921" s="105"/>
      <c r="K921" s="105"/>
      <c r="L921" s="105"/>
      <c r="M921" s="105"/>
      <c r="N921" s="105"/>
      <c r="O921" s="105"/>
      <c r="P921" s="105"/>
      <c r="Q921" s="105"/>
      <c r="R921" s="105"/>
      <c r="S921" s="105"/>
      <c r="T921" s="105"/>
      <c r="U921" s="105"/>
      <c r="V921" s="105"/>
      <c r="W921" s="105"/>
      <c r="X921" s="105"/>
      <c r="Y921" s="105"/>
      <c r="Z921" s="105"/>
    </row>
    <row r="922">
      <c r="A922" s="105"/>
      <c r="B922" s="105"/>
      <c r="C922" s="105"/>
      <c r="D922" s="105"/>
      <c r="E922" s="105"/>
      <c r="F922" s="105"/>
      <c r="G922" s="105"/>
      <c r="H922" s="105"/>
      <c r="I922" s="105"/>
      <c r="J922" s="105"/>
      <c r="K922" s="105"/>
      <c r="L922" s="105"/>
      <c r="M922" s="105"/>
      <c r="N922" s="105"/>
      <c r="O922" s="105"/>
      <c r="P922" s="105"/>
      <c r="Q922" s="105"/>
      <c r="R922" s="105"/>
      <c r="S922" s="105"/>
      <c r="T922" s="105"/>
      <c r="U922" s="105"/>
      <c r="V922" s="105"/>
      <c r="W922" s="105"/>
      <c r="X922" s="105"/>
      <c r="Y922" s="105"/>
      <c r="Z922" s="105"/>
    </row>
    <row r="923">
      <c r="A923" s="105"/>
      <c r="B923" s="105"/>
      <c r="C923" s="105"/>
      <c r="D923" s="105"/>
      <c r="E923" s="105"/>
      <c r="F923" s="105"/>
      <c r="G923" s="105"/>
      <c r="H923" s="105"/>
      <c r="I923" s="105"/>
      <c r="J923" s="105"/>
      <c r="K923" s="105"/>
      <c r="L923" s="105"/>
      <c r="M923" s="105"/>
      <c r="N923" s="105"/>
      <c r="O923" s="105"/>
      <c r="P923" s="105"/>
      <c r="Q923" s="105"/>
      <c r="R923" s="105"/>
      <c r="S923" s="105"/>
      <c r="T923" s="105"/>
      <c r="U923" s="105"/>
      <c r="V923" s="105"/>
      <c r="W923" s="105"/>
      <c r="X923" s="105"/>
      <c r="Y923" s="105"/>
      <c r="Z923" s="105"/>
    </row>
    <row r="924">
      <c r="A924" s="105"/>
      <c r="B924" s="105"/>
      <c r="C924" s="105"/>
      <c r="D924" s="105"/>
      <c r="E924" s="105"/>
      <c r="F924" s="105"/>
      <c r="G924" s="105"/>
      <c r="H924" s="105"/>
      <c r="I924" s="105"/>
      <c r="J924" s="105"/>
      <c r="K924" s="105"/>
      <c r="L924" s="105"/>
      <c r="M924" s="105"/>
      <c r="N924" s="105"/>
      <c r="O924" s="105"/>
      <c r="P924" s="105"/>
      <c r="Q924" s="105"/>
      <c r="R924" s="105"/>
      <c r="S924" s="105"/>
      <c r="T924" s="105"/>
      <c r="U924" s="105"/>
      <c r="V924" s="105"/>
      <c r="W924" s="105"/>
      <c r="X924" s="105"/>
      <c r="Y924" s="105"/>
      <c r="Z924" s="105"/>
    </row>
    <row r="925">
      <c r="A925" s="105"/>
      <c r="B925" s="105"/>
      <c r="C925" s="105"/>
      <c r="D925" s="105"/>
      <c r="E925" s="105"/>
      <c r="F925" s="105"/>
      <c r="G925" s="105"/>
      <c r="H925" s="105"/>
      <c r="I925" s="105"/>
      <c r="J925" s="105"/>
      <c r="K925" s="105"/>
      <c r="L925" s="105"/>
      <c r="M925" s="105"/>
      <c r="N925" s="105"/>
      <c r="O925" s="105"/>
      <c r="P925" s="105"/>
      <c r="Q925" s="105"/>
      <c r="R925" s="105"/>
      <c r="S925" s="105"/>
      <c r="T925" s="105"/>
      <c r="U925" s="105"/>
      <c r="V925" s="105"/>
      <c r="W925" s="105"/>
      <c r="X925" s="105"/>
      <c r="Y925" s="105"/>
      <c r="Z925" s="105"/>
    </row>
    <row r="926">
      <c r="A926" s="105"/>
      <c r="B926" s="105"/>
      <c r="C926" s="105"/>
      <c r="D926" s="105"/>
      <c r="E926" s="105"/>
      <c r="F926" s="105"/>
      <c r="G926" s="105"/>
      <c r="H926" s="105"/>
      <c r="I926" s="105"/>
      <c r="J926" s="105"/>
      <c r="K926" s="105"/>
      <c r="L926" s="105"/>
      <c r="M926" s="105"/>
      <c r="N926" s="105"/>
      <c r="O926" s="105"/>
      <c r="P926" s="105"/>
      <c r="Q926" s="105"/>
      <c r="R926" s="105"/>
      <c r="S926" s="105"/>
      <c r="T926" s="105"/>
      <c r="U926" s="105"/>
      <c r="V926" s="105"/>
      <c r="W926" s="105"/>
      <c r="X926" s="105"/>
      <c r="Y926" s="105"/>
      <c r="Z926" s="105"/>
    </row>
    <row r="927">
      <c r="A927" s="105"/>
      <c r="B927" s="105"/>
      <c r="C927" s="105"/>
      <c r="D927" s="105"/>
      <c r="E927" s="105"/>
      <c r="F927" s="105"/>
      <c r="G927" s="105"/>
      <c r="H927" s="105"/>
      <c r="I927" s="105"/>
      <c r="J927" s="105"/>
      <c r="K927" s="105"/>
      <c r="L927" s="105"/>
      <c r="M927" s="105"/>
      <c r="N927" s="105"/>
      <c r="O927" s="105"/>
      <c r="P927" s="105"/>
      <c r="Q927" s="105"/>
      <c r="R927" s="105"/>
      <c r="S927" s="105"/>
      <c r="T927" s="105"/>
      <c r="U927" s="105"/>
      <c r="V927" s="105"/>
      <c r="W927" s="105"/>
      <c r="X927" s="105"/>
      <c r="Y927" s="105"/>
      <c r="Z927" s="105"/>
    </row>
    <row r="928">
      <c r="A928" s="105"/>
      <c r="B928" s="105"/>
      <c r="C928" s="105"/>
      <c r="D928" s="105"/>
      <c r="E928" s="105"/>
      <c r="F928" s="105"/>
      <c r="G928" s="105"/>
      <c r="H928" s="105"/>
      <c r="I928" s="105"/>
      <c r="J928" s="105"/>
      <c r="K928" s="105"/>
      <c r="L928" s="105"/>
      <c r="M928" s="105"/>
      <c r="N928" s="105"/>
      <c r="O928" s="105"/>
      <c r="P928" s="105"/>
      <c r="Q928" s="105"/>
      <c r="R928" s="105"/>
      <c r="S928" s="105"/>
      <c r="T928" s="105"/>
      <c r="U928" s="105"/>
      <c r="V928" s="105"/>
      <c r="W928" s="105"/>
      <c r="X928" s="105"/>
      <c r="Y928" s="105"/>
      <c r="Z928" s="105"/>
    </row>
    <row r="929">
      <c r="A929" s="105"/>
      <c r="B929" s="105"/>
      <c r="C929" s="105"/>
      <c r="D929" s="105"/>
      <c r="E929" s="105"/>
      <c r="F929" s="105"/>
      <c r="G929" s="105"/>
      <c r="H929" s="105"/>
      <c r="I929" s="105"/>
      <c r="J929" s="105"/>
      <c r="K929" s="105"/>
      <c r="L929" s="105"/>
      <c r="M929" s="105"/>
      <c r="N929" s="105"/>
      <c r="O929" s="105"/>
      <c r="P929" s="105"/>
      <c r="Q929" s="105"/>
      <c r="R929" s="105"/>
      <c r="S929" s="105"/>
      <c r="T929" s="105"/>
      <c r="U929" s="105"/>
      <c r="V929" s="105"/>
      <c r="W929" s="105"/>
      <c r="X929" s="105"/>
      <c r="Y929" s="105"/>
      <c r="Z929" s="105"/>
    </row>
    <row r="930">
      <c r="A930" s="105"/>
      <c r="B930" s="105"/>
      <c r="C930" s="105"/>
      <c r="D930" s="105"/>
      <c r="E930" s="105"/>
      <c r="F930" s="105"/>
      <c r="G930" s="105"/>
      <c r="H930" s="105"/>
      <c r="I930" s="105"/>
      <c r="J930" s="105"/>
      <c r="K930" s="105"/>
      <c r="L930" s="105"/>
      <c r="M930" s="105"/>
      <c r="N930" s="105"/>
      <c r="O930" s="105"/>
      <c r="P930" s="105"/>
      <c r="Q930" s="105"/>
      <c r="R930" s="105"/>
      <c r="S930" s="105"/>
      <c r="T930" s="105"/>
      <c r="U930" s="105"/>
      <c r="V930" s="105"/>
      <c r="W930" s="105"/>
      <c r="X930" s="105"/>
      <c r="Y930" s="105"/>
      <c r="Z930" s="105"/>
    </row>
    <row r="931">
      <c r="A931" s="105"/>
      <c r="B931" s="105"/>
      <c r="C931" s="105"/>
      <c r="D931" s="105"/>
      <c r="E931" s="105"/>
      <c r="F931" s="105"/>
      <c r="G931" s="105"/>
      <c r="H931" s="105"/>
      <c r="I931" s="105"/>
      <c r="J931" s="105"/>
      <c r="K931" s="105"/>
      <c r="L931" s="105"/>
      <c r="M931" s="105"/>
      <c r="N931" s="105"/>
      <c r="O931" s="105"/>
      <c r="P931" s="105"/>
      <c r="Q931" s="105"/>
      <c r="R931" s="105"/>
      <c r="S931" s="105"/>
      <c r="T931" s="105"/>
      <c r="U931" s="105"/>
      <c r="V931" s="105"/>
      <c r="W931" s="105"/>
      <c r="X931" s="105"/>
      <c r="Y931" s="105"/>
      <c r="Z931" s="105"/>
    </row>
    <row r="932">
      <c r="A932" s="105"/>
      <c r="B932" s="105"/>
      <c r="C932" s="105"/>
      <c r="D932" s="105"/>
      <c r="E932" s="105"/>
      <c r="F932" s="105"/>
      <c r="G932" s="105"/>
      <c r="H932" s="105"/>
      <c r="I932" s="105"/>
      <c r="J932" s="105"/>
      <c r="K932" s="105"/>
      <c r="L932" s="105"/>
      <c r="M932" s="105"/>
      <c r="N932" s="105"/>
      <c r="O932" s="105"/>
      <c r="P932" s="105"/>
      <c r="Q932" s="105"/>
      <c r="R932" s="105"/>
      <c r="S932" s="105"/>
      <c r="T932" s="105"/>
      <c r="U932" s="105"/>
      <c r="V932" s="105"/>
      <c r="W932" s="105"/>
      <c r="X932" s="105"/>
      <c r="Y932" s="105"/>
      <c r="Z932" s="105"/>
    </row>
    <row r="933">
      <c r="A933" s="105"/>
      <c r="B933" s="105"/>
      <c r="C933" s="105"/>
      <c r="D933" s="105"/>
      <c r="E933" s="105"/>
      <c r="F933" s="105"/>
      <c r="G933" s="105"/>
      <c r="H933" s="105"/>
      <c r="I933" s="105"/>
      <c r="J933" s="105"/>
      <c r="K933" s="105"/>
      <c r="L933" s="105"/>
      <c r="M933" s="105"/>
      <c r="N933" s="105"/>
      <c r="O933" s="105"/>
      <c r="P933" s="105"/>
      <c r="Q933" s="105"/>
      <c r="R933" s="105"/>
      <c r="S933" s="105"/>
      <c r="T933" s="105"/>
      <c r="U933" s="105"/>
      <c r="V933" s="105"/>
      <c r="W933" s="105"/>
      <c r="X933" s="105"/>
      <c r="Y933" s="105"/>
      <c r="Z933" s="105"/>
    </row>
    <row r="934">
      <c r="A934" s="105"/>
      <c r="B934" s="105"/>
      <c r="C934" s="105"/>
      <c r="D934" s="105"/>
      <c r="E934" s="105"/>
      <c r="F934" s="105"/>
      <c r="G934" s="105"/>
      <c r="H934" s="105"/>
      <c r="I934" s="105"/>
      <c r="J934" s="105"/>
      <c r="K934" s="105"/>
      <c r="L934" s="105"/>
      <c r="M934" s="105"/>
      <c r="N934" s="105"/>
      <c r="O934" s="105"/>
      <c r="P934" s="105"/>
      <c r="Q934" s="105"/>
      <c r="R934" s="105"/>
      <c r="S934" s="105"/>
      <c r="T934" s="105"/>
      <c r="U934" s="105"/>
      <c r="V934" s="105"/>
      <c r="W934" s="105"/>
      <c r="X934" s="105"/>
      <c r="Y934" s="105"/>
      <c r="Z934" s="105"/>
    </row>
    <row r="935">
      <c r="A935" s="105"/>
      <c r="B935" s="105"/>
      <c r="C935" s="105"/>
      <c r="D935" s="105"/>
      <c r="E935" s="105"/>
      <c r="F935" s="105"/>
      <c r="G935" s="105"/>
      <c r="H935" s="105"/>
      <c r="I935" s="105"/>
      <c r="J935" s="105"/>
      <c r="K935" s="105"/>
      <c r="L935" s="105"/>
      <c r="M935" s="105"/>
      <c r="N935" s="105"/>
      <c r="O935" s="105"/>
      <c r="P935" s="105"/>
      <c r="Q935" s="105"/>
      <c r="R935" s="105"/>
      <c r="S935" s="105"/>
      <c r="T935" s="105"/>
      <c r="U935" s="105"/>
      <c r="V935" s="105"/>
      <c r="W935" s="105"/>
      <c r="X935" s="105"/>
      <c r="Y935" s="105"/>
      <c r="Z935" s="105"/>
    </row>
    <row r="936">
      <c r="A936" s="105"/>
      <c r="B936" s="105"/>
      <c r="C936" s="105"/>
      <c r="D936" s="105"/>
      <c r="E936" s="105"/>
      <c r="F936" s="105"/>
      <c r="G936" s="105"/>
      <c r="H936" s="105"/>
      <c r="I936" s="105"/>
      <c r="J936" s="105"/>
      <c r="K936" s="105"/>
      <c r="L936" s="105"/>
      <c r="M936" s="105"/>
      <c r="N936" s="105"/>
      <c r="O936" s="105"/>
      <c r="P936" s="105"/>
      <c r="Q936" s="105"/>
      <c r="R936" s="105"/>
      <c r="S936" s="105"/>
      <c r="T936" s="105"/>
      <c r="U936" s="105"/>
      <c r="V936" s="105"/>
      <c r="W936" s="105"/>
      <c r="X936" s="105"/>
      <c r="Y936" s="105"/>
      <c r="Z936" s="105"/>
    </row>
    <row r="937">
      <c r="A937" s="105"/>
      <c r="B937" s="105"/>
      <c r="C937" s="105"/>
      <c r="D937" s="105"/>
      <c r="E937" s="105"/>
      <c r="F937" s="105"/>
      <c r="G937" s="105"/>
      <c r="H937" s="105"/>
      <c r="I937" s="105"/>
      <c r="J937" s="105"/>
      <c r="K937" s="105"/>
      <c r="L937" s="105"/>
      <c r="M937" s="105"/>
      <c r="N937" s="105"/>
      <c r="O937" s="105"/>
      <c r="P937" s="105"/>
      <c r="Q937" s="105"/>
      <c r="R937" s="105"/>
      <c r="S937" s="105"/>
      <c r="T937" s="105"/>
      <c r="U937" s="105"/>
      <c r="V937" s="105"/>
      <c r="W937" s="105"/>
      <c r="X937" s="105"/>
      <c r="Y937" s="105"/>
      <c r="Z937" s="105"/>
    </row>
    <row r="938">
      <c r="A938" s="105"/>
      <c r="B938" s="105"/>
      <c r="C938" s="105"/>
      <c r="D938" s="105"/>
      <c r="E938" s="105"/>
      <c r="F938" s="105"/>
      <c r="G938" s="105"/>
      <c r="H938" s="105"/>
      <c r="I938" s="105"/>
      <c r="J938" s="105"/>
      <c r="K938" s="105"/>
      <c r="L938" s="105"/>
      <c r="M938" s="105"/>
      <c r="N938" s="105"/>
      <c r="O938" s="105"/>
      <c r="P938" s="105"/>
      <c r="Q938" s="105"/>
      <c r="R938" s="105"/>
      <c r="S938" s="105"/>
      <c r="T938" s="105"/>
      <c r="U938" s="105"/>
      <c r="V938" s="105"/>
      <c r="W938" s="105"/>
      <c r="X938" s="105"/>
      <c r="Y938" s="105"/>
      <c r="Z938" s="105"/>
    </row>
    <row r="939">
      <c r="A939" s="105"/>
      <c r="B939" s="105"/>
      <c r="C939" s="105"/>
      <c r="D939" s="105"/>
      <c r="E939" s="105"/>
      <c r="F939" s="105"/>
      <c r="G939" s="105"/>
      <c r="H939" s="105"/>
      <c r="I939" s="105"/>
      <c r="J939" s="105"/>
      <c r="K939" s="105"/>
      <c r="L939" s="105"/>
      <c r="M939" s="105"/>
      <c r="N939" s="105"/>
      <c r="O939" s="105"/>
      <c r="P939" s="105"/>
      <c r="Q939" s="105"/>
      <c r="R939" s="105"/>
      <c r="S939" s="105"/>
      <c r="T939" s="105"/>
      <c r="U939" s="105"/>
      <c r="V939" s="105"/>
      <c r="W939" s="105"/>
      <c r="X939" s="105"/>
      <c r="Y939" s="105"/>
      <c r="Z939" s="105"/>
    </row>
    <row r="940">
      <c r="A940" s="105"/>
      <c r="B940" s="105"/>
      <c r="C940" s="105"/>
      <c r="D940" s="105"/>
      <c r="E940" s="105"/>
      <c r="F940" s="105"/>
      <c r="G940" s="105"/>
      <c r="H940" s="105"/>
      <c r="I940" s="105"/>
      <c r="J940" s="105"/>
      <c r="K940" s="105"/>
      <c r="L940" s="105"/>
      <c r="M940" s="105"/>
      <c r="N940" s="105"/>
      <c r="O940" s="105"/>
      <c r="P940" s="105"/>
      <c r="Q940" s="105"/>
      <c r="R940" s="105"/>
      <c r="S940" s="105"/>
      <c r="T940" s="105"/>
      <c r="U940" s="105"/>
      <c r="V940" s="105"/>
      <c r="W940" s="105"/>
      <c r="X940" s="105"/>
      <c r="Y940" s="105"/>
      <c r="Z940" s="105"/>
    </row>
    <row r="941">
      <c r="A941" s="105"/>
      <c r="B941" s="105"/>
      <c r="C941" s="105"/>
      <c r="D941" s="105"/>
      <c r="E941" s="105"/>
      <c r="F941" s="105"/>
      <c r="G941" s="105"/>
      <c r="H941" s="105"/>
      <c r="I941" s="105"/>
      <c r="J941" s="105"/>
      <c r="K941" s="105"/>
      <c r="L941" s="105"/>
      <c r="M941" s="105"/>
      <c r="N941" s="105"/>
      <c r="O941" s="105"/>
      <c r="P941" s="105"/>
      <c r="Q941" s="105"/>
      <c r="R941" s="105"/>
      <c r="S941" s="105"/>
      <c r="T941" s="105"/>
      <c r="U941" s="105"/>
      <c r="V941" s="105"/>
      <c r="W941" s="105"/>
      <c r="X941" s="105"/>
      <c r="Y941" s="105"/>
      <c r="Z941" s="105"/>
    </row>
    <row r="942">
      <c r="A942" s="105"/>
      <c r="B942" s="105"/>
      <c r="C942" s="105"/>
      <c r="D942" s="105"/>
      <c r="E942" s="105"/>
      <c r="F942" s="105"/>
      <c r="G942" s="105"/>
      <c r="H942" s="105"/>
      <c r="I942" s="105"/>
      <c r="J942" s="105"/>
      <c r="K942" s="105"/>
      <c r="L942" s="105"/>
      <c r="M942" s="105"/>
      <c r="N942" s="105"/>
      <c r="O942" s="105"/>
      <c r="P942" s="105"/>
      <c r="Q942" s="105"/>
      <c r="R942" s="105"/>
      <c r="S942" s="105"/>
      <c r="T942" s="105"/>
      <c r="U942" s="105"/>
      <c r="V942" s="105"/>
      <c r="W942" s="105"/>
      <c r="X942" s="105"/>
      <c r="Y942" s="105"/>
      <c r="Z942" s="105"/>
    </row>
    <row r="943">
      <c r="A943" s="105"/>
      <c r="B943" s="105"/>
      <c r="C943" s="105"/>
      <c r="D943" s="105"/>
      <c r="E943" s="105"/>
      <c r="F943" s="105"/>
      <c r="G943" s="105"/>
      <c r="H943" s="105"/>
      <c r="I943" s="105"/>
      <c r="J943" s="105"/>
      <c r="K943" s="105"/>
      <c r="L943" s="105"/>
      <c r="M943" s="105"/>
      <c r="N943" s="105"/>
      <c r="O943" s="105"/>
      <c r="P943" s="105"/>
      <c r="Q943" s="105"/>
      <c r="R943" s="105"/>
      <c r="S943" s="105"/>
      <c r="T943" s="105"/>
      <c r="U943" s="105"/>
      <c r="V943" s="105"/>
      <c r="W943" s="105"/>
      <c r="X943" s="105"/>
      <c r="Y943" s="105"/>
      <c r="Z943" s="105"/>
    </row>
    <row r="944">
      <c r="A944" s="105"/>
      <c r="B944" s="105"/>
      <c r="C944" s="105"/>
      <c r="D944" s="105"/>
      <c r="E944" s="105"/>
      <c r="F944" s="105"/>
      <c r="G944" s="105"/>
      <c r="H944" s="105"/>
      <c r="I944" s="105"/>
      <c r="J944" s="105"/>
      <c r="K944" s="105"/>
      <c r="L944" s="105"/>
      <c r="M944" s="105"/>
      <c r="N944" s="105"/>
      <c r="O944" s="105"/>
      <c r="P944" s="105"/>
      <c r="Q944" s="105"/>
      <c r="R944" s="105"/>
      <c r="S944" s="105"/>
      <c r="T944" s="105"/>
      <c r="U944" s="105"/>
      <c r="V944" s="105"/>
      <c r="W944" s="105"/>
      <c r="X944" s="105"/>
      <c r="Y944" s="105"/>
      <c r="Z944" s="105"/>
    </row>
    <row r="945">
      <c r="A945" s="105"/>
      <c r="B945" s="105"/>
      <c r="C945" s="105"/>
      <c r="D945" s="105"/>
      <c r="E945" s="105"/>
      <c r="F945" s="105"/>
      <c r="G945" s="105"/>
      <c r="H945" s="105"/>
      <c r="I945" s="105"/>
      <c r="J945" s="105"/>
      <c r="K945" s="105"/>
      <c r="L945" s="105"/>
      <c r="M945" s="105"/>
      <c r="N945" s="105"/>
      <c r="O945" s="105"/>
      <c r="P945" s="105"/>
      <c r="Q945" s="105"/>
      <c r="R945" s="105"/>
      <c r="S945" s="105"/>
      <c r="T945" s="105"/>
      <c r="U945" s="105"/>
      <c r="V945" s="105"/>
      <c r="W945" s="105"/>
      <c r="X945" s="105"/>
      <c r="Y945" s="105"/>
      <c r="Z945" s="105"/>
    </row>
    <row r="946">
      <c r="A946" s="105"/>
      <c r="B946" s="105"/>
      <c r="C946" s="105"/>
      <c r="D946" s="105"/>
      <c r="E946" s="105"/>
      <c r="F946" s="105"/>
      <c r="G946" s="105"/>
      <c r="H946" s="105"/>
      <c r="I946" s="105"/>
      <c r="J946" s="105"/>
      <c r="K946" s="105"/>
      <c r="L946" s="105"/>
      <c r="M946" s="105"/>
      <c r="N946" s="105"/>
      <c r="O946" s="105"/>
      <c r="P946" s="105"/>
      <c r="Q946" s="105"/>
      <c r="R946" s="105"/>
      <c r="S946" s="105"/>
      <c r="T946" s="105"/>
      <c r="U946" s="105"/>
      <c r="V946" s="105"/>
      <c r="W946" s="105"/>
      <c r="X946" s="105"/>
      <c r="Y946" s="105"/>
      <c r="Z946" s="105"/>
    </row>
    <row r="947">
      <c r="A947" s="105"/>
      <c r="B947" s="105"/>
      <c r="C947" s="105"/>
      <c r="D947" s="105"/>
      <c r="E947" s="105"/>
      <c r="F947" s="105"/>
      <c r="G947" s="105"/>
      <c r="H947" s="105"/>
      <c r="I947" s="105"/>
      <c r="J947" s="105"/>
      <c r="K947" s="105"/>
      <c r="L947" s="105"/>
      <c r="M947" s="105"/>
      <c r="N947" s="105"/>
      <c r="O947" s="105"/>
      <c r="P947" s="105"/>
      <c r="Q947" s="105"/>
      <c r="R947" s="105"/>
      <c r="S947" s="105"/>
      <c r="T947" s="105"/>
      <c r="U947" s="105"/>
      <c r="V947" s="105"/>
      <c r="W947" s="105"/>
      <c r="X947" s="105"/>
      <c r="Y947" s="105"/>
      <c r="Z947" s="105"/>
    </row>
    <row r="948">
      <c r="A948" s="105"/>
      <c r="B948" s="105"/>
      <c r="C948" s="105"/>
      <c r="D948" s="105"/>
      <c r="E948" s="105"/>
      <c r="F948" s="105"/>
      <c r="G948" s="105"/>
      <c r="H948" s="105"/>
      <c r="I948" s="105"/>
      <c r="J948" s="105"/>
      <c r="K948" s="105"/>
      <c r="L948" s="105"/>
      <c r="M948" s="105"/>
      <c r="N948" s="105"/>
      <c r="O948" s="105"/>
      <c r="P948" s="105"/>
      <c r="Q948" s="105"/>
      <c r="R948" s="105"/>
      <c r="S948" s="105"/>
      <c r="T948" s="105"/>
      <c r="U948" s="105"/>
      <c r="V948" s="105"/>
      <c r="W948" s="105"/>
      <c r="X948" s="105"/>
      <c r="Y948" s="105"/>
      <c r="Z948" s="105"/>
    </row>
    <row r="949">
      <c r="A949" s="105"/>
      <c r="B949" s="105"/>
      <c r="C949" s="105"/>
      <c r="D949" s="105"/>
      <c r="E949" s="105"/>
      <c r="F949" s="105"/>
      <c r="G949" s="105"/>
      <c r="H949" s="105"/>
      <c r="I949" s="105"/>
      <c r="J949" s="105"/>
      <c r="K949" s="105"/>
      <c r="L949" s="105"/>
      <c r="M949" s="105"/>
      <c r="N949" s="105"/>
      <c r="O949" s="105"/>
      <c r="P949" s="105"/>
      <c r="Q949" s="105"/>
      <c r="R949" s="105"/>
      <c r="S949" s="105"/>
      <c r="T949" s="105"/>
      <c r="U949" s="105"/>
      <c r="V949" s="105"/>
      <c r="W949" s="105"/>
      <c r="X949" s="105"/>
      <c r="Y949" s="105"/>
      <c r="Z949" s="105"/>
    </row>
    <row r="950">
      <c r="A950" s="105"/>
      <c r="B950" s="105"/>
      <c r="C950" s="105"/>
      <c r="D950" s="105"/>
      <c r="E950" s="105"/>
      <c r="F950" s="105"/>
      <c r="G950" s="105"/>
      <c r="H950" s="105"/>
      <c r="I950" s="105"/>
      <c r="J950" s="105"/>
      <c r="K950" s="105"/>
      <c r="L950" s="105"/>
      <c r="M950" s="105"/>
      <c r="N950" s="105"/>
      <c r="O950" s="105"/>
      <c r="P950" s="105"/>
      <c r="Q950" s="105"/>
      <c r="R950" s="105"/>
      <c r="S950" s="105"/>
      <c r="T950" s="105"/>
      <c r="U950" s="105"/>
      <c r="V950" s="105"/>
      <c r="W950" s="105"/>
      <c r="X950" s="105"/>
      <c r="Y950" s="105"/>
      <c r="Z950" s="105"/>
    </row>
    <row r="951">
      <c r="A951" s="105"/>
      <c r="B951" s="105"/>
      <c r="C951" s="105"/>
      <c r="D951" s="105"/>
      <c r="E951" s="105"/>
      <c r="F951" s="105"/>
      <c r="G951" s="105"/>
      <c r="H951" s="105"/>
      <c r="I951" s="105"/>
      <c r="J951" s="105"/>
      <c r="K951" s="105"/>
      <c r="L951" s="105"/>
      <c r="M951" s="105"/>
      <c r="N951" s="105"/>
      <c r="O951" s="105"/>
      <c r="P951" s="105"/>
      <c r="Q951" s="105"/>
      <c r="R951" s="105"/>
      <c r="S951" s="105"/>
      <c r="T951" s="105"/>
      <c r="U951" s="105"/>
      <c r="V951" s="105"/>
      <c r="W951" s="105"/>
      <c r="X951" s="105"/>
      <c r="Y951" s="105"/>
      <c r="Z951" s="105"/>
    </row>
    <row r="952">
      <c r="A952" s="105"/>
      <c r="B952" s="105"/>
      <c r="C952" s="105"/>
      <c r="D952" s="105"/>
      <c r="E952" s="105"/>
      <c r="F952" s="105"/>
      <c r="G952" s="105"/>
      <c r="H952" s="105"/>
      <c r="I952" s="105"/>
      <c r="J952" s="105"/>
      <c r="K952" s="105"/>
      <c r="L952" s="105"/>
      <c r="M952" s="105"/>
      <c r="N952" s="105"/>
      <c r="O952" s="105"/>
      <c r="P952" s="105"/>
      <c r="Q952" s="105"/>
      <c r="R952" s="105"/>
      <c r="S952" s="105"/>
      <c r="T952" s="105"/>
      <c r="U952" s="105"/>
      <c r="V952" s="105"/>
      <c r="W952" s="105"/>
      <c r="X952" s="105"/>
      <c r="Y952" s="105"/>
      <c r="Z952" s="105"/>
    </row>
    <row r="953">
      <c r="A953" s="105"/>
      <c r="B953" s="105"/>
      <c r="C953" s="105"/>
      <c r="D953" s="105"/>
      <c r="E953" s="105"/>
      <c r="F953" s="105"/>
      <c r="G953" s="105"/>
      <c r="H953" s="105"/>
      <c r="I953" s="105"/>
      <c r="J953" s="105"/>
      <c r="K953" s="105"/>
      <c r="L953" s="105"/>
      <c r="M953" s="105"/>
      <c r="N953" s="105"/>
      <c r="O953" s="105"/>
      <c r="P953" s="105"/>
      <c r="Q953" s="105"/>
      <c r="R953" s="105"/>
      <c r="S953" s="105"/>
      <c r="T953" s="105"/>
      <c r="U953" s="105"/>
      <c r="V953" s="105"/>
      <c r="W953" s="105"/>
      <c r="X953" s="105"/>
      <c r="Y953" s="105"/>
      <c r="Z953" s="105"/>
    </row>
    <row r="954">
      <c r="A954" s="105"/>
      <c r="B954" s="105"/>
      <c r="C954" s="105"/>
      <c r="D954" s="105"/>
      <c r="E954" s="105"/>
      <c r="F954" s="105"/>
      <c r="G954" s="105"/>
      <c r="H954" s="105"/>
      <c r="I954" s="105"/>
      <c r="J954" s="105"/>
      <c r="K954" s="105"/>
      <c r="L954" s="105"/>
      <c r="M954" s="105"/>
      <c r="N954" s="105"/>
      <c r="O954" s="105"/>
      <c r="P954" s="105"/>
      <c r="Q954" s="105"/>
      <c r="R954" s="105"/>
      <c r="S954" s="105"/>
      <c r="T954" s="105"/>
      <c r="U954" s="105"/>
      <c r="V954" s="105"/>
      <c r="W954" s="105"/>
      <c r="X954" s="105"/>
      <c r="Y954" s="105"/>
      <c r="Z954" s="105"/>
    </row>
    <row r="955">
      <c r="A955" s="105"/>
      <c r="B955" s="105"/>
      <c r="C955" s="105"/>
      <c r="D955" s="105"/>
      <c r="E955" s="105"/>
      <c r="F955" s="105"/>
      <c r="G955" s="105"/>
      <c r="H955" s="105"/>
      <c r="I955" s="105"/>
      <c r="J955" s="105"/>
      <c r="K955" s="105"/>
      <c r="L955" s="105"/>
      <c r="M955" s="105"/>
      <c r="N955" s="105"/>
      <c r="O955" s="105"/>
      <c r="P955" s="105"/>
      <c r="Q955" s="105"/>
      <c r="R955" s="105"/>
      <c r="S955" s="105"/>
      <c r="T955" s="105"/>
      <c r="U955" s="105"/>
      <c r="V955" s="105"/>
      <c r="W955" s="105"/>
      <c r="X955" s="105"/>
      <c r="Y955" s="105"/>
      <c r="Z955" s="105"/>
    </row>
    <row r="956">
      <c r="A956" s="105"/>
      <c r="B956" s="105"/>
      <c r="C956" s="105"/>
      <c r="D956" s="105"/>
      <c r="E956" s="105"/>
      <c r="F956" s="105"/>
      <c r="G956" s="105"/>
      <c r="H956" s="105"/>
      <c r="I956" s="105"/>
      <c r="J956" s="105"/>
      <c r="K956" s="105"/>
      <c r="L956" s="105"/>
      <c r="M956" s="105"/>
      <c r="N956" s="105"/>
      <c r="O956" s="105"/>
      <c r="P956" s="105"/>
      <c r="Q956" s="105"/>
      <c r="R956" s="105"/>
      <c r="S956" s="105"/>
      <c r="T956" s="105"/>
      <c r="U956" s="105"/>
      <c r="V956" s="105"/>
      <c r="W956" s="105"/>
      <c r="X956" s="105"/>
      <c r="Y956" s="105"/>
      <c r="Z956" s="105"/>
    </row>
    <row r="957">
      <c r="A957" s="105"/>
      <c r="B957" s="105"/>
      <c r="C957" s="105"/>
      <c r="D957" s="105"/>
      <c r="E957" s="105"/>
      <c r="F957" s="105"/>
      <c r="G957" s="105"/>
      <c r="H957" s="105"/>
      <c r="I957" s="105"/>
      <c r="J957" s="105"/>
      <c r="K957" s="105"/>
      <c r="L957" s="105"/>
      <c r="M957" s="105"/>
      <c r="N957" s="105"/>
      <c r="O957" s="105"/>
      <c r="P957" s="105"/>
      <c r="Q957" s="105"/>
      <c r="R957" s="105"/>
      <c r="S957" s="105"/>
      <c r="T957" s="105"/>
      <c r="U957" s="105"/>
      <c r="V957" s="105"/>
      <c r="W957" s="105"/>
      <c r="X957" s="105"/>
      <c r="Y957" s="105"/>
      <c r="Z957" s="105"/>
    </row>
    <row r="958">
      <c r="A958" s="105"/>
      <c r="B958" s="105"/>
      <c r="C958" s="105"/>
      <c r="D958" s="105"/>
      <c r="E958" s="105"/>
      <c r="F958" s="105"/>
      <c r="G958" s="105"/>
      <c r="H958" s="105"/>
      <c r="I958" s="105"/>
      <c r="J958" s="105"/>
      <c r="K958" s="105"/>
      <c r="L958" s="105"/>
      <c r="M958" s="105"/>
      <c r="N958" s="105"/>
      <c r="O958" s="105"/>
      <c r="P958" s="105"/>
      <c r="Q958" s="105"/>
      <c r="R958" s="105"/>
      <c r="S958" s="105"/>
      <c r="T958" s="105"/>
      <c r="U958" s="105"/>
      <c r="V958" s="105"/>
      <c r="W958" s="105"/>
      <c r="X958" s="105"/>
      <c r="Y958" s="105"/>
      <c r="Z958" s="105"/>
    </row>
    <row r="959">
      <c r="A959" s="105"/>
      <c r="B959" s="105"/>
      <c r="C959" s="105"/>
      <c r="D959" s="105"/>
      <c r="E959" s="105"/>
      <c r="F959" s="105"/>
      <c r="G959" s="105"/>
      <c r="H959" s="105"/>
      <c r="I959" s="105"/>
      <c r="J959" s="105"/>
      <c r="K959" s="105"/>
      <c r="L959" s="105"/>
      <c r="M959" s="105"/>
      <c r="N959" s="105"/>
      <c r="O959" s="105"/>
      <c r="P959" s="105"/>
      <c r="Q959" s="105"/>
      <c r="R959" s="105"/>
      <c r="S959" s="105"/>
      <c r="T959" s="105"/>
      <c r="U959" s="105"/>
      <c r="V959" s="105"/>
      <c r="W959" s="105"/>
      <c r="X959" s="105"/>
      <c r="Y959" s="105"/>
      <c r="Z959" s="105"/>
    </row>
    <row r="960">
      <c r="A960" s="105"/>
      <c r="B960" s="105"/>
      <c r="C960" s="105"/>
      <c r="D960" s="105"/>
      <c r="E960" s="105"/>
      <c r="F960" s="105"/>
      <c r="G960" s="105"/>
      <c r="H960" s="105"/>
      <c r="I960" s="105"/>
      <c r="J960" s="105"/>
      <c r="K960" s="105"/>
      <c r="L960" s="105"/>
      <c r="M960" s="105"/>
      <c r="N960" s="105"/>
      <c r="O960" s="105"/>
      <c r="P960" s="105"/>
      <c r="Q960" s="105"/>
      <c r="R960" s="105"/>
      <c r="S960" s="105"/>
      <c r="T960" s="105"/>
      <c r="U960" s="105"/>
      <c r="V960" s="105"/>
      <c r="W960" s="105"/>
      <c r="X960" s="105"/>
      <c r="Y960" s="105"/>
      <c r="Z960" s="105"/>
    </row>
    <row r="961">
      <c r="A961" s="105"/>
      <c r="B961" s="105"/>
      <c r="C961" s="105"/>
      <c r="D961" s="105"/>
      <c r="E961" s="105"/>
      <c r="F961" s="105"/>
      <c r="G961" s="105"/>
      <c r="H961" s="105"/>
      <c r="I961" s="105"/>
      <c r="J961" s="105"/>
      <c r="K961" s="105"/>
      <c r="L961" s="105"/>
      <c r="M961" s="105"/>
      <c r="N961" s="105"/>
      <c r="O961" s="105"/>
      <c r="P961" s="105"/>
      <c r="Q961" s="105"/>
      <c r="R961" s="105"/>
      <c r="S961" s="105"/>
      <c r="T961" s="105"/>
      <c r="U961" s="105"/>
      <c r="V961" s="105"/>
      <c r="W961" s="105"/>
      <c r="X961" s="105"/>
      <c r="Y961" s="105"/>
      <c r="Z961" s="105"/>
    </row>
    <row r="962">
      <c r="A962" s="105"/>
      <c r="B962" s="105"/>
      <c r="C962" s="105"/>
      <c r="D962" s="105"/>
      <c r="E962" s="105"/>
      <c r="F962" s="105"/>
      <c r="G962" s="105"/>
      <c r="H962" s="105"/>
      <c r="I962" s="105"/>
      <c r="J962" s="105"/>
      <c r="K962" s="105"/>
      <c r="L962" s="105"/>
      <c r="M962" s="105"/>
      <c r="N962" s="105"/>
      <c r="O962" s="105"/>
      <c r="P962" s="105"/>
      <c r="Q962" s="105"/>
      <c r="R962" s="105"/>
      <c r="S962" s="105"/>
      <c r="T962" s="105"/>
      <c r="U962" s="105"/>
      <c r="V962" s="105"/>
      <c r="W962" s="105"/>
      <c r="X962" s="105"/>
      <c r="Y962" s="105"/>
      <c r="Z962" s="105"/>
    </row>
    <row r="963">
      <c r="A963" s="105"/>
      <c r="B963" s="105"/>
      <c r="C963" s="105"/>
      <c r="D963" s="105"/>
      <c r="E963" s="105"/>
      <c r="F963" s="105"/>
      <c r="G963" s="105"/>
      <c r="H963" s="105"/>
      <c r="I963" s="105"/>
      <c r="J963" s="105"/>
      <c r="K963" s="105"/>
      <c r="L963" s="105"/>
      <c r="M963" s="105"/>
      <c r="N963" s="105"/>
      <c r="O963" s="105"/>
      <c r="P963" s="105"/>
      <c r="Q963" s="105"/>
      <c r="R963" s="105"/>
      <c r="S963" s="105"/>
      <c r="T963" s="105"/>
      <c r="U963" s="105"/>
      <c r="V963" s="105"/>
      <c r="W963" s="105"/>
      <c r="X963" s="105"/>
      <c r="Y963" s="105"/>
      <c r="Z963" s="105"/>
    </row>
    <row r="964">
      <c r="A964" s="105"/>
      <c r="B964" s="105"/>
      <c r="C964" s="105"/>
      <c r="D964" s="105"/>
      <c r="E964" s="105"/>
      <c r="F964" s="105"/>
      <c r="G964" s="105"/>
      <c r="H964" s="105"/>
      <c r="I964" s="105"/>
      <c r="J964" s="105"/>
      <c r="K964" s="105"/>
      <c r="L964" s="105"/>
      <c r="M964" s="105"/>
      <c r="N964" s="105"/>
      <c r="O964" s="105"/>
      <c r="P964" s="105"/>
      <c r="Q964" s="105"/>
      <c r="R964" s="105"/>
      <c r="S964" s="105"/>
      <c r="T964" s="105"/>
      <c r="U964" s="105"/>
      <c r="V964" s="105"/>
      <c r="W964" s="105"/>
      <c r="X964" s="105"/>
      <c r="Y964" s="105"/>
      <c r="Z964" s="105"/>
    </row>
    <row r="965">
      <c r="A965" s="105"/>
      <c r="B965" s="105"/>
      <c r="C965" s="105"/>
      <c r="D965" s="105"/>
      <c r="E965" s="105"/>
      <c r="F965" s="105"/>
      <c r="G965" s="105"/>
      <c r="H965" s="105"/>
      <c r="I965" s="105"/>
      <c r="J965" s="105"/>
      <c r="K965" s="105"/>
      <c r="L965" s="105"/>
      <c r="M965" s="105"/>
      <c r="N965" s="105"/>
      <c r="O965" s="105"/>
      <c r="P965" s="105"/>
      <c r="Q965" s="105"/>
      <c r="R965" s="105"/>
      <c r="S965" s="105"/>
      <c r="T965" s="105"/>
      <c r="U965" s="105"/>
      <c r="V965" s="105"/>
      <c r="W965" s="105"/>
      <c r="X965" s="105"/>
      <c r="Y965" s="105"/>
      <c r="Z965" s="105"/>
    </row>
    <row r="966">
      <c r="A966" s="105"/>
      <c r="B966" s="105"/>
      <c r="C966" s="105"/>
      <c r="D966" s="105"/>
      <c r="E966" s="105"/>
      <c r="F966" s="105"/>
      <c r="G966" s="105"/>
      <c r="H966" s="105"/>
      <c r="I966" s="105"/>
      <c r="J966" s="105"/>
      <c r="K966" s="105"/>
      <c r="L966" s="105"/>
      <c r="M966" s="105"/>
      <c r="N966" s="105"/>
      <c r="O966" s="105"/>
      <c r="P966" s="105"/>
      <c r="Q966" s="105"/>
      <c r="R966" s="105"/>
      <c r="S966" s="105"/>
      <c r="T966" s="105"/>
      <c r="U966" s="105"/>
      <c r="V966" s="105"/>
      <c r="W966" s="105"/>
      <c r="X966" s="105"/>
      <c r="Y966" s="105"/>
      <c r="Z966" s="105"/>
    </row>
    <row r="967">
      <c r="A967" s="105"/>
      <c r="B967" s="105"/>
      <c r="C967" s="105"/>
      <c r="D967" s="105"/>
      <c r="E967" s="105"/>
      <c r="F967" s="105"/>
      <c r="G967" s="105"/>
      <c r="H967" s="105"/>
      <c r="I967" s="105"/>
      <c r="J967" s="105"/>
      <c r="K967" s="105"/>
      <c r="L967" s="105"/>
      <c r="M967" s="105"/>
      <c r="N967" s="105"/>
      <c r="O967" s="105"/>
      <c r="P967" s="105"/>
      <c r="Q967" s="105"/>
      <c r="R967" s="105"/>
      <c r="S967" s="105"/>
      <c r="T967" s="105"/>
      <c r="U967" s="105"/>
      <c r="V967" s="105"/>
      <c r="W967" s="105"/>
      <c r="X967" s="105"/>
      <c r="Y967" s="105"/>
      <c r="Z967" s="105"/>
    </row>
    <row r="968">
      <c r="A968" s="105"/>
      <c r="B968" s="105"/>
      <c r="C968" s="105"/>
      <c r="D968" s="105"/>
      <c r="E968" s="105"/>
      <c r="F968" s="105"/>
      <c r="G968" s="105"/>
      <c r="H968" s="105"/>
      <c r="I968" s="105"/>
      <c r="J968" s="105"/>
      <c r="K968" s="105"/>
      <c r="L968" s="105"/>
      <c r="M968" s="105"/>
      <c r="N968" s="105"/>
      <c r="O968" s="105"/>
      <c r="P968" s="105"/>
      <c r="Q968" s="105"/>
      <c r="R968" s="105"/>
      <c r="S968" s="105"/>
      <c r="T968" s="105"/>
      <c r="U968" s="105"/>
      <c r="V968" s="105"/>
      <c r="W968" s="105"/>
      <c r="X968" s="105"/>
      <c r="Y968" s="105"/>
      <c r="Z968" s="105"/>
    </row>
    <row r="969">
      <c r="A969" s="105"/>
      <c r="B969" s="105"/>
      <c r="C969" s="105"/>
      <c r="D969" s="105"/>
      <c r="E969" s="105"/>
      <c r="F969" s="105"/>
      <c r="G969" s="105"/>
      <c r="H969" s="105"/>
      <c r="I969" s="105"/>
      <c r="J969" s="105"/>
      <c r="K969" s="105"/>
      <c r="L969" s="105"/>
      <c r="M969" s="105"/>
      <c r="N969" s="105"/>
      <c r="O969" s="105"/>
      <c r="P969" s="105"/>
      <c r="Q969" s="105"/>
      <c r="R969" s="105"/>
      <c r="S969" s="105"/>
      <c r="T969" s="105"/>
      <c r="U969" s="105"/>
      <c r="V969" s="105"/>
      <c r="W969" s="105"/>
      <c r="X969" s="105"/>
      <c r="Y969" s="105"/>
      <c r="Z969" s="105"/>
    </row>
    <row r="970">
      <c r="A970" s="105"/>
      <c r="B970" s="105"/>
      <c r="C970" s="105"/>
      <c r="D970" s="105"/>
      <c r="E970" s="105"/>
      <c r="F970" s="105"/>
      <c r="G970" s="105"/>
      <c r="H970" s="105"/>
      <c r="I970" s="105"/>
      <c r="J970" s="105"/>
      <c r="K970" s="105"/>
      <c r="L970" s="105"/>
      <c r="M970" s="105"/>
      <c r="N970" s="105"/>
      <c r="O970" s="105"/>
      <c r="P970" s="105"/>
      <c r="Q970" s="105"/>
      <c r="R970" s="105"/>
      <c r="S970" s="105"/>
      <c r="T970" s="105"/>
      <c r="U970" s="105"/>
      <c r="V970" s="105"/>
      <c r="W970" s="105"/>
      <c r="X970" s="105"/>
      <c r="Y970" s="105"/>
      <c r="Z970" s="105"/>
    </row>
    <row r="971">
      <c r="A971" s="105"/>
      <c r="B971" s="105"/>
      <c r="C971" s="105"/>
      <c r="D971" s="105"/>
      <c r="E971" s="105"/>
      <c r="F971" s="105"/>
      <c r="G971" s="105"/>
      <c r="H971" s="105"/>
      <c r="I971" s="105"/>
      <c r="J971" s="105"/>
      <c r="K971" s="105"/>
      <c r="L971" s="105"/>
      <c r="M971" s="105"/>
      <c r="N971" s="105"/>
      <c r="O971" s="105"/>
      <c r="P971" s="105"/>
      <c r="Q971" s="105"/>
      <c r="R971" s="105"/>
      <c r="S971" s="105"/>
      <c r="T971" s="105"/>
      <c r="U971" s="105"/>
      <c r="V971" s="105"/>
      <c r="W971" s="105"/>
      <c r="X971" s="105"/>
      <c r="Y971" s="105"/>
      <c r="Z971" s="105"/>
    </row>
    <row r="972">
      <c r="A972" s="105"/>
      <c r="B972" s="105"/>
      <c r="C972" s="105"/>
      <c r="D972" s="105"/>
      <c r="E972" s="105"/>
      <c r="F972" s="105"/>
      <c r="G972" s="105"/>
      <c r="H972" s="105"/>
      <c r="I972" s="105"/>
      <c r="J972" s="105"/>
      <c r="K972" s="105"/>
      <c r="L972" s="105"/>
      <c r="M972" s="105"/>
      <c r="N972" s="105"/>
      <c r="O972" s="105"/>
      <c r="P972" s="105"/>
      <c r="Q972" s="105"/>
      <c r="R972" s="105"/>
      <c r="S972" s="105"/>
      <c r="T972" s="105"/>
      <c r="U972" s="105"/>
      <c r="V972" s="105"/>
      <c r="W972" s="105"/>
      <c r="X972" s="105"/>
      <c r="Y972" s="105"/>
      <c r="Z972" s="105"/>
    </row>
    <row r="973">
      <c r="A973" s="105"/>
      <c r="B973" s="105"/>
      <c r="C973" s="105"/>
      <c r="D973" s="105"/>
      <c r="E973" s="105"/>
      <c r="F973" s="105"/>
      <c r="G973" s="105"/>
      <c r="H973" s="105"/>
      <c r="I973" s="105"/>
      <c r="J973" s="105"/>
      <c r="K973" s="105"/>
      <c r="L973" s="105"/>
      <c r="M973" s="105"/>
      <c r="N973" s="105"/>
      <c r="O973" s="105"/>
      <c r="P973" s="105"/>
      <c r="Q973" s="105"/>
      <c r="R973" s="105"/>
      <c r="S973" s="105"/>
      <c r="T973" s="105"/>
      <c r="U973" s="105"/>
      <c r="V973" s="105"/>
      <c r="W973" s="105"/>
      <c r="X973" s="105"/>
      <c r="Y973" s="105"/>
      <c r="Z973" s="105"/>
    </row>
    <row r="974">
      <c r="A974" s="105"/>
      <c r="B974" s="105"/>
      <c r="C974" s="105"/>
      <c r="D974" s="105"/>
      <c r="E974" s="105"/>
      <c r="F974" s="105"/>
      <c r="G974" s="105"/>
      <c r="H974" s="105"/>
      <c r="I974" s="105"/>
      <c r="J974" s="105"/>
      <c r="K974" s="105"/>
      <c r="L974" s="105"/>
      <c r="M974" s="105"/>
      <c r="N974" s="105"/>
      <c r="O974" s="105"/>
      <c r="P974" s="105"/>
      <c r="Q974" s="105"/>
      <c r="R974" s="105"/>
      <c r="S974" s="105"/>
      <c r="T974" s="105"/>
      <c r="U974" s="105"/>
      <c r="V974" s="105"/>
      <c r="W974" s="105"/>
      <c r="X974" s="105"/>
      <c r="Y974" s="105"/>
      <c r="Z974" s="105"/>
    </row>
    <row r="975">
      <c r="A975" s="105"/>
      <c r="B975" s="105"/>
      <c r="C975" s="105"/>
      <c r="D975" s="105"/>
      <c r="E975" s="105"/>
      <c r="F975" s="105"/>
      <c r="G975" s="105"/>
      <c r="H975" s="105"/>
      <c r="I975" s="105"/>
      <c r="J975" s="105"/>
      <c r="K975" s="105"/>
      <c r="L975" s="105"/>
      <c r="M975" s="105"/>
      <c r="N975" s="105"/>
      <c r="O975" s="105"/>
      <c r="P975" s="105"/>
      <c r="Q975" s="105"/>
      <c r="R975" s="105"/>
      <c r="S975" s="105"/>
      <c r="T975" s="105"/>
      <c r="U975" s="105"/>
      <c r="V975" s="105"/>
      <c r="W975" s="105"/>
      <c r="X975" s="105"/>
      <c r="Y975" s="105"/>
      <c r="Z975" s="105"/>
    </row>
    <row r="976">
      <c r="A976" s="105"/>
      <c r="B976" s="105"/>
      <c r="C976" s="105"/>
      <c r="D976" s="105"/>
      <c r="E976" s="105"/>
      <c r="F976" s="105"/>
      <c r="G976" s="105"/>
      <c r="H976" s="105"/>
      <c r="I976" s="105"/>
      <c r="J976" s="105"/>
      <c r="K976" s="105"/>
      <c r="L976" s="105"/>
      <c r="M976" s="105"/>
      <c r="N976" s="105"/>
      <c r="O976" s="105"/>
      <c r="P976" s="105"/>
      <c r="Q976" s="105"/>
      <c r="R976" s="105"/>
      <c r="S976" s="105"/>
      <c r="T976" s="105"/>
      <c r="U976" s="105"/>
      <c r="V976" s="105"/>
      <c r="W976" s="105"/>
      <c r="X976" s="105"/>
      <c r="Y976" s="105"/>
      <c r="Z976" s="105"/>
    </row>
    <row r="977">
      <c r="A977" s="105"/>
      <c r="B977" s="105"/>
      <c r="C977" s="105"/>
      <c r="D977" s="105"/>
      <c r="E977" s="105"/>
      <c r="F977" s="105"/>
      <c r="G977" s="105"/>
      <c r="H977" s="105"/>
      <c r="I977" s="105"/>
      <c r="J977" s="105"/>
      <c r="K977" s="105"/>
      <c r="L977" s="105"/>
      <c r="M977" s="105"/>
      <c r="N977" s="105"/>
      <c r="O977" s="105"/>
      <c r="P977" s="105"/>
      <c r="Q977" s="105"/>
      <c r="R977" s="105"/>
      <c r="S977" s="105"/>
      <c r="T977" s="105"/>
      <c r="U977" s="105"/>
      <c r="V977" s="105"/>
      <c r="W977" s="105"/>
      <c r="X977" s="105"/>
      <c r="Y977" s="105"/>
      <c r="Z977" s="105"/>
    </row>
    <row r="978">
      <c r="A978" s="105"/>
      <c r="B978" s="105"/>
      <c r="C978" s="105"/>
      <c r="D978" s="105"/>
      <c r="E978" s="105"/>
      <c r="F978" s="105"/>
      <c r="G978" s="105"/>
      <c r="H978" s="105"/>
      <c r="I978" s="105"/>
      <c r="J978" s="105"/>
      <c r="K978" s="105"/>
      <c r="L978" s="105"/>
      <c r="M978" s="105"/>
      <c r="N978" s="105"/>
      <c r="O978" s="105"/>
      <c r="P978" s="105"/>
      <c r="Q978" s="105"/>
      <c r="R978" s="105"/>
      <c r="S978" s="105"/>
      <c r="T978" s="105"/>
      <c r="U978" s="105"/>
      <c r="V978" s="105"/>
      <c r="W978" s="105"/>
      <c r="X978" s="105"/>
      <c r="Y978" s="105"/>
      <c r="Z978" s="105"/>
    </row>
    <row r="979">
      <c r="A979" s="105"/>
      <c r="B979" s="105"/>
      <c r="C979" s="105"/>
      <c r="D979" s="105"/>
      <c r="E979" s="105"/>
      <c r="F979" s="105"/>
      <c r="G979" s="105"/>
      <c r="H979" s="105"/>
      <c r="I979" s="105"/>
      <c r="J979" s="105"/>
      <c r="K979" s="105"/>
      <c r="L979" s="105"/>
      <c r="M979" s="105"/>
      <c r="N979" s="105"/>
      <c r="O979" s="105"/>
      <c r="P979" s="105"/>
      <c r="Q979" s="105"/>
      <c r="R979" s="105"/>
      <c r="S979" s="105"/>
      <c r="T979" s="105"/>
      <c r="U979" s="105"/>
      <c r="V979" s="105"/>
      <c r="W979" s="105"/>
      <c r="X979" s="105"/>
      <c r="Y979" s="105"/>
      <c r="Z979" s="105"/>
    </row>
    <row r="980">
      <c r="A980" s="105"/>
      <c r="B980" s="105"/>
      <c r="C980" s="105"/>
      <c r="D980" s="105"/>
      <c r="E980" s="105"/>
      <c r="F980" s="105"/>
      <c r="G980" s="105"/>
      <c r="H980" s="105"/>
      <c r="I980" s="105"/>
      <c r="J980" s="105"/>
      <c r="K980" s="105"/>
      <c r="L980" s="105"/>
      <c r="M980" s="105"/>
      <c r="N980" s="105"/>
      <c r="O980" s="105"/>
      <c r="P980" s="105"/>
      <c r="Q980" s="105"/>
      <c r="R980" s="105"/>
      <c r="S980" s="105"/>
      <c r="T980" s="105"/>
      <c r="U980" s="105"/>
      <c r="V980" s="105"/>
      <c r="W980" s="105"/>
      <c r="X980" s="105"/>
      <c r="Y980" s="105"/>
      <c r="Z980" s="105"/>
    </row>
    <row r="981">
      <c r="A981" s="105"/>
      <c r="B981" s="105"/>
      <c r="C981" s="105"/>
      <c r="D981" s="105"/>
      <c r="E981" s="105"/>
      <c r="F981" s="105"/>
      <c r="G981" s="105"/>
      <c r="H981" s="105"/>
      <c r="I981" s="105"/>
      <c r="J981" s="105"/>
      <c r="K981" s="105"/>
      <c r="L981" s="105"/>
      <c r="M981" s="105"/>
      <c r="N981" s="105"/>
      <c r="O981" s="105"/>
      <c r="P981" s="105"/>
      <c r="Q981" s="105"/>
      <c r="R981" s="105"/>
      <c r="S981" s="105"/>
      <c r="T981" s="105"/>
      <c r="U981" s="105"/>
      <c r="V981" s="105"/>
      <c r="W981" s="105"/>
      <c r="X981" s="105"/>
      <c r="Y981" s="105"/>
      <c r="Z981" s="105"/>
    </row>
    <row r="982">
      <c r="A982" s="105"/>
      <c r="B982" s="105"/>
      <c r="C982" s="105"/>
      <c r="D982" s="105"/>
      <c r="E982" s="105"/>
      <c r="F982" s="105"/>
      <c r="G982" s="105"/>
      <c r="H982" s="105"/>
      <c r="I982" s="105"/>
      <c r="J982" s="105"/>
      <c r="K982" s="105"/>
      <c r="L982" s="105"/>
      <c r="M982" s="105"/>
      <c r="N982" s="105"/>
      <c r="O982" s="105"/>
      <c r="P982" s="105"/>
      <c r="Q982" s="105"/>
      <c r="R982" s="105"/>
      <c r="S982" s="105"/>
      <c r="T982" s="105"/>
      <c r="U982" s="105"/>
      <c r="V982" s="105"/>
      <c r="W982" s="105"/>
      <c r="X982" s="105"/>
      <c r="Y982" s="105"/>
      <c r="Z982" s="105"/>
    </row>
    <row r="983">
      <c r="A983" s="105"/>
      <c r="B983" s="105"/>
      <c r="C983" s="105"/>
      <c r="D983" s="105"/>
      <c r="E983" s="105"/>
      <c r="F983" s="105"/>
      <c r="G983" s="105"/>
      <c r="H983" s="105"/>
      <c r="I983" s="105"/>
      <c r="J983" s="105"/>
      <c r="K983" s="105"/>
      <c r="L983" s="105"/>
      <c r="M983" s="105"/>
      <c r="N983" s="105"/>
      <c r="O983" s="105"/>
      <c r="P983" s="105"/>
      <c r="Q983" s="105"/>
      <c r="R983" s="105"/>
      <c r="S983" s="105"/>
      <c r="T983" s="105"/>
      <c r="U983" s="105"/>
      <c r="V983" s="105"/>
      <c r="W983" s="105"/>
      <c r="X983" s="105"/>
      <c r="Y983" s="105"/>
      <c r="Z983" s="105"/>
    </row>
    <row r="984">
      <c r="A984" s="105"/>
      <c r="B984" s="105"/>
      <c r="C984" s="105"/>
      <c r="D984" s="105"/>
      <c r="E984" s="105"/>
      <c r="F984" s="105"/>
      <c r="G984" s="105"/>
      <c r="H984" s="105"/>
      <c r="I984" s="105"/>
      <c r="J984" s="105"/>
      <c r="K984" s="105"/>
      <c r="L984" s="105"/>
      <c r="M984" s="105"/>
      <c r="N984" s="105"/>
      <c r="O984" s="105"/>
      <c r="P984" s="105"/>
      <c r="Q984" s="105"/>
      <c r="R984" s="105"/>
      <c r="S984" s="105"/>
      <c r="T984" s="105"/>
      <c r="U984" s="105"/>
      <c r="V984" s="105"/>
      <c r="W984" s="105"/>
      <c r="X984" s="105"/>
      <c r="Y984" s="105"/>
      <c r="Z984" s="105"/>
    </row>
    <row r="985">
      <c r="A985" s="105"/>
      <c r="B985" s="105"/>
      <c r="C985" s="105"/>
      <c r="D985" s="105"/>
      <c r="E985" s="105"/>
      <c r="F985" s="105"/>
      <c r="G985" s="105"/>
      <c r="H985" s="105"/>
      <c r="I985" s="105"/>
      <c r="J985" s="105"/>
      <c r="K985" s="105"/>
      <c r="L985" s="105"/>
      <c r="M985" s="105"/>
      <c r="N985" s="105"/>
      <c r="O985" s="105"/>
      <c r="P985" s="105"/>
      <c r="Q985" s="105"/>
      <c r="R985" s="105"/>
      <c r="S985" s="105"/>
      <c r="T985" s="105"/>
      <c r="U985" s="105"/>
      <c r="V985" s="105"/>
      <c r="W985" s="105"/>
      <c r="X985" s="105"/>
      <c r="Y985" s="105"/>
      <c r="Z985" s="105"/>
    </row>
    <row r="986">
      <c r="A986" s="105"/>
      <c r="B986" s="105"/>
      <c r="C986" s="105"/>
      <c r="D986" s="105"/>
      <c r="E986" s="105"/>
      <c r="F986" s="105"/>
      <c r="G986" s="105"/>
      <c r="H986" s="105"/>
      <c r="I986" s="105"/>
      <c r="J986" s="105"/>
      <c r="K986" s="105"/>
      <c r="L986" s="105"/>
      <c r="M986" s="105"/>
      <c r="N986" s="105"/>
      <c r="O986" s="105"/>
      <c r="P986" s="105"/>
      <c r="Q986" s="105"/>
      <c r="R986" s="105"/>
      <c r="S986" s="105"/>
      <c r="T986" s="105"/>
      <c r="U986" s="105"/>
      <c r="V986" s="105"/>
      <c r="W986" s="105"/>
      <c r="X986" s="105"/>
      <c r="Y986" s="105"/>
      <c r="Z986" s="105"/>
    </row>
    <row r="987">
      <c r="A987" s="105"/>
      <c r="B987" s="105"/>
      <c r="C987" s="105"/>
      <c r="D987" s="105"/>
      <c r="E987" s="105"/>
      <c r="F987" s="105"/>
      <c r="G987" s="105"/>
      <c r="H987" s="105"/>
      <c r="I987" s="105"/>
      <c r="J987" s="105"/>
      <c r="K987" s="105"/>
      <c r="L987" s="105"/>
      <c r="M987" s="105"/>
      <c r="N987" s="105"/>
      <c r="O987" s="105"/>
      <c r="P987" s="105"/>
      <c r="Q987" s="105"/>
      <c r="R987" s="105"/>
      <c r="S987" s="105"/>
      <c r="T987" s="105"/>
      <c r="U987" s="105"/>
      <c r="V987" s="105"/>
      <c r="W987" s="105"/>
      <c r="X987" s="105"/>
      <c r="Y987" s="105"/>
      <c r="Z987" s="105"/>
    </row>
    <row r="988">
      <c r="A988" s="105"/>
      <c r="B988" s="105"/>
      <c r="C988" s="105"/>
      <c r="D988" s="105"/>
      <c r="E988" s="105"/>
      <c r="F988" s="105"/>
      <c r="G988" s="105"/>
      <c r="H988" s="105"/>
      <c r="I988" s="105"/>
      <c r="J988" s="105"/>
      <c r="K988" s="105"/>
      <c r="L988" s="105"/>
      <c r="M988" s="105"/>
      <c r="N988" s="105"/>
      <c r="O988" s="105"/>
      <c r="P988" s="105"/>
      <c r="Q988" s="105"/>
      <c r="R988" s="105"/>
      <c r="S988" s="105"/>
      <c r="T988" s="105"/>
      <c r="U988" s="105"/>
      <c r="V988" s="105"/>
      <c r="W988" s="105"/>
      <c r="X988" s="105"/>
      <c r="Y988" s="105"/>
      <c r="Z988" s="105"/>
    </row>
    <row r="989">
      <c r="A989" s="105"/>
      <c r="B989" s="105"/>
      <c r="C989" s="105"/>
      <c r="D989" s="105"/>
      <c r="E989" s="105"/>
      <c r="F989" s="105"/>
      <c r="G989" s="105"/>
      <c r="H989" s="105"/>
      <c r="I989" s="105"/>
      <c r="J989" s="105"/>
      <c r="K989" s="105"/>
      <c r="L989" s="105"/>
      <c r="M989" s="105"/>
      <c r="N989" s="105"/>
      <c r="O989" s="105"/>
      <c r="P989" s="105"/>
      <c r="Q989" s="105"/>
      <c r="R989" s="105"/>
      <c r="S989" s="105"/>
      <c r="T989" s="105"/>
      <c r="U989" s="105"/>
      <c r="V989" s="105"/>
      <c r="W989" s="105"/>
      <c r="X989" s="105"/>
      <c r="Y989" s="105"/>
      <c r="Z989" s="105"/>
    </row>
    <row r="990">
      <c r="A990" s="105"/>
      <c r="B990" s="105"/>
      <c r="C990" s="105"/>
      <c r="D990" s="105"/>
      <c r="E990" s="105"/>
      <c r="F990" s="105"/>
      <c r="G990" s="105"/>
      <c r="H990" s="105"/>
      <c r="I990" s="105"/>
      <c r="J990" s="105"/>
      <c r="K990" s="105"/>
      <c r="L990" s="105"/>
      <c r="M990" s="105"/>
      <c r="N990" s="105"/>
      <c r="O990" s="105"/>
      <c r="P990" s="105"/>
      <c r="Q990" s="105"/>
      <c r="R990" s="105"/>
      <c r="S990" s="105"/>
      <c r="T990" s="105"/>
      <c r="U990" s="105"/>
      <c r="V990" s="105"/>
      <c r="W990" s="105"/>
      <c r="X990" s="105"/>
      <c r="Y990" s="105"/>
      <c r="Z990" s="105"/>
    </row>
    <row r="991">
      <c r="A991" s="105"/>
      <c r="B991" s="105"/>
      <c r="C991" s="105"/>
      <c r="D991" s="105"/>
      <c r="E991" s="105"/>
      <c r="F991" s="105"/>
      <c r="G991" s="105"/>
      <c r="H991" s="105"/>
      <c r="I991" s="105"/>
      <c r="J991" s="105"/>
      <c r="K991" s="105"/>
      <c r="L991" s="105"/>
      <c r="M991" s="105"/>
      <c r="N991" s="105"/>
      <c r="O991" s="105"/>
      <c r="P991" s="105"/>
      <c r="Q991" s="105"/>
      <c r="R991" s="105"/>
      <c r="S991" s="105"/>
      <c r="T991" s="105"/>
      <c r="U991" s="105"/>
      <c r="V991" s="105"/>
      <c r="W991" s="105"/>
      <c r="X991" s="105"/>
      <c r="Y991" s="105"/>
      <c r="Z991" s="105"/>
    </row>
    <row r="992">
      <c r="A992" s="105"/>
      <c r="B992" s="105"/>
      <c r="C992" s="105"/>
      <c r="D992" s="105"/>
      <c r="E992" s="105"/>
      <c r="F992" s="105"/>
      <c r="G992" s="105"/>
      <c r="H992" s="105"/>
      <c r="I992" s="105"/>
      <c r="J992" s="105"/>
      <c r="K992" s="105"/>
      <c r="L992" s="105"/>
      <c r="M992" s="105"/>
      <c r="N992" s="105"/>
      <c r="O992" s="105"/>
      <c r="P992" s="105"/>
      <c r="Q992" s="105"/>
      <c r="R992" s="105"/>
      <c r="S992" s="105"/>
      <c r="T992" s="105"/>
      <c r="U992" s="105"/>
      <c r="V992" s="105"/>
      <c r="W992" s="105"/>
      <c r="X992" s="105"/>
      <c r="Y992" s="105"/>
      <c r="Z992" s="105"/>
    </row>
    <row r="993">
      <c r="A993" s="105"/>
      <c r="B993" s="105"/>
      <c r="C993" s="105"/>
      <c r="D993" s="105"/>
      <c r="E993" s="105"/>
      <c r="F993" s="105"/>
      <c r="G993" s="105"/>
      <c r="H993" s="105"/>
      <c r="I993" s="105"/>
      <c r="J993" s="105"/>
      <c r="K993" s="105"/>
      <c r="L993" s="105"/>
      <c r="M993" s="105"/>
      <c r="N993" s="105"/>
      <c r="O993" s="105"/>
      <c r="P993" s="105"/>
      <c r="Q993" s="105"/>
      <c r="R993" s="105"/>
      <c r="S993" s="105"/>
      <c r="T993" s="105"/>
      <c r="U993" s="105"/>
      <c r="V993" s="105"/>
      <c r="W993" s="105"/>
      <c r="X993" s="105"/>
      <c r="Y993" s="105"/>
      <c r="Z993" s="105"/>
    </row>
    <row r="994">
      <c r="A994" s="105"/>
      <c r="B994" s="105"/>
      <c r="C994" s="105"/>
      <c r="D994" s="105"/>
      <c r="E994" s="105"/>
      <c r="F994" s="105"/>
      <c r="G994" s="105"/>
      <c r="H994" s="105"/>
      <c r="I994" s="105"/>
      <c r="J994" s="105"/>
      <c r="K994" s="105"/>
      <c r="L994" s="105"/>
      <c r="M994" s="105"/>
      <c r="N994" s="105"/>
      <c r="O994" s="105"/>
      <c r="P994" s="105"/>
      <c r="Q994" s="105"/>
      <c r="R994" s="105"/>
      <c r="S994" s="105"/>
      <c r="T994" s="105"/>
      <c r="U994" s="105"/>
      <c r="V994" s="105"/>
      <c r="W994" s="105"/>
      <c r="X994" s="105"/>
      <c r="Y994" s="105"/>
      <c r="Z994" s="105"/>
    </row>
    <row r="995">
      <c r="A995" s="105"/>
      <c r="B995" s="105"/>
      <c r="C995" s="105"/>
      <c r="D995" s="105"/>
      <c r="E995" s="105"/>
      <c r="F995" s="105"/>
      <c r="G995" s="105"/>
      <c r="H995" s="105"/>
      <c r="I995" s="105"/>
      <c r="J995" s="105"/>
      <c r="K995" s="105"/>
      <c r="L995" s="105"/>
      <c r="M995" s="105"/>
      <c r="N995" s="105"/>
      <c r="O995" s="105"/>
      <c r="P995" s="105"/>
      <c r="Q995" s="105"/>
      <c r="R995" s="105"/>
      <c r="S995" s="105"/>
      <c r="T995" s="105"/>
      <c r="U995" s="105"/>
      <c r="V995" s="105"/>
      <c r="W995" s="105"/>
      <c r="X995" s="105"/>
      <c r="Y995" s="105"/>
      <c r="Z995" s="105"/>
    </row>
    <row r="996">
      <c r="A996" s="105"/>
      <c r="B996" s="105"/>
      <c r="C996" s="105"/>
      <c r="D996" s="105"/>
      <c r="E996" s="105"/>
      <c r="F996" s="105"/>
      <c r="G996" s="105"/>
      <c r="H996" s="105"/>
      <c r="I996" s="105"/>
      <c r="J996" s="105"/>
      <c r="K996" s="105"/>
      <c r="L996" s="105"/>
      <c r="M996" s="105"/>
      <c r="N996" s="105"/>
      <c r="O996" s="105"/>
      <c r="P996" s="105"/>
      <c r="Q996" s="105"/>
      <c r="R996" s="105"/>
      <c r="S996" s="105"/>
      <c r="T996" s="105"/>
      <c r="U996" s="105"/>
      <c r="V996" s="105"/>
      <c r="W996" s="105"/>
      <c r="X996" s="105"/>
      <c r="Y996" s="105"/>
      <c r="Z996" s="105"/>
    </row>
    <row r="997">
      <c r="A997" s="105"/>
      <c r="B997" s="105"/>
      <c r="C997" s="105"/>
      <c r="D997" s="105"/>
      <c r="E997" s="105"/>
      <c r="F997" s="105"/>
      <c r="G997" s="105"/>
      <c r="H997" s="105"/>
      <c r="I997" s="105"/>
      <c r="J997" s="105"/>
      <c r="K997" s="105"/>
      <c r="L997" s="105"/>
      <c r="M997" s="105"/>
      <c r="N997" s="105"/>
      <c r="O997" s="105"/>
      <c r="P997" s="105"/>
      <c r="Q997" s="105"/>
      <c r="R997" s="105"/>
      <c r="S997" s="105"/>
      <c r="T997" s="105"/>
      <c r="U997" s="105"/>
      <c r="V997" s="105"/>
      <c r="W997" s="105"/>
      <c r="X997" s="105"/>
      <c r="Y997" s="105"/>
      <c r="Z997" s="105"/>
    </row>
    <row r="998">
      <c r="A998" s="105"/>
      <c r="B998" s="105"/>
      <c r="C998" s="105"/>
      <c r="D998" s="105"/>
      <c r="E998" s="105"/>
      <c r="F998" s="105"/>
      <c r="G998" s="105"/>
      <c r="H998" s="105"/>
      <c r="I998" s="105"/>
      <c r="J998" s="105"/>
      <c r="K998" s="105"/>
      <c r="L998" s="105"/>
      <c r="M998" s="105"/>
      <c r="N998" s="105"/>
      <c r="O998" s="105"/>
      <c r="P998" s="105"/>
      <c r="Q998" s="105"/>
      <c r="R998" s="105"/>
      <c r="S998" s="105"/>
      <c r="T998" s="105"/>
      <c r="U998" s="105"/>
      <c r="V998" s="105"/>
      <c r="W998" s="105"/>
      <c r="X998" s="105"/>
      <c r="Y998" s="105"/>
      <c r="Z998" s="105"/>
    </row>
    <row r="999">
      <c r="A999" s="105"/>
      <c r="B999" s="105"/>
      <c r="C999" s="105"/>
      <c r="D999" s="105"/>
      <c r="E999" s="105"/>
      <c r="F999" s="105"/>
      <c r="G999" s="105"/>
      <c r="H999" s="105"/>
      <c r="I999" s="105"/>
      <c r="J999" s="105"/>
      <c r="K999" s="105"/>
      <c r="L999" s="105"/>
      <c r="M999" s="105"/>
      <c r="N999" s="105"/>
      <c r="O999" s="105"/>
      <c r="P999" s="105"/>
      <c r="Q999" s="105"/>
      <c r="R999" s="105"/>
      <c r="S999" s="105"/>
      <c r="T999" s="105"/>
      <c r="U999" s="105"/>
      <c r="V999" s="105"/>
      <c r="W999" s="105"/>
      <c r="X999" s="105"/>
      <c r="Y999" s="105"/>
      <c r="Z999" s="105"/>
    </row>
    <row r="1000">
      <c r="A1000" s="105"/>
      <c r="B1000" s="105"/>
      <c r="C1000" s="105"/>
      <c r="D1000" s="105"/>
      <c r="E1000" s="105"/>
      <c r="F1000" s="105"/>
      <c r="G1000" s="105"/>
      <c r="H1000" s="105"/>
      <c r="I1000" s="105"/>
      <c r="J1000" s="105"/>
      <c r="K1000" s="105"/>
      <c r="L1000" s="105"/>
      <c r="M1000" s="105"/>
      <c r="N1000" s="105"/>
      <c r="O1000" s="105"/>
      <c r="P1000" s="105"/>
      <c r="Q1000" s="105"/>
      <c r="R1000" s="105"/>
      <c r="S1000" s="105"/>
      <c r="T1000" s="105"/>
      <c r="U1000" s="105"/>
      <c r="V1000" s="105"/>
      <c r="W1000" s="105"/>
      <c r="X1000" s="105"/>
      <c r="Y1000" s="105"/>
      <c r="Z1000" s="105"/>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9" t="str">
        <f>IFERROR(__xludf.DUMMYFUNCTION("IMPORTRANGE(""https://docs.google.com/spreadsheets/d/1D5JYX9W2KpGQQrejkP6grv6Qds1GhjyAd6eNjJVa6eM/edit?gid=1084645352#gid=1084645352"", ""MstAttack!A:N"")"),"memo")</f>
        <v>memo</v>
      </c>
      <c r="B1" s="139"/>
      <c r="C1" s="139"/>
      <c r="D1" s="139"/>
      <c r="E1" s="139"/>
      <c r="F1" s="139"/>
      <c r="G1" s="139"/>
      <c r="H1" s="139"/>
      <c r="I1" s="139"/>
      <c r="J1" s="139"/>
      <c r="K1" s="139"/>
      <c r="L1" s="139"/>
      <c r="M1" s="139"/>
      <c r="N1" s="139"/>
    </row>
    <row r="2">
      <c r="A2" s="139" t="str">
        <f>IFERROR(__xludf.DUMMYFUNCTION("""COMPUTED_VALUE"""),"TABLE")</f>
        <v>TABLE</v>
      </c>
      <c r="B2" s="139" t="str">
        <f>IFERROR(__xludf.DUMMYFUNCTION("""COMPUTED_VALUE"""),"MstAttack")</f>
        <v>MstAttack</v>
      </c>
      <c r="C2" s="139" t="str">
        <f>IFERROR(__xludf.DUMMYFUNCTION("""COMPUTED_VALUE"""),"MstAttack")</f>
        <v>MstAttack</v>
      </c>
      <c r="D2" s="139" t="str">
        <f>IFERROR(__xludf.DUMMYFUNCTION("""COMPUTED_VALUE"""),"MstAttack")</f>
        <v>MstAttack</v>
      </c>
      <c r="E2" s="139" t="str">
        <f>IFERROR(__xludf.DUMMYFUNCTION("""COMPUTED_VALUE"""),"MstAttack")</f>
        <v>MstAttack</v>
      </c>
      <c r="F2" s="139" t="str">
        <f>IFERROR(__xludf.DUMMYFUNCTION("""COMPUTED_VALUE"""),"MstAttack")</f>
        <v>MstAttack</v>
      </c>
      <c r="G2" s="139" t="str">
        <f>IFERROR(__xludf.DUMMYFUNCTION("""COMPUTED_VALUE"""),"MstAttack")</f>
        <v>MstAttack</v>
      </c>
      <c r="H2" s="139" t="str">
        <f>IFERROR(__xludf.DUMMYFUNCTION("""COMPUTED_VALUE"""),"MstAttack")</f>
        <v>MstAttack</v>
      </c>
      <c r="I2" s="139" t="str">
        <f>IFERROR(__xludf.DUMMYFUNCTION("""COMPUTED_VALUE"""),"MstAttack")</f>
        <v>MstAttack</v>
      </c>
      <c r="J2" s="139" t="str">
        <f>IFERROR(__xludf.DUMMYFUNCTION("""COMPUTED_VALUE"""),"MstAttack")</f>
        <v>MstAttack</v>
      </c>
      <c r="K2" s="139" t="str">
        <f>IFERROR(__xludf.DUMMYFUNCTION("""COMPUTED_VALUE"""),"MstAttack")</f>
        <v>MstAttack</v>
      </c>
      <c r="L2" s="139" t="str">
        <f>IFERROR(__xludf.DUMMYFUNCTION("""COMPUTED_VALUE"""),"MstAttack")</f>
        <v>MstAttack</v>
      </c>
      <c r="M2" s="139" t="str">
        <f>IFERROR(__xludf.DUMMYFUNCTION("""COMPUTED_VALUE"""),"MstAttackI18n")</f>
        <v>MstAttackI18n</v>
      </c>
      <c r="N2" s="139" t="str">
        <f>IFERROR(__xludf.DUMMYFUNCTION("""COMPUTED_VALUE"""),"MstAttackI18n")</f>
        <v>MstAttackI18n</v>
      </c>
    </row>
    <row r="3">
      <c r="A3" s="139" t="str">
        <f>IFERROR(__xludf.DUMMYFUNCTION("""COMPUTED_VALUE"""),"ENABLE")</f>
        <v>ENABLE</v>
      </c>
      <c r="B3" s="139" t="str">
        <f>IFERROR(__xludf.DUMMYFUNCTION("""COMPUTED_VALUE"""),"release_key")</f>
        <v>release_key</v>
      </c>
      <c r="C3" s="139" t="str">
        <f>IFERROR(__xludf.DUMMYFUNCTION("""COMPUTED_VALUE"""),"id")</f>
        <v>id</v>
      </c>
      <c r="D3" s="139" t="str">
        <f>IFERROR(__xludf.DUMMYFUNCTION("""COMPUTED_VALUE"""),"mst_unit_id")</f>
        <v>mst_unit_id</v>
      </c>
      <c r="E3" s="139" t="str">
        <f>IFERROR(__xludf.DUMMYFUNCTION("""COMPUTED_VALUE"""),"unit_grade")</f>
        <v>unit_grade</v>
      </c>
      <c r="F3" s="139" t="str">
        <f>IFERROR(__xludf.DUMMYFUNCTION("""COMPUTED_VALUE"""),"attack_kind")</f>
        <v>attack_kind</v>
      </c>
      <c r="G3" s="139" t="str">
        <f>IFERROR(__xludf.DUMMYFUNCTION("""COMPUTED_VALUE"""),"killer_colors")</f>
        <v>killer_colors</v>
      </c>
      <c r="H3" s="139" t="str">
        <f>IFERROR(__xludf.DUMMYFUNCTION("""COMPUTED_VALUE"""),"killer_percentage")</f>
        <v>killer_percentage</v>
      </c>
      <c r="I3" s="139" t="str">
        <f>IFERROR(__xludf.DUMMYFUNCTION("""COMPUTED_VALUE"""),"action_frames")</f>
        <v>action_frames</v>
      </c>
      <c r="J3" s="139" t="str">
        <f>IFERROR(__xludf.DUMMYFUNCTION("""COMPUTED_VALUE"""),"attack_delay")</f>
        <v>attack_delay</v>
      </c>
      <c r="K3" s="139" t="str">
        <f>IFERROR(__xludf.DUMMYFUNCTION("""COMPUTED_VALUE"""),"next_attack_interval")</f>
        <v>next_attack_interval</v>
      </c>
      <c r="L3" s="139" t="str">
        <f>IFERROR(__xludf.DUMMYFUNCTION("""COMPUTED_VALUE"""),"asset_key")</f>
        <v>asset_key</v>
      </c>
      <c r="M3" s="139" t="str">
        <f>IFERROR(__xludf.DUMMYFUNCTION("""COMPUTED_VALUE"""),"description.ja")</f>
        <v>description.ja</v>
      </c>
      <c r="N3" s="139" t="str">
        <f>IFERROR(__xludf.DUMMYFUNCTION("""COMPUTED_VALUE"""),"grade_description.ja")</f>
        <v>grade_description.ja</v>
      </c>
    </row>
    <row r="4">
      <c r="A4" s="139" t="str">
        <f>IFERROR(__xludf.DUMMYFUNCTION("""COMPUTED_VALUE"""),"e")</f>
        <v>e</v>
      </c>
      <c r="B4" s="139">
        <f>IFERROR(__xludf.DUMMYFUNCTION("""COMPUTED_VALUE"""),2.0250901E8)</f>
        <v>202509010</v>
      </c>
      <c r="C4" s="139" t="str">
        <f>IFERROR(__xludf.DUMMYFUNCTION("""COMPUTED_VALUE"""),"chara_dan_00001_Normal_00000")</f>
        <v>chara_dan_00001_Normal_00000</v>
      </c>
      <c r="D4" s="139" t="str">
        <f>IFERROR(__xludf.DUMMYFUNCTION("""COMPUTED_VALUE"""),"chara_dan_00001")</f>
        <v>chara_dan_00001</v>
      </c>
      <c r="E4" s="139">
        <f>IFERROR(__xludf.DUMMYFUNCTION("""COMPUTED_VALUE"""),0.0)</f>
        <v>0</v>
      </c>
      <c r="F4" s="139" t="str">
        <f>IFERROR(__xludf.DUMMYFUNCTION("""COMPUTED_VALUE"""),"Normal")</f>
        <v>Normal</v>
      </c>
      <c r="G4" s="139"/>
      <c r="H4" s="139"/>
      <c r="I4" s="139">
        <f>IFERROR(__xludf.DUMMYFUNCTION("""COMPUTED_VALUE"""),72.0)</f>
        <v>72</v>
      </c>
      <c r="J4" s="139">
        <f>IFERROR(__xludf.DUMMYFUNCTION("""COMPUTED_VALUE"""),27.0)</f>
        <v>27</v>
      </c>
      <c r="K4" s="139">
        <f>IFERROR(__xludf.DUMMYFUNCTION("""COMPUTED_VALUE"""),100.0)</f>
        <v>100</v>
      </c>
      <c r="L4" s="139"/>
      <c r="M4" s="139" t="str">
        <f>IFERROR(__xludf.DUMMYFUNCTION("""COMPUTED_VALUE"""),"表示場所なし")</f>
        <v>表示場所なし</v>
      </c>
      <c r="N4" s="139"/>
    </row>
    <row r="5">
      <c r="A5" s="139" t="str">
        <f>IFERROR(__xludf.DUMMYFUNCTION("""COMPUTED_VALUE"""),"e")</f>
        <v>e</v>
      </c>
      <c r="B5" s="139">
        <f>IFERROR(__xludf.DUMMYFUNCTION("""COMPUTED_VALUE"""),2.0250901E8)</f>
        <v>202509010</v>
      </c>
      <c r="C5" s="139" t="str">
        <f>IFERROR(__xludf.DUMMYFUNCTION("""COMPUTED_VALUE"""),"chara_dan_00001_Special_00001")</f>
        <v>chara_dan_00001_Special_00001</v>
      </c>
      <c r="D5" s="139" t="str">
        <f>IFERROR(__xludf.DUMMYFUNCTION("""COMPUTED_VALUE"""),"chara_dan_00001")</f>
        <v>chara_dan_00001</v>
      </c>
      <c r="E5" s="139">
        <f>IFERROR(__xludf.DUMMYFUNCTION("""COMPUTED_VALUE"""),1.0)</f>
        <v>1</v>
      </c>
      <c r="F5" s="139" t="str">
        <f>IFERROR(__xludf.DUMMYFUNCTION("""COMPUTED_VALUE"""),"Special")</f>
        <v>Special</v>
      </c>
      <c r="G5" s="139"/>
      <c r="H5" s="139"/>
      <c r="I5" s="139">
        <f>IFERROR(__xludf.DUMMYFUNCTION("""COMPUTED_VALUE"""),200.0)</f>
        <v>200</v>
      </c>
      <c r="J5" s="139">
        <f>IFERROR(__xludf.DUMMYFUNCTION("""COMPUTED_VALUE"""),83.0)</f>
        <v>83</v>
      </c>
      <c r="K5" s="139">
        <f>IFERROR(__xludf.DUMMYFUNCTION("""COMPUTED_VALUE"""),0.0)</f>
        <v>0</v>
      </c>
      <c r="L5" s="139"/>
      <c r="M5" s="139" t="str">
        <f>IFERROR(__xludf.DUMMYFUNCTION("""COMPUTED_VALUE"""),"自身への被ダメージを6秒間、10%カット")</f>
        <v>自身への被ダメージを6秒間、10%カット</v>
      </c>
      <c r="N5" s="139"/>
    </row>
    <row r="6">
      <c r="A6" s="139" t="str">
        <f>IFERROR(__xludf.DUMMYFUNCTION("""COMPUTED_VALUE"""),"e")</f>
        <v>e</v>
      </c>
      <c r="B6" s="139">
        <f>IFERROR(__xludf.DUMMYFUNCTION("""COMPUTED_VALUE"""),2.0250901E8)</f>
        <v>202509010</v>
      </c>
      <c r="C6" s="139" t="str">
        <f>IFERROR(__xludf.DUMMYFUNCTION("""COMPUTED_VALUE"""),"chara_dan_00001_Special_00002")</f>
        <v>chara_dan_00001_Special_00002</v>
      </c>
      <c r="D6" s="139" t="str">
        <f>IFERROR(__xludf.DUMMYFUNCTION("""COMPUTED_VALUE"""),"chara_dan_00001")</f>
        <v>chara_dan_00001</v>
      </c>
      <c r="E6" s="139">
        <f>IFERROR(__xludf.DUMMYFUNCTION("""COMPUTED_VALUE"""),2.0)</f>
        <v>2</v>
      </c>
      <c r="F6" s="139" t="str">
        <f>IFERROR(__xludf.DUMMYFUNCTION("""COMPUTED_VALUE"""),"Special")</f>
        <v>Special</v>
      </c>
      <c r="G6" s="139"/>
      <c r="H6" s="139"/>
      <c r="I6" s="139">
        <f>IFERROR(__xludf.DUMMYFUNCTION("""COMPUTED_VALUE"""),200.0)</f>
        <v>200</v>
      </c>
      <c r="J6" s="139">
        <f>IFERROR(__xludf.DUMMYFUNCTION("""COMPUTED_VALUE"""),83.0)</f>
        <v>83</v>
      </c>
      <c r="K6" s="139">
        <f>IFERROR(__xludf.DUMMYFUNCTION("""COMPUTED_VALUE"""),0.0)</f>
        <v>0</v>
      </c>
      <c r="L6" s="139"/>
      <c r="M6" s="139" t="str">
        <f>IFERROR(__xludf.DUMMYFUNCTION("""COMPUTED_VALUE"""),"自身への被ダメージを6.5秒間、12%カット")</f>
        <v>自身への被ダメージを6.5秒間、12%カット</v>
      </c>
      <c r="N6" s="139" t="str">
        <f>IFERROR(__xludf.DUMMYFUNCTION("""COMPUTED_VALUE"""),"ステータスUP + 必殺ワザ性能UP")</f>
        <v>ステータスUP + 必殺ワザ性能UP</v>
      </c>
    </row>
    <row r="7">
      <c r="A7" s="139" t="str">
        <f>IFERROR(__xludf.DUMMYFUNCTION("""COMPUTED_VALUE"""),"e")</f>
        <v>e</v>
      </c>
      <c r="B7" s="139">
        <f>IFERROR(__xludf.DUMMYFUNCTION("""COMPUTED_VALUE"""),2.0250901E8)</f>
        <v>202509010</v>
      </c>
      <c r="C7" s="139" t="str">
        <f>IFERROR(__xludf.DUMMYFUNCTION("""COMPUTED_VALUE"""),"chara_dan_00001_Special_00003")</f>
        <v>chara_dan_00001_Special_00003</v>
      </c>
      <c r="D7" s="139" t="str">
        <f>IFERROR(__xludf.DUMMYFUNCTION("""COMPUTED_VALUE"""),"chara_dan_00001")</f>
        <v>chara_dan_00001</v>
      </c>
      <c r="E7" s="139">
        <f>IFERROR(__xludf.DUMMYFUNCTION("""COMPUTED_VALUE"""),3.0)</f>
        <v>3</v>
      </c>
      <c r="F7" s="139" t="str">
        <f>IFERROR(__xludf.DUMMYFUNCTION("""COMPUTED_VALUE"""),"Special")</f>
        <v>Special</v>
      </c>
      <c r="G7" s="139"/>
      <c r="H7" s="139"/>
      <c r="I7" s="139">
        <f>IFERROR(__xludf.DUMMYFUNCTION("""COMPUTED_VALUE"""),200.0)</f>
        <v>200</v>
      </c>
      <c r="J7" s="139">
        <f>IFERROR(__xludf.DUMMYFUNCTION("""COMPUTED_VALUE"""),83.0)</f>
        <v>83</v>
      </c>
      <c r="K7" s="139">
        <f>IFERROR(__xludf.DUMMYFUNCTION("""COMPUTED_VALUE"""),0.0)</f>
        <v>0</v>
      </c>
      <c r="L7" s="139"/>
      <c r="M7" s="139" t="str">
        <f>IFERROR(__xludf.DUMMYFUNCTION("""COMPUTED_VALUE"""),"自身への被ダメージを6.7秒間、13%カット")</f>
        <v>自身への被ダメージを6.7秒間、13%カット</v>
      </c>
      <c r="N7" s="139" t="str">
        <f>IFERROR(__xludf.DUMMYFUNCTION("""COMPUTED_VALUE"""),"ステータスUP + 必殺ワザ性能UP")</f>
        <v>ステータスUP + 必殺ワザ性能UP</v>
      </c>
    </row>
    <row r="8">
      <c r="A8" s="139" t="str">
        <f>IFERROR(__xludf.DUMMYFUNCTION("""COMPUTED_VALUE"""),"e")</f>
        <v>e</v>
      </c>
      <c r="B8" s="139">
        <f>IFERROR(__xludf.DUMMYFUNCTION("""COMPUTED_VALUE"""),2.0250901E8)</f>
        <v>202509010</v>
      </c>
      <c r="C8" s="139" t="str">
        <f>IFERROR(__xludf.DUMMYFUNCTION("""COMPUTED_VALUE"""),"chara_dan_00001_Special_00004")</f>
        <v>chara_dan_00001_Special_00004</v>
      </c>
      <c r="D8" s="139" t="str">
        <f>IFERROR(__xludf.DUMMYFUNCTION("""COMPUTED_VALUE"""),"chara_dan_00001")</f>
        <v>chara_dan_00001</v>
      </c>
      <c r="E8" s="139">
        <f>IFERROR(__xludf.DUMMYFUNCTION("""COMPUTED_VALUE"""),4.0)</f>
        <v>4</v>
      </c>
      <c r="F8" s="139" t="str">
        <f>IFERROR(__xludf.DUMMYFUNCTION("""COMPUTED_VALUE"""),"Special")</f>
        <v>Special</v>
      </c>
      <c r="G8" s="139"/>
      <c r="H8" s="139"/>
      <c r="I8" s="139">
        <f>IFERROR(__xludf.DUMMYFUNCTION("""COMPUTED_VALUE"""),200.0)</f>
        <v>200</v>
      </c>
      <c r="J8" s="139">
        <f>IFERROR(__xludf.DUMMYFUNCTION("""COMPUTED_VALUE"""),83.0)</f>
        <v>83</v>
      </c>
      <c r="K8" s="139">
        <f>IFERROR(__xludf.DUMMYFUNCTION("""COMPUTED_VALUE"""),0.0)</f>
        <v>0</v>
      </c>
      <c r="L8" s="139"/>
      <c r="M8" s="139" t="str">
        <f>IFERROR(__xludf.DUMMYFUNCTION("""COMPUTED_VALUE"""),"自身への被ダメージを6.9秒間、13%カット")</f>
        <v>自身への被ダメージを6.9秒間、13%カット</v>
      </c>
      <c r="N8" s="139" t="str">
        <f>IFERROR(__xludf.DUMMYFUNCTION("""COMPUTED_VALUE"""),"ステータスUP + 必殺ワザ性能UP")</f>
        <v>ステータスUP + 必殺ワザ性能UP</v>
      </c>
    </row>
    <row r="9">
      <c r="A9" s="139" t="str">
        <f>IFERROR(__xludf.DUMMYFUNCTION("""COMPUTED_VALUE"""),"e")</f>
        <v>e</v>
      </c>
      <c r="B9" s="139">
        <f>IFERROR(__xludf.DUMMYFUNCTION("""COMPUTED_VALUE"""),2.0250901E8)</f>
        <v>202509010</v>
      </c>
      <c r="C9" s="139" t="str">
        <f>IFERROR(__xludf.DUMMYFUNCTION("""COMPUTED_VALUE"""),"chara_dan_00001_Special_00005")</f>
        <v>chara_dan_00001_Special_00005</v>
      </c>
      <c r="D9" s="139" t="str">
        <f>IFERROR(__xludf.DUMMYFUNCTION("""COMPUTED_VALUE"""),"chara_dan_00001")</f>
        <v>chara_dan_00001</v>
      </c>
      <c r="E9" s="139">
        <f>IFERROR(__xludf.DUMMYFUNCTION("""COMPUTED_VALUE"""),5.0)</f>
        <v>5</v>
      </c>
      <c r="F9" s="139" t="str">
        <f>IFERROR(__xludf.DUMMYFUNCTION("""COMPUTED_VALUE"""),"Special")</f>
        <v>Special</v>
      </c>
      <c r="G9" s="139"/>
      <c r="H9" s="139"/>
      <c r="I9" s="139">
        <f>IFERROR(__xludf.DUMMYFUNCTION("""COMPUTED_VALUE"""),200.0)</f>
        <v>200</v>
      </c>
      <c r="J9" s="139">
        <f>IFERROR(__xludf.DUMMYFUNCTION("""COMPUTED_VALUE"""),83.0)</f>
        <v>83</v>
      </c>
      <c r="K9" s="139">
        <f>IFERROR(__xludf.DUMMYFUNCTION("""COMPUTED_VALUE"""),0.0)</f>
        <v>0</v>
      </c>
      <c r="L9" s="139"/>
      <c r="M9" s="139" t="str">
        <f>IFERROR(__xludf.DUMMYFUNCTION("""COMPUTED_VALUE"""),"自身への被ダメージを6.9秒間、14%カット")</f>
        <v>自身への被ダメージを6.9秒間、14%カット</v>
      </c>
      <c r="N9" s="139" t="str">
        <f>IFERROR(__xludf.DUMMYFUNCTION("""COMPUTED_VALUE"""),"ステータスUP + 必殺ワザ性能UP")</f>
        <v>ステータスUP + 必殺ワザ性能UP</v>
      </c>
    </row>
    <row r="10">
      <c r="A10" s="139"/>
      <c r="B10" s="139"/>
      <c r="C10" s="139" t="str">
        <f>IFERROR(__xludf.DUMMYFUNCTION("""COMPUTED_VALUE"""),"chara_dan_00001_Special_00006")</f>
        <v>chara_dan_00001_Special_00006</v>
      </c>
      <c r="D10" s="139" t="str">
        <f>IFERROR(__xludf.DUMMYFUNCTION("""COMPUTED_VALUE"""),"chara_dan_00001")</f>
        <v>chara_dan_00001</v>
      </c>
      <c r="E10" s="139">
        <f>IFERROR(__xludf.DUMMYFUNCTION("""COMPUTED_VALUE"""),6.0)</f>
        <v>6</v>
      </c>
      <c r="F10" s="139" t="str">
        <f>IFERROR(__xludf.DUMMYFUNCTION("""COMPUTED_VALUE"""),"Special")</f>
        <v>Special</v>
      </c>
      <c r="G10" s="139"/>
      <c r="H10" s="139"/>
      <c r="I10" s="139">
        <f>IFERROR(__xludf.DUMMYFUNCTION("""COMPUTED_VALUE"""),200.0)</f>
        <v>200</v>
      </c>
      <c r="J10" s="139">
        <f>IFERROR(__xludf.DUMMYFUNCTION("""COMPUTED_VALUE"""),83.0)</f>
        <v>83</v>
      </c>
      <c r="K10" s="139">
        <f>IFERROR(__xludf.DUMMYFUNCTION("""COMPUTED_VALUE"""),0.0)</f>
        <v>0</v>
      </c>
      <c r="L10" s="139"/>
      <c r="M10" s="139"/>
      <c r="N10" s="139"/>
    </row>
    <row r="11">
      <c r="A11" s="139"/>
      <c r="B11" s="139"/>
      <c r="C11" s="139" t="str">
        <f>IFERROR(__xludf.DUMMYFUNCTION("""COMPUTED_VALUE"""),"chara_dan_00001_Special_00007")</f>
        <v>chara_dan_00001_Special_00007</v>
      </c>
      <c r="D11" s="139" t="str">
        <f>IFERROR(__xludf.DUMMYFUNCTION("""COMPUTED_VALUE"""),"chara_dan_00001")</f>
        <v>chara_dan_00001</v>
      </c>
      <c r="E11" s="139">
        <f>IFERROR(__xludf.DUMMYFUNCTION("""COMPUTED_VALUE"""),7.0)</f>
        <v>7</v>
      </c>
      <c r="F11" s="139" t="str">
        <f>IFERROR(__xludf.DUMMYFUNCTION("""COMPUTED_VALUE"""),"Special")</f>
        <v>Special</v>
      </c>
      <c r="G11" s="139"/>
      <c r="H11" s="139"/>
      <c r="I11" s="139">
        <f>IFERROR(__xludf.DUMMYFUNCTION("""COMPUTED_VALUE"""),200.0)</f>
        <v>200</v>
      </c>
      <c r="J11" s="139">
        <f>IFERROR(__xludf.DUMMYFUNCTION("""COMPUTED_VALUE"""),83.0)</f>
        <v>83</v>
      </c>
      <c r="K11" s="139">
        <f>IFERROR(__xludf.DUMMYFUNCTION("""COMPUTED_VALUE"""),0.0)</f>
        <v>0</v>
      </c>
      <c r="L11" s="139"/>
      <c r="M11" s="139"/>
      <c r="N11" s="139"/>
    </row>
    <row r="12">
      <c r="A12" s="139"/>
      <c r="B12" s="139"/>
      <c r="C12" s="139" t="str">
        <f>IFERROR(__xludf.DUMMYFUNCTION("""COMPUTED_VALUE"""),"chara_dan_00001_Special_00008")</f>
        <v>chara_dan_00001_Special_00008</v>
      </c>
      <c r="D12" s="139" t="str">
        <f>IFERROR(__xludf.DUMMYFUNCTION("""COMPUTED_VALUE"""),"chara_dan_00001")</f>
        <v>chara_dan_00001</v>
      </c>
      <c r="E12" s="139">
        <f>IFERROR(__xludf.DUMMYFUNCTION("""COMPUTED_VALUE"""),8.0)</f>
        <v>8</v>
      </c>
      <c r="F12" s="139" t="str">
        <f>IFERROR(__xludf.DUMMYFUNCTION("""COMPUTED_VALUE"""),"Special")</f>
        <v>Special</v>
      </c>
      <c r="G12" s="139"/>
      <c r="H12" s="139"/>
      <c r="I12" s="139">
        <f>IFERROR(__xludf.DUMMYFUNCTION("""COMPUTED_VALUE"""),200.0)</f>
        <v>200</v>
      </c>
      <c r="J12" s="139">
        <f>IFERROR(__xludf.DUMMYFUNCTION("""COMPUTED_VALUE"""),83.0)</f>
        <v>83</v>
      </c>
      <c r="K12" s="139">
        <f>IFERROR(__xludf.DUMMYFUNCTION("""COMPUTED_VALUE"""),0.0)</f>
        <v>0</v>
      </c>
      <c r="L12" s="139"/>
      <c r="M12" s="139"/>
      <c r="N12" s="139"/>
    </row>
    <row r="13">
      <c r="A13" s="139"/>
      <c r="B13" s="139"/>
      <c r="C13" s="139" t="str">
        <f>IFERROR(__xludf.DUMMYFUNCTION("""COMPUTED_VALUE"""),"chara_dan_00001_Special_00009")</f>
        <v>chara_dan_00001_Special_00009</v>
      </c>
      <c r="D13" s="139" t="str">
        <f>IFERROR(__xludf.DUMMYFUNCTION("""COMPUTED_VALUE"""),"chara_dan_00001")</f>
        <v>chara_dan_00001</v>
      </c>
      <c r="E13" s="139">
        <f>IFERROR(__xludf.DUMMYFUNCTION("""COMPUTED_VALUE"""),9.0)</f>
        <v>9</v>
      </c>
      <c r="F13" s="139" t="str">
        <f>IFERROR(__xludf.DUMMYFUNCTION("""COMPUTED_VALUE"""),"Special")</f>
        <v>Special</v>
      </c>
      <c r="G13" s="139"/>
      <c r="H13" s="139"/>
      <c r="I13" s="139">
        <f>IFERROR(__xludf.DUMMYFUNCTION("""COMPUTED_VALUE"""),200.0)</f>
        <v>200</v>
      </c>
      <c r="J13" s="139">
        <f>IFERROR(__xludf.DUMMYFUNCTION("""COMPUTED_VALUE"""),83.0)</f>
        <v>83</v>
      </c>
      <c r="K13" s="139">
        <f>IFERROR(__xludf.DUMMYFUNCTION("""COMPUTED_VALUE"""),0.0)</f>
        <v>0</v>
      </c>
      <c r="L13" s="139"/>
      <c r="M13" s="139"/>
      <c r="N13" s="139"/>
    </row>
    <row r="14">
      <c r="A14" s="139"/>
      <c r="B14" s="139"/>
      <c r="C14" s="139" t="str">
        <f>IFERROR(__xludf.DUMMYFUNCTION("""COMPUTED_VALUE"""),"chara_dan_00001_Special_00010")</f>
        <v>chara_dan_00001_Special_00010</v>
      </c>
      <c r="D14" s="139" t="str">
        <f>IFERROR(__xludf.DUMMYFUNCTION("""COMPUTED_VALUE"""),"chara_dan_00001")</f>
        <v>chara_dan_00001</v>
      </c>
      <c r="E14" s="139">
        <f>IFERROR(__xludf.DUMMYFUNCTION("""COMPUTED_VALUE"""),10.0)</f>
        <v>10</v>
      </c>
      <c r="F14" s="139" t="str">
        <f>IFERROR(__xludf.DUMMYFUNCTION("""COMPUTED_VALUE"""),"Special")</f>
        <v>Special</v>
      </c>
      <c r="G14" s="139"/>
      <c r="H14" s="139"/>
      <c r="I14" s="139">
        <f>IFERROR(__xludf.DUMMYFUNCTION("""COMPUTED_VALUE"""),200.0)</f>
        <v>200</v>
      </c>
      <c r="J14" s="139">
        <f>IFERROR(__xludf.DUMMYFUNCTION("""COMPUTED_VALUE"""),83.0)</f>
        <v>83</v>
      </c>
      <c r="K14" s="139">
        <f>IFERROR(__xludf.DUMMYFUNCTION("""COMPUTED_VALUE"""),0.0)</f>
        <v>0</v>
      </c>
      <c r="L14" s="139"/>
      <c r="M14" s="139"/>
      <c r="N14" s="139"/>
    </row>
    <row r="15">
      <c r="A15" s="139" t="str">
        <f>IFERROR(__xludf.DUMMYFUNCTION("""COMPUTED_VALUE"""),"e")</f>
        <v>e</v>
      </c>
      <c r="B15" s="139">
        <f>IFERROR(__xludf.DUMMYFUNCTION("""COMPUTED_VALUE"""),2.0250901E8)</f>
        <v>202509010</v>
      </c>
      <c r="C15" s="139" t="str">
        <f>IFERROR(__xludf.DUMMYFUNCTION("""COMPUTED_VALUE"""),"chara_dan_00002_Normal_00000")</f>
        <v>chara_dan_00002_Normal_00000</v>
      </c>
      <c r="D15" s="139" t="str">
        <f>IFERROR(__xludf.DUMMYFUNCTION("""COMPUTED_VALUE"""),"chara_dan_00002")</f>
        <v>chara_dan_00002</v>
      </c>
      <c r="E15" s="139">
        <f>IFERROR(__xludf.DUMMYFUNCTION("""COMPUTED_VALUE"""),0.0)</f>
        <v>0</v>
      </c>
      <c r="F15" s="139" t="str">
        <f>IFERROR(__xludf.DUMMYFUNCTION("""COMPUTED_VALUE"""),"Normal")</f>
        <v>Normal</v>
      </c>
      <c r="G15" s="139"/>
      <c r="H15" s="139"/>
      <c r="I15" s="139">
        <f>IFERROR(__xludf.DUMMYFUNCTION("""COMPUTED_VALUE"""),92.0)</f>
        <v>92</v>
      </c>
      <c r="J15" s="139">
        <f>IFERROR(__xludf.DUMMYFUNCTION("""COMPUTED_VALUE"""),0.0)</f>
        <v>0</v>
      </c>
      <c r="K15" s="139">
        <f>IFERROR(__xludf.DUMMYFUNCTION("""COMPUTED_VALUE"""),75.0)</f>
        <v>75</v>
      </c>
      <c r="L15" s="139"/>
      <c r="M15" s="139" t="str">
        <f>IFERROR(__xludf.DUMMYFUNCTION("""COMPUTED_VALUE"""),"表示場所なし")</f>
        <v>表示場所なし</v>
      </c>
      <c r="N15" s="139"/>
    </row>
    <row r="16">
      <c r="A16" s="139" t="str">
        <f>IFERROR(__xludf.DUMMYFUNCTION("""COMPUTED_VALUE"""),"e")</f>
        <v>e</v>
      </c>
      <c r="B16" s="139">
        <f>IFERROR(__xludf.DUMMYFUNCTION("""COMPUTED_VALUE"""),2.0250901E8)</f>
        <v>202509010</v>
      </c>
      <c r="C16" s="139" t="str">
        <f>IFERROR(__xludf.DUMMYFUNCTION("""COMPUTED_VALUE"""),"chara_dan_00002_Special_00001")</f>
        <v>chara_dan_00002_Special_00001</v>
      </c>
      <c r="D16" s="139" t="str">
        <f>IFERROR(__xludf.DUMMYFUNCTION("""COMPUTED_VALUE"""),"chara_dan_00002")</f>
        <v>chara_dan_00002</v>
      </c>
      <c r="E16" s="139">
        <f>IFERROR(__xludf.DUMMYFUNCTION("""COMPUTED_VALUE"""),1.0)</f>
        <v>1</v>
      </c>
      <c r="F16" s="139" t="str">
        <f>IFERROR(__xludf.DUMMYFUNCTION("""COMPUTED_VALUE"""),"Special")</f>
        <v>Special</v>
      </c>
      <c r="G16" s="139"/>
      <c r="H16" s="139"/>
      <c r="I16" s="139">
        <f>IFERROR(__xludf.DUMMYFUNCTION("""COMPUTED_VALUE"""),261.0)</f>
        <v>261</v>
      </c>
      <c r="J16" s="139">
        <f>IFERROR(__xludf.DUMMYFUNCTION("""COMPUTED_VALUE"""),0.0)</f>
        <v>0</v>
      </c>
      <c r="K16" s="139">
        <f>IFERROR(__xludf.DUMMYFUNCTION("""COMPUTED_VALUE"""),0.0)</f>
        <v>0</v>
      </c>
      <c r="L16" s="139"/>
      <c r="M16" s="139" t="str">
        <f>IFERROR(__xludf.DUMMYFUNCTION("""COMPUTED_VALUE"""),"敵複数体に最大7回の連続攻撃(自身の攻撃ステータスの最大111%ダメージ)")</f>
        <v>敵複数体に最大7回の連続攻撃(自身の攻撃ステータスの最大111%ダメージ)</v>
      </c>
      <c r="N16" s="139"/>
    </row>
    <row r="17">
      <c r="A17" s="139" t="str">
        <f>IFERROR(__xludf.DUMMYFUNCTION("""COMPUTED_VALUE"""),"e")</f>
        <v>e</v>
      </c>
      <c r="B17" s="139">
        <f>IFERROR(__xludf.DUMMYFUNCTION("""COMPUTED_VALUE"""),2.0250901E8)</f>
        <v>202509010</v>
      </c>
      <c r="C17" s="139" t="str">
        <f>IFERROR(__xludf.DUMMYFUNCTION("""COMPUTED_VALUE"""),"chara_dan_00002_Special_00002")</f>
        <v>chara_dan_00002_Special_00002</v>
      </c>
      <c r="D17" s="139" t="str">
        <f>IFERROR(__xludf.DUMMYFUNCTION("""COMPUTED_VALUE"""),"chara_dan_00002")</f>
        <v>chara_dan_00002</v>
      </c>
      <c r="E17" s="139">
        <f>IFERROR(__xludf.DUMMYFUNCTION("""COMPUTED_VALUE"""),2.0)</f>
        <v>2</v>
      </c>
      <c r="F17" s="139" t="str">
        <f>IFERROR(__xludf.DUMMYFUNCTION("""COMPUTED_VALUE"""),"Special")</f>
        <v>Special</v>
      </c>
      <c r="G17" s="139"/>
      <c r="H17" s="139"/>
      <c r="I17" s="139">
        <f>IFERROR(__xludf.DUMMYFUNCTION("""COMPUTED_VALUE"""),261.0)</f>
        <v>261</v>
      </c>
      <c r="J17" s="139">
        <f>IFERROR(__xludf.DUMMYFUNCTION("""COMPUTED_VALUE"""),0.0)</f>
        <v>0</v>
      </c>
      <c r="K17" s="139">
        <f>IFERROR(__xludf.DUMMYFUNCTION("""COMPUTED_VALUE"""),0.0)</f>
        <v>0</v>
      </c>
      <c r="L17" s="139"/>
      <c r="M17" s="139" t="str">
        <f>IFERROR(__xludf.DUMMYFUNCTION("""COMPUTED_VALUE"""),"敵複数体に最大7回の連続攻撃(自身の攻撃ステータスの最大125%ダメージ)")</f>
        <v>敵複数体に最大7回の連続攻撃(自身の攻撃ステータスの最大125%ダメージ)</v>
      </c>
      <c r="N17" s="139" t="str">
        <f>IFERROR(__xludf.DUMMYFUNCTION("""COMPUTED_VALUE"""),"ステータスUP + 必殺ワザ性能UP")</f>
        <v>ステータスUP + 必殺ワザ性能UP</v>
      </c>
    </row>
    <row r="18">
      <c r="A18" s="139" t="str">
        <f>IFERROR(__xludf.DUMMYFUNCTION("""COMPUTED_VALUE"""),"e")</f>
        <v>e</v>
      </c>
      <c r="B18" s="139">
        <f>IFERROR(__xludf.DUMMYFUNCTION("""COMPUTED_VALUE"""),2.0250901E8)</f>
        <v>202509010</v>
      </c>
      <c r="C18" s="139" t="str">
        <f>IFERROR(__xludf.DUMMYFUNCTION("""COMPUTED_VALUE"""),"chara_dan_00002_Special_00003")</f>
        <v>chara_dan_00002_Special_00003</v>
      </c>
      <c r="D18" s="139" t="str">
        <f>IFERROR(__xludf.DUMMYFUNCTION("""COMPUTED_VALUE"""),"chara_dan_00002")</f>
        <v>chara_dan_00002</v>
      </c>
      <c r="E18" s="139">
        <f>IFERROR(__xludf.DUMMYFUNCTION("""COMPUTED_VALUE"""),3.0)</f>
        <v>3</v>
      </c>
      <c r="F18" s="139" t="str">
        <f>IFERROR(__xludf.DUMMYFUNCTION("""COMPUTED_VALUE"""),"Special")</f>
        <v>Special</v>
      </c>
      <c r="G18" s="139"/>
      <c r="H18" s="139"/>
      <c r="I18" s="139">
        <f>IFERROR(__xludf.DUMMYFUNCTION("""COMPUTED_VALUE"""),261.0)</f>
        <v>261</v>
      </c>
      <c r="J18" s="139">
        <f>IFERROR(__xludf.DUMMYFUNCTION("""COMPUTED_VALUE"""),0.0)</f>
        <v>0</v>
      </c>
      <c r="K18" s="139">
        <f>IFERROR(__xludf.DUMMYFUNCTION("""COMPUTED_VALUE"""),0.0)</f>
        <v>0</v>
      </c>
      <c r="L18" s="139"/>
      <c r="M18" s="139" t="str">
        <f>IFERROR(__xludf.DUMMYFUNCTION("""COMPUTED_VALUE"""),"敵複数体に最大7回の連続攻撃(自身の攻撃ステータスの最大134%ダメージ)")</f>
        <v>敵複数体に最大7回の連続攻撃(自身の攻撃ステータスの最大134%ダメージ)</v>
      </c>
      <c r="N18" s="139" t="str">
        <f>IFERROR(__xludf.DUMMYFUNCTION("""COMPUTED_VALUE"""),"ステータスUP + 必殺ワザ性能UP")</f>
        <v>ステータスUP + 必殺ワザ性能UP</v>
      </c>
    </row>
    <row r="19">
      <c r="A19" s="139" t="str">
        <f>IFERROR(__xludf.DUMMYFUNCTION("""COMPUTED_VALUE"""),"e")</f>
        <v>e</v>
      </c>
      <c r="B19" s="139">
        <f>IFERROR(__xludf.DUMMYFUNCTION("""COMPUTED_VALUE"""),2.0250901E8)</f>
        <v>202509010</v>
      </c>
      <c r="C19" s="139" t="str">
        <f>IFERROR(__xludf.DUMMYFUNCTION("""COMPUTED_VALUE"""),"chara_dan_00002_Special_00004")</f>
        <v>chara_dan_00002_Special_00004</v>
      </c>
      <c r="D19" s="139" t="str">
        <f>IFERROR(__xludf.DUMMYFUNCTION("""COMPUTED_VALUE"""),"chara_dan_00002")</f>
        <v>chara_dan_00002</v>
      </c>
      <c r="E19" s="139">
        <f>IFERROR(__xludf.DUMMYFUNCTION("""COMPUTED_VALUE"""),4.0)</f>
        <v>4</v>
      </c>
      <c r="F19" s="139" t="str">
        <f>IFERROR(__xludf.DUMMYFUNCTION("""COMPUTED_VALUE"""),"Special")</f>
        <v>Special</v>
      </c>
      <c r="G19" s="139"/>
      <c r="H19" s="139"/>
      <c r="I19" s="139">
        <f>IFERROR(__xludf.DUMMYFUNCTION("""COMPUTED_VALUE"""),261.0)</f>
        <v>261</v>
      </c>
      <c r="J19" s="139">
        <f>IFERROR(__xludf.DUMMYFUNCTION("""COMPUTED_VALUE"""),0.0)</f>
        <v>0</v>
      </c>
      <c r="K19" s="139">
        <f>IFERROR(__xludf.DUMMYFUNCTION("""COMPUTED_VALUE"""),0.0)</f>
        <v>0</v>
      </c>
      <c r="L19" s="139"/>
      <c r="M19" s="139" t="str">
        <f>IFERROR(__xludf.DUMMYFUNCTION("""COMPUTED_VALUE"""),"敵複数体に最大7回の連続攻撃(自身の攻撃ステータスの最大141%ダメージ)")</f>
        <v>敵複数体に最大7回の連続攻撃(自身の攻撃ステータスの最大141%ダメージ)</v>
      </c>
      <c r="N19" s="139" t="str">
        <f>IFERROR(__xludf.DUMMYFUNCTION("""COMPUTED_VALUE"""),"ステータスUP + 必殺ワザ性能UP")</f>
        <v>ステータスUP + 必殺ワザ性能UP</v>
      </c>
    </row>
    <row r="20">
      <c r="A20" s="139" t="str">
        <f>IFERROR(__xludf.DUMMYFUNCTION("""COMPUTED_VALUE"""),"e")</f>
        <v>e</v>
      </c>
      <c r="B20" s="139">
        <f>IFERROR(__xludf.DUMMYFUNCTION("""COMPUTED_VALUE"""),2.0250901E8)</f>
        <v>202509010</v>
      </c>
      <c r="C20" s="139" t="str">
        <f>IFERROR(__xludf.DUMMYFUNCTION("""COMPUTED_VALUE"""),"chara_dan_00002_Special_00005")</f>
        <v>chara_dan_00002_Special_00005</v>
      </c>
      <c r="D20" s="139" t="str">
        <f>IFERROR(__xludf.DUMMYFUNCTION("""COMPUTED_VALUE"""),"chara_dan_00002")</f>
        <v>chara_dan_00002</v>
      </c>
      <c r="E20" s="139">
        <f>IFERROR(__xludf.DUMMYFUNCTION("""COMPUTED_VALUE"""),5.0)</f>
        <v>5</v>
      </c>
      <c r="F20" s="139" t="str">
        <f>IFERROR(__xludf.DUMMYFUNCTION("""COMPUTED_VALUE"""),"Special")</f>
        <v>Special</v>
      </c>
      <c r="G20" s="139"/>
      <c r="H20" s="139"/>
      <c r="I20" s="139">
        <f>IFERROR(__xludf.DUMMYFUNCTION("""COMPUTED_VALUE"""),261.0)</f>
        <v>261</v>
      </c>
      <c r="J20" s="139">
        <f>IFERROR(__xludf.DUMMYFUNCTION("""COMPUTED_VALUE"""),0.0)</f>
        <v>0</v>
      </c>
      <c r="K20" s="139">
        <f>IFERROR(__xludf.DUMMYFUNCTION("""COMPUTED_VALUE"""),0.0)</f>
        <v>0</v>
      </c>
      <c r="L20" s="139"/>
      <c r="M20" s="139" t="str">
        <f>IFERROR(__xludf.DUMMYFUNCTION("""COMPUTED_VALUE"""),"敵複数体に最大7回の連続攻撃(自身の攻撃ステータスの最大146%ダメージ)")</f>
        <v>敵複数体に最大7回の連続攻撃(自身の攻撃ステータスの最大146%ダメージ)</v>
      </c>
      <c r="N20" s="139" t="str">
        <f>IFERROR(__xludf.DUMMYFUNCTION("""COMPUTED_VALUE"""),"ステータスUP + 必殺ワザ性能UP")</f>
        <v>ステータスUP + 必殺ワザ性能UP</v>
      </c>
    </row>
    <row r="21">
      <c r="A21" s="139"/>
      <c r="B21" s="139"/>
      <c r="C21" s="139" t="str">
        <f>IFERROR(__xludf.DUMMYFUNCTION("""COMPUTED_VALUE"""),"chara_dan_00002_Special_00006")</f>
        <v>chara_dan_00002_Special_00006</v>
      </c>
      <c r="D21" s="139" t="str">
        <f>IFERROR(__xludf.DUMMYFUNCTION("""COMPUTED_VALUE"""),"chara_dan_00002")</f>
        <v>chara_dan_00002</v>
      </c>
      <c r="E21" s="139">
        <f>IFERROR(__xludf.DUMMYFUNCTION("""COMPUTED_VALUE"""),6.0)</f>
        <v>6</v>
      </c>
      <c r="F21" s="139" t="str">
        <f>IFERROR(__xludf.DUMMYFUNCTION("""COMPUTED_VALUE"""),"Special")</f>
        <v>Special</v>
      </c>
      <c r="G21" s="139"/>
      <c r="H21" s="139"/>
      <c r="I21" s="139">
        <f>IFERROR(__xludf.DUMMYFUNCTION("""COMPUTED_VALUE"""),261.0)</f>
        <v>261</v>
      </c>
      <c r="J21" s="139">
        <f>IFERROR(__xludf.DUMMYFUNCTION("""COMPUTED_VALUE"""),0.0)</f>
        <v>0</v>
      </c>
      <c r="K21" s="139">
        <f>IFERROR(__xludf.DUMMYFUNCTION("""COMPUTED_VALUE"""),0.0)</f>
        <v>0</v>
      </c>
      <c r="L21" s="139"/>
      <c r="M21" s="139"/>
      <c r="N21" s="139"/>
    </row>
    <row r="22">
      <c r="A22" s="139"/>
      <c r="B22" s="139"/>
      <c r="C22" s="139" t="str">
        <f>IFERROR(__xludf.DUMMYFUNCTION("""COMPUTED_VALUE"""),"chara_dan_00002_Special_00007")</f>
        <v>chara_dan_00002_Special_00007</v>
      </c>
      <c r="D22" s="139" t="str">
        <f>IFERROR(__xludf.DUMMYFUNCTION("""COMPUTED_VALUE"""),"chara_dan_00002")</f>
        <v>chara_dan_00002</v>
      </c>
      <c r="E22" s="139">
        <f>IFERROR(__xludf.DUMMYFUNCTION("""COMPUTED_VALUE"""),7.0)</f>
        <v>7</v>
      </c>
      <c r="F22" s="139" t="str">
        <f>IFERROR(__xludf.DUMMYFUNCTION("""COMPUTED_VALUE"""),"Special")</f>
        <v>Special</v>
      </c>
      <c r="G22" s="139"/>
      <c r="H22" s="139"/>
      <c r="I22" s="139">
        <f>IFERROR(__xludf.DUMMYFUNCTION("""COMPUTED_VALUE"""),261.0)</f>
        <v>261</v>
      </c>
      <c r="J22" s="139">
        <f>IFERROR(__xludf.DUMMYFUNCTION("""COMPUTED_VALUE"""),0.0)</f>
        <v>0</v>
      </c>
      <c r="K22" s="139">
        <f>IFERROR(__xludf.DUMMYFUNCTION("""COMPUTED_VALUE"""),0.0)</f>
        <v>0</v>
      </c>
      <c r="L22" s="139"/>
      <c r="M22" s="139"/>
      <c r="N22" s="139"/>
    </row>
    <row r="23">
      <c r="A23" s="139"/>
      <c r="B23" s="139"/>
      <c r="C23" s="139" t="str">
        <f>IFERROR(__xludf.DUMMYFUNCTION("""COMPUTED_VALUE"""),"chara_dan_00002_Special_00008")</f>
        <v>chara_dan_00002_Special_00008</v>
      </c>
      <c r="D23" s="139" t="str">
        <f>IFERROR(__xludf.DUMMYFUNCTION("""COMPUTED_VALUE"""),"chara_dan_00002")</f>
        <v>chara_dan_00002</v>
      </c>
      <c r="E23" s="139">
        <f>IFERROR(__xludf.DUMMYFUNCTION("""COMPUTED_VALUE"""),8.0)</f>
        <v>8</v>
      </c>
      <c r="F23" s="139" t="str">
        <f>IFERROR(__xludf.DUMMYFUNCTION("""COMPUTED_VALUE"""),"Special")</f>
        <v>Special</v>
      </c>
      <c r="G23" s="139"/>
      <c r="H23" s="139"/>
      <c r="I23" s="139">
        <f>IFERROR(__xludf.DUMMYFUNCTION("""COMPUTED_VALUE"""),261.0)</f>
        <v>261</v>
      </c>
      <c r="J23" s="139">
        <f>IFERROR(__xludf.DUMMYFUNCTION("""COMPUTED_VALUE"""),0.0)</f>
        <v>0</v>
      </c>
      <c r="K23" s="139">
        <f>IFERROR(__xludf.DUMMYFUNCTION("""COMPUTED_VALUE"""),0.0)</f>
        <v>0</v>
      </c>
      <c r="L23" s="139"/>
      <c r="M23" s="139"/>
      <c r="N23" s="139"/>
    </row>
    <row r="24">
      <c r="A24" s="139"/>
      <c r="B24" s="139"/>
      <c r="C24" s="139" t="str">
        <f>IFERROR(__xludf.DUMMYFUNCTION("""COMPUTED_VALUE"""),"chara_dan_00002_Special_00009")</f>
        <v>chara_dan_00002_Special_00009</v>
      </c>
      <c r="D24" s="139" t="str">
        <f>IFERROR(__xludf.DUMMYFUNCTION("""COMPUTED_VALUE"""),"chara_dan_00002")</f>
        <v>chara_dan_00002</v>
      </c>
      <c r="E24" s="139">
        <f>IFERROR(__xludf.DUMMYFUNCTION("""COMPUTED_VALUE"""),9.0)</f>
        <v>9</v>
      </c>
      <c r="F24" s="139" t="str">
        <f>IFERROR(__xludf.DUMMYFUNCTION("""COMPUTED_VALUE"""),"Special")</f>
        <v>Special</v>
      </c>
      <c r="G24" s="139"/>
      <c r="H24" s="139"/>
      <c r="I24" s="139">
        <f>IFERROR(__xludf.DUMMYFUNCTION("""COMPUTED_VALUE"""),261.0)</f>
        <v>261</v>
      </c>
      <c r="J24" s="139">
        <f>IFERROR(__xludf.DUMMYFUNCTION("""COMPUTED_VALUE"""),0.0)</f>
        <v>0</v>
      </c>
      <c r="K24" s="139">
        <f>IFERROR(__xludf.DUMMYFUNCTION("""COMPUTED_VALUE"""),0.0)</f>
        <v>0</v>
      </c>
      <c r="L24" s="139"/>
      <c r="M24" s="139"/>
      <c r="N24" s="139"/>
    </row>
    <row r="25">
      <c r="A25" s="139"/>
      <c r="B25" s="139"/>
      <c r="C25" s="139" t="str">
        <f>IFERROR(__xludf.DUMMYFUNCTION("""COMPUTED_VALUE"""),"chara_dan_00002_Special_00010")</f>
        <v>chara_dan_00002_Special_00010</v>
      </c>
      <c r="D25" s="139" t="str">
        <f>IFERROR(__xludf.DUMMYFUNCTION("""COMPUTED_VALUE"""),"chara_dan_00002")</f>
        <v>chara_dan_00002</v>
      </c>
      <c r="E25" s="139">
        <f>IFERROR(__xludf.DUMMYFUNCTION("""COMPUTED_VALUE"""),10.0)</f>
        <v>10</v>
      </c>
      <c r="F25" s="139" t="str">
        <f>IFERROR(__xludf.DUMMYFUNCTION("""COMPUTED_VALUE"""),"Special")</f>
        <v>Special</v>
      </c>
      <c r="G25" s="139"/>
      <c r="H25" s="139"/>
      <c r="I25" s="139">
        <f>IFERROR(__xludf.DUMMYFUNCTION("""COMPUTED_VALUE"""),261.0)</f>
        <v>261</v>
      </c>
      <c r="J25" s="139">
        <f>IFERROR(__xludf.DUMMYFUNCTION("""COMPUTED_VALUE"""),0.0)</f>
        <v>0</v>
      </c>
      <c r="K25" s="139">
        <f>IFERROR(__xludf.DUMMYFUNCTION("""COMPUTED_VALUE"""),0.0)</f>
        <v>0</v>
      </c>
      <c r="L25" s="139"/>
      <c r="M25" s="139"/>
      <c r="N25" s="139"/>
    </row>
    <row r="26">
      <c r="A26" s="139" t="str">
        <f>IFERROR(__xludf.DUMMYFUNCTION("""COMPUTED_VALUE"""),"e")</f>
        <v>e</v>
      </c>
      <c r="B26" s="139">
        <f>IFERROR(__xludf.DUMMYFUNCTION("""COMPUTED_VALUE"""),2.0250901E8)</f>
        <v>202509010</v>
      </c>
      <c r="C26" s="139" t="str">
        <f>IFERROR(__xludf.DUMMYFUNCTION("""COMPUTED_VALUE"""),"chara_dan_00101_Normal_00000")</f>
        <v>chara_dan_00101_Normal_00000</v>
      </c>
      <c r="D26" s="139" t="str">
        <f>IFERROR(__xludf.DUMMYFUNCTION("""COMPUTED_VALUE"""),"chara_dan_00101")</f>
        <v>chara_dan_00101</v>
      </c>
      <c r="E26" s="139">
        <f>IFERROR(__xludf.DUMMYFUNCTION("""COMPUTED_VALUE"""),0.0)</f>
        <v>0</v>
      </c>
      <c r="F26" s="139" t="str">
        <f>IFERROR(__xludf.DUMMYFUNCTION("""COMPUTED_VALUE"""),"Normal")</f>
        <v>Normal</v>
      </c>
      <c r="G26" s="139"/>
      <c r="H26" s="139"/>
      <c r="I26" s="139">
        <f>IFERROR(__xludf.DUMMYFUNCTION("""COMPUTED_VALUE"""),50.0)</f>
        <v>50</v>
      </c>
      <c r="J26" s="139">
        <f>IFERROR(__xludf.DUMMYFUNCTION("""COMPUTED_VALUE"""),25.0)</f>
        <v>25</v>
      </c>
      <c r="K26" s="139">
        <f>IFERROR(__xludf.DUMMYFUNCTION("""COMPUTED_VALUE"""),75.0)</f>
        <v>75</v>
      </c>
      <c r="L26" s="139"/>
      <c r="M26" s="139" t="str">
        <f>IFERROR(__xludf.DUMMYFUNCTION("""COMPUTED_VALUE"""),"表示場所なし")</f>
        <v>表示場所なし</v>
      </c>
      <c r="N26" s="139"/>
    </row>
    <row r="27">
      <c r="A27" s="139" t="str">
        <f>IFERROR(__xludf.DUMMYFUNCTION("""COMPUTED_VALUE"""),"e")</f>
        <v>e</v>
      </c>
      <c r="B27" s="139">
        <f>IFERROR(__xludf.DUMMYFUNCTION("""COMPUTED_VALUE"""),2.0250901E8)</f>
        <v>202509010</v>
      </c>
      <c r="C27" s="139" t="str">
        <f>IFERROR(__xludf.DUMMYFUNCTION("""COMPUTED_VALUE"""),"chara_dan_00101_Special_00001")</f>
        <v>chara_dan_00101_Special_00001</v>
      </c>
      <c r="D27" s="139" t="str">
        <f>IFERROR(__xludf.DUMMYFUNCTION("""COMPUTED_VALUE"""),"chara_dan_00101")</f>
        <v>chara_dan_00101</v>
      </c>
      <c r="E27" s="139">
        <f>IFERROR(__xludf.DUMMYFUNCTION("""COMPUTED_VALUE"""),1.0)</f>
        <v>1</v>
      </c>
      <c r="F27" s="139" t="str">
        <f>IFERROR(__xludf.DUMMYFUNCTION("""COMPUTED_VALUE"""),"Special")</f>
        <v>Special</v>
      </c>
      <c r="G27" s="139"/>
      <c r="H27" s="139"/>
      <c r="I27" s="139">
        <f>IFERROR(__xludf.DUMMYFUNCTION("""COMPUTED_VALUE"""),100.0)</f>
        <v>100</v>
      </c>
      <c r="J27" s="139">
        <f>IFERROR(__xludf.DUMMYFUNCTION("""COMPUTED_VALUE"""),50.0)</f>
        <v>50</v>
      </c>
      <c r="K27" s="139">
        <f>IFERROR(__xludf.DUMMYFUNCTION("""COMPUTED_VALUE"""),0.0)</f>
        <v>0</v>
      </c>
      <c r="L27" s="139"/>
      <c r="M27" s="139" t="str">
        <f>IFERROR(__xludf.DUMMYFUNCTION("""COMPUTED_VALUE"""),"敵複数体に自身の攻撃ステータスの98%のダメージ + 攻撃がヒットした場合、敵を小ノックバック")</f>
        <v>敵複数体に自身の攻撃ステータスの98%のダメージ + 攻撃がヒットした場合、敵を小ノックバック</v>
      </c>
      <c r="N27" s="139"/>
    </row>
    <row r="28">
      <c r="A28" s="139" t="str">
        <f>IFERROR(__xludf.DUMMYFUNCTION("""COMPUTED_VALUE"""),"e")</f>
        <v>e</v>
      </c>
      <c r="B28" s="139">
        <f>IFERROR(__xludf.DUMMYFUNCTION("""COMPUTED_VALUE"""),2.0250901E8)</f>
        <v>202509010</v>
      </c>
      <c r="C28" s="139" t="str">
        <f>IFERROR(__xludf.DUMMYFUNCTION("""COMPUTED_VALUE"""),"chara_dan_00101_Special_00002")</f>
        <v>chara_dan_00101_Special_00002</v>
      </c>
      <c r="D28" s="139" t="str">
        <f>IFERROR(__xludf.DUMMYFUNCTION("""COMPUTED_VALUE"""),"chara_dan_00101")</f>
        <v>chara_dan_00101</v>
      </c>
      <c r="E28" s="139">
        <f>IFERROR(__xludf.DUMMYFUNCTION("""COMPUTED_VALUE"""),2.0)</f>
        <v>2</v>
      </c>
      <c r="F28" s="139" t="str">
        <f>IFERROR(__xludf.DUMMYFUNCTION("""COMPUTED_VALUE"""),"Special")</f>
        <v>Special</v>
      </c>
      <c r="G28" s="139"/>
      <c r="H28" s="139"/>
      <c r="I28" s="139">
        <f>IFERROR(__xludf.DUMMYFUNCTION("""COMPUTED_VALUE"""),100.0)</f>
        <v>100</v>
      </c>
      <c r="J28" s="139">
        <f>IFERROR(__xludf.DUMMYFUNCTION("""COMPUTED_VALUE"""),50.0)</f>
        <v>50</v>
      </c>
      <c r="K28" s="139">
        <f>IFERROR(__xludf.DUMMYFUNCTION("""COMPUTED_VALUE"""),0.0)</f>
        <v>0</v>
      </c>
      <c r="L28" s="139"/>
      <c r="M28" s="139" t="str">
        <f>IFERROR(__xludf.DUMMYFUNCTION("""COMPUTED_VALUE"""),"敵複数体に自身の攻撃ステータスの112%のダメージ + 攻撃がヒットした場合、敵を小ノックバック")</f>
        <v>敵複数体に自身の攻撃ステータスの112%のダメージ + 攻撃がヒットした場合、敵を小ノックバック</v>
      </c>
      <c r="N28" s="139" t="str">
        <f>IFERROR(__xludf.DUMMYFUNCTION("""COMPUTED_VALUE"""),"ステータスUP + 必殺ワザ性能UP")</f>
        <v>ステータスUP + 必殺ワザ性能UP</v>
      </c>
    </row>
    <row r="29">
      <c r="A29" s="139" t="str">
        <f>IFERROR(__xludf.DUMMYFUNCTION("""COMPUTED_VALUE"""),"e")</f>
        <v>e</v>
      </c>
      <c r="B29" s="139">
        <f>IFERROR(__xludf.DUMMYFUNCTION("""COMPUTED_VALUE"""),2.0250901E8)</f>
        <v>202509010</v>
      </c>
      <c r="C29" s="139" t="str">
        <f>IFERROR(__xludf.DUMMYFUNCTION("""COMPUTED_VALUE"""),"chara_dan_00101_Special_00003")</f>
        <v>chara_dan_00101_Special_00003</v>
      </c>
      <c r="D29" s="139" t="str">
        <f>IFERROR(__xludf.DUMMYFUNCTION("""COMPUTED_VALUE"""),"chara_dan_00101")</f>
        <v>chara_dan_00101</v>
      </c>
      <c r="E29" s="139">
        <f>IFERROR(__xludf.DUMMYFUNCTION("""COMPUTED_VALUE"""),3.0)</f>
        <v>3</v>
      </c>
      <c r="F29" s="139" t="str">
        <f>IFERROR(__xludf.DUMMYFUNCTION("""COMPUTED_VALUE"""),"Special")</f>
        <v>Special</v>
      </c>
      <c r="G29" s="139"/>
      <c r="H29" s="139"/>
      <c r="I29" s="139">
        <f>IFERROR(__xludf.DUMMYFUNCTION("""COMPUTED_VALUE"""),100.0)</f>
        <v>100</v>
      </c>
      <c r="J29" s="139">
        <f>IFERROR(__xludf.DUMMYFUNCTION("""COMPUTED_VALUE"""),50.0)</f>
        <v>50</v>
      </c>
      <c r="K29" s="139">
        <f>IFERROR(__xludf.DUMMYFUNCTION("""COMPUTED_VALUE"""),0.0)</f>
        <v>0</v>
      </c>
      <c r="L29" s="139"/>
      <c r="M29" s="139" t="str">
        <f>IFERROR(__xludf.DUMMYFUNCTION("""COMPUTED_VALUE"""),"敵複数体に自身の攻撃ステータスの122%のダメージ + 攻撃がヒットした場合、敵を小ノックバック")</f>
        <v>敵複数体に自身の攻撃ステータスの122%のダメージ + 攻撃がヒットした場合、敵を小ノックバック</v>
      </c>
      <c r="N29" s="139" t="str">
        <f>IFERROR(__xludf.DUMMYFUNCTION("""COMPUTED_VALUE"""),"ステータスUP + 必殺ワザ性能UP")</f>
        <v>ステータスUP + 必殺ワザ性能UP</v>
      </c>
    </row>
    <row r="30">
      <c r="A30" s="139" t="str">
        <f>IFERROR(__xludf.DUMMYFUNCTION("""COMPUTED_VALUE"""),"e")</f>
        <v>e</v>
      </c>
      <c r="B30" s="139">
        <f>IFERROR(__xludf.DUMMYFUNCTION("""COMPUTED_VALUE"""),2.0250901E8)</f>
        <v>202509010</v>
      </c>
      <c r="C30" s="139" t="str">
        <f>IFERROR(__xludf.DUMMYFUNCTION("""COMPUTED_VALUE"""),"chara_dan_00101_Special_00004")</f>
        <v>chara_dan_00101_Special_00004</v>
      </c>
      <c r="D30" s="139" t="str">
        <f>IFERROR(__xludf.DUMMYFUNCTION("""COMPUTED_VALUE"""),"chara_dan_00101")</f>
        <v>chara_dan_00101</v>
      </c>
      <c r="E30" s="139">
        <f>IFERROR(__xludf.DUMMYFUNCTION("""COMPUTED_VALUE"""),4.0)</f>
        <v>4</v>
      </c>
      <c r="F30" s="139" t="str">
        <f>IFERROR(__xludf.DUMMYFUNCTION("""COMPUTED_VALUE"""),"Special")</f>
        <v>Special</v>
      </c>
      <c r="G30" s="139"/>
      <c r="H30" s="139"/>
      <c r="I30" s="139">
        <f>IFERROR(__xludf.DUMMYFUNCTION("""COMPUTED_VALUE"""),100.0)</f>
        <v>100</v>
      </c>
      <c r="J30" s="139">
        <f>IFERROR(__xludf.DUMMYFUNCTION("""COMPUTED_VALUE"""),50.0)</f>
        <v>50</v>
      </c>
      <c r="K30" s="139">
        <f>IFERROR(__xludf.DUMMYFUNCTION("""COMPUTED_VALUE"""),0.0)</f>
        <v>0</v>
      </c>
      <c r="L30" s="139"/>
      <c r="M30" s="139" t="str">
        <f>IFERROR(__xludf.DUMMYFUNCTION("""COMPUTED_VALUE"""),"敵複数体に自身の攻撃ステータスの130%のダメージ + 攻撃がヒットした場合、敵を中ノックバック")</f>
        <v>敵複数体に自身の攻撃ステータスの130%のダメージ + 攻撃がヒットした場合、敵を中ノックバック</v>
      </c>
      <c r="N30" s="139" t="str">
        <f>IFERROR(__xludf.DUMMYFUNCTION("""COMPUTED_VALUE"""),"ステータスUP + 必殺ワザ性能UP")</f>
        <v>ステータスUP + 必殺ワザ性能UP</v>
      </c>
    </row>
    <row r="31">
      <c r="A31" s="139" t="str">
        <f>IFERROR(__xludf.DUMMYFUNCTION("""COMPUTED_VALUE"""),"e")</f>
        <v>e</v>
      </c>
      <c r="B31" s="139">
        <f>IFERROR(__xludf.DUMMYFUNCTION("""COMPUTED_VALUE"""),2.0250901E8)</f>
        <v>202509010</v>
      </c>
      <c r="C31" s="139" t="str">
        <f>IFERROR(__xludf.DUMMYFUNCTION("""COMPUTED_VALUE"""),"chara_dan_00101_Special_00005")</f>
        <v>chara_dan_00101_Special_00005</v>
      </c>
      <c r="D31" s="139" t="str">
        <f>IFERROR(__xludf.DUMMYFUNCTION("""COMPUTED_VALUE"""),"chara_dan_00101")</f>
        <v>chara_dan_00101</v>
      </c>
      <c r="E31" s="139">
        <f>IFERROR(__xludf.DUMMYFUNCTION("""COMPUTED_VALUE"""),5.0)</f>
        <v>5</v>
      </c>
      <c r="F31" s="139" t="str">
        <f>IFERROR(__xludf.DUMMYFUNCTION("""COMPUTED_VALUE"""),"Special")</f>
        <v>Special</v>
      </c>
      <c r="G31" s="139"/>
      <c r="H31" s="139"/>
      <c r="I31" s="139">
        <f>IFERROR(__xludf.DUMMYFUNCTION("""COMPUTED_VALUE"""),100.0)</f>
        <v>100</v>
      </c>
      <c r="J31" s="139">
        <f>IFERROR(__xludf.DUMMYFUNCTION("""COMPUTED_VALUE"""),50.0)</f>
        <v>50</v>
      </c>
      <c r="K31" s="139">
        <f>IFERROR(__xludf.DUMMYFUNCTION("""COMPUTED_VALUE"""),0.0)</f>
        <v>0</v>
      </c>
      <c r="L31" s="139"/>
      <c r="M31" s="139" t="str">
        <f>IFERROR(__xludf.DUMMYFUNCTION("""COMPUTED_VALUE"""),"敵複数体に自身の攻撃ステータスの135%のダメージ + 攻撃がヒットした場合、敵を中ノックバック")</f>
        <v>敵複数体に自身の攻撃ステータスの135%のダメージ + 攻撃がヒットした場合、敵を中ノックバック</v>
      </c>
      <c r="N31" s="139" t="str">
        <f>IFERROR(__xludf.DUMMYFUNCTION("""COMPUTED_VALUE"""),"ステータスUP + 必殺ワザ性能UP")</f>
        <v>ステータスUP + 必殺ワザ性能UP</v>
      </c>
    </row>
    <row r="32">
      <c r="A32" s="139"/>
      <c r="B32" s="139"/>
      <c r="C32" s="139" t="str">
        <f>IFERROR(__xludf.DUMMYFUNCTION("""COMPUTED_VALUE"""),"chara_dan_00101_Special_00006")</f>
        <v>chara_dan_00101_Special_00006</v>
      </c>
      <c r="D32" s="139" t="str">
        <f>IFERROR(__xludf.DUMMYFUNCTION("""COMPUTED_VALUE"""),"chara_dan_00101")</f>
        <v>chara_dan_00101</v>
      </c>
      <c r="E32" s="139">
        <f>IFERROR(__xludf.DUMMYFUNCTION("""COMPUTED_VALUE"""),6.0)</f>
        <v>6</v>
      </c>
      <c r="F32" s="139" t="str">
        <f>IFERROR(__xludf.DUMMYFUNCTION("""COMPUTED_VALUE"""),"Special")</f>
        <v>Special</v>
      </c>
      <c r="G32" s="139"/>
      <c r="H32" s="139"/>
      <c r="I32" s="139">
        <f>IFERROR(__xludf.DUMMYFUNCTION("""COMPUTED_VALUE"""),100.0)</f>
        <v>100</v>
      </c>
      <c r="J32" s="139">
        <f>IFERROR(__xludf.DUMMYFUNCTION("""COMPUTED_VALUE"""),50.0)</f>
        <v>50</v>
      </c>
      <c r="K32" s="139">
        <f>IFERROR(__xludf.DUMMYFUNCTION("""COMPUTED_VALUE"""),0.0)</f>
        <v>0</v>
      </c>
      <c r="L32" s="139"/>
      <c r="M32" s="139"/>
      <c r="N32" s="139"/>
    </row>
    <row r="33">
      <c r="A33" s="139"/>
      <c r="B33" s="139"/>
      <c r="C33" s="139" t="str">
        <f>IFERROR(__xludf.DUMMYFUNCTION("""COMPUTED_VALUE"""),"chara_dan_00101_Special_00007")</f>
        <v>chara_dan_00101_Special_00007</v>
      </c>
      <c r="D33" s="139" t="str">
        <f>IFERROR(__xludf.DUMMYFUNCTION("""COMPUTED_VALUE"""),"chara_dan_00101")</f>
        <v>chara_dan_00101</v>
      </c>
      <c r="E33" s="139">
        <f>IFERROR(__xludf.DUMMYFUNCTION("""COMPUTED_VALUE"""),7.0)</f>
        <v>7</v>
      </c>
      <c r="F33" s="139" t="str">
        <f>IFERROR(__xludf.DUMMYFUNCTION("""COMPUTED_VALUE"""),"Special")</f>
        <v>Special</v>
      </c>
      <c r="G33" s="139"/>
      <c r="H33" s="139"/>
      <c r="I33" s="139">
        <f>IFERROR(__xludf.DUMMYFUNCTION("""COMPUTED_VALUE"""),100.0)</f>
        <v>100</v>
      </c>
      <c r="J33" s="139">
        <f>IFERROR(__xludf.DUMMYFUNCTION("""COMPUTED_VALUE"""),50.0)</f>
        <v>50</v>
      </c>
      <c r="K33" s="139">
        <f>IFERROR(__xludf.DUMMYFUNCTION("""COMPUTED_VALUE"""),0.0)</f>
        <v>0</v>
      </c>
      <c r="L33" s="139"/>
      <c r="M33" s="139"/>
      <c r="N33" s="139"/>
    </row>
    <row r="34">
      <c r="A34" s="139"/>
      <c r="B34" s="139"/>
      <c r="C34" s="139" t="str">
        <f>IFERROR(__xludf.DUMMYFUNCTION("""COMPUTED_VALUE"""),"chara_dan_00101_Special_00008")</f>
        <v>chara_dan_00101_Special_00008</v>
      </c>
      <c r="D34" s="139" t="str">
        <f>IFERROR(__xludf.DUMMYFUNCTION("""COMPUTED_VALUE"""),"chara_dan_00101")</f>
        <v>chara_dan_00101</v>
      </c>
      <c r="E34" s="139">
        <f>IFERROR(__xludf.DUMMYFUNCTION("""COMPUTED_VALUE"""),8.0)</f>
        <v>8</v>
      </c>
      <c r="F34" s="139" t="str">
        <f>IFERROR(__xludf.DUMMYFUNCTION("""COMPUTED_VALUE"""),"Special")</f>
        <v>Special</v>
      </c>
      <c r="G34" s="139"/>
      <c r="H34" s="139"/>
      <c r="I34" s="139">
        <f>IFERROR(__xludf.DUMMYFUNCTION("""COMPUTED_VALUE"""),100.0)</f>
        <v>100</v>
      </c>
      <c r="J34" s="139">
        <f>IFERROR(__xludf.DUMMYFUNCTION("""COMPUTED_VALUE"""),50.0)</f>
        <v>50</v>
      </c>
      <c r="K34" s="139">
        <f>IFERROR(__xludf.DUMMYFUNCTION("""COMPUTED_VALUE"""),0.0)</f>
        <v>0</v>
      </c>
      <c r="L34" s="139"/>
      <c r="M34" s="139"/>
      <c r="N34" s="139"/>
    </row>
    <row r="35">
      <c r="A35" s="139"/>
      <c r="B35" s="139"/>
      <c r="C35" s="139" t="str">
        <f>IFERROR(__xludf.DUMMYFUNCTION("""COMPUTED_VALUE"""),"chara_dan_00101_Special_00009")</f>
        <v>chara_dan_00101_Special_00009</v>
      </c>
      <c r="D35" s="139" t="str">
        <f>IFERROR(__xludf.DUMMYFUNCTION("""COMPUTED_VALUE"""),"chara_dan_00101")</f>
        <v>chara_dan_00101</v>
      </c>
      <c r="E35" s="139">
        <f>IFERROR(__xludf.DUMMYFUNCTION("""COMPUTED_VALUE"""),9.0)</f>
        <v>9</v>
      </c>
      <c r="F35" s="139" t="str">
        <f>IFERROR(__xludf.DUMMYFUNCTION("""COMPUTED_VALUE"""),"Special")</f>
        <v>Special</v>
      </c>
      <c r="G35" s="139"/>
      <c r="H35" s="139"/>
      <c r="I35" s="139">
        <f>IFERROR(__xludf.DUMMYFUNCTION("""COMPUTED_VALUE"""),100.0)</f>
        <v>100</v>
      </c>
      <c r="J35" s="139">
        <f>IFERROR(__xludf.DUMMYFUNCTION("""COMPUTED_VALUE"""),50.0)</f>
        <v>50</v>
      </c>
      <c r="K35" s="139">
        <f>IFERROR(__xludf.DUMMYFUNCTION("""COMPUTED_VALUE"""),0.0)</f>
        <v>0</v>
      </c>
      <c r="L35" s="139"/>
      <c r="M35" s="139"/>
      <c r="N35" s="139"/>
    </row>
    <row r="36">
      <c r="A36" s="139"/>
      <c r="B36" s="139"/>
      <c r="C36" s="139" t="str">
        <f>IFERROR(__xludf.DUMMYFUNCTION("""COMPUTED_VALUE"""),"chara_dan_00101_Special_00010")</f>
        <v>chara_dan_00101_Special_00010</v>
      </c>
      <c r="D36" s="139" t="str">
        <f>IFERROR(__xludf.DUMMYFUNCTION("""COMPUTED_VALUE"""),"chara_dan_00101")</f>
        <v>chara_dan_00101</v>
      </c>
      <c r="E36" s="139">
        <f>IFERROR(__xludf.DUMMYFUNCTION("""COMPUTED_VALUE"""),10.0)</f>
        <v>10</v>
      </c>
      <c r="F36" s="139" t="str">
        <f>IFERROR(__xludf.DUMMYFUNCTION("""COMPUTED_VALUE"""),"Special")</f>
        <v>Special</v>
      </c>
      <c r="G36" s="139"/>
      <c r="H36" s="139"/>
      <c r="I36" s="139">
        <f>IFERROR(__xludf.DUMMYFUNCTION("""COMPUTED_VALUE"""),100.0)</f>
        <v>100</v>
      </c>
      <c r="J36" s="139">
        <f>IFERROR(__xludf.DUMMYFUNCTION("""COMPUTED_VALUE"""),50.0)</f>
        <v>50</v>
      </c>
      <c r="K36" s="139">
        <f>IFERROR(__xludf.DUMMYFUNCTION("""COMPUTED_VALUE"""),0.0)</f>
        <v>0</v>
      </c>
      <c r="L36" s="139"/>
      <c r="M36" s="139"/>
      <c r="N36" s="139"/>
    </row>
    <row r="37">
      <c r="A37" s="139" t="str">
        <f>IFERROR(__xludf.DUMMYFUNCTION("""COMPUTED_VALUE"""),"e")</f>
        <v>e</v>
      </c>
      <c r="B37" s="139">
        <f>IFERROR(__xludf.DUMMYFUNCTION("""COMPUTED_VALUE"""),2.0250901E8)</f>
        <v>202509010</v>
      </c>
      <c r="C37" s="139" t="str">
        <f>IFERROR(__xludf.DUMMYFUNCTION("""COMPUTED_VALUE"""),"chara_gom_00001_Normal_00000")</f>
        <v>chara_gom_00001_Normal_00000</v>
      </c>
      <c r="D37" s="139" t="str">
        <f>IFERROR(__xludf.DUMMYFUNCTION("""COMPUTED_VALUE"""),"chara_gom_00001")</f>
        <v>chara_gom_00001</v>
      </c>
      <c r="E37" s="139">
        <f>IFERROR(__xludf.DUMMYFUNCTION("""COMPUTED_VALUE"""),0.0)</f>
        <v>0</v>
      </c>
      <c r="F37" s="139" t="str">
        <f>IFERROR(__xludf.DUMMYFUNCTION("""COMPUTED_VALUE"""),"Normal")</f>
        <v>Normal</v>
      </c>
      <c r="G37" s="139"/>
      <c r="H37" s="139"/>
      <c r="I37" s="139">
        <f>IFERROR(__xludf.DUMMYFUNCTION("""COMPUTED_VALUE"""),65.0)</f>
        <v>65</v>
      </c>
      <c r="J37" s="139">
        <f>IFERROR(__xludf.DUMMYFUNCTION("""COMPUTED_VALUE"""),25.0)</f>
        <v>25</v>
      </c>
      <c r="K37" s="139">
        <f>IFERROR(__xludf.DUMMYFUNCTION("""COMPUTED_VALUE"""),100.0)</f>
        <v>100</v>
      </c>
      <c r="L37" s="139"/>
      <c r="M37" s="139" t="str">
        <f>IFERROR(__xludf.DUMMYFUNCTION("""COMPUTED_VALUE"""),"表示場所なし")</f>
        <v>表示場所なし</v>
      </c>
      <c r="N37" s="139"/>
    </row>
    <row r="38">
      <c r="A38" s="139" t="str">
        <f>IFERROR(__xludf.DUMMYFUNCTION("""COMPUTED_VALUE"""),"e")</f>
        <v>e</v>
      </c>
      <c r="B38" s="139">
        <f>IFERROR(__xludf.DUMMYFUNCTION("""COMPUTED_VALUE"""),2.0250901E8)</f>
        <v>202509010</v>
      </c>
      <c r="C38" s="139" t="str">
        <f>IFERROR(__xludf.DUMMYFUNCTION("""COMPUTED_VALUE"""),"chara_gom_00001_Special_00001")</f>
        <v>chara_gom_00001_Special_00001</v>
      </c>
      <c r="D38" s="139" t="str">
        <f>IFERROR(__xludf.DUMMYFUNCTION("""COMPUTED_VALUE"""),"chara_gom_00001")</f>
        <v>chara_gom_00001</v>
      </c>
      <c r="E38" s="139">
        <f>IFERROR(__xludf.DUMMYFUNCTION("""COMPUTED_VALUE"""),1.0)</f>
        <v>1</v>
      </c>
      <c r="F38" s="139" t="str">
        <f>IFERROR(__xludf.DUMMYFUNCTION("""COMPUTED_VALUE"""),"Special")</f>
        <v>Special</v>
      </c>
      <c r="G38" s="139"/>
      <c r="H38" s="139"/>
      <c r="I38" s="139">
        <f>IFERROR(__xludf.DUMMYFUNCTION("""COMPUTED_VALUE"""),200.0)</f>
        <v>200</v>
      </c>
      <c r="J38" s="139">
        <f>IFERROR(__xludf.DUMMYFUNCTION("""COMPUTED_VALUE"""),115.0)</f>
        <v>115</v>
      </c>
      <c r="K38" s="139">
        <f>IFERROR(__xludf.DUMMYFUNCTION("""COMPUTED_VALUE"""),0.0)</f>
        <v>0</v>
      </c>
      <c r="L38" s="139"/>
      <c r="M38" s="139" t="str">
        <f>IFERROR(__xludf.DUMMYFUNCTION("""COMPUTED_VALUE"""),"自身への被ダメージを3.2秒間、30%カット")</f>
        <v>自身への被ダメージを3.2秒間、30%カット</v>
      </c>
      <c r="N38" s="139"/>
    </row>
    <row r="39">
      <c r="A39" s="139" t="str">
        <f>IFERROR(__xludf.DUMMYFUNCTION("""COMPUTED_VALUE"""),"e")</f>
        <v>e</v>
      </c>
      <c r="B39" s="139">
        <f>IFERROR(__xludf.DUMMYFUNCTION("""COMPUTED_VALUE"""),2.0250901E8)</f>
        <v>202509010</v>
      </c>
      <c r="C39" s="139" t="str">
        <f>IFERROR(__xludf.DUMMYFUNCTION("""COMPUTED_VALUE"""),"chara_gom_00001_Special_00002")</f>
        <v>chara_gom_00001_Special_00002</v>
      </c>
      <c r="D39" s="139" t="str">
        <f>IFERROR(__xludf.DUMMYFUNCTION("""COMPUTED_VALUE"""),"chara_gom_00001")</f>
        <v>chara_gom_00001</v>
      </c>
      <c r="E39" s="139">
        <f>IFERROR(__xludf.DUMMYFUNCTION("""COMPUTED_VALUE"""),2.0)</f>
        <v>2</v>
      </c>
      <c r="F39" s="139" t="str">
        <f>IFERROR(__xludf.DUMMYFUNCTION("""COMPUTED_VALUE"""),"Special")</f>
        <v>Special</v>
      </c>
      <c r="G39" s="139"/>
      <c r="H39" s="139"/>
      <c r="I39" s="139">
        <f>IFERROR(__xludf.DUMMYFUNCTION("""COMPUTED_VALUE"""),200.0)</f>
        <v>200</v>
      </c>
      <c r="J39" s="139">
        <f>IFERROR(__xludf.DUMMYFUNCTION("""COMPUTED_VALUE"""),115.0)</f>
        <v>115</v>
      </c>
      <c r="K39" s="139">
        <f>IFERROR(__xludf.DUMMYFUNCTION("""COMPUTED_VALUE"""),0.0)</f>
        <v>0</v>
      </c>
      <c r="L39" s="139"/>
      <c r="M39" s="139" t="str">
        <f>IFERROR(__xludf.DUMMYFUNCTION("""COMPUTED_VALUE"""),"自身への被ダメージを4.4秒間、32%カット")</f>
        <v>自身への被ダメージを4.4秒間、32%カット</v>
      </c>
      <c r="N39" s="139" t="str">
        <f>IFERROR(__xludf.DUMMYFUNCTION("""COMPUTED_VALUE"""),"ステータスUP + 必殺ワザ性能UP")</f>
        <v>ステータスUP + 必殺ワザ性能UP</v>
      </c>
    </row>
    <row r="40">
      <c r="A40" s="139" t="str">
        <f>IFERROR(__xludf.DUMMYFUNCTION("""COMPUTED_VALUE"""),"e")</f>
        <v>e</v>
      </c>
      <c r="B40" s="139">
        <f>IFERROR(__xludf.DUMMYFUNCTION("""COMPUTED_VALUE"""),2.0250901E8)</f>
        <v>202509010</v>
      </c>
      <c r="C40" s="139" t="str">
        <f>IFERROR(__xludf.DUMMYFUNCTION("""COMPUTED_VALUE"""),"chara_gom_00001_Special_00003")</f>
        <v>chara_gom_00001_Special_00003</v>
      </c>
      <c r="D40" s="139" t="str">
        <f>IFERROR(__xludf.DUMMYFUNCTION("""COMPUTED_VALUE"""),"chara_gom_00001")</f>
        <v>chara_gom_00001</v>
      </c>
      <c r="E40" s="139">
        <f>IFERROR(__xludf.DUMMYFUNCTION("""COMPUTED_VALUE"""),3.0)</f>
        <v>3</v>
      </c>
      <c r="F40" s="139" t="str">
        <f>IFERROR(__xludf.DUMMYFUNCTION("""COMPUTED_VALUE"""),"Special")</f>
        <v>Special</v>
      </c>
      <c r="G40" s="139"/>
      <c r="H40" s="139"/>
      <c r="I40" s="139">
        <f>IFERROR(__xludf.DUMMYFUNCTION("""COMPUTED_VALUE"""),200.0)</f>
        <v>200</v>
      </c>
      <c r="J40" s="139">
        <f>IFERROR(__xludf.DUMMYFUNCTION("""COMPUTED_VALUE"""),115.0)</f>
        <v>115</v>
      </c>
      <c r="K40" s="139">
        <f>IFERROR(__xludf.DUMMYFUNCTION("""COMPUTED_VALUE"""),0.0)</f>
        <v>0</v>
      </c>
      <c r="L40" s="139"/>
      <c r="M40" s="139" t="str">
        <f>IFERROR(__xludf.DUMMYFUNCTION("""COMPUTED_VALUE"""),"自身への被ダメージを5.1秒間、33%カット")</f>
        <v>自身への被ダメージを5.1秒間、33%カット</v>
      </c>
      <c r="N40" s="139" t="str">
        <f>IFERROR(__xludf.DUMMYFUNCTION("""COMPUTED_VALUE"""),"ステータスUP + 必殺ワザ性能UP")</f>
        <v>ステータスUP + 必殺ワザ性能UP</v>
      </c>
    </row>
    <row r="41">
      <c r="A41" s="139" t="str">
        <f>IFERROR(__xludf.DUMMYFUNCTION("""COMPUTED_VALUE"""),"e")</f>
        <v>e</v>
      </c>
      <c r="B41" s="139">
        <f>IFERROR(__xludf.DUMMYFUNCTION("""COMPUTED_VALUE"""),2.0250901E8)</f>
        <v>202509010</v>
      </c>
      <c r="C41" s="139" t="str">
        <f>IFERROR(__xludf.DUMMYFUNCTION("""COMPUTED_VALUE"""),"chara_gom_00001_Special_00004")</f>
        <v>chara_gom_00001_Special_00004</v>
      </c>
      <c r="D41" s="139" t="str">
        <f>IFERROR(__xludf.DUMMYFUNCTION("""COMPUTED_VALUE"""),"chara_gom_00001")</f>
        <v>chara_gom_00001</v>
      </c>
      <c r="E41" s="139">
        <f>IFERROR(__xludf.DUMMYFUNCTION("""COMPUTED_VALUE"""),4.0)</f>
        <v>4</v>
      </c>
      <c r="F41" s="139" t="str">
        <f>IFERROR(__xludf.DUMMYFUNCTION("""COMPUTED_VALUE"""),"Special")</f>
        <v>Special</v>
      </c>
      <c r="G41" s="139"/>
      <c r="H41" s="139"/>
      <c r="I41" s="139">
        <f>IFERROR(__xludf.DUMMYFUNCTION("""COMPUTED_VALUE"""),200.0)</f>
        <v>200</v>
      </c>
      <c r="J41" s="139">
        <f>IFERROR(__xludf.DUMMYFUNCTION("""COMPUTED_VALUE"""),115.0)</f>
        <v>115</v>
      </c>
      <c r="K41" s="139">
        <f>IFERROR(__xludf.DUMMYFUNCTION("""COMPUTED_VALUE"""),0.0)</f>
        <v>0</v>
      </c>
      <c r="L41" s="139"/>
      <c r="M41" s="139" t="str">
        <f>IFERROR(__xludf.DUMMYFUNCTION("""COMPUTED_VALUE"""),"自身への被ダメージを5.7秒間、34%カット")</f>
        <v>自身への被ダメージを5.7秒間、34%カット</v>
      </c>
      <c r="N41" s="139" t="str">
        <f>IFERROR(__xludf.DUMMYFUNCTION("""COMPUTED_VALUE"""),"ステータスUP + 必殺ワザ性能UP")</f>
        <v>ステータスUP + 必殺ワザ性能UP</v>
      </c>
    </row>
    <row r="42">
      <c r="A42" s="139" t="str">
        <f>IFERROR(__xludf.DUMMYFUNCTION("""COMPUTED_VALUE"""),"e")</f>
        <v>e</v>
      </c>
      <c r="B42" s="139">
        <f>IFERROR(__xludf.DUMMYFUNCTION("""COMPUTED_VALUE"""),2.0250901E8)</f>
        <v>202509010</v>
      </c>
      <c r="C42" s="139" t="str">
        <f>IFERROR(__xludf.DUMMYFUNCTION("""COMPUTED_VALUE"""),"chara_gom_00001_Special_00005")</f>
        <v>chara_gom_00001_Special_00005</v>
      </c>
      <c r="D42" s="139" t="str">
        <f>IFERROR(__xludf.DUMMYFUNCTION("""COMPUTED_VALUE"""),"chara_gom_00001")</f>
        <v>chara_gom_00001</v>
      </c>
      <c r="E42" s="139">
        <f>IFERROR(__xludf.DUMMYFUNCTION("""COMPUTED_VALUE"""),5.0)</f>
        <v>5</v>
      </c>
      <c r="F42" s="139" t="str">
        <f>IFERROR(__xludf.DUMMYFUNCTION("""COMPUTED_VALUE"""),"Special")</f>
        <v>Special</v>
      </c>
      <c r="G42" s="139"/>
      <c r="H42" s="139"/>
      <c r="I42" s="139">
        <f>IFERROR(__xludf.DUMMYFUNCTION("""COMPUTED_VALUE"""),200.0)</f>
        <v>200</v>
      </c>
      <c r="J42" s="139">
        <f>IFERROR(__xludf.DUMMYFUNCTION("""COMPUTED_VALUE"""),115.0)</f>
        <v>115</v>
      </c>
      <c r="K42" s="139">
        <f>IFERROR(__xludf.DUMMYFUNCTION("""COMPUTED_VALUE"""),0.0)</f>
        <v>0</v>
      </c>
      <c r="L42" s="139"/>
      <c r="M42" s="139" t="str">
        <f>IFERROR(__xludf.DUMMYFUNCTION("""COMPUTED_VALUE"""),"自身への被ダメージを6秒間、35%カット")</f>
        <v>自身への被ダメージを6秒間、35%カット</v>
      </c>
      <c r="N42" s="139" t="str">
        <f>IFERROR(__xludf.DUMMYFUNCTION("""COMPUTED_VALUE"""),"ステータスUP + 必殺ワザ性能UP")</f>
        <v>ステータスUP + 必殺ワザ性能UP</v>
      </c>
    </row>
    <row r="43">
      <c r="A43" s="139"/>
      <c r="B43" s="139"/>
      <c r="C43" s="139" t="str">
        <f>IFERROR(__xludf.DUMMYFUNCTION("""COMPUTED_VALUE"""),"chara_gom_00001_Special_00006")</f>
        <v>chara_gom_00001_Special_00006</v>
      </c>
      <c r="D43" s="139" t="str">
        <f>IFERROR(__xludf.DUMMYFUNCTION("""COMPUTED_VALUE"""),"chara_gom_00001")</f>
        <v>chara_gom_00001</v>
      </c>
      <c r="E43" s="139">
        <f>IFERROR(__xludf.DUMMYFUNCTION("""COMPUTED_VALUE"""),6.0)</f>
        <v>6</v>
      </c>
      <c r="F43" s="139" t="str">
        <f>IFERROR(__xludf.DUMMYFUNCTION("""COMPUTED_VALUE"""),"Special")</f>
        <v>Special</v>
      </c>
      <c r="G43" s="139"/>
      <c r="H43" s="139"/>
      <c r="I43" s="139">
        <f>IFERROR(__xludf.DUMMYFUNCTION("""COMPUTED_VALUE"""),200.0)</f>
        <v>200</v>
      </c>
      <c r="J43" s="139">
        <f>IFERROR(__xludf.DUMMYFUNCTION("""COMPUTED_VALUE"""),115.0)</f>
        <v>115</v>
      </c>
      <c r="K43" s="139">
        <f>IFERROR(__xludf.DUMMYFUNCTION("""COMPUTED_VALUE"""),0.0)</f>
        <v>0</v>
      </c>
      <c r="L43" s="139"/>
      <c r="M43" s="139"/>
      <c r="N43" s="139"/>
    </row>
    <row r="44">
      <c r="A44" s="139"/>
      <c r="B44" s="139"/>
      <c r="C44" s="139" t="str">
        <f>IFERROR(__xludf.DUMMYFUNCTION("""COMPUTED_VALUE"""),"chara_gom_00001_Special_00007")</f>
        <v>chara_gom_00001_Special_00007</v>
      </c>
      <c r="D44" s="139" t="str">
        <f>IFERROR(__xludf.DUMMYFUNCTION("""COMPUTED_VALUE"""),"chara_gom_00001")</f>
        <v>chara_gom_00001</v>
      </c>
      <c r="E44" s="139">
        <f>IFERROR(__xludf.DUMMYFUNCTION("""COMPUTED_VALUE"""),7.0)</f>
        <v>7</v>
      </c>
      <c r="F44" s="139" t="str">
        <f>IFERROR(__xludf.DUMMYFUNCTION("""COMPUTED_VALUE"""),"Special")</f>
        <v>Special</v>
      </c>
      <c r="G44" s="139"/>
      <c r="H44" s="139"/>
      <c r="I44" s="139">
        <f>IFERROR(__xludf.DUMMYFUNCTION("""COMPUTED_VALUE"""),200.0)</f>
        <v>200</v>
      </c>
      <c r="J44" s="139">
        <f>IFERROR(__xludf.DUMMYFUNCTION("""COMPUTED_VALUE"""),115.0)</f>
        <v>115</v>
      </c>
      <c r="K44" s="139">
        <f>IFERROR(__xludf.DUMMYFUNCTION("""COMPUTED_VALUE"""),0.0)</f>
        <v>0</v>
      </c>
      <c r="L44" s="139"/>
      <c r="M44" s="139"/>
      <c r="N44" s="139"/>
    </row>
    <row r="45">
      <c r="A45" s="139"/>
      <c r="B45" s="139"/>
      <c r="C45" s="139" t="str">
        <f>IFERROR(__xludf.DUMMYFUNCTION("""COMPUTED_VALUE"""),"chara_gom_00001_Special_00008")</f>
        <v>chara_gom_00001_Special_00008</v>
      </c>
      <c r="D45" s="139" t="str">
        <f>IFERROR(__xludf.DUMMYFUNCTION("""COMPUTED_VALUE"""),"chara_gom_00001")</f>
        <v>chara_gom_00001</v>
      </c>
      <c r="E45" s="139">
        <f>IFERROR(__xludf.DUMMYFUNCTION("""COMPUTED_VALUE"""),8.0)</f>
        <v>8</v>
      </c>
      <c r="F45" s="139" t="str">
        <f>IFERROR(__xludf.DUMMYFUNCTION("""COMPUTED_VALUE"""),"Special")</f>
        <v>Special</v>
      </c>
      <c r="G45" s="139"/>
      <c r="H45" s="139"/>
      <c r="I45" s="139">
        <f>IFERROR(__xludf.DUMMYFUNCTION("""COMPUTED_VALUE"""),200.0)</f>
        <v>200</v>
      </c>
      <c r="J45" s="139">
        <f>IFERROR(__xludf.DUMMYFUNCTION("""COMPUTED_VALUE"""),115.0)</f>
        <v>115</v>
      </c>
      <c r="K45" s="139">
        <f>IFERROR(__xludf.DUMMYFUNCTION("""COMPUTED_VALUE"""),0.0)</f>
        <v>0</v>
      </c>
      <c r="L45" s="139"/>
      <c r="M45" s="139"/>
      <c r="N45" s="139"/>
    </row>
    <row r="46">
      <c r="A46" s="139"/>
      <c r="B46" s="139"/>
      <c r="C46" s="139" t="str">
        <f>IFERROR(__xludf.DUMMYFUNCTION("""COMPUTED_VALUE"""),"chara_gom_00001_Special_00009")</f>
        <v>chara_gom_00001_Special_00009</v>
      </c>
      <c r="D46" s="139" t="str">
        <f>IFERROR(__xludf.DUMMYFUNCTION("""COMPUTED_VALUE"""),"chara_gom_00001")</f>
        <v>chara_gom_00001</v>
      </c>
      <c r="E46" s="139">
        <f>IFERROR(__xludf.DUMMYFUNCTION("""COMPUTED_VALUE"""),9.0)</f>
        <v>9</v>
      </c>
      <c r="F46" s="139" t="str">
        <f>IFERROR(__xludf.DUMMYFUNCTION("""COMPUTED_VALUE"""),"Special")</f>
        <v>Special</v>
      </c>
      <c r="G46" s="139"/>
      <c r="H46" s="139"/>
      <c r="I46" s="139">
        <f>IFERROR(__xludf.DUMMYFUNCTION("""COMPUTED_VALUE"""),200.0)</f>
        <v>200</v>
      </c>
      <c r="J46" s="139">
        <f>IFERROR(__xludf.DUMMYFUNCTION("""COMPUTED_VALUE"""),115.0)</f>
        <v>115</v>
      </c>
      <c r="K46" s="139">
        <f>IFERROR(__xludf.DUMMYFUNCTION("""COMPUTED_VALUE"""),0.0)</f>
        <v>0</v>
      </c>
      <c r="L46" s="139"/>
      <c r="M46" s="139"/>
      <c r="N46" s="139"/>
    </row>
    <row r="47">
      <c r="A47" s="139"/>
      <c r="B47" s="139"/>
      <c r="C47" s="139" t="str">
        <f>IFERROR(__xludf.DUMMYFUNCTION("""COMPUTED_VALUE"""),"chara_gom_00001_Special_00010")</f>
        <v>chara_gom_00001_Special_00010</v>
      </c>
      <c r="D47" s="139" t="str">
        <f>IFERROR(__xludf.DUMMYFUNCTION("""COMPUTED_VALUE"""),"chara_gom_00001")</f>
        <v>chara_gom_00001</v>
      </c>
      <c r="E47" s="139">
        <f>IFERROR(__xludf.DUMMYFUNCTION("""COMPUTED_VALUE"""),10.0)</f>
        <v>10</v>
      </c>
      <c r="F47" s="139" t="str">
        <f>IFERROR(__xludf.DUMMYFUNCTION("""COMPUTED_VALUE"""),"Special")</f>
        <v>Special</v>
      </c>
      <c r="G47" s="139"/>
      <c r="H47" s="139"/>
      <c r="I47" s="139">
        <f>IFERROR(__xludf.DUMMYFUNCTION("""COMPUTED_VALUE"""),200.0)</f>
        <v>200</v>
      </c>
      <c r="J47" s="139">
        <f>IFERROR(__xludf.DUMMYFUNCTION("""COMPUTED_VALUE"""),115.0)</f>
        <v>115</v>
      </c>
      <c r="K47" s="139">
        <f>IFERROR(__xludf.DUMMYFUNCTION("""COMPUTED_VALUE"""),0.0)</f>
        <v>0</v>
      </c>
      <c r="L47" s="139"/>
      <c r="M47" s="139"/>
      <c r="N47" s="139"/>
    </row>
    <row r="48">
      <c r="A48" s="139" t="str">
        <f>IFERROR(__xludf.DUMMYFUNCTION("""COMPUTED_VALUE"""),"e")</f>
        <v>e</v>
      </c>
      <c r="B48" s="139">
        <f>IFERROR(__xludf.DUMMYFUNCTION("""COMPUTED_VALUE"""),2.0250901E8)</f>
        <v>202509010</v>
      </c>
      <c r="C48" s="139" t="str">
        <f>IFERROR(__xludf.DUMMYFUNCTION("""COMPUTED_VALUE"""),"chara_gom_00101_Normal_00000")</f>
        <v>chara_gom_00101_Normal_00000</v>
      </c>
      <c r="D48" s="139" t="str">
        <f>IFERROR(__xludf.DUMMYFUNCTION("""COMPUTED_VALUE"""),"chara_gom_00101")</f>
        <v>chara_gom_00101</v>
      </c>
      <c r="E48" s="139">
        <f>IFERROR(__xludf.DUMMYFUNCTION("""COMPUTED_VALUE"""),0.0)</f>
        <v>0</v>
      </c>
      <c r="F48" s="139" t="str">
        <f>IFERROR(__xludf.DUMMYFUNCTION("""COMPUTED_VALUE"""),"Normal")</f>
        <v>Normal</v>
      </c>
      <c r="G48" s="139"/>
      <c r="H48" s="139"/>
      <c r="I48" s="139">
        <f>IFERROR(__xludf.DUMMYFUNCTION("""COMPUTED_VALUE"""),67.0)</f>
        <v>67</v>
      </c>
      <c r="J48" s="139">
        <f>IFERROR(__xludf.DUMMYFUNCTION("""COMPUTED_VALUE"""),22.0)</f>
        <v>22</v>
      </c>
      <c r="K48" s="139">
        <f>IFERROR(__xludf.DUMMYFUNCTION("""COMPUTED_VALUE"""),50.0)</f>
        <v>50</v>
      </c>
      <c r="L48" s="139"/>
      <c r="M48" s="139" t="str">
        <f>IFERROR(__xludf.DUMMYFUNCTION("""COMPUTED_VALUE"""),"表示場所なし")</f>
        <v>表示場所なし</v>
      </c>
      <c r="N48" s="139"/>
    </row>
    <row r="49">
      <c r="A49" s="139" t="str">
        <f>IFERROR(__xludf.DUMMYFUNCTION("""COMPUTED_VALUE"""),"e")</f>
        <v>e</v>
      </c>
      <c r="B49" s="139">
        <f>IFERROR(__xludf.DUMMYFUNCTION("""COMPUTED_VALUE"""),2.0250901E8)</f>
        <v>202509010</v>
      </c>
      <c r="C49" s="139" t="str">
        <f>IFERROR(__xludf.DUMMYFUNCTION("""COMPUTED_VALUE"""),"chara_gom_00101_Special_00001")</f>
        <v>chara_gom_00101_Special_00001</v>
      </c>
      <c r="D49" s="139" t="str">
        <f>IFERROR(__xludf.DUMMYFUNCTION("""COMPUTED_VALUE"""),"chara_gom_00101")</f>
        <v>chara_gom_00101</v>
      </c>
      <c r="E49" s="139">
        <f>IFERROR(__xludf.DUMMYFUNCTION("""COMPUTED_VALUE"""),1.0)</f>
        <v>1</v>
      </c>
      <c r="F49" s="139" t="str">
        <f>IFERROR(__xludf.DUMMYFUNCTION("""COMPUTED_VALUE"""),"Special")</f>
        <v>Special</v>
      </c>
      <c r="G49" s="139"/>
      <c r="H49" s="139"/>
      <c r="I49" s="139">
        <f>IFERROR(__xludf.DUMMYFUNCTION("""COMPUTED_VALUE"""),242.0)</f>
        <v>242</v>
      </c>
      <c r="J49" s="139">
        <f>IFERROR(__xludf.DUMMYFUNCTION("""COMPUTED_VALUE"""),150.0)</f>
        <v>150</v>
      </c>
      <c r="K49" s="139">
        <f>IFERROR(__xludf.DUMMYFUNCTION("""COMPUTED_VALUE"""),0.0)</f>
        <v>0</v>
      </c>
      <c r="L49" s="139"/>
      <c r="M49" s="139" t="str">
        <f>IFERROR(__xludf.DUMMYFUNCTION("""COMPUTED_VALUE"""),"敵単体に自身の攻撃ステータスの100%のダメージ + 攻撃がヒットした場合、敵の攻撃を6秒間、10%DOWN")</f>
        <v>敵単体に自身の攻撃ステータスの100%のダメージ + 攻撃がヒットした場合、敵の攻撃を6秒間、10%DOWN</v>
      </c>
      <c r="N49" s="139"/>
    </row>
    <row r="50">
      <c r="A50" s="139" t="str">
        <f>IFERROR(__xludf.DUMMYFUNCTION("""COMPUTED_VALUE"""),"e")</f>
        <v>e</v>
      </c>
      <c r="B50" s="139">
        <f>IFERROR(__xludf.DUMMYFUNCTION("""COMPUTED_VALUE"""),2.0250901E8)</f>
        <v>202509010</v>
      </c>
      <c r="C50" s="139" t="str">
        <f>IFERROR(__xludf.DUMMYFUNCTION("""COMPUTED_VALUE"""),"chara_gom_00101_Special_00002")</f>
        <v>chara_gom_00101_Special_00002</v>
      </c>
      <c r="D50" s="139" t="str">
        <f>IFERROR(__xludf.DUMMYFUNCTION("""COMPUTED_VALUE"""),"chara_gom_00101")</f>
        <v>chara_gom_00101</v>
      </c>
      <c r="E50" s="139">
        <f>IFERROR(__xludf.DUMMYFUNCTION("""COMPUTED_VALUE"""),2.0)</f>
        <v>2</v>
      </c>
      <c r="F50" s="139" t="str">
        <f>IFERROR(__xludf.DUMMYFUNCTION("""COMPUTED_VALUE"""),"Special")</f>
        <v>Special</v>
      </c>
      <c r="G50" s="139"/>
      <c r="H50" s="139"/>
      <c r="I50" s="139">
        <f>IFERROR(__xludf.DUMMYFUNCTION("""COMPUTED_VALUE"""),242.0)</f>
        <v>242</v>
      </c>
      <c r="J50" s="139">
        <f>IFERROR(__xludf.DUMMYFUNCTION("""COMPUTED_VALUE"""),150.0)</f>
        <v>150</v>
      </c>
      <c r="K50" s="139">
        <f>IFERROR(__xludf.DUMMYFUNCTION("""COMPUTED_VALUE"""),0.0)</f>
        <v>0</v>
      </c>
      <c r="L50" s="139"/>
      <c r="M50" s="139" t="str">
        <f>IFERROR(__xludf.DUMMYFUNCTION("""COMPUTED_VALUE"""),"敵単体に自身の攻撃ステータスの100%のダメージ + 攻撃がヒットした場合、敵の攻撃を6.6秒間、12%DOWN")</f>
        <v>敵単体に自身の攻撃ステータスの100%のダメージ + 攻撃がヒットした場合、敵の攻撃を6.6秒間、12%DOWN</v>
      </c>
      <c r="N50" s="139" t="str">
        <f>IFERROR(__xludf.DUMMYFUNCTION("""COMPUTED_VALUE"""),"ステータスUP + 必殺ワザ性能UP")</f>
        <v>ステータスUP + 必殺ワザ性能UP</v>
      </c>
    </row>
    <row r="51">
      <c r="A51" s="139" t="str">
        <f>IFERROR(__xludf.DUMMYFUNCTION("""COMPUTED_VALUE"""),"e")</f>
        <v>e</v>
      </c>
      <c r="B51" s="139">
        <f>IFERROR(__xludf.DUMMYFUNCTION("""COMPUTED_VALUE"""),2.0250901E8)</f>
        <v>202509010</v>
      </c>
      <c r="C51" s="139" t="str">
        <f>IFERROR(__xludf.DUMMYFUNCTION("""COMPUTED_VALUE"""),"chara_gom_00101_Special_00003")</f>
        <v>chara_gom_00101_Special_00003</v>
      </c>
      <c r="D51" s="139" t="str">
        <f>IFERROR(__xludf.DUMMYFUNCTION("""COMPUTED_VALUE"""),"chara_gom_00101")</f>
        <v>chara_gom_00101</v>
      </c>
      <c r="E51" s="139">
        <f>IFERROR(__xludf.DUMMYFUNCTION("""COMPUTED_VALUE"""),3.0)</f>
        <v>3</v>
      </c>
      <c r="F51" s="139" t="str">
        <f>IFERROR(__xludf.DUMMYFUNCTION("""COMPUTED_VALUE"""),"Special")</f>
        <v>Special</v>
      </c>
      <c r="G51" s="139"/>
      <c r="H51" s="139"/>
      <c r="I51" s="139">
        <f>IFERROR(__xludf.DUMMYFUNCTION("""COMPUTED_VALUE"""),242.0)</f>
        <v>242</v>
      </c>
      <c r="J51" s="139">
        <f>IFERROR(__xludf.DUMMYFUNCTION("""COMPUTED_VALUE"""),150.0)</f>
        <v>150</v>
      </c>
      <c r="K51" s="139">
        <f>IFERROR(__xludf.DUMMYFUNCTION("""COMPUTED_VALUE"""),0.0)</f>
        <v>0</v>
      </c>
      <c r="L51" s="139"/>
      <c r="M51" s="139" t="str">
        <f>IFERROR(__xludf.DUMMYFUNCTION("""COMPUTED_VALUE"""),"敵単体に自身の攻撃ステータスの100%のダメージ + 攻撃がヒットした場合、敵の攻撃を6.9秒間、13%DOWN")</f>
        <v>敵単体に自身の攻撃ステータスの100%のダメージ + 攻撃がヒットした場合、敵の攻撃を6.9秒間、13%DOWN</v>
      </c>
      <c r="N51" s="139" t="str">
        <f>IFERROR(__xludf.DUMMYFUNCTION("""COMPUTED_VALUE"""),"ステータスUP + 必殺ワザ性能UP")</f>
        <v>ステータスUP + 必殺ワザ性能UP</v>
      </c>
    </row>
    <row r="52">
      <c r="A52" s="139" t="str">
        <f>IFERROR(__xludf.DUMMYFUNCTION("""COMPUTED_VALUE"""),"e")</f>
        <v>e</v>
      </c>
      <c r="B52" s="139">
        <f>IFERROR(__xludf.DUMMYFUNCTION("""COMPUTED_VALUE"""),2.0250901E8)</f>
        <v>202509010</v>
      </c>
      <c r="C52" s="139" t="str">
        <f>IFERROR(__xludf.DUMMYFUNCTION("""COMPUTED_VALUE"""),"chara_gom_00101_Special_00004")</f>
        <v>chara_gom_00101_Special_00004</v>
      </c>
      <c r="D52" s="139" t="str">
        <f>IFERROR(__xludf.DUMMYFUNCTION("""COMPUTED_VALUE"""),"chara_gom_00101")</f>
        <v>chara_gom_00101</v>
      </c>
      <c r="E52" s="139">
        <f>IFERROR(__xludf.DUMMYFUNCTION("""COMPUTED_VALUE"""),4.0)</f>
        <v>4</v>
      </c>
      <c r="F52" s="139" t="str">
        <f>IFERROR(__xludf.DUMMYFUNCTION("""COMPUTED_VALUE"""),"Special")</f>
        <v>Special</v>
      </c>
      <c r="G52" s="139"/>
      <c r="H52" s="139"/>
      <c r="I52" s="139">
        <f>IFERROR(__xludf.DUMMYFUNCTION("""COMPUTED_VALUE"""),242.0)</f>
        <v>242</v>
      </c>
      <c r="J52" s="139">
        <f>IFERROR(__xludf.DUMMYFUNCTION("""COMPUTED_VALUE"""),150.0)</f>
        <v>150</v>
      </c>
      <c r="K52" s="139">
        <f>IFERROR(__xludf.DUMMYFUNCTION("""COMPUTED_VALUE"""),0.0)</f>
        <v>0</v>
      </c>
      <c r="L52" s="139"/>
      <c r="M52" s="139" t="str">
        <f>IFERROR(__xludf.DUMMYFUNCTION("""COMPUTED_VALUE"""),"敵単体に自身の攻撃ステータスの100%のダメージ + 攻撃がヒットした場合、敵の攻撃を7秒間、13%DOWN")</f>
        <v>敵単体に自身の攻撃ステータスの100%のダメージ + 攻撃がヒットした場合、敵の攻撃を7秒間、13%DOWN</v>
      </c>
      <c r="N52" s="139" t="str">
        <f>IFERROR(__xludf.DUMMYFUNCTION("""COMPUTED_VALUE"""),"ステータスUP + 必殺ワザ性能UP")</f>
        <v>ステータスUP + 必殺ワザ性能UP</v>
      </c>
    </row>
    <row r="53">
      <c r="A53" s="139" t="str">
        <f>IFERROR(__xludf.DUMMYFUNCTION("""COMPUTED_VALUE"""),"e")</f>
        <v>e</v>
      </c>
      <c r="B53" s="139">
        <f>IFERROR(__xludf.DUMMYFUNCTION("""COMPUTED_VALUE"""),2.0250901E8)</f>
        <v>202509010</v>
      </c>
      <c r="C53" s="139" t="str">
        <f>IFERROR(__xludf.DUMMYFUNCTION("""COMPUTED_VALUE"""),"chara_gom_00101_Special_00005")</f>
        <v>chara_gom_00101_Special_00005</v>
      </c>
      <c r="D53" s="139" t="str">
        <f>IFERROR(__xludf.DUMMYFUNCTION("""COMPUTED_VALUE"""),"chara_gom_00101")</f>
        <v>chara_gom_00101</v>
      </c>
      <c r="E53" s="139">
        <f>IFERROR(__xludf.DUMMYFUNCTION("""COMPUTED_VALUE"""),5.0)</f>
        <v>5</v>
      </c>
      <c r="F53" s="139" t="str">
        <f>IFERROR(__xludf.DUMMYFUNCTION("""COMPUTED_VALUE"""),"Special")</f>
        <v>Special</v>
      </c>
      <c r="G53" s="139"/>
      <c r="H53" s="139"/>
      <c r="I53" s="139">
        <f>IFERROR(__xludf.DUMMYFUNCTION("""COMPUTED_VALUE"""),242.0)</f>
        <v>242</v>
      </c>
      <c r="J53" s="139">
        <f>IFERROR(__xludf.DUMMYFUNCTION("""COMPUTED_VALUE"""),150.0)</f>
        <v>150</v>
      </c>
      <c r="K53" s="139">
        <f>IFERROR(__xludf.DUMMYFUNCTION("""COMPUTED_VALUE"""),0.0)</f>
        <v>0</v>
      </c>
      <c r="L53" s="139"/>
      <c r="M53" s="139" t="str">
        <f>IFERROR(__xludf.DUMMYFUNCTION("""COMPUTED_VALUE"""),"敵単体に自身の攻撃ステータスの100%のダメージ + 攻撃がヒットした場合、敵の攻撃を7秒間、14%DOWN")</f>
        <v>敵単体に自身の攻撃ステータスの100%のダメージ + 攻撃がヒットした場合、敵の攻撃を7秒間、14%DOWN</v>
      </c>
      <c r="N53" s="139" t="str">
        <f>IFERROR(__xludf.DUMMYFUNCTION("""COMPUTED_VALUE"""),"ステータスUP + 必殺ワザ性能UP")</f>
        <v>ステータスUP + 必殺ワザ性能UP</v>
      </c>
    </row>
    <row r="54">
      <c r="A54" s="139"/>
      <c r="B54" s="139"/>
      <c r="C54" s="139" t="str">
        <f>IFERROR(__xludf.DUMMYFUNCTION("""COMPUTED_VALUE"""),"chara_gom_00101_Special_00006")</f>
        <v>chara_gom_00101_Special_00006</v>
      </c>
      <c r="D54" s="139" t="str">
        <f>IFERROR(__xludf.DUMMYFUNCTION("""COMPUTED_VALUE"""),"chara_gom_00101")</f>
        <v>chara_gom_00101</v>
      </c>
      <c r="E54" s="139">
        <f>IFERROR(__xludf.DUMMYFUNCTION("""COMPUTED_VALUE"""),6.0)</f>
        <v>6</v>
      </c>
      <c r="F54" s="139" t="str">
        <f>IFERROR(__xludf.DUMMYFUNCTION("""COMPUTED_VALUE"""),"Special")</f>
        <v>Special</v>
      </c>
      <c r="G54" s="139"/>
      <c r="H54" s="139"/>
      <c r="I54" s="139">
        <f>IFERROR(__xludf.DUMMYFUNCTION("""COMPUTED_VALUE"""),242.0)</f>
        <v>242</v>
      </c>
      <c r="J54" s="139">
        <f>IFERROR(__xludf.DUMMYFUNCTION("""COMPUTED_VALUE"""),150.0)</f>
        <v>150</v>
      </c>
      <c r="K54" s="139">
        <f>IFERROR(__xludf.DUMMYFUNCTION("""COMPUTED_VALUE"""),0.0)</f>
        <v>0</v>
      </c>
      <c r="L54" s="139"/>
      <c r="M54" s="139"/>
      <c r="N54" s="139"/>
    </row>
    <row r="55">
      <c r="A55" s="139"/>
      <c r="B55" s="139"/>
      <c r="C55" s="139" t="str">
        <f>IFERROR(__xludf.DUMMYFUNCTION("""COMPUTED_VALUE"""),"chara_gom_00101_Special_00007")</f>
        <v>chara_gom_00101_Special_00007</v>
      </c>
      <c r="D55" s="139" t="str">
        <f>IFERROR(__xludf.DUMMYFUNCTION("""COMPUTED_VALUE"""),"chara_gom_00101")</f>
        <v>chara_gom_00101</v>
      </c>
      <c r="E55" s="139">
        <f>IFERROR(__xludf.DUMMYFUNCTION("""COMPUTED_VALUE"""),7.0)</f>
        <v>7</v>
      </c>
      <c r="F55" s="139" t="str">
        <f>IFERROR(__xludf.DUMMYFUNCTION("""COMPUTED_VALUE"""),"Special")</f>
        <v>Special</v>
      </c>
      <c r="G55" s="139"/>
      <c r="H55" s="139"/>
      <c r="I55" s="139">
        <f>IFERROR(__xludf.DUMMYFUNCTION("""COMPUTED_VALUE"""),242.0)</f>
        <v>242</v>
      </c>
      <c r="J55" s="139">
        <f>IFERROR(__xludf.DUMMYFUNCTION("""COMPUTED_VALUE"""),150.0)</f>
        <v>150</v>
      </c>
      <c r="K55" s="139">
        <f>IFERROR(__xludf.DUMMYFUNCTION("""COMPUTED_VALUE"""),0.0)</f>
        <v>0</v>
      </c>
      <c r="L55" s="139"/>
      <c r="M55" s="139"/>
      <c r="N55" s="139"/>
    </row>
    <row r="56">
      <c r="A56" s="139"/>
      <c r="B56" s="139"/>
      <c r="C56" s="139" t="str">
        <f>IFERROR(__xludf.DUMMYFUNCTION("""COMPUTED_VALUE"""),"chara_gom_00101_Special_00008")</f>
        <v>chara_gom_00101_Special_00008</v>
      </c>
      <c r="D56" s="139" t="str">
        <f>IFERROR(__xludf.DUMMYFUNCTION("""COMPUTED_VALUE"""),"chara_gom_00101")</f>
        <v>chara_gom_00101</v>
      </c>
      <c r="E56" s="139">
        <f>IFERROR(__xludf.DUMMYFUNCTION("""COMPUTED_VALUE"""),8.0)</f>
        <v>8</v>
      </c>
      <c r="F56" s="139" t="str">
        <f>IFERROR(__xludf.DUMMYFUNCTION("""COMPUTED_VALUE"""),"Special")</f>
        <v>Special</v>
      </c>
      <c r="G56" s="139"/>
      <c r="H56" s="139"/>
      <c r="I56" s="139">
        <f>IFERROR(__xludf.DUMMYFUNCTION("""COMPUTED_VALUE"""),242.0)</f>
        <v>242</v>
      </c>
      <c r="J56" s="139">
        <f>IFERROR(__xludf.DUMMYFUNCTION("""COMPUTED_VALUE"""),150.0)</f>
        <v>150</v>
      </c>
      <c r="K56" s="139">
        <f>IFERROR(__xludf.DUMMYFUNCTION("""COMPUTED_VALUE"""),0.0)</f>
        <v>0</v>
      </c>
      <c r="L56" s="139"/>
      <c r="M56" s="139"/>
      <c r="N56" s="139"/>
    </row>
    <row r="57">
      <c r="A57" s="139"/>
      <c r="B57" s="139"/>
      <c r="C57" s="139" t="str">
        <f>IFERROR(__xludf.DUMMYFUNCTION("""COMPUTED_VALUE"""),"chara_gom_00101_Special_00009")</f>
        <v>chara_gom_00101_Special_00009</v>
      </c>
      <c r="D57" s="139" t="str">
        <f>IFERROR(__xludf.DUMMYFUNCTION("""COMPUTED_VALUE"""),"chara_gom_00101")</f>
        <v>chara_gom_00101</v>
      </c>
      <c r="E57" s="139">
        <f>IFERROR(__xludf.DUMMYFUNCTION("""COMPUTED_VALUE"""),9.0)</f>
        <v>9</v>
      </c>
      <c r="F57" s="139" t="str">
        <f>IFERROR(__xludf.DUMMYFUNCTION("""COMPUTED_VALUE"""),"Special")</f>
        <v>Special</v>
      </c>
      <c r="G57" s="139"/>
      <c r="H57" s="139"/>
      <c r="I57" s="139">
        <f>IFERROR(__xludf.DUMMYFUNCTION("""COMPUTED_VALUE"""),242.0)</f>
        <v>242</v>
      </c>
      <c r="J57" s="139">
        <f>IFERROR(__xludf.DUMMYFUNCTION("""COMPUTED_VALUE"""),150.0)</f>
        <v>150</v>
      </c>
      <c r="K57" s="139">
        <f>IFERROR(__xludf.DUMMYFUNCTION("""COMPUTED_VALUE"""),0.0)</f>
        <v>0</v>
      </c>
      <c r="L57" s="139"/>
      <c r="M57" s="139"/>
      <c r="N57" s="139"/>
    </row>
    <row r="58">
      <c r="A58" s="139"/>
      <c r="B58" s="139"/>
      <c r="C58" s="139" t="str">
        <f>IFERROR(__xludf.DUMMYFUNCTION("""COMPUTED_VALUE"""),"chara_gom_00101_Special_00010")</f>
        <v>chara_gom_00101_Special_00010</v>
      </c>
      <c r="D58" s="139" t="str">
        <f>IFERROR(__xludf.DUMMYFUNCTION("""COMPUTED_VALUE"""),"chara_gom_00101")</f>
        <v>chara_gom_00101</v>
      </c>
      <c r="E58" s="139">
        <f>IFERROR(__xludf.DUMMYFUNCTION("""COMPUTED_VALUE"""),10.0)</f>
        <v>10</v>
      </c>
      <c r="F58" s="139" t="str">
        <f>IFERROR(__xludf.DUMMYFUNCTION("""COMPUTED_VALUE"""),"Special")</f>
        <v>Special</v>
      </c>
      <c r="G58" s="139"/>
      <c r="H58" s="139"/>
      <c r="I58" s="139">
        <f>IFERROR(__xludf.DUMMYFUNCTION("""COMPUTED_VALUE"""),242.0)</f>
        <v>242</v>
      </c>
      <c r="J58" s="139">
        <f>IFERROR(__xludf.DUMMYFUNCTION("""COMPUTED_VALUE"""),150.0)</f>
        <v>150</v>
      </c>
      <c r="K58" s="139">
        <f>IFERROR(__xludf.DUMMYFUNCTION("""COMPUTED_VALUE"""),0.0)</f>
        <v>0</v>
      </c>
      <c r="L58" s="139"/>
      <c r="M58" s="139"/>
      <c r="N58" s="139"/>
    </row>
    <row r="59">
      <c r="A59" s="139" t="str">
        <f>IFERROR(__xludf.DUMMYFUNCTION("""COMPUTED_VALUE"""),"e")</f>
        <v>e</v>
      </c>
      <c r="B59" s="139">
        <f>IFERROR(__xludf.DUMMYFUNCTION("""COMPUTED_VALUE"""),2.0250901E8)</f>
        <v>202509010</v>
      </c>
      <c r="C59" s="139" t="str">
        <f>IFERROR(__xludf.DUMMYFUNCTION("""COMPUTED_VALUE"""),"chara_gom_00201_Normal_00000")</f>
        <v>chara_gom_00201_Normal_00000</v>
      </c>
      <c r="D59" s="139" t="str">
        <f>IFERROR(__xludf.DUMMYFUNCTION("""COMPUTED_VALUE"""),"chara_gom_00201")</f>
        <v>chara_gom_00201</v>
      </c>
      <c r="E59" s="139">
        <f>IFERROR(__xludf.DUMMYFUNCTION("""COMPUTED_VALUE"""),0.0)</f>
        <v>0</v>
      </c>
      <c r="F59" s="139" t="str">
        <f>IFERROR(__xludf.DUMMYFUNCTION("""COMPUTED_VALUE"""),"Normal")</f>
        <v>Normal</v>
      </c>
      <c r="G59" s="139"/>
      <c r="H59" s="139"/>
      <c r="I59" s="139">
        <f>IFERROR(__xludf.DUMMYFUNCTION("""COMPUTED_VALUE"""),72.0)</f>
        <v>72</v>
      </c>
      <c r="J59" s="139">
        <f>IFERROR(__xludf.DUMMYFUNCTION("""COMPUTED_VALUE"""),0.0)</f>
        <v>0</v>
      </c>
      <c r="K59" s="139">
        <f>IFERROR(__xludf.DUMMYFUNCTION("""COMPUTED_VALUE"""),140.0)</f>
        <v>140</v>
      </c>
      <c r="L59" s="139"/>
      <c r="M59" s="139" t="str">
        <f>IFERROR(__xludf.DUMMYFUNCTION("""COMPUTED_VALUE"""),"表示場所なし")</f>
        <v>表示場所なし</v>
      </c>
      <c r="N59" s="139"/>
    </row>
    <row r="60">
      <c r="A60" s="139" t="str">
        <f>IFERROR(__xludf.DUMMYFUNCTION("""COMPUTED_VALUE"""),"e")</f>
        <v>e</v>
      </c>
      <c r="B60" s="139">
        <f>IFERROR(__xludf.DUMMYFUNCTION("""COMPUTED_VALUE"""),2.0250901E8)</f>
        <v>202509010</v>
      </c>
      <c r="C60" s="139" t="str">
        <f>IFERROR(__xludf.DUMMYFUNCTION("""COMPUTED_VALUE"""),"chara_gom_00201_Special_00001")</f>
        <v>chara_gom_00201_Special_00001</v>
      </c>
      <c r="D60" s="139" t="str">
        <f>IFERROR(__xludf.DUMMYFUNCTION("""COMPUTED_VALUE"""),"chara_gom_00201")</f>
        <v>chara_gom_00201</v>
      </c>
      <c r="E60" s="139">
        <f>IFERROR(__xludf.DUMMYFUNCTION("""COMPUTED_VALUE"""),1.0)</f>
        <v>1</v>
      </c>
      <c r="F60" s="139" t="str">
        <f>IFERROR(__xludf.DUMMYFUNCTION("""COMPUTED_VALUE"""),"Special")</f>
        <v>Special</v>
      </c>
      <c r="G60" s="139"/>
      <c r="H60" s="139"/>
      <c r="I60" s="139">
        <f>IFERROR(__xludf.DUMMYFUNCTION("""COMPUTED_VALUE"""),250.0)</f>
        <v>250</v>
      </c>
      <c r="J60" s="139">
        <f>IFERROR(__xludf.DUMMYFUNCTION("""COMPUTED_VALUE"""),0.0)</f>
        <v>0</v>
      </c>
      <c r="K60" s="139">
        <f>IFERROR(__xludf.DUMMYFUNCTION("""COMPUTED_VALUE"""),0.0)</f>
        <v>0</v>
      </c>
      <c r="L60" s="139"/>
      <c r="M60" s="139" t="str">
        <f>IFERROR(__xludf.DUMMYFUNCTION("""COMPUTED_VALUE"""),"敵複数体に最大9回の連続攻撃(自身の攻撃ステータスの最大60%ダメージ)")</f>
        <v>敵複数体に最大9回の連続攻撃(自身の攻撃ステータスの最大60%ダメージ)</v>
      </c>
      <c r="N60" s="139"/>
    </row>
    <row r="61">
      <c r="A61" s="139" t="str">
        <f>IFERROR(__xludf.DUMMYFUNCTION("""COMPUTED_VALUE"""),"e")</f>
        <v>e</v>
      </c>
      <c r="B61" s="139">
        <f>IFERROR(__xludf.DUMMYFUNCTION("""COMPUTED_VALUE"""),2.0250901E8)</f>
        <v>202509010</v>
      </c>
      <c r="C61" s="139" t="str">
        <f>IFERROR(__xludf.DUMMYFUNCTION("""COMPUTED_VALUE"""),"chara_gom_00201_Special_00002")</f>
        <v>chara_gom_00201_Special_00002</v>
      </c>
      <c r="D61" s="139" t="str">
        <f>IFERROR(__xludf.DUMMYFUNCTION("""COMPUTED_VALUE"""),"chara_gom_00201")</f>
        <v>chara_gom_00201</v>
      </c>
      <c r="E61" s="139">
        <f>IFERROR(__xludf.DUMMYFUNCTION("""COMPUTED_VALUE"""),2.0)</f>
        <v>2</v>
      </c>
      <c r="F61" s="139" t="str">
        <f>IFERROR(__xludf.DUMMYFUNCTION("""COMPUTED_VALUE"""),"Special")</f>
        <v>Special</v>
      </c>
      <c r="G61" s="139"/>
      <c r="H61" s="139"/>
      <c r="I61" s="139">
        <f>IFERROR(__xludf.DUMMYFUNCTION("""COMPUTED_VALUE"""),250.0)</f>
        <v>250</v>
      </c>
      <c r="J61" s="139">
        <f>IFERROR(__xludf.DUMMYFUNCTION("""COMPUTED_VALUE"""),0.0)</f>
        <v>0</v>
      </c>
      <c r="K61" s="139">
        <f>IFERROR(__xludf.DUMMYFUNCTION("""COMPUTED_VALUE"""),0.0)</f>
        <v>0</v>
      </c>
      <c r="L61" s="139"/>
      <c r="M61" s="139" t="str">
        <f>IFERROR(__xludf.DUMMYFUNCTION("""COMPUTED_VALUE"""),"敵複数体に最大9回の連続攻撃(自身の攻撃ステータスの最大70%ダメージ)")</f>
        <v>敵複数体に最大9回の連続攻撃(自身の攻撃ステータスの最大70%ダメージ)</v>
      </c>
      <c r="N61" s="139" t="str">
        <f>IFERROR(__xludf.DUMMYFUNCTION("""COMPUTED_VALUE"""),"ステータスUP + 必殺ワザ性能UP")</f>
        <v>ステータスUP + 必殺ワザ性能UP</v>
      </c>
    </row>
    <row r="62">
      <c r="A62" s="139" t="str">
        <f>IFERROR(__xludf.DUMMYFUNCTION("""COMPUTED_VALUE"""),"e")</f>
        <v>e</v>
      </c>
      <c r="B62" s="139">
        <f>IFERROR(__xludf.DUMMYFUNCTION("""COMPUTED_VALUE"""),2.0250901E8)</f>
        <v>202509010</v>
      </c>
      <c r="C62" s="139" t="str">
        <f>IFERROR(__xludf.DUMMYFUNCTION("""COMPUTED_VALUE"""),"chara_gom_00201_Special_00003")</f>
        <v>chara_gom_00201_Special_00003</v>
      </c>
      <c r="D62" s="139" t="str">
        <f>IFERROR(__xludf.DUMMYFUNCTION("""COMPUTED_VALUE"""),"chara_gom_00201")</f>
        <v>chara_gom_00201</v>
      </c>
      <c r="E62" s="139">
        <f>IFERROR(__xludf.DUMMYFUNCTION("""COMPUTED_VALUE"""),3.0)</f>
        <v>3</v>
      </c>
      <c r="F62" s="139" t="str">
        <f>IFERROR(__xludf.DUMMYFUNCTION("""COMPUTED_VALUE"""),"Special")</f>
        <v>Special</v>
      </c>
      <c r="G62" s="139"/>
      <c r="H62" s="139"/>
      <c r="I62" s="139">
        <f>IFERROR(__xludf.DUMMYFUNCTION("""COMPUTED_VALUE"""),250.0)</f>
        <v>250</v>
      </c>
      <c r="J62" s="139">
        <f>IFERROR(__xludf.DUMMYFUNCTION("""COMPUTED_VALUE"""),0.0)</f>
        <v>0</v>
      </c>
      <c r="K62" s="139">
        <f>IFERROR(__xludf.DUMMYFUNCTION("""COMPUTED_VALUE"""),0.0)</f>
        <v>0</v>
      </c>
      <c r="L62" s="139"/>
      <c r="M62" s="139" t="str">
        <f>IFERROR(__xludf.DUMMYFUNCTION("""COMPUTED_VALUE"""),"敵複数体に最大9回の連続攻撃(自身の攻撃ステータスの最大77%ダメージ)")</f>
        <v>敵複数体に最大9回の連続攻撃(自身の攻撃ステータスの最大77%ダメージ)</v>
      </c>
      <c r="N62" s="139" t="str">
        <f>IFERROR(__xludf.DUMMYFUNCTION("""COMPUTED_VALUE"""),"ステータスUP + 必殺ワザ性能UP")</f>
        <v>ステータスUP + 必殺ワザ性能UP</v>
      </c>
    </row>
    <row r="63">
      <c r="A63" s="139" t="str">
        <f>IFERROR(__xludf.DUMMYFUNCTION("""COMPUTED_VALUE"""),"e")</f>
        <v>e</v>
      </c>
      <c r="B63" s="139">
        <f>IFERROR(__xludf.DUMMYFUNCTION("""COMPUTED_VALUE"""),2.0250901E8)</f>
        <v>202509010</v>
      </c>
      <c r="C63" s="139" t="str">
        <f>IFERROR(__xludf.DUMMYFUNCTION("""COMPUTED_VALUE"""),"chara_gom_00201_Special_00004")</f>
        <v>chara_gom_00201_Special_00004</v>
      </c>
      <c r="D63" s="139" t="str">
        <f>IFERROR(__xludf.DUMMYFUNCTION("""COMPUTED_VALUE"""),"chara_gom_00201")</f>
        <v>chara_gom_00201</v>
      </c>
      <c r="E63" s="139">
        <f>IFERROR(__xludf.DUMMYFUNCTION("""COMPUTED_VALUE"""),4.0)</f>
        <v>4</v>
      </c>
      <c r="F63" s="139" t="str">
        <f>IFERROR(__xludf.DUMMYFUNCTION("""COMPUTED_VALUE"""),"Special")</f>
        <v>Special</v>
      </c>
      <c r="G63" s="139"/>
      <c r="H63" s="139"/>
      <c r="I63" s="139">
        <f>IFERROR(__xludf.DUMMYFUNCTION("""COMPUTED_VALUE"""),250.0)</f>
        <v>250</v>
      </c>
      <c r="J63" s="139">
        <f>IFERROR(__xludf.DUMMYFUNCTION("""COMPUTED_VALUE"""),0.0)</f>
        <v>0</v>
      </c>
      <c r="K63" s="139">
        <f>IFERROR(__xludf.DUMMYFUNCTION("""COMPUTED_VALUE"""),0.0)</f>
        <v>0</v>
      </c>
      <c r="L63" s="139"/>
      <c r="M63" s="139" t="str">
        <f>IFERROR(__xludf.DUMMYFUNCTION("""COMPUTED_VALUE"""),"敵複数体に最大9回の連続攻撃(自身の攻撃ステータスの最大82%ダメージ)")</f>
        <v>敵複数体に最大9回の連続攻撃(自身の攻撃ステータスの最大82%ダメージ)</v>
      </c>
      <c r="N63" s="139" t="str">
        <f>IFERROR(__xludf.DUMMYFUNCTION("""COMPUTED_VALUE"""),"ステータスUP + 必殺ワザ性能UP")</f>
        <v>ステータスUP + 必殺ワザ性能UP</v>
      </c>
    </row>
    <row r="64">
      <c r="A64" s="139" t="str">
        <f>IFERROR(__xludf.DUMMYFUNCTION("""COMPUTED_VALUE"""),"e")</f>
        <v>e</v>
      </c>
      <c r="B64" s="139">
        <f>IFERROR(__xludf.DUMMYFUNCTION("""COMPUTED_VALUE"""),2.0250901E8)</f>
        <v>202509010</v>
      </c>
      <c r="C64" s="139" t="str">
        <f>IFERROR(__xludf.DUMMYFUNCTION("""COMPUTED_VALUE"""),"chara_gom_00201_Special_00005")</f>
        <v>chara_gom_00201_Special_00005</v>
      </c>
      <c r="D64" s="139" t="str">
        <f>IFERROR(__xludf.DUMMYFUNCTION("""COMPUTED_VALUE"""),"chara_gom_00201")</f>
        <v>chara_gom_00201</v>
      </c>
      <c r="E64" s="139">
        <f>IFERROR(__xludf.DUMMYFUNCTION("""COMPUTED_VALUE"""),5.0)</f>
        <v>5</v>
      </c>
      <c r="F64" s="139" t="str">
        <f>IFERROR(__xludf.DUMMYFUNCTION("""COMPUTED_VALUE"""),"Special")</f>
        <v>Special</v>
      </c>
      <c r="G64" s="139"/>
      <c r="H64" s="139"/>
      <c r="I64" s="139">
        <f>IFERROR(__xludf.DUMMYFUNCTION("""COMPUTED_VALUE"""),250.0)</f>
        <v>250</v>
      </c>
      <c r="J64" s="139">
        <f>IFERROR(__xludf.DUMMYFUNCTION("""COMPUTED_VALUE"""),0.0)</f>
        <v>0</v>
      </c>
      <c r="K64" s="139">
        <f>IFERROR(__xludf.DUMMYFUNCTION("""COMPUTED_VALUE"""),0.0)</f>
        <v>0</v>
      </c>
      <c r="L64" s="139"/>
      <c r="M64" s="139" t="str">
        <f>IFERROR(__xludf.DUMMYFUNCTION("""COMPUTED_VALUE"""),"敵複数体に最大9回の連続攻撃(自身の攻撃ステータスの最大85%ダメージ)")</f>
        <v>敵複数体に最大9回の連続攻撃(自身の攻撃ステータスの最大85%ダメージ)</v>
      </c>
      <c r="N64" s="139" t="str">
        <f>IFERROR(__xludf.DUMMYFUNCTION("""COMPUTED_VALUE"""),"ステータスUP + 必殺ワザ性能UP")</f>
        <v>ステータスUP + 必殺ワザ性能UP</v>
      </c>
    </row>
    <row r="65">
      <c r="A65" s="139"/>
      <c r="B65" s="139"/>
      <c r="C65" s="139" t="str">
        <f>IFERROR(__xludf.DUMMYFUNCTION("""COMPUTED_VALUE"""),"chara_gom_00201_Special_00006")</f>
        <v>chara_gom_00201_Special_00006</v>
      </c>
      <c r="D65" s="139" t="str">
        <f>IFERROR(__xludf.DUMMYFUNCTION("""COMPUTED_VALUE"""),"chara_gom_00201")</f>
        <v>chara_gom_00201</v>
      </c>
      <c r="E65" s="139">
        <f>IFERROR(__xludf.DUMMYFUNCTION("""COMPUTED_VALUE"""),6.0)</f>
        <v>6</v>
      </c>
      <c r="F65" s="139" t="str">
        <f>IFERROR(__xludf.DUMMYFUNCTION("""COMPUTED_VALUE"""),"Special")</f>
        <v>Special</v>
      </c>
      <c r="G65" s="139"/>
      <c r="H65" s="139"/>
      <c r="I65" s="139">
        <f>IFERROR(__xludf.DUMMYFUNCTION("""COMPUTED_VALUE"""),250.0)</f>
        <v>250</v>
      </c>
      <c r="J65" s="139">
        <f>IFERROR(__xludf.DUMMYFUNCTION("""COMPUTED_VALUE"""),0.0)</f>
        <v>0</v>
      </c>
      <c r="K65" s="139">
        <f>IFERROR(__xludf.DUMMYFUNCTION("""COMPUTED_VALUE"""),0.0)</f>
        <v>0</v>
      </c>
      <c r="L65" s="139"/>
      <c r="M65" s="139"/>
      <c r="N65" s="139"/>
    </row>
    <row r="66">
      <c r="A66" s="139"/>
      <c r="B66" s="139"/>
      <c r="C66" s="139" t="str">
        <f>IFERROR(__xludf.DUMMYFUNCTION("""COMPUTED_VALUE"""),"chara_gom_00201_Special_00007")</f>
        <v>chara_gom_00201_Special_00007</v>
      </c>
      <c r="D66" s="139" t="str">
        <f>IFERROR(__xludf.DUMMYFUNCTION("""COMPUTED_VALUE"""),"chara_gom_00201")</f>
        <v>chara_gom_00201</v>
      </c>
      <c r="E66" s="139">
        <f>IFERROR(__xludf.DUMMYFUNCTION("""COMPUTED_VALUE"""),7.0)</f>
        <v>7</v>
      </c>
      <c r="F66" s="139" t="str">
        <f>IFERROR(__xludf.DUMMYFUNCTION("""COMPUTED_VALUE"""),"Special")</f>
        <v>Special</v>
      </c>
      <c r="G66" s="139"/>
      <c r="H66" s="139"/>
      <c r="I66" s="139">
        <f>IFERROR(__xludf.DUMMYFUNCTION("""COMPUTED_VALUE"""),250.0)</f>
        <v>250</v>
      </c>
      <c r="J66" s="139">
        <f>IFERROR(__xludf.DUMMYFUNCTION("""COMPUTED_VALUE"""),0.0)</f>
        <v>0</v>
      </c>
      <c r="K66" s="139">
        <f>IFERROR(__xludf.DUMMYFUNCTION("""COMPUTED_VALUE"""),0.0)</f>
        <v>0</v>
      </c>
      <c r="L66" s="139"/>
      <c r="M66" s="139"/>
      <c r="N66" s="139"/>
    </row>
    <row r="67">
      <c r="A67" s="139"/>
      <c r="B67" s="139"/>
      <c r="C67" s="139" t="str">
        <f>IFERROR(__xludf.DUMMYFUNCTION("""COMPUTED_VALUE"""),"chara_gom_00201_Special_00008")</f>
        <v>chara_gom_00201_Special_00008</v>
      </c>
      <c r="D67" s="139" t="str">
        <f>IFERROR(__xludf.DUMMYFUNCTION("""COMPUTED_VALUE"""),"chara_gom_00201")</f>
        <v>chara_gom_00201</v>
      </c>
      <c r="E67" s="139">
        <f>IFERROR(__xludf.DUMMYFUNCTION("""COMPUTED_VALUE"""),8.0)</f>
        <v>8</v>
      </c>
      <c r="F67" s="139" t="str">
        <f>IFERROR(__xludf.DUMMYFUNCTION("""COMPUTED_VALUE"""),"Special")</f>
        <v>Special</v>
      </c>
      <c r="G67" s="139"/>
      <c r="H67" s="139"/>
      <c r="I67" s="139">
        <f>IFERROR(__xludf.DUMMYFUNCTION("""COMPUTED_VALUE"""),250.0)</f>
        <v>250</v>
      </c>
      <c r="J67" s="139">
        <f>IFERROR(__xludf.DUMMYFUNCTION("""COMPUTED_VALUE"""),0.0)</f>
        <v>0</v>
      </c>
      <c r="K67" s="139">
        <f>IFERROR(__xludf.DUMMYFUNCTION("""COMPUTED_VALUE"""),0.0)</f>
        <v>0</v>
      </c>
      <c r="L67" s="139"/>
      <c r="M67" s="139"/>
      <c r="N67" s="139"/>
    </row>
    <row r="68">
      <c r="A68" s="139"/>
      <c r="B68" s="139"/>
      <c r="C68" s="139" t="str">
        <f>IFERROR(__xludf.DUMMYFUNCTION("""COMPUTED_VALUE"""),"chara_gom_00201_Special_00009")</f>
        <v>chara_gom_00201_Special_00009</v>
      </c>
      <c r="D68" s="139" t="str">
        <f>IFERROR(__xludf.DUMMYFUNCTION("""COMPUTED_VALUE"""),"chara_gom_00201")</f>
        <v>chara_gom_00201</v>
      </c>
      <c r="E68" s="139">
        <f>IFERROR(__xludf.DUMMYFUNCTION("""COMPUTED_VALUE"""),9.0)</f>
        <v>9</v>
      </c>
      <c r="F68" s="139" t="str">
        <f>IFERROR(__xludf.DUMMYFUNCTION("""COMPUTED_VALUE"""),"Special")</f>
        <v>Special</v>
      </c>
      <c r="G68" s="139"/>
      <c r="H68" s="139"/>
      <c r="I68" s="139">
        <f>IFERROR(__xludf.DUMMYFUNCTION("""COMPUTED_VALUE"""),250.0)</f>
        <v>250</v>
      </c>
      <c r="J68" s="139">
        <f>IFERROR(__xludf.DUMMYFUNCTION("""COMPUTED_VALUE"""),0.0)</f>
        <v>0</v>
      </c>
      <c r="K68" s="139">
        <f>IFERROR(__xludf.DUMMYFUNCTION("""COMPUTED_VALUE"""),0.0)</f>
        <v>0</v>
      </c>
      <c r="L68" s="139"/>
      <c r="M68" s="139"/>
      <c r="N68" s="139"/>
    </row>
    <row r="69">
      <c r="A69" s="139"/>
      <c r="B69" s="139"/>
      <c r="C69" s="139" t="str">
        <f>IFERROR(__xludf.DUMMYFUNCTION("""COMPUTED_VALUE"""),"chara_gom_00201_Special_00010")</f>
        <v>chara_gom_00201_Special_00010</v>
      </c>
      <c r="D69" s="139" t="str">
        <f>IFERROR(__xludf.DUMMYFUNCTION("""COMPUTED_VALUE"""),"chara_gom_00201")</f>
        <v>chara_gom_00201</v>
      </c>
      <c r="E69" s="139">
        <f>IFERROR(__xludf.DUMMYFUNCTION("""COMPUTED_VALUE"""),10.0)</f>
        <v>10</v>
      </c>
      <c r="F69" s="139" t="str">
        <f>IFERROR(__xludf.DUMMYFUNCTION("""COMPUTED_VALUE"""),"Special")</f>
        <v>Special</v>
      </c>
      <c r="G69" s="139"/>
      <c r="H69" s="139"/>
      <c r="I69" s="139">
        <f>IFERROR(__xludf.DUMMYFUNCTION("""COMPUTED_VALUE"""),250.0)</f>
        <v>250</v>
      </c>
      <c r="J69" s="139">
        <f>IFERROR(__xludf.DUMMYFUNCTION("""COMPUTED_VALUE"""),0.0)</f>
        <v>0</v>
      </c>
      <c r="K69" s="139">
        <f>IFERROR(__xludf.DUMMYFUNCTION("""COMPUTED_VALUE"""),0.0)</f>
        <v>0</v>
      </c>
      <c r="L69" s="139"/>
      <c r="M69" s="139"/>
      <c r="N69" s="139"/>
    </row>
    <row r="70">
      <c r="A70" s="139" t="str">
        <f>IFERROR(__xludf.DUMMYFUNCTION("""COMPUTED_VALUE"""),"e")</f>
        <v>e</v>
      </c>
      <c r="B70" s="139">
        <f>IFERROR(__xludf.DUMMYFUNCTION("""COMPUTED_VALUE"""),2.0250901E8)</f>
        <v>202509010</v>
      </c>
      <c r="C70" s="139" t="str">
        <f>IFERROR(__xludf.DUMMYFUNCTION("""COMPUTED_VALUE"""),"chara_jig_00001_Normal_00000")</f>
        <v>chara_jig_00001_Normal_00000</v>
      </c>
      <c r="D70" s="139" t="str">
        <f>IFERROR(__xludf.DUMMYFUNCTION("""COMPUTED_VALUE"""),"chara_jig_00001")</f>
        <v>chara_jig_00001</v>
      </c>
      <c r="E70" s="139">
        <f>IFERROR(__xludf.DUMMYFUNCTION("""COMPUTED_VALUE"""),0.0)</f>
        <v>0</v>
      </c>
      <c r="F70" s="139" t="str">
        <f>IFERROR(__xludf.DUMMYFUNCTION("""COMPUTED_VALUE"""),"Normal")</f>
        <v>Normal</v>
      </c>
      <c r="G70" s="139"/>
      <c r="H70" s="139"/>
      <c r="I70" s="139">
        <f>IFERROR(__xludf.DUMMYFUNCTION("""COMPUTED_VALUE"""),59.0)</f>
        <v>59</v>
      </c>
      <c r="J70" s="139">
        <f>IFERROR(__xludf.DUMMYFUNCTION("""COMPUTED_VALUE"""),10.0)</f>
        <v>10</v>
      </c>
      <c r="K70" s="139">
        <f>IFERROR(__xludf.DUMMYFUNCTION("""COMPUTED_VALUE"""),50.0)</f>
        <v>50</v>
      </c>
      <c r="L70" s="139"/>
      <c r="M70" s="139" t="str">
        <f>IFERROR(__xludf.DUMMYFUNCTION("""COMPUTED_VALUE"""),"表示場所なし")</f>
        <v>表示場所なし</v>
      </c>
      <c r="N70" s="139"/>
    </row>
    <row r="71">
      <c r="A71" s="139" t="str">
        <f>IFERROR(__xludf.DUMMYFUNCTION("""COMPUTED_VALUE"""),"e")</f>
        <v>e</v>
      </c>
      <c r="B71" s="139">
        <f>IFERROR(__xludf.DUMMYFUNCTION("""COMPUTED_VALUE"""),2.0250901E8)</f>
        <v>202509010</v>
      </c>
      <c r="C71" s="139" t="str">
        <f>IFERROR(__xludf.DUMMYFUNCTION("""COMPUTED_VALUE"""),"chara_jig_00001_Special_00001")</f>
        <v>chara_jig_00001_Special_00001</v>
      </c>
      <c r="D71" s="139" t="str">
        <f>IFERROR(__xludf.DUMMYFUNCTION("""COMPUTED_VALUE"""),"chara_jig_00001")</f>
        <v>chara_jig_00001</v>
      </c>
      <c r="E71" s="139">
        <f>IFERROR(__xludf.DUMMYFUNCTION("""COMPUTED_VALUE"""),1.0)</f>
        <v>1</v>
      </c>
      <c r="F71" s="139" t="str">
        <f>IFERROR(__xludf.DUMMYFUNCTION("""COMPUTED_VALUE"""),"Special")</f>
        <v>Special</v>
      </c>
      <c r="G71" s="139"/>
      <c r="H71" s="139"/>
      <c r="I71" s="139">
        <f>IFERROR(__xludf.DUMMYFUNCTION("""COMPUTED_VALUE"""),115.0)</f>
        <v>115</v>
      </c>
      <c r="J71" s="139">
        <f>IFERROR(__xludf.DUMMYFUNCTION("""COMPUTED_VALUE"""),0.0)</f>
        <v>0</v>
      </c>
      <c r="K71" s="139">
        <f>IFERROR(__xludf.DUMMYFUNCTION("""COMPUTED_VALUE"""),0.0)</f>
        <v>0</v>
      </c>
      <c r="L71" s="139"/>
      <c r="M71" s="139" t="str">
        <f>IFERROR(__xludf.DUMMYFUNCTION("""COMPUTED_VALUE"""),"敵単体に最大3回の連続攻撃(自身の攻撃ステータスの最大170%ダメージ) + 1回目の攻撃がヒットした場合、敵を3秒間、最大3000ダメージの火傷状態にする")</f>
        <v>敵単体に最大3回の連続攻撃(自身の攻撃ステータスの最大170%ダメージ) + 1回目の攻撃がヒットした場合、敵を3秒間、最大3000ダメージの火傷状態にする</v>
      </c>
      <c r="N71" s="139"/>
    </row>
    <row r="72">
      <c r="A72" s="139" t="str">
        <f>IFERROR(__xludf.DUMMYFUNCTION("""COMPUTED_VALUE"""),"e")</f>
        <v>e</v>
      </c>
      <c r="B72" s="139">
        <f>IFERROR(__xludf.DUMMYFUNCTION("""COMPUTED_VALUE"""),2.0250901E8)</f>
        <v>202509010</v>
      </c>
      <c r="C72" s="139" t="str">
        <f>IFERROR(__xludf.DUMMYFUNCTION("""COMPUTED_VALUE"""),"chara_jig_00001_Special_00002")</f>
        <v>chara_jig_00001_Special_00002</v>
      </c>
      <c r="D72" s="139" t="str">
        <f>IFERROR(__xludf.DUMMYFUNCTION("""COMPUTED_VALUE"""),"chara_jig_00001")</f>
        <v>chara_jig_00001</v>
      </c>
      <c r="E72" s="139">
        <f>IFERROR(__xludf.DUMMYFUNCTION("""COMPUTED_VALUE"""),2.0)</f>
        <v>2</v>
      </c>
      <c r="F72" s="139" t="str">
        <f>IFERROR(__xludf.DUMMYFUNCTION("""COMPUTED_VALUE"""),"Special")</f>
        <v>Special</v>
      </c>
      <c r="G72" s="139"/>
      <c r="H72" s="139"/>
      <c r="I72" s="139">
        <f>IFERROR(__xludf.DUMMYFUNCTION("""COMPUTED_VALUE"""),115.0)</f>
        <v>115</v>
      </c>
      <c r="J72" s="139">
        <f>IFERROR(__xludf.DUMMYFUNCTION("""COMPUTED_VALUE"""),0.0)</f>
        <v>0</v>
      </c>
      <c r="K72" s="139">
        <f>IFERROR(__xludf.DUMMYFUNCTION("""COMPUTED_VALUE"""),0.0)</f>
        <v>0</v>
      </c>
      <c r="L72" s="139"/>
      <c r="M72" s="139" t="str">
        <f>IFERROR(__xludf.DUMMYFUNCTION("""COMPUTED_VALUE"""),"敵単体に最大3回の連続攻撃(自身の攻撃ステータスの最大192%ダメージ) + 1回目の攻撃がヒットした場合、敵を6秒間、最大12000ダメージの火傷状態にする")</f>
        <v>敵単体に最大3回の連続攻撃(自身の攻撃ステータスの最大192%ダメージ) + 1回目の攻撃がヒットした場合、敵を6秒間、最大12000ダメージの火傷状態にする</v>
      </c>
      <c r="N72" s="139" t="str">
        <f>IFERROR(__xludf.DUMMYFUNCTION("""COMPUTED_VALUE"""),"ステータスUP + 必殺ワザ性能UP")</f>
        <v>ステータスUP + 必殺ワザ性能UP</v>
      </c>
    </row>
    <row r="73">
      <c r="A73" s="139" t="str">
        <f>IFERROR(__xludf.DUMMYFUNCTION("""COMPUTED_VALUE"""),"e")</f>
        <v>e</v>
      </c>
      <c r="B73" s="139">
        <f>IFERROR(__xludf.DUMMYFUNCTION("""COMPUTED_VALUE"""),2.0250901E8)</f>
        <v>202509010</v>
      </c>
      <c r="C73" s="139" t="str">
        <f>IFERROR(__xludf.DUMMYFUNCTION("""COMPUTED_VALUE"""),"chara_jig_00001_Special_00003")</f>
        <v>chara_jig_00001_Special_00003</v>
      </c>
      <c r="D73" s="139" t="str">
        <f>IFERROR(__xludf.DUMMYFUNCTION("""COMPUTED_VALUE"""),"chara_jig_00001")</f>
        <v>chara_jig_00001</v>
      </c>
      <c r="E73" s="139">
        <f>IFERROR(__xludf.DUMMYFUNCTION("""COMPUTED_VALUE"""),3.0)</f>
        <v>3</v>
      </c>
      <c r="F73" s="139" t="str">
        <f>IFERROR(__xludf.DUMMYFUNCTION("""COMPUTED_VALUE"""),"Special")</f>
        <v>Special</v>
      </c>
      <c r="G73" s="139"/>
      <c r="H73" s="139"/>
      <c r="I73" s="139">
        <f>IFERROR(__xludf.DUMMYFUNCTION("""COMPUTED_VALUE"""),115.0)</f>
        <v>115</v>
      </c>
      <c r="J73" s="139">
        <f>IFERROR(__xludf.DUMMYFUNCTION("""COMPUTED_VALUE"""),0.0)</f>
        <v>0</v>
      </c>
      <c r="K73" s="139">
        <f>IFERROR(__xludf.DUMMYFUNCTION("""COMPUTED_VALUE"""),0.0)</f>
        <v>0</v>
      </c>
      <c r="L73" s="139"/>
      <c r="M73" s="139" t="str">
        <f>IFERROR(__xludf.DUMMYFUNCTION("""COMPUTED_VALUE"""),"敵単体に最大3回の連続攻撃(自身の攻撃ステータスの最大207%ダメージ) + 1回目の攻撃がヒットした場合、敵を9秒間、最大27000ダメージの火傷状態にする")</f>
        <v>敵単体に最大3回の連続攻撃(自身の攻撃ステータスの最大207%ダメージ) + 1回目の攻撃がヒットした場合、敵を9秒間、最大27000ダメージの火傷状態にする</v>
      </c>
      <c r="N73" s="139" t="str">
        <f>IFERROR(__xludf.DUMMYFUNCTION("""COMPUTED_VALUE"""),"ステータスUP + 必殺ワザ性能UP")</f>
        <v>ステータスUP + 必殺ワザ性能UP</v>
      </c>
    </row>
    <row r="74">
      <c r="A74" s="139" t="str">
        <f>IFERROR(__xludf.DUMMYFUNCTION("""COMPUTED_VALUE"""),"e")</f>
        <v>e</v>
      </c>
      <c r="B74" s="139">
        <f>IFERROR(__xludf.DUMMYFUNCTION("""COMPUTED_VALUE"""),2.0250901E8)</f>
        <v>202509010</v>
      </c>
      <c r="C74" s="139" t="str">
        <f>IFERROR(__xludf.DUMMYFUNCTION("""COMPUTED_VALUE"""),"chara_jig_00001_Special_00004")</f>
        <v>chara_jig_00001_Special_00004</v>
      </c>
      <c r="D74" s="139" t="str">
        <f>IFERROR(__xludf.DUMMYFUNCTION("""COMPUTED_VALUE"""),"chara_jig_00001")</f>
        <v>chara_jig_00001</v>
      </c>
      <c r="E74" s="139">
        <f>IFERROR(__xludf.DUMMYFUNCTION("""COMPUTED_VALUE"""),4.0)</f>
        <v>4</v>
      </c>
      <c r="F74" s="139" t="str">
        <f>IFERROR(__xludf.DUMMYFUNCTION("""COMPUTED_VALUE"""),"Special")</f>
        <v>Special</v>
      </c>
      <c r="G74" s="139"/>
      <c r="H74" s="139"/>
      <c r="I74" s="139">
        <f>IFERROR(__xludf.DUMMYFUNCTION("""COMPUTED_VALUE"""),115.0)</f>
        <v>115</v>
      </c>
      <c r="J74" s="139">
        <f>IFERROR(__xludf.DUMMYFUNCTION("""COMPUTED_VALUE"""),0.0)</f>
        <v>0</v>
      </c>
      <c r="K74" s="139">
        <f>IFERROR(__xludf.DUMMYFUNCTION("""COMPUTED_VALUE"""),0.0)</f>
        <v>0</v>
      </c>
      <c r="L74" s="139"/>
      <c r="M74" s="139" t="str">
        <f>IFERROR(__xludf.DUMMYFUNCTION("""COMPUTED_VALUE"""),"敵単体に最大3回の連続攻撃(自身の攻撃ステータスの最大218%ダメージ) + 1回目の攻撃がヒットした場合、敵を9秒間、最大30600ダメージの火傷状態にする")</f>
        <v>敵単体に最大3回の連続攻撃(自身の攻撃ステータスの最大218%ダメージ) + 1回目の攻撃がヒットした場合、敵を9秒間、最大30600ダメージの火傷状態にする</v>
      </c>
      <c r="N74" s="139" t="str">
        <f>IFERROR(__xludf.DUMMYFUNCTION("""COMPUTED_VALUE"""),"ステータスUP + 必殺ワザ性能UP")</f>
        <v>ステータスUP + 必殺ワザ性能UP</v>
      </c>
    </row>
    <row r="75">
      <c r="A75" s="139" t="str">
        <f>IFERROR(__xludf.DUMMYFUNCTION("""COMPUTED_VALUE"""),"e")</f>
        <v>e</v>
      </c>
      <c r="B75" s="139">
        <f>IFERROR(__xludf.DUMMYFUNCTION("""COMPUTED_VALUE"""),2.0250901E8)</f>
        <v>202509010</v>
      </c>
      <c r="C75" s="139" t="str">
        <f>IFERROR(__xludf.DUMMYFUNCTION("""COMPUTED_VALUE"""),"chara_jig_00001_Special_00005")</f>
        <v>chara_jig_00001_Special_00005</v>
      </c>
      <c r="D75" s="139" t="str">
        <f>IFERROR(__xludf.DUMMYFUNCTION("""COMPUTED_VALUE"""),"chara_jig_00001")</f>
        <v>chara_jig_00001</v>
      </c>
      <c r="E75" s="139">
        <f>IFERROR(__xludf.DUMMYFUNCTION("""COMPUTED_VALUE"""),5.0)</f>
        <v>5</v>
      </c>
      <c r="F75" s="139" t="str">
        <f>IFERROR(__xludf.DUMMYFUNCTION("""COMPUTED_VALUE"""),"Special")</f>
        <v>Special</v>
      </c>
      <c r="G75" s="139"/>
      <c r="H75" s="139"/>
      <c r="I75" s="139">
        <f>IFERROR(__xludf.DUMMYFUNCTION("""COMPUTED_VALUE"""),115.0)</f>
        <v>115</v>
      </c>
      <c r="J75" s="139">
        <f>IFERROR(__xludf.DUMMYFUNCTION("""COMPUTED_VALUE"""),0.0)</f>
        <v>0</v>
      </c>
      <c r="K75" s="139">
        <f>IFERROR(__xludf.DUMMYFUNCTION("""COMPUTED_VALUE"""),0.0)</f>
        <v>0</v>
      </c>
      <c r="L75" s="139"/>
      <c r="M75" s="139" t="str">
        <f>IFERROR(__xludf.DUMMYFUNCTION("""COMPUTED_VALUE"""),"敵単体に最大3回の連続攻撃(自身の攻撃ステータスの最大225%ダメージ) + 1回目の攻撃がヒットした場合、敵を9秒間、最大36000ダメージの火傷状態にする")</f>
        <v>敵単体に最大3回の連続攻撃(自身の攻撃ステータスの最大225%ダメージ) + 1回目の攻撃がヒットした場合、敵を9秒間、最大36000ダメージの火傷状態にする</v>
      </c>
      <c r="N75" s="139" t="str">
        <f>IFERROR(__xludf.DUMMYFUNCTION("""COMPUTED_VALUE"""),"ステータスUP + 必殺ワザ性能UP")</f>
        <v>ステータスUP + 必殺ワザ性能UP</v>
      </c>
    </row>
    <row r="76">
      <c r="A76" s="139"/>
      <c r="B76" s="139"/>
      <c r="C76" s="139" t="str">
        <f>IFERROR(__xludf.DUMMYFUNCTION("""COMPUTED_VALUE"""),"chara_jig_00001_Special_00006")</f>
        <v>chara_jig_00001_Special_00006</v>
      </c>
      <c r="D76" s="139" t="str">
        <f>IFERROR(__xludf.DUMMYFUNCTION("""COMPUTED_VALUE"""),"chara_jig_00001")</f>
        <v>chara_jig_00001</v>
      </c>
      <c r="E76" s="139">
        <f>IFERROR(__xludf.DUMMYFUNCTION("""COMPUTED_VALUE"""),6.0)</f>
        <v>6</v>
      </c>
      <c r="F76" s="139" t="str">
        <f>IFERROR(__xludf.DUMMYFUNCTION("""COMPUTED_VALUE"""),"Special")</f>
        <v>Special</v>
      </c>
      <c r="G76" s="139"/>
      <c r="H76" s="139"/>
      <c r="I76" s="139">
        <f>IFERROR(__xludf.DUMMYFUNCTION("""COMPUTED_VALUE"""),115.0)</f>
        <v>115</v>
      </c>
      <c r="J76" s="139">
        <f>IFERROR(__xludf.DUMMYFUNCTION("""COMPUTED_VALUE"""),0.0)</f>
        <v>0</v>
      </c>
      <c r="K76" s="139">
        <f>IFERROR(__xludf.DUMMYFUNCTION("""COMPUTED_VALUE"""),0.0)</f>
        <v>0</v>
      </c>
      <c r="L76" s="139"/>
      <c r="M76" s="139"/>
      <c r="N76" s="139"/>
    </row>
    <row r="77">
      <c r="A77" s="139"/>
      <c r="B77" s="139"/>
      <c r="C77" s="139" t="str">
        <f>IFERROR(__xludf.DUMMYFUNCTION("""COMPUTED_VALUE"""),"chara_jig_00001_Special_00007")</f>
        <v>chara_jig_00001_Special_00007</v>
      </c>
      <c r="D77" s="139" t="str">
        <f>IFERROR(__xludf.DUMMYFUNCTION("""COMPUTED_VALUE"""),"chara_jig_00001")</f>
        <v>chara_jig_00001</v>
      </c>
      <c r="E77" s="139">
        <f>IFERROR(__xludf.DUMMYFUNCTION("""COMPUTED_VALUE"""),7.0)</f>
        <v>7</v>
      </c>
      <c r="F77" s="139" t="str">
        <f>IFERROR(__xludf.DUMMYFUNCTION("""COMPUTED_VALUE"""),"Special")</f>
        <v>Special</v>
      </c>
      <c r="G77" s="139"/>
      <c r="H77" s="139"/>
      <c r="I77" s="139">
        <f>IFERROR(__xludf.DUMMYFUNCTION("""COMPUTED_VALUE"""),115.0)</f>
        <v>115</v>
      </c>
      <c r="J77" s="139">
        <f>IFERROR(__xludf.DUMMYFUNCTION("""COMPUTED_VALUE"""),0.0)</f>
        <v>0</v>
      </c>
      <c r="K77" s="139">
        <f>IFERROR(__xludf.DUMMYFUNCTION("""COMPUTED_VALUE"""),0.0)</f>
        <v>0</v>
      </c>
      <c r="L77" s="139"/>
      <c r="M77" s="139"/>
      <c r="N77" s="139"/>
    </row>
    <row r="78">
      <c r="A78" s="139"/>
      <c r="B78" s="139"/>
      <c r="C78" s="139" t="str">
        <f>IFERROR(__xludf.DUMMYFUNCTION("""COMPUTED_VALUE"""),"chara_jig_00001_Special_00008")</f>
        <v>chara_jig_00001_Special_00008</v>
      </c>
      <c r="D78" s="139" t="str">
        <f>IFERROR(__xludf.DUMMYFUNCTION("""COMPUTED_VALUE"""),"chara_jig_00001")</f>
        <v>chara_jig_00001</v>
      </c>
      <c r="E78" s="139">
        <f>IFERROR(__xludf.DUMMYFUNCTION("""COMPUTED_VALUE"""),8.0)</f>
        <v>8</v>
      </c>
      <c r="F78" s="139" t="str">
        <f>IFERROR(__xludf.DUMMYFUNCTION("""COMPUTED_VALUE"""),"Special")</f>
        <v>Special</v>
      </c>
      <c r="G78" s="139"/>
      <c r="H78" s="139"/>
      <c r="I78" s="139">
        <f>IFERROR(__xludf.DUMMYFUNCTION("""COMPUTED_VALUE"""),115.0)</f>
        <v>115</v>
      </c>
      <c r="J78" s="139">
        <f>IFERROR(__xludf.DUMMYFUNCTION("""COMPUTED_VALUE"""),0.0)</f>
        <v>0</v>
      </c>
      <c r="K78" s="139">
        <f>IFERROR(__xludf.DUMMYFUNCTION("""COMPUTED_VALUE"""),0.0)</f>
        <v>0</v>
      </c>
      <c r="L78" s="139"/>
      <c r="M78" s="139"/>
      <c r="N78" s="139"/>
    </row>
    <row r="79">
      <c r="A79" s="139"/>
      <c r="B79" s="139"/>
      <c r="C79" s="139" t="str">
        <f>IFERROR(__xludf.DUMMYFUNCTION("""COMPUTED_VALUE"""),"chara_jig_00001_Special_00009")</f>
        <v>chara_jig_00001_Special_00009</v>
      </c>
      <c r="D79" s="139" t="str">
        <f>IFERROR(__xludf.DUMMYFUNCTION("""COMPUTED_VALUE"""),"chara_jig_00001")</f>
        <v>chara_jig_00001</v>
      </c>
      <c r="E79" s="139">
        <f>IFERROR(__xludf.DUMMYFUNCTION("""COMPUTED_VALUE"""),9.0)</f>
        <v>9</v>
      </c>
      <c r="F79" s="139" t="str">
        <f>IFERROR(__xludf.DUMMYFUNCTION("""COMPUTED_VALUE"""),"Special")</f>
        <v>Special</v>
      </c>
      <c r="G79" s="139"/>
      <c r="H79" s="139"/>
      <c r="I79" s="139">
        <f>IFERROR(__xludf.DUMMYFUNCTION("""COMPUTED_VALUE"""),115.0)</f>
        <v>115</v>
      </c>
      <c r="J79" s="139">
        <f>IFERROR(__xludf.DUMMYFUNCTION("""COMPUTED_VALUE"""),0.0)</f>
        <v>0</v>
      </c>
      <c r="K79" s="139">
        <f>IFERROR(__xludf.DUMMYFUNCTION("""COMPUTED_VALUE"""),0.0)</f>
        <v>0</v>
      </c>
      <c r="L79" s="139"/>
      <c r="M79" s="139"/>
      <c r="N79" s="139"/>
    </row>
    <row r="80">
      <c r="A80" s="139"/>
      <c r="B80" s="139"/>
      <c r="C80" s="139" t="str">
        <f>IFERROR(__xludf.DUMMYFUNCTION("""COMPUTED_VALUE"""),"chara_jig_00001_Special_00010")</f>
        <v>chara_jig_00001_Special_00010</v>
      </c>
      <c r="D80" s="139" t="str">
        <f>IFERROR(__xludf.DUMMYFUNCTION("""COMPUTED_VALUE"""),"chara_jig_00001")</f>
        <v>chara_jig_00001</v>
      </c>
      <c r="E80" s="139">
        <f>IFERROR(__xludf.DUMMYFUNCTION("""COMPUTED_VALUE"""),10.0)</f>
        <v>10</v>
      </c>
      <c r="F80" s="139" t="str">
        <f>IFERROR(__xludf.DUMMYFUNCTION("""COMPUTED_VALUE"""),"Special")</f>
        <v>Special</v>
      </c>
      <c r="G80" s="139"/>
      <c r="H80" s="139"/>
      <c r="I80" s="139">
        <f>IFERROR(__xludf.DUMMYFUNCTION("""COMPUTED_VALUE"""),115.0)</f>
        <v>115</v>
      </c>
      <c r="J80" s="139">
        <f>IFERROR(__xludf.DUMMYFUNCTION("""COMPUTED_VALUE"""),0.0)</f>
        <v>0</v>
      </c>
      <c r="K80" s="139">
        <f>IFERROR(__xludf.DUMMYFUNCTION("""COMPUTED_VALUE"""),0.0)</f>
        <v>0</v>
      </c>
      <c r="L80" s="139"/>
      <c r="M80" s="139"/>
      <c r="N80" s="139"/>
    </row>
    <row r="81">
      <c r="A81" s="139" t="str">
        <f>IFERROR(__xludf.DUMMYFUNCTION("""COMPUTED_VALUE"""),"e")</f>
        <v>e</v>
      </c>
      <c r="B81" s="139">
        <f>IFERROR(__xludf.DUMMYFUNCTION("""COMPUTED_VALUE"""),2.0250901E8)</f>
        <v>202509010</v>
      </c>
      <c r="C81" s="139" t="str">
        <f>IFERROR(__xludf.DUMMYFUNCTION("""COMPUTED_VALUE"""),"chara_jig_00101_Normal_00000")</f>
        <v>chara_jig_00101_Normal_00000</v>
      </c>
      <c r="D81" s="139" t="str">
        <f>IFERROR(__xludf.DUMMYFUNCTION("""COMPUTED_VALUE"""),"chara_jig_00101")</f>
        <v>chara_jig_00101</v>
      </c>
      <c r="E81" s="139">
        <f>IFERROR(__xludf.DUMMYFUNCTION("""COMPUTED_VALUE"""),0.0)</f>
        <v>0</v>
      </c>
      <c r="F81" s="139" t="str">
        <f>IFERROR(__xludf.DUMMYFUNCTION("""COMPUTED_VALUE"""),"Normal")</f>
        <v>Normal</v>
      </c>
      <c r="G81" s="139"/>
      <c r="H81" s="139"/>
      <c r="I81" s="139">
        <f>IFERROR(__xludf.DUMMYFUNCTION("""COMPUTED_VALUE"""),75.0)</f>
        <v>75</v>
      </c>
      <c r="J81" s="139">
        <f>IFERROR(__xludf.DUMMYFUNCTION("""COMPUTED_VALUE"""),25.0)</f>
        <v>25</v>
      </c>
      <c r="K81" s="139">
        <f>IFERROR(__xludf.DUMMYFUNCTION("""COMPUTED_VALUE"""),50.0)</f>
        <v>50</v>
      </c>
      <c r="L81" s="139"/>
      <c r="M81" s="139" t="str">
        <f>IFERROR(__xludf.DUMMYFUNCTION("""COMPUTED_VALUE"""),"表示場所なし")</f>
        <v>表示場所なし</v>
      </c>
      <c r="N81" s="139"/>
    </row>
    <row r="82">
      <c r="A82" s="139" t="str">
        <f>IFERROR(__xludf.DUMMYFUNCTION("""COMPUTED_VALUE"""),"e")</f>
        <v>e</v>
      </c>
      <c r="B82" s="139">
        <f>IFERROR(__xludf.DUMMYFUNCTION("""COMPUTED_VALUE"""),2.0250901E8)</f>
        <v>202509010</v>
      </c>
      <c r="C82" s="139" t="str">
        <f>IFERROR(__xludf.DUMMYFUNCTION("""COMPUTED_VALUE"""),"chara_jig_00101_Special_00001")</f>
        <v>chara_jig_00101_Special_00001</v>
      </c>
      <c r="D82" s="139" t="str">
        <f>IFERROR(__xludf.DUMMYFUNCTION("""COMPUTED_VALUE"""),"chara_jig_00101")</f>
        <v>chara_jig_00101</v>
      </c>
      <c r="E82" s="139">
        <f>IFERROR(__xludf.DUMMYFUNCTION("""COMPUTED_VALUE"""),1.0)</f>
        <v>1</v>
      </c>
      <c r="F82" s="139" t="str">
        <f>IFERROR(__xludf.DUMMYFUNCTION("""COMPUTED_VALUE"""),"Special")</f>
        <v>Special</v>
      </c>
      <c r="G82" s="139" t="str">
        <f>IFERROR(__xludf.DUMMYFUNCTION("""COMPUTED_VALUE"""),"Green")</f>
        <v>Green</v>
      </c>
      <c r="H82" s="139">
        <f>IFERROR(__xludf.DUMMYFUNCTION("""COMPUTED_VALUE"""),110.0)</f>
        <v>110</v>
      </c>
      <c r="I82" s="139">
        <f>IFERROR(__xludf.DUMMYFUNCTION("""COMPUTED_VALUE"""),125.0)</f>
        <v>125</v>
      </c>
      <c r="J82" s="139">
        <f>IFERROR(__xludf.DUMMYFUNCTION("""COMPUTED_VALUE"""),60.0)</f>
        <v>60</v>
      </c>
      <c r="K82" s="139">
        <f>IFERROR(__xludf.DUMMYFUNCTION("""COMPUTED_VALUE"""),0.0)</f>
        <v>0</v>
      </c>
      <c r="L82" s="139"/>
      <c r="M82" s="139" t="str">
        <f>IFERROR(__xludf.DUMMYFUNCTION("""COMPUTED_VALUE"""),"敵単体に自身の攻撃ステータスの100%のダメージ(敵が緑属性の場合は110%のダメージ)")</f>
        <v>敵単体に自身の攻撃ステータスの100%のダメージ(敵が緑属性の場合は110%のダメージ)</v>
      </c>
      <c r="N82" s="139"/>
    </row>
    <row r="83">
      <c r="A83" s="139" t="str">
        <f>IFERROR(__xludf.DUMMYFUNCTION("""COMPUTED_VALUE"""),"e")</f>
        <v>e</v>
      </c>
      <c r="B83" s="139">
        <f>IFERROR(__xludf.DUMMYFUNCTION("""COMPUTED_VALUE"""),2.0250901E8)</f>
        <v>202509010</v>
      </c>
      <c r="C83" s="139" t="str">
        <f>IFERROR(__xludf.DUMMYFUNCTION("""COMPUTED_VALUE"""),"chara_jig_00101_Special_00002")</f>
        <v>chara_jig_00101_Special_00002</v>
      </c>
      <c r="D83" s="139" t="str">
        <f>IFERROR(__xludf.DUMMYFUNCTION("""COMPUTED_VALUE"""),"chara_jig_00101")</f>
        <v>chara_jig_00101</v>
      </c>
      <c r="E83" s="139">
        <f>IFERROR(__xludf.DUMMYFUNCTION("""COMPUTED_VALUE"""),2.0)</f>
        <v>2</v>
      </c>
      <c r="F83" s="139" t="str">
        <f>IFERROR(__xludf.DUMMYFUNCTION("""COMPUTED_VALUE"""),"Special")</f>
        <v>Special</v>
      </c>
      <c r="G83" s="139" t="str">
        <f>IFERROR(__xludf.DUMMYFUNCTION("""COMPUTED_VALUE"""),"Green")</f>
        <v>Green</v>
      </c>
      <c r="H83" s="139">
        <f>IFERROR(__xludf.DUMMYFUNCTION("""COMPUTED_VALUE"""),125.0)</f>
        <v>125</v>
      </c>
      <c r="I83" s="139">
        <f>IFERROR(__xludf.DUMMYFUNCTION("""COMPUTED_VALUE"""),125.0)</f>
        <v>125</v>
      </c>
      <c r="J83" s="139">
        <f>IFERROR(__xludf.DUMMYFUNCTION("""COMPUTED_VALUE"""),60.0)</f>
        <v>60</v>
      </c>
      <c r="K83" s="139">
        <f>IFERROR(__xludf.DUMMYFUNCTION("""COMPUTED_VALUE"""),0.0)</f>
        <v>0</v>
      </c>
      <c r="L83" s="139"/>
      <c r="M83" s="139" t="str">
        <f>IFERROR(__xludf.DUMMYFUNCTION("""COMPUTED_VALUE"""),"敵単体に自身の攻撃ステータスの100%のダメージ(敵が緑属性の場合は125%のダメージ)")</f>
        <v>敵単体に自身の攻撃ステータスの100%のダメージ(敵が緑属性の場合は125%のダメージ)</v>
      </c>
      <c r="N83" s="139" t="str">
        <f>IFERROR(__xludf.DUMMYFUNCTION("""COMPUTED_VALUE"""),"ステータスUP + 必殺ワザ性能UP")</f>
        <v>ステータスUP + 必殺ワザ性能UP</v>
      </c>
    </row>
    <row r="84">
      <c r="A84" s="139" t="str">
        <f>IFERROR(__xludf.DUMMYFUNCTION("""COMPUTED_VALUE"""),"e")</f>
        <v>e</v>
      </c>
      <c r="B84" s="139">
        <f>IFERROR(__xludf.DUMMYFUNCTION("""COMPUTED_VALUE"""),2.0250901E8)</f>
        <v>202509010</v>
      </c>
      <c r="C84" s="139" t="str">
        <f>IFERROR(__xludf.DUMMYFUNCTION("""COMPUTED_VALUE"""),"chara_jig_00101_Special_00003")</f>
        <v>chara_jig_00101_Special_00003</v>
      </c>
      <c r="D84" s="139" t="str">
        <f>IFERROR(__xludf.DUMMYFUNCTION("""COMPUTED_VALUE"""),"chara_jig_00101")</f>
        <v>chara_jig_00101</v>
      </c>
      <c r="E84" s="139">
        <f>IFERROR(__xludf.DUMMYFUNCTION("""COMPUTED_VALUE"""),3.0)</f>
        <v>3</v>
      </c>
      <c r="F84" s="139" t="str">
        <f>IFERROR(__xludf.DUMMYFUNCTION("""COMPUTED_VALUE"""),"Special")</f>
        <v>Special</v>
      </c>
      <c r="G84" s="139" t="str">
        <f>IFERROR(__xludf.DUMMYFUNCTION("""COMPUTED_VALUE"""),"Green")</f>
        <v>Green</v>
      </c>
      <c r="H84" s="139">
        <f>IFERROR(__xludf.DUMMYFUNCTION("""COMPUTED_VALUE"""),136.0)</f>
        <v>136</v>
      </c>
      <c r="I84" s="139">
        <f>IFERROR(__xludf.DUMMYFUNCTION("""COMPUTED_VALUE"""),125.0)</f>
        <v>125</v>
      </c>
      <c r="J84" s="139">
        <f>IFERROR(__xludf.DUMMYFUNCTION("""COMPUTED_VALUE"""),60.0)</f>
        <v>60</v>
      </c>
      <c r="K84" s="139">
        <f>IFERROR(__xludf.DUMMYFUNCTION("""COMPUTED_VALUE"""),0.0)</f>
        <v>0</v>
      </c>
      <c r="L84" s="139"/>
      <c r="M84" s="139" t="str">
        <f>IFERROR(__xludf.DUMMYFUNCTION("""COMPUTED_VALUE"""),"敵単体に自身の攻撃ステータスの100%のダメージ(敵が緑属性の場合は136%のダメージ)")</f>
        <v>敵単体に自身の攻撃ステータスの100%のダメージ(敵が緑属性の場合は136%のダメージ)</v>
      </c>
      <c r="N84" s="139" t="str">
        <f>IFERROR(__xludf.DUMMYFUNCTION("""COMPUTED_VALUE"""),"ステータスUP + 必殺ワザ性能UP")</f>
        <v>ステータスUP + 必殺ワザ性能UP</v>
      </c>
    </row>
    <row r="85">
      <c r="A85" s="139" t="str">
        <f>IFERROR(__xludf.DUMMYFUNCTION("""COMPUTED_VALUE"""),"e")</f>
        <v>e</v>
      </c>
      <c r="B85" s="139">
        <f>IFERROR(__xludf.DUMMYFUNCTION("""COMPUTED_VALUE"""),2.0250901E8)</f>
        <v>202509010</v>
      </c>
      <c r="C85" s="139" t="str">
        <f>IFERROR(__xludf.DUMMYFUNCTION("""COMPUTED_VALUE"""),"chara_jig_00101_Special_00004")</f>
        <v>chara_jig_00101_Special_00004</v>
      </c>
      <c r="D85" s="139" t="str">
        <f>IFERROR(__xludf.DUMMYFUNCTION("""COMPUTED_VALUE"""),"chara_jig_00101")</f>
        <v>chara_jig_00101</v>
      </c>
      <c r="E85" s="139">
        <f>IFERROR(__xludf.DUMMYFUNCTION("""COMPUTED_VALUE"""),4.0)</f>
        <v>4</v>
      </c>
      <c r="F85" s="139" t="str">
        <f>IFERROR(__xludf.DUMMYFUNCTION("""COMPUTED_VALUE"""),"Special")</f>
        <v>Special</v>
      </c>
      <c r="G85" s="139" t="str">
        <f>IFERROR(__xludf.DUMMYFUNCTION("""COMPUTED_VALUE"""),"Green")</f>
        <v>Green</v>
      </c>
      <c r="H85" s="139">
        <f>IFERROR(__xludf.DUMMYFUNCTION("""COMPUTED_VALUE"""),144.0)</f>
        <v>144</v>
      </c>
      <c r="I85" s="139">
        <f>IFERROR(__xludf.DUMMYFUNCTION("""COMPUTED_VALUE"""),125.0)</f>
        <v>125</v>
      </c>
      <c r="J85" s="139">
        <f>IFERROR(__xludf.DUMMYFUNCTION("""COMPUTED_VALUE"""),60.0)</f>
        <v>60</v>
      </c>
      <c r="K85" s="139">
        <f>IFERROR(__xludf.DUMMYFUNCTION("""COMPUTED_VALUE"""),0.0)</f>
        <v>0</v>
      </c>
      <c r="L85" s="139"/>
      <c r="M85" s="139" t="str">
        <f>IFERROR(__xludf.DUMMYFUNCTION("""COMPUTED_VALUE"""),"敵単体に自身の攻撃ステータスの100%のダメージ(敵が緑属性の場合は144%のダメージ)")</f>
        <v>敵単体に自身の攻撃ステータスの100%のダメージ(敵が緑属性の場合は144%のダメージ)</v>
      </c>
      <c r="N85" s="139" t="str">
        <f>IFERROR(__xludf.DUMMYFUNCTION("""COMPUTED_VALUE"""),"ステータスUP + 必殺ワザ性能UP")</f>
        <v>ステータスUP + 必殺ワザ性能UP</v>
      </c>
    </row>
    <row r="86">
      <c r="A86" s="139" t="str">
        <f>IFERROR(__xludf.DUMMYFUNCTION("""COMPUTED_VALUE"""),"e")</f>
        <v>e</v>
      </c>
      <c r="B86" s="139">
        <f>IFERROR(__xludf.DUMMYFUNCTION("""COMPUTED_VALUE"""),2.0250901E8)</f>
        <v>202509010</v>
      </c>
      <c r="C86" s="139" t="str">
        <f>IFERROR(__xludf.DUMMYFUNCTION("""COMPUTED_VALUE"""),"chara_jig_00101_Special_00005")</f>
        <v>chara_jig_00101_Special_00005</v>
      </c>
      <c r="D86" s="139" t="str">
        <f>IFERROR(__xludf.DUMMYFUNCTION("""COMPUTED_VALUE"""),"chara_jig_00101")</f>
        <v>chara_jig_00101</v>
      </c>
      <c r="E86" s="139">
        <f>IFERROR(__xludf.DUMMYFUNCTION("""COMPUTED_VALUE"""),5.0)</f>
        <v>5</v>
      </c>
      <c r="F86" s="139" t="str">
        <f>IFERROR(__xludf.DUMMYFUNCTION("""COMPUTED_VALUE"""),"Special")</f>
        <v>Special</v>
      </c>
      <c r="G86" s="139" t="str">
        <f>IFERROR(__xludf.DUMMYFUNCTION("""COMPUTED_VALUE"""),"Green")</f>
        <v>Green</v>
      </c>
      <c r="H86" s="139">
        <f>IFERROR(__xludf.DUMMYFUNCTION("""COMPUTED_VALUE"""),150.0)</f>
        <v>150</v>
      </c>
      <c r="I86" s="139">
        <f>IFERROR(__xludf.DUMMYFUNCTION("""COMPUTED_VALUE"""),125.0)</f>
        <v>125</v>
      </c>
      <c r="J86" s="139">
        <f>IFERROR(__xludf.DUMMYFUNCTION("""COMPUTED_VALUE"""),60.0)</f>
        <v>60</v>
      </c>
      <c r="K86" s="139">
        <f>IFERROR(__xludf.DUMMYFUNCTION("""COMPUTED_VALUE"""),0.0)</f>
        <v>0</v>
      </c>
      <c r="L86" s="139"/>
      <c r="M86" s="139" t="str">
        <f>IFERROR(__xludf.DUMMYFUNCTION("""COMPUTED_VALUE"""),"敵単体に自身の攻撃ステータスの100%のダメージ(敵が緑属性の場合は150%のダメージ)")</f>
        <v>敵単体に自身の攻撃ステータスの100%のダメージ(敵が緑属性の場合は150%のダメージ)</v>
      </c>
      <c r="N86" s="139" t="str">
        <f>IFERROR(__xludf.DUMMYFUNCTION("""COMPUTED_VALUE"""),"ステータスUP + 必殺ワザ性能UP")</f>
        <v>ステータスUP + 必殺ワザ性能UP</v>
      </c>
    </row>
    <row r="87">
      <c r="A87" s="139"/>
      <c r="B87" s="139"/>
      <c r="C87" s="139" t="str">
        <f>IFERROR(__xludf.DUMMYFUNCTION("""COMPUTED_VALUE"""),"chara_jig_00101_Special_00006")</f>
        <v>chara_jig_00101_Special_00006</v>
      </c>
      <c r="D87" s="139" t="str">
        <f>IFERROR(__xludf.DUMMYFUNCTION("""COMPUTED_VALUE"""),"chara_jig_00101")</f>
        <v>chara_jig_00101</v>
      </c>
      <c r="E87" s="139">
        <f>IFERROR(__xludf.DUMMYFUNCTION("""COMPUTED_VALUE"""),6.0)</f>
        <v>6</v>
      </c>
      <c r="F87" s="139" t="str">
        <f>IFERROR(__xludf.DUMMYFUNCTION("""COMPUTED_VALUE"""),"Special")</f>
        <v>Special</v>
      </c>
      <c r="G87" s="139" t="str">
        <f>IFERROR(__xludf.DUMMYFUNCTION("""COMPUTED_VALUE"""),"Green")</f>
        <v>Green</v>
      </c>
      <c r="H87" s="139">
        <f>IFERROR(__xludf.DUMMYFUNCTION("""COMPUTED_VALUE"""),170.0)</f>
        <v>170</v>
      </c>
      <c r="I87" s="139">
        <f>IFERROR(__xludf.DUMMYFUNCTION("""COMPUTED_VALUE"""),125.0)</f>
        <v>125</v>
      </c>
      <c r="J87" s="139">
        <f>IFERROR(__xludf.DUMMYFUNCTION("""COMPUTED_VALUE"""),60.0)</f>
        <v>60</v>
      </c>
      <c r="K87" s="139">
        <f>IFERROR(__xludf.DUMMYFUNCTION("""COMPUTED_VALUE"""),0.0)</f>
        <v>0</v>
      </c>
      <c r="L87" s="139"/>
      <c r="M87" s="139"/>
      <c r="N87" s="139"/>
    </row>
    <row r="88">
      <c r="A88" s="139"/>
      <c r="B88" s="139"/>
      <c r="C88" s="139" t="str">
        <f>IFERROR(__xludf.DUMMYFUNCTION("""COMPUTED_VALUE"""),"chara_jig_00101_Special_00007")</f>
        <v>chara_jig_00101_Special_00007</v>
      </c>
      <c r="D88" s="139" t="str">
        <f>IFERROR(__xludf.DUMMYFUNCTION("""COMPUTED_VALUE"""),"chara_jig_00101")</f>
        <v>chara_jig_00101</v>
      </c>
      <c r="E88" s="139">
        <f>IFERROR(__xludf.DUMMYFUNCTION("""COMPUTED_VALUE"""),7.0)</f>
        <v>7</v>
      </c>
      <c r="F88" s="139" t="str">
        <f>IFERROR(__xludf.DUMMYFUNCTION("""COMPUTED_VALUE"""),"Special")</f>
        <v>Special</v>
      </c>
      <c r="G88" s="139" t="str">
        <f>IFERROR(__xludf.DUMMYFUNCTION("""COMPUTED_VALUE"""),"Green")</f>
        <v>Green</v>
      </c>
      <c r="H88" s="139">
        <f>IFERROR(__xludf.DUMMYFUNCTION("""COMPUTED_VALUE"""),170.0)</f>
        <v>170</v>
      </c>
      <c r="I88" s="139">
        <f>IFERROR(__xludf.DUMMYFUNCTION("""COMPUTED_VALUE"""),125.0)</f>
        <v>125</v>
      </c>
      <c r="J88" s="139">
        <f>IFERROR(__xludf.DUMMYFUNCTION("""COMPUTED_VALUE"""),60.0)</f>
        <v>60</v>
      </c>
      <c r="K88" s="139">
        <f>IFERROR(__xludf.DUMMYFUNCTION("""COMPUTED_VALUE"""),0.0)</f>
        <v>0</v>
      </c>
      <c r="L88" s="139"/>
      <c r="M88" s="139"/>
      <c r="N88" s="139"/>
    </row>
    <row r="89">
      <c r="A89" s="139"/>
      <c r="B89" s="139"/>
      <c r="C89" s="139" t="str">
        <f>IFERROR(__xludf.DUMMYFUNCTION("""COMPUTED_VALUE"""),"chara_jig_00101_Special_00008")</f>
        <v>chara_jig_00101_Special_00008</v>
      </c>
      <c r="D89" s="139" t="str">
        <f>IFERROR(__xludf.DUMMYFUNCTION("""COMPUTED_VALUE"""),"chara_jig_00101")</f>
        <v>chara_jig_00101</v>
      </c>
      <c r="E89" s="139">
        <f>IFERROR(__xludf.DUMMYFUNCTION("""COMPUTED_VALUE"""),8.0)</f>
        <v>8</v>
      </c>
      <c r="F89" s="139" t="str">
        <f>IFERROR(__xludf.DUMMYFUNCTION("""COMPUTED_VALUE"""),"Special")</f>
        <v>Special</v>
      </c>
      <c r="G89" s="139" t="str">
        <f>IFERROR(__xludf.DUMMYFUNCTION("""COMPUTED_VALUE"""),"Green")</f>
        <v>Green</v>
      </c>
      <c r="H89" s="139">
        <f>IFERROR(__xludf.DUMMYFUNCTION("""COMPUTED_VALUE"""),170.0)</f>
        <v>170</v>
      </c>
      <c r="I89" s="139">
        <f>IFERROR(__xludf.DUMMYFUNCTION("""COMPUTED_VALUE"""),125.0)</f>
        <v>125</v>
      </c>
      <c r="J89" s="139">
        <f>IFERROR(__xludf.DUMMYFUNCTION("""COMPUTED_VALUE"""),60.0)</f>
        <v>60</v>
      </c>
      <c r="K89" s="139">
        <f>IFERROR(__xludf.DUMMYFUNCTION("""COMPUTED_VALUE"""),0.0)</f>
        <v>0</v>
      </c>
      <c r="L89" s="139"/>
      <c r="M89" s="139"/>
      <c r="N89" s="139"/>
    </row>
    <row r="90">
      <c r="A90" s="139"/>
      <c r="B90" s="139"/>
      <c r="C90" s="139" t="str">
        <f>IFERROR(__xludf.DUMMYFUNCTION("""COMPUTED_VALUE"""),"chara_jig_00101_Special_00009")</f>
        <v>chara_jig_00101_Special_00009</v>
      </c>
      <c r="D90" s="139" t="str">
        <f>IFERROR(__xludf.DUMMYFUNCTION("""COMPUTED_VALUE"""),"chara_jig_00101")</f>
        <v>chara_jig_00101</v>
      </c>
      <c r="E90" s="139">
        <f>IFERROR(__xludf.DUMMYFUNCTION("""COMPUTED_VALUE"""),9.0)</f>
        <v>9</v>
      </c>
      <c r="F90" s="139" t="str">
        <f>IFERROR(__xludf.DUMMYFUNCTION("""COMPUTED_VALUE"""),"Special")</f>
        <v>Special</v>
      </c>
      <c r="G90" s="139" t="str">
        <f>IFERROR(__xludf.DUMMYFUNCTION("""COMPUTED_VALUE"""),"Green")</f>
        <v>Green</v>
      </c>
      <c r="H90" s="139">
        <f>IFERROR(__xludf.DUMMYFUNCTION("""COMPUTED_VALUE"""),170.0)</f>
        <v>170</v>
      </c>
      <c r="I90" s="139">
        <f>IFERROR(__xludf.DUMMYFUNCTION("""COMPUTED_VALUE"""),125.0)</f>
        <v>125</v>
      </c>
      <c r="J90" s="139">
        <f>IFERROR(__xludf.DUMMYFUNCTION("""COMPUTED_VALUE"""),60.0)</f>
        <v>60</v>
      </c>
      <c r="K90" s="139">
        <f>IFERROR(__xludf.DUMMYFUNCTION("""COMPUTED_VALUE"""),0.0)</f>
        <v>0</v>
      </c>
      <c r="L90" s="139"/>
      <c r="M90" s="139"/>
      <c r="N90" s="139"/>
    </row>
    <row r="91">
      <c r="A91" s="139"/>
      <c r="B91" s="139"/>
      <c r="C91" s="139" t="str">
        <f>IFERROR(__xludf.DUMMYFUNCTION("""COMPUTED_VALUE"""),"chara_jig_00101_Special_00010")</f>
        <v>chara_jig_00101_Special_00010</v>
      </c>
      <c r="D91" s="139" t="str">
        <f>IFERROR(__xludf.DUMMYFUNCTION("""COMPUTED_VALUE"""),"chara_jig_00101")</f>
        <v>chara_jig_00101</v>
      </c>
      <c r="E91" s="139">
        <f>IFERROR(__xludf.DUMMYFUNCTION("""COMPUTED_VALUE"""),10.0)</f>
        <v>10</v>
      </c>
      <c r="F91" s="139" t="str">
        <f>IFERROR(__xludf.DUMMYFUNCTION("""COMPUTED_VALUE"""),"Special")</f>
        <v>Special</v>
      </c>
      <c r="G91" s="139" t="str">
        <f>IFERROR(__xludf.DUMMYFUNCTION("""COMPUTED_VALUE"""),"Green")</f>
        <v>Green</v>
      </c>
      <c r="H91" s="139">
        <f>IFERROR(__xludf.DUMMYFUNCTION("""COMPUTED_VALUE"""),170.0)</f>
        <v>170</v>
      </c>
      <c r="I91" s="139">
        <f>IFERROR(__xludf.DUMMYFUNCTION("""COMPUTED_VALUE"""),125.0)</f>
        <v>125</v>
      </c>
      <c r="J91" s="139">
        <f>IFERROR(__xludf.DUMMYFUNCTION("""COMPUTED_VALUE"""),60.0)</f>
        <v>60</v>
      </c>
      <c r="K91" s="139">
        <f>IFERROR(__xludf.DUMMYFUNCTION("""COMPUTED_VALUE"""),0.0)</f>
        <v>0</v>
      </c>
      <c r="L91" s="139"/>
      <c r="M91" s="139"/>
      <c r="N91" s="139"/>
    </row>
    <row r="92">
      <c r="A92" s="139" t="str">
        <f>IFERROR(__xludf.DUMMYFUNCTION("""COMPUTED_VALUE"""),"e")</f>
        <v>e</v>
      </c>
      <c r="B92" s="139">
        <f>IFERROR(__xludf.DUMMYFUNCTION("""COMPUTED_VALUE"""),2.0250901E8)</f>
        <v>202509010</v>
      </c>
      <c r="C92" s="139" t="str">
        <f>IFERROR(__xludf.DUMMYFUNCTION("""COMPUTED_VALUE"""),"chara_jig_00201_Normal_00000")</f>
        <v>chara_jig_00201_Normal_00000</v>
      </c>
      <c r="D92" s="139" t="str">
        <f>IFERROR(__xludf.DUMMYFUNCTION("""COMPUTED_VALUE"""),"chara_jig_00201")</f>
        <v>chara_jig_00201</v>
      </c>
      <c r="E92" s="139">
        <f>IFERROR(__xludf.DUMMYFUNCTION("""COMPUTED_VALUE"""),0.0)</f>
        <v>0</v>
      </c>
      <c r="F92" s="139" t="str">
        <f>IFERROR(__xludf.DUMMYFUNCTION("""COMPUTED_VALUE"""),"Normal")</f>
        <v>Normal</v>
      </c>
      <c r="G92" s="139"/>
      <c r="H92" s="139"/>
      <c r="I92" s="139">
        <f>IFERROR(__xludf.DUMMYFUNCTION("""COMPUTED_VALUE"""),84.0)</f>
        <v>84</v>
      </c>
      <c r="J92" s="139">
        <f>IFERROR(__xludf.DUMMYFUNCTION("""COMPUTED_VALUE"""),50.0)</f>
        <v>50</v>
      </c>
      <c r="K92" s="139">
        <f>IFERROR(__xludf.DUMMYFUNCTION("""COMPUTED_VALUE"""),75.0)</f>
        <v>75</v>
      </c>
      <c r="L92" s="139"/>
      <c r="M92" s="139" t="str">
        <f>IFERROR(__xludf.DUMMYFUNCTION("""COMPUTED_VALUE"""),"表示場所なし")</f>
        <v>表示場所なし</v>
      </c>
      <c r="N92" s="139"/>
    </row>
    <row r="93">
      <c r="A93" s="139" t="str">
        <f>IFERROR(__xludf.DUMMYFUNCTION("""COMPUTED_VALUE"""),"e")</f>
        <v>e</v>
      </c>
      <c r="B93" s="139">
        <f>IFERROR(__xludf.DUMMYFUNCTION("""COMPUTED_VALUE"""),2.0250901E8)</f>
        <v>202509010</v>
      </c>
      <c r="C93" s="139" t="str">
        <f>IFERROR(__xludf.DUMMYFUNCTION("""COMPUTED_VALUE"""),"chara_jig_00201_Special_00001")</f>
        <v>chara_jig_00201_Special_00001</v>
      </c>
      <c r="D93" s="139" t="str">
        <f>IFERROR(__xludf.DUMMYFUNCTION("""COMPUTED_VALUE"""),"chara_jig_00201")</f>
        <v>chara_jig_00201</v>
      </c>
      <c r="E93" s="139">
        <f>IFERROR(__xludf.DUMMYFUNCTION("""COMPUTED_VALUE"""),1.0)</f>
        <v>1</v>
      </c>
      <c r="F93" s="139" t="str">
        <f>IFERROR(__xludf.DUMMYFUNCTION("""COMPUTED_VALUE"""),"Special")</f>
        <v>Special</v>
      </c>
      <c r="G93" s="139"/>
      <c r="H93" s="139"/>
      <c r="I93" s="139">
        <f>IFERROR(__xludf.DUMMYFUNCTION("""COMPUTED_VALUE"""),128.0)</f>
        <v>128</v>
      </c>
      <c r="J93" s="139">
        <f>IFERROR(__xludf.DUMMYFUNCTION("""COMPUTED_VALUE"""),83.0)</f>
        <v>83</v>
      </c>
      <c r="K93" s="139">
        <f>IFERROR(__xludf.DUMMYFUNCTION("""COMPUTED_VALUE"""),0.0)</f>
        <v>0</v>
      </c>
      <c r="L93" s="139"/>
      <c r="M93" s="139" t="str">
        <f>IFERROR(__xludf.DUMMYFUNCTION("""COMPUTED_VALUE"""),"敵複数体に自身の攻撃ステータスの75%ダメージ + 攻撃がヒットした場合、敵を3秒間、最大体力の1%ダメージの毒状態にする")</f>
        <v>敵複数体に自身の攻撃ステータスの75%ダメージ + 攻撃がヒットした場合、敵を3秒間、最大体力の1%ダメージの毒状態にする</v>
      </c>
      <c r="N93" s="139"/>
    </row>
    <row r="94">
      <c r="A94" s="139" t="str">
        <f>IFERROR(__xludf.DUMMYFUNCTION("""COMPUTED_VALUE"""),"e")</f>
        <v>e</v>
      </c>
      <c r="B94" s="139">
        <f>IFERROR(__xludf.DUMMYFUNCTION("""COMPUTED_VALUE"""),2.0250901E8)</f>
        <v>202509010</v>
      </c>
      <c r="C94" s="139" t="str">
        <f>IFERROR(__xludf.DUMMYFUNCTION("""COMPUTED_VALUE"""),"chara_jig_00201_Special_00002")</f>
        <v>chara_jig_00201_Special_00002</v>
      </c>
      <c r="D94" s="139" t="str">
        <f>IFERROR(__xludf.DUMMYFUNCTION("""COMPUTED_VALUE"""),"chara_jig_00201")</f>
        <v>chara_jig_00201</v>
      </c>
      <c r="E94" s="139">
        <f>IFERROR(__xludf.DUMMYFUNCTION("""COMPUTED_VALUE"""),2.0)</f>
        <v>2</v>
      </c>
      <c r="F94" s="139" t="str">
        <f>IFERROR(__xludf.DUMMYFUNCTION("""COMPUTED_VALUE"""),"Special")</f>
        <v>Special</v>
      </c>
      <c r="G94" s="139"/>
      <c r="H94" s="139"/>
      <c r="I94" s="139">
        <f>IFERROR(__xludf.DUMMYFUNCTION("""COMPUTED_VALUE"""),128.0)</f>
        <v>128</v>
      </c>
      <c r="J94" s="139">
        <f>IFERROR(__xludf.DUMMYFUNCTION("""COMPUTED_VALUE"""),83.0)</f>
        <v>83</v>
      </c>
      <c r="K94" s="139">
        <f>IFERROR(__xludf.DUMMYFUNCTION("""COMPUTED_VALUE"""),0.0)</f>
        <v>0</v>
      </c>
      <c r="L94" s="139"/>
      <c r="M94" s="139" t="str">
        <f>IFERROR(__xludf.DUMMYFUNCTION("""COMPUTED_VALUE"""),"敵複数体に自身の攻撃ステータスの75%ダメージ + 攻撃がヒットした場合、敵を3秒間、最大体力の1%ダメージの毒状態にする")</f>
        <v>敵複数体に自身の攻撃ステータスの75%ダメージ + 攻撃がヒットした場合、敵を3秒間、最大体力の1%ダメージの毒状態にする</v>
      </c>
      <c r="N94" s="139" t="str">
        <f>IFERROR(__xludf.DUMMYFUNCTION("""COMPUTED_VALUE"""),"ステータスUP")</f>
        <v>ステータスUP</v>
      </c>
    </row>
    <row r="95">
      <c r="A95" s="139" t="str">
        <f>IFERROR(__xludf.DUMMYFUNCTION("""COMPUTED_VALUE"""),"e")</f>
        <v>e</v>
      </c>
      <c r="B95" s="139">
        <f>IFERROR(__xludf.DUMMYFUNCTION("""COMPUTED_VALUE"""),2.0250901E8)</f>
        <v>202509010</v>
      </c>
      <c r="C95" s="139" t="str">
        <f>IFERROR(__xludf.DUMMYFUNCTION("""COMPUTED_VALUE"""),"chara_jig_00201_Special_00003")</f>
        <v>chara_jig_00201_Special_00003</v>
      </c>
      <c r="D95" s="139" t="str">
        <f>IFERROR(__xludf.DUMMYFUNCTION("""COMPUTED_VALUE"""),"chara_jig_00201")</f>
        <v>chara_jig_00201</v>
      </c>
      <c r="E95" s="139">
        <f>IFERROR(__xludf.DUMMYFUNCTION("""COMPUTED_VALUE"""),3.0)</f>
        <v>3</v>
      </c>
      <c r="F95" s="139" t="str">
        <f>IFERROR(__xludf.DUMMYFUNCTION("""COMPUTED_VALUE"""),"Special")</f>
        <v>Special</v>
      </c>
      <c r="G95" s="139"/>
      <c r="H95" s="139"/>
      <c r="I95" s="139">
        <f>IFERROR(__xludf.DUMMYFUNCTION("""COMPUTED_VALUE"""),128.0)</f>
        <v>128</v>
      </c>
      <c r="J95" s="139">
        <f>IFERROR(__xludf.DUMMYFUNCTION("""COMPUTED_VALUE"""),83.0)</f>
        <v>83</v>
      </c>
      <c r="K95" s="139">
        <f>IFERROR(__xludf.DUMMYFUNCTION("""COMPUTED_VALUE"""),0.0)</f>
        <v>0</v>
      </c>
      <c r="L95" s="139"/>
      <c r="M95" s="139" t="str">
        <f>IFERROR(__xludf.DUMMYFUNCTION("""COMPUTED_VALUE"""),"敵複数体に自身の攻撃ステータスの75%ダメージ + 攻撃がヒットした場合、敵を6秒間、最大体力の1%ダメージの毒状態にする")</f>
        <v>敵複数体に自身の攻撃ステータスの75%ダメージ + 攻撃がヒットした場合、敵を6秒間、最大体力の1%ダメージの毒状態にする</v>
      </c>
      <c r="N95" s="139" t="str">
        <f>IFERROR(__xludf.DUMMYFUNCTION("""COMPUTED_VALUE"""),"ステータスUP + 必殺ワザ性能UP")</f>
        <v>ステータスUP + 必殺ワザ性能UP</v>
      </c>
    </row>
    <row r="96">
      <c r="A96" s="139" t="str">
        <f>IFERROR(__xludf.DUMMYFUNCTION("""COMPUTED_VALUE"""),"e")</f>
        <v>e</v>
      </c>
      <c r="B96" s="139">
        <f>IFERROR(__xludf.DUMMYFUNCTION("""COMPUTED_VALUE"""),2.0250901E8)</f>
        <v>202509010</v>
      </c>
      <c r="C96" s="139" t="str">
        <f>IFERROR(__xludf.DUMMYFUNCTION("""COMPUTED_VALUE"""),"chara_jig_00201_Special_00004")</f>
        <v>chara_jig_00201_Special_00004</v>
      </c>
      <c r="D96" s="139" t="str">
        <f>IFERROR(__xludf.DUMMYFUNCTION("""COMPUTED_VALUE"""),"chara_jig_00201")</f>
        <v>chara_jig_00201</v>
      </c>
      <c r="E96" s="139">
        <f>IFERROR(__xludf.DUMMYFUNCTION("""COMPUTED_VALUE"""),4.0)</f>
        <v>4</v>
      </c>
      <c r="F96" s="139" t="str">
        <f>IFERROR(__xludf.DUMMYFUNCTION("""COMPUTED_VALUE"""),"Special")</f>
        <v>Special</v>
      </c>
      <c r="G96" s="139"/>
      <c r="H96" s="139"/>
      <c r="I96" s="139">
        <f>IFERROR(__xludf.DUMMYFUNCTION("""COMPUTED_VALUE"""),128.0)</f>
        <v>128</v>
      </c>
      <c r="J96" s="139">
        <f>IFERROR(__xludf.DUMMYFUNCTION("""COMPUTED_VALUE"""),83.0)</f>
        <v>83</v>
      </c>
      <c r="K96" s="139">
        <f>IFERROR(__xludf.DUMMYFUNCTION("""COMPUTED_VALUE"""),0.0)</f>
        <v>0</v>
      </c>
      <c r="L96" s="139"/>
      <c r="M96" s="139" t="str">
        <f>IFERROR(__xludf.DUMMYFUNCTION("""COMPUTED_VALUE"""),"敵複数体に自身の攻撃ステータスの75%ダメージ + 攻撃がヒットした場合、敵を6秒間、最大体力の1%ダメージの毒状態にする")</f>
        <v>敵複数体に自身の攻撃ステータスの75%ダメージ + 攻撃がヒットした場合、敵を6秒間、最大体力の1%ダメージの毒状態にする</v>
      </c>
      <c r="N96" s="139" t="str">
        <f>IFERROR(__xludf.DUMMYFUNCTION("""COMPUTED_VALUE"""),"ステータスUP")</f>
        <v>ステータスUP</v>
      </c>
    </row>
    <row r="97">
      <c r="A97" s="139" t="str">
        <f>IFERROR(__xludf.DUMMYFUNCTION("""COMPUTED_VALUE"""),"e")</f>
        <v>e</v>
      </c>
      <c r="B97" s="139">
        <f>IFERROR(__xludf.DUMMYFUNCTION("""COMPUTED_VALUE"""),2.0250901E8)</f>
        <v>202509010</v>
      </c>
      <c r="C97" s="139" t="str">
        <f>IFERROR(__xludf.DUMMYFUNCTION("""COMPUTED_VALUE"""),"chara_jig_00201_Special_00005")</f>
        <v>chara_jig_00201_Special_00005</v>
      </c>
      <c r="D97" s="139" t="str">
        <f>IFERROR(__xludf.DUMMYFUNCTION("""COMPUTED_VALUE"""),"chara_jig_00201")</f>
        <v>chara_jig_00201</v>
      </c>
      <c r="E97" s="139">
        <f>IFERROR(__xludf.DUMMYFUNCTION("""COMPUTED_VALUE"""),5.0)</f>
        <v>5</v>
      </c>
      <c r="F97" s="139" t="str">
        <f>IFERROR(__xludf.DUMMYFUNCTION("""COMPUTED_VALUE"""),"Special")</f>
        <v>Special</v>
      </c>
      <c r="G97" s="139"/>
      <c r="H97" s="139"/>
      <c r="I97" s="139">
        <f>IFERROR(__xludf.DUMMYFUNCTION("""COMPUTED_VALUE"""),128.0)</f>
        <v>128</v>
      </c>
      <c r="J97" s="139">
        <f>IFERROR(__xludf.DUMMYFUNCTION("""COMPUTED_VALUE"""),83.0)</f>
        <v>83</v>
      </c>
      <c r="K97" s="139">
        <f>IFERROR(__xludf.DUMMYFUNCTION("""COMPUTED_VALUE"""),0.0)</f>
        <v>0</v>
      </c>
      <c r="L97" s="139"/>
      <c r="M97" s="139" t="str">
        <f>IFERROR(__xludf.DUMMYFUNCTION("""COMPUTED_VALUE"""),"敵複数体に自身の攻撃ステータスの75%ダメージ + 攻撃がヒットした場合、敵を9秒間、最大体力の1%ダメージの毒状態にする")</f>
        <v>敵複数体に自身の攻撃ステータスの75%ダメージ + 攻撃がヒットした場合、敵を9秒間、最大体力の1%ダメージの毒状態にする</v>
      </c>
      <c r="N97" s="139" t="str">
        <f>IFERROR(__xludf.DUMMYFUNCTION("""COMPUTED_VALUE"""),"ステータスUP + 必殺ワザ性能UP")</f>
        <v>ステータスUP + 必殺ワザ性能UP</v>
      </c>
    </row>
    <row r="98">
      <c r="A98" s="139"/>
      <c r="B98" s="139"/>
      <c r="C98" s="139" t="str">
        <f>IFERROR(__xludf.DUMMYFUNCTION("""COMPUTED_VALUE"""),"chara_jig_00201_Special_00006")</f>
        <v>chara_jig_00201_Special_00006</v>
      </c>
      <c r="D98" s="139" t="str">
        <f>IFERROR(__xludf.DUMMYFUNCTION("""COMPUTED_VALUE"""),"chara_jig_00201")</f>
        <v>chara_jig_00201</v>
      </c>
      <c r="E98" s="139">
        <f>IFERROR(__xludf.DUMMYFUNCTION("""COMPUTED_VALUE"""),6.0)</f>
        <v>6</v>
      </c>
      <c r="F98" s="139" t="str">
        <f>IFERROR(__xludf.DUMMYFUNCTION("""COMPUTED_VALUE"""),"Special")</f>
        <v>Special</v>
      </c>
      <c r="G98" s="139"/>
      <c r="H98" s="139"/>
      <c r="I98" s="139">
        <f>IFERROR(__xludf.DUMMYFUNCTION("""COMPUTED_VALUE"""),128.0)</f>
        <v>128</v>
      </c>
      <c r="J98" s="139">
        <f>IFERROR(__xludf.DUMMYFUNCTION("""COMPUTED_VALUE"""),83.0)</f>
        <v>83</v>
      </c>
      <c r="K98" s="139">
        <f>IFERROR(__xludf.DUMMYFUNCTION("""COMPUTED_VALUE"""),0.0)</f>
        <v>0</v>
      </c>
      <c r="L98" s="139"/>
      <c r="M98" s="139"/>
      <c r="N98" s="139"/>
    </row>
    <row r="99">
      <c r="A99" s="139"/>
      <c r="B99" s="139"/>
      <c r="C99" s="139" t="str">
        <f>IFERROR(__xludf.DUMMYFUNCTION("""COMPUTED_VALUE"""),"chara_jig_00201_Special_00007")</f>
        <v>chara_jig_00201_Special_00007</v>
      </c>
      <c r="D99" s="139" t="str">
        <f>IFERROR(__xludf.DUMMYFUNCTION("""COMPUTED_VALUE"""),"chara_jig_00201")</f>
        <v>chara_jig_00201</v>
      </c>
      <c r="E99" s="139">
        <f>IFERROR(__xludf.DUMMYFUNCTION("""COMPUTED_VALUE"""),7.0)</f>
        <v>7</v>
      </c>
      <c r="F99" s="139" t="str">
        <f>IFERROR(__xludf.DUMMYFUNCTION("""COMPUTED_VALUE"""),"Special")</f>
        <v>Special</v>
      </c>
      <c r="G99" s="139"/>
      <c r="H99" s="139"/>
      <c r="I99" s="139">
        <f>IFERROR(__xludf.DUMMYFUNCTION("""COMPUTED_VALUE"""),128.0)</f>
        <v>128</v>
      </c>
      <c r="J99" s="139">
        <f>IFERROR(__xludf.DUMMYFUNCTION("""COMPUTED_VALUE"""),83.0)</f>
        <v>83</v>
      </c>
      <c r="K99" s="139">
        <f>IFERROR(__xludf.DUMMYFUNCTION("""COMPUTED_VALUE"""),0.0)</f>
        <v>0</v>
      </c>
      <c r="L99" s="139"/>
      <c r="M99" s="139"/>
      <c r="N99" s="139"/>
    </row>
    <row r="100">
      <c r="A100" s="139"/>
      <c r="B100" s="139"/>
      <c r="C100" s="139" t="str">
        <f>IFERROR(__xludf.DUMMYFUNCTION("""COMPUTED_VALUE"""),"chara_jig_00201_Special_00008")</f>
        <v>chara_jig_00201_Special_00008</v>
      </c>
      <c r="D100" s="139" t="str">
        <f>IFERROR(__xludf.DUMMYFUNCTION("""COMPUTED_VALUE"""),"chara_jig_00201")</f>
        <v>chara_jig_00201</v>
      </c>
      <c r="E100" s="139">
        <f>IFERROR(__xludf.DUMMYFUNCTION("""COMPUTED_VALUE"""),8.0)</f>
        <v>8</v>
      </c>
      <c r="F100" s="139" t="str">
        <f>IFERROR(__xludf.DUMMYFUNCTION("""COMPUTED_VALUE"""),"Special")</f>
        <v>Special</v>
      </c>
      <c r="G100" s="139"/>
      <c r="H100" s="139"/>
      <c r="I100" s="139">
        <f>IFERROR(__xludf.DUMMYFUNCTION("""COMPUTED_VALUE"""),128.0)</f>
        <v>128</v>
      </c>
      <c r="J100" s="139">
        <f>IFERROR(__xludf.DUMMYFUNCTION("""COMPUTED_VALUE"""),83.0)</f>
        <v>83</v>
      </c>
      <c r="K100" s="139">
        <f>IFERROR(__xludf.DUMMYFUNCTION("""COMPUTED_VALUE"""),0.0)</f>
        <v>0</v>
      </c>
      <c r="L100" s="139"/>
      <c r="M100" s="139"/>
      <c r="N100" s="139"/>
    </row>
    <row r="101">
      <c r="A101" s="139"/>
      <c r="B101" s="139"/>
      <c r="C101" s="139" t="str">
        <f>IFERROR(__xludf.DUMMYFUNCTION("""COMPUTED_VALUE"""),"chara_jig_00201_Special_00009")</f>
        <v>chara_jig_00201_Special_00009</v>
      </c>
      <c r="D101" s="139" t="str">
        <f>IFERROR(__xludf.DUMMYFUNCTION("""COMPUTED_VALUE"""),"chara_jig_00201")</f>
        <v>chara_jig_00201</v>
      </c>
      <c r="E101" s="139">
        <f>IFERROR(__xludf.DUMMYFUNCTION("""COMPUTED_VALUE"""),9.0)</f>
        <v>9</v>
      </c>
      <c r="F101" s="139" t="str">
        <f>IFERROR(__xludf.DUMMYFUNCTION("""COMPUTED_VALUE"""),"Special")</f>
        <v>Special</v>
      </c>
      <c r="G101" s="139"/>
      <c r="H101" s="139"/>
      <c r="I101" s="139">
        <f>IFERROR(__xludf.DUMMYFUNCTION("""COMPUTED_VALUE"""),128.0)</f>
        <v>128</v>
      </c>
      <c r="J101" s="139">
        <f>IFERROR(__xludf.DUMMYFUNCTION("""COMPUTED_VALUE"""),83.0)</f>
        <v>83</v>
      </c>
      <c r="K101" s="139">
        <f>IFERROR(__xludf.DUMMYFUNCTION("""COMPUTED_VALUE"""),0.0)</f>
        <v>0</v>
      </c>
      <c r="L101" s="139"/>
      <c r="M101" s="139"/>
      <c r="N101" s="139"/>
    </row>
    <row r="102">
      <c r="A102" s="139"/>
      <c r="B102" s="139"/>
      <c r="C102" s="139" t="str">
        <f>IFERROR(__xludf.DUMMYFUNCTION("""COMPUTED_VALUE"""),"chara_jig_00201_Special_00010")</f>
        <v>chara_jig_00201_Special_00010</v>
      </c>
      <c r="D102" s="139" t="str">
        <f>IFERROR(__xludf.DUMMYFUNCTION("""COMPUTED_VALUE"""),"chara_jig_00201")</f>
        <v>chara_jig_00201</v>
      </c>
      <c r="E102" s="139">
        <f>IFERROR(__xludf.DUMMYFUNCTION("""COMPUTED_VALUE"""),10.0)</f>
        <v>10</v>
      </c>
      <c r="F102" s="139" t="str">
        <f>IFERROR(__xludf.DUMMYFUNCTION("""COMPUTED_VALUE"""),"Special")</f>
        <v>Special</v>
      </c>
      <c r="G102" s="139"/>
      <c r="H102" s="139"/>
      <c r="I102" s="139">
        <f>IFERROR(__xludf.DUMMYFUNCTION("""COMPUTED_VALUE"""),128.0)</f>
        <v>128</v>
      </c>
      <c r="J102" s="139">
        <f>IFERROR(__xludf.DUMMYFUNCTION("""COMPUTED_VALUE"""),83.0)</f>
        <v>83</v>
      </c>
      <c r="K102" s="139">
        <f>IFERROR(__xludf.DUMMYFUNCTION("""COMPUTED_VALUE"""),0.0)</f>
        <v>0</v>
      </c>
      <c r="L102" s="139"/>
      <c r="M102" s="139"/>
      <c r="N102" s="139"/>
    </row>
    <row r="103">
      <c r="A103" s="139" t="str">
        <f>IFERROR(__xludf.DUMMYFUNCTION("""COMPUTED_VALUE"""),"e")</f>
        <v>e</v>
      </c>
      <c r="B103" s="139">
        <f>IFERROR(__xludf.DUMMYFUNCTION("""COMPUTED_VALUE"""),2.0250901E8)</f>
        <v>202509010</v>
      </c>
      <c r="C103" s="139" t="str">
        <f>IFERROR(__xludf.DUMMYFUNCTION("""COMPUTED_VALUE"""),"chara_jig_00301_Normal_00000")</f>
        <v>chara_jig_00301_Normal_00000</v>
      </c>
      <c r="D103" s="139" t="str">
        <f>IFERROR(__xludf.DUMMYFUNCTION("""COMPUTED_VALUE"""),"chara_jig_00301")</f>
        <v>chara_jig_00301</v>
      </c>
      <c r="E103" s="139">
        <f>IFERROR(__xludf.DUMMYFUNCTION("""COMPUTED_VALUE"""),0.0)</f>
        <v>0</v>
      </c>
      <c r="F103" s="139" t="str">
        <f>IFERROR(__xludf.DUMMYFUNCTION("""COMPUTED_VALUE"""),"Normal")</f>
        <v>Normal</v>
      </c>
      <c r="G103" s="139"/>
      <c r="H103" s="139"/>
      <c r="I103" s="139">
        <f>IFERROR(__xludf.DUMMYFUNCTION("""COMPUTED_VALUE"""),90.0)</f>
        <v>90</v>
      </c>
      <c r="J103" s="139">
        <f>IFERROR(__xludf.DUMMYFUNCTION("""COMPUTED_VALUE"""),25.0)</f>
        <v>25</v>
      </c>
      <c r="K103" s="139">
        <f>IFERROR(__xludf.DUMMYFUNCTION("""COMPUTED_VALUE"""),95.0)</f>
        <v>95</v>
      </c>
      <c r="L103" s="139"/>
      <c r="M103" s="139" t="str">
        <f>IFERROR(__xludf.DUMMYFUNCTION("""COMPUTED_VALUE"""),"表示場所なし")</f>
        <v>表示場所なし</v>
      </c>
      <c r="N103" s="139"/>
    </row>
    <row r="104">
      <c r="A104" s="139" t="str">
        <f>IFERROR(__xludf.DUMMYFUNCTION("""COMPUTED_VALUE"""),"e")</f>
        <v>e</v>
      </c>
      <c r="B104" s="139">
        <f>IFERROR(__xludf.DUMMYFUNCTION("""COMPUTED_VALUE"""),2.0250901E8)</f>
        <v>202509010</v>
      </c>
      <c r="C104" s="139" t="str">
        <f>IFERROR(__xludf.DUMMYFUNCTION("""COMPUTED_VALUE"""),"chara_jig_00301_Special_00001")</f>
        <v>chara_jig_00301_Special_00001</v>
      </c>
      <c r="D104" s="139" t="str">
        <f>IFERROR(__xludf.DUMMYFUNCTION("""COMPUTED_VALUE"""),"chara_jig_00301")</f>
        <v>chara_jig_00301</v>
      </c>
      <c r="E104" s="139">
        <f>IFERROR(__xludf.DUMMYFUNCTION("""COMPUTED_VALUE"""),1.0)</f>
        <v>1</v>
      </c>
      <c r="F104" s="139" t="str">
        <f>IFERROR(__xludf.DUMMYFUNCTION("""COMPUTED_VALUE"""),"Special")</f>
        <v>Special</v>
      </c>
      <c r="G104" s="139"/>
      <c r="H104" s="139"/>
      <c r="I104" s="139">
        <f>IFERROR(__xludf.DUMMYFUNCTION("""COMPUTED_VALUE"""),117.0)</f>
        <v>117</v>
      </c>
      <c r="J104" s="139">
        <f>IFERROR(__xludf.DUMMYFUNCTION("""COMPUTED_VALUE"""),0.0)</f>
        <v>0</v>
      </c>
      <c r="K104" s="139">
        <f>IFERROR(__xludf.DUMMYFUNCTION("""COMPUTED_VALUE"""),0.0)</f>
        <v>0</v>
      </c>
      <c r="L104" s="139"/>
      <c r="M104" s="139" t="str">
        <f>IFERROR(__xludf.DUMMYFUNCTION("""COMPUTED_VALUE"""),"敵単体に最大5回の連続攻撃(自身の攻撃ステータスの最大140%ダメージ)")</f>
        <v>敵単体に最大5回の連続攻撃(自身の攻撃ステータスの最大140%ダメージ)</v>
      </c>
      <c r="N104" s="139"/>
    </row>
    <row r="105">
      <c r="A105" s="139" t="str">
        <f>IFERROR(__xludf.DUMMYFUNCTION("""COMPUTED_VALUE"""),"e")</f>
        <v>e</v>
      </c>
      <c r="B105" s="139">
        <f>IFERROR(__xludf.DUMMYFUNCTION("""COMPUTED_VALUE"""),2.0250901E8)</f>
        <v>202509010</v>
      </c>
      <c r="C105" s="139" t="str">
        <f>IFERROR(__xludf.DUMMYFUNCTION("""COMPUTED_VALUE"""),"chara_jig_00301_Special_00002")</f>
        <v>chara_jig_00301_Special_00002</v>
      </c>
      <c r="D105" s="139" t="str">
        <f>IFERROR(__xludf.DUMMYFUNCTION("""COMPUTED_VALUE"""),"chara_jig_00301")</f>
        <v>chara_jig_00301</v>
      </c>
      <c r="E105" s="139">
        <f>IFERROR(__xludf.DUMMYFUNCTION("""COMPUTED_VALUE"""),2.0)</f>
        <v>2</v>
      </c>
      <c r="F105" s="139" t="str">
        <f>IFERROR(__xludf.DUMMYFUNCTION("""COMPUTED_VALUE"""),"Special")</f>
        <v>Special</v>
      </c>
      <c r="G105" s="139"/>
      <c r="H105" s="139"/>
      <c r="I105" s="139">
        <f>IFERROR(__xludf.DUMMYFUNCTION("""COMPUTED_VALUE"""),117.0)</f>
        <v>117</v>
      </c>
      <c r="J105" s="139">
        <f>IFERROR(__xludf.DUMMYFUNCTION("""COMPUTED_VALUE"""),0.0)</f>
        <v>0</v>
      </c>
      <c r="K105" s="139">
        <f>IFERROR(__xludf.DUMMYFUNCTION("""COMPUTED_VALUE"""),0.0)</f>
        <v>0</v>
      </c>
      <c r="L105" s="139"/>
      <c r="M105" s="139" t="str">
        <f>IFERROR(__xludf.DUMMYFUNCTION("""COMPUTED_VALUE"""),"敵単体に最大5回の連続攻撃(自身の攻撃ステータスの最大156%ダメージ)")</f>
        <v>敵単体に最大5回の連続攻撃(自身の攻撃ステータスの最大156%ダメージ)</v>
      </c>
      <c r="N105" s="139" t="str">
        <f>IFERROR(__xludf.DUMMYFUNCTION("""COMPUTED_VALUE"""),"ステータスUP + 必殺ワザ性能UP")</f>
        <v>ステータスUP + 必殺ワザ性能UP</v>
      </c>
    </row>
    <row r="106">
      <c r="A106" s="139" t="str">
        <f>IFERROR(__xludf.DUMMYFUNCTION("""COMPUTED_VALUE"""),"e")</f>
        <v>e</v>
      </c>
      <c r="B106" s="139">
        <f>IFERROR(__xludf.DUMMYFUNCTION("""COMPUTED_VALUE"""),2.0250901E8)</f>
        <v>202509010</v>
      </c>
      <c r="C106" s="139" t="str">
        <f>IFERROR(__xludf.DUMMYFUNCTION("""COMPUTED_VALUE"""),"chara_jig_00301_Special_00003")</f>
        <v>chara_jig_00301_Special_00003</v>
      </c>
      <c r="D106" s="139" t="str">
        <f>IFERROR(__xludf.DUMMYFUNCTION("""COMPUTED_VALUE"""),"chara_jig_00301")</f>
        <v>chara_jig_00301</v>
      </c>
      <c r="E106" s="139">
        <f>IFERROR(__xludf.DUMMYFUNCTION("""COMPUTED_VALUE"""),3.0)</f>
        <v>3</v>
      </c>
      <c r="F106" s="139" t="str">
        <f>IFERROR(__xludf.DUMMYFUNCTION("""COMPUTED_VALUE"""),"Special")</f>
        <v>Special</v>
      </c>
      <c r="G106" s="139"/>
      <c r="H106" s="139"/>
      <c r="I106" s="139">
        <f>IFERROR(__xludf.DUMMYFUNCTION("""COMPUTED_VALUE"""),117.0)</f>
        <v>117</v>
      </c>
      <c r="J106" s="139">
        <f>IFERROR(__xludf.DUMMYFUNCTION("""COMPUTED_VALUE"""),0.0)</f>
        <v>0</v>
      </c>
      <c r="K106" s="139">
        <f>IFERROR(__xludf.DUMMYFUNCTION("""COMPUTED_VALUE"""),0.0)</f>
        <v>0</v>
      </c>
      <c r="L106" s="139"/>
      <c r="M106" s="139" t="str">
        <f>IFERROR(__xludf.DUMMYFUNCTION("""COMPUTED_VALUE"""),"敵単体に最大5回の連続攻撃(自身の攻撃ステータスの最大167%ダメージ)")</f>
        <v>敵単体に最大5回の連続攻撃(自身の攻撃ステータスの最大167%ダメージ)</v>
      </c>
      <c r="N106" s="139" t="str">
        <f>IFERROR(__xludf.DUMMYFUNCTION("""COMPUTED_VALUE"""),"ステータスUP + 必殺ワザ性能UP")</f>
        <v>ステータスUP + 必殺ワザ性能UP</v>
      </c>
    </row>
    <row r="107">
      <c r="A107" s="139" t="str">
        <f>IFERROR(__xludf.DUMMYFUNCTION("""COMPUTED_VALUE"""),"e")</f>
        <v>e</v>
      </c>
      <c r="B107" s="139">
        <f>IFERROR(__xludf.DUMMYFUNCTION("""COMPUTED_VALUE"""),2.0250901E8)</f>
        <v>202509010</v>
      </c>
      <c r="C107" s="139" t="str">
        <f>IFERROR(__xludf.DUMMYFUNCTION("""COMPUTED_VALUE"""),"chara_jig_00301_Special_00004")</f>
        <v>chara_jig_00301_Special_00004</v>
      </c>
      <c r="D107" s="139" t="str">
        <f>IFERROR(__xludf.DUMMYFUNCTION("""COMPUTED_VALUE"""),"chara_jig_00301")</f>
        <v>chara_jig_00301</v>
      </c>
      <c r="E107" s="139">
        <f>IFERROR(__xludf.DUMMYFUNCTION("""COMPUTED_VALUE"""),4.0)</f>
        <v>4</v>
      </c>
      <c r="F107" s="139" t="str">
        <f>IFERROR(__xludf.DUMMYFUNCTION("""COMPUTED_VALUE"""),"Special")</f>
        <v>Special</v>
      </c>
      <c r="G107" s="139"/>
      <c r="H107" s="139"/>
      <c r="I107" s="139">
        <f>IFERROR(__xludf.DUMMYFUNCTION("""COMPUTED_VALUE"""),117.0)</f>
        <v>117</v>
      </c>
      <c r="J107" s="139">
        <f>IFERROR(__xludf.DUMMYFUNCTION("""COMPUTED_VALUE"""),0.0)</f>
        <v>0</v>
      </c>
      <c r="K107" s="139">
        <f>IFERROR(__xludf.DUMMYFUNCTION("""COMPUTED_VALUE"""),0.0)</f>
        <v>0</v>
      </c>
      <c r="L107" s="139"/>
      <c r="M107" s="139" t="str">
        <f>IFERROR(__xludf.DUMMYFUNCTION("""COMPUTED_VALUE"""),"敵単体に最大5回の連続攻撃(自身の攻撃ステータスの最大175%ダメージ)")</f>
        <v>敵単体に最大5回の連続攻撃(自身の攻撃ステータスの最大175%ダメージ)</v>
      </c>
      <c r="N107" s="139" t="str">
        <f>IFERROR(__xludf.DUMMYFUNCTION("""COMPUTED_VALUE"""),"ステータスUP + 必殺ワザ性能UP")</f>
        <v>ステータスUP + 必殺ワザ性能UP</v>
      </c>
    </row>
    <row r="108">
      <c r="A108" s="139" t="str">
        <f>IFERROR(__xludf.DUMMYFUNCTION("""COMPUTED_VALUE"""),"e")</f>
        <v>e</v>
      </c>
      <c r="B108" s="139">
        <f>IFERROR(__xludf.DUMMYFUNCTION("""COMPUTED_VALUE"""),2.0250901E8)</f>
        <v>202509010</v>
      </c>
      <c r="C108" s="139" t="str">
        <f>IFERROR(__xludf.DUMMYFUNCTION("""COMPUTED_VALUE"""),"chara_jig_00301_Special_00005")</f>
        <v>chara_jig_00301_Special_00005</v>
      </c>
      <c r="D108" s="139" t="str">
        <f>IFERROR(__xludf.DUMMYFUNCTION("""COMPUTED_VALUE"""),"chara_jig_00301")</f>
        <v>chara_jig_00301</v>
      </c>
      <c r="E108" s="139">
        <f>IFERROR(__xludf.DUMMYFUNCTION("""COMPUTED_VALUE"""),5.0)</f>
        <v>5</v>
      </c>
      <c r="F108" s="139" t="str">
        <f>IFERROR(__xludf.DUMMYFUNCTION("""COMPUTED_VALUE"""),"Special")</f>
        <v>Special</v>
      </c>
      <c r="G108" s="139"/>
      <c r="H108" s="139"/>
      <c r="I108" s="139">
        <f>IFERROR(__xludf.DUMMYFUNCTION("""COMPUTED_VALUE"""),117.0)</f>
        <v>117</v>
      </c>
      <c r="J108" s="139">
        <f>IFERROR(__xludf.DUMMYFUNCTION("""COMPUTED_VALUE"""),0.0)</f>
        <v>0</v>
      </c>
      <c r="K108" s="139">
        <f>IFERROR(__xludf.DUMMYFUNCTION("""COMPUTED_VALUE"""),0.0)</f>
        <v>0</v>
      </c>
      <c r="L108" s="139"/>
      <c r="M108" s="139" t="str">
        <f>IFERROR(__xludf.DUMMYFUNCTION("""COMPUTED_VALUE"""),"敵単体に最大5回の連続攻撃(自身の攻撃ステータスの最大180%ダメージ)")</f>
        <v>敵単体に最大5回の連続攻撃(自身の攻撃ステータスの最大180%ダメージ)</v>
      </c>
      <c r="N108" s="139" t="str">
        <f>IFERROR(__xludf.DUMMYFUNCTION("""COMPUTED_VALUE"""),"ステータスUP + 必殺ワザ性能UP")</f>
        <v>ステータスUP + 必殺ワザ性能UP</v>
      </c>
    </row>
    <row r="109">
      <c r="A109" s="139"/>
      <c r="B109" s="139"/>
      <c r="C109" s="139" t="str">
        <f>IFERROR(__xludf.DUMMYFUNCTION("""COMPUTED_VALUE"""),"chara_jig_00301_Special_00006")</f>
        <v>chara_jig_00301_Special_00006</v>
      </c>
      <c r="D109" s="139" t="str">
        <f>IFERROR(__xludf.DUMMYFUNCTION("""COMPUTED_VALUE"""),"chara_jig_00301")</f>
        <v>chara_jig_00301</v>
      </c>
      <c r="E109" s="139">
        <f>IFERROR(__xludf.DUMMYFUNCTION("""COMPUTED_VALUE"""),6.0)</f>
        <v>6</v>
      </c>
      <c r="F109" s="139" t="str">
        <f>IFERROR(__xludf.DUMMYFUNCTION("""COMPUTED_VALUE"""),"Special")</f>
        <v>Special</v>
      </c>
      <c r="G109" s="139"/>
      <c r="H109" s="139"/>
      <c r="I109" s="139">
        <f>IFERROR(__xludf.DUMMYFUNCTION("""COMPUTED_VALUE"""),108.0)</f>
        <v>108</v>
      </c>
      <c r="J109" s="139">
        <f>IFERROR(__xludf.DUMMYFUNCTION("""COMPUTED_VALUE"""),0.0)</f>
        <v>0</v>
      </c>
      <c r="K109" s="139">
        <f>IFERROR(__xludf.DUMMYFUNCTION("""COMPUTED_VALUE"""),0.0)</f>
        <v>0</v>
      </c>
      <c r="L109" s="139"/>
      <c r="M109" s="139"/>
      <c r="N109" s="139"/>
    </row>
    <row r="110">
      <c r="A110" s="139"/>
      <c r="B110" s="139"/>
      <c r="C110" s="139" t="str">
        <f>IFERROR(__xludf.DUMMYFUNCTION("""COMPUTED_VALUE"""),"chara_jig_00301_Special_00007")</f>
        <v>chara_jig_00301_Special_00007</v>
      </c>
      <c r="D110" s="139" t="str">
        <f>IFERROR(__xludf.DUMMYFUNCTION("""COMPUTED_VALUE"""),"chara_jig_00301")</f>
        <v>chara_jig_00301</v>
      </c>
      <c r="E110" s="139">
        <f>IFERROR(__xludf.DUMMYFUNCTION("""COMPUTED_VALUE"""),7.0)</f>
        <v>7</v>
      </c>
      <c r="F110" s="139" t="str">
        <f>IFERROR(__xludf.DUMMYFUNCTION("""COMPUTED_VALUE"""),"Special")</f>
        <v>Special</v>
      </c>
      <c r="G110" s="139"/>
      <c r="H110" s="139"/>
      <c r="I110" s="139">
        <f>IFERROR(__xludf.DUMMYFUNCTION("""COMPUTED_VALUE"""),108.0)</f>
        <v>108</v>
      </c>
      <c r="J110" s="139">
        <f>IFERROR(__xludf.DUMMYFUNCTION("""COMPUTED_VALUE"""),0.0)</f>
        <v>0</v>
      </c>
      <c r="K110" s="139">
        <f>IFERROR(__xludf.DUMMYFUNCTION("""COMPUTED_VALUE"""),0.0)</f>
        <v>0</v>
      </c>
      <c r="L110" s="139"/>
      <c r="M110" s="139"/>
      <c r="N110" s="139"/>
    </row>
    <row r="111">
      <c r="A111" s="139"/>
      <c r="B111" s="139"/>
      <c r="C111" s="139" t="str">
        <f>IFERROR(__xludf.DUMMYFUNCTION("""COMPUTED_VALUE"""),"chara_jig_00301_Special_00008")</f>
        <v>chara_jig_00301_Special_00008</v>
      </c>
      <c r="D111" s="139" t="str">
        <f>IFERROR(__xludf.DUMMYFUNCTION("""COMPUTED_VALUE"""),"chara_jig_00301")</f>
        <v>chara_jig_00301</v>
      </c>
      <c r="E111" s="139">
        <f>IFERROR(__xludf.DUMMYFUNCTION("""COMPUTED_VALUE"""),8.0)</f>
        <v>8</v>
      </c>
      <c r="F111" s="139" t="str">
        <f>IFERROR(__xludf.DUMMYFUNCTION("""COMPUTED_VALUE"""),"Special")</f>
        <v>Special</v>
      </c>
      <c r="G111" s="139"/>
      <c r="H111" s="139"/>
      <c r="I111" s="139">
        <f>IFERROR(__xludf.DUMMYFUNCTION("""COMPUTED_VALUE"""),108.0)</f>
        <v>108</v>
      </c>
      <c r="J111" s="139">
        <f>IFERROR(__xludf.DUMMYFUNCTION("""COMPUTED_VALUE"""),0.0)</f>
        <v>0</v>
      </c>
      <c r="K111" s="139">
        <f>IFERROR(__xludf.DUMMYFUNCTION("""COMPUTED_VALUE"""),0.0)</f>
        <v>0</v>
      </c>
      <c r="L111" s="139"/>
      <c r="M111" s="139"/>
      <c r="N111" s="139"/>
    </row>
    <row r="112">
      <c r="A112" s="139"/>
      <c r="B112" s="139"/>
      <c r="C112" s="139" t="str">
        <f>IFERROR(__xludf.DUMMYFUNCTION("""COMPUTED_VALUE"""),"chara_jig_00301_Special_00009")</f>
        <v>chara_jig_00301_Special_00009</v>
      </c>
      <c r="D112" s="139" t="str">
        <f>IFERROR(__xludf.DUMMYFUNCTION("""COMPUTED_VALUE"""),"chara_jig_00301")</f>
        <v>chara_jig_00301</v>
      </c>
      <c r="E112" s="139">
        <f>IFERROR(__xludf.DUMMYFUNCTION("""COMPUTED_VALUE"""),9.0)</f>
        <v>9</v>
      </c>
      <c r="F112" s="139" t="str">
        <f>IFERROR(__xludf.DUMMYFUNCTION("""COMPUTED_VALUE"""),"Special")</f>
        <v>Special</v>
      </c>
      <c r="G112" s="139"/>
      <c r="H112" s="139"/>
      <c r="I112" s="139">
        <f>IFERROR(__xludf.DUMMYFUNCTION("""COMPUTED_VALUE"""),108.0)</f>
        <v>108</v>
      </c>
      <c r="J112" s="139">
        <f>IFERROR(__xludf.DUMMYFUNCTION("""COMPUTED_VALUE"""),0.0)</f>
        <v>0</v>
      </c>
      <c r="K112" s="139">
        <f>IFERROR(__xludf.DUMMYFUNCTION("""COMPUTED_VALUE"""),0.0)</f>
        <v>0</v>
      </c>
      <c r="L112" s="139"/>
      <c r="M112" s="139"/>
      <c r="N112" s="139"/>
    </row>
    <row r="113">
      <c r="A113" s="139"/>
      <c r="B113" s="139"/>
      <c r="C113" s="139" t="str">
        <f>IFERROR(__xludf.DUMMYFUNCTION("""COMPUTED_VALUE"""),"chara_jig_00301_Special_00010")</f>
        <v>chara_jig_00301_Special_00010</v>
      </c>
      <c r="D113" s="139" t="str">
        <f>IFERROR(__xludf.DUMMYFUNCTION("""COMPUTED_VALUE"""),"chara_jig_00301")</f>
        <v>chara_jig_00301</v>
      </c>
      <c r="E113" s="139">
        <f>IFERROR(__xludf.DUMMYFUNCTION("""COMPUTED_VALUE"""),10.0)</f>
        <v>10</v>
      </c>
      <c r="F113" s="139" t="str">
        <f>IFERROR(__xludf.DUMMYFUNCTION("""COMPUTED_VALUE"""),"Special")</f>
        <v>Special</v>
      </c>
      <c r="G113" s="139"/>
      <c r="H113" s="139"/>
      <c r="I113" s="139">
        <f>IFERROR(__xludf.DUMMYFUNCTION("""COMPUTED_VALUE"""),108.0)</f>
        <v>108</v>
      </c>
      <c r="J113" s="139">
        <f>IFERROR(__xludf.DUMMYFUNCTION("""COMPUTED_VALUE"""),0.0)</f>
        <v>0</v>
      </c>
      <c r="K113" s="139">
        <f>IFERROR(__xludf.DUMMYFUNCTION("""COMPUTED_VALUE"""),0.0)</f>
        <v>0</v>
      </c>
      <c r="L113" s="139"/>
      <c r="M113" s="139"/>
      <c r="N113" s="139"/>
    </row>
    <row r="114">
      <c r="A114" s="139" t="str">
        <f>IFERROR(__xludf.DUMMYFUNCTION("""COMPUTED_VALUE"""),"e")</f>
        <v>e</v>
      </c>
      <c r="B114" s="139">
        <f>IFERROR(__xludf.DUMMYFUNCTION("""COMPUTED_VALUE"""),2.0250901E8)</f>
        <v>202509010</v>
      </c>
      <c r="C114" s="139" t="str">
        <f>IFERROR(__xludf.DUMMYFUNCTION("""COMPUTED_VALUE"""),"chara_sur_00001_Normal_00000")</f>
        <v>chara_sur_00001_Normal_00000</v>
      </c>
      <c r="D114" s="139" t="str">
        <f>IFERROR(__xludf.DUMMYFUNCTION("""COMPUTED_VALUE"""),"chara_sur_00001")</f>
        <v>chara_sur_00001</v>
      </c>
      <c r="E114" s="139">
        <f>IFERROR(__xludf.DUMMYFUNCTION("""COMPUTED_VALUE"""),0.0)</f>
        <v>0</v>
      </c>
      <c r="F114" s="139" t="str">
        <f>IFERROR(__xludf.DUMMYFUNCTION("""COMPUTED_VALUE"""),"Normal")</f>
        <v>Normal</v>
      </c>
      <c r="G114" s="139"/>
      <c r="H114" s="139"/>
      <c r="I114" s="139">
        <f>IFERROR(__xludf.DUMMYFUNCTION("""COMPUTED_VALUE"""),59.0)</f>
        <v>59</v>
      </c>
      <c r="J114" s="139">
        <f>IFERROR(__xludf.DUMMYFUNCTION("""COMPUTED_VALUE"""),15.0)</f>
        <v>15</v>
      </c>
      <c r="K114" s="139">
        <f>IFERROR(__xludf.DUMMYFUNCTION("""COMPUTED_VALUE"""),75.0)</f>
        <v>75</v>
      </c>
      <c r="L114" s="139"/>
      <c r="M114" s="139" t="str">
        <f>IFERROR(__xludf.DUMMYFUNCTION("""COMPUTED_VALUE"""),"表示場所なし")</f>
        <v>表示場所なし</v>
      </c>
      <c r="N114" s="139"/>
    </row>
    <row r="115">
      <c r="A115" s="139" t="str">
        <f>IFERROR(__xludf.DUMMYFUNCTION("""COMPUTED_VALUE"""),"e")</f>
        <v>e</v>
      </c>
      <c r="B115" s="139">
        <f>IFERROR(__xludf.DUMMYFUNCTION("""COMPUTED_VALUE"""),2.0250901E8)</f>
        <v>202509010</v>
      </c>
      <c r="C115" s="139" t="str">
        <f>IFERROR(__xludf.DUMMYFUNCTION("""COMPUTED_VALUE"""),"chara_sur_00001_Special_00001")</f>
        <v>chara_sur_00001_Special_00001</v>
      </c>
      <c r="D115" s="139" t="str">
        <f>IFERROR(__xludf.DUMMYFUNCTION("""COMPUTED_VALUE"""),"chara_sur_00001")</f>
        <v>chara_sur_00001</v>
      </c>
      <c r="E115" s="139">
        <f>IFERROR(__xludf.DUMMYFUNCTION("""COMPUTED_VALUE"""),1.0)</f>
        <v>1</v>
      </c>
      <c r="F115" s="139" t="str">
        <f>IFERROR(__xludf.DUMMYFUNCTION("""COMPUTED_VALUE"""),"Special")</f>
        <v>Special</v>
      </c>
      <c r="G115" s="139"/>
      <c r="H115" s="139"/>
      <c r="I115" s="139">
        <f>IFERROR(__xludf.DUMMYFUNCTION("""COMPUTED_VALUE"""),140.0)</f>
        <v>140</v>
      </c>
      <c r="J115" s="139">
        <f>IFERROR(__xludf.DUMMYFUNCTION("""COMPUTED_VALUE"""),100.0)</f>
        <v>100</v>
      </c>
      <c r="K115" s="139">
        <f>IFERROR(__xludf.DUMMYFUNCTION("""COMPUTED_VALUE"""),0.0)</f>
        <v>0</v>
      </c>
      <c r="L115" s="139"/>
      <c r="M115" s="139" t="str">
        <f>IFERROR(__xludf.DUMMYFUNCTION("""COMPUTED_VALUE"""),"自身と同じコマにいる緑属性の味方と自身の攻撃を3秒間、20%UP")</f>
        <v>自身と同じコマにいる緑属性の味方と自身の攻撃を3秒間、20%UP</v>
      </c>
      <c r="N115" s="139"/>
    </row>
    <row r="116">
      <c r="A116" s="139" t="str">
        <f>IFERROR(__xludf.DUMMYFUNCTION("""COMPUTED_VALUE"""),"e")</f>
        <v>e</v>
      </c>
      <c r="B116" s="139">
        <f>IFERROR(__xludf.DUMMYFUNCTION("""COMPUTED_VALUE"""),2.0250901E8)</f>
        <v>202509010</v>
      </c>
      <c r="C116" s="139" t="str">
        <f>IFERROR(__xludf.DUMMYFUNCTION("""COMPUTED_VALUE"""),"chara_sur_00001_Special_00002")</f>
        <v>chara_sur_00001_Special_00002</v>
      </c>
      <c r="D116" s="139" t="str">
        <f>IFERROR(__xludf.DUMMYFUNCTION("""COMPUTED_VALUE"""),"chara_sur_00001")</f>
        <v>chara_sur_00001</v>
      </c>
      <c r="E116" s="139">
        <f>IFERROR(__xludf.DUMMYFUNCTION("""COMPUTED_VALUE"""),2.0)</f>
        <v>2</v>
      </c>
      <c r="F116" s="139" t="str">
        <f>IFERROR(__xludf.DUMMYFUNCTION("""COMPUTED_VALUE"""),"Special")</f>
        <v>Special</v>
      </c>
      <c r="G116" s="139"/>
      <c r="H116" s="139"/>
      <c r="I116" s="139">
        <f>IFERROR(__xludf.DUMMYFUNCTION("""COMPUTED_VALUE"""),140.0)</f>
        <v>140</v>
      </c>
      <c r="J116" s="139">
        <f>IFERROR(__xludf.DUMMYFUNCTION("""COMPUTED_VALUE"""),100.0)</f>
        <v>100</v>
      </c>
      <c r="K116" s="139">
        <f>IFERROR(__xludf.DUMMYFUNCTION("""COMPUTED_VALUE"""),0.0)</f>
        <v>0</v>
      </c>
      <c r="L116" s="139"/>
      <c r="M116" s="139" t="str">
        <f>IFERROR(__xludf.DUMMYFUNCTION("""COMPUTED_VALUE"""),"自身と同じコマにいる緑属性の味方と自身の攻撃を3.5秒間、22%UP")</f>
        <v>自身と同じコマにいる緑属性の味方と自身の攻撃を3.5秒間、22%UP</v>
      </c>
      <c r="N116" s="139" t="str">
        <f>IFERROR(__xludf.DUMMYFUNCTION("""COMPUTED_VALUE"""),"ステータスUP + 必殺ワザ性能UP")</f>
        <v>ステータスUP + 必殺ワザ性能UP</v>
      </c>
    </row>
    <row r="117">
      <c r="A117" s="139" t="str">
        <f>IFERROR(__xludf.DUMMYFUNCTION("""COMPUTED_VALUE"""),"e")</f>
        <v>e</v>
      </c>
      <c r="B117" s="139">
        <f>IFERROR(__xludf.DUMMYFUNCTION("""COMPUTED_VALUE"""),2.0250901E8)</f>
        <v>202509010</v>
      </c>
      <c r="C117" s="139" t="str">
        <f>IFERROR(__xludf.DUMMYFUNCTION("""COMPUTED_VALUE"""),"chara_sur_00001_Special_00003")</f>
        <v>chara_sur_00001_Special_00003</v>
      </c>
      <c r="D117" s="139" t="str">
        <f>IFERROR(__xludf.DUMMYFUNCTION("""COMPUTED_VALUE"""),"chara_sur_00001")</f>
        <v>chara_sur_00001</v>
      </c>
      <c r="E117" s="139">
        <f>IFERROR(__xludf.DUMMYFUNCTION("""COMPUTED_VALUE"""),3.0)</f>
        <v>3</v>
      </c>
      <c r="F117" s="139" t="str">
        <f>IFERROR(__xludf.DUMMYFUNCTION("""COMPUTED_VALUE"""),"Special")</f>
        <v>Special</v>
      </c>
      <c r="G117" s="139"/>
      <c r="H117" s="139"/>
      <c r="I117" s="139">
        <f>IFERROR(__xludf.DUMMYFUNCTION("""COMPUTED_VALUE"""),140.0)</f>
        <v>140</v>
      </c>
      <c r="J117" s="139">
        <f>IFERROR(__xludf.DUMMYFUNCTION("""COMPUTED_VALUE"""),100.0)</f>
        <v>100</v>
      </c>
      <c r="K117" s="139">
        <f>IFERROR(__xludf.DUMMYFUNCTION("""COMPUTED_VALUE"""),0.0)</f>
        <v>0</v>
      </c>
      <c r="L117" s="139"/>
      <c r="M117" s="139" t="str">
        <f>IFERROR(__xludf.DUMMYFUNCTION("""COMPUTED_VALUE"""),"自身と同じコマにいる緑属性の味方と自身の攻撃を3.7秒間、23%UP")</f>
        <v>自身と同じコマにいる緑属性の味方と自身の攻撃を3.7秒間、23%UP</v>
      </c>
      <c r="N117" s="139" t="str">
        <f>IFERROR(__xludf.DUMMYFUNCTION("""COMPUTED_VALUE"""),"ステータスUP + 必殺ワザ性能UP")</f>
        <v>ステータスUP + 必殺ワザ性能UP</v>
      </c>
    </row>
    <row r="118">
      <c r="A118" s="139" t="str">
        <f>IFERROR(__xludf.DUMMYFUNCTION("""COMPUTED_VALUE"""),"e")</f>
        <v>e</v>
      </c>
      <c r="B118" s="139">
        <f>IFERROR(__xludf.DUMMYFUNCTION("""COMPUTED_VALUE"""),2.0250901E8)</f>
        <v>202509010</v>
      </c>
      <c r="C118" s="139" t="str">
        <f>IFERROR(__xludf.DUMMYFUNCTION("""COMPUTED_VALUE"""),"chara_sur_00001_Special_00004")</f>
        <v>chara_sur_00001_Special_00004</v>
      </c>
      <c r="D118" s="139" t="str">
        <f>IFERROR(__xludf.DUMMYFUNCTION("""COMPUTED_VALUE"""),"chara_sur_00001")</f>
        <v>chara_sur_00001</v>
      </c>
      <c r="E118" s="139">
        <f>IFERROR(__xludf.DUMMYFUNCTION("""COMPUTED_VALUE"""),4.0)</f>
        <v>4</v>
      </c>
      <c r="F118" s="139" t="str">
        <f>IFERROR(__xludf.DUMMYFUNCTION("""COMPUTED_VALUE"""),"Special")</f>
        <v>Special</v>
      </c>
      <c r="G118" s="139"/>
      <c r="H118" s="139"/>
      <c r="I118" s="139">
        <f>IFERROR(__xludf.DUMMYFUNCTION("""COMPUTED_VALUE"""),140.0)</f>
        <v>140</v>
      </c>
      <c r="J118" s="139">
        <f>IFERROR(__xludf.DUMMYFUNCTION("""COMPUTED_VALUE"""),100.0)</f>
        <v>100</v>
      </c>
      <c r="K118" s="139">
        <f>IFERROR(__xludf.DUMMYFUNCTION("""COMPUTED_VALUE"""),0.0)</f>
        <v>0</v>
      </c>
      <c r="L118" s="139"/>
      <c r="M118" s="139" t="str">
        <f>IFERROR(__xludf.DUMMYFUNCTION("""COMPUTED_VALUE"""),"自身と同じコマにいる緑属性の味方と自身の攻撃を3.9秒間、23%UP")</f>
        <v>自身と同じコマにいる緑属性の味方と自身の攻撃を3.9秒間、23%UP</v>
      </c>
      <c r="N118" s="139" t="str">
        <f>IFERROR(__xludf.DUMMYFUNCTION("""COMPUTED_VALUE"""),"ステータスUP + 必殺ワザ性能UP")</f>
        <v>ステータスUP + 必殺ワザ性能UP</v>
      </c>
    </row>
    <row r="119">
      <c r="A119" s="139" t="str">
        <f>IFERROR(__xludf.DUMMYFUNCTION("""COMPUTED_VALUE"""),"e")</f>
        <v>e</v>
      </c>
      <c r="B119" s="139">
        <f>IFERROR(__xludf.DUMMYFUNCTION("""COMPUTED_VALUE"""),2.0250901E8)</f>
        <v>202509010</v>
      </c>
      <c r="C119" s="139" t="str">
        <f>IFERROR(__xludf.DUMMYFUNCTION("""COMPUTED_VALUE"""),"chara_sur_00001_Special_00005")</f>
        <v>chara_sur_00001_Special_00005</v>
      </c>
      <c r="D119" s="139" t="str">
        <f>IFERROR(__xludf.DUMMYFUNCTION("""COMPUTED_VALUE"""),"chara_sur_00001")</f>
        <v>chara_sur_00001</v>
      </c>
      <c r="E119" s="139">
        <f>IFERROR(__xludf.DUMMYFUNCTION("""COMPUTED_VALUE"""),5.0)</f>
        <v>5</v>
      </c>
      <c r="F119" s="139" t="str">
        <f>IFERROR(__xludf.DUMMYFUNCTION("""COMPUTED_VALUE"""),"Special")</f>
        <v>Special</v>
      </c>
      <c r="G119" s="139"/>
      <c r="H119" s="139"/>
      <c r="I119" s="139">
        <f>IFERROR(__xludf.DUMMYFUNCTION("""COMPUTED_VALUE"""),140.0)</f>
        <v>140</v>
      </c>
      <c r="J119" s="139">
        <f>IFERROR(__xludf.DUMMYFUNCTION("""COMPUTED_VALUE"""),100.0)</f>
        <v>100</v>
      </c>
      <c r="K119" s="139">
        <f>IFERROR(__xludf.DUMMYFUNCTION("""COMPUTED_VALUE"""),0.0)</f>
        <v>0</v>
      </c>
      <c r="L119" s="139"/>
      <c r="M119" s="139" t="str">
        <f>IFERROR(__xludf.DUMMYFUNCTION("""COMPUTED_VALUE"""),"自身と同じコマにいる緑属性の味方と自身の攻撃を3.9秒間、24%UP")</f>
        <v>自身と同じコマにいる緑属性の味方と自身の攻撃を3.9秒間、24%UP</v>
      </c>
      <c r="N119" s="139" t="str">
        <f>IFERROR(__xludf.DUMMYFUNCTION("""COMPUTED_VALUE"""),"ステータスUP + 必殺ワザ性能UP")</f>
        <v>ステータスUP + 必殺ワザ性能UP</v>
      </c>
    </row>
    <row r="120">
      <c r="A120" s="139"/>
      <c r="B120" s="139"/>
      <c r="C120" s="139" t="str">
        <f>IFERROR(__xludf.DUMMYFUNCTION("""COMPUTED_VALUE"""),"chara_sur_00001_Special_00006")</f>
        <v>chara_sur_00001_Special_00006</v>
      </c>
      <c r="D120" s="139" t="str">
        <f>IFERROR(__xludf.DUMMYFUNCTION("""COMPUTED_VALUE"""),"chara_sur_00001")</f>
        <v>chara_sur_00001</v>
      </c>
      <c r="E120" s="139">
        <f>IFERROR(__xludf.DUMMYFUNCTION("""COMPUTED_VALUE"""),6.0)</f>
        <v>6</v>
      </c>
      <c r="F120" s="139" t="str">
        <f>IFERROR(__xludf.DUMMYFUNCTION("""COMPUTED_VALUE"""),"Special")</f>
        <v>Special</v>
      </c>
      <c r="G120" s="139"/>
      <c r="H120" s="139"/>
      <c r="I120" s="139">
        <f>IFERROR(__xludf.DUMMYFUNCTION("""COMPUTED_VALUE"""),140.0)</f>
        <v>140</v>
      </c>
      <c r="J120" s="139">
        <f>IFERROR(__xludf.DUMMYFUNCTION("""COMPUTED_VALUE"""),100.0)</f>
        <v>100</v>
      </c>
      <c r="K120" s="139">
        <f>IFERROR(__xludf.DUMMYFUNCTION("""COMPUTED_VALUE"""),0.0)</f>
        <v>0</v>
      </c>
      <c r="L120" s="139"/>
      <c r="M120" s="139"/>
      <c r="N120" s="139"/>
    </row>
    <row r="121">
      <c r="A121" s="139"/>
      <c r="B121" s="139"/>
      <c r="C121" s="139" t="str">
        <f>IFERROR(__xludf.DUMMYFUNCTION("""COMPUTED_VALUE"""),"chara_sur_00001_Special_00007")</f>
        <v>chara_sur_00001_Special_00007</v>
      </c>
      <c r="D121" s="139" t="str">
        <f>IFERROR(__xludf.DUMMYFUNCTION("""COMPUTED_VALUE"""),"chara_sur_00001")</f>
        <v>chara_sur_00001</v>
      </c>
      <c r="E121" s="139">
        <f>IFERROR(__xludf.DUMMYFUNCTION("""COMPUTED_VALUE"""),7.0)</f>
        <v>7</v>
      </c>
      <c r="F121" s="139" t="str">
        <f>IFERROR(__xludf.DUMMYFUNCTION("""COMPUTED_VALUE"""),"Special")</f>
        <v>Special</v>
      </c>
      <c r="G121" s="139"/>
      <c r="H121" s="139"/>
      <c r="I121" s="139">
        <f>IFERROR(__xludf.DUMMYFUNCTION("""COMPUTED_VALUE"""),140.0)</f>
        <v>140</v>
      </c>
      <c r="J121" s="139">
        <f>IFERROR(__xludf.DUMMYFUNCTION("""COMPUTED_VALUE"""),100.0)</f>
        <v>100</v>
      </c>
      <c r="K121" s="139">
        <f>IFERROR(__xludf.DUMMYFUNCTION("""COMPUTED_VALUE"""),0.0)</f>
        <v>0</v>
      </c>
      <c r="L121" s="139"/>
      <c r="M121" s="139"/>
      <c r="N121" s="139"/>
    </row>
    <row r="122">
      <c r="A122" s="139"/>
      <c r="B122" s="139"/>
      <c r="C122" s="139" t="str">
        <f>IFERROR(__xludf.DUMMYFUNCTION("""COMPUTED_VALUE"""),"chara_sur_00001_Special_00008")</f>
        <v>chara_sur_00001_Special_00008</v>
      </c>
      <c r="D122" s="139" t="str">
        <f>IFERROR(__xludf.DUMMYFUNCTION("""COMPUTED_VALUE"""),"chara_sur_00001")</f>
        <v>chara_sur_00001</v>
      </c>
      <c r="E122" s="139">
        <f>IFERROR(__xludf.DUMMYFUNCTION("""COMPUTED_VALUE"""),8.0)</f>
        <v>8</v>
      </c>
      <c r="F122" s="139" t="str">
        <f>IFERROR(__xludf.DUMMYFUNCTION("""COMPUTED_VALUE"""),"Special")</f>
        <v>Special</v>
      </c>
      <c r="G122" s="139"/>
      <c r="H122" s="139"/>
      <c r="I122" s="139">
        <f>IFERROR(__xludf.DUMMYFUNCTION("""COMPUTED_VALUE"""),140.0)</f>
        <v>140</v>
      </c>
      <c r="J122" s="139">
        <f>IFERROR(__xludf.DUMMYFUNCTION("""COMPUTED_VALUE"""),100.0)</f>
        <v>100</v>
      </c>
      <c r="K122" s="139">
        <f>IFERROR(__xludf.DUMMYFUNCTION("""COMPUTED_VALUE"""),0.0)</f>
        <v>0</v>
      </c>
      <c r="L122" s="139"/>
      <c r="M122" s="139"/>
      <c r="N122" s="139"/>
    </row>
    <row r="123">
      <c r="A123" s="139"/>
      <c r="B123" s="139"/>
      <c r="C123" s="139" t="str">
        <f>IFERROR(__xludf.DUMMYFUNCTION("""COMPUTED_VALUE"""),"chara_sur_00001_Special_00009")</f>
        <v>chara_sur_00001_Special_00009</v>
      </c>
      <c r="D123" s="139" t="str">
        <f>IFERROR(__xludf.DUMMYFUNCTION("""COMPUTED_VALUE"""),"chara_sur_00001")</f>
        <v>chara_sur_00001</v>
      </c>
      <c r="E123" s="139">
        <f>IFERROR(__xludf.DUMMYFUNCTION("""COMPUTED_VALUE"""),9.0)</f>
        <v>9</v>
      </c>
      <c r="F123" s="139" t="str">
        <f>IFERROR(__xludf.DUMMYFUNCTION("""COMPUTED_VALUE"""),"Special")</f>
        <v>Special</v>
      </c>
      <c r="G123" s="139"/>
      <c r="H123" s="139"/>
      <c r="I123" s="139">
        <f>IFERROR(__xludf.DUMMYFUNCTION("""COMPUTED_VALUE"""),140.0)</f>
        <v>140</v>
      </c>
      <c r="J123" s="139">
        <f>IFERROR(__xludf.DUMMYFUNCTION("""COMPUTED_VALUE"""),100.0)</f>
        <v>100</v>
      </c>
      <c r="K123" s="139">
        <f>IFERROR(__xludf.DUMMYFUNCTION("""COMPUTED_VALUE"""),0.0)</f>
        <v>0</v>
      </c>
      <c r="L123" s="139"/>
      <c r="M123" s="139"/>
      <c r="N123" s="139"/>
    </row>
    <row r="124">
      <c r="A124" s="139"/>
      <c r="B124" s="139"/>
      <c r="C124" s="139" t="str">
        <f>IFERROR(__xludf.DUMMYFUNCTION("""COMPUTED_VALUE"""),"chara_sur_00001_Special_00010")</f>
        <v>chara_sur_00001_Special_00010</v>
      </c>
      <c r="D124" s="139" t="str">
        <f>IFERROR(__xludf.DUMMYFUNCTION("""COMPUTED_VALUE"""),"chara_sur_00001")</f>
        <v>chara_sur_00001</v>
      </c>
      <c r="E124" s="139">
        <f>IFERROR(__xludf.DUMMYFUNCTION("""COMPUTED_VALUE"""),10.0)</f>
        <v>10</v>
      </c>
      <c r="F124" s="139" t="str">
        <f>IFERROR(__xludf.DUMMYFUNCTION("""COMPUTED_VALUE"""),"Special")</f>
        <v>Special</v>
      </c>
      <c r="G124" s="139"/>
      <c r="H124" s="139"/>
      <c r="I124" s="139">
        <f>IFERROR(__xludf.DUMMYFUNCTION("""COMPUTED_VALUE"""),140.0)</f>
        <v>140</v>
      </c>
      <c r="J124" s="139">
        <f>IFERROR(__xludf.DUMMYFUNCTION("""COMPUTED_VALUE"""),100.0)</f>
        <v>100</v>
      </c>
      <c r="K124" s="139">
        <f>IFERROR(__xludf.DUMMYFUNCTION("""COMPUTED_VALUE"""),0.0)</f>
        <v>0</v>
      </c>
      <c r="L124" s="139"/>
      <c r="M124" s="139"/>
      <c r="N124" s="139"/>
    </row>
    <row r="125">
      <c r="A125" s="139" t="str">
        <f>IFERROR(__xludf.DUMMYFUNCTION("""COMPUTED_VALUE"""),"e")</f>
        <v>e</v>
      </c>
      <c r="B125" s="139">
        <f>IFERROR(__xludf.DUMMYFUNCTION("""COMPUTED_VALUE"""),2.0250901E8)</f>
        <v>202509010</v>
      </c>
      <c r="C125" s="139" t="str">
        <f>IFERROR(__xludf.DUMMYFUNCTION("""COMPUTED_VALUE"""),"chara_kai_00101_Normal_00000")</f>
        <v>chara_kai_00101_Normal_00000</v>
      </c>
      <c r="D125" s="139" t="str">
        <f>IFERROR(__xludf.DUMMYFUNCTION("""COMPUTED_VALUE"""),"chara_kai_00101")</f>
        <v>chara_kai_00101</v>
      </c>
      <c r="E125" s="139">
        <f>IFERROR(__xludf.DUMMYFUNCTION("""COMPUTED_VALUE"""),0.0)</f>
        <v>0</v>
      </c>
      <c r="F125" s="139" t="str">
        <f>IFERROR(__xludf.DUMMYFUNCTION("""COMPUTED_VALUE"""),"Normal")</f>
        <v>Normal</v>
      </c>
      <c r="G125" s="139"/>
      <c r="H125" s="139"/>
      <c r="I125" s="139">
        <f>IFERROR(__xludf.DUMMYFUNCTION("""COMPUTED_VALUE"""),70.0)</f>
        <v>70</v>
      </c>
      <c r="J125" s="139">
        <f>IFERROR(__xludf.DUMMYFUNCTION("""COMPUTED_VALUE"""),46.0)</f>
        <v>46</v>
      </c>
      <c r="K125" s="139">
        <f>IFERROR(__xludf.DUMMYFUNCTION("""COMPUTED_VALUE"""),130.0)</f>
        <v>130</v>
      </c>
      <c r="L125" s="139"/>
      <c r="M125" s="139" t="str">
        <f>IFERROR(__xludf.DUMMYFUNCTION("""COMPUTED_VALUE"""),"表示場所なし")</f>
        <v>表示場所なし</v>
      </c>
      <c r="N125" s="139"/>
    </row>
    <row r="126">
      <c r="A126" s="139" t="str">
        <f>IFERROR(__xludf.DUMMYFUNCTION("""COMPUTED_VALUE"""),"e")</f>
        <v>e</v>
      </c>
      <c r="B126" s="139">
        <f>IFERROR(__xludf.DUMMYFUNCTION("""COMPUTED_VALUE"""),2.0250901E8)</f>
        <v>202509010</v>
      </c>
      <c r="C126" s="139" t="str">
        <f>IFERROR(__xludf.DUMMYFUNCTION("""COMPUTED_VALUE"""),"chara_kai_00101_Special_00001")</f>
        <v>chara_kai_00101_Special_00001</v>
      </c>
      <c r="D126" s="139" t="str">
        <f>IFERROR(__xludf.DUMMYFUNCTION("""COMPUTED_VALUE"""),"chara_kai_00101")</f>
        <v>chara_kai_00101</v>
      </c>
      <c r="E126" s="139">
        <f>IFERROR(__xludf.DUMMYFUNCTION("""COMPUTED_VALUE"""),1.0)</f>
        <v>1</v>
      </c>
      <c r="F126" s="139" t="str">
        <f>IFERROR(__xludf.DUMMYFUNCTION("""COMPUTED_VALUE"""),"Special")</f>
        <v>Special</v>
      </c>
      <c r="G126" s="139"/>
      <c r="H126" s="139"/>
      <c r="I126" s="139">
        <f>IFERROR(__xludf.DUMMYFUNCTION("""COMPUTED_VALUE"""),159.0)</f>
        <v>159</v>
      </c>
      <c r="J126" s="139">
        <f>IFERROR(__xludf.DUMMYFUNCTION("""COMPUTED_VALUE"""),0.0)</f>
        <v>0</v>
      </c>
      <c r="K126" s="139">
        <f>IFERROR(__xludf.DUMMYFUNCTION("""COMPUTED_VALUE"""),0.0)</f>
        <v>0</v>
      </c>
      <c r="L126" s="139"/>
      <c r="M126" s="139" t="str">
        <f>IFERROR(__xludf.DUMMYFUNCTION("""COMPUTED_VALUE"""),"敵単体に最大3回の連続攻撃(自身の攻撃ステータスの最大140%ダメージ) + 1回目の攻撃がヒットした場合、敵を1秒間、氷結状態にする")</f>
        <v>敵単体に最大3回の連続攻撃(自身の攻撃ステータスの最大140%ダメージ) + 1回目の攻撃がヒットした場合、敵を1秒間、氷結状態にする</v>
      </c>
      <c r="N126" s="139"/>
    </row>
    <row r="127">
      <c r="A127" s="139" t="str">
        <f>IFERROR(__xludf.DUMMYFUNCTION("""COMPUTED_VALUE"""),"e")</f>
        <v>e</v>
      </c>
      <c r="B127" s="139">
        <f>IFERROR(__xludf.DUMMYFUNCTION("""COMPUTED_VALUE"""),2.0250901E8)</f>
        <v>202509010</v>
      </c>
      <c r="C127" s="139" t="str">
        <f>IFERROR(__xludf.DUMMYFUNCTION("""COMPUTED_VALUE"""),"chara_kai_00101_Special_00002")</f>
        <v>chara_kai_00101_Special_00002</v>
      </c>
      <c r="D127" s="139" t="str">
        <f>IFERROR(__xludf.DUMMYFUNCTION("""COMPUTED_VALUE"""),"chara_kai_00101")</f>
        <v>chara_kai_00101</v>
      </c>
      <c r="E127" s="139">
        <f>IFERROR(__xludf.DUMMYFUNCTION("""COMPUTED_VALUE"""),2.0)</f>
        <v>2</v>
      </c>
      <c r="F127" s="139" t="str">
        <f>IFERROR(__xludf.DUMMYFUNCTION("""COMPUTED_VALUE"""),"Special")</f>
        <v>Special</v>
      </c>
      <c r="G127" s="139"/>
      <c r="H127" s="139"/>
      <c r="I127" s="139">
        <f>IFERROR(__xludf.DUMMYFUNCTION("""COMPUTED_VALUE"""),159.0)</f>
        <v>159</v>
      </c>
      <c r="J127" s="139">
        <f>IFERROR(__xludf.DUMMYFUNCTION("""COMPUTED_VALUE"""),0.0)</f>
        <v>0</v>
      </c>
      <c r="K127" s="139">
        <f>IFERROR(__xludf.DUMMYFUNCTION("""COMPUTED_VALUE"""),0.0)</f>
        <v>0</v>
      </c>
      <c r="L127" s="139"/>
      <c r="M127" s="139" t="str">
        <f>IFERROR(__xludf.DUMMYFUNCTION("""COMPUTED_VALUE"""),"敵単体に最大3回の連続攻撃(自身の攻撃ステータスの最大156%ダメージ) + 1回目の攻撃がヒットした場合、敵を1.1秒間、氷結状態にする")</f>
        <v>敵単体に最大3回の連続攻撃(自身の攻撃ステータスの最大156%ダメージ) + 1回目の攻撃がヒットした場合、敵を1.1秒間、氷結状態にする</v>
      </c>
      <c r="N127" s="139" t="str">
        <f>IFERROR(__xludf.DUMMYFUNCTION("""COMPUTED_VALUE"""),"ステータスUP + 必殺ワザ性能UP")</f>
        <v>ステータスUP + 必殺ワザ性能UP</v>
      </c>
    </row>
    <row r="128">
      <c r="A128" s="139" t="str">
        <f>IFERROR(__xludf.DUMMYFUNCTION("""COMPUTED_VALUE"""),"e")</f>
        <v>e</v>
      </c>
      <c r="B128" s="139">
        <f>IFERROR(__xludf.DUMMYFUNCTION("""COMPUTED_VALUE"""),2.0250901E8)</f>
        <v>202509010</v>
      </c>
      <c r="C128" s="139" t="str">
        <f>IFERROR(__xludf.DUMMYFUNCTION("""COMPUTED_VALUE"""),"chara_kai_00101_Special_00003")</f>
        <v>chara_kai_00101_Special_00003</v>
      </c>
      <c r="D128" s="139" t="str">
        <f>IFERROR(__xludf.DUMMYFUNCTION("""COMPUTED_VALUE"""),"chara_kai_00101")</f>
        <v>chara_kai_00101</v>
      </c>
      <c r="E128" s="139">
        <f>IFERROR(__xludf.DUMMYFUNCTION("""COMPUTED_VALUE"""),3.0)</f>
        <v>3</v>
      </c>
      <c r="F128" s="139" t="str">
        <f>IFERROR(__xludf.DUMMYFUNCTION("""COMPUTED_VALUE"""),"Special")</f>
        <v>Special</v>
      </c>
      <c r="G128" s="139"/>
      <c r="H128" s="139"/>
      <c r="I128" s="139">
        <f>IFERROR(__xludf.DUMMYFUNCTION("""COMPUTED_VALUE"""),159.0)</f>
        <v>159</v>
      </c>
      <c r="J128" s="139">
        <f>IFERROR(__xludf.DUMMYFUNCTION("""COMPUTED_VALUE"""),0.0)</f>
        <v>0</v>
      </c>
      <c r="K128" s="139">
        <f>IFERROR(__xludf.DUMMYFUNCTION("""COMPUTED_VALUE"""),0.0)</f>
        <v>0</v>
      </c>
      <c r="L128" s="139"/>
      <c r="M128" s="139" t="str">
        <f>IFERROR(__xludf.DUMMYFUNCTION("""COMPUTED_VALUE"""),"敵単体に最大3回の連続攻撃(自身の攻撃ステータスの最大167%ダメージ) + 1回目の攻撃がヒットした場合、敵を1.1秒間、氷結状態にする")</f>
        <v>敵単体に最大3回の連続攻撃(自身の攻撃ステータスの最大167%ダメージ) + 1回目の攻撃がヒットした場合、敵を1.1秒間、氷結状態にする</v>
      </c>
      <c r="N128" s="139" t="str">
        <f>IFERROR(__xludf.DUMMYFUNCTION("""COMPUTED_VALUE"""),"ステータスUP + 必殺ワザ性能UP")</f>
        <v>ステータスUP + 必殺ワザ性能UP</v>
      </c>
    </row>
    <row r="129">
      <c r="A129" s="139" t="str">
        <f>IFERROR(__xludf.DUMMYFUNCTION("""COMPUTED_VALUE"""),"e")</f>
        <v>e</v>
      </c>
      <c r="B129" s="139">
        <f>IFERROR(__xludf.DUMMYFUNCTION("""COMPUTED_VALUE"""),2.0250901E8)</f>
        <v>202509010</v>
      </c>
      <c r="C129" s="139" t="str">
        <f>IFERROR(__xludf.DUMMYFUNCTION("""COMPUTED_VALUE"""),"chara_kai_00101_Special_00004")</f>
        <v>chara_kai_00101_Special_00004</v>
      </c>
      <c r="D129" s="139" t="str">
        <f>IFERROR(__xludf.DUMMYFUNCTION("""COMPUTED_VALUE"""),"chara_kai_00101")</f>
        <v>chara_kai_00101</v>
      </c>
      <c r="E129" s="139">
        <f>IFERROR(__xludf.DUMMYFUNCTION("""COMPUTED_VALUE"""),4.0)</f>
        <v>4</v>
      </c>
      <c r="F129" s="139" t="str">
        <f>IFERROR(__xludf.DUMMYFUNCTION("""COMPUTED_VALUE"""),"Special")</f>
        <v>Special</v>
      </c>
      <c r="G129" s="139"/>
      <c r="H129" s="139"/>
      <c r="I129" s="139">
        <f>IFERROR(__xludf.DUMMYFUNCTION("""COMPUTED_VALUE"""),159.0)</f>
        <v>159</v>
      </c>
      <c r="J129" s="139">
        <f>IFERROR(__xludf.DUMMYFUNCTION("""COMPUTED_VALUE"""),0.0)</f>
        <v>0</v>
      </c>
      <c r="K129" s="139">
        <f>IFERROR(__xludf.DUMMYFUNCTION("""COMPUTED_VALUE"""),0.0)</f>
        <v>0</v>
      </c>
      <c r="L129" s="139"/>
      <c r="M129" s="139" t="str">
        <f>IFERROR(__xludf.DUMMYFUNCTION("""COMPUTED_VALUE"""),"敵単体に最大3回の連続攻撃(自身の攻撃ステータスの最大175%ダメージ) + 1回目の攻撃がヒットした場合、敵を1.2秒間、氷結状態にする")</f>
        <v>敵単体に最大3回の連続攻撃(自身の攻撃ステータスの最大175%ダメージ) + 1回目の攻撃がヒットした場合、敵を1.2秒間、氷結状態にする</v>
      </c>
      <c r="N129" s="139" t="str">
        <f>IFERROR(__xludf.DUMMYFUNCTION("""COMPUTED_VALUE"""),"ステータスUP + 必殺ワザ性能UP")</f>
        <v>ステータスUP + 必殺ワザ性能UP</v>
      </c>
    </row>
    <row r="130">
      <c r="A130" s="139" t="str">
        <f>IFERROR(__xludf.DUMMYFUNCTION("""COMPUTED_VALUE"""),"e")</f>
        <v>e</v>
      </c>
      <c r="B130" s="139">
        <f>IFERROR(__xludf.DUMMYFUNCTION("""COMPUTED_VALUE"""),2.0250901E8)</f>
        <v>202509010</v>
      </c>
      <c r="C130" s="139" t="str">
        <f>IFERROR(__xludf.DUMMYFUNCTION("""COMPUTED_VALUE"""),"chara_kai_00101_Special_00005")</f>
        <v>chara_kai_00101_Special_00005</v>
      </c>
      <c r="D130" s="139" t="str">
        <f>IFERROR(__xludf.DUMMYFUNCTION("""COMPUTED_VALUE"""),"chara_kai_00101")</f>
        <v>chara_kai_00101</v>
      </c>
      <c r="E130" s="139">
        <f>IFERROR(__xludf.DUMMYFUNCTION("""COMPUTED_VALUE"""),5.0)</f>
        <v>5</v>
      </c>
      <c r="F130" s="139" t="str">
        <f>IFERROR(__xludf.DUMMYFUNCTION("""COMPUTED_VALUE"""),"Special")</f>
        <v>Special</v>
      </c>
      <c r="G130" s="139"/>
      <c r="H130" s="139"/>
      <c r="I130" s="139">
        <f>IFERROR(__xludf.DUMMYFUNCTION("""COMPUTED_VALUE"""),159.0)</f>
        <v>159</v>
      </c>
      <c r="J130" s="139">
        <f>IFERROR(__xludf.DUMMYFUNCTION("""COMPUTED_VALUE"""),0.0)</f>
        <v>0</v>
      </c>
      <c r="K130" s="139">
        <f>IFERROR(__xludf.DUMMYFUNCTION("""COMPUTED_VALUE"""),0.0)</f>
        <v>0</v>
      </c>
      <c r="L130" s="139"/>
      <c r="M130" s="139" t="str">
        <f>IFERROR(__xludf.DUMMYFUNCTION("""COMPUTED_VALUE"""),"敵単体に最大3回の連続攻撃(自身の攻撃ステータスの最大180%ダメージ) + 1回目の攻撃がヒットした場合、敵を1.3秒間、氷結状態にする")</f>
        <v>敵単体に最大3回の連続攻撃(自身の攻撃ステータスの最大180%ダメージ) + 1回目の攻撃がヒットした場合、敵を1.3秒間、氷結状態にする</v>
      </c>
      <c r="N130" s="139" t="str">
        <f>IFERROR(__xludf.DUMMYFUNCTION("""COMPUTED_VALUE"""),"ステータスUP + 必殺ワザ性能UP")</f>
        <v>ステータスUP + 必殺ワザ性能UP</v>
      </c>
    </row>
    <row r="131">
      <c r="A131" s="139"/>
      <c r="B131" s="139"/>
      <c r="C131" s="139" t="str">
        <f>IFERROR(__xludf.DUMMYFUNCTION("""COMPUTED_VALUE"""),"chara_kai_00101_Special_00006")</f>
        <v>chara_kai_00101_Special_00006</v>
      </c>
      <c r="D131" s="139" t="str">
        <f>IFERROR(__xludf.DUMMYFUNCTION("""COMPUTED_VALUE"""),"chara_kai_00101")</f>
        <v>chara_kai_00101</v>
      </c>
      <c r="E131" s="139">
        <f>IFERROR(__xludf.DUMMYFUNCTION("""COMPUTED_VALUE"""),6.0)</f>
        <v>6</v>
      </c>
      <c r="F131" s="139" t="str">
        <f>IFERROR(__xludf.DUMMYFUNCTION("""COMPUTED_VALUE"""),"Special")</f>
        <v>Special</v>
      </c>
      <c r="G131" s="139"/>
      <c r="H131" s="139"/>
      <c r="I131" s="139">
        <f>IFERROR(__xludf.DUMMYFUNCTION("""COMPUTED_VALUE"""),159.0)</f>
        <v>159</v>
      </c>
      <c r="J131" s="139">
        <f>IFERROR(__xludf.DUMMYFUNCTION("""COMPUTED_VALUE"""),0.0)</f>
        <v>0</v>
      </c>
      <c r="K131" s="139">
        <f>IFERROR(__xludf.DUMMYFUNCTION("""COMPUTED_VALUE"""),0.0)</f>
        <v>0</v>
      </c>
      <c r="L131" s="139"/>
      <c r="M131" s="139"/>
      <c r="N131" s="139"/>
    </row>
    <row r="132">
      <c r="A132" s="139"/>
      <c r="B132" s="139"/>
      <c r="C132" s="139" t="str">
        <f>IFERROR(__xludf.DUMMYFUNCTION("""COMPUTED_VALUE"""),"chara_kai_00101_Special_00007")</f>
        <v>chara_kai_00101_Special_00007</v>
      </c>
      <c r="D132" s="139" t="str">
        <f>IFERROR(__xludf.DUMMYFUNCTION("""COMPUTED_VALUE"""),"chara_kai_00101")</f>
        <v>chara_kai_00101</v>
      </c>
      <c r="E132" s="139">
        <f>IFERROR(__xludf.DUMMYFUNCTION("""COMPUTED_VALUE"""),7.0)</f>
        <v>7</v>
      </c>
      <c r="F132" s="139" t="str">
        <f>IFERROR(__xludf.DUMMYFUNCTION("""COMPUTED_VALUE"""),"Special")</f>
        <v>Special</v>
      </c>
      <c r="G132" s="139"/>
      <c r="H132" s="139"/>
      <c r="I132" s="139">
        <f>IFERROR(__xludf.DUMMYFUNCTION("""COMPUTED_VALUE"""),159.0)</f>
        <v>159</v>
      </c>
      <c r="J132" s="139">
        <f>IFERROR(__xludf.DUMMYFUNCTION("""COMPUTED_VALUE"""),0.0)</f>
        <v>0</v>
      </c>
      <c r="K132" s="139">
        <f>IFERROR(__xludf.DUMMYFUNCTION("""COMPUTED_VALUE"""),0.0)</f>
        <v>0</v>
      </c>
      <c r="L132" s="139"/>
      <c r="M132" s="139"/>
      <c r="N132" s="139"/>
    </row>
    <row r="133">
      <c r="A133" s="139"/>
      <c r="B133" s="139"/>
      <c r="C133" s="139" t="str">
        <f>IFERROR(__xludf.DUMMYFUNCTION("""COMPUTED_VALUE"""),"chara_kai_00101_Special_00008")</f>
        <v>chara_kai_00101_Special_00008</v>
      </c>
      <c r="D133" s="139" t="str">
        <f>IFERROR(__xludf.DUMMYFUNCTION("""COMPUTED_VALUE"""),"chara_kai_00101")</f>
        <v>chara_kai_00101</v>
      </c>
      <c r="E133" s="139">
        <f>IFERROR(__xludf.DUMMYFUNCTION("""COMPUTED_VALUE"""),8.0)</f>
        <v>8</v>
      </c>
      <c r="F133" s="139" t="str">
        <f>IFERROR(__xludf.DUMMYFUNCTION("""COMPUTED_VALUE"""),"Special")</f>
        <v>Special</v>
      </c>
      <c r="G133" s="139"/>
      <c r="H133" s="139"/>
      <c r="I133" s="139">
        <f>IFERROR(__xludf.DUMMYFUNCTION("""COMPUTED_VALUE"""),159.0)</f>
        <v>159</v>
      </c>
      <c r="J133" s="139">
        <f>IFERROR(__xludf.DUMMYFUNCTION("""COMPUTED_VALUE"""),0.0)</f>
        <v>0</v>
      </c>
      <c r="K133" s="139">
        <f>IFERROR(__xludf.DUMMYFUNCTION("""COMPUTED_VALUE"""),0.0)</f>
        <v>0</v>
      </c>
      <c r="L133" s="139"/>
      <c r="M133" s="139"/>
      <c r="N133" s="139"/>
    </row>
    <row r="134">
      <c r="A134" s="139"/>
      <c r="B134" s="139"/>
      <c r="C134" s="139" t="str">
        <f>IFERROR(__xludf.DUMMYFUNCTION("""COMPUTED_VALUE"""),"chara_kai_00101_Special_00009")</f>
        <v>chara_kai_00101_Special_00009</v>
      </c>
      <c r="D134" s="139" t="str">
        <f>IFERROR(__xludf.DUMMYFUNCTION("""COMPUTED_VALUE"""),"chara_kai_00101")</f>
        <v>chara_kai_00101</v>
      </c>
      <c r="E134" s="139">
        <f>IFERROR(__xludf.DUMMYFUNCTION("""COMPUTED_VALUE"""),9.0)</f>
        <v>9</v>
      </c>
      <c r="F134" s="139" t="str">
        <f>IFERROR(__xludf.DUMMYFUNCTION("""COMPUTED_VALUE"""),"Special")</f>
        <v>Special</v>
      </c>
      <c r="G134" s="139"/>
      <c r="H134" s="139"/>
      <c r="I134" s="139">
        <f>IFERROR(__xludf.DUMMYFUNCTION("""COMPUTED_VALUE"""),159.0)</f>
        <v>159</v>
      </c>
      <c r="J134" s="139">
        <f>IFERROR(__xludf.DUMMYFUNCTION("""COMPUTED_VALUE"""),0.0)</f>
        <v>0</v>
      </c>
      <c r="K134" s="139">
        <f>IFERROR(__xludf.DUMMYFUNCTION("""COMPUTED_VALUE"""),0.0)</f>
        <v>0</v>
      </c>
      <c r="L134" s="139"/>
      <c r="M134" s="139"/>
      <c r="N134" s="139"/>
    </row>
    <row r="135">
      <c r="A135" s="139"/>
      <c r="B135" s="139"/>
      <c r="C135" s="139" t="str">
        <f>IFERROR(__xludf.DUMMYFUNCTION("""COMPUTED_VALUE"""),"chara_kai_00101_Special_00010")</f>
        <v>chara_kai_00101_Special_00010</v>
      </c>
      <c r="D135" s="139" t="str">
        <f>IFERROR(__xludf.DUMMYFUNCTION("""COMPUTED_VALUE"""),"chara_kai_00101")</f>
        <v>chara_kai_00101</v>
      </c>
      <c r="E135" s="139">
        <f>IFERROR(__xludf.DUMMYFUNCTION("""COMPUTED_VALUE"""),10.0)</f>
        <v>10</v>
      </c>
      <c r="F135" s="139" t="str">
        <f>IFERROR(__xludf.DUMMYFUNCTION("""COMPUTED_VALUE"""),"Special")</f>
        <v>Special</v>
      </c>
      <c r="G135" s="139"/>
      <c r="H135" s="139"/>
      <c r="I135" s="139">
        <f>IFERROR(__xludf.DUMMYFUNCTION("""COMPUTED_VALUE"""),159.0)</f>
        <v>159</v>
      </c>
      <c r="J135" s="139">
        <f>IFERROR(__xludf.DUMMYFUNCTION("""COMPUTED_VALUE"""),0.0)</f>
        <v>0</v>
      </c>
      <c r="K135" s="139">
        <f>IFERROR(__xludf.DUMMYFUNCTION("""COMPUTED_VALUE"""),0.0)</f>
        <v>0</v>
      </c>
      <c r="L135" s="139"/>
      <c r="M135" s="139"/>
      <c r="N135" s="139"/>
    </row>
    <row r="136">
      <c r="A136" s="139" t="str">
        <f>IFERROR(__xludf.DUMMYFUNCTION("""COMPUTED_VALUE"""),"e")</f>
        <v>e</v>
      </c>
      <c r="B136" s="139">
        <f>IFERROR(__xludf.DUMMYFUNCTION("""COMPUTED_VALUE"""),2.0250901E8)</f>
        <v>202509010</v>
      </c>
      <c r="C136" s="139" t="str">
        <f>IFERROR(__xludf.DUMMYFUNCTION("""COMPUTED_VALUE"""),"chara_kai_00301_Normal_00000")</f>
        <v>chara_kai_00301_Normal_00000</v>
      </c>
      <c r="D136" s="139" t="str">
        <f>IFERROR(__xludf.DUMMYFUNCTION("""COMPUTED_VALUE"""),"chara_kai_00301")</f>
        <v>chara_kai_00301</v>
      </c>
      <c r="E136" s="139">
        <f>IFERROR(__xludf.DUMMYFUNCTION("""COMPUTED_VALUE"""),0.0)</f>
        <v>0</v>
      </c>
      <c r="F136" s="139" t="str">
        <f>IFERROR(__xludf.DUMMYFUNCTION("""COMPUTED_VALUE"""),"Normal")</f>
        <v>Normal</v>
      </c>
      <c r="G136" s="139"/>
      <c r="H136" s="139"/>
      <c r="I136" s="139">
        <f>IFERROR(__xludf.DUMMYFUNCTION("""COMPUTED_VALUE"""),102.0)</f>
        <v>102</v>
      </c>
      <c r="J136" s="139">
        <f>IFERROR(__xludf.DUMMYFUNCTION("""COMPUTED_VALUE"""),35.0)</f>
        <v>35</v>
      </c>
      <c r="K136" s="139">
        <f>IFERROR(__xludf.DUMMYFUNCTION("""COMPUTED_VALUE"""),95.0)</f>
        <v>95</v>
      </c>
      <c r="L136" s="139"/>
      <c r="M136" s="139" t="str">
        <f>IFERROR(__xludf.DUMMYFUNCTION("""COMPUTED_VALUE"""),"表示場所なし")</f>
        <v>表示場所なし</v>
      </c>
      <c r="N136" s="139"/>
    </row>
    <row r="137">
      <c r="A137" s="139" t="str">
        <f>IFERROR(__xludf.DUMMYFUNCTION("""COMPUTED_VALUE"""),"e")</f>
        <v>e</v>
      </c>
      <c r="B137" s="139">
        <f>IFERROR(__xludf.DUMMYFUNCTION("""COMPUTED_VALUE"""),2.0250901E8)</f>
        <v>202509010</v>
      </c>
      <c r="C137" s="139" t="str">
        <f>IFERROR(__xludf.DUMMYFUNCTION("""COMPUTED_VALUE"""),"chara_kai_00301_Special_00001")</f>
        <v>chara_kai_00301_Special_00001</v>
      </c>
      <c r="D137" s="139" t="str">
        <f>IFERROR(__xludf.DUMMYFUNCTION("""COMPUTED_VALUE"""),"chara_kai_00301")</f>
        <v>chara_kai_00301</v>
      </c>
      <c r="E137" s="139">
        <f>IFERROR(__xludf.DUMMYFUNCTION("""COMPUTED_VALUE"""),1.0)</f>
        <v>1</v>
      </c>
      <c r="F137" s="139" t="str">
        <f>IFERROR(__xludf.DUMMYFUNCTION("""COMPUTED_VALUE"""),"Special")</f>
        <v>Special</v>
      </c>
      <c r="G137" s="139"/>
      <c r="H137" s="139"/>
      <c r="I137" s="139">
        <f>IFERROR(__xludf.DUMMYFUNCTION("""COMPUTED_VALUE"""),167.0)</f>
        <v>167</v>
      </c>
      <c r="J137" s="139">
        <f>IFERROR(__xludf.DUMMYFUNCTION("""COMPUTED_VALUE"""),54.0)</f>
        <v>54</v>
      </c>
      <c r="K137" s="139">
        <f>IFERROR(__xludf.DUMMYFUNCTION("""COMPUTED_VALUE"""),0.0)</f>
        <v>0</v>
      </c>
      <c r="L137" s="139"/>
      <c r="M137" s="139" t="str">
        <f>IFERROR(__xludf.DUMMYFUNCTION("""COMPUTED_VALUE"""),"敵複数体に自身の攻撃ステータスの75%のダメージ + 攻撃がヒットした場合、敵を1秒間、スタン状態にする")</f>
        <v>敵複数体に自身の攻撃ステータスの75%のダメージ + 攻撃がヒットした場合、敵を1秒間、スタン状態にする</v>
      </c>
      <c r="N137" s="139"/>
    </row>
    <row r="138">
      <c r="A138" s="139" t="str">
        <f>IFERROR(__xludf.DUMMYFUNCTION("""COMPUTED_VALUE"""),"e")</f>
        <v>e</v>
      </c>
      <c r="B138" s="139">
        <f>IFERROR(__xludf.DUMMYFUNCTION("""COMPUTED_VALUE"""),2.0250901E8)</f>
        <v>202509010</v>
      </c>
      <c r="C138" s="139" t="str">
        <f>IFERROR(__xludf.DUMMYFUNCTION("""COMPUTED_VALUE"""),"chara_kai_00301_Special_00002")</f>
        <v>chara_kai_00301_Special_00002</v>
      </c>
      <c r="D138" s="139" t="str">
        <f>IFERROR(__xludf.DUMMYFUNCTION("""COMPUTED_VALUE"""),"chara_kai_00301")</f>
        <v>chara_kai_00301</v>
      </c>
      <c r="E138" s="139">
        <f>IFERROR(__xludf.DUMMYFUNCTION("""COMPUTED_VALUE"""),2.0)</f>
        <v>2</v>
      </c>
      <c r="F138" s="139" t="str">
        <f>IFERROR(__xludf.DUMMYFUNCTION("""COMPUTED_VALUE"""),"Special")</f>
        <v>Special</v>
      </c>
      <c r="G138" s="139"/>
      <c r="H138" s="139"/>
      <c r="I138" s="139">
        <f>IFERROR(__xludf.DUMMYFUNCTION("""COMPUTED_VALUE"""),167.0)</f>
        <v>167</v>
      </c>
      <c r="J138" s="139">
        <f>IFERROR(__xludf.DUMMYFUNCTION("""COMPUTED_VALUE"""),54.0)</f>
        <v>54</v>
      </c>
      <c r="K138" s="139">
        <f>IFERROR(__xludf.DUMMYFUNCTION("""COMPUTED_VALUE"""),0.0)</f>
        <v>0</v>
      </c>
      <c r="L138" s="139"/>
      <c r="M138" s="139" t="str">
        <f>IFERROR(__xludf.DUMMYFUNCTION("""COMPUTED_VALUE"""),"敵複数体に自身の攻撃ステータスの75%のダメージ + 攻撃がヒットした場合、敵を1秒間、スタン状態にする")</f>
        <v>敵複数体に自身の攻撃ステータスの75%のダメージ + 攻撃がヒットした場合、敵を1秒間、スタン状態にする</v>
      </c>
      <c r="N138" s="139" t="str">
        <f>IFERROR(__xludf.DUMMYFUNCTION("""COMPUTED_VALUE"""),"ステータスUP")</f>
        <v>ステータスUP</v>
      </c>
    </row>
    <row r="139">
      <c r="A139" s="139" t="str">
        <f>IFERROR(__xludf.DUMMYFUNCTION("""COMPUTED_VALUE"""),"e")</f>
        <v>e</v>
      </c>
      <c r="B139" s="139">
        <f>IFERROR(__xludf.DUMMYFUNCTION("""COMPUTED_VALUE"""),2.0250901E8)</f>
        <v>202509010</v>
      </c>
      <c r="C139" s="139" t="str">
        <f>IFERROR(__xludf.DUMMYFUNCTION("""COMPUTED_VALUE"""),"chara_kai_00301_Special_00003")</f>
        <v>chara_kai_00301_Special_00003</v>
      </c>
      <c r="D139" s="139" t="str">
        <f>IFERROR(__xludf.DUMMYFUNCTION("""COMPUTED_VALUE"""),"chara_kai_00301")</f>
        <v>chara_kai_00301</v>
      </c>
      <c r="E139" s="139">
        <f>IFERROR(__xludf.DUMMYFUNCTION("""COMPUTED_VALUE"""),3.0)</f>
        <v>3</v>
      </c>
      <c r="F139" s="139" t="str">
        <f>IFERROR(__xludf.DUMMYFUNCTION("""COMPUTED_VALUE"""),"Special")</f>
        <v>Special</v>
      </c>
      <c r="G139" s="139"/>
      <c r="H139" s="139"/>
      <c r="I139" s="139">
        <f>IFERROR(__xludf.DUMMYFUNCTION("""COMPUTED_VALUE"""),167.0)</f>
        <v>167</v>
      </c>
      <c r="J139" s="139">
        <f>IFERROR(__xludf.DUMMYFUNCTION("""COMPUTED_VALUE"""),54.0)</f>
        <v>54</v>
      </c>
      <c r="K139" s="139">
        <f>IFERROR(__xludf.DUMMYFUNCTION("""COMPUTED_VALUE"""),0.0)</f>
        <v>0</v>
      </c>
      <c r="L139" s="139"/>
      <c r="M139" s="139" t="str">
        <f>IFERROR(__xludf.DUMMYFUNCTION("""COMPUTED_VALUE"""),"敵複数体に自身の攻撃ステータスの75%のダメージ + 攻撃がヒットした場合、敵を1秒間、スタン状態にする")</f>
        <v>敵複数体に自身の攻撃ステータスの75%のダメージ + 攻撃がヒットした場合、敵を1秒間、スタン状態にする</v>
      </c>
      <c r="N139" s="139" t="str">
        <f>IFERROR(__xludf.DUMMYFUNCTION("""COMPUTED_VALUE"""),"ステータスUP")</f>
        <v>ステータスUP</v>
      </c>
    </row>
    <row r="140">
      <c r="A140" s="139" t="str">
        <f>IFERROR(__xludf.DUMMYFUNCTION("""COMPUTED_VALUE"""),"e")</f>
        <v>e</v>
      </c>
      <c r="B140" s="139">
        <f>IFERROR(__xludf.DUMMYFUNCTION("""COMPUTED_VALUE"""),2.0250901E8)</f>
        <v>202509010</v>
      </c>
      <c r="C140" s="139" t="str">
        <f>IFERROR(__xludf.DUMMYFUNCTION("""COMPUTED_VALUE"""),"chara_kai_00301_Special_00004")</f>
        <v>chara_kai_00301_Special_00004</v>
      </c>
      <c r="D140" s="139" t="str">
        <f>IFERROR(__xludf.DUMMYFUNCTION("""COMPUTED_VALUE"""),"chara_kai_00301")</f>
        <v>chara_kai_00301</v>
      </c>
      <c r="E140" s="139">
        <f>IFERROR(__xludf.DUMMYFUNCTION("""COMPUTED_VALUE"""),4.0)</f>
        <v>4</v>
      </c>
      <c r="F140" s="139" t="str">
        <f>IFERROR(__xludf.DUMMYFUNCTION("""COMPUTED_VALUE"""),"Special")</f>
        <v>Special</v>
      </c>
      <c r="G140" s="139"/>
      <c r="H140" s="139"/>
      <c r="I140" s="139">
        <f>IFERROR(__xludf.DUMMYFUNCTION("""COMPUTED_VALUE"""),167.0)</f>
        <v>167</v>
      </c>
      <c r="J140" s="139">
        <f>IFERROR(__xludf.DUMMYFUNCTION("""COMPUTED_VALUE"""),54.0)</f>
        <v>54</v>
      </c>
      <c r="K140" s="139">
        <f>IFERROR(__xludf.DUMMYFUNCTION("""COMPUTED_VALUE"""),0.0)</f>
        <v>0</v>
      </c>
      <c r="L140" s="139"/>
      <c r="M140" s="139" t="str">
        <f>IFERROR(__xludf.DUMMYFUNCTION("""COMPUTED_VALUE"""),"敵複数体に自身の攻撃ステータスの75%のダメージ + 攻撃がヒットした場合、敵を1.1秒間、スタン状態にする")</f>
        <v>敵複数体に自身の攻撃ステータスの75%のダメージ + 攻撃がヒットした場合、敵を1.1秒間、スタン状態にする</v>
      </c>
      <c r="N140" s="139" t="str">
        <f>IFERROR(__xludf.DUMMYFUNCTION("""COMPUTED_VALUE"""),"ステータスUP + 必殺ワザ性能UP")</f>
        <v>ステータスUP + 必殺ワザ性能UP</v>
      </c>
    </row>
    <row r="141">
      <c r="A141" s="139" t="str">
        <f>IFERROR(__xludf.DUMMYFUNCTION("""COMPUTED_VALUE"""),"e")</f>
        <v>e</v>
      </c>
      <c r="B141" s="139">
        <f>IFERROR(__xludf.DUMMYFUNCTION("""COMPUTED_VALUE"""),2.0250901E8)</f>
        <v>202509010</v>
      </c>
      <c r="C141" s="139" t="str">
        <f>IFERROR(__xludf.DUMMYFUNCTION("""COMPUTED_VALUE"""),"chara_kai_00301_Special_00005")</f>
        <v>chara_kai_00301_Special_00005</v>
      </c>
      <c r="D141" s="139" t="str">
        <f>IFERROR(__xludf.DUMMYFUNCTION("""COMPUTED_VALUE"""),"chara_kai_00301")</f>
        <v>chara_kai_00301</v>
      </c>
      <c r="E141" s="139">
        <f>IFERROR(__xludf.DUMMYFUNCTION("""COMPUTED_VALUE"""),5.0)</f>
        <v>5</v>
      </c>
      <c r="F141" s="139" t="str">
        <f>IFERROR(__xludf.DUMMYFUNCTION("""COMPUTED_VALUE"""),"Special")</f>
        <v>Special</v>
      </c>
      <c r="G141" s="139"/>
      <c r="H141" s="139"/>
      <c r="I141" s="139">
        <f>IFERROR(__xludf.DUMMYFUNCTION("""COMPUTED_VALUE"""),167.0)</f>
        <v>167</v>
      </c>
      <c r="J141" s="139">
        <f>IFERROR(__xludf.DUMMYFUNCTION("""COMPUTED_VALUE"""),54.0)</f>
        <v>54</v>
      </c>
      <c r="K141" s="139">
        <f>IFERROR(__xludf.DUMMYFUNCTION("""COMPUTED_VALUE"""),0.0)</f>
        <v>0</v>
      </c>
      <c r="L141" s="139"/>
      <c r="M141" s="139" t="str">
        <f>IFERROR(__xludf.DUMMYFUNCTION("""COMPUTED_VALUE"""),"敵複数体に自身の攻撃ステータスの75%のダメージ + 攻撃がヒットした場合、敵を1.2秒間、スタン状態にする")</f>
        <v>敵複数体に自身の攻撃ステータスの75%のダメージ + 攻撃がヒットした場合、敵を1.2秒間、スタン状態にする</v>
      </c>
      <c r="N141" s="139" t="str">
        <f>IFERROR(__xludf.DUMMYFUNCTION("""COMPUTED_VALUE"""),"ステータスUP + 必殺ワザ性能UP")</f>
        <v>ステータスUP + 必殺ワザ性能UP</v>
      </c>
    </row>
    <row r="142">
      <c r="A142" s="139"/>
      <c r="B142" s="139"/>
      <c r="C142" s="139" t="str">
        <f>IFERROR(__xludf.DUMMYFUNCTION("""COMPUTED_VALUE"""),"chara_kai_00301_Special_00006")</f>
        <v>chara_kai_00301_Special_00006</v>
      </c>
      <c r="D142" s="139" t="str">
        <f>IFERROR(__xludf.DUMMYFUNCTION("""COMPUTED_VALUE"""),"chara_kai_00301")</f>
        <v>chara_kai_00301</v>
      </c>
      <c r="E142" s="139">
        <f>IFERROR(__xludf.DUMMYFUNCTION("""COMPUTED_VALUE"""),6.0)</f>
        <v>6</v>
      </c>
      <c r="F142" s="139" t="str">
        <f>IFERROR(__xludf.DUMMYFUNCTION("""COMPUTED_VALUE"""),"Special")</f>
        <v>Special</v>
      </c>
      <c r="G142" s="139"/>
      <c r="H142" s="139"/>
      <c r="I142" s="139">
        <f>IFERROR(__xludf.DUMMYFUNCTION("""COMPUTED_VALUE"""),167.0)</f>
        <v>167</v>
      </c>
      <c r="J142" s="139">
        <f>IFERROR(__xludf.DUMMYFUNCTION("""COMPUTED_VALUE"""),54.0)</f>
        <v>54</v>
      </c>
      <c r="K142" s="139">
        <f>IFERROR(__xludf.DUMMYFUNCTION("""COMPUTED_VALUE"""),0.0)</f>
        <v>0</v>
      </c>
      <c r="L142" s="139"/>
      <c r="M142" s="139"/>
      <c r="N142" s="139"/>
    </row>
    <row r="143">
      <c r="A143" s="139"/>
      <c r="B143" s="139"/>
      <c r="C143" s="139" t="str">
        <f>IFERROR(__xludf.DUMMYFUNCTION("""COMPUTED_VALUE"""),"chara_kai_00301_Special_00007")</f>
        <v>chara_kai_00301_Special_00007</v>
      </c>
      <c r="D143" s="139" t="str">
        <f>IFERROR(__xludf.DUMMYFUNCTION("""COMPUTED_VALUE"""),"chara_kai_00301")</f>
        <v>chara_kai_00301</v>
      </c>
      <c r="E143" s="139">
        <f>IFERROR(__xludf.DUMMYFUNCTION("""COMPUTED_VALUE"""),7.0)</f>
        <v>7</v>
      </c>
      <c r="F143" s="139" t="str">
        <f>IFERROR(__xludf.DUMMYFUNCTION("""COMPUTED_VALUE"""),"Special")</f>
        <v>Special</v>
      </c>
      <c r="G143" s="139"/>
      <c r="H143" s="139"/>
      <c r="I143" s="139">
        <f>IFERROR(__xludf.DUMMYFUNCTION("""COMPUTED_VALUE"""),167.0)</f>
        <v>167</v>
      </c>
      <c r="J143" s="139">
        <f>IFERROR(__xludf.DUMMYFUNCTION("""COMPUTED_VALUE"""),54.0)</f>
        <v>54</v>
      </c>
      <c r="K143" s="139">
        <f>IFERROR(__xludf.DUMMYFUNCTION("""COMPUTED_VALUE"""),0.0)</f>
        <v>0</v>
      </c>
      <c r="L143" s="139"/>
      <c r="M143" s="139"/>
      <c r="N143" s="139"/>
    </row>
    <row r="144">
      <c r="A144" s="139"/>
      <c r="B144" s="139"/>
      <c r="C144" s="139" t="str">
        <f>IFERROR(__xludf.DUMMYFUNCTION("""COMPUTED_VALUE"""),"chara_kai_00301_Special_00008")</f>
        <v>chara_kai_00301_Special_00008</v>
      </c>
      <c r="D144" s="139" t="str">
        <f>IFERROR(__xludf.DUMMYFUNCTION("""COMPUTED_VALUE"""),"chara_kai_00301")</f>
        <v>chara_kai_00301</v>
      </c>
      <c r="E144" s="139">
        <f>IFERROR(__xludf.DUMMYFUNCTION("""COMPUTED_VALUE"""),8.0)</f>
        <v>8</v>
      </c>
      <c r="F144" s="139" t="str">
        <f>IFERROR(__xludf.DUMMYFUNCTION("""COMPUTED_VALUE"""),"Special")</f>
        <v>Special</v>
      </c>
      <c r="G144" s="139"/>
      <c r="H144" s="139"/>
      <c r="I144" s="139">
        <f>IFERROR(__xludf.DUMMYFUNCTION("""COMPUTED_VALUE"""),167.0)</f>
        <v>167</v>
      </c>
      <c r="J144" s="139">
        <f>IFERROR(__xludf.DUMMYFUNCTION("""COMPUTED_VALUE"""),54.0)</f>
        <v>54</v>
      </c>
      <c r="K144" s="139">
        <f>IFERROR(__xludf.DUMMYFUNCTION("""COMPUTED_VALUE"""),0.0)</f>
        <v>0</v>
      </c>
      <c r="L144" s="139"/>
      <c r="M144" s="139"/>
      <c r="N144" s="139"/>
    </row>
    <row r="145">
      <c r="A145" s="139"/>
      <c r="B145" s="139"/>
      <c r="C145" s="139" t="str">
        <f>IFERROR(__xludf.DUMMYFUNCTION("""COMPUTED_VALUE"""),"chara_kai_00301_Special_00009")</f>
        <v>chara_kai_00301_Special_00009</v>
      </c>
      <c r="D145" s="139" t="str">
        <f>IFERROR(__xludf.DUMMYFUNCTION("""COMPUTED_VALUE"""),"chara_kai_00301")</f>
        <v>chara_kai_00301</v>
      </c>
      <c r="E145" s="139">
        <f>IFERROR(__xludf.DUMMYFUNCTION("""COMPUTED_VALUE"""),9.0)</f>
        <v>9</v>
      </c>
      <c r="F145" s="139" t="str">
        <f>IFERROR(__xludf.DUMMYFUNCTION("""COMPUTED_VALUE"""),"Special")</f>
        <v>Special</v>
      </c>
      <c r="G145" s="139"/>
      <c r="H145" s="139"/>
      <c r="I145" s="139">
        <f>IFERROR(__xludf.DUMMYFUNCTION("""COMPUTED_VALUE"""),167.0)</f>
        <v>167</v>
      </c>
      <c r="J145" s="139">
        <f>IFERROR(__xludf.DUMMYFUNCTION("""COMPUTED_VALUE"""),54.0)</f>
        <v>54</v>
      </c>
      <c r="K145" s="139">
        <f>IFERROR(__xludf.DUMMYFUNCTION("""COMPUTED_VALUE"""),0.0)</f>
        <v>0</v>
      </c>
      <c r="L145" s="139"/>
      <c r="M145" s="139"/>
      <c r="N145" s="139"/>
    </row>
    <row r="146">
      <c r="A146" s="139"/>
      <c r="B146" s="139"/>
      <c r="C146" s="139" t="str">
        <f>IFERROR(__xludf.DUMMYFUNCTION("""COMPUTED_VALUE"""),"chara_kai_00301_Special_00010")</f>
        <v>chara_kai_00301_Special_00010</v>
      </c>
      <c r="D146" s="139" t="str">
        <f>IFERROR(__xludf.DUMMYFUNCTION("""COMPUTED_VALUE"""),"chara_kai_00301")</f>
        <v>chara_kai_00301</v>
      </c>
      <c r="E146" s="139">
        <f>IFERROR(__xludf.DUMMYFUNCTION("""COMPUTED_VALUE"""),10.0)</f>
        <v>10</v>
      </c>
      <c r="F146" s="139" t="str">
        <f>IFERROR(__xludf.DUMMYFUNCTION("""COMPUTED_VALUE"""),"Special")</f>
        <v>Special</v>
      </c>
      <c r="G146" s="139"/>
      <c r="H146" s="139"/>
      <c r="I146" s="139">
        <f>IFERROR(__xludf.DUMMYFUNCTION("""COMPUTED_VALUE"""),167.0)</f>
        <v>167</v>
      </c>
      <c r="J146" s="139">
        <f>IFERROR(__xludf.DUMMYFUNCTION("""COMPUTED_VALUE"""),54.0)</f>
        <v>54</v>
      </c>
      <c r="K146" s="139">
        <f>IFERROR(__xludf.DUMMYFUNCTION("""COMPUTED_VALUE"""),0.0)</f>
        <v>0</v>
      </c>
      <c r="L146" s="139"/>
      <c r="M146" s="139"/>
      <c r="N146" s="139"/>
    </row>
    <row r="147">
      <c r="A147" s="139" t="str">
        <f>IFERROR(__xludf.DUMMYFUNCTION("""COMPUTED_VALUE"""),"e")</f>
        <v>e</v>
      </c>
      <c r="B147" s="139">
        <f>IFERROR(__xludf.DUMMYFUNCTION("""COMPUTED_VALUE"""),2.0250901E8)</f>
        <v>202509010</v>
      </c>
      <c r="C147" s="139" t="str">
        <f>IFERROR(__xludf.DUMMYFUNCTION("""COMPUTED_VALUE"""),"chara_kai_00001_Normal_00000")</f>
        <v>chara_kai_00001_Normal_00000</v>
      </c>
      <c r="D147" s="139" t="str">
        <f>IFERROR(__xludf.DUMMYFUNCTION("""COMPUTED_VALUE"""),"chara_kai_00001")</f>
        <v>chara_kai_00001</v>
      </c>
      <c r="E147" s="139">
        <f>IFERROR(__xludf.DUMMYFUNCTION("""COMPUTED_VALUE"""),0.0)</f>
        <v>0</v>
      </c>
      <c r="F147" s="139" t="str">
        <f>IFERROR(__xludf.DUMMYFUNCTION("""COMPUTED_VALUE"""),"Normal")</f>
        <v>Normal</v>
      </c>
      <c r="G147" s="139"/>
      <c r="H147" s="139"/>
      <c r="I147" s="139">
        <f>IFERROR(__xludf.DUMMYFUNCTION("""COMPUTED_VALUE"""),92.0)</f>
        <v>92</v>
      </c>
      <c r="J147" s="139">
        <f>IFERROR(__xludf.DUMMYFUNCTION("""COMPUTED_VALUE"""),50.0)</f>
        <v>50</v>
      </c>
      <c r="K147" s="139">
        <f>IFERROR(__xludf.DUMMYFUNCTION("""COMPUTED_VALUE"""),50.0)</f>
        <v>50</v>
      </c>
      <c r="L147" s="139"/>
      <c r="M147" s="139" t="str">
        <f>IFERROR(__xludf.DUMMYFUNCTION("""COMPUTED_VALUE"""),"表示場所なし")</f>
        <v>表示場所なし</v>
      </c>
      <c r="N147" s="139"/>
    </row>
    <row r="148">
      <c r="A148" s="139" t="str">
        <f>IFERROR(__xludf.DUMMYFUNCTION("""COMPUTED_VALUE"""),"e")</f>
        <v>e</v>
      </c>
      <c r="B148" s="139">
        <f>IFERROR(__xludf.DUMMYFUNCTION("""COMPUTED_VALUE"""),2.0250901E8)</f>
        <v>202509010</v>
      </c>
      <c r="C148" s="139" t="str">
        <f>IFERROR(__xludf.DUMMYFUNCTION("""COMPUTED_VALUE"""),"chara_kai_00001_Special_00001")</f>
        <v>chara_kai_00001_Special_00001</v>
      </c>
      <c r="D148" s="139" t="str">
        <f>IFERROR(__xludf.DUMMYFUNCTION("""COMPUTED_VALUE"""),"chara_kai_00001")</f>
        <v>chara_kai_00001</v>
      </c>
      <c r="E148" s="139">
        <f>IFERROR(__xludf.DUMMYFUNCTION("""COMPUTED_VALUE"""),1.0)</f>
        <v>1</v>
      </c>
      <c r="F148" s="139" t="str">
        <f>IFERROR(__xludf.DUMMYFUNCTION("""COMPUTED_VALUE"""),"Special")</f>
        <v>Special</v>
      </c>
      <c r="G148" s="139"/>
      <c r="H148" s="139"/>
      <c r="I148" s="139">
        <f>IFERROR(__xludf.DUMMYFUNCTION("""COMPUTED_VALUE"""),117.0)</f>
        <v>117</v>
      </c>
      <c r="J148" s="139">
        <f>IFERROR(__xludf.DUMMYFUNCTION("""COMPUTED_VALUE"""),67.0)</f>
        <v>67</v>
      </c>
      <c r="K148" s="139">
        <f>IFERROR(__xludf.DUMMYFUNCTION("""COMPUTED_VALUE"""),0.0)</f>
        <v>0</v>
      </c>
      <c r="L148" s="139"/>
      <c r="M148" s="139" t="str">
        <f>IFERROR(__xludf.DUMMYFUNCTION("""COMPUTED_VALUE"""),"自身の攻撃を3秒間、20%UP")</f>
        <v>自身の攻撃を3秒間、20%UP</v>
      </c>
      <c r="N148" s="139"/>
    </row>
    <row r="149">
      <c r="A149" s="139" t="str">
        <f>IFERROR(__xludf.DUMMYFUNCTION("""COMPUTED_VALUE"""),"e")</f>
        <v>e</v>
      </c>
      <c r="B149" s="139">
        <f>IFERROR(__xludf.DUMMYFUNCTION("""COMPUTED_VALUE"""),2.0250901E8)</f>
        <v>202509010</v>
      </c>
      <c r="C149" s="139" t="str">
        <f>IFERROR(__xludf.DUMMYFUNCTION("""COMPUTED_VALUE"""),"chara_kai_00001_Special_00002")</f>
        <v>chara_kai_00001_Special_00002</v>
      </c>
      <c r="D149" s="139" t="str">
        <f>IFERROR(__xludf.DUMMYFUNCTION("""COMPUTED_VALUE"""),"chara_kai_00001")</f>
        <v>chara_kai_00001</v>
      </c>
      <c r="E149" s="139">
        <f>IFERROR(__xludf.DUMMYFUNCTION("""COMPUTED_VALUE"""),2.0)</f>
        <v>2</v>
      </c>
      <c r="F149" s="139" t="str">
        <f>IFERROR(__xludf.DUMMYFUNCTION("""COMPUTED_VALUE"""),"Special")</f>
        <v>Special</v>
      </c>
      <c r="G149" s="139"/>
      <c r="H149" s="139"/>
      <c r="I149" s="139">
        <f>IFERROR(__xludf.DUMMYFUNCTION("""COMPUTED_VALUE"""),117.0)</f>
        <v>117</v>
      </c>
      <c r="J149" s="139">
        <f>IFERROR(__xludf.DUMMYFUNCTION("""COMPUTED_VALUE"""),67.0)</f>
        <v>67</v>
      </c>
      <c r="K149" s="139">
        <f>IFERROR(__xludf.DUMMYFUNCTION("""COMPUTED_VALUE"""),0.0)</f>
        <v>0</v>
      </c>
      <c r="L149" s="139"/>
      <c r="M149" s="139" t="str">
        <f>IFERROR(__xludf.DUMMYFUNCTION("""COMPUTED_VALUE"""),"自身の攻撃を3.5秒間、22%UP")</f>
        <v>自身の攻撃を3.5秒間、22%UP</v>
      </c>
      <c r="N149" s="139" t="str">
        <f>IFERROR(__xludf.DUMMYFUNCTION("""COMPUTED_VALUE"""),"ステータスUP + 必殺ワザ性能UP")</f>
        <v>ステータスUP + 必殺ワザ性能UP</v>
      </c>
    </row>
    <row r="150">
      <c r="A150" s="139" t="str">
        <f>IFERROR(__xludf.DUMMYFUNCTION("""COMPUTED_VALUE"""),"e")</f>
        <v>e</v>
      </c>
      <c r="B150" s="139">
        <f>IFERROR(__xludf.DUMMYFUNCTION("""COMPUTED_VALUE"""),2.0250901E8)</f>
        <v>202509010</v>
      </c>
      <c r="C150" s="139" t="str">
        <f>IFERROR(__xludf.DUMMYFUNCTION("""COMPUTED_VALUE"""),"chara_kai_00001_Special_00003")</f>
        <v>chara_kai_00001_Special_00003</v>
      </c>
      <c r="D150" s="139" t="str">
        <f>IFERROR(__xludf.DUMMYFUNCTION("""COMPUTED_VALUE"""),"chara_kai_00001")</f>
        <v>chara_kai_00001</v>
      </c>
      <c r="E150" s="139">
        <f>IFERROR(__xludf.DUMMYFUNCTION("""COMPUTED_VALUE"""),3.0)</f>
        <v>3</v>
      </c>
      <c r="F150" s="139" t="str">
        <f>IFERROR(__xludf.DUMMYFUNCTION("""COMPUTED_VALUE"""),"Special")</f>
        <v>Special</v>
      </c>
      <c r="G150" s="139"/>
      <c r="H150" s="139"/>
      <c r="I150" s="139">
        <f>IFERROR(__xludf.DUMMYFUNCTION("""COMPUTED_VALUE"""),117.0)</f>
        <v>117</v>
      </c>
      <c r="J150" s="139">
        <f>IFERROR(__xludf.DUMMYFUNCTION("""COMPUTED_VALUE"""),67.0)</f>
        <v>67</v>
      </c>
      <c r="K150" s="139">
        <f>IFERROR(__xludf.DUMMYFUNCTION("""COMPUTED_VALUE"""),0.0)</f>
        <v>0</v>
      </c>
      <c r="L150" s="139"/>
      <c r="M150" s="139" t="str">
        <f>IFERROR(__xludf.DUMMYFUNCTION("""COMPUTED_VALUE"""),"自身の攻撃を3.7秒間、23%UP")</f>
        <v>自身の攻撃を3.7秒間、23%UP</v>
      </c>
      <c r="N150" s="139" t="str">
        <f>IFERROR(__xludf.DUMMYFUNCTION("""COMPUTED_VALUE"""),"ステータスUP + 必殺ワザ性能UP")</f>
        <v>ステータスUP + 必殺ワザ性能UP</v>
      </c>
    </row>
    <row r="151">
      <c r="A151" s="139" t="str">
        <f>IFERROR(__xludf.DUMMYFUNCTION("""COMPUTED_VALUE"""),"e")</f>
        <v>e</v>
      </c>
      <c r="B151" s="139">
        <f>IFERROR(__xludf.DUMMYFUNCTION("""COMPUTED_VALUE"""),2.0250901E8)</f>
        <v>202509010</v>
      </c>
      <c r="C151" s="139" t="str">
        <f>IFERROR(__xludf.DUMMYFUNCTION("""COMPUTED_VALUE"""),"chara_kai_00001_Special_00004")</f>
        <v>chara_kai_00001_Special_00004</v>
      </c>
      <c r="D151" s="139" t="str">
        <f>IFERROR(__xludf.DUMMYFUNCTION("""COMPUTED_VALUE"""),"chara_kai_00001")</f>
        <v>chara_kai_00001</v>
      </c>
      <c r="E151" s="139">
        <f>IFERROR(__xludf.DUMMYFUNCTION("""COMPUTED_VALUE"""),4.0)</f>
        <v>4</v>
      </c>
      <c r="F151" s="139" t="str">
        <f>IFERROR(__xludf.DUMMYFUNCTION("""COMPUTED_VALUE"""),"Special")</f>
        <v>Special</v>
      </c>
      <c r="G151" s="139"/>
      <c r="H151" s="139"/>
      <c r="I151" s="139">
        <f>IFERROR(__xludf.DUMMYFUNCTION("""COMPUTED_VALUE"""),117.0)</f>
        <v>117</v>
      </c>
      <c r="J151" s="139">
        <f>IFERROR(__xludf.DUMMYFUNCTION("""COMPUTED_VALUE"""),67.0)</f>
        <v>67</v>
      </c>
      <c r="K151" s="139">
        <f>IFERROR(__xludf.DUMMYFUNCTION("""COMPUTED_VALUE"""),0.0)</f>
        <v>0</v>
      </c>
      <c r="L151" s="139"/>
      <c r="M151" s="139" t="str">
        <f>IFERROR(__xludf.DUMMYFUNCTION("""COMPUTED_VALUE"""),"自身の攻撃を3.9秒間、23%UP")</f>
        <v>自身の攻撃を3.9秒間、23%UP</v>
      </c>
      <c r="N151" s="139" t="str">
        <f>IFERROR(__xludf.DUMMYFUNCTION("""COMPUTED_VALUE"""),"ステータスUP + 必殺ワザ性能UP")</f>
        <v>ステータスUP + 必殺ワザ性能UP</v>
      </c>
    </row>
    <row r="152">
      <c r="A152" s="139" t="str">
        <f>IFERROR(__xludf.DUMMYFUNCTION("""COMPUTED_VALUE"""),"e")</f>
        <v>e</v>
      </c>
      <c r="B152" s="139">
        <f>IFERROR(__xludf.DUMMYFUNCTION("""COMPUTED_VALUE"""),2.0250901E8)</f>
        <v>202509010</v>
      </c>
      <c r="C152" s="139" t="str">
        <f>IFERROR(__xludf.DUMMYFUNCTION("""COMPUTED_VALUE"""),"chara_kai_00001_Special_00005")</f>
        <v>chara_kai_00001_Special_00005</v>
      </c>
      <c r="D152" s="139" t="str">
        <f>IFERROR(__xludf.DUMMYFUNCTION("""COMPUTED_VALUE"""),"chara_kai_00001")</f>
        <v>chara_kai_00001</v>
      </c>
      <c r="E152" s="139">
        <f>IFERROR(__xludf.DUMMYFUNCTION("""COMPUTED_VALUE"""),5.0)</f>
        <v>5</v>
      </c>
      <c r="F152" s="139" t="str">
        <f>IFERROR(__xludf.DUMMYFUNCTION("""COMPUTED_VALUE"""),"Special")</f>
        <v>Special</v>
      </c>
      <c r="G152" s="139"/>
      <c r="H152" s="139"/>
      <c r="I152" s="139">
        <f>IFERROR(__xludf.DUMMYFUNCTION("""COMPUTED_VALUE"""),117.0)</f>
        <v>117</v>
      </c>
      <c r="J152" s="139">
        <f>IFERROR(__xludf.DUMMYFUNCTION("""COMPUTED_VALUE"""),67.0)</f>
        <v>67</v>
      </c>
      <c r="K152" s="139">
        <f>IFERROR(__xludf.DUMMYFUNCTION("""COMPUTED_VALUE"""),0.0)</f>
        <v>0</v>
      </c>
      <c r="L152" s="139"/>
      <c r="M152" s="139" t="str">
        <f>IFERROR(__xludf.DUMMYFUNCTION("""COMPUTED_VALUE"""),"自身の攻撃を3.9秒間、24%UP")</f>
        <v>自身の攻撃を3.9秒間、24%UP</v>
      </c>
      <c r="N152" s="139" t="str">
        <f>IFERROR(__xludf.DUMMYFUNCTION("""COMPUTED_VALUE"""),"ステータスUP + 必殺ワザ性能UP")</f>
        <v>ステータスUP + 必殺ワザ性能UP</v>
      </c>
    </row>
    <row r="153">
      <c r="A153" s="139"/>
      <c r="B153" s="139"/>
      <c r="C153" s="139" t="str">
        <f>IFERROR(__xludf.DUMMYFUNCTION("""COMPUTED_VALUE"""),"chara_kai_00001_Special_00006")</f>
        <v>chara_kai_00001_Special_00006</v>
      </c>
      <c r="D153" s="139" t="str">
        <f>IFERROR(__xludf.DUMMYFUNCTION("""COMPUTED_VALUE"""),"chara_kai_00001")</f>
        <v>chara_kai_00001</v>
      </c>
      <c r="E153" s="139">
        <f>IFERROR(__xludf.DUMMYFUNCTION("""COMPUTED_VALUE"""),6.0)</f>
        <v>6</v>
      </c>
      <c r="F153" s="139" t="str">
        <f>IFERROR(__xludf.DUMMYFUNCTION("""COMPUTED_VALUE"""),"Special")</f>
        <v>Special</v>
      </c>
      <c r="G153" s="139"/>
      <c r="H153" s="139"/>
      <c r="I153" s="139">
        <f>IFERROR(__xludf.DUMMYFUNCTION("""COMPUTED_VALUE"""),117.0)</f>
        <v>117</v>
      </c>
      <c r="J153" s="139">
        <f>IFERROR(__xludf.DUMMYFUNCTION("""COMPUTED_VALUE"""),67.0)</f>
        <v>67</v>
      </c>
      <c r="K153" s="139">
        <f>IFERROR(__xludf.DUMMYFUNCTION("""COMPUTED_VALUE"""),0.0)</f>
        <v>0</v>
      </c>
      <c r="L153" s="139"/>
      <c r="M153" s="139"/>
      <c r="N153" s="139"/>
    </row>
    <row r="154">
      <c r="A154" s="139"/>
      <c r="B154" s="139"/>
      <c r="C154" s="139" t="str">
        <f>IFERROR(__xludf.DUMMYFUNCTION("""COMPUTED_VALUE"""),"chara_kai_00001_Special_00007")</f>
        <v>chara_kai_00001_Special_00007</v>
      </c>
      <c r="D154" s="139" t="str">
        <f>IFERROR(__xludf.DUMMYFUNCTION("""COMPUTED_VALUE"""),"chara_kai_00001")</f>
        <v>chara_kai_00001</v>
      </c>
      <c r="E154" s="139">
        <f>IFERROR(__xludf.DUMMYFUNCTION("""COMPUTED_VALUE"""),7.0)</f>
        <v>7</v>
      </c>
      <c r="F154" s="139" t="str">
        <f>IFERROR(__xludf.DUMMYFUNCTION("""COMPUTED_VALUE"""),"Special")</f>
        <v>Special</v>
      </c>
      <c r="G154" s="139"/>
      <c r="H154" s="139"/>
      <c r="I154" s="139">
        <f>IFERROR(__xludf.DUMMYFUNCTION("""COMPUTED_VALUE"""),117.0)</f>
        <v>117</v>
      </c>
      <c r="J154" s="139">
        <f>IFERROR(__xludf.DUMMYFUNCTION("""COMPUTED_VALUE"""),67.0)</f>
        <v>67</v>
      </c>
      <c r="K154" s="139">
        <f>IFERROR(__xludf.DUMMYFUNCTION("""COMPUTED_VALUE"""),0.0)</f>
        <v>0</v>
      </c>
      <c r="L154" s="139"/>
      <c r="M154" s="139"/>
      <c r="N154" s="139"/>
    </row>
    <row r="155">
      <c r="A155" s="139"/>
      <c r="B155" s="139"/>
      <c r="C155" s="139" t="str">
        <f>IFERROR(__xludf.DUMMYFUNCTION("""COMPUTED_VALUE"""),"chara_kai_00001_Special_00008")</f>
        <v>chara_kai_00001_Special_00008</v>
      </c>
      <c r="D155" s="139" t="str">
        <f>IFERROR(__xludf.DUMMYFUNCTION("""COMPUTED_VALUE"""),"chara_kai_00001")</f>
        <v>chara_kai_00001</v>
      </c>
      <c r="E155" s="139">
        <f>IFERROR(__xludf.DUMMYFUNCTION("""COMPUTED_VALUE"""),8.0)</f>
        <v>8</v>
      </c>
      <c r="F155" s="139" t="str">
        <f>IFERROR(__xludf.DUMMYFUNCTION("""COMPUTED_VALUE"""),"Special")</f>
        <v>Special</v>
      </c>
      <c r="G155" s="139"/>
      <c r="H155" s="139"/>
      <c r="I155" s="139">
        <f>IFERROR(__xludf.DUMMYFUNCTION("""COMPUTED_VALUE"""),117.0)</f>
        <v>117</v>
      </c>
      <c r="J155" s="139">
        <f>IFERROR(__xludf.DUMMYFUNCTION("""COMPUTED_VALUE"""),67.0)</f>
        <v>67</v>
      </c>
      <c r="K155" s="139">
        <f>IFERROR(__xludf.DUMMYFUNCTION("""COMPUTED_VALUE"""),0.0)</f>
        <v>0</v>
      </c>
      <c r="L155" s="139"/>
      <c r="M155" s="139"/>
      <c r="N155" s="139"/>
    </row>
    <row r="156">
      <c r="A156" s="139"/>
      <c r="B156" s="139"/>
      <c r="C156" s="139" t="str">
        <f>IFERROR(__xludf.DUMMYFUNCTION("""COMPUTED_VALUE"""),"chara_kai_00001_Special_00009")</f>
        <v>chara_kai_00001_Special_00009</v>
      </c>
      <c r="D156" s="139" t="str">
        <f>IFERROR(__xludf.DUMMYFUNCTION("""COMPUTED_VALUE"""),"chara_kai_00001")</f>
        <v>chara_kai_00001</v>
      </c>
      <c r="E156" s="139">
        <f>IFERROR(__xludf.DUMMYFUNCTION("""COMPUTED_VALUE"""),9.0)</f>
        <v>9</v>
      </c>
      <c r="F156" s="139" t="str">
        <f>IFERROR(__xludf.DUMMYFUNCTION("""COMPUTED_VALUE"""),"Special")</f>
        <v>Special</v>
      </c>
      <c r="G156" s="139"/>
      <c r="H156" s="139"/>
      <c r="I156" s="139">
        <f>IFERROR(__xludf.DUMMYFUNCTION("""COMPUTED_VALUE"""),117.0)</f>
        <v>117</v>
      </c>
      <c r="J156" s="139">
        <f>IFERROR(__xludf.DUMMYFUNCTION("""COMPUTED_VALUE"""),67.0)</f>
        <v>67</v>
      </c>
      <c r="K156" s="139">
        <f>IFERROR(__xludf.DUMMYFUNCTION("""COMPUTED_VALUE"""),0.0)</f>
        <v>0</v>
      </c>
      <c r="L156" s="139"/>
      <c r="M156" s="139"/>
      <c r="N156" s="139"/>
    </row>
    <row r="157">
      <c r="A157" s="139"/>
      <c r="B157" s="139"/>
      <c r="C157" s="139" t="str">
        <f>IFERROR(__xludf.DUMMYFUNCTION("""COMPUTED_VALUE"""),"chara_kai_00001_Special_00010")</f>
        <v>chara_kai_00001_Special_00010</v>
      </c>
      <c r="D157" s="139" t="str">
        <f>IFERROR(__xludf.DUMMYFUNCTION("""COMPUTED_VALUE"""),"chara_kai_00001")</f>
        <v>chara_kai_00001</v>
      </c>
      <c r="E157" s="139">
        <f>IFERROR(__xludf.DUMMYFUNCTION("""COMPUTED_VALUE"""),10.0)</f>
        <v>10</v>
      </c>
      <c r="F157" s="139" t="str">
        <f>IFERROR(__xludf.DUMMYFUNCTION("""COMPUTED_VALUE"""),"Special")</f>
        <v>Special</v>
      </c>
      <c r="G157" s="139"/>
      <c r="H157" s="139"/>
      <c r="I157" s="139">
        <f>IFERROR(__xludf.DUMMYFUNCTION("""COMPUTED_VALUE"""),117.0)</f>
        <v>117</v>
      </c>
      <c r="J157" s="139">
        <f>IFERROR(__xludf.DUMMYFUNCTION("""COMPUTED_VALUE"""),67.0)</f>
        <v>67</v>
      </c>
      <c r="K157" s="139">
        <f>IFERROR(__xludf.DUMMYFUNCTION("""COMPUTED_VALUE"""),0.0)</f>
        <v>0</v>
      </c>
      <c r="L157" s="139"/>
      <c r="M157" s="139"/>
      <c r="N157" s="139"/>
    </row>
    <row r="158">
      <c r="A158" s="139" t="str">
        <f>IFERROR(__xludf.DUMMYFUNCTION("""COMPUTED_VALUE"""),"e")</f>
        <v>e</v>
      </c>
      <c r="B158" s="139">
        <f>IFERROR(__xludf.DUMMYFUNCTION("""COMPUTED_VALUE"""),2.0250901E8)</f>
        <v>202509010</v>
      </c>
      <c r="C158" s="139" t="str">
        <f>IFERROR(__xludf.DUMMYFUNCTION("""COMPUTED_VALUE"""),"chara_kai_00002_Normal_00000")</f>
        <v>chara_kai_00002_Normal_00000</v>
      </c>
      <c r="D158" s="139" t="str">
        <f>IFERROR(__xludf.DUMMYFUNCTION("""COMPUTED_VALUE"""),"chara_kai_00002")</f>
        <v>chara_kai_00002</v>
      </c>
      <c r="E158" s="139">
        <f>IFERROR(__xludf.DUMMYFUNCTION("""COMPUTED_VALUE"""),0.0)</f>
        <v>0</v>
      </c>
      <c r="F158" s="139" t="str">
        <f>IFERROR(__xludf.DUMMYFUNCTION("""COMPUTED_VALUE"""),"Normal")</f>
        <v>Normal</v>
      </c>
      <c r="G158" s="139"/>
      <c r="H158" s="139"/>
      <c r="I158" s="139">
        <f>IFERROR(__xludf.DUMMYFUNCTION("""COMPUTED_VALUE"""),75.0)</f>
        <v>75</v>
      </c>
      <c r="J158" s="139">
        <f>IFERROR(__xludf.DUMMYFUNCTION("""COMPUTED_VALUE"""),27.0)</f>
        <v>27</v>
      </c>
      <c r="K158" s="139">
        <f>IFERROR(__xludf.DUMMYFUNCTION("""COMPUTED_VALUE"""),55.0)</f>
        <v>55</v>
      </c>
      <c r="L158" s="139"/>
      <c r="M158" s="139" t="str">
        <f>IFERROR(__xludf.DUMMYFUNCTION("""COMPUTED_VALUE"""),"表示場所なし")</f>
        <v>表示場所なし</v>
      </c>
      <c r="N158" s="139"/>
    </row>
    <row r="159">
      <c r="A159" s="139" t="str">
        <f>IFERROR(__xludf.DUMMYFUNCTION("""COMPUTED_VALUE"""),"e")</f>
        <v>e</v>
      </c>
      <c r="B159" s="139">
        <f>IFERROR(__xludf.DUMMYFUNCTION("""COMPUTED_VALUE"""),2.0250901E8)</f>
        <v>202509010</v>
      </c>
      <c r="C159" s="139" t="str">
        <f>IFERROR(__xludf.DUMMYFUNCTION("""COMPUTED_VALUE"""),"chara_kai_00002_Special_00001")</f>
        <v>chara_kai_00002_Special_00001</v>
      </c>
      <c r="D159" s="139" t="str">
        <f>IFERROR(__xludf.DUMMYFUNCTION("""COMPUTED_VALUE"""),"chara_kai_00002")</f>
        <v>chara_kai_00002</v>
      </c>
      <c r="E159" s="139">
        <f>IFERROR(__xludf.DUMMYFUNCTION("""COMPUTED_VALUE"""),1.0)</f>
        <v>1</v>
      </c>
      <c r="F159" s="139" t="str">
        <f>IFERROR(__xludf.DUMMYFUNCTION("""COMPUTED_VALUE"""),"Special")</f>
        <v>Special</v>
      </c>
      <c r="G159" s="139"/>
      <c r="H159" s="139"/>
      <c r="I159" s="139">
        <f>IFERROR(__xludf.DUMMYFUNCTION("""COMPUTED_VALUE"""),120.0)</f>
        <v>120</v>
      </c>
      <c r="J159" s="139">
        <f>IFERROR(__xludf.DUMMYFUNCTION("""COMPUTED_VALUE"""),0.0)</f>
        <v>0</v>
      </c>
      <c r="K159" s="139">
        <f>IFERROR(__xludf.DUMMYFUNCTION("""COMPUTED_VALUE"""),0.0)</f>
        <v>0</v>
      </c>
      <c r="L159" s="139"/>
      <c r="M159" s="139" t="str">
        <f>IFERROR(__xludf.DUMMYFUNCTION("""COMPUTED_VALUE"""),"敵複数体に最大6回の連続攻撃(自身の攻撃ステータスの最大128%ダメージ) + 6回目の攻撃がヒットした場合、敵を小ノックバック")</f>
        <v>敵複数体に最大6回の連続攻撃(自身の攻撃ステータスの最大128%ダメージ) + 6回目の攻撃がヒットした場合、敵を小ノックバック</v>
      </c>
      <c r="N159" s="139"/>
    </row>
    <row r="160">
      <c r="A160" s="139" t="str">
        <f>IFERROR(__xludf.DUMMYFUNCTION("""COMPUTED_VALUE"""),"e")</f>
        <v>e</v>
      </c>
      <c r="B160" s="139">
        <f>IFERROR(__xludf.DUMMYFUNCTION("""COMPUTED_VALUE"""),2.0250901E8)</f>
        <v>202509010</v>
      </c>
      <c r="C160" s="139" t="str">
        <f>IFERROR(__xludf.DUMMYFUNCTION("""COMPUTED_VALUE"""),"chara_kai_00002_Special_00002")</f>
        <v>chara_kai_00002_Special_00002</v>
      </c>
      <c r="D160" s="139" t="str">
        <f>IFERROR(__xludf.DUMMYFUNCTION("""COMPUTED_VALUE"""),"chara_kai_00002")</f>
        <v>chara_kai_00002</v>
      </c>
      <c r="E160" s="139">
        <f>IFERROR(__xludf.DUMMYFUNCTION("""COMPUTED_VALUE"""),2.0)</f>
        <v>2</v>
      </c>
      <c r="F160" s="139" t="str">
        <f>IFERROR(__xludf.DUMMYFUNCTION("""COMPUTED_VALUE"""),"Special")</f>
        <v>Special</v>
      </c>
      <c r="G160" s="139"/>
      <c r="H160" s="139"/>
      <c r="I160" s="139">
        <f>IFERROR(__xludf.DUMMYFUNCTION("""COMPUTED_VALUE"""),120.0)</f>
        <v>120</v>
      </c>
      <c r="J160" s="139">
        <f>IFERROR(__xludf.DUMMYFUNCTION("""COMPUTED_VALUE"""),0.0)</f>
        <v>0</v>
      </c>
      <c r="K160" s="139">
        <f>IFERROR(__xludf.DUMMYFUNCTION("""COMPUTED_VALUE"""),0.0)</f>
        <v>0</v>
      </c>
      <c r="L160" s="139"/>
      <c r="M160" s="139" t="str">
        <f>IFERROR(__xludf.DUMMYFUNCTION("""COMPUTED_VALUE"""),"敵複数体に最大6回の連続攻撃(自身の攻撃ステータスの最大144%ダメージ) + 6回目の攻撃がヒットした場合、敵を小ノックバック")</f>
        <v>敵複数体に最大6回の連続攻撃(自身の攻撃ステータスの最大144%ダメージ) + 6回目の攻撃がヒットした場合、敵を小ノックバック</v>
      </c>
      <c r="N160" s="139" t="str">
        <f>IFERROR(__xludf.DUMMYFUNCTION("""COMPUTED_VALUE"""),"ステータスUP + 必殺ワザ性能UP")</f>
        <v>ステータスUP + 必殺ワザ性能UP</v>
      </c>
    </row>
    <row r="161">
      <c r="A161" s="139" t="str">
        <f>IFERROR(__xludf.DUMMYFUNCTION("""COMPUTED_VALUE"""),"e")</f>
        <v>e</v>
      </c>
      <c r="B161" s="139">
        <f>IFERROR(__xludf.DUMMYFUNCTION("""COMPUTED_VALUE"""),2.0250901E8)</f>
        <v>202509010</v>
      </c>
      <c r="C161" s="139" t="str">
        <f>IFERROR(__xludf.DUMMYFUNCTION("""COMPUTED_VALUE"""),"chara_kai_00002_Special_00003")</f>
        <v>chara_kai_00002_Special_00003</v>
      </c>
      <c r="D161" s="139" t="str">
        <f>IFERROR(__xludf.DUMMYFUNCTION("""COMPUTED_VALUE"""),"chara_kai_00002")</f>
        <v>chara_kai_00002</v>
      </c>
      <c r="E161" s="139">
        <f>IFERROR(__xludf.DUMMYFUNCTION("""COMPUTED_VALUE"""),3.0)</f>
        <v>3</v>
      </c>
      <c r="F161" s="139" t="str">
        <f>IFERROR(__xludf.DUMMYFUNCTION("""COMPUTED_VALUE"""),"Special")</f>
        <v>Special</v>
      </c>
      <c r="G161" s="139"/>
      <c r="H161" s="139"/>
      <c r="I161" s="139">
        <f>IFERROR(__xludf.DUMMYFUNCTION("""COMPUTED_VALUE"""),120.0)</f>
        <v>120</v>
      </c>
      <c r="J161" s="139">
        <f>IFERROR(__xludf.DUMMYFUNCTION("""COMPUTED_VALUE"""),0.0)</f>
        <v>0</v>
      </c>
      <c r="K161" s="139">
        <f>IFERROR(__xludf.DUMMYFUNCTION("""COMPUTED_VALUE"""),0.0)</f>
        <v>0</v>
      </c>
      <c r="L161" s="139"/>
      <c r="M161" s="139" t="str">
        <f>IFERROR(__xludf.DUMMYFUNCTION("""COMPUTED_VALUE"""),"敵複数体に最大6回の連続攻撃(自身の攻撃ステータスの最大155%ダメージ) + 6回目の攻撃がヒットした場合、敵を中ノックバック")</f>
        <v>敵複数体に最大6回の連続攻撃(自身の攻撃ステータスの最大155%ダメージ) + 6回目の攻撃がヒットした場合、敵を中ノックバック</v>
      </c>
      <c r="N161" s="139" t="str">
        <f>IFERROR(__xludf.DUMMYFUNCTION("""COMPUTED_VALUE"""),"ステータスUP + 必殺ワザ性能UP")</f>
        <v>ステータスUP + 必殺ワザ性能UP</v>
      </c>
    </row>
    <row r="162">
      <c r="A162" s="139" t="str">
        <f>IFERROR(__xludf.DUMMYFUNCTION("""COMPUTED_VALUE"""),"e")</f>
        <v>e</v>
      </c>
      <c r="B162" s="139">
        <f>IFERROR(__xludf.DUMMYFUNCTION("""COMPUTED_VALUE"""),2.0250901E8)</f>
        <v>202509010</v>
      </c>
      <c r="C162" s="139" t="str">
        <f>IFERROR(__xludf.DUMMYFUNCTION("""COMPUTED_VALUE"""),"chara_kai_00002_Special_00004")</f>
        <v>chara_kai_00002_Special_00004</v>
      </c>
      <c r="D162" s="139" t="str">
        <f>IFERROR(__xludf.DUMMYFUNCTION("""COMPUTED_VALUE"""),"chara_kai_00002")</f>
        <v>chara_kai_00002</v>
      </c>
      <c r="E162" s="139">
        <f>IFERROR(__xludf.DUMMYFUNCTION("""COMPUTED_VALUE"""),4.0)</f>
        <v>4</v>
      </c>
      <c r="F162" s="139" t="str">
        <f>IFERROR(__xludf.DUMMYFUNCTION("""COMPUTED_VALUE"""),"Special")</f>
        <v>Special</v>
      </c>
      <c r="G162" s="139"/>
      <c r="H162" s="139"/>
      <c r="I162" s="139">
        <f>IFERROR(__xludf.DUMMYFUNCTION("""COMPUTED_VALUE"""),120.0)</f>
        <v>120</v>
      </c>
      <c r="J162" s="139">
        <f>IFERROR(__xludf.DUMMYFUNCTION("""COMPUTED_VALUE"""),0.0)</f>
        <v>0</v>
      </c>
      <c r="K162" s="139">
        <f>IFERROR(__xludf.DUMMYFUNCTION("""COMPUTED_VALUE"""),0.0)</f>
        <v>0</v>
      </c>
      <c r="L162" s="139"/>
      <c r="M162" s="139" t="str">
        <f>IFERROR(__xludf.DUMMYFUNCTION("""COMPUTED_VALUE"""),"敵複数体に最大6回の連続攻撃(自身の攻撃ステータスの最大163%ダメージ) + 6回目の攻撃がヒットした場合、敵を中ノックバック")</f>
        <v>敵複数体に最大6回の連続攻撃(自身の攻撃ステータスの最大163%ダメージ) + 6回目の攻撃がヒットした場合、敵を中ノックバック</v>
      </c>
      <c r="N162" s="139" t="str">
        <f>IFERROR(__xludf.DUMMYFUNCTION("""COMPUTED_VALUE"""),"ステータスUP + 必殺ワザ性能UP")</f>
        <v>ステータスUP + 必殺ワザ性能UP</v>
      </c>
    </row>
    <row r="163">
      <c r="A163" s="139" t="str">
        <f>IFERROR(__xludf.DUMMYFUNCTION("""COMPUTED_VALUE"""),"e")</f>
        <v>e</v>
      </c>
      <c r="B163" s="139">
        <f>IFERROR(__xludf.DUMMYFUNCTION("""COMPUTED_VALUE"""),2.0250901E8)</f>
        <v>202509010</v>
      </c>
      <c r="C163" s="139" t="str">
        <f>IFERROR(__xludf.DUMMYFUNCTION("""COMPUTED_VALUE"""),"chara_kai_00002_Special_00005")</f>
        <v>chara_kai_00002_Special_00005</v>
      </c>
      <c r="D163" s="139" t="str">
        <f>IFERROR(__xludf.DUMMYFUNCTION("""COMPUTED_VALUE"""),"chara_kai_00002")</f>
        <v>chara_kai_00002</v>
      </c>
      <c r="E163" s="139">
        <f>IFERROR(__xludf.DUMMYFUNCTION("""COMPUTED_VALUE"""),5.0)</f>
        <v>5</v>
      </c>
      <c r="F163" s="139" t="str">
        <f>IFERROR(__xludf.DUMMYFUNCTION("""COMPUTED_VALUE"""),"Special")</f>
        <v>Special</v>
      </c>
      <c r="G163" s="139"/>
      <c r="H163" s="139"/>
      <c r="I163" s="139">
        <f>IFERROR(__xludf.DUMMYFUNCTION("""COMPUTED_VALUE"""),120.0)</f>
        <v>120</v>
      </c>
      <c r="J163" s="139">
        <f>IFERROR(__xludf.DUMMYFUNCTION("""COMPUTED_VALUE"""),0.0)</f>
        <v>0</v>
      </c>
      <c r="K163" s="139">
        <f>IFERROR(__xludf.DUMMYFUNCTION("""COMPUTED_VALUE"""),0.0)</f>
        <v>0</v>
      </c>
      <c r="L163" s="139"/>
      <c r="M163" s="139" t="str">
        <f>IFERROR(__xludf.DUMMYFUNCTION("""COMPUTED_VALUE"""),"敵複数体に最大6回の連続攻撃(自身の攻撃ステータスの最大169%ダメージ) + 6回目の攻撃がヒットした場合、敵を中ノックバック")</f>
        <v>敵複数体に最大6回の連続攻撃(自身の攻撃ステータスの最大169%ダメージ) + 6回目の攻撃がヒットした場合、敵を中ノックバック</v>
      </c>
      <c r="N163" s="139" t="str">
        <f>IFERROR(__xludf.DUMMYFUNCTION("""COMPUTED_VALUE"""),"ステータスUP + 必殺ワザ性能UP")</f>
        <v>ステータスUP + 必殺ワザ性能UP</v>
      </c>
    </row>
    <row r="164">
      <c r="A164" s="139"/>
      <c r="B164" s="139"/>
      <c r="C164" s="139" t="str">
        <f>IFERROR(__xludf.DUMMYFUNCTION("""COMPUTED_VALUE"""),"chara_kai_00002_Special_00006")</f>
        <v>chara_kai_00002_Special_00006</v>
      </c>
      <c r="D164" s="139" t="str">
        <f>IFERROR(__xludf.DUMMYFUNCTION("""COMPUTED_VALUE"""),"chara_kai_00002")</f>
        <v>chara_kai_00002</v>
      </c>
      <c r="E164" s="139">
        <f>IFERROR(__xludf.DUMMYFUNCTION("""COMPUTED_VALUE"""),6.0)</f>
        <v>6</v>
      </c>
      <c r="F164" s="139" t="str">
        <f>IFERROR(__xludf.DUMMYFUNCTION("""COMPUTED_VALUE"""),"Special")</f>
        <v>Special</v>
      </c>
      <c r="G164" s="139"/>
      <c r="H164" s="139"/>
      <c r="I164" s="139">
        <f>IFERROR(__xludf.DUMMYFUNCTION("""COMPUTED_VALUE"""),120.0)</f>
        <v>120</v>
      </c>
      <c r="J164" s="139">
        <f>IFERROR(__xludf.DUMMYFUNCTION("""COMPUTED_VALUE"""),0.0)</f>
        <v>0</v>
      </c>
      <c r="K164" s="139">
        <f>IFERROR(__xludf.DUMMYFUNCTION("""COMPUTED_VALUE"""),0.0)</f>
        <v>0</v>
      </c>
      <c r="L164" s="139"/>
      <c r="M164" s="139"/>
      <c r="N164" s="139"/>
    </row>
    <row r="165">
      <c r="A165" s="139"/>
      <c r="B165" s="139"/>
      <c r="C165" s="139" t="str">
        <f>IFERROR(__xludf.DUMMYFUNCTION("""COMPUTED_VALUE"""),"chara_kai_00002_Special_00007")</f>
        <v>chara_kai_00002_Special_00007</v>
      </c>
      <c r="D165" s="139" t="str">
        <f>IFERROR(__xludf.DUMMYFUNCTION("""COMPUTED_VALUE"""),"chara_kai_00002")</f>
        <v>chara_kai_00002</v>
      </c>
      <c r="E165" s="139">
        <f>IFERROR(__xludf.DUMMYFUNCTION("""COMPUTED_VALUE"""),7.0)</f>
        <v>7</v>
      </c>
      <c r="F165" s="139" t="str">
        <f>IFERROR(__xludf.DUMMYFUNCTION("""COMPUTED_VALUE"""),"Special")</f>
        <v>Special</v>
      </c>
      <c r="G165" s="139"/>
      <c r="H165" s="139"/>
      <c r="I165" s="139">
        <f>IFERROR(__xludf.DUMMYFUNCTION("""COMPUTED_VALUE"""),120.0)</f>
        <v>120</v>
      </c>
      <c r="J165" s="139">
        <f>IFERROR(__xludf.DUMMYFUNCTION("""COMPUTED_VALUE"""),0.0)</f>
        <v>0</v>
      </c>
      <c r="K165" s="139">
        <f>IFERROR(__xludf.DUMMYFUNCTION("""COMPUTED_VALUE"""),0.0)</f>
        <v>0</v>
      </c>
      <c r="L165" s="139"/>
      <c r="M165" s="139"/>
      <c r="N165" s="139"/>
    </row>
    <row r="166">
      <c r="A166" s="139"/>
      <c r="B166" s="139"/>
      <c r="C166" s="139" t="str">
        <f>IFERROR(__xludf.DUMMYFUNCTION("""COMPUTED_VALUE"""),"chara_kai_00002_Special_00008")</f>
        <v>chara_kai_00002_Special_00008</v>
      </c>
      <c r="D166" s="139" t="str">
        <f>IFERROR(__xludf.DUMMYFUNCTION("""COMPUTED_VALUE"""),"chara_kai_00002")</f>
        <v>chara_kai_00002</v>
      </c>
      <c r="E166" s="139">
        <f>IFERROR(__xludf.DUMMYFUNCTION("""COMPUTED_VALUE"""),8.0)</f>
        <v>8</v>
      </c>
      <c r="F166" s="139" t="str">
        <f>IFERROR(__xludf.DUMMYFUNCTION("""COMPUTED_VALUE"""),"Special")</f>
        <v>Special</v>
      </c>
      <c r="G166" s="139"/>
      <c r="H166" s="139"/>
      <c r="I166" s="139">
        <f>IFERROR(__xludf.DUMMYFUNCTION("""COMPUTED_VALUE"""),120.0)</f>
        <v>120</v>
      </c>
      <c r="J166" s="139">
        <f>IFERROR(__xludf.DUMMYFUNCTION("""COMPUTED_VALUE"""),0.0)</f>
        <v>0</v>
      </c>
      <c r="K166" s="139">
        <f>IFERROR(__xludf.DUMMYFUNCTION("""COMPUTED_VALUE"""),0.0)</f>
        <v>0</v>
      </c>
      <c r="L166" s="139"/>
      <c r="M166" s="139"/>
      <c r="N166" s="139"/>
    </row>
    <row r="167">
      <c r="A167" s="139"/>
      <c r="B167" s="139"/>
      <c r="C167" s="139" t="str">
        <f>IFERROR(__xludf.DUMMYFUNCTION("""COMPUTED_VALUE"""),"chara_kai_00002_Special_00009")</f>
        <v>chara_kai_00002_Special_00009</v>
      </c>
      <c r="D167" s="139" t="str">
        <f>IFERROR(__xludf.DUMMYFUNCTION("""COMPUTED_VALUE"""),"chara_kai_00002")</f>
        <v>chara_kai_00002</v>
      </c>
      <c r="E167" s="139">
        <f>IFERROR(__xludf.DUMMYFUNCTION("""COMPUTED_VALUE"""),9.0)</f>
        <v>9</v>
      </c>
      <c r="F167" s="139" t="str">
        <f>IFERROR(__xludf.DUMMYFUNCTION("""COMPUTED_VALUE"""),"Special")</f>
        <v>Special</v>
      </c>
      <c r="G167" s="139"/>
      <c r="H167" s="139"/>
      <c r="I167" s="139">
        <f>IFERROR(__xludf.DUMMYFUNCTION("""COMPUTED_VALUE"""),120.0)</f>
        <v>120</v>
      </c>
      <c r="J167" s="139">
        <f>IFERROR(__xludf.DUMMYFUNCTION("""COMPUTED_VALUE"""),0.0)</f>
        <v>0</v>
      </c>
      <c r="K167" s="139">
        <f>IFERROR(__xludf.DUMMYFUNCTION("""COMPUTED_VALUE"""),0.0)</f>
        <v>0</v>
      </c>
      <c r="L167" s="139"/>
      <c r="M167" s="139"/>
      <c r="N167" s="139"/>
    </row>
    <row r="168">
      <c r="A168" s="139"/>
      <c r="B168" s="139"/>
      <c r="C168" s="139" t="str">
        <f>IFERROR(__xludf.DUMMYFUNCTION("""COMPUTED_VALUE"""),"chara_kai_00002_Special_00010")</f>
        <v>chara_kai_00002_Special_00010</v>
      </c>
      <c r="D168" s="139" t="str">
        <f>IFERROR(__xludf.DUMMYFUNCTION("""COMPUTED_VALUE"""),"chara_kai_00002")</f>
        <v>chara_kai_00002</v>
      </c>
      <c r="E168" s="139">
        <f>IFERROR(__xludf.DUMMYFUNCTION("""COMPUTED_VALUE"""),10.0)</f>
        <v>10</v>
      </c>
      <c r="F168" s="139" t="str">
        <f>IFERROR(__xludf.DUMMYFUNCTION("""COMPUTED_VALUE"""),"Special")</f>
        <v>Special</v>
      </c>
      <c r="G168" s="139"/>
      <c r="H168" s="139"/>
      <c r="I168" s="139">
        <f>IFERROR(__xludf.DUMMYFUNCTION("""COMPUTED_VALUE"""),120.0)</f>
        <v>120</v>
      </c>
      <c r="J168" s="139">
        <f>IFERROR(__xludf.DUMMYFUNCTION("""COMPUTED_VALUE"""),0.0)</f>
        <v>0</v>
      </c>
      <c r="K168" s="139">
        <f>IFERROR(__xludf.DUMMYFUNCTION("""COMPUTED_VALUE"""),0.0)</f>
        <v>0</v>
      </c>
      <c r="L168" s="139"/>
      <c r="M168" s="139"/>
      <c r="N168" s="139"/>
    </row>
    <row r="169">
      <c r="A169" s="139" t="str">
        <f>IFERROR(__xludf.DUMMYFUNCTION("""COMPUTED_VALUE"""),"e")</f>
        <v>e</v>
      </c>
      <c r="B169" s="139">
        <f>IFERROR(__xludf.DUMMYFUNCTION("""COMPUTED_VALUE"""),2.0250901E8)</f>
        <v>202509010</v>
      </c>
      <c r="C169" s="139" t="str">
        <f>IFERROR(__xludf.DUMMYFUNCTION("""COMPUTED_VALUE"""),"chara_dos_00001_Normal_00000")</f>
        <v>chara_dos_00001_Normal_00000</v>
      </c>
      <c r="D169" s="139" t="str">
        <f>IFERROR(__xludf.DUMMYFUNCTION("""COMPUTED_VALUE"""),"chara_dos_00001")</f>
        <v>chara_dos_00001</v>
      </c>
      <c r="E169" s="139">
        <f>IFERROR(__xludf.DUMMYFUNCTION("""COMPUTED_VALUE"""),0.0)</f>
        <v>0</v>
      </c>
      <c r="F169" s="139" t="str">
        <f>IFERROR(__xludf.DUMMYFUNCTION("""COMPUTED_VALUE"""),"Normal")</f>
        <v>Normal</v>
      </c>
      <c r="G169" s="139"/>
      <c r="H169" s="139"/>
      <c r="I169" s="139">
        <f>IFERROR(__xludf.DUMMYFUNCTION("""COMPUTED_VALUE"""),59.0)</f>
        <v>59</v>
      </c>
      <c r="J169" s="139">
        <f>IFERROR(__xludf.DUMMYFUNCTION("""COMPUTED_VALUE"""),30.0)</f>
        <v>30</v>
      </c>
      <c r="K169" s="139">
        <f>IFERROR(__xludf.DUMMYFUNCTION("""COMPUTED_VALUE"""),140.0)</f>
        <v>140</v>
      </c>
      <c r="L169" s="139"/>
      <c r="M169" s="139" t="str">
        <f>IFERROR(__xludf.DUMMYFUNCTION("""COMPUTED_VALUE"""),"表示場所なし")</f>
        <v>表示場所なし</v>
      </c>
      <c r="N169" s="139"/>
    </row>
    <row r="170">
      <c r="A170" s="139" t="str">
        <f>IFERROR(__xludf.DUMMYFUNCTION("""COMPUTED_VALUE"""),"e")</f>
        <v>e</v>
      </c>
      <c r="B170" s="139">
        <f>IFERROR(__xludf.DUMMYFUNCTION("""COMPUTED_VALUE"""),2.0250901E8)</f>
        <v>202509010</v>
      </c>
      <c r="C170" s="139" t="str">
        <f>IFERROR(__xludf.DUMMYFUNCTION("""COMPUTED_VALUE"""),"chara_dos_00001_Special_00001")</f>
        <v>chara_dos_00001_Special_00001</v>
      </c>
      <c r="D170" s="139" t="str">
        <f>IFERROR(__xludf.DUMMYFUNCTION("""COMPUTED_VALUE"""),"chara_dos_00001")</f>
        <v>chara_dos_00001</v>
      </c>
      <c r="E170" s="139">
        <f>IFERROR(__xludf.DUMMYFUNCTION("""COMPUTED_VALUE"""),1.0)</f>
        <v>1</v>
      </c>
      <c r="F170" s="139" t="str">
        <f>IFERROR(__xludf.DUMMYFUNCTION("""COMPUTED_VALUE"""),"Special")</f>
        <v>Special</v>
      </c>
      <c r="G170" s="139"/>
      <c r="H170" s="139"/>
      <c r="I170" s="139">
        <f>IFERROR(__xludf.DUMMYFUNCTION("""COMPUTED_VALUE"""),130.0)</f>
        <v>130</v>
      </c>
      <c r="J170" s="139">
        <f>IFERROR(__xludf.DUMMYFUNCTION("""COMPUTED_VALUE"""),70.0)</f>
        <v>70</v>
      </c>
      <c r="K170" s="139">
        <f>IFERROR(__xludf.DUMMYFUNCTION("""COMPUTED_VALUE"""),0.0)</f>
        <v>0</v>
      </c>
      <c r="L170" s="139"/>
      <c r="M170" s="139" t="str">
        <f>IFERROR(__xludf.DUMMYFUNCTION("""COMPUTED_VALUE"""),"自身と同じコマと一つ先までのコマにいる青属性の味方と自身の攻撃を9秒間、5%UP")</f>
        <v>自身と同じコマと一つ先までのコマにいる青属性の味方と自身の攻撃を9秒間、5%UP</v>
      </c>
      <c r="N170" s="139"/>
    </row>
    <row r="171">
      <c r="A171" s="139" t="str">
        <f>IFERROR(__xludf.DUMMYFUNCTION("""COMPUTED_VALUE"""),"e")</f>
        <v>e</v>
      </c>
      <c r="B171" s="139">
        <f>IFERROR(__xludf.DUMMYFUNCTION("""COMPUTED_VALUE"""),2.0250901E8)</f>
        <v>202509010</v>
      </c>
      <c r="C171" s="139" t="str">
        <f>IFERROR(__xludf.DUMMYFUNCTION("""COMPUTED_VALUE"""),"chara_dos_00001_Special_00002")</f>
        <v>chara_dos_00001_Special_00002</v>
      </c>
      <c r="D171" s="139" t="str">
        <f>IFERROR(__xludf.DUMMYFUNCTION("""COMPUTED_VALUE"""),"chara_dos_00001")</f>
        <v>chara_dos_00001</v>
      </c>
      <c r="E171" s="139">
        <f>IFERROR(__xludf.DUMMYFUNCTION("""COMPUTED_VALUE"""),2.0)</f>
        <v>2</v>
      </c>
      <c r="F171" s="139" t="str">
        <f>IFERROR(__xludf.DUMMYFUNCTION("""COMPUTED_VALUE"""),"Special")</f>
        <v>Special</v>
      </c>
      <c r="G171" s="139"/>
      <c r="H171" s="139"/>
      <c r="I171" s="139">
        <f>IFERROR(__xludf.DUMMYFUNCTION("""COMPUTED_VALUE"""),130.0)</f>
        <v>130</v>
      </c>
      <c r="J171" s="139">
        <f>IFERROR(__xludf.DUMMYFUNCTION("""COMPUTED_VALUE"""),70.0)</f>
        <v>70</v>
      </c>
      <c r="K171" s="139">
        <f>IFERROR(__xludf.DUMMYFUNCTION("""COMPUTED_VALUE"""),0.0)</f>
        <v>0</v>
      </c>
      <c r="L171" s="139"/>
      <c r="M171" s="139" t="str">
        <f>IFERROR(__xludf.DUMMYFUNCTION("""COMPUTED_VALUE"""),"自身と同じコマと一つ先までのコマにいる青属性の味方と自身の攻撃を9.9秒間、7%UP")</f>
        <v>自身と同じコマと一つ先までのコマにいる青属性の味方と自身の攻撃を9.9秒間、7%UP</v>
      </c>
      <c r="N171" s="139" t="str">
        <f>IFERROR(__xludf.DUMMYFUNCTION("""COMPUTED_VALUE"""),"ステータスUP + 必殺ワザ性能UP")</f>
        <v>ステータスUP + 必殺ワザ性能UP</v>
      </c>
    </row>
    <row r="172">
      <c r="A172" s="139" t="str">
        <f>IFERROR(__xludf.DUMMYFUNCTION("""COMPUTED_VALUE"""),"e")</f>
        <v>e</v>
      </c>
      <c r="B172" s="139">
        <f>IFERROR(__xludf.DUMMYFUNCTION("""COMPUTED_VALUE"""),2.0250901E8)</f>
        <v>202509010</v>
      </c>
      <c r="C172" s="139" t="str">
        <f>IFERROR(__xludf.DUMMYFUNCTION("""COMPUTED_VALUE"""),"chara_dos_00001_Special_00003")</f>
        <v>chara_dos_00001_Special_00003</v>
      </c>
      <c r="D172" s="139" t="str">
        <f>IFERROR(__xludf.DUMMYFUNCTION("""COMPUTED_VALUE"""),"chara_dos_00001")</f>
        <v>chara_dos_00001</v>
      </c>
      <c r="E172" s="139">
        <f>IFERROR(__xludf.DUMMYFUNCTION("""COMPUTED_VALUE"""),3.0)</f>
        <v>3</v>
      </c>
      <c r="F172" s="139" t="str">
        <f>IFERROR(__xludf.DUMMYFUNCTION("""COMPUTED_VALUE"""),"Special")</f>
        <v>Special</v>
      </c>
      <c r="G172" s="139"/>
      <c r="H172" s="139"/>
      <c r="I172" s="139">
        <f>IFERROR(__xludf.DUMMYFUNCTION("""COMPUTED_VALUE"""),130.0)</f>
        <v>130</v>
      </c>
      <c r="J172" s="139">
        <f>IFERROR(__xludf.DUMMYFUNCTION("""COMPUTED_VALUE"""),70.0)</f>
        <v>70</v>
      </c>
      <c r="K172" s="139">
        <f>IFERROR(__xludf.DUMMYFUNCTION("""COMPUTED_VALUE"""),0.0)</f>
        <v>0</v>
      </c>
      <c r="L172" s="139"/>
      <c r="M172" s="139" t="str">
        <f>IFERROR(__xludf.DUMMYFUNCTION("""COMPUTED_VALUE"""),"自身と同じコマと一つ先までのコマにいる青属性の味方と自身の攻撃を10.4秒間、8%UP")</f>
        <v>自身と同じコマと一つ先までのコマにいる青属性の味方と自身の攻撃を10.4秒間、8%UP</v>
      </c>
      <c r="N172" s="139" t="str">
        <f>IFERROR(__xludf.DUMMYFUNCTION("""COMPUTED_VALUE"""),"ステータスUP + 必殺ワザ性能UP")</f>
        <v>ステータスUP + 必殺ワザ性能UP</v>
      </c>
    </row>
    <row r="173">
      <c r="A173" s="139" t="str">
        <f>IFERROR(__xludf.DUMMYFUNCTION("""COMPUTED_VALUE"""),"e")</f>
        <v>e</v>
      </c>
      <c r="B173" s="139">
        <f>IFERROR(__xludf.DUMMYFUNCTION("""COMPUTED_VALUE"""),2.0250901E8)</f>
        <v>202509010</v>
      </c>
      <c r="C173" s="139" t="str">
        <f>IFERROR(__xludf.DUMMYFUNCTION("""COMPUTED_VALUE"""),"chara_dos_00001_Special_00004")</f>
        <v>chara_dos_00001_Special_00004</v>
      </c>
      <c r="D173" s="139" t="str">
        <f>IFERROR(__xludf.DUMMYFUNCTION("""COMPUTED_VALUE"""),"chara_dos_00001")</f>
        <v>chara_dos_00001</v>
      </c>
      <c r="E173" s="139">
        <f>IFERROR(__xludf.DUMMYFUNCTION("""COMPUTED_VALUE"""),4.0)</f>
        <v>4</v>
      </c>
      <c r="F173" s="139" t="str">
        <f>IFERROR(__xludf.DUMMYFUNCTION("""COMPUTED_VALUE"""),"Special")</f>
        <v>Special</v>
      </c>
      <c r="G173" s="139"/>
      <c r="H173" s="139"/>
      <c r="I173" s="139">
        <f>IFERROR(__xludf.DUMMYFUNCTION("""COMPUTED_VALUE"""),130.0)</f>
        <v>130</v>
      </c>
      <c r="J173" s="139">
        <f>IFERROR(__xludf.DUMMYFUNCTION("""COMPUTED_VALUE"""),70.0)</f>
        <v>70</v>
      </c>
      <c r="K173" s="139">
        <f>IFERROR(__xludf.DUMMYFUNCTION("""COMPUTED_VALUE"""),0.0)</f>
        <v>0</v>
      </c>
      <c r="L173" s="139"/>
      <c r="M173" s="139" t="str">
        <f>IFERROR(__xludf.DUMMYFUNCTION("""COMPUTED_VALUE"""),"自身と同じコマと一つ先までのコマにいる青属性の味方と自身の攻撃を10.8秒間、9%UP")</f>
        <v>自身と同じコマと一つ先までのコマにいる青属性の味方と自身の攻撃を10.8秒間、9%UP</v>
      </c>
      <c r="N173" s="139" t="str">
        <f>IFERROR(__xludf.DUMMYFUNCTION("""COMPUTED_VALUE"""),"ステータスUP + 必殺ワザ性能UP")</f>
        <v>ステータスUP + 必殺ワザ性能UP</v>
      </c>
    </row>
    <row r="174">
      <c r="A174" s="139" t="str">
        <f>IFERROR(__xludf.DUMMYFUNCTION("""COMPUTED_VALUE"""),"e")</f>
        <v>e</v>
      </c>
      <c r="B174" s="139">
        <f>IFERROR(__xludf.DUMMYFUNCTION("""COMPUTED_VALUE"""),2.0250901E8)</f>
        <v>202509010</v>
      </c>
      <c r="C174" s="139" t="str">
        <f>IFERROR(__xludf.DUMMYFUNCTION("""COMPUTED_VALUE"""),"chara_dos_00001_Special_00005")</f>
        <v>chara_dos_00001_Special_00005</v>
      </c>
      <c r="D174" s="139" t="str">
        <f>IFERROR(__xludf.DUMMYFUNCTION("""COMPUTED_VALUE"""),"chara_dos_00001")</f>
        <v>chara_dos_00001</v>
      </c>
      <c r="E174" s="139">
        <f>IFERROR(__xludf.DUMMYFUNCTION("""COMPUTED_VALUE"""),5.0)</f>
        <v>5</v>
      </c>
      <c r="F174" s="139" t="str">
        <f>IFERROR(__xludf.DUMMYFUNCTION("""COMPUTED_VALUE"""),"Special")</f>
        <v>Special</v>
      </c>
      <c r="G174" s="139"/>
      <c r="H174" s="139"/>
      <c r="I174" s="139">
        <f>IFERROR(__xludf.DUMMYFUNCTION("""COMPUTED_VALUE"""),130.0)</f>
        <v>130</v>
      </c>
      <c r="J174" s="139">
        <f>IFERROR(__xludf.DUMMYFUNCTION("""COMPUTED_VALUE"""),70.0)</f>
        <v>70</v>
      </c>
      <c r="K174" s="139">
        <f>IFERROR(__xludf.DUMMYFUNCTION("""COMPUTED_VALUE"""),0.0)</f>
        <v>0</v>
      </c>
      <c r="L174" s="139"/>
      <c r="M174" s="139" t="str">
        <f>IFERROR(__xludf.DUMMYFUNCTION("""COMPUTED_VALUE"""),"自身と同じコマと一つ先までのコマにいる青属性の味方と自身の攻撃を11秒間、10%UP")</f>
        <v>自身と同じコマと一つ先までのコマにいる青属性の味方と自身の攻撃を11秒間、10%UP</v>
      </c>
      <c r="N174" s="139" t="str">
        <f>IFERROR(__xludf.DUMMYFUNCTION("""COMPUTED_VALUE"""),"ステータスUP + 必殺ワザ性能UP")</f>
        <v>ステータスUP + 必殺ワザ性能UP</v>
      </c>
    </row>
    <row r="175">
      <c r="A175" s="139"/>
      <c r="B175" s="139"/>
      <c r="C175" s="139" t="str">
        <f>IFERROR(__xludf.DUMMYFUNCTION("""COMPUTED_VALUE"""),"chara_dos_00001_Special_00006")</f>
        <v>chara_dos_00001_Special_00006</v>
      </c>
      <c r="D175" s="139" t="str">
        <f>IFERROR(__xludf.DUMMYFUNCTION("""COMPUTED_VALUE"""),"chara_dos_00001")</f>
        <v>chara_dos_00001</v>
      </c>
      <c r="E175" s="139">
        <f>IFERROR(__xludf.DUMMYFUNCTION("""COMPUTED_VALUE"""),6.0)</f>
        <v>6</v>
      </c>
      <c r="F175" s="139" t="str">
        <f>IFERROR(__xludf.DUMMYFUNCTION("""COMPUTED_VALUE"""),"Special")</f>
        <v>Special</v>
      </c>
      <c r="G175" s="139"/>
      <c r="H175" s="139"/>
      <c r="I175" s="139">
        <f>IFERROR(__xludf.DUMMYFUNCTION("""COMPUTED_VALUE"""),130.0)</f>
        <v>130</v>
      </c>
      <c r="J175" s="139">
        <f>IFERROR(__xludf.DUMMYFUNCTION("""COMPUTED_VALUE"""),70.0)</f>
        <v>70</v>
      </c>
      <c r="K175" s="139">
        <f>IFERROR(__xludf.DUMMYFUNCTION("""COMPUTED_VALUE"""),0.0)</f>
        <v>0</v>
      </c>
      <c r="L175" s="139"/>
      <c r="M175" s="139"/>
      <c r="N175" s="139"/>
    </row>
    <row r="176">
      <c r="A176" s="139"/>
      <c r="B176" s="139"/>
      <c r="C176" s="139" t="str">
        <f>IFERROR(__xludf.DUMMYFUNCTION("""COMPUTED_VALUE"""),"chara_dos_00001_Special_00007")</f>
        <v>chara_dos_00001_Special_00007</v>
      </c>
      <c r="D176" s="139" t="str">
        <f>IFERROR(__xludf.DUMMYFUNCTION("""COMPUTED_VALUE"""),"chara_dos_00001")</f>
        <v>chara_dos_00001</v>
      </c>
      <c r="E176" s="139">
        <f>IFERROR(__xludf.DUMMYFUNCTION("""COMPUTED_VALUE"""),7.0)</f>
        <v>7</v>
      </c>
      <c r="F176" s="139" t="str">
        <f>IFERROR(__xludf.DUMMYFUNCTION("""COMPUTED_VALUE"""),"Special")</f>
        <v>Special</v>
      </c>
      <c r="G176" s="139"/>
      <c r="H176" s="139"/>
      <c r="I176" s="139">
        <f>IFERROR(__xludf.DUMMYFUNCTION("""COMPUTED_VALUE"""),130.0)</f>
        <v>130</v>
      </c>
      <c r="J176" s="139">
        <f>IFERROR(__xludf.DUMMYFUNCTION("""COMPUTED_VALUE"""),70.0)</f>
        <v>70</v>
      </c>
      <c r="K176" s="139">
        <f>IFERROR(__xludf.DUMMYFUNCTION("""COMPUTED_VALUE"""),0.0)</f>
        <v>0</v>
      </c>
      <c r="L176" s="139"/>
      <c r="M176" s="139"/>
      <c r="N176" s="139"/>
    </row>
    <row r="177">
      <c r="A177" s="139"/>
      <c r="B177" s="139"/>
      <c r="C177" s="139" t="str">
        <f>IFERROR(__xludf.DUMMYFUNCTION("""COMPUTED_VALUE"""),"chara_dos_00001_Special_00008")</f>
        <v>chara_dos_00001_Special_00008</v>
      </c>
      <c r="D177" s="139" t="str">
        <f>IFERROR(__xludf.DUMMYFUNCTION("""COMPUTED_VALUE"""),"chara_dos_00001")</f>
        <v>chara_dos_00001</v>
      </c>
      <c r="E177" s="139">
        <f>IFERROR(__xludf.DUMMYFUNCTION("""COMPUTED_VALUE"""),8.0)</f>
        <v>8</v>
      </c>
      <c r="F177" s="139" t="str">
        <f>IFERROR(__xludf.DUMMYFUNCTION("""COMPUTED_VALUE"""),"Special")</f>
        <v>Special</v>
      </c>
      <c r="G177" s="139"/>
      <c r="H177" s="139"/>
      <c r="I177" s="139">
        <f>IFERROR(__xludf.DUMMYFUNCTION("""COMPUTED_VALUE"""),130.0)</f>
        <v>130</v>
      </c>
      <c r="J177" s="139">
        <f>IFERROR(__xludf.DUMMYFUNCTION("""COMPUTED_VALUE"""),70.0)</f>
        <v>70</v>
      </c>
      <c r="K177" s="139">
        <f>IFERROR(__xludf.DUMMYFUNCTION("""COMPUTED_VALUE"""),0.0)</f>
        <v>0</v>
      </c>
      <c r="L177" s="139"/>
      <c r="M177" s="139"/>
      <c r="N177" s="139"/>
    </row>
    <row r="178">
      <c r="A178" s="139"/>
      <c r="B178" s="139"/>
      <c r="C178" s="139" t="str">
        <f>IFERROR(__xludf.DUMMYFUNCTION("""COMPUTED_VALUE"""),"chara_dos_00001_Special_00009")</f>
        <v>chara_dos_00001_Special_00009</v>
      </c>
      <c r="D178" s="139" t="str">
        <f>IFERROR(__xludf.DUMMYFUNCTION("""COMPUTED_VALUE"""),"chara_dos_00001")</f>
        <v>chara_dos_00001</v>
      </c>
      <c r="E178" s="139">
        <f>IFERROR(__xludf.DUMMYFUNCTION("""COMPUTED_VALUE"""),9.0)</f>
        <v>9</v>
      </c>
      <c r="F178" s="139" t="str">
        <f>IFERROR(__xludf.DUMMYFUNCTION("""COMPUTED_VALUE"""),"Special")</f>
        <v>Special</v>
      </c>
      <c r="G178" s="139"/>
      <c r="H178" s="139"/>
      <c r="I178" s="139">
        <f>IFERROR(__xludf.DUMMYFUNCTION("""COMPUTED_VALUE"""),130.0)</f>
        <v>130</v>
      </c>
      <c r="J178" s="139">
        <f>IFERROR(__xludf.DUMMYFUNCTION("""COMPUTED_VALUE"""),70.0)</f>
        <v>70</v>
      </c>
      <c r="K178" s="139">
        <f>IFERROR(__xludf.DUMMYFUNCTION("""COMPUTED_VALUE"""),0.0)</f>
        <v>0</v>
      </c>
      <c r="L178" s="139"/>
      <c r="M178" s="139"/>
      <c r="N178" s="139"/>
    </row>
    <row r="179">
      <c r="A179" s="139"/>
      <c r="B179" s="139"/>
      <c r="C179" s="139" t="str">
        <f>IFERROR(__xludf.DUMMYFUNCTION("""COMPUTED_VALUE"""),"chara_dos_00001_Special_00010")</f>
        <v>chara_dos_00001_Special_00010</v>
      </c>
      <c r="D179" s="139" t="str">
        <f>IFERROR(__xludf.DUMMYFUNCTION("""COMPUTED_VALUE"""),"chara_dos_00001")</f>
        <v>chara_dos_00001</v>
      </c>
      <c r="E179" s="139">
        <f>IFERROR(__xludf.DUMMYFUNCTION("""COMPUTED_VALUE"""),10.0)</f>
        <v>10</v>
      </c>
      <c r="F179" s="139" t="str">
        <f>IFERROR(__xludf.DUMMYFUNCTION("""COMPUTED_VALUE"""),"Special")</f>
        <v>Special</v>
      </c>
      <c r="G179" s="139"/>
      <c r="H179" s="139"/>
      <c r="I179" s="139">
        <f>IFERROR(__xludf.DUMMYFUNCTION("""COMPUTED_VALUE"""),130.0)</f>
        <v>130</v>
      </c>
      <c r="J179" s="139">
        <f>IFERROR(__xludf.DUMMYFUNCTION("""COMPUTED_VALUE"""),70.0)</f>
        <v>70</v>
      </c>
      <c r="K179" s="139">
        <f>IFERROR(__xludf.DUMMYFUNCTION("""COMPUTED_VALUE"""),0.0)</f>
        <v>0</v>
      </c>
      <c r="L179" s="139"/>
      <c r="M179" s="139"/>
      <c r="N179" s="139"/>
    </row>
    <row r="180">
      <c r="A180" s="139" t="str">
        <f>IFERROR(__xludf.DUMMYFUNCTION("""COMPUTED_VALUE"""),"e")</f>
        <v>e</v>
      </c>
      <c r="B180" s="139">
        <f>IFERROR(__xludf.DUMMYFUNCTION("""COMPUTED_VALUE"""),2.0250901E8)</f>
        <v>202509010</v>
      </c>
      <c r="C180" s="139" t="str">
        <f>IFERROR(__xludf.DUMMYFUNCTION("""COMPUTED_VALUE"""),"chara_chi_00001_Normal_00000")</f>
        <v>chara_chi_00001_Normal_00000</v>
      </c>
      <c r="D180" s="139" t="str">
        <f>IFERROR(__xludf.DUMMYFUNCTION("""COMPUTED_VALUE"""),"chara_chi_00001")</f>
        <v>chara_chi_00001</v>
      </c>
      <c r="E180" s="139">
        <f>IFERROR(__xludf.DUMMYFUNCTION("""COMPUTED_VALUE"""),0.0)</f>
        <v>0</v>
      </c>
      <c r="F180" s="139" t="str">
        <f>IFERROR(__xludf.DUMMYFUNCTION("""COMPUTED_VALUE"""),"Normal")</f>
        <v>Normal</v>
      </c>
      <c r="G180" s="139"/>
      <c r="H180" s="139"/>
      <c r="I180" s="139">
        <f>IFERROR(__xludf.DUMMYFUNCTION("""COMPUTED_VALUE"""),70.0)</f>
        <v>70</v>
      </c>
      <c r="J180" s="139">
        <f>IFERROR(__xludf.DUMMYFUNCTION("""COMPUTED_VALUE"""),27.0)</f>
        <v>27</v>
      </c>
      <c r="K180" s="139">
        <f>IFERROR(__xludf.DUMMYFUNCTION("""COMPUTED_VALUE"""),50.0)</f>
        <v>50</v>
      </c>
      <c r="L180" s="139"/>
      <c r="M180" s="139" t="str">
        <f>IFERROR(__xludf.DUMMYFUNCTION("""COMPUTED_VALUE"""),"表示場所なし")</f>
        <v>表示場所なし</v>
      </c>
      <c r="N180" s="139"/>
    </row>
    <row r="181">
      <c r="A181" s="139" t="str">
        <f>IFERROR(__xludf.DUMMYFUNCTION("""COMPUTED_VALUE"""),"e")</f>
        <v>e</v>
      </c>
      <c r="B181" s="139">
        <f>IFERROR(__xludf.DUMMYFUNCTION("""COMPUTED_VALUE"""),2.0250901E8)</f>
        <v>202509010</v>
      </c>
      <c r="C181" s="139" t="str">
        <f>IFERROR(__xludf.DUMMYFUNCTION("""COMPUTED_VALUE"""),"chara_chi_00001_Special_00001")</f>
        <v>chara_chi_00001_Special_00001</v>
      </c>
      <c r="D181" s="139" t="str">
        <f>IFERROR(__xludf.DUMMYFUNCTION("""COMPUTED_VALUE"""),"chara_chi_00001")</f>
        <v>chara_chi_00001</v>
      </c>
      <c r="E181" s="139">
        <f>IFERROR(__xludf.DUMMYFUNCTION("""COMPUTED_VALUE"""),1.0)</f>
        <v>1</v>
      </c>
      <c r="F181" s="139" t="str">
        <f>IFERROR(__xludf.DUMMYFUNCTION("""COMPUTED_VALUE"""),"Special")</f>
        <v>Special</v>
      </c>
      <c r="G181" s="139" t="str">
        <f>IFERROR(__xludf.DUMMYFUNCTION("""COMPUTED_VALUE"""),"Yellow")</f>
        <v>Yellow</v>
      </c>
      <c r="H181" s="139">
        <f>IFERROR(__xludf.DUMMYFUNCTION("""COMPUTED_VALUE"""),105.0)</f>
        <v>105</v>
      </c>
      <c r="I181" s="139">
        <f>IFERROR(__xludf.DUMMYFUNCTION("""COMPUTED_VALUE"""),169.0)</f>
        <v>169</v>
      </c>
      <c r="J181" s="139">
        <f>IFERROR(__xludf.DUMMYFUNCTION("""COMPUTED_VALUE"""),79.0)</f>
        <v>79</v>
      </c>
      <c r="K181" s="139">
        <f>IFERROR(__xludf.DUMMYFUNCTION("""COMPUTED_VALUE"""),0.0)</f>
        <v>0</v>
      </c>
      <c r="L181" s="139"/>
      <c r="M181" s="139" t="str">
        <f>IFERROR(__xludf.DUMMYFUNCTION("""COMPUTED_VALUE"""),"敵単体に自身の攻撃ステータスの100%のダメージ(敵が黄属性の場合は105%のダメージ)")</f>
        <v>敵単体に自身の攻撃ステータスの100%のダメージ(敵が黄属性の場合は105%のダメージ)</v>
      </c>
      <c r="N181" s="139"/>
    </row>
    <row r="182">
      <c r="A182" s="139" t="str">
        <f>IFERROR(__xludf.DUMMYFUNCTION("""COMPUTED_VALUE"""),"e")</f>
        <v>e</v>
      </c>
      <c r="B182" s="139">
        <f>IFERROR(__xludf.DUMMYFUNCTION("""COMPUTED_VALUE"""),2.0250901E8)</f>
        <v>202509010</v>
      </c>
      <c r="C182" s="139" t="str">
        <f>IFERROR(__xludf.DUMMYFUNCTION("""COMPUTED_VALUE"""),"chara_chi_00001_Special_00002")</f>
        <v>chara_chi_00001_Special_00002</v>
      </c>
      <c r="D182" s="139" t="str">
        <f>IFERROR(__xludf.DUMMYFUNCTION("""COMPUTED_VALUE"""),"chara_chi_00001")</f>
        <v>chara_chi_00001</v>
      </c>
      <c r="E182" s="139">
        <f>IFERROR(__xludf.DUMMYFUNCTION("""COMPUTED_VALUE"""),2.0)</f>
        <v>2</v>
      </c>
      <c r="F182" s="139" t="str">
        <f>IFERROR(__xludf.DUMMYFUNCTION("""COMPUTED_VALUE"""),"Special")</f>
        <v>Special</v>
      </c>
      <c r="G182" s="139" t="str">
        <f>IFERROR(__xludf.DUMMYFUNCTION("""COMPUTED_VALUE"""),"Yellow")</f>
        <v>Yellow</v>
      </c>
      <c r="H182" s="139">
        <f>IFERROR(__xludf.DUMMYFUNCTION("""COMPUTED_VALUE"""),116.0)</f>
        <v>116</v>
      </c>
      <c r="I182" s="139">
        <f>IFERROR(__xludf.DUMMYFUNCTION("""COMPUTED_VALUE"""),169.0)</f>
        <v>169</v>
      </c>
      <c r="J182" s="139">
        <f>IFERROR(__xludf.DUMMYFUNCTION("""COMPUTED_VALUE"""),79.0)</f>
        <v>79</v>
      </c>
      <c r="K182" s="139">
        <f>IFERROR(__xludf.DUMMYFUNCTION("""COMPUTED_VALUE"""),0.0)</f>
        <v>0</v>
      </c>
      <c r="L182" s="139"/>
      <c r="M182" s="139" t="str">
        <f>IFERROR(__xludf.DUMMYFUNCTION("""COMPUTED_VALUE"""),"敵単体に自身の攻撃ステータスの100%のダメージ(敵が黄属性の場合は116%のダメージ)")</f>
        <v>敵単体に自身の攻撃ステータスの100%のダメージ(敵が黄属性の場合は116%のダメージ)</v>
      </c>
      <c r="N182" s="139" t="str">
        <f>IFERROR(__xludf.DUMMYFUNCTION("""COMPUTED_VALUE"""),"ステータスUP + 必殺ワザ性能UP")</f>
        <v>ステータスUP + 必殺ワザ性能UP</v>
      </c>
    </row>
    <row r="183">
      <c r="A183" s="139" t="str">
        <f>IFERROR(__xludf.DUMMYFUNCTION("""COMPUTED_VALUE"""),"e")</f>
        <v>e</v>
      </c>
      <c r="B183" s="139">
        <f>IFERROR(__xludf.DUMMYFUNCTION("""COMPUTED_VALUE"""),2.0250901E8)</f>
        <v>202509010</v>
      </c>
      <c r="C183" s="139" t="str">
        <f>IFERROR(__xludf.DUMMYFUNCTION("""COMPUTED_VALUE"""),"chara_chi_00001_Special_00003")</f>
        <v>chara_chi_00001_Special_00003</v>
      </c>
      <c r="D183" s="139" t="str">
        <f>IFERROR(__xludf.DUMMYFUNCTION("""COMPUTED_VALUE"""),"chara_chi_00001")</f>
        <v>chara_chi_00001</v>
      </c>
      <c r="E183" s="139">
        <f>IFERROR(__xludf.DUMMYFUNCTION("""COMPUTED_VALUE"""),3.0)</f>
        <v>3</v>
      </c>
      <c r="F183" s="139" t="str">
        <f>IFERROR(__xludf.DUMMYFUNCTION("""COMPUTED_VALUE"""),"Special")</f>
        <v>Special</v>
      </c>
      <c r="G183" s="139" t="str">
        <f>IFERROR(__xludf.DUMMYFUNCTION("""COMPUTED_VALUE"""),"Yellow")</f>
        <v>Yellow</v>
      </c>
      <c r="H183" s="139">
        <f>IFERROR(__xludf.DUMMYFUNCTION("""COMPUTED_VALUE"""),124.0)</f>
        <v>124</v>
      </c>
      <c r="I183" s="139">
        <f>IFERROR(__xludf.DUMMYFUNCTION("""COMPUTED_VALUE"""),169.0)</f>
        <v>169</v>
      </c>
      <c r="J183" s="139">
        <f>IFERROR(__xludf.DUMMYFUNCTION("""COMPUTED_VALUE"""),79.0)</f>
        <v>79</v>
      </c>
      <c r="K183" s="139">
        <f>IFERROR(__xludf.DUMMYFUNCTION("""COMPUTED_VALUE"""),0.0)</f>
        <v>0</v>
      </c>
      <c r="L183" s="139"/>
      <c r="M183" s="139" t="str">
        <f>IFERROR(__xludf.DUMMYFUNCTION("""COMPUTED_VALUE"""),"敵単体に自身の攻撃ステータスの100%のダメージ(敵が黄属性の場合は124%のダメージ)")</f>
        <v>敵単体に自身の攻撃ステータスの100%のダメージ(敵が黄属性の場合は124%のダメージ)</v>
      </c>
      <c r="N183" s="139" t="str">
        <f>IFERROR(__xludf.DUMMYFUNCTION("""COMPUTED_VALUE"""),"ステータスUP + 必殺ワザ性能UP")</f>
        <v>ステータスUP + 必殺ワザ性能UP</v>
      </c>
    </row>
    <row r="184">
      <c r="A184" s="139" t="str">
        <f>IFERROR(__xludf.DUMMYFUNCTION("""COMPUTED_VALUE"""),"e")</f>
        <v>e</v>
      </c>
      <c r="B184" s="139">
        <f>IFERROR(__xludf.DUMMYFUNCTION("""COMPUTED_VALUE"""),2.0250901E8)</f>
        <v>202509010</v>
      </c>
      <c r="C184" s="139" t="str">
        <f>IFERROR(__xludf.DUMMYFUNCTION("""COMPUTED_VALUE"""),"chara_chi_00001_Special_00004")</f>
        <v>chara_chi_00001_Special_00004</v>
      </c>
      <c r="D184" s="139" t="str">
        <f>IFERROR(__xludf.DUMMYFUNCTION("""COMPUTED_VALUE"""),"chara_chi_00001")</f>
        <v>chara_chi_00001</v>
      </c>
      <c r="E184" s="139">
        <f>IFERROR(__xludf.DUMMYFUNCTION("""COMPUTED_VALUE"""),4.0)</f>
        <v>4</v>
      </c>
      <c r="F184" s="139" t="str">
        <f>IFERROR(__xludf.DUMMYFUNCTION("""COMPUTED_VALUE"""),"Special")</f>
        <v>Special</v>
      </c>
      <c r="G184" s="139" t="str">
        <f>IFERROR(__xludf.DUMMYFUNCTION("""COMPUTED_VALUE"""),"Yellow")</f>
        <v>Yellow</v>
      </c>
      <c r="H184" s="139">
        <f>IFERROR(__xludf.DUMMYFUNCTION("""COMPUTED_VALUE"""),130.0)</f>
        <v>130</v>
      </c>
      <c r="I184" s="139">
        <f>IFERROR(__xludf.DUMMYFUNCTION("""COMPUTED_VALUE"""),169.0)</f>
        <v>169</v>
      </c>
      <c r="J184" s="139">
        <f>IFERROR(__xludf.DUMMYFUNCTION("""COMPUTED_VALUE"""),79.0)</f>
        <v>79</v>
      </c>
      <c r="K184" s="139">
        <f>IFERROR(__xludf.DUMMYFUNCTION("""COMPUTED_VALUE"""),0.0)</f>
        <v>0</v>
      </c>
      <c r="L184" s="139"/>
      <c r="M184" s="139" t="str">
        <f>IFERROR(__xludf.DUMMYFUNCTION("""COMPUTED_VALUE"""),"敵単体に自身の攻撃ステータスの100%のダメージ(敵が黄属性の場合は130%のダメージ)")</f>
        <v>敵単体に自身の攻撃ステータスの100%のダメージ(敵が黄属性の場合は130%のダメージ)</v>
      </c>
      <c r="N184" s="139" t="str">
        <f>IFERROR(__xludf.DUMMYFUNCTION("""COMPUTED_VALUE"""),"ステータスUP + 必殺ワザ性能UP")</f>
        <v>ステータスUP + 必殺ワザ性能UP</v>
      </c>
    </row>
    <row r="185">
      <c r="A185" s="139" t="str">
        <f>IFERROR(__xludf.DUMMYFUNCTION("""COMPUTED_VALUE"""),"e")</f>
        <v>e</v>
      </c>
      <c r="B185" s="139">
        <f>IFERROR(__xludf.DUMMYFUNCTION("""COMPUTED_VALUE"""),2.0250901E8)</f>
        <v>202509010</v>
      </c>
      <c r="C185" s="139" t="str">
        <f>IFERROR(__xludf.DUMMYFUNCTION("""COMPUTED_VALUE"""),"chara_chi_00001_Special_00005")</f>
        <v>chara_chi_00001_Special_00005</v>
      </c>
      <c r="D185" s="139" t="str">
        <f>IFERROR(__xludf.DUMMYFUNCTION("""COMPUTED_VALUE"""),"chara_chi_00001")</f>
        <v>chara_chi_00001</v>
      </c>
      <c r="E185" s="139">
        <f>IFERROR(__xludf.DUMMYFUNCTION("""COMPUTED_VALUE"""),5.0)</f>
        <v>5</v>
      </c>
      <c r="F185" s="139" t="str">
        <f>IFERROR(__xludf.DUMMYFUNCTION("""COMPUTED_VALUE"""),"Special")</f>
        <v>Special</v>
      </c>
      <c r="G185" s="139" t="str">
        <f>IFERROR(__xludf.DUMMYFUNCTION("""COMPUTED_VALUE"""),"Yellow")</f>
        <v>Yellow</v>
      </c>
      <c r="H185" s="139">
        <f>IFERROR(__xludf.DUMMYFUNCTION("""COMPUTED_VALUE"""),135.0)</f>
        <v>135</v>
      </c>
      <c r="I185" s="139">
        <f>IFERROR(__xludf.DUMMYFUNCTION("""COMPUTED_VALUE"""),169.0)</f>
        <v>169</v>
      </c>
      <c r="J185" s="139">
        <f>IFERROR(__xludf.DUMMYFUNCTION("""COMPUTED_VALUE"""),79.0)</f>
        <v>79</v>
      </c>
      <c r="K185" s="139">
        <f>IFERROR(__xludf.DUMMYFUNCTION("""COMPUTED_VALUE"""),0.0)</f>
        <v>0</v>
      </c>
      <c r="L185" s="139"/>
      <c r="M185" s="139" t="str">
        <f>IFERROR(__xludf.DUMMYFUNCTION("""COMPUTED_VALUE"""),"敵単体に自身の攻撃ステータスの100%のダメージ(敵が黄属性の場合は135%のダメージ)")</f>
        <v>敵単体に自身の攻撃ステータスの100%のダメージ(敵が黄属性の場合は135%のダメージ)</v>
      </c>
      <c r="N185" s="139" t="str">
        <f>IFERROR(__xludf.DUMMYFUNCTION("""COMPUTED_VALUE"""),"ステータスUP + 必殺ワザ性能UP")</f>
        <v>ステータスUP + 必殺ワザ性能UP</v>
      </c>
    </row>
    <row r="186">
      <c r="A186" s="139"/>
      <c r="B186" s="139"/>
      <c r="C186" s="139" t="str">
        <f>IFERROR(__xludf.DUMMYFUNCTION("""COMPUTED_VALUE"""),"chara_chi_00001_Special_00006")</f>
        <v>chara_chi_00001_Special_00006</v>
      </c>
      <c r="D186" s="139" t="str">
        <f>IFERROR(__xludf.DUMMYFUNCTION("""COMPUTED_VALUE"""),"chara_chi_00001")</f>
        <v>chara_chi_00001</v>
      </c>
      <c r="E186" s="139">
        <f>IFERROR(__xludf.DUMMYFUNCTION("""COMPUTED_VALUE"""),6.0)</f>
        <v>6</v>
      </c>
      <c r="F186" s="139" t="str">
        <f>IFERROR(__xludf.DUMMYFUNCTION("""COMPUTED_VALUE"""),"Special")</f>
        <v>Special</v>
      </c>
      <c r="G186" s="139" t="str">
        <f>IFERROR(__xludf.DUMMYFUNCTION("""COMPUTED_VALUE"""),"Yellow")</f>
        <v>Yellow</v>
      </c>
      <c r="H186" s="139">
        <f>IFERROR(__xludf.DUMMYFUNCTION("""COMPUTED_VALUE"""),170.0)</f>
        <v>170</v>
      </c>
      <c r="I186" s="139">
        <f>IFERROR(__xludf.DUMMYFUNCTION("""COMPUTED_VALUE"""),169.0)</f>
        <v>169</v>
      </c>
      <c r="J186" s="139">
        <f>IFERROR(__xludf.DUMMYFUNCTION("""COMPUTED_VALUE"""),79.0)</f>
        <v>79</v>
      </c>
      <c r="K186" s="139">
        <f>IFERROR(__xludf.DUMMYFUNCTION("""COMPUTED_VALUE"""),0.0)</f>
        <v>0</v>
      </c>
      <c r="L186" s="139"/>
      <c r="M186" s="139"/>
      <c r="N186" s="139"/>
    </row>
    <row r="187">
      <c r="A187" s="139"/>
      <c r="B187" s="139"/>
      <c r="C187" s="139" t="str">
        <f>IFERROR(__xludf.DUMMYFUNCTION("""COMPUTED_VALUE"""),"chara_chi_00001_Special_00007")</f>
        <v>chara_chi_00001_Special_00007</v>
      </c>
      <c r="D187" s="139" t="str">
        <f>IFERROR(__xludf.DUMMYFUNCTION("""COMPUTED_VALUE"""),"chara_chi_00001")</f>
        <v>chara_chi_00001</v>
      </c>
      <c r="E187" s="139">
        <f>IFERROR(__xludf.DUMMYFUNCTION("""COMPUTED_VALUE"""),7.0)</f>
        <v>7</v>
      </c>
      <c r="F187" s="139" t="str">
        <f>IFERROR(__xludf.DUMMYFUNCTION("""COMPUTED_VALUE"""),"Special")</f>
        <v>Special</v>
      </c>
      <c r="G187" s="139" t="str">
        <f>IFERROR(__xludf.DUMMYFUNCTION("""COMPUTED_VALUE"""),"Yellow")</f>
        <v>Yellow</v>
      </c>
      <c r="H187" s="139">
        <f>IFERROR(__xludf.DUMMYFUNCTION("""COMPUTED_VALUE"""),170.0)</f>
        <v>170</v>
      </c>
      <c r="I187" s="139">
        <f>IFERROR(__xludf.DUMMYFUNCTION("""COMPUTED_VALUE"""),169.0)</f>
        <v>169</v>
      </c>
      <c r="J187" s="139">
        <f>IFERROR(__xludf.DUMMYFUNCTION("""COMPUTED_VALUE"""),79.0)</f>
        <v>79</v>
      </c>
      <c r="K187" s="139">
        <f>IFERROR(__xludf.DUMMYFUNCTION("""COMPUTED_VALUE"""),0.0)</f>
        <v>0</v>
      </c>
      <c r="L187" s="139"/>
      <c r="M187" s="139"/>
      <c r="N187" s="139"/>
    </row>
    <row r="188">
      <c r="A188" s="139"/>
      <c r="B188" s="139"/>
      <c r="C188" s="139" t="str">
        <f>IFERROR(__xludf.DUMMYFUNCTION("""COMPUTED_VALUE"""),"chara_chi_00001_Special_00008")</f>
        <v>chara_chi_00001_Special_00008</v>
      </c>
      <c r="D188" s="139" t="str">
        <f>IFERROR(__xludf.DUMMYFUNCTION("""COMPUTED_VALUE"""),"chara_chi_00001")</f>
        <v>chara_chi_00001</v>
      </c>
      <c r="E188" s="139">
        <f>IFERROR(__xludf.DUMMYFUNCTION("""COMPUTED_VALUE"""),8.0)</f>
        <v>8</v>
      </c>
      <c r="F188" s="139" t="str">
        <f>IFERROR(__xludf.DUMMYFUNCTION("""COMPUTED_VALUE"""),"Special")</f>
        <v>Special</v>
      </c>
      <c r="G188" s="139" t="str">
        <f>IFERROR(__xludf.DUMMYFUNCTION("""COMPUTED_VALUE"""),"Yellow")</f>
        <v>Yellow</v>
      </c>
      <c r="H188" s="139">
        <f>IFERROR(__xludf.DUMMYFUNCTION("""COMPUTED_VALUE"""),170.0)</f>
        <v>170</v>
      </c>
      <c r="I188" s="139">
        <f>IFERROR(__xludf.DUMMYFUNCTION("""COMPUTED_VALUE"""),169.0)</f>
        <v>169</v>
      </c>
      <c r="J188" s="139">
        <f>IFERROR(__xludf.DUMMYFUNCTION("""COMPUTED_VALUE"""),79.0)</f>
        <v>79</v>
      </c>
      <c r="K188" s="139">
        <f>IFERROR(__xludf.DUMMYFUNCTION("""COMPUTED_VALUE"""),0.0)</f>
        <v>0</v>
      </c>
      <c r="L188" s="139"/>
      <c r="M188" s="139"/>
      <c r="N188" s="139"/>
    </row>
    <row r="189">
      <c r="A189" s="139"/>
      <c r="B189" s="139"/>
      <c r="C189" s="139" t="str">
        <f>IFERROR(__xludf.DUMMYFUNCTION("""COMPUTED_VALUE"""),"chara_chi_00001_Special_00009")</f>
        <v>chara_chi_00001_Special_00009</v>
      </c>
      <c r="D189" s="139" t="str">
        <f>IFERROR(__xludf.DUMMYFUNCTION("""COMPUTED_VALUE"""),"chara_chi_00001")</f>
        <v>chara_chi_00001</v>
      </c>
      <c r="E189" s="139">
        <f>IFERROR(__xludf.DUMMYFUNCTION("""COMPUTED_VALUE"""),9.0)</f>
        <v>9</v>
      </c>
      <c r="F189" s="139" t="str">
        <f>IFERROR(__xludf.DUMMYFUNCTION("""COMPUTED_VALUE"""),"Special")</f>
        <v>Special</v>
      </c>
      <c r="G189" s="139" t="str">
        <f>IFERROR(__xludf.DUMMYFUNCTION("""COMPUTED_VALUE"""),"Yellow")</f>
        <v>Yellow</v>
      </c>
      <c r="H189" s="139">
        <f>IFERROR(__xludf.DUMMYFUNCTION("""COMPUTED_VALUE"""),170.0)</f>
        <v>170</v>
      </c>
      <c r="I189" s="139">
        <f>IFERROR(__xludf.DUMMYFUNCTION("""COMPUTED_VALUE"""),169.0)</f>
        <v>169</v>
      </c>
      <c r="J189" s="139">
        <f>IFERROR(__xludf.DUMMYFUNCTION("""COMPUTED_VALUE"""),79.0)</f>
        <v>79</v>
      </c>
      <c r="K189" s="139">
        <f>IFERROR(__xludf.DUMMYFUNCTION("""COMPUTED_VALUE"""),0.0)</f>
        <v>0</v>
      </c>
      <c r="L189" s="139"/>
      <c r="M189" s="139"/>
      <c r="N189" s="139"/>
    </row>
    <row r="190">
      <c r="A190" s="139"/>
      <c r="B190" s="139"/>
      <c r="C190" s="139" t="str">
        <f>IFERROR(__xludf.DUMMYFUNCTION("""COMPUTED_VALUE"""),"chara_chi_00001_Special_00010")</f>
        <v>chara_chi_00001_Special_00010</v>
      </c>
      <c r="D190" s="139" t="str">
        <f>IFERROR(__xludf.DUMMYFUNCTION("""COMPUTED_VALUE"""),"chara_chi_00001")</f>
        <v>chara_chi_00001</v>
      </c>
      <c r="E190" s="139">
        <f>IFERROR(__xludf.DUMMYFUNCTION("""COMPUTED_VALUE"""),10.0)</f>
        <v>10</v>
      </c>
      <c r="F190" s="139" t="str">
        <f>IFERROR(__xludf.DUMMYFUNCTION("""COMPUTED_VALUE"""),"Special")</f>
        <v>Special</v>
      </c>
      <c r="G190" s="139" t="str">
        <f>IFERROR(__xludf.DUMMYFUNCTION("""COMPUTED_VALUE"""),"Yellow")</f>
        <v>Yellow</v>
      </c>
      <c r="H190" s="139">
        <f>IFERROR(__xludf.DUMMYFUNCTION("""COMPUTED_VALUE"""),170.0)</f>
        <v>170</v>
      </c>
      <c r="I190" s="139">
        <f>IFERROR(__xludf.DUMMYFUNCTION("""COMPUTED_VALUE"""),169.0)</f>
        <v>169</v>
      </c>
      <c r="J190" s="139">
        <f>IFERROR(__xludf.DUMMYFUNCTION("""COMPUTED_VALUE"""),79.0)</f>
        <v>79</v>
      </c>
      <c r="K190" s="139">
        <f>IFERROR(__xludf.DUMMYFUNCTION("""COMPUTED_VALUE"""),0.0)</f>
        <v>0</v>
      </c>
      <c r="L190" s="139"/>
      <c r="M190" s="139"/>
      <c r="N190" s="139"/>
    </row>
    <row r="191">
      <c r="A191" s="139" t="str">
        <f>IFERROR(__xludf.DUMMYFUNCTION("""COMPUTED_VALUE"""),"e")</f>
        <v>e</v>
      </c>
      <c r="B191" s="139">
        <f>IFERROR(__xludf.DUMMYFUNCTION("""COMPUTED_VALUE"""),2.0250901E8)</f>
        <v>202509010</v>
      </c>
      <c r="C191" s="139" t="str">
        <f>IFERROR(__xludf.DUMMYFUNCTION("""COMPUTED_VALUE"""),"chara_sum_00001_Normal_00000")</f>
        <v>chara_sum_00001_Normal_00000</v>
      </c>
      <c r="D191" s="139" t="str">
        <f>IFERROR(__xludf.DUMMYFUNCTION("""COMPUTED_VALUE"""),"chara_sum_00001")</f>
        <v>chara_sum_00001</v>
      </c>
      <c r="E191" s="139">
        <f>IFERROR(__xludf.DUMMYFUNCTION("""COMPUTED_VALUE"""),0.0)</f>
        <v>0</v>
      </c>
      <c r="F191" s="139" t="str">
        <f>IFERROR(__xludf.DUMMYFUNCTION("""COMPUTED_VALUE"""),"Normal")</f>
        <v>Normal</v>
      </c>
      <c r="G191" s="139"/>
      <c r="H191" s="139"/>
      <c r="I191" s="139">
        <f>IFERROR(__xludf.DUMMYFUNCTION("""COMPUTED_VALUE"""),70.0)</f>
        <v>70</v>
      </c>
      <c r="J191" s="139">
        <f>IFERROR(__xludf.DUMMYFUNCTION("""COMPUTED_VALUE"""),33.0)</f>
        <v>33</v>
      </c>
      <c r="K191" s="139">
        <f>IFERROR(__xludf.DUMMYFUNCTION("""COMPUTED_VALUE"""),120.0)</f>
        <v>120</v>
      </c>
      <c r="L191" s="139"/>
      <c r="M191" s="139" t="str">
        <f>IFERROR(__xludf.DUMMYFUNCTION("""COMPUTED_VALUE"""),"表示場所なし")</f>
        <v>表示場所なし</v>
      </c>
      <c r="N191" s="139"/>
    </row>
    <row r="192">
      <c r="A192" s="139" t="str">
        <f>IFERROR(__xludf.DUMMYFUNCTION("""COMPUTED_VALUE"""),"e")</f>
        <v>e</v>
      </c>
      <c r="B192" s="139">
        <f>IFERROR(__xludf.DUMMYFUNCTION("""COMPUTED_VALUE"""),2.0250901E8)</f>
        <v>202509010</v>
      </c>
      <c r="C192" s="139" t="str">
        <f>IFERROR(__xludf.DUMMYFUNCTION("""COMPUTED_VALUE"""),"chara_sum_00001_Special_00001")</f>
        <v>chara_sum_00001_Special_00001</v>
      </c>
      <c r="D192" s="139" t="str">
        <f>IFERROR(__xludf.DUMMYFUNCTION("""COMPUTED_VALUE"""),"chara_sum_00001")</f>
        <v>chara_sum_00001</v>
      </c>
      <c r="E192" s="139">
        <f>IFERROR(__xludf.DUMMYFUNCTION("""COMPUTED_VALUE"""),1.0)</f>
        <v>1</v>
      </c>
      <c r="F192" s="139" t="str">
        <f>IFERROR(__xludf.DUMMYFUNCTION("""COMPUTED_VALUE"""),"Special")</f>
        <v>Special</v>
      </c>
      <c r="G192" s="139"/>
      <c r="H192" s="139"/>
      <c r="I192" s="139">
        <f>IFERROR(__xludf.DUMMYFUNCTION("""COMPUTED_VALUE"""),117.0)</f>
        <v>117</v>
      </c>
      <c r="J192" s="139">
        <f>IFERROR(__xludf.DUMMYFUNCTION("""COMPUTED_VALUE"""),0.0)</f>
        <v>0</v>
      </c>
      <c r="K192" s="139">
        <f>IFERROR(__xludf.DUMMYFUNCTION("""COMPUTED_VALUE"""),0.0)</f>
        <v>0</v>
      </c>
      <c r="L192" s="139"/>
      <c r="M192" s="139" t="str">
        <f>IFERROR(__xludf.DUMMYFUNCTION("""COMPUTED_VALUE"""),"敵単体に最大3回の連続攻撃(自身の攻撃ステータスの最大135%ダメージ) + 1回目の攻撃がヒットした場合、敵の攻撃を6秒間、10%DOWN")</f>
        <v>敵単体に最大3回の連続攻撃(自身の攻撃ステータスの最大135%ダメージ) + 1回目の攻撃がヒットした場合、敵の攻撃を6秒間、10%DOWN</v>
      </c>
      <c r="N192" s="139"/>
    </row>
    <row r="193">
      <c r="A193" s="139" t="str">
        <f>IFERROR(__xludf.DUMMYFUNCTION("""COMPUTED_VALUE"""),"e")</f>
        <v>e</v>
      </c>
      <c r="B193" s="139">
        <f>IFERROR(__xludf.DUMMYFUNCTION("""COMPUTED_VALUE"""),2.0250901E8)</f>
        <v>202509010</v>
      </c>
      <c r="C193" s="139" t="str">
        <f>IFERROR(__xludf.DUMMYFUNCTION("""COMPUTED_VALUE"""),"chara_sum_00001_Special_00002")</f>
        <v>chara_sum_00001_Special_00002</v>
      </c>
      <c r="D193" s="139" t="str">
        <f>IFERROR(__xludf.DUMMYFUNCTION("""COMPUTED_VALUE"""),"chara_sum_00001")</f>
        <v>chara_sum_00001</v>
      </c>
      <c r="E193" s="139">
        <f>IFERROR(__xludf.DUMMYFUNCTION("""COMPUTED_VALUE"""),2.0)</f>
        <v>2</v>
      </c>
      <c r="F193" s="139" t="str">
        <f>IFERROR(__xludf.DUMMYFUNCTION("""COMPUTED_VALUE"""),"Special")</f>
        <v>Special</v>
      </c>
      <c r="G193" s="139"/>
      <c r="H193" s="139"/>
      <c r="I193" s="139">
        <f>IFERROR(__xludf.DUMMYFUNCTION("""COMPUTED_VALUE"""),117.0)</f>
        <v>117</v>
      </c>
      <c r="J193" s="139">
        <f>IFERROR(__xludf.DUMMYFUNCTION("""COMPUTED_VALUE"""),0.0)</f>
        <v>0</v>
      </c>
      <c r="K193" s="139">
        <f>IFERROR(__xludf.DUMMYFUNCTION("""COMPUTED_VALUE"""),0.0)</f>
        <v>0</v>
      </c>
      <c r="L193" s="139"/>
      <c r="M193" s="139" t="str">
        <f>IFERROR(__xludf.DUMMYFUNCTION("""COMPUTED_VALUE"""),"敵単体に最大3回の連続攻撃(自身の攻撃ステータスの最大152%ダメージ) + 1回目の攻撃がヒットした場合、敵の攻撃を6.5秒間、12%DOWN")</f>
        <v>敵単体に最大3回の連続攻撃(自身の攻撃ステータスの最大152%ダメージ) + 1回目の攻撃がヒットした場合、敵の攻撃を6.5秒間、12%DOWN</v>
      </c>
      <c r="N193" s="139" t="str">
        <f>IFERROR(__xludf.DUMMYFUNCTION("""COMPUTED_VALUE"""),"ステータスUP + 必殺ワザ性能UP")</f>
        <v>ステータスUP + 必殺ワザ性能UP</v>
      </c>
    </row>
    <row r="194">
      <c r="A194" s="139" t="str">
        <f>IFERROR(__xludf.DUMMYFUNCTION("""COMPUTED_VALUE"""),"e")</f>
        <v>e</v>
      </c>
      <c r="B194" s="139">
        <f>IFERROR(__xludf.DUMMYFUNCTION("""COMPUTED_VALUE"""),2.0250901E8)</f>
        <v>202509010</v>
      </c>
      <c r="C194" s="139" t="str">
        <f>IFERROR(__xludf.DUMMYFUNCTION("""COMPUTED_VALUE"""),"chara_sum_00001_Special_00003")</f>
        <v>chara_sum_00001_Special_00003</v>
      </c>
      <c r="D194" s="139" t="str">
        <f>IFERROR(__xludf.DUMMYFUNCTION("""COMPUTED_VALUE"""),"chara_sum_00001")</f>
        <v>chara_sum_00001</v>
      </c>
      <c r="E194" s="139">
        <f>IFERROR(__xludf.DUMMYFUNCTION("""COMPUTED_VALUE"""),3.0)</f>
        <v>3</v>
      </c>
      <c r="F194" s="139" t="str">
        <f>IFERROR(__xludf.DUMMYFUNCTION("""COMPUTED_VALUE"""),"Special")</f>
        <v>Special</v>
      </c>
      <c r="G194" s="139"/>
      <c r="H194" s="139"/>
      <c r="I194" s="139">
        <f>IFERROR(__xludf.DUMMYFUNCTION("""COMPUTED_VALUE"""),117.0)</f>
        <v>117</v>
      </c>
      <c r="J194" s="139">
        <f>IFERROR(__xludf.DUMMYFUNCTION("""COMPUTED_VALUE"""),0.0)</f>
        <v>0</v>
      </c>
      <c r="K194" s="139">
        <f>IFERROR(__xludf.DUMMYFUNCTION("""COMPUTED_VALUE"""),0.0)</f>
        <v>0</v>
      </c>
      <c r="L194" s="139"/>
      <c r="M194" s="139" t="str">
        <f>IFERROR(__xludf.DUMMYFUNCTION("""COMPUTED_VALUE"""),"敵単体に最大3回の連続攻撃(自身の攻撃ステータスの最大163%ダメージ) + 1回目の攻撃がヒットした場合、敵の攻撃を6.7秒間、13%DOWN")</f>
        <v>敵単体に最大3回の連続攻撃(自身の攻撃ステータスの最大163%ダメージ) + 1回目の攻撃がヒットした場合、敵の攻撃を6.7秒間、13%DOWN</v>
      </c>
      <c r="N194" s="139" t="str">
        <f>IFERROR(__xludf.DUMMYFUNCTION("""COMPUTED_VALUE"""),"ステータスUP + 必殺ワザ性能UP")</f>
        <v>ステータスUP + 必殺ワザ性能UP</v>
      </c>
    </row>
    <row r="195">
      <c r="A195" s="139" t="str">
        <f>IFERROR(__xludf.DUMMYFUNCTION("""COMPUTED_VALUE"""),"e")</f>
        <v>e</v>
      </c>
      <c r="B195" s="139">
        <f>IFERROR(__xludf.DUMMYFUNCTION("""COMPUTED_VALUE"""),2.0250901E8)</f>
        <v>202509010</v>
      </c>
      <c r="C195" s="139" t="str">
        <f>IFERROR(__xludf.DUMMYFUNCTION("""COMPUTED_VALUE"""),"chara_sum_00001_Special_00004")</f>
        <v>chara_sum_00001_Special_00004</v>
      </c>
      <c r="D195" s="139" t="str">
        <f>IFERROR(__xludf.DUMMYFUNCTION("""COMPUTED_VALUE"""),"chara_sum_00001")</f>
        <v>chara_sum_00001</v>
      </c>
      <c r="E195" s="139">
        <f>IFERROR(__xludf.DUMMYFUNCTION("""COMPUTED_VALUE"""),4.0)</f>
        <v>4</v>
      </c>
      <c r="F195" s="139" t="str">
        <f>IFERROR(__xludf.DUMMYFUNCTION("""COMPUTED_VALUE"""),"Special")</f>
        <v>Special</v>
      </c>
      <c r="G195" s="139"/>
      <c r="H195" s="139"/>
      <c r="I195" s="139">
        <f>IFERROR(__xludf.DUMMYFUNCTION("""COMPUTED_VALUE"""),117.0)</f>
        <v>117</v>
      </c>
      <c r="J195" s="139">
        <f>IFERROR(__xludf.DUMMYFUNCTION("""COMPUTED_VALUE"""),0.0)</f>
        <v>0</v>
      </c>
      <c r="K195" s="139">
        <f>IFERROR(__xludf.DUMMYFUNCTION("""COMPUTED_VALUE"""),0.0)</f>
        <v>0</v>
      </c>
      <c r="L195" s="139"/>
      <c r="M195" s="139" t="str">
        <f>IFERROR(__xludf.DUMMYFUNCTION("""COMPUTED_VALUE"""),"敵単体に最大3回の連続攻撃(自身の攻撃ステータスの最大172%ダメージ) + 1回目の攻撃がヒットした場合、敵の攻撃を6.9秒間、13%DOWN")</f>
        <v>敵単体に最大3回の連続攻撃(自身の攻撃ステータスの最大172%ダメージ) + 1回目の攻撃がヒットした場合、敵の攻撃を6.9秒間、13%DOWN</v>
      </c>
      <c r="N195" s="139" t="str">
        <f>IFERROR(__xludf.DUMMYFUNCTION("""COMPUTED_VALUE"""),"ステータスUP + 必殺ワザ性能UP")</f>
        <v>ステータスUP + 必殺ワザ性能UP</v>
      </c>
    </row>
    <row r="196">
      <c r="A196" s="139" t="str">
        <f>IFERROR(__xludf.DUMMYFUNCTION("""COMPUTED_VALUE"""),"e")</f>
        <v>e</v>
      </c>
      <c r="B196" s="139">
        <f>IFERROR(__xludf.DUMMYFUNCTION("""COMPUTED_VALUE"""),2.0250901E8)</f>
        <v>202509010</v>
      </c>
      <c r="C196" s="139" t="str">
        <f>IFERROR(__xludf.DUMMYFUNCTION("""COMPUTED_VALUE"""),"chara_sum_00001_Special_00005")</f>
        <v>chara_sum_00001_Special_00005</v>
      </c>
      <c r="D196" s="139" t="str">
        <f>IFERROR(__xludf.DUMMYFUNCTION("""COMPUTED_VALUE"""),"chara_sum_00001")</f>
        <v>chara_sum_00001</v>
      </c>
      <c r="E196" s="139">
        <f>IFERROR(__xludf.DUMMYFUNCTION("""COMPUTED_VALUE"""),5.0)</f>
        <v>5</v>
      </c>
      <c r="F196" s="139" t="str">
        <f>IFERROR(__xludf.DUMMYFUNCTION("""COMPUTED_VALUE"""),"Special")</f>
        <v>Special</v>
      </c>
      <c r="G196" s="139"/>
      <c r="H196" s="139"/>
      <c r="I196" s="139">
        <f>IFERROR(__xludf.DUMMYFUNCTION("""COMPUTED_VALUE"""),117.0)</f>
        <v>117</v>
      </c>
      <c r="J196" s="139">
        <f>IFERROR(__xludf.DUMMYFUNCTION("""COMPUTED_VALUE"""),0.0)</f>
        <v>0</v>
      </c>
      <c r="K196" s="139">
        <f>IFERROR(__xludf.DUMMYFUNCTION("""COMPUTED_VALUE"""),0.0)</f>
        <v>0</v>
      </c>
      <c r="L196" s="139"/>
      <c r="M196" s="139" t="str">
        <f>IFERROR(__xludf.DUMMYFUNCTION("""COMPUTED_VALUE"""),"敵単体に最大3回の連続攻撃(自身の攻撃ステータスの最大178%ダメージ) + 1回目の攻撃がヒットした場合、敵の攻撃を6.9秒間、14%DOWN")</f>
        <v>敵単体に最大3回の連続攻撃(自身の攻撃ステータスの最大178%ダメージ) + 1回目の攻撃がヒットした場合、敵の攻撃を6.9秒間、14%DOWN</v>
      </c>
      <c r="N196" s="139" t="str">
        <f>IFERROR(__xludf.DUMMYFUNCTION("""COMPUTED_VALUE"""),"ステータスUP + 必殺ワザ性能UP")</f>
        <v>ステータスUP + 必殺ワザ性能UP</v>
      </c>
    </row>
    <row r="197">
      <c r="A197" s="139"/>
      <c r="B197" s="139"/>
      <c r="C197" s="139" t="str">
        <f>IFERROR(__xludf.DUMMYFUNCTION("""COMPUTED_VALUE"""),"chara_sum_00001_Special_00006")</f>
        <v>chara_sum_00001_Special_00006</v>
      </c>
      <c r="D197" s="139" t="str">
        <f>IFERROR(__xludf.DUMMYFUNCTION("""COMPUTED_VALUE"""),"chara_sum_00001")</f>
        <v>chara_sum_00001</v>
      </c>
      <c r="E197" s="139">
        <f>IFERROR(__xludf.DUMMYFUNCTION("""COMPUTED_VALUE"""),6.0)</f>
        <v>6</v>
      </c>
      <c r="F197" s="139" t="str">
        <f>IFERROR(__xludf.DUMMYFUNCTION("""COMPUTED_VALUE"""),"Special")</f>
        <v>Special</v>
      </c>
      <c r="G197" s="139"/>
      <c r="H197" s="139"/>
      <c r="I197" s="139">
        <f>IFERROR(__xludf.DUMMYFUNCTION("""COMPUTED_VALUE"""),117.0)</f>
        <v>117</v>
      </c>
      <c r="J197" s="139">
        <f>IFERROR(__xludf.DUMMYFUNCTION("""COMPUTED_VALUE"""),0.0)</f>
        <v>0</v>
      </c>
      <c r="K197" s="139">
        <f>IFERROR(__xludf.DUMMYFUNCTION("""COMPUTED_VALUE"""),0.0)</f>
        <v>0</v>
      </c>
      <c r="L197" s="139"/>
      <c r="M197" s="139"/>
      <c r="N197" s="139"/>
    </row>
    <row r="198">
      <c r="A198" s="139"/>
      <c r="B198" s="139"/>
      <c r="C198" s="139" t="str">
        <f>IFERROR(__xludf.DUMMYFUNCTION("""COMPUTED_VALUE"""),"chara_sum_00001_Special_00007")</f>
        <v>chara_sum_00001_Special_00007</v>
      </c>
      <c r="D198" s="139" t="str">
        <f>IFERROR(__xludf.DUMMYFUNCTION("""COMPUTED_VALUE"""),"chara_sum_00001")</f>
        <v>chara_sum_00001</v>
      </c>
      <c r="E198" s="139">
        <f>IFERROR(__xludf.DUMMYFUNCTION("""COMPUTED_VALUE"""),7.0)</f>
        <v>7</v>
      </c>
      <c r="F198" s="139" t="str">
        <f>IFERROR(__xludf.DUMMYFUNCTION("""COMPUTED_VALUE"""),"Special")</f>
        <v>Special</v>
      </c>
      <c r="G198" s="139"/>
      <c r="H198" s="139"/>
      <c r="I198" s="139">
        <f>IFERROR(__xludf.DUMMYFUNCTION("""COMPUTED_VALUE"""),117.0)</f>
        <v>117</v>
      </c>
      <c r="J198" s="139">
        <f>IFERROR(__xludf.DUMMYFUNCTION("""COMPUTED_VALUE"""),0.0)</f>
        <v>0</v>
      </c>
      <c r="K198" s="139">
        <f>IFERROR(__xludf.DUMMYFUNCTION("""COMPUTED_VALUE"""),0.0)</f>
        <v>0</v>
      </c>
      <c r="L198" s="139"/>
      <c r="M198" s="139"/>
      <c r="N198" s="139"/>
    </row>
    <row r="199">
      <c r="A199" s="139"/>
      <c r="B199" s="139"/>
      <c r="C199" s="139" t="str">
        <f>IFERROR(__xludf.DUMMYFUNCTION("""COMPUTED_VALUE"""),"chara_sum_00001_Special_00008")</f>
        <v>chara_sum_00001_Special_00008</v>
      </c>
      <c r="D199" s="139" t="str">
        <f>IFERROR(__xludf.DUMMYFUNCTION("""COMPUTED_VALUE"""),"chara_sum_00001")</f>
        <v>chara_sum_00001</v>
      </c>
      <c r="E199" s="139">
        <f>IFERROR(__xludf.DUMMYFUNCTION("""COMPUTED_VALUE"""),8.0)</f>
        <v>8</v>
      </c>
      <c r="F199" s="139" t="str">
        <f>IFERROR(__xludf.DUMMYFUNCTION("""COMPUTED_VALUE"""),"Special")</f>
        <v>Special</v>
      </c>
      <c r="G199" s="139"/>
      <c r="H199" s="139"/>
      <c r="I199" s="139">
        <f>IFERROR(__xludf.DUMMYFUNCTION("""COMPUTED_VALUE"""),117.0)</f>
        <v>117</v>
      </c>
      <c r="J199" s="139">
        <f>IFERROR(__xludf.DUMMYFUNCTION("""COMPUTED_VALUE"""),0.0)</f>
        <v>0</v>
      </c>
      <c r="K199" s="139">
        <f>IFERROR(__xludf.DUMMYFUNCTION("""COMPUTED_VALUE"""),0.0)</f>
        <v>0</v>
      </c>
      <c r="L199" s="139"/>
      <c r="M199" s="139"/>
      <c r="N199" s="139"/>
    </row>
    <row r="200">
      <c r="A200" s="139"/>
      <c r="B200" s="139"/>
      <c r="C200" s="139" t="str">
        <f>IFERROR(__xludf.DUMMYFUNCTION("""COMPUTED_VALUE"""),"chara_sum_00001_Special_00009")</f>
        <v>chara_sum_00001_Special_00009</v>
      </c>
      <c r="D200" s="139" t="str">
        <f>IFERROR(__xludf.DUMMYFUNCTION("""COMPUTED_VALUE"""),"chara_sum_00001")</f>
        <v>chara_sum_00001</v>
      </c>
      <c r="E200" s="139">
        <f>IFERROR(__xludf.DUMMYFUNCTION("""COMPUTED_VALUE"""),9.0)</f>
        <v>9</v>
      </c>
      <c r="F200" s="139" t="str">
        <f>IFERROR(__xludf.DUMMYFUNCTION("""COMPUTED_VALUE"""),"Special")</f>
        <v>Special</v>
      </c>
      <c r="G200" s="139"/>
      <c r="H200" s="139"/>
      <c r="I200" s="139">
        <f>IFERROR(__xludf.DUMMYFUNCTION("""COMPUTED_VALUE"""),117.0)</f>
        <v>117</v>
      </c>
      <c r="J200" s="139">
        <f>IFERROR(__xludf.DUMMYFUNCTION("""COMPUTED_VALUE"""),0.0)</f>
        <v>0</v>
      </c>
      <c r="K200" s="139">
        <f>IFERROR(__xludf.DUMMYFUNCTION("""COMPUTED_VALUE"""),0.0)</f>
        <v>0</v>
      </c>
      <c r="L200" s="139"/>
      <c r="M200" s="139"/>
      <c r="N200" s="139"/>
    </row>
    <row r="201">
      <c r="A201" s="139"/>
      <c r="B201" s="139"/>
      <c r="C201" s="139" t="str">
        <f>IFERROR(__xludf.DUMMYFUNCTION("""COMPUTED_VALUE"""),"chara_sum_00001_Special_00010")</f>
        <v>chara_sum_00001_Special_00010</v>
      </c>
      <c r="D201" s="139" t="str">
        <f>IFERROR(__xludf.DUMMYFUNCTION("""COMPUTED_VALUE"""),"chara_sum_00001")</f>
        <v>chara_sum_00001</v>
      </c>
      <c r="E201" s="139">
        <f>IFERROR(__xludf.DUMMYFUNCTION("""COMPUTED_VALUE"""),10.0)</f>
        <v>10</v>
      </c>
      <c r="F201" s="139" t="str">
        <f>IFERROR(__xludf.DUMMYFUNCTION("""COMPUTED_VALUE"""),"Special")</f>
        <v>Special</v>
      </c>
      <c r="G201" s="139"/>
      <c r="H201" s="139"/>
      <c r="I201" s="139">
        <f>IFERROR(__xludf.DUMMYFUNCTION("""COMPUTED_VALUE"""),117.0)</f>
        <v>117</v>
      </c>
      <c r="J201" s="139">
        <f>IFERROR(__xludf.DUMMYFUNCTION("""COMPUTED_VALUE"""),0.0)</f>
        <v>0</v>
      </c>
      <c r="K201" s="139">
        <f>IFERROR(__xludf.DUMMYFUNCTION("""COMPUTED_VALUE"""),0.0)</f>
        <v>0</v>
      </c>
      <c r="L201" s="139"/>
      <c r="M201" s="139"/>
      <c r="N201" s="139"/>
    </row>
    <row r="202">
      <c r="A202" s="139" t="str">
        <f>IFERROR(__xludf.DUMMYFUNCTION("""COMPUTED_VALUE"""),"e")</f>
        <v>e</v>
      </c>
      <c r="B202" s="139">
        <f>IFERROR(__xludf.DUMMYFUNCTION("""COMPUTED_VALUE"""),2.0250901E8)</f>
        <v>202509010</v>
      </c>
      <c r="C202" s="139" t="str">
        <f>IFERROR(__xludf.DUMMYFUNCTION("""COMPUTED_VALUE"""),"chara_sum_00201_Normal_00000")</f>
        <v>chara_sum_00201_Normal_00000</v>
      </c>
      <c r="D202" s="139" t="str">
        <f>IFERROR(__xludf.DUMMYFUNCTION("""COMPUTED_VALUE"""),"chara_sum_00201")</f>
        <v>chara_sum_00201</v>
      </c>
      <c r="E202" s="139">
        <f>IFERROR(__xludf.DUMMYFUNCTION("""COMPUTED_VALUE"""),0.0)</f>
        <v>0</v>
      </c>
      <c r="F202" s="139" t="str">
        <f>IFERROR(__xludf.DUMMYFUNCTION("""COMPUTED_VALUE"""),"Normal")</f>
        <v>Normal</v>
      </c>
      <c r="G202" s="139"/>
      <c r="H202" s="139"/>
      <c r="I202" s="139">
        <f>IFERROR(__xludf.DUMMYFUNCTION("""COMPUTED_VALUE"""),119.0)</f>
        <v>119</v>
      </c>
      <c r="J202" s="139">
        <f>IFERROR(__xludf.DUMMYFUNCTION("""COMPUTED_VALUE"""),34.0)</f>
        <v>34</v>
      </c>
      <c r="K202" s="139">
        <f>IFERROR(__xludf.DUMMYFUNCTION("""COMPUTED_VALUE"""),50.0)</f>
        <v>50</v>
      </c>
      <c r="L202" s="139"/>
      <c r="M202" s="139" t="str">
        <f>IFERROR(__xludf.DUMMYFUNCTION("""COMPUTED_VALUE"""),"表示場所なし")</f>
        <v>表示場所なし</v>
      </c>
      <c r="N202" s="139"/>
    </row>
    <row r="203">
      <c r="A203" s="139" t="str">
        <f>IFERROR(__xludf.DUMMYFUNCTION("""COMPUTED_VALUE"""),"e")</f>
        <v>e</v>
      </c>
      <c r="B203" s="139">
        <f>IFERROR(__xludf.DUMMYFUNCTION("""COMPUTED_VALUE"""),2.0250901E8)</f>
        <v>202509010</v>
      </c>
      <c r="C203" s="139" t="str">
        <f>IFERROR(__xludf.DUMMYFUNCTION("""COMPUTED_VALUE"""),"chara_sum_00201_Special_00001")</f>
        <v>chara_sum_00201_Special_00001</v>
      </c>
      <c r="D203" s="139" t="str">
        <f>IFERROR(__xludf.DUMMYFUNCTION("""COMPUTED_VALUE"""),"chara_sum_00201")</f>
        <v>chara_sum_00201</v>
      </c>
      <c r="E203" s="139">
        <f>IFERROR(__xludf.DUMMYFUNCTION("""COMPUTED_VALUE"""),1.0)</f>
        <v>1</v>
      </c>
      <c r="F203" s="139" t="str">
        <f>IFERROR(__xludf.DUMMYFUNCTION("""COMPUTED_VALUE"""),"Special")</f>
        <v>Special</v>
      </c>
      <c r="G203" s="139"/>
      <c r="H203" s="139"/>
      <c r="I203" s="139">
        <f>IFERROR(__xludf.DUMMYFUNCTION("""COMPUTED_VALUE"""),184.0)</f>
        <v>184</v>
      </c>
      <c r="J203" s="139">
        <f>IFERROR(__xludf.DUMMYFUNCTION("""COMPUTED_VALUE"""),85.0)</f>
        <v>85</v>
      </c>
      <c r="K203" s="139">
        <f>IFERROR(__xludf.DUMMYFUNCTION("""COMPUTED_VALUE"""),0.0)</f>
        <v>0</v>
      </c>
      <c r="L203" s="139"/>
      <c r="M203" s="139" t="str">
        <f>IFERROR(__xludf.DUMMYFUNCTION("""COMPUTED_VALUE"""),"敵複数体に自身の攻撃ステータスの90%のダメージ + 攻撃がヒットした場合、敵を小ノックバック")</f>
        <v>敵複数体に自身の攻撃ステータスの90%のダメージ + 攻撃がヒットした場合、敵を小ノックバック</v>
      </c>
      <c r="N203" s="139"/>
    </row>
    <row r="204">
      <c r="A204" s="139" t="str">
        <f>IFERROR(__xludf.DUMMYFUNCTION("""COMPUTED_VALUE"""),"e")</f>
        <v>e</v>
      </c>
      <c r="B204" s="139">
        <f>IFERROR(__xludf.DUMMYFUNCTION("""COMPUTED_VALUE"""),2.0250901E8)</f>
        <v>202509010</v>
      </c>
      <c r="C204" s="139" t="str">
        <f>IFERROR(__xludf.DUMMYFUNCTION("""COMPUTED_VALUE"""),"chara_sum_00201_Special_00002")</f>
        <v>chara_sum_00201_Special_00002</v>
      </c>
      <c r="D204" s="139" t="str">
        <f>IFERROR(__xludf.DUMMYFUNCTION("""COMPUTED_VALUE"""),"chara_sum_00201")</f>
        <v>chara_sum_00201</v>
      </c>
      <c r="E204" s="139">
        <f>IFERROR(__xludf.DUMMYFUNCTION("""COMPUTED_VALUE"""),2.0)</f>
        <v>2</v>
      </c>
      <c r="F204" s="139" t="str">
        <f>IFERROR(__xludf.DUMMYFUNCTION("""COMPUTED_VALUE"""),"Special")</f>
        <v>Special</v>
      </c>
      <c r="G204" s="139"/>
      <c r="H204" s="139"/>
      <c r="I204" s="139">
        <f>IFERROR(__xludf.DUMMYFUNCTION("""COMPUTED_VALUE"""),184.0)</f>
        <v>184</v>
      </c>
      <c r="J204" s="139">
        <f>IFERROR(__xludf.DUMMYFUNCTION("""COMPUTED_VALUE"""),85.0)</f>
        <v>85</v>
      </c>
      <c r="K204" s="139">
        <f>IFERROR(__xludf.DUMMYFUNCTION("""COMPUTED_VALUE"""),0.0)</f>
        <v>0</v>
      </c>
      <c r="L204" s="139"/>
      <c r="M204" s="139" t="str">
        <f>IFERROR(__xludf.DUMMYFUNCTION("""COMPUTED_VALUE"""),"敵複数体に自身の攻撃ステータスの102%のダメージ + 攻撃がヒットした場合、敵を小ノックバック")</f>
        <v>敵複数体に自身の攻撃ステータスの102%のダメージ + 攻撃がヒットした場合、敵を小ノックバック</v>
      </c>
      <c r="N204" s="139" t="str">
        <f>IFERROR(__xludf.DUMMYFUNCTION("""COMPUTED_VALUE"""),"ステータスUP + 必殺ワザ性能UP")</f>
        <v>ステータスUP + 必殺ワザ性能UP</v>
      </c>
    </row>
    <row r="205">
      <c r="A205" s="139" t="str">
        <f>IFERROR(__xludf.DUMMYFUNCTION("""COMPUTED_VALUE"""),"e")</f>
        <v>e</v>
      </c>
      <c r="B205" s="139">
        <f>IFERROR(__xludf.DUMMYFUNCTION("""COMPUTED_VALUE"""),2.0250901E8)</f>
        <v>202509010</v>
      </c>
      <c r="C205" s="139" t="str">
        <f>IFERROR(__xludf.DUMMYFUNCTION("""COMPUTED_VALUE"""),"chara_sum_00201_Special_00003")</f>
        <v>chara_sum_00201_Special_00003</v>
      </c>
      <c r="D205" s="139" t="str">
        <f>IFERROR(__xludf.DUMMYFUNCTION("""COMPUTED_VALUE"""),"chara_sum_00201")</f>
        <v>chara_sum_00201</v>
      </c>
      <c r="E205" s="139">
        <f>IFERROR(__xludf.DUMMYFUNCTION("""COMPUTED_VALUE"""),3.0)</f>
        <v>3</v>
      </c>
      <c r="F205" s="139" t="str">
        <f>IFERROR(__xludf.DUMMYFUNCTION("""COMPUTED_VALUE"""),"Special")</f>
        <v>Special</v>
      </c>
      <c r="G205" s="139"/>
      <c r="H205" s="139"/>
      <c r="I205" s="139">
        <f>IFERROR(__xludf.DUMMYFUNCTION("""COMPUTED_VALUE"""),184.0)</f>
        <v>184</v>
      </c>
      <c r="J205" s="139">
        <f>IFERROR(__xludf.DUMMYFUNCTION("""COMPUTED_VALUE"""),85.0)</f>
        <v>85</v>
      </c>
      <c r="K205" s="139">
        <f>IFERROR(__xludf.DUMMYFUNCTION("""COMPUTED_VALUE"""),0.0)</f>
        <v>0</v>
      </c>
      <c r="L205" s="139"/>
      <c r="M205" s="139" t="str">
        <f>IFERROR(__xludf.DUMMYFUNCTION("""COMPUTED_VALUE"""),"敵複数体に自身の攻撃ステータスの110%のダメージ + 攻撃がヒットした場合、敵を小ノックバック")</f>
        <v>敵複数体に自身の攻撃ステータスの110%のダメージ + 攻撃がヒットした場合、敵を小ノックバック</v>
      </c>
      <c r="N205" s="139" t="str">
        <f>IFERROR(__xludf.DUMMYFUNCTION("""COMPUTED_VALUE"""),"ステータスUP + 必殺ワザ性能UP")</f>
        <v>ステータスUP + 必殺ワザ性能UP</v>
      </c>
    </row>
    <row r="206">
      <c r="A206" s="139" t="str">
        <f>IFERROR(__xludf.DUMMYFUNCTION("""COMPUTED_VALUE"""),"e")</f>
        <v>e</v>
      </c>
      <c r="B206" s="139">
        <f>IFERROR(__xludf.DUMMYFUNCTION("""COMPUTED_VALUE"""),2.0250901E8)</f>
        <v>202509010</v>
      </c>
      <c r="C206" s="139" t="str">
        <f>IFERROR(__xludf.DUMMYFUNCTION("""COMPUTED_VALUE"""),"chara_sum_00201_Special_00004")</f>
        <v>chara_sum_00201_Special_00004</v>
      </c>
      <c r="D206" s="139" t="str">
        <f>IFERROR(__xludf.DUMMYFUNCTION("""COMPUTED_VALUE"""),"chara_sum_00201")</f>
        <v>chara_sum_00201</v>
      </c>
      <c r="E206" s="139">
        <f>IFERROR(__xludf.DUMMYFUNCTION("""COMPUTED_VALUE"""),4.0)</f>
        <v>4</v>
      </c>
      <c r="F206" s="139" t="str">
        <f>IFERROR(__xludf.DUMMYFUNCTION("""COMPUTED_VALUE"""),"Special")</f>
        <v>Special</v>
      </c>
      <c r="G206" s="139"/>
      <c r="H206" s="139"/>
      <c r="I206" s="139">
        <f>IFERROR(__xludf.DUMMYFUNCTION("""COMPUTED_VALUE"""),184.0)</f>
        <v>184</v>
      </c>
      <c r="J206" s="139">
        <f>IFERROR(__xludf.DUMMYFUNCTION("""COMPUTED_VALUE"""),85.0)</f>
        <v>85</v>
      </c>
      <c r="K206" s="139">
        <f>IFERROR(__xludf.DUMMYFUNCTION("""COMPUTED_VALUE"""),0.0)</f>
        <v>0</v>
      </c>
      <c r="L206" s="139"/>
      <c r="M206" s="139" t="str">
        <f>IFERROR(__xludf.DUMMYFUNCTION("""COMPUTED_VALUE"""),"敵複数体に自身の攻撃ステータスの116%のダメージ + 攻撃がヒットした場合、敵を小ノックバック")</f>
        <v>敵複数体に自身の攻撃ステータスの116%のダメージ + 攻撃がヒットした場合、敵を小ノックバック</v>
      </c>
      <c r="N206" s="139" t="str">
        <f>IFERROR(__xludf.DUMMYFUNCTION("""COMPUTED_VALUE"""),"ステータスUP + 必殺ワザ性能UP")</f>
        <v>ステータスUP + 必殺ワザ性能UP</v>
      </c>
    </row>
    <row r="207">
      <c r="A207" s="139" t="str">
        <f>IFERROR(__xludf.DUMMYFUNCTION("""COMPUTED_VALUE"""),"e")</f>
        <v>e</v>
      </c>
      <c r="B207" s="139">
        <f>IFERROR(__xludf.DUMMYFUNCTION("""COMPUTED_VALUE"""),2.0250901E8)</f>
        <v>202509010</v>
      </c>
      <c r="C207" s="139" t="str">
        <f>IFERROR(__xludf.DUMMYFUNCTION("""COMPUTED_VALUE"""),"chara_sum_00201_Special_00005")</f>
        <v>chara_sum_00201_Special_00005</v>
      </c>
      <c r="D207" s="139" t="str">
        <f>IFERROR(__xludf.DUMMYFUNCTION("""COMPUTED_VALUE"""),"chara_sum_00201")</f>
        <v>chara_sum_00201</v>
      </c>
      <c r="E207" s="139">
        <f>IFERROR(__xludf.DUMMYFUNCTION("""COMPUTED_VALUE"""),5.0)</f>
        <v>5</v>
      </c>
      <c r="F207" s="139" t="str">
        <f>IFERROR(__xludf.DUMMYFUNCTION("""COMPUTED_VALUE"""),"Special")</f>
        <v>Special</v>
      </c>
      <c r="G207" s="139"/>
      <c r="H207" s="139"/>
      <c r="I207" s="139">
        <f>IFERROR(__xludf.DUMMYFUNCTION("""COMPUTED_VALUE"""),184.0)</f>
        <v>184</v>
      </c>
      <c r="J207" s="139">
        <f>IFERROR(__xludf.DUMMYFUNCTION("""COMPUTED_VALUE"""),85.0)</f>
        <v>85</v>
      </c>
      <c r="K207" s="139">
        <f>IFERROR(__xludf.DUMMYFUNCTION("""COMPUTED_VALUE"""),0.0)</f>
        <v>0</v>
      </c>
      <c r="L207" s="139"/>
      <c r="M207" s="139" t="str">
        <f>IFERROR(__xludf.DUMMYFUNCTION("""COMPUTED_VALUE"""),"敵複数体に自身の攻撃ステータスの120%のダメージ + 攻撃がヒットした場合、敵を小ノックバック")</f>
        <v>敵複数体に自身の攻撃ステータスの120%のダメージ + 攻撃がヒットした場合、敵を小ノックバック</v>
      </c>
      <c r="N207" s="139" t="str">
        <f>IFERROR(__xludf.DUMMYFUNCTION("""COMPUTED_VALUE"""),"ステータスUP + 必殺ワザ性能UP")</f>
        <v>ステータスUP + 必殺ワザ性能UP</v>
      </c>
    </row>
    <row r="208">
      <c r="A208" s="139"/>
      <c r="B208" s="139"/>
      <c r="C208" s="139" t="str">
        <f>IFERROR(__xludf.DUMMYFUNCTION("""COMPUTED_VALUE"""),"chara_sum_00201_Special_00006")</f>
        <v>chara_sum_00201_Special_00006</v>
      </c>
      <c r="D208" s="139" t="str">
        <f>IFERROR(__xludf.DUMMYFUNCTION("""COMPUTED_VALUE"""),"chara_sum_00201")</f>
        <v>chara_sum_00201</v>
      </c>
      <c r="E208" s="139">
        <f>IFERROR(__xludf.DUMMYFUNCTION("""COMPUTED_VALUE"""),6.0)</f>
        <v>6</v>
      </c>
      <c r="F208" s="139" t="str">
        <f>IFERROR(__xludf.DUMMYFUNCTION("""COMPUTED_VALUE"""),"Special")</f>
        <v>Special</v>
      </c>
      <c r="G208" s="139"/>
      <c r="H208" s="139"/>
      <c r="I208" s="139">
        <f>IFERROR(__xludf.DUMMYFUNCTION("""COMPUTED_VALUE"""),135.0)</f>
        <v>135</v>
      </c>
      <c r="J208" s="139">
        <f>IFERROR(__xludf.DUMMYFUNCTION("""COMPUTED_VALUE"""),85.0)</f>
        <v>85</v>
      </c>
      <c r="K208" s="139">
        <f>IFERROR(__xludf.DUMMYFUNCTION("""COMPUTED_VALUE"""),0.0)</f>
        <v>0</v>
      </c>
      <c r="L208" s="139"/>
      <c r="M208" s="139"/>
      <c r="N208" s="139"/>
    </row>
    <row r="209">
      <c r="A209" s="139"/>
      <c r="B209" s="139"/>
      <c r="C209" s="139" t="str">
        <f>IFERROR(__xludf.DUMMYFUNCTION("""COMPUTED_VALUE"""),"chara_sum_00201_Special_00007")</f>
        <v>chara_sum_00201_Special_00007</v>
      </c>
      <c r="D209" s="139" t="str">
        <f>IFERROR(__xludf.DUMMYFUNCTION("""COMPUTED_VALUE"""),"chara_sum_00201")</f>
        <v>chara_sum_00201</v>
      </c>
      <c r="E209" s="139">
        <f>IFERROR(__xludf.DUMMYFUNCTION("""COMPUTED_VALUE"""),7.0)</f>
        <v>7</v>
      </c>
      <c r="F209" s="139" t="str">
        <f>IFERROR(__xludf.DUMMYFUNCTION("""COMPUTED_VALUE"""),"Special")</f>
        <v>Special</v>
      </c>
      <c r="G209" s="139"/>
      <c r="H209" s="139"/>
      <c r="I209" s="139">
        <f>IFERROR(__xludf.DUMMYFUNCTION("""COMPUTED_VALUE"""),135.0)</f>
        <v>135</v>
      </c>
      <c r="J209" s="139">
        <f>IFERROR(__xludf.DUMMYFUNCTION("""COMPUTED_VALUE"""),85.0)</f>
        <v>85</v>
      </c>
      <c r="K209" s="139">
        <f>IFERROR(__xludf.DUMMYFUNCTION("""COMPUTED_VALUE"""),0.0)</f>
        <v>0</v>
      </c>
      <c r="L209" s="139"/>
      <c r="M209" s="139"/>
      <c r="N209" s="139"/>
    </row>
    <row r="210">
      <c r="A210" s="139"/>
      <c r="B210" s="139"/>
      <c r="C210" s="139" t="str">
        <f>IFERROR(__xludf.DUMMYFUNCTION("""COMPUTED_VALUE"""),"chara_sum_00201_Special_00008")</f>
        <v>chara_sum_00201_Special_00008</v>
      </c>
      <c r="D210" s="139" t="str">
        <f>IFERROR(__xludf.DUMMYFUNCTION("""COMPUTED_VALUE"""),"chara_sum_00201")</f>
        <v>chara_sum_00201</v>
      </c>
      <c r="E210" s="139">
        <f>IFERROR(__xludf.DUMMYFUNCTION("""COMPUTED_VALUE"""),8.0)</f>
        <v>8</v>
      </c>
      <c r="F210" s="139" t="str">
        <f>IFERROR(__xludf.DUMMYFUNCTION("""COMPUTED_VALUE"""),"Special")</f>
        <v>Special</v>
      </c>
      <c r="G210" s="139"/>
      <c r="H210" s="139"/>
      <c r="I210" s="139">
        <f>IFERROR(__xludf.DUMMYFUNCTION("""COMPUTED_VALUE"""),135.0)</f>
        <v>135</v>
      </c>
      <c r="J210" s="139">
        <f>IFERROR(__xludf.DUMMYFUNCTION("""COMPUTED_VALUE"""),85.0)</f>
        <v>85</v>
      </c>
      <c r="K210" s="139">
        <f>IFERROR(__xludf.DUMMYFUNCTION("""COMPUTED_VALUE"""),0.0)</f>
        <v>0</v>
      </c>
      <c r="L210" s="139"/>
      <c r="M210" s="139"/>
      <c r="N210" s="139"/>
    </row>
    <row r="211">
      <c r="A211" s="139"/>
      <c r="B211" s="139"/>
      <c r="C211" s="139" t="str">
        <f>IFERROR(__xludf.DUMMYFUNCTION("""COMPUTED_VALUE"""),"chara_sum_00201_Special_00009")</f>
        <v>chara_sum_00201_Special_00009</v>
      </c>
      <c r="D211" s="139" t="str">
        <f>IFERROR(__xludf.DUMMYFUNCTION("""COMPUTED_VALUE"""),"chara_sum_00201")</f>
        <v>chara_sum_00201</v>
      </c>
      <c r="E211" s="139">
        <f>IFERROR(__xludf.DUMMYFUNCTION("""COMPUTED_VALUE"""),9.0)</f>
        <v>9</v>
      </c>
      <c r="F211" s="139" t="str">
        <f>IFERROR(__xludf.DUMMYFUNCTION("""COMPUTED_VALUE"""),"Special")</f>
        <v>Special</v>
      </c>
      <c r="G211" s="139"/>
      <c r="H211" s="139"/>
      <c r="I211" s="139">
        <f>IFERROR(__xludf.DUMMYFUNCTION("""COMPUTED_VALUE"""),135.0)</f>
        <v>135</v>
      </c>
      <c r="J211" s="139">
        <f>IFERROR(__xludf.DUMMYFUNCTION("""COMPUTED_VALUE"""),85.0)</f>
        <v>85</v>
      </c>
      <c r="K211" s="139">
        <f>IFERROR(__xludf.DUMMYFUNCTION("""COMPUTED_VALUE"""),0.0)</f>
        <v>0</v>
      </c>
      <c r="L211" s="139"/>
      <c r="M211" s="139"/>
      <c r="N211" s="139"/>
    </row>
    <row r="212">
      <c r="A212" s="139"/>
      <c r="B212" s="139"/>
      <c r="C212" s="139" t="str">
        <f>IFERROR(__xludf.DUMMYFUNCTION("""COMPUTED_VALUE"""),"chara_sum_00201_Special_00010")</f>
        <v>chara_sum_00201_Special_00010</v>
      </c>
      <c r="D212" s="139" t="str">
        <f>IFERROR(__xludf.DUMMYFUNCTION("""COMPUTED_VALUE"""),"chara_sum_00201")</f>
        <v>chara_sum_00201</v>
      </c>
      <c r="E212" s="139">
        <f>IFERROR(__xludf.DUMMYFUNCTION("""COMPUTED_VALUE"""),10.0)</f>
        <v>10</v>
      </c>
      <c r="F212" s="139" t="str">
        <f>IFERROR(__xludf.DUMMYFUNCTION("""COMPUTED_VALUE"""),"Special")</f>
        <v>Special</v>
      </c>
      <c r="G212" s="139"/>
      <c r="H212" s="139"/>
      <c r="I212" s="139">
        <f>IFERROR(__xludf.DUMMYFUNCTION("""COMPUTED_VALUE"""),135.0)</f>
        <v>135</v>
      </c>
      <c r="J212" s="139">
        <f>IFERROR(__xludf.DUMMYFUNCTION("""COMPUTED_VALUE"""),85.0)</f>
        <v>85</v>
      </c>
      <c r="K212" s="139">
        <f>IFERROR(__xludf.DUMMYFUNCTION("""COMPUTED_VALUE"""),0.0)</f>
        <v>0</v>
      </c>
      <c r="L212" s="139"/>
      <c r="M212" s="139"/>
      <c r="N212" s="139"/>
    </row>
    <row r="213">
      <c r="A213" s="139" t="str">
        <f>IFERROR(__xludf.DUMMYFUNCTION("""COMPUTED_VALUE"""),"e")</f>
        <v>e</v>
      </c>
      <c r="B213" s="139">
        <f>IFERROR(__xludf.DUMMYFUNCTION("""COMPUTED_VALUE"""),2.0250901E8)</f>
        <v>202509010</v>
      </c>
      <c r="C213" s="139" t="str">
        <f>IFERROR(__xludf.DUMMYFUNCTION("""COMPUTED_VALUE"""),"chara_sur_00101_Normal_00000")</f>
        <v>chara_sur_00101_Normal_00000</v>
      </c>
      <c r="D213" s="139" t="str">
        <f>IFERROR(__xludf.DUMMYFUNCTION("""COMPUTED_VALUE"""),"chara_sur_00101")</f>
        <v>chara_sur_00101</v>
      </c>
      <c r="E213" s="139">
        <f>IFERROR(__xludf.DUMMYFUNCTION("""COMPUTED_VALUE"""),0.0)</f>
        <v>0</v>
      </c>
      <c r="F213" s="139" t="str">
        <f>IFERROR(__xludf.DUMMYFUNCTION("""COMPUTED_VALUE"""),"Normal")</f>
        <v>Normal</v>
      </c>
      <c r="G213" s="139"/>
      <c r="H213" s="139"/>
      <c r="I213" s="139">
        <f>IFERROR(__xludf.DUMMYFUNCTION("""COMPUTED_VALUE"""),70.0)</f>
        <v>70</v>
      </c>
      <c r="J213" s="139">
        <f>IFERROR(__xludf.DUMMYFUNCTION("""COMPUTED_VALUE"""),17.0)</f>
        <v>17</v>
      </c>
      <c r="K213" s="139">
        <f>IFERROR(__xludf.DUMMYFUNCTION("""COMPUTED_VALUE"""),75.0)</f>
        <v>75</v>
      </c>
      <c r="L213" s="139"/>
      <c r="M213" s="139" t="str">
        <f>IFERROR(__xludf.DUMMYFUNCTION("""COMPUTED_VALUE"""),"表示場所なし")</f>
        <v>表示場所なし</v>
      </c>
      <c r="N213" s="139"/>
    </row>
    <row r="214">
      <c r="A214" s="139" t="str">
        <f>IFERROR(__xludf.DUMMYFUNCTION("""COMPUTED_VALUE"""),"e")</f>
        <v>e</v>
      </c>
      <c r="B214" s="139">
        <f>IFERROR(__xludf.DUMMYFUNCTION("""COMPUTED_VALUE"""),2.0250901E8)</f>
        <v>202509010</v>
      </c>
      <c r="C214" s="139" t="str">
        <f>IFERROR(__xludf.DUMMYFUNCTION("""COMPUTED_VALUE"""),"chara_sur_00101_Special_00001")</f>
        <v>chara_sur_00101_Special_00001</v>
      </c>
      <c r="D214" s="139" t="str">
        <f>IFERROR(__xludf.DUMMYFUNCTION("""COMPUTED_VALUE"""),"chara_sur_00101")</f>
        <v>chara_sur_00101</v>
      </c>
      <c r="E214" s="139">
        <f>IFERROR(__xludf.DUMMYFUNCTION("""COMPUTED_VALUE"""),1.0)</f>
        <v>1</v>
      </c>
      <c r="F214" s="139" t="str">
        <f>IFERROR(__xludf.DUMMYFUNCTION("""COMPUTED_VALUE"""),"Special")</f>
        <v>Special</v>
      </c>
      <c r="G214" s="139"/>
      <c r="H214" s="139"/>
      <c r="I214" s="139">
        <f>IFERROR(__xludf.DUMMYFUNCTION("""COMPUTED_VALUE"""),134.0)</f>
        <v>134</v>
      </c>
      <c r="J214" s="139">
        <f>IFERROR(__xludf.DUMMYFUNCTION("""COMPUTED_VALUE"""),0.0)</f>
        <v>0</v>
      </c>
      <c r="K214" s="139">
        <f>IFERROR(__xludf.DUMMYFUNCTION("""COMPUTED_VALUE"""),0.0)</f>
        <v>0</v>
      </c>
      <c r="L214" s="139"/>
      <c r="M214" s="139" t="str">
        <f>IFERROR(__xludf.DUMMYFUNCTION("""COMPUTED_VALUE"""),"敵複数体に最大6回の連続攻撃(自身の攻撃ステータスの最大128%ダメージ)")</f>
        <v>敵複数体に最大6回の連続攻撃(自身の攻撃ステータスの最大128%ダメージ)</v>
      </c>
      <c r="N214" s="139"/>
    </row>
    <row r="215">
      <c r="A215" s="139" t="str">
        <f>IFERROR(__xludf.DUMMYFUNCTION("""COMPUTED_VALUE"""),"e")</f>
        <v>e</v>
      </c>
      <c r="B215" s="139">
        <f>IFERROR(__xludf.DUMMYFUNCTION("""COMPUTED_VALUE"""),2.0250901E8)</f>
        <v>202509010</v>
      </c>
      <c r="C215" s="139" t="str">
        <f>IFERROR(__xludf.DUMMYFUNCTION("""COMPUTED_VALUE"""),"chara_sur_00101_Special_00002")</f>
        <v>chara_sur_00101_Special_00002</v>
      </c>
      <c r="D215" s="139" t="str">
        <f>IFERROR(__xludf.DUMMYFUNCTION("""COMPUTED_VALUE"""),"chara_sur_00101")</f>
        <v>chara_sur_00101</v>
      </c>
      <c r="E215" s="139">
        <f>IFERROR(__xludf.DUMMYFUNCTION("""COMPUTED_VALUE"""),2.0)</f>
        <v>2</v>
      </c>
      <c r="F215" s="139" t="str">
        <f>IFERROR(__xludf.DUMMYFUNCTION("""COMPUTED_VALUE"""),"Special")</f>
        <v>Special</v>
      </c>
      <c r="G215" s="139"/>
      <c r="H215" s="139"/>
      <c r="I215" s="139">
        <f>IFERROR(__xludf.DUMMYFUNCTION("""COMPUTED_VALUE"""),134.0)</f>
        <v>134</v>
      </c>
      <c r="J215" s="139">
        <f>IFERROR(__xludf.DUMMYFUNCTION("""COMPUTED_VALUE"""),0.0)</f>
        <v>0</v>
      </c>
      <c r="K215" s="139">
        <f>IFERROR(__xludf.DUMMYFUNCTION("""COMPUTED_VALUE"""),0.0)</f>
        <v>0</v>
      </c>
      <c r="L215" s="139"/>
      <c r="M215" s="139" t="str">
        <f>IFERROR(__xludf.DUMMYFUNCTION("""COMPUTED_VALUE"""),"敵複数体に最大6回の連続攻撃(自身の攻撃ステータスの最大144%ダメージ)")</f>
        <v>敵複数体に最大6回の連続攻撃(自身の攻撃ステータスの最大144%ダメージ)</v>
      </c>
      <c r="N215" s="139" t="str">
        <f>IFERROR(__xludf.DUMMYFUNCTION("""COMPUTED_VALUE"""),"ステータスUP + 必殺ワザ性能UP")</f>
        <v>ステータスUP + 必殺ワザ性能UP</v>
      </c>
    </row>
    <row r="216">
      <c r="A216" s="139" t="str">
        <f>IFERROR(__xludf.DUMMYFUNCTION("""COMPUTED_VALUE"""),"e")</f>
        <v>e</v>
      </c>
      <c r="B216" s="139">
        <f>IFERROR(__xludf.DUMMYFUNCTION("""COMPUTED_VALUE"""),2.0250901E8)</f>
        <v>202509010</v>
      </c>
      <c r="C216" s="139" t="str">
        <f>IFERROR(__xludf.DUMMYFUNCTION("""COMPUTED_VALUE"""),"chara_sur_00101_Special_00003")</f>
        <v>chara_sur_00101_Special_00003</v>
      </c>
      <c r="D216" s="139" t="str">
        <f>IFERROR(__xludf.DUMMYFUNCTION("""COMPUTED_VALUE"""),"chara_sur_00101")</f>
        <v>chara_sur_00101</v>
      </c>
      <c r="E216" s="139">
        <f>IFERROR(__xludf.DUMMYFUNCTION("""COMPUTED_VALUE"""),3.0)</f>
        <v>3</v>
      </c>
      <c r="F216" s="139" t="str">
        <f>IFERROR(__xludf.DUMMYFUNCTION("""COMPUTED_VALUE"""),"Special")</f>
        <v>Special</v>
      </c>
      <c r="G216" s="139"/>
      <c r="H216" s="139"/>
      <c r="I216" s="139">
        <f>IFERROR(__xludf.DUMMYFUNCTION("""COMPUTED_VALUE"""),134.0)</f>
        <v>134</v>
      </c>
      <c r="J216" s="139">
        <f>IFERROR(__xludf.DUMMYFUNCTION("""COMPUTED_VALUE"""),0.0)</f>
        <v>0</v>
      </c>
      <c r="K216" s="139">
        <f>IFERROR(__xludf.DUMMYFUNCTION("""COMPUTED_VALUE"""),0.0)</f>
        <v>0</v>
      </c>
      <c r="L216" s="139"/>
      <c r="M216" s="139" t="str">
        <f>IFERROR(__xludf.DUMMYFUNCTION("""COMPUTED_VALUE"""),"敵複数体に最大6回の連続攻撃(自身の攻撃ステータスの最大155%ダメージ)")</f>
        <v>敵複数体に最大6回の連続攻撃(自身の攻撃ステータスの最大155%ダメージ)</v>
      </c>
      <c r="N216" s="139" t="str">
        <f>IFERROR(__xludf.DUMMYFUNCTION("""COMPUTED_VALUE"""),"ステータスUP + 必殺ワザ性能UP")</f>
        <v>ステータスUP + 必殺ワザ性能UP</v>
      </c>
    </row>
    <row r="217">
      <c r="A217" s="139" t="str">
        <f>IFERROR(__xludf.DUMMYFUNCTION("""COMPUTED_VALUE"""),"e")</f>
        <v>e</v>
      </c>
      <c r="B217" s="139">
        <f>IFERROR(__xludf.DUMMYFUNCTION("""COMPUTED_VALUE"""),2.0250901E8)</f>
        <v>202509010</v>
      </c>
      <c r="C217" s="139" t="str">
        <f>IFERROR(__xludf.DUMMYFUNCTION("""COMPUTED_VALUE"""),"chara_sur_00101_Special_00004")</f>
        <v>chara_sur_00101_Special_00004</v>
      </c>
      <c r="D217" s="139" t="str">
        <f>IFERROR(__xludf.DUMMYFUNCTION("""COMPUTED_VALUE"""),"chara_sur_00101")</f>
        <v>chara_sur_00101</v>
      </c>
      <c r="E217" s="139">
        <f>IFERROR(__xludf.DUMMYFUNCTION("""COMPUTED_VALUE"""),4.0)</f>
        <v>4</v>
      </c>
      <c r="F217" s="139" t="str">
        <f>IFERROR(__xludf.DUMMYFUNCTION("""COMPUTED_VALUE"""),"Special")</f>
        <v>Special</v>
      </c>
      <c r="G217" s="139"/>
      <c r="H217" s="139"/>
      <c r="I217" s="139">
        <f>IFERROR(__xludf.DUMMYFUNCTION("""COMPUTED_VALUE"""),134.0)</f>
        <v>134</v>
      </c>
      <c r="J217" s="139">
        <f>IFERROR(__xludf.DUMMYFUNCTION("""COMPUTED_VALUE"""),0.0)</f>
        <v>0</v>
      </c>
      <c r="K217" s="139">
        <f>IFERROR(__xludf.DUMMYFUNCTION("""COMPUTED_VALUE"""),0.0)</f>
        <v>0</v>
      </c>
      <c r="L217" s="139"/>
      <c r="M217" s="139" t="str">
        <f>IFERROR(__xludf.DUMMYFUNCTION("""COMPUTED_VALUE"""),"敵複数体に最大6回の連続攻撃(自身の攻撃ステータスの最大163%ダメージ)")</f>
        <v>敵複数体に最大6回の連続攻撃(自身の攻撃ステータスの最大163%ダメージ)</v>
      </c>
      <c r="N217" s="139" t="str">
        <f>IFERROR(__xludf.DUMMYFUNCTION("""COMPUTED_VALUE"""),"ステータスUP + 必殺ワザ性能UP")</f>
        <v>ステータスUP + 必殺ワザ性能UP</v>
      </c>
    </row>
    <row r="218">
      <c r="A218" s="139" t="str">
        <f>IFERROR(__xludf.DUMMYFUNCTION("""COMPUTED_VALUE"""),"e")</f>
        <v>e</v>
      </c>
      <c r="B218" s="139">
        <f>IFERROR(__xludf.DUMMYFUNCTION("""COMPUTED_VALUE"""),2.0250901E8)</f>
        <v>202509010</v>
      </c>
      <c r="C218" s="139" t="str">
        <f>IFERROR(__xludf.DUMMYFUNCTION("""COMPUTED_VALUE"""),"chara_sur_00101_Special_00005")</f>
        <v>chara_sur_00101_Special_00005</v>
      </c>
      <c r="D218" s="139" t="str">
        <f>IFERROR(__xludf.DUMMYFUNCTION("""COMPUTED_VALUE"""),"chara_sur_00101")</f>
        <v>chara_sur_00101</v>
      </c>
      <c r="E218" s="139">
        <f>IFERROR(__xludf.DUMMYFUNCTION("""COMPUTED_VALUE"""),5.0)</f>
        <v>5</v>
      </c>
      <c r="F218" s="139" t="str">
        <f>IFERROR(__xludf.DUMMYFUNCTION("""COMPUTED_VALUE"""),"Special")</f>
        <v>Special</v>
      </c>
      <c r="G218" s="139"/>
      <c r="H218" s="139"/>
      <c r="I218" s="139">
        <f>IFERROR(__xludf.DUMMYFUNCTION("""COMPUTED_VALUE"""),134.0)</f>
        <v>134</v>
      </c>
      <c r="J218" s="139">
        <f>IFERROR(__xludf.DUMMYFUNCTION("""COMPUTED_VALUE"""),0.0)</f>
        <v>0</v>
      </c>
      <c r="K218" s="139">
        <f>IFERROR(__xludf.DUMMYFUNCTION("""COMPUTED_VALUE"""),0.0)</f>
        <v>0</v>
      </c>
      <c r="L218" s="139"/>
      <c r="M218" s="139" t="str">
        <f>IFERROR(__xludf.DUMMYFUNCTION("""COMPUTED_VALUE"""),"敵複数体に最大6回の連続攻撃(自身の攻撃ステータスの最大169%ダメージ)")</f>
        <v>敵複数体に最大6回の連続攻撃(自身の攻撃ステータスの最大169%ダメージ)</v>
      </c>
      <c r="N218" s="139" t="str">
        <f>IFERROR(__xludf.DUMMYFUNCTION("""COMPUTED_VALUE"""),"ステータスUP + 必殺ワザ性能UP")</f>
        <v>ステータスUP + 必殺ワザ性能UP</v>
      </c>
    </row>
    <row r="219">
      <c r="A219" s="139"/>
      <c r="B219" s="139"/>
      <c r="C219" s="139" t="str">
        <f>IFERROR(__xludf.DUMMYFUNCTION("""COMPUTED_VALUE"""),"chara_sur_00101_Special_00006")</f>
        <v>chara_sur_00101_Special_00006</v>
      </c>
      <c r="D219" s="139" t="str">
        <f>IFERROR(__xludf.DUMMYFUNCTION("""COMPUTED_VALUE"""),"chara_sur_00101")</f>
        <v>chara_sur_00101</v>
      </c>
      <c r="E219" s="139">
        <f>IFERROR(__xludf.DUMMYFUNCTION("""COMPUTED_VALUE"""),6.0)</f>
        <v>6</v>
      </c>
      <c r="F219" s="139" t="str">
        <f>IFERROR(__xludf.DUMMYFUNCTION("""COMPUTED_VALUE"""),"Special")</f>
        <v>Special</v>
      </c>
      <c r="G219" s="139"/>
      <c r="H219" s="139"/>
      <c r="I219" s="139">
        <f>IFERROR(__xludf.DUMMYFUNCTION("""COMPUTED_VALUE"""),134.0)</f>
        <v>134</v>
      </c>
      <c r="J219" s="139">
        <f>IFERROR(__xludf.DUMMYFUNCTION("""COMPUTED_VALUE"""),0.0)</f>
        <v>0</v>
      </c>
      <c r="K219" s="139">
        <f>IFERROR(__xludf.DUMMYFUNCTION("""COMPUTED_VALUE"""),0.0)</f>
        <v>0</v>
      </c>
      <c r="L219" s="139"/>
      <c r="M219" s="139"/>
      <c r="N219" s="139"/>
    </row>
    <row r="220">
      <c r="A220" s="139"/>
      <c r="B220" s="139"/>
      <c r="C220" s="139" t="str">
        <f>IFERROR(__xludf.DUMMYFUNCTION("""COMPUTED_VALUE"""),"chara_sur_00101_Special_00007")</f>
        <v>chara_sur_00101_Special_00007</v>
      </c>
      <c r="D220" s="139" t="str">
        <f>IFERROR(__xludf.DUMMYFUNCTION("""COMPUTED_VALUE"""),"chara_sur_00101")</f>
        <v>chara_sur_00101</v>
      </c>
      <c r="E220" s="139">
        <f>IFERROR(__xludf.DUMMYFUNCTION("""COMPUTED_VALUE"""),7.0)</f>
        <v>7</v>
      </c>
      <c r="F220" s="139" t="str">
        <f>IFERROR(__xludf.DUMMYFUNCTION("""COMPUTED_VALUE"""),"Special")</f>
        <v>Special</v>
      </c>
      <c r="G220" s="139"/>
      <c r="H220" s="139"/>
      <c r="I220" s="139">
        <f>IFERROR(__xludf.DUMMYFUNCTION("""COMPUTED_VALUE"""),134.0)</f>
        <v>134</v>
      </c>
      <c r="J220" s="139">
        <f>IFERROR(__xludf.DUMMYFUNCTION("""COMPUTED_VALUE"""),0.0)</f>
        <v>0</v>
      </c>
      <c r="K220" s="139">
        <f>IFERROR(__xludf.DUMMYFUNCTION("""COMPUTED_VALUE"""),0.0)</f>
        <v>0</v>
      </c>
      <c r="L220" s="139"/>
      <c r="M220" s="139"/>
      <c r="N220" s="139"/>
    </row>
    <row r="221">
      <c r="A221" s="139"/>
      <c r="B221" s="139"/>
      <c r="C221" s="139" t="str">
        <f>IFERROR(__xludf.DUMMYFUNCTION("""COMPUTED_VALUE"""),"chara_sur_00101_Special_00008")</f>
        <v>chara_sur_00101_Special_00008</v>
      </c>
      <c r="D221" s="139" t="str">
        <f>IFERROR(__xludf.DUMMYFUNCTION("""COMPUTED_VALUE"""),"chara_sur_00101")</f>
        <v>chara_sur_00101</v>
      </c>
      <c r="E221" s="139">
        <f>IFERROR(__xludf.DUMMYFUNCTION("""COMPUTED_VALUE"""),8.0)</f>
        <v>8</v>
      </c>
      <c r="F221" s="139" t="str">
        <f>IFERROR(__xludf.DUMMYFUNCTION("""COMPUTED_VALUE"""),"Special")</f>
        <v>Special</v>
      </c>
      <c r="G221" s="139"/>
      <c r="H221" s="139"/>
      <c r="I221" s="139">
        <f>IFERROR(__xludf.DUMMYFUNCTION("""COMPUTED_VALUE"""),134.0)</f>
        <v>134</v>
      </c>
      <c r="J221" s="139">
        <f>IFERROR(__xludf.DUMMYFUNCTION("""COMPUTED_VALUE"""),0.0)</f>
        <v>0</v>
      </c>
      <c r="K221" s="139">
        <f>IFERROR(__xludf.DUMMYFUNCTION("""COMPUTED_VALUE"""),0.0)</f>
        <v>0</v>
      </c>
      <c r="L221" s="139"/>
      <c r="M221" s="139"/>
      <c r="N221" s="139"/>
    </row>
    <row r="222">
      <c r="A222" s="139"/>
      <c r="B222" s="139"/>
      <c r="C222" s="139" t="str">
        <f>IFERROR(__xludf.DUMMYFUNCTION("""COMPUTED_VALUE"""),"chara_sur_00101_Special_00009")</f>
        <v>chara_sur_00101_Special_00009</v>
      </c>
      <c r="D222" s="139" t="str">
        <f>IFERROR(__xludf.DUMMYFUNCTION("""COMPUTED_VALUE"""),"chara_sur_00101")</f>
        <v>chara_sur_00101</v>
      </c>
      <c r="E222" s="139">
        <f>IFERROR(__xludf.DUMMYFUNCTION("""COMPUTED_VALUE"""),9.0)</f>
        <v>9</v>
      </c>
      <c r="F222" s="139" t="str">
        <f>IFERROR(__xludf.DUMMYFUNCTION("""COMPUTED_VALUE"""),"Special")</f>
        <v>Special</v>
      </c>
      <c r="G222" s="139"/>
      <c r="H222" s="139"/>
      <c r="I222" s="139">
        <f>IFERROR(__xludf.DUMMYFUNCTION("""COMPUTED_VALUE"""),134.0)</f>
        <v>134</v>
      </c>
      <c r="J222" s="139">
        <f>IFERROR(__xludf.DUMMYFUNCTION("""COMPUTED_VALUE"""),0.0)</f>
        <v>0</v>
      </c>
      <c r="K222" s="139">
        <f>IFERROR(__xludf.DUMMYFUNCTION("""COMPUTED_VALUE"""),0.0)</f>
        <v>0</v>
      </c>
      <c r="L222" s="139"/>
      <c r="M222" s="139"/>
      <c r="N222" s="139"/>
    </row>
    <row r="223">
      <c r="A223" s="139"/>
      <c r="B223" s="139"/>
      <c r="C223" s="139" t="str">
        <f>IFERROR(__xludf.DUMMYFUNCTION("""COMPUTED_VALUE"""),"chara_sur_00101_Special_00010")</f>
        <v>chara_sur_00101_Special_00010</v>
      </c>
      <c r="D223" s="139" t="str">
        <f>IFERROR(__xludf.DUMMYFUNCTION("""COMPUTED_VALUE"""),"chara_sur_00101")</f>
        <v>chara_sur_00101</v>
      </c>
      <c r="E223" s="139">
        <f>IFERROR(__xludf.DUMMYFUNCTION("""COMPUTED_VALUE"""),10.0)</f>
        <v>10</v>
      </c>
      <c r="F223" s="139" t="str">
        <f>IFERROR(__xludf.DUMMYFUNCTION("""COMPUTED_VALUE"""),"Special")</f>
        <v>Special</v>
      </c>
      <c r="G223" s="139"/>
      <c r="H223" s="139"/>
      <c r="I223" s="139">
        <f>IFERROR(__xludf.DUMMYFUNCTION("""COMPUTED_VALUE"""),134.0)</f>
        <v>134</v>
      </c>
      <c r="J223" s="139">
        <f>IFERROR(__xludf.DUMMYFUNCTION("""COMPUTED_VALUE"""),0.0)</f>
        <v>0</v>
      </c>
      <c r="K223" s="139">
        <f>IFERROR(__xludf.DUMMYFUNCTION("""COMPUTED_VALUE"""),0.0)</f>
        <v>0</v>
      </c>
      <c r="L223" s="139"/>
      <c r="M223" s="139"/>
      <c r="N223" s="139"/>
    </row>
    <row r="224">
      <c r="A224" s="139" t="str">
        <f>IFERROR(__xludf.DUMMYFUNCTION("""COMPUTED_VALUE"""),"e")</f>
        <v>e</v>
      </c>
      <c r="B224" s="139">
        <f>IFERROR(__xludf.DUMMYFUNCTION("""COMPUTED_VALUE"""),2.0250901E8)</f>
        <v>202509010</v>
      </c>
      <c r="C224" s="139" t="str">
        <f>IFERROR(__xludf.DUMMYFUNCTION("""COMPUTED_VALUE"""),"chara_sum_00101_Normal_00000")</f>
        <v>chara_sum_00101_Normal_00000</v>
      </c>
      <c r="D224" s="139" t="str">
        <f>IFERROR(__xludf.DUMMYFUNCTION("""COMPUTED_VALUE"""),"chara_sum_00101")</f>
        <v>chara_sum_00101</v>
      </c>
      <c r="E224" s="139">
        <f>IFERROR(__xludf.DUMMYFUNCTION("""COMPUTED_VALUE"""),0.0)</f>
        <v>0</v>
      </c>
      <c r="F224" s="139" t="str">
        <f>IFERROR(__xludf.DUMMYFUNCTION("""COMPUTED_VALUE"""),"Normal")</f>
        <v>Normal</v>
      </c>
      <c r="G224" s="139"/>
      <c r="H224" s="139"/>
      <c r="I224" s="139">
        <f>IFERROR(__xludf.DUMMYFUNCTION("""COMPUTED_VALUE"""),57.0)</f>
        <v>57</v>
      </c>
      <c r="J224" s="139">
        <f>IFERROR(__xludf.DUMMYFUNCTION("""COMPUTED_VALUE"""),25.0)</f>
        <v>25</v>
      </c>
      <c r="K224" s="139">
        <f>IFERROR(__xludf.DUMMYFUNCTION("""COMPUTED_VALUE"""),90.0)</f>
        <v>90</v>
      </c>
      <c r="L224" s="139"/>
      <c r="M224" s="139" t="str">
        <f>IFERROR(__xludf.DUMMYFUNCTION("""COMPUTED_VALUE"""),"表示場所なし")</f>
        <v>表示場所なし</v>
      </c>
      <c r="N224" s="139"/>
    </row>
    <row r="225">
      <c r="A225" s="139" t="str">
        <f>IFERROR(__xludf.DUMMYFUNCTION("""COMPUTED_VALUE"""),"e")</f>
        <v>e</v>
      </c>
      <c r="B225" s="139">
        <f>IFERROR(__xludf.DUMMYFUNCTION("""COMPUTED_VALUE"""),2.0250901E8)</f>
        <v>202509010</v>
      </c>
      <c r="C225" s="139" t="str">
        <f>IFERROR(__xludf.DUMMYFUNCTION("""COMPUTED_VALUE"""),"chara_sum_00101_Special_00001")</f>
        <v>chara_sum_00101_Special_00001</v>
      </c>
      <c r="D225" s="139" t="str">
        <f>IFERROR(__xludf.DUMMYFUNCTION("""COMPUTED_VALUE"""),"chara_sum_00101")</f>
        <v>chara_sum_00101</v>
      </c>
      <c r="E225" s="139">
        <f>IFERROR(__xludf.DUMMYFUNCTION("""COMPUTED_VALUE"""),1.0)</f>
        <v>1</v>
      </c>
      <c r="F225" s="139" t="str">
        <f>IFERROR(__xludf.DUMMYFUNCTION("""COMPUTED_VALUE"""),"Special")</f>
        <v>Special</v>
      </c>
      <c r="G225" s="139"/>
      <c r="H225" s="139"/>
      <c r="I225" s="139">
        <f>IFERROR(__xludf.DUMMYFUNCTION("""COMPUTED_VALUE"""),110.0)</f>
        <v>110</v>
      </c>
      <c r="J225" s="139">
        <f>IFERROR(__xludf.DUMMYFUNCTION("""COMPUTED_VALUE"""),50.0)</f>
        <v>50</v>
      </c>
      <c r="K225" s="139">
        <f>IFERROR(__xludf.DUMMYFUNCTION("""COMPUTED_VALUE"""),0.0)</f>
        <v>0</v>
      </c>
      <c r="L225" s="139"/>
      <c r="M225" s="139" t="str">
        <f>IFERROR(__xludf.DUMMYFUNCTION("""COMPUTED_VALUE"""),"自身と同じコマにいる青属性の味方と自身への被ダメージを12.2秒間、10%カット")</f>
        <v>自身と同じコマにいる青属性の味方と自身への被ダメージを12.2秒間、10%カット</v>
      </c>
      <c r="N225" s="139"/>
    </row>
    <row r="226">
      <c r="A226" s="139" t="str">
        <f>IFERROR(__xludf.DUMMYFUNCTION("""COMPUTED_VALUE"""),"e")</f>
        <v>e</v>
      </c>
      <c r="B226" s="139">
        <f>IFERROR(__xludf.DUMMYFUNCTION("""COMPUTED_VALUE"""),2.0250901E8)</f>
        <v>202509010</v>
      </c>
      <c r="C226" s="139" t="str">
        <f>IFERROR(__xludf.DUMMYFUNCTION("""COMPUTED_VALUE"""),"chara_sum_00101_Special_00002")</f>
        <v>chara_sum_00101_Special_00002</v>
      </c>
      <c r="D226" s="139" t="str">
        <f>IFERROR(__xludf.DUMMYFUNCTION("""COMPUTED_VALUE"""),"chara_sum_00101")</f>
        <v>chara_sum_00101</v>
      </c>
      <c r="E226" s="139">
        <f>IFERROR(__xludf.DUMMYFUNCTION("""COMPUTED_VALUE"""),2.0)</f>
        <v>2</v>
      </c>
      <c r="F226" s="139" t="str">
        <f>IFERROR(__xludf.DUMMYFUNCTION("""COMPUTED_VALUE"""),"Special")</f>
        <v>Special</v>
      </c>
      <c r="G226" s="139"/>
      <c r="H226" s="139"/>
      <c r="I226" s="139">
        <f>IFERROR(__xludf.DUMMYFUNCTION("""COMPUTED_VALUE"""),110.0)</f>
        <v>110</v>
      </c>
      <c r="J226" s="139">
        <f>IFERROR(__xludf.DUMMYFUNCTION("""COMPUTED_VALUE"""),50.0)</f>
        <v>50</v>
      </c>
      <c r="K226" s="139">
        <f>IFERROR(__xludf.DUMMYFUNCTION("""COMPUTED_VALUE"""),0.0)</f>
        <v>0</v>
      </c>
      <c r="L226" s="139"/>
      <c r="M226" s="139" t="str">
        <f>IFERROR(__xludf.DUMMYFUNCTION("""COMPUTED_VALUE"""),"自身と同じコマにいる青属性の味方と自身への被ダメージを13.4秒間、11%カット")</f>
        <v>自身と同じコマにいる青属性の味方と自身への被ダメージを13.4秒間、11%カット</v>
      </c>
      <c r="N226" s="139" t="str">
        <f>IFERROR(__xludf.DUMMYFUNCTION("""COMPUTED_VALUE"""),"ステータスUP + 必殺ワザ性能UP")</f>
        <v>ステータスUP + 必殺ワザ性能UP</v>
      </c>
    </row>
    <row r="227">
      <c r="A227" s="139" t="str">
        <f>IFERROR(__xludf.DUMMYFUNCTION("""COMPUTED_VALUE"""),"e")</f>
        <v>e</v>
      </c>
      <c r="B227" s="139">
        <f>IFERROR(__xludf.DUMMYFUNCTION("""COMPUTED_VALUE"""),2.0250901E8)</f>
        <v>202509010</v>
      </c>
      <c r="C227" s="139" t="str">
        <f>IFERROR(__xludf.DUMMYFUNCTION("""COMPUTED_VALUE"""),"chara_sum_00101_Special_00003")</f>
        <v>chara_sum_00101_Special_00003</v>
      </c>
      <c r="D227" s="139" t="str">
        <f>IFERROR(__xludf.DUMMYFUNCTION("""COMPUTED_VALUE"""),"chara_sum_00101")</f>
        <v>chara_sum_00101</v>
      </c>
      <c r="E227" s="139">
        <f>IFERROR(__xludf.DUMMYFUNCTION("""COMPUTED_VALUE"""),3.0)</f>
        <v>3</v>
      </c>
      <c r="F227" s="139" t="str">
        <f>IFERROR(__xludf.DUMMYFUNCTION("""COMPUTED_VALUE"""),"Special")</f>
        <v>Special</v>
      </c>
      <c r="G227" s="139"/>
      <c r="H227" s="139"/>
      <c r="I227" s="139">
        <f>IFERROR(__xludf.DUMMYFUNCTION("""COMPUTED_VALUE"""),110.0)</f>
        <v>110</v>
      </c>
      <c r="J227" s="139">
        <f>IFERROR(__xludf.DUMMYFUNCTION("""COMPUTED_VALUE"""),50.0)</f>
        <v>50</v>
      </c>
      <c r="K227" s="139">
        <f>IFERROR(__xludf.DUMMYFUNCTION("""COMPUTED_VALUE"""),0.0)</f>
        <v>0</v>
      </c>
      <c r="L227" s="139"/>
      <c r="M227" s="139" t="str">
        <f>IFERROR(__xludf.DUMMYFUNCTION("""COMPUTED_VALUE"""),"自身と同じコマにいる青属性の味方と自身への被ダメージを14.1秒間、11%カット")</f>
        <v>自身と同じコマにいる青属性の味方と自身への被ダメージを14.1秒間、11%カット</v>
      </c>
      <c r="N227" s="139" t="str">
        <f>IFERROR(__xludf.DUMMYFUNCTION("""COMPUTED_VALUE"""),"ステータスUP + 必殺ワザ性能UP")</f>
        <v>ステータスUP + 必殺ワザ性能UP</v>
      </c>
    </row>
    <row r="228">
      <c r="A228" s="139" t="str">
        <f>IFERROR(__xludf.DUMMYFUNCTION("""COMPUTED_VALUE"""),"e")</f>
        <v>e</v>
      </c>
      <c r="B228" s="139">
        <f>IFERROR(__xludf.DUMMYFUNCTION("""COMPUTED_VALUE"""),2.0250901E8)</f>
        <v>202509010</v>
      </c>
      <c r="C228" s="139" t="str">
        <f>IFERROR(__xludf.DUMMYFUNCTION("""COMPUTED_VALUE"""),"chara_sum_00101_Special_00004")</f>
        <v>chara_sum_00101_Special_00004</v>
      </c>
      <c r="D228" s="139" t="str">
        <f>IFERROR(__xludf.DUMMYFUNCTION("""COMPUTED_VALUE"""),"chara_sum_00101")</f>
        <v>chara_sum_00101</v>
      </c>
      <c r="E228" s="139">
        <f>IFERROR(__xludf.DUMMYFUNCTION("""COMPUTED_VALUE"""),4.0)</f>
        <v>4</v>
      </c>
      <c r="F228" s="139" t="str">
        <f>IFERROR(__xludf.DUMMYFUNCTION("""COMPUTED_VALUE"""),"Special")</f>
        <v>Special</v>
      </c>
      <c r="G228" s="139"/>
      <c r="H228" s="139"/>
      <c r="I228" s="139">
        <f>IFERROR(__xludf.DUMMYFUNCTION("""COMPUTED_VALUE"""),110.0)</f>
        <v>110</v>
      </c>
      <c r="J228" s="139">
        <f>IFERROR(__xludf.DUMMYFUNCTION("""COMPUTED_VALUE"""),50.0)</f>
        <v>50</v>
      </c>
      <c r="K228" s="139">
        <f>IFERROR(__xludf.DUMMYFUNCTION("""COMPUTED_VALUE"""),0.0)</f>
        <v>0</v>
      </c>
      <c r="L228" s="139"/>
      <c r="M228" s="139" t="str">
        <f>IFERROR(__xludf.DUMMYFUNCTION("""COMPUTED_VALUE"""),"自身と同じコマにいる青属性の味方と自身への被ダメージを14.7秒間、12%カット")</f>
        <v>自身と同じコマにいる青属性の味方と自身への被ダメージを14.7秒間、12%カット</v>
      </c>
      <c r="N228" s="139" t="str">
        <f>IFERROR(__xludf.DUMMYFUNCTION("""COMPUTED_VALUE"""),"ステータスUP + 必殺ワザ性能UP")</f>
        <v>ステータスUP + 必殺ワザ性能UP</v>
      </c>
    </row>
    <row r="229">
      <c r="A229" s="139" t="str">
        <f>IFERROR(__xludf.DUMMYFUNCTION("""COMPUTED_VALUE"""),"e")</f>
        <v>e</v>
      </c>
      <c r="B229" s="139">
        <f>IFERROR(__xludf.DUMMYFUNCTION("""COMPUTED_VALUE"""),2.0250901E8)</f>
        <v>202509010</v>
      </c>
      <c r="C229" s="139" t="str">
        <f>IFERROR(__xludf.DUMMYFUNCTION("""COMPUTED_VALUE"""),"chara_sum_00101_Special_00005")</f>
        <v>chara_sum_00101_Special_00005</v>
      </c>
      <c r="D229" s="139" t="str">
        <f>IFERROR(__xludf.DUMMYFUNCTION("""COMPUTED_VALUE"""),"chara_sum_00101")</f>
        <v>chara_sum_00101</v>
      </c>
      <c r="E229" s="139">
        <f>IFERROR(__xludf.DUMMYFUNCTION("""COMPUTED_VALUE"""),5.0)</f>
        <v>5</v>
      </c>
      <c r="F229" s="139" t="str">
        <f>IFERROR(__xludf.DUMMYFUNCTION("""COMPUTED_VALUE"""),"Special")</f>
        <v>Special</v>
      </c>
      <c r="G229" s="139"/>
      <c r="H229" s="139"/>
      <c r="I229" s="139">
        <f>IFERROR(__xludf.DUMMYFUNCTION("""COMPUTED_VALUE"""),110.0)</f>
        <v>110</v>
      </c>
      <c r="J229" s="139">
        <f>IFERROR(__xludf.DUMMYFUNCTION("""COMPUTED_VALUE"""),50.0)</f>
        <v>50</v>
      </c>
      <c r="K229" s="139">
        <f>IFERROR(__xludf.DUMMYFUNCTION("""COMPUTED_VALUE"""),0.0)</f>
        <v>0</v>
      </c>
      <c r="L229" s="139"/>
      <c r="M229" s="139" t="str">
        <f>IFERROR(__xludf.DUMMYFUNCTION("""COMPUTED_VALUE"""),"自身と同じコマにいる青属性の味方と自身への被ダメージを15秒間、12%カット")</f>
        <v>自身と同じコマにいる青属性の味方と自身への被ダメージを15秒間、12%カット</v>
      </c>
      <c r="N229" s="139" t="str">
        <f>IFERROR(__xludf.DUMMYFUNCTION("""COMPUTED_VALUE"""),"ステータスUP + 必殺ワザ性能UP")</f>
        <v>ステータスUP + 必殺ワザ性能UP</v>
      </c>
    </row>
    <row r="230">
      <c r="A230" s="139"/>
      <c r="B230" s="139"/>
      <c r="C230" s="139" t="str">
        <f>IFERROR(__xludf.DUMMYFUNCTION("""COMPUTED_VALUE"""),"chara_sum_00101_Special_00006")</f>
        <v>chara_sum_00101_Special_00006</v>
      </c>
      <c r="D230" s="139" t="str">
        <f>IFERROR(__xludf.DUMMYFUNCTION("""COMPUTED_VALUE"""),"chara_sum_00101")</f>
        <v>chara_sum_00101</v>
      </c>
      <c r="E230" s="139">
        <f>IFERROR(__xludf.DUMMYFUNCTION("""COMPUTED_VALUE"""),6.0)</f>
        <v>6</v>
      </c>
      <c r="F230" s="139" t="str">
        <f>IFERROR(__xludf.DUMMYFUNCTION("""COMPUTED_VALUE"""),"Special")</f>
        <v>Special</v>
      </c>
      <c r="G230" s="139"/>
      <c r="H230" s="139"/>
      <c r="I230" s="139">
        <f>IFERROR(__xludf.DUMMYFUNCTION("""COMPUTED_VALUE"""),110.0)</f>
        <v>110</v>
      </c>
      <c r="J230" s="139">
        <f>IFERROR(__xludf.DUMMYFUNCTION("""COMPUTED_VALUE"""),50.0)</f>
        <v>50</v>
      </c>
      <c r="K230" s="139">
        <f>IFERROR(__xludf.DUMMYFUNCTION("""COMPUTED_VALUE"""),0.0)</f>
        <v>0</v>
      </c>
      <c r="L230" s="139"/>
      <c r="M230" s="139"/>
      <c r="N230" s="139"/>
    </row>
    <row r="231">
      <c r="A231" s="139"/>
      <c r="B231" s="139"/>
      <c r="C231" s="139" t="str">
        <f>IFERROR(__xludf.DUMMYFUNCTION("""COMPUTED_VALUE"""),"chara_sum_00101_Special_00007")</f>
        <v>chara_sum_00101_Special_00007</v>
      </c>
      <c r="D231" s="139" t="str">
        <f>IFERROR(__xludf.DUMMYFUNCTION("""COMPUTED_VALUE"""),"chara_sum_00101")</f>
        <v>chara_sum_00101</v>
      </c>
      <c r="E231" s="139">
        <f>IFERROR(__xludf.DUMMYFUNCTION("""COMPUTED_VALUE"""),7.0)</f>
        <v>7</v>
      </c>
      <c r="F231" s="139" t="str">
        <f>IFERROR(__xludf.DUMMYFUNCTION("""COMPUTED_VALUE"""),"Special")</f>
        <v>Special</v>
      </c>
      <c r="G231" s="139"/>
      <c r="H231" s="139"/>
      <c r="I231" s="139">
        <f>IFERROR(__xludf.DUMMYFUNCTION("""COMPUTED_VALUE"""),110.0)</f>
        <v>110</v>
      </c>
      <c r="J231" s="139">
        <f>IFERROR(__xludf.DUMMYFUNCTION("""COMPUTED_VALUE"""),50.0)</f>
        <v>50</v>
      </c>
      <c r="K231" s="139">
        <f>IFERROR(__xludf.DUMMYFUNCTION("""COMPUTED_VALUE"""),0.0)</f>
        <v>0</v>
      </c>
      <c r="L231" s="139"/>
      <c r="M231" s="139"/>
      <c r="N231" s="139"/>
    </row>
    <row r="232">
      <c r="A232" s="139"/>
      <c r="B232" s="139"/>
      <c r="C232" s="139" t="str">
        <f>IFERROR(__xludf.DUMMYFUNCTION("""COMPUTED_VALUE"""),"chara_sum_00101_Special_00008")</f>
        <v>chara_sum_00101_Special_00008</v>
      </c>
      <c r="D232" s="139" t="str">
        <f>IFERROR(__xludf.DUMMYFUNCTION("""COMPUTED_VALUE"""),"chara_sum_00101")</f>
        <v>chara_sum_00101</v>
      </c>
      <c r="E232" s="139">
        <f>IFERROR(__xludf.DUMMYFUNCTION("""COMPUTED_VALUE"""),8.0)</f>
        <v>8</v>
      </c>
      <c r="F232" s="139" t="str">
        <f>IFERROR(__xludf.DUMMYFUNCTION("""COMPUTED_VALUE"""),"Special")</f>
        <v>Special</v>
      </c>
      <c r="G232" s="139"/>
      <c r="H232" s="139"/>
      <c r="I232" s="139">
        <f>IFERROR(__xludf.DUMMYFUNCTION("""COMPUTED_VALUE"""),110.0)</f>
        <v>110</v>
      </c>
      <c r="J232" s="139">
        <f>IFERROR(__xludf.DUMMYFUNCTION("""COMPUTED_VALUE"""),50.0)</f>
        <v>50</v>
      </c>
      <c r="K232" s="139">
        <f>IFERROR(__xludf.DUMMYFUNCTION("""COMPUTED_VALUE"""),0.0)</f>
        <v>0</v>
      </c>
      <c r="L232" s="139"/>
      <c r="M232" s="139"/>
      <c r="N232" s="139"/>
    </row>
    <row r="233">
      <c r="A233" s="139"/>
      <c r="B233" s="139"/>
      <c r="C233" s="139" t="str">
        <f>IFERROR(__xludf.DUMMYFUNCTION("""COMPUTED_VALUE"""),"chara_sum_00101_Special_00009")</f>
        <v>chara_sum_00101_Special_00009</v>
      </c>
      <c r="D233" s="139" t="str">
        <f>IFERROR(__xludf.DUMMYFUNCTION("""COMPUTED_VALUE"""),"chara_sum_00101")</f>
        <v>chara_sum_00101</v>
      </c>
      <c r="E233" s="139">
        <f>IFERROR(__xludf.DUMMYFUNCTION("""COMPUTED_VALUE"""),9.0)</f>
        <v>9</v>
      </c>
      <c r="F233" s="139" t="str">
        <f>IFERROR(__xludf.DUMMYFUNCTION("""COMPUTED_VALUE"""),"Special")</f>
        <v>Special</v>
      </c>
      <c r="G233" s="139"/>
      <c r="H233" s="139"/>
      <c r="I233" s="139">
        <f>IFERROR(__xludf.DUMMYFUNCTION("""COMPUTED_VALUE"""),110.0)</f>
        <v>110</v>
      </c>
      <c r="J233" s="139">
        <f>IFERROR(__xludf.DUMMYFUNCTION("""COMPUTED_VALUE"""),50.0)</f>
        <v>50</v>
      </c>
      <c r="K233" s="139">
        <f>IFERROR(__xludf.DUMMYFUNCTION("""COMPUTED_VALUE"""),0.0)</f>
        <v>0</v>
      </c>
      <c r="L233" s="139"/>
      <c r="M233" s="139"/>
      <c r="N233" s="139"/>
    </row>
    <row r="234">
      <c r="A234" s="139"/>
      <c r="B234" s="139"/>
      <c r="C234" s="139" t="str">
        <f>IFERROR(__xludf.DUMMYFUNCTION("""COMPUTED_VALUE"""),"chara_sum_00101_Special_00010")</f>
        <v>chara_sum_00101_Special_00010</v>
      </c>
      <c r="D234" s="139" t="str">
        <f>IFERROR(__xludf.DUMMYFUNCTION("""COMPUTED_VALUE"""),"chara_sum_00101")</f>
        <v>chara_sum_00101</v>
      </c>
      <c r="E234" s="139">
        <f>IFERROR(__xludf.DUMMYFUNCTION("""COMPUTED_VALUE"""),10.0)</f>
        <v>10</v>
      </c>
      <c r="F234" s="139" t="str">
        <f>IFERROR(__xludf.DUMMYFUNCTION("""COMPUTED_VALUE"""),"Special")</f>
        <v>Special</v>
      </c>
      <c r="G234" s="139"/>
      <c r="H234" s="139"/>
      <c r="I234" s="139">
        <f>IFERROR(__xludf.DUMMYFUNCTION("""COMPUTED_VALUE"""),110.0)</f>
        <v>110</v>
      </c>
      <c r="J234" s="139">
        <f>IFERROR(__xludf.DUMMYFUNCTION("""COMPUTED_VALUE"""),50.0)</f>
        <v>50</v>
      </c>
      <c r="K234" s="139">
        <f>IFERROR(__xludf.DUMMYFUNCTION("""COMPUTED_VALUE"""),0.0)</f>
        <v>0</v>
      </c>
      <c r="L234" s="139"/>
      <c r="M234" s="139"/>
      <c r="N234" s="139"/>
    </row>
    <row r="235">
      <c r="A235" s="139" t="str">
        <f>IFERROR(__xludf.DUMMYFUNCTION("""COMPUTED_VALUE"""),"e")</f>
        <v>e</v>
      </c>
      <c r="B235" s="139">
        <f>IFERROR(__xludf.DUMMYFUNCTION("""COMPUTED_VALUE"""),2.0250901E8)</f>
        <v>202509010</v>
      </c>
      <c r="C235" s="139" t="str">
        <f>IFERROR(__xludf.DUMMYFUNCTION("""COMPUTED_VALUE"""),"chara_sur_00201_Normal_00000")</f>
        <v>chara_sur_00201_Normal_00000</v>
      </c>
      <c r="D235" s="139" t="str">
        <f>IFERROR(__xludf.DUMMYFUNCTION("""COMPUTED_VALUE"""),"chara_sur_00201")</f>
        <v>chara_sur_00201</v>
      </c>
      <c r="E235" s="139">
        <f>IFERROR(__xludf.DUMMYFUNCTION("""COMPUTED_VALUE"""),0.0)</f>
        <v>0</v>
      </c>
      <c r="F235" s="139" t="str">
        <f>IFERROR(__xludf.DUMMYFUNCTION("""COMPUTED_VALUE"""),"Normal")</f>
        <v>Normal</v>
      </c>
      <c r="G235" s="139"/>
      <c r="H235" s="139"/>
      <c r="I235" s="139">
        <f>IFERROR(__xludf.DUMMYFUNCTION("""COMPUTED_VALUE"""),74.0)</f>
        <v>74</v>
      </c>
      <c r="J235" s="139">
        <f>IFERROR(__xludf.DUMMYFUNCTION("""COMPUTED_VALUE"""),19.0)</f>
        <v>19</v>
      </c>
      <c r="K235" s="139">
        <f>IFERROR(__xludf.DUMMYFUNCTION("""COMPUTED_VALUE"""),50.0)</f>
        <v>50</v>
      </c>
      <c r="L235" s="139"/>
      <c r="M235" s="139" t="str">
        <f>IFERROR(__xludf.DUMMYFUNCTION("""COMPUTED_VALUE"""),"表示場所なし")</f>
        <v>表示場所なし</v>
      </c>
      <c r="N235" s="139"/>
    </row>
    <row r="236">
      <c r="A236" s="139" t="str">
        <f>IFERROR(__xludf.DUMMYFUNCTION("""COMPUTED_VALUE"""),"e")</f>
        <v>e</v>
      </c>
      <c r="B236" s="139">
        <f>IFERROR(__xludf.DUMMYFUNCTION("""COMPUTED_VALUE"""),2.0250901E8)</f>
        <v>202509010</v>
      </c>
      <c r="C236" s="139" t="str">
        <f>IFERROR(__xludf.DUMMYFUNCTION("""COMPUTED_VALUE"""),"chara_sur_00201_Special_00001")</f>
        <v>chara_sur_00201_Special_00001</v>
      </c>
      <c r="D236" s="139" t="str">
        <f>IFERROR(__xludf.DUMMYFUNCTION("""COMPUTED_VALUE"""),"chara_sur_00201")</f>
        <v>chara_sur_00201</v>
      </c>
      <c r="E236" s="139">
        <f>IFERROR(__xludf.DUMMYFUNCTION("""COMPUTED_VALUE"""),1.0)</f>
        <v>1</v>
      </c>
      <c r="F236" s="139" t="str">
        <f>IFERROR(__xludf.DUMMYFUNCTION("""COMPUTED_VALUE"""),"Special")</f>
        <v>Special</v>
      </c>
      <c r="G236" s="139"/>
      <c r="H236" s="139"/>
      <c r="I236" s="139">
        <f>IFERROR(__xludf.DUMMYFUNCTION("""COMPUTED_VALUE"""),154.0)</f>
        <v>154</v>
      </c>
      <c r="J236" s="139">
        <f>IFERROR(__xludf.DUMMYFUNCTION("""COMPUTED_VALUE"""),0.0)</f>
        <v>0</v>
      </c>
      <c r="K236" s="139">
        <f>IFERROR(__xludf.DUMMYFUNCTION("""COMPUTED_VALUE"""),0.0)</f>
        <v>0</v>
      </c>
      <c r="L236" s="139"/>
      <c r="M236" s="139" t="str">
        <f>IFERROR(__xludf.DUMMYFUNCTION("""COMPUTED_VALUE"""),"敵複数体に最大7回の連続攻撃(自身の攻撃ステータスの最大77%ダメージ)")</f>
        <v>敵複数体に最大7回の連続攻撃(自身の攻撃ステータスの最大77%ダメージ)</v>
      </c>
      <c r="N236" s="139"/>
    </row>
    <row r="237">
      <c r="A237" s="139" t="str">
        <f>IFERROR(__xludf.DUMMYFUNCTION("""COMPUTED_VALUE"""),"e")</f>
        <v>e</v>
      </c>
      <c r="B237" s="139">
        <f>IFERROR(__xludf.DUMMYFUNCTION("""COMPUTED_VALUE"""),2.0250901E8)</f>
        <v>202509010</v>
      </c>
      <c r="C237" s="139" t="str">
        <f>IFERROR(__xludf.DUMMYFUNCTION("""COMPUTED_VALUE"""),"chara_sur_00201_Special_00002")</f>
        <v>chara_sur_00201_Special_00002</v>
      </c>
      <c r="D237" s="139" t="str">
        <f>IFERROR(__xludf.DUMMYFUNCTION("""COMPUTED_VALUE"""),"chara_sur_00201")</f>
        <v>chara_sur_00201</v>
      </c>
      <c r="E237" s="139">
        <f>IFERROR(__xludf.DUMMYFUNCTION("""COMPUTED_VALUE"""),2.0)</f>
        <v>2</v>
      </c>
      <c r="F237" s="139" t="str">
        <f>IFERROR(__xludf.DUMMYFUNCTION("""COMPUTED_VALUE"""),"Special")</f>
        <v>Special</v>
      </c>
      <c r="G237" s="139"/>
      <c r="H237" s="139"/>
      <c r="I237" s="139">
        <f>IFERROR(__xludf.DUMMYFUNCTION("""COMPUTED_VALUE"""),154.0)</f>
        <v>154</v>
      </c>
      <c r="J237" s="139">
        <f>IFERROR(__xludf.DUMMYFUNCTION("""COMPUTED_VALUE"""),0.0)</f>
        <v>0</v>
      </c>
      <c r="K237" s="139">
        <f>IFERROR(__xludf.DUMMYFUNCTION("""COMPUTED_VALUE"""),0.0)</f>
        <v>0</v>
      </c>
      <c r="L237" s="139"/>
      <c r="M237" s="139" t="str">
        <f>IFERROR(__xludf.DUMMYFUNCTION("""COMPUTED_VALUE"""),"敵複数体に最大7回の連続攻撃(自身の攻撃ステータスの最大86%ダメージ)")</f>
        <v>敵複数体に最大7回の連続攻撃(自身の攻撃ステータスの最大86%ダメージ)</v>
      </c>
      <c r="N237" s="139" t="str">
        <f>IFERROR(__xludf.DUMMYFUNCTION("""COMPUTED_VALUE"""),"ステータスUP + 必殺ワザ性能UP")</f>
        <v>ステータスUP + 必殺ワザ性能UP</v>
      </c>
    </row>
    <row r="238">
      <c r="A238" s="139" t="str">
        <f>IFERROR(__xludf.DUMMYFUNCTION("""COMPUTED_VALUE"""),"e")</f>
        <v>e</v>
      </c>
      <c r="B238" s="139">
        <f>IFERROR(__xludf.DUMMYFUNCTION("""COMPUTED_VALUE"""),2.0250901E8)</f>
        <v>202509010</v>
      </c>
      <c r="C238" s="139" t="str">
        <f>IFERROR(__xludf.DUMMYFUNCTION("""COMPUTED_VALUE"""),"chara_sur_00201_Special_00003")</f>
        <v>chara_sur_00201_Special_00003</v>
      </c>
      <c r="D238" s="139" t="str">
        <f>IFERROR(__xludf.DUMMYFUNCTION("""COMPUTED_VALUE"""),"chara_sur_00201")</f>
        <v>chara_sur_00201</v>
      </c>
      <c r="E238" s="139">
        <f>IFERROR(__xludf.DUMMYFUNCTION("""COMPUTED_VALUE"""),3.0)</f>
        <v>3</v>
      </c>
      <c r="F238" s="139" t="str">
        <f>IFERROR(__xludf.DUMMYFUNCTION("""COMPUTED_VALUE"""),"Special")</f>
        <v>Special</v>
      </c>
      <c r="G238" s="139"/>
      <c r="H238" s="139"/>
      <c r="I238" s="139">
        <f>IFERROR(__xludf.DUMMYFUNCTION("""COMPUTED_VALUE"""),154.0)</f>
        <v>154</v>
      </c>
      <c r="J238" s="139">
        <f>IFERROR(__xludf.DUMMYFUNCTION("""COMPUTED_VALUE"""),0.0)</f>
        <v>0</v>
      </c>
      <c r="K238" s="139">
        <f>IFERROR(__xludf.DUMMYFUNCTION("""COMPUTED_VALUE"""),0.0)</f>
        <v>0</v>
      </c>
      <c r="L238" s="139"/>
      <c r="M238" s="139" t="str">
        <f>IFERROR(__xludf.DUMMYFUNCTION("""COMPUTED_VALUE"""),"敵複数体に最大7回の連続攻撃(自身の攻撃ステータスの最大92%ダメージ)")</f>
        <v>敵複数体に最大7回の連続攻撃(自身の攻撃ステータスの最大92%ダメージ)</v>
      </c>
      <c r="N238" s="139" t="str">
        <f>IFERROR(__xludf.DUMMYFUNCTION("""COMPUTED_VALUE"""),"ステータスUP + 必殺ワザ性能UP")</f>
        <v>ステータスUP + 必殺ワザ性能UP</v>
      </c>
    </row>
    <row r="239">
      <c r="A239" s="139" t="str">
        <f>IFERROR(__xludf.DUMMYFUNCTION("""COMPUTED_VALUE"""),"e")</f>
        <v>e</v>
      </c>
      <c r="B239" s="139">
        <f>IFERROR(__xludf.DUMMYFUNCTION("""COMPUTED_VALUE"""),2.0250901E8)</f>
        <v>202509010</v>
      </c>
      <c r="C239" s="139" t="str">
        <f>IFERROR(__xludf.DUMMYFUNCTION("""COMPUTED_VALUE"""),"chara_sur_00201_Special_00004")</f>
        <v>chara_sur_00201_Special_00004</v>
      </c>
      <c r="D239" s="139" t="str">
        <f>IFERROR(__xludf.DUMMYFUNCTION("""COMPUTED_VALUE"""),"chara_sur_00201")</f>
        <v>chara_sur_00201</v>
      </c>
      <c r="E239" s="139">
        <f>IFERROR(__xludf.DUMMYFUNCTION("""COMPUTED_VALUE"""),4.0)</f>
        <v>4</v>
      </c>
      <c r="F239" s="139" t="str">
        <f>IFERROR(__xludf.DUMMYFUNCTION("""COMPUTED_VALUE"""),"Special")</f>
        <v>Special</v>
      </c>
      <c r="G239" s="139"/>
      <c r="H239" s="139"/>
      <c r="I239" s="139">
        <f>IFERROR(__xludf.DUMMYFUNCTION("""COMPUTED_VALUE"""),154.0)</f>
        <v>154</v>
      </c>
      <c r="J239" s="139">
        <f>IFERROR(__xludf.DUMMYFUNCTION("""COMPUTED_VALUE"""),0.0)</f>
        <v>0</v>
      </c>
      <c r="K239" s="139">
        <f>IFERROR(__xludf.DUMMYFUNCTION("""COMPUTED_VALUE"""),0.0)</f>
        <v>0</v>
      </c>
      <c r="L239" s="139"/>
      <c r="M239" s="139" t="str">
        <f>IFERROR(__xludf.DUMMYFUNCTION("""COMPUTED_VALUE"""),"敵複数体に最大7回の連続攻撃(自身の攻撃ステータスの最大96%ダメージ)")</f>
        <v>敵複数体に最大7回の連続攻撃(自身の攻撃ステータスの最大96%ダメージ)</v>
      </c>
      <c r="N239" s="139" t="str">
        <f>IFERROR(__xludf.DUMMYFUNCTION("""COMPUTED_VALUE"""),"ステータスUP + 必殺ワザ性能UP")</f>
        <v>ステータスUP + 必殺ワザ性能UP</v>
      </c>
    </row>
    <row r="240">
      <c r="A240" s="139" t="str">
        <f>IFERROR(__xludf.DUMMYFUNCTION("""COMPUTED_VALUE"""),"e")</f>
        <v>e</v>
      </c>
      <c r="B240" s="139">
        <f>IFERROR(__xludf.DUMMYFUNCTION("""COMPUTED_VALUE"""),2.0250901E8)</f>
        <v>202509010</v>
      </c>
      <c r="C240" s="139" t="str">
        <f>IFERROR(__xludf.DUMMYFUNCTION("""COMPUTED_VALUE"""),"chara_sur_00201_Special_00005")</f>
        <v>chara_sur_00201_Special_00005</v>
      </c>
      <c r="D240" s="139" t="str">
        <f>IFERROR(__xludf.DUMMYFUNCTION("""COMPUTED_VALUE"""),"chara_sur_00201")</f>
        <v>chara_sur_00201</v>
      </c>
      <c r="E240" s="139">
        <f>IFERROR(__xludf.DUMMYFUNCTION("""COMPUTED_VALUE"""),5.0)</f>
        <v>5</v>
      </c>
      <c r="F240" s="139" t="str">
        <f>IFERROR(__xludf.DUMMYFUNCTION("""COMPUTED_VALUE"""),"Special")</f>
        <v>Special</v>
      </c>
      <c r="G240" s="139"/>
      <c r="H240" s="139"/>
      <c r="I240" s="139">
        <f>IFERROR(__xludf.DUMMYFUNCTION("""COMPUTED_VALUE"""),154.0)</f>
        <v>154</v>
      </c>
      <c r="J240" s="139">
        <f>IFERROR(__xludf.DUMMYFUNCTION("""COMPUTED_VALUE"""),0.0)</f>
        <v>0</v>
      </c>
      <c r="K240" s="139">
        <f>IFERROR(__xludf.DUMMYFUNCTION("""COMPUTED_VALUE"""),0.0)</f>
        <v>0</v>
      </c>
      <c r="L240" s="139"/>
      <c r="M240" s="139" t="str">
        <f>IFERROR(__xludf.DUMMYFUNCTION("""COMPUTED_VALUE"""),"敵複数体に最大7回の連続攻撃(自身の攻撃ステータスの最大99%ダメージ)")</f>
        <v>敵複数体に最大7回の連続攻撃(自身の攻撃ステータスの最大99%ダメージ)</v>
      </c>
      <c r="N240" s="139" t="str">
        <f>IFERROR(__xludf.DUMMYFUNCTION("""COMPUTED_VALUE"""),"ステータスUP + 必殺ワザ性能UP")</f>
        <v>ステータスUP + 必殺ワザ性能UP</v>
      </c>
    </row>
    <row r="241">
      <c r="A241" s="139"/>
      <c r="B241" s="139"/>
      <c r="C241" s="139" t="str">
        <f>IFERROR(__xludf.DUMMYFUNCTION("""COMPUTED_VALUE"""),"chara_sur_00201_Special_00006")</f>
        <v>chara_sur_00201_Special_00006</v>
      </c>
      <c r="D241" s="139" t="str">
        <f>IFERROR(__xludf.DUMMYFUNCTION("""COMPUTED_VALUE"""),"chara_sur_00201")</f>
        <v>chara_sur_00201</v>
      </c>
      <c r="E241" s="139">
        <f>IFERROR(__xludf.DUMMYFUNCTION("""COMPUTED_VALUE"""),6.0)</f>
        <v>6</v>
      </c>
      <c r="F241" s="139" t="str">
        <f>IFERROR(__xludf.DUMMYFUNCTION("""COMPUTED_VALUE"""),"Special")</f>
        <v>Special</v>
      </c>
      <c r="G241" s="139"/>
      <c r="H241" s="139"/>
      <c r="I241" s="139">
        <f>IFERROR(__xludf.DUMMYFUNCTION("""COMPUTED_VALUE"""),154.0)</f>
        <v>154</v>
      </c>
      <c r="J241" s="139">
        <f>IFERROR(__xludf.DUMMYFUNCTION("""COMPUTED_VALUE"""),0.0)</f>
        <v>0</v>
      </c>
      <c r="K241" s="139">
        <f>IFERROR(__xludf.DUMMYFUNCTION("""COMPUTED_VALUE"""),0.0)</f>
        <v>0</v>
      </c>
      <c r="L241" s="139"/>
      <c r="M241" s="139"/>
      <c r="N241" s="139"/>
    </row>
    <row r="242">
      <c r="A242" s="139"/>
      <c r="B242" s="139"/>
      <c r="C242" s="139" t="str">
        <f>IFERROR(__xludf.DUMMYFUNCTION("""COMPUTED_VALUE"""),"chara_sur_00201_Special_00007")</f>
        <v>chara_sur_00201_Special_00007</v>
      </c>
      <c r="D242" s="139" t="str">
        <f>IFERROR(__xludf.DUMMYFUNCTION("""COMPUTED_VALUE"""),"chara_sur_00201")</f>
        <v>chara_sur_00201</v>
      </c>
      <c r="E242" s="139">
        <f>IFERROR(__xludf.DUMMYFUNCTION("""COMPUTED_VALUE"""),7.0)</f>
        <v>7</v>
      </c>
      <c r="F242" s="139" t="str">
        <f>IFERROR(__xludf.DUMMYFUNCTION("""COMPUTED_VALUE"""),"Special")</f>
        <v>Special</v>
      </c>
      <c r="G242" s="139"/>
      <c r="H242" s="139"/>
      <c r="I242" s="139">
        <f>IFERROR(__xludf.DUMMYFUNCTION("""COMPUTED_VALUE"""),154.0)</f>
        <v>154</v>
      </c>
      <c r="J242" s="139">
        <f>IFERROR(__xludf.DUMMYFUNCTION("""COMPUTED_VALUE"""),0.0)</f>
        <v>0</v>
      </c>
      <c r="K242" s="139">
        <f>IFERROR(__xludf.DUMMYFUNCTION("""COMPUTED_VALUE"""),0.0)</f>
        <v>0</v>
      </c>
      <c r="L242" s="139"/>
      <c r="M242" s="139"/>
      <c r="N242" s="139"/>
    </row>
    <row r="243">
      <c r="A243" s="139"/>
      <c r="B243" s="139"/>
      <c r="C243" s="139" t="str">
        <f>IFERROR(__xludf.DUMMYFUNCTION("""COMPUTED_VALUE"""),"chara_sur_00201_Special_00008")</f>
        <v>chara_sur_00201_Special_00008</v>
      </c>
      <c r="D243" s="139" t="str">
        <f>IFERROR(__xludf.DUMMYFUNCTION("""COMPUTED_VALUE"""),"chara_sur_00201")</f>
        <v>chara_sur_00201</v>
      </c>
      <c r="E243" s="139">
        <f>IFERROR(__xludf.DUMMYFUNCTION("""COMPUTED_VALUE"""),8.0)</f>
        <v>8</v>
      </c>
      <c r="F243" s="139" t="str">
        <f>IFERROR(__xludf.DUMMYFUNCTION("""COMPUTED_VALUE"""),"Special")</f>
        <v>Special</v>
      </c>
      <c r="G243" s="139"/>
      <c r="H243" s="139"/>
      <c r="I243" s="139">
        <f>IFERROR(__xludf.DUMMYFUNCTION("""COMPUTED_VALUE"""),154.0)</f>
        <v>154</v>
      </c>
      <c r="J243" s="139">
        <f>IFERROR(__xludf.DUMMYFUNCTION("""COMPUTED_VALUE"""),0.0)</f>
        <v>0</v>
      </c>
      <c r="K243" s="139">
        <f>IFERROR(__xludf.DUMMYFUNCTION("""COMPUTED_VALUE"""),0.0)</f>
        <v>0</v>
      </c>
      <c r="L243" s="139"/>
      <c r="M243" s="139"/>
      <c r="N243" s="139"/>
    </row>
    <row r="244">
      <c r="A244" s="139"/>
      <c r="B244" s="139"/>
      <c r="C244" s="139" t="str">
        <f>IFERROR(__xludf.DUMMYFUNCTION("""COMPUTED_VALUE"""),"chara_sur_00201_Special_00009")</f>
        <v>chara_sur_00201_Special_00009</v>
      </c>
      <c r="D244" s="139" t="str">
        <f>IFERROR(__xludf.DUMMYFUNCTION("""COMPUTED_VALUE"""),"chara_sur_00201")</f>
        <v>chara_sur_00201</v>
      </c>
      <c r="E244" s="139">
        <f>IFERROR(__xludf.DUMMYFUNCTION("""COMPUTED_VALUE"""),9.0)</f>
        <v>9</v>
      </c>
      <c r="F244" s="139" t="str">
        <f>IFERROR(__xludf.DUMMYFUNCTION("""COMPUTED_VALUE"""),"Special")</f>
        <v>Special</v>
      </c>
      <c r="G244" s="139"/>
      <c r="H244" s="139"/>
      <c r="I244" s="139">
        <f>IFERROR(__xludf.DUMMYFUNCTION("""COMPUTED_VALUE"""),154.0)</f>
        <v>154</v>
      </c>
      <c r="J244" s="139">
        <f>IFERROR(__xludf.DUMMYFUNCTION("""COMPUTED_VALUE"""),0.0)</f>
        <v>0</v>
      </c>
      <c r="K244" s="139">
        <f>IFERROR(__xludf.DUMMYFUNCTION("""COMPUTED_VALUE"""),0.0)</f>
        <v>0</v>
      </c>
      <c r="L244" s="139"/>
      <c r="M244" s="139"/>
      <c r="N244" s="139"/>
    </row>
    <row r="245">
      <c r="A245" s="139"/>
      <c r="B245" s="139"/>
      <c r="C245" s="139" t="str">
        <f>IFERROR(__xludf.DUMMYFUNCTION("""COMPUTED_VALUE"""),"chara_sur_00201_Special_00010")</f>
        <v>chara_sur_00201_Special_00010</v>
      </c>
      <c r="D245" s="139" t="str">
        <f>IFERROR(__xludf.DUMMYFUNCTION("""COMPUTED_VALUE"""),"chara_sur_00201")</f>
        <v>chara_sur_00201</v>
      </c>
      <c r="E245" s="139">
        <f>IFERROR(__xludf.DUMMYFUNCTION("""COMPUTED_VALUE"""),10.0)</f>
        <v>10</v>
      </c>
      <c r="F245" s="139" t="str">
        <f>IFERROR(__xludf.DUMMYFUNCTION("""COMPUTED_VALUE"""),"Special")</f>
        <v>Special</v>
      </c>
      <c r="G245" s="139"/>
      <c r="H245" s="139"/>
      <c r="I245" s="139">
        <f>IFERROR(__xludf.DUMMYFUNCTION("""COMPUTED_VALUE"""),154.0)</f>
        <v>154</v>
      </c>
      <c r="J245" s="139">
        <f>IFERROR(__xludf.DUMMYFUNCTION("""COMPUTED_VALUE"""),0.0)</f>
        <v>0</v>
      </c>
      <c r="K245" s="139">
        <f>IFERROR(__xludf.DUMMYFUNCTION("""COMPUTED_VALUE"""),0.0)</f>
        <v>0</v>
      </c>
      <c r="L245" s="139"/>
      <c r="M245" s="139"/>
      <c r="N245" s="139"/>
    </row>
    <row r="246">
      <c r="A246" s="139" t="str">
        <f>IFERROR(__xludf.DUMMYFUNCTION("""COMPUTED_VALUE"""),"e")</f>
        <v>e</v>
      </c>
      <c r="B246" s="139">
        <f>IFERROR(__xludf.DUMMYFUNCTION("""COMPUTED_VALUE"""),2.0250901E8)</f>
        <v>202509010</v>
      </c>
      <c r="C246" s="139" t="str">
        <f>IFERROR(__xludf.DUMMYFUNCTION("""COMPUTED_VALUE"""),"chara_sur_00301_Normal_00000")</f>
        <v>chara_sur_00301_Normal_00000</v>
      </c>
      <c r="D246" s="139" t="str">
        <f>IFERROR(__xludf.DUMMYFUNCTION("""COMPUTED_VALUE"""),"chara_sur_00301")</f>
        <v>chara_sur_00301</v>
      </c>
      <c r="E246" s="139">
        <f>IFERROR(__xludf.DUMMYFUNCTION("""COMPUTED_VALUE"""),0.0)</f>
        <v>0</v>
      </c>
      <c r="F246" s="139" t="str">
        <f>IFERROR(__xludf.DUMMYFUNCTION("""COMPUTED_VALUE"""),"Normal")</f>
        <v>Normal</v>
      </c>
      <c r="G246" s="139"/>
      <c r="H246" s="139"/>
      <c r="I246" s="139">
        <f>IFERROR(__xludf.DUMMYFUNCTION("""COMPUTED_VALUE"""),78.0)</f>
        <v>78</v>
      </c>
      <c r="J246" s="139">
        <f>IFERROR(__xludf.DUMMYFUNCTION("""COMPUTED_VALUE"""),33.0)</f>
        <v>33</v>
      </c>
      <c r="K246" s="139">
        <f>IFERROR(__xludf.DUMMYFUNCTION("""COMPUTED_VALUE"""),100.0)</f>
        <v>100</v>
      </c>
      <c r="L246" s="139"/>
      <c r="M246" s="139" t="str">
        <f>IFERROR(__xludf.DUMMYFUNCTION("""COMPUTED_VALUE"""),"表示場所なし")</f>
        <v>表示場所なし</v>
      </c>
      <c r="N246" s="139"/>
    </row>
    <row r="247">
      <c r="A247" s="139" t="str">
        <f>IFERROR(__xludf.DUMMYFUNCTION("""COMPUTED_VALUE"""),"e")</f>
        <v>e</v>
      </c>
      <c r="B247" s="139">
        <f>IFERROR(__xludf.DUMMYFUNCTION("""COMPUTED_VALUE"""),2.0250901E8)</f>
        <v>202509010</v>
      </c>
      <c r="C247" s="139" t="str">
        <f>IFERROR(__xludf.DUMMYFUNCTION("""COMPUTED_VALUE"""),"chara_sur_00301_Special_00001")</f>
        <v>chara_sur_00301_Special_00001</v>
      </c>
      <c r="D247" s="139" t="str">
        <f>IFERROR(__xludf.DUMMYFUNCTION("""COMPUTED_VALUE"""),"chara_sur_00301")</f>
        <v>chara_sur_00301</v>
      </c>
      <c r="E247" s="139">
        <f>IFERROR(__xludf.DUMMYFUNCTION("""COMPUTED_VALUE"""),1.0)</f>
        <v>1</v>
      </c>
      <c r="F247" s="139" t="str">
        <f>IFERROR(__xludf.DUMMYFUNCTION("""COMPUTED_VALUE"""),"Special")</f>
        <v>Special</v>
      </c>
      <c r="G247" s="139"/>
      <c r="H247" s="139"/>
      <c r="I247" s="139">
        <f>IFERROR(__xludf.DUMMYFUNCTION("""COMPUTED_VALUE"""),96.0)</f>
        <v>96</v>
      </c>
      <c r="J247" s="139">
        <f>IFERROR(__xludf.DUMMYFUNCTION("""COMPUTED_VALUE"""),37.0)</f>
        <v>37</v>
      </c>
      <c r="K247" s="139">
        <f>IFERROR(__xludf.DUMMYFUNCTION("""COMPUTED_VALUE"""),0.0)</f>
        <v>0</v>
      </c>
      <c r="L247" s="139"/>
      <c r="M247" s="139"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47" s="139"/>
    </row>
    <row r="248">
      <c r="A248" s="139" t="str">
        <f>IFERROR(__xludf.DUMMYFUNCTION("""COMPUTED_VALUE"""),"e")</f>
        <v>e</v>
      </c>
      <c r="B248" s="139">
        <f>IFERROR(__xludf.DUMMYFUNCTION("""COMPUTED_VALUE"""),2.0250901E8)</f>
        <v>202509010</v>
      </c>
      <c r="C248" s="139" t="str">
        <f>IFERROR(__xludf.DUMMYFUNCTION("""COMPUTED_VALUE"""),"chara_sur_00301_Special_00002")</f>
        <v>chara_sur_00301_Special_00002</v>
      </c>
      <c r="D248" s="139" t="str">
        <f>IFERROR(__xludf.DUMMYFUNCTION("""COMPUTED_VALUE"""),"chara_sur_00301")</f>
        <v>chara_sur_00301</v>
      </c>
      <c r="E248" s="139">
        <f>IFERROR(__xludf.DUMMYFUNCTION("""COMPUTED_VALUE"""),2.0)</f>
        <v>2</v>
      </c>
      <c r="F248" s="139" t="str">
        <f>IFERROR(__xludf.DUMMYFUNCTION("""COMPUTED_VALUE"""),"Special")</f>
        <v>Special</v>
      </c>
      <c r="G248" s="139"/>
      <c r="H248" s="139"/>
      <c r="I248" s="139">
        <f>IFERROR(__xludf.DUMMYFUNCTION("""COMPUTED_VALUE"""),96.0)</f>
        <v>96</v>
      </c>
      <c r="J248" s="139">
        <f>IFERROR(__xludf.DUMMYFUNCTION("""COMPUTED_VALUE"""),37.0)</f>
        <v>37</v>
      </c>
      <c r="K248" s="139">
        <f>IFERROR(__xludf.DUMMYFUNCTION("""COMPUTED_VALUE"""),0.0)</f>
        <v>0</v>
      </c>
      <c r="L248" s="139"/>
      <c r="M248" s="139"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48" s="139" t="str">
        <f>IFERROR(__xludf.DUMMYFUNCTION("""COMPUTED_VALUE"""),"ステータスUP")</f>
        <v>ステータスUP</v>
      </c>
    </row>
    <row r="249">
      <c r="A249" s="139" t="str">
        <f>IFERROR(__xludf.DUMMYFUNCTION("""COMPUTED_VALUE"""),"e")</f>
        <v>e</v>
      </c>
      <c r="B249" s="139">
        <f>IFERROR(__xludf.DUMMYFUNCTION("""COMPUTED_VALUE"""),2.0250901E8)</f>
        <v>202509010</v>
      </c>
      <c r="C249" s="139" t="str">
        <f>IFERROR(__xludf.DUMMYFUNCTION("""COMPUTED_VALUE"""),"chara_sur_00301_Special_00003")</f>
        <v>chara_sur_00301_Special_00003</v>
      </c>
      <c r="D249" s="139" t="str">
        <f>IFERROR(__xludf.DUMMYFUNCTION("""COMPUTED_VALUE"""),"chara_sur_00301")</f>
        <v>chara_sur_00301</v>
      </c>
      <c r="E249" s="139">
        <f>IFERROR(__xludf.DUMMYFUNCTION("""COMPUTED_VALUE"""),3.0)</f>
        <v>3</v>
      </c>
      <c r="F249" s="139" t="str">
        <f>IFERROR(__xludf.DUMMYFUNCTION("""COMPUTED_VALUE"""),"Special")</f>
        <v>Special</v>
      </c>
      <c r="G249" s="139"/>
      <c r="H249" s="139"/>
      <c r="I249" s="139">
        <f>IFERROR(__xludf.DUMMYFUNCTION("""COMPUTED_VALUE"""),96.0)</f>
        <v>96</v>
      </c>
      <c r="J249" s="139">
        <f>IFERROR(__xludf.DUMMYFUNCTION("""COMPUTED_VALUE"""),37.0)</f>
        <v>37</v>
      </c>
      <c r="K249" s="139">
        <f>IFERROR(__xludf.DUMMYFUNCTION("""COMPUTED_VALUE"""),0.0)</f>
        <v>0</v>
      </c>
      <c r="L249" s="139"/>
      <c r="M249" s="139"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49" s="139" t="str">
        <f>IFERROR(__xludf.DUMMYFUNCTION("""COMPUTED_VALUE"""),"ステータスUP")</f>
        <v>ステータスUP</v>
      </c>
    </row>
    <row r="250">
      <c r="A250" s="139" t="str">
        <f>IFERROR(__xludf.DUMMYFUNCTION("""COMPUTED_VALUE"""),"e")</f>
        <v>e</v>
      </c>
      <c r="B250" s="139">
        <f>IFERROR(__xludf.DUMMYFUNCTION("""COMPUTED_VALUE"""),2.0250901E8)</f>
        <v>202509010</v>
      </c>
      <c r="C250" s="139" t="str">
        <f>IFERROR(__xludf.DUMMYFUNCTION("""COMPUTED_VALUE"""),"chara_sur_00301_Special_00004")</f>
        <v>chara_sur_00301_Special_00004</v>
      </c>
      <c r="D250" s="139" t="str">
        <f>IFERROR(__xludf.DUMMYFUNCTION("""COMPUTED_VALUE"""),"chara_sur_00301")</f>
        <v>chara_sur_00301</v>
      </c>
      <c r="E250" s="139">
        <f>IFERROR(__xludf.DUMMYFUNCTION("""COMPUTED_VALUE"""),4.0)</f>
        <v>4</v>
      </c>
      <c r="F250" s="139" t="str">
        <f>IFERROR(__xludf.DUMMYFUNCTION("""COMPUTED_VALUE"""),"Special")</f>
        <v>Special</v>
      </c>
      <c r="G250" s="139"/>
      <c r="H250" s="139"/>
      <c r="I250" s="139">
        <f>IFERROR(__xludf.DUMMYFUNCTION("""COMPUTED_VALUE"""),96.0)</f>
        <v>96</v>
      </c>
      <c r="J250" s="139">
        <f>IFERROR(__xludf.DUMMYFUNCTION("""COMPUTED_VALUE"""),37.0)</f>
        <v>37</v>
      </c>
      <c r="K250" s="139">
        <f>IFERROR(__xludf.DUMMYFUNCTION("""COMPUTED_VALUE"""),0.0)</f>
        <v>0</v>
      </c>
      <c r="L250" s="139"/>
      <c r="M250" s="139"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50" s="139" t="str">
        <f>IFERROR(__xludf.DUMMYFUNCTION("""COMPUTED_VALUE"""),"ステータスUP")</f>
        <v>ステータスUP</v>
      </c>
    </row>
    <row r="251">
      <c r="A251" s="139" t="str">
        <f>IFERROR(__xludf.DUMMYFUNCTION("""COMPUTED_VALUE"""),"e")</f>
        <v>e</v>
      </c>
      <c r="B251" s="139">
        <f>IFERROR(__xludf.DUMMYFUNCTION("""COMPUTED_VALUE"""),2.0250901E8)</f>
        <v>202509010</v>
      </c>
      <c r="C251" s="139" t="str">
        <f>IFERROR(__xludf.DUMMYFUNCTION("""COMPUTED_VALUE"""),"chara_sur_00301_Special_00005")</f>
        <v>chara_sur_00301_Special_00005</v>
      </c>
      <c r="D251" s="139" t="str">
        <f>IFERROR(__xludf.DUMMYFUNCTION("""COMPUTED_VALUE"""),"chara_sur_00301")</f>
        <v>chara_sur_00301</v>
      </c>
      <c r="E251" s="139">
        <f>IFERROR(__xludf.DUMMYFUNCTION("""COMPUTED_VALUE"""),5.0)</f>
        <v>5</v>
      </c>
      <c r="F251" s="139" t="str">
        <f>IFERROR(__xludf.DUMMYFUNCTION("""COMPUTED_VALUE"""),"Special")</f>
        <v>Special</v>
      </c>
      <c r="G251" s="139"/>
      <c r="H251" s="139"/>
      <c r="I251" s="139">
        <f>IFERROR(__xludf.DUMMYFUNCTION("""COMPUTED_VALUE"""),96.0)</f>
        <v>96</v>
      </c>
      <c r="J251" s="139">
        <f>IFERROR(__xludf.DUMMYFUNCTION("""COMPUTED_VALUE"""),37.0)</f>
        <v>37</v>
      </c>
      <c r="K251" s="139">
        <f>IFERROR(__xludf.DUMMYFUNCTION("""COMPUTED_VALUE"""),0.0)</f>
        <v>0</v>
      </c>
      <c r="L251" s="139"/>
      <c r="M251" s="139"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51" s="139" t="str">
        <f>IFERROR(__xludf.DUMMYFUNCTION("""COMPUTED_VALUE"""),"ステータスUP")</f>
        <v>ステータスUP</v>
      </c>
    </row>
    <row r="252">
      <c r="A252" s="139"/>
      <c r="B252" s="139"/>
      <c r="C252" s="139" t="str">
        <f>IFERROR(__xludf.DUMMYFUNCTION("""COMPUTED_VALUE"""),"chara_sur_00301_Special_00006")</f>
        <v>chara_sur_00301_Special_00006</v>
      </c>
      <c r="D252" s="139" t="str">
        <f>IFERROR(__xludf.DUMMYFUNCTION("""COMPUTED_VALUE"""),"chara_sur_00301")</f>
        <v>chara_sur_00301</v>
      </c>
      <c r="E252" s="139">
        <f>IFERROR(__xludf.DUMMYFUNCTION("""COMPUTED_VALUE"""),6.0)</f>
        <v>6</v>
      </c>
      <c r="F252" s="139" t="str">
        <f>IFERROR(__xludf.DUMMYFUNCTION("""COMPUTED_VALUE"""),"Special")</f>
        <v>Special</v>
      </c>
      <c r="G252" s="139"/>
      <c r="H252" s="139"/>
      <c r="I252" s="139">
        <f>IFERROR(__xludf.DUMMYFUNCTION("""COMPUTED_VALUE"""),96.0)</f>
        <v>96</v>
      </c>
      <c r="J252" s="139">
        <f>IFERROR(__xludf.DUMMYFUNCTION("""COMPUTED_VALUE"""),37.0)</f>
        <v>37</v>
      </c>
      <c r="K252" s="139">
        <f>IFERROR(__xludf.DUMMYFUNCTION("""COMPUTED_VALUE"""),0.0)</f>
        <v>0</v>
      </c>
      <c r="L252" s="139"/>
      <c r="M252" s="139"/>
      <c r="N252" s="139"/>
    </row>
    <row r="253">
      <c r="A253" s="139"/>
      <c r="B253" s="139"/>
      <c r="C253" s="139" t="str">
        <f>IFERROR(__xludf.DUMMYFUNCTION("""COMPUTED_VALUE"""),"chara_sur_00301_Special_00007")</f>
        <v>chara_sur_00301_Special_00007</v>
      </c>
      <c r="D253" s="139" t="str">
        <f>IFERROR(__xludf.DUMMYFUNCTION("""COMPUTED_VALUE"""),"chara_sur_00301")</f>
        <v>chara_sur_00301</v>
      </c>
      <c r="E253" s="139">
        <f>IFERROR(__xludf.DUMMYFUNCTION("""COMPUTED_VALUE"""),7.0)</f>
        <v>7</v>
      </c>
      <c r="F253" s="139" t="str">
        <f>IFERROR(__xludf.DUMMYFUNCTION("""COMPUTED_VALUE"""),"Special")</f>
        <v>Special</v>
      </c>
      <c r="G253" s="139"/>
      <c r="H253" s="139"/>
      <c r="I253" s="139">
        <f>IFERROR(__xludf.DUMMYFUNCTION("""COMPUTED_VALUE"""),96.0)</f>
        <v>96</v>
      </c>
      <c r="J253" s="139">
        <f>IFERROR(__xludf.DUMMYFUNCTION("""COMPUTED_VALUE"""),37.0)</f>
        <v>37</v>
      </c>
      <c r="K253" s="139">
        <f>IFERROR(__xludf.DUMMYFUNCTION("""COMPUTED_VALUE"""),0.0)</f>
        <v>0</v>
      </c>
      <c r="L253" s="139"/>
      <c r="M253" s="139"/>
      <c r="N253" s="139"/>
    </row>
    <row r="254">
      <c r="A254" s="139"/>
      <c r="B254" s="139"/>
      <c r="C254" s="139" t="str">
        <f>IFERROR(__xludf.DUMMYFUNCTION("""COMPUTED_VALUE"""),"chara_sur_00301_Special_00008")</f>
        <v>chara_sur_00301_Special_00008</v>
      </c>
      <c r="D254" s="139" t="str">
        <f>IFERROR(__xludf.DUMMYFUNCTION("""COMPUTED_VALUE"""),"chara_sur_00301")</f>
        <v>chara_sur_00301</v>
      </c>
      <c r="E254" s="139">
        <f>IFERROR(__xludf.DUMMYFUNCTION("""COMPUTED_VALUE"""),8.0)</f>
        <v>8</v>
      </c>
      <c r="F254" s="139" t="str">
        <f>IFERROR(__xludf.DUMMYFUNCTION("""COMPUTED_VALUE"""),"Special")</f>
        <v>Special</v>
      </c>
      <c r="G254" s="139"/>
      <c r="H254" s="139"/>
      <c r="I254" s="139">
        <f>IFERROR(__xludf.DUMMYFUNCTION("""COMPUTED_VALUE"""),96.0)</f>
        <v>96</v>
      </c>
      <c r="J254" s="139">
        <f>IFERROR(__xludf.DUMMYFUNCTION("""COMPUTED_VALUE"""),37.0)</f>
        <v>37</v>
      </c>
      <c r="K254" s="139">
        <f>IFERROR(__xludf.DUMMYFUNCTION("""COMPUTED_VALUE"""),0.0)</f>
        <v>0</v>
      </c>
      <c r="L254" s="139"/>
      <c r="M254" s="139"/>
      <c r="N254" s="139"/>
    </row>
    <row r="255">
      <c r="A255" s="139"/>
      <c r="B255" s="139"/>
      <c r="C255" s="139" t="str">
        <f>IFERROR(__xludf.DUMMYFUNCTION("""COMPUTED_VALUE"""),"chara_sur_00301_Special_00009")</f>
        <v>chara_sur_00301_Special_00009</v>
      </c>
      <c r="D255" s="139" t="str">
        <f>IFERROR(__xludf.DUMMYFUNCTION("""COMPUTED_VALUE"""),"chara_sur_00301")</f>
        <v>chara_sur_00301</v>
      </c>
      <c r="E255" s="139">
        <f>IFERROR(__xludf.DUMMYFUNCTION("""COMPUTED_VALUE"""),9.0)</f>
        <v>9</v>
      </c>
      <c r="F255" s="139" t="str">
        <f>IFERROR(__xludf.DUMMYFUNCTION("""COMPUTED_VALUE"""),"Special")</f>
        <v>Special</v>
      </c>
      <c r="G255" s="139"/>
      <c r="H255" s="139"/>
      <c r="I255" s="139">
        <f>IFERROR(__xludf.DUMMYFUNCTION("""COMPUTED_VALUE"""),96.0)</f>
        <v>96</v>
      </c>
      <c r="J255" s="139">
        <f>IFERROR(__xludf.DUMMYFUNCTION("""COMPUTED_VALUE"""),37.0)</f>
        <v>37</v>
      </c>
      <c r="K255" s="139">
        <f>IFERROR(__xludf.DUMMYFUNCTION("""COMPUTED_VALUE"""),0.0)</f>
        <v>0</v>
      </c>
      <c r="L255" s="139"/>
      <c r="M255" s="139"/>
      <c r="N255" s="139"/>
    </row>
    <row r="256">
      <c r="A256" s="139"/>
      <c r="B256" s="139"/>
      <c r="C256" s="139" t="str">
        <f>IFERROR(__xludf.DUMMYFUNCTION("""COMPUTED_VALUE"""),"chara_sur_00301_Special_00010")</f>
        <v>chara_sur_00301_Special_00010</v>
      </c>
      <c r="D256" s="139" t="str">
        <f>IFERROR(__xludf.DUMMYFUNCTION("""COMPUTED_VALUE"""),"chara_sur_00301")</f>
        <v>chara_sur_00301</v>
      </c>
      <c r="E256" s="139">
        <f>IFERROR(__xludf.DUMMYFUNCTION("""COMPUTED_VALUE"""),10.0)</f>
        <v>10</v>
      </c>
      <c r="F256" s="139" t="str">
        <f>IFERROR(__xludf.DUMMYFUNCTION("""COMPUTED_VALUE"""),"Special")</f>
        <v>Special</v>
      </c>
      <c r="G256" s="139"/>
      <c r="H256" s="139"/>
      <c r="I256" s="139">
        <f>IFERROR(__xludf.DUMMYFUNCTION("""COMPUTED_VALUE"""),96.0)</f>
        <v>96</v>
      </c>
      <c r="J256" s="139">
        <f>IFERROR(__xludf.DUMMYFUNCTION("""COMPUTED_VALUE"""),37.0)</f>
        <v>37</v>
      </c>
      <c r="K256" s="139">
        <f>IFERROR(__xludf.DUMMYFUNCTION("""COMPUTED_VALUE"""),0.0)</f>
        <v>0</v>
      </c>
      <c r="L256" s="139"/>
      <c r="M256" s="139"/>
      <c r="N256" s="139"/>
    </row>
    <row r="257">
      <c r="A257" s="139" t="str">
        <f>IFERROR(__xludf.DUMMYFUNCTION("""COMPUTED_VALUE"""),"e")</f>
        <v>e</v>
      </c>
      <c r="B257" s="139">
        <f>IFERROR(__xludf.DUMMYFUNCTION("""COMPUTED_VALUE"""),2.0250901E8)</f>
        <v>202509010</v>
      </c>
      <c r="C257" s="139" t="str">
        <f>IFERROR(__xludf.DUMMYFUNCTION("""COMPUTED_VALUE"""),"chara_tak_00001_Normal_00000")</f>
        <v>chara_tak_00001_Normal_00000</v>
      </c>
      <c r="D257" s="139" t="str">
        <f>IFERROR(__xludf.DUMMYFUNCTION("""COMPUTED_VALUE"""),"chara_tak_00001")</f>
        <v>chara_tak_00001</v>
      </c>
      <c r="E257" s="139">
        <f>IFERROR(__xludf.DUMMYFUNCTION("""COMPUTED_VALUE"""),0.0)</f>
        <v>0</v>
      </c>
      <c r="F257" s="139" t="str">
        <f>IFERROR(__xludf.DUMMYFUNCTION("""COMPUTED_VALUE"""),"Normal")</f>
        <v>Normal</v>
      </c>
      <c r="G257" s="139"/>
      <c r="H257" s="139"/>
      <c r="I257" s="139">
        <f>IFERROR(__xludf.DUMMYFUNCTION("""COMPUTED_VALUE"""),50.0)</f>
        <v>50</v>
      </c>
      <c r="J257" s="139">
        <f>IFERROR(__xludf.DUMMYFUNCTION("""COMPUTED_VALUE"""),22.0)</f>
        <v>22</v>
      </c>
      <c r="K257" s="139">
        <f>IFERROR(__xludf.DUMMYFUNCTION("""COMPUTED_VALUE"""),100.0)</f>
        <v>100</v>
      </c>
      <c r="L257" s="139"/>
      <c r="M257" s="139" t="str">
        <f>IFERROR(__xludf.DUMMYFUNCTION("""COMPUTED_VALUE"""),"表示場所なし")</f>
        <v>表示場所なし</v>
      </c>
      <c r="N257" s="139"/>
    </row>
    <row r="258">
      <c r="A258" s="139" t="str">
        <f>IFERROR(__xludf.DUMMYFUNCTION("""COMPUTED_VALUE"""),"e")</f>
        <v>e</v>
      </c>
      <c r="B258" s="139">
        <f>IFERROR(__xludf.DUMMYFUNCTION("""COMPUTED_VALUE"""),2.0250901E8)</f>
        <v>202509010</v>
      </c>
      <c r="C258" s="139" t="str">
        <f>IFERROR(__xludf.DUMMYFUNCTION("""COMPUTED_VALUE"""),"chara_tak_00001_Special_00001")</f>
        <v>chara_tak_00001_Special_00001</v>
      </c>
      <c r="D258" s="139" t="str">
        <f>IFERROR(__xludf.DUMMYFUNCTION("""COMPUTED_VALUE"""),"chara_tak_00001")</f>
        <v>chara_tak_00001</v>
      </c>
      <c r="E258" s="139">
        <f>IFERROR(__xludf.DUMMYFUNCTION("""COMPUTED_VALUE"""),1.0)</f>
        <v>1</v>
      </c>
      <c r="F258" s="139" t="str">
        <f>IFERROR(__xludf.DUMMYFUNCTION("""COMPUTED_VALUE"""),"Special")</f>
        <v>Special</v>
      </c>
      <c r="G258" s="139"/>
      <c r="H258" s="139"/>
      <c r="I258" s="139">
        <f>IFERROR(__xludf.DUMMYFUNCTION("""COMPUTED_VALUE"""),167.0)</f>
        <v>167</v>
      </c>
      <c r="J258" s="139">
        <f>IFERROR(__xludf.DUMMYFUNCTION("""COMPUTED_VALUE"""),38.0)</f>
        <v>38</v>
      </c>
      <c r="K258" s="139">
        <f>IFERROR(__xludf.DUMMYFUNCTION("""COMPUTED_VALUE"""),0.0)</f>
        <v>0</v>
      </c>
      <c r="L258" s="139"/>
      <c r="M258" s="139" t="str">
        <f>IFERROR(__xludf.DUMMYFUNCTION("""COMPUTED_VALUE"""),"自身への被ダメージを6.2秒間、15%カット")</f>
        <v>自身への被ダメージを6.2秒間、15%カット</v>
      </c>
      <c r="N258" s="139"/>
    </row>
    <row r="259">
      <c r="A259" s="139" t="str">
        <f>IFERROR(__xludf.DUMMYFUNCTION("""COMPUTED_VALUE"""),"e")</f>
        <v>e</v>
      </c>
      <c r="B259" s="139">
        <f>IFERROR(__xludf.DUMMYFUNCTION("""COMPUTED_VALUE"""),2.0250901E8)</f>
        <v>202509010</v>
      </c>
      <c r="C259" s="139" t="str">
        <f>IFERROR(__xludf.DUMMYFUNCTION("""COMPUTED_VALUE"""),"chara_tak_00001_Special_00002")</f>
        <v>chara_tak_00001_Special_00002</v>
      </c>
      <c r="D259" s="139" t="str">
        <f>IFERROR(__xludf.DUMMYFUNCTION("""COMPUTED_VALUE"""),"chara_tak_00001")</f>
        <v>chara_tak_00001</v>
      </c>
      <c r="E259" s="139">
        <f>IFERROR(__xludf.DUMMYFUNCTION("""COMPUTED_VALUE"""),2.0)</f>
        <v>2</v>
      </c>
      <c r="F259" s="139" t="str">
        <f>IFERROR(__xludf.DUMMYFUNCTION("""COMPUTED_VALUE"""),"Special")</f>
        <v>Special</v>
      </c>
      <c r="G259" s="139"/>
      <c r="H259" s="139"/>
      <c r="I259" s="139">
        <f>IFERROR(__xludf.DUMMYFUNCTION("""COMPUTED_VALUE"""),167.0)</f>
        <v>167</v>
      </c>
      <c r="J259" s="139">
        <f>IFERROR(__xludf.DUMMYFUNCTION("""COMPUTED_VALUE"""),38.0)</f>
        <v>38</v>
      </c>
      <c r="K259" s="139">
        <f>IFERROR(__xludf.DUMMYFUNCTION("""COMPUTED_VALUE"""),0.0)</f>
        <v>0</v>
      </c>
      <c r="L259" s="139"/>
      <c r="M259" s="139" t="str">
        <f>IFERROR(__xludf.DUMMYFUNCTION("""COMPUTED_VALUE"""),"自身への被ダメージを7.4秒間、17%カット")</f>
        <v>自身への被ダメージを7.4秒間、17%カット</v>
      </c>
      <c r="N259" s="139" t="str">
        <f>IFERROR(__xludf.DUMMYFUNCTION("""COMPUTED_VALUE"""),"ステータスUP + 必殺ワザ性能UP")</f>
        <v>ステータスUP + 必殺ワザ性能UP</v>
      </c>
    </row>
    <row r="260">
      <c r="A260" s="139" t="str">
        <f>IFERROR(__xludf.DUMMYFUNCTION("""COMPUTED_VALUE"""),"e")</f>
        <v>e</v>
      </c>
      <c r="B260" s="139">
        <f>IFERROR(__xludf.DUMMYFUNCTION("""COMPUTED_VALUE"""),2.0250901E8)</f>
        <v>202509010</v>
      </c>
      <c r="C260" s="139" t="str">
        <f>IFERROR(__xludf.DUMMYFUNCTION("""COMPUTED_VALUE"""),"chara_tak_00001_Special_00003")</f>
        <v>chara_tak_00001_Special_00003</v>
      </c>
      <c r="D260" s="139" t="str">
        <f>IFERROR(__xludf.DUMMYFUNCTION("""COMPUTED_VALUE"""),"chara_tak_00001")</f>
        <v>chara_tak_00001</v>
      </c>
      <c r="E260" s="139">
        <f>IFERROR(__xludf.DUMMYFUNCTION("""COMPUTED_VALUE"""),3.0)</f>
        <v>3</v>
      </c>
      <c r="F260" s="139" t="str">
        <f>IFERROR(__xludf.DUMMYFUNCTION("""COMPUTED_VALUE"""),"Special")</f>
        <v>Special</v>
      </c>
      <c r="G260" s="139"/>
      <c r="H260" s="139"/>
      <c r="I260" s="139">
        <f>IFERROR(__xludf.DUMMYFUNCTION("""COMPUTED_VALUE"""),167.0)</f>
        <v>167</v>
      </c>
      <c r="J260" s="139">
        <f>IFERROR(__xludf.DUMMYFUNCTION("""COMPUTED_VALUE"""),38.0)</f>
        <v>38</v>
      </c>
      <c r="K260" s="139">
        <f>IFERROR(__xludf.DUMMYFUNCTION("""COMPUTED_VALUE"""),0.0)</f>
        <v>0</v>
      </c>
      <c r="L260" s="139"/>
      <c r="M260" s="139" t="str">
        <f>IFERROR(__xludf.DUMMYFUNCTION("""COMPUTED_VALUE"""),"自身への被ダメージを8.1秒間、18%カット")</f>
        <v>自身への被ダメージを8.1秒間、18%カット</v>
      </c>
      <c r="N260" s="139" t="str">
        <f>IFERROR(__xludf.DUMMYFUNCTION("""COMPUTED_VALUE"""),"ステータスUP + 必殺ワザ性能UP")</f>
        <v>ステータスUP + 必殺ワザ性能UP</v>
      </c>
    </row>
    <row r="261">
      <c r="A261" s="139" t="str">
        <f>IFERROR(__xludf.DUMMYFUNCTION("""COMPUTED_VALUE"""),"e")</f>
        <v>e</v>
      </c>
      <c r="B261" s="139">
        <f>IFERROR(__xludf.DUMMYFUNCTION("""COMPUTED_VALUE"""),2.0250901E8)</f>
        <v>202509010</v>
      </c>
      <c r="C261" s="139" t="str">
        <f>IFERROR(__xludf.DUMMYFUNCTION("""COMPUTED_VALUE"""),"chara_tak_00001_Special_00004")</f>
        <v>chara_tak_00001_Special_00004</v>
      </c>
      <c r="D261" s="139" t="str">
        <f>IFERROR(__xludf.DUMMYFUNCTION("""COMPUTED_VALUE"""),"chara_tak_00001")</f>
        <v>chara_tak_00001</v>
      </c>
      <c r="E261" s="139">
        <f>IFERROR(__xludf.DUMMYFUNCTION("""COMPUTED_VALUE"""),4.0)</f>
        <v>4</v>
      </c>
      <c r="F261" s="139" t="str">
        <f>IFERROR(__xludf.DUMMYFUNCTION("""COMPUTED_VALUE"""),"Special")</f>
        <v>Special</v>
      </c>
      <c r="G261" s="139"/>
      <c r="H261" s="139"/>
      <c r="I261" s="139">
        <f>IFERROR(__xludf.DUMMYFUNCTION("""COMPUTED_VALUE"""),167.0)</f>
        <v>167</v>
      </c>
      <c r="J261" s="139">
        <f>IFERROR(__xludf.DUMMYFUNCTION("""COMPUTED_VALUE"""),38.0)</f>
        <v>38</v>
      </c>
      <c r="K261" s="139">
        <f>IFERROR(__xludf.DUMMYFUNCTION("""COMPUTED_VALUE"""),0.0)</f>
        <v>0</v>
      </c>
      <c r="L261" s="139"/>
      <c r="M261" s="139" t="str">
        <f>IFERROR(__xludf.DUMMYFUNCTION("""COMPUTED_VALUE"""),"自身への被ダメージを8.7秒間、19%カット")</f>
        <v>自身への被ダメージを8.7秒間、19%カット</v>
      </c>
      <c r="N261" s="139" t="str">
        <f>IFERROR(__xludf.DUMMYFUNCTION("""COMPUTED_VALUE"""),"ステータスUP + 必殺ワザ性能UP")</f>
        <v>ステータスUP + 必殺ワザ性能UP</v>
      </c>
    </row>
    <row r="262">
      <c r="A262" s="139" t="str">
        <f>IFERROR(__xludf.DUMMYFUNCTION("""COMPUTED_VALUE"""),"e")</f>
        <v>e</v>
      </c>
      <c r="B262" s="139">
        <f>IFERROR(__xludf.DUMMYFUNCTION("""COMPUTED_VALUE"""),2.0250901E8)</f>
        <v>202509010</v>
      </c>
      <c r="C262" s="139" t="str">
        <f>IFERROR(__xludf.DUMMYFUNCTION("""COMPUTED_VALUE"""),"chara_tak_00001_Special_00005")</f>
        <v>chara_tak_00001_Special_00005</v>
      </c>
      <c r="D262" s="139" t="str">
        <f>IFERROR(__xludf.DUMMYFUNCTION("""COMPUTED_VALUE"""),"chara_tak_00001")</f>
        <v>chara_tak_00001</v>
      </c>
      <c r="E262" s="139">
        <f>IFERROR(__xludf.DUMMYFUNCTION("""COMPUTED_VALUE"""),5.0)</f>
        <v>5</v>
      </c>
      <c r="F262" s="139" t="str">
        <f>IFERROR(__xludf.DUMMYFUNCTION("""COMPUTED_VALUE"""),"Special")</f>
        <v>Special</v>
      </c>
      <c r="G262" s="139"/>
      <c r="H262" s="139"/>
      <c r="I262" s="139">
        <f>IFERROR(__xludf.DUMMYFUNCTION("""COMPUTED_VALUE"""),167.0)</f>
        <v>167</v>
      </c>
      <c r="J262" s="139">
        <f>IFERROR(__xludf.DUMMYFUNCTION("""COMPUTED_VALUE"""),38.0)</f>
        <v>38</v>
      </c>
      <c r="K262" s="139">
        <f>IFERROR(__xludf.DUMMYFUNCTION("""COMPUTED_VALUE"""),0.0)</f>
        <v>0</v>
      </c>
      <c r="L262" s="139"/>
      <c r="M262" s="139" t="str">
        <f>IFERROR(__xludf.DUMMYFUNCTION("""COMPUTED_VALUE"""),"自身への被ダメージを9秒間、20%カット")</f>
        <v>自身への被ダメージを9秒間、20%カット</v>
      </c>
      <c r="N262" s="139" t="str">
        <f>IFERROR(__xludf.DUMMYFUNCTION("""COMPUTED_VALUE"""),"ステータスUP + 必殺ワザ性能UP")</f>
        <v>ステータスUP + 必殺ワザ性能UP</v>
      </c>
    </row>
    <row r="263">
      <c r="A263" s="139"/>
      <c r="B263" s="139"/>
      <c r="C263" s="139" t="str">
        <f>IFERROR(__xludf.DUMMYFUNCTION("""COMPUTED_VALUE"""),"chara_tak_00001_Special_00006")</f>
        <v>chara_tak_00001_Special_00006</v>
      </c>
      <c r="D263" s="139" t="str">
        <f>IFERROR(__xludf.DUMMYFUNCTION("""COMPUTED_VALUE"""),"chara_tak_00001")</f>
        <v>chara_tak_00001</v>
      </c>
      <c r="E263" s="139">
        <f>IFERROR(__xludf.DUMMYFUNCTION("""COMPUTED_VALUE"""),6.0)</f>
        <v>6</v>
      </c>
      <c r="F263" s="139" t="str">
        <f>IFERROR(__xludf.DUMMYFUNCTION("""COMPUTED_VALUE"""),"Special")</f>
        <v>Special</v>
      </c>
      <c r="G263" s="139"/>
      <c r="H263" s="139"/>
      <c r="I263" s="139">
        <f>IFERROR(__xludf.DUMMYFUNCTION("""COMPUTED_VALUE"""),167.0)</f>
        <v>167</v>
      </c>
      <c r="J263" s="139">
        <f>IFERROR(__xludf.DUMMYFUNCTION("""COMPUTED_VALUE"""),38.0)</f>
        <v>38</v>
      </c>
      <c r="K263" s="139">
        <f>IFERROR(__xludf.DUMMYFUNCTION("""COMPUTED_VALUE"""),0.0)</f>
        <v>0</v>
      </c>
      <c r="L263" s="139"/>
      <c r="M263" s="139"/>
      <c r="N263" s="139"/>
    </row>
    <row r="264">
      <c r="A264" s="139"/>
      <c r="B264" s="139"/>
      <c r="C264" s="139" t="str">
        <f>IFERROR(__xludf.DUMMYFUNCTION("""COMPUTED_VALUE"""),"chara_tak_00001_Special_00007")</f>
        <v>chara_tak_00001_Special_00007</v>
      </c>
      <c r="D264" s="139" t="str">
        <f>IFERROR(__xludf.DUMMYFUNCTION("""COMPUTED_VALUE"""),"chara_tak_00001")</f>
        <v>chara_tak_00001</v>
      </c>
      <c r="E264" s="139">
        <f>IFERROR(__xludf.DUMMYFUNCTION("""COMPUTED_VALUE"""),7.0)</f>
        <v>7</v>
      </c>
      <c r="F264" s="139" t="str">
        <f>IFERROR(__xludf.DUMMYFUNCTION("""COMPUTED_VALUE"""),"Special")</f>
        <v>Special</v>
      </c>
      <c r="G264" s="139"/>
      <c r="H264" s="139"/>
      <c r="I264" s="139">
        <f>IFERROR(__xludf.DUMMYFUNCTION("""COMPUTED_VALUE"""),167.0)</f>
        <v>167</v>
      </c>
      <c r="J264" s="139">
        <f>IFERROR(__xludf.DUMMYFUNCTION("""COMPUTED_VALUE"""),38.0)</f>
        <v>38</v>
      </c>
      <c r="K264" s="139">
        <f>IFERROR(__xludf.DUMMYFUNCTION("""COMPUTED_VALUE"""),0.0)</f>
        <v>0</v>
      </c>
      <c r="L264" s="139"/>
      <c r="M264" s="139"/>
      <c r="N264" s="139"/>
    </row>
    <row r="265">
      <c r="A265" s="139"/>
      <c r="B265" s="139"/>
      <c r="C265" s="139" t="str">
        <f>IFERROR(__xludf.DUMMYFUNCTION("""COMPUTED_VALUE"""),"chara_tak_00001_Special_00008")</f>
        <v>chara_tak_00001_Special_00008</v>
      </c>
      <c r="D265" s="139" t="str">
        <f>IFERROR(__xludf.DUMMYFUNCTION("""COMPUTED_VALUE"""),"chara_tak_00001")</f>
        <v>chara_tak_00001</v>
      </c>
      <c r="E265" s="139">
        <f>IFERROR(__xludf.DUMMYFUNCTION("""COMPUTED_VALUE"""),8.0)</f>
        <v>8</v>
      </c>
      <c r="F265" s="139" t="str">
        <f>IFERROR(__xludf.DUMMYFUNCTION("""COMPUTED_VALUE"""),"Special")</f>
        <v>Special</v>
      </c>
      <c r="G265" s="139"/>
      <c r="H265" s="139"/>
      <c r="I265" s="139">
        <f>IFERROR(__xludf.DUMMYFUNCTION("""COMPUTED_VALUE"""),167.0)</f>
        <v>167</v>
      </c>
      <c r="J265" s="139">
        <f>IFERROR(__xludf.DUMMYFUNCTION("""COMPUTED_VALUE"""),38.0)</f>
        <v>38</v>
      </c>
      <c r="K265" s="139">
        <f>IFERROR(__xludf.DUMMYFUNCTION("""COMPUTED_VALUE"""),0.0)</f>
        <v>0</v>
      </c>
      <c r="L265" s="139"/>
      <c r="M265" s="139"/>
      <c r="N265" s="139"/>
    </row>
    <row r="266">
      <c r="A266" s="139"/>
      <c r="B266" s="139"/>
      <c r="C266" s="139" t="str">
        <f>IFERROR(__xludf.DUMMYFUNCTION("""COMPUTED_VALUE"""),"chara_tak_00001_Special_00009")</f>
        <v>chara_tak_00001_Special_00009</v>
      </c>
      <c r="D266" s="139" t="str">
        <f>IFERROR(__xludf.DUMMYFUNCTION("""COMPUTED_VALUE"""),"chara_tak_00001")</f>
        <v>chara_tak_00001</v>
      </c>
      <c r="E266" s="139">
        <f>IFERROR(__xludf.DUMMYFUNCTION("""COMPUTED_VALUE"""),9.0)</f>
        <v>9</v>
      </c>
      <c r="F266" s="139" t="str">
        <f>IFERROR(__xludf.DUMMYFUNCTION("""COMPUTED_VALUE"""),"Special")</f>
        <v>Special</v>
      </c>
      <c r="G266" s="139"/>
      <c r="H266" s="139"/>
      <c r="I266" s="139">
        <f>IFERROR(__xludf.DUMMYFUNCTION("""COMPUTED_VALUE"""),167.0)</f>
        <v>167</v>
      </c>
      <c r="J266" s="139">
        <f>IFERROR(__xludf.DUMMYFUNCTION("""COMPUTED_VALUE"""),38.0)</f>
        <v>38</v>
      </c>
      <c r="K266" s="139">
        <f>IFERROR(__xludf.DUMMYFUNCTION("""COMPUTED_VALUE"""),0.0)</f>
        <v>0</v>
      </c>
      <c r="L266" s="139"/>
      <c r="M266" s="139"/>
      <c r="N266" s="139"/>
    </row>
    <row r="267">
      <c r="A267" s="139"/>
      <c r="B267" s="139"/>
      <c r="C267" s="139" t="str">
        <f>IFERROR(__xludf.DUMMYFUNCTION("""COMPUTED_VALUE"""),"chara_tak_00001_Special_00010")</f>
        <v>chara_tak_00001_Special_00010</v>
      </c>
      <c r="D267" s="139" t="str">
        <f>IFERROR(__xludf.DUMMYFUNCTION("""COMPUTED_VALUE"""),"chara_tak_00001")</f>
        <v>chara_tak_00001</v>
      </c>
      <c r="E267" s="139">
        <f>IFERROR(__xludf.DUMMYFUNCTION("""COMPUTED_VALUE"""),10.0)</f>
        <v>10</v>
      </c>
      <c r="F267" s="139" t="str">
        <f>IFERROR(__xludf.DUMMYFUNCTION("""COMPUTED_VALUE"""),"Special")</f>
        <v>Special</v>
      </c>
      <c r="G267" s="139"/>
      <c r="H267" s="139"/>
      <c r="I267" s="139">
        <f>IFERROR(__xludf.DUMMYFUNCTION("""COMPUTED_VALUE"""),167.0)</f>
        <v>167</v>
      </c>
      <c r="J267" s="139">
        <f>IFERROR(__xludf.DUMMYFUNCTION("""COMPUTED_VALUE"""),38.0)</f>
        <v>38</v>
      </c>
      <c r="K267" s="139">
        <f>IFERROR(__xludf.DUMMYFUNCTION("""COMPUTED_VALUE"""),0.0)</f>
        <v>0</v>
      </c>
      <c r="L267" s="139"/>
      <c r="M267" s="139"/>
      <c r="N267" s="139"/>
    </row>
    <row r="268">
      <c r="A268" s="139" t="str">
        <f>IFERROR(__xludf.DUMMYFUNCTION("""COMPUTED_VALUE"""),"e")</f>
        <v>e</v>
      </c>
      <c r="B268" s="139">
        <f>IFERROR(__xludf.DUMMYFUNCTION("""COMPUTED_VALUE"""),2.0250901E8)</f>
        <v>202509010</v>
      </c>
      <c r="C268" s="139" t="str">
        <f>IFERROR(__xludf.DUMMYFUNCTION("""COMPUTED_VALUE"""),"chara_chi_00201_Normal_00000")</f>
        <v>chara_chi_00201_Normal_00000</v>
      </c>
      <c r="D268" s="139" t="str">
        <f>IFERROR(__xludf.DUMMYFUNCTION("""COMPUTED_VALUE"""),"chara_chi_00201")</f>
        <v>chara_chi_00201</v>
      </c>
      <c r="E268" s="139">
        <f>IFERROR(__xludf.DUMMYFUNCTION("""COMPUTED_VALUE"""),0.0)</f>
        <v>0</v>
      </c>
      <c r="F268" s="139" t="str">
        <f>IFERROR(__xludf.DUMMYFUNCTION("""COMPUTED_VALUE"""),"Normal")</f>
        <v>Normal</v>
      </c>
      <c r="G268" s="139"/>
      <c r="H268" s="139"/>
      <c r="I268" s="139">
        <f>IFERROR(__xludf.DUMMYFUNCTION("""COMPUTED_VALUE"""),80.0)</f>
        <v>80</v>
      </c>
      <c r="J268" s="139">
        <f>IFERROR(__xludf.DUMMYFUNCTION("""COMPUTED_VALUE"""),42.0)</f>
        <v>42</v>
      </c>
      <c r="K268" s="139">
        <f>IFERROR(__xludf.DUMMYFUNCTION("""COMPUTED_VALUE"""),50.0)</f>
        <v>50</v>
      </c>
      <c r="L268" s="139"/>
      <c r="M268" s="139" t="str">
        <f>IFERROR(__xludf.DUMMYFUNCTION("""COMPUTED_VALUE"""),"表示場所なし")</f>
        <v>表示場所なし</v>
      </c>
      <c r="N268" s="139"/>
    </row>
    <row r="269">
      <c r="A269" s="139" t="str">
        <f>IFERROR(__xludf.DUMMYFUNCTION("""COMPUTED_VALUE"""),"e")</f>
        <v>e</v>
      </c>
      <c r="B269" s="139">
        <f>IFERROR(__xludf.DUMMYFUNCTION("""COMPUTED_VALUE"""),2.0250901E8)</f>
        <v>202509010</v>
      </c>
      <c r="C269" s="139" t="str">
        <f>IFERROR(__xludf.DUMMYFUNCTION("""COMPUTED_VALUE"""),"chara_chi_00201_Special_00001")</f>
        <v>chara_chi_00201_Special_00001</v>
      </c>
      <c r="D269" s="139" t="str">
        <f>IFERROR(__xludf.DUMMYFUNCTION("""COMPUTED_VALUE"""),"chara_chi_00201")</f>
        <v>chara_chi_00201</v>
      </c>
      <c r="E269" s="139">
        <f>IFERROR(__xludf.DUMMYFUNCTION("""COMPUTED_VALUE"""),1.0)</f>
        <v>1</v>
      </c>
      <c r="F269" s="139" t="str">
        <f>IFERROR(__xludf.DUMMYFUNCTION("""COMPUTED_VALUE"""),"Special")</f>
        <v>Special</v>
      </c>
      <c r="G269" s="139"/>
      <c r="H269" s="139"/>
      <c r="I269" s="139">
        <f>IFERROR(__xludf.DUMMYFUNCTION("""COMPUTED_VALUE"""),122.0)</f>
        <v>122</v>
      </c>
      <c r="J269" s="139">
        <f>IFERROR(__xludf.DUMMYFUNCTION("""COMPUTED_VALUE"""),82.0)</f>
        <v>82</v>
      </c>
      <c r="K269" s="139">
        <f>IFERROR(__xludf.DUMMYFUNCTION("""COMPUTED_VALUE"""),0.0)</f>
        <v>0</v>
      </c>
      <c r="L269" s="139"/>
      <c r="M269" s="139" t="str">
        <f>IFERROR(__xludf.DUMMYFUNCTION("""COMPUTED_VALUE"""),"敵複数体に自身の攻撃ステータスの72%のダメージ")</f>
        <v>敵複数体に自身の攻撃ステータスの72%のダメージ</v>
      </c>
      <c r="N269" s="139"/>
    </row>
    <row r="270">
      <c r="A270" s="139" t="str">
        <f>IFERROR(__xludf.DUMMYFUNCTION("""COMPUTED_VALUE"""),"e")</f>
        <v>e</v>
      </c>
      <c r="B270" s="139">
        <f>IFERROR(__xludf.DUMMYFUNCTION("""COMPUTED_VALUE"""),2.0250901E8)</f>
        <v>202509010</v>
      </c>
      <c r="C270" s="139" t="str">
        <f>IFERROR(__xludf.DUMMYFUNCTION("""COMPUTED_VALUE"""),"chara_chi_00201_Special_00002")</f>
        <v>chara_chi_00201_Special_00002</v>
      </c>
      <c r="D270" s="139" t="str">
        <f>IFERROR(__xludf.DUMMYFUNCTION("""COMPUTED_VALUE"""),"chara_chi_00201")</f>
        <v>chara_chi_00201</v>
      </c>
      <c r="E270" s="139">
        <f>IFERROR(__xludf.DUMMYFUNCTION("""COMPUTED_VALUE"""),2.0)</f>
        <v>2</v>
      </c>
      <c r="F270" s="139" t="str">
        <f>IFERROR(__xludf.DUMMYFUNCTION("""COMPUTED_VALUE"""),"Special")</f>
        <v>Special</v>
      </c>
      <c r="G270" s="139"/>
      <c r="H270" s="139"/>
      <c r="I270" s="139">
        <f>IFERROR(__xludf.DUMMYFUNCTION("""COMPUTED_VALUE"""),122.0)</f>
        <v>122</v>
      </c>
      <c r="J270" s="139">
        <f>IFERROR(__xludf.DUMMYFUNCTION("""COMPUTED_VALUE"""),82.0)</f>
        <v>82</v>
      </c>
      <c r="K270" s="139">
        <f>IFERROR(__xludf.DUMMYFUNCTION("""COMPUTED_VALUE"""),0.0)</f>
        <v>0</v>
      </c>
      <c r="L270" s="139"/>
      <c r="M270" s="139" t="str">
        <f>IFERROR(__xludf.DUMMYFUNCTION("""COMPUTED_VALUE"""),"敵複数体に自身の攻撃ステータスの82%のダメージ")</f>
        <v>敵複数体に自身の攻撃ステータスの82%のダメージ</v>
      </c>
      <c r="N270" s="139" t="str">
        <f>IFERROR(__xludf.DUMMYFUNCTION("""COMPUTED_VALUE"""),"ステータスUP + 必殺ワザ性能UP")</f>
        <v>ステータスUP + 必殺ワザ性能UP</v>
      </c>
    </row>
    <row r="271">
      <c r="A271" s="139" t="str">
        <f>IFERROR(__xludf.DUMMYFUNCTION("""COMPUTED_VALUE"""),"e")</f>
        <v>e</v>
      </c>
      <c r="B271" s="139">
        <f>IFERROR(__xludf.DUMMYFUNCTION("""COMPUTED_VALUE"""),2.0250901E8)</f>
        <v>202509010</v>
      </c>
      <c r="C271" s="139" t="str">
        <f>IFERROR(__xludf.DUMMYFUNCTION("""COMPUTED_VALUE"""),"chara_chi_00201_Special_00003")</f>
        <v>chara_chi_00201_Special_00003</v>
      </c>
      <c r="D271" s="139" t="str">
        <f>IFERROR(__xludf.DUMMYFUNCTION("""COMPUTED_VALUE"""),"chara_chi_00201")</f>
        <v>chara_chi_00201</v>
      </c>
      <c r="E271" s="139">
        <f>IFERROR(__xludf.DUMMYFUNCTION("""COMPUTED_VALUE"""),3.0)</f>
        <v>3</v>
      </c>
      <c r="F271" s="139" t="str">
        <f>IFERROR(__xludf.DUMMYFUNCTION("""COMPUTED_VALUE"""),"Special")</f>
        <v>Special</v>
      </c>
      <c r="G271" s="139"/>
      <c r="H271" s="139"/>
      <c r="I271" s="139">
        <f>IFERROR(__xludf.DUMMYFUNCTION("""COMPUTED_VALUE"""),122.0)</f>
        <v>122</v>
      </c>
      <c r="J271" s="139">
        <f>IFERROR(__xludf.DUMMYFUNCTION("""COMPUTED_VALUE"""),82.0)</f>
        <v>82</v>
      </c>
      <c r="K271" s="139">
        <f>IFERROR(__xludf.DUMMYFUNCTION("""COMPUTED_VALUE"""),0.0)</f>
        <v>0</v>
      </c>
      <c r="L271" s="139"/>
      <c r="M271" s="139" t="str">
        <f>IFERROR(__xludf.DUMMYFUNCTION("""COMPUTED_VALUE"""),"敵複数体に自身の攻撃ステータスの90%のダメージ")</f>
        <v>敵複数体に自身の攻撃ステータスの90%のダメージ</v>
      </c>
      <c r="N271" s="139" t="str">
        <f>IFERROR(__xludf.DUMMYFUNCTION("""COMPUTED_VALUE"""),"ステータスUP + 必殺ワザ性能UP")</f>
        <v>ステータスUP + 必殺ワザ性能UP</v>
      </c>
    </row>
    <row r="272">
      <c r="A272" s="139" t="str">
        <f>IFERROR(__xludf.DUMMYFUNCTION("""COMPUTED_VALUE"""),"e")</f>
        <v>e</v>
      </c>
      <c r="B272" s="139">
        <f>IFERROR(__xludf.DUMMYFUNCTION("""COMPUTED_VALUE"""),2.0250901E8)</f>
        <v>202509010</v>
      </c>
      <c r="C272" s="139" t="str">
        <f>IFERROR(__xludf.DUMMYFUNCTION("""COMPUTED_VALUE"""),"chara_chi_00201_Special_00004")</f>
        <v>chara_chi_00201_Special_00004</v>
      </c>
      <c r="D272" s="139" t="str">
        <f>IFERROR(__xludf.DUMMYFUNCTION("""COMPUTED_VALUE"""),"chara_chi_00201")</f>
        <v>chara_chi_00201</v>
      </c>
      <c r="E272" s="139">
        <f>IFERROR(__xludf.DUMMYFUNCTION("""COMPUTED_VALUE"""),4.0)</f>
        <v>4</v>
      </c>
      <c r="F272" s="139" t="str">
        <f>IFERROR(__xludf.DUMMYFUNCTION("""COMPUTED_VALUE"""),"Special")</f>
        <v>Special</v>
      </c>
      <c r="G272" s="139"/>
      <c r="H272" s="139"/>
      <c r="I272" s="139">
        <f>IFERROR(__xludf.DUMMYFUNCTION("""COMPUTED_VALUE"""),122.0)</f>
        <v>122</v>
      </c>
      <c r="J272" s="139">
        <f>IFERROR(__xludf.DUMMYFUNCTION("""COMPUTED_VALUE"""),82.0)</f>
        <v>82</v>
      </c>
      <c r="K272" s="139">
        <f>IFERROR(__xludf.DUMMYFUNCTION("""COMPUTED_VALUE"""),0.0)</f>
        <v>0</v>
      </c>
      <c r="L272" s="139"/>
      <c r="M272" s="139" t="str">
        <f>IFERROR(__xludf.DUMMYFUNCTION("""COMPUTED_VALUE"""),"敵複数体に自身の攻撃ステータスの95%のダメージ")</f>
        <v>敵複数体に自身の攻撃ステータスの95%のダメージ</v>
      </c>
      <c r="N272" s="139" t="str">
        <f>IFERROR(__xludf.DUMMYFUNCTION("""COMPUTED_VALUE"""),"ステータスUP + 必殺ワザ性能UP")</f>
        <v>ステータスUP + 必殺ワザ性能UP</v>
      </c>
    </row>
    <row r="273">
      <c r="A273" s="139" t="str">
        <f>IFERROR(__xludf.DUMMYFUNCTION("""COMPUTED_VALUE"""),"e")</f>
        <v>e</v>
      </c>
      <c r="B273" s="139">
        <f>IFERROR(__xludf.DUMMYFUNCTION("""COMPUTED_VALUE"""),2.0250901E8)</f>
        <v>202509010</v>
      </c>
      <c r="C273" s="139" t="str">
        <f>IFERROR(__xludf.DUMMYFUNCTION("""COMPUTED_VALUE"""),"chara_chi_00201_Special_00005")</f>
        <v>chara_chi_00201_Special_00005</v>
      </c>
      <c r="D273" s="139" t="str">
        <f>IFERROR(__xludf.DUMMYFUNCTION("""COMPUTED_VALUE"""),"chara_chi_00201")</f>
        <v>chara_chi_00201</v>
      </c>
      <c r="E273" s="139">
        <f>IFERROR(__xludf.DUMMYFUNCTION("""COMPUTED_VALUE"""),5.0)</f>
        <v>5</v>
      </c>
      <c r="F273" s="139" t="str">
        <f>IFERROR(__xludf.DUMMYFUNCTION("""COMPUTED_VALUE"""),"Special")</f>
        <v>Special</v>
      </c>
      <c r="G273" s="139"/>
      <c r="H273" s="139"/>
      <c r="I273" s="139">
        <f>IFERROR(__xludf.DUMMYFUNCTION("""COMPUTED_VALUE"""),122.0)</f>
        <v>122</v>
      </c>
      <c r="J273" s="139">
        <f>IFERROR(__xludf.DUMMYFUNCTION("""COMPUTED_VALUE"""),82.0)</f>
        <v>82</v>
      </c>
      <c r="K273" s="139">
        <f>IFERROR(__xludf.DUMMYFUNCTION("""COMPUTED_VALUE"""),0.0)</f>
        <v>0</v>
      </c>
      <c r="L273" s="139"/>
      <c r="M273" s="139" t="str">
        <f>IFERROR(__xludf.DUMMYFUNCTION("""COMPUTED_VALUE"""),"敵複数体に自身の攻撃ステータスの99%のダメージ")</f>
        <v>敵複数体に自身の攻撃ステータスの99%のダメージ</v>
      </c>
      <c r="N273" s="139" t="str">
        <f>IFERROR(__xludf.DUMMYFUNCTION("""COMPUTED_VALUE"""),"ステータスUP + 必殺ワザ性能UP")</f>
        <v>ステータスUP + 必殺ワザ性能UP</v>
      </c>
    </row>
    <row r="274">
      <c r="A274" s="139"/>
      <c r="B274" s="139"/>
      <c r="C274" s="139" t="str">
        <f>IFERROR(__xludf.DUMMYFUNCTION("""COMPUTED_VALUE"""),"chara_chi_00201_Special_00006")</f>
        <v>chara_chi_00201_Special_00006</v>
      </c>
      <c r="D274" s="139" t="str">
        <f>IFERROR(__xludf.DUMMYFUNCTION("""COMPUTED_VALUE"""),"chara_chi_00201")</f>
        <v>chara_chi_00201</v>
      </c>
      <c r="E274" s="139">
        <f>IFERROR(__xludf.DUMMYFUNCTION("""COMPUTED_VALUE"""),6.0)</f>
        <v>6</v>
      </c>
      <c r="F274" s="139" t="str">
        <f>IFERROR(__xludf.DUMMYFUNCTION("""COMPUTED_VALUE"""),"Special")</f>
        <v>Special</v>
      </c>
      <c r="G274" s="139"/>
      <c r="H274" s="139"/>
      <c r="I274" s="139">
        <f>IFERROR(__xludf.DUMMYFUNCTION("""COMPUTED_VALUE"""),122.0)</f>
        <v>122</v>
      </c>
      <c r="J274" s="139">
        <f>IFERROR(__xludf.DUMMYFUNCTION("""COMPUTED_VALUE"""),82.0)</f>
        <v>82</v>
      </c>
      <c r="K274" s="139">
        <f>IFERROR(__xludf.DUMMYFUNCTION("""COMPUTED_VALUE"""),0.0)</f>
        <v>0</v>
      </c>
      <c r="L274" s="139"/>
      <c r="M274" s="139"/>
      <c r="N274" s="139"/>
    </row>
    <row r="275">
      <c r="A275" s="139"/>
      <c r="B275" s="139"/>
      <c r="C275" s="139" t="str">
        <f>IFERROR(__xludf.DUMMYFUNCTION("""COMPUTED_VALUE"""),"chara_chi_00201_Special_00007")</f>
        <v>chara_chi_00201_Special_00007</v>
      </c>
      <c r="D275" s="139" t="str">
        <f>IFERROR(__xludf.DUMMYFUNCTION("""COMPUTED_VALUE"""),"chara_chi_00201")</f>
        <v>chara_chi_00201</v>
      </c>
      <c r="E275" s="139">
        <f>IFERROR(__xludf.DUMMYFUNCTION("""COMPUTED_VALUE"""),7.0)</f>
        <v>7</v>
      </c>
      <c r="F275" s="139" t="str">
        <f>IFERROR(__xludf.DUMMYFUNCTION("""COMPUTED_VALUE"""),"Special")</f>
        <v>Special</v>
      </c>
      <c r="G275" s="139"/>
      <c r="H275" s="139"/>
      <c r="I275" s="139">
        <f>IFERROR(__xludf.DUMMYFUNCTION("""COMPUTED_VALUE"""),122.0)</f>
        <v>122</v>
      </c>
      <c r="J275" s="139">
        <f>IFERROR(__xludf.DUMMYFUNCTION("""COMPUTED_VALUE"""),82.0)</f>
        <v>82</v>
      </c>
      <c r="K275" s="139">
        <f>IFERROR(__xludf.DUMMYFUNCTION("""COMPUTED_VALUE"""),0.0)</f>
        <v>0</v>
      </c>
      <c r="L275" s="139"/>
      <c r="M275" s="139"/>
      <c r="N275" s="139"/>
    </row>
    <row r="276">
      <c r="A276" s="139"/>
      <c r="B276" s="139"/>
      <c r="C276" s="139" t="str">
        <f>IFERROR(__xludf.DUMMYFUNCTION("""COMPUTED_VALUE"""),"chara_chi_00201_Special_00008")</f>
        <v>chara_chi_00201_Special_00008</v>
      </c>
      <c r="D276" s="139" t="str">
        <f>IFERROR(__xludf.DUMMYFUNCTION("""COMPUTED_VALUE"""),"chara_chi_00201")</f>
        <v>chara_chi_00201</v>
      </c>
      <c r="E276" s="139">
        <f>IFERROR(__xludf.DUMMYFUNCTION("""COMPUTED_VALUE"""),8.0)</f>
        <v>8</v>
      </c>
      <c r="F276" s="139" t="str">
        <f>IFERROR(__xludf.DUMMYFUNCTION("""COMPUTED_VALUE"""),"Special")</f>
        <v>Special</v>
      </c>
      <c r="G276" s="139"/>
      <c r="H276" s="139"/>
      <c r="I276" s="139">
        <f>IFERROR(__xludf.DUMMYFUNCTION("""COMPUTED_VALUE"""),122.0)</f>
        <v>122</v>
      </c>
      <c r="J276" s="139">
        <f>IFERROR(__xludf.DUMMYFUNCTION("""COMPUTED_VALUE"""),82.0)</f>
        <v>82</v>
      </c>
      <c r="K276" s="139">
        <f>IFERROR(__xludf.DUMMYFUNCTION("""COMPUTED_VALUE"""),0.0)</f>
        <v>0</v>
      </c>
      <c r="L276" s="139"/>
      <c r="M276" s="139"/>
      <c r="N276" s="139"/>
    </row>
    <row r="277">
      <c r="A277" s="139"/>
      <c r="B277" s="139"/>
      <c r="C277" s="139" t="str">
        <f>IFERROR(__xludf.DUMMYFUNCTION("""COMPUTED_VALUE"""),"chara_chi_00201_Special_00009")</f>
        <v>chara_chi_00201_Special_00009</v>
      </c>
      <c r="D277" s="139" t="str">
        <f>IFERROR(__xludf.DUMMYFUNCTION("""COMPUTED_VALUE"""),"chara_chi_00201")</f>
        <v>chara_chi_00201</v>
      </c>
      <c r="E277" s="139">
        <f>IFERROR(__xludf.DUMMYFUNCTION("""COMPUTED_VALUE"""),9.0)</f>
        <v>9</v>
      </c>
      <c r="F277" s="139" t="str">
        <f>IFERROR(__xludf.DUMMYFUNCTION("""COMPUTED_VALUE"""),"Special")</f>
        <v>Special</v>
      </c>
      <c r="G277" s="139"/>
      <c r="H277" s="139"/>
      <c r="I277" s="139">
        <f>IFERROR(__xludf.DUMMYFUNCTION("""COMPUTED_VALUE"""),122.0)</f>
        <v>122</v>
      </c>
      <c r="J277" s="139">
        <f>IFERROR(__xludf.DUMMYFUNCTION("""COMPUTED_VALUE"""),82.0)</f>
        <v>82</v>
      </c>
      <c r="K277" s="139">
        <f>IFERROR(__xludf.DUMMYFUNCTION("""COMPUTED_VALUE"""),0.0)</f>
        <v>0</v>
      </c>
      <c r="L277" s="139"/>
      <c r="M277" s="139"/>
      <c r="N277" s="139"/>
    </row>
    <row r="278">
      <c r="A278" s="139"/>
      <c r="B278" s="139"/>
      <c r="C278" s="139" t="str">
        <f>IFERROR(__xludf.DUMMYFUNCTION("""COMPUTED_VALUE"""),"chara_chi_00201_Special_00010")</f>
        <v>chara_chi_00201_Special_00010</v>
      </c>
      <c r="D278" s="139" t="str">
        <f>IFERROR(__xludf.DUMMYFUNCTION("""COMPUTED_VALUE"""),"chara_chi_00201")</f>
        <v>chara_chi_00201</v>
      </c>
      <c r="E278" s="139">
        <f>IFERROR(__xludf.DUMMYFUNCTION("""COMPUTED_VALUE"""),10.0)</f>
        <v>10</v>
      </c>
      <c r="F278" s="139" t="str">
        <f>IFERROR(__xludf.DUMMYFUNCTION("""COMPUTED_VALUE"""),"Special")</f>
        <v>Special</v>
      </c>
      <c r="G278" s="139"/>
      <c r="H278" s="139"/>
      <c r="I278" s="139">
        <f>IFERROR(__xludf.DUMMYFUNCTION("""COMPUTED_VALUE"""),122.0)</f>
        <v>122</v>
      </c>
      <c r="J278" s="139">
        <f>IFERROR(__xludf.DUMMYFUNCTION("""COMPUTED_VALUE"""),82.0)</f>
        <v>82</v>
      </c>
      <c r="K278" s="139">
        <f>IFERROR(__xludf.DUMMYFUNCTION("""COMPUTED_VALUE"""),0.0)</f>
        <v>0</v>
      </c>
      <c r="L278" s="139"/>
      <c r="M278" s="139"/>
      <c r="N278" s="139"/>
    </row>
    <row r="279">
      <c r="A279" s="139" t="str">
        <f>IFERROR(__xludf.DUMMYFUNCTION("""COMPUTED_VALUE"""),"e")</f>
        <v>e</v>
      </c>
      <c r="B279" s="139">
        <f>IFERROR(__xludf.DUMMYFUNCTION("""COMPUTED_VALUE"""),2.0250901E8)</f>
        <v>202509010</v>
      </c>
      <c r="C279" s="139" t="str">
        <f>IFERROR(__xludf.DUMMYFUNCTION("""COMPUTED_VALUE"""),"chara_chi_00301_Normal_00000")</f>
        <v>chara_chi_00301_Normal_00000</v>
      </c>
      <c r="D279" s="139" t="str">
        <f>IFERROR(__xludf.DUMMYFUNCTION("""COMPUTED_VALUE"""),"chara_chi_00301")</f>
        <v>chara_chi_00301</v>
      </c>
      <c r="E279" s="139">
        <f>IFERROR(__xludf.DUMMYFUNCTION("""COMPUTED_VALUE"""),0.0)</f>
        <v>0</v>
      </c>
      <c r="F279" s="139" t="str">
        <f>IFERROR(__xludf.DUMMYFUNCTION("""COMPUTED_VALUE"""),"Normal")</f>
        <v>Normal</v>
      </c>
      <c r="G279" s="139"/>
      <c r="H279" s="139"/>
      <c r="I279" s="139">
        <f>IFERROR(__xludf.DUMMYFUNCTION("""COMPUTED_VALUE"""),75.0)</f>
        <v>75</v>
      </c>
      <c r="J279" s="139">
        <f>IFERROR(__xludf.DUMMYFUNCTION("""COMPUTED_VALUE"""),29.0)</f>
        <v>29</v>
      </c>
      <c r="K279" s="139">
        <f>IFERROR(__xludf.DUMMYFUNCTION("""COMPUTED_VALUE"""),75.0)</f>
        <v>75</v>
      </c>
      <c r="L279" s="139"/>
      <c r="M279" s="139" t="str">
        <f>IFERROR(__xludf.DUMMYFUNCTION("""COMPUTED_VALUE"""),"表示場所なし")</f>
        <v>表示場所なし</v>
      </c>
      <c r="N279" s="139"/>
    </row>
    <row r="280">
      <c r="A280" s="139" t="str">
        <f>IFERROR(__xludf.DUMMYFUNCTION("""COMPUTED_VALUE"""),"e")</f>
        <v>e</v>
      </c>
      <c r="B280" s="139">
        <f>IFERROR(__xludf.DUMMYFUNCTION("""COMPUTED_VALUE"""),2.0250901E8)</f>
        <v>202509010</v>
      </c>
      <c r="C280" s="139" t="str">
        <f>IFERROR(__xludf.DUMMYFUNCTION("""COMPUTED_VALUE"""),"chara_chi_00301_Special_00001")</f>
        <v>chara_chi_00301_Special_00001</v>
      </c>
      <c r="D280" s="139" t="str">
        <f>IFERROR(__xludf.DUMMYFUNCTION("""COMPUTED_VALUE"""),"chara_chi_00301")</f>
        <v>chara_chi_00301</v>
      </c>
      <c r="E280" s="139">
        <f>IFERROR(__xludf.DUMMYFUNCTION("""COMPUTED_VALUE"""),1.0)</f>
        <v>1</v>
      </c>
      <c r="F280" s="139" t="str">
        <f>IFERROR(__xludf.DUMMYFUNCTION("""COMPUTED_VALUE"""),"Special")</f>
        <v>Special</v>
      </c>
      <c r="G280" s="139" t="str">
        <f>IFERROR(__xludf.DUMMYFUNCTION("""COMPUTED_VALUE"""),"Red")</f>
        <v>Red</v>
      </c>
      <c r="H280" s="139">
        <f>IFERROR(__xludf.DUMMYFUNCTION("""COMPUTED_VALUE"""),110.0)</f>
        <v>110</v>
      </c>
      <c r="I280" s="139">
        <f>IFERROR(__xludf.DUMMYFUNCTION("""COMPUTED_VALUE"""),134.0)</f>
        <v>134</v>
      </c>
      <c r="J280" s="139">
        <f>IFERROR(__xludf.DUMMYFUNCTION("""COMPUTED_VALUE"""),50.0)</f>
        <v>50</v>
      </c>
      <c r="K280" s="139">
        <f>IFERROR(__xludf.DUMMYFUNCTION("""COMPUTED_VALUE"""),0.0)</f>
        <v>0</v>
      </c>
      <c r="L280" s="139"/>
      <c r="M280" s="139" t="str">
        <f>IFERROR(__xludf.DUMMYFUNCTION("""COMPUTED_VALUE"""),"敵複数体に自身の攻撃ステータスの75%のダメージ(敵が赤属性の場合は82.5%のダメージ)")</f>
        <v>敵複数体に自身の攻撃ステータスの75%のダメージ(敵が赤属性の場合は82.5%のダメージ)</v>
      </c>
      <c r="N280" s="139"/>
    </row>
    <row r="281">
      <c r="A281" s="139" t="str">
        <f>IFERROR(__xludf.DUMMYFUNCTION("""COMPUTED_VALUE"""),"e")</f>
        <v>e</v>
      </c>
      <c r="B281" s="139">
        <f>IFERROR(__xludf.DUMMYFUNCTION("""COMPUTED_VALUE"""),2.0250901E8)</f>
        <v>202509010</v>
      </c>
      <c r="C281" s="139" t="str">
        <f>IFERROR(__xludf.DUMMYFUNCTION("""COMPUTED_VALUE"""),"chara_chi_00301_Special_00002")</f>
        <v>chara_chi_00301_Special_00002</v>
      </c>
      <c r="D281" s="139" t="str">
        <f>IFERROR(__xludf.DUMMYFUNCTION("""COMPUTED_VALUE"""),"chara_chi_00301")</f>
        <v>chara_chi_00301</v>
      </c>
      <c r="E281" s="139">
        <f>IFERROR(__xludf.DUMMYFUNCTION("""COMPUTED_VALUE"""),2.0)</f>
        <v>2</v>
      </c>
      <c r="F281" s="139" t="str">
        <f>IFERROR(__xludf.DUMMYFUNCTION("""COMPUTED_VALUE"""),"Special")</f>
        <v>Special</v>
      </c>
      <c r="G281" s="139" t="str">
        <f>IFERROR(__xludf.DUMMYFUNCTION("""COMPUTED_VALUE"""),"Red")</f>
        <v>Red</v>
      </c>
      <c r="H281" s="139">
        <f>IFERROR(__xludf.DUMMYFUNCTION("""COMPUTED_VALUE"""),125.0)</f>
        <v>125</v>
      </c>
      <c r="I281" s="139">
        <f>IFERROR(__xludf.DUMMYFUNCTION("""COMPUTED_VALUE"""),134.0)</f>
        <v>134</v>
      </c>
      <c r="J281" s="139">
        <f>IFERROR(__xludf.DUMMYFUNCTION("""COMPUTED_VALUE"""),50.0)</f>
        <v>50</v>
      </c>
      <c r="K281" s="139">
        <f>IFERROR(__xludf.DUMMYFUNCTION("""COMPUTED_VALUE"""),0.0)</f>
        <v>0</v>
      </c>
      <c r="L281" s="139"/>
      <c r="M281" s="139" t="str">
        <f>IFERROR(__xludf.DUMMYFUNCTION("""COMPUTED_VALUE"""),"敵複数体に自身の攻撃ステータスの75%のダメージ(敵が赤属性の場合は93.75%のダメージ)")</f>
        <v>敵複数体に自身の攻撃ステータスの75%のダメージ(敵が赤属性の場合は93.75%のダメージ)</v>
      </c>
      <c r="N281" s="139" t="str">
        <f>IFERROR(__xludf.DUMMYFUNCTION("""COMPUTED_VALUE"""),"ステータスUP + 必殺ワザ性能UP")</f>
        <v>ステータスUP + 必殺ワザ性能UP</v>
      </c>
    </row>
    <row r="282">
      <c r="A282" s="139" t="str">
        <f>IFERROR(__xludf.DUMMYFUNCTION("""COMPUTED_VALUE"""),"e")</f>
        <v>e</v>
      </c>
      <c r="B282" s="139">
        <f>IFERROR(__xludf.DUMMYFUNCTION("""COMPUTED_VALUE"""),2.0250901E8)</f>
        <v>202509010</v>
      </c>
      <c r="C282" s="139" t="str">
        <f>IFERROR(__xludf.DUMMYFUNCTION("""COMPUTED_VALUE"""),"chara_chi_00301_Special_00003")</f>
        <v>chara_chi_00301_Special_00003</v>
      </c>
      <c r="D282" s="139" t="str">
        <f>IFERROR(__xludf.DUMMYFUNCTION("""COMPUTED_VALUE"""),"chara_chi_00301")</f>
        <v>chara_chi_00301</v>
      </c>
      <c r="E282" s="139">
        <f>IFERROR(__xludf.DUMMYFUNCTION("""COMPUTED_VALUE"""),3.0)</f>
        <v>3</v>
      </c>
      <c r="F282" s="139" t="str">
        <f>IFERROR(__xludf.DUMMYFUNCTION("""COMPUTED_VALUE"""),"Special")</f>
        <v>Special</v>
      </c>
      <c r="G282" s="139" t="str">
        <f>IFERROR(__xludf.DUMMYFUNCTION("""COMPUTED_VALUE"""),"Red")</f>
        <v>Red</v>
      </c>
      <c r="H282" s="139">
        <f>IFERROR(__xludf.DUMMYFUNCTION("""COMPUTED_VALUE"""),136.0)</f>
        <v>136</v>
      </c>
      <c r="I282" s="139">
        <f>IFERROR(__xludf.DUMMYFUNCTION("""COMPUTED_VALUE"""),134.0)</f>
        <v>134</v>
      </c>
      <c r="J282" s="139">
        <f>IFERROR(__xludf.DUMMYFUNCTION("""COMPUTED_VALUE"""),50.0)</f>
        <v>50</v>
      </c>
      <c r="K282" s="139">
        <f>IFERROR(__xludf.DUMMYFUNCTION("""COMPUTED_VALUE"""),0.0)</f>
        <v>0</v>
      </c>
      <c r="L282" s="139"/>
      <c r="M282" s="139" t="str">
        <f>IFERROR(__xludf.DUMMYFUNCTION("""COMPUTED_VALUE"""),"敵複数体に自身の攻撃ステータスの75%のダメージ(敵が赤属性の場合は102%のダメージ)")</f>
        <v>敵複数体に自身の攻撃ステータスの75%のダメージ(敵が赤属性の場合は102%のダメージ)</v>
      </c>
      <c r="N282" s="139" t="str">
        <f>IFERROR(__xludf.DUMMYFUNCTION("""COMPUTED_VALUE"""),"ステータスUP + 必殺ワザ性能UP")</f>
        <v>ステータスUP + 必殺ワザ性能UP</v>
      </c>
    </row>
    <row r="283">
      <c r="A283" s="139" t="str">
        <f>IFERROR(__xludf.DUMMYFUNCTION("""COMPUTED_VALUE"""),"e")</f>
        <v>e</v>
      </c>
      <c r="B283" s="139">
        <f>IFERROR(__xludf.DUMMYFUNCTION("""COMPUTED_VALUE"""),2.0250901E8)</f>
        <v>202509010</v>
      </c>
      <c r="C283" s="139" t="str">
        <f>IFERROR(__xludf.DUMMYFUNCTION("""COMPUTED_VALUE"""),"chara_chi_00301_Special_00004")</f>
        <v>chara_chi_00301_Special_00004</v>
      </c>
      <c r="D283" s="139" t="str">
        <f>IFERROR(__xludf.DUMMYFUNCTION("""COMPUTED_VALUE"""),"chara_chi_00301")</f>
        <v>chara_chi_00301</v>
      </c>
      <c r="E283" s="139">
        <f>IFERROR(__xludf.DUMMYFUNCTION("""COMPUTED_VALUE"""),4.0)</f>
        <v>4</v>
      </c>
      <c r="F283" s="139" t="str">
        <f>IFERROR(__xludf.DUMMYFUNCTION("""COMPUTED_VALUE"""),"Special")</f>
        <v>Special</v>
      </c>
      <c r="G283" s="139" t="str">
        <f>IFERROR(__xludf.DUMMYFUNCTION("""COMPUTED_VALUE"""),"Red")</f>
        <v>Red</v>
      </c>
      <c r="H283" s="139">
        <f>IFERROR(__xludf.DUMMYFUNCTION("""COMPUTED_VALUE"""),144.0)</f>
        <v>144</v>
      </c>
      <c r="I283" s="139">
        <f>IFERROR(__xludf.DUMMYFUNCTION("""COMPUTED_VALUE"""),134.0)</f>
        <v>134</v>
      </c>
      <c r="J283" s="139">
        <f>IFERROR(__xludf.DUMMYFUNCTION("""COMPUTED_VALUE"""),50.0)</f>
        <v>50</v>
      </c>
      <c r="K283" s="139">
        <f>IFERROR(__xludf.DUMMYFUNCTION("""COMPUTED_VALUE"""),0.0)</f>
        <v>0</v>
      </c>
      <c r="L283" s="139"/>
      <c r="M283" s="139" t="str">
        <f>IFERROR(__xludf.DUMMYFUNCTION("""COMPUTED_VALUE"""),"敵複数体に自身の攻撃ステータスの75%のダメージ(敵が赤属性の場合は108%のダメージ)")</f>
        <v>敵複数体に自身の攻撃ステータスの75%のダメージ(敵が赤属性の場合は108%のダメージ)</v>
      </c>
      <c r="N283" s="139" t="str">
        <f>IFERROR(__xludf.DUMMYFUNCTION("""COMPUTED_VALUE"""),"ステータスUP + 必殺ワザ性能UP")</f>
        <v>ステータスUP + 必殺ワザ性能UP</v>
      </c>
    </row>
    <row r="284">
      <c r="A284" s="139" t="str">
        <f>IFERROR(__xludf.DUMMYFUNCTION("""COMPUTED_VALUE"""),"e")</f>
        <v>e</v>
      </c>
      <c r="B284" s="139">
        <f>IFERROR(__xludf.DUMMYFUNCTION("""COMPUTED_VALUE"""),2.0250901E8)</f>
        <v>202509010</v>
      </c>
      <c r="C284" s="139" t="str">
        <f>IFERROR(__xludf.DUMMYFUNCTION("""COMPUTED_VALUE"""),"chara_chi_00301_Special_00005")</f>
        <v>chara_chi_00301_Special_00005</v>
      </c>
      <c r="D284" s="139" t="str">
        <f>IFERROR(__xludf.DUMMYFUNCTION("""COMPUTED_VALUE"""),"chara_chi_00301")</f>
        <v>chara_chi_00301</v>
      </c>
      <c r="E284" s="139">
        <f>IFERROR(__xludf.DUMMYFUNCTION("""COMPUTED_VALUE"""),5.0)</f>
        <v>5</v>
      </c>
      <c r="F284" s="139" t="str">
        <f>IFERROR(__xludf.DUMMYFUNCTION("""COMPUTED_VALUE"""),"Special")</f>
        <v>Special</v>
      </c>
      <c r="G284" s="139" t="str">
        <f>IFERROR(__xludf.DUMMYFUNCTION("""COMPUTED_VALUE"""),"Red")</f>
        <v>Red</v>
      </c>
      <c r="H284" s="139">
        <f>IFERROR(__xludf.DUMMYFUNCTION("""COMPUTED_VALUE"""),150.0)</f>
        <v>150</v>
      </c>
      <c r="I284" s="139">
        <f>IFERROR(__xludf.DUMMYFUNCTION("""COMPUTED_VALUE"""),134.0)</f>
        <v>134</v>
      </c>
      <c r="J284" s="139">
        <f>IFERROR(__xludf.DUMMYFUNCTION("""COMPUTED_VALUE"""),50.0)</f>
        <v>50</v>
      </c>
      <c r="K284" s="139">
        <f>IFERROR(__xludf.DUMMYFUNCTION("""COMPUTED_VALUE"""),0.0)</f>
        <v>0</v>
      </c>
      <c r="L284" s="139"/>
      <c r="M284" s="139" t="str">
        <f>IFERROR(__xludf.DUMMYFUNCTION("""COMPUTED_VALUE"""),"敵複数体に自身の攻撃ステータスの75%のダメージ(敵が赤属性の場合は112.5%のダメージ)")</f>
        <v>敵複数体に自身の攻撃ステータスの75%のダメージ(敵が赤属性の場合は112.5%のダメージ)</v>
      </c>
      <c r="N284" s="139" t="str">
        <f>IFERROR(__xludf.DUMMYFUNCTION("""COMPUTED_VALUE"""),"ステータスUP + 必殺ワザ性能UP")</f>
        <v>ステータスUP + 必殺ワザ性能UP</v>
      </c>
    </row>
    <row r="285">
      <c r="A285" s="139"/>
      <c r="B285" s="139"/>
      <c r="C285" s="139" t="str">
        <f>IFERROR(__xludf.DUMMYFUNCTION("""COMPUTED_VALUE"""),"chara_chi_00301_Special_00006")</f>
        <v>chara_chi_00301_Special_00006</v>
      </c>
      <c r="D285" s="139" t="str">
        <f>IFERROR(__xludf.DUMMYFUNCTION("""COMPUTED_VALUE"""),"chara_chi_00301")</f>
        <v>chara_chi_00301</v>
      </c>
      <c r="E285" s="139">
        <f>IFERROR(__xludf.DUMMYFUNCTION("""COMPUTED_VALUE"""),6.0)</f>
        <v>6</v>
      </c>
      <c r="F285" s="139" t="str">
        <f>IFERROR(__xludf.DUMMYFUNCTION("""COMPUTED_VALUE"""),"Special")</f>
        <v>Special</v>
      </c>
      <c r="G285" s="139" t="str">
        <f>IFERROR(__xludf.DUMMYFUNCTION("""COMPUTED_VALUE"""),"Red")</f>
        <v>Red</v>
      </c>
      <c r="H285" s="139">
        <f>IFERROR(__xludf.DUMMYFUNCTION("""COMPUTED_VALUE"""),170.0)</f>
        <v>170</v>
      </c>
      <c r="I285" s="139">
        <f>IFERROR(__xludf.DUMMYFUNCTION("""COMPUTED_VALUE"""),134.0)</f>
        <v>134</v>
      </c>
      <c r="J285" s="139">
        <f>IFERROR(__xludf.DUMMYFUNCTION("""COMPUTED_VALUE"""),50.0)</f>
        <v>50</v>
      </c>
      <c r="K285" s="139">
        <f>IFERROR(__xludf.DUMMYFUNCTION("""COMPUTED_VALUE"""),0.0)</f>
        <v>0</v>
      </c>
      <c r="L285" s="139"/>
      <c r="M285" s="139"/>
      <c r="N285" s="139"/>
    </row>
    <row r="286">
      <c r="A286" s="139"/>
      <c r="B286" s="139"/>
      <c r="C286" s="139" t="str">
        <f>IFERROR(__xludf.DUMMYFUNCTION("""COMPUTED_VALUE"""),"chara_chi_00301_Special_00007")</f>
        <v>chara_chi_00301_Special_00007</v>
      </c>
      <c r="D286" s="139" t="str">
        <f>IFERROR(__xludf.DUMMYFUNCTION("""COMPUTED_VALUE"""),"chara_chi_00301")</f>
        <v>chara_chi_00301</v>
      </c>
      <c r="E286" s="139">
        <f>IFERROR(__xludf.DUMMYFUNCTION("""COMPUTED_VALUE"""),7.0)</f>
        <v>7</v>
      </c>
      <c r="F286" s="139" t="str">
        <f>IFERROR(__xludf.DUMMYFUNCTION("""COMPUTED_VALUE"""),"Special")</f>
        <v>Special</v>
      </c>
      <c r="G286" s="139" t="str">
        <f>IFERROR(__xludf.DUMMYFUNCTION("""COMPUTED_VALUE"""),"Red")</f>
        <v>Red</v>
      </c>
      <c r="H286" s="139">
        <f>IFERROR(__xludf.DUMMYFUNCTION("""COMPUTED_VALUE"""),170.0)</f>
        <v>170</v>
      </c>
      <c r="I286" s="139">
        <f>IFERROR(__xludf.DUMMYFUNCTION("""COMPUTED_VALUE"""),134.0)</f>
        <v>134</v>
      </c>
      <c r="J286" s="139">
        <f>IFERROR(__xludf.DUMMYFUNCTION("""COMPUTED_VALUE"""),50.0)</f>
        <v>50</v>
      </c>
      <c r="K286" s="139">
        <f>IFERROR(__xludf.DUMMYFUNCTION("""COMPUTED_VALUE"""),0.0)</f>
        <v>0</v>
      </c>
      <c r="L286" s="139"/>
      <c r="M286" s="139"/>
      <c r="N286" s="139"/>
    </row>
    <row r="287">
      <c r="A287" s="139"/>
      <c r="B287" s="139"/>
      <c r="C287" s="139" t="str">
        <f>IFERROR(__xludf.DUMMYFUNCTION("""COMPUTED_VALUE"""),"chara_chi_00301_Special_00008")</f>
        <v>chara_chi_00301_Special_00008</v>
      </c>
      <c r="D287" s="139" t="str">
        <f>IFERROR(__xludf.DUMMYFUNCTION("""COMPUTED_VALUE"""),"chara_chi_00301")</f>
        <v>chara_chi_00301</v>
      </c>
      <c r="E287" s="139">
        <f>IFERROR(__xludf.DUMMYFUNCTION("""COMPUTED_VALUE"""),8.0)</f>
        <v>8</v>
      </c>
      <c r="F287" s="139" t="str">
        <f>IFERROR(__xludf.DUMMYFUNCTION("""COMPUTED_VALUE"""),"Special")</f>
        <v>Special</v>
      </c>
      <c r="G287" s="139" t="str">
        <f>IFERROR(__xludf.DUMMYFUNCTION("""COMPUTED_VALUE"""),"Red")</f>
        <v>Red</v>
      </c>
      <c r="H287" s="139">
        <f>IFERROR(__xludf.DUMMYFUNCTION("""COMPUTED_VALUE"""),170.0)</f>
        <v>170</v>
      </c>
      <c r="I287" s="139">
        <f>IFERROR(__xludf.DUMMYFUNCTION("""COMPUTED_VALUE"""),134.0)</f>
        <v>134</v>
      </c>
      <c r="J287" s="139">
        <f>IFERROR(__xludf.DUMMYFUNCTION("""COMPUTED_VALUE"""),50.0)</f>
        <v>50</v>
      </c>
      <c r="K287" s="139">
        <f>IFERROR(__xludf.DUMMYFUNCTION("""COMPUTED_VALUE"""),0.0)</f>
        <v>0</v>
      </c>
      <c r="L287" s="139"/>
      <c r="M287" s="139"/>
      <c r="N287" s="139"/>
    </row>
    <row r="288">
      <c r="A288" s="139"/>
      <c r="B288" s="139"/>
      <c r="C288" s="139" t="str">
        <f>IFERROR(__xludf.DUMMYFUNCTION("""COMPUTED_VALUE"""),"chara_chi_00301_Special_00009")</f>
        <v>chara_chi_00301_Special_00009</v>
      </c>
      <c r="D288" s="139" t="str">
        <f>IFERROR(__xludf.DUMMYFUNCTION("""COMPUTED_VALUE"""),"chara_chi_00301")</f>
        <v>chara_chi_00301</v>
      </c>
      <c r="E288" s="139">
        <f>IFERROR(__xludf.DUMMYFUNCTION("""COMPUTED_VALUE"""),9.0)</f>
        <v>9</v>
      </c>
      <c r="F288" s="139" t="str">
        <f>IFERROR(__xludf.DUMMYFUNCTION("""COMPUTED_VALUE"""),"Special")</f>
        <v>Special</v>
      </c>
      <c r="G288" s="139" t="str">
        <f>IFERROR(__xludf.DUMMYFUNCTION("""COMPUTED_VALUE"""),"Red")</f>
        <v>Red</v>
      </c>
      <c r="H288" s="139">
        <f>IFERROR(__xludf.DUMMYFUNCTION("""COMPUTED_VALUE"""),170.0)</f>
        <v>170</v>
      </c>
      <c r="I288" s="139">
        <f>IFERROR(__xludf.DUMMYFUNCTION("""COMPUTED_VALUE"""),134.0)</f>
        <v>134</v>
      </c>
      <c r="J288" s="139">
        <f>IFERROR(__xludf.DUMMYFUNCTION("""COMPUTED_VALUE"""),50.0)</f>
        <v>50</v>
      </c>
      <c r="K288" s="139">
        <f>IFERROR(__xludf.DUMMYFUNCTION("""COMPUTED_VALUE"""),0.0)</f>
        <v>0</v>
      </c>
      <c r="L288" s="139"/>
      <c r="M288" s="139"/>
      <c r="N288" s="139"/>
    </row>
    <row r="289">
      <c r="A289" s="139"/>
      <c r="B289" s="139"/>
      <c r="C289" s="139" t="str">
        <f>IFERROR(__xludf.DUMMYFUNCTION("""COMPUTED_VALUE"""),"chara_chi_00301_Special_00010")</f>
        <v>chara_chi_00301_Special_00010</v>
      </c>
      <c r="D289" s="139" t="str">
        <f>IFERROR(__xludf.DUMMYFUNCTION("""COMPUTED_VALUE"""),"chara_chi_00301")</f>
        <v>chara_chi_00301</v>
      </c>
      <c r="E289" s="139">
        <f>IFERROR(__xludf.DUMMYFUNCTION("""COMPUTED_VALUE"""),10.0)</f>
        <v>10</v>
      </c>
      <c r="F289" s="139" t="str">
        <f>IFERROR(__xludf.DUMMYFUNCTION("""COMPUTED_VALUE"""),"Special")</f>
        <v>Special</v>
      </c>
      <c r="G289" s="139" t="str">
        <f>IFERROR(__xludf.DUMMYFUNCTION("""COMPUTED_VALUE"""),"Red")</f>
        <v>Red</v>
      </c>
      <c r="H289" s="139">
        <f>IFERROR(__xludf.DUMMYFUNCTION("""COMPUTED_VALUE"""),170.0)</f>
        <v>170</v>
      </c>
      <c r="I289" s="139">
        <f>IFERROR(__xludf.DUMMYFUNCTION("""COMPUTED_VALUE"""),134.0)</f>
        <v>134</v>
      </c>
      <c r="J289" s="139">
        <f>IFERROR(__xludf.DUMMYFUNCTION("""COMPUTED_VALUE"""),50.0)</f>
        <v>50</v>
      </c>
      <c r="K289" s="139">
        <f>IFERROR(__xludf.DUMMYFUNCTION("""COMPUTED_VALUE"""),0.0)</f>
        <v>0</v>
      </c>
      <c r="L289" s="139"/>
      <c r="M289" s="139"/>
      <c r="N289" s="139"/>
    </row>
    <row r="290">
      <c r="A290" s="139" t="str">
        <f>IFERROR(__xludf.DUMMYFUNCTION("""COMPUTED_VALUE"""),"e")</f>
        <v>e</v>
      </c>
      <c r="B290" s="139">
        <f>IFERROR(__xludf.DUMMYFUNCTION("""COMPUTED_VALUE"""),2.0250901E8)</f>
        <v>202509010</v>
      </c>
      <c r="C290" s="139" t="str">
        <f>IFERROR(__xludf.DUMMYFUNCTION("""COMPUTED_VALUE"""),"chara_chi_00002_Normal_00000")</f>
        <v>chara_chi_00002_Normal_00000</v>
      </c>
      <c r="D290" s="139" t="str">
        <f>IFERROR(__xludf.DUMMYFUNCTION("""COMPUTED_VALUE"""),"chara_chi_00002")</f>
        <v>chara_chi_00002</v>
      </c>
      <c r="E290" s="139">
        <f>IFERROR(__xludf.DUMMYFUNCTION("""COMPUTED_VALUE"""),0.0)</f>
        <v>0</v>
      </c>
      <c r="F290" s="139" t="str">
        <f>IFERROR(__xludf.DUMMYFUNCTION("""COMPUTED_VALUE"""),"Normal")</f>
        <v>Normal</v>
      </c>
      <c r="G290" s="139"/>
      <c r="H290" s="139"/>
      <c r="I290" s="139">
        <f>IFERROR(__xludf.DUMMYFUNCTION("""COMPUTED_VALUE"""),54.0)</f>
        <v>54</v>
      </c>
      <c r="J290" s="139">
        <f>IFERROR(__xludf.DUMMYFUNCTION("""COMPUTED_VALUE"""),33.0)</f>
        <v>33</v>
      </c>
      <c r="K290" s="139">
        <f>IFERROR(__xludf.DUMMYFUNCTION("""COMPUTED_VALUE"""),45.0)</f>
        <v>45</v>
      </c>
      <c r="L290" s="139"/>
      <c r="M290" s="139" t="str">
        <f>IFERROR(__xludf.DUMMYFUNCTION("""COMPUTED_VALUE"""),"表示場所なし")</f>
        <v>表示場所なし</v>
      </c>
      <c r="N290" s="139"/>
    </row>
    <row r="291">
      <c r="A291" s="139" t="str">
        <f>IFERROR(__xludf.DUMMYFUNCTION("""COMPUTED_VALUE"""),"e")</f>
        <v>e</v>
      </c>
      <c r="B291" s="139">
        <f>IFERROR(__xludf.DUMMYFUNCTION("""COMPUTED_VALUE"""),2.0250901E8)</f>
        <v>202509010</v>
      </c>
      <c r="C291" s="139" t="str">
        <f>IFERROR(__xludf.DUMMYFUNCTION("""COMPUTED_VALUE"""),"chara_chi_00002_Special_00001")</f>
        <v>chara_chi_00002_Special_00001</v>
      </c>
      <c r="D291" s="139" t="str">
        <f>IFERROR(__xludf.DUMMYFUNCTION("""COMPUTED_VALUE"""),"chara_chi_00002")</f>
        <v>chara_chi_00002</v>
      </c>
      <c r="E291" s="139">
        <f>IFERROR(__xludf.DUMMYFUNCTION("""COMPUTED_VALUE"""),1.0)</f>
        <v>1</v>
      </c>
      <c r="F291" s="139" t="str">
        <f>IFERROR(__xludf.DUMMYFUNCTION("""COMPUTED_VALUE"""),"Special")</f>
        <v>Special</v>
      </c>
      <c r="G291" s="139"/>
      <c r="H291" s="139"/>
      <c r="I291" s="139">
        <f>IFERROR(__xludf.DUMMYFUNCTION("""COMPUTED_VALUE"""),187.0)</f>
        <v>187</v>
      </c>
      <c r="J291" s="139">
        <f>IFERROR(__xludf.DUMMYFUNCTION("""COMPUTED_VALUE"""),0.0)</f>
        <v>0</v>
      </c>
      <c r="K291" s="139">
        <f>IFERROR(__xludf.DUMMYFUNCTION("""COMPUTED_VALUE"""),0.0)</f>
        <v>0</v>
      </c>
      <c r="L291" s="139"/>
      <c r="M291" s="139" t="str">
        <f>IFERROR(__xludf.DUMMYFUNCTION("""COMPUTED_VALUE"""),"敵単体に最大6回の連続攻撃(自身の攻撃ステータスの最大170%ダメージ) + 6回目の攻撃がヒットした場合、6回目のダメージの15%分、自身の体力を回復")</f>
        <v>敵単体に最大6回の連続攻撃(自身の攻撃ステータスの最大170%ダメージ) + 6回目の攻撃がヒットした場合、6回目のダメージの15%分、自身の体力を回復</v>
      </c>
      <c r="N291" s="139"/>
    </row>
    <row r="292">
      <c r="A292" s="139" t="str">
        <f>IFERROR(__xludf.DUMMYFUNCTION("""COMPUTED_VALUE"""),"e")</f>
        <v>e</v>
      </c>
      <c r="B292" s="139">
        <f>IFERROR(__xludf.DUMMYFUNCTION("""COMPUTED_VALUE"""),2.0250901E8)</f>
        <v>202509010</v>
      </c>
      <c r="C292" s="139" t="str">
        <f>IFERROR(__xludf.DUMMYFUNCTION("""COMPUTED_VALUE"""),"chara_chi_00002_Special_00002")</f>
        <v>chara_chi_00002_Special_00002</v>
      </c>
      <c r="D292" s="139" t="str">
        <f>IFERROR(__xludf.DUMMYFUNCTION("""COMPUTED_VALUE"""),"chara_chi_00002")</f>
        <v>chara_chi_00002</v>
      </c>
      <c r="E292" s="139">
        <f>IFERROR(__xludf.DUMMYFUNCTION("""COMPUTED_VALUE"""),2.0)</f>
        <v>2</v>
      </c>
      <c r="F292" s="139" t="str">
        <f>IFERROR(__xludf.DUMMYFUNCTION("""COMPUTED_VALUE"""),"Special")</f>
        <v>Special</v>
      </c>
      <c r="G292" s="139"/>
      <c r="H292" s="139"/>
      <c r="I292" s="139">
        <f>IFERROR(__xludf.DUMMYFUNCTION("""COMPUTED_VALUE"""),187.0)</f>
        <v>187</v>
      </c>
      <c r="J292" s="139">
        <f>IFERROR(__xludf.DUMMYFUNCTION("""COMPUTED_VALUE"""),0.0)</f>
        <v>0</v>
      </c>
      <c r="K292" s="139">
        <f>IFERROR(__xludf.DUMMYFUNCTION("""COMPUTED_VALUE"""),0.0)</f>
        <v>0</v>
      </c>
      <c r="L292" s="139"/>
      <c r="M292" s="139" t="str">
        <f>IFERROR(__xludf.DUMMYFUNCTION("""COMPUTED_VALUE"""),"敵単体に最大6回の連続攻撃(自身の攻撃ステータスの最大192%ダメージ) + 6回目の攻撃がヒットした場合、6回目のダメージの27%分、自身の体力を回復")</f>
        <v>敵単体に最大6回の連続攻撃(自身の攻撃ステータスの最大192%ダメージ) + 6回目の攻撃がヒットした場合、6回目のダメージの27%分、自身の体力を回復</v>
      </c>
      <c r="N292" s="139" t="str">
        <f>IFERROR(__xludf.DUMMYFUNCTION("""COMPUTED_VALUE"""),"ステータスUP + 必殺ワザ性能UP")</f>
        <v>ステータスUP + 必殺ワザ性能UP</v>
      </c>
    </row>
    <row r="293">
      <c r="A293" s="139" t="str">
        <f>IFERROR(__xludf.DUMMYFUNCTION("""COMPUTED_VALUE"""),"e")</f>
        <v>e</v>
      </c>
      <c r="B293" s="139">
        <f>IFERROR(__xludf.DUMMYFUNCTION("""COMPUTED_VALUE"""),2.0250901E8)</f>
        <v>202509010</v>
      </c>
      <c r="C293" s="139" t="str">
        <f>IFERROR(__xludf.DUMMYFUNCTION("""COMPUTED_VALUE"""),"chara_chi_00002_Special_00003")</f>
        <v>chara_chi_00002_Special_00003</v>
      </c>
      <c r="D293" s="139" t="str">
        <f>IFERROR(__xludf.DUMMYFUNCTION("""COMPUTED_VALUE"""),"chara_chi_00002")</f>
        <v>chara_chi_00002</v>
      </c>
      <c r="E293" s="139">
        <f>IFERROR(__xludf.DUMMYFUNCTION("""COMPUTED_VALUE"""),3.0)</f>
        <v>3</v>
      </c>
      <c r="F293" s="139" t="str">
        <f>IFERROR(__xludf.DUMMYFUNCTION("""COMPUTED_VALUE"""),"Special")</f>
        <v>Special</v>
      </c>
      <c r="G293" s="139"/>
      <c r="H293" s="139"/>
      <c r="I293" s="139">
        <f>IFERROR(__xludf.DUMMYFUNCTION("""COMPUTED_VALUE"""),187.0)</f>
        <v>187</v>
      </c>
      <c r="J293" s="139">
        <f>IFERROR(__xludf.DUMMYFUNCTION("""COMPUTED_VALUE"""),0.0)</f>
        <v>0</v>
      </c>
      <c r="K293" s="139">
        <f>IFERROR(__xludf.DUMMYFUNCTION("""COMPUTED_VALUE"""),0.0)</f>
        <v>0</v>
      </c>
      <c r="L293" s="139"/>
      <c r="M293" s="139" t="str">
        <f>IFERROR(__xludf.DUMMYFUNCTION("""COMPUTED_VALUE"""),"敵単体に最大6回の連続攻撃(自身の攻撃ステータスの最大207%ダメージ) + 6回目の攻撃がヒットした場合、6回目のダメージの35%分、自身の体力を回復")</f>
        <v>敵単体に最大6回の連続攻撃(自身の攻撃ステータスの最大207%ダメージ) + 6回目の攻撃がヒットした場合、6回目のダメージの35%分、自身の体力を回復</v>
      </c>
      <c r="N293" s="139" t="str">
        <f>IFERROR(__xludf.DUMMYFUNCTION("""COMPUTED_VALUE"""),"ステータスUP + 必殺ワザ性能UP")</f>
        <v>ステータスUP + 必殺ワザ性能UP</v>
      </c>
    </row>
    <row r="294">
      <c r="A294" s="139" t="str">
        <f>IFERROR(__xludf.DUMMYFUNCTION("""COMPUTED_VALUE"""),"e")</f>
        <v>e</v>
      </c>
      <c r="B294" s="139">
        <f>IFERROR(__xludf.DUMMYFUNCTION("""COMPUTED_VALUE"""),2.0250901E8)</f>
        <v>202509010</v>
      </c>
      <c r="C294" s="139" t="str">
        <f>IFERROR(__xludf.DUMMYFUNCTION("""COMPUTED_VALUE"""),"chara_chi_00002_Special_00004")</f>
        <v>chara_chi_00002_Special_00004</v>
      </c>
      <c r="D294" s="139" t="str">
        <f>IFERROR(__xludf.DUMMYFUNCTION("""COMPUTED_VALUE"""),"chara_chi_00002")</f>
        <v>chara_chi_00002</v>
      </c>
      <c r="E294" s="139">
        <f>IFERROR(__xludf.DUMMYFUNCTION("""COMPUTED_VALUE"""),4.0)</f>
        <v>4</v>
      </c>
      <c r="F294" s="139" t="str">
        <f>IFERROR(__xludf.DUMMYFUNCTION("""COMPUTED_VALUE"""),"Special")</f>
        <v>Special</v>
      </c>
      <c r="G294" s="139"/>
      <c r="H294" s="139"/>
      <c r="I294" s="139">
        <f>IFERROR(__xludf.DUMMYFUNCTION("""COMPUTED_VALUE"""),187.0)</f>
        <v>187</v>
      </c>
      <c r="J294" s="139">
        <f>IFERROR(__xludf.DUMMYFUNCTION("""COMPUTED_VALUE"""),0.0)</f>
        <v>0</v>
      </c>
      <c r="K294" s="139">
        <f>IFERROR(__xludf.DUMMYFUNCTION("""COMPUTED_VALUE"""),0.0)</f>
        <v>0</v>
      </c>
      <c r="L294" s="139"/>
      <c r="M294" s="139" t="str">
        <f>IFERROR(__xludf.DUMMYFUNCTION("""COMPUTED_VALUE"""),"敵単体に最大6回の連続攻撃(自身の攻撃ステータスの最大218%ダメージ) + 6回目の攻撃がヒットした場合、6回目のダメージの41%分、自身の体力を回復")</f>
        <v>敵単体に最大6回の連続攻撃(自身の攻撃ステータスの最大218%ダメージ) + 6回目の攻撃がヒットした場合、6回目のダメージの41%分、自身の体力を回復</v>
      </c>
      <c r="N294" s="139" t="str">
        <f>IFERROR(__xludf.DUMMYFUNCTION("""COMPUTED_VALUE"""),"ステータスUP + 必殺ワザ性能UP")</f>
        <v>ステータスUP + 必殺ワザ性能UP</v>
      </c>
    </row>
    <row r="295">
      <c r="A295" s="139" t="str">
        <f>IFERROR(__xludf.DUMMYFUNCTION("""COMPUTED_VALUE"""),"e")</f>
        <v>e</v>
      </c>
      <c r="B295" s="139">
        <f>IFERROR(__xludf.DUMMYFUNCTION("""COMPUTED_VALUE"""),2.0250901E8)</f>
        <v>202509010</v>
      </c>
      <c r="C295" s="139" t="str">
        <f>IFERROR(__xludf.DUMMYFUNCTION("""COMPUTED_VALUE"""),"chara_chi_00002_Special_00005")</f>
        <v>chara_chi_00002_Special_00005</v>
      </c>
      <c r="D295" s="139" t="str">
        <f>IFERROR(__xludf.DUMMYFUNCTION("""COMPUTED_VALUE"""),"chara_chi_00002")</f>
        <v>chara_chi_00002</v>
      </c>
      <c r="E295" s="139">
        <f>IFERROR(__xludf.DUMMYFUNCTION("""COMPUTED_VALUE"""),5.0)</f>
        <v>5</v>
      </c>
      <c r="F295" s="139" t="str">
        <f>IFERROR(__xludf.DUMMYFUNCTION("""COMPUTED_VALUE"""),"Special")</f>
        <v>Special</v>
      </c>
      <c r="G295" s="139"/>
      <c r="H295" s="139"/>
      <c r="I295" s="139">
        <f>IFERROR(__xludf.DUMMYFUNCTION("""COMPUTED_VALUE"""),187.0)</f>
        <v>187</v>
      </c>
      <c r="J295" s="139">
        <f>IFERROR(__xludf.DUMMYFUNCTION("""COMPUTED_VALUE"""),0.0)</f>
        <v>0</v>
      </c>
      <c r="K295" s="139">
        <f>IFERROR(__xludf.DUMMYFUNCTION("""COMPUTED_VALUE"""),0.0)</f>
        <v>0</v>
      </c>
      <c r="L295" s="139"/>
      <c r="M295" s="139" t="str">
        <f>IFERROR(__xludf.DUMMYFUNCTION("""COMPUTED_VALUE"""),"敵単体に最大6回の連続攻撃(自身の攻撃ステータスの最大225%ダメージ) + 6回目の攻撃がヒットした場合、6回目のダメージの45%分、自身の体力を回復")</f>
        <v>敵単体に最大6回の連続攻撃(自身の攻撃ステータスの最大225%ダメージ) + 6回目の攻撃がヒットした場合、6回目のダメージの45%分、自身の体力を回復</v>
      </c>
      <c r="N295" s="139" t="str">
        <f>IFERROR(__xludf.DUMMYFUNCTION("""COMPUTED_VALUE"""),"ステータスUP + 必殺ワザ性能UP")</f>
        <v>ステータスUP + 必殺ワザ性能UP</v>
      </c>
    </row>
    <row r="296">
      <c r="A296" s="139"/>
      <c r="B296" s="139"/>
      <c r="C296" s="139" t="str">
        <f>IFERROR(__xludf.DUMMYFUNCTION("""COMPUTED_VALUE"""),"chara_chi_00002_Special_00006")</f>
        <v>chara_chi_00002_Special_00006</v>
      </c>
      <c r="D296" s="139" t="str">
        <f>IFERROR(__xludf.DUMMYFUNCTION("""COMPUTED_VALUE"""),"chara_chi_00002")</f>
        <v>chara_chi_00002</v>
      </c>
      <c r="E296" s="139">
        <f>IFERROR(__xludf.DUMMYFUNCTION("""COMPUTED_VALUE"""),6.0)</f>
        <v>6</v>
      </c>
      <c r="F296" s="139" t="str">
        <f>IFERROR(__xludf.DUMMYFUNCTION("""COMPUTED_VALUE"""),"Special")</f>
        <v>Special</v>
      </c>
      <c r="G296" s="139"/>
      <c r="H296" s="139"/>
      <c r="I296" s="139">
        <f>IFERROR(__xludf.DUMMYFUNCTION("""COMPUTED_VALUE"""),187.0)</f>
        <v>187</v>
      </c>
      <c r="J296" s="139">
        <f>IFERROR(__xludf.DUMMYFUNCTION("""COMPUTED_VALUE"""),0.0)</f>
        <v>0</v>
      </c>
      <c r="K296" s="139">
        <f>IFERROR(__xludf.DUMMYFUNCTION("""COMPUTED_VALUE"""),0.0)</f>
        <v>0</v>
      </c>
      <c r="L296" s="139"/>
      <c r="M296" s="139"/>
      <c r="N296" s="139"/>
    </row>
    <row r="297">
      <c r="A297" s="139"/>
      <c r="B297" s="139"/>
      <c r="C297" s="139" t="str">
        <f>IFERROR(__xludf.DUMMYFUNCTION("""COMPUTED_VALUE"""),"chara_chi_00002_Special_00007")</f>
        <v>chara_chi_00002_Special_00007</v>
      </c>
      <c r="D297" s="139" t="str">
        <f>IFERROR(__xludf.DUMMYFUNCTION("""COMPUTED_VALUE"""),"chara_chi_00002")</f>
        <v>chara_chi_00002</v>
      </c>
      <c r="E297" s="139">
        <f>IFERROR(__xludf.DUMMYFUNCTION("""COMPUTED_VALUE"""),7.0)</f>
        <v>7</v>
      </c>
      <c r="F297" s="139" t="str">
        <f>IFERROR(__xludf.DUMMYFUNCTION("""COMPUTED_VALUE"""),"Special")</f>
        <v>Special</v>
      </c>
      <c r="G297" s="139"/>
      <c r="H297" s="139"/>
      <c r="I297" s="139">
        <f>IFERROR(__xludf.DUMMYFUNCTION("""COMPUTED_VALUE"""),187.0)</f>
        <v>187</v>
      </c>
      <c r="J297" s="139">
        <f>IFERROR(__xludf.DUMMYFUNCTION("""COMPUTED_VALUE"""),0.0)</f>
        <v>0</v>
      </c>
      <c r="K297" s="139">
        <f>IFERROR(__xludf.DUMMYFUNCTION("""COMPUTED_VALUE"""),0.0)</f>
        <v>0</v>
      </c>
      <c r="L297" s="139"/>
      <c r="M297" s="139"/>
      <c r="N297" s="139"/>
    </row>
    <row r="298">
      <c r="A298" s="139"/>
      <c r="B298" s="139"/>
      <c r="C298" s="139" t="str">
        <f>IFERROR(__xludf.DUMMYFUNCTION("""COMPUTED_VALUE"""),"chara_chi_00002_Special_00008")</f>
        <v>chara_chi_00002_Special_00008</v>
      </c>
      <c r="D298" s="139" t="str">
        <f>IFERROR(__xludf.DUMMYFUNCTION("""COMPUTED_VALUE"""),"chara_chi_00002")</f>
        <v>chara_chi_00002</v>
      </c>
      <c r="E298" s="139">
        <f>IFERROR(__xludf.DUMMYFUNCTION("""COMPUTED_VALUE"""),8.0)</f>
        <v>8</v>
      </c>
      <c r="F298" s="139" t="str">
        <f>IFERROR(__xludf.DUMMYFUNCTION("""COMPUTED_VALUE"""),"Special")</f>
        <v>Special</v>
      </c>
      <c r="G298" s="139"/>
      <c r="H298" s="139"/>
      <c r="I298" s="139">
        <f>IFERROR(__xludf.DUMMYFUNCTION("""COMPUTED_VALUE"""),187.0)</f>
        <v>187</v>
      </c>
      <c r="J298" s="139">
        <f>IFERROR(__xludf.DUMMYFUNCTION("""COMPUTED_VALUE"""),0.0)</f>
        <v>0</v>
      </c>
      <c r="K298" s="139">
        <f>IFERROR(__xludf.DUMMYFUNCTION("""COMPUTED_VALUE"""),0.0)</f>
        <v>0</v>
      </c>
      <c r="L298" s="139"/>
      <c r="M298" s="139"/>
      <c r="N298" s="139"/>
    </row>
    <row r="299">
      <c r="A299" s="139"/>
      <c r="B299" s="139"/>
      <c r="C299" s="139" t="str">
        <f>IFERROR(__xludf.DUMMYFUNCTION("""COMPUTED_VALUE"""),"chara_chi_00002_Special_00009")</f>
        <v>chara_chi_00002_Special_00009</v>
      </c>
      <c r="D299" s="139" t="str">
        <f>IFERROR(__xludf.DUMMYFUNCTION("""COMPUTED_VALUE"""),"chara_chi_00002")</f>
        <v>chara_chi_00002</v>
      </c>
      <c r="E299" s="139">
        <f>IFERROR(__xludf.DUMMYFUNCTION("""COMPUTED_VALUE"""),9.0)</f>
        <v>9</v>
      </c>
      <c r="F299" s="139" t="str">
        <f>IFERROR(__xludf.DUMMYFUNCTION("""COMPUTED_VALUE"""),"Special")</f>
        <v>Special</v>
      </c>
      <c r="G299" s="139"/>
      <c r="H299" s="139"/>
      <c r="I299" s="139">
        <f>IFERROR(__xludf.DUMMYFUNCTION("""COMPUTED_VALUE"""),187.0)</f>
        <v>187</v>
      </c>
      <c r="J299" s="139">
        <f>IFERROR(__xludf.DUMMYFUNCTION("""COMPUTED_VALUE"""),0.0)</f>
        <v>0</v>
      </c>
      <c r="K299" s="139">
        <f>IFERROR(__xludf.DUMMYFUNCTION("""COMPUTED_VALUE"""),0.0)</f>
        <v>0</v>
      </c>
      <c r="L299" s="139"/>
      <c r="M299" s="139"/>
      <c r="N299" s="139"/>
    </row>
    <row r="300">
      <c r="A300" s="139"/>
      <c r="B300" s="139"/>
      <c r="C300" s="139" t="str">
        <f>IFERROR(__xludf.DUMMYFUNCTION("""COMPUTED_VALUE"""),"chara_chi_00002_Special_00010")</f>
        <v>chara_chi_00002_Special_00010</v>
      </c>
      <c r="D300" s="139" t="str">
        <f>IFERROR(__xludf.DUMMYFUNCTION("""COMPUTED_VALUE"""),"chara_chi_00002")</f>
        <v>chara_chi_00002</v>
      </c>
      <c r="E300" s="139">
        <f>IFERROR(__xludf.DUMMYFUNCTION("""COMPUTED_VALUE"""),10.0)</f>
        <v>10</v>
      </c>
      <c r="F300" s="139" t="str">
        <f>IFERROR(__xludf.DUMMYFUNCTION("""COMPUTED_VALUE"""),"Special")</f>
        <v>Special</v>
      </c>
      <c r="G300" s="139"/>
      <c r="H300" s="139"/>
      <c r="I300" s="139">
        <f>IFERROR(__xludf.DUMMYFUNCTION("""COMPUTED_VALUE"""),187.0)</f>
        <v>187</v>
      </c>
      <c r="J300" s="139">
        <f>IFERROR(__xludf.DUMMYFUNCTION("""COMPUTED_VALUE"""),0.0)</f>
        <v>0</v>
      </c>
      <c r="K300" s="139">
        <f>IFERROR(__xludf.DUMMYFUNCTION("""COMPUTED_VALUE"""),0.0)</f>
        <v>0</v>
      </c>
      <c r="L300" s="139"/>
      <c r="M300" s="139"/>
      <c r="N300" s="139"/>
    </row>
    <row r="301">
      <c r="A301" s="139" t="str">
        <f>IFERROR(__xludf.DUMMYFUNCTION("""COMPUTED_VALUE"""),"e")</f>
        <v>e</v>
      </c>
      <c r="B301" s="139">
        <f>IFERROR(__xludf.DUMMYFUNCTION("""COMPUTED_VALUE"""),2.0250901E8)</f>
        <v>202509010</v>
      </c>
      <c r="C301" s="139" t="str">
        <f>IFERROR(__xludf.DUMMYFUNCTION("""COMPUTED_VALUE"""),"chara_rik_00001_Normal_00000")</f>
        <v>chara_rik_00001_Normal_00000</v>
      </c>
      <c r="D301" s="139" t="str">
        <f>IFERROR(__xludf.DUMMYFUNCTION("""COMPUTED_VALUE"""),"chara_rik_00001")</f>
        <v>chara_rik_00001</v>
      </c>
      <c r="E301" s="139">
        <f>IFERROR(__xludf.DUMMYFUNCTION("""COMPUTED_VALUE"""),0.0)</f>
        <v>0</v>
      </c>
      <c r="F301" s="139" t="str">
        <f>IFERROR(__xludf.DUMMYFUNCTION("""COMPUTED_VALUE"""),"Normal")</f>
        <v>Normal</v>
      </c>
      <c r="G301" s="139"/>
      <c r="H301" s="139"/>
      <c r="I301" s="139">
        <f>IFERROR(__xludf.DUMMYFUNCTION("""COMPUTED_VALUE"""),82.0)</f>
        <v>82</v>
      </c>
      <c r="J301" s="139">
        <f>IFERROR(__xludf.DUMMYFUNCTION("""COMPUTED_VALUE"""),47.0)</f>
        <v>47</v>
      </c>
      <c r="K301" s="139">
        <f>IFERROR(__xludf.DUMMYFUNCTION("""COMPUTED_VALUE"""),50.0)</f>
        <v>50</v>
      </c>
      <c r="L301" s="139"/>
      <c r="M301" s="139" t="str">
        <f>IFERROR(__xludf.DUMMYFUNCTION("""COMPUTED_VALUE"""),"表示場所なし")</f>
        <v>表示場所なし</v>
      </c>
      <c r="N301" s="139"/>
    </row>
    <row r="302">
      <c r="A302" s="139" t="str">
        <f>IFERROR(__xludf.DUMMYFUNCTION("""COMPUTED_VALUE"""),"e")</f>
        <v>e</v>
      </c>
      <c r="B302" s="139">
        <f>IFERROR(__xludf.DUMMYFUNCTION("""COMPUTED_VALUE"""),2.0250901E8)</f>
        <v>202509010</v>
      </c>
      <c r="C302" s="139" t="str">
        <f>IFERROR(__xludf.DUMMYFUNCTION("""COMPUTED_VALUE"""),"chara_rik_00001_Special_00001")</f>
        <v>chara_rik_00001_Special_00001</v>
      </c>
      <c r="D302" s="139" t="str">
        <f>IFERROR(__xludf.DUMMYFUNCTION("""COMPUTED_VALUE"""),"chara_rik_00001")</f>
        <v>chara_rik_00001</v>
      </c>
      <c r="E302" s="139">
        <f>IFERROR(__xludf.DUMMYFUNCTION("""COMPUTED_VALUE"""),1.0)</f>
        <v>1</v>
      </c>
      <c r="F302" s="139" t="str">
        <f>IFERROR(__xludf.DUMMYFUNCTION("""COMPUTED_VALUE"""),"Special")</f>
        <v>Special</v>
      </c>
      <c r="G302" s="139"/>
      <c r="H302" s="139"/>
      <c r="I302" s="139">
        <f>IFERROR(__xludf.DUMMYFUNCTION("""COMPUTED_VALUE"""),201.0)</f>
        <v>201</v>
      </c>
      <c r="J302" s="139">
        <f>IFERROR(__xludf.DUMMYFUNCTION("""COMPUTED_VALUE"""),0.0)</f>
        <v>0</v>
      </c>
      <c r="K302" s="139">
        <f>IFERROR(__xludf.DUMMYFUNCTION("""COMPUTED_VALUE"""),0.0)</f>
        <v>0</v>
      </c>
      <c r="L302" s="139"/>
      <c r="M302" s="139" t="str">
        <f>IFERROR(__xludf.DUMMYFUNCTION("""COMPUTED_VALUE"""),"敵単体に最大3回の連続攻撃(自身の攻撃ステータスの最大135%ダメージ)")</f>
        <v>敵単体に最大3回の連続攻撃(自身の攻撃ステータスの最大135%ダメージ)</v>
      </c>
      <c r="N302" s="139"/>
    </row>
    <row r="303">
      <c r="A303" s="139" t="str">
        <f>IFERROR(__xludf.DUMMYFUNCTION("""COMPUTED_VALUE"""),"e")</f>
        <v>e</v>
      </c>
      <c r="B303" s="139">
        <f>IFERROR(__xludf.DUMMYFUNCTION("""COMPUTED_VALUE"""),2.0250901E8)</f>
        <v>202509010</v>
      </c>
      <c r="C303" s="139" t="str">
        <f>IFERROR(__xludf.DUMMYFUNCTION("""COMPUTED_VALUE"""),"chara_rik_00001_Special_00002")</f>
        <v>chara_rik_00001_Special_00002</v>
      </c>
      <c r="D303" s="139" t="str">
        <f>IFERROR(__xludf.DUMMYFUNCTION("""COMPUTED_VALUE"""),"chara_rik_00001")</f>
        <v>chara_rik_00001</v>
      </c>
      <c r="E303" s="139">
        <f>IFERROR(__xludf.DUMMYFUNCTION("""COMPUTED_VALUE"""),2.0)</f>
        <v>2</v>
      </c>
      <c r="F303" s="139" t="str">
        <f>IFERROR(__xludf.DUMMYFUNCTION("""COMPUTED_VALUE"""),"Special")</f>
        <v>Special</v>
      </c>
      <c r="G303" s="139"/>
      <c r="H303" s="139"/>
      <c r="I303" s="139">
        <f>IFERROR(__xludf.DUMMYFUNCTION("""COMPUTED_VALUE"""),201.0)</f>
        <v>201</v>
      </c>
      <c r="J303" s="139">
        <f>IFERROR(__xludf.DUMMYFUNCTION("""COMPUTED_VALUE"""),0.0)</f>
        <v>0</v>
      </c>
      <c r="K303" s="139">
        <f>IFERROR(__xludf.DUMMYFUNCTION("""COMPUTED_VALUE"""),0.0)</f>
        <v>0</v>
      </c>
      <c r="L303" s="139"/>
      <c r="M303" s="139" t="str">
        <f>IFERROR(__xludf.DUMMYFUNCTION("""COMPUTED_VALUE"""),"敵単体に最大3回の連続攻撃(自身の攻撃ステータスの最大152%ダメージ)")</f>
        <v>敵単体に最大3回の連続攻撃(自身の攻撃ステータスの最大152%ダメージ)</v>
      </c>
      <c r="N303" s="139" t="str">
        <f>IFERROR(__xludf.DUMMYFUNCTION("""COMPUTED_VALUE"""),"ステータスUP + 必殺ワザ性能UP")</f>
        <v>ステータスUP + 必殺ワザ性能UP</v>
      </c>
    </row>
    <row r="304">
      <c r="A304" s="139" t="str">
        <f>IFERROR(__xludf.DUMMYFUNCTION("""COMPUTED_VALUE"""),"e")</f>
        <v>e</v>
      </c>
      <c r="B304" s="139">
        <f>IFERROR(__xludf.DUMMYFUNCTION("""COMPUTED_VALUE"""),2.0250901E8)</f>
        <v>202509010</v>
      </c>
      <c r="C304" s="139" t="str">
        <f>IFERROR(__xludf.DUMMYFUNCTION("""COMPUTED_VALUE"""),"chara_rik_00001_Special_00003")</f>
        <v>chara_rik_00001_Special_00003</v>
      </c>
      <c r="D304" s="139" t="str">
        <f>IFERROR(__xludf.DUMMYFUNCTION("""COMPUTED_VALUE"""),"chara_rik_00001")</f>
        <v>chara_rik_00001</v>
      </c>
      <c r="E304" s="139">
        <f>IFERROR(__xludf.DUMMYFUNCTION("""COMPUTED_VALUE"""),3.0)</f>
        <v>3</v>
      </c>
      <c r="F304" s="139" t="str">
        <f>IFERROR(__xludf.DUMMYFUNCTION("""COMPUTED_VALUE"""),"Special")</f>
        <v>Special</v>
      </c>
      <c r="G304" s="139"/>
      <c r="H304" s="139"/>
      <c r="I304" s="139">
        <f>IFERROR(__xludf.DUMMYFUNCTION("""COMPUTED_VALUE"""),201.0)</f>
        <v>201</v>
      </c>
      <c r="J304" s="139">
        <f>IFERROR(__xludf.DUMMYFUNCTION("""COMPUTED_VALUE"""),0.0)</f>
        <v>0</v>
      </c>
      <c r="K304" s="139">
        <f>IFERROR(__xludf.DUMMYFUNCTION("""COMPUTED_VALUE"""),0.0)</f>
        <v>0</v>
      </c>
      <c r="L304" s="139"/>
      <c r="M304" s="139" t="str">
        <f>IFERROR(__xludf.DUMMYFUNCTION("""COMPUTED_VALUE"""),"敵単体に最大3回の連続攻撃(自身の攻撃ステータスの最大163%ダメージ)")</f>
        <v>敵単体に最大3回の連続攻撃(自身の攻撃ステータスの最大163%ダメージ)</v>
      </c>
      <c r="N304" s="139" t="str">
        <f>IFERROR(__xludf.DUMMYFUNCTION("""COMPUTED_VALUE"""),"ステータスUP + 必殺ワザ性能UP")</f>
        <v>ステータスUP + 必殺ワザ性能UP</v>
      </c>
    </row>
    <row r="305">
      <c r="A305" s="139" t="str">
        <f>IFERROR(__xludf.DUMMYFUNCTION("""COMPUTED_VALUE"""),"e")</f>
        <v>e</v>
      </c>
      <c r="B305" s="139">
        <f>IFERROR(__xludf.DUMMYFUNCTION("""COMPUTED_VALUE"""),2.0250901E8)</f>
        <v>202509010</v>
      </c>
      <c r="C305" s="139" t="str">
        <f>IFERROR(__xludf.DUMMYFUNCTION("""COMPUTED_VALUE"""),"chara_rik_00001_Special_00004")</f>
        <v>chara_rik_00001_Special_00004</v>
      </c>
      <c r="D305" s="139" t="str">
        <f>IFERROR(__xludf.DUMMYFUNCTION("""COMPUTED_VALUE"""),"chara_rik_00001")</f>
        <v>chara_rik_00001</v>
      </c>
      <c r="E305" s="139">
        <f>IFERROR(__xludf.DUMMYFUNCTION("""COMPUTED_VALUE"""),4.0)</f>
        <v>4</v>
      </c>
      <c r="F305" s="139" t="str">
        <f>IFERROR(__xludf.DUMMYFUNCTION("""COMPUTED_VALUE"""),"Special")</f>
        <v>Special</v>
      </c>
      <c r="G305" s="139"/>
      <c r="H305" s="139"/>
      <c r="I305" s="139">
        <f>IFERROR(__xludf.DUMMYFUNCTION("""COMPUTED_VALUE"""),201.0)</f>
        <v>201</v>
      </c>
      <c r="J305" s="139">
        <f>IFERROR(__xludf.DUMMYFUNCTION("""COMPUTED_VALUE"""),0.0)</f>
        <v>0</v>
      </c>
      <c r="K305" s="139">
        <f>IFERROR(__xludf.DUMMYFUNCTION("""COMPUTED_VALUE"""),0.0)</f>
        <v>0</v>
      </c>
      <c r="L305" s="139"/>
      <c r="M305" s="139" t="str">
        <f>IFERROR(__xludf.DUMMYFUNCTION("""COMPUTED_VALUE"""),"敵単体に最大3回の連続攻撃(自身の攻撃ステータスの最大172%ダメージ)")</f>
        <v>敵単体に最大3回の連続攻撃(自身の攻撃ステータスの最大172%ダメージ)</v>
      </c>
      <c r="N305" s="139" t="str">
        <f>IFERROR(__xludf.DUMMYFUNCTION("""COMPUTED_VALUE"""),"ステータスUP + 必殺ワザ性能UP")</f>
        <v>ステータスUP + 必殺ワザ性能UP</v>
      </c>
    </row>
    <row r="306">
      <c r="A306" s="139" t="str">
        <f>IFERROR(__xludf.DUMMYFUNCTION("""COMPUTED_VALUE"""),"e")</f>
        <v>e</v>
      </c>
      <c r="B306" s="139">
        <f>IFERROR(__xludf.DUMMYFUNCTION("""COMPUTED_VALUE"""),2.0250901E8)</f>
        <v>202509010</v>
      </c>
      <c r="C306" s="139" t="str">
        <f>IFERROR(__xludf.DUMMYFUNCTION("""COMPUTED_VALUE"""),"chara_rik_00001_Special_00005")</f>
        <v>chara_rik_00001_Special_00005</v>
      </c>
      <c r="D306" s="139" t="str">
        <f>IFERROR(__xludf.DUMMYFUNCTION("""COMPUTED_VALUE"""),"chara_rik_00001")</f>
        <v>chara_rik_00001</v>
      </c>
      <c r="E306" s="139">
        <f>IFERROR(__xludf.DUMMYFUNCTION("""COMPUTED_VALUE"""),5.0)</f>
        <v>5</v>
      </c>
      <c r="F306" s="139" t="str">
        <f>IFERROR(__xludf.DUMMYFUNCTION("""COMPUTED_VALUE"""),"Special")</f>
        <v>Special</v>
      </c>
      <c r="G306" s="139"/>
      <c r="H306" s="139"/>
      <c r="I306" s="139">
        <f>IFERROR(__xludf.DUMMYFUNCTION("""COMPUTED_VALUE"""),201.0)</f>
        <v>201</v>
      </c>
      <c r="J306" s="139">
        <f>IFERROR(__xludf.DUMMYFUNCTION("""COMPUTED_VALUE"""),0.0)</f>
        <v>0</v>
      </c>
      <c r="K306" s="139">
        <f>IFERROR(__xludf.DUMMYFUNCTION("""COMPUTED_VALUE"""),0.0)</f>
        <v>0</v>
      </c>
      <c r="L306" s="139"/>
      <c r="M306" s="139" t="str">
        <f>IFERROR(__xludf.DUMMYFUNCTION("""COMPUTED_VALUE"""),"敵単体に最大3回の連続攻撃(自身の攻撃ステータスの最大178%ダメージ)")</f>
        <v>敵単体に最大3回の連続攻撃(自身の攻撃ステータスの最大178%ダメージ)</v>
      </c>
      <c r="N306" s="139" t="str">
        <f>IFERROR(__xludf.DUMMYFUNCTION("""COMPUTED_VALUE"""),"ステータスUP + 必殺ワザ性能UP")</f>
        <v>ステータスUP + 必殺ワザ性能UP</v>
      </c>
    </row>
    <row r="307">
      <c r="A307" s="139"/>
      <c r="B307" s="139"/>
      <c r="C307" s="139" t="str">
        <f>IFERROR(__xludf.DUMMYFUNCTION("""COMPUTED_VALUE"""),"chara_rik_00001_Special_00006")</f>
        <v>chara_rik_00001_Special_00006</v>
      </c>
      <c r="D307" s="139" t="str">
        <f>IFERROR(__xludf.DUMMYFUNCTION("""COMPUTED_VALUE"""),"chara_rik_00001")</f>
        <v>chara_rik_00001</v>
      </c>
      <c r="E307" s="139">
        <f>IFERROR(__xludf.DUMMYFUNCTION("""COMPUTED_VALUE"""),6.0)</f>
        <v>6</v>
      </c>
      <c r="F307" s="139" t="str">
        <f>IFERROR(__xludf.DUMMYFUNCTION("""COMPUTED_VALUE"""),"Special")</f>
        <v>Special</v>
      </c>
      <c r="G307" s="139"/>
      <c r="H307" s="139"/>
      <c r="I307" s="139">
        <f>IFERROR(__xludf.DUMMYFUNCTION("""COMPUTED_VALUE"""),201.0)</f>
        <v>201</v>
      </c>
      <c r="J307" s="139">
        <f>IFERROR(__xludf.DUMMYFUNCTION("""COMPUTED_VALUE"""),0.0)</f>
        <v>0</v>
      </c>
      <c r="K307" s="139">
        <f>IFERROR(__xludf.DUMMYFUNCTION("""COMPUTED_VALUE"""),0.0)</f>
        <v>0</v>
      </c>
      <c r="L307" s="139"/>
      <c r="M307" s="139"/>
      <c r="N307" s="139"/>
    </row>
    <row r="308">
      <c r="A308" s="139"/>
      <c r="B308" s="139"/>
      <c r="C308" s="139" t="str">
        <f>IFERROR(__xludf.DUMMYFUNCTION("""COMPUTED_VALUE"""),"chara_rik_00001_Special_00007")</f>
        <v>chara_rik_00001_Special_00007</v>
      </c>
      <c r="D308" s="139" t="str">
        <f>IFERROR(__xludf.DUMMYFUNCTION("""COMPUTED_VALUE"""),"chara_rik_00001")</f>
        <v>chara_rik_00001</v>
      </c>
      <c r="E308" s="139">
        <f>IFERROR(__xludf.DUMMYFUNCTION("""COMPUTED_VALUE"""),7.0)</f>
        <v>7</v>
      </c>
      <c r="F308" s="139" t="str">
        <f>IFERROR(__xludf.DUMMYFUNCTION("""COMPUTED_VALUE"""),"Special")</f>
        <v>Special</v>
      </c>
      <c r="G308" s="139"/>
      <c r="H308" s="139"/>
      <c r="I308" s="139">
        <f>IFERROR(__xludf.DUMMYFUNCTION("""COMPUTED_VALUE"""),201.0)</f>
        <v>201</v>
      </c>
      <c r="J308" s="139">
        <f>IFERROR(__xludf.DUMMYFUNCTION("""COMPUTED_VALUE"""),0.0)</f>
        <v>0</v>
      </c>
      <c r="K308" s="139">
        <f>IFERROR(__xludf.DUMMYFUNCTION("""COMPUTED_VALUE"""),0.0)</f>
        <v>0</v>
      </c>
      <c r="L308" s="139"/>
      <c r="M308" s="139"/>
      <c r="N308" s="139"/>
    </row>
    <row r="309">
      <c r="A309" s="139"/>
      <c r="B309" s="139"/>
      <c r="C309" s="139" t="str">
        <f>IFERROR(__xludf.DUMMYFUNCTION("""COMPUTED_VALUE"""),"chara_rik_00001_Special_00008")</f>
        <v>chara_rik_00001_Special_00008</v>
      </c>
      <c r="D309" s="139" t="str">
        <f>IFERROR(__xludf.DUMMYFUNCTION("""COMPUTED_VALUE"""),"chara_rik_00001")</f>
        <v>chara_rik_00001</v>
      </c>
      <c r="E309" s="139">
        <f>IFERROR(__xludf.DUMMYFUNCTION("""COMPUTED_VALUE"""),8.0)</f>
        <v>8</v>
      </c>
      <c r="F309" s="139" t="str">
        <f>IFERROR(__xludf.DUMMYFUNCTION("""COMPUTED_VALUE"""),"Special")</f>
        <v>Special</v>
      </c>
      <c r="G309" s="139"/>
      <c r="H309" s="139"/>
      <c r="I309" s="139">
        <f>IFERROR(__xludf.DUMMYFUNCTION("""COMPUTED_VALUE"""),201.0)</f>
        <v>201</v>
      </c>
      <c r="J309" s="139">
        <f>IFERROR(__xludf.DUMMYFUNCTION("""COMPUTED_VALUE"""),0.0)</f>
        <v>0</v>
      </c>
      <c r="K309" s="139">
        <f>IFERROR(__xludf.DUMMYFUNCTION("""COMPUTED_VALUE"""),0.0)</f>
        <v>0</v>
      </c>
      <c r="L309" s="139"/>
      <c r="M309" s="139"/>
      <c r="N309" s="139"/>
    </row>
    <row r="310">
      <c r="A310" s="139"/>
      <c r="B310" s="139"/>
      <c r="C310" s="139" t="str">
        <f>IFERROR(__xludf.DUMMYFUNCTION("""COMPUTED_VALUE"""),"chara_rik_00001_Special_00009")</f>
        <v>chara_rik_00001_Special_00009</v>
      </c>
      <c r="D310" s="139" t="str">
        <f>IFERROR(__xludf.DUMMYFUNCTION("""COMPUTED_VALUE"""),"chara_rik_00001")</f>
        <v>chara_rik_00001</v>
      </c>
      <c r="E310" s="139">
        <f>IFERROR(__xludf.DUMMYFUNCTION("""COMPUTED_VALUE"""),9.0)</f>
        <v>9</v>
      </c>
      <c r="F310" s="139" t="str">
        <f>IFERROR(__xludf.DUMMYFUNCTION("""COMPUTED_VALUE"""),"Special")</f>
        <v>Special</v>
      </c>
      <c r="G310" s="139"/>
      <c r="H310" s="139"/>
      <c r="I310" s="139">
        <f>IFERROR(__xludf.DUMMYFUNCTION("""COMPUTED_VALUE"""),201.0)</f>
        <v>201</v>
      </c>
      <c r="J310" s="139">
        <f>IFERROR(__xludf.DUMMYFUNCTION("""COMPUTED_VALUE"""),0.0)</f>
        <v>0</v>
      </c>
      <c r="K310" s="139">
        <f>IFERROR(__xludf.DUMMYFUNCTION("""COMPUTED_VALUE"""),0.0)</f>
        <v>0</v>
      </c>
      <c r="L310" s="139"/>
      <c r="M310" s="139"/>
      <c r="N310" s="139"/>
    </row>
    <row r="311">
      <c r="A311" s="139"/>
      <c r="B311" s="139"/>
      <c r="C311" s="139" t="str">
        <f>IFERROR(__xludf.DUMMYFUNCTION("""COMPUTED_VALUE"""),"chara_rik_00001_Special_00010")</f>
        <v>chara_rik_00001_Special_00010</v>
      </c>
      <c r="D311" s="139" t="str">
        <f>IFERROR(__xludf.DUMMYFUNCTION("""COMPUTED_VALUE"""),"chara_rik_00001")</f>
        <v>chara_rik_00001</v>
      </c>
      <c r="E311" s="139">
        <f>IFERROR(__xludf.DUMMYFUNCTION("""COMPUTED_VALUE"""),10.0)</f>
        <v>10</v>
      </c>
      <c r="F311" s="139" t="str">
        <f>IFERROR(__xludf.DUMMYFUNCTION("""COMPUTED_VALUE"""),"Special")</f>
        <v>Special</v>
      </c>
      <c r="G311" s="139"/>
      <c r="H311" s="139"/>
      <c r="I311" s="139">
        <f>IFERROR(__xludf.DUMMYFUNCTION("""COMPUTED_VALUE"""),201.0)</f>
        <v>201</v>
      </c>
      <c r="J311" s="139">
        <f>IFERROR(__xludf.DUMMYFUNCTION("""COMPUTED_VALUE"""),0.0)</f>
        <v>0</v>
      </c>
      <c r="K311" s="139">
        <f>IFERROR(__xludf.DUMMYFUNCTION("""COMPUTED_VALUE"""),0.0)</f>
        <v>0</v>
      </c>
      <c r="L311" s="139"/>
      <c r="M311" s="139"/>
      <c r="N311" s="139"/>
    </row>
    <row r="312">
      <c r="A312" s="139" t="str">
        <f>IFERROR(__xludf.DUMMYFUNCTION("""COMPUTED_VALUE"""),"e")</f>
        <v>e</v>
      </c>
      <c r="B312" s="139">
        <f>IFERROR(__xludf.DUMMYFUNCTION("""COMPUTED_VALUE"""),2.0250901E8)</f>
        <v>202509010</v>
      </c>
      <c r="C312" s="139" t="str">
        <f>IFERROR(__xludf.DUMMYFUNCTION("""COMPUTED_VALUE"""),"chara_aka_00101_Normal_00000")</f>
        <v>chara_aka_00101_Normal_00000</v>
      </c>
      <c r="D312" s="139" t="str">
        <f>IFERROR(__xludf.DUMMYFUNCTION("""COMPUTED_VALUE"""),"chara_aka_00101")</f>
        <v>chara_aka_00101</v>
      </c>
      <c r="E312" s="139">
        <f>IFERROR(__xludf.DUMMYFUNCTION("""COMPUTED_VALUE"""),0.0)</f>
        <v>0</v>
      </c>
      <c r="F312" s="139" t="str">
        <f>IFERROR(__xludf.DUMMYFUNCTION("""COMPUTED_VALUE"""),"Normal")</f>
        <v>Normal</v>
      </c>
      <c r="G312" s="139"/>
      <c r="H312" s="139"/>
      <c r="I312" s="139">
        <f>IFERROR(__xludf.DUMMYFUNCTION("""COMPUTED_VALUE"""),75.0)</f>
        <v>75</v>
      </c>
      <c r="J312" s="139">
        <f>IFERROR(__xludf.DUMMYFUNCTION("""COMPUTED_VALUE"""),27.0)</f>
        <v>27</v>
      </c>
      <c r="K312" s="139">
        <f>IFERROR(__xludf.DUMMYFUNCTION("""COMPUTED_VALUE"""),50.0)</f>
        <v>50</v>
      </c>
      <c r="L312" s="139"/>
      <c r="M312" s="139" t="str">
        <f>IFERROR(__xludf.DUMMYFUNCTION("""COMPUTED_VALUE"""),"表示場所なし")</f>
        <v>表示場所なし</v>
      </c>
      <c r="N312" s="139"/>
    </row>
    <row r="313">
      <c r="A313" s="139" t="str">
        <f>IFERROR(__xludf.DUMMYFUNCTION("""COMPUTED_VALUE"""),"e")</f>
        <v>e</v>
      </c>
      <c r="B313" s="139">
        <f>IFERROR(__xludf.DUMMYFUNCTION("""COMPUTED_VALUE"""),2.0250901E8)</f>
        <v>202509010</v>
      </c>
      <c r="C313" s="139" t="str">
        <f>IFERROR(__xludf.DUMMYFUNCTION("""COMPUTED_VALUE"""),"chara_aka_00101_Special_00001")</f>
        <v>chara_aka_00101_Special_00001</v>
      </c>
      <c r="D313" s="139" t="str">
        <f>IFERROR(__xludf.DUMMYFUNCTION("""COMPUTED_VALUE"""),"chara_aka_00101")</f>
        <v>chara_aka_00101</v>
      </c>
      <c r="E313" s="139">
        <f>IFERROR(__xludf.DUMMYFUNCTION("""COMPUTED_VALUE"""),1.0)</f>
        <v>1</v>
      </c>
      <c r="F313" s="139" t="str">
        <f>IFERROR(__xludf.DUMMYFUNCTION("""COMPUTED_VALUE"""),"Special")</f>
        <v>Special</v>
      </c>
      <c r="G313" s="139"/>
      <c r="H313" s="139"/>
      <c r="I313" s="139">
        <f>IFERROR(__xludf.DUMMYFUNCTION("""COMPUTED_VALUE"""),225.0)</f>
        <v>225</v>
      </c>
      <c r="J313" s="139">
        <f>IFERROR(__xludf.DUMMYFUNCTION("""COMPUTED_VALUE"""),0.0)</f>
        <v>0</v>
      </c>
      <c r="K313" s="139">
        <f>IFERROR(__xludf.DUMMYFUNCTION("""COMPUTED_VALUE"""),0.0)</f>
        <v>0</v>
      </c>
      <c r="L313" s="139"/>
      <c r="M313" s="139" t="str">
        <f>IFERROR(__xludf.DUMMYFUNCTION("""COMPUTED_VALUE"""),"敵単体に最大3回の連続攻撃(自身の攻撃ステータスの最大135%ダメージ) + 1回目の攻撃がヒットした場合、敵を3秒間、最大1900ダメージの火傷状態にする")</f>
        <v>敵単体に最大3回の連続攻撃(自身の攻撃ステータスの最大135%ダメージ) + 1回目の攻撃がヒットした場合、敵を3秒間、最大1900ダメージの火傷状態にする</v>
      </c>
      <c r="N313" s="139"/>
    </row>
    <row r="314">
      <c r="A314" s="139" t="str">
        <f>IFERROR(__xludf.DUMMYFUNCTION("""COMPUTED_VALUE"""),"e")</f>
        <v>e</v>
      </c>
      <c r="B314" s="139">
        <f>IFERROR(__xludf.DUMMYFUNCTION("""COMPUTED_VALUE"""),2.0250901E8)</f>
        <v>202509010</v>
      </c>
      <c r="C314" s="139" t="str">
        <f>IFERROR(__xludf.DUMMYFUNCTION("""COMPUTED_VALUE"""),"chara_aka_00101_Special_00002")</f>
        <v>chara_aka_00101_Special_00002</v>
      </c>
      <c r="D314" s="139" t="str">
        <f>IFERROR(__xludf.DUMMYFUNCTION("""COMPUTED_VALUE"""),"chara_aka_00101")</f>
        <v>chara_aka_00101</v>
      </c>
      <c r="E314" s="139">
        <f>IFERROR(__xludf.DUMMYFUNCTION("""COMPUTED_VALUE"""),2.0)</f>
        <v>2</v>
      </c>
      <c r="F314" s="139" t="str">
        <f>IFERROR(__xludf.DUMMYFUNCTION("""COMPUTED_VALUE"""),"Special")</f>
        <v>Special</v>
      </c>
      <c r="G314" s="139"/>
      <c r="H314" s="139"/>
      <c r="I314" s="139">
        <f>IFERROR(__xludf.DUMMYFUNCTION("""COMPUTED_VALUE"""),225.0)</f>
        <v>225</v>
      </c>
      <c r="J314" s="139">
        <f>IFERROR(__xludf.DUMMYFUNCTION("""COMPUTED_VALUE"""),0.0)</f>
        <v>0</v>
      </c>
      <c r="K314" s="139">
        <f>IFERROR(__xludf.DUMMYFUNCTION("""COMPUTED_VALUE"""),0.0)</f>
        <v>0</v>
      </c>
      <c r="L314" s="139"/>
      <c r="M314" s="139" t="str">
        <f>IFERROR(__xludf.DUMMYFUNCTION("""COMPUTED_VALUE"""),"敵単体に最大3回の連続攻撃(自身の攻撃ステータスの最大152%ダメージ) + 1回目の攻撃がヒットした場合、敵を3秒間、最大3500ダメージの火傷状態にする")</f>
        <v>敵単体に最大3回の連続攻撃(自身の攻撃ステータスの最大152%ダメージ) + 1回目の攻撃がヒットした場合、敵を3秒間、最大3500ダメージの火傷状態にする</v>
      </c>
      <c r="N314" s="139" t="str">
        <f>IFERROR(__xludf.DUMMYFUNCTION("""COMPUTED_VALUE"""),"ステータスUP + 必殺ワザ性能UP")</f>
        <v>ステータスUP + 必殺ワザ性能UP</v>
      </c>
    </row>
    <row r="315">
      <c r="A315" s="139" t="str">
        <f>IFERROR(__xludf.DUMMYFUNCTION("""COMPUTED_VALUE"""),"e")</f>
        <v>e</v>
      </c>
      <c r="B315" s="139">
        <f>IFERROR(__xludf.DUMMYFUNCTION("""COMPUTED_VALUE"""),2.0250901E8)</f>
        <v>202509010</v>
      </c>
      <c r="C315" s="139" t="str">
        <f>IFERROR(__xludf.DUMMYFUNCTION("""COMPUTED_VALUE"""),"chara_aka_00101_Special_00003")</f>
        <v>chara_aka_00101_Special_00003</v>
      </c>
      <c r="D315" s="139" t="str">
        <f>IFERROR(__xludf.DUMMYFUNCTION("""COMPUTED_VALUE"""),"chara_aka_00101")</f>
        <v>chara_aka_00101</v>
      </c>
      <c r="E315" s="139">
        <f>IFERROR(__xludf.DUMMYFUNCTION("""COMPUTED_VALUE"""),3.0)</f>
        <v>3</v>
      </c>
      <c r="F315" s="139" t="str">
        <f>IFERROR(__xludf.DUMMYFUNCTION("""COMPUTED_VALUE"""),"Special")</f>
        <v>Special</v>
      </c>
      <c r="G315" s="139"/>
      <c r="H315" s="139"/>
      <c r="I315" s="139">
        <f>IFERROR(__xludf.DUMMYFUNCTION("""COMPUTED_VALUE"""),225.0)</f>
        <v>225</v>
      </c>
      <c r="J315" s="139">
        <f>IFERROR(__xludf.DUMMYFUNCTION("""COMPUTED_VALUE"""),0.0)</f>
        <v>0</v>
      </c>
      <c r="K315" s="139">
        <f>IFERROR(__xludf.DUMMYFUNCTION("""COMPUTED_VALUE"""),0.0)</f>
        <v>0</v>
      </c>
      <c r="L315" s="139"/>
      <c r="M315" s="139" t="str">
        <f>IFERROR(__xludf.DUMMYFUNCTION("""COMPUTED_VALUE"""),"敵単体に最大3回の連続攻撃(自身の攻撃ステータスの最大163%ダメージ) + 1回目の攻撃がヒットした場合、敵を3秒間、最大5000ダメージの火傷状態にする")</f>
        <v>敵単体に最大3回の連続攻撃(自身の攻撃ステータスの最大163%ダメージ) + 1回目の攻撃がヒットした場合、敵を3秒間、最大5000ダメージの火傷状態にする</v>
      </c>
      <c r="N315" s="139" t="str">
        <f>IFERROR(__xludf.DUMMYFUNCTION("""COMPUTED_VALUE"""),"ステータスUP + 必殺ワザ性能UP")</f>
        <v>ステータスUP + 必殺ワザ性能UP</v>
      </c>
    </row>
    <row r="316">
      <c r="A316" s="139" t="str">
        <f>IFERROR(__xludf.DUMMYFUNCTION("""COMPUTED_VALUE"""),"e")</f>
        <v>e</v>
      </c>
      <c r="B316" s="139">
        <f>IFERROR(__xludf.DUMMYFUNCTION("""COMPUTED_VALUE"""),2.0250901E8)</f>
        <v>202509010</v>
      </c>
      <c r="C316" s="139" t="str">
        <f>IFERROR(__xludf.DUMMYFUNCTION("""COMPUTED_VALUE"""),"chara_aka_00101_Special_00004")</f>
        <v>chara_aka_00101_Special_00004</v>
      </c>
      <c r="D316" s="139" t="str">
        <f>IFERROR(__xludf.DUMMYFUNCTION("""COMPUTED_VALUE"""),"chara_aka_00101")</f>
        <v>chara_aka_00101</v>
      </c>
      <c r="E316" s="139">
        <f>IFERROR(__xludf.DUMMYFUNCTION("""COMPUTED_VALUE"""),4.0)</f>
        <v>4</v>
      </c>
      <c r="F316" s="139" t="str">
        <f>IFERROR(__xludf.DUMMYFUNCTION("""COMPUTED_VALUE"""),"Special")</f>
        <v>Special</v>
      </c>
      <c r="G316" s="139"/>
      <c r="H316" s="139"/>
      <c r="I316" s="139">
        <f>IFERROR(__xludf.DUMMYFUNCTION("""COMPUTED_VALUE"""),225.0)</f>
        <v>225</v>
      </c>
      <c r="J316" s="139">
        <f>IFERROR(__xludf.DUMMYFUNCTION("""COMPUTED_VALUE"""),0.0)</f>
        <v>0</v>
      </c>
      <c r="K316" s="139">
        <f>IFERROR(__xludf.DUMMYFUNCTION("""COMPUTED_VALUE"""),0.0)</f>
        <v>0</v>
      </c>
      <c r="L316" s="139"/>
      <c r="M316" s="139" t="str">
        <f>IFERROR(__xludf.DUMMYFUNCTION("""COMPUTED_VALUE"""),"敵単体に最大3回の連続攻撃(自身の攻撃ステータスの最大172%ダメージ) + 1回目の攻撃がヒットした場合、敵を3秒間、最大5600ダメージの火傷状態にする")</f>
        <v>敵単体に最大3回の連続攻撃(自身の攻撃ステータスの最大172%ダメージ) + 1回目の攻撃がヒットした場合、敵を3秒間、最大5600ダメージの火傷状態にする</v>
      </c>
      <c r="N316" s="139" t="str">
        <f>IFERROR(__xludf.DUMMYFUNCTION("""COMPUTED_VALUE"""),"ステータスUP + 必殺ワザ性能UP")</f>
        <v>ステータスUP + 必殺ワザ性能UP</v>
      </c>
    </row>
    <row r="317">
      <c r="A317" s="139" t="str">
        <f>IFERROR(__xludf.DUMMYFUNCTION("""COMPUTED_VALUE"""),"e")</f>
        <v>e</v>
      </c>
      <c r="B317" s="139">
        <f>IFERROR(__xludf.DUMMYFUNCTION("""COMPUTED_VALUE"""),2.0250901E8)</f>
        <v>202509010</v>
      </c>
      <c r="C317" s="139" t="str">
        <f>IFERROR(__xludf.DUMMYFUNCTION("""COMPUTED_VALUE"""),"chara_aka_00101_Special_00005")</f>
        <v>chara_aka_00101_Special_00005</v>
      </c>
      <c r="D317" s="139" t="str">
        <f>IFERROR(__xludf.DUMMYFUNCTION("""COMPUTED_VALUE"""),"chara_aka_00101")</f>
        <v>chara_aka_00101</v>
      </c>
      <c r="E317" s="139">
        <f>IFERROR(__xludf.DUMMYFUNCTION("""COMPUTED_VALUE"""),5.0)</f>
        <v>5</v>
      </c>
      <c r="F317" s="139" t="str">
        <f>IFERROR(__xludf.DUMMYFUNCTION("""COMPUTED_VALUE"""),"Special")</f>
        <v>Special</v>
      </c>
      <c r="G317" s="139"/>
      <c r="H317" s="139"/>
      <c r="I317" s="139">
        <f>IFERROR(__xludf.DUMMYFUNCTION("""COMPUTED_VALUE"""),225.0)</f>
        <v>225</v>
      </c>
      <c r="J317" s="139">
        <f>IFERROR(__xludf.DUMMYFUNCTION("""COMPUTED_VALUE"""),0.0)</f>
        <v>0</v>
      </c>
      <c r="K317" s="139">
        <f>IFERROR(__xludf.DUMMYFUNCTION("""COMPUTED_VALUE"""),0.0)</f>
        <v>0</v>
      </c>
      <c r="L317" s="139"/>
      <c r="M317" s="139" t="str">
        <f>IFERROR(__xludf.DUMMYFUNCTION("""COMPUTED_VALUE"""),"敵単体に最大3回の連続攻撃(自身の攻撃ステータスの最大178%ダメージ) + 1回目の攻撃がヒットした場合、敵を3秒間、最大6500ダメージの火傷状態にする")</f>
        <v>敵単体に最大3回の連続攻撃(自身の攻撃ステータスの最大178%ダメージ) + 1回目の攻撃がヒットした場合、敵を3秒間、最大6500ダメージの火傷状態にする</v>
      </c>
      <c r="N317" s="139" t="str">
        <f>IFERROR(__xludf.DUMMYFUNCTION("""COMPUTED_VALUE"""),"ステータスUP + 必殺ワザ性能UP")</f>
        <v>ステータスUP + 必殺ワザ性能UP</v>
      </c>
    </row>
    <row r="318">
      <c r="A318" s="139"/>
      <c r="B318" s="139"/>
      <c r="C318" s="139" t="str">
        <f>IFERROR(__xludf.DUMMYFUNCTION("""COMPUTED_VALUE"""),"chara_aka_00101_Special_00006")</f>
        <v>chara_aka_00101_Special_00006</v>
      </c>
      <c r="D318" s="139" t="str">
        <f>IFERROR(__xludf.DUMMYFUNCTION("""COMPUTED_VALUE"""),"chara_aka_00101")</f>
        <v>chara_aka_00101</v>
      </c>
      <c r="E318" s="139">
        <f>IFERROR(__xludf.DUMMYFUNCTION("""COMPUTED_VALUE"""),6.0)</f>
        <v>6</v>
      </c>
      <c r="F318" s="139" t="str">
        <f>IFERROR(__xludf.DUMMYFUNCTION("""COMPUTED_VALUE"""),"Special")</f>
        <v>Special</v>
      </c>
      <c r="G318" s="139"/>
      <c r="H318" s="139"/>
      <c r="I318" s="139">
        <f>IFERROR(__xludf.DUMMYFUNCTION("""COMPUTED_VALUE"""),225.0)</f>
        <v>225</v>
      </c>
      <c r="J318" s="139">
        <f>IFERROR(__xludf.DUMMYFUNCTION("""COMPUTED_VALUE"""),0.0)</f>
        <v>0</v>
      </c>
      <c r="K318" s="139">
        <f>IFERROR(__xludf.DUMMYFUNCTION("""COMPUTED_VALUE"""),0.0)</f>
        <v>0</v>
      </c>
      <c r="L318" s="139"/>
      <c r="M318" s="139"/>
      <c r="N318" s="139"/>
    </row>
    <row r="319">
      <c r="A319" s="139"/>
      <c r="B319" s="139"/>
      <c r="C319" s="139" t="str">
        <f>IFERROR(__xludf.DUMMYFUNCTION("""COMPUTED_VALUE"""),"chara_aka_00101_Special_00007")</f>
        <v>chara_aka_00101_Special_00007</v>
      </c>
      <c r="D319" s="139" t="str">
        <f>IFERROR(__xludf.DUMMYFUNCTION("""COMPUTED_VALUE"""),"chara_aka_00101")</f>
        <v>chara_aka_00101</v>
      </c>
      <c r="E319" s="139">
        <f>IFERROR(__xludf.DUMMYFUNCTION("""COMPUTED_VALUE"""),7.0)</f>
        <v>7</v>
      </c>
      <c r="F319" s="139" t="str">
        <f>IFERROR(__xludf.DUMMYFUNCTION("""COMPUTED_VALUE"""),"Special")</f>
        <v>Special</v>
      </c>
      <c r="G319" s="139"/>
      <c r="H319" s="139"/>
      <c r="I319" s="139">
        <f>IFERROR(__xludf.DUMMYFUNCTION("""COMPUTED_VALUE"""),225.0)</f>
        <v>225</v>
      </c>
      <c r="J319" s="139">
        <f>IFERROR(__xludf.DUMMYFUNCTION("""COMPUTED_VALUE"""),0.0)</f>
        <v>0</v>
      </c>
      <c r="K319" s="139">
        <f>IFERROR(__xludf.DUMMYFUNCTION("""COMPUTED_VALUE"""),0.0)</f>
        <v>0</v>
      </c>
      <c r="L319" s="139"/>
      <c r="M319" s="139"/>
      <c r="N319" s="139"/>
    </row>
    <row r="320">
      <c r="A320" s="139"/>
      <c r="B320" s="139"/>
      <c r="C320" s="139" t="str">
        <f>IFERROR(__xludf.DUMMYFUNCTION("""COMPUTED_VALUE"""),"chara_aka_00101_Special_00008")</f>
        <v>chara_aka_00101_Special_00008</v>
      </c>
      <c r="D320" s="139" t="str">
        <f>IFERROR(__xludf.DUMMYFUNCTION("""COMPUTED_VALUE"""),"chara_aka_00101")</f>
        <v>chara_aka_00101</v>
      </c>
      <c r="E320" s="139">
        <f>IFERROR(__xludf.DUMMYFUNCTION("""COMPUTED_VALUE"""),8.0)</f>
        <v>8</v>
      </c>
      <c r="F320" s="139" t="str">
        <f>IFERROR(__xludf.DUMMYFUNCTION("""COMPUTED_VALUE"""),"Special")</f>
        <v>Special</v>
      </c>
      <c r="G320" s="139"/>
      <c r="H320" s="139"/>
      <c r="I320" s="139">
        <f>IFERROR(__xludf.DUMMYFUNCTION("""COMPUTED_VALUE"""),225.0)</f>
        <v>225</v>
      </c>
      <c r="J320" s="139">
        <f>IFERROR(__xludf.DUMMYFUNCTION("""COMPUTED_VALUE"""),0.0)</f>
        <v>0</v>
      </c>
      <c r="K320" s="139">
        <f>IFERROR(__xludf.DUMMYFUNCTION("""COMPUTED_VALUE"""),0.0)</f>
        <v>0</v>
      </c>
      <c r="L320" s="139"/>
      <c r="M320" s="139"/>
      <c r="N320" s="139"/>
    </row>
    <row r="321">
      <c r="A321" s="139"/>
      <c r="B321" s="139"/>
      <c r="C321" s="139" t="str">
        <f>IFERROR(__xludf.DUMMYFUNCTION("""COMPUTED_VALUE"""),"chara_aka_00101_Special_00009")</f>
        <v>chara_aka_00101_Special_00009</v>
      </c>
      <c r="D321" s="139" t="str">
        <f>IFERROR(__xludf.DUMMYFUNCTION("""COMPUTED_VALUE"""),"chara_aka_00101")</f>
        <v>chara_aka_00101</v>
      </c>
      <c r="E321" s="139">
        <f>IFERROR(__xludf.DUMMYFUNCTION("""COMPUTED_VALUE"""),9.0)</f>
        <v>9</v>
      </c>
      <c r="F321" s="139" t="str">
        <f>IFERROR(__xludf.DUMMYFUNCTION("""COMPUTED_VALUE"""),"Special")</f>
        <v>Special</v>
      </c>
      <c r="G321" s="139"/>
      <c r="H321" s="139"/>
      <c r="I321" s="139">
        <f>IFERROR(__xludf.DUMMYFUNCTION("""COMPUTED_VALUE"""),225.0)</f>
        <v>225</v>
      </c>
      <c r="J321" s="139">
        <f>IFERROR(__xludf.DUMMYFUNCTION("""COMPUTED_VALUE"""),0.0)</f>
        <v>0</v>
      </c>
      <c r="K321" s="139">
        <f>IFERROR(__xludf.DUMMYFUNCTION("""COMPUTED_VALUE"""),0.0)</f>
        <v>0</v>
      </c>
      <c r="L321" s="139"/>
      <c r="M321" s="139"/>
      <c r="N321" s="139"/>
    </row>
    <row r="322">
      <c r="A322" s="139"/>
      <c r="B322" s="139"/>
      <c r="C322" s="139" t="str">
        <f>IFERROR(__xludf.DUMMYFUNCTION("""COMPUTED_VALUE"""),"chara_aka_00101_Special_00010")</f>
        <v>chara_aka_00101_Special_00010</v>
      </c>
      <c r="D322" s="139" t="str">
        <f>IFERROR(__xludf.DUMMYFUNCTION("""COMPUTED_VALUE"""),"chara_aka_00101")</f>
        <v>chara_aka_00101</v>
      </c>
      <c r="E322" s="139">
        <f>IFERROR(__xludf.DUMMYFUNCTION("""COMPUTED_VALUE"""),10.0)</f>
        <v>10</v>
      </c>
      <c r="F322" s="139" t="str">
        <f>IFERROR(__xludf.DUMMYFUNCTION("""COMPUTED_VALUE"""),"Special")</f>
        <v>Special</v>
      </c>
      <c r="G322" s="139"/>
      <c r="H322" s="139"/>
      <c r="I322" s="139">
        <f>IFERROR(__xludf.DUMMYFUNCTION("""COMPUTED_VALUE"""),225.0)</f>
        <v>225</v>
      </c>
      <c r="J322" s="139">
        <f>IFERROR(__xludf.DUMMYFUNCTION("""COMPUTED_VALUE"""),0.0)</f>
        <v>0</v>
      </c>
      <c r="K322" s="139">
        <f>IFERROR(__xludf.DUMMYFUNCTION("""COMPUTED_VALUE"""),0.0)</f>
        <v>0</v>
      </c>
      <c r="L322" s="139"/>
      <c r="M322" s="139"/>
      <c r="N322" s="139"/>
    </row>
    <row r="323">
      <c r="A323" s="139" t="str">
        <f>IFERROR(__xludf.DUMMYFUNCTION("""COMPUTED_VALUE"""),"e")</f>
        <v>e</v>
      </c>
      <c r="B323" s="139">
        <f>IFERROR(__xludf.DUMMYFUNCTION("""COMPUTED_VALUE"""),2.0250901E8)</f>
        <v>202509010</v>
      </c>
      <c r="C323" s="139" t="str">
        <f>IFERROR(__xludf.DUMMYFUNCTION("""COMPUTED_VALUE"""),"chara_aka_00001_Normal_00000")</f>
        <v>chara_aka_00001_Normal_00000</v>
      </c>
      <c r="D323" s="139" t="str">
        <f>IFERROR(__xludf.DUMMYFUNCTION("""COMPUTED_VALUE"""),"chara_aka_00001")</f>
        <v>chara_aka_00001</v>
      </c>
      <c r="E323" s="139">
        <f>IFERROR(__xludf.DUMMYFUNCTION("""COMPUTED_VALUE"""),0.0)</f>
        <v>0</v>
      </c>
      <c r="F323" s="139" t="str">
        <f>IFERROR(__xludf.DUMMYFUNCTION("""COMPUTED_VALUE"""),"Normal")</f>
        <v>Normal</v>
      </c>
      <c r="G323" s="139"/>
      <c r="H323" s="139"/>
      <c r="I323" s="139">
        <f>IFERROR(__xludf.DUMMYFUNCTION("""COMPUTED_VALUE"""),85.0)</f>
        <v>85</v>
      </c>
      <c r="J323" s="139">
        <f>IFERROR(__xludf.DUMMYFUNCTION("""COMPUTED_VALUE"""),33.0)</f>
        <v>33</v>
      </c>
      <c r="K323" s="139">
        <f>IFERROR(__xludf.DUMMYFUNCTION("""COMPUTED_VALUE"""),100.0)</f>
        <v>100</v>
      </c>
      <c r="L323" s="139"/>
      <c r="M323" s="139" t="str">
        <f>IFERROR(__xludf.DUMMYFUNCTION("""COMPUTED_VALUE"""),"表示場所なし")</f>
        <v>表示場所なし</v>
      </c>
      <c r="N323" s="139"/>
    </row>
    <row r="324">
      <c r="A324" s="139" t="str">
        <f>IFERROR(__xludf.DUMMYFUNCTION("""COMPUTED_VALUE"""),"e")</f>
        <v>e</v>
      </c>
      <c r="B324" s="139">
        <f>IFERROR(__xludf.DUMMYFUNCTION("""COMPUTED_VALUE"""),2.0250901E8)</f>
        <v>202509010</v>
      </c>
      <c r="C324" s="139" t="str">
        <f>IFERROR(__xludf.DUMMYFUNCTION("""COMPUTED_VALUE"""),"chara_aka_00001_Special_00001")</f>
        <v>chara_aka_00001_Special_00001</v>
      </c>
      <c r="D324" s="139" t="str">
        <f>IFERROR(__xludf.DUMMYFUNCTION("""COMPUTED_VALUE"""),"chara_aka_00001")</f>
        <v>chara_aka_00001</v>
      </c>
      <c r="E324" s="139">
        <f>IFERROR(__xludf.DUMMYFUNCTION("""COMPUTED_VALUE"""),1.0)</f>
        <v>1</v>
      </c>
      <c r="F324" s="139" t="str">
        <f>IFERROR(__xludf.DUMMYFUNCTION("""COMPUTED_VALUE"""),"Special")</f>
        <v>Special</v>
      </c>
      <c r="G324" s="139"/>
      <c r="H324" s="139"/>
      <c r="I324" s="139">
        <f>IFERROR(__xludf.DUMMYFUNCTION("""COMPUTED_VALUE"""),134.0)</f>
        <v>134</v>
      </c>
      <c r="J324" s="139">
        <f>IFERROR(__xludf.DUMMYFUNCTION("""COMPUTED_VALUE"""),67.0)</f>
        <v>67</v>
      </c>
      <c r="K324" s="139">
        <f>IFERROR(__xludf.DUMMYFUNCTION("""COMPUTED_VALUE"""),0.0)</f>
        <v>0</v>
      </c>
      <c r="L324" s="139"/>
      <c r="M324" s="139" t="str">
        <f>IFERROR(__xludf.DUMMYFUNCTION("""COMPUTED_VALUE"""),"敵複数体に自身の攻撃ステータスの87%のダメージ")</f>
        <v>敵複数体に自身の攻撃ステータスの87%のダメージ</v>
      </c>
      <c r="N324" s="139"/>
    </row>
    <row r="325">
      <c r="A325" s="139" t="str">
        <f>IFERROR(__xludf.DUMMYFUNCTION("""COMPUTED_VALUE"""),"e")</f>
        <v>e</v>
      </c>
      <c r="B325" s="139">
        <f>IFERROR(__xludf.DUMMYFUNCTION("""COMPUTED_VALUE"""),2.0250901E8)</f>
        <v>202509010</v>
      </c>
      <c r="C325" s="139" t="str">
        <f>IFERROR(__xludf.DUMMYFUNCTION("""COMPUTED_VALUE"""),"chara_aka_00001_Special_00002")</f>
        <v>chara_aka_00001_Special_00002</v>
      </c>
      <c r="D325" s="139" t="str">
        <f>IFERROR(__xludf.DUMMYFUNCTION("""COMPUTED_VALUE"""),"chara_aka_00001")</f>
        <v>chara_aka_00001</v>
      </c>
      <c r="E325" s="139">
        <f>IFERROR(__xludf.DUMMYFUNCTION("""COMPUTED_VALUE"""),2.0)</f>
        <v>2</v>
      </c>
      <c r="F325" s="139" t="str">
        <f>IFERROR(__xludf.DUMMYFUNCTION("""COMPUTED_VALUE"""),"Special")</f>
        <v>Special</v>
      </c>
      <c r="G325" s="139"/>
      <c r="H325" s="139"/>
      <c r="I325" s="139">
        <f>IFERROR(__xludf.DUMMYFUNCTION("""COMPUTED_VALUE"""),134.0)</f>
        <v>134</v>
      </c>
      <c r="J325" s="139">
        <f>IFERROR(__xludf.DUMMYFUNCTION("""COMPUTED_VALUE"""),67.0)</f>
        <v>67</v>
      </c>
      <c r="K325" s="139">
        <f>IFERROR(__xludf.DUMMYFUNCTION("""COMPUTED_VALUE"""),0.0)</f>
        <v>0</v>
      </c>
      <c r="L325" s="139"/>
      <c r="M325" s="139" t="str">
        <f>IFERROR(__xludf.DUMMYFUNCTION("""COMPUTED_VALUE"""),"敵複数体に自身の攻撃ステータスの100%のダメージ")</f>
        <v>敵複数体に自身の攻撃ステータスの100%のダメージ</v>
      </c>
      <c r="N325" s="139" t="str">
        <f>IFERROR(__xludf.DUMMYFUNCTION("""COMPUTED_VALUE"""),"ステータスUP + 必殺ワザ性能UP")</f>
        <v>ステータスUP + 必殺ワザ性能UP</v>
      </c>
    </row>
    <row r="326">
      <c r="A326" s="139" t="str">
        <f>IFERROR(__xludf.DUMMYFUNCTION("""COMPUTED_VALUE"""),"e")</f>
        <v>e</v>
      </c>
      <c r="B326" s="139">
        <f>IFERROR(__xludf.DUMMYFUNCTION("""COMPUTED_VALUE"""),2.0250901E8)</f>
        <v>202509010</v>
      </c>
      <c r="C326" s="139" t="str">
        <f>IFERROR(__xludf.DUMMYFUNCTION("""COMPUTED_VALUE"""),"chara_aka_00001_Special_00003")</f>
        <v>chara_aka_00001_Special_00003</v>
      </c>
      <c r="D326" s="139" t="str">
        <f>IFERROR(__xludf.DUMMYFUNCTION("""COMPUTED_VALUE"""),"chara_aka_00001")</f>
        <v>chara_aka_00001</v>
      </c>
      <c r="E326" s="139">
        <f>IFERROR(__xludf.DUMMYFUNCTION("""COMPUTED_VALUE"""),3.0)</f>
        <v>3</v>
      </c>
      <c r="F326" s="139" t="str">
        <f>IFERROR(__xludf.DUMMYFUNCTION("""COMPUTED_VALUE"""),"Special")</f>
        <v>Special</v>
      </c>
      <c r="G326" s="139"/>
      <c r="H326" s="139"/>
      <c r="I326" s="139">
        <f>IFERROR(__xludf.DUMMYFUNCTION("""COMPUTED_VALUE"""),134.0)</f>
        <v>134</v>
      </c>
      <c r="J326" s="139">
        <f>IFERROR(__xludf.DUMMYFUNCTION("""COMPUTED_VALUE"""),67.0)</f>
        <v>67</v>
      </c>
      <c r="K326" s="139">
        <f>IFERROR(__xludf.DUMMYFUNCTION("""COMPUTED_VALUE"""),0.0)</f>
        <v>0</v>
      </c>
      <c r="L326" s="139"/>
      <c r="M326" s="139" t="str">
        <f>IFERROR(__xludf.DUMMYFUNCTION("""COMPUTED_VALUE"""),"敵複数体に自身の攻撃ステータスの108%のダメージ")</f>
        <v>敵複数体に自身の攻撃ステータスの108%のダメージ</v>
      </c>
      <c r="N326" s="139" t="str">
        <f>IFERROR(__xludf.DUMMYFUNCTION("""COMPUTED_VALUE"""),"ステータスUP + 必殺ワザ性能UP")</f>
        <v>ステータスUP + 必殺ワザ性能UP</v>
      </c>
    </row>
    <row r="327">
      <c r="A327" s="139" t="str">
        <f>IFERROR(__xludf.DUMMYFUNCTION("""COMPUTED_VALUE"""),"e")</f>
        <v>e</v>
      </c>
      <c r="B327" s="139">
        <f>IFERROR(__xludf.DUMMYFUNCTION("""COMPUTED_VALUE"""),2.0250901E8)</f>
        <v>202509010</v>
      </c>
      <c r="C327" s="139" t="str">
        <f>IFERROR(__xludf.DUMMYFUNCTION("""COMPUTED_VALUE"""),"chara_aka_00001_Special_00004")</f>
        <v>chara_aka_00001_Special_00004</v>
      </c>
      <c r="D327" s="139" t="str">
        <f>IFERROR(__xludf.DUMMYFUNCTION("""COMPUTED_VALUE"""),"chara_aka_00001")</f>
        <v>chara_aka_00001</v>
      </c>
      <c r="E327" s="139">
        <f>IFERROR(__xludf.DUMMYFUNCTION("""COMPUTED_VALUE"""),4.0)</f>
        <v>4</v>
      </c>
      <c r="F327" s="139" t="str">
        <f>IFERROR(__xludf.DUMMYFUNCTION("""COMPUTED_VALUE"""),"Special")</f>
        <v>Special</v>
      </c>
      <c r="G327" s="139"/>
      <c r="H327" s="139"/>
      <c r="I327" s="139">
        <f>IFERROR(__xludf.DUMMYFUNCTION("""COMPUTED_VALUE"""),134.0)</f>
        <v>134</v>
      </c>
      <c r="J327" s="139">
        <f>IFERROR(__xludf.DUMMYFUNCTION("""COMPUTED_VALUE"""),67.0)</f>
        <v>67</v>
      </c>
      <c r="K327" s="139">
        <f>IFERROR(__xludf.DUMMYFUNCTION("""COMPUTED_VALUE"""),0.0)</f>
        <v>0</v>
      </c>
      <c r="L327" s="139"/>
      <c r="M327" s="139" t="str">
        <f>IFERROR(__xludf.DUMMYFUNCTION("""COMPUTED_VALUE"""),"敵複数体に自身の攻撃ステータスの114%のダメージ")</f>
        <v>敵複数体に自身の攻撃ステータスの114%のダメージ</v>
      </c>
      <c r="N327" s="139" t="str">
        <f>IFERROR(__xludf.DUMMYFUNCTION("""COMPUTED_VALUE"""),"ステータスUP + 必殺ワザ性能UP")</f>
        <v>ステータスUP + 必殺ワザ性能UP</v>
      </c>
    </row>
    <row r="328">
      <c r="A328" s="139" t="str">
        <f>IFERROR(__xludf.DUMMYFUNCTION("""COMPUTED_VALUE"""),"e")</f>
        <v>e</v>
      </c>
      <c r="B328" s="139">
        <f>IFERROR(__xludf.DUMMYFUNCTION("""COMPUTED_VALUE"""),2.0250901E8)</f>
        <v>202509010</v>
      </c>
      <c r="C328" s="139" t="str">
        <f>IFERROR(__xludf.DUMMYFUNCTION("""COMPUTED_VALUE"""),"chara_aka_00001_Special_00005")</f>
        <v>chara_aka_00001_Special_00005</v>
      </c>
      <c r="D328" s="139" t="str">
        <f>IFERROR(__xludf.DUMMYFUNCTION("""COMPUTED_VALUE"""),"chara_aka_00001")</f>
        <v>chara_aka_00001</v>
      </c>
      <c r="E328" s="139">
        <f>IFERROR(__xludf.DUMMYFUNCTION("""COMPUTED_VALUE"""),5.0)</f>
        <v>5</v>
      </c>
      <c r="F328" s="139" t="str">
        <f>IFERROR(__xludf.DUMMYFUNCTION("""COMPUTED_VALUE"""),"Special")</f>
        <v>Special</v>
      </c>
      <c r="G328" s="139"/>
      <c r="H328" s="139"/>
      <c r="I328" s="139">
        <f>IFERROR(__xludf.DUMMYFUNCTION("""COMPUTED_VALUE"""),134.0)</f>
        <v>134</v>
      </c>
      <c r="J328" s="139">
        <f>IFERROR(__xludf.DUMMYFUNCTION("""COMPUTED_VALUE"""),67.0)</f>
        <v>67</v>
      </c>
      <c r="K328" s="139">
        <f>IFERROR(__xludf.DUMMYFUNCTION("""COMPUTED_VALUE"""),0.0)</f>
        <v>0</v>
      </c>
      <c r="L328" s="139"/>
      <c r="M328" s="139" t="str">
        <f>IFERROR(__xludf.DUMMYFUNCTION("""COMPUTED_VALUE"""),"敵複数体に自身の攻撃ステータスの118%のダメージ")</f>
        <v>敵複数体に自身の攻撃ステータスの118%のダメージ</v>
      </c>
      <c r="N328" s="139" t="str">
        <f>IFERROR(__xludf.DUMMYFUNCTION("""COMPUTED_VALUE"""),"ステータスUP + 必殺ワザ性能UP")</f>
        <v>ステータスUP + 必殺ワザ性能UP</v>
      </c>
    </row>
    <row r="329">
      <c r="A329" s="139"/>
      <c r="B329" s="139"/>
      <c r="C329" s="139" t="str">
        <f>IFERROR(__xludf.DUMMYFUNCTION("""COMPUTED_VALUE"""),"chara_aka_00001_Special_00006")</f>
        <v>chara_aka_00001_Special_00006</v>
      </c>
      <c r="D329" s="139" t="str">
        <f>IFERROR(__xludf.DUMMYFUNCTION("""COMPUTED_VALUE"""),"chara_aka_00001")</f>
        <v>chara_aka_00001</v>
      </c>
      <c r="E329" s="139">
        <f>IFERROR(__xludf.DUMMYFUNCTION("""COMPUTED_VALUE"""),6.0)</f>
        <v>6</v>
      </c>
      <c r="F329" s="139" t="str">
        <f>IFERROR(__xludf.DUMMYFUNCTION("""COMPUTED_VALUE"""),"Special")</f>
        <v>Special</v>
      </c>
      <c r="G329" s="139"/>
      <c r="H329" s="139"/>
      <c r="I329" s="139">
        <f>IFERROR(__xludf.DUMMYFUNCTION("""COMPUTED_VALUE"""),134.0)</f>
        <v>134</v>
      </c>
      <c r="J329" s="139">
        <f>IFERROR(__xludf.DUMMYFUNCTION("""COMPUTED_VALUE"""),67.0)</f>
        <v>67</v>
      </c>
      <c r="K329" s="139">
        <f>IFERROR(__xludf.DUMMYFUNCTION("""COMPUTED_VALUE"""),0.0)</f>
        <v>0</v>
      </c>
      <c r="L329" s="139"/>
      <c r="M329" s="139"/>
      <c r="N329" s="139"/>
    </row>
    <row r="330">
      <c r="A330" s="139"/>
      <c r="B330" s="139"/>
      <c r="C330" s="139" t="str">
        <f>IFERROR(__xludf.DUMMYFUNCTION("""COMPUTED_VALUE"""),"chara_aka_00001_Special_00007")</f>
        <v>chara_aka_00001_Special_00007</v>
      </c>
      <c r="D330" s="139" t="str">
        <f>IFERROR(__xludf.DUMMYFUNCTION("""COMPUTED_VALUE"""),"chara_aka_00001")</f>
        <v>chara_aka_00001</v>
      </c>
      <c r="E330" s="139">
        <f>IFERROR(__xludf.DUMMYFUNCTION("""COMPUTED_VALUE"""),7.0)</f>
        <v>7</v>
      </c>
      <c r="F330" s="139" t="str">
        <f>IFERROR(__xludf.DUMMYFUNCTION("""COMPUTED_VALUE"""),"Special")</f>
        <v>Special</v>
      </c>
      <c r="G330" s="139"/>
      <c r="H330" s="139"/>
      <c r="I330" s="139">
        <f>IFERROR(__xludf.DUMMYFUNCTION("""COMPUTED_VALUE"""),134.0)</f>
        <v>134</v>
      </c>
      <c r="J330" s="139">
        <f>IFERROR(__xludf.DUMMYFUNCTION("""COMPUTED_VALUE"""),67.0)</f>
        <v>67</v>
      </c>
      <c r="K330" s="139">
        <f>IFERROR(__xludf.DUMMYFUNCTION("""COMPUTED_VALUE"""),0.0)</f>
        <v>0</v>
      </c>
      <c r="L330" s="139"/>
      <c r="M330" s="139"/>
      <c r="N330" s="139"/>
    </row>
    <row r="331">
      <c r="A331" s="139"/>
      <c r="B331" s="139"/>
      <c r="C331" s="139" t="str">
        <f>IFERROR(__xludf.DUMMYFUNCTION("""COMPUTED_VALUE"""),"chara_aka_00001_Special_00008")</f>
        <v>chara_aka_00001_Special_00008</v>
      </c>
      <c r="D331" s="139" t="str">
        <f>IFERROR(__xludf.DUMMYFUNCTION("""COMPUTED_VALUE"""),"chara_aka_00001")</f>
        <v>chara_aka_00001</v>
      </c>
      <c r="E331" s="139">
        <f>IFERROR(__xludf.DUMMYFUNCTION("""COMPUTED_VALUE"""),8.0)</f>
        <v>8</v>
      </c>
      <c r="F331" s="139" t="str">
        <f>IFERROR(__xludf.DUMMYFUNCTION("""COMPUTED_VALUE"""),"Special")</f>
        <v>Special</v>
      </c>
      <c r="G331" s="139"/>
      <c r="H331" s="139"/>
      <c r="I331" s="139">
        <f>IFERROR(__xludf.DUMMYFUNCTION("""COMPUTED_VALUE"""),134.0)</f>
        <v>134</v>
      </c>
      <c r="J331" s="139">
        <f>IFERROR(__xludf.DUMMYFUNCTION("""COMPUTED_VALUE"""),67.0)</f>
        <v>67</v>
      </c>
      <c r="K331" s="139">
        <f>IFERROR(__xludf.DUMMYFUNCTION("""COMPUTED_VALUE"""),0.0)</f>
        <v>0</v>
      </c>
      <c r="L331" s="139"/>
      <c r="M331" s="139"/>
      <c r="N331" s="139"/>
    </row>
    <row r="332">
      <c r="A332" s="139"/>
      <c r="B332" s="139"/>
      <c r="C332" s="139" t="str">
        <f>IFERROR(__xludf.DUMMYFUNCTION("""COMPUTED_VALUE"""),"chara_aka_00001_Special_00009")</f>
        <v>chara_aka_00001_Special_00009</v>
      </c>
      <c r="D332" s="139" t="str">
        <f>IFERROR(__xludf.DUMMYFUNCTION("""COMPUTED_VALUE"""),"chara_aka_00001")</f>
        <v>chara_aka_00001</v>
      </c>
      <c r="E332" s="139">
        <f>IFERROR(__xludf.DUMMYFUNCTION("""COMPUTED_VALUE"""),9.0)</f>
        <v>9</v>
      </c>
      <c r="F332" s="139" t="str">
        <f>IFERROR(__xludf.DUMMYFUNCTION("""COMPUTED_VALUE"""),"Special")</f>
        <v>Special</v>
      </c>
      <c r="G332" s="139"/>
      <c r="H332" s="139"/>
      <c r="I332" s="139">
        <f>IFERROR(__xludf.DUMMYFUNCTION("""COMPUTED_VALUE"""),134.0)</f>
        <v>134</v>
      </c>
      <c r="J332" s="139">
        <f>IFERROR(__xludf.DUMMYFUNCTION("""COMPUTED_VALUE"""),67.0)</f>
        <v>67</v>
      </c>
      <c r="K332" s="139">
        <f>IFERROR(__xludf.DUMMYFUNCTION("""COMPUTED_VALUE"""),0.0)</f>
        <v>0</v>
      </c>
      <c r="L332" s="139"/>
      <c r="M332" s="139"/>
      <c r="N332" s="139"/>
    </row>
    <row r="333">
      <c r="A333" s="139"/>
      <c r="B333" s="139"/>
      <c r="C333" s="139" t="str">
        <f>IFERROR(__xludf.DUMMYFUNCTION("""COMPUTED_VALUE"""),"chara_aka_00001_Special_00010")</f>
        <v>chara_aka_00001_Special_00010</v>
      </c>
      <c r="D333" s="139" t="str">
        <f>IFERROR(__xludf.DUMMYFUNCTION("""COMPUTED_VALUE"""),"chara_aka_00001")</f>
        <v>chara_aka_00001</v>
      </c>
      <c r="E333" s="139">
        <f>IFERROR(__xludf.DUMMYFUNCTION("""COMPUTED_VALUE"""),10.0)</f>
        <v>10</v>
      </c>
      <c r="F333" s="139" t="str">
        <f>IFERROR(__xludf.DUMMYFUNCTION("""COMPUTED_VALUE"""),"Special")</f>
        <v>Special</v>
      </c>
      <c r="G333" s="139"/>
      <c r="H333" s="139"/>
      <c r="I333" s="139">
        <f>IFERROR(__xludf.DUMMYFUNCTION("""COMPUTED_VALUE"""),134.0)</f>
        <v>134</v>
      </c>
      <c r="J333" s="139">
        <f>IFERROR(__xludf.DUMMYFUNCTION("""COMPUTED_VALUE"""),67.0)</f>
        <v>67</v>
      </c>
      <c r="K333" s="139">
        <f>IFERROR(__xludf.DUMMYFUNCTION("""COMPUTED_VALUE"""),0.0)</f>
        <v>0</v>
      </c>
      <c r="L333" s="139"/>
      <c r="M333" s="139"/>
      <c r="N333" s="139"/>
    </row>
    <row r="334">
      <c r="A334" s="139" t="str">
        <f>IFERROR(__xludf.DUMMYFUNCTION("""COMPUTED_VALUE"""),"e")</f>
        <v>e</v>
      </c>
      <c r="B334" s="139">
        <f>IFERROR(__xludf.DUMMYFUNCTION("""COMPUTED_VALUE"""),2.0250901E8)</f>
        <v>202509010</v>
      </c>
      <c r="C334" s="139" t="str">
        <f>IFERROR(__xludf.DUMMYFUNCTION("""COMPUTED_VALUE"""),"chara_spy_00101_Normal_00000")</f>
        <v>chara_spy_00101_Normal_00000</v>
      </c>
      <c r="D334" s="139" t="str">
        <f>IFERROR(__xludf.DUMMYFUNCTION("""COMPUTED_VALUE"""),"chara_spy_00101")</f>
        <v>chara_spy_00101</v>
      </c>
      <c r="E334" s="139">
        <f>IFERROR(__xludf.DUMMYFUNCTION("""COMPUTED_VALUE"""),0.0)</f>
        <v>0</v>
      </c>
      <c r="F334" s="139" t="str">
        <f>IFERROR(__xludf.DUMMYFUNCTION("""COMPUTED_VALUE"""),"Normal")</f>
        <v>Normal</v>
      </c>
      <c r="G334" s="139"/>
      <c r="H334" s="139"/>
      <c r="I334" s="139">
        <f>IFERROR(__xludf.DUMMYFUNCTION("""COMPUTED_VALUE"""),82.0)</f>
        <v>82</v>
      </c>
      <c r="J334" s="139">
        <f>IFERROR(__xludf.DUMMYFUNCTION("""COMPUTED_VALUE"""),42.0)</f>
        <v>42</v>
      </c>
      <c r="K334" s="139">
        <f>IFERROR(__xludf.DUMMYFUNCTION("""COMPUTED_VALUE"""),150.0)</f>
        <v>150</v>
      </c>
      <c r="L334" s="139"/>
      <c r="M334" s="139" t="str">
        <f>IFERROR(__xludf.DUMMYFUNCTION("""COMPUTED_VALUE"""),"表示場所なし")</f>
        <v>表示場所なし</v>
      </c>
      <c r="N334" s="139"/>
    </row>
    <row r="335">
      <c r="A335" s="139" t="str">
        <f>IFERROR(__xludf.DUMMYFUNCTION("""COMPUTED_VALUE"""),"e")</f>
        <v>e</v>
      </c>
      <c r="B335" s="139">
        <f>IFERROR(__xludf.DUMMYFUNCTION("""COMPUTED_VALUE"""),2.0250901E8)</f>
        <v>202509010</v>
      </c>
      <c r="C335" s="139" t="str">
        <f>IFERROR(__xludf.DUMMYFUNCTION("""COMPUTED_VALUE"""),"chara_spy_00101_Special_00001")</f>
        <v>chara_spy_00101_Special_00001</v>
      </c>
      <c r="D335" s="139" t="str">
        <f>IFERROR(__xludf.DUMMYFUNCTION("""COMPUTED_VALUE"""),"chara_spy_00101")</f>
        <v>chara_spy_00101</v>
      </c>
      <c r="E335" s="139">
        <f>IFERROR(__xludf.DUMMYFUNCTION("""COMPUTED_VALUE"""),1.0)</f>
        <v>1</v>
      </c>
      <c r="F335" s="139" t="str">
        <f>IFERROR(__xludf.DUMMYFUNCTION("""COMPUTED_VALUE"""),"Special")</f>
        <v>Special</v>
      </c>
      <c r="G335" s="139" t="str">
        <f>IFERROR(__xludf.DUMMYFUNCTION("""COMPUTED_VALUE"""),"Blue")</f>
        <v>Blue</v>
      </c>
      <c r="H335" s="139">
        <f>IFERROR(__xludf.DUMMYFUNCTION("""COMPUTED_VALUE"""),120.0)</f>
        <v>120</v>
      </c>
      <c r="I335" s="139">
        <f>IFERROR(__xludf.DUMMYFUNCTION("""COMPUTED_VALUE"""),125.0)</f>
        <v>125</v>
      </c>
      <c r="J335" s="139">
        <f>IFERROR(__xludf.DUMMYFUNCTION("""COMPUTED_VALUE"""),67.0)</f>
        <v>67</v>
      </c>
      <c r="K335" s="139">
        <f>IFERROR(__xludf.DUMMYFUNCTION("""COMPUTED_VALUE"""),0.0)</f>
        <v>0</v>
      </c>
      <c r="L335" s="139"/>
      <c r="M335" s="139" t="str">
        <f>IFERROR(__xludf.DUMMYFUNCTION("""COMPUTED_VALUE"""),"敵単体に自身の攻撃ステータスの100%のダメージ(敵が青属性の場合は120%のダメージ)")</f>
        <v>敵単体に自身の攻撃ステータスの100%のダメージ(敵が青属性の場合は120%のダメージ)</v>
      </c>
      <c r="N335" s="139"/>
    </row>
    <row r="336">
      <c r="A336" s="139" t="str">
        <f>IFERROR(__xludf.DUMMYFUNCTION("""COMPUTED_VALUE"""),"e")</f>
        <v>e</v>
      </c>
      <c r="B336" s="139">
        <f>IFERROR(__xludf.DUMMYFUNCTION("""COMPUTED_VALUE"""),2.0250901E8)</f>
        <v>202509010</v>
      </c>
      <c r="C336" s="139" t="str">
        <f>IFERROR(__xludf.DUMMYFUNCTION("""COMPUTED_VALUE"""),"chara_spy_00101_Special_00002")</f>
        <v>chara_spy_00101_Special_00002</v>
      </c>
      <c r="D336" s="139" t="str">
        <f>IFERROR(__xludf.DUMMYFUNCTION("""COMPUTED_VALUE"""),"chara_spy_00101")</f>
        <v>chara_spy_00101</v>
      </c>
      <c r="E336" s="139">
        <f>IFERROR(__xludf.DUMMYFUNCTION("""COMPUTED_VALUE"""),2.0)</f>
        <v>2</v>
      </c>
      <c r="F336" s="139" t="str">
        <f>IFERROR(__xludf.DUMMYFUNCTION("""COMPUTED_VALUE"""),"Special")</f>
        <v>Special</v>
      </c>
      <c r="G336" s="139" t="str">
        <f>IFERROR(__xludf.DUMMYFUNCTION("""COMPUTED_VALUE"""),"Blue")</f>
        <v>Blue</v>
      </c>
      <c r="H336" s="139">
        <f>IFERROR(__xludf.DUMMYFUNCTION("""COMPUTED_VALUE"""),139.0)</f>
        <v>139</v>
      </c>
      <c r="I336" s="139">
        <f>IFERROR(__xludf.DUMMYFUNCTION("""COMPUTED_VALUE"""),125.0)</f>
        <v>125</v>
      </c>
      <c r="J336" s="139">
        <f>IFERROR(__xludf.DUMMYFUNCTION("""COMPUTED_VALUE"""),67.0)</f>
        <v>67</v>
      </c>
      <c r="K336" s="139">
        <f>IFERROR(__xludf.DUMMYFUNCTION("""COMPUTED_VALUE"""),0.0)</f>
        <v>0</v>
      </c>
      <c r="L336" s="139"/>
      <c r="M336" s="139" t="str">
        <f>IFERROR(__xludf.DUMMYFUNCTION("""COMPUTED_VALUE"""),"敵単体に自身の攻撃ステータスの100%のダメージ(敵が青属性の場合は139%のダメージ)")</f>
        <v>敵単体に自身の攻撃ステータスの100%のダメージ(敵が青属性の場合は139%のダメージ)</v>
      </c>
      <c r="N336" s="139" t="str">
        <f>IFERROR(__xludf.DUMMYFUNCTION("""COMPUTED_VALUE"""),"ステータスUP + 必殺ワザ性能UP")</f>
        <v>ステータスUP + 必殺ワザ性能UP</v>
      </c>
    </row>
    <row r="337">
      <c r="A337" s="139" t="str">
        <f>IFERROR(__xludf.DUMMYFUNCTION("""COMPUTED_VALUE"""),"e")</f>
        <v>e</v>
      </c>
      <c r="B337" s="139">
        <f>IFERROR(__xludf.DUMMYFUNCTION("""COMPUTED_VALUE"""),2.0250901E8)</f>
        <v>202509010</v>
      </c>
      <c r="C337" s="139" t="str">
        <f>IFERROR(__xludf.DUMMYFUNCTION("""COMPUTED_VALUE"""),"chara_spy_00101_Special_00003")</f>
        <v>chara_spy_00101_Special_00003</v>
      </c>
      <c r="D337" s="139" t="str">
        <f>IFERROR(__xludf.DUMMYFUNCTION("""COMPUTED_VALUE"""),"chara_spy_00101")</f>
        <v>chara_spy_00101</v>
      </c>
      <c r="E337" s="139">
        <f>IFERROR(__xludf.DUMMYFUNCTION("""COMPUTED_VALUE"""),3.0)</f>
        <v>3</v>
      </c>
      <c r="F337" s="139" t="str">
        <f>IFERROR(__xludf.DUMMYFUNCTION("""COMPUTED_VALUE"""),"Special")</f>
        <v>Special</v>
      </c>
      <c r="G337" s="139" t="str">
        <f>IFERROR(__xludf.DUMMYFUNCTION("""COMPUTED_VALUE"""),"Blue")</f>
        <v>Blue</v>
      </c>
      <c r="H337" s="139">
        <f>IFERROR(__xludf.DUMMYFUNCTION("""COMPUTED_VALUE"""),153.0)</f>
        <v>153</v>
      </c>
      <c r="I337" s="139">
        <f>IFERROR(__xludf.DUMMYFUNCTION("""COMPUTED_VALUE"""),125.0)</f>
        <v>125</v>
      </c>
      <c r="J337" s="139">
        <f>IFERROR(__xludf.DUMMYFUNCTION("""COMPUTED_VALUE"""),67.0)</f>
        <v>67</v>
      </c>
      <c r="K337" s="139">
        <f>IFERROR(__xludf.DUMMYFUNCTION("""COMPUTED_VALUE"""),0.0)</f>
        <v>0</v>
      </c>
      <c r="L337" s="139"/>
      <c r="M337" s="139" t="str">
        <f>IFERROR(__xludf.DUMMYFUNCTION("""COMPUTED_VALUE"""),"敵単体に自身の攻撃ステータスの100%のダメージ(敵が青属性の場合は153%のダメージ)")</f>
        <v>敵単体に自身の攻撃ステータスの100%のダメージ(敵が青属性の場合は153%のダメージ)</v>
      </c>
      <c r="N337" s="139" t="str">
        <f>IFERROR(__xludf.DUMMYFUNCTION("""COMPUTED_VALUE"""),"ステータスUP + 必殺ワザ性能UP")</f>
        <v>ステータスUP + 必殺ワザ性能UP</v>
      </c>
    </row>
    <row r="338">
      <c r="A338" s="139" t="str">
        <f>IFERROR(__xludf.DUMMYFUNCTION("""COMPUTED_VALUE"""),"e")</f>
        <v>e</v>
      </c>
      <c r="B338" s="139">
        <f>IFERROR(__xludf.DUMMYFUNCTION("""COMPUTED_VALUE"""),2.0250901E8)</f>
        <v>202509010</v>
      </c>
      <c r="C338" s="139" t="str">
        <f>IFERROR(__xludf.DUMMYFUNCTION("""COMPUTED_VALUE"""),"chara_spy_00101_Special_00004")</f>
        <v>chara_spy_00101_Special_00004</v>
      </c>
      <c r="D338" s="139" t="str">
        <f>IFERROR(__xludf.DUMMYFUNCTION("""COMPUTED_VALUE"""),"chara_spy_00101")</f>
        <v>chara_spy_00101</v>
      </c>
      <c r="E338" s="139">
        <f>IFERROR(__xludf.DUMMYFUNCTION("""COMPUTED_VALUE"""),4.0)</f>
        <v>4</v>
      </c>
      <c r="F338" s="139" t="str">
        <f>IFERROR(__xludf.DUMMYFUNCTION("""COMPUTED_VALUE"""),"Special")</f>
        <v>Special</v>
      </c>
      <c r="G338" s="139" t="str">
        <f>IFERROR(__xludf.DUMMYFUNCTION("""COMPUTED_VALUE"""),"Blue")</f>
        <v>Blue</v>
      </c>
      <c r="H338" s="139">
        <f>IFERROR(__xludf.DUMMYFUNCTION("""COMPUTED_VALUE"""),163.0)</f>
        <v>163</v>
      </c>
      <c r="I338" s="139">
        <f>IFERROR(__xludf.DUMMYFUNCTION("""COMPUTED_VALUE"""),125.0)</f>
        <v>125</v>
      </c>
      <c r="J338" s="139">
        <f>IFERROR(__xludf.DUMMYFUNCTION("""COMPUTED_VALUE"""),67.0)</f>
        <v>67</v>
      </c>
      <c r="K338" s="139">
        <f>IFERROR(__xludf.DUMMYFUNCTION("""COMPUTED_VALUE"""),0.0)</f>
        <v>0</v>
      </c>
      <c r="L338" s="139"/>
      <c r="M338" s="139" t="str">
        <f>IFERROR(__xludf.DUMMYFUNCTION("""COMPUTED_VALUE"""),"敵単体に自身の攻撃ステータスの100%のダメージ(敵が青属性の場合は163%のダメージ)")</f>
        <v>敵単体に自身の攻撃ステータスの100%のダメージ(敵が青属性の場合は163%のダメージ)</v>
      </c>
      <c r="N338" s="139" t="str">
        <f>IFERROR(__xludf.DUMMYFUNCTION("""COMPUTED_VALUE"""),"ステータスUP + 必殺ワザ性能UP")</f>
        <v>ステータスUP + 必殺ワザ性能UP</v>
      </c>
    </row>
    <row r="339">
      <c r="A339" s="139" t="str">
        <f>IFERROR(__xludf.DUMMYFUNCTION("""COMPUTED_VALUE"""),"e")</f>
        <v>e</v>
      </c>
      <c r="B339" s="139">
        <f>IFERROR(__xludf.DUMMYFUNCTION("""COMPUTED_VALUE"""),2.0250901E8)</f>
        <v>202509010</v>
      </c>
      <c r="C339" s="139" t="str">
        <f>IFERROR(__xludf.DUMMYFUNCTION("""COMPUTED_VALUE"""),"chara_spy_00101_Special_00005")</f>
        <v>chara_spy_00101_Special_00005</v>
      </c>
      <c r="D339" s="139" t="str">
        <f>IFERROR(__xludf.DUMMYFUNCTION("""COMPUTED_VALUE"""),"chara_spy_00101")</f>
        <v>chara_spy_00101</v>
      </c>
      <c r="E339" s="139">
        <f>IFERROR(__xludf.DUMMYFUNCTION("""COMPUTED_VALUE"""),5.0)</f>
        <v>5</v>
      </c>
      <c r="F339" s="139" t="str">
        <f>IFERROR(__xludf.DUMMYFUNCTION("""COMPUTED_VALUE"""),"Special")</f>
        <v>Special</v>
      </c>
      <c r="G339" s="139" t="str">
        <f>IFERROR(__xludf.DUMMYFUNCTION("""COMPUTED_VALUE"""),"Blue")</f>
        <v>Blue</v>
      </c>
      <c r="H339" s="139">
        <f>IFERROR(__xludf.DUMMYFUNCTION("""COMPUTED_VALUE"""),170.0)</f>
        <v>170</v>
      </c>
      <c r="I339" s="139">
        <f>IFERROR(__xludf.DUMMYFUNCTION("""COMPUTED_VALUE"""),125.0)</f>
        <v>125</v>
      </c>
      <c r="J339" s="139">
        <f>IFERROR(__xludf.DUMMYFUNCTION("""COMPUTED_VALUE"""),67.0)</f>
        <v>67</v>
      </c>
      <c r="K339" s="139">
        <f>IFERROR(__xludf.DUMMYFUNCTION("""COMPUTED_VALUE"""),0.0)</f>
        <v>0</v>
      </c>
      <c r="L339" s="139"/>
      <c r="M339" s="139" t="str">
        <f>IFERROR(__xludf.DUMMYFUNCTION("""COMPUTED_VALUE"""),"敵単体に自身の攻撃ステータスの100%のダメージ(敵が青属性の場合は170%のダメージ)")</f>
        <v>敵単体に自身の攻撃ステータスの100%のダメージ(敵が青属性の場合は170%のダメージ)</v>
      </c>
      <c r="N339" s="139" t="str">
        <f>IFERROR(__xludf.DUMMYFUNCTION("""COMPUTED_VALUE"""),"ステータスUP + 必殺ワザ性能UP")</f>
        <v>ステータスUP + 必殺ワザ性能UP</v>
      </c>
    </row>
    <row r="340">
      <c r="A340" s="139"/>
      <c r="B340" s="139"/>
      <c r="C340" s="139" t="str">
        <f>IFERROR(__xludf.DUMMYFUNCTION("""COMPUTED_VALUE"""),"chara_spy_00101_Special_00006")</f>
        <v>chara_spy_00101_Special_00006</v>
      </c>
      <c r="D340" s="139" t="str">
        <f>IFERROR(__xludf.DUMMYFUNCTION("""COMPUTED_VALUE"""),"chara_spy_00101")</f>
        <v>chara_spy_00101</v>
      </c>
      <c r="E340" s="139">
        <f>IFERROR(__xludf.DUMMYFUNCTION("""COMPUTED_VALUE"""),6.0)</f>
        <v>6</v>
      </c>
      <c r="F340" s="139" t="str">
        <f>IFERROR(__xludf.DUMMYFUNCTION("""COMPUTED_VALUE"""),"Special")</f>
        <v>Special</v>
      </c>
      <c r="G340" s="139" t="str">
        <f>IFERROR(__xludf.DUMMYFUNCTION("""COMPUTED_VALUE"""),"Blue")</f>
        <v>Blue</v>
      </c>
      <c r="H340" s="139">
        <f>IFERROR(__xludf.DUMMYFUNCTION("""COMPUTED_VALUE"""),170.0)</f>
        <v>170</v>
      </c>
      <c r="I340" s="139">
        <f>IFERROR(__xludf.DUMMYFUNCTION("""COMPUTED_VALUE"""),125.0)</f>
        <v>125</v>
      </c>
      <c r="J340" s="139">
        <f>IFERROR(__xludf.DUMMYFUNCTION("""COMPUTED_VALUE"""),67.0)</f>
        <v>67</v>
      </c>
      <c r="K340" s="139">
        <f>IFERROR(__xludf.DUMMYFUNCTION("""COMPUTED_VALUE"""),0.0)</f>
        <v>0</v>
      </c>
      <c r="L340" s="139"/>
      <c r="M340" s="139"/>
      <c r="N340" s="139"/>
    </row>
    <row r="341">
      <c r="A341" s="139"/>
      <c r="B341" s="139"/>
      <c r="C341" s="139" t="str">
        <f>IFERROR(__xludf.DUMMYFUNCTION("""COMPUTED_VALUE"""),"chara_spy_00101_Special_00007")</f>
        <v>chara_spy_00101_Special_00007</v>
      </c>
      <c r="D341" s="139" t="str">
        <f>IFERROR(__xludf.DUMMYFUNCTION("""COMPUTED_VALUE"""),"chara_spy_00101")</f>
        <v>chara_spy_00101</v>
      </c>
      <c r="E341" s="139">
        <f>IFERROR(__xludf.DUMMYFUNCTION("""COMPUTED_VALUE"""),7.0)</f>
        <v>7</v>
      </c>
      <c r="F341" s="139" t="str">
        <f>IFERROR(__xludf.DUMMYFUNCTION("""COMPUTED_VALUE"""),"Special")</f>
        <v>Special</v>
      </c>
      <c r="G341" s="139" t="str">
        <f>IFERROR(__xludf.DUMMYFUNCTION("""COMPUTED_VALUE"""),"Blue")</f>
        <v>Blue</v>
      </c>
      <c r="H341" s="139">
        <f>IFERROR(__xludf.DUMMYFUNCTION("""COMPUTED_VALUE"""),170.0)</f>
        <v>170</v>
      </c>
      <c r="I341" s="139">
        <f>IFERROR(__xludf.DUMMYFUNCTION("""COMPUTED_VALUE"""),125.0)</f>
        <v>125</v>
      </c>
      <c r="J341" s="139">
        <f>IFERROR(__xludf.DUMMYFUNCTION("""COMPUTED_VALUE"""),67.0)</f>
        <v>67</v>
      </c>
      <c r="K341" s="139">
        <f>IFERROR(__xludf.DUMMYFUNCTION("""COMPUTED_VALUE"""),0.0)</f>
        <v>0</v>
      </c>
      <c r="L341" s="139"/>
      <c r="M341" s="139"/>
      <c r="N341" s="139"/>
    </row>
    <row r="342">
      <c r="A342" s="139"/>
      <c r="B342" s="139"/>
      <c r="C342" s="139" t="str">
        <f>IFERROR(__xludf.DUMMYFUNCTION("""COMPUTED_VALUE"""),"chara_spy_00101_Special_00008")</f>
        <v>chara_spy_00101_Special_00008</v>
      </c>
      <c r="D342" s="139" t="str">
        <f>IFERROR(__xludf.DUMMYFUNCTION("""COMPUTED_VALUE"""),"chara_spy_00101")</f>
        <v>chara_spy_00101</v>
      </c>
      <c r="E342" s="139">
        <f>IFERROR(__xludf.DUMMYFUNCTION("""COMPUTED_VALUE"""),8.0)</f>
        <v>8</v>
      </c>
      <c r="F342" s="139" t="str">
        <f>IFERROR(__xludf.DUMMYFUNCTION("""COMPUTED_VALUE"""),"Special")</f>
        <v>Special</v>
      </c>
      <c r="G342" s="139" t="str">
        <f>IFERROR(__xludf.DUMMYFUNCTION("""COMPUTED_VALUE"""),"Blue")</f>
        <v>Blue</v>
      </c>
      <c r="H342" s="139">
        <f>IFERROR(__xludf.DUMMYFUNCTION("""COMPUTED_VALUE"""),170.0)</f>
        <v>170</v>
      </c>
      <c r="I342" s="139">
        <f>IFERROR(__xludf.DUMMYFUNCTION("""COMPUTED_VALUE"""),125.0)</f>
        <v>125</v>
      </c>
      <c r="J342" s="139">
        <f>IFERROR(__xludf.DUMMYFUNCTION("""COMPUTED_VALUE"""),67.0)</f>
        <v>67</v>
      </c>
      <c r="K342" s="139">
        <f>IFERROR(__xludf.DUMMYFUNCTION("""COMPUTED_VALUE"""),0.0)</f>
        <v>0</v>
      </c>
      <c r="L342" s="139"/>
      <c r="M342" s="139"/>
      <c r="N342" s="139"/>
    </row>
    <row r="343">
      <c r="A343" s="139"/>
      <c r="B343" s="139"/>
      <c r="C343" s="139" t="str">
        <f>IFERROR(__xludf.DUMMYFUNCTION("""COMPUTED_VALUE"""),"chara_spy_00101_Special_00009")</f>
        <v>chara_spy_00101_Special_00009</v>
      </c>
      <c r="D343" s="139" t="str">
        <f>IFERROR(__xludf.DUMMYFUNCTION("""COMPUTED_VALUE"""),"chara_spy_00101")</f>
        <v>chara_spy_00101</v>
      </c>
      <c r="E343" s="139">
        <f>IFERROR(__xludf.DUMMYFUNCTION("""COMPUTED_VALUE"""),9.0)</f>
        <v>9</v>
      </c>
      <c r="F343" s="139" t="str">
        <f>IFERROR(__xludf.DUMMYFUNCTION("""COMPUTED_VALUE"""),"Special")</f>
        <v>Special</v>
      </c>
      <c r="G343" s="139" t="str">
        <f>IFERROR(__xludf.DUMMYFUNCTION("""COMPUTED_VALUE"""),"Blue")</f>
        <v>Blue</v>
      </c>
      <c r="H343" s="139">
        <f>IFERROR(__xludf.DUMMYFUNCTION("""COMPUTED_VALUE"""),170.0)</f>
        <v>170</v>
      </c>
      <c r="I343" s="139">
        <f>IFERROR(__xludf.DUMMYFUNCTION("""COMPUTED_VALUE"""),125.0)</f>
        <v>125</v>
      </c>
      <c r="J343" s="139">
        <f>IFERROR(__xludf.DUMMYFUNCTION("""COMPUTED_VALUE"""),67.0)</f>
        <v>67</v>
      </c>
      <c r="K343" s="139">
        <f>IFERROR(__xludf.DUMMYFUNCTION("""COMPUTED_VALUE"""),0.0)</f>
        <v>0</v>
      </c>
      <c r="L343" s="139"/>
      <c r="M343" s="139"/>
      <c r="N343" s="139"/>
    </row>
    <row r="344">
      <c r="A344" s="139"/>
      <c r="B344" s="139"/>
      <c r="C344" s="139" t="str">
        <f>IFERROR(__xludf.DUMMYFUNCTION("""COMPUTED_VALUE"""),"chara_spy_00101_Special_00010")</f>
        <v>chara_spy_00101_Special_00010</v>
      </c>
      <c r="D344" s="139" t="str">
        <f>IFERROR(__xludf.DUMMYFUNCTION("""COMPUTED_VALUE"""),"chara_spy_00101")</f>
        <v>chara_spy_00101</v>
      </c>
      <c r="E344" s="139">
        <f>IFERROR(__xludf.DUMMYFUNCTION("""COMPUTED_VALUE"""),10.0)</f>
        <v>10</v>
      </c>
      <c r="F344" s="139" t="str">
        <f>IFERROR(__xludf.DUMMYFUNCTION("""COMPUTED_VALUE"""),"Special")</f>
        <v>Special</v>
      </c>
      <c r="G344" s="139" t="str">
        <f>IFERROR(__xludf.DUMMYFUNCTION("""COMPUTED_VALUE"""),"Blue")</f>
        <v>Blue</v>
      </c>
      <c r="H344" s="139">
        <f>IFERROR(__xludf.DUMMYFUNCTION("""COMPUTED_VALUE"""),170.0)</f>
        <v>170</v>
      </c>
      <c r="I344" s="139">
        <f>IFERROR(__xludf.DUMMYFUNCTION("""COMPUTED_VALUE"""),125.0)</f>
        <v>125</v>
      </c>
      <c r="J344" s="139">
        <f>IFERROR(__xludf.DUMMYFUNCTION("""COMPUTED_VALUE"""),67.0)</f>
        <v>67</v>
      </c>
      <c r="K344" s="139">
        <f>IFERROR(__xludf.DUMMYFUNCTION("""COMPUTED_VALUE"""),0.0)</f>
        <v>0</v>
      </c>
      <c r="L344" s="139"/>
      <c r="M344" s="139"/>
      <c r="N344" s="139"/>
    </row>
    <row r="345">
      <c r="A345" s="139" t="str">
        <f>IFERROR(__xludf.DUMMYFUNCTION("""COMPUTED_VALUE"""),"e")</f>
        <v>e</v>
      </c>
      <c r="B345" s="139">
        <f>IFERROR(__xludf.DUMMYFUNCTION("""COMPUTED_VALUE"""),2.0250901E8)</f>
        <v>202509010</v>
      </c>
      <c r="C345" s="139" t="str">
        <f>IFERROR(__xludf.DUMMYFUNCTION("""COMPUTED_VALUE"""),"chara_sur_00401_Normal_00000")</f>
        <v>chara_sur_00401_Normal_00000</v>
      </c>
      <c r="D345" s="139" t="str">
        <f>IFERROR(__xludf.DUMMYFUNCTION("""COMPUTED_VALUE"""),"chara_sur_00401")</f>
        <v>chara_sur_00401</v>
      </c>
      <c r="E345" s="139">
        <f>IFERROR(__xludf.DUMMYFUNCTION("""COMPUTED_VALUE"""),0.0)</f>
        <v>0</v>
      </c>
      <c r="F345" s="139" t="str">
        <f>IFERROR(__xludf.DUMMYFUNCTION("""COMPUTED_VALUE"""),"Normal")</f>
        <v>Normal</v>
      </c>
      <c r="G345" s="139"/>
      <c r="H345" s="139"/>
      <c r="I345" s="139">
        <f>IFERROR(__xludf.DUMMYFUNCTION("""COMPUTED_VALUE"""),0.0)</f>
        <v>0</v>
      </c>
      <c r="J345" s="139">
        <f>IFERROR(__xludf.DUMMYFUNCTION("""COMPUTED_VALUE"""),0.0)</f>
        <v>0</v>
      </c>
      <c r="K345" s="139">
        <f>IFERROR(__xludf.DUMMYFUNCTION("""COMPUTED_VALUE"""),0.0)</f>
        <v>0</v>
      </c>
      <c r="L345" s="139"/>
      <c r="M345" s="139" t="str">
        <f>IFERROR(__xludf.DUMMYFUNCTION("""COMPUTED_VALUE"""),"表示場所なし")</f>
        <v>表示場所なし</v>
      </c>
      <c r="N345" s="139"/>
    </row>
    <row r="346">
      <c r="A346" s="139" t="str">
        <f>IFERROR(__xludf.DUMMYFUNCTION("""COMPUTED_VALUE"""),"e")</f>
        <v>e</v>
      </c>
      <c r="B346" s="139">
        <f>IFERROR(__xludf.DUMMYFUNCTION("""COMPUTED_VALUE"""),2.0250901E8)</f>
        <v>202509010</v>
      </c>
      <c r="C346" s="139" t="str">
        <f>IFERROR(__xludf.DUMMYFUNCTION("""COMPUTED_VALUE"""),"chara_sur_00401_Special_00001")</f>
        <v>chara_sur_00401_Special_00001</v>
      </c>
      <c r="D346" s="139" t="str">
        <f>IFERROR(__xludf.DUMMYFUNCTION("""COMPUTED_VALUE"""),"chara_sur_00401")</f>
        <v>chara_sur_00401</v>
      </c>
      <c r="E346" s="139">
        <f>IFERROR(__xludf.DUMMYFUNCTION("""COMPUTED_VALUE"""),1.0)</f>
        <v>1</v>
      </c>
      <c r="F346" s="139" t="str">
        <f>IFERROR(__xludf.DUMMYFUNCTION("""COMPUTED_VALUE"""),"Special")</f>
        <v>Special</v>
      </c>
      <c r="G346" s="139"/>
      <c r="H346" s="139"/>
      <c r="I346" s="139">
        <f>IFERROR(__xludf.DUMMYFUNCTION("""COMPUTED_VALUE"""),125.0)</f>
        <v>125</v>
      </c>
      <c r="J346" s="139">
        <f>IFERROR(__xludf.DUMMYFUNCTION("""COMPUTED_VALUE"""),0.0)</f>
        <v>0</v>
      </c>
      <c r="K346" s="139">
        <f>IFERROR(__xludf.DUMMYFUNCTION("""COMPUTED_VALUE"""),0.0)</f>
        <v>0</v>
      </c>
      <c r="L346" s="139"/>
      <c r="M346" s="139" t="str">
        <f>IFERROR(__xludf.DUMMYFUNCTION("""COMPUTED_VALUE"""),"次回発動するJUMBLE RUSHのダメージを{chara_sur_00401_Special_00001_effect_parameter}%UP")</f>
        <v>次回発動するJUMBLE RUSHのダメージを{chara_sur_00401_Special_00001_effect_parameter}%UP</v>
      </c>
      <c r="N346" s="139"/>
    </row>
    <row r="347">
      <c r="A347" s="139" t="str">
        <f>IFERROR(__xludf.DUMMYFUNCTION("""COMPUTED_VALUE"""),"e")</f>
        <v>e</v>
      </c>
      <c r="B347" s="139">
        <f>IFERROR(__xludf.DUMMYFUNCTION("""COMPUTED_VALUE"""),2.0250901E8)</f>
        <v>202509010</v>
      </c>
      <c r="C347" s="139" t="str">
        <f>IFERROR(__xludf.DUMMYFUNCTION("""COMPUTED_VALUE"""),"chara_sur_00401_Special_00002")</f>
        <v>chara_sur_00401_Special_00002</v>
      </c>
      <c r="D347" s="139" t="str">
        <f>IFERROR(__xludf.DUMMYFUNCTION("""COMPUTED_VALUE"""),"chara_sur_00401")</f>
        <v>chara_sur_00401</v>
      </c>
      <c r="E347" s="139">
        <f>IFERROR(__xludf.DUMMYFUNCTION("""COMPUTED_VALUE"""),2.0)</f>
        <v>2</v>
      </c>
      <c r="F347" s="139" t="str">
        <f>IFERROR(__xludf.DUMMYFUNCTION("""COMPUTED_VALUE"""),"Special")</f>
        <v>Special</v>
      </c>
      <c r="G347" s="139"/>
      <c r="H347" s="139"/>
      <c r="I347" s="139">
        <f>IFERROR(__xludf.DUMMYFUNCTION("""COMPUTED_VALUE"""),125.0)</f>
        <v>125</v>
      </c>
      <c r="J347" s="139">
        <f>IFERROR(__xludf.DUMMYFUNCTION("""COMPUTED_VALUE"""),0.0)</f>
        <v>0</v>
      </c>
      <c r="K347" s="139">
        <f>IFERROR(__xludf.DUMMYFUNCTION("""COMPUTED_VALUE"""),0.0)</f>
        <v>0</v>
      </c>
      <c r="L347" s="139"/>
      <c r="M347" s="139" t="str">
        <f>IFERROR(__xludf.DUMMYFUNCTION("""COMPUTED_VALUE"""),"次回発動するJUMBLE RUSHのダメージを{chara_sur_00401_Special_00002_effect_parameter}%UP")</f>
        <v>次回発動するJUMBLE RUSHのダメージを{chara_sur_00401_Special_00002_effect_parameter}%UP</v>
      </c>
      <c r="N347" s="139" t="str">
        <f>IFERROR(__xludf.DUMMYFUNCTION("""COMPUTED_VALUE"""),"必殺ワザ性能UP")</f>
        <v>必殺ワザ性能UP</v>
      </c>
    </row>
    <row r="348">
      <c r="A348" s="139" t="str">
        <f>IFERROR(__xludf.DUMMYFUNCTION("""COMPUTED_VALUE"""),"e")</f>
        <v>e</v>
      </c>
      <c r="B348" s="139">
        <f>IFERROR(__xludf.DUMMYFUNCTION("""COMPUTED_VALUE"""),2.0250901E8)</f>
        <v>202509010</v>
      </c>
      <c r="C348" s="139" t="str">
        <f>IFERROR(__xludf.DUMMYFUNCTION("""COMPUTED_VALUE"""),"chara_sur_00401_Special_00003")</f>
        <v>chara_sur_00401_Special_00003</v>
      </c>
      <c r="D348" s="139" t="str">
        <f>IFERROR(__xludf.DUMMYFUNCTION("""COMPUTED_VALUE"""),"chara_sur_00401")</f>
        <v>chara_sur_00401</v>
      </c>
      <c r="E348" s="139">
        <f>IFERROR(__xludf.DUMMYFUNCTION("""COMPUTED_VALUE"""),3.0)</f>
        <v>3</v>
      </c>
      <c r="F348" s="139" t="str">
        <f>IFERROR(__xludf.DUMMYFUNCTION("""COMPUTED_VALUE"""),"Special")</f>
        <v>Special</v>
      </c>
      <c r="G348" s="139"/>
      <c r="H348" s="139"/>
      <c r="I348" s="139">
        <f>IFERROR(__xludf.DUMMYFUNCTION("""COMPUTED_VALUE"""),125.0)</f>
        <v>125</v>
      </c>
      <c r="J348" s="139">
        <f>IFERROR(__xludf.DUMMYFUNCTION("""COMPUTED_VALUE"""),0.0)</f>
        <v>0</v>
      </c>
      <c r="K348" s="139">
        <f>IFERROR(__xludf.DUMMYFUNCTION("""COMPUTED_VALUE"""),0.0)</f>
        <v>0</v>
      </c>
      <c r="L348" s="139"/>
      <c r="M348" s="139" t="str">
        <f>IFERROR(__xludf.DUMMYFUNCTION("""COMPUTED_VALUE"""),"次回発動するJUMBLE RUSHのダメージを{chara_sur_00401_Special_00003_effect_parameter}%UP")</f>
        <v>次回発動するJUMBLE RUSHのダメージを{chara_sur_00401_Special_00003_effect_parameter}%UP</v>
      </c>
      <c r="N348" s="139" t="str">
        <f>IFERROR(__xludf.DUMMYFUNCTION("""COMPUTED_VALUE"""),"必殺ワザ性能UP")</f>
        <v>必殺ワザ性能UP</v>
      </c>
    </row>
    <row r="349">
      <c r="A349" s="139" t="str">
        <f>IFERROR(__xludf.DUMMYFUNCTION("""COMPUTED_VALUE"""),"e")</f>
        <v>e</v>
      </c>
      <c r="B349" s="139">
        <f>IFERROR(__xludf.DUMMYFUNCTION("""COMPUTED_VALUE"""),2.0250901E8)</f>
        <v>202509010</v>
      </c>
      <c r="C349" s="139" t="str">
        <f>IFERROR(__xludf.DUMMYFUNCTION("""COMPUTED_VALUE"""),"chara_sur_00401_Special_00004")</f>
        <v>chara_sur_00401_Special_00004</v>
      </c>
      <c r="D349" s="139" t="str">
        <f>IFERROR(__xludf.DUMMYFUNCTION("""COMPUTED_VALUE"""),"chara_sur_00401")</f>
        <v>chara_sur_00401</v>
      </c>
      <c r="E349" s="139">
        <f>IFERROR(__xludf.DUMMYFUNCTION("""COMPUTED_VALUE"""),4.0)</f>
        <v>4</v>
      </c>
      <c r="F349" s="139" t="str">
        <f>IFERROR(__xludf.DUMMYFUNCTION("""COMPUTED_VALUE"""),"Special")</f>
        <v>Special</v>
      </c>
      <c r="G349" s="139"/>
      <c r="H349" s="139"/>
      <c r="I349" s="139">
        <f>IFERROR(__xludf.DUMMYFUNCTION("""COMPUTED_VALUE"""),125.0)</f>
        <v>125</v>
      </c>
      <c r="J349" s="139">
        <f>IFERROR(__xludf.DUMMYFUNCTION("""COMPUTED_VALUE"""),0.0)</f>
        <v>0</v>
      </c>
      <c r="K349" s="139">
        <f>IFERROR(__xludf.DUMMYFUNCTION("""COMPUTED_VALUE"""),0.0)</f>
        <v>0</v>
      </c>
      <c r="L349" s="139"/>
      <c r="M349" s="139" t="str">
        <f>IFERROR(__xludf.DUMMYFUNCTION("""COMPUTED_VALUE"""),"次回発動するJUMBLE RUSHのダメージを{chara_sur_00401_Special_00004_effect_parameter}%UP")</f>
        <v>次回発動するJUMBLE RUSHのダメージを{chara_sur_00401_Special_00004_effect_parameter}%UP</v>
      </c>
      <c r="N349" s="139" t="str">
        <f>IFERROR(__xludf.DUMMYFUNCTION("""COMPUTED_VALUE"""),"必殺ワザ性能UP")</f>
        <v>必殺ワザ性能UP</v>
      </c>
    </row>
    <row r="350">
      <c r="A350" s="139" t="str">
        <f>IFERROR(__xludf.DUMMYFUNCTION("""COMPUTED_VALUE"""),"e")</f>
        <v>e</v>
      </c>
      <c r="B350" s="139">
        <f>IFERROR(__xludf.DUMMYFUNCTION("""COMPUTED_VALUE"""),2.0250901E8)</f>
        <v>202509010</v>
      </c>
      <c r="C350" s="139" t="str">
        <f>IFERROR(__xludf.DUMMYFUNCTION("""COMPUTED_VALUE"""),"chara_sur_00401_Special_00005")</f>
        <v>chara_sur_00401_Special_00005</v>
      </c>
      <c r="D350" s="139" t="str">
        <f>IFERROR(__xludf.DUMMYFUNCTION("""COMPUTED_VALUE"""),"chara_sur_00401")</f>
        <v>chara_sur_00401</v>
      </c>
      <c r="E350" s="139">
        <f>IFERROR(__xludf.DUMMYFUNCTION("""COMPUTED_VALUE"""),5.0)</f>
        <v>5</v>
      </c>
      <c r="F350" s="139" t="str">
        <f>IFERROR(__xludf.DUMMYFUNCTION("""COMPUTED_VALUE"""),"Special")</f>
        <v>Special</v>
      </c>
      <c r="G350" s="139"/>
      <c r="H350" s="139"/>
      <c r="I350" s="139">
        <f>IFERROR(__xludf.DUMMYFUNCTION("""COMPUTED_VALUE"""),125.0)</f>
        <v>125</v>
      </c>
      <c r="J350" s="139">
        <f>IFERROR(__xludf.DUMMYFUNCTION("""COMPUTED_VALUE"""),0.0)</f>
        <v>0</v>
      </c>
      <c r="K350" s="139">
        <f>IFERROR(__xludf.DUMMYFUNCTION("""COMPUTED_VALUE"""),0.0)</f>
        <v>0</v>
      </c>
      <c r="L350" s="139"/>
      <c r="M350" s="139" t="str">
        <f>IFERROR(__xludf.DUMMYFUNCTION("""COMPUTED_VALUE"""),"次回発動するJUMBLE RUSHのダメージを{chara_sur_00401_Special_00005_effect_parameter}%UP")</f>
        <v>次回発動するJUMBLE RUSHのダメージを{chara_sur_00401_Special_00005_effect_parameter}%UP</v>
      </c>
      <c r="N350" s="139" t="str">
        <f>IFERROR(__xludf.DUMMYFUNCTION("""COMPUTED_VALUE"""),"必殺ワザ性能UP")</f>
        <v>必殺ワザ性能UP</v>
      </c>
    </row>
    <row r="351">
      <c r="A351" s="139"/>
      <c r="B351" s="139"/>
      <c r="C351" s="139" t="str">
        <f>IFERROR(__xludf.DUMMYFUNCTION("""COMPUTED_VALUE"""),"chara_sur_00401_Special_00006")</f>
        <v>chara_sur_00401_Special_00006</v>
      </c>
      <c r="D351" s="139" t="str">
        <f>IFERROR(__xludf.DUMMYFUNCTION("""COMPUTED_VALUE"""),"chara_sur_00401")</f>
        <v>chara_sur_00401</v>
      </c>
      <c r="E351" s="139">
        <f>IFERROR(__xludf.DUMMYFUNCTION("""COMPUTED_VALUE"""),6.0)</f>
        <v>6</v>
      </c>
      <c r="F351" s="139" t="str">
        <f>IFERROR(__xludf.DUMMYFUNCTION("""COMPUTED_VALUE"""),"Special")</f>
        <v>Special</v>
      </c>
      <c r="G351" s="139"/>
      <c r="H351" s="139"/>
      <c r="I351" s="139">
        <f>IFERROR(__xludf.DUMMYFUNCTION("""COMPUTED_VALUE"""),125.0)</f>
        <v>125</v>
      </c>
      <c r="J351" s="139">
        <f>IFERROR(__xludf.DUMMYFUNCTION("""COMPUTED_VALUE"""),75.0)</f>
        <v>75</v>
      </c>
      <c r="K351" s="139">
        <f>IFERROR(__xludf.DUMMYFUNCTION("""COMPUTED_VALUE"""),0.0)</f>
        <v>0</v>
      </c>
      <c r="L351" s="139"/>
      <c r="M351" s="139"/>
      <c r="N351" s="139"/>
    </row>
    <row r="352">
      <c r="A352" s="139"/>
      <c r="B352" s="139"/>
      <c r="C352" s="139" t="str">
        <f>IFERROR(__xludf.DUMMYFUNCTION("""COMPUTED_VALUE"""),"chara_sur_00401_Special_00007")</f>
        <v>chara_sur_00401_Special_00007</v>
      </c>
      <c r="D352" s="139" t="str">
        <f>IFERROR(__xludf.DUMMYFUNCTION("""COMPUTED_VALUE"""),"chara_sur_00401")</f>
        <v>chara_sur_00401</v>
      </c>
      <c r="E352" s="139">
        <f>IFERROR(__xludf.DUMMYFUNCTION("""COMPUTED_VALUE"""),7.0)</f>
        <v>7</v>
      </c>
      <c r="F352" s="139" t="str">
        <f>IFERROR(__xludf.DUMMYFUNCTION("""COMPUTED_VALUE"""),"Special")</f>
        <v>Special</v>
      </c>
      <c r="G352" s="139"/>
      <c r="H352" s="139"/>
      <c r="I352" s="139">
        <f>IFERROR(__xludf.DUMMYFUNCTION("""COMPUTED_VALUE"""),125.0)</f>
        <v>125</v>
      </c>
      <c r="J352" s="139">
        <f>IFERROR(__xludf.DUMMYFUNCTION("""COMPUTED_VALUE"""),75.0)</f>
        <v>75</v>
      </c>
      <c r="K352" s="139">
        <f>IFERROR(__xludf.DUMMYFUNCTION("""COMPUTED_VALUE"""),0.0)</f>
        <v>0</v>
      </c>
      <c r="L352" s="139"/>
      <c r="M352" s="139"/>
      <c r="N352" s="139"/>
    </row>
    <row r="353">
      <c r="A353" s="139"/>
      <c r="B353" s="139"/>
      <c r="C353" s="139" t="str">
        <f>IFERROR(__xludf.DUMMYFUNCTION("""COMPUTED_VALUE"""),"chara_sur_00401_Special_00008")</f>
        <v>chara_sur_00401_Special_00008</v>
      </c>
      <c r="D353" s="139" t="str">
        <f>IFERROR(__xludf.DUMMYFUNCTION("""COMPUTED_VALUE"""),"chara_sur_00401")</f>
        <v>chara_sur_00401</v>
      </c>
      <c r="E353" s="139">
        <f>IFERROR(__xludf.DUMMYFUNCTION("""COMPUTED_VALUE"""),8.0)</f>
        <v>8</v>
      </c>
      <c r="F353" s="139" t="str">
        <f>IFERROR(__xludf.DUMMYFUNCTION("""COMPUTED_VALUE"""),"Special")</f>
        <v>Special</v>
      </c>
      <c r="G353" s="139"/>
      <c r="H353" s="139"/>
      <c r="I353" s="139">
        <f>IFERROR(__xludf.DUMMYFUNCTION("""COMPUTED_VALUE"""),125.0)</f>
        <v>125</v>
      </c>
      <c r="J353" s="139">
        <f>IFERROR(__xludf.DUMMYFUNCTION("""COMPUTED_VALUE"""),75.0)</f>
        <v>75</v>
      </c>
      <c r="K353" s="139">
        <f>IFERROR(__xludf.DUMMYFUNCTION("""COMPUTED_VALUE"""),0.0)</f>
        <v>0</v>
      </c>
      <c r="L353" s="139"/>
      <c r="M353" s="139"/>
      <c r="N353" s="139"/>
    </row>
    <row r="354">
      <c r="A354" s="139"/>
      <c r="B354" s="139"/>
      <c r="C354" s="139" t="str">
        <f>IFERROR(__xludf.DUMMYFUNCTION("""COMPUTED_VALUE"""),"chara_sur_00401_Special_00009")</f>
        <v>chara_sur_00401_Special_00009</v>
      </c>
      <c r="D354" s="139" t="str">
        <f>IFERROR(__xludf.DUMMYFUNCTION("""COMPUTED_VALUE"""),"chara_sur_00401")</f>
        <v>chara_sur_00401</v>
      </c>
      <c r="E354" s="139">
        <f>IFERROR(__xludf.DUMMYFUNCTION("""COMPUTED_VALUE"""),9.0)</f>
        <v>9</v>
      </c>
      <c r="F354" s="139" t="str">
        <f>IFERROR(__xludf.DUMMYFUNCTION("""COMPUTED_VALUE"""),"Special")</f>
        <v>Special</v>
      </c>
      <c r="G354" s="139"/>
      <c r="H354" s="139"/>
      <c r="I354" s="139">
        <f>IFERROR(__xludf.DUMMYFUNCTION("""COMPUTED_VALUE"""),125.0)</f>
        <v>125</v>
      </c>
      <c r="J354" s="139">
        <f>IFERROR(__xludf.DUMMYFUNCTION("""COMPUTED_VALUE"""),75.0)</f>
        <v>75</v>
      </c>
      <c r="K354" s="139">
        <f>IFERROR(__xludf.DUMMYFUNCTION("""COMPUTED_VALUE"""),0.0)</f>
        <v>0</v>
      </c>
      <c r="L354" s="139"/>
      <c r="M354" s="139"/>
      <c r="N354" s="139"/>
    </row>
    <row r="355">
      <c r="A355" s="139"/>
      <c r="B355" s="139"/>
      <c r="C355" s="139" t="str">
        <f>IFERROR(__xludf.DUMMYFUNCTION("""COMPUTED_VALUE"""),"chara_sur_00401_Special_00010")</f>
        <v>chara_sur_00401_Special_00010</v>
      </c>
      <c r="D355" s="139" t="str">
        <f>IFERROR(__xludf.DUMMYFUNCTION("""COMPUTED_VALUE"""),"chara_sur_00401")</f>
        <v>chara_sur_00401</v>
      </c>
      <c r="E355" s="139">
        <f>IFERROR(__xludf.DUMMYFUNCTION("""COMPUTED_VALUE"""),10.0)</f>
        <v>10</v>
      </c>
      <c r="F355" s="139" t="str">
        <f>IFERROR(__xludf.DUMMYFUNCTION("""COMPUTED_VALUE"""),"Special")</f>
        <v>Special</v>
      </c>
      <c r="G355" s="139"/>
      <c r="H355" s="139"/>
      <c r="I355" s="139">
        <f>IFERROR(__xludf.DUMMYFUNCTION("""COMPUTED_VALUE"""),125.0)</f>
        <v>125</v>
      </c>
      <c r="J355" s="139">
        <f>IFERROR(__xludf.DUMMYFUNCTION("""COMPUTED_VALUE"""),75.0)</f>
        <v>75</v>
      </c>
      <c r="K355" s="139">
        <f>IFERROR(__xludf.DUMMYFUNCTION("""COMPUTED_VALUE"""),0.0)</f>
        <v>0</v>
      </c>
      <c r="L355" s="139"/>
      <c r="M355" s="139"/>
      <c r="N355" s="139"/>
    </row>
    <row r="356">
      <c r="A356" s="139" t="str">
        <f>IFERROR(__xludf.DUMMYFUNCTION("""COMPUTED_VALUE"""),"e")</f>
        <v>e</v>
      </c>
      <c r="B356" s="139">
        <f>IFERROR(__xludf.DUMMYFUNCTION("""COMPUTED_VALUE"""),2.0250901E8)</f>
        <v>202509010</v>
      </c>
      <c r="C356" s="139" t="str">
        <f>IFERROR(__xludf.DUMMYFUNCTION("""COMPUTED_VALUE"""),"chara_spy_00001_Normal_00000")</f>
        <v>chara_spy_00001_Normal_00000</v>
      </c>
      <c r="D356" s="139" t="str">
        <f>IFERROR(__xludf.DUMMYFUNCTION("""COMPUTED_VALUE"""),"chara_spy_00001")</f>
        <v>chara_spy_00001</v>
      </c>
      <c r="E356" s="139">
        <f>IFERROR(__xludf.DUMMYFUNCTION("""COMPUTED_VALUE"""),0.0)</f>
        <v>0</v>
      </c>
      <c r="F356" s="139" t="str">
        <f>IFERROR(__xludf.DUMMYFUNCTION("""COMPUTED_VALUE"""),"Normal")</f>
        <v>Normal</v>
      </c>
      <c r="G356" s="139"/>
      <c r="H356" s="139"/>
      <c r="I356" s="139">
        <f>IFERROR(__xludf.DUMMYFUNCTION("""COMPUTED_VALUE"""),0.0)</f>
        <v>0</v>
      </c>
      <c r="J356" s="139">
        <f>IFERROR(__xludf.DUMMYFUNCTION("""COMPUTED_VALUE"""),0.0)</f>
        <v>0</v>
      </c>
      <c r="K356" s="139">
        <f>IFERROR(__xludf.DUMMYFUNCTION("""COMPUTED_VALUE"""),0.0)</f>
        <v>0</v>
      </c>
      <c r="L356" s="139"/>
      <c r="M356" s="139" t="str">
        <f>IFERROR(__xludf.DUMMYFUNCTION("""COMPUTED_VALUE"""),"表示場所なし")</f>
        <v>表示場所なし</v>
      </c>
      <c r="N356" s="139"/>
    </row>
    <row r="357">
      <c r="A357" s="139" t="str">
        <f>IFERROR(__xludf.DUMMYFUNCTION("""COMPUTED_VALUE"""),"e")</f>
        <v>e</v>
      </c>
      <c r="B357" s="139">
        <f>IFERROR(__xludf.DUMMYFUNCTION("""COMPUTED_VALUE"""),2.0250901E8)</f>
        <v>202509010</v>
      </c>
      <c r="C357" s="139" t="str">
        <f>IFERROR(__xludf.DUMMYFUNCTION("""COMPUTED_VALUE"""),"chara_spy_00001_Special_00001")</f>
        <v>chara_spy_00001_Special_00001</v>
      </c>
      <c r="D357" s="139" t="str">
        <f>IFERROR(__xludf.DUMMYFUNCTION("""COMPUTED_VALUE"""),"chara_spy_00001")</f>
        <v>chara_spy_00001</v>
      </c>
      <c r="E357" s="139">
        <f>IFERROR(__xludf.DUMMYFUNCTION("""COMPUTED_VALUE"""),1.0)</f>
        <v>1</v>
      </c>
      <c r="F357" s="139" t="str">
        <f>IFERROR(__xludf.DUMMYFUNCTION("""COMPUTED_VALUE"""),"Special")</f>
        <v>Special</v>
      </c>
      <c r="G357" s="139"/>
      <c r="H357" s="139"/>
      <c r="I357" s="139">
        <f>IFERROR(__xludf.DUMMYFUNCTION("""COMPUTED_VALUE"""),172.0)</f>
        <v>172</v>
      </c>
      <c r="J357" s="139">
        <f>IFERROR(__xludf.DUMMYFUNCTION("""COMPUTED_VALUE"""),0.0)</f>
        <v>0</v>
      </c>
      <c r="K357" s="139">
        <f>IFERROR(__xludf.DUMMYFUNCTION("""COMPUTED_VALUE"""),0.0)</f>
        <v>0</v>
      </c>
      <c r="L357" s="139"/>
      <c r="M357" s="139" t="str">
        <f>IFERROR(__xludf.DUMMYFUNCTION("""COMPUTED_VALUE"""),"選択したコマとその前後のコマにいる味方の体力を{chara_spy_00001_Special_00001a_power_parameter}%回復 + 味方の攻撃を{chara_spy_00001_Special_00001b_effective_duration}秒間、{chara_spy_00001_Special_00001b_effect_parameter}%UP")</f>
        <v>選択したコマとその前後のコマにいる味方の体力を{chara_spy_00001_Special_00001a_power_parameter}%回復 + 味方の攻撃を{chara_spy_00001_Special_00001b_effective_duration}秒間、{chara_spy_00001_Special_00001b_effect_parameter}%UP</v>
      </c>
      <c r="N357" s="139"/>
    </row>
    <row r="358">
      <c r="A358" s="139" t="str">
        <f>IFERROR(__xludf.DUMMYFUNCTION("""COMPUTED_VALUE"""),"e")</f>
        <v>e</v>
      </c>
      <c r="B358" s="139">
        <f>IFERROR(__xludf.DUMMYFUNCTION("""COMPUTED_VALUE"""),2.0250901E8)</f>
        <v>202509010</v>
      </c>
      <c r="C358" s="139" t="str">
        <f>IFERROR(__xludf.DUMMYFUNCTION("""COMPUTED_VALUE"""),"chara_spy_00001_Special_00002")</f>
        <v>chara_spy_00001_Special_00002</v>
      </c>
      <c r="D358" s="139" t="str">
        <f>IFERROR(__xludf.DUMMYFUNCTION("""COMPUTED_VALUE"""),"chara_spy_00001")</f>
        <v>chara_spy_00001</v>
      </c>
      <c r="E358" s="139">
        <f>IFERROR(__xludf.DUMMYFUNCTION("""COMPUTED_VALUE"""),2.0)</f>
        <v>2</v>
      </c>
      <c r="F358" s="139" t="str">
        <f>IFERROR(__xludf.DUMMYFUNCTION("""COMPUTED_VALUE"""),"Special")</f>
        <v>Special</v>
      </c>
      <c r="G358" s="139"/>
      <c r="H358" s="139"/>
      <c r="I358" s="139">
        <f>IFERROR(__xludf.DUMMYFUNCTION("""COMPUTED_VALUE"""),172.0)</f>
        <v>172</v>
      </c>
      <c r="J358" s="139">
        <f>IFERROR(__xludf.DUMMYFUNCTION("""COMPUTED_VALUE"""),0.0)</f>
        <v>0</v>
      </c>
      <c r="K358" s="139">
        <f>IFERROR(__xludf.DUMMYFUNCTION("""COMPUTED_VALUE"""),0.0)</f>
        <v>0</v>
      </c>
      <c r="L358" s="139"/>
      <c r="M358" s="139" t="str">
        <f>IFERROR(__xludf.DUMMYFUNCTION("""COMPUTED_VALUE"""),"選択したコマとその前後のコマにいる味方の体力を{chara_spy_00001_Special_00002a_power_parameter}%回復 + 味方の攻撃を{chara_spy_00001_Special_00002b_effective_duration}秒間、{chara_spy_00001_Special_00002b_effect_parameter}%UP")</f>
        <v>選択したコマとその前後のコマにいる味方の体力を{chara_spy_00001_Special_00002a_power_parameter}%回復 + 味方の攻撃を{chara_spy_00001_Special_00002b_effective_duration}秒間、{chara_spy_00001_Special_00002b_effect_parameter}%UP</v>
      </c>
      <c r="N358" s="139" t="str">
        <f>IFERROR(__xludf.DUMMYFUNCTION("""COMPUTED_VALUE"""),"必殺ワザ性能UP")</f>
        <v>必殺ワザ性能UP</v>
      </c>
    </row>
    <row r="359">
      <c r="A359" s="139" t="str">
        <f>IFERROR(__xludf.DUMMYFUNCTION("""COMPUTED_VALUE"""),"e")</f>
        <v>e</v>
      </c>
      <c r="B359" s="139">
        <f>IFERROR(__xludf.DUMMYFUNCTION("""COMPUTED_VALUE"""),2.0250901E8)</f>
        <v>202509010</v>
      </c>
      <c r="C359" s="139" t="str">
        <f>IFERROR(__xludf.DUMMYFUNCTION("""COMPUTED_VALUE"""),"chara_spy_00001_Special_00003")</f>
        <v>chara_spy_00001_Special_00003</v>
      </c>
      <c r="D359" s="139" t="str">
        <f>IFERROR(__xludf.DUMMYFUNCTION("""COMPUTED_VALUE"""),"chara_spy_00001")</f>
        <v>chara_spy_00001</v>
      </c>
      <c r="E359" s="139">
        <f>IFERROR(__xludf.DUMMYFUNCTION("""COMPUTED_VALUE"""),3.0)</f>
        <v>3</v>
      </c>
      <c r="F359" s="139" t="str">
        <f>IFERROR(__xludf.DUMMYFUNCTION("""COMPUTED_VALUE"""),"Special")</f>
        <v>Special</v>
      </c>
      <c r="G359" s="139"/>
      <c r="H359" s="139"/>
      <c r="I359" s="139">
        <f>IFERROR(__xludf.DUMMYFUNCTION("""COMPUTED_VALUE"""),172.0)</f>
        <v>172</v>
      </c>
      <c r="J359" s="139">
        <f>IFERROR(__xludf.DUMMYFUNCTION("""COMPUTED_VALUE"""),0.0)</f>
        <v>0</v>
      </c>
      <c r="K359" s="139">
        <f>IFERROR(__xludf.DUMMYFUNCTION("""COMPUTED_VALUE"""),0.0)</f>
        <v>0</v>
      </c>
      <c r="L359" s="139"/>
      <c r="M359" s="139" t="str">
        <f>IFERROR(__xludf.DUMMYFUNCTION("""COMPUTED_VALUE"""),"選択したコマとその前後のコマにいる味方の体力を{chara_spy_00001_Special_00003a_power_parameter}%回復 + 味方の攻撃を{chara_spy_00001_Special_00003b_effective_duration}秒間、{chara_spy_00001_Special_00003b_effect_parameter}%UP")</f>
        <v>選択したコマとその前後のコマにいる味方の体力を{chara_spy_00001_Special_00003a_power_parameter}%回復 + 味方の攻撃を{chara_spy_00001_Special_00003b_effective_duration}秒間、{chara_spy_00001_Special_00003b_effect_parameter}%UP</v>
      </c>
      <c r="N359" s="139" t="str">
        <f>IFERROR(__xludf.DUMMYFUNCTION("""COMPUTED_VALUE"""),"必殺ワザ性能UP")</f>
        <v>必殺ワザ性能UP</v>
      </c>
    </row>
    <row r="360">
      <c r="A360" s="139" t="str">
        <f>IFERROR(__xludf.DUMMYFUNCTION("""COMPUTED_VALUE"""),"e")</f>
        <v>e</v>
      </c>
      <c r="B360" s="139">
        <f>IFERROR(__xludf.DUMMYFUNCTION("""COMPUTED_VALUE"""),2.0250901E8)</f>
        <v>202509010</v>
      </c>
      <c r="C360" s="139" t="str">
        <f>IFERROR(__xludf.DUMMYFUNCTION("""COMPUTED_VALUE"""),"chara_spy_00001_Special_00004")</f>
        <v>chara_spy_00001_Special_00004</v>
      </c>
      <c r="D360" s="139" t="str">
        <f>IFERROR(__xludf.DUMMYFUNCTION("""COMPUTED_VALUE"""),"chara_spy_00001")</f>
        <v>chara_spy_00001</v>
      </c>
      <c r="E360" s="139">
        <f>IFERROR(__xludf.DUMMYFUNCTION("""COMPUTED_VALUE"""),4.0)</f>
        <v>4</v>
      </c>
      <c r="F360" s="139" t="str">
        <f>IFERROR(__xludf.DUMMYFUNCTION("""COMPUTED_VALUE"""),"Special")</f>
        <v>Special</v>
      </c>
      <c r="G360" s="139"/>
      <c r="H360" s="139"/>
      <c r="I360" s="139">
        <f>IFERROR(__xludf.DUMMYFUNCTION("""COMPUTED_VALUE"""),172.0)</f>
        <v>172</v>
      </c>
      <c r="J360" s="139">
        <f>IFERROR(__xludf.DUMMYFUNCTION("""COMPUTED_VALUE"""),0.0)</f>
        <v>0</v>
      </c>
      <c r="K360" s="139">
        <f>IFERROR(__xludf.DUMMYFUNCTION("""COMPUTED_VALUE"""),0.0)</f>
        <v>0</v>
      </c>
      <c r="L360" s="139"/>
      <c r="M360" s="139" t="str">
        <f>IFERROR(__xludf.DUMMYFUNCTION("""COMPUTED_VALUE"""),"選択したコマとその前後のコマにいる味方の体力を{chara_spy_00001_Special_00004a_power_parameter}%回復 + 味方の攻撃を{chara_spy_00001_Special_00004b_effective_duration}秒間、{chara_spy_00001_Special_00004b_effect_parameter}%UP")</f>
        <v>選択したコマとその前後のコマにいる味方の体力を{chara_spy_00001_Special_00004a_power_parameter}%回復 + 味方の攻撃を{chara_spy_00001_Special_00004b_effective_duration}秒間、{chara_spy_00001_Special_00004b_effect_parameter}%UP</v>
      </c>
      <c r="N360" s="139" t="str">
        <f>IFERROR(__xludf.DUMMYFUNCTION("""COMPUTED_VALUE"""),"必殺ワザ性能UP")</f>
        <v>必殺ワザ性能UP</v>
      </c>
    </row>
    <row r="361">
      <c r="A361" s="139" t="str">
        <f>IFERROR(__xludf.DUMMYFUNCTION("""COMPUTED_VALUE"""),"e")</f>
        <v>e</v>
      </c>
      <c r="B361" s="139">
        <f>IFERROR(__xludf.DUMMYFUNCTION("""COMPUTED_VALUE"""),2.0250901E8)</f>
        <v>202509010</v>
      </c>
      <c r="C361" s="139" t="str">
        <f>IFERROR(__xludf.DUMMYFUNCTION("""COMPUTED_VALUE"""),"chara_spy_00001_Special_00005")</f>
        <v>chara_spy_00001_Special_00005</v>
      </c>
      <c r="D361" s="139" t="str">
        <f>IFERROR(__xludf.DUMMYFUNCTION("""COMPUTED_VALUE"""),"chara_spy_00001")</f>
        <v>chara_spy_00001</v>
      </c>
      <c r="E361" s="139">
        <f>IFERROR(__xludf.DUMMYFUNCTION("""COMPUTED_VALUE"""),5.0)</f>
        <v>5</v>
      </c>
      <c r="F361" s="139" t="str">
        <f>IFERROR(__xludf.DUMMYFUNCTION("""COMPUTED_VALUE"""),"Special")</f>
        <v>Special</v>
      </c>
      <c r="G361" s="139"/>
      <c r="H361" s="139"/>
      <c r="I361" s="139">
        <f>IFERROR(__xludf.DUMMYFUNCTION("""COMPUTED_VALUE"""),172.0)</f>
        <v>172</v>
      </c>
      <c r="J361" s="139">
        <f>IFERROR(__xludf.DUMMYFUNCTION("""COMPUTED_VALUE"""),0.0)</f>
        <v>0</v>
      </c>
      <c r="K361" s="139">
        <f>IFERROR(__xludf.DUMMYFUNCTION("""COMPUTED_VALUE"""),0.0)</f>
        <v>0</v>
      </c>
      <c r="L361" s="139"/>
      <c r="M361" s="139" t="str">
        <f>IFERROR(__xludf.DUMMYFUNCTION("""COMPUTED_VALUE"""),"選択したコマとその前後のコマにいる味方の体力を{chara_spy_00001_Special_00005a_power_parameter}%回復 + 味方の攻撃を{chara_spy_00001_Special_00005b_effective_duration}秒間、{chara_spy_00001_Special_00005b_effect_parameter}%UP")</f>
        <v>選択したコマとその前後のコマにいる味方の体力を{chara_spy_00001_Special_00005a_power_parameter}%回復 + 味方の攻撃を{chara_spy_00001_Special_00005b_effective_duration}秒間、{chara_spy_00001_Special_00005b_effect_parameter}%UP</v>
      </c>
      <c r="N361" s="139" t="str">
        <f>IFERROR(__xludf.DUMMYFUNCTION("""COMPUTED_VALUE"""),"必殺ワザ性能UP")</f>
        <v>必殺ワザ性能UP</v>
      </c>
    </row>
    <row r="362">
      <c r="A362" s="139"/>
      <c r="B362" s="139"/>
      <c r="C362" s="139" t="str">
        <f>IFERROR(__xludf.DUMMYFUNCTION("""COMPUTED_VALUE"""),"chara_spy_00001_Special_00006")</f>
        <v>chara_spy_00001_Special_00006</v>
      </c>
      <c r="D362" s="139" t="str">
        <f>IFERROR(__xludf.DUMMYFUNCTION("""COMPUTED_VALUE"""),"chara_spy_00001")</f>
        <v>chara_spy_00001</v>
      </c>
      <c r="E362" s="139">
        <f>IFERROR(__xludf.DUMMYFUNCTION("""COMPUTED_VALUE"""),6.0)</f>
        <v>6</v>
      </c>
      <c r="F362" s="139" t="str">
        <f>IFERROR(__xludf.DUMMYFUNCTION("""COMPUTED_VALUE"""),"Special")</f>
        <v>Special</v>
      </c>
      <c r="G362" s="139"/>
      <c r="H362" s="139"/>
      <c r="I362" s="139">
        <f>IFERROR(__xludf.DUMMYFUNCTION("""COMPUTED_VALUE"""),172.0)</f>
        <v>172</v>
      </c>
      <c r="J362" s="139">
        <f>IFERROR(__xludf.DUMMYFUNCTION("""COMPUTED_VALUE"""),50.0)</f>
        <v>50</v>
      </c>
      <c r="K362" s="139">
        <f>IFERROR(__xludf.DUMMYFUNCTION("""COMPUTED_VALUE"""),0.0)</f>
        <v>0</v>
      </c>
      <c r="L362" s="139"/>
      <c r="M362" s="139"/>
      <c r="N362" s="139"/>
    </row>
    <row r="363">
      <c r="A363" s="139"/>
      <c r="B363" s="139"/>
      <c r="C363" s="139" t="str">
        <f>IFERROR(__xludf.DUMMYFUNCTION("""COMPUTED_VALUE"""),"chara_spy_00001_Special_00007")</f>
        <v>chara_spy_00001_Special_00007</v>
      </c>
      <c r="D363" s="139" t="str">
        <f>IFERROR(__xludf.DUMMYFUNCTION("""COMPUTED_VALUE"""),"chara_spy_00001")</f>
        <v>chara_spy_00001</v>
      </c>
      <c r="E363" s="139">
        <f>IFERROR(__xludf.DUMMYFUNCTION("""COMPUTED_VALUE"""),7.0)</f>
        <v>7</v>
      </c>
      <c r="F363" s="139" t="str">
        <f>IFERROR(__xludf.DUMMYFUNCTION("""COMPUTED_VALUE"""),"Special")</f>
        <v>Special</v>
      </c>
      <c r="G363" s="139"/>
      <c r="H363" s="139"/>
      <c r="I363" s="139">
        <f>IFERROR(__xludf.DUMMYFUNCTION("""COMPUTED_VALUE"""),172.0)</f>
        <v>172</v>
      </c>
      <c r="J363" s="139">
        <f>IFERROR(__xludf.DUMMYFUNCTION("""COMPUTED_VALUE"""),50.0)</f>
        <v>50</v>
      </c>
      <c r="K363" s="139">
        <f>IFERROR(__xludf.DUMMYFUNCTION("""COMPUTED_VALUE"""),0.0)</f>
        <v>0</v>
      </c>
      <c r="L363" s="139"/>
      <c r="M363" s="139"/>
      <c r="N363" s="139"/>
    </row>
    <row r="364">
      <c r="A364" s="139"/>
      <c r="B364" s="139"/>
      <c r="C364" s="139" t="str">
        <f>IFERROR(__xludf.DUMMYFUNCTION("""COMPUTED_VALUE"""),"chara_spy_00001_Special_00008")</f>
        <v>chara_spy_00001_Special_00008</v>
      </c>
      <c r="D364" s="139" t="str">
        <f>IFERROR(__xludf.DUMMYFUNCTION("""COMPUTED_VALUE"""),"chara_spy_00001")</f>
        <v>chara_spy_00001</v>
      </c>
      <c r="E364" s="139">
        <f>IFERROR(__xludf.DUMMYFUNCTION("""COMPUTED_VALUE"""),8.0)</f>
        <v>8</v>
      </c>
      <c r="F364" s="139" t="str">
        <f>IFERROR(__xludf.DUMMYFUNCTION("""COMPUTED_VALUE"""),"Special")</f>
        <v>Special</v>
      </c>
      <c r="G364" s="139"/>
      <c r="H364" s="139"/>
      <c r="I364" s="139">
        <f>IFERROR(__xludf.DUMMYFUNCTION("""COMPUTED_VALUE"""),172.0)</f>
        <v>172</v>
      </c>
      <c r="J364" s="139">
        <f>IFERROR(__xludf.DUMMYFUNCTION("""COMPUTED_VALUE"""),50.0)</f>
        <v>50</v>
      </c>
      <c r="K364" s="139">
        <f>IFERROR(__xludf.DUMMYFUNCTION("""COMPUTED_VALUE"""),0.0)</f>
        <v>0</v>
      </c>
      <c r="L364" s="139"/>
      <c r="M364" s="139"/>
      <c r="N364" s="139"/>
    </row>
    <row r="365">
      <c r="A365" s="139"/>
      <c r="B365" s="139"/>
      <c r="C365" s="139" t="str">
        <f>IFERROR(__xludf.DUMMYFUNCTION("""COMPUTED_VALUE"""),"chara_spy_00001_Special_00009")</f>
        <v>chara_spy_00001_Special_00009</v>
      </c>
      <c r="D365" s="139" t="str">
        <f>IFERROR(__xludf.DUMMYFUNCTION("""COMPUTED_VALUE"""),"chara_spy_00001")</f>
        <v>chara_spy_00001</v>
      </c>
      <c r="E365" s="139">
        <f>IFERROR(__xludf.DUMMYFUNCTION("""COMPUTED_VALUE"""),9.0)</f>
        <v>9</v>
      </c>
      <c r="F365" s="139" t="str">
        <f>IFERROR(__xludf.DUMMYFUNCTION("""COMPUTED_VALUE"""),"Special")</f>
        <v>Special</v>
      </c>
      <c r="G365" s="139"/>
      <c r="H365" s="139"/>
      <c r="I365" s="139">
        <f>IFERROR(__xludf.DUMMYFUNCTION("""COMPUTED_VALUE"""),172.0)</f>
        <v>172</v>
      </c>
      <c r="J365" s="139">
        <f>IFERROR(__xludf.DUMMYFUNCTION("""COMPUTED_VALUE"""),50.0)</f>
        <v>50</v>
      </c>
      <c r="K365" s="139">
        <f>IFERROR(__xludf.DUMMYFUNCTION("""COMPUTED_VALUE"""),0.0)</f>
        <v>0</v>
      </c>
      <c r="L365" s="139"/>
      <c r="M365" s="139"/>
      <c r="N365" s="139"/>
    </row>
    <row r="366">
      <c r="A366" s="139"/>
      <c r="B366" s="139"/>
      <c r="C366" s="139" t="str">
        <f>IFERROR(__xludf.DUMMYFUNCTION("""COMPUTED_VALUE"""),"chara_spy_00001_Special_00010")</f>
        <v>chara_spy_00001_Special_00010</v>
      </c>
      <c r="D366" s="139" t="str">
        <f>IFERROR(__xludf.DUMMYFUNCTION("""COMPUTED_VALUE"""),"chara_spy_00001")</f>
        <v>chara_spy_00001</v>
      </c>
      <c r="E366" s="139">
        <f>IFERROR(__xludf.DUMMYFUNCTION("""COMPUTED_VALUE"""),10.0)</f>
        <v>10</v>
      </c>
      <c r="F366" s="139" t="str">
        <f>IFERROR(__xludf.DUMMYFUNCTION("""COMPUTED_VALUE"""),"Special")</f>
        <v>Special</v>
      </c>
      <c r="G366" s="139"/>
      <c r="H366" s="139"/>
      <c r="I366" s="139">
        <f>IFERROR(__xludf.DUMMYFUNCTION("""COMPUTED_VALUE"""),172.0)</f>
        <v>172</v>
      </c>
      <c r="J366" s="139">
        <f>IFERROR(__xludf.DUMMYFUNCTION("""COMPUTED_VALUE"""),50.0)</f>
        <v>50</v>
      </c>
      <c r="K366" s="139">
        <f>IFERROR(__xludf.DUMMYFUNCTION("""COMPUTED_VALUE"""),0.0)</f>
        <v>0</v>
      </c>
      <c r="L366" s="139"/>
      <c r="M366" s="139"/>
      <c r="N366" s="139"/>
    </row>
    <row r="367">
      <c r="A367" s="139" t="str">
        <f>IFERROR(__xludf.DUMMYFUNCTION("""COMPUTED_VALUE"""),"e")</f>
        <v>e</v>
      </c>
      <c r="B367" s="139">
        <f>IFERROR(__xludf.DUMMYFUNCTION("""COMPUTED_VALUE"""),2.0251001E8)</f>
        <v>202510010</v>
      </c>
      <c r="C367" s="139" t="str">
        <f>IFERROR(__xludf.DUMMYFUNCTION("""COMPUTED_VALUE"""),"chara_spy_00301_Normal_00000")</f>
        <v>chara_spy_00301_Normal_00000</v>
      </c>
      <c r="D367" s="139" t="str">
        <f>IFERROR(__xludf.DUMMYFUNCTION("""COMPUTED_VALUE"""),"chara_spy_00301")</f>
        <v>chara_spy_00301</v>
      </c>
      <c r="E367" s="139">
        <f>IFERROR(__xludf.DUMMYFUNCTION("""COMPUTED_VALUE"""),0.0)</f>
        <v>0</v>
      </c>
      <c r="F367" s="139" t="str">
        <f>IFERROR(__xludf.DUMMYFUNCTION("""COMPUTED_VALUE"""),"Normal")</f>
        <v>Normal</v>
      </c>
      <c r="G367" s="139"/>
      <c r="H367" s="139"/>
      <c r="I367" s="139">
        <f>IFERROR(__xludf.DUMMYFUNCTION("""COMPUTED_VALUE"""),0.0)</f>
        <v>0</v>
      </c>
      <c r="J367" s="139">
        <f>IFERROR(__xludf.DUMMYFUNCTION("""COMPUTED_VALUE"""),0.0)</f>
        <v>0</v>
      </c>
      <c r="K367" s="139">
        <f>IFERROR(__xludf.DUMMYFUNCTION("""COMPUTED_VALUE"""),0.0)</f>
        <v>0</v>
      </c>
      <c r="L367" s="139"/>
      <c r="M367" s="139" t="str">
        <f>IFERROR(__xludf.DUMMYFUNCTION("""COMPUTED_VALUE"""),"表示場所なし")</f>
        <v>表示場所なし</v>
      </c>
      <c r="N367" s="139"/>
    </row>
    <row r="368">
      <c r="A368" s="139" t="str">
        <f>IFERROR(__xludf.DUMMYFUNCTION("""COMPUTED_VALUE"""),"e")</f>
        <v>e</v>
      </c>
      <c r="B368" s="139">
        <f>IFERROR(__xludf.DUMMYFUNCTION("""COMPUTED_VALUE"""),2.0251001E8)</f>
        <v>202510010</v>
      </c>
      <c r="C368" s="139" t="str">
        <f>IFERROR(__xludf.DUMMYFUNCTION("""COMPUTED_VALUE"""),"chara_spy_00301_Special_00001")</f>
        <v>chara_spy_00301_Special_00001</v>
      </c>
      <c r="D368" s="139" t="str">
        <f>IFERROR(__xludf.DUMMYFUNCTION("""COMPUTED_VALUE"""),"chara_spy_00301")</f>
        <v>chara_spy_00301</v>
      </c>
      <c r="E368" s="139">
        <f>IFERROR(__xludf.DUMMYFUNCTION("""COMPUTED_VALUE"""),1.0)</f>
        <v>1</v>
      </c>
      <c r="F368" s="139" t="str">
        <f>IFERROR(__xludf.DUMMYFUNCTION("""COMPUTED_VALUE"""),"Special")</f>
        <v>Special</v>
      </c>
      <c r="G368" s="139"/>
      <c r="H368" s="139"/>
      <c r="I368" s="139">
        <f>IFERROR(__xludf.DUMMYFUNCTION("""COMPUTED_VALUE"""),105.0)</f>
        <v>105</v>
      </c>
      <c r="J368" s="139">
        <f>IFERROR(__xludf.DUMMYFUNCTION("""COMPUTED_VALUE"""),0.0)</f>
        <v>0</v>
      </c>
      <c r="K368" s="139">
        <f>IFERROR(__xludf.DUMMYFUNCTION("""COMPUTED_VALUE"""),0.0)</f>
        <v>0</v>
      </c>
      <c r="L368" s="139"/>
      <c r="M368" s="139" t="str">
        <f>IFERROR(__xludf.DUMMYFUNCTION("""COMPUTED_VALUE"""),"選択したコマにいる味方アタックキャラの攻撃を{chara_spy_00301_Special_00001_effective_duration}秒間、{chara_spy_00301_Special_00001_effect_parameter}%UP")</f>
        <v>選択したコマにいる味方アタックキャラの攻撃を{chara_spy_00301_Special_00001_effective_duration}秒間、{chara_spy_00301_Special_00001_effect_parameter}%UP</v>
      </c>
      <c r="N368" s="139"/>
    </row>
    <row r="369">
      <c r="A369" s="139" t="str">
        <f>IFERROR(__xludf.DUMMYFUNCTION("""COMPUTED_VALUE"""),"e")</f>
        <v>e</v>
      </c>
      <c r="B369" s="139">
        <f>IFERROR(__xludf.DUMMYFUNCTION("""COMPUTED_VALUE"""),2.0251001E8)</f>
        <v>202510010</v>
      </c>
      <c r="C369" s="139" t="str">
        <f>IFERROR(__xludf.DUMMYFUNCTION("""COMPUTED_VALUE"""),"chara_spy_00301_Special_00002")</f>
        <v>chara_spy_00301_Special_00002</v>
      </c>
      <c r="D369" s="139" t="str">
        <f>IFERROR(__xludf.DUMMYFUNCTION("""COMPUTED_VALUE"""),"chara_spy_00301")</f>
        <v>chara_spy_00301</v>
      </c>
      <c r="E369" s="139">
        <f>IFERROR(__xludf.DUMMYFUNCTION("""COMPUTED_VALUE"""),2.0)</f>
        <v>2</v>
      </c>
      <c r="F369" s="139" t="str">
        <f>IFERROR(__xludf.DUMMYFUNCTION("""COMPUTED_VALUE"""),"Special")</f>
        <v>Special</v>
      </c>
      <c r="G369" s="139"/>
      <c r="H369" s="139"/>
      <c r="I369" s="139">
        <f>IFERROR(__xludf.DUMMYFUNCTION("""COMPUTED_VALUE"""),105.0)</f>
        <v>105</v>
      </c>
      <c r="J369" s="139">
        <f>IFERROR(__xludf.DUMMYFUNCTION("""COMPUTED_VALUE"""),0.0)</f>
        <v>0</v>
      </c>
      <c r="K369" s="139">
        <f>IFERROR(__xludf.DUMMYFUNCTION("""COMPUTED_VALUE"""),0.0)</f>
        <v>0</v>
      </c>
      <c r="L369" s="139"/>
      <c r="M369" s="139" t="str">
        <f>IFERROR(__xludf.DUMMYFUNCTION("""COMPUTED_VALUE"""),"選択したコマにいる味方アタックキャラの攻撃を{chara_spy_00301_Special_00002_effective_duration}秒間、{chara_spy_00301_Special_00002_effect_parameter}%UP")</f>
        <v>選択したコマにいる味方アタックキャラの攻撃を{chara_spy_00301_Special_00002_effective_duration}秒間、{chara_spy_00301_Special_00002_effect_parameter}%UP</v>
      </c>
      <c r="N369" s="139" t="str">
        <f>IFERROR(__xludf.DUMMYFUNCTION("""COMPUTED_VALUE"""),"必殺ワザ性能UP")</f>
        <v>必殺ワザ性能UP</v>
      </c>
    </row>
    <row r="370">
      <c r="A370" s="139" t="str">
        <f>IFERROR(__xludf.DUMMYFUNCTION("""COMPUTED_VALUE"""),"e")</f>
        <v>e</v>
      </c>
      <c r="B370" s="139">
        <f>IFERROR(__xludf.DUMMYFUNCTION("""COMPUTED_VALUE"""),2.0251001E8)</f>
        <v>202510010</v>
      </c>
      <c r="C370" s="139" t="str">
        <f>IFERROR(__xludf.DUMMYFUNCTION("""COMPUTED_VALUE"""),"chara_spy_00301_Special_00003")</f>
        <v>chara_spy_00301_Special_00003</v>
      </c>
      <c r="D370" s="139" t="str">
        <f>IFERROR(__xludf.DUMMYFUNCTION("""COMPUTED_VALUE"""),"chara_spy_00301")</f>
        <v>chara_spy_00301</v>
      </c>
      <c r="E370" s="139">
        <f>IFERROR(__xludf.DUMMYFUNCTION("""COMPUTED_VALUE"""),3.0)</f>
        <v>3</v>
      </c>
      <c r="F370" s="139" t="str">
        <f>IFERROR(__xludf.DUMMYFUNCTION("""COMPUTED_VALUE"""),"Special")</f>
        <v>Special</v>
      </c>
      <c r="G370" s="139"/>
      <c r="H370" s="139"/>
      <c r="I370" s="139">
        <f>IFERROR(__xludf.DUMMYFUNCTION("""COMPUTED_VALUE"""),105.0)</f>
        <v>105</v>
      </c>
      <c r="J370" s="139">
        <f>IFERROR(__xludf.DUMMYFUNCTION("""COMPUTED_VALUE"""),0.0)</f>
        <v>0</v>
      </c>
      <c r="K370" s="139">
        <f>IFERROR(__xludf.DUMMYFUNCTION("""COMPUTED_VALUE"""),0.0)</f>
        <v>0</v>
      </c>
      <c r="L370" s="139"/>
      <c r="M370" s="139" t="str">
        <f>IFERROR(__xludf.DUMMYFUNCTION("""COMPUTED_VALUE"""),"選択したコマにいる味方アタックキャラの攻撃を{chara_spy_00301_Special_00003_effective_duration}秒間、{chara_spy_00301_Special_00003_effect_parameter}%UP")</f>
        <v>選択したコマにいる味方アタックキャラの攻撃を{chara_spy_00301_Special_00003_effective_duration}秒間、{chara_spy_00301_Special_00003_effect_parameter}%UP</v>
      </c>
      <c r="N370" s="139" t="str">
        <f>IFERROR(__xludf.DUMMYFUNCTION("""COMPUTED_VALUE"""),"必殺ワザ性能UP")</f>
        <v>必殺ワザ性能UP</v>
      </c>
    </row>
    <row r="371">
      <c r="A371" s="139" t="str">
        <f>IFERROR(__xludf.DUMMYFUNCTION("""COMPUTED_VALUE"""),"e")</f>
        <v>e</v>
      </c>
      <c r="B371" s="139">
        <f>IFERROR(__xludf.DUMMYFUNCTION("""COMPUTED_VALUE"""),2.0251001E8)</f>
        <v>202510010</v>
      </c>
      <c r="C371" s="139" t="str">
        <f>IFERROR(__xludf.DUMMYFUNCTION("""COMPUTED_VALUE"""),"chara_spy_00301_Special_00004")</f>
        <v>chara_spy_00301_Special_00004</v>
      </c>
      <c r="D371" s="139" t="str">
        <f>IFERROR(__xludf.DUMMYFUNCTION("""COMPUTED_VALUE"""),"chara_spy_00301")</f>
        <v>chara_spy_00301</v>
      </c>
      <c r="E371" s="139">
        <f>IFERROR(__xludf.DUMMYFUNCTION("""COMPUTED_VALUE"""),4.0)</f>
        <v>4</v>
      </c>
      <c r="F371" s="139" t="str">
        <f>IFERROR(__xludf.DUMMYFUNCTION("""COMPUTED_VALUE"""),"Special")</f>
        <v>Special</v>
      </c>
      <c r="G371" s="139"/>
      <c r="H371" s="139"/>
      <c r="I371" s="139">
        <f>IFERROR(__xludf.DUMMYFUNCTION("""COMPUTED_VALUE"""),105.0)</f>
        <v>105</v>
      </c>
      <c r="J371" s="139">
        <f>IFERROR(__xludf.DUMMYFUNCTION("""COMPUTED_VALUE"""),0.0)</f>
        <v>0</v>
      </c>
      <c r="K371" s="139">
        <f>IFERROR(__xludf.DUMMYFUNCTION("""COMPUTED_VALUE"""),0.0)</f>
        <v>0</v>
      </c>
      <c r="L371" s="139"/>
      <c r="M371" s="139" t="str">
        <f>IFERROR(__xludf.DUMMYFUNCTION("""COMPUTED_VALUE"""),"選択したコマにいる味方アタックキャラの攻撃を{chara_spy_00301_Special_00004_effective_duration}秒間、{chara_spy_00301_Special_00004_effect_parameter}%UP")</f>
        <v>選択したコマにいる味方アタックキャラの攻撃を{chara_spy_00301_Special_00004_effective_duration}秒間、{chara_spy_00301_Special_00004_effect_parameter}%UP</v>
      </c>
      <c r="N371" s="139" t="str">
        <f>IFERROR(__xludf.DUMMYFUNCTION("""COMPUTED_VALUE"""),"必殺ワザ性能UP")</f>
        <v>必殺ワザ性能UP</v>
      </c>
    </row>
    <row r="372">
      <c r="A372" s="139" t="str">
        <f>IFERROR(__xludf.DUMMYFUNCTION("""COMPUTED_VALUE"""),"e")</f>
        <v>e</v>
      </c>
      <c r="B372" s="139">
        <f>IFERROR(__xludf.DUMMYFUNCTION("""COMPUTED_VALUE"""),2.0251001E8)</f>
        <v>202510010</v>
      </c>
      <c r="C372" s="139" t="str">
        <f>IFERROR(__xludf.DUMMYFUNCTION("""COMPUTED_VALUE"""),"chara_spy_00301_Special_00005")</f>
        <v>chara_spy_00301_Special_00005</v>
      </c>
      <c r="D372" s="139" t="str">
        <f>IFERROR(__xludf.DUMMYFUNCTION("""COMPUTED_VALUE"""),"chara_spy_00301")</f>
        <v>chara_spy_00301</v>
      </c>
      <c r="E372" s="139">
        <f>IFERROR(__xludf.DUMMYFUNCTION("""COMPUTED_VALUE"""),5.0)</f>
        <v>5</v>
      </c>
      <c r="F372" s="139" t="str">
        <f>IFERROR(__xludf.DUMMYFUNCTION("""COMPUTED_VALUE"""),"Special")</f>
        <v>Special</v>
      </c>
      <c r="G372" s="139"/>
      <c r="H372" s="139"/>
      <c r="I372" s="139">
        <f>IFERROR(__xludf.DUMMYFUNCTION("""COMPUTED_VALUE"""),105.0)</f>
        <v>105</v>
      </c>
      <c r="J372" s="139">
        <f>IFERROR(__xludf.DUMMYFUNCTION("""COMPUTED_VALUE"""),0.0)</f>
        <v>0</v>
      </c>
      <c r="K372" s="139">
        <f>IFERROR(__xludf.DUMMYFUNCTION("""COMPUTED_VALUE"""),0.0)</f>
        <v>0</v>
      </c>
      <c r="L372" s="139"/>
      <c r="M372" s="139" t="str">
        <f>IFERROR(__xludf.DUMMYFUNCTION("""COMPUTED_VALUE"""),"選択したコマにいる味方アタックキャラの攻撃を{chara_spy_00301_Special_00005_effective_duration}秒間、{chara_spy_00301_Special_00005_effect_parameter}%UP")</f>
        <v>選択したコマにいる味方アタックキャラの攻撃を{chara_spy_00301_Special_00005_effective_duration}秒間、{chara_spy_00301_Special_00005_effect_parameter}%UP</v>
      </c>
      <c r="N372" s="139" t="str">
        <f>IFERROR(__xludf.DUMMYFUNCTION("""COMPUTED_VALUE"""),"必殺ワザ性能UP")</f>
        <v>必殺ワザ性能UP</v>
      </c>
    </row>
    <row r="373">
      <c r="A373" s="139"/>
      <c r="B373" s="139"/>
      <c r="C373" s="139" t="str">
        <f>IFERROR(__xludf.DUMMYFUNCTION("""COMPUTED_VALUE"""),"chara_spy_00301_Special_00006")</f>
        <v>chara_spy_00301_Special_00006</v>
      </c>
      <c r="D373" s="139" t="str">
        <f>IFERROR(__xludf.DUMMYFUNCTION("""COMPUTED_VALUE"""),"chara_spy_00301")</f>
        <v>chara_spy_00301</v>
      </c>
      <c r="E373" s="139">
        <f>IFERROR(__xludf.DUMMYFUNCTION("""COMPUTED_VALUE"""),6.0)</f>
        <v>6</v>
      </c>
      <c r="F373" s="139" t="str">
        <f>IFERROR(__xludf.DUMMYFUNCTION("""COMPUTED_VALUE"""),"Special")</f>
        <v>Special</v>
      </c>
      <c r="G373" s="139"/>
      <c r="H373" s="139"/>
      <c r="I373" s="139">
        <f>IFERROR(__xludf.DUMMYFUNCTION("""COMPUTED_VALUE"""),105.0)</f>
        <v>105</v>
      </c>
      <c r="J373" s="139">
        <f>IFERROR(__xludf.DUMMYFUNCTION("""COMPUTED_VALUE"""),34.0)</f>
        <v>34</v>
      </c>
      <c r="K373" s="139">
        <f>IFERROR(__xludf.DUMMYFUNCTION("""COMPUTED_VALUE"""),0.0)</f>
        <v>0</v>
      </c>
      <c r="L373" s="139"/>
      <c r="M373" s="139"/>
      <c r="N373" s="139"/>
    </row>
    <row r="374">
      <c r="A374" s="139"/>
      <c r="B374" s="139"/>
      <c r="C374" s="139" t="str">
        <f>IFERROR(__xludf.DUMMYFUNCTION("""COMPUTED_VALUE"""),"chara_spy_00301_Special_00007")</f>
        <v>chara_spy_00301_Special_00007</v>
      </c>
      <c r="D374" s="139" t="str">
        <f>IFERROR(__xludf.DUMMYFUNCTION("""COMPUTED_VALUE"""),"chara_spy_00301")</f>
        <v>chara_spy_00301</v>
      </c>
      <c r="E374" s="139">
        <f>IFERROR(__xludf.DUMMYFUNCTION("""COMPUTED_VALUE"""),7.0)</f>
        <v>7</v>
      </c>
      <c r="F374" s="139" t="str">
        <f>IFERROR(__xludf.DUMMYFUNCTION("""COMPUTED_VALUE"""),"Special")</f>
        <v>Special</v>
      </c>
      <c r="G374" s="139"/>
      <c r="H374" s="139"/>
      <c r="I374" s="139">
        <f>IFERROR(__xludf.DUMMYFUNCTION("""COMPUTED_VALUE"""),105.0)</f>
        <v>105</v>
      </c>
      <c r="J374" s="139">
        <f>IFERROR(__xludf.DUMMYFUNCTION("""COMPUTED_VALUE"""),34.0)</f>
        <v>34</v>
      </c>
      <c r="K374" s="139">
        <f>IFERROR(__xludf.DUMMYFUNCTION("""COMPUTED_VALUE"""),0.0)</f>
        <v>0</v>
      </c>
      <c r="L374" s="139"/>
      <c r="M374" s="139"/>
      <c r="N374" s="139"/>
    </row>
    <row r="375">
      <c r="A375" s="139"/>
      <c r="B375" s="139"/>
      <c r="C375" s="139" t="str">
        <f>IFERROR(__xludf.DUMMYFUNCTION("""COMPUTED_VALUE"""),"chara_spy_00301_Special_00008")</f>
        <v>chara_spy_00301_Special_00008</v>
      </c>
      <c r="D375" s="139" t="str">
        <f>IFERROR(__xludf.DUMMYFUNCTION("""COMPUTED_VALUE"""),"chara_spy_00301")</f>
        <v>chara_spy_00301</v>
      </c>
      <c r="E375" s="139">
        <f>IFERROR(__xludf.DUMMYFUNCTION("""COMPUTED_VALUE"""),8.0)</f>
        <v>8</v>
      </c>
      <c r="F375" s="139" t="str">
        <f>IFERROR(__xludf.DUMMYFUNCTION("""COMPUTED_VALUE"""),"Special")</f>
        <v>Special</v>
      </c>
      <c r="G375" s="139"/>
      <c r="H375" s="139"/>
      <c r="I375" s="139">
        <f>IFERROR(__xludf.DUMMYFUNCTION("""COMPUTED_VALUE"""),105.0)</f>
        <v>105</v>
      </c>
      <c r="J375" s="139">
        <f>IFERROR(__xludf.DUMMYFUNCTION("""COMPUTED_VALUE"""),34.0)</f>
        <v>34</v>
      </c>
      <c r="K375" s="139">
        <f>IFERROR(__xludf.DUMMYFUNCTION("""COMPUTED_VALUE"""),0.0)</f>
        <v>0</v>
      </c>
      <c r="L375" s="139"/>
      <c r="M375" s="139"/>
      <c r="N375" s="139"/>
    </row>
    <row r="376">
      <c r="A376" s="139"/>
      <c r="B376" s="139"/>
      <c r="C376" s="139" t="str">
        <f>IFERROR(__xludf.DUMMYFUNCTION("""COMPUTED_VALUE"""),"chara_spy_00301_Special_00009")</f>
        <v>chara_spy_00301_Special_00009</v>
      </c>
      <c r="D376" s="139" t="str">
        <f>IFERROR(__xludf.DUMMYFUNCTION("""COMPUTED_VALUE"""),"chara_spy_00301")</f>
        <v>chara_spy_00301</v>
      </c>
      <c r="E376" s="139">
        <f>IFERROR(__xludf.DUMMYFUNCTION("""COMPUTED_VALUE"""),9.0)</f>
        <v>9</v>
      </c>
      <c r="F376" s="139" t="str">
        <f>IFERROR(__xludf.DUMMYFUNCTION("""COMPUTED_VALUE"""),"Special")</f>
        <v>Special</v>
      </c>
      <c r="G376" s="139"/>
      <c r="H376" s="139"/>
      <c r="I376" s="139">
        <f>IFERROR(__xludf.DUMMYFUNCTION("""COMPUTED_VALUE"""),105.0)</f>
        <v>105</v>
      </c>
      <c r="J376" s="139">
        <f>IFERROR(__xludf.DUMMYFUNCTION("""COMPUTED_VALUE"""),34.0)</f>
        <v>34</v>
      </c>
      <c r="K376" s="139">
        <f>IFERROR(__xludf.DUMMYFUNCTION("""COMPUTED_VALUE"""),0.0)</f>
        <v>0</v>
      </c>
      <c r="L376" s="139"/>
      <c r="M376" s="139"/>
      <c r="N376" s="139"/>
    </row>
    <row r="377">
      <c r="A377" s="139"/>
      <c r="B377" s="139"/>
      <c r="C377" s="139" t="str">
        <f>IFERROR(__xludf.DUMMYFUNCTION("""COMPUTED_VALUE"""),"chara_spy_00301_Special_00010")</f>
        <v>chara_spy_00301_Special_00010</v>
      </c>
      <c r="D377" s="139" t="str">
        <f>IFERROR(__xludf.DUMMYFUNCTION("""COMPUTED_VALUE"""),"chara_spy_00301")</f>
        <v>chara_spy_00301</v>
      </c>
      <c r="E377" s="139">
        <f>IFERROR(__xludf.DUMMYFUNCTION("""COMPUTED_VALUE"""),10.0)</f>
        <v>10</v>
      </c>
      <c r="F377" s="139" t="str">
        <f>IFERROR(__xludf.DUMMYFUNCTION("""COMPUTED_VALUE"""),"Special")</f>
        <v>Special</v>
      </c>
      <c r="G377" s="139"/>
      <c r="H377" s="139"/>
      <c r="I377" s="139">
        <f>IFERROR(__xludf.DUMMYFUNCTION("""COMPUTED_VALUE"""),105.0)</f>
        <v>105</v>
      </c>
      <c r="J377" s="139">
        <f>IFERROR(__xludf.DUMMYFUNCTION("""COMPUTED_VALUE"""),34.0)</f>
        <v>34</v>
      </c>
      <c r="K377" s="139">
        <f>IFERROR(__xludf.DUMMYFUNCTION("""COMPUTED_VALUE"""),0.0)</f>
        <v>0</v>
      </c>
      <c r="L377" s="139"/>
      <c r="M377" s="139"/>
      <c r="N377" s="139"/>
    </row>
    <row r="378">
      <c r="A378" s="139" t="str">
        <f>IFERROR(__xludf.DUMMYFUNCTION("""COMPUTED_VALUE"""),"e")</f>
        <v>e</v>
      </c>
      <c r="B378" s="139">
        <f>IFERROR(__xludf.DUMMYFUNCTION("""COMPUTED_VALUE"""),2.0250901E8)</f>
        <v>202509010</v>
      </c>
      <c r="C378" s="139" t="str">
        <f>IFERROR(__xludf.DUMMYFUNCTION("""COMPUTED_VALUE"""),"chara_spy_00201_Normal_00000")</f>
        <v>chara_spy_00201_Normal_00000</v>
      </c>
      <c r="D378" s="139" t="str">
        <f>IFERROR(__xludf.DUMMYFUNCTION("""COMPUTED_VALUE"""),"chara_spy_00201")</f>
        <v>chara_spy_00201</v>
      </c>
      <c r="E378" s="139">
        <f>IFERROR(__xludf.DUMMYFUNCTION("""COMPUTED_VALUE"""),0.0)</f>
        <v>0</v>
      </c>
      <c r="F378" s="139" t="str">
        <f>IFERROR(__xludf.DUMMYFUNCTION("""COMPUTED_VALUE"""),"Normal")</f>
        <v>Normal</v>
      </c>
      <c r="G378" s="139"/>
      <c r="H378" s="139"/>
      <c r="I378" s="139">
        <f>IFERROR(__xludf.DUMMYFUNCTION("""COMPUTED_VALUE"""),71.0)</f>
        <v>71</v>
      </c>
      <c r="J378" s="139">
        <f>IFERROR(__xludf.DUMMYFUNCTION("""COMPUTED_VALUE"""),31.0)</f>
        <v>31</v>
      </c>
      <c r="K378" s="139">
        <f>IFERROR(__xludf.DUMMYFUNCTION("""COMPUTED_VALUE"""),65.0)</f>
        <v>65</v>
      </c>
      <c r="L378" s="139"/>
      <c r="M378" s="139" t="str">
        <f>IFERROR(__xludf.DUMMYFUNCTION("""COMPUTED_VALUE"""),"表示場所なし")</f>
        <v>表示場所なし</v>
      </c>
      <c r="N378" s="139"/>
    </row>
    <row r="379">
      <c r="A379" s="139" t="str">
        <f>IFERROR(__xludf.DUMMYFUNCTION("""COMPUTED_VALUE"""),"e")</f>
        <v>e</v>
      </c>
      <c r="B379" s="139">
        <f>IFERROR(__xludf.DUMMYFUNCTION("""COMPUTED_VALUE"""),2.0250901E8)</f>
        <v>202509010</v>
      </c>
      <c r="C379" s="139" t="str">
        <f>IFERROR(__xludf.DUMMYFUNCTION("""COMPUTED_VALUE"""),"chara_spy_00201_Special_00001")</f>
        <v>chara_spy_00201_Special_00001</v>
      </c>
      <c r="D379" s="139" t="str">
        <f>IFERROR(__xludf.DUMMYFUNCTION("""COMPUTED_VALUE"""),"chara_spy_00201")</f>
        <v>chara_spy_00201</v>
      </c>
      <c r="E379" s="139">
        <f>IFERROR(__xludf.DUMMYFUNCTION("""COMPUTED_VALUE"""),1.0)</f>
        <v>1</v>
      </c>
      <c r="F379" s="139" t="str">
        <f>IFERROR(__xludf.DUMMYFUNCTION("""COMPUTED_VALUE"""),"Special")</f>
        <v>Special</v>
      </c>
      <c r="G379" s="139"/>
      <c r="H379" s="139"/>
      <c r="I379" s="139">
        <f>IFERROR(__xludf.DUMMYFUNCTION("""COMPUTED_VALUE"""),125.0)</f>
        <v>125</v>
      </c>
      <c r="J379" s="139">
        <f>IFERROR(__xludf.DUMMYFUNCTION("""COMPUTED_VALUE"""),37.0)</f>
        <v>37</v>
      </c>
      <c r="K379" s="139">
        <f>IFERROR(__xludf.DUMMYFUNCTION("""COMPUTED_VALUE"""),0.0)</f>
        <v>0</v>
      </c>
      <c r="L379" s="139"/>
      <c r="M379" s="139" t="str">
        <f>IFERROR(__xludf.DUMMYFUNCTION("""COMPUTED_VALUE"""),"敵複数体に自身の攻撃ステータスの98%のダメージ + 自身の攻撃を9.2秒間、20%UP")</f>
        <v>敵複数体に自身の攻撃ステータスの98%のダメージ + 自身の攻撃を9.2秒間、20%UP</v>
      </c>
      <c r="N379" s="139"/>
    </row>
    <row r="380">
      <c r="A380" s="139" t="str">
        <f>IFERROR(__xludf.DUMMYFUNCTION("""COMPUTED_VALUE"""),"e")</f>
        <v>e</v>
      </c>
      <c r="B380" s="139">
        <f>IFERROR(__xludf.DUMMYFUNCTION("""COMPUTED_VALUE"""),2.0250901E8)</f>
        <v>202509010</v>
      </c>
      <c r="C380" s="139" t="str">
        <f>IFERROR(__xludf.DUMMYFUNCTION("""COMPUTED_VALUE"""),"chara_spy_00201_Special_00002")</f>
        <v>chara_spy_00201_Special_00002</v>
      </c>
      <c r="D380" s="139" t="str">
        <f>IFERROR(__xludf.DUMMYFUNCTION("""COMPUTED_VALUE"""),"chara_spy_00201")</f>
        <v>chara_spy_00201</v>
      </c>
      <c r="E380" s="139">
        <f>IFERROR(__xludf.DUMMYFUNCTION("""COMPUTED_VALUE"""),2.0)</f>
        <v>2</v>
      </c>
      <c r="F380" s="139" t="str">
        <f>IFERROR(__xludf.DUMMYFUNCTION("""COMPUTED_VALUE"""),"Special")</f>
        <v>Special</v>
      </c>
      <c r="G380" s="139"/>
      <c r="H380" s="139"/>
      <c r="I380" s="139">
        <f>IFERROR(__xludf.DUMMYFUNCTION("""COMPUTED_VALUE"""),125.0)</f>
        <v>125</v>
      </c>
      <c r="J380" s="139">
        <f>IFERROR(__xludf.DUMMYFUNCTION("""COMPUTED_VALUE"""),37.0)</f>
        <v>37</v>
      </c>
      <c r="K380" s="139">
        <f>IFERROR(__xludf.DUMMYFUNCTION("""COMPUTED_VALUE"""),0.0)</f>
        <v>0</v>
      </c>
      <c r="L380" s="139"/>
      <c r="M380" s="139" t="str">
        <f>IFERROR(__xludf.DUMMYFUNCTION("""COMPUTED_VALUE"""),"敵複数体に自身の攻撃ステータスの110%のダメージ + 自身の攻撃を9.6秒間、22%UP")</f>
        <v>敵複数体に自身の攻撃ステータスの110%のダメージ + 自身の攻撃を9.6秒間、22%UP</v>
      </c>
      <c r="N380" s="139" t="str">
        <f>IFERROR(__xludf.DUMMYFUNCTION("""COMPUTED_VALUE"""),"ステータスUP + 必殺ワザ性能UP")</f>
        <v>ステータスUP + 必殺ワザ性能UP</v>
      </c>
    </row>
    <row r="381">
      <c r="A381" s="139" t="str">
        <f>IFERROR(__xludf.DUMMYFUNCTION("""COMPUTED_VALUE"""),"e")</f>
        <v>e</v>
      </c>
      <c r="B381" s="139">
        <f>IFERROR(__xludf.DUMMYFUNCTION("""COMPUTED_VALUE"""),2.0250901E8)</f>
        <v>202509010</v>
      </c>
      <c r="C381" s="139" t="str">
        <f>IFERROR(__xludf.DUMMYFUNCTION("""COMPUTED_VALUE"""),"chara_spy_00201_Special_00003")</f>
        <v>chara_spy_00201_Special_00003</v>
      </c>
      <c r="D381" s="139" t="str">
        <f>IFERROR(__xludf.DUMMYFUNCTION("""COMPUTED_VALUE"""),"chara_spy_00201")</f>
        <v>chara_spy_00201</v>
      </c>
      <c r="E381" s="139">
        <f>IFERROR(__xludf.DUMMYFUNCTION("""COMPUTED_VALUE"""),3.0)</f>
        <v>3</v>
      </c>
      <c r="F381" s="139" t="str">
        <f>IFERROR(__xludf.DUMMYFUNCTION("""COMPUTED_VALUE"""),"Special")</f>
        <v>Special</v>
      </c>
      <c r="G381" s="139"/>
      <c r="H381" s="139"/>
      <c r="I381" s="139">
        <f>IFERROR(__xludf.DUMMYFUNCTION("""COMPUTED_VALUE"""),125.0)</f>
        <v>125</v>
      </c>
      <c r="J381" s="139">
        <f>IFERROR(__xludf.DUMMYFUNCTION("""COMPUTED_VALUE"""),37.0)</f>
        <v>37</v>
      </c>
      <c r="K381" s="139">
        <f>IFERROR(__xludf.DUMMYFUNCTION("""COMPUTED_VALUE"""),0.0)</f>
        <v>0</v>
      </c>
      <c r="L381" s="139"/>
      <c r="M381" s="139" t="str">
        <f>IFERROR(__xludf.DUMMYFUNCTION("""COMPUTED_VALUE"""),"敵複数体に自身の攻撃ステータスの119%のダメージ + 自身の攻撃を9.8秒間、23%UP")</f>
        <v>敵複数体に自身の攻撃ステータスの119%のダメージ + 自身の攻撃を9.8秒間、23%UP</v>
      </c>
      <c r="N381" s="139" t="str">
        <f>IFERROR(__xludf.DUMMYFUNCTION("""COMPUTED_VALUE"""),"ステータスUP + 必殺ワザ性能UP")</f>
        <v>ステータスUP + 必殺ワザ性能UP</v>
      </c>
    </row>
    <row r="382">
      <c r="A382" s="139" t="str">
        <f>IFERROR(__xludf.DUMMYFUNCTION("""COMPUTED_VALUE"""),"e")</f>
        <v>e</v>
      </c>
      <c r="B382" s="139">
        <f>IFERROR(__xludf.DUMMYFUNCTION("""COMPUTED_VALUE"""),2.0250901E8)</f>
        <v>202509010</v>
      </c>
      <c r="C382" s="139" t="str">
        <f>IFERROR(__xludf.DUMMYFUNCTION("""COMPUTED_VALUE"""),"chara_spy_00201_Special_00004")</f>
        <v>chara_spy_00201_Special_00004</v>
      </c>
      <c r="D382" s="139" t="str">
        <f>IFERROR(__xludf.DUMMYFUNCTION("""COMPUTED_VALUE"""),"chara_spy_00201")</f>
        <v>chara_spy_00201</v>
      </c>
      <c r="E382" s="139">
        <f>IFERROR(__xludf.DUMMYFUNCTION("""COMPUTED_VALUE"""),4.0)</f>
        <v>4</v>
      </c>
      <c r="F382" s="139" t="str">
        <f>IFERROR(__xludf.DUMMYFUNCTION("""COMPUTED_VALUE"""),"Special")</f>
        <v>Special</v>
      </c>
      <c r="G382" s="139"/>
      <c r="H382" s="139"/>
      <c r="I382" s="139">
        <f>IFERROR(__xludf.DUMMYFUNCTION("""COMPUTED_VALUE"""),125.0)</f>
        <v>125</v>
      </c>
      <c r="J382" s="139">
        <f>IFERROR(__xludf.DUMMYFUNCTION("""COMPUTED_VALUE"""),37.0)</f>
        <v>37</v>
      </c>
      <c r="K382" s="139">
        <f>IFERROR(__xludf.DUMMYFUNCTION("""COMPUTED_VALUE"""),0.0)</f>
        <v>0</v>
      </c>
      <c r="L382" s="139"/>
      <c r="M382" s="139" t="str">
        <f>IFERROR(__xludf.DUMMYFUNCTION("""COMPUTED_VALUE"""),"敵複数体に自身の攻撃ステータスの126%のダメージ + 自身の攻撃を10秒間、24%UP")</f>
        <v>敵複数体に自身の攻撃ステータスの126%のダメージ + 自身の攻撃を10秒間、24%UP</v>
      </c>
      <c r="N382" s="139" t="str">
        <f>IFERROR(__xludf.DUMMYFUNCTION("""COMPUTED_VALUE"""),"ステータスUP + 必殺ワザ性能UP")</f>
        <v>ステータスUP + 必殺ワザ性能UP</v>
      </c>
    </row>
    <row r="383">
      <c r="A383" s="139" t="str">
        <f>IFERROR(__xludf.DUMMYFUNCTION("""COMPUTED_VALUE"""),"e")</f>
        <v>e</v>
      </c>
      <c r="B383" s="139">
        <f>IFERROR(__xludf.DUMMYFUNCTION("""COMPUTED_VALUE"""),2.0250901E8)</f>
        <v>202509010</v>
      </c>
      <c r="C383" s="139" t="str">
        <f>IFERROR(__xludf.DUMMYFUNCTION("""COMPUTED_VALUE"""),"chara_spy_00201_Special_00005")</f>
        <v>chara_spy_00201_Special_00005</v>
      </c>
      <c r="D383" s="139" t="str">
        <f>IFERROR(__xludf.DUMMYFUNCTION("""COMPUTED_VALUE"""),"chara_spy_00201")</f>
        <v>chara_spy_00201</v>
      </c>
      <c r="E383" s="139">
        <f>IFERROR(__xludf.DUMMYFUNCTION("""COMPUTED_VALUE"""),5.0)</f>
        <v>5</v>
      </c>
      <c r="F383" s="139" t="str">
        <f>IFERROR(__xludf.DUMMYFUNCTION("""COMPUTED_VALUE"""),"Special")</f>
        <v>Special</v>
      </c>
      <c r="G383" s="139"/>
      <c r="H383" s="139"/>
      <c r="I383" s="139">
        <f>IFERROR(__xludf.DUMMYFUNCTION("""COMPUTED_VALUE"""),125.0)</f>
        <v>125</v>
      </c>
      <c r="J383" s="139">
        <f>IFERROR(__xludf.DUMMYFUNCTION("""COMPUTED_VALUE"""),37.0)</f>
        <v>37</v>
      </c>
      <c r="K383" s="139">
        <f>IFERROR(__xludf.DUMMYFUNCTION("""COMPUTED_VALUE"""),0.0)</f>
        <v>0</v>
      </c>
      <c r="L383" s="139"/>
      <c r="M383" s="139" t="str">
        <f>IFERROR(__xludf.DUMMYFUNCTION("""COMPUTED_VALUE"""),"敵複数体に自身の攻撃ステータスの130%のダメージ + 自身の攻撃を10秒間、25%UP")</f>
        <v>敵複数体に自身の攻撃ステータスの130%のダメージ + 自身の攻撃を10秒間、25%UP</v>
      </c>
      <c r="N383" s="139" t="str">
        <f>IFERROR(__xludf.DUMMYFUNCTION("""COMPUTED_VALUE"""),"ステータスUP + 必殺ワザ性能UP")</f>
        <v>ステータスUP + 必殺ワザ性能UP</v>
      </c>
    </row>
    <row r="384">
      <c r="A384" s="139"/>
      <c r="B384" s="139"/>
      <c r="C384" s="139" t="str">
        <f>IFERROR(__xludf.DUMMYFUNCTION("""COMPUTED_VALUE"""),"chara_spy_00201_Special_00006")</f>
        <v>chara_spy_00201_Special_00006</v>
      </c>
      <c r="D384" s="139" t="str">
        <f>IFERROR(__xludf.DUMMYFUNCTION("""COMPUTED_VALUE"""),"chara_spy_00201")</f>
        <v>chara_spy_00201</v>
      </c>
      <c r="E384" s="139">
        <f>IFERROR(__xludf.DUMMYFUNCTION("""COMPUTED_VALUE"""),6.0)</f>
        <v>6</v>
      </c>
      <c r="F384" s="139" t="str">
        <f>IFERROR(__xludf.DUMMYFUNCTION("""COMPUTED_VALUE"""),"Special")</f>
        <v>Special</v>
      </c>
      <c r="G384" s="139"/>
      <c r="H384" s="139"/>
      <c r="I384" s="139">
        <f>IFERROR(__xludf.DUMMYFUNCTION("""COMPUTED_VALUE"""),125.0)</f>
        <v>125</v>
      </c>
      <c r="J384" s="139">
        <f>IFERROR(__xludf.DUMMYFUNCTION("""COMPUTED_VALUE"""),37.0)</f>
        <v>37</v>
      </c>
      <c r="K384" s="139">
        <f>IFERROR(__xludf.DUMMYFUNCTION("""COMPUTED_VALUE"""),0.0)</f>
        <v>0</v>
      </c>
      <c r="L384" s="139"/>
      <c r="M384" s="139"/>
      <c r="N384" s="139"/>
    </row>
    <row r="385">
      <c r="A385" s="139"/>
      <c r="B385" s="139"/>
      <c r="C385" s="139" t="str">
        <f>IFERROR(__xludf.DUMMYFUNCTION("""COMPUTED_VALUE"""),"chara_spy_00201_Special_00007")</f>
        <v>chara_spy_00201_Special_00007</v>
      </c>
      <c r="D385" s="139" t="str">
        <f>IFERROR(__xludf.DUMMYFUNCTION("""COMPUTED_VALUE"""),"chara_spy_00201")</f>
        <v>chara_spy_00201</v>
      </c>
      <c r="E385" s="139">
        <f>IFERROR(__xludf.DUMMYFUNCTION("""COMPUTED_VALUE"""),7.0)</f>
        <v>7</v>
      </c>
      <c r="F385" s="139" t="str">
        <f>IFERROR(__xludf.DUMMYFUNCTION("""COMPUTED_VALUE"""),"Special")</f>
        <v>Special</v>
      </c>
      <c r="G385" s="139"/>
      <c r="H385" s="139"/>
      <c r="I385" s="139">
        <f>IFERROR(__xludf.DUMMYFUNCTION("""COMPUTED_VALUE"""),125.0)</f>
        <v>125</v>
      </c>
      <c r="J385" s="139">
        <f>IFERROR(__xludf.DUMMYFUNCTION("""COMPUTED_VALUE"""),37.0)</f>
        <v>37</v>
      </c>
      <c r="K385" s="139">
        <f>IFERROR(__xludf.DUMMYFUNCTION("""COMPUTED_VALUE"""),0.0)</f>
        <v>0</v>
      </c>
      <c r="L385" s="139"/>
      <c r="M385" s="139"/>
      <c r="N385" s="139"/>
    </row>
    <row r="386">
      <c r="A386" s="139"/>
      <c r="B386" s="139"/>
      <c r="C386" s="139" t="str">
        <f>IFERROR(__xludf.DUMMYFUNCTION("""COMPUTED_VALUE"""),"chara_spy_00201_Special_00008")</f>
        <v>chara_spy_00201_Special_00008</v>
      </c>
      <c r="D386" s="139" t="str">
        <f>IFERROR(__xludf.DUMMYFUNCTION("""COMPUTED_VALUE"""),"chara_spy_00201")</f>
        <v>chara_spy_00201</v>
      </c>
      <c r="E386" s="139">
        <f>IFERROR(__xludf.DUMMYFUNCTION("""COMPUTED_VALUE"""),8.0)</f>
        <v>8</v>
      </c>
      <c r="F386" s="139" t="str">
        <f>IFERROR(__xludf.DUMMYFUNCTION("""COMPUTED_VALUE"""),"Special")</f>
        <v>Special</v>
      </c>
      <c r="G386" s="139"/>
      <c r="H386" s="139"/>
      <c r="I386" s="139">
        <f>IFERROR(__xludf.DUMMYFUNCTION("""COMPUTED_VALUE"""),125.0)</f>
        <v>125</v>
      </c>
      <c r="J386" s="139">
        <f>IFERROR(__xludf.DUMMYFUNCTION("""COMPUTED_VALUE"""),37.0)</f>
        <v>37</v>
      </c>
      <c r="K386" s="139">
        <f>IFERROR(__xludf.DUMMYFUNCTION("""COMPUTED_VALUE"""),0.0)</f>
        <v>0</v>
      </c>
      <c r="L386" s="139"/>
      <c r="M386" s="139"/>
      <c r="N386" s="139"/>
    </row>
    <row r="387">
      <c r="A387" s="139"/>
      <c r="B387" s="139"/>
      <c r="C387" s="139" t="str">
        <f>IFERROR(__xludf.DUMMYFUNCTION("""COMPUTED_VALUE"""),"chara_spy_00201_Special_00009")</f>
        <v>chara_spy_00201_Special_00009</v>
      </c>
      <c r="D387" s="139" t="str">
        <f>IFERROR(__xludf.DUMMYFUNCTION("""COMPUTED_VALUE"""),"chara_spy_00201")</f>
        <v>chara_spy_00201</v>
      </c>
      <c r="E387" s="139">
        <f>IFERROR(__xludf.DUMMYFUNCTION("""COMPUTED_VALUE"""),9.0)</f>
        <v>9</v>
      </c>
      <c r="F387" s="139" t="str">
        <f>IFERROR(__xludf.DUMMYFUNCTION("""COMPUTED_VALUE"""),"Special")</f>
        <v>Special</v>
      </c>
      <c r="G387" s="139"/>
      <c r="H387" s="139"/>
      <c r="I387" s="139">
        <f>IFERROR(__xludf.DUMMYFUNCTION("""COMPUTED_VALUE"""),125.0)</f>
        <v>125</v>
      </c>
      <c r="J387" s="139">
        <f>IFERROR(__xludf.DUMMYFUNCTION("""COMPUTED_VALUE"""),37.0)</f>
        <v>37</v>
      </c>
      <c r="K387" s="139">
        <f>IFERROR(__xludf.DUMMYFUNCTION("""COMPUTED_VALUE"""),0.0)</f>
        <v>0</v>
      </c>
      <c r="L387" s="139"/>
      <c r="M387" s="139"/>
      <c r="N387" s="139"/>
    </row>
    <row r="388">
      <c r="A388" s="139"/>
      <c r="B388" s="139"/>
      <c r="C388" s="139" t="str">
        <f>IFERROR(__xludf.DUMMYFUNCTION("""COMPUTED_VALUE"""),"chara_spy_00201_Special_00010")</f>
        <v>chara_spy_00201_Special_00010</v>
      </c>
      <c r="D388" s="139" t="str">
        <f>IFERROR(__xludf.DUMMYFUNCTION("""COMPUTED_VALUE"""),"chara_spy_00201")</f>
        <v>chara_spy_00201</v>
      </c>
      <c r="E388" s="139">
        <f>IFERROR(__xludf.DUMMYFUNCTION("""COMPUTED_VALUE"""),10.0)</f>
        <v>10</v>
      </c>
      <c r="F388" s="139" t="str">
        <f>IFERROR(__xludf.DUMMYFUNCTION("""COMPUTED_VALUE"""),"Special")</f>
        <v>Special</v>
      </c>
      <c r="G388" s="139"/>
      <c r="H388" s="139"/>
      <c r="I388" s="139">
        <f>IFERROR(__xludf.DUMMYFUNCTION("""COMPUTED_VALUE"""),125.0)</f>
        <v>125</v>
      </c>
      <c r="J388" s="139">
        <f>IFERROR(__xludf.DUMMYFUNCTION("""COMPUTED_VALUE"""),37.0)</f>
        <v>37</v>
      </c>
      <c r="K388" s="139">
        <f>IFERROR(__xludf.DUMMYFUNCTION("""COMPUTED_VALUE"""),0.0)</f>
        <v>0</v>
      </c>
      <c r="L388" s="139"/>
      <c r="M388" s="139"/>
      <c r="N388" s="139"/>
    </row>
    <row r="389">
      <c r="A389" s="139" t="str">
        <f>IFERROR(__xludf.DUMMYFUNCTION("""COMPUTED_VALUE"""),"e")</f>
        <v>e</v>
      </c>
      <c r="B389" s="139">
        <f>IFERROR(__xludf.DUMMYFUNCTION("""COMPUTED_VALUE"""),2.0251001E8)</f>
        <v>202510010</v>
      </c>
      <c r="C389" s="139" t="str">
        <f>IFERROR(__xludf.DUMMYFUNCTION("""COMPUTED_VALUE"""),"chara_spy_00401_Normal_00000")</f>
        <v>chara_spy_00401_Normal_00000</v>
      </c>
      <c r="D389" s="139" t="str">
        <f>IFERROR(__xludf.DUMMYFUNCTION("""COMPUTED_VALUE"""),"chara_spy_00401")</f>
        <v>chara_spy_00401</v>
      </c>
      <c r="E389" s="139">
        <f>IFERROR(__xludf.DUMMYFUNCTION("""COMPUTED_VALUE"""),0.0)</f>
        <v>0</v>
      </c>
      <c r="F389" s="139" t="str">
        <f>IFERROR(__xludf.DUMMYFUNCTION("""COMPUTED_VALUE"""),"Normal")</f>
        <v>Normal</v>
      </c>
      <c r="G389" s="139"/>
      <c r="H389" s="139"/>
      <c r="I389" s="139">
        <f>IFERROR(__xludf.DUMMYFUNCTION("""COMPUTED_VALUE"""),60.0)</f>
        <v>60</v>
      </c>
      <c r="J389" s="139">
        <f>IFERROR(__xludf.DUMMYFUNCTION("""COMPUTED_VALUE"""),25.0)</f>
        <v>25</v>
      </c>
      <c r="K389" s="139">
        <f>IFERROR(__xludf.DUMMYFUNCTION("""COMPUTED_VALUE"""),100.0)</f>
        <v>100</v>
      </c>
      <c r="L389" s="139"/>
      <c r="M389" s="139" t="str">
        <f>IFERROR(__xludf.DUMMYFUNCTION("""COMPUTED_VALUE"""),"表示場所なし")</f>
        <v>表示場所なし</v>
      </c>
      <c r="N389" s="139"/>
    </row>
    <row r="390">
      <c r="A390" s="139" t="str">
        <f>IFERROR(__xludf.DUMMYFUNCTION("""COMPUTED_VALUE"""),"e")</f>
        <v>e</v>
      </c>
      <c r="B390" s="139">
        <f>IFERROR(__xludf.DUMMYFUNCTION("""COMPUTED_VALUE"""),2.0251001E8)</f>
        <v>202510010</v>
      </c>
      <c r="C390" s="139" t="str">
        <f>IFERROR(__xludf.DUMMYFUNCTION("""COMPUTED_VALUE"""),"chara_spy_00401_Special_00001")</f>
        <v>chara_spy_00401_Special_00001</v>
      </c>
      <c r="D390" s="139" t="str">
        <f>IFERROR(__xludf.DUMMYFUNCTION("""COMPUTED_VALUE"""),"chara_spy_00401")</f>
        <v>chara_spy_00401</v>
      </c>
      <c r="E390" s="139">
        <f>IFERROR(__xludf.DUMMYFUNCTION("""COMPUTED_VALUE"""),1.0)</f>
        <v>1</v>
      </c>
      <c r="F390" s="139" t="str">
        <f>IFERROR(__xludf.DUMMYFUNCTION("""COMPUTED_VALUE"""),"Special")</f>
        <v>Special</v>
      </c>
      <c r="G390" s="139"/>
      <c r="H390" s="139"/>
      <c r="I390" s="139">
        <f>IFERROR(__xludf.DUMMYFUNCTION("""COMPUTED_VALUE"""),138.0)</f>
        <v>138</v>
      </c>
      <c r="J390" s="139">
        <f>IFERROR(__xludf.DUMMYFUNCTION("""COMPUTED_VALUE"""),67.0)</f>
        <v>67</v>
      </c>
      <c r="K390" s="139">
        <f>IFERROR(__xludf.DUMMYFUNCTION("""COMPUTED_VALUE"""),0.0)</f>
        <v>0</v>
      </c>
      <c r="L390" s="139"/>
      <c r="M390" s="139" t="str">
        <f>IFERROR(__xludf.DUMMYFUNCTION("""COMPUTED_VALUE"""),"敵単体に自身の攻撃ステータスの109%のダメージ")</f>
        <v>敵単体に自身の攻撃ステータスの109%のダメージ</v>
      </c>
      <c r="N390" s="139"/>
    </row>
    <row r="391">
      <c r="A391" s="139" t="str">
        <f>IFERROR(__xludf.DUMMYFUNCTION("""COMPUTED_VALUE"""),"e")</f>
        <v>e</v>
      </c>
      <c r="B391" s="139">
        <f>IFERROR(__xludf.DUMMYFUNCTION("""COMPUTED_VALUE"""),2.0251001E8)</f>
        <v>202510010</v>
      </c>
      <c r="C391" s="139" t="str">
        <f>IFERROR(__xludf.DUMMYFUNCTION("""COMPUTED_VALUE"""),"chara_spy_00401_Special_00002")</f>
        <v>chara_spy_00401_Special_00002</v>
      </c>
      <c r="D391" s="139" t="str">
        <f>IFERROR(__xludf.DUMMYFUNCTION("""COMPUTED_VALUE"""),"chara_spy_00401")</f>
        <v>chara_spy_00401</v>
      </c>
      <c r="E391" s="139">
        <f>IFERROR(__xludf.DUMMYFUNCTION("""COMPUTED_VALUE"""),2.0)</f>
        <v>2</v>
      </c>
      <c r="F391" s="139" t="str">
        <f>IFERROR(__xludf.DUMMYFUNCTION("""COMPUTED_VALUE"""),"Special")</f>
        <v>Special</v>
      </c>
      <c r="G391" s="139"/>
      <c r="H391" s="139"/>
      <c r="I391" s="139">
        <f>IFERROR(__xludf.DUMMYFUNCTION("""COMPUTED_VALUE"""),138.0)</f>
        <v>138</v>
      </c>
      <c r="J391" s="139">
        <f>IFERROR(__xludf.DUMMYFUNCTION("""COMPUTED_VALUE"""),67.0)</f>
        <v>67</v>
      </c>
      <c r="K391" s="139">
        <f>IFERROR(__xludf.DUMMYFUNCTION("""COMPUTED_VALUE"""),0.0)</f>
        <v>0</v>
      </c>
      <c r="L391" s="139"/>
      <c r="M391" s="139" t="str">
        <f>IFERROR(__xludf.DUMMYFUNCTION("""COMPUTED_VALUE"""),"敵単体に自身の攻撃ステータスの126%のダメージ")</f>
        <v>敵単体に自身の攻撃ステータスの126%のダメージ</v>
      </c>
      <c r="N391" s="139" t="str">
        <f>IFERROR(__xludf.DUMMYFUNCTION("""COMPUTED_VALUE"""),"ステータスUP + 必殺ワザ性能UP")</f>
        <v>ステータスUP + 必殺ワザ性能UP</v>
      </c>
    </row>
    <row r="392">
      <c r="A392" s="139" t="str">
        <f>IFERROR(__xludf.DUMMYFUNCTION("""COMPUTED_VALUE"""),"e")</f>
        <v>e</v>
      </c>
      <c r="B392" s="139">
        <f>IFERROR(__xludf.DUMMYFUNCTION("""COMPUTED_VALUE"""),2.0251001E8)</f>
        <v>202510010</v>
      </c>
      <c r="C392" s="139" t="str">
        <f>IFERROR(__xludf.DUMMYFUNCTION("""COMPUTED_VALUE"""),"chara_spy_00401_Special_00003")</f>
        <v>chara_spy_00401_Special_00003</v>
      </c>
      <c r="D392" s="139" t="str">
        <f>IFERROR(__xludf.DUMMYFUNCTION("""COMPUTED_VALUE"""),"chara_spy_00401")</f>
        <v>chara_spy_00401</v>
      </c>
      <c r="E392" s="139">
        <f>IFERROR(__xludf.DUMMYFUNCTION("""COMPUTED_VALUE"""),3.0)</f>
        <v>3</v>
      </c>
      <c r="F392" s="139" t="str">
        <f>IFERROR(__xludf.DUMMYFUNCTION("""COMPUTED_VALUE"""),"Special")</f>
        <v>Special</v>
      </c>
      <c r="G392" s="139"/>
      <c r="H392" s="139"/>
      <c r="I392" s="139">
        <f>IFERROR(__xludf.DUMMYFUNCTION("""COMPUTED_VALUE"""),138.0)</f>
        <v>138</v>
      </c>
      <c r="J392" s="139">
        <f>IFERROR(__xludf.DUMMYFUNCTION("""COMPUTED_VALUE"""),67.0)</f>
        <v>67</v>
      </c>
      <c r="K392" s="139">
        <f>IFERROR(__xludf.DUMMYFUNCTION("""COMPUTED_VALUE"""),0.0)</f>
        <v>0</v>
      </c>
      <c r="L392" s="139"/>
      <c r="M392" s="139" t="str">
        <f>IFERROR(__xludf.DUMMYFUNCTION("""COMPUTED_VALUE"""),"敵単体に自身の攻撃ステータスの138%のダメージ")</f>
        <v>敵単体に自身の攻撃ステータスの138%のダメージ</v>
      </c>
      <c r="N392" s="139" t="str">
        <f>IFERROR(__xludf.DUMMYFUNCTION("""COMPUTED_VALUE"""),"ステータスUP + 必殺ワザ性能UP")</f>
        <v>ステータスUP + 必殺ワザ性能UP</v>
      </c>
    </row>
    <row r="393">
      <c r="A393" s="139" t="str">
        <f>IFERROR(__xludf.DUMMYFUNCTION("""COMPUTED_VALUE"""),"e")</f>
        <v>e</v>
      </c>
      <c r="B393" s="139">
        <f>IFERROR(__xludf.DUMMYFUNCTION("""COMPUTED_VALUE"""),2.0251001E8)</f>
        <v>202510010</v>
      </c>
      <c r="C393" s="139" t="str">
        <f>IFERROR(__xludf.DUMMYFUNCTION("""COMPUTED_VALUE"""),"chara_spy_00401_Special_00004")</f>
        <v>chara_spy_00401_Special_00004</v>
      </c>
      <c r="D393" s="139" t="str">
        <f>IFERROR(__xludf.DUMMYFUNCTION("""COMPUTED_VALUE"""),"chara_spy_00401")</f>
        <v>chara_spy_00401</v>
      </c>
      <c r="E393" s="139">
        <f>IFERROR(__xludf.DUMMYFUNCTION("""COMPUTED_VALUE"""),4.0)</f>
        <v>4</v>
      </c>
      <c r="F393" s="139" t="str">
        <f>IFERROR(__xludf.DUMMYFUNCTION("""COMPUTED_VALUE"""),"Special")</f>
        <v>Special</v>
      </c>
      <c r="G393" s="139"/>
      <c r="H393" s="139"/>
      <c r="I393" s="139">
        <f>IFERROR(__xludf.DUMMYFUNCTION("""COMPUTED_VALUE"""),138.0)</f>
        <v>138</v>
      </c>
      <c r="J393" s="139">
        <f>IFERROR(__xludf.DUMMYFUNCTION("""COMPUTED_VALUE"""),67.0)</f>
        <v>67</v>
      </c>
      <c r="K393" s="139">
        <f>IFERROR(__xludf.DUMMYFUNCTION("""COMPUTED_VALUE"""),0.0)</f>
        <v>0</v>
      </c>
      <c r="L393" s="139"/>
      <c r="M393" s="139" t="str">
        <f>IFERROR(__xludf.DUMMYFUNCTION("""COMPUTED_VALUE"""),"敵単体に自身の攻撃ステータスの147%のダメージ")</f>
        <v>敵単体に自身の攻撃ステータスの147%のダメージ</v>
      </c>
      <c r="N393" s="139" t="str">
        <f>IFERROR(__xludf.DUMMYFUNCTION("""COMPUTED_VALUE"""),"ステータスUP + 必殺ワザ性能UP")</f>
        <v>ステータスUP + 必殺ワザ性能UP</v>
      </c>
    </row>
    <row r="394">
      <c r="A394" s="139" t="str">
        <f>IFERROR(__xludf.DUMMYFUNCTION("""COMPUTED_VALUE"""),"e")</f>
        <v>e</v>
      </c>
      <c r="B394" s="139">
        <f>IFERROR(__xludf.DUMMYFUNCTION("""COMPUTED_VALUE"""),2.0251001E8)</f>
        <v>202510010</v>
      </c>
      <c r="C394" s="139" t="str">
        <f>IFERROR(__xludf.DUMMYFUNCTION("""COMPUTED_VALUE"""),"chara_spy_00401_Special_00005")</f>
        <v>chara_spy_00401_Special_00005</v>
      </c>
      <c r="D394" s="139" t="str">
        <f>IFERROR(__xludf.DUMMYFUNCTION("""COMPUTED_VALUE"""),"chara_spy_00401")</f>
        <v>chara_spy_00401</v>
      </c>
      <c r="E394" s="139">
        <f>IFERROR(__xludf.DUMMYFUNCTION("""COMPUTED_VALUE"""),5.0)</f>
        <v>5</v>
      </c>
      <c r="F394" s="139" t="str">
        <f>IFERROR(__xludf.DUMMYFUNCTION("""COMPUTED_VALUE"""),"Special")</f>
        <v>Special</v>
      </c>
      <c r="G394" s="139"/>
      <c r="H394" s="139"/>
      <c r="I394" s="139">
        <f>IFERROR(__xludf.DUMMYFUNCTION("""COMPUTED_VALUE"""),138.0)</f>
        <v>138</v>
      </c>
      <c r="J394" s="139">
        <f>IFERROR(__xludf.DUMMYFUNCTION("""COMPUTED_VALUE"""),67.0)</f>
        <v>67</v>
      </c>
      <c r="K394" s="139">
        <f>IFERROR(__xludf.DUMMYFUNCTION("""COMPUTED_VALUE"""),0.0)</f>
        <v>0</v>
      </c>
      <c r="L394" s="139"/>
      <c r="M394" s="139" t="str">
        <f>IFERROR(__xludf.DUMMYFUNCTION("""COMPUTED_VALUE"""),"敵単体に自身の攻撃ステータスの153%のダメージ")</f>
        <v>敵単体に自身の攻撃ステータスの153%のダメージ</v>
      </c>
      <c r="N394" s="139" t="str">
        <f>IFERROR(__xludf.DUMMYFUNCTION("""COMPUTED_VALUE"""),"ステータスUP + 必殺ワザ性能UP")</f>
        <v>ステータスUP + 必殺ワザ性能UP</v>
      </c>
    </row>
    <row r="395">
      <c r="A395" s="139"/>
      <c r="B395" s="139"/>
      <c r="C395" s="139" t="str">
        <f>IFERROR(__xludf.DUMMYFUNCTION("""COMPUTED_VALUE"""),"chara_spy_00401_Special_00006")</f>
        <v>chara_spy_00401_Special_00006</v>
      </c>
      <c r="D395" s="139" t="str">
        <f>IFERROR(__xludf.DUMMYFUNCTION("""COMPUTED_VALUE"""),"chara_spy_00401")</f>
        <v>chara_spy_00401</v>
      </c>
      <c r="E395" s="139">
        <f>IFERROR(__xludf.DUMMYFUNCTION("""COMPUTED_VALUE"""),6.0)</f>
        <v>6</v>
      </c>
      <c r="F395" s="139" t="str">
        <f>IFERROR(__xludf.DUMMYFUNCTION("""COMPUTED_VALUE"""),"Special")</f>
        <v>Special</v>
      </c>
      <c r="G395" s="139"/>
      <c r="H395" s="139"/>
      <c r="I395" s="139">
        <f>IFERROR(__xludf.DUMMYFUNCTION("""COMPUTED_VALUE"""),138.0)</f>
        <v>138</v>
      </c>
      <c r="J395" s="139">
        <f>IFERROR(__xludf.DUMMYFUNCTION("""COMPUTED_VALUE"""),67.0)</f>
        <v>67</v>
      </c>
      <c r="K395" s="139">
        <f>IFERROR(__xludf.DUMMYFUNCTION("""COMPUTED_VALUE"""),0.0)</f>
        <v>0</v>
      </c>
      <c r="L395" s="139"/>
      <c r="M395" s="139"/>
      <c r="N395" s="139"/>
    </row>
    <row r="396">
      <c r="A396" s="139"/>
      <c r="B396" s="139"/>
      <c r="C396" s="139" t="str">
        <f>IFERROR(__xludf.DUMMYFUNCTION("""COMPUTED_VALUE"""),"chara_spy_00401_Special_00007")</f>
        <v>chara_spy_00401_Special_00007</v>
      </c>
      <c r="D396" s="139" t="str">
        <f>IFERROR(__xludf.DUMMYFUNCTION("""COMPUTED_VALUE"""),"chara_spy_00401")</f>
        <v>chara_spy_00401</v>
      </c>
      <c r="E396" s="139">
        <f>IFERROR(__xludf.DUMMYFUNCTION("""COMPUTED_VALUE"""),7.0)</f>
        <v>7</v>
      </c>
      <c r="F396" s="139" t="str">
        <f>IFERROR(__xludf.DUMMYFUNCTION("""COMPUTED_VALUE"""),"Special")</f>
        <v>Special</v>
      </c>
      <c r="G396" s="139"/>
      <c r="H396" s="139"/>
      <c r="I396" s="139">
        <f>IFERROR(__xludf.DUMMYFUNCTION("""COMPUTED_VALUE"""),138.0)</f>
        <v>138</v>
      </c>
      <c r="J396" s="139">
        <f>IFERROR(__xludf.DUMMYFUNCTION("""COMPUTED_VALUE"""),67.0)</f>
        <v>67</v>
      </c>
      <c r="K396" s="139">
        <f>IFERROR(__xludf.DUMMYFUNCTION("""COMPUTED_VALUE"""),0.0)</f>
        <v>0</v>
      </c>
      <c r="L396" s="139"/>
      <c r="M396" s="139"/>
      <c r="N396" s="139"/>
    </row>
    <row r="397">
      <c r="A397" s="139"/>
      <c r="B397" s="139"/>
      <c r="C397" s="139" t="str">
        <f>IFERROR(__xludf.DUMMYFUNCTION("""COMPUTED_VALUE"""),"chara_spy_00401_Special_00008")</f>
        <v>chara_spy_00401_Special_00008</v>
      </c>
      <c r="D397" s="139" t="str">
        <f>IFERROR(__xludf.DUMMYFUNCTION("""COMPUTED_VALUE"""),"chara_spy_00401")</f>
        <v>chara_spy_00401</v>
      </c>
      <c r="E397" s="139">
        <f>IFERROR(__xludf.DUMMYFUNCTION("""COMPUTED_VALUE"""),8.0)</f>
        <v>8</v>
      </c>
      <c r="F397" s="139" t="str">
        <f>IFERROR(__xludf.DUMMYFUNCTION("""COMPUTED_VALUE"""),"Special")</f>
        <v>Special</v>
      </c>
      <c r="G397" s="139"/>
      <c r="H397" s="139"/>
      <c r="I397" s="139">
        <f>IFERROR(__xludf.DUMMYFUNCTION("""COMPUTED_VALUE"""),138.0)</f>
        <v>138</v>
      </c>
      <c r="J397" s="139">
        <f>IFERROR(__xludf.DUMMYFUNCTION("""COMPUTED_VALUE"""),67.0)</f>
        <v>67</v>
      </c>
      <c r="K397" s="139">
        <f>IFERROR(__xludf.DUMMYFUNCTION("""COMPUTED_VALUE"""),0.0)</f>
        <v>0</v>
      </c>
      <c r="L397" s="139"/>
      <c r="M397" s="139"/>
      <c r="N397" s="139"/>
    </row>
    <row r="398">
      <c r="A398" s="139"/>
      <c r="B398" s="139"/>
      <c r="C398" s="139" t="str">
        <f>IFERROR(__xludf.DUMMYFUNCTION("""COMPUTED_VALUE"""),"chara_spy_00401_Special_00009")</f>
        <v>chara_spy_00401_Special_00009</v>
      </c>
      <c r="D398" s="139" t="str">
        <f>IFERROR(__xludf.DUMMYFUNCTION("""COMPUTED_VALUE"""),"chara_spy_00401")</f>
        <v>chara_spy_00401</v>
      </c>
      <c r="E398" s="139">
        <f>IFERROR(__xludf.DUMMYFUNCTION("""COMPUTED_VALUE"""),9.0)</f>
        <v>9</v>
      </c>
      <c r="F398" s="139" t="str">
        <f>IFERROR(__xludf.DUMMYFUNCTION("""COMPUTED_VALUE"""),"Special")</f>
        <v>Special</v>
      </c>
      <c r="G398" s="139"/>
      <c r="H398" s="139"/>
      <c r="I398" s="139">
        <f>IFERROR(__xludf.DUMMYFUNCTION("""COMPUTED_VALUE"""),138.0)</f>
        <v>138</v>
      </c>
      <c r="J398" s="139">
        <f>IFERROR(__xludf.DUMMYFUNCTION("""COMPUTED_VALUE"""),67.0)</f>
        <v>67</v>
      </c>
      <c r="K398" s="139">
        <f>IFERROR(__xludf.DUMMYFUNCTION("""COMPUTED_VALUE"""),0.0)</f>
        <v>0</v>
      </c>
      <c r="L398" s="139"/>
      <c r="M398" s="139"/>
      <c r="N398" s="139"/>
    </row>
    <row r="399">
      <c r="A399" s="139"/>
      <c r="B399" s="139"/>
      <c r="C399" s="139" t="str">
        <f>IFERROR(__xludf.DUMMYFUNCTION("""COMPUTED_VALUE"""),"chara_spy_00401_Special_00010")</f>
        <v>chara_spy_00401_Special_00010</v>
      </c>
      <c r="D399" s="139" t="str">
        <f>IFERROR(__xludf.DUMMYFUNCTION("""COMPUTED_VALUE"""),"chara_spy_00401")</f>
        <v>chara_spy_00401</v>
      </c>
      <c r="E399" s="139">
        <f>IFERROR(__xludf.DUMMYFUNCTION("""COMPUTED_VALUE"""),10.0)</f>
        <v>10</v>
      </c>
      <c r="F399" s="139" t="str">
        <f>IFERROR(__xludf.DUMMYFUNCTION("""COMPUTED_VALUE"""),"Special")</f>
        <v>Special</v>
      </c>
      <c r="G399" s="139"/>
      <c r="H399" s="139"/>
      <c r="I399" s="139">
        <f>IFERROR(__xludf.DUMMYFUNCTION("""COMPUTED_VALUE"""),138.0)</f>
        <v>138</v>
      </c>
      <c r="J399" s="139">
        <f>IFERROR(__xludf.DUMMYFUNCTION("""COMPUTED_VALUE"""),67.0)</f>
        <v>67</v>
      </c>
      <c r="K399" s="139">
        <f>IFERROR(__xludf.DUMMYFUNCTION("""COMPUTED_VALUE"""),0.0)</f>
        <v>0</v>
      </c>
      <c r="L399" s="139"/>
      <c r="M399" s="139"/>
      <c r="N399" s="139"/>
    </row>
    <row r="400">
      <c r="A400" s="139" t="str">
        <f>IFERROR(__xludf.DUMMYFUNCTION("""COMPUTED_VALUE"""),"e")</f>
        <v>e</v>
      </c>
      <c r="B400" s="139">
        <f>IFERROR(__xludf.DUMMYFUNCTION("""COMPUTED_VALUE"""),2.0251001E8)</f>
        <v>202510010</v>
      </c>
      <c r="C400" s="139" t="str">
        <f>IFERROR(__xludf.DUMMYFUNCTION("""COMPUTED_VALUE"""),"chara_spy_00501_Normal_00000")</f>
        <v>chara_spy_00501_Normal_00000</v>
      </c>
      <c r="D400" s="139" t="str">
        <f>IFERROR(__xludf.DUMMYFUNCTION("""COMPUTED_VALUE"""),"chara_spy_00501")</f>
        <v>chara_spy_00501</v>
      </c>
      <c r="E400" s="139">
        <f>IFERROR(__xludf.DUMMYFUNCTION("""COMPUTED_VALUE"""),0.0)</f>
        <v>0</v>
      </c>
      <c r="F400" s="139" t="str">
        <f>IFERROR(__xludf.DUMMYFUNCTION("""COMPUTED_VALUE"""),"Normal")</f>
        <v>Normal</v>
      </c>
      <c r="G400" s="139"/>
      <c r="H400" s="139"/>
      <c r="I400" s="139">
        <f>IFERROR(__xludf.DUMMYFUNCTION("""COMPUTED_VALUE"""),57.0)</f>
        <v>57</v>
      </c>
      <c r="J400" s="139">
        <f>IFERROR(__xludf.DUMMYFUNCTION("""COMPUTED_VALUE"""),17.0)</f>
        <v>17</v>
      </c>
      <c r="K400" s="139">
        <f>IFERROR(__xludf.DUMMYFUNCTION("""COMPUTED_VALUE"""),95.0)</f>
        <v>95</v>
      </c>
      <c r="L400" s="139"/>
      <c r="M400" s="139" t="str">
        <f>IFERROR(__xludf.DUMMYFUNCTION("""COMPUTED_VALUE"""),"表示場所なし")</f>
        <v>表示場所なし</v>
      </c>
      <c r="N400" s="139"/>
    </row>
    <row r="401">
      <c r="A401" s="139" t="str">
        <f>IFERROR(__xludf.DUMMYFUNCTION("""COMPUTED_VALUE"""),"e")</f>
        <v>e</v>
      </c>
      <c r="B401" s="139">
        <f>IFERROR(__xludf.DUMMYFUNCTION("""COMPUTED_VALUE"""),2.0251001E8)</f>
        <v>202510010</v>
      </c>
      <c r="C401" s="139" t="str">
        <f>IFERROR(__xludf.DUMMYFUNCTION("""COMPUTED_VALUE"""),"chara_spy_00501_Special_00001")</f>
        <v>chara_spy_00501_Special_00001</v>
      </c>
      <c r="D401" s="139" t="str">
        <f>IFERROR(__xludf.DUMMYFUNCTION("""COMPUTED_VALUE"""),"chara_spy_00501")</f>
        <v>chara_spy_00501</v>
      </c>
      <c r="E401" s="139">
        <f>IFERROR(__xludf.DUMMYFUNCTION("""COMPUTED_VALUE"""),1.0)</f>
        <v>1</v>
      </c>
      <c r="F401" s="139" t="str">
        <f>IFERROR(__xludf.DUMMYFUNCTION("""COMPUTED_VALUE"""),"Special")</f>
        <v>Special</v>
      </c>
      <c r="G401" s="139"/>
      <c r="H401" s="139"/>
      <c r="I401" s="139">
        <f>IFERROR(__xludf.DUMMYFUNCTION("""COMPUTED_VALUE"""),117.0)</f>
        <v>117</v>
      </c>
      <c r="J401" s="139">
        <f>IFERROR(__xludf.DUMMYFUNCTION("""COMPUTED_VALUE"""),59.0)</f>
        <v>59</v>
      </c>
      <c r="K401" s="139">
        <f>IFERROR(__xludf.DUMMYFUNCTION("""COMPUTED_VALUE"""),0.0)</f>
        <v>0</v>
      </c>
      <c r="L401" s="139"/>
      <c r="M401" s="139" t="str">
        <f>IFERROR(__xludf.DUMMYFUNCTION("""COMPUTED_VALUE"""),"自身への被ダメージを3.2秒間、30%カット")</f>
        <v>自身への被ダメージを3.2秒間、30%カット</v>
      </c>
      <c r="N401" s="139"/>
    </row>
    <row r="402">
      <c r="A402" s="139" t="str">
        <f>IFERROR(__xludf.DUMMYFUNCTION("""COMPUTED_VALUE"""),"e")</f>
        <v>e</v>
      </c>
      <c r="B402" s="139">
        <f>IFERROR(__xludf.DUMMYFUNCTION("""COMPUTED_VALUE"""),2.0251001E8)</f>
        <v>202510010</v>
      </c>
      <c r="C402" s="139" t="str">
        <f>IFERROR(__xludf.DUMMYFUNCTION("""COMPUTED_VALUE"""),"chara_spy_00501_Special_00002")</f>
        <v>chara_spy_00501_Special_00002</v>
      </c>
      <c r="D402" s="139" t="str">
        <f>IFERROR(__xludf.DUMMYFUNCTION("""COMPUTED_VALUE"""),"chara_spy_00501")</f>
        <v>chara_spy_00501</v>
      </c>
      <c r="E402" s="139">
        <f>IFERROR(__xludf.DUMMYFUNCTION("""COMPUTED_VALUE"""),2.0)</f>
        <v>2</v>
      </c>
      <c r="F402" s="139" t="str">
        <f>IFERROR(__xludf.DUMMYFUNCTION("""COMPUTED_VALUE"""),"Special")</f>
        <v>Special</v>
      </c>
      <c r="G402" s="139"/>
      <c r="H402" s="139"/>
      <c r="I402" s="139">
        <f>IFERROR(__xludf.DUMMYFUNCTION("""COMPUTED_VALUE"""),117.0)</f>
        <v>117</v>
      </c>
      <c r="J402" s="139">
        <f>IFERROR(__xludf.DUMMYFUNCTION("""COMPUTED_VALUE"""),59.0)</f>
        <v>59</v>
      </c>
      <c r="K402" s="139">
        <f>IFERROR(__xludf.DUMMYFUNCTION("""COMPUTED_VALUE"""),0.0)</f>
        <v>0</v>
      </c>
      <c r="L402" s="139"/>
      <c r="M402" s="139" t="str">
        <f>IFERROR(__xludf.DUMMYFUNCTION("""COMPUTED_VALUE"""),"自身への被ダメージを4.4秒間、32%カット")</f>
        <v>自身への被ダメージを4.4秒間、32%カット</v>
      </c>
      <c r="N402" s="139" t="str">
        <f>IFERROR(__xludf.DUMMYFUNCTION("""COMPUTED_VALUE"""),"ステータスUP + 必殺ワザ性能UP")</f>
        <v>ステータスUP + 必殺ワザ性能UP</v>
      </c>
    </row>
    <row r="403">
      <c r="A403" s="139" t="str">
        <f>IFERROR(__xludf.DUMMYFUNCTION("""COMPUTED_VALUE"""),"e")</f>
        <v>e</v>
      </c>
      <c r="B403" s="139">
        <f>IFERROR(__xludf.DUMMYFUNCTION("""COMPUTED_VALUE"""),2.0251001E8)</f>
        <v>202510010</v>
      </c>
      <c r="C403" s="139" t="str">
        <f>IFERROR(__xludf.DUMMYFUNCTION("""COMPUTED_VALUE"""),"chara_spy_00501_Special_00003")</f>
        <v>chara_spy_00501_Special_00003</v>
      </c>
      <c r="D403" s="139" t="str">
        <f>IFERROR(__xludf.DUMMYFUNCTION("""COMPUTED_VALUE"""),"chara_spy_00501")</f>
        <v>chara_spy_00501</v>
      </c>
      <c r="E403" s="139">
        <f>IFERROR(__xludf.DUMMYFUNCTION("""COMPUTED_VALUE"""),3.0)</f>
        <v>3</v>
      </c>
      <c r="F403" s="139" t="str">
        <f>IFERROR(__xludf.DUMMYFUNCTION("""COMPUTED_VALUE"""),"Special")</f>
        <v>Special</v>
      </c>
      <c r="G403" s="139"/>
      <c r="H403" s="139"/>
      <c r="I403" s="139">
        <f>IFERROR(__xludf.DUMMYFUNCTION("""COMPUTED_VALUE"""),117.0)</f>
        <v>117</v>
      </c>
      <c r="J403" s="139">
        <f>IFERROR(__xludf.DUMMYFUNCTION("""COMPUTED_VALUE"""),59.0)</f>
        <v>59</v>
      </c>
      <c r="K403" s="139">
        <f>IFERROR(__xludf.DUMMYFUNCTION("""COMPUTED_VALUE"""),0.0)</f>
        <v>0</v>
      </c>
      <c r="L403" s="139"/>
      <c r="M403" s="139" t="str">
        <f>IFERROR(__xludf.DUMMYFUNCTION("""COMPUTED_VALUE"""),"自身への被ダメージを5.1秒間、33%カット")</f>
        <v>自身への被ダメージを5.1秒間、33%カット</v>
      </c>
      <c r="N403" s="139" t="str">
        <f>IFERROR(__xludf.DUMMYFUNCTION("""COMPUTED_VALUE"""),"ステータスUP + 必殺ワザ性能UP")</f>
        <v>ステータスUP + 必殺ワザ性能UP</v>
      </c>
    </row>
    <row r="404">
      <c r="A404" s="139" t="str">
        <f>IFERROR(__xludf.DUMMYFUNCTION("""COMPUTED_VALUE"""),"e")</f>
        <v>e</v>
      </c>
      <c r="B404" s="139">
        <f>IFERROR(__xludf.DUMMYFUNCTION("""COMPUTED_VALUE"""),2.0251001E8)</f>
        <v>202510010</v>
      </c>
      <c r="C404" s="139" t="str">
        <f>IFERROR(__xludf.DUMMYFUNCTION("""COMPUTED_VALUE"""),"chara_spy_00501_Special_00004")</f>
        <v>chara_spy_00501_Special_00004</v>
      </c>
      <c r="D404" s="139" t="str">
        <f>IFERROR(__xludf.DUMMYFUNCTION("""COMPUTED_VALUE"""),"chara_spy_00501")</f>
        <v>chara_spy_00501</v>
      </c>
      <c r="E404" s="139">
        <f>IFERROR(__xludf.DUMMYFUNCTION("""COMPUTED_VALUE"""),4.0)</f>
        <v>4</v>
      </c>
      <c r="F404" s="139" t="str">
        <f>IFERROR(__xludf.DUMMYFUNCTION("""COMPUTED_VALUE"""),"Special")</f>
        <v>Special</v>
      </c>
      <c r="G404" s="139"/>
      <c r="H404" s="139"/>
      <c r="I404" s="139">
        <f>IFERROR(__xludf.DUMMYFUNCTION("""COMPUTED_VALUE"""),117.0)</f>
        <v>117</v>
      </c>
      <c r="J404" s="139">
        <f>IFERROR(__xludf.DUMMYFUNCTION("""COMPUTED_VALUE"""),59.0)</f>
        <v>59</v>
      </c>
      <c r="K404" s="139">
        <f>IFERROR(__xludf.DUMMYFUNCTION("""COMPUTED_VALUE"""),0.0)</f>
        <v>0</v>
      </c>
      <c r="L404" s="139"/>
      <c r="M404" s="139" t="str">
        <f>IFERROR(__xludf.DUMMYFUNCTION("""COMPUTED_VALUE"""),"自身への被ダメージを5.7秒間、34%カット")</f>
        <v>自身への被ダメージを5.7秒間、34%カット</v>
      </c>
      <c r="N404" s="139" t="str">
        <f>IFERROR(__xludf.DUMMYFUNCTION("""COMPUTED_VALUE"""),"ステータスUP + 必殺ワザ性能UP")</f>
        <v>ステータスUP + 必殺ワザ性能UP</v>
      </c>
    </row>
    <row r="405">
      <c r="A405" s="139" t="str">
        <f>IFERROR(__xludf.DUMMYFUNCTION("""COMPUTED_VALUE"""),"e")</f>
        <v>e</v>
      </c>
      <c r="B405" s="139">
        <f>IFERROR(__xludf.DUMMYFUNCTION("""COMPUTED_VALUE"""),2.0251001E8)</f>
        <v>202510010</v>
      </c>
      <c r="C405" s="139" t="str">
        <f>IFERROR(__xludf.DUMMYFUNCTION("""COMPUTED_VALUE"""),"chara_spy_00501_Special_00005")</f>
        <v>chara_spy_00501_Special_00005</v>
      </c>
      <c r="D405" s="139" t="str">
        <f>IFERROR(__xludf.DUMMYFUNCTION("""COMPUTED_VALUE"""),"chara_spy_00501")</f>
        <v>chara_spy_00501</v>
      </c>
      <c r="E405" s="139">
        <f>IFERROR(__xludf.DUMMYFUNCTION("""COMPUTED_VALUE"""),5.0)</f>
        <v>5</v>
      </c>
      <c r="F405" s="139" t="str">
        <f>IFERROR(__xludf.DUMMYFUNCTION("""COMPUTED_VALUE"""),"Special")</f>
        <v>Special</v>
      </c>
      <c r="G405" s="139"/>
      <c r="H405" s="139"/>
      <c r="I405" s="139">
        <f>IFERROR(__xludf.DUMMYFUNCTION("""COMPUTED_VALUE"""),117.0)</f>
        <v>117</v>
      </c>
      <c r="J405" s="139">
        <f>IFERROR(__xludf.DUMMYFUNCTION("""COMPUTED_VALUE"""),59.0)</f>
        <v>59</v>
      </c>
      <c r="K405" s="139">
        <f>IFERROR(__xludf.DUMMYFUNCTION("""COMPUTED_VALUE"""),0.0)</f>
        <v>0</v>
      </c>
      <c r="L405" s="139"/>
      <c r="M405" s="139" t="str">
        <f>IFERROR(__xludf.DUMMYFUNCTION("""COMPUTED_VALUE"""),"自身への被ダメージを6秒間、35%カット")</f>
        <v>自身への被ダメージを6秒間、35%カット</v>
      </c>
      <c r="N405" s="139" t="str">
        <f>IFERROR(__xludf.DUMMYFUNCTION("""COMPUTED_VALUE"""),"ステータスUP + 必殺ワザ性能UP")</f>
        <v>ステータスUP + 必殺ワザ性能UP</v>
      </c>
    </row>
    <row r="406">
      <c r="A406" s="139"/>
      <c r="B406" s="139"/>
      <c r="C406" s="139" t="str">
        <f>IFERROR(__xludf.DUMMYFUNCTION("""COMPUTED_VALUE"""),"chara_spy_00501_Special_00006")</f>
        <v>chara_spy_00501_Special_00006</v>
      </c>
      <c r="D406" s="139" t="str">
        <f>IFERROR(__xludf.DUMMYFUNCTION("""COMPUTED_VALUE"""),"chara_spy_00501")</f>
        <v>chara_spy_00501</v>
      </c>
      <c r="E406" s="139">
        <f>IFERROR(__xludf.DUMMYFUNCTION("""COMPUTED_VALUE"""),6.0)</f>
        <v>6</v>
      </c>
      <c r="F406" s="139" t="str">
        <f>IFERROR(__xludf.DUMMYFUNCTION("""COMPUTED_VALUE"""),"Special")</f>
        <v>Special</v>
      </c>
      <c r="G406" s="139"/>
      <c r="H406" s="139"/>
      <c r="I406" s="139">
        <f>IFERROR(__xludf.DUMMYFUNCTION("""COMPUTED_VALUE"""),117.0)</f>
        <v>117</v>
      </c>
      <c r="J406" s="139">
        <f>IFERROR(__xludf.DUMMYFUNCTION("""COMPUTED_VALUE"""),59.0)</f>
        <v>59</v>
      </c>
      <c r="K406" s="139">
        <f>IFERROR(__xludf.DUMMYFUNCTION("""COMPUTED_VALUE"""),0.0)</f>
        <v>0</v>
      </c>
      <c r="L406" s="139"/>
      <c r="M406" s="139"/>
      <c r="N406" s="139"/>
    </row>
    <row r="407">
      <c r="A407" s="139"/>
      <c r="B407" s="139"/>
      <c r="C407" s="139" t="str">
        <f>IFERROR(__xludf.DUMMYFUNCTION("""COMPUTED_VALUE"""),"chara_spy_00501_Special_00007")</f>
        <v>chara_spy_00501_Special_00007</v>
      </c>
      <c r="D407" s="139" t="str">
        <f>IFERROR(__xludf.DUMMYFUNCTION("""COMPUTED_VALUE"""),"chara_spy_00501")</f>
        <v>chara_spy_00501</v>
      </c>
      <c r="E407" s="139">
        <f>IFERROR(__xludf.DUMMYFUNCTION("""COMPUTED_VALUE"""),7.0)</f>
        <v>7</v>
      </c>
      <c r="F407" s="139" t="str">
        <f>IFERROR(__xludf.DUMMYFUNCTION("""COMPUTED_VALUE"""),"Special")</f>
        <v>Special</v>
      </c>
      <c r="G407" s="139"/>
      <c r="H407" s="139"/>
      <c r="I407" s="139">
        <f>IFERROR(__xludf.DUMMYFUNCTION("""COMPUTED_VALUE"""),117.0)</f>
        <v>117</v>
      </c>
      <c r="J407" s="139">
        <f>IFERROR(__xludf.DUMMYFUNCTION("""COMPUTED_VALUE"""),59.0)</f>
        <v>59</v>
      </c>
      <c r="K407" s="139">
        <f>IFERROR(__xludf.DUMMYFUNCTION("""COMPUTED_VALUE"""),0.0)</f>
        <v>0</v>
      </c>
      <c r="L407" s="139"/>
      <c r="M407" s="139"/>
      <c r="N407" s="139"/>
    </row>
    <row r="408">
      <c r="A408" s="139"/>
      <c r="B408" s="139"/>
      <c r="C408" s="139" t="str">
        <f>IFERROR(__xludf.DUMMYFUNCTION("""COMPUTED_VALUE"""),"chara_spy_00501_Special_00008")</f>
        <v>chara_spy_00501_Special_00008</v>
      </c>
      <c r="D408" s="139" t="str">
        <f>IFERROR(__xludf.DUMMYFUNCTION("""COMPUTED_VALUE"""),"chara_spy_00501")</f>
        <v>chara_spy_00501</v>
      </c>
      <c r="E408" s="139">
        <f>IFERROR(__xludf.DUMMYFUNCTION("""COMPUTED_VALUE"""),8.0)</f>
        <v>8</v>
      </c>
      <c r="F408" s="139" t="str">
        <f>IFERROR(__xludf.DUMMYFUNCTION("""COMPUTED_VALUE"""),"Special")</f>
        <v>Special</v>
      </c>
      <c r="G408" s="139"/>
      <c r="H408" s="139"/>
      <c r="I408" s="139">
        <f>IFERROR(__xludf.DUMMYFUNCTION("""COMPUTED_VALUE"""),117.0)</f>
        <v>117</v>
      </c>
      <c r="J408" s="139">
        <f>IFERROR(__xludf.DUMMYFUNCTION("""COMPUTED_VALUE"""),59.0)</f>
        <v>59</v>
      </c>
      <c r="K408" s="139">
        <f>IFERROR(__xludf.DUMMYFUNCTION("""COMPUTED_VALUE"""),0.0)</f>
        <v>0</v>
      </c>
      <c r="L408" s="139"/>
      <c r="M408" s="139"/>
      <c r="N408" s="139"/>
    </row>
    <row r="409">
      <c r="A409" s="139"/>
      <c r="B409" s="139"/>
      <c r="C409" s="139" t="str">
        <f>IFERROR(__xludf.DUMMYFUNCTION("""COMPUTED_VALUE"""),"chara_spy_00501_Special_00009")</f>
        <v>chara_spy_00501_Special_00009</v>
      </c>
      <c r="D409" s="139" t="str">
        <f>IFERROR(__xludf.DUMMYFUNCTION("""COMPUTED_VALUE"""),"chara_spy_00501")</f>
        <v>chara_spy_00501</v>
      </c>
      <c r="E409" s="139">
        <f>IFERROR(__xludf.DUMMYFUNCTION("""COMPUTED_VALUE"""),9.0)</f>
        <v>9</v>
      </c>
      <c r="F409" s="139" t="str">
        <f>IFERROR(__xludf.DUMMYFUNCTION("""COMPUTED_VALUE"""),"Special")</f>
        <v>Special</v>
      </c>
      <c r="G409" s="139"/>
      <c r="H409" s="139"/>
      <c r="I409" s="139">
        <f>IFERROR(__xludf.DUMMYFUNCTION("""COMPUTED_VALUE"""),117.0)</f>
        <v>117</v>
      </c>
      <c r="J409" s="139">
        <f>IFERROR(__xludf.DUMMYFUNCTION("""COMPUTED_VALUE"""),59.0)</f>
        <v>59</v>
      </c>
      <c r="K409" s="139">
        <f>IFERROR(__xludf.DUMMYFUNCTION("""COMPUTED_VALUE"""),0.0)</f>
        <v>0</v>
      </c>
      <c r="L409" s="139"/>
      <c r="M409" s="139"/>
      <c r="N409" s="139"/>
    </row>
    <row r="410">
      <c r="A410" s="139"/>
      <c r="B410" s="139"/>
      <c r="C410" s="139" t="str">
        <f>IFERROR(__xludf.DUMMYFUNCTION("""COMPUTED_VALUE"""),"chara_spy_00501_Special_00010")</f>
        <v>chara_spy_00501_Special_00010</v>
      </c>
      <c r="D410" s="139" t="str">
        <f>IFERROR(__xludf.DUMMYFUNCTION("""COMPUTED_VALUE"""),"chara_spy_00501")</f>
        <v>chara_spy_00501</v>
      </c>
      <c r="E410" s="139">
        <f>IFERROR(__xludf.DUMMYFUNCTION("""COMPUTED_VALUE"""),10.0)</f>
        <v>10</v>
      </c>
      <c r="F410" s="139" t="str">
        <f>IFERROR(__xludf.DUMMYFUNCTION("""COMPUTED_VALUE"""),"Special")</f>
        <v>Special</v>
      </c>
      <c r="G410" s="139"/>
      <c r="H410" s="139"/>
      <c r="I410" s="139">
        <f>IFERROR(__xludf.DUMMYFUNCTION("""COMPUTED_VALUE"""),117.0)</f>
        <v>117</v>
      </c>
      <c r="J410" s="139">
        <f>IFERROR(__xludf.DUMMYFUNCTION("""COMPUTED_VALUE"""),59.0)</f>
        <v>59</v>
      </c>
      <c r="K410" s="139">
        <f>IFERROR(__xludf.DUMMYFUNCTION("""COMPUTED_VALUE"""),0.0)</f>
        <v>0</v>
      </c>
      <c r="L410" s="139"/>
      <c r="M410" s="139"/>
      <c r="N410" s="139"/>
    </row>
    <row r="411">
      <c r="A411" s="139" t="str">
        <f>IFERROR(__xludf.DUMMYFUNCTION("""COMPUTED_VALUE"""),"e")</f>
        <v>e</v>
      </c>
      <c r="B411" s="139">
        <f>IFERROR(__xludf.DUMMYFUNCTION("""COMPUTED_VALUE"""),2.0250901E8)</f>
        <v>202509010</v>
      </c>
      <c r="C411" s="139" t="str">
        <f>IFERROR(__xludf.DUMMYFUNCTION("""COMPUTED_VALUE"""),"chara_rik_00101_Normal_00000")</f>
        <v>chara_rik_00101_Normal_00000</v>
      </c>
      <c r="D411" s="139" t="str">
        <f>IFERROR(__xludf.DUMMYFUNCTION("""COMPUTED_VALUE"""),"chara_rik_00101")</f>
        <v>chara_rik_00101</v>
      </c>
      <c r="E411" s="139">
        <f>IFERROR(__xludf.DUMMYFUNCTION("""COMPUTED_VALUE"""),0.0)</f>
        <v>0</v>
      </c>
      <c r="F411" s="139" t="str">
        <f>IFERROR(__xludf.DUMMYFUNCTION("""COMPUTED_VALUE"""),"Normal")</f>
        <v>Normal</v>
      </c>
      <c r="G411" s="139"/>
      <c r="H411" s="139"/>
      <c r="I411" s="139">
        <f>IFERROR(__xludf.DUMMYFUNCTION("""COMPUTED_VALUE"""),79.0)</f>
        <v>79</v>
      </c>
      <c r="J411" s="139">
        <f>IFERROR(__xludf.DUMMYFUNCTION("""COMPUTED_VALUE"""),44.0)</f>
        <v>44</v>
      </c>
      <c r="K411" s="139">
        <f>IFERROR(__xludf.DUMMYFUNCTION("""COMPUTED_VALUE"""),90.0)</f>
        <v>90</v>
      </c>
      <c r="L411" s="139"/>
      <c r="M411" s="139" t="str">
        <f>IFERROR(__xludf.DUMMYFUNCTION("""COMPUTED_VALUE"""),"表示場所なし")</f>
        <v>表示場所なし</v>
      </c>
      <c r="N411" s="139"/>
    </row>
    <row r="412">
      <c r="A412" s="139" t="str">
        <f>IFERROR(__xludf.DUMMYFUNCTION("""COMPUTED_VALUE"""),"e")</f>
        <v>e</v>
      </c>
      <c r="B412" s="139">
        <f>IFERROR(__xludf.DUMMYFUNCTION("""COMPUTED_VALUE"""),2.0250901E8)</f>
        <v>202509010</v>
      </c>
      <c r="C412" s="139" t="str">
        <f>IFERROR(__xludf.DUMMYFUNCTION("""COMPUTED_VALUE"""),"chara_rik_00101_Special_00001")</f>
        <v>chara_rik_00101_Special_00001</v>
      </c>
      <c r="D412" s="139" t="str">
        <f>IFERROR(__xludf.DUMMYFUNCTION("""COMPUTED_VALUE"""),"chara_rik_00101")</f>
        <v>chara_rik_00101</v>
      </c>
      <c r="E412" s="139">
        <f>IFERROR(__xludf.DUMMYFUNCTION("""COMPUTED_VALUE"""),1.0)</f>
        <v>1</v>
      </c>
      <c r="F412" s="139" t="str">
        <f>IFERROR(__xludf.DUMMYFUNCTION("""COMPUTED_VALUE"""),"Special")</f>
        <v>Special</v>
      </c>
      <c r="G412" s="139"/>
      <c r="H412" s="139"/>
      <c r="I412" s="139">
        <f>IFERROR(__xludf.DUMMYFUNCTION("""COMPUTED_VALUE"""),134.0)</f>
        <v>134</v>
      </c>
      <c r="J412" s="139">
        <f>IFERROR(__xludf.DUMMYFUNCTION("""COMPUTED_VALUE"""),50.0)</f>
        <v>50</v>
      </c>
      <c r="K412" s="139">
        <f>IFERROR(__xludf.DUMMYFUNCTION("""COMPUTED_VALUE"""),0.0)</f>
        <v>0</v>
      </c>
      <c r="L412" s="139"/>
      <c r="M412" s="139" t="str">
        <f>IFERROR(__xludf.DUMMYFUNCTION("""COMPUTED_VALUE"""),"自身と同じコマにいる赤属性の味方と自身の攻撃を6秒間、10%UP")</f>
        <v>自身と同じコマにいる赤属性の味方と自身の攻撃を6秒間、10%UP</v>
      </c>
      <c r="N412" s="139"/>
    </row>
    <row r="413">
      <c r="A413" s="139" t="str">
        <f>IFERROR(__xludf.DUMMYFUNCTION("""COMPUTED_VALUE"""),"e")</f>
        <v>e</v>
      </c>
      <c r="B413" s="139">
        <f>IFERROR(__xludf.DUMMYFUNCTION("""COMPUTED_VALUE"""),2.0250901E8)</f>
        <v>202509010</v>
      </c>
      <c r="C413" s="139" t="str">
        <f>IFERROR(__xludf.DUMMYFUNCTION("""COMPUTED_VALUE"""),"chara_rik_00101_Special_00002")</f>
        <v>chara_rik_00101_Special_00002</v>
      </c>
      <c r="D413" s="139" t="str">
        <f>IFERROR(__xludf.DUMMYFUNCTION("""COMPUTED_VALUE"""),"chara_rik_00101")</f>
        <v>chara_rik_00101</v>
      </c>
      <c r="E413" s="139">
        <f>IFERROR(__xludf.DUMMYFUNCTION("""COMPUTED_VALUE"""),2.0)</f>
        <v>2</v>
      </c>
      <c r="F413" s="139" t="str">
        <f>IFERROR(__xludf.DUMMYFUNCTION("""COMPUTED_VALUE"""),"Special")</f>
        <v>Special</v>
      </c>
      <c r="G413" s="139"/>
      <c r="H413" s="139"/>
      <c r="I413" s="139">
        <f>IFERROR(__xludf.DUMMYFUNCTION("""COMPUTED_VALUE"""),134.0)</f>
        <v>134</v>
      </c>
      <c r="J413" s="139">
        <f>IFERROR(__xludf.DUMMYFUNCTION("""COMPUTED_VALUE"""),50.0)</f>
        <v>50</v>
      </c>
      <c r="K413" s="139">
        <f>IFERROR(__xludf.DUMMYFUNCTION("""COMPUTED_VALUE"""),0.0)</f>
        <v>0</v>
      </c>
      <c r="L413" s="139"/>
      <c r="M413" s="139" t="str">
        <f>IFERROR(__xludf.DUMMYFUNCTION("""COMPUTED_VALUE"""),"自身と同じコマにいる赤属性の味方と自身の攻撃を6.2秒間、11%UP")</f>
        <v>自身と同じコマにいる赤属性の味方と自身の攻撃を6.2秒間、11%UP</v>
      </c>
      <c r="N413" s="139" t="str">
        <f>IFERROR(__xludf.DUMMYFUNCTION("""COMPUTED_VALUE"""),"ステータスUP + 必殺ワザ性能UP")</f>
        <v>ステータスUP + 必殺ワザ性能UP</v>
      </c>
    </row>
    <row r="414">
      <c r="A414" s="139" t="str">
        <f>IFERROR(__xludf.DUMMYFUNCTION("""COMPUTED_VALUE"""),"e")</f>
        <v>e</v>
      </c>
      <c r="B414" s="139">
        <f>IFERROR(__xludf.DUMMYFUNCTION("""COMPUTED_VALUE"""),2.0250901E8)</f>
        <v>202509010</v>
      </c>
      <c r="C414" s="139" t="str">
        <f>IFERROR(__xludf.DUMMYFUNCTION("""COMPUTED_VALUE"""),"chara_rik_00101_Special_00003")</f>
        <v>chara_rik_00101_Special_00003</v>
      </c>
      <c r="D414" s="139" t="str">
        <f>IFERROR(__xludf.DUMMYFUNCTION("""COMPUTED_VALUE"""),"chara_rik_00101")</f>
        <v>chara_rik_00101</v>
      </c>
      <c r="E414" s="139">
        <f>IFERROR(__xludf.DUMMYFUNCTION("""COMPUTED_VALUE"""),3.0)</f>
        <v>3</v>
      </c>
      <c r="F414" s="139" t="str">
        <f>IFERROR(__xludf.DUMMYFUNCTION("""COMPUTED_VALUE"""),"Special")</f>
        <v>Special</v>
      </c>
      <c r="G414" s="139"/>
      <c r="H414" s="139"/>
      <c r="I414" s="139">
        <f>IFERROR(__xludf.DUMMYFUNCTION("""COMPUTED_VALUE"""),134.0)</f>
        <v>134</v>
      </c>
      <c r="J414" s="139">
        <f>IFERROR(__xludf.DUMMYFUNCTION("""COMPUTED_VALUE"""),50.0)</f>
        <v>50</v>
      </c>
      <c r="K414" s="139">
        <f>IFERROR(__xludf.DUMMYFUNCTION("""COMPUTED_VALUE"""),0.0)</f>
        <v>0</v>
      </c>
      <c r="L414" s="139"/>
      <c r="M414" s="139" t="str">
        <f>IFERROR(__xludf.DUMMYFUNCTION("""COMPUTED_VALUE"""),"自身と同じコマにいる赤属性の味方と自身の攻撃を6.3秒間、12%UP")</f>
        <v>自身と同じコマにいる赤属性の味方と自身の攻撃を6.3秒間、12%UP</v>
      </c>
      <c r="N414" s="139" t="str">
        <f>IFERROR(__xludf.DUMMYFUNCTION("""COMPUTED_VALUE"""),"ステータスUP + 必殺ワザ性能UP")</f>
        <v>ステータスUP + 必殺ワザ性能UP</v>
      </c>
    </row>
    <row r="415">
      <c r="A415" s="139" t="str">
        <f>IFERROR(__xludf.DUMMYFUNCTION("""COMPUTED_VALUE"""),"e")</f>
        <v>e</v>
      </c>
      <c r="B415" s="139">
        <f>IFERROR(__xludf.DUMMYFUNCTION("""COMPUTED_VALUE"""),2.0250901E8)</f>
        <v>202509010</v>
      </c>
      <c r="C415" s="139" t="str">
        <f>IFERROR(__xludf.DUMMYFUNCTION("""COMPUTED_VALUE"""),"chara_rik_00101_Special_00004")</f>
        <v>chara_rik_00101_Special_00004</v>
      </c>
      <c r="D415" s="139" t="str">
        <f>IFERROR(__xludf.DUMMYFUNCTION("""COMPUTED_VALUE"""),"chara_rik_00101")</f>
        <v>chara_rik_00101</v>
      </c>
      <c r="E415" s="139">
        <f>IFERROR(__xludf.DUMMYFUNCTION("""COMPUTED_VALUE"""),4.0)</f>
        <v>4</v>
      </c>
      <c r="F415" s="139" t="str">
        <f>IFERROR(__xludf.DUMMYFUNCTION("""COMPUTED_VALUE"""),"Special")</f>
        <v>Special</v>
      </c>
      <c r="G415" s="139"/>
      <c r="H415" s="139"/>
      <c r="I415" s="139">
        <f>IFERROR(__xludf.DUMMYFUNCTION("""COMPUTED_VALUE"""),134.0)</f>
        <v>134</v>
      </c>
      <c r="J415" s="139">
        <f>IFERROR(__xludf.DUMMYFUNCTION("""COMPUTED_VALUE"""),50.0)</f>
        <v>50</v>
      </c>
      <c r="K415" s="139">
        <f>IFERROR(__xludf.DUMMYFUNCTION("""COMPUTED_VALUE"""),0.0)</f>
        <v>0</v>
      </c>
      <c r="L415" s="139"/>
      <c r="M415" s="139" t="str">
        <f>IFERROR(__xludf.DUMMYFUNCTION("""COMPUTED_VALUE"""),"自身と同じコマにいる赤属性の味方と自身の攻撃を6.4秒間、13%UP")</f>
        <v>自身と同じコマにいる赤属性の味方と自身の攻撃を6.4秒間、13%UP</v>
      </c>
      <c r="N415" s="139" t="str">
        <f>IFERROR(__xludf.DUMMYFUNCTION("""COMPUTED_VALUE"""),"ステータスUP + 必殺ワザ性能UP")</f>
        <v>ステータスUP + 必殺ワザ性能UP</v>
      </c>
    </row>
    <row r="416">
      <c r="A416" s="139" t="str">
        <f>IFERROR(__xludf.DUMMYFUNCTION("""COMPUTED_VALUE"""),"e")</f>
        <v>e</v>
      </c>
      <c r="B416" s="139">
        <f>IFERROR(__xludf.DUMMYFUNCTION("""COMPUTED_VALUE"""),2.0250901E8)</f>
        <v>202509010</v>
      </c>
      <c r="C416" s="139" t="str">
        <f>IFERROR(__xludf.DUMMYFUNCTION("""COMPUTED_VALUE"""),"chara_rik_00101_Special_00005")</f>
        <v>chara_rik_00101_Special_00005</v>
      </c>
      <c r="D416" s="139" t="str">
        <f>IFERROR(__xludf.DUMMYFUNCTION("""COMPUTED_VALUE"""),"chara_rik_00101")</f>
        <v>chara_rik_00101</v>
      </c>
      <c r="E416" s="139">
        <f>IFERROR(__xludf.DUMMYFUNCTION("""COMPUTED_VALUE"""),5.0)</f>
        <v>5</v>
      </c>
      <c r="F416" s="139" t="str">
        <f>IFERROR(__xludf.DUMMYFUNCTION("""COMPUTED_VALUE"""),"Special")</f>
        <v>Special</v>
      </c>
      <c r="G416" s="139"/>
      <c r="H416" s="139"/>
      <c r="I416" s="139">
        <f>IFERROR(__xludf.DUMMYFUNCTION("""COMPUTED_VALUE"""),134.0)</f>
        <v>134</v>
      </c>
      <c r="J416" s="139">
        <f>IFERROR(__xludf.DUMMYFUNCTION("""COMPUTED_VALUE"""),50.0)</f>
        <v>50</v>
      </c>
      <c r="K416" s="139">
        <f>IFERROR(__xludf.DUMMYFUNCTION("""COMPUTED_VALUE"""),0.0)</f>
        <v>0</v>
      </c>
      <c r="L416" s="139"/>
      <c r="M416" s="139" t="str">
        <f>IFERROR(__xludf.DUMMYFUNCTION("""COMPUTED_VALUE"""),"自身と同じコマにいる赤属性の味方と自身の攻撃を6.5秒間、13%UP")</f>
        <v>自身と同じコマにいる赤属性の味方と自身の攻撃を6.5秒間、13%UP</v>
      </c>
      <c r="N416" s="139" t="str">
        <f>IFERROR(__xludf.DUMMYFUNCTION("""COMPUTED_VALUE"""),"ステータスUP + 必殺ワザ性能UP")</f>
        <v>ステータスUP + 必殺ワザ性能UP</v>
      </c>
    </row>
    <row r="417">
      <c r="A417" s="139"/>
      <c r="B417" s="139"/>
      <c r="C417" s="139" t="str">
        <f>IFERROR(__xludf.DUMMYFUNCTION("""COMPUTED_VALUE"""),"chara_rik_00101_Special_00006")</f>
        <v>chara_rik_00101_Special_00006</v>
      </c>
      <c r="D417" s="139" t="str">
        <f>IFERROR(__xludf.DUMMYFUNCTION("""COMPUTED_VALUE"""),"chara_rik_00101")</f>
        <v>chara_rik_00101</v>
      </c>
      <c r="E417" s="139">
        <f>IFERROR(__xludf.DUMMYFUNCTION("""COMPUTED_VALUE"""),6.0)</f>
        <v>6</v>
      </c>
      <c r="F417" s="139" t="str">
        <f>IFERROR(__xludf.DUMMYFUNCTION("""COMPUTED_VALUE"""),"Special")</f>
        <v>Special</v>
      </c>
      <c r="G417" s="139"/>
      <c r="H417" s="139"/>
      <c r="I417" s="139">
        <f>IFERROR(__xludf.DUMMYFUNCTION("""COMPUTED_VALUE"""),134.0)</f>
        <v>134</v>
      </c>
      <c r="J417" s="139">
        <f>IFERROR(__xludf.DUMMYFUNCTION("""COMPUTED_VALUE"""),50.0)</f>
        <v>50</v>
      </c>
      <c r="K417" s="139">
        <f>IFERROR(__xludf.DUMMYFUNCTION("""COMPUTED_VALUE"""),0.0)</f>
        <v>0</v>
      </c>
      <c r="L417" s="139"/>
      <c r="M417" s="139"/>
      <c r="N417" s="139"/>
    </row>
    <row r="418">
      <c r="A418" s="139"/>
      <c r="B418" s="139"/>
      <c r="C418" s="139" t="str">
        <f>IFERROR(__xludf.DUMMYFUNCTION("""COMPUTED_VALUE"""),"chara_rik_00101_Special_00007")</f>
        <v>chara_rik_00101_Special_00007</v>
      </c>
      <c r="D418" s="139" t="str">
        <f>IFERROR(__xludf.DUMMYFUNCTION("""COMPUTED_VALUE"""),"chara_rik_00101")</f>
        <v>chara_rik_00101</v>
      </c>
      <c r="E418" s="139">
        <f>IFERROR(__xludf.DUMMYFUNCTION("""COMPUTED_VALUE"""),7.0)</f>
        <v>7</v>
      </c>
      <c r="F418" s="139" t="str">
        <f>IFERROR(__xludf.DUMMYFUNCTION("""COMPUTED_VALUE"""),"Special")</f>
        <v>Special</v>
      </c>
      <c r="G418" s="139"/>
      <c r="H418" s="139"/>
      <c r="I418" s="139">
        <f>IFERROR(__xludf.DUMMYFUNCTION("""COMPUTED_VALUE"""),134.0)</f>
        <v>134</v>
      </c>
      <c r="J418" s="139">
        <f>IFERROR(__xludf.DUMMYFUNCTION("""COMPUTED_VALUE"""),50.0)</f>
        <v>50</v>
      </c>
      <c r="K418" s="139">
        <f>IFERROR(__xludf.DUMMYFUNCTION("""COMPUTED_VALUE"""),0.0)</f>
        <v>0</v>
      </c>
      <c r="L418" s="139"/>
      <c r="M418" s="139"/>
      <c r="N418" s="139"/>
    </row>
    <row r="419">
      <c r="A419" s="139"/>
      <c r="B419" s="139"/>
      <c r="C419" s="139" t="str">
        <f>IFERROR(__xludf.DUMMYFUNCTION("""COMPUTED_VALUE"""),"chara_rik_00101_Special_00008")</f>
        <v>chara_rik_00101_Special_00008</v>
      </c>
      <c r="D419" s="139" t="str">
        <f>IFERROR(__xludf.DUMMYFUNCTION("""COMPUTED_VALUE"""),"chara_rik_00101")</f>
        <v>chara_rik_00101</v>
      </c>
      <c r="E419" s="139">
        <f>IFERROR(__xludf.DUMMYFUNCTION("""COMPUTED_VALUE"""),8.0)</f>
        <v>8</v>
      </c>
      <c r="F419" s="139" t="str">
        <f>IFERROR(__xludf.DUMMYFUNCTION("""COMPUTED_VALUE"""),"Special")</f>
        <v>Special</v>
      </c>
      <c r="G419" s="139"/>
      <c r="H419" s="139"/>
      <c r="I419" s="139">
        <f>IFERROR(__xludf.DUMMYFUNCTION("""COMPUTED_VALUE"""),134.0)</f>
        <v>134</v>
      </c>
      <c r="J419" s="139">
        <f>IFERROR(__xludf.DUMMYFUNCTION("""COMPUTED_VALUE"""),50.0)</f>
        <v>50</v>
      </c>
      <c r="K419" s="139">
        <f>IFERROR(__xludf.DUMMYFUNCTION("""COMPUTED_VALUE"""),0.0)</f>
        <v>0</v>
      </c>
      <c r="L419" s="139"/>
      <c r="M419" s="139"/>
      <c r="N419" s="139"/>
    </row>
    <row r="420">
      <c r="A420" s="139"/>
      <c r="B420" s="139"/>
      <c r="C420" s="139" t="str">
        <f>IFERROR(__xludf.DUMMYFUNCTION("""COMPUTED_VALUE"""),"chara_rik_00101_Special_00009")</f>
        <v>chara_rik_00101_Special_00009</v>
      </c>
      <c r="D420" s="139" t="str">
        <f>IFERROR(__xludf.DUMMYFUNCTION("""COMPUTED_VALUE"""),"chara_rik_00101")</f>
        <v>chara_rik_00101</v>
      </c>
      <c r="E420" s="139">
        <f>IFERROR(__xludf.DUMMYFUNCTION("""COMPUTED_VALUE"""),9.0)</f>
        <v>9</v>
      </c>
      <c r="F420" s="139" t="str">
        <f>IFERROR(__xludf.DUMMYFUNCTION("""COMPUTED_VALUE"""),"Special")</f>
        <v>Special</v>
      </c>
      <c r="G420" s="139"/>
      <c r="H420" s="139"/>
      <c r="I420" s="139">
        <f>IFERROR(__xludf.DUMMYFUNCTION("""COMPUTED_VALUE"""),134.0)</f>
        <v>134</v>
      </c>
      <c r="J420" s="139">
        <f>IFERROR(__xludf.DUMMYFUNCTION("""COMPUTED_VALUE"""),50.0)</f>
        <v>50</v>
      </c>
      <c r="K420" s="139">
        <f>IFERROR(__xludf.DUMMYFUNCTION("""COMPUTED_VALUE"""),0.0)</f>
        <v>0</v>
      </c>
      <c r="L420" s="139"/>
      <c r="M420" s="139"/>
      <c r="N420" s="139"/>
    </row>
    <row r="421">
      <c r="A421" s="139"/>
      <c r="B421" s="139"/>
      <c r="C421" s="139" t="str">
        <f>IFERROR(__xludf.DUMMYFUNCTION("""COMPUTED_VALUE"""),"chara_rik_00101_Special_00010")</f>
        <v>chara_rik_00101_Special_00010</v>
      </c>
      <c r="D421" s="139" t="str">
        <f>IFERROR(__xludf.DUMMYFUNCTION("""COMPUTED_VALUE"""),"chara_rik_00101")</f>
        <v>chara_rik_00101</v>
      </c>
      <c r="E421" s="139">
        <f>IFERROR(__xludf.DUMMYFUNCTION("""COMPUTED_VALUE"""),10.0)</f>
        <v>10</v>
      </c>
      <c r="F421" s="139" t="str">
        <f>IFERROR(__xludf.DUMMYFUNCTION("""COMPUTED_VALUE"""),"Special")</f>
        <v>Special</v>
      </c>
      <c r="G421" s="139"/>
      <c r="H421" s="139"/>
      <c r="I421" s="139">
        <f>IFERROR(__xludf.DUMMYFUNCTION("""COMPUTED_VALUE"""),134.0)</f>
        <v>134</v>
      </c>
      <c r="J421" s="139">
        <f>IFERROR(__xludf.DUMMYFUNCTION("""COMPUTED_VALUE"""),50.0)</f>
        <v>50</v>
      </c>
      <c r="K421" s="139">
        <f>IFERROR(__xludf.DUMMYFUNCTION("""COMPUTED_VALUE"""),0.0)</f>
        <v>0</v>
      </c>
      <c r="L421" s="139"/>
      <c r="M421" s="139"/>
      <c r="N421" s="139"/>
    </row>
    <row r="422">
      <c r="A422" s="139" t="str">
        <f>IFERROR(__xludf.DUMMYFUNCTION("""COMPUTED_VALUE"""),"e")</f>
        <v>e</v>
      </c>
      <c r="B422" s="139">
        <f>IFERROR(__xludf.DUMMYFUNCTION("""COMPUTED_VALUE"""),2.0250901E8)</f>
        <v>202509010</v>
      </c>
      <c r="C422" s="139" t="str">
        <f>IFERROR(__xludf.DUMMYFUNCTION("""COMPUTED_VALUE"""),"chara_bat_00001_Normal_00000")</f>
        <v>chara_bat_00001_Normal_00000</v>
      </c>
      <c r="D422" s="139" t="str">
        <f>IFERROR(__xludf.DUMMYFUNCTION("""COMPUTED_VALUE"""),"chara_bat_00001")</f>
        <v>chara_bat_00001</v>
      </c>
      <c r="E422" s="139">
        <f>IFERROR(__xludf.DUMMYFUNCTION("""COMPUTED_VALUE"""),0.0)</f>
        <v>0</v>
      </c>
      <c r="F422" s="139" t="str">
        <f>IFERROR(__xludf.DUMMYFUNCTION("""COMPUTED_VALUE"""),"Normal")</f>
        <v>Normal</v>
      </c>
      <c r="G422" s="139"/>
      <c r="H422" s="139"/>
      <c r="I422" s="139">
        <f>IFERROR(__xludf.DUMMYFUNCTION("""COMPUTED_VALUE"""),99.0)</f>
        <v>99</v>
      </c>
      <c r="J422" s="139">
        <f>IFERROR(__xludf.DUMMYFUNCTION("""COMPUTED_VALUE"""),35.0)</f>
        <v>35</v>
      </c>
      <c r="K422" s="139">
        <f>IFERROR(__xludf.DUMMYFUNCTION("""COMPUTED_VALUE"""),150.0)</f>
        <v>150</v>
      </c>
      <c r="L422" s="139"/>
      <c r="M422" s="139" t="str">
        <f>IFERROR(__xludf.DUMMYFUNCTION("""COMPUTED_VALUE"""),"表示場所なし")</f>
        <v>表示場所なし</v>
      </c>
      <c r="N422" s="139"/>
    </row>
    <row r="423">
      <c r="A423" s="139" t="str">
        <f>IFERROR(__xludf.DUMMYFUNCTION("""COMPUTED_VALUE"""),"e")</f>
        <v>e</v>
      </c>
      <c r="B423" s="139">
        <f>IFERROR(__xludf.DUMMYFUNCTION("""COMPUTED_VALUE"""),2.0250901E8)</f>
        <v>202509010</v>
      </c>
      <c r="C423" s="139" t="str">
        <f>IFERROR(__xludf.DUMMYFUNCTION("""COMPUTED_VALUE"""),"chara_bat_00001_Special_00001")</f>
        <v>chara_bat_00001_Special_00001</v>
      </c>
      <c r="D423" s="139" t="str">
        <f>IFERROR(__xludf.DUMMYFUNCTION("""COMPUTED_VALUE"""),"chara_bat_00001")</f>
        <v>chara_bat_00001</v>
      </c>
      <c r="E423" s="139">
        <f>IFERROR(__xludf.DUMMYFUNCTION("""COMPUTED_VALUE"""),1.0)</f>
        <v>1</v>
      </c>
      <c r="F423" s="139" t="str">
        <f>IFERROR(__xludf.DUMMYFUNCTION("""COMPUTED_VALUE"""),"Special")</f>
        <v>Special</v>
      </c>
      <c r="G423" s="139" t="str">
        <f>IFERROR(__xludf.DUMMYFUNCTION("""COMPUTED_VALUE"""),"Green")</f>
        <v>Green</v>
      </c>
      <c r="H423" s="139">
        <f>IFERROR(__xludf.DUMMYFUNCTION("""COMPUTED_VALUE"""),105.0)</f>
        <v>105</v>
      </c>
      <c r="I423" s="139">
        <f>IFERROR(__xludf.DUMMYFUNCTION("""COMPUTED_VALUE"""),104.0)</f>
        <v>104</v>
      </c>
      <c r="J423" s="139">
        <f>IFERROR(__xludf.DUMMYFUNCTION("""COMPUTED_VALUE"""),48.0)</f>
        <v>48</v>
      </c>
      <c r="K423" s="139">
        <f>IFERROR(__xludf.DUMMYFUNCTION("""COMPUTED_VALUE"""),0.0)</f>
        <v>0</v>
      </c>
      <c r="L423" s="139"/>
      <c r="M423" s="139" t="str">
        <f>IFERROR(__xludf.DUMMYFUNCTION("""COMPUTED_VALUE"""),"敵単体に自身の攻撃ステータスの100%のダメージ(敵が緑属性の場合は105%のダメージ)")</f>
        <v>敵単体に自身の攻撃ステータスの100%のダメージ(敵が緑属性の場合は105%のダメージ)</v>
      </c>
      <c r="N423" s="139"/>
    </row>
    <row r="424">
      <c r="A424" s="139" t="str">
        <f>IFERROR(__xludf.DUMMYFUNCTION("""COMPUTED_VALUE"""),"e")</f>
        <v>e</v>
      </c>
      <c r="B424" s="139">
        <f>IFERROR(__xludf.DUMMYFUNCTION("""COMPUTED_VALUE"""),2.0250901E8)</f>
        <v>202509010</v>
      </c>
      <c r="C424" s="139" t="str">
        <f>IFERROR(__xludf.DUMMYFUNCTION("""COMPUTED_VALUE"""),"chara_bat_00001_Special_00002")</f>
        <v>chara_bat_00001_Special_00002</v>
      </c>
      <c r="D424" s="139" t="str">
        <f>IFERROR(__xludf.DUMMYFUNCTION("""COMPUTED_VALUE"""),"chara_bat_00001")</f>
        <v>chara_bat_00001</v>
      </c>
      <c r="E424" s="139">
        <f>IFERROR(__xludf.DUMMYFUNCTION("""COMPUTED_VALUE"""),2.0)</f>
        <v>2</v>
      </c>
      <c r="F424" s="139" t="str">
        <f>IFERROR(__xludf.DUMMYFUNCTION("""COMPUTED_VALUE"""),"Special")</f>
        <v>Special</v>
      </c>
      <c r="G424" s="139" t="str">
        <f>IFERROR(__xludf.DUMMYFUNCTION("""COMPUTED_VALUE"""),"Green")</f>
        <v>Green</v>
      </c>
      <c r="H424" s="139">
        <f>IFERROR(__xludf.DUMMYFUNCTION("""COMPUTED_VALUE"""),118.0)</f>
        <v>118</v>
      </c>
      <c r="I424" s="139">
        <f>IFERROR(__xludf.DUMMYFUNCTION("""COMPUTED_VALUE"""),104.0)</f>
        <v>104</v>
      </c>
      <c r="J424" s="139">
        <f>IFERROR(__xludf.DUMMYFUNCTION("""COMPUTED_VALUE"""),48.0)</f>
        <v>48</v>
      </c>
      <c r="K424" s="139">
        <f>IFERROR(__xludf.DUMMYFUNCTION("""COMPUTED_VALUE"""),0.0)</f>
        <v>0</v>
      </c>
      <c r="L424" s="139"/>
      <c r="M424" s="139" t="str">
        <f>IFERROR(__xludf.DUMMYFUNCTION("""COMPUTED_VALUE"""),"敵単体に自身の攻撃ステータスの100%のダメージ(敵が緑属性の場合は118%のダメージ)")</f>
        <v>敵単体に自身の攻撃ステータスの100%のダメージ(敵が緑属性の場合は118%のダメージ)</v>
      </c>
      <c r="N424" s="139" t="str">
        <f>IFERROR(__xludf.DUMMYFUNCTION("""COMPUTED_VALUE"""),"ステータスUP + 必殺ワザ性能UP")</f>
        <v>ステータスUP + 必殺ワザ性能UP</v>
      </c>
    </row>
    <row r="425">
      <c r="A425" s="139" t="str">
        <f>IFERROR(__xludf.DUMMYFUNCTION("""COMPUTED_VALUE"""),"e")</f>
        <v>e</v>
      </c>
      <c r="B425" s="139">
        <f>IFERROR(__xludf.DUMMYFUNCTION("""COMPUTED_VALUE"""),2.0250901E8)</f>
        <v>202509010</v>
      </c>
      <c r="C425" s="139" t="str">
        <f>IFERROR(__xludf.DUMMYFUNCTION("""COMPUTED_VALUE"""),"chara_bat_00001_Special_00003")</f>
        <v>chara_bat_00001_Special_00003</v>
      </c>
      <c r="D425" s="139" t="str">
        <f>IFERROR(__xludf.DUMMYFUNCTION("""COMPUTED_VALUE"""),"chara_bat_00001")</f>
        <v>chara_bat_00001</v>
      </c>
      <c r="E425" s="139">
        <f>IFERROR(__xludf.DUMMYFUNCTION("""COMPUTED_VALUE"""),3.0)</f>
        <v>3</v>
      </c>
      <c r="F425" s="139" t="str">
        <f>IFERROR(__xludf.DUMMYFUNCTION("""COMPUTED_VALUE"""),"Special")</f>
        <v>Special</v>
      </c>
      <c r="G425" s="139" t="str">
        <f>IFERROR(__xludf.DUMMYFUNCTION("""COMPUTED_VALUE"""),"Green")</f>
        <v>Green</v>
      </c>
      <c r="H425" s="139">
        <f>IFERROR(__xludf.DUMMYFUNCTION("""COMPUTED_VALUE"""),128.0)</f>
        <v>128</v>
      </c>
      <c r="I425" s="139">
        <f>IFERROR(__xludf.DUMMYFUNCTION("""COMPUTED_VALUE"""),104.0)</f>
        <v>104</v>
      </c>
      <c r="J425" s="139">
        <f>IFERROR(__xludf.DUMMYFUNCTION("""COMPUTED_VALUE"""),48.0)</f>
        <v>48</v>
      </c>
      <c r="K425" s="139">
        <f>IFERROR(__xludf.DUMMYFUNCTION("""COMPUTED_VALUE"""),0.0)</f>
        <v>0</v>
      </c>
      <c r="L425" s="139"/>
      <c r="M425" s="139" t="str">
        <f>IFERROR(__xludf.DUMMYFUNCTION("""COMPUTED_VALUE"""),"敵単体に自身の攻撃ステータスの100%のダメージ(敵が緑属性の場合は128%のダメージ)")</f>
        <v>敵単体に自身の攻撃ステータスの100%のダメージ(敵が緑属性の場合は128%のダメージ)</v>
      </c>
      <c r="N425" s="139" t="str">
        <f>IFERROR(__xludf.DUMMYFUNCTION("""COMPUTED_VALUE"""),"ステータスUP + 必殺ワザ性能UP")</f>
        <v>ステータスUP + 必殺ワザ性能UP</v>
      </c>
    </row>
    <row r="426">
      <c r="A426" s="139" t="str">
        <f>IFERROR(__xludf.DUMMYFUNCTION("""COMPUTED_VALUE"""),"e")</f>
        <v>e</v>
      </c>
      <c r="B426" s="139">
        <f>IFERROR(__xludf.DUMMYFUNCTION("""COMPUTED_VALUE"""),2.0250901E8)</f>
        <v>202509010</v>
      </c>
      <c r="C426" s="139" t="str">
        <f>IFERROR(__xludf.DUMMYFUNCTION("""COMPUTED_VALUE"""),"chara_bat_00001_Special_00004")</f>
        <v>chara_bat_00001_Special_00004</v>
      </c>
      <c r="D426" s="139" t="str">
        <f>IFERROR(__xludf.DUMMYFUNCTION("""COMPUTED_VALUE"""),"chara_bat_00001")</f>
        <v>chara_bat_00001</v>
      </c>
      <c r="E426" s="139">
        <f>IFERROR(__xludf.DUMMYFUNCTION("""COMPUTED_VALUE"""),4.0)</f>
        <v>4</v>
      </c>
      <c r="F426" s="139" t="str">
        <f>IFERROR(__xludf.DUMMYFUNCTION("""COMPUTED_VALUE"""),"Special")</f>
        <v>Special</v>
      </c>
      <c r="G426" s="139" t="str">
        <f>IFERROR(__xludf.DUMMYFUNCTION("""COMPUTED_VALUE"""),"Green")</f>
        <v>Green</v>
      </c>
      <c r="H426" s="139">
        <f>IFERROR(__xludf.DUMMYFUNCTION("""COMPUTED_VALUE"""),135.0)</f>
        <v>135</v>
      </c>
      <c r="I426" s="139">
        <f>IFERROR(__xludf.DUMMYFUNCTION("""COMPUTED_VALUE"""),104.0)</f>
        <v>104</v>
      </c>
      <c r="J426" s="139">
        <f>IFERROR(__xludf.DUMMYFUNCTION("""COMPUTED_VALUE"""),48.0)</f>
        <v>48</v>
      </c>
      <c r="K426" s="139">
        <f>IFERROR(__xludf.DUMMYFUNCTION("""COMPUTED_VALUE"""),0.0)</f>
        <v>0</v>
      </c>
      <c r="L426" s="139"/>
      <c r="M426" s="139" t="str">
        <f>IFERROR(__xludf.DUMMYFUNCTION("""COMPUTED_VALUE"""),"敵単体に自身の攻撃ステータスの100%のダメージ(敵が緑属性の場合は135%のダメージ)")</f>
        <v>敵単体に自身の攻撃ステータスの100%のダメージ(敵が緑属性の場合は135%のダメージ)</v>
      </c>
      <c r="N426" s="139" t="str">
        <f>IFERROR(__xludf.DUMMYFUNCTION("""COMPUTED_VALUE"""),"ステータスUP + 必殺ワザ性能UP")</f>
        <v>ステータスUP + 必殺ワザ性能UP</v>
      </c>
    </row>
    <row r="427">
      <c r="A427" s="139" t="str">
        <f>IFERROR(__xludf.DUMMYFUNCTION("""COMPUTED_VALUE"""),"e")</f>
        <v>e</v>
      </c>
      <c r="B427" s="139">
        <f>IFERROR(__xludf.DUMMYFUNCTION("""COMPUTED_VALUE"""),2.0250901E8)</f>
        <v>202509010</v>
      </c>
      <c r="C427" s="139" t="str">
        <f>IFERROR(__xludf.DUMMYFUNCTION("""COMPUTED_VALUE"""),"chara_bat_00001_Special_00005")</f>
        <v>chara_bat_00001_Special_00005</v>
      </c>
      <c r="D427" s="139" t="str">
        <f>IFERROR(__xludf.DUMMYFUNCTION("""COMPUTED_VALUE"""),"chara_bat_00001")</f>
        <v>chara_bat_00001</v>
      </c>
      <c r="E427" s="139">
        <f>IFERROR(__xludf.DUMMYFUNCTION("""COMPUTED_VALUE"""),5.0)</f>
        <v>5</v>
      </c>
      <c r="F427" s="139" t="str">
        <f>IFERROR(__xludf.DUMMYFUNCTION("""COMPUTED_VALUE"""),"Special")</f>
        <v>Special</v>
      </c>
      <c r="G427" s="139" t="str">
        <f>IFERROR(__xludf.DUMMYFUNCTION("""COMPUTED_VALUE"""),"Green")</f>
        <v>Green</v>
      </c>
      <c r="H427" s="139">
        <f>IFERROR(__xludf.DUMMYFUNCTION("""COMPUTED_VALUE"""),140.0)</f>
        <v>140</v>
      </c>
      <c r="I427" s="139">
        <f>IFERROR(__xludf.DUMMYFUNCTION("""COMPUTED_VALUE"""),104.0)</f>
        <v>104</v>
      </c>
      <c r="J427" s="139">
        <f>IFERROR(__xludf.DUMMYFUNCTION("""COMPUTED_VALUE"""),48.0)</f>
        <v>48</v>
      </c>
      <c r="K427" s="139">
        <f>IFERROR(__xludf.DUMMYFUNCTION("""COMPUTED_VALUE"""),0.0)</f>
        <v>0</v>
      </c>
      <c r="L427" s="139"/>
      <c r="M427" s="139" t="str">
        <f>IFERROR(__xludf.DUMMYFUNCTION("""COMPUTED_VALUE"""),"敵単体に自身の攻撃ステータスの100%のダメージ(敵が緑属性の場合は140%のダメージ)")</f>
        <v>敵単体に自身の攻撃ステータスの100%のダメージ(敵が緑属性の場合は140%のダメージ)</v>
      </c>
      <c r="N427" s="139" t="str">
        <f>IFERROR(__xludf.DUMMYFUNCTION("""COMPUTED_VALUE"""),"ステータスUP + 必殺ワザ性能UP")</f>
        <v>ステータスUP + 必殺ワザ性能UP</v>
      </c>
    </row>
    <row r="428">
      <c r="A428" s="139"/>
      <c r="B428" s="139"/>
      <c r="C428" s="139" t="str">
        <f>IFERROR(__xludf.DUMMYFUNCTION("""COMPUTED_VALUE"""),"chara_bat_00001_Special_00006")</f>
        <v>chara_bat_00001_Special_00006</v>
      </c>
      <c r="D428" s="139" t="str">
        <f>IFERROR(__xludf.DUMMYFUNCTION("""COMPUTED_VALUE"""),"chara_bat_00001")</f>
        <v>chara_bat_00001</v>
      </c>
      <c r="E428" s="139">
        <f>IFERROR(__xludf.DUMMYFUNCTION("""COMPUTED_VALUE"""),6.0)</f>
        <v>6</v>
      </c>
      <c r="F428" s="139" t="str">
        <f>IFERROR(__xludf.DUMMYFUNCTION("""COMPUTED_VALUE"""),"Special")</f>
        <v>Special</v>
      </c>
      <c r="G428" s="139" t="str">
        <f>IFERROR(__xludf.DUMMYFUNCTION("""COMPUTED_VALUE"""),"Green")</f>
        <v>Green</v>
      </c>
      <c r="H428" s="139">
        <f>IFERROR(__xludf.DUMMYFUNCTION("""COMPUTED_VALUE"""),170.0)</f>
        <v>170</v>
      </c>
      <c r="I428" s="139">
        <f>IFERROR(__xludf.DUMMYFUNCTION("""COMPUTED_VALUE"""),104.0)</f>
        <v>104</v>
      </c>
      <c r="J428" s="139">
        <f>IFERROR(__xludf.DUMMYFUNCTION("""COMPUTED_VALUE"""),48.0)</f>
        <v>48</v>
      </c>
      <c r="K428" s="139">
        <f>IFERROR(__xludf.DUMMYFUNCTION("""COMPUTED_VALUE"""),0.0)</f>
        <v>0</v>
      </c>
      <c r="L428" s="139"/>
      <c r="M428" s="139"/>
      <c r="N428" s="139"/>
    </row>
    <row r="429">
      <c r="A429" s="139"/>
      <c r="B429" s="139"/>
      <c r="C429" s="139" t="str">
        <f>IFERROR(__xludf.DUMMYFUNCTION("""COMPUTED_VALUE"""),"chara_bat_00001_Special_00007")</f>
        <v>chara_bat_00001_Special_00007</v>
      </c>
      <c r="D429" s="139" t="str">
        <f>IFERROR(__xludf.DUMMYFUNCTION("""COMPUTED_VALUE"""),"chara_bat_00001")</f>
        <v>chara_bat_00001</v>
      </c>
      <c r="E429" s="139">
        <f>IFERROR(__xludf.DUMMYFUNCTION("""COMPUTED_VALUE"""),7.0)</f>
        <v>7</v>
      </c>
      <c r="F429" s="139" t="str">
        <f>IFERROR(__xludf.DUMMYFUNCTION("""COMPUTED_VALUE"""),"Special")</f>
        <v>Special</v>
      </c>
      <c r="G429" s="139" t="str">
        <f>IFERROR(__xludf.DUMMYFUNCTION("""COMPUTED_VALUE"""),"Green")</f>
        <v>Green</v>
      </c>
      <c r="H429" s="139">
        <f>IFERROR(__xludf.DUMMYFUNCTION("""COMPUTED_VALUE"""),170.0)</f>
        <v>170</v>
      </c>
      <c r="I429" s="139">
        <f>IFERROR(__xludf.DUMMYFUNCTION("""COMPUTED_VALUE"""),104.0)</f>
        <v>104</v>
      </c>
      <c r="J429" s="139">
        <f>IFERROR(__xludf.DUMMYFUNCTION("""COMPUTED_VALUE"""),48.0)</f>
        <v>48</v>
      </c>
      <c r="K429" s="139">
        <f>IFERROR(__xludf.DUMMYFUNCTION("""COMPUTED_VALUE"""),0.0)</f>
        <v>0</v>
      </c>
      <c r="L429" s="139"/>
      <c r="M429" s="139"/>
      <c r="N429" s="139"/>
    </row>
    <row r="430">
      <c r="A430" s="139"/>
      <c r="B430" s="139"/>
      <c r="C430" s="139" t="str">
        <f>IFERROR(__xludf.DUMMYFUNCTION("""COMPUTED_VALUE"""),"chara_bat_00001_Special_00008")</f>
        <v>chara_bat_00001_Special_00008</v>
      </c>
      <c r="D430" s="139" t="str">
        <f>IFERROR(__xludf.DUMMYFUNCTION("""COMPUTED_VALUE"""),"chara_bat_00001")</f>
        <v>chara_bat_00001</v>
      </c>
      <c r="E430" s="139">
        <f>IFERROR(__xludf.DUMMYFUNCTION("""COMPUTED_VALUE"""),8.0)</f>
        <v>8</v>
      </c>
      <c r="F430" s="139" t="str">
        <f>IFERROR(__xludf.DUMMYFUNCTION("""COMPUTED_VALUE"""),"Special")</f>
        <v>Special</v>
      </c>
      <c r="G430" s="139" t="str">
        <f>IFERROR(__xludf.DUMMYFUNCTION("""COMPUTED_VALUE"""),"Green")</f>
        <v>Green</v>
      </c>
      <c r="H430" s="139">
        <f>IFERROR(__xludf.DUMMYFUNCTION("""COMPUTED_VALUE"""),170.0)</f>
        <v>170</v>
      </c>
      <c r="I430" s="139">
        <f>IFERROR(__xludf.DUMMYFUNCTION("""COMPUTED_VALUE"""),104.0)</f>
        <v>104</v>
      </c>
      <c r="J430" s="139">
        <f>IFERROR(__xludf.DUMMYFUNCTION("""COMPUTED_VALUE"""),48.0)</f>
        <v>48</v>
      </c>
      <c r="K430" s="139">
        <f>IFERROR(__xludf.DUMMYFUNCTION("""COMPUTED_VALUE"""),0.0)</f>
        <v>0</v>
      </c>
      <c r="L430" s="139"/>
      <c r="M430" s="139"/>
      <c r="N430" s="139"/>
    </row>
    <row r="431">
      <c r="A431" s="139"/>
      <c r="B431" s="139"/>
      <c r="C431" s="139" t="str">
        <f>IFERROR(__xludf.DUMMYFUNCTION("""COMPUTED_VALUE"""),"chara_bat_00001_Special_00009")</f>
        <v>chara_bat_00001_Special_00009</v>
      </c>
      <c r="D431" s="139" t="str">
        <f>IFERROR(__xludf.DUMMYFUNCTION("""COMPUTED_VALUE"""),"chara_bat_00001")</f>
        <v>chara_bat_00001</v>
      </c>
      <c r="E431" s="139">
        <f>IFERROR(__xludf.DUMMYFUNCTION("""COMPUTED_VALUE"""),9.0)</f>
        <v>9</v>
      </c>
      <c r="F431" s="139" t="str">
        <f>IFERROR(__xludf.DUMMYFUNCTION("""COMPUTED_VALUE"""),"Special")</f>
        <v>Special</v>
      </c>
      <c r="G431" s="139" t="str">
        <f>IFERROR(__xludf.DUMMYFUNCTION("""COMPUTED_VALUE"""),"Green")</f>
        <v>Green</v>
      </c>
      <c r="H431" s="139">
        <f>IFERROR(__xludf.DUMMYFUNCTION("""COMPUTED_VALUE"""),170.0)</f>
        <v>170</v>
      </c>
      <c r="I431" s="139">
        <f>IFERROR(__xludf.DUMMYFUNCTION("""COMPUTED_VALUE"""),104.0)</f>
        <v>104</v>
      </c>
      <c r="J431" s="139">
        <f>IFERROR(__xludf.DUMMYFUNCTION("""COMPUTED_VALUE"""),48.0)</f>
        <v>48</v>
      </c>
      <c r="K431" s="139">
        <f>IFERROR(__xludf.DUMMYFUNCTION("""COMPUTED_VALUE"""),0.0)</f>
        <v>0</v>
      </c>
      <c r="L431" s="139"/>
      <c r="M431" s="139"/>
      <c r="N431" s="139"/>
    </row>
    <row r="432">
      <c r="A432" s="139"/>
      <c r="B432" s="139"/>
      <c r="C432" s="139" t="str">
        <f>IFERROR(__xludf.DUMMYFUNCTION("""COMPUTED_VALUE"""),"chara_bat_00001_Special_00010")</f>
        <v>chara_bat_00001_Special_00010</v>
      </c>
      <c r="D432" s="139" t="str">
        <f>IFERROR(__xludf.DUMMYFUNCTION("""COMPUTED_VALUE"""),"chara_bat_00001")</f>
        <v>chara_bat_00001</v>
      </c>
      <c r="E432" s="139">
        <f>IFERROR(__xludf.DUMMYFUNCTION("""COMPUTED_VALUE"""),10.0)</f>
        <v>10</v>
      </c>
      <c r="F432" s="139" t="str">
        <f>IFERROR(__xludf.DUMMYFUNCTION("""COMPUTED_VALUE"""),"Special")</f>
        <v>Special</v>
      </c>
      <c r="G432" s="139" t="str">
        <f>IFERROR(__xludf.DUMMYFUNCTION("""COMPUTED_VALUE"""),"Green")</f>
        <v>Green</v>
      </c>
      <c r="H432" s="139">
        <f>IFERROR(__xludf.DUMMYFUNCTION("""COMPUTED_VALUE"""),170.0)</f>
        <v>170</v>
      </c>
      <c r="I432" s="139">
        <f>IFERROR(__xludf.DUMMYFUNCTION("""COMPUTED_VALUE"""),104.0)</f>
        <v>104</v>
      </c>
      <c r="J432" s="139">
        <f>IFERROR(__xludf.DUMMYFUNCTION("""COMPUTED_VALUE"""),48.0)</f>
        <v>48</v>
      </c>
      <c r="K432" s="139">
        <f>IFERROR(__xludf.DUMMYFUNCTION("""COMPUTED_VALUE"""),0.0)</f>
        <v>0</v>
      </c>
      <c r="L432" s="139"/>
      <c r="M432" s="139"/>
      <c r="N432" s="139"/>
    </row>
    <row r="433">
      <c r="A433" s="139" t="str">
        <f>IFERROR(__xludf.DUMMYFUNCTION("""COMPUTED_VALUE"""),"e")</f>
        <v>e</v>
      </c>
      <c r="B433" s="139">
        <f>IFERROR(__xludf.DUMMYFUNCTION("""COMPUTED_VALUE"""),2.0250901E8)</f>
        <v>202509010</v>
      </c>
      <c r="C433" s="139" t="str">
        <f>IFERROR(__xludf.DUMMYFUNCTION("""COMPUTED_VALUE"""),"chara_bat_00101_Normal_00000")</f>
        <v>chara_bat_00101_Normal_00000</v>
      </c>
      <c r="D433" s="139" t="str">
        <f>IFERROR(__xludf.DUMMYFUNCTION("""COMPUTED_VALUE"""),"chara_bat_00101")</f>
        <v>chara_bat_00101</v>
      </c>
      <c r="E433" s="139">
        <f>IFERROR(__xludf.DUMMYFUNCTION("""COMPUTED_VALUE"""),0.0)</f>
        <v>0</v>
      </c>
      <c r="F433" s="139" t="str">
        <f>IFERROR(__xludf.DUMMYFUNCTION("""COMPUTED_VALUE"""),"Normal")</f>
        <v>Normal</v>
      </c>
      <c r="G433" s="139"/>
      <c r="H433" s="139"/>
      <c r="I433" s="139">
        <f>IFERROR(__xludf.DUMMYFUNCTION("""COMPUTED_VALUE"""),107.0)</f>
        <v>107</v>
      </c>
      <c r="J433" s="139">
        <f>IFERROR(__xludf.DUMMYFUNCTION("""COMPUTED_VALUE"""),38.0)</f>
        <v>38</v>
      </c>
      <c r="K433" s="139">
        <f>IFERROR(__xludf.DUMMYFUNCTION("""COMPUTED_VALUE"""),100.0)</f>
        <v>100</v>
      </c>
      <c r="L433" s="139"/>
      <c r="M433" s="139" t="str">
        <f>IFERROR(__xludf.DUMMYFUNCTION("""COMPUTED_VALUE"""),"表示場所なし")</f>
        <v>表示場所なし</v>
      </c>
      <c r="N433" s="139"/>
    </row>
    <row r="434">
      <c r="A434" s="139" t="str">
        <f>IFERROR(__xludf.DUMMYFUNCTION("""COMPUTED_VALUE"""),"e")</f>
        <v>e</v>
      </c>
      <c r="B434" s="139">
        <f>IFERROR(__xludf.DUMMYFUNCTION("""COMPUTED_VALUE"""),2.0250901E8)</f>
        <v>202509010</v>
      </c>
      <c r="C434" s="139" t="str">
        <f>IFERROR(__xludf.DUMMYFUNCTION("""COMPUTED_VALUE"""),"chara_bat_00101_Special_00001")</f>
        <v>chara_bat_00101_Special_00001</v>
      </c>
      <c r="D434" s="139" t="str">
        <f>IFERROR(__xludf.DUMMYFUNCTION("""COMPUTED_VALUE"""),"chara_bat_00101")</f>
        <v>chara_bat_00101</v>
      </c>
      <c r="E434" s="139">
        <f>IFERROR(__xludf.DUMMYFUNCTION("""COMPUTED_VALUE"""),1.0)</f>
        <v>1</v>
      </c>
      <c r="F434" s="139" t="str">
        <f>IFERROR(__xludf.DUMMYFUNCTION("""COMPUTED_VALUE"""),"Special")</f>
        <v>Special</v>
      </c>
      <c r="G434" s="139"/>
      <c r="H434" s="139"/>
      <c r="I434" s="139">
        <f>IFERROR(__xludf.DUMMYFUNCTION("""COMPUTED_VALUE"""),150.0)</f>
        <v>150</v>
      </c>
      <c r="J434" s="139">
        <f>IFERROR(__xludf.DUMMYFUNCTION("""COMPUTED_VALUE"""),60.0)</f>
        <v>60</v>
      </c>
      <c r="K434" s="139">
        <f>IFERROR(__xludf.DUMMYFUNCTION("""COMPUTED_VALUE"""),0.0)</f>
        <v>0</v>
      </c>
      <c r="L434" s="139"/>
      <c r="M434" s="139" t="str">
        <f>IFERROR(__xludf.DUMMYFUNCTION("""COMPUTED_VALUE"""),"自身への被ダメージを6秒間、10%カット")</f>
        <v>自身への被ダメージを6秒間、10%カット</v>
      </c>
      <c r="N434" s="139"/>
    </row>
    <row r="435">
      <c r="A435" s="139" t="str">
        <f>IFERROR(__xludf.DUMMYFUNCTION("""COMPUTED_VALUE"""),"e")</f>
        <v>e</v>
      </c>
      <c r="B435" s="139">
        <f>IFERROR(__xludf.DUMMYFUNCTION("""COMPUTED_VALUE"""),2.0250901E8)</f>
        <v>202509010</v>
      </c>
      <c r="C435" s="139" t="str">
        <f>IFERROR(__xludf.DUMMYFUNCTION("""COMPUTED_VALUE"""),"chara_bat_00101_Special_00002")</f>
        <v>chara_bat_00101_Special_00002</v>
      </c>
      <c r="D435" s="139" t="str">
        <f>IFERROR(__xludf.DUMMYFUNCTION("""COMPUTED_VALUE"""),"chara_bat_00101")</f>
        <v>chara_bat_00101</v>
      </c>
      <c r="E435" s="139">
        <f>IFERROR(__xludf.DUMMYFUNCTION("""COMPUTED_VALUE"""),2.0)</f>
        <v>2</v>
      </c>
      <c r="F435" s="139" t="str">
        <f>IFERROR(__xludf.DUMMYFUNCTION("""COMPUTED_VALUE"""),"Special")</f>
        <v>Special</v>
      </c>
      <c r="G435" s="139"/>
      <c r="H435" s="139"/>
      <c r="I435" s="139">
        <f>IFERROR(__xludf.DUMMYFUNCTION("""COMPUTED_VALUE"""),150.0)</f>
        <v>150</v>
      </c>
      <c r="J435" s="139">
        <f>IFERROR(__xludf.DUMMYFUNCTION("""COMPUTED_VALUE"""),60.0)</f>
        <v>60</v>
      </c>
      <c r="K435" s="139">
        <f>IFERROR(__xludf.DUMMYFUNCTION("""COMPUTED_VALUE"""),0.0)</f>
        <v>0</v>
      </c>
      <c r="L435" s="139"/>
      <c r="M435" s="139" t="str">
        <f>IFERROR(__xludf.DUMMYFUNCTION("""COMPUTED_VALUE"""),"自身への被ダメージを6.6秒間、12%カット")</f>
        <v>自身への被ダメージを6.6秒間、12%カット</v>
      </c>
      <c r="N435" s="139" t="str">
        <f>IFERROR(__xludf.DUMMYFUNCTION("""COMPUTED_VALUE"""),"ステータスUP + 必殺ワザ性能UP")</f>
        <v>ステータスUP + 必殺ワザ性能UP</v>
      </c>
    </row>
    <row r="436">
      <c r="A436" s="139" t="str">
        <f>IFERROR(__xludf.DUMMYFUNCTION("""COMPUTED_VALUE"""),"e")</f>
        <v>e</v>
      </c>
      <c r="B436" s="139">
        <f>IFERROR(__xludf.DUMMYFUNCTION("""COMPUTED_VALUE"""),2.0250901E8)</f>
        <v>202509010</v>
      </c>
      <c r="C436" s="139" t="str">
        <f>IFERROR(__xludf.DUMMYFUNCTION("""COMPUTED_VALUE"""),"chara_bat_00101_Special_00003")</f>
        <v>chara_bat_00101_Special_00003</v>
      </c>
      <c r="D436" s="139" t="str">
        <f>IFERROR(__xludf.DUMMYFUNCTION("""COMPUTED_VALUE"""),"chara_bat_00101")</f>
        <v>chara_bat_00101</v>
      </c>
      <c r="E436" s="139">
        <f>IFERROR(__xludf.DUMMYFUNCTION("""COMPUTED_VALUE"""),3.0)</f>
        <v>3</v>
      </c>
      <c r="F436" s="139" t="str">
        <f>IFERROR(__xludf.DUMMYFUNCTION("""COMPUTED_VALUE"""),"Special")</f>
        <v>Special</v>
      </c>
      <c r="G436" s="139"/>
      <c r="H436" s="139"/>
      <c r="I436" s="139">
        <f>IFERROR(__xludf.DUMMYFUNCTION("""COMPUTED_VALUE"""),150.0)</f>
        <v>150</v>
      </c>
      <c r="J436" s="139">
        <f>IFERROR(__xludf.DUMMYFUNCTION("""COMPUTED_VALUE"""),60.0)</f>
        <v>60</v>
      </c>
      <c r="K436" s="139">
        <f>IFERROR(__xludf.DUMMYFUNCTION("""COMPUTED_VALUE"""),0.0)</f>
        <v>0</v>
      </c>
      <c r="L436" s="139"/>
      <c r="M436" s="139" t="str">
        <f>IFERROR(__xludf.DUMMYFUNCTION("""COMPUTED_VALUE"""),"自身への被ダメージを6.9秒間、13%カット")</f>
        <v>自身への被ダメージを6.9秒間、13%カット</v>
      </c>
      <c r="N436" s="139" t="str">
        <f>IFERROR(__xludf.DUMMYFUNCTION("""COMPUTED_VALUE"""),"ステータスUP + 必殺ワザ性能UP")</f>
        <v>ステータスUP + 必殺ワザ性能UP</v>
      </c>
    </row>
    <row r="437">
      <c r="A437" s="139" t="str">
        <f>IFERROR(__xludf.DUMMYFUNCTION("""COMPUTED_VALUE"""),"e")</f>
        <v>e</v>
      </c>
      <c r="B437" s="139">
        <f>IFERROR(__xludf.DUMMYFUNCTION("""COMPUTED_VALUE"""),2.0250901E8)</f>
        <v>202509010</v>
      </c>
      <c r="C437" s="139" t="str">
        <f>IFERROR(__xludf.DUMMYFUNCTION("""COMPUTED_VALUE"""),"chara_bat_00101_Special_00004")</f>
        <v>chara_bat_00101_Special_00004</v>
      </c>
      <c r="D437" s="139" t="str">
        <f>IFERROR(__xludf.DUMMYFUNCTION("""COMPUTED_VALUE"""),"chara_bat_00101")</f>
        <v>chara_bat_00101</v>
      </c>
      <c r="E437" s="139">
        <f>IFERROR(__xludf.DUMMYFUNCTION("""COMPUTED_VALUE"""),4.0)</f>
        <v>4</v>
      </c>
      <c r="F437" s="139" t="str">
        <f>IFERROR(__xludf.DUMMYFUNCTION("""COMPUTED_VALUE"""),"Special")</f>
        <v>Special</v>
      </c>
      <c r="G437" s="139"/>
      <c r="H437" s="139"/>
      <c r="I437" s="139">
        <f>IFERROR(__xludf.DUMMYFUNCTION("""COMPUTED_VALUE"""),150.0)</f>
        <v>150</v>
      </c>
      <c r="J437" s="139">
        <f>IFERROR(__xludf.DUMMYFUNCTION("""COMPUTED_VALUE"""),60.0)</f>
        <v>60</v>
      </c>
      <c r="K437" s="139">
        <f>IFERROR(__xludf.DUMMYFUNCTION("""COMPUTED_VALUE"""),0.0)</f>
        <v>0</v>
      </c>
      <c r="L437" s="139"/>
      <c r="M437" s="139" t="str">
        <f>IFERROR(__xludf.DUMMYFUNCTION("""COMPUTED_VALUE"""),"自身への被ダメージを7秒間、13%カット")</f>
        <v>自身への被ダメージを7秒間、13%カット</v>
      </c>
      <c r="N437" s="139" t="str">
        <f>IFERROR(__xludf.DUMMYFUNCTION("""COMPUTED_VALUE"""),"ステータスUP + 必殺ワザ性能UP")</f>
        <v>ステータスUP + 必殺ワザ性能UP</v>
      </c>
    </row>
    <row r="438">
      <c r="A438" s="139" t="str">
        <f>IFERROR(__xludf.DUMMYFUNCTION("""COMPUTED_VALUE"""),"e")</f>
        <v>e</v>
      </c>
      <c r="B438" s="139">
        <f>IFERROR(__xludf.DUMMYFUNCTION("""COMPUTED_VALUE"""),2.0250901E8)</f>
        <v>202509010</v>
      </c>
      <c r="C438" s="139" t="str">
        <f>IFERROR(__xludf.DUMMYFUNCTION("""COMPUTED_VALUE"""),"chara_bat_00101_Special_00005")</f>
        <v>chara_bat_00101_Special_00005</v>
      </c>
      <c r="D438" s="139" t="str">
        <f>IFERROR(__xludf.DUMMYFUNCTION("""COMPUTED_VALUE"""),"chara_bat_00101")</f>
        <v>chara_bat_00101</v>
      </c>
      <c r="E438" s="139">
        <f>IFERROR(__xludf.DUMMYFUNCTION("""COMPUTED_VALUE"""),5.0)</f>
        <v>5</v>
      </c>
      <c r="F438" s="139" t="str">
        <f>IFERROR(__xludf.DUMMYFUNCTION("""COMPUTED_VALUE"""),"Special")</f>
        <v>Special</v>
      </c>
      <c r="G438" s="139"/>
      <c r="H438" s="139"/>
      <c r="I438" s="139">
        <f>IFERROR(__xludf.DUMMYFUNCTION("""COMPUTED_VALUE"""),150.0)</f>
        <v>150</v>
      </c>
      <c r="J438" s="139">
        <f>IFERROR(__xludf.DUMMYFUNCTION("""COMPUTED_VALUE"""),60.0)</f>
        <v>60</v>
      </c>
      <c r="K438" s="139">
        <f>IFERROR(__xludf.DUMMYFUNCTION("""COMPUTED_VALUE"""),0.0)</f>
        <v>0</v>
      </c>
      <c r="L438" s="139"/>
      <c r="M438" s="139" t="str">
        <f>IFERROR(__xludf.DUMMYFUNCTION("""COMPUTED_VALUE"""),"自身への被ダメージを7秒間、14%カット")</f>
        <v>自身への被ダメージを7秒間、14%カット</v>
      </c>
      <c r="N438" s="139" t="str">
        <f>IFERROR(__xludf.DUMMYFUNCTION("""COMPUTED_VALUE"""),"ステータスUP + 必殺ワザ性能UP")</f>
        <v>ステータスUP + 必殺ワザ性能UP</v>
      </c>
    </row>
    <row r="439">
      <c r="A439" s="139"/>
      <c r="B439" s="139"/>
      <c r="C439" s="139" t="str">
        <f>IFERROR(__xludf.DUMMYFUNCTION("""COMPUTED_VALUE"""),"chara_bat_00101_Special_00006")</f>
        <v>chara_bat_00101_Special_00006</v>
      </c>
      <c r="D439" s="139" t="str">
        <f>IFERROR(__xludf.DUMMYFUNCTION("""COMPUTED_VALUE"""),"chara_bat_00101")</f>
        <v>chara_bat_00101</v>
      </c>
      <c r="E439" s="139">
        <f>IFERROR(__xludf.DUMMYFUNCTION("""COMPUTED_VALUE"""),6.0)</f>
        <v>6</v>
      </c>
      <c r="F439" s="139" t="str">
        <f>IFERROR(__xludf.DUMMYFUNCTION("""COMPUTED_VALUE"""),"Special")</f>
        <v>Special</v>
      </c>
      <c r="G439" s="139"/>
      <c r="H439" s="139"/>
      <c r="I439" s="139">
        <f>IFERROR(__xludf.DUMMYFUNCTION("""COMPUTED_VALUE"""),150.0)</f>
        <v>150</v>
      </c>
      <c r="J439" s="139">
        <f>IFERROR(__xludf.DUMMYFUNCTION("""COMPUTED_VALUE"""),60.0)</f>
        <v>60</v>
      </c>
      <c r="K439" s="139">
        <f>IFERROR(__xludf.DUMMYFUNCTION("""COMPUTED_VALUE"""),0.0)</f>
        <v>0</v>
      </c>
      <c r="L439" s="139"/>
      <c r="M439" s="139"/>
      <c r="N439" s="139"/>
    </row>
    <row r="440">
      <c r="A440" s="139"/>
      <c r="B440" s="139"/>
      <c r="C440" s="139" t="str">
        <f>IFERROR(__xludf.DUMMYFUNCTION("""COMPUTED_VALUE"""),"chara_bat_00101_Special_00007")</f>
        <v>chara_bat_00101_Special_00007</v>
      </c>
      <c r="D440" s="139" t="str">
        <f>IFERROR(__xludf.DUMMYFUNCTION("""COMPUTED_VALUE"""),"chara_bat_00101")</f>
        <v>chara_bat_00101</v>
      </c>
      <c r="E440" s="139">
        <f>IFERROR(__xludf.DUMMYFUNCTION("""COMPUTED_VALUE"""),7.0)</f>
        <v>7</v>
      </c>
      <c r="F440" s="139" t="str">
        <f>IFERROR(__xludf.DUMMYFUNCTION("""COMPUTED_VALUE"""),"Special")</f>
        <v>Special</v>
      </c>
      <c r="G440" s="139"/>
      <c r="H440" s="139"/>
      <c r="I440" s="139">
        <f>IFERROR(__xludf.DUMMYFUNCTION("""COMPUTED_VALUE"""),150.0)</f>
        <v>150</v>
      </c>
      <c r="J440" s="139">
        <f>IFERROR(__xludf.DUMMYFUNCTION("""COMPUTED_VALUE"""),60.0)</f>
        <v>60</v>
      </c>
      <c r="K440" s="139">
        <f>IFERROR(__xludf.DUMMYFUNCTION("""COMPUTED_VALUE"""),0.0)</f>
        <v>0</v>
      </c>
      <c r="L440" s="139"/>
      <c r="M440" s="139"/>
      <c r="N440" s="139"/>
    </row>
    <row r="441">
      <c r="A441" s="139"/>
      <c r="B441" s="139"/>
      <c r="C441" s="139" t="str">
        <f>IFERROR(__xludf.DUMMYFUNCTION("""COMPUTED_VALUE"""),"chara_bat_00101_Special_00008")</f>
        <v>chara_bat_00101_Special_00008</v>
      </c>
      <c r="D441" s="139" t="str">
        <f>IFERROR(__xludf.DUMMYFUNCTION("""COMPUTED_VALUE"""),"chara_bat_00101")</f>
        <v>chara_bat_00101</v>
      </c>
      <c r="E441" s="139">
        <f>IFERROR(__xludf.DUMMYFUNCTION("""COMPUTED_VALUE"""),8.0)</f>
        <v>8</v>
      </c>
      <c r="F441" s="139" t="str">
        <f>IFERROR(__xludf.DUMMYFUNCTION("""COMPUTED_VALUE"""),"Special")</f>
        <v>Special</v>
      </c>
      <c r="G441" s="139"/>
      <c r="H441" s="139"/>
      <c r="I441" s="139">
        <f>IFERROR(__xludf.DUMMYFUNCTION("""COMPUTED_VALUE"""),150.0)</f>
        <v>150</v>
      </c>
      <c r="J441" s="139">
        <f>IFERROR(__xludf.DUMMYFUNCTION("""COMPUTED_VALUE"""),60.0)</f>
        <v>60</v>
      </c>
      <c r="K441" s="139">
        <f>IFERROR(__xludf.DUMMYFUNCTION("""COMPUTED_VALUE"""),0.0)</f>
        <v>0</v>
      </c>
      <c r="L441" s="139"/>
      <c r="M441" s="139"/>
      <c r="N441" s="139"/>
    </row>
    <row r="442">
      <c r="A442" s="139"/>
      <c r="B442" s="139"/>
      <c r="C442" s="139" t="str">
        <f>IFERROR(__xludf.DUMMYFUNCTION("""COMPUTED_VALUE"""),"chara_bat_00101_Special_00009")</f>
        <v>chara_bat_00101_Special_00009</v>
      </c>
      <c r="D442" s="139" t="str">
        <f>IFERROR(__xludf.DUMMYFUNCTION("""COMPUTED_VALUE"""),"chara_bat_00101")</f>
        <v>chara_bat_00101</v>
      </c>
      <c r="E442" s="139">
        <f>IFERROR(__xludf.DUMMYFUNCTION("""COMPUTED_VALUE"""),9.0)</f>
        <v>9</v>
      </c>
      <c r="F442" s="139" t="str">
        <f>IFERROR(__xludf.DUMMYFUNCTION("""COMPUTED_VALUE"""),"Special")</f>
        <v>Special</v>
      </c>
      <c r="G442" s="139"/>
      <c r="H442" s="139"/>
      <c r="I442" s="139">
        <f>IFERROR(__xludf.DUMMYFUNCTION("""COMPUTED_VALUE"""),150.0)</f>
        <v>150</v>
      </c>
      <c r="J442" s="139">
        <f>IFERROR(__xludf.DUMMYFUNCTION("""COMPUTED_VALUE"""),60.0)</f>
        <v>60</v>
      </c>
      <c r="K442" s="139">
        <f>IFERROR(__xludf.DUMMYFUNCTION("""COMPUTED_VALUE"""),0.0)</f>
        <v>0</v>
      </c>
      <c r="L442" s="139"/>
      <c r="M442" s="139"/>
      <c r="N442" s="139"/>
    </row>
    <row r="443">
      <c r="A443" s="139"/>
      <c r="B443" s="139"/>
      <c r="C443" s="139" t="str">
        <f>IFERROR(__xludf.DUMMYFUNCTION("""COMPUTED_VALUE"""),"chara_bat_00101_Special_00010")</f>
        <v>chara_bat_00101_Special_00010</v>
      </c>
      <c r="D443" s="139" t="str">
        <f>IFERROR(__xludf.DUMMYFUNCTION("""COMPUTED_VALUE"""),"chara_bat_00101")</f>
        <v>chara_bat_00101</v>
      </c>
      <c r="E443" s="139">
        <f>IFERROR(__xludf.DUMMYFUNCTION("""COMPUTED_VALUE"""),10.0)</f>
        <v>10</v>
      </c>
      <c r="F443" s="139" t="str">
        <f>IFERROR(__xludf.DUMMYFUNCTION("""COMPUTED_VALUE"""),"Special")</f>
        <v>Special</v>
      </c>
      <c r="G443" s="139"/>
      <c r="H443" s="139"/>
      <c r="I443" s="139">
        <f>IFERROR(__xludf.DUMMYFUNCTION("""COMPUTED_VALUE"""),150.0)</f>
        <v>150</v>
      </c>
      <c r="J443" s="139">
        <f>IFERROR(__xludf.DUMMYFUNCTION("""COMPUTED_VALUE"""),60.0)</f>
        <v>60</v>
      </c>
      <c r="K443" s="139">
        <f>IFERROR(__xludf.DUMMYFUNCTION("""COMPUTED_VALUE"""),0.0)</f>
        <v>0</v>
      </c>
      <c r="L443" s="139"/>
      <c r="M443" s="139"/>
      <c r="N443" s="139"/>
    </row>
    <row r="444">
      <c r="A444" s="139" t="str">
        <f>IFERROR(__xludf.DUMMYFUNCTION("""COMPUTED_VALUE"""),"e")</f>
        <v>e</v>
      </c>
      <c r="B444" s="139">
        <f>IFERROR(__xludf.DUMMYFUNCTION("""COMPUTED_VALUE"""),2.0250901E8)</f>
        <v>202509010</v>
      </c>
      <c r="C444" s="139" t="str">
        <f>IFERROR(__xludf.DUMMYFUNCTION("""COMPUTED_VALUE"""),"chara_mag_00001_Normal_00000")</f>
        <v>chara_mag_00001_Normal_00000</v>
      </c>
      <c r="D444" s="139" t="str">
        <f>IFERROR(__xludf.DUMMYFUNCTION("""COMPUTED_VALUE"""),"chara_mag_00001")</f>
        <v>chara_mag_00001</v>
      </c>
      <c r="E444" s="139">
        <f>IFERROR(__xludf.DUMMYFUNCTION("""COMPUTED_VALUE"""),0.0)</f>
        <v>0</v>
      </c>
      <c r="F444" s="139" t="str">
        <f>IFERROR(__xludf.DUMMYFUNCTION("""COMPUTED_VALUE"""),"Normal")</f>
        <v>Normal</v>
      </c>
      <c r="G444" s="139"/>
      <c r="H444" s="139"/>
      <c r="I444" s="139">
        <f>IFERROR(__xludf.DUMMYFUNCTION("""COMPUTED_VALUE"""),89.0)</f>
        <v>89</v>
      </c>
      <c r="J444" s="139">
        <f>IFERROR(__xludf.DUMMYFUNCTION("""COMPUTED_VALUE"""),46.0)</f>
        <v>46</v>
      </c>
      <c r="K444" s="139">
        <f>IFERROR(__xludf.DUMMYFUNCTION("""COMPUTED_VALUE"""),150.0)</f>
        <v>150</v>
      </c>
      <c r="L444" s="139"/>
      <c r="M444" s="139" t="str">
        <f>IFERROR(__xludf.DUMMYFUNCTION("""COMPUTED_VALUE"""),"表示場所なし")</f>
        <v>表示場所なし</v>
      </c>
      <c r="N444" s="139"/>
    </row>
    <row r="445">
      <c r="A445" s="139" t="str">
        <f>IFERROR(__xludf.DUMMYFUNCTION("""COMPUTED_VALUE"""),"e")</f>
        <v>e</v>
      </c>
      <c r="B445" s="139">
        <f>IFERROR(__xludf.DUMMYFUNCTION("""COMPUTED_VALUE"""),2.0250901E8)</f>
        <v>202509010</v>
      </c>
      <c r="C445" s="139" t="str">
        <f>IFERROR(__xludf.DUMMYFUNCTION("""COMPUTED_VALUE"""),"chara_mag_00001_Special_00001")</f>
        <v>chara_mag_00001_Special_00001</v>
      </c>
      <c r="D445" s="139" t="str">
        <f>IFERROR(__xludf.DUMMYFUNCTION("""COMPUTED_VALUE"""),"chara_mag_00001")</f>
        <v>chara_mag_00001</v>
      </c>
      <c r="E445" s="139">
        <f>IFERROR(__xludf.DUMMYFUNCTION("""COMPUTED_VALUE"""),1.0)</f>
        <v>1</v>
      </c>
      <c r="F445" s="139" t="str">
        <f>IFERROR(__xludf.DUMMYFUNCTION("""COMPUTED_VALUE"""),"Special")</f>
        <v>Special</v>
      </c>
      <c r="G445" s="139"/>
      <c r="H445" s="139"/>
      <c r="I445" s="139">
        <f>IFERROR(__xludf.DUMMYFUNCTION("""COMPUTED_VALUE"""),117.0)</f>
        <v>117</v>
      </c>
      <c r="J445" s="139">
        <f>IFERROR(__xludf.DUMMYFUNCTION("""COMPUTED_VALUE"""),0.0)</f>
        <v>0</v>
      </c>
      <c r="K445" s="139">
        <f>IFERROR(__xludf.DUMMYFUNCTION("""COMPUTED_VALUE"""),0.0)</f>
        <v>0</v>
      </c>
      <c r="L445" s="139"/>
      <c r="M445" s="139" t="str">
        <f>IFERROR(__xludf.DUMMYFUNCTION("""COMPUTED_VALUE"""),"敵複数体に最大6回の連続攻撃(自身の攻撃ステータスの最大85%ダメージ)")</f>
        <v>敵複数体に最大6回の連続攻撃(自身の攻撃ステータスの最大85%ダメージ)</v>
      </c>
      <c r="N445" s="139"/>
    </row>
    <row r="446">
      <c r="A446" s="139" t="str">
        <f>IFERROR(__xludf.DUMMYFUNCTION("""COMPUTED_VALUE"""),"e")</f>
        <v>e</v>
      </c>
      <c r="B446" s="139">
        <f>IFERROR(__xludf.DUMMYFUNCTION("""COMPUTED_VALUE"""),2.0250901E8)</f>
        <v>202509010</v>
      </c>
      <c r="C446" s="139" t="str">
        <f>IFERROR(__xludf.DUMMYFUNCTION("""COMPUTED_VALUE"""),"chara_mag_00001_Special_00002")</f>
        <v>chara_mag_00001_Special_00002</v>
      </c>
      <c r="D446" s="139" t="str">
        <f>IFERROR(__xludf.DUMMYFUNCTION("""COMPUTED_VALUE"""),"chara_mag_00001")</f>
        <v>chara_mag_00001</v>
      </c>
      <c r="E446" s="139">
        <f>IFERROR(__xludf.DUMMYFUNCTION("""COMPUTED_VALUE"""),2.0)</f>
        <v>2</v>
      </c>
      <c r="F446" s="139" t="str">
        <f>IFERROR(__xludf.DUMMYFUNCTION("""COMPUTED_VALUE"""),"Special")</f>
        <v>Special</v>
      </c>
      <c r="G446" s="139"/>
      <c r="H446" s="139"/>
      <c r="I446" s="139">
        <f>IFERROR(__xludf.DUMMYFUNCTION("""COMPUTED_VALUE"""),117.0)</f>
        <v>117</v>
      </c>
      <c r="J446" s="139">
        <f>IFERROR(__xludf.DUMMYFUNCTION("""COMPUTED_VALUE"""),0.0)</f>
        <v>0</v>
      </c>
      <c r="K446" s="139">
        <f>IFERROR(__xludf.DUMMYFUNCTION("""COMPUTED_VALUE"""),0.0)</f>
        <v>0</v>
      </c>
      <c r="L446" s="139"/>
      <c r="M446" s="139" t="str">
        <f>IFERROR(__xludf.DUMMYFUNCTION("""COMPUTED_VALUE"""),"敵複数体に最大6回の連続攻撃(自身の攻撃ステータスの最大96%ダメージ)")</f>
        <v>敵複数体に最大6回の連続攻撃(自身の攻撃ステータスの最大96%ダメージ)</v>
      </c>
      <c r="N446" s="139" t="str">
        <f>IFERROR(__xludf.DUMMYFUNCTION("""COMPUTED_VALUE"""),"ステータスUP + 必殺ワザ性能UP")</f>
        <v>ステータスUP + 必殺ワザ性能UP</v>
      </c>
    </row>
    <row r="447">
      <c r="A447" s="139" t="str">
        <f>IFERROR(__xludf.DUMMYFUNCTION("""COMPUTED_VALUE"""),"e")</f>
        <v>e</v>
      </c>
      <c r="B447" s="139">
        <f>IFERROR(__xludf.DUMMYFUNCTION("""COMPUTED_VALUE"""),2.0250901E8)</f>
        <v>202509010</v>
      </c>
      <c r="C447" s="139" t="str">
        <f>IFERROR(__xludf.DUMMYFUNCTION("""COMPUTED_VALUE"""),"chara_mag_00001_Special_00003")</f>
        <v>chara_mag_00001_Special_00003</v>
      </c>
      <c r="D447" s="139" t="str">
        <f>IFERROR(__xludf.DUMMYFUNCTION("""COMPUTED_VALUE"""),"chara_mag_00001")</f>
        <v>chara_mag_00001</v>
      </c>
      <c r="E447" s="139">
        <f>IFERROR(__xludf.DUMMYFUNCTION("""COMPUTED_VALUE"""),3.0)</f>
        <v>3</v>
      </c>
      <c r="F447" s="139" t="str">
        <f>IFERROR(__xludf.DUMMYFUNCTION("""COMPUTED_VALUE"""),"Special")</f>
        <v>Special</v>
      </c>
      <c r="G447" s="139"/>
      <c r="H447" s="139"/>
      <c r="I447" s="139">
        <f>IFERROR(__xludf.DUMMYFUNCTION("""COMPUTED_VALUE"""),117.0)</f>
        <v>117</v>
      </c>
      <c r="J447" s="139">
        <f>IFERROR(__xludf.DUMMYFUNCTION("""COMPUTED_VALUE"""),0.0)</f>
        <v>0</v>
      </c>
      <c r="K447" s="139">
        <f>IFERROR(__xludf.DUMMYFUNCTION("""COMPUTED_VALUE"""),0.0)</f>
        <v>0</v>
      </c>
      <c r="L447" s="139"/>
      <c r="M447" s="139" t="str">
        <f>IFERROR(__xludf.DUMMYFUNCTION("""COMPUTED_VALUE"""),"敵複数体に最大6回の連続攻撃(自身の攻撃ステータスの最大103%ダメージ)")</f>
        <v>敵複数体に最大6回の連続攻撃(自身の攻撃ステータスの最大103%ダメージ)</v>
      </c>
      <c r="N447" s="139" t="str">
        <f>IFERROR(__xludf.DUMMYFUNCTION("""COMPUTED_VALUE"""),"ステータスUP + 必殺ワザ性能UP")</f>
        <v>ステータスUP + 必殺ワザ性能UP</v>
      </c>
    </row>
    <row r="448">
      <c r="A448" s="139" t="str">
        <f>IFERROR(__xludf.DUMMYFUNCTION("""COMPUTED_VALUE"""),"e")</f>
        <v>e</v>
      </c>
      <c r="B448" s="139">
        <f>IFERROR(__xludf.DUMMYFUNCTION("""COMPUTED_VALUE"""),2.0250901E8)</f>
        <v>202509010</v>
      </c>
      <c r="C448" s="139" t="str">
        <f>IFERROR(__xludf.DUMMYFUNCTION("""COMPUTED_VALUE"""),"chara_mag_00001_Special_00004")</f>
        <v>chara_mag_00001_Special_00004</v>
      </c>
      <c r="D448" s="139" t="str">
        <f>IFERROR(__xludf.DUMMYFUNCTION("""COMPUTED_VALUE"""),"chara_mag_00001")</f>
        <v>chara_mag_00001</v>
      </c>
      <c r="E448" s="139">
        <f>IFERROR(__xludf.DUMMYFUNCTION("""COMPUTED_VALUE"""),4.0)</f>
        <v>4</v>
      </c>
      <c r="F448" s="139" t="str">
        <f>IFERROR(__xludf.DUMMYFUNCTION("""COMPUTED_VALUE"""),"Special")</f>
        <v>Special</v>
      </c>
      <c r="G448" s="139"/>
      <c r="H448" s="139"/>
      <c r="I448" s="139">
        <f>IFERROR(__xludf.DUMMYFUNCTION("""COMPUTED_VALUE"""),117.0)</f>
        <v>117</v>
      </c>
      <c r="J448" s="139">
        <f>IFERROR(__xludf.DUMMYFUNCTION("""COMPUTED_VALUE"""),0.0)</f>
        <v>0</v>
      </c>
      <c r="K448" s="139">
        <f>IFERROR(__xludf.DUMMYFUNCTION("""COMPUTED_VALUE"""),0.0)</f>
        <v>0</v>
      </c>
      <c r="L448" s="139"/>
      <c r="M448" s="139" t="str">
        <f>IFERROR(__xludf.DUMMYFUNCTION("""COMPUTED_VALUE"""),"敵複数体に最大6回の連続攻撃(自身の攻撃ステータスの最大109%ダメージ)")</f>
        <v>敵複数体に最大6回の連続攻撃(自身の攻撃ステータスの最大109%ダメージ)</v>
      </c>
      <c r="N448" s="139" t="str">
        <f>IFERROR(__xludf.DUMMYFUNCTION("""COMPUTED_VALUE"""),"ステータスUP + 必殺ワザ性能UP")</f>
        <v>ステータスUP + 必殺ワザ性能UP</v>
      </c>
    </row>
    <row r="449">
      <c r="A449" s="139" t="str">
        <f>IFERROR(__xludf.DUMMYFUNCTION("""COMPUTED_VALUE"""),"e")</f>
        <v>e</v>
      </c>
      <c r="B449" s="139">
        <f>IFERROR(__xludf.DUMMYFUNCTION("""COMPUTED_VALUE"""),2.0250901E8)</f>
        <v>202509010</v>
      </c>
      <c r="C449" s="139" t="str">
        <f>IFERROR(__xludf.DUMMYFUNCTION("""COMPUTED_VALUE"""),"chara_mag_00001_Special_00005")</f>
        <v>chara_mag_00001_Special_00005</v>
      </c>
      <c r="D449" s="139" t="str">
        <f>IFERROR(__xludf.DUMMYFUNCTION("""COMPUTED_VALUE"""),"chara_mag_00001")</f>
        <v>chara_mag_00001</v>
      </c>
      <c r="E449" s="139">
        <f>IFERROR(__xludf.DUMMYFUNCTION("""COMPUTED_VALUE"""),5.0)</f>
        <v>5</v>
      </c>
      <c r="F449" s="139" t="str">
        <f>IFERROR(__xludf.DUMMYFUNCTION("""COMPUTED_VALUE"""),"Special")</f>
        <v>Special</v>
      </c>
      <c r="G449" s="139"/>
      <c r="H449" s="139"/>
      <c r="I449" s="139">
        <f>IFERROR(__xludf.DUMMYFUNCTION("""COMPUTED_VALUE"""),117.0)</f>
        <v>117</v>
      </c>
      <c r="J449" s="139">
        <f>IFERROR(__xludf.DUMMYFUNCTION("""COMPUTED_VALUE"""),0.0)</f>
        <v>0</v>
      </c>
      <c r="K449" s="139">
        <f>IFERROR(__xludf.DUMMYFUNCTION("""COMPUTED_VALUE"""),0.0)</f>
        <v>0</v>
      </c>
      <c r="L449" s="139"/>
      <c r="M449" s="139" t="str">
        <f>IFERROR(__xludf.DUMMYFUNCTION("""COMPUTED_VALUE"""),"敵複数体に最大6回の連続攻撃(自身の攻撃ステータスの最大113%ダメージ)")</f>
        <v>敵複数体に最大6回の連続攻撃(自身の攻撃ステータスの最大113%ダメージ)</v>
      </c>
      <c r="N449" s="139" t="str">
        <f>IFERROR(__xludf.DUMMYFUNCTION("""COMPUTED_VALUE"""),"ステータスUP + 必殺ワザ性能UP")</f>
        <v>ステータスUP + 必殺ワザ性能UP</v>
      </c>
    </row>
    <row r="450">
      <c r="A450" s="139"/>
      <c r="B450" s="139"/>
      <c r="C450" s="139" t="str">
        <f>IFERROR(__xludf.DUMMYFUNCTION("""COMPUTED_VALUE"""),"chara_mag_00001_Special_00006")</f>
        <v>chara_mag_00001_Special_00006</v>
      </c>
      <c r="D450" s="139" t="str">
        <f>IFERROR(__xludf.DUMMYFUNCTION("""COMPUTED_VALUE"""),"chara_mag_00001")</f>
        <v>chara_mag_00001</v>
      </c>
      <c r="E450" s="139">
        <f>IFERROR(__xludf.DUMMYFUNCTION("""COMPUTED_VALUE"""),6.0)</f>
        <v>6</v>
      </c>
      <c r="F450" s="139" t="str">
        <f>IFERROR(__xludf.DUMMYFUNCTION("""COMPUTED_VALUE"""),"Special")</f>
        <v>Special</v>
      </c>
      <c r="G450" s="139"/>
      <c r="H450" s="139"/>
      <c r="I450" s="139">
        <f>IFERROR(__xludf.DUMMYFUNCTION("""COMPUTED_VALUE"""),117.0)</f>
        <v>117</v>
      </c>
      <c r="J450" s="139">
        <f>IFERROR(__xludf.DUMMYFUNCTION("""COMPUTED_VALUE"""),0.0)</f>
        <v>0</v>
      </c>
      <c r="K450" s="139">
        <f>IFERROR(__xludf.DUMMYFUNCTION("""COMPUTED_VALUE"""),0.0)</f>
        <v>0</v>
      </c>
      <c r="L450" s="139"/>
      <c r="M450" s="139"/>
      <c r="N450" s="139"/>
    </row>
    <row r="451">
      <c r="A451" s="139"/>
      <c r="B451" s="139"/>
      <c r="C451" s="139" t="str">
        <f>IFERROR(__xludf.DUMMYFUNCTION("""COMPUTED_VALUE"""),"chara_mag_00001_Special_00007")</f>
        <v>chara_mag_00001_Special_00007</v>
      </c>
      <c r="D451" s="139" t="str">
        <f>IFERROR(__xludf.DUMMYFUNCTION("""COMPUTED_VALUE"""),"chara_mag_00001")</f>
        <v>chara_mag_00001</v>
      </c>
      <c r="E451" s="139">
        <f>IFERROR(__xludf.DUMMYFUNCTION("""COMPUTED_VALUE"""),7.0)</f>
        <v>7</v>
      </c>
      <c r="F451" s="139" t="str">
        <f>IFERROR(__xludf.DUMMYFUNCTION("""COMPUTED_VALUE"""),"Special")</f>
        <v>Special</v>
      </c>
      <c r="G451" s="139"/>
      <c r="H451" s="139"/>
      <c r="I451" s="139">
        <f>IFERROR(__xludf.DUMMYFUNCTION("""COMPUTED_VALUE"""),117.0)</f>
        <v>117</v>
      </c>
      <c r="J451" s="139">
        <f>IFERROR(__xludf.DUMMYFUNCTION("""COMPUTED_VALUE"""),0.0)</f>
        <v>0</v>
      </c>
      <c r="K451" s="139">
        <f>IFERROR(__xludf.DUMMYFUNCTION("""COMPUTED_VALUE"""),0.0)</f>
        <v>0</v>
      </c>
      <c r="L451" s="139"/>
      <c r="M451" s="139"/>
      <c r="N451" s="139"/>
    </row>
    <row r="452">
      <c r="A452" s="139"/>
      <c r="B452" s="139"/>
      <c r="C452" s="139" t="str">
        <f>IFERROR(__xludf.DUMMYFUNCTION("""COMPUTED_VALUE"""),"chara_mag_00001_Special_00008")</f>
        <v>chara_mag_00001_Special_00008</v>
      </c>
      <c r="D452" s="139" t="str">
        <f>IFERROR(__xludf.DUMMYFUNCTION("""COMPUTED_VALUE"""),"chara_mag_00001")</f>
        <v>chara_mag_00001</v>
      </c>
      <c r="E452" s="139">
        <f>IFERROR(__xludf.DUMMYFUNCTION("""COMPUTED_VALUE"""),8.0)</f>
        <v>8</v>
      </c>
      <c r="F452" s="139" t="str">
        <f>IFERROR(__xludf.DUMMYFUNCTION("""COMPUTED_VALUE"""),"Special")</f>
        <v>Special</v>
      </c>
      <c r="G452" s="139"/>
      <c r="H452" s="139"/>
      <c r="I452" s="139">
        <f>IFERROR(__xludf.DUMMYFUNCTION("""COMPUTED_VALUE"""),117.0)</f>
        <v>117</v>
      </c>
      <c r="J452" s="139">
        <f>IFERROR(__xludf.DUMMYFUNCTION("""COMPUTED_VALUE"""),0.0)</f>
        <v>0</v>
      </c>
      <c r="K452" s="139">
        <f>IFERROR(__xludf.DUMMYFUNCTION("""COMPUTED_VALUE"""),0.0)</f>
        <v>0</v>
      </c>
      <c r="L452" s="139"/>
      <c r="M452" s="139"/>
      <c r="N452" s="139"/>
    </row>
    <row r="453">
      <c r="A453" s="139"/>
      <c r="B453" s="139"/>
      <c r="C453" s="139" t="str">
        <f>IFERROR(__xludf.DUMMYFUNCTION("""COMPUTED_VALUE"""),"chara_mag_00001_Special_00009")</f>
        <v>chara_mag_00001_Special_00009</v>
      </c>
      <c r="D453" s="139" t="str">
        <f>IFERROR(__xludf.DUMMYFUNCTION("""COMPUTED_VALUE"""),"chara_mag_00001")</f>
        <v>chara_mag_00001</v>
      </c>
      <c r="E453" s="139">
        <f>IFERROR(__xludf.DUMMYFUNCTION("""COMPUTED_VALUE"""),9.0)</f>
        <v>9</v>
      </c>
      <c r="F453" s="139" t="str">
        <f>IFERROR(__xludf.DUMMYFUNCTION("""COMPUTED_VALUE"""),"Special")</f>
        <v>Special</v>
      </c>
      <c r="G453" s="139"/>
      <c r="H453" s="139"/>
      <c r="I453" s="139">
        <f>IFERROR(__xludf.DUMMYFUNCTION("""COMPUTED_VALUE"""),117.0)</f>
        <v>117</v>
      </c>
      <c r="J453" s="139">
        <f>IFERROR(__xludf.DUMMYFUNCTION("""COMPUTED_VALUE"""),0.0)</f>
        <v>0</v>
      </c>
      <c r="K453" s="139">
        <f>IFERROR(__xludf.DUMMYFUNCTION("""COMPUTED_VALUE"""),0.0)</f>
        <v>0</v>
      </c>
      <c r="L453" s="139"/>
      <c r="M453" s="139"/>
      <c r="N453" s="139"/>
    </row>
    <row r="454">
      <c r="A454" s="139"/>
      <c r="B454" s="139"/>
      <c r="C454" s="139" t="str">
        <f>IFERROR(__xludf.DUMMYFUNCTION("""COMPUTED_VALUE"""),"chara_mag_00001_Special_00010")</f>
        <v>chara_mag_00001_Special_00010</v>
      </c>
      <c r="D454" s="139" t="str">
        <f>IFERROR(__xludf.DUMMYFUNCTION("""COMPUTED_VALUE"""),"chara_mag_00001")</f>
        <v>chara_mag_00001</v>
      </c>
      <c r="E454" s="139">
        <f>IFERROR(__xludf.DUMMYFUNCTION("""COMPUTED_VALUE"""),10.0)</f>
        <v>10</v>
      </c>
      <c r="F454" s="139" t="str">
        <f>IFERROR(__xludf.DUMMYFUNCTION("""COMPUTED_VALUE"""),"Special")</f>
        <v>Special</v>
      </c>
      <c r="G454" s="139"/>
      <c r="H454" s="139"/>
      <c r="I454" s="139">
        <f>IFERROR(__xludf.DUMMYFUNCTION("""COMPUTED_VALUE"""),117.0)</f>
        <v>117</v>
      </c>
      <c r="J454" s="139">
        <f>IFERROR(__xludf.DUMMYFUNCTION("""COMPUTED_VALUE"""),0.0)</f>
        <v>0</v>
      </c>
      <c r="K454" s="139">
        <f>IFERROR(__xludf.DUMMYFUNCTION("""COMPUTED_VALUE"""),0.0)</f>
        <v>0</v>
      </c>
      <c r="L454" s="139"/>
      <c r="M454" s="139"/>
      <c r="N454" s="139"/>
    </row>
    <row r="455">
      <c r="A455" s="139" t="str">
        <f>IFERROR(__xludf.DUMMYFUNCTION("""COMPUTED_VALUE"""),"e")</f>
        <v>e</v>
      </c>
      <c r="B455" s="139">
        <f>IFERROR(__xludf.DUMMYFUNCTION("""COMPUTED_VALUE"""),2.0250901E8)</f>
        <v>202509010</v>
      </c>
      <c r="C455" s="139" t="str">
        <f>IFERROR(__xludf.DUMMYFUNCTION("""COMPUTED_VALUE"""),"chara_mag_00101_Normal_00000")</f>
        <v>chara_mag_00101_Normal_00000</v>
      </c>
      <c r="D455" s="139" t="str">
        <f>IFERROR(__xludf.DUMMYFUNCTION("""COMPUTED_VALUE"""),"chara_mag_00101")</f>
        <v>chara_mag_00101</v>
      </c>
      <c r="E455" s="139">
        <f>IFERROR(__xludf.DUMMYFUNCTION("""COMPUTED_VALUE"""),0.0)</f>
        <v>0</v>
      </c>
      <c r="F455" s="139" t="str">
        <f>IFERROR(__xludf.DUMMYFUNCTION("""COMPUTED_VALUE"""),"Normal")</f>
        <v>Normal</v>
      </c>
      <c r="G455" s="139"/>
      <c r="H455" s="139"/>
      <c r="I455" s="139">
        <f>IFERROR(__xludf.DUMMYFUNCTION("""COMPUTED_VALUE"""),95.0)</f>
        <v>95</v>
      </c>
      <c r="J455" s="139">
        <f>IFERROR(__xludf.DUMMYFUNCTION("""COMPUTED_VALUE"""),42.0)</f>
        <v>42</v>
      </c>
      <c r="K455" s="139">
        <f>IFERROR(__xludf.DUMMYFUNCTION("""COMPUTED_VALUE"""),75.0)</f>
        <v>75</v>
      </c>
      <c r="L455" s="139"/>
      <c r="M455" s="139" t="str">
        <f>IFERROR(__xludf.DUMMYFUNCTION("""COMPUTED_VALUE"""),"表示場所なし")</f>
        <v>表示場所なし</v>
      </c>
      <c r="N455" s="139"/>
    </row>
    <row r="456">
      <c r="A456" s="139" t="str">
        <f>IFERROR(__xludf.DUMMYFUNCTION("""COMPUTED_VALUE"""),"e")</f>
        <v>e</v>
      </c>
      <c r="B456" s="139">
        <f>IFERROR(__xludf.DUMMYFUNCTION("""COMPUTED_VALUE"""),2.0250901E8)</f>
        <v>202509010</v>
      </c>
      <c r="C456" s="139" t="str">
        <f>IFERROR(__xludf.DUMMYFUNCTION("""COMPUTED_VALUE"""),"chara_mag_00101_Special_00001")</f>
        <v>chara_mag_00101_Special_00001</v>
      </c>
      <c r="D456" s="139" t="str">
        <f>IFERROR(__xludf.DUMMYFUNCTION("""COMPUTED_VALUE"""),"chara_mag_00101")</f>
        <v>chara_mag_00101</v>
      </c>
      <c r="E456" s="139">
        <f>IFERROR(__xludf.DUMMYFUNCTION("""COMPUTED_VALUE"""),1.0)</f>
        <v>1</v>
      </c>
      <c r="F456" s="139" t="str">
        <f>IFERROR(__xludf.DUMMYFUNCTION("""COMPUTED_VALUE"""),"Special")</f>
        <v>Special</v>
      </c>
      <c r="G456" s="139"/>
      <c r="H456" s="139"/>
      <c r="I456" s="139">
        <f>IFERROR(__xludf.DUMMYFUNCTION("""COMPUTED_VALUE"""),134.0)</f>
        <v>134</v>
      </c>
      <c r="J456" s="139">
        <f>IFERROR(__xludf.DUMMYFUNCTION("""COMPUTED_VALUE"""),75.0)</f>
        <v>75</v>
      </c>
      <c r="K456" s="139">
        <f>IFERROR(__xludf.DUMMYFUNCTION("""COMPUTED_VALUE"""),0.0)</f>
        <v>0</v>
      </c>
      <c r="L456" s="139"/>
      <c r="M456" s="139" t="str">
        <f>IFERROR(__xludf.DUMMYFUNCTION("""COMPUTED_VALUE"""),"敵複数体に自身の攻撃ステータスの90%のダメージ")</f>
        <v>敵複数体に自身の攻撃ステータスの90%のダメージ</v>
      </c>
      <c r="N456" s="139"/>
    </row>
    <row r="457">
      <c r="A457" s="139" t="str">
        <f>IFERROR(__xludf.DUMMYFUNCTION("""COMPUTED_VALUE"""),"e")</f>
        <v>e</v>
      </c>
      <c r="B457" s="139">
        <f>IFERROR(__xludf.DUMMYFUNCTION("""COMPUTED_VALUE"""),2.0250901E8)</f>
        <v>202509010</v>
      </c>
      <c r="C457" s="139" t="str">
        <f>IFERROR(__xludf.DUMMYFUNCTION("""COMPUTED_VALUE"""),"chara_mag_00101_Special_00002")</f>
        <v>chara_mag_00101_Special_00002</v>
      </c>
      <c r="D457" s="139" t="str">
        <f>IFERROR(__xludf.DUMMYFUNCTION("""COMPUTED_VALUE"""),"chara_mag_00101")</f>
        <v>chara_mag_00101</v>
      </c>
      <c r="E457" s="139">
        <f>IFERROR(__xludf.DUMMYFUNCTION("""COMPUTED_VALUE"""),2.0)</f>
        <v>2</v>
      </c>
      <c r="F457" s="139" t="str">
        <f>IFERROR(__xludf.DUMMYFUNCTION("""COMPUTED_VALUE"""),"Special")</f>
        <v>Special</v>
      </c>
      <c r="G457" s="139"/>
      <c r="H457" s="139"/>
      <c r="I457" s="139">
        <f>IFERROR(__xludf.DUMMYFUNCTION("""COMPUTED_VALUE"""),134.0)</f>
        <v>134</v>
      </c>
      <c r="J457" s="139">
        <f>IFERROR(__xludf.DUMMYFUNCTION("""COMPUTED_VALUE"""),75.0)</f>
        <v>75</v>
      </c>
      <c r="K457" s="139">
        <f>IFERROR(__xludf.DUMMYFUNCTION("""COMPUTED_VALUE"""),0.0)</f>
        <v>0</v>
      </c>
      <c r="L457" s="139"/>
      <c r="M457" s="139" t="str">
        <f>IFERROR(__xludf.DUMMYFUNCTION("""COMPUTED_VALUE"""),"敵複数体に自身の攻撃ステータスの102%のダメージ")</f>
        <v>敵複数体に自身の攻撃ステータスの102%のダメージ</v>
      </c>
      <c r="N457" s="139" t="str">
        <f>IFERROR(__xludf.DUMMYFUNCTION("""COMPUTED_VALUE"""),"ステータスUP + 必殺ワザ性能UP")</f>
        <v>ステータスUP + 必殺ワザ性能UP</v>
      </c>
    </row>
    <row r="458">
      <c r="A458" s="139" t="str">
        <f>IFERROR(__xludf.DUMMYFUNCTION("""COMPUTED_VALUE"""),"e")</f>
        <v>e</v>
      </c>
      <c r="B458" s="139">
        <f>IFERROR(__xludf.DUMMYFUNCTION("""COMPUTED_VALUE"""),2.0250901E8)</f>
        <v>202509010</v>
      </c>
      <c r="C458" s="139" t="str">
        <f>IFERROR(__xludf.DUMMYFUNCTION("""COMPUTED_VALUE"""),"chara_mag_00101_Special_00003")</f>
        <v>chara_mag_00101_Special_00003</v>
      </c>
      <c r="D458" s="139" t="str">
        <f>IFERROR(__xludf.DUMMYFUNCTION("""COMPUTED_VALUE"""),"chara_mag_00101")</f>
        <v>chara_mag_00101</v>
      </c>
      <c r="E458" s="139">
        <f>IFERROR(__xludf.DUMMYFUNCTION("""COMPUTED_VALUE"""),3.0)</f>
        <v>3</v>
      </c>
      <c r="F458" s="139" t="str">
        <f>IFERROR(__xludf.DUMMYFUNCTION("""COMPUTED_VALUE"""),"Special")</f>
        <v>Special</v>
      </c>
      <c r="G458" s="139"/>
      <c r="H458" s="139"/>
      <c r="I458" s="139">
        <f>IFERROR(__xludf.DUMMYFUNCTION("""COMPUTED_VALUE"""),134.0)</f>
        <v>134</v>
      </c>
      <c r="J458" s="139">
        <f>IFERROR(__xludf.DUMMYFUNCTION("""COMPUTED_VALUE"""),75.0)</f>
        <v>75</v>
      </c>
      <c r="K458" s="139">
        <f>IFERROR(__xludf.DUMMYFUNCTION("""COMPUTED_VALUE"""),0.0)</f>
        <v>0</v>
      </c>
      <c r="L458" s="139"/>
      <c r="M458" s="139" t="str">
        <f>IFERROR(__xludf.DUMMYFUNCTION("""COMPUTED_VALUE"""),"敵複数体に自身の攻撃ステータスの110%のダメージ")</f>
        <v>敵複数体に自身の攻撃ステータスの110%のダメージ</v>
      </c>
      <c r="N458" s="139" t="str">
        <f>IFERROR(__xludf.DUMMYFUNCTION("""COMPUTED_VALUE"""),"ステータスUP + 必殺ワザ性能UP")</f>
        <v>ステータスUP + 必殺ワザ性能UP</v>
      </c>
    </row>
    <row r="459">
      <c r="A459" s="139" t="str">
        <f>IFERROR(__xludf.DUMMYFUNCTION("""COMPUTED_VALUE"""),"e")</f>
        <v>e</v>
      </c>
      <c r="B459" s="139">
        <f>IFERROR(__xludf.DUMMYFUNCTION("""COMPUTED_VALUE"""),2.0250901E8)</f>
        <v>202509010</v>
      </c>
      <c r="C459" s="139" t="str">
        <f>IFERROR(__xludf.DUMMYFUNCTION("""COMPUTED_VALUE"""),"chara_mag_00101_Special_00004")</f>
        <v>chara_mag_00101_Special_00004</v>
      </c>
      <c r="D459" s="139" t="str">
        <f>IFERROR(__xludf.DUMMYFUNCTION("""COMPUTED_VALUE"""),"chara_mag_00101")</f>
        <v>chara_mag_00101</v>
      </c>
      <c r="E459" s="139">
        <f>IFERROR(__xludf.DUMMYFUNCTION("""COMPUTED_VALUE"""),4.0)</f>
        <v>4</v>
      </c>
      <c r="F459" s="139" t="str">
        <f>IFERROR(__xludf.DUMMYFUNCTION("""COMPUTED_VALUE"""),"Special")</f>
        <v>Special</v>
      </c>
      <c r="G459" s="139"/>
      <c r="H459" s="139"/>
      <c r="I459" s="139">
        <f>IFERROR(__xludf.DUMMYFUNCTION("""COMPUTED_VALUE"""),134.0)</f>
        <v>134</v>
      </c>
      <c r="J459" s="139">
        <f>IFERROR(__xludf.DUMMYFUNCTION("""COMPUTED_VALUE"""),75.0)</f>
        <v>75</v>
      </c>
      <c r="K459" s="139">
        <f>IFERROR(__xludf.DUMMYFUNCTION("""COMPUTED_VALUE"""),0.0)</f>
        <v>0</v>
      </c>
      <c r="L459" s="139"/>
      <c r="M459" s="139" t="str">
        <f>IFERROR(__xludf.DUMMYFUNCTION("""COMPUTED_VALUE"""),"敵複数体に自身の攻撃ステータスの116%のダメージ")</f>
        <v>敵複数体に自身の攻撃ステータスの116%のダメージ</v>
      </c>
      <c r="N459" s="139" t="str">
        <f>IFERROR(__xludf.DUMMYFUNCTION("""COMPUTED_VALUE"""),"ステータスUP + 必殺ワザ性能UP")</f>
        <v>ステータスUP + 必殺ワザ性能UP</v>
      </c>
    </row>
    <row r="460">
      <c r="A460" s="139" t="str">
        <f>IFERROR(__xludf.DUMMYFUNCTION("""COMPUTED_VALUE"""),"e")</f>
        <v>e</v>
      </c>
      <c r="B460" s="139">
        <f>IFERROR(__xludf.DUMMYFUNCTION("""COMPUTED_VALUE"""),2.0250901E8)</f>
        <v>202509010</v>
      </c>
      <c r="C460" s="139" t="str">
        <f>IFERROR(__xludf.DUMMYFUNCTION("""COMPUTED_VALUE"""),"chara_mag_00101_Special_00005")</f>
        <v>chara_mag_00101_Special_00005</v>
      </c>
      <c r="D460" s="139" t="str">
        <f>IFERROR(__xludf.DUMMYFUNCTION("""COMPUTED_VALUE"""),"chara_mag_00101")</f>
        <v>chara_mag_00101</v>
      </c>
      <c r="E460" s="139">
        <f>IFERROR(__xludf.DUMMYFUNCTION("""COMPUTED_VALUE"""),5.0)</f>
        <v>5</v>
      </c>
      <c r="F460" s="139" t="str">
        <f>IFERROR(__xludf.DUMMYFUNCTION("""COMPUTED_VALUE"""),"Special")</f>
        <v>Special</v>
      </c>
      <c r="G460" s="139"/>
      <c r="H460" s="139"/>
      <c r="I460" s="139">
        <f>IFERROR(__xludf.DUMMYFUNCTION("""COMPUTED_VALUE"""),134.0)</f>
        <v>134</v>
      </c>
      <c r="J460" s="139">
        <f>IFERROR(__xludf.DUMMYFUNCTION("""COMPUTED_VALUE"""),75.0)</f>
        <v>75</v>
      </c>
      <c r="K460" s="139">
        <f>IFERROR(__xludf.DUMMYFUNCTION("""COMPUTED_VALUE"""),0.0)</f>
        <v>0</v>
      </c>
      <c r="L460" s="139"/>
      <c r="M460" s="139" t="str">
        <f>IFERROR(__xludf.DUMMYFUNCTION("""COMPUTED_VALUE"""),"敵複数体に自身の攻撃ステータスの120%のダメージ")</f>
        <v>敵複数体に自身の攻撃ステータスの120%のダメージ</v>
      </c>
      <c r="N460" s="139" t="str">
        <f>IFERROR(__xludf.DUMMYFUNCTION("""COMPUTED_VALUE"""),"ステータスUP + 必殺ワザ性能UP")</f>
        <v>ステータスUP + 必殺ワザ性能UP</v>
      </c>
    </row>
    <row r="461">
      <c r="A461" s="139"/>
      <c r="B461" s="139"/>
      <c r="C461" s="139" t="str">
        <f>IFERROR(__xludf.DUMMYFUNCTION("""COMPUTED_VALUE"""),"chara_mag_00101_Special_00006")</f>
        <v>chara_mag_00101_Special_00006</v>
      </c>
      <c r="D461" s="139" t="str">
        <f>IFERROR(__xludf.DUMMYFUNCTION("""COMPUTED_VALUE"""),"chara_mag_00101")</f>
        <v>chara_mag_00101</v>
      </c>
      <c r="E461" s="139">
        <f>IFERROR(__xludf.DUMMYFUNCTION("""COMPUTED_VALUE"""),6.0)</f>
        <v>6</v>
      </c>
      <c r="F461" s="139" t="str">
        <f>IFERROR(__xludf.DUMMYFUNCTION("""COMPUTED_VALUE"""),"Special")</f>
        <v>Special</v>
      </c>
      <c r="G461" s="139"/>
      <c r="H461" s="139"/>
      <c r="I461" s="139">
        <f>IFERROR(__xludf.DUMMYFUNCTION("""COMPUTED_VALUE"""),134.0)</f>
        <v>134</v>
      </c>
      <c r="J461" s="139">
        <f>IFERROR(__xludf.DUMMYFUNCTION("""COMPUTED_VALUE"""),75.0)</f>
        <v>75</v>
      </c>
      <c r="K461" s="139">
        <f>IFERROR(__xludf.DUMMYFUNCTION("""COMPUTED_VALUE"""),0.0)</f>
        <v>0</v>
      </c>
      <c r="L461" s="139"/>
      <c r="M461" s="139"/>
      <c r="N461" s="139"/>
    </row>
    <row r="462">
      <c r="A462" s="139"/>
      <c r="B462" s="139"/>
      <c r="C462" s="139" t="str">
        <f>IFERROR(__xludf.DUMMYFUNCTION("""COMPUTED_VALUE"""),"chara_mag_00101_Special_00007")</f>
        <v>chara_mag_00101_Special_00007</v>
      </c>
      <c r="D462" s="139" t="str">
        <f>IFERROR(__xludf.DUMMYFUNCTION("""COMPUTED_VALUE"""),"chara_mag_00101")</f>
        <v>chara_mag_00101</v>
      </c>
      <c r="E462" s="139">
        <f>IFERROR(__xludf.DUMMYFUNCTION("""COMPUTED_VALUE"""),7.0)</f>
        <v>7</v>
      </c>
      <c r="F462" s="139" t="str">
        <f>IFERROR(__xludf.DUMMYFUNCTION("""COMPUTED_VALUE"""),"Special")</f>
        <v>Special</v>
      </c>
      <c r="G462" s="139"/>
      <c r="H462" s="139"/>
      <c r="I462" s="139">
        <f>IFERROR(__xludf.DUMMYFUNCTION("""COMPUTED_VALUE"""),134.0)</f>
        <v>134</v>
      </c>
      <c r="J462" s="139">
        <f>IFERROR(__xludf.DUMMYFUNCTION("""COMPUTED_VALUE"""),75.0)</f>
        <v>75</v>
      </c>
      <c r="K462" s="139">
        <f>IFERROR(__xludf.DUMMYFUNCTION("""COMPUTED_VALUE"""),0.0)</f>
        <v>0</v>
      </c>
      <c r="L462" s="139"/>
      <c r="M462" s="139"/>
      <c r="N462" s="139"/>
    </row>
    <row r="463">
      <c r="A463" s="139"/>
      <c r="B463" s="139"/>
      <c r="C463" s="139" t="str">
        <f>IFERROR(__xludf.DUMMYFUNCTION("""COMPUTED_VALUE"""),"chara_mag_00101_Special_00008")</f>
        <v>chara_mag_00101_Special_00008</v>
      </c>
      <c r="D463" s="139" t="str">
        <f>IFERROR(__xludf.DUMMYFUNCTION("""COMPUTED_VALUE"""),"chara_mag_00101")</f>
        <v>chara_mag_00101</v>
      </c>
      <c r="E463" s="139">
        <f>IFERROR(__xludf.DUMMYFUNCTION("""COMPUTED_VALUE"""),8.0)</f>
        <v>8</v>
      </c>
      <c r="F463" s="139" t="str">
        <f>IFERROR(__xludf.DUMMYFUNCTION("""COMPUTED_VALUE"""),"Special")</f>
        <v>Special</v>
      </c>
      <c r="G463" s="139"/>
      <c r="H463" s="139"/>
      <c r="I463" s="139">
        <f>IFERROR(__xludf.DUMMYFUNCTION("""COMPUTED_VALUE"""),134.0)</f>
        <v>134</v>
      </c>
      <c r="J463" s="139">
        <f>IFERROR(__xludf.DUMMYFUNCTION("""COMPUTED_VALUE"""),75.0)</f>
        <v>75</v>
      </c>
      <c r="K463" s="139">
        <f>IFERROR(__xludf.DUMMYFUNCTION("""COMPUTED_VALUE"""),0.0)</f>
        <v>0</v>
      </c>
      <c r="L463" s="139"/>
      <c r="M463" s="139"/>
      <c r="N463" s="139"/>
    </row>
    <row r="464">
      <c r="A464" s="139"/>
      <c r="B464" s="139"/>
      <c r="C464" s="139" t="str">
        <f>IFERROR(__xludf.DUMMYFUNCTION("""COMPUTED_VALUE"""),"chara_mag_00101_Special_00009")</f>
        <v>chara_mag_00101_Special_00009</v>
      </c>
      <c r="D464" s="139" t="str">
        <f>IFERROR(__xludf.DUMMYFUNCTION("""COMPUTED_VALUE"""),"chara_mag_00101")</f>
        <v>chara_mag_00101</v>
      </c>
      <c r="E464" s="139">
        <f>IFERROR(__xludf.DUMMYFUNCTION("""COMPUTED_VALUE"""),9.0)</f>
        <v>9</v>
      </c>
      <c r="F464" s="139" t="str">
        <f>IFERROR(__xludf.DUMMYFUNCTION("""COMPUTED_VALUE"""),"Special")</f>
        <v>Special</v>
      </c>
      <c r="G464" s="139"/>
      <c r="H464" s="139"/>
      <c r="I464" s="139">
        <f>IFERROR(__xludf.DUMMYFUNCTION("""COMPUTED_VALUE"""),134.0)</f>
        <v>134</v>
      </c>
      <c r="J464" s="139">
        <f>IFERROR(__xludf.DUMMYFUNCTION("""COMPUTED_VALUE"""),75.0)</f>
        <v>75</v>
      </c>
      <c r="K464" s="139">
        <f>IFERROR(__xludf.DUMMYFUNCTION("""COMPUTED_VALUE"""),0.0)</f>
        <v>0</v>
      </c>
      <c r="L464" s="139"/>
      <c r="M464" s="139"/>
      <c r="N464" s="139"/>
    </row>
    <row r="465">
      <c r="A465" s="139"/>
      <c r="B465" s="139"/>
      <c r="C465" s="139" t="str">
        <f>IFERROR(__xludf.DUMMYFUNCTION("""COMPUTED_VALUE"""),"chara_mag_00101_Special_00010")</f>
        <v>chara_mag_00101_Special_00010</v>
      </c>
      <c r="D465" s="139" t="str">
        <f>IFERROR(__xludf.DUMMYFUNCTION("""COMPUTED_VALUE"""),"chara_mag_00101")</f>
        <v>chara_mag_00101</v>
      </c>
      <c r="E465" s="139">
        <f>IFERROR(__xludf.DUMMYFUNCTION("""COMPUTED_VALUE"""),10.0)</f>
        <v>10</v>
      </c>
      <c r="F465" s="139" t="str">
        <f>IFERROR(__xludf.DUMMYFUNCTION("""COMPUTED_VALUE"""),"Special")</f>
        <v>Special</v>
      </c>
      <c r="G465" s="139"/>
      <c r="H465" s="139"/>
      <c r="I465" s="139">
        <f>IFERROR(__xludf.DUMMYFUNCTION("""COMPUTED_VALUE"""),134.0)</f>
        <v>134</v>
      </c>
      <c r="J465" s="139">
        <f>IFERROR(__xludf.DUMMYFUNCTION("""COMPUTED_VALUE"""),75.0)</f>
        <v>75</v>
      </c>
      <c r="K465" s="139">
        <f>IFERROR(__xludf.DUMMYFUNCTION("""COMPUTED_VALUE"""),0.0)</f>
        <v>0</v>
      </c>
      <c r="L465" s="139"/>
      <c r="M465" s="139"/>
      <c r="N465" s="139"/>
    </row>
    <row r="466">
      <c r="A466" s="139" t="str">
        <f>IFERROR(__xludf.DUMMYFUNCTION("""COMPUTED_VALUE"""),"e")</f>
        <v>e</v>
      </c>
      <c r="B466" s="139">
        <f>IFERROR(__xludf.DUMMYFUNCTION("""COMPUTED_VALUE"""),2.0250901E8)</f>
        <v>202509010</v>
      </c>
      <c r="C466" s="139" t="str">
        <f>IFERROR(__xludf.DUMMYFUNCTION("""COMPUTED_VALUE"""),"chara_yuw_00001_Normal_00000")</f>
        <v>chara_yuw_00001_Normal_00000</v>
      </c>
      <c r="D466" s="139" t="str">
        <f>IFERROR(__xludf.DUMMYFUNCTION("""COMPUTED_VALUE"""),"chara_yuw_00001")</f>
        <v>chara_yuw_00001</v>
      </c>
      <c r="E466" s="139">
        <f>IFERROR(__xludf.DUMMYFUNCTION("""COMPUTED_VALUE"""),0.0)</f>
        <v>0</v>
      </c>
      <c r="F466" s="139" t="str">
        <f>IFERROR(__xludf.DUMMYFUNCTION("""COMPUTED_VALUE"""),"Normal")</f>
        <v>Normal</v>
      </c>
      <c r="G466" s="139"/>
      <c r="H466" s="139"/>
      <c r="I466" s="139">
        <f>IFERROR(__xludf.DUMMYFUNCTION("""COMPUTED_VALUE"""),77.0)</f>
        <v>77</v>
      </c>
      <c r="J466" s="139">
        <f>IFERROR(__xludf.DUMMYFUNCTION("""COMPUTED_VALUE"""),25.0)</f>
        <v>25</v>
      </c>
      <c r="K466" s="139">
        <f>IFERROR(__xludf.DUMMYFUNCTION("""COMPUTED_VALUE"""),75.0)</f>
        <v>75</v>
      </c>
      <c r="L466" s="139"/>
      <c r="M466" s="139" t="str">
        <f>IFERROR(__xludf.DUMMYFUNCTION("""COMPUTED_VALUE"""),"表示場所なし")</f>
        <v>表示場所なし</v>
      </c>
      <c r="N466" s="139"/>
    </row>
    <row r="467">
      <c r="A467" s="139" t="str">
        <f>IFERROR(__xludf.DUMMYFUNCTION("""COMPUTED_VALUE"""),"e")</f>
        <v>e</v>
      </c>
      <c r="B467" s="139">
        <f>IFERROR(__xludf.DUMMYFUNCTION("""COMPUTED_VALUE"""),2.0250901E8)</f>
        <v>202509010</v>
      </c>
      <c r="C467" s="139" t="str">
        <f>IFERROR(__xludf.DUMMYFUNCTION("""COMPUTED_VALUE"""),"chara_yuw_00001_Special_00001")</f>
        <v>chara_yuw_00001_Special_00001</v>
      </c>
      <c r="D467" s="139" t="str">
        <f>IFERROR(__xludf.DUMMYFUNCTION("""COMPUTED_VALUE"""),"chara_yuw_00001")</f>
        <v>chara_yuw_00001</v>
      </c>
      <c r="E467" s="139">
        <f>IFERROR(__xludf.DUMMYFUNCTION("""COMPUTED_VALUE"""),1.0)</f>
        <v>1</v>
      </c>
      <c r="F467" s="139" t="str">
        <f>IFERROR(__xludf.DUMMYFUNCTION("""COMPUTED_VALUE"""),"Special")</f>
        <v>Special</v>
      </c>
      <c r="G467" s="139" t="str">
        <f>IFERROR(__xludf.DUMMYFUNCTION("""COMPUTED_VALUE"""),"Blue")</f>
        <v>Blue</v>
      </c>
      <c r="H467" s="139">
        <f>IFERROR(__xludf.DUMMYFUNCTION("""COMPUTED_VALUE"""),120.0)</f>
        <v>120</v>
      </c>
      <c r="I467" s="139">
        <f>IFERROR(__xludf.DUMMYFUNCTION("""COMPUTED_VALUE"""),184.0)</f>
        <v>184</v>
      </c>
      <c r="J467" s="139">
        <f>IFERROR(__xludf.DUMMYFUNCTION("""COMPUTED_VALUE"""),122.0)</f>
        <v>122</v>
      </c>
      <c r="K467" s="139">
        <f>IFERROR(__xludf.DUMMYFUNCTION("""COMPUTED_VALUE"""),0.0)</f>
        <v>0</v>
      </c>
      <c r="L467" s="139"/>
      <c r="M467" s="139" t="str">
        <f>IFERROR(__xludf.DUMMYFUNCTION("""COMPUTED_VALUE"""),"敵複数体に自身の攻撃ステータスの50%のダメージ(敵が青属性の場合は60%のダメージ)")</f>
        <v>敵複数体に自身の攻撃ステータスの50%のダメージ(敵が青属性の場合は60%のダメージ)</v>
      </c>
      <c r="N467" s="139"/>
    </row>
    <row r="468">
      <c r="A468" s="139" t="str">
        <f>IFERROR(__xludf.DUMMYFUNCTION("""COMPUTED_VALUE"""),"e")</f>
        <v>e</v>
      </c>
      <c r="B468" s="139">
        <f>IFERROR(__xludf.DUMMYFUNCTION("""COMPUTED_VALUE"""),2.0250901E8)</f>
        <v>202509010</v>
      </c>
      <c r="C468" s="139" t="str">
        <f>IFERROR(__xludf.DUMMYFUNCTION("""COMPUTED_VALUE"""),"chara_yuw_00001_Special_00002")</f>
        <v>chara_yuw_00001_Special_00002</v>
      </c>
      <c r="D468" s="139" t="str">
        <f>IFERROR(__xludf.DUMMYFUNCTION("""COMPUTED_VALUE"""),"chara_yuw_00001")</f>
        <v>chara_yuw_00001</v>
      </c>
      <c r="E468" s="139">
        <f>IFERROR(__xludf.DUMMYFUNCTION("""COMPUTED_VALUE"""),2.0)</f>
        <v>2</v>
      </c>
      <c r="F468" s="139" t="str">
        <f>IFERROR(__xludf.DUMMYFUNCTION("""COMPUTED_VALUE"""),"Special")</f>
        <v>Special</v>
      </c>
      <c r="G468" s="139" t="str">
        <f>IFERROR(__xludf.DUMMYFUNCTION("""COMPUTED_VALUE"""),"Blue")</f>
        <v>Blue</v>
      </c>
      <c r="H468" s="139">
        <f>IFERROR(__xludf.DUMMYFUNCTION("""COMPUTED_VALUE"""),139.0)</f>
        <v>139</v>
      </c>
      <c r="I468" s="139">
        <f>IFERROR(__xludf.DUMMYFUNCTION("""COMPUTED_VALUE"""),184.0)</f>
        <v>184</v>
      </c>
      <c r="J468" s="139">
        <f>IFERROR(__xludf.DUMMYFUNCTION("""COMPUTED_VALUE"""),122.0)</f>
        <v>122</v>
      </c>
      <c r="K468" s="139">
        <f>IFERROR(__xludf.DUMMYFUNCTION("""COMPUTED_VALUE"""),0.0)</f>
        <v>0</v>
      </c>
      <c r="L468" s="139"/>
      <c r="M468" s="139" t="str">
        <f>IFERROR(__xludf.DUMMYFUNCTION("""COMPUTED_VALUE"""),"敵複数体に自身の攻撃ステータスの50%のダメージ(敵が青属性の場合は69.5%のダメージ)")</f>
        <v>敵複数体に自身の攻撃ステータスの50%のダメージ(敵が青属性の場合は69.5%のダメージ)</v>
      </c>
      <c r="N468" s="139" t="str">
        <f>IFERROR(__xludf.DUMMYFUNCTION("""COMPUTED_VALUE"""),"ステータスUP + 必殺ワザ性能UP")</f>
        <v>ステータスUP + 必殺ワザ性能UP</v>
      </c>
    </row>
    <row r="469">
      <c r="A469" s="139" t="str">
        <f>IFERROR(__xludf.DUMMYFUNCTION("""COMPUTED_VALUE"""),"e")</f>
        <v>e</v>
      </c>
      <c r="B469" s="139">
        <f>IFERROR(__xludf.DUMMYFUNCTION("""COMPUTED_VALUE"""),2.0250901E8)</f>
        <v>202509010</v>
      </c>
      <c r="C469" s="139" t="str">
        <f>IFERROR(__xludf.DUMMYFUNCTION("""COMPUTED_VALUE"""),"chara_yuw_00001_Special_00003")</f>
        <v>chara_yuw_00001_Special_00003</v>
      </c>
      <c r="D469" s="139" t="str">
        <f>IFERROR(__xludf.DUMMYFUNCTION("""COMPUTED_VALUE"""),"chara_yuw_00001")</f>
        <v>chara_yuw_00001</v>
      </c>
      <c r="E469" s="139">
        <f>IFERROR(__xludf.DUMMYFUNCTION("""COMPUTED_VALUE"""),3.0)</f>
        <v>3</v>
      </c>
      <c r="F469" s="139" t="str">
        <f>IFERROR(__xludf.DUMMYFUNCTION("""COMPUTED_VALUE"""),"Special")</f>
        <v>Special</v>
      </c>
      <c r="G469" s="139" t="str">
        <f>IFERROR(__xludf.DUMMYFUNCTION("""COMPUTED_VALUE"""),"Blue")</f>
        <v>Blue</v>
      </c>
      <c r="H469" s="139">
        <f>IFERROR(__xludf.DUMMYFUNCTION("""COMPUTED_VALUE"""),153.0)</f>
        <v>153</v>
      </c>
      <c r="I469" s="139">
        <f>IFERROR(__xludf.DUMMYFUNCTION("""COMPUTED_VALUE"""),184.0)</f>
        <v>184</v>
      </c>
      <c r="J469" s="139">
        <f>IFERROR(__xludf.DUMMYFUNCTION("""COMPUTED_VALUE"""),122.0)</f>
        <v>122</v>
      </c>
      <c r="K469" s="139">
        <f>IFERROR(__xludf.DUMMYFUNCTION("""COMPUTED_VALUE"""),0.0)</f>
        <v>0</v>
      </c>
      <c r="L469" s="139"/>
      <c r="M469" s="139" t="str">
        <f>IFERROR(__xludf.DUMMYFUNCTION("""COMPUTED_VALUE"""),"敵複数体に自身の攻撃ステータスの50%のダメージ(敵が青属性の場合は76.5%のダメージ)")</f>
        <v>敵複数体に自身の攻撃ステータスの50%のダメージ(敵が青属性の場合は76.5%のダメージ)</v>
      </c>
      <c r="N469" s="139" t="str">
        <f>IFERROR(__xludf.DUMMYFUNCTION("""COMPUTED_VALUE"""),"ステータスUP + 必殺ワザ性能UP")</f>
        <v>ステータスUP + 必殺ワザ性能UP</v>
      </c>
    </row>
    <row r="470">
      <c r="A470" s="139" t="str">
        <f>IFERROR(__xludf.DUMMYFUNCTION("""COMPUTED_VALUE"""),"e")</f>
        <v>e</v>
      </c>
      <c r="B470" s="139">
        <f>IFERROR(__xludf.DUMMYFUNCTION("""COMPUTED_VALUE"""),2.0250901E8)</f>
        <v>202509010</v>
      </c>
      <c r="C470" s="139" t="str">
        <f>IFERROR(__xludf.DUMMYFUNCTION("""COMPUTED_VALUE"""),"chara_yuw_00001_Special_00004")</f>
        <v>chara_yuw_00001_Special_00004</v>
      </c>
      <c r="D470" s="139" t="str">
        <f>IFERROR(__xludf.DUMMYFUNCTION("""COMPUTED_VALUE"""),"chara_yuw_00001")</f>
        <v>chara_yuw_00001</v>
      </c>
      <c r="E470" s="139">
        <f>IFERROR(__xludf.DUMMYFUNCTION("""COMPUTED_VALUE"""),4.0)</f>
        <v>4</v>
      </c>
      <c r="F470" s="139" t="str">
        <f>IFERROR(__xludf.DUMMYFUNCTION("""COMPUTED_VALUE"""),"Special")</f>
        <v>Special</v>
      </c>
      <c r="G470" s="139" t="str">
        <f>IFERROR(__xludf.DUMMYFUNCTION("""COMPUTED_VALUE"""),"Blue")</f>
        <v>Blue</v>
      </c>
      <c r="H470" s="139">
        <f>IFERROR(__xludf.DUMMYFUNCTION("""COMPUTED_VALUE"""),163.0)</f>
        <v>163</v>
      </c>
      <c r="I470" s="139">
        <f>IFERROR(__xludf.DUMMYFUNCTION("""COMPUTED_VALUE"""),184.0)</f>
        <v>184</v>
      </c>
      <c r="J470" s="139">
        <f>IFERROR(__xludf.DUMMYFUNCTION("""COMPUTED_VALUE"""),122.0)</f>
        <v>122</v>
      </c>
      <c r="K470" s="139">
        <f>IFERROR(__xludf.DUMMYFUNCTION("""COMPUTED_VALUE"""),0.0)</f>
        <v>0</v>
      </c>
      <c r="L470" s="139"/>
      <c r="M470" s="139" t="str">
        <f>IFERROR(__xludf.DUMMYFUNCTION("""COMPUTED_VALUE"""),"敵複数体に自身の攻撃ステータスの50%のダメージ(敵が青属性の場合は81.5%のダメージ)")</f>
        <v>敵複数体に自身の攻撃ステータスの50%のダメージ(敵が青属性の場合は81.5%のダメージ)</v>
      </c>
      <c r="N470" s="139" t="str">
        <f>IFERROR(__xludf.DUMMYFUNCTION("""COMPUTED_VALUE"""),"ステータスUP + 必殺ワザ性能UP")</f>
        <v>ステータスUP + 必殺ワザ性能UP</v>
      </c>
    </row>
    <row r="471">
      <c r="A471" s="139" t="str">
        <f>IFERROR(__xludf.DUMMYFUNCTION("""COMPUTED_VALUE"""),"e")</f>
        <v>e</v>
      </c>
      <c r="B471" s="139">
        <f>IFERROR(__xludf.DUMMYFUNCTION("""COMPUTED_VALUE"""),2.0250901E8)</f>
        <v>202509010</v>
      </c>
      <c r="C471" s="139" t="str">
        <f>IFERROR(__xludf.DUMMYFUNCTION("""COMPUTED_VALUE"""),"chara_yuw_00001_Special_00005")</f>
        <v>chara_yuw_00001_Special_00005</v>
      </c>
      <c r="D471" s="139" t="str">
        <f>IFERROR(__xludf.DUMMYFUNCTION("""COMPUTED_VALUE"""),"chara_yuw_00001")</f>
        <v>chara_yuw_00001</v>
      </c>
      <c r="E471" s="139">
        <f>IFERROR(__xludf.DUMMYFUNCTION("""COMPUTED_VALUE"""),5.0)</f>
        <v>5</v>
      </c>
      <c r="F471" s="139" t="str">
        <f>IFERROR(__xludf.DUMMYFUNCTION("""COMPUTED_VALUE"""),"Special")</f>
        <v>Special</v>
      </c>
      <c r="G471" s="139" t="str">
        <f>IFERROR(__xludf.DUMMYFUNCTION("""COMPUTED_VALUE"""),"Blue")</f>
        <v>Blue</v>
      </c>
      <c r="H471" s="139">
        <f>IFERROR(__xludf.DUMMYFUNCTION("""COMPUTED_VALUE"""),170.0)</f>
        <v>170</v>
      </c>
      <c r="I471" s="139">
        <f>IFERROR(__xludf.DUMMYFUNCTION("""COMPUTED_VALUE"""),184.0)</f>
        <v>184</v>
      </c>
      <c r="J471" s="139">
        <f>IFERROR(__xludf.DUMMYFUNCTION("""COMPUTED_VALUE"""),122.0)</f>
        <v>122</v>
      </c>
      <c r="K471" s="139">
        <f>IFERROR(__xludf.DUMMYFUNCTION("""COMPUTED_VALUE"""),0.0)</f>
        <v>0</v>
      </c>
      <c r="L471" s="139"/>
      <c r="M471" s="139" t="str">
        <f>IFERROR(__xludf.DUMMYFUNCTION("""COMPUTED_VALUE"""),"敵複数体に自身の攻撃ステータスの50%のダメージ(敵が青属性の場合は85%のダメージ)")</f>
        <v>敵複数体に自身の攻撃ステータスの50%のダメージ(敵が青属性の場合は85%のダメージ)</v>
      </c>
      <c r="N471" s="139" t="str">
        <f>IFERROR(__xludf.DUMMYFUNCTION("""COMPUTED_VALUE"""),"ステータスUP + 必殺ワザ性能UP")</f>
        <v>ステータスUP + 必殺ワザ性能UP</v>
      </c>
    </row>
    <row r="472">
      <c r="A472" s="139"/>
      <c r="B472" s="139"/>
      <c r="C472" s="139" t="str">
        <f>IFERROR(__xludf.DUMMYFUNCTION("""COMPUTED_VALUE"""),"chara_yuw_00001_Special_00006")</f>
        <v>chara_yuw_00001_Special_00006</v>
      </c>
      <c r="D472" s="139" t="str">
        <f>IFERROR(__xludf.DUMMYFUNCTION("""COMPUTED_VALUE"""),"chara_yuw_00001")</f>
        <v>chara_yuw_00001</v>
      </c>
      <c r="E472" s="139">
        <f>IFERROR(__xludf.DUMMYFUNCTION("""COMPUTED_VALUE"""),6.0)</f>
        <v>6</v>
      </c>
      <c r="F472" s="139" t="str">
        <f>IFERROR(__xludf.DUMMYFUNCTION("""COMPUTED_VALUE"""),"Special")</f>
        <v>Special</v>
      </c>
      <c r="G472" s="139" t="str">
        <f>IFERROR(__xludf.DUMMYFUNCTION("""COMPUTED_VALUE"""),"Blue")</f>
        <v>Blue</v>
      </c>
      <c r="H472" s="139">
        <f>IFERROR(__xludf.DUMMYFUNCTION("""COMPUTED_VALUE"""),170.0)</f>
        <v>170</v>
      </c>
      <c r="I472" s="139">
        <f>IFERROR(__xludf.DUMMYFUNCTION("""COMPUTED_VALUE"""),184.0)</f>
        <v>184</v>
      </c>
      <c r="J472" s="139">
        <f>IFERROR(__xludf.DUMMYFUNCTION("""COMPUTED_VALUE"""),122.0)</f>
        <v>122</v>
      </c>
      <c r="K472" s="139">
        <f>IFERROR(__xludf.DUMMYFUNCTION("""COMPUTED_VALUE"""),0.0)</f>
        <v>0</v>
      </c>
      <c r="L472" s="139"/>
      <c r="M472" s="139"/>
      <c r="N472" s="139"/>
    </row>
    <row r="473">
      <c r="A473" s="139"/>
      <c r="B473" s="139"/>
      <c r="C473" s="139" t="str">
        <f>IFERROR(__xludf.DUMMYFUNCTION("""COMPUTED_VALUE"""),"chara_yuw_00001_Special_00007")</f>
        <v>chara_yuw_00001_Special_00007</v>
      </c>
      <c r="D473" s="139" t="str">
        <f>IFERROR(__xludf.DUMMYFUNCTION("""COMPUTED_VALUE"""),"chara_yuw_00001")</f>
        <v>chara_yuw_00001</v>
      </c>
      <c r="E473" s="139">
        <f>IFERROR(__xludf.DUMMYFUNCTION("""COMPUTED_VALUE"""),7.0)</f>
        <v>7</v>
      </c>
      <c r="F473" s="139" t="str">
        <f>IFERROR(__xludf.DUMMYFUNCTION("""COMPUTED_VALUE"""),"Special")</f>
        <v>Special</v>
      </c>
      <c r="G473" s="139" t="str">
        <f>IFERROR(__xludf.DUMMYFUNCTION("""COMPUTED_VALUE"""),"Blue")</f>
        <v>Blue</v>
      </c>
      <c r="H473" s="139">
        <f>IFERROR(__xludf.DUMMYFUNCTION("""COMPUTED_VALUE"""),170.0)</f>
        <v>170</v>
      </c>
      <c r="I473" s="139">
        <f>IFERROR(__xludf.DUMMYFUNCTION("""COMPUTED_VALUE"""),184.0)</f>
        <v>184</v>
      </c>
      <c r="J473" s="139">
        <f>IFERROR(__xludf.DUMMYFUNCTION("""COMPUTED_VALUE"""),122.0)</f>
        <v>122</v>
      </c>
      <c r="K473" s="139">
        <f>IFERROR(__xludf.DUMMYFUNCTION("""COMPUTED_VALUE"""),0.0)</f>
        <v>0</v>
      </c>
      <c r="L473" s="139"/>
      <c r="M473" s="139"/>
      <c r="N473" s="139"/>
    </row>
    <row r="474">
      <c r="A474" s="139"/>
      <c r="B474" s="139"/>
      <c r="C474" s="139" t="str">
        <f>IFERROR(__xludf.DUMMYFUNCTION("""COMPUTED_VALUE"""),"chara_yuw_00001_Special_00008")</f>
        <v>chara_yuw_00001_Special_00008</v>
      </c>
      <c r="D474" s="139" t="str">
        <f>IFERROR(__xludf.DUMMYFUNCTION("""COMPUTED_VALUE"""),"chara_yuw_00001")</f>
        <v>chara_yuw_00001</v>
      </c>
      <c r="E474" s="139">
        <f>IFERROR(__xludf.DUMMYFUNCTION("""COMPUTED_VALUE"""),8.0)</f>
        <v>8</v>
      </c>
      <c r="F474" s="139" t="str">
        <f>IFERROR(__xludf.DUMMYFUNCTION("""COMPUTED_VALUE"""),"Special")</f>
        <v>Special</v>
      </c>
      <c r="G474" s="139" t="str">
        <f>IFERROR(__xludf.DUMMYFUNCTION("""COMPUTED_VALUE"""),"Blue")</f>
        <v>Blue</v>
      </c>
      <c r="H474" s="139">
        <f>IFERROR(__xludf.DUMMYFUNCTION("""COMPUTED_VALUE"""),170.0)</f>
        <v>170</v>
      </c>
      <c r="I474" s="139">
        <f>IFERROR(__xludf.DUMMYFUNCTION("""COMPUTED_VALUE"""),184.0)</f>
        <v>184</v>
      </c>
      <c r="J474" s="139">
        <f>IFERROR(__xludf.DUMMYFUNCTION("""COMPUTED_VALUE"""),122.0)</f>
        <v>122</v>
      </c>
      <c r="K474" s="139">
        <f>IFERROR(__xludf.DUMMYFUNCTION("""COMPUTED_VALUE"""),0.0)</f>
        <v>0</v>
      </c>
      <c r="L474" s="139"/>
      <c r="M474" s="139"/>
      <c r="N474" s="139"/>
    </row>
    <row r="475">
      <c r="A475" s="139"/>
      <c r="B475" s="139"/>
      <c r="C475" s="139" t="str">
        <f>IFERROR(__xludf.DUMMYFUNCTION("""COMPUTED_VALUE"""),"chara_yuw_00001_Special_00009")</f>
        <v>chara_yuw_00001_Special_00009</v>
      </c>
      <c r="D475" s="139" t="str">
        <f>IFERROR(__xludf.DUMMYFUNCTION("""COMPUTED_VALUE"""),"chara_yuw_00001")</f>
        <v>chara_yuw_00001</v>
      </c>
      <c r="E475" s="139">
        <f>IFERROR(__xludf.DUMMYFUNCTION("""COMPUTED_VALUE"""),9.0)</f>
        <v>9</v>
      </c>
      <c r="F475" s="139" t="str">
        <f>IFERROR(__xludf.DUMMYFUNCTION("""COMPUTED_VALUE"""),"Special")</f>
        <v>Special</v>
      </c>
      <c r="G475" s="139" t="str">
        <f>IFERROR(__xludf.DUMMYFUNCTION("""COMPUTED_VALUE"""),"Blue")</f>
        <v>Blue</v>
      </c>
      <c r="H475" s="139">
        <f>IFERROR(__xludf.DUMMYFUNCTION("""COMPUTED_VALUE"""),170.0)</f>
        <v>170</v>
      </c>
      <c r="I475" s="139">
        <f>IFERROR(__xludf.DUMMYFUNCTION("""COMPUTED_VALUE"""),184.0)</f>
        <v>184</v>
      </c>
      <c r="J475" s="139">
        <f>IFERROR(__xludf.DUMMYFUNCTION("""COMPUTED_VALUE"""),122.0)</f>
        <v>122</v>
      </c>
      <c r="K475" s="139">
        <f>IFERROR(__xludf.DUMMYFUNCTION("""COMPUTED_VALUE"""),0.0)</f>
        <v>0</v>
      </c>
      <c r="L475" s="139"/>
      <c r="M475" s="139"/>
      <c r="N475" s="139"/>
    </row>
    <row r="476">
      <c r="A476" s="139"/>
      <c r="B476" s="139"/>
      <c r="C476" s="139" t="str">
        <f>IFERROR(__xludf.DUMMYFUNCTION("""COMPUTED_VALUE"""),"chara_yuw_00001_Special_00010")</f>
        <v>chara_yuw_00001_Special_00010</v>
      </c>
      <c r="D476" s="139" t="str">
        <f>IFERROR(__xludf.DUMMYFUNCTION("""COMPUTED_VALUE"""),"chara_yuw_00001")</f>
        <v>chara_yuw_00001</v>
      </c>
      <c r="E476" s="139">
        <f>IFERROR(__xludf.DUMMYFUNCTION("""COMPUTED_VALUE"""),10.0)</f>
        <v>10</v>
      </c>
      <c r="F476" s="139" t="str">
        <f>IFERROR(__xludf.DUMMYFUNCTION("""COMPUTED_VALUE"""),"Special")</f>
        <v>Special</v>
      </c>
      <c r="G476" s="139" t="str">
        <f>IFERROR(__xludf.DUMMYFUNCTION("""COMPUTED_VALUE"""),"Blue")</f>
        <v>Blue</v>
      </c>
      <c r="H476" s="139">
        <f>IFERROR(__xludf.DUMMYFUNCTION("""COMPUTED_VALUE"""),170.0)</f>
        <v>170</v>
      </c>
      <c r="I476" s="139">
        <f>IFERROR(__xludf.DUMMYFUNCTION("""COMPUTED_VALUE"""),184.0)</f>
        <v>184</v>
      </c>
      <c r="J476" s="139">
        <f>IFERROR(__xludf.DUMMYFUNCTION("""COMPUTED_VALUE"""),122.0)</f>
        <v>122</v>
      </c>
      <c r="K476" s="139">
        <f>IFERROR(__xludf.DUMMYFUNCTION("""COMPUTED_VALUE"""),0.0)</f>
        <v>0</v>
      </c>
      <c r="L476" s="139"/>
      <c r="M476" s="139"/>
      <c r="N476" s="139"/>
    </row>
    <row r="477">
      <c r="A477" s="139" t="str">
        <f>IFERROR(__xludf.DUMMYFUNCTION("""COMPUTED_VALUE"""),"e")</f>
        <v>e</v>
      </c>
      <c r="B477" s="139">
        <f>IFERROR(__xludf.DUMMYFUNCTION("""COMPUTED_VALUE"""),2.0250901E8)</f>
        <v>202509010</v>
      </c>
      <c r="C477" s="139" t="str">
        <f>IFERROR(__xludf.DUMMYFUNCTION("""COMPUTED_VALUE"""),"chara_yuw_00101_Normal_00000")</f>
        <v>chara_yuw_00101_Normal_00000</v>
      </c>
      <c r="D477" s="139" t="str">
        <f>IFERROR(__xludf.DUMMYFUNCTION("""COMPUTED_VALUE"""),"chara_yuw_00101")</f>
        <v>chara_yuw_00101</v>
      </c>
      <c r="E477" s="139">
        <f>IFERROR(__xludf.DUMMYFUNCTION("""COMPUTED_VALUE"""),0.0)</f>
        <v>0</v>
      </c>
      <c r="F477" s="139" t="str">
        <f>IFERROR(__xludf.DUMMYFUNCTION("""COMPUTED_VALUE"""),"Normal")</f>
        <v>Normal</v>
      </c>
      <c r="G477" s="139"/>
      <c r="H477" s="139"/>
      <c r="I477" s="139">
        <f>IFERROR(__xludf.DUMMYFUNCTION("""COMPUTED_VALUE"""),75.0)</f>
        <v>75</v>
      </c>
      <c r="J477" s="139">
        <f>IFERROR(__xludf.DUMMYFUNCTION("""COMPUTED_VALUE"""),0.0)</f>
        <v>0</v>
      </c>
      <c r="K477" s="139">
        <f>IFERROR(__xludf.DUMMYFUNCTION("""COMPUTED_VALUE"""),50.0)</f>
        <v>50</v>
      </c>
      <c r="L477" s="139"/>
      <c r="M477" s="139" t="str">
        <f>IFERROR(__xludf.DUMMYFUNCTION("""COMPUTED_VALUE"""),"表示場所なし")</f>
        <v>表示場所なし</v>
      </c>
      <c r="N477" s="139"/>
    </row>
    <row r="478">
      <c r="A478" s="139" t="str">
        <f>IFERROR(__xludf.DUMMYFUNCTION("""COMPUTED_VALUE"""),"e")</f>
        <v>e</v>
      </c>
      <c r="B478" s="139">
        <f>IFERROR(__xludf.DUMMYFUNCTION("""COMPUTED_VALUE"""),2.0250901E8)</f>
        <v>202509010</v>
      </c>
      <c r="C478" s="139" t="str">
        <f>IFERROR(__xludf.DUMMYFUNCTION("""COMPUTED_VALUE"""),"chara_yuw_00101_Special_00001")</f>
        <v>chara_yuw_00101_Special_00001</v>
      </c>
      <c r="D478" s="139" t="str">
        <f>IFERROR(__xludf.DUMMYFUNCTION("""COMPUTED_VALUE"""),"chara_yuw_00101")</f>
        <v>chara_yuw_00101</v>
      </c>
      <c r="E478" s="139">
        <f>IFERROR(__xludf.DUMMYFUNCTION("""COMPUTED_VALUE"""),1.0)</f>
        <v>1</v>
      </c>
      <c r="F478" s="139" t="str">
        <f>IFERROR(__xludf.DUMMYFUNCTION("""COMPUTED_VALUE"""),"Special")</f>
        <v>Special</v>
      </c>
      <c r="G478" s="139"/>
      <c r="H478" s="139"/>
      <c r="I478" s="139">
        <f>IFERROR(__xludf.DUMMYFUNCTION("""COMPUTED_VALUE"""),175.0)</f>
        <v>175</v>
      </c>
      <c r="J478" s="139">
        <f>IFERROR(__xludf.DUMMYFUNCTION("""COMPUTED_VALUE"""),160.0)</f>
        <v>160</v>
      </c>
      <c r="K478" s="139">
        <f>IFERROR(__xludf.DUMMYFUNCTION("""COMPUTED_VALUE"""),0.0)</f>
        <v>0</v>
      </c>
      <c r="L478" s="139"/>
      <c r="M478" s="139" t="str">
        <f>IFERROR(__xludf.DUMMYFUNCTION("""COMPUTED_VALUE"""),"敵複数体に自身の攻撃ステータスの65%のダメージ + 攻撃がヒットした場合、敵の攻撃を12.2秒間、10%DOWN")</f>
        <v>敵複数体に自身の攻撃ステータスの65%のダメージ + 攻撃がヒットした場合、敵の攻撃を12.2秒間、10%DOWN</v>
      </c>
      <c r="N478" s="139"/>
    </row>
    <row r="479">
      <c r="A479" s="139" t="str">
        <f>IFERROR(__xludf.DUMMYFUNCTION("""COMPUTED_VALUE"""),"e")</f>
        <v>e</v>
      </c>
      <c r="B479" s="139">
        <f>IFERROR(__xludf.DUMMYFUNCTION("""COMPUTED_VALUE"""),2.0250901E8)</f>
        <v>202509010</v>
      </c>
      <c r="C479" s="139" t="str">
        <f>IFERROR(__xludf.DUMMYFUNCTION("""COMPUTED_VALUE"""),"chara_yuw_00101_Special_00002")</f>
        <v>chara_yuw_00101_Special_00002</v>
      </c>
      <c r="D479" s="139" t="str">
        <f>IFERROR(__xludf.DUMMYFUNCTION("""COMPUTED_VALUE"""),"chara_yuw_00101")</f>
        <v>chara_yuw_00101</v>
      </c>
      <c r="E479" s="139">
        <f>IFERROR(__xludf.DUMMYFUNCTION("""COMPUTED_VALUE"""),2.0)</f>
        <v>2</v>
      </c>
      <c r="F479" s="139" t="str">
        <f>IFERROR(__xludf.DUMMYFUNCTION("""COMPUTED_VALUE"""),"Special")</f>
        <v>Special</v>
      </c>
      <c r="G479" s="139"/>
      <c r="H479" s="139"/>
      <c r="I479" s="139">
        <f>IFERROR(__xludf.DUMMYFUNCTION("""COMPUTED_VALUE"""),175.0)</f>
        <v>175</v>
      </c>
      <c r="J479" s="139">
        <f>IFERROR(__xludf.DUMMYFUNCTION("""COMPUTED_VALUE"""),160.0)</f>
        <v>160</v>
      </c>
      <c r="K479" s="139">
        <f>IFERROR(__xludf.DUMMYFUNCTION("""COMPUTED_VALUE"""),0.0)</f>
        <v>0</v>
      </c>
      <c r="L479" s="139"/>
      <c r="M479" s="139" t="str">
        <f>IFERROR(__xludf.DUMMYFUNCTION("""COMPUTED_VALUE"""),"敵複数体に自身の攻撃ステータスの65%のダメージ + 攻撃がヒットした場合、敵の攻撃を13.4秒間、11%DOWN")</f>
        <v>敵複数体に自身の攻撃ステータスの65%のダメージ + 攻撃がヒットした場合、敵の攻撃を13.4秒間、11%DOWN</v>
      </c>
      <c r="N479" s="139" t="str">
        <f>IFERROR(__xludf.DUMMYFUNCTION("""COMPUTED_VALUE"""),"ステータスUP + 必殺ワザ性能UP")</f>
        <v>ステータスUP + 必殺ワザ性能UP</v>
      </c>
    </row>
    <row r="480">
      <c r="A480" s="139" t="str">
        <f>IFERROR(__xludf.DUMMYFUNCTION("""COMPUTED_VALUE"""),"e")</f>
        <v>e</v>
      </c>
      <c r="B480" s="139">
        <f>IFERROR(__xludf.DUMMYFUNCTION("""COMPUTED_VALUE"""),2.0250901E8)</f>
        <v>202509010</v>
      </c>
      <c r="C480" s="139" t="str">
        <f>IFERROR(__xludf.DUMMYFUNCTION("""COMPUTED_VALUE"""),"chara_yuw_00101_Special_00003")</f>
        <v>chara_yuw_00101_Special_00003</v>
      </c>
      <c r="D480" s="139" t="str">
        <f>IFERROR(__xludf.DUMMYFUNCTION("""COMPUTED_VALUE"""),"chara_yuw_00101")</f>
        <v>chara_yuw_00101</v>
      </c>
      <c r="E480" s="139">
        <f>IFERROR(__xludf.DUMMYFUNCTION("""COMPUTED_VALUE"""),3.0)</f>
        <v>3</v>
      </c>
      <c r="F480" s="139" t="str">
        <f>IFERROR(__xludf.DUMMYFUNCTION("""COMPUTED_VALUE"""),"Special")</f>
        <v>Special</v>
      </c>
      <c r="G480" s="139"/>
      <c r="H480" s="139"/>
      <c r="I480" s="139">
        <f>IFERROR(__xludf.DUMMYFUNCTION("""COMPUTED_VALUE"""),175.0)</f>
        <v>175</v>
      </c>
      <c r="J480" s="139">
        <f>IFERROR(__xludf.DUMMYFUNCTION("""COMPUTED_VALUE"""),160.0)</f>
        <v>160</v>
      </c>
      <c r="K480" s="139">
        <f>IFERROR(__xludf.DUMMYFUNCTION("""COMPUTED_VALUE"""),0.0)</f>
        <v>0</v>
      </c>
      <c r="L480" s="139"/>
      <c r="M480" s="139" t="str">
        <f>IFERROR(__xludf.DUMMYFUNCTION("""COMPUTED_VALUE"""),"敵複数体に自身の攻撃ステータスの65%のダメージ + 攻撃がヒットした場合、敵の攻撃を14.1秒間、11%DOWN")</f>
        <v>敵複数体に自身の攻撃ステータスの65%のダメージ + 攻撃がヒットした場合、敵の攻撃を14.1秒間、11%DOWN</v>
      </c>
      <c r="N480" s="139" t="str">
        <f>IFERROR(__xludf.DUMMYFUNCTION("""COMPUTED_VALUE"""),"ステータスUP + 必殺ワザ性能UP")</f>
        <v>ステータスUP + 必殺ワザ性能UP</v>
      </c>
    </row>
    <row r="481">
      <c r="A481" s="139" t="str">
        <f>IFERROR(__xludf.DUMMYFUNCTION("""COMPUTED_VALUE"""),"e")</f>
        <v>e</v>
      </c>
      <c r="B481" s="139">
        <f>IFERROR(__xludf.DUMMYFUNCTION("""COMPUTED_VALUE"""),2.0250901E8)</f>
        <v>202509010</v>
      </c>
      <c r="C481" s="139" t="str">
        <f>IFERROR(__xludf.DUMMYFUNCTION("""COMPUTED_VALUE"""),"chara_yuw_00101_Special_00004")</f>
        <v>chara_yuw_00101_Special_00004</v>
      </c>
      <c r="D481" s="139" t="str">
        <f>IFERROR(__xludf.DUMMYFUNCTION("""COMPUTED_VALUE"""),"chara_yuw_00101")</f>
        <v>chara_yuw_00101</v>
      </c>
      <c r="E481" s="139">
        <f>IFERROR(__xludf.DUMMYFUNCTION("""COMPUTED_VALUE"""),4.0)</f>
        <v>4</v>
      </c>
      <c r="F481" s="139" t="str">
        <f>IFERROR(__xludf.DUMMYFUNCTION("""COMPUTED_VALUE"""),"Special")</f>
        <v>Special</v>
      </c>
      <c r="G481" s="139"/>
      <c r="H481" s="139"/>
      <c r="I481" s="139">
        <f>IFERROR(__xludf.DUMMYFUNCTION("""COMPUTED_VALUE"""),175.0)</f>
        <v>175</v>
      </c>
      <c r="J481" s="139">
        <f>IFERROR(__xludf.DUMMYFUNCTION("""COMPUTED_VALUE"""),160.0)</f>
        <v>160</v>
      </c>
      <c r="K481" s="139">
        <f>IFERROR(__xludf.DUMMYFUNCTION("""COMPUTED_VALUE"""),0.0)</f>
        <v>0</v>
      </c>
      <c r="L481" s="139"/>
      <c r="M481" s="139" t="str">
        <f>IFERROR(__xludf.DUMMYFUNCTION("""COMPUTED_VALUE"""),"敵複数体に自身の攻撃ステータスの65%のダメージ + 攻撃がヒットした場合、敵の攻撃を14.7秒間、12%DOWN")</f>
        <v>敵複数体に自身の攻撃ステータスの65%のダメージ + 攻撃がヒットした場合、敵の攻撃を14.7秒間、12%DOWN</v>
      </c>
      <c r="N481" s="139" t="str">
        <f>IFERROR(__xludf.DUMMYFUNCTION("""COMPUTED_VALUE"""),"ステータスUP + 必殺ワザ性能UP")</f>
        <v>ステータスUP + 必殺ワザ性能UP</v>
      </c>
    </row>
    <row r="482">
      <c r="A482" s="139" t="str">
        <f>IFERROR(__xludf.DUMMYFUNCTION("""COMPUTED_VALUE"""),"e")</f>
        <v>e</v>
      </c>
      <c r="B482" s="139">
        <f>IFERROR(__xludf.DUMMYFUNCTION("""COMPUTED_VALUE"""),2.0250901E8)</f>
        <v>202509010</v>
      </c>
      <c r="C482" s="139" t="str">
        <f>IFERROR(__xludf.DUMMYFUNCTION("""COMPUTED_VALUE"""),"chara_yuw_00101_Special_00005")</f>
        <v>chara_yuw_00101_Special_00005</v>
      </c>
      <c r="D482" s="139" t="str">
        <f>IFERROR(__xludf.DUMMYFUNCTION("""COMPUTED_VALUE"""),"chara_yuw_00101")</f>
        <v>chara_yuw_00101</v>
      </c>
      <c r="E482" s="139">
        <f>IFERROR(__xludf.DUMMYFUNCTION("""COMPUTED_VALUE"""),5.0)</f>
        <v>5</v>
      </c>
      <c r="F482" s="139" t="str">
        <f>IFERROR(__xludf.DUMMYFUNCTION("""COMPUTED_VALUE"""),"Special")</f>
        <v>Special</v>
      </c>
      <c r="G482" s="139"/>
      <c r="H482" s="139"/>
      <c r="I482" s="139">
        <f>IFERROR(__xludf.DUMMYFUNCTION("""COMPUTED_VALUE"""),175.0)</f>
        <v>175</v>
      </c>
      <c r="J482" s="139">
        <f>IFERROR(__xludf.DUMMYFUNCTION("""COMPUTED_VALUE"""),160.0)</f>
        <v>160</v>
      </c>
      <c r="K482" s="139">
        <f>IFERROR(__xludf.DUMMYFUNCTION("""COMPUTED_VALUE"""),0.0)</f>
        <v>0</v>
      </c>
      <c r="L482" s="139"/>
      <c r="M482" s="139" t="str">
        <f>IFERROR(__xludf.DUMMYFUNCTION("""COMPUTED_VALUE"""),"敵複数体に自身の攻撃ステータスの65%のダメージ + 攻撃がヒットした場合、敵の攻撃を15秒間、12%DOWN")</f>
        <v>敵複数体に自身の攻撃ステータスの65%のダメージ + 攻撃がヒットした場合、敵の攻撃を15秒間、12%DOWN</v>
      </c>
      <c r="N482" s="139" t="str">
        <f>IFERROR(__xludf.DUMMYFUNCTION("""COMPUTED_VALUE"""),"ステータスUP + 必殺ワザ性能UP")</f>
        <v>ステータスUP + 必殺ワザ性能UP</v>
      </c>
    </row>
    <row r="483">
      <c r="A483" s="139"/>
      <c r="B483" s="139"/>
      <c r="C483" s="139" t="str">
        <f>IFERROR(__xludf.DUMMYFUNCTION("""COMPUTED_VALUE"""),"chara_yuw_00101_Special_00006")</f>
        <v>chara_yuw_00101_Special_00006</v>
      </c>
      <c r="D483" s="139" t="str">
        <f>IFERROR(__xludf.DUMMYFUNCTION("""COMPUTED_VALUE"""),"chara_yuw_00101")</f>
        <v>chara_yuw_00101</v>
      </c>
      <c r="E483" s="139">
        <f>IFERROR(__xludf.DUMMYFUNCTION("""COMPUTED_VALUE"""),6.0)</f>
        <v>6</v>
      </c>
      <c r="F483" s="139" t="str">
        <f>IFERROR(__xludf.DUMMYFUNCTION("""COMPUTED_VALUE"""),"Special")</f>
        <v>Special</v>
      </c>
      <c r="G483" s="139"/>
      <c r="H483" s="139"/>
      <c r="I483" s="139">
        <f>IFERROR(__xludf.DUMMYFUNCTION("""COMPUTED_VALUE"""),175.0)</f>
        <v>175</v>
      </c>
      <c r="J483" s="139">
        <f>IFERROR(__xludf.DUMMYFUNCTION("""COMPUTED_VALUE"""),160.0)</f>
        <v>160</v>
      </c>
      <c r="K483" s="139">
        <f>IFERROR(__xludf.DUMMYFUNCTION("""COMPUTED_VALUE"""),0.0)</f>
        <v>0</v>
      </c>
      <c r="L483" s="139"/>
      <c r="M483" s="139"/>
      <c r="N483" s="139"/>
    </row>
    <row r="484">
      <c r="A484" s="139"/>
      <c r="B484" s="139"/>
      <c r="C484" s="139" t="str">
        <f>IFERROR(__xludf.DUMMYFUNCTION("""COMPUTED_VALUE"""),"chara_yuw_00101_Special_00007")</f>
        <v>chara_yuw_00101_Special_00007</v>
      </c>
      <c r="D484" s="139" t="str">
        <f>IFERROR(__xludf.DUMMYFUNCTION("""COMPUTED_VALUE"""),"chara_yuw_00101")</f>
        <v>chara_yuw_00101</v>
      </c>
      <c r="E484" s="139">
        <f>IFERROR(__xludf.DUMMYFUNCTION("""COMPUTED_VALUE"""),7.0)</f>
        <v>7</v>
      </c>
      <c r="F484" s="139" t="str">
        <f>IFERROR(__xludf.DUMMYFUNCTION("""COMPUTED_VALUE"""),"Special")</f>
        <v>Special</v>
      </c>
      <c r="G484" s="139"/>
      <c r="H484" s="139"/>
      <c r="I484" s="139">
        <f>IFERROR(__xludf.DUMMYFUNCTION("""COMPUTED_VALUE"""),175.0)</f>
        <v>175</v>
      </c>
      <c r="J484" s="139">
        <f>IFERROR(__xludf.DUMMYFUNCTION("""COMPUTED_VALUE"""),160.0)</f>
        <v>160</v>
      </c>
      <c r="K484" s="139">
        <f>IFERROR(__xludf.DUMMYFUNCTION("""COMPUTED_VALUE"""),0.0)</f>
        <v>0</v>
      </c>
      <c r="L484" s="139"/>
      <c r="M484" s="139"/>
      <c r="N484" s="139"/>
    </row>
    <row r="485">
      <c r="A485" s="139"/>
      <c r="B485" s="139"/>
      <c r="C485" s="139" t="str">
        <f>IFERROR(__xludf.DUMMYFUNCTION("""COMPUTED_VALUE"""),"chara_yuw_00101_Special_00008")</f>
        <v>chara_yuw_00101_Special_00008</v>
      </c>
      <c r="D485" s="139" t="str">
        <f>IFERROR(__xludf.DUMMYFUNCTION("""COMPUTED_VALUE"""),"chara_yuw_00101")</f>
        <v>chara_yuw_00101</v>
      </c>
      <c r="E485" s="139">
        <f>IFERROR(__xludf.DUMMYFUNCTION("""COMPUTED_VALUE"""),8.0)</f>
        <v>8</v>
      </c>
      <c r="F485" s="139" t="str">
        <f>IFERROR(__xludf.DUMMYFUNCTION("""COMPUTED_VALUE"""),"Special")</f>
        <v>Special</v>
      </c>
      <c r="G485" s="139"/>
      <c r="H485" s="139"/>
      <c r="I485" s="139">
        <f>IFERROR(__xludf.DUMMYFUNCTION("""COMPUTED_VALUE"""),175.0)</f>
        <v>175</v>
      </c>
      <c r="J485" s="139">
        <f>IFERROR(__xludf.DUMMYFUNCTION("""COMPUTED_VALUE"""),160.0)</f>
        <v>160</v>
      </c>
      <c r="K485" s="139">
        <f>IFERROR(__xludf.DUMMYFUNCTION("""COMPUTED_VALUE"""),0.0)</f>
        <v>0</v>
      </c>
      <c r="L485" s="139"/>
      <c r="M485" s="139"/>
      <c r="N485" s="139"/>
    </row>
    <row r="486">
      <c r="A486" s="139"/>
      <c r="B486" s="139"/>
      <c r="C486" s="139" t="str">
        <f>IFERROR(__xludf.DUMMYFUNCTION("""COMPUTED_VALUE"""),"chara_yuw_00101_Special_00009")</f>
        <v>chara_yuw_00101_Special_00009</v>
      </c>
      <c r="D486" s="139" t="str">
        <f>IFERROR(__xludf.DUMMYFUNCTION("""COMPUTED_VALUE"""),"chara_yuw_00101")</f>
        <v>chara_yuw_00101</v>
      </c>
      <c r="E486" s="139">
        <f>IFERROR(__xludf.DUMMYFUNCTION("""COMPUTED_VALUE"""),9.0)</f>
        <v>9</v>
      </c>
      <c r="F486" s="139" t="str">
        <f>IFERROR(__xludf.DUMMYFUNCTION("""COMPUTED_VALUE"""),"Special")</f>
        <v>Special</v>
      </c>
      <c r="G486" s="139"/>
      <c r="H486" s="139"/>
      <c r="I486" s="139">
        <f>IFERROR(__xludf.DUMMYFUNCTION("""COMPUTED_VALUE"""),175.0)</f>
        <v>175</v>
      </c>
      <c r="J486" s="139">
        <f>IFERROR(__xludf.DUMMYFUNCTION("""COMPUTED_VALUE"""),160.0)</f>
        <v>160</v>
      </c>
      <c r="K486" s="139">
        <f>IFERROR(__xludf.DUMMYFUNCTION("""COMPUTED_VALUE"""),0.0)</f>
        <v>0</v>
      </c>
      <c r="L486" s="139"/>
      <c r="M486" s="139"/>
      <c r="N486" s="139"/>
    </row>
    <row r="487">
      <c r="A487" s="139"/>
      <c r="B487" s="139"/>
      <c r="C487" s="139" t="str">
        <f>IFERROR(__xludf.DUMMYFUNCTION("""COMPUTED_VALUE"""),"chara_yuw_00101_Special_00010")</f>
        <v>chara_yuw_00101_Special_00010</v>
      </c>
      <c r="D487" s="139" t="str">
        <f>IFERROR(__xludf.DUMMYFUNCTION("""COMPUTED_VALUE"""),"chara_yuw_00101")</f>
        <v>chara_yuw_00101</v>
      </c>
      <c r="E487" s="139">
        <f>IFERROR(__xludf.DUMMYFUNCTION("""COMPUTED_VALUE"""),10.0)</f>
        <v>10</v>
      </c>
      <c r="F487" s="139" t="str">
        <f>IFERROR(__xludf.DUMMYFUNCTION("""COMPUTED_VALUE"""),"Special")</f>
        <v>Special</v>
      </c>
      <c r="G487" s="139"/>
      <c r="H487" s="139"/>
      <c r="I487" s="139">
        <f>IFERROR(__xludf.DUMMYFUNCTION("""COMPUTED_VALUE"""),175.0)</f>
        <v>175</v>
      </c>
      <c r="J487" s="139">
        <f>IFERROR(__xludf.DUMMYFUNCTION("""COMPUTED_VALUE"""),160.0)</f>
        <v>160</v>
      </c>
      <c r="K487" s="139">
        <f>IFERROR(__xludf.DUMMYFUNCTION("""COMPUTED_VALUE"""),0.0)</f>
        <v>0</v>
      </c>
      <c r="L487" s="139"/>
      <c r="M487" s="139"/>
      <c r="N487" s="139"/>
    </row>
    <row r="488">
      <c r="A488" s="139" t="str">
        <f>IFERROR(__xludf.DUMMYFUNCTION("""COMPUTED_VALUE"""),"e")</f>
        <v>e</v>
      </c>
      <c r="B488" s="139">
        <f>IFERROR(__xludf.DUMMYFUNCTION("""COMPUTED_VALUE"""),2.0250901E8)</f>
        <v>202509010</v>
      </c>
      <c r="C488" s="139" t="str">
        <f>IFERROR(__xludf.DUMMYFUNCTION("""COMPUTED_VALUE"""),"chara_aha_00001_Normal_00000")</f>
        <v>chara_aha_00001_Normal_00000</v>
      </c>
      <c r="D488" s="139" t="str">
        <f>IFERROR(__xludf.DUMMYFUNCTION("""COMPUTED_VALUE"""),"chara_aha_00001")</f>
        <v>chara_aha_00001</v>
      </c>
      <c r="E488" s="139">
        <f>IFERROR(__xludf.DUMMYFUNCTION("""COMPUTED_VALUE"""),0.0)</f>
        <v>0</v>
      </c>
      <c r="F488" s="139" t="str">
        <f>IFERROR(__xludf.DUMMYFUNCTION("""COMPUTED_VALUE"""),"Normal")</f>
        <v>Normal</v>
      </c>
      <c r="G488" s="139"/>
      <c r="H488" s="139"/>
      <c r="I488" s="139">
        <f>IFERROR(__xludf.DUMMYFUNCTION("""COMPUTED_VALUE"""),96.0)</f>
        <v>96</v>
      </c>
      <c r="J488" s="139">
        <f>IFERROR(__xludf.DUMMYFUNCTION("""COMPUTED_VALUE"""),34.0)</f>
        <v>34</v>
      </c>
      <c r="K488" s="139">
        <f>IFERROR(__xludf.DUMMYFUNCTION("""COMPUTED_VALUE"""),100.0)</f>
        <v>100</v>
      </c>
      <c r="L488" s="139"/>
      <c r="M488" s="139" t="str">
        <f>IFERROR(__xludf.DUMMYFUNCTION("""COMPUTED_VALUE"""),"表示場所なし")</f>
        <v>表示場所なし</v>
      </c>
      <c r="N488" s="139"/>
    </row>
    <row r="489">
      <c r="A489" s="139" t="str">
        <f>IFERROR(__xludf.DUMMYFUNCTION("""COMPUTED_VALUE"""),"e")</f>
        <v>e</v>
      </c>
      <c r="B489" s="139">
        <f>IFERROR(__xludf.DUMMYFUNCTION("""COMPUTED_VALUE"""),2.0250901E8)</f>
        <v>202509010</v>
      </c>
      <c r="C489" s="139" t="str">
        <f>IFERROR(__xludf.DUMMYFUNCTION("""COMPUTED_VALUE"""),"chara_aha_00001_Special_00001")</f>
        <v>chara_aha_00001_Special_00001</v>
      </c>
      <c r="D489" s="139" t="str">
        <f>IFERROR(__xludf.DUMMYFUNCTION("""COMPUTED_VALUE"""),"chara_aha_00001")</f>
        <v>chara_aha_00001</v>
      </c>
      <c r="E489" s="139">
        <f>IFERROR(__xludf.DUMMYFUNCTION("""COMPUTED_VALUE"""),1.0)</f>
        <v>1</v>
      </c>
      <c r="F489" s="139" t="str">
        <f>IFERROR(__xludf.DUMMYFUNCTION("""COMPUTED_VALUE"""),"Special")</f>
        <v>Special</v>
      </c>
      <c r="G489" s="139"/>
      <c r="H489" s="139"/>
      <c r="I489" s="139">
        <f>IFERROR(__xludf.DUMMYFUNCTION("""COMPUTED_VALUE"""),134.0)</f>
        <v>134</v>
      </c>
      <c r="J489" s="139">
        <f>IFERROR(__xludf.DUMMYFUNCTION("""COMPUTED_VALUE"""),53.0)</f>
        <v>53</v>
      </c>
      <c r="K489" s="139">
        <f>IFERROR(__xludf.DUMMYFUNCTION("""COMPUTED_VALUE"""),0.0)</f>
        <v>0</v>
      </c>
      <c r="L489" s="139"/>
      <c r="M489" s="139" t="str">
        <f>IFERROR(__xludf.DUMMYFUNCTION("""COMPUTED_VALUE"""),"敵単体に自身の攻撃ステータスの120%のダメージ")</f>
        <v>敵単体に自身の攻撃ステータスの120%のダメージ</v>
      </c>
      <c r="N489" s="139"/>
    </row>
    <row r="490">
      <c r="A490" s="139" t="str">
        <f>IFERROR(__xludf.DUMMYFUNCTION("""COMPUTED_VALUE"""),"e")</f>
        <v>e</v>
      </c>
      <c r="B490" s="139">
        <f>IFERROR(__xludf.DUMMYFUNCTION("""COMPUTED_VALUE"""),2.0250901E8)</f>
        <v>202509010</v>
      </c>
      <c r="C490" s="139" t="str">
        <f>IFERROR(__xludf.DUMMYFUNCTION("""COMPUTED_VALUE"""),"chara_aha_00001_Special_00002")</f>
        <v>chara_aha_00001_Special_00002</v>
      </c>
      <c r="D490" s="139" t="str">
        <f>IFERROR(__xludf.DUMMYFUNCTION("""COMPUTED_VALUE"""),"chara_aha_00001")</f>
        <v>chara_aha_00001</v>
      </c>
      <c r="E490" s="139">
        <f>IFERROR(__xludf.DUMMYFUNCTION("""COMPUTED_VALUE"""),2.0)</f>
        <v>2</v>
      </c>
      <c r="F490" s="139" t="str">
        <f>IFERROR(__xludf.DUMMYFUNCTION("""COMPUTED_VALUE"""),"Special")</f>
        <v>Special</v>
      </c>
      <c r="G490" s="139"/>
      <c r="H490" s="139"/>
      <c r="I490" s="139">
        <f>IFERROR(__xludf.DUMMYFUNCTION("""COMPUTED_VALUE"""),134.0)</f>
        <v>134</v>
      </c>
      <c r="J490" s="139">
        <f>IFERROR(__xludf.DUMMYFUNCTION("""COMPUTED_VALUE"""),53.0)</f>
        <v>53</v>
      </c>
      <c r="K490" s="139">
        <f>IFERROR(__xludf.DUMMYFUNCTION("""COMPUTED_VALUE"""),0.0)</f>
        <v>0</v>
      </c>
      <c r="L490" s="139"/>
      <c r="M490" s="139" t="str">
        <f>IFERROR(__xludf.DUMMYFUNCTION("""COMPUTED_VALUE"""),"敵単体に自身の攻撃ステータスの136%のダメージ")</f>
        <v>敵単体に自身の攻撃ステータスの136%のダメージ</v>
      </c>
      <c r="N490" s="139" t="str">
        <f>IFERROR(__xludf.DUMMYFUNCTION("""COMPUTED_VALUE"""),"ステータスUP + 必殺ワザ性能UP")</f>
        <v>ステータスUP + 必殺ワザ性能UP</v>
      </c>
    </row>
    <row r="491">
      <c r="A491" s="139" t="str">
        <f>IFERROR(__xludf.DUMMYFUNCTION("""COMPUTED_VALUE"""),"e")</f>
        <v>e</v>
      </c>
      <c r="B491" s="139">
        <f>IFERROR(__xludf.DUMMYFUNCTION("""COMPUTED_VALUE"""),2.0250901E8)</f>
        <v>202509010</v>
      </c>
      <c r="C491" s="139" t="str">
        <f>IFERROR(__xludf.DUMMYFUNCTION("""COMPUTED_VALUE"""),"chara_aha_00001_Special_00003")</f>
        <v>chara_aha_00001_Special_00003</v>
      </c>
      <c r="D491" s="139" t="str">
        <f>IFERROR(__xludf.DUMMYFUNCTION("""COMPUTED_VALUE"""),"chara_aha_00001")</f>
        <v>chara_aha_00001</v>
      </c>
      <c r="E491" s="139">
        <f>IFERROR(__xludf.DUMMYFUNCTION("""COMPUTED_VALUE"""),3.0)</f>
        <v>3</v>
      </c>
      <c r="F491" s="139" t="str">
        <f>IFERROR(__xludf.DUMMYFUNCTION("""COMPUTED_VALUE"""),"Special")</f>
        <v>Special</v>
      </c>
      <c r="G491" s="139"/>
      <c r="H491" s="139"/>
      <c r="I491" s="139">
        <f>IFERROR(__xludf.DUMMYFUNCTION("""COMPUTED_VALUE"""),134.0)</f>
        <v>134</v>
      </c>
      <c r="J491" s="139">
        <f>IFERROR(__xludf.DUMMYFUNCTION("""COMPUTED_VALUE"""),53.0)</f>
        <v>53</v>
      </c>
      <c r="K491" s="139">
        <f>IFERROR(__xludf.DUMMYFUNCTION("""COMPUTED_VALUE"""),0.0)</f>
        <v>0</v>
      </c>
      <c r="L491" s="139"/>
      <c r="M491" s="139" t="str">
        <f>IFERROR(__xludf.DUMMYFUNCTION("""COMPUTED_VALUE"""),"敵単体に自身の攻撃ステータスの147%のダメージ")</f>
        <v>敵単体に自身の攻撃ステータスの147%のダメージ</v>
      </c>
      <c r="N491" s="139" t="str">
        <f>IFERROR(__xludf.DUMMYFUNCTION("""COMPUTED_VALUE"""),"ステータスUP + 必殺ワザ性能UP")</f>
        <v>ステータスUP + 必殺ワザ性能UP</v>
      </c>
    </row>
    <row r="492">
      <c r="A492" s="139" t="str">
        <f>IFERROR(__xludf.DUMMYFUNCTION("""COMPUTED_VALUE"""),"e")</f>
        <v>e</v>
      </c>
      <c r="B492" s="139">
        <f>IFERROR(__xludf.DUMMYFUNCTION("""COMPUTED_VALUE"""),2.0250901E8)</f>
        <v>202509010</v>
      </c>
      <c r="C492" s="139" t="str">
        <f>IFERROR(__xludf.DUMMYFUNCTION("""COMPUTED_VALUE"""),"chara_aha_00001_Special_00004")</f>
        <v>chara_aha_00001_Special_00004</v>
      </c>
      <c r="D492" s="139" t="str">
        <f>IFERROR(__xludf.DUMMYFUNCTION("""COMPUTED_VALUE"""),"chara_aha_00001")</f>
        <v>chara_aha_00001</v>
      </c>
      <c r="E492" s="139">
        <f>IFERROR(__xludf.DUMMYFUNCTION("""COMPUTED_VALUE"""),4.0)</f>
        <v>4</v>
      </c>
      <c r="F492" s="139" t="str">
        <f>IFERROR(__xludf.DUMMYFUNCTION("""COMPUTED_VALUE"""),"Special")</f>
        <v>Special</v>
      </c>
      <c r="G492" s="139"/>
      <c r="H492" s="139"/>
      <c r="I492" s="139">
        <f>IFERROR(__xludf.DUMMYFUNCTION("""COMPUTED_VALUE"""),134.0)</f>
        <v>134</v>
      </c>
      <c r="J492" s="139">
        <f>IFERROR(__xludf.DUMMYFUNCTION("""COMPUTED_VALUE"""),53.0)</f>
        <v>53</v>
      </c>
      <c r="K492" s="139">
        <f>IFERROR(__xludf.DUMMYFUNCTION("""COMPUTED_VALUE"""),0.0)</f>
        <v>0</v>
      </c>
      <c r="L492" s="139"/>
      <c r="M492" s="139" t="str">
        <f>IFERROR(__xludf.DUMMYFUNCTION("""COMPUTED_VALUE"""),"敵単体に自身の攻撃ステータスの155%のダメージ")</f>
        <v>敵単体に自身の攻撃ステータスの155%のダメージ</v>
      </c>
      <c r="N492" s="139" t="str">
        <f>IFERROR(__xludf.DUMMYFUNCTION("""COMPUTED_VALUE"""),"ステータスUP + 必殺ワザ性能UP")</f>
        <v>ステータスUP + 必殺ワザ性能UP</v>
      </c>
    </row>
    <row r="493">
      <c r="A493" s="139" t="str">
        <f>IFERROR(__xludf.DUMMYFUNCTION("""COMPUTED_VALUE"""),"e")</f>
        <v>e</v>
      </c>
      <c r="B493" s="139">
        <f>IFERROR(__xludf.DUMMYFUNCTION("""COMPUTED_VALUE"""),2.0250901E8)</f>
        <v>202509010</v>
      </c>
      <c r="C493" s="139" t="str">
        <f>IFERROR(__xludf.DUMMYFUNCTION("""COMPUTED_VALUE"""),"chara_aha_00001_Special_00005")</f>
        <v>chara_aha_00001_Special_00005</v>
      </c>
      <c r="D493" s="139" t="str">
        <f>IFERROR(__xludf.DUMMYFUNCTION("""COMPUTED_VALUE"""),"chara_aha_00001")</f>
        <v>chara_aha_00001</v>
      </c>
      <c r="E493" s="139">
        <f>IFERROR(__xludf.DUMMYFUNCTION("""COMPUTED_VALUE"""),5.0)</f>
        <v>5</v>
      </c>
      <c r="F493" s="139" t="str">
        <f>IFERROR(__xludf.DUMMYFUNCTION("""COMPUTED_VALUE"""),"Special")</f>
        <v>Special</v>
      </c>
      <c r="G493" s="139"/>
      <c r="H493" s="139"/>
      <c r="I493" s="139">
        <f>IFERROR(__xludf.DUMMYFUNCTION("""COMPUTED_VALUE"""),134.0)</f>
        <v>134</v>
      </c>
      <c r="J493" s="139">
        <f>IFERROR(__xludf.DUMMYFUNCTION("""COMPUTED_VALUE"""),53.0)</f>
        <v>53</v>
      </c>
      <c r="K493" s="139">
        <f>IFERROR(__xludf.DUMMYFUNCTION("""COMPUTED_VALUE"""),0.0)</f>
        <v>0</v>
      </c>
      <c r="L493" s="139"/>
      <c r="M493" s="139" t="str">
        <f>IFERROR(__xludf.DUMMYFUNCTION("""COMPUTED_VALUE"""),"敵単体に自身の攻撃ステータスの160%のダメージ")</f>
        <v>敵単体に自身の攻撃ステータスの160%のダメージ</v>
      </c>
      <c r="N493" s="139" t="str">
        <f>IFERROR(__xludf.DUMMYFUNCTION("""COMPUTED_VALUE"""),"ステータスUP + 必殺ワザ性能UP")</f>
        <v>ステータスUP + 必殺ワザ性能UP</v>
      </c>
    </row>
    <row r="494">
      <c r="A494" s="139"/>
      <c r="B494" s="139"/>
      <c r="C494" s="139" t="str">
        <f>IFERROR(__xludf.DUMMYFUNCTION("""COMPUTED_VALUE"""),"chara_aha_00001_Special_00006")</f>
        <v>chara_aha_00001_Special_00006</v>
      </c>
      <c r="D494" s="139" t="str">
        <f>IFERROR(__xludf.DUMMYFUNCTION("""COMPUTED_VALUE"""),"chara_aha_00001")</f>
        <v>chara_aha_00001</v>
      </c>
      <c r="E494" s="139">
        <f>IFERROR(__xludf.DUMMYFUNCTION("""COMPUTED_VALUE"""),6.0)</f>
        <v>6</v>
      </c>
      <c r="F494" s="139" t="str">
        <f>IFERROR(__xludf.DUMMYFUNCTION("""COMPUTED_VALUE"""),"Special")</f>
        <v>Special</v>
      </c>
      <c r="G494" s="139"/>
      <c r="H494" s="139"/>
      <c r="I494" s="139">
        <f>IFERROR(__xludf.DUMMYFUNCTION("""COMPUTED_VALUE"""),134.0)</f>
        <v>134</v>
      </c>
      <c r="J494" s="139">
        <f>IFERROR(__xludf.DUMMYFUNCTION("""COMPUTED_VALUE"""),53.0)</f>
        <v>53</v>
      </c>
      <c r="K494" s="139">
        <f>IFERROR(__xludf.DUMMYFUNCTION("""COMPUTED_VALUE"""),0.0)</f>
        <v>0</v>
      </c>
      <c r="L494" s="139"/>
      <c r="M494" s="139"/>
      <c r="N494" s="139"/>
    </row>
    <row r="495">
      <c r="A495" s="139"/>
      <c r="B495" s="139"/>
      <c r="C495" s="139" t="str">
        <f>IFERROR(__xludf.DUMMYFUNCTION("""COMPUTED_VALUE"""),"chara_aha_00001_Special_00007")</f>
        <v>chara_aha_00001_Special_00007</v>
      </c>
      <c r="D495" s="139" t="str">
        <f>IFERROR(__xludf.DUMMYFUNCTION("""COMPUTED_VALUE"""),"chara_aha_00001")</f>
        <v>chara_aha_00001</v>
      </c>
      <c r="E495" s="139">
        <f>IFERROR(__xludf.DUMMYFUNCTION("""COMPUTED_VALUE"""),7.0)</f>
        <v>7</v>
      </c>
      <c r="F495" s="139" t="str">
        <f>IFERROR(__xludf.DUMMYFUNCTION("""COMPUTED_VALUE"""),"Special")</f>
        <v>Special</v>
      </c>
      <c r="G495" s="139"/>
      <c r="H495" s="139"/>
      <c r="I495" s="139">
        <f>IFERROR(__xludf.DUMMYFUNCTION("""COMPUTED_VALUE"""),134.0)</f>
        <v>134</v>
      </c>
      <c r="J495" s="139">
        <f>IFERROR(__xludf.DUMMYFUNCTION("""COMPUTED_VALUE"""),53.0)</f>
        <v>53</v>
      </c>
      <c r="K495" s="139">
        <f>IFERROR(__xludf.DUMMYFUNCTION("""COMPUTED_VALUE"""),0.0)</f>
        <v>0</v>
      </c>
      <c r="L495" s="139"/>
      <c r="M495" s="139"/>
      <c r="N495" s="139"/>
    </row>
    <row r="496">
      <c r="A496" s="139"/>
      <c r="B496" s="139"/>
      <c r="C496" s="139" t="str">
        <f>IFERROR(__xludf.DUMMYFUNCTION("""COMPUTED_VALUE"""),"chara_aha_00001_Special_00008")</f>
        <v>chara_aha_00001_Special_00008</v>
      </c>
      <c r="D496" s="139" t="str">
        <f>IFERROR(__xludf.DUMMYFUNCTION("""COMPUTED_VALUE"""),"chara_aha_00001")</f>
        <v>chara_aha_00001</v>
      </c>
      <c r="E496" s="139">
        <f>IFERROR(__xludf.DUMMYFUNCTION("""COMPUTED_VALUE"""),8.0)</f>
        <v>8</v>
      </c>
      <c r="F496" s="139" t="str">
        <f>IFERROR(__xludf.DUMMYFUNCTION("""COMPUTED_VALUE"""),"Special")</f>
        <v>Special</v>
      </c>
      <c r="G496" s="139"/>
      <c r="H496" s="139"/>
      <c r="I496" s="139">
        <f>IFERROR(__xludf.DUMMYFUNCTION("""COMPUTED_VALUE"""),134.0)</f>
        <v>134</v>
      </c>
      <c r="J496" s="139">
        <f>IFERROR(__xludf.DUMMYFUNCTION("""COMPUTED_VALUE"""),53.0)</f>
        <v>53</v>
      </c>
      <c r="K496" s="139">
        <f>IFERROR(__xludf.DUMMYFUNCTION("""COMPUTED_VALUE"""),0.0)</f>
        <v>0</v>
      </c>
      <c r="L496" s="139"/>
      <c r="M496" s="139"/>
      <c r="N496" s="139"/>
    </row>
    <row r="497">
      <c r="A497" s="139"/>
      <c r="B497" s="139"/>
      <c r="C497" s="139" t="str">
        <f>IFERROR(__xludf.DUMMYFUNCTION("""COMPUTED_VALUE"""),"chara_aha_00001_Special_00009")</f>
        <v>chara_aha_00001_Special_00009</v>
      </c>
      <c r="D497" s="139" t="str">
        <f>IFERROR(__xludf.DUMMYFUNCTION("""COMPUTED_VALUE"""),"chara_aha_00001")</f>
        <v>chara_aha_00001</v>
      </c>
      <c r="E497" s="139">
        <f>IFERROR(__xludf.DUMMYFUNCTION("""COMPUTED_VALUE"""),9.0)</f>
        <v>9</v>
      </c>
      <c r="F497" s="139" t="str">
        <f>IFERROR(__xludf.DUMMYFUNCTION("""COMPUTED_VALUE"""),"Special")</f>
        <v>Special</v>
      </c>
      <c r="G497" s="139"/>
      <c r="H497" s="139"/>
      <c r="I497" s="139">
        <f>IFERROR(__xludf.DUMMYFUNCTION("""COMPUTED_VALUE"""),134.0)</f>
        <v>134</v>
      </c>
      <c r="J497" s="139">
        <f>IFERROR(__xludf.DUMMYFUNCTION("""COMPUTED_VALUE"""),53.0)</f>
        <v>53</v>
      </c>
      <c r="K497" s="139">
        <f>IFERROR(__xludf.DUMMYFUNCTION("""COMPUTED_VALUE"""),0.0)</f>
        <v>0</v>
      </c>
      <c r="L497" s="139"/>
      <c r="M497" s="139"/>
      <c r="N497" s="139"/>
    </row>
    <row r="498">
      <c r="A498" s="139"/>
      <c r="B498" s="139"/>
      <c r="C498" s="139" t="str">
        <f>IFERROR(__xludf.DUMMYFUNCTION("""COMPUTED_VALUE"""),"chara_aha_00001_Special_00010")</f>
        <v>chara_aha_00001_Special_00010</v>
      </c>
      <c r="D498" s="139" t="str">
        <f>IFERROR(__xludf.DUMMYFUNCTION("""COMPUTED_VALUE"""),"chara_aha_00001")</f>
        <v>chara_aha_00001</v>
      </c>
      <c r="E498" s="139">
        <f>IFERROR(__xludf.DUMMYFUNCTION("""COMPUTED_VALUE"""),10.0)</f>
        <v>10</v>
      </c>
      <c r="F498" s="139" t="str">
        <f>IFERROR(__xludf.DUMMYFUNCTION("""COMPUTED_VALUE"""),"Special")</f>
        <v>Special</v>
      </c>
      <c r="G498" s="139"/>
      <c r="H498" s="139"/>
      <c r="I498" s="139">
        <f>IFERROR(__xludf.DUMMYFUNCTION("""COMPUTED_VALUE"""),134.0)</f>
        <v>134</v>
      </c>
      <c r="J498" s="139">
        <f>IFERROR(__xludf.DUMMYFUNCTION("""COMPUTED_VALUE"""),53.0)</f>
        <v>53</v>
      </c>
      <c r="K498" s="139">
        <f>IFERROR(__xludf.DUMMYFUNCTION("""COMPUTED_VALUE"""),0.0)</f>
        <v>0</v>
      </c>
      <c r="L498" s="139"/>
      <c r="M498" s="139"/>
      <c r="N498" s="139"/>
    </row>
    <row r="499">
      <c r="A499" s="139" t="str">
        <f>IFERROR(__xludf.DUMMYFUNCTION("""COMPUTED_VALUE"""),"e")</f>
        <v>e</v>
      </c>
      <c r="B499" s="139">
        <f>IFERROR(__xludf.DUMMYFUNCTION("""COMPUTED_VALUE"""),2.0250901E8)</f>
        <v>202509010</v>
      </c>
      <c r="C499" s="139" t="str">
        <f>IFERROR(__xludf.DUMMYFUNCTION("""COMPUTED_VALUE"""),"chara_aha_00101_Normal_00000")</f>
        <v>chara_aha_00101_Normal_00000</v>
      </c>
      <c r="D499" s="139" t="str">
        <f>IFERROR(__xludf.DUMMYFUNCTION("""COMPUTED_VALUE"""),"chara_aha_00101")</f>
        <v>chara_aha_00101</v>
      </c>
      <c r="E499" s="139">
        <f>IFERROR(__xludf.DUMMYFUNCTION("""COMPUTED_VALUE"""),0.0)</f>
        <v>0</v>
      </c>
      <c r="F499" s="139" t="str">
        <f>IFERROR(__xludf.DUMMYFUNCTION("""COMPUTED_VALUE"""),"Normal")</f>
        <v>Normal</v>
      </c>
      <c r="G499" s="139"/>
      <c r="H499" s="139"/>
      <c r="I499" s="139">
        <f>IFERROR(__xludf.DUMMYFUNCTION("""COMPUTED_VALUE"""),64.0)</f>
        <v>64</v>
      </c>
      <c r="J499" s="139">
        <f>IFERROR(__xludf.DUMMYFUNCTION("""COMPUTED_VALUE"""),23.0)</f>
        <v>23</v>
      </c>
      <c r="K499" s="139">
        <f>IFERROR(__xludf.DUMMYFUNCTION("""COMPUTED_VALUE"""),75.0)</f>
        <v>75</v>
      </c>
      <c r="L499" s="139"/>
      <c r="M499" s="139" t="str">
        <f>IFERROR(__xludf.DUMMYFUNCTION("""COMPUTED_VALUE"""),"表示場所なし")</f>
        <v>表示場所なし</v>
      </c>
      <c r="N499" s="139"/>
    </row>
    <row r="500">
      <c r="A500" s="139" t="str">
        <f>IFERROR(__xludf.DUMMYFUNCTION("""COMPUTED_VALUE"""),"e")</f>
        <v>e</v>
      </c>
      <c r="B500" s="139">
        <f>IFERROR(__xludf.DUMMYFUNCTION("""COMPUTED_VALUE"""),2.0250901E8)</f>
        <v>202509010</v>
      </c>
      <c r="C500" s="139" t="str">
        <f>IFERROR(__xludf.DUMMYFUNCTION("""COMPUTED_VALUE"""),"chara_aha_00101_Special_00001")</f>
        <v>chara_aha_00101_Special_00001</v>
      </c>
      <c r="D500" s="139" t="str">
        <f>IFERROR(__xludf.DUMMYFUNCTION("""COMPUTED_VALUE"""),"chara_aha_00101")</f>
        <v>chara_aha_00101</v>
      </c>
      <c r="E500" s="139">
        <f>IFERROR(__xludf.DUMMYFUNCTION("""COMPUTED_VALUE"""),1.0)</f>
        <v>1</v>
      </c>
      <c r="F500" s="139" t="str">
        <f>IFERROR(__xludf.DUMMYFUNCTION("""COMPUTED_VALUE"""),"Special")</f>
        <v>Special</v>
      </c>
      <c r="G500" s="139"/>
      <c r="H500" s="139"/>
      <c r="I500" s="139">
        <f>IFERROR(__xludf.DUMMYFUNCTION("""COMPUTED_VALUE"""),159.0)</f>
        <v>159</v>
      </c>
      <c r="J500" s="139">
        <f>IFERROR(__xludf.DUMMYFUNCTION("""COMPUTED_VALUE"""),100.0)</f>
        <v>100</v>
      </c>
      <c r="K500" s="139">
        <f>IFERROR(__xludf.DUMMYFUNCTION("""COMPUTED_VALUE"""),0.0)</f>
        <v>0</v>
      </c>
      <c r="L500" s="139"/>
      <c r="M500" s="139" t="str">
        <f>IFERROR(__xludf.DUMMYFUNCTION("""COMPUTED_VALUE"""),"自身と同じコマにいる黄属性の味方と自身の攻撃を6秒間、10%UP")</f>
        <v>自身と同じコマにいる黄属性の味方と自身の攻撃を6秒間、10%UP</v>
      </c>
      <c r="N500" s="139"/>
    </row>
    <row r="501">
      <c r="A501" s="139" t="str">
        <f>IFERROR(__xludf.DUMMYFUNCTION("""COMPUTED_VALUE"""),"e")</f>
        <v>e</v>
      </c>
      <c r="B501" s="139">
        <f>IFERROR(__xludf.DUMMYFUNCTION("""COMPUTED_VALUE"""),2.0250901E8)</f>
        <v>202509010</v>
      </c>
      <c r="C501" s="139" t="str">
        <f>IFERROR(__xludf.DUMMYFUNCTION("""COMPUTED_VALUE"""),"chara_aha_00101_Special_00002")</f>
        <v>chara_aha_00101_Special_00002</v>
      </c>
      <c r="D501" s="139" t="str">
        <f>IFERROR(__xludf.DUMMYFUNCTION("""COMPUTED_VALUE"""),"chara_aha_00101")</f>
        <v>chara_aha_00101</v>
      </c>
      <c r="E501" s="139">
        <f>IFERROR(__xludf.DUMMYFUNCTION("""COMPUTED_VALUE"""),2.0)</f>
        <v>2</v>
      </c>
      <c r="F501" s="139" t="str">
        <f>IFERROR(__xludf.DUMMYFUNCTION("""COMPUTED_VALUE"""),"Special")</f>
        <v>Special</v>
      </c>
      <c r="G501" s="139"/>
      <c r="H501" s="139"/>
      <c r="I501" s="139">
        <f>IFERROR(__xludf.DUMMYFUNCTION("""COMPUTED_VALUE"""),159.0)</f>
        <v>159</v>
      </c>
      <c r="J501" s="139">
        <f>IFERROR(__xludf.DUMMYFUNCTION("""COMPUTED_VALUE"""),100.0)</f>
        <v>100</v>
      </c>
      <c r="K501" s="139">
        <f>IFERROR(__xludf.DUMMYFUNCTION("""COMPUTED_VALUE"""),0.0)</f>
        <v>0</v>
      </c>
      <c r="L501" s="139"/>
      <c r="M501" s="139" t="str">
        <f>IFERROR(__xludf.DUMMYFUNCTION("""COMPUTED_VALUE"""),"自身と同じコマにいる黄属性の味方と自身の攻撃を6.9秒間、12%UP")</f>
        <v>自身と同じコマにいる黄属性の味方と自身の攻撃を6.9秒間、12%UP</v>
      </c>
      <c r="N501" s="139" t="str">
        <f>IFERROR(__xludf.DUMMYFUNCTION("""COMPUTED_VALUE"""),"ステータスUP + 必殺ワザ性能UP")</f>
        <v>ステータスUP + 必殺ワザ性能UP</v>
      </c>
    </row>
    <row r="502">
      <c r="A502" s="139" t="str">
        <f>IFERROR(__xludf.DUMMYFUNCTION("""COMPUTED_VALUE"""),"e")</f>
        <v>e</v>
      </c>
      <c r="B502" s="139">
        <f>IFERROR(__xludf.DUMMYFUNCTION("""COMPUTED_VALUE"""),2.0250901E8)</f>
        <v>202509010</v>
      </c>
      <c r="C502" s="139" t="str">
        <f>IFERROR(__xludf.DUMMYFUNCTION("""COMPUTED_VALUE"""),"chara_aha_00101_Special_00003")</f>
        <v>chara_aha_00101_Special_00003</v>
      </c>
      <c r="D502" s="139" t="str">
        <f>IFERROR(__xludf.DUMMYFUNCTION("""COMPUTED_VALUE"""),"chara_aha_00101")</f>
        <v>chara_aha_00101</v>
      </c>
      <c r="E502" s="139">
        <f>IFERROR(__xludf.DUMMYFUNCTION("""COMPUTED_VALUE"""),3.0)</f>
        <v>3</v>
      </c>
      <c r="F502" s="139" t="str">
        <f>IFERROR(__xludf.DUMMYFUNCTION("""COMPUTED_VALUE"""),"Special")</f>
        <v>Special</v>
      </c>
      <c r="G502" s="139"/>
      <c r="H502" s="139"/>
      <c r="I502" s="139">
        <f>IFERROR(__xludf.DUMMYFUNCTION("""COMPUTED_VALUE"""),159.0)</f>
        <v>159</v>
      </c>
      <c r="J502" s="139">
        <f>IFERROR(__xludf.DUMMYFUNCTION("""COMPUTED_VALUE"""),100.0)</f>
        <v>100</v>
      </c>
      <c r="K502" s="139">
        <f>IFERROR(__xludf.DUMMYFUNCTION("""COMPUTED_VALUE"""),0.0)</f>
        <v>0</v>
      </c>
      <c r="L502" s="139"/>
      <c r="M502" s="139" t="str">
        <f>IFERROR(__xludf.DUMMYFUNCTION("""COMPUTED_VALUE"""),"自身と同じコマにいる黄属性の味方と自身の攻撃を7.4秒間、13%UP")</f>
        <v>自身と同じコマにいる黄属性の味方と自身の攻撃を7.4秒間、13%UP</v>
      </c>
      <c r="N502" s="139" t="str">
        <f>IFERROR(__xludf.DUMMYFUNCTION("""COMPUTED_VALUE"""),"ステータスUP + 必殺ワザ性能UP")</f>
        <v>ステータスUP + 必殺ワザ性能UP</v>
      </c>
    </row>
    <row r="503">
      <c r="A503" s="139" t="str">
        <f>IFERROR(__xludf.DUMMYFUNCTION("""COMPUTED_VALUE"""),"e")</f>
        <v>e</v>
      </c>
      <c r="B503" s="139">
        <f>IFERROR(__xludf.DUMMYFUNCTION("""COMPUTED_VALUE"""),2.0250901E8)</f>
        <v>202509010</v>
      </c>
      <c r="C503" s="139" t="str">
        <f>IFERROR(__xludf.DUMMYFUNCTION("""COMPUTED_VALUE"""),"chara_aha_00101_Special_00004")</f>
        <v>chara_aha_00101_Special_00004</v>
      </c>
      <c r="D503" s="139" t="str">
        <f>IFERROR(__xludf.DUMMYFUNCTION("""COMPUTED_VALUE"""),"chara_aha_00101")</f>
        <v>chara_aha_00101</v>
      </c>
      <c r="E503" s="139">
        <f>IFERROR(__xludf.DUMMYFUNCTION("""COMPUTED_VALUE"""),4.0)</f>
        <v>4</v>
      </c>
      <c r="F503" s="139" t="str">
        <f>IFERROR(__xludf.DUMMYFUNCTION("""COMPUTED_VALUE"""),"Special")</f>
        <v>Special</v>
      </c>
      <c r="G503" s="139"/>
      <c r="H503" s="139"/>
      <c r="I503" s="139">
        <f>IFERROR(__xludf.DUMMYFUNCTION("""COMPUTED_VALUE"""),159.0)</f>
        <v>159</v>
      </c>
      <c r="J503" s="139">
        <f>IFERROR(__xludf.DUMMYFUNCTION("""COMPUTED_VALUE"""),100.0)</f>
        <v>100</v>
      </c>
      <c r="K503" s="139">
        <f>IFERROR(__xludf.DUMMYFUNCTION("""COMPUTED_VALUE"""),0.0)</f>
        <v>0</v>
      </c>
      <c r="L503" s="139"/>
      <c r="M503" s="139" t="str">
        <f>IFERROR(__xludf.DUMMYFUNCTION("""COMPUTED_VALUE"""),"自身と同じコマにいる黄属性の味方と自身の攻撃を7.8秒間、14%UP")</f>
        <v>自身と同じコマにいる黄属性の味方と自身の攻撃を7.8秒間、14%UP</v>
      </c>
      <c r="N503" s="139" t="str">
        <f>IFERROR(__xludf.DUMMYFUNCTION("""COMPUTED_VALUE"""),"ステータスUP + 必殺ワザ性能UP")</f>
        <v>ステータスUP + 必殺ワザ性能UP</v>
      </c>
    </row>
    <row r="504">
      <c r="A504" s="139" t="str">
        <f>IFERROR(__xludf.DUMMYFUNCTION("""COMPUTED_VALUE"""),"e")</f>
        <v>e</v>
      </c>
      <c r="B504" s="139">
        <f>IFERROR(__xludf.DUMMYFUNCTION("""COMPUTED_VALUE"""),2.0250901E8)</f>
        <v>202509010</v>
      </c>
      <c r="C504" s="139" t="str">
        <f>IFERROR(__xludf.DUMMYFUNCTION("""COMPUTED_VALUE"""),"chara_aha_00101_Special_00005")</f>
        <v>chara_aha_00101_Special_00005</v>
      </c>
      <c r="D504" s="139" t="str">
        <f>IFERROR(__xludf.DUMMYFUNCTION("""COMPUTED_VALUE"""),"chara_aha_00101")</f>
        <v>chara_aha_00101</v>
      </c>
      <c r="E504" s="139">
        <f>IFERROR(__xludf.DUMMYFUNCTION("""COMPUTED_VALUE"""),5.0)</f>
        <v>5</v>
      </c>
      <c r="F504" s="139" t="str">
        <f>IFERROR(__xludf.DUMMYFUNCTION("""COMPUTED_VALUE"""),"Special")</f>
        <v>Special</v>
      </c>
      <c r="G504" s="139"/>
      <c r="H504" s="139"/>
      <c r="I504" s="139">
        <f>IFERROR(__xludf.DUMMYFUNCTION("""COMPUTED_VALUE"""),159.0)</f>
        <v>159</v>
      </c>
      <c r="J504" s="139">
        <f>IFERROR(__xludf.DUMMYFUNCTION("""COMPUTED_VALUE"""),100.0)</f>
        <v>100</v>
      </c>
      <c r="K504" s="139">
        <f>IFERROR(__xludf.DUMMYFUNCTION("""COMPUTED_VALUE"""),0.0)</f>
        <v>0</v>
      </c>
      <c r="L504" s="139"/>
      <c r="M504" s="139" t="str">
        <f>IFERROR(__xludf.DUMMYFUNCTION("""COMPUTED_VALUE"""),"自身と同じコマにいる黄属性の味方と自身の攻撃を8秒間、15%UP")</f>
        <v>自身と同じコマにいる黄属性の味方と自身の攻撃を8秒間、15%UP</v>
      </c>
      <c r="N504" s="139" t="str">
        <f>IFERROR(__xludf.DUMMYFUNCTION("""COMPUTED_VALUE"""),"ステータスUP + 必殺ワザ性能UP")</f>
        <v>ステータスUP + 必殺ワザ性能UP</v>
      </c>
    </row>
    <row r="505">
      <c r="A505" s="139"/>
      <c r="B505" s="139"/>
      <c r="C505" s="139" t="str">
        <f>IFERROR(__xludf.DUMMYFUNCTION("""COMPUTED_VALUE"""),"chara_aha_00101_Special_00006")</f>
        <v>chara_aha_00101_Special_00006</v>
      </c>
      <c r="D505" s="139" t="str">
        <f>IFERROR(__xludf.DUMMYFUNCTION("""COMPUTED_VALUE"""),"chara_aha_00101")</f>
        <v>chara_aha_00101</v>
      </c>
      <c r="E505" s="139">
        <f>IFERROR(__xludf.DUMMYFUNCTION("""COMPUTED_VALUE"""),6.0)</f>
        <v>6</v>
      </c>
      <c r="F505" s="139" t="str">
        <f>IFERROR(__xludf.DUMMYFUNCTION("""COMPUTED_VALUE"""),"Special")</f>
        <v>Special</v>
      </c>
      <c r="G505" s="139"/>
      <c r="H505" s="139"/>
      <c r="I505" s="139">
        <f>IFERROR(__xludf.DUMMYFUNCTION("""COMPUTED_VALUE"""),159.0)</f>
        <v>159</v>
      </c>
      <c r="J505" s="139">
        <f>IFERROR(__xludf.DUMMYFUNCTION("""COMPUTED_VALUE"""),100.0)</f>
        <v>100</v>
      </c>
      <c r="K505" s="139">
        <f>IFERROR(__xludf.DUMMYFUNCTION("""COMPUTED_VALUE"""),0.0)</f>
        <v>0</v>
      </c>
      <c r="L505" s="139"/>
      <c r="M505" s="139"/>
      <c r="N505" s="139"/>
    </row>
    <row r="506">
      <c r="A506" s="139"/>
      <c r="B506" s="139"/>
      <c r="C506" s="139" t="str">
        <f>IFERROR(__xludf.DUMMYFUNCTION("""COMPUTED_VALUE"""),"chara_aha_00101_Special_00007")</f>
        <v>chara_aha_00101_Special_00007</v>
      </c>
      <c r="D506" s="139" t="str">
        <f>IFERROR(__xludf.DUMMYFUNCTION("""COMPUTED_VALUE"""),"chara_aha_00101")</f>
        <v>chara_aha_00101</v>
      </c>
      <c r="E506" s="139">
        <f>IFERROR(__xludf.DUMMYFUNCTION("""COMPUTED_VALUE"""),7.0)</f>
        <v>7</v>
      </c>
      <c r="F506" s="139" t="str">
        <f>IFERROR(__xludf.DUMMYFUNCTION("""COMPUTED_VALUE"""),"Special")</f>
        <v>Special</v>
      </c>
      <c r="G506" s="139"/>
      <c r="H506" s="139"/>
      <c r="I506" s="139">
        <f>IFERROR(__xludf.DUMMYFUNCTION("""COMPUTED_VALUE"""),159.0)</f>
        <v>159</v>
      </c>
      <c r="J506" s="139">
        <f>IFERROR(__xludf.DUMMYFUNCTION("""COMPUTED_VALUE"""),100.0)</f>
        <v>100</v>
      </c>
      <c r="K506" s="139">
        <f>IFERROR(__xludf.DUMMYFUNCTION("""COMPUTED_VALUE"""),0.0)</f>
        <v>0</v>
      </c>
      <c r="L506" s="139"/>
      <c r="M506" s="139"/>
      <c r="N506" s="139"/>
    </row>
    <row r="507">
      <c r="A507" s="139"/>
      <c r="B507" s="139"/>
      <c r="C507" s="139" t="str">
        <f>IFERROR(__xludf.DUMMYFUNCTION("""COMPUTED_VALUE"""),"chara_aha_00101_Special_00008")</f>
        <v>chara_aha_00101_Special_00008</v>
      </c>
      <c r="D507" s="139" t="str">
        <f>IFERROR(__xludf.DUMMYFUNCTION("""COMPUTED_VALUE"""),"chara_aha_00101")</f>
        <v>chara_aha_00101</v>
      </c>
      <c r="E507" s="139">
        <f>IFERROR(__xludf.DUMMYFUNCTION("""COMPUTED_VALUE"""),8.0)</f>
        <v>8</v>
      </c>
      <c r="F507" s="139" t="str">
        <f>IFERROR(__xludf.DUMMYFUNCTION("""COMPUTED_VALUE"""),"Special")</f>
        <v>Special</v>
      </c>
      <c r="G507" s="139"/>
      <c r="H507" s="139"/>
      <c r="I507" s="139">
        <f>IFERROR(__xludf.DUMMYFUNCTION("""COMPUTED_VALUE"""),159.0)</f>
        <v>159</v>
      </c>
      <c r="J507" s="139">
        <f>IFERROR(__xludf.DUMMYFUNCTION("""COMPUTED_VALUE"""),100.0)</f>
        <v>100</v>
      </c>
      <c r="K507" s="139">
        <f>IFERROR(__xludf.DUMMYFUNCTION("""COMPUTED_VALUE"""),0.0)</f>
        <v>0</v>
      </c>
      <c r="L507" s="139"/>
      <c r="M507" s="139"/>
      <c r="N507" s="139"/>
    </row>
    <row r="508">
      <c r="A508" s="139"/>
      <c r="B508" s="139"/>
      <c r="C508" s="139" t="str">
        <f>IFERROR(__xludf.DUMMYFUNCTION("""COMPUTED_VALUE"""),"chara_aha_00101_Special_00009")</f>
        <v>chara_aha_00101_Special_00009</v>
      </c>
      <c r="D508" s="139" t="str">
        <f>IFERROR(__xludf.DUMMYFUNCTION("""COMPUTED_VALUE"""),"chara_aha_00101")</f>
        <v>chara_aha_00101</v>
      </c>
      <c r="E508" s="139">
        <f>IFERROR(__xludf.DUMMYFUNCTION("""COMPUTED_VALUE"""),9.0)</f>
        <v>9</v>
      </c>
      <c r="F508" s="139" t="str">
        <f>IFERROR(__xludf.DUMMYFUNCTION("""COMPUTED_VALUE"""),"Special")</f>
        <v>Special</v>
      </c>
      <c r="G508" s="139"/>
      <c r="H508" s="139"/>
      <c r="I508" s="139">
        <f>IFERROR(__xludf.DUMMYFUNCTION("""COMPUTED_VALUE"""),159.0)</f>
        <v>159</v>
      </c>
      <c r="J508" s="139">
        <f>IFERROR(__xludf.DUMMYFUNCTION("""COMPUTED_VALUE"""),100.0)</f>
        <v>100</v>
      </c>
      <c r="K508" s="139">
        <f>IFERROR(__xludf.DUMMYFUNCTION("""COMPUTED_VALUE"""),0.0)</f>
        <v>0</v>
      </c>
      <c r="L508" s="139"/>
      <c r="M508" s="139"/>
      <c r="N508" s="139"/>
    </row>
    <row r="509">
      <c r="A509" s="139"/>
      <c r="B509" s="139"/>
      <c r="C509" s="139" t="str">
        <f>IFERROR(__xludf.DUMMYFUNCTION("""COMPUTED_VALUE"""),"chara_aha_00101_Special_00010")</f>
        <v>chara_aha_00101_Special_00010</v>
      </c>
      <c r="D509" s="139" t="str">
        <f>IFERROR(__xludf.DUMMYFUNCTION("""COMPUTED_VALUE"""),"chara_aha_00101")</f>
        <v>chara_aha_00101</v>
      </c>
      <c r="E509" s="139">
        <f>IFERROR(__xludf.DUMMYFUNCTION("""COMPUTED_VALUE"""),10.0)</f>
        <v>10</v>
      </c>
      <c r="F509" s="139" t="str">
        <f>IFERROR(__xludf.DUMMYFUNCTION("""COMPUTED_VALUE"""),"Special")</f>
        <v>Special</v>
      </c>
      <c r="G509" s="139"/>
      <c r="H509" s="139"/>
      <c r="I509" s="139">
        <f>IFERROR(__xludf.DUMMYFUNCTION("""COMPUTED_VALUE"""),159.0)</f>
        <v>159</v>
      </c>
      <c r="J509" s="139">
        <f>IFERROR(__xludf.DUMMYFUNCTION("""COMPUTED_VALUE"""),100.0)</f>
        <v>100</v>
      </c>
      <c r="K509" s="139">
        <f>IFERROR(__xludf.DUMMYFUNCTION("""COMPUTED_VALUE"""),0.0)</f>
        <v>0</v>
      </c>
      <c r="L509" s="139"/>
      <c r="M509" s="139"/>
      <c r="N509" s="139"/>
    </row>
    <row r="510">
      <c r="A510" s="139" t="str">
        <f>IFERROR(__xludf.DUMMYFUNCTION("""COMPUTED_VALUE"""),"e")</f>
        <v>e</v>
      </c>
      <c r="B510" s="139">
        <f>IFERROR(__xludf.DUMMYFUNCTION("""COMPUTED_VALUE"""),2.0250901E8)</f>
        <v>202509010</v>
      </c>
      <c r="C510" s="139" t="str">
        <f>IFERROR(__xludf.DUMMYFUNCTION("""COMPUTED_VALUE"""),"chara_ron_00001_Normal_00000")</f>
        <v>chara_ron_00001_Normal_00000</v>
      </c>
      <c r="D510" s="139" t="str">
        <f>IFERROR(__xludf.DUMMYFUNCTION("""COMPUTED_VALUE"""),"chara_ron_00001")</f>
        <v>chara_ron_00001</v>
      </c>
      <c r="E510" s="139">
        <f>IFERROR(__xludf.DUMMYFUNCTION("""COMPUTED_VALUE"""),0.0)</f>
        <v>0</v>
      </c>
      <c r="F510" s="139" t="str">
        <f>IFERROR(__xludf.DUMMYFUNCTION("""COMPUTED_VALUE"""),"Normal")</f>
        <v>Normal</v>
      </c>
      <c r="G510" s="139"/>
      <c r="H510" s="139"/>
      <c r="I510" s="139">
        <f>IFERROR(__xludf.DUMMYFUNCTION("""COMPUTED_VALUE"""),84.0)</f>
        <v>84</v>
      </c>
      <c r="J510" s="139">
        <f>IFERROR(__xludf.DUMMYFUNCTION("""COMPUTED_VALUE"""),46.0)</f>
        <v>46</v>
      </c>
      <c r="K510" s="139">
        <f>IFERROR(__xludf.DUMMYFUNCTION("""COMPUTED_VALUE"""),75.0)</f>
        <v>75</v>
      </c>
      <c r="L510" s="139"/>
      <c r="M510" s="139" t="str">
        <f>IFERROR(__xludf.DUMMYFUNCTION("""COMPUTED_VALUE"""),"表示場所なし")</f>
        <v>表示場所なし</v>
      </c>
      <c r="N510" s="139"/>
    </row>
    <row r="511">
      <c r="A511" s="139" t="str">
        <f>IFERROR(__xludf.DUMMYFUNCTION("""COMPUTED_VALUE"""),"e")</f>
        <v>e</v>
      </c>
      <c r="B511" s="139">
        <f>IFERROR(__xludf.DUMMYFUNCTION("""COMPUTED_VALUE"""),2.0250901E8)</f>
        <v>202509010</v>
      </c>
      <c r="C511" s="139" t="str">
        <f>IFERROR(__xludf.DUMMYFUNCTION("""COMPUTED_VALUE"""),"chara_ron_00001_Special_00001")</f>
        <v>chara_ron_00001_Special_00001</v>
      </c>
      <c r="D511" s="139" t="str">
        <f>IFERROR(__xludf.DUMMYFUNCTION("""COMPUTED_VALUE"""),"chara_ron_00001")</f>
        <v>chara_ron_00001</v>
      </c>
      <c r="E511" s="139">
        <f>IFERROR(__xludf.DUMMYFUNCTION("""COMPUTED_VALUE"""),1.0)</f>
        <v>1</v>
      </c>
      <c r="F511" s="139" t="str">
        <f>IFERROR(__xludf.DUMMYFUNCTION("""COMPUTED_VALUE"""),"Special")</f>
        <v>Special</v>
      </c>
      <c r="G511" s="139"/>
      <c r="H511" s="139"/>
      <c r="I511" s="139">
        <f>IFERROR(__xludf.DUMMYFUNCTION("""COMPUTED_VALUE"""),137.0)</f>
        <v>137</v>
      </c>
      <c r="J511" s="139">
        <f>IFERROR(__xludf.DUMMYFUNCTION("""COMPUTED_VALUE"""),0.0)</f>
        <v>0</v>
      </c>
      <c r="K511" s="139">
        <f>IFERROR(__xludf.DUMMYFUNCTION("""COMPUTED_VALUE"""),0.0)</f>
        <v>0</v>
      </c>
      <c r="L511" s="139"/>
      <c r="M511" s="139" t="str">
        <f>IFERROR(__xludf.DUMMYFUNCTION("""COMPUTED_VALUE"""),"敵単体に最大5回の連続攻撃(自身の攻撃ステータスの最大150%ダメージ) + 1回目の攻撃がヒットした場合、敵を1.2秒間、スタン状態にする")</f>
        <v>敵単体に最大5回の連続攻撃(自身の攻撃ステータスの最大150%ダメージ) + 1回目の攻撃がヒットした場合、敵を1.2秒間、スタン状態にする</v>
      </c>
      <c r="N511" s="139"/>
    </row>
    <row r="512">
      <c r="A512" s="139" t="str">
        <f>IFERROR(__xludf.DUMMYFUNCTION("""COMPUTED_VALUE"""),"e")</f>
        <v>e</v>
      </c>
      <c r="B512" s="139">
        <f>IFERROR(__xludf.DUMMYFUNCTION("""COMPUTED_VALUE"""),2.0250901E8)</f>
        <v>202509010</v>
      </c>
      <c r="C512" s="139" t="str">
        <f>IFERROR(__xludf.DUMMYFUNCTION("""COMPUTED_VALUE"""),"chara_ron_00001_Special_00002")</f>
        <v>chara_ron_00001_Special_00002</v>
      </c>
      <c r="D512" s="139" t="str">
        <f>IFERROR(__xludf.DUMMYFUNCTION("""COMPUTED_VALUE"""),"chara_ron_00001")</f>
        <v>chara_ron_00001</v>
      </c>
      <c r="E512" s="139">
        <f>IFERROR(__xludf.DUMMYFUNCTION("""COMPUTED_VALUE"""),2.0)</f>
        <v>2</v>
      </c>
      <c r="F512" s="139" t="str">
        <f>IFERROR(__xludf.DUMMYFUNCTION("""COMPUTED_VALUE"""),"Special")</f>
        <v>Special</v>
      </c>
      <c r="G512" s="139"/>
      <c r="H512" s="139"/>
      <c r="I512" s="139">
        <f>IFERROR(__xludf.DUMMYFUNCTION("""COMPUTED_VALUE"""),137.0)</f>
        <v>137</v>
      </c>
      <c r="J512" s="139">
        <f>IFERROR(__xludf.DUMMYFUNCTION("""COMPUTED_VALUE"""),0.0)</f>
        <v>0</v>
      </c>
      <c r="K512" s="139">
        <f>IFERROR(__xludf.DUMMYFUNCTION("""COMPUTED_VALUE"""),0.0)</f>
        <v>0</v>
      </c>
      <c r="L512" s="139"/>
      <c r="M512" s="139" t="str">
        <f>IFERROR(__xludf.DUMMYFUNCTION("""COMPUTED_VALUE"""),"敵単体に最大5回の連続攻撃(自身の攻撃ステータスの最大170%ダメージ) + 1回目の攻撃がヒットした場合、敵を1.3秒間、スタン状態にする")</f>
        <v>敵単体に最大5回の連続攻撃(自身の攻撃ステータスの最大170%ダメージ) + 1回目の攻撃がヒットした場合、敵を1.3秒間、スタン状態にする</v>
      </c>
      <c r="N512" s="139" t="str">
        <f>IFERROR(__xludf.DUMMYFUNCTION("""COMPUTED_VALUE"""),"ステータスUP + 必殺ワザ性能UP")</f>
        <v>ステータスUP + 必殺ワザ性能UP</v>
      </c>
    </row>
    <row r="513">
      <c r="A513" s="139" t="str">
        <f>IFERROR(__xludf.DUMMYFUNCTION("""COMPUTED_VALUE"""),"e")</f>
        <v>e</v>
      </c>
      <c r="B513" s="139">
        <f>IFERROR(__xludf.DUMMYFUNCTION("""COMPUTED_VALUE"""),2.0250901E8)</f>
        <v>202509010</v>
      </c>
      <c r="C513" s="139" t="str">
        <f>IFERROR(__xludf.DUMMYFUNCTION("""COMPUTED_VALUE"""),"chara_ron_00001_Special_00003")</f>
        <v>chara_ron_00001_Special_00003</v>
      </c>
      <c r="D513" s="139" t="str">
        <f>IFERROR(__xludf.DUMMYFUNCTION("""COMPUTED_VALUE"""),"chara_ron_00001")</f>
        <v>chara_ron_00001</v>
      </c>
      <c r="E513" s="139">
        <f>IFERROR(__xludf.DUMMYFUNCTION("""COMPUTED_VALUE"""),3.0)</f>
        <v>3</v>
      </c>
      <c r="F513" s="139" t="str">
        <f>IFERROR(__xludf.DUMMYFUNCTION("""COMPUTED_VALUE"""),"Special")</f>
        <v>Special</v>
      </c>
      <c r="G513" s="139"/>
      <c r="H513" s="139"/>
      <c r="I513" s="139">
        <f>IFERROR(__xludf.DUMMYFUNCTION("""COMPUTED_VALUE"""),137.0)</f>
        <v>137</v>
      </c>
      <c r="J513" s="139">
        <f>IFERROR(__xludf.DUMMYFUNCTION("""COMPUTED_VALUE"""),0.0)</f>
        <v>0</v>
      </c>
      <c r="K513" s="139">
        <f>IFERROR(__xludf.DUMMYFUNCTION("""COMPUTED_VALUE"""),0.0)</f>
        <v>0</v>
      </c>
      <c r="L513" s="139"/>
      <c r="M513" s="139" t="str">
        <f>IFERROR(__xludf.DUMMYFUNCTION("""COMPUTED_VALUE"""),"敵単体に最大5回の連続攻撃(自身の攻撃ステータスの最大183%ダメージ) + 1回目の攻撃がヒットした場合、敵を1.3秒間、スタン状態にする")</f>
        <v>敵単体に最大5回の連続攻撃(自身の攻撃ステータスの最大183%ダメージ) + 1回目の攻撃がヒットした場合、敵を1.3秒間、スタン状態にする</v>
      </c>
      <c r="N513" s="139" t="str">
        <f>IFERROR(__xludf.DUMMYFUNCTION("""COMPUTED_VALUE"""),"ステータスUP + 必殺ワザ性能UP")</f>
        <v>ステータスUP + 必殺ワザ性能UP</v>
      </c>
    </row>
    <row r="514">
      <c r="A514" s="139" t="str">
        <f>IFERROR(__xludf.DUMMYFUNCTION("""COMPUTED_VALUE"""),"e")</f>
        <v>e</v>
      </c>
      <c r="B514" s="139">
        <f>IFERROR(__xludf.DUMMYFUNCTION("""COMPUTED_VALUE"""),2.0250901E8)</f>
        <v>202509010</v>
      </c>
      <c r="C514" s="139" t="str">
        <f>IFERROR(__xludf.DUMMYFUNCTION("""COMPUTED_VALUE"""),"chara_ron_00001_Special_00004")</f>
        <v>chara_ron_00001_Special_00004</v>
      </c>
      <c r="D514" s="139" t="str">
        <f>IFERROR(__xludf.DUMMYFUNCTION("""COMPUTED_VALUE"""),"chara_ron_00001")</f>
        <v>chara_ron_00001</v>
      </c>
      <c r="E514" s="139">
        <f>IFERROR(__xludf.DUMMYFUNCTION("""COMPUTED_VALUE"""),4.0)</f>
        <v>4</v>
      </c>
      <c r="F514" s="139" t="str">
        <f>IFERROR(__xludf.DUMMYFUNCTION("""COMPUTED_VALUE"""),"Special")</f>
        <v>Special</v>
      </c>
      <c r="G514" s="139"/>
      <c r="H514" s="139"/>
      <c r="I514" s="139">
        <f>IFERROR(__xludf.DUMMYFUNCTION("""COMPUTED_VALUE"""),137.0)</f>
        <v>137</v>
      </c>
      <c r="J514" s="139">
        <f>IFERROR(__xludf.DUMMYFUNCTION("""COMPUTED_VALUE"""),0.0)</f>
        <v>0</v>
      </c>
      <c r="K514" s="139">
        <f>IFERROR(__xludf.DUMMYFUNCTION("""COMPUTED_VALUE"""),0.0)</f>
        <v>0</v>
      </c>
      <c r="L514" s="139"/>
      <c r="M514" s="139" t="str">
        <f>IFERROR(__xludf.DUMMYFUNCTION("""COMPUTED_VALUE"""),"敵単体に最大5回の連続攻撃(自身の攻撃ステータスの最大193%ダメージ) + 1回目の攻撃がヒットした場合、敵を1.4秒間、スタン状態にする")</f>
        <v>敵単体に最大5回の連続攻撃(自身の攻撃ステータスの最大193%ダメージ) + 1回目の攻撃がヒットした場合、敵を1.4秒間、スタン状態にする</v>
      </c>
      <c r="N514" s="139" t="str">
        <f>IFERROR(__xludf.DUMMYFUNCTION("""COMPUTED_VALUE"""),"ステータスUP + 必殺ワザ性能UP")</f>
        <v>ステータスUP + 必殺ワザ性能UP</v>
      </c>
    </row>
    <row r="515">
      <c r="A515" s="139" t="str">
        <f>IFERROR(__xludf.DUMMYFUNCTION("""COMPUTED_VALUE"""),"e")</f>
        <v>e</v>
      </c>
      <c r="B515" s="139">
        <f>IFERROR(__xludf.DUMMYFUNCTION("""COMPUTED_VALUE"""),2.0250901E8)</f>
        <v>202509010</v>
      </c>
      <c r="C515" s="139" t="str">
        <f>IFERROR(__xludf.DUMMYFUNCTION("""COMPUTED_VALUE"""),"chara_ron_00001_Special_00005")</f>
        <v>chara_ron_00001_Special_00005</v>
      </c>
      <c r="D515" s="139" t="str">
        <f>IFERROR(__xludf.DUMMYFUNCTION("""COMPUTED_VALUE"""),"chara_ron_00001")</f>
        <v>chara_ron_00001</v>
      </c>
      <c r="E515" s="139">
        <f>IFERROR(__xludf.DUMMYFUNCTION("""COMPUTED_VALUE"""),5.0)</f>
        <v>5</v>
      </c>
      <c r="F515" s="139" t="str">
        <f>IFERROR(__xludf.DUMMYFUNCTION("""COMPUTED_VALUE"""),"Special")</f>
        <v>Special</v>
      </c>
      <c r="G515" s="139"/>
      <c r="H515" s="139"/>
      <c r="I515" s="139">
        <f>IFERROR(__xludf.DUMMYFUNCTION("""COMPUTED_VALUE"""),137.0)</f>
        <v>137</v>
      </c>
      <c r="J515" s="139">
        <f>IFERROR(__xludf.DUMMYFUNCTION("""COMPUTED_VALUE"""),0.0)</f>
        <v>0</v>
      </c>
      <c r="K515" s="139">
        <f>IFERROR(__xludf.DUMMYFUNCTION("""COMPUTED_VALUE"""),0.0)</f>
        <v>0</v>
      </c>
      <c r="L515" s="139"/>
      <c r="M515" s="139" t="str">
        <f>IFERROR(__xludf.DUMMYFUNCTION("""COMPUTED_VALUE"""),"敵単体に最大5回の連続攻撃(自身の攻撃ステータスの最大200%ダメージ) + 1回目の攻撃がヒットした場合、敵を1.5秒間、スタン状態にする")</f>
        <v>敵単体に最大5回の連続攻撃(自身の攻撃ステータスの最大200%ダメージ) + 1回目の攻撃がヒットした場合、敵を1.5秒間、スタン状態にする</v>
      </c>
      <c r="N515" s="139" t="str">
        <f>IFERROR(__xludf.DUMMYFUNCTION("""COMPUTED_VALUE"""),"ステータスUP + 必殺ワザ性能UP")</f>
        <v>ステータスUP + 必殺ワザ性能UP</v>
      </c>
    </row>
    <row r="516">
      <c r="A516" s="139"/>
      <c r="B516" s="139"/>
      <c r="C516" s="139" t="str">
        <f>IFERROR(__xludf.DUMMYFUNCTION("""COMPUTED_VALUE"""),"chara_ron_00001_Special_00006")</f>
        <v>chara_ron_00001_Special_00006</v>
      </c>
      <c r="D516" s="139" t="str">
        <f>IFERROR(__xludf.DUMMYFUNCTION("""COMPUTED_VALUE"""),"chara_ron_00001")</f>
        <v>chara_ron_00001</v>
      </c>
      <c r="E516" s="139">
        <f>IFERROR(__xludf.DUMMYFUNCTION("""COMPUTED_VALUE"""),6.0)</f>
        <v>6</v>
      </c>
      <c r="F516" s="139" t="str">
        <f>IFERROR(__xludf.DUMMYFUNCTION("""COMPUTED_VALUE"""),"Special")</f>
        <v>Special</v>
      </c>
      <c r="G516" s="139"/>
      <c r="H516" s="139"/>
      <c r="I516" s="139">
        <f>IFERROR(__xludf.DUMMYFUNCTION("""COMPUTED_VALUE"""),137.0)</f>
        <v>137</v>
      </c>
      <c r="J516" s="139">
        <f>IFERROR(__xludf.DUMMYFUNCTION("""COMPUTED_VALUE"""),0.0)</f>
        <v>0</v>
      </c>
      <c r="K516" s="139">
        <f>IFERROR(__xludf.DUMMYFUNCTION("""COMPUTED_VALUE"""),0.0)</f>
        <v>0</v>
      </c>
      <c r="L516" s="139"/>
      <c r="M516" s="139"/>
      <c r="N516" s="139"/>
    </row>
    <row r="517">
      <c r="A517" s="139"/>
      <c r="B517" s="139"/>
      <c r="C517" s="139" t="str">
        <f>IFERROR(__xludf.DUMMYFUNCTION("""COMPUTED_VALUE"""),"chara_ron_00001_Special_00007")</f>
        <v>chara_ron_00001_Special_00007</v>
      </c>
      <c r="D517" s="139" t="str">
        <f>IFERROR(__xludf.DUMMYFUNCTION("""COMPUTED_VALUE"""),"chara_ron_00001")</f>
        <v>chara_ron_00001</v>
      </c>
      <c r="E517" s="139">
        <f>IFERROR(__xludf.DUMMYFUNCTION("""COMPUTED_VALUE"""),7.0)</f>
        <v>7</v>
      </c>
      <c r="F517" s="139" t="str">
        <f>IFERROR(__xludf.DUMMYFUNCTION("""COMPUTED_VALUE"""),"Special")</f>
        <v>Special</v>
      </c>
      <c r="G517" s="139"/>
      <c r="H517" s="139"/>
      <c r="I517" s="139">
        <f>IFERROR(__xludf.DUMMYFUNCTION("""COMPUTED_VALUE"""),137.0)</f>
        <v>137</v>
      </c>
      <c r="J517" s="139">
        <f>IFERROR(__xludf.DUMMYFUNCTION("""COMPUTED_VALUE"""),0.0)</f>
        <v>0</v>
      </c>
      <c r="K517" s="139">
        <f>IFERROR(__xludf.DUMMYFUNCTION("""COMPUTED_VALUE"""),0.0)</f>
        <v>0</v>
      </c>
      <c r="L517" s="139"/>
      <c r="M517" s="139"/>
      <c r="N517" s="139"/>
    </row>
    <row r="518">
      <c r="A518" s="139"/>
      <c r="B518" s="139"/>
      <c r="C518" s="139" t="str">
        <f>IFERROR(__xludf.DUMMYFUNCTION("""COMPUTED_VALUE"""),"chara_ron_00001_Special_00008")</f>
        <v>chara_ron_00001_Special_00008</v>
      </c>
      <c r="D518" s="139" t="str">
        <f>IFERROR(__xludf.DUMMYFUNCTION("""COMPUTED_VALUE"""),"chara_ron_00001")</f>
        <v>chara_ron_00001</v>
      </c>
      <c r="E518" s="139">
        <f>IFERROR(__xludf.DUMMYFUNCTION("""COMPUTED_VALUE"""),8.0)</f>
        <v>8</v>
      </c>
      <c r="F518" s="139" t="str">
        <f>IFERROR(__xludf.DUMMYFUNCTION("""COMPUTED_VALUE"""),"Special")</f>
        <v>Special</v>
      </c>
      <c r="G518" s="139"/>
      <c r="H518" s="139"/>
      <c r="I518" s="139">
        <f>IFERROR(__xludf.DUMMYFUNCTION("""COMPUTED_VALUE"""),137.0)</f>
        <v>137</v>
      </c>
      <c r="J518" s="139">
        <f>IFERROR(__xludf.DUMMYFUNCTION("""COMPUTED_VALUE"""),0.0)</f>
        <v>0</v>
      </c>
      <c r="K518" s="139">
        <f>IFERROR(__xludf.DUMMYFUNCTION("""COMPUTED_VALUE"""),0.0)</f>
        <v>0</v>
      </c>
      <c r="L518" s="139"/>
      <c r="M518" s="139"/>
      <c r="N518" s="139"/>
    </row>
    <row r="519">
      <c r="A519" s="139"/>
      <c r="B519" s="139"/>
      <c r="C519" s="139" t="str">
        <f>IFERROR(__xludf.DUMMYFUNCTION("""COMPUTED_VALUE"""),"chara_ron_00001_Special_00009")</f>
        <v>chara_ron_00001_Special_00009</v>
      </c>
      <c r="D519" s="139" t="str">
        <f>IFERROR(__xludf.DUMMYFUNCTION("""COMPUTED_VALUE"""),"chara_ron_00001")</f>
        <v>chara_ron_00001</v>
      </c>
      <c r="E519" s="139">
        <f>IFERROR(__xludf.DUMMYFUNCTION("""COMPUTED_VALUE"""),9.0)</f>
        <v>9</v>
      </c>
      <c r="F519" s="139" t="str">
        <f>IFERROR(__xludf.DUMMYFUNCTION("""COMPUTED_VALUE"""),"Special")</f>
        <v>Special</v>
      </c>
      <c r="G519" s="139"/>
      <c r="H519" s="139"/>
      <c r="I519" s="139">
        <f>IFERROR(__xludf.DUMMYFUNCTION("""COMPUTED_VALUE"""),137.0)</f>
        <v>137</v>
      </c>
      <c r="J519" s="139">
        <f>IFERROR(__xludf.DUMMYFUNCTION("""COMPUTED_VALUE"""),0.0)</f>
        <v>0</v>
      </c>
      <c r="K519" s="139">
        <f>IFERROR(__xludf.DUMMYFUNCTION("""COMPUTED_VALUE"""),0.0)</f>
        <v>0</v>
      </c>
      <c r="L519" s="139"/>
      <c r="M519" s="139"/>
      <c r="N519" s="139"/>
    </row>
    <row r="520">
      <c r="A520" s="139"/>
      <c r="B520" s="139"/>
      <c r="C520" s="139" t="str">
        <f>IFERROR(__xludf.DUMMYFUNCTION("""COMPUTED_VALUE"""),"chara_ron_00001_Special_00010")</f>
        <v>chara_ron_00001_Special_00010</v>
      </c>
      <c r="D520" s="139" t="str">
        <f>IFERROR(__xludf.DUMMYFUNCTION("""COMPUTED_VALUE"""),"chara_ron_00001")</f>
        <v>chara_ron_00001</v>
      </c>
      <c r="E520" s="139">
        <f>IFERROR(__xludf.DUMMYFUNCTION("""COMPUTED_VALUE"""),10.0)</f>
        <v>10</v>
      </c>
      <c r="F520" s="139" t="str">
        <f>IFERROR(__xludf.DUMMYFUNCTION("""COMPUTED_VALUE"""),"Special")</f>
        <v>Special</v>
      </c>
      <c r="G520" s="139"/>
      <c r="H520" s="139"/>
      <c r="I520" s="139">
        <f>IFERROR(__xludf.DUMMYFUNCTION("""COMPUTED_VALUE"""),137.0)</f>
        <v>137</v>
      </c>
      <c r="J520" s="139">
        <f>IFERROR(__xludf.DUMMYFUNCTION("""COMPUTED_VALUE"""),0.0)</f>
        <v>0</v>
      </c>
      <c r="K520" s="139">
        <f>IFERROR(__xludf.DUMMYFUNCTION("""COMPUTED_VALUE"""),0.0)</f>
        <v>0</v>
      </c>
      <c r="L520" s="139"/>
      <c r="M520" s="139"/>
      <c r="N520" s="139"/>
    </row>
    <row r="521">
      <c r="A521" s="139" t="str">
        <f>IFERROR(__xludf.DUMMYFUNCTION("""COMPUTED_VALUE"""),"e")</f>
        <v>e</v>
      </c>
      <c r="B521" s="139">
        <f>IFERROR(__xludf.DUMMYFUNCTION("""COMPUTED_VALUE"""),2.0250901E8)</f>
        <v>202509010</v>
      </c>
      <c r="C521" s="139" t="str">
        <f>IFERROR(__xludf.DUMMYFUNCTION("""COMPUTED_VALUE"""),"chara_ron_00101_Normal_00000")</f>
        <v>chara_ron_00101_Normal_00000</v>
      </c>
      <c r="D521" s="139" t="str">
        <f>IFERROR(__xludf.DUMMYFUNCTION("""COMPUTED_VALUE"""),"chara_ron_00101")</f>
        <v>chara_ron_00101</v>
      </c>
      <c r="E521" s="139">
        <f>IFERROR(__xludf.DUMMYFUNCTION("""COMPUTED_VALUE"""),0.0)</f>
        <v>0</v>
      </c>
      <c r="F521" s="139" t="str">
        <f>IFERROR(__xludf.DUMMYFUNCTION("""COMPUTED_VALUE"""),"Normal")</f>
        <v>Normal</v>
      </c>
      <c r="G521" s="139"/>
      <c r="H521" s="139"/>
      <c r="I521" s="139">
        <f>IFERROR(__xludf.DUMMYFUNCTION("""COMPUTED_VALUE"""),84.0)</f>
        <v>84</v>
      </c>
      <c r="J521" s="139">
        <f>IFERROR(__xludf.DUMMYFUNCTION("""COMPUTED_VALUE"""),35.0)</f>
        <v>35</v>
      </c>
      <c r="K521" s="139">
        <f>IFERROR(__xludf.DUMMYFUNCTION("""COMPUTED_VALUE"""),100.0)</f>
        <v>100</v>
      </c>
      <c r="L521" s="139"/>
      <c r="M521" s="139" t="str">
        <f>IFERROR(__xludf.DUMMYFUNCTION("""COMPUTED_VALUE"""),"表示場所なし")</f>
        <v>表示場所なし</v>
      </c>
      <c r="N521" s="139"/>
    </row>
    <row r="522">
      <c r="A522" s="139" t="str">
        <f>IFERROR(__xludf.DUMMYFUNCTION("""COMPUTED_VALUE"""),"e")</f>
        <v>e</v>
      </c>
      <c r="B522" s="139">
        <f>IFERROR(__xludf.DUMMYFUNCTION("""COMPUTED_VALUE"""),2.0250901E8)</f>
        <v>202509010</v>
      </c>
      <c r="C522" s="139" t="str">
        <f>IFERROR(__xludf.DUMMYFUNCTION("""COMPUTED_VALUE"""),"chara_ron_00101_Special_00001")</f>
        <v>chara_ron_00101_Special_00001</v>
      </c>
      <c r="D522" s="139" t="str">
        <f>IFERROR(__xludf.DUMMYFUNCTION("""COMPUTED_VALUE"""),"chara_ron_00101")</f>
        <v>chara_ron_00101</v>
      </c>
      <c r="E522" s="139">
        <f>IFERROR(__xludf.DUMMYFUNCTION("""COMPUTED_VALUE"""),1.0)</f>
        <v>1</v>
      </c>
      <c r="F522" s="139" t="str">
        <f>IFERROR(__xludf.DUMMYFUNCTION("""COMPUTED_VALUE"""),"Special")</f>
        <v>Special</v>
      </c>
      <c r="G522" s="139"/>
      <c r="H522" s="139"/>
      <c r="I522" s="139">
        <f>IFERROR(__xludf.DUMMYFUNCTION("""COMPUTED_VALUE"""),134.0)</f>
        <v>134</v>
      </c>
      <c r="J522" s="139">
        <f>IFERROR(__xludf.DUMMYFUNCTION("""COMPUTED_VALUE"""),72.0)</f>
        <v>72</v>
      </c>
      <c r="K522" s="139">
        <f>IFERROR(__xludf.DUMMYFUNCTION("""COMPUTED_VALUE"""),0.0)</f>
        <v>0</v>
      </c>
      <c r="L522" s="139"/>
      <c r="M522" s="139" t="str">
        <f>IFERROR(__xludf.DUMMYFUNCTION("""COMPUTED_VALUE"""),"敵単体に自身の攻撃ステータスの116%のダメージ")</f>
        <v>敵単体に自身の攻撃ステータスの116%のダメージ</v>
      </c>
      <c r="N522" s="139"/>
    </row>
    <row r="523">
      <c r="A523" s="139" t="str">
        <f>IFERROR(__xludf.DUMMYFUNCTION("""COMPUTED_VALUE"""),"e")</f>
        <v>e</v>
      </c>
      <c r="B523" s="139">
        <f>IFERROR(__xludf.DUMMYFUNCTION("""COMPUTED_VALUE"""),2.0250901E8)</f>
        <v>202509010</v>
      </c>
      <c r="C523" s="139" t="str">
        <f>IFERROR(__xludf.DUMMYFUNCTION("""COMPUTED_VALUE"""),"chara_ron_00101_Special_00002")</f>
        <v>chara_ron_00101_Special_00002</v>
      </c>
      <c r="D523" s="139" t="str">
        <f>IFERROR(__xludf.DUMMYFUNCTION("""COMPUTED_VALUE"""),"chara_ron_00101")</f>
        <v>chara_ron_00101</v>
      </c>
      <c r="E523" s="139">
        <f>IFERROR(__xludf.DUMMYFUNCTION("""COMPUTED_VALUE"""),2.0)</f>
        <v>2</v>
      </c>
      <c r="F523" s="139" t="str">
        <f>IFERROR(__xludf.DUMMYFUNCTION("""COMPUTED_VALUE"""),"Special")</f>
        <v>Special</v>
      </c>
      <c r="G523" s="139"/>
      <c r="H523" s="139"/>
      <c r="I523" s="139">
        <f>IFERROR(__xludf.DUMMYFUNCTION("""COMPUTED_VALUE"""),134.0)</f>
        <v>134</v>
      </c>
      <c r="J523" s="139">
        <f>IFERROR(__xludf.DUMMYFUNCTION("""COMPUTED_VALUE"""),72.0)</f>
        <v>72</v>
      </c>
      <c r="K523" s="139">
        <f>IFERROR(__xludf.DUMMYFUNCTION("""COMPUTED_VALUE"""),0.0)</f>
        <v>0</v>
      </c>
      <c r="L523" s="139"/>
      <c r="M523" s="139" t="str">
        <f>IFERROR(__xludf.DUMMYFUNCTION("""COMPUTED_VALUE"""),"敵単体に自身の攻撃ステータスの133%のダメージ")</f>
        <v>敵単体に自身の攻撃ステータスの133%のダメージ</v>
      </c>
      <c r="N523" s="139" t="str">
        <f>IFERROR(__xludf.DUMMYFUNCTION("""COMPUTED_VALUE"""),"ステータスUP + 必殺ワザ性能UP")</f>
        <v>ステータスUP + 必殺ワザ性能UP</v>
      </c>
    </row>
    <row r="524">
      <c r="A524" s="139" t="str">
        <f>IFERROR(__xludf.DUMMYFUNCTION("""COMPUTED_VALUE"""),"e")</f>
        <v>e</v>
      </c>
      <c r="B524" s="139">
        <f>IFERROR(__xludf.DUMMYFUNCTION("""COMPUTED_VALUE"""),2.0250901E8)</f>
        <v>202509010</v>
      </c>
      <c r="C524" s="139" t="str">
        <f>IFERROR(__xludf.DUMMYFUNCTION("""COMPUTED_VALUE"""),"chara_ron_00101_Special_00003")</f>
        <v>chara_ron_00101_Special_00003</v>
      </c>
      <c r="D524" s="139" t="str">
        <f>IFERROR(__xludf.DUMMYFUNCTION("""COMPUTED_VALUE"""),"chara_ron_00101")</f>
        <v>chara_ron_00101</v>
      </c>
      <c r="E524" s="139">
        <f>IFERROR(__xludf.DUMMYFUNCTION("""COMPUTED_VALUE"""),3.0)</f>
        <v>3</v>
      </c>
      <c r="F524" s="139" t="str">
        <f>IFERROR(__xludf.DUMMYFUNCTION("""COMPUTED_VALUE"""),"Special")</f>
        <v>Special</v>
      </c>
      <c r="G524" s="139"/>
      <c r="H524" s="139"/>
      <c r="I524" s="139">
        <f>IFERROR(__xludf.DUMMYFUNCTION("""COMPUTED_VALUE"""),134.0)</f>
        <v>134</v>
      </c>
      <c r="J524" s="139">
        <f>IFERROR(__xludf.DUMMYFUNCTION("""COMPUTED_VALUE"""),72.0)</f>
        <v>72</v>
      </c>
      <c r="K524" s="139">
        <f>IFERROR(__xludf.DUMMYFUNCTION("""COMPUTED_VALUE"""),0.0)</f>
        <v>0</v>
      </c>
      <c r="L524" s="139"/>
      <c r="M524" s="139" t="str">
        <f>IFERROR(__xludf.DUMMYFUNCTION("""COMPUTED_VALUE"""),"敵単体に自身の攻撃ステータスの144%のダメージ")</f>
        <v>敵単体に自身の攻撃ステータスの144%のダメージ</v>
      </c>
      <c r="N524" s="139" t="str">
        <f>IFERROR(__xludf.DUMMYFUNCTION("""COMPUTED_VALUE"""),"ステータスUP + 必殺ワザ性能UP")</f>
        <v>ステータスUP + 必殺ワザ性能UP</v>
      </c>
    </row>
    <row r="525">
      <c r="A525" s="139" t="str">
        <f>IFERROR(__xludf.DUMMYFUNCTION("""COMPUTED_VALUE"""),"e")</f>
        <v>e</v>
      </c>
      <c r="B525" s="139">
        <f>IFERROR(__xludf.DUMMYFUNCTION("""COMPUTED_VALUE"""),2.0250901E8)</f>
        <v>202509010</v>
      </c>
      <c r="C525" s="139" t="str">
        <f>IFERROR(__xludf.DUMMYFUNCTION("""COMPUTED_VALUE"""),"chara_ron_00101_Special_00004")</f>
        <v>chara_ron_00101_Special_00004</v>
      </c>
      <c r="D525" s="139" t="str">
        <f>IFERROR(__xludf.DUMMYFUNCTION("""COMPUTED_VALUE"""),"chara_ron_00101")</f>
        <v>chara_ron_00101</v>
      </c>
      <c r="E525" s="139">
        <f>IFERROR(__xludf.DUMMYFUNCTION("""COMPUTED_VALUE"""),4.0)</f>
        <v>4</v>
      </c>
      <c r="F525" s="139" t="str">
        <f>IFERROR(__xludf.DUMMYFUNCTION("""COMPUTED_VALUE"""),"Special")</f>
        <v>Special</v>
      </c>
      <c r="G525" s="139"/>
      <c r="H525" s="139"/>
      <c r="I525" s="139">
        <f>IFERROR(__xludf.DUMMYFUNCTION("""COMPUTED_VALUE"""),134.0)</f>
        <v>134</v>
      </c>
      <c r="J525" s="139">
        <f>IFERROR(__xludf.DUMMYFUNCTION("""COMPUTED_VALUE"""),72.0)</f>
        <v>72</v>
      </c>
      <c r="K525" s="139">
        <f>IFERROR(__xludf.DUMMYFUNCTION("""COMPUTED_VALUE"""),0.0)</f>
        <v>0</v>
      </c>
      <c r="L525" s="139"/>
      <c r="M525" s="139" t="str">
        <f>IFERROR(__xludf.DUMMYFUNCTION("""COMPUTED_VALUE"""),"敵単体に自身の攻撃ステータスの152%のダメージ")</f>
        <v>敵単体に自身の攻撃ステータスの152%のダメージ</v>
      </c>
      <c r="N525" s="139" t="str">
        <f>IFERROR(__xludf.DUMMYFUNCTION("""COMPUTED_VALUE"""),"ステータスUP + 必殺ワザ性能UP")</f>
        <v>ステータスUP + 必殺ワザ性能UP</v>
      </c>
    </row>
    <row r="526">
      <c r="A526" s="139" t="str">
        <f>IFERROR(__xludf.DUMMYFUNCTION("""COMPUTED_VALUE"""),"e")</f>
        <v>e</v>
      </c>
      <c r="B526" s="139">
        <f>IFERROR(__xludf.DUMMYFUNCTION("""COMPUTED_VALUE"""),2.0250901E8)</f>
        <v>202509010</v>
      </c>
      <c r="C526" s="139" t="str">
        <f>IFERROR(__xludf.DUMMYFUNCTION("""COMPUTED_VALUE"""),"chara_ron_00101_Special_00005")</f>
        <v>chara_ron_00101_Special_00005</v>
      </c>
      <c r="D526" s="139" t="str">
        <f>IFERROR(__xludf.DUMMYFUNCTION("""COMPUTED_VALUE"""),"chara_ron_00101")</f>
        <v>chara_ron_00101</v>
      </c>
      <c r="E526" s="139">
        <f>IFERROR(__xludf.DUMMYFUNCTION("""COMPUTED_VALUE"""),5.0)</f>
        <v>5</v>
      </c>
      <c r="F526" s="139" t="str">
        <f>IFERROR(__xludf.DUMMYFUNCTION("""COMPUTED_VALUE"""),"Special")</f>
        <v>Special</v>
      </c>
      <c r="G526" s="139"/>
      <c r="H526" s="139"/>
      <c r="I526" s="139">
        <f>IFERROR(__xludf.DUMMYFUNCTION("""COMPUTED_VALUE"""),134.0)</f>
        <v>134</v>
      </c>
      <c r="J526" s="139">
        <f>IFERROR(__xludf.DUMMYFUNCTION("""COMPUTED_VALUE"""),72.0)</f>
        <v>72</v>
      </c>
      <c r="K526" s="139">
        <f>IFERROR(__xludf.DUMMYFUNCTION("""COMPUTED_VALUE"""),0.0)</f>
        <v>0</v>
      </c>
      <c r="L526" s="139"/>
      <c r="M526" s="139" t="str">
        <f>IFERROR(__xludf.DUMMYFUNCTION("""COMPUTED_VALUE"""),"敵単体に自身の攻撃ステータスの158%のダメージ")</f>
        <v>敵単体に自身の攻撃ステータスの158%のダメージ</v>
      </c>
      <c r="N526" s="139" t="str">
        <f>IFERROR(__xludf.DUMMYFUNCTION("""COMPUTED_VALUE"""),"ステータスUP + 必殺ワザ性能UP")</f>
        <v>ステータスUP + 必殺ワザ性能UP</v>
      </c>
    </row>
    <row r="527">
      <c r="A527" s="139"/>
      <c r="B527" s="139"/>
      <c r="C527" s="139" t="str">
        <f>IFERROR(__xludf.DUMMYFUNCTION("""COMPUTED_VALUE"""),"chara_ron_00101_Special_00006")</f>
        <v>chara_ron_00101_Special_00006</v>
      </c>
      <c r="D527" s="139" t="str">
        <f>IFERROR(__xludf.DUMMYFUNCTION("""COMPUTED_VALUE"""),"chara_ron_00101")</f>
        <v>chara_ron_00101</v>
      </c>
      <c r="E527" s="139">
        <f>IFERROR(__xludf.DUMMYFUNCTION("""COMPUTED_VALUE"""),6.0)</f>
        <v>6</v>
      </c>
      <c r="F527" s="139" t="str">
        <f>IFERROR(__xludf.DUMMYFUNCTION("""COMPUTED_VALUE"""),"Special")</f>
        <v>Special</v>
      </c>
      <c r="G527" s="139"/>
      <c r="H527" s="139"/>
      <c r="I527" s="139">
        <f>IFERROR(__xludf.DUMMYFUNCTION("""COMPUTED_VALUE"""),134.0)</f>
        <v>134</v>
      </c>
      <c r="J527" s="139">
        <f>IFERROR(__xludf.DUMMYFUNCTION("""COMPUTED_VALUE"""),72.0)</f>
        <v>72</v>
      </c>
      <c r="K527" s="139">
        <f>IFERROR(__xludf.DUMMYFUNCTION("""COMPUTED_VALUE"""),0.0)</f>
        <v>0</v>
      </c>
      <c r="L527" s="139"/>
      <c r="M527" s="139"/>
      <c r="N527" s="139"/>
    </row>
    <row r="528">
      <c r="A528" s="139"/>
      <c r="B528" s="139"/>
      <c r="C528" s="139" t="str">
        <f>IFERROR(__xludf.DUMMYFUNCTION("""COMPUTED_VALUE"""),"chara_ron_00101_Special_00007")</f>
        <v>chara_ron_00101_Special_00007</v>
      </c>
      <c r="D528" s="139" t="str">
        <f>IFERROR(__xludf.DUMMYFUNCTION("""COMPUTED_VALUE"""),"chara_ron_00101")</f>
        <v>chara_ron_00101</v>
      </c>
      <c r="E528" s="139">
        <f>IFERROR(__xludf.DUMMYFUNCTION("""COMPUTED_VALUE"""),7.0)</f>
        <v>7</v>
      </c>
      <c r="F528" s="139" t="str">
        <f>IFERROR(__xludf.DUMMYFUNCTION("""COMPUTED_VALUE"""),"Special")</f>
        <v>Special</v>
      </c>
      <c r="G528" s="139"/>
      <c r="H528" s="139"/>
      <c r="I528" s="139">
        <f>IFERROR(__xludf.DUMMYFUNCTION("""COMPUTED_VALUE"""),134.0)</f>
        <v>134</v>
      </c>
      <c r="J528" s="139">
        <f>IFERROR(__xludf.DUMMYFUNCTION("""COMPUTED_VALUE"""),72.0)</f>
        <v>72</v>
      </c>
      <c r="K528" s="139">
        <f>IFERROR(__xludf.DUMMYFUNCTION("""COMPUTED_VALUE"""),0.0)</f>
        <v>0</v>
      </c>
      <c r="L528" s="139"/>
      <c r="M528" s="139"/>
      <c r="N528" s="139"/>
    </row>
    <row r="529">
      <c r="A529" s="139"/>
      <c r="B529" s="139"/>
      <c r="C529" s="139" t="str">
        <f>IFERROR(__xludf.DUMMYFUNCTION("""COMPUTED_VALUE"""),"chara_ron_00101_Special_00008")</f>
        <v>chara_ron_00101_Special_00008</v>
      </c>
      <c r="D529" s="139" t="str">
        <f>IFERROR(__xludf.DUMMYFUNCTION("""COMPUTED_VALUE"""),"chara_ron_00101")</f>
        <v>chara_ron_00101</v>
      </c>
      <c r="E529" s="139">
        <f>IFERROR(__xludf.DUMMYFUNCTION("""COMPUTED_VALUE"""),8.0)</f>
        <v>8</v>
      </c>
      <c r="F529" s="139" t="str">
        <f>IFERROR(__xludf.DUMMYFUNCTION("""COMPUTED_VALUE"""),"Special")</f>
        <v>Special</v>
      </c>
      <c r="G529" s="139"/>
      <c r="H529" s="139"/>
      <c r="I529" s="139">
        <f>IFERROR(__xludf.DUMMYFUNCTION("""COMPUTED_VALUE"""),134.0)</f>
        <v>134</v>
      </c>
      <c r="J529" s="139">
        <f>IFERROR(__xludf.DUMMYFUNCTION("""COMPUTED_VALUE"""),72.0)</f>
        <v>72</v>
      </c>
      <c r="K529" s="139">
        <f>IFERROR(__xludf.DUMMYFUNCTION("""COMPUTED_VALUE"""),0.0)</f>
        <v>0</v>
      </c>
      <c r="L529" s="139"/>
      <c r="M529" s="139"/>
      <c r="N529" s="139"/>
    </row>
    <row r="530">
      <c r="A530" s="139"/>
      <c r="B530" s="139"/>
      <c r="C530" s="139" t="str">
        <f>IFERROR(__xludf.DUMMYFUNCTION("""COMPUTED_VALUE"""),"chara_ron_00101_Special_00009")</f>
        <v>chara_ron_00101_Special_00009</v>
      </c>
      <c r="D530" s="139" t="str">
        <f>IFERROR(__xludf.DUMMYFUNCTION("""COMPUTED_VALUE"""),"chara_ron_00101")</f>
        <v>chara_ron_00101</v>
      </c>
      <c r="E530" s="139">
        <f>IFERROR(__xludf.DUMMYFUNCTION("""COMPUTED_VALUE"""),9.0)</f>
        <v>9</v>
      </c>
      <c r="F530" s="139" t="str">
        <f>IFERROR(__xludf.DUMMYFUNCTION("""COMPUTED_VALUE"""),"Special")</f>
        <v>Special</v>
      </c>
      <c r="G530" s="139"/>
      <c r="H530" s="139"/>
      <c r="I530" s="139">
        <f>IFERROR(__xludf.DUMMYFUNCTION("""COMPUTED_VALUE"""),134.0)</f>
        <v>134</v>
      </c>
      <c r="J530" s="139">
        <f>IFERROR(__xludf.DUMMYFUNCTION("""COMPUTED_VALUE"""),72.0)</f>
        <v>72</v>
      </c>
      <c r="K530" s="139">
        <f>IFERROR(__xludf.DUMMYFUNCTION("""COMPUTED_VALUE"""),0.0)</f>
        <v>0</v>
      </c>
      <c r="L530" s="139"/>
      <c r="M530" s="139"/>
      <c r="N530" s="139"/>
    </row>
    <row r="531">
      <c r="A531" s="139"/>
      <c r="B531" s="139"/>
      <c r="C531" s="139" t="str">
        <f>IFERROR(__xludf.DUMMYFUNCTION("""COMPUTED_VALUE"""),"chara_ron_00101_Special_00010")</f>
        <v>chara_ron_00101_Special_00010</v>
      </c>
      <c r="D531" s="139" t="str">
        <f>IFERROR(__xludf.DUMMYFUNCTION("""COMPUTED_VALUE"""),"chara_ron_00101")</f>
        <v>chara_ron_00101</v>
      </c>
      <c r="E531" s="139">
        <f>IFERROR(__xludf.DUMMYFUNCTION("""COMPUTED_VALUE"""),10.0)</f>
        <v>10</v>
      </c>
      <c r="F531" s="139" t="str">
        <f>IFERROR(__xludf.DUMMYFUNCTION("""COMPUTED_VALUE"""),"Special")</f>
        <v>Special</v>
      </c>
      <c r="G531" s="139"/>
      <c r="H531" s="139"/>
      <c r="I531" s="139">
        <f>IFERROR(__xludf.DUMMYFUNCTION("""COMPUTED_VALUE"""),134.0)</f>
        <v>134</v>
      </c>
      <c r="J531" s="139">
        <f>IFERROR(__xludf.DUMMYFUNCTION("""COMPUTED_VALUE"""),72.0)</f>
        <v>72</v>
      </c>
      <c r="K531" s="139">
        <f>IFERROR(__xludf.DUMMYFUNCTION("""COMPUTED_VALUE"""),0.0)</f>
        <v>0</v>
      </c>
      <c r="L531" s="139"/>
      <c r="M531" s="139"/>
      <c r="N531" s="139"/>
    </row>
    <row r="532">
      <c r="A532" s="139" t="str">
        <f>IFERROR(__xludf.DUMMYFUNCTION("""COMPUTED_VALUE"""),"e")</f>
        <v>e</v>
      </c>
      <c r="B532" s="139">
        <f>IFERROR(__xludf.DUMMYFUNCTION("""COMPUTED_VALUE"""),2.0250901E8)</f>
        <v>202509010</v>
      </c>
      <c r="C532" s="139" t="str">
        <f>IFERROR(__xludf.DUMMYFUNCTION("""COMPUTED_VALUE"""),"chara_dos_00101_Normal_00000")</f>
        <v>chara_dos_00101_Normal_00000</v>
      </c>
      <c r="D532" s="139" t="str">
        <f>IFERROR(__xludf.DUMMYFUNCTION("""COMPUTED_VALUE"""),"chara_dos_00101")</f>
        <v>chara_dos_00101</v>
      </c>
      <c r="E532" s="139">
        <f>IFERROR(__xludf.DUMMYFUNCTION("""COMPUTED_VALUE"""),0.0)</f>
        <v>0</v>
      </c>
      <c r="F532" s="139" t="str">
        <f>IFERROR(__xludf.DUMMYFUNCTION("""COMPUTED_VALUE"""),"Normal")</f>
        <v>Normal</v>
      </c>
      <c r="G532" s="139"/>
      <c r="H532" s="139"/>
      <c r="I532" s="139">
        <f>IFERROR(__xludf.DUMMYFUNCTION("""COMPUTED_VALUE"""),0.0)</f>
        <v>0</v>
      </c>
      <c r="J532" s="139">
        <f>IFERROR(__xludf.DUMMYFUNCTION("""COMPUTED_VALUE"""),0.0)</f>
        <v>0</v>
      </c>
      <c r="K532" s="139">
        <f>IFERROR(__xludf.DUMMYFUNCTION("""COMPUTED_VALUE"""),55.0)</f>
        <v>55</v>
      </c>
      <c r="L532" s="139"/>
      <c r="M532" s="139" t="str">
        <f>IFERROR(__xludf.DUMMYFUNCTION("""COMPUTED_VALUE"""),"表示場所なし")</f>
        <v>表示場所なし</v>
      </c>
      <c r="N532" s="139"/>
    </row>
    <row r="533">
      <c r="A533" s="139" t="str">
        <f>IFERROR(__xludf.DUMMYFUNCTION("""COMPUTED_VALUE"""),"e")</f>
        <v>e</v>
      </c>
      <c r="B533" s="139">
        <f>IFERROR(__xludf.DUMMYFUNCTION("""COMPUTED_VALUE"""),2.0250901E8)</f>
        <v>202509010</v>
      </c>
      <c r="C533" s="139" t="str">
        <f>IFERROR(__xludf.DUMMYFUNCTION("""COMPUTED_VALUE"""),"chara_dos_00101_Special_00001")</f>
        <v>chara_dos_00101_Special_00001</v>
      </c>
      <c r="D533" s="139" t="str">
        <f>IFERROR(__xludf.DUMMYFUNCTION("""COMPUTED_VALUE"""),"chara_dos_00101")</f>
        <v>chara_dos_00101</v>
      </c>
      <c r="E533" s="139">
        <f>IFERROR(__xludf.DUMMYFUNCTION("""COMPUTED_VALUE"""),1.0)</f>
        <v>1</v>
      </c>
      <c r="F533" s="139" t="str">
        <f>IFERROR(__xludf.DUMMYFUNCTION("""COMPUTED_VALUE"""),"Special")</f>
        <v>Special</v>
      </c>
      <c r="G533" s="139"/>
      <c r="H533" s="139"/>
      <c r="I533" s="139">
        <f>IFERROR(__xludf.DUMMYFUNCTION("""COMPUTED_VALUE"""),242.0)</f>
        <v>242</v>
      </c>
      <c r="J533" s="139">
        <f>IFERROR(__xludf.DUMMYFUNCTION("""COMPUTED_VALUE"""),0.0)</f>
        <v>0</v>
      </c>
      <c r="K533" s="139">
        <f>IFERROR(__xludf.DUMMYFUNCTION("""COMPUTED_VALUE"""),0.0)</f>
        <v>0</v>
      </c>
      <c r="L533" s="139"/>
      <c r="M533" s="139" t="str">
        <f>IFERROR(__xludf.DUMMYFUNCTION("""COMPUTED_VALUE"""),"選択したコマにいる味方ディフェンスキャラへの被ダメージを{chara_dos_00101_Special_00001_effective_duration}秒間、{chara_dos_00101_Special_00001_effect_parameter}%カット")</f>
        <v>選択したコマにいる味方ディフェンスキャラへの被ダメージを{chara_dos_00101_Special_00001_effective_duration}秒間、{chara_dos_00101_Special_00001_effect_parameter}%カット</v>
      </c>
      <c r="N533" s="139"/>
    </row>
    <row r="534">
      <c r="A534" s="139" t="str">
        <f>IFERROR(__xludf.DUMMYFUNCTION("""COMPUTED_VALUE"""),"e")</f>
        <v>e</v>
      </c>
      <c r="B534" s="139">
        <f>IFERROR(__xludf.DUMMYFUNCTION("""COMPUTED_VALUE"""),2.0250901E8)</f>
        <v>202509010</v>
      </c>
      <c r="C534" s="139" t="str">
        <f>IFERROR(__xludf.DUMMYFUNCTION("""COMPUTED_VALUE"""),"chara_dos_00101_Special_00002")</f>
        <v>chara_dos_00101_Special_00002</v>
      </c>
      <c r="D534" s="139" t="str">
        <f>IFERROR(__xludf.DUMMYFUNCTION("""COMPUTED_VALUE"""),"chara_dos_00101")</f>
        <v>chara_dos_00101</v>
      </c>
      <c r="E534" s="139">
        <f>IFERROR(__xludf.DUMMYFUNCTION("""COMPUTED_VALUE"""),2.0)</f>
        <v>2</v>
      </c>
      <c r="F534" s="139" t="str">
        <f>IFERROR(__xludf.DUMMYFUNCTION("""COMPUTED_VALUE"""),"Special")</f>
        <v>Special</v>
      </c>
      <c r="G534" s="139"/>
      <c r="H534" s="139"/>
      <c r="I534" s="139">
        <f>IFERROR(__xludf.DUMMYFUNCTION("""COMPUTED_VALUE"""),242.0)</f>
        <v>242</v>
      </c>
      <c r="J534" s="139">
        <f>IFERROR(__xludf.DUMMYFUNCTION("""COMPUTED_VALUE"""),0.0)</f>
        <v>0</v>
      </c>
      <c r="K534" s="139">
        <f>IFERROR(__xludf.DUMMYFUNCTION("""COMPUTED_VALUE"""),0.0)</f>
        <v>0</v>
      </c>
      <c r="L534" s="139"/>
      <c r="M534" s="139" t="str">
        <f>IFERROR(__xludf.DUMMYFUNCTION("""COMPUTED_VALUE"""),"選択したコマにいる味方ディフェンスキャラへの被ダメージを{chara_dos_00101_Special_00002_effective_duration}秒間、{chara_dos_00101_Special_00002_effect_parameter}%カット")</f>
        <v>選択したコマにいる味方ディフェンスキャラへの被ダメージを{chara_dos_00101_Special_00002_effective_duration}秒間、{chara_dos_00101_Special_00002_effect_parameter}%カット</v>
      </c>
      <c r="N534" s="139" t="str">
        <f>IFERROR(__xludf.DUMMYFUNCTION("""COMPUTED_VALUE"""),"必殺ワザ性能UP")</f>
        <v>必殺ワザ性能UP</v>
      </c>
    </row>
    <row r="535">
      <c r="A535" s="139" t="str">
        <f>IFERROR(__xludf.DUMMYFUNCTION("""COMPUTED_VALUE"""),"e")</f>
        <v>e</v>
      </c>
      <c r="B535" s="139">
        <f>IFERROR(__xludf.DUMMYFUNCTION("""COMPUTED_VALUE"""),2.0250901E8)</f>
        <v>202509010</v>
      </c>
      <c r="C535" s="139" t="str">
        <f>IFERROR(__xludf.DUMMYFUNCTION("""COMPUTED_VALUE"""),"chara_dos_00101_Special_00003")</f>
        <v>chara_dos_00101_Special_00003</v>
      </c>
      <c r="D535" s="139" t="str">
        <f>IFERROR(__xludf.DUMMYFUNCTION("""COMPUTED_VALUE"""),"chara_dos_00101")</f>
        <v>chara_dos_00101</v>
      </c>
      <c r="E535" s="139">
        <f>IFERROR(__xludf.DUMMYFUNCTION("""COMPUTED_VALUE"""),3.0)</f>
        <v>3</v>
      </c>
      <c r="F535" s="139" t="str">
        <f>IFERROR(__xludf.DUMMYFUNCTION("""COMPUTED_VALUE"""),"Special")</f>
        <v>Special</v>
      </c>
      <c r="G535" s="139"/>
      <c r="H535" s="139"/>
      <c r="I535" s="139">
        <f>IFERROR(__xludf.DUMMYFUNCTION("""COMPUTED_VALUE"""),242.0)</f>
        <v>242</v>
      </c>
      <c r="J535" s="139">
        <f>IFERROR(__xludf.DUMMYFUNCTION("""COMPUTED_VALUE"""),0.0)</f>
        <v>0</v>
      </c>
      <c r="K535" s="139">
        <f>IFERROR(__xludf.DUMMYFUNCTION("""COMPUTED_VALUE"""),0.0)</f>
        <v>0</v>
      </c>
      <c r="L535" s="139"/>
      <c r="M535" s="139" t="str">
        <f>IFERROR(__xludf.DUMMYFUNCTION("""COMPUTED_VALUE"""),"選択したコマにいる味方ディフェンスキャラへの被ダメージを{chara_dos_00101_Special_00003_effective_duration}秒間、{chara_dos_00101_Special_00003_effect_parameter}%カット")</f>
        <v>選択したコマにいる味方ディフェンスキャラへの被ダメージを{chara_dos_00101_Special_00003_effective_duration}秒間、{chara_dos_00101_Special_00003_effect_parameter}%カット</v>
      </c>
      <c r="N535" s="139" t="str">
        <f>IFERROR(__xludf.DUMMYFUNCTION("""COMPUTED_VALUE"""),"必殺ワザ性能UP")</f>
        <v>必殺ワザ性能UP</v>
      </c>
    </row>
    <row r="536">
      <c r="A536" s="139" t="str">
        <f>IFERROR(__xludf.DUMMYFUNCTION("""COMPUTED_VALUE"""),"e")</f>
        <v>e</v>
      </c>
      <c r="B536" s="139">
        <f>IFERROR(__xludf.DUMMYFUNCTION("""COMPUTED_VALUE"""),2.0250901E8)</f>
        <v>202509010</v>
      </c>
      <c r="C536" s="139" t="str">
        <f>IFERROR(__xludf.DUMMYFUNCTION("""COMPUTED_VALUE"""),"chara_dos_00101_Special_00004")</f>
        <v>chara_dos_00101_Special_00004</v>
      </c>
      <c r="D536" s="139" t="str">
        <f>IFERROR(__xludf.DUMMYFUNCTION("""COMPUTED_VALUE"""),"chara_dos_00101")</f>
        <v>chara_dos_00101</v>
      </c>
      <c r="E536" s="139">
        <f>IFERROR(__xludf.DUMMYFUNCTION("""COMPUTED_VALUE"""),4.0)</f>
        <v>4</v>
      </c>
      <c r="F536" s="139" t="str">
        <f>IFERROR(__xludf.DUMMYFUNCTION("""COMPUTED_VALUE"""),"Special")</f>
        <v>Special</v>
      </c>
      <c r="G536" s="139"/>
      <c r="H536" s="139"/>
      <c r="I536" s="139">
        <f>IFERROR(__xludf.DUMMYFUNCTION("""COMPUTED_VALUE"""),242.0)</f>
        <v>242</v>
      </c>
      <c r="J536" s="139">
        <f>IFERROR(__xludf.DUMMYFUNCTION("""COMPUTED_VALUE"""),0.0)</f>
        <v>0</v>
      </c>
      <c r="K536" s="139">
        <f>IFERROR(__xludf.DUMMYFUNCTION("""COMPUTED_VALUE"""),0.0)</f>
        <v>0</v>
      </c>
      <c r="L536" s="139"/>
      <c r="M536" s="139" t="str">
        <f>IFERROR(__xludf.DUMMYFUNCTION("""COMPUTED_VALUE"""),"選択したコマにいる味方ディフェンスキャラへの被ダメージを{chara_dos_00101_Special_00004_effective_duration}秒間、{chara_dos_00101_Special_00004_effect_parameter}%カット")</f>
        <v>選択したコマにいる味方ディフェンスキャラへの被ダメージを{chara_dos_00101_Special_00004_effective_duration}秒間、{chara_dos_00101_Special_00004_effect_parameter}%カット</v>
      </c>
      <c r="N536" s="139" t="str">
        <f>IFERROR(__xludf.DUMMYFUNCTION("""COMPUTED_VALUE"""),"必殺ワザ性能UP")</f>
        <v>必殺ワザ性能UP</v>
      </c>
    </row>
    <row r="537">
      <c r="A537" s="139" t="str">
        <f>IFERROR(__xludf.DUMMYFUNCTION("""COMPUTED_VALUE"""),"e")</f>
        <v>e</v>
      </c>
      <c r="B537" s="139">
        <f>IFERROR(__xludf.DUMMYFUNCTION("""COMPUTED_VALUE"""),2.0250901E8)</f>
        <v>202509010</v>
      </c>
      <c r="C537" s="139" t="str">
        <f>IFERROR(__xludf.DUMMYFUNCTION("""COMPUTED_VALUE"""),"chara_dos_00101_Special_00005")</f>
        <v>chara_dos_00101_Special_00005</v>
      </c>
      <c r="D537" s="139" t="str">
        <f>IFERROR(__xludf.DUMMYFUNCTION("""COMPUTED_VALUE"""),"chara_dos_00101")</f>
        <v>chara_dos_00101</v>
      </c>
      <c r="E537" s="139">
        <f>IFERROR(__xludf.DUMMYFUNCTION("""COMPUTED_VALUE"""),5.0)</f>
        <v>5</v>
      </c>
      <c r="F537" s="139" t="str">
        <f>IFERROR(__xludf.DUMMYFUNCTION("""COMPUTED_VALUE"""),"Special")</f>
        <v>Special</v>
      </c>
      <c r="G537" s="139"/>
      <c r="H537" s="139"/>
      <c r="I537" s="139">
        <f>IFERROR(__xludf.DUMMYFUNCTION("""COMPUTED_VALUE"""),242.0)</f>
        <v>242</v>
      </c>
      <c r="J537" s="139">
        <f>IFERROR(__xludf.DUMMYFUNCTION("""COMPUTED_VALUE"""),0.0)</f>
        <v>0</v>
      </c>
      <c r="K537" s="139">
        <f>IFERROR(__xludf.DUMMYFUNCTION("""COMPUTED_VALUE"""),0.0)</f>
        <v>0</v>
      </c>
      <c r="L537" s="139"/>
      <c r="M537" s="139" t="str">
        <f>IFERROR(__xludf.DUMMYFUNCTION("""COMPUTED_VALUE"""),"選択したコマにいる味方ディフェンスキャラへの被ダメージを{chara_dos_00101_Special_00005_effective_duration}秒間、{chara_dos_00101_Special_00005_effect_parameter}%カット")</f>
        <v>選択したコマにいる味方ディフェンスキャラへの被ダメージを{chara_dos_00101_Special_00005_effective_duration}秒間、{chara_dos_00101_Special_00005_effect_parameter}%カット</v>
      </c>
      <c r="N537" s="139" t="str">
        <f>IFERROR(__xludf.DUMMYFUNCTION("""COMPUTED_VALUE"""),"必殺ワザ性能UP")</f>
        <v>必殺ワザ性能UP</v>
      </c>
    </row>
    <row r="538">
      <c r="A538" s="139"/>
      <c r="B538" s="139"/>
      <c r="C538" s="139" t="str">
        <f>IFERROR(__xludf.DUMMYFUNCTION("""COMPUTED_VALUE"""),"chara_dos_00101_Special_00006")</f>
        <v>chara_dos_00101_Special_00006</v>
      </c>
      <c r="D538" s="139" t="str">
        <f>IFERROR(__xludf.DUMMYFUNCTION("""COMPUTED_VALUE"""),"chara_dos_00106")</f>
        <v>chara_dos_00106</v>
      </c>
      <c r="E538" s="139">
        <f>IFERROR(__xludf.DUMMYFUNCTION("""COMPUTED_VALUE"""),6.0)</f>
        <v>6</v>
      </c>
      <c r="F538" s="139" t="str">
        <f>IFERROR(__xludf.DUMMYFUNCTION("""COMPUTED_VALUE"""),"Special")</f>
        <v>Special</v>
      </c>
      <c r="G538" s="139"/>
      <c r="H538" s="139"/>
      <c r="I538" s="139">
        <f>IFERROR(__xludf.DUMMYFUNCTION("""COMPUTED_VALUE"""),242.0)</f>
        <v>242</v>
      </c>
      <c r="J538" s="139">
        <f>IFERROR(__xludf.DUMMYFUNCTION("""COMPUTED_VALUE"""),75.0)</f>
        <v>75</v>
      </c>
      <c r="K538" s="139">
        <f>IFERROR(__xludf.DUMMYFUNCTION("""COMPUTED_VALUE"""),0.0)</f>
        <v>0</v>
      </c>
      <c r="L538" s="139"/>
      <c r="M538" s="139"/>
      <c r="N538" s="139"/>
    </row>
    <row r="539">
      <c r="A539" s="139"/>
      <c r="B539" s="139"/>
      <c r="C539" s="139" t="str">
        <f>IFERROR(__xludf.DUMMYFUNCTION("""COMPUTED_VALUE"""),"chara_dos_00101_Special_00007")</f>
        <v>chara_dos_00101_Special_00007</v>
      </c>
      <c r="D539" s="139" t="str">
        <f>IFERROR(__xludf.DUMMYFUNCTION("""COMPUTED_VALUE"""),"chara_dos_00107")</f>
        <v>chara_dos_00107</v>
      </c>
      <c r="E539" s="139">
        <f>IFERROR(__xludf.DUMMYFUNCTION("""COMPUTED_VALUE"""),7.0)</f>
        <v>7</v>
      </c>
      <c r="F539" s="139" t="str">
        <f>IFERROR(__xludf.DUMMYFUNCTION("""COMPUTED_VALUE"""),"Special")</f>
        <v>Special</v>
      </c>
      <c r="G539" s="139"/>
      <c r="H539" s="139"/>
      <c r="I539" s="139">
        <f>IFERROR(__xludf.DUMMYFUNCTION("""COMPUTED_VALUE"""),242.0)</f>
        <v>242</v>
      </c>
      <c r="J539" s="139">
        <f>IFERROR(__xludf.DUMMYFUNCTION("""COMPUTED_VALUE"""),75.0)</f>
        <v>75</v>
      </c>
      <c r="K539" s="139">
        <f>IFERROR(__xludf.DUMMYFUNCTION("""COMPUTED_VALUE"""),0.0)</f>
        <v>0</v>
      </c>
      <c r="L539" s="139"/>
      <c r="M539" s="139"/>
      <c r="N539" s="139"/>
    </row>
    <row r="540">
      <c r="A540" s="139"/>
      <c r="B540" s="139"/>
      <c r="C540" s="139" t="str">
        <f>IFERROR(__xludf.DUMMYFUNCTION("""COMPUTED_VALUE"""),"chara_dos_00101_Special_00008")</f>
        <v>chara_dos_00101_Special_00008</v>
      </c>
      <c r="D540" s="139" t="str">
        <f>IFERROR(__xludf.DUMMYFUNCTION("""COMPUTED_VALUE"""),"chara_dos_00108")</f>
        <v>chara_dos_00108</v>
      </c>
      <c r="E540" s="139">
        <f>IFERROR(__xludf.DUMMYFUNCTION("""COMPUTED_VALUE"""),8.0)</f>
        <v>8</v>
      </c>
      <c r="F540" s="139" t="str">
        <f>IFERROR(__xludf.DUMMYFUNCTION("""COMPUTED_VALUE"""),"Special")</f>
        <v>Special</v>
      </c>
      <c r="G540" s="139"/>
      <c r="H540" s="139"/>
      <c r="I540" s="139">
        <f>IFERROR(__xludf.DUMMYFUNCTION("""COMPUTED_VALUE"""),242.0)</f>
        <v>242</v>
      </c>
      <c r="J540" s="139">
        <f>IFERROR(__xludf.DUMMYFUNCTION("""COMPUTED_VALUE"""),75.0)</f>
        <v>75</v>
      </c>
      <c r="K540" s="139">
        <f>IFERROR(__xludf.DUMMYFUNCTION("""COMPUTED_VALUE"""),0.0)</f>
        <v>0</v>
      </c>
      <c r="L540" s="139"/>
      <c r="M540" s="139"/>
      <c r="N540" s="139"/>
    </row>
    <row r="541">
      <c r="A541" s="139"/>
      <c r="B541" s="139"/>
      <c r="C541" s="139" t="str">
        <f>IFERROR(__xludf.DUMMYFUNCTION("""COMPUTED_VALUE"""),"chara_dos_00101_Special_00009")</f>
        <v>chara_dos_00101_Special_00009</v>
      </c>
      <c r="D541" s="139" t="str">
        <f>IFERROR(__xludf.DUMMYFUNCTION("""COMPUTED_VALUE"""),"chara_dos_00109")</f>
        <v>chara_dos_00109</v>
      </c>
      <c r="E541" s="139">
        <f>IFERROR(__xludf.DUMMYFUNCTION("""COMPUTED_VALUE"""),9.0)</f>
        <v>9</v>
      </c>
      <c r="F541" s="139" t="str">
        <f>IFERROR(__xludf.DUMMYFUNCTION("""COMPUTED_VALUE"""),"Special")</f>
        <v>Special</v>
      </c>
      <c r="G541" s="139"/>
      <c r="H541" s="139"/>
      <c r="I541" s="139">
        <f>IFERROR(__xludf.DUMMYFUNCTION("""COMPUTED_VALUE"""),242.0)</f>
        <v>242</v>
      </c>
      <c r="J541" s="139">
        <f>IFERROR(__xludf.DUMMYFUNCTION("""COMPUTED_VALUE"""),75.0)</f>
        <v>75</v>
      </c>
      <c r="K541" s="139">
        <f>IFERROR(__xludf.DUMMYFUNCTION("""COMPUTED_VALUE"""),0.0)</f>
        <v>0</v>
      </c>
      <c r="L541" s="139"/>
      <c r="M541" s="139"/>
      <c r="N541" s="139"/>
    </row>
    <row r="542">
      <c r="A542" s="139"/>
      <c r="B542" s="139"/>
      <c r="C542" s="139" t="str">
        <f>IFERROR(__xludf.DUMMYFUNCTION("""COMPUTED_VALUE"""),"chara_dos_00101_Special_00010")</f>
        <v>chara_dos_00101_Special_00010</v>
      </c>
      <c r="D542" s="139" t="str">
        <f>IFERROR(__xludf.DUMMYFUNCTION("""COMPUTED_VALUE"""),"chara_dos_00110")</f>
        <v>chara_dos_00110</v>
      </c>
      <c r="E542" s="139">
        <f>IFERROR(__xludf.DUMMYFUNCTION("""COMPUTED_VALUE"""),10.0)</f>
        <v>10</v>
      </c>
      <c r="F542" s="139" t="str">
        <f>IFERROR(__xludf.DUMMYFUNCTION("""COMPUTED_VALUE"""),"Special")</f>
        <v>Special</v>
      </c>
      <c r="G542" s="139"/>
      <c r="H542" s="139"/>
      <c r="I542" s="139">
        <f>IFERROR(__xludf.DUMMYFUNCTION("""COMPUTED_VALUE"""),242.0)</f>
        <v>242</v>
      </c>
      <c r="J542" s="139">
        <f>IFERROR(__xludf.DUMMYFUNCTION("""COMPUTED_VALUE"""),75.0)</f>
        <v>75</v>
      </c>
      <c r="K542" s="139">
        <f>IFERROR(__xludf.DUMMYFUNCTION("""COMPUTED_VALUE"""),0.0)</f>
        <v>0</v>
      </c>
      <c r="L542" s="139"/>
      <c r="M542" s="139"/>
      <c r="N542" s="139"/>
    </row>
    <row r="543">
      <c r="A543" s="139" t="str">
        <f>IFERROR(__xludf.DUMMYFUNCTION("""COMPUTED_VALUE"""),"e")</f>
        <v>e</v>
      </c>
      <c r="B543" s="139">
        <f>IFERROR(__xludf.DUMMYFUNCTION("""COMPUTED_VALUE"""),2.0250901E8)</f>
        <v>202509010</v>
      </c>
      <c r="C543" s="139" t="str">
        <f>IFERROR(__xludf.DUMMYFUNCTION("""COMPUTED_VALUE"""),"chara_kai_00201_Normal_00000")</f>
        <v>chara_kai_00201_Normal_00000</v>
      </c>
      <c r="D543" s="139" t="str">
        <f>IFERROR(__xludf.DUMMYFUNCTION("""COMPUTED_VALUE"""),"chara_kai_00201")</f>
        <v>chara_kai_00201</v>
      </c>
      <c r="E543" s="139">
        <f>IFERROR(__xludf.DUMMYFUNCTION("""COMPUTED_VALUE"""),0.0)</f>
        <v>0</v>
      </c>
      <c r="F543" s="139" t="str">
        <f>IFERROR(__xludf.DUMMYFUNCTION("""COMPUTED_VALUE"""),"Normal")</f>
        <v>Normal</v>
      </c>
      <c r="G543" s="139"/>
      <c r="H543" s="139"/>
      <c r="I543" s="139">
        <f>IFERROR(__xludf.DUMMYFUNCTION("""COMPUTED_VALUE"""),75.0)</f>
        <v>75</v>
      </c>
      <c r="J543" s="139">
        <f>IFERROR(__xludf.DUMMYFUNCTION("""COMPUTED_VALUE"""),38.0)</f>
        <v>38</v>
      </c>
      <c r="K543" s="139">
        <f>IFERROR(__xludf.DUMMYFUNCTION("""COMPUTED_VALUE"""),150.0)</f>
        <v>150</v>
      </c>
      <c r="L543" s="139"/>
      <c r="M543" s="139" t="str">
        <f>IFERROR(__xludf.DUMMYFUNCTION("""COMPUTED_VALUE"""),"表示場所なし")</f>
        <v>表示場所なし</v>
      </c>
      <c r="N543" s="139"/>
    </row>
    <row r="544">
      <c r="A544" s="139" t="str">
        <f>IFERROR(__xludf.DUMMYFUNCTION("""COMPUTED_VALUE"""),"e")</f>
        <v>e</v>
      </c>
      <c r="B544" s="139">
        <f>IFERROR(__xludf.DUMMYFUNCTION("""COMPUTED_VALUE"""),2.0250901E8)</f>
        <v>202509010</v>
      </c>
      <c r="C544" s="139" t="str">
        <f>IFERROR(__xludf.DUMMYFUNCTION("""COMPUTED_VALUE"""),"chara_kai_00201_Special_00001")</f>
        <v>chara_kai_00201_Special_00001</v>
      </c>
      <c r="D544" s="139" t="str">
        <f>IFERROR(__xludf.DUMMYFUNCTION("""COMPUTED_VALUE"""),"chara_kai_00201")</f>
        <v>chara_kai_00201</v>
      </c>
      <c r="E544" s="139">
        <f>IFERROR(__xludf.DUMMYFUNCTION("""COMPUTED_VALUE"""),1.0)</f>
        <v>1</v>
      </c>
      <c r="F544" s="139" t="str">
        <f>IFERROR(__xludf.DUMMYFUNCTION("""COMPUTED_VALUE"""),"Special")</f>
        <v>Special</v>
      </c>
      <c r="G544" s="139"/>
      <c r="H544" s="139"/>
      <c r="I544" s="139">
        <f>IFERROR(__xludf.DUMMYFUNCTION("""COMPUTED_VALUE"""),221.0)</f>
        <v>221</v>
      </c>
      <c r="J544" s="139">
        <f>IFERROR(__xludf.DUMMYFUNCTION("""COMPUTED_VALUE"""),0.0)</f>
        <v>0</v>
      </c>
      <c r="K544" s="139">
        <f>IFERROR(__xludf.DUMMYFUNCTION("""COMPUTED_VALUE"""),0.0)</f>
        <v>0</v>
      </c>
      <c r="L544" s="139"/>
      <c r="M544" s="139" t="str">
        <f>IFERROR(__xludf.DUMMYFUNCTION("""COMPUTED_VALUE"""),"敵複数体に最大5回の連続攻撃(自身の攻撃ステータスの最大85%ダメージ)")</f>
        <v>敵複数体に最大5回の連続攻撃(自身の攻撃ステータスの最大85%ダメージ)</v>
      </c>
      <c r="N544" s="139"/>
    </row>
    <row r="545">
      <c r="A545" s="139" t="str">
        <f>IFERROR(__xludf.DUMMYFUNCTION("""COMPUTED_VALUE"""),"e")</f>
        <v>e</v>
      </c>
      <c r="B545" s="139">
        <f>IFERROR(__xludf.DUMMYFUNCTION("""COMPUTED_VALUE"""),2.0250901E8)</f>
        <v>202509010</v>
      </c>
      <c r="C545" s="139" t="str">
        <f>IFERROR(__xludf.DUMMYFUNCTION("""COMPUTED_VALUE"""),"chara_kai_00201_Special_00002")</f>
        <v>chara_kai_00201_Special_00002</v>
      </c>
      <c r="D545" s="139" t="str">
        <f>IFERROR(__xludf.DUMMYFUNCTION("""COMPUTED_VALUE"""),"chara_kai_00201")</f>
        <v>chara_kai_00201</v>
      </c>
      <c r="E545" s="139">
        <f>IFERROR(__xludf.DUMMYFUNCTION("""COMPUTED_VALUE"""),2.0)</f>
        <v>2</v>
      </c>
      <c r="F545" s="139" t="str">
        <f>IFERROR(__xludf.DUMMYFUNCTION("""COMPUTED_VALUE"""),"Special")</f>
        <v>Special</v>
      </c>
      <c r="G545" s="139"/>
      <c r="H545" s="139"/>
      <c r="I545" s="139">
        <f>IFERROR(__xludf.DUMMYFUNCTION("""COMPUTED_VALUE"""),221.0)</f>
        <v>221</v>
      </c>
      <c r="J545" s="139">
        <f>IFERROR(__xludf.DUMMYFUNCTION("""COMPUTED_VALUE"""),0.0)</f>
        <v>0</v>
      </c>
      <c r="K545" s="139">
        <f>IFERROR(__xludf.DUMMYFUNCTION("""COMPUTED_VALUE"""),0.0)</f>
        <v>0</v>
      </c>
      <c r="L545" s="139"/>
      <c r="M545" s="139" t="str">
        <f>IFERROR(__xludf.DUMMYFUNCTION("""COMPUTED_VALUE"""),"敵複数体に最大5回の連続攻撃(自身の攻撃ステータスの最大96%ダメージ)")</f>
        <v>敵複数体に最大5回の連続攻撃(自身の攻撃ステータスの最大96%ダメージ)</v>
      </c>
      <c r="N545" s="139" t="str">
        <f>IFERROR(__xludf.DUMMYFUNCTION("""COMPUTED_VALUE"""),"ステータスUP + 必殺ワザ性能UP")</f>
        <v>ステータスUP + 必殺ワザ性能UP</v>
      </c>
    </row>
    <row r="546">
      <c r="A546" s="139" t="str">
        <f>IFERROR(__xludf.DUMMYFUNCTION("""COMPUTED_VALUE"""),"e")</f>
        <v>e</v>
      </c>
      <c r="B546" s="139">
        <f>IFERROR(__xludf.DUMMYFUNCTION("""COMPUTED_VALUE"""),2.0250901E8)</f>
        <v>202509010</v>
      </c>
      <c r="C546" s="139" t="str">
        <f>IFERROR(__xludf.DUMMYFUNCTION("""COMPUTED_VALUE"""),"chara_kai_00201_Special_00003")</f>
        <v>chara_kai_00201_Special_00003</v>
      </c>
      <c r="D546" s="139" t="str">
        <f>IFERROR(__xludf.DUMMYFUNCTION("""COMPUTED_VALUE"""),"chara_kai_00201")</f>
        <v>chara_kai_00201</v>
      </c>
      <c r="E546" s="139">
        <f>IFERROR(__xludf.DUMMYFUNCTION("""COMPUTED_VALUE"""),3.0)</f>
        <v>3</v>
      </c>
      <c r="F546" s="139" t="str">
        <f>IFERROR(__xludf.DUMMYFUNCTION("""COMPUTED_VALUE"""),"Special")</f>
        <v>Special</v>
      </c>
      <c r="G546" s="139"/>
      <c r="H546" s="139"/>
      <c r="I546" s="139">
        <f>IFERROR(__xludf.DUMMYFUNCTION("""COMPUTED_VALUE"""),221.0)</f>
        <v>221</v>
      </c>
      <c r="J546" s="139">
        <f>IFERROR(__xludf.DUMMYFUNCTION("""COMPUTED_VALUE"""),0.0)</f>
        <v>0</v>
      </c>
      <c r="K546" s="139">
        <f>IFERROR(__xludf.DUMMYFUNCTION("""COMPUTED_VALUE"""),0.0)</f>
        <v>0</v>
      </c>
      <c r="L546" s="139"/>
      <c r="M546" s="139" t="str">
        <f>IFERROR(__xludf.DUMMYFUNCTION("""COMPUTED_VALUE"""),"敵複数体に最大5回の連続攻撃(自身の攻撃ステータスの最大103%ダメージ)")</f>
        <v>敵複数体に最大5回の連続攻撃(自身の攻撃ステータスの最大103%ダメージ)</v>
      </c>
      <c r="N546" s="139" t="str">
        <f>IFERROR(__xludf.DUMMYFUNCTION("""COMPUTED_VALUE"""),"ステータスUP + 必殺ワザ性能UP")</f>
        <v>ステータスUP + 必殺ワザ性能UP</v>
      </c>
    </row>
    <row r="547">
      <c r="A547" s="139" t="str">
        <f>IFERROR(__xludf.DUMMYFUNCTION("""COMPUTED_VALUE"""),"e")</f>
        <v>e</v>
      </c>
      <c r="B547" s="139">
        <f>IFERROR(__xludf.DUMMYFUNCTION("""COMPUTED_VALUE"""),2.0250901E8)</f>
        <v>202509010</v>
      </c>
      <c r="C547" s="139" t="str">
        <f>IFERROR(__xludf.DUMMYFUNCTION("""COMPUTED_VALUE"""),"chara_kai_00201_Special_00004")</f>
        <v>chara_kai_00201_Special_00004</v>
      </c>
      <c r="D547" s="139" t="str">
        <f>IFERROR(__xludf.DUMMYFUNCTION("""COMPUTED_VALUE"""),"chara_kai_00201")</f>
        <v>chara_kai_00201</v>
      </c>
      <c r="E547" s="139">
        <f>IFERROR(__xludf.DUMMYFUNCTION("""COMPUTED_VALUE"""),4.0)</f>
        <v>4</v>
      </c>
      <c r="F547" s="139" t="str">
        <f>IFERROR(__xludf.DUMMYFUNCTION("""COMPUTED_VALUE"""),"Special")</f>
        <v>Special</v>
      </c>
      <c r="G547" s="139"/>
      <c r="H547" s="139"/>
      <c r="I547" s="139">
        <f>IFERROR(__xludf.DUMMYFUNCTION("""COMPUTED_VALUE"""),221.0)</f>
        <v>221</v>
      </c>
      <c r="J547" s="139">
        <f>IFERROR(__xludf.DUMMYFUNCTION("""COMPUTED_VALUE"""),0.0)</f>
        <v>0</v>
      </c>
      <c r="K547" s="139">
        <f>IFERROR(__xludf.DUMMYFUNCTION("""COMPUTED_VALUE"""),0.0)</f>
        <v>0</v>
      </c>
      <c r="L547" s="139"/>
      <c r="M547" s="139" t="str">
        <f>IFERROR(__xludf.DUMMYFUNCTION("""COMPUTED_VALUE"""),"敵複数体に最大5回の連続攻撃(自身の攻撃ステータスの最大109%ダメージ)")</f>
        <v>敵複数体に最大5回の連続攻撃(自身の攻撃ステータスの最大109%ダメージ)</v>
      </c>
      <c r="N547" s="139" t="str">
        <f>IFERROR(__xludf.DUMMYFUNCTION("""COMPUTED_VALUE"""),"ステータスUP + 必殺ワザ性能UP")</f>
        <v>ステータスUP + 必殺ワザ性能UP</v>
      </c>
    </row>
    <row r="548">
      <c r="A548" s="139" t="str">
        <f>IFERROR(__xludf.DUMMYFUNCTION("""COMPUTED_VALUE"""),"e")</f>
        <v>e</v>
      </c>
      <c r="B548" s="139">
        <f>IFERROR(__xludf.DUMMYFUNCTION("""COMPUTED_VALUE"""),2.0250901E8)</f>
        <v>202509010</v>
      </c>
      <c r="C548" s="139" t="str">
        <f>IFERROR(__xludf.DUMMYFUNCTION("""COMPUTED_VALUE"""),"chara_kai_00201_Special_00005")</f>
        <v>chara_kai_00201_Special_00005</v>
      </c>
      <c r="D548" s="139" t="str">
        <f>IFERROR(__xludf.DUMMYFUNCTION("""COMPUTED_VALUE"""),"chara_kai_00201")</f>
        <v>chara_kai_00201</v>
      </c>
      <c r="E548" s="139">
        <f>IFERROR(__xludf.DUMMYFUNCTION("""COMPUTED_VALUE"""),5.0)</f>
        <v>5</v>
      </c>
      <c r="F548" s="139" t="str">
        <f>IFERROR(__xludf.DUMMYFUNCTION("""COMPUTED_VALUE"""),"Special")</f>
        <v>Special</v>
      </c>
      <c r="G548" s="139"/>
      <c r="H548" s="139"/>
      <c r="I548" s="139">
        <f>IFERROR(__xludf.DUMMYFUNCTION("""COMPUTED_VALUE"""),221.0)</f>
        <v>221</v>
      </c>
      <c r="J548" s="139">
        <f>IFERROR(__xludf.DUMMYFUNCTION("""COMPUTED_VALUE"""),0.0)</f>
        <v>0</v>
      </c>
      <c r="K548" s="139">
        <f>IFERROR(__xludf.DUMMYFUNCTION("""COMPUTED_VALUE"""),0.0)</f>
        <v>0</v>
      </c>
      <c r="L548" s="139"/>
      <c r="M548" s="139" t="str">
        <f>IFERROR(__xludf.DUMMYFUNCTION("""COMPUTED_VALUE"""),"敵複数体に最大5回の連続攻撃(自身の攻撃ステータスの最大113%ダメージ)")</f>
        <v>敵複数体に最大5回の連続攻撃(自身の攻撃ステータスの最大113%ダメージ)</v>
      </c>
      <c r="N548" s="139" t="str">
        <f>IFERROR(__xludf.DUMMYFUNCTION("""COMPUTED_VALUE"""),"ステータスUP + 必殺ワザ性能UP")</f>
        <v>ステータスUP + 必殺ワザ性能UP</v>
      </c>
    </row>
    <row r="549">
      <c r="A549" s="139"/>
      <c r="B549" s="139"/>
      <c r="C549" s="139" t="str">
        <f>IFERROR(__xludf.DUMMYFUNCTION("""COMPUTED_VALUE"""),"chara_kai_00201_Special_00006")</f>
        <v>chara_kai_00201_Special_00006</v>
      </c>
      <c r="D549" s="139" t="str">
        <f>IFERROR(__xludf.DUMMYFUNCTION("""COMPUTED_VALUE"""),"chara_kai_00201")</f>
        <v>chara_kai_00201</v>
      </c>
      <c r="E549" s="139">
        <f>IFERROR(__xludf.DUMMYFUNCTION("""COMPUTED_VALUE"""),6.0)</f>
        <v>6</v>
      </c>
      <c r="F549" s="139" t="str">
        <f>IFERROR(__xludf.DUMMYFUNCTION("""COMPUTED_VALUE"""),"Special")</f>
        <v>Special</v>
      </c>
      <c r="G549" s="139"/>
      <c r="H549" s="139"/>
      <c r="I549" s="139">
        <f>IFERROR(__xludf.DUMMYFUNCTION("""COMPUTED_VALUE"""),221.0)</f>
        <v>221</v>
      </c>
      <c r="J549" s="139">
        <f>IFERROR(__xludf.DUMMYFUNCTION("""COMPUTED_VALUE"""),0.0)</f>
        <v>0</v>
      </c>
      <c r="K549" s="139">
        <f>IFERROR(__xludf.DUMMYFUNCTION("""COMPUTED_VALUE"""),0.0)</f>
        <v>0</v>
      </c>
      <c r="L549" s="139"/>
      <c r="M549" s="139"/>
      <c r="N549" s="139"/>
    </row>
    <row r="550">
      <c r="A550" s="139"/>
      <c r="B550" s="139"/>
      <c r="C550" s="139" t="str">
        <f>IFERROR(__xludf.DUMMYFUNCTION("""COMPUTED_VALUE"""),"chara_kai_00201_Special_00007")</f>
        <v>chara_kai_00201_Special_00007</v>
      </c>
      <c r="D550" s="139" t="str">
        <f>IFERROR(__xludf.DUMMYFUNCTION("""COMPUTED_VALUE"""),"chara_kai_00201")</f>
        <v>chara_kai_00201</v>
      </c>
      <c r="E550" s="139">
        <f>IFERROR(__xludf.DUMMYFUNCTION("""COMPUTED_VALUE"""),7.0)</f>
        <v>7</v>
      </c>
      <c r="F550" s="139" t="str">
        <f>IFERROR(__xludf.DUMMYFUNCTION("""COMPUTED_VALUE"""),"Special")</f>
        <v>Special</v>
      </c>
      <c r="G550" s="139"/>
      <c r="H550" s="139"/>
      <c r="I550" s="139">
        <f>IFERROR(__xludf.DUMMYFUNCTION("""COMPUTED_VALUE"""),221.0)</f>
        <v>221</v>
      </c>
      <c r="J550" s="139">
        <f>IFERROR(__xludf.DUMMYFUNCTION("""COMPUTED_VALUE"""),0.0)</f>
        <v>0</v>
      </c>
      <c r="K550" s="139">
        <f>IFERROR(__xludf.DUMMYFUNCTION("""COMPUTED_VALUE"""),0.0)</f>
        <v>0</v>
      </c>
      <c r="L550" s="139"/>
      <c r="M550" s="139"/>
      <c r="N550" s="139"/>
    </row>
    <row r="551">
      <c r="A551" s="139"/>
      <c r="B551" s="139"/>
      <c r="C551" s="139" t="str">
        <f>IFERROR(__xludf.DUMMYFUNCTION("""COMPUTED_VALUE"""),"chara_kai_00201_Special_00008")</f>
        <v>chara_kai_00201_Special_00008</v>
      </c>
      <c r="D551" s="139" t="str">
        <f>IFERROR(__xludf.DUMMYFUNCTION("""COMPUTED_VALUE"""),"chara_kai_00201")</f>
        <v>chara_kai_00201</v>
      </c>
      <c r="E551" s="139">
        <f>IFERROR(__xludf.DUMMYFUNCTION("""COMPUTED_VALUE"""),8.0)</f>
        <v>8</v>
      </c>
      <c r="F551" s="139" t="str">
        <f>IFERROR(__xludf.DUMMYFUNCTION("""COMPUTED_VALUE"""),"Special")</f>
        <v>Special</v>
      </c>
      <c r="G551" s="139"/>
      <c r="H551" s="139"/>
      <c r="I551" s="139">
        <f>IFERROR(__xludf.DUMMYFUNCTION("""COMPUTED_VALUE"""),221.0)</f>
        <v>221</v>
      </c>
      <c r="J551" s="139">
        <f>IFERROR(__xludf.DUMMYFUNCTION("""COMPUTED_VALUE"""),0.0)</f>
        <v>0</v>
      </c>
      <c r="K551" s="139">
        <f>IFERROR(__xludf.DUMMYFUNCTION("""COMPUTED_VALUE"""),0.0)</f>
        <v>0</v>
      </c>
      <c r="L551" s="139"/>
      <c r="M551" s="139"/>
      <c r="N551" s="139"/>
    </row>
    <row r="552">
      <c r="A552" s="139"/>
      <c r="B552" s="139"/>
      <c r="C552" s="139" t="str">
        <f>IFERROR(__xludf.DUMMYFUNCTION("""COMPUTED_VALUE"""),"chara_kai_00201_Special_00009")</f>
        <v>chara_kai_00201_Special_00009</v>
      </c>
      <c r="D552" s="139" t="str">
        <f>IFERROR(__xludf.DUMMYFUNCTION("""COMPUTED_VALUE"""),"chara_kai_00201")</f>
        <v>chara_kai_00201</v>
      </c>
      <c r="E552" s="139">
        <f>IFERROR(__xludf.DUMMYFUNCTION("""COMPUTED_VALUE"""),9.0)</f>
        <v>9</v>
      </c>
      <c r="F552" s="139" t="str">
        <f>IFERROR(__xludf.DUMMYFUNCTION("""COMPUTED_VALUE"""),"Special")</f>
        <v>Special</v>
      </c>
      <c r="G552" s="139"/>
      <c r="H552" s="139"/>
      <c r="I552" s="139">
        <f>IFERROR(__xludf.DUMMYFUNCTION("""COMPUTED_VALUE"""),221.0)</f>
        <v>221</v>
      </c>
      <c r="J552" s="139">
        <f>IFERROR(__xludf.DUMMYFUNCTION("""COMPUTED_VALUE"""),0.0)</f>
        <v>0</v>
      </c>
      <c r="K552" s="139">
        <f>IFERROR(__xludf.DUMMYFUNCTION("""COMPUTED_VALUE"""),0.0)</f>
        <v>0</v>
      </c>
      <c r="L552" s="139"/>
      <c r="M552" s="139"/>
      <c r="N552" s="139"/>
    </row>
    <row r="553">
      <c r="A553" s="139"/>
      <c r="B553" s="139"/>
      <c r="C553" s="139" t="str">
        <f>IFERROR(__xludf.DUMMYFUNCTION("""COMPUTED_VALUE"""),"chara_kai_00201_Special_00010")</f>
        <v>chara_kai_00201_Special_00010</v>
      </c>
      <c r="D553" s="139" t="str">
        <f>IFERROR(__xludf.DUMMYFUNCTION("""COMPUTED_VALUE"""),"chara_kai_00201")</f>
        <v>chara_kai_00201</v>
      </c>
      <c r="E553" s="139">
        <f>IFERROR(__xludf.DUMMYFUNCTION("""COMPUTED_VALUE"""),10.0)</f>
        <v>10</v>
      </c>
      <c r="F553" s="139" t="str">
        <f>IFERROR(__xludf.DUMMYFUNCTION("""COMPUTED_VALUE"""),"Special")</f>
        <v>Special</v>
      </c>
      <c r="G553" s="139"/>
      <c r="H553" s="139"/>
      <c r="I553" s="139">
        <f>IFERROR(__xludf.DUMMYFUNCTION("""COMPUTED_VALUE"""),221.0)</f>
        <v>221</v>
      </c>
      <c r="J553" s="139">
        <f>IFERROR(__xludf.DUMMYFUNCTION("""COMPUTED_VALUE"""),0.0)</f>
        <v>0</v>
      </c>
      <c r="K553" s="139">
        <f>IFERROR(__xludf.DUMMYFUNCTION("""COMPUTED_VALUE"""),0.0)</f>
        <v>0</v>
      </c>
      <c r="L553" s="139"/>
      <c r="M553" s="139"/>
      <c r="N553" s="139"/>
    </row>
    <row r="554">
      <c r="A554" s="139" t="str">
        <f>IFERROR(__xludf.DUMMYFUNCTION("""COMPUTED_VALUE"""),"e")</f>
        <v>e</v>
      </c>
      <c r="B554" s="139">
        <f>IFERROR(__xludf.DUMMYFUNCTION("""COMPUTED_VALUE"""),2.0250901E8)</f>
        <v>202509010</v>
      </c>
      <c r="C554" s="139" t="str">
        <f>IFERROR(__xludf.DUMMYFUNCTION("""COMPUTED_VALUE"""),"chara_kai_00401_Normal_00000")</f>
        <v>chara_kai_00401_Normal_00000</v>
      </c>
      <c r="D554" s="139" t="str">
        <f>IFERROR(__xludf.DUMMYFUNCTION("""COMPUTED_VALUE"""),"chara_kai_00401")</f>
        <v>chara_kai_00401</v>
      </c>
      <c r="E554" s="139">
        <f>IFERROR(__xludf.DUMMYFUNCTION("""COMPUTED_VALUE"""),0.0)</f>
        <v>0</v>
      </c>
      <c r="F554" s="139" t="str">
        <f>IFERROR(__xludf.DUMMYFUNCTION("""COMPUTED_VALUE"""),"Normal")</f>
        <v>Normal</v>
      </c>
      <c r="G554" s="139"/>
      <c r="H554" s="139"/>
      <c r="I554" s="139">
        <f>IFERROR(__xludf.DUMMYFUNCTION("""COMPUTED_VALUE"""),64.0)</f>
        <v>64</v>
      </c>
      <c r="J554" s="139">
        <f>IFERROR(__xludf.DUMMYFUNCTION("""COMPUTED_VALUE"""),22.0)</f>
        <v>22</v>
      </c>
      <c r="K554" s="139">
        <f>IFERROR(__xludf.DUMMYFUNCTION("""COMPUTED_VALUE"""),40.0)</f>
        <v>40</v>
      </c>
      <c r="L554" s="139"/>
      <c r="M554" s="139" t="str">
        <f>IFERROR(__xludf.DUMMYFUNCTION("""COMPUTED_VALUE"""),"表示場所なし")</f>
        <v>表示場所なし</v>
      </c>
      <c r="N554" s="139"/>
    </row>
    <row r="555">
      <c r="A555" s="139" t="str">
        <f>IFERROR(__xludf.DUMMYFUNCTION("""COMPUTED_VALUE"""),"e")</f>
        <v>e</v>
      </c>
      <c r="B555" s="139">
        <f>IFERROR(__xludf.DUMMYFUNCTION("""COMPUTED_VALUE"""),2.0250901E8)</f>
        <v>202509010</v>
      </c>
      <c r="C555" s="139" t="str">
        <f>IFERROR(__xludf.DUMMYFUNCTION("""COMPUTED_VALUE"""),"chara_kai_00401_Special_00001")</f>
        <v>chara_kai_00401_Special_00001</v>
      </c>
      <c r="D555" s="139" t="str">
        <f>IFERROR(__xludf.DUMMYFUNCTION("""COMPUTED_VALUE"""),"chara_kai_00401")</f>
        <v>chara_kai_00401</v>
      </c>
      <c r="E555" s="139">
        <f>IFERROR(__xludf.DUMMYFUNCTION("""COMPUTED_VALUE"""),1.0)</f>
        <v>1</v>
      </c>
      <c r="F555" s="139" t="str">
        <f>IFERROR(__xludf.DUMMYFUNCTION("""COMPUTED_VALUE"""),"Special")</f>
        <v>Special</v>
      </c>
      <c r="G555" s="139"/>
      <c r="H555" s="139"/>
      <c r="I555" s="139">
        <f>IFERROR(__xludf.DUMMYFUNCTION("""COMPUTED_VALUE"""),134.0)</f>
        <v>134</v>
      </c>
      <c r="J555" s="139">
        <f>IFERROR(__xludf.DUMMYFUNCTION("""COMPUTED_VALUE"""),0.0)</f>
        <v>0</v>
      </c>
      <c r="K555" s="139">
        <f>IFERROR(__xludf.DUMMYFUNCTION("""COMPUTED_VALUE"""),0.0)</f>
        <v>0</v>
      </c>
      <c r="L555" s="139"/>
      <c r="M555" s="139" t="str">
        <f>IFERROR(__xludf.DUMMYFUNCTION("""COMPUTED_VALUE"""),"敵単体に最大5回の連続攻撃(自身の攻撃ステータスの最大150%ダメージ)")</f>
        <v>敵単体に最大5回の連続攻撃(自身の攻撃ステータスの最大150%ダメージ)</v>
      </c>
      <c r="N555" s="139"/>
    </row>
    <row r="556">
      <c r="A556" s="139" t="str">
        <f>IFERROR(__xludf.DUMMYFUNCTION("""COMPUTED_VALUE"""),"e")</f>
        <v>e</v>
      </c>
      <c r="B556" s="139">
        <f>IFERROR(__xludf.DUMMYFUNCTION("""COMPUTED_VALUE"""),2.0250901E8)</f>
        <v>202509010</v>
      </c>
      <c r="C556" s="139" t="str">
        <f>IFERROR(__xludf.DUMMYFUNCTION("""COMPUTED_VALUE"""),"chara_kai_00401_Special_00002")</f>
        <v>chara_kai_00401_Special_00002</v>
      </c>
      <c r="D556" s="139" t="str">
        <f>IFERROR(__xludf.DUMMYFUNCTION("""COMPUTED_VALUE"""),"chara_kai_00401")</f>
        <v>chara_kai_00401</v>
      </c>
      <c r="E556" s="139">
        <f>IFERROR(__xludf.DUMMYFUNCTION("""COMPUTED_VALUE"""),2.0)</f>
        <v>2</v>
      </c>
      <c r="F556" s="139" t="str">
        <f>IFERROR(__xludf.DUMMYFUNCTION("""COMPUTED_VALUE"""),"Special")</f>
        <v>Special</v>
      </c>
      <c r="G556" s="139"/>
      <c r="H556" s="139"/>
      <c r="I556" s="139">
        <f>IFERROR(__xludf.DUMMYFUNCTION("""COMPUTED_VALUE"""),134.0)</f>
        <v>134</v>
      </c>
      <c r="J556" s="139">
        <f>IFERROR(__xludf.DUMMYFUNCTION("""COMPUTED_VALUE"""),0.0)</f>
        <v>0</v>
      </c>
      <c r="K556" s="139">
        <f>IFERROR(__xludf.DUMMYFUNCTION("""COMPUTED_VALUE"""),0.0)</f>
        <v>0</v>
      </c>
      <c r="L556" s="139"/>
      <c r="M556" s="139" t="str">
        <f>IFERROR(__xludf.DUMMYFUNCTION("""COMPUTED_VALUE"""),"敵単体に最大5回の連続攻撃(自身の攻撃ステータスの最大170%ダメージ)")</f>
        <v>敵単体に最大5回の連続攻撃(自身の攻撃ステータスの最大170%ダメージ)</v>
      </c>
      <c r="N556" s="139" t="str">
        <f>IFERROR(__xludf.DUMMYFUNCTION("""COMPUTED_VALUE"""),"ステータスUP + 必殺ワザ性能UP")</f>
        <v>ステータスUP + 必殺ワザ性能UP</v>
      </c>
    </row>
    <row r="557">
      <c r="A557" s="139" t="str">
        <f>IFERROR(__xludf.DUMMYFUNCTION("""COMPUTED_VALUE"""),"e")</f>
        <v>e</v>
      </c>
      <c r="B557" s="139">
        <f>IFERROR(__xludf.DUMMYFUNCTION("""COMPUTED_VALUE"""),2.0250901E8)</f>
        <v>202509010</v>
      </c>
      <c r="C557" s="139" t="str">
        <f>IFERROR(__xludf.DUMMYFUNCTION("""COMPUTED_VALUE"""),"chara_kai_00401_Special_00003")</f>
        <v>chara_kai_00401_Special_00003</v>
      </c>
      <c r="D557" s="139" t="str">
        <f>IFERROR(__xludf.DUMMYFUNCTION("""COMPUTED_VALUE"""),"chara_kai_00401")</f>
        <v>chara_kai_00401</v>
      </c>
      <c r="E557" s="139">
        <f>IFERROR(__xludf.DUMMYFUNCTION("""COMPUTED_VALUE"""),3.0)</f>
        <v>3</v>
      </c>
      <c r="F557" s="139" t="str">
        <f>IFERROR(__xludf.DUMMYFUNCTION("""COMPUTED_VALUE"""),"Special")</f>
        <v>Special</v>
      </c>
      <c r="G557" s="139"/>
      <c r="H557" s="139"/>
      <c r="I557" s="139">
        <f>IFERROR(__xludf.DUMMYFUNCTION("""COMPUTED_VALUE"""),134.0)</f>
        <v>134</v>
      </c>
      <c r="J557" s="139">
        <f>IFERROR(__xludf.DUMMYFUNCTION("""COMPUTED_VALUE"""),0.0)</f>
        <v>0</v>
      </c>
      <c r="K557" s="139">
        <f>IFERROR(__xludf.DUMMYFUNCTION("""COMPUTED_VALUE"""),0.0)</f>
        <v>0</v>
      </c>
      <c r="L557" s="139"/>
      <c r="M557" s="139" t="str">
        <f>IFERROR(__xludf.DUMMYFUNCTION("""COMPUTED_VALUE"""),"敵単体に最大5回の連続攻撃(自身の攻撃ステータスの最大183%ダメージ)")</f>
        <v>敵単体に最大5回の連続攻撃(自身の攻撃ステータスの最大183%ダメージ)</v>
      </c>
      <c r="N557" s="139" t="str">
        <f>IFERROR(__xludf.DUMMYFUNCTION("""COMPUTED_VALUE"""),"ステータスUP + 必殺ワザ性能UP")</f>
        <v>ステータスUP + 必殺ワザ性能UP</v>
      </c>
    </row>
    <row r="558">
      <c r="A558" s="139" t="str">
        <f>IFERROR(__xludf.DUMMYFUNCTION("""COMPUTED_VALUE"""),"e")</f>
        <v>e</v>
      </c>
      <c r="B558" s="139">
        <f>IFERROR(__xludf.DUMMYFUNCTION("""COMPUTED_VALUE"""),2.0250901E8)</f>
        <v>202509010</v>
      </c>
      <c r="C558" s="139" t="str">
        <f>IFERROR(__xludf.DUMMYFUNCTION("""COMPUTED_VALUE"""),"chara_kai_00401_Special_00004")</f>
        <v>chara_kai_00401_Special_00004</v>
      </c>
      <c r="D558" s="139" t="str">
        <f>IFERROR(__xludf.DUMMYFUNCTION("""COMPUTED_VALUE"""),"chara_kai_00401")</f>
        <v>chara_kai_00401</v>
      </c>
      <c r="E558" s="139">
        <f>IFERROR(__xludf.DUMMYFUNCTION("""COMPUTED_VALUE"""),4.0)</f>
        <v>4</v>
      </c>
      <c r="F558" s="139" t="str">
        <f>IFERROR(__xludf.DUMMYFUNCTION("""COMPUTED_VALUE"""),"Special")</f>
        <v>Special</v>
      </c>
      <c r="G558" s="139"/>
      <c r="H558" s="139"/>
      <c r="I558" s="139">
        <f>IFERROR(__xludf.DUMMYFUNCTION("""COMPUTED_VALUE"""),134.0)</f>
        <v>134</v>
      </c>
      <c r="J558" s="139">
        <f>IFERROR(__xludf.DUMMYFUNCTION("""COMPUTED_VALUE"""),0.0)</f>
        <v>0</v>
      </c>
      <c r="K558" s="139">
        <f>IFERROR(__xludf.DUMMYFUNCTION("""COMPUTED_VALUE"""),0.0)</f>
        <v>0</v>
      </c>
      <c r="L558" s="139"/>
      <c r="M558" s="139" t="str">
        <f>IFERROR(__xludf.DUMMYFUNCTION("""COMPUTED_VALUE"""),"敵単体に最大5回の連続攻撃(自身の攻撃ステータスの最大193%ダメージ)")</f>
        <v>敵単体に最大5回の連続攻撃(自身の攻撃ステータスの最大193%ダメージ)</v>
      </c>
      <c r="N558" s="139" t="str">
        <f>IFERROR(__xludf.DUMMYFUNCTION("""COMPUTED_VALUE"""),"ステータスUP + 必殺ワザ性能UP")</f>
        <v>ステータスUP + 必殺ワザ性能UP</v>
      </c>
    </row>
    <row r="559">
      <c r="A559" s="139" t="str">
        <f>IFERROR(__xludf.DUMMYFUNCTION("""COMPUTED_VALUE"""),"e")</f>
        <v>e</v>
      </c>
      <c r="B559" s="139">
        <f>IFERROR(__xludf.DUMMYFUNCTION("""COMPUTED_VALUE"""),2.0250901E8)</f>
        <v>202509010</v>
      </c>
      <c r="C559" s="139" t="str">
        <f>IFERROR(__xludf.DUMMYFUNCTION("""COMPUTED_VALUE"""),"chara_kai_00401_Special_00005")</f>
        <v>chara_kai_00401_Special_00005</v>
      </c>
      <c r="D559" s="139" t="str">
        <f>IFERROR(__xludf.DUMMYFUNCTION("""COMPUTED_VALUE"""),"chara_kai_00401")</f>
        <v>chara_kai_00401</v>
      </c>
      <c r="E559" s="139">
        <f>IFERROR(__xludf.DUMMYFUNCTION("""COMPUTED_VALUE"""),5.0)</f>
        <v>5</v>
      </c>
      <c r="F559" s="139" t="str">
        <f>IFERROR(__xludf.DUMMYFUNCTION("""COMPUTED_VALUE"""),"Special")</f>
        <v>Special</v>
      </c>
      <c r="G559" s="139"/>
      <c r="H559" s="139"/>
      <c r="I559" s="139">
        <f>IFERROR(__xludf.DUMMYFUNCTION("""COMPUTED_VALUE"""),134.0)</f>
        <v>134</v>
      </c>
      <c r="J559" s="139">
        <f>IFERROR(__xludf.DUMMYFUNCTION("""COMPUTED_VALUE"""),0.0)</f>
        <v>0</v>
      </c>
      <c r="K559" s="139">
        <f>IFERROR(__xludf.DUMMYFUNCTION("""COMPUTED_VALUE"""),0.0)</f>
        <v>0</v>
      </c>
      <c r="L559" s="139"/>
      <c r="M559" s="139" t="str">
        <f>IFERROR(__xludf.DUMMYFUNCTION("""COMPUTED_VALUE"""),"敵単体に最大5回の連続攻撃(自身の攻撃ステータスの最大200%ダメージ)")</f>
        <v>敵単体に最大5回の連続攻撃(自身の攻撃ステータスの最大200%ダメージ)</v>
      </c>
      <c r="N559" s="139" t="str">
        <f>IFERROR(__xludf.DUMMYFUNCTION("""COMPUTED_VALUE"""),"ステータスUP + 必殺ワザ性能UP")</f>
        <v>ステータスUP + 必殺ワザ性能UP</v>
      </c>
    </row>
    <row r="560">
      <c r="A560" s="139"/>
      <c r="B560" s="139"/>
      <c r="C560" s="139" t="str">
        <f>IFERROR(__xludf.DUMMYFUNCTION("""COMPUTED_VALUE"""),"chara_kai_00401_Special_00006")</f>
        <v>chara_kai_00401_Special_00006</v>
      </c>
      <c r="D560" s="139" t="str">
        <f>IFERROR(__xludf.DUMMYFUNCTION("""COMPUTED_VALUE"""),"chara_kai_00401")</f>
        <v>chara_kai_00401</v>
      </c>
      <c r="E560" s="139">
        <f>IFERROR(__xludf.DUMMYFUNCTION("""COMPUTED_VALUE"""),6.0)</f>
        <v>6</v>
      </c>
      <c r="F560" s="139" t="str">
        <f>IFERROR(__xludf.DUMMYFUNCTION("""COMPUTED_VALUE"""),"Special")</f>
        <v>Special</v>
      </c>
      <c r="G560" s="139"/>
      <c r="H560" s="139"/>
      <c r="I560" s="139">
        <f>IFERROR(__xludf.DUMMYFUNCTION("""COMPUTED_VALUE"""),134.0)</f>
        <v>134</v>
      </c>
      <c r="J560" s="139">
        <f>IFERROR(__xludf.DUMMYFUNCTION("""COMPUTED_VALUE"""),0.0)</f>
        <v>0</v>
      </c>
      <c r="K560" s="139">
        <f>IFERROR(__xludf.DUMMYFUNCTION("""COMPUTED_VALUE"""),0.0)</f>
        <v>0</v>
      </c>
      <c r="L560" s="139"/>
      <c r="M560" s="139"/>
      <c r="N560" s="139"/>
    </row>
    <row r="561">
      <c r="A561" s="139"/>
      <c r="B561" s="139"/>
      <c r="C561" s="139" t="str">
        <f>IFERROR(__xludf.DUMMYFUNCTION("""COMPUTED_VALUE"""),"chara_kai_00401_Special_00007")</f>
        <v>chara_kai_00401_Special_00007</v>
      </c>
      <c r="D561" s="139" t="str">
        <f>IFERROR(__xludf.DUMMYFUNCTION("""COMPUTED_VALUE"""),"chara_kai_00401")</f>
        <v>chara_kai_00401</v>
      </c>
      <c r="E561" s="139">
        <f>IFERROR(__xludf.DUMMYFUNCTION("""COMPUTED_VALUE"""),7.0)</f>
        <v>7</v>
      </c>
      <c r="F561" s="139" t="str">
        <f>IFERROR(__xludf.DUMMYFUNCTION("""COMPUTED_VALUE"""),"Special")</f>
        <v>Special</v>
      </c>
      <c r="G561" s="139"/>
      <c r="H561" s="139"/>
      <c r="I561" s="139">
        <f>IFERROR(__xludf.DUMMYFUNCTION("""COMPUTED_VALUE"""),134.0)</f>
        <v>134</v>
      </c>
      <c r="J561" s="139">
        <f>IFERROR(__xludf.DUMMYFUNCTION("""COMPUTED_VALUE"""),0.0)</f>
        <v>0</v>
      </c>
      <c r="K561" s="139">
        <f>IFERROR(__xludf.DUMMYFUNCTION("""COMPUTED_VALUE"""),0.0)</f>
        <v>0</v>
      </c>
      <c r="L561" s="139"/>
      <c r="M561" s="139"/>
      <c r="N561" s="139"/>
    </row>
    <row r="562">
      <c r="A562" s="139"/>
      <c r="B562" s="139"/>
      <c r="C562" s="139" t="str">
        <f>IFERROR(__xludf.DUMMYFUNCTION("""COMPUTED_VALUE"""),"chara_kai_00401_Special_00008")</f>
        <v>chara_kai_00401_Special_00008</v>
      </c>
      <c r="D562" s="139" t="str">
        <f>IFERROR(__xludf.DUMMYFUNCTION("""COMPUTED_VALUE"""),"chara_kai_00401")</f>
        <v>chara_kai_00401</v>
      </c>
      <c r="E562" s="139">
        <f>IFERROR(__xludf.DUMMYFUNCTION("""COMPUTED_VALUE"""),8.0)</f>
        <v>8</v>
      </c>
      <c r="F562" s="139" t="str">
        <f>IFERROR(__xludf.DUMMYFUNCTION("""COMPUTED_VALUE"""),"Special")</f>
        <v>Special</v>
      </c>
      <c r="G562" s="139"/>
      <c r="H562" s="139"/>
      <c r="I562" s="139">
        <f>IFERROR(__xludf.DUMMYFUNCTION("""COMPUTED_VALUE"""),134.0)</f>
        <v>134</v>
      </c>
      <c r="J562" s="139">
        <f>IFERROR(__xludf.DUMMYFUNCTION("""COMPUTED_VALUE"""),0.0)</f>
        <v>0</v>
      </c>
      <c r="K562" s="139">
        <f>IFERROR(__xludf.DUMMYFUNCTION("""COMPUTED_VALUE"""),0.0)</f>
        <v>0</v>
      </c>
      <c r="L562" s="139"/>
      <c r="M562" s="139"/>
      <c r="N562" s="139"/>
    </row>
    <row r="563">
      <c r="A563" s="139"/>
      <c r="B563" s="139"/>
      <c r="C563" s="139" t="str">
        <f>IFERROR(__xludf.DUMMYFUNCTION("""COMPUTED_VALUE"""),"chara_kai_00401_Special_00009")</f>
        <v>chara_kai_00401_Special_00009</v>
      </c>
      <c r="D563" s="139" t="str">
        <f>IFERROR(__xludf.DUMMYFUNCTION("""COMPUTED_VALUE"""),"chara_kai_00401")</f>
        <v>chara_kai_00401</v>
      </c>
      <c r="E563" s="139">
        <f>IFERROR(__xludf.DUMMYFUNCTION("""COMPUTED_VALUE"""),9.0)</f>
        <v>9</v>
      </c>
      <c r="F563" s="139" t="str">
        <f>IFERROR(__xludf.DUMMYFUNCTION("""COMPUTED_VALUE"""),"Special")</f>
        <v>Special</v>
      </c>
      <c r="G563" s="139"/>
      <c r="H563" s="139"/>
      <c r="I563" s="139">
        <f>IFERROR(__xludf.DUMMYFUNCTION("""COMPUTED_VALUE"""),134.0)</f>
        <v>134</v>
      </c>
      <c r="J563" s="139">
        <f>IFERROR(__xludf.DUMMYFUNCTION("""COMPUTED_VALUE"""),0.0)</f>
        <v>0</v>
      </c>
      <c r="K563" s="139">
        <f>IFERROR(__xludf.DUMMYFUNCTION("""COMPUTED_VALUE"""),0.0)</f>
        <v>0</v>
      </c>
      <c r="L563" s="139"/>
      <c r="M563" s="139"/>
      <c r="N563" s="139"/>
    </row>
    <row r="564">
      <c r="A564" s="139"/>
      <c r="B564" s="139"/>
      <c r="C564" s="139" t="str">
        <f>IFERROR(__xludf.DUMMYFUNCTION("""COMPUTED_VALUE"""),"chara_kai_00401_Special_00010")</f>
        <v>chara_kai_00401_Special_00010</v>
      </c>
      <c r="D564" s="139" t="str">
        <f>IFERROR(__xludf.DUMMYFUNCTION("""COMPUTED_VALUE"""),"chara_kai_00401")</f>
        <v>chara_kai_00401</v>
      </c>
      <c r="E564" s="139">
        <f>IFERROR(__xludf.DUMMYFUNCTION("""COMPUTED_VALUE"""),10.0)</f>
        <v>10</v>
      </c>
      <c r="F564" s="139" t="str">
        <f>IFERROR(__xludf.DUMMYFUNCTION("""COMPUTED_VALUE"""),"Special")</f>
        <v>Special</v>
      </c>
      <c r="G564" s="139"/>
      <c r="H564" s="139"/>
      <c r="I564" s="139">
        <f>IFERROR(__xludf.DUMMYFUNCTION("""COMPUTED_VALUE"""),134.0)</f>
        <v>134</v>
      </c>
      <c r="J564" s="139">
        <f>IFERROR(__xludf.DUMMYFUNCTION("""COMPUTED_VALUE"""),0.0)</f>
        <v>0</v>
      </c>
      <c r="K564" s="139">
        <f>IFERROR(__xludf.DUMMYFUNCTION("""COMPUTED_VALUE"""),0.0)</f>
        <v>0</v>
      </c>
      <c r="L564" s="139"/>
      <c r="M564" s="139"/>
      <c r="N564" s="139"/>
    </row>
    <row r="565">
      <c r="A565" s="139" t="str">
        <f>IFERROR(__xludf.DUMMYFUNCTION("""COMPUTED_VALUE"""),"e")</f>
        <v>e</v>
      </c>
      <c r="B565" s="139">
        <f>IFERROR(__xludf.DUMMYFUNCTION("""COMPUTED_VALUE"""),2.0250901E8)</f>
        <v>202509010</v>
      </c>
      <c r="C565" s="139" t="str">
        <f>IFERROR(__xludf.DUMMYFUNCTION("""COMPUTED_VALUE"""),"chara_kai_00501_Normal_00000")</f>
        <v>chara_kai_00501_Normal_00000</v>
      </c>
      <c r="D565" s="139" t="str">
        <f>IFERROR(__xludf.DUMMYFUNCTION("""COMPUTED_VALUE"""),"chara_kai_00501")</f>
        <v>chara_kai_00501</v>
      </c>
      <c r="E565" s="139">
        <f>IFERROR(__xludf.DUMMYFUNCTION("""COMPUTED_VALUE"""),0.0)</f>
        <v>0</v>
      </c>
      <c r="F565" s="139" t="str">
        <f>IFERROR(__xludf.DUMMYFUNCTION("""COMPUTED_VALUE"""),"Normal")</f>
        <v>Normal</v>
      </c>
      <c r="G565" s="139"/>
      <c r="H565" s="139"/>
      <c r="I565" s="139">
        <f>IFERROR(__xludf.DUMMYFUNCTION("""COMPUTED_VALUE"""),99.0)</f>
        <v>99</v>
      </c>
      <c r="J565" s="139">
        <f>IFERROR(__xludf.DUMMYFUNCTION("""COMPUTED_VALUE"""),55.0)</f>
        <v>55</v>
      </c>
      <c r="K565" s="139">
        <f>IFERROR(__xludf.DUMMYFUNCTION("""COMPUTED_VALUE"""),50.0)</f>
        <v>50</v>
      </c>
      <c r="L565" s="139"/>
      <c r="M565" s="139" t="str">
        <f>IFERROR(__xludf.DUMMYFUNCTION("""COMPUTED_VALUE"""),"表示場所なし")</f>
        <v>表示場所なし</v>
      </c>
      <c r="N565" s="139"/>
    </row>
    <row r="566">
      <c r="A566" s="139" t="str">
        <f>IFERROR(__xludf.DUMMYFUNCTION("""COMPUTED_VALUE"""),"e")</f>
        <v>e</v>
      </c>
      <c r="B566" s="139">
        <f>IFERROR(__xludf.DUMMYFUNCTION("""COMPUTED_VALUE"""),2.0250901E8)</f>
        <v>202509010</v>
      </c>
      <c r="C566" s="139" t="str">
        <f>IFERROR(__xludf.DUMMYFUNCTION("""COMPUTED_VALUE"""),"chara_kai_00501_Special_00001")</f>
        <v>chara_kai_00501_Special_00001</v>
      </c>
      <c r="D566" s="139" t="str">
        <f>IFERROR(__xludf.DUMMYFUNCTION("""COMPUTED_VALUE"""),"chara_kai_00501")</f>
        <v>chara_kai_00501</v>
      </c>
      <c r="E566" s="139">
        <f>IFERROR(__xludf.DUMMYFUNCTION("""COMPUTED_VALUE"""),1.0)</f>
        <v>1</v>
      </c>
      <c r="F566" s="139" t="str">
        <f>IFERROR(__xludf.DUMMYFUNCTION("""COMPUTED_VALUE"""),"Special")</f>
        <v>Special</v>
      </c>
      <c r="G566" s="139"/>
      <c r="H566" s="139"/>
      <c r="I566" s="139">
        <f>IFERROR(__xludf.DUMMYFUNCTION("""COMPUTED_VALUE"""),134.0)</f>
        <v>134</v>
      </c>
      <c r="J566" s="139">
        <f>IFERROR(__xludf.DUMMYFUNCTION("""COMPUTED_VALUE"""),81.0)</f>
        <v>81</v>
      </c>
      <c r="K566" s="139">
        <f>IFERROR(__xludf.DUMMYFUNCTION("""COMPUTED_VALUE"""),0.0)</f>
        <v>0</v>
      </c>
      <c r="L566" s="139"/>
      <c r="M566" s="139" t="str">
        <f>IFERROR(__xludf.DUMMYFUNCTION("""COMPUTED_VALUE"""),"敵複数体に自身の攻撃ステータスの82%のダメージ")</f>
        <v>敵複数体に自身の攻撃ステータスの82%のダメージ</v>
      </c>
      <c r="N566" s="139"/>
    </row>
    <row r="567">
      <c r="A567" s="139" t="str">
        <f>IFERROR(__xludf.DUMMYFUNCTION("""COMPUTED_VALUE"""),"e")</f>
        <v>e</v>
      </c>
      <c r="B567" s="139">
        <f>IFERROR(__xludf.DUMMYFUNCTION("""COMPUTED_VALUE"""),2.0250901E8)</f>
        <v>202509010</v>
      </c>
      <c r="C567" s="139" t="str">
        <f>IFERROR(__xludf.DUMMYFUNCTION("""COMPUTED_VALUE"""),"chara_kai_00501_Special_00002")</f>
        <v>chara_kai_00501_Special_00002</v>
      </c>
      <c r="D567" s="139" t="str">
        <f>IFERROR(__xludf.DUMMYFUNCTION("""COMPUTED_VALUE"""),"chara_kai_00501")</f>
        <v>chara_kai_00501</v>
      </c>
      <c r="E567" s="139">
        <f>IFERROR(__xludf.DUMMYFUNCTION("""COMPUTED_VALUE"""),2.0)</f>
        <v>2</v>
      </c>
      <c r="F567" s="139" t="str">
        <f>IFERROR(__xludf.DUMMYFUNCTION("""COMPUTED_VALUE"""),"Special")</f>
        <v>Special</v>
      </c>
      <c r="G567" s="139"/>
      <c r="H567" s="139"/>
      <c r="I567" s="139">
        <f>IFERROR(__xludf.DUMMYFUNCTION("""COMPUTED_VALUE"""),134.0)</f>
        <v>134</v>
      </c>
      <c r="J567" s="139">
        <f>IFERROR(__xludf.DUMMYFUNCTION("""COMPUTED_VALUE"""),81.0)</f>
        <v>81</v>
      </c>
      <c r="K567" s="139">
        <f>IFERROR(__xludf.DUMMYFUNCTION("""COMPUTED_VALUE"""),0.0)</f>
        <v>0</v>
      </c>
      <c r="L567" s="139"/>
      <c r="M567" s="139" t="str">
        <f>IFERROR(__xludf.DUMMYFUNCTION("""COMPUTED_VALUE"""),"敵複数体に自身の攻撃ステータスの95%のダメージ")</f>
        <v>敵複数体に自身の攻撃ステータスの95%のダメージ</v>
      </c>
      <c r="N567" s="139" t="str">
        <f>IFERROR(__xludf.DUMMYFUNCTION("""COMPUTED_VALUE"""),"ステータスUP + 必殺ワザ性能UP")</f>
        <v>ステータスUP + 必殺ワザ性能UP</v>
      </c>
    </row>
    <row r="568">
      <c r="A568" s="139" t="str">
        <f>IFERROR(__xludf.DUMMYFUNCTION("""COMPUTED_VALUE"""),"e")</f>
        <v>e</v>
      </c>
      <c r="B568" s="139">
        <f>IFERROR(__xludf.DUMMYFUNCTION("""COMPUTED_VALUE"""),2.0250901E8)</f>
        <v>202509010</v>
      </c>
      <c r="C568" s="139" t="str">
        <f>IFERROR(__xludf.DUMMYFUNCTION("""COMPUTED_VALUE"""),"chara_kai_00501_Special_00003")</f>
        <v>chara_kai_00501_Special_00003</v>
      </c>
      <c r="D568" s="139" t="str">
        <f>IFERROR(__xludf.DUMMYFUNCTION("""COMPUTED_VALUE"""),"chara_kai_00501")</f>
        <v>chara_kai_00501</v>
      </c>
      <c r="E568" s="139">
        <f>IFERROR(__xludf.DUMMYFUNCTION("""COMPUTED_VALUE"""),3.0)</f>
        <v>3</v>
      </c>
      <c r="F568" s="139" t="str">
        <f>IFERROR(__xludf.DUMMYFUNCTION("""COMPUTED_VALUE"""),"Special")</f>
        <v>Special</v>
      </c>
      <c r="G568" s="139"/>
      <c r="H568" s="139"/>
      <c r="I568" s="139">
        <f>IFERROR(__xludf.DUMMYFUNCTION("""COMPUTED_VALUE"""),134.0)</f>
        <v>134</v>
      </c>
      <c r="J568" s="139">
        <f>IFERROR(__xludf.DUMMYFUNCTION("""COMPUTED_VALUE"""),81.0)</f>
        <v>81</v>
      </c>
      <c r="K568" s="139">
        <f>IFERROR(__xludf.DUMMYFUNCTION("""COMPUTED_VALUE"""),0.0)</f>
        <v>0</v>
      </c>
      <c r="L568" s="139"/>
      <c r="M568" s="139" t="str">
        <f>IFERROR(__xludf.DUMMYFUNCTION("""COMPUTED_VALUE"""),"敵複数体に自身の攻撃ステータスの103%のダメージ")</f>
        <v>敵複数体に自身の攻撃ステータスの103%のダメージ</v>
      </c>
      <c r="N568" s="139" t="str">
        <f>IFERROR(__xludf.DUMMYFUNCTION("""COMPUTED_VALUE"""),"ステータスUP + 必殺ワザ性能UP")</f>
        <v>ステータスUP + 必殺ワザ性能UP</v>
      </c>
    </row>
    <row r="569">
      <c r="A569" s="139" t="str">
        <f>IFERROR(__xludf.DUMMYFUNCTION("""COMPUTED_VALUE"""),"e")</f>
        <v>e</v>
      </c>
      <c r="B569" s="139">
        <f>IFERROR(__xludf.DUMMYFUNCTION("""COMPUTED_VALUE"""),2.0250901E8)</f>
        <v>202509010</v>
      </c>
      <c r="C569" s="139" t="str">
        <f>IFERROR(__xludf.DUMMYFUNCTION("""COMPUTED_VALUE"""),"chara_kai_00501_Special_00004")</f>
        <v>chara_kai_00501_Special_00004</v>
      </c>
      <c r="D569" s="139" t="str">
        <f>IFERROR(__xludf.DUMMYFUNCTION("""COMPUTED_VALUE"""),"chara_kai_00501")</f>
        <v>chara_kai_00501</v>
      </c>
      <c r="E569" s="139">
        <f>IFERROR(__xludf.DUMMYFUNCTION("""COMPUTED_VALUE"""),4.0)</f>
        <v>4</v>
      </c>
      <c r="F569" s="139" t="str">
        <f>IFERROR(__xludf.DUMMYFUNCTION("""COMPUTED_VALUE"""),"Special")</f>
        <v>Special</v>
      </c>
      <c r="G569" s="139"/>
      <c r="H569" s="139"/>
      <c r="I569" s="139">
        <f>IFERROR(__xludf.DUMMYFUNCTION("""COMPUTED_VALUE"""),134.0)</f>
        <v>134</v>
      </c>
      <c r="J569" s="139">
        <f>IFERROR(__xludf.DUMMYFUNCTION("""COMPUTED_VALUE"""),81.0)</f>
        <v>81</v>
      </c>
      <c r="K569" s="139">
        <f>IFERROR(__xludf.DUMMYFUNCTION("""COMPUTED_VALUE"""),0.0)</f>
        <v>0</v>
      </c>
      <c r="L569" s="139"/>
      <c r="M569" s="139" t="str">
        <f>IFERROR(__xludf.DUMMYFUNCTION("""COMPUTED_VALUE"""),"敵複数体に自身の攻撃ステータスの110%のダメージ")</f>
        <v>敵複数体に自身の攻撃ステータスの110%のダメージ</v>
      </c>
      <c r="N569" s="139" t="str">
        <f>IFERROR(__xludf.DUMMYFUNCTION("""COMPUTED_VALUE"""),"ステータスUP + 必殺ワザ性能UP")</f>
        <v>ステータスUP + 必殺ワザ性能UP</v>
      </c>
    </row>
    <row r="570">
      <c r="A570" s="139" t="str">
        <f>IFERROR(__xludf.DUMMYFUNCTION("""COMPUTED_VALUE"""),"e")</f>
        <v>e</v>
      </c>
      <c r="B570" s="139">
        <f>IFERROR(__xludf.DUMMYFUNCTION("""COMPUTED_VALUE"""),2.0250901E8)</f>
        <v>202509010</v>
      </c>
      <c r="C570" s="139" t="str">
        <f>IFERROR(__xludf.DUMMYFUNCTION("""COMPUTED_VALUE"""),"chara_kai_00501_Special_00005")</f>
        <v>chara_kai_00501_Special_00005</v>
      </c>
      <c r="D570" s="139" t="str">
        <f>IFERROR(__xludf.DUMMYFUNCTION("""COMPUTED_VALUE"""),"chara_kai_00501")</f>
        <v>chara_kai_00501</v>
      </c>
      <c r="E570" s="139">
        <f>IFERROR(__xludf.DUMMYFUNCTION("""COMPUTED_VALUE"""),5.0)</f>
        <v>5</v>
      </c>
      <c r="F570" s="139" t="str">
        <f>IFERROR(__xludf.DUMMYFUNCTION("""COMPUTED_VALUE"""),"Special")</f>
        <v>Special</v>
      </c>
      <c r="G570" s="139"/>
      <c r="H570" s="139"/>
      <c r="I570" s="139">
        <f>IFERROR(__xludf.DUMMYFUNCTION("""COMPUTED_VALUE"""),134.0)</f>
        <v>134</v>
      </c>
      <c r="J570" s="139">
        <f>IFERROR(__xludf.DUMMYFUNCTION("""COMPUTED_VALUE"""),81.0)</f>
        <v>81</v>
      </c>
      <c r="K570" s="139">
        <f>IFERROR(__xludf.DUMMYFUNCTION("""COMPUTED_VALUE"""),0.0)</f>
        <v>0</v>
      </c>
      <c r="L570" s="139"/>
      <c r="M570" s="139" t="str">
        <f>IFERROR(__xludf.DUMMYFUNCTION("""COMPUTED_VALUE"""),"敵複数体に自身の攻撃ステータスの114%のダメージ")</f>
        <v>敵複数体に自身の攻撃ステータスの114%のダメージ</v>
      </c>
      <c r="N570" s="139" t="str">
        <f>IFERROR(__xludf.DUMMYFUNCTION("""COMPUTED_VALUE"""),"ステータスUP + 必殺ワザ性能UP")</f>
        <v>ステータスUP + 必殺ワザ性能UP</v>
      </c>
    </row>
    <row r="571">
      <c r="A571" s="139"/>
      <c r="B571" s="139"/>
      <c r="C571" s="139" t="str">
        <f>IFERROR(__xludf.DUMMYFUNCTION("""COMPUTED_VALUE"""),"chara_kai_00501_Special_00006")</f>
        <v>chara_kai_00501_Special_00006</v>
      </c>
      <c r="D571" s="139" t="str">
        <f>IFERROR(__xludf.DUMMYFUNCTION("""COMPUTED_VALUE"""),"chara_kai_00501")</f>
        <v>chara_kai_00501</v>
      </c>
      <c r="E571" s="139">
        <f>IFERROR(__xludf.DUMMYFUNCTION("""COMPUTED_VALUE"""),6.0)</f>
        <v>6</v>
      </c>
      <c r="F571" s="139" t="str">
        <f>IFERROR(__xludf.DUMMYFUNCTION("""COMPUTED_VALUE"""),"Special")</f>
        <v>Special</v>
      </c>
      <c r="G571" s="139"/>
      <c r="H571" s="139"/>
      <c r="I571" s="139">
        <f>IFERROR(__xludf.DUMMYFUNCTION("""COMPUTED_VALUE"""),134.0)</f>
        <v>134</v>
      </c>
      <c r="J571" s="139">
        <f>IFERROR(__xludf.DUMMYFUNCTION("""COMPUTED_VALUE"""),81.0)</f>
        <v>81</v>
      </c>
      <c r="K571" s="139">
        <f>IFERROR(__xludf.DUMMYFUNCTION("""COMPUTED_VALUE"""),0.0)</f>
        <v>0</v>
      </c>
      <c r="L571" s="139"/>
      <c r="M571" s="139"/>
      <c r="N571" s="139"/>
    </row>
    <row r="572">
      <c r="A572" s="139"/>
      <c r="B572" s="139"/>
      <c r="C572" s="139" t="str">
        <f>IFERROR(__xludf.DUMMYFUNCTION("""COMPUTED_VALUE"""),"chara_kai_00501_Special_00007")</f>
        <v>chara_kai_00501_Special_00007</v>
      </c>
      <c r="D572" s="139" t="str">
        <f>IFERROR(__xludf.DUMMYFUNCTION("""COMPUTED_VALUE"""),"chara_kai_00501")</f>
        <v>chara_kai_00501</v>
      </c>
      <c r="E572" s="139">
        <f>IFERROR(__xludf.DUMMYFUNCTION("""COMPUTED_VALUE"""),7.0)</f>
        <v>7</v>
      </c>
      <c r="F572" s="139" t="str">
        <f>IFERROR(__xludf.DUMMYFUNCTION("""COMPUTED_VALUE"""),"Special")</f>
        <v>Special</v>
      </c>
      <c r="G572" s="139"/>
      <c r="H572" s="139"/>
      <c r="I572" s="139">
        <f>IFERROR(__xludf.DUMMYFUNCTION("""COMPUTED_VALUE"""),134.0)</f>
        <v>134</v>
      </c>
      <c r="J572" s="139">
        <f>IFERROR(__xludf.DUMMYFUNCTION("""COMPUTED_VALUE"""),81.0)</f>
        <v>81</v>
      </c>
      <c r="K572" s="139">
        <f>IFERROR(__xludf.DUMMYFUNCTION("""COMPUTED_VALUE"""),0.0)</f>
        <v>0</v>
      </c>
      <c r="L572" s="139"/>
      <c r="M572" s="139"/>
      <c r="N572" s="139"/>
    </row>
    <row r="573">
      <c r="A573" s="139"/>
      <c r="B573" s="139"/>
      <c r="C573" s="139" t="str">
        <f>IFERROR(__xludf.DUMMYFUNCTION("""COMPUTED_VALUE"""),"chara_kai_00501_Special_00008")</f>
        <v>chara_kai_00501_Special_00008</v>
      </c>
      <c r="D573" s="139" t="str">
        <f>IFERROR(__xludf.DUMMYFUNCTION("""COMPUTED_VALUE"""),"chara_kai_00501")</f>
        <v>chara_kai_00501</v>
      </c>
      <c r="E573" s="139">
        <f>IFERROR(__xludf.DUMMYFUNCTION("""COMPUTED_VALUE"""),8.0)</f>
        <v>8</v>
      </c>
      <c r="F573" s="139" t="str">
        <f>IFERROR(__xludf.DUMMYFUNCTION("""COMPUTED_VALUE"""),"Special")</f>
        <v>Special</v>
      </c>
      <c r="G573" s="139"/>
      <c r="H573" s="139"/>
      <c r="I573" s="139">
        <f>IFERROR(__xludf.DUMMYFUNCTION("""COMPUTED_VALUE"""),134.0)</f>
        <v>134</v>
      </c>
      <c r="J573" s="139">
        <f>IFERROR(__xludf.DUMMYFUNCTION("""COMPUTED_VALUE"""),81.0)</f>
        <v>81</v>
      </c>
      <c r="K573" s="139">
        <f>IFERROR(__xludf.DUMMYFUNCTION("""COMPUTED_VALUE"""),0.0)</f>
        <v>0</v>
      </c>
      <c r="L573" s="139"/>
      <c r="M573" s="139"/>
      <c r="N573" s="139"/>
    </row>
    <row r="574">
      <c r="A574" s="139"/>
      <c r="B574" s="139"/>
      <c r="C574" s="139" t="str">
        <f>IFERROR(__xludf.DUMMYFUNCTION("""COMPUTED_VALUE"""),"chara_kai_00501_Special_00009")</f>
        <v>chara_kai_00501_Special_00009</v>
      </c>
      <c r="D574" s="139" t="str">
        <f>IFERROR(__xludf.DUMMYFUNCTION("""COMPUTED_VALUE"""),"chara_kai_00501")</f>
        <v>chara_kai_00501</v>
      </c>
      <c r="E574" s="139">
        <f>IFERROR(__xludf.DUMMYFUNCTION("""COMPUTED_VALUE"""),9.0)</f>
        <v>9</v>
      </c>
      <c r="F574" s="139" t="str">
        <f>IFERROR(__xludf.DUMMYFUNCTION("""COMPUTED_VALUE"""),"Special")</f>
        <v>Special</v>
      </c>
      <c r="G574" s="139"/>
      <c r="H574" s="139"/>
      <c r="I574" s="139">
        <f>IFERROR(__xludf.DUMMYFUNCTION("""COMPUTED_VALUE"""),134.0)</f>
        <v>134</v>
      </c>
      <c r="J574" s="139">
        <f>IFERROR(__xludf.DUMMYFUNCTION("""COMPUTED_VALUE"""),81.0)</f>
        <v>81</v>
      </c>
      <c r="K574" s="139">
        <f>IFERROR(__xludf.DUMMYFUNCTION("""COMPUTED_VALUE"""),0.0)</f>
        <v>0</v>
      </c>
      <c r="L574" s="139"/>
      <c r="M574" s="139"/>
      <c r="N574" s="139"/>
    </row>
    <row r="575">
      <c r="A575" s="139"/>
      <c r="B575" s="139"/>
      <c r="C575" s="139" t="str">
        <f>IFERROR(__xludf.DUMMYFUNCTION("""COMPUTED_VALUE"""),"chara_kai_00501_Special_00010")</f>
        <v>chara_kai_00501_Special_00010</v>
      </c>
      <c r="D575" s="139" t="str">
        <f>IFERROR(__xludf.DUMMYFUNCTION("""COMPUTED_VALUE"""),"chara_kai_00501")</f>
        <v>chara_kai_00501</v>
      </c>
      <c r="E575" s="139">
        <f>IFERROR(__xludf.DUMMYFUNCTION("""COMPUTED_VALUE"""),10.0)</f>
        <v>10</v>
      </c>
      <c r="F575" s="139" t="str">
        <f>IFERROR(__xludf.DUMMYFUNCTION("""COMPUTED_VALUE"""),"Special")</f>
        <v>Special</v>
      </c>
      <c r="G575" s="139"/>
      <c r="H575" s="139"/>
      <c r="I575" s="139">
        <f>IFERROR(__xludf.DUMMYFUNCTION("""COMPUTED_VALUE"""),134.0)</f>
        <v>134</v>
      </c>
      <c r="J575" s="139">
        <f>IFERROR(__xludf.DUMMYFUNCTION("""COMPUTED_VALUE"""),81.0)</f>
        <v>81</v>
      </c>
      <c r="K575" s="139">
        <f>IFERROR(__xludf.DUMMYFUNCTION("""COMPUTED_VALUE"""),0.0)</f>
        <v>0</v>
      </c>
      <c r="L575" s="139"/>
      <c r="M575" s="139"/>
      <c r="N575" s="139"/>
    </row>
    <row r="576">
      <c r="A576" s="139" t="str">
        <f>IFERROR(__xludf.DUMMYFUNCTION("""COMPUTED_VALUE"""),"e")</f>
        <v>e</v>
      </c>
      <c r="B576" s="139">
        <f>IFERROR(__xludf.DUMMYFUNCTION("""COMPUTED_VALUE"""),2.0250901E8)</f>
        <v>202509010</v>
      </c>
      <c r="C576" s="139" t="str">
        <f>IFERROR(__xludf.DUMMYFUNCTION("""COMPUTED_VALUE"""),"chara_kai_00601_Normal_00000")</f>
        <v>chara_kai_00601_Normal_00000</v>
      </c>
      <c r="D576" s="139" t="str">
        <f>IFERROR(__xludf.DUMMYFUNCTION("""COMPUTED_VALUE"""),"chara_kai_00601")</f>
        <v>chara_kai_00601</v>
      </c>
      <c r="E576" s="139">
        <f>IFERROR(__xludf.DUMMYFUNCTION("""COMPUTED_VALUE"""),0.0)</f>
        <v>0</v>
      </c>
      <c r="F576" s="139" t="str">
        <f>IFERROR(__xludf.DUMMYFUNCTION("""COMPUTED_VALUE"""),"Normal")</f>
        <v>Normal</v>
      </c>
      <c r="G576" s="139"/>
      <c r="H576" s="139"/>
      <c r="I576" s="139">
        <f>IFERROR(__xludf.DUMMYFUNCTION("""COMPUTED_VALUE"""),69.0)</f>
        <v>69</v>
      </c>
      <c r="J576" s="139">
        <f>IFERROR(__xludf.DUMMYFUNCTION("""COMPUTED_VALUE"""),36.0)</f>
        <v>36</v>
      </c>
      <c r="K576" s="139">
        <f>IFERROR(__xludf.DUMMYFUNCTION("""COMPUTED_VALUE"""),100.0)</f>
        <v>100</v>
      </c>
      <c r="L576" s="139"/>
      <c r="M576" s="139" t="str">
        <f>IFERROR(__xludf.DUMMYFUNCTION("""COMPUTED_VALUE"""),"表示場所なし")</f>
        <v>表示場所なし</v>
      </c>
      <c r="N576" s="139"/>
    </row>
    <row r="577">
      <c r="A577" s="139" t="str">
        <f>IFERROR(__xludf.DUMMYFUNCTION("""COMPUTED_VALUE"""),"e")</f>
        <v>e</v>
      </c>
      <c r="B577" s="139">
        <f>IFERROR(__xludf.DUMMYFUNCTION("""COMPUTED_VALUE"""),2.0250901E8)</f>
        <v>202509010</v>
      </c>
      <c r="C577" s="139" t="str">
        <f>IFERROR(__xludf.DUMMYFUNCTION("""COMPUTED_VALUE"""),"chara_kai_00601_Special_00001")</f>
        <v>chara_kai_00601_Special_00001</v>
      </c>
      <c r="D577" s="139" t="str">
        <f>IFERROR(__xludf.DUMMYFUNCTION("""COMPUTED_VALUE"""),"chara_kai_00601")</f>
        <v>chara_kai_00601</v>
      </c>
      <c r="E577" s="139">
        <f>IFERROR(__xludf.DUMMYFUNCTION("""COMPUTED_VALUE"""),1.0)</f>
        <v>1</v>
      </c>
      <c r="F577" s="139" t="str">
        <f>IFERROR(__xludf.DUMMYFUNCTION("""COMPUTED_VALUE"""),"Special")</f>
        <v>Special</v>
      </c>
      <c r="G577" s="139"/>
      <c r="H577" s="139"/>
      <c r="I577" s="139">
        <f>IFERROR(__xludf.DUMMYFUNCTION("""COMPUTED_VALUE"""),92.0)</f>
        <v>92</v>
      </c>
      <c r="J577" s="139">
        <f>IFERROR(__xludf.DUMMYFUNCTION("""COMPUTED_VALUE"""),47.0)</f>
        <v>47</v>
      </c>
      <c r="K577" s="139">
        <f>IFERROR(__xludf.DUMMYFUNCTION("""COMPUTED_VALUE"""),0.0)</f>
        <v>0</v>
      </c>
      <c r="L577" s="139"/>
      <c r="M577" s="139" t="str">
        <f>IFERROR(__xludf.DUMMYFUNCTION("""COMPUTED_VALUE"""),"自身の攻撃を3秒間、20%UP")</f>
        <v>自身の攻撃を3秒間、20%UP</v>
      </c>
      <c r="N577" s="139"/>
    </row>
    <row r="578">
      <c r="A578" s="139" t="str">
        <f>IFERROR(__xludf.DUMMYFUNCTION("""COMPUTED_VALUE"""),"e")</f>
        <v>e</v>
      </c>
      <c r="B578" s="139">
        <f>IFERROR(__xludf.DUMMYFUNCTION("""COMPUTED_VALUE"""),2.0250901E8)</f>
        <v>202509010</v>
      </c>
      <c r="C578" s="139" t="str">
        <f>IFERROR(__xludf.DUMMYFUNCTION("""COMPUTED_VALUE"""),"chara_kai_00601_Special_00002")</f>
        <v>chara_kai_00601_Special_00002</v>
      </c>
      <c r="D578" s="139" t="str">
        <f>IFERROR(__xludf.DUMMYFUNCTION("""COMPUTED_VALUE"""),"chara_kai_00601")</f>
        <v>chara_kai_00601</v>
      </c>
      <c r="E578" s="139">
        <f>IFERROR(__xludf.DUMMYFUNCTION("""COMPUTED_VALUE"""),2.0)</f>
        <v>2</v>
      </c>
      <c r="F578" s="139" t="str">
        <f>IFERROR(__xludf.DUMMYFUNCTION("""COMPUTED_VALUE"""),"Special")</f>
        <v>Special</v>
      </c>
      <c r="G578" s="139"/>
      <c r="H578" s="139"/>
      <c r="I578" s="139">
        <f>IFERROR(__xludf.DUMMYFUNCTION("""COMPUTED_VALUE"""),92.0)</f>
        <v>92</v>
      </c>
      <c r="J578" s="139">
        <f>IFERROR(__xludf.DUMMYFUNCTION("""COMPUTED_VALUE"""),47.0)</f>
        <v>47</v>
      </c>
      <c r="K578" s="139">
        <f>IFERROR(__xludf.DUMMYFUNCTION("""COMPUTED_VALUE"""),0.0)</f>
        <v>0</v>
      </c>
      <c r="L578" s="139"/>
      <c r="M578" s="139" t="str">
        <f>IFERROR(__xludf.DUMMYFUNCTION("""COMPUTED_VALUE"""),"自身の攻撃を3.3秒間、21%UP")</f>
        <v>自身の攻撃を3.3秒間、21%UP</v>
      </c>
      <c r="N578" s="139" t="str">
        <f>IFERROR(__xludf.DUMMYFUNCTION("""COMPUTED_VALUE"""),"ステータスUP + 必殺ワザ性能UP")</f>
        <v>ステータスUP + 必殺ワザ性能UP</v>
      </c>
    </row>
    <row r="579">
      <c r="A579" s="139" t="str">
        <f>IFERROR(__xludf.DUMMYFUNCTION("""COMPUTED_VALUE"""),"e")</f>
        <v>e</v>
      </c>
      <c r="B579" s="139">
        <f>IFERROR(__xludf.DUMMYFUNCTION("""COMPUTED_VALUE"""),2.0250901E8)</f>
        <v>202509010</v>
      </c>
      <c r="C579" s="139" t="str">
        <f>IFERROR(__xludf.DUMMYFUNCTION("""COMPUTED_VALUE"""),"chara_kai_00601_Special_00003")</f>
        <v>chara_kai_00601_Special_00003</v>
      </c>
      <c r="D579" s="139" t="str">
        <f>IFERROR(__xludf.DUMMYFUNCTION("""COMPUTED_VALUE"""),"chara_kai_00601")</f>
        <v>chara_kai_00601</v>
      </c>
      <c r="E579" s="139">
        <f>IFERROR(__xludf.DUMMYFUNCTION("""COMPUTED_VALUE"""),3.0)</f>
        <v>3</v>
      </c>
      <c r="F579" s="139" t="str">
        <f>IFERROR(__xludf.DUMMYFUNCTION("""COMPUTED_VALUE"""),"Special")</f>
        <v>Special</v>
      </c>
      <c r="G579" s="139"/>
      <c r="H579" s="139"/>
      <c r="I579" s="139">
        <f>IFERROR(__xludf.DUMMYFUNCTION("""COMPUTED_VALUE"""),92.0)</f>
        <v>92</v>
      </c>
      <c r="J579" s="139">
        <f>IFERROR(__xludf.DUMMYFUNCTION("""COMPUTED_VALUE"""),47.0)</f>
        <v>47</v>
      </c>
      <c r="K579" s="139">
        <f>IFERROR(__xludf.DUMMYFUNCTION("""COMPUTED_VALUE"""),0.0)</f>
        <v>0</v>
      </c>
      <c r="L579" s="139"/>
      <c r="M579" s="139" t="str">
        <f>IFERROR(__xludf.DUMMYFUNCTION("""COMPUTED_VALUE"""),"自身の攻撃を3.5秒間、22%UP")</f>
        <v>自身の攻撃を3.5秒間、22%UP</v>
      </c>
      <c r="N579" s="139" t="str">
        <f>IFERROR(__xludf.DUMMYFUNCTION("""COMPUTED_VALUE"""),"ステータスUP + 必殺ワザ性能UP")</f>
        <v>ステータスUP + 必殺ワザ性能UP</v>
      </c>
    </row>
    <row r="580">
      <c r="A580" s="139" t="str">
        <f>IFERROR(__xludf.DUMMYFUNCTION("""COMPUTED_VALUE"""),"e")</f>
        <v>e</v>
      </c>
      <c r="B580" s="139">
        <f>IFERROR(__xludf.DUMMYFUNCTION("""COMPUTED_VALUE"""),2.0250901E8)</f>
        <v>202509010</v>
      </c>
      <c r="C580" s="139" t="str">
        <f>IFERROR(__xludf.DUMMYFUNCTION("""COMPUTED_VALUE"""),"chara_kai_00601_Special_00004")</f>
        <v>chara_kai_00601_Special_00004</v>
      </c>
      <c r="D580" s="139" t="str">
        <f>IFERROR(__xludf.DUMMYFUNCTION("""COMPUTED_VALUE"""),"chara_kai_00601")</f>
        <v>chara_kai_00601</v>
      </c>
      <c r="E580" s="139">
        <f>IFERROR(__xludf.DUMMYFUNCTION("""COMPUTED_VALUE"""),4.0)</f>
        <v>4</v>
      </c>
      <c r="F580" s="139" t="str">
        <f>IFERROR(__xludf.DUMMYFUNCTION("""COMPUTED_VALUE"""),"Special")</f>
        <v>Special</v>
      </c>
      <c r="G580" s="139"/>
      <c r="H580" s="139"/>
      <c r="I580" s="139">
        <f>IFERROR(__xludf.DUMMYFUNCTION("""COMPUTED_VALUE"""),92.0)</f>
        <v>92</v>
      </c>
      <c r="J580" s="139">
        <f>IFERROR(__xludf.DUMMYFUNCTION("""COMPUTED_VALUE"""),47.0)</f>
        <v>47</v>
      </c>
      <c r="K580" s="139">
        <f>IFERROR(__xludf.DUMMYFUNCTION("""COMPUTED_VALUE"""),0.0)</f>
        <v>0</v>
      </c>
      <c r="L580" s="139"/>
      <c r="M580" s="139" t="str">
        <f>IFERROR(__xludf.DUMMYFUNCTION("""COMPUTED_VALUE"""),"自身の攻撃を3.6秒間、23%UP")</f>
        <v>自身の攻撃を3.6秒間、23%UP</v>
      </c>
      <c r="N580" s="139" t="str">
        <f>IFERROR(__xludf.DUMMYFUNCTION("""COMPUTED_VALUE"""),"ステータスUP + 必殺ワザ性能UP")</f>
        <v>ステータスUP + 必殺ワザ性能UP</v>
      </c>
    </row>
    <row r="581">
      <c r="A581" s="139" t="str">
        <f>IFERROR(__xludf.DUMMYFUNCTION("""COMPUTED_VALUE"""),"e")</f>
        <v>e</v>
      </c>
      <c r="B581" s="139">
        <f>IFERROR(__xludf.DUMMYFUNCTION("""COMPUTED_VALUE"""),2.0250901E8)</f>
        <v>202509010</v>
      </c>
      <c r="C581" s="139" t="str">
        <f>IFERROR(__xludf.DUMMYFUNCTION("""COMPUTED_VALUE"""),"chara_kai_00601_Special_00005")</f>
        <v>chara_kai_00601_Special_00005</v>
      </c>
      <c r="D581" s="139" t="str">
        <f>IFERROR(__xludf.DUMMYFUNCTION("""COMPUTED_VALUE"""),"chara_kai_00601")</f>
        <v>chara_kai_00601</v>
      </c>
      <c r="E581" s="139">
        <f>IFERROR(__xludf.DUMMYFUNCTION("""COMPUTED_VALUE"""),5.0)</f>
        <v>5</v>
      </c>
      <c r="F581" s="139" t="str">
        <f>IFERROR(__xludf.DUMMYFUNCTION("""COMPUTED_VALUE"""),"Special")</f>
        <v>Special</v>
      </c>
      <c r="G581" s="139"/>
      <c r="H581" s="139"/>
      <c r="I581" s="139">
        <f>IFERROR(__xludf.DUMMYFUNCTION("""COMPUTED_VALUE"""),92.0)</f>
        <v>92</v>
      </c>
      <c r="J581" s="139">
        <f>IFERROR(__xludf.DUMMYFUNCTION("""COMPUTED_VALUE"""),47.0)</f>
        <v>47</v>
      </c>
      <c r="K581" s="139">
        <f>IFERROR(__xludf.DUMMYFUNCTION("""COMPUTED_VALUE"""),0.0)</f>
        <v>0</v>
      </c>
      <c r="L581" s="139"/>
      <c r="M581" s="139" t="str">
        <f>IFERROR(__xludf.DUMMYFUNCTION("""COMPUTED_VALUE"""),"自身の攻撃を3.7秒間、23%UP")</f>
        <v>自身の攻撃を3.7秒間、23%UP</v>
      </c>
      <c r="N581" s="139" t="str">
        <f>IFERROR(__xludf.DUMMYFUNCTION("""COMPUTED_VALUE"""),"ステータスUP + 必殺ワザ性能UP")</f>
        <v>ステータスUP + 必殺ワザ性能UP</v>
      </c>
    </row>
    <row r="582">
      <c r="A582" s="139"/>
      <c r="B582" s="139"/>
      <c r="C582" s="139" t="str">
        <f>IFERROR(__xludf.DUMMYFUNCTION("""COMPUTED_VALUE"""),"chara_kai_00601_Special_00006")</f>
        <v>chara_kai_00601_Special_00006</v>
      </c>
      <c r="D582" s="139" t="str">
        <f>IFERROR(__xludf.DUMMYFUNCTION("""COMPUTED_VALUE"""),"chara_kai_00601")</f>
        <v>chara_kai_00601</v>
      </c>
      <c r="E582" s="139">
        <f>IFERROR(__xludf.DUMMYFUNCTION("""COMPUTED_VALUE"""),6.0)</f>
        <v>6</v>
      </c>
      <c r="F582" s="139" t="str">
        <f>IFERROR(__xludf.DUMMYFUNCTION("""COMPUTED_VALUE"""),"Special")</f>
        <v>Special</v>
      </c>
      <c r="G582" s="139"/>
      <c r="H582" s="139"/>
      <c r="I582" s="139">
        <f>IFERROR(__xludf.DUMMYFUNCTION("""COMPUTED_VALUE"""),92.0)</f>
        <v>92</v>
      </c>
      <c r="J582" s="139">
        <f>IFERROR(__xludf.DUMMYFUNCTION("""COMPUTED_VALUE"""),47.0)</f>
        <v>47</v>
      </c>
      <c r="K582" s="139">
        <f>IFERROR(__xludf.DUMMYFUNCTION("""COMPUTED_VALUE"""),0.0)</f>
        <v>0</v>
      </c>
      <c r="L582" s="139"/>
      <c r="M582" s="139"/>
      <c r="N582" s="139"/>
    </row>
    <row r="583">
      <c r="A583" s="139"/>
      <c r="B583" s="139"/>
      <c r="C583" s="139" t="str">
        <f>IFERROR(__xludf.DUMMYFUNCTION("""COMPUTED_VALUE"""),"chara_kai_00601_Special_00007")</f>
        <v>chara_kai_00601_Special_00007</v>
      </c>
      <c r="D583" s="139" t="str">
        <f>IFERROR(__xludf.DUMMYFUNCTION("""COMPUTED_VALUE"""),"chara_kai_00601")</f>
        <v>chara_kai_00601</v>
      </c>
      <c r="E583" s="139">
        <f>IFERROR(__xludf.DUMMYFUNCTION("""COMPUTED_VALUE"""),7.0)</f>
        <v>7</v>
      </c>
      <c r="F583" s="139" t="str">
        <f>IFERROR(__xludf.DUMMYFUNCTION("""COMPUTED_VALUE"""),"Special")</f>
        <v>Special</v>
      </c>
      <c r="G583" s="139"/>
      <c r="H583" s="139"/>
      <c r="I583" s="139">
        <f>IFERROR(__xludf.DUMMYFUNCTION("""COMPUTED_VALUE"""),92.0)</f>
        <v>92</v>
      </c>
      <c r="J583" s="139">
        <f>IFERROR(__xludf.DUMMYFUNCTION("""COMPUTED_VALUE"""),47.0)</f>
        <v>47</v>
      </c>
      <c r="K583" s="139">
        <f>IFERROR(__xludf.DUMMYFUNCTION("""COMPUTED_VALUE"""),0.0)</f>
        <v>0</v>
      </c>
      <c r="L583" s="139"/>
      <c r="M583" s="139"/>
      <c r="N583" s="139"/>
    </row>
    <row r="584">
      <c r="A584" s="139"/>
      <c r="B584" s="139"/>
      <c r="C584" s="139" t="str">
        <f>IFERROR(__xludf.DUMMYFUNCTION("""COMPUTED_VALUE"""),"chara_kai_00601_Special_00008")</f>
        <v>chara_kai_00601_Special_00008</v>
      </c>
      <c r="D584" s="139" t="str">
        <f>IFERROR(__xludf.DUMMYFUNCTION("""COMPUTED_VALUE"""),"chara_kai_00601")</f>
        <v>chara_kai_00601</v>
      </c>
      <c r="E584" s="139">
        <f>IFERROR(__xludf.DUMMYFUNCTION("""COMPUTED_VALUE"""),8.0)</f>
        <v>8</v>
      </c>
      <c r="F584" s="139" t="str">
        <f>IFERROR(__xludf.DUMMYFUNCTION("""COMPUTED_VALUE"""),"Special")</f>
        <v>Special</v>
      </c>
      <c r="G584" s="139"/>
      <c r="H584" s="139"/>
      <c r="I584" s="139">
        <f>IFERROR(__xludf.DUMMYFUNCTION("""COMPUTED_VALUE"""),92.0)</f>
        <v>92</v>
      </c>
      <c r="J584" s="139">
        <f>IFERROR(__xludf.DUMMYFUNCTION("""COMPUTED_VALUE"""),47.0)</f>
        <v>47</v>
      </c>
      <c r="K584" s="139">
        <f>IFERROR(__xludf.DUMMYFUNCTION("""COMPUTED_VALUE"""),0.0)</f>
        <v>0</v>
      </c>
      <c r="L584" s="139"/>
      <c r="M584" s="139"/>
      <c r="N584" s="139"/>
    </row>
    <row r="585">
      <c r="A585" s="139"/>
      <c r="B585" s="139"/>
      <c r="C585" s="139" t="str">
        <f>IFERROR(__xludf.DUMMYFUNCTION("""COMPUTED_VALUE"""),"chara_kai_00601_Special_00009")</f>
        <v>chara_kai_00601_Special_00009</v>
      </c>
      <c r="D585" s="139" t="str">
        <f>IFERROR(__xludf.DUMMYFUNCTION("""COMPUTED_VALUE"""),"chara_kai_00601")</f>
        <v>chara_kai_00601</v>
      </c>
      <c r="E585" s="139">
        <f>IFERROR(__xludf.DUMMYFUNCTION("""COMPUTED_VALUE"""),9.0)</f>
        <v>9</v>
      </c>
      <c r="F585" s="139" t="str">
        <f>IFERROR(__xludf.DUMMYFUNCTION("""COMPUTED_VALUE"""),"Special")</f>
        <v>Special</v>
      </c>
      <c r="G585" s="139"/>
      <c r="H585" s="139"/>
      <c r="I585" s="139">
        <f>IFERROR(__xludf.DUMMYFUNCTION("""COMPUTED_VALUE"""),92.0)</f>
        <v>92</v>
      </c>
      <c r="J585" s="139">
        <f>IFERROR(__xludf.DUMMYFUNCTION("""COMPUTED_VALUE"""),47.0)</f>
        <v>47</v>
      </c>
      <c r="K585" s="139">
        <f>IFERROR(__xludf.DUMMYFUNCTION("""COMPUTED_VALUE"""),0.0)</f>
        <v>0</v>
      </c>
      <c r="L585" s="139"/>
      <c r="M585" s="139"/>
      <c r="N585" s="139"/>
    </row>
    <row r="586">
      <c r="A586" s="139"/>
      <c r="B586" s="139"/>
      <c r="C586" s="139" t="str">
        <f>IFERROR(__xludf.DUMMYFUNCTION("""COMPUTED_VALUE"""),"chara_kai_00601_Special_00010")</f>
        <v>chara_kai_00601_Special_00010</v>
      </c>
      <c r="D586" s="139" t="str">
        <f>IFERROR(__xludf.DUMMYFUNCTION("""COMPUTED_VALUE"""),"chara_kai_00601")</f>
        <v>chara_kai_00601</v>
      </c>
      <c r="E586" s="139">
        <f>IFERROR(__xludf.DUMMYFUNCTION("""COMPUTED_VALUE"""),10.0)</f>
        <v>10</v>
      </c>
      <c r="F586" s="139" t="str">
        <f>IFERROR(__xludf.DUMMYFUNCTION("""COMPUTED_VALUE"""),"Special")</f>
        <v>Special</v>
      </c>
      <c r="G586" s="139"/>
      <c r="H586" s="139"/>
      <c r="I586" s="139">
        <f>IFERROR(__xludf.DUMMYFUNCTION("""COMPUTED_VALUE"""),92.0)</f>
        <v>92</v>
      </c>
      <c r="J586" s="139">
        <f>IFERROR(__xludf.DUMMYFUNCTION("""COMPUTED_VALUE"""),47.0)</f>
        <v>47</v>
      </c>
      <c r="K586" s="139">
        <f>IFERROR(__xludf.DUMMYFUNCTION("""COMPUTED_VALUE"""),0.0)</f>
        <v>0</v>
      </c>
      <c r="L586" s="139"/>
      <c r="M586" s="139"/>
      <c r="N586" s="139"/>
    </row>
    <row r="587">
      <c r="A587" s="139" t="str">
        <f>IFERROR(__xludf.DUMMYFUNCTION("""COMPUTED_VALUE"""),"e")</f>
        <v>e</v>
      </c>
      <c r="B587" s="139">
        <f>IFERROR(__xludf.DUMMYFUNCTION("""COMPUTED_VALUE"""),2.0251102E8)</f>
        <v>202511020</v>
      </c>
      <c r="C587" s="139" t="str">
        <f>IFERROR(__xludf.DUMMYFUNCTION("""COMPUTED_VALUE"""),"chara_yuw_00301_Normal_00000")</f>
        <v>chara_yuw_00301_Normal_00000</v>
      </c>
      <c r="D587" s="139" t="str">
        <f>IFERROR(__xludf.DUMMYFUNCTION("""COMPUTED_VALUE"""),"chara_yuw_00301")</f>
        <v>chara_yuw_00301</v>
      </c>
      <c r="E587" s="139">
        <f>IFERROR(__xludf.DUMMYFUNCTION("""COMPUTED_VALUE"""),0.0)</f>
        <v>0</v>
      </c>
      <c r="F587" s="139" t="str">
        <f>IFERROR(__xludf.DUMMYFUNCTION("""COMPUTED_VALUE"""),"Normal")</f>
        <v>Normal</v>
      </c>
      <c r="G587" s="139"/>
      <c r="H587" s="139"/>
      <c r="I587" s="139">
        <f>IFERROR(__xludf.DUMMYFUNCTION("""COMPUTED_VALUE"""),79.0)</f>
        <v>79</v>
      </c>
      <c r="J587" s="139">
        <f>IFERROR(__xludf.DUMMYFUNCTION("""COMPUTED_VALUE"""),0.0)</f>
        <v>0</v>
      </c>
      <c r="K587" s="139">
        <f>IFERROR(__xludf.DUMMYFUNCTION("""COMPUTED_VALUE"""),75.0)</f>
        <v>75</v>
      </c>
      <c r="L587" s="139"/>
      <c r="M587" s="139" t="str">
        <f>IFERROR(__xludf.DUMMYFUNCTION("""COMPUTED_VALUE"""),"表示場所なし")</f>
        <v>表示場所なし</v>
      </c>
      <c r="N587" s="139"/>
    </row>
    <row r="588">
      <c r="A588" s="139" t="str">
        <f>IFERROR(__xludf.DUMMYFUNCTION("""COMPUTED_VALUE"""),"e")</f>
        <v>e</v>
      </c>
      <c r="B588" s="139">
        <f>IFERROR(__xludf.DUMMYFUNCTION("""COMPUTED_VALUE"""),2.0251102E8)</f>
        <v>202511020</v>
      </c>
      <c r="C588" s="139" t="str">
        <f>IFERROR(__xludf.DUMMYFUNCTION("""COMPUTED_VALUE"""),"chara_yuw_00301_Special_00001")</f>
        <v>chara_yuw_00301_Special_00001</v>
      </c>
      <c r="D588" s="139" t="str">
        <f>IFERROR(__xludf.DUMMYFUNCTION("""COMPUTED_VALUE"""),"chara_yuw_00301")</f>
        <v>chara_yuw_00301</v>
      </c>
      <c r="E588" s="139">
        <f>IFERROR(__xludf.DUMMYFUNCTION("""COMPUTED_VALUE"""),1.0)</f>
        <v>1</v>
      </c>
      <c r="F588" s="139" t="str">
        <f>IFERROR(__xludf.DUMMYFUNCTION("""COMPUTED_VALUE"""),"Special")</f>
        <v>Special</v>
      </c>
      <c r="G588" s="139"/>
      <c r="H588" s="139"/>
      <c r="I588" s="139">
        <f>IFERROR(__xludf.DUMMYFUNCTION("""COMPUTED_VALUE"""),175.0)</f>
        <v>175</v>
      </c>
      <c r="J588" s="139">
        <f>IFERROR(__xludf.DUMMYFUNCTION("""COMPUTED_VALUE"""),160.0)</f>
        <v>160</v>
      </c>
      <c r="K588" s="139">
        <f>IFERROR(__xludf.DUMMYFUNCTION("""COMPUTED_VALUE"""),0.0)</f>
        <v>0</v>
      </c>
      <c r="L588" s="139"/>
      <c r="M588" s="139" t="str">
        <f>IFERROR(__xludf.DUMMYFUNCTION("""COMPUTED_VALUE"""),"自身と同じコマと一つ後ろまでのコマにいる青属性の味方と自身の攻撃を9秒間、20%UP + 自身と同じコマと一つ後ろまでのコマにいる青属性以外の味方の攻撃を9秒間、10%UP + 自身の攻撃を9秒間、10%UP")</f>
        <v>自身と同じコマと一つ後ろまでのコマにいる青属性の味方と自身の攻撃を9秒間、20%UP + 自身と同じコマと一つ後ろまでのコマにいる青属性以外の味方の攻撃を9秒間、10%UP + 自身の攻撃を9秒間、10%UP</v>
      </c>
      <c r="N588" s="139"/>
    </row>
    <row r="589">
      <c r="A589" s="139" t="str">
        <f>IFERROR(__xludf.DUMMYFUNCTION("""COMPUTED_VALUE"""),"e")</f>
        <v>e</v>
      </c>
      <c r="B589" s="139">
        <f>IFERROR(__xludf.DUMMYFUNCTION("""COMPUTED_VALUE"""),2.0251102E8)</f>
        <v>202511020</v>
      </c>
      <c r="C589" s="139" t="str">
        <f>IFERROR(__xludf.DUMMYFUNCTION("""COMPUTED_VALUE"""),"chara_yuw_00301_Special_00002")</f>
        <v>chara_yuw_00301_Special_00002</v>
      </c>
      <c r="D589" s="139" t="str">
        <f>IFERROR(__xludf.DUMMYFUNCTION("""COMPUTED_VALUE"""),"chara_yuw_00301")</f>
        <v>chara_yuw_00301</v>
      </c>
      <c r="E589" s="139">
        <f>IFERROR(__xludf.DUMMYFUNCTION("""COMPUTED_VALUE"""),2.0)</f>
        <v>2</v>
      </c>
      <c r="F589" s="139" t="str">
        <f>IFERROR(__xludf.DUMMYFUNCTION("""COMPUTED_VALUE"""),"Special")</f>
        <v>Special</v>
      </c>
      <c r="G589" s="139"/>
      <c r="H589" s="139"/>
      <c r="I589" s="139">
        <f>IFERROR(__xludf.DUMMYFUNCTION("""COMPUTED_VALUE"""),175.0)</f>
        <v>175</v>
      </c>
      <c r="J589" s="139">
        <f>IFERROR(__xludf.DUMMYFUNCTION("""COMPUTED_VALUE"""),160.0)</f>
        <v>160</v>
      </c>
      <c r="K589" s="139">
        <f>IFERROR(__xludf.DUMMYFUNCTION("""COMPUTED_VALUE"""),0.0)</f>
        <v>0</v>
      </c>
      <c r="L589" s="139"/>
      <c r="M589" s="139" t="str">
        <f>IFERROR(__xludf.DUMMYFUNCTION("""COMPUTED_VALUE"""),"自身と同じコマと一つ後ろまでのコマにいる青属性の味方と自身の攻撃を12秒間、32%UP + 自身と同じコマと一つ後ろまでのコマにいる青属性以外の味方の攻撃を12秒間、18%UP + 自身の攻撃を12秒間、14%UP")</f>
        <v>自身と同じコマと一つ後ろまでのコマにいる青属性の味方と自身の攻撃を12秒間、32%UP + 自身と同じコマと一つ後ろまでのコマにいる青属性以外の味方の攻撃を12秒間、18%UP + 自身の攻撃を12秒間、14%UP</v>
      </c>
      <c r="N589" s="139" t="str">
        <f>IFERROR(__xludf.DUMMYFUNCTION("""COMPUTED_VALUE"""),"ステータスUP + 必殺ワザ性能UP")</f>
        <v>ステータスUP + 必殺ワザ性能UP</v>
      </c>
    </row>
    <row r="590">
      <c r="A590" s="139" t="str">
        <f>IFERROR(__xludf.DUMMYFUNCTION("""COMPUTED_VALUE"""),"e")</f>
        <v>e</v>
      </c>
      <c r="B590" s="139">
        <f>IFERROR(__xludf.DUMMYFUNCTION("""COMPUTED_VALUE"""),2.0251102E8)</f>
        <v>202511020</v>
      </c>
      <c r="C590" s="139" t="str">
        <f>IFERROR(__xludf.DUMMYFUNCTION("""COMPUTED_VALUE"""),"chara_yuw_00301_Special_00003")</f>
        <v>chara_yuw_00301_Special_00003</v>
      </c>
      <c r="D590" s="139" t="str">
        <f>IFERROR(__xludf.DUMMYFUNCTION("""COMPUTED_VALUE"""),"chara_yuw_00301")</f>
        <v>chara_yuw_00301</v>
      </c>
      <c r="E590" s="139">
        <f>IFERROR(__xludf.DUMMYFUNCTION("""COMPUTED_VALUE"""),3.0)</f>
        <v>3</v>
      </c>
      <c r="F590" s="139" t="str">
        <f>IFERROR(__xludf.DUMMYFUNCTION("""COMPUTED_VALUE"""),"Special")</f>
        <v>Special</v>
      </c>
      <c r="G590" s="139"/>
      <c r="H590" s="139"/>
      <c r="I590" s="139">
        <f>IFERROR(__xludf.DUMMYFUNCTION("""COMPUTED_VALUE"""),175.0)</f>
        <v>175</v>
      </c>
      <c r="J590" s="139">
        <f>IFERROR(__xludf.DUMMYFUNCTION("""COMPUTED_VALUE"""),160.0)</f>
        <v>160</v>
      </c>
      <c r="K590" s="139">
        <f>IFERROR(__xludf.DUMMYFUNCTION("""COMPUTED_VALUE"""),0.0)</f>
        <v>0</v>
      </c>
      <c r="L590" s="139"/>
      <c r="M590" s="139" t="str">
        <f>IFERROR(__xludf.DUMMYFUNCTION("""COMPUTED_VALUE"""),"自身と同じコマと一つ後ろまでのコマにいる青属性の味方と自身の攻撃を14秒間、40%UP + 自身と同じコマと一つ後ろまでのコマにいる青属性以外の味方の攻撃を14秒間、24%UP + 自身の攻撃を14秒間、16%UP")</f>
        <v>自身と同じコマと一つ後ろまでのコマにいる青属性の味方と自身の攻撃を14秒間、40%UP + 自身と同じコマと一つ後ろまでのコマにいる青属性以外の味方の攻撃を14秒間、24%UP + 自身の攻撃を14秒間、16%UP</v>
      </c>
      <c r="N590" s="139" t="str">
        <f>IFERROR(__xludf.DUMMYFUNCTION("""COMPUTED_VALUE"""),"ステータスUP + 必殺ワザ性能UP")</f>
        <v>ステータスUP + 必殺ワザ性能UP</v>
      </c>
    </row>
    <row r="591">
      <c r="A591" s="139" t="str">
        <f>IFERROR(__xludf.DUMMYFUNCTION("""COMPUTED_VALUE"""),"e")</f>
        <v>e</v>
      </c>
      <c r="B591" s="139">
        <f>IFERROR(__xludf.DUMMYFUNCTION("""COMPUTED_VALUE"""),2.0251102E8)</f>
        <v>202511020</v>
      </c>
      <c r="C591" s="139" t="str">
        <f>IFERROR(__xludf.DUMMYFUNCTION("""COMPUTED_VALUE"""),"chara_yuw_00301_Special_00004")</f>
        <v>chara_yuw_00301_Special_00004</v>
      </c>
      <c r="D591" s="139" t="str">
        <f>IFERROR(__xludf.DUMMYFUNCTION("""COMPUTED_VALUE"""),"chara_yuw_00301")</f>
        <v>chara_yuw_00301</v>
      </c>
      <c r="E591" s="139">
        <f>IFERROR(__xludf.DUMMYFUNCTION("""COMPUTED_VALUE"""),4.0)</f>
        <v>4</v>
      </c>
      <c r="F591" s="139" t="str">
        <f>IFERROR(__xludf.DUMMYFUNCTION("""COMPUTED_VALUE"""),"Special")</f>
        <v>Special</v>
      </c>
      <c r="G591" s="139"/>
      <c r="H591" s="139"/>
      <c r="I591" s="139">
        <f>IFERROR(__xludf.DUMMYFUNCTION("""COMPUTED_VALUE"""),175.0)</f>
        <v>175</v>
      </c>
      <c r="J591" s="139">
        <f>IFERROR(__xludf.DUMMYFUNCTION("""COMPUTED_VALUE"""),160.0)</f>
        <v>160</v>
      </c>
      <c r="K591" s="139">
        <f>IFERROR(__xludf.DUMMYFUNCTION("""COMPUTED_VALUE"""),0.0)</f>
        <v>0</v>
      </c>
      <c r="L591" s="139"/>
      <c r="M591" s="139" t="str">
        <f>IFERROR(__xludf.DUMMYFUNCTION("""COMPUTED_VALUE"""),"自身と同じコマと一つ後ろまでのコマにいる青属性の味方と自身の攻撃を17.6秒間、46%UP + 自身と同じコマと一つ後ろまでのコマにいる青属性以外の味方の攻撃を17.6秒間、28%UP + 自身の攻撃を17.6秒間、18%UP")</f>
        <v>自身と同じコマと一つ後ろまでのコマにいる青属性の味方と自身の攻撃を17.6秒間、46%UP + 自身と同じコマと一つ後ろまでのコマにいる青属性以外の味方の攻撃を17.6秒間、28%UP + 自身の攻撃を17.6秒間、18%UP</v>
      </c>
      <c r="N591" s="139" t="str">
        <f>IFERROR(__xludf.DUMMYFUNCTION("""COMPUTED_VALUE"""),"ステータスUP + 必殺ワザ性能UP")</f>
        <v>ステータスUP + 必殺ワザ性能UP</v>
      </c>
    </row>
    <row r="592">
      <c r="A592" s="139" t="str">
        <f>IFERROR(__xludf.DUMMYFUNCTION("""COMPUTED_VALUE"""),"e")</f>
        <v>e</v>
      </c>
      <c r="B592" s="139">
        <f>IFERROR(__xludf.DUMMYFUNCTION("""COMPUTED_VALUE"""),2.0251102E8)</f>
        <v>202511020</v>
      </c>
      <c r="C592" s="139" t="str">
        <f>IFERROR(__xludf.DUMMYFUNCTION("""COMPUTED_VALUE"""),"chara_yuw_00301_Special_00005")</f>
        <v>chara_yuw_00301_Special_00005</v>
      </c>
      <c r="D592" s="139" t="str">
        <f>IFERROR(__xludf.DUMMYFUNCTION("""COMPUTED_VALUE"""),"chara_yuw_00301")</f>
        <v>chara_yuw_00301</v>
      </c>
      <c r="E592" s="139">
        <f>IFERROR(__xludf.DUMMYFUNCTION("""COMPUTED_VALUE"""),5.0)</f>
        <v>5</v>
      </c>
      <c r="F592" s="139" t="str">
        <f>IFERROR(__xludf.DUMMYFUNCTION("""COMPUTED_VALUE"""),"Special")</f>
        <v>Special</v>
      </c>
      <c r="G592" s="139"/>
      <c r="H592" s="139"/>
      <c r="I592" s="139">
        <f>IFERROR(__xludf.DUMMYFUNCTION("""COMPUTED_VALUE"""),175.0)</f>
        <v>175</v>
      </c>
      <c r="J592" s="139">
        <f>IFERROR(__xludf.DUMMYFUNCTION("""COMPUTED_VALUE"""),160.0)</f>
        <v>160</v>
      </c>
      <c r="K592" s="139">
        <f>IFERROR(__xludf.DUMMYFUNCTION("""COMPUTED_VALUE"""),0.0)</f>
        <v>0</v>
      </c>
      <c r="L592" s="139"/>
      <c r="M592" s="139" t="str">
        <f>IFERROR(__xludf.DUMMYFUNCTION("""COMPUTED_VALUE"""),"自身と同じコマと一つ後ろまでのコマにいる青属性の味方と自身の攻撃を20秒間、50%UP + 自身と同じコマと一つ後ろまでのコマにいる青属性以外の味方の攻撃を20秒間、30%UP + 自身の攻撃を20秒間、20%UP")</f>
        <v>自身と同じコマと一つ後ろまでのコマにいる青属性の味方と自身の攻撃を20秒間、50%UP + 自身と同じコマと一つ後ろまでのコマにいる青属性以外の味方の攻撃を20秒間、30%UP + 自身の攻撃を20秒間、20%UP</v>
      </c>
      <c r="N592" s="139" t="str">
        <f>IFERROR(__xludf.DUMMYFUNCTION("""COMPUTED_VALUE"""),"ステータスUP + 必殺ワザ性能UP")</f>
        <v>ステータスUP + 必殺ワザ性能UP</v>
      </c>
    </row>
    <row r="593">
      <c r="A593" s="139"/>
      <c r="B593" s="139"/>
      <c r="C593" s="139" t="str">
        <f>IFERROR(__xludf.DUMMYFUNCTION("""COMPUTED_VALUE"""),"chara_yuw_00301_Special_00006")</f>
        <v>chara_yuw_00301_Special_00006</v>
      </c>
      <c r="D593" s="139" t="str">
        <f>IFERROR(__xludf.DUMMYFUNCTION("""COMPUTED_VALUE"""),"chara_yuw_00301")</f>
        <v>chara_yuw_00301</v>
      </c>
      <c r="E593" s="139">
        <f>IFERROR(__xludf.DUMMYFUNCTION("""COMPUTED_VALUE"""),6.0)</f>
        <v>6</v>
      </c>
      <c r="F593" s="139" t="str">
        <f>IFERROR(__xludf.DUMMYFUNCTION("""COMPUTED_VALUE"""),"Special")</f>
        <v>Special</v>
      </c>
      <c r="G593" s="139"/>
      <c r="H593" s="139"/>
      <c r="I593" s="139">
        <f>IFERROR(__xludf.DUMMYFUNCTION("""COMPUTED_VALUE"""),175.0)</f>
        <v>175</v>
      </c>
      <c r="J593" s="139">
        <f>IFERROR(__xludf.DUMMYFUNCTION("""COMPUTED_VALUE"""),160.0)</f>
        <v>160</v>
      </c>
      <c r="K593" s="139">
        <f>IFERROR(__xludf.DUMMYFUNCTION("""COMPUTED_VALUE"""),0.0)</f>
        <v>0</v>
      </c>
      <c r="L593" s="139"/>
      <c r="M593" s="139"/>
      <c r="N593" s="139"/>
    </row>
    <row r="594">
      <c r="A594" s="139"/>
      <c r="B594" s="139"/>
      <c r="C594" s="139" t="str">
        <f>IFERROR(__xludf.DUMMYFUNCTION("""COMPUTED_VALUE"""),"chara_yuw_00301_Special_00007")</f>
        <v>chara_yuw_00301_Special_00007</v>
      </c>
      <c r="D594" s="139" t="str">
        <f>IFERROR(__xludf.DUMMYFUNCTION("""COMPUTED_VALUE"""),"chara_yuw_00301")</f>
        <v>chara_yuw_00301</v>
      </c>
      <c r="E594" s="139">
        <f>IFERROR(__xludf.DUMMYFUNCTION("""COMPUTED_VALUE"""),7.0)</f>
        <v>7</v>
      </c>
      <c r="F594" s="139" t="str">
        <f>IFERROR(__xludf.DUMMYFUNCTION("""COMPUTED_VALUE"""),"Special")</f>
        <v>Special</v>
      </c>
      <c r="G594" s="139"/>
      <c r="H594" s="139"/>
      <c r="I594" s="139">
        <f>IFERROR(__xludf.DUMMYFUNCTION("""COMPUTED_VALUE"""),175.0)</f>
        <v>175</v>
      </c>
      <c r="J594" s="139">
        <f>IFERROR(__xludf.DUMMYFUNCTION("""COMPUTED_VALUE"""),160.0)</f>
        <v>160</v>
      </c>
      <c r="K594" s="139">
        <f>IFERROR(__xludf.DUMMYFUNCTION("""COMPUTED_VALUE"""),0.0)</f>
        <v>0</v>
      </c>
      <c r="L594" s="139"/>
      <c r="M594" s="139"/>
      <c r="N594" s="139"/>
    </row>
    <row r="595">
      <c r="A595" s="139"/>
      <c r="B595" s="139"/>
      <c r="C595" s="139" t="str">
        <f>IFERROR(__xludf.DUMMYFUNCTION("""COMPUTED_VALUE"""),"chara_yuw_00301_Special_00008")</f>
        <v>chara_yuw_00301_Special_00008</v>
      </c>
      <c r="D595" s="139" t="str">
        <f>IFERROR(__xludf.DUMMYFUNCTION("""COMPUTED_VALUE"""),"chara_yuw_00301")</f>
        <v>chara_yuw_00301</v>
      </c>
      <c r="E595" s="139">
        <f>IFERROR(__xludf.DUMMYFUNCTION("""COMPUTED_VALUE"""),8.0)</f>
        <v>8</v>
      </c>
      <c r="F595" s="139" t="str">
        <f>IFERROR(__xludf.DUMMYFUNCTION("""COMPUTED_VALUE"""),"Special")</f>
        <v>Special</v>
      </c>
      <c r="G595" s="139"/>
      <c r="H595" s="139"/>
      <c r="I595" s="139">
        <f>IFERROR(__xludf.DUMMYFUNCTION("""COMPUTED_VALUE"""),175.0)</f>
        <v>175</v>
      </c>
      <c r="J595" s="139">
        <f>IFERROR(__xludf.DUMMYFUNCTION("""COMPUTED_VALUE"""),160.0)</f>
        <v>160</v>
      </c>
      <c r="K595" s="139">
        <f>IFERROR(__xludf.DUMMYFUNCTION("""COMPUTED_VALUE"""),0.0)</f>
        <v>0</v>
      </c>
      <c r="L595" s="139"/>
      <c r="M595" s="139"/>
      <c r="N595" s="139"/>
    </row>
    <row r="596">
      <c r="A596" s="139"/>
      <c r="B596" s="139"/>
      <c r="C596" s="139" t="str">
        <f>IFERROR(__xludf.DUMMYFUNCTION("""COMPUTED_VALUE"""),"chara_yuw_00301_Special_00009")</f>
        <v>chara_yuw_00301_Special_00009</v>
      </c>
      <c r="D596" s="139" t="str">
        <f>IFERROR(__xludf.DUMMYFUNCTION("""COMPUTED_VALUE"""),"chara_yuw_00301")</f>
        <v>chara_yuw_00301</v>
      </c>
      <c r="E596" s="139">
        <f>IFERROR(__xludf.DUMMYFUNCTION("""COMPUTED_VALUE"""),9.0)</f>
        <v>9</v>
      </c>
      <c r="F596" s="139" t="str">
        <f>IFERROR(__xludf.DUMMYFUNCTION("""COMPUTED_VALUE"""),"Special")</f>
        <v>Special</v>
      </c>
      <c r="G596" s="139"/>
      <c r="H596" s="139"/>
      <c r="I596" s="139">
        <f>IFERROR(__xludf.DUMMYFUNCTION("""COMPUTED_VALUE"""),175.0)</f>
        <v>175</v>
      </c>
      <c r="J596" s="139">
        <f>IFERROR(__xludf.DUMMYFUNCTION("""COMPUTED_VALUE"""),160.0)</f>
        <v>160</v>
      </c>
      <c r="K596" s="139">
        <f>IFERROR(__xludf.DUMMYFUNCTION("""COMPUTED_VALUE"""),0.0)</f>
        <v>0</v>
      </c>
      <c r="L596" s="139"/>
      <c r="M596" s="139"/>
      <c r="N596" s="139"/>
    </row>
    <row r="597">
      <c r="A597" s="139"/>
      <c r="B597" s="139"/>
      <c r="C597" s="139" t="str">
        <f>IFERROR(__xludf.DUMMYFUNCTION("""COMPUTED_VALUE"""),"chara_yuw_00301_Special_00010")</f>
        <v>chara_yuw_00301_Special_00010</v>
      </c>
      <c r="D597" s="139" t="str">
        <f>IFERROR(__xludf.DUMMYFUNCTION("""COMPUTED_VALUE"""),"chara_yuw_00301")</f>
        <v>chara_yuw_00301</v>
      </c>
      <c r="E597" s="139">
        <f>IFERROR(__xludf.DUMMYFUNCTION("""COMPUTED_VALUE"""),10.0)</f>
        <v>10</v>
      </c>
      <c r="F597" s="139" t="str">
        <f>IFERROR(__xludf.DUMMYFUNCTION("""COMPUTED_VALUE"""),"Special")</f>
        <v>Special</v>
      </c>
      <c r="G597" s="139"/>
      <c r="H597" s="139"/>
      <c r="I597" s="139">
        <f>IFERROR(__xludf.DUMMYFUNCTION("""COMPUTED_VALUE"""),175.0)</f>
        <v>175</v>
      </c>
      <c r="J597" s="139">
        <f>IFERROR(__xludf.DUMMYFUNCTION("""COMPUTED_VALUE"""),160.0)</f>
        <v>160</v>
      </c>
      <c r="K597" s="139">
        <f>IFERROR(__xludf.DUMMYFUNCTION("""COMPUTED_VALUE"""),0.0)</f>
        <v>0</v>
      </c>
      <c r="L597" s="139"/>
      <c r="M597" s="139"/>
      <c r="N597" s="139"/>
    </row>
    <row r="598">
      <c r="A598" s="139" t="str">
        <f>IFERROR(__xludf.DUMMYFUNCTION("""COMPUTED_VALUE"""),"e")</f>
        <v>e</v>
      </c>
      <c r="B598" s="139">
        <f>IFERROR(__xludf.DUMMYFUNCTION("""COMPUTED_VALUE"""),2.0251002E8)</f>
        <v>202510020</v>
      </c>
      <c r="C598" s="139" t="str">
        <f>IFERROR(__xludf.DUMMYFUNCTION("""COMPUTED_VALUE"""),"chara_dan_00201_Normal_00000")</f>
        <v>chara_dan_00201_Normal_00000</v>
      </c>
      <c r="D598" s="139" t="str">
        <f>IFERROR(__xludf.DUMMYFUNCTION("""COMPUTED_VALUE"""),"chara_dan_00201")</f>
        <v>chara_dan_00201</v>
      </c>
      <c r="E598" s="139">
        <f>IFERROR(__xludf.DUMMYFUNCTION("""COMPUTED_VALUE"""),0.0)</f>
        <v>0</v>
      </c>
      <c r="F598" s="139" t="str">
        <f>IFERROR(__xludf.DUMMYFUNCTION("""COMPUTED_VALUE"""),"Normal")</f>
        <v>Normal</v>
      </c>
      <c r="G598" s="139"/>
      <c r="H598" s="139"/>
      <c r="I598" s="139">
        <f>IFERROR(__xludf.DUMMYFUNCTION("""COMPUTED_VALUE"""),75.0)</f>
        <v>75</v>
      </c>
      <c r="J598" s="139">
        <f>IFERROR(__xludf.DUMMYFUNCTION("""COMPUTED_VALUE"""),22.0)</f>
        <v>22</v>
      </c>
      <c r="K598" s="139">
        <f>IFERROR(__xludf.DUMMYFUNCTION("""COMPUTED_VALUE"""),75.0)</f>
        <v>75</v>
      </c>
      <c r="L598" s="139"/>
      <c r="M598" s="139"/>
      <c r="N598" s="139"/>
    </row>
    <row r="599">
      <c r="A599" s="139" t="str">
        <f>IFERROR(__xludf.DUMMYFUNCTION("""COMPUTED_VALUE"""),"e")</f>
        <v>e</v>
      </c>
      <c r="B599" s="139">
        <f>IFERROR(__xludf.DUMMYFUNCTION("""COMPUTED_VALUE"""),2.0251002E8)</f>
        <v>202510020</v>
      </c>
      <c r="C599" s="139" t="str">
        <f>IFERROR(__xludf.DUMMYFUNCTION("""COMPUTED_VALUE"""),"chara_dan_00201_Special_00001")</f>
        <v>chara_dan_00201_Special_00001</v>
      </c>
      <c r="D599" s="139" t="str">
        <f>IFERROR(__xludf.DUMMYFUNCTION("""COMPUTED_VALUE"""),"chara_dan_00201")</f>
        <v>chara_dan_00201</v>
      </c>
      <c r="E599" s="139">
        <f>IFERROR(__xludf.DUMMYFUNCTION("""COMPUTED_VALUE"""),1.0)</f>
        <v>1</v>
      </c>
      <c r="F599" s="139" t="str">
        <f>IFERROR(__xludf.DUMMYFUNCTION("""COMPUTED_VALUE"""),"Special")</f>
        <v>Special</v>
      </c>
      <c r="G599" s="139"/>
      <c r="H599" s="139"/>
      <c r="I599" s="139">
        <f>IFERROR(__xludf.DUMMYFUNCTION("""COMPUTED_VALUE"""),125.0)</f>
        <v>125</v>
      </c>
      <c r="J599" s="139">
        <f>IFERROR(__xludf.DUMMYFUNCTION("""COMPUTED_VALUE"""),67.0)</f>
        <v>67</v>
      </c>
      <c r="K599" s="139">
        <f>IFERROR(__xludf.DUMMYFUNCTION("""COMPUTED_VALUE"""),0.0)</f>
        <v>0</v>
      </c>
      <c r="L599" s="139"/>
      <c r="M599" s="139" t="str">
        <f>IFERROR(__xludf.DUMMYFUNCTION("""COMPUTED_VALUE"""),"自身と同じコマにいる青属性の味方と自身への被ダメージを{chara_dan_00201_Special_00001a_effective_duration}秒間、{chara_dan_00201_Special_00001a_effect_parameter}%カット")</f>
        <v>自身と同じコマにいる青属性の味方と自身への被ダメージを{chara_dan_00201_Special_00001a_effective_duration}秒間、{chara_dan_00201_Special_00001a_effect_parameter}%カット</v>
      </c>
      <c r="N599" s="139"/>
    </row>
    <row r="600">
      <c r="A600" s="139" t="str">
        <f>IFERROR(__xludf.DUMMYFUNCTION("""COMPUTED_VALUE"""),"e")</f>
        <v>e</v>
      </c>
      <c r="B600" s="139">
        <f>IFERROR(__xludf.DUMMYFUNCTION("""COMPUTED_VALUE"""),2.0251002E8)</f>
        <v>202510020</v>
      </c>
      <c r="C600" s="139" t="str">
        <f>IFERROR(__xludf.DUMMYFUNCTION("""COMPUTED_VALUE"""),"chara_dan_00201_Special_00002")</f>
        <v>chara_dan_00201_Special_00002</v>
      </c>
      <c r="D600" s="139" t="str">
        <f>IFERROR(__xludf.DUMMYFUNCTION("""COMPUTED_VALUE"""),"chara_dan_00201")</f>
        <v>chara_dan_00201</v>
      </c>
      <c r="E600" s="139">
        <f>IFERROR(__xludf.DUMMYFUNCTION("""COMPUTED_VALUE"""),2.0)</f>
        <v>2</v>
      </c>
      <c r="F600" s="139" t="str">
        <f>IFERROR(__xludf.DUMMYFUNCTION("""COMPUTED_VALUE"""),"Special")</f>
        <v>Special</v>
      </c>
      <c r="G600" s="139"/>
      <c r="H600" s="139"/>
      <c r="I600" s="139">
        <f>IFERROR(__xludf.DUMMYFUNCTION("""COMPUTED_VALUE"""),125.0)</f>
        <v>125</v>
      </c>
      <c r="J600" s="139">
        <f>IFERROR(__xludf.DUMMYFUNCTION("""COMPUTED_VALUE"""),67.0)</f>
        <v>67</v>
      </c>
      <c r="K600" s="139">
        <f>IFERROR(__xludf.DUMMYFUNCTION("""COMPUTED_VALUE"""),0.0)</f>
        <v>0</v>
      </c>
      <c r="L600" s="139"/>
      <c r="M600" s="139" t="str">
        <f>IFERROR(__xludf.DUMMYFUNCTION("""COMPUTED_VALUE"""),"自身と同じコマにいる青属性の味方と自身への被ダメージを{chara_dan_00201_Special_00002a_effective_duration}秒間、{chara_dan_00201_Special_00002a_effect_parameter}%カット")</f>
        <v>自身と同じコマにいる青属性の味方と自身への被ダメージを{chara_dan_00201_Special_00002a_effective_duration}秒間、{chara_dan_00201_Special_00002a_effect_parameter}%カット</v>
      </c>
      <c r="N600" s="139" t="str">
        <f>IFERROR(__xludf.DUMMYFUNCTION("""COMPUTED_VALUE"""),"ステータスUP + 必殺ワザ性能UP")</f>
        <v>ステータスUP + 必殺ワザ性能UP</v>
      </c>
    </row>
    <row r="601">
      <c r="A601" s="139" t="str">
        <f>IFERROR(__xludf.DUMMYFUNCTION("""COMPUTED_VALUE"""),"e")</f>
        <v>e</v>
      </c>
      <c r="B601" s="139">
        <f>IFERROR(__xludf.DUMMYFUNCTION("""COMPUTED_VALUE"""),2.0251002E8)</f>
        <v>202510020</v>
      </c>
      <c r="C601" s="139" t="str">
        <f>IFERROR(__xludf.DUMMYFUNCTION("""COMPUTED_VALUE"""),"chara_dan_00201_Special_00003")</f>
        <v>chara_dan_00201_Special_00003</v>
      </c>
      <c r="D601" s="139" t="str">
        <f>IFERROR(__xludf.DUMMYFUNCTION("""COMPUTED_VALUE"""),"chara_dan_00201")</f>
        <v>chara_dan_00201</v>
      </c>
      <c r="E601" s="139">
        <f>IFERROR(__xludf.DUMMYFUNCTION("""COMPUTED_VALUE"""),3.0)</f>
        <v>3</v>
      </c>
      <c r="F601" s="139" t="str">
        <f>IFERROR(__xludf.DUMMYFUNCTION("""COMPUTED_VALUE"""),"Special")</f>
        <v>Special</v>
      </c>
      <c r="G601" s="139"/>
      <c r="H601" s="139"/>
      <c r="I601" s="139">
        <f>IFERROR(__xludf.DUMMYFUNCTION("""COMPUTED_VALUE"""),125.0)</f>
        <v>125</v>
      </c>
      <c r="J601" s="139">
        <f>IFERROR(__xludf.DUMMYFUNCTION("""COMPUTED_VALUE"""),67.0)</f>
        <v>67</v>
      </c>
      <c r="K601" s="139">
        <f>IFERROR(__xludf.DUMMYFUNCTION("""COMPUTED_VALUE"""),0.0)</f>
        <v>0</v>
      </c>
      <c r="L601" s="139"/>
      <c r="M601" s="139" t="str">
        <f>IFERROR(__xludf.DUMMYFUNCTION("""COMPUTED_VALUE"""),"自身と同じコマにいる青属性の味方と自身への被ダメージを{chara_dan_00201_Special_00003a_effective_duration}秒間、{chara_dan_00201_Special_00003a_effect_parameter}%カット")</f>
        <v>自身と同じコマにいる青属性の味方と自身への被ダメージを{chara_dan_00201_Special_00003a_effective_duration}秒間、{chara_dan_00201_Special_00003a_effect_parameter}%カット</v>
      </c>
      <c r="N601" s="139" t="str">
        <f>IFERROR(__xludf.DUMMYFUNCTION("""COMPUTED_VALUE"""),"ステータスUP + 必殺ワザ性能UP")</f>
        <v>ステータスUP + 必殺ワザ性能UP</v>
      </c>
    </row>
    <row r="602">
      <c r="A602" s="139" t="str">
        <f>IFERROR(__xludf.DUMMYFUNCTION("""COMPUTED_VALUE"""),"e")</f>
        <v>e</v>
      </c>
      <c r="B602" s="139">
        <f>IFERROR(__xludf.DUMMYFUNCTION("""COMPUTED_VALUE"""),2.0251002E8)</f>
        <v>202510020</v>
      </c>
      <c r="C602" s="139" t="str">
        <f>IFERROR(__xludf.DUMMYFUNCTION("""COMPUTED_VALUE"""),"chara_dan_00201_Special_00004")</f>
        <v>chara_dan_00201_Special_00004</v>
      </c>
      <c r="D602" s="139" t="str">
        <f>IFERROR(__xludf.DUMMYFUNCTION("""COMPUTED_VALUE"""),"chara_dan_00201")</f>
        <v>chara_dan_00201</v>
      </c>
      <c r="E602" s="139">
        <f>IFERROR(__xludf.DUMMYFUNCTION("""COMPUTED_VALUE"""),4.0)</f>
        <v>4</v>
      </c>
      <c r="F602" s="139" t="str">
        <f>IFERROR(__xludf.DUMMYFUNCTION("""COMPUTED_VALUE"""),"Special")</f>
        <v>Special</v>
      </c>
      <c r="G602" s="139"/>
      <c r="H602" s="139"/>
      <c r="I602" s="139">
        <f>IFERROR(__xludf.DUMMYFUNCTION("""COMPUTED_VALUE"""),125.0)</f>
        <v>125</v>
      </c>
      <c r="J602" s="139">
        <f>IFERROR(__xludf.DUMMYFUNCTION("""COMPUTED_VALUE"""),67.0)</f>
        <v>67</v>
      </c>
      <c r="K602" s="139">
        <f>IFERROR(__xludf.DUMMYFUNCTION("""COMPUTED_VALUE"""),0.0)</f>
        <v>0</v>
      </c>
      <c r="L602" s="139"/>
      <c r="M602" s="139" t="str">
        <f>IFERROR(__xludf.DUMMYFUNCTION("""COMPUTED_VALUE"""),"自身と同じコマにいる青属性の味方と自身への被ダメージを{chara_dan_00201_Special_00004a_effective_duration}秒間、{chara_dan_00201_Special_00004a_effect_parameter}%カット")</f>
        <v>自身と同じコマにいる青属性の味方と自身への被ダメージを{chara_dan_00201_Special_00004a_effective_duration}秒間、{chara_dan_00201_Special_00004a_effect_parameter}%カット</v>
      </c>
      <c r="N602" s="139" t="str">
        <f>IFERROR(__xludf.DUMMYFUNCTION("""COMPUTED_VALUE"""),"ステータスUP + 必殺ワザ性能UP")</f>
        <v>ステータスUP + 必殺ワザ性能UP</v>
      </c>
    </row>
    <row r="603">
      <c r="A603" s="139" t="str">
        <f>IFERROR(__xludf.DUMMYFUNCTION("""COMPUTED_VALUE"""),"e")</f>
        <v>e</v>
      </c>
      <c r="B603" s="139">
        <f>IFERROR(__xludf.DUMMYFUNCTION("""COMPUTED_VALUE"""),2.0251002E8)</f>
        <v>202510020</v>
      </c>
      <c r="C603" s="139" t="str">
        <f>IFERROR(__xludf.DUMMYFUNCTION("""COMPUTED_VALUE"""),"chara_dan_00201_Special_00005")</f>
        <v>chara_dan_00201_Special_00005</v>
      </c>
      <c r="D603" s="139" t="str">
        <f>IFERROR(__xludf.DUMMYFUNCTION("""COMPUTED_VALUE"""),"chara_dan_00201")</f>
        <v>chara_dan_00201</v>
      </c>
      <c r="E603" s="139">
        <f>IFERROR(__xludf.DUMMYFUNCTION("""COMPUTED_VALUE"""),5.0)</f>
        <v>5</v>
      </c>
      <c r="F603" s="139" t="str">
        <f>IFERROR(__xludf.DUMMYFUNCTION("""COMPUTED_VALUE"""),"Special")</f>
        <v>Special</v>
      </c>
      <c r="G603" s="139"/>
      <c r="H603" s="139"/>
      <c r="I603" s="139">
        <f>IFERROR(__xludf.DUMMYFUNCTION("""COMPUTED_VALUE"""),125.0)</f>
        <v>125</v>
      </c>
      <c r="J603" s="139">
        <f>IFERROR(__xludf.DUMMYFUNCTION("""COMPUTED_VALUE"""),67.0)</f>
        <v>67</v>
      </c>
      <c r="K603" s="139">
        <f>IFERROR(__xludf.DUMMYFUNCTION("""COMPUTED_VALUE"""),0.0)</f>
        <v>0</v>
      </c>
      <c r="L603" s="139"/>
      <c r="M603" s="139" t="str">
        <f>IFERROR(__xludf.DUMMYFUNCTION("""COMPUTED_VALUE"""),"自身と同じコマにいる青属性の味方と自身への被ダメージを{chara_dan_00201_Special_00005a_effective_duration}秒間、{chara_dan_00201_Special_00005a_effect_parameter}%カット")</f>
        <v>自身と同じコマにいる青属性の味方と自身への被ダメージを{chara_dan_00201_Special_00005a_effective_duration}秒間、{chara_dan_00201_Special_00005a_effect_parameter}%カット</v>
      </c>
      <c r="N603" s="139" t="str">
        <f>IFERROR(__xludf.DUMMYFUNCTION("""COMPUTED_VALUE"""),"ステータスUP + 必殺ワザ性能UP")</f>
        <v>ステータスUP + 必殺ワザ性能UP</v>
      </c>
    </row>
    <row r="604">
      <c r="A604" s="139" t="str">
        <f>IFERROR(__xludf.DUMMYFUNCTION("""COMPUTED_VALUE"""),"e")</f>
        <v>e</v>
      </c>
      <c r="B604" s="139">
        <f>IFERROR(__xludf.DUMMYFUNCTION("""COMPUTED_VALUE"""),2.0251002E8)</f>
        <v>202510020</v>
      </c>
      <c r="C604" s="139" t="str">
        <f>IFERROR(__xludf.DUMMYFUNCTION("""COMPUTED_VALUE"""),"chara_dan_00202_Normal_00000")</f>
        <v>chara_dan_00202_Normal_00000</v>
      </c>
      <c r="D604" s="139" t="str">
        <f>IFERROR(__xludf.DUMMYFUNCTION("""COMPUTED_VALUE"""),"chara_dan_00202")</f>
        <v>chara_dan_00202</v>
      </c>
      <c r="E604" s="139">
        <f>IFERROR(__xludf.DUMMYFUNCTION("""COMPUTED_VALUE"""),0.0)</f>
        <v>0</v>
      </c>
      <c r="F604" s="139" t="str">
        <f>IFERROR(__xludf.DUMMYFUNCTION("""COMPUTED_VALUE"""),"Normal")</f>
        <v>Normal</v>
      </c>
      <c r="G604" s="139"/>
      <c r="H604" s="139"/>
      <c r="I604" s="139">
        <f>IFERROR(__xludf.DUMMYFUNCTION("""COMPUTED_VALUE"""),69.0)</f>
        <v>69</v>
      </c>
      <c r="J604" s="139">
        <f>IFERROR(__xludf.DUMMYFUNCTION("""COMPUTED_VALUE"""),23.0)</f>
        <v>23</v>
      </c>
      <c r="K604" s="139">
        <f>IFERROR(__xludf.DUMMYFUNCTION("""COMPUTED_VALUE"""),75.0)</f>
        <v>75</v>
      </c>
      <c r="L604" s="139"/>
      <c r="M604" s="139"/>
      <c r="N604" s="139"/>
    </row>
    <row r="605">
      <c r="A605" s="139" t="str">
        <f>IFERROR(__xludf.DUMMYFUNCTION("""COMPUTED_VALUE"""),"e")</f>
        <v>e</v>
      </c>
      <c r="B605" s="139">
        <f>IFERROR(__xludf.DUMMYFUNCTION("""COMPUTED_VALUE"""),2.0251002E8)</f>
        <v>202510020</v>
      </c>
      <c r="C605" s="139" t="str">
        <f>IFERROR(__xludf.DUMMYFUNCTION("""COMPUTED_VALUE"""),"chara_dan_00202_Special_00001")</f>
        <v>chara_dan_00202_Special_00001</v>
      </c>
      <c r="D605" s="139" t="str">
        <f>IFERROR(__xludf.DUMMYFUNCTION("""COMPUTED_VALUE"""),"chara_dan_00202")</f>
        <v>chara_dan_00202</v>
      </c>
      <c r="E605" s="139">
        <f>IFERROR(__xludf.DUMMYFUNCTION("""COMPUTED_VALUE"""),1.0)</f>
        <v>1</v>
      </c>
      <c r="F605" s="139" t="str">
        <f>IFERROR(__xludf.DUMMYFUNCTION("""COMPUTED_VALUE"""),"Special")</f>
        <v>Special</v>
      </c>
      <c r="G605" s="139"/>
      <c r="H605" s="139"/>
      <c r="I605" s="139">
        <f>IFERROR(__xludf.DUMMYFUNCTION("""COMPUTED_VALUE"""),122.0)</f>
        <v>122</v>
      </c>
      <c r="J605" s="139">
        <f>IFERROR(__xludf.DUMMYFUNCTION("""COMPUTED_VALUE"""),0.0)</f>
        <v>0</v>
      </c>
      <c r="K605" s="139">
        <f>IFERROR(__xludf.DUMMYFUNCTION("""COMPUTED_VALUE"""),0.0)</f>
        <v>0</v>
      </c>
      <c r="L605" s="139"/>
      <c r="M605" s="139" t="str">
        <f>IFERROR(__xludf.DUMMYFUNCTION("""COMPUTED_VALUE"""),"敵単体に最大3回の連続攻撃(自身の攻撃ステータスの最大170%ダメージ)")</f>
        <v>敵単体に最大3回の連続攻撃(自身の攻撃ステータスの最大170%ダメージ)</v>
      </c>
      <c r="N605" s="139"/>
    </row>
    <row r="606">
      <c r="A606" s="139" t="str">
        <f>IFERROR(__xludf.DUMMYFUNCTION("""COMPUTED_VALUE"""),"e")</f>
        <v>e</v>
      </c>
      <c r="B606" s="139">
        <f>IFERROR(__xludf.DUMMYFUNCTION("""COMPUTED_VALUE"""),2.0251002E8)</f>
        <v>202510020</v>
      </c>
      <c r="C606" s="139" t="str">
        <f>IFERROR(__xludf.DUMMYFUNCTION("""COMPUTED_VALUE"""),"chara_dan_00202_Special_00002")</f>
        <v>chara_dan_00202_Special_00002</v>
      </c>
      <c r="D606" s="139" t="str">
        <f>IFERROR(__xludf.DUMMYFUNCTION("""COMPUTED_VALUE"""),"chara_dan_00202")</f>
        <v>chara_dan_00202</v>
      </c>
      <c r="E606" s="139">
        <f>IFERROR(__xludf.DUMMYFUNCTION("""COMPUTED_VALUE"""),2.0)</f>
        <v>2</v>
      </c>
      <c r="F606" s="139" t="str">
        <f>IFERROR(__xludf.DUMMYFUNCTION("""COMPUTED_VALUE"""),"Special")</f>
        <v>Special</v>
      </c>
      <c r="G606" s="139"/>
      <c r="H606" s="139"/>
      <c r="I606" s="139">
        <f>IFERROR(__xludf.DUMMYFUNCTION("""COMPUTED_VALUE"""),122.0)</f>
        <v>122</v>
      </c>
      <c r="J606" s="139">
        <f>IFERROR(__xludf.DUMMYFUNCTION("""COMPUTED_VALUE"""),0.0)</f>
        <v>0</v>
      </c>
      <c r="K606" s="139">
        <f>IFERROR(__xludf.DUMMYFUNCTION("""COMPUTED_VALUE"""),0.0)</f>
        <v>0</v>
      </c>
      <c r="L606" s="139"/>
      <c r="M606" s="139" t="str">
        <f>IFERROR(__xludf.DUMMYFUNCTION("""COMPUTED_VALUE"""),"敵単体に最大3回の連続攻撃(自身の攻撃ステータスの最大192%ダメージ)")</f>
        <v>敵単体に最大3回の連続攻撃(自身の攻撃ステータスの最大192%ダメージ)</v>
      </c>
      <c r="N606" s="139" t="str">
        <f>IFERROR(__xludf.DUMMYFUNCTION("""COMPUTED_VALUE"""),"ステータスUP + 必殺ワザ性能UP")</f>
        <v>ステータスUP + 必殺ワザ性能UP</v>
      </c>
    </row>
    <row r="607">
      <c r="A607" s="139" t="str">
        <f>IFERROR(__xludf.DUMMYFUNCTION("""COMPUTED_VALUE"""),"e")</f>
        <v>e</v>
      </c>
      <c r="B607" s="139">
        <f>IFERROR(__xludf.DUMMYFUNCTION("""COMPUTED_VALUE"""),2.0251002E8)</f>
        <v>202510020</v>
      </c>
      <c r="C607" s="139" t="str">
        <f>IFERROR(__xludf.DUMMYFUNCTION("""COMPUTED_VALUE"""),"chara_dan_00202_Special_00003")</f>
        <v>chara_dan_00202_Special_00003</v>
      </c>
      <c r="D607" s="139" t="str">
        <f>IFERROR(__xludf.DUMMYFUNCTION("""COMPUTED_VALUE"""),"chara_dan_00202")</f>
        <v>chara_dan_00202</v>
      </c>
      <c r="E607" s="139">
        <f>IFERROR(__xludf.DUMMYFUNCTION("""COMPUTED_VALUE"""),3.0)</f>
        <v>3</v>
      </c>
      <c r="F607" s="139" t="str">
        <f>IFERROR(__xludf.DUMMYFUNCTION("""COMPUTED_VALUE"""),"Special")</f>
        <v>Special</v>
      </c>
      <c r="G607" s="139"/>
      <c r="H607" s="139"/>
      <c r="I607" s="139">
        <f>IFERROR(__xludf.DUMMYFUNCTION("""COMPUTED_VALUE"""),122.0)</f>
        <v>122</v>
      </c>
      <c r="J607" s="139">
        <f>IFERROR(__xludf.DUMMYFUNCTION("""COMPUTED_VALUE"""),0.0)</f>
        <v>0</v>
      </c>
      <c r="K607" s="139">
        <f>IFERROR(__xludf.DUMMYFUNCTION("""COMPUTED_VALUE"""),0.0)</f>
        <v>0</v>
      </c>
      <c r="L607" s="139"/>
      <c r="M607" s="139" t="str">
        <f>IFERROR(__xludf.DUMMYFUNCTION("""COMPUTED_VALUE"""),"敵単体に最大3回の連続攻撃(自身の攻撃ステータスの最大207%ダメージ)")</f>
        <v>敵単体に最大3回の連続攻撃(自身の攻撃ステータスの最大207%ダメージ)</v>
      </c>
      <c r="N607" s="139" t="str">
        <f>IFERROR(__xludf.DUMMYFUNCTION("""COMPUTED_VALUE"""),"ステータスUP + 必殺ワザ性能UP")</f>
        <v>ステータスUP + 必殺ワザ性能UP</v>
      </c>
    </row>
    <row r="608">
      <c r="A608" s="139" t="str">
        <f>IFERROR(__xludf.DUMMYFUNCTION("""COMPUTED_VALUE"""),"e")</f>
        <v>e</v>
      </c>
      <c r="B608" s="139">
        <f>IFERROR(__xludf.DUMMYFUNCTION("""COMPUTED_VALUE"""),2.0251002E8)</f>
        <v>202510020</v>
      </c>
      <c r="C608" s="139" t="str">
        <f>IFERROR(__xludf.DUMMYFUNCTION("""COMPUTED_VALUE"""),"chara_dan_00202_Special_00004")</f>
        <v>chara_dan_00202_Special_00004</v>
      </c>
      <c r="D608" s="139" t="str">
        <f>IFERROR(__xludf.DUMMYFUNCTION("""COMPUTED_VALUE"""),"chara_dan_00202")</f>
        <v>chara_dan_00202</v>
      </c>
      <c r="E608" s="139">
        <f>IFERROR(__xludf.DUMMYFUNCTION("""COMPUTED_VALUE"""),4.0)</f>
        <v>4</v>
      </c>
      <c r="F608" s="139" t="str">
        <f>IFERROR(__xludf.DUMMYFUNCTION("""COMPUTED_VALUE"""),"Special")</f>
        <v>Special</v>
      </c>
      <c r="G608" s="139"/>
      <c r="H608" s="139"/>
      <c r="I608" s="139">
        <f>IFERROR(__xludf.DUMMYFUNCTION("""COMPUTED_VALUE"""),122.0)</f>
        <v>122</v>
      </c>
      <c r="J608" s="139">
        <f>IFERROR(__xludf.DUMMYFUNCTION("""COMPUTED_VALUE"""),0.0)</f>
        <v>0</v>
      </c>
      <c r="K608" s="139">
        <f>IFERROR(__xludf.DUMMYFUNCTION("""COMPUTED_VALUE"""),0.0)</f>
        <v>0</v>
      </c>
      <c r="L608" s="139"/>
      <c r="M608" s="139" t="str">
        <f>IFERROR(__xludf.DUMMYFUNCTION("""COMPUTED_VALUE"""),"敵単体に最大3回の連続攻撃(自身の攻撃ステータスの最大218%ダメージ)")</f>
        <v>敵単体に最大3回の連続攻撃(自身の攻撃ステータスの最大218%ダメージ)</v>
      </c>
      <c r="N608" s="139" t="str">
        <f>IFERROR(__xludf.DUMMYFUNCTION("""COMPUTED_VALUE"""),"ステータスUP + 必殺ワザ性能UP")</f>
        <v>ステータスUP + 必殺ワザ性能UP</v>
      </c>
    </row>
    <row r="609">
      <c r="A609" s="139" t="str">
        <f>IFERROR(__xludf.DUMMYFUNCTION("""COMPUTED_VALUE"""),"e")</f>
        <v>e</v>
      </c>
      <c r="B609" s="139">
        <f>IFERROR(__xludf.DUMMYFUNCTION("""COMPUTED_VALUE"""),2.0251002E8)</f>
        <v>202510020</v>
      </c>
      <c r="C609" s="139" t="str">
        <f>IFERROR(__xludf.DUMMYFUNCTION("""COMPUTED_VALUE"""),"chara_dan_00202_Special_00005")</f>
        <v>chara_dan_00202_Special_00005</v>
      </c>
      <c r="D609" s="139" t="str">
        <f>IFERROR(__xludf.DUMMYFUNCTION("""COMPUTED_VALUE"""),"chara_dan_00202")</f>
        <v>chara_dan_00202</v>
      </c>
      <c r="E609" s="139">
        <f>IFERROR(__xludf.DUMMYFUNCTION("""COMPUTED_VALUE"""),5.0)</f>
        <v>5</v>
      </c>
      <c r="F609" s="139" t="str">
        <f>IFERROR(__xludf.DUMMYFUNCTION("""COMPUTED_VALUE"""),"Special")</f>
        <v>Special</v>
      </c>
      <c r="G609" s="139"/>
      <c r="H609" s="139"/>
      <c r="I609" s="139">
        <f>IFERROR(__xludf.DUMMYFUNCTION("""COMPUTED_VALUE"""),122.0)</f>
        <v>122</v>
      </c>
      <c r="J609" s="139">
        <f>IFERROR(__xludf.DUMMYFUNCTION("""COMPUTED_VALUE"""),0.0)</f>
        <v>0</v>
      </c>
      <c r="K609" s="139">
        <f>IFERROR(__xludf.DUMMYFUNCTION("""COMPUTED_VALUE"""),0.0)</f>
        <v>0</v>
      </c>
      <c r="L609" s="139"/>
      <c r="M609" s="139" t="str">
        <f>IFERROR(__xludf.DUMMYFUNCTION("""COMPUTED_VALUE"""),"敵単体に最大3回の連続攻撃(自身の攻撃ステータスの最大225%ダメージ)")</f>
        <v>敵単体に最大3回の連続攻撃(自身の攻撃ステータスの最大225%ダメージ)</v>
      </c>
      <c r="N609" s="139" t="str">
        <f>IFERROR(__xludf.DUMMYFUNCTION("""COMPUTED_VALUE"""),"ステータスUP + 必殺ワザ性能UP")</f>
        <v>ステータスUP + 必殺ワザ性能UP</v>
      </c>
    </row>
    <row r="610">
      <c r="A610" s="139" t="str">
        <f>IFERROR(__xludf.DUMMYFUNCTION("""COMPUTED_VALUE"""),"e")</f>
        <v>e</v>
      </c>
      <c r="B610" s="139">
        <f>IFERROR(__xludf.DUMMYFUNCTION("""COMPUTED_VALUE"""),2.0251002E8)</f>
        <v>202510020</v>
      </c>
      <c r="C610" s="139" t="str">
        <f>IFERROR(__xludf.DUMMYFUNCTION("""COMPUTED_VALUE"""),"chara_dan_00301_Normal_00000")</f>
        <v>chara_dan_00301_Normal_00000</v>
      </c>
      <c r="D610" s="139" t="str">
        <f>IFERROR(__xludf.DUMMYFUNCTION("""COMPUTED_VALUE"""),"chara_dan_00301")</f>
        <v>chara_dan_00301</v>
      </c>
      <c r="E610" s="139">
        <f>IFERROR(__xludf.DUMMYFUNCTION("""COMPUTED_VALUE"""),0.0)</f>
        <v>0</v>
      </c>
      <c r="F610" s="139" t="str">
        <f>IFERROR(__xludf.DUMMYFUNCTION("""COMPUTED_VALUE"""),"Normal")</f>
        <v>Normal</v>
      </c>
      <c r="G610" s="139"/>
      <c r="H610" s="139"/>
      <c r="I610" s="139">
        <f>IFERROR(__xludf.DUMMYFUNCTION("""COMPUTED_VALUE"""),80.0)</f>
        <v>80</v>
      </c>
      <c r="J610" s="139">
        <f>IFERROR(__xludf.DUMMYFUNCTION("""COMPUTED_VALUE"""),0.0)</f>
        <v>0</v>
      </c>
      <c r="K610" s="139">
        <f>IFERROR(__xludf.DUMMYFUNCTION("""COMPUTED_VALUE"""),100.0)</f>
        <v>100</v>
      </c>
      <c r="L610" s="139"/>
      <c r="M610" s="139"/>
      <c r="N610" s="139"/>
    </row>
    <row r="611">
      <c r="A611" s="139" t="str">
        <f>IFERROR(__xludf.DUMMYFUNCTION("""COMPUTED_VALUE"""),"e")</f>
        <v>e</v>
      </c>
      <c r="B611" s="139">
        <f>IFERROR(__xludf.DUMMYFUNCTION("""COMPUTED_VALUE"""),2.0251002E8)</f>
        <v>202510020</v>
      </c>
      <c r="C611" s="139" t="str">
        <f>IFERROR(__xludf.DUMMYFUNCTION("""COMPUTED_VALUE"""),"chara_dan_00301_Special_00001")</f>
        <v>chara_dan_00301_Special_00001</v>
      </c>
      <c r="D611" s="139" t="str">
        <f>IFERROR(__xludf.DUMMYFUNCTION("""COMPUTED_VALUE"""),"chara_dan_00301")</f>
        <v>chara_dan_00301</v>
      </c>
      <c r="E611" s="139">
        <f>IFERROR(__xludf.DUMMYFUNCTION("""COMPUTED_VALUE"""),1.0)</f>
        <v>1</v>
      </c>
      <c r="F611" s="139" t="str">
        <f>IFERROR(__xludf.DUMMYFUNCTION("""COMPUTED_VALUE"""),"Special")</f>
        <v>Special</v>
      </c>
      <c r="G611" s="139"/>
      <c r="H611" s="139"/>
      <c r="I611" s="139">
        <f>IFERROR(__xludf.DUMMYFUNCTION("""COMPUTED_VALUE"""),92.0)</f>
        <v>92</v>
      </c>
      <c r="J611" s="139">
        <f>IFERROR(__xludf.DUMMYFUNCTION("""COMPUTED_VALUE"""),15.0)</f>
        <v>15</v>
      </c>
      <c r="K611" s="139">
        <f>IFERROR(__xludf.DUMMYFUNCTION("""COMPUTED_VALUE"""),0.0)</f>
        <v>0</v>
      </c>
      <c r="L611" s="139"/>
      <c r="M611" s="139" t="str">
        <f>IFERROR(__xludf.DUMMYFUNCTION("""COMPUTED_VALUE"""),"自身への被ダメージを{chara_dan_00301_Special_00001a_effective_duration}秒間、{chara_dan_00301_Special_00001a_effect_parameter}%カット")</f>
        <v>自身への被ダメージを{chara_dan_00301_Special_00001a_effective_duration}秒間、{chara_dan_00301_Special_00001a_effect_parameter}%カット</v>
      </c>
      <c r="N611" s="139"/>
    </row>
    <row r="612">
      <c r="A612" s="139" t="str">
        <f>IFERROR(__xludf.DUMMYFUNCTION("""COMPUTED_VALUE"""),"e")</f>
        <v>e</v>
      </c>
      <c r="B612" s="139">
        <f>IFERROR(__xludf.DUMMYFUNCTION("""COMPUTED_VALUE"""),2.0251002E8)</f>
        <v>202510020</v>
      </c>
      <c r="C612" s="139" t="str">
        <f>IFERROR(__xludf.DUMMYFUNCTION("""COMPUTED_VALUE"""),"chara_dan_00301_Special_00002")</f>
        <v>chara_dan_00301_Special_00002</v>
      </c>
      <c r="D612" s="139" t="str">
        <f>IFERROR(__xludf.DUMMYFUNCTION("""COMPUTED_VALUE"""),"chara_dan_00301")</f>
        <v>chara_dan_00301</v>
      </c>
      <c r="E612" s="139">
        <f>IFERROR(__xludf.DUMMYFUNCTION("""COMPUTED_VALUE"""),2.0)</f>
        <v>2</v>
      </c>
      <c r="F612" s="139" t="str">
        <f>IFERROR(__xludf.DUMMYFUNCTION("""COMPUTED_VALUE"""),"Special")</f>
        <v>Special</v>
      </c>
      <c r="G612" s="139"/>
      <c r="H612" s="139"/>
      <c r="I612" s="139">
        <f>IFERROR(__xludf.DUMMYFUNCTION("""COMPUTED_VALUE"""),92.0)</f>
        <v>92</v>
      </c>
      <c r="J612" s="139">
        <f>IFERROR(__xludf.DUMMYFUNCTION("""COMPUTED_VALUE"""),15.0)</f>
        <v>15</v>
      </c>
      <c r="K612" s="139">
        <f>IFERROR(__xludf.DUMMYFUNCTION("""COMPUTED_VALUE"""),0.0)</f>
        <v>0</v>
      </c>
      <c r="L612" s="139"/>
      <c r="M612" s="139" t="str">
        <f>IFERROR(__xludf.DUMMYFUNCTION("""COMPUTED_VALUE"""),"自身への被ダメージを{chara_dan_00301_Special_00002a_effective_duration}秒間、{chara_dan_00301_Special_00002a_effect_parameter}%カット")</f>
        <v>自身への被ダメージを{chara_dan_00301_Special_00002a_effective_duration}秒間、{chara_dan_00301_Special_00002a_effect_parameter}%カット</v>
      </c>
      <c r="N612" s="139" t="str">
        <f>IFERROR(__xludf.DUMMYFUNCTION("""COMPUTED_VALUE"""),"ステータスUP + 必殺ワザ性能UP")</f>
        <v>ステータスUP + 必殺ワザ性能UP</v>
      </c>
    </row>
    <row r="613">
      <c r="A613" s="139" t="str">
        <f>IFERROR(__xludf.DUMMYFUNCTION("""COMPUTED_VALUE"""),"e")</f>
        <v>e</v>
      </c>
      <c r="B613" s="139">
        <f>IFERROR(__xludf.DUMMYFUNCTION("""COMPUTED_VALUE"""),2.0251002E8)</f>
        <v>202510020</v>
      </c>
      <c r="C613" s="139" t="str">
        <f>IFERROR(__xludf.DUMMYFUNCTION("""COMPUTED_VALUE"""),"chara_dan_00301_Special_00003")</f>
        <v>chara_dan_00301_Special_00003</v>
      </c>
      <c r="D613" s="139" t="str">
        <f>IFERROR(__xludf.DUMMYFUNCTION("""COMPUTED_VALUE"""),"chara_dan_00301")</f>
        <v>chara_dan_00301</v>
      </c>
      <c r="E613" s="139">
        <f>IFERROR(__xludf.DUMMYFUNCTION("""COMPUTED_VALUE"""),3.0)</f>
        <v>3</v>
      </c>
      <c r="F613" s="139" t="str">
        <f>IFERROR(__xludf.DUMMYFUNCTION("""COMPUTED_VALUE"""),"Special")</f>
        <v>Special</v>
      </c>
      <c r="G613" s="139"/>
      <c r="H613" s="139"/>
      <c r="I613" s="139">
        <f>IFERROR(__xludf.DUMMYFUNCTION("""COMPUTED_VALUE"""),92.0)</f>
        <v>92</v>
      </c>
      <c r="J613" s="139">
        <f>IFERROR(__xludf.DUMMYFUNCTION("""COMPUTED_VALUE"""),15.0)</f>
        <v>15</v>
      </c>
      <c r="K613" s="139">
        <f>IFERROR(__xludf.DUMMYFUNCTION("""COMPUTED_VALUE"""),0.0)</f>
        <v>0</v>
      </c>
      <c r="L613" s="139"/>
      <c r="M613" s="139" t="str">
        <f>IFERROR(__xludf.DUMMYFUNCTION("""COMPUTED_VALUE"""),"自身への被ダメージを{chara_dan_00301_Special_00003a_effective_duration}秒間、{chara_dan_00301_Special_00003a_effect_parameter}%カット")</f>
        <v>自身への被ダメージを{chara_dan_00301_Special_00003a_effective_duration}秒間、{chara_dan_00301_Special_00003a_effect_parameter}%カット</v>
      </c>
      <c r="N613" s="139" t="str">
        <f>IFERROR(__xludf.DUMMYFUNCTION("""COMPUTED_VALUE"""),"ステータスUP + 必殺ワザ性能UP")</f>
        <v>ステータスUP + 必殺ワザ性能UP</v>
      </c>
    </row>
    <row r="614">
      <c r="A614" s="139" t="str">
        <f>IFERROR(__xludf.DUMMYFUNCTION("""COMPUTED_VALUE"""),"e")</f>
        <v>e</v>
      </c>
      <c r="B614" s="139">
        <f>IFERROR(__xludf.DUMMYFUNCTION("""COMPUTED_VALUE"""),2.0251002E8)</f>
        <v>202510020</v>
      </c>
      <c r="C614" s="139" t="str">
        <f>IFERROR(__xludf.DUMMYFUNCTION("""COMPUTED_VALUE"""),"chara_dan_00301_Special_00004")</f>
        <v>chara_dan_00301_Special_00004</v>
      </c>
      <c r="D614" s="139" t="str">
        <f>IFERROR(__xludf.DUMMYFUNCTION("""COMPUTED_VALUE"""),"chara_dan_00301")</f>
        <v>chara_dan_00301</v>
      </c>
      <c r="E614" s="139">
        <f>IFERROR(__xludf.DUMMYFUNCTION("""COMPUTED_VALUE"""),4.0)</f>
        <v>4</v>
      </c>
      <c r="F614" s="139" t="str">
        <f>IFERROR(__xludf.DUMMYFUNCTION("""COMPUTED_VALUE"""),"Special")</f>
        <v>Special</v>
      </c>
      <c r="G614" s="139"/>
      <c r="H614" s="139"/>
      <c r="I614" s="139">
        <f>IFERROR(__xludf.DUMMYFUNCTION("""COMPUTED_VALUE"""),92.0)</f>
        <v>92</v>
      </c>
      <c r="J614" s="139">
        <f>IFERROR(__xludf.DUMMYFUNCTION("""COMPUTED_VALUE"""),15.0)</f>
        <v>15</v>
      </c>
      <c r="K614" s="139">
        <f>IFERROR(__xludf.DUMMYFUNCTION("""COMPUTED_VALUE"""),0.0)</f>
        <v>0</v>
      </c>
      <c r="L614" s="139"/>
      <c r="M614" s="139" t="str">
        <f>IFERROR(__xludf.DUMMYFUNCTION("""COMPUTED_VALUE"""),"自身への被ダメージを{chara_dan_00301_Special_00004a_effective_duration}秒間、{chara_dan_00301_Special_00004a_effect_parameter}%カット")</f>
        <v>自身への被ダメージを{chara_dan_00301_Special_00004a_effective_duration}秒間、{chara_dan_00301_Special_00004a_effect_parameter}%カット</v>
      </c>
      <c r="N614" s="139" t="str">
        <f>IFERROR(__xludf.DUMMYFUNCTION("""COMPUTED_VALUE"""),"ステータスUP + 必殺ワザ性能UP")</f>
        <v>ステータスUP + 必殺ワザ性能UP</v>
      </c>
    </row>
    <row r="615">
      <c r="A615" s="139" t="str">
        <f>IFERROR(__xludf.DUMMYFUNCTION("""COMPUTED_VALUE"""),"e")</f>
        <v>e</v>
      </c>
      <c r="B615" s="139">
        <f>IFERROR(__xludf.DUMMYFUNCTION("""COMPUTED_VALUE"""),2.0251002E8)</f>
        <v>202510020</v>
      </c>
      <c r="C615" s="139" t="str">
        <f>IFERROR(__xludf.DUMMYFUNCTION("""COMPUTED_VALUE"""),"chara_dan_00301_Special_00005")</f>
        <v>chara_dan_00301_Special_00005</v>
      </c>
      <c r="D615" s="139" t="str">
        <f>IFERROR(__xludf.DUMMYFUNCTION("""COMPUTED_VALUE"""),"chara_dan_00301")</f>
        <v>chara_dan_00301</v>
      </c>
      <c r="E615" s="139">
        <f>IFERROR(__xludf.DUMMYFUNCTION("""COMPUTED_VALUE"""),5.0)</f>
        <v>5</v>
      </c>
      <c r="F615" s="139" t="str">
        <f>IFERROR(__xludf.DUMMYFUNCTION("""COMPUTED_VALUE"""),"Special")</f>
        <v>Special</v>
      </c>
      <c r="G615" s="139"/>
      <c r="H615" s="139"/>
      <c r="I615" s="139">
        <f>IFERROR(__xludf.DUMMYFUNCTION("""COMPUTED_VALUE"""),92.0)</f>
        <v>92</v>
      </c>
      <c r="J615" s="139">
        <f>IFERROR(__xludf.DUMMYFUNCTION("""COMPUTED_VALUE"""),15.0)</f>
        <v>15</v>
      </c>
      <c r="K615" s="139">
        <f>IFERROR(__xludf.DUMMYFUNCTION("""COMPUTED_VALUE"""),0.0)</f>
        <v>0</v>
      </c>
      <c r="L615" s="139"/>
      <c r="M615" s="139" t="str">
        <f>IFERROR(__xludf.DUMMYFUNCTION("""COMPUTED_VALUE"""),"自身への被ダメージを{chara_dan_00301_Special_00005a_effective_duration}秒間、{chara_dan_00301_Special_00005a_effect_parameter}%カット")</f>
        <v>自身への被ダメージを{chara_dan_00301_Special_00005a_effective_duration}秒間、{chara_dan_00301_Special_00005a_effect_parameter}%カット</v>
      </c>
      <c r="N615" s="139" t="str">
        <f>IFERROR(__xludf.DUMMYFUNCTION("""COMPUTED_VALUE"""),"ステータスUP + 必殺ワザ性能UP")</f>
        <v>ステータスUP + 必殺ワザ性能UP</v>
      </c>
    </row>
    <row r="616">
      <c r="A616" s="139"/>
      <c r="B616" s="139"/>
      <c r="C616" s="139" t="str">
        <f>IFERROR(__xludf.DUMMYFUNCTION("""COMPUTED_VALUE"""),"chara_dan_00301_Special_00006")</f>
        <v>chara_dan_00301_Special_00006</v>
      </c>
      <c r="D616" s="139" t="str">
        <f>IFERROR(__xludf.DUMMYFUNCTION("""COMPUTED_VALUE"""),"chara_dan_00301")</f>
        <v>chara_dan_00301</v>
      </c>
      <c r="E616" s="139">
        <f>IFERROR(__xludf.DUMMYFUNCTION("""COMPUTED_VALUE"""),6.0)</f>
        <v>6</v>
      </c>
      <c r="F616" s="139" t="str">
        <f>IFERROR(__xludf.DUMMYFUNCTION("""COMPUTED_VALUE"""),"Special")</f>
        <v>Special</v>
      </c>
      <c r="G616" s="139"/>
      <c r="H616" s="139"/>
      <c r="I616" s="139">
        <f>IFERROR(__xludf.DUMMYFUNCTION("""COMPUTED_VALUE"""),92.0)</f>
        <v>92</v>
      </c>
      <c r="J616" s="139">
        <f>IFERROR(__xludf.DUMMYFUNCTION("""COMPUTED_VALUE"""),15.0)</f>
        <v>15</v>
      </c>
      <c r="K616" s="139">
        <f>IFERROR(__xludf.DUMMYFUNCTION("""COMPUTED_VALUE"""),0.0)</f>
        <v>0</v>
      </c>
      <c r="L616" s="139"/>
      <c r="M616" s="139"/>
      <c r="N616" s="139"/>
    </row>
    <row r="617">
      <c r="A617" s="139"/>
      <c r="B617" s="139"/>
      <c r="C617" s="139" t="str">
        <f>IFERROR(__xludf.DUMMYFUNCTION("""COMPUTED_VALUE"""),"chara_dan_00301_Special_00007")</f>
        <v>chara_dan_00301_Special_00007</v>
      </c>
      <c r="D617" s="139" t="str">
        <f>IFERROR(__xludf.DUMMYFUNCTION("""COMPUTED_VALUE"""),"chara_dan_00301")</f>
        <v>chara_dan_00301</v>
      </c>
      <c r="E617" s="139">
        <f>IFERROR(__xludf.DUMMYFUNCTION("""COMPUTED_VALUE"""),7.0)</f>
        <v>7</v>
      </c>
      <c r="F617" s="139" t="str">
        <f>IFERROR(__xludf.DUMMYFUNCTION("""COMPUTED_VALUE"""),"Special")</f>
        <v>Special</v>
      </c>
      <c r="G617" s="139"/>
      <c r="H617" s="139"/>
      <c r="I617" s="139">
        <f>IFERROR(__xludf.DUMMYFUNCTION("""COMPUTED_VALUE"""),92.0)</f>
        <v>92</v>
      </c>
      <c r="J617" s="139">
        <f>IFERROR(__xludf.DUMMYFUNCTION("""COMPUTED_VALUE"""),15.0)</f>
        <v>15</v>
      </c>
      <c r="K617" s="139">
        <f>IFERROR(__xludf.DUMMYFUNCTION("""COMPUTED_VALUE"""),0.0)</f>
        <v>0</v>
      </c>
      <c r="L617" s="139"/>
      <c r="M617" s="139"/>
      <c r="N617" s="139"/>
    </row>
    <row r="618">
      <c r="A618" s="139"/>
      <c r="B618" s="139"/>
      <c r="C618" s="139" t="str">
        <f>IFERROR(__xludf.DUMMYFUNCTION("""COMPUTED_VALUE"""),"chara_dan_00301_Special_00008")</f>
        <v>chara_dan_00301_Special_00008</v>
      </c>
      <c r="D618" s="139" t="str">
        <f>IFERROR(__xludf.DUMMYFUNCTION("""COMPUTED_VALUE"""),"chara_dan_00301")</f>
        <v>chara_dan_00301</v>
      </c>
      <c r="E618" s="139">
        <f>IFERROR(__xludf.DUMMYFUNCTION("""COMPUTED_VALUE"""),8.0)</f>
        <v>8</v>
      </c>
      <c r="F618" s="139" t="str">
        <f>IFERROR(__xludf.DUMMYFUNCTION("""COMPUTED_VALUE"""),"Special")</f>
        <v>Special</v>
      </c>
      <c r="G618" s="139"/>
      <c r="H618" s="139"/>
      <c r="I618" s="139">
        <f>IFERROR(__xludf.DUMMYFUNCTION("""COMPUTED_VALUE"""),92.0)</f>
        <v>92</v>
      </c>
      <c r="J618" s="139">
        <f>IFERROR(__xludf.DUMMYFUNCTION("""COMPUTED_VALUE"""),15.0)</f>
        <v>15</v>
      </c>
      <c r="K618" s="139">
        <f>IFERROR(__xludf.DUMMYFUNCTION("""COMPUTED_VALUE"""),0.0)</f>
        <v>0</v>
      </c>
      <c r="L618" s="139"/>
      <c r="M618" s="139"/>
      <c r="N618" s="139"/>
    </row>
    <row r="619">
      <c r="A619" s="139"/>
      <c r="B619" s="139"/>
      <c r="C619" s="139" t="str">
        <f>IFERROR(__xludf.DUMMYFUNCTION("""COMPUTED_VALUE"""),"chara_dan_00301_Special_00009")</f>
        <v>chara_dan_00301_Special_00009</v>
      </c>
      <c r="D619" s="139" t="str">
        <f>IFERROR(__xludf.DUMMYFUNCTION("""COMPUTED_VALUE"""),"chara_dan_00301")</f>
        <v>chara_dan_00301</v>
      </c>
      <c r="E619" s="139">
        <f>IFERROR(__xludf.DUMMYFUNCTION("""COMPUTED_VALUE"""),9.0)</f>
        <v>9</v>
      </c>
      <c r="F619" s="139" t="str">
        <f>IFERROR(__xludf.DUMMYFUNCTION("""COMPUTED_VALUE"""),"Special")</f>
        <v>Special</v>
      </c>
      <c r="G619" s="139"/>
      <c r="H619" s="139"/>
      <c r="I619" s="139">
        <f>IFERROR(__xludf.DUMMYFUNCTION("""COMPUTED_VALUE"""),92.0)</f>
        <v>92</v>
      </c>
      <c r="J619" s="139">
        <f>IFERROR(__xludf.DUMMYFUNCTION("""COMPUTED_VALUE"""),15.0)</f>
        <v>15</v>
      </c>
      <c r="K619" s="139">
        <f>IFERROR(__xludf.DUMMYFUNCTION("""COMPUTED_VALUE"""),0.0)</f>
        <v>0</v>
      </c>
      <c r="L619" s="139"/>
      <c r="M619" s="139"/>
      <c r="N619" s="139"/>
    </row>
    <row r="620">
      <c r="A620" s="139"/>
      <c r="B620" s="139"/>
      <c r="C620" s="139" t="str">
        <f>IFERROR(__xludf.DUMMYFUNCTION("""COMPUTED_VALUE"""),"chara_dan_00301_Special_00010")</f>
        <v>chara_dan_00301_Special_00010</v>
      </c>
      <c r="D620" s="139" t="str">
        <f>IFERROR(__xludf.DUMMYFUNCTION("""COMPUTED_VALUE"""),"chara_dan_00301")</f>
        <v>chara_dan_00301</v>
      </c>
      <c r="E620" s="139">
        <f>IFERROR(__xludf.DUMMYFUNCTION("""COMPUTED_VALUE"""),10.0)</f>
        <v>10</v>
      </c>
      <c r="F620" s="139" t="str">
        <f>IFERROR(__xludf.DUMMYFUNCTION("""COMPUTED_VALUE"""),"Special")</f>
        <v>Special</v>
      </c>
      <c r="G620" s="139"/>
      <c r="H620" s="139"/>
      <c r="I620" s="139">
        <f>IFERROR(__xludf.DUMMYFUNCTION("""COMPUTED_VALUE"""),92.0)</f>
        <v>92</v>
      </c>
      <c r="J620" s="139">
        <f>IFERROR(__xludf.DUMMYFUNCTION("""COMPUTED_VALUE"""),15.0)</f>
        <v>15</v>
      </c>
      <c r="K620" s="139">
        <f>IFERROR(__xludf.DUMMYFUNCTION("""COMPUTED_VALUE"""),0.0)</f>
        <v>0</v>
      </c>
      <c r="L620" s="139"/>
      <c r="M620" s="139"/>
      <c r="N620" s="139"/>
    </row>
    <row r="621">
      <c r="A621" s="139" t="str">
        <f>IFERROR(__xludf.DUMMYFUNCTION("""COMPUTED_VALUE"""),"e")</f>
        <v>e</v>
      </c>
      <c r="B621" s="139">
        <f>IFERROR(__xludf.DUMMYFUNCTION("""COMPUTED_VALUE"""),2.0251101E8)</f>
        <v>202511010</v>
      </c>
      <c r="C621" s="139" t="str">
        <f>IFERROR(__xludf.DUMMYFUNCTION("""COMPUTED_VALUE"""),"chara_mag_00201_Normal_00000")</f>
        <v>chara_mag_00201_Normal_00000</v>
      </c>
      <c r="D621" s="139" t="str">
        <f>IFERROR(__xludf.DUMMYFUNCTION("""COMPUTED_VALUE"""),"chara_mag_00201")</f>
        <v>chara_mag_00201</v>
      </c>
      <c r="E621" s="139">
        <f>IFERROR(__xludf.DUMMYFUNCTION("""COMPUTED_VALUE"""),0.0)</f>
        <v>0</v>
      </c>
      <c r="F621" s="139" t="str">
        <f>IFERROR(__xludf.DUMMYFUNCTION("""COMPUTED_VALUE"""),"Normal")</f>
        <v>Normal</v>
      </c>
      <c r="G621" s="139"/>
      <c r="H621" s="139"/>
      <c r="I621" s="139">
        <f>IFERROR(__xludf.DUMMYFUNCTION("""COMPUTED_VALUE"""),59.0)</f>
        <v>59</v>
      </c>
      <c r="J621" s="139">
        <f>IFERROR(__xludf.DUMMYFUNCTION("""COMPUTED_VALUE"""),21.0)</f>
        <v>21</v>
      </c>
      <c r="K621" s="139">
        <f>IFERROR(__xludf.DUMMYFUNCTION("""COMPUTED_VALUE"""),150.0)</f>
        <v>150</v>
      </c>
      <c r="L621" s="139"/>
      <c r="M621" s="139"/>
      <c r="N621" s="139"/>
    </row>
    <row r="622">
      <c r="A622" s="139" t="str">
        <f>IFERROR(__xludf.DUMMYFUNCTION("""COMPUTED_VALUE"""),"e")</f>
        <v>e</v>
      </c>
      <c r="B622" s="139">
        <f>IFERROR(__xludf.DUMMYFUNCTION("""COMPUTED_VALUE"""),2.0251101E8)</f>
        <v>202511010</v>
      </c>
      <c r="C622" s="139" t="str">
        <f>IFERROR(__xludf.DUMMYFUNCTION("""COMPUTED_VALUE"""),"chara_mag_00201_Special_00001")</f>
        <v>chara_mag_00201_Special_00001</v>
      </c>
      <c r="D622" s="139" t="str">
        <f>IFERROR(__xludf.DUMMYFUNCTION("""COMPUTED_VALUE"""),"chara_mag_00201")</f>
        <v>chara_mag_00201</v>
      </c>
      <c r="E622" s="139">
        <f>IFERROR(__xludf.DUMMYFUNCTION("""COMPUTED_VALUE"""),1.0)</f>
        <v>1</v>
      </c>
      <c r="F622" s="139" t="str">
        <f>IFERROR(__xludf.DUMMYFUNCTION("""COMPUTED_VALUE"""),"Special")</f>
        <v>Special</v>
      </c>
      <c r="G622" s="139"/>
      <c r="H622" s="139"/>
      <c r="I622" s="139">
        <f>IFERROR(__xludf.DUMMYFUNCTION("""COMPUTED_VALUE"""),136.0)</f>
        <v>136</v>
      </c>
      <c r="J622" s="139">
        <f>IFERROR(__xludf.DUMMYFUNCTION("""COMPUTED_VALUE"""),0.0)</f>
        <v>0</v>
      </c>
      <c r="K622" s="139">
        <f>IFERROR(__xludf.DUMMYFUNCTION("""COMPUTED_VALUE"""),0.0)</f>
        <v>0</v>
      </c>
      <c r="L622" s="139"/>
      <c r="M622" s="139" t="str">
        <f>IFERROR(__xludf.DUMMYFUNCTION("""COMPUTED_VALUE"""),"敵複数体に最大4回の連続攻撃(自身の攻撃ステータスの最大85%ダメージ) + 4回目の攻撃がヒットした場合、敵を小ノックバック")</f>
        <v>敵複数体に最大4回の連続攻撃(自身の攻撃ステータスの最大85%ダメージ) + 4回目の攻撃がヒットした場合、敵を小ノックバック</v>
      </c>
      <c r="N622" s="139"/>
    </row>
    <row r="623">
      <c r="A623" s="139" t="str">
        <f>IFERROR(__xludf.DUMMYFUNCTION("""COMPUTED_VALUE"""),"e")</f>
        <v>e</v>
      </c>
      <c r="B623" s="139">
        <f>IFERROR(__xludf.DUMMYFUNCTION("""COMPUTED_VALUE"""),2.0251101E8)</f>
        <v>202511010</v>
      </c>
      <c r="C623" s="139" t="str">
        <f>IFERROR(__xludf.DUMMYFUNCTION("""COMPUTED_VALUE"""),"chara_mag_00201_Special_00002")</f>
        <v>chara_mag_00201_Special_00002</v>
      </c>
      <c r="D623" s="139" t="str">
        <f>IFERROR(__xludf.DUMMYFUNCTION("""COMPUTED_VALUE"""),"chara_mag_00201")</f>
        <v>chara_mag_00201</v>
      </c>
      <c r="E623" s="139">
        <f>IFERROR(__xludf.DUMMYFUNCTION("""COMPUTED_VALUE"""),2.0)</f>
        <v>2</v>
      </c>
      <c r="F623" s="139" t="str">
        <f>IFERROR(__xludf.DUMMYFUNCTION("""COMPUTED_VALUE"""),"Special")</f>
        <v>Special</v>
      </c>
      <c r="G623" s="139"/>
      <c r="H623" s="139"/>
      <c r="I623" s="139">
        <f>IFERROR(__xludf.DUMMYFUNCTION("""COMPUTED_VALUE"""),136.0)</f>
        <v>136</v>
      </c>
      <c r="J623" s="139">
        <f>IFERROR(__xludf.DUMMYFUNCTION("""COMPUTED_VALUE"""),0.0)</f>
        <v>0</v>
      </c>
      <c r="K623" s="139">
        <f>IFERROR(__xludf.DUMMYFUNCTION("""COMPUTED_VALUE"""),0.0)</f>
        <v>0</v>
      </c>
      <c r="L623" s="139"/>
      <c r="M623" s="139" t="str">
        <f>IFERROR(__xludf.DUMMYFUNCTION("""COMPUTED_VALUE"""),"敵複数体に最大4回の連続攻撃(自身の攻撃ステータスの最大96%ダメージ) + 4回目の攻撃がヒットした場合、敵を小ノックバック")</f>
        <v>敵複数体に最大4回の連続攻撃(自身の攻撃ステータスの最大96%ダメージ) + 4回目の攻撃がヒットした場合、敵を小ノックバック</v>
      </c>
      <c r="N623" s="139" t="str">
        <f>IFERROR(__xludf.DUMMYFUNCTION("""COMPUTED_VALUE"""),"ステータスUP + 必殺ワザ性能UP")</f>
        <v>ステータスUP + 必殺ワザ性能UP</v>
      </c>
    </row>
    <row r="624">
      <c r="A624" s="139" t="str">
        <f>IFERROR(__xludf.DUMMYFUNCTION("""COMPUTED_VALUE"""),"e")</f>
        <v>e</v>
      </c>
      <c r="B624" s="139">
        <f>IFERROR(__xludf.DUMMYFUNCTION("""COMPUTED_VALUE"""),2.0251101E8)</f>
        <v>202511010</v>
      </c>
      <c r="C624" s="139" t="str">
        <f>IFERROR(__xludf.DUMMYFUNCTION("""COMPUTED_VALUE"""),"chara_mag_00201_Special_00003")</f>
        <v>chara_mag_00201_Special_00003</v>
      </c>
      <c r="D624" s="139" t="str">
        <f>IFERROR(__xludf.DUMMYFUNCTION("""COMPUTED_VALUE"""),"chara_mag_00201")</f>
        <v>chara_mag_00201</v>
      </c>
      <c r="E624" s="139">
        <f>IFERROR(__xludf.DUMMYFUNCTION("""COMPUTED_VALUE"""),3.0)</f>
        <v>3</v>
      </c>
      <c r="F624" s="139" t="str">
        <f>IFERROR(__xludf.DUMMYFUNCTION("""COMPUTED_VALUE"""),"Special")</f>
        <v>Special</v>
      </c>
      <c r="G624" s="139"/>
      <c r="H624" s="139"/>
      <c r="I624" s="139">
        <f>IFERROR(__xludf.DUMMYFUNCTION("""COMPUTED_VALUE"""),136.0)</f>
        <v>136</v>
      </c>
      <c r="J624" s="139">
        <f>IFERROR(__xludf.DUMMYFUNCTION("""COMPUTED_VALUE"""),0.0)</f>
        <v>0</v>
      </c>
      <c r="K624" s="139">
        <f>IFERROR(__xludf.DUMMYFUNCTION("""COMPUTED_VALUE"""),0.0)</f>
        <v>0</v>
      </c>
      <c r="L624" s="139"/>
      <c r="M624" s="139" t="str">
        <f>IFERROR(__xludf.DUMMYFUNCTION("""COMPUTED_VALUE"""),"敵複数体に最大4回の連続攻撃(自身の攻撃ステータスの最大103%ダメージ) + 4回目の攻撃がヒットした場合、敵を中ノックバック")</f>
        <v>敵複数体に最大4回の連続攻撃(自身の攻撃ステータスの最大103%ダメージ) + 4回目の攻撃がヒットした場合、敵を中ノックバック</v>
      </c>
      <c r="N624" s="139" t="str">
        <f>IFERROR(__xludf.DUMMYFUNCTION("""COMPUTED_VALUE"""),"ステータスUP + 必殺ワザ性能UP")</f>
        <v>ステータスUP + 必殺ワザ性能UP</v>
      </c>
    </row>
    <row r="625">
      <c r="A625" s="139" t="str">
        <f>IFERROR(__xludf.DUMMYFUNCTION("""COMPUTED_VALUE"""),"e")</f>
        <v>e</v>
      </c>
      <c r="B625" s="139">
        <f>IFERROR(__xludf.DUMMYFUNCTION("""COMPUTED_VALUE"""),2.0251101E8)</f>
        <v>202511010</v>
      </c>
      <c r="C625" s="139" t="str">
        <f>IFERROR(__xludf.DUMMYFUNCTION("""COMPUTED_VALUE"""),"chara_mag_00201_Special_00004")</f>
        <v>chara_mag_00201_Special_00004</v>
      </c>
      <c r="D625" s="139" t="str">
        <f>IFERROR(__xludf.DUMMYFUNCTION("""COMPUTED_VALUE"""),"chara_mag_00201")</f>
        <v>chara_mag_00201</v>
      </c>
      <c r="E625" s="139">
        <f>IFERROR(__xludf.DUMMYFUNCTION("""COMPUTED_VALUE"""),4.0)</f>
        <v>4</v>
      </c>
      <c r="F625" s="139" t="str">
        <f>IFERROR(__xludf.DUMMYFUNCTION("""COMPUTED_VALUE"""),"Special")</f>
        <v>Special</v>
      </c>
      <c r="G625" s="139"/>
      <c r="H625" s="139"/>
      <c r="I625" s="139">
        <f>IFERROR(__xludf.DUMMYFUNCTION("""COMPUTED_VALUE"""),136.0)</f>
        <v>136</v>
      </c>
      <c r="J625" s="139">
        <f>IFERROR(__xludf.DUMMYFUNCTION("""COMPUTED_VALUE"""),0.0)</f>
        <v>0</v>
      </c>
      <c r="K625" s="139">
        <f>IFERROR(__xludf.DUMMYFUNCTION("""COMPUTED_VALUE"""),0.0)</f>
        <v>0</v>
      </c>
      <c r="L625" s="139"/>
      <c r="M625" s="139" t="str">
        <f>IFERROR(__xludf.DUMMYFUNCTION("""COMPUTED_VALUE"""),"敵複数体に最大4回の連続攻撃(自身の攻撃ステータスの最大109%ダメージ) + 4回目の攻撃がヒットした場合、敵を中ノックバック")</f>
        <v>敵複数体に最大4回の連続攻撃(自身の攻撃ステータスの最大109%ダメージ) + 4回目の攻撃がヒットした場合、敵を中ノックバック</v>
      </c>
      <c r="N625" s="139" t="str">
        <f>IFERROR(__xludf.DUMMYFUNCTION("""COMPUTED_VALUE"""),"ステータスUP + 必殺ワザ性能UP")</f>
        <v>ステータスUP + 必殺ワザ性能UP</v>
      </c>
    </row>
    <row r="626">
      <c r="A626" s="139" t="str">
        <f>IFERROR(__xludf.DUMMYFUNCTION("""COMPUTED_VALUE"""),"e")</f>
        <v>e</v>
      </c>
      <c r="B626" s="139">
        <f>IFERROR(__xludf.DUMMYFUNCTION("""COMPUTED_VALUE"""),2.0251101E8)</f>
        <v>202511010</v>
      </c>
      <c r="C626" s="139" t="str">
        <f>IFERROR(__xludf.DUMMYFUNCTION("""COMPUTED_VALUE"""),"chara_mag_00201_Special_00005")</f>
        <v>chara_mag_00201_Special_00005</v>
      </c>
      <c r="D626" s="139" t="str">
        <f>IFERROR(__xludf.DUMMYFUNCTION("""COMPUTED_VALUE"""),"chara_mag_00201")</f>
        <v>chara_mag_00201</v>
      </c>
      <c r="E626" s="139">
        <f>IFERROR(__xludf.DUMMYFUNCTION("""COMPUTED_VALUE"""),5.0)</f>
        <v>5</v>
      </c>
      <c r="F626" s="139" t="str">
        <f>IFERROR(__xludf.DUMMYFUNCTION("""COMPUTED_VALUE"""),"Special")</f>
        <v>Special</v>
      </c>
      <c r="G626" s="139"/>
      <c r="H626" s="139"/>
      <c r="I626" s="139">
        <f>IFERROR(__xludf.DUMMYFUNCTION("""COMPUTED_VALUE"""),136.0)</f>
        <v>136</v>
      </c>
      <c r="J626" s="139">
        <f>IFERROR(__xludf.DUMMYFUNCTION("""COMPUTED_VALUE"""),0.0)</f>
        <v>0</v>
      </c>
      <c r="K626" s="139">
        <f>IFERROR(__xludf.DUMMYFUNCTION("""COMPUTED_VALUE"""),0.0)</f>
        <v>0</v>
      </c>
      <c r="L626" s="139"/>
      <c r="M626" s="139" t="str">
        <f>IFERROR(__xludf.DUMMYFUNCTION("""COMPUTED_VALUE"""),"敵複数体に最大4回の連続攻撃(自身の攻撃ステータスの最大113%ダメージ) + 4回目の攻撃がヒットした場合、敵を中ノックバック")</f>
        <v>敵複数体に最大4回の連続攻撃(自身の攻撃ステータスの最大113%ダメージ) + 4回目の攻撃がヒットした場合、敵を中ノックバック</v>
      </c>
      <c r="N626" s="139" t="str">
        <f>IFERROR(__xludf.DUMMYFUNCTION("""COMPUTED_VALUE"""),"ステータスUP + 必殺ワザ性能UP")</f>
        <v>ステータスUP + 必殺ワザ性能UP</v>
      </c>
    </row>
    <row r="627">
      <c r="A627" s="139"/>
      <c r="B627" s="139"/>
      <c r="C627" s="139" t="str">
        <f>IFERROR(__xludf.DUMMYFUNCTION("""COMPUTED_VALUE"""),"chara_mag_00201_Special_00006")</f>
        <v>chara_mag_00201_Special_00006</v>
      </c>
      <c r="D627" s="139" t="str">
        <f>IFERROR(__xludf.DUMMYFUNCTION("""COMPUTED_VALUE"""),"chara_mag_00201")</f>
        <v>chara_mag_00201</v>
      </c>
      <c r="E627" s="139">
        <f>IFERROR(__xludf.DUMMYFUNCTION("""COMPUTED_VALUE"""),6.0)</f>
        <v>6</v>
      </c>
      <c r="F627" s="139" t="str">
        <f>IFERROR(__xludf.DUMMYFUNCTION("""COMPUTED_VALUE"""),"Special")</f>
        <v>Special</v>
      </c>
      <c r="G627" s="139"/>
      <c r="H627" s="139"/>
      <c r="I627" s="139">
        <f>IFERROR(__xludf.DUMMYFUNCTION("""COMPUTED_VALUE"""),234.0)</f>
        <v>234</v>
      </c>
      <c r="J627" s="139">
        <f>IFERROR(__xludf.DUMMYFUNCTION("""COMPUTED_VALUE"""),175.0)</f>
        <v>175</v>
      </c>
      <c r="K627" s="139">
        <f>IFERROR(__xludf.DUMMYFUNCTION("""COMPUTED_VALUE"""),0.0)</f>
        <v>0</v>
      </c>
      <c r="L627" s="139"/>
      <c r="M627" s="139"/>
      <c r="N627" s="139"/>
    </row>
    <row r="628">
      <c r="A628" s="139"/>
      <c r="B628" s="139"/>
      <c r="C628" s="139" t="str">
        <f>IFERROR(__xludf.DUMMYFUNCTION("""COMPUTED_VALUE"""),"chara_mag_00201_Special_00007")</f>
        <v>chara_mag_00201_Special_00007</v>
      </c>
      <c r="D628" s="139" t="str">
        <f>IFERROR(__xludf.DUMMYFUNCTION("""COMPUTED_VALUE"""),"chara_mag_00201")</f>
        <v>chara_mag_00201</v>
      </c>
      <c r="E628" s="139">
        <f>IFERROR(__xludf.DUMMYFUNCTION("""COMPUTED_VALUE"""),7.0)</f>
        <v>7</v>
      </c>
      <c r="F628" s="139" t="str">
        <f>IFERROR(__xludf.DUMMYFUNCTION("""COMPUTED_VALUE"""),"Special")</f>
        <v>Special</v>
      </c>
      <c r="G628" s="139"/>
      <c r="H628" s="139"/>
      <c r="I628" s="139">
        <f>IFERROR(__xludf.DUMMYFUNCTION("""COMPUTED_VALUE"""),234.0)</f>
        <v>234</v>
      </c>
      <c r="J628" s="139">
        <f>IFERROR(__xludf.DUMMYFUNCTION("""COMPUTED_VALUE"""),175.0)</f>
        <v>175</v>
      </c>
      <c r="K628" s="139">
        <f>IFERROR(__xludf.DUMMYFUNCTION("""COMPUTED_VALUE"""),0.0)</f>
        <v>0</v>
      </c>
      <c r="L628" s="139"/>
      <c r="M628" s="139"/>
      <c r="N628" s="139"/>
    </row>
    <row r="629">
      <c r="A629" s="139"/>
      <c r="B629" s="139"/>
      <c r="C629" s="139" t="str">
        <f>IFERROR(__xludf.DUMMYFUNCTION("""COMPUTED_VALUE"""),"chara_mag_00201_Special_00008")</f>
        <v>chara_mag_00201_Special_00008</v>
      </c>
      <c r="D629" s="139" t="str">
        <f>IFERROR(__xludf.DUMMYFUNCTION("""COMPUTED_VALUE"""),"chara_mag_00201")</f>
        <v>chara_mag_00201</v>
      </c>
      <c r="E629" s="139">
        <f>IFERROR(__xludf.DUMMYFUNCTION("""COMPUTED_VALUE"""),8.0)</f>
        <v>8</v>
      </c>
      <c r="F629" s="139" t="str">
        <f>IFERROR(__xludf.DUMMYFUNCTION("""COMPUTED_VALUE"""),"Special")</f>
        <v>Special</v>
      </c>
      <c r="G629" s="139"/>
      <c r="H629" s="139"/>
      <c r="I629" s="139">
        <f>IFERROR(__xludf.DUMMYFUNCTION("""COMPUTED_VALUE"""),234.0)</f>
        <v>234</v>
      </c>
      <c r="J629" s="139">
        <f>IFERROR(__xludf.DUMMYFUNCTION("""COMPUTED_VALUE"""),175.0)</f>
        <v>175</v>
      </c>
      <c r="K629" s="139">
        <f>IFERROR(__xludf.DUMMYFUNCTION("""COMPUTED_VALUE"""),0.0)</f>
        <v>0</v>
      </c>
      <c r="L629" s="139"/>
      <c r="M629" s="139"/>
      <c r="N629" s="139"/>
    </row>
    <row r="630">
      <c r="A630" s="139"/>
      <c r="B630" s="139"/>
      <c r="C630" s="139" t="str">
        <f>IFERROR(__xludf.DUMMYFUNCTION("""COMPUTED_VALUE"""),"chara_mag_00201_Special_00009")</f>
        <v>chara_mag_00201_Special_00009</v>
      </c>
      <c r="D630" s="139" t="str">
        <f>IFERROR(__xludf.DUMMYFUNCTION("""COMPUTED_VALUE"""),"chara_mag_00201")</f>
        <v>chara_mag_00201</v>
      </c>
      <c r="E630" s="139">
        <f>IFERROR(__xludf.DUMMYFUNCTION("""COMPUTED_VALUE"""),9.0)</f>
        <v>9</v>
      </c>
      <c r="F630" s="139" t="str">
        <f>IFERROR(__xludf.DUMMYFUNCTION("""COMPUTED_VALUE"""),"Special")</f>
        <v>Special</v>
      </c>
      <c r="G630" s="139"/>
      <c r="H630" s="139"/>
      <c r="I630" s="139">
        <f>IFERROR(__xludf.DUMMYFUNCTION("""COMPUTED_VALUE"""),234.0)</f>
        <v>234</v>
      </c>
      <c r="J630" s="139">
        <f>IFERROR(__xludf.DUMMYFUNCTION("""COMPUTED_VALUE"""),175.0)</f>
        <v>175</v>
      </c>
      <c r="K630" s="139">
        <f>IFERROR(__xludf.DUMMYFUNCTION("""COMPUTED_VALUE"""),0.0)</f>
        <v>0</v>
      </c>
      <c r="L630" s="139"/>
      <c r="M630" s="139"/>
      <c r="N630" s="139"/>
    </row>
    <row r="631">
      <c r="A631" s="139"/>
      <c r="B631" s="139"/>
      <c r="C631" s="139" t="str">
        <f>IFERROR(__xludf.DUMMYFUNCTION("""COMPUTED_VALUE"""),"chara_mag_00201_Special_00010")</f>
        <v>chara_mag_00201_Special_00010</v>
      </c>
      <c r="D631" s="139" t="str">
        <f>IFERROR(__xludf.DUMMYFUNCTION("""COMPUTED_VALUE"""),"chara_mag_00201")</f>
        <v>chara_mag_00201</v>
      </c>
      <c r="E631" s="139">
        <f>IFERROR(__xludf.DUMMYFUNCTION("""COMPUTED_VALUE"""),10.0)</f>
        <v>10</v>
      </c>
      <c r="F631" s="139" t="str">
        <f>IFERROR(__xludf.DUMMYFUNCTION("""COMPUTED_VALUE"""),"Special")</f>
        <v>Special</v>
      </c>
      <c r="G631" s="139"/>
      <c r="H631" s="139"/>
      <c r="I631" s="139">
        <f>IFERROR(__xludf.DUMMYFUNCTION("""COMPUTED_VALUE"""),234.0)</f>
        <v>234</v>
      </c>
      <c r="J631" s="139">
        <f>IFERROR(__xludf.DUMMYFUNCTION("""COMPUTED_VALUE"""),175.0)</f>
        <v>175</v>
      </c>
      <c r="K631" s="139">
        <f>IFERROR(__xludf.DUMMYFUNCTION("""COMPUTED_VALUE"""),0.0)</f>
        <v>0</v>
      </c>
      <c r="L631" s="139"/>
      <c r="M631" s="139"/>
      <c r="N631" s="139"/>
    </row>
    <row r="632">
      <c r="A632" s="139" t="str">
        <f>IFERROR(__xludf.DUMMYFUNCTION("""COMPUTED_VALUE"""),"e")</f>
        <v>e</v>
      </c>
      <c r="B632" s="139">
        <f>IFERROR(__xludf.DUMMYFUNCTION("""COMPUTED_VALUE"""),2.0251101E8)</f>
        <v>202511010</v>
      </c>
      <c r="C632" s="139" t="str">
        <f>IFERROR(__xludf.DUMMYFUNCTION("""COMPUTED_VALUE"""),"chara_mag_00301_Normal_00000")</f>
        <v>chara_mag_00301_Normal_00000</v>
      </c>
      <c r="D632" s="139" t="str">
        <f>IFERROR(__xludf.DUMMYFUNCTION("""COMPUTED_VALUE"""),"chara_mag_00301")</f>
        <v>chara_mag_00301</v>
      </c>
      <c r="E632" s="139">
        <f>IFERROR(__xludf.DUMMYFUNCTION("""COMPUTED_VALUE"""),0.0)</f>
        <v>0</v>
      </c>
      <c r="F632" s="139" t="str">
        <f>IFERROR(__xludf.DUMMYFUNCTION("""COMPUTED_VALUE"""),"Normal")</f>
        <v>Normal</v>
      </c>
      <c r="G632" s="139"/>
      <c r="H632" s="139"/>
      <c r="I632" s="139">
        <f>IFERROR(__xludf.DUMMYFUNCTION("""COMPUTED_VALUE"""),80.0)</f>
        <v>80</v>
      </c>
      <c r="J632" s="139">
        <f>IFERROR(__xludf.DUMMYFUNCTION("""COMPUTED_VALUE"""),30.0)</f>
        <v>30</v>
      </c>
      <c r="K632" s="139">
        <f>IFERROR(__xludf.DUMMYFUNCTION("""COMPUTED_VALUE"""),125.0)</f>
        <v>125</v>
      </c>
      <c r="L632" s="139"/>
      <c r="M632" s="139"/>
      <c r="N632" s="139"/>
    </row>
    <row r="633">
      <c r="A633" s="139" t="str">
        <f>IFERROR(__xludf.DUMMYFUNCTION("""COMPUTED_VALUE"""),"e")</f>
        <v>e</v>
      </c>
      <c r="B633" s="139">
        <f>IFERROR(__xludf.DUMMYFUNCTION("""COMPUTED_VALUE"""),2.0251101E8)</f>
        <v>202511010</v>
      </c>
      <c r="C633" s="139" t="str">
        <f>IFERROR(__xludf.DUMMYFUNCTION("""COMPUTED_VALUE"""),"chara_mag_00301_Special_00001")</f>
        <v>chara_mag_00301_Special_00001</v>
      </c>
      <c r="D633" s="139" t="str">
        <f>IFERROR(__xludf.DUMMYFUNCTION("""COMPUTED_VALUE"""),"chara_mag_00301")</f>
        <v>chara_mag_00301</v>
      </c>
      <c r="E633" s="139">
        <f>IFERROR(__xludf.DUMMYFUNCTION("""COMPUTED_VALUE"""),1.0)</f>
        <v>1</v>
      </c>
      <c r="F633" s="139" t="str">
        <f>IFERROR(__xludf.DUMMYFUNCTION("""COMPUTED_VALUE"""),"Special")</f>
        <v>Special</v>
      </c>
      <c r="G633" s="139"/>
      <c r="H633" s="139"/>
      <c r="I633" s="139">
        <f>IFERROR(__xludf.DUMMYFUNCTION("""COMPUTED_VALUE"""),125.0)</f>
        <v>125</v>
      </c>
      <c r="J633" s="139">
        <f>IFERROR(__xludf.DUMMYFUNCTION("""COMPUTED_VALUE"""),50.0)</f>
        <v>50</v>
      </c>
      <c r="K633" s="139">
        <f>IFERROR(__xludf.DUMMYFUNCTION("""COMPUTED_VALUE"""),0.0)</f>
        <v>0</v>
      </c>
      <c r="L633" s="139"/>
      <c r="M633" s="139" t="str">
        <f>IFERROR(__xludf.DUMMYFUNCTION("""COMPUTED_VALUE"""),"自身への被ダメージを{chara_mag_00301_Special_00001a_effective_duration}秒間、{chara_mag_00301_Special_00001a_effect_parameter}%カット")</f>
        <v>自身への被ダメージを{chara_mag_00301_Special_00001a_effective_duration}秒間、{chara_mag_00301_Special_00001a_effect_parameter}%カット</v>
      </c>
      <c r="N633" s="139"/>
    </row>
    <row r="634">
      <c r="A634" s="139" t="str">
        <f>IFERROR(__xludf.DUMMYFUNCTION("""COMPUTED_VALUE"""),"e")</f>
        <v>e</v>
      </c>
      <c r="B634" s="139">
        <f>IFERROR(__xludf.DUMMYFUNCTION("""COMPUTED_VALUE"""),2.0251101E8)</f>
        <v>202511010</v>
      </c>
      <c r="C634" s="139" t="str">
        <f>IFERROR(__xludf.DUMMYFUNCTION("""COMPUTED_VALUE"""),"chara_mag_00301_Special_00002")</f>
        <v>chara_mag_00301_Special_00002</v>
      </c>
      <c r="D634" s="139" t="str">
        <f>IFERROR(__xludf.DUMMYFUNCTION("""COMPUTED_VALUE"""),"chara_mag_00301")</f>
        <v>chara_mag_00301</v>
      </c>
      <c r="E634" s="139">
        <f>IFERROR(__xludf.DUMMYFUNCTION("""COMPUTED_VALUE"""),2.0)</f>
        <v>2</v>
      </c>
      <c r="F634" s="139" t="str">
        <f>IFERROR(__xludf.DUMMYFUNCTION("""COMPUTED_VALUE"""),"Special")</f>
        <v>Special</v>
      </c>
      <c r="G634" s="139"/>
      <c r="H634" s="139"/>
      <c r="I634" s="139">
        <f>IFERROR(__xludf.DUMMYFUNCTION("""COMPUTED_VALUE"""),125.0)</f>
        <v>125</v>
      </c>
      <c r="J634" s="139">
        <f>IFERROR(__xludf.DUMMYFUNCTION("""COMPUTED_VALUE"""),50.0)</f>
        <v>50</v>
      </c>
      <c r="K634" s="139">
        <f>IFERROR(__xludf.DUMMYFUNCTION("""COMPUTED_VALUE"""),0.0)</f>
        <v>0</v>
      </c>
      <c r="L634" s="139"/>
      <c r="M634" s="139" t="str">
        <f>IFERROR(__xludf.DUMMYFUNCTION("""COMPUTED_VALUE"""),"自身への被ダメージを{chara_mag_00301_Special_00002a_effective_duration}秒間、{chara_mag_00301_Special_00002a_effect_parameter}%カット")</f>
        <v>自身への被ダメージを{chara_mag_00301_Special_00002a_effective_duration}秒間、{chara_mag_00301_Special_00002a_effect_parameter}%カット</v>
      </c>
      <c r="N634" s="139" t="str">
        <f>IFERROR(__xludf.DUMMYFUNCTION("""COMPUTED_VALUE"""),"ステータスUP + 必殺ワザ性能UP")</f>
        <v>ステータスUP + 必殺ワザ性能UP</v>
      </c>
    </row>
    <row r="635">
      <c r="A635" s="139" t="str">
        <f>IFERROR(__xludf.DUMMYFUNCTION("""COMPUTED_VALUE"""),"e")</f>
        <v>e</v>
      </c>
      <c r="B635" s="139">
        <f>IFERROR(__xludf.DUMMYFUNCTION("""COMPUTED_VALUE"""),2.0251101E8)</f>
        <v>202511010</v>
      </c>
      <c r="C635" s="139" t="str">
        <f>IFERROR(__xludf.DUMMYFUNCTION("""COMPUTED_VALUE"""),"chara_mag_00301_Special_00003")</f>
        <v>chara_mag_00301_Special_00003</v>
      </c>
      <c r="D635" s="139" t="str">
        <f>IFERROR(__xludf.DUMMYFUNCTION("""COMPUTED_VALUE"""),"chara_mag_00301")</f>
        <v>chara_mag_00301</v>
      </c>
      <c r="E635" s="139">
        <f>IFERROR(__xludf.DUMMYFUNCTION("""COMPUTED_VALUE"""),3.0)</f>
        <v>3</v>
      </c>
      <c r="F635" s="139" t="str">
        <f>IFERROR(__xludf.DUMMYFUNCTION("""COMPUTED_VALUE"""),"Special")</f>
        <v>Special</v>
      </c>
      <c r="G635" s="139"/>
      <c r="H635" s="139"/>
      <c r="I635" s="139">
        <f>IFERROR(__xludf.DUMMYFUNCTION("""COMPUTED_VALUE"""),125.0)</f>
        <v>125</v>
      </c>
      <c r="J635" s="139">
        <f>IFERROR(__xludf.DUMMYFUNCTION("""COMPUTED_VALUE"""),50.0)</f>
        <v>50</v>
      </c>
      <c r="K635" s="139">
        <f>IFERROR(__xludf.DUMMYFUNCTION("""COMPUTED_VALUE"""),0.0)</f>
        <v>0</v>
      </c>
      <c r="L635" s="139"/>
      <c r="M635" s="139" t="str">
        <f>IFERROR(__xludf.DUMMYFUNCTION("""COMPUTED_VALUE"""),"自身への被ダメージを{chara_mag_00301_Special_00003a_effective_duration}秒間、{chara_mag_00301_Special_00003a_effect_parameter}%カット")</f>
        <v>自身への被ダメージを{chara_mag_00301_Special_00003a_effective_duration}秒間、{chara_mag_00301_Special_00003a_effect_parameter}%カット</v>
      </c>
      <c r="N635" s="139" t="str">
        <f>IFERROR(__xludf.DUMMYFUNCTION("""COMPUTED_VALUE"""),"ステータスUP + 必殺ワザ性能UP")</f>
        <v>ステータスUP + 必殺ワザ性能UP</v>
      </c>
    </row>
    <row r="636">
      <c r="A636" s="139" t="str">
        <f>IFERROR(__xludf.DUMMYFUNCTION("""COMPUTED_VALUE"""),"e")</f>
        <v>e</v>
      </c>
      <c r="B636" s="139">
        <f>IFERROR(__xludf.DUMMYFUNCTION("""COMPUTED_VALUE"""),2.0251101E8)</f>
        <v>202511010</v>
      </c>
      <c r="C636" s="139" t="str">
        <f>IFERROR(__xludf.DUMMYFUNCTION("""COMPUTED_VALUE"""),"chara_mag_00301_Special_00004")</f>
        <v>chara_mag_00301_Special_00004</v>
      </c>
      <c r="D636" s="139" t="str">
        <f>IFERROR(__xludf.DUMMYFUNCTION("""COMPUTED_VALUE"""),"chara_mag_00301")</f>
        <v>chara_mag_00301</v>
      </c>
      <c r="E636" s="139">
        <f>IFERROR(__xludf.DUMMYFUNCTION("""COMPUTED_VALUE"""),4.0)</f>
        <v>4</v>
      </c>
      <c r="F636" s="139" t="str">
        <f>IFERROR(__xludf.DUMMYFUNCTION("""COMPUTED_VALUE"""),"Special")</f>
        <v>Special</v>
      </c>
      <c r="G636" s="139"/>
      <c r="H636" s="139"/>
      <c r="I636" s="139">
        <f>IFERROR(__xludf.DUMMYFUNCTION("""COMPUTED_VALUE"""),125.0)</f>
        <v>125</v>
      </c>
      <c r="J636" s="139">
        <f>IFERROR(__xludf.DUMMYFUNCTION("""COMPUTED_VALUE"""),50.0)</f>
        <v>50</v>
      </c>
      <c r="K636" s="139">
        <f>IFERROR(__xludf.DUMMYFUNCTION("""COMPUTED_VALUE"""),0.0)</f>
        <v>0</v>
      </c>
      <c r="L636" s="139"/>
      <c r="M636" s="139" t="str">
        <f>IFERROR(__xludf.DUMMYFUNCTION("""COMPUTED_VALUE"""),"自身への被ダメージを{chara_mag_00301_Special_00004a_effective_duration}秒間、{chara_mag_00301_Special_00004a_effect_parameter}%カット")</f>
        <v>自身への被ダメージを{chara_mag_00301_Special_00004a_effective_duration}秒間、{chara_mag_00301_Special_00004a_effect_parameter}%カット</v>
      </c>
      <c r="N636" s="139" t="str">
        <f>IFERROR(__xludf.DUMMYFUNCTION("""COMPUTED_VALUE"""),"ステータスUP + 必殺ワザ性能UP")</f>
        <v>ステータスUP + 必殺ワザ性能UP</v>
      </c>
    </row>
    <row r="637">
      <c r="A637" s="139" t="str">
        <f>IFERROR(__xludf.DUMMYFUNCTION("""COMPUTED_VALUE"""),"e")</f>
        <v>e</v>
      </c>
      <c r="B637" s="139">
        <f>IFERROR(__xludf.DUMMYFUNCTION("""COMPUTED_VALUE"""),2.0251101E8)</f>
        <v>202511010</v>
      </c>
      <c r="C637" s="139" t="str">
        <f>IFERROR(__xludf.DUMMYFUNCTION("""COMPUTED_VALUE"""),"chara_mag_00301_Special_00005")</f>
        <v>chara_mag_00301_Special_00005</v>
      </c>
      <c r="D637" s="139" t="str">
        <f>IFERROR(__xludf.DUMMYFUNCTION("""COMPUTED_VALUE"""),"chara_mag_00301")</f>
        <v>chara_mag_00301</v>
      </c>
      <c r="E637" s="139">
        <f>IFERROR(__xludf.DUMMYFUNCTION("""COMPUTED_VALUE"""),5.0)</f>
        <v>5</v>
      </c>
      <c r="F637" s="139" t="str">
        <f>IFERROR(__xludf.DUMMYFUNCTION("""COMPUTED_VALUE"""),"Special")</f>
        <v>Special</v>
      </c>
      <c r="G637" s="139"/>
      <c r="H637" s="139"/>
      <c r="I637" s="139">
        <f>IFERROR(__xludf.DUMMYFUNCTION("""COMPUTED_VALUE"""),125.0)</f>
        <v>125</v>
      </c>
      <c r="J637" s="139">
        <f>IFERROR(__xludf.DUMMYFUNCTION("""COMPUTED_VALUE"""),50.0)</f>
        <v>50</v>
      </c>
      <c r="K637" s="139">
        <f>IFERROR(__xludf.DUMMYFUNCTION("""COMPUTED_VALUE"""),0.0)</f>
        <v>0</v>
      </c>
      <c r="L637" s="139"/>
      <c r="M637" s="139" t="str">
        <f>IFERROR(__xludf.DUMMYFUNCTION("""COMPUTED_VALUE"""),"自身への被ダメージを{chara_mag_00301_Special_00005a_effective_duration}秒間、{chara_mag_00301_Special_00005a_effect_parameter}%カット")</f>
        <v>自身への被ダメージを{chara_mag_00301_Special_00005a_effective_duration}秒間、{chara_mag_00301_Special_00005a_effect_parameter}%カット</v>
      </c>
      <c r="N637" s="139" t="str">
        <f>IFERROR(__xludf.DUMMYFUNCTION("""COMPUTED_VALUE"""),"ステータスUP + 必殺ワザ性能UP")</f>
        <v>ステータスUP + 必殺ワザ性能UP</v>
      </c>
    </row>
    <row r="638">
      <c r="A638" s="139"/>
      <c r="B638" s="139"/>
      <c r="C638" s="139" t="str">
        <f>IFERROR(__xludf.DUMMYFUNCTION("""COMPUTED_VALUE"""),"chara_mag_00301_Special_00006")</f>
        <v>chara_mag_00301_Special_00006</v>
      </c>
      <c r="D638" s="139" t="str">
        <f>IFERROR(__xludf.DUMMYFUNCTION("""COMPUTED_VALUE"""),"chara_mag_00301")</f>
        <v>chara_mag_00301</v>
      </c>
      <c r="E638" s="139">
        <f>IFERROR(__xludf.DUMMYFUNCTION("""COMPUTED_VALUE"""),6.0)</f>
        <v>6</v>
      </c>
      <c r="F638" s="139" t="str">
        <f>IFERROR(__xludf.DUMMYFUNCTION("""COMPUTED_VALUE"""),"Special")</f>
        <v>Special</v>
      </c>
      <c r="G638" s="139"/>
      <c r="H638" s="139"/>
      <c r="I638" s="139">
        <f>IFERROR(__xludf.DUMMYFUNCTION("""COMPUTED_VALUE"""),234.0)</f>
        <v>234</v>
      </c>
      <c r="J638" s="139">
        <f>IFERROR(__xludf.DUMMYFUNCTION("""COMPUTED_VALUE"""),175.0)</f>
        <v>175</v>
      </c>
      <c r="K638" s="139">
        <f>IFERROR(__xludf.DUMMYFUNCTION("""COMPUTED_VALUE"""),0.0)</f>
        <v>0</v>
      </c>
      <c r="L638" s="139"/>
      <c r="M638" s="139"/>
      <c r="N638" s="139"/>
    </row>
    <row r="639">
      <c r="A639" s="139"/>
      <c r="B639" s="139"/>
      <c r="C639" s="139" t="str">
        <f>IFERROR(__xludf.DUMMYFUNCTION("""COMPUTED_VALUE"""),"chara_mag_00301_Special_00007")</f>
        <v>chara_mag_00301_Special_00007</v>
      </c>
      <c r="D639" s="139" t="str">
        <f>IFERROR(__xludf.DUMMYFUNCTION("""COMPUTED_VALUE"""),"chara_mag_00301")</f>
        <v>chara_mag_00301</v>
      </c>
      <c r="E639" s="139">
        <f>IFERROR(__xludf.DUMMYFUNCTION("""COMPUTED_VALUE"""),7.0)</f>
        <v>7</v>
      </c>
      <c r="F639" s="139" t="str">
        <f>IFERROR(__xludf.DUMMYFUNCTION("""COMPUTED_VALUE"""),"Special")</f>
        <v>Special</v>
      </c>
      <c r="G639" s="139"/>
      <c r="H639" s="139"/>
      <c r="I639" s="139">
        <f>IFERROR(__xludf.DUMMYFUNCTION("""COMPUTED_VALUE"""),234.0)</f>
        <v>234</v>
      </c>
      <c r="J639" s="139">
        <f>IFERROR(__xludf.DUMMYFUNCTION("""COMPUTED_VALUE"""),175.0)</f>
        <v>175</v>
      </c>
      <c r="K639" s="139">
        <f>IFERROR(__xludf.DUMMYFUNCTION("""COMPUTED_VALUE"""),0.0)</f>
        <v>0</v>
      </c>
      <c r="L639" s="139"/>
      <c r="M639" s="139"/>
      <c r="N639" s="139"/>
    </row>
    <row r="640">
      <c r="A640" s="139"/>
      <c r="B640" s="139"/>
      <c r="C640" s="139" t="str">
        <f>IFERROR(__xludf.DUMMYFUNCTION("""COMPUTED_VALUE"""),"chara_mag_00301_Special_00008")</f>
        <v>chara_mag_00301_Special_00008</v>
      </c>
      <c r="D640" s="139" t="str">
        <f>IFERROR(__xludf.DUMMYFUNCTION("""COMPUTED_VALUE"""),"chara_mag_00301")</f>
        <v>chara_mag_00301</v>
      </c>
      <c r="E640" s="139">
        <f>IFERROR(__xludf.DUMMYFUNCTION("""COMPUTED_VALUE"""),8.0)</f>
        <v>8</v>
      </c>
      <c r="F640" s="139" t="str">
        <f>IFERROR(__xludf.DUMMYFUNCTION("""COMPUTED_VALUE"""),"Special")</f>
        <v>Special</v>
      </c>
      <c r="G640" s="139"/>
      <c r="H640" s="139"/>
      <c r="I640" s="139">
        <f>IFERROR(__xludf.DUMMYFUNCTION("""COMPUTED_VALUE"""),234.0)</f>
        <v>234</v>
      </c>
      <c r="J640" s="139">
        <f>IFERROR(__xludf.DUMMYFUNCTION("""COMPUTED_VALUE"""),175.0)</f>
        <v>175</v>
      </c>
      <c r="K640" s="139">
        <f>IFERROR(__xludf.DUMMYFUNCTION("""COMPUTED_VALUE"""),0.0)</f>
        <v>0</v>
      </c>
      <c r="L640" s="139"/>
      <c r="M640" s="139"/>
      <c r="N640" s="139"/>
    </row>
    <row r="641">
      <c r="A641" s="139"/>
      <c r="B641" s="139"/>
      <c r="C641" s="139" t="str">
        <f>IFERROR(__xludf.DUMMYFUNCTION("""COMPUTED_VALUE"""),"chara_mag_00301_Special_00009")</f>
        <v>chara_mag_00301_Special_00009</v>
      </c>
      <c r="D641" s="139" t="str">
        <f>IFERROR(__xludf.DUMMYFUNCTION("""COMPUTED_VALUE"""),"chara_mag_00301")</f>
        <v>chara_mag_00301</v>
      </c>
      <c r="E641" s="139">
        <f>IFERROR(__xludf.DUMMYFUNCTION("""COMPUTED_VALUE"""),9.0)</f>
        <v>9</v>
      </c>
      <c r="F641" s="139" t="str">
        <f>IFERROR(__xludf.DUMMYFUNCTION("""COMPUTED_VALUE"""),"Special")</f>
        <v>Special</v>
      </c>
      <c r="G641" s="139"/>
      <c r="H641" s="139"/>
      <c r="I641" s="139">
        <f>IFERROR(__xludf.DUMMYFUNCTION("""COMPUTED_VALUE"""),234.0)</f>
        <v>234</v>
      </c>
      <c r="J641" s="139">
        <f>IFERROR(__xludf.DUMMYFUNCTION("""COMPUTED_VALUE"""),175.0)</f>
        <v>175</v>
      </c>
      <c r="K641" s="139">
        <f>IFERROR(__xludf.DUMMYFUNCTION("""COMPUTED_VALUE"""),0.0)</f>
        <v>0</v>
      </c>
      <c r="L641" s="139"/>
      <c r="M641" s="139"/>
      <c r="N641" s="139"/>
    </row>
    <row r="642">
      <c r="A642" s="139"/>
      <c r="B642" s="139"/>
      <c r="C642" s="139" t="str">
        <f>IFERROR(__xludf.DUMMYFUNCTION("""COMPUTED_VALUE"""),"chara_mag_00301_Special_00010")</f>
        <v>chara_mag_00301_Special_00010</v>
      </c>
      <c r="D642" s="139" t="str">
        <f>IFERROR(__xludf.DUMMYFUNCTION("""COMPUTED_VALUE"""),"chara_mag_00301")</f>
        <v>chara_mag_00301</v>
      </c>
      <c r="E642" s="139">
        <f>IFERROR(__xludf.DUMMYFUNCTION("""COMPUTED_VALUE"""),10.0)</f>
        <v>10</v>
      </c>
      <c r="F642" s="139" t="str">
        <f>IFERROR(__xludf.DUMMYFUNCTION("""COMPUTED_VALUE"""),"Special")</f>
        <v>Special</v>
      </c>
      <c r="G642" s="139"/>
      <c r="H642" s="139"/>
      <c r="I642" s="139">
        <f>IFERROR(__xludf.DUMMYFUNCTION("""COMPUTED_VALUE"""),234.0)</f>
        <v>234</v>
      </c>
      <c r="J642" s="139">
        <f>IFERROR(__xludf.DUMMYFUNCTION("""COMPUTED_VALUE"""),175.0)</f>
        <v>175</v>
      </c>
      <c r="K642" s="139">
        <f>IFERROR(__xludf.DUMMYFUNCTION("""COMPUTED_VALUE"""),0.0)</f>
        <v>0</v>
      </c>
      <c r="L642" s="139"/>
      <c r="M642" s="139"/>
      <c r="N642" s="139"/>
    </row>
    <row r="643">
      <c r="A643" s="139" t="str">
        <f>IFERROR(__xludf.DUMMYFUNCTION("""COMPUTED_VALUE"""),"e")</f>
        <v>e</v>
      </c>
      <c r="B643" s="139">
        <f>IFERROR(__xludf.DUMMYFUNCTION("""COMPUTED_VALUE"""),2.0251101E8)</f>
        <v>202511010</v>
      </c>
      <c r="C643" s="139" t="str">
        <f>IFERROR(__xludf.DUMMYFUNCTION("""COMPUTED_VALUE"""),"chara_mag_00401_Normal_00000")</f>
        <v>chara_mag_00401_Normal_00000</v>
      </c>
      <c r="D643" s="139" t="str">
        <f>IFERROR(__xludf.DUMMYFUNCTION("""COMPUTED_VALUE"""),"chara_mag_00401")</f>
        <v>chara_mag_00401</v>
      </c>
      <c r="E643" s="139">
        <f>IFERROR(__xludf.DUMMYFUNCTION("""COMPUTED_VALUE"""),0.0)</f>
        <v>0</v>
      </c>
      <c r="F643" s="139" t="str">
        <f>IFERROR(__xludf.DUMMYFUNCTION("""COMPUTED_VALUE"""),"Normal")</f>
        <v>Normal</v>
      </c>
      <c r="G643" s="139"/>
      <c r="H643" s="139"/>
      <c r="I643" s="139">
        <f>IFERROR(__xludf.DUMMYFUNCTION("""COMPUTED_VALUE"""),66.0)</f>
        <v>66</v>
      </c>
      <c r="J643" s="139">
        <f>IFERROR(__xludf.DUMMYFUNCTION("""COMPUTED_VALUE"""),30.0)</f>
        <v>30</v>
      </c>
      <c r="K643" s="139">
        <f>IFERROR(__xludf.DUMMYFUNCTION("""COMPUTED_VALUE"""),50.0)</f>
        <v>50</v>
      </c>
      <c r="L643" s="139"/>
      <c r="M643" s="139"/>
      <c r="N643" s="139"/>
    </row>
    <row r="644">
      <c r="A644" s="139" t="str">
        <f>IFERROR(__xludf.DUMMYFUNCTION("""COMPUTED_VALUE"""),"e")</f>
        <v>e</v>
      </c>
      <c r="B644" s="139">
        <f>IFERROR(__xludf.DUMMYFUNCTION("""COMPUTED_VALUE"""),2.0251101E8)</f>
        <v>202511010</v>
      </c>
      <c r="C644" s="139" t="str">
        <f>IFERROR(__xludf.DUMMYFUNCTION("""COMPUTED_VALUE"""),"chara_mag_00401_Special_00001")</f>
        <v>chara_mag_00401_Special_00001</v>
      </c>
      <c r="D644" s="139" t="str">
        <f>IFERROR(__xludf.DUMMYFUNCTION("""COMPUTED_VALUE"""),"chara_mag_00401")</f>
        <v>chara_mag_00401</v>
      </c>
      <c r="E644" s="139">
        <f>IFERROR(__xludf.DUMMYFUNCTION("""COMPUTED_VALUE"""),1.0)</f>
        <v>1</v>
      </c>
      <c r="F644" s="139" t="str">
        <f>IFERROR(__xludf.DUMMYFUNCTION("""COMPUTED_VALUE"""),"Special")</f>
        <v>Special</v>
      </c>
      <c r="G644" s="139"/>
      <c r="H644" s="139"/>
      <c r="I644" s="139">
        <f>IFERROR(__xludf.DUMMYFUNCTION("""COMPUTED_VALUE"""),94.0)</f>
        <v>94</v>
      </c>
      <c r="J644" s="139">
        <f>IFERROR(__xludf.DUMMYFUNCTION("""COMPUTED_VALUE"""),31.0)</f>
        <v>31</v>
      </c>
      <c r="K644" s="139">
        <f>IFERROR(__xludf.DUMMYFUNCTION("""COMPUTED_VALUE"""),0.0)</f>
        <v>0</v>
      </c>
      <c r="L644" s="139"/>
      <c r="M644" s="139" t="str">
        <f>IFERROR(__xludf.DUMMYFUNCTION("""COMPUTED_VALUE"""),"敵単体に自身の攻撃ステータスの{chara_mag_00401_Special_00001_power_parameter}%のダメージ + 攻撃がヒットした場合、敵の攻撃を{chara_mag_00401_Special_00001_effective_duration}秒間、{chara_mag_00401_Special_00001_effect_parameter}%DOWN")</f>
        <v>敵単体に自身の攻撃ステータスの{chara_mag_00401_Special_00001_power_parameter}%のダメージ + 攻撃がヒットした場合、敵の攻撃を{chara_mag_00401_Special_00001_effective_duration}秒間、{chara_mag_00401_Special_00001_effect_parameter}%DOWN</v>
      </c>
      <c r="N644" s="139"/>
    </row>
    <row r="645">
      <c r="A645" s="139" t="str">
        <f>IFERROR(__xludf.DUMMYFUNCTION("""COMPUTED_VALUE"""),"e")</f>
        <v>e</v>
      </c>
      <c r="B645" s="139">
        <f>IFERROR(__xludf.DUMMYFUNCTION("""COMPUTED_VALUE"""),2.0251101E8)</f>
        <v>202511010</v>
      </c>
      <c r="C645" s="139" t="str">
        <f>IFERROR(__xludf.DUMMYFUNCTION("""COMPUTED_VALUE"""),"chara_mag_00401_Special_00002")</f>
        <v>chara_mag_00401_Special_00002</v>
      </c>
      <c r="D645" s="139" t="str">
        <f>IFERROR(__xludf.DUMMYFUNCTION("""COMPUTED_VALUE"""),"chara_mag_00401")</f>
        <v>chara_mag_00401</v>
      </c>
      <c r="E645" s="139">
        <f>IFERROR(__xludf.DUMMYFUNCTION("""COMPUTED_VALUE"""),2.0)</f>
        <v>2</v>
      </c>
      <c r="F645" s="139" t="str">
        <f>IFERROR(__xludf.DUMMYFUNCTION("""COMPUTED_VALUE"""),"Special")</f>
        <v>Special</v>
      </c>
      <c r="G645" s="139"/>
      <c r="H645" s="139"/>
      <c r="I645" s="139">
        <f>IFERROR(__xludf.DUMMYFUNCTION("""COMPUTED_VALUE"""),94.0)</f>
        <v>94</v>
      </c>
      <c r="J645" s="139">
        <f>IFERROR(__xludf.DUMMYFUNCTION("""COMPUTED_VALUE"""),31.0)</f>
        <v>31</v>
      </c>
      <c r="K645" s="139">
        <f>IFERROR(__xludf.DUMMYFUNCTION("""COMPUTED_VALUE"""),0.0)</f>
        <v>0</v>
      </c>
      <c r="L645" s="139"/>
      <c r="M645" s="139" t="str">
        <f>IFERROR(__xludf.DUMMYFUNCTION("""COMPUTED_VALUE"""),"敵単体に自身の攻撃ステータスの{chara_mag_00401_Special_00002_power_parameter}%のダメージ + 攻撃がヒットした場合、敵の攻撃を{chara_mag_00401_Special_00002_effective_duration}秒間、{chara_mag_00401_Special_00002_effect_parameter}%DOWN")</f>
        <v>敵単体に自身の攻撃ステータスの{chara_mag_00401_Special_00002_power_parameter}%のダメージ + 攻撃がヒットした場合、敵の攻撃を{chara_mag_00401_Special_00002_effective_duration}秒間、{chara_mag_00401_Special_00002_effect_parameter}%DOWN</v>
      </c>
      <c r="N645" s="139" t="str">
        <f>IFERROR(__xludf.DUMMYFUNCTION("""COMPUTED_VALUE"""),"ステータスUP + 必殺ワザ性能UP")</f>
        <v>ステータスUP + 必殺ワザ性能UP</v>
      </c>
    </row>
    <row r="646">
      <c r="A646" s="139" t="str">
        <f>IFERROR(__xludf.DUMMYFUNCTION("""COMPUTED_VALUE"""),"e")</f>
        <v>e</v>
      </c>
      <c r="B646" s="139">
        <f>IFERROR(__xludf.DUMMYFUNCTION("""COMPUTED_VALUE"""),2.0251101E8)</f>
        <v>202511010</v>
      </c>
      <c r="C646" s="139" t="str">
        <f>IFERROR(__xludf.DUMMYFUNCTION("""COMPUTED_VALUE"""),"chara_mag_00401_Special_00003")</f>
        <v>chara_mag_00401_Special_00003</v>
      </c>
      <c r="D646" s="139" t="str">
        <f>IFERROR(__xludf.DUMMYFUNCTION("""COMPUTED_VALUE"""),"chara_mag_00401")</f>
        <v>chara_mag_00401</v>
      </c>
      <c r="E646" s="139">
        <f>IFERROR(__xludf.DUMMYFUNCTION("""COMPUTED_VALUE"""),3.0)</f>
        <v>3</v>
      </c>
      <c r="F646" s="139" t="str">
        <f>IFERROR(__xludf.DUMMYFUNCTION("""COMPUTED_VALUE"""),"Special")</f>
        <v>Special</v>
      </c>
      <c r="G646" s="139"/>
      <c r="H646" s="139"/>
      <c r="I646" s="139">
        <f>IFERROR(__xludf.DUMMYFUNCTION("""COMPUTED_VALUE"""),94.0)</f>
        <v>94</v>
      </c>
      <c r="J646" s="139">
        <f>IFERROR(__xludf.DUMMYFUNCTION("""COMPUTED_VALUE"""),31.0)</f>
        <v>31</v>
      </c>
      <c r="K646" s="139">
        <f>IFERROR(__xludf.DUMMYFUNCTION("""COMPUTED_VALUE"""),0.0)</f>
        <v>0</v>
      </c>
      <c r="L646" s="139"/>
      <c r="M646" s="139" t="str">
        <f>IFERROR(__xludf.DUMMYFUNCTION("""COMPUTED_VALUE"""),"敵単体に自身の攻撃ステータスの{chara_mag_00401_Special_00003_power_parameter}%のダメージ + 攻撃がヒットした場合、敵の攻撃を{chara_mag_00401_Special_00003_effective_duration}秒間、{chara_mag_00401_Special_00003_effect_parameter}%DOWN")</f>
        <v>敵単体に自身の攻撃ステータスの{chara_mag_00401_Special_00003_power_parameter}%のダメージ + 攻撃がヒットした場合、敵の攻撃を{chara_mag_00401_Special_00003_effective_duration}秒間、{chara_mag_00401_Special_00003_effect_parameter}%DOWN</v>
      </c>
      <c r="N646" s="139" t="str">
        <f>IFERROR(__xludf.DUMMYFUNCTION("""COMPUTED_VALUE"""),"ステータスUP + 必殺ワザ性能UP")</f>
        <v>ステータスUP + 必殺ワザ性能UP</v>
      </c>
    </row>
    <row r="647">
      <c r="A647" s="139" t="str">
        <f>IFERROR(__xludf.DUMMYFUNCTION("""COMPUTED_VALUE"""),"e")</f>
        <v>e</v>
      </c>
      <c r="B647" s="139">
        <f>IFERROR(__xludf.DUMMYFUNCTION("""COMPUTED_VALUE"""),2.0251101E8)</f>
        <v>202511010</v>
      </c>
      <c r="C647" s="139" t="str">
        <f>IFERROR(__xludf.DUMMYFUNCTION("""COMPUTED_VALUE"""),"chara_mag_00401_Special_00004")</f>
        <v>chara_mag_00401_Special_00004</v>
      </c>
      <c r="D647" s="139" t="str">
        <f>IFERROR(__xludf.DUMMYFUNCTION("""COMPUTED_VALUE"""),"chara_mag_00401")</f>
        <v>chara_mag_00401</v>
      </c>
      <c r="E647" s="139">
        <f>IFERROR(__xludf.DUMMYFUNCTION("""COMPUTED_VALUE"""),4.0)</f>
        <v>4</v>
      </c>
      <c r="F647" s="139" t="str">
        <f>IFERROR(__xludf.DUMMYFUNCTION("""COMPUTED_VALUE"""),"Special")</f>
        <v>Special</v>
      </c>
      <c r="G647" s="139"/>
      <c r="H647" s="139"/>
      <c r="I647" s="139">
        <f>IFERROR(__xludf.DUMMYFUNCTION("""COMPUTED_VALUE"""),94.0)</f>
        <v>94</v>
      </c>
      <c r="J647" s="139">
        <f>IFERROR(__xludf.DUMMYFUNCTION("""COMPUTED_VALUE"""),31.0)</f>
        <v>31</v>
      </c>
      <c r="K647" s="139">
        <f>IFERROR(__xludf.DUMMYFUNCTION("""COMPUTED_VALUE"""),0.0)</f>
        <v>0</v>
      </c>
      <c r="L647" s="139"/>
      <c r="M647" s="139" t="str">
        <f>IFERROR(__xludf.DUMMYFUNCTION("""COMPUTED_VALUE"""),"敵単体に自身の攻撃ステータスの{chara_mag_00401_Special_00004_power_parameter}%のダメージ + 攻撃がヒットした場合、敵の攻撃を{chara_mag_00401_Special_00004_effective_duration}秒間、{chara_mag_00401_Special_00004_effect_parameter}%DOWN")</f>
        <v>敵単体に自身の攻撃ステータスの{chara_mag_00401_Special_00004_power_parameter}%のダメージ + 攻撃がヒットした場合、敵の攻撃を{chara_mag_00401_Special_00004_effective_duration}秒間、{chara_mag_00401_Special_00004_effect_parameter}%DOWN</v>
      </c>
      <c r="N647" s="139" t="str">
        <f>IFERROR(__xludf.DUMMYFUNCTION("""COMPUTED_VALUE"""),"ステータスUP + 必殺ワザ性能UP")</f>
        <v>ステータスUP + 必殺ワザ性能UP</v>
      </c>
    </row>
    <row r="648">
      <c r="A648" s="139" t="str">
        <f>IFERROR(__xludf.DUMMYFUNCTION("""COMPUTED_VALUE"""),"e")</f>
        <v>e</v>
      </c>
      <c r="B648" s="139">
        <f>IFERROR(__xludf.DUMMYFUNCTION("""COMPUTED_VALUE"""),2.0251101E8)</f>
        <v>202511010</v>
      </c>
      <c r="C648" s="139" t="str">
        <f>IFERROR(__xludf.DUMMYFUNCTION("""COMPUTED_VALUE"""),"chara_mag_00401_Special_00005")</f>
        <v>chara_mag_00401_Special_00005</v>
      </c>
      <c r="D648" s="139" t="str">
        <f>IFERROR(__xludf.DUMMYFUNCTION("""COMPUTED_VALUE"""),"chara_mag_00401")</f>
        <v>chara_mag_00401</v>
      </c>
      <c r="E648" s="139">
        <f>IFERROR(__xludf.DUMMYFUNCTION("""COMPUTED_VALUE"""),5.0)</f>
        <v>5</v>
      </c>
      <c r="F648" s="139" t="str">
        <f>IFERROR(__xludf.DUMMYFUNCTION("""COMPUTED_VALUE"""),"Special")</f>
        <v>Special</v>
      </c>
      <c r="G648" s="139"/>
      <c r="H648" s="139"/>
      <c r="I648" s="139">
        <f>IFERROR(__xludf.DUMMYFUNCTION("""COMPUTED_VALUE"""),94.0)</f>
        <v>94</v>
      </c>
      <c r="J648" s="139">
        <f>IFERROR(__xludf.DUMMYFUNCTION("""COMPUTED_VALUE"""),31.0)</f>
        <v>31</v>
      </c>
      <c r="K648" s="139">
        <f>IFERROR(__xludf.DUMMYFUNCTION("""COMPUTED_VALUE"""),0.0)</f>
        <v>0</v>
      </c>
      <c r="L648" s="139"/>
      <c r="M648" s="139" t="str">
        <f>IFERROR(__xludf.DUMMYFUNCTION("""COMPUTED_VALUE"""),"敵単体に自身の攻撃ステータスの{chara_mag_00401_Special_00005_power_parameter}%のダメージ + 攻撃がヒットした場合、敵の攻撃を{chara_mag_00401_Special_00005_effective_duration}秒間、{chara_mag_00401_Special_00005_effect_parameter}%DOWN")</f>
        <v>敵単体に自身の攻撃ステータスの{chara_mag_00401_Special_00005_power_parameter}%のダメージ + 攻撃がヒットした場合、敵の攻撃を{chara_mag_00401_Special_00005_effective_duration}秒間、{chara_mag_00401_Special_00005_effect_parameter}%DOWN</v>
      </c>
      <c r="N648" s="139" t="str">
        <f>IFERROR(__xludf.DUMMYFUNCTION("""COMPUTED_VALUE"""),"ステータスUP + 必殺ワザ性能UP")</f>
        <v>ステータスUP + 必殺ワザ性能UP</v>
      </c>
    </row>
    <row r="649">
      <c r="A649" s="139"/>
      <c r="B649" s="139"/>
      <c r="C649" s="139" t="str">
        <f>IFERROR(__xludf.DUMMYFUNCTION("""COMPUTED_VALUE"""),"chara_mag_00401_Special_00006")</f>
        <v>chara_mag_00401_Special_00006</v>
      </c>
      <c r="D649" s="139" t="str">
        <f>IFERROR(__xludf.DUMMYFUNCTION("""COMPUTED_VALUE"""),"chara_mag_00401")</f>
        <v>chara_mag_00401</v>
      </c>
      <c r="E649" s="139">
        <f>IFERROR(__xludf.DUMMYFUNCTION("""COMPUTED_VALUE"""),6.0)</f>
        <v>6</v>
      </c>
      <c r="F649" s="139" t="str">
        <f>IFERROR(__xludf.DUMMYFUNCTION("""COMPUTED_VALUE"""),"Special")</f>
        <v>Special</v>
      </c>
      <c r="G649" s="139"/>
      <c r="H649" s="139"/>
      <c r="I649" s="139">
        <f>IFERROR(__xludf.DUMMYFUNCTION("""COMPUTED_VALUE"""),234.0)</f>
        <v>234</v>
      </c>
      <c r="J649" s="139">
        <f>IFERROR(__xludf.DUMMYFUNCTION("""COMPUTED_VALUE"""),175.0)</f>
        <v>175</v>
      </c>
      <c r="K649" s="139">
        <f>IFERROR(__xludf.DUMMYFUNCTION("""COMPUTED_VALUE"""),0.0)</f>
        <v>0</v>
      </c>
      <c r="L649" s="139"/>
      <c r="M649" s="139"/>
      <c r="N649" s="139"/>
    </row>
    <row r="650">
      <c r="A650" s="139"/>
      <c r="B650" s="139"/>
      <c r="C650" s="139" t="str">
        <f>IFERROR(__xludf.DUMMYFUNCTION("""COMPUTED_VALUE"""),"chara_mag_00401_Special_00007")</f>
        <v>chara_mag_00401_Special_00007</v>
      </c>
      <c r="D650" s="139" t="str">
        <f>IFERROR(__xludf.DUMMYFUNCTION("""COMPUTED_VALUE"""),"chara_mag_00401")</f>
        <v>chara_mag_00401</v>
      </c>
      <c r="E650" s="139">
        <f>IFERROR(__xludf.DUMMYFUNCTION("""COMPUTED_VALUE"""),7.0)</f>
        <v>7</v>
      </c>
      <c r="F650" s="139" t="str">
        <f>IFERROR(__xludf.DUMMYFUNCTION("""COMPUTED_VALUE"""),"Special")</f>
        <v>Special</v>
      </c>
      <c r="G650" s="139"/>
      <c r="H650" s="139"/>
      <c r="I650" s="139">
        <f>IFERROR(__xludf.DUMMYFUNCTION("""COMPUTED_VALUE"""),234.0)</f>
        <v>234</v>
      </c>
      <c r="J650" s="139">
        <f>IFERROR(__xludf.DUMMYFUNCTION("""COMPUTED_VALUE"""),175.0)</f>
        <v>175</v>
      </c>
      <c r="K650" s="139">
        <f>IFERROR(__xludf.DUMMYFUNCTION("""COMPUTED_VALUE"""),0.0)</f>
        <v>0</v>
      </c>
      <c r="L650" s="139"/>
      <c r="M650" s="139"/>
      <c r="N650" s="139"/>
    </row>
    <row r="651">
      <c r="A651" s="139"/>
      <c r="B651" s="139"/>
      <c r="C651" s="139" t="str">
        <f>IFERROR(__xludf.DUMMYFUNCTION("""COMPUTED_VALUE"""),"chara_mag_00401_Special_00008")</f>
        <v>chara_mag_00401_Special_00008</v>
      </c>
      <c r="D651" s="139" t="str">
        <f>IFERROR(__xludf.DUMMYFUNCTION("""COMPUTED_VALUE"""),"chara_mag_00401")</f>
        <v>chara_mag_00401</v>
      </c>
      <c r="E651" s="139">
        <f>IFERROR(__xludf.DUMMYFUNCTION("""COMPUTED_VALUE"""),8.0)</f>
        <v>8</v>
      </c>
      <c r="F651" s="139" t="str">
        <f>IFERROR(__xludf.DUMMYFUNCTION("""COMPUTED_VALUE"""),"Special")</f>
        <v>Special</v>
      </c>
      <c r="G651" s="139"/>
      <c r="H651" s="139"/>
      <c r="I651" s="139">
        <f>IFERROR(__xludf.DUMMYFUNCTION("""COMPUTED_VALUE"""),234.0)</f>
        <v>234</v>
      </c>
      <c r="J651" s="139">
        <f>IFERROR(__xludf.DUMMYFUNCTION("""COMPUTED_VALUE"""),175.0)</f>
        <v>175</v>
      </c>
      <c r="K651" s="139">
        <f>IFERROR(__xludf.DUMMYFUNCTION("""COMPUTED_VALUE"""),0.0)</f>
        <v>0</v>
      </c>
      <c r="L651" s="139"/>
      <c r="M651" s="139"/>
      <c r="N651" s="139"/>
    </row>
    <row r="652">
      <c r="A652" s="139"/>
      <c r="B652" s="139"/>
      <c r="C652" s="139" t="str">
        <f>IFERROR(__xludf.DUMMYFUNCTION("""COMPUTED_VALUE"""),"chara_mag_00401_Special_00009")</f>
        <v>chara_mag_00401_Special_00009</v>
      </c>
      <c r="D652" s="139" t="str">
        <f>IFERROR(__xludf.DUMMYFUNCTION("""COMPUTED_VALUE"""),"chara_mag_00401")</f>
        <v>chara_mag_00401</v>
      </c>
      <c r="E652" s="139">
        <f>IFERROR(__xludf.DUMMYFUNCTION("""COMPUTED_VALUE"""),9.0)</f>
        <v>9</v>
      </c>
      <c r="F652" s="139" t="str">
        <f>IFERROR(__xludf.DUMMYFUNCTION("""COMPUTED_VALUE"""),"Special")</f>
        <v>Special</v>
      </c>
      <c r="G652" s="139"/>
      <c r="H652" s="139"/>
      <c r="I652" s="139">
        <f>IFERROR(__xludf.DUMMYFUNCTION("""COMPUTED_VALUE"""),234.0)</f>
        <v>234</v>
      </c>
      <c r="J652" s="139">
        <f>IFERROR(__xludf.DUMMYFUNCTION("""COMPUTED_VALUE"""),175.0)</f>
        <v>175</v>
      </c>
      <c r="K652" s="139">
        <f>IFERROR(__xludf.DUMMYFUNCTION("""COMPUTED_VALUE"""),0.0)</f>
        <v>0</v>
      </c>
      <c r="L652" s="139"/>
      <c r="M652" s="139"/>
      <c r="N652" s="139"/>
    </row>
    <row r="653">
      <c r="A653" s="139"/>
      <c r="B653" s="139"/>
      <c r="C653" s="139" t="str">
        <f>IFERROR(__xludf.DUMMYFUNCTION("""COMPUTED_VALUE"""),"chara_mag_00401_Special_00010")</f>
        <v>chara_mag_00401_Special_00010</v>
      </c>
      <c r="D653" s="139" t="str">
        <f>IFERROR(__xludf.DUMMYFUNCTION("""COMPUTED_VALUE"""),"chara_mag_00401")</f>
        <v>chara_mag_00401</v>
      </c>
      <c r="E653" s="139">
        <f>IFERROR(__xludf.DUMMYFUNCTION("""COMPUTED_VALUE"""),10.0)</f>
        <v>10</v>
      </c>
      <c r="F653" s="139" t="str">
        <f>IFERROR(__xludf.DUMMYFUNCTION("""COMPUTED_VALUE"""),"Special")</f>
        <v>Special</v>
      </c>
      <c r="G653" s="139"/>
      <c r="H653" s="139"/>
      <c r="I653" s="139">
        <f>IFERROR(__xludf.DUMMYFUNCTION("""COMPUTED_VALUE"""),234.0)</f>
        <v>234</v>
      </c>
      <c r="J653" s="139">
        <f>IFERROR(__xludf.DUMMYFUNCTION("""COMPUTED_VALUE"""),175.0)</f>
        <v>175</v>
      </c>
      <c r="K653" s="139">
        <f>IFERROR(__xludf.DUMMYFUNCTION("""COMPUTED_VALUE"""),0.0)</f>
        <v>0</v>
      </c>
      <c r="L653" s="139"/>
      <c r="M653" s="139"/>
      <c r="N653" s="139"/>
    </row>
    <row r="654">
      <c r="A654" s="139" t="str">
        <f>IFERROR(__xludf.DUMMYFUNCTION("""COMPUTED_VALUE"""),"e")</f>
        <v>e</v>
      </c>
      <c r="B654" s="139">
        <f>IFERROR(__xludf.DUMMYFUNCTION("""COMPUTED_VALUE"""),2.0251101E8)</f>
        <v>202511010</v>
      </c>
      <c r="C654" s="139" t="str">
        <f>IFERROR(__xludf.DUMMYFUNCTION("""COMPUTED_VALUE"""),"chara_mag_00501_Normal_00000")</f>
        <v>chara_mag_00501_Normal_00000</v>
      </c>
      <c r="D654" s="139" t="str">
        <f>IFERROR(__xludf.DUMMYFUNCTION("""COMPUTED_VALUE"""),"chara_mag_00501")</f>
        <v>chara_mag_00501</v>
      </c>
      <c r="E654" s="139">
        <f>IFERROR(__xludf.DUMMYFUNCTION("""COMPUTED_VALUE"""),0.0)</f>
        <v>0</v>
      </c>
      <c r="F654" s="139" t="str">
        <f>IFERROR(__xludf.DUMMYFUNCTION("""COMPUTED_VALUE"""),"Normal")</f>
        <v>Normal</v>
      </c>
      <c r="G654" s="139"/>
      <c r="H654" s="139"/>
      <c r="I654" s="139">
        <f>IFERROR(__xludf.DUMMYFUNCTION("""COMPUTED_VALUE"""),0.0)</f>
        <v>0</v>
      </c>
      <c r="J654" s="139">
        <f>IFERROR(__xludf.DUMMYFUNCTION("""COMPUTED_VALUE"""),0.0)</f>
        <v>0</v>
      </c>
      <c r="K654" s="139">
        <f>IFERROR(__xludf.DUMMYFUNCTION("""COMPUTED_VALUE"""),100.0)</f>
        <v>100</v>
      </c>
      <c r="L654" s="139"/>
      <c r="M654" s="139"/>
      <c r="N654" s="139"/>
    </row>
    <row r="655">
      <c r="A655" s="139" t="str">
        <f>IFERROR(__xludf.DUMMYFUNCTION("""COMPUTED_VALUE"""),"e")</f>
        <v>e</v>
      </c>
      <c r="B655" s="139">
        <f>IFERROR(__xludf.DUMMYFUNCTION("""COMPUTED_VALUE"""),2.0251101E8)</f>
        <v>202511010</v>
      </c>
      <c r="C655" s="139" t="str">
        <f>IFERROR(__xludf.DUMMYFUNCTION("""COMPUTED_VALUE"""),"chara_mag_00501_Special_00001")</f>
        <v>chara_mag_00501_Special_00001</v>
      </c>
      <c r="D655" s="139" t="str">
        <f>IFERROR(__xludf.DUMMYFUNCTION("""COMPUTED_VALUE"""),"chara_mag_00501")</f>
        <v>chara_mag_00501</v>
      </c>
      <c r="E655" s="139">
        <f>IFERROR(__xludf.DUMMYFUNCTION("""COMPUTED_VALUE"""),1.0)</f>
        <v>1</v>
      </c>
      <c r="F655" s="139" t="str">
        <f>IFERROR(__xludf.DUMMYFUNCTION("""COMPUTED_VALUE"""),"Special")</f>
        <v>Special</v>
      </c>
      <c r="G655" s="139"/>
      <c r="H655" s="139"/>
      <c r="I655" s="139">
        <f>IFERROR(__xludf.DUMMYFUNCTION("""COMPUTED_VALUE"""),117.0)</f>
        <v>117</v>
      </c>
      <c r="J655" s="139">
        <f>IFERROR(__xludf.DUMMYFUNCTION("""COMPUTED_VALUE"""),0.0)</f>
        <v>0</v>
      </c>
      <c r="K655" s="139">
        <f>IFERROR(__xludf.DUMMYFUNCTION("""COMPUTED_VALUE"""),0.0)</f>
        <v>0</v>
      </c>
      <c r="L655" s="139"/>
      <c r="M655" s="139" t="str">
        <f>IFERROR(__xludf.DUMMYFUNCTION("""COMPUTED_VALUE"""),"選択したコマにいる味方アタックキャラへの被ダメージを{chara_mag_00501_Special_00001_effective_duration}秒間、{chara_mag_00501_Special_00001_effect_parameter}%カット")</f>
        <v>選択したコマにいる味方アタックキャラへの被ダメージを{chara_mag_00501_Special_00001_effective_duration}秒間、{chara_mag_00501_Special_00001_effect_parameter}%カット</v>
      </c>
      <c r="N655" s="139"/>
    </row>
    <row r="656">
      <c r="A656" s="139" t="str">
        <f>IFERROR(__xludf.DUMMYFUNCTION("""COMPUTED_VALUE"""),"e")</f>
        <v>e</v>
      </c>
      <c r="B656" s="139">
        <f>IFERROR(__xludf.DUMMYFUNCTION("""COMPUTED_VALUE"""),2.0251101E8)</f>
        <v>202511010</v>
      </c>
      <c r="C656" s="139" t="str">
        <f>IFERROR(__xludf.DUMMYFUNCTION("""COMPUTED_VALUE"""),"chara_mag_00501_Special_00002")</f>
        <v>chara_mag_00501_Special_00002</v>
      </c>
      <c r="D656" s="139" t="str">
        <f>IFERROR(__xludf.DUMMYFUNCTION("""COMPUTED_VALUE"""),"chara_mag_00501")</f>
        <v>chara_mag_00501</v>
      </c>
      <c r="E656" s="139">
        <f>IFERROR(__xludf.DUMMYFUNCTION("""COMPUTED_VALUE"""),2.0)</f>
        <v>2</v>
      </c>
      <c r="F656" s="139" t="str">
        <f>IFERROR(__xludf.DUMMYFUNCTION("""COMPUTED_VALUE"""),"Special")</f>
        <v>Special</v>
      </c>
      <c r="G656" s="139"/>
      <c r="H656" s="139"/>
      <c r="I656" s="139">
        <f>IFERROR(__xludf.DUMMYFUNCTION("""COMPUTED_VALUE"""),117.0)</f>
        <v>117</v>
      </c>
      <c r="J656" s="139">
        <f>IFERROR(__xludf.DUMMYFUNCTION("""COMPUTED_VALUE"""),0.0)</f>
        <v>0</v>
      </c>
      <c r="K656" s="139">
        <f>IFERROR(__xludf.DUMMYFUNCTION("""COMPUTED_VALUE"""),0.0)</f>
        <v>0</v>
      </c>
      <c r="L656" s="139"/>
      <c r="M656" s="139" t="str">
        <f>IFERROR(__xludf.DUMMYFUNCTION("""COMPUTED_VALUE"""),"選択したコマにいる味方アタックキャラへの被ダメージを{chara_mag_00501_Special_00002_effective_duration}秒間、{chara_mag_00501_Special_00002_effect_parameter}%カット")</f>
        <v>選択したコマにいる味方アタックキャラへの被ダメージを{chara_mag_00501_Special_00002_effective_duration}秒間、{chara_mag_00501_Special_00002_effect_parameter}%カット</v>
      </c>
      <c r="N656" s="139" t="str">
        <f>IFERROR(__xludf.DUMMYFUNCTION("""COMPUTED_VALUE"""),"ステータスUP + 必殺ワザ性能UP")</f>
        <v>ステータスUP + 必殺ワザ性能UP</v>
      </c>
    </row>
    <row r="657">
      <c r="A657" s="139" t="str">
        <f>IFERROR(__xludf.DUMMYFUNCTION("""COMPUTED_VALUE"""),"e")</f>
        <v>e</v>
      </c>
      <c r="B657" s="139">
        <f>IFERROR(__xludf.DUMMYFUNCTION("""COMPUTED_VALUE"""),2.0251101E8)</f>
        <v>202511010</v>
      </c>
      <c r="C657" s="139" t="str">
        <f>IFERROR(__xludf.DUMMYFUNCTION("""COMPUTED_VALUE"""),"chara_mag_00501_Special_00003")</f>
        <v>chara_mag_00501_Special_00003</v>
      </c>
      <c r="D657" s="139" t="str">
        <f>IFERROR(__xludf.DUMMYFUNCTION("""COMPUTED_VALUE"""),"chara_mag_00501")</f>
        <v>chara_mag_00501</v>
      </c>
      <c r="E657" s="139">
        <f>IFERROR(__xludf.DUMMYFUNCTION("""COMPUTED_VALUE"""),3.0)</f>
        <v>3</v>
      </c>
      <c r="F657" s="139" t="str">
        <f>IFERROR(__xludf.DUMMYFUNCTION("""COMPUTED_VALUE"""),"Special")</f>
        <v>Special</v>
      </c>
      <c r="G657" s="139"/>
      <c r="H657" s="139"/>
      <c r="I657" s="139">
        <f>IFERROR(__xludf.DUMMYFUNCTION("""COMPUTED_VALUE"""),117.0)</f>
        <v>117</v>
      </c>
      <c r="J657" s="139">
        <f>IFERROR(__xludf.DUMMYFUNCTION("""COMPUTED_VALUE"""),0.0)</f>
        <v>0</v>
      </c>
      <c r="K657" s="139">
        <f>IFERROR(__xludf.DUMMYFUNCTION("""COMPUTED_VALUE"""),0.0)</f>
        <v>0</v>
      </c>
      <c r="L657" s="139"/>
      <c r="M657" s="139" t="str">
        <f>IFERROR(__xludf.DUMMYFUNCTION("""COMPUTED_VALUE"""),"選択したコマにいる味方アタックキャラへの被ダメージを{chara_mag_00501_Special_00003_effective_duration}秒間、{chara_mag_00501_Special_00003_effect_parameter}%カット")</f>
        <v>選択したコマにいる味方アタックキャラへの被ダメージを{chara_mag_00501_Special_00003_effective_duration}秒間、{chara_mag_00501_Special_00003_effect_parameter}%カット</v>
      </c>
      <c r="N657" s="139" t="str">
        <f>IFERROR(__xludf.DUMMYFUNCTION("""COMPUTED_VALUE"""),"ステータスUP + 必殺ワザ性能UP")</f>
        <v>ステータスUP + 必殺ワザ性能UP</v>
      </c>
    </row>
    <row r="658">
      <c r="A658" s="139" t="str">
        <f>IFERROR(__xludf.DUMMYFUNCTION("""COMPUTED_VALUE"""),"e")</f>
        <v>e</v>
      </c>
      <c r="B658" s="139">
        <f>IFERROR(__xludf.DUMMYFUNCTION("""COMPUTED_VALUE"""),2.0251101E8)</f>
        <v>202511010</v>
      </c>
      <c r="C658" s="139" t="str">
        <f>IFERROR(__xludf.DUMMYFUNCTION("""COMPUTED_VALUE"""),"chara_mag_00501_Special_00004")</f>
        <v>chara_mag_00501_Special_00004</v>
      </c>
      <c r="D658" s="139" t="str">
        <f>IFERROR(__xludf.DUMMYFUNCTION("""COMPUTED_VALUE"""),"chara_mag_00501")</f>
        <v>chara_mag_00501</v>
      </c>
      <c r="E658" s="139">
        <f>IFERROR(__xludf.DUMMYFUNCTION("""COMPUTED_VALUE"""),4.0)</f>
        <v>4</v>
      </c>
      <c r="F658" s="139" t="str">
        <f>IFERROR(__xludf.DUMMYFUNCTION("""COMPUTED_VALUE"""),"Special")</f>
        <v>Special</v>
      </c>
      <c r="G658" s="139"/>
      <c r="H658" s="139"/>
      <c r="I658" s="139">
        <f>IFERROR(__xludf.DUMMYFUNCTION("""COMPUTED_VALUE"""),117.0)</f>
        <v>117</v>
      </c>
      <c r="J658" s="139">
        <f>IFERROR(__xludf.DUMMYFUNCTION("""COMPUTED_VALUE"""),0.0)</f>
        <v>0</v>
      </c>
      <c r="K658" s="139">
        <f>IFERROR(__xludf.DUMMYFUNCTION("""COMPUTED_VALUE"""),0.0)</f>
        <v>0</v>
      </c>
      <c r="L658" s="139"/>
      <c r="M658" s="139" t="str">
        <f>IFERROR(__xludf.DUMMYFUNCTION("""COMPUTED_VALUE"""),"選択したコマにいる味方アタックキャラへの被ダメージを{chara_mag_00501_Special_00004_effective_duration}秒間、{chara_mag_00501_Special_00004_effect_parameter}%カット")</f>
        <v>選択したコマにいる味方アタックキャラへの被ダメージを{chara_mag_00501_Special_00004_effective_duration}秒間、{chara_mag_00501_Special_00004_effect_parameter}%カット</v>
      </c>
      <c r="N658" s="139" t="str">
        <f>IFERROR(__xludf.DUMMYFUNCTION("""COMPUTED_VALUE"""),"ステータスUP + 必殺ワザ性能UP")</f>
        <v>ステータスUP + 必殺ワザ性能UP</v>
      </c>
    </row>
    <row r="659">
      <c r="A659" s="139" t="str">
        <f>IFERROR(__xludf.DUMMYFUNCTION("""COMPUTED_VALUE"""),"e")</f>
        <v>e</v>
      </c>
      <c r="B659" s="139">
        <f>IFERROR(__xludf.DUMMYFUNCTION("""COMPUTED_VALUE"""),2.0251101E8)</f>
        <v>202511010</v>
      </c>
      <c r="C659" s="139" t="str">
        <f>IFERROR(__xludf.DUMMYFUNCTION("""COMPUTED_VALUE"""),"chara_mag_00501_Special_00005")</f>
        <v>chara_mag_00501_Special_00005</v>
      </c>
      <c r="D659" s="139" t="str">
        <f>IFERROR(__xludf.DUMMYFUNCTION("""COMPUTED_VALUE"""),"chara_mag_00501")</f>
        <v>chara_mag_00501</v>
      </c>
      <c r="E659" s="139">
        <f>IFERROR(__xludf.DUMMYFUNCTION("""COMPUTED_VALUE"""),5.0)</f>
        <v>5</v>
      </c>
      <c r="F659" s="139" t="str">
        <f>IFERROR(__xludf.DUMMYFUNCTION("""COMPUTED_VALUE"""),"Special")</f>
        <v>Special</v>
      </c>
      <c r="G659" s="139"/>
      <c r="H659" s="139"/>
      <c r="I659" s="139">
        <f>IFERROR(__xludf.DUMMYFUNCTION("""COMPUTED_VALUE"""),117.0)</f>
        <v>117</v>
      </c>
      <c r="J659" s="139">
        <f>IFERROR(__xludf.DUMMYFUNCTION("""COMPUTED_VALUE"""),0.0)</f>
        <v>0</v>
      </c>
      <c r="K659" s="139">
        <f>IFERROR(__xludf.DUMMYFUNCTION("""COMPUTED_VALUE"""),0.0)</f>
        <v>0</v>
      </c>
      <c r="L659" s="139"/>
      <c r="M659" s="139" t="str">
        <f>IFERROR(__xludf.DUMMYFUNCTION("""COMPUTED_VALUE"""),"選択したコマにいる味方アタックキャラへの被ダメージを{chara_mag_00501_Special_00005_effective_duration}秒間、{chara_mag_00501_Special_00005_effect_parameter}%カット")</f>
        <v>選択したコマにいる味方アタックキャラへの被ダメージを{chara_mag_00501_Special_00005_effective_duration}秒間、{chara_mag_00501_Special_00005_effect_parameter}%カット</v>
      </c>
      <c r="N659" s="139" t="str">
        <f>IFERROR(__xludf.DUMMYFUNCTION("""COMPUTED_VALUE"""),"ステータスUP + 必殺ワザ性能UP")</f>
        <v>ステータスUP + 必殺ワザ性能UP</v>
      </c>
    </row>
    <row r="660">
      <c r="A660" s="139"/>
      <c r="B660" s="139"/>
      <c r="C660" s="139" t="str">
        <f>IFERROR(__xludf.DUMMYFUNCTION("""COMPUTED_VALUE"""),"chara_mag_00501_Special_00006")</f>
        <v>chara_mag_00501_Special_00006</v>
      </c>
      <c r="D660" s="139" t="str">
        <f>IFERROR(__xludf.DUMMYFUNCTION("""COMPUTED_VALUE"""),"chara_mag_00501")</f>
        <v>chara_mag_00501</v>
      </c>
      <c r="E660" s="139">
        <f>IFERROR(__xludf.DUMMYFUNCTION("""COMPUTED_VALUE"""),6.0)</f>
        <v>6</v>
      </c>
      <c r="F660" s="139" t="str">
        <f>IFERROR(__xludf.DUMMYFUNCTION("""COMPUTED_VALUE"""),"Special")</f>
        <v>Special</v>
      </c>
      <c r="G660" s="139"/>
      <c r="H660" s="139"/>
      <c r="I660" s="139">
        <f>IFERROR(__xludf.DUMMYFUNCTION("""COMPUTED_VALUE"""),234.0)</f>
        <v>234</v>
      </c>
      <c r="J660" s="139">
        <f>IFERROR(__xludf.DUMMYFUNCTION("""COMPUTED_VALUE"""),175.0)</f>
        <v>175</v>
      </c>
      <c r="K660" s="139">
        <f>IFERROR(__xludf.DUMMYFUNCTION("""COMPUTED_VALUE"""),0.0)</f>
        <v>0</v>
      </c>
      <c r="L660" s="139"/>
      <c r="M660" s="139"/>
      <c r="N660" s="139"/>
    </row>
    <row r="661">
      <c r="A661" s="139"/>
      <c r="B661" s="139"/>
      <c r="C661" s="139" t="str">
        <f>IFERROR(__xludf.DUMMYFUNCTION("""COMPUTED_VALUE"""),"chara_mag_00501_Special_00007")</f>
        <v>chara_mag_00501_Special_00007</v>
      </c>
      <c r="D661" s="139" t="str">
        <f>IFERROR(__xludf.DUMMYFUNCTION("""COMPUTED_VALUE"""),"chara_mag_00501")</f>
        <v>chara_mag_00501</v>
      </c>
      <c r="E661" s="139">
        <f>IFERROR(__xludf.DUMMYFUNCTION("""COMPUTED_VALUE"""),7.0)</f>
        <v>7</v>
      </c>
      <c r="F661" s="139" t="str">
        <f>IFERROR(__xludf.DUMMYFUNCTION("""COMPUTED_VALUE"""),"Special")</f>
        <v>Special</v>
      </c>
      <c r="G661" s="139"/>
      <c r="H661" s="139"/>
      <c r="I661" s="139">
        <f>IFERROR(__xludf.DUMMYFUNCTION("""COMPUTED_VALUE"""),234.0)</f>
        <v>234</v>
      </c>
      <c r="J661" s="139">
        <f>IFERROR(__xludf.DUMMYFUNCTION("""COMPUTED_VALUE"""),175.0)</f>
        <v>175</v>
      </c>
      <c r="K661" s="139">
        <f>IFERROR(__xludf.DUMMYFUNCTION("""COMPUTED_VALUE"""),0.0)</f>
        <v>0</v>
      </c>
      <c r="L661" s="139"/>
      <c r="M661" s="139"/>
      <c r="N661" s="139"/>
    </row>
    <row r="662">
      <c r="A662" s="139"/>
      <c r="B662" s="139"/>
      <c r="C662" s="139" t="str">
        <f>IFERROR(__xludf.DUMMYFUNCTION("""COMPUTED_VALUE"""),"chara_mag_00501_Special_00008")</f>
        <v>chara_mag_00501_Special_00008</v>
      </c>
      <c r="D662" s="139" t="str">
        <f>IFERROR(__xludf.DUMMYFUNCTION("""COMPUTED_VALUE"""),"chara_mag_00501")</f>
        <v>chara_mag_00501</v>
      </c>
      <c r="E662" s="139">
        <f>IFERROR(__xludf.DUMMYFUNCTION("""COMPUTED_VALUE"""),8.0)</f>
        <v>8</v>
      </c>
      <c r="F662" s="139" t="str">
        <f>IFERROR(__xludf.DUMMYFUNCTION("""COMPUTED_VALUE"""),"Special")</f>
        <v>Special</v>
      </c>
      <c r="G662" s="139"/>
      <c r="H662" s="139"/>
      <c r="I662" s="139">
        <f>IFERROR(__xludf.DUMMYFUNCTION("""COMPUTED_VALUE"""),234.0)</f>
        <v>234</v>
      </c>
      <c r="J662" s="139">
        <f>IFERROR(__xludf.DUMMYFUNCTION("""COMPUTED_VALUE"""),175.0)</f>
        <v>175</v>
      </c>
      <c r="K662" s="139">
        <f>IFERROR(__xludf.DUMMYFUNCTION("""COMPUTED_VALUE"""),0.0)</f>
        <v>0</v>
      </c>
      <c r="L662" s="139"/>
      <c r="M662" s="139"/>
      <c r="N662" s="139"/>
    </row>
    <row r="663">
      <c r="A663" s="139"/>
      <c r="B663" s="139"/>
      <c r="C663" s="139" t="str">
        <f>IFERROR(__xludf.DUMMYFUNCTION("""COMPUTED_VALUE"""),"chara_mag_00501_Special_00009")</f>
        <v>chara_mag_00501_Special_00009</v>
      </c>
      <c r="D663" s="139" t="str">
        <f>IFERROR(__xludf.DUMMYFUNCTION("""COMPUTED_VALUE"""),"chara_mag_00501")</f>
        <v>chara_mag_00501</v>
      </c>
      <c r="E663" s="139">
        <f>IFERROR(__xludf.DUMMYFUNCTION("""COMPUTED_VALUE"""),9.0)</f>
        <v>9</v>
      </c>
      <c r="F663" s="139" t="str">
        <f>IFERROR(__xludf.DUMMYFUNCTION("""COMPUTED_VALUE"""),"Special")</f>
        <v>Special</v>
      </c>
      <c r="G663" s="139"/>
      <c r="H663" s="139"/>
      <c r="I663" s="139">
        <f>IFERROR(__xludf.DUMMYFUNCTION("""COMPUTED_VALUE"""),234.0)</f>
        <v>234</v>
      </c>
      <c r="J663" s="139">
        <f>IFERROR(__xludf.DUMMYFUNCTION("""COMPUTED_VALUE"""),175.0)</f>
        <v>175</v>
      </c>
      <c r="K663" s="139">
        <f>IFERROR(__xludf.DUMMYFUNCTION("""COMPUTED_VALUE"""),0.0)</f>
        <v>0</v>
      </c>
      <c r="L663" s="139"/>
      <c r="M663" s="139"/>
      <c r="N663" s="139"/>
    </row>
    <row r="664">
      <c r="A664" s="139"/>
      <c r="B664" s="139"/>
      <c r="C664" s="139" t="str">
        <f>IFERROR(__xludf.DUMMYFUNCTION("""COMPUTED_VALUE"""),"chara_mag_00501_Special_00010")</f>
        <v>chara_mag_00501_Special_00010</v>
      </c>
      <c r="D664" s="139" t="str">
        <f>IFERROR(__xludf.DUMMYFUNCTION("""COMPUTED_VALUE"""),"chara_mag_00501")</f>
        <v>chara_mag_00501</v>
      </c>
      <c r="E664" s="139">
        <f>IFERROR(__xludf.DUMMYFUNCTION("""COMPUTED_VALUE"""),10.0)</f>
        <v>10</v>
      </c>
      <c r="F664" s="139" t="str">
        <f>IFERROR(__xludf.DUMMYFUNCTION("""COMPUTED_VALUE"""),"Special")</f>
        <v>Special</v>
      </c>
      <c r="G664" s="139"/>
      <c r="H664" s="139"/>
      <c r="I664" s="139">
        <f>IFERROR(__xludf.DUMMYFUNCTION("""COMPUTED_VALUE"""),234.0)</f>
        <v>234</v>
      </c>
      <c r="J664" s="139">
        <f>IFERROR(__xludf.DUMMYFUNCTION("""COMPUTED_VALUE"""),175.0)</f>
        <v>175</v>
      </c>
      <c r="K664" s="139">
        <f>IFERROR(__xludf.DUMMYFUNCTION("""COMPUTED_VALUE"""),0.0)</f>
        <v>0</v>
      </c>
      <c r="L664" s="139"/>
      <c r="M664" s="139"/>
      <c r="N664" s="139"/>
    </row>
    <row r="665">
      <c r="A665" s="139" t="str">
        <f>IFERROR(__xludf.DUMMYFUNCTION("""COMPUTED_VALUE"""),"e")</f>
        <v>e</v>
      </c>
      <c r="B665" s="139">
        <f>IFERROR(__xludf.DUMMYFUNCTION("""COMPUTED_VALUE"""),2.0251102E8)</f>
        <v>202511020</v>
      </c>
      <c r="C665" s="139" t="str">
        <f>IFERROR(__xludf.DUMMYFUNCTION("""COMPUTED_VALUE"""),"chara_yuw_00201_Normal_00000")</f>
        <v>chara_yuw_00201_Normal_00000</v>
      </c>
      <c r="D665" s="139" t="str">
        <f>IFERROR(__xludf.DUMMYFUNCTION("""COMPUTED_VALUE"""),"chara_yuw_00201")</f>
        <v>chara_yuw_00201</v>
      </c>
      <c r="E665" s="139">
        <f>IFERROR(__xludf.DUMMYFUNCTION("""COMPUTED_VALUE"""),0.0)</f>
        <v>0</v>
      </c>
      <c r="F665" s="139" t="str">
        <f>IFERROR(__xludf.DUMMYFUNCTION("""COMPUTED_VALUE"""),"Normal")</f>
        <v>Normal</v>
      </c>
      <c r="G665" s="139"/>
      <c r="H665" s="139"/>
      <c r="I665" s="139">
        <f>IFERROR(__xludf.DUMMYFUNCTION("""COMPUTED_VALUE"""),53.0)</f>
        <v>53</v>
      </c>
      <c r="J665" s="139">
        <f>IFERROR(__xludf.DUMMYFUNCTION("""COMPUTED_VALUE"""),17.0)</f>
        <v>17</v>
      </c>
      <c r="K665" s="139">
        <f>IFERROR(__xludf.DUMMYFUNCTION("""COMPUTED_VALUE"""),50.0)</f>
        <v>50</v>
      </c>
      <c r="L665" s="139"/>
      <c r="M665" s="139" t="str">
        <f>IFERROR(__xludf.DUMMYFUNCTION("""COMPUTED_VALUE"""),"表示場所なし")</f>
        <v>表示場所なし</v>
      </c>
      <c r="N665" s="139"/>
    </row>
    <row r="666">
      <c r="A666" s="139" t="str">
        <f>IFERROR(__xludf.DUMMYFUNCTION("""COMPUTED_VALUE"""),"e")</f>
        <v>e</v>
      </c>
      <c r="B666" s="139">
        <f>IFERROR(__xludf.DUMMYFUNCTION("""COMPUTED_VALUE"""),2.0251102E8)</f>
        <v>202511020</v>
      </c>
      <c r="C666" s="139" t="str">
        <f>IFERROR(__xludf.DUMMYFUNCTION("""COMPUTED_VALUE"""),"chara_yuw_00201_Special_00001")</f>
        <v>chara_yuw_00201_Special_00001</v>
      </c>
      <c r="D666" s="139" t="str">
        <f>IFERROR(__xludf.DUMMYFUNCTION("""COMPUTED_VALUE"""),"chara_yuw_00201")</f>
        <v>chara_yuw_00201</v>
      </c>
      <c r="E666" s="139">
        <f>IFERROR(__xludf.DUMMYFUNCTION("""COMPUTED_VALUE"""),1.0)</f>
        <v>1</v>
      </c>
      <c r="F666" s="139" t="str">
        <f>IFERROR(__xludf.DUMMYFUNCTION("""COMPUTED_VALUE"""),"Special")</f>
        <v>Special</v>
      </c>
      <c r="G666" s="139"/>
      <c r="H666" s="139"/>
      <c r="I666" s="139">
        <f>IFERROR(__xludf.DUMMYFUNCTION("""COMPUTED_VALUE"""),234.0)</f>
        <v>234</v>
      </c>
      <c r="J666" s="139">
        <f>IFERROR(__xludf.DUMMYFUNCTION("""COMPUTED_VALUE"""),175.0)</f>
        <v>175</v>
      </c>
      <c r="K666" s="139">
        <f>IFERROR(__xludf.DUMMYFUNCTION("""COMPUTED_VALUE"""),0.0)</f>
        <v>0</v>
      </c>
      <c r="L666" s="139"/>
      <c r="M666" s="139" t="str">
        <f>IFERROR(__xludf.DUMMYFUNCTION("""COMPUTED_VALUE"""),"敵複数体に自身の攻撃ステータスの{chara_yuw_00201_Special_00001_power_parameter}%のダメージ + 攻撃がヒットした場合、敵の攻撃を{chara_yuw_00201_Special_00001_effective_duration}秒間、{chara_yuw_00201_Special_00001_effect_parameter}%DOWN")</f>
        <v>敵複数体に自身の攻撃ステータスの{chara_yuw_00201_Special_00001_power_parameter}%のダメージ + 攻撃がヒットした場合、敵の攻撃を{chara_yuw_00201_Special_00001_effective_duration}秒間、{chara_yuw_00201_Special_00001_effect_parameter}%DOWN</v>
      </c>
      <c r="N666" s="139"/>
    </row>
    <row r="667">
      <c r="A667" s="139" t="str">
        <f>IFERROR(__xludf.DUMMYFUNCTION("""COMPUTED_VALUE"""),"e")</f>
        <v>e</v>
      </c>
      <c r="B667" s="139">
        <f>IFERROR(__xludf.DUMMYFUNCTION("""COMPUTED_VALUE"""),2.0251102E8)</f>
        <v>202511020</v>
      </c>
      <c r="C667" s="139" t="str">
        <f>IFERROR(__xludf.DUMMYFUNCTION("""COMPUTED_VALUE"""),"chara_yuw_00201_Special_00002")</f>
        <v>chara_yuw_00201_Special_00002</v>
      </c>
      <c r="D667" s="139" t="str">
        <f>IFERROR(__xludf.DUMMYFUNCTION("""COMPUTED_VALUE"""),"chara_yuw_00201")</f>
        <v>chara_yuw_00201</v>
      </c>
      <c r="E667" s="139">
        <f>IFERROR(__xludf.DUMMYFUNCTION("""COMPUTED_VALUE"""),2.0)</f>
        <v>2</v>
      </c>
      <c r="F667" s="139" t="str">
        <f>IFERROR(__xludf.DUMMYFUNCTION("""COMPUTED_VALUE"""),"Special")</f>
        <v>Special</v>
      </c>
      <c r="G667" s="139"/>
      <c r="H667" s="139"/>
      <c r="I667" s="139">
        <f>IFERROR(__xludf.DUMMYFUNCTION("""COMPUTED_VALUE"""),234.0)</f>
        <v>234</v>
      </c>
      <c r="J667" s="139">
        <f>IFERROR(__xludf.DUMMYFUNCTION("""COMPUTED_VALUE"""),175.0)</f>
        <v>175</v>
      </c>
      <c r="K667" s="139">
        <f>IFERROR(__xludf.DUMMYFUNCTION("""COMPUTED_VALUE"""),0.0)</f>
        <v>0</v>
      </c>
      <c r="L667" s="139"/>
      <c r="M667" s="139" t="str">
        <f>IFERROR(__xludf.DUMMYFUNCTION("""COMPUTED_VALUE"""),"敵複数体に自身の攻撃ステータスの{chara_yuw_00201_Special_00002_power_parameter}%のダメージ + 攻撃がヒットした場合、敵の攻撃を{chara_yuw_00201_Special_00002_effective_duration}秒間、{chara_yuw_00201_Special_00002_effect_parameter}%DOWN")</f>
        <v>敵複数体に自身の攻撃ステータスの{chara_yuw_00201_Special_00002_power_parameter}%のダメージ + 攻撃がヒットした場合、敵の攻撃を{chara_yuw_00201_Special_00002_effective_duration}秒間、{chara_yuw_00201_Special_00002_effect_parameter}%DOWN</v>
      </c>
      <c r="N667" s="139" t="str">
        <f>IFERROR(__xludf.DUMMYFUNCTION("""COMPUTED_VALUE"""),"ステータスUP + 必殺ワザ性能UP")</f>
        <v>ステータスUP + 必殺ワザ性能UP</v>
      </c>
    </row>
    <row r="668">
      <c r="A668" s="139" t="str">
        <f>IFERROR(__xludf.DUMMYFUNCTION("""COMPUTED_VALUE"""),"e")</f>
        <v>e</v>
      </c>
      <c r="B668" s="139">
        <f>IFERROR(__xludf.DUMMYFUNCTION("""COMPUTED_VALUE"""),2.0251102E8)</f>
        <v>202511020</v>
      </c>
      <c r="C668" s="139" t="str">
        <f>IFERROR(__xludf.DUMMYFUNCTION("""COMPUTED_VALUE"""),"chara_yuw_00201_Special_00003")</f>
        <v>chara_yuw_00201_Special_00003</v>
      </c>
      <c r="D668" s="139" t="str">
        <f>IFERROR(__xludf.DUMMYFUNCTION("""COMPUTED_VALUE"""),"chara_yuw_00201")</f>
        <v>chara_yuw_00201</v>
      </c>
      <c r="E668" s="139">
        <f>IFERROR(__xludf.DUMMYFUNCTION("""COMPUTED_VALUE"""),3.0)</f>
        <v>3</v>
      </c>
      <c r="F668" s="139" t="str">
        <f>IFERROR(__xludf.DUMMYFUNCTION("""COMPUTED_VALUE"""),"Special")</f>
        <v>Special</v>
      </c>
      <c r="G668" s="139"/>
      <c r="H668" s="139"/>
      <c r="I668" s="139">
        <f>IFERROR(__xludf.DUMMYFUNCTION("""COMPUTED_VALUE"""),234.0)</f>
        <v>234</v>
      </c>
      <c r="J668" s="139">
        <f>IFERROR(__xludf.DUMMYFUNCTION("""COMPUTED_VALUE"""),175.0)</f>
        <v>175</v>
      </c>
      <c r="K668" s="139">
        <f>IFERROR(__xludf.DUMMYFUNCTION("""COMPUTED_VALUE"""),0.0)</f>
        <v>0</v>
      </c>
      <c r="L668" s="139"/>
      <c r="M668" s="139" t="str">
        <f>IFERROR(__xludf.DUMMYFUNCTION("""COMPUTED_VALUE"""),"敵複数体に自身の攻撃ステータスの{chara_yuw_00201_Special_00003_power_parameter}%のダメージ + 攻撃がヒットした場合、敵の攻撃を{chara_yuw_00201_Special_00003_effective_duration}秒間、{chara_yuw_00201_Special_00003_effect_parameter}%DOWN")</f>
        <v>敵複数体に自身の攻撃ステータスの{chara_yuw_00201_Special_00003_power_parameter}%のダメージ + 攻撃がヒットした場合、敵の攻撃を{chara_yuw_00201_Special_00003_effective_duration}秒間、{chara_yuw_00201_Special_00003_effect_parameter}%DOWN</v>
      </c>
      <c r="N668" s="139" t="str">
        <f>IFERROR(__xludf.DUMMYFUNCTION("""COMPUTED_VALUE"""),"ステータスUP + 必殺ワザ性能UP")</f>
        <v>ステータスUP + 必殺ワザ性能UP</v>
      </c>
    </row>
    <row r="669">
      <c r="A669" s="139" t="str">
        <f>IFERROR(__xludf.DUMMYFUNCTION("""COMPUTED_VALUE"""),"e")</f>
        <v>e</v>
      </c>
      <c r="B669" s="139">
        <f>IFERROR(__xludf.DUMMYFUNCTION("""COMPUTED_VALUE"""),2.0251102E8)</f>
        <v>202511020</v>
      </c>
      <c r="C669" s="139" t="str">
        <f>IFERROR(__xludf.DUMMYFUNCTION("""COMPUTED_VALUE"""),"chara_yuw_00201_Special_00004")</f>
        <v>chara_yuw_00201_Special_00004</v>
      </c>
      <c r="D669" s="139" t="str">
        <f>IFERROR(__xludf.DUMMYFUNCTION("""COMPUTED_VALUE"""),"chara_yuw_00201")</f>
        <v>chara_yuw_00201</v>
      </c>
      <c r="E669" s="139">
        <f>IFERROR(__xludf.DUMMYFUNCTION("""COMPUTED_VALUE"""),4.0)</f>
        <v>4</v>
      </c>
      <c r="F669" s="139" t="str">
        <f>IFERROR(__xludf.DUMMYFUNCTION("""COMPUTED_VALUE"""),"Special")</f>
        <v>Special</v>
      </c>
      <c r="G669" s="139"/>
      <c r="H669" s="139"/>
      <c r="I669" s="139">
        <f>IFERROR(__xludf.DUMMYFUNCTION("""COMPUTED_VALUE"""),234.0)</f>
        <v>234</v>
      </c>
      <c r="J669" s="139">
        <f>IFERROR(__xludf.DUMMYFUNCTION("""COMPUTED_VALUE"""),175.0)</f>
        <v>175</v>
      </c>
      <c r="K669" s="139">
        <f>IFERROR(__xludf.DUMMYFUNCTION("""COMPUTED_VALUE"""),0.0)</f>
        <v>0</v>
      </c>
      <c r="L669" s="139"/>
      <c r="M669" s="139" t="str">
        <f>IFERROR(__xludf.DUMMYFUNCTION("""COMPUTED_VALUE"""),"敵複数体に自身の攻撃ステータスの{chara_yuw_00201_Special_00004_power_parameter}%のダメージ + 攻撃がヒットした場合、敵の攻撃を{chara_yuw_00201_Special_00004_effective_duration}秒間、{chara_yuw_00201_Special_00004_effect_parameter}%DOWN")</f>
        <v>敵複数体に自身の攻撃ステータスの{chara_yuw_00201_Special_00004_power_parameter}%のダメージ + 攻撃がヒットした場合、敵の攻撃を{chara_yuw_00201_Special_00004_effective_duration}秒間、{chara_yuw_00201_Special_00004_effect_parameter}%DOWN</v>
      </c>
      <c r="N669" s="139" t="str">
        <f>IFERROR(__xludf.DUMMYFUNCTION("""COMPUTED_VALUE"""),"ステータスUP + 必殺ワザ性能UP")</f>
        <v>ステータスUP + 必殺ワザ性能UP</v>
      </c>
    </row>
    <row r="670">
      <c r="A670" s="139" t="str">
        <f>IFERROR(__xludf.DUMMYFUNCTION("""COMPUTED_VALUE"""),"e")</f>
        <v>e</v>
      </c>
      <c r="B670" s="139">
        <f>IFERROR(__xludf.DUMMYFUNCTION("""COMPUTED_VALUE"""),2.0251102E8)</f>
        <v>202511020</v>
      </c>
      <c r="C670" s="139" t="str">
        <f>IFERROR(__xludf.DUMMYFUNCTION("""COMPUTED_VALUE"""),"chara_yuw_00201_Special_00005")</f>
        <v>chara_yuw_00201_Special_00005</v>
      </c>
      <c r="D670" s="139" t="str">
        <f>IFERROR(__xludf.DUMMYFUNCTION("""COMPUTED_VALUE"""),"chara_yuw_00201")</f>
        <v>chara_yuw_00201</v>
      </c>
      <c r="E670" s="139">
        <f>IFERROR(__xludf.DUMMYFUNCTION("""COMPUTED_VALUE"""),5.0)</f>
        <v>5</v>
      </c>
      <c r="F670" s="139" t="str">
        <f>IFERROR(__xludf.DUMMYFUNCTION("""COMPUTED_VALUE"""),"Special")</f>
        <v>Special</v>
      </c>
      <c r="G670" s="139"/>
      <c r="H670" s="139"/>
      <c r="I670" s="139">
        <f>IFERROR(__xludf.DUMMYFUNCTION("""COMPUTED_VALUE"""),234.0)</f>
        <v>234</v>
      </c>
      <c r="J670" s="139">
        <f>IFERROR(__xludf.DUMMYFUNCTION("""COMPUTED_VALUE"""),175.0)</f>
        <v>175</v>
      </c>
      <c r="K670" s="139">
        <f>IFERROR(__xludf.DUMMYFUNCTION("""COMPUTED_VALUE"""),0.0)</f>
        <v>0</v>
      </c>
      <c r="L670" s="139"/>
      <c r="M670" s="139" t="str">
        <f>IFERROR(__xludf.DUMMYFUNCTION("""COMPUTED_VALUE"""),"敵複数体に自身の攻撃ステータスの{chara_yuw_00201_Special_00005_power_parameter}%のダメージ + 攻撃がヒットした場合、敵の攻撃を{chara_yuw_00201_Special_00005_effective_duration}秒間、{chara_yuw_00201_Special_00005_effect_parameter}%DOWN")</f>
        <v>敵複数体に自身の攻撃ステータスの{chara_yuw_00201_Special_00005_power_parameter}%のダメージ + 攻撃がヒットした場合、敵の攻撃を{chara_yuw_00201_Special_00005_effective_duration}秒間、{chara_yuw_00201_Special_00005_effect_parameter}%DOWN</v>
      </c>
      <c r="N670" s="139" t="str">
        <f>IFERROR(__xludf.DUMMYFUNCTION("""COMPUTED_VALUE"""),"ステータスUP + 必殺ワザ性能UP")</f>
        <v>ステータスUP + 必殺ワザ性能UP</v>
      </c>
    </row>
    <row r="671">
      <c r="A671" s="139"/>
      <c r="B671" s="139"/>
      <c r="C671" s="139" t="str">
        <f>IFERROR(__xludf.DUMMYFUNCTION("""COMPUTED_VALUE"""),"chara_yuw_00201_Special_00006")</f>
        <v>chara_yuw_00201_Special_00006</v>
      </c>
      <c r="D671" s="139" t="str">
        <f>IFERROR(__xludf.DUMMYFUNCTION("""COMPUTED_VALUE"""),"chara_yuw_00201")</f>
        <v>chara_yuw_00201</v>
      </c>
      <c r="E671" s="139">
        <f>IFERROR(__xludf.DUMMYFUNCTION("""COMPUTED_VALUE"""),6.0)</f>
        <v>6</v>
      </c>
      <c r="F671" s="139" t="str">
        <f>IFERROR(__xludf.DUMMYFUNCTION("""COMPUTED_VALUE"""),"Special")</f>
        <v>Special</v>
      </c>
      <c r="G671" s="139"/>
      <c r="H671" s="139"/>
      <c r="I671" s="139">
        <f>IFERROR(__xludf.DUMMYFUNCTION("""COMPUTED_VALUE"""),234.0)</f>
        <v>234</v>
      </c>
      <c r="J671" s="139">
        <f>IFERROR(__xludf.DUMMYFUNCTION("""COMPUTED_VALUE"""),175.0)</f>
        <v>175</v>
      </c>
      <c r="K671" s="139">
        <f>IFERROR(__xludf.DUMMYFUNCTION("""COMPUTED_VALUE"""),0.0)</f>
        <v>0</v>
      </c>
      <c r="L671" s="139"/>
      <c r="M671" s="139"/>
      <c r="N671" s="139"/>
    </row>
    <row r="672">
      <c r="A672" s="139"/>
      <c r="B672" s="139"/>
      <c r="C672" s="139" t="str">
        <f>IFERROR(__xludf.DUMMYFUNCTION("""COMPUTED_VALUE"""),"chara_yuw_00201_Special_00007")</f>
        <v>chara_yuw_00201_Special_00007</v>
      </c>
      <c r="D672" s="139" t="str">
        <f>IFERROR(__xludf.DUMMYFUNCTION("""COMPUTED_VALUE"""),"chara_yuw_00201")</f>
        <v>chara_yuw_00201</v>
      </c>
      <c r="E672" s="139">
        <f>IFERROR(__xludf.DUMMYFUNCTION("""COMPUTED_VALUE"""),7.0)</f>
        <v>7</v>
      </c>
      <c r="F672" s="139" t="str">
        <f>IFERROR(__xludf.DUMMYFUNCTION("""COMPUTED_VALUE"""),"Special")</f>
        <v>Special</v>
      </c>
      <c r="G672" s="139"/>
      <c r="H672" s="139"/>
      <c r="I672" s="139">
        <f>IFERROR(__xludf.DUMMYFUNCTION("""COMPUTED_VALUE"""),234.0)</f>
        <v>234</v>
      </c>
      <c r="J672" s="139">
        <f>IFERROR(__xludf.DUMMYFUNCTION("""COMPUTED_VALUE"""),175.0)</f>
        <v>175</v>
      </c>
      <c r="K672" s="139">
        <f>IFERROR(__xludf.DUMMYFUNCTION("""COMPUTED_VALUE"""),0.0)</f>
        <v>0</v>
      </c>
      <c r="L672" s="139"/>
      <c r="M672" s="139"/>
      <c r="N672" s="139"/>
    </row>
    <row r="673">
      <c r="A673" s="139"/>
      <c r="B673" s="139"/>
      <c r="C673" s="139" t="str">
        <f>IFERROR(__xludf.DUMMYFUNCTION("""COMPUTED_VALUE"""),"chara_yuw_00201_Special_00008")</f>
        <v>chara_yuw_00201_Special_00008</v>
      </c>
      <c r="D673" s="139" t="str">
        <f>IFERROR(__xludf.DUMMYFUNCTION("""COMPUTED_VALUE"""),"chara_yuw_00201")</f>
        <v>chara_yuw_00201</v>
      </c>
      <c r="E673" s="139">
        <f>IFERROR(__xludf.DUMMYFUNCTION("""COMPUTED_VALUE"""),8.0)</f>
        <v>8</v>
      </c>
      <c r="F673" s="139" t="str">
        <f>IFERROR(__xludf.DUMMYFUNCTION("""COMPUTED_VALUE"""),"Special")</f>
        <v>Special</v>
      </c>
      <c r="G673" s="139"/>
      <c r="H673" s="139"/>
      <c r="I673" s="139">
        <f>IFERROR(__xludf.DUMMYFUNCTION("""COMPUTED_VALUE"""),234.0)</f>
        <v>234</v>
      </c>
      <c r="J673" s="139">
        <f>IFERROR(__xludf.DUMMYFUNCTION("""COMPUTED_VALUE"""),175.0)</f>
        <v>175</v>
      </c>
      <c r="K673" s="139">
        <f>IFERROR(__xludf.DUMMYFUNCTION("""COMPUTED_VALUE"""),0.0)</f>
        <v>0</v>
      </c>
      <c r="L673" s="139"/>
      <c r="M673" s="139"/>
      <c r="N673" s="139"/>
    </row>
    <row r="674">
      <c r="A674" s="139"/>
      <c r="B674" s="139"/>
      <c r="C674" s="139" t="str">
        <f>IFERROR(__xludf.DUMMYFUNCTION("""COMPUTED_VALUE"""),"chara_yuw_00201_Special_00009")</f>
        <v>chara_yuw_00201_Special_00009</v>
      </c>
      <c r="D674" s="139" t="str">
        <f>IFERROR(__xludf.DUMMYFUNCTION("""COMPUTED_VALUE"""),"chara_yuw_00201")</f>
        <v>chara_yuw_00201</v>
      </c>
      <c r="E674" s="139">
        <f>IFERROR(__xludf.DUMMYFUNCTION("""COMPUTED_VALUE"""),9.0)</f>
        <v>9</v>
      </c>
      <c r="F674" s="139" t="str">
        <f>IFERROR(__xludf.DUMMYFUNCTION("""COMPUTED_VALUE"""),"Special")</f>
        <v>Special</v>
      </c>
      <c r="G674" s="139"/>
      <c r="H674" s="139"/>
      <c r="I674" s="139">
        <f>IFERROR(__xludf.DUMMYFUNCTION("""COMPUTED_VALUE"""),234.0)</f>
        <v>234</v>
      </c>
      <c r="J674" s="139">
        <f>IFERROR(__xludf.DUMMYFUNCTION("""COMPUTED_VALUE"""),175.0)</f>
        <v>175</v>
      </c>
      <c r="K674" s="139">
        <f>IFERROR(__xludf.DUMMYFUNCTION("""COMPUTED_VALUE"""),0.0)</f>
        <v>0</v>
      </c>
      <c r="L674" s="139"/>
      <c r="M674" s="139"/>
      <c r="N674" s="139"/>
    </row>
    <row r="675">
      <c r="A675" s="139"/>
      <c r="B675" s="139"/>
      <c r="C675" s="139" t="str">
        <f>IFERROR(__xludf.DUMMYFUNCTION("""COMPUTED_VALUE"""),"chara_yuw_00201_Special_00010")</f>
        <v>chara_yuw_00201_Special_00010</v>
      </c>
      <c r="D675" s="139" t="str">
        <f>IFERROR(__xludf.DUMMYFUNCTION("""COMPUTED_VALUE"""),"chara_yuw_00201")</f>
        <v>chara_yuw_00201</v>
      </c>
      <c r="E675" s="139">
        <f>IFERROR(__xludf.DUMMYFUNCTION("""COMPUTED_VALUE"""),10.0)</f>
        <v>10</v>
      </c>
      <c r="F675" s="139" t="str">
        <f>IFERROR(__xludf.DUMMYFUNCTION("""COMPUTED_VALUE"""),"Special")</f>
        <v>Special</v>
      </c>
      <c r="G675" s="139"/>
      <c r="H675" s="139"/>
      <c r="I675" s="139">
        <f>IFERROR(__xludf.DUMMYFUNCTION("""COMPUTED_VALUE"""),234.0)</f>
        <v>234</v>
      </c>
      <c r="J675" s="139">
        <f>IFERROR(__xludf.DUMMYFUNCTION("""COMPUTED_VALUE"""),175.0)</f>
        <v>175</v>
      </c>
      <c r="K675" s="139">
        <f>IFERROR(__xludf.DUMMYFUNCTION("""COMPUTED_VALUE"""),0.0)</f>
        <v>0</v>
      </c>
      <c r="L675" s="139"/>
      <c r="M675" s="139"/>
      <c r="N675" s="139"/>
    </row>
    <row r="676">
      <c r="A676" s="139" t="str">
        <f>IFERROR(__xludf.DUMMYFUNCTION("""COMPUTED_VALUE"""),"e")</f>
        <v>e</v>
      </c>
      <c r="B676" s="139">
        <f>IFERROR(__xludf.DUMMYFUNCTION("""COMPUTED_VALUE"""),2.0251102E8)</f>
        <v>202511020</v>
      </c>
      <c r="C676" s="139" t="str">
        <f>IFERROR(__xludf.DUMMYFUNCTION("""COMPUTED_VALUE"""),"chara_yuw_00401_Normal_00000")</f>
        <v>chara_yuw_00401_Normal_00000</v>
      </c>
      <c r="D676" s="139" t="str">
        <f>IFERROR(__xludf.DUMMYFUNCTION("""COMPUTED_VALUE"""),"chara_yuw_00401")</f>
        <v>chara_yuw_00401</v>
      </c>
      <c r="E676" s="139">
        <f>IFERROR(__xludf.DUMMYFUNCTION("""COMPUTED_VALUE"""),0.0)</f>
        <v>0</v>
      </c>
      <c r="F676" s="139" t="str">
        <f>IFERROR(__xludf.DUMMYFUNCTION("""COMPUTED_VALUE"""),"Normal")</f>
        <v>Normal</v>
      </c>
      <c r="G676" s="139"/>
      <c r="H676" s="139"/>
      <c r="I676" s="139">
        <f>IFERROR(__xludf.DUMMYFUNCTION("""COMPUTED_VALUE"""),59.0)</f>
        <v>59</v>
      </c>
      <c r="J676" s="139">
        <f>IFERROR(__xludf.DUMMYFUNCTION("""COMPUTED_VALUE"""),17.0)</f>
        <v>17</v>
      </c>
      <c r="K676" s="139">
        <f>IFERROR(__xludf.DUMMYFUNCTION("""COMPUTED_VALUE"""),150.0)</f>
        <v>150</v>
      </c>
      <c r="L676" s="139"/>
      <c r="M676" s="139" t="str">
        <f>IFERROR(__xludf.DUMMYFUNCTION("""COMPUTED_VALUE"""),"表示場所なし")</f>
        <v>表示場所なし</v>
      </c>
      <c r="N676" s="139"/>
    </row>
    <row r="677">
      <c r="A677" s="139" t="str">
        <f>IFERROR(__xludf.DUMMYFUNCTION("""COMPUTED_VALUE"""),"e")</f>
        <v>e</v>
      </c>
      <c r="B677" s="139">
        <f>IFERROR(__xludf.DUMMYFUNCTION("""COMPUTED_VALUE"""),2.0251102E8)</f>
        <v>202511020</v>
      </c>
      <c r="C677" s="139" t="str">
        <f>IFERROR(__xludf.DUMMYFUNCTION("""COMPUTED_VALUE"""),"chara_yuw_00401_Special_00001")</f>
        <v>chara_yuw_00401_Special_00001</v>
      </c>
      <c r="D677" s="139" t="str">
        <f>IFERROR(__xludf.DUMMYFUNCTION("""COMPUTED_VALUE"""),"chara_yuw_00401")</f>
        <v>chara_yuw_00401</v>
      </c>
      <c r="E677" s="139">
        <f>IFERROR(__xludf.DUMMYFUNCTION("""COMPUTED_VALUE"""),1.0)</f>
        <v>1</v>
      </c>
      <c r="F677" s="139" t="str">
        <f>IFERROR(__xludf.DUMMYFUNCTION("""COMPUTED_VALUE"""),"Special")</f>
        <v>Special</v>
      </c>
      <c r="G677" s="139"/>
      <c r="H677" s="139"/>
      <c r="I677" s="139">
        <f>IFERROR(__xludf.DUMMYFUNCTION("""COMPUTED_VALUE"""),134.0)</f>
        <v>134</v>
      </c>
      <c r="J677" s="139">
        <f>IFERROR(__xludf.DUMMYFUNCTION("""COMPUTED_VALUE"""),82.0)</f>
        <v>82</v>
      </c>
      <c r="K677" s="139">
        <f>IFERROR(__xludf.DUMMYFUNCTION("""COMPUTED_VALUE"""),0.0)</f>
        <v>0</v>
      </c>
      <c r="L677" s="139"/>
      <c r="M677" s="139" t="str">
        <f>IFERROR(__xludf.DUMMYFUNCTION("""COMPUTED_VALUE"""),"敵単体に自身の攻撃ステータスの{chara_yuw_00401_Special_00001_power_parameter}%のダメージ + 攻撃がヒットした場合、敵を小ノックバック")</f>
        <v>敵単体に自身の攻撃ステータスの{chara_yuw_00401_Special_00001_power_parameter}%のダメージ + 攻撃がヒットした場合、敵を小ノックバック</v>
      </c>
      <c r="N677" s="139"/>
    </row>
    <row r="678">
      <c r="A678" s="139" t="str">
        <f>IFERROR(__xludf.DUMMYFUNCTION("""COMPUTED_VALUE"""),"e")</f>
        <v>e</v>
      </c>
      <c r="B678" s="139">
        <f>IFERROR(__xludf.DUMMYFUNCTION("""COMPUTED_VALUE"""),2.0251102E8)</f>
        <v>202511020</v>
      </c>
      <c r="C678" s="139" t="str">
        <f>IFERROR(__xludf.DUMMYFUNCTION("""COMPUTED_VALUE"""),"chara_yuw_00401_Special_00002")</f>
        <v>chara_yuw_00401_Special_00002</v>
      </c>
      <c r="D678" s="139" t="str">
        <f>IFERROR(__xludf.DUMMYFUNCTION("""COMPUTED_VALUE"""),"chara_yuw_00401")</f>
        <v>chara_yuw_00401</v>
      </c>
      <c r="E678" s="139">
        <f>IFERROR(__xludf.DUMMYFUNCTION("""COMPUTED_VALUE"""),2.0)</f>
        <v>2</v>
      </c>
      <c r="F678" s="139" t="str">
        <f>IFERROR(__xludf.DUMMYFUNCTION("""COMPUTED_VALUE"""),"Special")</f>
        <v>Special</v>
      </c>
      <c r="G678" s="139"/>
      <c r="H678" s="139"/>
      <c r="I678" s="139">
        <f>IFERROR(__xludf.DUMMYFUNCTION("""COMPUTED_VALUE"""),134.0)</f>
        <v>134</v>
      </c>
      <c r="J678" s="139">
        <f>IFERROR(__xludf.DUMMYFUNCTION("""COMPUTED_VALUE"""),82.0)</f>
        <v>82</v>
      </c>
      <c r="K678" s="139">
        <f>IFERROR(__xludf.DUMMYFUNCTION("""COMPUTED_VALUE"""),0.0)</f>
        <v>0</v>
      </c>
      <c r="L678" s="139"/>
      <c r="M678" s="139" t="str">
        <f>IFERROR(__xludf.DUMMYFUNCTION("""COMPUTED_VALUE"""),"敵単体に自身の攻撃ステータスの{chara_yuw_00401_Special_00002_power_parameter}%のダメージ + 攻撃がヒットした場合、敵を小ノックバック")</f>
        <v>敵単体に自身の攻撃ステータスの{chara_yuw_00401_Special_00002_power_parameter}%のダメージ + 攻撃がヒットした場合、敵を小ノックバック</v>
      </c>
      <c r="N678" s="139" t="str">
        <f>IFERROR(__xludf.DUMMYFUNCTION("""COMPUTED_VALUE"""),"ステータスUP + 必殺ワザ性能UP")</f>
        <v>ステータスUP + 必殺ワザ性能UP</v>
      </c>
    </row>
    <row r="679">
      <c r="A679" s="139" t="str">
        <f>IFERROR(__xludf.DUMMYFUNCTION("""COMPUTED_VALUE"""),"e")</f>
        <v>e</v>
      </c>
      <c r="B679" s="139">
        <f>IFERROR(__xludf.DUMMYFUNCTION("""COMPUTED_VALUE"""),2.0251102E8)</f>
        <v>202511020</v>
      </c>
      <c r="C679" s="139" t="str">
        <f>IFERROR(__xludf.DUMMYFUNCTION("""COMPUTED_VALUE"""),"chara_yuw_00401_Special_00003")</f>
        <v>chara_yuw_00401_Special_00003</v>
      </c>
      <c r="D679" s="139" t="str">
        <f>IFERROR(__xludf.DUMMYFUNCTION("""COMPUTED_VALUE"""),"chara_yuw_00401")</f>
        <v>chara_yuw_00401</v>
      </c>
      <c r="E679" s="139">
        <f>IFERROR(__xludf.DUMMYFUNCTION("""COMPUTED_VALUE"""),3.0)</f>
        <v>3</v>
      </c>
      <c r="F679" s="139" t="str">
        <f>IFERROR(__xludf.DUMMYFUNCTION("""COMPUTED_VALUE"""),"Special")</f>
        <v>Special</v>
      </c>
      <c r="G679" s="139"/>
      <c r="H679" s="139"/>
      <c r="I679" s="139">
        <f>IFERROR(__xludf.DUMMYFUNCTION("""COMPUTED_VALUE"""),134.0)</f>
        <v>134</v>
      </c>
      <c r="J679" s="139">
        <f>IFERROR(__xludf.DUMMYFUNCTION("""COMPUTED_VALUE"""),82.0)</f>
        <v>82</v>
      </c>
      <c r="K679" s="139">
        <f>IFERROR(__xludf.DUMMYFUNCTION("""COMPUTED_VALUE"""),0.0)</f>
        <v>0</v>
      </c>
      <c r="L679" s="139"/>
      <c r="M679" s="139" t="str">
        <f>IFERROR(__xludf.DUMMYFUNCTION("""COMPUTED_VALUE"""),"敵単体に自身の攻撃ステータスの{chara_yuw_00401_Special_00003_power_parameter}%のダメージ + 攻撃がヒットした場合、敵を中ノックバック")</f>
        <v>敵単体に自身の攻撃ステータスの{chara_yuw_00401_Special_00003_power_parameter}%のダメージ + 攻撃がヒットした場合、敵を中ノックバック</v>
      </c>
      <c r="N679" s="139" t="str">
        <f>IFERROR(__xludf.DUMMYFUNCTION("""COMPUTED_VALUE"""),"ステータスUP + 必殺ワザ性能UP")</f>
        <v>ステータスUP + 必殺ワザ性能UP</v>
      </c>
    </row>
    <row r="680">
      <c r="A680" s="139" t="str">
        <f>IFERROR(__xludf.DUMMYFUNCTION("""COMPUTED_VALUE"""),"e")</f>
        <v>e</v>
      </c>
      <c r="B680" s="139">
        <f>IFERROR(__xludf.DUMMYFUNCTION("""COMPUTED_VALUE"""),2.0251102E8)</f>
        <v>202511020</v>
      </c>
      <c r="C680" s="139" t="str">
        <f>IFERROR(__xludf.DUMMYFUNCTION("""COMPUTED_VALUE"""),"chara_yuw_00401_Special_00004")</f>
        <v>chara_yuw_00401_Special_00004</v>
      </c>
      <c r="D680" s="139" t="str">
        <f>IFERROR(__xludf.DUMMYFUNCTION("""COMPUTED_VALUE"""),"chara_yuw_00401")</f>
        <v>chara_yuw_00401</v>
      </c>
      <c r="E680" s="139">
        <f>IFERROR(__xludf.DUMMYFUNCTION("""COMPUTED_VALUE"""),4.0)</f>
        <v>4</v>
      </c>
      <c r="F680" s="139" t="str">
        <f>IFERROR(__xludf.DUMMYFUNCTION("""COMPUTED_VALUE"""),"Special")</f>
        <v>Special</v>
      </c>
      <c r="G680" s="139"/>
      <c r="H680" s="139"/>
      <c r="I680" s="139">
        <f>IFERROR(__xludf.DUMMYFUNCTION("""COMPUTED_VALUE"""),134.0)</f>
        <v>134</v>
      </c>
      <c r="J680" s="139">
        <f>IFERROR(__xludf.DUMMYFUNCTION("""COMPUTED_VALUE"""),82.0)</f>
        <v>82</v>
      </c>
      <c r="K680" s="139">
        <f>IFERROR(__xludf.DUMMYFUNCTION("""COMPUTED_VALUE"""),0.0)</f>
        <v>0</v>
      </c>
      <c r="L680" s="139"/>
      <c r="M680" s="139" t="str">
        <f>IFERROR(__xludf.DUMMYFUNCTION("""COMPUTED_VALUE"""),"敵単体に自身の攻撃ステータスの{chara_yuw_00401_Special_00004_power_parameter}%のダメージ + 攻撃がヒットした場合、敵を大ノックバック")</f>
        <v>敵単体に自身の攻撃ステータスの{chara_yuw_00401_Special_00004_power_parameter}%のダメージ + 攻撃がヒットした場合、敵を大ノックバック</v>
      </c>
      <c r="N680" s="139" t="str">
        <f>IFERROR(__xludf.DUMMYFUNCTION("""COMPUTED_VALUE"""),"ステータスUP + 必殺ワザ性能UP")</f>
        <v>ステータスUP + 必殺ワザ性能UP</v>
      </c>
    </row>
    <row r="681">
      <c r="A681" s="139" t="str">
        <f>IFERROR(__xludf.DUMMYFUNCTION("""COMPUTED_VALUE"""),"e")</f>
        <v>e</v>
      </c>
      <c r="B681" s="139">
        <f>IFERROR(__xludf.DUMMYFUNCTION("""COMPUTED_VALUE"""),2.0251102E8)</f>
        <v>202511020</v>
      </c>
      <c r="C681" s="139" t="str">
        <f>IFERROR(__xludf.DUMMYFUNCTION("""COMPUTED_VALUE"""),"chara_yuw_00401_Special_00005")</f>
        <v>chara_yuw_00401_Special_00005</v>
      </c>
      <c r="D681" s="139" t="str">
        <f>IFERROR(__xludf.DUMMYFUNCTION("""COMPUTED_VALUE"""),"chara_yuw_00401")</f>
        <v>chara_yuw_00401</v>
      </c>
      <c r="E681" s="139">
        <f>IFERROR(__xludf.DUMMYFUNCTION("""COMPUTED_VALUE"""),5.0)</f>
        <v>5</v>
      </c>
      <c r="F681" s="139" t="str">
        <f>IFERROR(__xludf.DUMMYFUNCTION("""COMPUTED_VALUE"""),"Special")</f>
        <v>Special</v>
      </c>
      <c r="G681" s="139"/>
      <c r="H681" s="139"/>
      <c r="I681" s="139">
        <f>IFERROR(__xludf.DUMMYFUNCTION("""COMPUTED_VALUE"""),134.0)</f>
        <v>134</v>
      </c>
      <c r="J681" s="139">
        <f>IFERROR(__xludf.DUMMYFUNCTION("""COMPUTED_VALUE"""),82.0)</f>
        <v>82</v>
      </c>
      <c r="K681" s="139">
        <f>IFERROR(__xludf.DUMMYFUNCTION("""COMPUTED_VALUE"""),0.0)</f>
        <v>0</v>
      </c>
      <c r="L681" s="139"/>
      <c r="M681" s="139" t="str">
        <f>IFERROR(__xludf.DUMMYFUNCTION("""COMPUTED_VALUE"""),"敵単体に自身の攻撃ステータスの{chara_yuw_00401_Special_00005_power_parameter}%のダメージ + 攻撃がヒットした場合、敵を大ノックバック")</f>
        <v>敵単体に自身の攻撃ステータスの{chara_yuw_00401_Special_00005_power_parameter}%のダメージ + 攻撃がヒットした場合、敵を大ノックバック</v>
      </c>
      <c r="N681" s="139" t="str">
        <f>IFERROR(__xludf.DUMMYFUNCTION("""COMPUTED_VALUE"""),"ステータスUP + 必殺ワザ性能UP")</f>
        <v>ステータスUP + 必殺ワザ性能UP</v>
      </c>
    </row>
    <row r="682">
      <c r="A682" s="139"/>
      <c r="B682" s="139"/>
      <c r="C682" s="139" t="str">
        <f>IFERROR(__xludf.DUMMYFUNCTION("""COMPUTED_VALUE"""),"chara_yuw_00401_Special_00006")</f>
        <v>chara_yuw_00401_Special_00006</v>
      </c>
      <c r="D682" s="139" t="str">
        <f>IFERROR(__xludf.DUMMYFUNCTION("""COMPUTED_VALUE"""),"chara_yuw_00401")</f>
        <v>chara_yuw_00401</v>
      </c>
      <c r="E682" s="139">
        <f>IFERROR(__xludf.DUMMYFUNCTION("""COMPUTED_VALUE"""),6.0)</f>
        <v>6</v>
      </c>
      <c r="F682" s="139" t="str">
        <f>IFERROR(__xludf.DUMMYFUNCTION("""COMPUTED_VALUE"""),"Special")</f>
        <v>Special</v>
      </c>
      <c r="G682" s="139"/>
      <c r="H682" s="139"/>
      <c r="I682" s="139">
        <f>IFERROR(__xludf.DUMMYFUNCTION("""COMPUTED_VALUE"""),134.0)</f>
        <v>134</v>
      </c>
      <c r="J682" s="139">
        <f>IFERROR(__xludf.DUMMYFUNCTION("""COMPUTED_VALUE"""),82.0)</f>
        <v>82</v>
      </c>
      <c r="K682" s="139">
        <f>IFERROR(__xludf.DUMMYFUNCTION("""COMPUTED_VALUE"""),0.0)</f>
        <v>0</v>
      </c>
      <c r="L682" s="139"/>
      <c r="M682" s="139"/>
      <c r="N682" s="139"/>
    </row>
    <row r="683">
      <c r="A683" s="139"/>
      <c r="B683" s="139"/>
      <c r="C683" s="139" t="str">
        <f>IFERROR(__xludf.DUMMYFUNCTION("""COMPUTED_VALUE"""),"chara_yuw_00401_Special_00007")</f>
        <v>chara_yuw_00401_Special_00007</v>
      </c>
      <c r="D683" s="139" t="str">
        <f>IFERROR(__xludf.DUMMYFUNCTION("""COMPUTED_VALUE"""),"chara_yuw_00401")</f>
        <v>chara_yuw_00401</v>
      </c>
      <c r="E683" s="139">
        <f>IFERROR(__xludf.DUMMYFUNCTION("""COMPUTED_VALUE"""),7.0)</f>
        <v>7</v>
      </c>
      <c r="F683" s="139" t="str">
        <f>IFERROR(__xludf.DUMMYFUNCTION("""COMPUTED_VALUE"""),"Special")</f>
        <v>Special</v>
      </c>
      <c r="G683" s="139"/>
      <c r="H683" s="139"/>
      <c r="I683" s="139">
        <f>IFERROR(__xludf.DUMMYFUNCTION("""COMPUTED_VALUE"""),134.0)</f>
        <v>134</v>
      </c>
      <c r="J683" s="139">
        <f>IFERROR(__xludf.DUMMYFUNCTION("""COMPUTED_VALUE"""),82.0)</f>
        <v>82</v>
      </c>
      <c r="K683" s="139">
        <f>IFERROR(__xludf.DUMMYFUNCTION("""COMPUTED_VALUE"""),0.0)</f>
        <v>0</v>
      </c>
      <c r="L683" s="139"/>
      <c r="M683" s="139"/>
      <c r="N683" s="139"/>
    </row>
    <row r="684">
      <c r="A684" s="139"/>
      <c r="B684" s="139"/>
      <c r="C684" s="139" t="str">
        <f>IFERROR(__xludf.DUMMYFUNCTION("""COMPUTED_VALUE"""),"chara_yuw_00401_Special_00008")</f>
        <v>chara_yuw_00401_Special_00008</v>
      </c>
      <c r="D684" s="139" t="str">
        <f>IFERROR(__xludf.DUMMYFUNCTION("""COMPUTED_VALUE"""),"chara_yuw_00401")</f>
        <v>chara_yuw_00401</v>
      </c>
      <c r="E684" s="139">
        <f>IFERROR(__xludf.DUMMYFUNCTION("""COMPUTED_VALUE"""),8.0)</f>
        <v>8</v>
      </c>
      <c r="F684" s="139" t="str">
        <f>IFERROR(__xludf.DUMMYFUNCTION("""COMPUTED_VALUE"""),"Special")</f>
        <v>Special</v>
      </c>
      <c r="G684" s="139"/>
      <c r="H684" s="139"/>
      <c r="I684" s="139">
        <f>IFERROR(__xludf.DUMMYFUNCTION("""COMPUTED_VALUE"""),134.0)</f>
        <v>134</v>
      </c>
      <c r="J684" s="139">
        <f>IFERROR(__xludf.DUMMYFUNCTION("""COMPUTED_VALUE"""),82.0)</f>
        <v>82</v>
      </c>
      <c r="K684" s="139">
        <f>IFERROR(__xludf.DUMMYFUNCTION("""COMPUTED_VALUE"""),0.0)</f>
        <v>0</v>
      </c>
      <c r="L684" s="139"/>
      <c r="M684" s="139"/>
      <c r="N684" s="139"/>
    </row>
    <row r="685">
      <c r="A685" s="139"/>
      <c r="B685" s="139"/>
      <c r="C685" s="139" t="str">
        <f>IFERROR(__xludf.DUMMYFUNCTION("""COMPUTED_VALUE"""),"chara_yuw_00401_Special_00009")</f>
        <v>chara_yuw_00401_Special_00009</v>
      </c>
      <c r="D685" s="139" t="str">
        <f>IFERROR(__xludf.DUMMYFUNCTION("""COMPUTED_VALUE"""),"chara_yuw_00401")</f>
        <v>chara_yuw_00401</v>
      </c>
      <c r="E685" s="139">
        <f>IFERROR(__xludf.DUMMYFUNCTION("""COMPUTED_VALUE"""),9.0)</f>
        <v>9</v>
      </c>
      <c r="F685" s="139" t="str">
        <f>IFERROR(__xludf.DUMMYFUNCTION("""COMPUTED_VALUE"""),"Special")</f>
        <v>Special</v>
      </c>
      <c r="G685" s="139"/>
      <c r="H685" s="139"/>
      <c r="I685" s="139">
        <f>IFERROR(__xludf.DUMMYFUNCTION("""COMPUTED_VALUE"""),134.0)</f>
        <v>134</v>
      </c>
      <c r="J685" s="139">
        <f>IFERROR(__xludf.DUMMYFUNCTION("""COMPUTED_VALUE"""),82.0)</f>
        <v>82</v>
      </c>
      <c r="K685" s="139">
        <f>IFERROR(__xludf.DUMMYFUNCTION("""COMPUTED_VALUE"""),0.0)</f>
        <v>0</v>
      </c>
      <c r="L685" s="139"/>
      <c r="M685" s="139"/>
      <c r="N685" s="139"/>
    </row>
    <row r="686">
      <c r="A686" s="139"/>
      <c r="B686" s="139"/>
      <c r="C686" s="139" t="str">
        <f>IFERROR(__xludf.DUMMYFUNCTION("""COMPUTED_VALUE"""),"chara_yuw_00401_Special_00010")</f>
        <v>chara_yuw_00401_Special_00010</v>
      </c>
      <c r="D686" s="139" t="str">
        <f>IFERROR(__xludf.DUMMYFUNCTION("""COMPUTED_VALUE"""),"chara_yuw_00401")</f>
        <v>chara_yuw_00401</v>
      </c>
      <c r="E686" s="139">
        <f>IFERROR(__xludf.DUMMYFUNCTION("""COMPUTED_VALUE"""),10.0)</f>
        <v>10</v>
      </c>
      <c r="F686" s="139" t="str">
        <f>IFERROR(__xludf.DUMMYFUNCTION("""COMPUTED_VALUE"""),"Special")</f>
        <v>Special</v>
      </c>
      <c r="G686" s="139"/>
      <c r="H686" s="139"/>
      <c r="I686" s="139">
        <f>IFERROR(__xludf.DUMMYFUNCTION("""COMPUTED_VALUE"""),134.0)</f>
        <v>134</v>
      </c>
      <c r="J686" s="139">
        <f>IFERROR(__xludf.DUMMYFUNCTION("""COMPUTED_VALUE"""),82.0)</f>
        <v>82</v>
      </c>
      <c r="K686" s="139">
        <f>IFERROR(__xludf.DUMMYFUNCTION("""COMPUTED_VALUE"""),0.0)</f>
        <v>0</v>
      </c>
      <c r="L686" s="139"/>
      <c r="M686" s="139"/>
      <c r="N686" s="139"/>
    </row>
    <row r="687">
      <c r="A687" s="139" t="str">
        <f>IFERROR(__xludf.DUMMYFUNCTION("""COMPUTED_VALUE"""),"e")</f>
        <v>e</v>
      </c>
      <c r="B687" s="139">
        <f>IFERROR(__xludf.DUMMYFUNCTION("""COMPUTED_VALUE"""),2.0251102E8)</f>
        <v>202511020</v>
      </c>
      <c r="C687" s="139" t="str">
        <f>IFERROR(__xludf.DUMMYFUNCTION("""COMPUTED_VALUE"""),"chara_yuw_00501_Normal_00000")</f>
        <v>chara_yuw_00501_Normal_00000</v>
      </c>
      <c r="D687" s="139" t="str">
        <f>IFERROR(__xludf.DUMMYFUNCTION("""COMPUTED_VALUE"""),"chara_yuw_00501")</f>
        <v>chara_yuw_00501</v>
      </c>
      <c r="E687" s="139">
        <f>IFERROR(__xludf.DUMMYFUNCTION("""COMPUTED_VALUE"""),0.0)</f>
        <v>0</v>
      </c>
      <c r="F687" s="139" t="str">
        <f>IFERROR(__xludf.DUMMYFUNCTION("""COMPUTED_VALUE"""),"Normal")</f>
        <v>Normal</v>
      </c>
      <c r="G687" s="139"/>
      <c r="H687" s="139"/>
      <c r="I687" s="139">
        <f>IFERROR(__xludf.DUMMYFUNCTION("""COMPUTED_VALUE"""),62.0)</f>
        <v>62</v>
      </c>
      <c r="J687" s="139">
        <f>IFERROR(__xludf.DUMMYFUNCTION("""COMPUTED_VALUE"""),22.0)</f>
        <v>22</v>
      </c>
      <c r="K687" s="139">
        <f>IFERROR(__xludf.DUMMYFUNCTION("""COMPUTED_VALUE"""),75.0)</f>
        <v>75</v>
      </c>
      <c r="L687" s="139"/>
      <c r="M687" s="139" t="str">
        <f>IFERROR(__xludf.DUMMYFUNCTION("""COMPUTED_VALUE"""),"表示場所なし")</f>
        <v>表示場所なし</v>
      </c>
      <c r="N687" s="139"/>
    </row>
    <row r="688">
      <c r="A688" s="139" t="str">
        <f>IFERROR(__xludf.DUMMYFUNCTION("""COMPUTED_VALUE"""),"e")</f>
        <v>e</v>
      </c>
      <c r="B688" s="139">
        <f>IFERROR(__xludf.DUMMYFUNCTION("""COMPUTED_VALUE"""),2.0251102E8)</f>
        <v>202511020</v>
      </c>
      <c r="C688" s="139" t="str">
        <f>IFERROR(__xludf.DUMMYFUNCTION("""COMPUTED_VALUE"""),"chara_yuw_00501_Special_00001")</f>
        <v>chara_yuw_00501_Special_00001</v>
      </c>
      <c r="D688" s="139" t="str">
        <f>IFERROR(__xludf.DUMMYFUNCTION("""COMPUTED_VALUE"""),"chara_yuw_00501")</f>
        <v>chara_yuw_00501</v>
      </c>
      <c r="E688" s="139">
        <f>IFERROR(__xludf.DUMMYFUNCTION("""COMPUTED_VALUE"""),1.0)</f>
        <v>1</v>
      </c>
      <c r="F688" s="139" t="str">
        <f>IFERROR(__xludf.DUMMYFUNCTION("""COMPUTED_VALUE"""),"Special")</f>
        <v>Special</v>
      </c>
      <c r="G688" s="139"/>
      <c r="H688" s="139"/>
      <c r="I688" s="139">
        <f>IFERROR(__xludf.DUMMYFUNCTION("""COMPUTED_VALUE"""),109.0)</f>
        <v>109</v>
      </c>
      <c r="J688" s="139">
        <f>IFERROR(__xludf.DUMMYFUNCTION("""COMPUTED_VALUE"""),75.0)</f>
        <v>75</v>
      </c>
      <c r="K688" s="139">
        <f>IFERROR(__xludf.DUMMYFUNCTION("""COMPUTED_VALUE"""),0.0)</f>
        <v>0</v>
      </c>
      <c r="L688" s="139"/>
      <c r="M688" s="139" t="str">
        <f>IFERROR(__xludf.DUMMYFUNCTION("""COMPUTED_VALUE"""),"自身と同じコマにいる赤属性の味方と自身への被ダメージを{chara_yuw_00501_Special_00001a_effective_duration}秒間、{chara_yuw_00501_Special_00001a_effect_parameter}%カット")</f>
        <v>自身と同じコマにいる赤属性の味方と自身への被ダメージを{chara_yuw_00501_Special_00001a_effective_duration}秒間、{chara_yuw_00501_Special_00001a_effect_parameter}%カット</v>
      </c>
      <c r="N688" s="139"/>
    </row>
    <row r="689">
      <c r="A689" s="139" t="str">
        <f>IFERROR(__xludf.DUMMYFUNCTION("""COMPUTED_VALUE"""),"e")</f>
        <v>e</v>
      </c>
      <c r="B689" s="139">
        <f>IFERROR(__xludf.DUMMYFUNCTION("""COMPUTED_VALUE"""),2.0251102E8)</f>
        <v>202511020</v>
      </c>
      <c r="C689" s="139" t="str">
        <f>IFERROR(__xludf.DUMMYFUNCTION("""COMPUTED_VALUE"""),"chara_yuw_00501_Special_00002")</f>
        <v>chara_yuw_00501_Special_00002</v>
      </c>
      <c r="D689" s="139" t="str">
        <f>IFERROR(__xludf.DUMMYFUNCTION("""COMPUTED_VALUE"""),"chara_yuw_00501")</f>
        <v>chara_yuw_00501</v>
      </c>
      <c r="E689" s="139">
        <f>IFERROR(__xludf.DUMMYFUNCTION("""COMPUTED_VALUE"""),2.0)</f>
        <v>2</v>
      </c>
      <c r="F689" s="139" t="str">
        <f>IFERROR(__xludf.DUMMYFUNCTION("""COMPUTED_VALUE"""),"Special")</f>
        <v>Special</v>
      </c>
      <c r="G689" s="139"/>
      <c r="H689" s="139"/>
      <c r="I689" s="139">
        <f>IFERROR(__xludf.DUMMYFUNCTION("""COMPUTED_VALUE"""),109.0)</f>
        <v>109</v>
      </c>
      <c r="J689" s="139">
        <f>IFERROR(__xludf.DUMMYFUNCTION("""COMPUTED_VALUE"""),75.0)</f>
        <v>75</v>
      </c>
      <c r="K689" s="139">
        <f>IFERROR(__xludf.DUMMYFUNCTION("""COMPUTED_VALUE"""),0.0)</f>
        <v>0</v>
      </c>
      <c r="L689" s="139"/>
      <c r="M689" s="139" t="str">
        <f>IFERROR(__xludf.DUMMYFUNCTION("""COMPUTED_VALUE"""),"自身と同じコマにいる赤属性の味方と自身への被ダメージを{chara_yuw_00501_Special_00002a_effective_duration}秒間、{chara_yuw_00501_Special_00002a_effect_parameter}%カット")</f>
        <v>自身と同じコマにいる赤属性の味方と自身への被ダメージを{chara_yuw_00501_Special_00002a_effective_duration}秒間、{chara_yuw_00501_Special_00002a_effect_parameter}%カット</v>
      </c>
      <c r="N689" s="139" t="str">
        <f>IFERROR(__xludf.DUMMYFUNCTION("""COMPUTED_VALUE"""),"ステータスUP + 必殺ワザ性能UP")</f>
        <v>ステータスUP + 必殺ワザ性能UP</v>
      </c>
    </row>
    <row r="690">
      <c r="A690" s="139" t="str">
        <f>IFERROR(__xludf.DUMMYFUNCTION("""COMPUTED_VALUE"""),"e")</f>
        <v>e</v>
      </c>
      <c r="B690" s="139">
        <f>IFERROR(__xludf.DUMMYFUNCTION("""COMPUTED_VALUE"""),2.0251102E8)</f>
        <v>202511020</v>
      </c>
      <c r="C690" s="139" t="str">
        <f>IFERROR(__xludf.DUMMYFUNCTION("""COMPUTED_VALUE"""),"chara_yuw_00501_Special_00003")</f>
        <v>chara_yuw_00501_Special_00003</v>
      </c>
      <c r="D690" s="139" t="str">
        <f>IFERROR(__xludf.DUMMYFUNCTION("""COMPUTED_VALUE"""),"chara_yuw_00501")</f>
        <v>chara_yuw_00501</v>
      </c>
      <c r="E690" s="139">
        <f>IFERROR(__xludf.DUMMYFUNCTION("""COMPUTED_VALUE"""),3.0)</f>
        <v>3</v>
      </c>
      <c r="F690" s="139" t="str">
        <f>IFERROR(__xludf.DUMMYFUNCTION("""COMPUTED_VALUE"""),"Special")</f>
        <v>Special</v>
      </c>
      <c r="G690" s="139"/>
      <c r="H690" s="139"/>
      <c r="I690" s="139">
        <f>IFERROR(__xludf.DUMMYFUNCTION("""COMPUTED_VALUE"""),109.0)</f>
        <v>109</v>
      </c>
      <c r="J690" s="139">
        <f>IFERROR(__xludf.DUMMYFUNCTION("""COMPUTED_VALUE"""),75.0)</f>
        <v>75</v>
      </c>
      <c r="K690" s="139">
        <f>IFERROR(__xludf.DUMMYFUNCTION("""COMPUTED_VALUE"""),0.0)</f>
        <v>0</v>
      </c>
      <c r="L690" s="139"/>
      <c r="M690" s="139" t="str">
        <f>IFERROR(__xludf.DUMMYFUNCTION("""COMPUTED_VALUE"""),"自身と同じコマにいる赤属性の味方と自身への被ダメージを{chara_yuw_00501_Special_00003a_effective_duration}秒間、{chara_yuw_00501_Special_00003a_effect_parameter}%カット")</f>
        <v>自身と同じコマにいる赤属性の味方と自身への被ダメージを{chara_yuw_00501_Special_00003a_effective_duration}秒間、{chara_yuw_00501_Special_00003a_effect_parameter}%カット</v>
      </c>
      <c r="N690" s="139" t="str">
        <f>IFERROR(__xludf.DUMMYFUNCTION("""COMPUTED_VALUE"""),"ステータスUP + 必殺ワザ性能UP")</f>
        <v>ステータスUP + 必殺ワザ性能UP</v>
      </c>
    </row>
    <row r="691">
      <c r="A691" s="139" t="str">
        <f>IFERROR(__xludf.DUMMYFUNCTION("""COMPUTED_VALUE"""),"e")</f>
        <v>e</v>
      </c>
      <c r="B691" s="139">
        <f>IFERROR(__xludf.DUMMYFUNCTION("""COMPUTED_VALUE"""),2.0251102E8)</f>
        <v>202511020</v>
      </c>
      <c r="C691" s="139" t="str">
        <f>IFERROR(__xludf.DUMMYFUNCTION("""COMPUTED_VALUE"""),"chara_yuw_00501_Special_00004")</f>
        <v>chara_yuw_00501_Special_00004</v>
      </c>
      <c r="D691" s="139" t="str">
        <f>IFERROR(__xludf.DUMMYFUNCTION("""COMPUTED_VALUE"""),"chara_yuw_00501")</f>
        <v>chara_yuw_00501</v>
      </c>
      <c r="E691" s="139">
        <f>IFERROR(__xludf.DUMMYFUNCTION("""COMPUTED_VALUE"""),4.0)</f>
        <v>4</v>
      </c>
      <c r="F691" s="139" t="str">
        <f>IFERROR(__xludf.DUMMYFUNCTION("""COMPUTED_VALUE"""),"Special")</f>
        <v>Special</v>
      </c>
      <c r="G691" s="139"/>
      <c r="H691" s="139"/>
      <c r="I691" s="139">
        <f>IFERROR(__xludf.DUMMYFUNCTION("""COMPUTED_VALUE"""),109.0)</f>
        <v>109</v>
      </c>
      <c r="J691" s="139">
        <f>IFERROR(__xludf.DUMMYFUNCTION("""COMPUTED_VALUE"""),75.0)</f>
        <v>75</v>
      </c>
      <c r="K691" s="139">
        <f>IFERROR(__xludf.DUMMYFUNCTION("""COMPUTED_VALUE"""),0.0)</f>
        <v>0</v>
      </c>
      <c r="L691" s="139"/>
      <c r="M691" s="139" t="str">
        <f>IFERROR(__xludf.DUMMYFUNCTION("""COMPUTED_VALUE"""),"自身と同じコマにいる赤属性の味方と自身への被ダメージを{chara_yuw_00501_Special_00004a_effective_duration}秒間、{chara_yuw_00501_Special_00004a_effect_parameter}%カット")</f>
        <v>自身と同じコマにいる赤属性の味方と自身への被ダメージを{chara_yuw_00501_Special_00004a_effective_duration}秒間、{chara_yuw_00501_Special_00004a_effect_parameter}%カット</v>
      </c>
      <c r="N691" s="139" t="str">
        <f>IFERROR(__xludf.DUMMYFUNCTION("""COMPUTED_VALUE"""),"ステータスUP + 必殺ワザ性能UP")</f>
        <v>ステータスUP + 必殺ワザ性能UP</v>
      </c>
    </row>
    <row r="692">
      <c r="A692" s="139" t="str">
        <f>IFERROR(__xludf.DUMMYFUNCTION("""COMPUTED_VALUE"""),"e")</f>
        <v>e</v>
      </c>
      <c r="B692" s="139">
        <f>IFERROR(__xludf.DUMMYFUNCTION("""COMPUTED_VALUE"""),2.0251102E8)</f>
        <v>202511020</v>
      </c>
      <c r="C692" s="139" t="str">
        <f>IFERROR(__xludf.DUMMYFUNCTION("""COMPUTED_VALUE"""),"chara_yuw_00501_Special_00005")</f>
        <v>chara_yuw_00501_Special_00005</v>
      </c>
      <c r="D692" s="139" t="str">
        <f>IFERROR(__xludf.DUMMYFUNCTION("""COMPUTED_VALUE"""),"chara_yuw_00501")</f>
        <v>chara_yuw_00501</v>
      </c>
      <c r="E692" s="139">
        <f>IFERROR(__xludf.DUMMYFUNCTION("""COMPUTED_VALUE"""),5.0)</f>
        <v>5</v>
      </c>
      <c r="F692" s="139" t="str">
        <f>IFERROR(__xludf.DUMMYFUNCTION("""COMPUTED_VALUE"""),"Special")</f>
        <v>Special</v>
      </c>
      <c r="G692" s="139"/>
      <c r="H692" s="139"/>
      <c r="I692" s="139">
        <f>IFERROR(__xludf.DUMMYFUNCTION("""COMPUTED_VALUE"""),109.0)</f>
        <v>109</v>
      </c>
      <c r="J692" s="139">
        <f>IFERROR(__xludf.DUMMYFUNCTION("""COMPUTED_VALUE"""),75.0)</f>
        <v>75</v>
      </c>
      <c r="K692" s="139">
        <f>IFERROR(__xludf.DUMMYFUNCTION("""COMPUTED_VALUE"""),0.0)</f>
        <v>0</v>
      </c>
      <c r="L692" s="139"/>
      <c r="M692" s="139" t="str">
        <f>IFERROR(__xludf.DUMMYFUNCTION("""COMPUTED_VALUE"""),"自身と同じコマにいる赤属性の味方と自身への被ダメージを{chara_yuw_00501_Special_00005a_effective_duration}秒間、{chara_yuw_00501_Special_00005a_effect_parameter}%カット")</f>
        <v>自身と同じコマにいる赤属性の味方と自身への被ダメージを{chara_yuw_00501_Special_00005a_effective_duration}秒間、{chara_yuw_00501_Special_00005a_effect_parameter}%カット</v>
      </c>
      <c r="N692" s="139" t="str">
        <f>IFERROR(__xludf.DUMMYFUNCTION("""COMPUTED_VALUE"""),"ステータスUP + 必殺ワザ性能UP")</f>
        <v>ステータスUP + 必殺ワザ性能UP</v>
      </c>
    </row>
    <row r="693">
      <c r="A693" s="139"/>
      <c r="B693" s="139"/>
      <c r="C693" s="139" t="str">
        <f>IFERROR(__xludf.DUMMYFUNCTION("""COMPUTED_VALUE"""),"chara_yuw_00501_Special_00006")</f>
        <v>chara_yuw_00501_Special_00006</v>
      </c>
      <c r="D693" s="139" t="str">
        <f>IFERROR(__xludf.DUMMYFUNCTION("""COMPUTED_VALUE"""),"chara_yuw_00501")</f>
        <v>chara_yuw_00501</v>
      </c>
      <c r="E693" s="139">
        <f>IFERROR(__xludf.DUMMYFUNCTION("""COMPUTED_VALUE"""),6.0)</f>
        <v>6</v>
      </c>
      <c r="F693" s="139" t="str">
        <f>IFERROR(__xludf.DUMMYFUNCTION("""COMPUTED_VALUE"""),"Special")</f>
        <v>Special</v>
      </c>
      <c r="G693" s="139"/>
      <c r="H693" s="139"/>
      <c r="I693" s="139">
        <f>IFERROR(__xludf.DUMMYFUNCTION("""COMPUTED_VALUE"""),109.0)</f>
        <v>109</v>
      </c>
      <c r="J693" s="139">
        <f>IFERROR(__xludf.DUMMYFUNCTION("""COMPUTED_VALUE"""),75.0)</f>
        <v>75</v>
      </c>
      <c r="K693" s="139">
        <f>IFERROR(__xludf.DUMMYFUNCTION("""COMPUTED_VALUE"""),0.0)</f>
        <v>0</v>
      </c>
      <c r="L693" s="139"/>
      <c r="M693" s="139"/>
      <c r="N693" s="139"/>
    </row>
    <row r="694">
      <c r="A694" s="139"/>
      <c r="B694" s="139"/>
      <c r="C694" s="139" t="str">
        <f>IFERROR(__xludf.DUMMYFUNCTION("""COMPUTED_VALUE"""),"chara_yuw_00501_Special_00007")</f>
        <v>chara_yuw_00501_Special_00007</v>
      </c>
      <c r="D694" s="139" t="str">
        <f>IFERROR(__xludf.DUMMYFUNCTION("""COMPUTED_VALUE"""),"chara_yuw_00501")</f>
        <v>chara_yuw_00501</v>
      </c>
      <c r="E694" s="139">
        <f>IFERROR(__xludf.DUMMYFUNCTION("""COMPUTED_VALUE"""),7.0)</f>
        <v>7</v>
      </c>
      <c r="F694" s="139" t="str">
        <f>IFERROR(__xludf.DUMMYFUNCTION("""COMPUTED_VALUE"""),"Special")</f>
        <v>Special</v>
      </c>
      <c r="G694" s="139"/>
      <c r="H694" s="139"/>
      <c r="I694" s="139">
        <f>IFERROR(__xludf.DUMMYFUNCTION("""COMPUTED_VALUE"""),109.0)</f>
        <v>109</v>
      </c>
      <c r="J694" s="139">
        <f>IFERROR(__xludf.DUMMYFUNCTION("""COMPUTED_VALUE"""),75.0)</f>
        <v>75</v>
      </c>
      <c r="K694" s="139">
        <f>IFERROR(__xludf.DUMMYFUNCTION("""COMPUTED_VALUE"""),0.0)</f>
        <v>0</v>
      </c>
      <c r="L694" s="139"/>
      <c r="M694" s="139"/>
      <c r="N694" s="139"/>
    </row>
    <row r="695">
      <c r="A695" s="139"/>
      <c r="B695" s="139"/>
      <c r="C695" s="139" t="str">
        <f>IFERROR(__xludf.DUMMYFUNCTION("""COMPUTED_VALUE"""),"chara_yuw_00501_Special_00008")</f>
        <v>chara_yuw_00501_Special_00008</v>
      </c>
      <c r="D695" s="139" t="str">
        <f>IFERROR(__xludf.DUMMYFUNCTION("""COMPUTED_VALUE"""),"chara_yuw_00501")</f>
        <v>chara_yuw_00501</v>
      </c>
      <c r="E695" s="139">
        <f>IFERROR(__xludf.DUMMYFUNCTION("""COMPUTED_VALUE"""),8.0)</f>
        <v>8</v>
      </c>
      <c r="F695" s="139" t="str">
        <f>IFERROR(__xludf.DUMMYFUNCTION("""COMPUTED_VALUE"""),"Special")</f>
        <v>Special</v>
      </c>
      <c r="G695" s="139"/>
      <c r="H695" s="139"/>
      <c r="I695" s="139">
        <f>IFERROR(__xludf.DUMMYFUNCTION("""COMPUTED_VALUE"""),109.0)</f>
        <v>109</v>
      </c>
      <c r="J695" s="139">
        <f>IFERROR(__xludf.DUMMYFUNCTION("""COMPUTED_VALUE"""),75.0)</f>
        <v>75</v>
      </c>
      <c r="K695" s="139">
        <f>IFERROR(__xludf.DUMMYFUNCTION("""COMPUTED_VALUE"""),0.0)</f>
        <v>0</v>
      </c>
      <c r="L695" s="139"/>
      <c r="M695" s="139"/>
      <c r="N695" s="139"/>
    </row>
    <row r="696">
      <c r="A696" s="139"/>
      <c r="B696" s="139"/>
      <c r="C696" s="139" t="str">
        <f>IFERROR(__xludf.DUMMYFUNCTION("""COMPUTED_VALUE"""),"chara_yuw_00501_Special_00009")</f>
        <v>chara_yuw_00501_Special_00009</v>
      </c>
      <c r="D696" s="139" t="str">
        <f>IFERROR(__xludf.DUMMYFUNCTION("""COMPUTED_VALUE"""),"chara_yuw_00501")</f>
        <v>chara_yuw_00501</v>
      </c>
      <c r="E696" s="139">
        <f>IFERROR(__xludf.DUMMYFUNCTION("""COMPUTED_VALUE"""),9.0)</f>
        <v>9</v>
      </c>
      <c r="F696" s="139" t="str">
        <f>IFERROR(__xludf.DUMMYFUNCTION("""COMPUTED_VALUE"""),"Special")</f>
        <v>Special</v>
      </c>
      <c r="G696" s="139"/>
      <c r="H696" s="139"/>
      <c r="I696" s="139">
        <f>IFERROR(__xludf.DUMMYFUNCTION("""COMPUTED_VALUE"""),109.0)</f>
        <v>109</v>
      </c>
      <c r="J696" s="139">
        <f>IFERROR(__xludf.DUMMYFUNCTION("""COMPUTED_VALUE"""),75.0)</f>
        <v>75</v>
      </c>
      <c r="K696" s="139">
        <f>IFERROR(__xludf.DUMMYFUNCTION("""COMPUTED_VALUE"""),0.0)</f>
        <v>0</v>
      </c>
      <c r="L696" s="139"/>
      <c r="M696" s="139"/>
      <c r="N696" s="139"/>
    </row>
    <row r="697">
      <c r="A697" s="139"/>
      <c r="B697" s="139"/>
      <c r="C697" s="139" t="str">
        <f>IFERROR(__xludf.DUMMYFUNCTION("""COMPUTED_VALUE"""),"chara_yuw_00501_Special_00010")</f>
        <v>chara_yuw_00501_Special_00010</v>
      </c>
      <c r="D697" s="139" t="str">
        <f>IFERROR(__xludf.DUMMYFUNCTION("""COMPUTED_VALUE"""),"chara_yuw_00501")</f>
        <v>chara_yuw_00501</v>
      </c>
      <c r="E697" s="139">
        <f>IFERROR(__xludf.DUMMYFUNCTION("""COMPUTED_VALUE"""),10.0)</f>
        <v>10</v>
      </c>
      <c r="F697" s="139" t="str">
        <f>IFERROR(__xludf.DUMMYFUNCTION("""COMPUTED_VALUE"""),"Special")</f>
        <v>Special</v>
      </c>
      <c r="G697" s="139"/>
      <c r="H697" s="139"/>
      <c r="I697" s="139">
        <f>IFERROR(__xludf.DUMMYFUNCTION("""COMPUTED_VALUE"""),109.0)</f>
        <v>109</v>
      </c>
      <c r="J697" s="139">
        <f>IFERROR(__xludf.DUMMYFUNCTION("""COMPUTED_VALUE"""),75.0)</f>
        <v>75</v>
      </c>
      <c r="K697" s="139">
        <f>IFERROR(__xludf.DUMMYFUNCTION("""COMPUTED_VALUE"""),0.0)</f>
        <v>0</v>
      </c>
      <c r="L697" s="139"/>
      <c r="M697" s="139"/>
      <c r="N697" s="139"/>
    </row>
    <row r="698">
      <c r="A698" s="139" t="str">
        <f>IFERROR(__xludf.DUMMYFUNCTION("""COMPUTED_VALUE"""),"e")</f>
        <v>e</v>
      </c>
      <c r="B698" s="139">
        <f>IFERROR(__xludf.DUMMYFUNCTION("""COMPUTED_VALUE"""),2.0251102E8)</f>
        <v>202511020</v>
      </c>
      <c r="C698" s="139" t="str">
        <f>IFERROR(__xludf.DUMMYFUNCTION("""COMPUTED_VALUE"""),"chara_yuw_00601_Normal_00000")</f>
        <v>chara_yuw_00601_Normal_00000</v>
      </c>
      <c r="D698" s="139" t="str">
        <f>IFERROR(__xludf.DUMMYFUNCTION("""COMPUTED_VALUE"""),"chara_yuw_00601")</f>
        <v>chara_yuw_00601</v>
      </c>
      <c r="E698" s="139">
        <f>IFERROR(__xludf.DUMMYFUNCTION("""COMPUTED_VALUE"""),0.0)</f>
        <v>0</v>
      </c>
      <c r="F698" s="139" t="str">
        <f>IFERROR(__xludf.DUMMYFUNCTION("""COMPUTED_VALUE"""),"Normal")</f>
        <v>Normal</v>
      </c>
      <c r="G698" s="139"/>
      <c r="H698" s="139"/>
      <c r="I698" s="139">
        <f>IFERROR(__xludf.DUMMYFUNCTION("""COMPUTED_VALUE"""),60.0)</f>
        <v>60</v>
      </c>
      <c r="J698" s="139">
        <f>IFERROR(__xludf.DUMMYFUNCTION("""COMPUTED_VALUE"""),34.0)</f>
        <v>34</v>
      </c>
      <c r="K698" s="139">
        <f>IFERROR(__xludf.DUMMYFUNCTION("""COMPUTED_VALUE"""),100.0)</f>
        <v>100</v>
      </c>
      <c r="L698" s="139"/>
      <c r="M698" s="139" t="str">
        <f>IFERROR(__xludf.DUMMYFUNCTION("""COMPUTED_VALUE"""),"表示場所なし")</f>
        <v>表示場所なし</v>
      </c>
      <c r="N698" s="139"/>
    </row>
    <row r="699">
      <c r="A699" s="139" t="str">
        <f>IFERROR(__xludf.DUMMYFUNCTION("""COMPUTED_VALUE"""),"e")</f>
        <v>e</v>
      </c>
      <c r="B699" s="139">
        <f>IFERROR(__xludf.DUMMYFUNCTION("""COMPUTED_VALUE"""),2.0251102E8)</f>
        <v>202511020</v>
      </c>
      <c r="C699" s="139" t="str">
        <f>IFERROR(__xludf.DUMMYFUNCTION("""COMPUTED_VALUE"""),"chara_yuw_00601_Special_00001")</f>
        <v>chara_yuw_00601_Special_00001</v>
      </c>
      <c r="D699" s="139" t="str">
        <f>IFERROR(__xludf.DUMMYFUNCTION("""COMPUTED_VALUE"""),"chara_yuw_00601")</f>
        <v>chara_yuw_00601</v>
      </c>
      <c r="E699" s="139">
        <f>IFERROR(__xludf.DUMMYFUNCTION("""COMPUTED_VALUE"""),1.0)</f>
        <v>1</v>
      </c>
      <c r="F699" s="139" t="str">
        <f>IFERROR(__xludf.DUMMYFUNCTION("""COMPUTED_VALUE"""),"Special")</f>
        <v>Special</v>
      </c>
      <c r="G699" s="139"/>
      <c r="H699" s="139"/>
      <c r="I699" s="139">
        <f>IFERROR(__xludf.DUMMYFUNCTION("""COMPUTED_VALUE"""),92.0)</f>
        <v>92</v>
      </c>
      <c r="J699" s="139">
        <f>IFERROR(__xludf.DUMMYFUNCTION("""COMPUTED_VALUE"""),34.0)</f>
        <v>34</v>
      </c>
      <c r="K699" s="139">
        <f>IFERROR(__xludf.DUMMYFUNCTION("""COMPUTED_VALUE"""),0.0)</f>
        <v>0</v>
      </c>
      <c r="L699" s="139"/>
      <c r="M699" s="139" t="str">
        <f>IFERROR(__xludf.DUMMYFUNCTION("""COMPUTED_VALUE"""),"自身への被ダメージを{chara_yuw_00601_Special_00001a_effective_duration}秒間、{chara_yuw_00601_Special_00001a_effect_parameter}%カット")</f>
        <v>自身への被ダメージを{chara_yuw_00601_Special_00001a_effective_duration}秒間、{chara_yuw_00601_Special_00001a_effect_parameter}%カット</v>
      </c>
      <c r="N699" s="139"/>
    </row>
    <row r="700">
      <c r="A700" s="139" t="str">
        <f>IFERROR(__xludf.DUMMYFUNCTION("""COMPUTED_VALUE"""),"e")</f>
        <v>e</v>
      </c>
      <c r="B700" s="139">
        <f>IFERROR(__xludf.DUMMYFUNCTION("""COMPUTED_VALUE"""),2.0251102E8)</f>
        <v>202511020</v>
      </c>
      <c r="C700" s="139" t="str">
        <f>IFERROR(__xludf.DUMMYFUNCTION("""COMPUTED_VALUE"""),"chara_yuw_00601_Special_00002")</f>
        <v>chara_yuw_00601_Special_00002</v>
      </c>
      <c r="D700" s="139" t="str">
        <f>IFERROR(__xludf.DUMMYFUNCTION("""COMPUTED_VALUE"""),"chara_yuw_00601")</f>
        <v>chara_yuw_00601</v>
      </c>
      <c r="E700" s="139">
        <f>IFERROR(__xludf.DUMMYFUNCTION("""COMPUTED_VALUE"""),2.0)</f>
        <v>2</v>
      </c>
      <c r="F700" s="139" t="str">
        <f>IFERROR(__xludf.DUMMYFUNCTION("""COMPUTED_VALUE"""),"Special")</f>
        <v>Special</v>
      </c>
      <c r="G700" s="139"/>
      <c r="H700" s="139"/>
      <c r="I700" s="139">
        <f>IFERROR(__xludf.DUMMYFUNCTION("""COMPUTED_VALUE"""),92.0)</f>
        <v>92</v>
      </c>
      <c r="J700" s="139">
        <f>IFERROR(__xludf.DUMMYFUNCTION("""COMPUTED_VALUE"""),34.0)</f>
        <v>34</v>
      </c>
      <c r="K700" s="139">
        <f>IFERROR(__xludf.DUMMYFUNCTION("""COMPUTED_VALUE"""),0.0)</f>
        <v>0</v>
      </c>
      <c r="L700" s="139"/>
      <c r="M700" s="139" t="str">
        <f>IFERROR(__xludf.DUMMYFUNCTION("""COMPUTED_VALUE"""),"自身への被ダメージを{chara_yuw_00601_Special_00002a_effective_duration}秒間、{chara_yuw_00601_Special_00002a_effect_parameter}%カット")</f>
        <v>自身への被ダメージを{chara_yuw_00601_Special_00002a_effective_duration}秒間、{chara_yuw_00601_Special_00002a_effect_parameter}%カット</v>
      </c>
      <c r="N700" s="139" t="str">
        <f>IFERROR(__xludf.DUMMYFUNCTION("""COMPUTED_VALUE"""),"ステータスUP + 必殺ワザ性能UP")</f>
        <v>ステータスUP + 必殺ワザ性能UP</v>
      </c>
    </row>
    <row r="701">
      <c r="A701" s="139" t="str">
        <f>IFERROR(__xludf.DUMMYFUNCTION("""COMPUTED_VALUE"""),"e")</f>
        <v>e</v>
      </c>
      <c r="B701" s="139">
        <f>IFERROR(__xludf.DUMMYFUNCTION("""COMPUTED_VALUE"""),2.0251102E8)</f>
        <v>202511020</v>
      </c>
      <c r="C701" s="139" t="str">
        <f>IFERROR(__xludf.DUMMYFUNCTION("""COMPUTED_VALUE"""),"chara_yuw_00601_Special_00003")</f>
        <v>chara_yuw_00601_Special_00003</v>
      </c>
      <c r="D701" s="139" t="str">
        <f>IFERROR(__xludf.DUMMYFUNCTION("""COMPUTED_VALUE"""),"chara_yuw_00601")</f>
        <v>chara_yuw_00601</v>
      </c>
      <c r="E701" s="139">
        <f>IFERROR(__xludf.DUMMYFUNCTION("""COMPUTED_VALUE"""),3.0)</f>
        <v>3</v>
      </c>
      <c r="F701" s="139" t="str">
        <f>IFERROR(__xludf.DUMMYFUNCTION("""COMPUTED_VALUE"""),"Special")</f>
        <v>Special</v>
      </c>
      <c r="G701" s="139"/>
      <c r="H701" s="139"/>
      <c r="I701" s="139">
        <f>IFERROR(__xludf.DUMMYFUNCTION("""COMPUTED_VALUE"""),92.0)</f>
        <v>92</v>
      </c>
      <c r="J701" s="139">
        <f>IFERROR(__xludf.DUMMYFUNCTION("""COMPUTED_VALUE"""),34.0)</f>
        <v>34</v>
      </c>
      <c r="K701" s="139">
        <f>IFERROR(__xludf.DUMMYFUNCTION("""COMPUTED_VALUE"""),0.0)</f>
        <v>0</v>
      </c>
      <c r="L701" s="139"/>
      <c r="M701" s="139" t="str">
        <f>IFERROR(__xludf.DUMMYFUNCTION("""COMPUTED_VALUE"""),"自身への被ダメージを{chara_yuw_00601_Special_00003a_effective_duration}秒間、{chara_yuw_00601_Special_00003a_effect_parameter}%カット")</f>
        <v>自身への被ダメージを{chara_yuw_00601_Special_00003a_effective_duration}秒間、{chara_yuw_00601_Special_00003a_effect_parameter}%カット</v>
      </c>
      <c r="N701" s="139" t="str">
        <f>IFERROR(__xludf.DUMMYFUNCTION("""COMPUTED_VALUE"""),"ステータスUP + 必殺ワザ性能UP")</f>
        <v>ステータスUP + 必殺ワザ性能UP</v>
      </c>
    </row>
    <row r="702">
      <c r="A702" s="139" t="str">
        <f>IFERROR(__xludf.DUMMYFUNCTION("""COMPUTED_VALUE"""),"e")</f>
        <v>e</v>
      </c>
      <c r="B702" s="139">
        <f>IFERROR(__xludf.DUMMYFUNCTION("""COMPUTED_VALUE"""),2.0251102E8)</f>
        <v>202511020</v>
      </c>
      <c r="C702" s="139" t="str">
        <f>IFERROR(__xludf.DUMMYFUNCTION("""COMPUTED_VALUE"""),"chara_yuw_00601_Special_00004")</f>
        <v>chara_yuw_00601_Special_00004</v>
      </c>
      <c r="D702" s="139" t="str">
        <f>IFERROR(__xludf.DUMMYFUNCTION("""COMPUTED_VALUE"""),"chara_yuw_00601")</f>
        <v>chara_yuw_00601</v>
      </c>
      <c r="E702" s="139">
        <f>IFERROR(__xludf.DUMMYFUNCTION("""COMPUTED_VALUE"""),4.0)</f>
        <v>4</v>
      </c>
      <c r="F702" s="139" t="str">
        <f>IFERROR(__xludf.DUMMYFUNCTION("""COMPUTED_VALUE"""),"Special")</f>
        <v>Special</v>
      </c>
      <c r="G702" s="139"/>
      <c r="H702" s="139"/>
      <c r="I702" s="139">
        <f>IFERROR(__xludf.DUMMYFUNCTION("""COMPUTED_VALUE"""),92.0)</f>
        <v>92</v>
      </c>
      <c r="J702" s="139">
        <f>IFERROR(__xludf.DUMMYFUNCTION("""COMPUTED_VALUE"""),34.0)</f>
        <v>34</v>
      </c>
      <c r="K702" s="139">
        <f>IFERROR(__xludf.DUMMYFUNCTION("""COMPUTED_VALUE"""),0.0)</f>
        <v>0</v>
      </c>
      <c r="L702" s="139"/>
      <c r="M702" s="139" t="str">
        <f>IFERROR(__xludf.DUMMYFUNCTION("""COMPUTED_VALUE"""),"自身への被ダメージを{chara_yuw_00601_Special_00004a_effective_duration}秒間、{chara_yuw_00601_Special_00004a_effect_parameter}%カット")</f>
        <v>自身への被ダメージを{chara_yuw_00601_Special_00004a_effective_duration}秒間、{chara_yuw_00601_Special_00004a_effect_parameter}%カット</v>
      </c>
      <c r="N702" s="139" t="str">
        <f>IFERROR(__xludf.DUMMYFUNCTION("""COMPUTED_VALUE"""),"ステータスUP + 必殺ワザ性能UP")</f>
        <v>ステータスUP + 必殺ワザ性能UP</v>
      </c>
    </row>
    <row r="703">
      <c r="A703" s="139" t="str">
        <f>IFERROR(__xludf.DUMMYFUNCTION("""COMPUTED_VALUE"""),"e")</f>
        <v>e</v>
      </c>
      <c r="B703" s="139">
        <f>IFERROR(__xludf.DUMMYFUNCTION("""COMPUTED_VALUE"""),2.0251102E8)</f>
        <v>202511020</v>
      </c>
      <c r="C703" s="139" t="str">
        <f>IFERROR(__xludf.DUMMYFUNCTION("""COMPUTED_VALUE"""),"chara_yuw_00601_Special_00005")</f>
        <v>chara_yuw_00601_Special_00005</v>
      </c>
      <c r="D703" s="139" t="str">
        <f>IFERROR(__xludf.DUMMYFUNCTION("""COMPUTED_VALUE"""),"chara_yuw_00601")</f>
        <v>chara_yuw_00601</v>
      </c>
      <c r="E703" s="139">
        <f>IFERROR(__xludf.DUMMYFUNCTION("""COMPUTED_VALUE"""),5.0)</f>
        <v>5</v>
      </c>
      <c r="F703" s="139" t="str">
        <f>IFERROR(__xludf.DUMMYFUNCTION("""COMPUTED_VALUE"""),"Special")</f>
        <v>Special</v>
      </c>
      <c r="G703" s="139"/>
      <c r="H703" s="139"/>
      <c r="I703" s="139">
        <f>IFERROR(__xludf.DUMMYFUNCTION("""COMPUTED_VALUE"""),92.0)</f>
        <v>92</v>
      </c>
      <c r="J703" s="139">
        <f>IFERROR(__xludf.DUMMYFUNCTION("""COMPUTED_VALUE"""),34.0)</f>
        <v>34</v>
      </c>
      <c r="K703" s="139">
        <f>IFERROR(__xludf.DUMMYFUNCTION("""COMPUTED_VALUE"""),0.0)</f>
        <v>0</v>
      </c>
      <c r="L703" s="139"/>
      <c r="M703" s="139" t="str">
        <f>IFERROR(__xludf.DUMMYFUNCTION("""COMPUTED_VALUE"""),"自身への被ダメージを{chara_yuw_00601_Special_00005a_effective_duration}秒間、{chara_yuw_00601_Special_00005a_effect_parameter}%カット")</f>
        <v>自身への被ダメージを{chara_yuw_00601_Special_00005a_effective_duration}秒間、{chara_yuw_00601_Special_00005a_effect_parameter}%カット</v>
      </c>
      <c r="N703" s="139" t="str">
        <f>IFERROR(__xludf.DUMMYFUNCTION("""COMPUTED_VALUE"""),"ステータスUP + 必殺ワザ性能UP")</f>
        <v>ステータスUP + 必殺ワザ性能UP</v>
      </c>
    </row>
    <row r="704">
      <c r="A704" s="139"/>
      <c r="B704" s="139"/>
      <c r="C704" s="139" t="str">
        <f>IFERROR(__xludf.DUMMYFUNCTION("""COMPUTED_VALUE"""),"chara_yuw_00601_Special_00006")</f>
        <v>chara_yuw_00601_Special_00006</v>
      </c>
      <c r="D704" s="139" t="str">
        <f>IFERROR(__xludf.DUMMYFUNCTION("""COMPUTED_VALUE"""),"chara_yuw_00601")</f>
        <v>chara_yuw_00601</v>
      </c>
      <c r="E704" s="139">
        <f>IFERROR(__xludf.DUMMYFUNCTION("""COMPUTED_VALUE"""),6.0)</f>
        <v>6</v>
      </c>
      <c r="F704" s="139" t="str">
        <f>IFERROR(__xludf.DUMMYFUNCTION("""COMPUTED_VALUE"""),"Special")</f>
        <v>Special</v>
      </c>
      <c r="G704" s="139"/>
      <c r="H704" s="139"/>
      <c r="I704" s="139">
        <f>IFERROR(__xludf.DUMMYFUNCTION("""COMPUTED_VALUE"""),92.0)</f>
        <v>92</v>
      </c>
      <c r="J704" s="139">
        <f>IFERROR(__xludf.DUMMYFUNCTION("""COMPUTED_VALUE"""),34.0)</f>
        <v>34</v>
      </c>
      <c r="K704" s="139">
        <f>IFERROR(__xludf.DUMMYFUNCTION("""COMPUTED_VALUE"""),0.0)</f>
        <v>0</v>
      </c>
      <c r="L704" s="139"/>
      <c r="M704" s="139"/>
      <c r="N704" s="139"/>
    </row>
    <row r="705">
      <c r="A705" s="139"/>
      <c r="B705" s="139"/>
      <c r="C705" s="139" t="str">
        <f>IFERROR(__xludf.DUMMYFUNCTION("""COMPUTED_VALUE"""),"chara_yuw_00601_Special_00007")</f>
        <v>chara_yuw_00601_Special_00007</v>
      </c>
      <c r="D705" s="139" t="str">
        <f>IFERROR(__xludf.DUMMYFUNCTION("""COMPUTED_VALUE"""),"chara_yuw_00601")</f>
        <v>chara_yuw_00601</v>
      </c>
      <c r="E705" s="139">
        <f>IFERROR(__xludf.DUMMYFUNCTION("""COMPUTED_VALUE"""),7.0)</f>
        <v>7</v>
      </c>
      <c r="F705" s="139" t="str">
        <f>IFERROR(__xludf.DUMMYFUNCTION("""COMPUTED_VALUE"""),"Special")</f>
        <v>Special</v>
      </c>
      <c r="G705" s="139"/>
      <c r="H705" s="139"/>
      <c r="I705" s="139">
        <f>IFERROR(__xludf.DUMMYFUNCTION("""COMPUTED_VALUE"""),92.0)</f>
        <v>92</v>
      </c>
      <c r="J705" s="139">
        <f>IFERROR(__xludf.DUMMYFUNCTION("""COMPUTED_VALUE"""),34.0)</f>
        <v>34</v>
      </c>
      <c r="K705" s="139">
        <f>IFERROR(__xludf.DUMMYFUNCTION("""COMPUTED_VALUE"""),0.0)</f>
        <v>0</v>
      </c>
      <c r="L705" s="139"/>
      <c r="M705" s="139"/>
      <c r="N705" s="139"/>
    </row>
    <row r="706">
      <c r="A706" s="139"/>
      <c r="B706" s="139"/>
      <c r="C706" s="139" t="str">
        <f>IFERROR(__xludf.DUMMYFUNCTION("""COMPUTED_VALUE"""),"chara_yuw_00601_Special_00008")</f>
        <v>chara_yuw_00601_Special_00008</v>
      </c>
      <c r="D706" s="139" t="str">
        <f>IFERROR(__xludf.DUMMYFUNCTION("""COMPUTED_VALUE"""),"chara_yuw_00601")</f>
        <v>chara_yuw_00601</v>
      </c>
      <c r="E706" s="139">
        <f>IFERROR(__xludf.DUMMYFUNCTION("""COMPUTED_VALUE"""),8.0)</f>
        <v>8</v>
      </c>
      <c r="F706" s="139" t="str">
        <f>IFERROR(__xludf.DUMMYFUNCTION("""COMPUTED_VALUE"""),"Special")</f>
        <v>Special</v>
      </c>
      <c r="G706" s="139"/>
      <c r="H706" s="139"/>
      <c r="I706" s="139">
        <f>IFERROR(__xludf.DUMMYFUNCTION("""COMPUTED_VALUE"""),92.0)</f>
        <v>92</v>
      </c>
      <c r="J706" s="139">
        <f>IFERROR(__xludf.DUMMYFUNCTION("""COMPUTED_VALUE"""),34.0)</f>
        <v>34</v>
      </c>
      <c r="K706" s="139">
        <f>IFERROR(__xludf.DUMMYFUNCTION("""COMPUTED_VALUE"""),0.0)</f>
        <v>0</v>
      </c>
      <c r="L706" s="139"/>
      <c r="M706" s="139"/>
      <c r="N706" s="139"/>
    </row>
    <row r="707">
      <c r="A707" s="139"/>
      <c r="B707" s="139"/>
      <c r="C707" s="139" t="str">
        <f>IFERROR(__xludf.DUMMYFUNCTION("""COMPUTED_VALUE"""),"chara_yuw_00601_Special_00009")</f>
        <v>chara_yuw_00601_Special_00009</v>
      </c>
      <c r="D707" s="139" t="str">
        <f>IFERROR(__xludf.DUMMYFUNCTION("""COMPUTED_VALUE"""),"chara_yuw_00601")</f>
        <v>chara_yuw_00601</v>
      </c>
      <c r="E707" s="139">
        <f>IFERROR(__xludf.DUMMYFUNCTION("""COMPUTED_VALUE"""),9.0)</f>
        <v>9</v>
      </c>
      <c r="F707" s="139" t="str">
        <f>IFERROR(__xludf.DUMMYFUNCTION("""COMPUTED_VALUE"""),"Special")</f>
        <v>Special</v>
      </c>
      <c r="G707" s="139"/>
      <c r="H707" s="139"/>
      <c r="I707" s="139">
        <f>IFERROR(__xludf.DUMMYFUNCTION("""COMPUTED_VALUE"""),92.0)</f>
        <v>92</v>
      </c>
      <c r="J707" s="139">
        <f>IFERROR(__xludf.DUMMYFUNCTION("""COMPUTED_VALUE"""),34.0)</f>
        <v>34</v>
      </c>
      <c r="K707" s="139">
        <f>IFERROR(__xludf.DUMMYFUNCTION("""COMPUTED_VALUE"""),0.0)</f>
        <v>0</v>
      </c>
      <c r="L707" s="139"/>
      <c r="M707" s="139"/>
      <c r="N707" s="139"/>
    </row>
    <row r="708">
      <c r="A708" s="139"/>
      <c r="B708" s="139"/>
      <c r="C708" s="139" t="str">
        <f>IFERROR(__xludf.DUMMYFUNCTION("""COMPUTED_VALUE"""),"chara_yuw_00601_Special_00010")</f>
        <v>chara_yuw_00601_Special_00010</v>
      </c>
      <c r="D708" s="139" t="str">
        <f>IFERROR(__xludf.DUMMYFUNCTION("""COMPUTED_VALUE"""),"chara_yuw_00601")</f>
        <v>chara_yuw_00601</v>
      </c>
      <c r="E708" s="139">
        <f>IFERROR(__xludf.DUMMYFUNCTION("""COMPUTED_VALUE"""),10.0)</f>
        <v>10</v>
      </c>
      <c r="F708" s="139" t="str">
        <f>IFERROR(__xludf.DUMMYFUNCTION("""COMPUTED_VALUE"""),"Special")</f>
        <v>Special</v>
      </c>
      <c r="G708" s="139"/>
      <c r="H708" s="139"/>
      <c r="I708" s="139">
        <f>IFERROR(__xludf.DUMMYFUNCTION("""COMPUTED_VALUE"""),92.0)</f>
        <v>92</v>
      </c>
      <c r="J708" s="139">
        <f>IFERROR(__xludf.DUMMYFUNCTION("""COMPUTED_VALUE"""),34.0)</f>
        <v>34</v>
      </c>
      <c r="K708" s="139">
        <f>IFERROR(__xludf.DUMMYFUNCTION("""COMPUTED_VALUE"""),0.0)</f>
        <v>0</v>
      </c>
      <c r="L708" s="139"/>
      <c r="M708" s="139"/>
      <c r="N708" s="139"/>
    </row>
    <row r="709">
      <c r="A709" s="139" t="str">
        <f>IFERROR(__xludf.DUMMYFUNCTION("""COMPUTED_VALUE"""),"e")</f>
        <v>e</v>
      </c>
      <c r="B709" s="139">
        <f>IFERROR(__xludf.DUMMYFUNCTION("""COMPUTED_VALUE"""),2.0251201E8)</f>
        <v>202512010</v>
      </c>
      <c r="C709" s="139" t="str">
        <f>IFERROR(__xludf.DUMMYFUNCTION("""COMPUTED_VALUE"""),"chara_sur_00501_Normal_00000")</f>
        <v>chara_sur_00501_Normal_00000</v>
      </c>
      <c r="D709" s="139" t="str">
        <f>IFERROR(__xludf.DUMMYFUNCTION("""COMPUTED_VALUE"""),"chara_sur_00501")</f>
        <v>chara_sur_00501</v>
      </c>
      <c r="E709" s="139">
        <f>IFERROR(__xludf.DUMMYFUNCTION("""COMPUTED_VALUE"""),0.0)</f>
        <v>0</v>
      </c>
      <c r="F709" s="139" t="str">
        <f>IFERROR(__xludf.DUMMYFUNCTION("""COMPUTED_VALUE"""),"Normal")</f>
        <v>Normal</v>
      </c>
      <c r="G709" s="139"/>
      <c r="H709" s="139"/>
      <c r="I709" s="139">
        <f>IFERROR(__xludf.DUMMYFUNCTION("""COMPUTED_VALUE"""),86.0)</f>
        <v>86</v>
      </c>
      <c r="J709" s="139">
        <f>IFERROR(__xludf.DUMMYFUNCTION("""COMPUTED_VALUE"""),47.0)</f>
        <v>47</v>
      </c>
      <c r="K709" s="139">
        <f>IFERROR(__xludf.DUMMYFUNCTION("""COMPUTED_VALUE"""),150.0)</f>
        <v>150</v>
      </c>
      <c r="L709" s="139"/>
      <c r="M709" s="139" t="str">
        <f>IFERROR(__xludf.DUMMYFUNCTION("""COMPUTED_VALUE"""),"表示場所なし")</f>
        <v>表示場所なし</v>
      </c>
      <c r="N709" s="139"/>
    </row>
    <row r="710">
      <c r="A710" s="139" t="str">
        <f>IFERROR(__xludf.DUMMYFUNCTION("""COMPUTED_VALUE"""),"e")</f>
        <v>e</v>
      </c>
      <c r="B710" s="139">
        <f>IFERROR(__xludf.DUMMYFUNCTION("""COMPUTED_VALUE"""),2.0251201E8)</f>
        <v>202512010</v>
      </c>
      <c r="C710" s="139" t="str">
        <f>IFERROR(__xludf.DUMMYFUNCTION("""COMPUTED_VALUE"""),"chara_sur_00501_Special_00001")</f>
        <v>chara_sur_00501_Special_00001</v>
      </c>
      <c r="D710" s="139" t="str">
        <f>IFERROR(__xludf.DUMMYFUNCTION("""COMPUTED_VALUE"""),"chara_sur_00501")</f>
        <v>chara_sur_00501</v>
      </c>
      <c r="E710" s="139">
        <f>IFERROR(__xludf.DUMMYFUNCTION("""COMPUTED_VALUE"""),1.0)</f>
        <v>1</v>
      </c>
      <c r="F710" s="139" t="str">
        <f>IFERROR(__xludf.DUMMYFUNCTION("""COMPUTED_VALUE"""),"Special")</f>
        <v>Special</v>
      </c>
      <c r="G710" s="139"/>
      <c r="H710" s="139"/>
      <c r="I710" s="139">
        <f>IFERROR(__xludf.DUMMYFUNCTION("""COMPUTED_VALUE"""),134.0)</f>
        <v>134</v>
      </c>
      <c r="J710" s="139">
        <f>IFERROR(__xludf.DUMMYFUNCTION("""COMPUTED_VALUE"""),77.0)</f>
        <v>77</v>
      </c>
      <c r="K710" s="139">
        <f>IFERROR(__xludf.DUMMYFUNCTION("""COMPUTED_VALUE"""),0.0)</f>
        <v>0</v>
      </c>
      <c r="L710" s="139"/>
      <c r="M710" s="139" t="str">
        <f>IFERROR(__xludf.DUMMYFUNCTION("""COMPUTED_VALUE"""),"自身と同じコマと二つ先までのコマにいる敵複数体に自身の攻撃ステータスの{chara_sur_00501_Special_00001_power_parameter}%のダメージ + 攻撃がヒットした場合、敵を1秒間、スタン状態にする")</f>
        <v>自身と同じコマと二つ先までのコマにいる敵複数体に自身の攻撃ステータスの{chara_sur_00501_Special_00001_power_parameter}%のダメージ + 攻撃がヒットした場合、敵を1秒間、スタン状態にする</v>
      </c>
      <c r="N710" s="139"/>
    </row>
    <row r="711">
      <c r="A711" s="139" t="str">
        <f>IFERROR(__xludf.DUMMYFUNCTION("""COMPUTED_VALUE"""),"e")</f>
        <v>e</v>
      </c>
      <c r="B711" s="139">
        <f>IFERROR(__xludf.DUMMYFUNCTION("""COMPUTED_VALUE"""),2.0251201E8)</f>
        <v>202512010</v>
      </c>
      <c r="C711" s="139" t="str">
        <f>IFERROR(__xludf.DUMMYFUNCTION("""COMPUTED_VALUE"""),"chara_sur_00501_Special_00002")</f>
        <v>chara_sur_00501_Special_00002</v>
      </c>
      <c r="D711" s="139" t="str">
        <f>IFERROR(__xludf.DUMMYFUNCTION("""COMPUTED_VALUE"""),"chara_sur_00501")</f>
        <v>chara_sur_00501</v>
      </c>
      <c r="E711" s="139">
        <f>IFERROR(__xludf.DUMMYFUNCTION("""COMPUTED_VALUE"""),2.0)</f>
        <v>2</v>
      </c>
      <c r="F711" s="139" t="str">
        <f>IFERROR(__xludf.DUMMYFUNCTION("""COMPUTED_VALUE"""),"Special")</f>
        <v>Special</v>
      </c>
      <c r="G711" s="139"/>
      <c r="H711" s="139"/>
      <c r="I711" s="139">
        <f>IFERROR(__xludf.DUMMYFUNCTION("""COMPUTED_VALUE"""),134.0)</f>
        <v>134</v>
      </c>
      <c r="J711" s="139">
        <f>IFERROR(__xludf.DUMMYFUNCTION("""COMPUTED_VALUE"""),77.0)</f>
        <v>77</v>
      </c>
      <c r="K711" s="139">
        <f>IFERROR(__xludf.DUMMYFUNCTION("""COMPUTED_VALUE"""),0.0)</f>
        <v>0</v>
      </c>
      <c r="L711" s="139"/>
      <c r="M711" s="139" t="str">
        <f>IFERROR(__xludf.DUMMYFUNCTION("""COMPUTED_VALUE"""),"自身と同じコマと二つ先までのコマにいる敵複数体に自身の攻撃ステータスの{chara_sur_00501_Special_00002_power_parameter}%のダメージ + 攻撃がヒットした場合、敵を1.5秒間、スタン状態にする")</f>
        <v>自身と同じコマと二つ先までのコマにいる敵複数体に自身の攻撃ステータスの{chara_sur_00501_Special_00002_power_parameter}%のダメージ + 攻撃がヒットした場合、敵を1.5秒間、スタン状態にする</v>
      </c>
      <c r="N711" s="139" t="str">
        <f>IFERROR(__xludf.DUMMYFUNCTION("""COMPUTED_VALUE"""),"ステータスUP + 必殺ワザ性能UP")</f>
        <v>ステータスUP + 必殺ワザ性能UP</v>
      </c>
    </row>
    <row r="712">
      <c r="A712" s="139" t="str">
        <f>IFERROR(__xludf.DUMMYFUNCTION("""COMPUTED_VALUE"""),"e")</f>
        <v>e</v>
      </c>
      <c r="B712" s="139">
        <f>IFERROR(__xludf.DUMMYFUNCTION("""COMPUTED_VALUE"""),2.0251201E8)</f>
        <v>202512010</v>
      </c>
      <c r="C712" s="139" t="str">
        <f>IFERROR(__xludf.DUMMYFUNCTION("""COMPUTED_VALUE"""),"chara_sur_00501_Special_00003")</f>
        <v>chara_sur_00501_Special_00003</v>
      </c>
      <c r="D712" s="139" t="str">
        <f>IFERROR(__xludf.DUMMYFUNCTION("""COMPUTED_VALUE"""),"chara_sur_00501")</f>
        <v>chara_sur_00501</v>
      </c>
      <c r="E712" s="139">
        <f>IFERROR(__xludf.DUMMYFUNCTION("""COMPUTED_VALUE"""),3.0)</f>
        <v>3</v>
      </c>
      <c r="F712" s="139" t="str">
        <f>IFERROR(__xludf.DUMMYFUNCTION("""COMPUTED_VALUE"""),"Special")</f>
        <v>Special</v>
      </c>
      <c r="G712" s="139"/>
      <c r="H712" s="139"/>
      <c r="I712" s="139">
        <f>IFERROR(__xludf.DUMMYFUNCTION("""COMPUTED_VALUE"""),134.0)</f>
        <v>134</v>
      </c>
      <c r="J712" s="139">
        <f>IFERROR(__xludf.DUMMYFUNCTION("""COMPUTED_VALUE"""),77.0)</f>
        <v>77</v>
      </c>
      <c r="K712" s="139">
        <f>IFERROR(__xludf.DUMMYFUNCTION("""COMPUTED_VALUE"""),0.0)</f>
        <v>0</v>
      </c>
      <c r="L712" s="139"/>
      <c r="M712" s="139" t="str">
        <f>IFERROR(__xludf.DUMMYFUNCTION("""COMPUTED_VALUE"""),"自身と同じコマと二つ先までのコマにいる敵複数体に自身の攻撃ステータスの{chara_sur_00501_Special_00003_power_parameter}%のダメージ + 攻撃がヒットした場合、敵を1.8秒間、スタン状態にする")</f>
        <v>自身と同じコマと二つ先までのコマにいる敵複数体に自身の攻撃ステータスの{chara_sur_00501_Special_00003_power_parameter}%のダメージ + 攻撃がヒットした場合、敵を1.8秒間、スタン状態にする</v>
      </c>
      <c r="N712" s="139" t="str">
        <f>IFERROR(__xludf.DUMMYFUNCTION("""COMPUTED_VALUE"""),"ステータスUP + 必殺ワザ性能UP")</f>
        <v>ステータスUP + 必殺ワザ性能UP</v>
      </c>
    </row>
    <row r="713">
      <c r="A713" s="139" t="str">
        <f>IFERROR(__xludf.DUMMYFUNCTION("""COMPUTED_VALUE"""),"e")</f>
        <v>e</v>
      </c>
      <c r="B713" s="139">
        <f>IFERROR(__xludf.DUMMYFUNCTION("""COMPUTED_VALUE"""),2.0251201E8)</f>
        <v>202512010</v>
      </c>
      <c r="C713" s="139" t="str">
        <f>IFERROR(__xludf.DUMMYFUNCTION("""COMPUTED_VALUE"""),"chara_sur_00501_Special_00004")</f>
        <v>chara_sur_00501_Special_00004</v>
      </c>
      <c r="D713" s="139" t="str">
        <f>IFERROR(__xludf.DUMMYFUNCTION("""COMPUTED_VALUE"""),"chara_sur_00501")</f>
        <v>chara_sur_00501</v>
      </c>
      <c r="E713" s="139">
        <f>IFERROR(__xludf.DUMMYFUNCTION("""COMPUTED_VALUE"""),4.0)</f>
        <v>4</v>
      </c>
      <c r="F713" s="139" t="str">
        <f>IFERROR(__xludf.DUMMYFUNCTION("""COMPUTED_VALUE"""),"Special")</f>
        <v>Special</v>
      </c>
      <c r="G713" s="139"/>
      <c r="H713" s="139"/>
      <c r="I713" s="139">
        <f>IFERROR(__xludf.DUMMYFUNCTION("""COMPUTED_VALUE"""),134.0)</f>
        <v>134</v>
      </c>
      <c r="J713" s="139">
        <f>IFERROR(__xludf.DUMMYFUNCTION("""COMPUTED_VALUE"""),77.0)</f>
        <v>77</v>
      </c>
      <c r="K713" s="139">
        <f>IFERROR(__xludf.DUMMYFUNCTION("""COMPUTED_VALUE"""),0.0)</f>
        <v>0</v>
      </c>
      <c r="L713" s="139"/>
      <c r="M713" s="139" t="str">
        <f>IFERROR(__xludf.DUMMYFUNCTION("""COMPUTED_VALUE"""),"自身と同じコマと二つ先までのコマにいる敵複数体に自身の攻撃ステータスの{chara_sur_00501_Special_00004_power_parameter}%のダメージ + 攻撃がヒットした場合、敵を2.3秒間、スタン状態にする")</f>
        <v>自身と同じコマと二つ先までのコマにいる敵複数体に自身の攻撃ステータスの{chara_sur_00501_Special_00004_power_parameter}%のダメージ + 攻撃がヒットした場合、敵を2.3秒間、スタン状態にする</v>
      </c>
      <c r="N713" s="139" t="str">
        <f>IFERROR(__xludf.DUMMYFUNCTION("""COMPUTED_VALUE"""),"ステータスUP + 必殺ワザ性能UP")</f>
        <v>ステータスUP + 必殺ワザ性能UP</v>
      </c>
    </row>
    <row r="714">
      <c r="A714" s="139" t="str">
        <f>IFERROR(__xludf.DUMMYFUNCTION("""COMPUTED_VALUE"""),"e")</f>
        <v>e</v>
      </c>
      <c r="B714" s="139">
        <f>IFERROR(__xludf.DUMMYFUNCTION("""COMPUTED_VALUE"""),2.0251201E8)</f>
        <v>202512010</v>
      </c>
      <c r="C714" s="139" t="str">
        <f>IFERROR(__xludf.DUMMYFUNCTION("""COMPUTED_VALUE"""),"chara_sur_00501_Special_00005")</f>
        <v>chara_sur_00501_Special_00005</v>
      </c>
      <c r="D714" s="139" t="str">
        <f>IFERROR(__xludf.DUMMYFUNCTION("""COMPUTED_VALUE"""),"chara_sur_00501")</f>
        <v>chara_sur_00501</v>
      </c>
      <c r="E714" s="139">
        <f>IFERROR(__xludf.DUMMYFUNCTION("""COMPUTED_VALUE"""),5.0)</f>
        <v>5</v>
      </c>
      <c r="F714" s="139" t="str">
        <f>IFERROR(__xludf.DUMMYFUNCTION("""COMPUTED_VALUE"""),"Special")</f>
        <v>Special</v>
      </c>
      <c r="G714" s="139"/>
      <c r="H714" s="139"/>
      <c r="I714" s="139">
        <f>IFERROR(__xludf.DUMMYFUNCTION("""COMPUTED_VALUE"""),134.0)</f>
        <v>134</v>
      </c>
      <c r="J714" s="139">
        <f>IFERROR(__xludf.DUMMYFUNCTION("""COMPUTED_VALUE"""),77.0)</f>
        <v>77</v>
      </c>
      <c r="K714" s="139">
        <f>IFERROR(__xludf.DUMMYFUNCTION("""COMPUTED_VALUE"""),0.0)</f>
        <v>0</v>
      </c>
      <c r="L714" s="139"/>
      <c r="M714" s="139" t="str">
        <f>IFERROR(__xludf.DUMMYFUNCTION("""COMPUTED_VALUE"""),"自身と同じコマと二つ先までのコマにいる敵複数体に自身の攻撃ステータスの{chara_sur_00501_Special_00005_power_parameter}%のダメージ + 攻撃がヒットした場合、敵を2.5秒間、スタン状態にする")</f>
        <v>自身と同じコマと二つ先までのコマにいる敵複数体に自身の攻撃ステータスの{chara_sur_00501_Special_00005_power_parameter}%のダメージ + 攻撃がヒットした場合、敵を2.5秒間、スタン状態にする</v>
      </c>
      <c r="N714" s="139" t="str">
        <f>IFERROR(__xludf.DUMMYFUNCTION("""COMPUTED_VALUE"""),"ステータスUP + 必殺ワザ性能UP")</f>
        <v>ステータスUP + 必殺ワザ性能UP</v>
      </c>
    </row>
    <row r="715">
      <c r="A715" s="139"/>
      <c r="B715" s="139"/>
      <c r="C715" s="139" t="str">
        <f>IFERROR(__xludf.DUMMYFUNCTION("""COMPUTED_VALUE"""),"chara_yuw_00601_Special_00006")</f>
        <v>chara_yuw_00601_Special_00006</v>
      </c>
      <c r="D715" s="139" t="str">
        <f>IFERROR(__xludf.DUMMYFUNCTION("""COMPUTED_VALUE"""),"chara_yuw_00601")</f>
        <v>chara_yuw_00601</v>
      </c>
      <c r="E715" s="139">
        <f>IFERROR(__xludf.DUMMYFUNCTION("""COMPUTED_VALUE"""),6.0)</f>
        <v>6</v>
      </c>
      <c r="F715" s="139" t="str">
        <f>IFERROR(__xludf.DUMMYFUNCTION("""COMPUTED_VALUE"""),"Special")</f>
        <v>Special</v>
      </c>
      <c r="G715" s="139"/>
      <c r="H715" s="139"/>
      <c r="I715" s="139">
        <f>IFERROR(__xludf.DUMMYFUNCTION("""COMPUTED_VALUE"""),92.0)</f>
        <v>92</v>
      </c>
      <c r="J715" s="139">
        <f>IFERROR(__xludf.DUMMYFUNCTION("""COMPUTED_VALUE"""),34.0)</f>
        <v>34</v>
      </c>
      <c r="K715" s="139">
        <f>IFERROR(__xludf.DUMMYFUNCTION("""COMPUTED_VALUE"""),0.0)</f>
        <v>0</v>
      </c>
      <c r="L715" s="139"/>
      <c r="M715" s="139"/>
      <c r="N715" s="139"/>
    </row>
    <row r="716">
      <c r="A716" s="139"/>
      <c r="B716" s="139"/>
      <c r="C716" s="139" t="str">
        <f>IFERROR(__xludf.DUMMYFUNCTION("""COMPUTED_VALUE"""),"chara_yuw_00601_Special_00007")</f>
        <v>chara_yuw_00601_Special_00007</v>
      </c>
      <c r="D716" s="139" t="str">
        <f>IFERROR(__xludf.DUMMYFUNCTION("""COMPUTED_VALUE"""),"chara_yuw_00601")</f>
        <v>chara_yuw_00601</v>
      </c>
      <c r="E716" s="139">
        <f>IFERROR(__xludf.DUMMYFUNCTION("""COMPUTED_VALUE"""),7.0)</f>
        <v>7</v>
      </c>
      <c r="F716" s="139" t="str">
        <f>IFERROR(__xludf.DUMMYFUNCTION("""COMPUTED_VALUE"""),"Special")</f>
        <v>Special</v>
      </c>
      <c r="G716" s="139"/>
      <c r="H716" s="139"/>
      <c r="I716" s="139">
        <f>IFERROR(__xludf.DUMMYFUNCTION("""COMPUTED_VALUE"""),92.0)</f>
        <v>92</v>
      </c>
      <c r="J716" s="139">
        <f>IFERROR(__xludf.DUMMYFUNCTION("""COMPUTED_VALUE"""),34.0)</f>
        <v>34</v>
      </c>
      <c r="K716" s="139">
        <f>IFERROR(__xludf.DUMMYFUNCTION("""COMPUTED_VALUE"""),0.0)</f>
        <v>0</v>
      </c>
      <c r="L716" s="139"/>
      <c r="M716" s="139"/>
      <c r="N716" s="139"/>
    </row>
    <row r="717">
      <c r="A717" s="139"/>
      <c r="B717" s="139"/>
      <c r="C717" s="139" t="str">
        <f>IFERROR(__xludf.DUMMYFUNCTION("""COMPUTED_VALUE"""),"chara_yuw_00601_Special_00008")</f>
        <v>chara_yuw_00601_Special_00008</v>
      </c>
      <c r="D717" s="139" t="str">
        <f>IFERROR(__xludf.DUMMYFUNCTION("""COMPUTED_VALUE"""),"chara_yuw_00601")</f>
        <v>chara_yuw_00601</v>
      </c>
      <c r="E717" s="139">
        <f>IFERROR(__xludf.DUMMYFUNCTION("""COMPUTED_VALUE"""),8.0)</f>
        <v>8</v>
      </c>
      <c r="F717" s="139" t="str">
        <f>IFERROR(__xludf.DUMMYFUNCTION("""COMPUTED_VALUE"""),"Special")</f>
        <v>Special</v>
      </c>
      <c r="G717" s="139"/>
      <c r="H717" s="139"/>
      <c r="I717" s="139">
        <f>IFERROR(__xludf.DUMMYFUNCTION("""COMPUTED_VALUE"""),92.0)</f>
        <v>92</v>
      </c>
      <c r="J717" s="139">
        <f>IFERROR(__xludf.DUMMYFUNCTION("""COMPUTED_VALUE"""),34.0)</f>
        <v>34</v>
      </c>
      <c r="K717" s="139">
        <f>IFERROR(__xludf.DUMMYFUNCTION("""COMPUTED_VALUE"""),0.0)</f>
        <v>0</v>
      </c>
      <c r="L717" s="139"/>
      <c r="M717" s="139"/>
      <c r="N717" s="139"/>
    </row>
    <row r="718">
      <c r="A718" s="139"/>
      <c r="B718" s="139"/>
      <c r="C718" s="139" t="str">
        <f>IFERROR(__xludf.DUMMYFUNCTION("""COMPUTED_VALUE"""),"chara_yuw_00601_Special_00009")</f>
        <v>chara_yuw_00601_Special_00009</v>
      </c>
      <c r="D718" s="139" t="str">
        <f>IFERROR(__xludf.DUMMYFUNCTION("""COMPUTED_VALUE"""),"chara_yuw_00601")</f>
        <v>chara_yuw_00601</v>
      </c>
      <c r="E718" s="139">
        <f>IFERROR(__xludf.DUMMYFUNCTION("""COMPUTED_VALUE"""),9.0)</f>
        <v>9</v>
      </c>
      <c r="F718" s="139" t="str">
        <f>IFERROR(__xludf.DUMMYFUNCTION("""COMPUTED_VALUE"""),"Special")</f>
        <v>Special</v>
      </c>
      <c r="G718" s="139"/>
      <c r="H718" s="139"/>
      <c r="I718" s="139">
        <f>IFERROR(__xludf.DUMMYFUNCTION("""COMPUTED_VALUE"""),92.0)</f>
        <v>92</v>
      </c>
      <c r="J718" s="139">
        <f>IFERROR(__xludf.DUMMYFUNCTION("""COMPUTED_VALUE"""),34.0)</f>
        <v>34</v>
      </c>
      <c r="K718" s="139">
        <f>IFERROR(__xludf.DUMMYFUNCTION("""COMPUTED_VALUE"""),0.0)</f>
        <v>0</v>
      </c>
      <c r="L718" s="139"/>
      <c r="M718" s="139"/>
      <c r="N718" s="139"/>
    </row>
    <row r="719">
      <c r="A719" s="139"/>
      <c r="B719" s="139"/>
      <c r="C719" s="139" t="str">
        <f>IFERROR(__xludf.DUMMYFUNCTION("""COMPUTED_VALUE"""),"chara_yuw_00601_Special_00010")</f>
        <v>chara_yuw_00601_Special_00010</v>
      </c>
      <c r="D719" s="139" t="str">
        <f>IFERROR(__xludf.DUMMYFUNCTION("""COMPUTED_VALUE"""),"chara_yuw_00601")</f>
        <v>chara_yuw_00601</v>
      </c>
      <c r="E719" s="139">
        <f>IFERROR(__xludf.DUMMYFUNCTION("""COMPUTED_VALUE"""),10.0)</f>
        <v>10</v>
      </c>
      <c r="F719" s="139" t="str">
        <f>IFERROR(__xludf.DUMMYFUNCTION("""COMPUTED_VALUE"""),"Special")</f>
        <v>Special</v>
      </c>
      <c r="G719" s="139"/>
      <c r="H719" s="139"/>
      <c r="I719" s="139">
        <f>IFERROR(__xludf.DUMMYFUNCTION("""COMPUTED_VALUE"""),92.0)</f>
        <v>92</v>
      </c>
      <c r="J719" s="139">
        <f>IFERROR(__xludf.DUMMYFUNCTION("""COMPUTED_VALUE"""),34.0)</f>
        <v>34</v>
      </c>
      <c r="K719" s="139">
        <f>IFERROR(__xludf.DUMMYFUNCTION("""COMPUTED_VALUE"""),0.0)</f>
        <v>0</v>
      </c>
      <c r="L719" s="139"/>
      <c r="M719" s="139"/>
      <c r="N719" s="139"/>
    </row>
    <row r="720">
      <c r="A720" s="139" t="str">
        <f>IFERROR(__xludf.DUMMYFUNCTION("""COMPUTED_VALUE"""),"e")</f>
        <v>e</v>
      </c>
      <c r="B720" s="139">
        <f>IFERROR(__xludf.DUMMYFUNCTION("""COMPUTED_VALUE"""),2.0251201E8)</f>
        <v>202512010</v>
      </c>
      <c r="C720" s="139" t="str">
        <f>IFERROR(__xludf.DUMMYFUNCTION("""COMPUTED_VALUE"""),"chara_sur_00601_Normal_00000")</f>
        <v>chara_sur_00601_Normal_00000</v>
      </c>
      <c r="D720" s="139" t="str">
        <f>IFERROR(__xludf.DUMMYFUNCTION("""COMPUTED_VALUE"""),"chara_sur_00601")</f>
        <v>chara_sur_00601</v>
      </c>
      <c r="E720" s="139">
        <f>IFERROR(__xludf.DUMMYFUNCTION("""COMPUTED_VALUE"""),0.0)</f>
        <v>0</v>
      </c>
      <c r="F720" s="139" t="str">
        <f>IFERROR(__xludf.DUMMYFUNCTION("""COMPUTED_VALUE"""),"Normal")</f>
        <v>Normal</v>
      </c>
      <c r="G720" s="139"/>
      <c r="H720" s="139"/>
      <c r="I720" s="139">
        <f>IFERROR(__xludf.DUMMYFUNCTION("""COMPUTED_VALUE"""),82.0)</f>
        <v>82</v>
      </c>
      <c r="J720" s="139">
        <f>IFERROR(__xludf.DUMMYFUNCTION("""COMPUTED_VALUE"""),38.0)</f>
        <v>38</v>
      </c>
      <c r="K720" s="139">
        <f>IFERROR(__xludf.DUMMYFUNCTION("""COMPUTED_VALUE"""),75.0)</f>
        <v>75</v>
      </c>
      <c r="L720" s="139"/>
      <c r="M720" s="139" t="str">
        <f>IFERROR(__xludf.DUMMYFUNCTION("""COMPUTED_VALUE"""),"表示場所なし")</f>
        <v>表示場所なし</v>
      </c>
      <c r="N720" s="139"/>
    </row>
    <row r="721">
      <c r="A721" s="139" t="str">
        <f>IFERROR(__xludf.DUMMYFUNCTION("""COMPUTED_VALUE"""),"e")</f>
        <v>e</v>
      </c>
      <c r="B721" s="139">
        <f>IFERROR(__xludf.DUMMYFUNCTION("""COMPUTED_VALUE"""),2.0251201E8)</f>
        <v>202512010</v>
      </c>
      <c r="C721" s="139" t="str">
        <f>IFERROR(__xludf.DUMMYFUNCTION("""COMPUTED_VALUE"""),"chara_sur_00601_Special_00001")</f>
        <v>chara_sur_00601_Special_00001</v>
      </c>
      <c r="D721" s="139" t="str">
        <f>IFERROR(__xludf.DUMMYFUNCTION("""COMPUTED_VALUE"""),"chara_sur_00601")</f>
        <v>chara_sur_00601</v>
      </c>
      <c r="E721" s="139">
        <f>IFERROR(__xludf.DUMMYFUNCTION("""COMPUTED_VALUE"""),1.0)</f>
        <v>1</v>
      </c>
      <c r="F721" s="139" t="str">
        <f>IFERROR(__xludf.DUMMYFUNCTION("""COMPUTED_VALUE"""),"Special")</f>
        <v>Special</v>
      </c>
      <c r="G721" s="139"/>
      <c r="H721" s="139"/>
      <c r="I721" s="139">
        <f>IFERROR(__xludf.DUMMYFUNCTION("""COMPUTED_VALUE"""),167.0)</f>
        <v>167</v>
      </c>
      <c r="J721" s="139">
        <f>IFERROR(__xludf.DUMMYFUNCTION("""COMPUTED_VALUE"""),60.0)</f>
        <v>60</v>
      </c>
      <c r="K721" s="139">
        <f>IFERROR(__xludf.DUMMYFUNCTION("""COMPUTED_VALUE"""),0.0)</f>
        <v>0</v>
      </c>
      <c r="L721" s="139"/>
      <c r="M721" s="139" t="str">
        <f>IFERROR(__xludf.DUMMYFUNCTION("""COMPUTED_VALUE"""),"敵複数体に自身の攻撃ステータスの{chara_sur_00601_Special_00001_power_parameter}%のダメージ + 攻撃がヒットした場合、敵を1秒間、スタン状態にする")</f>
        <v>敵複数体に自身の攻撃ステータスの{chara_sur_00601_Special_00001_power_parameter}%のダメージ + 攻撃がヒットした場合、敵を1秒間、スタン状態にする</v>
      </c>
      <c r="N721" s="139"/>
    </row>
    <row r="722">
      <c r="A722" s="139" t="str">
        <f>IFERROR(__xludf.DUMMYFUNCTION("""COMPUTED_VALUE"""),"e")</f>
        <v>e</v>
      </c>
      <c r="B722" s="139">
        <f>IFERROR(__xludf.DUMMYFUNCTION("""COMPUTED_VALUE"""),2.0251201E8)</f>
        <v>202512010</v>
      </c>
      <c r="C722" s="139" t="str">
        <f>IFERROR(__xludf.DUMMYFUNCTION("""COMPUTED_VALUE"""),"chara_sur_00601_Special_00002")</f>
        <v>chara_sur_00601_Special_00002</v>
      </c>
      <c r="D722" s="139" t="str">
        <f>IFERROR(__xludf.DUMMYFUNCTION("""COMPUTED_VALUE"""),"chara_sur_00601")</f>
        <v>chara_sur_00601</v>
      </c>
      <c r="E722" s="139">
        <f>IFERROR(__xludf.DUMMYFUNCTION("""COMPUTED_VALUE"""),2.0)</f>
        <v>2</v>
      </c>
      <c r="F722" s="139" t="str">
        <f>IFERROR(__xludf.DUMMYFUNCTION("""COMPUTED_VALUE"""),"Special")</f>
        <v>Special</v>
      </c>
      <c r="G722" s="139"/>
      <c r="H722" s="139"/>
      <c r="I722" s="139">
        <f>IFERROR(__xludf.DUMMYFUNCTION("""COMPUTED_VALUE"""),167.0)</f>
        <v>167</v>
      </c>
      <c r="J722" s="139">
        <f>IFERROR(__xludf.DUMMYFUNCTION("""COMPUTED_VALUE"""),60.0)</f>
        <v>60</v>
      </c>
      <c r="K722" s="139">
        <f>IFERROR(__xludf.DUMMYFUNCTION("""COMPUTED_VALUE"""),0.0)</f>
        <v>0</v>
      </c>
      <c r="L722" s="139"/>
      <c r="M722" s="139" t="str">
        <f>IFERROR(__xludf.DUMMYFUNCTION("""COMPUTED_VALUE"""),"敵複数体に自身の攻撃ステータスの{chara_sur_00601_Special_00002_power_parameter}%のダメージ + 攻撃がヒットした場合、敵を1.4秒間、スタン状態にする")</f>
        <v>敵複数体に自身の攻撃ステータスの{chara_sur_00601_Special_00002_power_parameter}%のダメージ + 攻撃がヒットした場合、敵を1.4秒間、スタン状態にする</v>
      </c>
      <c r="N722" s="139" t="str">
        <f>IFERROR(__xludf.DUMMYFUNCTION("""COMPUTED_VALUE"""),"ステータスUP + 必殺ワザ性能UP")</f>
        <v>ステータスUP + 必殺ワザ性能UP</v>
      </c>
    </row>
    <row r="723">
      <c r="A723" s="139" t="str">
        <f>IFERROR(__xludf.DUMMYFUNCTION("""COMPUTED_VALUE"""),"e")</f>
        <v>e</v>
      </c>
      <c r="B723" s="139">
        <f>IFERROR(__xludf.DUMMYFUNCTION("""COMPUTED_VALUE"""),2.0251201E8)</f>
        <v>202512010</v>
      </c>
      <c r="C723" s="139" t="str">
        <f>IFERROR(__xludf.DUMMYFUNCTION("""COMPUTED_VALUE"""),"chara_sur_00601_Special_00003")</f>
        <v>chara_sur_00601_Special_00003</v>
      </c>
      <c r="D723" s="139" t="str">
        <f>IFERROR(__xludf.DUMMYFUNCTION("""COMPUTED_VALUE"""),"chara_sur_00601")</f>
        <v>chara_sur_00601</v>
      </c>
      <c r="E723" s="139">
        <f>IFERROR(__xludf.DUMMYFUNCTION("""COMPUTED_VALUE"""),3.0)</f>
        <v>3</v>
      </c>
      <c r="F723" s="139" t="str">
        <f>IFERROR(__xludf.DUMMYFUNCTION("""COMPUTED_VALUE"""),"Special")</f>
        <v>Special</v>
      </c>
      <c r="G723" s="139"/>
      <c r="H723" s="139"/>
      <c r="I723" s="139">
        <f>IFERROR(__xludf.DUMMYFUNCTION("""COMPUTED_VALUE"""),167.0)</f>
        <v>167</v>
      </c>
      <c r="J723" s="139">
        <f>IFERROR(__xludf.DUMMYFUNCTION("""COMPUTED_VALUE"""),60.0)</f>
        <v>60</v>
      </c>
      <c r="K723" s="139">
        <f>IFERROR(__xludf.DUMMYFUNCTION("""COMPUTED_VALUE"""),0.0)</f>
        <v>0</v>
      </c>
      <c r="L723" s="139"/>
      <c r="M723" s="139" t="str">
        <f>IFERROR(__xludf.DUMMYFUNCTION("""COMPUTED_VALUE"""),"敵複数体に自身の攻撃ステータスの{chara_sur_00601_Special_00003_power_parameter}%のダメージ + 攻撃がヒットした場合、敵を1.7秒間、スタン状態にする")</f>
        <v>敵複数体に自身の攻撃ステータスの{chara_sur_00601_Special_00003_power_parameter}%のダメージ + 攻撃がヒットした場合、敵を1.7秒間、スタン状態にする</v>
      </c>
      <c r="N723" s="139" t="str">
        <f>IFERROR(__xludf.DUMMYFUNCTION("""COMPUTED_VALUE"""),"ステータスUP + 必殺ワザ性能UP")</f>
        <v>ステータスUP + 必殺ワザ性能UP</v>
      </c>
    </row>
    <row r="724">
      <c r="A724" s="139" t="str">
        <f>IFERROR(__xludf.DUMMYFUNCTION("""COMPUTED_VALUE"""),"e")</f>
        <v>e</v>
      </c>
      <c r="B724" s="139">
        <f>IFERROR(__xludf.DUMMYFUNCTION("""COMPUTED_VALUE"""),2.0251201E8)</f>
        <v>202512010</v>
      </c>
      <c r="C724" s="139" t="str">
        <f>IFERROR(__xludf.DUMMYFUNCTION("""COMPUTED_VALUE"""),"chara_sur_00601_Special_00004")</f>
        <v>chara_sur_00601_Special_00004</v>
      </c>
      <c r="D724" s="139" t="str">
        <f>IFERROR(__xludf.DUMMYFUNCTION("""COMPUTED_VALUE"""),"chara_sur_00601")</f>
        <v>chara_sur_00601</v>
      </c>
      <c r="E724" s="139">
        <f>IFERROR(__xludf.DUMMYFUNCTION("""COMPUTED_VALUE"""),4.0)</f>
        <v>4</v>
      </c>
      <c r="F724" s="139" t="str">
        <f>IFERROR(__xludf.DUMMYFUNCTION("""COMPUTED_VALUE"""),"Special")</f>
        <v>Special</v>
      </c>
      <c r="G724" s="139"/>
      <c r="H724" s="139"/>
      <c r="I724" s="139">
        <f>IFERROR(__xludf.DUMMYFUNCTION("""COMPUTED_VALUE"""),167.0)</f>
        <v>167</v>
      </c>
      <c r="J724" s="139">
        <f>IFERROR(__xludf.DUMMYFUNCTION("""COMPUTED_VALUE"""),60.0)</f>
        <v>60</v>
      </c>
      <c r="K724" s="139">
        <f>IFERROR(__xludf.DUMMYFUNCTION("""COMPUTED_VALUE"""),0.0)</f>
        <v>0</v>
      </c>
      <c r="L724" s="139"/>
      <c r="M724" s="139" t="str">
        <f>IFERROR(__xludf.DUMMYFUNCTION("""COMPUTED_VALUE"""),"敵複数体に自身の攻撃ステータスの{chara_sur_00601_Special_00004_power_parameter}%のダメージ + 攻撃がヒットした場合、敵を2.1秒間、スタン状態にする")</f>
        <v>敵複数体に自身の攻撃ステータスの{chara_sur_00601_Special_00004_power_parameter}%のダメージ + 攻撃がヒットした場合、敵を2.1秒間、スタン状態にする</v>
      </c>
      <c r="N724" s="139" t="str">
        <f>IFERROR(__xludf.DUMMYFUNCTION("""COMPUTED_VALUE"""),"ステータスUP + 必殺ワザ性能UP")</f>
        <v>ステータスUP + 必殺ワザ性能UP</v>
      </c>
    </row>
    <row r="725">
      <c r="A725" s="139" t="str">
        <f>IFERROR(__xludf.DUMMYFUNCTION("""COMPUTED_VALUE"""),"e")</f>
        <v>e</v>
      </c>
      <c r="B725" s="139">
        <f>IFERROR(__xludf.DUMMYFUNCTION("""COMPUTED_VALUE"""),2.0251201E8)</f>
        <v>202512010</v>
      </c>
      <c r="C725" s="139" t="str">
        <f>IFERROR(__xludf.DUMMYFUNCTION("""COMPUTED_VALUE"""),"chara_sur_00601_Special_00005")</f>
        <v>chara_sur_00601_Special_00005</v>
      </c>
      <c r="D725" s="139" t="str">
        <f>IFERROR(__xludf.DUMMYFUNCTION("""COMPUTED_VALUE"""),"chara_sur_00601")</f>
        <v>chara_sur_00601</v>
      </c>
      <c r="E725" s="139">
        <f>IFERROR(__xludf.DUMMYFUNCTION("""COMPUTED_VALUE"""),5.0)</f>
        <v>5</v>
      </c>
      <c r="F725" s="139" t="str">
        <f>IFERROR(__xludf.DUMMYFUNCTION("""COMPUTED_VALUE"""),"Special")</f>
        <v>Special</v>
      </c>
      <c r="G725" s="139"/>
      <c r="H725" s="139"/>
      <c r="I725" s="139">
        <f>IFERROR(__xludf.DUMMYFUNCTION("""COMPUTED_VALUE"""),167.0)</f>
        <v>167</v>
      </c>
      <c r="J725" s="139">
        <f>IFERROR(__xludf.DUMMYFUNCTION("""COMPUTED_VALUE"""),60.0)</f>
        <v>60</v>
      </c>
      <c r="K725" s="139">
        <f>IFERROR(__xludf.DUMMYFUNCTION("""COMPUTED_VALUE"""),0.0)</f>
        <v>0</v>
      </c>
      <c r="L725" s="139"/>
      <c r="M725" s="139" t="str">
        <f>IFERROR(__xludf.DUMMYFUNCTION("""COMPUTED_VALUE"""),"敵複数体に自身の攻撃ステータスの{chara_sur_00601_Special_00005_power_parameter}%のダメージ + 攻撃がヒットした場合、敵を2.3秒間、スタン状態にする")</f>
        <v>敵複数体に自身の攻撃ステータスの{chara_sur_00601_Special_00005_power_parameter}%のダメージ + 攻撃がヒットした場合、敵を2.3秒間、スタン状態にする</v>
      </c>
      <c r="N725" s="139" t="str">
        <f>IFERROR(__xludf.DUMMYFUNCTION("""COMPUTED_VALUE"""),"ステータスUP + 必殺ワザ性能UP")</f>
        <v>ステータスUP + 必殺ワザ性能UP</v>
      </c>
    </row>
    <row r="726">
      <c r="A726" s="139"/>
      <c r="B726" s="139"/>
      <c r="C726" s="139" t="str">
        <f>IFERROR(__xludf.DUMMYFUNCTION("""COMPUTED_VALUE"""),"chara_sur_00601_Special_00006")</f>
        <v>chara_sur_00601_Special_00006</v>
      </c>
      <c r="D726" s="139" t="str">
        <f>IFERROR(__xludf.DUMMYFUNCTION("""COMPUTED_VALUE"""),"chara_sur_00601")</f>
        <v>chara_sur_00601</v>
      </c>
      <c r="E726" s="139">
        <f>IFERROR(__xludf.DUMMYFUNCTION("""COMPUTED_VALUE"""),6.0)</f>
        <v>6</v>
      </c>
      <c r="F726" s="139" t="str">
        <f>IFERROR(__xludf.DUMMYFUNCTION("""COMPUTED_VALUE"""),"Special")</f>
        <v>Special</v>
      </c>
      <c r="G726" s="139"/>
      <c r="H726" s="139"/>
      <c r="I726" s="139">
        <f>IFERROR(__xludf.DUMMYFUNCTION("""COMPUTED_VALUE"""),92.0)</f>
        <v>92</v>
      </c>
      <c r="J726" s="139">
        <f>IFERROR(__xludf.DUMMYFUNCTION("""COMPUTED_VALUE"""),34.0)</f>
        <v>34</v>
      </c>
      <c r="K726" s="139">
        <f>IFERROR(__xludf.DUMMYFUNCTION("""COMPUTED_VALUE"""),0.0)</f>
        <v>0</v>
      </c>
      <c r="L726" s="139"/>
      <c r="M726" s="139"/>
      <c r="N726" s="139"/>
    </row>
    <row r="727">
      <c r="A727" s="139"/>
      <c r="B727" s="139"/>
      <c r="C727" s="139" t="str">
        <f>IFERROR(__xludf.DUMMYFUNCTION("""COMPUTED_VALUE"""),"chara_sur_00601_Special_00007")</f>
        <v>chara_sur_00601_Special_00007</v>
      </c>
      <c r="D727" s="139" t="str">
        <f>IFERROR(__xludf.DUMMYFUNCTION("""COMPUTED_VALUE"""),"chara_sur_00601")</f>
        <v>chara_sur_00601</v>
      </c>
      <c r="E727" s="139">
        <f>IFERROR(__xludf.DUMMYFUNCTION("""COMPUTED_VALUE"""),7.0)</f>
        <v>7</v>
      </c>
      <c r="F727" s="139" t="str">
        <f>IFERROR(__xludf.DUMMYFUNCTION("""COMPUTED_VALUE"""),"Special")</f>
        <v>Special</v>
      </c>
      <c r="G727" s="139"/>
      <c r="H727" s="139"/>
      <c r="I727" s="139">
        <f>IFERROR(__xludf.DUMMYFUNCTION("""COMPUTED_VALUE"""),92.0)</f>
        <v>92</v>
      </c>
      <c r="J727" s="139">
        <f>IFERROR(__xludf.DUMMYFUNCTION("""COMPUTED_VALUE"""),34.0)</f>
        <v>34</v>
      </c>
      <c r="K727" s="139">
        <f>IFERROR(__xludf.DUMMYFUNCTION("""COMPUTED_VALUE"""),0.0)</f>
        <v>0</v>
      </c>
      <c r="L727" s="139"/>
      <c r="M727" s="139"/>
      <c r="N727" s="139"/>
    </row>
    <row r="728">
      <c r="A728" s="139"/>
      <c r="B728" s="139"/>
      <c r="C728" s="139" t="str">
        <f>IFERROR(__xludf.DUMMYFUNCTION("""COMPUTED_VALUE"""),"chara_sur_00601_Special_00008")</f>
        <v>chara_sur_00601_Special_00008</v>
      </c>
      <c r="D728" s="139" t="str">
        <f>IFERROR(__xludf.DUMMYFUNCTION("""COMPUTED_VALUE"""),"chara_sur_00601")</f>
        <v>chara_sur_00601</v>
      </c>
      <c r="E728" s="139">
        <f>IFERROR(__xludf.DUMMYFUNCTION("""COMPUTED_VALUE"""),8.0)</f>
        <v>8</v>
      </c>
      <c r="F728" s="139" t="str">
        <f>IFERROR(__xludf.DUMMYFUNCTION("""COMPUTED_VALUE"""),"Special")</f>
        <v>Special</v>
      </c>
      <c r="G728" s="139"/>
      <c r="H728" s="139"/>
      <c r="I728" s="139">
        <f>IFERROR(__xludf.DUMMYFUNCTION("""COMPUTED_VALUE"""),92.0)</f>
        <v>92</v>
      </c>
      <c r="J728" s="139">
        <f>IFERROR(__xludf.DUMMYFUNCTION("""COMPUTED_VALUE"""),34.0)</f>
        <v>34</v>
      </c>
      <c r="K728" s="139">
        <f>IFERROR(__xludf.DUMMYFUNCTION("""COMPUTED_VALUE"""),0.0)</f>
        <v>0</v>
      </c>
      <c r="L728" s="139"/>
      <c r="M728" s="139"/>
      <c r="N728" s="139"/>
    </row>
    <row r="729">
      <c r="A729" s="139"/>
      <c r="B729" s="139"/>
      <c r="C729" s="139" t="str">
        <f>IFERROR(__xludf.DUMMYFUNCTION("""COMPUTED_VALUE"""),"chara_sur_00601_Special_00009")</f>
        <v>chara_sur_00601_Special_00009</v>
      </c>
      <c r="D729" s="139" t="str">
        <f>IFERROR(__xludf.DUMMYFUNCTION("""COMPUTED_VALUE"""),"chara_sur_00601")</f>
        <v>chara_sur_00601</v>
      </c>
      <c r="E729" s="139">
        <f>IFERROR(__xludf.DUMMYFUNCTION("""COMPUTED_VALUE"""),9.0)</f>
        <v>9</v>
      </c>
      <c r="F729" s="139" t="str">
        <f>IFERROR(__xludf.DUMMYFUNCTION("""COMPUTED_VALUE"""),"Special")</f>
        <v>Special</v>
      </c>
      <c r="G729" s="139"/>
      <c r="H729" s="139"/>
      <c r="I729" s="139">
        <f>IFERROR(__xludf.DUMMYFUNCTION("""COMPUTED_VALUE"""),92.0)</f>
        <v>92</v>
      </c>
      <c r="J729" s="139">
        <f>IFERROR(__xludf.DUMMYFUNCTION("""COMPUTED_VALUE"""),34.0)</f>
        <v>34</v>
      </c>
      <c r="K729" s="139">
        <f>IFERROR(__xludf.DUMMYFUNCTION("""COMPUTED_VALUE"""),0.0)</f>
        <v>0</v>
      </c>
      <c r="L729" s="139"/>
      <c r="M729" s="139"/>
      <c r="N729" s="139"/>
    </row>
    <row r="730">
      <c r="A730" s="139"/>
      <c r="B730" s="139"/>
      <c r="C730" s="139" t="str">
        <f>IFERROR(__xludf.DUMMYFUNCTION("""COMPUTED_VALUE"""),"chara_sur_00601_Special_00010")</f>
        <v>chara_sur_00601_Special_00010</v>
      </c>
      <c r="D730" s="139" t="str">
        <f>IFERROR(__xludf.DUMMYFUNCTION("""COMPUTED_VALUE"""),"chara_sur_00601")</f>
        <v>chara_sur_00601</v>
      </c>
      <c r="E730" s="139">
        <f>IFERROR(__xludf.DUMMYFUNCTION("""COMPUTED_VALUE"""),10.0)</f>
        <v>10</v>
      </c>
      <c r="F730" s="139" t="str">
        <f>IFERROR(__xludf.DUMMYFUNCTION("""COMPUTED_VALUE"""),"Special")</f>
        <v>Special</v>
      </c>
      <c r="G730" s="139"/>
      <c r="H730" s="139"/>
      <c r="I730" s="139">
        <f>IFERROR(__xludf.DUMMYFUNCTION("""COMPUTED_VALUE"""),92.0)</f>
        <v>92</v>
      </c>
      <c r="J730" s="139">
        <f>IFERROR(__xludf.DUMMYFUNCTION("""COMPUTED_VALUE"""),34.0)</f>
        <v>34</v>
      </c>
      <c r="K730" s="139">
        <f>IFERROR(__xludf.DUMMYFUNCTION("""COMPUTED_VALUE"""),0.0)</f>
        <v>0</v>
      </c>
      <c r="L730" s="139"/>
      <c r="M730" s="139"/>
      <c r="N730" s="139"/>
    </row>
    <row r="731">
      <c r="A731" s="139" t="str">
        <f>IFERROR(__xludf.DUMMYFUNCTION("""COMPUTED_VALUE"""),"e")</f>
        <v>e</v>
      </c>
      <c r="B731" s="139">
        <f>IFERROR(__xludf.DUMMYFUNCTION("""COMPUTED_VALUE"""),2.0251201E8)</f>
        <v>202512010</v>
      </c>
      <c r="C731" s="139" t="str">
        <f>IFERROR(__xludf.DUMMYFUNCTION("""COMPUTED_VALUE"""),"chara_sur_00701_Normal_00000")</f>
        <v>chara_sur_00701_Normal_00000</v>
      </c>
      <c r="D731" s="139" t="str">
        <f>IFERROR(__xludf.DUMMYFUNCTION("""COMPUTED_VALUE"""),"chara_sur_00701")</f>
        <v>chara_sur_00701</v>
      </c>
      <c r="E731" s="139">
        <f>IFERROR(__xludf.DUMMYFUNCTION("""COMPUTED_VALUE"""),0.0)</f>
        <v>0</v>
      </c>
      <c r="F731" s="139" t="str">
        <f>IFERROR(__xludf.DUMMYFUNCTION("""COMPUTED_VALUE"""),"Normal")</f>
        <v>Normal</v>
      </c>
      <c r="G731" s="139"/>
      <c r="H731" s="139"/>
      <c r="I731" s="139">
        <f>IFERROR(__xludf.DUMMYFUNCTION("""COMPUTED_VALUE"""),54.0)</f>
        <v>54</v>
      </c>
      <c r="J731" s="139">
        <f>IFERROR(__xludf.DUMMYFUNCTION("""COMPUTED_VALUE"""),14.0)</f>
        <v>14</v>
      </c>
      <c r="K731" s="139">
        <f>IFERROR(__xludf.DUMMYFUNCTION("""COMPUTED_VALUE"""),25.0)</f>
        <v>25</v>
      </c>
      <c r="L731" s="139"/>
      <c r="M731" s="139" t="str">
        <f>IFERROR(__xludf.DUMMYFUNCTION("""COMPUTED_VALUE"""),"表示場所なし")</f>
        <v>表示場所なし</v>
      </c>
      <c r="N731" s="139"/>
    </row>
    <row r="732">
      <c r="A732" s="139" t="str">
        <f>IFERROR(__xludf.DUMMYFUNCTION("""COMPUTED_VALUE"""),"e")</f>
        <v>e</v>
      </c>
      <c r="B732" s="139">
        <f>IFERROR(__xludf.DUMMYFUNCTION("""COMPUTED_VALUE"""),2.0251201E8)</f>
        <v>202512010</v>
      </c>
      <c r="C732" s="139" t="str">
        <f>IFERROR(__xludf.DUMMYFUNCTION("""COMPUTED_VALUE"""),"chara_sur_00701_Special_00001")</f>
        <v>chara_sur_00701_Special_00001</v>
      </c>
      <c r="D732" s="139" t="str">
        <f>IFERROR(__xludf.DUMMYFUNCTION("""COMPUTED_VALUE"""),"chara_sur_00701")</f>
        <v>chara_sur_00701</v>
      </c>
      <c r="E732" s="139">
        <f>IFERROR(__xludf.DUMMYFUNCTION("""COMPUTED_VALUE"""),1.0)</f>
        <v>1</v>
      </c>
      <c r="F732" s="139" t="str">
        <f>IFERROR(__xludf.DUMMYFUNCTION("""COMPUTED_VALUE"""),"Special")</f>
        <v>Special</v>
      </c>
      <c r="G732" s="139"/>
      <c r="H732" s="139"/>
      <c r="I732" s="139">
        <f>IFERROR(__xludf.DUMMYFUNCTION("""COMPUTED_VALUE"""),101.0)</f>
        <v>101</v>
      </c>
      <c r="J732" s="139">
        <f>IFERROR(__xludf.DUMMYFUNCTION("""COMPUTED_VALUE"""),0.0)</f>
        <v>0</v>
      </c>
      <c r="K732" s="139">
        <f>IFERROR(__xludf.DUMMYFUNCTION("""COMPUTED_VALUE"""),0.0)</f>
        <v>0</v>
      </c>
      <c r="L732" s="139"/>
      <c r="M732" s="139" t="str">
        <f>IFERROR(__xludf.DUMMYFUNCTION("""COMPUTED_VALUE"""),"敵複数体に最大4回の連続攻撃(自身の攻撃ステータスの最大91%ダメージ)")</f>
        <v>敵複数体に最大4回の連続攻撃(自身の攻撃ステータスの最大91%ダメージ)</v>
      </c>
      <c r="N732" s="139"/>
    </row>
    <row r="733">
      <c r="A733" s="139" t="str">
        <f>IFERROR(__xludf.DUMMYFUNCTION("""COMPUTED_VALUE"""),"e")</f>
        <v>e</v>
      </c>
      <c r="B733" s="139">
        <f>IFERROR(__xludf.DUMMYFUNCTION("""COMPUTED_VALUE"""),2.0251201E8)</f>
        <v>202512010</v>
      </c>
      <c r="C733" s="139" t="str">
        <f>IFERROR(__xludf.DUMMYFUNCTION("""COMPUTED_VALUE"""),"chara_sur_00701_Special_00002")</f>
        <v>chara_sur_00701_Special_00002</v>
      </c>
      <c r="D733" s="139" t="str">
        <f>IFERROR(__xludf.DUMMYFUNCTION("""COMPUTED_VALUE"""),"chara_sur_00701")</f>
        <v>chara_sur_00701</v>
      </c>
      <c r="E733" s="139">
        <f>IFERROR(__xludf.DUMMYFUNCTION("""COMPUTED_VALUE"""),2.0)</f>
        <v>2</v>
      </c>
      <c r="F733" s="139" t="str">
        <f>IFERROR(__xludf.DUMMYFUNCTION("""COMPUTED_VALUE"""),"Special")</f>
        <v>Special</v>
      </c>
      <c r="G733" s="139"/>
      <c r="H733" s="139"/>
      <c r="I733" s="139">
        <f>IFERROR(__xludf.DUMMYFUNCTION("""COMPUTED_VALUE"""),101.0)</f>
        <v>101</v>
      </c>
      <c r="J733" s="139">
        <f>IFERROR(__xludf.DUMMYFUNCTION("""COMPUTED_VALUE"""),0.0)</f>
        <v>0</v>
      </c>
      <c r="K733" s="139">
        <f>IFERROR(__xludf.DUMMYFUNCTION("""COMPUTED_VALUE"""),0.0)</f>
        <v>0</v>
      </c>
      <c r="L733" s="139"/>
      <c r="M733" s="139" t="str">
        <f>IFERROR(__xludf.DUMMYFUNCTION("""COMPUTED_VALUE"""),"敵複数体に最大4回の連続攻撃(自身の攻撃ステータスの最大101%ダメージ)")</f>
        <v>敵複数体に最大4回の連続攻撃(自身の攻撃ステータスの最大101%ダメージ)</v>
      </c>
      <c r="N733" s="139" t="str">
        <f>IFERROR(__xludf.DUMMYFUNCTION("""COMPUTED_VALUE"""),"ステータスUP + 必殺ワザ性能UP")</f>
        <v>ステータスUP + 必殺ワザ性能UP</v>
      </c>
    </row>
    <row r="734">
      <c r="A734" s="139" t="str">
        <f>IFERROR(__xludf.DUMMYFUNCTION("""COMPUTED_VALUE"""),"e")</f>
        <v>e</v>
      </c>
      <c r="B734" s="139">
        <f>IFERROR(__xludf.DUMMYFUNCTION("""COMPUTED_VALUE"""),2.0251201E8)</f>
        <v>202512010</v>
      </c>
      <c r="C734" s="139" t="str">
        <f>IFERROR(__xludf.DUMMYFUNCTION("""COMPUTED_VALUE"""),"chara_sur_00701_Special_00003")</f>
        <v>chara_sur_00701_Special_00003</v>
      </c>
      <c r="D734" s="139" t="str">
        <f>IFERROR(__xludf.DUMMYFUNCTION("""COMPUTED_VALUE"""),"chara_sur_00701")</f>
        <v>chara_sur_00701</v>
      </c>
      <c r="E734" s="139">
        <f>IFERROR(__xludf.DUMMYFUNCTION("""COMPUTED_VALUE"""),3.0)</f>
        <v>3</v>
      </c>
      <c r="F734" s="139" t="str">
        <f>IFERROR(__xludf.DUMMYFUNCTION("""COMPUTED_VALUE"""),"Special")</f>
        <v>Special</v>
      </c>
      <c r="G734" s="139"/>
      <c r="H734" s="139"/>
      <c r="I734" s="139">
        <f>IFERROR(__xludf.DUMMYFUNCTION("""COMPUTED_VALUE"""),101.0)</f>
        <v>101</v>
      </c>
      <c r="J734" s="139">
        <f>IFERROR(__xludf.DUMMYFUNCTION("""COMPUTED_VALUE"""),0.0)</f>
        <v>0</v>
      </c>
      <c r="K734" s="139">
        <f>IFERROR(__xludf.DUMMYFUNCTION("""COMPUTED_VALUE"""),0.0)</f>
        <v>0</v>
      </c>
      <c r="L734" s="139"/>
      <c r="M734" s="139" t="str">
        <f>IFERROR(__xludf.DUMMYFUNCTION("""COMPUTED_VALUE"""),"敵複数体に最大4回の連続攻撃(自身の攻撃ステータスの最大108%ダメージ)")</f>
        <v>敵複数体に最大4回の連続攻撃(自身の攻撃ステータスの最大108%ダメージ)</v>
      </c>
      <c r="N734" s="139" t="str">
        <f>IFERROR(__xludf.DUMMYFUNCTION("""COMPUTED_VALUE"""),"ステータスUP + 必殺ワザ性能UP")</f>
        <v>ステータスUP + 必殺ワザ性能UP</v>
      </c>
    </row>
    <row r="735">
      <c r="A735" s="139" t="str">
        <f>IFERROR(__xludf.DUMMYFUNCTION("""COMPUTED_VALUE"""),"e")</f>
        <v>e</v>
      </c>
      <c r="B735" s="139">
        <f>IFERROR(__xludf.DUMMYFUNCTION("""COMPUTED_VALUE"""),2.0251201E8)</f>
        <v>202512010</v>
      </c>
      <c r="C735" s="139" t="str">
        <f>IFERROR(__xludf.DUMMYFUNCTION("""COMPUTED_VALUE"""),"chara_sur_00701_Special_00004")</f>
        <v>chara_sur_00701_Special_00004</v>
      </c>
      <c r="D735" s="139" t="str">
        <f>IFERROR(__xludf.DUMMYFUNCTION("""COMPUTED_VALUE"""),"chara_sur_00701")</f>
        <v>chara_sur_00701</v>
      </c>
      <c r="E735" s="139">
        <f>IFERROR(__xludf.DUMMYFUNCTION("""COMPUTED_VALUE"""),4.0)</f>
        <v>4</v>
      </c>
      <c r="F735" s="139" t="str">
        <f>IFERROR(__xludf.DUMMYFUNCTION("""COMPUTED_VALUE"""),"Special")</f>
        <v>Special</v>
      </c>
      <c r="G735" s="139"/>
      <c r="H735" s="139"/>
      <c r="I735" s="139">
        <f>IFERROR(__xludf.DUMMYFUNCTION("""COMPUTED_VALUE"""),101.0)</f>
        <v>101</v>
      </c>
      <c r="J735" s="139">
        <f>IFERROR(__xludf.DUMMYFUNCTION("""COMPUTED_VALUE"""),0.0)</f>
        <v>0</v>
      </c>
      <c r="K735" s="139">
        <f>IFERROR(__xludf.DUMMYFUNCTION("""COMPUTED_VALUE"""),0.0)</f>
        <v>0</v>
      </c>
      <c r="L735" s="139"/>
      <c r="M735" s="139" t="str">
        <f>IFERROR(__xludf.DUMMYFUNCTION("""COMPUTED_VALUE"""),"敵複数体に最大4回の連続攻撃(自身の攻撃ステータスの最大114%ダメージ)")</f>
        <v>敵複数体に最大4回の連続攻撃(自身の攻撃ステータスの最大114%ダメージ)</v>
      </c>
      <c r="N735" s="139" t="str">
        <f>IFERROR(__xludf.DUMMYFUNCTION("""COMPUTED_VALUE"""),"ステータスUP + 必殺ワザ性能UP")</f>
        <v>ステータスUP + 必殺ワザ性能UP</v>
      </c>
    </row>
    <row r="736">
      <c r="A736" s="139" t="str">
        <f>IFERROR(__xludf.DUMMYFUNCTION("""COMPUTED_VALUE"""),"e")</f>
        <v>e</v>
      </c>
      <c r="B736" s="139">
        <f>IFERROR(__xludf.DUMMYFUNCTION("""COMPUTED_VALUE"""),2.0251201E8)</f>
        <v>202512010</v>
      </c>
      <c r="C736" s="139" t="str">
        <f>IFERROR(__xludf.DUMMYFUNCTION("""COMPUTED_VALUE"""),"chara_sur_00701_Special_00005")</f>
        <v>chara_sur_00701_Special_00005</v>
      </c>
      <c r="D736" s="139" t="str">
        <f>IFERROR(__xludf.DUMMYFUNCTION("""COMPUTED_VALUE"""),"chara_sur_00701")</f>
        <v>chara_sur_00701</v>
      </c>
      <c r="E736" s="139">
        <f>IFERROR(__xludf.DUMMYFUNCTION("""COMPUTED_VALUE"""),5.0)</f>
        <v>5</v>
      </c>
      <c r="F736" s="139" t="str">
        <f>IFERROR(__xludf.DUMMYFUNCTION("""COMPUTED_VALUE"""),"Special")</f>
        <v>Special</v>
      </c>
      <c r="G736" s="139"/>
      <c r="H736" s="139"/>
      <c r="I736" s="139">
        <f>IFERROR(__xludf.DUMMYFUNCTION("""COMPUTED_VALUE"""),101.0)</f>
        <v>101</v>
      </c>
      <c r="J736" s="139">
        <f>IFERROR(__xludf.DUMMYFUNCTION("""COMPUTED_VALUE"""),0.0)</f>
        <v>0</v>
      </c>
      <c r="K736" s="139">
        <f>IFERROR(__xludf.DUMMYFUNCTION("""COMPUTED_VALUE"""),0.0)</f>
        <v>0</v>
      </c>
      <c r="L736" s="139"/>
      <c r="M736" s="139" t="str">
        <f>IFERROR(__xludf.DUMMYFUNCTION("""COMPUTED_VALUE"""),"敵複数体に最大4回の連続攻撃(自身の攻撃ステータスの最大117%ダメージ)")</f>
        <v>敵複数体に最大4回の連続攻撃(自身の攻撃ステータスの最大117%ダメージ)</v>
      </c>
      <c r="N736" s="139" t="str">
        <f>IFERROR(__xludf.DUMMYFUNCTION("""COMPUTED_VALUE"""),"ステータスUP + 必殺ワザ性能UP")</f>
        <v>ステータスUP + 必殺ワザ性能UP</v>
      </c>
    </row>
    <row r="737">
      <c r="A737" s="139"/>
      <c r="B737" s="139"/>
      <c r="C737" s="139" t="str">
        <f>IFERROR(__xludf.DUMMYFUNCTION("""COMPUTED_VALUE"""),"chara_sur_00701_Special_00006")</f>
        <v>chara_sur_00701_Special_00006</v>
      </c>
      <c r="D737" s="139" t="str">
        <f>IFERROR(__xludf.DUMMYFUNCTION("""COMPUTED_VALUE"""),"chara_sur_00701")</f>
        <v>chara_sur_00701</v>
      </c>
      <c r="E737" s="139">
        <f>IFERROR(__xludf.DUMMYFUNCTION("""COMPUTED_VALUE"""),6.0)</f>
        <v>6</v>
      </c>
      <c r="F737" s="139" t="str">
        <f>IFERROR(__xludf.DUMMYFUNCTION("""COMPUTED_VALUE"""),"Special")</f>
        <v>Special</v>
      </c>
      <c r="G737" s="139"/>
      <c r="H737" s="139"/>
      <c r="I737" s="139">
        <f>IFERROR(__xludf.DUMMYFUNCTION("""COMPUTED_VALUE"""),92.0)</f>
        <v>92</v>
      </c>
      <c r="J737" s="139">
        <f>IFERROR(__xludf.DUMMYFUNCTION("""COMPUTED_VALUE"""),34.0)</f>
        <v>34</v>
      </c>
      <c r="K737" s="139">
        <f>IFERROR(__xludf.DUMMYFUNCTION("""COMPUTED_VALUE"""),0.0)</f>
        <v>0</v>
      </c>
      <c r="L737" s="139"/>
      <c r="M737" s="139"/>
      <c r="N737" s="139"/>
    </row>
    <row r="738">
      <c r="A738" s="139"/>
      <c r="B738" s="139"/>
      <c r="C738" s="139" t="str">
        <f>IFERROR(__xludf.DUMMYFUNCTION("""COMPUTED_VALUE"""),"chara_sur_00701_Special_00007")</f>
        <v>chara_sur_00701_Special_00007</v>
      </c>
      <c r="D738" s="139" t="str">
        <f>IFERROR(__xludf.DUMMYFUNCTION("""COMPUTED_VALUE"""),"chara_sur_00701")</f>
        <v>chara_sur_00701</v>
      </c>
      <c r="E738" s="139">
        <f>IFERROR(__xludf.DUMMYFUNCTION("""COMPUTED_VALUE"""),7.0)</f>
        <v>7</v>
      </c>
      <c r="F738" s="139" t="str">
        <f>IFERROR(__xludf.DUMMYFUNCTION("""COMPUTED_VALUE"""),"Special")</f>
        <v>Special</v>
      </c>
      <c r="G738" s="139"/>
      <c r="H738" s="139"/>
      <c r="I738" s="139">
        <f>IFERROR(__xludf.DUMMYFUNCTION("""COMPUTED_VALUE"""),92.0)</f>
        <v>92</v>
      </c>
      <c r="J738" s="139">
        <f>IFERROR(__xludf.DUMMYFUNCTION("""COMPUTED_VALUE"""),34.0)</f>
        <v>34</v>
      </c>
      <c r="K738" s="139">
        <f>IFERROR(__xludf.DUMMYFUNCTION("""COMPUTED_VALUE"""),0.0)</f>
        <v>0</v>
      </c>
      <c r="L738" s="139"/>
      <c r="M738" s="139"/>
      <c r="N738" s="139"/>
    </row>
    <row r="739">
      <c r="A739" s="139"/>
      <c r="B739" s="139"/>
      <c r="C739" s="139" t="str">
        <f>IFERROR(__xludf.DUMMYFUNCTION("""COMPUTED_VALUE"""),"chara_sur_00701_Special_00008")</f>
        <v>chara_sur_00701_Special_00008</v>
      </c>
      <c r="D739" s="139" t="str">
        <f>IFERROR(__xludf.DUMMYFUNCTION("""COMPUTED_VALUE"""),"chara_sur_00701")</f>
        <v>chara_sur_00701</v>
      </c>
      <c r="E739" s="139">
        <f>IFERROR(__xludf.DUMMYFUNCTION("""COMPUTED_VALUE"""),8.0)</f>
        <v>8</v>
      </c>
      <c r="F739" s="139" t="str">
        <f>IFERROR(__xludf.DUMMYFUNCTION("""COMPUTED_VALUE"""),"Special")</f>
        <v>Special</v>
      </c>
      <c r="G739" s="139"/>
      <c r="H739" s="139"/>
      <c r="I739" s="139">
        <f>IFERROR(__xludf.DUMMYFUNCTION("""COMPUTED_VALUE"""),92.0)</f>
        <v>92</v>
      </c>
      <c r="J739" s="139">
        <f>IFERROR(__xludf.DUMMYFUNCTION("""COMPUTED_VALUE"""),34.0)</f>
        <v>34</v>
      </c>
      <c r="K739" s="139">
        <f>IFERROR(__xludf.DUMMYFUNCTION("""COMPUTED_VALUE"""),0.0)</f>
        <v>0</v>
      </c>
      <c r="L739" s="139"/>
      <c r="M739" s="139"/>
      <c r="N739" s="139"/>
    </row>
    <row r="740">
      <c r="A740" s="139"/>
      <c r="B740" s="139"/>
      <c r="C740" s="139" t="str">
        <f>IFERROR(__xludf.DUMMYFUNCTION("""COMPUTED_VALUE"""),"chara_sur_00701_Special_00009")</f>
        <v>chara_sur_00701_Special_00009</v>
      </c>
      <c r="D740" s="139" t="str">
        <f>IFERROR(__xludf.DUMMYFUNCTION("""COMPUTED_VALUE"""),"chara_sur_00701")</f>
        <v>chara_sur_00701</v>
      </c>
      <c r="E740" s="139">
        <f>IFERROR(__xludf.DUMMYFUNCTION("""COMPUTED_VALUE"""),9.0)</f>
        <v>9</v>
      </c>
      <c r="F740" s="139" t="str">
        <f>IFERROR(__xludf.DUMMYFUNCTION("""COMPUTED_VALUE"""),"Special")</f>
        <v>Special</v>
      </c>
      <c r="G740" s="139"/>
      <c r="H740" s="139"/>
      <c r="I740" s="139">
        <f>IFERROR(__xludf.DUMMYFUNCTION("""COMPUTED_VALUE"""),92.0)</f>
        <v>92</v>
      </c>
      <c r="J740" s="139">
        <f>IFERROR(__xludf.DUMMYFUNCTION("""COMPUTED_VALUE"""),34.0)</f>
        <v>34</v>
      </c>
      <c r="K740" s="139">
        <f>IFERROR(__xludf.DUMMYFUNCTION("""COMPUTED_VALUE"""),0.0)</f>
        <v>0</v>
      </c>
      <c r="L740" s="139"/>
      <c r="M740" s="139"/>
      <c r="N740" s="139"/>
    </row>
    <row r="741">
      <c r="A741" s="139"/>
      <c r="B741" s="139"/>
      <c r="C741" s="139" t="str">
        <f>IFERROR(__xludf.DUMMYFUNCTION("""COMPUTED_VALUE"""),"chara_sur_00701_Special_00010")</f>
        <v>chara_sur_00701_Special_00010</v>
      </c>
      <c r="D741" s="139" t="str">
        <f>IFERROR(__xludf.DUMMYFUNCTION("""COMPUTED_VALUE"""),"chara_sur_00701")</f>
        <v>chara_sur_00701</v>
      </c>
      <c r="E741" s="139">
        <f>IFERROR(__xludf.DUMMYFUNCTION("""COMPUTED_VALUE"""),10.0)</f>
        <v>10</v>
      </c>
      <c r="F741" s="139" t="str">
        <f>IFERROR(__xludf.DUMMYFUNCTION("""COMPUTED_VALUE"""),"Special")</f>
        <v>Special</v>
      </c>
      <c r="G741" s="139"/>
      <c r="H741" s="139"/>
      <c r="I741" s="139">
        <f>IFERROR(__xludf.DUMMYFUNCTION("""COMPUTED_VALUE"""),92.0)</f>
        <v>92</v>
      </c>
      <c r="J741" s="139">
        <f>IFERROR(__xludf.DUMMYFUNCTION("""COMPUTED_VALUE"""),34.0)</f>
        <v>34</v>
      </c>
      <c r="K741" s="139">
        <f>IFERROR(__xludf.DUMMYFUNCTION("""COMPUTED_VALUE"""),0.0)</f>
        <v>0</v>
      </c>
      <c r="L741" s="139"/>
      <c r="M741" s="139"/>
      <c r="N741" s="139"/>
    </row>
    <row r="742">
      <c r="A742" s="139" t="str">
        <f>IFERROR(__xludf.DUMMYFUNCTION("""COMPUTED_VALUE"""),"e")</f>
        <v>e</v>
      </c>
      <c r="B742" s="139">
        <f>IFERROR(__xludf.DUMMYFUNCTION("""COMPUTED_VALUE"""),2.0251201E8)</f>
        <v>202512010</v>
      </c>
      <c r="C742" s="139" t="str">
        <f>IFERROR(__xludf.DUMMYFUNCTION("""COMPUTED_VALUE"""),"chara_sur_00801_Normal_00000")</f>
        <v>chara_sur_00801_Normal_00000</v>
      </c>
      <c r="D742" s="139" t="str">
        <f>IFERROR(__xludf.DUMMYFUNCTION("""COMPUTED_VALUE"""),"chara_sur_00801")</f>
        <v>chara_sur_00801</v>
      </c>
      <c r="E742" s="139">
        <f>IFERROR(__xludf.DUMMYFUNCTION("""COMPUTED_VALUE"""),0.0)</f>
        <v>0</v>
      </c>
      <c r="F742" s="139" t="str">
        <f>IFERROR(__xludf.DUMMYFUNCTION("""COMPUTED_VALUE"""),"Normal")</f>
        <v>Normal</v>
      </c>
      <c r="G742" s="139"/>
      <c r="H742" s="139"/>
      <c r="I742" s="139">
        <f>IFERROR(__xludf.DUMMYFUNCTION("""COMPUTED_VALUE"""),62.0)</f>
        <v>62</v>
      </c>
      <c r="J742" s="139">
        <f>IFERROR(__xludf.DUMMYFUNCTION("""COMPUTED_VALUE"""),33.0)</f>
        <v>33</v>
      </c>
      <c r="K742" s="139">
        <f>IFERROR(__xludf.DUMMYFUNCTION("""COMPUTED_VALUE"""),100.0)</f>
        <v>100</v>
      </c>
      <c r="L742" s="139"/>
      <c r="M742" s="139" t="str">
        <f>IFERROR(__xludf.DUMMYFUNCTION("""COMPUTED_VALUE"""),"表示場所なし")</f>
        <v>表示場所なし</v>
      </c>
      <c r="N742" s="139"/>
    </row>
    <row r="743">
      <c r="A743" s="139" t="str">
        <f>IFERROR(__xludf.DUMMYFUNCTION("""COMPUTED_VALUE"""),"e")</f>
        <v>e</v>
      </c>
      <c r="B743" s="139">
        <f>IFERROR(__xludf.DUMMYFUNCTION("""COMPUTED_VALUE"""),2.0251201E8)</f>
        <v>202512010</v>
      </c>
      <c r="C743" s="139" t="str">
        <f>IFERROR(__xludf.DUMMYFUNCTION("""COMPUTED_VALUE"""),"chara_sur_00801_Special_00001")</f>
        <v>chara_sur_00801_Special_00001</v>
      </c>
      <c r="D743" s="139" t="str">
        <f>IFERROR(__xludf.DUMMYFUNCTION("""COMPUTED_VALUE"""),"chara_sur_00801")</f>
        <v>chara_sur_00801</v>
      </c>
      <c r="E743" s="139">
        <f>IFERROR(__xludf.DUMMYFUNCTION("""COMPUTED_VALUE"""),1.0)</f>
        <v>1</v>
      </c>
      <c r="F743" s="139" t="str">
        <f>IFERROR(__xludf.DUMMYFUNCTION("""COMPUTED_VALUE"""),"Special")</f>
        <v>Special</v>
      </c>
      <c r="G743" s="139"/>
      <c r="H743" s="139"/>
      <c r="I743" s="139">
        <f>IFERROR(__xludf.DUMMYFUNCTION("""COMPUTED_VALUE"""),101.0)</f>
        <v>101</v>
      </c>
      <c r="J743" s="139">
        <f>IFERROR(__xludf.DUMMYFUNCTION("""COMPUTED_VALUE"""),53.0)</f>
        <v>53</v>
      </c>
      <c r="K743" s="139">
        <f>IFERROR(__xludf.DUMMYFUNCTION("""COMPUTED_VALUE"""),0.0)</f>
        <v>0</v>
      </c>
      <c r="L743" s="139"/>
      <c r="M743" s="139" t="str">
        <f>IFERROR(__xludf.DUMMYFUNCTION("""COMPUTED_VALUE"""),"敵単体に自身の攻撃ステータスの{chara_sur_00801_Special_00001_power_parameter}%のダメージ")</f>
        <v>敵単体に自身の攻撃ステータスの{chara_sur_00801_Special_00001_power_parameter}%のダメージ</v>
      </c>
      <c r="N743" s="139"/>
    </row>
    <row r="744">
      <c r="A744" s="139" t="str">
        <f>IFERROR(__xludf.DUMMYFUNCTION("""COMPUTED_VALUE"""),"e")</f>
        <v>e</v>
      </c>
      <c r="B744" s="139">
        <f>IFERROR(__xludf.DUMMYFUNCTION("""COMPUTED_VALUE"""),2.0251201E8)</f>
        <v>202512010</v>
      </c>
      <c r="C744" s="139" t="str">
        <f>IFERROR(__xludf.DUMMYFUNCTION("""COMPUTED_VALUE"""),"chara_sur_00801_Special_00002")</f>
        <v>chara_sur_00801_Special_00002</v>
      </c>
      <c r="D744" s="139" t="str">
        <f>IFERROR(__xludf.DUMMYFUNCTION("""COMPUTED_VALUE"""),"chara_sur_00801")</f>
        <v>chara_sur_00801</v>
      </c>
      <c r="E744" s="139">
        <f>IFERROR(__xludf.DUMMYFUNCTION("""COMPUTED_VALUE"""),2.0)</f>
        <v>2</v>
      </c>
      <c r="F744" s="139" t="str">
        <f>IFERROR(__xludf.DUMMYFUNCTION("""COMPUTED_VALUE"""),"Special")</f>
        <v>Special</v>
      </c>
      <c r="G744" s="139"/>
      <c r="H744" s="139"/>
      <c r="I744" s="139">
        <f>IFERROR(__xludf.DUMMYFUNCTION("""COMPUTED_VALUE"""),101.0)</f>
        <v>101</v>
      </c>
      <c r="J744" s="139">
        <f>IFERROR(__xludf.DUMMYFUNCTION("""COMPUTED_VALUE"""),53.0)</f>
        <v>53</v>
      </c>
      <c r="K744" s="139">
        <f>IFERROR(__xludf.DUMMYFUNCTION("""COMPUTED_VALUE"""),0.0)</f>
        <v>0</v>
      </c>
      <c r="L744" s="139"/>
      <c r="M744" s="139" t="str">
        <f>IFERROR(__xludf.DUMMYFUNCTION("""COMPUTED_VALUE"""),"敵単体に自身の攻撃ステータスの{chara_sur_00801_Special_00002_power_parameter}%のダメージ")</f>
        <v>敵単体に自身の攻撃ステータスの{chara_sur_00801_Special_00002_power_parameter}%のダメージ</v>
      </c>
      <c r="N744" s="139" t="str">
        <f>IFERROR(__xludf.DUMMYFUNCTION("""COMPUTED_VALUE"""),"ステータスUP + 必殺ワザ性能UP")</f>
        <v>ステータスUP + 必殺ワザ性能UP</v>
      </c>
    </row>
    <row r="745">
      <c r="A745" s="139" t="str">
        <f>IFERROR(__xludf.DUMMYFUNCTION("""COMPUTED_VALUE"""),"e")</f>
        <v>e</v>
      </c>
      <c r="B745" s="139">
        <f>IFERROR(__xludf.DUMMYFUNCTION("""COMPUTED_VALUE"""),2.0251201E8)</f>
        <v>202512010</v>
      </c>
      <c r="C745" s="139" t="str">
        <f>IFERROR(__xludf.DUMMYFUNCTION("""COMPUTED_VALUE"""),"chara_sur_00801_Special_00003")</f>
        <v>chara_sur_00801_Special_00003</v>
      </c>
      <c r="D745" s="139" t="str">
        <f>IFERROR(__xludf.DUMMYFUNCTION("""COMPUTED_VALUE"""),"chara_sur_00801")</f>
        <v>chara_sur_00801</v>
      </c>
      <c r="E745" s="139">
        <f>IFERROR(__xludf.DUMMYFUNCTION("""COMPUTED_VALUE"""),3.0)</f>
        <v>3</v>
      </c>
      <c r="F745" s="139" t="str">
        <f>IFERROR(__xludf.DUMMYFUNCTION("""COMPUTED_VALUE"""),"Special")</f>
        <v>Special</v>
      </c>
      <c r="G745" s="139"/>
      <c r="H745" s="139"/>
      <c r="I745" s="139">
        <f>IFERROR(__xludf.DUMMYFUNCTION("""COMPUTED_VALUE"""),101.0)</f>
        <v>101</v>
      </c>
      <c r="J745" s="139">
        <f>IFERROR(__xludf.DUMMYFUNCTION("""COMPUTED_VALUE"""),53.0)</f>
        <v>53</v>
      </c>
      <c r="K745" s="139">
        <f>IFERROR(__xludf.DUMMYFUNCTION("""COMPUTED_VALUE"""),0.0)</f>
        <v>0</v>
      </c>
      <c r="L745" s="139"/>
      <c r="M745" s="139" t="str">
        <f>IFERROR(__xludf.DUMMYFUNCTION("""COMPUTED_VALUE"""),"敵単体に自身の攻撃ステータスの{chara_sur_00801_Special_00003_power_parameter}%のダメージ")</f>
        <v>敵単体に自身の攻撃ステータスの{chara_sur_00801_Special_00003_power_parameter}%のダメージ</v>
      </c>
      <c r="N745" s="139" t="str">
        <f>IFERROR(__xludf.DUMMYFUNCTION("""COMPUTED_VALUE"""),"ステータスUP + 必殺ワザ性能UP")</f>
        <v>ステータスUP + 必殺ワザ性能UP</v>
      </c>
    </row>
    <row r="746">
      <c r="A746" s="139" t="str">
        <f>IFERROR(__xludf.DUMMYFUNCTION("""COMPUTED_VALUE"""),"e")</f>
        <v>e</v>
      </c>
      <c r="B746" s="139">
        <f>IFERROR(__xludf.DUMMYFUNCTION("""COMPUTED_VALUE"""),2.0251201E8)</f>
        <v>202512010</v>
      </c>
      <c r="C746" s="139" t="str">
        <f>IFERROR(__xludf.DUMMYFUNCTION("""COMPUTED_VALUE"""),"chara_sur_00801_Special_00004")</f>
        <v>chara_sur_00801_Special_00004</v>
      </c>
      <c r="D746" s="139" t="str">
        <f>IFERROR(__xludf.DUMMYFUNCTION("""COMPUTED_VALUE"""),"chara_sur_00801")</f>
        <v>chara_sur_00801</v>
      </c>
      <c r="E746" s="139">
        <f>IFERROR(__xludf.DUMMYFUNCTION("""COMPUTED_VALUE"""),4.0)</f>
        <v>4</v>
      </c>
      <c r="F746" s="139" t="str">
        <f>IFERROR(__xludf.DUMMYFUNCTION("""COMPUTED_VALUE"""),"Special")</f>
        <v>Special</v>
      </c>
      <c r="G746" s="139"/>
      <c r="H746" s="139"/>
      <c r="I746" s="139">
        <f>IFERROR(__xludf.DUMMYFUNCTION("""COMPUTED_VALUE"""),101.0)</f>
        <v>101</v>
      </c>
      <c r="J746" s="139">
        <f>IFERROR(__xludf.DUMMYFUNCTION("""COMPUTED_VALUE"""),53.0)</f>
        <v>53</v>
      </c>
      <c r="K746" s="139">
        <f>IFERROR(__xludf.DUMMYFUNCTION("""COMPUTED_VALUE"""),0.0)</f>
        <v>0</v>
      </c>
      <c r="L746" s="139"/>
      <c r="M746" s="139" t="str">
        <f>IFERROR(__xludf.DUMMYFUNCTION("""COMPUTED_VALUE"""),"敵単体に自身の攻撃ステータスの{chara_sur_00801_Special_00004_power_parameter}%のダメージ")</f>
        <v>敵単体に自身の攻撃ステータスの{chara_sur_00801_Special_00004_power_parameter}%のダメージ</v>
      </c>
      <c r="N746" s="139" t="str">
        <f>IFERROR(__xludf.DUMMYFUNCTION("""COMPUTED_VALUE"""),"ステータスUP + 必殺ワザ性能UP")</f>
        <v>ステータスUP + 必殺ワザ性能UP</v>
      </c>
    </row>
    <row r="747">
      <c r="A747" s="139" t="str">
        <f>IFERROR(__xludf.DUMMYFUNCTION("""COMPUTED_VALUE"""),"e")</f>
        <v>e</v>
      </c>
      <c r="B747" s="139">
        <f>IFERROR(__xludf.DUMMYFUNCTION("""COMPUTED_VALUE"""),2.0251201E8)</f>
        <v>202512010</v>
      </c>
      <c r="C747" s="139" t="str">
        <f>IFERROR(__xludf.DUMMYFUNCTION("""COMPUTED_VALUE"""),"chara_sur_00801_Special_00005")</f>
        <v>chara_sur_00801_Special_00005</v>
      </c>
      <c r="D747" s="139" t="str">
        <f>IFERROR(__xludf.DUMMYFUNCTION("""COMPUTED_VALUE"""),"chara_sur_00801")</f>
        <v>chara_sur_00801</v>
      </c>
      <c r="E747" s="139">
        <f>IFERROR(__xludf.DUMMYFUNCTION("""COMPUTED_VALUE"""),5.0)</f>
        <v>5</v>
      </c>
      <c r="F747" s="139" t="str">
        <f>IFERROR(__xludf.DUMMYFUNCTION("""COMPUTED_VALUE"""),"Special")</f>
        <v>Special</v>
      </c>
      <c r="G747" s="139"/>
      <c r="H747" s="139"/>
      <c r="I747" s="139">
        <f>IFERROR(__xludf.DUMMYFUNCTION("""COMPUTED_VALUE"""),101.0)</f>
        <v>101</v>
      </c>
      <c r="J747" s="139">
        <f>IFERROR(__xludf.DUMMYFUNCTION("""COMPUTED_VALUE"""),53.0)</f>
        <v>53</v>
      </c>
      <c r="K747" s="139">
        <f>IFERROR(__xludf.DUMMYFUNCTION("""COMPUTED_VALUE"""),0.0)</f>
        <v>0</v>
      </c>
      <c r="L747" s="139"/>
      <c r="M747" s="139" t="str">
        <f>IFERROR(__xludf.DUMMYFUNCTION("""COMPUTED_VALUE"""),"敵単体に自身の攻撃ステータスの{chara_sur_00801_Special_00005_power_parameter}%のダメージ")</f>
        <v>敵単体に自身の攻撃ステータスの{chara_sur_00801_Special_00005_power_parameter}%のダメージ</v>
      </c>
      <c r="N747" s="139" t="str">
        <f>IFERROR(__xludf.DUMMYFUNCTION("""COMPUTED_VALUE"""),"ステータスUP + 必殺ワザ性能UP")</f>
        <v>ステータスUP + 必殺ワザ性能UP</v>
      </c>
    </row>
    <row r="748">
      <c r="A748" s="139"/>
      <c r="B748" s="139"/>
      <c r="C748" s="139" t="str">
        <f>IFERROR(__xludf.DUMMYFUNCTION("""COMPUTED_VALUE"""),"chara_sur_00801_Special_00006")</f>
        <v>chara_sur_00801_Special_00006</v>
      </c>
      <c r="D748" s="139" t="str">
        <f>IFERROR(__xludf.DUMMYFUNCTION("""COMPUTED_VALUE"""),"chara_sur_00801")</f>
        <v>chara_sur_00801</v>
      </c>
      <c r="E748" s="139">
        <f>IFERROR(__xludf.DUMMYFUNCTION("""COMPUTED_VALUE"""),6.0)</f>
        <v>6</v>
      </c>
      <c r="F748" s="139" t="str">
        <f>IFERROR(__xludf.DUMMYFUNCTION("""COMPUTED_VALUE"""),"Special")</f>
        <v>Special</v>
      </c>
      <c r="G748" s="139"/>
      <c r="H748" s="139"/>
      <c r="I748" s="139">
        <f>IFERROR(__xludf.DUMMYFUNCTION("""COMPUTED_VALUE"""),92.0)</f>
        <v>92</v>
      </c>
      <c r="J748" s="139">
        <f>IFERROR(__xludf.DUMMYFUNCTION("""COMPUTED_VALUE"""),34.0)</f>
        <v>34</v>
      </c>
      <c r="K748" s="139">
        <f>IFERROR(__xludf.DUMMYFUNCTION("""COMPUTED_VALUE"""),0.0)</f>
        <v>0</v>
      </c>
      <c r="L748" s="139"/>
      <c r="M748" s="139"/>
      <c r="N748" s="139"/>
    </row>
    <row r="749">
      <c r="A749" s="139"/>
      <c r="B749" s="139"/>
      <c r="C749" s="139" t="str">
        <f>IFERROR(__xludf.DUMMYFUNCTION("""COMPUTED_VALUE"""),"chara_sur_00801_Special_00007")</f>
        <v>chara_sur_00801_Special_00007</v>
      </c>
      <c r="D749" s="139" t="str">
        <f>IFERROR(__xludf.DUMMYFUNCTION("""COMPUTED_VALUE"""),"chara_sur_00801")</f>
        <v>chara_sur_00801</v>
      </c>
      <c r="E749" s="139">
        <f>IFERROR(__xludf.DUMMYFUNCTION("""COMPUTED_VALUE"""),7.0)</f>
        <v>7</v>
      </c>
      <c r="F749" s="139" t="str">
        <f>IFERROR(__xludf.DUMMYFUNCTION("""COMPUTED_VALUE"""),"Special")</f>
        <v>Special</v>
      </c>
      <c r="G749" s="139"/>
      <c r="H749" s="139"/>
      <c r="I749" s="139">
        <f>IFERROR(__xludf.DUMMYFUNCTION("""COMPUTED_VALUE"""),92.0)</f>
        <v>92</v>
      </c>
      <c r="J749" s="139">
        <f>IFERROR(__xludf.DUMMYFUNCTION("""COMPUTED_VALUE"""),34.0)</f>
        <v>34</v>
      </c>
      <c r="K749" s="139">
        <f>IFERROR(__xludf.DUMMYFUNCTION("""COMPUTED_VALUE"""),0.0)</f>
        <v>0</v>
      </c>
      <c r="L749" s="139"/>
      <c r="M749" s="139"/>
      <c r="N749" s="139"/>
    </row>
    <row r="750">
      <c r="A750" s="139"/>
      <c r="B750" s="139"/>
      <c r="C750" s="139" t="str">
        <f>IFERROR(__xludf.DUMMYFUNCTION("""COMPUTED_VALUE"""),"chara_sur_00801_Special_00008")</f>
        <v>chara_sur_00801_Special_00008</v>
      </c>
      <c r="D750" s="139" t="str">
        <f>IFERROR(__xludf.DUMMYFUNCTION("""COMPUTED_VALUE"""),"chara_sur_00801")</f>
        <v>chara_sur_00801</v>
      </c>
      <c r="E750" s="139">
        <f>IFERROR(__xludf.DUMMYFUNCTION("""COMPUTED_VALUE"""),8.0)</f>
        <v>8</v>
      </c>
      <c r="F750" s="139" t="str">
        <f>IFERROR(__xludf.DUMMYFUNCTION("""COMPUTED_VALUE"""),"Special")</f>
        <v>Special</v>
      </c>
      <c r="G750" s="139"/>
      <c r="H750" s="139"/>
      <c r="I750" s="139">
        <f>IFERROR(__xludf.DUMMYFUNCTION("""COMPUTED_VALUE"""),92.0)</f>
        <v>92</v>
      </c>
      <c r="J750" s="139">
        <f>IFERROR(__xludf.DUMMYFUNCTION("""COMPUTED_VALUE"""),34.0)</f>
        <v>34</v>
      </c>
      <c r="K750" s="139">
        <f>IFERROR(__xludf.DUMMYFUNCTION("""COMPUTED_VALUE"""),0.0)</f>
        <v>0</v>
      </c>
      <c r="L750" s="139"/>
      <c r="M750" s="139"/>
      <c r="N750" s="139"/>
    </row>
    <row r="751">
      <c r="A751" s="139"/>
      <c r="B751" s="139"/>
      <c r="C751" s="139" t="str">
        <f>IFERROR(__xludf.DUMMYFUNCTION("""COMPUTED_VALUE"""),"chara_sur_00801_Special_00009")</f>
        <v>chara_sur_00801_Special_00009</v>
      </c>
      <c r="D751" s="139" t="str">
        <f>IFERROR(__xludf.DUMMYFUNCTION("""COMPUTED_VALUE"""),"chara_sur_00801")</f>
        <v>chara_sur_00801</v>
      </c>
      <c r="E751" s="139">
        <f>IFERROR(__xludf.DUMMYFUNCTION("""COMPUTED_VALUE"""),9.0)</f>
        <v>9</v>
      </c>
      <c r="F751" s="139" t="str">
        <f>IFERROR(__xludf.DUMMYFUNCTION("""COMPUTED_VALUE"""),"Special")</f>
        <v>Special</v>
      </c>
      <c r="G751" s="139"/>
      <c r="H751" s="139"/>
      <c r="I751" s="139">
        <f>IFERROR(__xludf.DUMMYFUNCTION("""COMPUTED_VALUE"""),92.0)</f>
        <v>92</v>
      </c>
      <c r="J751" s="139">
        <f>IFERROR(__xludf.DUMMYFUNCTION("""COMPUTED_VALUE"""),34.0)</f>
        <v>34</v>
      </c>
      <c r="K751" s="139">
        <f>IFERROR(__xludf.DUMMYFUNCTION("""COMPUTED_VALUE"""),0.0)</f>
        <v>0</v>
      </c>
      <c r="L751" s="139"/>
      <c r="M751" s="139"/>
      <c r="N751" s="139"/>
    </row>
    <row r="752">
      <c r="A752" s="139"/>
      <c r="B752" s="139"/>
      <c r="C752" s="139" t="str">
        <f>IFERROR(__xludf.DUMMYFUNCTION("""COMPUTED_VALUE"""),"chara_sur_00801_Special_00010")</f>
        <v>chara_sur_00801_Special_00010</v>
      </c>
      <c r="D752" s="139" t="str">
        <f>IFERROR(__xludf.DUMMYFUNCTION("""COMPUTED_VALUE"""),"chara_sur_00801")</f>
        <v>chara_sur_00801</v>
      </c>
      <c r="E752" s="139">
        <f>IFERROR(__xludf.DUMMYFUNCTION("""COMPUTED_VALUE"""),10.0)</f>
        <v>10</v>
      </c>
      <c r="F752" s="139" t="str">
        <f>IFERROR(__xludf.DUMMYFUNCTION("""COMPUTED_VALUE"""),"Special")</f>
        <v>Special</v>
      </c>
      <c r="G752" s="139"/>
      <c r="H752" s="139"/>
      <c r="I752" s="139">
        <f>IFERROR(__xludf.DUMMYFUNCTION("""COMPUTED_VALUE"""),92.0)</f>
        <v>92</v>
      </c>
      <c r="J752" s="139">
        <f>IFERROR(__xludf.DUMMYFUNCTION("""COMPUTED_VALUE"""),34.0)</f>
        <v>34</v>
      </c>
      <c r="K752" s="139">
        <f>IFERROR(__xludf.DUMMYFUNCTION("""COMPUTED_VALUE"""),0.0)</f>
        <v>0</v>
      </c>
      <c r="L752" s="139"/>
      <c r="M752" s="139"/>
      <c r="N752" s="139"/>
    </row>
    <row r="753">
      <c r="A753" s="139" t="str">
        <f>IFERROR(__xludf.DUMMYFUNCTION("""COMPUTED_VALUE"""),"e")</f>
        <v>e</v>
      </c>
      <c r="B753" s="139">
        <f>IFERROR(__xludf.DUMMYFUNCTION("""COMPUTED_VALUE"""),2.02512015E8)</f>
        <v>202512015</v>
      </c>
      <c r="C753" s="139" t="str">
        <f>IFERROR(__xludf.DUMMYFUNCTION("""COMPUTED_VALUE"""),"chara_yuw_00102_Normal_00000")</f>
        <v>chara_yuw_00102_Normal_00000</v>
      </c>
      <c r="D753" s="139" t="str">
        <f>IFERROR(__xludf.DUMMYFUNCTION("""COMPUTED_VALUE"""),"chara_yuw_00102")</f>
        <v>chara_yuw_00102</v>
      </c>
      <c r="E753" s="139">
        <f>IFERROR(__xludf.DUMMYFUNCTION("""COMPUTED_VALUE"""),0.0)</f>
        <v>0</v>
      </c>
      <c r="F753" s="139" t="str">
        <f>IFERROR(__xludf.DUMMYFUNCTION("""COMPUTED_VALUE"""),"Normal")</f>
        <v>Normal</v>
      </c>
      <c r="G753" s="139"/>
      <c r="H753" s="139"/>
      <c r="I753" s="139">
        <f>IFERROR(__xludf.DUMMYFUNCTION("""COMPUTED_VALUE"""),84.0)</f>
        <v>84</v>
      </c>
      <c r="J753" s="139">
        <f>IFERROR(__xludf.DUMMYFUNCTION("""COMPUTED_VALUE"""),25.0)</f>
        <v>25</v>
      </c>
      <c r="K753" s="139">
        <f>IFERROR(__xludf.DUMMYFUNCTION("""COMPUTED_VALUE"""),75.0)</f>
        <v>75</v>
      </c>
      <c r="L753" s="139"/>
      <c r="M753" s="139" t="str">
        <f>IFERROR(__xludf.DUMMYFUNCTION("""COMPUTED_VALUE"""),"表示場所なし")</f>
        <v>表示場所なし</v>
      </c>
      <c r="N753" s="139"/>
    </row>
    <row r="754">
      <c r="A754" s="139" t="str">
        <f>IFERROR(__xludf.DUMMYFUNCTION("""COMPUTED_VALUE"""),"e")</f>
        <v>e</v>
      </c>
      <c r="B754" s="139">
        <f>IFERROR(__xludf.DUMMYFUNCTION("""COMPUTED_VALUE"""),2.02512015E8)</f>
        <v>202512015</v>
      </c>
      <c r="C754" s="139" t="str">
        <f>IFERROR(__xludf.DUMMYFUNCTION("""COMPUTED_VALUE"""),"chara_yuw_00102_Special_00001")</f>
        <v>chara_yuw_00102_Special_00001</v>
      </c>
      <c r="D754" s="139" t="str">
        <f>IFERROR(__xludf.DUMMYFUNCTION("""COMPUTED_VALUE"""),"chara_yuw_00102")</f>
        <v>chara_yuw_00102</v>
      </c>
      <c r="E754" s="139">
        <f>IFERROR(__xludf.DUMMYFUNCTION("""COMPUTED_VALUE"""),1.0)</f>
        <v>1</v>
      </c>
      <c r="F754" s="139" t="str">
        <f>IFERROR(__xludf.DUMMYFUNCTION("""COMPUTED_VALUE"""),"Special")</f>
        <v>Special</v>
      </c>
      <c r="G754" s="139"/>
      <c r="H754" s="139"/>
      <c r="I754" s="139">
        <f>IFERROR(__xludf.DUMMYFUNCTION("""COMPUTED_VALUE"""),175.0)</f>
        <v>175</v>
      </c>
      <c r="J754" s="139">
        <f>IFERROR(__xludf.DUMMYFUNCTION("""COMPUTED_VALUE"""),100.0)</f>
        <v>100</v>
      </c>
      <c r="K754" s="139">
        <f>IFERROR(__xludf.DUMMYFUNCTION("""COMPUTED_VALUE"""),0.0)</f>
        <v>0</v>
      </c>
      <c r="L754" s="139"/>
      <c r="M754" s="139" t="str">
        <f>IFERROR(__xludf.DUMMYFUNCTION("""COMPUTED_VALUE"""),"敵複数体に自身の攻撃ステータスの99%のダメージ + 味方または自身の攻撃を4.5秒間、15%UPするオブジェクトをランダムな位置に4つ生成する + 味方または自身への被ダメージを4.5秒間、35%カットするオブジェクトをランダムな位置に2つ生成する + 味方または自身の体力を5000回復するオブジェクトをランダムな位置に2つ生成する")</f>
        <v>敵複数体に自身の攻撃ステータスの99%のダメージ + 味方または自身の攻撃を4.5秒間、15%UPするオブジェクトをランダムな位置に4つ生成する + 味方または自身への被ダメージを4.5秒間、35%カットするオブジェクトをランダムな位置に2つ生成する + 味方または自身の体力を5000回復するオブジェクトをランダムな位置に2つ生成する</v>
      </c>
      <c r="N754" s="139"/>
    </row>
    <row r="755">
      <c r="A755" s="139" t="str">
        <f>IFERROR(__xludf.DUMMYFUNCTION("""COMPUTED_VALUE"""),"e")</f>
        <v>e</v>
      </c>
      <c r="B755" s="139">
        <f>IFERROR(__xludf.DUMMYFUNCTION("""COMPUTED_VALUE"""),2.02512015E8)</f>
        <v>202512015</v>
      </c>
      <c r="C755" s="139" t="str">
        <f>IFERROR(__xludf.DUMMYFUNCTION("""COMPUTED_VALUE"""),"chara_yuw_00102_Special_00002")</f>
        <v>chara_yuw_00102_Special_00002</v>
      </c>
      <c r="D755" s="139" t="str">
        <f>IFERROR(__xludf.DUMMYFUNCTION("""COMPUTED_VALUE"""),"chara_yuw_00102")</f>
        <v>chara_yuw_00102</v>
      </c>
      <c r="E755" s="139">
        <f>IFERROR(__xludf.DUMMYFUNCTION("""COMPUTED_VALUE"""),2.0)</f>
        <v>2</v>
      </c>
      <c r="F755" s="139" t="str">
        <f>IFERROR(__xludf.DUMMYFUNCTION("""COMPUTED_VALUE"""),"Special")</f>
        <v>Special</v>
      </c>
      <c r="G755" s="139"/>
      <c r="H755" s="139"/>
      <c r="I755" s="139">
        <f>IFERROR(__xludf.DUMMYFUNCTION("""COMPUTED_VALUE"""),175.0)</f>
        <v>175</v>
      </c>
      <c r="J755" s="139">
        <f>IFERROR(__xludf.DUMMYFUNCTION("""COMPUTED_VALUE"""),100.0)</f>
        <v>100</v>
      </c>
      <c r="K755" s="139">
        <f>IFERROR(__xludf.DUMMYFUNCTION("""COMPUTED_VALUE"""),0.0)</f>
        <v>0</v>
      </c>
      <c r="L755" s="139"/>
      <c r="M755" s="139" t="str">
        <f>IFERROR(__xludf.DUMMYFUNCTION("""COMPUTED_VALUE"""),"敵複数体に自身の攻撃ステータスの110%のダメージ + 味方または自身の攻撃を6.5秒間、25%UPするオブジェクトをランダムな位置に4つ生成する + 味方または自身への被ダメージを5.5秒間、37%カットするオブジェクトをランダムな位置に2つ生成する + 味方または自身の体力を11000回復するオブジェクトをランダムな位置に2つ生成する")</f>
        <v>敵複数体に自身の攻撃ステータスの110%のダメージ + 味方または自身の攻撃を6.5秒間、25%UPするオブジェクトをランダムな位置に4つ生成する + 味方または自身への被ダメージを5.5秒間、37%カットするオブジェクトをランダムな位置に2つ生成する + 味方または自身の体力を11000回復するオブジェクトをランダムな位置に2つ生成する</v>
      </c>
      <c r="N755" s="139" t="str">
        <f>IFERROR(__xludf.DUMMYFUNCTION("""COMPUTED_VALUE"""),"ステータスUP + 必殺ワザ性能UP")</f>
        <v>ステータスUP + 必殺ワザ性能UP</v>
      </c>
    </row>
    <row r="756">
      <c r="A756" s="139" t="str">
        <f>IFERROR(__xludf.DUMMYFUNCTION("""COMPUTED_VALUE"""),"e")</f>
        <v>e</v>
      </c>
      <c r="B756" s="139">
        <f>IFERROR(__xludf.DUMMYFUNCTION("""COMPUTED_VALUE"""),2.02512015E8)</f>
        <v>202512015</v>
      </c>
      <c r="C756" s="139" t="str">
        <f>IFERROR(__xludf.DUMMYFUNCTION("""COMPUTED_VALUE"""),"chara_yuw_00102_Special_00003")</f>
        <v>chara_yuw_00102_Special_00003</v>
      </c>
      <c r="D756" s="139" t="str">
        <f>IFERROR(__xludf.DUMMYFUNCTION("""COMPUTED_VALUE"""),"chara_yuw_00102")</f>
        <v>chara_yuw_00102</v>
      </c>
      <c r="E756" s="139">
        <f>IFERROR(__xludf.DUMMYFUNCTION("""COMPUTED_VALUE"""),3.0)</f>
        <v>3</v>
      </c>
      <c r="F756" s="139" t="str">
        <f>IFERROR(__xludf.DUMMYFUNCTION("""COMPUTED_VALUE"""),"Special")</f>
        <v>Special</v>
      </c>
      <c r="G756" s="139"/>
      <c r="H756" s="139"/>
      <c r="I756" s="139">
        <f>IFERROR(__xludf.DUMMYFUNCTION("""COMPUTED_VALUE"""),175.0)</f>
        <v>175</v>
      </c>
      <c r="J756" s="139">
        <f>IFERROR(__xludf.DUMMYFUNCTION("""COMPUTED_VALUE"""),100.0)</f>
        <v>100</v>
      </c>
      <c r="K756" s="139">
        <f>IFERROR(__xludf.DUMMYFUNCTION("""COMPUTED_VALUE"""),0.0)</f>
        <v>0</v>
      </c>
      <c r="L756" s="139"/>
      <c r="M756" s="139" t="str">
        <f>IFERROR(__xludf.DUMMYFUNCTION("""COMPUTED_VALUE"""),"敵複数体に自身の攻撃ステータスの117%のダメージ + 味方または自身の攻撃を8.5秒間、39%UPするオブジェクトをランダムな位置に5つ生成する + 味方または自身への被ダメージを7秒間、42%カットするオブジェクトをランダムな位置に2つ生成する + 味方または自身の体力を18000回復するオブジェクトをランダムな位置に2つ生成する")</f>
        <v>敵複数体に自身の攻撃ステータスの117%のダメージ + 味方または自身の攻撃を8.5秒間、39%UPするオブジェクトをランダムな位置に5つ生成する + 味方または自身への被ダメージを7秒間、42%カットするオブジェクトをランダムな位置に2つ生成する + 味方または自身の体力を18000回復するオブジェクトをランダムな位置に2つ生成する</v>
      </c>
      <c r="N756" s="139" t="str">
        <f>IFERROR(__xludf.DUMMYFUNCTION("""COMPUTED_VALUE"""),"ステータスUP + 必殺ワザ性能UP")</f>
        <v>ステータスUP + 必殺ワザ性能UP</v>
      </c>
    </row>
    <row r="757">
      <c r="A757" s="139" t="str">
        <f>IFERROR(__xludf.DUMMYFUNCTION("""COMPUTED_VALUE"""),"e")</f>
        <v>e</v>
      </c>
      <c r="B757" s="139">
        <f>IFERROR(__xludf.DUMMYFUNCTION("""COMPUTED_VALUE"""),2.02512015E8)</f>
        <v>202512015</v>
      </c>
      <c r="C757" s="139" t="str">
        <f>IFERROR(__xludf.DUMMYFUNCTION("""COMPUTED_VALUE"""),"chara_yuw_00102_Special_00004")</f>
        <v>chara_yuw_00102_Special_00004</v>
      </c>
      <c r="D757" s="139" t="str">
        <f>IFERROR(__xludf.DUMMYFUNCTION("""COMPUTED_VALUE"""),"chara_yuw_00102")</f>
        <v>chara_yuw_00102</v>
      </c>
      <c r="E757" s="139">
        <f>IFERROR(__xludf.DUMMYFUNCTION("""COMPUTED_VALUE"""),4.0)</f>
        <v>4</v>
      </c>
      <c r="F757" s="139" t="str">
        <f>IFERROR(__xludf.DUMMYFUNCTION("""COMPUTED_VALUE"""),"Special")</f>
        <v>Special</v>
      </c>
      <c r="G757" s="139"/>
      <c r="H757" s="139"/>
      <c r="I757" s="139">
        <f>IFERROR(__xludf.DUMMYFUNCTION("""COMPUTED_VALUE"""),175.0)</f>
        <v>175</v>
      </c>
      <c r="J757" s="139">
        <f>IFERROR(__xludf.DUMMYFUNCTION("""COMPUTED_VALUE"""),100.0)</f>
        <v>100</v>
      </c>
      <c r="K757" s="139">
        <f>IFERROR(__xludf.DUMMYFUNCTION("""COMPUTED_VALUE"""),0.0)</f>
        <v>0</v>
      </c>
      <c r="L757" s="139"/>
      <c r="M757" s="139" t="str">
        <f>IFERROR(__xludf.DUMMYFUNCTION("""COMPUTED_VALUE"""),"敵複数体に自身の攻撃ステータスの123%のダメージ + 味方または自身の攻撃を10秒間、46%UPするオブジェクトをランダムな位置に5つ生成する + 味方または自身への被ダメージを8.5秒間、45%カットするオブジェクトをランダムな位置に3つ生成する + 味方または自身の体力を21000回復するオブジェクトをランダムな位置に2つ生成する")</f>
        <v>敵複数体に自身の攻撃ステータスの123%のダメージ + 味方または自身の攻撃を10秒間、46%UPするオブジェクトをランダムな位置に5つ生成する + 味方または自身への被ダメージを8.5秒間、45%カットするオブジェクトをランダムな位置に3つ生成する + 味方または自身の体力を21000回復するオブジェクトをランダムな位置に2つ生成する</v>
      </c>
      <c r="N757" s="139" t="str">
        <f>IFERROR(__xludf.DUMMYFUNCTION("""COMPUTED_VALUE"""),"ステータスUP + 必殺ワザ性能UP")</f>
        <v>ステータスUP + 必殺ワザ性能UP</v>
      </c>
    </row>
    <row r="758">
      <c r="A758" s="139" t="str">
        <f>IFERROR(__xludf.DUMMYFUNCTION("""COMPUTED_VALUE"""),"e")</f>
        <v>e</v>
      </c>
      <c r="B758" s="139">
        <f>IFERROR(__xludf.DUMMYFUNCTION("""COMPUTED_VALUE"""),2.02512015E8)</f>
        <v>202512015</v>
      </c>
      <c r="C758" s="139" t="str">
        <f>IFERROR(__xludf.DUMMYFUNCTION("""COMPUTED_VALUE"""),"chara_yuw_00102_Special_00005")</f>
        <v>chara_yuw_00102_Special_00005</v>
      </c>
      <c r="D758" s="139" t="str">
        <f>IFERROR(__xludf.DUMMYFUNCTION("""COMPUTED_VALUE"""),"chara_yuw_00102")</f>
        <v>chara_yuw_00102</v>
      </c>
      <c r="E758" s="139">
        <f>IFERROR(__xludf.DUMMYFUNCTION("""COMPUTED_VALUE"""),5.0)</f>
        <v>5</v>
      </c>
      <c r="F758" s="139" t="str">
        <f>IFERROR(__xludf.DUMMYFUNCTION("""COMPUTED_VALUE"""),"Special")</f>
        <v>Special</v>
      </c>
      <c r="G758" s="139"/>
      <c r="H758" s="139"/>
      <c r="I758" s="139">
        <f>IFERROR(__xludf.DUMMYFUNCTION("""COMPUTED_VALUE"""),175.0)</f>
        <v>175</v>
      </c>
      <c r="J758" s="139">
        <f>IFERROR(__xludf.DUMMYFUNCTION("""COMPUTED_VALUE"""),100.0)</f>
        <v>100</v>
      </c>
      <c r="K758" s="139">
        <f>IFERROR(__xludf.DUMMYFUNCTION("""COMPUTED_VALUE"""),0.0)</f>
        <v>0</v>
      </c>
      <c r="L758" s="139"/>
      <c r="M758" s="139" t="str">
        <f>IFERROR(__xludf.DUMMYFUNCTION("""COMPUTED_VALUE"""),"敵複数体に自身の攻撃ステータスの127%のダメージ + 味方または自身の攻撃を12秒間、55%UPするオブジェクトをランダムな位置に6つ生成する + 味方または自身への被ダメージを10秒間、50%カットするオブジェクトをランダムな位置に3つ生成する + 味方または自身の体力を25000回復するオブジェクトをランダムな位置に3つ生成する")</f>
        <v>敵複数体に自身の攻撃ステータスの127%のダメージ + 味方または自身の攻撃を12秒間、55%UPするオブジェクトをランダムな位置に6つ生成する + 味方または自身への被ダメージを10秒間、50%カットするオブジェクトをランダムな位置に3つ生成する + 味方または自身の体力を25000回復するオブジェクトをランダムな位置に3つ生成する</v>
      </c>
      <c r="N758" s="139" t="str">
        <f>IFERROR(__xludf.DUMMYFUNCTION("""COMPUTED_VALUE"""),"ステータスUP + 必殺ワザ性能UP")</f>
        <v>ステータスUP + 必殺ワザ性能UP</v>
      </c>
    </row>
    <row r="759">
      <c r="A759" s="139"/>
      <c r="B759" s="139"/>
      <c r="C759" s="139" t="str">
        <f>IFERROR(__xludf.DUMMYFUNCTION("""COMPUTED_VALUE"""),"chara_yuw_00102_Special_00006")</f>
        <v>chara_yuw_00102_Special_00006</v>
      </c>
      <c r="D759" s="139" t="str">
        <f>IFERROR(__xludf.DUMMYFUNCTION("""COMPUTED_VALUE"""),"chara_yuw_00102")</f>
        <v>chara_yuw_00102</v>
      </c>
      <c r="E759" s="139">
        <f>IFERROR(__xludf.DUMMYFUNCTION("""COMPUTED_VALUE"""),6.0)</f>
        <v>6</v>
      </c>
      <c r="F759" s="139" t="str">
        <f>IFERROR(__xludf.DUMMYFUNCTION("""COMPUTED_VALUE"""),"Special")</f>
        <v>Special</v>
      </c>
      <c r="G759" s="139"/>
      <c r="H759" s="139"/>
      <c r="I759" s="139">
        <f>IFERROR(__xludf.DUMMYFUNCTION("""COMPUTED_VALUE"""),92.0)</f>
        <v>92</v>
      </c>
      <c r="J759" s="139">
        <f>IFERROR(__xludf.DUMMYFUNCTION("""COMPUTED_VALUE"""),34.0)</f>
        <v>34</v>
      </c>
      <c r="K759" s="139">
        <f>IFERROR(__xludf.DUMMYFUNCTION("""COMPUTED_VALUE"""),0.0)</f>
        <v>0</v>
      </c>
      <c r="L759" s="139"/>
      <c r="M759" s="139"/>
      <c r="N759" s="139"/>
    </row>
    <row r="760">
      <c r="A760" s="139"/>
      <c r="B760" s="139"/>
      <c r="C760" s="139" t="str">
        <f>IFERROR(__xludf.DUMMYFUNCTION("""COMPUTED_VALUE"""),"chara_yuw_00102_Special_00007")</f>
        <v>chara_yuw_00102_Special_00007</v>
      </c>
      <c r="D760" s="139" t="str">
        <f>IFERROR(__xludf.DUMMYFUNCTION("""COMPUTED_VALUE"""),"chara_yuw_00102")</f>
        <v>chara_yuw_00102</v>
      </c>
      <c r="E760" s="139">
        <f>IFERROR(__xludf.DUMMYFUNCTION("""COMPUTED_VALUE"""),7.0)</f>
        <v>7</v>
      </c>
      <c r="F760" s="139" t="str">
        <f>IFERROR(__xludf.DUMMYFUNCTION("""COMPUTED_VALUE"""),"Special")</f>
        <v>Special</v>
      </c>
      <c r="G760" s="139"/>
      <c r="H760" s="139"/>
      <c r="I760" s="139">
        <f>IFERROR(__xludf.DUMMYFUNCTION("""COMPUTED_VALUE"""),92.0)</f>
        <v>92</v>
      </c>
      <c r="J760" s="139">
        <f>IFERROR(__xludf.DUMMYFUNCTION("""COMPUTED_VALUE"""),34.0)</f>
        <v>34</v>
      </c>
      <c r="K760" s="139">
        <f>IFERROR(__xludf.DUMMYFUNCTION("""COMPUTED_VALUE"""),0.0)</f>
        <v>0</v>
      </c>
      <c r="L760" s="139"/>
      <c r="M760" s="139"/>
      <c r="N760" s="139"/>
    </row>
    <row r="761">
      <c r="A761" s="139"/>
      <c r="B761" s="139"/>
      <c r="C761" s="139" t="str">
        <f>IFERROR(__xludf.DUMMYFUNCTION("""COMPUTED_VALUE"""),"chara_yuw_00102_Special_00008")</f>
        <v>chara_yuw_00102_Special_00008</v>
      </c>
      <c r="D761" s="139" t="str">
        <f>IFERROR(__xludf.DUMMYFUNCTION("""COMPUTED_VALUE"""),"chara_yuw_00102")</f>
        <v>chara_yuw_00102</v>
      </c>
      <c r="E761" s="139">
        <f>IFERROR(__xludf.DUMMYFUNCTION("""COMPUTED_VALUE"""),8.0)</f>
        <v>8</v>
      </c>
      <c r="F761" s="139" t="str">
        <f>IFERROR(__xludf.DUMMYFUNCTION("""COMPUTED_VALUE"""),"Special")</f>
        <v>Special</v>
      </c>
      <c r="G761" s="139"/>
      <c r="H761" s="139"/>
      <c r="I761" s="139">
        <f>IFERROR(__xludf.DUMMYFUNCTION("""COMPUTED_VALUE"""),92.0)</f>
        <v>92</v>
      </c>
      <c r="J761" s="139">
        <f>IFERROR(__xludf.DUMMYFUNCTION("""COMPUTED_VALUE"""),34.0)</f>
        <v>34</v>
      </c>
      <c r="K761" s="139">
        <f>IFERROR(__xludf.DUMMYFUNCTION("""COMPUTED_VALUE"""),0.0)</f>
        <v>0</v>
      </c>
      <c r="L761" s="139"/>
      <c r="M761" s="139"/>
      <c r="N761" s="139"/>
    </row>
    <row r="762">
      <c r="A762" s="139"/>
      <c r="B762" s="139"/>
      <c r="C762" s="139" t="str">
        <f>IFERROR(__xludf.DUMMYFUNCTION("""COMPUTED_VALUE"""),"chara_yuw_00102_Special_00009")</f>
        <v>chara_yuw_00102_Special_00009</v>
      </c>
      <c r="D762" s="139" t="str">
        <f>IFERROR(__xludf.DUMMYFUNCTION("""COMPUTED_VALUE"""),"chara_yuw_00102")</f>
        <v>chara_yuw_00102</v>
      </c>
      <c r="E762" s="139">
        <f>IFERROR(__xludf.DUMMYFUNCTION("""COMPUTED_VALUE"""),9.0)</f>
        <v>9</v>
      </c>
      <c r="F762" s="139" t="str">
        <f>IFERROR(__xludf.DUMMYFUNCTION("""COMPUTED_VALUE"""),"Special")</f>
        <v>Special</v>
      </c>
      <c r="G762" s="139"/>
      <c r="H762" s="139"/>
      <c r="I762" s="139">
        <f>IFERROR(__xludf.DUMMYFUNCTION("""COMPUTED_VALUE"""),92.0)</f>
        <v>92</v>
      </c>
      <c r="J762" s="139">
        <f>IFERROR(__xludf.DUMMYFUNCTION("""COMPUTED_VALUE"""),34.0)</f>
        <v>34</v>
      </c>
      <c r="K762" s="139">
        <f>IFERROR(__xludf.DUMMYFUNCTION("""COMPUTED_VALUE"""),0.0)</f>
        <v>0</v>
      </c>
      <c r="L762" s="139"/>
      <c r="M762" s="139"/>
      <c r="N762" s="139"/>
    </row>
    <row r="763">
      <c r="A763" s="139"/>
      <c r="B763" s="139"/>
      <c r="C763" s="139" t="str">
        <f>IFERROR(__xludf.DUMMYFUNCTION("""COMPUTED_VALUE"""),"chara_yuw_00102_Special_00010")</f>
        <v>chara_yuw_00102_Special_00010</v>
      </c>
      <c r="D763" s="139" t="str">
        <f>IFERROR(__xludf.DUMMYFUNCTION("""COMPUTED_VALUE"""),"chara_yuw_00102")</f>
        <v>chara_yuw_00102</v>
      </c>
      <c r="E763" s="139">
        <f>IFERROR(__xludf.DUMMYFUNCTION("""COMPUTED_VALUE"""),10.0)</f>
        <v>10</v>
      </c>
      <c r="F763" s="139" t="str">
        <f>IFERROR(__xludf.DUMMYFUNCTION("""COMPUTED_VALUE"""),"Special")</f>
        <v>Special</v>
      </c>
      <c r="G763" s="139"/>
      <c r="H763" s="139"/>
      <c r="I763" s="139">
        <f>IFERROR(__xludf.DUMMYFUNCTION("""COMPUTED_VALUE"""),92.0)</f>
        <v>92</v>
      </c>
      <c r="J763" s="139">
        <f>IFERROR(__xludf.DUMMYFUNCTION("""COMPUTED_VALUE"""),34.0)</f>
        <v>34</v>
      </c>
      <c r="K763" s="139">
        <f>IFERROR(__xludf.DUMMYFUNCTION("""COMPUTED_VALUE"""),0.0)</f>
        <v>0</v>
      </c>
      <c r="L763" s="139"/>
      <c r="M763" s="139"/>
      <c r="N763" s="139"/>
    </row>
    <row r="764">
      <c r="A764" s="139" t="str">
        <f>IFERROR(__xludf.DUMMYFUNCTION("""COMPUTED_VALUE"""),"e")</f>
        <v>e</v>
      </c>
      <c r="B764" s="139">
        <f>IFERROR(__xludf.DUMMYFUNCTION("""COMPUTED_VALUE"""),2.0251202E8)</f>
        <v>202512020</v>
      </c>
      <c r="C764" s="139" t="str">
        <f>IFERROR(__xludf.DUMMYFUNCTION("""COMPUTED_VALUE"""),"chara_osh_00001_Normal_00000")</f>
        <v>chara_osh_00001_Normal_00000</v>
      </c>
      <c r="D764" s="139" t="str">
        <f>IFERROR(__xludf.DUMMYFUNCTION("""COMPUTED_VALUE"""),"chara_osh_00001")</f>
        <v>chara_osh_00001</v>
      </c>
      <c r="E764" s="139">
        <f>IFERROR(__xludf.DUMMYFUNCTION("""COMPUTED_VALUE"""),0.0)</f>
        <v>0</v>
      </c>
      <c r="F764" s="139" t="str">
        <f>IFERROR(__xludf.DUMMYFUNCTION("""COMPUTED_VALUE"""),"Normal")</f>
        <v>Normal</v>
      </c>
      <c r="G764" s="139"/>
      <c r="H764" s="139"/>
      <c r="I764" s="139">
        <f>IFERROR(__xludf.DUMMYFUNCTION("""COMPUTED_VALUE"""),80.0)</f>
        <v>80</v>
      </c>
      <c r="J764" s="139">
        <f>IFERROR(__xludf.DUMMYFUNCTION("""COMPUTED_VALUE"""),22.0)</f>
        <v>22</v>
      </c>
      <c r="K764" s="139">
        <f>IFERROR(__xludf.DUMMYFUNCTION("""COMPUTED_VALUE"""),100.0)</f>
        <v>100</v>
      </c>
      <c r="L764" s="139"/>
      <c r="M764" s="139" t="str">
        <f>IFERROR(__xludf.DUMMYFUNCTION("""COMPUTED_VALUE"""),"表示場所なし")</f>
        <v>表示場所なし</v>
      </c>
      <c r="N764" s="139"/>
    </row>
    <row r="765">
      <c r="A765" s="139" t="str">
        <f>IFERROR(__xludf.DUMMYFUNCTION("""COMPUTED_VALUE"""),"e")</f>
        <v>e</v>
      </c>
      <c r="B765" s="139">
        <f>IFERROR(__xludf.DUMMYFUNCTION("""COMPUTED_VALUE"""),2.0251202E8)</f>
        <v>202512020</v>
      </c>
      <c r="C765" s="139" t="str">
        <f>IFERROR(__xludf.DUMMYFUNCTION("""COMPUTED_VALUE"""),"chara_osh_00001_Special_00001")</f>
        <v>chara_osh_00001_Special_00001</v>
      </c>
      <c r="D765" s="139" t="str">
        <f>IFERROR(__xludf.DUMMYFUNCTION("""COMPUTED_VALUE"""),"chara_osh_00001")</f>
        <v>chara_osh_00001</v>
      </c>
      <c r="E765" s="139">
        <f>IFERROR(__xludf.DUMMYFUNCTION("""COMPUTED_VALUE"""),1.0)</f>
        <v>1</v>
      </c>
      <c r="F765" s="139" t="str">
        <f>IFERROR(__xludf.DUMMYFUNCTION("""COMPUTED_VALUE"""),"Special")</f>
        <v>Special</v>
      </c>
      <c r="G765" s="139"/>
      <c r="H765" s="139"/>
      <c r="I765" s="139">
        <f>IFERROR(__xludf.DUMMYFUNCTION("""COMPUTED_VALUE"""),162.0)</f>
        <v>162</v>
      </c>
      <c r="J765" s="139">
        <f>IFERROR(__xludf.DUMMYFUNCTION("""COMPUTED_VALUE"""),92.0)</f>
        <v>92</v>
      </c>
      <c r="K765" s="139">
        <f>IFERROR(__xludf.DUMMYFUNCTION("""COMPUTED_VALUE"""),0.0)</f>
        <v>0</v>
      </c>
      <c r="L765" s="139"/>
      <c r="M765" s="139" t="str">
        <f>IFERROR(__xludf.DUMMYFUNCTION("""COMPUTED_VALUE"""),"自身と同じコマと二つ先までのコマにいる敵複数体に自身の攻撃ステータスの81%のダメージ + 攻撃がヒットした場合、敵の攻撃を3秒間、25%DOWN + 自身と同じコマと前後二つまでのコマにいる味方の必殺ワザ発動までの時間を10秒間、短縮する")</f>
        <v>自身と同じコマと二つ先までのコマにいる敵複数体に自身の攻撃ステータスの81%のダメージ + 攻撃がヒットした場合、敵の攻撃を3秒間、25%DOWN + 自身と同じコマと前後二つまでのコマにいる味方の必殺ワザ発動までの時間を10秒間、短縮する</v>
      </c>
      <c r="N765" s="139"/>
    </row>
    <row r="766">
      <c r="A766" s="139" t="str">
        <f>IFERROR(__xludf.DUMMYFUNCTION("""COMPUTED_VALUE"""),"e")</f>
        <v>e</v>
      </c>
      <c r="B766" s="139">
        <f>IFERROR(__xludf.DUMMYFUNCTION("""COMPUTED_VALUE"""),2.0251202E8)</f>
        <v>202512020</v>
      </c>
      <c r="C766" s="139" t="str">
        <f>IFERROR(__xludf.DUMMYFUNCTION("""COMPUTED_VALUE"""),"chara_osh_00001_Special_00002")</f>
        <v>chara_osh_00001_Special_00002</v>
      </c>
      <c r="D766" s="139" t="str">
        <f>IFERROR(__xludf.DUMMYFUNCTION("""COMPUTED_VALUE"""),"chara_osh_00001")</f>
        <v>chara_osh_00001</v>
      </c>
      <c r="E766" s="139">
        <f>IFERROR(__xludf.DUMMYFUNCTION("""COMPUTED_VALUE"""),2.0)</f>
        <v>2</v>
      </c>
      <c r="F766" s="139" t="str">
        <f>IFERROR(__xludf.DUMMYFUNCTION("""COMPUTED_VALUE"""),"Special")</f>
        <v>Special</v>
      </c>
      <c r="G766" s="139"/>
      <c r="H766" s="139"/>
      <c r="I766" s="139">
        <f>IFERROR(__xludf.DUMMYFUNCTION("""COMPUTED_VALUE"""),162.0)</f>
        <v>162</v>
      </c>
      <c r="J766" s="139">
        <f>IFERROR(__xludf.DUMMYFUNCTION("""COMPUTED_VALUE"""),92.0)</f>
        <v>92</v>
      </c>
      <c r="K766" s="139">
        <f>IFERROR(__xludf.DUMMYFUNCTION("""COMPUTED_VALUE"""),0.0)</f>
        <v>0</v>
      </c>
      <c r="L766" s="139"/>
      <c r="M766" s="139" t="str">
        <f>IFERROR(__xludf.DUMMYFUNCTION("""COMPUTED_VALUE"""),"自身と同じコマと二つ先までのコマにいる敵複数体に自身の攻撃ステータスの90%のダメージ + 攻撃がヒットした場合、敵の攻撃を4秒間、30%DOWN + 自身と同じコマと前後二つまでのコマにいる味方の必殺ワザ発動までの時間を12秒間、短縮する")</f>
        <v>自身と同じコマと二つ先までのコマにいる敵複数体に自身の攻撃ステータスの90%のダメージ + 攻撃がヒットした場合、敵の攻撃を4秒間、30%DOWN + 自身と同じコマと前後二つまでのコマにいる味方の必殺ワザ発動までの時間を12秒間、短縮する</v>
      </c>
      <c r="N766" s="139" t="str">
        <f>IFERROR(__xludf.DUMMYFUNCTION("""COMPUTED_VALUE"""),"ステータスUP + 必殺ワザ性能UP")</f>
        <v>ステータスUP + 必殺ワザ性能UP</v>
      </c>
    </row>
    <row r="767">
      <c r="A767" s="139" t="str">
        <f>IFERROR(__xludf.DUMMYFUNCTION("""COMPUTED_VALUE"""),"e")</f>
        <v>e</v>
      </c>
      <c r="B767" s="139">
        <f>IFERROR(__xludf.DUMMYFUNCTION("""COMPUTED_VALUE"""),2.0251202E8)</f>
        <v>202512020</v>
      </c>
      <c r="C767" s="139" t="str">
        <f>IFERROR(__xludf.DUMMYFUNCTION("""COMPUTED_VALUE"""),"chara_osh_00001_Special_00003")</f>
        <v>chara_osh_00001_Special_00003</v>
      </c>
      <c r="D767" s="139" t="str">
        <f>IFERROR(__xludf.DUMMYFUNCTION("""COMPUTED_VALUE"""),"chara_osh_00001")</f>
        <v>chara_osh_00001</v>
      </c>
      <c r="E767" s="139">
        <f>IFERROR(__xludf.DUMMYFUNCTION("""COMPUTED_VALUE"""),3.0)</f>
        <v>3</v>
      </c>
      <c r="F767" s="139" t="str">
        <f>IFERROR(__xludf.DUMMYFUNCTION("""COMPUTED_VALUE"""),"Special")</f>
        <v>Special</v>
      </c>
      <c r="G767" s="139"/>
      <c r="H767" s="139"/>
      <c r="I767" s="139">
        <f>IFERROR(__xludf.DUMMYFUNCTION("""COMPUTED_VALUE"""),162.0)</f>
        <v>162</v>
      </c>
      <c r="J767" s="139">
        <f>IFERROR(__xludf.DUMMYFUNCTION("""COMPUTED_VALUE"""),92.0)</f>
        <v>92</v>
      </c>
      <c r="K767" s="139">
        <f>IFERROR(__xludf.DUMMYFUNCTION("""COMPUTED_VALUE"""),0.0)</f>
        <v>0</v>
      </c>
      <c r="L767" s="139"/>
      <c r="M767" s="139" t="str">
        <f>IFERROR(__xludf.DUMMYFUNCTION("""COMPUTED_VALUE"""),"自身と同じコマと二つ先までのコマにいる敵複数体に自身の攻撃ステータスの96%のダメージ + 攻撃がヒットした場合、敵の攻撃を5秒間、35%DOWN + 自身と同じコマと前後二つまでのコマにいる味方の必殺ワザ発動までの時間を13秒間、短縮する + 自身の必殺ワザ発動までの時間を3秒間、短縮する")</f>
        <v>自身と同じコマと二つ先までのコマにいる敵複数体に自身の攻撃ステータスの96%のダメージ + 攻撃がヒットした場合、敵の攻撃を5秒間、35%DOWN + 自身と同じコマと前後二つまでのコマにいる味方の必殺ワザ発動までの時間を13秒間、短縮する + 自身の必殺ワザ発動までの時間を3秒間、短縮する</v>
      </c>
      <c r="N767" s="139" t="str">
        <f>IFERROR(__xludf.DUMMYFUNCTION("""COMPUTED_VALUE"""),"ステータスUP + 必殺ワザ性能UP")</f>
        <v>ステータスUP + 必殺ワザ性能UP</v>
      </c>
    </row>
    <row r="768">
      <c r="A768" s="139" t="str">
        <f>IFERROR(__xludf.DUMMYFUNCTION("""COMPUTED_VALUE"""),"e")</f>
        <v>e</v>
      </c>
      <c r="B768" s="139">
        <f>IFERROR(__xludf.DUMMYFUNCTION("""COMPUTED_VALUE"""),2.0251202E8)</f>
        <v>202512020</v>
      </c>
      <c r="C768" s="139" t="str">
        <f>IFERROR(__xludf.DUMMYFUNCTION("""COMPUTED_VALUE"""),"chara_osh_00001_Special_00004")</f>
        <v>chara_osh_00001_Special_00004</v>
      </c>
      <c r="D768" s="139" t="str">
        <f>IFERROR(__xludf.DUMMYFUNCTION("""COMPUTED_VALUE"""),"chara_osh_00001")</f>
        <v>chara_osh_00001</v>
      </c>
      <c r="E768" s="139">
        <f>IFERROR(__xludf.DUMMYFUNCTION("""COMPUTED_VALUE"""),4.0)</f>
        <v>4</v>
      </c>
      <c r="F768" s="139" t="str">
        <f>IFERROR(__xludf.DUMMYFUNCTION("""COMPUTED_VALUE"""),"Special")</f>
        <v>Special</v>
      </c>
      <c r="G768" s="139"/>
      <c r="H768" s="139"/>
      <c r="I768" s="139">
        <f>IFERROR(__xludf.DUMMYFUNCTION("""COMPUTED_VALUE"""),162.0)</f>
        <v>162</v>
      </c>
      <c r="J768" s="139">
        <f>IFERROR(__xludf.DUMMYFUNCTION("""COMPUTED_VALUE"""),92.0)</f>
        <v>92</v>
      </c>
      <c r="K768" s="139">
        <f>IFERROR(__xludf.DUMMYFUNCTION("""COMPUTED_VALUE"""),0.0)</f>
        <v>0</v>
      </c>
      <c r="L768" s="139"/>
      <c r="M768" s="139" t="str">
        <f>IFERROR(__xludf.DUMMYFUNCTION("""COMPUTED_VALUE"""),"自身と同じコマと二つ先までのコマにいる敵複数体に自身の攻撃ステータスの100%のダメージ + 攻撃がヒットした場合、敵の攻撃を6秒間、40%DOWN + 自身と同じコマと前後二つまでのコマにいる味方の必殺ワザ発動までの時間を15秒間、短縮する + 自身の必殺ワザ発動までの時間を3秒間、短縮する")</f>
        <v>自身と同じコマと二つ先までのコマにいる敵複数体に自身の攻撃ステータスの100%のダメージ + 攻撃がヒットした場合、敵の攻撃を6秒間、40%DOWN + 自身と同じコマと前後二つまでのコマにいる味方の必殺ワザ発動までの時間を15秒間、短縮する + 自身の必殺ワザ発動までの時間を3秒間、短縮する</v>
      </c>
      <c r="N768" s="139" t="str">
        <f>IFERROR(__xludf.DUMMYFUNCTION("""COMPUTED_VALUE"""),"ステータスUP + 必殺ワザ性能UP")</f>
        <v>ステータスUP + 必殺ワザ性能UP</v>
      </c>
    </row>
    <row r="769">
      <c r="A769" s="139" t="str">
        <f>IFERROR(__xludf.DUMMYFUNCTION("""COMPUTED_VALUE"""),"e")</f>
        <v>e</v>
      </c>
      <c r="B769" s="139">
        <f>IFERROR(__xludf.DUMMYFUNCTION("""COMPUTED_VALUE"""),2.0251202E8)</f>
        <v>202512020</v>
      </c>
      <c r="C769" s="139" t="str">
        <f>IFERROR(__xludf.DUMMYFUNCTION("""COMPUTED_VALUE"""),"chara_osh_00001_Special_00005")</f>
        <v>chara_osh_00001_Special_00005</v>
      </c>
      <c r="D769" s="139" t="str">
        <f>IFERROR(__xludf.DUMMYFUNCTION("""COMPUTED_VALUE"""),"chara_osh_00001")</f>
        <v>chara_osh_00001</v>
      </c>
      <c r="E769" s="139">
        <f>IFERROR(__xludf.DUMMYFUNCTION("""COMPUTED_VALUE"""),5.0)</f>
        <v>5</v>
      </c>
      <c r="F769" s="139" t="str">
        <f>IFERROR(__xludf.DUMMYFUNCTION("""COMPUTED_VALUE"""),"Special")</f>
        <v>Special</v>
      </c>
      <c r="G769" s="139"/>
      <c r="H769" s="139"/>
      <c r="I769" s="139">
        <f>IFERROR(__xludf.DUMMYFUNCTION("""COMPUTED_VALUE"""),162.0)</f>
        <v>162</v>
      </c>
      <c r="J769" s="139">
        <f>IFERROR(__xludf.DUMMYFUNCTION("""COMPUTED_VALUE"""),92.0)</f>
        <v>92</v>
      </c>
      <c r="K769" s="139">
        <f>IFERROR(__xludf.DUMMYFUNCTION("""COMPUTED_VALUE"""),0.0)</f>
        <v>0</v>
      </c>
      <c r="L769" s="139"/>
      <c r="M769" s="139" t="str">
        <f>IFERROR(__xludf.DUMMYFUNCTION("""COMPUTED_VALUE"""),"自身と同じコマと二つ先までのコマにいる敵複数体に自身の攻撃ステータスの104%のダメージ + 攻撃がヒットした場合、敵の攻撃を7.5秒間、50%DOWN + 自身と同じコマと前後二つまでのコマにいる味方の必殺ワザ発動までの時間を18秒間、短縮する + 自身の必殺ワザ発動までの時間を5秒間、短縮する")</f>
        <v>自身と同じコマと二つ先までのコマにいる敵複数体に自身の攻撃ステータスの104%のダメージ + 攻撃がヒットした場合、敵の攻撃を7.5秒間、50%DOWN + 自身と同じコマと前後二つまでのコマにいる味方の必殺ワザ発動までの時間を18秒間、短縮する + 自身の必殺ワザ発動までの時間を5秒間、短縮する</v>
      </c>
      <c r="N769" s="139" t="str">
        <f>IFERROR(__xludf.DUMMYFUNCTION("""COMPUTED_VALUE"""),"ステータスUP + 必殺ワザ性能UP")</f>
        <v>ステータスUP + 必殺ワザ性能UP</v>
      </c>
    </row>
    <row r="770">
      <c r="A770" s="139"/>
      <c r="B770" s="139"/>
      <c r="C770" s="139" t="str">
        <f>IFERROR(__xludf.DUMMYFUNCTION("""COMPUTED_VALUE"""),"chara_osh_00001_Special_00006")</f>
        <v>chara_osh_00001_Special_00006</v>
      </c>
      <c r="D770" s="139" t="str">
        <f>IFERROR(__xludf.DUMMYFUNCTION("""COMPUTED_VALUE"""),"chara_osh_00001")</f>
        <v>chara_osh_00001</v>
      </c>
      <c r="E770" s="139">
        <f>IFERROR(__xludf.DUMMYFUNCTION("""COMPUTED_VALUE"""),0.0)</f>
        <v>0</v>
      </c>
      <c r="F770" s="139" t="str">
        <f>IFERROR(__xludf.DUMMYFUNCTION("""COMPUTED_VALUE"""),"Normal")</f>
        <v>Normal</v>
      </c>
      <c r="G770" s="139"/>
      <c r="H770" s="139"/>
      <c r="I770" s="139">
        <f>IFERROR(__xludf.DUMMYFUNCTION("""COMPUTED_VALUE"""),50.0)</f>
        <v>50</v>
      </c>
      <c r="J770" s="139">
        <f>IFERROR(__xludf.DUMMYFUNCTION("""COMPUTED_VALUE"""),25.0)</f>
        <v>25</v>
      </c>
      <c r="K770" s="139">
        <f>IFERROR(__xludf.DUMMYFUNCTION("""COMPUTED_VALUE"""),100.0)</f>
        <v>100</v>
      </c>
      <c r="L770" s="139"/>
      <c r="M770" s="139"/>
      <c r="N770" s="139"/>
    </row>
    <row r="771">
      <c r="A771" s="139"/>
      <c r="B771" s="139"/>
      <c r="C771" s="139" t="str">
        <f>IFERROR(__xludf.DUMMYFUNCTION("""COMPUTED_VALUE"""),"chara_osh_00001_Special_00007")</f>
        <v>chara_osh_00001_Special_00007</v>
      </c>
      <c r="D771" s="139" t="str">
        <f>IFERROR(__xludf.DUMMYFUNCTION("""COMPUTED_VALUE"""),"chara_osh_00001")</f>
        <v>chara_osh_00001</v>
      </c>
      <c r="E771" s="139">
        <f>IFERROR(__xludf.DUMMYFUNCTION("""COMPUTED_VALUE"""),1.0)</f>
        <v>1</v>
      </c>
      <c r="F771" s="139" t="str">
        <f>IFERROR(__xludf.DUMMYFUNCTION("""COMPUTED_VALUE"""),"Special")</f>
        <v>Special</v>
      </c>
      <c r="G771" s="139"/>
      <c r="H771" s="139"/>
      <c r="I771" s="139">
        <f>IFERROR(__xludf.DUMMYFUNCTION("""COMPUTED_VALUE"""),117.0)</f>
        <v>117</v>
      </c>
      <c r="J771" s="139">
        <f>IFERROR(__xludf.DUMMYFUNCTION("""COMPUTED_VALUE"""),34.0)</f>
        <v>34</v>
      </c>
      <c r="K771" s="139">
        <f>IFERROR(__xludf.DUMMYFUNCTION("""COMPUTED_VALUE"""),0.0)</f>
        <v>0</v>
      </c>
      <c r="L771" s="139"/>
      <c r="M771" s="139"/>
      <c r="N771" s="139"/>
    </row>
    <row r="772">
      <c r="A772" s="139"/>
      <c r="B772" s="139"/>
      <c r="C772" s="139" t="str">
        <f>IFERROR(__xludf.DUMMYFUNCTION("""COMPUTED_VALUE"""),"chara_osh_00001_Special_00008")</f>
        <v>chara_osh_00001_Special_00008</v>
      </c>
      <c r="D772" s="139" t="str">
        <f>IFERROR(__xludf.DUMMYFUNCTION("""COMPUTED_VALUE"""),"chara_osh_00001")</f>
        <v>chara_osh_00001</v>
      </c>
      <c r="E772" s="139">
        <f>IFERROR(__xludf.DUMMYFUNCTION("""COMPUTED_VALUE"""),2.0)</f>
        <v>2</v>
      </c>
      <c r="F772" s="139" t="str">
        <f>IFERROR(__xludf.DUMMYFUNCTION("""COMPUTED_VALUE"""),"Special")</f>
        <v>Special</v>
      </c>
      <c r="G772" s="139"/>
      <c r="H772" s="139"/>
      <c r="I772" s="139">
        <f>IFERROR(__xludf.DUMMYFUNCTION("""COMPUTED_VALUE"""),117.0)</f>
        <v>117</v>
      </c>
      <c r="J772" s="139">
        <f>IFERROR(__xludf.DUMMYFUNCTION("""COMPUTED_VALUE"""),34.0)</f>
        <v>34</v>
      </c>
      <c r="K772" s="139">
        <f>IFERROR(__xludf.DUMMYFUNCTION("""COMPUTED_VALUE"""),0.0)</f>
        <v>0</v>
      </c>
      <c r="L772" s="139"/>
      <c r="M772" s="139"/>
      <c r="N772" s="139"/>
    </row>
    <row r="773">
      <c r="A773" s="139"/>
      <c r="B773" s="139"/>
      <c r="C773" s="139" t="str">
        <f>IFERROR(__xludf.DUMMYFUNCTION("""COMPUTED_VALUE"""),"chara_osh_00001_Special_00009")</f>
        <v>chara_osh_00001_Special_00009</v>
      </c>
      <c r="D773" s="139" t="str">
        <f>IFERROR(__xludf.DUMMYFUNCTION("""COMPUTED_VALUE"""),"chara_osh_00001")</f>
        <v>chara_osh_00001</v>
      </c>
      <c r="E773" s="139">
        <f>IFERROR(__xludf.DUMMYFUNCTION("""COMPUTED_VALUE"""),3.0)</f>
        <v>3</v>
      </c>
      <c r="F773" s="139" t="str">
        <f>IFERROR(__xludf.DUMMYFUNCTION("""COMPUTED_VALUE"""),"Special")</f>
        <v>Special</v>
      </c>
      <c r="G773" s="139"/>
      <c r="H773" s="139"/>
      <c r="I773" s="139">
        <f>IFERROR(__xludf.DUMMYFUNCTION("""COMPUTED_VALUE"""),117.0)</f>
        <v>117</v>
      </c>
      <c r="J773" s="139">
        <f>IFERROR(__xludf.DUMMYFUNCTION("""COMPUTED_VALUE"""),34.0)</f>
        <v>34</v>
      </c>
      <c r="K773" s="139">
        <f>IFERROR(__xludf.DUMMYFUNCTION("""COMPUTED_VALUE"""),0.0)</f>
        <v>0</v>
      </c>
      <c r="L773" s="139"/>
      <c r="M773" s="139"/>
      <c r="N773" s="139"/>
    </row>
    <row r="774">
      <c r="A774" s="139"/>
      <c r="B774" s="139"/>
      <c r="C774" s="139" t="str">
        <f>IFERROR(__xludf.DUMMYFUNCTION("""COMPUTED_VALUE"""),"chara_osh_00001_Special_00010")</f>
        <v>chara_osh_00001_Special_00010</v>
      </c>
      <c r="D774" s="139" t="str">
        <f>IFERROR(__xludf.DUMMYFUNCTION("""COMPUTED_VALUE"""),"chara_osh_00001")</f>
        <v>chara_osh_00001</v>
      </c>
      <c r="E774" s="139">
        <f>IFERROR(__xludf.DUMMYFUNCTION("""COMPUTED_VALUE"""),4.0)</f>
        <v>4</v>
      </c>
      <c r="F774" s="139" t="str">
        <f>IFERROR(__xludf.DUMMYFUNCTION("""COMPUTED_VALUE"""),"Special")</f>
        <v>Special</v>
      </c>
      <c r="G774" s="139"/>
      <c r="H774" s="139"/>
      <c r="I774" s="139">
        <f>IFERROR(__xludf.DUMMYFUNCTION("""COMPUTED_VALUE"""),117.0)</f>
        <v>117</v>
      </c>
      <c r="J774" s="139">
        <f>IFERROR(__xludf.DUMMYFUNCTION("""COMPUTED_VALUE"""),34.0)</f>
        <v>34</v>
      </c>
      <c r="K774" s="139">
        <f>IFERROR(__xludf.DUMMYFUNCTION("""COMPUTED_VALUE"""),0.0)</f>
        <v>0</v>
      </c>
      <c r="L774" s="139"/>
      <c r="M774" s="139"/>
      <c r="N774" s="139"/>
    </row>
    <row r="775">
      <c r="A775" s="139" t="str">
        <f>IFERROR(__xludf.DUMMYFUNCTION("""COMPUTED_VALUE"""),"e")</f>
        <v>e</v>
      </c>
      <c r="B775" s="139">
        <f>IFERROR(__xludf.DUMMYFUNCTION("""COMPUTED_VALUE"""),2.0251202E8)</f>
        <v>202512020</v>
      </c>
      <c r="C775" s="139" t="str">
        <f>IFERROR(__xludf.DUMMYFUNCTION("""COMPUTED_VALUE"""),"chara_osh_00101_Normal_00000")</f>
        <v>chara_osh_00101_Normal_00000</v>
      </c>
      <c r="D775" s="139" t="str">
        <f>IFERROR(__xludf.DUMMYFUNCTION("""COMPUTED_VALUE"""),"chara_osh_00101")</f>
        <v>chara_osh_00101</v>
      </c>
      <c r="E775" s="139">
        <f>IFERROR(__xludf.DUMMYFUNCTION("""COMPUTED_VALUE"""),0.0)</f>
        <v>0</v>
      </c>
      <c r="F775" s="139" t="str">
        <f>IFERROR(__xludf.DUMMYFUNCTION("""COMPUTED_VALUE"""),"Normal")</f>
        <v>Normal</v>
      </c>
      <c r="G775" s="139"/>
      <c r="H775" s="139"/>
      <c r="I775" s="139">
        <f>IFERROR(__xludf.DUMMYFUNCTION("""COMPUTED_VALUE"""),0.0)</f>
        <v>0</v>
      </c>
      <c r="J775" s="139">
        <f>IFERROR(__xludf.DUMMYFUNCTION("""COMPUTED_VALUE"""),0.0)</f>
        <v>0</v>
      </c>
      <c r="K775" s="139">
        <f>IFERROR(__xludf.DUMMYFUNCTION("""COMPUTED_VALUE"""),0.0)</f>
        <v>0</v>
      </c>
      <c r="L775" s="139"/>
      <c r="M775" s="139" t="str">
        <f>IFERROR(__xludf.DUMMYFUNCTION("""COMPUTED_VALUE"""),"表示場所なし")</f>
        <v>表示場所なし</v>
      </c>
      <c r="N775" s="139"/>
    </row>
    <row r="776">
      <c r="A776" s="139" t="str">
        <f>IFERROR(__xludf.DUMMYFUNCTION("""COMPUTED_VALUE"""),"e")</f>
        <v>e</v>
      </c>
      <c r="B776" s="139">
        <f>IFERROR(__xludf.DUMMYFUNCTION("""COMPUTED_VALUE"""),2.0251202E8)</f>
        <v>202512020</v>
      </c>
      <c r="C776" s="139" t="str">
        <f>IFERROR(__xludf.DUMMYFUNCTION("""COMPUTED_VALUE"""),"chara_osh_00101_Special_00001")</f>
        <v>chara_osh_00101_Special_00001</v>
      </c>
      <c r="D776" s="139" t="str">
        <f>IFERROR(__xludf.DUMMYFUNCTION("""COMPUTED_VALUE"""),"chara_osh_00101")</f>
        <v>chara_osh_00101</v>
      </c>
      <c r="E776" s="139">
        <f>IFERROR(__xludf.DUMMYFUNCTION("""COMPUTED_VALUE"""),1.0)</f>
        <v>1</v>
      </c>
      <c r="F776" s="139" t="str">
        <f>IFERROR(__xludf.DUMMYFUNCTION("""COMPUTED_VALUE"""),"Special")</f>
        <v>Special</v>
      </c>
      <c r="G776" s="139"/>
      <c r="H776" s="139"/>
      <c r="I776" s="139">
        <f>IFERROR(__xludf.DUMMYFUNCTION("""COMPUTED_VALUE"""),117.0)</f>
        <v>117</v>
      </c>
      <c r="J776" s="139">
        <f>IFERROR(__xludf.DUMMYFUNCTION("""COMPUTED_VALUE"""),5.0)</f>
        <v>5</v>
      </c>
      <c r="K776" s="139">
        <f>IFERROR(__xludf.DUMMYFUNCTION("""COMPUTED_VALUE"""),0.0)</f>
        <v>0</v>
      </c>
      <c r="L776" s="139"/>
      <c r="M776" s="139" t="str">
        <f>IFERROR(__xludf.DUMMYFUNCTION("""COMPUTED_VALUE"""),"選択したコマと一つ先までのコマにいる敵複数体に{chara_osh_00101_Special_00001a_power_parameter}の固定ダメージ(敵のゲート除く) + 味方の再召喚時間を2.5秒間、短縮する")</f>
        <v>選択したコマと一つ先までのコマにいる敵複数体に{chara_osh_00101_Special_00001a_power_parameter}の固定ダメージ(敵のゲート除く) + 味方の再召喚時間を2.5秒間、短縮する</v>
      </c>
      <c r="N776" s="139"/>
    </row>
    <row r="777">
      <c r="A777" s="139" t="str">
        <f>IFERROR(__xludf.DUMMYFUNCTION("""COMPUTED_VALUE"""),"e")</f>
        <v>e</v>
      </c>
      <c r="B777" s="139">
        <f>IFERROR(__xludf.DUMMYFUNCTION("""COMPUTED_VALUE"""),2.0251202E8)</f>
        <v>202512020</v>
      </c>
      <c r="C777" s="139" t="str">
        <f>IFERROR(__xludf.DUMMYFUNCTION("""COMPUTED_VALUE"""),"chara_osh_00101_Special_00002")</f>
        <v>chara_osh_00101_Special_00002</v>
      </c>
      <c r="D777" s="139" t="str">
        <f>IFERROR(__xludf.DUMMYFUNCTION("""COMPUTED_VALUE"""),"chara_osh_00101")</f>
        <v>chara_osh_00101</v>
      </c>
      <c r="E777" s="139">
        <f>IFERROR(__xludf.DUMMYFUNCTION("""COMPUTED_VALUE"""),2.0)</f>
        <v>2</v>
      </c>
      <c r="F777" s="139" t="str">
        <f>IFERROR(__xludf.DUMMYFUNCTION("""COMPUTED_VALUE"""),"Special")</f>
        <v>Special</v>
      </c>
      <c r="G777" s="139"/>
      <c r="H777" s="139"/>
      <c r="I777" s="139">
        <f>IFERROR(__xludf.DUMMYFUNCTION("""COMPUTED_VALUE"""),117.0)</f>
        <v>117</v>
      </c>
      <c r="J777" s="139">
        <f>IFERROR(__xludf.DUMMYFUNCTION("""COMPUTED_VALUE"""),5.0)</f>
        <v>5</v>
      </c>
      <c r="K777" s="139">
        <f>IFERROR(__xludf.DUMMYFUNCTION("""COMPUTED_VALUE"""),0.0)</f>
        <v>0</v>
      </c>
      <c r="L777" s="139"/>
      <c r="M777" s="139" t="str">
        <f>IFERROR(__xludf.DUMMYFUNCTION("""COMPUTED_VALUE"""),"選択したコマと一つ先までのコマにいる敵複数体に{chara_osh_00101_Special_00002a_power_parameter}の固定ダメージ(敵のゲート除く) + 味方の再召喚時間を2.5秒間、短縮する")</f>
        <v>選択したコマと一つ先までのコマにいる敵複数体に{chara_osh_00101_Special_00002a_power_parameter}の固定ダメージ(敵のゲート除く) + 味方の再召喚時間を2.5秒間、短縮する</v>
      </c>
      <c r="N777" s="139" t="str">
        <f>IFERROR(__xludf.DUMMYFUNCTION("""COMPUTED_VALUE"""),"必殺ワザ性能UP")</f>
        <v>必殺ワザ性能UP</v>
      </c>
    </row>
    <row r="778">
      <c r="A778" s="139" t="str">
        <f>IFERROR(__xludf.DUMMYFUNCTION("""COMPUTED_VALUE"""),"e")</f>
        <v>e</v>
      </c>
      <c r="B778" s="139">
        <f>IFERROR(__xludf.DUMMYFUNCTION("""COMPUTED_VALUE"""),2.0251202E8)</f>
        <v>202512020</v>
      </c>
      <c r="C778" s="139" t="str">
        <f>IFERROR(__xludf.DUMMYFUNCTION("""COMPUTED_VALUE"""),"chara_osh_00101_Special_00003")</f>
        <v>chara_osh_00101_Special_00003</v>
      </c>
      <c r="D778" s="139" t="str">
        <f>IFERROR(__xludf.DUMMYFUNCTION("""COMPUTED_VALUE"""),"chara_osh_00101")</f>
        <v>chara_osh_00101</v>
      </c>
      <c r="E778" s="139">
        <f>IFERROR(__xludf.DUMMYFUNCTION("""COMPUTED_VALUE"""),3.0)</f>
        <v>3</v>
      </c>
      <c r="F778" s="139" t="str">
        <f>IFERROR(__xludf.DUMMYFUNCTION("""COMPUTED_VALUE"""),"Special")</f>
        <v>Special</v>
      </c>
      <c r="G778" s="139"/>
      <c r="H778" s="139"/>
      <c r="I778" s="139">
        <f>IFERROR(__xludf.DUMMYFUNCTION("""COMPUTED_VALUE"""),117.0)</f>
        <v>117</v>
      </c>
      <c r="J778" s="139">
        <f>IFERROR(__xludf.DUMMYFUNCTION("""COMPUTED_VALUE"""),5.0)</f>
        <v>5</v>
      </c>
      <c r="K778" s="139">
        <f>IFERROR(__xludf.DUMMYFUNCTION("""COMPUTED_VALUE"""),0.0)</f>
        <v>0</v>
      </c>
      <c r="L778" s="139"/>
      <c r="M778" s="139" t="str">
        <f>IFERROR(__xludf.DUMMYFUNCTION("""COMPUTED_VALUE"""),"選択したコマと一つ先までのコマにいる敵複数体に{chara_osh_00101_Special_00003a_power_parameter}の固定ダメージ(敵のゲート除く) + 味方の再召喚時間を2.5秒間、短縮する")</f>
        <v>選択したコマと一つ先までのコマにいる敵複数体に{chara_osh_00101_Special_00003a_power_parameter}の固定ダメージ(敵のゲート除く) + 味方の再召喚時間を2.5秒間、短縮する</v>
      </c>
      <c r="N778" s="139" t="str">
        <f>IFERROR(__xludf.DUMMYFUNCTION("""COMPUTED_VALUE"""),"必殺ワザ性能UP")</f>
        <v>必殺ワザ性能UP</v>
      </c>
    </row>
    <row r="779">
      <c r="A779" s="139" t="str">
        <f>IFERROR(__xludf.DUMMYFUNCTION("""COMPUTED_VALUE"""),"e")</f>
        <v>e</v>
      </c>
      <c r="B779" s="139">
        <f>IFERROR(__xludf.DUMMYFUNCTION("""COMPUTED_VALUE"""),2.0251202E8)</f>
        <v>202512020</v>
      </c>
      <c r="C779" s="139" t="str">
        <f>IFERROR(__xludf.DUMMYFUNCTION("""COMPUTED_VALUE"""),"chara_osh_00101_Special_00004")</f>
        <v>chara_osh_00101_Special_00004</v>
      </c>
      <c r="D779" s="139" t="str">
        <f>IFERROR(__xludf.DUMMYFUNCTION("""COMPUTED_VALUE"""),"chara_osh_00101")</f>
        <v>chara_osh_00101</v>
      </c>
      <c r="E779" s="139">
        <f>IFERROR(__xludf.DUMMYFUNCTION("""COMPUTED_VALUE"""),4.0)</f>
        <v>4</v>
      </c>
      <c r="F779" s="139" t="str">
        <f>IFERROR(__xludf.DUMMYFUNCTION("""COMPUTED_VALUE"""),"Special")</f>
        <v>Special</v>
      </c>
      <c r="G779" s="139"/>
      <c r="H779" s="139"/>
      <c r="I779" s="139">
        <f>IFERROR(__xludf.DUMMYFUNCTION("""COMPUTED_VALUE"""),117.0)</f>
        <v>117</v>
      </c>
      <c r="J779" s="139">
        <f>IFERROR(__xludf.DUMMYFUNCTION("""COMPUTED_VALUE"""),5.0)</f>
        <v>5</v>
      </c>
      <c r="K779" s="139">
        <f>IFERROR(__xludf.DUMMYFUNCTION("""COMPUTED_VALUE"""),0.0)</f>
        <v>0</v>
      </c>
      <c r="L779" s="139"/>
      <c r="M779" s="139" t="str">
        <f>IFERROR(__xludf.DUMMYFUNCTION("""COMPUTED_VALUE"""),"選択したコマと一つ先までのコマにいる敵複数体に{chara_osh_00101_Special_00004a_power_parameter}の固定ダメージ(敵のゲート除く) + 味方の再召喚時間を2.5秒間、短縮する")</f>
        <v>選択したコマと一つ先までのコマにいる敵複数体に{chara_osh_00101_Special_00004a_power_parameter}の固定ダメージ(敵のゲート除く) + 味方の再召喚時間を2.5秒間、短縮する</v>
      </c>
      <c r="N779" s="139" t="str">
        <f>IFERROR(__xludf.DUMMYFUNCTION("""COMPUTED_VALUE"""),"必殺ワザ性能UP")</f>
        <v>必殺ワザ性能UP</v>
      </c>
    </row>
    <row r="780">
      <c r="A780" s="139" t="str">
        <f>IFERROR(__xludf.DUMMYFUNCTION("""COMPUTED_VALUE"""),"e")</f>
        <v>e</v>
      </c>
      <c r="B780" s="139">
        <f>IFERROR(__xludf.DUMMYFUNCTION("""COMPUTED_VALUE"""),2.0251202E8)</f>
        <v>202512020</v>
      </c>
      <c r="C780" s="139" t="str">
        <f>IFERROR(__xludf.DUMMYFUNCTION("""COMPUTED_VALUE"""),"chara_osh_00101_Special_00005")</f>
        <v>chara_osh_00101_Special_00005</v>
      </c>
      <c r="D780" s="139" t="str">
        <f>IFERROR(__xludf.DUMMYFUNCTION("""COMPUTED_VALUE"""),"chara_osh_00101")</f>
        <v>chara_osh_00101</v>
      </c>
      <c r="E780" s="139">
        <f>IFERROR(__xludf.DUMMYFUNCTION("""COMPUTED_VALUE"""),5.0)</f>
        <v>5</v>
      </c>
      <c r="F780" s="139" t="str">
        <f>IFERROR(__xludf.DUMMYFUNCTION("""COMPUTED_VALUE"""),"Special")</f>
        <v>Special</v>
      </c>
      <c r="G780" s="139"/>
      <c r="H780" s="139"/>
      <c r="I780" s="139">
        <f>IFERROR(__xludf.DUMMYFUNCTION("""COMPUTED_VALUE"""),117.0)</f>
        <v>117</v>
      </c>
      <c r="J780" s="139">
        <f>IFERROR(__xludf.DUMMYFUNCTION("""COMPUTED_VALUE"""),5.0)</f>
        <v>5</v>
      </c>
      <c r="K780" s="139">
        <f>IFERROR(__xludf.DUMMYFUNCTION("""COMPUTED_VALUE"""),0.0)</f>
        <v>0</v>
      </c>
      <c r="L780" s="139"/>
      <c r="M780" s="139" t="str">
        <f>IFERROR(__xludf.DUMMYFUNCTION("""COMPUTED_VALUE"""),"選択したコマと一つ先までのコマにいる敵複数体に{chara_osh_00101_Special_00005a_power_parameter}の固定ダメージ(敵のゲート除く) + 味方の再召喚時間を2.5秒間、短縮する")</f>
        <v>選択したコマと一つ先までのコマにいる敵複数体に{chara_osh_00101_Special_00005a_power_parameter}の固定ダメージ(敵のゲート除く) + 味方の再召喚時間を2.5秒間、短縮する</v>
      </c>
      <c r="N780" s="139" t="str">
        <f>IFERROR(__xludf.DUMMYFUNCTION("""COMPUTED_VALUE"""),"必殺ワザ性能UP")</f>
        <v>必殺ワザ性能UP</v>
      </c>
    </row>
    <row r="781">
      <c r="A781" s="139"/>
      <c r="B781" s="139"/>
      <c r="C781" s="139" t="str">
        <f>IFERROR(__xludf.DUMMYFUNCTION("""COMPUTED_VALUE"""),"chara_osh_00101_Special_00006")</f>
        <v>chara_osh_00101_Special_00006</v>
      </c>
      <c r="D781" s="139" t="str">
        <f>IFERROR(__xludf.DUMMYFUNCTION("""COMPUTED_VALUE"""),"chara_osh_00101")</f>
        <v>chara_osh_00101</v>
      </c>
      <c r="E781" s="139">
        <f>IFERROR(__xludf.DUMMYFUNCTION("""COMPUTED_VALUE"""),6.0)</f>
        <v>6</v>
      </c>
      <c r="F781" s="139" t="str">
        <f>IFERROR(__xludf.DUMMYFUNCTION("""COMPUTED_VALUE"""),"Special")</f>
        <v>Special</v>
      </c>
      <c r="G781" s="139"/>
      <c r="H781" s="139"/>
      <c r="I781" s="139">
        <f>IFERROR(__xludf.DUMMYFUNCTION("""COMPUTED_VALUE"""),117.0)</f>
        <v>117</v>
      </c>
      <c r="J781" s="139">
        <f>IFERROR(__xludf.DUMMYFUNCTION("""COMPUTED_VALUE"""),34.0)</f>
        <v>34</v>
      </c>
      <c r="K781" s="139">
        <f>IFERROR(__xludf.DUMMYFUNCTION("""COMPUTED_VALUE"""),0.0)</f>
        <v>0</v>
      </c>
      <c r="L781" s="139"/>
      <c r="M781" s="139"/>
      <c r="N781" s="139"/>
    </row>
    <row r="782">
      <c r="A782" s="139"/>
      <c r="B782" s="139"/>
      <c r="C782" s="139" t="str">
        <f>IFERROR(__xludf.DUMMYFUNCTION("""COMPUTED_VALUE"""),"chara_osh_00101_Special_00007")</f>
        <v>chara_osh_00101_Special_00007</v>
      </c>
      <c r="D782" s="139" t="str">
        <f>IFERROR(__xludf.DUMMYFUNCTION("""COMPUTED_VALUE"""),"chara_osh_00101")</f>
        <v>chara_osh_00101</v>
      </c>
      <c r="E782" s="139">
        <f>IFERROR(__xludf.DUMMYFUNCTION("""COMPUTED_VALUE"""),7.0)</f>
        <v>7</v>
      </c>
      <c r="F782" s="139" t="str">
        <f>IFERROR(__xludf.DUMMYFUNCTION("""COMPUTED_VALUE"""),"Special")</f>
        <v>Special</v>
      </c>
      <c r="G782" s="139"/>
      <c r="H782" s="139"/>
      <c r="I782" s="139">
        <f>IFERROR(__xludf.DUMMYFUNCTION("""COMPUTED_VALUE"""),117.0)</f>
        <v>117</v>
      </c>
      <c r="J782" s="139">
        <f>IFERROR(__xludf.DUMMYFUNCTION("""COMPUTED_VALUE"""),34.0)</f>
        <v>34</v>
      </c>
      <c r="K782" s="139">
        <f>IFERROR(__xludf.DUMMYFUNCTION("""COMPUTED_VALUE"""),0.0)</f>
        <v>0</v>
      </c>
      <c r="L782" s="139"/>
      <c r="M782" s="139"/>
      <c r="N782" s="139"/>
    </row>
    <row r="783">
      <c r="A783" s="139"/>
      <c r="B783" s="139"/>
      <c r="C783" s="139" t="str">
        <f>IFERROR(__xludf.DUMMYFUNCTION("""COMPUTED_VALUE"""),"chara_osh_00101_Special_00008")</f>
        <v>chara_osh_00101_Special_00008</v>
      </c>
      <c r="D783" s="139" t="str">
        <f>IFERROR(__xludf.DUMMYFUNCTION("""COMPUTED_VALUE"""),"chara_osh_00101")</f>
        <v>chara_osh_00101</v>
      </c>
      <c r="E783" s="139">
        <f>IFERROR(__xludf.DUMMYFUNCTION("""COMPUTED_VALUE"""),8.0)</f>
        <v>8</v>
      </c>
      <c r="F783" s="139" t="str">
        <f>IFERROR(__xludf.DUMMYFUNCTION("""COMPUTED_VALUE"""),"Special")</f>
        <v>Special</v>
      </c>
      <c r="G783" s="139"/>
      <c r="H783" s="139"/>
      <c r="I783" s="139">
        <f>IFERROR(__xludf.DUMMYFUNCTION("""COMPUTED_VALUE"""),117.0)</f>
        <v>117</v>
      </c>
      <c r="J783" s="139">
        <f>IFERROR(__xludf.DUMMYFUNCTION("""COMPUTED_VALUE"""),34.0)</f>
        <v>34</v>
      </c>
      <c r="K783" s="139">
        <f>IFERROR(__xludf.DUMMYFUNCTION("""COMPUTED_VALUE"""),0.0)</f>
        <v>0</v>
      </c>
      <c r="L783" s="139"/>
      <c r="M783" s="139"/>
      <c r="N783" s="139"/>
    </row>
    <row r="784">
      <c r="A784" s="139"/>
      <c r="B784" s="139"/>
      <c r="C784" s="139" t="str">
        <f>IFERROR(__xludf.DUMMYFUNCTION("""COMPUTED_VALUE"""),"chara_osh_00101_Special_00009")</f>
        <v>chara_osh_00101_Special_00009</v>
      </c>
      <c r="D784" s="139" t="str">
        <f>IFERROR(__xludf.DUMMYFUNCTION("""COMPUTED_VALUE"""),"chara_osh_00101")</f>
        <v>chara_osh_00101</v>
      </c>
      <c r="E784" s="139">
        <f>IFERROR(__xludf.DUMMYFUNCTION("""COMPUTED_VALUE"""),9.0)</f>
        <v>9</v>
      </c>
      <c r="F784" s="139" t="str">
        <f>IFERROR(__xludf.DUMMYFUNCTION("""COMPUTED_VALUE"""),"Special")</f>
        <v>Special</v>
      </c>
      <c r="G784" s="139"/>
      <c r="H784" s="139"/>
      <c r="I784" s="139">
        <f>IFERROR(__xludf.DUMMYFUNCTION("""COMPUTED_VALUE"""),117.0)</f>
        <v>117</v>
      </c>
      <c r="J784" s="139">
        <f>IFERROR(__xludf.DUMMYFUNCTION("""COMPUTED_VALUE"""),34.0)</f>
        <v>34</v>
      </c>
      <c r="K784" s="139">
        <f>IFERROR(__xludf.DUMMYFUNCTION("""COMPUTED_VALUE"""),0.0)</f>
        <v>0</v>
      </c>
      <c r="L784" s="139"/>
      <c r="M784" s="139"/>
      <c r="N784" s="139"/>
    </row>
    <row r="785">
      <c r="A785" s="139"/>
      <c r="B785" s="139"/>
      <c r="C785" s="139" t="str">
        <f>IFERROR(__xludf.DUMMYFUNCTION("""COMPUTED_VALUE"""),"chara_osh_00101_Special_00010")</f>
        <v>chara_osh_00101_Special_00010</v>
      </c>
      <c r="D785" s="139" t="str">
        <f>IFERROR(__xludf.DUMMYFUNCTION("""COMPUTED_VALUE"""),"chara_osh_00101")</f>
        <v>chara_osh_00101</v>
      </c>
      <c r="E785" s="139">
        <f>IFERROR(__xludf.DUMMYFUNCTION("""COMPUTED_VALUE"""),10.0)</f>
        <v>10</v>
      </c>
      <c r="F785" s="139" t="str">
        <f>IFERROR(__xludf.DUMMYFUNCTION("""COMPUTED_VALUE"""),"Special")</f>
        <v>Special</v>
      </c>
      <c r="G785" s="139"/>
      <c r="H785" s="139"/>
      <c r="I785" s="139">
        <f>IFERROR(__xludf.DUMMYFUNCTION("""COMPUTED_VALUE"""),117.0)</f>
        <v>117</v>
      </c>
      <c r="J785" s="139">
        <f>IFERROR(__xludf.DUMMYFUNCTION("""COMPUTED_VALUE"""),34.0)</f>
        <v>34</v>
      </c>
      <c r="K785" s="139">
        <f>IFERROR(__xludf.DUMMYFUNCTION("""COMPUTED_VALUE"""),0.0)</f>
        <v>0</v>
      </c>
      <c r="L785" s="139"/>
      <c r="M785" s="139"/>
      <c r="N785" s="139"/>
    </row>
    <row r="786">
      <c r="A786" s="139" t="str">
        <f>IFERROR(__xludf.DUMMYFUNCTION("""COMPUTED_VALUE"""),"e")</f>
        <v>e</v>
      </c>
      <c r="B786" s="139">
        <f>IFERROR(__xludf.DUMMYFUNCTION("""COMPUTED_VALUE"""),2.0251202E8)</f>
        <v>202512020</v>
      </c>
      <c r="C786" s="139" t="str">
        <f>IFERROR(__xludf.DUMMYFUNCTION("""COMPUTED_VALUE"""),"chara_osh_00201_Normal_00001")</f>
        <v>chara_osh_00201_Normal_00001</v>
      </c>
      <c r="D786" s="139" t="str">
        <f>IFERROR(__xludf.DUMMYFUNCTION("""COMPUTED_VALUE"""),"chara_osh_00201")</f>
        <v>chara_osh_00201</v>
      </c>
      <c r="E786" s="139">
        <f>IFERROR(__xludf.DUMMYFUNCTION("""COMPUTED_VALUE"""),0.0)</f>
        <v>0</v>
      </c>
      <c r="F786" s="139" t="str">
        <f>IFERROR(__xludf.DUMMYFUNCTION("""COMPUTED_VALUE"""),"Normal")</f>
        <v>Normal</v>
      </c>
      <c r="G786" s="139"/>
      <c r="H786" s="139"/>
      <c r="I786" s="139">
        <f>IFERROR(__xludf.DUMMYFUNCTION("""COMPUTED_VALUE"""),69.0)</f>
        <v>69</v>
      </c>
      <c r="J786" s="139">
        <f>IFERROR(__xludf.DUMMYFUNCTION("""COMPUTED_VALUE"""),0.0)</f>
        <v>0</v>
      </c>
      <c r="K786" s="139">
        <f>IFERROR(__xludf.DUMMYFUNCTION("""COMPUTED_VALUE"""),50.0)</f>
        <v>50</v>
      </c>
      <c r="L786" s="139"/>
      <c r="M786" s="139" t="str">
        <f>IFERROR(__xludf.DUMMYFUNCTION("""COMPUTED_VALUE"""),"表示場所なし")</f>
        <v>表示場所なし</v>
      </c>
      <c r="N786" s="139"/>
    </row>
    <row r="787">
      <c r="A787" s="139" t="str">
        <f>IFERROR(__xludf.DUMMYFUNCTION("""COMPUTED_VALUE"""),"e")</f>
        <v>e</v>
      </c>
      <c r="B787" s="139">
        <f>IFERROR(__xludf.DUMMYFUNCTION("""COMPUTED_VALUE"""),2.0251202E8)</f>
        <v>202512020</v>
      </c>
      <c r="C787" s="139" t="str">
        <f>IFERROR(__xludf.DUMMYFUNCTION("""COMPUTED_VALUE"""),"chara_osh_00201_Special_00001")</f>
        <v>chara_osh_00201_Special_00001</v>
      </c>
      <c r="D787" s="139" t="str">
        <f>IFERROR(__xludf.DUMMYFUNCTION("""COMPUTED_VALUE"""),"chara_osh_00201")</f>
        <v>chara_osh_00201</v>
      </c>
      <c r="E787" s="139">
        <f>IFERROR(__xludf.DUMMYFUNCTION("""COMPUTED_VALUE"""),1.0)</f>
        <v>1</v>
      </c>
      <c r="F787" s="139" t="str">
        <f>IFERROR(__xludf.DUMMYFUNCTION("""COMPUTED_VALUE"""),"Special")</f>
        <v>Special</v>
      </c>
      <c r="G787" s="139"/>
      <c r="H787" s="139"/>
      <c r="I787" s="139">
        <f>IFERROR(__xludf.DUMMYFUNCTION("""COMPUTED_VALUE"""),150.0)</f>
        <v>150</v>
      </c>
      <c r="J787" s="139">
        <f>IFERROR(__xludf.DUMMYFUNCTION("""COMPUTED_VALUE"""),70.0)</f>
        <v>70</v>
      </c>
      <c r="K787" s="139">
        <f>IFERROR(__xludf.DUMMYFUNCTION("""COMPUTED_VALUE"""),0.0)</f>
        <v>0</v>
      </c>
      <c r="L787" s="139"/>
      <c r="M787" s="139" t="str">
        <f>IFERROR(__xludf.DUMMYFUNCTION("""COMPUTED_VALUE"""),"自身の攻撃を12秒間、15%UP")</f>
        <v>自身の攻撃を12秒間、15%UP</v>
      </c>
      <c r="N787" s="139"/>
    </row>
    <row r="788">
      <c r="A788" s="139" t="str">
        <f>IFERROR(__xludf.DUMMYFUNCTION("""COMPUTED_VALUE"""),"e")</f>
        <v>e</v>
      </c>
      <c r="B788" s="139">
        <f>IFERROR(__xludf.DUMMYFUNCTION("""COMPUTED_VALUE"""),2.0251202E8)</f>
        <v>202512020</v>
      </c>
      <c r="C788" s="139" t="str">
        <f>IFERROR(__xludf.DUMMYFUNCTION("""COMPUTED_VALUE"""),"chara_osh_00201_Special_00002")</f>
        <v>chara_osh_00201_Special_00002</v>
      </c>
      <c r="D788" s="139" t="str">
        <f>IFERROR(__xludf.DUMMYFUNCTION("""COMPUTED_VALUE"""),"chara_osh_00201")</f>
        <v>chara_osh_00201</v>
      </c>
      <c r="E788" s="139">
        <f>IFERROR(__xludf.DUMMYFUNCTION("""COMPUTED_VALUE"""),2.0)</f>
        <v>2</v>
      </c>
      <c r="F788" s="139" t="str">
        <f>IFERROR(__xludf.DUMMYFUNCTION("""COMPUTED_VALUE"""),"Special")</f>
        <v>Special</v>
      </c>
      <c r="G788" s="139"/>
      <c r="H788" s="139"/>
      <c r="I788" s="139">
        <f>IFERROR(__xludf.DUMMYFUNCTION("""COMPUTED_VALUE"""),150.0)</f>
        <v>150</v>
      </c>
      <c r="J788" s="139">
        <f>IFERROR(__xludf.DUMMYFUNCTION("""COMPUTED_VALUE"""),70.0)</f>
        <v>70</v>
      </c>
      <c r="K788" s="139">
        <f>IFERROR(__xludf.DUMMYFUNCTION("""COMPUTED_VALUE"""),0.0)</f>
        <v>0</v>
      </c>
      <c r="L788" s="139"/>
      <c r="M788" s="139" t="str">
        <f>IFERROR(__xludf.DUMMYFUNCTION("""COMPUTED_VALUE"""),"自身の攻撃を12.5秒間、17.1%UP")</f>
        <v>自身の攻撃を12.5秒間、17.1%UP</v>
      </c>
      <c r="N788" s="139" t="str">
        <f>IFERROR(__xludf.DUMMYFUNCTION("""COMPUTED_VALUE"""),"ステータスUP + 必殺ワザ性能UP")</f>
        <v>ステータスUP + 必殺ワザ性能UP</v>
      </c>
    </row>
    <row r="789">
      <c r="A789" s="139" t="str">
        <f>IFERROR(__xludf.DUMMYFUNCTION("""COMPUTED_VALUE"""),"e")</f>
        <v>e</v>
      </c>
      <c r="B789" s="139">
        <f>IFERROR(__xludf.DUMMYFUNCTION("""COMPUTED_VALUE"""),2.0251202E8)</f>
        <v>202512020</v>
      </c>
      <c r="C789" s="139" t="str">
        <f>IFERROR(__xludf.DUMMYFUNCTION("""COMPUTED_VALUE"""),"chara_osh_00201_Special_00003")</f>
        <v>chara_osh_00201_Special_00003</v>
      </c>
      <c r="D789" s="139" t="str">
        <f>IFERROR(__xludf.DUMMYFUNCTION("""COMPUTED_VALUE"""),"chara_osh_00201")</f>
        <v>chara_osh_00201</v>
      </c>
      <c r="E789" s="139">
        <f>IFERROR(__xludf.DUMMYFUNCTION("""COMPUTED_VALUE"""),3.0)</f>
        <v>3</v>
      </c>
      <c r="F789" s="139" t="str">
        <f>IFERROR(__xludf.DUMMYFUNCTION("""COMPUTED_VALUE"""),"Special")</f>
        <v>Special</v>
      </c>
      <c r="G789" s="139"/>
      <c r="H789" s="139"/>
      <c r="I789" s="139">
        <f>IFERROR(__xludf.DUMMYFUNCTION("""COMPUTED_VALUE"""),150.0)</f>
        <v>150</v>
      </c>
      <c r="J789" s="139">
        <f>IFERROR(__xludf.DUMMYFUNCTION("""COMPUTED_VALUE"""),70.0)</f>
        <v>70</v>
      </c>
      <c r="K789" s="139">
        <f>IFERROR(__xludf.DUMMYFUNCTION("""COMPUTED_VALUE"""),0.0)</f>
        <v>0</v>
      </c>
      <c r="L789" s="139"/>
      <c r="M789" s="139" t="str">
        <f>IFERROR(__xludf.DUMMYFUNCTION("""COMPUTED_VALUE"""),"自身の攻撃を12.7秒間、18.5%UP")</f>
        <v>自身の攻撃を12.7秒間、18.5%UP</v>
      </c>
      <c r="N789" s="139" t="str">
        <f>IFERROR(__xludf.DUMMYFUNCTION("""COMPUTED_VALUE"""),"ステータスUP + 必殺ワザ性能UP")</f>
        <v>ステータスUP + 必殺ワザ性能UP</v>
      </c>
    </row>
    <row r="790">
      <c r="A790" s="139" t="str">
        <f>IFERROR(__xludf.DUMMYFUNCTION("""COMPUTED_VALUE"""),"e")</f>
        <v>e</v>
      </c>
      <c r="B790" s="139">
        <f>IFERROR(__xludf.DUMMYFUNCTION("""COMPUTED_VALUE"""),2.0251202E8)</f>
        <v>202512020</v>
      </c>
      <c r="C790" s="139" t="str">
        <f>IFERROR(__xludf.DUMMYFUNCTION("""COMPUTED_VALUE"""),"chara_osh_00201_Special_00004")</f>
        <v>chara_osh_00201_Special_00004</v>
      </c>
      <c r="D790" s="139" t="str">
        <f>IFERROR(__xludf.DUMMYFUNCTION("""COMPUTED_VALUE"""),"chara_osh_00201")</f>
        <v>chara_osh_00201</v>
      </c>
      <c r="E790" s="139">
        <f>IFERROR(__xludf.DUMMYFUNCTION("""COMPUTED_VALUE"""),4.0)</f>
        <v>4</v>
      </c>
      <c r="F790" s="139" t="str">
        <f>IFERROR(__xludf.DUMMYFUNCTION("""COMPUTED_VALUE"""),"Special")</f>
        <v>Special</v>
      </c>
      <c r="G790" s="139"/>
      <c r="H790" s="139"/>
      <c r="I790" s="139">
        <f>IFERROR(__xludf.DUMMYFUNCTION("""COMPUTED_VALUE"""),150.0)</f>
        <v>150</v>
      </c>
      <c r="J790" s="139">
        <f>IFERROR(__xludf.DUMMYFUNCTION("""COMPUTED_VALUE"""),70.0)</f>
        <v>70</v>
      </c>
      <c r="K790" s="139">
        <f>IFERROR(__xludf.DUMMYFUNCTION("""COMPUTED_VALUE"""),0.0)</f>
        <v>0</v>
      </c>
      <c r="L790" s="139"/>
      <c r="M790" s="139" t="str">
        <f>IFERROR(__xludf.DUMMYFUNCTION("""COMPUTED_VALUE"""),"自身の攻撃を12.9秒間、19.4%UP")</f>
        <v>自身の攻撃を12.9秒間、19.4%UP</v>
      </c>
      <c r="N790" s="139" t="str">
        <f>IFERROR(__xludf.DUMMYFUNCTION("""COMPUTED_VALUE"""),"ステータスUP + 必殺ワザ性能UP")</f>
        <v>ステータスUP + 必殺ワザ性能UP</v>
      </c>
    </row>
    <row r="791">
      <c r="A791" s="139" t="str">
        <f>IFERROR(__xludf.DUMMYFUNCTION("""COMPUTED_VALUE"""),"e")</f>
        <v>e</v>
      </c>
      <c r="B791" s="139">
        <f>IFERROR(__xludf.DUMMYFUNCTION("""COMPUTED_VALUE"""),2.0251202E8)</f>
        <v>202512020</v>
      </c>
      <c r="C791" s="139" t="str">
        <f>IFERROR(__xludf.DUMMYFUNCTION("""COMPUTED_VALUE"""),"chara_osh_00201_Special_00005")</f>
        <v>chara_osh_00201_Special_00005</v>
      </c>
      <c r="D791" s="139" t="str">
        <f>IFERROR(__xludf.DUMMYFUNCTION("""COMPUTED_VALUE"""),"chara_osh_00201")</f>
        <v>chara_osh_00201</v>
      </c>
      <c r="E791" s="139">
        <f>IFERROR(__xludf.DUMMYFUNCTION("""COMPUTED_VALUE"""),5.0)</f>
        <v>5</v>
      </c>
      <c r="F791" s="139" t="str">
        <f>IFERROR(__xludf.DUMMYFUNCTION("""COMPUTED_VALUE"""),"Special")</f>
        <v>Special</v>
      </c>
      <c r="G791" s="139"/>
      <c r="H791" s="139"/>
      <c r="I791" s="139">
        <f>IFERROR(__xludf.DUMMYFUNCTION("""COMPUTED_VALUE"""),150.0)</f>
        <v>150</v>
      </c>
      <c r="J791" s="139">
        <f>IFERROR(__xludf.DUMMYFUNCTION("""COMPUTED_VALUE"""),70.0)</f>
        <v>70</v>
      </c>
      <c r="K791" s="139">
        <f>IFERROR(__xludf.DUMMYFUNCTION("""COMPUTED_VALUE"""),0.0)</f>
        <v>0</v>
      </c>
      <c r="L791" s="139"/>
      <c r="M791" s="139" t="str">
        <f>IFERROR(__xludf.DUMMYFUNCTION("""COMPUTED_VALUE"""),"自身の攻撃を13秒間、20%UP")</f>
        <v>自身の攻撃を13秒間、20%UP</v>
      </c>
      <c r="N791" s="139" t="str">
        <f>IFERROR(__xludf.DUMMYFUNCTION("""COMPUTED_VALUE"""),"ステータスUP + 必殺ワザ性能UP")</f>
        <v>ステータスUP + 必殺ワザ性能UP</v>
      </c>
    </row>
    <row r="792">
      <c r="A792" s="139"/>
      <c r="B792" s="139"/>
      <c r="C792" s="139" t="str">
        <f>IFERROR(__xludf.DUMMYFUNCTION("""COMPUTED_VALUE"""),"chara_osh_00201_Special_00006")</f>
        <v>chara_osh_00201_Special_00006</v>
      </c>
      <c r="D792" s="139" t="str">
        <f>IFERROR(__xludf.DUMMYFUNCTION("""COMPUTED_VALUE"""),"chara_osh_00201")</f>
        <v>chara_osh_00201</v>
      </c>
      <c r="E792" s="139">
        <f>IFERROR(__xludf.DUMMYFUNCTION("""COMPUTED_VALUE"""),6.0)</f>
        <v>6</v>
      </c>
      <c r="F792" s="139" t="str">
        <f>IFERROR(__xludf.DUMMYFUNCTION("""COMPUTED_VALUE"""),"Special")</f>
        <v>Special</v>
      </c>
      <c r="G792" s="139"/>
      <c r="H792" s="139"/>
      <c r="I792" s="139">
        <f>IFERROR(__xludf.DUMMYFUNCTION("""COMPUTED_VALUE"""),150.0)</f>
        <v>150</v>
      </c>
      <c r="J792" s="139">
        <f>IFERROR(__xludf.DUMMYFUNCTION("""COMPUTED_VALUE"""),70.0)</f>
        <v>70</v>
      </c>
      <c r="K792" s="139">
        <f>IFERROR(__xludf.DUMMYFUNCTION("""COMPUTED_VALUE"""),0.0)</f>
        <v>0</v>
      </c>
      <c r="L792" s="139"/>
      <c r="M792" s="139" t="str">
        <f>IFERROR(__xludf.DUMMYFUNCTION("""COMPUTED_VALUE"""),"dev")</f>
        <v>dev</v>
      </c>
      <c r="N792" s="139"/>
    </row>
    <row r="793">
      <c r="A793" s="139"/>
      <c r="B793" s="139"/>
      <c r="C793" s="139" t="str">
        <f>IFERROR(__xludf.DUMMYFUNCTION("""COMPUTED_VALUE"""),"chara_osh_00201_Special_00007")</f>
        <v>chara_osh_00201_Special_00007</v>
      </c>
      <c r="D793" s="139" t="str">
        <f>IFERROR(__xludf.DUMMYFUNCTION("""COMPUTED_VALUE"""),"chara_osh_00201")</f>
        <v>chara_osh_00201</v>
      </c>
      <c r="E793" s="139">
        <f>IFERROR(__xludf.DUMMYFUNCTION("""COMPUTED_VALUE"""),7.0)</f>
        <v>7</v>
      </c>
      <c r="F793" s="139" t="str">
        <f>IFERROR(__xludf.DUMMYFUNCTION("""COMPUTED_VALUE"""),"Special")</f>
        <v>Special</v>
      </c>
      <c r="G793" s="139"/>
      <c r="H793" s="139"/>
      <c r="I793" s="139">
        <f>IFERROR(__xludf.DUMMYFUNCTION("""COMPUTED_VALUE"""),150.0)</f>
        <v>150</v>
      </c>
      <c r="J793" s="139">
        <f>IFERROR(__xludf.DUMMYFUNCTION("""COMPUTED_VALUE"""),70.0)</f>
        <v>70</v>
      </c>
      <c r="K793" s="139">
        <f>IFERROR(__xludf.DUMMYFUNCTION("""COMPUTED_VALUE"""),0.0)</f>
        <v>0</v>
      </c>
      <c r="L793" s="139"/>
      <c r="M793" s="139" t="str">
        <f>IFERROR(__xludf.DUMMYFUNCTION("""COMPUTED_VALUE"""),"dev")</f>
        <v>dev</v>
      </c>
      <c r="N793" s="139"/>
    </row>
    <row r="794">
      <c r="A794" s="139"/>
      <c r="B794" s="139"/>
      <c r="C794" s="139" t="str">
        <f>IFERROR(__xludf.DUMMYFUNCTION("""COMPUTED_VALUE"""),"chara_osh_00201_Special_00008")</f>
        <v>chara_osh_00201_Special_00008</v>
      </c>
      <c r="D794" s="139" t="str">
        <f>IFERROR(__xludf.DUMMYFUNCTION("""COMPUTED_VALUE"""),"chara_osh_00201")</f>
        <v>chara_osh_00201</v>
      </c>
      <c r="E794" s="139">
        <f>IFERROR(__xludf.DUMMYFUNCTION("""COMPUTED_VALUE"""),8.0)</f>
        <v>8</v>
      </c>
      <c r="F794" s="139" t="str">
        <f>IFERROR(__xludf.DUMMYFUNCTION("""COMPUTED_VALUE"""),"Special")</f>
        <v>Special</v>
      </c>
      <c r="G794" s="139"/>
      <c r="H794" s="139"/>
      <c r="I794" s="139">
        <f>IFERROR(__xludf.DUMMYFUNCTION("""COMPUTED_VALUE"""),150.0)</f>
        <v>150</v>
      </c>
      <c r="J794" s="139">
        <f>IFERROR(__xludf.DUMMYFUNCTION("""COMPUTED_VALUE"""),70.0)</f>
        <v>70</v>
      </c>
      <c r="K794" s="139">
        <f>IFERROR(__xludf.DUMMYFUNCTION("""COMPUTED_VALUE"""),0.0)</f>
        <v>0</v>
      </c>
      <c r="L794" s="139"/>
      <c r="M794" s="139" t="str">
        <f>IFERROR(__xludf.DUMMYFUNCTION("""COMPUTED_VALUE"""),"dev")</f>
        <v>dev</v>
      </c>
      <c r="N794" s="139"/>
    </row>
    <row r="795">
      <c r="A795" s="139"/>
      <c r="B795" s="139"/>
      <c r="C795" s="139" t="str">
        <f>IFERROR(__xludf.DUMMYFUNCTION("""COMPUTED_VALUE"""),"chara_osh_00201_Special_00010")</f>
        <v>chara_osh_00201_Special_00010</v>
      </c>
      <c r="D795" s="139" t="str">
        <f>IFERROR(__xludf.DUMMYFUNCTION("""COMPUTED_VALUE"""),"chara_osh_00201")</f>
        <v>chara_osh_00201</v>
      </c>
      <c r="E795" s="139">
        <f>IFERROR(__xludf.DUMMYFUNCTION("""COMPUTED_VALUE"""),9.0)</f>
        <v>9</v>
      </c>
      <c r="F795" s="139" t="str">
        <f>IFERROR(__xludf.DUMMYFUNCTION("""COMPUTED_VALUE"""),"Special")</f>
        <v>Special</v>
      </c>
      <c r="G795" s="139"/>
      <c r="H795" s="139"/>
      <c r="I795" s="139">
        <f>IFERROR(__xludf.DUMMYFUNCTION("""COMPUTED_VALUE"""),150.0)</f>
        <v>150</v>
      </c>
      <c r="J795" s="139">
        <f>IFERROR(__xludf.DUMMYFUNCTION("""COMPUTED_VALUE"""),70.0)</f>
        <v>70</v>
      </c>
      <c r="K795" s="139">
        <f>IFERROR(__xludf.DUMMYFUNCTION("""COMPUTED_VALUE"""),0.0)</f>
        <v>0</v>
      </c>
      <c r="L795" s="139"/>
      <c r="M795" s="139" t="str">
        <f>IFERROR(__xludf.DUMMYFUNCTION("""COMPUTED_VALUE"""),"dev")</f>
        <v>dev</v>
      </c>
      <c r="N795" s="139"/>
    </row>
    <row r="796">
      <c r="A796" s="139"/>
      <c r="B796" s="139"/>
      <c r="C796" s="139" t="str">
        <f>IFERROR(__xludf.DUMMYFUNCTION("""COMPUTED_VALUE"""),"chara_osh_00201_Special_00009")</f>
        <v>chara_osh_00201_Special_00009</v>
      </c>
      <c r="D796" s="139" t="str">
        <f>IFERROR(__xludf.DUMMYFUNCTION("""COMPUTED_VALUE"""),"chara_osh_00201")</f>
        <v>chara_osh_00201</v>
      </c>
      <c r="E796" s="139">
        <f>IFERROR(__xludf.DUMMYFUNCTION("""COMPUTED_VALUE"""),10.0)</f>
        <v>10</v>
      </c>
      <c r="F796" s="139" t="str">
        <f>IFERROR(__xludf.DUMMYFUNCTION("""COMPUTED_VALUE"""),"Special")</f>
        <v>Special</v>
      </c>
      <c r="G796" s="139"/>
      <c r="H796" s="139"/>
      <c r="I796" s="139">
        <f>IFERROR(__xludf.DUMMYFUNCTION("""COMPUTED_VALUE"""),150.0)</f>
        <v>150</v>
      </c>
      <c r="J796" s="139">
        <f>IFERROR(__xludf.DUMMYFUNCTION("""COMPUTED_VALUE"""),70.0)</f>
        <v>70</v>
      </c>
      <c r="K796" s="139">
        <f>IFERROR(__xludf.DUMMYFUNCTION("""COMPUTED_VALUE"""),0.0)</f>
        <v>0</v>
      </c>
      <c r="L796" s="139"/>
      <c r="M796" s="139" t="str">
        <f>IFERROR(__xludf.DUMMYFUNCTION("""COMPUTED_VALUE"""),"dev")</f>
        <v>dev</v>
      </c>
      <c r="N796" s="139"/>
    </row>
    <row r="797">
      <c r="A797" s="139" t="str">
        <f>IFERROR(__xludf.DUMMYFUNCTION("""COMPUTED_VALUE"""),"e")</f>
        <v>e</v>
      </c>
      <c r="B797" s="139">
        <f>IFERROR(__xludf.DUMMYFUNCTION("""COMPUTED_VALUE"""),2.0251202E8)</f>
        <v>202512020</v>
      </c>
      <c r="C797" s="139" t="str">
        <f>IFERROR(__xludf.DUMMYFUNCTION("""COMPUTED_VALUE"""),"chara_osh_00301_Normal_00000")</f>
        <v>chara_osh_00301_Normal_00000</v>
      </c>
      <c r="D797" s="139" t="str">
        <f>IFERROR(__xludf.DUMMYFUNCTION("""COMPUTED_VALUE"""),"chara_osh_00301")</f>
        <v>chara_osh_00301</v>
      </c>
      <c r="E797" s="139">
        <f>IFERROR(__xludf.DUMMYFUNCTION("""COMPUTED_VALUE"""),0.0)</f>
        <v>0</v>
      </c>
      <c r="F797" s="139" t="str">
        <f>IFERROR(__xludf.DUMMYFUNCTION("""COMPUTED_VALUE"""),"Normal")</f>
        <v>Normal</v>
      </c>
      <c r="G797" s="139"/>
      <c r="H797" s="139"/>
      <c r="I797" s="139">
        <f>IFERROR(__xludf.DUMMYFUNCTION("""COMPUTED_VALUE"""),57.0)</f>
        <v>57</v>
      </c>
      <c r="J797" s="139">
        <f>IFERROR(__xludf.DUMMYFUNCTION("""COMPUTED_VALUE"""),0.0)</f>
        <v>0</v>
      </c>
      <c r="K797" s="139">
        <f>IFERROR(__xludf.DUMMYFUNCTION("""COMPUTED_VALUE"""),75.0)</f>
        <v>75</v>
      </c>
      <c r="L797" s="139"/>
      <c r="M797" s="139" t="str">
        <f>IFERROR(__xludf.DUMMYFUNCTION("""COMPUTED_VALUE"""),"表示場所なし")</f>
        <v>表示場所なし</v>
      </c>
      <c r="N797" s="139"/>
    </row>
    <row r="798">
      <c r="A798" s="139" t="str">
        <f>IFERROR(__xludf.DUMMYFUNCTION("""COMPUTED_VALUE"""),"e")</f>
        <v>e</v>
      </c>
      <c r="B798" s="139">
        <f>IFERROR(__xludf.DUMMYFUNCTION("""COMPUTED_VALUE"""),2.0251202E8)</f>
        <v>202512020</v>
      </c>
      <c r="C798" s="139" t="str">
        <f>IFERROR(__xludf.DUMMYFUNCTION("""COMPUTED_VALUE"""),"chara_osh_00301_Special_00001")</f>
        <v>chara_osh_00301_Special_00001</v>
      </c>
      <c r="D798" s="139" t="str">
        <f>IFERROR(__xludf.DUMMYFUNCTION("""COMPUTED_VALUE"""),"chara_osh_00301")</f>
        <v>chara_osh_00301</v>
      </c>
      <c r="E798" s="139">
        <f>IFERROR(__xludf.DUMMYFUNCTION("""COMPUTED_VALUE"""),1.0)</f>
        <v>1</v>
      </c>
      <c r="F798" s="139" t="str">
        <f>IFERROR(__xludf.DUMMYFUNCTION("""COMPUTED_VALUE"""),"Special")</f>
        <v>Special</v>
      </c>
      <c r="G798" s="139"/>
      <c r="H798" s="139"/>
      <c r="I798" s="139">
        <f>IFERROR(__xludf.DUMMYFUNCTION("""COMPUTED_VALUE"""),167.0)</f>
        <v>167</v>
      </c>
      <c r="J798" s="139">
        <f>IFERROR(__xludf.DUMMYFUNCTION("""COMPUTED_VALUE"""),89.0)</f>
        <v>89</v>
      </c>
      <c r="K798" s="139">
        <f>IFERROR(__xludf.DUMMYFUNCTION("""COMPUTED_VALUE"""),0.0)</f>
        <v>0</v>
      </c>
      <c r="L798" s="139"/>
      <c r="M798" s="139" t="str">
        <f>IFERROR(__xludf.DUMMYFUNCTION("""COMPUTED_VALUE"""),"自身と同じコマと一つ先までのコマにいる黄属性の味方と自身への被ダメージを9秒間、5%カット")</f>
        <v>自身と同じコマと一つ先までのコマにいる黄属性の味方と自身への被ダメージを9秒間、5%カット</v>
      </c>
      <c r="N798" s="139"/>
    </row>
    <row r="799">
      <c r="A799" s="139" t="str">
        <f>IFERROR(__xludf.DUMMYFUNCTION("""COMPUTED_VALUE"""),"e")</f>
        <v>e</v>
      </c>
      <c r="B799" s="139">
        <f>IFERROR(__xludf.DUMMYFUNCTION("""COMPUTED_VALUE"""),2.0251202E8)</f>
        <v>202512020</v>
      </c>
      <c r="C799" s="139" t="str">
        <f>IFERROR(__xludf.DUMMYFUNCTION("""COMPUTED_VALUE"""),"chara_osh_00301_Special_00002")</f>
        <v>chara_osh_00301_Special_00002</v>
      </c>
      <c r="D799" s="139" t="str">
        <f>IFERROR(__xludf.DUMMYFUNCTION("""COMPUTED_VALUE"""),"chara_osh_00301")</f>
        <v>chara_osh_00301</v>
      </c>
      <c r="E799" s="139">
        <f>IFERROR(__xludf.DUMMYFUNCTION("""COMPUTED_VALUE"""),2.0)</f>
        <v>2</v>
      </c>
      <c r="F799" s="139" t="str">
        <f>IFERROR(__xludf.DUMMYFUNCTION("""COMPUTED_VALUE"""),"Special")</f>
        <v>Special</v>
      </c>
      <c r="G799" s="139"/>
      <c r="H799" s="139"/>
      <c r="I799" s="139">
        <f>IFERROR(__xludf.DUMMYFUNCTION("""COMPUTED_VALUE"""),167.0)</f>
        <v>167</v>
      </c>
      <c r="J799" s="139">
        <f>IFERROR(__xludf.DUMMYFUNCTION("""COMPUTED_VALUE"""),89.0)</f>
        <v>89</v>
      </c>
      <c r="K799" s="139">
        <f>IFERROR(__xludf.DUMMYFUNCTION("""COMPUTED_VALUE"""),0.0)</f>
        <v>0</v>
      </c>
      <c r="L799" s="139"/>
      <c r="M799" s="139" t="str">
        <f>IFERROR(__xludf.DUMMYFUNCTION("""COMPUTED_VALUE"""),"自身と同じコマと一つ先までのコマにいる黄属性の味方と自身への被ダメージを9.9秒間、7%カット")</f>
        <v>自身と同じコマと一つ先までのコマにいる黄属性の味方と自身への被ダメージを9.9秒間、7%カット</v>
      </c>
      <c r="N799" s="139" t="str">
        <f>IFERROR(__xludf.DUMMYFUNCTION("""COMPUTED_VALUE"""),"ステータスUP + 必殺ワザ性能UP")</f>
        <v>ステータスUP + 必殺ワザ性能UP</v>
      </c>
    </row>
    <row r="800">
      <c r="A800" s="139" t="str">
        <f>IFERROR(__xludf.DUMMYFUNCTION("""COMPUTED_VALUE"""),"e")</f>
        <v>e</v>
      </c>
      <c r="B800" s="139">
        <f>IFERROR(__xludf.DUMMYFUNCTION("""COMPUTED_VALUE"""),2.0251202E8)</f>
        <v>202512020</v>
      </c>
      <c r="C800" s="139" t="str">
        <f>IFERROR(__xludf.DUMMYFUNCTION("""COMPUTED_VALUE"""),"chara_osh_00301_Special_00003")</f>
        <v>chara_osh_00301_Special_00003</v>
      </c>
      <c r="D800" s="139" t="str">
        <f>IFERROR(__xludf.DUMMYFUNCTION("""COMPUTED_VALUE"""),"chara_osh_00301")</f>
        <v>chara_osh_00301</v>
      </c>
      <c r="E800" s="139">
        <f>IFERROR(__xludf.DUMMYFUNCTION("""COMPUTED_VALUE"""),3.0)</f>
        <v>3</v>
      </c>
      <c r="F800" s="139" t="str">
        <f>IFERROR(__xludf.DUMMYFUNCTION("""COMPUTED_VALUE"""),"Special")</f>
        <v>Special</v>
      </c>
      <c r="G800" s="139"/>
      <c r="H800" s="139"/>
      <c r="I800" s="139">
        <f>IFERROR(__xludf.DUMMYFUNCTION("""COMPUTED_VALUE"""),167.0)</f>
        <v>167</v>
      </c>
      <c r="J800" s="139">
        <f>IFERROR(__xludf.DUMMYFUNCTION("""COMPUTED_VALUE"""),89.0)</f>
        <v>89</v>
      </c>
      <c r="K800" s="139">
        <f>IFERROR(__xludf.DUMMYFUNCTION("""COMPUTED_VALUE"""),0.0)</f>
        <v>0</v>
      </c>
      <c r="L800" s="139"/>
      <c r="M800" s="139" t="str">
        <f>IFERROR(__xludf.DUMMYFUNCTION("""COMPUTED_VALUE"""),"自身と同じコマと一つ先までのコマにいる黄属性の味方と自身への被ダメージを10.4秒間、9%カット")</f>
        <v>自身と同じコマと一つ先までのコマにいる黄属性の味方と自身への被ダメージを10.4秒間、9%カット</v>
      </c>
      <c r="N800" s="139" t="str">
        <f>IFERROR(__xludf.DUMMYFUNCTION("""COMPUTED_VALUE"""),"ステータスUP + 必殺ワザ性能UP")</f>
        <v>ステータスUP + 必殺ワザ性能UP</v>
      </c>
    </row>
    <row r="801">
      <c r="A801" s="139" t="str">
        <f>IFERROR(__xludf.DUMMYFUNCTION("""COMPUTED_VALUE"""),"e")</f>
        <v>e</v>
      </c>
      <c r="B801" s="139">
        <f>IFERROR(__xludf.DUMMYFUNCTION("""COMPUTED_VALUE"""),2.0251202E8)</f>
        <v>202512020</v>
      </c>
      <c r="C801" s="139" t="str">
        <f>IFERROR(__xludf.DUMMYFUNCTION("""COMPUTED_VALUE"""),"chara_osh_00301_Special_00004")</f>
        <v>chara_osh_00301_Special_00004</v>
      </c>
      <c r="D801" s="139" t="str">
        <f>IFERROR(__xludf.DUMMYFUNCTION("""COMPUTED_VALUE"""),"chara_osh_00301")</f>
        <v>chara_osh_00301</v>
      </c>
      <c r="E801" s="139">
        <f>IFERROR(__xludf.DUMMYFUNCTION("""COMPUTED_VALUE"""),4.0)</f>
        <v>4</v>
      </c>
      <c r="F801" s="139" t="str">
        <f>IFERROR(__xludf.DUMMYFUNCTION("""COMPUTED_VALUE"""),"Special")</f>
        <v>Special</v>
      </c>
      <c r="G801" s="139"/>
      <c r="H801" s="139"/>
      <c r="I801" s="139">
        <f>IFERROR(__xludf.DUMMYFUNCTION("""COMPUTED_VALUE"""),167.0)</f>
        <v>167</v>
      </c>
      <c r="J801" s="139">
        <f>IFERROR(__xludf.DUMMYFUNCTION("""COMPUTED_VALUE"""),89.0)</f>
        <v>89</v>
      </c>
      <c r="K801" s="139">
        <f>IFERROR(__xludf.DUMMYFUNCTION("""COMPUTED_VALUE"""),0.0)</f>
        <v>0</v>
      </c>
      <c r="L801" s="139"/>
      <c r="M801" s="139" t="str">
        <f>IFERROR(__xludf.DUMMYFUNCTION("""COMPUTED_VALUE"""),"自身と同じコマと一つ先までのコマにいる黄属性の味方と自身への被ダメージを10.8秒間、11%カット")</f>
        <v>自身と同じコマと一つ先までのコマにいる黄属性の味方と自身への被ダメージを10.8秒間、11%カット</v>
      </c>
      <c r="N801" s="139" t="str">
        <f>IFERROR(__xludf.DUMMYFUNCTION("""COMPUTED_VALUE"""),"ステータスUP + 必殺ワザ性能UP")</f>
        <v>ステータスUP + 必殺ワザ性能UP</v>
      </c>
    </row>
    <row r="802">
      <c r="A802" s="139" t="str">
        <f>IFERROR(__xludf.DUMMYFUNCTION("""COMPUTED_VALUE"""),"e")</f>
        <v>e</v>
      </c>
      <c r="B802" s="139">
        <f>IFERROR(__xludf.DUMMYFUNCTION("""COMPUTED_VALUE"""),2.0251202E8)</f>
        <v>202512020</v>
      </c>
      <c r="C802" s="139" t="str">
        <f>IFERROR(__xludf.DUMMYFUNCTION("""COMPUTED_VALUE"""),"chara_osh_00301_Special_00005")</f>
        <v>chara_osh_00301_Special_00005</v>
      </c>
      <c r="D802" s="139" t="str">
        <f>IFERROR(__xludf.DUMMYFUNCTION("""COMPUTED_VALUE"""),"chara_osh_00301")</f>
        <v>chara_osh_00301</v>
      </c>
      <c r="E802" s="139">
        <f>IFERROR(__xludf.DUMMYFUNCTION("""COMPUTED_VALUE"""),5.0)</f>
        <v>5</v>
      </c>
      <c r="F802" s="139" t="str">
        <f>IFERROR(__xludf.DUMMYFUNCTION("""COMPUTED_VALUE"""),"Special")</f>
        <v>Special</v>
      </c>
      <c r="G802" s="139"/>
      <c r="H802" s="139"/>
      <c r="I802" s="139">
        <f>IFERROR(__xludf.DUMMYFUNCTION("""COMPUTED_VALUE"""),167.0)</f>
        <v>167</v>
      </c>
      <c r="J802" s="139">
        <f>IFERROR(__xludf.DUMMYFUNCTION("""COMPUTED_VALUE"""),89.0)</f>
        <v>89</v>
      </c>
      <c r="K802" s="139">
        <f>IFERROR(__xludf.DUMMYFUNCTION("""COMPUTED_VALUE"""),0.0)</f>
        <v>0</v>
      </c>
      <c r="L802" s="139"/>
      <c r="M802" s="139" t="str">
        <f>IFERROR(__xludf.DUMMYFUNCTION("""COMPUTED_VALUE"""),"自身と同じコマと一つ先までのコマにいる黄属性の味方と自身への被ダメージを11秒間、13%カット")</f>
        <v>自身と同じコマと一つ先までのコマにいる黄属性の味方と自身への被ダメージを11秒間、13%カット</v>
      </c>
      <c r="N802" s="139" t="str">
        <f>IFERROR(__xludf.DUMMYFUNCTION("""COMPUTED_VALUE"""),"ステータスUP + 必殺ワザ性能UP")</f>
        <v>ステータスUP + 必殺ワザ性能UP</v>
      </c>
    </row>
    <row r="803">
      <c r="A803" s="139"/>
      <c r="B803" s="139"/>
      <c r="C803" s="139" t="str">
        <f>IFERROR(__xludf.DUMMYFUNCTION("""COMPUTED_VALUE"""),"chara_osh_00301_Special_00006")</f>
        <v>chara_osh_00301_Special_00006</v>
      </c>
      <c r="D803" s="139" t="str">
        <f>IFERROR(__xludf.DUMMYFUNCTION("""COMPUTED_VALUE"""),"chara_osh_00301")</f>
        <v>chara_osh_00301</v>
      </c>
      <c r="E803" s="139">
        <f>IFERROR(__xludf.DUMMYFUNCTION("""COMPUTED_VALUE"""),6.0)</f>
        <v>6</v>
      </c>
      <c r="F803" s="139" t="str">
        <f>IFERROR(__xludf.DUMMYFUNCTION("""COMPUTED_VALUE"""),"Special")</f>
        <v>Special</v>
      </c>
      <c r="G803" s="139"/>
      <c r="H803" s="139"/>
      <c r="I803" s="139">
        <f>IFERROR(__xludf.DUMMYFUNCTION("""COMPUTED_VALUE"""),167.0)</f>
        <v>167</v>
      </c>
      <c r="J803" s="139">
        <f>IFERROR(__xludf.DUMMYFUNCTION("""COMPUTED_VALUE"""),89.0)</f>
        <v>89</v>
      </c>
      <c r="K803" s="139">
        <f>IFERROR(__xludf.DUMMYFUNCTION("""COMPUTED_VALUE"""),0.0)</f>
        <v>0</v>
      </c>
      <c r="L803" s="139"/>
      <c r="M803" s="139"/>
      <c r="N803" s="139"/>
    </row>
    <row r="804">
      <c r="A804" s="139"/>
      <c r="B804" s="139"/>
      <c r="C804" s="139" t="str">
        <f>IFERROR(__xludf.DUMMYFUNCTION("""COMPUTED_VALUE"""),"chara_osh_00301_Special_00007")</f>
        <v>chara_osh_00301_Special_00007</v>
      </c>
      <c r="D804" s="139" t="str">
        <f>IFERROR(__xludf.DUMMYFUNCTION("""COMPUTED_VALUE"""),"chara_osh_00301")</f>
        <v>chara_osh_00301</v>
      </c>
      <c r="E804" s="139">
        <f>IFERROR(__xludf.DUMMYFUNCTION("""COMPUTED_VALUE"""),7.0)</f>
        <v>7</v>
      </c>
      <c r="F804" s="139" t="str">
        <f>IFERROR(__xludf.DUMMYFUNCTION("""COMPUTED_VALUE"""),"Special")</f>
        <v>Special</v>
      </c>
      <c r="G804" s="139"/>
      <c r="H804" s="139"/>
      <c r="I804" s="139">
        <f>IFERROR(__xludf.DUMMYFUNCTION("""COMPUTED_VALUE"""),167.0)</f>
        <v>167</v>
      </c>
      <c r="J804" s="139">
        <f>IFERROR(__xludf.DUMMYFUNCTION("""COMPUTED_VALUE"""),89.0)</f>
        <v>89</v>
      </c>
      <c r="K804" s="139">
        <f>IFERROR(__xludf.DUMMYFUNCTION("""COMPUTED_VALUE"""),0.0)</f>
        <v>0</v>
      </c>
      <c r="L804" s="139"/>
      <c r="M804" s="139"/>
      <c r="N804" s="139"/>
    </row>
    <row r="805">
      <c r="A805" s="139"/>
      <c r="B805" s="139"/>
      <c r="C805" s="139" t="str">
        <f>IFERROR(__xludf.DUMMYFUNCTION("""COMPUTED_VALUE"""),"chara_osh_00301_Special_00008")</f>
        <v>chara_osh_00301_Special_00008</v>
      </c>
      <c r="D805" s="139" t="str">
        <f>IFERROR(__xludf.DUMMYFUNCTION("""COMPUTED_VALUE"""),"chara_osh_00301")</f>
        <v>chara_osh_00301</v>
      </c>
      <c r="E805" s="139">
        <f>IFERROR(__xludf.DUMMYFUNCTION("""COMPUTED_VALUE"""),8.0)</f>
        <v>8</v>
      </c>
      <c r="F805" s="139" t="str">
        <f>IFERROR(__xludf.DUMMYFUNCTION("""COMPUTED_VALUE"""),"Special")</f>
        <v>Special</v>
      </c>
      <c r="G805" s="139"/>
      <c r="H805" s="139"/>
      <c r="I805" s="139">
        <f>IFERROR(__xludf.DUMMYFUNCTION("""COMPUTED_VALUE"""),167.0)</f>
        <v>167</v>
      </c>
      <c r="J805" s="139">
        <f>IFERROR(__xludf.DUMMYFUNCTION("""COMPUTED_VALUE"""),89.0)</f>
        <v>89</v>
      </c>
      <c r="K805" s="139">
        <f>IFERROR(__xludf.DUMMYFUNCTION("""COMPUTED_VALUE"""),0.0)</f>
        <v>0</v>
      </c>
      <c r="L805" s="139"/>
      <c r="M805" s="139"/>
      <c r="N805" s="139"/>
    </row>
    <row r="806">
      <c r="A806" s="139"/>
      <c r="B806" s="139"/>
      <c r="C806" s="139" t="str">
        <f>IFERROR(__xludf.DUMMYFUNCTION("""COMPUTED_VALUE"""),"chara_osh_00301_Special_00009")</f>
        <v>chara_osh_00301_Special_00009</v>
      </c>
      <c r="D806" s="139" t="str">
        <f>IFERROR(__xludf.DUMMYFUNCTION("""COMPUTED_VALUE"""),"chara_osh_00301")</f>
        <v>chara_osh_00301</v>
      </c>
      <c r="E806" s="139">
        <f>IFERROR(__xludf.DUMMYFUNCTION("""COMPUTED_VALUE"""),9.0)</f>
        <v>9</v>
      </c>
      <c r="F806" s="139" t="str">
        <f>IFERROR(__xludf.DUMMYFUNCTION("""COMPUTED_VALUE"""),"Special")</f>
        <v>Special</v>
      </c>
      <c r="G806" s="139"/>
      <c r="H806" s="139"/>
      <c r="I806" s="139">
        <f>IFERROR(__xludf.DUMMYFUNCTION("""COMPUTED_VALUE"""),167.0)</f>
        <v>167</v>
      </c>
      <c r="J806" s="139">
        <f>IFERROR(__xludf.DUMMYFUNCTION("""COMPUTED_VALUE"""),89.0)</f>
        <v>89</v>
      </c>
      <c r="K806" s="139">
        <f>IFERROR(__xludf.DUMMYFUNCTION("""COMPUTED_VALUE"""),0.0)</f>
        <v>0</v>
      </c>
      <c r="L806" s="139"/>
      <c r="M806" s="139"/>
      <c r="N806" s="139"/>
    </row>
    <row r="807">
      <c r="A807" s="139"/>
      <c r="B807" s="139"/>
      <c r="C807" s="139" t="str">
        <f>IFERROR(__xludf.DUMMYFUNCTION("""COMPUTED_VALUE"""),"chara_osh_00301_Special_00010")</f>
        <v>chara_osh_00301_Special_00010</v>
      </c>
      <c r="D807" s="139" t="str">
        <f>IFERROR(__xludf.DUMMYFUNCTION("""COMPUTED_VALUE"""),"chara_osh_00301")</f>
        <v>chara_osh_00301</v>
      </c>
      <c r="E807" s="139">
        <f>IFERROR(__xludf.DUMMYFUNCTION("""COMPUTED_VALUE"""),10.0)</f>
        <v>10</v>
      </c>
      <c r="F807" s="139" t="str">
        <f>IFERROR(__xludf.DUMMYFUNCTION("""COMPUTED_VALUE"""),"Special")</f>
        <v>Special</v>
      </c>
      <c r="G807" s="139"/>
      <c r="H807" s="139"/>
      <c r="I807" s="139">
        <f>IFERROR(__xludf.DUMMYFUNCTION("""COMPUTED_VALUE"""),167.0)</f>
        <v>167</v>
      </c>
      <c r="J807" s="139">
        <f>IFERROR(__xludf.DUMMYFUNCTION("""COMPUTED_VALUE"""),89.0)</f>
        <v>89</v>
      </c>
      <c r="K807" s="139">
        <f>IFERROR(__xludf.DUMMYFUNCTION("""COMPUTED_VALUE"""),0.0)</f>
        <v>0</v>
      </c>
      <c r="L807" s="139"/>
      <c r="M807" s="139"/>
      <c r="N807" s="139"/>
    </row>
    <row r="808">
      <c r="A808" s="139" t="str">
        <f>IFERROR(__xludf.DUMMYFUNCTION("""COMPUTED_VALUE"""),"e")</f>
        <v>e</v>
      </c>
      <c r="B808" s="139">
        <f>IFERROR(__xludf.DUMMYFUNCTION("""COMPUTED_VALUE"""),2.0251202E8)</f>
        <v>202512020</v>
      </c>
      <c r="C808" s="139" t="str">
        <f>IFERROR(__xludf.DUMMYFUNCTION("""COMPUTED_VALUE"""),"chara_osh_00401_Normal_00000")</f>
        <v>chara_osh_00401_Normal_00000</v>
      </c>
      <c r="D808" s="139" t="str">
        <f>IFERROR(__xludf.DUMMYFUNCTION("""COMPUTED_VALUE"""),"chara_osh_00401")</f>
        <v>chara_osh_00401</v>
      </c>
      <c r="E808" s="139">
        <f>IFERROR(__xludf.DUMMYFUNCTION("""COMPUTED_VALUE"""),0.0)</f>
        <v>0</v>
      </c>
      <c r="F808" s="139" t="str">
        <f>IFERROR(__xludf.DUMMYFUNCTION("""COMPUTED_VALUE"""),"Normal")</f>
        <v>Normal</v>
      </c>
      <c r="G808" s="139"/>
      <c r="H808" s="139"/>
      <c r="I808" s="139">
        <f>IFERROR(__xludf.DUMMYFUNCTION("""COMPUTED_VALUE"""),59.0)</f>
        <v>59</v>
      </c>
      <c r="J808" s="139">
        <f>IFERROR(__xludf.DUMMYFUNCTION("""COMPUTED_VALUE"""),25.0)</f>
        <v>25</v>
      </c>
      <c r="K808" s="139">
        <f>IFERROR(__xludf.DUMMYFUNCTION("""COMPUTED_VALUE"""),50.0)</f>
        <v>50</v>
      </c>
      <c r="L808" s="139"/>
      <c r="M808" s="139" t="str">
        <f>IFERROR(__xludf.DUMMYFUNCTION("""COMPUTED_VALUE"""),"表示場所なし")</f>
        <v>表示場所なし</v>
      </c>
      <c r="N808" s="139"/>
    </row>
    <row r="809">
      <c r="A809" s="139" t="str">
        <f>IFERROR(__xludf.DUMMYFUNCTION("""COMPUTED_VALUE"""),"e")</f>
        <v>e</v>
      </c>
      <c r="B809" s="139">
        <f>IFERROR(__xludf.DUMMYFUNCTION("""COMPUTED_VALUE"""),2.0251202E8)</f>
        <v>202512020</v>
      </c>
      <c r="C809" s="139" t="str">
        <f>IFERROR(__xludf.DUMMYFUNCTION("""COMPUTED_VALUE"""),"chara_osh_00401_Special_00001")</f>
        <v>chara_osh_00401_Special_00001</v>
      </c>
      <c r="D809" s="139" t="str">
        <f>IFERROR(__xludf.DUMMYFUNCTION("""COMPUTED_VALUE"""),"chara_osh_00401")</f>
        <v>chara_osh_00401</v>
      </c>
      <c r="E809" s="139">
        <f>IFERROR(__xludf.DUMMYFUNCTION("""COMPUTED_VALUE"""),1.0)</f>
        <v>1</v>
      </c>
      <c r="F809" s="139" t="str">
        <f>IFERROR(__xludf.DUMMYFUNCTION("""COMPUTED_VALUE"""),"Special")</f>
        <v>Special</v>
      </c>
      <c r="G809" s="139"/>
      <c r="H809" s="139"/>
      <c r="I809" s="139">
        <f>IFERROR(__xludf.DUMMYFUNCTION("""COMPUTED_VALUE"""),124.0)</f>
        <v>124</v>
      </c>
      <c r="J809" s="139">
        <f>IFERROR(__xludf.DUMMYFUNCTION("""COMPUTED_VALUE"""),50.0)</f>
        <v>50</v>
      </c>
      <c r="K809" s="139">
        <f>IFERROR(__xludf.DUMMYFUNCTION("""COMPUTED_VALUE"""),0.0)</f>
        <v>0</v>
      </c>
      <c r="L809" s="139"/>
      <c r="M809" s="139" t="str">
        <f>IFERROR(__xludf.DUMMYFUNCTION("""COMPUTED_VALUE"""),"敵複数体に自身の攻撃ステータスの85%のダメージ + 攻撃がヒットした場合、敵を1秒間、スタン状態にする")</f>
        <v>敵複数体に自身の攻撃ステータスの85%のダメージ + 攻撃がヒットした場合、敵を1秒間、スタン状態にする</v>
      </c>
      <c r="N809" s="139"/>
    </row>
    <row r="810">
      <c r="A810" s="139" t="str">
        <f>IFERROR(__xludf.DUMMYFUNCTION("""COMPUTED_VALUE"""),"e")</f>
        <v>e</v>
      </c>
      <c r="B810" s="139">
        <f>IFERROR(__xludf.DUMMYFUNCTION("""COMPUTED_VALUE"""),2.0251202E8)</f>
        <v>202512020</v>
      </c>
      <c r="C810" s="139" t="str">
        <f>IFERROR(__xludf.DUMMYFUNCTION("""COMPUTED_VALUE"""),"chara_osh_00401_Special_00002")</f>
        <v>chara_osh_00401_Special_00002</v>
      </c>
      <c r="D810" s="139" t="str">
        <f>IFERROR(__xludf.DUMMYFUNCTION("""COMPUTED_VALUE"""),"chara_osh_00401")</f>
        <v>chara_osh_00401</v>
      </c>
      <c r="E810" s="139">
        <f>IFERROR(__xludf.DUMMYFUNCTION("""COMPUTED_VALUE"""),2.0)</f>
        <v>2</v>
      </c>
      <c r="F810" s="139" t="str">
        <f>IFERROR(__xludf.DUMMYFUNCTION("""COMPUTED_VALUE"""),"Special")</f>
        <v>Special</v>
      </c>
      <c r="G810" s="139"/>
      <c r="H810" s="139"/>
      <c r="I810" s="139">
        <f>IFERROR(__xludf.DUMMYFUNCTION("""COMPUTED_VALUE"""),124.0)</f>
        <v>124</v>
      </c>
      <c r="J810" s="139">
        <f>IFERROR(__xludf.DUMMYFUNCTION("""COMPUTED_VALUE"""),50.0)</f>
        <v>50</v>
      </c>
      <c r="K810" s="139">
        <f>IFERROR(__xludf.DUMMYFUNCTION("""COMPUTED_VALUE"""),0.0)</f>
        <v>0</v>
      </c>
      <c r="L810" s="139"/>
      <c r="M810" s="139" t="str">
        <f>IFERROR(__xludf.DUMMYFUNCTION("""COMPUTED_VALUE"""),"敵複数体に自身の攻撃ステータスの97%のダメージ + 攻撃がヒットした場合、敵を1.4秒間、スタン状態にする")</f>
        <v>敵複数体に自身の攻撃ステータスの97%のダメージ + 攻撃がヒットした場合、敵を1.4秒間、スタン状態にする</v>
      </c>
      <c r="N810" s="139" t="str">
        <f>IFERROR(__xludf.DUMMYFUNCTION("""COMPUTED_VALUE"""),"ステータスUP + 必殺ワザ性能UP")</f>
        <v>ステータスUP + 必殺ワザ性能UP</v>
      </c>
    </row>
    <row r="811">
      <c r="A811" s="139" t="str">
        <f>IFERROR(__xludf.DUMMYFUNCTION("""COMPUTED_VALUE"""),"e")</f>
        <v>e</v>
      </c>
      <c r="B811" s="139">
        <f>IFERROR(__xludf.DUMMYFUNCTION("""COMPUTED_VALUE"""),2.0251202E8)</f>
        <v>202512020</v>
      </c>
      <c r="C811" s="139" t="str">
        <f>IFERROR(__xludf.DUMMYFUNCTION("""COMPUTED_VALUE"""),"chara_osh_00401_Special_00003")</f>
        <v>chara_osh_00401_Special_00003</v>
      </c>
      <c r="D811" s="139" t="str">
        <f>IFERROR(__xludf.DUMMYFUNCTION("""COMPUTED_VALUE"""),"chara_osh_00401")</f>
        <v>chara_osh_00401</v>
      </c>
      <c r="E811" s="139">
        <f>IFERROR(__xludf.DUMMYFUNCTION("""COMPUTED_VALUE"""),3.0)</f>
        <v>3</v>
      </c>
      <c r="F811" s="139" t="str">
        <f>IFERROR(__xludf.DUMMYFUNCTION("""COMPUTED_VALUE"""),"Special")</f>
        <v>Special</v>
      </c>
      <c r="G811" s="139"/>
      <c r="H811" s="139"/>
      <c r="I811" s="139">
        <f>IFERROR(__xludf.DUMMYFUNCTION("""COMPUTED_VALUE"""),124.0)</f>
        <v>124</v>
      </c>
      <c r="J811" s="139">
        <f>IFERROR(__xludf.DUMMYFUNCTION("""COMPUTED_VALUE"""),50.0)</f>
        <v>50</v>
      </c>
      <c r="K811" s="139">
        <f>IFERROR(__xludf.DUMMYFUNCTION("""COMPUTED_VALUE"""),0.0)</f>
        <v>0</v>
      </c>
      <c r="L811" s="139"/>
      <c r="M811" s="139" t="str">
        <f>IFERROR(__xludf.DUMMYFUNCTION("""COMPUTED_VALUE"""),"敵複数体に自身の攻撃ステータスの106%のダメージ + 攻撃がヒットした場合、敵を1.7秒間、スタン状態にする")</f>
        <v>敵複数体に自身の攻撃ステータスの106%のダメージ + 攻撃がヒットした場合、敵を1.7秒間、スタン状態にする</v>
      </c>
      <c r="N811" s="139" t="str">
        <f>IFERROR(__xludf.DUMMYFUNCTION("""COMPUTED_VALUE"""),"ステータスUP + 必殺ワザ性能UP")</f>
        <v>ステータスUP + 必殺ワザ性能UP</v>
      </c>
    </row>
    <row r="812">
      <c r="A812" s="139" t="str">
        <f>IFERROR(__xludf.DUMMYFUNCTION("""COMPUTED_VALUE"""),"e")</f>
        <v>e</v>
      </c>
      <c r="B812" s="139">
        <f>IFERROR(__xludf.DUMMYFUNCTION("""COMPUTED_VALUE"""),2.0251202E8)</f>
        <v>202512020</v>
      </c>
      <c r="C812" s="139" t="str">
        <f>IFERROR(__xludf.DUMMYFUNCTION("""COMPUTED_VALUE"""),"chara_osh_00401_Special_00004")</f>
        <v>chara_osh_00401_Special_00004</v>
      </c>
      <c r="D812" s="139" t="str">
        <f>IFERROR(__xludf.DUMMYFUNCTION("""COMPUTED_VALUE"""),"chara_osh_00401")</f>
        <v>chara_osh_00401</v>
      </c>
      <c r="E812" s="139">
        <f>IFERROR(__xludf.DUMMYFUNCTION("""COMPUTED_VALUE"""),4.0)</f>
        <v>4</v>
      </c>
      <c r="F812" s="139" t="str">
        <f>IFERROR(__xludf.DUMMYFUNCTION("""COMPUTED_VALUE"""),"Special")</f>
        <v>Special</v>
      </c>
      <c r="G812" s="139"/>
      <c r="H812" s="139"/>
      <c r="I812" s="139">
        <f>IFERROR(__xludf.DUMMYFUNCTION("""COMPUTED_VALUE"""),124.0)</f>
        <v>124</v>
      </c>
      <c r="J812" s="139">
        <f>IFERROR(__xludf.DUMMYFUNCTION("""COMPUTED_VALUE"""),50.0)</f>
        <v>50</v>
      </c>
      <c r="K812" s="139">
        <f>IFERROR(__xludf.DUMMYFUNCTION("""COMPUTED_VALUE"""),0.0)</f>
        <v>0</v>
      </c>
      <c r="L812" s="139"/>
      <c r="M812" s="139" t="str">
        <f>IFERROR(__xludf.DUMMYFUNCTION("""COMPUTED_VALUE"""),"敵複数体に自身の攻撃ステータスの113%のダメージ + 攻撃がヒットした場合、敵を2.1秒間、スタン状態にする")</f>
        <v>敵複数体に自身の攻撃ステータスの113%のダメージ + 攻撃がヒットした場合、敵を2.1秒間、スタン状態にする</v>
      </c>
      <c r="N812" s="139" t="str">
        <f>IFERROR(__xludf.DUMMYFUNCTION("""COMPUTED_VALUE"""),"ステータスUP + 必殺ワザ性能UP")</f>
        <v>ステータスUP + 必殺ワザ性能UP</v>
      </c>
    </row>
    <row r="813">
      <c r="A813" s="139" t="str">
        <f>IFERROR(__xludf.DUMMYFUNCTION("""COMPUTED_VALUE"""),"e")</f>
        <v>e</v>
      </c>
      <c r="B813" s="139">
        <f>IFERROR(__xludf.DUMMYFUNCTION("""COMPUTED_VALUE"""),2.0251202E8)</f>
        <v>202512020</v>
      </c>
      <c r="C813" s="139" t="str">
        <f>IFERROR(__xludf.DUMMYFUNCTION("""COMPUTED_VALUE"""),"chara_osh_00401_Special_00005")</f>
        <v>chara_osh_00401_Special_00005</v>
      </c>
      <c r="D813" s="139" t="str">
        <f>IFERROR(__xludf.DUMMYFUNCTION("""COMPUTED_VALUE"""),"chara_osh_00401")</f>
        <v>chara_osh_00401</v>
      </c>
      <c r="E813" s="139">
        <f>IFERROR(__xludf.DUMMYFUNCTION("""COMPUTED_VALUE"""),5.0)</f>
        <v>5</v>
      </c>
      <c r="F813" s="139" t="str">
        <f>IFERROR(__xludf.DUMMYFUNCTION("""COMPUTED_VALUE"""),"Special")</f>
        <v>Special</v>
      </c>
      <c r="G813" s="139"/>
      <c r="H813" s="139"/>
      <c r="I813" s="139">
        <f>IFERROR(__xludf.DUMMYFUNCTION("""COMPUTED_VALUE"""),124.0)</f>
        <v>124</v>
      </c>
      <c r="J813" s="139">
        <f>IFERROR(__xludf.DUMMYFUNCTION("""COMPUTED_VALUE"""),50.0)</f>
        <v>50</v>
      </c>
      <c r="K813" s="139">
        <f>IFERROR(__xludf.DUMMYFUNCTION("""COMPUTED_VALUE"""),0.0)</f>
        <v>0</v>
      </c>
      <c r="L813" s="139"/>
      <c r="M813" s="139" t="str">
        <f>IFERROR(__xludf.DUMMYFUNCTION("""COMPUTED_VALUE"""),"敵複数体に自身の攻撃ステータスの117%のダメージ + 攻撃がヒットした場合、敵を2.3秒間、スタン状態にする")</f>
        <v>敵複数体に自身の攻撃ステータスの117%のダメージ + 攻撃がヒットした場合、敵を2.3秒間、スタン状態にする</v>
      </c>
      <c r="N813" s="139" t="str">
        <f>IFERROR(__xludf.DUMMYFUNCTION("""COMPUTED_VALUE"""),"ステータスUP + 必殺ワザ性能UP")</f>
        <v>ステータスUP + 必殺ワザ性能UP</v>
      </c>
    </row>
    <row r="814">
      <c r="A814" s="139"/>
      <c r="B814" s="139"/>
      <c r="C814" s="139" t="str">
        <f>IFERROR(__xludf.DUMMYFUNCTION("""COMPUTED_VALUE"""),"chara_osh_00401_Special_00006")</f>
        <v>chara_osh_00401_Special_00006</v>
      </c>
      <c r="D814" s="139" t="str">
        <f>IFERROR(__xludf.DUMMYFUNCTION("""COMPUTED_VALUE"""),"chara_osh_00401")</f>
        <v>chara_osh_00401</v>
      </c>
      <c r="E814" s="139">
        <f>IFERROR(__xludf.DUMMYFUNCTION("""COMPUTED_VALUE"""),6.0)</f>
        <v>6</v>
      </c>
      <c r="F814" s="139" t="str">
        <f>IFERROR(__xludf.DUMMYFUNCTION("""COMPUTED_VALUE"""),"Special")</f>
        <v>Special</v>
      </c>
      <c r="G814" s="139"/>
      <c r="H814" s="139"/>
      <c r="I814" s="139">
        <f>IFERROR(__xludf.DUMMYFUNCTION("""COMPUTED_VALUE"""),124.0)</f>
        <v>124</v>
      </c>
      <c r="J814" s="139">
        <f>IFERROR(__xludf.DUMMYFUNCTION("""COMPUTED_VALUE"""),50.0)</f>
        <v>50</v>
      </c>
      <c r="K814" s="139">
        <f>IFERROR(__xludf.DUMMYFUNCTION("""COMPUTED_VALUE"""),0.0)</f>
        <v>0</v>
      </c>
      <c r="L814" s="139"/>
      <c r="M814" s="139"/>
      <c r="N814" s="139"/>
    </row>
    <row r="815">
      <c r="A815" s="139"/>
      <c r="B815" s="139"/>
      <c r="C815" s="139" t="str">
        <f>IFERROR(__xludf.DUMMYFUNCTION("""COMPUTED_VALUE"""),"chara_osh_00401_Special_00007")</f>
        <v>chara_osh_00401_Special_00007</v>
      </c>
      <c r="D815" s="139" t="str">
        <f>IFERROR(__xludf.DUMMYFUNCTION("""COMPUTED_VALUE"""),"chara_osh_00401")</f>
        <v>chara_osh_00401</v>
      </c>
      <c r="E815" s="139">
        <f>IFERROR(__xludf.DUMMYFUNCTION("""COMPUTED_VALUE"""),7.0)</f>
        <v>7</v>
      </c>
      <c r="F815" s="139" t="str">
        <f>IFERROR(__xludf.DUMMYFUNCTION("""COMPUTED_VALUE"""),"Special")</f>
        <v>Special</v>
      </c>
      <c r="G815" s="139"/>
      <c r="H815" s="139"/>
      <c r="I815" s="139">
        <f>IFERROR(__xludf.DUMMYFUNCTION("""COMPUTED_VALUE"""),124.0)</f>
        <v>124</v>
      </c>
      <c r="J815" s="139">
        <f>IFERROR(__xludf.DUMMYFUNCTION("""COMPUTED_VALUE"""),50.0)</f>
        <v>50</v>
      </c>
      <c r="K815" s="139">
        <f>IFERROR(__xludf.DUMMYFUNCTION("""COMPUTED_VALUE"""),0.0)</f>
        <v>0</v>
      </c>
      <c r="L815" s="139"/>
      <c r="M815" s="139"/>
      <c r="N815" s="139"/>
    </row>
    <row r="816">
      <c r="A816" s="139"/>
      <c r="B816" s="139"/>
      <c r="C816" s="139" t="str">
        <f>IFERROR(__xludf.DUMMYFUNCTION("""COMPUTED_VALUE"""),"chara_osh_00401_Special_00008")</f>
        <v>chara_osh_00401_Special_00008</v>
      </c>
      <c r="D816" s="139" t="str">
        <f>IFERROR(__xludf.DUMMYFUNCTION("""COMPUTED_VALUE"""),"chara_osh_00401")</f>
        <v>chara_osh_00401</v>
      </c>
      <c r="E816" s="139">
        <f>IFERROR(__xludf.DUMMYFUNCTION("""COMPUTED_VALUE"""),8.0)</f>
        <v>8</v>
      </c>
      <c r="F816" s="139" t="str">
        <f>IFERROR(__xludf.DUMMYFUNCTION("""COMPUTED_VALUE"""),"Special")</f>
        <v>Special</v>
      </c>
      <c r="G816" s="139"/>
      <c r="H816" s="139"/>
      <c r="I816" s="139">
        <f>IFERROR(__xludf.DUMMYFUNCTION("""COMPUTED_VALUE"""),124.0)</f>
        <v>124</v>
      </c>
      <c r="J816" s="139">
        <f>IFERROR(__xludf.DUMMYFUNCTION("""COMPUTED_VALUE"""),50.0)</f>
        <v>50</v>
      </c>
      <c r="K816" s="139">
        <f>IFERROR(__xludf.DUMMYFUNCTION("""COMPUTED_VALUE"""),0.0)</f>
        <v>0</v>
      </c>
      <c r="L816" s="139"/>
      <c r="M816" s="139"/>
      <c r="N816" s="139"/>
    </row>
    <row r="817">
      <c r="A817" s="139"/>
      <c r="B817" s="139"/>
      <c r="C817" s="139" t="str">
        <f>IFERROR(__xludf.DUMMYFUNCTION("""COMPUTED_VALUE"""),"chara_osh_00401_Special_00009")</f>
        <v>chara_osh_00401_Special_00009</v>
      </c>
      <c r="D817" s="139" t="str">
        <f>IFERROR(__xludf.DUMMYFUNCTION("""COMPUTED_VALUE"""),"chara_osh_00401")</f>
        <v>chara_osh_00401</v>
      </c>
      <c r="E817" s="139">
        <f>IFERROR(__xludf.DUMMYFUNCTION("""COMPUTED_VALUE"""),9.0)</f>
        <v>9</v>
      </c>
      <c r="F817" s="139" t="str">
        <f>IFERROR(__xludf.DUMMYFUNCTION("""COMPUTED_VALUE"""),"Special")</f>
        <v>Special</v>
      </c>
      <c r="G817" s="139"/>
      <c r="H817" s="139"/>
      <c r="I817" s="139">
        <f>IFERROR(__xludf.DUMMYFUNCTION("""COMPUTED_VALUE"""),124.0)</f>
        <v>124</v>
      </c>
      <c r="J817" s="139">
        <f>IFERROR(__xludf.DUMMYFUNCTION("""COMPUTED_VALUE"""),50.0)</f>
        <v>50</v>
      </c>
      <c r="K817" s="139">
        <f>IFERROR(__xludf.DUMMYFUNCTION("""COMPUTED_VALUE"""),0.0)</f>
        <v>0</v>
      </c>
      <c r="L817" s="139"/>
      <c r="M817" s="139"/>
      <c r="N817" s="139"/>
    </row>
    <row r="818">
      <c r="A818" s="139"/>
      <c r="B818" s="139"/>
      <c r="C818" s="139" t="str">
        <f>IFERROR(__xludf.DUMMYFUNCTION("""COMPUTED_VALUE"""),"chara_osh_00401_Special_00010")</f>
        <v>chara_osh_00401_Special_00010</v>
      </c>
      <c r="D818" s="139" t="str">
        <f>IFERROR(__xludf.DUMMYFUNCTION("""COMPUTED_VALUE"""),"chara_osh_00401")</f>
        <v>chara_osh_00401</v>
      </c>
      <c r="E818" s="139">
        <f>IFERROR(__xludf.DUMMYFUNCTION("""COMPUTED_VALUE"""),10.0)</f>
        <v>10</v>
      </c>
      <c r="F818" s="139" t="str">
        <f>IFERROR(__xludf.DUMMYFUNCTION("""COMPUTED_VALUE"""),"Special")</f>
        <v>Special</v>
      </c>
      <c r="G818" s="139"/>
      <c r="H818" s="139"/>
      <c r="I818" s="139">
        <f>IFERROR(__xludf.DUMMYFUNCTION("""COMPUTED_VALUE"""),124.0)</f>
        <v>124</v>
      </c>
      <c r="J818" s="139">
        <f>IFERROR(__xludf.DUMMYFUNCTION("""COMPUTED_VALUE"""),50.0)</f>
        <v>50</v>
      </c>
      <c r="K818" s="139">
        <f>IFERROR(__xludf.DUMMYFUNCTION("""COMPUTED_VALUE"""),0.0)</f>
        <v>0</v>
      </c>
      <c r="L818" s="139"/>
      <c r="M818" s="139"/>
      <c r="N818" s="139"/>
    </row>
    <row r="819">
      <c r="A819" s="139" t="str">
        <f>IFERROR(__xludf.DUMMYFUNCTION("""COMPUTED_VALUE"""),"e")</f>
        <v>e</v>
      </c>
      <c r="B819" s="139">
        <f>IFERROR(__xludf.DUMMYFUNCTION("""COMPUTED_VALUE"""),2.0251202E8)</f>
        <v>202512020</v>
      </c>
      <c r="C819" s="139" t="str">
        <f>IFERROR(__xludf.DUMMYFUNCTION("""COMPUTED_VALUE"""),"chara_osh_00501_Normal_00000")</f>
        <v>chara_osh_00501_Normal_00000</v>
      </c>
      <c r="D819" s="139" t="str">
        <f>IFERROR(__xludf.DUMMYFUNCTION("""COMPUTED_VALUE"""),"chara_osh_00501")</f>
        <v>chara_osh_00501</v>
      </c>
      <c r="E819" s="139">
        <f>IFERROR(__xludf.DUMMYFUNCTION("""COMPUTED_VALUE"""),0.0)</f>
        <v>0</v>
      </c>
      <c r="F819" s="139" t="str">
        <f>IFERROR(__xludf.DUMMYFUNCTION("""COMPUTED_VALUE"""),"Normal")</f>
        <v>Normal</v>
      </c>
      <c r="G819" s="139"/>
      <c r="H819" s="139"/>
      <c r="I819" s="139">
        <f>IFERROR(__xludf.DUMMYFUNCTION("""COMPUTED_VALUE"""),53.0)</f>
        <v>53</v>
      </c>
      <c r="J819" s="139">
        <f>IFERROR(__xludf.DUMMYFUNCTION("""COMPUTED_VALUE"""),15.0)</f>
        <v>15</v>
      </c>
      <c r="K819" s="139">
        <f>IFERROR(__xludf.DUMMYFUNCTION("""COMPUTED_VALUE"""),50.0)</f>
        <v>50</v>
      </c>
      <c r="L819" s="139"/>
      <c r="M819" s="139" t="str">
        <f>IFERROR(__xludf.DUMMYFUNCTION("""COMPUTED_VALUE"""),"表示場所なし")</f>
        <v>表示場所なし</v>
      </c>
      <c r="N819" s="139"/>
    </row>
    <row r="820">
      <c r="A820" s="139" t="str">
        <f>IFERROR(__xludf.DUMMYFUNCTION("""COMPUTED_VALUE"""),"e")</f>
        <v>e</v>
      </c>
      <c r="B820" s="139">
        <f>IFERROR(__xludf.DUMMYFUNCTION("""COMPUTED_VALUE"""),2.0251202E8)</f>
        <v>202512020</v>
      </c>
      <c r="C820" s="139" t="str">
        <f>IFERROR(__xludf.DUMMYFUNCTION("""COMPUTED_VALUE"""),"chara_osh_00501_Special_00001")</f>
        <v>chara_osh_00501_Special_00001</v>
      </c>
      <c r="D820" s="139" t="str">
        <f>IFERROR(__xludf.DUMMYFUNCTION("""COMPUTED_VALUE"""),"chara_osh_00501")</f>
        <v>chara_osh_00501</v>
      </c>
      <c r="E820" s="139">
        <f>IFERROR(__xludf.DUMMYFUNCTION("""COMPUTED_VALUE"""),1.0)</f>
        <v>1</v>
      </c>
      <c r="F820" s="139" t="str">
        <f>IFERROR(__xludf.DUMMYFUNCTION("""COMPUTED_VALUE"""),"Special")</f>
        <v>Special</v>
      </c>
      <c r="G820" s="139"/>
      <c r="H820" s="139"/>
      <c r="I820" s="139">
        <f>IFERROR(__xludf.DUMMYFUNCTION("""COMPUTED_VALUE"""),134.0)</f>
        <v>134</v>
      </c>
      <c r="J820" s="139">
        <f>IFERROR(__xludf.DUMMYFUNCTION("""COMPUTED_VALUE"""),89.0)</f>
        <v>89</v>
      </c>
      <c r="K820" s="139">
        <f>IFERROR(__xludf.DUMMYFUNCTION("""COMPUTED_VALUE"""),0.0)</f>
        <v>0</v>
      </c>
      <c r="L820" s="139"/>
      <c r="M820" s="139" t="str">
        <f>IFERROR(__xludf.DUMMYFUNCTION("""COMPUTED_VALUE"""),"敵複数体に自身の攻撃ステータスの85%のダメージ + 攻撃がヒットした場合、敵の攻撃を12秒間、5%DOWN")</f>
        <v>敵複数体に自身の攻撃ステータスの85%のダメージ + 攻撃がヒットした場合、敵の攻撃を12秒間、5%DOWN</v>
      </c>
      <c r="N820" s="139"/>
    </row>
    <row r="821">
      <c r="A821" s="139" t="str">
        <f>IFERROR(__xludf.DUMMYFUNCTION("""COMPUTED_VALUE"""),"e")</f>
        <v>e</v>
      </c>
      <c r="B821" s="139">
        <f>IFERROR(__xludf.DUMMYFUNCTION("""COMPUTED_VALUE"""),2.0251202E8)</f>
        <v>202512020</v>
      </c>
      <c r="C821" s="139" t="str">
        <f>IFERROR(__xludf.DUMMYFUNCTION("""COMPUTED_VALUE"""),"chara_osh_00501_Special_00002")</f>
        <v>chara_osh_00501_Special_00002</v>
      </c>
      <c r="D821" s="139" t="str">
        <f>IFERROR(__xludf.DUMMYFUNCTION("""COMPUTED_VALUE"""),"chara_osh_00501")</f>
        <v>chara_osh_00501</v>
      </c>
      <c r="E821" s="139">
        <f>IFERROR(__xludf.DUMMYFUNCTION("""COMPUTED_VALUE"""),2.0)</f>
        <v>2</v>
      </c>
      <c r="F821" s="139" t="str">
        <f>IFERROR(__xludf.DUMMYFUNCTION("""COMPUTED_VALUE"""),"Special")</f>
        <v>Special</v>
      </c>
      <c r="G821" s="139"/>
      <c r="H821" s="139"/>
      <c r="I821" s="139">
        <f>IFERROR(__xludf.DUMMYFUNCTION("""COMPUTED_VALUE"""),134.0)</f>
        <v>134</v>
      </c>
      <c r="J821" s="139">
        <f>IFERROR(__xludf.DUMMYFUNCTION("""COMPUTED_VALUE"""),89.0)</f>
        <v>89</v>
      </c>
      <c r="K821" s="139">
        <f>IFERROR(__xludf.DUMMYFUNCTION("""COMPUTED_VALUE"""),0.0)</f>
        <v>0</v>
      </c>
      <c r="L821" s="139"/>
      <c r="M821" s="139" t="str">
        <f>IFERROR(__xludf.DUMMYFUNCTION("""COMPUTED_VALUE"""),"敵複数体に自身の攻撃ステータスの97%のダメージ + 攻撃がヒットした場合、敵の攻撃を13秒間、7%DOWN")</f>
        <v>敵複数体に自身の攻撃ステータスの97%のダメージ + 攻撃がヒットした場合、敵の攻撃を13秒間、7%DOWN</v>
      </c>
      <c r="N821" s="139" t="str">
        <f>IFERROR(__xludf.DUMMYFUNCTION("""COMPUTED_VALUE"""),"ステータスUP + 必殺ワザ性能UP")</f>
        <v>ステータスUP + 必殺ワザ性能UP</v>
      </c>
    </row>
    <row r="822">
      <c r="A822" s="139" t="str">
        <f>IFERROR(__xludf.DUMMYFUNCTION("""COMPUTED_VALUE"""),"e")</f>
        <v>e</v>
      </c>
      <c r="B822" s="139">
        <f>IFERROR(__xludf.DUMMYFUNCTION("""COMPUTED_VALUE"""),2.0251202E8)</f>
        <v>202512020</v>
      </c>
      <c r="C822" s="139" t="str">
        <f>IFERROR(__xludf.DUMMYFUNCTION("""COMPUTED_VALUE"""),"chara_osh_00501_Special_00003")</f>
        <v>chara_osh_00501_Special_00003</v>
      </c>
      <c r="D822" s="139" t="str">
        <f>IFERROR(__xludf.DUMMYFUNCTION("""COMPUTED_VALUE"""),"chara_osh_00501")</f>
        <v>chara_osh_00501</v>
      </c>
      <c r="E822" s="139">
        <f>IFERROR(__xludf.DUMMYFUNCTION("""COMPUTED_VALUE"""),3.0)</f>
        <v>3</v>
      </c>
      <c r="F822" s="139" t="str">
        <f>IFERROR(__xludf.DUMMYFUNCTION("""COMPUTED_VALUE"""),"Special")</f>
        <v>Special</v>
      </c>
      <c r="G822" s="139"/>
      <c r="H822" s="139"/>
      <c r="I822" s="139">
        <f>IFERROR(__xludf.DUMMYFUNCTION("""COMPUTED_VALUE"""),134.0)</f>
        <v>134</v>
      </c>
      <c r="J822" s="139">
        <f>IFERROR(__xludf.DUMMYFUNCTION("""COMPUTED_VALUE"""),89.0)</f>
        <v>89</v>
      </c>
      <c r="K822" s="139">
        <f>IFERROR(__xludf.DUMMYFUNCTION("""COMPUTED_VALUE"""),0.0)</f>
        <v>0</v>
      </c>
      <c r="L822" s="139"/>
      <c r="M822" s="139" t="str">
        <f>IFERROR(__xludf.DUMMYFUNCTION("""COMPUTED_VALUE"""),"敵複数体に自身の攻撃ステータスの106%のダメージ + 攻撃がヒットした場合、敵の攻撃を14秒間、8%DOWN")</f>
        <v>敵複数体に自身の攻撃ステータスの106%のダメージ + 攻撃がヒットした場合、敵の攻撃を14秒間、8%DOWN</v>
      </c>
      <c r="N822" s="139" t="str">
        <f>IFERROR(__xludf.DUMMYFUNCTION("""COMPUTED_VALUE"""),"ステータスUP + 必殺ワザ性能UP")</f>
        <v>ステータスUP + 必殺ワザ性能UP</v>
      </c>
    </row>
    <row r="823">
      <c r="A823" s="139" t="str">
        <f>IFERROR(__xludf.DUMMYFUNCTION("""COMPUTED_VALUE"""),"e")</f>
        <v>e</v>
      </c>
      <c r="B823" s="139">
        <f>IFERROR(__xludf.DUMMYFUNCTION("""COMPUTED_VALUE"""),2.0251202E8)</f>
        <v>202512020</v>
      </c>
      <c r="C823" s="139" t="str">
        <f>IFERROR(__xludf.DUMMYFUNCTION("""COMPUTED_VALUE"""),"chara_osh_00501_Special_00004")</f>
        <v>chara_osh_00501_Special_00004</v>
      </c>
      <c r="D823" s="139" t="str">
        <f>IFERROR(__xludf.DUMMYFUNCTION("""COMPUTED_VALUE"""),"chara_osh_00501")</f>
        <v>chara_osh_00501</v>
      </c>
      <c r="E823" s="139">
        <f>IFERROR(__xludf.DUMMYFUNCTION("""COMPUTED_VALUE"""),4.0)</f>
        <v>4</v>
      </c>
      <c r="F823" s="139" t="str">
        <f>IFERROR(__xludf.DUMMYFUNCTION("""COMPUTED_VALUE"""),"Special")</f>
        <v>Special</v>
      </c>
      <c r="G823" s="139"/>
      <c r="H823" s="139"/>
      <c r="I823" s="139">
        <f>IFERROR(__xludf.DUMMYFUNCTION("""COMPUTED_VALUE"""),134.0)</f>
        <v>134</v>
      </c>
      <c r="J823" s="139">
        <f>IFERROR(__xludf.DUMMYFUNCTION("""COMPUTED_VALUE"""),89.0)</f>
        <v>89</v>
      </c>
      <c r="K823" s="139">
        <f>IFERROR(__xludf.DUMMYFUNCTION("""COMPUTED_VALUE"""),0.0)</f>
        <v>0</v>
      </c>
      <c r="L823" s="139"/>
      <c r="M823" s="139" t="str">
        <f>IFERROR(__xludf.DUMMYFUNCTION("""COMPUTED_VALUE"""),"敵複数体に自身の攻撃ステータスの113%のダメージ + 攻撃がヒットした場合、敵の攻撃を15秒間、9%DOWN")</f>
        <v>敵複数体に自身の攻撃ステータスの113%のダメージ + 攻撃がヒットした場合、敵の攻撃を15秒間、9%DOWN</v>
      </c>
      <c r="N823" s="139" t="str">
        <f>IFERROR(__xludf.DUMMYFUNCTION("""COMPUTED_VALUE"""),"ステータスUP + 必殺ワザ性能UP")</f>
        <v>ステータスUP + 必殺ワザ性能UP</v>
      </c>
    </row>
    <row r="824">
      <c r="A824" s="139" t="str">
        <f>IFERROR(__xludf.DUMMYFUNCTION("""COMPUTED_VALUE"""),"e")</f>
        <v>e</v>
      </c>
      <c r="B824" s="139">
        <f>IFERROR(__xludf.DUMMYFUNCTION("""COMPUTED_VALUE"""),2.0251202E8)</f>
        <v>202512020</v>
      </c>
      <c r="C824" s="139" t="str">
        <f>IFERROR(__xludf.DUMMYFUNCTION("""COMPUTED_VALUE"""),"chara_osh_00501_Special_00005")</f>
        <v>chara_osh_00501_Special_00005</v>
      </c>
      <c r="D824" s="139" t="str">
        <f>IFERROR(__xludf.DUMMYFUNCTION("""COMPUTED_VALUE"""),"chara_osh_00501")</f>
        <v>chara_osh_00501</v>
      </c>
      <c r="E824" s="139">
        <f>IFERROR(__xludf.DUMMYFUNCTION("""COMPUTED_VALUE"""),5.0)</f>
        <v>5</v>
      </c>
      <c r="F824" s="139" t="str">
        <f>IFERROR(__xludf.DUMMYFUNCTION("""COMPUTED_VALUE"""),"Special")</f>
        <v>Special</v>
      </c>
      <c r="G824" s="139"/>
      <c r="H824" s="139"/>
      <c r="I824" s="139">
        <f>IFERROR(__xludf.DUMMYFUNCTION("""COMPUTED_VALUE"""),134.0)</f>
        <v>134</v>
      </c>
      <c r="J824" s="139">
        <f>IFERROR(__xludf.DUMMYFUNCTION("""COMPUTED_VALUE"""),89.0)</f>
        <v>89</v>
      </c>
      <c r="K824" s="139">
        <f>IFERROR(__xludf.DUMMYFUNCTION("""COMPUTED_VALUE"""),0.0)</f>
        <v>0</v>
      </c>
      <c r="L824" s="139"/>
      <c r="M824" s="139" t="str">
        <f>IFERROR(__xludf.DUMMYFUNCTION("""COMPUTED_VALUE"""),"敵複数体に自身の攻撃ステータスの120%のダメージ + 攻撃がヒットした場合、敵の攻撃を15秒間、10%DOWN")</f>
        <v>敵複数体に自身の攻撃ステータスの120%のダメージ + 攻撃がヒットした場合、敵の攻撃を15秒間、10%DOWN</v>
      </c>
      <c r="N824" s="139" t="str">
        <f>IFERROR(__xludf.DUMMYFUNCTION("""COMPUTED_VALUE"""),"ステータスUP + 必殺ワザ性能UP")</f>
        <v>ステータスUP + 必殺ワザ性能UP</v>
      </c>
    </row>
    <row r="825">
      <c r="A825" s="139"/>
      <c r="B825" s="139"/>
      <c r="C825" s="139" t="str">
        <f>IFERROR(__xludf.DUMMYFUNCTION("""COMPUTED_VALUE"""),"chara_osh_00501_Special_00006")</f>
        <v>chara_osh_00501_Special_00006</v>
      </c>
      <c r="D825" s="139" t="str">
        <f>IFERROR(__xludf.DUMMYFUNCTION("""COMPUTED_VALUE"""),"chara_osh_00501")</f>
        <v>chara_osh_00501</v>
      </c>
      <c r="E825" s="139">
        <f>IFERROR(__xludf.DUMMYFUNCTION("""COMPUTED_VALUE"""),6.0)</f>
        <v>6</v>
      </c>
      <c r="F825" s="139" t="str">
        <f>IFERROR(__xludf.DUMMYFUNCTION("""COMPUTED_VALUE"""),"Special")</f>
        <v>Special</v>
      </c>
      <c r="G825" s="139"/>
      <c r="H825" s="139"/>
      <c r="I825" s="139">
        <f>IFERROR(__xludf.DUMMYFUNCTION("""COMPUTED_VALUE"""),134.0)</f>
        <v>134</v>
      </c>
      <c r="J825" s="139">
        <f>IFERROR(__xludf.DUMMYFUNCTION("""COMPUTED_VALUE"""),89.0)</f>
        <v>89</v>
      </c>
      <c r="K825" s="139">
        <f>IFERROR(__xludf.DUMMYFUNCTION("""COMPUTED_VALUE"""),0.0)</f>
        <v>0</v>
      </c>
      <c r="L825" s="139"/>
      <c r="M825" s="139"/>
      <c r="N825" s="139"/>
    </row>
    <row r="826">
      <c r="A826" s="139"/>
      <c r="B826" s="139"/>
      <c r="C826" s="139" t="str">
        <f>IFERROR(__xludf.DUMMYFUNCTION("""COMPUTED_VALUE"""),"chara_osh_00501_Special_00007")</f>
        <v>chara_osh_00501_Special_00007</v>
      </c>
      <c r="D826" s="139" t="str">
        <f>IFERROR(__xludf.DUMMYFUNCTION("""COMPUTED_VALUE"""),"chara_osh_00501")</f>
        <v>chara_osh_00501</v>
      </c>
      <c r="E826" s="139">
        <f>IFERROR(__xludf.DUMMYFUNCTION("""COMPUTED_VALUE"""),7.0)</f>
        <v>7</v>
      </c>
      <c r="F826" s="139" t="str">
        <f>IFERROR(__xludf.DUMMYFUNCTION("""COMPUTED_VALUE"""),"Special")</f>
        <v>Special</v>
      </c>
      <c r="G826" s="139"/>
      <c r="H826" s="139"/>
      <c r="I826" s="139">
        <f>IFERROR(__xludf.DUMMYFUNCTION("""COMPUTED_VALUE"""),134.0)</f>
        <v>134</v>
      </c>
      <c r="J826" s="139">
        <f>IFERROR(__xludf.DUMMYFUNCTION("""COMPUTED_VALUE"""),89.0)</f>
        <v>89</v>
      </c>
      <c r="K826" s="139">
        <f>IFERROR(__xludf.DUMMYFUNCTION("""COMPUTED_VALUE"""),0.0)</f>
        <v>0</v>
      </c>
      <c r="L826" s="139"/>
      <c r="M826" s="139"/>
      <c r="N826" s="139"/>
    </row>
    <row r="827">
      <c r="A827" s="139"/>
      <c r="B827" s="139"/>
      <c r="C827" s="139" t="str">
        <f>IFERROR(__xludf.DUMMYFUNCTION("""COMPUTED_VALUE"""),"chara_osh_00501_Special_00008")</f>
        <v>chara_osh_00501_Special_00008</v>
      </c>
      <c r="D827" s="139" t="str">
        <f>IFERROR(__xludf.DUMMYFUNCTION("""COMPUTED_VALUE"""),"chara_osh_00501")</f>
        <v>chara_osh_00501</v>
      </c>
      <c r="E827" s="139">
        <f>IFERROR(__xludf.DUMMYFUNCTION("""COMPUTED_VALUE"""),8.0)</f>
        <v>8</v>
      </c>
      <c r="F827" s="139" t="str">
        <f>IFERROR(__xludf.DUMMYFUNCTION("""COMPUTED_VALUE"""),"Special")</f>
        <v>Special</v>
      </c>
      <c r="G827" s="139"/>
      <c r="H827" s="139"/>
      <c r="I827" s="139">
        <f>IFERROR(__xludf.DUMMYFUNCTION("""COMPUTED_VALUE"""),134.0)</f>
        <v>134</v>
      </c>
      <c r="J827" s="139">
        <f>IFERROR(__xludf.DUMMYFUNCTION("""COMPUTED_VALUE"""),89.0)</f>
        <v>89</v>
      </c>
      <c r="K827" s="139">
        <f>IFERROR(__xludf.DUMMYFUNCTION("""COMPUTED_VALUE"""),0.0)</f>
        <v>0</v>
      </c>
      <c r="L827" s="139"/>
      <c r="M827" s="139"/>
      <c r="N827" s="139"/>
    </row>
    <row r="828">
      <c r="A828" s="139"/>
      <c r="B828" s="139"/>
      <c r="C828" s="139" t="str">
        <f>IFERROR(__xludf.DUMMYFUNCTION("""COMPUTED_VALUE"""),"chara_osh_00501_Special_00009")</f>
        <v>chara_osh_00501_Special_00009</v>
      </c>
      <c r="D828" s="139" t="str">
        <f>IFERROR(__xludf.DUMMYFUNCTION("""COMPUTED_VALUE"""),"chara_osh_00501")</f>
        <v>chara_osh_00501</v>
      </c>
      <c r="E828" s="139">
        <f>IFERROR(__xludf.DUMMYFUNCTION("""COMPUTED_VALUE"""),9.0)</f>
        <v>9</v>
      </c>
      <c r="F828" s="139" t="str">
        <f>IFERROR(__xludf.DUMMYFUNCTION("""COMPUTED_VALUE"""),"Special")</f>
        <v>Special</v>
      </c>
      <c r="G828" s="139"/>
      <c r="H828" s="139"/>
      <c r="I828" s="139">
        <f>IFERROR(__xludf.DUMMYFUNCTION("""COMPUTED_VALUE"""),134.0)</f>
        <v>134</v>
      </c>
      <c r="J828" s="139">
        <f>IFERROR(__xludf.DUMMYFUNCTION("""COMPUTED_VALUE"""),89.0)</f>
        <v>89</v>
      </c>
      <c r="K828" s="139">
        <f>IFERROR(__xludf.DUMMYFUNCTION("""COMPUTED_VALUE"""),0.0)</f>
        <v>0</v>
      </c>
      <c r="L828" s="139"/>
      <c r="M828" s="139"/>
      <c r="N828" s="139"/>
    </row>
    <row r="829">
      <c r="A829" s="139"/>
      <c r="B829" s="139"/>
      <c r="C829" s="139" t="str">
        <f>IFERROR(__xludf.DUMMYFUNCTION("""COMPUTED_VALUE"""),"chara_osh_00501_Special_00010")</f>
        <v>chara_osh_00501_Special_00010</v>
      </c>
      <c r="D829" s="139" t="str">
        <f>IFERROR(__xludf.DUMMYFUNCTION("""COMPUTED_VALUE"""),"chara_osh_00501")</f>
        <v>chara_osh_00501</v>
      </c>
      <c r="E829" s="139">
        <f>IFERROR(__xludf.DUMMYFUNCTION("""COMPUTED_VALUE"""),10.0)</f>
        <v>10</v>
      </c>
      <c r="F829" s="139" t="str">
        <f>IFERROR(__xludf.DUMMYFUNCTION("""COMPUTED_VALUE"""),"Special")</f>
        <v>Special</v>
      </c>
      <c r="G829" s="139"/>
      <c r="H829" s="139"/>
      <c r="I829" s="139">
        <f>IFERROR(__xludf.DUMMYFUNCTION("""COMPUTED_VALUE"""),134.0)</f>
        <v>134</v>
      </c>
      <c r="J829" s="139">
        <f>IFERROR(__xludf.DUMMYFUNCTION("""COMPUTED_VALUE"""),89.0)</f>
        <v>89</v>
      </c>
      <c r="K829" s="139">
        <f>IFERROR(__xludf.DUMMYFUNCTION("""COMPUTED_VALUE"""),0.0)</f>
        <v>0</v>
      </c>
      <c r="L829" s="139"/>
      <c r="M829" s="139"/>
      <c r="N829" s="139"/>
    </row>
    <row r="830">
      <c r="A830" s="139" t="str">
        <f>IFERROR(__xludf.DUMMYFUNCTION("""COMPUTED_VALUE"""),"e")</f>
        <v>e</v>
      </c>
      <c r="B830" s="139">
        <f>IFERROR(__xludf.DUMMYFUNCTION("""COMPUTED_VALUE"""),2.0251202E8)</f>
        <v>202512020</v>
      </c>
      <c r="C830" s="139" t="str">
        <f>IFERROR(__xludf.DUMMYFUNCTION("""COMPUTED_VALUE"""),"chara_osh_00601_Normal_00000")</f>
        <v>chara_osh_00601_Normal_00000</v>
      </c>
      <c r="D830" s="139" t="str">
        <f>IFERROR(__xludf.DUMMYFUNCTION("""COMPUTED_VALUE"""),"chara_osh_00601")</f>
        <v>chara_osh_00601</v>
      </c>
      <c r="E830" s="139">
        <f>IFERROR(__xludf.DUMMYFUNCTION("""COMPUTED_VALUE"""),0.0)</f>
        <v>0</v>
      </c>
      <c r="F830" s="139" t="str">
        <f>IFERROR(__xludf.DUMMYFUNCTION("""COMPUTED_VALUE"""),"Normal")</f>
        <v>Normal</v>
      </c>
      <c r="G830" s="139"/>
      <c r="H830" s="139"/>
      <c r="I830" s="139">
        <f>IFERROR(__xludf.DUMMYFUNCTION("""COMPUTED_VALUE"""),55.0)</f>
        <v>55</v>
      </c>
      <c r="J830" s="139">
        <f>IFERROR(__xludf.DUMMYFUNCTION("""COMPUTED_VALUE"""),0.0)</f>
        <v>0</v>
      </c>
      <c r="K830" s="139">
        <f>IFERROR(__xludf.DUMMYFUNCTION("""COMPUTED_VALUE"""),100.0)</f>
        <v>100</v>
      </c>
      <c r="L830" s="139"/>
      <c r="M830" s="139" t="str">
        <f>IFERROR(__xludf.DUMMYFUNCTION("""COMPUTED_VALUE"""),"表示場所なし")</f>
        <v>表示場所なし</v>
      </c>
      <c r="N830" s="139"/>
    </row>
    <row r="831">
      <c r="A831" s="139" t="str">
        <f>IFERROR(__xludf.DUMMYFUNCTION("""COMPUTED_VALUE"""),"e")</f>
        <v>e</v>
      </c>
      <c r="B831" s="139">
        <f>IFERROR(__xludf.DUMMYFUNCTION("""COMPUTED_VALUE"""),2.0251202E8)</f>
        <v>202512020</v>
      </c>
      <c r="C831" s="139" t="str">
        <f>IFERROR(__xludf.DUMMYFUNCTION("""COMPUTED_VALUE"""),"chara_osh_00601_Special_00001")</f>
        <v>chara_osh_00601_Special_00001</v>
      </c>
      <c r="D831" s="139" t="str">
        <f>IFERROR(__xludf.DUMMYFUNCTION("""COMPUTED_VALUE"""),"chara_osh_00601")</f>
        <v>chara_osh_00601</v>
      </c>
      <c r="E831" s="139">
        <f>IFERROR(__xludf.DUMMYFUNCTION("""COMPUTED_VALUE"""),1.0)</f>
        <v>1</v>
      </c>
      <c r="F831" s="139" t="str">
        <f>IFERROR(__xludf.DUMMYFUNCTION("""COMPUTED_VALUE"""),"Special")</f>
        <v>Special</v>
      </c>
      <c r="G831" s="139"/>
      <c r="H831" s="139"/>
      <c r="I831" s="139">
        <f>IFERROR(__xludf.DUMMYFUNCTION("""COMPUTED_VALUE"""),95.0)</f>
        <v>95</v>
      </c>
      <c r="J831" s="139">
        <f>IFERROR(__xludf.DUMMYFUNCTION("""COMPUTED_VALUE"""),0.0)</f>
        <v>0</v>
      </c>
      <c r="K831" s="139">
        <f>IFERROR(__xludf.DUMMYFUNCTION("""COMPUTED_VALUE"""),0.0)</f>
        <v>0</v>
      </c>
      <c r="L831" s="139"/>
      <c r="M831" s="139" t="str">
        <f>IFERROR(__xludf.DUMMYFUNCTION("""COMPUTED_VALUE"""),"敵単体に最大4回の連続攻撃(自身の攻撃ステータスの最大125%ダメージ) + 4回目の攻撃がヒットした場合、敵を小ノックバック")</f>
        <v>敵単体に最大4回の連続攻撃(自身の攻撃ステータスの最大125%ダメージ) + 4回目の攻撃がヒットした場合、敵を小ノックバック</v>
      </c>
      <c r="N831" s="139"/>
    </row>
    <row r="832">
      <c r="A832" s="139" t="str">
        <f>IFERROR(__xludf.DUMMYFUNCTION("""COMPUTED_VALUE"""),"e")</f>
        <v>e</v>
      </c>
      <c r="B832" s="139">
        <f>IFERROR(__xludf.DUMMYFUNCTION("""COMPUTED_VALUE"""),2.0251202E8)</f>
        <v>202512020</v>
      </c>
      <c r="C832" s="139" t="str">
        <f>IFERROR(__xludf.DUMMYFUNCTION("""COMPUTED_VALUE"""),"chara_osh_00601_Special_00002")</f>
        <v>chara_osh_00601_Special_00002</v>
      </c>
      <c r="D832" s="139" t="str">
        <f>IFERROR(__xludf.DUMMYFUNCTION("""COMPUTED_VALUE"""),"chara_osh_00601")</f>
        <v>chara_osh_00601</v>
      </c>
      <c r="E832" s="139">
        <f>IFERROR(__xludf.DUMMYFUNCTION("""COMPUTED_VALUE"""),2.0)</f>
        <v>2</v>
      </c>
      <c r="F832" s="139" t="str">
        <f>IFERROR(__xludf.DUMMYFUNCTION("""COMPUTED_VALUE"""),"Special")</f>
        <v>Special</v>
      </c>
      <c r="G832" s="139"/>
      <c r="H832" s="139"/>
      <c r="I832" s="139">
        <f>IFERROR(__xludf.DUMMYFUNCTION("""COMPUTED_VALUE"""),95.0)</f>
        <v>95</v>
      </c>
      <c r="J832" s="139">
        <f>IFERROR(__xludf.DUMMYFUNCTION("""COMPUTED_VALUE"""),0.0)</f>
        <v>0</v>
      </c>
      <c r="K832" s="139">
        <f>IFERROR(__xludf.DUMMYFUNCTION("""COMPUTED_VALUE"""),0.0)</f>
        <v>0</v>
      </c>
      <c r="L832" s="139"/>
      <c r="M832" s="139" t="str">
        <f>IFERROR(__xludf.DUMMYFUNCTION("""COMPUTED_VALUE"""),"敵単体に最大4回の連続攻撃(自身の攻撃ステータスの最大144%ダメージ) + 4回目の攻撃がヒットした場合、敵を小ノックバック")</f>
        <v>敵単体に最大4回の連続攻撃(自身の攻撃ステータスの最大144%ダメージ) + 4回目の攻撃がヒットした場合、敵を小ノックバック</v>
      </c>
      <c r="N832" s="139" t="str">
        <f>IFERROR(__xludf.DUMMYFUNCTION("""COMPUTED_VALUE"""),"ステータスUP + 必殺ワザ性能UP")</f>
        <v>ステータスUP + 必殺ワザ性能UP</v>
      </c>
    </row>
    <row r="833">
      <c r="A833" s="139" t="str">
        <f>IFERROR(__xludf.DUMMYFUNCTION("""COMPUTED_VALUE"""),"e")</f>
        <v>e</v>
      </c>
      <c r="B833" s="139">
        <f>IFERROR(__xludf.DUMMYFUNCTION("""COMPUTED_VALUE"""),2.0251202E8)</f>
        <v>202512020</v>
      </c>
      <c r="C833" s="139" t="str">
        <f>IFERROR(__xludf.DUMMYFUNCTION("""COMPUTED_VALUE"""),"chara_osh_00601_Special_00003")</f>
        <v>chara_osh_00601_Special_00003</v>
      </c>
      <c r="D833" s="139" t="str">
        <f>IFERROR(__xludf.DUMMYFUNCTION("""COMPUTED_VALUE"""),"chara_osh_00601")</f>
        <v>chara_osh_00601</v>
      </c>
      <c r="E833" s="139">
        <f>IFERROR(__xludf.DUMMYFUNCTION("""COMPUTED_VALUE"""),3.0)</f>
        <v>3</v>
      </c>
      <c r="F833" s="139" t="str">
        <f>IFERROR(__xludf.DUMMYFUNCTION("""COMPUTED_VALUE"""),"Special")</f>
        <v>Special</v>
      </c>
      <c r="G833" s="139"/>
      <c r="H833" s="139"/>
      <c r="I833" s="139">
        <f>IFERROR(__xludf.DUMMYFUNCTION("""COMPUTED_VALUE"""),95.0)</f>
        <v>95</v>
      </c>
      <c r="J833" s="139">
        <f>IFERROR(__xludf.DUMMYFUNCTION("""COMPUTED_VALUE"""),0.0)</f>
        <v>0</v>
      </c>
      <c r="K833" s="139">
        <f>IFERROR(__xludf.DUMMYFUNCTION("""COMPUTED_VALUE"""),0.0)</f>
        <v>0</v>
      </c>
      <c r="L833" s="139"/>
      <c r="M833" s="139" t="str">
        <f>IFERROR(__xludf.DUMMYFUNCTION("""COMPUTED_VALUE"""),"敵単体に最大4回の連続攻撃(自身の攻撃ステータスの最大157%ダメージ) + 4回目の攻撃がヒットした場合、敵を小ノックバック")</f>
        <v>敵単体に最大4回の連続攻撃(自身の攻撃ステータスの最大157%ダメージ) + 4回目の攻撃がヒットした場合、敵を小ノックバック</v>
      </c>
      <c r="N833" s="139" t="str">
        <f>IFERROR(__xludf.DUMMYFUNCTION("""COMPUTED_VALUE"""),"ステータスUP + 必殺ワザ性能UP")</f>
        <v>ステータスUP + 必殺ワザ性能UP</v>
      </c>
    </row>
    <row r="834">
      <c r="A834" s="139" t="str">
        <f>IFERROR(__xludf.DUMMYFUNCTION("""COMPUTED_VALUE"""),"e")</f>
        <v>e</v>
      </c>
      <c r="B834" s="139">
        <f>IFERROR(__xludf.DUMMYFUNCTION("""COMPUTED_VALUE"""),2.0251202E8)</f>
        <v>202512020</v>
      </c>
      <c r="C834" s="139" t="str">
        <f>IFERROR(__xludf.DUMMYFUNCTION("""COMPUTED_VALUE"""),"chara_osh_00601_Special_00004")</f>
        <v>chara_osh_00601_Special_00004</v>
      </c>
      <c r="D834" s="139" t="str">
        <f>IFERROR(__xludf.DUMMYFUNCTION("""COMPUTED_VALUE"""),"chara_osh_00601")</f>
        <v>chara_osh_00601</v>
      </c>
      <c r="E834" s="139">
        <f>IFERROR(__xludf.DUMMYFUNCTION("""COMPUTED_VALUE"""),4.0)</f>
        <v>4</v>
      </c>
      <c r="F834" s="139" t="str">
        <f>IFERROR(__xludf.DUMMYFUNCTION("""COMPUTED_VALUE"""),"Special")</f>
        <v>Special</v>
      </c>
      <c r="G834" s="139"/>
      <c r="H834" s="139"/>
      <c r="I834" s="139">
        <f>IFERROR(__xludf.DUMMYFUNCTION("""COMPUTED_VALUE"""),95.0)</f>
        <v>95</v>
      </c>
      <c r="J834" s="139">
        <f>IFERROR(__xludf.DUMMYFUNCTION("""COMPUTED_VALUE"""),0.0)</f>
        <v>0</v>
      </c>
      <c r="K834" s="139">
        <f>IFERROR(__xludf.DUMMYFUNCTION("""COMPUTED_VALUE"""),0.0)</f>
        <v>0</v>
      </c>
      <c r="L834" s="139"/>
      <c r="M834" s="139" t="str">
        <f>IFERROR(__xludf.DUMMYFUNCTION("""COMPUTED_VALUE"""),"敵単体に最大4回の連続攻撃(自身の攻撃ステータスの最大166%ダメージ) + 4回目の攻撃がヒットした場合、敵を小ノックバック")</f>
        <v>敵単体に最大4回の連続攻撃(自身の攻撃ステータスの最大166%ダメージ) + 4回目の攻撃がヒットした場合、敵を小ノックバック</v>
      </c>
      <c r="N834" s="139" t="str">
        <f>IFERROR(__xludf.DUMMYFUNCTION("""COMPUTED_VALUE"""),"ステータスUP + 必殺ワザ性能UP")</f>
        <v>ステータスUP + 必殺ワザ性能UP</v>
      </c>
    </row>
    <row r="835">
      <c r="A835" s="139" t="str">
        <f>IFERROR(__xludf.DUMMYFUNCTION("""COMPUTED_VALUE"""),"e")</f>
        <v>e</v>
      </c>
      <c r="B835" s="139">
        <f>IFERROR(__xludf.DUMMYFUNCTION("""COMPUTED_VALUE"""),2.0251202E8)</f>
        <v>202512020</v>
      </c>
      <c r="C835" s="139" t="str">
        <f>IFERROR(__xludf.DUMMYFUNCTION("""COMPUTED_VALUE"""),"chara_osh_00601_Special_00005")</f>
        <v>chara_osh_00601_Special_00005</v>
      </c>
      <c r="D835" s="139" t="str">
        <f>IFERROR(__xludf.DUMMYFUNCTION("""COMPUTED_VALUE"""),"chara_osh_00601")</f>
        <v>chara_osh_00601</v>
      </c>
      <c r="E835" s="139">
        <f>IFERROR(__xludf.DUMMYFUNCTION("""COMPUTED_VALUE"""),5.0)</f>
        <v>5</v>
      </c>
      <c r="F835" s="139" t="str">
        <f>IFERROR(__xludf.DUMMYFUNCTION("""COMPUTED_VALUE"""),"Special")</f>
        <v>Special</v>
      </c>
      <c r="G835" s="139"/>
      <c r="H835" s="139"/>
      <c r="I835" s="139">
        <f>IFERROR(__xludf.DUMMYFUNCTION("""COMPUTED_VALUE"""),95.0)</f>
        <v>95</v>
      </c>
      <c r="J835" s="139">
        <f>IFERROR(__xludf.DUMMYFUNCTION("""COMPUTED_VALUE"""),0.0)</f>
        <v>0</v>
      </c>
      <c r="K835" s="139">
        <f>IFERROR(__xludf.DUMMYFUNCTION("""COMPUTED_VALUE"""),0.0)</f>
        <v>0</v>
      </c>
      <c r="L835" s="139"/>
      <c r="M835" s="139" t="str">
        <f>IFERROR(__xludf.DUMMYFUNCTION("""COMPUTED_VALUE"""),"敵単体に最大4回の連続攻撃(自身の攻撃ステータスの最大173%ダメージ) + 4回目の攻撃がヒットした場合、敵を小ノックバック")</f>
        <v>敵単体に最大4回の連続攻撃(自身の攻撃ステータスの最大173%ダメージ) + 4回目の攻撃がヒットした場合、敵を小ノックバック</v>
      </c>
      <c r="N835" s="139" t="str">
        <f>IFERROR(__xludf.DUMMYFUNCTION("""COMPUTED_VALUE"""),"ステータスUP + 必殺ワザ性能UP")</f>
        <v>ステータスUP + 必殺ワザ性能UP</v>
      </c>
    </row>
    <row r="836">
      <c r="A836" s="139"/>
      <c r="B836" s="139"/>
      <c r="C836" s="139" t="str">
        <f>IFERROR(__xludf.DUMMYFUNCTION("""COMPUTED_VALUE"""),"chara_osh_00601_Special_00006")</f>
        <v>chara_osh_00601_Special_00006</v>
      </c>
      <c r="D836" s="139" t="str">
        <f>IFERROR(__xludf.DUMMYFUNCTION("""COMPUTED_VALUE"""),"chara_osh_00601")</f>
        <v>chara_osh_00601</v>
      </c>
      <c r="E836" s="139">
        <f>IFERROR(__xludf.DUMMYFUNCTION("""COMPUTED_VALUE"""),6.0)</f>
        <v>6</v>
      </c>
      <c r="F836" s="139" t="str">
        <f>IFERROR(__xludf.DUMMYFUNCTION("""COMPUTED_VALUE"""),"Special")</f>
        <v>Special</v>
      </c>
      <c r="G836" s="139"/>
      <c r="H836" s="139"/>
      <c r="I836" s="139">
        <f>IFERROR(__xludf.DUMMYFUNCTION("""COMPUTED_VALUE"""),95.0)</f>
        <v>95</v>
      </c>
      <c r="J836" s="139">
        <f>IFERROR(__xludf.DUMMYFUNCTION("""COMPUTED_VALUE"""),0.0)</f>
        <v>0</v>
      </c>
      <c r="K836" s="139">
        <f>IFERROR(__xludf.DUMMYFUNCTION("""COMPUTED_VALUE"""),0.0)</f>
        <v>0</v>
      </c>
      <c r="L836" s="139"/>
      <c r="M836" s="139"/>
      <c r="N836" s="139"/>
    </row>
    <row r="837">
      <c r="A837" s="139"/>
      <c r="B837" s="139"/>
      <c r="C837" s="139" t="str">
        <f>IFERROR(__xludf.DUMMYFUNCTION("""COMPUTED_VALUE"""),"chara_osh_00601_Special_00007")</f>
        <v>chara_osh_00601_Special_00007</v>
      </c>
      <c r="D837" s="139" t="str">
        <f>IFERROR(__xludf.DUMMYFUNCTION("""COMPUTED_VALUE"""),"chara_osh_00601")</f>
        <v>chara_osh_00601</v>
      </c>
      <c r="E837" s="139">
        <f>IFERROR(__xludf.DUMMYFUNCTION("""COMPUTED_VALUE"""),7.0)</f>
        <v>7</v>
      </c>
      <c r="F837" s="139" t="str">
        <f>IFERROR(__xludf.DUMMYFUNCTION("""COMPUTED_VALUE"""),"Special")</f>
        <v>Special</v>
      </c>
      <c r="G837" s="139"/>
      <c r="H837" s="139"/>
      <c r="I837" s="139">
        <f>IFERROR(__xludf.DUMMYFUNCTION("""COMPUTED_VALUE"""),95.0)</f>
        <v>95</v>
      </c>
      <c r="J837" s="139">
        <f>IFERROR(__xludf.DUMMYFUNCTION("""COMPUTED_VALUE"""),0.0)</f>
        <v>0</v>
      </c>
      <c r="K837" s="139">
        <f>IFERROR(__xludf.DUMMYFUNCTION("""COMPUTED_VALUE"""),0.0)</f>
        <v>0</v>
      </c>
      <c r="L837" s="139"/>
      <c r="M837" s="139"/>
      <c r="N837" s="139"/>
    </row>
    <row r="838">
      <c r="A838" s="139"/>
      <c r="B838" s="139"/>
      <c r="C838" s="139" t="str">
        <f>IFERROR(__xludf.DUMMYFUNCTION("""COMPUTED_VALUE"""),"chara_osh_00601_Special_00008")</f>
        <v>chara_osh_00601_Special_00008</v>
      </c>
      <c r="D838" s="139" t="str">
        <f>IFERROR(__xludf.DUMMYFUNCTION("""COMPUTED_VALUE"""),"chara_osh_00601")</f>
        <v>chara_osh_00601</v>
      </c>
      <c r="E838" s="139">
        <f>IFERROR(__xludf.DUMMYFUNCTION("""COMPUTED_VALUE"""),8.0)</f>
        <v>8</v>
      </c>
      <c r="F838" s="139" t="str">
        <f>IFERROR(__xludf.DUMMYFUNCTION("""COMPUTED_VALUE"""),"Special")</f>
        <v>Special</v>
      </c>
      <c r="G838" s="139"/>
      <c r="H838" s="139"/>
      <c r="I838" s="139">
        <f>IFERROR(__xludf.DUMMYFUNCTION("""COMPUTED_VALUE"""),95.0)</f>
        <v>95</v>
      </c>
      <c r="J838" s="139">
        <f>IFERROR(__xludf.DUMMYFUNCTION("""COMPUTED_VALUE"""),0.0)</f>
        <v>0</v>
      </c>
      <c r="K838" s="139">
        <f>IFERROR(__xludf.DUMMYFUNCTION("""COMPUTED_VALUE"""),0.0)</f>
        <v>0</v>
      </c>
      <c r="L838" s="139"/>
      <c r="M838" s="139"/>
      <c r="N838" s="139"/>
    </row>
    <row r="839">
      <c r="A839" s="139"/>
      <c r="B839" s="139"/>
      <c r="C839" s="139" t="str">
        <f>IFERROR(__xludf.DUMMYFUNCTION("""COMPUTED_VALUE"""),"chara_osh_00601_Special_00009")</f>
        <v>chara_osh_00601_Special_00009</v>
      </c>
      <c r="D839" s="139" t="str">
        <f>IFERROR(__xludf.DUMMYFUNCTION("""COMPUTED_VALUE"""),"chara_osh_00601")</f>
        <v>chara_osh_00601</v>
      </c>
      <c r="E839" s="139">
        <f>IFERROR(__xludf.DUMMYFUNCTION("""COMPUTED_VALUE"""),9.0)</f>
        <v>9</v>
      </c>
      <c r="F839" s="139" t="str">
        <f>IFERROR(__xludf.DUMMYFUNCTION("""COMPUTED_VALUE"""),"Special")</f>
        <v>Special</v>
      </c>
      <c r="G839" s="139"/>
      <c r="H839" s="139"/>
      <c r="I839" s="139">
        <f>IFERROR(__xludf.DUMMYFUNCTION("""COMPUTED_VALUE"""),95.0)</f>
        <v>95</v>
      </c>
      <c r="J839" s="139">
        <f>IFERROR(__xludf.DUMMYFUNCTION("""COMPUTED_VALUE"""),0.0)</f>
        <v>0</v>
      </c>
      <c r="K839" s="139">
        <f>IFERROR(__xludf.DUMMYFUNCTION("""COMPUTED_VALUE"""),0.0)</f>
        <v>0</v>
      </c>
      <c r="L839" s="139"/>
      <c r="M839" s="139"/>
      <c r="N839" s="139"/>
    </row>
    <row r="840">
      <c r="A840" s="139"/>
      <c r="B840" s="139"/>
      <c r="C840" s="139" t="str">
        <f>IFERROR(__xludf.DUMMYFUNCTION("""COMPUTED_VALUE"""),"chara_osh_00601_Special_00010")</f>
        <v>chara_osh_00601_Special_00010</v>
      </c>
      <c r="D840" s="139" t="str">
        <f>IFERROR(__xludf.DUMMYFUNCTION("""COMPUTED_VALUE"""),"chara_osh_00601")</f>
        <v>chara_osh_00601</v>
      </c>
      <c r="E840" s="139">
        <f>IFERROR(__xludf.DUMMYFUNCTION("""COMPUTED_VALUE"""),10.0)</f>
        <v>10</v>
      </c>
      <c r="F840" s="139" t="str">
        <f>IFERROR(__xludf.DUMMYFUNCTION("""COMPUTED_VALUE"""),"Special")</f>
        <v>Special</v>
      </c>
      <c r="G840" s="139"/>
      <c r="H840" s="139"/>
      <c r="I840" s="139">
        <f>IFERROR(__xludf.DUMMYFUNCTION("""COMPUTED_VALUE"""),95.0)</f>
        <v>95</v>
      </c>
      <c r="J840" s="139">
        <f>IFERROR(__xludf.DUMMYFUNCTION("""COMPUTED_VALUE"""),0.0)</f>
        <v>0</v>
      </c>
      <c r="K840" s="139">
        <f>IFERROR(__xludf.DUMMYFUNCTION("""COMPUTED_VALUE"""),0.0)</f>
        <v>0</v>
      </c>
      <c r="L840" s="139"/>
      <c r="M840" s="139"/>
      <c r="N840" s="139"/>
    </row>
    <row r="841">
      <c r="A841" s="139" t="str">
        <f>IFERROR(__xludf.DUMMYFUNCTION("""COMPUTED_VALUE"""),"e")</f>
        <v>e</v>
      </c>
      <c r="B841" s="139">
        <f>IFERROR(__xludf.DUMMYFUNCTION("""COMPUTED_VALUE"""),2.0260101E8)</f>
        <v>202601010</v>
      </c>
      <c r="C841" s="139" t="str">
        <f>IFERROR(__xludf.DUMMYFUNCTION("""COMPUTED_VALUE"""),"chara_jig_00701_Normal_00000")</f>
        <v>chara_jig_00701_Normal_00000</v>
      </c>
      <c r="D841" s="139" t="str">
        <f>IFERROR(__xludf.DUMMYFUNCTION("""COMPUTED_VALUE"""),"chara_jig_00701")</f>
        <v>chara_jig_00701</v>
      </c>
      <c r="E841" s="139">
        <f>IFERROR(__xludf.DUMMYFUNCTION("""COMPUTED_VALUE"""),0.0)</f>
        <v>0</v>
      </c>
      <c r="F841" s="139" t="str">
        <f>IFERROR(__xludf.DUMMYFUNCTION("""COMPUTED_VALUE"""),"Normal")</f>
        <v>Normal</v>
      </c>
      <c r="G841" s="139"/>
      <c r="H841" s="139"/>
      <c r="I841" s="139">
        <f>IFERROR(__xludf.DUMMYFUNCTION("""COMPUTED_VALUE"""),0.0)</f>
        <v>0</v>
      </c>
      <c r="J841" s="139">
        <f>IFERROR(__xludf.DUMMYFUNCTION("""COMPUTED_VALUE"""),0.0)</f>
        <v>0</v>
      </c>
      <c r="K841" s="139">
        <f>IFERROR(__xludf.DUMMYFUNCTION("""COMPUTED_VALUE"""),0.0)</f>
        <v>0</v>
      </c>
      <c r="L841" s="139"/>
      <c r="M841" s="139"/>
      <c r="N841" s="139"/>
    </row>
    <row r="842">
      <c r="A842" s="139" t="str">
        <f>IFERROR(__xludf.DUMMYFUNCTION("""COMPUTED_VALUE"""),"e")</f>
        <v>e</v>
      </c>
      <c r="B842" s="139">
        <f>IFERROR(__xludf.DUMMYFUNCTION("""COMPUTED_VALUE"""),2.0260101E8)</f>
        <v>202601010</v>
      </c>
      <c r="C842" s="139" t="str">
        <f>IFERROR(__xludf.DUMMYFUNCTION("""COMPUTED_VALUE"""),"chara_jig_00701_Special_00001")</f>
        <v>chara_jig_00701_Special_00001</v>
      </c>
      <c r="D842" s="139" t="str">
        <f>IFERROR(__xludf.DUMMYFUNCTION("""COMPUTED_VALUE"""),"chara_jig_00701")</f>
        <v>chara_jig_00701</v>
      </c>
      <c r="E842" s="139">
        <f>IFERROR(__xludf.DUMMYFUNCTION("""COMPUTED_VALUE"""),1.0)</f>
        <v>1</v>
      </c>
      <c r="F842" s="139" t="str">
        <f>IFERROR(__xludf.DUMMYFUNCTION("""COMPUTED_VALUE"""),"Special")</f>
        <v>Special</v>
      </c>
      <c r="G842" s="139"/>
      <c r="H842" s="139"/>
      <c r="I842" s="139">
        <f>IFERROR(__xludf.DUMMYFUNCTION("""COMPUTED_VALUE"""),120.0)</f>
        <v>120</v>
      </c>
      <c r="J842" s="139">
        <f>IFERROR(__xludf.DUMMYFUNCTION("""COMPUTED_VALUE"""),0.0)</f>
        <v>0</v>
      </c>
      <c r="K842" s="139">
        <f>IFERROR(__xludf.DUMMYFUNCTION("""COMPUTED_VALUE"""),0.0)</f>
        <v>0</v>
      </c>
      <c r="L842" s="139"/>
      <c r="M842" s="139" t="str">
        <f>IFERROR(__xludf.DUMMYFUNCTION("""COMPUTED_VALUE"""),"選択したコマにいる味方の体力を{chara_jig_00701_Special_00001_power_parameter}%回復 ")</f>
        <v>選択したコマにいる味方の体力を{chara_jig_00701_Special_00001_power_parameter}%回復 </v>
      </c>
      <c r="N842" s="139"/>
    </row>
    <row r="843">
      <c r="A843" s="139" t="str">
        <f>IFERROR(__xludf.DUMMYFUNCTION("""COMPUTED_VALUE"""),"e")</f>
        <v>e</v>
      </c>
      <c r="B843" s="139">
        <f>IFERROR(__xludf.DUMMYFUNCTION("""COMPUTED_VALUE"""),2.0260101E8)</f>
        <v>202601010</v>
      </c>
      <c r="C843" s="139" t="str">
        <f>IFERROR(__xludf.DUMMYFUNCTION("""COMPUTED_VALUE"""),"chara_jig_00701_Special_00002")</f>
        <v>chara_jig_00701_Special_00002</v>
      </c>
      <c r="D843" s="139" t="str">
        <f>IFERROR(__xludf.DUMMYFUNCTION("""COMPUTED_VALUE"""),"chara_jig_00701")</f>
        <v>chara_jig_00701</v>
      </c>
      <c r="E843" s="139">
        <f>IFERROR(__xludf.DUMMYFUNCTION("""COMPUTED_VALUE"""),2.0)</f>
        <v>2</v>
      </c>
      <c r="F843" s="139" t="str">
        <f>IFERROR(__xludf.DUMMYFUNCTION("""COMPUTED_VALUE"""),"Special")</f>
        <v>Special</v>
      </c>
      <c r="G843" s="139"/>
      <c r="H843" s="139"/>
      <c r="I843" s="139">
        <f>IFERROR(__xludf.DUMMYFUNCTION("""COMPUTED_VALUE"""),120.0)</f>
        <v>120</v>
      </c>
      <c r="J843" s="139">
        <f>IFERROR(__xludf.DUMMYFUNCTION("""COMPUTED_VALUE"""),0.0)</f>
        <v>0</v>
      </c>
      <c r="K843" s="139">
        <f>IFERROR(__xludf.DUMMYFUNCTION("""COMPUTED_VALUE"""),0.0)</f>
        <v>0</v>
      </c>
      <c r="L843" s="139"/>
      <c r="M843" s="139" t="str">
        <f>IFERROR(__xludf.DUMMYFUNCTION("""COMPUTED_VALUE"""),"選択したコマにいる味方の体力を{chara_jig_00701_Special_00002_power_parameter}%回復 ")</f>
        <v>選択したコマにいる味方の体力を{chara_jig_00701_Special_00002_power_parameter}%回復 </v>
      </c>
      <c r="N843" s="139" t="str">
        <f>IFERROR(__xludf.DUMMYFUNCTION("""COMPUTED_VALUE"""),"必殺ワザ性能UP")</f>
        <v>必殺ワザ性能UP</v>
      </c>
    </row>
    <row r="844">
      <c r="A844" s="139" t="str">
        <f>IFERROR(__xludf.DUMMYFUNCTION("""COMPUTED_VALUE"""),"e")</f>
        <v>e</v>
      </c>
      <c r="B844" s="139">
        <f>IFERROR(__xludf.DUMMYFUNCTION("""COMPUTED_VALUE"""),2.0260101E8)</f>
        <v>202601010</v>
      </c>
      <c r="C844" s="139" t="str">
        <f>IFERROR(__xludf.DUMMYFUNCTION("""COMPUTED_VALUE"""),"chara_jig_00701_Special_00003")</f>
        <v>chara_jig_00701_Special_00003</v>
      </c>
      <c r="D844" s="139" t="str">
        <f>IFERROR(__xludf.DUMMYFUNCTION("""COMPUTED_VALUE"""),"chara_jig_00701")</f>
        <v>chara_jig_00701</v>
      </c>
      <c r="E844" s="139">
        <f>IFERROR(__xludf.DUMMYFUNCTION("""COMPUTED_VALUE"""),3.0)</f>
        <v>3</v>
      </c>
      <c r="F844" s="139" t="str">
        <f>IFERROR(__xludf.DUMMYFUNCTION("""COMPUTED_VALUE"""),"Special")</f>
        <v>Special</v>
      </c>
      <c r="G844" s="139"/>
      <c r="H844" s="139"/>
      <c r="I844" s="139">
        <f>IFERROR(__xludf.DUMMYFUNCTION("""COMPUTED_VALUE"""),120.0)</f>
        <v>120</v>
      </c>
      <c r="J844" s="139">
        <f>IFERROR(__xludf.DUMMYFUNCTION("""COMPUTED_VALUE"""),0.0)</f>
        <v>0</v>
      </c>
      <c r="K844" s="139">
        <f>IFERROR(__xludf.DUMMYFUNCTION("""COMPUTED_VALUE"""),0.0)</f>
        <v>0</v>
      </c>
      <c r="L844" s="139"/>
      <c r="M844" s="139" t="str">
        <f>IFERROR(__xludf.DUMMYFUNCTION("""COMPUTED_VALUE"""),"選択したコマにいる味方の体力を{chara_jig_00701_Special_00003_power_parameter}%回復 ")</f>
        <v>選択したコマにいる味方の体力を{chara_jig_00701_Special_00003_power_parameter}%回復 </v>
      </c>
      <c r="N844" s="139" t="str">
        <f>IFERROR(__xludf.DUMMYFUNCTION("""COMPUTED_VALUE"""),"必殺ワザ性能UP")</f>
        <v>必殺ワザ性能UP</v>
      </c>
    </row>
    <row r="845">
      <c r="A845" s="139" t="str">
        <f>IFERROR(__xludf.DUMMYFUNCTION("""COMPUTED_VALUE"""),"e")</f>
        <v>e</v>
      </c>
      <c r="B845" s="139">
        <f>IFERROR(__xludf.DUMMYFUNCTION("""COMPUTED_VALUE"""),2.0260101E8)</f>
        <v>202601010</v>
      </c>
      <c r="C845" s="139" t="str">
        <f>IFERROR(__xludf.DUMMYFUNCTION("""COMPUTED_VALUE"""),"chara_jig_00701_Special_00004")</f>
        <v>chara_jig_00701_Special_00004</v>
      </c>
      <c r="D845" s="139" t="str">
        <f>IFERROR(__xludf.DUMMYFUNCTION("""COMPUTED_VALUE"""),"chara_jig_00701")</f>
        <v>chara_jig_00701</v>
      </c>
      <c r="E845" s="139">
        <f>IFERROR(__xludf.DUMMYFUNCTION("""COMPUTED_VALUE"""),4.0)</f>
        <v>4</v>
      </c>
      <c r="F845" s="139" t="str">
        <f>IFERROR(__xludf.DUMMYFUNCTION("""COMPUTED_VALUE"""),"Special")</f>
        <v>Special</v>
      </c>
      <c r="G845" s="139"/>
      <c r="H845" s="139"/>
      <c r="I845" s="139">
        <f>IFERROR(__xludf.DUMMYFUNCTION("""COMPUTED_VALUE"""),120.0)</f>
        <v>120</v>
      </c>
      <c r="J845" s="139">
        <f>IFERROR(__xludf.DUMMYFUNCTION("""COMPUTED_VALUE"""),0.0)</f>
        <v>0</v>
      </c>
      <c r="K845" s="139">
        <f>IFERROR(__xludf.DUMMYFUNCTION("""COMPUTED_VALUE"""),0.0)</f>
        <v>0</v>
      </c>
      <c r="L845" s="139"/>
      <c r="M845" s="139" t="str">
        <f>IFERROR(__xludf.DUMMYFUNCTION("""COMPUTED_VALUE"""),"選択したコマにいる味方の体力を{chara_jig_00701_Special_00004_power_parameter}%回復 ")</f>
        <v>選択したコマにいる味方の体力を{chara_jig_00701_Special_00004_power_parameter}%回復 </v>
      </c>
      <c r="N845" s="139" t="str">
        <f>IFERROR(__xludf.DUMMYFUNCTION("""COMPUTED_VALUE"""),"必殺ワザ性能UP")</f>
        <v>必殺ワザ性能UP</v>
      </c>
    </row>
    <row r="846">
      <c r="A846" s="139" t="str">
        <f>IFERROR(__xludf.DUMMYFUNCTION("""COMPUTED_VALUE"""),"e")</f>
        <v>e</v>
      </c>
      <c r="B846" s="139">
        <f>IFERROR(__xludf.DUMMYFUNCTION("""COMPUTED_VALUE"""),2.0260101E8)</f>
        <v>202601010</v>
      </c>
      <c r="C846" s="139" t="str">
        <f>IFERROR(__xludf.DUMMYFUNCTION("""COMPUTED_VALUE"""),"chara_jig_00701_Special_00005")</f>
        <v>chara_jig_00701_Special_00005</v>
      </c>
      <c r="D846" s="139" t="str">
        <f>IFERROR(__xludf.DUMMYFUNCTION("""COMPUTED_VALUE"""),"chara_jig_00701")</f>
        <v>chara_jig_00701</v>
      </c>
      <c r="E846" s="139">
        <f>IFERROR(__xludf.DUMMYFUNCTION("""COMPUTED_VALUE"""),5.0)</f>
        <v>5</v>
      </c>
      <c r="F846" s="139" t="str">
        <f>IFERROR(__xludf.DUMMYFUNCTION("""COMPUTED_VALUE"""),"Special")</f>
        <v>Special</v>
      </c>
      <c r="G846" s="139"/>
      <c r="H846" s="139"/>
      <c r="I846" s="139">
        <f>IFERROR(__xludf.DUMMYFUNCTION("""COMPUTED_VALUE"""),120.0)</f>
        <v>120</v>
      </c>
      <c r="J846" s="139">
        <f>IFERROR(__xludf.DUMMYFUNCTION("""COMPUTED_VALUE"""),0.0)</f>
        <v>0</v>
      </c>
      <c r="K846" s="139">
        <f>IFERROR(__xludf.DUMMYFUNCTION("""COMPUTED_VALUE"""),0.0)</f>
        <v>0</v>
      </c>
      <c r="L846" s="139"/>
      <c r="M846" s="139" t="str">
        <f>IFERROR(__xludf.DUMMYFUNCTION("""COMPUTED_VALUE"""),"選択したコマにいる味方の体力を{chara_jig_00701_Special_00005_power_parameter}%回復 ")</f>
        <v>選択したコマにいる味方の体力を{chara_jig_00701_Special_00005_power_parameter}%回復 </v>
      </c>
      <c r="N846" s="139" t="str">
        <f>IFERROR(__xludf.DUMMYFUNCTION("""COMPUTED_VALUE"""),"必殺ワザ性能UP")</f>
        <v>必殺ワザ性能UP</v>
      </c>
    </row>
    <row r="847">
      <c r="A847" s="139"/>
      <c r="B847" s="139"/>
      <c r="C847" s="139" t="str">
        <f>IFERROR(__xludf.DUMMYFUNCTION("""COMPUTED_VALUE"""),"chara_jig_00701_Special_00006")</f>
        <v>chara_jig_00701_Special_00006</v>
      </c>
      <c r="D847" s="139" t="str">
        <f>IFERROR(__xludf.DUMMYFUNCTION("""COMPUTED_VALUE"""),"chara_jig_00701")</f>
        <v>chara_jig_00701</v>
      </c>
      <c r="E847" s="139">
        <f>IFERROR(__xludf.DUMMYFUNCTION("""COMPUTED_VALUE"""),6.0)</f>
        <v>6</v>
      </c>
      <c r="F847" s="139" t="str">
        <f>IFERROR(__xludf.DUMMYFUNCTION("""COMPUTED_VALUE"""),"Special")</f>
        <v>Special</v>
      </c>
      <c r="G847" s="139"/>
      <c r="H847" s="139"/>
      <c r="I847" s="139">
        <f>IFERROR(__xludf.DUMMYFUNCTION("""COMPUTED_VALUE"""),120.0)</f>
        <v>120</v>
      </c>
      <c r="J847" s="139">
        <f>IFERROR(__xludf.DUMMYFUNCTION("""COMPUTED_VALUE"""),50.0)</f>
        <v>50</v>
      </c>
      <c r="K847" s="139">
        <f>IFERROR(__xludf.DUMMYFUNCTION("""COMPUTED_VALUE"""),0.0)</f>
        <v>0</v>
      </c>
      <c r="L847" s="139"/>
      <c r="M847" s="139"/>
      <c r="N847" s="139"/>
    </row>
    <row r="848">
      <c r="A848" s="139"/>
      <c r="B848" s="139"/>
      <c r="C848" s="139" t="str">
        <f>IFERROR(__xludf.DUMMYFUNCTION("""COMPUTED_VALUE"""),"chara_jig_00701_Special_00007")</f>
        <v>chara_jig_00701_Special_00007</v>
      </c>
      <c r="D848" s="139" t="str">
        <f>IFERROR(__xludf.DUMMYFUNCTION("""COMPUTED_VALUE"""),"chara_jig_00701")</f>
        <v>chara_jig_00701</v>
      </c>
      <c r="E848" s="139">
        <f>IFERROR(__xludf.DUMMYFUNCTION("""COMPUTED_VALUE"""),7.0)</f>
        <v>7</v>
      </c>
      <c r="F848" s="139" t="str">
        <f>IFERROR(__xludf.DUMMYFUNCTION("""COMPUTED_VALUE"""),"Special")</f>
        <v>Special</v>
      </c>
      <c r="G848" s="139"/>
      <c r="H848" s="139"/>
      <c r="I848" s="139">
        <f>IFERROR(__xludf.DUMMYFUNCTION("""COMPUTED_VALUE"""),120.0)</f>
        <v>120</v>
      </c>
      <c r="J848" s="139">
        <f>IFERROR(__xludf.DUMMYFUNCTION("""COMPUTED_VALUE"""),50.0)</f>
        <v>50</v>
      </c>
      <c r="K848" s="139">
        <f>IFERROR(__xludf.DUMMYFUNCTION("""COMPUTED_VALUE"""),0.0)</f>
        <v>0</v>
      </c>
      <c r="L848" s="139"/>
      <c r="M848" s="139"/>
      <c r="N848" s="139"/>
    </row>
    <row r="849">
      <c r="A849" s="139"/>
      <c r="B849" s="139"/>
      <c r="C849" s="139" t="str">
        <f>IFERROR(__xludf.DUMMYFUNCTION("""COMPUTED_VALUE"""),"chara_jig_00701_Special_00008")</f>
        <v>chara_jig_00701_Special_00008</v>
      </c>
      <c r="D849" s="139" t="str">
        <f>IFERROR(__xludf.DUMMYFUNCTION("""COMPUTED_VALUE"""),"chara_jig_00701")</f>
        <v>chara_jig_00701</v>
      </c>
      <c r="E849" s="139">
        <f>IFERROR(__xludf.DUMMYFUNCTION("""COMPUTED_VALUE"""),8.0)</f>
        <v>8</v>
      </c>
      <c r="F849" s="139" t="str">
        <f>IFERROR(__xludf.DUMMYFUNCTION("""COMPUTED_VALUE"""),"Special")</f>
        <v>Special</v>
      </c>
      <c r="G849" s="139"/>
      <c r="H849" s="139"/>
      <c r="I849" s="139">
        <f>IFERROR(__xludf.DUMMYFUNCTION("""COMPUTED_VALUE"""),120.0)</f>
        <v>120</v>
      </c>
      <c r="J849" s="139">
        <f>IFERROR(__xludf.DUMMYFUNCTION("""COMPUTED_VALUE"""),50.0)</f>
        <v>50</v>
      </c>
      <c r="K849" s="139">
        <f>IFERROR(__xludf.DUMMYFUNCTION("""COMPUTED_VALUE"""),0.0)</f>
        <v>0</v>
      </c>
      <c r="L849" s="139"/>
      <c r="M849" s="139"/>
      <c r="N849" s="139"/>
    </row>
    <row r="850">
      <c r="A850" s="139"/>
      <c r="B850" s="139"/>
      <c r="C850" s="139" t="str">
        <f>IFERROR(__xludf.DUMMYFUNCTION("""COMPUTED_VALUE"""),"chara_jig_00701_Special_00009")</f>
        <v>chara_jig_00701_Special_00009</v>
      </c>
      <c r="D850" s="139" t="str">
        <f>IFERROR(__xludf.DUMMYFUNCTION("""COMPUTED_VALUE"""),"chara_jig_00701")</f>
        <v>chara_jig_00701</v>
      </c>
      <c r="E850" s="139">
        <f>IFERROR(__xludf.DUMMYFUNCTION("""COMPUTED_VALUE"""),9.0)</f>
        <v>9</v>
      </c>
      <c r="F850" s="139" t="str">
        <f>IFERROR(__xludf.DUMMYFUNCTION("""COMPUTED_VALUE"""),"Special")</f>
        <v>Special</v>
      </c>
      <c r="G850" s="139"/>
      <c r="H850" s="139"/>
      <c r="I850" s="139">
        <f>IFERROR(__xludf.DUMMYFUNCTION("""COMPUTED_VALUE"""),120.0)</f>
        <v>120</v>
      </c>
      <c r="J850" s="139">
        <f>IFERROR(__xludf.DUMMYFUNCTION("""COMPUTED_VALUE"""),50.0)</f>
        <v>50</v>
      </c>
      <c r="K850" s="139">
        <f>IFERROR(__xludf.DUMMYFUNCTION("""COMPUTED_VALUE"""),0.0)</f>
        <v>0</v>
      </c>
      <c r="L850" s="139"/>
      <c r="M850" s="139"/>
      <c r="N850" s="139"/>
    </row>
    <row r="851">
      <c r="A851" s="139"/>
      <c r="B851" s="139"/>
      <c r="C851" s="139" t="str">
        <f>IFERROR(__xludf.DUMMYFUNCTION("""COMPUTED_VALUE"""),"chara_jig_00701_Special_00010")</f>
        <v>chara_jig_00701_Special_00010</v>
      </c>
      <c r="D851" s="139" t="str">
        <f>IFERROR(__xludf.DUMMYFUNCTION("""COMPUTED_VALUE"""),"chara_jig_00701")</f>
        <v>chara_jig_00701</v>
      </c>
      <c r="E851" s="139">
        <f>IFERROR(__xludf.DUMMYFUNCTION("""COMPUTED_VALUE"""),10.0)</f>
        <v>10</v>
      </c>
      <c r="F851" s="139" t="str">
        <f>IFERROR(__xludf.DUMMYFUNCTION("""COMPUTED_VALUE"""),"Special")</f>
        <v>Special</v>
      </c>
      <c r="G851" s="139"/>
      <c r="H851" s="139"/>
      <c r="I851" s="139">
        <f>IFERROR(__xludf.DUMMYFUNCTION("""COMPUTED_VALUE"""),120.0)</f>
        <v>120</v>
      </c>
      <c r="J851" s="139">
        <f>IFERROR(__xludf.DUMMYFUNCTION("""COMPUTED_VALUE"""),50.0)</f>
        <v>50</v>
      </c>
      <c r="K851" s="139">
        <f>IFERROR(__xludf.DUMMYFUNCTION("""COMPUTED_VALUE"""),0.0)</f>
        <v>0</v>
      </c>
      <c r="L851" s="139"/>
      <c r="M851" s="139"/>
      <c r="N851" s="139"/>
    </row>
    <row r="852">
      <c r="A852" s="139" t="str">
        <f>IFERROR(__xludf.DUMMYFUNCTION("""COMPUTED_VALUE"""),"e")</f>
        <v>e</v>
      </c>
      <c r="B852" s="139">
        <f>IFERROR(__xludf.DUMMYFUNCTION("""COMPUTED_VALUE"""),2.0260101E8)</f>
        <v>202601010</v>
      </c>
      <c r="C852" s="139" t="str">
        <f>IFERROR(__xludf.DUMMYFUNCTION("""COMPUTED_VALUE"""),"chara_jig_00401_Normal_00000")</f>
        <v>chara_jig_00401_Normal_00000</v>
      </c>
      <c r="D852" s="139" t="str">
        <f>IFERROR(__xludf.DUMMYFUNCTION("""COMPUTED_VALUE"""),"chara_jig_00401")</f>
        <v>chara_jig_00401</v>
      </c>
      <c r="E852" s="139">
        <f>IFERROR(__xludf.DUMMYFUNCTION("""COMPUTED_VALUE"""),0.0)</f>
        <v>0</v>
      </c>
      <c r="F852" s="139" t="str">
        <f>IFERROR(__xludf.DUMMYFUNCTION("""COMPUTED_VALUE"""),"Normal")</f>
        <v>Normal</v>
      </c>
      <c r="G852" s="139"/>
      <c r="H852" s="139"/>
      <c r="I852" s="139">
        <f>IFERROR(__xludf.DUMMYFUNCTION("""COMPUTED_VALUE"""),84.0)</f>
        <v>84</v>
      </c>
      <c r="J852" s="139">
        <f>IFERROR(__xludf.DUMMYFUNCTION("""COMPUTED_VALUE"""),25.0)</f>
        <v>25</v>
      </c>
      <c r="K852" s="139">
        <f>IFERROR(__xludf.DUMMYFUNCTION("""COMPUTED_VALUE"""),50.0)</f>
        <v>50</v>
      </c>
      <c r="L852" s="139"/>
      <c r="M852" s="139"/>
      <c r="N852" s="139"/>
    </row>
    <row r="853">
      <c r="A853" s="139" t="str">
        <f>IFERROR(__xludf.DUMMYFUNCTION("""COMPUTED_VALUE"""),"e")</f>
        <v>e</v>
      </c>
      <c r="B853" s="139">
        <f>IFERROR(__xludf.DUMMYFUNCTION("""COMPUTED_VALUE"""),2.0260101E8)</f>
        <v>202601010</v>
      </c>
      <c r="C853" s="139" t="str">
        <f>IFERROR(__xludf.DUMMYFUNCTION("""COMPUTED_VALUE"""),"chara_jig_00401_Special_00001")</f>
        <v>chara_jig_00401_Special_00001</v>
      </c>
      <c r="D853" s="139" t="str">
        <f>IFERROR(__xludf.DUMMYFUNCTION("""COMPUTED_VALUE"""),"chara_jig_00401")</f>
        <v>chara_jig_00401</v>
      </c>
      <c r="E853" s="139">
        <f>IFERROR(__xludf.DUMMYFUNCTION("""COMPUTED_VALUE"""),1.0)</f>
        <v>1</v>
      </c>
      <c r="F853" s="139" t="str">
        <f>IFERROR(__xludf.DUMMYFUNCTION("""COMPUTED_VALUE"""),"Special")</f>
        <v>Special</v>
      </c>
      <c r="G853" s="139"/>
      <c r="H853" s="139"/>
      <c r="I853" s="139">
        <f>IFERROR(__xludf.DUMMYFUNCTION("""COMPUTED_VALUE"""),134.0)</f>
        <v>134</v>
      </c>
      <c r="J853" s="139">
        <f>IFERROR(__xludf.DUMMYFUNCTION("""COMPUTED_VALUE"""),79.0)</f>
        <v>79</v>
      </c>
      <c r="K853" s="139">
        <f>IFERROR(__xludf.DUMMYFUNCTION("""COMPUTED_VALUE"""),0.0)</f>
        <v>0</v>
      </c>
      <c r="L853" s="139"/>
      <c r="M853" s="139" t="str">
        <f>IFERROR(__xludf.DUMMYFUNCTION("""COMPUTED_VALUE"""),"敵複数体に自身の攻撃ステータスの{chara_jig_00401_Special_00001_power_parameter}%のダメージ + 攻撃がヒットした場合、敵を3秒間、被ダメージが25%上昇する弱体化状態にする + 攻撃がヒットした場合、ダメージの5%分、自身の体力を回復")</f>
        <v>敵複数体に自身の攻撃ステータスの{chara_jig_00401_Special_00001_power_parameter}%のダメージ + 攻撃がヒットした場合、敵を3秒間、被ダメージが25%上昇する弱体化状態にする + 攻撃がヒットした場合、ダメージの5%分、自身の体力を回復</v>
      </c>
      <c r="N853" s="139"/>
    </row>
    <row r="854">
      <c r="A854" s="139" t="str">
        <f>IFERROR(__xludf.DUMMYFUNCTION("""COMPUTED_VALUE"""),"e")</f>
        <v>e</v>
      </c>
      <c r="B854" s="139">
        <f>IFERROR(__xludf.DUMMYFUNCTION("""COMPUTED_VALUE"""),2.0260101E8)</f>
        <v>202601010</v>
      </c>
      <c r="C854" s="139" t="str">
        <f>IFERROR(__xludf.DUMMYFUNCTION("""COMPUTED_VALUE"""),"chara_jig_00401_Special_00002")</f>
        <v>chara_jig_00401_Special_00002</v>
      </c>
      <c r="D854" s="139" t="str">
        <f>IFERROR(__xludf.DUMMYFUNCTION("""COMPUTED_VALUE"""),"chara_jig_00401")</f>
        <v>chara_jig_00401</v>
      </c>
      <c r="E854" s="139">
        <f>IFERROR(__xludf.DUMMYFUNCTION("""COMPUTED_VALUE"""),2.0)</f>
        <v>2</v>
      </c>
      <c r="F854" s="139" t="str">
        <f>IFERROR(__xludf.DUMMYFUNCTION("""COMPUTED_VALUE"""),"Special")</f>
        <v>Special</v>
      </c>
      <c r="G854" s="139"/>
      <c r="H854" s="139"/>
      <c r="I854" s="139">
        <f>IFERROR(__xludf.DUMMYFUNCTION("""COMPUTED_VALUE"""),134.0)</f>
        <v>134</v>
      </c>
      <c r="J854" s="139">
        <f>IFERROR(__xludf.DUMMYFUNCTION("""COMPUTED_VALUE"""),79.0)</f>
        <v>79</v>
      </c>
      <c r="K854" s="139">
        <f>IFERROR(__xludf.DUMMYFUNCTION("""COMPUTED_VALUE"""),0.0)</f>
        <v>0</v>
      </c>
      <c r="L854" s="139"/>
      <c r="M854" s="139" t="str">
        <f>IFERROR(__xludf.DUMMYFUNCTION("""COMPUTED_VALUE"""),"敵複数体に自身の攻撃ステータスの{chara_jig_00401_Special_00002_power_parameter}%のダメージ + 攻撃がヒットした場合、敵を3.5秒間、被ダメージが27%上昇する弱体化状態にする + 攻撃がヒットした場合、ダメージの8%分、自身の体力を回復")</f>
        <v>敵複数体に自身の攻撃ステータスの{chara_jig_00401_Special_00002_power_parameter}%のダメージ + 攻撃がヒットした場合、敵を3.5秒間、被ダメージが27%上昇する弱体化状態にする + 攻撃がヒットした場合、ダメージの8%分、自身の体力を回復</v>
      </c>
      <c r="N854" s="139" t="str">
        <f>IFERROR(__xludf.DUMMYFUNCTION("""COMPUTED_VALUE"""),"ステータスUP + 必殺ワザ性能UP")</f>
        <v>ステータスUP + 必殺ワザ性能UP</v>
      </c>
    </row>
    <row r="855">
      <c r="A855" s="139" t="str">
        <f>IFERROR(__xludf.DUMMYFUNCTION("""COMPUTED_VALUE"""),"e")</f>
        <v>e</v>
      </c>
      <c r="B855" s="139">
        <f>IFERROR(__xludf.DUMMYFUNCTION("""COMPUTED_VALUE"""),2.0260101E8)</f>
        <v>202601010</v>
      </c>
      <c r="C855" s="139" t="str">
        <f>IFERROR(__xludf.DUMMYFUNCTION("""COMPUTED_VALUE"""),"chara_jig_00401_Special_00003")</f>
        <v>chara_jig_00401_Special_00003</v>
      </c>
      <c r="D855" s="139" t="str">
        <f>IFERROR(__xludf.DUMMYFUNCTION("""COMPUTED_VALUE"""),"chara_jig_00401")</f>
        <v>chara_jig_00401</v>
      </c>
      <c r="E855" s="139">
        <f>IFERROR(__xludf.DUMMYFUNCTION("""COMPUTED_VALUE"""),3.0)</f>
        <v>3</v>
      </c>
      <c r="F855" s="139" t="str">
        <f>IFERROR(__xludf.DUMMYFUNCTION("""COMPUTED_VALUE"""),"Special")</f>
        <v>Special</v>
      </c>
      <c r="G855" s="139"/>
      <c r="H855" s="139"/>
      <c r="I855" s="139">
        <f>IFERROR(__xludf.DUMMYFUNCTION("""COMPUTED_VALUE"""),134.0)</f>
        <v>134</v>
      </c>
      <c r="J855" s="139">
        <f>IFERROR(__xludf.DUMMYFUNCTION("""COMPUTED_VALUE"""),79.0)</f>
        <v>79</v>
      </c>
      <c r="K855" s="139">
        <f>IFERROR(__xludf.DUMMYFUNCTION("""COMPUTED_VALUE"""),0.0)</f>
        <v>0</v>
      </c>
      <c r="L855" s="139"/>
      <c r="M855" s="139" t="str">
        <f>IFERROR(__xludf.DUMMYFUNCTION("""COMPUTED_VALUE"""),"敵複数体に自身の攻撃ステータスの{chara_jig_00401_Special_00003_power_parameter}%のダメージ + 攻撃がヒットした場合、敵を4秒間、被ダメージが34%上昇する弱体化状態にする + 攻撃がヒットした場合、ダメージの11%分、自身の体力を回復")</f>
        <v>敵複数体に自身の攻撃ステータスの{chara_jig_00401_Special_00003_power_parameter}%のダメージ + 攻撃がヒットした場合、敵を4秒間、被ダメージが34%上昇する弱体化状態にする + 攻撃がヒットした場合、ダメージの11%分、自身の体力を回復</v>
      </c>
      <c r="N855" s="139" t="str">
        <f>IFERROR(__xludf.DUMMYFUNCTION("""COMPUTED_VALUE"""),"ステータスUP + 必殺ワザ性能UP")</f>
        <v>ステータスUP + 必殺ワザ性能UP</v>
      </c>
    </row>
    <row r="856">
      <c r="A856" s="139" t="str">
        <f>IFERROR(__xludf.DUMMYFUNCTION("""COMPUTED_VALUE"""),"e")</f>
        <v>e</v>
      </c>
      <c r="B856" s="139">
        <f>IFERROR(__xludf.DUMMYFUNCTION("""COMPUTED_VALUE"""),2.0260101E8)</f>
        <v>202601010</v>
      </c>
      <c r="C856" s="139" t="str">
        <f>IFERROR(__xludf.DUMMYFUNCTION("""COMPUTED_VALUE"""),"chara_jig_00401_Special_00004")</f>
        <v>chara_jig_00401_Special_00004</v>
      </c>
      <c r="D856" s="139" t="str">
        <f>IFERROR(__xludf.DUMMYFUNCTION("""COMPUTED_VALUE"""),"chara_jig_00401")</f>
        <v>chara_jig_00401</v>
      </c>
      <c r="E856" s="139">
        <f>IFERROR(__xludf.DUMMYFUNCTION("""COMPUTED_VALUE"""),4.0)</f>
        <v>4</v>
      </c>
      <c r="F856" s="139" t="str">
        <f>IFERROR(__xludf.DUMMYFUNCTION("""COMPUTED_VALUE"""),"Special")</f>
        <v>Special</v>
      </c>
      <c r="G856" s="139"/>
      <c r="H856" s="139"/>
      <c r="I856" s="139">
        <f>IFERROR(__xludf.DUMMYFUNCTION("""COMPUTED_VALUE"""),134.0)</f>
        <v>134</v>
      </c>
      <c r="J856" s="139">
        <f>IFERROR(__xludf.DUMMYFUNCTION("""COMPUTED_VALUE"""),79.0)</f>
        <v>79</v>
      </c>
      <c r="K856" s="139">
        <f>IFERROR(__xludf.DUMMYFUNCTION("""COMPUTED_VALUE"""),0.0)</f>
        <v>0</v>
      </c>
      <c r="L856" s="139"/>
      <c r="M856" s="139" t="str">
        <f>IFERROR(__xludf.DUMMYFUNCTION("""COMPUTED_VALUE"""),"敵複数体に自身の攻撃ステータスの{chara_jig_00401_Special_00004_power_parameter}%のダメージ + 攻撃がヒットした場合、敵を4.5秒間、被ダメージが40%上昇する弱体化状態にする + 攻撃がヒットした場合、ダメージの13%分、自身の体力を回復")</f>
        <v>敵複数体に自身の攻撃ステータスの{chara_jig_00401_Special_00004_power_parameter}%のダメージ + 攻撃がヒットした場合、敵を4.5秒間、被ダメージが40%上昇する弱体化状態にする + 攻撃がヒットした場合、ダメージの13%分、自身の体力を回復</v>
      </c>
      <c r="N856" s="139" t="str">
        <f>IFERROR(__xludf.DUMMYFUNCTION("""COMPUTED_VALUE"""),"ステータスUP + 必殺ワザ性能UP")</f>
        <v>ステータスUP + 必殺ワザ性能UP</v>
      </c>
    </row>
    <row r="857">
      <c r="A857" s="139" t="str">
        <f>IFERROR(__xludf.DUMMYFUNCTION("""COMPUTED_VALUE"""),"e")</f>
        <v>e</v>
      </c>
      <c r="B857" s="139">
        <f>IFERROR(__xludf.DUMMYFUNCTION("""COMPUTED_VALUE"""),2.0260101E8)</f>
        <v>202601010</v>
      </c>
      <c r="C857" s="139" t="str">
        <f>IFERROR(__xludf.DUMMYFUNCTION("""COMPUTED_VALUE"""),"chara_jig_00401_Special_00005")</f>
        <v>chara_jig_00401_Special_00005</v>
      </c>
      <c r="D857" s="139" t="str">
        <f>IFERROR(__xludf.DUMMYFUNCTION("""COMPUTED_VALUE"""),"chara_jig_00401")</f>
        <v>chara_jig_00401</v>
      </c>
      <c r="E857" s="139">
        <f>IFERROR(__xludf.DUMMYFUNCTION("""COMPUTED_VALUE"""),5.0)</f>
        <v>5</v>
      </c>
      <c r="F857" s="139" t="str">
        <f>IFERROR(__xludf.DUMMYFUNCTION("""COMPUTED_VALUE"""),"Special")</f>
        <v>Special</v>
      </c>
      <c r="G857" s="139"/>
      <c r="H857" s="139"/>
      <c r="I857" s="139">
        <f>IFERROR(__xludf.DUMMYFUNCTION("""COMPUTED_VALUE"""),134.0)</f>
        <v>134</v>
      </c>
      <c r="J857" s="139">
        <f>IFERROR(__xludf.DUMMYFUNCTION("""COMPUTED_VALUE"""),79.0)</f>
        <v>79</v>
      </c>
      <c r="K857" s="139">
        <f>IFERROR(__xludf.DUMMYFUNCTION("""COMPUTED_VALUE"""),0.0)</f>
        <v>0</v>
      </c>
      <c r="L857" s="139"/>
      <c r="M857" s="139" t="str">
        <f>IFERROR(__xludf.DUMMYFUNCTION("""COMPUTED_VALUE"""),"敵複数体に自身の攻撃ステータスの{chara_jig_00401_Special_00005_power_parameter}%のダメージ + 攻撃がヒットした場合、敵を5.5秒間、被ダメージが50%上昇する弱体化状態にする + 攻撃がヒットした場合、ダメージの15%分、自身の体力を回復")</f>
        <v>敵複数体に自身の攻撃ステータスの{chara_jig_00401_Special_00005_power_parameter}%のダメージ + 攻撃がヒットした場合、敵を5.5秒間、被ダメージが50%上昇する弱体化状態にする + 攻撃がヒットした場合、ダメージの15%分、自身の体力を回復</v>
      </c>
      <c r="N857" s="139" t="str">
        <f>IFERROR(__xludf.DUMMYFUNCTION("""COMPUTED_VALUE"""),"ステータスUP + 必殺ワザ性能UP")</f>
        <v>ステータスUP + 必殺ワザ性能UP</v>
      </c>
    </row>
    <row r="858">
      <c r="A858" s="139"/>
      <c r="B858" s="139"/>
      <c r="C858" s="139" t="str">
        <f>IFERROR(__xludf.DUMMYFUNCTION("""COMPUTED_VALUE"""),"chara_jig_00401_Special_00006")</f>
        <v>chara_jig_00401_Special_00006</v>
      </c>
      <c r="D858" s="139" t="str">
        <f>IFERROR(__xludf.DUMMYFUNCTION("""COMPUTED_VALUE"""),"chara_jig_00401")</f>
        <v>chara_jig_00401</v>
      </c>
      <c r="E858" s="139">
        <f>IFERROR(__xludf.DUMMYFUNCTION("""COMPUTED_VALUE"""),6.0)</f>
        <v>6</v>
      </c>
      <c r="F858" s="139" t="str">
        <f>IFERROR(__xludf.DUMMYFUNCTION("""COMPUTED_VALUE"""),"Special")</f>
        <v>Special</v>
      </c>
      <c r="G858" s="139"/>
      <c r="H858" s="139"/>
      <c r="I858" s="139">
        <f>IFERROR(__xludf.DUMMYFUNCTION("""COMPUTED_VALUE"""),134.0)</f>
        <v>134</v>
      </c>
      <c r="J858" s="139">
        <f>IFERROR(__xludf.DUMMYFUNCTION("""COMPUTED_VALUE"""),79.0)</f>
        <v>79</v>
      </c>
      <c r="K858" s="139">
        <f>IFERROR(__xludf.DUMMYFUNCTION("""COMPUTED_VALUE"""),0.0)</f>
        <v>0</v>
      </c>
      <c r="L858" s="139"/>
      <c r="M858" s="139"/>
      <c r="N858" s="139"/>
    </row>
    <row r="859">
      <c r="A859" s="139"/>
      <c r="B859" s="139"/>
      <c r="C859" s="139" t="str">
        <f>IFERROR(__xludf.DUMMYFUNCTION("""COMPUTED_VALUE"""),"chara_jig_00401_Special_00007")</f>
        <v>chara_jig_00401_Special_00007</v>
      </c>
      <c r="D859" s="139" t="str">
        <f>IFERROR(__xludf.DUMMYFUNCTION("""COMPUTED_VALUE"""),"chara_jig_00401")</f>
        <v>chara_jig_00401</v>
      </c>
      <c r="E859" s="139">
        <f>IFERROR(__xludf.DUMMYFUNCTION("""COMPUTED_VALUE"""),7.0)</f>
        <v>7</v>
      </c>
      <c r="F859" s="139" t="str">
        <f>IFERROR(__xludf.DUMMYFUNCTION("""COMPUTED_VALUE"""),"Special")</f>
        <v>Special</v>
      </c>
      <c r="G859" s="139"/>
      <c r="H859" s="139"/>
      <c r="I859" s="139">
        <f>IFERROR(__xludf.DUMMYFUNCTION("""COMPUTED_VALUE"""),134.0)</f>
        <v>134</v>
      </c>
      <c r="J859" s="139">
        <f>IFERROR(__xludf.DUMMYFUNCTION("""COMPUTED_VALUE"""),79.0)</f>
        <v>79</v>
      </c>
      <c r="K859" s="139">
        <f>IFERROR(__xludf.DUMMYFUNCTION("""COMPUTED_VALUE"""),0.0)</f>
        <v>0</v>
      </c>
      <c r="L859" s="139"/>
      <c r="M859" s="139"/>
      <c r="N859" s="139"/>
    </row>
    <row r="860">
      <c r="A860" s="139"/>
      <c r="B860" s="139"/>
      <c r="C860" s="139" t="str">
        <f>IFERROR(__xludf.DUMMYFUNCTION("""COMPUTED_VALUE"""),"chara_jig_00401_Special_00008")</f>
        <v>chara_jig_00401_Special_00008</v>
      </c>
      <c r="D860" s="139" t="str">
        <f>IFERROR(__xludf.DUMMYFUNCTION("""COMPUTED_VALUE"""),"chara_jig_00401")</f>
        <v>chara_jig_00401</v>
      </c>
      <c r="E860" s="139">
        <f>IFERROR(__xludf.DUMMYFUNCTION("""COMPUTED_VALUE"""),8.0)</f>
        <v>8</v>
      </c>
      <c r="F860" s="139" t="str">
        <f>IFERROR(__xludf.DUMMYFUNCTION("""COMPUTED_VALUE"""),"Special")</f>
        <v>Special</v>
      </c>
      <c r="G860" s="139"/>
      <c r="H860" s="139"/>
      <c r="I860" s="139">
        <f>IFERROR(__xludf.DUMMYFUNCTION("""COMPUTED_VALUE"""),134.0)</f>
        <v>134</v>
      </c>
      <c r="J860" s="139">
        <f>IFERROR(__xludf.DUMMYFUNCTION("""COMPUTED_VALUE"""),79.0)</f>
        <v>79</v>
      </c>
      <c r="K860" s="139">
        <f>IFERROR(__xludf.DUMMYFUNCTION("""COMPUTED_VALUE"""),0.0)</f>
        <v>0</v>
      </c>
      <c r="L860" s="139"/>
      <c r="M860" s="139"/>
      <c r="N860" s="139"/>
    </row>
    <row r="861">
      <c r="A861" s="139"/>
      <c r="B861" s="139"/>
      <c r="C861" s="139" t="str">
        <f>IFERROR(__xludf.DUMMYFUNCTION("""COMPUTED_VALUE"""),"chara_jig_00401_Special_00009")</f>
        <v>chara_jig_00401_Special_00009</v>
      </c>
      <c r="D861" s="139" t="str">
        <f>IFERROR(__xludf.DUMMYFUNCTION("""COMPUTED_VALUE"""),"chara_jig_00401")</f>
        <v>chara_jig_00401</v>
      </c>
      <c r="E861" s="139">
        <f>IFERROR(__xludf.DUMMYFUNCTION("""COMPUTED_VALUE"""),9.0)</f>
        <v>9</v>
      </c>
      <c r="F861" s="139" t="str">
        <f>IFERROR(__xludf.DUMMYFUNCTION("""COMPUTED_VALUE"""),"Special")</f>
        <v>Special</v>
      </c>
      <c r="G861" s="139"/>
      <c r="H861" s="139"/>
      <c r="I861" s="139">
        <f>IFERROR(__xludf.DUMMYFUNCTION("""COMPUTED_VALUE"""),134.0)</f>
        <v>134</v>
      </c>
      <c r="J861" s="139">
        <f>IFERROR(__xludf.DUMMYFUNCTION("""COMPUTED_VALUE"""),79.0)</f>
        <v>79</v>
      </c>
      <c r="K861" s="139">
        <f>IFERROR(__xludf.DUMMYFUNCTION("""COMPUTED_VALUE"""),0.0)</f>
        <v>0</v>
      </c>
      <c r="L861" s="139"/>
      <c r="M861" s="139"/>
      <c r="N861" s="139"/>
    </row>
    <row r="862">
      <c r="A862" s="139"/>
      <c r="B862" s="139"/>
      <c r="C862" s="139" t="str">
        <f>IFERROR(__xludf.DUMMYFUNCTION("""COMPUTED_VALUE"""),"chara_jig_00401_Special_00010")</f>
        <v>chara_jig_00401_Special_00010</v>
      </c>
      <c r="D862" s="139" t="str">
        <f>IFERROR(__xludf.DUMMYFUNCTION("""COMPUTED_VALUE"""),"chara_jig_00401")</f>
        <v>chara_jig_00401</v>
      </c>
      <c r="E862" s="139">
        <f>IFERROR(__xludf.DUMMYFUNCTION("""COMPUTED_VALUE"""),10.0)</f>
        <v>10</v>
      </c>
      <c r="F862" s="139" t="str">
        <f>IFERROR(__xludf.DUMMYFUNCTION("""COMPUTED_VALUE"""),"Special")</f>
        <v>Special</v>
      </c>
      <c r="G862" s="139"/>
      <c r="H862" s="139"/>
      <c r="I862" s="139">
        <f>IFERROR(__xludf.DUMMYFUNCTION("""COMPUTED_VALUE"""),134.0)</f>
        <v>134</v>
      </c>
      <c r="J862" s="139">
        <f>IFERROR(__xludf.DUMMYFUNCTION("""COMPUTED_VALUE"""),79.0)</f>
        <v>79</v>
      </c>
      <c r="K862" s="139">
        <f>IFERROR(__xludf.DUMMYFUNCTION("""COMPUTED_VALUE"""),0.0)</f>
        <v>0</v>
      </c>
      <c r="L862" s="139"/>
      <c r="M862" s="139"/>
      <c r="N862" s="139"/>
    </row>
    <row r="863">
      <c r="A863" s="139" t="str">
        <f>IFERROR(__xludf.DUMMYFUNCTION("""COMPUTED_VALUE"""),"e")</f>
        <v>e</v>
      </c>
      <c r="B863" s="139">
        <f>IFERROR(__xludf.DUMMYFUNCTION("""COMPUTED_VALUE"""),2.0260101E8)</f>
        <v>202601010</v>
      </c>
      <c r="C863" s="139" t="str">
        <f>IFERROR(__xludf.DUMMYFUNCTION("""COMPUTED_VALUE"""),"chara_jig_00501_Normal_00000")</f>
        <v>chara_jig_00501_Normal_00000</v>
      </c>
      <c r="D863" s="139" t="str">
        <f>IFERROR(__xludf.DUMMYFUNCTION("""COMPUTED_VALUE"""),"chara_jig_00501")</f>
        <v>chara_jig_00501</v>
      </c>
      <c r="E863" s="139">
        <f>IFERROR(__xludf.DUMMYFUNCTION("""COMPUTED_VALUE"""),0.0)</f>
        <v>0</v>
      </c>
      <c r="F863" s="139" t="str">
        <f>IFERROR(__xludf.DUMMYFUNCTION("""COMPUTED_VALUE"""),"Normal")</f>
        <v>Normal</v>
      </c>
      <c r="G863" s="139"/>
      <c r="H863" s="139"/>
      <c r="I863" s="139">
        <f>IFERROR(__xludf.DUMMYFUNCTION("""COMPUTED_VALUE"""),80.0)</f>
        <v>80</v>
      </c>
      <c r="J863" s="139">
        <f>IFERROR(__xludf.DUMMYFUNCTION("""COMPUTED_VALUE"""),20.0)</f>
        <v>20</v>
      </c>
      <c r="K863" s="139">
        <f>IFERROR(__xludf.DUMMYFUNCTION("""COMPUTED_VALUE"""),75.0)</f>
        <v>75</v>
      </c>
      <c r="L863" s="139"/>
      <c r="M863" s="139"/>
      <c r="N863" s="139"/>
    </row>
    <row r="864">
      <c r="A864" s="139" t="str">
        <f>IFERROR(__xludf.DUMMYFUNCTION("""COMPUTED_VALUE"""),"e")</f>
        <v>e</v>
      </c>
      <c r="B864" s="139">
        <f>IFERROR(__xludf.DUMMYFUNCTION("""COMPUTED_VALUE"""),2.0260101E8)</f>
        <v>202601010</v>
      </c>
      <c r="C864" s="139" t="str">
        <f>IFERROR(__xludf.DUMMYFUNCTION("""COMPUTED_VALUE"""),"chara_jig_00501_Special_00001")</f>
        <v>chara_jig_00501_Special_00001</v>
      </c>
      <c r="D864" s="139" t="str">
        <f>IFERROR(__xludf.DUMMYFUNCTION("""COMPUTED_VALUE"""),"chara_jig_00501")</f>
        <v>chara_jig_00501</v>
      </c>
      <c r="E864" s="139">
        <f>IFERROR(__xludf.DUMMYFUNCTION("""COMPUTED_VALUE"""),1.0)</f>
        <v>1</v>
      </c>
      <c r="F864" s="139" t="str">
        <f>IFERROR(__xludf.DUMMYFUNCTION("""COMPUTED_VALUE"""),"Special")</f>
        <v>Special</v>
      </c>
      <c r="G864" s="139"/>
      <c r="H864" s="139"/>
      <c r="I864" s="139">
        <f>IFERROR(__xludf.DUMMYFUNCTION("""COMPUTED_VALUE"""),167.0)</f>
        <v>167</v>
      </c>
      <c r="J864" s="139">
        <f>IFERROR(__xludf.DUMMYFUNCTION("""COMPUTED_VALUE"""),84.0)</f>
        <v>84</v>
      </c>
      <c r="K864" s="139">
        <f>IFERROR(__xludf.DUMMYFUNCTION("""COMPUTED_VALUE"""),0.0)</f>
        <v>0</v>
      </c>
      <c r="L864" s="139"/>
      <c r="M864" s="139" t="str">
        <f>IFERROR(__xludf.DUMMYFUNCTION("""COMPUTED_VALUE"""),"自身と同じコマと一つ先までのコマにいる緑属性・無属性の味方と自身の攻撃を6秒間、10%UP + 自身と同じコマと一つ先までのコマにいる緑属性・無属性の味方と自身の被ダメージを6秒間、10%カット")</f>
        <v>自身と同じコマと一つ先までのコマにいる緑属性・無属性の味方と自身の攻撃を6秒間、10%UP + 自身と同じコマと一つ先までのコマにいる緑属性・無属性の味方と自身の被ダメージを6秒間、10%カット</v>
      </c>
      <c r="N864" s="139"/>
    </row>
    <row r="865">
      <c r="A865" s="139" t="str">
        <f>IFERROR(__xludf.DUMMYFUNCTION("""COMPUTED_VALUE"""),"e")</f>
        <v>e</v>
      </c>
      <c r="B865" s="139">
        <f>IFERROR(__xludf.DUMMYFUNCTION("""COMPUTED_VALUE"""),2.0260101E8)</f>
        <v>202601010</v>
      </c>
      <c r="C865" s="139" t="str">
        <f>IFERROR(__xludf.DUMMYFUNCTION("""COMPUTED_VALUE"""),"chara_jig_00501_Special_00002")</f>
        <v>chara_jig_00501_Special_00002</v>
      </c>
      <c r="D865" s="139" t="str">
        <f>IFERROR(__xludf.DUMMYFUNCTION("""COMPUTED_VALUE"""),"chara_jig_00501")</f>
        <v>chara_jig_00501</v>
      </c>
      <c r="E865" s="139">
        <f>IFERROR(__xludf.DUMMYFUNCTION("""COMPUTED_VALUE"""),2.0)</f>
        <v>2</v>
      </c>
      <c r="F865" s="139" t="str">
        <f>IFERROR(__xludf.DUMMYFUNCTION("""COMPUTED_VALUE"""),"Special")</f>
        <v>Special</v>
      </c>
      <c r="G865" s="139"/>
      <c r="H865" s="139"/>
      <c r="I865" s="139">
        <f>IFERROR(__xludf.DUMMYFUNCTION("""COMPUTED_VALUE"""),167.0)</f>
        <v>167</v>
      </c>
      <c r="J865" s="139">
        <f>IFERROR(__xludf.DUMMYFUNCTION("""COMPUTED_VALUE"""),84.0)</f>
        <v>84</v>
      </c>
      <c r="K865" s="139">
        <f>IFERROR(__xludf.DUMMYFUNCTION("""COMPUTED_VALUE"""),0.0)</f>
        <v>0</v>
      </c>
      <c r="L865" s="139"/>
      <c r="M865" s="139" t="str">
        <f>IFERROR(__xludf.DUMMYFUNCTION("""COMPUTED_VALUE"""),"自身と同じコマと一つ先までのコマにいる緑属性・無属性の味方と自身の攻撃を6.9秒間、12%UP + 自身と同じコマと一つ先までのコマにいる緑属性・無属性の味方と自身の被ダメージを6.9秒間、12%カット")</f>
        <v>自身と同じコマと一つ先までのコマにいる緑属性・無属性の味方と自身の攻撃を6.9秒間、12%UP + 自身と同じコマと一つ先までのコマにいる緑属性・無属性の味方と自身の被ダメージを6.9秒間、12%カット</v>
      </c>
      <c r="N865" s="139" t="str">
        <f>IFERROR(__xludf.DUMMYFUNCTION("""COMPUTED_VALUE"""),"ステータスUP + 必殺ワザ性能UP")</f>
        <v>ステータスUP + 必殺ワザ性能UP</v>
      </c>
    </row>
    <row r="866">
      <c r="A866" s="139" t="str">
        <f>IFERROR(__xludf.DUMMYFUNCTION("""COMPUTED_VALUE"""),"e")</f>
        <v>e</v>
      </c>
      <c r="B866" s="139">
        <f>IFERROR(__xludf.DUMMYFUNCTION("""COMPUTED_VALUE"""),2.0260101E8)</f>
        <v>202601010</v>
      </c>
      <c r="C866" s="139" t="str">
        <f>IFERROR(__xludf.DUMMYFUNCTION("""COMPUTED_VALUE"""),"chara_jig_00501_Special_00003")</f>
        <v>chara_jig_00501_Special_00003</v>
      </c>
      <c r="D866" s="139" t="str">
        <f>IFERROR(__xludf.DUMMYFUNCTION("""COMPUTED_VALUE"""),"chara_jig_00501")</f>
        <v>chara_jig_00501</v>
      </c>
      <c r="E866" s="139">
        <f>IFERROR(__xludf.DUMMYFUNCTION("""COMPUTED_VALUE"""),3.0)</f>
        <v>3</v>
      </c>
      <c r="F866" s="139" t="str">
        <f>IFERROR(__xludf.DUMMYFUNCTION("""COMPUTED_VALUE"""),"Special")</f>
        <v>Special</v>
      </c>
      <c r="G866" s="139"/>
      <c r="H866" s="139"/>
      <c r="I866" s="139">
        <f>IFERROR(__xludf.DUMMYFUNCTION("""COMPUTED_VALUE"""),167.0)</f>
        <v>167</v>
      </c>
      <c r="J866" s="139">
        <f>IFERROR(__xludf.DUMMYFUNCTION("""COMPUTED_VALUE"""),84.0)</f>
        <v>84</v>
      </c>
      <c r="K866" s="139">
        <f>IFERROR(__xludf.DUMMYFUNCTION("""COMPUTED_VALUE"""),0.0)</f>
        <v>0</v>
      </c>
      <c r="L866" s="139"/>
      <c r="M866" s="139" t="str">
        <f>IFERROR(__xludf.DUMMYFUNCTION("""COMPUTED_VALUE"""),"自身と同じコマと一つ先までのコマにいる緑属性・無属性の味方と自身の攻撃を7.4秒間、13%UP + 自身と同じコマと一つ先までのコマにいる緑属性・無属性の味方と自身の被ダメージを7.4秒間、13%カット")</f>
        <v>自身と同じコマと一つ先までのコマにいる緑属性・無属性の味方と自身の攻撃を7.4秒間、13%UP + 自身と同じコマと一つ先までのコマにいる緑属性・無属性の味方と自身の被ダメージを7.4秒間、13%カット</v>
      </c>
      <c r="N866" s="139" t="str">
        <f>IFERROR(__xludf.DUMMYFUNCTION("""COMPUTED_VALUE"""),"ステータスUP + 必殺ワザ性能UP")</f>
        <v>ステータスUP + 必殺ワザ性能UP</v>
      </c>
    </row>
    <row r="867">
      <c r="A867" s="139" t="str">
        <f>IFERROR(__xludf.DUMMYFUNCTION("""COMPUTED_VALUE"""),"e")</f>
        <v>e</v>
      </c>
      <c r="B867" s="139">
        <f>IFERROR(__xludf.DUMMYFUNCTION("""COMPUTED_VALUE"""),2.0260101E8)</f>
        <v>202601010</v>
      </c>
      <c r="C867" s="139" t="str">
        <f>IFERROR(__xludf.DUMMYFUNCTION("""COMPUTED_VALUE"""),"chara_jig_00501_Special_00004")</f>
        <v>chara_jig_00501_Special_00004</v>
      </c>
      <c r="D867" s="139" t="str">
        <f>IFERROR(__xludf.DUMMYFUNCTION("""COMPUTED_VALUE"""),"chara_jig_00501")</f>
        <v>chara_jig_00501</v>
      </c>
      <c r="E867" s="139">
        <f>IFERROR(__xludf.DUMMYFUNCTION("""COMPUTED_VALUE"""),4.0)</f>
        <v>4</v>
      </c>
      <c r="F867" s="139" t="str">
        <f>IFERROR(__xludf.DUMMYFUNCTION("""COMPUTED_VALUE"""),"Special")</f>
        <v>Special</v>
      </c>
      <c r="G867" s="139"/>
      <c r="H867" s="139"/>
      <c r="I867" s="139">
        <f>IFERROR(__xludf.DUMMYFUNCTION("""COMPUTED_VALUE"""),167.0)</f>
        <v>167</v>
      </c>
      <c r="J867" s="139">
        <f>IFERROR(__xludf.DUMMYFUNCTION("""COMPUTED_VALUE"""),84.0)</f>
        <v>84</v>
      </c>
      <c r="K867" s="139">
        <f>IFERROR(__xludf.DUMMYFUNCTION("""COMPUTED_VALUE"""),0.0)</f>
        <v>0</v>
      </c>
      <c r="L867" s="139"/>
      <c r="M867" s="139" t="str">
        <f>IFERROR(__xludf.DUMMYFUNCTION("""COMPUTED_VALUE"""),"自身と同じコマと一つ先までのコマにいる緑属性・無属性の味方と自身の攻撃を7.8秒間、14%UP + 自身と同じコマと一つ先までのコマにいる緑属性・無属性の味方と自身の被ダメージを7.8秒間、14%カット")</f>
        <v>自身と同じコマと一つ先までのコマにいる緑属性・無属性の味方と自身の攻撃を7.8秒間、14%UP + 自身と同じコマと一つ先までのコマにいる緑属性・無属性の味方と自身の被ダメージを7.8秒間、14%カット</v>
      </c>
      <c r="N867" s="139" t="str">
        <f>IFERROR(__xludf.DUMMYFUNCTION("""COMPUTED_VALUE"""),"ステータスUP + 必殺ワザ性能UP")</f>
        <v>ステータスUP + 必殺ワザ性能UP</v>
      </c>
    </row>
    <row r="868">
      <c r="A868" s="139" t="str">
        <f>IFERROR(__xludf.DUMMYFUNCTION("""COMPUTED_VALUE"""),"e")</f>
        <v>e</v>
      </c>
      <c r="B868" s="139">
        <f>IFERROR(__xludf.DUMMYFUNCTION("""COMPUTED_VALUE"""),2.0260101E8)</f>
        <v>202601010</v>
      </c>
      <c r="C868" s="139" t="str">
        <f>IFERROR(__xludf.DUMMYFUNCTION("""COMPUTED_VALUE"""),"chara_jig_00501_Special_00005")</f>
        <v>chara_jig_00501_Special_00005</v>
      </c>
      <c r="D868" s="139" t="str">
        <f>IFERROR(__xludf.DUMMYFUNCTION("""COMPUTED_VALUE"""),"chara_jig_00501")</f>
        <v>chara_jig_00501</v>
      </c>
      <c r="E868" s="139">
        <f>IFERROR(__xludf.DUMMYFUNCTION("""COMPUTED_VALUE"""),5.0)</f>
        <v>5</v>
      </c>
      <c r="F868" s="139" t="str">
        <f>IFERROR(__xludf.DUMMYFUNCTION("""COMPUTED_VALUE"""),"Special")</f>
        <v>Special</v>
      </c>
      <c r="G868" s="139"/>
      <c r="H868" s="139"/>
      <c r="I868" s="139">
        <f>IFERROR(__xludf.DUMMYFUNCTION("""COMPUTED_VALUE"""),167.0)</f>
        <v>167</v>
      </c>
      <c r="J868" s="139">
        <f>IFERROR(__xludf.DUMMYFUNCTION("""COMPUTED_VALUE"""),84.0)</f>
        <v>84</v>
      </c>
      <c r="K868" s="139">
        <f>IFERROR(__xludf.DUMMYFUNCTION("""COMPUTED_VALUE"""),0.0)</f>
        <v>0</v>
      </c>
      <c r="L868" s="139"/>
      <c r="M868" s="139" t="str">
        <f>IFERROR(__xludf.DUMMYFUNCTION("""COMPUTED_VALUE"""),"自身と同じコマと一つ先までのコマにいる緑属性・無属性の味方と自身の攻撃を8秒間、15%UP + 自身と同じコマと一つ先までのコマにいる緑属性・無属性の味方と自身の被ダメージを8秒間、15%カット")</f>
        <v>自身と同じコマと一つ先までのコマにいる緑属性・無属性の味方と自身の攻撃を8秒間、15%UP + 自身と同じコマと一つ先までのコマにいる緑属性・無属性の味方と自身の被ダメージを8秒間、15%カット</v>
      </c>
      <c r="N868" s="139" t="str">
        <f>IFERROR(__xludf.DUMMYFUNCTION("""COMPUTED_VALUE"""),"ステータスUP + 必殺ワザ性能UP")</f>
        <v>ステータスUP + 必殺ワザ性能UP</v>
      </c>
    </row>
    <row r="869">
      <c r="A869" s="139"/>
      <c r="B869" s="139"/>
      <c r="C869" s="139" t="str">
        <f>IFERROR(__xludf.DUMMYFUNCTION("""COMPUTED_VALUE"""),"chara_jig_00501_Special_00006")</f>
        <v>chara_jig_00501_Special_00006</v>
      </c>
      <c r="D869" s="139" t="str">
        <f>IFERROR(__xludf.DUMMYFUNCTION("""COMPUTED_VALUE"""),"chara_jig_00501")</f>
        <v>chara_jig_00501</v>
      </c>
      <c r="E869" s="139">
        <f>IFERROR(__xludf.DUMMYFUNCTION("""COMPUTED_VALUE"""),6.0)</f>
        <v>6</v>
      </c>
      <c r="F869" s="139" t="str">
        <f>IFERROR(__xludf.DUMMYFUNCTION("""COMPUTED_VALUE"""),"Special")</f>
        <v>Special</v>
      </c>
      <c r="G869" s="139"/>
      <c r="H869" s="139"/>
      <c r="I869" s="139">
        <f>IFERROR(__xludf.DUMMYFUNCTION("""COMPUTED_VALUE"""),167.0)</f>
        <v>167</v>
      </c>
      <c r="J869" s="139">
        <f>IFERROR(__xludf.DUMMYFUNCTION("""COMPUTED_VALUE"""),84.0)</f>
        <v>84</v>
      </c>
      <c r="K869" s="139">
        <f>IFERROR(__xludf.DUMMYFUNCTION("""COMPUTED_VALUE"""),0.0)</f>
        <v>0</v>
      </c>
      <c r="L869" s="139"/>
      <c r="M869" s="139"/>
      <c r="N869" s="139"/>
    </row>
    <row r="870">
      <c r="A870" s="139"/>
      <c r="B870" s="139"/>
      <c r="C870" s="139" t="str">
        <f>IFERROR(__xludf.DUMMYFUNCTION("""COMPUTED_VALUE"""),"chara_jig_00501_Special_00007")</f>
        <v>chara_jig_00501_Special_00007</v>
      </c>
      <c r="D870" s="139" t="str">
        <f>IFERROR(__xludf.DUMMYFUNCTION("""COMPUTED_VALUE"""),"chara_jig_00501")</f>
        <v>chara_jig_00501</v>
      </c>
      <c r="E870" s="139">
        <f>IFERROR(__xludf.DUMMYFUNCTION("""COMPUTED_VALUE"""),7.0)</f>
        <v>7</v>
      </c>
      <c r="F870" s="139" t="str">
        <f>IFERROR(__xludf.DUMMYFUNCTION("""COMPUTED_VALUE"""),"Special")</f>
        <v>Special</v>
      </c>
      <c r="G870" s="139"/>
      <c r="H870" s="139"/>
      <c r="I870" s="139">
        <f>IFERROR(__xludf.DUMMYFUNCTION("""COMPUTED_VALUE"""),167.0)</f>
        <v>167</v>
      </c>
      <c r="J870" s="139">
        <f>IFERROR(__xludf.DUMMYFUNCTION("""COMPUTED_VALUE"""),84.0)</f>
        <v>84</v>
      </c>
      <c r="K870" s="139">
        <f>IFERROR(__xludf.DUMMYFUNCTION("""COMPUTED_VALUE"""),0.0)</f>
        <v>0</v>
      </c>
      <c r="L870" s="139"/>
      <c r="M870" s="139"/>
      <c r="N870" s="139"/>
    </row>
    <row r="871">
      <c r="A871" s="139"/>
      <c r="B871" s="139"/>
      <c r="C871" s="139" t="str">
        <f>IFERROR(__xludf.DUMMYFUNCTION("""COMPUTED_VALUE"""),"chara_jig_00501_Special_00008")</f>
        <v>chara_jig_00501_Special_00008</v>
      </c>
      <c r="D871" s="139" t="str">
        <f>IFERROR(__xludf.DUMMYFUNCTION("""COMPUTED_VALUE"""),"chara_jig_00501")</f>
        <v>chara_jig_00501</v>
      </c>
      <c r="E871" s="139">
        <f>IFERROR(__xludf.DUMMYFUNCTION("""COMPUTED_VALUE"""),8.0)</f>
        <v>8</v>
      </c>
      <c r="F871" s="139" t="str">
        <f>IFERROR(__xludf.DUMMYFUNCTION("""COMPUTED_VALUE"""),"Special")</f>
        <v>Special</v>
      </c>
      <c r="G871" s="139"/>
      <c r="H871" s="139"/>
      <c r="I871" s="139">
        <f>IFERROR(__xludf.DUMMYFUNCTION("""COMPUTED_VALUE"""),167.0)</f>
        <v>167</v>
      </c>
      <c r="J871" s="139">
        <f>IFERROR(__xludf.DUMMYFUNCTION("""COMPUTED_VALUE"""),84.0)</f>
        <v>84</v>
      </c>
      <c r="K871" s="139">
        <f>IFERROR(__xludf.DUMMYFUNCTION("""COMPUTED_VALUE"""),0.0)</f>
        <v>0</v>
      </c>
      <c r="L871" s="139"/>
      <c r="M871" s="139"/>
      <c r="N871" s="139"/>
    </row>
    <row r="872">
      <c r="A872" s="139"/>
      <c r="B872" s="139"/>
      <c r="C872" s="139" t="str">
        <f>IFERROR(__xludf.DUMMYFUNCTION("""COMPUTED_VALUE"""),"chara_jig_00501_Special_00009")</f>
        <v>chara_jig_00501_Special_00009</v>
      </c>
      <c r="D872" s="139" t="str">
        <f>IFERROR(__xludf.DUMMYFUNCTION("""COMPUTED_VALUE"""),"chara_jig_00501")</f>
        <v>chara_jig_00501</v>
      </c>
      <c r="E872" s="139">
        <f>IFERROR(__xludf.DUMMYFUNCTION("""COMPUTED_VALUE"""),9.0)</f>
        <v>9</v>
      </c>
      <c r="F872" s="139" t="str">
        <f>IFERROR(__xludf.DUMMYFUNCTION("""COMPUTED_VALUE"""),"Special")</f>
        <v>Special</v>
      </c>
      <c r="G872" s="139"/>
      <c r="H872" s="139"/>
      <c r="I872" s="139">
        <f>IFERROR(__xludf.DUMMYFUNCTION("""COMPUTED_VALUE"""),167.0)</f>
        <v>167</v>
      </c>
      <c r="J872" s="139">
        <f>IFERROR(__xludf.DUMMYFUNCTION("""COMPUTED_VALUE"""),84.0)</f>
        <v>84</v>
      </c>
      <c r="K872" s="139">
        <f>IFERROR(__xludf.DUMMYFUNCTION("""COMPUTED_VALUE"""),0.0)</f>
        <v>0</v>
      </c>
      <c r="L872" s="139"/>
      <c r="M872" s="139"/>
      <c r="N872" s="139"/>
    </row>
    <row r="873">
      <c r="A873" s="139"/>
      <c r="B873" s="139"/>
      <c r="C873" s="139" t="str">
        <f>IFERROR(__xludf.DUMMYFUNCTION("""COMPUTED_VALUE"""),"chara_jig_00501_Special_00010")</f>
        <v>chara_jig_00501_Special_00010</v>
      </c>
      <c r="D873" s="139" t="str">
        <f>IFERROR(__xludf.DUMMYFUNCTION("""COMPUTED_VALUE"""),"chara_jig_00501")</f>
        <v>chara_jig_00501</v>
      </c>
      <c r="E873" s="139">
        <f>IFERROR(__xludf.DUMMYFUNCTION("""COMPUTED_VALUE"""),10.0)</f>
        <v>10</v>
      </c>
      <c r="F873" s="139" t="str">
        <f>IFERROR(__xludf.DUMMYFUNCTION("""COMPUTED_VALUE"""),"Special")</f>
        <v>Special</v>
      </c>
      <c r="G873" s="139"/>
      <c r="H873" s="139"/>
      <c r="I873" s="139">
        <f>IFERROR(__xludf.DUMMYFUNCTION("""COMPUTED_VALUE"""),167.0)</f>
        <v>167</v>
      </c>
      <c r="J873" s="139">
        <f>IFERROR(__xludf.DUMMYFUNCTION("""COMPUTED_VALUE"""),84.0)</f>
        <v>84</v>
      </c>
      <c r="K873" s="139">
        <f>IFERROR(__xludf.DUMMYFUNCTION("""COMPUTED_VALUE"""),0.0)</f>
        <v>0</v>
      </c>
      <c r="L873" s="139"/>
      <c r="M873" s="139"/>
      <c r="N873" s="139"/>
    </row>
    <row r="874">
      <c r="A874" s="139" t="str">
        <f>IFERROR(__xludf.DUMMYFUNCTION("""COMPUTED_VALUE"""),"e")</f>
        <v>e</v>
      </c>
      <c r="B874" s="139">
        <f>IFERROR(__xludf.DUMMYFUNCTION("""COMPUTED_VALUE"""),2.0260101E8)</f>
        <v>202601010</v>
      </c>
      <c r="C874" s="139" t="str">
        <f>IFERROR(__xludf.DUMMYFUNCTION("""COMPUTED_VALUE"""),"chara_jig_00601_Normal_00000")</f>
        <v>chara_jig_00601_Normal_00000</v>
      </c>
      <c r="D874" s="139" t="str">
        <f>IFERROR(__xludf.DUMMYFUNCTION("""COMPUTED_VALUE"""),"chara_jig_00601")</f>
        <v>chara_jig_00601</v>
      </c>
      <c r="E874" s="139">
        <f>IFERROR(__xludf.DUMMYFUNCTION("""COMPUTED_VALUE"""),0.0)</f>
        <v>0</v>
      </c>
      <c r="F874" s="139" t="str">
        <f>IFERROR(__xludf.DUMMYFUNCTION("""COMPUTED_VALUE"""),"Normal")</f>
        <v>Normal</v>
      </c>
      <c r="G874" s="139"/>
      <c r="H874" s="139"/>
      <c r="I874" s="139">
        <f>IFERROR(__xludf.DUMMYFUNCTION("""COMPUTED_VALUE"""),84.0)</f>
        <v>84</v>
      </c>
      <c r="J874" s="139">
        <f>IFERROR(__xludf.DUMMYFUNCTION("""COMPUTED_VALUE"""),30.0)</f>
        <v>30</v>
      </c>
      <c r="K874" s="139">
        <f>IFERROR(__xludf.DUMMYFUNCTION("""COMPUTED_VALUE"""),100.0)</f>
        <v>100</v>
      </c>
      <c r="L874" s="139"/>
      <c r="M874" s="139"/>
      <c r="N874" s="139"/>
    </row>
    <row r="875">
      <c r="A875" s="139" t="str">
        <f>IFERROR(__xludf.DUMMYFUNCTION("""COMPUTED_VALUE"""),"e")</f>
        <v>e</v>
      </c>
      <c r="B875" s="139">
        <f>IFERROR(__xludf.DUMMYFUNCTION("""COMPUTED_VALUE"""),2.0260101E8)</f>
        <v>202601010</v>
      </c>
      <c r="C875" s="139" t="str">
        <f>IFERROR(__xludf.DUMMYFUNCTION("""COMPUTED_VALUE"""),"chara_jig_00601_Special_00001")</f>
        <v>chara_jig_00601_Special_00001</v>
      </c>
      <c r="D875" s="139" t="str">
        <f>IFERROR(__xludf.DUMMYFUNCTION("""COMPUTED_VALUE"""),"chara_jig_00601")</f>
        <v>chara_jig_00601</v>
      </c>
      <c r="E875" s="139">
        <f>IFERROR(__xludf.DUMMYFUNCTION("""COMPUTED_VALUE"""),1.0)</f>
        <v>1</v>
      </c>
      <c r="F875" s="139" t="str">
        <f>IFERROR(__xludf.DUMMYFUNCTION("""COMPUTED_VALUE"""),"Special")</f>
        <v>Special</v>
      </c>
      <c r="G875" s="139"/>
      <c r="H875" s="139"/>
      <c r="I875" s="139">
        <f>IFERROR(__xludf.DUMMYFUNCTION("""COMPUTED_VALUE"""),134.0)</f>
        <v>134</v>
      </c>
      <c r="J875" s="139">
        <f>IFERROR(__xludf.DUMMYFUNCTION("""COMPUTED_VALUE"""),75.0)</f>
        <v>75</v>
      </c>
      <c r="K875" s="139">
        <f>IFERROR(__xludf.DUMMYFUNCTION("""COMPUTED_VALUE"""),0.0)</f>
        <v>0</v>
      </c>
      <c r="L875" s="139"/>
      <c r="M875" s="139" t="str">
        <f>IFERROR(__xludf.DUMMYFUNCTION("""COMPUTED_VALUE"""),"敵単体に自身の攻撃ステータスの{chara_jig_00601_Special_00001_power_parameter}%のダメージ + 攻撃がヒットした場合、敵を小ノックバック")</f>
        <v>敵単体に自身の攻撃ステータスの{chara_jig_00601_Special_00001_power_parameter}%のダメージ + 攻撃がヒットした場合、敵を小ノックバック</v>
      </c>
      <c r="N875" s="139"/>
    </row>
    <row r="876">
      <c r="A876" s="139" t="str">
        <f>IFERROR(__xludf.DUMMYFUNCTION("""COMPUTED_VALUE"""),"e")</f>
        <v>e</v>
      </c>
      <c r="B876" s="139">
        <f>IFERROR(__xludf.DUMMYFUNCTION("""COMPUTED_VALUE"""),2.0260101E8)</f>
        <v>202601010</v>
      </c>
      <c r="C876" s="139" t="str">
        <f>IFERROR(__xludf.DUMMYFUNCTION("""COMPUTED_VALUE"""),"chara_jig_00601_Special_00002")</f>
        <v>chara_jig_00601_Special_00002</v>
      </c>
      <c r="D876" s="139" t="str">
        <f>IFERROR(__xludf.DUMMYFUNCTION("""COMPUTED_VALUE"""),"chara_jig_00601")</f>
        <v>chara_jig_00601</v>
      </c>
      <c r="E876" s="139">
        <f>IFERROR(__xludf.DUMMYFUNCTION("""COMPUTED_VALUE"""),2.0)</f>
        <v>2</v>
      </c>
      <c r="F876" s="139" t="str">
        <f>IFERROR(__xludf.DUMMYFUNCTION("""COMPUTED_VALUE"""),"Special")</f>
        <v>Special</v>
      </c>
      <c r="G876" s="139"/>
      <c r="H876" s="139"/>
      <c r="I876" s="139">
        <f>IFERROR(__xludf.DUMMYFUNCTION("""COMPUTED_VALUE"""),134.0)</f>
        <v>134</v>
      </c>
      <c r="J876" s="139">
        <f>IFERROR(__xludf.DUMMYFUNCTION("""COMPUTED_VALUE"""),75.0)</f>
        <v>75</v>
      </c>
      <c r="K876" s="139">
        <f>IFERROR(__xludf.DUMMYFUNCTION("""COMPUTED_VALUE"""),0.0)</f>
        <v>0</v>
      </c>
      <c r="L876" s="139"/>
      <c r="M876" s="139" t="str">
        <f>IFERROR(__xludf.DUMMYFUNCTION("""COMPUTED_VALUE"""),"敵単体に自身の攻撃ステータスの{chara_jig_00601_Special_00002_power_parameter}%のダメージ + 攻撃がヒットした場合、敵を小ノックバック")</f>
        <v>敵単体に自身の攻撃ステータスの{chara_jig_00601_Special_00002_power_parameter}%のダメージ + 攻撃がヒットした場合、敵を小ノックバック</v>
      </c>
      <c r="N876" s="139" t="str">
        <f>IFERROR(__xludf.DUMMYFUNCTION("""COMPUTED_VALUE"""),"ステータスUP + 必殺ワザ性能UP")</f>
        <v>ステータスUP + 必殺ワザ性能UP</v>
      </c>
    </row>
    <row r="877">
      <c r="A877" s="139" t="str">
        <f>IFERROR(__xludf.DUMMYFUNCTION("""COMPUTED_VALUE"""),"e")</f>
        <v>e</v>
      </c>
      <c r="B877" s="139">
        <f>IFERROR(__xludf.DUMMYFUNCTION("""COMPUTED_VALUE"""),2.0260101E8)</f>
        <v>202601010</v>
      </c>
      <c r="C877" s="139" t="str">
        <f>IFERROR(__xludf.DUMMYFUNCTION("""COMPUTED_VALUE"""),"chara_jig_00601_Special_00003")</f>
        <v>chara_jig_00601_Special_00003</v>
      </c>
      <c r="D877" s="139" t="str">
        <f>IFERROR(__xludf.DUMMYFUNCTION("""COMPUTED_VALUE"""),"chara_jig_00601")</f>
        <v>chara_jig_00601</v>
      </c>
      <c r="E877" s="139">
        <f>IFERROR(__xludf.DUMMYFUNCTION("""COMPUTED_VALUE"""),3.0)</f>
        <v>3</v>
      </c>
      <c r="F877" s="139" t="str">
        <f>IFERROR(__xludf.DUMMYFUNCTION("""COMPUTED_VALUE"""),"Special")</f>
        <v>Special</v>
      </c>
      <c r="G877" s="139"/>
      <c r="H877" s="139"/>
      <c r="I877" s="139">
        <f>IFERROR(__xludf.DUMMYFUNCTION("""COMPUTED_VALUE"""),134.0)</f>
        <v>134</v>
      </c>
      <c r="J877" s="139">
        <f>IFERROR(__xludf.DUMMYFUNCTION("""COMPUTED_VALUE"""),75.0)</f>
        <v>75</v>
      </c>
      <c r="K877" s="139">
        <f>IFERROR(__xludf.DUMMYFUNCTION("""COMPUTED_VALUE"""),0.0)</f>
        <v>0</v>
      </c>
      <c r="L877" s="139"/>
      <c r="M877" s="139" t="str">
        <f>IFERROR(__xludf.DUMMYFUNCTION("""COMPUTED_VALUE"""),"敵単体に自身の攻撃ステータスの{chara_jig_00601_Special_00003_power_parameter}%のダメージ + 攻撃がヒットした場合、敵を小ノックバック")</f>
        <v>敵単体に自身の攻撃ステータスの{chara_jig_00601_Special_00003_power_parameter}%のダメージ + 攻撃がヒットした場合、敵を小ノックバック</v>
      </c>
      <c r="N877" s="139" t="str">
        <f>IFERROR(__xludf.DUMMYFUNCTION("""COMPUTED_VALUE"""),"ステータスUP + 必殺ワザ性能UP")</f>
        <v>ステータスUP + 必殺ワザ性能UP</v>
      </c>
    </row>
    <row r="878">
      <c r="A878" s="139" t="str">
        <f>IFERROR(__xludf.DUMMYFUNCTION("""COMPUTED_VALUE"""),"e")</f>
        <v>e</v>
      </c>
      <c r="B878" s="139">
        <f>IFERROR(__xludf.DUMMYFUNCTION("""COMPUTED_VALUE"""),2.0260101E8)</f>
        <v>202601010</v>
      </c>
      <c r="C878" s="139" t="str">
        <f>IFERROR(__xludf.DUMMYFUNCTION("""COMPUTED_VALUE"""),"chara_jig_00601_Special_00004")</f>
        <v>chara_jig_00601_Special_00004</v>
      </c>
      <c r="D878" s="139" t="str">
        <f>IFERROR(__xludf.DUMMYFUNCTION("""COMPUTED_VALUE"""),"chara_jig_00601")</f>
        <v>chara_jig_00601</v>
      </c>
      <c r="E878" s="139">
        <f>IFERROR(__xludf.DUMMYFUNCTION("""COMPUTED_VALUE"""),4.0)</f>
        <v>4</v>
      </c>
      <c r="F878" s="139" t="str">
        <f>IFERROR(__xludf.DUMMYFUNCTION("""COMPUTED_VALUE"""),"Special")</f>
        <v>Special</v>
      </c>
      <c r="G878" s="139"/>
      <c r="H878" s="139"/>
      <c r="I878" s="139">
        <f>IFERROR(__xludf.DUMMYFUNCTION("""COMPUTED_VALUE"""),134.0)</f>
        <v>134</v>
      </c>
      <c r="J878" s="139">
        <f>IFERROR(__xludf.DUMMYFUNCTION("""COMPUTED_VALUE"""),75.0)</f>
        <v>75</v>
      </c>
      <c r="K878" s="139">
        <f>IFERROR(__xludf.DUMMYFUNCTION("""COMPUTED_VALUE"""),0.0)</f>
        <v>0</v>
      </c>
      <c r="L878" s="139"/>
      <c r="M878" s="139" t="str">
        <f>IFERROR(__xludf.DUMMYFUNCTION("""COMPUTED_VALUE"""),"敵単体に自身の攻撃ステータスの{chara_jig_00601_Special_00004_power_parameter}%のダメージ + 攻撃がヒットした場合、敵を小ノックバック")</f>
        <v>敵単体に自身の攻撃ステータスの{chara_jig_00601_Special_00004_power_parameter}%のダメージ + 攻撃がヒットした場合、敵を小ノックバック</v>
      </c>
      <c r="N878" s="139" t="str">
        <f>IFERROR(__xludf.DUMMYFUNCTION("""COMPUTED_VALUE"""),"ステータスUP + 必殺ワザ性能UP")</f>
        <v>ステータスUP + 必殺ワザ性能UP</v>
      </c>
    </row>
    <row r="879">
      <c r="A879" s="139" t="str">
        <f>IFERROR(__xludf.DUMMYFUNCTION("""COMPUTED_VALUE"""),"e")</f>
        <v>e</v>
      </c>
      <c r="B879" s="139">
        <f>IFERROR(__xludf.DUMMYFUNCTION("""COMPUTED_VALUE"""),2.0260101E8)</f>
        <v>202601010</v>
      </c>
      <c r="C879" s="139" t="str">
        <f>IFERROR(__xludf.DUMMYFUNCTION("""COMPUTED_VALUE"""),"chara_jig_00601_Special_00005")</f>
        <v>chara_jig_00601_Special_00005</v>
      </c>
      <c r="D879" s="139" t="str">
        <f>IFERROR(__xludf.DUMMYFUNCTION("""COMPUTED_VALUE"""),"chara_jig_00601")</f>
        <v>chara_jig_00601</v>
      </c>
      <c r="E879" s="139">
        <f>IFERROR(__xludf.DUMMYFUNCTION("""COMPUTED_VALUE"""),5.0)</f>
        <v>5</v>
      </c>
      <c r="F879" s="139" t="str">
        <f>IFERROR(__xludf.DUMMYFUNCTION("""COMPUTED_VALUE"""),"Special")</f>
        <v>Special</v>
      </c>
      <c r="G879" s="139"/>
      <c r="H879" s="139"/>
      <c r="I879" s="139">
        <f>IFERROR(__xludf.DUMMYFUNCTION("""COMPUTED_VALUE"""),134.0)</f>
        <v>134</v>
      </c>
      <c r="J879" s="139">
        <f>IFERROR(__xludf.DUMMYFUNCTION("""COMPUTED_VALUE"""),75.0)</f>
        <v>75</v>
      </c>
      <c r="K879" s="139">
        <f>IFERROR(__xludf.DUMMYFUNCTION("""COMPUTED_VALUE"""),0.0)</f>
        <v>0</v>
      </c>
      <c r="L879" s="139"/>
      <c r="M879" s="139" t="str">
        <f>IFERROR(__xludf.DUMMYFUNCTION("""COMPUTED_VALUE"""),"敵単体に自身の攻撃ステータスの{chara_jig_00601_Special_00005_power_parameter}%のダメージ + 攻撃がヒットした場合、敵を小ノックバック")</f>
        <v>敵単体に自身の攻撃ステータスの{chara_jig_00601_Special_00005_power_parameter}%のダメージ + 攻撃がヒットした場合、敵を小ノックバック</v>
      </c>
      <c r="N879" s="139" t="str">
        <f>IFERROR(__xludf.DUMMYFUNCTION("""COMPUTED_VALUE"""),"ステータスUP + 必殺ワザ性能UP")</f>
        <v>ステータスUP + 必殺ワザ性能UP</v>
      </c>
    </row>
    <row r="880">
      <c r="A880" s="139"/>
      <c r="B880" s="139"/>
      <c r="C880" s="139" t="str">
        <f>IFERROR(__xludf.DUMMYFUNCTION("""COMPUTED_VALUE"""),"chara_jig_00601_Special_00006")</f>
        <v>chara_jig_00601_Special_00006</v>
      </c>
      <c r="D880" s="139" t="str">
        <f>IFERROR(__xludf.DUMMYFUNCTION("""COMPUTED_VALUE"""),"chara_jig_00601")</f>
        <v>chara_jig_00601</v>
      </c>
      <c r="E880" s="139">
        <f>IFERROR(__xludf.DUMMYFUNCTION("""COMPUTED_VALUE"""),6.0)</f>
        <v>6</v>
      </c>
      <c r="F880" s="139" t="str">
        <f>IFERROR(__xludf.DUMMYFUNCTION("""COMPUTED_VALUE"""),"Special")</f>
        <v>Special</v>
      </c>
      <c r="G880" s="139"/>
      <c r="H880" s="139"/>
      <c r="I880" s="139">
        <f>IFERROR(__xludf.DUMMYFUNCTION("""COMPUTED_VALUE"""),134.0)</f>
        <v>134</v>
      </c>
      <c r="J880" s="139">
        <f>IFERROR(__xludf.DUMMYFUNCTION("""COMPUTED_VALUE"""),75.0)</f>
        <v>75</v>
      </c>
      <c r="K880" s="139">
        <f>IFERROR(__xludf.DUMMYFUNCTION("""COMPUTED_VALUE"""),0.0)</f>
        <v>0</v>
      </c>
      <c r="L880" s="139"/>
      <c r="M880" s="139"/>
      <c r="N880" s="139"/>
    </row>
    <row r="881">
      <c r="A881" s="139"/>
      <c r="B881" s="139"/>
      <c r="C881" s="139" t="str">
        <f>IFERROR(__xludf.DUMMYFUNCTION("""COMPUTED_VALUE"""),"chara_jig_00601_Special_00007")</f>
        <v>chara_jig_00601_Special_00007</v>
      </c>
      <c r="D881" s="139" t="str">
        <f>IFERROR(__xludf.DUMMYFUNCTION("""COMPUTED_VALUE"""),"chara_jig_00601")</f>
        <v>chara_jig_00601</v>
      </c>
      <c r="E881" s="139">
        <f>IFERROR(__xludf.DUMMYFUNCTION("""COMPUTED_VALUE"""),7.0)</f>
        <v>7</v>
      </c>
      <c r="F881" s="139" t="str">
        <f>IFERROR(__xludf.DUMMYFUNCTION("""COMPUTED_VALUE"""),"Special")</f>
        <v>Special</v>
      </c>
      <c r="G881" s="139"/>
      <c r="H881" s="139"/>
      <c r="I881" s="139">
        <f>IFERROR(__xludf.DUMMYFUNCTION("""COMPUTED_VALUE"""),134.0)</f>
        <v>134</v>
      </c>
      <c r="J881" s="139">
        <f>IFERROR(__xludf.DUMMYFUNCTION("""COMPUTED_VALUE"""),75.0)</f>
        <v>75</v>
      </c>
      <c r="K881" s="139">
        <f>IFERROR(__xludf.DUMMYFUNCTION("""COMPUTED_VALUE"""),0.0)</f>
        <v>0</v>
      </c>
      <c r="L881" s="139"/>
      <c r="M881" s="139"/>
      <c r="N881" s="139"/>
    </row>
    <row r="882">
      <c r="A882" s="139"/>
      <c r="B882" s="139"/>
      <c r="C882" s="139" t="str">
        <f>IFERROR(__xludf.DUMMYFUNCTION("""COMPUTED_VALUE"""),"chara_jig_00601_Special_00008")</f>
        <v>chara_jig_00601_Special_00008</v>
      </c>
      <c r="D882" s="139" t="str">
        <f>IFERROR(__xludf.DUMMYFUNCTION("""COMPUTED_VALUE"""),"chara_jig_00601")</f>
        <v>chara_jig_00601</v>
      </c>
      <c r="E882" s="139">
        <f>IFERROR(__xludf.DUMMYFUNCTION("""COMPUTED_VALUE"""),8.0)</f>
        <v>8</v>
      </c>
      <c r="F882" s="139" t="str">
        <f>IFERROR(__xludf.DUMMYFUNCTION("""COMPUTED_VALUE"""),"Special")</f>
        <v>Special</v>
      </c>
      <c r="G882" s="139"/>
      <c r="H882" s="139"/>
      <c r="I882" s="139">
        <f>IFERROR(__xludf.DUMMYFUNCTION("""COMPUTED_VALUE"""),134.0)</f>
        <v>134</v>
      </c>
      <c r="J882" s="139">
        <f>IFERROR(__xludf.DUMMYFUNCTION("""COMPUTED_VALUE"""),75.0)</f>
        <v>75</v>
      </c>
      <c r="K882" s="139">
        <f>IFERROR(__xludf.DUMMYFUNCTION("""COMPUTED_VALUE"""),0.0)</f>
        <v>0</v>
      </c>
      <c r="L882" s="139"/>
      <c r="M882" s="139"/>
      <c r="N882" s="139"/>
    </row>
    <row r="883">
      <c r="A883" s="139"/>
      <c r="B883" s="139"/>
      <c r="C883" s="139" t="str">
        <f>IFERROR(__xludf.DUMMYFUNCTION("""COMPUTED_VALUE"""),"chara_jig_00601_Special_00009")</f>
        <v>chara_jig_00601_Special_00009</v>
      </c>
      <c r="D883" s="139" t="str">
        <f>IFERROR(__xludf.DUMMYFUNCTION("""COMPUTED_VALUE"""),"chara_jig_00601")</f>
        <v>chara_jig_00601</v>
      </c>
      <c r="E883" s="139">
        <f>IFERROR(__xludf.DUMMYFUNCTION("""COMPUTED_VALUE"""),9.0)</f>
        <v>9</v>
      </c>
      <c r="F883" s="139" t="str">
        <f>IFERROR(__xludf.DUMMYFUNCTION("""COMPUTED_VALUE"""),"Special")</f>
        <v>Special</v>
      </c>
      <c r="G883" s="139"/>
      <c r="H883" s="139"/>
      <c r="I883" s="139">
        <f>IFERROR(__xludf.DUMMYFUNCTION("""COMPUTED_VALUE"""),134.0)</f>
        <v>134</v>
      </c>
      <c r="J883" s="139">
        <f>IFERROR(__xludf.DUMMYFUNCTION("""COMPUTED_VALUE"""),75.0)</f>
        <v>75</v>
      </c>
      <c r="K883" s="139">
        <f>IFERROR(__xludf.DUMMYFUNCTION("""COMPUTED_VALUE"""),0.0)</f>
        <v>0</v>
      </c>
      <c r="L883" s="139"/>
      <c r="M883" s="139"/>
      <c r="N883" s="139"/>
    </row>
    <row r="884">
      <c r="A884" s="139"/>
      <c r="B884" s="139"/>
      <c r="C884" s="139" t="str">
        <f>IFERROR(__xludf.DUMMYFUNCTION("""COMPUTED_VALUE"""),"chara_jig_00601_Special_00010")</f>
        <v>chara_jig_00601_Special_00010</v>
      </c>
      <c r="D884" s="139" t="str">
        <f>IFERROR(__xludf.DUMMYFUNCTION("""COMPUTED_VALUE"""),"chara_jig_00601")</f>
        <v>chara_jig_00601</v>
      </c>
      <c r="E884" s="139">
        <f>IFERROR(__xludf.DUMMYFUNCTION("""COMPUTED_VALUE"""),10.0)</f>
        <v>10</v>
      </c>
      <c r="F884" s="139" t="str">
        <f>IFERROR(__xludf.DUMMYFUNCTION("""COMPUTED_VALUE"""),"Special")</f>
        <v>Special</v>
      </c>
      <c r="G884" s="139"/>
      <c r="H884" s="139"/>
      <c r="I884" s="139">
        <f>IFERROR(__xludf.DUMMYFUNCTION("""COMPUTED_VALUE"""),134.0)</f>
        <v>134</v>
      </c>
      <c r="J884" s="139">
        <f>IFERROR(__xludf.DUMMYFUNCTION("""COMPUTED_VALUE"""),75.0)</f>
        <v>75</v>
      </c>
      <c r="K884" s="139">
        <f>IFERROR(__xludf.DUMMYFUNCTION("""COMPUTED_VALUE"""),0.0)</f>
        <v>0</v>
      </c>
      <c r="L884" s="139"/>
      <c r="M884" s="139"/>
      <c r="N884" s="139"/>
    </row>
    <row r="885">
      <c r="A885" s="139" t="str">
        <f>IFERROR(__xludf.DUMMYFUNCTION("""COMPUTED_VALUE"""),"e")</f>
        <v>e</v>
      </c>
      <c r="B885" s="139">
        <f>IFERROR(__xludf.DUMMYFUNCTION("""COMPUTED_VALUE"""),2.02602015E8)</f>
        <v>202602015</v>
      </c>
      <c r="C885" s="139" t="str">
        <f>IFERROR(__xludf.DUMMYFUNCTION("""COMPUTED_VALUE"""),"chara_you_00001_Normal_00000")</f>
        <v>chara_you_00001_Normal_00000</v>
      </c>
      <c r="D885" s="139" t="str">
        <f>IFERROR(__xludf.DUMMYFUNCTION("""COMPUTED_VALUE"""),"chara_you_00001")</f>
        <v>chara_you_00001</v>
      </c>
      <c r="E885" s="139">
        <f>IFERROR(__xludf.DUMMYFUNCTION("""COMPUTED_VALUE"""),0.0)</f>
        <v>0</v>
      </c>
      <c r="F885" s="139" t="str">
        <f>IFERROR(__xludf.DUMMYFUNCTION("""COMPUTED_VALUE"""),"Normal")</f>
        <v>Normal</v>
      </c>
      <c r="G885" s="139"/>
      <c r="H885" s="139"/>
      <c r="I885" s="139">
        <f>IFERROR(__xludf.DUMMYFUNCTION("""COMPUTED_VALUE"""),67.0)</f>
        <v>67</v>
      </c>
      <c r="J885" s="139">
        <f>IFERROR(__xludf.DUMMYFUNCTION("""COMPUTED_VALUE"""),23.0)</f>
        <v>23</v>
      </c>
      <c r="K885" s="139">
        <f>IFERROR(__xludf.DUMMYFUNCTION("""COMPUTED_VALUE"""),75.0)</f>
        <v>75</v>
      </c>
      <c r="L885" s="139"/>
      <c r="M885" s="139"/>
      <c r="N885" s="139"/>
    </row>
    <row r="886">
      <c r="A886" s="139" t="str">
        <f>IFERROR(__xludf.DUMMYFUNCTION("""COMPUTED_VALUE"""),"e")</f>
        <v>e</v>
      </c>
      <c r="B886" s="139">
        <f>IFERROR(__xludf.DUMMYFUNCTION("""COMPUTED_VALUE"""),2.02602015E8)</f>
        <v>202602015</v>
      </c>
      <c r="C886" s="139" t="str">
        <f>IFERROR(__xludf.DUMMYFUNCTION("""COMPUTED_VALUE"""),"chara_you_00001_Special_00001")</f>
        <v>chara_you_00001_Special_00001</v>
      </c>
      <c r="D886" s="139" t="str">
        <f>IFERROR(__xludf.DUMMYFUNCTION("""COMPUTED_VALUE"""),"chara_you_00001")</f>
        <v>chara_you_00001</v>
      </c>
      <c r="E886" s="139">
        <f>IFERROR(__xludf.DUMMYFUNCTION("""COMPUTED_VALUE"""),1.0)</f>
        <v>1</v>
      </c>
      <c r="F886" s="139" t="str">
        <f>IFERROR(__xludf.DUMMYFUNCTION("""COMPUTED_VALUE"""),"Special")</f>
        <v>Special</v>
      </c>
      <c r="G886" s="139" t="str">
        <f>IFERROR(__xludf.DUMMYFUNCTION("""COMPUTED_VALUE"""),"Green")</f>
        <v>Green</v>
      </c>
      <c r="H886" s="139">
        <f>IFERROR(__xludf.DUMMYFUNCTION("""COMPUTED_VALUE"""),195.0)</f>
        <v>195</v>
      </c>
      <c r="I886" s="139">
        <f>IFERROR(__xludf.DUMMYFUNCTION("""COMPUTED_VALUE"""),89.0)</f>
        <v>89</v>
      </c>
      <c r="J886" s="139">
        <f>IFERROR(__xludf.DUMMYFUNCTION("""COMPUTED_VALUE"""),0.0)</f>
        <v>0</v>
      </c>
      <c r="K886" s="139">
        <f>IFERROR(__xludf.DUMMYFUNCTION("""COMPUTED_VALUE"""),0.0)</f>
        <v>0</v>
      </c>
      <c r="L886" s="139"/>
      <c r="M886" s="139" t="str">
        <f>IFERROR(__xludf.DUMMYFUNCTION("""COMPUTED_VALUE"""),"敵単体に最大3回の連続攻撃(自身の攻撃ステータスの最大120%ダメージ、敵が緑属性の場合は自身の攻撃ステータスの最大234%のダメージ)")</f>
        <v>敵単体に最大3回の連続攻撃(自身の攻撃ステータスの最大120%ダメージ、敵が緑属性の場合は自身の攻撃ステータスの最大234%のダメージ)</v>
      </c>
      <c r="N886" s="139"/>
    </row>
    <row r="887">
      <c r="A887" s="139" t="str">
        <f>IFERROR(__xludf.DUMMYFUNCTION("""COMPUTED_VALUE"""),"e")</f>
        <v>e</v>
      </c>
      <c r="B887" s="139">
        <f>IFERROR(__xludf.DUMMYFUNCTION("""COMPUTED_VALUE"""),2.02602015E8)</f>
        <v>202602015</v>
      </c>
      <c r="C887" s="139" t="str">
        <f>IFERROR(__xludf.DUMMYFUNCTION("""COMPUTED_VALUE"""),"chara_you_00001_Special_00002")</f>
        <v>chara_you_00001_Special_00002</v>
      </c>
      <c r="D887" s="139" t="str">
        <f>IFERROR(__xludf.DUMMYFUNCTION("""COMPUTED_VALUE"""),"chara_you_00001")</f>
        <v>chara_you_00001</v>
      </c>
      <c r="E887" s="139">
        <f>IFERROR(__xludf.DUMMYFUNCTION("""COMPUTED_VALUE"""),2.0)</f>
        <v>2</v>
      </c>
      <c r="F887" s="139" t="str">
        <f>IFERROR(__xludf.DUMMYFUNCTION("""COMPUTED_VALUE"""),"Special")</f>
        <v>Special</v>
      </c>
      <c r="G887" s="139" t="str">
        <f>IFERROR(__xludf.DUMMYFUNCTION("""COMPUTED_VALUE"""),"Green")</f>
        <v>Green</v>
      </c>
      <c r="H887" s="139">
        <f>IFERROR(__xludf.DUMMYFUNCTION("""COMPUTED_VALUE"""),202.0)</f>
        <v>202</v>
      </c>
      <c r="I887" s="139">
        <f>IFERROR(__xludf.DUMMYFUNCTION("""COMPUTED_VALUE"""),89.0)</f>
        <v>89</v>
      </c>
      <c r="J887" s="139">
        <f>IFERROR(__xludf.DUMMYFUNCTION("""COMPUTED_VALUE"""),0.0)</f>
        <v>0</v>
      </c>
      <c r="K887" s="139">
        <f>IFERROR(__xludf.DUMMYFUNCTION("""COMPUTED_VALUE"""),0.0)</f>
        <v>0</v>
      </c>
      <c r="L887" s="139"/>
      <c r="M887" s="139" t="str">
        <f>IFERROR(__xludf.DUMMYFUNCTION("""COMPUTED_VALUE"""),"敵単体に最大3回の連続攻撃(自身の攻撃ステータスの最大130%ダメージ、敵が緑属性の場合は自身の攻撃ステータスの最大262.6%のダメージ)")</f>
        <v>敵単体に最大3回の連続攻撃(自身の攻撃ステータスの最大130%ダメージ、敵が緑属性の場合は自身の攻撃ステータスの最大262.6%のダメージ)</v>
      </c>
      <c r="N887" s="139" t="str">
        <f>IFERROR(__xludf.DUMMYFUNCTION("""COMPUTED_VALUE"""),"ステータスUP + 必殺ワザ性能UP")</f>
        <v>ステータスUP + 必殺ワザ性能UP</v>
      </c>
    </row>
    <row r="888">
      <c r="A888" s="139" t="str">
        <f>IFERROR(__xludf.DUMMYFUNCTION("""COMPUTED_VALUE"""),"e")</f>
        <v>e</v>
      </c>
      <c r="B888" s="139">
        <f>IFERROR(__xludf.DUMMYFUNCTION("""COMPUTED_VALUE"""),2.02602015E8)</f>
        <v>202602015</v>
      </c>
      <c r="C888" s="139" t="str">
        <f>IFERROR(__xludf.DUMMYFUNCTION("""COMPUTED_VALUE"""),"chara_you_00001_Special_00003")</f>
        <v>chara_you_00001_Special_00003</v>
      </c>
      <c r="D888" s="139" t="str">
        <f>IFERROR(__xludf.DUMMYFUNCTION("""COMPUTED_VALUE"""),"chara_you_00001")</f>
        <v>chara_you_00001</v>
      </c>
      <c r="E888" s="139">
        <f>IFERROR(__xludf.DUMMYFUNCTION("""COMPUTED_VALUE"""),3.0)</f>
        <v>3</v>
      </c>
      <c r="F888" s="139" t="str">
        <f>IFERROR(__xludf.DUMMYFUNCTION("""COMPUTED_VALUE"""),"Special")</f>
        <v>Special</v>
      </c>
      <c r="G888" s="139" t="str">
        <f>IFERROR(__xludf.DUMMYFUNCTION("""COMPUTED_VALUE"""),"Green")</f>
        <v>Green</v>
      </c>
      <c r="H888" s="139">
        <f>IFERROR(__xludf.DUMMYFUNCTION("""COMPUTED_VALUE"""),214.0)</f>
        <v>214</v>
      </c>
      <c r="I888" s="139">
        <f>IFERROR(__xludf.DUMMYFUNCTION("""COMPUTED_VALUE"""),89.0)</f>
        <v>89</v>
      </c>
      <c r="J888" s="139">
        <f>IFERROR(__xludf.DUMMYFUNCTION("""COMPUTED_VALUE"""),0.0)</f>
        <v>0</v>
      </c>
      <c r="K888" s="139">
        <f>IFERROR(__xludf.DUMMYFUNCTION("""COMPUTED_VALUE"""),0.0)</f>
        <v>0</v>
      </c>
      <c r="L888" s="139"/>
      <c r="M888" s="139" t="str">
        <f>IFERROR(__xludf.DUMMYFUNCTION("""COMPUTED_VALUE"""),"敵単体に最大3回の連続攻撃(自身の攻撃ステータスの最大146%ダメージ、敵が緑属性の場合は自身の攻撃ステータスの最大312.44%のダメージ)")</f>
        <v>敵単体に最大3回の連続攻撃(自身の攻撃ステータスの最大146%ダメージ、敵が緑属性の場合は自身の攻撃ステータスの最大312.44%のダメージ)</v>
      </c>
      <c r="N888" s="139" t="str">
        <f>IFERROR(__xludf.DUMMYFUNCTION("""COMPUTED_VALUE"""),"ステータスUP + 必殺ワザ性能UP")</f>
        <v>ステータスUP + 必殺ワザ性能UP</v>
      </c>
    </row>
    <row r="889">
      <c r="A889" s="139" t="str">
        <f>IFERROR(__xludf.DUMMYFUNCTION("""COMPUTED_VALUE"""),"e")</f>
        <v>e</v>
      </c>
      <c r="B889" s="139">
        <f>IFERROR(__xludf.DUMMYFUNCTION("""COMPUTED_VALUE"""),2.02602015E8)</f>
        <v>202602015</v>
      </c>
      <c r="C889" s="139" t="str">
        <f>IFERROR(__xludf.DUMMYFUNCTION("""COMPUTED_VALUE"""),"chara_you_00001_Special_00004")</f>
        <v>chara_you_00001_Special_00004</v>
      </c>
      <c r="D889" s="139" t="str">
        <f>IFERROR(__xludf.DUMMYFUNCTION("""COMPUTED_VALUE"""),"chara_you_00001")</f>
        <v>chara_you_00001</v>
      </c>
      <c r="E889" s="139">
        <f>IFERROR(__xludf.DUMMYFUNCTION("""COMPUTED_VALUE"""),4.0)</f>
        <v>4</v>
      </c>
      <c r="F889" s="139" t="str">
        <f>IFERROR(__xludf.DUMMYFUNCTION("""COMPUTED_VALUE"""),"Special")</f>
        <v>Special</v>
      </c>
      <c r="G889" s="139" t="str">
        <f>IFERROR(__xludf.DUMMYFUNCTION("""COMPUTED_VALUE"""),"Green")</f>
        <v>Green</v>
      </c>
      <c r="H889" s="139">
        <f>IFERROR(__xludf.DUMMYFUNCTION("""COMPUTED_VALUE"""),218.0)</f>
        <v>218</v>
      </c>
      <c r="I889" s="139">
        <f>IFERROR(__xludf.DUMMYFUNCTION("""COMPUTED_VALUE"""),89.0)</f>
        <v>89</v>
      </c>
      <c r="J889" s="139">
        <f>IFERROR(__xludf.DUMMYFUNCTION("""COMPUTED_VALUE"""),0.0)</f>
        <v>0</v>
      </c>
      <c r="K889" s="139">
        <f>IFERROR(__xludf.DUMMYFUNCTION("""COMPUTED_VALUE"""),0.0)</f>
        <v>0</v>
      </c>
      <c r="L889" s="139"/>
      <c r="M889" s="139" t="str">
        <f>IFERROR(__xludf.DUMMYFUNCTION("""COMPUTED_VALUE"""),"敵単体に最大3回の連続攻撃(自身の攻撃ステータスの最大151%ダメージ、敵が緑属性の場合は自身の攻撃ステータスの最大329.18%のダメージ)")</f>
        <v>敵単体に最大3回の連続攻撃(自身の攻撃ステータスの最大151%ダメージ、敵が緑属性の場合は自身の攻撃ステータスの最大329.18%のダメージ)</v>
      </c>
      <c r="N889" s="139" t="str">
        <f>IFERROR(__xludf.DUMMYFUNCTION("""COMPUTED_VALUE"""),"ステータスUP + 必殺ワザ性能UP")</f>
        <v>ステータスUP + 必殺ワザ性能UP</v>
      </c>
    </row>
    <row r="890">
      <c r="A890" s="139" t="str">
        <f>IFERROR(__xludf.DUMMYFUNCTION("""COMPUTED_VALUE"""),"e")</f>
        <v>e</v>
      </c>
      <c r="B890" s="139">
        <f>IFERROR(__xludf.DUMMYFUNCTION("""COMPUTED_VALUE"""),2.02602015E8)</f>
        <v>202602015</v>
      </c>
      <c r="C890" s="139" t="str">
        <f>IFERROR(__xludf.DUMMYFUNCTION("""COMPUTED_VALUE"""),"chara_you_00001_Special_00005")</f>
        <v>chara_you_00001_Special_00005</v>
      </c>
      <c r="D890" s="139" t="str">
        <f>IFERROR(__xludf.DUMMYFUNCTION("""COMPUTED_VALUE"""),"chara_you_00001")</f>
        <v>chara_you_00001</v>
      </c>
      <c r="E890" s="139">
        <f>IFERROR(__xludf.DUMMYFUNCTION("""COMPUTED_VALUE"""),5.0)</f>
        <v>5</v>
      </c>
      <c r="F890" s="139" t="str">
        <f>IFERROR(__xludf.DUMMYFUNCTION("""COMPUTED_VALUE"""),"Special")</f>
        <v>Special</v>
      </c>
      <c r="G890" s="139" t="str">
        <f>IFERROR(__xludf.DUMMYFUNCTION("""COMPUTED_VALUE"""),"Green")</f>
        <v>Green</v>
      </c>
      <c r="H890" s="139">
        <f>IFERROR(__xludf.DUMMYFUNCTION("""COMPUTED_VALUE"""),225.0)</f>
        <v>225</v>
      </c>
      <c r="I890" s="139">
        <f>IFERROR(__xludf.DUMMYFUNCTION("""COMPUTED_VALUE"""),89.0)</f>
        <v>89</v>
      </c>
      <c r="J890" s="139">
        <f>IFERROR(__xludf.DUMMYFUNCTION("""COMPUTED_VALUE"""),0.0)</f>
        <v>0</v>
      </c>
      <c r="K890" s="139">
        <f>IFERROR(__xludf.DUMMYFUNCTION("""COMPUTED_VALUE"""),0.0)</f>
        <v>0</v>
      </c>
      <c r="L890" s="139"/>
      <c r="M890" s="139" t="str">
        <f>IFERROR(__xludf.DUMMYFUNCTION("""COMPUTED_VALUE"""),"敵単体に最大3回の連続攻撃(自身の攻撃ステータスの最大160%ダメージ、敵が緑属性の場合は自身の攻撃ステータスの最大360%のダメージ)")</f>
        <v>敵単体に最大3回の連続攻撃(自身の攻撃ステータスの最大160%ダメージ、敵が緑属性の場合は自身の攻撃ステータスの最大360%のダメージ)</v>
      </c>
      <c r="N890" s="139" t="str">
        <f>IFERROR(__xludf.DUMMYFUNCTION("""COMPUTED_VALUE"""),"ステータスUP + 必殺ワザ性能UP")</f>
        <v>ステータスUP + 必殺ワザ性能UP</v>
      </c>
    </row>
    <row r="891">
      <c r="A891" s="139"/>
      <c r="B891" s="139"/>
      <c r="C891" s="139" t="str">
        <f>IFERROR(__xludf.DUMMYFUNCTION("""COMPUTED_VALUE"""),"chara_you_00001_Special_00006")</f>
        <v>chara_you_00001_Special_00006</v>
      </c>
      <c r="D891" s="139" t="str">
        <f>IFERROR(__xludf.DUMMYFUNCTION("""COMPUTED_VALUE"""),"chara_you_00001")</f>
        <v>chara_you_00001</v>
      </c>
      <c r="E891" s="139">
        <f>IFERROR(__xludf.DUMMYFUNCTION("""COMPUTED_VALUE"""),6.0)</f>
        <v>6</v>
      </c>
      <c r="F891" s="139" t="str">
        <f>IFERROR(__xludf.DUMMYFUNCTION("""COMPUTED_VALUE"""),"Special")</f>
        <v>Special</v>
      </c>
      <c r="G891" s="139"/>
      <c r="H891" s="139"/>
      <c r="I891" s="139">
        <f>IFERROR(__xludf.DUMMYFUNCTION("""COMPUTED_VALUE"""),89.0)</f>
        <v>89</v>
      </c>
      <c r="J891" s="139">
        <f>IFERROR(__xludf.DUMMYFUNCTION("""COMPUTED_VALUE"""),0.0)</f>
        <v>0</v>
      </c>
      <c r="K891" s="139">
        <f>IFERROR(__xludf.DUMMYFUNCTION("""COMPUTED_VALUE"""),0.0)</f>
        <v>0</v>
      </c>
      <c r="L891" s="139"/>
      <c r="M891" s="139"/>
      <c r="N891" s="139"/>
    </row>
    <row r="892">
      <c r="A892" s="139"/>
      <c r="B892" s="139"/>
      <c r="C892" s="139" t="str">
        <f>IFERROR(__xludf.DUMMYFUNCTION("""COMPUTED_VALUE"""),"chara_you_00001_Special_00007")</f>
        <v>chara_you_00001_Special_00007</v>
      </c>
      <c r="D892" s="139" t="str">
        <f>IFERROR(__xludf.DUMMYFUNCTION("""COMPUTED_VALUE"""),"chara_you_00001")</f>
        <v>chara_you_00001</v>
      </c>
      <c r="E892" s="139">
        <f>IFERROR(__xludf.DUMMYFUNCTION("""COMPUTED_VALUE"""),7.0)</f>
        <v>7</v>
      </c>
      <c r="F892" s="139" t="str">
        <f>IFERROR(__xludf.DUMMYFUNCTION("""COMPUTED_VALUE"""),"Special")</f>
        <v>Special</v>
      </c>
      <c r="G892" s="139"/>
      <c r="H892" s="139"/>
      <c r="I892" s="139">
        <f>IFERROR(__xludf.DUMMYFUNCTION("""COMPUTED_VALUE"""),89.0)</f>
        <v>89</v>
      </c>
      <c r="J892" s="139">
        <f>IFERROR(__xludf.DUMMYFUNCTION("""COMPUTED_VALUE"""),0.0)</f>
        <v>0</v>
      </c>
      <c r="K892" s="139">
        <f>IFERROR(__xludf.DUMMYFUNCTION("""COMPUTED_VALUE"""),0.0)</f>
        <v>0</v>
      </c>
      <c r="L892" s="139"/>
      <c r="M892" s="139"/>
      <c r="N892" s="139"/>
    </row>
    <row r="893">
      <c r="A893" s="139"/>
      <c r="B893" s="139"/>
      <c r="C893" s="139" t="str">
        <f>IFERROR(__xludf.DUMMYFUNCTION("""COMPUTED_VALUE"""),"chara_you_00001_Special_00008")</f>
        <v>chara_you_00001_Special_00008</v>
      </c>
      <c r="D893" s="139" t="str">
        <f>IFERROR(__xludf.DUMMYFUNCTION("""COMPUTED_VALUE"""),"chara_you_00001")</f>
        <v>chara_you_00001</v>
      </c>
      <c r="E893" s="139">
        <f>IFERROR(__xludf.DUMMYFUNCTION("""COMPUTED_VALUE"""),8.0)</f>
        <v>8</v>
      </c>
      <c r="F893" s="139" t="str">
        <f>IFERROR(__xludf.DUMMYFUNCTION("""COMPUTED_VALUE"""),"Special")</f>
        <v>Special</v>
      </c>
      <c r="G893" s="139"/>
      <c r="H893" s="139"/>
      <c r="I893" s="139">
        <f>IFERROR(__xludf.DUMMYFUNCTION("""COMPUTED_VALUE"""),89.0)</f>
        <v>89</v>
      </c>
      <c r="J893" s="139">
        <f>IFERROR(__xludf.DUMMYFUNCTION("""COMPUTED_VALUE"""),0.0)</f>
        <v>0</v>
      </c>
      <c r="K893" s="139">
        <f>IFERROR(__xludf.DUMMYFUNCTION("""COMPUTED_VALUE"""),0.0)</f>
        <v>0</v>
      </c>
      <c r="L893" s="139"/>
      <c r="M893" s="139"/>
      <c r="N893" s="139"/>
    </row>
    <row r="894">
      <c r="A894" s="139"/>
      <c r="B894" s="139"/>
      <c r="C894" s="139" t="str">
        <f>IFERROR(__xludf.DUMMYFUNCTION("""COMPUTED_VALUE"""),"chara_you_00001_Special_00009")</f>
        <v>chara_you_00001_Special_00009</v>
      </c>
      <c r="D894" s="139" t="str">
        <f>IFERROR(__xludf.DUMMYFUNCTION("""COMPUTED_VALUE"""),"chara_you_00001")</f>
        <v>chara_you_00001</v>
      </c>
      <c r="E894" s="139">
        <f>IFERROR(__xludf.DUMMYFUNCTION("""COMPUTED_VALUE"""),9.0)</f>
        <v>9</v>
      </c>
      <c r="F894" s="139" t="str">
        <f>IFERROR(__xludf.DUMMYFUNCTION("""COMPUTED_VALUE"""),"Special")</f>
        <v>Special</v>
      </c>
      <c r="G894" s="139"/>
      <c r="H894" s="139"/>
      <c r="I894" s="139">
        <f>IFERROR(__xludf.DUMMYFUNCTION("""COMPUTED_VALUE"""),89.0)</f>
        <v>89</v>
      </c>
      <c r="J894" s="139">
        <f>IFERROR(__xludf.DUMMYFUNCTION("""COMPUTED_VALUE"""),0.0)</f>
        <v>0</v>
      </c>
      <c r="K894" s="139">
        <f>IFERROR(__xludf.DUMMYFUNCTION("""COMPUTED_VALUE"""),0.0)</f>
        <v>0</v>
      </c>
      <c r="L894" s="139"/>
      <c r="M894" s="139"/>
      <c r="N894" s="139"/>
    </row>
    <row r="895">
      <c r="A895" s="139"/>
      <c r="B895" s="139"/>
      <c r="C895" s="139" t="str">
        <f>IFERROR(__xludf.DUMMYFUNCTION("""COMPUTED_VALUE"""),"chara_you_00001_Special_00010")</f>
        <v>chara_you_00001_Special_00010</v>
      </c>
      <c r="D895" s="139" t="str">
        <f>IFERROR(__xludf.DUMMYFUNCTION("""COMPUTED_VALUE"""),"chara_you_00001")</f>
        <v>chara_you_00001</v>
      </c>
      <c r="E895" s="139">
        <f>IFERROR(__xludf.DUMMYFUNCTION("""COMPUTED_VALUE"""),10.0)</f>
        <v>10</v>
      </c>
      <c r="F895" s="139" t="str">
        <f>IFERROR(__xludf.DUMMYFUNCTION("""COMPUTED_VALUE"""),"Special")</f>
        <v>Special</v>
      </c>
      <c r="G895" s="139"/>
      <c r="H895" s="139"/>
      <c r="I895" s="139">
        <f>IFERROR(__xludf.DUMMYFUNCTION("""COMPUTED_VALUE"""),89.0)</f>
        <v>89</v>
      </c>
      <c r="J895" s="139">
        <f>IFERROR(__xludf.DUMMYFUNCTION("""COMPUTED_VALUE"""),0.0)</f>
        <v>0</v>
      </c>
      <c r="K895" s="139">
        <f>IFERROR(__xludf.DUMMYFUNCTION("""COMPUTED_VALUE"""),0.0)</f>
        <v>0</v>
      </c>
      <c r="L895" s="139"/>
      <c r="M895" s="139"/>
      <c r="N895" s="139"/>
    </row>
    <row r="896">
      <c r="A896" s="139" t="str">
        <f>IFERROR(__xludf.DUMMYFUNCTION("""COMPUTED_VALUE"""),"e")</f>
        <v>e</v>
      </c>
      <c r="B896" s="139">
        <f>IFERROR(__xludf.DUMMYFUNCTION("""COMPUTED_VALUE"""),2.02602015E8)</f>
        <v>202602015</v>
      </c>
      <c r="C896" s="139" t="str">
        <f>IFERROR(__xludf.DUMMYFUNCTION("""COMPUTED_VALUE"""),"chara_you_00101_Normal_00000")</f>
        <v>chara_you_00101_Normal_00000</v>
      </c>
      <c r="D896" s="139" t="str">
        <f>IFERROR(__xludf.DUMMYFUNCTION("""COMPUTED_VALUE"""),"chara_you_00101")</f>
        <v>chara_you_00101</v>
      </c>
      <c r="E896" s="139">
        <f>IFERROR(__xludf.DUMMYFUNCTION("""COMPUTED_VALUE"""),0.0)</f>
        <v>0</v>
      </c>
      <c r="F896" s="139" t="str">
        <f>IFERROR(__xludf.DUMMYFUNCTION("""COMPUTED_VALUE"""),"Normal")</f>
        <v>Normal</v>
      </c>
      <c r="G896" s="139"/>
      <c r="H896" s="139"/>
      <c r="I896" s="139">
        <f>IFERROR(__xludf.DUMMYFUNCTION("""COMPUTED_VALUE"""),82.0)</f>
        <v>82</v>
      </c>
      <c r="J896" s="139">
        <f>IFERROR(__xludf.DUMMYFUNCTION("""COMPUTED_VALUE"""),33.0)</f>
        <v>33</v>
      </c>
      <c r="K896" s="139">
        <f>IFERROR(__xludf.DUMMYFUNCTION("""COMPUTED_VALUE"""),65.0)</f>
        <v>65</v>
      </c>
      <c r="L896" s="139"/>
      <c r="M896" s="139"/>
      <c r="N896" s="139"/>
    </row>
    <row r="897">
      <c r="A897" s="139" t="str">
        <f>IFERROR(__xludf.DUMMYFUNCTION("""COMPUTED_VALUE"""),"e")</f>
        <v>e</v>
      </c>
      <c r="B897" s="139">
        <f>IFERROR(__xludf.DUMMYFUNCTION("""COMPUTED_VALUE"""),2.02602015E8)</f>
        <v>202602015</v>
      </c>
      <c r="C897" s="139" t="str">
        <f>IFERROR(__xludf.DUMMYFUNCTION("""COMPUTED_VALUE"""),"chara_you_00101_Special_00001")</f>
        <v>chara_you_00101_Special_00001</v>
      </c>
      <c r="D897" s="139" t="str">
        <f>IFERROR(__xludf.DUMMYFUNCTION("""COMPUTED_VALUE"""),"chara_you_00101")</f>
        <v>chara_you_00101</v>
      </c>
      <c r="E897" s="139">
        <f>IFERROR(__xludf.DUMMYFUNCTION("""COMPUTED_VALUE"""),1.0)</f>
        <v>1</v>
      </c>
      <c r="F897" s="139" t="str">
        <f>IFERROR(__xludf.DUMMYFUNCTION("""COMPUTED_VALUE"""),"Special")</f>
        <v>Special</v>
      </c>
      <c r="G897" s="139"/>
      <c r="H897" s="139"/>
      <c r="I897" s="139">
        <f>IFERROR(__xludf.DUMMYFUNCTION("""COMPUTED_VALUE"""),179.0)</f>
        <v>179</v>
      </c>
      <c r="J897" s="139">
        <f>IFERROR(__xludf.DUMMYFUNCTION("""COMPUTED_VALUE"""),0.0)</f>
        <v>0</v>
      </c>
      <c r="K897" s="139">
        <f>IFERROR(__xludf.DUMMYFUNCTION("""COMPUTED_VALUE"""),0.0)</f>
        <v>0</v>
      </c>
      <c r="L897" s="139"/>
      <c r="M897" s="139" t="str">
        <f>IFERROR(__xludf.DUMMYFUNCTION("""COMPUTED_VALUE"""),"敵複数体に最大5回の連続攻撃(自身の攻撃ステータスの最大98%ダメージ) + 1回目の攻撃がヒットした場合、敵を3秒間、最大体力の1%ダメージの毒状態にする")</f>
        <v>敵複数体に最大5回の連続攻撃(自身の攻撃ステータスの最大98%ダメージ) + 1回目の攻撃がヒットした場合、敵を3秒間、最大体力の1%ダメージの毒状態にする</v>
      </c>
      <c r="N897" s="139"/>
    </row>
    <row r="898">
      <c r="A898" s="139" t="str">
        <f>IFERROR(__xludf.DUMMYFUNCTION("""COMPUTED_VALUE"""),"e")</f>
        <v>e</v>
      </c>
      <c r="B898" s="139">
        <f>IFERROR(__xludf.DUMMYFUNCTION("""COMPUTED_VALUE"""),2.02602015E8)</f>
        <v>202602015</v>
      </c>
      <c r="C898" s="139" t="str">
        <f>IFERROR(__xludf.DUMMYFUNCTION("""COMPUTED_VALUE"""),"chara_you_00101_Special_00002")</f>
        <v>chara_you_00101_Special_00002</v>
      </c>
      <c r="D898" s="139" t="str">
        <f>IFERROR(__xludf.DUMMYFUNCTION("""COMPUTED_VALUE"""),"chara_you_00101")</f>
        <v>chara_you_00101</v>
      </c>
      <c r="E898" s="139">
        <f>IFERROR(__xludf.DUMMYFUNCTION("""COMPUTED_VALUE"""),2.0)</f>
        <v>2</v>
      </c>
      <c r="F898" s="139" t="str">
        <f>IFERROR(__xludf.DUMMYFUNCTION("""COMPUTED_VALUE"""),"Special")</f>
        <v>Special</v>
      </c>
      <c r="G898" s="139"/>
      <c r="H898" s="139"/>
      <c r="I898" s="139">
        <f>IFERROR(__xludf.DUMMYFUNCTION("""COMPUTED_VALUE"""),179.0)</f>
        <v>179</v>
      </c>
      <c r="J898" s="139">
        <f>IFERROR(__xludf.DUMMYFUNCTION("""COMPUTED_VALUE"""),0.0)</f>
        <v>0</v>
      </c>
      <c r="K898" s="139">
        <f>IFERROR(__xludf.DUMMYFUNCTION("""COMPUTED_VALUE"""),0.0)</f>
        <v>0</v>
      </c>
      <c r="L898" s="139"/>
      <c r="M898" s="139" t="str">
        <f>IFERROR(__xludf.DUMMYFUNCTION("""COMPUTED_VALUE"""),"敵複数体に最大5回の連続攻撃(自身の攻撃ステータスの最大110%ダメージ) + 1回目の攻撃がヒットした場合、敵を6秒間、最大体力の1%ダメージの毒状態にする")</f>
        <v>敵複数体に最大5回の連続攻撃(自身の攻撃ステータスの最大110%ダメージ) + 1回目の攻撃がヒットした場合、敵を6秒間、最大体力の1%ダメージの毒状態にする</v>
      </c>
      <c r="N898" s="139" t="str">
        <f>IFERROR(__xludf.DUMMYFUNCTION("""COMPUTED_VALUE"""),"ステータスUP + 必殺ワザ性能UP")</f>
        <v>ステータスUP + 必殺ワザ性能UP</v>
      </c>
    </row>
    <row r="899">
      <c r="A899" s="139" t="str">
        <f>IFERROR(__xludf.DUMMYFUNCTION("""COMPUTED_VALUE"""),"e")</f>
        <v>e</v>
      </c>
      <c r="B899" s="139">
        <f>IFERROR(__xludf.DUMMYFUNCTION("""COMPUTED_VALUE"""),2.02602015E8)</f>
        <v>202602015</v>
      </c>
      <c r="C899" s="139" t="str">
        <f>IFERROR(__xludf.DUMMYFUNCTION("""COMPUTED_VALUE"""),"chara_you_00101_Special_00003")</f>
        <v>chara_you_00101_Special_00003</v>
      </c>
      <c r="D899" s="139" t="str">
        <f>IFERROR(__xludf.DUMMYFUNCTION("""COMPUTED_VALUE"""),"chara_you_00101")</f>
        <v>chara_you_00101</v>
      </c>
      <c r="E899" s="139">
        <f>IFERROR(__xludf.DUMMYFUNCTION("""COMPUTED_VALUE"""),3.0)</f>
        <v>3</v>
      </c>
      <c r="F899" s="139" t="str">
        <f>IFERROR(__xludf.DUMMYFUNCTION("""COMPUTED_VALUE"""),"Special")</f>
        <v>Special</v>
      </c>
      <c r="G899" s="139"/>
      <c r="H899" s="139"/>
      <c r="I899" s="139">
        <f>IFERROR(__xludf.DUMMYFUNCTION("""COMPUTED_VALUE"""),179.0)</f>
        <v>179</v>
      </c>
      <c r="J899" s="139">
        <f>IFERROR(__xludf.DUMMYFUNCTION("""COMPUTED_VALUE"""),0.0)</f>
        <v>0</v>
      </c>
      <c r="K899" s="139">
        <f>IFERROR(__xludf.DUMMYFUNCTION("""COMPUTED_VALUE"""),0.0)</f>
        <v>0</v>
      </c>
      <c r="L899" s="139"/>
      <c r="M899" s="139" t="str">
        <f>IFERROR(__xludf.DUMMYFUNCTION("""COMPUTED_VALUE"""),"敵複数体に最大5回の連続攻撃(自身の攻撃ステータスの最大119%ダメージ) + 1回目の攻撃がヒットした場合、敵を6秒間、最大体力の2%ダメージの毒状態にする")</f>
        <v>敵複数体に最大5回の連続攻撃(自身の攻撃ステータスの最大119%ダメージ) + 1回目の攻撃がヒットした場合、敵を6秒間、最大体力の2%ダメージの毒状態にする</v>
      </c>
      <c r="N899" s="139" t="str">
        <f>IFERROR(__xludf.DUMMYFUNCTION("""COMPUTED_VALUE"""),"ステータスUP + 必殺ワザ性能UP")</f>
        <v>ステータスUP + 必殺ワザ性能UP</v>
      </c>
    </row>
    <row r="900">
      <c r="A900" s="139" t="str">
        <f>IFERROR(__xludf.DUMMYFUNCTION("""COMPUTED_VALUE"""),"e")</f>
        <v>e</v>
      </c>
      <c r="B900" s="139">
        <f>IFERROR(__xludf.DUMMYFUNCTION("""COMPUTED_VALUE"""),2.02602015E8)</f>
        <v>202602015</v>
      </c>
      <c r="C900" s="139" t="str">
        <f>IFERROR(__xludf.DUMMYFUNCTION("""COMPUTED_VALUE"""),"chara_you_00101_Special_00004")</f>
        <v>chara_you_00101_Special_00004</v>
      </c>
      <c r="D900" s="139" t="str">
        <f>IFERROR(__xludf.DUMMYFUNCTION("""COMPUTED_VALUE"""),"chara_you_00101")</f>
        <v>chara_you_00101</v>
      </c>
      <c r="E900" s="139">
        <f>IFERROR(__xludf.DUMMYFUNCTION("""COMPUTED_VALUE"""),4.0)</f>
        <v>4</v>
      </c>
      <c r="F900" s="139" t="str">
        <f>IFERROR(__xludf.DUMMYFUNCTION("""COMPUTED_VALUE"""),"Special")</f>
        <v>Special</v>
      </c>
      <c r="G900" s="139"/>
      <c r="H900" s="139"/>
      <c r="I900" s="139">
        <f>IFERROR(__xludf.DUMMYFUNCTION("""COMPUTED_VALUE"""),179.0)</f>
        <v>179</v>
      </c>
      <c r="J900" s="139">
        <f>IFERROR(__xludf.DUMMYFUNCTION("""COMPUTED_VALUE"""),0.0)</f>
        <v>0</v>
      </c>
      <c r="K900" s="139">
        <f>IFERROR(__xludf.DUMMYFUNCTION("""COMPUTED_VALUE"""),0.0)</f>
        <v>0</v>
      </c>
      <c r="L900" s="139"/>
      <c r="M900" s="139" t="str">
        <f>IFERROR(__xludf.DUMMYFUNCTION("""COMPUTED_VALUE"""),"敵複数体に最大5回の連続攻撃(自身の攻撃ステータスの最大126%ダメージ) + 1回目の攻撃がヒットした場合、敵を9秒間、最大体力の2%ダメージの毒状態にする")</f>
        <v>敵複数体に最大5回の連続攻撃(自身の攻撃ステータスの最大126%ダメージ) + 1回目の攻撃がヒットした場合、敵を9秒間、最大体力の2%ダメージの毒状態にする</v>
      </c>
      <c r="N900" s="139" t="str">
        <f>IFERROR(__xludf.DUMMYFUNCTION("""COMPUTED_VALUE"""),"ステータスUP + 必殺ワザ性能UP")</f>
        <v>ステータスUP + 必殺ワザ性能UP</v>
      </c>
    </row>
    <row r="901">
      <c r="A901" s="139" t="str">
        <f>IFERROR(__xludf.DUMMYFUNCTION("""COMPUTED_VALUE"""),"e")</f>
        <v>e</v>
      </c>
      <c r="B901" s="139">
        <f>IFERROR(__xludf.DUMMYFUNCTION("""COMPUTED_VALUE"""),2.02602015E8)</f>
        <v>202602015</v>
      </c>
      <c r="C901" s="139" t="str">
        <f>IFERROR(__xludf.DUMMYFUNCTION("""COMPUTED_VALUE"""),"chara_you_00101_Special_00005")</f>
        <v>chara_you_00101_Special_00005</v>
      </c>
      <c r="D901" s="139" t="str">
        <f>IFERROR(__xludf.DUMMYFUNCTION("""COMPUTED_VALUE"""),"chara_you_00101")</f>
        <v>chara_you_00101</v>
      </c>
      <c r="E901" s="139">
        <f>IFERROR(__xludf.DUMMYFUNCTION("""COMPUTED_VALUE"""),5.0)</f>
        <v>5</v>
      </c>
      <c r="F901" s="139" t="str">
        <f>IFERROR(__xludf.DUMMYFUNCTION("""COMPUTED_VALUE"""),"Special")</f>
        <v>Special</v>
      </c>
      <c r="G901" s="139"/>
      <c r="H901" s="139"/>
      <c r="I901" s="139">
        <f>IFERROR(__xludf.DUMMYFUNCTION("""COMPUTED_VALUE"""),179.0)</f>
        <v>179</v>
      </c>
      <c r="J901" s="139">
        <f>IFERROR(__xludf.DUMMYFUNCTION("""COMPUTED_VALUE"""),0.0)</f>
        <v>0</v>
      </c>
      <c r="K901" s="139">
        <f>IFERROR(__xludf.DUMMYFUNCTION("""COMPUTED_VALUE"""),0.0)</f>
        <v>0</v>
      </c>
      <c r="L901" s="139"/>
      <c r="M901" s="139" t="str">
        <f>IFERROR(__xludf.DUMMYFUNCTION("""COMPUTED_VALUE"""),"敵複数体に最大5回の連続攻撃(自身の攻撃ステータスの最大130%ダメージ) + 1回目の攻撃がヒットした場合、敵を12秒間、最大体力の2%ダメージの毒状態にする")</f>
        <v>敵複数体に最大5回の連続攻撃(自身の攻撃ステータスの最大130%ダメージ) + 1回目の攻撃がヒットした場合、敵を12秒間、最大体力の2%ダメージの毒状態にする</v>
      </c>
      <c r="N901" s="139" t="str">
        <f>IFERROR(__xludf.DUMMYFUNCTION("""COMPUTED_VALUE"""),"ステータスUP + 必殺ワザ性能UP")</f>
        <v>ステータスUP + 必殺ワザ性能UP</v>
      </c>
    </row>
    <row r="902">
      <c r="A902" s="139"/>
      <c r="B902" s="139"/>
      <c r="C902" s="139" t="str">
        <f>IFERROR(__xludf.DUMMYFUNCTION("""COMPUTED_VALUE"""),"chara_you_00101_Special_00006")</f>
        <v>chara_you_00101_Special_00006</v>
      </c>
      <c r="D902" s="139" t="str">
        <f>IFERROR(__xludf.DUMMYFUNCTION("""COMPUTED_VALUE"""),"chara_you_00101")</f>
        <v>chara_you_00101</v>
      </c>
      <c r="E902" s="139">
        <f>IFERROR(__xludf.DUMMYFUNCTION("""COMPUTED_VALUE"""),6.0)</f>
        <v>6</v>
      </c>
      <c r="F902" s="139" t="str">
        <f>IFERROR(__xludf.DUMMYFUNCTION("""COMPUTED_VALUE"""),"Special")</f>
        <v>Special</v>
      </c>
      <c r="G902" s="139"/>
      <c r="H902" s="139"/>
      <c r="I902" s="139"/>
      <c r="J902" s="139"/>
      <c r="K902" s="139"/>
      <c r="L902" s="139"/>
      <c r="M902" s="139"/>
      <c r="N902" s="139"/>
    </row>
    <row r="903">
      <c r="A903" s="139"/>
      <c r="B903" s="139"/>
      <c r="C903" s="139" t="str">
        <f>IFERROR(__xludf.DUMMYFUNCTION("""COMPUTED_VALUE"""),"chara_you_00101_Special_00007")</f>
        <v>chara_you_00101_Special_00007</v>
      </c>
      <c r="D903" s="139" t="str">
        <f>IFERROR(__xludf.DUMMYFUNCTION("""COMPUTED_VALUE"""),"chara_you_00101")</f>
        <v>chara_you_00101</v>
      </c>
      <c r="E903" s="139">
        <f>IFERROR(__xludf.DUMMYFUNCTION("""COMPUTED_VALUE"""),7.0)</f>
        <v>7</v>
      </c>
      <c r="F903" s="139" t="str">
        <f>IFERROR(__xludf.DUMMYFUNCTION("""COMPUTED_VALUE"""),"Special")</f>
        <v>Special</v>
      </c>
      <c r="G903" s="139"/>
      <c r="H903" s="139"/>
      <c r="I903" s="139"/>
      <c r="J903" s="139"/>
      <c r="K903" s="139"/>
      <c r="L903" s="139"/>
      <c r="M903" s="139"/>
      <c r="N903" s="139"/>
    </row>
    <row r="904">
      <c r="A904" s="139"/>
      <c r="B904" s="139"/>
      <c r="C904" s="139" t="str">
        <f>IFERROR(__xludf.DUMMYFUNCTION("""COMPUTED_VALUE"""),"chara_you_00101_Special_00008")</f>
        <v>chara_you_00101_Special_00008</v>
      </c>
      <c r="D904" s="139" t="str">
        <f>IFERROR(__xludf.DUMMYFUNCTION("""COMPUTED_VALUE"""),"chara_you_00101")</f>
        <v>chara_you_00101</v>
      </c>
      <c r="E904" s="139">
        <f>IFERROR(__xludf.DUMMYFUNCTION("""COMPUTED_VALUE"""),8.0)</f>
        <v>8</v>
      </c>
      <c r="F904" s="139" t="str">
        <f>IFERROR(__xludf.DUMMYFUNCTION("""COMPUTED_VALUE"""),"Special")</f>
        <v>Special</v>
      </c>
      <c r="G904" s="139"/>
      <c r="H904" s="139"/>
      <c r="I904" s="139"/>
      <c r="J904" s="139"/>
      <c r="K904" s="139"/>
      <c r="L904" s="139"/>
      <c r="M904" s="139"/>
      <c r="N904" s="139"/>
    </row>
    <row r="905">
      <c r="A905" s="139"/>
      <c r="B905" s="139"/>
      <c r="C905" s="139" t="str">
        <f>IFERROR(__xludf.DUMMYFUNCTION("""COMPUTED_VALUE"""),"chara_you_00101_Special_00009")</f>
        <v>chara_you_00101_Special_00009</v>
      </c>
      <c r="D905" s="139" t="str">
        <f>IFERROR(__xludf.DUMMYFUNCTION("""COMPUTED_VALUE"""),"chara_you_00101")</f>
        <v>chara_you_00101</v>
      </c>
      <c r="E905" s="139">
        <f>IFERROR(__xludf.DUMMYFUNCTION("""COMPUTED_VALUE"""),9.0)</f>
        <v>9</v>
      </c>
      <c r="F905" s="139" t="str">
        <f>IFERROR(__xludf.DUMMYFUNCTION("""COMPUTED_VALUE"""),"Special")</f>
        <v>Special</v>
      </c>
      <c r="G905" s="139"/>
      <c r="H905" s="139"/>
      <c r="I905" s="139"/>
      <c r="J905" s="139"/>
      <c r="K905" s="139"/>
      <c r="L905" s="139"/>
      <c r="M905" s="139"/>
      <c r="N905" s="139"/>
    </row>
    <row r="906">
      <c r="A906" s="139"/>
      <c r="B906" s="139"/>
      <c r="C906" s="139" t="str">
        <f>IFERROR(__xludf.DUMMYFUNCTION("""COMPUTED_VALUE"""),"chara_you_00101_Special_00010")</f>
        <v>chara_you_00101_Special_00010</v>
      </c>
      <c r="D906" s="139" t="str">
        <f>IFERROR(__xludf.DUMMYFUNCTION("""COMPUTED_VALUE"""),"chara_you_00101")</f>
        <v>chara_you_00101</v>
      </c>
      <c r="E906" s="139">
        <f>IFERROR(__xludf.DUMMYFUNCTION("""COMPUTED_VALUE"""),10.0)</f>
        <v>10</v>
      </c>
      <c r="F906" s="139" t="str">
        <f>IFERROR(__xludf.DUMMYFUNCTION("""COMPUTED_VALUE"""),"Special")</f>
        <v>Special</v>
      </c>
      <c r="G906" s="139"/>
      <c r="H906" s="139"/>
      <c r="I906" s="139"/>
      <c r="J906" s="139"/>
      <c r="K906" s="139"/>
      <c r="L906" s="139"/>
      <c r="M906" s="139"/>
      <c r="N906" s="139"/>
    </row>
    <row r="907">
      <c r="A907" s="139" t="str">
        <f>IFERROR(__xludf.DUMMYFUNCTION("""COMPUTED_VALUE"""),"e")</f>
        <v>e</v>
      </c>
      <c r="B907" s="139">
        <f>IFERROR(__xludf.DUMMYFUNCTION("""COMPUTED_VALUE"""),2.02602015E8)</f>
        <v>202602015</v>
      </c>
      <c r="C907" s="139" t="str">
        <f>IFERROR(__xludf.DUMMYFUNCTION("""COMPUTED_VALUE"""),"chara_you_00201_Normal_00000")</f>
        <v>chara_you_00201_Normal_00000</v>
      </c>
      <c r="D907" s="139" t="str">
        <f>IFERROR(__xludf.DUMMYFUNCTION("""COMPUTED_VALUE"""),"chara_you_00201")</f>
        <v>chara_you_00201</v>
      </c>
      <c r="E907" s="139">
        <f>IFERROR(__xludf.DUMMYFUNCTION("""COMPUTED_VALUE"""),0.0)</f>
        <v>0</v>
      </c>
      <c r="F907" s="139" t="str">
        <f>IFERROR(__xludf.DUMMYFUNCTION("""COMPUTED_VALUE"""),"Normal")</f>
        <v>Normal</v>
      </c>
      <c r="G907" s="139"/>
      <c r="H907" s="139"/>
      <c r="I907" s="139">
        <f>IFERROR(__xludf.DUMMYFUNCTION("""COMPUTED_VALUE"""),84.0)</f>
        <v>84</v>
      </c>
      <c r="J907" s="139">
        <f>IFERROR(__xludf.DUMMYFUNCTION("""COMPUTED_VALUE"""),32.0)</f>
        <v>32</v>
      </c>
      <c r="K907" s="139">
        <f>IFERROR(__xludf.DUMMYFUNCTION("""COMPUTED_VALUE"""),75.0)</f>
        <v>75</v>
      </c>
      <c r="L907" s="139"/>
      <c r="M907" s="139"/>
      <c r="N907" s="139"/>
    </row>
    <row r="908">
      <c r="A908" s="139" t="str">
        <f>IFERROR(__xludf.DUMMYFUNCTION("""COMPUTED_VALUE"""),"e")</f>
        <v>e</v>
      </c>
      <c r="B908" s="139">
        <f>IFERROR(__xludf.DUMMYFUNCTION("""COMPUTED_VALUE"""),2.02602015E8)</f>
        <v>202602015</v>
      </c>
      <c r="C908" s="139" t="str">
        <f>IFERROR(__xludf.DUMMYFUNCTION("""COMPUTED_VALUE"""),"chara_you_00201_Special_00001")</f>
        <v>chara_you_00201_Special_00001</v>
      </c>
      <c r="D908" s="139" t="str">
        <f>IFERROR(__xludf.DUMMYFUNCTION("""COMPUTED_VALUE"""),"chara_you_00201")</f>
        <v>chara_you_00201</v>
      </c>
      <c r="E908" s="139">
        <f>IFERROR(__xludf.DUMMYFUNCTION("""COMPUTED_VALUE"""),1.0)</f>
        <v>1</v>
      </c>
      <c r="F908" s="139" t="str">
        <f>IFERROR(__xludf.DUMMYFUNCTION("""COMPUTED_VALUE"""),"Special")</f>
        <v>Special</v>
      </c>
      <c r="G908" s="139"/>
      <c r="H908" s="139"/>
      <c r="I908" s="139">
        <f>IFERROR(__xludf.DUMMYFUNCTION("""COMPUTED_VALUE"""),159.0)</f>
        <v>159</v>
      </c>
      <c r="J908" s="139">
        <f>IFERROR(__xludf.DUMMYFUNCTION("""COMPUTED_VALUE"""),0.0)</f>
        <v>0</v>
      </c>
      <c r="K908" s="139">
        <f>IFERROR(__xludf.DUMMYFUNCTION("""COMPUTED_VALUE"""),0.0)</f>
        <v>0</v>
      </c>
      <c r="L908" s="139"/>
      <c r="M908" s="139" t="str">
        <f>IFERROR(__xludf.DUMMYFUNCTION("""COMPUTED_VALUE"""),"敵複数体に最大4回の連続攻撃(自身の攻撃ステータスの最大94%ダメージ) + 1回目の攻撃がヒットした場合、敵の攻撃を6秒間、10%DOWN")</f>
        <v>敵複数体に最大4回の連続攻撃(自身の攻撃ステータスの最大94%ダメージ) + 1回目の攻撃がヒットした場合、敵の攻撃を6秒間、10%DOWN</v>
      </c>
      <c r="N908" s="139"/>
    </row>
    <row r="909">
      <c r="A909" s="139" t="str">
        <f>IFERROR(__xludf.DUMMYFUNCTION("""COMPUTED_VALUE"""),"e")</f>
        <v>e</v>
      </c>
      <c r="B909" s="139">
        <f>IFERROR(__xludf.DUMMYFUNCTION("""COMPUTED_VALUE"""),2.02602015E8)</f>
        <v>202602015</v>
      </c>
      <c r="C909" s="139" t="str">
        <f>IFERROR(__xludf.DUMMYFUNCTION("""COMPUTED_VALUE"""),"chara_you_00201_Special_00002")</f>
        <v>chara_you_00201_Special_00002</v>
      </c>
      <c r="D909" s="139" t="str">
        <f>IFERROR(__xludf.DUMMYFUNCTION("""COMPUTED_VALUE"""),"chara_you_00201")</f>
        <v>chara_you_00201</v>
      </c>
      <c r="E909" s="139">
        <f>IFERROR(__xludf.DUMMYFUNCTION("""COMPUTED_VALUE"""),2.0)</f>
        <v>2</v>
      </c>
      <c r="F909" s="139" t="str">
        <f>IFERROR(__xludf.DUMMYFUNCTION("""COMPUTED_VALUE"""),"Special")</f>
        <v>Special</v>
      </c>
      <c r="G909" s="139"/>
      <c r="H909" s="139"/>
      <c r="I909" s="139">
        <f>IFERROR(__xludf.DUMMYFUNCTION("""COMPUTED_VALUE"""),159.0)</f>
        <v>159</v>
      </c>
      <c r="J909" s="139">
        <f>IFERROR(__xludf.DUMMYFUNCTION("""COMPUTED_VALUE"""),0.0)</f>
        <v>0</v>
      </c>
      <c r="K909" s="139">
        <f>IFERROR(__xludf.DUMMYFUNCTION("""COMPUTED_VALUE"""),0.0)</f>
        <v>0</v>
      </c>
      <c r="L909" s="139"/>
      <c r="M909" s="139" t="str">
        <f>IFERROR(__xludf.DUMMYFUNCTION("""COMPUTED_VALUE"""),"敵複数体に最大4回の連続攻撃(自身の攻撃ステータスの最大108%ダメージ) + 1回目の攻撃がヒットした場合、敵の攻撃を6.3秒間、11%DOWN")</f>
        <v>敵複数体に最大4回の連続攻撃(自身の攻撃ステータスの最大108%ダメージ) + 1回目の攻撃がヒットした場合、敵の攻撃を6.3秒間、11%DOWN</v>
      </c>
      <c r="N909" s="139" t="str">
        <f>IFERROR(__xludf.DUMMYFUNCTION("""COMPUTED_VALUE"""),"ステータスUP + 必殺ワザ性能UP")</f>
        <v>ステータスUP + 必殺ワザ性能UP</v>
      </c>
    </row>
    <row r="910">
      <c r="A910" s="139" t="str">
        <f>IFERROR(__xludf.DUMMYFUNCTION("""COMPUTED_VALUE"""),"e")</f>
        <v>e</v>
      </c>
      <c r="B910" s="139">
        <f>IFERROR(__xludf.DUMMYFUNCTION("""COMPUTED_VALUE"""),2.02602015E8)</f>
        <v>202602015</v>
      </c>
      <c r="C910" s="139" t="str">
        <f>IFERROR(__xludf.DUMMYFUNCTION("""COMPUTED_VALUE"""),"chara_you_00201_Special_00003")</f>
        <v>chara_you_00201_Special_00003</v>
      </c>
      <c r="D910" s="139" t="str">
        <f>IFERROR(__xludf.DUMMYFUNCTION("""COMPUTED_VALUE"""),"chara_you_00201")</f>
        <v>chara_you_00201</v>
      </c>
      <c r="E910" s="139">
        <f>IFERROR(__xludf.DUMMYFUNCTION("""COMPUTED_VALUE"""),3.0)</f>
        <v>3</v>
      </c>
      <c r="F910" s="139" t="str">
        <f>IFERROR(__xludf.DUMMYFUNCTION("""COMPUTED_VALUE"""),"Special")</f>
        <v>Special</v>
      </c>
      <c r="G910" s="139"/>
      <c r="H910" s="139"/>
      <c r="I910" s="139">
        <f>IFERROR(__xludf.DUMMYFUNCTION("""COMPUTED_VALUE"""),159.0)</f>
        <v>159</v>
      </c>
      <c r="J910" s="139">
        <f>IFERROR(__xludf.DUMMYFUNCTION("""COMPUTED_VALUE"""),0.0)</f>
        <v>0</v>
      </c>
      <c r="K910" s="139">
        <f>IFERROR(__xludf.DUMMYFUNCTION("""COMPUTED_VALUE"""),0.0)</f>
        <v>0</v>
      </c>
      <c r="L910" s="139"/>
      <c r="M910" s="139" t="str">
        <f>IFERROR(__xludf.DUMMYFUNCTION("""COMPUTED_VALUE"""),"敵複数体に最大4回の連続攻撃(自身の攻撃ステータスの最大117%ダメージ) + 1回目の攻撃がヒットした場合、敵の攻撃を6.5秒間、12%DOWN")</f>
        <v>敵複数体に最大4回の連続攻撃(自身の攻撃ステータスの最大117%ダメージ) + 1回目の攻撃がヒットした場合、敵の攻撃を6.5秒間、12%DOWN</v>
      </c>
      <c r="N910" s="139" t="str">
        <f>IFERROR(__xludf.DUMMYFUNCTION("""COMPUTED_VALUE"""),"ステータスUP + 必殺ワザ性能UP")</f>
        <v>ステータスUP + 必殺ワザ性能UP</v>
      </c>
    </row>
    <row r="911">
      <c r="A911" s="139" t="str">
        <f>IFERROR(__xludf.DUMMYFUNCTION("""COMPUTED_VALUE"""),"e")</f>
        <v>e</v>
      </c>
      <c r="B911" s="139">
        <f>IFERROR(__xludf.DUMMYFUNCTION("""COMPUTED_VALUE"""),2.02602015E8)</f>
        <v>202602015</v>
      </c>
      <c r="C911" s="139" t="str">
        <f>IFERROR(__xludf.DUMMYFUNCTION("""COMPUTED_VALUE"""),"chara_you_00201_Special_00004")</f>
        <v>chara_you_00201_Special_00004</v>
      </c>
      <c r="D911" s="139" t="str">
        <f>IFERROR(__xludf.DUMMYFUNCTION("""COMPUTED_VALUE"""),"chara_you_00201")</f>
        <v>chara_you_00201</v>
      </c>
      <c r="E911" s="139">
        <f>IFERROR(__xludf.DUMMYFUNCTION("""COMPUTED_VALUE"""),4.0)</f>
        <v>4</v>
      </c>
      <c r="F911" s="139" t="str">
        <f>IFERROR(__xludf.DUMMYFUNCTION("""COMPUTED_VALUE"""),"Special")</f>
        <v>Special</v>
      </c>
      <c r="G911" s="139"/>
      <c r="H911" s="139"/>
      <c r="I911" s="139">
        <f>IFERROR(__xludf.DUMMYFUNCTION("""COMPUTED_VALUE"""),159.0)</f>
        <v>159</v>
      </c>
      <c r="J911" s="139">
        <f>IFERROR(__xludf.DUMMYFUNCTION("""COMPUTED_VALUE"""),0.0)</f>
        <v>0</v>
      </c>
      <c r="K911" s="139">
        <f>IFERROR(__xludf.DUMMYFUNCTION("""COMPUTED_VALUE"""),0.0)</f>
        <v>0</v>
      </c>
      <c r="L911" s="139"/>
      <c r="M911" s="139" t="str">
        <f>IFERROR(__xludf.DUMMYFUNCTION("""COMPUTED_VALUE"""),"敵複数体に最大4回の連続攻撃(自身の攻撃ステータスの最大125%ダメージ) + 1回目の攻撃がヒットした場合、敵の攻撃を6.6秒間、13%DOWN")</f>
        <v>敵複数体に最大4回の連続攻撃(自身の攻撃ステータスの最大125%ダメージ) + 1回目の攻撃がヒットした場合、敵の攻撃を6.6秒間、13%DOWN</v>
      </c>
      <c r="N911" s="139" t="str">
        <f>IFERROR(__xludf.DUMMYFUNCTION("""COMPUTED_VALUE"""),"ステータスUP + 必殺ワザ性能UP")</f>
        <v>ステータスUP + 必殺ワザ性能UP</v>
      </c>
    </row>
    <row r="912">
      <c r="A912" s="139" t="str">
        <f>IFERROR(__xludf.DUMMYFUNCTION("""COMPUTED_VALUE"""),"e")</f>
        <v>e</v>
      </c>
      <c r="B912" s="139">
        <f>IFERROR(__xludf.DUMMYFUNCTION("""COMPUTED_VALUE"""),2.02602015E8)</f>
        <v>202602015</v>
      </c>
      <c r="C912" s="139" t="str">
        <f>IFERROR(__xludf.DUMMYFUNCTION("""COMPUTED_VALUE"""),"chara_you_00201_Special_00005")</f>
        <v>chara_you_00201_Special_00005</v>
      </c>
      <c r="D912" s="139" t="str">
        <f>IFERROR(__xludf.DUMMYFUNCTION("""COMPUTED_VALUE"""),"chara_you_00201")</f>
        <v>chara_you_00201</v>
      </c>
      <c r="E912" s="139">
        <f>IFERROR(__xludf.DUMMYFUNCTION("""COMPUTED_VALUE"""),5.0)</f>
        <v>5</v>
      </c>
      <c r="F912" s="139" t="str">
        <f>IFERROR(__xludf.DUMMYFUNCTION("""COMPUTED_VALUE"""),"Special")</f>
        <v>Special</v>
      </c>
      <c r="G912" s="139"/>
      <c r="H912" s="139"/>
      <c r="I912" s="139">
        <f>IFERROR(__xludf.DUMMYFUNCTION("""COMPUTED_VALUE"""),159.0)</f>
        <v>159</v>
      </c>
      <c r="J912" s="139">
        <f>IFERROR(__xludf.DUMMYFUNCTION("""COMPUTED_VALUE"""),0.0)</f>
        <v>0</v>
      </c>
      <c r="K912" s="139">
        <f>IFERROR(__xludf.DUMMYFUNCTION("""COMPUTED_VALUE"""),0.0)</f>
        <v>0</v>
      </c>
      <c r="L912" s="139"/>
      <c r="M912" s="139" t="str">
        <f>IFERROR(__xludf.DUMMYFUNCTION("""COMPUTED_VALUE"""),"敵複数体に最大4回の連続攻撃(自身の攻撃ステータスの最大129%ダメージ) + 1回目の攻撃がヒットした場合、敵の攻撃を6.7秒間、13%DOWN")</f>
        <v>敵複数体に最大4回の連続攻撃(自身の攻撃ステータスの最大129%ダメージ) + 1回目の攻撃がヒットした場合、敵の攻撃を6.7秒間、13%DOWN</v>
      </c>
      <c r="N912" s="139" t="str">
        <f>IFERROR(__xludf.DUMMYFUNCTION("""COMPUTED_VALUE"""),"ステータスUP + 必殺ワザ性能UP")</f>
        <v>ステータスUP + 必殺ワザ性能UP</v>
      </c>
    </row>
    <row r="913">
      <c r="A913" s="139"/>
      <c r="B913" s="139"/>
      <c r="C913" s="139" t="str">
        <f>IFERROR(__xludf.DUMMYFUNCTION("""COMPUTED_VALUE"""),"chara_you_00201_Special_00006")</f>
        <v>chara_you_00201_Special_00006</v>
      </c>
      <c r="D913" s="139" t="str">
        <f>IFERROR(__xludf.DUMMYFUNCTION("""COMPUTED_VALUE"""),"chara_you_00201")</f>
        <v>chara_you_00201</v>
      </c>
      <c r="E913" s="139">
        <f>IFERROR(__xludf.DUMMYFUNCTION("""COMPUTED_VALUE"""),6.0)</f>
        <v>6</v>
      </c>
      <c r="F913" s="139" t="str">
        <f>IFERROR(__xludf.DUMMYFUNCTION("""COMPUTED_VALUE"""),"Special")</f>
        <v>Special</v>
      </c>
      <c r="G913" s="139"/>
      <c r="H913" s="139"/>
      <c r="I913" s="139"/>
      <c r="J913" s="139"/>
      <c r="K913" s="139"/>
      <c r="L913" s="139"/>
      <c r="M913" s="139"/>
      <c r="N913" s="139"/>
    </row>
    <row r="914">
      <c r="A914" s="139"/>
      <c r="B914" s="139"/>
      <c r="C914" s="139" t="str">
        <f>IFERROR(__xludf.DUMMYFUNCTION("""COMPUTED_VALUE"""),"chara_you_00201_Special_00007")</f>
        <v>chara_you_00201_Special_00007</v>
      </c>
      <c r="D914" s="139" t="str">
        <f>IFERROR(__xludf.DUMMYFUNCTION("""COMPUTED_VALUE"""),"chara_you_00201")</f>
        <v>chara_you_00201</v>
      </c>
      <c r="E914" s="139">
        <f>IFERROR(__xludf.DUMMYFUNCTION("""COMPUTED_VALUE"""),7.0)</f>
        <v>7</v>
      </c>
      <c r="F914" s="139" t="str">
        <f>IFERROR(__xludf.DUMMYFUNCTION("""COMPUTED_VALUE"""),"Special")</f>
        <v>Special</v>
      </c>
      <c r="G914" s="139"/>
      <c r="H914" s="139"/>
      <c r="I914" s="139"/>
      <c r="J914" s="139"/>
      <c r="K914" s="139"/>
      <c r="L914" s="139"/>
      <c r="M914" s="139"/>
      <c r="N914" s="139"/>
    </row>
    <row r="915">
      <c r="A915" s="139"/>
      <c r="B915" s="139"/>
      <c r="C915" s="139" t="str">
        <f>IFERROR(__xludf.DUMMYFUNCTION("""COMPUTED_VALUE"""),"chara_you_00201_Special_00008")</f>
        <v>chara_you_00201_Special_00008</v>
      </c>
      <c r="D915" s="139" t="str">
        <f>IFERROR(__xludf.DUMMYFUNCTION("""COMPUTED_VALUE"""),"chara_you_00201")</f>
        <v>chara_you_00201</v>
      </c>
      <c r="E915" s="139">
        <f>IFERROR(__xludf.DUMMYFUNCTION("""COMPUTED_VALUE"""),8.0)</f>
        <v>8</v>
      </c>
      <c r="F915" s="139" t="str">
        <f>IFERROR(__xludf.DUMMYFUNCTION("""COMPUTED_VALUE"""),"Special")</f>
        <v>Special</v>
      </c>
      <c r="G915" s="139"/>
      <c r="H915" s="139"/>
      <c r="I915" s="139"/>
      <c r="J915" s="139"/>
      <c r="K915" s="139"/>
      <c r="L915" s="139"/>
      <c r="M915" s="139"/>
      <c r="N915" s="139"/>
    </row>
    <row r="916">
      <c r="A916" s="139"/>
      <c r="B916" s="139"/>
      <c r="C916" s="139" t="str">
        <f>IFERROR(__xludf.DUMMYFUNCTION("""COMPUTED_VALUE"""),"chara_you_00201_Special_00009")</f>
        <v>chara_you_00201_Special_00009</v>
      </c>
      <c r="D916" s="139" t="str">
        <f>IFERROR(__xludf.DUMMYFUNCTION("""COMPUTED_VALUE"""),"chara_you_00201")</f>
        <v>chara_you_00201</v>
      </c>
      <c r="E916" s="139">
        <f>IFERROR(__xludf.DUMMYFUNCTION("""COMPUTED_VALUE"""),9.0)</f>
        <v>9</v>
      </c>
      <c r="F916" s="139" t="str">
        <f>IFERROR(__xludf.DUMMYFUNCTION("""COMPUTED_VALUE"""),"Special")</f>
        <v>Special</v>
      </c>
      <c r="G916" s="139"/>
      <c r="H916" s="139"/>
      <c r="I916" s="139"/>
      <c r="J916" s="139"/>
      <c r="K916" s="139"/>
      <c r="L916" s="139"/>
      <c r="M916" s="139"/>
      <c r="N916" s="139"/>
    </row>
    <row r="917">
      <c r="A917" s="139"/>
      <c r="B917" s="139"/>
      <c r="C917" s="139" t="str">
        <f>IFERROR(__xludf.DUMMYFUNCTION("""COMPUTED_VALUE"""),"chara_you_00201_Special_00010")</f>
        <v>chara_you_00201_Special_00010</v>
      </c>
      <c r="D917" s="139" t="str">
        <f>IFERROR(__xludf.DUMMYFUNCTION("""COMPUTED_VALUE"""),"chara_you_00201")</f>
        <v>chara_you_00201</v>
      </c>
      <c r="E917" s="139">
        <f>IFERROR(__xludf.DUMMYFUNCTION("""COMPUTED_VALUE"""),10.0)</f>
        <v>10</v>
      </c>
      <c r="F917" s="139" t="str">
        <f>IFERROR(__xludf.DUMMYFUNCTION("""COMPUTED_VALUE"""),"Special")</f>
        <v>Special</v>
      </c>
      <c r="G917" s="139"/>
      <c r="H917" s="139"/>
      <c r="I917" s="139"/>
      <c r="J917" s="139"/>
      <c r="K917" s="139"/>
      <c r="L917" s="139"/>
      <c r="M917" s="139"/>
      <c r="N917" s="139"/>
    </row>
    <row r="918">
      <c r="A918" s="139" t="str">
        <f>IFERROR(__xludf.DUMMYFUNCTION("""COMPUTED_VALUE"""),"e")</f>
        <v>e</v>
      </c>
      <c r="B918" s="139">
        <f>IFERROR(__xludf.DUMMYFUNCTION("""COMPUTED_VALUE"""),2.02602015E8)</f>
        <v>202602015</v>
      </c>
      <c r="C918" s="139" t="str">
        <f>IFERROR(__xludf.DUMMYFUNCTION("""COMPUTED_VALUE"""),"chara_you_00301_Normal_00000")</f>
        <v>chara_you_00301_Normal_00000</v>
      </c>
      <c r="D918" s="139" t="str">
        <f>IFERROR(__xludf.DUMMYFUNCTION("""COMPUTED_VALUE"""),"chara_you_00301")</f>
        <v>chara_you_00301</v>
      </c>
      <c r="E918" s="139">
        <f>IFERROR(__xludf.DUMMYFUNCTION("""COMPUTED_VALUE"""),0.0)</f>
        <v>0</v>
      </c>
      <c r="F918" s="139" t="str">
        <f>IFERROR(__xludf.DUMMYFUNCTION("""COMPUTED_VALUE"""),"Normal")</f>
        <v>Normal</v>
      </c>
      <c r="G918" s="139"/>
      <c r="H918" s="139"/>
      <c r="I918" s="139">
        <f>IFERROR(__xludf.DUMMYFUNCTION("""COMPUTED_VALUE"""),89.0)</f>
        <v>89</v>
      </c>
      <c r="J918" s="139">
        <f>IFERROR(__xludf.DUMMYFUNCTION("""COMPUTED_VALUE"""),35.0)</f>
        <v>35</v>
      </c>
      <c r="K918" s="139">
        <f>IFERROR(__xludf.DUMMYFUNCTION("""COMPUTED_VALUE"""),50.0)</f>
        <v>50</v>
      </c>
      <c r="L918" s="139"/>
      <c r="M918" s="139"/>
      <c r="N918" s="139"/>
    </row>
    <row r="919">
      <c r="A919" s="139" t="str">
        <f>IFERROR(__xludf.DUMMYFUNCTION("""COMPUTED_VALUE"""),"e")</f>
        <v>e</v>
      </c>
      <c r="B919" s="139">
        <f>IFERROR(__xludf.DUMMYFUNCTION("""COMPUTED_VALUE"""),2.02602015E8)</f>
        <v>202602015</v>
      </c>
      <c r="C919" s="139" t="str">
        <f>IFERROR(__xludf.DUMMYFUNCTION("""COMPUTED_VALUE"""),"chara_you_00301_Special_00001")</f>
        <v>chara_you_00301_Special_00001</v>
      </c>
      <c r="D919" s="139" t="str">
        <f>IFERROR(__xludf.DUMMYFUNCTION("""COMPUTED_VALUE"""),"chara_you_00301")</f>
        <v>chara_you_00301</v>
      </c>
      <c r="E919" s="139">
        <f>IFERROR(__xludf.DUMMYFUNCTION("""COMPUTED_VALUE"""),1.0)</f>
        <v>1</v>
      </c>
      <c r="F919" s="139" t="str">
        <f>IFERROR(__xludf.DUMMYFUNCTION("""COMPUTED_VALUE"""),"Special")</f>
        <v>Special</v>
      </c>
      <c r="G919" s="139" t="str">
        <f>IFERROR(__xludf.DUMMYFUNCTION("""COMPUTED_VALUE"""),"Red")</f>
        <v>Red</v>
      </c>
      <c r="H919" s="139">
        <f>IFERROR(__xludf.DUMMYFUNCTION("""COMPUTED_VALUE"""),150.0)</f>
        <v>150</v>
      </c>
      <c r="I919" s="139">
        <f>IFERROR(__xludf.DUMMYFUNCTION("""COMPUTED_VALUE"""),184.0)</f>
        <v>184</v>
      </c>
      <c r="J919" s="139">
        <f>IFERROR(__xludf.DUMMYFUNCTION("""COMPUTED_VALUE"""),110.0)</f>
        <v>110</v>
      </c>
      <c r="K919" s="139">
        <f>IFERROR(__xludf.DUMMYFUNCTION("""COMPUTED_VALUE"""),0.0)</f>
        <v>0</v>
      </c>
      <c r="L919" s="139"/>
      <c r="M919" s="139" t="str">
        <f>IFERROR(__xludf.DUMMYFUNCTION("""COMPUTED_VALUE"""),"敵複数体に自身の攻撃ステータスの{chara_you_00301_Special_00001_power_parameter}%のダメージ(敵が赤属性の場合は73.5%のダメージ)")</f>
        <v>敵複数体に自身の攻撃ステータスの{chara_you_00301_Special_00001_power_parameter}%のダメージ(敵が赤属性の場合は73.5%のダメージ)</v>
      </c>
      <c r="N919" s="139"/>
    </row>
    <row r="920">
      <c r="A920" s="139" t="str">
        <f>IFERROR(__xludf.DUMMYFUNCTION("""COMPUTED_VALUE"""),"e")</f>
        <v>e</v>
      </c>
      <c r="B920" s="139">
        <f>IFERROR(__xludf.DUMMYFUNCTION("""COMPUTED_VALUE"""),2.02602015E8)</f>
        <v>202602015</v>
      </c>
      <c r="C920" s="139" t="str">
        <f>IFERROR(__xludf.DUMMYFUNCTION("""COMPUTED_VALUE"""),"chara_you_00301_Special_00002")</f>
        <v>chara_you_00301_Special_00002</v>
      </c>
      <c r="D920" s="139" t="str">
        <f>IFERROR(__xludf.DUMMYFUNCTION("""COMPUTED_VALUE"""),"chara_you_00301")</f>
        <v>chara_you_00301</v>
      </c>
      <c r="E920" s="139">
        <f>IFERROR(__xludf.DUMMYFUNCTION("""COMPUTED_VALUE"""),2.0)</f>
        <v>2</v>
      </c>
      <c r="F920" s="139" t="str">
        <f>IFERROR(__xludf.DUMMYFUNCTION("""COMPUTED_VALUE"""),"Special")</f>
        <v>Special</v>
      </c>
      <c r="G920" s="139" t="str">
        <f>IFERROR(__xludf.DUMMYFUNCTION("""COMPUTED_VALUE"""),"Red")</f>
        <v>Red</v>
      </c>
      <c r="H920" s="139">
        <f>IFERROR(__xludf.DUMMYFUNCTION("""COMPUTED_VALUE"""),155.0)</f>
        <v>155</v>
      </c>
      <c r="I920" s="139">
        <f>IFERROR(__xludf.DUMMYFUNCTION("""COMPUTED_VALUE"""),184.0)</f>
        <v>184</v>
      </c>
      <c r="J920" s="139">
        <f>IFERROR(__xludf.DUMMYFUNCTION("""COMPUTED_VALUE"""),110.0)</f>
        <v>110</v>
      </c>
      <c r="K920" s="139">
        <f>IFERROR(__xludf.DUMMYFUNCTION("""COMPUTED_VALUE"""),0.0)</f>
        <v>0</v>
      </c>
      <c r="L920" s="139"/>
      <c r="M920" s="139" t="str">
        <f>IFERROR(__xludf.DUMMYFUNCTION("""COMPUTED_VALUE"""),"敵複数体に自身の攻撃ステータスの{chara_you_00301_Special_00002_power_parameter}%のダメージ(敵が赤属性の場合は82.15%のダメージ)")</f>
        <v>敵複数体に自身の攻撃ステータスの{chara_you_00301_Special_00002_power_parameter}%のダメージ(敵が赤属性の場合は82.15%のダメージ)</v>
      </c>
      <c r="N920" s="139" t="str">
        <f>IFERROR(__xludf.DUMMYFUNCTION("""COMPUTED_VALUE"""),"ステータスUP + 必殺ワザ性能UP")</f>
        <v>ステータスUP + 必殺ワザ性能UP</v>
      </c>
    </row>
    <row r="921">
      <c r="A921" s="139" t="str">
        <f>IFERROR(__xludf.DUMMYFUNCTION("""COMPUTED_VALUE"""),"e")</f>
        <v>e</v>
      </c>
      <c r="B921" s="139">
        <f>IFERROR(__xludf.DUMMYFUNCTION("""COMPUTED_VALUE"""),2.02602015E8)</f>
        <v>202602015</v>
      </c>
      <c r="C921" s="139" t="str">
        <f>IFERROR(__xludf.DUMMYFUNCTION("""COMPUTED_VALUE"""),"chara_you_00301_Special_00003")</f>
        <v>chara_you_00301_Special_00003</v>
      </c>
      <c r="D921" s="139" t="str">
        <f>IFERROR(__xludf.DUMMYFUNCTION("""COMPUTED_VALUE"""),"chara_you_00301")</f>
        <v>chara_you_00301</v>
      </c>
      <c r="E921" s="139">
        <f>IFERROR(__xludf.DUMMYFUNCTION("""COMPUTED_VALUE"""),3.0)</f>
        <v>3</v>
      </c>
      <c r="F921" s="139" t="str">
        <f>IFERROR(__xludf.DUMMYFUNCTION("""COMPUTED_VALUE"""),"Special")</f>
        <v>Special</v>
      </c>
      <c r="G921" s="139" t="str">
        <f>IFERROR(__xludf.DUMMYFUNCTION("""COMPUTED_VALUE"""),"Red")</f>
        <v>Red</v>
      </c>
      <c r="H921" s="139">
        <f>IFERROR(__xludf.DUMMYFUNCTION("""COMPUTED_VALUE"""),163.0)</f>
        <v>163</v>
      </c>
      <c r="I921" s="139">
        <f>IFERROR(__xludf.DUMMYFUNCTION("""COMPUTED_VALUE"""),184.0)</f>
        <v>184</v>
      </c>
      <c r="J921" s="139">
        <f>IFERROR(__xludf.DUMMYFUNCTION("""COMPUTED_VALUE"""),110.0)</f>
        <v>110</v>
      </c>
      <c r="K921" s="139">
        <f>IFERROR(__xludf.DUMMYFUNCTION("""COMPUTED_VALUE"""),0.0)</f>
        <v>0</v>
      </c>
      <c r="L921" s="139"/>
      <c r="M921" s="139" t="str">
        <f>IFERROR(__xludf.DUMMYFUNCTION("""COMPUTED_VALUE"""),"敵複数体に自身の攻撃ステータスの{chara_you_00301_Special_00003_power_parameter}%のダメージ(敵が赤属性の場合は99.43%のダメージ)")</f>
        <v>敵複数体に自身の攻撃ステータスの{chara_you_00301_Special_00003_power_parameter}%のダメージ(敵が赤属性の場合は99.43%のダメージ)</v>
      </c>
      <c r="N921" s="139" t="str">
        <f>IFERROR(__xludf.DUMMYFUNCTION("""COMPUTED_VALUE"""),"ステータスUP + 必殺ワザ性能UP")</f>
        <v>ステータスUP + 必殺ワザ性能UP</v>
      </c>
    </row>
    <row r="922">
      <c r="A922" s="139" t="str">
        <f>IFERROR(__xludf.DUMMYFUNCTION("""COMPUTED_VALUE"""),"e")</f>
        <v>e</v>
      </c>
      <c r="B922" s="139">
        <f>IFERROR(__xludf.DUMMYFUNCTION("""COMPUTED_VALUE"""),2.02602015E8)</f>
        <v>202602015</v>
      </c>
      <c r="C922" s="139" t="str">
        <f>IFERROR(__xludf.DUMMYFUNCTION("""COMPUTED_VALUE"""),"chara_you_00301_Special_00004")</f>
        <v>chara_you_00301_Special_00004</v>
      </c>
      <c r="D922" s="139" t="str">
        <f>IFERROR(__xludf.DUMMYFUNCTION("""COMPUTED_VALUE"""),"chara_you_00301")</f>
        <v>chara_you_00301</v>
      </c>
      <c r="E922" s="139">
        <f>IFERROR(__xludf.DUMMYFUNCTION("""COMPUTED_VALUE"""),4.0)</f>
        <v>4</v>
      </c>
      <c r="F922" s="139" t="str">
        <f>IFERROR(__xludf.DUMMYFUNCTION("""COMPUTED_VALUE"""),"Special")</f>
        <v>Special</v>
      </c>
      <c r="G922" s="139" t="str">
        <f>IFERROR(__xludf.DUMMYFUNCTION("""COMPUTED_VALUE"""),"Red")</f>
        <v>Red</v>
      </c>
      <c r="H922" s="139">
        <f>IFERROR(__xludf.DUMMYFUNCTION("""COMPUTED_VALUE"""),165.0)</f>
        <v>165</v>
      </c>
      <c r="I922" s="139">
        <f>IFERROR(__xludf.DUMMYFUNCTION("""COMPUTED_VALUE"""),184.0)</f>
        <v>184</v>
      </c>
      <c r="J922" s="139">
        <f>IFERROR(__xludf.DUMMYFUNCTION("""COMPUTED_VALUE"""),110.0)</f>
        <v>110</v>
      </c>
      <c r="K922" s="139">
        <f>IFERROR(__xludf.DUMMYFUNCTION("""COMPUTED_VALUE"""),0.0)</f>
        <v>0</v>
      </c>
      <c r="L922" s="139"/>
      <c r="M922" s="139" t="str">
        <f>IFERROR(__xludf.DUMMYFUNCTION("""COMPUTED_VALUE"""),"敵複数体に自身の攻撃ステータスの{chara_you_00301_Special_00004_power_parameter}%のダメージ(敵が赤属性の場合は105.6%のダメージ)")</f>
        <v>敵複数体に自身の攻撃ステータスの{chara_you_00301_Special_00004_power_parameter}%のダメージ(敵が赤属性の場合は105.6%のダメージ)</v>
      </c>
      <c r="N922" s="139" t="str">
        <f>IFERROR(__xludf.DUMMYFUNCTION("""COMPUTED_VALUE"""),"ステータスUP + 必殺ワザ性能UP")</f>
        <v>ステータスUP + 必殺ワザ性能UP</v>
      </c>
    </row>
    <row r="923">
      <c r="A923" s="139" t="str">
        <f>IFERROR(__xludf.DUMMYFUNCTION("""COMPUTED_VALUE"""),"e")</f>
        <v>e</v>
      </c>
      <c r="B923" s="139">
        <f>IFERROR(__xludf.DUMMYFUNCTION("""COMPUTED_VALUE"""),2.02602015E8)</f>
        <v>202602015</v>
      </c>
      <c r="C923" s="139" t="str">
        <f>IFERROR(__xludf.DUMMYFUNCTION("""COMPUTED_VALUE"""),"chara_you_00301_Special_00005")</f>
        <v>chara_you_00301_Special_00005</v>
      </c>
      <c r="D923" s="139" t="str">
        <f>IFERROR(__xludf.DUMMYFUNCTION("""COMPUTED_VALUE"""),"chara_you_00301")</f>
        <v>chara_you_00301</v>
      </c>
      <c r="E923" s="139">
        <f>IFERROR(__xludf.DUMMYFUNCTION("""COMPUTED_VALUE"""),5.0)</f>
        <v>5</v>
      </c>
      <c r="F923" s="139" t="str">
        <f>IFERROR(__xludf.DUMMYFUNCTION("""COMPUTED_VALUE"""),"Special")</f>
        <v>Special</v>
      </c>
      <c r="G923" s="139" t="str">
        <f>IFERROR(__xludf.DUMMYFUNCTION("""COMPUTED_VALUE"""),"Red")</f>
        <v>Red</v>
      </c>
      <c r="H923" s="139">
        <f>IFERROR(__xludf.DUMMYFUNCTION("""COMPUTED_VALUE"""),170.0)</f>
        <v>170</v>
      </c>
      <c r="I923" s="139">
        <f>IFERROR(__xludf.DUMMYFUNCTION("""COMPUTED_VALUE"""),184.0)</f>
        <v>184</v>
      </c>
      <c r="J923" s="139">
        <f>IFERROR(__xludf.DUMMYFUNCTION("""COMPUTED_VALUE"""),110.0)</f>
        <v>110</v>
      </c>
      <c r="K923" s="139">
        <f>IFERROR(__xludf.DUMMYFUNCTION("""COMPUTED_VALUE"""),0.0)</f>
        <v>0</v>
      </c>
      <c r="L923" s="139"/>
      <c r="M923" s="139" t="str">
        <f>IFERROR(__xludf.DUMMYFUNCTION("""COMPUTED_VALUE"""),"敵複数体に自身の攻撃ステータスの{chara_you_00301_Special_00005_power_parameter}%のダメージ(敵が赤属性の場合は115.6%のダメージ)")</f>
        <v>敵複数体に自身の攻撃ステータスの{chara_you_00301_Special_00005_power_parameter}%のダメージ(敵が赤属性の場合は115.6%のダメージ)</v>
      </c>
      <c r="N923" s="139" t="str">
        <f>IFERROR(__xludf.DUMMYFUNCTION("""COMPUTED_VALUE"""),"ステータスUP + 必殺ワザ性能UP")</f>
        <v>ステータスUP + 必殺ワザ性能UP</v>
      </c>
    </row>
    <row r="924">
      <c r="A924" s="139"/>
      <c r="B924" s="139"/>
      <c r="C924" s="139" t="str">
        <f>IFERROR(__xludf.DUMMYFUNCTION("""COMPUTED_VALUE"""),"chara_you_00301_Special_00006")</f>
        <v>chara_you_00301_Special_00006</v>
      </c>
      <c r="D924" s="139" t="str">
        <f>IFERROR(__xludf.DUMMYFUNCTION("""COMPUTED_VALUE"""),"chara_you_00301")</f>
        <v>chara_you_00301</v>
      </c>
      <c r="E924" s="139">
        <f>IFERROR(__xludf.DUMMYFUNCTION("""COMPUTED_VALUE"""),6.0)</f>
        <v>6</v>
      </c>
      <c r="F924" s="139" t="str">
        <f>IFERROR(__xludf.DUMMYFUNCTION("""COMPUTED_VALUE"""),"Special")</f>
        <v>Special</v>
      </c>
      <c r="G924" s="139"/>
      <c r="H924" s="139"/>
      <c r="I924" s="139">
        <f>IFERROR(__xludf.DUMMYFUNCTION("""COMPUTED_VALUE"""),184.0)</f>
        <v>184</v>
      </c>
      <c r="J924" s="139">
        <f>IFERROR(__xludf.DUMMYFUNCTION("""COMPUTED_VALUE"""),110.0)</f>
        <v>110</v>
      </c>
      <c r="K924" s="139">
        <f>IFERROR(__xludf.DUMMYFUNCTION("""COMPUTED_VALUE"""),0.0)</f>
        <v>0</v>
      </c>
      <c r="L924" s="139"/>
      <c r="M924" s="139"/>
      <c r="N924" s="139"/>
    </row>
    <row r="925">
      <c r="A925" s="139"/>
      <c r="B925" s="139"/>
      <c r="C925" s="139" t="str">
        <f>IFERROR(__xludf.DUMMYFUNCTION("""COMPUTED_VALUE"""),"chara_you_00301_Special_00007")</f>
        <v>chara_you_00301_Special_00007</v>
      </c>
      <c r="D925" s="139" t="str">
        <f>IFERROR(__xludf.DUMMYFUNCTION("""COMPUTED_VALUE"""),"chara_you_00301")</f>
        <v>chara_you_00301</v>
      </c>
      <c r="E925" s="139">
        <f>IFERROR(__xludf.DUMMYFUNCTION("""COMPUTED_VALUE"""),7.0)</f>
        <v>7</v>
      </c>
      <c r="F925" s="139" t="str">
        <f>IFERROR(__xludf.DUMMYFUNCTION("""COMPUTED_VALUE"""),"Special")</f>
        <v>Special</v>
      </c>
      <c r="G925" s="139"/>
      <c r="H925" s="139"/>
      <c r="I925" s="139">
        <f>IFERROR(__xludf.DUMMYFUNCTION("""COMPUTED_VALUE"""),184.0)</f>
        <v>184</v>
      </c>
      <c r="J925" s="139">
        <f>IFERROR(__xludf.DUMMYFUNCTION("""COMPUTED_VALUE"""),110.0)</f>
        <v>110</v>
      </c>
      <c r="K925" s="139">
        <f>IFERROR(__xludf.DUMMYFUNCTION("""COMPUTED_VALUE"""),0.0)</f>
        <v>0</v>
      </c>
      <c r="L925" s="139"/>
      <c r="M925" s="139"/>
      <c r="N925" s="139"/>
    </row>
    <row r="926">
      <c r="A926" s="139"/>
      <c r="B926" s="139"/>
      <c r="C926" s="139" t="str">
        <f>IFERROR(__xludf.DUMMYFUNCTION("""COMPUTED_VALUE"""),"chara_you_00301_Special_00008")</f>
        <v>chara_you_00301_Special_00008</v>
      </c>
      <c r="D926" s="139" t="str">
        <f>IFERROR(__xludf.DUMMYFUNCTION("""COMPUTED_VALUE"""),"chara_you_00301")</f>
        <v>chara_you_00301</v>
      </c>
      <c r="E926" s="139">
        <f>IFERROR(__xludf.DUMMYFUNCTION("""COMPUTED_VALUE"""),8.0)</f>
        <v>8</v>
      </c>
      <c r="F926" s="139" t="str">
        <f>IFERROR(__xludf.DUMMYFUNCTION("""COMPUTED_VALUE"""),"Special")</f>
        <v>Special</v>
      </c>
      <c r="G926" s="139"/>
      <c r="H926" s="139"/>
      <c r="I926" s="139">
        <f>IFERROR(__xludf.DUMMYFUNCTION("""COMPUTED_VALUE"""),184.0)</f>
        <v>184</v>
      </c>
      <c r="J926" s="139">
        <f>IFERROR(__xludf.DUMMYFUNCTION("""COMPUTED_VALUE"""),110.0)</f>
        <v>110</v>
      </c>
      <c r="K926" s="139">
        <f>IFERROR(__xludf.DUMMYFUNCTION("""COMPUTED_VALUE"""),0.0)</f>
        <v>0</v>
      </c>
      <c r="L926" s="139"/>
      <c r="M926" s="139"/>
      <c r="N926" s="139"/>
    </row>
    <row r="927">
      <c r="A927" s="139"/>
      <c r="B927" s="139"/>
      <c r="C927" s="139" t="str">
        <f>IFERROR(__xludf.DUMMYFUNCTION("""COMPUTED_VALUE"""),"chara_you_00301_Special_00009")</f>
        <v>chara_you_00301_Special_00009</v>
      </c>
      <c r="D927" s="139" t="str">
        <f>IFERROR(__xludf.DUMMYFUNCTION("""COMPUTED_VALUE"""),"chara_you_00301")</f>
        <v>chara_you_00301</v>
      </c>
      <c r="E927" s="139">
        <f>IFERROR(__xludf.DUMMYFUNCTION("""COMPUTED_VALUE"""),9.0)</f>
        <v>9</v>
      </c>
      <c r="F927" s="139" t="str">
        <f>IFERROR(__xludf.DUMMYFUNCTION("""COMPUTED_VALUE"""),"Special")</f>
        <v>Special</v>
      </c>
      <c r="G927" s="139"/>
      <c r="H927" s="139"/>
      <c r="I927" s="139">
        <f>IFERROR(__xludf.DUMMYFUNCTION("""COMPUTED_VALUE"""),184.0)</f>
        <v>184</v>
      </c>
      <c r="J927" s="139">
        <f>IFERROR(__xludf.DUMMYFUNCTION("""COMPUTED_VALUE"""),110.0)</f>
        <v>110</v>
      </c>
      <c r="K927" s="139">
        <f>IFERROR(__xludf.DUMMYFUNCTION("""COMPUTED_VALUE"""),0.0)</f>
        <v>0</v>
      </c>
      <c r="L927" s="139"/>
      <c r="M927" s="139"/>
      <c r="N927" s="139"/>
    </row>
    <row r="928">
      <c r="A928" s="139"/>
      <c r="B928" s="139"/>
      <c r="C928" s="139" t="str">
        <f>IFERROR(__xludf.DUMMYFUNCTION("""COMPUTED_VALUE"""),"chara_you_00301_Special_00010")</f>
        <v>chara_you_00301_Special_00010</v>
      </c>
      <c r="D928" s="139" t="str">
        <f>IFERROR(__xludf.DUMMYFUNCTION("""COMPUTED_VALUE"""),"chara_you_00301")</f>
        <v>chara_you_00301</v>
      </c>
      <c r="E928" s="139">
        <f>IFERROR(__xludf.DUMMYFUNCTION("""COMPUTED_VALUE"""),10.0)</f>
        <v>10</v>
      </c>
      <c r="F928" s="139" t="str">
        <f>IFERROR(__xludf.DUMMYFUNCTION("""COMPUTED_VALUE"""),"Special")</f>
        <v>Special</v>
      </c>
      <c r="G928" s="139"/>
      <c r="H928" s="139"/>
      <c r="I928" s="139">
        <f>IFERROR(__xludf.DUMMYFUNCTION("""COMPUTED_VALUE"""),184.0)</f>
        <v>184</v>
      </c>
      <c r="J928" s="139">
        <f>IFERROR(__xludf.DUMMYFUNCTION("""COMPUTED_VALUE"""),110.0)</f>
        <v>110</v>
      </c>
      <c r="K928" s="139">
        <f>IFERROR(__xludf.DUMMYFUNCTION("""COMPUTED_VALUE"""),0.0)</f>
        <v>0</v>
      </c>
      <c r="L928" s="139"/>
      <c r="M928" s="139"/>
      <c r="N928" s="139"/>
    </row>
    <row r="929">
      <c r="A929" s="139" t="str">
        <f>IFERROR(__xludf.DUMMYFUNCTION("""COMPUTED_VALUE"""),"e")</f>
        <v>e</v>
      </c>
      <c r="B929" s="139">
        <f>IFERROR(__xludf.DUMMYFUNCTION("""COMPUTED_VALUE"""),2.0260202E8)</f>
        <v>202602020</v>
      </c>
      <c r="C929" s="139" t="str">
        <f>IFERROR(__xludf.DUMMYFUNCTION("""COMPUTED_VALUE"""),"chara_kim_00001_Normal_00000")</f>
        <v>chara_kim_00001_Normal_00000</v>
      </c>
      <c r="D929" s="139" t="str">
        <f>IFERROR(__xludf.DUMMYFUNCTION("""COMPUTED_VALUE"""),"chara_kim_00001")</f>
        <v>chara_kim_00001</v>
      </c>
      <c r="E929" s="139">
        <f>IFERROR(__xludf.DUMMYFUNCTION("""COMPUTED_VALUE"""),0.0)</f>
        <v>0</v>
      </c>
      <c r="F929" s="139" t="str">
        <f>IFERROR(__xludf.DUMMYFUNCTION("""COMPUTED_VALUE"""),"Normal")</f>
        <v>Normal</v>
      </c>
      <c r="G929" s="139"/>
      <c r="H929" s="139"/>
      <c r="I929" s="139">
        <f>IFERROR(__xludf.DUMMYFUNCTION("""COMPUTED_VALUE"""),65.0)</f>
        <v>65</v>
      </c>
      <c r="J929" s="139">
        <f>IFERROR(__xludf.DUMMYFUNCTION("""COMPUTED_VALUE"""),34.0)</f>
        <v>34</v>
      </c>
      <c r="K929" s="139">
        <f>IFERROR(__xludf.DUMMYFUNCTION("""COMPUTED_VALUE"""),175.0)</f>
        <v>175</v>
      </c>
      <c r="L929" s="139"/>
      <c r="M929" s="139"/>
      <c r="N929" s="139"/>
    </row>
    <row r="930">
      <c r="A930" s="139" t="str">
        <f>IFERROR(__xludf.DUMMYFUNCTION("""COMPUTED_VALUE"""),"e")</f>
        <v>e</v>
      </c>
      <c r="B930" s="139">
        <f>IFERROR(__xludf.DUMMYFUNCTION("""COMPUTED_VALUE"""),2.0260202E8)</f>
        <v>202602020</v>
      </c>
      <c r="C930" s="139" t="str">
        <f>IFERROR(__xludf.DUMMYFUNCTION("""COMPUTED_VALUE"""),"chara_kim_00001_Special_00001")</f>
        <v>chara_kim_00001_Special_00001</v>
      </c>
      <c r="D930" s="139" t="str">
        <f>IFERROR(__xludf.DUMMYFUNCTION("""COMPUTED_VALUE"""),"chara_kim_00001")</f>
        <v>chara_kim_00001</v>
      </c>
      <c r="E930" s="139">
        <f>IFERROR(__xludf.DUMMYFUNCTION("""COMPUTED_VALUE"""),1.0)</f>
        <v>1</v>
      </c>
      <c r="F930" s="139" t="str">
        <f>IFERROR(__xludf.DUMMYFUNCTION("""COMPUTED_VALUE"""),"Special")</f>
        <v>Special</v>
      </c>
      <c r="G930" s="139"/>
      <c r="H930" s="139"/>
      <c r="I930" s="139">
        <f>IFERROR(__xludf.DUMMYFUNCTION("""COMPUTED_VALUE"""),125.0)</f>
        <v>125</v>
      </c>
      <c r="J930" s="139">
        <f>IFERROR(__xludf.DUMMYFUNCTION("""COMPUTED_VALUE"""),0.0)</f>
        <v>0</v>
      </c>
      <c r="K930" s="139">
        <f>IFERROR(__xludf.DUMMYFUNCTION("""COMPUTED_VALUE"""),0.0)</f>
        <v>0</v>
      </c>
      <c r="L930" s="139"/>
      <c r="M930" s="139" t="str">
        <f>IFERROR(__xludf.DUMMYFUNCTION("""COMPUTED_VALUE"""),"敵複数体に最大5回の連続攻撃(自身の攻撃ステータスの最大94%ダメージ) + 5回目の攻撃がヒットした場合、敵を小ノックバック")</f>
        <v>敵複数体に最大5回の連続攻撃(自身の攻撃ステータスの最大94%ダメージ) + 5回目の攻撃がヒットした場合、敵を小ノックバック</v>
      </c>
      <c r="N930" s="139"/>
    </row>
    <row r="931">
      <c r="A931" s="139" t="str">
        <f>IFERROR(__xludf.DUMMYFUNCTION("""COMPUTED_VALUE"""),"e")</f>
        <v>e</v>
      </c>
      <c r="B931" s="139">
        <f>IFERROR(__xludf.DUMMYFUNCTION("""COMPUTED_VALUE"""),2.0260202E8)</f>
        <v>202602020</v>
      </c>
      <c r="C931" s="139" t="str">
        <f>IFERROR(__xludf.DUMMYFUNCTION("""COMPUTED_VALUE"""),"chara_kim_00001_Special_00002")</f>
        <v>chara_kim_00001_Special_00002</v>
      </c>
      <c r="D931" s="139" t="str">
        <f>IFERROR(__xludf.DUMMYFUNCTION("""COMPUTED_VALUE"""),"chara_kim_00001")</f>
        <v>chara_kim_00001</v>
      </c>
      <c r="E931" s="139">
        <f>IFERROR(__xludf.DUMMYFUNCTION("""COMPUTED_VALUE"""),2.0)</f>
        <v>2</v>
      </c>
      <c r="F931" s="139" t="str">
        <f>IFERROR(__xludf.DUMMYFUNCTION("""COMPUTED_VALUE"""),"Special")</f>
        <v>Special</v>
      </c>
      <c r="G931" s="139"/>
      <c r="H931" s="139"/>
      <c r="I931" s="139">
        <f>IFERROR(__xludf.DUMMYFUNCTION("""COMPUTED_VALUE"""),125.0)</f>
        <v>125</v>
      </c>
      <c r="J931" s="139">
        <f>IFERROR(__xludf.DUMMYFUNCTION("""COMPUTED_VALUE"""),0.0)</f>
        <v>0</v>
      </c>
      <c r="K931" s="139">
        <f>IFERROR(__xludf.DUMMYFUNCTION("""COMPUTED_VALUE"""),0.0)</f>
        <v>0</v>
      </c>
      <c r="L931" s="139"/>
      <c r="M931" s="139" t="str">
        <f>IFERROR(__xludf.DUMMYFUNCTION("""COMPUTED_VALUE"""),"敵複数体に最大5回の連続攻撃(自身の攻撃ステータスの最大106%ダメージ) + 5回目の攻撃がヒットした場合、敵を小ノックバック")</f>
        <v>敵複数体に最大5回の連続攻撃(自身の攻撃ステータスの最大106%ダメージ) + 5回目の攻撃がヒットした場合、敵を小ノックバック</v>
      </c>
      <c r="N931" s="139" t="str">
        <f>IFERROR(__xludf.DUMMYFUNCTION("""COMPUTED_VALUE"""),"ステータスUP + 必殺ワザ性能UP")</f>
        <v>ステータスUP + 必殺ワザ性能UP</v>
      </c>
    </row>
    <row r="932">
      <c r="A932" s="139" t="str">
        <f>IFERROR(__xludf.DUMMYFUNCTION("""COMPUTED_VALUE"""),"e")</f>
        <v>e</v>
      </c>
      <c r="B932" s="139">
        <f>IFERROR(__xludf.DUMMYFUNCTION("""COMPUTED_VALUE"""),2.0260202E8)</f>
        <v>202602020</v>
      </c>
      <c r="C932" s="139" t="str">
        <f>IFERROR(__xludf.DUMMYFUNCTION("""COMPUTED_VALUE"""),"chara_kim_00001_Special_00003")</f>
        <v>chara_kim_00001_Special_00003</v>
      </c>
      <c r="D932" s="139" t="str">
        <f>IFERROR(__xludf.DUMMYFUNCTION("""COMPUTED_VALUE"""),"chara_kim_00001")</f>
        <v>chara_kim_00001</v>
      </c>
      <c r="E932" s="139">
        <f>IFERROR(__xludf.DUMMYFUNCTION("""COMPUTED_VALUE"""),3.0)</f>
        <v>3</v>
      </c>
      <c r="F932" s="139" t="str">
        <f>IFERROR(__xludf.DUMMYFUNCTION("""COMPUTED_VALUE"""),"Special")</f>
        <v>Special</v>
      </c>
      <c r="G932" s="139"/>
      <c r="H932" s="139"/>
      <c r="I932" s="139">
        <f>IFERROR(__xludf.DUMMYFUNCTION("""COMPUTED_VALUE"""),125.0)</f>
        <v>125</v>
      </c>
      <c r="J932" s="139">
        <f>IFERROR(__xludf.DUMMYFUNCTION("""COMPUTED_VALUE"""),0.0)</f>
        <v>0</v>
      </c>
      <c r="K932" s="139">
        <f>IFERROR(__xludf.DUMMYFUNCTION("""COMPUTED_VALUE"""),0.0)</f>
        <v>0</v>
      </c>
      <c r="L932" s="139"/>
      <c r="M932" s="139" t="str">
        <f>IFERROR(__xludf.DUMMYFUNCTION("""COMPUTED_VALUE"""),"敵複数体に最大5回の連続攻撃(自身の攻撃ステータスの最大114%ダメージ) + 5回目の攻撃がヒットした場合、敵を中ノックバック")</f>
        <v>敵複数体に最大5回の連続攻撃(自身の攻撃ステータスの最大114%ダメージ) + 5回目の攻撃がヒットした場合、敵を中ノックバック</v>
      </c>
      <c r="N932" s="139" t="str">
        <f>IFERROR(__xludf.DUMMYFUNCTION("""COMPUTED_VALUE"""),"ステータスUP + 必殺ワザ性能UP")</f>
        <v>ステータスUP + 必殺ワザ性能UP</v>
      </c>
    </row>
    <row r="933">
      <c r="A933" s="139" t="str">
        <f>IFERROR(__xludf.DUMMYFUNCTION("""COMPUTED_VALUE"""),"e")</f>
        <v>e</v>
      </c>
      <c r="B933" s="139">
        <f>IFERROR(__xludf.DUMMYFUNCTION("""COMPUTED_VALUE"""),2.0260202E8)</f>
        <v>202602020</v>
      </c>
      <c r="C933" s="139" t="str">
        <f>IFERROR(__xludf.DUMMYFUNCTION("""COMPUTED_VALUE"""),"chara_kim_00001_Special_00004")</f>
        <v>chara_kim_00001_Special_00004</v>
      </c>
      <c r="D933" s="139" t="str">
        <f>IFERROR(__xludf.DUMMYFUNCTION("""COMPUTED_VALUE"""),"chara_kim_00001")</f>
        <v>chara_kim_00001</v>
      </c>
      <c r="E933" s="139">
        <f>IFERROR(__xludf.DUMMYFUNCTION("""COMPUTED_VALUE"""),4.0)</f>
        <v>4</v>
      </c>
      <c r="F933" s="139" t="str">
        <f>IFERROR(__xludf.DUMMYFUNCTION("""COMPUTED_VALUE"""),"Special")</f>
        <v>Special</v>
      </c>
      <c r="G933" s="139"/>
      <c r="H933" s="139"/>
      <c r="I933" s="139">
        <f>IFERROR(__xludf.DUMMYFUNCTION("""COMPUTED_VALUE"""),125.0)</f>
        <v>125</v>
      </c>
      <c r="J933" s="139">
        <f>IFERROR(__xludf.DUMMYFUNCTION("""COMPUTED_VALUE"""),0.0)</f>
        <v>0</v>
      </c>
      <c r="K933" s="139">
        <f>IFERROR(__xludf.DUMMYFUNCTION("""COMPUTED_VALUE"""),0.0)</f>
        <v>0</v>
      </c>
      <c r="L933" s="139"/>
      <c r="M933" s="139" t="str">
        <f>IFERROR(__xludf.DUMMYFUNCTION("""COMPUTED_VALUE"""),"敵複数体に最大5回の連続攻撃(自身の攻撃ステータスの最大120%ダメージ) + 5回目の攻撃がヒットした場合、敵を中ノックバック")</f>
        <v>敵複数体に最大5回の連続攻撃(自身の攻撃ステータスの最大120%ダメージ) + 5回目の攻撃がヒットした場合、敵を中ノックバック</v>
      </c>
      <c r="N933" s="139" t="str">
        <f>IFERROR(__xludf.DUMMYFUNCTION("""COMPUTED_VALUE"""),"ステータスUP + 必殺ワザ性能UP")</f>
        <v>ステータスUP + 必殺ワザ性能UP</v>
      </c>
    </row>
    <row r="934">
      <c r="A934" s="139" t="str">
        <f>IFERROR(__xludf.DUMMYFUNCTION("""COMPUTED_VALUE"""),"e")</f>
        <v>e</v>
      </c>
      <c r="B934" s="139">
        <f>IFERROR(__xludf.DUMMYFUNCTION("""COMPUTED_VALUE"""),2.0260202E8)</f>
        <v>202602020</v>
      </c>
      <c r="C934" s="139" t="str">
        <f>IFERROR(__xludf.DUMMYFUNCTION("""COMPUTED_VALUE"""),"chara_kim_00001_Special_00005")</f>
        <v>chara_kim_00001_Special_00005</v>
      </c>
      <c r="D934" s="139" t="str">
        <f>IFERROR(__xludf.DUMMYFUNCTION("""COMPUTED_VALUE"""),"chara_kim_00001")</f>
        <v>chara_kim_00001</v>
      </c>
      <c r="E934" s="139">
        <f>IFERROR(__xludf.DUMMYFUNCTION("""COMPUTED_VALUE"""),5.0)</f>
        <v>5</v>
      </c>
      <c r="F934" s="139" t="str">
        <f>IFERROR(__xludf.DUMMYFUNCTION("""COMPUTED_VALUE"""),"Special")</f>
        <v>Special</v>
      </c>
      <c r="G934" s="139"/>
      <c r="H934" s="139"/>
      <c r="I934" s="139">
        <f>IFERROR(__xludf.DUMMYFUNCTION("""COMPUTED_VALUE"""),125.0)</f>
        <v>125</v>
      </c>
      <c r="J934" s="139">
        <f>IFERROR(__xludf.DUMMYFUNCTION("""COMPUTED_VALUE"""),0.0)</f>
        <v>0</v>
      </c>
      <c r="K934" s="139">
        <f>IFERROR(__xludf.DUMMYFUNCTION("""COMPUTED_VALUE"""),0.0)</f>
        <v>0</v>
      </c>
      <c r="L934" s="139"/>
      <c r="M934" s="139" t="str">
        <f>IFERROR(__xludf.DUMMYFUNCTION("""COMPUTED_VALUE"""),"敵複数体に最大5回の連続攻撃(自身の攻撃ステータスの最大124%ダメージ) + 5回目の攻撃がヒットした場合、敵を中ノックバック")</f>
        <v>敵複数体に最大5回の連続攻撃(自身の攻撃ステータスの最大124%ダメージ) + 5回目の攻撃がヒットした場合、敵を中ノックバック</v>
      </c>
      <c r="N934" s="139" t="str">
        <f>IFERROR(__xludf.DUMMYFUNCTION("""COMPUTED_VALUE"""),"ステータスUP + 必殺ワザ性能UP")</f>
        <v>ステータスUP + 必殺ワザ性能UP</v>
      </c>
    </row>
    <row r="935">
      <c r="A935" s="139"/>
      <c r="B935" s="139"/>
      <c r="C935" s="139" t="str">
        <f>IFERROR(__xludf.DUMMYFUNCTION("""COMPUTED_VALUE"""),"chara_kim_00001_Special_00006")</f>
        <v>chara_kim_00001_Special_00006</v>
      </c>
      <c r="D935" s="139" t="str">
        <f>IFERROR(__xludf.DUMMYFUNCTION("""COMPUTED_VALUE"""),"chara_kim_00001")</f>
        <v>chara_kim_00001</v>
      </c>
      <c r="E935" s="139">
        <f>IFERROR(__xludf.DUMMYFUNCTION("""COMPUTED_VALUE"""),6.0)</f>
        <v>6</v>
      </c>
      <c r="F935" s="139" t="str">
        <f>IFERROR(__xludf.DUMMYFUNCTION("""COMPUTED_VALUE"""),"Special")</f>
        <v>Special</v>
      </c>
      <c r="G935" s="139"/>
      <c r="H935" s="139"/>
      <c r="I935" s="139">
        <f>IFERROR(__xludf.DUMMYFUNCTION("""COMPUTED_VALUE"""),125.0)</f>
        <v>125</v>
      </c>
      <c r="J935" s="139">
        <f>IFERROR(__xludf.DUMMYFUNCTION("""COMPUTED_VALUE"""),0.0)</f>
        <v>0</v>
      </c>
      <c r="K935" s="139">
        <f>IFERROR(__xludf.DUMMYFUNCTION("""COMPUTED_VALUE"""),0.0)</f>
        <v>0</v>
      </c>
      <c r="L935" s="139"/>
      <c r="M935" s="139"/>
      <c r="N935" s="139"/>
    </row>
    <row r="936">
      <c r="A936" s="139"/>
      <c r="B936" s="139"/>
      <c r="C936" s="139" t="str">
        <f>IFERROR(__xludf.DUMMYFUNCTION("""COMPUTED_VALUE"""),"chara_kim_00001_Special_00007")</f>
        <v>chara_kim_00001_Special_00007</v>
      </c>
      <c r="D936" s="139" t="str">
        <f>IFERROR(__xludf.DUMMYFUNCTION("""COMPUTED_VALUE"""),"chara_kim_00001")</f>
        <v>chara_kim_00001</v>
      </c>
      <c r="E936" s="139">
        <f>IFERROR(__xludf.DUMMYFUNCTION("""COMPUTED_VALUE"""),7.0)</f>
        <v>7</v>
      </c>
      <c r="F936" s="139" t="str">
        <f>IFERROR(__xludf.DUMMYFUNCTION("""COMPUTED_VALUE"""),"Special")</f>
        <v>Special</v>
      </c>
      <c r="G936" s="139"/>
      <c r="H936" s="139"/>
      <c r="I936" s="139">
        <f>IFERROR(__xludf.DUMMYFUNCTION("""COMPUTED_VALUE"""),125.0)</f>
        <v>125</v>
      </c>
      <c r="J936" s="139">
        <f>IFERROR(__xludf.DUMMYFUNCTION("""COMPUTED_VALUE"""),0.0)</f>
        <v>0</v>
      </c>
      <c r="K936" s="139">
        <f>IFERROR(__xludf.DUMMYFUNCTION("""COMPUTED_VALUE"""),0.0)</f>
        <v>0</v>
      </c>
      <c r="L936" s="139"/>
      <c r="M936" s="139"/>
      <c r="N936" s="139"/>
    </row>
    <row r="937">
      <c r="A937" s="139"/>
      <c r="B937" s="139"/>
      <c r="C937" s="139" t="str">
        <f>IFERROR(__xludf.DUMMYFUNCTION("""COMPUTED_VALUE"""),"chara_kim_00001_Special_00008")</f>
        <v>chara_kim_00001_Special_00008</v>
      </c>
      <c r="D937" s="139" t="str">
        <f>IFERROR(__xludf.DUMMYFUNCTION("""COMPUTED_VALUE"""),"chara_kim_00001")</f>
        <v>chara_kim_00001</v>
      </c>
      <c r="E937" s="139">
        <f>IFERROR(__xludf.DUMMYFUNCTION("""COMPUTED_VALUE"""),8.0)</f>
        <v>8</v>
      </c>
      <c r="F937" s="139" t="str">
        <f>IFERROR(__xludf.DUMMYFUNCTION("""COMPUTED_VALUE"""),"Special")</f>
        <v>Special</v>
      </c>
      <c r="G937" s="139"/>
      <c r="H937" s="139"/>
      <c r="I937" s="139">
        <f>IFERROR(__xludf.DUMMYFUNCTION("""COMPUTED_VALUE"""),125.0)</f>
        <v>125</v>
      </c>
      <c r="J937" s="139">
        <f>IFERROR(__xludf.DUMMYFUNCTION("""COMPUTED_VALUE"""),0.0)</f>
        <v>0</v>
      </c>
      <c r="K937" s="139">
        <f>IFERROR(__xludf.DUMMYFUNCTION("""COMPUTED_VALUE"""),0.0)</f>
        <v>0</v>
      </c>
      <c r="L937" s="139"/>
      <c r="M937" s="139"/>
      <c r="N937" s="139"/>
    </row>
    <row r="938">
      <c r="A938" s="139"/>
      <c r="B938" s="139"/>
      <c r="C938" s="139" t="str">
        <f>IFERROR(__xludf.DUMMYFUNCTION("""COMPUTED_VALUE"""),"chara_kim_00001_Special_00009")</f>
        <v>chara_kim_00001_Special_00009</v>
      </c>
      <c r="D938" s="139" t="str">
        <f>IFERROR(__xludf.DUMMYFUNCTION("""COMPUTED_VALUE"""),"chara_kim_00001")</f>
        <v>chara_kim_00001</v>
      </c>
      <c r="E938" s="139">
        <f>IFERROR(__xludf.DUMMYFUNCTION("""COMPUTED_VALUE"""),9.0)</f>
        <v>9</v>
      </c>
      <c r="F938" s="139" t="str">
        <f>IFERROR(__xludf.DUMMYFUNCTION("""COMPUTED_VALUE"""),"Special")</f>
        <v>Special</v>
      </c>
      <c r="G938" s="139"/>
      <c r="H938" s="139"/>
      <c r="I938" s="139">
        <f>IFERROR(__xludf.DUMMYFUNCTION("""COMPUTED_VALUE"""),125.0)</f>
        <v>125</v>
      </c>
      <c r="J938" s="139">
        <f>IFERROR(__xludf.DUMMYFUNCTION("""COMPUTED_VALUE"""),0.0)</f>
        <v>0</v>
      </c>
      <c r="K938" s="139">
        <f>IFERROR(__xludf.DUMMYFUNCTION("""COMPUTED_VALUE"""),0.0)</f>
        <v>0</v>
      </c>
      <c r="L938" s="139"/>
      <c r="M938" s="139"/>
      <c r="N938" s="139"/>
    </row>
    <row r="939">
      <c r="A939" s="139"/>
      <c r="B939" s="139"/>
      <c r="C939" s="139" t="str">
        <f>IFERROR(__xludf.DUMMYFUNCTION("""COMPUTED_VALUE"""),"chara_kim_00001_Special_00010")</f>
        <v>chara_kim_00001_Special_00010</v>
      </c>
      <c r="D939" s="139" t="str">
        <f>IFERROR(__xludf.DUMMYFUNCTION("""COMPUTED_VALUE"""),"chara_kim_00001")</f>
        <v>chara_kim_00001</v>
      </c>
      <c r="E939" s="139">
        <f>IFERROR(__xludf.DUMMYFUNCTION("""COMPUTED_VALUE"""),10.0)</f>
        <v>10</v>
      </c>
      <c r="F939" s="139" t="str">
        <f>IFERROR(__xludf.DUMMYFUNCTION("""COMPUTED_VALUE"""),"Special")</f>
        <v>Special</v>
      </c>
      <c r="G939" s="139"/>
      <c r="H939" s="139"/>
      <c r="I939" s="139">
        <f>IFERROR(__xludf.DUMMYFUNCTION("""COMPUTED_VALUE"""),125.0)</f>
        <v>125</v>
      </c>
      <c r="J939" s="139">
        <f>IFERROR(__xludf.DUMMYFUNCTION("""COMPUTED_VALUE"""),0.0)</f>
        <v>0</v>
      </c>
      <c r="K939" s="139">
        <f>IFERROR(__xludf.DUMMYFUNCTION("""COMPUTED_VALUE"""),0.0)</f>
        <v>0</v>
      </c>
      <c r="L939" s="139"/>
      <c r="M939" s="139"/>
      <c r="N939" s="139"/>
    </row>
    <row r="940">
      <c r="A940" s="139" t="str">
        <f>IFERROR(__xludf.DUMMYFUNCTION("""COMPUTED_VALUE"""),"e")</f>
        <v>e</v>
      </c>
      <c r="B940" s="139">
        <f>IFERROR(__xludf.DUMMYFUNCTION("""COMPUTED_VALUE"""),2.0260202E8)</f>
        <v>202602020</v>
      </c>
      <c r="C940" s="139" t="str">
        <f>IFERROR(__xludf.DUMMYFUNCTION("""COMPUTED_VALUE"""),"chara_kim_00101_Normal_00000")</f>
        <v>chara_kim_00101_Normal_00000</v>
      </c>
      <c r="D940" s="139" t="str">
        <f>IFERROR(__xludf.DUMMYFUNCTION("""COMPUTED_VALUE"""),"chara_kim_00101")</f>
        <v>chara_kim_00101</v>
      </c>
      <c r="E940" s="139">
        <f>IFERROR(__xludf.DUMMYFUNCTION("""COMPUTED_VALUE"""),0.0)</f>
        <v>0</v>
      </c>
      <c r="F940" s="139" t="str">
        <f>IFERROR(__xludf.DUMMYFUNCTION("""COMPUTED_VALUE"""),"Normal")</f>
        <v>Normal</v>
      </c>
      <c r="G940" s="139"/>
      <c r="H940" s="139"/>
      <c r="I940" s="139">
        <f>IFERROR(__xludf.DUMMYFUNCTION("""COMPUTED_VALUE"""),62.0)</f>
        <v>62</v>
      </c>
      <c r="J940" s="139">
        <f>IFERROR(__xludf.DUMMYFUNCTION("""COMPUTED_VALUE"""),13.0)</f>
        <v>13</v>
      </c>
      <c r="K940" s="139">
        <f>IFERROR(__xludf.DUMMYFUNCTION("""COMPUTED_VALUE"""),50.0)</f>
        <v>50</v>
      </c>
      <c r="L940" s="139"/>
      <c r="M940" s="139"/>
      <c r="N940" s="139"/>
    </row>
    <row r="941">
      <c r="A941" s="139" t="str">
        <f>IFERROR(__xludf.DUMMYFUNCTION("""COMPUTED_VALUE"""),"e")</f>
        <v>e</v>
      </c>
      <c r="B941" s="139">
        <f>IFERROR(__xludf.DUMMYFUNCTION("""COMPUTED_VALUE"""),2.0260202E8)</f>
        <v>202602020</v>
      </c>
      <c r="C941" s="139" t="str">
        <f>IFERROR(__xludf.DUMMYFUNCTION("""COMPUTED_VALUE"""),"chara_kim_00101_Special_00001")</f>
        <v>chara_kim_00101_Special_00001</v>
      </c>
      <c r="D941" s="139" t="str">
        <f>IFERROR(__xludf.DUMMYFUNCTION("""COMPUTED_VALUE"""),"chara_kim_00101")</f>
        <v>chara_kim_00101</v>
      </c>
      <c r="E941" s="139">
        <f>IFERROR(__xludf.DUMMYFUNCTION("""COMPUTED_VALUE"""),1.0)</f>
        <v>1</v>
      </c>
      <c r="F941" s="139" t="str">
        <f>IFERROR(__xludf.DUMMYFUNCTION("""COMPUTED_VALUE"""),"Special")</f>
        <v>Special</v>
      </c>
      <c r="G941" s="139" t="str">
        <f>IFERROR(__xludf.DUMMYFUNCTION("""COMPUTED_VALUE"""),"Yellow")</f>
        <v>Yellow</v>
      </c>
      <c r="H941" s="139">
        <f>IFERROR(__xludf.DUMMYFUNCTION("""COMPUTED_VALUE"""),175.0)</f>
        <v>175</v>
      </c>
      <c r="I941" s="139">
        <f>IFERROR(__xludf.DUMMYFUNCTION("""COMPUTED_VALUE"""),175.0)</f>
        <v>175</v>
      </c>
      <c r="J941" s="139">
        <f>IFERROR(__xludf.DUMMYFUNCTION("""COMPUTED_VALUE"""),0.0)</f>
        <v>0</v>
      </c>
      <c r="K941" s="139">
        <f>IFERROR(__xludf.DUMMYFUNCTION("""COMPUTED_VALUE"""),0.0)</f>
        <v>0</v>
      </c>
      <c r="L941" s="139"/>
      <c r="M941" s="139" t="str">
        <f>IFERROR(__xludf.DUMMYFUNCTION("""COMPUTED_VALUE"""),"敵複数体に最大5回の連続攻撃(自身の攻撃ステータスの最大79%ダメージ、敵が黄属性の場合は自身の攻撃ステータスの最大138.25%のダメージ)")</f>
        <v>敵複数体に最大5回の連続攻撃(自身の攻撃ステータスの最大79%ダメージ、敵が黄属性の場合は自身の攻撃ステータスの最大138.25%のダメージ)</v>
      </c>
      <c r="N941" s="139"/>
    </row>
    <row r="942">
      <c r="A942" s="139" t="str">
        <f>IFERROR(__xludf.DUMMYFUNCTION("""COMPUTED_VALUE"""),"e")</f>
        <v>e</v>
      </c>
      <c r="B942" s="139">
        <f>IFERROR(__xludf.DUMMYFUNCTION("""COMPUTED_VALUE"""),2.0260202E8)</f>
        <v>202602020</v>
      </c>
      <c r="C942" s="139" t="str">
        <f>IFERROR(__xludf.DUMMYFUNCTION("""COMPUTED_VALUE"""),"chara_kim_00101_Special_00002")</f>
        <v>chara_kim_00101_Special_00002</v>
      </c>
      <c r="D942" s="139" t="str">
        <f>IFERROR(__xludf.DUMMYFUNCTION("""COMPUTED_VALUE"""),"chara_kim_00101")</f>
        <v>chara_kim_00101</v>
      </c>
      <c r="E942" s="139">
        <f>IFERROR(__xludf.DUMMYFUNCTION("""COMPUTED_VALUE"""),2.0)</f>
        <v>2</v>
      </c>
      <c r="F942" s="139" t="str">
        <f>IFERROR(__xludf.DUMMYFUNCTION("""COMPUTED_VALUE"""),"Special")</f>
        <v>Special</v>
      </c>
      <c r="G942" s="139" t="str">
        <f>IFERROR(__xludf.DUMMYFUNCTION("""COMPUTED_VALUE"""),"Yellow")</f>
        <v>Yellow</v>
      </c>
      <c r="H942" s="139">
        <f>IFERROR(__xludf.DUMMYFUNCTION("""COMPUTED_VALUE"""),182.0)</f>
        <v>182</v>
      </c>
      <c r="I942" s="139">
        <f>IFERROR(__xludf.DUMMYFUNCTION("""COMPUTED_VALUE"""),175.0)</f>
        <v>175</v>
      </c>
      <c r="J942" s="139">
        <f>IFERROR(__xludf.DUMMYFUNCTION("""COMPUTED_VALUE"""),0.0)</f>
        <v>0</v>
      </c>
      <c r="K942" s="139">
        <f>IFERROR(__xludf.DUMMYFUNCTION("""COMPUTED_VALUE"""),0.0)</f>
        <v>0</v>
      </c>
      <c r="L942" s="139"/>
      <c r="M942" s="139" t="str">
        <f>IFERROR(__xludf.DUMMYFUNCTION("""COMPUTED_VALUE"""),"敵複数体に最大5回の連続攻撃(自身の攻撃ステータスの最大86%ダメージ、敵が黄属性の場合は自身の攻撃ステータスの最大156.52%のダメージ)")</f>
        <v>敵複数体に最大5回の連続攻撃(自身の攻撃ステータスの最大86%ダメージ、敵が黄属性の場合は自身の攻撃ステータスの最大156.52%のダメージ)</v>
      </c>
      <c r="N942" s="139" t="str">
        <f>IFERROR(__xludf.DUMMYFUNCTION("""COMPUTED_VALUE"""),"ステータスUP + 必殺ワザ性能UP")</f>
        <v>ステータスUP + 必殺ワザ性能UP</v>
      </c>
    </row>
    <row r="943">
      <c r="A943" s="139" t="str">
        <f>IFERROR(__xludf.DUMMYFUNCTION("""COMPUTED_VALUE"""),"e")</f>
        <v>e</v>
      </c>
      <c r="B943" s="139">
        <f>IFERROR(__xludf.DUMMYFUNCTION("""COMPUTED_VALUE"""),2.0260202E8)</f>
        <v>202602020</v>
      </c>
      <c r="C943" s="139" t="str">
        <f>IFERROR(__xludf.DUMMYFUNCTION("""COMPUTED_VALUE"""),"chara_kim_00101_Special_00003")</f>
        <v>chara_kim_00101_Special_00003</v>
      </c>
      <c r="D943" s="139" t="str">
        <f>IFERROR(__xludf.DUMMYFUNCTION("""COMPUTED_VALUE"""),"chara_kim_00101")</f>
        <v>chara_kim_00101</v>
      </c>
      <c r="E943" s="139">
        <f>IFERROR(__xludf.DUMMYFUNCTION("""COMPUTED_VALUE"""),3.0)</f>
        <v>3</v>
      </c>
      <c r="F943" s="139" t="str">
        <f>IFERROR(__xludf.DUMMYFUNCTION("""COMPUTED_VALUE"""),"Special")</f>
        <v>Special</v>
      </c>
      <c r="G943" s="139" t="str">
        <f>IFERROR(__xludf.DUMMYFUNCTION("""COMPUTED_VALUE"""),"Yellow")</f>
        <v>Yellow</v>
      </c>
      <c r="H943" s="139">
        <f>IFERROR(__xludf.DUMMYFUNCTION("""COMPUTED_VALUE"""),194.0)</f>
        <v>194</v>
      </c>
      <c r="I943" s="139">
        <f>IFERROR(__xludf.DUMMYFUNCTION("""COMPUTED_VALUE"""),175.0)</f>
        <v>175</v>
      </c>
      <c r="J943" s="139">
        <f>IFERROR(__xludf.DUMMYFUNCTION("""COMPUTED_VALUE"""),0.0)</f>
        <v>0</v>
      </c>
      <c r="K943" s="139">
        <f>IFERROR(__xludf.DUMMYFUNCTION("""COMPUTED_VALUE"""),0.0)</f>
        <v>0</v>
      </c>
      <c r="L943" s="139"/>
      <c r="M943" s="139" t="str">
        <f>IFERROR(__xludf.DUMMYFUNCTION("""COMPUTED_VALUE"""),"敵複数体に最大5回の連続攻撃(自身の攻撃ステータスの最大96%ダメージ、敵が黄属性の場合は自身の攻撃ステータスの最大186.24%のダメージ)")</f>
        <v>敵複数体に最大5回の連続攻撃(自身の攻撃ステータスの最大96%ダメージ、敵が黄属性の場合は自身の攻撃ステータスの最大186.24%のダメージ)</v>
      </c>
      <c r="N943" s="139" t="str">
        <f>IFERROR(__xludf.DUMMYFUNCTION("""COMPUTED_VALUE"""),"ステータスUP + 必殺ワザ性能UP")</f>
        <v>ステータスUP + 必殺ワザ性能UP</v>
      </c>
    </row>
    <row r="944">
      <c r="A944" s="139" t="str">
        <f>IFERROR(__xludf.DUMMYFUNCTION("""COMPUTED_VALUE"""),"e")</f>
        <v>e</v>
      </c>
      <c r="B944" s="139">
        <f>IFERROR(__xludf.DUMMYFUNCTION("""COMPUTED_VALUE"""),2.0260202E8)</f>
        <v>202602020</v>
      </c>
      <c r="C944" s="139" t="str">
        <f>IFERROR(__xludf.DUMMYFUNCTION("""COMPUTED_VALUE"""),"chara_kim_00101_Special_00004")</f>
        <v>chara_kim_00101_Special_00004</v>
      </c>
      <c r="D944" s="139" t="str">
        <f>IFERROR(__xludf.DUMMYFUNCTION("""COMPUTED_VALUE"""),"chara_kim_00101")</f>
        <v>chara_kim_00101</v>
      </c>
      <c r="E944" s="139">
        <f>IFERROR(__xludf.DUMMYFUNCTION("""COMPUTED_VALUE"""),4.0)</f>
        <v>4</v>
      </c>
      <c r="F944" s="139" t="str">
        <f>IFERROR(__xludf.DUMMYFUNCTION("""COMPUTED_VALUE"""),"Special")</f>
        <v>Special</v>
      </c>
      <c r="G944" s="139" t="str">
        <f>IFERROR(__xludf.DUMMYFUNCTION("""COMPUTED_VALUE"""),"Yellow")</f>
        <v>Yellow</v>
      </c>
      <c r="H944" s="139">
        <f>IFERROR(__xludf.DUMMYFUNCTION("""COMPUTED_VALUE"""),198.0)</f>
        <v>198</v>
      </c>
      <c r="I944" s="139">
        <f>IFERROR(__xludf.DUMMYFUNCTION("""COMPUTED_VALUE"""),175.0)</f>
        <v>175</v>
      </c>
      <c r="J944" s="139">
        <f>IFERROR(__xludf.DUMMYFUNCTION("""COMPUTED_VALUE"""),0.0)</f>
        <v>0</v>
      </c>
      <c r="K944" s="139">
        <f>IFERROR(__xludf.DUMMYFUNCTION("""COMPUTED_VALUE"""),0.0)</f>
        <v>0</v>
      </c>
      <c r="L944" s="139"/>
      <c r="M944" s="139" t="str">
        <f>IFERROR(__xludf.DUMMYFUNCTION("""COMPUTED_VALUE"""),"敵複数体に最大5回の連続攻撃(自身の攻撃ステータスの最大99%ダメージ、敵が黄属性の場合は自身の攻撃ステータスの最大196.02%のダメージ)")</f>
        <v>敵複数体に最大5回の連続攻撃(自身の攻撃ステータスの最大99%ダメージ、敵が黄属性の場合は自身の攻撃ステータスの最大196.02%のダメージ)</v>
      </c>
      <c r="N944" s="139" t="str">
        <f>IFERROR(__xludf.DUMMYFUNCTION("""COMPUTED_VALUE"""),"ステータスUP + 必殺ワザ性能UP")</f>
        <v>ステータスUP + 必殺ワザ性能UP</v>
      </c>
    </row>
    <row r="945">
      <c r="A945" s="139" t="str">
        <f>IFERROR(__xludf.DUMMYFUNCTION("""COMPUTED_VALUE"""),"e")</f>
        <v>e</v>
      </c>
      <c r="B945" s="139">
        <f>IFERROR(__xludf.DUMMYFUNCTION("""COMPUTED_VALUE"""),2.0260202E8)</f>
        <v>202602020</v>
      </c>
      <c r="C945" s="139" t="str">
        <f>IFERROR(__xludf.DUMMYFUNCTION("""COMPUTED_VALUE"""),"chara_kim_00101_Special_00005")</f>
        <v>chara_kim_00101_Special_00005</v>
      </c>
      <c r="D945" s="139" t="str">
        <f>IFERROR(__xludf.DUMMYFUNCTION("""COMPUTED_VALUE"""),"chara_kim_00101")</f>
        <v>chara_kim_00101</v>
      </c>
      <c r="E945" s="139">
        <f>IFERROR(__xludf.DUMMYFUNCTION("""COMPUTED_VALUE"""),5.0)</f>
        <v>5</v>
      </c>
      <c r="F945" s="139" t="str">
        <f>IFERROR(__xludf.DUMMYFUNCTION("""COMPUTED_VALUE"""),"Special")</f>
        <v>Special</v>
      </c>
      <c r="G945" s="139" t="str">
        <f>IFERROR(__xludf.DUMMYFUNCTION("""COMPUTED_VALUE"""),"Yellow")</f>
        <v>Yellow</v>
      </c>
      <c r="H945" s="139">
        <f>IFERROR(__xludf.DUMMYFUNCTION("""COMPUTED_VALUE"""),205.0)</f>
        <v>205</v>
      </c>
      <c r="I945" s="139">
        <f>IFERROR(__xludf.DUMMYFUNCTION("""COMPUTED_VALUE"""),175.0)</f>
        <v>175</v>
      </c>
      <c r="J945" s="139">
        <f>IFERROR(__xludf.DUMMYFUNCTION("""COMPUTED_VALUE"""),0.0)</f>
        <v>0</v>
      </c>
      <c r="K945" s="139">
        <f>IFERROR(__xludf.DUMMYFUNCTION("""COMPUTED_VALUE"""),0.0)</f>
        <v>0</v>
      </c>
      <c r="L945" s="139"/>
      <c r="M945" s="139" t="str">
        <f>IFERROR(__xludf.DUMMYFUNCTION("""COMPUTED_VALUE"""),"敵複数体に最大5回の連続攻撃(自身の攻撃ステータスの最大105%ダメージ、敵が黄属性の場合は自身の攻撃ステータスの最大215.25%のダメージ)")</f>
        <v>敵複数体に最大5回の連続攻撃(自身の攻撃ステータスの最大105%ダメージ、敵が黄属性の場合は自身の攻撃ステータスの最大215.25%のダメージ)</v>
      </c>
      <c r="N945" s="139" t="str">
        <f>IFERROR(__xludf.DUMMYFUNCTION("""COMPUTED_VALUE"""),"ステータスUP + 必殺ワザ性能UP")</f>
        <v>ステータスUP + 必殺ワザ性能UP</v>
      </c>
    </row>
    <row r="946">
      <c r="A946" s="139"/>
      <c r="B946" s="139"/>
      <c r="C946" s="139" t="str">
        <f>IFERROR(__xludf.DUMMYFUNCTION("""COMPUTED_VALUE"""),"chara_kim_00101_Special_00006")</f>
        <v>chara_kim_00101_Special_00006</v>
      </c>
      <c r="D946" s="139" t="str">
        <f>IFERROR(__xludf.DUMMYFUNCTION("""COMPUTED_VALUE"""),"chara_kim_00101")</f>
        <v>chara_kim_00101</v>
      </c>
      <c r="E946" s="139">
        <f>IFERROR(__xludf.DUMMYFUNCTION("""COMPUTED_VALUE"""),6.0)</f>
        <v>6</v>
      </c>
      <c r="F946" s="139" t="str">
        <f>IFERROR(__xludf.DUMMYFUNCTION("""COMPUTED_VALUE"""),"Special")</f>
        <v>Special</v>
      </c>
      <c r="G946" s="139"/>
      <c r="H946" s="139"/>
      <c r="I946" s="139">
        <f>IFERROR(__xludf.DUMMYFUNCTION("""COMPUTED_VALUE"""),175.0)</f>
        <v>175</v>
      </c>
      <c r="J946" s="139">
        <f>IFERROR(__xludf.DUMMYFUNCTION("""COMPUTED_VALUE"""),0.0)</f>
        <v>0</v>
      </c>
      <c r="K946" s="139">
        <f>IFERROR(__xludf.DUMMYFUNCTION("""COMPUTED_VALUE"""),0.0)</f>
        <v>0</v>
      </c>
      <c r="L946" s="139"/>
      <c r="M946" s="139"/>
      <c r="N946" s="139"/>
    </row>
    <row r="947">
      <c r="A947" s="139"/>
      <c r="B947" s="139"/>
      <c r="C947" s="139" t="str">
        <f>IFERROR(__xludf.DUMMYFUNCTION("""COMPUTED_VALUE"""),"chara_kim_00101_Special_00007")</f>
        <v>chara_kim_00101_Special_00007</v>
      </c>
      <c r="D947" s="139" t="str">
        <f>IFERROR(__xludf.DUMMYFUNCTION("""COMPUTED_VALUE"""),"chara_kim_00101")</f>
        <v>chara_kim_00101</v>
      </c>
      <c r="E947" s="139">
        <f>IFERROR(__xludf.DUMMYFUNCTION("""COMPUTED_VALUE"""),7.0)</f>
        <v>7</v>
      </c>
      <c r="F947" s="139" t="str">
        <f>IFERROR(__xludf.DUMMYFUNCTION("""COMPUTED_VALUE"""),"Special")</f>
        <v>Special</v>
      </c>
      <c r="G947" s="139"/>
      <c r="H947" s="139"/>
      <c r="I947" s="139">
        <f>IFERROR(__xludf.DUMMYFUNCTION("""COMPUTED_VALUE"""),175.0)</f>
        <v>175</v>
      </c>
      <c r="J947" s="139">
        <f>IFERROR(__xludf.DUMMYFUNCTION("""COMPUTED_VALUE"""),0.0)</f>
        <v>0</v>
      </c>
      <c r="K947" s="139">
        <f>IFERROR(__xludf.DUMMYFUNCTION("""COMPUTED_VALUE"""),0.0)</f>
        <v>0</v>
      </c>
      <c r="L947" s="139"/>
      <c r="M947" s="139"/>
      <c r="N947" s="139"/>
    </row>
    <row r="948">
      <c r="A948" s="139"/>
      <c r="B948" s="139"/>
      <c r="C948" s="139" t="str">
        <f>IFERROR(__xludf.DUMMYFUNCTION("""COMPUTED_VALUE"""),"chara_kim_00101_Special_00008")</f>
        <v>chara_kim_00101_Special_00008</v>
      </c>
      <c r="D948" s="139" t="str">
        <f>IFERROR(__xludf.DUMMYFUNCTION("""COMPUTED_VALUE"""),"chara_kim_00101")</f>
        <v>chara_kim_00101</v>
      </c>
      <c r="E948" s="139">
        <f>IFERROR(__xludf.DUMMYFUNCTION("""COMPUTED_VALUE"""),8.0)</f>
        <v>8</v>
      </c>
      <c r="F948" s="139" t="str">
        <f>IFERROR(__xludf.DUMMYFUNCTION("""COMPUTED_VALUE"""),"Special")</f>
        <v>Special</v>
      </c>
      <c r="G948" s="139"/>
      <c r="H948" s="139"/>
      <c r="I948" s="139">
        <f>IFERROR(__xludf.DUMMYFUNCTION("""COMPUTED_VALUE"""),175.0)</f>
        <v>175</v>
      </c>
      <c r="J948" s="139">
        <f>IFERROR(__xludf.DUMMYFUNCTION("""COMPUTED_VALUE"""),0.0)</f>
        <v>0</v>
      </c>
      <c r="K948" s="139">
        <f>IFERROR(__xludf.DUMMYFUNCTION("""COMPUTED_VALUE"""),0.0)</f>
        <v>0</v>
      </c>
      <c r="L948" s="139"/>
      <c r="M948" s="139"/>
      <c r="N948" s="139"/>
    </row>
    <row r="949">
      <c r="A949" s="139"/>
      <c r="B949" s="139"/>
      <c r="C949" s="139" t="str">
        <f>IFERROR(__xludf.DUMMYFUNCTION("""COMPUTED_VALUE"""),"chara_kim_00101_Special_00009")</f>
        <v>chara_kim_00101_Special_00009</v>
      </c>
      <c r="D949" s="139" t="str">
        <f>IFERROR(__xludf.DUMMYFUNCTION("""COMPUTED_VALUE"""),"chara_kim_00101")</f>
        <v>chara_kim_00101</v>
      </c>
      <c r="E949" s="139">
        <f>IFERROR(__xludf.DUMMYFUNCTION("""COMPUTED_VALUE"""),9.0)</f>
        <v>9</v>
      </c>
      <c r="F949" s="139" t="str">
        <f>IFERROR(__xludf.DUMMYFUNCTION("""COMPUTED_VALUE"""),"Special")</f>
        <v>Special</v>
      </c>
      <c r="G949" s="139"/>
      <c r="H949" s="139"/>
      <c r="I949" s="139">
        <f>IFERROR(__xludf.DUMMYFUNCTION("""COMPUTED_VALUE"""),175.0)</f>
        <v>175</v>
      </c>
      <c r="J949" s="139">
        <f>IFERROR(__xludf.DUMMYFUNCTION("""COMPUTED_VALUE"""),0.0)</f>
        <v>0</v>
      </c>
      <c r="K949" s="139">
        <f>IFERROR(__xludf.DUMMYFUNCTION("""COMPUTED_VALUE"""),0.0)</f>
        <v>0</v>
      </c>
      <c r="L949" s="139"/>
      <c r="M949" s="139"/>
      <c r="N949" s="139"/>
    </row>
    <row r="950">
      <c r="A950" s="139"/>
      <c r="B950" s="139"/>
      <c r="C950" s="139" t="str">
        <f>IFERROR(__xludf.DUMMYFUNCTION("""COMPUTED_VALUE"""),"chara_kim_00101_Special_00010")</f>
        <v>chara_kim_00101_Special_00010</v>
      </c>
      <c r="D950" s="139" t="str">
        <f>IFERROR(__xludf.DUMMYFUNCTION("""COMPUTED_VALUE"""),"chara_kim_00101")</f>
        <v>chara_kim_00101</v>
      </c>
      <c r="E950" s="139">
        <f>IFERROR(__xludf.DUMMYFUNCTION("""COMPUTED_VALUE"""),10.0)</f>
        <v>10</v>
      </c>
      <c r="F950" s="139" t="str">
        <f>IFERROR(__xludf.DUMMYFUNCTION("""COMPUTED_VALUE"""),"Special")</f>
        <v>Special</v>
      </c>
      <c r="G950" s="139"/>
      <c r="H950" s="139"/>
      <c r="I950" s="139">
        <f>IFERROR(__xludf.DUMMYFUNCTION("""COMPUTED_VALUE"""),175.0)</f>
        <v>175</v>
      </c>
      <c r="J950" s="139">
        <f>IFERROR(__xludf.DUMMYFUNCTION("""COMPUTED_VALUE"""),0.0)</f>
        <v>0</v>
      </c>
      <c r="K950" s="139">
        <f>IFERROR(__xludf.DUMMYFUNCTION("""COMPUTED_VALUE"""),0.0)</f>
        <v>0</v>
      </c>
      <c r="L950" s="139"/>
      <c r="M950" s="139"/>
      <c r="N950" s="139"/>
    </row>
    <row r="951">
      <c r="A951" s="139" t="str">
        <f>IFERROR(__xludf.DUMMYFUNCTION("""COMPUTED_VALUE"""),"e")</f>
        <v>e</v>
      </c>
      <c r="B951" s="139">
        <f>IFERROR(__xludf.DUMMYFUNCTION("""COMPUTED_VALUE"""),2.0260202E8)</f>
        <v>202602020</v>
      </c>
      <c r="C951" s="139" t="str">
        <f>IFERROR(__xludf.DUMMYFUNCTION("""COMPUTED_VALUE"""),"chara_kim_00201_Normal_00000")</f>
        <v>chara_kim_00201_Normal_00000</v>
      </c>
      <c r="D951" s="139" t="str">
        <f>IFERROR(__xludf.DUMMYFUNCTION("""COMPUTED_VALUE"""),"chara_kim_00201")</f>
        <v>chara_kim_00201</v>
      </c>
      <c r="E951" s="139">
        <f>IFERROR(__xludf.DUMMYFUNCTION("""COMPUTED_VALUE"""),0.0)</f>
        <v>0</v>
      </c>
      <c r="F951" s="139" t="str">
        <f>IFERROR(__xludf.DUMMYFUNCTION("""COMPUTED_VALUE"""),"Normal")</f>
        <v>Normal</v>
      </c>
      <c r="G951" s="139"/>
      <c r="H951" s="139"/>
      <c r="I951" s="139">
        <f>IFERROR(__xludf.DUMMYFUNCTION("""COMPUTED_VALUE"""),69.0)</f>
        <v>69</v>
      </c>
      <c r="J951" s="139">
        <f>IFERROR(__xludf.DUMMYFUNCTION("""COMPUTED_VALUE"""),10.0)</f>
        <v>10</v>
      </c>
      <c r="K951" s="139">
        <f>IFERROR(__xludf.DUMMYFUNCTION("""COMPUTED_VALUE"""),50.0)</f>
        <v>50</v>
      </c>
      <c r="L951" s="139"/>
      <c r="M951" s="139"/>
      <c r="N951" s="139"/>
    </row>
    <row r="952">
      <c r="A952" s="139" t="str">
        <f>IFERROR(__xludf.DUMMYFUNCTION("""COMPUTED_VALUE"""),"e")</f>
        <v>e</v>
      </c>
      <c r="B952" s="139">
        <f>IFERROR(__xludf.DUMMYFUNCTION("""COMPUTED_VALUE"""),2.0260202E8)</f>
        <v>202602020</v>
      </c>
      <c r="C952" s="139" t="str">
        <f>IFERROR(__xludf.DUMMYFUNCTION("""COMPUTED_VALUE"""),"chara_kim_00201_Special_00001")</f>
        <v>chara_kim_00201_Special_00001</v>
      </c>
      <c r="D952" s="139" t="str">
        <f>IFERROR(__xludf.DUMMYFUNCTION("""COMPUTED_VALUE"""),"chara_kim_00201")</f>
        <v>chara_kim_00201</v>
      </c>
      <c r="E952" s="139">
        <f>IFERROR(__xludf.DUMMYFUNCTION("""COMPUTED_VALUE"""),1.0)</f>
        <v>1</v>
      </c>
      <c r="F952" s="139" t="str">
        <f>IFERROR(__xludf.DUMMYFUNCTION("""COMPUTED_VALUE"""),"Special")</f>
        <v>Special</v>
      </c>
      <c r="G952" s="139"/>
      <c r="H952" s="139"/>
      <c r="I952" s="139">
        <f>IFERROR(__xludf.DUMMYFUNCTION("""COMPUTED_VALUE"""),120.0)</f>
        <v>120</v>
      </c>
      <c r="J952" s="139">
        <f>IFERROR(__xludf.DUMMYFUNCTION("""COMPUTED_VALUE"""),60.0)</f>
        <v>60</v>
      </c>
      <c r="K952" s="139">
        <f>IFERROR(__xludf.DUMMYFUNCTION("""COMPUTED_VALUE"""),0.0)</f>
        <v>0</v>
      </c>
      <c r="L952" s="139"/>
      <c r="M952" s="139" t="str">
        <f>IFERROR(__xludf.DUMMYFUNCTION("""COMPUTED_VALUE"""),"敵複数体に自身の攻撃ステータスの85%のダメージ + 攻撃がヒットした場合、敵の攻撃を12秒間、5%DOWN")</f>
        <v>敵複数体に自身の攻撃ステータスの85%のダメージ + 攻撃がヒットした場合、敵の攻撃を12秒間、5%DOWN</v>
      </c>
      <c r="N952" s="139"/>
    </row>
    <row r="953">
      <c r="A953" s="139" t="str">
        <f>IFERROR(__xludf.DUMMYFUNCTION("""COMPUTED_VALUE"""),"e")</f>
        <v>e</v>
      </c>
      <c r="B953" s="139">
        <f>IFERROR(__xludf.DUMMYFUNCTION("""COMPUTED_VALUE"""),2.0260202E8)</f>
        <v>202602020</v>
      </c>
      <c r="C953" s="139" t="str">
        <f>IFERROR(__xludf.DUMMYFUNCTION("""COMPUTED_VALUE"""),"chara_kim_00201_Special_00002")</f>
        <v>chara_kim_00201_Special_00002</v>
      </c>
      <c r="D953" s="139" t="str">
        <f>IFERROR(__xludf.DUMMYFUNCTION("""COMPUTED_VALUE"""),"chara_kim_00201")</f>
        <v>chara_kim_00201</v>
      </c>
      <c r="E953" s="139">
        <f>IFERROR(__xludf.DUMMYFUNCTION("""COMPUTED_VALUE"""),2.0)</f>
        <v>2</v>
      </c>
      <c r="F953" s="139" t="str">
        <f>IFERROR(__xludf.DUMMYFUNCTION("""COMPUTED_VALUE"""),"Special")</f>
        <v>Special</v>
      </c>
      <c r="G953" s="139"/>
      <c r="H953" s="139"/>
      <c r="I953" s="139">
        <f>IFERROR(__xludf.DUMMYFUNCTION("""COMPUTED_VALUE"""),120.0)</f>
        <v>120</v>
      </c>
      <c r="J953" s="139">
        <f>IFERROR(__xludf.DUMMYFUNCTION("""COMPUTED_VALUE"""),60.0)</f>
        <v>60</v>
      </c>
      <c r="K953" s="139">
        <f>IFERROR(__xludf.DUMMYFUNCTION("""COMPUTED_VALUE"""),0.0)</f>
        <v>0</v>
      </c>
      <c r="L953" s="139"/>
      <c r="M953" s="139" t="str">
        <f>IFERROR(__xludf.DUMMYFUNCTION("""COMPUTED_VALUE"""),"敵複数体に自身の攻撃ステータスの97%のダメージ + 攻撃がヒットした場合、敵の攻撃を13秒間、7%DOWN")</f>
        <v>敵複数体に自身の攻撃ステータスの97%のダメージ + 攻撃がヒットした場合、敵の攻撃を13秒間、7%DOWN</v>
      </c>
      <c r="N953" s="139" t="str">
        <f>IFERROR(__xludf.DUMMYFUNCTION("""COMPUTED_VALUE"""),"ステータスUP + 必殺ワザ性能UP")</f>
        <v>ステータスUP + 必殺ワザ性能UP</v>
      </c>
    </row>
    <row r="954">
      <c r="A954" s="139" t="str">
        <f>IFERROR(__xludf.DUMMYFUNCTION("""COMPUTED_VALUE"""),"e")</f>
        <v>e</v>
      </c>
      <c r="B954" s="139">
        <f>IFERROR(__xludf.DUMMYFUNCTION("""COMPUTED_VALUE"""),2.0260202E8)</f>
        <v>202602020</v>
      </c>
      <c r="C954" s="139" t="str">
        <f>IFERROR(__xludf.DUMMYFUNCTION("""COMPUTED_VALUE"""),"chara_kim_00201_Special_00003")</f>
        <v>chara_kim_00201_Special_00003</v>
      </c>
      <c r="D954" s="139" t="str">
        <f>IFERROR(__xludf.DUMMYFUNCTION("""COMPUTED_VALUE"""),"chara_kim_00201")</f>
        <v>chara_kim_00201</v>
      </c>
      <c r="E954" s="139">
        <f>IFERROR(__xludf.DUMMYFUNCTION("""COMPUTED_VALUE"""),3.0)</f>
        <v>3</v>
      </c>
      <c r="F954" s="139" t="str">
        <f>IFERROR(__xludf.DUMMYFUNCTION("""COMPUTED_VALUE"""),"Special")</f>
        <v>Special</v>
      </c>
      <c r="G954" s="139"/>
      <c r="H954" s="139"/>
      <c r="I954" s="139">
        <f>IFERROR(__xludf.DUMMYFUNCTION("""COMPUTED_VALUE"""),120.0)</f>
        <v>120</v>
      </c>
      <c r="J954" s="139">
        <f>IFERROR(__xludf.DUMMYFUNCTION("""COMPUTED_VALUE"""),60.0)</f>
        <v>60</v>
      </c>
      <c r="K954" s="139">
        <f>IFERROR(__xludf.DUMMYFUNCTION("""COMPUTED_VALUE"""),0.0)</f>
        <v>0</v>
      </c>
      <c r="L954" s="139"/>
      <c r="M954" s="139" t="str">
        <f>IFERROR(__xludf.DUMMYFUNCTION("""COMPUTED_VALUE"""),"敵複数体に自身の攻撃ステータスの106%のダメージ + 攻撃がヒットした場合、敵の攻撃を14秒間、8%DOWN")</f>
        <v>敵複数体に自身の攻撃ステータスの106%のダメージ + 攻撃がヒットした場合、敵の攻撃を14秒間、8%DOWN</v>
      </c>
      <c r="N954" s="139" t="str">
        <f>IFERROR(__xludf.DUMMYFUNCTION("""COMPUTED_VALUE"""),"ステータスUP + 必殺ワザ性能UP")</f>
        <v>ステータスUP + 必殺ワザ性能UP</v>
      </c>
    </row>
    <row r="955">
      <c r="A955" s="139" t="str">
        <f>IFERROR(__xludf.DUMMYFUNCTION("""COMPUTED_VALUE"""),"e")</f>
        <v>e</v>
      </c>
      <c r="B955" s="139">
        <f>IFERROR(__xludf.DUMMYFUNCTION("""COMPUTED_VALUE"""),2.0260202E8)</f>
        <v>202602020</v>
      </c>
      <c r="C955" s="139" t="str">
        <f>IFERROR(__xludf.DUMMYFUNCTION("""COMPUTED_VALUE"""),"chara_kim_00201_Special_00004")</f>
        <v>chara_kim_00201_Special_00004</v>
      </c>
      <c r="D955" s="139" t="str">
        <f>IFERROR(__xludf.DUMMYFUNCTION("""COMPUTED_VALUE"""),"chara_kim_00201")</f>
        <v>chara_kim_00201</v>
      </c>
      <c r="E955" s="139">
        <f>IFERROR(__xludf.DUMMYFUNCTION("""COMPUTED_VALUE"""),4.0)</f>
        <v>4</v>
      </c>
      <c r="F955" s="139" t="str">
        <f>IFERROR(__xludf.DUMMYFUNCTION("""COMPUTED_VALUE"""),"Special")</f>
        <v>Special</v>
      </c>
      <c r="G955" s="139"/>
      <c r="H955" s="139"/>
      <c r="I955" s="139">
        <f>IFERROR(__xludf.DUMMYFUNCTION("""COMPUTED_VALUE"""),120.0)</f>
        <v>120</v>
      </c>
      <c r="J955" s="139">
        <f>IFERROR(__xludf.DUMMYFUNCTION("""COMPUTED_VALUE"""),60.0)</f>
        <v>60</v>
      </c>
      <c r="K955" s="139">
        <f>IFERROR(__xludf.DUMMYFUNCTION("""COMPUTED_VALUE"""),0.0)</f>
        <v>0</v>
      </c>
      <c r="L955" s="139"/>
      <c r="M955" s="139" t="str">
        <f>IFERROR(__xludf.DUMMYFUNCTION("""COMPUTED_VALUE"""),"敵複数体に自身の攻撃ステータスの113%のダメージ + 攻撃がヒットした場合、敵の攻撃を15秒間、9%DOWN")</f>
        <v>敵複数体に自身の攻撃ステータスの113%のダメージ + 攻撃がヒットした場合、敵の攻撃を15秒間、9%DOWN</v>
      </c>
      <c r="N955" s="139" t="str">
        <f>IFERROR(__xludf.DUMMYFUNCTION("""COMPUTED_VALUE"""),"ステータスUP + 必殺ワザ性能UP")</f>
        <v>ステータスUP + 必殺ワザ性能UP</v>
      </c>
    </row>
    <row r="956">
      <c r="A956" s="139" t="str">
        <f>IFERROR(__xludf.DUMMYFUNCTION("""COMPUTED_VALUE"""),"e")</f>
        <v>e</v>
      </c>
      <c r="B956" s="139">
        <f>IFERROR(__xludf.DUMMYFUNCTION("""COMPUTED_VALUE"""),2.0260202E8)</f>
        <v>202602020</v>
      </c>
      <c r="C956" s="139" t="str">
        <f>IFERROR(__xludf.DUMMYFUNCTION("""COMPUTED_VALUE"""),"chara_kim_00201_Special_00005")</f>
        <v>chara_kim_00201_Special_00005</v>
      </c>
      <c r="D956" s="139" t="str">
        <f>IFERROR(__xludf.DUMMYFUNCTION("""COMPUTED_VALUE"""),"chara_kim_00201")</f>
        <v>chara_kim_00201</v>
      </c>
      <c r="E956" s="139">
        <f>IFERROR(__xludf.DUMMYFUNCTION("""COMPUTED_VALUE"""),5.0)</f>
        <v>5</v>
      </c>
      <c r="F956" s="139" t="str">
        <f>IFERROR(__xludf.DUMMYFUNCTION("""COMPUTED_VALUE"""),"Special")</f>
        <v>Special</v>
      </c>
      <c r="G956" s="139"/>
      <c r="H956" s="139"/>
      <c r="I956" s="139">
        <f>IFERROR(__xludf.DUMMYFUNCTION("""COMPUTED_VALUE"""),120.0)</f>
        <v>120</v>
      </c>
      <c r="J956" s="139">
        <f>IFERROR(__xludf.DUMMYFUNCTION("""COMPUTED_VALUE"""),60.0)</f>
        <v>60</v>
      </c>
      <c r="K956" s="139">
        <f>IFERROR(__xludf.DUMMYFUNCTION("""COMPUTED_VALUE"""),0.0)</f>
        <v>0</v>
      </c>
      <c r="L956" s="139"/>
      <c r="M956" s="139" t="str">
        <f>IFERROR(__xludf.DUMMYFUNCTION("""COMPUTED_VALUE"""),"敵複数体に自身の攻撃ステータスの120%のダメージ + 攻撃がヒットした場合、敵の攻撃を15秒間、10%DOWN")</f>
        <v>敵複数体に自身の攻撃ステータスの120%のダメージ + 攻撃がヒットした場合、敵の攻撃を15秒間、10%DOWN</v>
      </c>
      <c r="N956" s="139" t="str">
        <f>IFERROR(__xludf.DUMMYFUNCTION("""COMPUTED_VALUE"""),"ステータスUP + 必殺ワザ性能UP")</f>
        <v>ステータスUP + 必殺ワザ性能UP</v>
      </c>
    </row>
    <row r="957">
      <c r="A957" s="139"/>
      <c r="B957" s="139"/>
      <c r="C957" s="139" t="str">
        <f>IFERROR(__xludf.DUMMYFUNCTION("""COMPUTED_VALUE"""),"chara_kim_00201_Special_00006")</f>
        <v>chara_kim_00201_Special_00006</v>
      </c>
      <c r="D957" s="139" t="str">
        <f>IFERROR(__xludf.DUMMYFUNCTION("""COMPUTED_VALUE"""),"chara_kim_00201")</f>
        <v>chara_kim_00201</v>
      </c>
      <c r="E957" s="139">
        <f>IFERROR(__xludf.DUMMYFUNCTION("""COMPUTED_VALUE"""),6.0)</f>
        <v>6</v>
      </c>
      <c r="F957" s="139" t="str">
        <f>IFERROR(__xludf.DUMMYFUNCTION("""COMPUTED_VALUE"""),"Special")</f>
        <v>Special</v>
      </c>
      <c r="G957" s="139"/>
      <c r="H957" s="139"/>
      <c r="I957" s="139">
        <f>IFERROR(__xludf.DUMMYFUNCTION("""COMPUTED_VALUE"""),120.0)</f>
        <v>120</v>
      </c>
      <c r="J957" s="139">
        <f>IFERROR(__xludf.DUMMYFUNCTION("""COMPUTED_VALUE"""),60.0)</f>
        <v>60</v>
      </c>
      <c r="K957" s="139">
        <f>IFERROR(__xludf.DUMMYFUNCTION("""COMPUTED_VALUE"""),0.0)</f>
        <v>0</v>
      </c>
      <c r="L957" s="139"/>
      <c r="M957" s="139"/>
      <c r="N957" s="139"/>
    </row>
    <row r="958">
      <c r="A958" s="139"/>
      <c r="B958" s="139"/>
      <c r="C958" s="139" t="str">
        <f>IFERROR(__xludf.DUMMYFUNCTION("""COMPUTED_VALUE"""),"chara_kim_00201_Special_00007")</f>
        <v>chara_kim_00201_Special_00007</v>
      </c>
      <c r="D958" s="139" t="str">
        <f>IFERROR(__xludf.DUMMYFUNCTION("""COMPUTED_VALUE"""),"chara_kim_00201")</f>
        <v>chara_kim_00201</v>
      </c>
      <c r="E958" s="139">
        <f>IFERROR(__xludf.DUMMYFUNCTION("""COMPUTED_VALUE"""),7.0)</f>
        <v>7</v>
      </c>
      <c r="F958" s="139" t="str">
        <f>IFERROR(__xludf.DUMMYFUNCTION("""COMPUTED_VALUE"""),"Special")</f>
        <v>Special</v>
      </c>
      <c r="G958" s="139"/>
      <c r="H958" s="139"/>
      <c r="I958" s="139">
        <f>IFERROR(__xludf.DUMMYFUNCTION("""COMPUTED_VALUE"""),120.0)</f>
        <v>120</v>
      </c>
      <c r="J958" s="139">
        <f>IFERROR(__xludf.DUMMYFUNCTION("""COMPUTED_VALUE"""),60.0)</f>
        <v>60</v>
      </c>
      <c r="K958" s="139">
        <f>IFERROR(__xludf.DUMMYFUNCTION("""COMPUTED_VALUE"""),0.0)</f>
        <v>0</v>
      </c>
      <c r="L958" s="139"/>
      <c r="M958" s="139"/>
      <c r="N958" s="139"/>
    </row>
    <row r="959">
      <c r="A959" s="139"/>
      <c r="B959" s="139"/>
      <c r="C959" s="139" t="str">
        <f>IFERROR(__xludf.DUMMYFUNCTION("""COMPUTED_VALUE"""),"chara_kim_00201_Special_00008")</f>
        <v>chara_kim_00201_Special_00008</v>
      </c>
      <c r="D959" s="139" t="str">
        <f>IFERROR(__xludf.DUMMYFUNCTION("""COMPUTED_VALUE"""),"chara_kim_00201")</f>
        <v>chara_kim_00201</v>
      </c>
      <c r="E959" s="139">
        <f>IFERROR(__xludf.DUMMYFUNCTION("""COMPUTED_VALUE"""),8.0)</f>
        <v>8</v>
      </c>
      <c r="F959" s="139" t="str">
        <f>IFERROR(__xludf.DUMMYFUNCTION("""COMPUTED_VALUE"""),"Special")</f>
        <v>Special</v>
      </c>
      <c r="G959" s="139"/>
      <c r="H959" s="139"/>
      <c r="I959" s="139">
        <f>IFERROR(__xludf.DUMMYFUNCTION("""COMPUTED_VALUE"""),120.0)</f>
        <v>120</v>
      </c>
      <c r="J959" s="139">
        <f>IFERROR(__xludf.DUMMYFUNCTION("""COMPUTED_VALUE"""),60.0)</f>
        <v>60</v>
      </c>
      <c r="K959" s="139">
        <f>IFERROR(__xludf.DUMMYFUNCTION("""COMPUTED_VALUE"""),0.0)</f>
        <v>0</v>
      </c>
      <c r="L959" s="139"/>
      <c r="M959" s="139"/>
      <c r="N959" s="139"/>
    </row>
    <row r="960">
      <c r="A960" s="139"/>
      <c r="B960" s="139"/>
      <c r="C960" s="139" t="str">
        <f>IFERROR(__xludf.DUMMYFUNCTION("""COMPUTED_VALUE"""),"chara_kim_00201_Special_00009")</f>
        <v>chara_kim_00201_Special_00009</v>
      </c>
      <c r="D960" s="139" t="str">
        <f>IFERROR(__xludf.DUMMYFUNCTION("""COMPUTED_VALUE"""),"chara_kim_00201")</f>
        <v>chara_kim_00201</v>
      </c>
      <c r="E960" s="139">
        <f>IFERROR(__xludf.DUMMYFUNCTION("""COMPUTED_VALUE"""),9.0)</f>
        <v>9</v>
      </c>
      <c r="F960" s="139" t="str">
        <f>IFERROR(__xludf.DUMMYFUNCTION("""COMPUTED_VALUE"""),"Special")</f>
        <v>Special</v>
      </c>
      <c r="G960" s="139"/>
      <c r="H960" s="139"/>
      <c r="I960" s="139">
        <f>IFERROR(__xludf.DUMMYFUNCTION("""COMPUTED_VALUE"""),120.0)</f>
        <v>120</v>
      </c>
      <c r="J960" s="139">
        <f>IFERROR(__xludf.DUMMYFUNCTION("""COMPUTED_VALUE"""),60.0)</f>
        <v>60</v>
      </c>
      <c r="K960" s="139">
        <f>IFERROR(__xludf.DUMMYFUNCTION("""COMPUTED_VALUE"""),0.0)</f>
        <v>0</v>
      </c>
      <c r="L960" s="139"/>
      <c r="M960" s="139"/>
      <c r="N960" s="139"/>
    </row>
    <row r="961">
      <c r="A961" s="139"/>
      <c r="B961" s="139"/>
      <c r="C961" s="139" t="str">
        <f>IFERROR(__xludf.DUMMYFUNCTION("""COMPUTED_VALUE"""),"chara_kim_00201_Special_00010")</f>
        <v>chara_kim_00201_Special_00010</v>
      </c>
      <c r="D961" s="139" t="str">
        <f>IFERROR(__xludf.DUMMYFUNCTION("""COMPUTED_VALUE"""),"chara_kim_00201")</f>
        <v>chara_kim_00201</v>
      </c>
      <c r="E961" s="139">
        <f>IFERROR(__xludf.DUMMYFUNCTION("""COMPUTED_VALUE"""),10.0)</f>
        <v>10</v>
      </c>
      <c r="F961" s="139" t="str">
        <f>IFERROR(__xludf.DUMMYFUNCTION("""COMPUTED_VALUE"""),"Special")</f>
        <v>Special</v>
      </c>
      <c r="G961" s="139"/>
      <c r="H961" s="139"/>
      <c r="I961" s="139">
        <f>IFERROR(__xludf.DUMMYFUNCTION("""COMPUTED_VALUE"""),120.0)</f>
        <v>120</v>
      </c>
      <c r="J961" s="139">
        <f>IFERROR(__xludf.DUMMYFUNCTION("""COMPUTED_VALUE"""),60.0)</f>
        <v>60</v>
      </c>
      <c r="K961" s="139">
        <f>IFERROR(__xludf.DUMMYFUNCTION("""COMPUTED_VALUE"""),0.0)</f>
        <v>0</v>
      </c>
      <c r="L961" s="139"/>
      <c r="M961" s="139"/>
      <c r="N961" s="139"/>
    </row>
    <row r="962">
      <c r="A962" s="139" t="str">
        <f>IFERROR(__xludf.DUMMYFUNCTION("""COMPUTED_VALUE"""),"e")</f>
        <v>e</v>
      </c>
      <c r="B962" s="139">
        <f>IFERROR(__xludf.DUMMYFUNCTION("""COMPUTED_VALUE"""),2.0260202E8)</f>
        <v>202602020</v>
      </c>
      <c r="C962" s="139" t="str">
        <f>IFERROR(__xludf.DUMMYFUNCTION("""COMPUTED_VALUE"""),"chara_kim_00301_Normal_00000")</f>
        <v>chara_kim_00301_Normal_00000</v>
      </c>
      <c r="D962" s="139" t="str">
        <f>IFERROR(__xludf.DUMMYFUNCTION("""COMPUTED_VALUE"""),"chara_kim_00301")</f>
        <v>chara_kim_00301</v>
      </c>
      <c r="E962" s="139">
        <f>IFERROR(__xludf.DUMMYFUNCTION("""COMPUTED_VALUE"""),0.0)</f>
        <v>0</v>
      </c>
      <c r="F962" s="139" t="str">
        <f>IFERROR(__xludf.DUMMYFUNCTION("""COMPUTED_VALUE"""),"Normal")</f>
        <v>Normal</v>
      </c>
      <c r="G962" s="139"/>
      <c r="H962" s="139"/>
      <c r="I962" s="139">
        <f>IFERROR(__xludf.DUMMYFUNCTION("""COMPUTED_VALUE"""),88.0)</f>
        <v>88</v>
      </c>
      <c r="J962" s="139">
        <f>IFERROR(__xludf.DUMMYFUNCTION("""COMPUTED_VALUE"""),39.0)</f>
        <v>39</v>
      </c>
      <c r="K962" s="139">
        <f>IFERROR(__xludf.DUMMYFUNCTION("""COMPUTED_VALUE"""),90.0)</f>
        <v>90</v>
      </c>
      <c r="L962" s="139"/>
      <c r="M962" s="139"/>
      <c r="N962" s="139"/>
    </row>
    <row r="963">
      <c r="A963" s="139" t="str">
        <f>IFERROR(__xludf.DUMMYFUNCTION("""COMPUTED_VALUE"""),"e")</f>
        <v>e</v>
      </c>
      <c r="B963" s="139">
        <f>IFERROR(__xludf.DUMMYFUNCTION("""COMPUTED_VALUE"""),2.0260202E8)</f>
        <v>202602020</v>
      </c>
      <c r="C963" s="139" t="str">
        <f>IFERROR(__xludf.DUMMYFUNCTION("""COMPUTED_VALUE"""),"chara_kim_00301_Special_00001")</f>
        <v>chara_kim_00301_Special_00001</v>
      </c>
      <c r="D963" s="139" t="str">
        <f>IFERROR(__xludf.DUMMYFUNCTION("""COMPUTED_VALUE"""),"chara_kim_00301")</f>
        <v>chara_kim_00301</v>
      </c>
      <c r="E963" s="139">
        <f>IFERROR(__xludf.DUMMYFUNCTION("""COMPUTED_VALUE"""),1.0)</f>
        <v>1</v>
      </c>
      <c r="F963" s="139" t="str">
        <f>IFERROR(__xludf.DUMMYFUNCTION("""COMPUTED_VALUE"""),"Special")</f>
        <v>Special</v>
      </c>
      <c r="G963" s="139"/>
      <c r="H963" s="139"/>
      <c r="I963" s="139">
        <f>IFERROR(__xludf.DUMMYFUNCTION("""COMPUTED_VALUE"""),180.0)</f>
        <v>180</v>
      </c>
      <c r="J963" s="139">
        <f>IFERROR(__xludf.DUMMYFUNCTION("""COMPUTED_VALUE"""),60.0)</f>
        <v>60</v>
      </c>
      <c r="K963" s="139">
        <f>IFERROR(__xludf.DUMMYFUNCTION("""COMPUTED_VALUE"""),0.0)</f>
        <v>0</v>
      </c>
      <c r="L963" s="139"/>
      <c r="M963" s="139" t="str">
        <f>IFERROR(__xludf.DUMMYFUNCTION("""COMPUTED_VALUE"""),"自身と同じコマと一つ先までのコマにいる黄属性の味方と自身の攻撃を10秒間、7%UP")</f>
        <v>自身と同じコマと一つ先までのコマにいる黄属性の味方と自身の攻撃を10秒間、7%UP</v>
      </c>
      <c r="N963" s="139"/>
    </row>
    <row r="964">
      <c r="A964" s="139" t="str">
        <f>IFERROR(__xludf.DUMMYFUNCTION("""COMPUTED_VALUE"""),"e")</f>
        <v>e</v>
      </c>
      <c r="B964" s="139">
        <f>IFERROR(__xludf.DUMMYFUNCTION("""COMPUTED_VALUE"""),2.0260202E8)</f>
        <v>202602020</v>
      </c>
      <c r="C964" s="139" t="str">
        <f>IFERROR(__xludf.DUMMYFUNCTION("""COMPUTED_VALUE"""),"chara_kim_00301_Special_00002")</f>
        <v>chara_kim_00301_Special_00002</v>
      </c>
      <c r="D964" s="139" t="str">
        <f>IFERROR(__xludf.DUMMYFUNCTION("""COMPUTED_VALUE"""),"chara_kim_00301")</f>
        <v>chara_kim_00301</v>
      </c>
      <c r="E964" s="139">
        <f>IFERROR(__xludf.DUMMYFUNCTION("""COMPUTED_VALUE"""),2.0)</f>
        <v>2</v>
      </c>
      <c r="F964" s="139" t="str">
        <f>IFERROR(__xludf.DUMMYFUNCTION("""COMPUTED_VALUE"""),"Special")</f>
        <v>Special</v>
      </c>
      <c r="G964" s="139"/>
      <c r="H964" s="139"/>
      <c r="I964" s="139">
        <f>IFERROR(__xludf.DUMMYFUNCTION("""COMPUTED_VALUE"""),180.0)</f>
        <v>180</v>
      </c>
      <c r="J964" s="139">
        <f>IFERROR(__xludf.DUMMYFUNCTION("""COMPUTED_VALUE"""),60.0)</f>
        <v>60</v>
      </c>
      <c r="K964" s="139">
        <f>IFERROR(__xludf.DUMMYFUNCTION("""COMPUTED_VALUE"""),0.0)</f>
        <v>0</v>
      </c>
      <c r="L964" s="139"/>
      <c r="M964" s="139" t="str">
        <f>IFERROR(__xludf.DUMMYFUNCTION("""COMPUTED_VALUE"""),"自身と同じコマと一つ先までのコマにいる黄属性の味方と自身の攻撃を10.9秒間、8%UP")</f>
        <v>自身と同じコマと一つ先までのコマにいる黄属性の味方と自身の攻撃を10.9秒間、8%UP</v>
      </c>
      <c r="N964" s="139" t="str">
        <f>IFERROR(__xludf.DUMMYFUNCTION("""COMPUTED_VALUE"""),"ステータスUP + 必殺ワザ性能UP")</f>
        <v>ステータスUP + 必殺ワザ性能UP</v>
      </c>
    </row>
    <row r="965">
      <c r="A965" s="139" t="str">
        <f>IFERROR(__xludf.DUMMYFUNCTION("""COMPUTED_VALUE"""),"e")</f>
        <v>e</v>
      </c>
      <c r="B965" s="139">
        <f>IFERROR(__xludf.DUMMYFUNCTION("""COMPUTED_VALUE"""),2.0260202E8)</f>
        <v>202602020</v>
      </c>
      <c r="C965" s="139" t="str">
        <f>IFERROR(__xludf.DUMMYFUNCTION("""COMPUTED_VALUE"""),"chara_kim_00301_Special_00003")</f>
        <v>chara_kim_00301_Special_00003</v>
      </c>
      <c r="D965" s="139" t="str">
        <f>IFERROR(__xludf.DUMMYFUNCTION("""COMPUTED_VALUE"""),"chara_kim_00301")</f>
        <v>chara_kim_00301</v>
      </c>
      <c r="E965" s="139">
        <f>IFERROR(__xludf.DUMMYFUNCTION("""COMPUTED_VALUE"""),3.0)</f>
        <v>3</v>
      </c>
      <c r="F965" s="139" t="str">
        <f>IFERROR(__xludf.DUMMYFUNCTION("""COMPUTED_VALUE"""),"Special")</f>
        <v>Special</v>
      </c>
      <c r="G965" s="139"/>
      <c r="H965" s="139"/>
      <c r="I965" s="139">
        <f>IFERROR(__xludf.DUMMYFUNCTION("""COMPUTED_VALUE"""),180.0)</f>
        <v>180</v>
      </c>
      <c r="J965" s="139">
        <f>IFERROR(__xludf.DUMMYFUNCTION("""COMPUTED_VALUE"""),60.0)</f>
        <v>60</v>
      </c>
      <c r="K965" s="139">
        <f>IFERROR(__xludf.DUMMYFUNCTION("""COMPUTED_VALUE"""),0.0)</f>
        <v>0</v>
      </c>
      <c r="L965" s="139"/>
      <c r="M965" s="139" t="str">
        <f>IFERROR(__xludf.DUMMYFUNCTION("""COMPUTED_VALUE"""),"自身と同じコマと一つ先までのコマにいる黄属性の味方と自身の攻撃を11.4秒間、9%UP")</f>
        <v>自身と同じコマと一つ先までのコマにいる黄属性の味方と自身の攻撃を11.4秒間、9%UP</v>
      </c>
      <c r="N965" s="139" t="str">
        <f>IFERROR(__xludf.DUMMYFUNCTION("""COMPUTED_VALUE"""),"ステータスUP + 必殺ワザ性能UP")</f>
        <v>ステータスUP + 必殺ワザ性能UP</v>
      </c>
    </row>
    <row r="966">
      <c r="A966" s="139" t="str">
        <f>IFERROR(__xludf.DUMMYFUNCTION("""COMPUTED_VALUE"""),"e")</f>
        <v>e</v>
      </c>
      <c r="B966" s="139">
        <f>IFERROR(__xludf.DUMMYFUNCTION("""COMPUTED_VALUE"""),2.0260202E8)</f>
        <v>202602020</v>
      </c>
      <c r="C966" s="139" t="str">
        <f>IFERROR(__xludf.DUMMYFUNCTION("""COMPUTED_VALUE"""),"chara_kim_00301_Special_00004")</f>
        <v>chara_kim_00301_Special_00004</v>
      </c>
      <c r="D966" s="139" t="str">
        <f>IFERROR(__xludf.DUMMYFUNCTION("""COMPUTED_VALUE"""),"chara_kim_00301")</f>
        <v>chara_kim_00301</v>
      </c>
      <c r="E966" s="139">
        <f>IFERROR(__xludf.DUMMYFUNCTION("""COMPUTED_VALUE"""),4.0)</f>
        <v>4</v>
      </c>
      <c r="F966" s="139" t="str">
        <f>IFERROR(__xludf.DUMMYFUNCTION("""COMPUTED_VALUE"""),"Special")</f>
        <v>Special</v>
      </c>
      <c r="G966" s="139"/>
      <c r="H966" s="139"/>
      <c r="I966" s="139">
        <f>IFERROR(__xludf.DUMMYFUNCTION("""COMPUTED_VALUE"""),180.0)</f>
        <v>180</v>
      </c>
      <c r="J966" s="139">
        <f>IFERROR(__xludf.DUMMYFUNCTION("""COMPUTED_VALUE"""),60.0)</f>
        <v>60</v>
      </c>
      <c r="K966" s="139">
        <f>IFERROR(__xludf.DUMMYFUNCTION("""COMPUTED_VALUE"""),0.0)</f>
        <v>0</v>
      </c>
      <c r="L966" s="139"/>
      <c r="M966" s="139" t="str">
        <f>IFERROR(__xludf.DUMMYFUNCTION("""COMPUTED_VALUE"""),"自身と同じコマと一つ先までのコマにいる黄属性の味方と自身の攻撃を11.8秒間、10%UP")</f>
        <v>自身と同じコマと一つ先までのコマにいる黄属性の味方と自身の攻撃を11.8秒間、10%UP</v>
      </c>
      <c r="N966" s="139" t="str">
        <f>IFERROR(__xludf.DUMMYFUNCTION("""COMPUTED_VALUE"""),"ステータスUP + 必殺ワザ性能UP")</f>
        <v>ステータスUP + 必殺ワザ性能UP</v>
      </c>
    </row>
    <row r="967">
      <c r="A967" s="139" t="str">
        <f>IFERROR(__xludf.DUMMYFUNCTION("""COMPUTED_VALUE"""),"e")</f>
        <v>e</v>
      </c>
      <c r="B967" s="139">
        <f>IFERROR(__xludf.DUMMYFUNCTION("""COMPUTED_VALUE"""),2.0260202E8)</f>
        <v>202602020</v>
      </c>
      <c r="C967" s="139" t="str">
        <f>IFERROR(__xludf.DUMMYFUNCTION("""COMPUTED_VALUE"""),"chara_kim_00301_Special_00005")</f>
        <v>chara_kim_00301_Special_00005</v>
      </c>
      <c r="D967" s="139" t="str">
        <f>IFERROR(__xludf.DUMMYFUNCTION("""COMPUTED_VALUE"""),"chara_kim_00301")</f>
        <v>chara_kim_00301</v>
      </c>
      <c r="E967" s="139">
        <f>IFERROR(__xludf.DUMMYFUNCTION("""COMPUTED_VALUE"""),5.0)</f>
        <v>5</v>
      </c>
      <c r="F967" s="139" t="str">
        <f>IFERROR(__xludf.DUMMYFUNCTION("""COMPUTED_VALUE"""),"Special")</f>
        <v>Special</v>
      </c>
      <c r="G967" s="139"/>
      <c r="H967" s="139"/>
      <c r="I967" s="139">
        <f>IFERROR(__xludf.DUMMYFUNCTION("""COMPUTED_VALUE"""),180.0)</f>
        <v>180</v>
      </c>
      <c r="J967" s="139">
        <f>IFERROR(__xludf.DUMMYFUNCTION("""COMPUTED_VALUE"""),60.0)</f>
        <v>60</v>
      </c>
      <c r="K967" s="139">
        <f>IFERROR(__xludf.DUMMYFUNCTION("""COMPUTED_VALUE"""),0.0)</f>
        <v>0</v>
      </c>
      <c r="L967" s="139"/>
      <c r="M967" s="139" t="str">
        <f>IFERROR(__xludf.DUMMYFUNCTION("""COMPUTED_VALUE"""),"自身と同じコマと一つ先までのコマにいる黄属性の味方と自身の攻撃を12秒間、12%UP")</f>
        <v>自身と同じコマと一つ先までのコマにいる黄属性の味方と自身の攻撃を12秒間、12%UP</v>
      </c>
      <c r="N967" s="139" t="str">
        <f>IFERROR(__xludf.DUMMYFUNCTION("""COMPUTED_VALUE"""),"ステータスUP + 必殺ワザ性能UP")</f>
        <v>ステータスUP + 必殺ワザ性能UP</v>
      </c>
    </row>
    <row r="968">
      <c r="A968" s="139"/>
      <c r="B968" s="139"/>
      <c r="C968" s="139" t="str">
        <f>IFERROR(__xludf.DUMMYFUNCTION("""COMPUTED_VALUE"""),"chara_kim_00301_Special_00006")</f>
        <v>chara_kim_00301_Special_00006</v>
      </c>
      <c r="D968" s="139" t="str">
        <f>IFERROR(__xludf.DUMMYFUNCTION("""COMPUTED_VALUE"""),"chara_kim_00301")</f>
        <v>chara_kim_00301</v>
      </c>
      <c r="E968" s="139">
        <f>IFERROR(__xludf.DUMMYFUNCTION("""COMPUTED_VALUE"""),6.0)</f>
        <v>6</v>
      </c>
      <c r="F968" s="139" t="str">
        <f>IFERROR(__xludf.DUMMYFUNCTION("""COMPUTED_VALUE"""),"Special")</f>
        <v>Special</v>
      </c>
      <c r="G968" s="139"/>
      <c r="H968" s="139"/>
      <c r="I968" s="139">
        <f>IFERROR(__xludf.DUMMYFUNCTION("""COMPUTED_VALUE"""),180.0)</f>
        <v>180</v>
      </c>
      <c r="J968" s="139">
        <f>IFERROR(__xludf.DUMMYFUNCTION("""COMPUTED_VALUE"""),60.0)</f>
        <v>60</v>
      </c>
      <c r="K968" s="139">
        <f>IFERROR(__xludf.DUMMYFUNCTION("""COMPUTED_VALUE"""),0.0)</f>
        <v>0</v>
      </c>
      <c r="L968" s="139"/>
      <c r="M968" s="139"/>
      <c r="N968" s="139"/>
    </row>
    <row r="969">
      <c r="A969" s="139"/>
      <c r="B969" s="139"/>
      <c r="C969" s="139" t="str">
        <f>IFERROR(__xludf.DUMMYFUNCTION("""COMPUTED_VALUE"""),"chara_kim_00301_Special_00007")</f>
        <v>chara_kim_00301_Special_00007</v>
      </c>
      <c r="D969" s="139" t="str">
        <f>IFERROR(__xludf.DUMMYFUNCTION("""COMPUTED_VALUE"""),"chara_kim_00301")</f>
        <v>chara_kim_00301</v>
      </c>
      <c r="E969" s="139">
        <f>IFERROR(__xludf.DUMMYFUNCTION("""COMPUTED_VALUE"""),7.0)</f>
        <v>7</v>
      </c>
      <c r="F969" s="139" t="str">
        <f>IFERROR(__xludf.DUMMYFUNCTION("""COMPUTED_VALUE"""),"Special")</f>
        <v>Special</v>
      </c>
      <c r="G969" s="139"/>
      <c r="H969" s="139"/>
      <c r="I969" s="139">
        <f>IFERROR(__xludf.DUMMYFUNCTION("""COMPUTED_VALUE"""),180.0)</f>
        <v>180</v>
      </c>
      <c r="J969" s="139">
        <f>IFERROR(__xludf.DUMMYFUNCTION("""COMPUTED_VALUE"""),60.0)</f>
        <v>60</v>
      </c>
      <c r="K969" s="139">
        <f>IFERROR(__xludf.DUMMYFUNCTION("""COMPUTED_VALUE"""),0.0)</f>
        <v>0</v>
      </c>
      <c r="L969" s="139"/>
      <c r="M969" s="139"/>
      <c r="N969" s="139"/>
    </row>
    <row r="970">
      <c r="A970" s="139"/>
      <c r="B970" s="139"/>
      <c r="C970" s="139" t="str">
        <f>IFERROR(__xludf.DUMMYFUNCTION("""COMPUTED_VALUE"""),"chara_kim_00301_Special_00008")</f>
        <v>chara_kim_00301_Special_00008</v>
      </c>
      <c r="D970" s="139" t="str">
        <f>IFERROR(__xludf.DUMMYFUNCTION("""COMPUTED_VALUE"""),"chara_kim_00301")</f>
        <v>chara_kim_00301</v>
      </c>
      <c r="E970" s="139">
        <f>IFERROR(__xludf.DUMMYFUNCTION("""COMPUTED_VALUE"""),8.0)</f>
        <v>8</v>
      </c>
      <c r="F970" s="139" t="str">
        <f>IFERROR(__xludf.DUMMYFUNCTION("""COMPUTED_VALUE"""),"Special")</f>
        <v>Special</v>
      </c>
      <c r="G970" s="139"/>
      <c r="H970" s="139"/>
      <c r="I970" s="139">
        <f>IFERROR(__xludf.DUMMYFUNCTION("""COMPUTED_VALUE"""),180.0)</f>
        <v>180</v>
      </c>
      <c r="J970" s="139">
        <f>IFERROR(__xludf.DUMMYFUNCTION("""COMPUTED_VALUE"""),60.0)</f>
        <v>60</v>
      </c>
      <c r="K970" s="139">
        <f>IFERROR(__xludf.DUMMYFUNCTION("""COMPUTED_VALUE"""),0.0)</f>
        <v>0</v>
      </c>
      <c r="L970" s="139"/>
      <c r="M970" s="139"/>
      <c r="N970" s="139"/>
    </row>
    <row r="971">
      <c r="A971" s="139"/>
      <c r="B971" s="139"/>
      <c r="C971" s="139" t="str">
        <f>IFERROR(__xludf.DUMMYFUNCTION("""COMPUTED_VALUE"""),"chara_kim_00301_Special_00009")</f>
        <v>chara_kim_00301_Special_00009</v>
      </c>
      <c r="D971" s="139" t="str">
        <f>IFERROR(__xludf.DUMMYFUNCTION("""COMPUTED_VALUE"""),"chara_kim_00301")</f>
        <v>chara_kim_00301</v>
      </c>
      <c r="E971" s="139">
        <f>IFERROR(__xludf.DUMMYFUNCTION("""COMPUTED_VALUE"""),9.0)</f>
        <v>9</v>
      </c>
      <c r="F971" s="139" t="str">
        <f>IFERROR(__xludf.DUMMYFUNCTION("""COMPUTED_VALUE"""),"Special")</f>
        <v>Special</v>
      </c>
      <c r="G971" s="139"/>
      <c r="H971" s="139"/>
      <c r="I971" s="139">
        <f>IFERROR(__xludf.DUMMYFUNCTION("""COMPUTED_VALUE"""),180.0)</f>
        <v>180</v>
      </c>
      <c r="J971" s="139">
        <f>IFERROR(__xludf.DUMMYFUNCTION("""COMPUTED_VALUE"""),60.0)</f>
        <v>60</v>
      </c>
      <c r="K971" s="139">
        <f>IFERROR(__xludf.DUMMYFUNCTION("""COMPUTED_VALUE"""),0.0)</f>
        <v>0</v>
      </c>
      <c r="L971" s="139"/>
      <c r="M971" s="139"/>
      <c r="N971" s="139"/>
    </row>
    <row r="972">
      <c r="A972" s="139"/>
      <c r="B972" s="139"/>
      <c r="C972" s="139" t="str">
        <f>IFERROR(__xludf.DUMMYFUNCTION("""COMPUTED_VALUE"""),"chara_kim_00301_Special_00010")</f>
        <v>chara_kim_00301_Special_00010</v>
      </c>
      <c r="D972" s="139" t="str">
        <f>IFERROR(__xludf.DUMMYFUNCTION("""COMPUTED_VALUE"""),"chara_kim_00301")</f>
        <v>chara_kim_00301</v>
      </c>
      <c r="E972" s="139">
        <f>IFERROR(__xludf.DUMMYFUNCTION("""COMPUTED_VALUE"""),10.0)</f>
        <v>10</v>
      </c>
      <c r="F972" s="139" t="str">
        <f>IFERROR(__xludf.DUMMYFUNCTION("""COMPUTED_VALUE"""),"Special")</f>
        <v>Special</v>
      </c>
      <c r="G972" s="139"/>
      <c r="H972" s="139"/>
      <c r="I972" s="139">
        <f>IFERROR(__xludf.DUMMYFUNCTION("""COMPUTED_VALUE"""),180.0)</f>
        <v>180</v>
      </c>
      <c r="J972" s="139">
        <f>IFERROR(__xludf.DUMMYFUNCTION("""COMPUTED_VALUE"""),60.0)</f>
        <v>60</v>
      </c>
      <c r="K972" s="139">
        <f>IFERROR(__xludf.DUMMYFUNCTION("""COMPUTED_VALUE"""),0.0)</f>
        <v>0</v>
      </c>
      <c r="L972" s="139"/>
      <c r="M972" s="139"/>
      <c r="N972" s="139"/>
    </row>
    <row r="973">
      <c r="A973" s="139" t="str">
        <f>IFERROR(__xludf.DUMMYFUNCTION("""COMPUTED_VALUE"""),"e")</f>
        <v>e</v>
      </c>
      <c r="B973" s="139">
        <f>IFERROR(__xludf.DUMMYFUNCTION("""COMPUTED_VALUE"""),2.0260301E8)</f>
        <v>202603010</v>
      </c>
      <c r="C973" s="139" t="str">
        <f>IFERROR(__xludf.DUMMYFUNCTION("""COMPUTED_VALUE"""),"chara_hut_00001_Normal_00000")</f>
        <v>chara_hut_00001_Normal_00000</v>
      </c>
      <c r="D973" s="139" t="str">
        <f>IFERROR(__xludf.DUMMYFUNCTION("""COMPUTED_VALUE"""),"chara_hut_00001")</f>
        <v>chara_hut_00001</v>
      </c>
      <c r="E973" s="139">
        <f>IFERROR(__xludf.DUMMYFUNCTION("""COMPUTED_VALUE"""),0.0)</f>
        <v>0</v>
      </c>
      <c r="F973" s="139" t="str">
        <f>IFERROR(__xludf.DUMMYFUNCTION("""COMPUTED_VALUE"""),"Normal")</f>
        <v>Normal</v>
      </c>
      <c r="G973" s="139"/>
      <c r="H973" s="139"/>
      <c r="I973" s="139">
        <f>IFERROR(__xludf.DUMMYFUNCTION("""COMPUTED_VALUE"""),74.0)</f>
        <v>74</v>
      </c>
      <c r="J973" s="139">
        <f>IFERROR(__xludf.DUMMYFUNCTION("""COMPUTED_VALUE"""),8.0)</f>
        <v>8</v>
      </c>
      <c r="K973" s="139">
        <f>IFERROR(__xludf.DUMMYFUNCTION("""COMPUTED_VALUE"""),150.0)</f>
        <v>150</v>
      </c>
      <c r="L973" s="139"/>
      <c r="M973" s="139"/>
      <c r="N973" s="139"/>
    </row>
    <row r="974">
      <c r="A974" s="139" t="str">
        <f>IFERROR(__xludf.DUMMYFUNCTION("""COMPUTED_VALUE"""),"e")</f>
        <v>e</v>
      </c>
      <c r="B974" s="139">
        <f>IFERROR(__xludf.DUMMYFUNCTION("""COMPUTED_VALUE"""),2.0260301E8)</f>
        <v>202603010</v>
      </c>
      <c r="C974" s="139" t="str">
        <f>IFERROR(__xludf.DUMMYFUNCTION("""COMPUTED_VALUE"""),"chara_hut_00001_Special_00001")</f>
        <v>chara_hut_00001_Special_00001</v>
      </c>
      <c r="D974" s="139" t="str">
        <f>IFERROR(__xludf.DUMMYFUNCTION("""COMPUTED_VALUE"""),"chara_hut_00001")</f>
        <v>chara_hut_00001</v>
      </c>
      <c r="E974" s="139">
        <f>IFERROR(__xludf.DUMMYFUNCTION("""COMPUTED_VALUE"""),1.0)</f>
        <v>1</v>
      </c>
      <c r="F974" s="139" t="str">
        <f>IFERROR(__xludf.DUMMYFUNCTION("""COMPUTED_VALUE"""),"Special")</f>
        <v>Special</v>
      </c>
      <c r="G974" s="139"/>
      <c r="H974" s="139"/>
      <c r="I974" s="139">
        <f>IFERROR(__xludf.DUMMYFUNCTION("""COMPUTED_VALUE"""),140.0)</f>
        <v>140</v>
      </c>
      <c r="J974" s="139">
        <f>IFERROR(__xludf.DUMMYFUNCTION("""COMPUTED_VALUE"""),44.0)</f>
        <v>44</v>
      </c>
      <c r="K974" s="139">
        <f>IFERROR(__xludf.DUMMYFUNCTION("""COMPUTED_VALUE"""),0.0)</f>
        <v>0</v>
      </c>
      <c r="L974" s="139"/>
      <c r="M974" s="139" t="str">
        <f>IFERROR(__xludf.DUMMYFUNCTION("""COMPUTED_VALUE"""),"敵複数体に自身の攻撃ステータスの{chara_hut_00001_Special_00001_power_parameter}%のダメージ + 攻撃がヒットした場合、敵を小ノックバック + 召喚されている『ふつうの軽音部』作品の味方と自身の攻撃を{chara_hut_00001_Special_00001a_effective_duration}秒間、{chara_hut_00001_Special_00001a_effect_parameter}%UP")</f>
        <v>敵複数体に自身の攻撃ステータスの{chara_hut_00001_Special_00001_power_parameter}%のダメージ + 攻撃がヒットした場合、敵を小ノックバック + 召喚されている『ふつうの軽音部』作品の味方と自身の攻撃を{chara_hut_00001_Special_00001a_effective_duration}秒間、{chara_hut_00001_Special_00001a_effect_parameter}%UP</v>
      </c>
      <c r="N974" s="139"/>
    </row>
    <row r="975">
      <c r="A975" s="139" t="str">
        <f>IFERROR(__xludf.DUMMYFUNCTION("""COMPUTED_VALUE"""),"e")</f>
        <v>e</v>
      </c>
      <c r="B975" s="139">
        <f>IFERROR(__xludf.DUMMYFUNCTION("""COMPUTED_VALUE"""),2.0260301E8)</f>
        <v>202603010</v>
      </c>
      <c r="C975" s="139" t="str">
        <f>IFERROR(__xludf.DUMMYFUNCTION("""COMPUTED_VALUE"""),"chara_hut_00001_Special_00002")</f>
        <v>chara_hut_00001_Special_00002</v>
      </c>
      <c r="D975" s="139" t="str">
        <f>IFERROR(__xludf.DUMMYFUNCTION("""COMPUTED_VALUE"""),"chara_hut_00001")</f>
        <v>chara_hut_00001</v>
      </c>
      <c r="E975" s="139">
        <f>IFERROR(__xludf.DUMMYFUNCTION("""COMPUTED_VALUE"""),2.0)</f>
        <v>2</v>
      </c>
      <c r="F975" s="139" t="str">
        <f>IFERROR(__xludf.DUMMYFUNCTION("""COMPUTED_VALUE"""),"Special")</f>
        <v>Special</v>
      </c>
      <c r="G975" s="139"/>
      <c r="H975" s="139"/>
      <c r="I975" s="139">
        <f>IFERROR(__xludf.DUMMYFUNCTION("""COMPUTED_VALUE"""),140.0)</f>
        <v>140</v>
      </c>
      <c r="J975" s="139">
        <f>IFERROR(__xludf.DUMMYFUNCTION("""COMPUTED_VALUE"""),44.0)</f>
        <v>44</v>
      </c>
      <c r="K975" s="139">
        <f>IFERROR(__xludf.DUMMYFUNCTION("""COMPUTED_VALUE"""),0.0)</f>
        <v>0</v>
      </c>
      <c r="L975" s="139"/>
      <c r="M975" s="139" t="str">
        <f>IFERROR(__xludf.DUMMYFUNCTION("""COMPUTED_VALUE"""),"敵複数体に自身の攻撃ステータスの{chara_hut_00001_Special_00002_power_parameter}%のダメージ + 攻撃がヒットした場合、敵を小ノックバック + 召喚されている『ふつうの軽音部』作品の味方と自身の攻撃を{chara_hut_00001_Special_00002a_effective_duration}秒間、{chara_hut_00001_Special_00002a_effect_parameter}%UP")</f>
        <v>敵複数体に自身の攻撃ステータスの{chara_hut_00001_Special_00002_power_parameter}%のダメージ + 攻撃がヒットした場合、敵を小ノックバック + 召喚されている『ふつうの軽音部』作品の味方と自身の攻撃を{chara_hut_00001_Special_00002a_effective_duration}秒間、{chara_hut_00001_Special_00002a_effect_parameter}%UP</v>
      </c>
      <c r="N975" s="139" t="str">
        <f>IFERROR(__xludf.DUMMYFUNCTION("""COMPUTED_VALUE"""),"ステータスUP + 必殺ワザ性能UP")</f>
        <v>ステータスUP + 必殺ワザ性能UP</v>
      </c>
    </row>
    <row r="976">
      <c r="A976" s="139" t="str">
        <f>IFERROR(__xludf.DUMMYFUNCTION("""COMPUTED_VALUE"""),"e")</f>
        <v>e</v>
      </c>
      <c r="B976" s="139">
        <f>IFERROR(__xludf.DUMMYFUNCTION("""COMPUTED_VALUE"""),2.0260301E8)</f>
        <v>202603010</v>
      </c>
      <c r="C976" s="139" t="str">
        <f>IFERROR(__xludf.DUMMYFUNCTION("""COMPUTED_VALUE"""),"chara_hut_00001_Special_00003")</f>
        <v>chara_hut_00001_Special_00003</v>
      </c>
      <c r="D976" s="139" t="str">
        <f>IFERROR(__xludf.DUMMYFUNCTION("""COMPUTED_VALUE"""),"chara_hut_00001")</f>
        <v>chara_hut_00001</v>
      </c>
      <c r="E976" s="139">
        <f>IFERROR(__xludf.DUMMYFUNCTION("""COMPUTED_VALUE"""),3.0)</f>
        <v>3</v>
      </c>
      <c r="F976" s="139" t="str">
        <f>IFERROR(__xludf.DUMMYFUNCTION("""COMPUTED_VALUE"""),"Special")</f>
        <v>Special</v>
      </c>
      <c r="G976" s="139"/>
      <c r="H976" s="139"/>
      <c r="I976" s="139">
        <f>IFERROR(__xludf.DUMMYFUNCTION("""COMPUTED_VALUE"""),140.0)</f>
        <v>140</v>
      </c>
      <c r="J976" s="139">
        <f>IFERROR(__xludf.DUMMYFUNCTION("""COMPUTED_VALUE"""),44.0)</f>
        <v>44</v>
      </c>
      <c r="K976" s="139">
        <f>IFERROR(__xludf.DUMMYFUNCTION("""COMPUTED_VALUE"""),0.0)</f>
        <v>0</v>
      </c>
      <c r="L976" s="139"/>
      <c r="M976" s="139" t="str">
        <f>IFERROR(__xludf.DUMMYFUNCTION("""COMPUTED_VALUE"""),"敵複数体に自身の攻撃ステータスの{chara_hut_00001_Special_00003_power_parameter}%のダメージ + 攻撃がヒットした場合、敵を中ノックバック + 召喚されている『ふつうの軽音部』作品の味方と自身の攻撃を{chara_hut_00001_Special_00003a_effective_duration}秒間、{chara_hut_00001_Special_00003a_effect_parameter}%UP")</f>
        <v>敵複数体に自身の攻撃ステータスの{chara_hut_00001_Special_00003_power_parameter}%のダメージ + 攻撃がヒットした場合、敵を中ノックバック + 召喚されている『ふつうの軽音部』作品の味方と自身の攻撃を{chara_hut_00001_Special_00003a_effective_duration}秒間、{chara_hut_00001_Special_00003a_effect_parameter}%UP</v>
      </c>
      <c r="N976" s="139" t="str">
        <f>IFERROR(__xludf.DUMMYFUNCTION("""COMPUTED_VALUE"""),"ステータスUP + 必殺ワザ性能UP")</f>
        <v>ステータスUP + 必殺ワザ性能UP</v>
      </c>
    </row>
    <row r="977">
      <c r="A977" s="139" t="str">
        <f>IFERROR(__xludf.DUMMYFUNCTION("""COMPUTED_VALUE"""),"e")</f>
        <v>e</v>
      </c>
      <c r="B977" s="139">
        <f>IFERROR(__xludf.DUMMYFUNCTION("""COMPUTED_VALUE"""),2.0260301E8)</f>
        <v>202603010</v>
      </c>
      <c r="C977" s="139" t="str">
        <f>IFERROR(__xludf.DUMMYFUNCTION("""COMPUTED_VALUE"""),"chara_hut_00001_Special_00004")</f>
        <v>chara_hut_00001_Special_00004</v>
      </c>
      <c r="D977" s="139" t="str">
        <f>IFERROR(__xludf.DUMMYFUNCTION("""COMPUTED_VALUE"""),"chara_hut_00001")</f>
        <v>chara_hut_00001</v>
      </c>
      <c r="E977" s="139">
        <f>IFERROR(__xludf.DUMMYFUNCTION("""COMPUTED_VALUE"""),4.0)</f>
        <v>4</v>
      </c>
      <c r="F977" s="139" t="str">
        <f>IFERROR(__xludf.DUMMYFUNCTION("""COMPUTED_VALUE"""),"Special")</f>
        <v>Special</v>
      </c>
      <c r="G977" s="139"/>
      <c r="H977" s="139"/>
      <c r="I977" s="139">
        <f>IFERROR(__xludf.DUMMYFUNCTION("""COMPUTED_VALUE"""),140.0)</f>
        <v>140</v>
      </c>
      <c r="J977" s="139">
        <f>IFERROR(__xludf.DUMMYFUNCTION("""COMPUTED_VALUE"""),44.0)</f>
        <v>44</v>
      </c>
      <c r="K977" s="139">
        <f>IFERROR(__xludf.DUMMYFUNCTION("""COMPUTED_VALUE"""),0.0)</f>
        <v>0</v>
      </c>
      <c r="L977" s="139"/>
      <c r="M977" s="139" t="str">
        <f>IFERROR(__xludf.DUMMYFUNCTION("""COMPUTED_VALUE"""),"敵複数体に自身の攻撃ステータスの{chara_hut_00001_Special_00004_power_parameter}%のダメージ + 攻撃がヒットした場合、敵を中ノックバック + 召喚されている『ふつうの軽音部』作品の味方と自身の攻撃を{chara_hut_00001_Special_00004a_effective_duration}秒間、{chara_hut_00001_Special_00004a_effect_parameter}%UP")</f>
        <v>敵複数体に自身の攻撃ステータスの{chara_hut_00001_Special_00004_power_parameter}%のダメージ + 攻撃がヒットした場合、敵を中ノックバック + 召喚されている『ふつうの軽音部』作品の味方と自身の攻撃を{chara_hut_00001_Special_00004a_effective_duration}秒間、{chara_hut_00001_Special_00004a_effect_parameter}%UP</v>
      </c>
      <c r="N977" s="139" t="str">
        <f>IFERROR(__xludf.DUMMYFUNCTION("""COMPUTED_VALUE"""),"ステータスUP + 必殺ワザ性能UP")</f>
        <v>ステータスUP + 必殺ワザ性能UP</v>
      </c>
    </row>
    <row r="978">
      <c r="A978" s="139" t="str">
        <f>IFERROR(__xludf.DUMMYFUNCTION("""COMPUTED_VALUE"""),"e")</f>
        <v>e</v>
      </c>
      <c r="B978" s="139">
        <f>IFERROR(__xludf.DUMMYFUNCTION("""COMPUTED_VALUE"""),2.0260301E8)</f>
        <v>202603010</v>
      </c>
      <c r="C978" s="139" t="str">
        <f>IFERROR(__xludf.DUMMYFUNCTION("""COMPUTED_VALUE"""),"chara_hut_00001_Special_00005")</f>
        <v>chara_hut_00001_Special_00005</v>
      </c>
      <c r="D978" s="139" t="str">
        <f>IFERROR(__xludf.DUMMYFUNCTION("""COMPUTED_VALUE"""),"chara_hut_00001")</f>
        <v>chara_hut_00001</v>
      </c>
      <c r="E978" s="139">
        <f>IFERROR(__xludf.DUMMYFUNCTION("""COMPUTED_VALUE"""),5.0)</f>
        <v>5</v>
      </c>
      <c r="F978" s="139" t="str">
        <f>IFERROR(__xludf.DUMMYFUNCTION("""COMPUTED_VALUE"""),"Special")</f>
        <v>Special</v>
      </c>
      <c r="G978" s="139"/>
      <c r="H978" s="139"/>
      <c r="I978" s="139">
        <f>IFERROR(__xludf.DUMMYFUNCTION("""COMPUTED_VALUE"""),140.0)</f>
        <v>140</v>
      </c>
      <c r="J978" s="139">
        <f>IFERROR(__xludf.DUMMYFUNCTION("""COMPUTED_VALUE"""),44.0)</f>
        <v>44</v>
      </c>
      <c r="K978" s="139">
        <f>IFERROR(__xludf.DUMMYFUNCTION("""COMPUTED_VALUE"""),0.0)</f>
        <v>0</v>
      </c>
      <c r="L978" s="139"/>
      <c r="M978" s="139" t="str">
        <f>IFERROR(__xludf.DUMMYFUNCTION("""COMPUTED_VALUE"""),"敵複数体に自身の攻撃ステータスの{chara_hut_00001_Special_00005_power_parameter}%のダメージ + 攻撃がヒットした場合、敵を中ノックバック + 召喚されている『ふつうの軽音部』作品の味方と自身の攻撃を{chara_hut_00001_Special_00005a_effective_duration}秒間、{chara_hut_00001_Special_00005a_effect_parameter}%UP")</f>
        <v>敵複数体に自身の攻撃ステータスの{chara_hut_00001_Special_00005_power_parameter}%のダメージ + 攻撃がヒットした場合、敵を中ノックバック + 召喚されている『ふつうの軽音部』作品の味方と自身の攻撃を{chara_hut_00001_Special_00005a_effective_duration}秒間、{chara_hut_00001_Special_00005a_effect_parameter}%UP</v>
      </c>
      <c r="N978" s="139" t="str">
        <f>IFERROR(__xludf.DUMMYFUNCTION("""COMPUTED_VALUE"""),"ステータスUP + 必殺ワザ性能UP")</f>
        <v>ステータスUP + 必殺ワザ性能UP</v>
      </c>
    </row>
    <row r="979">
      <c r="A979" s="139"/>
      <c r="B979" s="139"/>
      <c r="C979" s="139" t="str">
        <f>IFERROR(__xludf.DUMMYFUNCTION("""COMPUTED_VALUE"""),"chara_hut_00001_Special_00006")</f>
        <v>chara_hut_00001_Special_00006</v>
      </c>
      <c r="D979" s="139" t="str">
        <f>IFERROR(__xludf.DUMMYFUNCTION("""COMPUTED_VALUE"""),"chara_hut_00001")</f>
        <v>chara_hut_00001</v>
      </c>
      <c r="E979" s="139">
        <f>IFERROR(__xludf.DUMMYFUNCTION("""COMPUTED_VALUE"""),6.0)</f>
        <v>6</v>
      </c>
      <c r="F979" s="139" t="str">
        <f>IFERROR(__xludf.DUMMYFUNCTION("""COMPUTED_VALUE"""),"Special")</f>
        <v>Special</v>
      </c>
      <c r="G979" s="139"/>
      <c r="H979" s="139"/>
      <c r="I979" s="139">
        <f>IFERROR(__xludf.DUMMYFUNCTION("""COMPUTED_VALUE"""),140.0)</f>
        <v>140</v>
      </c>
      <c r="J979" s="139">
        <f>IFERROR(__xludf.DUMMYFUNCTION("""COMPUTED_VALUE"""),44.0)</f>
        <v>44</v>
      </c>
      <c r="K979" s="139">
        <f>IFERROR(__xludf.DUMMYFUNCTION("""COMPUTED_VALUE"""),0.0)</f>
        <v>0</v>
      </c>
      <c r="L979" s="139"/>
      <c r="M979" s="139"/>
      <c r="N979" s="139"/>
    </row>
    <row r="980">
      <c r="A980" s="139"/>
      <c r="B980" s="139"/>
      <c r="C980" s="139" t="str">
        <f>IFERROR(__xludf.DUMMYFUNCTION("""COMPUTED_VALUE"""),"chara_hut_00001_Special_00007")</f>
        <v>chara_hut_00001_Special_00007</v>
      </c>
      <c r="D980" s="139" t="str">
        <f>IFERROR(__xludf.DUMMYFUNCTION("""COMPUTED_VALUE"""),"chara_hut_00001")</f>
        <v>chara_hut_00001</v>
      </c>
      <c r="E980" s="139">
        <f>IFERROR(__xludf.DUMMYFUNCTION("""COMPUTED_VALUE"""),7.0)</f>
        <v>7</v>
      </c>
      <c r="F980" s="139" t="str">
        <f>IFERROR(__xludf.DUMMYFUNCTION("""COMPUTED_VALUE"""),"Special")</f>
        <v>Special</v>
      </c>
      <c r="G980" s="139"/>
      <c r="H980" s="139"/>
      <c r="I980" s="139">
        <f>IFERROR(__xludf.DUMMYFUNCTION("""COMPUTED_VALUE"""),140.0)</f>
        <v>140</v>
      </c>
      <c r="J980" s="139">
        <f>IFERROR(__xludf.DUMMYFUNCTION("""COMPUTED_VALUE"""),44.0)</f>
        <v>44</v>
      </c>
      <c r="K980" s="139">
        <f>IFERROR(__xludf.DUMMYFUNCTION("""COMPUTED_VALUE"""),0.0)</f>
        <v>0</v>
      </c>
      <c r="L980" s="139"/>
      <c r="M980" s="139"/>
      <c r="N980" s="139"/>
    </row>
    <row r="981">
      <c r="A981" s="139"/>
      <c r="B981" s="139"/>
      <c r="C981" s="139" t="str">
        <f>IFERROR(__xludf.DUMMYFUNCTION("""COMPUTED_VALUE"""),"chara_hut_00001_Special_00008")</f>
        <v>chara_hut_00001_Special_00008</v>
      </c>
      <c r="D981" s="139" t="str">
        <f>IFERROR(__xludf.DUMMYFUNCTION("""COMPUTED_VALUE"""),"chara_hut_00001")</f>
        <v>chara_hut_00001</v>
      </c>
      <c r="E981" s="139">
        <f>IFERROR(__xludf.DUMMYFUNCTION("""COMPUTED_VALUE"""),8.0)</f>
        <v>8</v>
      </c>
      <c r="F981" s="139" t="str">
        <f>IFERROR(__xludf.DUMMYFUNCTION("""COMPUTED_VALUE"""),"Special")</f>
        <v>Special</v>
      </c>
      <c r="G981" s="139"/>
      <c r="H981" s="139"/>
      <c r="I981" s="139">
        <f>IFERROR(__xludf.DUMMYFUNCTION("""COMPUTED_VALUE"""),140.0)</f>
        <v>140</v>
      </c>
      <c r="J981" s="139">
        <f>IFERROR(__xludf.DUMMYFUNCTION("""COMPUTED_VALUE"""),44.0)</f>
        <v>44</v>
      </c>
      <c r="K981" s="139">
        <f>IFERROR(__xludf.DUMMYFUNCTION("""COMPUTED_VALUE"""),0.0)</f>
        <v>0</v>
      </c>
      <c r="L981" s="139"/>
      <c r="M981" s="139"/>
      <c r="N981" s="139"/>
    </row>
    <row r="982">
      <c r="A982" s="139"/>
      <c r="B982" s="139"/>
      <c r="C982" s="139" t="str">
        <f>IFERROR(__xludf.DUMMYFUNCTION("""COMPUTED_VALUE"""),"chara_hut_00001_Special_00009")</f>
        <v>chara_hut_00001_Special_00009</v>
      </c>
      <c r="D982" s="139" t="str">
        <f>IFERROR(__xludf.DUMMYFUNCTION("""COMPUTED_VALUE"""),"chara_hut_00001")</f>
        <v>chara_hut_00001</v>
      </c>
      <c r="E982" s="139">
        <f>IFERROR(__xludf.DUMMYFUNCTION("""COMPUTED_VALUE"""),9.0)</f>
        <v>9</v>
      </c>
      <c r="F982" s="139" t="str">
        <f>IFERROR(__xludf.DUMMYFUNCTION("""COMPUTED_VALUE"""),"Special")</f>
        <v>Special</v>
      </c>
      <c r="G982" s="139"/>
      <c r="H982" s="139"/>
      <c r="I982" s="139">
        <f>IFERROR(__xludf.DUMMYFUNCTION("""COMPUTED_VALUE"""),140.0)</f>
        <v>140</v>
      </c>
      <c r="J982" s="139">
        <f>IFERROR(__xludf.DUMMYFUNCTION("""COMPUTED_VALUE"""),44.0)</f>
        <v>44</v>
      </c>
      <c r="K982" s="139">
        <f>IFERROR(__xludf.DUMMYFUNCTION("""COMPUTED_VALUE"""),0.0)</f>
        <v>0</v>
      </c>
      <c r="L982" s="139"/>
      <c r="M982" s="139"/>
      <c r="N982" s="139"/>
    </row>
    <row r="983">
      <c r="A983" s="139"/>
      <c r="B983" s="139"/>
      <c r="C983" s="139" t="str">
        <f>IFERROR(__xludf.DUMMYFUNCTION("""COMPUTED_VALUE"""),"chara_hut_00001_Special_00010")</f>
        <v>chara_hut_00001_Special_00010</v>
      </c>
      <c r="D983" s="139" t="str">
        <f>IFERROR(__xludf.DUMMYFUNCTION("""COMPUTED_VALUE"""),"chara_hut_00001")</f>
        <v>chara_hut_00001</v>
      </c>
      <c r="E983" s="139">
        <f>IFERROR(__xludf.DUMMYFUNCTION("""COMPUTED_VALUE"""),10.0)</f>
        <v>10</v>
      </c>
      <c r="F983" s="139" t="str">
        <f>IFERROR(__xludf.DUMMYFUNCTION("""COMPUTED_VALUE"""),"Special")</f>
        <v>Special</v>
      </c>
      <c r="G983" s="139"/>
      <c r="H983" s="139"/>
      <c r="I983" s="139">
        <f>IFERROR(__xludf.DUMMYFUNCTION("""COMPUTED_VALUE"""),140.0)</f>
        <v>140</v>
      </c>
      <c r="J983" s="139">
        <f>IFERROR(__xludf.DUMMYFUNCTION("""COMPUTED_VALUE"""),44.0)</f>
        <v>44</v>
      </c>
      <c r="K983" s="139">
        <f>IFERROR(__xludf.DUMMYFUNCTION("""COMPUTED_VALUE"""),0.0)</f>
        <v>0</v>
      </c>
      <c r="L983" s="139"/>
      <c r="M983" s="139"/>
      <c r="N983" s="139"/>
    </row>
    <row r="984">
      <c r="A984" s="139" t="str">
        <f>IFERROR(__xludf.DUMMYFUNCTION("""COMPUTED_VALUE"""),"e")</f>
        <v>e</v>
      </c>
      <c r="B984" s="139">
        <f>IFERROR(__xludf.DUMMYFUNCTION("""COMPUTED_VALUE"""),2.0260301E8)</f>
        <v>202603010</v>
      </c>
      <c r="C984" s="139" t="str">
        <f>IFERROR(__xludf.DUMMYFUNCTION("""COMPUTED_VALUE"""),"chara_hut_00201_Normal_00000")</f>
        <v>chara_hut_00201_Normal_00000</v>
      </c>
      <c r="D984" s="139" t="str">
        <f>IFERROR(__xludf.DUMMYFUNCTION("""COMPUTED_VALUE"""),"chara_hut_00201")</f>
        <v>chara_hut_00201</v>
      </c>
      <c r="E984" s="139">
        <f>IFERROR(__xludf.DUMMYFUNCTION("""COMPUTED_VALUE"""),0.0)</f>
        <v>0</v>
      </c>
      <c r="F984" s="139" t="str">
        <f>IFERROR(__xludf.DUMMYFUNCTION("""COMPUTED_VALUE"""),"Normal")</f>
        <v>Normal</v>
      </c>
      <c r="G984" s="139"/>
      <c r="H984" s="139"/>
      <c r="I984" s="139">
        <f>IFERROR(__xludf.DUMMYFUNCTION("""COMPUTED_VALUE"""),60.0)</f>
        <v>60</v>
      </c>
      <c r="J984" s="139">
        <f>IFERROR(__xludf.DUMMYFUNCTION("""COMPUTED_VALUE"""),17.0)</f>
        <v>17</v>
      </c>
      <c r="K984" s="139">
        <f>IFERROR(__xludf.DUMMYFUNCTION("""COMPUTED_VALUE"""),150.0)</f>
        <v>150</v>
      </c>
      <c r="L984" s="139"/>
      <c r="M984" s="139"/>
      <c r="N984" s="139"/>
    </row>
    <row r="985">
      <c r="A985" s="139" t="str">
        <f>IFERROR(__xludf.DUMMYFUNCTION("""COMPUTED_VALUE"""),"e")</f>
        <v>e</v>
      </c>
      <c r="B985" s="139">
        <f>IFERROR(__xludf.DUMMYFUNCTION("""COMPUTED_VALUE"""),2.0260301E8)</f>
        <v>202603010</v>
      </c>
      <c r="C985" s="139" t="str">
        <f>IFERROR(__xludf.DUMMYFUNCTION("""COMPUTED_VALUE"""),"chara_hut_00201_Special_00001")</f>
        <v>chara_hut_00201_Special_00001</v>
      </c>
      <c r="D985" s="139" t="str">
        <f>IFERROR(__xludf.DUMMYFUNCTION("""COMPUTED_VALUE"""),"chara_hut_00201")</f>
        <v>chara_hut_00201</v>
      </c>
      <c r="E985" s="139">
        <f>IFERROR(__xludf.DUMMYFUNCTION("""COMPUTED_VALUE"""),1.0)</f>
        <v>1</v>
      </c>
      <c r="F985" s="139" t="str">
        <f>IFERROR(__xludf.DUMMYFUNCTION("""COMPUTED_VALUE"""),"Special")</f>
        <v>Special</v>
      </c>
      <c r="G985" s="139"/>
      <c r="H985" s="139"/>
      <c r="I985" s="139">
        <f>IFERROR(__xludf.DUMMYFUNCTION("""COMPUTED_VALUE"""),142.0)</f>
        <v>142</v>
      </c>
      <c r="J985" s="139">
        <f>IFERROR(__xludf.DUMMYFUNCTION("""COMPUTED_VALUE"""),0.0)</f>
        <v>0</v>
      </c>
      <c r="K985" s="139">
        <f>IFERROR(__xludf.DUMMYFUNCTION("""COMPUTED_VALUE"""),0.0)</f>
        <v>0</v>
      </c>
      <c r="L985" s="139"/>
      <c r="M985" s="139" t="str">
        <f>IFERROR(__xludf.DUMMYFUNCTION("""COMPUTED_VALUE"""),"敵複数体に最大3回の連続攻撃(自身の攻撃ステータスの最大63%ダメージ) + 1回目の攻撃がヒットした場合、敵を1秒間、スタン状態にする")</f>
        <v>敵複数体に最大3回の連続攻撃(自身の攻撃ステータスの最大63%ダメージ) + 1回目の攻撃がヒットした場合、敵を1秒間、スタン状態にする</v>
      </c>
      <c r="N985" s="139"/>
    </row>
    <row r="986">
      <c r="A986" s="139" t="str">
        <f>IFERROR(__xludf.DUMMYFUNCTION("""COMPUTED_VALUE"""),"e")</f>
        <v>e</v>
      </c>
      <c r="B986" s="139">
        <f>IFERROR(__xludf.DUMMYFUNCTION("""COMPUTED_VALUE"""),2.0260301E8)</f>
        <v>202603010</v>
      </c>
      <c r="C986" s="139" t="str">
        <f>IFERROR(__xludf.DUMMYFUNCTION("""COMPUTED_VALUE"""),"chara_hut_00201_Special_00002")</f>
        <v>chara_hut_00201_Special_00002</v>
      </c>
      <c r="D986" s="139" t="str">
        <f>IFERROR(__xludf.DUMMYFUNCTION("""COMPUTED_VALUE"""),"chara_hut_00201")</f>
        <v>chara_hut_00201</v>
      </c>
      <c r="E986" s="139">
        <f>IFERROR(__xludf.DUMMYFUNCTION("""COMPUTED_VALUE"""),2.0)</f>
        <v>2</v>
      </c>
      <c r="F986" s="139" t="str">
        <f>IFERROR(__xludf.DUMMYFUNCTION("""COMPUTED_VALUE"""),"Special")</f>
        <v>Special</v>
      </c>
      <c r="G986" s="139"/>
      <c r="H986" s="139"/>
      <c r="I986" s="139">
        <f>IFERROR(__xludf.DUMMYFUNCTION("""COMPUTED_VALUE"""),142.0)</f>
        <v>142</v>
      </c>
      <c r="J986" s="139">
        <f>IFERROR(__xludf.DUMMYFUNCTION("""COMPUTED_VALUE"""),0.0)</f>
        <v>0</v>
      </c>
      <c r="K986" s="139">
        <f>IFERROR(__xludf.DUMMYFUNCTION("""COMPUTED_VALUE"""),0.0)</f>
        <v>0</v>
      </c>
      <c r="L986" s="139"/>
      <c r="M986" s="139" t="str">
        <f>IFERROR(__xludf.DUMMYFUNCTION("""COMPUTED_VALUE"""),"敵複数体に最大3回の連続攻撃(自身の攻撃ステータスの最大72%ダメージ) + 1回目の攻撃がヒットした場合、敵を1秒間、スタン状態にする")</f>
        <v>敵複数体に最大3回の連続攻撃(自身の攻撃ステータスの最大72%ダメージ) + 1回目の攻撃がヒットした場合、敵を1秒間、スタン状態にする</v>
      </c>
      <c r="N986" s="139" t="str">
        <f>IFERROR(__xludf.DUMMYFUNCTION("""COMPUTED_VALUE"""),"ステータスUP + 必殺ワザ性能UP")</f>
        <v>ステータスUP + 必殺ワザ性能UP</v>
      </c>
    </row>
    <row r="987">
      <c r="A987" s="139" t="str">
        <f>IFERROR(__xludf.DUMMYFUNCTION("""COMPUTED_VALUE"""),"e")</f>
        <v>e</v>
      </c>
      <c r="B987" s="139">
        <f>IFERROR(__xludf.DUMMYFUNCTION("""COMPUTED_VALUE"""),2.0260301E8)</f>
        <v>202603010</v>
      </c>
      <c r="C987" s="139" t="str">
        <f>IFERROR(__xludf.DUMMYFUNCTION("""COMPUTED_VALUE"""),"chara_hut_00201_Special_00003")</f>
        <v>chara_hut_00201_Special_00003</v>
      </c>
      <c r="D987" s="139" t="str">
        <f>IFERROR(__xludf.DUMMYFUNCTION("""COMPUTED_VALUE"""),"chara_hut_00201")</f>
        <v>chara_hut_00201</v>
      </c>
      <c r="E987" s="139">
        <f>IFERROR(__xludf.DUMMYFUNCTION("""COMPUTED_VALUE"""),3.0)</f>
        <v>3</v>
      </c>
      <c r="F987" s="139" t="str">
        <f>IFERROR(__xludf.DUMMYFUNCTION("""COMPUTED_VALUE"""),"Special")</f>
        <v>Special</v>
      </c>
      <c r="G987" s="139"/>
      <c r="H987" s="139"/>
      <c r="I987" s="139">
        <f>IFERROR(__xludf.DUMMYFUNCTION("""COMPUTED_VALUE"""),142.0)</f>
        <v>142</v>
      </c>
      <c r="J987" s="139">
        <f>IFERROR(__xludf.DUMMYFUNCTION("""COMPUTED_VALUE"""),0.0)</f>
        <v>0</v>
      </c>
      <c r="K987" s="139">
        <f>IFERROR(__xludf.DUMMYFUNCTION("""COMPUTED_VALUE"""),0.0)</f>
        <v>0</v>
      </c>
      <c r="L987" s="139"/>
      <c r="M987" s="139" t="str">
        <f>IFERROR(__xludf.DUMMYFUNCTION("""COMPUTED_VALUE"""),"敵複数体に最大3回の連続攻撃(自身の攻撃ステータスの最大78%ダメージ) + 1回目の攻撃がヒットした場合、敵を1秒間、スタン状態にする")</f>
        <v>敵複数体に最大3回の連続攻撃(自身の攻撃ステータスの最大78%ダメージ) + 1回目の攻撃がヒットした場合、敵を1秒間、スタン状態にする</v>
      </c>
      <c r="N987" s="139" t="str">
        <f>IFERROR(__xludf.DUMMYFUNCTION("""COMPUTED_VALUE"""),"ステータスUP + 必殺ワザ性能UP")</f>
        <v>ステータスUP + 必殺ワザ性能UP</v>
      </c>
    </row>
    <row r="988">
      <c r="A988" s="139" t="str">
        <f>IFERROR(__xludf.DUMMYFUNCTION("""COMPUTED_VALUE"""),"e")</f>
        <v>e</v>
      </c>
      <c r="B988" s="139">
        <f>IFERROR(__xludf.DUMMYFUNCTION("""COMPUTED_VALUE"""),2.0260301E8)</f>
        <v>202603010</v>
      </c>
      <c r="C988" s="139" t="str">
        <f>IFERROR(__xludf.DUMMYFUNCTION("""COMPUTED_VALUE"""),"chara_hut_00201_Special_00004")</f>
        <v>chara_hut_00201_Special_00004</v>
      </c>
      <c r="D988" s="139" t="str">
        <f>IFERROR(__xludf.DUMMYFUNCTION("""COMPUTED_VALUE"""),"chara_hut_00201")</f>
        <v>chara_hut_00201</v>
      </c>
      <c r="E988" s="139">
        <f>IFERROR(__xludf.DUMMYFUNCTION("""COMPUTED_VALUE"""),4.0)</f>
        <v>4</v>
      </c>
      <c r="F988" s="139" t="str">
        <f>IFERROR(__xludf.DUMMYFUNCTION("""COMPUTED_VALUE"""),"Special")</f>
        <v>Special</v>
      </c>
      <c r="G988" s="139"/>
      <c r="H988" s="139"/>
      <c r="I988" s="139">
        <f>IFERROR(__xludf.DUMMYFUNCTION("""COMPUTED_VALUE"""),142.0)</f>
        <v>142</v>
      </c>
      <c r="J988" s="139">
        <f>IFERROR(__xludf.DUMMYFUNCTION("""COMPUTED_VALUE"""),0.0)</f>
        <v>0</v>
      </c>
      <c r="K988" s="139">
        <f>IFERROR(__xludf.DUMMYFUNCTION("""COMPUTED_VALUE"""),0.0)</f>
        <v>0</v>
      </c>
      <c r="L988" s="139"/>
      <c r="M988" s="139" t="str">
        <f>IFERROR(__xludf.DUMMYFUNCTION("""COMPUTED_VALUE"""),"敵複数体に最大3回の連続攻撃(自身の攻撃ステータスの最大83%ダメージ) + 1回目の攻撃がヒットした場合、敵を1秒間、スタン状態にする")</f>
        <v>敵複数体に最大3回の連続攻撃(自身の攻撃ステータスの最大83%ダメージ) + 1回目の攻撃がヒットした場合、敵を1秒間、スタン状態にする</v>
      </c>
      <c r="N988" s="139" t="str">
        <f>IFERROR(__xludf.DUMMYFUNCTION("""COMPUTED_VALUE"""),"ステータスUP + 必殺ワザ性能UP")</f>
        <v>ステータスUP + 必殺ワザ性能UP</v>
      </c>
    </row>
    <row r="989">
      <c r="A989" s="139" t="str">
        <f>IFERROR(__xludf.DUMMYFUNCTION("""COMPUTED_VALUE"""),"e")</f>
        <v>e</v>
      </c>
      <c r="B989" s="139">
        <f>IFERROR(__xludf.DUMMYFUNCTION("""COMPUTED_VALUE"""),2.0260301E8)</f>
        <v>202603010</v>
      </c>
      <c r="C989" s="139" t="str">
        <f>IFERROR(__xludf.DUMMYFUNCTION("""COMPUTED_VALUE"""),"chara_hut_00201_Special_00005")</f>
        <v>chara_hut_00201_Special_00005</v>
      </c>
      <c r="D989" s="139" t="str">
        <f>IFERROR(__xludf.DUMMYFUNCTION("""COMPUTED_VALUE"""),"chara_hut_00201")</f>
        <v>chara_hut_00201</v>
      </c>
      <c r="E989" s="139">
        <f>IFERROR(__xludf.DUMMYFUNCTION("""COMPUTED_VALUE"""),5.0)</f>
        <v>5</v>
      </c>
      <c r="F989" s="139" t="str">
        <f>IFERROR(__xludf.DUMMYFUNCTION("""COMPUTED_VALUE"""),"Special")</f>
        <v>Special</v>
      </c>
      <c r="G989" s="139"/>
      <c r="H989" s="139"/>
      <c r="I989" s="139">
        <f>IFERROR(__xludf.DUMMYFUNCTION("""COMPUTED_VALUE"""),142.0)</f>
        <v>142</v>
      </c>
      <c r="J989" s="139">
        <f>IFERROR(__xludf.DUMMYFUNCTION("""COMPUTED_VALUE"""),0.0)</f>
        <v>0</v>
      </c>
      <c r="K989" s="139">
        <f>IFERROR(__xludf.DUMMYFUNCTION("""COMPUTED_VALUE"""),0.0)</f>
        <v>0</v>
      </c>
      <c r="L989" s="139"/>
      <c r="M989" s="139" t="str">
        <f>IFERROR(__xludf.DUMMYFUNCTION("""COMPUTED_VALUE"""),"敵複数体に最大3回の連続攻撃(自身の攻撃ステータスの最大86%ダメージ) + 1回目の攻撃がヒットした場合、敵を1秒間、スタン状態にする")</f>
        <v>敵複数体に最大3回の連続攻撃(自身の攻撃ステータスの最大86%ダメージ) + 1回目の攻撃がヒットした場合、敵を1秒間、スタン状態にする</v>
      </c>
      <c r="N989" s="139" t="str">
        <f>IFERROR(__xludf.DUMMYFUNCTION("""COMPUTED_VALUE"""),"ステータスUP + 必殺ワザ性能UP")</f>
        <v>ステータスUP + 必殺ワザ性能UP</v>
      </c>
    </row>
    <row r="990">
      <c r="A990" s="139"/>
      <c r="B990" s="139"/>
      <c r="C990" s="139" t="str">
        <f>IFERROR(__xludf.DUMMYFUNCTION("""COMPUTED_VALUE"""),"chara_hut_00201_Special_00006")</f>
        <v>chara_hut_00201_Special_00006</v>
      </c>
      <c r="D990" s="139" t="str">
        <f>IFERROR(__xludf.DUMMYFUNCTION("""COMPUTED_VALUE"""),"chara_hut_00201")</f>
        <v>chara_hut_00201</v>
      </c>
      <c r="E990" s="139">
        <f>IFERROR(__xludf.DUMMYFUNCTION("""COMPUTED_VALUE"""),6.0)</f>
        <v>6</v>
      </c>
      <c r="F990" s="139" t="str">
        <f>IFERROR(__xludf.DUMMYFUNCTION("""COMPUTED_VALUE"""),"Special")</f>
        <v>Special</v>
      </c>
      <c r="G990" s="139"/>
      <c r="H990" s="139"/>
      <c r="I990" s="139">
        <f>IFERROR(__xludf.DUMMYFUNCTION("""COMPUTED_VALUE"""),142.0)</f>
        <v>142</v>
      </c>
      <c r="J990" s="139">
        <f>IFERROR(__xludf.DUMMYFUNCTION("""COMPUTED_VALUE"""),0.0)</f>
        <v>0</v>
      </c>
      <c r="K990" s="139">
        <f>IFERROR(__xludf.DUMMYFUNCTION("""COMPUTED_VALUE"""),0.0)</f>
        <v>0</v>
      </c>
      <c r="L990" s="139"/>
      <c r="M990" s="139"/>
      <c r="N990" s="139"/>
    </row>
    <row r="991">
      <c r="A991" s="139"/>
      <c r="B991" s="139"/>
      <c r="C991" s="139" t="str">
        <f>IFERROR(__xludf.DUMMYFUNCTION("""COMPUTED_VALUE"""),"chara_hut_00201_Special_00007")</f>
        <v>chara_hut_00201_Special_00007</v>
      </c>
      <c r="D991" s="139" t="str">
        <f>IFERROR(__xludf.DUMMYFUNCTION("""COMPUTED_VALUE"""),"chara_hut_00201")</f>
        <v>chara_hut_00201</v>
      </c>
      <c r="E991" s="139">
        <f>IFERROR(__xludf.DUMMYFUNCTION("""COMPUTED_VALUE"""),7.0)</f>
        <v>7</v>
      </c>
      <c r="F991" s="139" t="str">
        <f>IFERROR(__xludf.DUMMYFUNCTION("""COMPUTED_VALUE"""),"Special")</f>
        <v>Special</v>
      </c>
      <c r="G991" s="139"/>
      <c r="H991" s="139"/>
      <c r="I991" s="139">
        <f>IFERROR(__xludf.DUMMYFUNCTION("""COMPUTED_VALUE"""),142.0)</f>
        <v>142</v>
      </c>
      <c r="J991" s="139">
        <f>IFERROR(__xludf.DUMMYFUNCTION("""COMPUTED_VALUE"""),0.0)</f>
        <v>0</v>
      </c>
      <c r="K991" s="139">
        <f>IFERROR(__xludf.DUMMYFUNCTION("""COMPUTED_VALUE"""),0.0)</f>
        <v>0</v>
      </c>
      <c r="L991" s="139"/>
      <c r="M991" s="139"/>
      <c r="N991" s="139"/>
    </row>
    <row r="992">
      <c r="A992" s="139"/>
      <c r="B992" s="139"/>
      <c r="C992" s="139" t="str">
        <f>IFERROR(__xludf.DUMMYFUNCTION("""COMPUTED_VALUE"""),"chara_hut_00201_Special_00008")</f>
        <v>chara_hut_00201_Special_00008</v>
      </c>
      <c r="D992" s="139" t="str">
        <f>IFERROR(__xludf.DUMMYFUNCTION("""COMPUTED_VALUE"""),"chara_hut_00201")</f>
        <v>chara_hut_00201</v>
      </c>
      <c r="E992" s="139">
        <f>IFERROR(__xludf.DUMMYFUNCTION("""COMPUTED_VALUE"""),8.0)</f>
        <v>8</v>
      </c>
      <c r="F992" s="139" t="str">
        <f>IFERROR(__xludf.DUMMYFUNCTION("""COMPUTED_VALUE"""),"Special")</f>
        <v>Special</v>
      </c>
      <c r="G992" s="139"/>
      <c r="H992" s="139"/>
      <c r="I992" s="139">
        <f>IFERROR(__xludf.DUMMYFUNCTION("""COMPUTED_VALUE"""),142.0)</f>
        <v>142</v>
      </c>
      <c r="J992" s="139">
        <f>IFERROR(__xludf.DUMMYFUNCTION("""COMPUTED_VALUE"""),0.0)</f>
        <v>0</v>
      </c>
      <c r="K992" s="139">
        <f>IFERROR(__xludf.DUMMYFUNCTION("""COMPUTED_VALUE"""),0.0)</f>
        <v>0</v>
      </c>
      <c r="L992" s="139"/>
      <c r="M992" s="139"/>
      <c r="N992" s="139"/>
    </row>
    <row r="993">
      <c r="A993" s="139"/>
      <c r="B993" s="139"/>
      <c r="C993" s="139" t="str">
        <f>IFERROR(__xludf.DUMMYFUNCTION("""COMPUTED_VALUE"""),"chara_hut_00201_Special_00009")</f>
        <v>chara_hut_00201_Special_00009</v>
      </c>
      <c r="D993" s="139" t="str">
        <f>IFERROR(__xludf.DUMMYFUNCTION("""COMPUTED_VALUE"""),"chara_hut_00201")</f>
        <v>chara_hut_00201</v>
      </c>
      <c r="E993" s="139">
        <f>IFERROR(__xludf.DUMMYFUNCTION("""COMPUTED_VALUE"""),9.0)</f>
        <v>9</v>
      </c>
      <c r="F993" s="139" t="str">
        <f>IFERROR(__xludf.DUMMYFUNCTION("""COMPUTED_VALUE"""),"Special")</f>
        <v>Special</v>
      </c>
      <c r="G993" s="139"/>
      <c r="H993" s="139"/>
      <c r="I993" s="139">
        <f>IFERROR(__xludf.DUMMYFUNCTION("""COMPUTED_VALUE"""),142.0)</f>
        <v>142</v>
      </c>
      <c r="J993" s="139">
        <f>IFERROR(__xludf.DUMMYFUNCTION("""COMPUTED_VALUE"""),0.0)</f>
        <v>0</v>
      </c>
      <c r="K993" s="139">
        <f>IFERROR(__xludf.DUMMYFUNCTION("""COMPUTED_VALUE"""),0.0)</f>
        <v>0</v>
      </c>
      <c r="L993" s="139"/>
      <c r="M993" s="139"/>
      <c r="N993" s="139"/>
    </row>
    <row r="994">
      <c r="A994" s="139"/>
      <c r="B994" s="139"/>
      <c r="C994" s="139" t="str">
        <f>IFERROR(__xludf.DUMMYFUNCTION("""COMPUTED_VALUE"""),"chara_hut_00201_Special_00010")</f>
        <v>chara_hut_00201_Special_00010</v>
      </c>
      <c r="D994" s="139" t="str">
        <f>IFERROR(__xludf.DUMMYFUNCTION("""COMPUTED_VALUE"""),"chara_hut_00201")</f>
        <v>chara_hut_00201</v>
      </c>
      <c r="E994" s="139">
        <f>IFERROR(__xludf.DUMMYFUNCTION("""COMPUTED_VALUE"""),10.0)</f>
        <v>10</v>
      </c>
      <c r="F994" s="139" t="str">
        <f>IFERROR(__xludf.DUMMYFUNCTION("""COMPUTED_VALUE"""),"Special")</f>
        <v>Special</v>
      </c>
      <c r="G994" s="139"/>
      <c r="H994" s="139"/>
      <c r="I994" s="139">
        <f>IFERROR(__xludf.DUMMYFUNCTION("""COMPUTED_VALUE"""),142.0)</f>
        <v>142</v>
      </c>
      <c r="J994" s="139">
        <f>IFERROR(__xludf.DUMMYFUNCTION("""COMPUTED_VALUE"""),0.0)</f>
        <v>0</v>
      </c>
      <c r="K994" s="139">
        <f>IFERROR(__xludf.DUMMYFUNCTION("""COMPUTED_VALUE"""),0.0)</f>
        <v>0</v>
      </c>
      <c r="L994" s="139"/>
      <c r="M994" s="139"/>
      <c r="N994" s="139"/>
    </row>
    <row r="995">
      <c r="A995" s="139" t="str">
        <f>IFERROR(__xludf.DUMMYFUNCTION("""COMPUTED_VALUE"""),"e")</f>
        <v>e</v>
      </c>
      <c r="B995" s="139">
        <f>IFERROR(__xludf.DUMMYFUNCTION("""COMPUTED_VALUE"""),2.0260301E8)</f>
        <v>202603010</v>
      </c>
      <c r="C995" s="139" t="str">
        <f>IFERROR(__xludf.DUMMYFUNCTION("""COMPUTED_VALUE"""),"chara_hut_00301_Normal_00000")</f>
        <v>chara_hut_00301_Normal_00000</v>
      </c>
      <c r="D995" s="139" t="str">
        <f>IFERROR(__xludf.DUMMYFUNCTION("""COMPUTED_VALUE"""),"chara_hut_00301")</f>
        <v>chara_hut_00301</v>
      </c>
      <c r="E995" s="139">
        <f>IFERROR(__xludf.DUMMYFUNCTION("""COMPUTED_VALUE"""),0.0)</f>
        <v>0</v>
      </c>
      <c r="F995" s="139" t="str">
        <f>IFERROR(__xludf.DUMMYFUNCTION("""COMPUTED_VALUE"""),"Normal")</f>
        <v>Normal</v>
      </c>
      <c r="G995" s="139"/>
      <c r="H995" s="139"/>
      <c r="I995" s="139">
        <f>IFERROR(__xludf.DUMMYFUNCTION("""COMPUTED_VALUE"""),67.0)</f>
        <v>67</v>
      </c>
      <c r="J995" s="139">
        <f>IFERROR(__xludf.DUMMYFUNCTION("""COMPUTED_VALUE"""),17.0)</f>
        <v>17</v>
      </c>
      <c r="K995" s="139">
        <f>IFERROR(__xludf.DUMMYFUNCTION("""COMPUTED_VALUE"""),100.0)</f>
        <v>100</v>
      </c>
      <c r="L995" s="139"/>
      <c r="M995" s="139"/>
      <c r="N995" s="139"/>
    </row>
    <row r="996">
      <c r="A996" s="139" t="str">
        <f>IFERROR(__xludf.DUMMYFUNCTION("""COMPUTED_VALUE"""),"e")</f>
        <v>e</v>
      </c>
      <c r="B996" s="139">
        <f>IFERROR(__xludf.DUMMYFUNCTION("""COMPUTED_VALUE"""),2.0260301E8)</f>
        <v>202603010</v>
      </c>
      <c r="C996" s="139" t="str">
        <f>IFERROR(__xludf.DUMMYFUNCTION("""COMPUTED_VALUE"""),"chara_hut_00301_Special_00001")</f>
        <v>chara_hut_00301_Special_00001</v>
      </c>
      <c r="D996" s="139" t="str">
        <f>IFERROR(__xludf.DUMMYFUNCTION("""COMPUTED_VALUE"""),"chara_hut_00301")</f>
        <v>chara_hut_00301</v>
      </c>
      <c r="E996" s="139">
        <f>IFERROR(__xludf.DUMMYFUNCTION("""COMPUTED_VALUE"""),1.0)</f>
        <v>1</v>
      </c>
      <c r="F996" s="139" t="str">
        <f>IFERROR(__xludf.DUMMYFUNCTION("""COMPUTED_VALUE"""),"Special")</f>
        <v>Special</v>
      </c>
      <c r="G996" s="139"/>
      <c r="H996" s="139"/>
      <c r="I996" s="139">
        <f>IFERROR(__xludf.DUMMYFUNCTION("""COMPUTED_VALUE"""),121.0)</f>
        <v>121</v>
      </c>
      <c r="J996" s="139">
        <f>IFERROR(__xludf.DUMMYFUNCTION("""COMPUTED_VALUE"""),0.0)</f>
        <v>0</v>
      </c>
      <c r="K996" s="139">
        <f>IFERROR(__xludf.DUMMYFUNCTION("""COMPUTED_VALUE"""),0.0)</f>
        <v>0</v>
      </c>
      <c r="L996" s="139"/>
      <c r="M996" s="139" t="str">
        <f>IFERROR(__xludf.DUMMYFUNCTION("""COMPUTED_VALUE"""),"敵複数体に最大5回の連続攻撃(自身の攻撃ステータスの最大81%ダメージ)")</f>
        <v>敵複数体に最大5回の連続攻撃(自身の攻撃ステータスの最大81%ダメージ)</v>
      </c>
      <c r="N996" s="139"/>
    </row>
    <row r="997">
      <c r="A997" s="139" t="str">
        <f>IFERROR(__xludf.DUMMYFUNCTION("""COMPUTED_VALUE"""),"e")</f>
        <v>e</v>
      </c>
      <c r="B997" s="139">
        <f>IFERROR(__xludf.DUMMYFUNCTION("""COMPUTED_VALUE"""),2.0260301E8)</f>
        <v>202603010</v>
      </c>
      <c r="C997" s="139" t="str">
        <f>IFERROR(__xludf.DUMMYFUNCTION("""COMPUTED_VALUE"""),"chara_hut_00301_Special_00002")</f>
        <v>chara_hut_00301_Special_00002</v>
      </c>
      <c r="D997" s="139" t="str">
        <f>IFERROR(__xludf.DUMMYFUNCTION("""COMPUTED_VALUE"""),"chara_hut_00301")</f>
        <v>chara_hut_00301</v>
      </c>
      <c r="E997" s="139">
        <f>IFERROR(__xludf.DUMMYFUNCTION("""COMPUTED_VALUE"""),2.0)</f>
        <v>2</v>
      </c>
      <c r="F997" s="139" t="str">
        <f>IFERROR(__xludf.DUMMYFUNCTION("""COMPUTED_VALUE"""),"Special")</f>
        <v>Special</v>
      </c>
      <c r="G997" s="139"/>
      <c r="H997" s="139"/>
      <c r="I997" s="139">
        <f>IFERROR(__xludf.DUMMYFUNCTION("""COMPUTED_VALUE"""),121.0)</f>
        <v>121</v>
      </c>
      <c r="J997" s="139">
        <f>IFERROR(__xludf.DUMMYFUNCTION("""COMPUTED_VALUE"""),0.0)</f>
        <v>0</v>
      </c>
      <c r="K997" s="139">
        <f>IFERROR(__xludf.DUMMYFUNCTION("""COMPUTED_VALUE"""),0.0)</f>
        <v>0</v>
      </c>
      <c r="L997" s="139"/>
      <c r="M997" s="139" t="str">
        <f>IFERROR(__xludf.DUMMYFUNCTION("""COMPUTED_VALUE"""),"敵複数体に最大5回の連続攻撃(自身の攻撃ステータスの最大94%ダメージ)")</f>
        <v>敵複数体に最大5回の連続攻撃(自身の攻撃ステータスの最大94%ダメージ)</v>
      </c>
      <c r="N997" s="139" t="str">
        <f>IFERROR(__xludf.DUMMYFUNCTION("""COMPUTED_VALUE"""),"ステータスUP + 必殺ワザ性能UP")</f>
        <v>ステータスUP + 必殺ワザ性能UP</v>
      </c>
    </row>
    <row r="998">
      <c r="A998" s="139" t="str">
        <f>IFERROR(__xludf.DUMMYFUNCTION("""COMPUTED_VALUE"""),"e")</f>
        <v>e</v>
      </c>
      <c r="B998" s="139">
        <f>IFERROR(__xludf.DUMMYFUNCTION("""COMPUTED_VALUE"""),2.0260301E8)</f>
        <v>202603010</v>
      </c>
      <c r="C998" s="139" t="str">
        <f>IFERROR(__xludf.DUMMYFUNCTION("""COMPUTED_VALUE"""),"chara_hut_00301_Special_00003")</f>
        <v>chara_hut_00301_Special_00003</v>
      </c>
      <c r="D998" s="139" t="str">
        <f>IFERROR(__xludf.DUMMYFUNCTION("""COMPUTED_VALUE"""),"chara_hut_00301")</f>
        <v>chara_hut_00301</v>
      </c>
      <c r="E998" s="139">
        <f>IFERROR(__xludf.DUMMYFUNCTION("""COMPUTED_VALUE"""),3.0)</f>
        <v>3</v>
      </c>
      <c r="F998" s="139" t="str">
        <f>IFERROR(__xludf.DUMMYFUNCTION("""COMPUTED_VALUE"""),"Special")</f>
        <v>Special</v>
      </c>
      <c r="G998" s="139"/>
      <c r="H998" s="139"/>
      <c r="I998" s="139">
        <f>IFERROR(__xludf.DUMMYFUNCTION("""COMPUTED_VALUE"""),121.0)</f>
        <v>121</v>
      </c>
      <c r="J998" s="139">
        <f>IFERROR(__xludf.DUMMYFUNCTION("""COMPUTED_VALUE"""),0.0)</f>
        <v>0</v>
      </c>
      <c r="K998" s="139">
        <f>IFERROR(__xludf.DUMMYFUNCTION("""COMPUTED_VALUE"""),0.0)</f>
        <v>0</v>
      </c>
      <c r="L998" s="139"/>
      <c r="M998" s="139" t="str">
        <f>IFERROR(__xludf.DUMMYFUNCTION("""COMPUTED_VALUE"""),"敵複数体に最大5回の連続攻撃(自身の攻撃ステータスの最大102%ダメージ)")</f>
        <v>敵複数体に最大5回の連続攻撃(自身の攻撃ステータスの最大102%ダメージ)</v>
      </c>
      <c r="N998" s="139" t="str">
        <f>IFERROR(__xludf.DUMMYFUNCTION("""COMPUTED_VALUE"""),"ステータスUP + 必殺ワザ性能UP")</f>
        <v>ステータスUP + 必殺ワザ性能UP</v>
      </c>
    </row>
    <row r="999">
      <c r="A999" s="139" t="str">
        <f>IFERROR(__xludf.DUMMYFUNCTION("""COMPUTED_VALUE"""),"e")</f>
        <v>e</v>
      </c>
      <c r="B999" s="139">
        <f>IFERROR(__xludf.DUMMYFUNCTION("""COMPUTED_VALUE"""),2.0260301E8)</f>
        <v>202603010</v>
      </c>
      <c r="C999" s="139" t="str">
        <f>IFERROR(__xludf.DUMMYFUNCTION("""COMPUTED_VALUE"""),"chara_hut_00301_Special_00004")</f>
        <v>chara_hut_00301_Special_00004</v>
      </c>
      <c r="D999" s="139" t="str">
        <f>IFERROR(__xludf.DUMMYFUNCTION("""COMPUTED_VALUE"""),"chara_hut_00301")</f>
        <v>chara_hut_00301</v>
      </c>
      <c r="E999" s="139">
        <f>IFERROR(__xludf.DUMMYFUNCTION("""COMPUTED_VALUE"""),4.0)</f>
        <v>4</v>
      </c>
      <c r="F999" s="139" t="str">
        <f>IFERROR(__xludf.DUMMYFUNCTION("""COMPUTED_VALUE"""),"Special")</f>
        <v>Special</v>
      </c>
      <c r="G999" s="139"/>
      <c r="H999" s="139"/>
      <c r="I999" s="139">
        <f>IFERROR(__xludf.DUMMYFUNCTION("""COMPUTED_VALUE"""),121.0)</f>
        <v>121</v>
      </c>
      <c r="J999" s="139">
        <f>IFERROR(__xludf.DUMMYFUNCTION("""COMPUTED_VALUE"""),0.0)</f>
        <v>0</v>
      </c>
      <c r="K999" s="139">
        <f>IFERROR(__xludf.DUMMYFUNCTION("""COMPUTED_VALUE"""),0.0)</f>
        <v>0</v>
      </c>
      <c r="L999" s="139"/>
      <c r="M999" s="139" t="str">
        <f>IFERROR(__xludf.DUMMYFUNCTION("""COMPUTED_VALUE"""),"敵複数体に最大5回の連続攻撃(自身の攻撃ステータスの最大108%ダメージ)")</f>
        <v>敵複数体に最大5回の連続攻撃(自身の攻撃ステータスの最大108%ダメージ)</v>
      </c>
      <c r="N999" s="139" t="str">
        <f>IFERROR(__xludf.DUMMYFUNCTION("""COMPUTED_VALUE"""),"ステータスUP + 必殺ワザ性能UP")</f>
        <v>ステータスUP + 必殺ワザ性能UP</v>
      </c>
    </row>
    <row r="1000">
      <c r="A1000" s="139" t="str">
        <f>IFERROR(__xludf.DUMMYFUNCTION("""COMPUTED_VALUE"""),"e")</f>
        <v>e</v>
      </c>
      <c r="B1000" s="139">
        <f>IFERROR(__xludf.DUMMYFUNCTION("""COMPUTED_VALUE"""),2.0260301E8)</f>
        <v>202603010</v>
      </c>
      <c r="C1000" s="139" t="str">
        <f>IFERROR(__xludf.DUMMYFUNCTION("""COMPUTED_VALUE"""),"chara_hut_00301_Special_00005")</f>
        <v>chara_hut_00301_Special_00005</v>
      </c>
      <c r="D1000" s="139" t="str">
        <f>IFERROR(__xludf.DUMMYFUNCTION("""COMPUTED_VALUE"""),"chara_hut_00301")</f>
        <v>chara_hut_00301</v>
      </c>
      <c r="E1000" s="139">
        <f>IFERROR(__xludf.DUMMYFUNCTION("""COMPUTED_VALUE"""),5.0)</f>
        <v>5</v>
      </c>
      <c r="F1000" s="139" t="str">
        <f>IFERROR(__xludf.DUMMYFUNCTION("""COMPUTED_VALUE"""),"Special")</f>
        <v>Special</v>
      </c>
      <c r="G1000" s="139"/>
      <c r="H1000" s="139"/>
      <c r="I1000" s="139">
        <f>IFERROR(__xludf.DUMMYFUNCTION("""COMPUTED_VALUE"""),121.0)</f>
        <v>121</v>
      </c>
      <c r="J1000" s="139">
        <f>IFERROR(__xludf.DUMMYFUNCTION("""COMPUTED_VALUE"""),0.0)</f>
        <v>0</v>
      </c>
      <c r="K1000" s="139">
        <f>IFERROR(__xludf.DUMMYFUNCTION("""COMPUTED_VALUE"""),0.0)</f>
        <v>0</v>
      </c>
      <c r="L1000" s="139"/>
      <c r="M1000" s="139" t="str">
        <f>IFERROR(__xludf.DUMMYFUNCTION("""COMPUTED_VALUE"""),"敵複数体に最大5回の連続攻撃(自身の攻撃ステータスの最大112%ダメージ) + 5回目の攻撃がヒットした場合、敵を小ノックバック")</f>
        <v>敵複数体に最大5回の連続攻撃(自身の攻撃ステータスの最大112%ダメージ) + 5回目の攻撃がヒットした場合、敵を小ノックバック</v>
      </c>
      <c r="N1000" s="139" t="str">
        <f>IFERROR(__xludf.DUMMYFUNCTION("""COMPUTED_VALUE"""),"ステータスUP + 必殺ワザ性能UP")</f>
        <v>ステータスUP + 必殺ワザ性能UP</v>
      </c>
    </row>
    <row r="1001">
      <c r="A1001" s="139"/>
      <c r="B1001" s="139"/>
      <c r="C1001" s="139" t="str">
        <f>IFERROR(__xludf.DUMMYFUNCTION("""COMPUTED_VALUE"""),"chara_hut_00301_Special_00006")</f>
        <v>chara_hut_00301_Special_00006</v>
      </c>
      <c r="D1001" s="139" t="str">
        <f>IFERROR(__xludf.DUMMYFUNCTION("""COMPUTED_VALUE"""),"chara_hut_00301")</f>
        <v>chara_hut_00301</v>
      </c>
      <c r="E1001" s="139">
        <f>IFERROR(__xludf.DUMMYFUNCTION("""COMPUTED_VALUE"""),6.0)</f>
        <v>6</v>
      </c>
      <c r="F1001" s="139" t="str">
        <f>IFERROR(__xludf.DUMMYFUNCTION("""COMPUTED_VALUE"""),"Special")</f>
        <v>Special</v>
      </c>
      <c r="G1001" s="139"/>
      <c r="H1001" s="139"/>
      <c r="I1001" s="139">
        <f>IFERROR(__xludf.DUMMYFUNCTION("""COMPUTED_VALUE"""),121.0)</f>
        <v>121</v>
      </c>
      <c r="J1001" s="139">
        <f>IFERROR(__xludf.DUMMYFUNCTION("""COMPUTED_VALUE"""),0.0)</f>
        <v>0</v>
      </c>
      <c r="K1001" s="139">
        <f>IFERROR(__xludf.DUMMYFUNCTION("""COMPUTED_VALUE"""),0.0)</f>
        <v>0</v>
      </c>
      <c r="L1001" s="139"/>
      <c r="M1001" s="139"/>
      <c r="N1001" s="139"/>
    </row>
    <row r="1002">
      <c r="A1002" s="139"/>
      <c r="B1002" s="139"/>
      <c r="C1002" s="139" t="str">
        <f>IFERROR(__xludf.DUMMYFUNCTION("""COMPUTED_VALUE"""),"chara_hut_00301_Special_00007")</f>
        <v>chara_hut_00301_Special_00007</v>
      </c>
      <c r="D1002" s="139" t="str">
        <f>IFERROR(__xludf.DUMMYFUNCTION("""COMPUTED_VALUE"""),"chara_hut_00301")</f>
        <v>chara_hut_00301</v>
      </c>
      <c r="E1002" s="139">
        <f>IFERROR(__xludf.DUMMYFUNCTION("""COMPUTED_VALUE"""),7.0)</f>
        <v>7</v>
      </c>
      <c r="F1002" s="139" t="str">
        <f>IFERROR(__xludf.DUMMYFUNCTION("""COMPUTED_VALUE"""),"Special")</f>
        <v>Special</v>
      </c>
      <c r="G1002" s="139"/>
      <c r="H1002" s="139"/>
      <c r="I1002" s="139">
        <f>IFERROR(__xludf.DUMMYFUNCTION("""COMPUTED_VALUE"""),121.0)</f>
        <v>121</v>
      </c>
      <c r="J1002" s="139">
        <f>IFERROR(__xludf.DUMMYFUNCTION("""COMPUTED_VALUE"""),0.0)</f>
        <v>0</v>
      </c>
      <c r="K1002" s="139">
        <f>IFERROR(__xludf.DUMMYFUNCTION("""COMPUTED_VALUE"""),0.0)</f>
        <v>0</v>
      </c>
      <c r="L1002" s="139"/>
      <c r="M1002" s="139"/>
      <c r="N1002" s="139"/>
    </row>
    <row r="1003">
      <c r="A1003" s="139"/>
      <c r="B1003" s="139"/>
      <c r="C1003" s="139" t="str">
        <f>IFERROR(__xludf.DUMMYFUNCTION("""COMPUTED_VALUE"""),"chara_hut_00301_Special_00008")</f>
        <v>chara_hut_00301_Special_00008</v>
      </c>
      <c r="D1003" s="139" t="str">
        <f>IFERROR(__xludf.DUMMYFUNCTION("""COMPUTED_VALUE"""),"chara_hut_00301")</f>
        <v>chara_hut_00301</v>
      </c>
      <c r="E1003" s="139">
        <f>IFERROR(__xludf.DUMMYFUNCTION("""COMPUTED_VALUE"""),8.0)</f>
        <v>8</v>
      </c>
      <c r="F1003" s="139" t="str">
        <f>IFERROR(__xludf.DUMMYFUNCTION("""COMPUTED_VALUE"""),"Special")</f>
        <v>Special</v>
      </c>
      <c r="G1003" s="139"/>
      <c r="H1003" s="139"/>
      <c r="I1003" s="139">
        <f>IFERROR(__xludf.DUMMYFUNCTION("""COMPUTED_VALUE"""),121.0)</f>
        <v>121</v>
      </c>
      <c r="J1003" s="139">
        <f>IFERROR(__xludf.DUMMYFUNCTION("""COMPUTED_VALUE"""),0.0)</f>
        <v>0</v>
      </c>
      <c r="K1003" s="139">
        <f>IFERROR(__xludf.DUMMYFUNCTION("""COMPUTED_VALUE"""),0.0)</f>
        <v>0</v>
      </c>
      <c r="L1003" s="139"/>
      <c r="M1003" s="139"/>
      <c r="N1003" s="139"/>
    </row>
    <row r="1004">
      <c r="A1004" s="139"/>
      <c r="B1004" s="139"/>
      <c r="C1004" s="139" t="str">
        <f>IFERROR(__xludf.DUMMYFUNCTION("""COMPUTED_VALUE"""),"chara_hut_00301_Special_00009")</f>
        <v>chara_hut_00301_Special_00009</v>
      </c>
      <c r="D1004" s="139" t="str">
        <f>IFERROR(__xludf.DUMMYFUNCTION("""COMPUTED_VALUE"""),"chara_hut_00301")</f>
        <v>chara_hut_00301</v>
      </c>
      <c r="E1004" s="139">
        <f>IFERROR(__xludf.DUMMYFUNCTION("""COMPUTED_VALUE"""),9.0)</f>
        <v>9</v>
      </c>
      <c r="F1004" s="139" t="str">
        <f>IFERROR(__xludf.DUMMYFUNCTION("""COMPUTED_VALUE"""),"Special")</f>
        <v>Special</v>
      </c>
      <c r="G1004" s="139"/>
      <c r="H1004" s="139"/>
      <c r="I1004" s="139">
        <f>IFERROR(__xludf.DUMMYFUNCTION("""COMPUTED_VALUE"""),121.0)</f>
        <v>121</v>
      </c>
      <c r="J1004" s="139">
        <f>IFERROR(__xludf.DUMMYFUNCTION("""COMPUTED_VALUE"""),0.0)</f>
        <v>0</v>
      </c>
      <c r="K1004" s="139">
        <f>IFERROR(__xludf.DUMMYFUNCTION("""COMPUTED_VALUE"""),0.0)</f>
        <v>0</v>
      </c>
      <c r="L1004" s="139"/>
      <c r="M1004" s="139"/>
      <c r="N1004" s="139"/>
    </row>
    <row r="1005">
      <c r="A1005" s="139"/>
      <c r="B1005" s="139"/>
      <c r="C1005" s="139" t="str">
        <f>IFERROR(__xludf.DUMMYFUNCTION("""COMPUTED_VALUE"""),"chara_hut_00301_Special_00010")</f>
        <v>chara_hut_00301_Special_00010</v>
      </c>
      <c r="D1005" s="139" t="str">
        <f>IFERROR(__xludf.DUMMYFUNCTION("""COMPUTED_VALUE"""),"chara_hut_00301")</f>
        <v>chara_hut_00301</v>
      </c>
      <c r="E1005" s="139">
        <f>IFERROR(__xludf.DUMMYFUNCTION("""COMPUTED_VALUE"""),10.0)</f>
        <v>10</v>
      </c>
      <c r="F1005" s="139" t="str">
        <f>IFERROR(__xludf.DUMMYFUNCTION("""COMPUTED_VALUE"""),"Special")</f>
        <v>Special</v>
      </c>
      <c r="G1005" s="139"/>
      <c r="H1005" s="139"/>
      <c r="I1005" s="139">
        <f>IFERROR(__xludf.DUMMYFUNCTION("""COMPUTED_VALUE"""),121.0)</f>
        <v>121</v>
      </c>
      <c r="J1005" s="139">
        <f>IFERROR(__xludf.DUMMYFUNCTION("""COMPUTED_VALUE"""),0.0)</f>
        <v>0</v>
      </c>
      <c r="K1005" s="139">
        <f>IFERROR(__xludf.DUMMYFUNCTION("""COMPUTED_VALUE"""),0.0)</f>
        <v>0</v>
      </c>
      <c r="L1005" s="139"/>
      <c r="M1005" s="139"/>
      <c r="N1005" s="139"/>
    </row>
    <row r="1006">
      <c r="A1006" s="139" t="str">
        <f>IFERROR(__xludf.DUMMYFUNCTION("""COMPUTED_VALUE"""),"e")</f>
        <v>e</v>
      </c>
      <c r="B1006" s="139">
        <f>IFERROR(__xludf.DUMMYFUNCTION("""COMPUTED_VALUE"""),2.0260302E8)</f>
        <v>202603020</v>
      </c>
      <c r="C1006" s="139" t="str">
        <f>IFERROR(__xludf.DUMMYFUNCTION("""COMPUTED_VALUE"""),"chara_sur_00901_Normal_00000")</f>
        <v>chara_sur_00901_Normal_00000</v>
      </c>
      <c r="D1006" s="139" t="str">
        <f>IFERROR(__xludf.DUMMYFUNCTION("""COMPUTED_VALUE"""),"chara_sur_00901")</f>
        <v>chara_sur_00901</v>
      </c>
      <c r="E1006" s="139">
        <f>IFERROR(__xludf.DUMMYFUNCTION("""COMPUTED_VALUE"""),0.0)</f>
        <v>0</v>
      </c>
      <c r="F1006" s="139" t="str">
        <f>IFERROR(__xludf.DUMMYFUNCTION("""COMPUTED_VALUE"""),"Normal")</f>
        <v>Normal</v>
      </c>
      <c r="G1006" s="139"/>
      <c r="H1006" s="139"/>
      <c r="I1006" s="139">
        <f>IFERROR(__xludf.DUMMYFUNCTION("""COMPUTED_VALUE"""),59.0)</f>
        <v>59</v>
      </c>
      <c r="J1006" s="139">
        <f>IFERROR(__xludf.DUMMYFUNCTION("""COMPUTED_VALUE"""),22.0)</f>
        <v>22</v>
      </c>
      <c r="K1006" s="139">
        <f>IFERROR(__xludf.DUMMYFUNCTION("""COMPUTED_VALUE"""),50.0)</f>
        <v>50</v>
      </c>
      <c r="L1006" s="139"/>
      <c r="M1006" s="139"/>
      <c r="N1006" s="139"/>
    </row>
    <row r="1007">
      <c r="A1007" s="139" t="str">
        <f>IFERROR(__xludf.DUMMYFUNCTION("""COMPUTED_VALUE"""),"e")</f>
        <v>e</v>
      </c>
      <c r="B1007" s="139">
        <f>IFERROR(__xludf.DUMMYFUNCTION("""COMPUTED_VALUE"""),2.0260302E8)</f>
        <v>202603020</v>
      </c>
      <c r="C1007" s="139" t="str">
        <f>IFERROR(__xludf.DUMMYFUNCTION("""COMPUTED_VALUE"""),"chara_sur_00901_Special_00001")</f>
        <v>chara_sur_00901_Special_00001</v>
      </c>
      <c r="D1007" s="139" t="str">
        <f>IFERROR(__xludf.DUMMYFUNCTION("""COMPUTED_VALUE"""),"chara_sur_00901")</f>
        <v>chara_sur_00901</v>
      </c>
      <c r="E1007" s="139">
        <f>IFERROR(__xludf.DUMMYFUNCTION("""COMPUTED_VALUE"""),1.0)</f>
        <v>1</v>
      </c>
      <c r="F1007" s="139" t="str">
        <f>IFERROR(__xludf.DUMMYFUNCTION("""COMPUTED_VALUE"""),"Special")</f>
        <v>Special</v>
      </c>
      <c r="G1007" s="139"/>
      <c r="H1007" s="139"/>
      <c r="I1007" s="139">
        <f>IFERROR(__xludf.DUMMYFUNCTION("""COMPUTED_VALUE"""),146.0)</f>
        <v>146</v>
      </c>
      <c r="J1007" s="139">
        <f>IFERROR(__xludf.DUMMYFUNCTION("""COMPUTED_VALUE"""),0.0)</f>
        <v>0</v>
      </c>
      <c r="K1007" s="139">
        <f>IFERROR(__xludf.DUMMYFUNCTION("""COMPUTED_VALUE"""),0.0)</f>
        <v>0</v>
      </c>
      <c r="L1007" s="139"/>
      <c r="M1007" s="139" t="str">
        <f>IFERROR(__xludf.DUMMYFUNCTION("""COMPUTED_VALUE"""),"敵複数体に自身の攻撃ステータスの{chara_sur_00901_Special_00001_power_parameter}%のダメージ + 自身を{chara_sur_00901_Special_00001a_effective_duration}秒間、無敵状態にする")</f>
        <v>敵複数体に自身の攻撃ステータスの{chara_sur_00901_Special_00001_power_parameter}%のダメージ + 自身を{chara_sur_00901_Special_00001a_effective_duration}秒間、無敵状態にする</v>
      </c>
      <c r="N1007" s="139"/>
    </row>
    <row r="1008">
      <c r="A1008" s="139" t="str">
        <f>IFERROR(__xludf.DUMMYFUNCTION("""COMPUTED_VALUE"""),"e")</f>
        <v>e</v>
      </c>
      <c r="B1008" s="139">
        <f>IFERROR(__xludf.DUMMYFUNCTION("""COMPUTED_VALUE"""),2.0260302E8)</f>
        <v>202603020</v>
      </c>
      <c r="C1008" s="139" t="str">
        <f>IFERROR(__xludf.DUMMYFUNCTION("""COMPUTED_VALUE"""),"chara_sur_00901_Special_00002")</f>
        <v>chara_sur_00901_Special_00002</v>
      </c>
      <c r="D1008" s="139" t="str">
        <f>IFERROR(__xludf.DUMMYFUNCTION("""COMPUTED_VALUE"""),"chara_sur_00901")</f>
        <v>chara_sur_00901</v>
      </c>
      <c r="E1008" s="139">
        <f>IFERROR(__xludf.DUMMYFUNCTION("""COMPUTED_VALUE"""),2.0)</f>
        <v>2</v>
      </c>
      <c r="F1008" s="139" t="str">
        <f>IFERROR(__xludf.DUMMYFUNCTION("""COMPUTED_VALUE"""),"Special")</f>
        <v>Special</v>
      </c>
      <c r="G1008" s="139"/>
      <c r="H1008" s="139"/>
      <c r="I1008" s="139">
        <f>IFERROR(__xludf.DUMMYFUNCTION("""COMPUTED_VALUE"""),146.0)</f>
        <v>146</v>
      </c>
      <c r="J1008" s="139">
        <f>IFERROR(__xludf.DUMMYFUNCTION("""COMPUTED_VALUE"""),0.0)</f>
        <v>0</v>
      </c>
      <c r="K1008" s="139">
        <f>IFERROR(__xludf.DUMMYFUNCTION("""COMPUTED_VALUE"""),0.0)</f>
        <v>0</v>
      </c>
      <c r="L1008" s="139"/>
      <c r="M1008" s="139" t="str">
        <f>IFERROR(__xludf.DUMMYFUNCTION("""COMPUTED_VALUE"""),"敵複数体に自身の攻撃ステータスの{chara_sur_00901_Special_00002_power_parameter}%のダメージ + 自身を{chara_sur_00901_Special_00002a_effective_duration}秒間、無敵状態にする")</f>
        <v>敵複数体に自身の攻撃ステータスの{chara_sur_00901_Special_00002_power_parameter}%のダメージ + 自身を{chara_sur_00901_Special_00002a_effective_duration}秒間、無敵状態にする</v>
      </c>
      <c r="N1008" s="139" t="str">
        <f>IFERROR(__xludf.DUMMYFUNCTION("""COMPUTED_VALUE"""),"ステータスUP + 必殺ワザ性能UP")</f>
        <v>ステータスUP + 必殺ワザ性能UP</v>
      </c>
    </row>
    <row r="1009">
      <c r="A1009" s="139" t="str">
        <f>IFERROR(__xludf.DUMMYFUNCTION("""COMPUTED_VALUE"""),"e")</f>
        <v>e</v>
      </c>
      <c r="B1009" s="139">
        <f>IFERROR(__xludf.DUMMYFUNCTION("""COMPUTED_VALUE"""),2.0260302E8)</f>
        <v>202603020</v>
      </c>
      <c r="C1009" s="139" t="str">
        <f>IFERROR(__xludf.DUMMYFUNCTION("""COMPUTED_VALUE"""),"chara_sur_00901_Special_00003")</f>
        <v>chara_sur_00901_Special_00003</v>
      </c>
      <c r="D1009" s="139" t="str">
        <f>IFERROR(__xludf.DUMMYFUNCTION("""COMPUTED_VALUE"""),"chara_sur_00901")</f>
        <v>chara_sur_00901</v>
      </c>
      <c r="E1009" s="139">
        <f>IFERROR(__xludf.DUMMYFUNCTION("""COMPUTED_VALUE"""),3.0)</f>
        <v>3</v>
      </c>
      <c r="F1009" s="139" t="str">
        <f>IFERROR(__xludf.DUMMYFUNCTION("""COMPUTED_VALUE"""),"Special")</f>
        <v>Special</v>
      </c>
      <c r="G1009" s="139"/>
      <c r="H1009" s="139"/>
      <c r="I1009" s="139">
        <f>IFERROR(__xludf.DUMMYFUNCTION("""COMPUTED_VALUE"""),146.0)</f>
        <v>146</v>
      </c>
      <c r="J1009" s="139">
        <f>IFERROR(__xludf.DUMMYFUNCTION("""COMPUTED_VALUE"""),0.0)</f>
        <v>0</v>
      </c>
      <c r="K1009" s="139">
        <f>IFERROR(__xludf.DUMMYFUNCTION("""COMPUTED_VALUE"""),0.0)</f>
        <v>0</v>
      </c>
      <c r="L1009" s="139"/>
      <c r="M1009" s="139" t="str">
        <f>IFERROR(__xludf.DUMMYFUNCTION("""COMPUTED_VALUE"""),"敵複数体に自身の攻撃ステータスの{chara_sur_00901_Special_00003_power_parameter}%のダメージ + 自身を{chara_sur_00901_Special_00003a_effective_duration}秒間、無敵状態にする")</f>
        <v>敵複数体に自身の攻撃ステータスの{chara_sur_00901_Special_00003_power_parameter}%のダメージ + 自身を{chara_sur_00901_Special_00003a_effective_duration}秒間、無敵状態にする</v>
      </c>
      <c r="N1009" s="139" t="str">
        <f>IFERROR(__xludf.DUMMYFUNCTION("""COMPUTED_VALUE"""),"ステータスUP + 必殺ワザ性能UP")</f>
        <v>ステータスUP + 必殺ワザ性能UP</v>
      </c>
    </row>
    <row r="1010">
      <c r="A1010" s="139" t="str">
        <f>IFERROR(__xludf.DUMMYFUNCTION("""COMPUTED_VALUE"""),"e")</f>
        <v>e</v>
      </c>
      <c r="B1010" s="139">
        <f>IFERROR(__xludf.DUMMYFUNCTION("""COMPUTED_VALUE"""),2.0260302E8)</f>
        <v>202603020</v>
      </c>
      <c r="C1010" s="139" t="str">
        <f>IFERROR(__xludf.DUMMYFUNCTION("""COMPUTED_VALUE"""),"chara_sur_00901_Special_00004")</f>
        <v>chara_sur_00901_Special_00004</v>
      </c>
      <c r="D1010" s="139" t="str">
        <f>IFERROR(__xludf.DUMMYFUNCTION("""COMPUTED_VALUE"""),"chara_sur_00901")</f>
        <v>chara_sur_00901</v>
      </c>
      <c r="E1010" s="139">
        <f>IFERROR(__xludf.DUMMYFUNCTION("""COMPUTED_VALUE"""),4.0)</f>
        <v>4</v>
      </c>
      <c r="F1010" s="139" t="str">
        <f>IFERROR(__xludf.DUMMYFUNCTION("""COMPUTED_VALUE"""),"Special")</f>
        <v>Special</v>
      </c>
      <c r="G1010" s="139"/>
      <c r="H1010" s="139"/>
      <c r="I1010" s="139">
        <f>IFERROR(__xludf.DUMMYFUNCTION("""COMPUTED_VALUE"""),146.0)</f>
        <v>146</v>
      </c>
      <c r="J1010" s="139">
        <f>IFERROR(__xludf.DUMMYFUNCTION("""COMPUTED_VALUE"""),0.0)</f>
        <v>0</v>
      </c>
      <c r="K1010" s="139">
        <f>IFERROR(__xludf.DUMMYFUNCTION("""COMPUTED_VALUE"""),0.0)</f>
        <v>0</v>
      </c>
      <c r="L1010" s="139"/>
      <c r="M1010" s="139" t="str">
        <f>IFERROR(__xludf.DUMMYFUNCTION("""COMPUTED_VALUE"""),"敵複数体に自身の攻撃ステータスの{chara_sur_00901_Special_00004_power_parameter}%のダメージ + 自身を{chara_sur_00901_Special_00004a_effective_duration}秒間、無敵状態にする")</f>
        <v>敵複数体に自身の攻撃ステータスの{chara_sur_00901_Special_00004_power_parameter}%のダメージ + 自身を{chara_sur_00901_Special_00004a_effective_duration}秒間、無敵状態にする</v>
      </c>
      <c r="N1010" s="139" t="str">
        <f>IFERROR(__xludf.DUMMYFUNCTION("""COMPUTED_VALUE"""),"ステータスUP + 必殺ワザ性能UP")</f>
        <v>ステータスUP + 必殺ワザ性能UP</v>
      </c>
    </row>
    <row r="1011">
      <c r="A1011" s="139" t="str">
        <f>IFERROR(__xludf.DUMMYFUNCTION("""COMPUTED_VALUE"""),"e")</f>
        <v>e</v>
      </c>
      <c r="B1011" s="139">
        <f>IFERROR(__xludf.DUMMYFUNCTION("""COMPUTED_VALUE"""),2.0260302E8)</f>
        <v>202603020</v>
      </c>
      <c r="C1011" s="139" t="str">
        <f>IFERROR(__xludf.DUMMYFUNCTION("""COMPUTED_VALUE"""),"chara_sur_00901_Special_00005")</f>
        <v>chara_sur_00901_Special_00005</v>
      </c>
      <c r="D1011" s="139" t="str">
        <f>IFERROR(__xludf.DUMMYFUNCTION("""COMPUTED_VALUE"""),"chara_sur_00901")</f>
        <v>chara_sur_00901</v>
      </c>
      <c r="E1011" s="139">
        <f>IFERROR(__xludf.DUMMYFUNCTION("""COMPUTED_VALUE"""),5.0)</f>
        <v>5</v>
      </c>
      <c r="F1011" s="139" t="str">
        <f>IFERROR(__xludf.DUMMYFUNCTION("""COMPUTED_VALUE"""),"Special")</f>
        <v>Special</v>
      </c>
      <c r="G1011" s="139"/>
      <c r="H1011" s="139"/>
      <c r="I1011" s="139">
        <f>IFERROR(__xludf.DUMMYFUNCTION("""COMPUTED_VALUE"""),146.0)</f>
        <v>146</v>
      </c>
      <c r="J1011" s="139">
        <f>IFERROR(__xludf.DUMMYFUNCTION("""COMPUTED_VALUE"""),0.0)</f>
        <v>0</v>
      </c>
      <c r="K1011" s="139">
        <f>IFERROR(__xludf.DUMMYFUNCTION("""COMPUTED_VALUE"""),0.0)</f>
        <v>0</v>
      </c>
      <c r="L1011" s="139"/>
      <c r="M1011" s="139" t="str">
        <f>IFERROR(__xludf.DUMMYFUNCTION("""COMPUTED_VALUE"""),"敵複数体に自身の攻撃ステータスの{chara_sur_00901_Special_00005_power_parameter}%のダメージ + 自身を{chara_sur_00901_Special_00005a_effective_duration}秒間、無敵状態にする")</f>
        <v>敵複数体に自身の攻撃ステータスの{chara_sur_00901_Special_00005_power_parameter}%のダメージ + 自身を{chara_sur_00901_Special_00005a_effective_duration}秒間、無敵状態にする</v>
      </c>
      <c r="N1011" s="139" t="str">
        <f>IFERROR(__xludf.DUMMYFUNCTION("""COMPUTED_VALUE"""),"ステータスUP + 必殺ワザ性能UP")</f>
        <v>ステータスUP + 必殺ワザ性能UP</v>
      </c>
    </row>
    <row r="1012">
      <c r="A1012" s="139"/>
      <c r="B1012" s="139"/>
      <c r="C1012" s="139" t="str">
        <f>IFERROR(__xludf.DUMMYFUNCTION("""COMPUTED_VALUE"""),"chara_sur_00901_Special_00006")</f>
        <v>chara_sur_00901_Special_00006</v>
      </c>
      <c r="D1012" s="139" t="str">
        <f>IFERROR(__xludf.DUMMYFUNCTION("""COMPUTED_VALUE"""),"chara_sur_00901")</f>
        <v>chara_sur_00901</v>
      </c>
      <c r="E1012" s="139">
        <f>IFERROR(__xludf.DUMMYFUNCTION("""COMPUTED_VALUE"""),6.0)</f>
        <v>6</v>
      </c>
      <c r="F1012" s="139" t="str">
        <f>IFERROR(__xludf.DUMMYFUNCTION("""COMPUTED_VALUE"""),"Special")</f>
        <v>Special</v>
      </c>
      <c r="G1012" s="139"/>
      <c r="H1012" s="139"/>
      <c r="I1012" s="139">
        <f>IFERROR(__xludf.DUMMYFUNCTION("""COMPUTED_VALUE"""),146.0)</f>
        <v>146</v>
      </c>
      <c r="J1012" s="139">
        <f>IFERROR(__xludf.DUMMYFUNCTION("""COMPUTED_VALUE"""),66.0)</f>
        <v>66</v>
      </c>
      <c r="K1012" s="139">
        <f>IFERROR(__xludf.DUMMYFUNCTION("""COMPUTED_VALUE"""),0.0)</f>
        <v>0</v>
      </c>
      <c r="L1012" s="139"/>
      <c r="M1012" s="139"/>
      <c r="N1012" s="139"/>
    </row>
    <row r="1013">
      <c r="A1013" s="139"/>
      <c r="B1013" s="139"/>
      <c r="C1013" s="139" t="str">
        <f>IFERROR(__xludf.DUMMYFUNCTION("""COMPUTED_VALUE"""),"chara_sur_00901_Special_00007")</f>
        <v>chara_sur_00901_Special_00007</v>
      </c>
      <c r="D1013" s="139" t="str">
        <f>IFERROR(__xludf.DUMMYFUNCTION("""COMPUTED_VALUE"""),"chara_sur_00901")</f>
        <v>chara_sur_00901</v>
      </c>
      <c r="E1013" s="139">
        <f>IFERROR(__xludf.DUMMYFUNCTION("""COMPUTED_VALUE"""),7.0)</f>
        <v>7</v>
      </c>
      <c r="F1013" s="139" t="str">
        <f>IFERROR(__xludf.DUMMYFUNCTION("""COMPUTED_VALUE"""),"Special")</f>
        <v>Special</v>
      </c>
      <c r="G1013" s="139"/>
      <c r="H1013" s="139"/>
      <c r="I1013" s="139">
        <f>IFERROR(__xludf.DUMMYFUNCTION("""COMPUTED_VALUE"""),146.0)</f>
        <v>146</v>
      </c>
      <c r="J1013" s="139">
        <f>IFERROR(__xludf.DUMMYFUNCTION("""COMPUTED_VALUE"""),66.0)</f>
        <v>66</v>
      </c>
      <c r="K1013" s="139">
        <f>IFERROR(__xludf.DUMMYFUNCTION("""COMPUTED_VALUE"""),0.0)</f>
        <v>0</v>
      </c>
      <c r="L1013" s="139"/>
      <c r="M1013" s="139"/>
      <c r="N1013" s="139"/>
    </row>
    <row r="1014">
      <c r="A1014" s="139"/>
      <c r="B1014" s="139"/>
      <c r="C1014" s="139" t="str">
        <f>IFERROR(__xludf.DUMMYFUNCTION("""COMPUTED_VALUE"""),"chara_sur_00901_Special_00008")</f>
        <v>chara_sur_00901_Special_00008</v>
      </c>
      <c r="D1014" s="139" t="str">
        <f>IFERROR(__xludf.DUMMYFUNCTION("""COMPUTED_VALUE"""),"chara_sur_00901")</f>
        <v>chara_sur_00901</v>
      </c>
      <c r="E1014" s="139">
        <f>IFERROR(__xludf.DUMMYFUNCTION("""COMPUTED_VALUE"""),8.0)</f>
        <v>8</v>
      </c>
      <c r="F1014" s="139" t="str">
        <f>IFERROR(__xludf.DUMMYFUNCTION("""COMPUTED_VALUE"""),"Special")</f>
        <v>Special</v>
      </c>
      <c r="G1014" s="139"/>
      <c r="H1014" s="139"/>
      <c r="I1014" s="139">
        <f>IFERROR(__xludf.DUMMYFUNCTION("""COMPUTED_VALUE"""),146.0)</f>
        <v>146</v>
      </c>
      <c r="J1014" s="139">
        <f>IFERROR(__xludf.DUMMYFUNCTION("""COMPUTED_VALUE"""),66.0)</f>
        <v>66</v>
      </c>
      <c r="K1014" s="139">
        <f>IFERROR(__xludf.DUMMYFUNCTION("""COMPUTED_VALUE"""),0.0)</f>
        <v>0</v>
      </c>
      <c r="L1014" s="139"/>
      <c r="M1014" s="139"/>
      <c r="N1014" s="139"/>
    </row>
    <row r="1015">
      <c r="A1015" s="139"/>
      <c r="B1015" s="139"/>
      <c r="C1015" s="139" t="str">
        <f>IFERROR(__xludf.DUMMYFUNCTION("""COMPUTED_VALUE"""),"chara_sur_00901_Special_00009")</f>
        <v>chara_sur_00901_Special_00009</v>
      </c>
      <c r="D1015" s="139" t="str">
        <f>IFERROR(__xludf.DUMMYFUNCTION("""COMPUTED_VALUE"""),"chara_sur_00901")</f>
        <v>chara_sur_00901</v>
      </c>
      <c r="E1015" s="139">
        <f>IFERROR(__xludf.DUMMYFUNCTION("""COMPUTED_VALUE"""),9.0)</f>
        <v>9</v>
      </c>
      <c r="F1015" s="139" t="str">
        <f>IFERROR(__xludf.DUMMYFUNCTION("""COMPUTED_VALUE"""),"Special")</f>
        <v>Special</v>
      </c>
      <c r="G1015" s="139"/>
      <c r="H1015" s="139"/>
      <c r="I1015" s="139">
        <f>IFERROR(__xludf.DUMMYFUNCTION("""COMPUTED_VALUE"""),146.0)</f>
        <v>146</v>
      </c>
      <c r="J1015" s="139">
        <f>IFERROR(__xludf.DUMMYFUNCTION("""COMPUTED_VALUE"""),66.0)</f>
        <v>66</v>
      </c>
      <c r="K1015" s="139">
        <f>IFERROR(__xludf.DUMMYFUNCTION("""COMPUTED_VALUE"""),0.0)</f>
        <v>0</v>
      </c>
      <c r="L1015" s="139"/>
      <c r="M1015" s="139"/>
      <c r="N1015" s="139"/>
    </row>
    <row r="1016">
      <c r="A1016" s="139"/>
      <c r="B1016" s="139"/>
      <c r="C1016" s="139" t="str">
        <f>IFERROR(__xludf.DUMMYFUNCTION("""COMPUTED_VALUE"""),"chara_sur_00901_Special_00010")</f>
        <v>chara_sur_00901_Special_00010</v>
      </c>
      <c r="D1016" s="139" t="str">
        <f>IFERROR(__xludf.DUMMYFUNCTION("""COMPUTED_VALUE"""),"chara_sur_00901")</f>
        <v>chara_sur_00901</v>
      </c>
      <c r="E1016" s="139">
        <f>IFERROR(__xludf.DUMMYFUNCTION("""COMPUTED_VALUE"""),10.0)</f>
        <v>10</v>
      </c>
      <c r="F1016" s="139" t="str">
        <f>IFERROR(__xludf.DUMMYFUNCTION("""COMPUTED_VALUE"""),"Special")</f>
        <v>Special</v>
      </c>
      <c r="G1016" s="139"/>
      <c r="H1016" s="139"/>
      <c r="I1016" s="139">
        <f>IFERROR(__xludf.DUMMYFUNCTION("""COMPUTED_VALUE"""),146.0)</f>
        <v>146</v>
      </c>
      <c r="J1016" s="139">
        <f>IFERROR(__xludf.DUMMYFUNCTION("""COMPUTED_VALUE"""),66.0)</f>
        <v>66</v>
      </c>
      <c r="K1016" s="139">
        <f>IFERROR(__xludf.DUMMYFUNCTION("""COMPUTED_VALUE"""),0.0)</f>
        <v>0</v>
      </c>
      <c r="L1016" s="139"/>
      <c r="M1016" s="139"/>
      <c r="N1016" s="139"/>
    </row>
    <row r="1017">
      <c r="A1017" s="139" t="str">
        <f>IFERROR(__xludf.DUMMYFUNCTION("""COMPUTED_VALUE"""),"e")</f>
        <v>e</v>
      </c>
      <c r="B1017" s="139">
        <f>IFERROR(__xludf.DUMMYFUNCTION("""COMPUTED_VALUE"""),2.02603025E8)</f>
        <v>202603025</v>
      </c>
      <c r="C1017" s="139" t="str">
        <f>IFERROR(__xludf.DUMMYFUNCTION("""COMPUTED_VALUE"""),"chara_kai_00701_Normal_00000")</f>
        <v>chara_kai_00701_Normal_00000</v>
      </c>
      <c r="D1017" s="139" t="str">
        <f>IFERROR(__xludf.DUMMYFUNCTION("""COMPUTED_VALUE"""),"chara_kai_00701")</f>
        <v>chara_kai_00701</v>
      </c>
      <c r="E1017" s="139">
        <f>IFERROR(__xludf.DUMMYFUNCTION("""COMPUTED_VALUE"""),0.0)</f>
        <v>0</v>
      </c>
      <c r="F1017" s="139" t="str">
        <f>IFERROR(__xludf.DUMMYFUNCTION("""COMPUTED_VALUE"""),"Normal")</f>
        <v>Normal</v>
      </c>
      <c r="G1017" s="139"/>
      <c r="H1017" s="139"/>
      <c r="I1017" s="139">
        <f>IFERROR(__xludf.DUMMYFUNCTION("""COMPUTED_VALUE"""),65.0)</f>
        <v>65</v>
      </c>
      <c r="J1017" s="139">
        <f>IFERROR(__xludf.DUMMYFUNCTION("""COMPUTED_VALUE"""),7.0)</f>
        <v>7</v>
      </c>
      <c r="K1017" s="139">
        <f>IFERROR(__xludf.DUMMYFUNCTION("""COMPUTED_VALUE"""),100.0)</f>
        <v>100</v>
      </c>
      <c r="L1017" s="139"/>
      <c r="M1017" s="139"/>
      <c r="N1017" s="139"/>
    </row>
    <row r="1018">
      <c r="A1018" s="139" t="str">
        <f>IFERROR(__xludf.DUMMYFUNCTION("""COMPUTED_VALUE"""),"e")</f>
        <v>e</v>
      </c>
      <c r="B1018" s="139">
        <f>IFERROR(__xludf.DUMMYFUNCTION("""COMPUTED_VALUE"""),2.02603025E8)</f>
        <v>202603025</v>
      </c>
      <c r="C1018" s="139" t="str">
        <f>IFERROR(__xludf.DUMMYFUNCTION("""COMPUTED_VALUE"""),"chara_kai_00701_Special_00001")</f>
        <v>chara_kai_00701_Special_00001</v>
      </c>
      <c r="D1018" s="139" t="str">
        <f>IFERROR(__xludf.DUMMYFUNCTION("""COMPUTED_VALUE"""),"chara_kai_00701")</f>
        <v>chara_kai_00701</v>
      </c>
      <c r="E1018" s="139">
        <f>IFERROR(__xludf.DUMMYFUNCTION("""COMPUTED_VALUE"""),1.0)</f>
        <v>1</v>
      </c>
      <c r="F1018" s="139" t="str">
        <f>IFERROR(__xludf.DUMMYFUNCTION("""COMPUTED_VALUE"""),"Special")</f>
        <v>Special</v>
      </c>
      <c r="G1018" s="139"/>
      <c r="H1018" s="139"/>
      <c r="I1018" s="139">
        <f>IFERROR(__xludf.DUMMYFUNCTION("""COMPUTED_VALUE"""),144.0)</f>
        <v>144</v>
      </c>
      <c r="J1018" s="139">
        <f>IFERROR(__xludf.DUMMYFUNCTION("""COMPUTED_VALUE"""),60.0)</f>
        <v>60</v>
      </c>
      <c r="K1018" s="139">
        <f>IFERROR(__xludf.DUMMYFUNCTION("""COMPUTED_VALUE"""),0.0)</f>
        <v>0</v>
      </c>
      <c r="L1018" s="139"/>
      <c r="M1018" s="139" t="str">
        <f>IFERROR(__xludf.DUMMYFUNCTION("""COMPUTED_VALUE"""),"敵複数体に自身の攻撃ステータスの{chara_kai_00701_Special_00001_power_parameter}%のダメージ + 攻撃がヒットした場合、敵のプラス効果をすべて解除 + 自身の攻撃を40秒間、3%UP")</f>
        <v>敵複数体に自身の攻撃ステータスの{chara_kai_00701_Special_00001_power_parameter}%のダメージ + 攻撃がヒットした場合、敵のプラス効果をすべて解除 + 自身の攻撃を40秒間、3%UP</v>
      </c>
      <c r="N1018" s="139"/>
    </row>
    <row r="1019">
      <c r="A1019" s="139" t="str">
        <f>IFERROR(__xludf.DUMMYFUNCTION("""COMPUTED_VALUE"""),"e")</f>
        <v>e</v>
      </c>
      <c r="B1019" s="139">
        <f>IFERROR(__xludf.DUMMYFUNCTION("""COMPUTED_VALUE"""),2.02603025E8)</f>
        <v>202603025</v>
      </c>
      <c r="C1019" s="139" t="str">
        <f>IFERROR(__xludf.DUMMYFUNCTION("""COMPUTED_VALUE"""),"chara_kai_00701_Special_00002")</f>
        <v>chara_kai_00701_Special_00002</v>
      </c>
      <c r="D1019" s="139" t="str">
        <f>IFERROR(__xludf.DUMMYFUNCTION("""COMPUTED_VALUE"""),"chara_kai_00701")</f>
        <v>chara_kai_00701</v>
      </c>
      <c r="E1019" s="139">
        <f>IFERROR(__xludf.DUMMYFUNCTION("""COMPUTED_VALUE"""),2.0)</f>
        <v>2</v>
      </c>
      <c r="F1019" s="139" t="str">
        <f>IFERROR(__xludf.DUMMYFUNCTION("""COMPUTED_VALUE"""),"Special")</f>
        <v>Special</v>
      </c>
      <c r="G1019" s="139"/>
      <c r="H1019" s="139"/>
      <c r="I1019" s="139">
        <f>IFERROR(__xludf.DUMMYFUNCTION("""COMPUTED_VALUE"""),144.0)</f>
        <v>144</v>
      </c>
      <c r="J1019" s="139">
        <f>IFERROR(__xludf.DUMMYFUNCTION("""COMPUTED_VALUE"""),60.0)</f>
        <v>60</v>
      </c>
      <c r="K1019" s="139">
        <f>IFERROR(__xludf.DUMMYFUNCTION("""COMPUTED_VALUE"""),0.0)</f>
        <v>0</v>
      </c>
      <c r="L1019" s="139"/>
      <c r="M1019" s="139" t="str">
        <f>IFERROR(__xludf.DUMMYFUNCTION("""COMPUTED_VALUE"""),"敵複数体に自身の攻撃ステータスの{chara_kai_00701_Special_00002_power_parameter}%のダメージ + 攻撃がヒットした場合、敵のプラス効果をすべて解除 + 自身へのマイナス効果を最大1個解除 + 自身の攻撃を40秒間、5%UP")</f>
        <v>敵複数体に自身の攻撃ステータスの{chara_kai_00701_Special_00002_power_parameter}%のダメージ + 攻撃がヒットした場合、敵のプラス効果をすべて解除 + 自身へのマイナス効果を最大1個解除 + 自身の攻撃を40秒間、5%UP</v>
      </c>
      <c r="N1019" s="139" t="str">
        <f>IFERROR(__xludf.DUMMYFUNCTION("""COMPUTED_VALUE"""),"ステータスUP + 必殺ワザ性能UP")</f>
        <v>ステータスUP + 必殺ワザ性能UP</v>
      </c>
    </row>
    <row r="1020">
      <c r="A1020" s="139" t="str">
        <f>IFERROR(__xludf.DUMMYFUNCTION("""COMPUTED_VALUE"""),"e")</f>
        <v>e</v>
      </c>
      <c r="B1020" s="139">
        <f>IFERROR(__xludf.DUMMYFUNCTION("""COMPUTED_VALUE"""),2.02603025E8)</f>
        <v>202603025</v>
      </c>
      <c r="C1020" s="139" t="str">
        <f>IFERROR(__xludf.DUMMYFUNCTION("""COMPUTED_VALUE"""),"chara_kai_00701_Special_00003")</f>
        <v>chara_kai_00701_Special_00003</v>
      </c>
      <c r="D1020" s="139" t="str">
        <f>IFERROR(__xludf.DUMMYFUNCTION("""COMPUTED_VALUE"""),"chara_kai_00701")</f>
        <v>chara_kai_00701</v>
      </c>
      <c r="E1020" s="139">
        <f>IFERROR(__xludf.DUMMYFUNCTION("""COMPUTED_VALUE"""),3.0)</f>
        <v>3</v>
      </c>
      <c r="F1020" s="139" t="str">
        <f>IFERROR(__xludf.DUMMYFUNCTION("""COMPUTED_VALUE"""),"Special")</f>
        <v>Special</v>
      </c>
      <c r="G1020" s="139"/>
      <c r="H1020" s="139"/>
      <c r="I1020" s="139">
        <f>IFERROR(__xludf.DUMMYFUNCTION("""COMPUTED_VALUE"""),144.0)</f>
        <v>144</v>
      </c>
      <c r="J1020" s="139">
        <f>IFERROR(__xludf.DUMMYFUNCTION("""COMPUTED_VALUE"""),60.0)</f>
        <v>60</v>
      </c>
      <c r="K1020" s="139">
        <f>IFERROR(__xludf.DUMMYFUNCTION("""COMPUTED_VALUE"""),0.0)</f>
        <v>0</v>
      </c>
      <c r="L1020" s="139"/>
      <c r="M1020" s="139" t="str">
        <f>IFERROR(__xludf.DUMMYFUNCTION("""COMPUTED_VALUE"""),"敵複数体に自身の攻撃ステータスの{chara_kai_00701_Special_00003_power_parameter}%のダメージ + 攻撃がヒットした場合、敵のプラス効果をすべて解除 + 自身へのマイナス効果を最大2個解除 + 自身の攻撃を40秒間、7%UP")</f>
        <v>敵複数体に自身の攻撃ステータスの{chara_kai_00701_Special_00003_power_parameter}%のダメージ + 攻撃がヒットした場合、敵のプラス効果をすべて解除 + 自身へのマイナス効果を最大2個解除 + 自身の攻撃を40秒間、7%UP</v>
      </c>
      <c r="N1020" s="139" t="str">
        <f>IFERROR(__xludf.DUMMYFUNCTION("""COMPUTED_VALUE"""),"ステータスUP + 必殺ワザ性能UP")</f>
        <v>ステータスUP + 必殺ワザ性能UP</v>
      </c>
    </row>
    <row r="1021">
      <c r="A1021" s="139" t="str">
        <f>IFERROR(__xludf.DUMMYFUNCTION("""COMPUTED_VALUE"""),"e")</f>
        <v>e</v>
      </c>
      <c r="B1021" s="139">
        <f>IFERROR(__xludf.DUMMYFUNCTION("""COMPUTED_VALUE"""),2.02603025E8)</f>
        <v>202603025</v>
      </c>
      <c r="C1021" s="139" t="str">
        <f>IFERROR(__xludf.DUMMYFUNCTION("""COMPUTED_VALUE"""),"chara_kai_00701_Special_00004")</f>
        <v>chara_kai_00701_Special_00004</v>
      </c>
      <c r="D1021" s="139" t="str">
        <f>IFERROR(__xludf.DUMMYFUNCTION("""COMPUTED_VALUE"""),"chara_kai_00701")</f>
        <v>chara_kai_00701</v>
      </c>
      <c r="E1021" s="139">
        <f>IFERROR(__xludf.DUMMYFUNCTION("""COMPUTED_VALUE"""),4.0)</f>
        <v>4</v>
      </c>
      <c r="F1021" s="139" t="str">
        <f>IFERROR(__xludf.DUMMYFUNCTION("""COMPUTED_VALUE"""),"Special")</f>
        <v>Special</v>
      </c>
      <c r="G1021" s="139"/>
      <c r="H1021" s="139"/>
      <c r="I1021" s="139">
        <f>IFERROR(__xludf.DUMMYFUNCTION("""COMPUTED_VALUE"""),144.0)</f>
        <v>144</v>
      </c>
      <c r="J1021" s="139">
        <f>IFERROR(__xludf.DUMMYFUNCTION("""COMPUTED_VALUE"""),60.0)</f>
        <v>60</v>
      </c>
      <c r="K1021" s="139">
        <f>IFERROR(__xludf.DUMMYFUNCTION("""COMPUTED_VALUE"""),0.0)</f>
        <v>0</v>
      </c>
      <c r="L1021" s="139"/>
      <c r="M1021" s="139" t="str">
        <f>IFERROR(__xludf.DUMMYFUNCTION("""COMPUTED_VALUE"""),"敵複数体に自身の攻撃ステータスの{chara_kai_00701_Special_00004_power_parameter}%のダメージ + 攻撃がヒットした場合、敵のプラス効果をすべて解除 + 自身へのマイナス効果を最大3個解除 + 自身の攻撃を40秒間、9%UP")</f>
        <v>敵複数体に自身の攻撃ステータスの{chara_kai_00701_Special_00004_power_parameter}%のダメージ + 攻撃がヒットした場合、敵のプラス効果をすべて解除 + 自身へのマイナス効果を最大3個解除 + 自身の攻撃を40秒間、9%UP</v>
      </c>
      <c r="N1021" s="139" t="str">
        <f>IFERROR(__xludf.DUMMYFUNCTION("""COMPUTED_VALUE"""),"ステータスUP + 必殺ワザ性能UP")</f>
        <v>ステータスUP + 必殺ワザ性能UP</v>
      </c>
    </row>
    <row r="1022">
      <c r="A1022" s="139" t="str">
        <f>IFERROR(__xludf.DUMMYFUNCTION("""COMPUTED_VALUE"""),"e")</f>
        <v>e</v>
      </c>
      <c r="B1022" s="139">
        <f>IFERROR(__xludf.DUMMYFUNCTION("""COMPUTED_VALUE"""),2.02603025E8)</f>
        <v>202603025</v>
      </c>
      <c r="C1022" s="139" t="str">
        <f>IFERROR(__xludf.DUMMYFUNCTION("""COMPUTED_VALUE"""),"chara_kai_00701_Special_00005")</f>
        <v>chara_kai_00701_Special_00005</v>
      </c>
      <c r="D1022" s="139" t="str">
        <f>IFERROR(__xludf.DUMMYFUNCTION("""COMPUTED_VALUE"""),"chara_kai_00701")</f>
        <v>chara_kai_00701</v>
      </c>
      <c r="E1022" s="139">
        <f>IFERROR(__xludf.DUMMYFUNCTION("""COMPUTED_VALUE"""),5.0)</f>
        <v>5</v>
      </c>
      <c r="F1022" s="139" t="str">
        <f>IFERROR(__xludf.DUMMYFUNCTION("""COMPUTED_VALUE"""),"Special")</f>
        <v>Special</v>
      </c>
      <c r="G1022" s="139"/>
      <c r="H1022" s="139"/>
      <c r="I1022" s="139">
        <f>IFERROR(__xludf.DUMMYFUNCTION("""COMPUTED_VALUE"""),144.0)</f>
        <v>144</v>
      </c>
      <c r="J1022" s="139">
        <f>IFERROR(__xludf.DUMMYFUNCTION("""COMPUTED_VALUE"""),60.0)</f>
        <v>60</v>
      </c>
      <c r="K1022" s="139">
        <f>IFERROR(__xludf.DUMMYFUNCTION("""COMPUTED_VALUE"""),0.0)</f>
        <v>0</v>
      </c>
      <c r="L1022" s="139"/>
      <c r="M1022" s="139" t="str">
        <f>IFERROR(__xludf.DUMMYFUNCTION("""COMPUTED_VALUE"""),"敵複数体に自身の攻撃ステータスの{chara_kai_00701_Special_00005_power_parameter}%のダメージ + 攻撃がヒットした場合、敵のプラス効果をすべて解除 + 自身へのマイナス効果をすべて解除 + 自身の攻撃を40秒間、12%UP")</f>
        <v>敵複数体に自身の攻撃ステータスの{chara_kai_00701_Special_00005_power_parameter}%のダメージ + 攻撃がヒットした場合、敵のプラス効果をすべて解除 + 自身へのマイナス効果をすべて解除 + 自身の攻撃を40秒間、12%UP</v>
      </c>
      <c r="N1022" s="139" t="str">
        <f>IFERROR(__xludf.DUMMYFUNCTION("""COMPUTED_VALUE"""),"ステータスUP + 必殺ワザ性能UP")</f>
        <v>ステータスUP + 必殺ワザ性能UP</v>
      </c>
    </row>
    <row r="1023">
      <c r="A1023" s="139"/>
      <c r="B1023" s="139"/>
      <c r="C1023" s="139" t="str">
        <f>IFERROR(__xludf.DUMMYFUNCTION("""COMPUTED_VALUE"""),"chara_kai_00701_Special_00006")</f>
        <v>chara_kai_00701_Special_00006</v>
      </c>
      <c r="D1023" s="139" t="str">
        <f>IFERROR(__xludf.DUMMYFUNCTION("""COMPUTED_VALUE"""),"chara_kai_00701")</f>
        <v>chara_kai_00701</v>
      </c>
      <c r="E1023" s="139">
        <f>IFERROR(__xludf.DUMMYFUNCTION("""COMPUTED_VALUE"""),6.0)</f>
        <v>6</v>
      </c>
      <c r="F1023" s="139" t="str">
        <f>IFERROR(__xludf.DUMMYFUNCTION("""COMPUTED_VALUE"""),"Special")</f>
        <v>Special</v>
      </c>
      <c r="G1023" s="139"/>
      <c r="H1023" s="139"/>
      <c r="I1023" s="139">
        <f>IFERROR(__xludf.DUMMYFUNCTION("""COMPUTED_VALUE"""),144.0)</f>
        <v>144</v>
      </c>
      <c r="J1023" s="139">
        <f>IFERROR(__xludf.DUMMYFUNCTION("""COMPUTED_VALUE"""),60.0)</f>
        <v>60</v>
      </c>
      <c r="K1023" s="139">
        <f>IFERROR(__xludf.DUMMYFUNCTION("""COMPUTED_VALUE"""),0.0)</f>
        <v>0</v>
      </c>
      <c r="L1023" s="139"/>
      <c r="M1023" s="139"/>
      <c r="N1023" s="139"/>
    </row>
    <row r="1024">
      <c r="A1024" s="139"/>
      <c r="B1024" s="139"/>
      <c r="C1024" s="139" t="str">
        <f>IFERROR(__xludf.DUMMYFUNCTION("""COMPUTED_VALUE"""),"chara_kai_00701_Special_00007")</f>
        <v>chara_kai_00701_Special_00007</v>
      </c>
      <c r="D1024" s="139" t="str">
        <f>IFERROR(__xludf.DUMMYFUNCTION("""COMPUTED_VALUE"""),"chara_kai_00701")</f>
        <v>chara_kai_00701</v>
      </c>
      <c r="E1024" s="139">
        <f>IFERROR(__xludf.DUMMYFUNCTION("""COMPUTED_VALUE"""),7.0)</f>
        <v>7</v>
      </c>
      <c r="F1024" s="139" t="str">
        <f>IFERROR(__xludf.DUMMYFUNCTION("""COMPUTED_VALUE"""),"Special")</f>
        <v>Special</v>
      </c>
      <c r="G1024" s="139"/>
      <c r="H1024" s="139"/>
      <c r="I1024" s="139">
        <f>IFERROR(__xludf.DUMMYFUNCTION("""COMPUTED_VALUE"""),144.0)</f>
        <v>144</v>
      </c>
      <c r="J1024" s="139">
        <f>IFERROR(__xludf.DUMMYFUNCTION("""COMPUTED_VALUE"""),60.0)</f>
        <v>60</v>
      </c>
      <c r="K1024" s="139">
        <f>IFERROR(__xludf.DUMMYFUNCTION("""COMPUTED_VALUE"""),0.0)</f>
        <v>0</v>
      </c>
      <c r="L1024" s="139"/>
      <c r="M1024" s="139"/>
      <c r="N1024" s="139"/>
    </row>
    <row r="1025">
      <c r="A1025" s="139"/>
      <c r="B1025" s="139"/>
      <c r="C1025" s="139" t="str">
        <f>IFERROR(__xludf.DUMMYFUNCTION("""COMPUTED_VALUE"""),"chara_kai_00701_Special_00008")</f>
        <v>chara_kai_00701_Special_00008</v>
      </c>
      <c r="D1025" s="139" t="str">
        <f>IFERROR(__xludf.DUMMYFUNCTION("""COMPUTED_VALUE"""),"chara_kai_00701")</f>
        <v>chara_kai_00701</v>
      </c>
      <c r="E1025" s="139">
        <f>IFERROR(__xludf.DUMMYFUNCTION("""COMPUTED_VALUE"""),8.0)</f>
        <v>8</v>
      </c>
      <c r="F1025" s="139" t="str">
        <f>IFERROR(__xludf.DUMMYFUNCTION("""COMPUTED_VALUE"""),"Special")</f>
        <v>Special</v>
      </c>
      <c r="G1025" s="139"/>
      <c r="H1025" s="139"/>
      <c r="I1025" s="139">
        <f>IFERROR(__xludf.DUMMYFUNCTION("""COMPUTED_VALUE"""),144.0)</f>
        <v>144</v>
      </c>
      <c r="J1025" s="139">
        <f>IFERROR(__xludf.DUMMYFUNCTION("""COMPUTED_VALUE"""),60.0)</f>
        <v>60</v>
      </c>
      <c r="K1025" s="139">
        <f>IFERROR(__xludf.DUMMYFUNCTION("""COMPUTED_VALUE"""),0.0)</f>
        <v>0</v>
      </c>
      <c r="L1025" s="139"/>
      <c r="M1025" s="139"/>
      <c r="N1025" s="139"/>
    </row>
    <row r="1026">
      <c r="A1026" s="139"/>
      <c r="B1026" s="139"/>
      <c r="C1026" s="139" t="str">
        <f>IFERROR(__xludf.DUMMYFUNCTION("""COMPUTED_VALUE"""),"chara_kai_00701_Special_00009")</f>
        <v>chara_kai_00701_Special_00009</v>
      </c>
      <c r="D1026" s="139" t="str">
        <f>IFERROR(__xludf.DUMMYFUNCTION("""COMPUTED_VALUE"""),"chara_kai_00701")</f>
        <v>chara_kai_00701</v>
      </c>
      <c r="E1026" s="139">
        <f>IFERROR(__xludf.DUMMYFUNCTION("""COMPUTED_VALUE"""),9.0)</f>
        <v>9</v>
      </c>
      <c r="F1026" s="139" t="str">
        <f>IFERROR(__xludf.DUMMYFUNCTION("""COMPUTED_VALUE"""),"Special")</f>
        <v>Special</v>
      </c>
      <c r="G1026" s="139"/>
      <c r="H1026" s="139"/>
      <c r="I1026" s="139">
        <f>IFERROR(__xludf.DUMMYFUNCTION("""COMPUTED_VALUE"""),144.0)</f>
        <v>144</v>
      </c>
      <c r="J1026" s="139">
        <f>IFERROR(__xludf.DUMMYFUNCTION("""COMPUTED_VALUE"""),60.0)</f>
        <v>60</v>
      </c>
      <c r="K1026" s="139">
        <f>IFERROR(__xludf.DUMMYFUNCTION("""COMPUTED_VALUE"""),0.0)</f>
        <v>0</v>
      </c>
      <c r="L1026" s="139"/>
      <c r="M1026" s="139"/>
      <c r="N1026" s="139"/>
    </row>
    <row r="1027">
      <c r="A1027" s="139"/>
      <c r="B1027" s="139"/>
      <c r="C1027" s="139" t="str">
        <f>IFERROR(__xludf.DUMMYFUNCTION("""COMPUTED_VALUE"""),"chara_kai_00701_Special_00010")</f>
        <v>chara_kai_00701_Special_00010</v>
      </c>
      <c r="D1027" s="139" t="str">
        <f>IFERROR(__xludf.DUMMYFUNCTION("""COMPUTED_VALUE"""),"chara_kai_00701")</f>
        <v>chara_kai_00701</v>
      </c>
      <c r="E1027" s="139">
        <f>IFERROR(__xludf.DUMMYFUNCTION("""COMPUTED_VALUE"""),10.0)</f>
        <v>10</v>
      </c>
      <c r="F1027" s="139" t="str">
        <f>IFERROR(__xludf.DUMMYFUNCTION("""COMPUTED_VALUE"""),"Special")</f>
        <v>Special</v>
      </c>
      <c r="G1027" s="139"/>
      <c r="H1027" s="139"/>
      <c r="I1027" s="139">
        <f>IFERROR(__xludf.DUMMYFUNCTION("""COMPUTED_VALUE"""),144.0)</f>
        <v>144</v>
      </c>
      <c r="J1027" s="139">
        <f>IFERROR(__xludf.DUMMYFUNCTION("""COMPUTED_VALUE"""),60.0)</f>
        <v>60</v>
      </c>
      <c r="K1027" s="139">
        <f>IFERROR(__xludf.DUMMYFUNCTION("""COMPUTED_VALUE"""),0.0)</f>
        <v>0</v>
      </c>
      <c r="L1027" s="139"/>
      <c r="M1027" s="139"/>
      <c r="N1027" s="139"/>
    </row>
    <row r="1028">
      <c r="A1028" s="139" t="str">
        <f>IFERROR(__xludf.DUMMYFUNCTION("""COMPUTED_VALUE"""),"e")</f>
        <v>e</v>
      </c>
      <c r="B1028" s="139">
        <f>IFERROR(__xludf.DUMMYFUNCTION("""COMPUTED_VALUE"""),2.0260302E8)</f>
        <v>202603020</v>
      </c>
      <c r="C1028" s="139" t="str">
        <f>IFERROR(__xludf.DUMMYFUNCTION("""COMPUTED_VALUE"""),"chara_kai_00102_Normal_00000")</f>
        <v>chara_kai_00102_Normal_00000</v>
      </c>
      <c r="D1028" s="139" t="str">
        <f>IFERROR(__xludf.DUMMYFUNCTION("""COMPUTED_VALUE"""),"chara_kai_00102")</f>
        <v>chara_kai_00102</v>
      </c>
      <c r="E1028" s="139">
        <f>IFERROR(__xludf.DUMMYFUNCTION("""COMPUTED_VALUE"""),0.0)</f>
        <v>0</v>
      </c>
      <c r="F1028" s="139" t="str">
        <f>IFERROR(__xludf.DUMMYFUNCTION("""COMPUTED_VALUE"""),"Normal")</f>
        <v>Normal</v>
      </c>
      <c r="G1028" s="139"/>
      <c r="H1028" s="139"/>
      <c r="I1028" s="139">
        <f>IFERROR(__xludf.DUMMYFUNCTION("""COMPUTED_VALUE"""),89.0)</f>
        <v>89</v>
      </c>
      <c r="J1028" s="139">
        <f>IFERROR(__xludf.DUMMYFUNCTION("""COMPUTED_VALUE"""),0.0)</f>
        <v>0</v>
      </c>
      <c r="K1028" s="139">
        <f>IFERROR(__xludf.DUMMYFUNCTION("""COMPUTED_VALUE"""),150.0)</f>
        <v>150</v>
      </c>
      <c r="L1028" s="139"/>
      <c r="M1028" s="139"/>
      <c r="N1028" s="139"/>
    </row>
    <row r="1029">
      <c r="A1029" s="139" t="str">
        <f>IFERROR(__xludf.DUMMYFUNCTION("""COMPUTED_VALUE"""),"e")</f>
        <v>e</v>
      </c>
      <c r="B1029" s="139">
        <f>IFERROR(__xludf.DUMMYFUNCTION("""COMPUTED_VALUE"""),2.0260302E8)</f>
        <v>202603020</v>
      </c>
      <c r="C1029" s="139" t="str">
        <f>IFERROR(__xludf.DUMMYFUNCTION("""COMPUTED_VALUE"""),"chara_kai_00102_Special_00001")</f>
        <v>chara_kai_00102_Special_00001</v>
      </c>
      <c r="D1029" s="139" t="str">
        <f>IFERROR(__xludf.DUMMYFUNCTION("""COMPUTED_VALUE"""),"chara_kai_00102")</f>
        <v>chara_kai_00102</v>
      </c>
      <c r="E1029" s="139">
        <f>IFERROR(__xludf.DUMMYFUNCTION("""COMPUTED_VALUE"""),1.0)</f>
        <v>1</v>
      </c>
      <c r="F1029" s="139" t="str">
        <f>IFERROR(__xludf.DUMMYFUNCTION("""COMPUTED_VALUE"""),"Special")</f>
        <v>Special</v>
      </c>
      <c r="G1029" s="139"/>
      <c r="H1029" s="139"/>
      <c r="I1029" s="139">
        <f>IFERROR(__xludf.DUMMYFUNCTION("""COMPUTED_VALUE"""),159.0)</f>
        <v>159</v>
      </c>
      <c r="J1029" s="139">
        <f>IFERROR(__xludf.DUMMYFUNCTION("""COMPUTED_VALUE"""),77.0)</f>
        <v>77</v>
      </c>
      <c r="K1029" s="139">
        <f>IFERROR(__xludf.DUMMYFUNCTION("""COMPUTED_VALUE"""),0.0)</f>
        <v>0</v>
      </c>
      <c r="L1029" s="139"/>
      <c r="M1029" s="139" t="str">
        <f>IFERROR(__xludf.DUMMYFUNCTION("""COMPUTED_VALUE"""),"敵複数体に自身の攻撃ステータスの{chara_kai_00102_Special_00001_power_parameter}%のダメージ + 攻撃がヒットした場合、敵を1秒間、氷結状態にする")</f>
        <v>敵複数体に自身の攻撃ステータスの{chara_kai_00102_Special_00001_power_parameter}%のダメージ + 攻撃がヒットした場合、敵を1秒間、氷結状態にする</v>
      </c>
      <c r="N1029" s="139"/>
    </row>
    <row r="1030">
      <c r="A1030" s="139" t="str">
        <f>IFERROR(__xludf.DUMMYFUNCTION("""COMPUTED_VALUE"""),"e")</f>
        <v>e</v>
      </c>
      <c r="B1030" s="139">
        <f>IFERROR(__xludf.DUMMYFUNCTION("""COMPUTED_VALUE"""),2.0260302E8)</f>
        <v>202603020</v>
      </c>
      <c r="C1030" s="139" t="str">
        <f>IFERROR(__xludf.DUMMYFUNCTION("""COMPUTED_VALUE"""),"chara_kai_00102_Special_00002")</f>
        <v>chara_kai_00102_Special_00002</v>
      </c>
      <c r="D1030" s="139" t="str">
        <f>IFERROR(__xludf.DUMMYFUNCTION("""COMPUTED_VALUE"""),"chara_kai_00102")</f>
        <v>chara_kai_00102</v>
      </c>
      <c r="E1030" s="139">
        <f>IFERROR(__xludf.DUMMYFUNCTION("""COMPUTED_VALUE"""),2.0)</f>
        <v>2</v>
      </c>
      <c r="F1030" s="139" t="str">
        <f>IFERROR(__xludf.DUMMYFUNCTION("""COMPUTED_VALUE"""),"Special")</f>
        <v>Special</v>
      </c>
      <c r="G1030" s="139"/>
      <c r="H1030" s="139"/>
      <c r="I1030" s="139">
        <f>IFERROR(__xludf.DUMMYFUNCTION("""COMPUTED_VALUE"""),159.0)</f>
        <v>159</v>
      </c>
      <c r="J1030" s="139">
        <f>IFERROR(__xludf.DUMMYFUNCTION("""COMPUTED_VALUE"""),77.0)</f>
        <v>77</v>
      </c>
      <c r="K1030" s="139">
        <f>IFERROR(__xludf.DUMMYFUNCTION("""COMPUTED_VALUE"""),0.0)</f>
        <v>0</v>
      </c>
      <c r="L1030" s="139"/>
      <c r="M1030" s="139" t="str">
        <f>IFERROR(__xludf.DUMMYFUNCTION("""COMPUTED_VALUE"""),"敵複数体に自身の攻撃ステータスの{chara_kai_00102_Special_00002_power_parameter}%のダメージ + 攻撃がヒットした場合、敵を1.2秒間、氷結状態にする")</f>
        <v>敵複数体に自身の攻撃ステータスの{chara_kai_00102_Special_00002_power_parameter}%のダメージ + 攻撃がヒットした場合、敵を1.2秒間、氷結状態にする</v>
      </c>
      <c r="N1030" s="139" t="str">
        <f>IFERROR(__xludf.DUMMYFUNCTION("""COMPUTED_VALUE"""),"ステータスUP + 必殺ワザ性能UP")</f>
        <v>ステータスUP + 必殺ワザ性能UP</v>
      </c>
    </row>
    <row r="1031">
      <c r="A1031" s="139" t="str">
        <f>IFERROR(__xludf.DUMMYFUNCTION("""COMPUTED_VALUE"""),"e")</f>
        <v>e</v>
      </c>
      <c r="B1031" s="139">
        <f>IFERROR(__xludf.DUMMYFUNCTION("""COMPUTED_VALUE"""),2.0260302E8)</f>
        <v>202603020</v>
      </c>
      <c r="C1031" s="139" t="str">
        <f>IFERROR(__xludf.DUMMYFUNCTION("""COMPUTED_VALUE"""),"chara_kai_00102_Special_00003")</f>
        <v>chara_kai_00102_Special_00003</v>
      </c>
      <c r="D1031" s="139" t="str">
        <f>IFERROR(__xludf.DUMMYFUNCTION("""COMPUTED_VALUE"""),"chara_kai_00102")</f>
        <v>chara_kai_00102</v>
      </c>
      <c r="E1031" s="139">
        <f>IFERROR(__xludf.DUMMYFUNCTION("""COMPUTED_VALUE"""),3.0)</f>
        <v>3</v>
      </c>
      <c r="F1031" s="139" t="str">
        <f>IFERROR(__xludf.DUMMYFUNCTION("""COMPUTED_VALUE"""),"Special")</f>
        <v>Special</v>
      </c>
      <c r="G1031" s="139"/>
      <c r="H1031" s="139"/>
      <c r="I1031" s="139">
        <f>IFERROR(__xludf.DUMMYFUNCTION("""COMPUTED_VALUE"""),159.0)</f>
        <v>159</v>
      </c>
      <c r="J1031" s="139">
        <f>IFERROR(__xludf.DUMMYFUNCTION("""COMPUTED_VALUE"""),77.0)</f>
        <v>77</v>
      </c>
      <c r="K1031" s="139">
        <f>IFERROR(__xludf.DUMMYFUNCTION("""COMPUTED_VALUE"""),0.0)</f>
        <v>0</v>
      </c>
      <c r="L1031" s="139"/>
      <c r="M1031" s="139" t="str">
        <f>IFERROR(__xludf.DUMMYFUNCTION("""COMPUTED_VALUE"""),"敵複数体に自身の攻撃ステータスの{chara_kai_00102_Special_00003_power_parameter}%のダメージ + 攻撃がヒットした場合、敵を1.5秒間、氷結状態にする + 攻撃がヒットした場合、敵の攻撃を{chara_kai_00102_Special_00003_effective_duration}秒間、{chara_kai_00102_Special_00003_effect_parameter}%DOWN")</f>
        <v>敵複数体に自身の攻撃ステータスの{chara_kai_00102_Special_00003_power_parameter}%のダメージ + 攻撃がヒットした場合、敵を1.5秒間、氷結状態にする + 攻撃がヒットした場合、敵の攻撃を{chara_kai_00102_Special_00003_effective_duration}秒間、{chara_kai_00102_Special_00003_effect_parameter}%DOWN</v>
      </c>
      <c r="N1031" s="139" t="str">
        <f>IFERROR(__xludf.DUMMYFUNCTION("""COMPUTED_VALUE"""),"ステータスUP + 必殺ワザ性能UP")</f>
        <v>ステータスUP + 必殺ワザ性能UP</v>
      </c>
    </row>
    <row r="1032">
      <c r="A1032" s="139" t="str">
        <f>IFERROR(__xludf.DUMMYFUNCTION("""COMPUTED_VALUE"""),"e")</f>
        <v>e</v>
      </c>
      <c r="B1032" s="139">
        <f>IFERROR(__xludf.DUMMYFUNCTION("""COMPUTED_VALUE"""),2.0260302E8)</f>
        <v>202603020</v>
      </c>
      <c r="C1032" s="139" t="str">
        <f>IFERROR(__xludf.DUMMYFUNCTION("""COMPUTED_VALUE"""),"chara_kai_00102_Special_00004")</f>
        <v>chara_kai_00102_Special_00004</v>
      </c>
      <c r="D1032" s="139" t="str">
        <f>IFERROR(__xludf.DUMMYFUNCTION("""COMPUTED_VALUE"""),"chara_kai_00102")</f>
        <v>chara_kai_00102</v>
      </c>
      <c r="E1032" s="139">
        <f>IFERROR(__xludf.DUMMYFUNCTION("""COMPUTED_VALUE"""),4.0)</f>
        <v>4</v>
      </c>
      <c r="F1032" s="139" t="str">
        <f>IFERROR(__xludf.DUMMYFUNCTION("""COMPUTED_VALUE"""),"Special")</f>
        <v>Special</v>
      </c>
      <c r="G1032" s="139"/>
      <c r="H1032" s="139"/>
      <c r="I1032" s="139">
        <f>IFERROR(__xludf.DUMMYFUNCTION("""COMPUTED_VALUE"""),159.0)</f>
        <v>159</v>
      </c>
      <c r="J1032" s="139">
        <f>IFERROR(__xludf.DUMMYFUNCTION("""COMPUTED_VALUE"""),77.0)</f>
        <v>77</v>
      </c>
      <c r="K1032" s="139">
        <f>IFERROR(__xludf.DUMMYFUNCTION("""COMPUTED_VALUE"""),0.0)</f>
        <v>0</v>
      </c>
      <c r="L1032" s="139"/>
      <c r="M1032" s="139" t="str">
        <f>IFERROR(__xludf.DUMMYFUNCTION("""COMPUTED_VALUE"""),"敵複数体に自身の攻撃ステータスの{chara_kai_00102_Special_00004_power_parameter}%のダメージ + 攻撃がヒットした場合、敵を1.9秒間、氷結状態にする + 攻撃がヒットした場合、敵の攻撃を{chara_kai_00102_Special_00004_effective_duration}秒間、{chara_kai_00102_Special_00004_effect_parameter}%DOWN")</f>
        <v>敵複数体に自身の攻撃ステータスの{chara_kai_00102_Special_00004_power_parameter}%のダメージ + 攻撃がヒットした場合、敵を1.9秒間、氷結状態にする + 攻撃がヒットした場合、敵の攻撃を{chara_kai_00102_Special_00004_effective_duration}秒間、{chara_kai_00102_Special_00004_effect_parameter}%DOWN</v>
      </c>
      <c r="N1032" s="139" t="str">
        <f>IFERROR(__xludf.DUMMYFUNCTION("""COMPUTED_VALUE"""),"ステータスUP + 必殺ワザ性能UP")</f>
        <v>ステータスUP + 必殺ワザ性能UP</v>
      </c>
    </row>
    <row r="1033">
      <c r="A1033" s="139" t="str">
        <f>IFERROR(__xludf.DUMMYFUNCTION("""COMPUTED_VALUE"""),"e")</f>
        <v>e</v>
      </c>
      <c r="B1033" s="139">
        <f>IFERROR(__xludf.DUMMYFUNCTION("""COMPUTED_VALUE"""),2.0260302E8)</f>
        <v>202603020</v>
      </c>
      <c r="C1033" s="139" t="str">
        <f>IFERROR(__xludf.DUMMYFUNCTION("""COMPUTED_VALUE"""),"chara_kai_00102_Special_00005")</f>
        <v>chara_kai_00102_Special_00005</v>
      </c>
      <c r="D1033" s="139" t="str">
        <f>IFERROR(__xludf.DUMMYFUNCTION("""COMPUTED_VALUE"""),"chara_kai_00102")</f>
        <v>chara_kai_00102</v>
      </c>
      <c r="E1033" s="139">
        <f>IFERROR(__xludf.DUMMYFUNCTION("""COMPUTED_VALUE"""),5.0)</f>
        <v>5</v>
      </c>
      <c r="F1033" s="139" t="str">
        <f>IFERROR(__xludf.DUMMYFUNCTION("""COMPUTED_VALUE"""),"Special")</f>
        <v>Special</v>
      </c>
      <c r="G1033" s="139"/>
      <c r="H1033" s="139"/>
      <c r="I1033" s="139">
        <f>IFERROR(__xludf.DUMMYFUNCTION("""COMPUTED_VALUE"""),159.0)</f>
        <v>159</v>
      </c>
      <c r="J1033" s="139">
        <f>IFERROR(__xludf.DUMMYFUNCTION("""COMPUTED_VALUE"""),77.0)</f>
        <v>77</v>
      </c>
      <c r="K1033" s="139">
        <f>IFERROR(__xludf.DUMMYFUNCTION("""COMPUTED_VALUE"""),0.0)</f>
        <v>0</v>
      </c>
      <c r="L1033" s="139"/>
      <c r="M1033" s="139" t="str">
        <f>IFERROR(__xludf.DUMMYFUNCTION("""COMPUTED_VALUE"""),"敵複数体に自身の攻撃ステータスの{chara_kai_00102_Special_00005_power_parameter}%のダメージ + 攻撃がヒットした場合、敵を2.5秒間、氷結状態にする + 攻撃がヒットした場合、敵の攻撃を{chara_kai_00102_Special_00005_effective_duration}秒間、{chara_kai_00102_Special_00005_effect_parameter}%DOWN")</f>
        <v>敵複数体に自身の攻撃ステータスの{chara_kai_00102_Special_00005_power_parameter}%のダメージ + 攻撃がヒットした場合、敵を2.5秒間、氷結状態にする + 攻撃がヒットした場合、敵の攻撃を{chara_kai_00102_Special_00005_effective_duration}秒間、{chara_kai_00102_Special_00005_effect_parameter}%DOWN</v>
      </c>
      <c r="N1033" s="139" t="str">
        <f>IFERROR(__xludf.DUMMYFUNCTION("""COMPUTED_VALUE"""),"ステータスUP + 必殺ワザ性能UP")</f>
        <v>ステータスUP + 必殺ワザ性能UP</v>
      </c>
    </row>
    <row r="1034">
      <c r="A1034" s="139"/>
      <c r="B1034" s="139"/>
      <c r="C1034" s="139" t="str">
        <f>IFERROR(__xludf.DUMMYFUNCTION("""COMPUTED_VALUE"""),"chara_kai_00102_Special_00006")</f>
        <v>chara_kai_00102_Special_00006</v>
      </c>
      <c r="D1034" s="139" t="str">
        <f>IFERROR(__xludf.DUMMYFUNCTION("""COMPUTED_VALUE"""),"chara_kai_00102")</f>
        <v>chara_kai_00102</v>
      </c>
      <c r="E1034" s="139">
        <f>IFERROR(__xludf.DUMMYFUNCTION("""COMPUTED_VALUE"""),6.0)</f>
        <v>6</v>
      </c>
      <c r="F1034" s="139" t="str">
        <f>IFERROR(__xludf.DUMMYFUNCTION("""COMPUTED_VALUE"""),"Special")</f>
        <v>Special</v>
      </c>
      <c r="G1034" s="139"/>
      <c r="H1034" s="139"/>
      <c r="I1034" s="139">
        <f>IFERROR(__xludf.DUMMYFUNCTION("""COMPUTED_VALUE"""),159.0)</f>
        <v>159</v>
      </c>
      <c r="J1034" s="139">
        <f>IFERROR(__xludf.DUMMYFUNCTION("""COMPUTED_VALUE"""),77.0)</f>
        <v>77</v>
      </c>
      <c r="K1034" s="139">
        <f>IFERROR(__xludf.DUMMYFUNCTION("""COMPUTED_VALUE"""),0.0)</f>
        <v>0</v>
      </c>
      <c r="L1034" s="139"/>
      <c r="M1034" s="139"/>
      <c r="N1034" s="139"/>
    </row>
    <row r="1035">
      <c r="A1035" s="139"/>
      <c r="B1035" s="139"/>
      <c r="C1035" s="139" t="str">
        <f>IFERROR(__xludf.DUMMYFUNCTION("""COMPUTED_VALUE"""),"chara_kai_00102_Special_00007")</f>
        <v>chara_kai_00102_Special_00007</v>
      </c>
      <c r="D1035" s="139" t="str">
        <f>IFERROR(__xludf.DUMMYFUNCTION("""COMPUTED_VALUE"""),"chara_kai_00102")</f>
        <v>chara_kai_00102</v>
      </c>
      <c r="E1035" s="139">
        <f>IFERROR(__xludf.DUMMYFUNCTION("""COMPUTED_VALUE"""),7.0)</f>
        <v>7</v>
      </c>
      <c r="F1035" s="139" t="str">
        <f>IFERROR(__xludf.DUMMYFUNCTION("""COMPUTED_VALUE"""),"Special")</f>
        <v>Special</v>
      </c>
      <c r="G1035" s="139"/>
      <c r="H1035" s="139"/>
      <c r="I1035" s="139">
        <f>IFERROR(__xludf.DUMMYFUNCTION("""COMPUTED_VALUE"""),159.0)</f>
        <v>159</v>
      </c>
      <c r="J1035" s="139">
        <f>IFERROR(__xludf.DUMMYFUNCTION("""COMPUTED_VALUE"""),77.0)</f>
        <v>77</v>
      </c>
      <c r="K1035" s="139">
        <f>IFERROR(__xludf.DUMMYFUNCTION("""COMPUTED_VALUE"""),0.0)</f>
        <v>0</v>
      </c>
      <c r="L1035" s="139"/>
      <c r="M1035" s="139"/>
      <c r="N1035" s="139"/>
    </row>
    <row r="1036">
      <c r="A1036" s="139"/>
      <c r="B1036" s="139"/>
      <c r="C1036" s="139" t="str">
        <f>IFERROR(__xludf.DUMMYFUNCTION("""COMPUTED_VALUE"""),"chara_kai_00102_Special_00008")</f>
        <v>chara_kai_00102_Special_00008</v>
      </c>
      <c r="D1036" s="139" t="str">
        <f>IFERROR(__xludf.DUMMYFUNCTION("""COMPUTED_VALUE"""),"chara_kai_00102")</f>
        <v>chara_kai_00102</v>
      </c>
      <c r="E1036" s="139">
        <f>IFERROR(__xludf.DUMMYFUNCTION("""COMPUTED_VALUE"""),8.0)</f>
        <v>8</v>
      </c>
      <c r="F1036" s="139" t="str">
        <f>IFERROR(__xludf.DUMMYFUNCTION("""COMPUTED_VALUE"""),"Special")</f>
        <v>Special</v>
      </c>
      <c r="G1036" s="139"/>
      <c r="H1036" s="139"/>
      <c r="I1036" s="139">
        <f>IFERROR(__xludf.DUMMYFUNCTION("""COMPUTED_VALUE"""),159.0)</f>
        <v>159</v>
      </c>
      <c r="J1036" s="139">
        <f>IFERROR(__xludf.DUMMYFUNCTION("""COMPUTED_VALUE"""),77.0)</f>
        <v>77</v>
      </c>
      <c r="K1036" s="139">
        <f>IFERROR(__xludf.DUMMYFUNCTION("""COMPUTED_VALUE"""),0.0)</f>
        <v>0</v>
      </c>
      <c r="L1036" s="139"/>
      <c r="M1036" s="139"/>
      <c r="N1036" s="139"/>
    </row>
    <row r="1037">
      <c r="A1037" s="139"/>
      <c r="B1037" s="139"/>
      <c r="C1037" s="139" t="str">
        <f>IFERROR(__xludf.DUMMYFUNCTION("""COMPUTED_VALUE"""),"chara_kai_00102_Special_00009")</f>
        <v>chara_kai_00102_Special_00009</v>
      </c>
      <c r="D1037" s="139" t="str">
        <f>IFERROR(__xludf.DUMMYFUNCTION("""COMPUTED_VALUE"""),"chara_kai_00102")</f>
        <v>chara_kai_00102</v>
      </c>
      <c r="E1037" s="139">
        <f>IFERROR(__xludf.DUMMYFUNCTION("""COMPUTED_VALUE"""),9.0)</f>
        <v>9</v>
      </c>
      <c r="F1037" s="139" t="str">
        <f>IFERROR(__xludf.DUMMYFUNCTION("""COMPUTED_VALUE"""),"Special")</f>
        <v>Special</v>
      </c>
      <c r="G1037" s="139"/>
      <c r="H1037" s="139"/>
      <c r="I1037" s="139">
        <f>IFERROR(__xludf.DUMMYFUNCTION("""COMPUTED_VALUE"""),159.0)</f>
        <v>159</v>
      </c>
      <c r="J1037" s="139">
        <f>IFERROR(__xludf.DUMMYFUNCTION("""COMPUTED_VALUE"""),77.0)</f>
        <v>77</v>
      </c>
      <c r="K1037" s="139">
        <f>IFERROR(__xludf.DUMMYFUNCTION("""COMPUTED_VALUE"""),0.0)</f>
        <v>0</v>
      </c>
      <c r="L1037" s="139"/>
      <c r="M1037" s="139"/>
      <c r="N1037" s="139"/>
    </row>
    <row r="1038">
      <c r="A1038" s="139"/>
      <c r="B1038" s="139"/>
      <c r="C1038" s="139" t="str">
        <f>IFERROR(__xludf.DUMMYFUNCTION("""COMPUTED_VALUE"""),"chara_kai_00102_Special_00010")</f>
        <v>chara_kai_00102_Special_00010</v>
      </c>
      <c r="D1038" s="139" t="str">
        <f>IFERROR(__xludf.DUMMYFUNCTION("""COMPUTED_VALUE"""),"chara_kai_00102")</f>
        <v>chara_kai_00102</v>
      </c>
      <c r="E1038" s="139">
        <f>IFERROR(__xludf.DUMMYFUNCTION("""COMPUTED_VALUE"""),10.0)</f>
        <v>10</v>
      </c>
      <c r="F1038" s="139" t="str">
        <f>IFERROR(__xludf.DUMMYFUNCTION("""COMPUTED_VALUE"""),"Special")</f>
        <v>Special</v>
      </c>
      <c r="G1038" s="139"/>
      <c r="H1038" s="139"/>
      <c r="I1038" s="139">
        <f>IFERROR(__xludf.DUMMYFUNCTION("""COMPUTED_VALUE"""),159.0)</f>
        <v>159</v>
      </c>
      <c r="J1038" s="139">
        <f>IFERROR(__xludf.DUMMYFUNCTION("""COMPUTED_VALUE"""),77.0)</f>
        <v>77</v>
      </c>
      <c r="K1038" s="139">
        <f>IFERROR(__xludf.DUMMYFUNCTION("""COMPUTED_VALUE"""),0.0)</f>
        <v>0</v>
      </c>
      <c r="L1038" s="139"/>
      <c r="M1038" s="139"/>
      <c r="N1038" s="139"/>
    </row>
    <row r="1039">
      <c r="A1039" s="139" t="str">
        <f>IFERROR(__xludf.DUMMYFUNCTION("""COMPUTED_VALUE"""),"e")</f>
        <v>e</v>
      </c>
      <c r="B1039" s="139">
        <f>IFERROR(__xludf.DUMMYFUNCTION("""COMPUTED_VALUE"""),2.0260301E8)</f>
        <v>202603010</v>
      </c>
      <c r="C1039" s="139" t="str">
        <f>IFERROR(__xludf.DUMMYFUNCTION("""COMPUTED_VALUE"""),"chara_hut_00101_Normal_00000")</f>
        <v>chara_hut_00101_Normal_00000</v>
      </c>
      <c r="D1039" s="139" t="str">
        <f>IFERROR(__xludf.DUMMYFUNCTION("""COMPUTED_VALUE"""),"chara_hut_00101")</f>
        <v>chara_hut_00101</v>
      </c>
      <c r="E1039" s="139">
        <f>IFERROR(__xludf.DUMMYFUNCTION("""COMPUTED_VALUE"""),0.0)</f>
        <v>0</v>
      </c>
      <c r="F1039" s="139" t="str">
        <f>IFERROR(__xludf.DUMMYFUNCTION("""COMPUTED_VALUE"""),"Normal")</f>
        <v>Normal</v>
      </c>
      <c r="G1039" s="139"/>
      <c r="H1039" s="139"/>
      <c r="I1039" s="139">
        <f>IFERROR(__xludf.DUMMYFUNCTION("""COMPUTED_VALUE"""),79.0)</f>
        <v>79</v>
      </c>
      <c r="J1039" s="139">
        <f>IFERROR(__xludf.DUMMYFUNCTION("""COMPUTED_VALUE"""),38.0)</f>
        <v>38</v>
      </c>
      <c r="K1039" s="139">
        <f>IFERROR(__xludf.DUMMYFUNCTION("""COMPUTED_VALUE"""),90.0)</f>
        <v>90</v>
      </c>
      <c r="L1039" s="139"/>
      <c r="M1039" s="139"/>
      <c r="N1039" s="139"/>
    </row>
    <row r="1040">
      <c r="A1040" s="139" t="str">
        <f>IFERROR(__xludf.DUMMYFUNCTION("""COMPUTED_VALUE"""),"e")</f>
        <v>e</v>
      </c>
      <c r="B1040" s="139">
        <f>IFERROR(__xludf.DUMMYFUNCTION("""COMPUTED_VALUE"""),2.0260301E8)</f>
        <v>202603010</v>
      </c>
      <c r="C1040" s="139" t="str">
        <f>IFERROR(__xludf.DUMMYFUNCTION("""COMPUTED_VALUE"""),"chara_hut_00101_Special_00001")</f>
        <v>chara_hut_00101_Special_00001</v>
      </c>
      <c r="D1040" s="139" t="str">
        <f>IFERROR(__xludf.DUMMYFUNCTION("""COMPUTED_VALUE"""),"chara_hut_00101")</f>
        <v>chara_hut_00101</v>
      </c>
      <c r="E1040" s="139">
        <f>IFERROR(__xludf.DUMMYFUNCTION("""COMPUTED_VALUE"""),1.0)</f>
        <v>1</v>
      </c>
      <c r="F1040" s="139" t="str">
        <f>IFERROR(__xludf.DUMMYFUNCTION("""COMPUTED_VALUE"""),"Special")</f>
        <v>Special</v>
      </c>
      <c r="G1040" s="139"/>
      <c r="H1040" s="139"/>
      <c r="I1040" s="139">
        <f>IFERROR(__xludf.DUMMYFUNCTION("""COMPUTED_VALUE"""),129.0)</f>
        <v>129</v>
      </c>
      <c r="J1040" s="139">
        <f>IFERROR(__xludf.DUMMYFUNCTION("""COMPUTED_VALUE"""),0.0)</f>
        <v>0</v>
      </c>
      <c r="K1040" s="139">
        <f>IFERROR(__xludf.DUMMYFUNCTION("""COMPUTED_VALUE"""),0.0)</f>
        <v>0</v>
      </c>
      <c r="L1040" s="139"/>
      <c r="M1040" s="139" t="str">
        <f>IFERROR(__xludf.DUMMYFUNCTION("""COMPUTED_VALUE"""),"敵複数体に最大5回の連続攻撃(自身の攻撃ステータスの最大70%ダメージ) + 自身と同じコマと一つ先までのコマにいる青属性の味方と自身の攻撃を10秒間、5%UP + 召喚されている『ふつうの軽音部』作品の味方と自身の攻撃を6秒間、2%UP")</f>
        <v>敵複数体に最大5回の連続攻撃(自身の攻撃ステータスの最大70%ダメージ) + 自身と同じコマと一つ先までのコマにいる青属性の味方と自身の攻撃を10秒間、5%UP + 召喚されている『ふつうの軽音部』作品の味方と自身の攻撃を6秒間、2%UP</v>
      </c>
      <c r="N1040" s="139"/>
    </row>
    <row r="1041">
      <c r="A1041" s="139" t="str">
        <f>IFERROR(__xludf.DUMMYFUNCTION("""COMPUTED_VALUE"""),"e")</f>
        <v>e</v>
      </c>
      <c r="B1041" s="139">
        <f>IFERROR(__xludf.DUMMYFUNCTION("""COMPUTED_VALUE"""),2.0260301E8)</f>
        <v>202603010</v>
      </c>
      <c r="C1041" s="139" t="str">
        <f>IFERROR(__xludf.DUMMYFUNCTION("""COMPUTED_VALUE"""),"chara_hut_00101_Special_00002")</f>
        <v>chara_hut_00101_Special_00002</v>
      </c>
      <c r="D1041" s="139" t="str">
        <f>IFERROR(__xludf.DUMMYFUNCTION("""COMPUTED_VALUE"""),"chara_hut_00101")</f>
        <v>chara_hut_00101</v>
      </c>
      <c r="E1041" s="139">
        <f>IFERROR(__xludf.DUMMYFUNCTION("""COMPUTED_VALUE"""),2.0)</f>
        <v>2</v>
      </c>
      <c r="F1041" s="139" t="str">
        <f>IFERROR(__xludf.DUMMYFUNCTION("""COMPUTED_VALUE"""),"Special")</f>
        <v>Special</v>
      </c>
      <c r="G1041" s="139"/>
      <c r="H1041" s="139"/>
      <c r="I1041" s="139">
        <f>IFERROR(__xludf.DUMMYFUNCTION("""COMPUTED_VALUE"""),129.0)</f>
        <v>129</v>
      </c>
      <c r="J1041" s="139">
        <f>IFERROR(__xludf.DUMMYFUNCTION("""COMPUTED_VALUE"""),0.0)</f>
        <v>0</v>
      </c>
      <c r="K1041" s="139">
        <f>IFERROR(__xludf.DUMMYFUNCTION("""COMPUTED_VALUE"""),0.0)</f>
        <v>0</v>
      </c>
      <c r="L1041" s="139"/>
      <c r="M1041" s="139" t="str">
        <f>IFERROR(__xludf.DUMMYFUNCTION("""COMPUTED_VALUE"""),"敵複数体に最大5回の連続攻撃(自身の攻撃ステータスの最大73%ダメージ) + 自身と同じコマと一つ先までのコマにいる青属性の味方と自身の攻撃を10.9秒間、6%UP + 召喚されている『ふつうの軽音部』作品の味方と自身の攻撃を6.9秒間、4%UP")</f>
        <v>敵複数体に最大5回の連続攻撃(自身の攻撃ステータスの最大73%ダメージ) + 自身と同じコマと一つ先までのコマにいる青属性の味方と自身の攻撃を10.9秒間、6%UP + 召喚されている『ふつうの軽音部』作品の味方と自身の攻撃を6.9秒間、4%UP</v>
      </c>
      <c r="N1041" s="139" t="str">
        <f>IFERROR(__xludf.DUMMYFUNCTION("""COMPUTED_VALUE"""),"ステータスUP + 必殺ワザ性能UP")</f>
        <v>ステータスUP + 必殺ワザ性能UP</v>
      </c>
    </row>
    <row r="1042">
      <c r="A1042" s="139" t="str">
        <f>IFERROR(__xludf.DUMMYFUNCTION("""COMPUTED_VALUE"""),"e")</f>
        <v>e</v>
      </c>
      <c r="B1042" s="139">
        <f>IFERROR(__xludf.DUMMYFUNCTION("""COMPUTED_VALUE"""),2.0260301E8)</f>
        <v>202603010</v>
      </c>
      <c r="C1042" s="139" t="str">
        <f>IFERROR(__xludf.DUMMYFUNCTION("""COMPUTED_VALUE"""),"chara_hut_00101_Special_00003")</f>
        <v>chara_hut_00101_Special_00003</v>
      </c>
      <c r="D1042" s="139" t="str">
        <f>IFERROR(__xludf.DUMMYFUNCTION("""COMPUTED_VALUE"""),"chara_hut_00101")</f>
        <v>chara_hut_00101</v>
      </c>
      <c r="E1042" s="139">
        <f>IFERROR(__xludf.DUMMYFUNCTION("""COMPUTED_VALUE"""),3.0)</f>
        <v>3</v>
      </c>
      <c r="F1042" s="139" t="str">
        <f>IFERROR(__xludf.DUMMYFUNCTION("""COMPUTED_VALUE"""),"Special")</f>
        <v>Special</v>
      </c>
      <c r="G1042" s="139"/>
      <c r="H1042" s="139"/>
      <c r="I1042" s="139">
        <f>IFERROR(__xludf.DUMMYFUNCTION("""COMPUTED_VALUE"""),129.0)</f>
        <v>129</v>
      </c>
      <c r="J1042" s="139">
        <f>IFERROR(__xludf.DUMMYFUNCTION("""COMPUTED_VALUE"""),0.0)</f>
        <v>0</v>
      </c>
      <c r="K1042" s="139">
        <f>IFERROR(__xludf.DUMMYFUNCTION("""COMPUTED_VALUE"""),0.0)</f>
        <v>0</v>
      </c>
      <c r="L1042" s="139"/>
      <c r="M1042" s="139" t="str">
        <f>IFERROR(__xludf.DUMMYFUNCTION("""COMPUTED_VALUE"""),"敵複数体に最大5回の連続攻撃(自身の攻撃ステータスの最大76%ダメージ) + 自身と同じコマと一つ先までのコマにいる青属性の味方と自身の攻撃を11.4秒間、7%UP + 召喚されている『ふつうの軽音部』作品の味方と自身の攻撃を7.4秒間、6%UP")</f>
        <v>敵複数体に最大5回の連続攻撃(自身の攻撃ステータスの最大76%ダメージ) + 自身と同じコマと一つ先までのコマにいる青属性の味方と自身の攻撃を11.4秒間、7%UP + 召喚されている『ふつうの軽音部』作品の味方と自身の攻撃を7.4秒間、6%UP</v>
      </c>
      <c r="N1042" s="139" t="str">
        <f>IFERROR(__xludf.DUMMYFUNCTION("""COMPUTED_VALUE"""),"ステータスUP + 必殺ワザ性能UP")</f>
        <v>ステータスUP + 必殺ワザ性能UP</v>
      </c>
    </row>
    <row r="1043">
      <c r="A1043" s="139" t="str">
        <f>IFERROR(__xludf.DUMMYFUNCTION("""COMPUTED_VALUE"""),"e")</f>
        <v>e</v>
      </c>
      <c r="B1043" s="139">
        <f>IFERROR(__xludf.DUMMYFUNCTION("""COMPUTED_VALUE"""),2.0260301E8)</f>
        <v>202603010</v>
      </c>
      <c r="C1043" s="139" t="str">
        <f>IFERROR(__xludf.DUMMYFUNCTION("""COMPUTED_VALUE"""),"chara_hut_00101_Special_00004")</f>
        <v>chara_hut_00101_Special_00004</v>
      </c>
      <c r="D1043" s="139" t="str">
        <f>IFERROR(__xludf.DUMMYFUNCTION("""COMPUTED_VALUE"""),"chara_hut_00101")</f>
        <v>chara_hut_00101</v>
      </c>
      <c r="E1043" s="139">
        <f>IFERROR(__xludf.DUMMYFUNCTION("""COMPUTED_VALUE"""),4.0)</f>
        <v>4</v>
      </c>
      <c r="F1043" s="139" t="str">
        <f>IFERROR(__xludf.DUMMYFUNCTION("""COMPUTED_VALUE"""),"Special")</f>
        <v>Special</v>
      </c>
      <c r="G1043" s="139"/>
      <c r="H1043" s="139"/>
      <c r="I1043" s="139">
        <f>IFERROR(__xludf.DUMMYFUNCTION("""COMPUTED_VALUE"""),129.0)</f>
        <v>129</v>
      </c>
      <c r="J1043" s="139">
        <f>IFERROR(__xludf.DUMMYFUNCTION("""COMPUTED_VALUE"""),0.0)</f>
        <v>0</v>
      </c>
      <c r="K1043" s="139">
        <f>IFERROR(__xludf.DUMMYFUNCTION("""COMPUTED_VALUE"""),0.0)</f>
        <v>0</v>
      </c>
      <c r="L1043" s="139"/>
      <c r="M1043" s="139" t="str">
        <f>IFERROR(__xludf.DUMMYFUNCTION("""COMPUTED_VALUE"""),"敵複数体に最大5回の連続攻撃(自身の攻撃ステータスの最大80%ダメージ) + 自身と同じコマと一つ先までのコマにいる青属性の味方と自身の攻撃を11.8秒間、8%UP + 召喚されている『ふつうの軽音部』作品の味方と自身の攻撃を7.8秒間、8%UP")</f>
        <v>敵複数体に最大5回の連続攻撃(自身の攻撃ステータスの最大80%ダメージ) + 自身と同じコマと一つ先までのコマにいる青属性の味方と自身の攻撃を11.8秒間、8%UP + 召喚されている『ふつうの軽音部』作品の味方と自身の攻撃を7.8秒間、8%UP</v>
      </c>
      <c r="N1043" s="139" t="str">
        <f>IFERROR(__xludf.DUMMYFUNCTION("""COMPUTED_VALUE"""),"ステータスUP + 必殺ワザ性能UP")</f>
        <v>ステータスUP + 必殺ワザ性能UP</v>
      </c>
    </row>
    <row r="1044">
      <c r="A1044" s="139" t="str">
        <f>IFERROR(__xludf.DUMMYFUNCTION("""COMPUTED_VALUE"""),"e")</f>
        <v>e</v>
      </c>
      <c r="B1044" s="139">
        <f>IFERROR(__xludf.DUMMYFUNCTION("""COMPUTED_VALUE"""),2.0260301E8)</f>
        <v>202603010</v>
      </c>
      <c r="C1044" s="139" t="str">
        <f>IFERROR(__xludf.DUMMYFUNCTION("""COMPUTED_VALUE"""),"chara_hut_00101_Special_00005")</f>
        <v>chara_hut_00101_Special_00005</v>
      </c>
      <c r="D1044" s="139" t="str">
        <f>IFERROR(__xludf.DUMMYFUNCTION("""COMPUTED_VALUE"""),"chara_hut_00101")</f>
        <v>chara_hut_00101</v>
      </c>
      <c r="E1044" s="139">
        <f>IFERROR(__xludf.DUMMYFUNCTION("""COMPUTED_VALUE"""),5.0)</f>
        <v>5</v>
      </c>
      <c r="F1044" s="139" t="str">
        <f>IFERROR(__xludf.DUMMYFUNCTION("""COMPUTED_VALUE"""),"Special")</f>
        <v>Special</v>
      </c>
      <c r="G1044" s="139"/>
      <c r="H1044" s="139"/>
      <c r="I1044" s="139">
        <f>IFERROR(__xludf.DUMMYFUNCTION("""COMPUTED_VALUE"""),129.0)</f>
        <v>129</v>
      </c>
      <c r="J1044" s="139">
        <f>IFERROR(__xludf.DUMMYFUNCTION("""COMPUTED_VALUE"""),0.0)</f>
        <v>0</v>
      </c>
      <c r="K1044" s="139">
        <f>IFERROR(__xludf.DUMMYFUNCTION("""COMPUTED_VALUE"""),0.0)</f>
        <v>0</v>
      </c>
      <c r="L1044" s="139"/>
      <c r="M1044" s="139" t="str">
        <f>IFERROR(__xludf.DUMMYFUNCTION("""COMPUTED_VALUE"""),"敵複数体に最大5回の連続攻撃(自身の攻撃ステータスの最大85%ダメージ) + 自身と同じコマと一つ先までのコマにいる青属性の味方と自身の攻撃を12秒間、10%UP + 召喚されている『ふつうの軽音部』作品の味方と自身の攻撃を8秒間、10%UP")</f>
        <v>敵複数体に最大5回の連続攻撃(自身の攻撃ステータスの最大85%ダメージ) + 自身と同じコマと一つ先までのコマにいる青属性の味方と自身の攻撃を12秒間、10%UP + 召喚されている『ふつうの軽音部』作品の味方と自身の攻撃を8秒間、10%UP</v>
      </c>
      <c r="N1044" s="139" t="str">
        <f>IFERROR(__xludf.DUMMYFUNCTION("""COMPUTED_VALUE"""),"ステータスUP + 必殺ワザ性能UP")</f>
        <v>ステータスUP + 必殺ワザ性能UP</v>
      </c>
    </row>
    <row r="1045">
      <c r="A1045" s="139"/>
      <c r="B1045" s="139"/>
      <c r="C1045" s="139" t="str">
        <f>IFERROR(__xludf.DUMMYFUNCTION("""COMPUTED_VALUE"""),"chara_hut_00101_Special_00006")</f>
        <v>chara_hut_00101_Special_00006</v>
      </c>
      <c r="D1045" s="139" t="str">
        <f>IFERROR(__xludf.DUMMYFUNCTION("""COMPUTED_VALUE"""),"chara_hut_00101")</f>
        <v>chara_hut_00101</v>
      </c>
      <c r="E1045" s="139">
        <f>IFERROR(__xludf.DUMMYFUNCTION("""COMPUTED_VALUE"""),6.0)</f>
        <v>6</v>
      </c>
      <c r="F1045" s="139" t="str">
        <f>IFERROR(__xludf.DUMMYFUNCTION("""COMPUTED_VALUE"""),"Special")</f>
        <v>Special</v>
      </c>
      <c r="G1045" s="139"/>
      <c r="H1045" s="139"/>
      <c r="I1045" s="139">
        <f>IFERROR(__xludf.DUMMYFUNCTION("""COMPUTED_VALUE"""),129.0)</f>
        <v>129</v>
      </c>
      <c r="J1045" s="139">
        <f>IFERROR(__xludf.DUMMYFUNCTION("""COMPUTED_VALUE"""),0.0)</f>
        <v>0</v>
      </c>
      <c r="K1045" s="139">
        <f>IFERROR(__xludf.DUMMYFUNCTION("""COMPUTED_VALUE"""),0.0)</f>
        <v>0</v>
      </c>
      <c r="L1045" s="139"/>
      <c r="M1045" s="139"/>
      <c r="N1045" s="139"/>
    </row>
    <row r="1046">
      <c r="A1046" s="139"/>
      <c r="B1046" s="139"/>
      <c r="C1046" s="139" t="str">
        <f>IFERROR(__xludf.DUMMYFUNCTION("""COMPUTED_VALUE"""),"chara_hut_00101_Special_00007")</f>
        <v>chara_hut_00101_Special_00007</v>
      </c>
      <c r="D1046" s="139" t="str">
        <f>IFERROR(__xludf.DUMMYFUNCTION("""COMPUTED_VALUE"""),"chara_hut_00101")</f>
        <v>chara_hut_00101</v>
      </c>
      <c r="E1046" s="139">
        <f>IFERROR(__xludf.DUMMYFUNCTION("""COMPUTED_VALUE"""),7.0)</f>
        <v>7</v>
      </c>
      <c r="F1046" s="139" t="str">
        <f>IFERROR(__xludf.DUMMYFUNCTION("""COMPUTED_VALUE"""),"Special")</f>
        <v>Special</v>
      </c>
      <c r="G1046" s="139"/>
      <c r="H1046" s="139"/>
      <c r="I1046" s="139">
        <f>IFERROR(__xludf.DUMMYFUNCTION("""COMPUTED_VALUE"""),129.0)</f>
        <v>129</v>
      </c>
      <c r="J1046" s="139">
        <f>IFERROR(__xludf.DUMMYFUNCTION("""COMPUTED_VALUE"""),0.0)</f>
        <v>0</v>
      </c>
      <c r="K1046" s="139">
        <f>IFERROR(__xludf.DUMMYFUNCTION("""COMPUTED_VALUE"""),0.0)</f>
        <v>0</v>
      </c>
      <c r="L1046" s="139"/>
      <c r="M1046" s="139"/>
      <c r="N1046" s="139"/>
    </row>
    <row r="1047">
      <c r="A1047" s="139"/>
      <c r="B1047" s="139"/>
      <c r="C1047" s="139" t="str">
        <f>IFERROR(__xludf.DUMMYFUNCTION("""COMPUTED_VALUE"""),"chara_hut_00101_Special_00008")</f>
        <v>chara_hut_00101_Special_00008</v>
      </c>
      <c r="D1047" s="139" t="str">
        <f>IFERROR(__xludf.DUMMYFUNCTION("""COMPUTED_VALUE"""),"chara_hut_00101")</f>
        <v>chara_hut_00101</v>
      </c>
      <c r="E1047" s="139">
        <f>IFERROR(__xludf.DUMMYFUNCTION("""COMPUTED_VALUE"""),8.0)</f>
        <v>8</v>
      </c>
      <c r="F1047" s="139" t="str">
        <f>IFERROR(__xludf.DUMMYFUNCTION("""COMPUTED_VALUE"""),"Special")</f>
        <v>Special</v>
      </c>
      <c r="G1047" s="139"/>
      <c r="H1047" s="139"/>
      <c r="I1047" s="139">
        <f>IFERROR(__xludf.DUMMYFUNCTION("""COMPUTED_VALUE"""),129.0)</f>
        <v>129</v>
      </c>
      <c r="J1047" s="139">
        <f>IFERROR(__xludf.DUMMYFUNCTION("""COMPUTED_VALUE"""),0.0)</f>
        <v>0</v>
      </c>
      <c r="K1047" s="139">
        <f>IFERROR(__xludf.DUMMYFUNCTION("""COMPUTED_VALUE"""),0.0)</f>
        <v>0</v>
      </c>
      <c r="L1047" s="139"/>
      <c r="M1047" s="139"/>
      <c r="N1047" s="139"/>
    </row>
    <row r="1048">
      <c r="A1048" s="139"/>
      <c r="B1048" s="139"/>
      <c r="C1048" s="139" t="str">
        <f>IFERROR(__xludf.DUMMYFUNCTION("""COMPUTED_VALUE"""),"chara_hut_00101_Special_00009")</f>
        <v>chara_hut_00101_Special_00009</v>
      </c>
      <c r="D1048" s="139" t="str">
        <f>IFERROR(__xludf.DUMMYFUNCTION("""COMPUTED_VALUE"""),"chara_hut_00101")</f>
        <v>chara_hut_00101</v>
      </c>
      <c r="E1048" s="139">
        <f>IFERROR(__xludf.DUMMYFUNCTION("""COMPUTED_VALUE"""),9.0)</f>
        <v>9</v>
      </c>
      <c r="F1048" s="139" t="str">
        <f>IFERROR(__xludf.DUMMYFUNCTION("""COMPUTED_VALUE"""),"Special")</f>
        <v>Special</v>
      </c>
      <c r="G1048" s="139"/>
      <c r="H1048" s="139"/>
      <c r="I1048" s="139">
        <f>IFERROR(__xludf.DUMMYFUNCTION("""COMPUTED_VALUE"""),129.0)</f>
        <v>129</v>
      </c>
      <c r="J1048" s="139">
        <f>IFERROR(__xludf.DUMMYFUNCTION("""COMPUTED_VALUE"""),0.0)</f>
        <v>0</v>
      </c>
      <c r="K1048" s="139">
        <f>IFERROR(__xludf.DUMMYFUNCTION("""COMPUTED_VALUE"""),0.0)</f>
        <v>0</v>
      </c>
      <c r="L1048" s="139"/>
      <c r="M1048" s="139"/>
      <c r="N1048" s="139"/>
    </row>
    <row r="1049">
      <c r="A1049" s="139"/>
      <c r="B1049" s="139"/>
      <c r="C1049" s="139" t="str">
        <f>IFERROR(__xludf.DUMMYFUNCTION("""COMPUTED_VALUE"""),"chara_hut_00101_Special_00010")</f>
        <v>chara_hut_00101_Special_00010</v>
      </c>
      <c r="D1049" s="139" t="str">
        <f>IFERROR(__xludf.DUMMYFUNCTION("""COMPUTED_VALUE"""),"chara_hut_00101")</f>
        <v>chara_hut_00101</v>
      </c>
      <c r="E1049" s="139">
        <f>IFERROR(__xludf.DUMMYFUNCTION("""COMPUTED_VALUE"""),10.0)</f>
        <v>10</v>
      </c>
      <c r="F1049" s="139" t="str">
        <f>IFERROR(__xludf.DUMMYFUNCTION("""COMPUTED_VALUE"""),"Special")</f>
        <v>Special</v>
      </c>
      <c r="G1049" s="139"/>
      <c r="H1049" s="139"/>
      <c r="I1049" s="139">
        <f>IFERROR(__xludf.DUMMYFUNCTION("""COMPUTED_VALUE"""),129.0)</f>
        <v>129</v>
      </c>
      <c r="J1049" s="139">
        <f>IFERROR(__xludf.DUMMYFUNCTION("""COMPUTED_VALUE"""),0.0)</f>
        <v>0</v>
      </c>
      <c r="K1049" s="139">
        <f>IFERROR(__xludf.DUMMYFUNCTION("""COMPUTED_VALUE"""),0.0)</f>
        <v>0</v>
      </c>
      <c r="L1049" s="139"/>
      <c r="M1049" s="139"/>
      <c r="N1049" s="139"/>
    </row>
    <row r="1050">
      <c r="A1050" s="139" t="str">
        <f>IFERROR(__xludf.DUMMYFUNCTION("""COMPUTED_VALUE"""),"e")</f>
        <v>e</v>
      </c>
      <c r="B1050" s="139">
        <f>IFERROR(__xludf.DUMMYFUNCTION("""COMPUTED_VALUE"""),2.0260302E8)</f>
        <v>202603020</v>
      </c>
      <c r="C1050" s="139" t="str">
        <f>IFERROR(__xludf.DUMMYFUNCTION("""COMPUTED_VALUE"""),"chara_osh_00801_Normal_00000")</f>
        <v>chara_osh_00801_Normal_00000</v>
      </c>
      <c r="D1050" s="139" t="str">
        <f>IFERROR(__xludf.DUMMYFUNCTION("""COMPUTED_VALUE"""),"chara_osh_00801")</f>
        <v>chara_osh_00801</v>
      </c>
      <c r="E1050" s="139">
        <f>IFERROR(__xludf.DUMMYFUNCTION("""COMPUTED_VALUE"""),0.0)</f>
        <v>0</v>
      </c>
      <c r="F1050" s="139" t="str">
        <f>IFERROR(__xludf.DUMMYFUNCTION("""COMPUTED_VALUE"""),"Normal")</f>
        <v>Normal</v>
      </c>
      <c r="G1050" s="139"/>
      <c r="H1050" s="139"/>
      <c r="I1050" s="139">
        <f>IFERROR(__xludf.DUMMYFUNCTION("""COMPUTED_VALUE"""),0.0)</f>
        <v>0</v>
      </c>
      <c r="J1050" s="139">
        <f>IFERROR(__xludf.DUMMYFUNCTION("""COMPUTED_VALUE"""),0.0)</f>
        <v>0</v>
      </c>
      <c r="K1050" s="139">
        <f>IFERROR(__xludf.DUMMYFUNCTION("""COMPUTED_VALUE"""),0.0)</f>
        <v>0</v>
      </c>
      <c r="L1050" s="139"/>
      <c r="M1050" s="139"/>
      <c r="N1050" s="139"/>
    </row>
    <row r="1051">
      <c r="A1051" s="139" t="str">
        <f>IFERROR(__xludf.DUMMYFUNCTION("""COMPUTED_VALUE"""),"e")</f>
        <v>e</v>
      </c>
      <c r="B1051" s="139">
        <f>IFERROR(__xludf.DUMMYFUNCTION("""COMPUTED_VALUE"""),2.0260302E8)</f>
        <v>202603020</v>
      </c>
      <c r="C1051" s="139" t="str">
        <f>IFERROR(__xludf.DUMMYFUNCTION("""COMPUTED_VALUE"""),"chara_osh_00801_Special_00001")</f>
        <v>chara_osh_00801_Special_00001</v>
      </c>
      <c r="D1051" s="139" t="str">
        <f>IFERROR(__xludf.DUMMYFUNCTION("""COMPUTED_VALUE"""),"chara_osh_00801")</f>
        <v>chara_osh_00801</v>
      </c>
      <c r="E1051" s="139">
        <f>IFERROR(__xludf.DUMMYFUNCTION("""COMPUTED_VALUE"""),1.0)</f>
        <v>1</v>
      </c>
      <c r="F1051" s="139" t="str">
        <f>IFERROR(__xludf.DUMMYFUNCTION("""COMPUTED_VALUE"""),"Special")</f>
        <v>Special</v>
      </c>
      <c r="G1051" s="139"/>
      <c r="H1051" s="139"/>
      <c r="I1051" s="139">
        <f>IFERROR(__xludf.DUMMYFUNCTION("""COMPUTED_VALUE"""),150.0)</f>
        <v>150</v>
      </c>
      <c r="J1051" s="139">
        <f>IFERROR(__xludf.DUMMYFUNCTION("""COMPUTED_VALUE"""),33.0)</f>
        <v>33</v>
      </c>
      <c r="K1051" s="139">
        <f>IFERROR(__xludf.DUMMYFUNCTION("""COMPUTED_VALUE"""),0.0)</f>
        <v>0</v>
      </c>
      <c r="L1051" s="139"/>
      <c r="M1051" s="139" t="str">
        <f>IFERROR(__xludf.DUMMYFUNCTION("""COMPUTED_VALUE"""),"選択したコマにいる味方の攻撃を7秒間、{chara_osh_00801_Special_00001a_effect_parameter}%UP + 選択したコマにいる味方テクニカルキャラの攻撃を7秒間、1%UP")</f>
        <v>選択したコマにいる味方の攻撃を7秒間、{chara_osh_00801_Special_00001a_effect_parameter}%UP + 選択したコマにいる味方テクニカルキャラの攻撃を7秒間、1%UP</v>
      </c>
      <c r="N1051" s="139"/>
    </row>
    <row r="1052">
      <c r="A1052" s="139" t="str">
        <f>IFERROR(__xludf.DUMMYFUNCTION("""COMPUTED_VALUE"""),"e")</f>
        <v>e</v>
      </c>
      <c r="B1052" s="139">
        <f>IFERROR(__xludf.DUMMYFUNCTION("""COMPUTED_VALUE"""),2.0260302E8)</f>
        <v>202603020</v>
      </c>
      <c r="C1052" s="139" t="str">
        <f>IFERROR(__xludf.DUMMYFUNCTION("""COMPUTED_VALUE"""),"chara_osh_00801_Special_00002")</f>
        <v>chara_osh_00801_Special_00002</v>
      </c>
      <c r="D1052" s="139" t="str">
        <f>IFERROR(__xludf.DUMMYFUNCTION("""COMPUTED_VALUE"""),"chara_osh_00801")</f>
        <v>chara_osh_00801</v>
      </c>
      <c r="E1052" s="139">
        <f>IFERROR(__xludf.DUMMYFUNCTION("""COMPUTED_VALUE"""),2.0)</f>
        <v>2</v>
      </c>
      <c r="F1052" s="139" t="str">
        <f>IFERROR(__xludf.DUMMYFUNCTION("""COMPUTED_VALUE"""),"Special")</f>
        <v>Special</v>
      </c>
      <c r="G1052" s="139"/>
      <c r="H1052" s="139"/>
      <c r="I1052" s="139">
        <f>IFERROR(__xludf.DUMMYFUNCTION("""COMPUTED_VALUE"""),150.0)</f>
        <v>150</v>
      </c>
      <c r="J1052" s="139">
        <f>IFERROR(__xludf.DUMMYFUNCTION("""COMPUTED_VALUE"""),33.0)</f>
        <v>33</v>
      </c>
      <c r="K1052" s="139">
        <f>IFERROR(__xludf.DUMMYFUNCTION("""COMPUTED_VALUE"""),0.0)</f>
        <v>0</v>
      </c>
      <c r="L1052" s="139"/>
      <c r="M1052" s="139" t="str">
        <f>IFERROR(__xludf.DUMMYFUNCTION("""COMPUTED_VALUE"""),"選択したコマにいる味方の攻撃を7.5秒間、{chara_osh_00801_Special_00002a_effect_parameter}%UP + 選択したコマにいる味方テクニカルキャラの攻撃を7.5秒間、1.8%UP")</f>
        <v>選択したコマにいる味方の攻撃を7.5秒間、{chara_osh_00801_Special_00002a_effect_parameter}%UP + 選択したコマにいる味方テクニカルキャラの攻撃を7.5秒間、1.8%UP</v>
      </c>
      <c r="N1052" s="139" t="str">
        <f>IFERROR(__xludf.DUMMYFUNCTION("""COMPUTED_VALUE"""),"必殺ワザ性能UP")</f>
        <v>必殺ワザ性能UP</v>
      </c>
    </row>
    <row r="1053">
      <c r="A1053" s="139" t="str">
        <f>IFERROR(__xludf.DUMMYFUNCTION("""COMPUTED_VALUE"""),"e")</f>
        <v>e</v>
      </c>
      <c r="B1053" s="139">
        <f>IFERROR(__xludf.DUMMYFUNCTION("""COMPUTED_VALUE"""),2.0260302E8)</f>
        <v>202603020</v>
      </c>
      <c r="C1053" s="139" t="str">
        <f>IFERROR(__xludf.DUMMYFUNCTION("""COMPUTED_VALUE"""),"chara_osh_00801_Special_00003")</f>
        <v>chara_osh_00801_Special_00003</v>
      </c>
      <c r="D1053" s="139" t="str">
        <f>IFERROR(__xludf.DUMMYFUNCTION("""COMPUTED_VALUE"""),"chara_osh_00801")</f>
        <v>chara_osh_00801</v>
      </c>
      <c r="E1053" s="139">
        <f>IFERROR(__xludf.DUMMYFUNCTION("""COMPUTED_VALUE"""),3.0)</f>
        <v>3</v>
      </c>
      <c r="F1053" s="139" t="str">
        <f>IFERROR(__xludf.DUMMYFUNCTION("""COMPUTED_VALUE"""),"Special")</f>
        <v>Special</v>
      </c>
      <c r="G1053" s="139"/>
      <c r="H1053" s="139"/>
      <c r="I1053" s="139">
        <f>IFERROR(__xludf.DUMMYFUNCTION("""COMPUTED_VALUE"""),150.0)</f>
        <v>150</v>
      </c>
      <c r="J1053" s="139">
        <f>IFERROR(__xludf.DUMMYFUNCTION("""COMPUTED_VALUE"""),33.0)</f>
        <v>33</v>
      </c>
      <c r="K1053" s="139">
        <f>IFERROR(__xludf.DUMMYFUNCTION("""COMPUTED_VALUE"""),0.0)</f>
        <v>0</v>
      </c>
      <c r="L1053" s="139"/>
      <c r="M1053" s="139" t="str">
        <f>IFERROR(__xludf.DUMMYFUNCTION("""COMPUTED_VALUE"""),"選択したコマにいる味方の攻撃を7.7秒間、{chara_osh_00801_Special_00003a_effect_parameter}%UP + 選択したコマにいる味方テクニカルキャラの攻撃を7.7秒間、2.4%UP")</f>
        <v>選択したコマにいる味方の攻撃を7.7秒間、{chara_osh_00801_Special_00003a_effect_parameter}%UP + 選択したコマにいる味方テクニカルキャラの攻撃を7.7秒間、2.4%UP</v>
      </c>
      <c r="N1053" s="139" t="str">
        <f>IFERROR(__xludf.DUMMYFUNCTION("""COMPUTED_VALUE"""),"必殺ワザ性能UP")</f>
        <v>必殺ワザ性能UP</v>
      </c>
    </row>
    <row r="1054">
      <c r="A1054" s="139" t="str">
        <f>IFERROR(__xludf.DUMMYFUNCTION("""COMPUTED_VALUE"""),"e")</f>
        <v>e</v>
      </c>
      <c r="B1054" s="139">
        <f>IFERROR(__xludf.DUMMYFUNCTION("""COMPUTED_VALUE"""),2.0260302E8)</f>
        <v>202603020</v>
      </c>
      <c r="C1054" s="139" t="str">
        <f>IFERROR(__xludf.DUMMYFUNCTION("""COMPUTED_VALUE"""),"chara_osh_00801_Special_00004")</f>
        <v>chara_osh_00801_Special_00004</v>
      </c>
      <c r="D1054" s="139" t="str">
        <f>IFERROR(__xludf.DUMMYFUNCTION("""COMPUTED_VALUE"""),"chara_osh_00801")</f>
        <v>chara_osh_00801</v>
      </c>
      <c r="E1054" s="139">
        <f>IFERROR(__xludf.DUMMYFUNCTION("""COMPUTED_VALUE"""),4.0)</f>
        <v>4</v>
      </c>
      <c r="F1054" s="139" t="str">
        <f>IFERROR(__xludf.DUMMYFUNCTION("""COMPUTED_VALUE"""),"Special")</f>
        <v>Special</v>
      </c>
      <c r="G1054" s="139"/>
      <c r="H1054" s="139"/>
      <c r="I1054" s="139">
        <f>IFERROR(__xludf.DUMMYFUNCTION("""COMPUTED_VALUE"""),150.0)</f>
        <v>150</v>
      </c>
      <c r="J1054" s="139">
        <f>IFERROR(__xludf.DUMMYFUNCTION("""COMPUTED_VALUE"""),33.0)</f>
        <v>33</v>
      </c>
      <c r="K1054" s="139">
        <f>IFERROR(__xludf.DUMMYFUNCTION("""COMPUTED_VALUE"""),0.0)</f>
        <v>0</v>
      </c>
      <c r="L1054" s="139"/>
      <c r="M1054" s="139" t="str">
        <f>IFERROR(__xludf.DUMMYFUNCTION("""COMPUTED_VALUE"""),"選択したコマにいる味方の攻撃を7.9秒間、{chara_osh_00801_Special_00004a_effect_parameter}%UP + 選択したコマにいる味方テクニカルキャラの攻撃を7.9秒間、2.8%UP")</f>
        <v>選択したコマにいる味方の攻撃を7.9秒間、{chara_osh_00801_Special_00004a_effect_parameter}%UP + 選択したコマにいる味方テクニカルキャラの攻撃を7.9秒間、2.8%UP</v>
      </c>
      <c r="N1054" s="139" t="str">
        <f>IFERROR(__xludf.DUMMYFUNCTION("""COMPUTED_VALUE"""),"必殺ワザ性能UP")</f>
        <v>必殺ワザ性能UP</v>
      </c>
    </row>
    <row r="1055">
      <c r="A1055" s="139" t="str">
        <f>IFERROR(__xludf.DUMMYFUNCTION("""COMPUTED_VALUE"""),"e")</f>
        <v>e</v>
      </c>
      <c r="B1055" s="139">
        <f>IFERROR(__xludf.DUMMYFUNCTION("""COMPUTED_VALUE"""),2.0260302E8)</f>
        <v>202603020</v>
      </c>
      <c r="C1055" s="139" t="str">
        <f>IFERROR(__xludf.DUMMYFUNCTION("""COMPUTED_VALUE"""),"chara_osh_00801_Special_00005")</f>
        <v>chara_osh_00801_Special_00005</v>
      </c>
      <c r="D1055" s="139" t="str">
        <f>IFERROR(__xludf.DUMMYFUNCTION("""COMPUTED_VALUE"""),"chara_osh_00801")</f>
        <v>chara_osh_00801</v>
      </c>
      <c r="E1055" s="139">
        <f>IFERROR(__xludf.DUMMYFUNCTION("""COMPUTED_VALUE"""),5.0)</f>
        <v>5</v>
      </c>
      <c r="F1055" s="139" t="str">
        <f>IFERROR(__xludf.DUMMYFUNCTION("""COMPUTED_VALUE"""),"Special")</f>
        <v>Special</v>
      </c>
      <c r="G1055" s="139"/>
      <c r="H1055" s="139"/>
      <c r="I1055" s="139">
        <f>IFERROR(__xludf.DUMMYFUNCTION("""COMPUTED_VALUE"""),150.0)</f>
        <v>150</v>
      </c>
      <c r="J1055" s="139">
        <f>IFERROR(__xludf.DUMMYFUNCTION("""COMPUTED_VALUE"""),33.0)</f>
        <v>33</v>
      </c>
      <c r="K1055" s="139">
        <f>IFERROR(__xludf.DUMMYFUNCTION("""COMPUTED_VALUE"""),0.0)</f>
        <v>0</v>
      </c>
      <c r="L1055" s="139"/>
      <c r="M1055" s="139" t="str">
        <f>IFERROR(__xludf.DUMMYFUNCTION("""COMPUTED_VALUE"""),"選択したコマにいる味方の攻撃を8秒間、{chara_osh_00801_Special_00005a_effect_parameter}%UP + 選択したコマにいる味方テクニカルキャラの攻撃を8秒間、3%UP")</f>
        <v>選択したコマにいる味方の攻撃を8秒間、{chara_osh_00801_Special_00005a_effect_parameter}%UP + 選択したコマにいる味方テクニカルキャラの攻撃を8秒間、3%UP</v>
      </c>
      <c r="N1055" s="139" t="str">
        <f>IFERROR(__xludf.DUMMYFUNCTION("""COMPUTED_VALUE"""),"必殺ワザ性能UP")</f>
        <v>必殺ワザ性能UP</v>
      </c>
    </row>
    <row r="1056">
      <c r="A1056" s="139"/>
      <c r="B1056" s="139"/>
      <c r="C1056" s="139" t="str">
        <f>IFERROR(__xludf.DUMMYFUNCTION("""COMPUTED_VALUE"""),"chara_osh_00801_Special_00006")</f>
        <v>chara_osh_00801_Special_00006</v>
      </c>
      <c r="D1056" s="139" t="str">
        <f>IFERROR(__xludf.DUMMYFUNCTION("""COMPUTED_VALUE"""),"chara_osh_00801")</f>
        <v>chara_osh_00801</v>
      </c>
      <c r="E1056" s="139">
        <f>IFERROR(__xludf.DUMMYFUNCTION("""COMPUTED_VALUE"""),6.0)</f>
        <v>6</v>
      </c>
      <c r="F1056" s="139" t="str">
        <f>IFERROR(__xludf.DUMMYFUNCTION("""COMPUTED_VALUE"""),"Special")</f>
        <v>Special</v>
      </c>
      <c r="G1056" s="139"/>
      <c r="H1056" s="139"/>
      <c r="I1056" s="139">
        <f>IFERROR(__xludf.DUMMYFUNCTION("""COMPUTED_VALUE"""),150.0)</f>
        <v>150</v>
      </c>
      <c r="J1056" s="139">
        <f>IFERROR(__xludf.DUMMYFUNCTION("""COMPUTED_VALUE"""),33.0)</f>
        <v>33</v>
      </c>
      <c r="K1056" s="139">
        <f>IFERROR(__xludf.DUMMYFUNCTION("""COMPUTED_VALUE"""),0.0)</f>
        <v>0</v>
      </c>
      <c r="L1056" s="139"/>
      <c r="M1056" s="139"/>
      <c r="N1056" s="139"/>
    </row>
    <row r="1057">
      <c r="A1057" s="139"/>
      <c r="B1057" s="139"/>
      <c r="C1057" s="139" t="str">
        <f>IFERROR(__xludf.DUMMYFUNCTION("""COMPUTED_VALUE"""),"chara_osh_00801_Special_00007")</f>
        <v>chara_osh_00801_Special_00007</v>
      </c>
      <c r="D1057" s="139" t="str">
        <f>IFERROR(__xludf.DUMMYFUNCTION("""COMPUTED_VALUE"""),"chara_osh_00801")</f>
        <v>chara_osh_00801</v>
      </c>
      <c r="E1057" s="139">
        <f>IFERROR(__xludf.DUMMYFUNCTION("""COMPUTED_VALUE"""),7.0)</f>
        <v>7</v>
      </c>
      <c r="F1057" s="139" t="str">
        <f>IFERROR(__xludf.DUMMYFUNCTION("""COMPUTED_VALUE"""),"Special")</f>
        <v>Special</v>
      </c>
      <c r="G1057" s="139"/>
      <c r="H1057" s="139"/>
      <c r="I1057" s="139">
        <f>IFERROR(__xludf.DUMMYFUNCTION("""COMPUTED_VALUE"""),150.0)</f>
        <v>150</v>
      </c>
      <c r="J1057" s="139">
        <f>IFERROR(__xludf.DUMMYFUNCTION("""COMPUTED_VALUE"""),33.0)</f>
        <v>33</v>
      </c>
      <c r="K1057" s="139">
        <f>IFERROR(__xludf.DUMMYFUNCTION("""COMPUTED_VALUE"""),0.0)</f>
        <v>0</v>
      </c>
      <c r="L1057" s="139"/>
      <c r="M1057" s="139"/>
      <c r="N1057" s="139"/>
    </row>
    <row r="1058">
      <c r="A1058" s="139"/>
      <c r="B1058" s="139"/>
      <c r="C1058" s="139" t="str">
        <f>IFERROR(__xludf.DUMMYFUNCTION("""COMPUTED_VALUE"""),"chara_osh_00801_Special_00008")</f>
        <v>chara_osh_00801_Special_00008</v>
      </c>
      <c r="D1058" s="139" t="str">
        <f>IFERROR(__xludf.DUMMYFUNCTION("""COMPUTED_VALUE"""),"chara_osh_00801")</f>
        <v>chara_osh_00801</v>
      </c>
      <c r="E1058" s="139">
        <f>IFERROR(__xludf.DUMMYFUNCTION("""COMPUTED_VALUE"""),8.0)</f>
        <v>8</v>
      </c>
      <c r="F1058" s="139" t="str">
        <f>IFERROR(__xludf.DUMMYFUNCTION("""COMPUTED_VALUE"""),"Special")</f>
        <v>Special</v>
      </c>
      <c r="G1058" s="139"/>
      <c r="H1058" s="139"/>
      <c r="I1058" s="139">
        <f>IFERROR(__xludf.DUMMYFUNCTION("""COMPUTED_VALUE"""),150.0)</f>
        <v>150</v>
      </c>
      <c r="J1058" s="139">
        <f>IFERROR(__xludf.DUMMYFUNCTION("""COMPUTED_VALUE"""),33.0)</f>
        <v>33</v>
      </c>
      <c r="K1058" s="139">
        <f>IFERROR(__xludf.DUMMYFUNCTION("""COMPUTED_VALUE"""),0.0)</f>
        <v>0</v>
      </c>
      <c r="L1058" s="139"/>
      <c r="M1058" s="139"/>
      <c r="N1058" s="139"/>
    </row>
    <row r="1059">
      <c r="A1059" s="139"/>
      <c r="B1059" s="139"/>
      <c r="C1059" s="139" t="str">
        <f>IFERROR(__xludf.DUMMYFUNCTION("""COMPUTED_VALUE"""),"chara_osh_00801_Special_00009")</f>
        <v>chara_osh_00801_Special_00009</v>
      </c>
      <c r="D1059" s="139" t="str">
        <f>IFERROR(__xludf.DUMMYFUNCTION("""COMPUTED_VALUE"""),"chara_osh_00801")</f>
        <v>chara_osh_00801</v>
      </c>
      <c r="E1059" s="139">
        <f>IFERROR(__xludf.DUMMYFUNCTION("""COMPUTED_VALUE"""),9.0)</f>
        <v>9</v>
      </c>
      <c r="F1059" s="139" t="str">
        <f>IFERROR(__xludf.DUMMYFUNCTION("""COMPUTED_VALUE"""),"Special")</f>
        <v>Special</v>
      </c>
      <c r="G1059" s="139"/>
      <c r="H1059" s="139"/>
      <c r="I1059" s="139">
        <f>IFERROR(__xludf.DUMMYFUNCTION("""COMPUTED_VALUE"""),150.0)</f>
        <v>150</v>
      </c>
      <c r="J1059" s="139">
        <f>IFERROR(__xludf.DUMMYFUNCTION("""COMPUTED_VALUE"""),33.0)</f>
        <v>33</v>
      </c>
      <c r="K1059" s="139">
        <f>IFERROR(__xludf.DUMMYFUNCTION("""COMPUTED_VALUE"""),0.0)</f>
        <v>0</v>
      </c>
      <c r="L1059" s="139"/>
      <c r="M1059" s="139"/>
      <c r="N1059" s="139"/>
    </row>
    <row r="1060">
      <c r="A1060" s="139"/>
      <c r="B1060" s="139"/>
      <c r="C1060" s="139" t="str">
        <f>IFERROR(__xludf.DUMMYFUNCTION("""COMPUTED_VALUE"""),"chara_osh_00801_Special_00010")</f>
        <v>chara_osh_00801_Special_00010</v>
      </c>
      <c r="D1060" s="139" t="str">
        <f>IFERROR(__xludf.DUMMYFUNCTION("""COMPUTED_VALUE"""),"chara_osh_00801")</f>
        <v>chara_osh_00801</v>
      </c>
      <c r="E1060" s="139">
        <f>IFERROR(__xludf.DUMMYFUNCTION("""COMPUTED_VALUE"""),10.0)</f>
        <v>10</v>
      </c>
      <c r="F1060" s="139" t="str">
        <f>IFERROR(__xludf.DUMMYFUNCTION("""COMPUTED_VALUE"""),"Special")</f>
        <v>Special</v>
      </c>
      <c r="G1060" s="139"/>
      <c r="H1060" s="139"/>
      <c r="I1060" s="139">
        <f>IFERROR(__xludf.DUMMYFUNCTION("""COMPUTED_VALUE"""),150.0)</f>
        <v>150</v>
      </c>
      <c r="J1060" s="139">
        <f>IFERROR(__xludf.DUMMYFUNCTION("""COMPUTED_VALUE"""),33.0)</f>
        <v>33</v>
      </c>
      <c r="K1060" s="139">
        <f>IFERROR(__xludf.DUMMYFUNCTION("""COMPUTED_VALUE"""),0.0)</f>
        <v>0</v>
      </c>
      <c r="L1060" s="139"/>
      <c r="M1060" s="139"/>
      <c r="N1060" s="139"/>
    </row>
    <row r="1061">
      <c r="A1061" s="139" t="str">
        <f>IFERROR(__xludf.DUMMYFUNCTION("""COMPUTED_VALUE"""),"e")</f>
        <v>e</v>
      </c>
      <c r="B1061" s="139">
        <f>IFERROR(__xludf.DUMMYFUNCTION("""COMPUTED_VALUE"""),2.0260302E8)</f>
        <v>202603020</v>
      </c>
      <c r="C1061" s="139" t="str">
        <f>IFERROR(__xludf.DUMMYFUNCTION("""COMPUTED_VALUE"""),"chara_gam_00001_Normal_00000")</f>
        <v>chara_gam_00001_Normal_00000</v>
      </c>
      <c r="D1061" s="139" t="str">
        <f>IFERROR(__xludf.DUMMYFUNCTION("""COMPUTED_VALUE"""),"chara_gam_00001")</f>
        <v>chara_gam_00001</v>
      </c>
      <c r="E1061" s="139">
        <f>IFERROR(__xludf.DUMMYFUNCTION("""COMPUTED_VALUE"""),0.0)</f>
        <v>0</v>
      </c>
      <c r="F1061" s="139" t="str">
        <f>IFERROR(__xludf.DUMMYFUNCTION("""COMPUTED_VALUE"""),"Normal")</f>
        <v>Normal</v>
      </c>
      <c r="G1061" s="139"/>
      <c r="H1061" s="139"/>
      <c r="I1061" s="139">
        <f>IFERROR(__xludf.DUMMYFUNCTION("""COMPUTED_VALUE"""),54.0)</f>
        <v>54</v>
      </c>
      <c r="J1061" s="139">
        <f>IFERROR(__xludf.DUMMYFUNCTION("""COMPUTED_VALUE"""),28.0)</f>
        <v>28</v>
      </c>
      <c r="K1061" s="139">
        <f>IFERROR(__xludf.DUMMYFUNCTION("""COMPUTED_VALUE"""),50.0)</f>
        <v>50</v>
      </c>
      <c r="L1061" s="139"/>
      <c r="M1061" s="139"/>
      <c r="N1061" s="139"/>
    </row>
    <row r="1062">
      <c r="A1062" s="139" t="str">
        <f>IFERROR(__xludf.DUMMYFUNCTION("""COMPUTED_VALUE"""),"e")</f>
        <v>e</v>
      </c>
      <c r="B1062" s="139">
        <f>IFERROR(__xludf.DUMMYFUNCTION("""COMPUTED_VALUE"""),2.0260302E8)</f>
        <v>202603020</v>
      </c>
      <c r="C1062" s="139" t="str">
        <f>IFERROR(__xludf.DUMMYFUNCTION("""COMPUTED_VALUE"""),"chara_gam_00001_Special_00001")</f>
        <v>chara_gam_00001_Special_00001</v>
      </c>
      <c r="D1062" s="139" t="str">
        <f>IFERROR(__xludf.DUMMYFUNCTION("""COMPUTED_VALUE"""),"chara_gam_00001")</f>
        <v>chara_gam_00001</v>
      </c>
      <c r="E1062" s="139">
        <f>IFERROR(__xludf.DUMMYFUNCTION("""COMPUTED_VALUE"""),1.0)</f>
        <v>1</v>
      </c>
      <c r="F1062" s="139" t="str">
        <f>IFERROR(__xludf.DUMMYFUNCTION("""COMPUTED_VALUE"""),"Special")</f>
        <v>Special</v>
      </c>
      <c r="G1062" s="139"/>
      <c r="H1062" s="139"/>
      <c r="I1062" s="139">
        <f>IFERROR(__xludf.DUMMYFUNCTION("""COMPUTED_VALUE"""),173.0)</f>
        <v>173</v>
      </c>
      <c r="J1062" s="139">
        <f>IFERROR(__xludf.DUMMYFUNCTION("""COMPUTED_VALUE"""),37.0)</f>
        <v>37</v>
      </c>
      <c r="K1062" s="139">
        <f>IFERROR(__xludf.DUMMYFUNCTION("""COMPUTED_VALUE"""),0.0)</f>
        <v>0</v>
      </c>
      <c r="L1062" s="139"/>
      <c r="M1062" s="139" t="str">
        <f>IFERROR(__xludf.DUMMYFUNCTION("""COMPUTED_VALUE"""),"自身の攻撃を7.2秒間、15%UP")</f>
        <v>自身の攻撃を7.2秒間、15%UP</v>
      </c>
      <c r="N1062" s="139"/>
    </row>
    <row r="1063">
      <c r="A1063" s="139" t="str">
        <f>IFERROR(__xludf.DUMMYFUNCTION("""COMPUTED_VALUE"""),"e")</f>
        <v>e</v>
      </c>
      <c r="B1063" s="139">
        <f>IFERROR(__xludf.DUMMYFUNCTION("""COMPUTED_VALUE"""),2.0260302E8)</f>
        <v>202603020</v>
      </c>
      <c r="C1063" s="139" t="str">
        <f>IFERROR(__xludf.DUMMYFUNCTION("""COMPUTED_VALUE"""),"chara_gam_00001_Special_00002")</f>
        <v>chara_gam_00001_Special_00002</v>
      </c>
      <c r="D1063" s="139" t="str">
        <f>IFERROR(__xludf.DUMMYFUNCTION("""COMPUTED_VALUE"""),"chara_gam_00001")</f>
        <v>chara_gam_00001</v>
      </c>
      <c r="E1063" s="139">
        <f>IFERROR(__xludf.DUMMYFUNCTION("""COMPUTED_VALUE"""),2.0)</f>
        <v>2</v>
      </c>
      <c r="F1063" s="139" t="str">
        <f>IFERROR(__xludf.DUMMYFUNCTION("""COMPUTED_VALUE"""),"Special")</f>
        <v>Special</v>
      </c>
      <c r="G1063" s="139"/>
      <c r="H1063" s="139"/>
      <c r="I1063" s="139">
        <f>IFERROR(__xludf.DUMMYFUNCTION("""COMPUTED_VALUE"""),173.0)</f>
        <v>173</v>
      </c>
      <c r="J1063" s="139">
        <f>IFERROR(__xludf.DUMMYFUNCTION("""COMPUTED_VALUE"""),37.0)</f>
        <v>37</v>
      </c>
      <c r="K1063" s="139">
        <f>IFERROR(__xludf.DUMMYFUNCTION("""COMPUTED_VALUE"""),0.0)</f>
        <v>0</v>
      </c>
      <c r="L1063" s="139"/>
      <c r="M1063" s="139" t="str">
        <f>IFERROR(__xludf.DUMMYFUNCTION("""COMPUTED_VALUE"""),"自身の攻撃を7.5秒間、17.1%UP")</f>
        <v>自身の攻撃を7.5秒間、17.1%UP</v>
      </c>
      <c r="N1063" s="139" t="str">
        <f>IFERROR(__xludf.DUMMYFUNCTION("""COMPUTED_VALUE"""),"ステータスUP + 必殺ワザ性能UP")</f>
        <v>ステータスUP + 必殺ワザ性能UP</v>
      </c>
    </row>
    <row r="1064">
      <c r="A1064" s="139" t="str">
        <f>IFERROR(__xludf.DUMMYFUNCTION("""COMPUTED_VALUE"""),"e")</f>
        <v>e</v>
      </c>
      <c r="B1064" s="139">
        <f>IFERROR(__xludf.DUMMYFUNCTION("""COMPUTED_VALUE"""),2.0260302E8)</f>
        <v>202603020</v>
      </c>
      <c r="C1064" s="139" t="str">
        <f>IFERROR(__xludf.DUMMYFUNCTION("""COMPUTED_VALUE"""),"chara_gam_00001_Special_00003")</f>
        <v>chara_gam_00001_Special_00003</v>
      </c>
      <c r="D1064" s="139" t="str">
        <f>IFERROR(__xludf.DUMMYFUNCTION("""COMPUTED_VALUE"""),"chara_gam_00001")</f>
        <v>chara_gam_00001</v>
      </c>
      <c r="E1064" s="139">
        <f>IFERROR(__xludf.DUMMYFUNCTION("""COMPUTED_VALUE"""),3.0)</f>
        <v>3</v>
      </c>
      <c r="F1064" s="139" t="str">
        <f>IFERROR(__xludf.DUMMYFUNCTION("""COMPUTED_VALUE"""),"Special")</f>
        <v>Special</v>
      </c>
      <c r="G1064" s="139"/>
      <c r="H1064" s="139"/>
      <c r="I1064" s="139">
        <f>IFERROR(__xludf.DUMMYFUNCTION("""COMPUTED_VALUE"""),173.0)</f>
        <v>173</v>
      </c>
      <c r="J1064" s="139">
        <f>IFERROR(__xludf.DUMMYFUNCTION("""COMPUTED_VALUE"""),37.0)</f>
        <v>37</v>
      </c>
      <c r="K1064" s="139">
        <f>IFERROR(__xludf.DUMMYFUNCTION("""COMPUTED_VALUE"""),0.0)</f>
        <v>0</v>
      </c>
      <c r="L1064" s="139"/>
      <c r="M1064" s="139" t="str">
        <f>IFERROR(__xludf.DUMMYFUNCTION("""COMPUTED_VALUE"""),"自身の攻撃を7.7秒間、18.5%UP")</f>
        <v>自身の攻撃を7.7秒間、18.5%UP</v>
      </c>
      <c r="N1064" s="139" t="str">
        <f>IFERROR(__xludf.DUMMYFUNCTION("""COMPUTED_VALUE"""),"ステータスUP + 必殺ワザ性能UP")</f>
        <v>ステータスUP + 必殺ワザ性能UP</v>
      </c>
    </row>
    <row r="1065">
      <c r="A1065" s="139" t="str">
        <f>IFERROR(__xludf.DUMMYFUNCTION("""COMPUTED_VALUE"""),"e")</f>
        <v>e</v>
      </c>
      <c r="B1065" s="139">
        <f>IFERROR(__xludf.DUMMYFUNCTION("""COMPUTED_VALUE"""),2.0260302E8)</f>
        <v>202603020</v>
      </c>
      <c r="C1065" s="139" t="str">
        <f>IFERROR(__xludf.DUMMYFUNCTION("""COMPUTED_VALUE"""),"chara_gam_00001_Special_00004")</f>
        <v>chara_gam_00001_Special_00004</v>
      </c>
      <c r="D1065" s="139" t="str">
        <f>IFERROR(__xludf.DUMMYFUNCTION("""COMPUTED_VALUE"""),"chara_gam_00001")</f>
        <v>chara_gam_00001</v>
      </c>
      <c r="E1065" s="139">
        <f>IFERROR(__xludf.DUMMYFUNCTION("""COMPUTED_VALUE"""),4.0)</f>
        <v>4</v>
      </c>
      <c r="F1065" s="139" t="str">
        <f>IFERROR(__xludf.DUMMYFUNCTION("""COMPUTED_VALUE"""),"Special")</f>
        <v>Special</v>
      </c>
      <c r="G1065" s="139"/>
      <c r="H1065" s="139"/>
      <c r="I1065" s="139">
        <f>IFERROR(__xludf.DUMMYFUNCTION("""COMPUTED_VALUE"""),173.0)</f>
        <v>173</v>
      </c>
      <c r="J1065" s="139">
        <f>IFERROR(__xludf.DUMMYFUNCTION("""COMPUTED_VALUE"""),37.0)</f>
        <v>37</v>
      </c>
      <c r="K1065" s="139">
        <f>IFERROR(__xludf.DUMMYFUNCTION("""COMPUTED_VALUE"""),0.0)</f>
        <v>0</v>
      </c>
      <c r="L1065" s="139"/>
      <c r="M1065" s="139" t="str">
        <f>IFERROR(__xludf.DUMMYFUNCTION("""COMPUTED_VALUE"""),"自身の攻撃を7.8秒間、19.4%UP")</f>
        <v>自身の攻撃を7.8秒間、19.4%UP</v>
      </c>
      <c r="N1065" s="139" t="str">
        <f>IFERROR(__xludf.DUMMYFUNCTION("""COMPUTED_VALUE"""),"ステータスUP + 必殺ワザ性能UP")</f>
        <v>ステータスUP + 必殺ワザ性能UP</v>
      </c>
    </row>
    <row r="1066">
      <c r="A1066" s="139" t="str">
        <f>IFERROR(__xludf.DUMMYFUNCTION("""COMPUTED_VALUE"""),"e")</f>
        <v>e</v>
      </c>
      <c r="B1066" s="139">
        <f>IFERROR(__xludf.DUMMYFUNCTION("""COMPUTED_VALUE"""),2.0260302E8)</f>
        <v>202603020</v>
      </c>
      <c r="C1066" s="139" t="str">
        <f>IFERROR(__xludf.DUMMYFUNCTION("""COMPUTED_VALUE"""),"chara_gam_00001_Special_00005")</f>
        <v>chara_gam_00001_Special_00005</v>
      </c>
      <c r="D1066" s="139" t="str">
        <f>IFERROR(__xludf.DUMMYFUNCTION("""COMPUTED_VALUE"""),"chara_gam_00001")</f>
        <v>chara_gam_00001</v>
      </c>
      <c r="E1066" s="139">
        <f>IFERROR(__xludf.DUMMYFUNCTION("""COMPUTED_VALUE"""),5.0)</f>
        <v>5</v>
      </c>
      <c r="F1066" s="139" t="str">
        <f>IFERROR(__xludf.DUMMYFUNCTION("""COMPUTED_VALUE"""),"Special")</f>
        <v>Special</v>
      </c>
      <c r="G1066" s="139"/>
      <c r="H1066" s="139"/>
      <c r="I1066" s="139">
        <f>IFERROR(__xludf.DUMMYFUNCTION("""COMPUTED_VALUE"""),173.0)</f>
        <v>173</v>
      </c>
      <c r="J1066" s="139">
        <f>IFERROR(__xludf.DUMMYFUNCTION("""COMPUTED_VALUE"""),37.0)</f>
        <v>37</v>
      </c>
      <c r="K1066" s="139">
        <f>IFERROR(__xludf.DUMMYFUNCTION("""COMPUTED_VALUE"""),0.0)</f>
        <v>0</v>
      </c>
      <c r="L1066" s="139"/>
      <c r="M1066" s="139" t="str">
        <f>IFERROR(__xludf.DUMMYFUNCTION("""COMPUTED_VALUE"""),"自身の攻撃を7.9秒間、20%UP")</f>
        <v>自身の攻撃を7.9秒間、20%UP</v>
      </c>
      <c r="N1066" s="139" t="str">
        <f>IFERROR(__xludf.DUMMYFUNCTION("""COMPUTED_VALUE"""),"ステータスUP + 必殺ワザ性能UP")</f>
        <v>ステータスUP + 必殺ワザ性能UP</v>
      </c>
    </row>
    <row r="1067">
      <c r="A1067" s="139"/>
      <c r="B1067" s="139"/>
      <c r="C1067" s="139" t="str">
        <f>IFERROR(__xludf.DUMMYFUNCTION("""COMPUTED_VALUE"""),"chara_gam_00001_Special_00006")</f>
        <v>chara_gam_00001_Special_00006</v>
      </c>
      <c r="D1067" s="139" t="str">
        <f>IFERROR(__xludf.DUMMYFUNCTION("""COMPUTED_VALUE"""),"chara_gam_00001")</f>
        <v>chara_gam_00001</v>
      </c>
      <c r="E1067" s="139">
        <f>IFERROR(__xludf.DUMMYFUNCTION("""COMPUTED_VALUE"""),6.0)</f>
        <v>6</v>
      </c>
      <c r="F1067" s="139" t="str">
        <f>IFERROR(__xludf.DUMMYFUNCTION("""COMPUTED_VALUE"""),"Special")</f>
        <v>Special</v>
      </c>
      <c r="G1067" s="139"/>
      <c r="H1067" s="139"/>
      <c r="I1067" s="139">
        <f>IFERROR(__xludf.DUMMYFUNCTION("""COMPUTED_VALUE"""),173.0)</f>
        <v>173</v>
      </c>
      <c r="J1067" s="139">
        <f>IFERROR(__xludf.DUMMYFUNCTION("""COMPUTED_VALUE"""),37.0)</f>
        <v>37</v>
      </c>
      <c r="K1067" s="139">
        <f>IFERROR(__xludf.DUMMYFUNCTION("""COMPUTED_VALUE"""),0.0)</f>
        <v>0</v>
      </c>
      <c r="L1067" s="139"/>
      <c r="M1067" s="139"/>
      <c r="N1067" s="139"/>
    </row>
    <row r="1068">
      <c r="A1068" s="139"/>
      <c r="B1068" s="139"/>
      <c r="C1068" s="139" t="str">
        <f>IFERROR(__xludf.DUMMYFUNCTION("""COMPUTED_VALUE"""),"chara_gam_00001_Special_00007")</f>
        <v>chara_gam_00001_Special_00007</v>
      </c>
      <c r="D1068" s="139" t="str">
        <f>IFERROR(__xludf.DUMMYFUNCTION("""COMPUTED_VALUE"""),"chara_gam_00001")</f>
        <v>chara_gam_00001</v>
      </c>
      <c r="E1068" s="139">
        <f>IFERROR(__xludf.DUMMYFUNCTION("""COMPUTED_VALUE"""),7.0)</f>
        <v>7</v>
      </c>
      <c r="F1068" s="139" t="str">
        <f>IFERROR(__xludf.DUMMYFUNCTION("""COMPUTED_VALUE"""),"Special")</f>
        <v>Special</v>
      </c>
      <c r="G1068" s="139"/>
      <c r="H1068" s="139"/>
      <c r="I1068" s="139">
        <f>IFERROR(__xludf.DUMMYFUNCTION("""COMPUTED_VALUE"""),173.0)</f>
        <v>173</v>
      </c>
      <c r="J1068" s="139">
        <f>IFERROR(__xludf.DUMMYFUNCTION("""COMPUTED_VALUE"""),37.0)</f>
        <v>37</v>
      </c>
      <c r="K1068" s="139">
        <f>IFERROR(__xludf.DUMMYFUNCTION("""COMPUTED_VALUE"""),0.0)</f>
        <v>0</v>
      </c>
      <c r="L1068" s="139"/>
      <c r="M1068" s="139"/>
      <c r="N1068" s="139"/>
    </row>
    <row r="1069">
      <c r="A1069" s="139"/>
      <c r="B1069" s="139"/>
      <c r="C1069" s="139" t="str">
        <f>IFERROR(__xludf.DUMMYFUNCTION("""COMPUTED_VALUE"""),"chara_gam_00001_Special_00008")</f>
        <v>chara_gam_00001_Special_00008</v>
      </c>
      <c r="D1069" s="139" t="str">
        <f>IFERROR(__xludf.DUMMYFUNCTION("""COMPUTED_VALUE"""),"chara_gam_00001")</f>
        <v>chara_gam_00001</v>
      </c>
      <c r="E1069" s="139">
        <f>IFERROR(__xludf.DUMMYFUNCTION("""COMPUTED_VALUE"""),8.0)</f>
        <v>8</v>
      </c>
      <c r="F1069" s="139" t="str">
        <f>IFERROR(__xludf.DUMMYFUNCTION("""COMPUTED_VALUE"""),"Special")</f>
        <v>Special</v>
      </c>
      <c r="G1069" s="139"/>
      <c r="H1069" s="139"/>
      <c r="I1069" s="139">
        <f>IFERROR(__xludf.DUMMYFUNCTION("""COMPUTED_VALUE"""),173.0)</f>
        <v>173</v>
      </c>
      <c r="J1069" s="139">
        <f>IFERROR(__xludf.DUMMYFUNCTION("""COMPUTED_VALUE"""),37.0)</f>
        <v>37</v>
      </c>
      <c r="K1069" s="139">
        <f>IFERROR(__xludf.DUMMYFUNCTION("""COMPUTED_VALUE"""),0.0)</f>
        <v>0</v>
      </c>
      <c r="L1069" s="139"/>
      <c r="M1069" s="139"/>
      <c r="N1069" s="139"/>
    </row>
    <row r="1070">
      <c r="A1070" s="139"/>
      <c r="B1070" s="139"/>
      <c r="C1070" s="139" t="str">
        <f>IFERROR(__xludf.DUMMYFUNCTION("""COMPUTED_VALUE"""),"chara_gam_00001_Special_00009")</f>
        <v>chara_gam_00001_Special_00009</v>
      </c>
      <c r="D1070" s="139" t="str">
        <f>IFERROR(__xludf.DUMMYFUNCTION("""COMPUTED_VALUE"""),"chara_gam_00001")</f>
        <v>chara_gam_00001</v>
      </c>
      <c r="E1070" s="139">
        <f>IFERROR(__xludf.DUMMYFUNCTION("""COMPUTED_VALUE"""),9.0)</f>
        <v>9</v>
      </c>
      <c r="F1070" s="139" t="str">
        <f>IFERROR(__xludf.DUMMYFUNCTION("""COMPUTED_VALUE"""),"Special")</f>
        <v>Special</v>
      </c>
      <c r="G1070" s="139"/>
      <c r="H1070" s="139"/>
      <c r="I1070" s="139">
        <f>IFERROR(__xludf.DUMMYFUNCTION("""COMPUTED_VALUE"""),173.0)</f>
        <v>173</v>
      </c>
      <c r="J1070" s="139">
        <f>IFERROR(__xludf.DUMMYFUNCTION("""COMPUTED_VALUE"""),37.0)</f>
        <v>37</v>
      </c>
      <c r="K1070" s="139">
        <f>IFERROR(__xludf.DUMMYFUNCTION("""COMPUTED_VALUE"""),0.0)</f>
        <v>0</v>
      </c>
      <c r="L1070" s="139"/>
      <c r="M1070" s="139"/>
      <c r="N1070" s="139"/>
    </row>
    <row r="1071">
      <c r="A1071" s="139"/>
      <c r="B1071" s="139"/>
      <c r="C1071" s="139" t="str">
        <f>IFERROR(__xludf.DUMMYFUNCTION("""COMPUTED_VALUE"""),"chara_gam_00001_Special_00010")</f>
        <v>chara_gam_00001_Special_00010</v>
      </c>
      <c r="D1071" s="139" t="str">
        <f>IFERROR(__xludf.DUMMYFUNCTION("""COMPUTED_VALUE"""),"chara_gam_00001")</f>
        <v>chara_gam_00001</v>
      </c>
      <c r="E1071" s="139">
        <f>IFERROR(__xludf.DUMMYFUNCTION("""COMPUTED_VALUE"""),10.0)</f>
        <v>10</v>
      </c>
      <c r="F1071" s="139" t="str">
        <f>IFERROR(__xludf.DUMMYFUNCTION("""COMPUTED_VALUE"""),"Special")</f>
        <v>Special</v>
      </c>
      <c r="G1071" s="139"/>
      <c r="H1071" s="139"/>
      <c r="I1071" s="139">
        <f>IFERROR(__xludf.DUMMYFUNCTION("""COMPUTED_VALUE"""),173.0)</f>
        <v>173</v>
      </c>
      <c r="J1071" s="139">
        <f>IFERROR(__xludf.DUMMYFUNCTION("""COMPUTED_VALUE"""),37.0)</f>
        <v>37</v>
      </c>
      <c r="K1071" s="139">
        <f>IFERROR(__xludf.DUMMYFUNCTION("""COMPUTED_VALUE"""),0.0)</f>
        <v>0</v>
      </c>
      <c r="L1071" s="139"/>
      <c r="M1071" s="139"/>
      <c r="N1071" s="139"/>
    </row>
    <row r="1072">
      <c r="A1072" s="139" t="str">
        <f>IFERROR(__xludf.DUMMYFUNCTION("""COMPUTED_VALUE"""),"e")</f>
        <v>e</v>
      </c>
      <c r="B1072" s="139">
        <f>IFERROR(__xludf.DUMMYFUNCTION("""COMPUTED_VALUE"""),2.0260302E8)</f>
        <v>202603020</v>
      </c>
      <c r="C1072" s="139" t="str">
        <f>IFERROR(__xludf.DUMMYFUNCTION("""COMPUTED_VALUE"""),"chara_hyp_00001_Normal_00000")</f>
        <v>chara_hyp_00001_Normal_00000</v>
      </c>
      <c r="D1072" s="139" t="str">
        <f>IFERROR(__xludf.DUMMYFUNCTION("""COMPUTED_VALUE"""),"chara_hyp_00001")</f>
        <v>chara_hyp_00001</v>
      </c>
      <c r="E1072" s="139">
        <f>IFERROR(__xludf.DUMMYFUNCTION("""COMPUTED_VALUE"""),0.0)</f>
        <v>0</v>
      </c>
      <c r="F1072" s="139" t="str">
        <f>IFERROR(__xludf.DUMMYFUNCTION("""COMPUTED_VALUE"""),"Normal")</f>
        <v>Normal</v>
      </c>
      <c r="G1072" s="139"/>
      <c r="H1072" s="139"/>
      <c r="I1072" s="139">
        <f>IFERROR(__xludf.DUMMYFUNCTION("""COMPUTED_VALUE"""),79.0)</f>
        <v>79</v>
      </c>
      <c r="J1072" s="139">
        <f>IFERROR(__xludf.DUMMYFUNCTION("""COMPUTED_VALUE"""),23.0)</f>
        <v>23</v>
      </c>
      <c r="K1072" s="139">
        <f>IFERROR(__xludf.DUMMYFUNCTION("""COMPUTED_VALUE"""),75.0)</f>
        <v>75</v>
      </c>
      <c r="L1072" s="139"/>
      <c r="M1072" s="139"/>
      <c r="N1072" s="139"/>
    </row>
    <row r="1073">
      <c r="A1073" s="139" t="str">
        <f>IFERROR(__xludf.DUMMYFUNCTION("""COMPUTED_VALUE"""),"e")</f>
        <v>e</v>
      </c>
      <c r="B1073" s="139">
        <f>IFERROR(__xludf.DUMMYFUNCTION("""COMPUTED_VALUE"""),2.0260302E8)</f>
        <v>202603020</v>
      </c>
      <c r="C1073" s="139" t="str">
        <f>IFERROR(__xludf.DUMMYFUNCTION("""COMPUTED_VALUE"""),"chara_hyp_00001_Special_00001")</f>
        <v>chara_hyp_00001_Special_00001</v>
      </c>
      <c r="D1073" s="139" t="str">
        <f>IFERROR(__xludf.DUMMYFUNCTION("""COMPUTED_VALUE"""),"chara_hyp_00001")</f>
        <v>chara_hyp_00001</v>
      </c>
      <c r="E1073" s="139">
        <f>IFERROR(__xludf.DUMMYFUNCTION("""COMPUTED_VALUE"""),1.0)</f>
        <v>1</v>
      </c>
      <c r="F1073" s="139" t="str">
        <f>IFERROR(__xludf.DUMMYFUNCTION("""COMPUTED_VALUE"""),"Special")</f>
        <v>Special</v>
      </c>
      <c r="G1073" s="139"/>
      <c r="H1073" s="139"/>
      <c r="I1073" s="139">
        <f>IFERROR(__xludf.DUMMYFUNCTION("""COMPUTED_VALUE"""),123.0)</f>
        <v>123</v>
      </c>
      <c r="J1073" s="139">
        <f>IFERROR(__xludf.DUMMYFUNCTION("""COMPUTED_VALUE"""),43.0)</f>
        <v>43</v>
      </c>
      <c r="K1073" s="139">
        <f>IFERROR(__xludf.DUMMYFUNCTION("""COMPUTED_VALUE"""),0.0)</f>
        <v>0</v>
      </c>
      <c r="L1073" s="139"/>
      <c r="M1073" s="139" t="str">
        <f>IFERROR(__xludf.DUMMYFUNCTION("""COMPUTED_VALUE"""),"自身と同じコマと一つ後ろまでのコマにいる味方アタックキャラの攻撃を9秒間、5%UP")</f>
        <v>自身と同じコマと一つ後ろまでのコマにいる味方アタックキャラの攻撃を9秒間、5%UP</v>
      </c>
      <c r="N1073" s="139"/>
    </row>
    <row r="1074">
      <c r="A1074" s="139" t="str">
        <f>IFERROR(__xludf.DUMMYFUNCTION("""COMPUTED_VALUE"""),"e")</f>
        <v>e</v>
      </c>
      <c r="B1074" s="139">
        <f>IFERROR(__xludf.DUMMYFUNCTION("""COMPUTED_VALUE"""),2.0260302E8)</f>
        <v>202603020</v>
      </c>
      <c r="C1074" s="139" t="str">
        <f>IFERROR(__xludf.DUMMYFUNCTION("""COMPUTED_VALUE"""),"chara_hyp_00001_Special_00002")</f>
        <v>chara_hyp_00001_Special_00002</v>
      </c>
      <c r="D1074" s="139" t="str">
        <f>IFERROR(__xludf.DUMMYFUNCTION("""COMPUTED_VALUE"""),"chara_hyp_00001")</f>
        <v>chara_hyp_00001</v>
      </c>
      <c r="E1074" s="139">
        <f>IFERROR(__xludf.DUMMYFUNCTION("""COMPUTED_VALUE"""),2.0)</f>
        <v>2</v>
      </c>
      <c r="F1074" s="139" t="str">
        <f>IFERROR(__xludf.DUMMYFUNCTION("""COMPUTED_VALUE"""),"Special")</f>
        <v>Special</v>
      </c>
      <c r="G1074" s="139"/>
      <c r="H1074" s="139"/>
      <c r="I1074" s="139">
        <f>IFERROR(__xludf.DUMMYFUNCTION("""COMPUTED_VALUE"""),123.0)</f>
        <v>123</v>
      </c>
      <c r="J1074" s="139">
        <f>IFERROR(__xludf.DUMMYFUNCTION("""COMPUTED_VALUE"""),43.0)</f>
        <v>43</v>
      </c>
      <c r="K1074" s="139">
        <f>IFERROR(__xludf.DUMMYFUNCTION("""COMPUTED_VALUE"""),0.0)</f>
        <v>0</v>
      </c>
      <c r="L1074" s="139"/>
      <c r="M1074" s="139" t="str">
        <f>IFERROR(__xludf.DUMMYFUNCTION("""COMPUTED_VALUE"""),"自身と同じコマと一つ後ろまでのコマにいる味方アタックキャラの攻撃を9.4秒間、7%UP")</f>
        <v>自身と同じコマと一つ後ろまでのコマにいる味方アタックキャラの攻撃を9.4秒間、7%UP</v>
      </c>
      <c r="N1074" s="139" t="str">
        <f>IFERROR(__xludf.DUMMYFUNCTION("""COMPUTED_VALUE"""),"ステータスUP + 必殺ワザ性能UP")</f>
        <v>ステータスUP + 必殺ワザ性能UP</v>
      </c>
    </row>
    <row r="1075">
      <c r="A1075" s="139" t="str">
        <f>IFERROR(__xludf.DUMMYFUNCTION("""COMPUTED_VALUE"""),"e")</f>
        <v>e</v>
      </c>
      <c r="B1075" s="139">
        <f>IFERROR(__xludf.DUMMYFUNCTION("""COMPUTED_VALUE"""),2.0260302E8)</f>
        <v>202603020</v>
      </c>
      <c r="C1075" s="139" t="str">
        <f>IFERROR(__xludf.DUMMYFUNCTION("""COMPUTED_VALUE"""),"chara_hyp_00001_Special_00003")</f>
        <v>chara_hyp_00001_Special_00003</v>
      </c>
      <c r="D1075" s="139" t="str">
        <f>IFERROR(__xludf.DUMMYFUNCTION("""COMPUTED_VALUE"""),"chara_hyp_00001")</f>
        <v>chara_hyp_00001</v>
      </c>
      <c r="E1075" s="139">
        <f>IFERROR(__xludf.DUMMYFUNCTION("""COMPUTED_VALUE"""),3.0)</f>
        <v>3</v>
      </c>
      <c r="F1075" s="139" t="str">
        <f>IFERROR(__xludf.DUMMYFUNCTION("""COMPUTED_VALUE"""),"Special")</f>
        <v>Special</v>
      </c>
      <c r="G1075" s="139"/>
      <c r="H1075" s="139"/>
      <c r="I1075" s="139">
        <f>IFERROR(__xludf.DUMMYFUNCTION("""COMPUTED_VALUE"""),123.0)</f>
        <v>123</v>
      </c>
      <c r="J1075" s="139">
        <f>IFERROR(__xludf.DUMMYFUNCTION("""COMPUTED_VALUE"""),43.0)</f>
        <v>43</v>
      </c>
      <c r="K1075" s="139">
        <f>IFERROR(__xludf.DUMMYFUNCTION("""COMPUTED_VALUE"""),0.0)</f>
        <v>0</v>
      </c>
      <c r="L1075" s="139"/>
      <c r="M1075" s="139" t="str">
        <f>IFERROR(__xludf.DUMMYFUNCTION("""COMPUTED_VALUE"""),"自身と同じコマと一つ後ろまでのコマにいる味方アタックキャラの攻撃を9.6秒間、8%UP")</f>
        <v>自身と同じコマと一つ後ろまでのコマにいる味方アタックキャラの攻撃を9.6秒間、8%UP</v>
      </c>
      <c r="N1075" s="139" t="str">
        <f>IFERROR(__xludf.DUMMYFUNCTION("""COMPUTED_VALUE"""),"ステータスUP + 必殺ワザ性能UP")</f>
        <v>ステータスUP + 必殺ワザ性能UP</v>
      </c>
    </row>
    <row r="1076">
      <c r="A1076" s="139" t="str">
        <f>IFERROR(__xludf.DUMMYFUNCTION("""COMPUTED_VALUE"""),"e")</f>
        <v>e</v>
      </c>
      <c r="B1076" s="139">
        <f>IFERROR(__xludf.DUMMYFUNCTION("""COMPUTED_VALUE"""),2.0260302E8)</f>
        <v>202603020</v>
      </c>
      <c r="C1076" s="139" t="str">
        <f>IFERROR(__xludf.DUMMYFUNCTION("""COMPUTED_VALUE"""),"chara_hyp_00001_Special_00004")</f>
        <v>chara_hyp_00001_Special_00004</v>
      </c>
      <c r="D1076" s="139" t="str">
        <f>IFERROR(__xludf.DUMMYFUNCTION("""COMPUTED_VALUE"""),"chara_hyp_00001")</f>
        <v>chara_hyp_00001</v>
      </c>
      <c r="E1076" s="139">
        <f>IFERROR(__xludf.DUMMYFUNCTION("""COMPUTED_VALUE"""),4.0)</f>
        <v>4</v>
      </c>
      <c r="F1076" s="139" t="str">
        <f>IFERROR(__xludf.DUMMYFUNCTION("""COMPUTED_VALUE"""),"Special")</f>
        <v>Special</v>
      </c>
      <c r="G1076" s="139"/>
      <c r="H1076" s="139"/>
      <c r="I1076" s="139">
        <f>IFERROR(__xludf.DUMMYFUNCTION("""COMPUTED_VALUE"""),123.0)</f>
        <v>123</v>
      </c>
      <c r="J1076" s="139">
        <f>IFERROR(__xludf.DUMMYFUNCTION("""COMPUTED_VALUE"""),43.0)</f>
        <v>43</v>
      </c>
      <c r="K1076" s="139">
        <f>IFERROR(__xludf.DUMMYFUNCTION("""COMPUTED_VALUE"""),0.0)</f>
        <v>0</v>
      </c>
      <c r="L1076" s="139"/>
      <c r="M1076" s="139" t="str">
        <f>IFERROR(__xludf.DUMMYFUNCTION("""COMPUTED_VALUE"""),"自身と同じコマと一つ後ろまでのコマにいる味方アタックキャラの攻撃を9.7秒間、8%UP")</f>
        <v>自身と同じコマと一つ後ろまでのコマにいる味方アタックキャラの攻撃を9.7秒間、8%UP</v>
      </c>
      <c r="N1076" s="139" t="str">
        <f>IFERROR(__xludf.DUMMYFUNCTION("""COMPUTED_VALUE"""),"ステータスUP + 必殺ワザ性能UP")</f>
        <v>ステータスUP + 必殺ワザ性能UP</v>
      </c>
    </row>
    <row r="1077">
      <c r="A1077" s="139" t="str">
        <f>IFERROR(__xludf.DUMMYFUNCTION("""COMPUTED_VALUE"""),"e")</f>
        <v>e</v>
      </c>
      <c r="B1077" s="139">
        <f>IFERROR(__xludf.DUMMYFUNCTION("""COMPUTED_VALUE"""),2.0260302E8)</f>
        <v>202603020</v>
      </c>
      <c r="C1077" s="139" t="str">
        <f>IFERROR(__xludf.DUMMYFUNCTION("""COMPUTED_VALUE"""),"chara_hyp_00001_Special_00005")</f>
        <v>chara_hyp_00001_Special_00005</v>
      </c>
      <c r="D1077" s="139" t="str">
        <f>IFERROR(__xludf.DUMMYFUNCTION("""COMPUTED_VALUE"""),"chara_hyp_00001")</f>
        <v>chara_hyp_00001</v>
      </c>
      <c r="E1077" s="139">
        <f>IFERROR(__xludf.DUMMYFUNCTION("""COMPUTED_VALUE"""),5.0)</f>
        <v>5</v>
      </c>
      <c r="F1077" s="139" t="str">
        <f>IFERROR(__xludf.DUMMYFUNCTION("""COMPUTED_VALUE"""),"Special")</f>
        <v>Special</v>
      </c>
      <c r="G1077" s="139"/>
      <c r="H1077" s="139"/>
      <c r="I1077" s="139">
        <f>IFERROR(__xludf.DUMMYFUNCTION("""COMPUTED_VALUE"""),123.0)</f>
        <v>123</v>
      </c>
      <c r="J1077" s="139">
        <f>IFERROR(__xludf.DUMMYFUNCTION("""COMPUTED_VALUE"""),43.0)</f>
        <v>43</v>
      </c>
      <c r="K1077" s="139">
        <f>IFERROR(__xludf.DUMMYFUNCTION("""COMPUTED_VALUE"""),0.0)</f>
        <v>0</v>
      </c>
      <c r="L1077" s="139"/>
      <c r="M1077" s="139" t="str">
        <f>IFERROR(__xludf.DUMMYFUNCTION("""COMPUTED_VALUE"""),"自身と同じコマと一つ後ろまでのコマにいる味方アタックキャラの攻撃を9.8秒間、9%UP")</f>
        <v>自身と同じコマと一つ後ろまでのコマにいる味方アタックキャラの攻撃を9.8秒間、9%UP</v>
      </c>
      <c r="N1077" s="139" t="str">
        <f>IFERROR(__xludf.DUMMYFUNCTION("""COMPUTED_VALUE"""),"ステータスUP + 必殺ワザ性能UP")</f>
        <v>ステータスUP + 必殺ワザ性能UP</v>
      </c>
    </row>
    <row r="1078">
      <c r="A1078" s="139"/>
      <c r="B1078" s="139"/>
      <c r="C1078" s="139" t="str">
        <f>IFERROR(__xludf.DUMMYFUNCTION("""COMPUTED_VALUE"""),"chara_hyp_00001_Special_00006")</f>
        <v>chara_hyp_00001_Special_00006</v>
      </c>
      <c r="D1078" s="139" t="str">
        <f>IFERROR(__xludf.DUMMYFUNCTION("""COMPUTED_VALUE"""),"chara_hyp_00001")</f>
        <v>chara_hyp_00001</v>
      </c>
      <c r="E1078" s="139">
        <f>IFERROR(__xludf.DUMMYFUNCTION("""COMPUTED_VALUE"""),6.0)</f>
        <v>6</v>
      </c>
      <c r="F1078" s="139" t="str">
        <f>IFERROR(__xludf.DUMMYFUNCTION("""COMPUTED_VALUE"""),"Special")</f>
        <v>Special</v>
      </c>
      <c r="G1078" s="139"/>
      <c r="H1078" s="139"/>
      <c r="I1078" s="139">
        <f>IFERROR(__xludf.DUMMYFUNCTION("""COMPUTED_VALUE"""),123.0)</f>
        <v>123</v>
      </c>
      <c r="J1078" s="139">
        <f>IFERROR(__xludf.DUMMYFUNCTION("""COMPUTED_VALUE"""),43.0)</f>
        <v>43</v>
      </c>
      <c r="K1078" s="139">
        <f>IFERROR(__xludf.DUMMYFUNCTION("""COMPUTED_VALUE"""),0.0)</f>
        <v>0</v>
      </c>
      <c r="L1078" s="139"/>
      <c r="M1078" s="139"/>
      <c r="N1078" s="139"/>
    </row>
    <row r="1079">
      <c r="A1079" s="139"/>
      <c r="B1079" s="139"/>
      <c r="C1079" s="139" t="str">
        <f>IFERROR(__xludf.DUMMYFUNCTION("""COMPUTED_VALUE"""),"chara_hyp_00001_Special_00007")</f>
        <v>chara_hyp_00001_Special_00007</v>
      </c>
      <c r="D1079" s="139" t="str">
        <f>IFERROR(__xludf.DUMMYFUNCTION("""COMPUTED_VALUE"""),"chara_hyp_00001")</f>
        <v>chara_hyp_00001</v>
      </c>
      <c r="E1079" s="139">
        <f>IFERROR(__xludf.DUMMYFUNCTION("""COMPUTED_VALUE"""),7.0)</f>
        <v>7</v>
      </c>
      <c r="F1079" s="139" t="str">
        <f>IFERROR(__xludf.DUMMYFUNCTION("""COMPUTED_VALUE"""),"Special")</f>
        <v>Special</v>
      </c>
      <c r="G1079" s="139"/>
      <c r="H1079" s="139"/>
      <c r="I1079" s="139">
        <f>IFERROR(__xludf.DUMMYFUNCTION("""COMPUTED_VALUE"""),123.0)</f>
        <v>123</v>
      </c>
      <c r="J1079" s="139">
        <f>IFERROR(__xludf.DUMMYFUNCTION("""COMPUTED_VALUE"""),43.0)</f>
        <v>43</v>
      </c>
      <c r="K1079" s="139">
        <f>IFERROR(__xludf.DUMMYFUNCTION("""COMPUTED_VALUE"""),0.0)</f>
        <v>0</v>
      </c>
      <c r="L1079" s="139"/>
      <c r="M1079" s="139"/>
      <c r="N1079" s="139"/>
    </row>
    <row r="1080">
      <c r="A1080" s="139"/>
      <c r="B1080" s="139"/>
      <c r="C1080" s="139" t="str">
        <f>IFERROR(__xludf.DUMMYFUNCTION("""COMPUTED_VALUE"""),"chara_hyp_00001_Special_00008")</f>
        <v>chara_hyp_00001_Special_00008</v>
      </c>
      <c r="D1080" s="139" t="str">
        <f>IFERROR(__xludf.DUMMYFUNCTION("""COMPUTED_VALUE"""),"chara_hyp_00001")</f>
        <v>chara_hyp_00001</v>
      </c>
      <c r="E1080" s="139">
        <f>IFERROR(__xludf.DUMMYFUNCTION("""COMPUTED_VALUE"""),8.0)</f>
        <v>8</v>
      </c>
      <c r="F1080" s="139" t="str">
        <f>IFERROR(__xludf.DUMMYFUNCTION("""COMPUTED_VALUE"""),"Special")</f>
        <v>Special</v>
      </c>
      <c r="G1080" s="139"/>
      <c r="H1080" s="139"/>
      <c r="I1080" s="139">
        <f>IFERROR(__xludf.DUMMYFUNCTION("""COMPUTED_VALUE"""),123.0)</f>
        <v>123</v>
      </c>
      <c r="J1080" s="139">
        <f>IFERROR(__xludf.DUMMYFUNCTION("""COMPUTED_VALUE"""),43.0)</f>
        <v>43</v>
      </c>
      <c r="K1080" s="139">
        <f>IFERROR(__xludf.DUMMYFUNCTION("""COMPUTED_VALUE"""),0.0)</f>
        <v>0</v>
      </c>
      <c r="L1080" s="139"/>
      <c r="M1080" s="139"/>
      <c r="N1080" s="139"/>
    </row>
    <row r="1081">
      <c r="A1081" s="139"/>
      <c r="B1081" s="139"/>
      <c r="C1081" s="139" t="str">
        <f>IFERROR(__xludf.DUMMYFUNCTION("""COMPUTED_VALUE"""),"chara_hyp_00001_Special_00009")</f>
        <v>chara_hyp_00001_Special_00009</v>
      </c>
      <c r="D1081" s="139" t="str">
        <f>IFERROR(__xludf.DUMMYFUNCTION("""COMPUTED_VALUE"""),"chara_hyp_00001")</f>
        <v>chara_hyp_00001</v>
      </c>
      <c r="E1081" s="139">
        <f>IFERROR(__xludf.DUMMYFUNCTION("""COMPUTED_VALUE"""),9.0)</f>
        <v>9</v>
      </c>
      <c r="F1081" s="139" t="str">
        <f>IFERROR(__xludf.DUMMYFUNCTION("""COMPUTED_VALUE"""),"Special")</f>
        <v>Special</v>
      </c>
      <c r="G1081" s="139"/>
      <c r="H1081" s="139"/>
      <c r="I1081" s="139">
        <f>IFERROR(__xludf.DUMMYFUNCTION("""COMPUTED_VALUE"""),123.0)</f>
        <v>123</v>
      </c>
      <c r="J1081" s="139">
        <f>IFERROR(__xludf.DUMMYFUNCTION("""COMPUTED_VALUE"""),43.0)</f>
        <v>43</v>
      </c>
      <c r="K1081" s="139">
        <f>IFERROR(__xludf.DUMMYFUNCTION("""COMPUTED_VALUE"""),0.0)</f>
        <v>0</v>
      </c>
      <c r="L1081" s="139"/>
      <c r="M1081" s="139"/>
      <c r="N1081" s="139"/>
    </row>
    <row r="1082">
      <c r="A1082" s="139"/>
      <c r="B1082" s="139"/>
      <c r="C1082" s="139" t="str">
        <f>IFERROR(__xludf.DUMMYFUNCTION("""COMPUTED_VALUE"""),"chara_hyp_00001_Special_00010")</f>
        <v>chara_hyp_00001_Special_00010</v>
      </c>
      <c r="D1082" s="139" t="str">
        <f>IFERROR(__xludf.DUMMYFUNCTION("""COMPUTED_VALUE"""),"chara_hyp_00001")</f>
        <v>chara_hyp_00001</v>
      </c>
      <c r="E1082" s="139">
        <f>IFERROR(__xludf.DUMMYFUNCTION("""COMPUTED_VALUE"""),10.0)</f>
        <v>10</v>
      </c>
      <c r="F1082" s="139" t="str">
        <f>IFERROR(__xludf.DUMMYFUNCTION("""COMPUTED_VALUE"""),"Special")</f>
        <v>Special</v>
      </c>
      <c r="G1082" s="139"/>
      <c r="H1082" s="139"/>
      <c r="I1082" s="139">
        <f>IFERROR(__xludf.DUMMYFUNCTION("""COMPUTED_VALUE"""),123.0)</f>
        <v>123</v>
      </c>
      <c r="J1082" s="139">
        <f>IFERROR(__xludf.DUMMYFUNCTION("""COMPUTED_VALUE"""),43.0)</f>
        <v>43</v>
      </c>
      <c r="K1082" s="139">
        <f>IFERROR(__xludf.DUMMYFUNCTION("""COMPUTED_VALUE"""),0.0)</f>
        <v>0</v>
      </c>
      <c r="L1082" s="139"/>
      <c r="M1082" s="139"/>
      <c r="N1082" s="139"/>
    </row>
    <row r="1083">
      <c r="A1083" s="139" t="str">
        <f>IFERROR(__xludf.DUMMYFUNCTION("""COMPUTED_VALUE"""),"e")</f>
        <v>e</v>
      </c>
      <c r="B1083" s="139">
        <f>IFERROR(__xludf.DUMMYFUNCTION("""COMPUTED_VALUE"""),2.0260302E8)</f>
        <v>202603020</v>
      </c>
      <c r="C1083" s="139" t="str">
        <f>IFERROR(__xludf.DUMMYFUNCTION("""COMPUTED_VALUE"""),"chara_ara_00001_Normal_00000")</f>
        <v>chara_ara_00001_Normal_00000</v>
      </c>
      <c r="D1083" s="139" t="str">
        <f>IFERROR(__xludf.DUMMYFUNCTION("""COMPUTED_VALUE"""),"chara_ara_00001")</f>
        <v>chara_ara_00001</v>
      </c>
      <c r="E1083" s="139">
        <f>IFERROR(__xludf.DUMMYFUNCTION("""COMPUTED_VALUE"""),0.0)</f>
        <v>0</v>
      </c>
      <c r="F1083" s="139" t="str">
        <f>IFERROR(__xludf.DUMMYFUNCTION("""COMPUTED_VALUE"""),"Normal")</f>
        <v>Normal</v>
      </c>
      <c r="G1083" s="139"/>
      <c r="H1083" s="139"/>
      <c r="I1083" s="139">
        <f>IFERROR(__xludf.DUMMYFUNCTION("""COMPUTED_VALUE"""),69.0)</f>
        <v>69</v>
      </c>
      <c r="J1083" s="139">
        <f>IFERROR(__xludf.DUMMYFUNCTION("""COMPUTED_VALUE"""),15.0)</f>
        <v>15</v>
      </c>
      <c r="K1083" s="139">
        <f>IFERROR(__xludf.DUMMYFUNCTION("""COMPUTED_VALUE"""),75.0)</f>
        <v>75</v>
      </c>
      <c r="L1083" s="139"/>
      <c r="M1083" s="139"/>
      <c r="N1083" s="139"/>
    </row>
    <row r="1084">
      <c r="A1084" s="139" t="str">
        <f>IFERROR(__xludf.DUMMYFUNCTION("""COMPUTED_VALUE"""),"e")</f>
        <v>e</v>
      </c>
      <c r="B1084" s="139">
        <f>IFERROR(__xludf.DUMMYFUNCTION("""COMPUTED_VALUE"""),2.0260302E8)</f>
        <v>202603020</v>
      </c>
      <c r="C1084" s="139" t="str">
        <f>IFERROR(__xludf.DUMMYFUNCTION("""COMPUTED_VALUE"""),"chara_ara_00001_Special_00001")</f>
        <v>chara_ara_00001_Special_00001</v>
      </c>
      <c r="D1084" s="139" t="str">
        <f>IFERROR(__xludf.DUMMYFUNCTION("""COMPUTED_VALUE"""),"chara_ara_00001")</f>
        <v>chara_ara_00001</v>
      </c>
      <c r="E1084" s="139">
        <f>IFERROR(__xludf.DUMMYFUNCTION("""COMPUTED_VALUE"""),1.0)</f>
        <v>1</v>
      </c>
      <c r="F1084" s="139" t="str">
        <f>IFERROR(__xludf.DUMMYFUNCTION("""COMPUTED_VALUE"""),"Special")</f>
        <v>Special</v>
      </c>
      <c r="G1084" s="139"/>
      <c r="H1084" s="139"/>
      <c r="I1084" s="139">
        <f>IFERROR(__xludf.DUMMYFUNCTION("""COMPUTED_VALUE"""),134.0)</f>
        <v>134</v>
      </c>
      <c r="J1084" s="139">
        <f>IFERROR(__xludf.DUMMYFUNCTION("""COMPUTED_VALUE"""),35.0)</f>
        <v>35</v>
      </c>
      <c r="K1084" s="139">
        <f>IFERROR(__xludf.DUMMYFUNCTION("""COMPUTED_VALUE"""),0.0)</f>
        <v>0</v>
      </c>
      <c r="L1084" s="139"/>
      <c r="M1084" s="139" t="str">
        <f>IFERROR(__xludf.DUMMYFUNCTION("""COMPUTED_VALUE"""),"自身への被ダメージを6秒間、7%カット")</f>
        <v>自身への被ダメージを6秒間、7%カット</v>
      </c>
      <c r="N1084" s="139"/>
    </row>
    <row r="1085">
      <c r="A1085" s="139" t="str">
        <f>IFERROR(__xludf.DUMMYFUNCTION("""COMPUTED_VALUE"""),"e")</f>
        <v>e</v>
      </c>
      <c r="B1085" s="139">
        <f>IFERROR(__xludf.DUMMYFUNCTION("""COMPUTED_VALUE"""),2.0260302E8)</f>
        <v>202603020</v>
      </c>
      <c r="C1085" s="139" t="str">
        <f>IFERROR(__xludf.DUMMYFUNCTION("""COMPUTED_VALUE"""),"chara_ara_00001_Special_00002")</f>
        <v>chara_ara_00001_Special_00002</v>
      </c>
      <c r="D1085" s="139" t="str">
        <f>IFERROR(__xludf.DUMMYFUNCTION("""COMPUTED_VALUE"""),"chara_ara_00001")</f>
        <v>chara_ara_00001</v>
      </c>
      <c r="E1085" s="139">
        <f>IFERROR(__xludf.DUMMYFUNCTION("""COMPUTED_VALUE"""),2.0)</f>
        <v>2</v>
      </c>
      <c r="F1085" s="139" t="str">
        <f>IFERROR(__xludf.DUMMYFUNCTION("""COMPUTED_VALUE"""),"Special")</f>
        <v>Special</v>
      </c>
      <c r="G1085" s="139"/>
      <c r="H1085" s="139"/>
      <c r="I1085" s="139">
        <f>IFERROR(__xludf.DUMMYFUNCTION("""COMPUTED_VALUE"""),134.0)</f>
        <v>134</v>
      </c>
      <c r="J1085" s="139">
        <f>IFERROR(__xludf.DUMMYFUNCTION("""COMPUTED_VALUE"""),35.0)</f>
        <v>35</v>
      </c>
      <c r="K1085" s="139">
        <f>IFERROR(__xludf.DUMMYFUNCTION("""COMPUTED_VALUE"""),0.0)</f>
        <v>0</v>
      </c>
      <c r="L1085" s="139"/>
      <c r="M1085" s="139" t="str">
        <f>IFERROR(__xludf.DUMMYFUNCTION("""COMPUTED_VALUE"""),"自身への被ダメージを6.3秒間、8%カット")</f>
        <v>自身への被ダメージを6.3秒間、8%カット</v>
      </c>
      <c r="N1085" s="139" t="str">
        <f>IFERROR(__xludf.DUMMYFUNCTION("""COMPUTED_VALUE"""),"ステータスUP + 必殺ワザ性能UP")</f>
        <v>ステータスUP + 必殺ワザ性能UP</v>
      </c>
    </row>
    <row r="1086">
      <c r="A1086" s="139" t="str">
        <f>IFERROR(__xludf.DUMMYFUNCTION("""COMPUTED_VALUE"""),"e")</f>
        <v>e</v>
      </c>
      <c r="B1086" s="139">
        <f>IFERROR(__xludf.DUMMYFUNCTION("""COMPUTED_VALUE"""),2.0260302E8)</f>
        <v>202603020</v>
      </c>
      <c r="C1086" s="139" t="str">
        <f>IFERROR(__xludf.DUMMYFUNCTION("""COMPUTED_VALUE"""),"chara_ara_00001_Special_00003")</f>
        <v>chara_ara_00001_Special_00003</v>
      </c>
      <c r="D1086" s="139" t="str">
        <f>IFERROR(__xludf.DUMMYFUNCTION("""COMPUTED_VALUE"""),"chara_ara_00001")</f>
        <v>chara_ara_00001</v>
      </c>
      <c r="E1086" s="139">
        <f>IFERROR(__xludf.DUMMYFUNCTION("""COMPUTED_VALUE"""),3.0)</f>
        <v>3</v>
      </c>
      <c r="F1086" s="139" t="str">
        <f>IFERROR(__xludf.DUMMYFUNCTION("""COMPUTED_VALUE"""),"Special")</f>
        <v>Special</v>
      </c>
      <c r="G1086" s="139"/>
      <c r="H1086" s="139"/>
      <c r="I1086" s="139">
        <f>IFERROR(__xludf.DUMMYFUNCTION("""COMPUTED_VALUE"""),134.0)</f>
        <v>134</v>
      </c>
      <c r="J1086" s="139">
        <f>IFERROR(__xludf.DUMMYFUNCTION("""COMPUTED_VALUE"""),35.0)</f>
        <v>35</v>
      </c>
      <c r="K1086" s="139">
        <f>IFERROR(__xludf.DUMMYFUNCTION("""COMPUTED_VALUE"""),0.0)</f>
        <v>0</v>
      </c>
      <c r="L1086" s="139"/>
      <c r="M1086" s="139" t="str">
        <f>IFERROR(__xludf.DUMMYFUNCTION("""COMPUTED_VALUE"""),"自身への被ダメージを6.5秒間、9%カット")</f>
        <v>自身への被ダメージを6.5秒間、9%カット</v>
      </c>
      <c r="N1086" s="139" t="str">
        <f>IFERROR(__xludf.DUMMYFUNCTION("""COMPUTED_VALUE"""),"ステータスUP + 必殺ワザ性能UP")</f>
        <v>ステータスUP + 必殺ワザ性能UP</v>
      </c>
    </row>
    <row r="1087">
      <c r="A1087" s="139" t="str">
        <f>IFERROR(__xludf.DUMMYFUNCTION("""COMPUTED_VALUE"""),"e")</f>
        <v>e</v>
      </c>
      <c r="B1087" s="139">
        <f>IFERROR(__xludf.DUMMYFUNCTION("""COMPUTED_VALUE"""),2.0260302E8)</f>
        <v>202603020</v>
      </c>
      <c r="C1087" s="139" t="str">
        <f>IFERROR(__xludf.DUMMYFUNCTION("""COMPUTED_VALUE"""),"chara_ara_00001_Special_00004")</f>
        <v>chara_ara_00001_Special_00004</v>
      </c>
      <c r="D1087" s="139" t="str">
        <f>IFERROR(__xludf.DUMMYFUNCTION("""COMPUTED_VALUE"""),"chara_ara_00001")</f>
        <v>chara_ara_00001</v>
      </c>
      <c r="E1087" s="139">
        <f>IFERROR(__xludf.DUMMYFUNCTION("""COMPUTED_VALUE"""),4.0)</f>
        <v>4</v>
      </c>
      <c r="F1087" s="139" t="str">
        <f>IFERROR(__xludf.DUMMYFUNCTION("""COMPUTED_VALUE"""),"Special")</f>
        <v>Special</v>
      </c>
      <c r="G1087" s="139"/>
      <c r="H1087" s="139"/>
      <c r="I1087" s="139">
        <f>IFERROR(__xludf.DUMMYFUNCTION("""COMPUTED_VALUE"""),134.0)</f>
        <v>134</v>
      </c>
      <c r="J1087" s="139">
        <f>IFERROR(__xludf.DUMMYFUNCTION("""COMPUTED_VALUE"""),35.0)</f>
        <v>35</v>
      </c>
      <c r="K1087" s="139">
        <f>IFERROR(__xludf.DUMMYFUNCTION("""COMPUTED_VALUE"""),0.0)</f>
        <v>0</v>
      </c>
      <c r="L1087" s="139"/>
      <c r="M1087" s="139" t="str">
        <f>IFERROR(__xludf.DUMMYFUNCTION("""COMPUTED_VALUE"""),"自身への被ダメージを6.6秒間、9%カット")</f>
        <v>自身への被ダメージを6.6秒間、9%カット</v>
      </c>
      <c r="N1087" s="139" t="str">
        <f>IFERROR(__xludf.DUMMYFUNCTION("""COMPUTED_VALUE"""),"ステータスUP + 必殺ワザ性能UP")</f>
        <v>ステータスUP + 必殺ワザ性能UP</v>
      </c>
    </row>
    <row r="1088">
      <c r="A1088" s="139" t="str">
        <f>IFERROR(__xludf.DUMMYFUNCTION("""COMPUTED_VALUE"""),"e")</f>
        <v>e</v>
      </c>
      <c r="B1088" s="139">
        <f>IFERROR(__xludf.DUMMYFUNCTION("""COMPUTED_VALUE"""),2.0260302E8)</f>
        <v>202603020</v>
      </c>
      <c r="C1088" s="139" t="str">
        <f>IFERROR(__xludf.DUMMYFUNCTION("""COMPUTED_VALUE"""),"chara_ara_00001_Special_00005")</f>
        <v>chara_ara_00001_Special_00005</v>
      </c>
      <c r="D1088" s="139" t="str">
        <f>IFERROR(__xludf.DUMMYFUNCTION("""COMPUTED_VALUE"""),"chara_ara_00001")</f>
        <v>chara_ara_00001</v>
      </c>
      <c r="E1088" s="139">
        <f>IFERROR(__xludf.DUMMYFUNCTION("""COMPUTED_VALUE"""),5.0)</f>
        <v>5</v>
      </c>
      <c r="F1088" s="139" t="str">
        <f>IFERROR(__xludf.DUMMYFUNCTION("""COMPUTED_VALUE"""),"Special")</f>
        <v>Special</v>
      </c>
      <c r="G1088" s="139"/>
      <c r="H1088" s="139"/>
      <c r="I1088" s="139">
        <f>IFERROR(__xludf.DUMMYFUNCTION("""COMPUTED_VALUE"""),134.0)</f>
        <v>134</v>
      </c>
      <c r="J1088" s="139">
        <f>IFERROR(__xludf.DUMMYFUNCTION("""COMPUTED_VALUE"""),35.0)</f>
        <v>35</v>
      </c>
      <c r="K1088" s="139">
        <f>IFERROR(__xludf.DUMMYFUNCTION("""COMPUTED_VALUE"""),0.0)</f>
        <v>0</v>
      </c>
      <c r="L1088" s="139"/>
      <c r="M1088" s="139" t="str">
        <f>IFERROR(__xludf.DUMMYFUNCTION("""COMPUTED_VALUE"""),"自身への被ダメージを6.7秒間、10%カット")</f>
        <v>自身への被ダメージを6.7秒間、10%カット</v>
      </c>
      <c r="N1088" s="139" t="str">
        <f>IFERROR(__xludf.DUMMYFUNCTION("""COMPUTED_VALUE"""),"ステータスUP + 必殺ワザ性能UP")</f>
        <v>ステータスUP + 必殺ワザ性能UP</v>
      </c>
    </row>
    <row r="1089">
      <c r="A1089" s="139"/>
      <c r="B1089" s="139"/>
      <c r="C1089" s="139" t="str">
        <f>IFERROR(__xludf.DUMMYFUNCTION("""COMPUTED_VALUE"""),"chara_ara_00001_Special_00006")</f>
        <v>chara_ara_00001_Special_00006</v>
      </c>
      <c r="D1089" s="139" t="str">
        <f>IFERROR(__xludf.DUMMYFUNCTION("""COMPUTED_VALUE"""),"chara_ara_00001")</f>
        <v>chara_ara_00001</v>
      </c>
      <c r="E1089" s="139">
        <f>IFERROR(__xludf.DUMMYFUNCTION("""COMPUTED_VALUE"""),6.0)</f>
        <v>6</v>
      </c>
      <c r="F1089" s="139" t="str">
        <f>IFERROR(__xludf.DUMMYFUNCTION("""COMPUTED_VALUE"""),"Special")</f>
        <v>Special</v>
      </c>
      <c r="G1089" s="139"/>
      <c r="H1089" s="139"/>
      <c r="I1089" s="139">
        <f>IFERROR(__xludf.DUMMYFUNCTION("""COMPUTED_VALUE"""),134.0)</f>
        <v>134</v>
      </c>
      <c r="J1089" s="139">
        <f>IFERROR(__xludf.DUMMYFUNCTION("""COMPUTED_VALUE"""),35.0)</f>
        <v>35</v>
      </c>
      <c r="K1089" s="139">
        <f>IFERROR(__xludf.DUMMYFUNCTION("""COMPUTED_VALUE"""),0.0)</f>
        <v>0</v>
      </c>
      <c r="L1089" s="139"/>
      <c r="M1089" s="139"/>
      <c r="N1089" s="139"/>
    </row>
    <row r="1090">
      <c r="A1090" s="139"/>
      <c r="B1090" s="139"/>
      <c r="C1090" s="139" t="str">
        <f>IFERROR(__xludf.DUMMYFUNCTION("""COMPUTED_VALUE"""),"chara_ara_00001_Special_00007")</f>
        <v>chara_ara_00001_Special_00007</v>
      </c>
      <c r="D1090" s="139" t="str">
        <f>IFERROR(__xludf.DUMMYFUNCTION("""COMPUTED_VALUE"""),"chara_ara_00001")</f>
        <v>chara_ara_00001</v>
      </c>
      <c r="E1090" s="139">
        <f>IFERROR(__xludf.DUMMYFUNCTION("""COMPUTED_VALUE"""),7.0)</f>
        <v>7</v>
      </c>
      <c r="F1090" s="139" t="str">
        <f>IFERROR(__xludf.DUMMYFUNCTION("""COMPUTED_VALUE"""),"Special")</f>
        <v>Special</v>
      </c>
      <c r="G1090" s="139"/>
      <c r="H1090" s="139"/>
      <c r="I1090" s="139">
        <f>IFERROR(__xludf.DUMMYFUNCTION("""COMPUTED_VALUE"""),134.0)</f>
        <v>134</v>
      </c>
      <c r="J1090" s="139">
        <f>IFERROR(__xludf.DUMMYFUNCTION("""COMPUTED_VALUE"""),35.0)</f>
        <v>35</v>
      </c>
      <c r="K1090" s="139">
        <f>IFERROR(__xludf.DUMMYFUNCTION("""COMPUTED_VALUE"""),0.0)</f>
        <v>0</v>
      </c>
      <c r="L1090" s="139"/>
      <c r="M1090" s="139"/>
      <c r="N1090" s="139"/>
    </row>
    <row r="1091">
      <c r="A1091" s="139"/>
      <c r="B1091" s="139"/>
      <c r="C1091" s="139" t="str">
        <f>IFERROR(__xludf.DUMMYFUNCTION("""COMPUTED_VALUE"""),"chara_ara_00001_Special_00008")</f>
        <v>chara_ara_00001_Special_00008</v>
      </c>
      <c r="D1091" s="139" t="str">
        <f>IFERROR(__xludf.DUMMYFUNCTION("""COMPUTED_VALUE"""),"chara_ara_00001")</f>
        <v>chara_ara_00001</v>
      </c>
      <c r="E1091" s="139">
        <f>IFERROR(__xludf.DUMMYFUNCTION("""COMPUTED_VALUE"""),8.0)</f>
        <v>8</v>
      </c>
      <c r="F1091" s="139" t="str">
        <f>IFERROR(__xludf.DUMMYFUNCTION("""COMPUTED_VALUE"""),"Special")</f>
        <v>Special</v>
      </c>
      <c r="G1091" s="139"/>
      <c r="H1091" s="139"/>
      <c r="I1091" s="139">
        <f>IFERROR(__xludf.DUMMYFUNCTION("""COMPUTED_VALUE"""),134.0)</f>
        <v>134</v>
      </c>
      <c r="J1091" s="139">
        <f>IFERROR(__xludf.DUMMYFUNCTION("""COMPUTED_VALUE"""),35.0)</f>
        <v>35</v>
      </c>
      <c r="K1091" s="139">
        <f>IFERROR(__xludf.DUMMYFUNCTION("""COMPUTED_VALUE"""),0.0)</f>
        <v>0</v>
      </c>
      <c r="L1091" s="139"/>
      <c r="M1091" s="139"/>
      <c r="N1091" s="139"/>
    </row>
    <row r="1092">
      <c r="A1092" s="139"/>
      <c r="B1092" s="139"/>
      <c r="C1092" s="139" t="str">
        <f>IFERROR(__xludf.DUMMYFUNCTION("""COMPUTED_VALUE"""),"chara_ara_00001_Special_00009")</f>
        <v>chara_ara_00001_Special_00009</v>
      </c>
      <c r="D1092" s="139" t="str">
        <f>IFERROR(__xludf.DUMMYFUNCTION("""COMPUTED_VALUE"""),"chara_ara_00001")</f>
        <v>chara_ara_00001</v>
      </c>
      <c r="E1092" s="139">
        <f>IFERROR(__xludf.DUMMYFUNCTION("""COMPUTED_VALUE"""),9.0)</f>
        <v>9</v>
      </c>
      <c r="F1092" s="139" t="str">
        <f>IFERROR(__xludf.DUMMYFUNCTION("""COMPUTED_VALUE"""),"Special")</f>
        <v>Special</v>
      </c>
      <c r="G1092" s="139"/>
      <c r="H1092" s="139"/>
      <c r="I1092" s="139">
        <f>IFERROR(__xludf.DUMMYFUNCTION("""COMPUTED_VALUE"""),134.0)</f>
        <v>134</v>
      </c>
      <c r="J1092" s="139">
        <f>IFERROR(__xludf.DUMMYFUNCTION("""COMPUTED_VALUE"""),35.0)</f>
        <v>35</v>
      </c>
      <c r="K1092" s="139">
        <f>IFERROR(__xludf.DUMMYFUNCTION("""COMPUTED_VALUE"""),0.0)</f>
        <v>0</v>
      </c>
      <c r="L1092" s="139"/>
      <c r="M1092" s="139"/>
      <c r="N1092" s="139"/>
    </row>
    <row r="1093">
      <c r="A1093" s="139"/>
      <c r="B1093" s="139"/>
      <c r="C1093" s="139" t="str">
        <f>IFERROR(__xludf.DUMMYFUNCTION("""COMPUTED_VALUE"""),"chara_ara_00001_Special_00010")</f>
        <v>chara_ara_00001_Special_00010</v>
      </c>
      <c r="D1093" s="139" t="str">
        <f>IFERROR(__xludf.DUMMYFUNCTION("""COMPUTED_VALUE"""),"chara_ara_00001")</f>
        <v>chara_ara_00001</v>
      </c>
      <c r="E1093" s="139">
        <f>IFERROR(__xludf.DUMMYFUNCTION("""COMPUTED_VALUE"""),10.0)</f>
        <v>10</v>
      </c>
      <c r="F1093" s="139" t="str">
        <f>IFERROR(__xludf.DUMMYFUNCTION("""COMPUTED_VALUE"""),"Special")</f>
        <v>Special</v>
      </c>
      <c r="G1093" s="139"/>
      <c r="H1093" s="139"/>
      <c r="I1093" s="139">
        <f>IFERROR(__xludf.DUMMYFUNCTION("""COMPUTED_VALUE"""),134.0)</f>
        <v>134</v>
      </c>
      <c r="J1093" s="139">
        <f>IFERROR(__xludf.DUMMYFUNCTION("""COMPUTED_VALUE"""),35.0)</f>
        <v>35</v>
      </c>
      <c r="K1093" s="139">
        <f>IFERROR(__xludf.DUMMYFUNCTION("""COMPUTED_VALUE"""),0.0)</f>
        <v>0</v>
      </c>
      <c r="L1093" s="139"/>
      <c r="M1093" s="139"/>
      <c r="N1093" s="139"/>
    </row>
    <row r="1094">
      <c r="A1094" s="139" t="str">
        <f>IFERROR(__xludf.DUMMYFUNCTION("""COMPUTED_VALUE"""),"e")</f>
        <v>e</v>
      </c>
      <c r="B1094" s="139">
        <f>IFERROR(__xludf.DUMMYFUNCTION("""COMPUTED_VALUE"""),2.02603025E8)</f>
        <v>202603025</v>
      </c>
      <c r="C1094" s="139" t="str">
        <f>IFERROR(__xludf.DUMMYFUNCTION("""COMPUTED_VALUE"""),"chara_gom_00701_Normal_00000")</f>
        <v>chara_gom_00701_Normal_00000</v>
      </c>
      <c r="D1094" s="139" t="str">
        <f>IFERROR(__xludf.DUMMYFUNCTION("""COMPUTED_VALUE"""),"chara_gom_00701")</f>
        <v>chara_gom_00701</v>
      </c>
      <c r="E1094" s="139">
        <f>IFERROR(__xludf.DUMMYFUNCTION("""COMPUTED_VALUE"""),0.0)</f>
        <v>0</v>
      </c>
      <c r="F1094" s="139" t="str">
        <f>IFERROR(__xludf.DUMMYFUNCTION("""COMPUTED_VALUE"""),"Normal")</f>
        <v>Normal</v>
      </c>
      <c r="G1094" s="139"/>
      <c r="H1094" s="139"/>
      <c r="I1094" s="139">
        <f>IFERROR(__xludf.DUMMYFUNCTION("""COMPUTED_VALUE"""),79.0)</f>
        <v>79</v>
      </c>
      <c r="J1094" s="139">
        <f>IFERROR(__xludf.DUMMYFUNCTION("""COMPUTED_VALUE"""),21.0)</f>
        <v>21</v>
      </c>
      <c r="K1094" s="139">
        <f>IFERROR(__xludf.DUMMYFUNCTION("""COMPUTED_VALUE"""),50.0)</f>
        <v>50</v>
      </c>
      <c r="L1094" s="139"/>
      <c r="M1094" s="139"/>
      <c r="N1094" s="139"/>
    </row>
    <row r="1095">
      <c r="A1095" s="139" t="str">
        <f>IFERROR(__xludf.DUMMYFUNCTION("""COMPUTED_VALUE"""),"e")</f>
        <v>e</v>
      </c>
      <c r="B1095" s="139">
        <f>IFERROR(__xludf.DUMMYFUNCTION("""COMPUTED_VALUE"""),2.02603025E8)</f>
        <v>202603025</v>
      </c>
      <c r="C1095" s="139" t="str">
        <f>IFERROR(__xludf.DUMMYFUNCTION("""COMPUTED_VALUE"""),"chara_gom_00701_Special_00001")</f>
        <v>chara_gom_00701_Special_00001</v>
      </c>
      <c r="D1095" s="139" t="str">
        <f>IFERROR(__xludf.DUMMYFUNCTION("""COMPUTED_VALUE"""),"chara_gom_00701")</f>
        <v>chara_gom_00701</v>
      </c>
      <c r="E1095" s="139">
        <f>IFERROR(__xludf.DUMMYFUNCTION("""COMPUTED_VALUE"""),1.0)</f>
        <v>1</v>
      </c>
      <c r="F1095" s="139" t="str">
        <f>IFERROR(__xludf.DUMMYFUNCTION("""COMPUTED_VALUE"""),"Special")</f>
        <v>Special</v>
      </c>
      <c r="G1095" s="139"/>
      <c r="H1095" s="139"/>
      <c r="I1095" s="139">
        <f>IFERROR(__xludf.DUMMYFUNCTION("""COMPUTED_VALUE"""),114.0)</f>
        <v>114</v>
      </c>
      <c r="J1095" s="139">
        <f>IFERROR(__xludf.DUMMYFUNCTION("""COMPUTED_VALUE"""),46.0)</f>
        <v>46</v>
      </c>
      <c r="K1095" s="139">
        <f>IFERROR(__xludf.DUMMYFUNCTION("""COMPUTED_VALUE"""),0.0)</f>
        <v>0</v>
      </c>
      <c r="L1095" s="139"/>
      <c r="M1095" s="139" t="str">
        <f>IFERROR(__xludf.DUMMYFUNCTION("""COMPUTED_VALUE"""),"敵単体に自身の攻撃ステータスの109%のダメージ + 攻撃がヒットした場合、ダメージの5%分、自身の体力を回復")</f>
        <v>敵単体に自身の攻撃ステータスの109%のダメージ + 攻撃がヒットした場合、ダメージの5%分、自身の体力を回復</v>
      </c>
      <c r="N1095" s="139"/>
    </row>
    <row r="1096">
      <c r="A1096" s="139" t="str">
        <f>IFERROR(__xludf.DUMMYFUNCTION("""COMPUTED_VALUE"""),"e")</f>
        <v>e</v>
      </c>
      <c r="B1096" s="139">
        <f>IFERROR(__xludf.DUMMYFUNCTION("""COMPUTED_VALUE"""),2.02603025E8)</f>
        <v>202603025</v>
      </c>
      <c r="C1096" s="139" t="str">
        <f>IFERROR(__xludf.DUMMYFUNCTION("""COMPUTED_VALUE"""),"chara_gom_00701_Special_00002")</f>
        <v>chara_gom_00701_Special_00002</v>
      </c>
      <c r="D1096" s="139" t="str">
        <f>IFERROR(__xludf.DUMMYFUNCTION("""COMPUTED_VALUE"""),"chara_gom_00701")</f>
        <v>chara_gom_00701</v>
      </c>
      <c r="E1096" s="139">
        <f>IFERROR(__xludf.DUMMYFUNCTION("""COMPUTED_VALUE"""),2.0)</f>
        <v>2</v>
      </c>
      <c r="F1096" s="139" t="str">
        <f>IFERROR(__xludf.DUMMYFUNCTION("""COMPUTED_VALUE"""),"Special")</f>
        <v>Special</v>
      </c>
      <c r="G1096" s="139"/>
      <c r="H1096" s="139"/>
      <c r="I1096" s="139">
        <f>IFERROR(__xludf.DUMMYFUNCTION("""COMPUTED_VALUE"""),114.0)</f>
        <v>114</v>
      </c>
      <c r="J1096" s="139">
        <f>IFERROR(__xludf.DUMMYFUNCTION("""COMPUTED_VALUE"""),46.0)</f>
        <v>46</v>
      </c>
      <c r="K1096" s="139">
        <f>IFERROR(__xludf.DUMMYFUNCTION("""COMPUTED_VALUE"""),0.0)</f>
        <v>0</v>
      </c>
      <c r="L1096" s="139"/>
      <c r="M1096" s="139" t="str">
        <f>IFERROR(__xludf.DUMMYFUNCTION("""COMPUTED_VALUE"""),"敵単体に自身の攻撃ステータスの126%のダメージ + 攻撃がヒットした場合、ダメージの7%分、自身の体力を回復")</f>
        <v>敵単体に自身の攻撃ステータスの126%のダメージ + 攻撃がヒットした場合、ダメージの7%分、自身の体力を回復</v>
      </c>
      <c r="N1096" s="139" t="str">
        <f>IFERROR(__xludf.DUMMYFUNCTION("""COMPUTED_VALUE"""),"ステータスUP + 必殺ワザ性能UP")</f>
        <v>ステータスUP + 必殺ワザ性能UP</v>
      </c>
    </row>
    <row r="1097">
      <c r="A1097" s="139" t="str">
        <f>IFERROR(__xludf.DUMMYFUNCTION("""COMPUTED_VALUE"""),"e")</f>
        <v>e</v>
      </c>
      <c r="B1097" s="139">
        <f>IFERROR(__xludf.DUMMYFUNCTION("""COMPUTED_VALUE"""),2.02603025E8)</f>
        <v>202603025</v>
      </c>
      <c r="C1097" s="139" t="str">
        <f>IFERROR(__xludf.DUMMYFUNCTION("""COMPUTED_VALUE"""),"chara_gom_00701_Special_00003")</f>
        <v>chara_gom_00701_Special_00003</v>
      </c>
      <c r="D1097" s="139" t="str">
        <f>IFERROR(__xludf.DUMMYFUNCTION("""COMPUTED_VALUE"""),"chara_gom_00701")</f>
        <v>chara_gom_00701</v>
      </c>
      <c r="E1097" s="139">
        <f>IFERROR(__xludf.DUMMYFUNCTION("""COMPUTED_VALUE"""),3.0)</f>
        <v>3</v>
      </c>
      <c r="F1097" s="139" t="str">
        <f>IFERROR(__xludf.DUMMYFUNCTION("""COMPUTED_VALUE"""),"Special")</f>
        <v>Special</v>
      </c>
      <c r="G1097" s="139"/>
      <c r="H1097" s="139"/>
      <c r="I1097" s="139">
        <f>IFERROR(__xludf.DUMMYFUNCTION("""COMPUTED_VALUE"""),114.0)</f>
        <v>114</v>
      </c>
      <c r="J1097" s="139">
        <f>IFERROR(__xludf.DUMMYFUNCTION("""COMPUTED_VALUE"""),46.0)</f>
        <v>46</v>
      </c>
      <c r="K1097" s="139">
        <f>IFERROR(__xludf.DUMMYFUNCTION("""COMPUTED_VALUE"""),0.0)</f>
        <v>0</v>
      </c>
      <c r="L1097" s="139"/>
      <c r="M1097" s="139" t="str">
        <f>IFERROR(__xludf.DUMMYFUNCTION("""COMPUTED_VALUE"""),"敵単体に自身の攻撃ステータスの138%のダメージ + 攻撃がヒットした場合、ダメージの9%分、自身の体力を回復")</f>
        <v>敵単体に自身の攻撃ステータスの138%のダメージ + 攻撃がヒットした場合、ダメージの9%分、自身の体力を回復</v>
      </c>
      <c r="N1097" s="139" t="str">
        <f>IFERROR(__xludf.DUMMYFUNCTION("""COMPUTED_VALUE"""),"ステータスUP + 必殺ワザ性能UP")</f>
        <v>ステータスUP + 必殺ワザ性能UP</v>
      </c>
    </row>
    <row r="1098">
      <c r="A1098" s="139" t="str">
        <f>IFERROR(__xludf.DUMMYFUNCTION("""COMPUTED_VALUE"""),"e")</f>
        <v>e</v>
      </c>
      <c r="B1098" s="139">
        <f>IFERROR(__xludf.DUMMYFUNCTION("""COMPUTED_VALUE"""),2.02603025E8)</f>
        <v>202603025</v>
      </c>
      <c r="C1098" s="139" t="str">
        <f>IFERROR(__xludf.DUMMYFUNCTION("""COMPUTED_VALUE"""),"chara_gom_00701_Special_00004")</f>
        <v>chara_gom_00701_Special_00004</v>
      </c>
      <c r="D1098" s="139" t="str">
        <f>IFERROR(__xludf.DUMMYFUNCTION("""COMPUTED_VALUE"""),"chara_gom_00701")</f>
        <v>chara_gom_00701</v>
      </c>
      <c r="E1098" s="139">
        <f>IFERROR(__xludf.DUMMYFUNCTION("""COMPUTED_VALUE"""),4.0)</f>
        <v>4</v>
      </c>
      <c r="F1098" s="139" t="str">
        <f>IFERROR(__xludf.DUMMYFUNCTION("""COMPUTED_VALUE"""),"Special")</f>
        <v>Special</v>
      </c>
      <c r="G1098" s="139"/>
      <c r="H1098" s="139"/>
      <c r="I1098" s="139">
        <f>IFERROR(__xludf.DUMMYFUNCTION("""COMPUTED_VALUE"""),114.0)</f>
        <v>114</v>
      </c>
      <c r="J1098" s="139">
        <f>IFERROR(__xludf.DUMMYFUNCTION("""COMPUTED_VALUE"""),46.0)</f>
        <v>46</v>
      </c>
      <c r="K1098" s="139">
        <f>IFERROR(__xludf.DUMMYFUNCTION("""COMPUTED_VALUE"""),0.0)</f>
        <v>0</v>
      </c>
      <c r="L1098" s="139"/>
      <c r="M1098" s="139" t="str">
        <f>IFERROR(__xludf.DUMMYFUNCTION("""COMPUTED_VALUE"""),"敵単体に自身の攻撃ステータスの147%のダメージ + 攻撃がヒットした場合、ダメージの12%分、自身の体力を回復")</f>
        <v>敵単体に自身の攻撃ステータスの147%のダメージ + 攻撃がヒットした場合、ダメージの12%分、自身の体力を回復</v>
      </c>
      <c r="N1098" s="139" t="str">
        <f>IFERROR(__xludf.DUMMYFUNCTION("""COMPUTED_VALUE"""),"ステータスUP + 必殺ワザ性能UP")</f>
        <v>ステータスUP + 必殺ワザ性能UP</v>
      </c>
    </row>
    <row r="1099">
      <c r="A1099" s="139" t="str">
        <f>IFERROR(__xludf.DUMMYFUNCTION("""COMPUTED_VALUE"""),"e")</f>
        <v>e</v>
      </c>
      <c r="B1099" s="139">
        <f>IFERROR(__xludf.DUMMYFUNCTION("""COMPUTED_VALUE"""),2.02603025E8)</f>
        <v>202603025</v>
      </c>
      <c r="C1099" s="139" t="str">
        <f>IFERROR(__xludf.DUMMYFUNCTION("""COMPUTED_VALUE"""),"chara_gom_00701_Special_00005")</f>
        <v>chara_gom_00701_Special_00005</v>
      </c>
      <c r="D1099" s="139" t="str">
        <f>IFERROR(__xludf.DUMMYFUNCTION("""COMPUTED_VALUE"""),"chara_gom_00701")</f>
        <v>chara_gom_00701</v>
      </c>
      <c r="E1099" s="139">
        <f>IFERROR(__xludf.DUMMYFUNCTION("""COMPUTED_VALUE"""),5.0)</f>
        <v>5</v>
      </c>
      <c r="F1099" s="139" t="str">
        <f>IFERROR(__xludf.DUMMYFUNCTION("""COMPUTED_VALUE"""),"Special")</f>
        <v>Special</v>
      </c>
      <c r="G1099" s="139"/>
      <c r="H1099" s="139"/>
      <c r="I1099" s="139">
        <f>IFERROR(__xludf.DUMMYFUNCTION("""COMPUTED_VALUE"""),114.0)</f>
        <v>114</v>
      </c>
      <c r="J1099" s="139">
        <f>IFERROR(__xludf.DUMMYFUNCTION("""COMPUTED_VALUE"""),46.0)</f>
        <v>46</v>
      </c>
      <c r="K1099" s="139">
        <f>IFERROR(__xludf.DUMMYFUNCTION("""COMPUTED_VALUE"""),0.0)</f>
        <v>0</v>
      </c>
      <c r="L1099" s="139"/>
      <c r="M1099" s="139" t="str">
        <f>IFERROR(__xludf.DUMMYFUNCTION("""COMPUTED_VALUE"""),"敵単体に自身の攻撃ステータスの153%のダメージ + 攻撃がヒットした場合、ダメージの13%分、自身の体力を回復")</f>
        <v>敵単体に自身の攻撃ステータスの153%のダメージ + 攻撃がヒットした場合、ダメージの13%分、自身の体力を回復</v>
      </c>
      <c r="N1099" s="139" t="str">
        <f>IFERROR(__xludf.DUMMYFUNCTION("""COMPUTED_VALUE"""),"ステータスUP + 必殺ワザ性能UP")</f>
        <v>ステータスUP + 必殺ワザ性能UP</v>
      </c>
    </row>
    <row r="1100">
      <c r="A1100" s="139"/>
      <c r="B1100" s="139"/>
      <c r="C1100" s="139" t="str">
        <f>IFERROR(__xludf.DUMMYFUNCTION("""COMPUTED_VALUE"""),"chara_gom_00701_Special_00006")</f>
        <v>chara_gom_00701_Special_00006</v>
      </c>
      <c r="D1100" s="139" t="str">
        <f>IFERROR(__xludf.DUMMYFUNCTION("""COMPUTED_VALUE"""),"chara_gom_00701")</f>
        <v>chara_gom_00701</v>
      </c>
      <c r="E1100" s="139">
        <f>IFERROR(__xludf.DUMMYFUNCTION("""COMPUTED_VALUE"""),6.0)</f>
        <v>6</v>
      </c>
      <c r="F1100" s="139" t="str">
        <f>IFERROR(__xludf.DUMMYFUNCTION("""COMPUTED_VALUE"""),"Special")</f>
        <v>Special</v>
      </c>
      <c r="G1100" s="139"/>
      <c r="H1100" s="139"/>
      <c r="I1100" s="139">
        <f>IFERROR(__xludf.DUMMYFUNCTION("""COMPUTED_VALUE"""),114.0)</f>
        <v>114</v>
      </c>
      <c r="J1100" s="139">
        <f>IFERROR(__xludf.DUMMYFUNCTION("""COMPUTED_VALUE"""),46.0)</f>
        <v>46</v>
      </c>
      <c r="K1100" s="139">
        <f>IFERROR(__xludf.DUMMYFUNCTION("""COMPUTED_VALUE"""),0.0)</f>
        <v>0</v>
      </c>
      <c r="L1100" s="139"/>
      <c r="M1100" s="139"/>
      <c r="N1100" s="139"/>
    </row>
    <row r="1101">
      <c r="A1101" s="139"/>
      <c r="B1101" s="139"/>
      <c r="C1101" s="139" t="str">
        <f>IFERROR(__xludf.DUMMYFUNCTION("""COMPUTED_VALUE"""),"chara_gom_00701_Special_00007")</f>
        <v>chara_gom_00701_Special_00007</v>
      </c>
      <c r="D1101" s="139" t="str">
        <f>IFERROR(__xludf.DUMMYFUNCTION("""COMPUTED_VALUE"""),"chara_gom_00701")</f>
        <v>chara_gom_00701</v>
      </c>
      <c r="E1101" s="139">
        <f>IFERROR(__xludf.DUMMYFUNCTION("""COMPUTED_VALUE"""),7.0)</f>
        <v>7</v>
      </c>
      <c r="F1101" s="139" t="str">
        <f>IFERROR(__xludf.DUMMYFUNCTION("""COMPUTED_VALUE"""),"Special")</f>
        <v>Special</v>
      </c>
      <c r="G1101" s="139"/>
      <c r="H1101" s="139"/>
      <c r="I1101" s="139">
        <f>IFERROR(__xludf.DUMMYFUNCTION("""COMPUTED_VALUE"""),114.0)</f>
        <v>114</v>
      </c>
      <c r="J1101" s="139">
        <f>IFERROR(__xludf.DUMMYFUNCTION("""COMPUTED_VALUE"""),46.0)</f>
        <v>46</v>
      </c>
      <c r="K1101" s="139">
        <f>IFERROR(__xludf.DUMMYFUNCTION("""COMPUTED_VALUE"""),0.0)</f>
        <v>0</v>
      </c>
      <c r="L1101" s="139"/>
      <c r="M1101" s="139"/>
      <c r="N1101" s="139"/>
    </row>
    <row r="1102">
      <c r="A1102" s="139"/>
      <c r="B1102" s="139"/>
      <c r="C1102" s="139" t="str">
        <f>IFERROR(__xludf.DUMMYFUNCTION("""COMPUTED_VALUE"""),"chara_gom_00701_Special_00008")</f>
        <v>chara_gom_00701_Special_00008</v>
      </c>
      <c r="D1102" s="139" t="str">
        <f>IFERROR(__xludf.DUMMYFUNCTION("""COMPUTED_VALUE"""),"chara_gom_00701")</f>
        <v>chara_gom_00701</v>
      </c>
      <c r="E1102" s="139">
        <f>IFERROR(__xludf.DUMMYFUNCTION("""COMPUTED_VALUE"""),8.0)</f>
        <v>8</v>
      </c>
      <c r="F1102" s="139" t="str">
        <f>IFERROR(__xludf.DUMMYFUNCTION("""COMPUTED_VALUE"""),"Special")</f>
        <v>Special</v>
      </c>
      <c r="G1102" s="139"/>
      <c r="H1102" s="139"/>
      <c r="I1102" s="139">
        <f>IFERROR(__xludf.DUMMYFUNCTION("""COMPUTED_VALUE"""),114.0)</f>
        <v>114</v>
      </c>
      <c r="J1102" s="139">
        <f>IFERROR(__xludf.DUMMYFUNCTION("""COMPUTED_VALUE"""),46.0)</f>
        <v>46</v>
      </c>
      <c r="K1102" s="139">
        <f>IFERROR(__xludf.DUMMYFUNCTION("""COMPUTED_VALUE"""),0.0)</f>
        <v>0</v>
      </c>
      <c r="L1102" s="139"/>
      <c r="M1102" s="139"/>
      <c r="N1102" s="139"/>
    </row>
    <row r="1103">
      <c r="A1103" s="139"/>
      <c r="B1103" s="139"/>
      <c r="C1103" s="139" t="str">
        <f>IFERROR(__xludf.DUMMYFUNCTION("""COMPUTED_VALUE"""),"chara_gom_00701_Special_00009")</f>
        <v>chara_gom_00701_Special_00009</v>
      </c>
      <c r="D1103" s="139" t="str">
        <f>IFERROR(__xludf.DUMMYFUNCTION("""COMPUTED_VALUE"""),"chara_gom_00701")</f>
        <v>chara_gom_00701</v>
      </c>
      <c r="E1103" s="139">
        <f>IFERROR(__xludf.DUMMYFUNCTION("""COMPUTED_VALUE"""),9.0)</f>
        <v>9</v>
      </c>
      <c r="F1103" s="139" t="str">
        <f>IFERROR(__xludf.DUMMYFUNCTION("""COMPUTED_VALUE"""),"Special")</f>
        <v>Special</v>
      </c>
      <c r="G1103" s="139"/>
      <c r="H1103" s="139"/>
      <c r="I1103" s="139">
        <f>IFERROR(__xludf.DUMMYFUNCTION("""COMPUTED_VALUE"""),114.0)</f>
        <v>114</v>
      </c>
      <c r="J1103" s="139">
        <f>IFERROR(__xludf.DUMMYFUNCTION("""COMPUTED_VALUE"""),46.0)</f>
        <v>46</v>
      </c>
      <c r="K1103" s="139">
        <f>IFERROR(__xludf.DUMMYFUNCTION("""COMPUTED_VALUE"""),0.0)</f>
        <v>0</v>
      </c>
      <c r="L1103" s="139"/>
      <c r="M1103" s="139"/>
      <c r="N1103" s="139"/>
    </row>
    <row r="1104">
      <c r="A1104" s="139"/>
      <c r="B1104" s="139"/>
      <c r="C1104" s="139" t="str">
        <f>IFERROR(__xludf.DUMMYFUNCTION("""COMPUTED_VALUE"""),"chara_gom_00701_Special_00010")</f>
        <v>chara_gom_00701_Special_00010</v>
      </c>
      <c r="D1104" s="139" t="str">
        <f>IFERROR(__xludf.DUMMYFUNCTION("""COMPUTED_VALUE"""),"chara_gom_00701")</f>
        <v>chara_gom_00701</v>
      </c>
      <c r="E1104" s="139">
        <f>IFERROR(__xludf.DUMMYFUNCTION("""COMPUTED_VALUE"""),10.0)</f>
        <v>10</v>
      </c>
      <c r="F1104" s="139" t="str">
        <f>IFERROR(__xludf.DUMMYFUNCTION("""COMPUTED_VALUE"""),"Special")</f>
        <v>Special</v>
      </c>
      <c r="G1104" s="139"/>
      <c r="H1104" s="139"/>
      <c r="I1104" s="139">
        <f>IFERROR(__xludf.DUMMYFUNCTION("""COMPUTED_VALUE"""),114.0)</f>
        <v>114</v>
      </c>
      <c r="J1104" s="139">
        <f>IFERROR(__xludf.DUMMYFUNCTION("""COMPUTED_VALUE"""),46.0)</f>
        <v>46</v>
      </c>
      <c r="K1104" s="139">
        <f>IFERROR(__xludf.DUMMYFUNCTION("""COMPUTED_VALUE"""),0.0)</f>
        <v>0</v>
      </c>
      <c r="L1104" s="139"/>
      <c r="M1104" s="139"/>
      <c r="N1104" s="139"/>
    </row>
    <row r="1105">
      <c r="A1105" s="139" t="str">
        <f>IFERROR(__xludf.DUMMYFUNCTION("""COMPUTED_VALUE"""),"e")</f>
        <v>e</v>
      </c>
      <c r="B1105" s="139">
        <f>IFERROR(__xludf.DUMMYFUNCTION("""COMPUTED_VALUE"""),2.02603025E8)</f>
        <v>202603025</v>
      </c>
      <c r="C1105" s="139" t="str">
        <f>IFERROR(__xludf.DUMMYFUNCTION("""COMPUTED_VALUE"""),"chara_osh_00701_Normal_00000")</f>
        <v>chara_osh_00701_Normal_00000</v>
      </c>
      <c r="D1105" s="139" t="str">
        <f>IFERROR(__xludf.DUMMYFUNCTION("""COMPUTED_VALUE"""),"chara_osh_00701")</f>
        <v>chara_osh_00701</v>
      </c>
      <c r="E1105" s="139">
        <f>IFERROR(__xludf.DUMMYFUNCTION("""COMPUTED_VALUE"""),0.0)</f>
        <v>0</v>
      </c>
      <c r="F1105" s="139" t="str">
        <f>IFERROR(__xludf.DUMMYFUNCTION("""COMPUTED_VALUE"""),"Normal")</f>
        <v>Normal</v>
      </c>
      <c r="G1105" s="139"/>
      <c r="H1105" s="139"/>
      <c r="I1105" s="139">
        <f>IFERROR(__xludf.DUMMYFUNCTION("""COMPUTED_VALUE"""),0.0)</f>
        <v>0</v>
      </c>
      <c r="J1105" s="139">
        <f>IFERROR(__xludf.DUMMYFUNCTION("""COMPUTED_VALUE"""),0.0)</f>
        <v>0</v>
      </c>
      <c r="K1105" s="139">
        <f>IFERROR(__xludf.DUMMYFUNCTION("""COMPUTED_VALUE"""),0.0)</f>
        <v>0</v>
      </c>
      <c r="L1105" s="139"/>
      <c r="M1105" s="139"/>
      <c r="N1105" s="139"/>
    </row>
    <row r="1106">
      <c r="A1106" s="139" t="str">
        <f>IFERROR(__xludf.DUMMYFUNCTION("""COMPUTED_VALUE"""),"e")</f>
        <v>e</v>
      </c>
      <c r="B1106" s="139">
        <f>IFERROR(__xludf.DUMMYFUNCTION("""COMPUTED_VALUE"""),2.02603025E8)</f>
        <v>202603025</v>
      </c>
      <c r="C1106" s="139" t="str">
        <f>IFERROR(__xludf.DUMMYFUNCTION("""COMPUTED_VALUE"""),"chara_osh_00701_Special_00001")</f>
        <v>chara_osh_00701_Special_00001</v>
      </c>
      <c r="D1106" s="139" t="str">
        <f>IFERROR(__xludf.DUMMYFUNCTION("""COMPUTED_VALUE"""),"chara_osh_00701")</f>
        <v>chara_osh_00701</v>
      </c>
      <c r="E1106" s="139">
        <f>IFERROR(__xludf.DUMMYFUNCTION("""COMPUTED_VALUE"""),1.0)</f>
        <v>1</v>
      </c>
      <c r="F1106" s="139" t="str">
        <f>IFERROR(__xludf.DUMMYFUNCTION("""COMPUTED_VALUE"""),"Special")</f>
        <v>Special</v>
      </c>
      <c r="G1106" s="139"/>
      <c r="H1106" s="139"/>
      <c r="I1106" s="139">
        <f>IFERROR(__xludf.DUMMYFUNCTION("""COMPUTED_VALUE"""),106.0)</f>
        <v>106</v>
      </c>
      <c r="J1106" s="139">
        <f>IFERROR(__xludf.DUMMYFUNCTION("""COMPUTED_VALUE"""),30.0)</f>
        <v>30</v>
      </c>
      <c r="K1106" s="139">
        <f>IFERROR(__xludf.DUMMYFUNCTION("""COMPUTED_VALUE"""),0.0)</f>
        <v>0</v>
      </c>
      <c r="L1106" s="139"/>
      <c r="M1106" s="139" t="str">
        <f>IFERROR(__xludf.DUMMYFUNCTION("""COMPUTED_VALUE"""),"選択したコマにいる味方アタックキャラの攻撃を3秒間、{chara_osh_00701_Special_00001_effect_parameter}%UP")</f>
        <v>選択したコマにいる味方アタックキャラの攻撃を3秒間、{chara_osh_00701_Special_00001_effect_parameter}%UP</v>
      </c>
      <c r="N1106" s="139"/>
    </row>
    <row r="1107">
      <c r="A1107" s="139" t="str">
        <f>IFERROR(__xludf.DUMMYFUNCTION("""COMPUTED_VALUE"""),"e")</f>
        <v>e</v>
      </c>
      <c r="B1107" s="139">
        <f>IFERROR(__xludf.DUMMYFUNCTION("""COMPUTED_VALUE"""),2.02603025E8)</f>
        <v>202603025</v>
      </c>
      <c r="C1107" s="139" t="str">
        <f>IFERROR(__xludf.DUMMYFUNCTION("""COMPUTED_VALUE"""),"chara_osh_00701_Special_00002")</f>
        <v>chara_osh_00701_Special_00002</v>
      </c>
      <c r="D1107" s="139" t="str">
        <f>IFERROR(__xludf.DUMMYFUNCTION("""COMPUTED_VALUE"""),"chara_osh_00701")</f>
        <v>chara_osh_00701</v>
      </c>
      <c r="E1107" s="139">
        <f>IFERROR(__xludf.DUMMYFUNCTION("""COMPUTED_VALUE"""),2.0)</f>
        <v>2</v>
      </c>
      <c r="F1107" s="139" t="str">
        <f>IFERROR(__xludf.DUMMYFUNCTION("""COMPUTED_VALUE"""),"Special")</f>
        <v>Special</v>
      </c>
      <c r="G1107" s="139"/>
      <c r="H1107" s="139"/>
      <c r="I1107" s="139">
        <f>IFERROR(__xludf.DUMMYFUNCTION("""COMPUTED_VALUE"""),106.0)</f>
        <v>106</v>
      </c>
      <c r="J1107" s="139">
        <f>IFERROR(__xludf.DUMMYFUNCTION("""COMPUTED_VALUE"""),30.0)</f>
        <v>30</v>
      </c>
      <c r="K1107" s="139">
        <f>IFERROR(__xludf.DUMMYFUNCTION("""COMPUTED_VALUE"""),0.0)</f>
        <v>0</v>
      </c>
      <c r="L1107" s="139"/>
      <c r="M1107" s="139" t="str">
        <f>IFERROR(__xludf.DUMMYFUNCTION("""COMPUTED_VALUE"""),"選択したコマにいる味方アタックキャラの攻撃を4.1秒間、{chara_osh_00701_Special_00002_effect_parameter}%UP")</f>
        <v>選択したコマにいる味方アタックキャラの攻撃を4.1秒間、{chara_osh_00701_Special_00002_effect_parameter}%UP</v>
      </c>
      <c r="N1107" s="139" t="str">
        <f>IFERROR(__xludf.DUMMYFUNCTION("""COMPUTED_VALUE"""),"必殺ワザ性能UP")</f>
        <v>必殺ワザ性能UP</v>
      </c>
    </row>
    <row r="1108">
      <c r="A1108" s="139" t="str">
        <f>IFERROR(__xludf.DUMMYFUNCTION("""COMPUTED_VALUE"""),"e")</f>
        <v>e</v>
      </c>
      <c r="B1108" s="139">
        <f>IFERROR(__xludf.DUMMYFUNCTION("""COMPUTED_VALUE"""),2.02603025E8)</f>
        <v>202603025</v>
      </c>
      <c r="C1108" s="139" t="str">
        <f>IFERROR(__xludf.DUMMYFUNCTION("""COMPUTED_VALUE"""),"chara_osh_00701_Special_00003")</f>
        <v>chara_osh_00701_Special_00003</v>
      </c>
      <c r="D1108" s="139" t="str">
        <f>IFERROR(__xludf.DUMMYFUNCTION("""COMPUTED_VALUE"""),"chara_osh_00701")</f>
        <v>chara_osh_00701</v>
      </c>
      <c r="E1108" s="139">
        <f>IFERROR(__xludf.DUMMYFUNCTION("""COMPUTED_VALUE"""),3.0)</f>
        <v>3</v>
      </c>
      <c r="F1108" s="139" t="str">
        <f>IFERROR(__xludf.DUMMYFUNCTION("""COMPUTED_VALUE"""),"Special")</f>
        <v>Special</v>
      </c>
      <c r="G1108" s="139"/>
      <c r="H1108" s="139"/>
      <c r="I1108" s="139">
        <f>IFERROR(__xludf.DUMMYFUNCTION("""COMPUTED_VALUE"""),106.0)</f>
        <v>106</v>
      </c>
      <c r="J1108" s="139">
        <f>IFERROR(__xludf.DUMMYFUNCTION("""COMPUTED_VALUE"""),30.0)</f>
        <v>30</v>
      </c>
      <c r="K1108" s="139">
        <f>IFERROR(__xludf.DUMMYFUNCTION("""COMPUTED_VALUE"""),0.0)</f>
        <v>0</v>
      </c>
      <c r="L1108" s="139"/>
      <c r="M1108" s="139" t="str">
        <f>IFERROR(__xludf.DUMMYFUNCTION("""COMPUTED_VALUE"""),"選択したコマにいる味方アタックキャラの攻撃を4.7秒間、{chara_osh_00701_Special_00003_effect_parameter}%UP")</f>
        <v>選択したコマにいる味方アタックキャラの攻撃を4.7秒間、{chara_osh_00701_Special_00003_effect_parameter}%UP</v>
      </c>
      <c r="N1108" s="139" t="str">
        <f>IFERROR(__xludf.DUMMYFUNCTION("""COMPUTED_VALUE"""),"必殺ワザ性能UP")</f>
        <v>必殺ワザ性能UP</v>
      </c>
    </row>
    <row r="1109">
      <c r="A1109" s="139" t="str">
        <f>IFERROR(__xludf.DUMMYFUNCTION("""COMPUTED_VALUE"""),"e")</f>
        <v>e</v>
      </c>
      <c r="B1109" s="139">
        <f>IFERROR(__xludf.DUMMYFUNCTION("""COMPUTED_VALUE"""),2.02603025E8)</f>
        <v>202603025</v>
      </c>
      <c r="C1109" s="139" t="str">
        <f>IFERROR(__xludf.DUMMYFUNCTION("""COMPUTED_VALUE"""),"chara_osh_00701_Special_00004")</f>
        <v>chara_osh_00701_Special_00004</v>
      </c>
      <c r="D1109" s="139" t="str">
        <f>IFERROR(__xludf.DUMMYFUNCTION("""COMPUTED_VALUE"""),"chara_osh_00701")</f>
        <v>chara_osh_00701</v>
      </c>
      <c r="E1109" s="139">
        <f>IFERROR(__xludf.DUMMYFUNCTION("""COMPUTED_VALUE"""),4.0)</f>
        <v>4</v>
      </c>
      <c r="F1109" s="139" t="str">
        <f>IFERROR(__xludf.DUMMYFUNCTION("""COMPUTED_VALUE"""),"Special")</f>
        <v>Special</v>
      </c>
      <c r="G1109" s="139"/>
      <c r="H1109" s="139"/>
      <c r="I1109" s="139">
        <f>IFERROR(__xludf.DUMMYFUNCTION("""COMPUTED_VALUE"""),106.0)</f>
        <v>106</v>
      </c>
      <c r="J1109" s="139">
        <f>IFERROR(__xludf.DUMMYFUNCTION("""COMPUTED_VALUE"""),30.0)</f>
        <v>30</v>
      </c>
      <c r="K1109" s="139">
        <f>IFERROR(__xludf.DUMMYFUNCTION("""COMPUTED_VALUE"""),0.0)</f>
        <v>0</v>
      </c>
      <c r="L1109" s="139"/>
      <c r="M1109" s="139" t="str">
        <f>IFERROR(__xludf.DUMMYFUNCTION("""COMPUTED_VALUE"""),"選択したコマにいる味方アタックキャラの攻撃を5.1秒間、{chara_osh_00701_Special_00004_effect_parameter}%UP")</f>
        <v>選択したコマにいる味方アタックキャラの攻撃を5.1秒間、{chara_osh_00701_Special_00004_effect_parameter}%UP</v>
      </c>
      <c r="N1109" s="139" t="str">
        <f>IFERROR(__xludf.DUMMYFUNCTION("""COMPUTED_VALUE"""),"必殺ワザ性能UP")</f>
        <v>必殺ワザ性能UP</v>
      </c>
    </row>
    <row r="1110">
      <c r="A1110" s="139" t="str">
        <f>IFERROR(__xludf.DUMMYFUNCTION("""COMPUTED_VALUE"""),"e")</f>
        <v>e</v>
      </c>
      <c r="B1110" s="139">
        <f>IFERROR(__xludf.DUMMYFUNCTION("""COMPUTED_VALUE"""),2.02603025E8)</f>
        <v>202603025</v>
      </c>
      <c r="C1110" s="139" t="str">
        <f>IFERROR(__xludf.DUMMYFUNCTION("""COMPUTED_VALUE"""),"chara_osh_00701_Special_00005")</f>
        <v>chara_osh_00701_Special_00005</v>
      </c>
      <c r="D1110" s="139" t="str">
        <f>IFERROR(__xludf.DUMMYFUNCTION("""COMPUTED_VALUE"""),"chara_osh_00701")</f>
        <v>chara_osh_00701</v>
      </c>
      <c r="E1110" s="139">
        <f>IFERROR(__xludf.DUMMYFUNCTION("""COMPUTED_VALUE"""),5.0)</f>
        <v>5</v>
      </c>
      <c r="F1110" s="139" t="str">
        <f>IFERROR(__xludf.DUMMYFUNCTION("""COMPUTED_VALUE"""),"Special")</f>
        <v>Special</v>
      </c>
      <c r="G1110" s="139"/>
      <c r="H1110" s="139"/>
      <c r="I1110" s="139">
        <f>IFERROR(__xludf.DUMMYFUNCTION("""COMPUTED_VALUE"""),106.0)</f>
        <v>106</v>
      </c>
      <c r="J1110" s="139">
        <f>IFERROR(__xludf.DUMMYFUNCTION("""COMPUTED_VALUE"""),30.0)</f>
        <v>30</v>
      </c>
      <c r="K1110" s="139">
        <f>IFERROR(__xludf.DUMMYFUNCTION("""COMPUTED_VALUE"""),0.0)</f>
        <v>0</v>
      </c>
      <c r="L1110" s="139"/>
      <c r="M1110" s="139" t="str">
        <f>IFERROR(__xludf.DUMMYFUNCTION("""COMPUTED_VALUE"""),"選択したコマにいる味方アタックキャラの攻撃を5.3秒間、{chara_osh_00701_Special_00005_effect_parameter}%UP")</f>
        <v>選択したコマにいる味方アタックキャラの攻撃を5.3秒間、{chara_osh_00701_Special_00005_effect_parameter}%UP</v>
      </c>
      <c r="N1110" s="139" t="str">
        <f>IFERROR(__xludf.DUMMYFUNCTION("""COMPUTED_VALUE"""),"必殺ワザ性能UP")</f>
        <v>必殺ワザ性能UP</v>
      </c>
    </row>
    <row r="1111">
      <c r="A1111" s="139"/>
      <c r="B1111" s="139"/>
      <c r="C1111" s="139" t="str">
        <f>IFERROR(__xludf.DUMMYFUNCTION("""COMPUTED_VALUE"""),"chara_osh_00701_Special_00006")</f>
        <v>chara_osh_00701_Special_00006</v>
      </c>
      <c r="D1111" s="139" t="str">
        <f>IFERROR(__xludf.DUMMYFUNCTION("""COMPUTED_VALUE"""),"chara_osh_00701")</f>
        <v>chara_osh_00701</v>
      </c>
      <c r="E1111" s="139">
        <f>IFERROR(__xludf.DUMMYFUNCTION("""COMPUTED_VALUE"""),6.0)</f>
        <v>6</v>
      </c>
      <c r="F1111" s="139" t="str">
        <f>IFERROR(__xludf.DUMMYFUNCTION("""COMPUTED_VALUE"""),"Special")</f>
        <v>Special</v>
      </c>
      <c r="G1111" s="139"/>
      <c r="H1111" s="139"/>
      <c r="I1111" s="139">
        <f>IFERROR(__xludf.DUMMYFUNCTION("""COMPUTED_VALUE"""),106.0)</f>
        <v>106</v>
      </c>
      <c r="J1111" s="139">
        <f>IFERROR(__xludf.DUMMYFUNCTION("""COMPUTED_VALUE"""),30.0)</f>
        <v>30</v>
      </c>
      <c r="K1111" s="139">
        <f>IFERROR(__xludf.DUMMYFUNCTION("""COMPUTED_VALUE"""),0.0)</f>
        <v>0</v>
      </c>
      <c r="L1111" s="139"/>
      <c r="M1111" s="139"/>
      <c r="N1111" s="139"/>
    </row>
    <row r="1112">
      <c r="A1112" s="139"/>
      <c r="B1112" s="139"/>
      <c r="C1112" s="139" t="str">
        <f>IFERROR(__xludf.DUMMYFUNCTION("""COMPUTED_VALUE"""),"chara_osh_00701_Special_00007")</f>
        <v>chara_osh_00701_Special_00007</v>
      </c>
      <c r="D1112" s="139" t="str">
        <f>IFERROR(__xludf.DUMMYFUNCTION("""COMPUTED_VALUE"""),"chara_osh_00701")</f>
        <v>chara_osh_00701</v>
      </c>
      <c r="E1112" s="139">
        <f>IFERROR(__xludf.DUMMYFUNCTION("""COMPUTED_VALUE"""),7.0)</f>
        <v>7</v>
      </c>
      <c r="F1112" s="139" t="str">
        <f>IFERROR(__xludf.DUMMYFUNCTION("""COMPUTED_VALUE"""),"Special")</f>
        <v>Special</v>
      </c>
      <c r="G1112" s="139"/>
      <c r="H1112" s="139"/>
      <c r="I1112" s="139">
        <f>IFERROR(__xludf.DUMMYFUNCTION("""COMPUTED_VALUE"""),106.0)</f>
        <v>106</v>
      </c>
      <c r="J1112" s="139">
        <f>IFERROR(__xludf.DUMMYFUNCTION("""COMPUTED_VALUE"""),30.0)</f>
        <v>30</v>
      </c>
      <c r="K1112" s="139">
        <f>IFERROR(__xludf.DUMMYFUNCTION("""COMPUTED_VALUE"""),0.0)</f>
        <v>0</v>
      </c>
      <c r="L1112" s="139"/>
      <c r="M1112" s="139"/>
      <c r="N1112" s="139"/>
    </row>
    <row r="1113">
      <c r="A1113" s="139"/>
      <c r="B1113" s="139"/>
      <c r="C1113" s="139" t="str">
        <f>IFERROR(__xludf.DUMMYFUNCTION("""COMPUTED_VALUE"""),"chara_osh_00701_Special_00008")</f>
        <v>chara_osh_00701_Special_00008</v>
      </c>
      <c r="D1113" s="139" t="str">
        <f>IFERROR(__xludf.DUMMYFUNCTION("""COMPUTED_VALUE"""),"chara_osh_00701")</f>
        <v>chara_osh_00701</v>
      </c>
      <c r="E1113" s="139">
        <f>IFERROR(__xludf.DUMMYFUNCTION("""COMPUTED_VALUE"""),8.0)</f>
        <v>8</v>
      </c>
      <c r="F1113" s="139" t="str">
        <f>IFERROR(__xludf.DUMMYFUNCTION("""COMPUTED_VALUE"""),"Special")</f>
        <v>Special</v>
      </c>
      <c r="G1113" s="139"/>
      <c r="H1113" s="139"/>
      <c r="I1113" s="139">
        <f>IFERROR(__xludf.DUMMYFUNCTION("""COMPUTED_VALUE"""),106.0)</f>
        <v>106</v>
      </c>
      <c r="J1113" s="139">
        <f>IFERROR(__xludf.DUMMYFUNCTION("""COMPUTED_VALUE"""),30.0)</f>
        <v>30</v>
      </c>
      <c r="K1113" s="139">
        <f>IFERROR(__xludf.DUMMYFUNCTION("""COMPUTED_VALUE"""),0.0)</f>
        <v>0</v>
      </c>
      <c r="L1113" s="139"/>
      <c r="M1113" s="139"/>
      <c r="N1113" s="139"/>
    </row>
    <row r="1114">
      <c r="A1114" s="139"/>
      <c r="B1114" s="139"/>
      <c r="C1114" s="139" t="str">
        <f>IFERROR(__xludf.DUMMYFUNCTION("""COMPUTED_VALUE"""),"chara_osh_00701_Special_00009")</f>
        <v>chara_osh_00701_Special_00009</v>
      </c>
      <c r="D1114" s="139" t="str">
        <f>IFERROR(__xludf.DUMMYFUNCTION("""COMPUTED_VALUE"""),"chara_osh_00701")</f>
        <v>chara_osh_00701</v>
      </c>
      <c r="E1114" s="139">
        <f>IFERROR(__xludf.DUMMYFUNCTION("""COMPUTED_VALUE"""),9.0)</f>
        <v>9</v>
      </c>
      <c r="F1114" s="139" t="str">
        <f>IFERROR(__xludf.DUMMYFUNCTION("""COMPUTED_VALUE"""),"Special")</f>
        <v>Special</v>
      </c>
      <c r="G1114" s="139"/>
      <c r="H1114" s="139"/>
      <c r="I1114" s="139">
        <f>IFERROR(__xludf.DUMMYFUNCTION("""COMPUTED_VALUE"""),106.0)</f>
        <v>106</v>
      </c>
      <c r="J1114" s="139">
        <f>IFERROR(__xludf.DUMMYFUNCTION("""COMPUTED_VALUE"""),30.0)</f>
        <v>30</v>
      </c>
      <c r="K1114" s="139">
        <f>IFERROR(__xludf.DUMMYFUNCTION("""COMPUTED_VALUE"""),0.0)</f>
        <v>0</v>
      </c>
      <c r="L1114" s="139"/>
      <c r="M1114" s="139"/>
      <c r="N1114" s="139"/>
    </row>
    <row r="1115">
      <c r="A1115" s="139"/>
      <c r="B1115" s="139"/>
      <c r="C1115" s="139" t="str">
        <f>IFERROR(__xludf.DUMMYFUNCTION("""COMPUTED_VALUE"""),"chara_osh_00701_Special_00010")</f>
        <v>chara_osh_00701_Special_00010</v>
      </c>
      <c r="D1115" s="139" t="str">
        <f>IFERROR(__xludf.DUMMYFUNCTION("""COMPUTED_VALUE"""),"chara_osh_00701")</f>
        <v>chara_osh_00701</v>
      </c>
      <c r="E1115" s="139">
        <f>IFERROR(__xludf.DUMMYFUNCTION("""COMPUTED_VALUE"""),10.0)</f>
        <v>10</v>
      </c>
      <c r="F1115" s="139" t="str">
        <f>IFERROR(__xludf.DUMMYFUNCTION("""COMPUTED_VALUE"""),"Special")</f>
        <v>Special</v>
      </c>
      <c r="G1115" s="139"/>
      <c r="H1115" s="139"/>
      <c r="I1115" s="139">
        <f>IFERROR(__xludf.DUMMYFUNCTION("""COMPUTED_VALUE"""),106.0)</f>
        <v>106</v>
      </c>
      <c r="J1115" s="139">
        <f>IFERROR(__xludf.DUMMYFUNCTION("""COMPUTED_VALUE"""),30.0)</f>
        <v>30</v>
      </c>
      <c r="K1115" s="139">
        <f>IFERROR(__xludf.DUMMYFUNCTION("""COMPUTED_VALUE"""),0.0)</f>
        <v>0</v>
      </c>
      <c r="L1115" s="139"/>
      <c r="M1115" s="139"/>
      <c r="N1115" s="139"/>
    </row>
    <row r="1116">
      <c r="A1116" s="139" t="str">
        <f>IFERROR(__xludf.DUMMYFUNCTION("""COMPUTED_VALUE"""),"e")</f>
        <v>e</v>
      </c>
      <c r="B1116" s="139">
        <f>IFERROR(__xludf.DUMMYFUNCTION("""COMPUTED_VALUE"""),2.0260401E8)</f>
        <v>202604010</v>
      </c>
      <c r="C1116" s="139" t="str">
        <f>IFERROR(__xludf.DUMMYFUNCTION("""COMPUTED_VALUE"""),"chara_aya_00201_Normal_00000")</f>
        <v>chara_aya_00201_Normal_00000</v>
      </c>
      <c r="D1116" s="139" t="str">
        <f>IFERROR(__xludf.DUMMYFUNCTION("""COMPUTED_VALUE"""),"chara_aya_00201")</f>
        <v>chara_aya_00201</v>
      </c>
      <c r="E1116" s="139">
        <f>IFERROR(__xludf.DUMMYFUNCTION("""COMPUTED_VALUE"""),0.0)</f>
        <v>0</v>
      </c>
      <c r="F1116" s="139" t="str">
        <f>IFERROR(__xludf.DUMMYFUNCTION("""COMPUTED_VALUE"""),"Normal")</f>
        <v>Normal</v>
      </c>
      <c r="G1116" s="139"/>
      <c r="H1116" s="139"/>
      <c r="I1116" s="139">
        <f>IFERROR(__xludf.DUMMYFUNCTION("""COMPUTED_VALUE"""),67.0)</f>
        <v>67</v>
      </c>
      <c r="J1116" s="139">
        <f>IFERROR(__xludf.DUMMYFUNCTION("""COMPUTED_VALUE"""),29.0)</f>
        <v>29</v>
      </c>
      <c r="K1116" s="139">
        <f>IFERROR(__xludf.DUMMYFUNCTION("""COMPUTED_VALUE"""),90.0)</f>
        <v>90</v>
      </c>
      <c r="L1116" s="139"/>
      <c r="M1116" s="139"/>
      <c r="N1116" s="139"/>
    </row>
    <row r="1117">
      <c r="A1117" s="139" t="str">
        <f>IFERROR(__xludf.DUMMYFUNCTION("""COMPUTED_VALUE"""),"e")</f>
        <v>e</v>
      </c>
      <c r="B1117" s="139">
        <f>IFERROR(__xludf.DUMMYFUNCTION("""COMPUTED_VALUE"""),2.0260401E8)</f>
        <v>202604010</v>
      </c>
      <c r="C1117" s="139" t="str">
        <f>IFERROR(__xludf.DUMMYFUNCTION("""COMPUTED_VALUE"""),"chara_aya_00201_Special_00001")</f>
        <v>chara_aya_00201_Special_00001</v>
      </c>
      <c r="D1117" s="139" t="str">
        <f>IFERROR(__xludf.DUMMYFUNCTION("""COMPUTED_VALUE"""),"chara_aya_00201")</f>
        <v>chara_aya_00201</v>
      </c>
      <c r="E1117" s="139">
        <f>IFERROR(__xludf.DUMMYFUNCTION("""COMPUTED_VALUE"""),1.0)</f>
        <v>1</v>
      </c>
      <c r="F1117" s="139" t="str">
        <f>IFERROR(__xludf.DUMMYFUNCTION("""COMPUTED_VALUE"""),"Special")</f>
        <v>Special</v>
      </c>
      <c r="G1117" s="139"/>
      <c r="H1117" s="139"/>
      <c r="I1117" s="139">
        <f>IFERROR(__xludf.DUMMYFUNCTION("""COMPUTED_VALUE"""),117.0)</f>
        <v>117</v>
      </c>
      <c r="J1117" s="139">
        <f>IFERROR(__xludf.DUMMYFUNCTION("""COMPUTED_VALUE"""),67.0)</f>
        <v>67</v>
      </c>
      <c r="K1117" s="139">
        <f>IFERROR(__xludf.DUMMYFUNCTION("""COMPUTED_VALUE"""),0.0)</f>
        <v>0</v>
      </c>
      <c r="L1117" s="139"/>
      <c r="M1117" s="139" t="str">
        <f>IFERROR(__xludf.DUMMYFUNCTION("""COMPUTED_VALUE"""),"自身と同じコマと一つ先までのコマにいる赤属性・黄属性の味方と自身の攻撃を6秒間、5%UP")</f>
        <v>自身と同じコマと一つ先までのコマにいる赤属性・黄属性の味方と自身の攻撃を6秒間、5%UP</v>
      </c>
      <c r="N1117" s="139"/>
    </row>
    <row r="1118">
      <c r="A1118" s="139" t="str">
        <f>IFERROR(__xludf.DUMMYFUNCTION("""COMPUTED_VALUE"""),"e")</f>
        <v>e</v>
      </c>
      <c r="B1118" s="139">
        <f>IFERROR(__xludf.DUMMYFUNCTION("""COMPUTED_VALUE"""),2.0260401E8)</f>
        <v>202604010</v>
      </c>
      <c r="C1118" s="139" t="str">
        <f>IFERROR(__xludf.DUMMYFUNCTION("""COMPUTED_VALUE"""),"chara_aya_00201_Special_00002")</f>
        <v>chara_aya_00201_Special_00002</v>
      </c>
      <c r="D1118" s="139" t="str">
        <f>IFERROR(__xludf.DUMMYFUNCTION("""COMPUTED_VALUE"""),"chara_aya_00201")</f>
        <v>chara_aya_00201</v>
      </c>
      <c r="E1118" s="139">
        <f>IFERROR(__xludf.DUMMYFUNCTION("""COMPUTED_VALUE"""),2.0)</f>
        <v>2</v>
      </c>
      <c r="F1118" s="139" t="str">
        <f>IFERROR(__xludf.DUMMYFUNCTION("""COMPUTED_VALUE"""),"Special")</f>
        <v>Special</v>
      </c>
      <c r="G1118" s="139"/>
      <c r="H1118" s="139"/>
      <c r="I1118" s="139">
        <f>IFERROR(__xludf.DUMMYFUNCTION("""COMPUTED_VALUE"""),117.0)</f>
        <v>117</v>
      </c>
      <c r="J1118" s="139">
        <f>IFERROR(__xludf.DUMMYFUNCTION("""COMPUTED_VALUE"""),67.0)</f>
        <v>67</v>
      </c>
      <c r="K1118" s="139">
        <f>IFERROR(__xludf.DUMMYFUNCTION("""COMPUTED_VALUE"""),0.0)</f>
        <v>0</v>
      </c>
      <c r="L1118" s="139"/>
      <c r="M1118" s="139" t="str">
        <f>IFERROR(__xludf.DUMMYFUNCTION("""COMPUTED_VALUE"""),"自身と同じコマと一つ先までのコマにいる赤属性・黄属性の味方と自身の攻撃を6.3秒間、7%UP")</f>
        <v>自身と同じコマと一つ先までのコマにいる赤属性・黄属性の味方と自身の攻撃を6.3秒間、7%UP</v>
      </c>
      <c r="N1118" s="139" t="str">
        <f>IFERROR(__xludf.DUMMYFUNCTION("""COMPUTED_VALUE"""),"ステータスUP + 必殺ワザ性能UP")</f>
        <v>ステータスUP + 必殺ワザ性能UP</v>
      </c>
    </row>
    <row r="1119">
      <c r="A1119" s="139" t="str">
        <f>IFERROR(__xludf.DUMMYFUNCTION("""COMPUTED_VALUE"""),"e")</f>
        <v>e</v>
      </c>
      <c r="B1119" s="139">
        <f>IFERROR(__xludf.DUMMYFUNCTION("""COMPUTED_VALUE"""),2.0260401E8)</f>
        <v>202604010</v>
      </c>
      <c r="C1119" s="139" t="str">
        <f>IFERROR(__xludf.DUMMYFUNCTION("""COMPUTED_VALUE"""),"chara_aya_00201_Special_00003")</f>
        <v>chara_aya_00201_Special_00003</v>
      </c>
      <c r="D1119" s="139" t="str">
        <f>IFERROR(__xludf.DUMMYFUNCTION("""COMPUTED_VALUE"""),"chara_aya_00201")</f>
        <v>chara_aya_00201</v>
      </c>
      <c r="E1119" s="139">
        <f>IFERROR(__xludf.DUMMYFUNCTION("""COMPUTED_VALUE"""),3.0)</f>
        <v>3</v>
      </c>
      <c r="F1119" s="139" t="str">
        <f>IFERROR(__xludf.DUMMYFUNCTION("""COMPUTED_VALUE"""),"Special")</f>
        <v>Special</v>
      </c>
      <c r="G1119" s="139"/>
      <c r="H1119" s="139"/>
      <c r="I1119" s="139">
        <f>IFERROR(__xludf.DUMMYFUNCTION("""COMPUTED_VALUE"""),117.0)</f>
        <v>117</v>
      </c>
      <c r="J1119" s="139">
        <f>IFERROR(__xludf.DUMMYFUNCTION("""COMPUTED_VALUE"""),67.0)</f>
        <v>67</v>
      </c>
      <c r="K1119" s="139">
        <f>IFERROR(__xludf.DUMMYFUNCTION("""COMPUTED_VALUE"""),0.0)</f>
        <v>0</v>
      </c>
      <c r="L1119" s="139"/>
      <c r="M1119" s="139" t="str">
        <f>IFERROR(__xludf.DUMMYFUNCTION("""COMPUTED_VALUE"""),"自身と同じコマと一つ先までのコマにいる赤属性・黄属性の味方と自身の攻撃を6.5秒間、8%UP")</f>
        <v>自身と同じコマと一つ先までのコマにいる赤属性・黄属性の味方と自身の攻撃を6.5秒間、8%UP</v>
      </c>
      <c r="N1119" s="139" t="str">
        <f>IFERROR(__xludf.DUMMYFUNCTION("""COMPUTED_VALUE"""),"ステータスUP + 必殺ワザ性能UP")</f>
        <v>ステータスUP + 必殺ワザ性能UP</v>
      </c>
    </row>
    <row r="1120">
      <c r="A1120" s="139" t="str">
        <f>IFERROR(__xludf.DUMMYFUNCTION("""COMPUTED_VALUE"""),"e")</f>
        <v>e</v>
      </c>
      <c r="B1120" s="139">
        <f>IFERROR(__xludf.DUMMYFUNCTION("""COMPUTED_VALUE"""),2.0260401E8)</f>
        <v>202604010</v>
      </c>
      <c r="C1120" s="139" t="str">
        <f>IFERROR(__xludf.DUMMYFUNCTION("""COMPUTED_VALUE"""),"chara_aya_00201_Special_00004")</f>
        <v>chara_aya_00201_Special_00004</v>
      </c>
      <c r="D1120" s="139" t="str">
        <f>IFERROR(__xludf.DUMMYFUNCTION("""COMPUTED_VALUE"""),"chara_aya_00201")</f>
        <v>chara_aya_00201</v>
      </c>
      <c r="E1120" s="139">
        <f>IFERROR(__xludf.DUMMYFUNCTION("""COMPUTED_VALUE"""),4.0)</f>
        <v>4</v>
      </c>
      <c r="F1120" s="139" t="str">
        <f>IFERROR(__xludf.DUMMYFUNCTION("""COMPUTED_VALUE"""),"Special")</f>
        <v>Special</v>
      </c>
      <c r="G1120" s="139"/>
      <c r="H1120" s="139"/>
      <c r="I1120" s="139">
        <f>IFERROR(__xludf.DUMMYFUNCTION("""COMPUTED_VALUE"""),117.0)</f>
        <v>117</v>
      </c>
      <c r="J1120" s="139">
        <f>IFERROR(__xludf.DUMMYFUNCTION("""COMPUTED_VALUE"""),67.0)</f>
        <v>67</v>
      </c>
      <c r="K1120" s="139">
        <f>IFERROR(__xludf.DUMMYFUNCTION("""COMPUTED_VALUE"""),0.0)</f>
        <v>0</v>
      </c>
      <c r="L1120" s="139"/>
      <c r="M1120" s="139" t="str">
        <f>IFERROR(__xludf.DUMMYFUNCTION("""COMPUTED_VALUE"""),"自身と同じコマと一つ先までのコマにいる赤属性・黄属性の味方と自身の攻撃を6.6秒間、9%UP")</f>
        <v>自身と同じコマと一つ先までのコマにいる赤属性・黄属性の味方と自身の攻撃を6.6秒間、9%UP</v>
      </c>
      <c r="N1120" s="139" t="str">
        <f>IFERROR(__xludf.DUMMYFUNCTION("""COMPUTED_VALUE"""),"ステータスUP + 必殺ワザ性能UP")</f>
        <v>ステータスUP + 必殺ワザ性能UP</v>
      </c>
    </row>
    <row r="1121">
      <c r="A1121" s="139" t="str">
        <f>IFERROR(__xludf.DUMMYFUNCTION("""COMPUTED_VALUE"""),"e")</f>
        <v>e</v>
      </c>
      <c r="B1121" s="139">
        <f>IFERROR(__xludf.DUMMYFUNCTION("""COMPUTED_VALUE"""),2.0260401E8)</f>
        <v>202604010</v>
      </c>
      <c r="C1121" s="139" t="str">
        <f>IFERROR(__xludf.DUMMYFUNCTION("""COMPUTED_VALUE"""),"chara_aya_00201_Special_00005")</f>
        <v>chara_aya_00201_Special_00005</v>
      </c>
      <c r="D1121" s="139" t="str">
        <f>IFERROR(__xludf.DUMMYFUNCTION("""COMPUTED_VALUE"""),"chara_aya_00201")</f>
        <v>chara_aya_00201</v>
      </c>
      <c r="E1121" s="139">
        <f>IFERROR(__xludf.DUMMYFUNCTION("""COMPUTED_VALUE"""),5.0)</f>
        <v>5</v>
      </c>
      <c r="F1121" s="139" t="str">
        <f>IFERROR(__xludf.DUMMYFUNCTION("""COMPUTED_VALUE"""),"Special")</f>
        <v>Special</v>
      </c>
      <c r="G1121" s="139"/>
      <c r="H1121" s="139"/>
      <c r="I1121" s="139">
        <f>IFERROR(__xludf.DUMMYFUNCTION("""COMPUTED_VALUE"""),117.0)</f>
        <v>117</v>
      </c>
      <c r="J1121" s="139">
        <f>IFERROR(__xludf.DUMMYFUNCTION("""COMPUTED_VALUE"""),67.0)</f>
        <v>67</v>
      </c>
      <c r="K1121" s="139">
        <f>IFERROR(__xludf.DUMMYFUNCTION("""COMPUTED_VALUE"""),0.0)</f>
        <v>0</v>
      </c>
      <c r="L1121" s="139"/>
      <c r="M1121" s="139" t="str">
        <f>IFERROR(__xludf.DUMMYFUNCTION("""COMPUTED_VALUE"""),"自身と同じコマと一つ先までのコマにいる赤属性・黄属性の味方と自身の攻撃を6.7秒間、10%UP")</f>
        <v>自身と同じコマと一つ先までのコマにいる赤属性・黄属性の味方と自身の攻撃を6.7秒間、10%UP</v>
      </c>
      <c r="N1121" s="139" t="str">
        <f>IFERROR(__xludf.DUMMYFUNCTION("""COMPUTED_VALUE"""),"ステータスUP + 必殺ワザ性能UP")</f>
        <v>ステータスUP + 必殺ワザ性能UP</v>
      </c>
    </row>
    <row r="1122">
      <c r="A1122" s="139"/>
      <c r="B1122" s="139"/>
      <c r="C1122" s="139" t="str">
        <f>IFERROR(__xludf.DUMMYFUNCTION("""COMPUTED_VALUE"""),"chara_aya_00201_Special_00006")</f>
        <v>chara_aya_00201_Special_00006</v>
      </c>
      <c r="D1122" s="139" t="str">
        <f>IFERROR(__xludf.DUMMYFUNCTION("""COMPUTED_VALUE"""),"chara_aya_00201")</f>
        <v>chara_aya_00201</v>
      </c>
      <c r="E1122" s="139">
        <f>IFERROR(__xludf.DUMMYFUNCTION("""COMPUTED_VALUE"""),6.0)</f>
        <v>6</v>
      </c>
      <c r="F1122" s="139" t="str">
        <f>IFERROR(__xludf.DUMMYFUNCTION("""COMPUTED_VALUE"""),"Special")</f>
        <v>Special</v>
      </c>
      <c r="G1122" s="139"/>
      <c r="H1122" s="139"/>
      <c r="I1122" s="139">
        <f>IFERROR(__xludf.DUMMYFUNCTION("""COMPUTED_VALUE"""),117.0)</f>
        <v>117</v>
      </c>
      <c r="J1122" s="139">
        <f>IFERROR(__xludf.DUMMYFUNCTION("""COMPUTED_VALUE"""),67.0)</f>
        <v>67</v>
      </c>
      <c r="K1122" s="139">
        <f>IFERROR(__xludf.DUMMYFUNCTION("""COMPUTED_VALUE"""),0.0)</f>
        <v>0</v>
      </c>
      <c r="L1122" s="139"/>
      <c r="M1122" s="139"/>
      <c r="N1122" s="139"/>
    </row>
    <row r="1123">
      <c r="A1123" s="139"/>
      <c r="B1123" s="139"/>
      <c r="C1123" s="139" t="str">
        <f>IFERROR(__xludf.DUMMYFUNCTION("""COMPUTED_VALUE"""),"chara_aya_00201_Special_00007")</f>
        <v>chara_aya_00201_Special_00007</v>
      </c>
      <c r="D1123" s="139" t="str">
        <f>IFERROR(__xludf.DUMMYFUNCTION("""COMPUTED_VALUE"""),"chara_aya_00201")</f>
        <v>chara_aya_00201</v>
      </c>
      <c r="E1123" s="139">
        <f>IFERROR(__xludf.DUMMYFUNCTION("""COMPUTED_VALUE"""),7.0)</f>
        <v>7</v>
      </c>
      <c r="F1123" s="139" t="str">
        <f>IFERROR(__xludf.DUMMYFUNCTION("""COMPUTED_VALUE"""),"Special")</f>
        <v>Special</v>
      </c>
      <c r="G1123" s="139"/>
      <c r="H1123" s="139"/>
      <c r="I1123" s="139">
        <f>IFERROR(__xludf.DUMMYFUNCTION("""COMPUTED_VALUE"""),117.0)</f>
        <v>117</v>
      </c>
      <c r="J1123" s="139">
        <f>IFERROR(__xludf.DUMMYFUNCTION("""COMPUTED_VALUE"""),67.0)</f>
        <v>67</v>
      </c>
      <c r="K1123" s="139">
        <f>IFERROR(__xludf.DUMMYFUNCTION("""COMPUTED_VALUE"""),0.0)</f>
        <v>0</v>
      </c>
      <c r="L1123" s="139"/>
      <c r="M1123" s="139"/>
      <c r="N1123" s="139"/>
    </row>
    <row r="1124">
      <c r="A1124" s="139"/>
      <c r="B1124" s="139"/>
      <c r="C1124" s="139" t="str">
        <f>IFERROR(__xludf.DUMMYFUNCTION("""COMPUTED_VALUE"""),"chara_aya_00201_Special_00008")</f>
        <v>chara_aya_00201_Special_00008</v>
      </c>
      <c r="D1124" s="139" t="str">
        <f>IFERROR(__xludf.DUMMYFUNCTION("""COMPUTED_VALUE"""),"chara_aya_00201")</f>
        <v>chara_aya_00201</v>
      </c>
      <c r="E1124" s="139">
        <f>IFERROR(__xludf.DUMMYFUNCTION("""COMPUTED_VALUE"""),8.0)</f>
        <v>8</v>
      </c>
      <c r="F1124" s="139" t="str">
        <f>IFERROR(__xludf.DUMMYFUNCTION("""COMPUTED_VALUE"""),"Special")</f>
        <v>Special</v>
      </c>
      <c r="G1124" s="139"/>
      <c r="H1124" s="139"/>
      <c r="I1124" s="139">
        <f>IFERROR(__xludf.DUMMYFUNCTION("""COMPUTED_VALUE"""),117.0)</f>
        <v>117</v>
      </c>
      <c r="J1124" s="139">
        <f>IFERROR(__xludf.DUMMYFUNCTION("""COMPUTED_VALUE"""),67.0)</f>
        <v>67</v>
      </c>
      <c r="K1124" s="139">
        <f>IFERROR(__xludf.DUMMYFUNCTION("""COMPUTED_VALUE"""),0.0)</f>
        <v>0</v>
      </c>
      <c r="L1124" s="139"/>
      <c r="M1124" s="139"/>
      <c r="N1124" s="139"/>
    </row>
    <row r="1125">
      <c r="A1125" s="139"/>
      <c r="B1125" s="139"/>
      <c r="C1125" s="139" t="str">
        <f>IFERROR(__xludf.DUMMYFUNCTION("""COMPUTED_VALUE"""),"chara_aya_00201_Special_00009")</f>
        <v>chara_aya_00201_Special_00009</v>
      </c>
      <c r="D1125" s="139" t="str">
        <f>IFERROR(__xludf.DUMMYFUNCTION("""COMPUTED_VALUE"""),"chara_aya_00201")</f>
        <v>chara_aya_00201</v>
      </c>
      <c r="E1125" s="139">
        <f>IFERROR(__xludf.DUMMYFUNCTION("""COMPUTED_VALUE"""),9.0)</f>
        <v>9</v>
      </c>
      <c r="F1125" s="139" t="str">
        <f>IFERROR(__xludf.DUMMYFUNCTION("""COMPUTED_VALUE"""),"Special")</f>
        <v>Special</v>
      </c>
      <c r="G1125" s="139"/>
      <c r="H1125" s="139"/>
      <c r="I1125" s="139">
        <f>IFERROR(__xludf.DUMMYFUNCTION("""COMPUTED_VALUE"""),117.0)</f>
        <v>117</v>
      </c>
      <c r="J1125" s="139">
        <f>IFERROR(__xludf.DUMMYFUNCTION("""COMPUTED_VALUE"""),67.0)</f>
        <v>67</v>
      </c>
      <c r="K1125" s="139">
        <f>IFERROR(__xludf.DUMMYFUNCTION("""COMPUTED_VALUE"""),0.0)</f>
        <v>0</v>
      </c>
      <c r="L1125" s="139"/>
      <c r="M1125" s="139"/>
      <c r="N1125" s="139"/>
    </row>
    <row r="1126">
      <c r="A1126" s="139"/>
      <c r="B1126" s="139"/>
      <c r="C1126" s="139" t="str">
        <f>IFERROR(__xludf.DUMMYFUNCTION("""COMPUTED_VALUE"""),"chara_aya_00201_Special_00010")</f>
        <v>chara_aya_00201_Special_00010</v>
      </c>
      <c r="D1126" s="139" t="str">
        <f>IFERROR(__xludf.DUMMYFUNCTION("""COMPUTED_VALUE"""),"chara_aya_00201")</f>
        <v>chara_aya_00201</v>
      </c>
      <c r="E1126" s="139">
        <f>IFERROR(__xludf.DUMMYFUNCTION("""COMPUTED_VALUE"""),10.0)</f>
        <v>10</v>
      </c>
      <c r="F1126" s="139" t="str">
        <f>IFERROR(__xludf.DUMMYFUNCTION("""COMPUTED_VALUE"""),"Special")</f>
        <v>Special</v>
      </c>
      <c r="G1126" s="139"/>
      <c r="H1126" s="139"/>
      <c r="I1126" s="139">
        <f>IFERROR(__xludf.DUMMYFUNCTION("""COMPUTED_VALUE"""),117.0)</f>
        <v>117</v>
      </c>
      <c r="J1126" s="139">
        <f>IFERROR(__xludf.DUMMYFUNCTION("""COMPUTED_VALUE"""),67.0)</f>
        <v>67</v>
      </c>
      <c r="K1126" s="139">
        <f>IFERROR(__xludf.DUMMYFUNCTION("""COMPUTED_VALUE"""),0.0)</f>
        <v>0</v>
      </c>
      <c r="L1126" s="139"/>
      <c r="M1126" s="139"/>
      <c r="N1126" s="139"/>
    </row>
    <row r="1127">
      <c r="A1127" s="139" t="str">
        <f>IFERROR(__xludf.DUMMYFUNCTION("""COMPUTED_VALUE"""),"e")</f>
        <v>e</v>
      </c>
      <c r="B1127" s="139">
        <f>IFERROR(__xludf.DUMMYFUNCTION("""COMPUTED_VALUE"""),2.0260401E8)</f>
        <v>202604010</v>
      </c>
      <c r="C1127" s="139" t="str">
        <f>IFERROR(__xludf.DUMMYFUNCTION("""COMPUTED_VALUE"""),"chara_aya_00301_Normal_00000")</f>
        <v>chara_aya_00301_Normal_00000</v>
      </c>
      <c r="D1127" s="139" t="str">
        <f>IFERROR(__xludf.DUMMYFUNCTION("""COMPUTED_VALUE"""),"chara_aya_00301")</f>
        <v>chara_aya_00301</v>
      </c>
      <c r="E1127" s="139">
        <f>IFERROR(__xludf.DUMMYFUNCTION("""COMPUTED_VALUE"""),0.0)</f>
        <v>0</v>
      </c>
      <c r="F1127" s="139" t="str">
        <f>IFERROR(__xludf.DUMMYFUNCTION("""COMPUTED_VALUE"""),"Normal")</f>
        <v>Normal</v>
      </c>
      <c r="G1127" s="139"/>
      <c r="H1127" s="139"/>
      <c r="I1127" s="139">
        <f>IFERROR(__xludf.DUMMYFUNCTION("""COMPUTED_VALUE"""),66.0)</f>
        <v>66</v>
      </c>
      <c r="J1127" s="139">
        <f>IFERROR(__xludf.DUMMYFUNCTION("""COMPUTED_VALUE"""),25.0)</f>
        <v>25</v>
      </c>
      <c r="K1127" s="139">
        <f>IFERROR(__xludf.DUMMYFUNCTION("""COMPUTED_VALUE"""),50.0)</f>
        <v>50</v>
      </c>
      <c r="L1127" s="139"/>
      <c r="M1127" s="139"/>
      <c r="N1127" s="139"/>
    </row>
    <row r="1128">
      <c r="A1128" s="139" t="str">
        <f>IFERROR(__xludf.DUMMYFUNCTION("""COMPUTED_VALUE"""),"e")</f>
        <v>e</v>
      </c>
      <c r="B1128" s="139">
        <f>IFERROR(__xludf.DUMMYFUNCTION("""COMPUTED_VALUE"""),2.0260401E8)</f>
        <v>202604010</v>
      </c>
      <c r="C1128" s="139" t="str">
        <f>IFERROR(__xludf.DUMMYFUNCTION("""COMPUTED_VALUE"""),"chara_aya_00301_Special_00001")</f>
        <v>chara_aya_00301_Special_00001</v>
      </c>
      <c r="D1128" s="139" t="str">
        <f>IFERROR(__xludf.DUMMYFUNCTION("""COMPUTED_VALUE"""),"chara_aya_00301")</f>
        <v>chara_aya_00301</v>
      </c>
      <c r="E1128" s="139">
        <f>IFERROR(__xludf.DUMMYFUNCTION("""COMPUTED_VALUE"""),1.0)</f>
        <v>1</v>
      </c>
      <c r="F1128" s="139" t="str">
        <f>IFERROR(__xludf.DUMMYFUNCTION("""COMPUTED_VALUE"""),"Special")</f>
        <v>Special</v>
      </c>
      <c r="G1128" s="139"/>
      <c r="H1128" s="139"/>
      <c r="I1128" s="139">
        <f>IFERROR(__xludf.DUMMYFUNCTION("""COMPUTED_VALUE"""),69.0)</f>
        <v>69</v>
      </c>
      <c r="J1128" s="139">
        <f>IFERROR(__xludf.DUMMYFUNCTION("""COMPUTED_VALUE"""),0.0)</f>
        <v>0</v>
      </c>
      <c r="K1128" s="139">
        <f>IFERROR(__xludf.DUMMYFUNCTION("""COMPUTED_VALUE"""),0.0)</f>
        <v>0</v>
      </c>
      <c r="L1128" s="139"/>
      <c r="M1128" s="139" t="str">
        <f>IFERROR(__xludf.DUMMYFUNCTION("""COMPUTED_VALUE"""),"敵複数体に最大5回の連続攻撃(自身の攻撃ステータスの最大94%ダメージ)")</f>
        <v>敵複数体に最大5回の連続攻撃(自身の攻撃ステータスの最大94%ダメージ)</v>
      </c>
      <c r="N1128" s="139"/>
    </row>
    <row r="1129">
      <c r="A1129" s="139" t="str">
        <f>IFERROR(__xludf.DUMMYFUNCTION("""COMPUTED_VALUE"""),"e")</f>
        <v>e</v>
      </c>
      <c r="B1129" s="139">
        <f>IFERROR(__xludf.DUMMYFUNCTION("""COMPUTED_VALUE"""),2.0260401E8)</f>
        <v>202604010</v>
      </c>
      <c r="C1129" s="139" t="str">
        <f>IFERROR(__xludf.DUMMYFUNCTION("""COMPUTED_VALUE"""),"chara_aya_00301_Special_00002")</f>
        <v>chara_aya_00301_Special_00002</v>
      </c>
      <c r="D1129" s="139" t="str">
        <f>IFERROR(__xludf.DUMMYFUNCTION("""COMPUTED_VALUE"""),"chara_aya_00301")</f>
        <v>chara_aya_00301</v>
      </c>
      <c r="E1129" s="139">
        <f>IFERROR(__xludf.DUMMYFUNCTION("""COMPUTED_VALUE"""),2.0)</f>
        <v>2</v>
      </c>
      <c r="F1129" s="139" t="str">
        <f>IFERROR(__xludf.DUMMYFUNCTION("""COMPUTED_VALUE"""),"Special")</f>
        <v>Special</v>
      </c>
      <c r="G1129" s="139"/>
      <c r="H1129" s="139"/>
      <c r="I1129" s="139">
        <f>IFERROR(__xludf.DUMMYFUNCTION("""COMPUTED_VALUE"""),69.0)</f>
        <v>69</v>
      </c>
      <c r="J1129" s="139">
        <f>IFERROR(__xludf.DUMMYFUNCTION("""COMPUTED_VALUE"""),0.0)</f>
        <v>0</v>
      </c>
      <c r="K1129" s="139">
        <f>IFERROR(__xludf.DUMMYFUNCTION("""COMPUTED_VALUE"""),0.0)</f>
        <v>0</v>
      </c>
      <c r="L1129" s="139"/>
      <c r="M1129" s="139" t="str">
        <f>IFERROR(__xludf.DUMMYFUNCTION("""COMPUTED_VALUE"""),"敵複数体に最大5回の連続攻撃(自身の攻撃ステータスの最大108%ダメージ)")</f>
        <v>敵複数体に最大5回の連続攻撃(自身の攻撃ステータスの最大108%ダメージ)</v>
      </c>
      <c r="N1129" s="139" t="str">
        <f>IFERROR(__xludf.DUMMYFUNCTION("""COMPUTED_VALUE"""),"ステータスUP + 必殺ワザ性能UP")</f>
        <v>ステータスUP + 必殺ワザ性能UP</v>
      </c>
    </row>
    <row r="1130">
      <c r="A1130" s="139" t="str">
        <f>IFERROR(__xludf.DUMMYFUNCTION("""COMPUTED_VALUE"""),"e")</f>
        <v>e</v>
      </c>
      <c r="B1130" s="139">
        <f>IFERROR(__xludf.DUMMYFUNCTION("""COMPUTED_VALUE"""),2.0260401E8)</f>
        <v>202604010</v>
      </c>
      <c r="C1130" s="139" t="str">
        <f>IFERROR(__xludf.DUMMYFUNCTION("""COMPUTED_VALUE"""),"chara_aya_00301_Special_00003")</f>
        <v>chara_aya_00301_Special_00003</v>
      </c>
      <c r="D1130" s="139" t="str">
        <f>IFERROR(__xludf.DUMMYFUNCTION("""COMPUTED_VALUE"""),"chara_aya_00301")</f>
        <v>chara_aya_00301</v>
      </c>
      <c r="E1130" s="139">
        <f>IFERROR(__xludf.DUMMYFUNCTION("""COMPUTED_VALUE"""),3.0)</f>
        <v>3</v>
      </c>
      <c r="F1130" s="139" t="str">
        <f>IFERROR(__xludf.DUMMYFUNCTION("""COMPUTED_VALUE"""),"Special")</f>
        <v>Special</v>
      </c>
      <c r="G1130" s="139"/>
      <c r="H1130" s="139"/>
      <c r="I1130" s="139">
        <f>IFERROR(__xludf.DUMMYFUNCTION("""COMPUTED_VALUE"""),69.0)</f>
        <v>69</v>
      </c>
      <c r="J1130" s="139">
        <f>IFERROR(__xludf.DUMMYFUNCTION("""COMPUTED_VALUE"""),0.0)</f>
        <v>0</v>
      </c>
      <c r="K1130" s="139">
        <f>IFERROR(__xludf.DUMMYFUNCTION("""COMPUTED_VALUE"""),0.0)</f>
        <v>0</v>
      </c>
      <c r="L1130" s="139"/>
      <c r="M1130" s="139" t="str">
        <f>IFERROR(__xludf.DUMMYFUNCTION("""COMPUTED_VALUE"""),"敵複数体に最大5回の連続攻撃(自身の攻撃ステータスの最大117%ダメージ)")</f>
        <v>敵複数体に最大5回の連続攻撃(自身の攻撃ステータスの最大117%ダメージ)</v>
      </c>
      <c r="N1130" s="139" t="str">
        <f>IFERROR(__xludf.DUMMYFUNCTION("""COMPUTED_VALUE"""),"ステータスUP + 必殺ワザ性能UP")</f>
        <v>ステータスUP + 必殺ワザ性能UP</v>
      </c>
    </row>
    <row r="1131">
      <c r="A1131" s="139" t="str">
        <f>IFERROR(__xludf.DUMMYFUNCTION("""COMPUTED_VALUE"""),"e")</f>
        <v>e</v>
      </c>
      <c r="B1131" s="139">
        <f>IFERROR(__xludf.DUMMYFUNCTION("""COMPUTED_VALUE"""),2.0260401E8)</f>
        <v>202604010</v>
      </c>
      <c r="C1131" s="139" t="str">
        <f>IFERROR(__xludf.DUMMYFUNCTION("""COMPUTED_VALUE"""),"chara_aya_00301_Special_00004")</f>
        <v>chara_aya_00301_Special_00004</v>
      </c>
      <c r="D1131" s="139" t="str">
        <f>IFERROR(__xludf.DUMMYFUNCTION("""COMPUTED_VALUE"""),"chara_aya_00301")</f>
        <v>chara_aya_00301</v>
      </c>
      <c r="E1131" s="139">
        <f>IFERROR(__xludf.DUMMYFUNCTION("""COMPUTED_VALUE"""),4.0)</f>
        <v>4</v>
      </c>
      <c r="F1131" s="139" t="str">
        <f>IFERROR(__xludf.DUMMYFUNCTION("""COMPUTED_VALUE"""),"Special")</f>
        <v>Special</v>
      </c>
      <c r="G1131" s="139"/>
      <c r="H1131" s="139"/>
      <c r="I1131" s="139">
        <f>IFERROR(__xludf.DUMMYFUNCTION("""COMPUTED_VALUE"""),69.0)</f>
        <v>69</v>
      </c>
      <c r="J1131" s="139">
        <f>IFERROR(__xludf.DUMMYFUNCTION("""COMPUTED_VALUE"""),0.0)</f>
        <v>0</v>
      </c>
      <c r="K1131" s="139">
        <f>IFERROR(__xludf.DUMMYFUNCTION("""COMPUTED_VALUE"""),0.0)</f>
        <v>0</v>
      </c>
      <c r="L1131" s="139"/>
      <c r="M1131" s="139" t="str">
        <f>IFERROR(__xludf.DUMMYFUNCTION("""COMPUTED_VALUE"""),"敵複数体に最大5回の連続攻撃(自身の攻撃ステータスの最大125%ダメージ)")</f>
        <v>敵複数体に最大5回の連続攻撃(自身の攻撃ステータスの最大125%ダメージ)</v>
      </c>
      <c r="N1131" s="139" t="str">
        <f>IFERROR(__xludf.DUMMYFUNCTION("""COMPUTED_VALUE"""),"ステータスUP + 必殺ワザ性能UP")</f>
        <v>ステータスUP + 必殺ワザ性能UP</v>
      </c>
    </row>
    <row r="1132">
      <c r="A1132" s="139" t="str">
        <f>IFERROR(__xludf.DUMMYFUNCTION("""COMPUTED_VALUE"""),"e")</f>
        <v>e</v>
      </c>
      <c r="B1132" s="139">
        <f>IFERROR(__xludf.DUMMYFUNCTION("""COMPUTED_VALUE"""),2.0260401E8)</f>
        <v>202604010</v>
      </c>
      <c r="C1132" s="139" t="str">
        <f>IFERROR(__xludf.DUMMYFUNCTION("""COMPUTED_VALUE"""),"chara_aya_00301_Special_00005")</f>
        <v>chara_aya_00301_Special_00005</v>
      </c>
      <c r="D1132" s="139" t="str">
        <f>IFERROR(__xludf.DUMMYFUNCTION("""COMPUTED_VALUE"""),"chara_aya_00301")</f>
        <v>chara_aya_00301</v>
      </c>
      <c r="E1132" s="139">
        <f>IFERROR(__xludf.DUMMYFUNCTION("""COMPUTED_VALUE"""),5.0)</f>
        <v>5</v>
      </c>
      <c r="F1132" s="139" t="str">
        <f>IFERROR(__xludf.DUMMYFUNCTION("""COMPUTED_VALUE"""),"Special")</f>
        <v>Special</v>
      </c>
      <c r="G1132" s="139"/>
      <c r="H1132" s="139"/>
      <c r="I1132" s="139">
        <f>IFERROR(__xludf.DUMMYFUNCTION("""COMPUTED_VALUE"""),69.0)</f>
        <v>69</v>
      </c>
      <c r="J1132" s="139">
        <f>IFERROR(__xludf.DUMMYFUNCTION("""COMPUTED_VALUE"""),0.0)</f>
        <v>0</v>
      </c>
      <c r="K1132" s="139">
        <f>IFERROR(__xludf.DUMMYFUNCTION("""COMPUTED_VALUE"""),0.0)</f>
        <v>0</v>
      </c>
      <c r="L1132" s="139"/>
      <c r="M1132" s="139" t="str">
        <f>IFERROR(__xludf.DUMMYFUNCTION("""COMPUTED_VALUE"""),"敵複数体に最大5回の連続攻撃(自身の攻撃ステータスの最大129%ダメージ)")</f>
        <v>敵複数体に最大5回の連続攻撃(自身の攻撃ステータスの最大129%ダメージ)</v>
      </c>
      <c r="N1132" s="139" t="str">
        <f>IFERROR(__xludf.DUMMYFUNCTION("""COMPUTED_VALUE"""),"ステータスUP + 必殺ワザ性能UP")</f>
        <v>ステータスUP + 必殺ワザ性能UP</v>
      </c>
    </row>
    <row r="1133">
      <c r="A1133" s="139"/>
      <c r="B1133" s="139"/>
      <c r="C1133" s="139" t="str">
        <f>IFERROR(__xludf.DUMMYFUNCTION("""COMPUTED_VALUE"""),"chara_aya_00301_Special_00006")</f>
        <v>chara_aya_00301_Special_00006</v>
      </c>
      <c r="D1133" s="139" t="str">
        <f>IFERROR(__xludf.DUMMYFUNCTION("""COMPUTED_VALUE"""),"chara_aya_00301")</f>
        <v>chara_aya_00301</v>
      </c>
      <c r="E1133" s="139">
        <f>IFERROR(__xludf.DUMMYFUNCTION("""COMPUTED_VALUE"""),6.0)</f>
        <v>6</v>
      </c>
      <c r="F1133" s="139" t="str">
        <f>IFERROR(__xludf.DUMMYFUNCTION("""COMPUTED_VALUE"""),"Special")</f>
        <v>Special</v>
      </c>
      <c r="G1133" s="139"/>
      <c r="H1133" s="139"/>
      <c r="I1133" s="139">
        <f>IFERROR(__xludf.DUMMYFUNCTION("""COMPUTED_VALUE"""),69.0)</f>
        <v>69</v>
      </c>
      <c r="J1133" s="139">
        <f>IFERROR(__xludf.DUMMYFUNCTION("""COMPUTED_VALUE"""),0.0)</f>
        <v>0</v>
      </c>
      <c r="K1133" s="139">
        <f>IFERROR(__xludf.DUMMYFUNCTION("""COMPUTED_VALUE"""),0.0)</f>
        <v>0</v>
      </c>
      <c r="L1133" s="139"/>
      <c r="M1133" s="139"/>
      <c r="N1133" s="139"/>
    </row>
    <row r="1134">
      <c r="A1134" s="139"/>
      <c r="B1134" s="139"/>
      <c r="C1134" s="139" t="str">
        <f>IFERROR(__xludf.DUMMYFUNCTION("""COMPUTED_VALUE"""),"chara_aya_00301_Special_00007")</f>
        <v>chara_aya_00301_Special_00007</v>
      </c>
      <c r="D1134" s="139" t="str">
        <f>IFERROR(__xludf.DUMMYFUNCTION("""COMPUTED_VALUE"""),"chara_aya_00301")</f>
        <v>chara_aya_00301</v>
      </c>
      <c r="E1134" s="139">
        <f>IFERROR(__xludf.DUMMYFUNCTION("""COMPUTED_VALUE"""),7.0)</f>
        <v>7</v>
      </c>
      <c r="F1134" s="139" t="str">
        <f>IFERROR(__xludf.DUMMYFUNCTION("""COMPUTED_VALUE"""),"Special")</f>
        <v>Special</v>
      </c>
      <c r="G1134" s="139"/>
      <c r="H1134" s="139"/>
      <c r="I1134" s="139">
        <f>IFERROR(__xludf.DUMMYFUNCTION("""COMPUTED_VALUE"""),69.0)</f>
        <v>69</v>
      </c>
      <c r="J1134" s="139">
        <f>IFERROR(__xludf.DUMMYFUNCTION("""COMPUTED_VALUE"""),0.0)</f>
        <v>0</v>
      </c>
      <c r="K1134" s="139">
        <f>IFERROR(__xludf.DUMMYFUNCTION("""COMPUTED_VALUE"""),0.0)</f>
        <v>0</v>
      </c>
      <c r="L1134" s="139"/>
      <c r="M1134" s="139"/>
      <c r="N1134" s="139"/>
    </row>
    <row r="1135">
      <c r="A1135" s="139"/>
      <c r="B1135" s="139"/>
      <c r="C1135" s="139" t="str">
        <f>IFERROR(__xludf.DUMMYFUNCTION("""COMPUTED_VALUE"""),"chara_aya_00301_Special_00008")</f>
        <v>chara_aya_00301_Special_00008</v>
      </c>
      <c r="D1135" s="139" t="str">
        <f>IFERROR(__xludf.DUMMYFUNCTION("""COMPUTED_VALUE"""),"chara_aya_00301")</f>
        <v>chara_aya_00301</v>
      </c>
      <c r="E1135" s="139">
        <f>IFERROR(__xludf.DUMMYFUNCTION("""COMPUTED_VALUE"""),8.0)</f>
        <v>8</v>
      </c>
      <c r="F1135" s="139" t="str">
        <f>IFERROR(__xludf.DUMMYFUNCTION("""COMPUTED_VALUE"""),"Special")</f>
        <v>Special</v>
      </c>
      <c r="G1135" s="139"/>
      <c r="H1135" s="139"/>
      <c r="I1135" s="139">
        <f>IFERROR(__xludf.DUMMYFUNCTION("""COMPUTED_VALUE"""),69.0)</f>
        <v>69</v>
      </c>
      <c r="J1135" s="139">
        <f>IFERROR(__xludf.DUMMYFUNCTION("""COMPUTED_VALUE"""),0.0)</f>
        <v>0</v>
      </c>
      <c r="K1135" s="139">
        <f>IFERROR(__xludf.DUMMYFUNCTION("""COMPUTED_VALUE"""),0.0)</f>
        <v>0</v>
      </c>
      <c r="L1135" s="139"/>
      <c r="M1135" s="139"/>
      <c r="N1135" s="139"/>
    </row>
    <row r="1136">
      <c r="A1136" s="139"/>
      <c r="B1136" s="139"/>
      <c r="C1136" s="139" t="str">
        <f>IFERROR(__xludf.DUMMYFUNCTION("""COMPUTED_VALUE"""),"chara_aya_00301_Special_00009")</f>
        <v>chara_aya_00301_Special_00009</v>
      </c>
      <c r="D1136" s="139" t="str">
        <f>IFERROR(__xludf.DUMMYFUNCTION("""COMPUTED_VALUE"""),"chara_aya_00301")</f>
        <v>chara_aya_00301</v>
      </c>
      <c r="E1136" s="139">
        <f>IFERROR(__xludf.DUMMYFUNCTION("""COMPUTED_VALUE"""),9.0)</f>
        <v>9</v>
      </c>
      <c r="F1136" s="139" t="str">
        <f>IFERROR(__xludf.DUMMYFUNCTION("""COMPUTED_VALUE"""),"Special")</f>
        <v>Special</v>
      </c>
      <c r="G1136" s="139"/>
      <c r="H1136" s="139"/>
      <c r="I1136" s="139">
        <f>IFERROR(__xludf.DUMMYFUNCTION("""COMPUTED_VALUE"""),69.0)</f>
        <v>69</v>
      </c>
      <c r="J1136" s="139">
        <f>IFERROR(__xludf.DUMMYFUNCTION("""COMPUTED_VALUE"""),0.0)</f>
        <v>0</v>
      </c>
      <c r="K1136" s="139">
        <f>IFERROR(__xludf.DUMMYFUNCTION("""COMPUTED_VALUE"""),0.0)</f>
        <v>0</v>
      </c>
      <c r="L1136" s="139"/>
      <c r="M1136" s="139"/>
      <c r="N1136" s="139"/>
    </row>
    <row r="1137">
      <c r="A1137" s="139"/>
      <c r="B1137" s="139"/>
      <c r="C1137" s="139" t="str">
        <f>IFERROR(__xludf.DUMMYFUNCTION("""COMPUTED_VALUE"""),"chara_aya_00301_Special_00010")</f>
        <v>chara_aya_00301_Special_00010</v>
      </c>
      <c r="D1137" s="139" t="str">
        <f>IFERROR(__xludf.DUMMYFUNCTION("""COMPUTED_VALUE"""),"chara_aya_00301")</f>
        <v>chara_aya_00301</v>
      </c>
      <c r="E1137" s="139">
        <f>IFERROR(__xludf.DUMMYFUNCTION("""COMPUTED_VALUE"""),10.0)</f>
        <v>10</v>
      </c>
      <c r="F1137" s="139" t="str">
        <f>IFERROR(__xludf.DUMMYFUNCTION("""COMPUTED_VALUE"""),"Special")</f>
        <v>Special</v>
      </c>
      <c r="G1137" s="139"/>
      <c r="H1137" s="139"/>
      <c r="I1137" s="139">
        <f>IFERROR(__xludf.DUMMYFUNCTION("""COMPUTED_VALUE"""),69.0)</f>
        <v>69</v>
      </c>
      <c r="J1137" s="139">
        <f>IFERROR(__xludf.DUMMYFUNCTION("""COMPUTED_VALUE"""),0.0)</f>
        <v>0</v>
      </c>
      <c r="K1137" s="139">
        <f>IFERROR(__xludf.DUMMYFUNCTION("""COMPUTED_VALUE"""),0.0)</f>
        <v>0</v>
      </c>
      <c r="L1137" s="139"/>
      <c r="M1137" s="139"/>
      <c r="N1137" s="139"/>
    </row>
    <row r="1138">
      <c r="A1138" s="139" t="str">
        <f>IFERROR(__xludf.DUMMYFUNCTION("""COMPUTED_VALUE"""),"e")</f>
        <v>e</v>
      </c>
      <c r="B1138" s="139">
        <f>IFERROR(__xludf.DUMMYFUNCTION("""COMPUTED_VALUE"""),2.0260401E8)</f>
        <v>202604010</v>
      </c>
      <c r="C1138" s="139" t="str">
        <f>IFERROR(__xludf.DUMMYFUNCTION("""COMPUTED_VALUE"""),"chara_aya_00001_Normal_00000")</f>
        <v>chara_aya_00001_Normal_00000</v>
      </c>
      <c r="D1138" s="139" t="str">
        <f>IFERROR(__xludf.DUMMYFUNCTION("""COMPUTED_VALUE"""),"chara_aya_00001")</f>
        <v>chara_aya_00001</v>
      </c>
      <c r="E1138" s="139">
        <f>IFERROR(__xludf.DUMMYFUNCTION("""COMPUTED_VALUE"""),0.0)</f>
        <v>0</v>
      </c>
      <c r="F1138" s="139" t="str">
        <f>IFERROR(__xludf.DUMMYFUNCTION("""COMPUTED_VALUE"""),"Normal")</f>
        <v>Normal</v>
      </c>
      <c r="G1138" s="139"/>
      <c r="H1138" s="139"/>
      <c r="I1138" s="139">
        <f>IFERROR(__xludf.DUMMYFUNCTION("""COMPUTED_VALUE"""),69.0)</f>
        <v>69</v>
      </c>
      <c r="J1138" s="139">
        <f>IFERROR(__xludf.DUMMYFUNCTION("""COMPUTED_VALUE"""),28.0)</f>
        <v>28</v>
      </c>
      <c r="K1138" s="139">
        <f>IFERROR(__xludf.DUMMYFUNCTION("""COMPUTED_VALUE"""),10.0)</f>
        <v>10</v>
      </c>
      <c r="L1138" s="139"/>
      <c r="M1138" s="139"/>
      <c r="N1138" s="139"/>
    </row>
    <row r="1139">
      <c r="A1139" s="139" t="str">
        <f>IFERROR(__xludf.DUMMYFUNCTION("""COMPUTED_VALUE"""),"e")</f>
        <v>e</v>
      </c>
      <c r="B1139" s="139">
        <f>IFERROR(__xludf.DUMMYFUNCTION("""COMPUTED_VALUE"""),2.0260401E8)</f>
        <v>202604010</v>
      </c>
      <c r="C1139" s="139" t="str">
        <f>IFERROR(__xludf.DUMMYFUNCTION("""COMPUTED_VALUE"""),"chara_aya_00001_Special_00001")</f>
        <v>chara_aya_00001_Special_00001</v>
      </c>
      <c r="D1139" s="139" t="str">
        <f>IFERROR(__xludf.DUMMYFUNCTION("""COMPUTED_VALUE"""),"chara_aya_00001")</f>
        <v>chara_aya_00001</v>
      </c>
      <c r="E1139" s="139">
        <f>IFERROR(__xludf.DUMMYFUNCTION("""COMPUTED_VALUE"""),1.0)</f>
        <v>1</v>
      </c>
      <c r="F1139" s="139" t="str">
        <f>IFERROR(__xludf.DUMMYFUNCTION("""COMPUTED_VALUE"""),"Special")</f>
        <v>Special</v>
      </c>
      <c r="G1139" s="139"/>
      <c r="H1139" s="139"/>
      <c r="I1139" s="139">
        <f>IFERROR(__xludf.DUMMYFUNCTION("""COMPUTED_VALUE"""),138.0)</f>
        <v>138</v>
      </c>
      <c r="J1139" s="139">
        <f>IFERROR(__xludf.DUMMYFUNCTION("""COMPUTED_VALUE"""),0.0)</f>
        <v>0</v>
      </c>
      <c r="K1139" s="139">
        <f>IFERROR(__xludf.DUMMYFUNCTION("""COMPUTED_VALUE"""),0.0)</f>
        <v>0</v>
      </c>
      <c r="L1139" s="139"/>
      <c r="M1139" s="139" t="str">
        <f>IFERROR(__xludf.DUMMYFUNCTION("""COMPUTED_VALUE"""),"敵複数体に最大2回の連続攻撃(自身の攻撃ステータスの最大111%ダメージ) + 1回目の攻撃がヒットした場合、敵の攻撃を6.5秒間、50%DOWN")</f>
        <v>敵複数体に最大2回の連続攻撃(自身の攻撃ステータスの最大111%ダメージ) + 1回目の攻撃がヒットした場合、敵の攻撃を6.5秒間、50%DOWN</v>
      </c>
      <c r="N1139" s="139"/>
    </row>
    <row r="1140">
      <c r="A1140" s="139" t="str">
        <f>IFERROR(__xludf.DUMMYFUNCTION("""COMPUTED_VALUE"""),"e")</f>
        <v>e</v>
      </c>
      <c r="B1140" s="139">
        <f>IFERROR(__xludf.DUMMYFUNCTION("""COMPUTED_VALUE"""),2.0260401E8)</f>
        <v>202604010</v>
      </c>
      <c r="C1140" s="139" t="str">
        <f>IFERROR(__xludf.DUMMYFUNCTION("""COMPUTED_VALUE"""),"chara_aya_00001_Special_00002")</f>
        <v>chara_aya_00001_Special_00002</v>
      </c>
      <c r="D1140" s="139" t="str">
        <f>IFERROR(__xludf.DUMMYFUNCTION("""COMPUTED_VALUE"""),"chara_aya_00001")</f>
        <v>chara_aya_00001</v>
      </c>
      <c r="E1140" s="139">
        <f>IFERROR(__xludf.DUMMYFUNCTION("""COMPUTED_VALUE"""),2.0)</f>
        <v>2</v>
      </c>
      <c r="F1140" s="139" t="str">
        <f>IFERROR(__xludf.DUMMYFUNCTION("""COMPUTED_VALUE"""),"Special")</f>
        <v>Special</v>
      </c>
      <c r="G1140" s="139"/>
      <c r="H1140" s="139"/>
      <c r="I1140" s="139">
        <f>IFERROR(__xludf.DUMMYFUNCTION("""COMPUTED_VALUE"""),138.0)</f>
        <v>138</v>
      </c>
      <c r="J1140" s="139">
        <f>IFERROR(__xludf.DUMMYFUNCTION("""COMPUTED_VALUE"""),0.0)</f>
        <v>0</v>
      </c>
      <c r="K1140" s="139">
        <f>IFERROR(__xludf.DUMMYFUNCTION("""COMPUTED_VALUE"""),0.0)</f>
        <v>0</v>
      </c>
      <c r="L1140" s="139"/>
      <c r="M1140" s="139" t="str">
        <f>IFERROR(__xludf.DUMMYFUNCTION("""COMPUTED_VALUE"""),"敵複数体に最大2回の連続攻撃(自身の攻撃ステータスの最大125%ダメージ) + 1回目の攻撃がヒットした場合、敵の攻撃を6.5秒間、50%DOWN")</f>
        <v>敵複数体に最大2回の連続攻撃(自身の攻撃ステータスの最大125%ダメージ) + 1回目の攻撃がヒットした場合、敵の攻撃を6.5秒間、50%DOWN</v>
      </c>
      <c r="N1140" s="139" t="str">
        <f>IFERROR(__xludf.DUMMYFUNCTION("""COMPUTED_VALUE"""),"ステータスUP + 必殺ワザ性能UP")</f>
        <v>ステータスUP + 必殺ワザ性能UP</v>
      </c>
    </row>
    <row r="1141">
      <c r="A1141" s="139" t="str">
        <f>IFERROR(__xludf.DUMMYFUNCTION("""COMPUTED_VALUE"""),"e")</f>
        <v>e</v>
      </c>
      <c r="B1141" s="139">
        <f>IFERROR(__xludf.DUMMYFUNCTION("""COMPUTED_VALUE"""),2.0260401E8)</f>
        <v>202604010</v>
      </c>
      <c r="C1141" s="139" t="str">
        <f>IFERROR(__xludf.DUMMYFUNCTION("""COMPUTED_VALUE"""),"chara_aya_00001_Special_00003")</f>
        <v>chara_aya_00001_Special_00003</v>
      </c>
      <c r="D1141" s="139" t="str">
        <f>IFERROR(__xludf.DUMMYFUNCTION("""COMPUTED_VALUE"""),"chara_aya_00001")</f>
        <v>chara_aya_00001</v>
      </c>
      <c r="E1141" s="139">
        <f>IFERROR(__xludf.DUMMYFUNCTION("""COMPUTED_VALUE"""),3.0)</f>
        <v>3</v>
      </c>
      <c r="F1141" s="139" t="str">
        <f>IFERROR(__xludf.DUMMYFUNCTION("""COMPUTED_VALUE"""),"Special")</f>
        <v>Special</v>
      </c>
      <c r="G1141" s="139"/>
      <c r="H1141" s="139"/>
      <c r="I1141" s="139">
        <f>IFERROR(__xludf.DUMMYFUNCTION("""COMPUTED_VALUE"""),138.0)</f>
        <v>138</v>
      </c>
      <c r="J1141" s="139">
        <f>IFERROR(__xludf.DUMMYFUNCTION("""COMPUTED_VALUE"""),0.0)</f>
        <v>0</v>
      </c>
      <c r="K1141" s="139">
        <f>IFERROR(__xludf.DUMMYFUNCTION("""COMPUTED_VALUE"""),0.0)</f>
        <v>0</v>
      </c>
      <c r="L1141" s="139"/>
      <c r="M1141" s="139" t="str">
        <f>IFERROR(__xludf.DUMMYFUNCTION("""COMPUTED_VALUE"""),"敵複数体に最大2回の連続攻撃(自身の攻撃ステータスの最大134%ダメージ) + 1回目の攻撃がヒットした場合、敵の攻撃を6.5秒間、50%DOWN")</f>
        <v>敵複数体に最大2回の連続攻撃(自身の攻撃ステータスの最大134%ダメージ) + 1回目の攻撃がヒットした場合、敵の攻撃を6.5秒間、50%DOWN</v>
      </c>
      <c r="N1141" s="139" t="str">
        <f>IFERROR(__xludf.DUMMYFUNCTION("""COMPUTED_VALUE"""),"ステータスUP + 必殺ワザ性能UP")</f>
        <v>ステータスUP + 必殺ワザ性能UP</v>
      </c>
    </row>
    <row r="1142">
      <c r="A1142" s="139" t="str">
        <f>IFERROR(__xludf.DUMMYFUNCTION("""COMPUTED_VALUE"""),"e")</f>
        <v>e</v>
      </c>
      <c r="B1142" s="139">
        <f>IFERROR(__xludf.DUMMYFUNCTION("""COMPUTED_VALUE"""),2.0260401E8)</f>
        <v>202604010</v>
      </c>
      <c r="C1142" s="139" t="str">
        <f>IFERROR(__xludf.DUMMYFUNCTION("""COMPUTED_VALUE"""),"chara_aya_00001_Special_00004")</f>
        <v>chara_aya_00001_Special_00004</v>
      </c>
      <c r="D1142" s="139" t="str">
        <f>IFERROR(__xludf.DUMMYFUNCTION("""COMPUTED_VALUE"""),"chara_aya_00001")</f>
        <v>chara_aya_00001</v>
      </c>
      <c r="E1142" s="139">
        <f>IFERROR(__xludf.DUMMYFUNCTION("""COMPUTED_VALUE"""),4.0)</f>
        <v>4</v>
      </c>
      <c r="F1142" s="139" t="str">
        <f>IFERROR(__xludf.DUMMYFUNCTION("""COMPUTED_VALUE"""),"Special")</f>
        <v>Special</v>
      </c>
      <c r="G1142" s="139"/>
      <c r="H1142" s="139"/>
      <c r="I1142" s="139">
        <f>IFERROR(__xludf.DUMMYFUNCTION("""COMPUTED_VALUE"""),138.0)</f>
        <v>138</v>
      </c>
      <c r="J1142" s="139">
        <f>IFERROR(__xludf.DUMMYFUNCTION("""COMPUTED_VALUE"""),0.0)</f>
        <v>0</v>
      </c>
      <c r="K1142" s="139">
        <f>IFERROR(__xludf.DUMMYFUNCTION("""COMPUTED_VALUE"""),0.0)</f>
        <v>0</v>
      </c>
      <c r="L1142" s="139"/>
      <c r="M1142" s="139" t="str">
        <f>IFERROR(__xludf.DUMMYFUNCTION("""COMPUTED_VALUE"""),"敵複数体に最大2回の連続攻撃(自身の攻撃ステータスの最大141%ダメージ) + 1回目の攻撃がヒットした場合、敵の攻撃を6.5秒間、50%DOWN")</f>
        <v>敵複数体に最大2回の連続攻撃(自身の攻撃ステータスの最大141%ダメージ) + 1回目の攻撃がヒットした場合、敵の攻撃を6.5秒間、50%DOWN</v>
      </c>
      <c r="N1142" s="139" t="str">
        <f>IFERROR(__xludf.DUMMYFUNCTION("""COMPUTED_VALUE"""),"ステータスUP + 必殺ワザ性能UP")</f>
        <v>ステータスUP + 必殺ワザ性能UP</v>
      </c>
    </row>
    <row r="1143">
      <c r="A1143" s="139" t="str">
        <f>IFERROR(__xludf.DUMMYFUNCTION("""COMPUTED_VALUE"""),"e")</f>
        <v>e</v>
      </c>
      <c r="B1143" s="139">
        <f>IFERROR(__xludf.DUMMYFUNCTION("""COMPUTED_VALUE"""),2.0260401E8)</f>
        <v>202604010</v>
      </c>
      <c r="C1143" s="139" t="str">
        <f>IFERROR(__xludf.DUMMYFUNCTION("""COMPUTED_VALUE"""),"chara_aya_00001_Special_00005")</f>
        <v>chara_aya_00001_Special_00005</v>
      </c>
      <c r="D1143" s="139" t="str">
        <f>IFERROR(__xludf.DUMMYFUNCTION("""COMPUTED_VALUE"""),"chara_aya_00001")</f>
        <v>chara_aya_00001</v>
      </c>
      <c r="E1143" s="139">
        <f>IFERROR(__xludf.DUMMYFUNCTION("""COMPUTED_VALUE"""),5.0)</f>
        <v>5</v>
      </c>
      <c r="F1143" s="139" t="str">
        <f>IFERROR(__xludf.DUMMYFUNCTION("""COMPUTED_VALUE"""),"Special")</f>
        <v>Special</v>
      </c>
      <c r="G1143" s="139"/>
      <c r="H1143" s="139"/>
      <c r="I1143" s="139">
        <f>IFERROR(__xludf.DUMMYFUNCTION("""COMPUTED_VALUE"""),138.0)</f>
        <v>138</v>
      </c>
      <c r="J1143" s="139">
        <f>IFERROR(__xludf.DUMMYFUNCTION("""COMPUTED_VALUE"""),0.0)</f>
        <v>0</v>
      </c>
      <c r="K1143" s="139">
        <f>IFERROR(__xludf.DUMMYFUNCTION("""COMPUTED_VALUE"""),0.0)</f>
        <v>0</v>
      </c>
      <c r="L1143" s="139"/>
      <c r="M1143" s="139" t="str">
        <f>IFERROR(__xludf.DUMMYFUNCTION("""COMPUTED_VALUE"""),"敵複数体に最大2回の連続攻撃(自身の攻撃ステータスの最大146%ダメージ) + 1回目の攻撃がヒットした場合、敵の攻撃を6.5秒間、50%DOWN + 1回目の攻撃がヒットした場合、敵を5.5秒間、被ダメージが50%上昇する弱体化状態にする + 1回目の攻撃がヒットした場合、敵を15秒間、移動速度75%DOWN or 敵を15秒間、移動速度DOWN(大)状態にする")</f>
        <v>敵複数体に最大2回の連続攻撃(自身の攻撃ステータスの最大146%ダメージ) + 1回目の攻撃がヒットした場合、敵の攻撃を6.5秒間、50%DOWN + 1回目の攻撃がヒットした場合、敵を5.5秒間、被ダメージが50%上昇する弱体化状態にする + 1回目の攻撃がヒットした場合、敵を15秒間、移動速度75%DOWN or 敵を15秒間、移動速度DOWN(大)状態にする</v>
      </c>
      <c r="N1143" s="139" t="str">
        <f>IFERROR(__xludf.DUMMYFUNCTION("""COMPUTED_VALUE"""),"ステータスUP + 必殺ワザ性能UP")</f>
        <v>ステータスUP + 必殺ワザ性能UP</v>
      </c>
    </row>
    <row r="1144">
      <c r="A1144" s="139"/>
      <c r="B1144" s="139"/>
      <c r="C1144" s="139" t="str">
        <f>IFERROR(__xludf.DUMMYFUNCTION("""COMPUTED_VALUE"""),"chara_aya_00001_Special_00006")</f>
        <v>chara_aya_00001_Special_00006</v>
      </c>
      <c r="D1144" s="139" t="str">
        <f>IFERROR(__xludf.DUMMYFUNCTION("""COMPUTED_VALUE"""),"chara_aya_00001")</f>
        <v>chara_aya_00001</v>
      </c>
      <c r="E1144" s="139">
        <f>IFERROR(__xludf.DUMMYFUNCTION("""COMPUTED_VALUE"""),6.0)</f>
        <v>6</v>
      </c>
      <c r="F1144" s="139" t="str">
        <f>IFERROR(__xludf.DUMMYFUNCTION("""COMPUTED_VALUE"""),"Special")</f>
        <v>Special</v>
      </c>
      <c r="G1144" s="139"/>
      <c r="H1144" s="139"/>
      <c r="I1144" s="139">
        <f>IFERROR(__xludf.DUMMYFUNCTION("""COMPUTED_VALUE"""),138.0)</f>
        <v>138</v>
      </c>
      <c r="J1144" s="139">
        <f>IFERROR(__xludf.DUMMYFUNCTION("""COMPUTED_VALUE"""),0.0)</f>
        <v>0</v>
      </c>
      <c r="K1144" s="139">
        <f>IFERROR(__xludf.DUMMYFUNCTION("""COMPUTED_VALUE"""),0.0)</f>
        <v>0</v>
      </c>
      <c r="L1144" s="139"/>
      <c r="M1144" s="139"/>
      <c r="N1144" s="139"/>
    </row>
    <row r="1145">
      <c r="A1145" s="139"/>
      <c r="B1145" s="139"/>
      <c r="C1145" s="139" t="str">
        <f>IFERROR(__xludf.DUMMYFUNCTION("""COMPUTED_VALUE"""),"chara_aya_00001_Special_00007")</f>
        <v>chara_aya_00001_Special_00007</v>
      </c>
      <c r="D1145" s="139" t="str">
        <f>IFERROR(__xludf.DUMMYFUNCTION("""COMPUTED_VALUE"""),"chara_aya_00001")</f>
        <v>chara_aya_00001</v>
      </c>
      <c r="E1145" s="139">
        <f>IFERROR(__xludf.DUMMYFUNCTION("""COMPUTED_VALUE"""),7.0)</f>
        <v>7</v>
      </c>
      <c r="F1145" s="139" t="str">
        <f>IFERROR(__xludf.DUMMYFUNCTION("""COMPUTED_VALUE"""),"Special")</f>
        <v>Special</v>
      </c>
      <c r="G1145" s="139"/>
      <c r="H1145" s="139"/>
      <c r="I1145" s="139">
        <f>IFERROR(__xludf.DUMMYFUNCTION("""COMPUTED_VALUE"""),138.0)</f>
        <v>138</v>
      </c>
      <c r="J1145" s="139">
        <f>IFERROR(__xludf.DUMMYFUNCTION("""COMPUTED_VALUE"""),0.0)</f>
        <v>0</v>
      </c>
      <c r="K1145" s="139">
        <f>IFERROR(__xludf.DUMMYFUNCTION("""COMPUTED_VALUE"""),0.0)</f>
        <v>0</v>
      </c>
      <c r="L1145" s="139"/>
      <c r="M1145" s="139"/>
      <c r="N1145" s="139"/>
    </row>
    <row r="1146">
      <c r="A1146" s="139"/>
      <c r="B1146" s="139"/>
      <c r="C1146" s="139" t="str">
        <f>IFERROR(__xludf.DUMMYFUNCTION("""COMPUTED_VALUE"""),"chara_aya_00001_Special_00008")</f>
        <v>chara_aya_00001_Special_00008</v>
      </c>
      <c r="D1146" s="139" t="str">
        <f>IFERROR(__xludf.DUMMYFUNCTION("""COMPUTED_VALUE"""),"chara_aya_00001")</f>
        <v>chara_aya_00001</v>
      </c>
      <c r="E1146" s="139">
        <f>IFERROR(__xludf.DUMMYFUNCTION("""COMPUTED_VALUE"""),8.0)</f>
        <v>8</v>
      </c>
      <c r="F1146" s="139" t="str">
        <f>IFERROR(__xludf.DUMMYFUNCTION("""COMPUTED_VALUE"""),"Special")</f>
        <v>Special</v>
      </c>
      <c r="G1146" s="139"/>
      <c r="H1146" s="139"/>
      <c r="I1146" s="139">
        <f>IFERROR(__xludf.DUMMYFUNCTION("""COMPUTED_VALUE"""),138.0)</f>
        <v>138</v>
      </c>
      <c r="J1146" s="139">
        <f>IFERROR(__xludf.DUMMYFUNCTION("""COMPUTED_VALUE"""),0.0)</f>
        <v>0</v>
      </c>
      <c r="K1146" s="139">
        <f>IFERROR(__xludf.DUMMYFUNCTION("""COMPUTED_VALUE"""),0.0)</f>
        <v>0</v>
      </c>
      <c r="L1146" s="139"/>
      <c r="M1146" s="139"/>
      <c r="N1146" s="139"/>
    </row>
    <row r="1147">
      <c r="A1147" s="139"/>
      <c r="B1147" s="139"/>
      <c r="C1147" s="139" t="str">
        <f>IFERROR(__xludf.DUMMYFUNCTION("""COMPUTED_VALUE"""),"chara_aya_00001_Special_00009")</f>
        <v>chara_aya_00001_Special_00009</v>
      </c>
      <c r="D1147" s="139" t="str">
        <f>IFERROR(__xludf.DUMMYFUNCTION("""COMPUTED_VALUE"""),"chara_aya_00001")</f>
        <v>chara_aya_00001</v>
      </c>
      <c r="E1147" s="139">
        <f>IFERROR(__xludf.DUMMYFUNCTION("""COMPUTED_VALUE"""),9.0)</f>
        <v>9</v>
      </c>
      <c r="F1147" s="139" t="str">
        <f>IFERROR(__xludf.DUMMYFUNCTION("""COMPUTED_VALUE"""),"Special")</f>
        <v>Special</v>
      </c>
      <c r="G1147" s="139"/>
      <c r="H1147" s="139"/>
      <c r="I1147" s="139">
        <f>IFERROR(__xludf.DUMMYFUNCTION("""COMPUTED_VALUE"""),138.0)</f>
        <v>138</v>
      </c>
      <c r="J1147" s="139">
        <f>IFERROR(__xludf.DUMMYFUNCTION("""COMPUTED_VALUE"""),0.0)</f>
        <v>0</v>
      </c>
      <c r="K1147" s="139">
        <f>IFERROR(__xludf.DUMMYFUNCTION("""COMPUTED_VALUE"""),0.0)</f>
        <v>0</v>
      </c>
      <c r="L1147" s="139"/>
      <c r="M1147" s="139"/>
      <c r="N1147" s="139"/>
    </row>
    <row r="1148">
      <c r="A1148" s="139"/>
      <c r="B1148" s="139"/>
      <c r="C1148" s="139" t="str">
        <f>IFERROR(__xludf.DUMMYFUNCTION("""COMPUTED_VALUE"""),"chara_aya_00001_Special_00010")</f>
        <v>chara_aya_00001_Special_00010</v>
      </c>
      <c r="D1148" s="139" t="str">
        <f>IFERROR(__xludf.DUMMYFUNCTION("""COMPUTED_VALUE"""),"chara_aya_00001")</f>
        <v>chara_aya_00001</v>
      </c>
      <c r="E1148" s="139">
        <f>IFERROR(__xludf.DUMMYFUNCTION("""COMPUTED_VALUE"""),10.0)</f>
        <v>10</v>
      </c>
      <c r="F1148" s="139" t="str">
        <f>IFERROR(__xludf.DUMMYFUNCTION("""COMPUTED_VALUE"""),"Special")</f>
        <v>Special</v>
      </c>
      <c r="G1148" s="139"/>
      <c r="H1148" s="139"/>
      <c r="I1148" s="139">
        <f>IFERROR(__xludf.DUMMYFUNCTION("""COMPUTED_VALUE"""),138.0)</f>
        <v>138</v>
      </c>
      <c r="J1148" s="139">
        <f>IFERROR(__xludf.DUMMYFUNCTION("""COMPUTED_VALUE"""),0.0)</f>
        <v>0</v>
      </c>
      <c r="K1148" s="139">
        <f>IFERROR(__xludf.DUMMYFUNCTION("""COMPUTED_VALUE"""),0.0)</f>
        <v>0</v>
      </c>
      <c r="L1148" s="139"/>
      <c r="M1148" s="139"/>
      <c r="N1148" s="139"/>
    </row>
    <row r="1149">
      <c r="A1149" s="139" t="str">
        <f>IFERROR(__xludf.DUMMYFUNCTION("""COMPUTED_VALUE"""),"e")</f>
        <v>e</v>
      </c>
      <c r="B1149" s="139">
        <f>IFERROR(__xludf.DUMMYFUNCTION("""COMPUTED_VALUE"""),2.0260401E8)</f>
        <v>202604010</v>
      </c>
      <c r="C1149" s="139" t="str">
        <f>IFERROR(__xludf.DUMMYFUNCTION("""COMPUTED_VALUE"""),"chara_aya_00101_Normal_00000")</f>
        <v>chara_aya_00101_Normal_00000</v>
      </c>
      <c r="D1149" s="139" t="str">
        <f>IFERROR(__xludf.DUMMYFUNCTION("""COMPUTED_VALUE"""),"chara_aya_00101")</f>
        <v>chara_aya_00101</v>
      </c>
      <c r="E1149" s="139">
        <f>IFERROR(__xludf.DUMMYFUNCTION("""COMPUTED_VALUE"""),0.0)</f>
        <v>0</v>
      </c>
      <c r="F1149" s="139" t="str">
        <f>IFERROR(__xludf.DUMMYFUNCTION("""COMPUTED_VALUE"""),"Normal")</f>
        <v>Normal</v>
      </c>
      <c r="G1149" s="139"/>
      <c r="H1149" s="139"/>
      <c r="I1149" s="139">
        <f>IFERROR(__xludf.DUMMYFUNCTION("""COMPUTED_VALUE"""),69.0)</f>
        <v>69</v>
      </c>
      <c r="J1149" s="139">
        <f>IFERROR(__xludf.DUMMYFUNCTION("""COMPUTED_VALUE"""),30.0)</f>
        <v>30</v>
      </c>
      <c r="K1149" s="139">
        <f>IFERROR(__xludf.DUMMYFUNCTION("""COMPUTED_VALUE"""),100.0)</f>
        <v>100</v>
      </c>
      <c r="L1149" s="139"/>
      <c r="M1149" s="139"/>
      <c r="N1149" s="139"/>
    </row>
    <row r="1150">
      <c r="A1150" s="139" t="str">
        <f>IFERROR(__xludf.DUMMYFUNCTION("""COMPUTED_VALUE"""),"e")</f>
        <v>e</v>
      </c>
      <c r="B1150" s="139">
        <f>IFERROR(__xludf.DUMMYFUNCTION("""COMPUTED_VALUE"""),2.0260401E8)</f>
        <v>202604010</v>
      </c>
      <c r="C1150" s="139" t="str">
        <f>IFERROR(__xludf.DUMMYFUNCTION("""COMPUTED_VALUE"""),"chara_aya_00101_Special_00001")</f>
        <v>chara_aya_00101_Special_00001</v>
      </c>
      <c r="D1150" s="139" t="str">
        <f>IFERROR(__xludf.DUMMYFUNCTION("""COMPUTED_VALUE"""),"chara_aya_00101")</f>
        <v>chara_aya_00101</v>
      </c>
      <c r="E1150" s="139">
        <f>IFERROR(__xludf.DUMMYFUNCTION("""COMPUTED_VALUE"""),1.0)</f>
        <v>1</v>
      </c>
      <c r="F1150" s="139" t="str">
        <f>IFERROR(__xludf.DUMMYFUNCTION("""COMPUTED_VALUE"""),"Special")</f>
        <v>Special</v>
      </c>
      <c r="G1150" s="139"/>
      <c r="H1150" s="139"/>
      <c r="I1150" s="139">
        <f>IFERROR(__xludf.DUMMYFUNCTION("""COMPUTED_VALUE"""),129.0)</f>
        <v>129</v>
      </c>
      <c r="J1150" s="139">
        <f>IFERROR(__xludf.DUMMYFUNCTION("""COMPUTED_VALUE"""),57.0)</f>
        <v>57</v>
      </c>
      <c r="K1150" s="139">
        <f>IFERROR(__xludf.DUMMYFUNCTION("""COMPUTED_VALUE"""),0.0)</f>
        <v>0</v>
      </c>
      <c r="L1150" s="139"/>
      <c r="M1150" s="139" t="str">
        <f>IFERROR(__xludf.DUMMYFUNCTION("""COMPUTED_VALUE"""),"敵単体に自身の攻撃ステータスの{chara_aya_00101_Special_00001_power_parameter}%のダメージ")</f>
        <v>敵単体に自身の攻撃ステータスの{chara_aya_00101_Special_00001_power_parameter}%のダメージ</v>
      </c>
      <c r="N1150" s="139"/>
    </row>
    <row r="1151">
      <c r="A1151" s="139" t="str">
        <f>IFERROR(__xludf.DUMMYFUNCTION("""COMPUTED_VALUE"""),"e")</f>
        <v>e</v>
      </c>
      <c r="B1151" s="139">
        <f>IFERROR(__xludf.DUMMYFUNCTION("""COMPUTED_VALUE"""),2.0260401E8)</f>
        <v>202604010</v>
      </c>
      <c r="C1151" s="139" t="str">
        <f>IFERROR(__xludf.DUMMYFUNCTION("""COMPUTED_VALUE"""),"chara_aya_00101_Special_00002")</f>
        <v>chara_aya_00101_Special_00002</v>
      </c>
      <c r="D1151" s="139" t="str">
        <f>IFERROR(__xludf.DUMMYFUNCTION("""COMPUTED_VALUE"""),"chara_aya_00101")</f>
        <v>chara_aya_00101</v>
      </c>
      <c r="E1151" s="139">
        <f>IFERROR(__xludf.DUMMYFUNCTION("""COMPUTED_VALUE"""),2.0)</f>
        <v>2</v>
      </c>
      <c r="F1151" s="139" t="str">
        <f>IFERROR(__xludf.DUMMYFUNCTION("""COMPUTED_VALUE"""),"Special")</f>
        <v>Special</v>
      </c>
      <c r="G1151" s="139"/>
      <c r="H1151" s="139"/>
      <c r="I1151" s="139">
        <f>IFERROR(__xludf.DUMMYFUNCTION("""COMPUTED_VALUE"""),129.0)</f>
        <v>129</v>
      </c>
      <c r="J1151" s="139">
        <f>IFERROR(__xludf.DUMMYFUNCTION("""COMPUTED_VALUE"""),57.0)</f>
        <v>57</v>
      </c>
      <c r="K1151" s="139">
        <f>IFERROR(__xludf.DUMMYFUNCTION("""COMPUTED_VALUE"""),0.0)</f>
        <v>0</v>
      </c>
      <c r="L1151" s="139"/>
      <c r="M1151" s="139" t="str">
        <f>IFERROR(__xludf.DUMMYFUNCTION("""COMPUTED_VALUE"""),"敵単体に自身の攻撃ステータスの{chara_aya_00101_Special_00002_power_parameter}%のダメージ")</f>
        <v>敵単体に自身の攻撃ステータスの{chara_aya_00101_Special_00002_power_parameter}%のダメージ</v>
      </c>
      <c r="N1151" s="139" t="str">
        <f>IFERROR(__xludf.DUMMYFUNCTION("""COMPUTED_VALUE"""),"ステータスUP + 必殺ワザ性能UP")</f>
        <v>ステータスUP + 必殺ワザ性能UP</v>
      </c>
    </row>
    <row r="1152">
      <c r="A1152" s="139" t="str">
        <f>IFERROR(__xludf.DUMMYFUNCTION("""COMPUTED_VALUE"""),"e")</f>
        <v>e</v>
      </c>
      <c r="B1152" s="139">
        <f>IFERROR(__xludf.DUMMYFUNCTION("""COMPUTED_VALUE"""),2.0260401E8)</f>
        <v>202604010</v>
      </c>
      <c r="C1152" s="139" t="str">
        <f>IFERROR(__xludf.DUMMYFUNCTION("""COMPUTED_VALUE"""),"chara_aya_00101_Special_00003")</f>
        <v>chara_aya_00101_Special_00003</v>
      </c>
      <c r="D1152" s="139" t="str">
        <f>IFERROR(__xludf.DUMMYFUNCTION("""COMPUTED_VALUE"""),"chara_aya_00101")</f>
        <v>chara_aya_00101</v>
      </c>
      <c r="E1152" s="139">
        <f>IFERROR(__xludf.DUMMYFUNCTION("""COMPUTED_VALUE"""),3.0)</f>
        <v>3</v>
      </c>
      <c r="F1152" s="139" t="str">
        <f>IFERROR(__xludf.DUMMYFUNCTION("""COMPUTED_VALUE"""),"Special")</f>
        <v>Special</v>
      </c>
      <c r="G1152" s="139"/>
      <c r="H1152" s="139"/>
      <c r="I1152" s="139">
        <f>IFERROR(__xludf.DUMMYFUNCTION("""COMPUTED_VALUE"""),129.0)</f>
        <v>129</v>
      </c>
      <c r="J1152" s="139">
        <f>IFERROR(__xludf.DUMMYFUNCTION("""COMPUTED_VALUE"""),57.0)</f>
        <v>57</v>
      </c>
      <c r="K1152" s="139">
        <f>IFERROR(__xludf.DUMMYFUNCTION("""COMPUTED_VALUE"""),0.0)</f>
        <v>0</v>
      </c>
      <c r="L1152" s="139"/>
      <c r="M1152" s="139" t="str">
        <f>IFERROR(__xludf.DUMMYFUNCTION("""COMPUTED_VALUE"""),"敵単体に自身の攻撃ステータスの{chara_aya_00101_Special_00003_power_parameter}%のダメージ")</f>
        <v>敵単体に自身の攻撃ステータスの{chara_aya_00101_Special_00003_power_parameter}%のダメージ</v>
      </c>
      <c r="N1152" s="139" t="str">
        <f>IFERROR(__xludf.DUMMYFUNCTION("""COMPUTED_VALUE"""),"ステータスUP + 必殺ワザ性能UP")</f>
        <v>ステータスUP + 必殺ワザ性能UP</v>
      </c>
    </row>
    <row r="1153">
      <c r="A1153" s="139" t="str">
        <f>IFERROR(__xludf.DUMMYFUNCTION("""COMPUTED_VALUE"""),"e")</f>
        <v>e</v>
      </c>
      <c r="B1153" s="139">
        <f>IFERROR(__xludf.DUMMYFUNCTION("""COMPUTED_VALUE"""),2.0260401E8)</f>
        <v>202604010</v>
      </c>
      <c r="C1153" s="139" t="str">
        <f>IFERROR(__xludf.DUMMYFUNCTION("""COMPUTED_VALUE"""),"chara_aya_00101_Special_00004")</f>
        <v>chara_aya_00101_Special_00004</v>
      </c>
      <c r="D1153" s="139" t="str">
        <f>IFERROR(__xludf.DUMMYFUNCTION("""COMPUTED_VALUE"""),"chara_aya_00101")</f>
        <v>chara_aya_00101</v>
      </c>
      <c r="E1153" s="139">
        <f>IFERROR(__xludf.DUMMYFUNCTION("""COMPUTED_VALUE"""),4.0)</f>
        <v>4</v>
      </c>
      <c r="F1153" s="139" t="str">
        <f>IFERROR(__xludf.DUMMYFUNCTION("""COMPUTED_VALUE"""),"Special")</f>
        <v>Special</v>
      </c>
      <c r="G1153" s="139"/>
      <c r="H1153" s="139"/>
      <c r="I1153" s="139">
        <f>IFERROR(__xludf.DUMMYFUNCTION("""COMPUTED_VALUE"""),129.0)</f>
        <v>129</v>
      </c>
      <c r="J1153" s="139">
        <f>IFERROR(__xludf.DUMMYFUNCTION("""COMPUTED_VALUE"""),57.0)</f>
        <v>57</v>
      </c>
      <c r="K1153" s="139">
        <f>IFERROR(__xludf.DUMMYFUNCTION("""COMPUTED_VALUE"""),0.0)</f>
        <v>0</v>
      </c>
      <c r="L1153" s="139"/>
      <c r="M1153" s="139" t="str">
        <f>IFERROR(__xludf.DUMMYFUNCTION("""COMPUTED_VALUE"""),"敵単体に自身の攻撃ステータスの{chara_aya_00101_Special_00004_power_parameter}%のダメージ")</f>
        <v>敵単体に自身の攻撃ステータスの{chara_aya_00101_Special_00004_power_parameter}%のダメージ</v>
      </c>
      <c r="N1153" s="139" t="str">
        <f>IFERROR(__xludf.DUMMYFUNCTION("""COMPUTED_VALUE"""),"ステータスUP + 必殺ワザ性能UP")</f>
        <v>ステータスUP + 必殺ワザ性能UP</v>
      </c>
    </row>
    <row r="1154">
      <c r="A1154" s="139" t="str">
        <f>IFERROR(__xludf.DUMMYFUNCTION("""COMPUTED_VALUE"""),"e")</f>
        <v>e</v>
      </c>
      <c r="B1154" s="139">
        <f>IFERROR(__xludf.DUMMYFUNCTION("""COMPUTED_VALUE"""),2.0260401E8)</f>
        <v>202604010</v>
      </c>
      <c r="C1154" s="139" t="str">
        <f>IFERROR(__xludf.DUMMYFUNCTION("""COMPUTED_VALUE"""),"chara_aya_00101_Special_00005")</f>
        <v>chara_aya_00101_Special_00005</v>
      </c>
      <c r="D1154" s="139" t="str">
        <f>IFERROR(__xludf.DUMMYFUNCTION("""COMPUTED_VALUE"""),"chara_aya_00101")</f>
        <v>chara_aya_00101</v>
      </c>
      <c r="E1154" s="139">
        <f>IFERROR(__xludf.DUMMYFUNCTION("""COMPUTED_VALUE"""),5.0)</f>
        <v>5</v>
      </c>
      <c r="F1154" s="139" t="str">
        <f>IFERROR(__xludf.DUMMYFUNCTION("""COMPUTED_VALUE"""),"Special")</f>
        <v>Special</v>
      </c>
      <c r="G1154" s="139"/>
      <c r="H1154" s="139"/>
      <c r="I1154" s="139">
        <f>IFERROR(__xludf.DUMMYFUNCTION("""COMPUTED_VALUE"""),129.0)</f>
        <v>129</v>
      </c>
      <c r="J1154" s="139">
        <f>IFERROR(__xludf.DUMMYFUNCTION("""COMPUTED_VALUE"""),57.0)</f>
        <v>57</v>
      </c>
      <c r="K1154" s="139">
        <f>IFERROR(__xludf.DUMMYFUNCTION("""COMPUTED_VALUE"""),0.0)</f>
        <v>0</v>
      </c>
      <c r="L1154" s="139"/>
      <c r="M1154" s="139" t="str">
        <f>IFERROR(__xludf.DUMMYFUNCTION("""COMPUTED_VALUE"""),"敵単体に自身の攻撃ステータスの{chara_aya_00101_Special_00005_power_parameter}%のダメージ")</f>
        <v>敵単体に自身の攻撃ステータスの{chara_aya_00101_Special_00005_power_parameter}%のダメージ</v>
      </c>
      <c r="N1154" s="139" t="str">
        <f>IFERROR(__xludf.DUMMYFUNCTION("""COMPUTED_VALUE"""),"ステータスUP + 必殺ワザ性能UP")</f>
        <v>ステータスUP + 必殺ワザ性能UP</v>
      </c>
    </row>
    <row r="1155">
      <c r="A1155" s="139"/>
      <c r="B1155" s="139"/>
      <c r="C1155" s="139" t="str">
        <f>IFERROR(__xludf.DUMMYFUNCTION("""COMPUTED_VALUE"""),"chara_aya_00101_Special_00006")</f>
        <v>chara_aya_00101_Special_00006</v>
      </c>
      <c r="D1155" s="139" t="str">
        <f>IFERROR(__xludf.DUMMYFUNCTION("""COMPUTED_VALUE"""),"chara_aya_00101")</f>
        <v>chara_aya_00101</v>
      </c>
      <c r="E1155" s="139">
        <f>IFERROR(__xludf.DUMMYFUNCTION("""COMPUTED_VALUE"""),6.0)</f>
        <v>6</v>
      </c>
      <c r="F1155" s="139" t="str">
        <f>IFERROR(__xludf.DUMMYFUNCTION("""COMPUTED_VALUE"""),"Special")</f>
        <v>Special</v>
      </c>
      <c r="G1155" s="139"/>
      <c r="H1155" s="139"/>
      <c r="I1155" s="139">
        <f>IFERROR(__xludf.DUMMYFUNCTION("""COMPUTED_VALUE"""),129.0)</f>
        <v>129</v>
      </c>
      <c r="J1155" s="139">
        <f>IFERROR(__xludf.DUMMYFUNCTION("""COMPUTED_VALUE"""),57.0)</f>
        <v>57</v>
      </c>
      <c r="K1155" s="139">
        <f>IFERROR(__xludf.DUMMYFUNCTION("""COMPUTED_VALUE"""),0.0)</f>
        <v>0</v>
      </c>
      <c r="L1155" s="139"/>
      <c r="M1155" s="139"/>
      <c r="N1155" s="139"/>
    </row>
    <row r="1156">
      <c r="A1156" s="139"/>
      <c r="B1156" s="139"/>
      <c r="C1156" s="139" t="str">
        <f>IFERROR(__xludf.DUMMYFUNCTION("""COMPUTED_VALUE"""),"chara_aya_00101_Special_00007")</f>
        <v>chara_aya_00101_Special_00007</v>
      </c>
      <c r="D1156" s="139" t="str">
        <f>IFERROR(__xludf.DUMMYFUNCTION("""COMPUTED_VALUE"""),"chara_aya_00101")</f>
        <v>chara_aya_00101</v>
      </c>
      <c r="E1156" s="139">
        <f>IFERROR(__xludf.DUMMYFUNCTION("""COMPUTED_VALUE"""),7.0)</f>
        <v>7</v>
      </c>
      <c r="F1156" s="139" t="str">
        <f>IFERROR(__xludf.DUMMYFUNCTION("""COMPUTED_VALUE"""),"Special")</f>
        <v>Special</v>
      </c>
      <c r="G1156" s="139"/>
      <c r="H1156" s="139"/>
      <c r="I1156" s="139">
        <f>IFERROR(__xludf.DUMMYFUNCTION("""COMPUTED_VALUE"""),129.0)</f>
        <v>129</v>
      </c>
      <c r="J1156" s="139">
        <f>IFERROR(__xludf.DUMMYFUNCTION("""COMPUTED_VALUE"""),57.0)</f>
        <v>57</v>
      </c>
      <c r="K1156" s="139">
        <f>IFERROR(__xludf.DUMMYFUNCTION("""COMPUTED_VALUE"""),0.0)</f>
        <v>0</v>
      </c>
      <c r="L1156" s="139"/>
      <c r="M1156" s="139"/>
      <c r="N1156" s="139"/>
    </row>
    <row r="1157">
      <c r="A1157" s="139"/>
      <c r="B1157" s="139"/>
      <c r="C1157" s="139" t="str">
        <f>IFERROR(__xludf.DUMMYFUNCTION("""COMPUTED_VALUE"""),"chara_aya_00101_Special_00008")</f>
        <v>chara_aya_00101_Special_00008</v>
      </c>
      <c r="D1157" s="139" t="str">
        <f>IFERROR(__xludf.DUMMYFUNCTION("""COMPUTED_VALUE"""),"chara_aya_00101")</f>
        <v>chara_aya_00101</v>
      </c>
      <c r="E1157" s="139">
        <f>IFERROR(__xludf.DUMMYFUNCTION("""COMPUTED_VALUE"""),8.0)</f>
        <v>8</v>
      </c>
      <c r="F1157" s="139" t="str">
        <f>IFERROR(__xludf.DUMMYFUNCTION("""COMPUTED_VALUE"""),"Special")</f>
        <v>Special</v>
      </c>
      <c r="G1157" s="139"/>
      <c r="H1157" s="139"/>
      <c r="I1157" s="139">
        <f>IFERROR(__xludf.DUMMYFUNCTION("""COMPUTED_VALUE"""),129.0)</f>
        <v>129</v>
      </c>
      <c r="J1157" s="139">
        <f>IFERROR(__xludf.DUMMYFUNCTION("""COMPUTED_VALUE"""),57.0)</f>
        <v>57</v>
      </c>
      <c r="K1157" s="139">
        <f>IFERROR(__xludf.DUMMYFUNCTION("""COMPUTED_VALUE"""),0.0)</f>
        <v>0</v>
      </c>
      <c r="L1157" s="139"/>
      <c r="M1157" s="139"/>
      <c r="N1157" s="139"/>
    </row>
    <row r="1158">
      <c r="A1158" s="139"/>
      <c r="B1158" s="139"/>
      <c r="C1158" s="139" t="str">
        <f>IFERROR(__xludf.DUMMYFUNCTION("""COMPUTED_VALUE"""),"chara_aya_00101_Special_00009")</f>
        <v>chara_aya_00101_Special_00009</v>
      </c>
      <c r="D1158" s="139" t="str">
        <f>IFERROR(__xludf.DUMMYFUNCTION("""COMPUTED_VALUE"""),"chara_aya_00101")</f>
        <v>chara_aya_00101</v>
      </c>
      <c r="E1158" s="139">
        <f>IFERROR(__xludf.DUMMYFUNCTION("""COMPUTED_VALUE"""),9.0)</f>
        <v>9</v>
      </c>
      <c r="F1158" s="139" t="str">
        <f>IFERROR(__xludf.DUMMYFUNCTION("""COMPUTED_VALUE"""),"Special")</f>
        <v>Special</v>
      </c>
      <c r="G1158" s="139"/>
      <c r="H1158" s="139"/>
      <c r="I1158" s="139">
        <f>IFERROR(__xludf.DUMMYFUNCTION("""COMPUTED_VALUE"""),129.0)</f>
        <v>129</v>
      </c>
      <c r="J1158" s="139">
        <f>IFERROR(__xludf.DUMMYFUNCTION("""COMPUTED_VALUE"""),57.0)</f>
        <v>57</v>
      </c>
      <c r="K1158" s="139">
        <f>IFERROR(__xludf.DUMMYFUNCTION("""COMPUTED_VALUE"""),0.0)</f>
        <v>0</v>
      </c>
      <c r="L1158" s="139"/>
      <c r="M1158" s="139"/>
      <c r="N1158" s="139"/>
    </row>
    <row r="1159">
      <c r="A1159" s="139"/>
      <c r="B1159" s="139"/>
      <c r="C1159" s="139" t="str">
        <f>IFERROR(__xludf.DUMMYFUNCTION("""COMPUTED_VALUE"""),"chara_aya_00101_Special_00010")</f>
        <v>chara_aya_00101_Special_00010</v>
      </c>
      <c r="D1159" s="139" t="str">
        <f>IFERROR(__xludf.DUMMYFUNCTION("""COMPUTED_VALUE"""),"chara_aya_00101")</f>
        <v>chara_aya_00101</v>
      </c>
      <c r="E1159" s="139">
        <f>IFERROR(__xludf.DUMMYFUNCTION("""COMPUTED_VALUE"""),10.0)</f>
        <v>10</v>
      </c>
      <c r="F1159" s="139" t="str">
        <f>IFERROR(__xludf.DUMMYFUNCTION("""COMPUTED_VALUE"""),"Special")</f>
        <v>Special</v>
      </c>
      <c r="G1159" s="139"/>
      <c r="H1159" s="139"/>
      <c r="I1159" s="139">
        <f>IFERROR(__xludf.DUMMYFUNCTION("""COMPUTED_VALUE"""),129.0)</f>
        <v>129</v>
      </c>
      <c r="J1159" s="139">
        <f>IFERROR(__xludf.DUMMYFUNCTION("""COMPUTED_VALUE"""),57.0)</f>
        <v>57</v>
      </c>
      <c r="K1159" s="139">
        <f>IFERROR(__xludf.DUMMYFUNCTION("""COMPUTED_VALUE"""),0.0)</f>
        <v>0</v>
      </c>
      <c r="L1159" s="139"/>
      <c r="M1159" s="139"/>
      <c r="N1159" s="139"/>
    </row>
    <row r="1160">
      <c r="A1160" s="139"/>
      <c r="B1160" s="139"/>
      <c r="C1160" s="139"/>
      <c r="D1160" s="139"/>
      <c r="E1160" s="139"/>
      <c r="F1160" s="139"/>
      <c r="G1160" s="139"/>
      <c r="H1160" s="139"/>
      <c r="I1160" s="139"/>
      <c r="J1160" s="139"/>
      <c r="K1160" s="139"/>
      <c r="L1160" s="139"/>
      <c r="M1160" s="139"/>
      <c r="N1160" s="139"/>
    </row>
    <row r="1161">
      <c r="A1161" s="139"/>
      <c r="B1161" s="139"/>
      <c r="C1161" s="139"/>
      <c r="D1161" s="139"/>
      <c r="E1161" s="139"/>
      <c r="F1161" s="139"/>
      <c r="G1161" s="139"/>
      <c r="H1161" s="139"/>
      <c r="I1161" s="139"/>
      <c r="J1161" s="139"/>
      <c r="K1161" s="139"/>
      <c r="L1161" s="139"/>
      <c r="M1161" s="139"/>
      <c r="N1161" s="139"/>
    </row>
    <row r="1162">
      <c r="A1162" s="139"/>
      <c r="B1162" s="139"/>
      <c r="C1162" s="139"/>
      <c r="D1162" s="139"/>
      <c r="E1162" s="139"/>
      <c r="F1162" s="139"/>
      <c r="G1162" s="139"/>
      <c r="H1162" s="139"/>
      <c r="I1162" s="139"/>
      <c r="J1162" s="139"/>
      <c r="K1162" s="139"/>
      <c r="L1162" s="139"/>
      <c r="M1162" s="139"/>
      <c r="N1162" s="139"/>
    </row>
    <row r="1163">
      <c r="A1163" s="139"/>
      <c r="B1163" s="139"/>
      <c r="C1163" s="139"/>
      <c r="D1163" s="139"/>
      <c r="E1163" s="139"/>
      <c r="F1163" s="139"/>
      <c r="G1163" s="139"/>
      <c r="H1163" s="139"/>
      <c r="I1163" s="139"/>
      <c r="J1163" s="139"/>
      <c r="K1163" s="139"/>
      <c r="L1163" s="139"/>
      <c r="M1163" s="139"/>
      <c r="N1163" s="139"/>
    </row>
    <row r="1164">
      <c r="A1164" s="139"/>
      <c r="B1164" s="139"/>
      <c r="C1164" s="139"/>
      <c r="D1164" s="139"/>
      <c r="E1164" s="139"/>
      <c r="F1164" s="139"/>
      <c r="G1164" s="139"/>
      <c r="H1164" s="139"/>
      <c r="I1164" s="139"/>
      <c r="J1164" s="139"/>
      <c r="K1164" s="139"/>
      <c r="L1164" s="139"/>
      <c r="M1164" s="139"/>
      <c r="N1164" s="139"/>
    </row>
    <row r="1165">
      <c r="A1165" s="139" t="str">
        <f>IFERROR(__xludf.DUMMYFUNCTION("""COMPUTED_VALUE"""),"e")</f>
        <v>e</v>
      </c>
      <c r="B1165" s="139">
        <f>IFERROR(__xludf.DUMMYFUNCTION("""COMPUTED_VALUE"""),2.0250901E8)</f>
        <v>202509010</v>
      </c>
      <c r="C1165" s="139" t="str">
        <f>IFERROR(__xludf.DUMMYFUNCTION("""COMPUTED_VALUE"""),"e_glo_00001_tutorial_Normal_Yellow_Normal_00000")</f>
        <v>e_glo_00001_tutorial_Normal_Yellow_Normal_00000</v>
      </c>
      <c r="D1165" s="139" t="str">
        <f>IFERROR(__xludf.DUMMYFUNCTION("""COMPUTED_VALUE"""),"e_glo_00001_tutorial_Normal_Yellow")</f>
        <v>e_glo_00001_tutorial_Normal_Yellow</v>
      </c>
      <c r="E1165" s="139">
        <f>IFERROR(__xludf.DUMMYFUNCTION("""COMPUTED_VALUE"""),0.0)</f>
        <v>0</v>
      </c>
      <c r="F1165" s="139" t="str">
        <f>IFERROR(__xludf.DUMMYFUNCTION("""COMPUTED_VALUE"""),"Normal")</f>
        <v>Normal</v>
      </c>
      <c r="G1165" s="139"/>
      <c r="H1165" s="139"/>
      <c r="I1165" s="139">
        <f>IFERROR(__xludf.DUMMYFUNCTION("""COMPUTED_VALUE"""),50.0)</f>
        <v>50</v>
      </c>
      <c r="J1165" s="139">
        <f>IFERROR(__xludf.DUMMYFUNCTION("""COMPUTED_VALUE"""),25.0)</f>
        <v>25</v>
      </c>
      <c r="K1165" s="139">
        <f>IFERROR(__xludf.DUMMYFUNCTION("""COMPUTED_VALUE"""),100.0)</f>
        <v>100</v>
      </c>
      <c r="L1165" s="139"/>
      <c r="M1165" s="139"/>
      <c r="N1165" s="139"/>
    </row>
    <row r="1166">
      <c r="A1166" s="139" t="str">
        <f>IFERROR(__xludf.DUMMYFUNCTION("""COMPUTED_VALUE"""),"e")</f>
        <v>e</v>
      </c>
      <c r="B1166" s="139">
        <f>IFERROR(__xludf.DUMMYFUNCTION("""COMPUTED_VALUE"""),2.0250901E8)</f>
        <v>202509010</v>
      </c>
      <c r="C1166" s="139" t="str">
        <f>IFERROR(__xludf.DUMMYFUNCTION("""COMPUTED_VALUE"""),"e_glo_00001_tutorial_Boss_Yellow_Normal_00000")</f>
        <v>e_glo_00001_tutorial_Boss_Yellow_Normal_00000</v>
      </c>
      <c r="D1166" s="139" t="str">
        <f>IFERROR(__xludf.DUMMYFUNCTION("""COMPUTED_VALUE"""),"e_glo_00001_tutorial_Boss_Yellow")</f>
        <v>e_glo_00001_tutorial_Boss_Yellow</v>
      </c>
      <c r="E1166" s="139">
        <f>IFERROR(__xludf.DUMMYFUNCTION("""COMPUTED_VALUE"""),0.0)</f>
        <v>0</v>
      </c>
      <c r="F1166" s="139" t="str">
        <f>IFERROR(__xludf.DUMMYFUNCTION("""COMPUTED_VALUE"""),"Normal")</f>
        <v>Normal</v>
      </c>
      <c r="G1166" s="139"/>
      <c r="H1166" s="139"/>
      <c r="I1166" s="139">
        <f>IFERROR(__xludf.DUMMYFUNCTION("""COMPUTED_VALUE"""),50.0)</f>
        <v>50</v>
      </c>
      <c r="J1166" s="139">
        <f>IFERROR(__xludf.DUMMYFUNCTION("""COMPUTED_VALUE"""),25.0)</f>
        <v>25</v>
      </c>
      <c r="K1166" s="139">
        <f>IFERROR(__xludf.DUMMYFUNCTION("""COMPUTED_VALUE"""),100.0)</f>
        <v>100</v>
      </c>
      <c r="L1166" s="139"/>
      <c r="M1166" s="139"/>
      <c r="N1166" s="139"/>
    </row>
    <row r="1167">
      <c r="A1167" s="139" t="str">
        <f>IFERROR(__xludf.DUMMYFUNCTION("""COMPUTED_VALUE"""),"e")</f>
        <v>e</v>
      </c>
      <c r="B1167" s="139">
        <f>IFERROR(__xludf.DUMMYFUNCTION("""COMPUTED_VALUE"""),2.0250901E8)</f>
        <v>202509010</v>
      </c>
      <c r="C1167" s="139" t="str">
        <f>IFERROR(__xludf.DUMMYFUNCTION("""COMPUTED_VALUE"""),"e_glo_00001_tutorial_Boss_Yellow_Appearance_00001")</f>
        <v>e_glo_00001_tutorial_Boss_Yellow_Appearance_00001</v>
      </c>
      <c r="D1167" s="139" t="str">
        <f>IFERROR(__xludf.DUMMYFUNCTION("""COMPUTED_VALUE"""),"e_glo_00001_tutorial_Boss_Yellow")</f>
        <v>e_glo_00001_tutorial_Boss_Yellow</v>
      </c>
      <c r="E1167" s="139">
        <f>IFERROR(__xludf.DUMMYFUNCTION("""COMPUTED_VALUE"""),0.0)</f>
        <v>0</v>
      </c>
      <c r="F1167" s="139" t="str">
        <f>IFERROR(__xludf.DUMMYFUNCTION("""COMPUTED_VALUE"""),"Appearance")</f>
        <v>Appearance</v>
      </c>
      <c r="G1167" s="139"/>
      <c r="H1167" s="139"/>
      <c r="I1167" s="139">
        <f>IFERROR(__xludf.DUMMYFUNCTION("""COMPUTED_VALUE"""),50.0)</f>
        <v>50</v>
      </c>
      <c r="J1167" s="139">
        <f>IFERROR(__xludf.DUMMYFUNCTION("""COMPUTED_VALUE"""),0.0)</f>
        <v>0</v>
      </c>
      <c r="K1167" s="139">
        <f>IFERROR(__xludf.DUMMYFUNCTION("""COMPUTED_VALUE"""),0.0)</f>
        <v>0</v>
      </c>
      <c r="L1167" s="139"/>
      <c r="M1167" s="139"/>
      <c r="N1167" s="139"/>
    </row>
    <row r="1168">
      <c r="A1168" s="139" t="str">
        <f>IFERROR(__xludf.DUMMYFUNCTION("""COMPUTED_VALUE"""),"e")</f>
        <v>e</v>
      </c>
      <c r="B1168" s="139">
        <f>IFERROR(__xludf.DUMMYFUNCTION("""COMPUTED_VALUE"""),2.0250901E8)</f>
        <v>202509010</v>
      </c>
      <c r="C1168" s="139" t="str">
        <f>IFERROR(__xludf.DUMMYFUNCTION("""COMPUTED_VALUE"""),"e_glo_00001_tutorial_Normal_Blue_Normal_00000")</f>
        <v>e_glo_00001_tutorial_Normal_Blue_Normal_00000</v>
      </c>
      <c r="D1168" s="139" t="str">
        <f>IFERROR(__xludf.DUMMYFUNCTION("""COMPUTED_VALUE"""),"e_glo_00001_tutorial_Normal_Blue")</f>
        <v>e_glo_00001_tutorial_Normal_Blue</v>
      </c>
      <c r="E1168" s="139">
        <f>IFERROR(__xludf.DUMMYFUNCTION("""COMPUTED_VALUE"""),0.0)</f>
        <v>0</v>
      </c>
      <c r="F1168" s="139" t="str">
        <f>IFERROR(__xludf.DUMMYFUNCTION("""COMPUTED_VALUE"""),"Normal")</f>
        <v>Normal</v>
      </c>
      <c r="G1168" s="139"/>
      <c r="H1168" s="139"/>
      <c r="I1168" s="139">
        <f>IFERROR(__xludf.DUMMYFUNCTION("""COMPUTED_VALUE"""),50.0)</f>
        <v>50</v>
      </c>
      <c r="J1168" s="139">
        <f>IFERROR(__xludf.DUMMYFUNCTION("""COMPUTED_VALUE"""),25.0)</f>
        <v>25</v>
      </c>
      <c r="K1168" s="139">
        <f>IFERROR(__xludf.DUMMYFUNCTION("""COMPUTED_VALUE"""),100.0)</f>
        <v>100</v>
      </c>
      <c r="L1168" s="139"/>
      <c r="M1168" s="139"/>
      <c r="N1168" s="139"/>
    </row>
    <row r="1169">
      <c r="A1169" s="139" t="str">
        <f>IFERROR(__xludf.DUMMYFUNCTION("""COMPUTED_VALUE"""),"e")</f>
        <v>e</v>
      </c>
      <c r="B1169" s="139">
        <f>IFERROR(__xludf.DUMMYFUNCTION("""COMPUTED_VALUE"""),2.0250901E8)</f>
        <v>202509010</v>
      </c>
      <c r="C1169" s="139" t="str">
        <f>IFERROR(__xludf.DUMMYFUNCTION("""COMPUTED_VALUE"""),"e_glo_00001_tutorial_Normal_Red_Normal_00000")</f>
        <v>e_glo_00001_tutorial_Normal_Red_Normal_00000</v>
      </c>
      <c r="D1169" s="139" t="str">
        <f>IFERROR(__xludf.DUMMYFUNCTION("""COMPUTED_VALUE"""),"e_glo_00001_tutorial_Normal_Red")</f>
        <v>e_glo_00001_tutorial_Normal_Red</v>
      </c>
      <c r="E1169" s="139">
        <f>IFERROR(__xludf.DUMMYFUNCTION("""COMPUTED_VALUE"""),0.0)</f>
        <v>0</v>
      </c>
      <c r="F1169" s="139" t="str">
        <f>IFERROR(__xludf.DUMMYFUNCTION("""COMPUTED_VALUE"""),"Normal")</f>
        <v>Normal</v>
      </c>
      <c r="G1169" s="139"/>
      <c r="H1169" s="139"/>
      <c r="I1169" s="139">
        <f>IFERROR(__xludf.DUMMYFUNCTION("""COMPUTED_VALUE"""),50.0)</f>
        <v>50</v>
      </c>
      <c r="J1169" s="139">
        <f>IFERROR(__xludf.DUMMYFUNCTION("""COMPUTED_VALUE"""),25.0)</f>
        <v>25</v>
      </c>
      <c r="K1169" s="139">
        <f>IFERROR(__xludf.DUMMYFUNCTION("""COMPUTED_VALUE"""),100.0)</f>
        <v>100</v>
      </c>
      <c r="L1169" s="139"/>
      <c r="M1169" s="139"/>
      <c r="N1169" s="139"/>
    </row>
    <row r="1170">
      <c r="A1170" s="139" t="str">
        <f>IFERROR(__xludf.DUMMYFUNCTION("""COMPUTED_VALUE"""),"e")</f>
        <v>e</v>
      </c>
      <c r="B1170" s="139">
        <f>IFERROR(__xludf.DUMMYFUNCTION("""COMPUTED_VALUE"""),2.0260302E8)</f>
        <v>202603020</v>
      </c>
      <c r="C1170" s="139" t="str">
        <f>IFERROR(__xludf.DUMMYFUNCTION("""COMPUTED_VALUE"""),"e_glo_00001_tutorial_Boss_Blue_Normal_00000")</f>
        <v>e_glo_00001_tutorial_Boss_Blue_Normal_00000</v>
      </c>
      <c r="D1170" s="139" t="str">
        <f>IFERROR(__xludf.DUMMYFUNCTION("""COMPUTED_VALUE"""),"e_glo_00001_tutorial_Boss_Blue")</f>
        <v>e_glo_00001_tutorial_Boss_Blue</v>
      </c>
      <c r="E1170" s="139">
        <f>IFERROR(__xludf.DUMMYFUNCTION("""COMPUTED_VALUE"""),0.0)</f>
        <v>0</v>
      </c>
      <c r="F1170" s="139" t="str">
        <f>IFERROR(__xludf.DUMMYFUNCTION("""COMPUTED_VALUE"""),"Normal")</f>
        <v>Normal</v>
      </c>
      <c r="G1170" s="139"/>
      <c r="H1170" s="139"/>
      <c r="I1170" s="139">
        <f>IFERROR(__xludf.DUMMYFUNCTION("""COMPUTED_VALUE"""),50.0)</f>
        <v>50</v>
      </c>
      <c r="J1170" s="139">
        <f>IFERROR(__xludf.DUMMYFUNCTION("""COMPUTED_VALUE"""),25.0)</f>
        <v>25</v>
      </c>
      <c r="K1170" s="139">
        <f>IFERROR(__xludf.DUMMYFUNCTION("""COMPUTED_VALUE"""),100.0)</f>
        <v>100</v>
      </c>
      <c r="L1170" s="139"/>
      <c r="M1170" s="139"/>
      <c r="N1170" s="139"/>
    </row>
    <row r="1171">
      <c r="A1171" s="139" t="str">
        <f>IFERROR(__xludf.DUMMYFUNCTION("""COMPUTED_VALUE"""),"e")</f>
        <v>e</v>
      </c>
      <c r="B1171" s="139">
        <f>IFERROR(__xludf.DUMMYFUNCTION("""COMPUTED_VALUE"""),2.0260302E8)</f>
        <v>202603020</v>
      </c>
      <c r="C1171" s="139" t="str">
        <f>IFERROR(__xludf.DUMMYFUNCTION("""COMPUTED_VALUE"""),"e_glo_00001_tutorial_Boss_Blue_Appearance_00001")</f>
        <v>e_glo_00001_tutorial_Boss_Blue_Appearance_00001</v>
      </c>
      <c r="D1171" s="139" t="str">
        <f>IFERROR(__xludf.DUMMYFUNCTION("""COMPUTED_VALUE"""),"e_glo_00001_tutorial_Boss_Blue")</f>
        <v>e_glo_00001_tutorial_Boss_Blue</v>
      </c>
      <c r="E1171" s="139">
        <f>IFERROR(__xludf.DUMMYFUNCTION("""COMPUTED_VALUE"""),0.0)</f>
        <v>0</v>
      </c>
      <c r="F1171" s="139" t="str">
        <f>IFERROR(__xludf.DUMMYFUNCTION("""COMPUTED_VALUE"""),"Appearance")</f>
        <v>Appearance</v>
      </c>
      <c r="G1171" s="139"/>
      <c r="H1171" s="139"/>
      <c r="I1171" s="139">
        <f>IFERROR(__xludf.DUMMYFUNCTION("""COMPUTED_VALUE"""),50.0)</f>
        <v>50</v>
      </c>
      <c r="J1171" s="139">
        <f>IFERROR(__xludf.DUMMYFUNCTION("""COMPUTED_VALUE"""),0.0)</f>
        <v>0</v>
      </c>
      <c r="K1171" s="139">
        <f>IFERROR(__xludf.DUMMYFUNCTION("""COMPUTED_VALUE"""),0.0)</f>
        <v>0</v>
      </c>
      <c r="L1171" s="139"/>
      <c r="M1171" s="139"/>
      <c r="N1171" s="139"/>
    </row>
    <row r="1172">
      <c r="A1172" s="139" t="str">
        <f>IFERROR(__xludf.DUMMYFUNCTION("""COMPUTED_VALUE"""),"e")</f>
        <v>e</v>
      </c>
      <c r="B1172" s="139">
        <f>IFERROR(__xludf.DUMMYFUNCTION("""COMPUTED_VALUE"""),2.02510025E8)</f>
        <v>202510025</v>
      </c>
      <c r="C1172" s="139" t="str">
        <f>IFERROR(__xludf.DUMMYFUNCTION("""COMPUTED_VALUE"""),"e_kai_00002_tutorial_Normal_00000")</f>
        <v>e_kai_00002_tutorial_Normal_00000</v>
      </c>
      <c r="D1172" s="139" t="str">
        <f>IFERROR(__xludf.DUMMYFUNCTION("""COMPUTED_VALUE"""),"e_kai_00002_tutorial")</f>
        <v>e_kai_00002_tutorial</v>
      </c>
      <c r="E1172" s="139">
        <f>IFERROR(__xludf.DUMMYFUNCTION("""COMPUTED_VALUE"""),0.0)</f>
        <v>0</v>
      </c>
      <c r="F1172" s="139" t="str">
        <f>IFERROR(__xludf.DUMMYFUNCTION("""COMPUTED_VALUE"""),"Normal")</f>
        <v>Normal</v>
      </c>
      <c r="G1172" s="139"/>
      <c r="H1172" s="139"/>
      <c r="I1172" s="139">
        <f>IFERROR(__xludf.DUMMYFUNCTION("""COMPUTED_VALUE"""),75.0)</f>
        <v>75</v>
      </c>
      <c r="J1172" s="139">
        <f>IFERROR(__xludf.DUMMYFUNCTION("""COMPUTED_VALUE"""),27.0)</f>
        <v>27</v>
      </c>
      <c r="K1172" s="139">
        <f>IFERROR(__xludf.DUMMYFUNCTION("""COMPUTED_VALUE"""),100.0)</f>
        <v>100</v>
      </c>
      <c r="L1172" s="139"/>
      <c r="M1172" s="139"/>
      <c r="N1172" s="139"/>
    </row>
    <row r="1173">
      <c r="A1173" s="139" t="str">
        <f>IFERROR(__xludf.DUMMYFUNCTION("""COMPUTED_VALUE"""),"e")</f>
        <v>e</v>
      </c>
      <c r="B1173" s="139">
        <f>IFERROR(__xludf.DUMMYFUNCTION("""COMPUTED_VALUE"""),2.02510025E8)</f>
        <v>202510025</v>
      </c>
      <c r="C1173" s="139" t="str">
        <f>IFERROR(__xludf.DUMMYFUNCTION("""COMPUTED_VALUE"""),"e_spy_00101_tutorial_Normal_00000")</f>
        <v>e_spy_00101_tutorial_Normal_00000</v>
      </c>
      <c r="D1173" s="139" t="str">
        <f>IFERROR(__xludf.DUMMYFUNCTION("""COMPUTED_VALUE"""),"e_spy_00101_tutorial")</f>
        <v>e_spy_00101_tutorial</v>
      </c>
      <c r="E1173" s="139">
        <f>IFERROR(__xludf.DUMMYFUNCTION("""COMPUTED_VALUE"""),0.0)</f>
        <v>0</v>
      </c>
      <c r="F1173" s="139" t="str">
        <f>IFERROR(__xludf.DUMMYFUNCTION("""COMPUTED_VALUE"""),"Normal")</f>
        <v>Normal</v>
      </c>
      <c r="G1173" s="139"/>
      <c r="H1173" s="139"/>
      <c r="I1173" s="139">
        <f>IFERROR(__xludf.DUMMYFUNCTION("""COMPUTED_VALUE"""),82.0)</f>
        <v>82</v>
      </c>
      <c r="J1173" s="139">
        <f>IFERROR(__xludf.DUMMYFUNCTION("""COMPUTED_VALUE"""),42.0)</f>
        <v>42</v>
      </c>
      <c r="K1173" s="139">
        <f>IFERROR(__xludf.DUMMYFUNCTION("""COMPUTED_VALUE"""),100.0)</f>
        <v>100</v>
      </c>
      <c r="L1173" s="139"/>
      <c r="M1173" s="139"/>
      <c r="N1173" s="139"/>
    </row>
    <row r="1174">
      <c r="A1174" s="139" t="str">
        <f>IFERROR(__xludf.DUMMYFUNCTION("""COMPUTED_VALUE"""),"e")</f>
        <v>e</v>
      </c>
      <c r="B1174" s="139">
        <f>IFERROR(__xludf.DUMMYFUNCTION("""COMPUTED_VALUE"""),2.02510025E8)</f>
        <v>202510025</v>
      </c>
      <c r="C1174" s="139" t="str">
        <f>IFERROR(__xludf.DUMMYFUNCTION("""COMPUTED_VALUE"""),"e_dan_00002_tutorial_Normal_00000")</f>
        <v>e_dan_00002_tutorial_Normal_00000</v>
      </c>
      <c r="D1174" s="139" t="str">
        <f>IFERROR(__xludf.DUMMYFUNCTION("""COMPUTED_VALUE"""),"e_dan_00002_tutorial")</f>
        <v>e_dan_00002_tutorial</v>
      </c>
      <c r="E1174" s="139">
        <f>IFERROR(__xludf.DUMMYFUNCTION("""COMPUTED_VALUE"""),0.0)</f>
        <v>0</v>
      </c>
      <c r="F1174" s="139" t="str">
        <f>IFERROR(__xludf.DUMMYFUNCTION("""COMPUTED_VALUE"""),"Normal")</f>
        <v>Normal</v>
      </c>
      <c r="G1174" s="139"/>
      <c r="H1174" s="139"/>
      <c r="I1174" s="139">
        <f>IFERROR(__xludf.DUMMYFUNCTION("""COMPUTED_VALUE"""),92.0)</f>
        <v>92</v>
      </c>
      <c r="J1174" s="139">
        <f>IFERROR(__xludf.DUMMYFUNCTION("""COMPUTED_VALUE"""),0.0)</f>
        <v>0</v>
      </c>
      <c r="K1174" s="139">
        <f>IFERROR(__xludf.DUMMYFUNCTION("""COMPUTED_VALUE"""),100.0)</f>
        <v>100</v>
      </c>
      <c r="L1174" s="139"/>
      <c r="M1174" s="139"/>
      <c r="N1174" s="139"/>
    </row>
    <row r="1175">
      <c r="A1175" s="139" t="str">
        <f>IFERROR(__xludf.DUMMYFUNCTION("""COMPUTED_VALUE"""),"e")</f>
        <v>e</v>
      </c>
      <c r="B1175" s="139">
        <f>IFERROR(__xludf.DUMMYFUNCTION("""COMPUTED_VALUE"""),2.02510025E8)</f>
        <v>202510025</v>
      </c>
      <c r="C1175" s="139" t="str">
        <f>IFERROR(__xludf.DUMMYFUNCTION("""COMPUTED_VALUE"""),"e_sur_00101_tutorial_Normal_00000")</f>
        <v>e_sur_00101_tutorial_Normal_00000</v>
      </c>
      <c r="D1175" s="139" t="str">
        <f>IFERROR(__xludf.DUMMYFUNCTION("""COMPUTED_VALUE"""),"e_sur_00101_tutorial")</f>
        <v>e_sur_00101_tutorial</v>
      </c>
      <c r="E1175" s="139">
        <f>IFERROR(__xludf.DUMMYFUNCTION("""COMPUTED_VALUE"""),0.0)</f>
        <v>0</v>
      </c>
      <c r="F1175" s="139" t="str">
        <f>IFERROR(__xludf.DUMMYFUNCTION("""COMPUTED_VALUE"""),"Normal")</f>
        <v>Normal</v>
      </c>
      <c r="G1175" s="139"/>
      <c r="H1175" s="139"/>
      <c r="I1175" s="139">
        <f>IFERROR(__xludf.DUMMYFUNCTION("""COMPUTED_VALUE"""),74.0)</f>
        <v>74</v>
      </c>
      <c r="J1175" s="139">
        <f>IFERROR(__xludf.DUMMYFUNCTION("""COMPUTED_VALUE"""),19.0)</f>
        <v>19</v>
      </c>
      <c r="K1175" s="139">
        <f>IFERROR(__xludf.DUMMYFUNCTION("""COMPUTED_VALUE"""),100.0)</f>
        <v>100</v>
      </c>
      <c r="L1175" s="139"/>
      <c r="M1175" s="139"/>
      <c r="N1175" s="139"/>
    </row>
    <row r="1176">
      <c r="A1176" s="139" t="str">
        <f>IFERROR(__xludf.DUMMYFUNCTION("""COMPUTED_VALUE"""),"e")</f>
        <v>e</v>
      </c>
      <c r="B1176" s="139">
        <f>IFERROR(__xludf.DUMMYFUNCTION("""COMPUTED_VALUE"""),2.02510025E8)</f>
        <v>202510025</v>
      </c>
      <c r="C1176" s="139" t="str">
        <f>IFERROR(__xludf.DUMMYFUNCTION("""COMPUTED_VALUE"""),"e_chi_00002_tutorial_Normal_00000")</f>
        <v>e_chi_00002_tutorial_Normal_00000</v>
      </c>
      <c r="D1176" s="139" t="str">
        <f>IFERROR(__xludf.DUMMYFUNCTION("""COMPUTED_VALUE"""),"e_chi_00002_tutorial")</f>
        <v>e_chi_00002_tutorial</v>
      </c>
      <c r="E1176" s="139">
        <f>IFERROR(__xludf.DUMMYFUNCTION("""COMPUTED_VALUE"""),0.0)</f>
        <v>0</v>
      </c>
      <c r="F1176" s="139" t="str">
        <f>IFERROR(__xludf.DUMMYFUNCTION("""COMPUTED_VALUE"""),"Normal")</f>
        <v>Normal</v>
      </c>
      <c r="G1176" s="139"/>
      <c r="H1176" s="139"/>
      <c r="I1176" s="139">
        <f>IFERROR(__xludf.DUMMYFUNCTION("""COMPUTED_VALUE"""),54.0)</f>
        <v>54</v>
      </c>
      <c r="J1176" s="139">
        <f>IFERROR(__xludf.DUMMYFUNCTION("""COMPUTED_VALUE"""),33.0)</f>
        <v>33</v>
      </c>
      <c r="K1176" s="139">
        <f>IFERROR(__xludf.DUMMYFUNCTION("""COMPUTED_VALUE"""),100.0)</f>
        <v>100</v>
      </c>
      <c r="L1176" s="139"/>
      <c r="M1176" s="139"/>
      <c r="N1176" s="139"/>
    </row>
    <row r="1177">
      <c r="A1177" s="139"/>
      <c r="B1177" s="139"/>
      <c r="C1177" s="139"/>
      <c r="D1177" s="139"/>
      <c r="E1177" s="139"/>
      <c r="F1177" s="139"/>
      <c r="G1177" s="139"/>
      <c r="H1177" s="139"/>
      <c r="I1177" s="139"/>
      <c r="J1177" s="139"/>
      <c r="K1177" s="139"/>
      <c r="L1177" s="139"/>
      <c r="M1177" s="139"/>
      <c r="N1177" s="139"/>
    </row>
    <row r="1178">
      <c r="A1178" s="139" t="str">
        <f>IFERROR(__xludf.DUMMYFUNCTION("""COMPUTED_VALUE"""),"e")</f>
        <v>e</v>
      </c>
      <c r="B1178" s="139">
        <f>IFERROR(__xludf.DUMMYFUNCTION("""COMPUTED_VALUE"""),2.0250901E8)</f>
        <v>202509010</v>
      </c>
      <c r="C1178" s="139" t="str">
        <f>IFERROR(__xludf.DUMMYFUNCTION("""COMPUTED_VALUE"""),"e_mag_00301_test_C_Normal_00000")</f>
        <v>e_mag_00301_test_C_Normal_00000</v>
      </c>
      <c r="D1178" s="139" t="str">
        <f>IFERROR(__xludf.DUMMYFUNCTION("""COMPUTED_VALUE"""),"e_mag_00301_test_C")</f>
        <v>e_mag_00301_test_C</v>
      </c>
      <c r="E1178" s="139">
        <f>IFERROR(__xludf.DUMMYFUNCTION("""COMPUTED_VALUE"""),0.0)</f>
        <v>0</v>
      </c>
      <c r="F1178" s="139" t="str">
        <f>IFERROR(__xludf.DUMMYFUNCTION("""COMPUTED_VALUE"""),"Normal")</f>
        <v>Normal</v>
      </c>
      <c r="G1178" s="139"/>
      <c r="H1178" s="139"/>
      <c r="I1178" s="139">
        <f>IFERROR(__xludf.DUMMYFUNCTION("""COMPUTED_VALUE"""),75.0)</f>
        <v>75</v>
      </c>
      <c r="J1178" s="139">
        <f>IFERROR(__xludf.DUMMYFUNCTION("""COMPUTED_VALUE"""),37.0)</f>
        <v>37</v>
      </c>
      <c r="K1178" s="139">
        <f>IFERROR(__xludf.DUMMYFUNCTION("""COMPUTED_VALUE"""),50.0)</f>
        <v>50</v>
      </c>
      <c r="L1178" s="139"/>
      <c r="M1178" s="139"/>
      <c r="N1178" s="139"/>
    </row>
    <row r="1179">
      <c r="A1179" s="139" t="str">
        <f>IFERROR(__xludf.DUMMYFUNCTION("""COMPUTED_VALUE"""),"e")</f>
        <v>e</v>
      </c>
      <c r="B1179" s="139">
        <f>IFERROR(__xludf.DUMMYFUNCTION("""COMPUTED_VALUE"""),2.0250901E8)</f>
        <v>202509010</v>
      </c>
      <c r="C1179" s="139" t="str">
        <f>IFERROR(__xludf.DUMMYFUNCTION("""COMPUTED_VALUE"""),"e_mag_00301_test_R_Normal_00000")</f>
        <v>e_mag_00301_test_R_Normal_00000</v>
      </c>
      <c r="D1179" s="139" t="str">
        <f>IFERROR(__xludf.DUMMYFUNCTION("""COMPUTED_VALUE"""),"e_mag_00301_test_R")</f>
        <v>e_mag_00301_test_R</v>
      </c>
      <c r="E1179" s="139">
        <f>IFERROR(__xludf.DUMMYFUNCTION("""COMPUTED_VALUE"""),0.0)</f>
        <v>0</v>
      </c>
      <c r="F1179" s="139" t="str">
        <f>IFERROR(__xludf.DUMMYFUNCTION("""COMPUTED_VALUE"""),"Normal")</f>
        <v>Normal</v>
      </c>
      <c r="G1179" s="139"/>
      <c r="H1179" s="139"/>
      <c r="I1179" s="139">
        <f>IFERROR(__xludf.DUMMYFUNCTION("""COMPUTED_VALUE"""),75.0)</f>
        <v>75</v>
      </c>
      <c r="J1179" s="139">
        <f>IFERROR(__xludf.DUMMYFUNCTION("""COMPUTED_VALUE"""),37.0)</f>
        <v>37</v>
      </c>
      <c r="K1179" s="139">
        <f>IFERROR(__xludf.DUMMYFUNCTION("""COMPUTED_VALUE"""),50.0)</f>
        <v>50</v>
      </c>
      <c r="L1179" s="139"/>
      <c r="M1179" s="139"/>
      <c r="N1179" s="139"/>
    </row>
    <row r="1180">
      <c r="A1180" s="139" t="str">
        <f>IFERROR(__xludf.DUMMYFUNCTION("""COMPUTED_VALUE"""),"e")</f>
        <v>e</v>
      </c>
      <c r="B1180" s="139">
        <f>IFERROR(__xludf.DUMMYFUNCTION("""COMPUTED_VALUE"""),2.0250901E8)</f>
        <v>202509010</v>
      </c>
      <c r="C1180" s="139" t="str">
        <f>IFERROR(__xludf.DUMMYFUNCTION("""COMPUTED_VALUE"""),"e_mag_00301_test_E_Normal_00000")</f>
        <v>e_mag_00301_test_E_Normal_00000</v>
      </c>
      <c r="D1180" s="139" t="str">
        <f>IFERROR(__xludf.DUMMYFUNCTION("""COMPUTED_VALUE"""),"e_mag_00301_test_E")</f>
        <v>e_mag_00301_test_E</v>
      </c>
      <c r="E1180" s="139">
        <f>IFERROR(__xludf.DUMMYFUNCTION("""COMPUTED_VALUE"""),0.0)</f>
        <v>0</v>
      </c>
      <c r="F1180" s="139" t="str">
        <f>IFERROR(__xludf.DUMMYFUNCTION("""COMPUTED_VALUE"""),"Normal")</f>
        <v>Normal</v>
      </c>
      <c r="G1180" s="139"/>
      <c r="H1180" s="139"/>
      <c r="I1180" s="139">
        <f>IFERROR(__xludf.DUMMYFUNCTION("""COMPUTED_VALUE"""),75.0)</f>
        <v>75</v>
      </c>
      <c r="J1180" s="139">
        <f>IFERROR(__xludf.DUMMYFUNCTION("""COMPUTED_VALUE"""),37.0)</f>
        <v>37</v>
      </c>
      <c r="K1180" s="139">
        <f>IFERROR(__xludf.DUMMYFUNCTION("""COMPUTED_VALUE"""),50.0)</f>
        <v>50</v>
      </c>
      <c r="L1180" s="139"/>
      <c r="M1180" s="139"/>
      <c r="N1180" s="139"/>
    </row>
    <row r="1181">
      <c r="A1181" s="139" t="str">
        <f>IFERROR(__xludf.DUMMYFUNCTION("""COMPUTED_VALUE"""),"e")</f>
        <v>e</v>
      </c>
      <c r="B1181" s="139">
        <f>IFERROR(__xludf.DUMMYFUNCTION("""COMPUTED_VALUE"""),2.0250901E8)</f>
        <v>202509010</v>
      </c>
      <c r="C1181" s="139" t="str">
        <f>IFERROR(__xludf.DUMMYFUNCTION("""COMPUTED_VALUE"""),"e_glo_00001_general_n_Normal_Red_test_Normal_00000")</f>
        <v>e_glo_00001_general_n_Normal_Red_test_Normal_00000</v>
      </c>
      <c r="D1181" s="139" t="str">
        <f>IFERROR(__xludf.DUMMYFUNCTION("""COMPUTED_VALUE"""),"e_glo_00001_general_n_Normal_Red_test")</f>
        <v>e_glo_00001_general_n_Normal_Red_test</v>
      </c>
      <c r="E1181" s="139">
        <f>IFERROR(__xludf.DUMMYFUNCTION("""COMPUTED_VALUE"""),0.0)</f>
        <v>0</v>
      </c>
      <c r="F1181" s="139" t="str">
        <f>IFERROR(__xludf.DUMMYFUNCTION("""COMPUTED_VALUE"""),"Normal")</f>
        <v>Normal</v>
      </c>
      <c r="G1181" s="139"/>
      <c r="H1181" s="139"/>
      <c r="I1181" s="139">
        <f>IFERROR(__xludf.DUMMYFUNCTION("""COMPUTED_VALUE"""),50.0)</f>
        <v>50</v>
      </c>
      <c r="J1181" s="139">
        <f>IFERROR(__xludf.DUMMYFUNCTION("""COMPUTED_VALUE"""),25.0)</f>
        <v>25</v>
      </c>
      <c r="K1181" s="139">
        <f>IFERROR(__xludf.DUMMYFUNCTION("""COMPUTED_VALUE"""),100.0)</f>
        <v>100</v>
      </c>
      <c r="L1181" s="139"/>
      <c r="M1181" s="139"/>
      <c r="N1181" s="139"/>
    </row>
    <row r="1182">
      <c r="A1182" s="139" t="str">
        <f>IFERROR(__xludf.DUMMYFUNCTION("""COMPUTED_VALUE"""),"e")</f>
        <v>e</v>
      </c>
      <c r="B1182" s="139">
        <f>IFERROR(__xludf.DUMMYFUNCTION("""COMPUTED_VALUE"""),2.0250901E8)</f>
        <v>202509010</v>
      </c>
      <c r="C1182" s="139" t="str">
        <f>IFERROR(__xludf.DUMMYFUNCTION("""COMPUTED_VALUE"""),"e_glo_00001_general_n_Normal_Green_test_Normal_00000")</f>
        <v>e_glo_00001_general_n_Normal_Green_test_Normal_00000</v>
      </c>
      <c r="D1182" s="139" t="str">
        <f>IFERROR(__xludf.DUMMYFUNCTION("""COMPUTED_VALUE"""),"e_glo_00001_general_n_Normal_Green_test")</f>
        <v>e_glo_00001_general_n_Normal_Green_test</v>
      </c>
      <c r="E1182" s="139">
        <f>IFERROR(__xludf.DUMMYFUNCTION("""COMPUTED_VALUE"""),0.0)</f>
        <v>0</v>
      </c>
      <c r="F1182" s="139" t="str">
        <f>IFERROR(__xludf.DUMMYFUNCTION("""COMPUTED_VALUE"""),"Normal")</f>
        <v>Normal</v>
      </c>
      <c r="G1182" s="139"/>
      <c r="H1182" s="139"/>
      <c r="I1182" s="139">
        <f>IFERROR(__xludf.DUMMYFUNCTION("""COMPUTED_VALUE"""),50.0)</f>
        <v>50</v>
      </c>
      <c r="J1182" s="139">
        <f>IFERROR(__xludf.DUMMYFUNCTION("""COMPUTED_VALUE"""),25.0)</f>
        <v>25</v>
      </c>
      <c r="K1182" s="139">
        <f>IFERROR(__xludf.DUMMYFUNCTION("""COMPUTED_VALUE"""),100.0)</f>
        <v>100</v>
      </c>
      <c r="L1182" s="139"/>
      <c r="M1182" s="139"/>
      <c r="N1182" s="139"/>
    </row>
    <row r="1183">
      <c r="A1183" s="139"/>
      <c r="B1183" s="139"/>
      <c r="C1183" s="139"/>
      <c r="D1183" s="139"/>
      <c r="E1183" s="139"/>
      <c r="F1183" s="139"/>
      <c r="G1183" s="139"/>
      <c r="H1183" s="139"/>
      <c r="I1183" s="139"/>
      <c r="J1183" s="139"/>
      <c r="K1183" s="139"/>
      <c r="L1183" s="139"/>
      <c r="M1183" s="139"/>
      <c r="N1183" s="139"/>
    </row>
    <row r="1184">
      <c r="A1184" s="139" t="str">
        <f>IFERROR(__xludf.DUMMYFUNCTION("""COMPUTED_VALUE"""),"e")</f>
        <v>e</v>
      </c>
      <c r="B1184" s="139">
        <f>IFERROR(__xludf.DUMMYFUNCTION("""COMPUTED_VALUE"""),2.0250901E8)</f>
        <v>202509010</v>
      </c>
      <c r="C1184" s="139" t="str">
        <f>IFERROR(__xludf.DUMMYFUNCTION("""COMPUTED_VALUE"""),"e_chi_00001_general_Boss_Yellow_Normal_00000")</f>
        <v>e_chi_00001_general_Boss_Yellow_Normal_00000</v>
      </c>
      <c r="D1184" s="139" t="str">
        <f>IFERROR(__xludf.DUMMYFUNCTION("""COMPUTED_VALUE"""),"e_chi_00001_general_Boss_Yellow")</f>
        <v>e_chi_00001_general_Boss_Yellow</v>
      </c>
      <c r="E1184" s="139">
        <f>IFERROR(__xludf.DUMMYFUNCTION("""COMPUTED_VALUE"""),0.0)</f>
        <v>0</v>
      </c>
      <c r="F1184" s="139" t="str">
        <f>IFERROR(__xludf.DUMMYFUNCTION("""COMPUTED_VALUE"""),"Normal")</f>
        <v>Normal</v>
      </c>
      <c r="G1184" s="139"/>
      <c r="H1184" s="139"/>
      <c r="I1184" s="139">
        <f>IFERROR(__xludf.DUMMYFUNCTION("""COMPUTED_VALUE"""),68.0)</f>
        <v>68</v>
      </c>
      <c r="J1184" s="139">
        <f>IFERROR(__xludf.DUMMYFUNCTION("""COMPUTED_VALUE"""),10.0)</f>
        <v>10</v>
      </c>
      <c r="K1184" s="139">
        <f>IFERROR(__xludf.DUMMYFUNCTION("""COMPUTED_VALUE"""),100.0)</f>
        <v>100</v>
      </c>
      <c r="L1184" s="139"/>
      <c r="M1184" s="139"/>
      <c r="N1184" s="139"/>
    </row>
    <row r="1185">
      <c r="A1185" s="139" t="str">
        <f>IFERROR(__xludf.DUMMYFUNCTION("""COMPUTED_VALUE"""),"e")</f>
        <v>e</v>
      </c>
      <c r="B1185" s="139">
        <f>IFERROR(__xludf.DUMMYFUNCTION("""COMPUTED_VALUE"""),2.0250901E8)</f>
        <v>202509010</v>
      </c>
      <c r="C1185" s="139" t="str">
        <f>IFERROR(__xludf.DUMMYFUNCTION("""COMPUTED_VALUE"""),"e_chi_00001_general_Boss_Yellow_Appearance_00001")</f>
        <v>e_chi_00001_general_Boss_Yellow_Appearance_00001</v>
      </c>
      <c r="D1185" s="139" t="str">
        <f>IFERROR(__xludf.DUMMYFUNCTION("""COMPUTED_VALUE"""),"e_chi_00001_general_Boss_Yellow")</f>
        <v>e_chi_00001_general_Boss_Yellow</v>
      </c>
      <c r="E1185" s="139">
        <f>IFERROR(__xludf.DUMMYFUNCTION("""COMPUTED_VALUE"""),0.0)</f>
        <v>0</v>
      </c>
      <c r="F1185" s="139" t="str">
        <f>IFERROR(__xludf.DUMMYFUNCTION("""COMPUTED_VALUE"""),"Appearance")</f>
        <v>Appearance</v>
      </c>
      <c r="G1185" s="139"/>
      <c r="H1185" s="139"/>
      <c r="I1185" s="139">
        <f>IFERROR(__xludf.DUMMYFUNCTION("""COMPUTED_VALUE"""),50.0)</f>
        <v>50</v>
      </c>
      <c r="J1185" s="139">
        <f>IFERROR(__xludf.DUMMYFUNCTION("""COMPUTED_VALUE"""),0.0)</f>
        <v>0</v>
      </c>
      <c r="K1185" s="139">
        <f>IFERROR(__xludf.DUMMYFUNCTION("""COMPUTED_VALUE"""),0.0)</f>
        <v>0</v>
      </c>
      <c r="L1185" s="139"/>
      <c r="M1185" s="139"/>
      <c r="N1185" s="139"/>
    </row>
    <row r="1186">
      <c r="A1186" s="139" t="str">
        <f>IFERROR(__xludf.DUMMYFUNCTION("""COMPUTED_VALUE"""),"e")</f>
        <v>e</v>
      </c>
      <c r="B1186" s="139">
        <f>IFERROR(__xludf.DUMMYFUNCTION("""COMPUTED_VALUE"""),2.0250901E8)</f>
        <v>202509010</v>
      </c>
      <c r="C1186" s="139" t="str">
        <f>IFERROR(__xludf.DUMMYFUNCTION("""COMPUTED_VALUE"""),"e_chi_00101_general_Normal_Colorless_Normal_00000")</f>
        <v>e_chi_00101_general_Normal_Colorless_Normal_00000</v>
      </c>
      <c r="D1186" s="139" t="str">
        <f>IFERROR(__xludf.DUMMYFUNCTION("""COMPUTED_VALUE"""),"e_chi_00101_general_Normal_Colorless")</f>
        <v>e_chi_00101_general_Normal_Colorless</v>
      </c>
      <c r="E1186" s="139">
        <f>IFERROR(__xludf.DUMMYFUNCTION("""COMPUTED_VALUE"""),0.0)</f>
        <v>0</v>
      </c>
      <c r="F1186" s="139" t="str">
        <f>IFERROR(__xludf.DUMMYFUNCTION("""COMPUTED_VALUE"""),"Normal")</f>
        <v>Normal</v>
      </c>
      <c r="G1186" s="139"/>
      <c r="H1186" s="139"/>
      <c r="I1186" s="139">
        <f>IFERROR(__xludf.DUMMYFUNCTION("""COMPUTED_VALUE"""),95.0)</f>
        <v>95</v>
      </c>
      <c r="J1186" s="139">
        <f>IFERROR(__xludf.DUMMYFUNCTION("""COMPUTED_VALUE"""),33.0)</f>
        <v>33</v>
      </c>
      <c r="K1186" s="139">
        <f>IFERROR(__xludf.DUMMYFUNCTION("""COMPUTED_VALUE"""),45.0)</f>
        <v>45</v>
      </c>
      <c r="L1186" s="139"/>
      <c r="M1186" s="139"/>
      <c r="N1186" s="139"/>
    </row>
    <row r="1187">
      <c r="A1187" s="139" t="str">
        <f>IFERROR(__xludf.DUMMYFUNCTION("""COMPUTED_VALUE"""),"e")</f>
        <v>e</v>
      </c>
      <c r="B1187" s="139">
        <f>IFERROR(__xludf.DUMMYFUNCTION("""COMPUTED_VALUE"""),2.0250901E8)</f>
        <v>202509010</v>
      </c>
      <c r="C1187" s="139" t="str">
        <f>IFERROR(__xludf.DUMMYFUNCTION("""COMPUTED_VALUE"""),"e_chi_00101_general_Normal_Yellow_Normal_00000")</f>
        <v>e_chi_00101_general_Normal_Yellow_Normal_00000</v>
      </c>
      <c r="D1187" s="139" t="str">
        <f>IFERROR(__xludf.DUMMYFUNCTION("""COMPUTED_VALUE"""),"e_chi_00101_general_Normal_Yellow")</f>
        <v>e_chi_00101_general_Normal_Yellow</v>
      </c>
      <c r="E1187" s="139">
        <f>IFERROR(__xludf.DUMMYFUNCTION("""COMPUTED_VALUE"""),0.0)</f>
        <v>0</v>
      </c>
      <c r="F1187" s="139" t="str">
        <f>IFERROR(__xludf.DUMMYFUNCTION("""COMPUTED_VALUE"""),"Normal")</f>
        <v>Normal</v>
      </c>
      <c r="G1187" s="139"/>
      <c r="H1187" s="139"/>
      <c r="I1187" s="139">
        <f>IFERROR(__xludf.DUMMYFUNCTION("""COMPUTED_VALUE"""),95.0)</f>
        <v>95</v>
      </c>
      <c r="J1187" s="139">
        <f>IFERROR(__xludf.DUMMYFUNCTION("""COMPUTED_VALUE"""),33.0)</f>
        <v>33</v>
      </c>
      <c r="K1187" s="139">
        <f>IFERROR(__xludf.DUMMYFUNCTION("""COMPUTED_VALUE"""),45.0)</f>
        <v>45</v>
      </c>
      <c r="L1187" s="139"/>
      <c r="M1187" s="139"/>
      <c r="N1187" s="139"/>
    </row>
    <row r="1188">
      <c r="A1188" s="139" t="str">
        <f>IFERROR(__xludf.DUMMYFUNCTION("""COMPUTED_VALUE"""),"e")</f>
        <v>e</v>
      </c>
      <c r="B1188" s="139">
        <f>IFERROR(__xludf.DUMMYFUNCTION("""COMPUTED_VALUE"""),2.0250901E8)</f>
        <v>202509010</v>
      </c>
      <c r="C1188" s="139" t="str">
        <f>IFERROR(__xludf.DUMMYFUNCTION("""COMPUTED_VALUE"""),"e_chi_00201_general_Normal_Yellow_Normal_00000")</f>
        <v>e_chi_00201_general_Normal_Yellow_Normal_00000</v>
      </c>
      <c r="D1188" s="139" t="str">
        <f>IFERROR(__xludf.DUMMYFUNCTION("""COMPUTED_VALUE"""),"e_chi_00201_general_Normal_Yellow")</f>
        <v>e_chi_00201_general_Normal_Yellow</v>
      </c>
      <c r="E1188" s="139">
        <f>IFERROR(__xludf.DUMMYFUNCTION("""COMPUTED_VALUE"""),0.0)</f>
        <v>0</v>
      </c>
      <c r="F1188" s="139" t="str">
        <f>IFERROR(__xludf.DUMMYFUNCTION("""COMPUTED_VALUE"""),"Normal")</f>
        <v>Normal</v>
      </c>
      <c r="G1188" s="139"/>
      <c r="H1188" s="139"/>
      <c r="I1188" s="139">
        <f>IFERROR(__xludf.DUMMYFUNCTION("""COMPUTED_VALUE"""),67.0)</f>
        <v>67</v>
      </c>
      <c r="J1188" s="139">
        <f>IFERROR(__xludf.DUMMYFUNCTION("""COMPUTED_VALUE"""),17.0)</f>
        <v>17</v>
      </c>
      <c r="K1188" s="139">
        <f>IFERROR(__xludf.DUMMYFUNCTION("""COMPUTED_VALUE"""),45.0)</f>
        <v>45</v>
      </c>
      <c r="L1188" s="139"/>
      <c r="M1188" s="139"/>
      <c r="N1188" s="139"/>
    </row>
    <row r="1189">
      <c r="A1189" s="139" t="str">
        <f>IFERROR(__xludf.DUMMYFUNCTION("""COMPUTED_VALUE"""),"e")</f>
        <v>e</v>
      </c>
      <c r="B1189" s="139">
        <f>IFERROR(__xludf.DUMMYFUNCTION("""COMPUTED_VALUE"""),2.0250901E8)</f>
        <v>202509010</v>
      </c>
      <c r="C1189" s="139" t="str">
        <f>IFERROR(__xludf.DUMMYFUNCTION("""COMPUTED_VALUE"""),"e_chi_00201_general_Boss_Yellow_Normal_00000")</f>
        <v>e_chi_00201_general_Boss_Yellow_Normal_00000</v>
      </c>
      <c r="D1189" s="139" t="str">
        <f>IFERROR(__xludf.DUMMYFUNCTION("""COMPUTED_VALUE"""),"e_chi_00201_general_Boss_Yellow")</f>
        <v>e_chi_00201_general_Boss_Yellow</v>
      </c>
      <c r="E1189" s="139">
        <f>IFERROR(__xludf.DUMMYFUNCTION("""COMPUTED_VALUE"""),0.0)</f>
        <v>0</v>
      </c>
      <c r="F1189" s="139" t="str">
        <f>IFERROR(__xludf.DUMMYFUNCTION("""COMPUTED_VALUE"""),"Normal")</f>
        <v>Normal</v>
      </c>
      <c r="G1189" s="139"/>
      <c r="H1189" s="139"/>
      <c r="I1189" s="139">
        <f>IFERROR(__xludf.DUMMYFUNCTION("""COMPUTED_VALUE"""),67.0)</f>
        <v>67</v>
      </c>
      <c r="J1189" s="139">
        <f>IFERROR(__xludf.DUMMYFUNCTION("""COMPUTED_VALUE"""),17.0)</f>
        <v>17</v>
      </c>
      <c r="K1189" s="139">
        <f>IFERROR(__xludf.DUMMYFUNCTION("""COMPUTED_VALUE"""),75.0)</f>
        <v>75</v>
      </c>
      <c r="L1189" s="139"/>
      <c r="M1189" s="139"/>
      <c r="N1189" s="139"/>
    </row>
    <row r="1190">
      <c r="A1190" s="139" t="str">
        <f>IFERROR(__xludf.DUMMYFUNCTION("""COMPUTED_VALUE"""),"e")</f>
        <v>e</v>
      </c>
      <c r="B1190" s="139">
        <f>IFERROR(__xludf.DUMMYFUNCTION("""COMPUTED_VALUE"""),2.0250901E8)</f>
        <v>202509010</v>
      </c>
      <c r="C1190" s="139" t="str">
        <f>IFERROR(__xludf.DUMMYFUNCTION("""COMPUTED_VALUE"""),"e_chi_00201_general_Boss_Yellow_Appearance_00001")</f>
        <v>e_chi_00201_general_Boss_Yellow_Appearance_00001</v>
      </c>
      <c r="D1190" s="139" t="str">
        <f>IFERROR(__xludf.DUMMYFUNCTION("""COMPUTED_VALUE"""),"e_chi_00201_general_Boss_Yellow")</f>
        <v>e_chi_00201_general_Boss_Yellow</v>
      </c>
      <c r="E1190" s="139">
        <f>IFERROR(__xludf.DUMMYFUNCTION("""COMPUTED_VALUE"""),0.0)</f>
        <v>0</v>
      </c>
      <c r="F1190" s="139" t="str">
        <f>IFERROR(__xludf.DUMMYFUNCTION("""COMPUTED_VALUE"""),"Appearance")</f>
        <v>Appearance</v>
      </c>
      <c r="G1190" s="139"/>
      <c r="H1190" s="139"/>
      <c r="I1190" s="139">
        <f>IFERROR(__xludf.DUMMYFUNCTION("""COMPUTED_VALUE"""),50.0)</f>
        <v>50</v>
      </c>
      <c r="J1190" s="139">
        <f>IFERROR(__xludf.DUMMYFUNCTION("""COMPUTED_VALUE"""),0.0)</f>
        <v>0</v>
      </c>
      <c r="K1190" s="139">
        <f>IFERROR(__xludf.DUMMYFUNCTION("""COMPUTED_VALUE"""),0.0)</f>
        <v>0</v>
      </c>
      <c r="L1190" s="139"/>
      <c r="M1190" s="139"/>
      <c r="N1190" s="139"/>
    </row>
    <row r="1191">
      <c r="A1191" s="139" t="str">
        <f>IFERROR(__xludf.DUMMYFUNCTION("""COMPUTED_VALUE"""),"e")</f>
        <v>e</v>
      </c>
      <c r="B1191" s="139">
        <f>IFERROR(__xludf.DUMMYFUNCTION("""COMPUTED_VALUE"""),2.0250901E8)</f>
        <v>202509010</v>
      </c>
      <c r="C1191" s="139" t="str">
        <f>IFERROR(__xludf.DUMMYFUNCTION("""COMPUTED_VALUE"""),"c_chi_00201_general_Boss_Yellow_Normal_00000")</f>
        <v>c_chi_00201_general_Boss_Yellow_Normal_00000</v>
      </c>
      <c r="D1191" s="139" t="str">
        <f>IFERROR(__xludf.DUMMYFUNCTION("""COMPUTED_VALUE"""),"c_chi_00201_general_Boss_Yellow")</f>
        <v>c_chi_00201_general_Boss_Yellow</v>
      </c>
      <c r="E1191" s="139">
        <f>IFERROR(__xludf.DUMMYFUNCTION("""COMPUTED_VALUE"""),0.0)</f>
        <v>0</v>
      </c>
      <c r="F1191" s="139" t="str">
        <f>IFERROR(__xludf.DUMMYFUNCTION("""COMPUTED_VALUE"""),"Normal")</f>
        <v>Normal</v>
      </c>
      <c r="G1191" s="139"/>
      <c r="H1191" s="139"/>
      <c r="I1191" s="139">
        <f>IFERROR(__xludf.DUMMYFUNCTION("""COMPUTED_VALUE"""),80.0)</f>
        <v>80</v>
      </c>
      <c r="J1191" s="139">
        <f>IFERROR(__xludf.DUMMYFUNCTION("""COMPUTED_VALUE"""),42.0)</f>
        <v>42</v>
      </c>
      <c r="K1191" s="139">
        <f>IFERROR(__xludf.DUMMYFUNCTION("""COMPUTED_VALUE"""),50.0)</f>
        <v>50</v>
      </c>
      <c r="L1191" s="139"/>
      <c r="M1191" s="139"/>
      <c r="N1191" s="139"/>
    </row>
    <row r="1192">
      <c r="A1192" s="139" t="str">
        <f>IFERROR(__xludf.DUMMYFUNCTION("""COMPUTED_VALUE"""),"e")</f>
        <v>e</v>
      </c>
      <c r="B1192" s="139">
        <f>IFERROR(__xludf.DUMMYFUNCTION("""COMPUTED_VALUE"""),2.0250901E8)</f>
        <v>202509010</v>
      </c>
      <c r="C1192" s="139" t="str">
        <f>IFERROR(__xludf.DUMMYFUNCTION("""COMPUTED_VALUE"""),"c_chi_00201_general_Boss_Yellow_Appearance_00001")</f>
        <v>c_chi_00201_general_Boss_Yellow_Appearance_00001</v>
      </c>
      <c r="D1192" s="139" t="str">
        <f>IFERROR(__xludf.DUMMYFUNCTION("""COMPUTED_VALUE"""),"c_chi_00201_general_Boss_Yellow")</f>
        <v>c_chi_00201_general_Boss_Yellow</v>
      </c>
      <c r="E1192" s="139">
        <f>IFERROR(__xludf.DUMMYFUNCTION("""COMPUTED_VALUE"""),0.0)</f>
        <v>0</v>
      </c>
      <c r="F1192" s="139" t="str">
        <f>IFERROR(__xludf.DUMMYFUNCTION("""COMPUTED_VALUE"""),"Appearance")</f>
        <v>Appearance</v>
      </c>
      <c r="G1192" s="139"/>
      <c r="H1192" s="139"/>
      <c r="I1192" s="139">
        <f>IFERROR(__xludf.DUMMYFUNCTION("""COMPUTED_VALUE"""),50.0)</f>
        <v>50</v>
      </c>
      <c r="J1192" s="139">
        <f>IFERROR(__xludf.DUMMYFUNCTION("""COMPUTED_VALUE"""),0.0)</f>
        <v>0</v>
      </c>
      <c r="K1192" s="139">
        <f>IFERROR(__xludf.DUMMYFUNCTION("""COMPUTED_VALUE"""),0.0)</f>
        <v>0</v>
      </c>
      <c r="L1192" s="139"/>
      <c r="M1192" s="139"/>
      <c r="N1192" s="139"/>
    </row>
    <row r="1193">
      <c r="A1193" s="139" t="str">
        <f>IFERROR(__xludf.DUMMYFUNCTION("""COMPUTED_VALUE"""),"e")</f>
        <v>e</v>
      </c>
      <c r="B1193" s="139">
        <f>IFERROR(__xludf.DUMMYFUNCTION("""COMPUTED_VALUE"""),2.0250901E8)</f>
        <v>202509010</v>
      </c>
      <c r="C1193" s="139" t="str">
        <f>IFERROR(__xludf.DUMMYFUNCTION("""COMPUTED_VALUE"""),"c_chi_00201_general_Boss_Yellow_Special_00002")</f>
        <v>c_chi_00201_general_Boss_Yellow_Special_00002</v>
      </c>
      <c r="D1193" s="139" t="str">
        <f>IFERROR(__xludf.DUMMYFUNCTION("""COMPUTED_VALUE"""),"c_chi_00201_general_Boss_Yellow")</f>
        <v>c_chi_00201_general_Boss_Yellow</v>
      </c>
      <c r="E1193" s="139">
        <f>IFERROR(__xludf.DUMMYFUNCTION("""COMPUTED_VALUE"""),0.0)</f>
        <v>0</v>
      </c>
      <c r="F1193" s="139" t="str">
        <f>IFERROR(__xludf.DUMMYFUNCTION("""COMPUTED_VALUE"""),"Special")</f>
        <v>Special</v>
      </c>
      <c r="G1193" s="139"/>
      <c r="H1193" s="139"/>
      <c r="I1193" s="139">
        <f>IFERROR(__xludf.DUMMYFUNCTION("""COMPUTED_VALUE"""),122.0)</f>
        <v>122</v>
      </c>
      <c r="J1193" s="139">
        <f>IFERROR(__xludf.DUMMYFUNCTION("""COMPUTED_VALUE"""),82.0)</f>
        <v>82</v>
      </c>
      <c r="K1193" s="139">
        <f>IFERROR(__xludf.DUMMYFUNCTION("""COMPUTED_VALUE"""),0.0)</f>
        <v>0</v>
      </c>
      <c r="L1193" s="139"/>
      <c r="M1193" s="139"/>
      <c r="N1193" s="139"/>
    </row>
    <row r="1194">
      <c r="A1194" s="139" t="str">
        <f>IFERROR(__xludf.DUMMYFUNCTION("""COMPUTED_VALUE"""),"e")</f>
        <v>e</v>
      </c>
      <c r="B1194" s="139">
        <f>IFERROR(__xludf.DUMMYFUNCTION("""COMPUTED_VALUE"""),2.0250901E8)</f>
        <v>202509010</v>
      </c>
      <c r="C1194" s="139" t="str">
        <f>IFERROR(__xludf.DUMMYFUNCTION("""COMPUTED_VALUE"""),"c_chi_00201_general_Normal_Colorless_Normal_00000")</f>
        <v>c_chi_00201_general_Normal_Colorless_Normal_00000</v>
      </c>
      <c r="D1194" s="139" t="str">
        <f>IFERROR(__xludf.DUMMYFUNCTION("""COMPUTED_VALUE"""),"c_chi_00201_general_Normal_Colorless")</f>
        <v>c_chi_00201_general_Normal_Colorless</v>
      </c>
      <c r="E1194" s="139">
        <f>IFERROR(__xludf.DUMMYFUNCTION("""COMPUTED_VALUE"""),0.0)</f>
        <v>0</v>
      </c>
      <c r="F1194" s="139" t="str">
        <f>IFERROR(__xludf.DUMMYFUNCTION("""COMPUTED_VALUE"""),"Normal")</f>
        <v>Normal</v>
      </c>
      <c r="G1194" s="139"/>
      <c r="H1194" s="139"/>
      <c r="I1194" s="139">
        <f>IFERROR(__xludf.DUMMYFUNCTION("""COMPUTED_VALUE"""),80.0)</f>
        <v>80</v>
      </c>
      <c r="J1194" s="139">
        <f>IFERROR(__xludf.DUMMYFUNCTION("""COMPUTED_VALUE"""),42.0)</f>
        <v>42</v>
      </c>
      <c r="K1194" s="139">
        <f>IFERROR(__xludf.DUMMYFUNCTION("""COMPUTED_VALUE"""),50.0)</f>
        <v>50</v>
      </c>
      <c r="L1194" s="139"/>
      <c r="M1194" s="139"/>
      <c r="N1194" s="139"/>
    </row>
    <row r="1195">
      <c r="A1195" s="139" t="str">
        <f>IFERROR(__xludf.DUMMYFUNCTION("""COMPUTED_VALUE"""),"e")</f>
        <v>e</v>
      </c>
      <c r="B1195" s="139">
        <f>IFERROR(__xludf.DUMMYFUNCTION("""COMPUTED_VALUE"""),2.0250901E8)</f>
        <v>202509010</v>
      </c>
      <c r="C1195" s="139" t="str">
        <f>IFERROR(__xludf.DUMMYFUNCTION("""COMPUTED_VALUE"""),"c_chi_00201_general_Normal_Colorless_Special_00001")</f>
        <v>c_chi_00201_general_Normal_Colorless_Special_00001</v>
      </c>
      <c r="D1195" s="139" t="str">
        <f>IFERROR(__xludf.DUMMYFUNCTION("""COMPUTED_VALUE"""),"c_chi_00201_general_Normal_Colorless")</f>
        <v>c_chi_00201_general_Normal_Colorless</v>
      </c>
      <c r="E1195" s="139">
        <f>IFERROR(__xludf.DUMMYFUNCTION("""COMPUTED_VALUE"""),0.0)</f>
        <v>0</v>
      </c>
      <c r="F1195" s="139" t="str">
        <f>IFERROR(__xludf.DUMMYFUNCTION("""COMPUTED_VALUE"""),"Special")</f>
        <v>Special</v>
      </c>
      <c r="G1195" s="139"/>
      <c r="H1195" s="139"/>
      <c r="I1195" s="139">
        <f>IFERROR(__xludf.DUMMYFUNCTION("""COMPUTED_VALUE"""),122.0)</f>
        <v>122</v>
      </c>
      <c r="J1195" s="139">
        <f>IFERROR(__xludf.DUMMYFUNCTION("""COMPUTED_VALUE"""),82.0)</f>
        <v>82</v>
      </c>
      <c r="K1195" s="139">
        <f>IFERROR(__xludf.DUMMYFUNCTION("""COMPUTED_VALUE"""),0.0)</f>
        <v>0</v>
      </c>
      <c r="L1195" s="139"/>
      <c r="M1195" s="139"/>
      <c r="N1195" s="139"/>
    </row>
    <row r="1196">
      <c r="A1196" s="139" t="str">
        <f>IFERROR(__xludf.DUMMYFUNCTION("""COMPUTED_VALUE"""),"e")</f>
        <v>e</v>
      </c>
      <c r="B1196" s="139">
        <f>IFERROR(__xludf.DUMMYFUNCTION("""COMPUTED_VALUE"""),2.0250901E8)</f>
        <v>202509010</v>
      </c>
      <c r="C1196" s="139" t="str">
        <f>IFERROR(__xludf.DUMMYFUNCTION("""COMPUTED_VALUE"""),"c_chi_00201_general_Normal_Yellow_Normal_00000")</f>
        <v>c_chi_00201_general_Normal_Yellow_Normal_00000</v>
      </c>
      <c r="D1196" s="139" t="str">
        <f>IFERROR(__xludf.DUMMYFUNCTION("""COMPUTED_VALUE"""),"c_chi_00201_general_Normal_Yellow")</f>
        <v>c_chi_00201_general_Normal_Yellow</v>
      </c>
      <c r="E1196" s="139">
        <f>IFERROR(__xludf.DUMMYFUNCTION("""COMPUTED_VALUE"""),0.0)</f>
        <v>0</v>
      </c>
      <c r="F1196" s="139" t="str">
        <f>IFERROR(__xludf.DUMMYFUNCTION("""COMPUTED_VALUE"""),"Normal")</f>
        <v>Normal</v>
      </c>
      <c r="G1196" s="139"/>
      <c r="H1196" s="139"/>
      <c r="I1196" s="139">
        <f>IFERROR(__xludf.DUMMYFUNCTION("""COMPUTED_VALUE"""),80.0)</f>
        <v>80</v>
      </c>
      <c r="J1196" s="139">
        <f>IFERROR(__xludf.DUMMYFUNCTION("""COMPUTED_VALUE"""),42.0)</f>
        <v>42</v>
      </c>
      <c r="K1196" s="139">
        <f>IFERROR(__xludf.DUMMYFUNCTION("""COMPUTED_VALUE"""),30.0)</f>
        <v>30</v>
      </c>
      <c r="L1196" s="139"/>
      <c r="M1196" s="139"/>
      <c r="N1196" s="139"/>
    </row>
    <row r="1197">
      <c r="A1197" s="139" t="str">
        <f>IFERROR(__xludf.DUMMYFUNCTION("""COMPUTED_VALUE"""),"e")</f>
        <v>e</v>
      </c>
      <c r="B1197" s="139">
        <f>IFERROR(__xludf.DUMMYFUNCTION("""COMPUTED_VALUE"""),2.0250901E8)</f>
        <v>202509010</v>
      </c>
      <c r="C1197" s="139" t="str">
        <f>IFERROR(__xludf.DUMMYFUNCTION("""COMPUTED_VALUE"""),"c_chi_00201_general_Normal_Yellow_Special_00001")</f>
        <v>c_chi_00201_general_Normal_Yellow_Special_00001</v>
      </c>
      <c r="D1197" s="139" t="str">
        <f>IFERROR(__xludf.DUMMYFUNCTION("""COMPUTED_VALUE"""),"c_chi_00201_general_Normal_Yellow")</f>
        <v>c_chi_00201_general_Normal_Yellow</v>
      </c>
      <c r="E1197" s="139">
        <f>IFERROR(__xludf.DUMMYFUNCTION("""COMPUTED_VALUE"""),0.0)</f>
        <v>0</v>
      </c>
      <c r="F1197" s="139" t="str">
        <f>IFERROR(__xludf.DUMMYFUNCTION("""COMPUTED_VALUE"""),"Special")</f>
        <v>Special</v>
      </c>
      <c r="G1197" s="139"/>
      <c r="H1197" s="139"/>
      <c r="I1197" s="139">
        <f>IFERROR(__xludf.DUMMYFUNCTION("""COMPUTED_VALUE"""),122.0)</f>
        <v>122</v>
      </c>
      <c r="J1197" s="139">
        <f>IFERROR(__xludf.DUMMYFUNCTION("""COMPUTED_VALUE"""),82.0)</f>
        <v>82</v>
      </c>
      <c r="K1197" s="139">
        <f>IFERROR(__xludf.DUMMYFUNCTION("""COMPUTED_VALUE"""),0.0)</f>
        <v>0</v>
      </c>
      <c r="L1197" s="139"/>
      <c r="M1197" s="139"/>
      <c r="N1197" s="139"/>
    </row>
    <row r="1198">
      <c r="A1198" s="139" t="str">
        <f>IFERROR(__xludf.DUMMYFUNCTION("""COMPUTED_VALUE"""),"e")</f>
        <v>e</v>
      </c>
      <c r="B1198" s="139">
        <f>IFERROR(__xludf.DUMMYFUNCTION("""COMPUTED_VALUE"""),2.0250901E8)</f>
        <v>202509010</v>
      </c>
      <c r="C1198" s="139" t="str">
        <f>IFERROR(__xludf.DUMMYFUNCTION("""COMPUTED_VALUE"""),"c_chi_00301_general_Normal_Yellow_Normal_00000")</f>
        <v>c_chi_00301_general_Normal_Yellow_Normal_00000</v>
      </c>
      <c r="D1198" s="139" t="str">
        <f>IFERROR(__xludf.DUMMYFUNCTION("""COMPUTED_VALUE"""),"c_chi_00301_general_Normal_Yellow")</f>
        <v>c_chi_00301_general_Normal_Yellow</v>
      </c>
      <c r="E1198" s="139">
        <f>IFERROR(__xludf.DUMMYFUNCTION("""COMPUTED_VALUE"""),0.0)</f>
        <v>0</v>
      </c>
      <c r="F1198" s="139" t="str">
        <f>IFERROR(__xludf.DUMMYFUNCTION("""COMPUTED_VALUE"""),"Normal")</f>
        <v>Normal</v>
      </c>
      <c r="G1198" s="139"/>
      <c r="H1198" s="139"/>
      <c r="I1198" s="139">
        <f>IFERROR(__xludf.DUMMYFUNCTION("""COMPUTED_VALUE"""),75.0)</f>
        <v>75</v>
      </c>
      <c r="J1198" s="139">
        <f>IFERROR(__xludf.DUMMYFUNCTION("""COMPUTED_VALUE"""),29.0)</f>
        <v>29</v>
      </c>
      <c r="K1198" s="139">
        <f>IFERROR(__xludf.DUMMYFUNCTION("""COMPUTED_VALUE"""),45.0)</f>
        <v>45</v>
      </c>
      <c r="L1198" s="139"/>
      <c r="M1198" s="139"/>
      <c r="N1198" s="139"/>
    </row>
    <row r="1199">
      <c r="A1199" s="139" t="str">
        <f>IFERROR(__xludf.DUMMYFUNCTION("""COMPUTED_VALUE"""),"e")</f>
        <v>e</v>
      </c>
      <c r="B1199" s="139">
        <f>IFERROR(__xludf.DUMMYFUNCTION("""COMPUTED_VALUE"""),2.0250901E8)</f>
        <v>202509010</v>
      </c>
      <c r="C1199" s="139" t="str">
        <f>IFERROR(__xludf.DUMMYFUNCTION("""COMPUTED_VALUE"""),"c_chi_00301_general_Normal_Yellow_Special_00001")</f>
        <v>c_chi_00301_general_Normal_Yellow_Special_00001</v>
      </c>
      <c r="D1199" s="139" t="str">
        <f>IFERROR(__xludf.DUMMYFUNCTION("""COMPUTED_VALUE"""),"c_chi_00301_general_Normal_Yellow")</f>
        <v>c_chi_00301_general_Normal_Yellow</v>
      </c>
      <c r="E1199" s="139">
        <f>IFERROR(__xludf.DUMMYFUNCTION("""COMPUTED_VALUE"""),0.0)</f>
        <v>0</v>
      </c>
      <c r="F1199" s="139" t="str">
        <f>IFERROR(__xludf.DUMMYFUNCTION("""COMPUTED_VALUE"""),"Special")</f>
        <v>Special</v>
      </c>
      <c r="G1199" s="139"/>
      <c r="H1199" s="139"/>
      <c r="I1199" s="139">
        <f>IFERROR(__xludf.DUMMYFUNCTION("""COMPUTED_VALUE"""),133.0)</f>
        <v>133</v>
      </c>
      <c r="J1199" s="139">
        <f>IFERROR(__xludf.DUMMYFUNCTION("""COMPUTED_VALUE"""),50.0)</f>
        <v>50</v>
      </c>
      <c r="K1199" s="139">
        <f>IFERROR(__xludf.DUMMYFUNCTION("""COMPUTED_VALUE"""),0.0)</f>
        <v>0</v>
      </c>
      <c r="L1199" s="139"/>
      <c r="M1199" s="139"/>
      <c r="N1199" s="139"/>
    </row>
    <row r="1200">
      <c r="A1200" s="139" t="str">
        <f>IFERROR(__xludf.DUMMYFUNCTION("""COMPUTED_VALUE"""),"e")</f>
        <v>e</v>
      </c>
      <c r="B1200" s="139">
        <f>IFERROR(__xludf.DUMMYFUNCTION("""COMPUTED_VALUE"""),2.0250901E8)</f>
        <v>202509010</v>
      </c>
      <c r="C1200" s="139" t="str">
        <f>IFERROR(__xludf.DUMMYFUNCTION("""COMPUTED_VALUE"""),"c_chi_00002_general_Boss_Yellow_Normal_00000")</f>
        <v>c_chi_00002_general_Boss_Yellow_Normal_00000</v>
      </c>
      <c r="D1200" s="139" t="str">
        <f>IFERROR(__xludf.DUMMYFUNCTION("""COMPUTED_VALUE"""),"c_chi_00002_general_Boss_Yellow")</f>
        <v>c_chi_00002_general_Boss_Yellow</v>
      </c>
      <c r="E1200" s="139">
        <f>IFERROR(__xludf.DUMMYFUNCTION("""COMPUTED_VALUE"""),0.0)</f>
        <v>0</v>
      </c>
      <c r="F1200" s="139" t="str">
        <f>IFERROR(__xludf.DUMMYFUNCTION("""COMPUTED_VALUE"""),"Normal")</f>
        <v>Normal</v>
      </c>
      <c r="G1200" s="139"/>
      <c r="H1200" s="139"/>
      <c r="I1200" s="139">
        <f>IFERROR(__xludf.DUMMYFUNCTION("""COMPUTED_VALUE"""),54.0)</f>
        <v>54</v>
      </c>
      <c r="J1200" s="139">
        <f>IFERROR(__xludf.DUMMYFUNCTION("""COMPUTED_VALUE"""),33.0)</f>
        <v>33</v>
      </c>
      <c r="K1200" s="139">
        <f>IFERROR(__xludf.DUMMYFUNCTION("""COMPUTED_VALUE"""),35.0)</f>
        <v>35</v>
      </c>
      <c r="L1200" s="139"/>
      <c r="M1200" s="139"/>
      <c r="N1200" s="139"/>
    </row>
    <row r="1201">
      <c r="A1201" s="139" t="str">
        <f>IFERROR(__xludf.DUMMYFUNCTION("""COMPUTED_VALUE"""),"e")</f>
        <v>e</v>
      </c>
      <c r="B1201" s="139">
        <f>IFERROR(__xludf.DUMMYFUNCTION("""COMPUTED_VALUE"""),2.0250901E8)</f>
        <v>202509010</v>
      </c>
      <c r="C1201" s="139" t="str">
        <f>IFERROR(__xludf.DUMMYFUNCTION("""COMPUTED_VALUE"""),"c_chi_00002_general_Boss_Yellow_Appearance_00001")</f>
        <v>c_chi_00002_general_Boss_Yellow_Appearance_00001</v>
      </c>
      <c r="D1201" s="139" t="str">
        <f>IFERROR(__xludf.DUMMYFUNCTION("""COMPUTED_VALUE"""),"c_chi_00002_general_Boss_Yellow")</f>
        <v>c_chi_00002_general_Boss_Yellow</v>
      </c>
      <c r="E1201" s="139">
        <f>IFERROR(__xludf.DUMMYFUNCTION("""COMPUTED_VALUE"""),0.0)</f>
        <v>0</v>
      </c>
      <c r="F1201" s="139" t="str">
        <f>IFERROR(__xludf.DUMMYFUNCTION("""COMPUTED_VALUE"""),"Appearance")</f>
        <v>Appearance</v>
      </c>
      <c r="G1201" s="139"/>
      <c r="H1201" s="139"/>
      <c r="I1201" s="139">
        <f>IFERROR(__xludf.DUMMYFUNCTION("""COMPUTED_VALUE"""),50.0)</f>
        <v>50</v>
      </c>
      <c r="J1201" s="139">
        <f>IFERROR(__xludf.DUMMYFUNCTION("""COMPUTED_VALUE"""),0.0)</f>
        <v>0</v>
      </c>
      <c r="K1201" s="139">
        <f>IFERROR(__xludf.DUMMYFUNCTION("""COMPUTED_VALUE"""),0.0)</f>
        <v>0</v>
      </c>
      <c r="L1201" s="139"/>
      <c r="M1201" s="139"/>
      <c r="N1201" s="139"/>
    </row>
    <row r="1202">
      <c r="A1202" s="139" t="str">
        <f>IFERROR(__xludf.DUMMYFUNCTION("""COMPUTED_VALUE"""),"e")</f>
        <v>e</v>
      </c>
      <c r="B1202" s="139">
        <f>IFERROR(__xludf.DUMMYFUNCTION("""COMPUTED_VALUE"""),2.0250901E8)</f>
        <v>202509010</v>
      </c>
      <c r="C1202" s="139" t="str">
        <f>IFERROR(__xludf.DUMMYFUNCTION("""COMPUTED_VALUE"""),"c_chi_00002_general_Boss_Yellow_Special_00002")</f>
        <v>c_chi_00002_general_Boss_Yellow_Special_00002</v>
      </c>
      <c r="D1202" s="139" t="str">
        <f>IFERROR(__xludf.DUMMYFUNCTION("""COMPUTED_VALUE"""),"c_chi_00002_general_Boss_Yellow")</f>
        <v>c_chi_00002_general_Boss_Yellow</v>
      </c>
      <c r="E1202" s="139">
        <f>IFERROR(__xludf.DUMMYFUNCTION("""COMPUTED_VALUE"""),0.0)</f>
        <v>0</v>
      </c>
      <c r="F1202" s="139" t="str">
        <f>IFERROR(__xludf.DUMMYFUNCTION("""COMPUTED_VALUE"""),"Special")</f>
        <v>Special</v>
      </c>
      <c r="G1202" s="139"/>
      <c r="H1202" s="139"/>
      <c r="I1202" s="139">
        <f>IFERROR(__xludf.DUMMYFUNCTION("""COMPUTED_VALUE"""),187.0)</f>
        <v>187</v>
      </c>
      <c r="J1202" s="139">
        <f>IFERROR(__xludf.DUMMYFUNCTION("""COMPUTED_VALUE"""),0.0)</f>
        <v>0</v>
      </c>
      <c r="K1202" s="139">
        <f>IFERROR(__xludf.DUMMYFUNCTION("""COMPUTED_VALUE"""),0.0)</f>
        <v>0</v>
      </c>
      <c r="L1202" s="139"/>
      <c r="M1202" s="139"/>
      <c r="N1202" s="139"/>
    </row>
    <row r="1203">
      <c r="A1203" s="139"/>
      <c r="B1203" s="139"/>
      <c r="C1203" s="139"/>
      <c r="D1203" s="139"/>
      <c r="E1203" s="139"/>
      <c r="F1203" s="139"/>
      <c r="G1203" s="139"/>
      <c r="H1203" s="139"/>
      <c r="I1203" s="139"/>
      <c r="J1203" s="139"/>
      <c r="K1203" s="139"/>
      <c r="L1203" s="139"/>
      <c r="M1203" s="139"/>
      <c r="N1203" s="139"/>
    </row>
    <row r="1204">
      <c r="A1204" s="139" t="str">
        <f>IFERROR(__xludf.DUMMYFUNCTION("""COMPUTED_VALUE"""),"e")</f>
        <v>e</v>
      </c>
      <c r="B1204" s="139">
        <f>IFERROR(__xludf.DUMMYFUNCTION("""COMPUTED_VALUE"""),2.0250901E8)</f>
        <v>202509010</v>
      </c>
      <c r="C1204" s="139" t="str">
        <f>IFERROR(__xludf.DUMMYFUNCTION("""COMPUTED_VALUE"""),"e_glo_00001_general_chi_vh_Normal_Blue_Normal_00000")</f>
        <v>e_glo_00001_general_chi_vh_Normal_Blue_Normal_00000</v>
      </c>
      <c r="D1204" s="139" t="str">
        <f>IFERROR(__xludf.DUMMYFUNCTION("""COMPUTED_VALUE"""),"e_glo_00001_general_chi_vh_Normal_Blue")</f>
        <v>e_glo_00001_general_chi_vh_Normal_Blue</v>
      </c>
      <c r="E1204" s="139">
        <f>IFERROR(__xludf.DUMMYFUNCTION("""COMPUTED_VALUE"""),0.0)</f>
        <v>0</v>
      </c>
      <c r="F1204" s="139" t="str">
        <f>IFERROR(__xludf.DUMMYFUNCTION("""COMPUTED_VALUE"""),"Normal")</f>
        <v>Normal</v>
      </c>
      <c r="G1204" s="139"/>
      <c r="H1204" s="139"/>
      <c r="I1204" s="139">
        <f>IFERROR(__xludf.DUMMYFUNCTION("""COMPUTED_VALUE"""),50.0)</f>
        <v>50</v>
      </c>
      <c r="J1204" s="139">
        <f>IFERROR(__xludf.DUMMYFUNCTION("""COMPUTED_VALUE"""),25.0)</f>
        <v>25</v>
      </c>
      <c r="K1204" s="139">
        <f>IFERROR(__xludf.DUMMYFUNCTION("""COMPUTED_VALUE"""),75.0)</f>
        <v>75</v>
      </c>
      <c r="L1204" s="139"/>
      <c r="M1204" s="139"/>
      <c r="N1204" s="139"/>
    </row>
    <row r="1205">
      <c r="A1205" s="139" t="str">
        <f>IFERROR(__xludf.DUMMYFUNCTION("""COMPUTED_VALUE"""),"e")</f>
        <v>e</v>
      </c>
      <c r="B1205" s="139">
        <f>IFERROR(__xludf.DUMMYFUNCTION("""COMPUTED_VALUE"""),2.0250901E8)</f>
        <v>202509010</v>
      </c>
      <c r="C1205" s="139" t="str">
        <f>IFERROR(__xludf.DUMMYFUNCTION("""COMPUTED_VALUE"""),"e_glo_00001_general_chi_vh_Normal_Red_Normal_00000")</f>
        <v>e_glo_00001_general_chi_vh_Normal_Red_Normal_00000</v>
      </c>
      <c r="D1205" s="139" t="str">
        <f>IFERROR(__xludf.DUMMYFUNCTION("""COMPUTED_VALUE"""),"e_glo_00001_general_chi_vh_Normal_Red")</f>
        <v>e_glo_00001_general_chi_vh_Normal_Red</v>
      </c>
      <c r="E1205" s="139">
        <f>IFERROR(__xludf.DUMMYFUNCTION("""COMPUTED_VALUE"""),0.0)</f>
        <v>0</v>
      </c>
      <c r="F1205" s="139" t="str">
        <f>IFERROR(__xludf.DUMMYFUNCTION("""COMPUTED_VALUE"""),"Normal")</f>
        <v>Normal</v>
      </c>
      <c r="G1205" s="139"/>
      <c r="H1205" s="139"/>
      <c r="I1205" s="139">
        <f>IFERROR(__xludf.DUMMYFUNCTION("""COMPUTED_VALUE"""),50.0)</f>
        <v>50</v>
      </c>
      <c r="J1205" s="139">
        <f>IFERROR(__xludf.DUMMYFUNCTION("""COMPUTED_VALUE"""),25.0)</f>
        <v>25</v>
      </c>
      <c r="K1205" s="139">
        <f>IFERROR(__xludf.DUMMYFUNCTION("""COMPUTED_VALUE"""),75.0)</f>
        <v>75</v>
      </c>
      <c r="L1205" s="139"/>
      <c r="M1205" s="139"/>
      <c r="N1205" s="139"/>
    </row>
    <row r="1206">
      <c r="A1206" s="139" t="str">
        <f>IFERROR(__xludf.DUMMYFUNCTION("""COMPUTED_VALUE"""),"e")</f>
        <v>e</v>
      </c>
      <c r="B1206" s="139">
        <f>IFERROR(__xludf.DUMMYFUNCTION("""COMPUTED_VALUE"""),2.0250901E8)</f>
        <v>202509010</v>
      </c>
      <c r="C1206" s="139" t="str">
        <f>IFERROR(__xludf.DUMMYFUNCTION("""COMPUTED_VALUE"""),"e_glo_00001_general_chi_vh_Normal_Yellow_Normal_00000")</f>
        <v>e_glo_00001_general_chi_vh_Normal_Yellow_Normal_00000</v>
      </c>
      <c r="D1206" s="139" t="str">
        <f>IFERROR(__xludf.DUMMYFUNCTION("""COMPUTED_VALUE"""),"e_glo_00001_general_chi_vh_Normal_Yellow")</f>
        <v>e_glo_00001_general_chi_vh_Normal_Yellow</v>
      </c>
      <c r="E1206" s="139">
        <f>IFERROR(__xludf.DUMMYFUNCTION("""COMPUTED_VALUE"""),0.0)</f>
        <v>0</v>
      </c>
      <c r="F1206" s="139" t="str">
        <f>IFERROR(__xludf.DUMMYFUNCTION("""COMPUTED_VALUE"""),"Normal")</f>
        <v>Normal</v>
      </c>
      <c r="G1206" s="139"/>
      <c r="H1206" s="139"/>
      <c r="I1206" s="139">
        <f>IFERROR(__xludf.DUMMYFUNCTION("""COMPUTED_VALUE"""),50.0)</f>
        <v>50</v>
      </c>
      <c r="J1206" s="139">
        <f>IFERROR(__xludf.DUMMYFUNCTION("""COMPUTED_VALUE"""),25.0)</f>
        <v>25</v>
      </c>
      <c r="K1206" s="139">
        <f>IFERROR(__xludf.DUMMYFUNCTION("""COMPUTED_VALUE"""),75.0)</f>
        <v>75</v>
      </c>
      <c r="L1206" s="139"/>
      <c r="M1206" s="139"/>
      <c r="N1206" s="139"/>
    </row>
    <row r="1207">
      <c r="A1207" s="139" t="str">
        <f>IFERROR(__xludf.DUMMYFUNCTION("""COMPUTED_VALUE"""),"e")</f>
        <v>e</v>
      </c>
      <c r="B1207" s="139">
        <f>IFERROR(__xludf.DUMMYFUNCTION("""COMPUTED_VALUE"""),2.0250901E8)</f>
        <v>202509010</v>
      </c>
      <c r="C1207" s="139" t="str">
        <f>IFERROR(__xludf.DUMMYFUNCTION("""COMPUTED_VALUE"""),"e_glo_00001_general_chi_vh_Normal_Green_Normal_00000")</f>
        <v>e_glo_00001_general_chi_vh_Normal_Green_Normal_00000</v>
      </c>
      <c r="D1207" s="139" t="str">
        <f>IFERROR(__xludf.DUMMYFUNCTION("""COMPUTED_VALUE"""),"e_glo_00001_general_chi_vh_Normal_Green")</f>
        <v>e_glo_00001_general_chi_vh_Normal_Green</v>
      </c>
      <c r="E1207" s="139">
        <f>IFERROR(__xludf.DUMMYFUNCTION("""COMPUTED_VALUE"""),0.0)</f>
        <v>0</v>
      </c>
      <c r="F1207" s="139" t="str">
        <f>IFERROR(__xludf.DUMMYFUNCTION("""COMPUTED_VALUE"""),"Normal")</f>
        <v>Normal</v>
      </c>
      <c r="G1207" s="139"/>
      <c r="H1207" s="139"/>
      <c r="I1207" s="139">
        <f>IFERROR(__xludf.DUMMYFUNCTION("""COMPUTED_VALUE"""),50.0)</f>
        <v>50</v>
      </c>
      <c r="J1207" s="139">
        <f>IFERROR(__xludf.DUMMYFUNCTION("""COMPUTED_VALUE"""),25.0)</f>
        <v>25</v>
      </c>
      <c r="K1207" s="139">
        <f>IFERROR(__xludf.DUMMYFUNCTION("""COMPUTED_VALUE"""),75.0)</f>
        <v>75</v>
      </c>
      <c r="L1207" s="139"/>
      <c r="M1207" s="139"/>
      <c r="N1207" s="139"/>
    </row>
    <row r="1208">
      <c r="A1208" s="139" t="str">
        <f>IFERROR(__xludf.DUMMYFUNCTION("""COMPUTED_VALUE"""),"e")</f>
        <v>e</v>
      </c>
      <c r="B1208" s="139">
        <f>IFERROR(__xludf.DUMMYFUNCTION("""COMPUTED_VALUE"""),2.0250901E8)</f>
        <v>202509010</v>
      </c>
      <c r="C1208" s="139" t="str">
        <f>IFERROR(__xludf.DUMMYFUNCTION("""COMPUTED_VALUE"""),"e_glo_00001_general_chi_vh_Normal_Colorless_Normal_00000")</f>
        <v>e_glo_00001_general_chi_vh_Normal_Colorless_Normal_00000</v>
      </c>
      <c r="D1208" s="139" t="str">
        <f>IFERROR(__xludf.DUMMYFUNCTION("""COMPUTED_VALUE"""),"e_glo_00001_general_chi_vh_Normal_Colorless")</f>
        <v>e_glo_00001_general_chi_vh_Normal_Colorless</v>
      </c>
      <c r="E1208" s="139">
        <f>IFERROR(__xludf.DUMMYFUNCTION("""COMPUTED_VALUE"""),0.0)</f>
        <v>0</v>
      </c>
      <c r="F1208" s="139" t="str">
        <f>IFERROR(__xludf.DUMMYFUNCTION("""COMPUTED_VALUE"""),"Normal")</f>
        <v>Normal</v>
      </c>
      <c r="G1208" s="139"/>
      <c r="H1208" s="139"/>
      <c r="I1208" s="139">
        <f>IFERROR(__xludf.DUMMYFUNCTION("""COMPUTED_VALUE"""),50.0)</f>
        <v>50</v>
      </c>
      <c r="J1208" s="139">
        <f>IFERROR(__xludf.DUMMYFUNCTION("""COMPUTED_VALUE"""),25.0)</f>
        <v>25</v>
      </c>
      <c r="K1208" s="139">
        <f>IFERROR(__xludf.DUMMYFUNCTION("""COMPUTED_VALUE"""),75.0)</f>
        <v>75</v>
      </c>
      <c r="L1208" s="139"/>
      <c r="M1208" s="139"/>
      <c r="N1208" s="139"/>
    </row>
    <row r="1209">
      <c r="A1209" s="139" t="str">
        <f>IFERROR(__xludf.DUMMYFUNCTION("""COMPUTED_VALUE"""),"e")</f>
        <v>e</v>
      </c>
      <c r="B1209" s="139">
        <f>IFERROR(__xludf.DUMMYFUNCTION("""COMPUTED_VALUE"""),2.0250901E8)</f>
        <v>202509010</v>
      </c>
      <c r="C1209" s="139" t="str">
        <f>IFERROR(__xludf.DUMMYFUNCTION("""COMPUTED_VALUE"""),"e_glo_00001_general_chi_vh_big_Normal_Red_Normal_00000")</f>
        <v>e_glo_00001_general_chi_vh_big_Normal_Red_Normal_00000</v>
      </c>
      <c r="D1209" s="139" t="str">
        <f>IFERROR(__xludf.DUMMYFUNCTION("""COMPUTED_VALUE"""),"e_glo_00001_general_chi_vh_big_Normal_Red")</f>
        <v>e_glo_00001_general_chi_vh_big_Normal_Red</v>
      </c>
      <c r="E1209" s="139">
        <f>IFERROR(__xludf.DUMMYFUNCTION("""COMPUTED_VALUE"""),0.0)</f>
        <v>0</v>
      </c>
      <c r="F1209" s="139" t="str">
        <f>IFERROR(__xludf.DUMMYFUNCTION("""COMPUTED_VALUE"""),"Normal")</f>
        <v>Normal</v>
      </c>
      <c r="G1209" s="139"/>
      <c r="H1209" s="139"/>
      <c r="I1209" s="139">
        <f>IFERROR(__xludf.DUMMYFUNCTION("""COMPUTED_VALUE"""),50.0)</f>
        <v>50</v>
      </c>
      <c r="J1209" s="139">
        <f>IFERROR(__xludf.DUMMYFUNCTION("""COMPUTED_VALUE"""),25.0)</f>
        <v>25</v>
      </c>
      <c r="K1209" s="139">
        <f>IFERROR(__xludf.DUMMYFUNCTION("""COMPUTED_VALUE"""),100.0)</f>
        <v>100</v>
      </c>
      <c r="L1209" s="139"/>
      <c r="M1209" s="139"/>
      <c r="N1209" s="139"/>
    </row>
    <row r="1210">
      <c r="A1210" s="139" t="str">
        <f>IFERROR(__xludf.DUMMYFUNCTION("""COMPUTED_VALUE"""),"e")</f>
        <v>e</v>
      </c>
      <c r="B1210" s="139">
        <f>IFERROR(__xludf.DUMMYFUNCTION("""COMPUTED_VALUE"""),2.0250901E8)</f>
        <v>202509010</v>
      </c>
      <c r="C1210" s="139" t="str">
        <f>IFERROR(__xludf.DUMMYFUNCTION("""COMPUTED_VALUE"""),"e_glo_00001_general_chi_vh_big_Normal_Yellow_Normal_00000")</f>
        <v>e_glo_00001_general_chi_vh_big_Normal_Yellow_Normal_00000</v>
      </c>
      <c r="D1210" s="139" t="str">
        <f>IFERROR(__xludf.DUMMYFUNCTION("""COMPUTED_VALUE"""),"e_glo_00001_general_chi_vh_big_Normal_Yellow")</f>
        <v>e_glo_00001_general_chi_vh_big_Normal_Yellow</v>
      </c>
      <c r="E1210" s="139">
        <f>IFERROR(__xludf.DUMMYFUNCTION("""COMPUTED_VALUE"""),0.0)</f>
        <v>0</v>
      </c>
      <c r="F1210" s="139" t="str">
        <f>IFERROR(__xludf.DUMMYFUNCTION("""COMPUTED_VALUE"""),"Normal")</f>
        <v>Normal</v>
      </c>
      <c r="G1210" s="139"/>
      <c r="H1210" s="139"/>
      <c r="I1210" s="139">
        <f>IFERROR(__xludf.DUMMYFUNCTION("""COMPUTED_VALUE"""),50.0)</f>
        <v>50</v>
      </c>
      <c r="J1210" s="139">
        <f>IFERROR(__xludf.DUMMYFUNCTION("""COMPUTED_VALUE"""),25.0)</f>
        <v>25</v>
      </c>
      <c r="K1210" s="139">
        <f>IFERROR(__xludf.DUMMYFUNCTION("""COMPUTED_VALUE"""),100.0)</f>
        <v>100</v>
      </c>
      <c r="L1210" s="139"/>
      <c r="M1210" s="139"/>
      <c r="N1210" s="139"/>
    </row>
    <row r="1211">
      <c r="A1211" s="139" t="str">
        <f>IFERROR(__xludf.DUMMYFUNCTION("""COMPUTED_VALUE"""),"e")</f>
        <v>e</v>
      </c>
      <c r="B1211" s="139">
        <f>IFERROR(__xludf.DUMMYFUNCTION("""COMPUTED_VALUE"""),2.0250901E8)</f>
        <v>202509010</v>
      </c>
      <c r="C1211" s="139" t="str">
        <f>IFERROR(__xludf.DUMMYFUNCTION("""COMPUTED_VALUE"""),"e_chi_00001_general_chi_vh_Normal_Red_Normal_00000")</f>
        <v>e_chi_00001_general_chi_vh_Normal_Red_Normal_00000</v>
      </c>
      <c r="D1211" s="139" t="str">
        <f>IFERROR(__xludf.DUMMYFUNCTION("""COMPUTED_VALUE"""),"e_chi_00001_general_chi_vh_Normal_Red")</f>
        <v>e_chi_00001_general_chi_vh_Normal_Red</v>
      </c>
      <c r="E1211" s="139">
        <f>IFERROR(__xludf.DUMMYFUNCTION("""COMPUTED_VALUE"""),0.0)</f>
        <v>0</v>
      </c>
      <c r="F1211" s="139" t="str">
        <f>IFERROR(__xludf.DUMMYFUNCTION("""COMPUTED_VALUE"""),"Normal")</f>
        <v>Normal</v>
      </c>
      <c r="G1211" s="139"/>
      <c r="H1211" s="139"/>
      <c r="I1211" s="139">
        <f>IFERROR(__xludf.DUMMYFUNCTION("""COMPUTED_VALUE"""),68.0)</f>
        <v>68</v>
      </c>
      <c r="J1211" s="139">
        <f>IFERROR(__xludf.DUMMYFUNCTION("""COMPUTED_VALUE"""),10.0)</f>
        <v>10</v>
      </c>
      <c r="K1211" s="139">
        <f>IFERROR(__xludf.DUMMYFUNCTION("""COMPUTED_VALUE"""),200.0)</f>
        <v>200</v>
      </c>
      <c r="L1211" s="139"/>
      <c r="M1211" s="139"/>
      <c r="N1211" s="139"/>
    </row>
    <row r="1212">
      <c r="A1212" s="139" t="str">
        <f>IFERROR(__xludf.DUMMYFUNCTION("""COMPUTED_VALUE"""),"e")</f>
        <v>e</v>
      </c>
      <c r="B1212" s="139">
        <f>IFERROR(__xludf.DUMMYFUNCTION("""COMPUTED_VALUE"""),2.0250901E8)</f>
        <v>202509010</v>
      </c>
      <c r="C1212" s="139" t="str">
        <f>IFERROR(__xludf.DUMMYFUNCTION("""COMPUTED_VALUE"""),"e_chi_00001_general_chi_vh2_Boss_Yellow_Normal_00000")</f>
        <v>e_chi_00001_general_chi_vh2_Boss_Yellow_Normal_00000</v>
      </c>
      <c r="D1212" s="139" t="str">
        <f>IFERROR(__xludf.DUMMYFUNCTION("""COMPUTED_VALUE"""),"e_chi_00001_general_chi_vh2_Boss_Yellow")</f>
        <v>e_chi_00001_general_chi_vh2_Boss_Yellow</v>
      </c>
      <c r="E1212" s="139">
        <f>IFERROR(__xludf.DUMMYFUNCTION("""COMPUTED_VALUE"""),0.0)</f>
        <v>0</v>
      </c>
      <c r="F1212" s="139" t="str">
        <f>IFERROR(__xludf.DUMMYFUNCTION("""COMPUTED_VALUE"""),"Normal")</f>
        <v>Normal</v>
      </c>
      <c r="G1212" s="139"/>
      <c r="H1212" s="139"/>
      <c r="I1212" s="139">
        <f>IFERROR(__xludf.DUMMYFUNCTION("""COMPUTED_VALUE"""),68.0)</f>
        <v>68</v>
      </c>
      <c r="J1212" s="139">
        <f>IFERROR(__xludf.DUMMYFUNCTION("""COMPUTED_VALUE"""),10.0)</f>
        <v>10</v>
      </c>
      <c r="K1212" s="139">
        <f>IFERROR(__xludf.DUMMYFUNCTION("""COMPUTED_VALUE"""),200.0)</f>
        <v>200</v>
      </c>
      <c r="L1212" s="139"/>
      <c r="M1212" s="139"/>
      <c r="N1212" s="139"/>
    </row>
    <row r="1213">
      <c r="A1213" s="139" t="str">
        <f>IFERROR(__xludf.DUMMYFUNCTION("""COMPUTED_VALUE"""),"e")</f>
        <v>e</v>
      </c>
      <c r="B1213" s="139">
        <f>IFERROR(__xludf.DUMMYFUNCTION("""COMPUTED_VALUE"""),2.0250901E8)</f>
        <v>202509010</v>
      </c>
      <c r="C1213" s="139" t="str">
        <f>IFERROR(__xludf.DUMMYFUNCTION("""COMPUTED_VALUE"""),"e_chi_00001_general_chi_vh2_Boss_Yellow_Appearance_00001")</f>
        <v>e_chi_00001_general_chi_vh2_Boss_Yellow_Appearance_00001</v>
      </c>
      <c r="D1213" s="139" t="str">
        <f>IFERROR(__xludf.DUMMYFUNCTION("""COMPUTED_VALUE"""),"e_chi_00001_general_chi_vh2_Boss_Yellow")</f>
        <v>e_chi_00001_general_chi_vh2_Boss_Yellow</v>
      </c>
      <c r="E1213" s="139">
        <f>IFERROR(__xludf.DUMMYFUNCTION("""COMPUTED_VALUE"""),0.0)</f>
        <v>0</v>
      </c>
      <c r="F1213" s="139" t="str">
        <f>IFERROR(__xludf.DUMMYFUNCTION("""COMPUTED_VALUE"""),"Appearance")</f>
        <v>Appearance</v>
      </c>
      <c r="G1213" s="139"/>
      <c r="H1213" s="139"/>
      <c r="I1213" s="139">
        <f>IFERROR(__xludf.DUMMYFUNCTION("""COMPUTED_VALUE"""),50.0)</f>
        <v>50</v>
      </c>
      <c r="J1213" s="139">
        <f>IFERROR(__xludf.DUMMYFUNCTION("""COMPUTED_VALUE"""),0.0)</f>
        <v>0</v>
      </c>
      <c r="K1213" s="139">
        <f>IFERROR(__xludf.DUMMYFUNCTION("""COMPUTED_VALUE"""),0.0)</f>
        <v>0</v>
      </c>
      <c r="L1213" s="139"/>
      <c r="M1213" s="139"/>
      <c r="N1213" s="139"/>
    </row>
    <row r="1214">
      <c r="A1214" s="139" t="str">
        <f>IFERROR(__xludf.DUMMYFUNCTION("""COMPUTED_VALUE"""),"e")</f>
        <v>e</v>
      </c>
      <c r="B1214" s="139">
        <f>IFERROR(__xludf.DUMMYFUNCTION("""COMPUTED_VALUE"""),2.0250901E8)</f>
        <v>202509010</v>
      </c>
      <c r="C1214" s="139" t="str">
        <f>IFERROR(__xludf.DUMMYFUNCTION("""COMPUTED_VALUE"""),"e_chi_00001_general_chi_vh_Normal_Yellow_Normal_00000")</f>
        <v>e_chi_00001_general_chi_vh_Normal_Yellow_Normal_00000</v>
      </c>
      <c r="D1214" s="139" t="str">
        <f>IFERROR(__xludf.DUMMYFUNCTION("""COMPUTED_VALUE"""),"e_chi_00001_general_chi_vh_Normal_Yellow")</f>
        <v>e_chi_00001_general_chi_vh_Normal_Yellow</v>
      </c>
      <c r="E1214" s="139">
        <f>IFERROR(__xludf.DUMMYFUNCTION("""COMPUTED_VALUE"""),0.0)</f>
        <v>0</v>
      </c>
      <c r="F1214" s="139" t="str">
        <f>IFERROR(__xludf.DUMMYFUNCTION("""COMPUTED_VALUE"""),"Normal")</f>
        <v>Normal</v>
      </c>
      <c r="G1214" s="139"/>
      <c r="H1214" s="139"/>
      <c r="I1214" s="139">
        <f>IFERROR(__xludf.DUMMYFUNCTION("""COMPUTED_VALUE"""),68.0)</f>
        <v>68</v>
      </c>
      <c r="J1214" s="139">
        <f>IFERROR(__xludf.DUMMYFUNCTION("""COMPUTED_VALUE"""),10.0)</f>
        <v>10</v>
      </c>
      <c r="K1214" s="139">
        <f>IFERROR(__xludf.DUMMYFUNCTION("""COMPUTED_VALUE"""),200.0)</f>
        <v>200</v>
      </c>
      <c r="L1214" s="139"/>
      <c r="M1214" s="139"/>
      <c r="N1214" s="139"/>
    </row>
    <row r="1215">
      <c r="A1215" s="139" t="str">
        <f>IFERROR(__xludf.DUMMYFUNCTION("""COMPUTED_VALUE"""),"e")</f>
        <v>e</v>
      </c>
      <c r="B1215" s="139">
        <f>IFERROR(__xludf.DUMMYFUNCTION("""COMPUTED_VALUE"""),2.0250901E8)</f>
        <v>202509010</v>
      </c>
      <c r="C1215" s="139" t="str">
        <f>IFERROR(__xludf.DUMMYFUNCTION("""COMPUTED_VALUE"""),"e_chi_00001_general_chi_vh_Boss_Yellow_Normal_00000")</f>
        <v>e_chi_00001_general_chi_vh_Boss_Yellow_Normal_00000</v>
      </c>
      <c r="D1215" s="139" t="str">
        <f>IFERROR(__xludf.DUMMYFUNCTION("""COMPUTED_VALUE"""),"e_chi_00001_general_chi_vh_Boss_Yellow")</f>
        <v>e_chi_00001_general_chi_vh_Boss_Yellow</v>
      </c>
      <c r="E1215" s="139">
        <f>IFERROR(__xludf.DUMMYFUNCTION("""COMPUTED_VALUE"""),0.0)</f>
        <v>0</v>
      </c>
      <c r="F1215" s="139" t="str">
        <f>IFERROR(__xludf.DUMMYFUNCTION("""COMPUTED_VALUE"""),"Normal")</f>
        <v>Normal</v>
      </c>
      <c r="G1215" s="139"/>
      <c r="H1215" s="139"/>
      <c r="I1215" s="139">
        <f>IFERROR(__xludf.DUMMYFUNCTION("""COMPUTED_VALUE"""),68.0)</f>
        <v>68</v>
      </c>
      <c r="J1215" s="139">
        <f>IFERROR(__xludf.DUMMYFUNCTION("""COMPUTED_VALUE"""),10.0)</f>
        <v>10</v>
      </c>
      <c r="K1215" s="139">
        <f>IFERROR(__xludf.DUMMYFUNCTION("""COMPUTED_VALUE"""),200.0)</f>
        <v>200</v>
      </c>
      <c r="L1215" s="139"/>
      <c r="M1215" s="139"/>
      <c r="N1215" s="139"/>
    </row>
    <row r="1216">
      <c r="A1216" s="139" t="str">
        <f>IFERROR(__xludf.DUMMYFUNCTION("""COMPUTED_VALUE"""),"e")</f>
        <v>e</v>
      </c>
      <c r="B1216" s="139">
        <f>IFERROR(__xludf.DUMMYFUNCTION("""COMPUTED_VALUE"""),2.0250901E8)</f>
        <v>202509010</v>
      </c>
      <c r="C1216" s="139" t="str">
        <f>IFERROR(__xludf.DUMMYFUNCTION("""COMPUTED_VALUE"""),"e_chi_00001_general_chi_vh_Boss_Yellow_Appearance_00001")</f>
        <v>e_chi_00001_general_chi_vh_Boss_Yellow_Appearance_00001</v>
      </c>
      <c r="D1216" s="139" t="str">
        <f>IFERROR(__xludf.DUMMYFUNCTION("""COMPUTED_VALUE"""),"e_chi_00001_general_chi_vh_Boss_Yellow")</f>
        <v>e_chi_00001_general_chi_vh_Boss_Yellow</v>
      </c>
      <c r="E1216" s="139">
        <f>IFERROR(__xludf.DUMMYFUNCTION("""COMPUTED_VALUE"""),0.0)</f>
        <v>0</v>
      </c>
      <c r="F1216" s="139" t="str">
        <f>IFERROR(__xludf.DUMMYFUNCTION("""COMPUTED_VALUE"""),"Appearance")</f>
        <v>Appearance</v>
      </c>
      <c r="G1216" s="139"/>
      <c r="H1216" s="139"/>
      <c r="I1216" s="139">
        <f>IFERROR(__xludf.DUMMYFUNCTION("""COMPUTED_VALUE"""),50.0)</f>
        <v>50</v>
      </c>
      <c r="J1216" s="139">
        <f>IFERROR(__xludf.DUMMYFUNCTION("""COMPUTED_VALUE"""),0.0)</f>
        <v>0</v>
      </c>
      <c r="K1216" s="139">
        <f>IFERROR(__xludf.DUMMYFUNCTION("""COMPUTED_VALUE"""),0.0)</f>
        <v>0</v>
      </c>
      <c r="L1216" s="139"/>
      <c r="M1216" s="139"/>
      <c r="N1216" s="139"/>
    </row>
    <row r="1217">
      <c r="A1217" s="139" t="str">
        <f>IFERROR(__xludf.DUMMYFUNCTION("""COMPUTED_VALUE"""),"e")</f>
        <v>e</v>
      </c>
      <c r="B1217" s="139">
        <f>IFERROR(__xludf.DUMMYFUNCTION("""COMPUTED_VALUE"""),2.0250901E8)</f>
        <v>202509010</v>
      </c>
      <c r="C1217" s="139" t="str">
        <f>IFERROR(__xludf.DUMMYFUNCTION("""COMPUTED_VALUE"""),"e_chi_00101_general_chi_vh_Normal_Green_Normal_00000")</f>
        <v>e_chi_00101_general_chi_vh_Normal_Green_Normal_00000</v>
      </c>
      <c r="D1217" s="139" t="str">
        <f>IFERROR(__xludf.DUMMYFUNCTION("""COMPUTED_VALUE"""),"e_chi_00101_general_chi_vh_Normal_Green")</f>
        <v>e_chi_00101_general_chi_vh_Normal_Green</v>
      </c>
      <c r="E1217" s="139">
        <f>IFERROR(__xludf.DUMMYFUNCTION("""COMPUTED_VALUE"""),0.0)</f>
        <v>0</v>
      </c>
      <c r="F1217" s="139" t="str">
        <f>IFERROR(__xludf.DUMMYFUNCTION("""COMPUTED_VALUE"""),"Normal")</f>
        <v>Normal</v>
      </c>
      <c r="G1217" s="139"/>
      <c r="H1217" s="139"/>
      <c r="I1217" s="139">
        <f>IFERROR(__xludf.DUMMYFUNCTION("""COMPUTED_VALUE"""),95.0)</f>
        <v>95</v>
      </c>
      <c r="J1217" s="139">
        <f>IFERROR(__xludf.DUMMYFUNCTION("""COMPUTED_VALUE"""),33.0)</f>
        <v>33</v>
      </c>
      <c r="K1217" s="139">
        <f>IFERROR(__xludf.DUMMYFUNCTION("""COMPUTED_VALUE"""),45.0)</f>
        <v>45</v>
      </c>
      <c r="L1217" s="139"/>
      <c r="M1217" s="139"/>
      <c r="N1217" s="139"/>
    </row>
    <row r="1218">
      <c r="A1218" s="139" t="str">
        <f>IFERROR(__xludf.DUMMYFUNCTION("""COMPUTED_VALUE"""),"e")</f>
        <v>e</v>
      </c>
      <c r="B1218" s="139">
        <f>IFERROR(__xludf.DUMMYFUNCTION("""COMPUTED_VALUE"""),2.0250901E8)</f>
        <v>202509010</v>
      </c>
      <c r="C1218" s="139" t="str">
        <f>IFERROR(__xludf.DUMMYFUNCTION("""COMPUTED_VALUE"""),"e_chi_00101_general_chi_vh_Normal_Blue_Normal_00000")</f>
        <v>e_chi_00101_general_chi_vh_Normal_Blue_Normal_00000</v>
      </c>
      <c r="D1218" s="139" t="str">
        <f>IFERROR(__xludf.DUMMYFUNCTION("""COMPUTED_VALUE"""),"e_chi_00101_general_chi_vh_Normal_Blue")</f>
        <v>e_chi_00101_general_chi_vh_Normal_Blue</v>
      </c>
      <c r="E1218" s="139">
        <f>IFERROR(__xludf.DUMMYFUNCTION("""COMPUTED_VALUE"""),0.0)</f>
        <v>0</v>
      </c>
      <c r="F1218" s="139" t="str">
        <f>IFERROR(__xludf.DUMMYFUNCTION("""COMPUTED_VALUE"""),"Normal")</f>
        <v>Normal</v>
      </c>
      <c r="G1218" s="139"/>
      <c r="H1218" s="139"/>
      <c r="I1218" s="139">
        <f>IFERROR(__xludf.DUMMYFUNCTION("""COMPUTED_VALUE"""),95.0)</f>
        <v>95</v>
      </c>
      <c r="J1218" s="139">
        <f>IFERROR(__xludf.DUMMYFUNCTION("""COMPUTED_VALUE"""),33.0)</f>
        <v>33</v>
      </c>
      <c r="K1218" s="139">
        <f>IFERROR(__xludf.DUMMYFUNCTION("""COMPUTED_VALUE"""),45.0)</f>
        <v>45</v>
      </c>
      <c r="L1218" s="139"/>
      <c r="M1218" s="139"/>
      <c r="N1218" s="139"/>
    </row>
    <row r="1219">
      <c r="A1219" s="139" t="str">
        <f>IFERROR(__xludf.DUMMYFUNCTION("""COMPUTED_VALUE"""),"e")</f>
        <v>e</v>
      </c>
      <c r="B1219" s="139">
        <f>IFERROR(__xludf.DUMMYFUNCTION("""COMPUTED_VALUE"""),2.0250901E8)</f>
        <v>202509010</v>
      </c>
      <c r="C1219" s="139" t="str">
        <f>IFERROR(__xludf.DUMMYFUNCTION("""COMPUTED_VALUE"""),"e_chi_00101_general_chi_vh_Normal_Red_Normal_00000")</f>
        <v>e_chi_00101_general_chi_vh_Normal_Red_Normal_00000</v>
      </c>
      <c r="D1219" s="139" t="str">
        <f>IFERROR(__xludf.DUMMYFUNCTION("""COMPUTED_VALUE"""),"e_chi_00101_general_chi_vh_Normal_Red")</f>
        <v>e_chi_00101_general_chi_vh_Normal_Red</v>
      </c>
      <c r="E1219" s="139">
        <f>IFERROR(__xludf.DUMMYFUNCTION("""COMPUTED_VALUE"""),0.0)</f>
        <v>0</v>
      </c>
      <c r="F1219" s="139" t="str">
        <f>IFERROR(__xludf.DUMMYFUNCTION("""COMPUTED_VALUE"""),"Normal")</f>
        <v>Normal</v>
      </c>
      <c r="G1219" s="139"/>
      <c r="H1219" s="139"/>
      <c r="I1219" s="139">
        <f>IFERROR(__xludf.DUMMYFUNCTION("""COMPUTED_VALUE"""),95.0)</f>
        <v>95</v>
      </c>
      <c r="J1219" s="139">
        <f>IFERROR(__xludf.DUMMYFUNCTION("""COMPUTED_VALUE"""),33.0)</f>
        <v>33</v>
      </c>
      <c r="K1219" s="139">
        <f>IFERROR(__xludf.DUMMYFUNCTION("""COMPUTED_VALUE"""),45.0)</f>
        <v>45</v>
      </c>
      <c r="L1219" s="139"/>
      <c r="M1219" s="139"/>
      <c r="N1219" s="139"/>
    </row>
    <row r="1220">
      <c r="A1220" s="139" t="str">
        <f>IFERROR(__xludf.DUMMYFUNCTION("""COMPUTED_VALUE"""),"e")</f>
        <v>e</v>
      </c>
      <c r="B1220" s="139">
        <f>IFERROR(__xludf.DUMMYFUNCTION("""COMPUTED_VALUE"""),2.0250901E8)</f>
        <v>202509010</v>
      </c>
      <c r="C1220" s="139" t="str">
        <f>IFERROR(__xludf.DUMMYFUNCTION("""COMPUTED_VALUE"""),"e_chi_00101_general_chi_vh_big_Normal_Yellow_Normal_00000")</f>
        <v>e_chi_00101_general_chi_vh_big_Normal_Yellow_Normal_00000</v>
      </c>
      <c r="D1220" s="139" t="str">
        <f>IFERROR(__xludf.DUMMYFUNCTION("""COMPUTED_VALUE"""),"e_chi_00101_general_chi_vh_big_Normal_Yellow")</f>
        <v>e_chi_00101_general_chi_vh_big_Normal_Yellow</v>
      </c>
      <c r="E1220" s="139">
        <f>IFERROR(__xludf.DUMMYFUNCTION("""COMPUTED_VALUE"""),0.0)</f>
        <v>0</v>
      </c>
      <c r="F1220" s="139" t="str">
        <f>IFERROR(__xludf.DUMMYFUNCTION("""COMPUTED_VALUE"""),"Normal")</f>
        <v>Normal</v>
      </c>
      <c r="G1220" s="139"/>
      <c r="H1220" s="139"/>
      <c r="I1220" s="139">
        <f>IFERROR(__xludf.DUMMYFUNCTION("""COMPUTED_VALUE"""),95.0)</f>
        <v>95</v>
      </c>
      <c r="J1220" s="139">
        <f>IFERROR(__xludf.DUMMYFUNCTION("""COMPUTED_VALUE"""),33.0)</f>
        <v>33</v>
      </c>
      <c r="K1220" s="139">
        <f>IFERROR(__xludf.DUMMYFUNCTION("""COMPUTED_VALUE"""),75.0)</f>
        <v>75</v>
      </c>
      <c r="L1220" s="139"/>
      <c r="M1220" s="139"/>
      <c r="N1220" s="139"/>
    </row>
    <row r="1221">
      <c r="A1221" s="139" t="str">
        <f>IFERROR(__xludf.DUMMYFUNCTION("""COMPUTED_VALUE"""),"e")</f>
        <v>e</v>
      </c>
      <c r="B1221" s="139">
        <f>IFERROR(__xludf.DUMMYFUNCTION("""COMPUTED_VALUE"""),2.0250901E8)</f>
        <v>202509010</v>
      </c>
      <c r="C1221" s="139" t="str">
        <f>IFERROR(__xludf.DUMMYFUNCTION("""COMPUTED_VALUE"""),"e_chi_00101_general_chi_vh_big_Normal_Red_Normal_00000")</f>
        <v>e_chi_00101_general_chi_vh_big_Normal_Red_Normal_00000</v>
      </c>
      <c r="D1221" s="139" t="str">
        <f>IFERROR(__xludf.DUMMYFUNCTION("""COMPUTED_VALUE"""),"e_chi_00101_general_chi_vh_big_Normal_Red")</f>
        <v>e_chi_00101_general_chi_vh_big_Normal_Red</v>
      </c>
      <c r="E1221" s="139">
        <f>IFERROR(__xludf.DUMMYFUNCTION("""COMPUTED_VALUE"""),0.0)</f>
        <v>0</v>
      </c>
      <c r="F1221" s="139" t="str">
        <f>IFERROR(__xludf.DUMMYFUNCTION("""COMPUTED_VALUE"""),"Normal")</f>
        <v>Normal</v>
      </c>
      <c r="G1221" s="139"/>
      <c r="H1221" s="139"/>
      <c r="I1221" s="139">
        <f>IFERROR(__xludf.DUMMYFUNCTION("""COMPUTED_VALUE"""),95.0)</f>
        <v>95</v>
      </c>
      <c r="J1221" s="139">
        <f>IFERROR(__xludf.DUMMYFUNCTION("""COMPUTED_VALUE"""),33.0)</f>
        <v>33</v>
      </c>
      <c r="K1221" s="139">
        <f>IFERROR(__xludf.DUMMYFUNCTION("""COMPUTED_VALUE"""),75.0)</f>
        <v>75</v>
      </c>
      <c r="L1221" s="139"/>
      <c r="M1221" s="139"/>
      <c r="N1221" s="139"/>
    </row>
    <row r="1222">
      <c r="A1222" s="139" t="str">
        <f>IFERROR(__xludf.DUMMYFUNCTION("""COMPUTED_VALUE"""),"e")</f>
        <v>e</v>
      </c>
      <c r="B1222" s="139">
        <f>IFERROR(__xludf.DUMMYFUNCTION("""COMPUTED_VALUE"""),2.0250901E8)</f>
        <v>202509010</v>
      </c>
      <c r="C1222" s="139" t="str">
        <f>IFERROR(__xludf.DUMMYFUNCTION("""COMPUTED_VALUE"""),"e_chi_00101_general_chi_vh_big_Normal_Blue_Normal_00000")</f>
        <v>e_chi_00101_general_chi_vh_big_Normal_Blue_Normal_00000</v>
      </c>
      <c r="D1222" s="139" t="str">
        <f>IFERROR(__xludf.DUMMYFUNCTION("""COMPUTED_VALUE"""),"e_chi_00101_general_chi_vh_big_Normal_Blue")</f>
        <v>e_chi_00101_general_chi_vh_big_Normal_Blue</v>
      </c>
      <c r="E1222" s="139">
        <f>IFERROR(__xludf.DUMMYFUNCTION("""COMPUTED_VALUE"""),0.0)</f>
        <v>0</v>
      </c>
      <c r="F1222" s="139" t="str">
        <f>IFERROR(__xludf.DUMMYFUNCTION("""COMPUTED_VALUE"""),"Normal")</f>
        <v>Normal</v>
      </c>
      <c r="G1222" s="139"/>
      <c r="H1222" s="139"/>
      <c r="I1222" s="139">
        <f>IFERROR(__xludf.DUMMYFUNCTION("""COMPUTED_VALUE"""),95.0)</f>
        <v>95</v>
      </c>
      <c r="J1222" s="139">
        <f>IFERROR(__xludf.DUMMYFUNCTION("""COMPUTED_VALUE"""),33.0)</f>
        <v>33</v>
      </c>
      <c r="K1222" s="139">
        <f>IFERROR(__xludf.DUMMYFUNCTION("""COMPUTED_VALUE"""),75.0)</f>
        <v>75</v>
      </c>
      <c r="L1222" s="139"/>
      <c r="M1222" s="139"/>
      <c r="N1222" s="139"/>
    </row>
    <row r="1223">
      <c r="A1223" s="139" t="str">
        <f>IFERROR(__xludf.DUMMYFUNCTION("""COMPUTED_VALUE"""),"e")</f>
        <v>e</v>
      </c>
      <c r="B1223" s="139">
        <f>IFERROR(__xludf.DUMMYFUNCTION("""COMPUTED_VALUE"""),2.0250901E8)</f>
        <v>202509010</v>
      </c>
      <c r="C1223" s="139" t="str">
        <f>IFERROR(__xludf.DUMMYFUNCTION("""COMPUTED_VALUE"""),"e_chi_00201_general_chi_vh_Normal_Blue_Normal_00000")</f>
        <v>e_chi_00201_general_chi_vh_Normal_Blue_Normal_00000</v>
      </c>
      <c r="D1223" s="139" t="str">
        <f>IFERROR(__xludf.DUMMYFUNCTION("""COMPUTED_VALUE"""),"e_chi_00201_general_chi_vh_Normal_Blue")</f>
        <v>e_chi_00201_general_chi_vh_Normal_Blue</v>
      </c>
      <c r="E1223" s="139">
        <f>IFERROR(__xludf.DUMMYFUNCTION("""COMPUTED_VALUE"""),0.0)</f>
        <v>0</v>
      </c>
      <c r="F1223" s="139" t="str">
        <f>IFERROR(__xludf.DUMMYFUNCTION("""COMPUTED_VALUE"""),"Normal")</f>
        <v>Normal</v>
      </c>
      <c r="G1223" s="139"/>
      <c r="H1223" s="139"/>
      <c r="I1223" s="139">
        <f>IFERROR(__xludf.DUMMYFUNCTION("""COMPUTED_VALUE"""),67.0)</f>
        <v>67</v>
      </c>
      <c r="J1223" s="139">
        <f>IFERROR(__xludf.DUMMYFUNCTION("""COMPUTED_VALUE"""),17.0)</f>
        <v>17</v>
      </c>
      <c r="K1223" s="139">
        <f>IFERROR(__xludf.DUMMYFUNCTION("""COMPUTED_VALUE"""),175.0)</f>
        <v>175</v>
      </c>
      <c r="L1223" s="139"/>
      <c r="M1223" s="139"/>
      <c r="N1223" s="139"/>
    </row>
    <row r="1224">
      <c r="A1224" s="139" t="str">
        <f>IFERROR(__xludf.DUMMYFUNCTION("""COMPUTED_VALUE"""),"e")</f>
        <v>e</v>
      </c>
      <c r="B1224" s="139">
        <f>IFERROR(__xludf.DUMMYFUNCTION("""COMPUTED_VALUE"""),2.0250901E8)</f>
        <v>202509010</v>
      </c>
      <c r="C1224" s="139" t="str">
        <f>IFERROR(__xludf.DUMMYFUNCTION("""COMPUTED_VALUE"""),"e_chi_00201_general_chi_vh_Boss_Blue_Normal_00000")</f>
        <v>e_chi_00201_general_chi_vh_Boss_Blue_Normal_00000</v>
      </c>
      <c r="D1224" s="139" t="str">
        <f>IFERROR(__xludf.DUMMYFUNCTION("""COMPUTED_VALUE"""),"e_chi_00201_general_chi_vh_Boss_Blue")</f>
        <v>e_chi_00201_general_chi_vh_Boss_Blue</v>
      </c>
      <c r="E1224" s="139">
        <f>IFERROR(__xludf.DUMMYFUNCTION("""COMPUTED_VALUE"""),0.0)</f>
        <v>0</v>
      </c>
      <c r="F1224" s="139" t="str">
        <f>IFERROR(__xludf.DUMMYFUNCTION("""COMPUTED_VALUE"""),"Normal")</f>
        <v>Normal</v>
      </c>
      <c r="G1224" s="139"/>
      <c r="H1224" s="139"/>
      <c r="I1224" s="139">
        <f>IFERROR(__xludf.DUMMYFUNCTION("""COMPUTED_VALUE"""),67.0)</f>
        <v>67</v>
      </c>
      <c r="J1224" s="139">
        <f>IFERROR(__xludf.DUMMYFUNCTION("""COMPUTED_VALUE"""),17.0)</f>
        <v>17</v>
      </c>
      <c r="K1224" s="139">
        <f>IFERROR(__xludf.DUMMYFUNCTION("""COMPUTED_VALUE"""),175.0)</f>
        <v>175</v>
      </c>
      <c r="L1224" s="139"/>
      <c r="M1224" s="139"/>
      <c r="N1224" s="139"/>
    </row>
    <row r="1225">
      <c r="A1225" s="139" t="str">
        <f>IFERROR(__xludf.DUMMYFUNCTION("""COMPUTED_VALUE"""),"e")</f>
        <v>e</v>
      </c>
      <c r="B1225" s="139">
        <f>IFERROR(__xludf.DUMMYFUNCTION("""COMPUTED_VALUE"""),2.0250901E8)</f>
        <v>202509010</v>
      </c>
      <c r="C1225" s="139" t="str">
        <f>IFERROR(__xludf.DUMMYFUNCTION("""COMPUTED_VALUE"""),"e_chi_00201_general_chi_vh_Boss_Blue_Appearance_00001")</f>
        <v>e_chi_00201_general_chi_vh_Boss_Blue_Appearance_00001</v>
      </c>
      <c r="D1225" s="139" t="str">
        <f>IFERROR(__xludf.DUMMYFUNCTION("""COMPUTED_VALUE"""),"e_chi_00201_general_chi_vh_Boss_Blue")</f>
        <v>e_chi_00201_general_chi_vh_Boss_Blue</v>
      </c>
      <c r="E1225" s="139">
        <f>IFERROR(__xludf.DUMMYFUNCTION("""COMPUTED_VALUE"""),0.0)</f>
        <v>0</v>
      </c>
      <c r="F1225" s="139" t="str">
        <f>IFERROR(__xludf.DUMMYFUNCTION("""COMPUTED_VALUE"""),"Appearance")</f>
        <v>Appearance</v>
      </c>
      <c r="G1225" s="139"/>
      <c r="H1225" s="139"/>
      <c r="I1225" s="139">
        <f>IFERROR(__xludf.DUMMYFUNCTION("""COMPUTED_VALUE"""),50.0)</f>
        <v>50</v>
      </c>
      <c r="J1225" s="139">
        <f>IFERROR(__xludf.DUMMYFUNCTION("""COMPUTED_VALUE"""),0.0)</f>
        <v>0</v>
      </c>
      <c r="K1225" s="139">
        <f>IFERROR(__xludf.DUMMYFUNCTION("""COMPUTED_VALUE"""),0.0)</f>
        <v>0</v>
      </c>
      <c r="L1225" s="139"/>
      <c r="M1225" s="139"/>
      <c r="N1225" s="139"/>
    </row>
    <row r="1226">
      <c r="A1226" s="139" t="str">
        <f>IFERROR(__xludf.DUMMYFUNCTION("""COMPUTED_VALUE"""),"e")</f>
        <v>e</v>
      </c>
      <c r="B1226" s="139">
        <f>IFERROR(__xludf.DUMMYFUNCTION("""COMPUTED_VALUE"""),2.0250901E8)</f>
        <v>202509010</v>
      </c>
      <c r="C1226" s="139" t="str">
        <f>IFERROR(__xludf.DUMMYFUNCTION("""COMPUTED_VALUE"""),"e_chi_00201_general_chi_vh_Normal_Yellow_Normal_00000")</f>
        <v>e_chi_00201_general_chi_vh_Normal_Yellow_Normal_00000</v>
      </c>
      <c r="D1226" s="139" t="str">
        <f>IFERROR(__xludf.DUMMYFUNCTION("""COMPUTED_VALUE"""),"e_chi_00201_general_chi_vh_Normal_Yellow")</f>
        <v>e_chi_00201_general_chi_vh_Normal_Yellow</v>
      </c>
      <c r="E1226" s="139">
        <f>IFERROR(__xludf.DUMMYFUNCTION("""COMPUTED_VALUE"""),0.0)</f>
        <v>0</v>
      </c>
      <c r="F1226" s="139" t="str">
        <f>IFERROR(__xludf.DUMMYFUNCTION("""COMPUTED_VALUE"""),"Normal")</f>
        <v>Normal</v>
      </c>
      <c r="G1226" s="139"/>
      <c r="H1226" s="139"/>
      <c r="I1226" s="139">
        <f>IFERROR(__xludf.DUMMYFUNCTION("""COMPUTED_VALUE"""),67.0)</f>
        <v>67</v>
      </c>
      <c r="J1226" s="139">
        <f>IFERROR(__xludf.DUMMYFUNCTION("""COMPUTED_VALUE"""),17.0)</f>
        <v>17</v>
      </c>
      <c r="K1226" s="139">
        <f>IFERROR(__xludf.DUMMYFUNCTION("""COMPUTED_VALUE"""),175.0)</f>
        <v>175</v>
      </c>
      <c r="L1226" s="139"/>
      <c r="M1226" s="139"/>
      <c r="N1226" s="139"/>
    </row>
    <row r="1227">
      <c r="A1227" s="139" t="str">
        <f>IFERROR(__xludf.DUMMYFUNCTION("""COMPUTED_VALUE"""),"e")</f>
        <v>e</v>
      </c>
      <c r="B1227" s="139">
        <f>IFERROR(__xludf.DUMMYFUNCTION("""COMPUTED_VALUE"""),2.0250901E8)</f>
        <v>202509010</v>
      </c>
      <c r="C1227" s="139" t="str">
        <f>IFERROR(__xludf.DUMMYFUNCTION("""COMPUTED_VALUE"""),"e_chi_00201_general_chi_vh2_Normal_Yellow_Normal_00000")</f>
        <v>e_chi_00201_general_chi_vh2_Normal_Yellow_Normal_00000</v>
      </c>
      <c r="D1227" s="139" t="str">
        <f>IFERROR(__xludf.DUMMYFUNCTION("""COMPUTED_VALUE"""),"e_chi_00201_general_chi_vh2_Normal_Yellow")</f>
        <v>e_chi_00201_general_chi_vh2_Normal_Yellow</v>
      </c>
      <c r="E1227" s="139">
        <f>IFERROR(__xludf.DUMMYFUNCTION("""COMPUTED_VALUE"""),0.0)</f>
        <v>0</v>
      </c>
      <c r="F1227" s="139" t="str">
        <f>IFERROR(__xludf.DUMMYFUNCTION("""COMPUTED_VALUE"""),"Normal")</f>
        <v>Normal</v>
      </c>
      <c r="G1227" s="139"/>
      <c r="H1227" s="139"/>
      <c r="I1227" s="139">
        <f>IFERROR(__xludf.DUMMYFUNCTION("""COMPUTED_VALUE"""),67.0)</f>
        <v>67</v>
      </c>
      <c r="J1227" s="139">
        <f>IFERROR(__xludf.DUMMYFUNCTION("""COMPUTED_VALUE"""),17.0)</f>
        <v>17</v>
      </c>
      <c r="K1227" s="139">
        <f>IFERROR(__xludf.DUMMYFUNCTION("""COMPUTED_VALUE"""),175.0)</f>
        <v>175</v>
      </c>
      <c r="L1227" s="139"/>
      <c r="M1227" s="139"/>
      <c r="N1227" s="139"/>
    </row>
    <row r="1228">
      <c r="A1228" s="139" t="str">
        <f>IFERROR(__xludf.DUMMYFUNCTION("""COMPUTED_VALUE"""),"e")</f>
        <v>e</v>
      </c>
      <c r="B1228" s="139">
        <f>IFERROR(__xludf.DUMMYFUNCTION("""COMPUTED_VALUE"""),2.0250901E8)</f>
        <v>202509010</v>
      </c>
      <c r="C1228" s="139" t="str">
        <f>IFERROR(__xludf.DUMMYFUNCTION("""COMPUTED_VALUE"""),"e_chi_00201_general_chi_vh_Boss_Yellow_Normal_00000")</f>
        <v>e_chi_00201_general_chi_vh_Boss_Yellow_Normal_00000</v>
      </c>
      <c r="D1228" s="139" t="str">
        <f>IFERROR(__xludf.DUMMYFUNCTION("""COMPUTED_VALUE"""),"e_chi_00201_general_chi_vh_Boss_Yellow")</f>
        <v>e_chi_00201_general_chi_vh_Boss_Yellow</v>
      </c>
      <c r="E1228" s="139">
        <f>IFERROR(__xludf.DUMMYFUNCTION("""COMPUTED_VALUE"""),0.0)</f>
        <v>0</v>
      </c>
      <c r="F1228" s="139" t="str">
        <f>IFERROR(__xludf.DUMMYFUNCTION("""COMPUTED_VALUE"""),"Normal")</f>
        <v>Normal</v>
      </c>
      <c r="G1228" s="139"/>
      <c r="H1228" s="139"/>
      <c r="I1228" s="139">
        <f>IFERROR(__xludf.DUMMYFUNCTION("""COMPUTED_VALUE"""),67.0)</f>
        <v>67</v>
      </c>
      <c r="J1228" s="139">
        <f>IFERROR(__xludf.DUMMYFUNCTION("""COMPUTED_VALUE"""),17.0)</f>
        <v>17</v>
      </c>
      <c r="K1228" s="139">
        <f>IFERROR(__xludf.DUMMYFUNCTION("""COMPUTED_VALUE"""),175.0)</f>
        <v>175</v>
      </c>
      <c r="L1228" s="139"/>
      <c r="M1228" s="139"/>
      <c r="N1228" s="139"/>
    </row>
    <row r="1229">
      <c r="A1229" s="139" t="str">
        <f>IFERROR(__xludf.DUMMYFUNCTION("""COMPUTED_VALUE"""),"e")</f>
        <v>e</v>
      </c>
      <c r="B1229" s="139">
        <f>IFERROR(__xludf.DUMMYFUNCTION("""COMPUTED_VALUE"""),2.0250901E8)</f>
        <v>202509010</v>
      </c>
      <c r="C1229" s="139" t="str">
        <f>IFERROR(__xludf.DUMMYFUNCTION("""COMPUTED_VALUE"""),"e_chi_00201_general_chi_vh_Boss_Yellow_Appearance_00001")</f>
        <v>e_chi_00201_general_chi_vh_Boss_Yellow_Appearance_00001</v>
      </c>
      <c r="D1229" s="139" t="str">
        <f>IFERROR(__xludf.DUMMYFUNCTION("""COMPUTED_VALUE"""),"e_chi_00201_general_chi_vh_Boss_Yellow")</f>
        <v>e_chi_00201_general_chi_vh_Boss_Yellow</v>
      </c>
      <c r="E1229" s="139">
        <f>IFERROR(__xludf.DUMMYFUNCTION("""COMPUTED_VALUE"""),0.0)</f>
        <v>0</v>
      </c>
      <c r="F1229" s="139" t="str">
        <f>IFERROR(__xludf.DUMMYFUNCTION("""COMPUTED_VALUE"""),"Appearance")</f>
        <v>Appearance</v>
      </c>
      <c r="G1229" s="139"/>
      <c r="H1229" s="139"/>
      <c r="I1229" s="139">
        <f>IFERROR(__xludf.DUMMYFUNCTION("""COMPUTED_VALUE"""),50.0)</f>
        <v>50</v>
      </c>
      <c r="J1229" s="139">
        <f>IFERROR(__xludf.DUMMYFUNCTION("""COMPUTED_VALUE"""),0.0)</f>
        <v>0</v>
      </c>
      <c r="K1229" s="139">
        <f>IFERROR(__xludf.DUMMYFUNCTION("""COMPUTED_VALUE"""),0.0)</f>
        <v>0</v>
      </c>
      <c r="L1229" s="139"/>
      <c r="M1229" s="139"/>
      <c r="N1229" s="139"/>
    </row>
    <row r="1230">
      <c r="A1230" s="139" t="str">
        <f>IFERROR(__xludf.DUMMYFUNCTION("""COMPUTED_VALUE"""),"e")</f>
        <v>e</v>
      </c>
      <c r="B1230" s="139">
        <f>IFERROR(__xludf.DUMMYFUNCTION("""COMPUTED_VALUE"""),2.0250901E8)</f>
        <v>202509010</v>
      </c>
      <c r="C1230" s="139" t="str">
        <f>IFERROR(__xludf.DUMMYFUNCTION("""COMPUTED_VALUE"""),"c_chi_00201_general_chi_vh_Normal_Green_Normal_00000")</f>
        <v>c_chi_00201_general_chi_vh_Normal_Green_Normal_00000</v>
      </c>
      <c r="D1230" s="139" t="str">
        <f>IFERROR(__xludf.DUMMYFUNCTION("""COMPUTED_VALUE"""),"c_chi_00201_general_chi_vh_Normal_Green")</f>
        <v>c_chi_00201_general_chi_vh_Normal_Green</v>
      </c>
      <c r="E1230" s="139">
        <f>IFERROR(__xludf.DUMMYFUNCTION("""COMPUTED_VALUE"""),0.0)</f>
        <v>0</v>
      </c>
      <c r="F1230" s="139" t="str">
        <f>IFERROR(__xludf.DUMMYFUNCTION("""COMPUTED_VALUE"""),"Normal")</f>
        <v>Normal</v>
      </c>
      <c r="G1230" s="139"/>
      <c r="H1230" s="139"/>
      <c r="I1230" s="139">
        <f>IFERROR(__xludf.DUMMYFUNCTION("""COMPUTED_VALUE"""),80.0)</f>
        <v>80</v>
      </c>
      <c r="J1230" s="139">
        <f>IFERROR(__xludf.DUMMYFUNCTION("""COMPUTED_VALUE"""),42.0)</f>
        <v>42</v>
      </c>
      <c r="K1230" s="139">
        <f>IFERROR(__xludf.DUMMYFUNCTION("""COMPUTED_VALUE"""),125.0)</f>
        <v>125</v>
      </c>
      <c r="L1230" s="139"/>
      <c r="M1230" s="139"/>
      <c r="N1230" s="139"/>
    </row>
    <row r="1231">
      <c r="A1231" s="139" t="str">
        <f>IFERROR(__xludf.DUMMYFUNCTION("""COMPUTED_VALUE"""),"e")</f>
        <v>e</v>
      </c>
      <c r="B1231" s="139">
        <f>IFERROR(__xludf.DUMMYFUNCTION("""COMPUTED_VALUE"""),2.0250901E8)</f>
        <v>202509010</v>
      </c>
      <c r="C1231" s="139" t="str">
        <f>IFERROR(__xludf.DUMMYFUNCTION("""COMPUTED_VALUE"""),"c_chi_00201_general_chi_vh_Normal_Green_Special_00001")</f>
        <v>c_chi_00201_general_chi_vh_Normal_Green_Special_00001</v>
      </c>
      <c r="D1231" s="139" t="str">
        <f>IFERROR(__xludf.DUMMYFUNCTION("""COMPUTED_VALUE"""),"c_chi_00201_general_chi_vh_Normal_Green")</f>
        <v>c_chi_00201_general_chi_vh_Normal_Green</v>
      </c>
      <c r="E1231" s="139">
        <f>IFERROR(__xludf.DUMMYFUNCTION("""COMPUTED_VALUE"""),0.0)</f>
        <v>0</v>
      </c>
      <c r="F1231" s="139" t="str">
        <f>IFERROR(__xludf.DUMMYFUNCTION("""COMPUTED_VALUE"""),"Special")</f>
        <v>Special</v>
      </c>
      <c r="G1231" s="139"/>
      <c r="H1231" s="139"/>
      <c r="I1231" s="139">
        <f>IFERROR(__xludf.DUMMYFUNCTION("""COMPUTED_VALUE"""),122.0)</f>
        <v>122</v>
      </c>
      <c r="J1231" s="139">
        <f>IFERROR(__xludf.DUMMYFUNCTION("""COMPUTED_VALUE"""),82.0)</f>
        <v>82</v>
      </c>
      <c r="K1231" s="139">
        <f>IFERROR(__xludf.DUMMYFUNCTION("""COMPUTED_VALUE"""),0.0)</f>
        <v>0</v>
      </c>
      <c r="L1231" s="139"/>
      <c r="M1231" s="139"/>
      <c r="N1231" s="139"/>
    </row>
    <row r="1232">
      <c r="A1232" s="139" t="str">
        <f>IFERROR(__xludf.DUMMYFUNCTION("""COMPUTED_VALUE"""),"e")</f>
        <v>e</v>
      </c>
      <c r="B1232" s="139">
        <f>IFERROR(__xludf.DUMMYFUNCTION("""COMPUTED_VALUE"""),2.0250901E8)</f>
        <v>202509010</v>
      </c>
      <c r="C1232" s="139" t="str">
        <f>IFERROR(__xludf.DUMMYFUNCTION("""COMPUTED_VALUE"""),"c_chi_00201_general_chi_vh_Boss_Red_Normal_00000")</f>
        <v>c_chi_00201_general_chi_vh_Boss_Red_Normal_00000</v>
      </c>
      <c r="D1232" s="139" t="str">
        <f>IFERROR(__xludf.DUMMYFUNCTION("""COMPUTED_VALUE"""),"c_chi_00201_general_chi_vh_Boss_Red")</f>
        <v>c_chi_00201_general_chi_vh_Boss_Red</v>
      </c>
      <c r="E1232" s="139">
        <f>IFERROR(__xludf.DUMMYFUNCTION("""COMPUTED_VALUE"""),0.0)</f>
        <v>0</v>
      </c>
      <c r="F1232" s="139" t="str">
        <f>IFERROR(__xludf.DUMMYFUNCTION("""COMPUTED_VALUE"""),"Normal")</f>
        <v>Normal</v>
      </c>
      <c r="G1232" s="139"/>
      <c r="H1232" s="139"/>
      <c r="I1232" s="139">
        <f>IFERROR(__xludf.DUMMYFUNCTION("""COMPUTED_VALUE"""),80.0)</f>
        <v>80</v>
      </c>
      <c r="J1232" s="139">
        <f>IFERROR(__xludf.DUMMYFUNCTION("""COMPUTED_VALUE"""),42.0)</f>
        <v>42</v>
      </c>
      <c r="K1232" s="139">
        <f>IFERROR(__xludf.DUMMYFUNCTION("""COMPUTED_VALUE"""),125.0)</f>
        <v>125</v>
      </c>
      <c r="L1232" s="139"/>
      <c r="M1232" s="139"/>
      <c r="N1232" s="139"/>
    </row>
    <row r="1233">
      <c r="A1233" s="139" t="str">
        <f>IFERROR(__xludf.DUMMYFUNCTION("""COMPUTED_VALUE"""),"e")</f>
        <v>e</v>
      </c>
      <c r="B1233" s="139">
        <f>IFERROR(__xludf.DUMMYFUNCTION("""COMPUTED_VALUE"""),2.0250901E8)</f>
        <v>202509010</v>
      </c>
      <c r="C1233" s="139" t="str">
        <f>IFERROR(__xludf.DUMMYFUNCTION("""COMPUTED_VALUE"""),"c_chi_00201_general_chi_vh_Boss_Red_Appearance_00001")</f>
        <v>c_chi_00201_general_chi_vh_Boss_Red_Appearance_00001</v>
      </c>
      <c r="D1233" s="139" t="str">
        <f>IFERROR(__xludf.DUMMYFUNCTION("""COMPUTED_VALUE"""),"c_chi_00201_general_chi_vh_Boss_Red")</f>
        <v>c_chi_00201_general_chi_vh_Boss_Red</v>
      </c>
      <c r="E1233" s="139">
        <f>IFERROR(__xludf.DUMMYFUNCTION("""COMPUTED_VALUE"""),0.0)</f>
        <v>0</v>
      </c>
      <c r="F1233" s="139" t="str">
        <f>IFERROR(__xludf.DUMMYFUNCTION("""COMPUTED_VALUE"""),"Appearance")</f>
        <v>Appearance</v>
      </c>
      <c r="G1233" s="139"/>
      <c r="H1233" s="139"/>
      <c r="I1233" s="139">
        <f>IFERROR(__xludf.DUMMYFUNCTION("""COMPUTED_VALUE"""),50.0)</f>
        <v>50</v>
      </c>
      <c r="J1233" s="139">
        <f>IFERROR(__xludf.DUMMYFUNCTION("""COMPUTED_VALUE"""),0.0)</f>
        <v>0</v>
      </c>
      <c r="K1233" s="139">
        <f>IFERROR(__xludf.DUMMYFUNCTION("""COMPUTED_VALUE"""),0.0)</f>
        <v>0</v>
      </c>
      <c r="L1233" s="139"/>
      <c r="M1233" s="139"/>
      <c r="N1233" s="139"/>
    </row>
    <row r="1234">
      <c r="A1234" s="139" t="str">
        <f>IFERROR(__xludf.DUMMYFUNCTION("""COMPUTED_VALUE"""),"e")</f>
        <v>e</v>
      </c>
      <c r="B1234" s="139">
        <f>IFERROR(__xludf.DUMMYFUNCTION("""COMPUTED_VALUE"""),2.0250901E8)</f>
        <v>202509010</v>
      </c>
      <c r="C1234" s="139" t="str">
        <f>IFERROR(__xludf.DUMMYFUNCTION("""COMPUTED_VALUE"""),"c_chi_00201_general_chi_vh_Boss_Red_Special_00002")</f>
        <v>c_chi_00201_general_chi_vh_Boss_Red_Special_00002</v>
      </c>
      <c r="D1234" s="139" t="str">
        <f>IFERROR(__xludf.DUMMYFUNCTION("""COMPUTED_VALUE"""),"c_chi_00201_general_chi_vh_Boss_Red")</f>
        <v>c_chi_00201_general_chi_vh_Boss_Red</v>
      </c>
      <c r="E1234" s="139">
        <f>IFERROR(__xludf.DUMMYFUNCTION("""COMPUTED_VALUE"""),0.0)</f>
        <v>0</v>
      </c>
      <c r="F1234" s="139" t="str">
        <f>IFERROR(__xludf.DUMMYFUNCTION("""COMPUTED_VALUE"""),"Special")</f>
        <v>Special</v>
      </c>
      <c r="G1234" s="139"/>
      <c r="H1234" s="139"/>
      <c r="I1234" s="139">
        <f>IFERROR(__xludf.DUMMYFUNCTION("""COMPUTED_VALUE"""),122.0)</f>
        <v>122</v>
      </c>
      <c r="J1234" s="139">
        <f>IFERROR(__xludf.DUMMYFUNCTION("""COMPUTED_VALUE"""),82.0)</f>
        <v>82</v>
      </c>
      <c r="K1234" s="139">
        <f>IFERROR(__xludf.DUMMYFUNCTION("""COMPUTED_VALUE"""),0.0)</f>
        <v>0</v>
      </c>
      <c r="L1234" s="139"/>
      <c r="M1234" s="139"/>
      <c r="N1234" s="139"/>
    </row>
    <row r="1235">
      <c r="A1235" s="139" t="str">
        <f>IFERROR(__xludf.DUMMYFUNCTION("""COMPUTED_VALUE"""),"e")</f>
        <v>e</v>
      </c>
      <c r="B1235" s="139">
        <f>IFERROR(__xludf.DUMMYFUNCTION("""COMPUTED_VALUE"""),2.0250901E8)</f>
        <v>202509010</v>
      </c>
      <c r="C1235" s="139" t="str">
        <f>IFERROR(__xludf.DUMMYFUNCTION("""COMPUTED_VALUE"""),"c_chi_00201_general_chi_vh_Normal_Yellow_Normal_00000")</f>
        <v>c_chi_00201_general_chi_vh_Normal_Yellow_Normal_00000</v>
      </c>
      <c r="D1235" s="139" t="str">
        <f>IFERROR(__xludf.DUMMYFUNCTION("""COMPUTED_VALUE"""),"c_chi_00201_general_chi_vh_Normal_Yellow")</f>
        <v>c_chi_00201_general_chi_vh_Normal_Yellow</v>
      </c>
      <c r="E1235" s="139">
        <f>IFERROR(__xludf.DUMMYFUNCTION("""COMPUTED_VALUE"""),0.0)</f>
        <v>0</v>
      </c>
      <c r="F1235" s="139" t="str">
        <f>IFERROR(__xludf.DUMMYFUNCTION("""COMPUTED_VALUE"""),"Normal")</f>
        <v>Normal</v>
      </c>
      <c r="G1235" s="139"/>
      <c r="H1235" s="139"/>
      <c r="I1235" s="139">
        <f>IFERROR(__xludf.DUMMYFUNCTION("""COMPUTED_VALUE"""),80.0)</f>
        <v>80</v>
      </c>
      <c r="J1235" s="139">
        <f>IFERROR(__xludf.DUMMYFUNCTION("""COMPUTED_VALUE"""),42.0)</f>
        <v>42</v>
      </c>
      <c r="K1235" s="139">
        <f>IFERROR(__xludf.DUMMYFUNCTION("""COMPUTED_VALUE"""),55.0)</f>
        <v>55</v>
      </c>
      <c r="L1235" s="139"/>
      <c r="M1235" s="139"/>
      <c r="N1235" s="139"/>
    </row>
    <row r="1236">
      <c r="A1236" s="139" t="str">
        <f>IFERROR(__xludf.DUMMYFUNCTION("""COMPUTED_VALUE"""),"e")</f>
        <v>e</v>
      </c>
      <c r="B1236" s="139">
        <f>IFERROR(__xludf.DUMMYFUNCTION("""COMPUTED_VALUE"""),2.0250901E8)</f>
        <v>202509010</v>
      </c>
      <c r="C1236" s="139" t="str">
        <f>IFERROR(__xludf.DUMMYFUNCTION("""COMPUTED_VALUE"""),"c_chi_00201_general_chi_vh_Normal_Yellow_Special_00001")</f>
        <v>c_chi_00201_general_chi_vh_Normal_Yellow_Special_00001</v>
      </c>
      <c r="D1236" s="139" t="str">
        <f>IFERROR(__xludf.DUMMYFUNCTION("""COMPUTED_VALUE"""),"c_chi_00201_general_chi_vh_Normal_Yellow")</f>
        <v>c_chi_00201_general_chi_vh_Normal_Yellow</v>
      </c>
      <c r="E1236" s="139">
        <f>IFERROR(__xludf.DUMMYFUNCTION("""COMPUTED_VALUE"""),0.0)</f>
        <v>0</v>
      </c>
      <c r="F1236" s="139" t="str">
        <f>IFERROR(__xludf.DUMMYFUNCTION("""COMPUTED_VALUE"""),"Special")</f>
        <v>Special</v>
      </c>
      <c r="G1236" s="139"/>
      <c r="H1236" s="139"/>
      <c r="I1236" s="139">
        <f>IFERROR(__xludf.DUMMYFUNCTION("""COMPUTED_VALUE"""),122.0)</f>
        <v>122</v>
      </c>
      <c r="J1236" s="139">
        <f>IFERROR(__xludf.DUMMYFUNCTION("""COMPUTED_VALUE"""),82.0)</f>
        <v>82</v>
      </c>
      <c r="K1236" s="139">
        <f>IFERROR(__xludf.DUMMYFUNCTION("""COMPUTED_VALUE"""),0.0)</f>
        <v>0</v>
      </c>
      <c r="L1236" s="139"/>
      <c r="M1236" s="139"/>
      <c r="N1236" s="139"/>
    </row>
    <row r="1237">
      <c r="A1237" s="139" t="str">
        <f>IFERROR(__xludf.DUMMYFUNCTION("""COMPUTED_VALUE"""),"e")</f>
        <v>e</v>
      </c>
      <c r="B1237" s="139">
        <f>IFERROR(__xludf.DUMMYFUNCTION("""COMPUTED_VALUE"""),2.0250901E8)</f>
        <v>202509010</v>
      </c>
      <c r="C1237" s="139" t="str">
        <f>IFERROR(__xludf.DUMMYFUNCTION("""COMPUTED_VALUE"""),"c_chi_00301_general_chi_vh_Normal_Green_Normal_00000")</f>
        <v>c_chi_00301_general_chi_vh_Normal_Green_Normal_00000</v>
      </c>
      <c r="D1237" s="139" t="str">
        <f>IFERROR(__xludf.DUMMYFUNCTION("""COMPUTED_VALUE"""),"c_chi_00301_general_chi_vh_Normal_Green")</f>
        <v>c_chi_00301_general_chi_vh_Normal_Green</v>
      </c>
      <c r="E1237" s="139">
        <f>IFERROR(__xludf.DUMMYFUNCTION("""COMPUTED_VALUE"""),0.0)</f>
        <v>0</v>
      </c>
      <c r="F1237" s="139" t="str">
        <f>IFERROR(__xludf.DUMMYFUNCTION("""COMPUTED_VALUE"""),"Normal")</f>
        <v>Normal</v>
      </c>
      <c r="G1237" s="139"/>
      <c r="H1237" s="139"/>
      <c r="I1237" s="139">
        <f>IFERROR(__xludf.DUMMYFUNCTION("""COMPUTED_VALUE"""),75.0)</f>
        <v>75</v>
      </c>
      <c r="J1237" s="139">
        <f>IFERROR(__xludf.DUMMYFUNCTION("""COMPUTED_VALUE"""),29.0)</f>
        <v>29</v>
      </c>
      <c r="K1237" s="139">
        <f>IFERROR(__xludf.DUMMYFUNCTION("""COMPUTED_VALUE"""),55.0)</f>
        <v>55</v>
      </c>
      <c r="L1237" s="139"/>
      <c r="M1237" s="139"/>
      <c r="N1237" s="139"/>
    </row>
    <row r="1238">
      <c r="A1238" s="139" t="str">
        <f>IFERROR(__xludf.DUMMYFUNCTION("""COMPUTED_VALUE"""),"e")</f>
        <v>e</v>
      </c>
      <c r="B1238" s="139">
        <f>IFERROR(__xludf.DUMMYFUNCTION("""COMPUTED_VALUE"""),2.0250901E8)</f>
        <v>202509010</v>
      </c>
      <c r="C1238" s="139" t="str">
        <f>IFERROR(__xludf.DUMMYFUNCTION("""COMPUTED_VALUE"""),"c_chi_00301_general_chi_vh_Normal_Green_Special_00001")</f>
        <v>c_chi_00301_general_chi_vh_Normal_Green_Special_00001</v>
      </c>
      <c r="D1238" s="139" t="str">
        <f>IFERROR(__xludf.DUMMYFUNCTION("""COMPUTED_VALUE"""),"c_chi_00301_general_chi_vh_Normal_Green")</f>
        <v>c_chi_00301_general_chi_vh_Normal_Green</v>
      </c>
      <c r="E1238" s="139">
        <f>IFERROR(__xludf.DUMMYFUNCTION("""COMPUTED_VALUE"""),0.0)</f>
        <v>0</v>
      </c>
      <c r="F1238" s="139" t="str">
        <f>IFERROR(__xludf.DUMMYFUNCTION("""COMPUTED_VALUE"""),"Special")</f>
        <v>Special</v>
      </c>
      <c r="G1238" s="139"/>
      <c r="H1238" s="139"/>
      <c r="I1238" s="139">
        <f>IFERROR(__xludf.DUMMYFUNCTION("""COMPUTED_VALUE"""),133.0)</f>
        <v>133</v>
      </c>
      <c r="J1238" s="139">
        <f>IFERROR(__xludf.DUMMYFUNCTION("""COMPUTED_VALUE"""),50.0)</f>
        <v>50</v>
      </c>
      <c r="K1238" s="139">
        <f>IFERROR(__xludf.DUMMYFUNCTION("""COMPUTED_VALUE"""),0.0)</f>
        <v>0</v>
      </c>
      <c r="L1238" s="139"/>
      <c r="M1238" s="139"/>
      <c r="N1238" s="139"/>
    </row>
    <row r="1239">
      <c r="A1239" s="139" t="str">
        <f>IFERROR(__xludf.DUMMYFUNCTION("""COMPUTED_VALUE"""),"e")</f>
        <v>e</v>
      </c>
      <c r="B1239" s="139">
        <f>IFERROR(__xludf.DUMMYFUNCTION("""COMPUTED_VALUE"""),2.0250901E8)</f>
        <v>202509010</v>
      </c>
      <c r="C1239" s="139" t="str">
        <f>IFERROR(__xludf.DUMMYFUNCTION("""COMPUTED_VALUE"""),"c_chi_00002_general_chi_vh_Boss_Blue_Normal_00000")</f>
        <v>c_chi_00002_general_chi_vh_Boss_Blue_Normal_00000</v>
      </c>
      <c r="D1239" s="139" t="str">
        <f>IFERROR(__xludf.DUMMYFUNCTION("""COMPUTED_VALUE"""),"c_chi_00002_general_chi_vh_Boss_Blue")</f>
        <v>c_chi_00002_general_chi_vh_Boss_Blue</v>
      </c>
      <c r="E1239" s="139">
        <f>IFERROR(__xludf.DUMMYFUNCTION("""COMPUTED_VALUE"""),0.0)</f>
        <v>0</v>
      </c>
      <c r="F1239" s="139" t="str">
        <f>IFERROR(__xludf.DUMMYFUNCTION("""COMPUTED_VALUE"""),"Normal")</f>
        <v>Normal</v>
      </c>
      <c r="G1239" s="139"/>
      <c r="H1239" s="139"/>
      <c r="I1239" s="139">
        <f>IFERROR(__xludf.DUMMYFUNCTION("""COMPUTED_VALUE"""),54.0)</f>
        <v>54</v>
      </c>
      <c r="J1239" s="139">
        <f>IFERROR(__xludf.DUMMYFUNCTION("""COMPUTED_VALUE"""),33.0)</f>
        <v>33</v>
      </c>
      <c r="K1239" s="139">
        <f>IFERROR(__xludf.DUMMYFUNCTION("""COMPUTED_VALUE"""),35.0)</f>
        <v>35</v>
      </c>
      <c r="L1239" s="139"/>
      <c r="M1239" s="139"/>
      <c r="N1239" s="139"/>
    </row>
    <row r="1240">
      <c r="A1240" s="139" t="str">
        <f>IFERROR(__xludf.DUMMYFUNCTION("""COMPUTED_VALUE"""),"e")</f>
        <v>e</v>
      </c>
      <c r="B1240" s="139">
        <f>IFERROR(__xludf.DUMMYFUNCTION("""COMPUTED_VALUE"""),2.0250901E8)</f>
        <v>202509010</v>
      </c>
      <c r="C1240" s="139" t="str">
        <f>IFERROR(__xludf.DUMMYFUNCTION("""COMPUTED_VALUE"""),"c_chi_00002_general_chi_vh_Boss_Blue_Special_00001")</f>
        <v>c_chi_00002_general_chi_vh_Boss_Blue_Special_00001</v>
      </c>
      <c r="D1240" s="139" t="str">
        <f>IFERROR(__xludf.DUMMYFUNCTION("""COMPUTED_VALUE"""),"c_chi_00002_general_chi_vh_Boss_Blue")</f>
        <v>c_chi_00002_general_chi_vh_Boss_Blue</v>
      </c>
      <c r="E1240" s="139">
        <f>IFERROR(__xludf.DUMMYFUNCTION("""COMPUTED_VALUE"""),0.0)</f>
        <v>0</v>
      </c>
      <c r="F1240" s="139" t="str">
        <f>IFERROR(__xludf.DUMMYFUNCTION("""COMPUTED_VALUE"""),"Special")</f>
        <v>Special</v>
      </c>
      <c r="G1240" s="139"/>
      <c r="H1240" s="139"/>
      <c r="I1240" s="139">
        <f>IFERROR(__xludf.DUMMYFUNCTION("""COMPUTED_VALUE"""),187.0)</f>
        <v>187</v>
      </c>
      <c r="J1240" s="139">
        <f>IFERROR(__xludf.DUMMYFUNCTION("""COMPUTED_VALUE"""),0.0)</f>
        <v>0</v>
      </c>
      <c r="K1240" s="139">
        <f>IFERROR(__xludf.DUMMYFUNCTION("""COMPUTED_VALUE"""),0.0)</f>
        <v>0</v>
      </c>
      <c r="L1240" s="139"/>
      <c r="M1240" s="139"/>
      <c r="N1240" s="139"/>
    </row>
    <row r="1241">
      <c r="A1241" s="139" t="str">
        <f>IFERROR(__xludf.DUMMYFUNCTION("""COMPUTED_VALUE"""),"e")</f>
        <v>e</v>
      </c>
      <c r="B1241" s="139">
        <f>IFERROR(__xludf.DUMMYFUNCTION("""COMPUTED_VALUE"""),2.0250901E8)</f>
        <v>202509010</v>
      </c>
      <c r="C1241" s="139" t="str">
        <f>IFERROR(__xludf.DUMMYFUNCTION("""COMPUTED_VALUE"""),"c_chi_00001_general_chi_vh2_Normal_Blue_Normal_00000")</f>
        <v>c_chi_00001_general_chi_vh2_Normal_Blue_Normal_00000</v>
      </c>
      <c r="D1241" s="139" t="str">
        <f>IFERROR(__xludf.DUMMYFUNCTION("""COMPUTED_VALUE"""),"c_chi_00001_general_chi_vh2_Normal_Blue")</f>
        <v>c_chi_00001_general_chi_vh2_Normal_Blue</v>
      </c>
      <c r="E1241" s="139">
        <f>IFERROR(__xludf.DUMMYFUNCTION("""COMPUTED_VALUE"""),0.0)</f>
        <v>0</v>
      </c>
      <c r="F1241" s="139" t="str">
        <f>IFERROR(__xludf.DUMMYFUNCTION("""COMPUTED_VALUE"""),"Normal")</f>
        <v>Normal</v>
      </c>
      <c r="G1241" s="139"/>
      <c r="H1241" s="139"/>
      <c r="I1241" s="139">
        <f>IFERROR(__xludf.DUMMYFUNCTION("""COMPUTED_VALUE"""),70.0)</f>
        <v>70</v>
      </c>
      <c r="J1241" s="139">
        <f>IFERROR(__xludf.DUMMYFUNCTION("""COMPUTED_VALUE"""),27.0)</f>
        <v>27</v>
      </c>
      <c r="K1241" s="139">
        <f>IFERROR(__xludf.DUMMYFUNCTION("""COMPUTED_VALUE"""),55.0)</f>
        <v>55</v>
      </c>
      <c r="L1241" s="139"/>
      <c r="M1241" s="139"/>
      <c r="N1241" s="139"/>
    </row>
    <row r="1242">
      <c r="A1242" s="139" t="str">
        <f>IFERROR(__xludf.DUMMYFUNCTION("""COMPUTED_VALUE"""),"e")</f>
        <v>e</v>
      </c>
      <c r="B1242" s="139">
        <f>IFERROR(__xludf.DUMMYFUNCTION("""COMPUTED_VALUE"""),2.0250901E8)</f>
        <v>202509010</v>
      </c>
      <c r="C1242" s="139" t="str">
        <f>IFERROR(__xludf.DUMMYFUNCTION("""COMPUTED_VALUE"""),"c_chi_00001_general_chi_vh2_Normal_Blue_Special_00001")</f>
        <v>c_chi_00001_general_chi_vh2_Normal_Blue_Special_00001</v>
      </c>
      <c r="D1242" s="139" t="str">
        <f>IFERROR(__xludf.DUMMYFUNCTION("""COMPUTED_VALUE"""),"c_chi_00001_general_chi_vh2_Normal_Blue")</f>
        <v>c_chi_00001_general_chi_vh2_Normal_Blue</v>
      </c>
      <c r="E1242" s="139">
        <f>IFERROR(__xludf.DUMMYFUNCTION("""COMPUTED_VALUE"""),0.0)</f>
        <v>0</v>
      </c>
      <c r="F1242" s="139" t="str">
        <f>IFERROR(__xludf.DUMMYFUNCTION("""COMPUTED_VALUE"""),"Special")</f>
        <v>Special</v>
      </c>
      <c r="G1242" s="139"/>
      <c r="H1242" s="139"/>
      <c r="I1242" s="139">
        <f>IFERROR(__xludf.DUMMYFUNCTION("""COMPUTED_VALUE"""),169.0)</f>
        <v>169</v>
      </c>
      <c r="J1242" s="139">
        <f>IFERROR(__xludf.DUMMYFUNCTION("""COMPUTED_VALUE"""),79.0)</f>
        <v>79</v>
      </c>
      <c r="K1242" s="139">
        <f>IFERROR(__xludf.DUMMYFUNCTION("""COMPUTED_VALUE"""),0.0)</f>
        <v>0</v>
      </c>
      <c r="L1242" s="139"/>
      <c r="M1242" s="139"/>
      <c r="N1242" s="139"/>
    </row>
    <row r="1243">
      <c r="A1243" s="139" t="str">
        <f>IFERROR(__xludf.DUMMYFUNCTION("""COMPUTED_VALUE"""),"e")</f>
        <v>e</v>
      </c>
      <c r="B1243" s="139">
        <f>IFERROR(__xludf.DUMMYFUNCTION("""COMPUTED_VALUE"""),2.0250901E8)</f>
        <v>202509010</v>
      </c>
      <c r="C1243" s="139" t="str">
        <f>IFERROR(__xludf.DUMMYFUNCTION("""COMPUTED_VALUE"""),"c_chi_00001_general_chi_vh_Boss_Blue_Normal_00000")</f>
        <v>c_chi_00001_general_chi_vh_Boss_Blue_Normal_00000</v>
      </c>
      <c r="D1243" s="139" t="str">
        <f>IFERROR(__xludf.DUMMYFUNCTION("""COMPUTED_VALUE"""),"c_chi_00001_general_chi_vh_Boss_Blue")</f>
        <v>c_chi_00001_general_chi_vh_Boss_Blue</v>
      </c>
      <c r="E1243" s="139">
        <f>IFERROR(__xludf.DUMMYFUNCTION("""COMPUTED_VALUE"""),0.0)</f>
        <v>0</v>
      </c>
      <c r="F1243" s="139" t="str">
        <f>IFERROR(__xludf.DUMMYFUNCTION("""COMPUTED_VALUE"""),"Normal")</f>
        <v>Normal</v>
      </c>
      <c r="G1243" s="139"/>
      <c r="H1243" s="139"/>
      <c r="I1243" s="139">
        <f>IFERROR(__xludf.DUMMYFUNCTION("""COMPUTED_VALUE"""),70.0)</f>
        <v>70</v>
      </c>
      <c r="J1243" s="139">
        <f>IFERROR(__xludf.DUMMYFUNCTION("""COMPUTED_VALUE"""),27.0)</f>
        <v>27</v>
      </c>
      <c r="K1243" s="139">
        <f>IFERROR(__xludf.DUMMYFUNCTION("""COMPUTED_VALUE"""),55.0)</f>
        <v>55</v>
      </c>
      <c r="L1243" s="139"/>
      <c r="M1243" s="139"/>
      <c r="N1243" s="139"/>
    </row>
    <row r="1244">
      <c r="A1244" s="139" t="str">
        <f>IFERROR(__xludf.DUMMYFUNCTION("""COMPUTED_VALUE"""),"e")</f>
        <v>e</v>
      </c>
      <c r="B1244" s="139">
        <f>IFERROR(__xludf.DUMMYFUNCTION("""COMPUTED_VALUE"""),2.0250901E8)</f>
        <v>202509010</v>
      </c>
      <c r="C1244" s="139" t="str">
        <f>IFERROR(__xludf.DUMMYFUNCTION("""COMPUTED_VALUE"""),"c_chi_00001_general_chi_vh_Boss_Blue_Appearance_00001")</f>
        <v>c_chi_00001_general_chi_vh_Boss_Blue_Appearance_00001</v>
      </c>
      <c r="D1244" s="139" t="str">
        <f>IFERROR(__xludf.DUMMYFUNCTION("""COMPUTED_VALUE"""),"c_chi_00001_general_chi_vh_Boss_Blue")</f>
        <v>c_chi_00001_general_chi_vh_Boss_Blue</v>
      </c>
      <c r="E1244" s="139">
        <f>IFERROR(__xludf.DUMMYFUNCTION("""COMPUTED_VALUE"""),0.0)</f>
        <v>0</v>
      </c>
      <c r="F1244" s="139" t="str">
        <f>IFERROR(__xludf.DUMMYFUNCTION("""COMPUTED_VALUE"""),"Appearance")</f>
        <v>Appearance</v>
      </c>
      <c r="G1244" s="139"/>
      <c r="H1244" s="139"/>
      <c r="I1244" s="139">
        <f>IFERROR(__xludf.DUMMYFUNCTION("""COMPUTED_VALUE"""),50.0)</f>
        <v>50</v>
      </c>
      <c r="J1244" s="139">
        <f>IFERROR(__xludf.DUMMYFUNCTION("""COMPUTED_VALUE"""),0.0)</f>
        <v>0</v>
      </c>
      <c r="K1244" s="139">
        <f>IFERROR(__xludf.DUMMYFUNCTION("""COMPUTED_VALUE"""),0.0)</f>
        <v>0</v>
      </c>
      <c r="L1244" s="139"/>
      <c r="M1244" s="139"/>
      <c r="N1244" s="139"/>
    </row>
    <row r="1245">
      <c r="A1245" s="139" t="str">
        <f>IFERROR(__xludf.DUMMYFUNCTION("""COMPUTED_VALUE"""),"e")</f>
        <v>e</v>
      </c>
      <c r="B1245" s="139">
        <f>IFERROR(__xludf.DUMMYFUNCTION("""COMPUTED_VALUE"""),2.0250901E8)</f>
        <v>202509010</v>
      </c>
      <c r="C1245" s="139" t="str">
        <f>IFERROR(__xludf.DUMMYFUNCTION("""COMPUTED_VALUE"""),"c_chi_00001_general_chi_vh_Boss_Blue_Special_00002")</f>
        <v>c_chi_00001_general_chi_vh_Boss_Blue_Special_00002</v>
      </c>
      <c r="D1245" s="139" t="str">
        <f>IFERROR(__xludf.DUMMYFUNCTION("""COMPUTED_VALUE"""),"c_chi_00001_general_chi_vh_Boss_Blue")</f>
        <v>c_chi_00001_general_chi_vh_Boss_Blue</v>
      </c>
      <c r="E1245" s="139">
        <f>IFERROR(__xludf.DUMMYFUNCTION("""COMPUTED_VALUE"""),0.0)</f>
        <v>0</v>
      </c>
      <c r="F1245" s="139" t="str">
        <f>IFERROR(__xludf.DUMMYFUNCTION("""COMPUTED_VALUE"""),"Special")</f>
        <v>Special</v>
      </c>
      <c r="G1245" s="139"/>
      <c r="H1245" s="139"/>
      <c r="I1245" s="139">
        <f>IFERROR(__xludf.DUMMYFUNCTION("""COMPUTED_VALUE"""),169.0)</f>
        <v>169</v>
      </c>
      <c r="J1245" s="139">
        <f>IFERROR(__xludf.DUMMYFUNCTION("""COMPUTED_VALUE"""),79.0)</f>
        <v>79</v>
      </c>
      <c r="K1245" s="139">
        <f>IFERROR(__xludf.DUMMYFUNCTION("""COMPUTED_VALUE"""),0.0)</f>
        <v>0</v>
      </c>
      <c r="L1245" s="139"/>
      <c r="M1245" s="139"/>
      <c r="N1245" s="139"/>
    </row>
    <row r="1246">
      <c r="A1246" s="139"/>
      <c r="B1246" s="139"/>
      <c r="C1246" s="139"/>
      <c r="D1246" s="139"/>
      <c r="E1246" s="139"/>
      <c r="F1246" s="139"/>
      <c r="G1246" s="139"/>
      <c r="H1246" s="139"/>
      <c r="I1246" s="139"/>
      <c r="J1246" s="139"/>
      <c r="K1246" s="139"/>
      <c r="L1246" s="139"/>
      <c r="M1246" s="139"/>
      <c r="N1246" s="139"/>
    </row>
    <row r="1247">
      <c r="A1247" s="139" t="str">
        <f>IFERROR(__xludf.DUMMYFUNCTION("""COMPUTED_VALUE"""),"e")</f>
        <v>e</v>
      </c>
      <c r="B1247" s="139">
        <f>IFERROR(__xludf.DUMMYFUNCTION("""COMPUTED_VALUE"""),2.0250901E8)</f>
        <v>202509010</v>
      </c>
      <c r="C1247" s="139" t="str">
        <f>IFERROR(__xludf.DUMMYFUNCTION("""COMPUTED_VALUE"""),"c_rik_00001_general_Normal_Colorless_Normal_00000")</f>
        <v>c_rik_00001_general_Normal_Colorless_Normal_00000</v>
      </c>
      <c r="D1247" s="139" t="str">
        <f>IFERROR(__xludf.DUMMYFUNCTION("""COMPUTED_VALUE"""),"c_rik_00001_general_Normal_Colorless")</f>
        <v>c_rik_00001_general_Normal_Colorless</v>
      </c>
      <c r="E1247" s="139">
        <f>IFERROR(__xludf.DUMMYFUNCTION("""COMPUTED_VALUE"""),0.0)</f>
        <v>0</v>
      </c>
      <c r="F1247" s="139" t="str">
        <f>IFERROR(__xludf.DUMMYFUNCTION("""COMPUTED_VALUE"""),"Normal")</f>
        <v>Normal</v>
      </c>
      <c r="G1247" s="139"/>
      <c r="H1247" s="139"/>
      <c r="I1247" s="139">
        <f>IFERROR(__xludf.DUMMYFUNCTION("""COMPUTED_VALUE"""),82.0)</f>
        <v>82</v>
      </c>
      <c r="J1247" s="139">
        <f>IFERROR(__xludf.DUMMYFUNCTION("""COMPUTED_VALUE"""),47.0)</f>
        <v>47</v>
      </c>
      <c r="K1247" s="139">
        <f>IFERROR(__xludf.DUMMYFUNCTION("""COMPUTED_VALUE"""),35.0)</f>
        <v>35</v>
      </c>
      <c r="L1247" s="139"/>
      <c r="M1247" s="139"/>
      <c r="N1247" s="139"/>
    </row>
    <row r="1248">
      <c r="A1248" s="139" t="str">
        <f>IFERROR(__xludf.DUMMYFUNCTION("""COMPUTED_VALUE"""),"e")</f>
        <v>e</v>
      </c>
      <c r="B1248" s="139">
        <f>IFERROR(__xludf.DUMMYFUNCTION("""COMPUTED_VALUE"""),2.0250901E8)</f>
        <v>202509010</v>
      </c>
      <c r="C1248" s="139" t="str">
        <f>IFERROR(__xludf.DUMMYFUNCTION("""COMPUTED_VALUE"""),"c_rik_00001_general_Normal_Red_Normal_00000")</f>
        <v>c_rik_00001_general_Normal_Red_Normal_00000</v>
      </c>
      <c r="D1248" s="139" t="str">
        <f>IFERROR(__xludf.DUMMYFUNCTION("""COMPUTED_VALUE"""),"c_rik_00001_general_Normal_Red")</f>
        <v>c_rik_00001_general_Normal_Red</v>
      </c>
      <c r="E1248" s="139">
        <f>IFERROR(__xludf.DUMMYFUNCTION("""COMPUTED_VALUE"""),0.0)</f>
        <v>0</v>
      </c>
      <c r="F1248" s="139" t="str">
        <f>IFERROR(__xludf.DUMMYFUNCTION("""COMPUTED_VALUE"""),"Normal")</f>
        <v>Normal</v>
      </c>
      <c r="G1248" s="139"/>
      <c r="H1248" s="139"/>
      <c r="I1248" s="139">
        <f>IFERROR(__xludf.DUMMYFUNCTION("""COMPUTED_VALUE"""),82.0)</f>
        <v>82</v>
      </c>
      <c r="J1248" s="139">
        <f>IFERROR(__xludf.DUMMYFUNCTION("""COMPUTED_VALUE"""),47.0)</f>
        <v>47</v>
      </c>
      <c r="K1248" s="139">
        <f>IFERROR(__xludf.DUMMYFUNCTION("""COMPUTED_VALUE"""),35.0)</f>
        <v>35</v>
      </c>
      <c r="L1248" s="139"/>
      <c r="M1248" s="139"/>
      <c r="N1248" s="139"/>
    </row>
    <row r="1249">
      <c r="A1249" s="139" t="str">
        <f>IFERROR(__xludf.DUMMYFUNCTION("""COMPUTED_VALUE"""),"e")</f>
        <v>e</v>
      </c>
      <c r="B1249" s="139">
        <f>IFERROR(__xludf.DUMMYFUNCTION("""COMPUTED_VALUE"""),2.0250901E8)</f>
        <v>202509010</v>
      </c>
      <c r="C1249" s="139" t="str">
        <f>IFERROR(__xludf.DUMMYFUNCTION("""COMPUTED_VALUE"""),"c_rik_00001_general_Boss_Red_Normal_00000")</f>
        <v>c_rik_00001_general_Boss_Red_Normal_00000</v>
      </c>
      <c r="D1249" s="139" t="str">
        <f>IFERROR(__xludf.DUMMYFUNCTION("""COMPUTED_VALUE"""),"c_rik_00001_general_Boss_Red")</f>
        <v>c_rik_00001_general_Boss_Red</v>
      </c>
      <c r="E1249" s="139">
        <f>IFERROR(__xludf.DUMMYFUNCTION("""COMPUTED_VALUE"""),0.0)</f>
        <v>0</v>
      </c>
      <c r="F1249" s="139" t="str">
        <f>IFERROR(__xludf.DUMMYFUNCTION("""COMPUTED_VALUE"""),"Normal")</f>
        <v>Normal</v>
      </c>
      <c r="G1249" s="139"/>
      <c r="H1249" s="139"/>
      <c r="I1249" s="139">
        <f>IFERROR(__xludf.DUMMYFUNCTION("""COMPUTED_VALUE"""),82.0)</f>
        <v>82</v>
      </c>
      <c r="J1249" s="139">
        <f>IFERROR(__xludf.DUMMYFUNCTION("""COMPUTED_VALUE"""),47.0)</f>
        <v>47</v>
      </c>
      <c r="K1249" s="139">
        <f>IFERROR(__xludf.DUMMYFUNCTION("""COMPUTED_VALUE"""),35.0)</f>
        <v>35</v>
      </c>
      <c r="L1249" s="139"/>
      <c r="M1249" s="139"/>
      <c r="N1249" s="139"/>
    </row>
    <row r="1250">
      <c r="A1250" s="139" t="str">
        <f>IFERROR(__xludf.DUMMYFUNCTION("""COMPUTED_VALUE"""),"e")</f>
        <v>e</v>
      </c>
      <c r="B1250" s="139">
        <f>IFERROR(__xludf.DUMMYFUNCTION("""COMPUTED_VALUE"""),2.0250901E8)</f>
        <v>202509010</v>
      </c>
      <c r="C1250" s="139" t="str">
        <f>IFERROR(__xludf.DUMMYFUNCTION("""COMPUTED_VALUE"""),"c_rik_00001_general_Boss_Red_Appearance_00001")</f>
        <v>c_rik_00001_general_Boss_Red_Appearance_00001</v>
      </c>
      <c r="D1250" s="139" t="str">
        <f>IFERROR(__xludf.DUMMYFUNCTION("""COMPUTED_VALUE"""),"c_rik_00001_general_Boss_Red")</f>
        <v>c_rik_00001_general_Boss_Red</v>
      </c>
      <c r="E1250" s="139">
        <f>IFERROR(__xludf.DUMMYFUNCTION("""COMPUTED_VALUE"""),0.0)</f>
        <v>0</v>
      </c>
      <c r="F1250" s="139" t="str">
        <f>IFERROR(__xludf.DUMMYFUNCTION("""COMPUTED_VALUE"""),"Appearance")</f>
        <v>Appearance</v>
      </c>
      <c r="G1250" s="139"/>
      <c r="H1250" s="139"/>
      <c r="I1250" s="139">
        <f>IFERROR(__xludf.DUMMYFUNCTION("""COMPUTED_VALUE"""),50.0)</f>
        <v>50</v>
      </c>
      <c r="J1250" s="139">
        <f>IFERROR(__xludf.DUMMYFUNCTION("""COMPUTED_VALUE"""),0.0)</f>
        <v>0</v>
      </c>
      <c r="K1250" s="139">
        <f>IFERROR(__xludf.DUMMYFUNCTION("""COMPUTED_VALUE"""),0.0)</f>
        <v>0</v>
      </c>
      <c r="L1250" s="139"/>
      <c r="M1250" s="139"/>
      <c r="N1250" s="139"/>
    </row>
    <row r="1251">
      <c r="A1251" s="139" t="str">
        <f>IFERROR(__xludf.DUMMYFUNCTION("""COMPUTED_VALUE"""),"e")</f>
        <v>e</v>
      </c>
      <c r="B1251" s="139">
        <f>IFERROR(__xludf.DUMMYFUNCTION("""COMPUTED_VALUE"""),2.0250901E8)</f>
        <v>202509010</v>
      </c>
      <c r="C1251" s="139" t="str">
        <f>IFERROR(__xludf.DUMMYFUNCTION("""COMPUTED_VALUE"""),"c_rik_00001_general_Boss_Red_Special_00002")</f>
        <v>c_rik_00001_general_Boss_Red_Special_00002</v>
      </c>
      <c r="D1251" s="139" t="str">
        <f>IFERROR(__xludf.DUMMYFUNCTION("""COMPUTED_VALUE"""),"c_rik_00001_general_Boss_Red")</f>
        <v>c_rik_00001_general_Boss_Red</v>
      </c>
      <c r="E1251" s="139">
        <f>IFERROR(__xludf.DUMMYFUNCTION("""COMPUTED_VALUE"""),0.0)</f>
        <v>0</v>
      </c>
      <c r="F1251" s="139" t="str">
        <f>IFERROR(__xludf.DUMMYFUNCTION("""COMPUTED_VALUE"""),"Special")</f>
        <v>Special</v>
      </c>
      <c r="G1251" s="139"/>
      <c r="H1251" s="139"/>
      <c r="I1251" s="139">
        <f>IFERROR(__xludf.DUMMYFUNCTION("""COMPUTED_VALUE"""),201.0)</f>
        <v>201</v>
      </c>
      <c r="J1251" s="139">
        <f>IFERROR(__xludf.DUMMYFUNCTION("""COMPUTED_VALUE"""),0.0)</f>
        <v>0</v>
      </c>
      <c r="K1251" s="139">
        <f>IFERROR(__xludf.DUMMYFUNCTION("""COMPUTED_VALUE"""),0.0)</f>
        <v>0</v>
      </c>
      <c r="L1251" s="139"/>
      <c r="M1251" s="139"/>
      <c r="N1251" s="139"/>
    </row>
    <row r="1252">
      <c r="A1252" s="139" t="str">
        <f>IFERROR(__xludf.DUMMYFUNCTION("""COMPUTED_VALUE"""),"e")</f>
        <v>e</v>
      </c>
      <c r="B1252" s="139">
        <f>IFERROR(__xludf.DUMMYFUNCTION("""COMPUTED_VALUE"""),2.0250901E8)</f>
        <v>202509010</v>
      </c>
      <c r="C1252" s="139" t="str">
        <f>IFERROR(__xludf.DUMMYFUNCTION("""COMPUTED_VALUE"""),"c_rik_00101_general_Boss_Red_Normal_00000")</f>
        <v>c_rik_00101_general_Boss_Red_Normal_00000</v>
      </c>
      <c r="D1252" s="139" t="str">
        <f>IFERROR(__xludf.DUMMYFUNCTION("""COMPUTED_VALUE"""),"c_rik_00101_general_Boss_Red")</f>
        <v>c_rik_00101_general_Boss_Red</v>
      </c>
      <c r="E1252" s="139">
        <f>IFERROR(__xludf.DUMMYFUNCTION("""COMPUTED_VALUE"""),0.0)</f>
        <v>0</v>
      </c>
      <c r="F1252" s="139" t="str">
        <f>IFERROR(__xludf.DUMMYFUNCTION("""COMPUTED_VALUE"""),"Normal")</f>
        <v>Normal</v>
      </c>
      <c r="G1252" s="139"/>
      <c r="H1252" s="139"/>
      <c r="I1252" s="139">
        <f>IFERROR(__xludf.DUMMYFUNCTION("""COMPUTED_VALUE"""),79.0)</f>
        <v>79</v>
      </c>
      <c r="J1252" s="139">
        <f>IFERROR(__xludf.DUMMYFUNCTION("""COMPUTED_VALUE"""),44.0)</f>
        <v>44</v>
      </c>
      <c r="K1252" s="139">
        <f>IFERROR(__xludf.DUMMYFUNCTION("""COMPUTED_VALUE"""),100.0)</f>
        <v>100</v>
      </c>
      <c r="L1252" s="139"/>
      <c r="M1252" s="139"/>
      <c r="N1252" s="139"/>
    </row>
    <row r="1253">
      <c r="A1253" s="139" t="str">
        <f>IFERROR(__xludf.DUMMYFUNCTION("""COMPUTED_VALUE"""),"e")</f>
        <v>e</v>
      </c>
      <c r="B1253" s="139">
        <f>IFERROR(__xludf.DUMMYFUNCTION("""COMPUTED_VALUE"""),2.0250901E8)</f>
        <v>202509010</v>
      </c>
      <c r="C1253" s="139" t="str">
        <f>IFERROR(__xludf.DUMMYFUNCTION("""COMPUTED_VALUE"""),"c_rik_00101_general_Boss_Red_Appearance_00001")</f>
        <v>c_rik_00101_general_Boss_Red_Appearance_00001</v>
      </c>
      <c r="D1253" s="139" t="str">
        <f>IFERROR(__xludf.DUMMYFUNCTION("""COMPUTED_VALUE"""),"c_rik_00101_general_Boss_Red")</f>
        <v>c_rik_00101_general_Boss_Red</v>
      </c>
      <c r="E1253" s="139">
        <f>IFERROR(__xludf.DUMMYFUNCTION("""COMPUTED_VALUE"""),0.0)</f>
        <v>0</v>
      </c>
      <c r="F1253" s="139" t="str">
        <f>IFERROR(__xludf.DUMMYFUNCTION("""COMPUTED_VALUE"""),"Appearance")</f>
        <v>Appearance</v>
      </c>
      <c r="G1253" s="139"/>
      <c r="H1253" s="139"/>
      <c r="I1253" s="139">
        <f>IFERROR(__xludf.DUMMYFUNCTION("""COMPUTED_VALUE"""),50.0)</f>
        <v>50</v>
      </c>
      <c r="J1253" s="139">
        <f>IFERROR(__xludf.DUMMYFUNCTION("""COMPUTED_VALUE"""),0.0)</f>
        <v>0</v>
      </c>
      <c r="K1253" s="139">
        <f>IFERROR(__xludf.DUMMYFUNCTION("""COMPUTED_VALUE"""),0.0)</f>
        <v>0</v>
      </c>
      <c r="L1253" s="139"/>
      <c r="M1253" s="139"/>
      <c r="N1253" s="139"/>
    </row>
    <row r="1254">
      <c r="A1254" s="139" t="str">
        <f>IFERROR(__xludf.DUMMYFUNCTION("""COMPUTED_VALUE"""),"e")</f>
        <v>e</v>
      </c>
      <c r="B1254" s="139">
        <f>IFERROR(__xludf.DUMMYFUNCTION("""COMPUTED_VALUE"""),2.0250901E8)</f>
        <v>202509010</v>
      </c>
      <c r="C1254" s="139" t="str">
        <f>IFERROR(__xludf.DUMMYFUNCTION("""COMPUTED_VALUE"""),"c_rik_00101_general_Boss_Red_Special_00002")</f>
        <v>c_rik_00101_general_Boss_Red_Special_00002</v>
      </c>
      <c r="D1254" s="139" t="str">
        <f>IFERROR(__xludf.DUMMYFUNCTION("""COMPUTED_VALUE"""),"c_rik_00101_general_Boss_Red")</f>
        <v>c_rik_00101_general_Boss_Red</v>
      </c>
      <c r="E1254" s="139">
        <f>IFERROR(__xludf.DUMMYFUNCTION("""COMPUTED_VALUE"""),0.0)</f>
        <v>0</v>
      </c>
      <c r="F1254" s="139" t="str">
        <f>IFERROR(__xludf.DUMMYFUNCTION("""COMPUTED_VALUE"""),"Special")</f>
        <v>Special</v>
      </c>
      <c r="G1254" s="139"/>
      <c r="H1254" s="139"/>
      <c r="I1254" s="139">
        <f>IFERROR(__xludf.DUMMYFUNCTION("""COMPUTED_VALUE"""),134.0)</f>
        <v>134</v>
      </c>
      <c r="J1254" s="139">
        <f>IFERROR(__xludf.DUMMYFUNCTION("""COMPUTED_VALUE"""),50.0)</f>
        <v>50</v>
      </c>
      <c r="K1254" s="139">
        <f>IFERROR(__xludf.DUMMYFUNCTION("""COMPUTED_VALUE"""),0.0)</f>
        <v>0</v>
      </c>
      <c r="L1254" s="139"/>
      <c r="M1254" s="139"/>
      <c r="N1254" s="139"/>
    </row>
    <row r="1255">
      <c r="A1255" s="139"/>
      <c r="B1255" s="139"/>
      <c r="C1255" s="139"/>
      <c r="D1255" s="139"/>
      <c r="E1255" s="139"/>
      <c r="F1255" s="139"/>
      <c r="G1255" s="139"/>
      <c r="H1255" s="139"/>
      <c r="I1255" s="139"/>
      <c r="J1255" s="139"/>
      <c r="K1255" s="139"/>
      <c r="L1255" s="139"/>
      <c r="M1255" s="139"/>
      <c r="N1255" s="139"/>
    </row>
    <row r="1256">
      <c r="A1256" s="139" t="str">
        <f>IFERROR(__xludf.DUMMYFUNCTION("""COMPUTED_VALUE"""),"e")</f>
        <v>e</v>
      </c>
      <c r="B1256" s="139">
        <f>IFERROR(__xludf.DUMMYFUNCTION("""COMPUTED_VALUE"""),2.0250901E8)</f>
        <v>202509010</v>
      </c>
      <c r="C1256" s="139" t="str">
        <f>IFERROR(__xludf.DUMMYFUNCTION("""COMPUTED_VALUE"""),"e_glo_00001_general_rik_vh_Normal_Red_Normal_00000")</f>
        <v>e_glo_00001_general_rik_vh_Normal_Red_Normal_00000</v>
      </c>
      <c r="D1256" s="139" t="str">
        <f>IFERROR(__xludf.DUMMYFUNCTION("""COMPUTED_VALUE"""),"e_glo_00001_general_rik_vh_Normal_Red")</f>
        <v>e_glo_00001_general_rik_vh_Normal_Red</v>
      </c>
      <c r="E1256" s="139">
        <f>IFERROR(__xludf.DUMMYFUNCTION("""COMPUTED_VALUE"""),0.0)</f>
        <v>0</v>
      </c>
      <c r="F1256" s="139" t="str">
        <f>IFERROR(__xludf.DUMMYFUNCTION("""COMPUTED_VALUE"""),"Normal")</f>
        <v>Normal</v>
      </c>
      <c r="G1256" s="139"/>
      <c r="H1256" s="139"/>
      <c r="I1256" s="139">
        <f>IFERROR(__xludf.DUMMYFUNCTION("""COMPUTED_VALUE"""),50.0)</f>
        <v>50</v>
      </c>
      <c r="J1256" s="139">
        <f>IFERROR(__xludf.DUMMYFUNCTION("""COMPUTED_VALUE"""),25.0)</f>
        <v>25</v>
      </c>
      <c r="K1256" s="139">
        <f>IFERROR(__xludf.DUMMYFUNCTION("""COMPUTED_VALUE"""),75.0)</f>
        <v>75</v>
      </c>
      <c r="L1256" s="139"/>
      <c r="M1256" s="139"/>
      <c r="N1256" s="139"/>
    </row>
    <row r="1257">
      <c r="A1257" s="139" t="str">
        <f>IFERROR(__xludf.DUMMYFUNCTION("""COMPUTED_VALUE"""),"e")</f>
        <v>e</v>
      </c>
      <c r="B1257" s="139">
        <f>IFERROR(__xludf.DUMMYFUNCTION("""COMPUTED_VALUE"""),2.0250901E8)</f>
        <v>202509010</v>
      </c>
      <c r="C1257" s="139" t="str">
        <f>IFERROR(__xludf.DUMMYFUNCTION("""COMPUTED_VALUE"""),"e_glo_00001_general_rik_vh_Normal_Green_Normal_00000")</f>
        <v>e_glo_00001_general_rik_vh_Normal_Green_Normal_00000</v>
      </c>
      <c r="D1257" s="139" t="str">
        <f>IFERROR(__xludf.DUMMYFUNCTION("""COMPUTED_VALUE"""),"e_glo_00001_general_rik_vh_Normal_Green")</f>
        <v>e_glo_00001_general_rik_vh_Normal_Green</v>
      </c>
      <c r="E1257" s="139">
        <f>IFERROR(__xludf.DUMMYFUNCTION("""COMPUTED_VALUE"""),0.0)</f>
        <v>0</v>
      </c>
      <c r="F1257" s="139" t="str">
        <f>IFERROR(__xludf.DUMMYFUNCTION("""COMPUTED_VALUE"""),"Normal")</f>
        <v>Normal</v>
      </c>
      <c r="G1257" s="139"/>
      <c r="H1257" s="139"/>
      <c r="I1257" s="139">
        <f>IFERROR(__xludf.DUMMYFUNCTION("""COMPUTED_VALUE"""),50.0)</f>
        <v>50</v>
      </c>
      <c r="J1257" s="139">
        <f>IFERROR(__xludf.DUMMYFUNCTION("""COMPUTED_VALUE"""),25.0)</f>
        <v>25</v>
      </c>
      <c r="K1257" s="139">
        <f>IFERROR(__xludf.DUMMYFUNCTION("""COMPUTED_VALUE"""),75.0)</f>
        <v>75</v>
      </c>
      <c r="L1257" s="139"/>
      <c r="M1257" s="139"/>
      <c r="N1257" s="139"/>
    </row>
    <row r="1258">
      <c r="A1258" s="139" t="str">
        <f>IFERROR(__xludf.DUMMYFUNCTION("""COMPUTED_VALUE"""),"e")</f>
        <v>e</v>
      </c>
      <c r="B1258" s="139">
        <f>IFERROR(__xludf.DUMMYFUNCTION("""COMPUTED_VALUE"""),2.0250901E8)</f>
        <v>202509010</v>
      </c>
      <c r="C1258" s="139" t="str">
        <f>IFERROR(__xludf.DUMMYFUNCTION("""COMPUTED_VALUE"""),"e_glo_00001_general_rik_vh_Normal_Yellow_Normal_00000")</f>
        <v>e_glo_00001_general_rik_vh_Normal_Yellow_Normal_00000</v>
      </c>
      <c r="D1258" s="139" t="str">
        <f>IFERROR(__xludf.DUMMYFUNCTION("""COMPUTED_VALUE"""),"e_glo_00001_general_rik_vh_Normal_Yellow")</f>
        <v>e_glo_00001_general_rik_vh_Normal_Yellow</v>
      </c>
      <c r="E1258" s="139">
        <f>IFERROR(__xludf.DUMMYFUNCTION("""COMPUTED_VALUE"""),0.0)</f>
        <v>0</v>
      </c>
      <c r="F1258" s="139" t="str">
        <f>IFERROR(__xludf.DUMMYFUNCTION("""COMPUTED_VALUE"""),"Normal")</f>
        <v>Normal</v>
      </c>
      <c r="G1258" s="139"/>
      <c r="H1258" s="139"/>
      <c r="I1258" s="139">
        <f>IFERROR(__xludf.DUMMYFUNCTION("""COMPUTED_VALUE"""),50.0)</f>
        <v>50</v>
      </c>
      <c r="J1258" s="139">
        <f>IFERROR(__xludf.DUMMYFUNCTION("""COMPUTED_VALUE"""),25.0)</f>
        <v>25</v>
      </c>
      <c r="K1258" s="139">
        <f>IFERROR(__xludf.DUMMYFUNCTION("""COMPUTED_VALUE"""),75.0)</f>
        <v>75</v>
      </c>
      <c r="L1258" s="139"/>
      <c r="M1258" s="139"/>
      <c r="N1258" s="139"/>
    </row>
    <row r="1259">
      <c r="A1259" s="139" t="str">
        <f>IFERROR(__xludf.DUMMYFUNCTION("""COMPUTED_VALUE"""),"e")</f>
        <v>e</v>
      </c>
      <c r="B1259" s="139">
        <f>IFERROR(__xludf.DUMMYFUNCTION("""COMPUTED_VALUE"""),2.0250901E8)</f>
        <v>202509010</v>
      </c>
      <c r="C1259" s="139" t="str">
        <f>IFERROR(__xludf.DUMMYFUNCTION("""COMPUTED_VALUE"""),"e_glo_00001_general_rik_vh_big_Normal_Yellow_Normal_00000")</f>
        <v>e_glo_00001_general_rik_vh_big_Normal_Yellow_Normal_00000</v>
      </c>
      <c r="D1259" s="139" t="str">
        <f>IFERROR(__xludf.DUMMYFUNCTION("""COMPUTED_VALUE"""),"e_glo_00001_general_rik_vh_big_Normal_Yellow")</f>
        <v>e_glo_00001_general_rik_vh_big_Normal_Yellow</v>
      </c>
      <c r="E1259" s="139">
        <f>IFERROR(__xludf.DUMMYFUNCTION("""COMPUTED_VALUE"""),0.0)</f>
        <v>0</v>
      </c>
      <c r="F1259" s="139" t="str">
        <f>IFERROR(__xludf.DUMMYFUNCTION("""COMPUTED_VALUE"""),"Normal")</f>
        <v>Normal</v>
      </c>
      <c r="G1259" s="139"/>
      <c r="H1259" s="139"/>
      <c r="I1259" s="139">
        <f>IFERROR(__xludf.DUMMYFUNCTION("""COMPUTED_VALUE"""),50.0)</f>
        <v>50</v>
      </c>
      <c r="J1259" s="139">
        <f>IFERROR(__xludf.DUMMYFUNCTION("""COMPUTED_VALUE"""),25.0)</f>
        <v>25</v>
      </c>
      <c r="K1259" s="139">
        <f>IFERROR(__xludf.DUMMYFUNCTION("""COMPUTED_VALUE"""),75.0)</f>
        <v>75</v>
      </c>
      <c r="L1259" s="139"/>
      <c r="M1259" s="139"/>
      <c r="N1259" s="139"/>
    </row>
    <row r="1260">
      <c r="A1260" s="139" t="str">
        <f>IFERROR(__xludf.DUMMYFUNCTION("""COMPUTED_VALUE"""),"e")</f>
        <v>e</v>
      </c>
      <c r="B1260" s="139">
        <f>IFERROR(__xludf.DUMMYFUNCTION("""COMPUTED_VALUE"""),2.0250901E8)</f>
        <v>202509010</v>
      </c>
      <c r="C1260" s="139" t="str">
        <f>IFERROR(__xludf.DUMMYFUNCTION("""COMPUTED_VALUE"""),"c_rik_00001_general_vh_Normal_Green_Normal_00000")</f>
        <v>c_rik_00001_general_vh_Normal_Green_Normal_00000</v>
      </c>
      <c r="D1260" s="139" t="str">
        <f>IFERROR(__xludf.DUMMYFUNCTION("""COMPUTED_VALUE"""),"c_rik_00001_general_vh_Normal_Green")</f>
        <v>c_rik_00001_general_vh_Normal_Green</v>
      </c>
      <c r="E1260" s="139">
        <f>IFERROR(__xludf.DUMMYFUNCTION("""COMPUTED_VALUE"""),0.0)</f>
        <v>0</v>
      </c>
      <c r="F1260" s="139" t="str">
        <f>IFERROR(__xludf.DUMMYFUNCTION("""COMPUTED_VALUE"""),"Normal")</f>
        <v>Normal</v>
      </c>
      <c r="G1260" s="139"/>
      <c r="H1260" s="139"/>
      <c r="I1260" s="139">
        <f>IFERROR(__xludf.DUMMYFUNCTION("""COMPUTED_VALUE"""),82.0)</f>
        <v>82</v>
      </c>
      <c r="J1260" s="139">
        <f>IFERROR(__xludf.DUMMYFUNCTION("""COMPUTED_VALUE"""),47.0)</f>
        <v>47</v>
      </c>
      <c r="K1260" s="139">
        <f>IFERROR(__xludf.DUMMYFUNCTION("""COMPUTED_VALUE"""),35.0)</f>
        <v>35</v>
      </c>
      <c r="L1260" s="139"/>
      <c r="M1260" s="139"/>
      <c r="N1260" s="139"/>
    </row>
    <row r="1261">
      <c r="A1261" s="139" t="str">
        <f>IFERROR(__xludf.DUMMYFUNCTION("""COMPUTED_VALUE"""),"e")</f>
        <v>e</v>
      </c>
      <c r="B1261" s="139">
        <f>IFERROR(__xludf.DUMMYFUNCTION("""COMPUTED_VALUE"""),2.0250901E8)</f>
        <v>202509010</v>
      </c>
      <c r="C1261" s="139" t="str">
        <f>IFERROR(__xludf.DUMMYFUNCTION("""COMPUTED_VALUE"""),"c_rik_00001_general_vh_Normal_Red_Normal_00000")</f>
        <v>c_rik_00001_general_vh_Normal_Red_Normal_00000</v>
      </c>
      <c r="D1261" s="139" t="str">
        <f>IFERROR(__xludf.DUMMYFUNCTION("""COMPUTED_VALUE"""),"c_rik_00001_general_vh_Normal_Red")</f>
        <v>c_rik_00001_general_vh_Normal_Red</v>
      </c>
      <c r="E1261" s="139">
        <f>IFERROR(__xludf.DUMMYFUNCTION("""COMPUTED_VALUE"""),0.0)</f>
        <v>0</v>
      </c>
      <c r="F1261" s="139" t="str">
        <f>IFERROR(__xludf.DUMMYFUNCTION("""COMPUTED_VALUE"""),"Normal")</f>
        <v>Normal</v>
      </c>
      <c r="G1261" s="139"/>
      <c r="H1261" s="139"/>
      <c r="I1261" s="139">
        <f>IFERROR(__xludf.DUMMYFUNCTION("""COMPUTED_VALUE"""),82.0)</f>
        <v>82</v>
      </c>
      <c r="J1261" s="139">
        <f>IFERROR(__xludf.DUMMYFUNCTION("""COMPUTED_VALUE"""),47.0)</f>
        <v>47</v>
      </c>
      <c r="K1261" s="139">
        <f>IFERROR(__xludf.DUMMYFUNCTION("""COMPUTED_VALUE"""),35.0)</f>
        <v>35</v>
      </c>
      <c r="L1261" s="139"/>
      <c r="M1261" s="139"/>
      <c r="N1261" s="139"/>
    </row>
    <row r="1262">
      <c r="A1262" s="139" t="str">
        <f>IFERROR(__xludf.DUMMYFUNCTION("""COMPUTED_VALUE"""),"e")</f>
        <v>e</v>
      </c>
      <c r="B1262" s="139">
        <f>IFERROR(__xludf.DUMMYFUNCTION("""COMPUTED_VALUE"""),2.0250901E8)</f>
        <v>202509010</v>
      </c>
      <c r="C1262" s="139" t="str">
        <f>IFERROR(__xludf.DUMMYFUNCTION("""COMPUTED_VALUE"""),"c_rik_00001_general_vh_Boss_Yellow_Normal_00000")</f>
        <v>c_rik_00001_general_vh_Boss_Yellow_Normal_00000</v>
      </c>
      <c r="D1262" s="139" t="str">
        <f>IFERROR(__xludf.DUMMYFUNCTION("""COMPUTED_VALUE"""),"c_rik_00001_general_vh_Boss_Yellow")</f>
        <v>c_rik_00001_general_vh_Boss_Yellow</v>
      </c>
      <c r="E1262" s="139">
        <f>IFERROR(__xludf.DUMMYFUNCTION("""COMPUTED_VALUE"""),0.0)</f>
        <v>0</v>
      </c>
      <c r="F1262" s="139" t="str">
        <f>IFERROR(__xludf.DUMMYFUNCTION("""COMPUTED_VALUE"""),"Normal")</f>
        <v>Normal</v>
      </c>
      <c r="G1262" s="139"/>
      <c r="H1262" s="139"/>
      <c r="I1262" s="139">
        <f>IFERROR(__xludf.DUMMYFUNCTION("""COMPUTED_VALUE"""),82.0)</f>
        <v>82</v>
      </c>
      <c r="J1262" s="139">
        <f>IFERROR(__xludf.DUMMYFUNCTION("""COMPUTED_VALUE"""),47.0)</f>
        <v>47</v>
      </c>
      <c r="K1262" s="139">
        <f>IFERROR(__xludf.DUMMYFUNCTION("""COMPUTED_VALUE"""),35.0)</f>
        <v>35</v>
      </c>
      <c r="L1262" s="139"/>
      <c r="M1262" s="139"/>
      <c r="N1262" s="139"/>
    </row>
    <row r="1263">
      <c r="A1263" s="139" t="str">
        <f>IFERROR(__xludf.DUMMYFUNCTION("""COMPUTED_VALUE"""),"e")</f>
        <v>e</v>
      </c>
      <c r="B1263" s="139">
        <f>IFERROR(__xludf.DUMMYFUNCTION("""COMPUTED_VALUE"""),2.0250901E8)</f>
        <v>202509010</v>
      </c>
      <c r="C1263" s="139" t="str">
        <f>IFERROR(__xludf.DUMMYFUNCTION("""COMPUTED_VALUE"""),"c_rik_00001_general_vh_Boss_Yellow_Appearance_00001")</f>
        <v>c_rik_00001_general_vh_Boss_Yellow_Appearance_00001</v>
      </c>
      <c r="D1263" s="139" t="str">
        <f>IFERROR(__xludf.DUMMYFUNCTION("""COMPUTED_VALUE"""),"c_rik_00001_general_vh_Boss_Yellow")</f>
        <v>c_rik_00001_general_vh_Boss_Yellow</v>
      </c>
      <c r="E1263" s="139">
        <f>IFERROR(__xludf.DUMMYFUNCTION("""COMPUTED_VALUE"""),0.0)</f>
        <v>0</v>
      </c>
      <c r="F1263" s="139" t="str">
        <f>IFERROR(__xludf.DUMMYFUNCTION("""COMPUTED_VALUE"""),"Appearance")</f>
        <v>Appearance</v>
      </c>
      <c r="G1263" s="139"/>
      <c r="H1263" s="139"/>
      <c r="I1263" s="139">
        <f>IFERROR(__xludf.DUMMYFUNCTION("""COMPUTED_VALUE"""),50.0)</f>
        <v>50</v>
      </c>
      <c r="J1263" s="139">
        <f>IFERROR(__xludf.DUMMYFUNCTION("""COMPUTED_VALUE"""),0.0)</f>
        <v>0</v>
      </c>
      <c r="K1263" s="139">
        <f>IFERROR(__xludf.DUMMYFUNCTION("""COMPUTED_VALUE"""),0.0)</f>
        <v>0</v>
      </c>
      <c r="L1263" s="139"/>
      <c r="M1263" s="139"/>
      <c r="N1263" s="139"/>
    </row>
    <row r="1264">
      <c r="A1264" s="139" t="str">
        <f>IFERROR(__xludf.DUMMYFUNCTION("""COMPUTED_VALUE"""),"e")</f>
        <v>e</v>
      </c>
      <c r="B1264" s="139">
        <f>IFERROR(__xludf.DUMMYFUNCTION("""COMPUTED_VALUE"""),2.0250901E8)</f>
        <v>202509010</v>
      </c>
      <c r="C1264" s="139" t="str">
        <f>IFERROR(__xludf.DUMMYFUNCTION("""COMPUTED_VALUE"""),"c_rik_00001_general_vh_Boss_Yellow_Special_00002")</f>
        <v>c_rik_00001_general_vh_Boss_Yellow_Special_00002</v>
      </c>
      <c r="D1264" s="139" t="str">
        <f>IFERROR(__xludf.DUMMYFUNCTION("""COMPUTED_VALUE"""),"c_rik_00001_general_vh_Boss_Yellow")</f>
        <v>c_rik_00001_general_vh_Boss_Yellow</v>
      </c>
      <c r="E1264" s="139">
        <f>IFERROR(__xludf.DUMMYFUNCTION("""COMPUTED_VALUE"""),0.0)</f>
        <v>0</v>
      </c>
      <c r="F1264" s="139" t="str">
        <f>IFERROR(__xludf.DUMMYFUNCTION("""COMPUTED_VALUE"""),"Special")</f>
        <v>Special</v>
      </c>
      <c r="G1264" s="139"/>
      <c r="H1264" s="139"/>
      <c r="I1264" s="139">
        <f>IFERROR(__xludf.DUMMYFUNCTION("""COMPUTED_VALUE"""),201.0)</f>
        <v>201</v>
      </c>
      <c r="J1264" s="139">
        <f>IFERROR(__xludf.DUMMYFUNCTION("""COMPUTED_VALUE"""),0.0)</f>
        <v>0</v>
      </c>
      <c r="K1264" s="139">
        <f>IFERROR(__xludf.DUMMYFUNCTION("""COMPUTED_VALUE"""),0.0)</f>
        <v>0</v>
      </c>
      <c r="L1264" s="139"/>
      <c r="M1264" s="139"/>
      <c r="N1264" s="139"/>
    </row>
    <row r="1265">
      <c r="A1265" s="139" t="str">
        <f>IFERROR(__xludf.DUMMYFUNCTION("""COMPUTED_VALUE"""),"e")</f>
        <v>e</v>
      </c>
      <c r="B1265" s="139">
        <f>IFERROR(__xludf.DUMMYFUNCTION("""COMPUTED_VALUE"""),2.0250901E8)</f>
        <v>202509010</v>
      </c>
      <c r="C1265" s="139" t="str">
        <f>IFERROR(__xludf.DUMMYFUNCTION("""COMPUTED_VALUE"""),"c_rik_00101_general_vh_Normal_Red_Normal_00000")</f>
        <v>c_rik_00101_general_vh_Normal_Red_Normal_00000</v>
      </c>
      <c r="D1265" s="139" t="str">
        <f>IFERROR(__xludf.DUMMYFUNCTION("""COMPUTED_VALUE"""),"c_rik_00101_general_vh_Normal_Red")</f>
        <v>c_rik_00101_general_vh_Normal_Red</v>
      </c>
      <c r="E1265" s="139">
        <f>IFERROR(__xludf.DUMMYFUNCTION("""COMPUTED_VALUE"""),0.0)</f>
        <v>0</v>
      </c>
      <c r="F1265" s="139" t="str">
        <f>IFERROR(__xludf.DUMMYFUNCTION("""COMPUTED_VALUE"""),"Normal")</f>
        <v>Normal</v>
      </c>
      <c r="G1265" s="139"/>
      <c r="H1265" s="139"/>
      <c r="I1265" s="139">
        <f>IFERROR(__xludf.DUMMYFUNCTION("""COMPUTED_VALUE"""),79.0)</f>
        <v>79</v>
      </c>
      <c r="J1265" s="139">
        <f>IFERROR(__xludf.DUMMYFUNCTION("""COMPUTED_VALUE"""),44.0)</f>
        <v>44</v>
      </c>
      <c r="K1265" s="139">
        <f>IFERROR(__xludf.DUMMYFUNCTION("""COMPUTED_VALUE"""),100.0)</f>
        <v>100</v>
      </c>
      <c r="L1265" s="139"/>
      <c r="M1265" s="139"/>
      <c r="N1265" s="139"/>
    </row>
    <row r="1266">
      <c r="A1266" s="139" t="str">
        <f>IFERROR(__xludf.DUMMYFUNCTION("""COMPUTED_VALUE"""),"e")</f>
        <v>e</v>
      </c>
      <c r="B1266" s="139">
        <f>IFERROR(__xludf.DUMMYFUNCTION("""COMPUTED_VALUE"""),2.0250901E8)</f>
        <v>202509010</v>
      </c>
      <c r="C1266" s="139" t="str">
        <f>IFERROR(__xludf.DUMMYFUNCTION("""COMPUTED_VALUE"""),"c_rik_00101_general_vh_Normal_Red_Special_00001")</f>
        <v>c_rik_00101_general_vh_Normal_Red_Special_00001</v>
      </c>
      <c r="D1266" s="139" t="str">
        <f>IFERROR(__xludf.DUMMYFUNCTION("""COMPUTED_VALUE"""),"c_rik_00101_general_vh_Normal_Red")</f>
        <v>c_rik_00101_general_vh_Normal_Red</v>
      </c>
      <c r="E1266" s="139">
        <f>IFERROR(__xludf.DUMMYFUNCTION("""COMPUTED_VALUE"""),0.0)</f>
        <v>0</v>
      </c>
      <c r="F1266" s="139" t="str">
        <f>IFERROR(__xludf.DUMMYFUNCTION("""COMPUTED_VALUE"""),"Special")</f>
        <v>Special</v>
      </c>
      <c r="G1266" s="139"/>
      <c r="H1266" s="139"/>
      <c r="I1266" s="139">
        <f>IFERROR(__xludf.DUMMYFUNCTION("""COMPUTED_VALUE"""),134.0)</f>
        <v>134</v>
      </c>
      <c r="J1266" s="139">
        <f>IFERROR(__xludf.DUMMYFUNCTION("""COMPUTED_VALUE"""),50.0)</f>
        <v>50</v>
      </c>
      <c r="K1266" s="139">
        <f>IFERROR(__xludf.DUMMYFUNCTION("""COMPUTED_VALUE"""),0.0)</f>
        <v>0</v>
      </c>
      <c r="L1266" s="139"/>
      <c r="M1266" s="139"/>
      <c r="N1266" s="139"/>
    </row>
    <row r="1267">
      <c r="A1267" s="139"/>
      <c r="B1267" s="139"/>
      <c r="C1267" s="139"/>
      <c r="D1267" s="139"/>
      <c r="E1267" s="139"/>
      <c r="F1267" s="139"/>
      <c r="G1267" s="139"/>
      <c r="H1267" s="139"/>
      <c r="I1267" s="139"/>
      <c r="J1267" s="139"/>
      <c r="K1267" s="139"/>
      <c r="L1267" s="139"/>
      <c r="M1267" s="139"/>
      <c r="N1267" s="139"/>
    </row>
    <row r="1268">
      <c r="A1268" s="139" t="str">
        <f>IFERROR(__xludf.DUMMYFUNCTION("""COMPUTED_VALUE"""),"e")</f>
        <v>e</v>
      </c>
      <c r="B1268" s="139">
        <f>IFERROR(__xludf.DUMMYFUNCTION("""COMPUTED_VALUE"""),2.0250901E8)</f>
        <v>202509010</v>
      </c>
      <c r="C1268" s="139" t="str">
        <f>IFERROR(__xludf.DUMMYFUNCTION("""COMPUTED_VALUE"""),"e_sur_00101_general_Normal_Colorless_Normal_00000")</f>
        <v>e_sur_00101_general_Normal_Colorless_Normal_00000</v>
      </c>
      <c r="D1268" s="139" t="str">
        <f>IFERROR(__xludf.DUMMYFUNCTION("""COMPUTED_VALUE"""),"e_sur_00101_general_Normal_Colorless")</f>
        <v>e_sur_00101_general_Normal_Colorless</v>
      </c>
      <c r="E1268" s="139">
        <f>IFERROR(__xludf.DUMMYFUNCTION("""COMPUTED_VALUE"""),0.0)</f>
        <v>0</v>
      </c>
      <c r="F1268" s="139" t="str">
        <f>IFERROR(__xludf.DUMMYFUNCTION("""COMPUTED_VALUE"""),"Normal")</f>
        <v>Normal</v>
      </c>
      <c r="G1268" s="139"/>
      <c r="H1268" s="139"/>
      <c r="I1268" s="139">
        <f>IFERROR(__xludf.DUMMYFUNCTION("""COMPUTED_VALUE"""),40.0)</f>
        <v>40</v>
      </c>
      <c r="J1268" s="139">
        <f>IFERROR(__xludf.DUMMYFUNCTION("""COMPUTED_VALUE"""),15.0)</f>
        <v>15</v>
      </c>
      <c r="K1268" s="139">
        <f>IFERROR(__xludf.DUMMYFUNCTION("""COMPUTED_VALUE"""),35.0)</f>
        <v>35</v>
      </c>
      <c r="L1268" s="139"/>
      <c r="M1268" s="139"/>
      <c r="N1268" s="139"/>
    </row>
    <row r="1269">
      <c r="A1269" s="139" t="str">
        <f>IFERROR(__xludf.DUMMYFUNCTION("""COMPUTED_VALUE"""),"e")</f>
        <v>e</v>
      </c>
      <c r="B1269" s="139">
        <f>IFERROR(__xludf.DUMMYFUNCTION("""COMPUTED_VALUE"""),2.0250901E8)</f>
        <v>202509010</v>
      </c>
      <c r="C1269" s="139" t="str">
        <f>IFERROR(__xludf.DUMMYFUNCTION("""COMPUTED_VALUE"""),"e_sur_00101_general_Normal_Blue_Normal_00000")</f>
        <v>e_sur_00101_general_Normal_Blue_Normal_00000</v>
      </c>
      <c r="D1269" s="139" t="str">
        <f>IFERROR(__xludf.DUMMYFUNCTION("""COMPUTED_VALUE"""),"e_sur_00101_general_Normal_Blue")</f>
        <v>e_sur_00101_general_Normal_Blue</v>
      </c>
      <c r="E1269" s="139">
        <f>IFERROR(__xludf.DUMMYFUNCTION("""COMPUTED_VALUE"""),0.0)</f>
        <v>0</v>
      </c>
      <c r="F1269" s="139" t="str">
        <f>IFERROR(__xludf.DUMMYFUNCTION("""COMPUTED_VALUE"""),"Normal")</f>
        <v>Normal</v>
      </c>
      <c r="G1269" s="139"/>
      <c r="H1269" s="139"/>
      <c r="I1269" s="139">
        <f>IFERROR(__xludf.DUMMYFUNCTION("""COMPUTED_VALUE"""),40.0)</f>
        <v>40</v>
      </c>
      <c r="J1269" s="139">
        <f>IFERROR(__xludf.DUMMYFUNCTION("""COMPUTED_VALUE"""),15.0)</f>
        <v>15</v>
      </c>
      <c r="K1269" s="139">
        <f>IFERROR(__xludf.DUMMYFUNCTION("""COMPUTED_VALUE"""),35.0)</f>
        <v>35</v>
      </c>
      <c r="L1269" s="139"/>
      <c r="M1269" s="139"/>
      <c r="N1269" s="139"/>
    </row>
    <row r="1270">
      <c r="A1270" s="139" t="str">
        <f>IFERROR(__xludf.DUMMYFUNCTION("""COMPUTED_VALUE"""),"e")</f>
        <v>e</v>
      </c>
      <c r="B1270" s="139">
        <f>IFERROR(__xludf.DUMMYFUNCTION("""COMPUTED_VALUE"""),2.0250901E8)</f>
        <v>202509010</v>
      </c>
      <c r="C1270" s="139" t="str">
        <f>IFERROR(__xludf.DUMMYFUNCTION("""COMPUTED_VALUE"""),"e_sur_00101_general_Normal_Green_Normal_00000")</f>
        <v>e_sur_00101_general_Normal_Green_Normal_00000</v>
      </c>
      <c r="D1270" s="139" t="str">
        <f>IFERROR(__xludf.DUMMYFUNCTION("""COMPUTED_VALUE"""),"e_sur_00101_general_Normal_Green")</f>
        <v>e_sur_00101_general_Normal_Green</v>
      </c>
      <c r="E1270" s="139">
        <f>IFERROR(__xludf.DUMMYFUNCTION("""COMPUTED_VALUE"""),0.0)</f>
        <v>0</v>
      </c>
      <c r="F1270" s="139" t="str">
        <f>IFERROR(__xludf.DUMMYFUNCTION("""COMPUTED_VALUE"""),"Normal")</f>
        <v>Normal</v>
      </c>
      <c r="G1270" s="139"/>
      <c r="H1270" s="139"/>
      <c r="I1270" s="139">
        <f>IFERROR(__xludf.DUMMYFUNCTION("""COMPUTED_VALUE"""),40.0)</f>
        <v>40</v>
      </c>
      <c r="J1270" s="139">
        <f>IFERROR(__xludf.DUMMYFUNCTION("""COMPUTED_VALUE"""),15.0)</f>
        <v>15</v>
      </c>
      <c r="K1270" s="139">
        <f>IFERROR(__xludf.DUMMYFUNCTION("""COMPUTED_VALUE"""),35.0)</f>
        <v>35</v>
      </c>
      <c r="L1270" s="139"/>
      <c r="M1270" s="139"/>
      <c r="N1270" s="139"/>
    </row>
    <row r="1271">
      <c r="A1271" s="139" t="str">
        <f>IFERROR(__xludf.DUMMYFUNCTION("""COMPUTED_VALUE"""),"e")</f>
        <v>e</v>
      </c>
      <c r="B1271" s="139">
        <f>IFERROR(__xludf.DUMMYFUNCTION("""COMPUTED_VALUE"""),2.0250901E8)</f>
        <v>202509010</v>
      </c>
      <c r="C1271" s="139" t="str">
        <f>IFERROR(__xludf.DUMMYFUNCTION("""COMPUTED_VALUE"""),"e_sur_00101_general_Boss_Green_Normal_00000")</f>
        <v>e_sur_00101_general_Boss_Green_Normal_00000</v>
      </c>
      <c r="D1271" s="139" t="str">
        <f>IFERROR(__xludf.DUMMYFUNCTION("""COMPUTED_VALUE"""),"e_sur_00101_general_Boss_Green")</f>
        <v>e_sur_00101_general_Boss_Green</v>
      </c>
      <c r="E1271" s="139">
        <f>IFERROR(__xludf.DUMMYFUNCTION("""COMPUTED_VALUE"""),0.0)</f>
        <v>0</v>
      </c>
      <c r="F1271" s="139" t="str">
        <f>IFERROR(__xludf.DUMMYFUNCTION("""COMPUTED_VALUE"""),"Normal")</f>
        <v>Normal</v>
      </c>
      <c r="G1271" s="139"/>
      <c r="H1271" s="139"/>
      <c r="I1271" s="139">
        <f>IFERROR(__xludf.DUMMYFUNCTION("""COMPUTED_VALUE"""),40.0)</f>
        <v>40</v>
      </c>
      <c r="J1271" s="139">
        <f>IFERROR(__xludf.DUMMYFUNCTION("""COMPUTED_VALUE"""),15.0)</f>
        <v>15</v>
      </c>
      <c r="K1271" s="139">
        <f>IFERROR(__xludf.DUMMYFUNCTION("""COMPUTED_VALUE"""),200.0)</f>
        <v>200</v>
      </c>
      <c r="L1271" s="139"/>
      <c r="M1271" s="139"/>
      <c r="N1271" s="139"/>
    </row>
    <row r="1272">
      <c r="A1272" s="139" t="str">
        <f>IFERROR(__xludf.DUMMYFUNCTION("""COMPUTED_VALUE"""),"e")</f>
        <v>e</v>
      </c>
      <c r="B1272" s="139">
        <f>IFERROR(__xludf.DUMMYFUNCTION("""COMPUTED_VALUE"""),2.0250901E8)</f>
        <v>202509010</v>
      </c>
      <c r="C1272" s="139" t="str">
        <f>IFERROR(__xludf.DUMMYFUNCTION("""COMPUTED_VALUE"""),"e_sur_00101_general_Boss_Green_Appearance_00001")</f>
        <v>e_sur_00101_general_Boss_Green_Appearance_00001</v>
      </c>
      <c r="D1272" s="139" t="str">
        <f>IFERROR(__xludf.DUMMYFUNCTION("""COMPUTED_VALUE"""),"e_sur_00101_general_Boss_Green")</f>
        <v>e_sur_00101_general_Boss_Green</v>
      </c>
      <c r="E1272" s="139">
        <f>IFERROR(__xludf.DUMMYFUNCTION("""COMPUTED_VALUE"""),0.0)</f>
        <v>0</v>
      </c>
      <c r="F1272" s="139" t="str">
        <f>IFERROR(__xludf.DUMMYFUNCTION("""COMPUTED_VALUE"""),"Appearance")</f>
        <v>Appearance</v>
      </c>
      <c r="G1272" s="139"/>
      <c r="H1272" s="139"/>
      <c r="I1272" s="139">
        <f>IFERROR(__xludf.DUMMYFUNCTION("""COMPUTED_VALUE"""),50.0)</f>
        <v>50</v>
      </c>
      <c r="J1272" s="139">
        <f>IFERROR(__xludf.DUMMYFUNCTION("""COMPUTED_VALUE"""),0.0)</f>
        <v>0</v>
      </c>
      <c r="K1272" s="139">
        <f>IFERROR(__xludf.DUMMYFUNCTION("""COMPUTED_VALUE"""),0.0)</f>
        <v>0</v>
      </c>
      <c r="L1272" s="139"/>
      <c r="M1272" s="139"/>
      <c r="N1272" s="139"/>
    </row>
    <row r="1273">
      <c r="A1273" s="139" t="str">
        <f>IFERROR(__xludf.DUMMYFUNCTION("""COMPUTED_VALUE"""),"e")</f>
        <v>e</v>
      </c>
      <c r="B1273" s="139">
        <f>IFERROR(__xludf.DUMMYFUNCTION("""COMPUTED_VALUE"""),2.0250901E8)</f>
        <v>202509010</v>
      </c>
      <c r="C1273" s="139" t="str">
        <f>IFERROR(__xludf.DUMMYFUNCTION("""COMPUTED_VALUE"""),"e_sur_00001_general_Boss_Green_Normal_00000")</f>
        <v>e_sur_00001_general_Boss_Green_Normal_00000</v>
      </c>
      <c r="D1273" s="139" t="str">
        <f>IFERROR(__xludf.DUMMYFUNCTION("""COMPUTED_VALUE"""),"e_sur_00001_general_Boss_Green")</f>
        <v>e_sur_00001_general_Boss_Green</v>
      </c>
      <c r="E1273" s="139">
        <f>IFERROR(__xludf.DUMMYFUNCTION("""COMPUTED_VALUE"""),0.0)</f>
        <v>0</v>
      </c>
      <c r="F1273" s="139" t="str">
        <f>IFERROR(__xludf.DUMMYFUNCTION("""COMPUTED_VALUE"""),"Normal")</f>
        <v>Normal</v>
      </c>
      <c r="G1273" s="139"/>
      <c r="H1273" s="139"/>
      <c r="I1273" s="139">
        <f>IFERROR(__xludf.DUMMYFUNCTION("""COMPUTED_VALUE"""),53.0)</f>
        <v>53</v>
      </c>
      <c r="J1273" s="139">
        <f>IFERROR(__xludf.DUMMYFUNCTION("""COMPUTED_VALUE"""),15.0)</f>
        <v>15</v>
      </c>
      <c r="K1273" s="139">
        <f>IFERROR(__xludf.DUMMYFUNCTION("""COMPUTED_VALUE"""),45.0)</f>
        <v>45</v>
      </c>
      <c r="L1273" s="139"/>
      <c r="M1273" s="139"/>
      <c r="N1273" s="139"/>
    </row>
    <row r="1274">
      <c r="A1274" s="139" t="str">
        <f>IFERROR(__xludf.DUMMYFUNCTION("""COMPUTED_VALUE"""),"e")</f>
        <v>e</v>
      </c>
      <c r="B1274" s="139">
        <f>IFERROR(__xludf.DUMMYFUNCTION("""COMPUTED_VALUE"""),2.0250901E8)</f>
        <v>202509010</v>
      </c>
      <c r="C1274" s="139" t="str">
        <f>IFERROR(__xludf.DUMMYFUNCTION("""COMPUTED_VALUE"""),"e_sur_00001_general_Boss_Green_Appearance_00001")</f>
        <v>e_sur_00001_general_Boss_Green_Appearance_00001</v>
      </c>
      <c r="D1274" s="139" t="str">
        <f>IFERROR(__xludf.DUMMYFUNCTION("""COMPUTED_VALUE"""),"e_sur_00001_general_Boss_Green")</f>
        <v>e_sur_00001_general_Boss_Green</v>
      </c>
      <c r="E1274" s="139">
        <f>IFERROR(__xludf.DUMMYFUNCTION("""COMPUTED_VALUE"""),0.0)</f>
        <v>0</v>
      </c>
      <c r="F1274" s="139" t="str">
        <f>IFERROR(__xludf.DUMMYFUNCTION("""COMPUTED_VALUE"""),"Appearance")</f>
        <v>Appearance</v>
      </c>
      <c r="G1274" s="139"/>
      <c r="H1274" s="139"/>
      <c r="I1274" s="139">
        <f>IFERROR(__xludf.DUMMYFUNCTION("""COMPUTED_VALUE"""),50.0)</f>
        <v>50</v>
      </c>
      <c r="J1274" s="139">
        <f>IFERROR(__xludf.DUMMYFUNCTION("""COMPUTED_VALUE"""),0.0)</f>
        <v>0</v>
      </c>
      <c r="K1274" s="139">
        <f>IFERROR(__xludf.DUMMYFUNCTION("""COMPUTED_VALUE"""),0.0)</f>
        <v>0</v>
      </c>
      <c r="L1274" s="139"/>
      <c r="M1274" s="139"/>
      <c r="N1274" s="139"/>
    </row>
    <row r="1275">
      <c r="A1275" s="139" t="str">
        <f>IFERROR(__xludf.DUMMYFUNCTION("""COMPUTED_VALUE"""),"e")</f>
        <v>e</v>
      </c>
      <c r="B1275" s="139">
        <f>IFERROR(__xludf.DUMMYFUNCTION("""COMPUTED_VALUE"""),2.0250901E8)</f>
        <v>202509010</v>
      </c>
      <c r="C1275" s="139" t="str">
        <f>IFERROR(__xludf.DUMMYFUNCTION("""COMPUTED_VALUE"""),"e_sur_00001_general_Boss_Green_Special_00002")</f>
        <v>e_sur_00001_general_Boss_Green_Special_00002</v>
      </c>
      <c r="D1275" s="139" t="str">
        <f>IFERROR(__xludf.DUMMYFUNCTION("""COMPUTED_VALUE"""),"e_sur_00001_general_Boss_Green")</f>
        <v>e_sur_00001_general_Boss_Green</v>
      </c>
      <c r="E1275" s="139">
        <f>IFERROR(__xludf.DUMMYFUNCTION("""COMPUTED_VALUE"""),0.0)</f>
        <v>0</v>
      </c>
      <c r="F1275" s="139" t="str">
        <f>IFERROR(__xludf.DUMMYFUNCTION("""COMPUTED_VALUE"""),"Special")</f>
        <v>Special</v>
      </c>
      <c r="G1275" s="139"/>
      <c r="H1275" s="139"/>
      <c r="I1275" s="139">
        <f>IFERROR(__xludf.DUMMYFUNCTION("""COMPUTED_VALUE"""),92.0)</f>
        <v>92</v>
      </c>
      <c r="J1275" s="139">
        <f>IFERROR(__xludf.DUMMYFUNCTION("""COMPUTED_VALUE"""),0.0)</f>
        <v>0</v>
      </c>
      <c r="K1275" s="139">
        <f>IFERROR(__xludf.DUMMYFUNCTION("""COMPUTED_VALUE"""),0.0)</f>
        <v>0</v>
      </c>
      <c r="L1275" s="139"/>
      <c r="M1275" s="139"/>
      <c r="N1275" s="139"/>
    </row>
    <row r="1276">
      <c r="A1276" s="139" t="str">
        <f>IFERROR(__xludf.DUMMYFUNCTION("""COMPUTED_VALUE"""),"e")</f>
        <v>e</v>
      </c>
      <c r="B1276" s="139">
        <f>IFERROR(__xludf.DUMMYFUNCTION("""COMPUTED_VALUE"""),2.0250901E8)</f>
        <v>202509010</v>
      </c>
      <c r="C1276" s="139" t="str">
        <f>IFERROR(__xludf.DUMMYFUNCTION("""COMPUTED_VALUE"""),"e_sur_00001_general_Normal_Green_Normal_00000")</f>
        <v>e_sur_00001_general_Normal_Green_Normal_00000</v>
      </c>
      <c r="D1276" s="139" t="str">
        <f>IFERROR(__xludf.DUMMYFUNCTION("""COMPUTED_VALUE"""),"e_sur_00001_general_Normal_Green")</f>
        <v>e_sur_00001_general_Normal_Green</v>
      </c>
      <c r="E1276" s="139">
        <f>IFERROR(__xludf.DUMMYFUNCTION("""COMPUTED_VALUE"""),0.0)</f>
        <v>0</v>
      </c>
      <c r="F1276" s="139" t="str">
        <f>IFERROR(__xludf.DUMMYFUNCTION("""COMPUTED_VALUE"""),"Normal")</f>
        <v>Normal</v>
      </c>
      <c r="G1276" s="139"/>
      <c r="H1276" s="139"/>
      <c r="I1276" s="139">
        <f>IFERROR(__xludf.DUMMYFUNCTION("""COMPUTED_VALUE"""),53.0)</f>
        <v>53</v>
      </c>
      <c r="J1276" s="139">
        <f>IFERROR(__xludf.DUMMYFUNCTION("""COMPUTED_VALUE"""),15.0)</f>
        <v>15</v>
      </c>
      <c r="K1276" s="139">
        <f>IFERROR(__xludf.DUMMYFUNCTION("""COMPUTED_VALUE"""),45.0)</f>
        <v>45</v>
      </c>
      <c r="L1276" s="139"/>
      <c r="M1276" s="139"/>
      <c r="N1276" s="139"/>
    </row>
    <row r="1277">
      <c r="A1277" s="139" t="str">
        <f>IFERROR(__xludf.DUMMYFUNCTION("""COMPUTED_VALUE"""),"e")</f>
        <v>e</v>
      </c>
      <c r="B1277" s="139">
        <f>IFERROR(__xludf.DUMMYFUNCTION("""COMPUTED_VALUE"""),2.0250901E8)</f>
        <v>202509010</v>
      </c>
      <c r="C1277" s="139" t="str">
        <f>IFERROR(__xludf.DUMMYFUNCTION("""COMPUTED_VALUE"""),"c_sur_00101_general_Boss_Blue_Normal_00000")</f>
        <v>c_sur_00101_general_Boss_Blue_Normal_00000</v>
      </c>
      <c r="D1277" s="139" t="str">
        <f>IFERROR(__xludf.DUMMYFUNCTION("""COMPUTED_VALUE"""),"c_sur_00101_general_Boss_Blue")</f>
        <v>c_sur_00101_general_Boss_Blue</v>
      </c>
      <c r="E1277" s="139">
        <f>IFERROR(__xludf.DUMMYFUNCTION("""COMPUTED_VALUE"""),0.0)</f>
        <v>0</v>
      </c>
      <c r="F1277" s="139" t="str">
        <f>IFERROR(__xludf.DUMMYFUNCTION("""COMPUTED_VALUE"""),"Normal")</f>
        <v>Normal</v>
      </c>
      <c r="G1277" s="139"/>
      <c r="H1277" s="139"/>
      <c r="I1277" s="139">
        <f>IFERROR(__xludf.DUMMYFUNCTION("""COMPUTED_VALUE"""),74.0)</f>
        <v>74</v>
      </c>
      <c r="J1277" s="139">
        <f>IFERROR(__xludf.DUMMYFUNCTION("""COMPUTED_VALUE"""),19.0)</f>
        <v>19</v>
      </c>
      <c r="K1277" s="139">
        <f>IFERROR(__xludf.DUMMYFUNCTION("""COMPUTED_VALUE"""),45.0)</f>
        <v>45</v>
      </c>
      <c r="L1277" s="139"/>
      <c r="M1277" s="139"/>
      <c r="N1277" s="139"/>
    </row>
    <row r="1278">
      <c r="A1278" s="139" t="str">
        <f>IFERROR(__xludf.DUMMYFUNCTION("""COMPUTED_VALUE"""),"e")</f>
        <v>e</v>
      </c>
      <c r="B1278" s="139">
        <f>IFERROR(__xludf.DUMMYFUNCTION("""COMPUTED_VALUE"""),2.0250901E8)</f>
        <v>202509010</v>
      </c>
      <c r="C1278" s="139" t="str">
        <f>IFERROR(__xludf.DUMMYFUNCTION("""COMPUTED_VALUE"""),"c_sur_00101_general_Boss_Blue_Appearance_00001")</f>
        <v>c_sur_00101_general_Boss_Blue_Appearance_00001</v>
      </c>
      <c r="D1278" s="139" t="str">
        <f>IFERROR(__xludf.DUMMYFUNCTION("""COMPUTED_VALUE"""),"c_sur_00101_general_Boss_Blue")</f>
        <v>c_sur_00101_general_Boss_Blue</v>
      </c>
      <c r="E1278" s="139">
        <f>IFERROR(__xludf.DUMMYFUNCTION("""COMPUTED_VALUE"""),0.0)</f>
        <v>0</v>
      </c>
      <c r="F1278" s="139" t="str">
        <f>IFERROR(__xludf.DUMMYFUNCTION("""COMPUTED_VALUE"""),"Appearance")</f>
        <v>Appearance</v>
      </c>
      <c r="G1278" s="139"/>
      <c r="H1278" s="139"/>
      <c r="I1278" s="139">
        <f>IFERROR(__xludf.DUMMYFUNCTION("""COMPUTED_VALUE"""),50.0)</f>
        <v>50</v>
      </c>
      <c r="J1278" s="139">
        <f>IFERROR(__xludf.DUMMYFUNCTION("""COMPUTED_VALUE"""),0.0)</f>
        <v>0</v>
      </c>
      <c r="K1278" s="139">
        <f>IFERROR(__xludf.DUMMYFUNCTION("""COMPUTED_VALUE"""),0.0)</f>
        <v>0</v>
      </c>
      <c r="L1278" s="139"/>
      <c r="M1278" s="139"/>
      <c r="N1278" s="139"/>
    </row>
    <row r="1279">
      <c r="A1279" s="139" t="str">
        <f>IFERROR(__xludf.DUMMYFUNCTION("""COMPUTED_VALUE"""),"e")</f>
        <v>e</v>
      </c>
      <c r="B1279" s="139">
        <f>IFERROR(__xludf.DUMMYFUNCTION("""COMPUTED_VALUE"""),2.0250901E8)</f>
        <v>202509010</v>
      </c>
      <c r="C1279" s="139" t="str">
        <f>IFERROR(__xludf.DUMMYFUNCTION("""COMPUTED_VALUE"""),"c_sur_00101_general_Boss_Blue_Special_00002")</f>
        <v>c_sur_00101_general_Boss_Blue_Special_00002</v>
      </c>
      <c r="D1279" s="139" t="str">
        <f>IFERROR(__xludf.DUMMYFUNCTION("""COMPUTED_VALUE"""),"c_sur_00101_general_Boss_Blue")</f>
        <v>c_sur_00101_general_Boss_Blue</v>
      </c>
      <c r="E1279" s="139">
        <f>IFERROR(__xludf.DUMMYFUNCTION("""COMPUTED_VALUE"""),0.0)</f>
        <v>0</v>
      </c>
      <c r="F1279" s="139" t="str">
        <f>IFERROR(__xludf.DUMMYFUNCTION("""COMPUTED_VALUE"""),"Special")</f>
        <v>Special</v>
      </c>
      <c r="G1279" s="139"/>
      <c r="H1279" s="139"/>
      <c r="I1279" s="139">
        <f>IFERROR(__xludf.DUMMYFUNCTION("""COMPUTED_VALUE"""),138.0)</f>
        <v>138</v>
      </c>
      <c r="J1279" s="139">
        <f>IFERROR(__xludf.DUMMYFUNCTION("""COMPUTED_VALUE"""),0.0)</f>
        <v>0</v>
      </c>
      <c r="K1279" s="139">
        <f>IFERROR(__xludf.DUMMYFUNCTION("""COMPUTED_VALUE"""),0.0)</f>
        <v>0</v>
      </c>
      <c r="L1279" s="139"/>
      <c r="M1279" s="139"/>
      <c r="N1279" s="139"/>
    </row>
    <row r="1280">
      <c r="A1280" s="139" t="str">
        <f>IFERROR(__xludf.DUMMYFUNCTION("""COMPUTED_VALUE"""),"e")</f>
        <v>e</v>
      </c>
      <c r="B1280" s="139">
        <f>IFERROR(__xludf.DUMMYFUNCTION("""COMPUTED_VALUE"""),2.0250901E8)</f>
        <v>202509010</v>
      </c>
      <c r="C1280" s="139" t="str">
        <f>IFERROR(__xludf.DUMMYFUNCTION("""COMPUTED_VALUE"""),"c_sur_00201_general_Normal_Blue_Normal_00000")</f>
        <v>c_sur_00201_general_Normal_Blue_Normal_00000</v>
      </c>
      <c r="D1280" s="139" t="str">
        <f>IFERROR(__xludf.DUMMYFUNCTION("""COMPUTED_VALUE"""),"c_sur_00201_general_Normal_Blue")</f>
        <v>c_sur_00201_general_Normal_Blue</v>
      </c>
      <c r="E1280" s="139">
        <f>IFERROR(__xludf.DUMMYFUNCTION("""COMPUTED_VALUE"""),0.0)</f>
        <v>0</v>
      </c>
      <c r="F1280" s="139" t="str">
        <f>IFERROR(__xludf.DUMMYFUNCTION("""COMPUTED_VALUE"""),"Normal")</f>
        <v>Normal</v>
      </c>
      <c r="G1280" s="139"/>
      <c r="H1280" s="139"/>
      <c r="I1280" s="139">
        <f>IFERROR(__xludf.DUMMYFUNCTION("""COMPUTED_VALUE"""),74.0)</f>
        <v>74</v>
      </c>
      <c r="J1280" s="139">
        <f>IFERROR(__xludf.DUMMYFUNCTION("""COMPUTED_VALUE"""),29.0)</f>
        <v>29</v>
      </c>
      <c r="K1280" s="139">
        <f>IFERROR(__xludf.DUMMYFUNCTION("""COMPUTED_VALUE"""),45.0)</f>
        <v>45</v>
      </c>
      <c r="L1280" s="139"/>
      <c r="M1280" s="139"/>
      <c r="N1280" s="139"/>
    </row>
    <row r="1281">
      <c r="A1281" s="139" t="str">
        <f>IFERROR(__xludf.DUMMYFUNCTION("""COMPUTED_VALUE"""),"e")</f>
        <v>e</v>
      </c>
      <c r="B1281" s="139">
        <f>IFERROR(__xludf.DUMMYFUNCTION("""COMPUTED_VALUE"""),2.0250901E8)</f>
        <v>202509010</v>
      </c>
      <c r="C1281" s="139" t="str">
        <f>IFERROR(__xludf.DUMMYFUNCTION("""COMPUTED_VALUE"""),"c_sur_00201_general_Normal_Blue_Special_00001")</f>
        <v>c_sur_00201_general_Normal_Blue_Special_00001</v>
      </c>
      <c r="D1281" s="139" t="str">
        <f>IFERROR(__xludf.DUMMYFUNCTION("""COMPUTED_VALUE"""),"c_sur_00201_general_Normal_Blue")</f>
        <v>c_sur_00201_general_Normal_Blue</v>
      </c>
      <c r="E1281" s="139">
        <f>IFERROR(__xludf.DUMMYFUNCTION("""COMPUTED_VALUE"""),0.0)</f>
        <v>0</v>
      </c>
      <c r="F1281" s="139" t="str">
        <f>IFERROR(__xludf.DUMMYFUNCTION("""COMPUTED_VALUE"""),"Special")</f>
        <v>Special</v>
      </c>
      <c r="G1281" s="139"/>
      <c r="H1281" s="139"/>
      <c r="I1281" s="139">
        <f>IFERROR(__xludf.DUMMYFUNCTION("""COMPUTED_VALUE"""),154.0)</f>
        <v>154</v>
      </c>
      <c r="J1281" s="139">
        <f>IFERROR(__xludf.DUMMYFUNCTION("""COMPUTED_VALUE"""),0.0)</f>
        <v>0</v>
      </c>
      <c r="K1281" s="139">
        <f>IFERROR(__xludf.DUMMYFUNCTION("""COMPUTED_VALUE"""),0.0)</f>
        <v>0</v>
      </c>
      <c r="L1281" s="139"/>
      <c r="M1281" s="139"/>
      <c r="N1281" s="139"/>
    </row>
    <row r="1282">
      <c r="A1282" s="139" t="str">
        <f>IFERROR(__xludf.DUMMYFUNCTION("""COMPUTED_VALUE"""),"e")</f>
        <v>e</v>
      </c>
      <c r="B1282" s="139">
        <f>IFERROR(__xludf.DUMMYFUNCTION("""COMPUTED_VALUE"""),2.0250901E8)</f>
        <v>202509010</v>
      </c>
      <c r="C1282" s="139" t="str">
        <f>IFERROR(__xludf.DUMMYFUNCTION("""COMPUTED_VALUE"""),"c_sur_00301_general_Normal_Blue_Normal_00000")</f>
        <v>c_sur_00301_general_Normal_Blue_Normal_00000</v>
      </c>
      <c r="D1282" s="139" t="str">
        <f>IFERROR(__xludf.DUMMYFUNCTION("""COMPUTED_VALUE"""),"c_sur_00301_general_Normal_Blue")</f>
        <v>c_sur_00301_general_Normal_Blue</v>
      </c>
      <c r="E1282" s="139">
        <f>IFERROR(__xludf.DUMMYFUNCTION("""COMPUTED_VALUE"""),0.0)</f>
        <v>0</v>
      </c>
      <c r="F1282" s="139" t="str">
        <f>IFERROR(__xludf.DUMMYFUNCTION("""COMPUTED_VALUE"""),"Normal")</f>
        <v>Normal</v>
      </c>
      <c r="G1282" s="139"/>
      <c r="H1282" s="139"/>
      <c r="I1282" s="139">
        <f>IFERROR(__xludf.DUMMYFUNCTION("""COMPUTED_VALUE"""),78.0)</f>
        <v>78</v>
      </c>
      <c r="J1282" s="139">
        <f>IFERROR(__xludf.DUMMYFUNCTION("""COMPUTED_VALUE"""),33.0)</f>
        <v>33</v>
      </c>
      <c r="K1282" s="139">
        <f>IFERROR(__xludf.DUMMYFUNCTION("""COMPUTED_VALUE"""),60.0)</f>
        <v>60</v>
      </c>
      <c r="L1282" s="139"/>
      <c r="M1282" s="139"/>
      <c r="N1282" s="139"/>
    </row>
    <row r="1283">
      <c r="A1283" s="139" t="str">
        <f>IFERROR(__xludf.DUMMYFUNCTION("""COMPUTED_VALUE"""),"e")</f>
        <v>e</v>
      </c>
      <c r="B1283" s="139">
        <f>IFERROR(__xludf.DUMMYFUNCTION("""COMPUTED_VALUE"""),2.0250901E8)</f>
        <v>202509010</v>
      </c>
      <c r="C1283" s="139" t="str">
        <f>IFERROR(__xludf.DUMMYFUNCTION("""COMPUTED_VALUE"""),"c_sur_00301_general_Normal_Blue_Special_00001")</f>
        <v>c_sur_00301_general_Normal_Blue_Special_00001</v>
      </c>
      <c r="D1283" s="139" t="str">
        <f>IFERROR(__xludf.DUMMYFUNCTION("""COMPUTED_VALUE"""),"c_sur_00301_general_Normal_Blue")</f>
        <v>c_sur_00301_general_Normal_Blue</v>
      </c>
      <c r="E1283" s="139">
        <f>IFERROR(__xludf.DUMMYFUNCTION("""COMPUTED_VALUE"""),0.0)</f>
        <v>0</v>
      </c>
      <c r="F1283" s="139" t="str">
        <f>IFERROR(__xludf.DUMMYFUNCTION("""COMPUTED_VALUE"""),"Special")</f>
        <v>Special</v>
      </c>
      <c r="G1283" s="139"/>
      <c r="H1283" s="139"/>
      <c r="I1283" s="139">
        <f>IFERROR(__xludf.DUMMYFUNCTION("""COMPUTED_VALUE"""),96.0)</f>
        <v>96</v>
      </c>
      <c r="J1283" s="139">
        <f>IFERROR(__xludf.DUMMYFUNCTION("""COMPUTED_VALUE"""),37.0)</f>
        <v>37</v>
      </c>
      <c r="K1283" s="139">
        <f>IFERROR(__xludf.DUMMYFUNCTION("""COMPUTED_VALUE"""),0.0)</f>
        <v>0</v>
      </c>
      <c r="L1283" s="139"/>
      <c r="M1283" s="139"/>
      <c r="N1283" s="139"/>
    </row>
    <row r="1284">
      <c r="A1284" s="139" t="str">
        <f>IFERROR(__xludf.DUMMYFUNCTION("""COMPUTED_VALUE"""),"e")</f>
        <v>e</v>
      </c>
      <c r="B1284" s="139">
        <f>IFERROR(__xludf.DUMMYFUNCTION("""COMPUTED_VALUE"""),2.0250901E8)</f>
        <v>202509010</v>
      </c>
      <c r="C1284" s="139" t="str">
        <f>IFERROR(__xludf.DUMMYFUNCTION("""COMPUTED_VALUE"""),"c_sur_00001_general_Normal_Blue_Normal_00000")</f>
        <v>c_sur_00001_general_Normal_Blue_Normal_00000</v>
      </c>
      <c r="D1284" s="139" t="str">
        <f>IFERROR(__xludf.DUMMYFUNCTION("""COMPUTED_VALUE"""),"c_sur_00001_general_Normal_Blue")</f>
        <v>c_sur_00001_general_Normal_Blue</v>
      </c>
      <c r="E1284" s="139">
        <f>IFERROR(__xludf.DUMMYFUNCTION("""COMPUTED_VALUE"""),0.0)</f>
        <v>0</v>
      </c>
      <c r="F1284" s="139" t="str">
        <f>IFERROR(__xludf.DUMMYFUNCTION("""COMPUTED_VALUE"""),"Normal")</f>
        <v>Normal</v>
      </c>
      <c r="G1284" s="139"/>
      <c r="H1284" s="139"/>
      <c r="I1284" s="139">
        <f>IFERROR(__xludf.DUMMYFUNCTION("""COMPUTED_VALUE"""),59.0)</f>
        <v>59</v>
      </c>
      <c r="J1284" s="139">
        <f>IFERROR(__xludf.DUMMYFUNCTION("""COMPUTED_VALUE"""),15.0)</f>
        <v>15</v>
      </c>
      <c r="K1284" s="139">
        <f>IFERROR(__xludf.DUMMYFUNCTION("""COMPUTED_VALUE"""),25.0)</f>
        <v>25</v>
      </c>
      <c r="L1284" s="139"/>
      <c r="M1284" s="139"/>
      <c r="N1284" s="139"/>
    </row>
    <row r="1285">
      <c r="A1285" s="139" t="str">
        <f>IFERROR(__xludf.DUMMYFUNCTION("""COMPUTED_VALUE"""),"e")</f>
        <v>e</v>
      </c>
      <c r="B1285" s="139">
        <f>IFERROR(__xludf.DUMMYFUNCTION("""COMPUTED_VALUE"""),2.0250901E8)</f>
        <v>202509010</v>
      </c>
      <c r="C1285" s="139" t="str">
        <f>IFERROR(__xludf.DUMMYFUNCTION("""COMPUTED_VALUE"""),"c_sur_00001_general_Normal_Blue_Special_00001")</f>
        <v>c_sur_00001_general_Normal_Blue_Special_00001</v>
      </c>
      <c r="D1285" s="139" t="str">
        <f>IFERROR(__xludf.DUMMYFUNCTION("""COMPUTED_VALUE"""),"c_sur_00001_general_Normal_Blue")</f>
        <v>c_sur_00001_general_Normal_Blue</v>
      </c>
      <c r="E1285" s="139">
        <f>IFERROR(__xludf.DUMMYFUNCTION("""COMPUTED_VALUE"""),0.0)</f>
        <v>0</v>
      </c>
      <c r="F1285" s="139" t="str">
        <f>IFERROR(__xludf.DUMMYFUNCTION("""COMPUTED_VALUE"""),"Special")</f>
        <v>Special</v>
      </c>
      <c r="G1285" s="139"/>
      <c r="H1285" s="139"/>
      <c r="I1285" s="139">
        <f>IFERROR(__xludf.DUMMYFUNCTION("""COMPUTED_VALUE"""),140.0)</f>
        <v>140</v>
      </c>
      <c r="J1285" s="139">
        <f>IFERROR(__xludf.DUMMYFUNCTION("""COMPUTED_VALUE"""),100.0)</f>
        <v>100</v>
      </c>
      <c r="K1285" s="139">
        <f>IFERROR(__xludf.DUMMYFUNCTION("""COMPUTED_VALUE"""),0.0)</f>
        <v>0</v>
      </c>
      <c r="L1285" s="139"/>
      <c r="M1285" s="139"/>
      <c r="N1285" s="139"/>
    </row>
    <row r="1286">
      <c r="A1286" s="139"/>
      <c r="B1286" s="139"/>
      <c r="C1286" s="139"/>
      <c r="D1286" s="139"/>
      <c r="E1286" s="139"/>
      <c r="F1286" s="139"/>
      <c r="G1286" s="139"/>
      <c r="H1286" s="139"/>
      <c r="I1286" s="139"/>
      <c r="J1286" s="139"/>
      <c r="K1286" s="139"/>
      <c r="L1286" s="139"/>
      <c r="M1286" s="139"/>
      <c r="N1286" s="139"/>
    </row>
    <row r="1287">
      <c r="A1287" s="139" t="str">
        <f>IFERROR(__xludf.DUMMYFUNCTION("""COMPUTED_VALUE"""),"e")</f>
        <v>e</v>
      </c>
      <c r="B1287" s="139">
        <f>IFERROR(__xludf.DUMMYFUNCTION("""COMPUTED_VALUE"""),2.0250901E8)</f>
        <v>202509010</v>
      </c>
      <c r="C1287" s="139" t="str">
        <f>IFERROR(__xludf.DUMMYFUNCTION("""COMPUTED_VALUE"""),"e_glo_00001_general_sur_vh_Normal_Colorless_Normal_00000")</f>
        <v>e_glo_00001_general_sur_vh_Normal_Colorless_Normal_00000</v>
      </c>
      <c r="D1287" s="139" t="str">
        <f>IFERROR(__xludf.DUMMYFUNCTION("""COMPUTED_VALUE"""),"e_glo_00001_general_sur_vh_Normal_Colorless")</f>
        <v>e_glo_00001_general_sur_vh_Normal_Colorless</v>
      </c>
      <c r="E1287" s="139">
        <f>IFERROR(__xludf.DUMMYFUNCTION("""COMPUTED_VALUE"""),0.0)</f>
        <v>0</v>
      </c>
      <c r="F1287" s="139" t="str">
        <f>IFERROR(__xludf.DUMMYFUNCTION("""COMPUTED_VALUE"""),"Normal")</f>
        <v>Normal</v>
      </c>
      <c r="G1287" s="139"/>
      <c r="H1287" s="139"/>
      <c r="I1287" s="139">
        <f>IFERROR(__xludf.DUMMYFUNCTION("""COMPUTED_VALUE"""),50.0)</f>
        <v>50</v>
      </c>
      <c r="J1287" s="139">
        <f>IFERROR(__xludf.DUMMYFUNCTION("""COMPUTED_VALUE"""),25.0)</f>
        <v>25</v>
      </c>
      <c r="K1287" s="139">
        <f>IFERROR(__xludf.DUMMYFUNCTION("""COMPUTED_VALUE"""),45.0)</f>
        <v>45</v>
      </c>
      <c r="L1287" s="139"/>
      <c r="M1287" s="139"/>
      <c r="N1287" s="139"/>
    </row>
    <row r="1288">
      <c r="A1288" s="139" t="str">
        <f>IFERROR(__xludf.DUMMYFUNCTION("""COMPUTED_VALUE"""),"e")</f>
        <v>e</v>
      </c>
      <c r="B1288" s="139">
        <f>IFERROR(__xludf.DUMMYFUNCTION("""COMPUTED_VALUE"""),2.0250901E8)</f>
        <v>202509010</v>
      </c>
      <c r="C1288" s="139" t="str">
        <f>IFERROR(__xludf.DUMMYFUNCTION("""COMPUTED_VALUE"""),"e_glo_00001_general_sur_vh_Normal_Red_Normal_00000")</f>
        <v>e_glo_00001_general_sur_vh_Normal_Red_Normal_00000</v>
      </c>
      <c r="D1288" s="139" t="str">
        <f>IFERROR(__xludf.DUMMYFUNCTION("""COMPUTED_VALUE"""),"e_glo_00001_general_sur_vh_Normal_Red")</f>
        <v>e_glo_00001_general_sur_vh_Normal_Red</v>
      </c>
      <c r="E1288" s="139">
        <f>IFERROR(__xludf.DUMMYFUNCTION("""COMPUTED_VALUE"""),0.0)</f>
        <v>0</v>
      </c>
      <c r="F1288" s="139" t="str">
        <f>IFERROR(__xludf.DUMMYFUNCTION("""COMPUTED_VALUE"""),"Normal")</f>
        <v>Normal</v>
      </c>
      <c r="G1288" s="139"/>
      <c r="H1288" s="139"/>
      <c r="I1288" s="139">
        <f>IFERROR(__xludf.DUMMYFUNCTION("""COMPUTED_VALUE"""),50.0)</f>
        <v>50</v>
      </c>
      <c r="J1288" s="139">
        <f>IFERROR(__xludf.DUMMYFUNCTION("""COMPUTED_VALUE"""),25.0)</f>
        <v>25</v>
      </c>
      <c r="K1288" s="139">
        <f>IFERROR(__xludf.DUMMYFUNCTION("""COMPUTED_VALUE"""),45.0)</f>
        <v>45</v>
      </c>
      <c r="L1288" s="139"/>
      <c r="M1288" s="139"/>
      <c r="N1288" s="139"/>
    </row>
    <row r="1289">
      <c r="A1289" s="139" t="str">
        <f>IFERROR(__xludf.DUMMYFUNCTION("""COMPUTED_VALUE"""),"e")</f>
        <v>e</v>
      </c>
      <c r="B1289" s="139">
        <f>IFERROR(__xludf.DUMMYFUNCTION("""COMPUTED_VALUE"""),2.0250901E8)</f>
        <v>202509010</v>
      </c>
      <c r="C1289" s="139" t="str">
        <f>IFERROR(__xludf.DUMMYFUNCTION("""COMPUTED_VALUE"""),"e_glo_00001_general_sur_vh_Normal_Blue_Normal_00000")</f>
        <v>e_glo_00001_general_sur_vh_Normal_Blue_Normal_00000</v>
      </c>
      <c r="D1289" s="139" t="str">
        <f>IFERROR(__xludf.DUMMYFUNCTION("""COMPUTED_VALUE"""),"e_glo_00001_general_sur_vh_Normal_Blue")</f>
        <v>e_glo_00001_general_sur_vh_Normal_Blue</v>
      </c>
      <c r="E1289" s="139">
        <f>IFERROR(__xludf.DUMMYFUNCTION("""COMPUTED_VALUE"""),0.0)</f>
        <v>0</v>
      </c>
      <c r="F1289" s="139" t="str">
        <f>IFERROR(__xludf.DUMMYFUNCTION("""COMPUTED_VALUE"""),"Normal")</f>
        <v>Normal</v>
      </c>
      <c r="G1289" s="139"/>
      <c r="H1289" s="139"/>
      <c r="I1289" s="139">
        <f>IFERROR(__xludf.DUMMYFUNCTION("""COMPUTED_VALUE"""),50.0)</f>
        <v>50</v>
      </c>
      <c r="J1289" s="139">
        <f>IFERROR(__xludf.DUMMYFUNCTION("""COMPUTED_VALUE"""),25.0)</f>
        <v>25</v>
      </c>
      <c r="K1289" s="139">
        <f>IFERROR(__xludf.DUMMYFUNCTION("""COMPUTED_VALUE"""),45.0)</f>
        <v>45</v>
      </c>
      <c r="L1289" s="139"/>
      <c r="M1289" s="139"/>
      <c r="N1289" s="139"/>
    </row>
    <row r="1290">
      <c r="A1290" s="139" t="str">
        <f>IFERROR(__xludf.DUMMYFUNCTION("""COMPUTED_VALUE"""),"e")</f>
        <v>e</v>
      </c>
      <c r="B1290" s="139">
        <f>IFERROR(__xludf.DUMMYFUNCTION("""COMPUTED_VALUE"""),2.0250901E8)</f>
        <v>202509010</v>
      </c>
      <c r="C1290" s="139" t="str">
        <f>IFERROR(__xludf.DUMMYFUNCTION("""COMPUTED_VALUE"""),"e_glo_00001_general_sur_vh_Normal_Green_Normal_00000")</f>
        <v>e_glo_00001_general_sur_vh_Normal_Green_Normal_00000</v>
      </c>
      <c r="D1290" s="139" t="str">
        <f>IFERROR(__xludf.DUMMYFUNCTION("""COMPUTED_VALUE"""),"e_glo_00001_general_sur_vh_Normal_Green")</f>
        <v>e_glo_00001_general_sur_vh_Normal_Green</v>
      </c>
      <c r="E1290" s="139">
        <f>IFERROR(__xludf.DUMMYFUNCTION("""COMPUTED_VALUE"""),0.0)</f>
        <v>0</v>
      </c>
      <c r="F1290" s="139" t="str">
        <f>IFERROR(__xludf.DUMMYFUNCTION("""COMPUTED_VALUE"""),"Normal")</f>
        <v>Normal</v>
      </c>
      <c r="G1290" s="139"/>
      <c r="H1290" s="139"/>
      <c r="I1290" s="139">
        <f>IFERROR(__xludf.DUMMYFUNCTION("""COMPUTED_VALUE"""),50.0)</f>
        <v>50</v>
      </c>
      <c r="J1290" s="139">
        <f>IFERROR(__xludf.DUMMYFUNCTION("""COMPUTED_VALUE"""),25.0)</f>
        <v>25</v>
      </c>
      <c r="K1290" s="139">
        <f>IFERROR(__xludf.DUMMYFUNCTION("""COMPUTED_VALUE"""),45.0)</f>
        <v>45</v>
      </c>
      <c r="L1290" s="139"/>
      <c r="M1290" s="139"/>
      <c r="N1290" s="139"/>
    </row>
    <row r="1291">
      <c r="A1291" s="139" t="str">
        <f>IFERROR(__xludf.DUMMYFUNCTION("""COMPUTED_VALUE"""),"e")</f>
        <v>e</v>
      </c>
      <c r="B1291" s="139">
        <f>IFERROR(__xludf.DUMMYFUNCTION("""COMPUTED_VALUE"""),2.0250901E8)</f>
        <v>202509010</v>
      </c>
      <c r="C1291" s="139" t="str">
        <f>IFERROR(__xludf.DUMMYFUNCTION("""COMPUTED_VALUE"""),"e_glo_00001_general_sur_vh_big_Normal_Red_Normal_00000")</f>
        <v>e_glo_00001_general_sur_vh_big_Normal_Red_Normal_00000</v>
      </c>
      <c r="D1291" s="139" t="str">
        <f>IFERROR(__xludf.DUMMYFUNCTION("""COMPUTED_VALUE"""),"e_glo_00001_general_sur_vh_big_Normal_Red")</f>
        <v>e_glo_00001_general_sur_vh_big_Normal_Red</v>
      </c>
      <c r="E1291" s="139">
        <f>IFERROR(__xludf.DUMMYFUNCTION("""COMPUTED_VALUE"""),0.0)</f>
        <v>0</v>
      </c>
      <c r="F1291" s="139" t="str">
        <f>IFERROR(__xludf.DUMMYFUNCTION("""COMPUTED_VALUE"""),"Normal")</f>
        <v>Normal</v>
      </c>
      <c r="G1291" s="139"/>
      <c r="H1291" s="139"/>
      <c r="I1291" s="139">
        <f>IFERROR(__xludf.DUMMYFUNCTION("""COMPUTED_VALUE"""),59.0)</f>
        <v>59</v>
      </c>
      <c r="J1291" s="139">
        <f>IFERROR(__xludf.DUMMYFUNCTION("""COMPUTED_VALUE"""),28.0)</f>
        <v>28</v>
      </c>
      <c r="K1291" s="139">
        <f>IFERROR(__xludf.DUMMYFUNCTION("""COMPUTED_VALUE"""),125.0)</f>
        <v>125</v>
      </c>
      <c r="L1291" s="139"/>
      <c r="M1291" s="139"/>
      <c r="N1291" s="139"/>
    </row>
    <row r="1292">
      <c r="A1292" s="139" t="str">
        <f>IFERROR(__xludf.DUMMYFUNCTION("""COMPUTED_VALUE"""),"e")</f>
        <v>e</v>
      </c>
      <c r="B1292" s="139">
        <f>IFERROR(__xludf.DUMMYFUNCTION("""COMPUTED_VALUE"""),2.0250901E8)</f>
        <v>202509010</v>
      </c>
      <c r="C1292" s="139" t="str">
        <f>IFERROR(__xludf.DUMMYFUNCTION("""COMPUTED_VALUE"""),"e_glo_00001_general_sur_vh_big_Normal_Red_Appearance_00001")</f>
        <v>e_glo_00001_general_sur_vh_big_Normal_Red_Appearance_00001</v>
      </c>
      <c r="D1292" s="139" t="str">
        <f>IFERROR(__xludf.DUMMYFUNCTION("""COMPUTED_VALUE"""),"e_glo_00001_general_sur_vh_big_Normal_Red")</f>
        <v>e_glo_00001_general_sur_vh_big_Normal_Red</v>
      </c>
      <c r="E1292" s="139">
        <f>IFERROR(__xludf.DUMMYFUNCTION("""COMPUTED_VALUE"""),0.0)</f>
        <v>0</v>
      </c>
      <c r="F1292" s="139" t="str">
        <f>IFERROR(__xludf.DUMMYFUNCTION("""COMPUTED_VALUE"""),"Appearance")</f>
        <v>Appearance</v>
      </c>
      <c r="G1292" s="139"/>
      <c r="H1292" s="139"/>
      <c r="I1292" s="139">
        <f>IFERROR(__xludf.DUMMYFUNCTION("""COMPUTED_VALUE"""),50.0)</f>
        <v>50</v>
      </c>
      <c r="J1292" s="139">
        <f>IFERROR(__xludf.DUMMYFUNCTION("""COMPUTED_VALUE"""),0.0)</f>
        <v>0</v>
      </c>
      <c r="K1292" s="139">
        <f>IFERROR(__xludf.DUMMYFUNCTION("""COMPUTED_VALUE"""),0.0)</f>
        <v>0</v>
      </c>
      <c r="L1292" s="139"/>
      <c r="M1292" s="139"/>
      <c r="N1292" s="139"/>
    </row>
    <row r="1293">
      <c r="A1293" s="139" t="str">
        <f>IFERROR(__xludf.DUMMYFUNCTION("""COMPUTED_VALUE"""),"e")</f>
        <v>e</v>
      </c>
      <c r="B1293" s="139">
        <f>IFERROR(__xludf.DUMMYFUNCTION("""COMPUTED_VALUE"""),2.0250901E8)</f>
        <v>202509010</v>
      </c>
      <c r="C1293" s="139" t="str">
        <f>IFERROR(__xludf.DUMMYFUNCTION("""COMPUTED_VALUE"""),"e_glo_00001_general_sur_vh_big_Normal_Blue_Normal_00000")</f>
        <v>e_glo_00001_general_sur_vh_big_Normal_Blue_Normal_00000</v>
      </c>
      <c r="D1293" s="139" t="str">
        <f>IFERROR(__xludf.DUMMYFUNCTION("""COMPUTED_VALUE"""),"e_glo_00001_general_sur_vh_big_Normal_Blue")</f>
        <v>e_glo_00001_general_sur_vh_big_Normal_Blue</v>
      </c>
      <c r="E1293" s="139">
        <f>IFERROR(__xludf.DUMMYFUNCTION("""COMPUTED_VALUE"""),0.0)</f>
        <v>0</v>
      </c>
      <c r="F1293" s="139" t="str">
        <f>IFERROR(__xludf.DUMMYFUNCTION("""COMPUTED_VALUE"""),"Normal")</f>
        <v>Normal</v>
      </c>
      <c r="G1293" s="139"/>
      <c r="H1293" s="139"/>
      <c r="I1293" s="139">
        <f>IFERROR(__xludf.DUMMYFUNCTION("""COMPUTED_VALUE"""),50.0)</f>
        <v>50</v>
      </c>
      <c r="J1293" s="139">
        <f>IFERROR(__xludf.DUMMYFUNCTION("""COMPUTED_VALUE"""),25.0)</f>
        <v>25</v>
      </c>
      <c r="K1293" s="139">
        <f>IFERROR(__xludf.DUMMYFUNCTION("""COMPUTED_VALUE"""),125.0)</f>
        <v>125</v>
      </c>
      <c r="L1293" s="139"/>
      <c r="M1293" s="139"/>
      <c r="N1293" s="139"/>
    </row>
    <row r="1294">
      <c r="A1294" s="139" t="str">
        <f>IFERROR(__xludf.DUMMYFUNCTION("""COMPUTED_VALUE"""),"e")</f>
        <v>e</v>
      </c>
      <c r="B1294" s="139">
        <f>IFERROR(__xludf.DUMMYFUNCTION("""COMPUTED_VALUE"""),2.0250901E8)</f>
        <v>202509010</v>
      </c>
      <c r="C1294" s="139" t="str">
        <f>IFERROR(__xludf.DUMMYFUNCTION("""COMPUTED_VALUE"""),"e_glo_00001_general_sur_vh_big_Normal_Green_Normal_00000")</f>
        <v>e_glo_00001_general_sur_vh_big_Normal_Green_Normal_00000</v>
      </c>
      <c r="D1294" s="139" t="str">
        <f>IFERROR(__xludf.DUMMYFUNCTION("""COMPUTED_VALUE"""),"e_glo_00001_general_sur_vh_big_Normal_Green")</f>
        <v>e_glo_00001_general_sur_vh_big_Normal_Green</v>
      </c>
      <c r="E1294" s="139">
        <f>IFERROR(__xludf.DUMMYFUNCTION("""COMPUTED_VALUE"""),0.0)</f>
        <v>0</v>
      </c>
      <c r="F1294" s="139" t="str">
        <f>IFERROR(__xludf.DUMMYFUNCTION("""COMPUTED_VALUE"""),"Normal")</f>
        <v>Normal</v>
      </c>
      <c r="G1294" s="139"/>
      <c r="H1294" s="139"/>
      <c r="I1294" s="139">
        <f>IFERROR(__xludf.DUMMYFUNCTION("""COMPUTED_VALUE"""),50.0)</f>
        <v>50</v>
      </c>
      <c r="J1294" s="139">
        <f>IFERROR(__xludf.DUMMYFUNCTION("""COMPUTED_VALUE"""),25.0)</f>
        <v>25</v>
      </c>
      <c r="K1294" s="139">
        <f>IFERROR(__xludf.DUMMYFUNCTION("""COMPUTED_VALUE"""),150.0)</f>
        <v>150</v>
      </c>
      <c r="L1294" s="139"/>
      <c r="M1294" s="139"/>
      <c r="N1294" s="139"/>
    </row>
    <row r="1295">
      <c r="A1295" s="139" t="str">
        <f>IFERROR(__xludf.DUMMYFUNCTION("""COMPUTED_VALUE"""),"e")</f>
        <v>e</v>
      </c>
      <c r="B1295" s="139">
        <f>IFERROR(__xludf.DUMMYFUNCTION("""COMPUTED_VALUE"""),2.0250901E8)</f>
        <v>202509010</v>
      </c>
      <c r="C1295" s="139" t="str">
        <f>IFERROR(__xludf.DUMMYFUNCTION("""COMPUTED_VALUE"""),"e_sur_00101_general_sur_vh_Normal_Red_Normal_00000")</f>
        <v>e_sur_00101_general_sur_vh_Normal_Red_Normal_00000</v>
      </c>
      <c r="D1295" s="139" t="str">
        <f>IFERROR(__xludf.DUMMYFUNCTION("""COMPUTED_VALUE"""),"e_sur_00101_general_sur_vh_Normal_Red")</f>
        <v>e_sur_00101_general_sur_vh_Normal_Red</v>
      </c>
      <c r="E1295" s="139">
        <f>IFERROR(__xludf.DUMMYFUNCTION("""COMPUTED_VALUE"""),0.0)</f>
        <v>0</v>
      </c>
      <c r="F1295" s="139" t="str">
        <f>IFERROR(__xludf.DUMMYFUNCTION("""COMPUTED_VALUE"""),"Normal")</f>
        <v>Normal</v>
      </c>
      <c r="G1295" s="139"/>
      <c r="H1295" s="139"/>
      <c r="I1295" s="139">
        <f>IFERROR(__xludf.DUMMYFUNCTION("""COMPUTED_VALUE"""),40.0)</f>
        <v>40</v>
      </c>
      <c r="J1295" s="139">
        <f>IFERROR(__xludf.DUMMYFUNCTION("""COMPUTED_VALUE"""),15.0)</f>
        <v>15</v>
      </c>
      <c r="K1295" s="139">
        <f>IFERROR(__xludf.DUMMYFUNCTION("""COMPUTED_VALUE"""),45.0)</f>
        <v>45</v>
      </c>
      <c r="L1295" s="139"/>
      <c r="M1295" s="139"/>
      <c r="N1295" s="139"/>
    </row>
    <row r="1296">
      <c r="A1296" s="139" t="str">
        <f>IFERROR(__xludf.DUMMYFUNCTION("""COMPUTED_VALUE"""),"e")</f>
        <v>e</v>
      </c>
      <c r="B1296" s="139">
        <f>IFERROR(__xludf.DUMMYFUNCTION("""COMPUTED_VALUE"""),2.0250901E8)</f>
        <v>202509010</v>
      </c>
      <c r="C1296" s="139" t="str">
        <f>IFERROR(__xludf.DUMMYFUNCTION("""COMPUTED_VALUE"""),"e_sur_00101_general_sur_vh_Normal_Blue_Normal_00000")</f>
        <v>e_sur_00101_general_sur_vh_Normal_Blue_Normal_00000</v>
      </c>
      <c r="D1296" s="139" t="str">
        <f>IFERROR(__xludf.DUMMYFUNCTION("""COMPUTED_VALUE"""),"e_sur_00101_general_sur_vh_Normal_Blue")</f>
        <v>e_sur_00101_general_sur_vh_Normal_Blue</v>
      </c>
      <c r="E1296" s="139">
        <f>IFERROR(__xludf.DUMMYFUNCTION("""COMPUTED_VALUE"""),0.0)</f>
        <v>0</v>
      </c>
      <c r="F1296" s="139" t="str">
        <f>IFERROR(__xludf.DUMMYFUNCTION("""COMPUTED_VALUE"""),"Normal")</f>
        <v>Normal</v>
      </c>
      <c r="G1296" s="139"/>
      <c r="H1296" s="139"/>
      <c r="I1296" s="139">
        <f>IFERROR(__xludf.DUMMYFUNCTION("""COMPUTED_VALUE"""),40.0)</f>
        <v>40</v>
      </c>
      <c r="J1296" s="139">
        <f>IFERROR(__xludf.DUMMYFUNCTION("""COMPUTED_VALUE"""),15.0)</f>
        <v>15</v>
      </c>
      <c r="K1296" s="139">
        <f>IFERROR(__xludf.DUMMYFUNCTION("""COMPUTED_VALUE"""),45.0)</f>
        <v>45</v>
      </c>
      <c r="L1296" s="139"/>
      <c r="M1296" s="139"/>
      <c r="N1296" s="139"/>
    </row>
    <row r="1297">
      <c r="A1297" s="139" t="str">
        <f>IFERROR(__xludf.DUMMYFUNCTION("""COMPUTED_VALUE"""),"e")</f>
        <v>e</v>
      </c>
      <c r="B1297" s="139">
        <f>IFERROR(__xludf.DUMMYFUNCTION("""COMPUTED_VALUE"""),2.0250901E8)</f>
        <v>202509010</v>
      </c>
      <c r="C1297" s="139" t="str">
        <f>IFERROR(__xludf.DUMMYFUNCTION("""COMPUTED_VALUE"""),"e_sur_00101_general_sur_vh_Normal_Green_Normal_00000")</f>
        <v>e_sur_00101_general_sur_vh_Normal_Green_Normal_00000</v>
      </c>
      <c r="D1297" s="139" t="str">
        <f>IFERROR(__xludf.DUMMYFUNCTION("""COMPUTED_VALUE"""),"e_sur_00101_general_sur_vh_Normal_Green")</f>
        <v>e_sur_00101_general_sur_vh_Normal_Green</v>
      </c>
      <c r="E1297" s="139">
        <f>IFERROR(__xludf.DUMMYFUNCTION("""COMPUTED_VALUE"""),0.0)</f>
        <v>0</v>
      </c>
      <c r="F1297" s="139" t="str">
        <f>IFERROR(__xludf.DUMMYFUNCTION("""COMPUTED_VALUE"""),"Normal")</f>
        <v>Normal</v>
      </c>
      <c r="G1297" s="139"/>
      <c r="H1297" s="139"/>
      <c r="I1297" s="139">
        <f>IFERROR(__xludf.DUMMYFUNCTION("""COMPUTED_VALUE"""),40.0)</f>
        <v>40</v>
      </c>
      <c r="J1297" s="139">
        <f>IFERROR(__xludf.DUMMYFUNCTION("""COMPUTED_VALUE"""),15.0)</f>
        <v>15</v>
      </c>
      <c r="K1297" s="139">
        <f>IFERROR(__xludf.DUMMYFUNCTION("""COMPUTED_VALUE"""),45.0)</f>
        <v>45</v>
      </c>
      <c r="L1297" s="139"/>
      <c r="M1297" s="139"/>
      <c r="N1297" s="139"/>
    </row>
    <row r="1298">
      <c r="A1298" s="139" t="str">
        <f>IFERROR(__xludf.DUMMYFUNCTION("""COMPUTED_VALUE"""),"e")</f>
        <v>e</v>
      </c>
      <c r="B1298" s="139">
        <f>IFERROR(__xludf.DUMMYFUNCTION("""COMPUTED_VALUE"""),2.0250901E8)</f>
        <v>202509010</v>
      </c>
      <c r="C1298" s="139" t="str">
        <f>IFERROR(__xludf.DUMMYFUNCTION("""COMPUTED_VALUE"""),"e_sur_00001_general_sur_vh_Normal_Red_Normal_00000")</f>
        <v>e_sur_00001_general_sur_vh_Normal_Red_Normal_00000</v>
      </c>
      <c r="D1298" s="139" t="str">
        <f>IFERROR(__xludf.DUMMYFUNCTION("""COMPUTED_VALUE"""),"e_sur_00001_general_sur_vh_Normal_Red")</f>
        <v>e_sur_00001_general_sur_vh_Normal_Red</v>
      </c>
      <c r="E1298" s="139">
        <f>IFERROR(__xludf.DUMMYFUNCTION("""COMPUTED_VALUE"""),0.0)</f>
        <v>0</v>
      </c>
      <c r="F1298" s="139" t="str">
        <f>IFERROR(__xludf.DUMMYFUNCTION("""COMPUTED_VALUE"""),"Normal")</f>
        <v>Normal</v>
      </c>
      <c r="G1298" s="139"/>
      <c r="H1298" s="139"/>
      <c r="I1298" s="139">
        <f>IFERROR(__xludf.DUMMYFUNCTION("""COMPUTED_VALUE"""),53.0)</f>
        <v>53</v>
      </c>
      <c r="J1298" s="139">
        <f>IFERROR(__xludf.DUMMYFUNCTION("""COMPUTED_VALUE"""),15.0)</f>
        <v>15</v>
      </c>
      <c r="K1298" s="139">
        <f>IFERROR(__xludf.DUMMYFUNCTION("""COMPUTED_VALUE"""),45.0)</f>
        <v>45</v>
      </c>
      <c r="L1298" s="139"/>
      <c r="M1298" s="139"/>
      <c r="N1298" s="139"/>
    </row>
    <row r="1299">
      <c r="A1299" s="139" t="str">
        <f>IFERROR(__xludf.DUMMYFUNCTION("""COMPUTED_VALUE"""),"e")</f>
        <v>e</v>
      </c>
      <c r="B1299" s="139">
        <f>IFERROR(__xludf.DUMMYFUNCTION("""COMPUTED_VALUE"""),2.0250901E8)</f>
        <v>202509010</v>
      </c>
      <c r="C1299" s="139" t="str">
        <f>IFERROR(__xludf.DUMMYFUNCTION("""COMPUTED_VALUE"""),"e_sur_00001_general_sur_vh_Normal_Red_Special_00001")</f>
        <v>e_sur_00001_general_sur_vh_Normal_Red_Special_00001</v>
      </c>
      <c r="D1299" s="139" t="str">
        <f>IFERROR(__xludf.DUMMYFUNCTION("""COMPUTED_VALUE"""),"e_sur_00001_general_sur_vh_Normal_Red")</f>
        <v>e_sur_00001_general_sur_vh_Normal_Red</v>
      </c>
      <c r="E1299" s="139">
        <f>IFERROR(__xludf.DUMMYFUNCTION("""COMPUTED_VALUE"""),0.0)</f>
        <v>0</v>
      </c>
      <c r="F1299" s="139" t="str">
        <f>IFERROR(__xludf.DUMMYFUNCTION("""COMPUTED_VALUE"""),"Special")</f>
        <v>Special</v>
      </c>
      <c r="G1299" s="139"/>
      <c r="H1299" s="139"/>
      <c r="I1299" s="139">
        <f>IFERROR(__xludf.DUMMYFUNCTION("""COMPUTED_VALUE"""),92.0)</f>
        <v>92</v>
      </c>
      <c r="J1299" s="139">
        <f>IFERROR(__xludf.DUMMYFUNCTION("""COMPUTED_VALUE"""),0.0)</f>
        <v>0</v>
      </c>
      <c r="K1299" s="139">
        <f>IFERROR(__xludf.DUMMYFUNCTION("""COMPUTED_VALUE"""),0.0)</f>
        <v>0</v>
      </c>
      <c r="L1299" s="139"/>
      <c r="M1299" s="139"/>
      <c r="N1299" s="139"/>
    </row>
    <row r="1300">
      <c r="A1300" s="139" t="str">
        <f>IFERROR(__xludf.DUMMYFUNCTION("""COMPUTED_VALUE"""),"e")</f>
        <v>e</v>
      </c>
      <c r="B1300" s="139">
        <f>IFERROR(__xludf.DUMMYFUNCTION("""COMPUTED_VALUE"""),2.0250901E8)</f>
        <v>202509010</v>
      </c>
      <c r="C1300" s="139" t="str">
        <f>IFERROR(__xludf.DUMMYFUNCTION("""COMPUTED_VALUE"""),"e_sur_00001_general_sur_vh_Boss_Red_Normal_00000")</f>
        <v>e_sur_00001_general_sur_vh_Boss_Red_Normal_00000</v>
      </c>
      <c r="D1300" s="139" t="str">
        <f>IFERROR(__xludf.DUMMYFUNCTION("""COMPUTED_VALUE"""),"e_sur_00001_general_sur_vh_Boss_Red")</f>
        <v>e_sur_00001_general_sur_vh_Boss_Red</v>
      </c>
      <c r="E1300" s="139">
        <f>IFERROR(__xludf.DUMMYFUNCTION("""COMPUTED_VALUE"""),0.0)</f>
        <v>0</v>
      </c>
      <c r="F1300" s="139" t="str">
        <f>IFERROR(__xludf.DUMMYFUNCTION("""COMPUTED_VALUE"""),"Normal")</f>
        <v>Normal</v>
      </c>
      <c r="G1300" s="139"/>
      <c r="H1300" s="139"/>
      <c r="I1300" s="139">
        <f>IFERROR(__xludf.DUMMYFUNCTION("""COMPUTED_VALUE"""),53.0)</f>
        <v>53</v>
      </c>
      <c r="J1300" s="139">
        <f>IFERROR(__xludf.DUMMYFUNCTION("""COMPUTED_VALUE"""),15.0)</f>
        <v>15</v>
      </c>
      <c r="K1300" s="139">
        <f>IFERROR(__xludf.DUMMYFUNCTION("""COMPUTED_VALUE"""),45.0)</f>
        <v>45</v>
      </c>
      <c r="L1300" s="139"/>
      <c r="M1300" s="139"/>
      <c r="N1300" s="139"/>
    </row>
    <row r="1301">
      <c r="A1301" s="139" t="str">
        <f>IFERROR(__xludf.DUMMYFUNCTION("""COMPUTED_VALUE"""),"e")</f>
        <v>e</v>
      </c>
      <c r="B1301" s="139">
        <f>IFERROR(__xludf.DUMMYFUNCTION("""COMPUTED_VALUE"""),2.0250901E8)</f>
        <v>202509010</v>
      </c>
      <c r="C1301" s="139" t="str">
        <f>IFERROR(__xludf.DUMMYFUNCTION("""COMPUTED_VALUE"""),"e_sur_00001_general_sur_vh_Boss_Red_Appearance_00001")</f>
        <v>e_sur_00001_general_sur_vh_Boss_Red_Appearance_00001</v>
      </c>
      <c r="D1301" s="139" t="str">
        <f>IFERROR(__xludf.DUMMYFUNCTION("""COMPUTED_VALUE"""),"e_sur_00001_general_sur_vh_Boss_Red")</f>
        <v>e_sur_00001_general_sur_vh_Boss_Red</v>
      </c>
      <c r="E1301" s="139">
        <f>IFERROR(__xludf.DUMMYFUNCTION("""COMPUTED_VALUE"""),0.0)</f>
        <v>0</v>
      </c>
      <c r="F1301" s="139" t="str">
        <f>IFERROR(__xludf.DUMMYFUNCTION("""COMPUTED_VALUE"""),"Appearance")</f>
        <v>Appearance</v>
      </c>
      <c r="G1301" s="139"/>
      <c r="H1301" s="139"/>
      <c r="I1301" s="139">
        <f>IFERROR(__xludf.DUMMYFUNCTION("""COMPUTED_VALUE"""),50.0)</f>
        <v>50</v>
      </c>
      <c r="J1301" s="139">
        <f>IFERROR(__xludf.DUMMYFUNCTION("""COMPUTED_VALUE"""),0.0)</f>
        <v>0</v>
      </c>
      <c r="K1301" s="139">
        <f>IFERROR(__xludf.DUMMYFUNCTION("""COMPUTED_VALUE"""),0.0)</f>
        <v>0</v>
      </c>
      <c r="L1301" s="139"/>
      <c r="M1301" s="139"/>
      <c r="N1301" s="139"/>
    </row>
    <row r="1302">
      <c r="A1302" s="139" t="str">
        <f>IFERROR(__xludf.DUMMYFUNCTION("""COMPUTED_VALUE"""),"e")</f>
        <v>e</v>
      </c>
      <c r="B1302" s="139">
        <f>IFERROR(__xludf.DUMMYFUNCTION("""COMPUTED_VALUE"""),2.0250901E8)</f>
        <v>202509010</v>
      </c>
      <c r="C1302" s="139" t="str">
        <f>IFERROR(__xludf.DUMMYFUNCTION("""COMPUTED_VALUE"""),"e_sur_00001_general_sur_vh_Boss_Red_Special_00002")</f>
        <v>e_sur_00001_general_sur_vh_Boss_Red_Special_00002</v>
      </c>
      <c r="D1302" s="139" t="str">
        <f>IFERROR(__xludf.DUMMYFUNCTION("""COMPUTED_VALUE"""),"e_sur_00001_general_sur_vh_Boss_Red")</f>
        <v>e_sur_00001_general_sur_vh_Boss_Red</v>
      </c>
      <c r="E1302" s="139">
        <f>IFERROR(__xludf.DUMMYFUNCTION("""COMPUTED_VALUE"""),0.0)</f>
        <v>0</v>
      </c>
      <c r="F1302" s="139" t="str">
        <f>IFERROR(__xludf.DUMMYFUNCTION("""COMPUTED_VALUE"""),"Special")</f>
        <v>Special</v>
      </c>
      <c r="G1302" s="139"/>
      <c r="H1302" s="139"/>
      <c r="I1302" s="139">
        <f>IFERROR(__xludf.DUMMYFUNCTION("""COMPUTED_VALUE"""),92.0)</f>
        <v>92</v>
      </c>
      <c r="J1302" s="139">
        <f>IFERROR(__xludf.DUMMYFUNCTION("""COMPUTED_VALUE"""),0.0)</f>
        <v>0</v>
      </c>
      <c r="K1302" s="139">
        <f>IFERROR(__xludf.DUMMYFUNCTION("""COMPUTED_VALUE"""),0.0)</f>
        <v>0</v>
      </c>
      <c r="L1302" s="139"/>
      <c r="M1302" s="139"/>
      <c r="N1302" s="139"/>
    </row>
    <row r="1303">
      <c r="A1303" s="139" t="str">
        <f>IFERROR(__xludf.DUMMYFUNCTION("""COMPUTED_VALUE"""),"e")</f>
        <v>e</v>
      </c>
      <c r="B1303" s="139">
        <f>IFERROR(__xludf.DUMMYFUNCTION("""COMPUTED_VALUE"""),2.0250901E8)</f>
        <v>202509010</v>
      </c>
      <c r="C1303" s="139" t="str">
        <f>IFERROR(__xludf.DUMMYFUNCTION("""COMPUTED_VALUE"""),"e_sur_00001_general_sur_vh2_Normal_Red_Normal_00000")</f>
        <v>e_sur_00001_general_sur_vh2_Normal_Red_Normal_00000</v>
      </c>
      <c r="D1303" s="139" t="str">
        <f>IFERROR(__xludf.DUMMYFUNCTION("""COMPUTED_VALUE"""),"e_sur_00001_general_sur_vh2_Normal_Red")</f>
        <v>e_sur_00001_general_sur_vh2_Normal_Red</v>
      </c>
      <c r="E1303" s="139">
        <f>IFERROR(__xludf.DUMMYFUNCTION("""COMPUTED_VALUE"""),0.0)</f>
        <v>0</v>
      </c>
      <c r="F1303" s="139" t="str">
        <f>IFERROR(__xludf.DUMMYFUNCTION("""COMPUTED_VALUE"""),"Normal")</f>
        <v>Normal</v>
      </c>
      <c r="G1303" s="139"/>
      <c r="H1303" s="139"/>
      <c r="I1303" s="139">
        <f>IFERROR(__xludf.DUMMYFUNCTION("""COMPUTED_VALUE"""),53.0)</f>
        <v>53</v>
      </c>
      <c r="J1303" s="139">
        <f>IFERROR(__xludf.DUMMYFUNCTION("""COMPUTED_VALUE"""),15.0)</f>
        <v>15</v>
      </c>
      <c r="K1303" s="139">
        <f>IFERROR(__xludf.DUMMYFUNCTION("""COMPUTED_VALUE"""),45.0)</f>
        <v>45</v>
      </c>
      <c r="L1303" s="139"/>
      <c r="M1303" s="139"/>
      <c r="N1303" s="139"/>
    </row>
    <row r="1304">
      <c r="A1304" s="139" t="str">
        <f>IFERROR(__xludf.DUMMYFUNCTION("""COMPUTED_VALUE"""),"e")</f>
        <v>e</v>
      </c>
      <c r="B1304" s="139">
        <f>IFERROR(__xludf.DUMMYFUNCTION("""COMPUTED_VALUE"""),2.0250901E8)</f>
        <v>202509010</v>
      </c>
      <c r="C1304" s="139" t="str">
        <f>IFERROR(__xludf.DUMMYFUNCTION("""COMPUTED_VALUE"""),"e_sur_00001_general_sur_vh2_Normal_Red_Appearance_00001")</f>
        <v>e_sur_00001_general_sur_vh2_Normal_Red_Appearance_00001</v>
      </c>
      <c r="D1304" s="139" t="str">
        <f>IFERROR(__xludf.DUMMYFUNCTION("""COMPUTED_VALUE"""),"e_sur_00001_general_sur_vh2_Normal_Red")</f>
        <v>e_sur_00001_general_sur_vh2_Normal_Red</v>
      </c>
      <c r="E1304" s="139">
        <f>IFERROR(__xludf.DUMMYFUNCTION("""COMPUTED_VALUE"""),0.0)</f>
        <v>0</v>
      </c>
      <c r="F1304" s="139" t="str">
        <f>IFERROR(__xludf.DUMMYFUNCTION("""COMPUTED_VALUE"""),"Appearance")</f>
        <v>Appearance</v>
      </c>
      <c r="G1304" s="139"/>
      <c r="H1304" s="139"/>
      <c r="I1304" s="139">
        <f>IFERROR(__xludf.DUMMYFUNCTION("""COMPUTED_VALUE"""),50.0)</f>
        <v>50</v>
      </c>
      <c r="J1304" s="139">
        <f>IFERROR(__xludf.DUMMYFUNCTION("""COMPUTED_VALUE"""),0.0)</f>
        <v>0</v>
      </c>
      <c r="K1304" s="139">
        <f>IFERROR(__xludf.DUMMYFUNCTION("""COMPUTED_VALUE"""),0.0)</f>
        <v>0</v>
      </c>
      <c r="L1304" s="139"/>
      <c r="M1304" s="139"/>
      <c r="N1304" s="139"/>
    </row>
    <row r="1305">
      <c r="A1305" s="139" t="str">
        <f>IFERROR(__xludf.DUMMYFUNCTION("""COMPUTED_VALUE"""),"e")</f>
        <v>e</v>
      </c>
      <c r="B1305" s="139">
        <f>IFERROR(__xludf.DUMMYFUNCTION("""COMPUTED_VALUE"""),2.0250901E8)</f>
        <v>202509010</v>
      </c>
      <c r="C1305" s="139" t="str">
        <f>IFERROR(__xludf.DUMMYFUNCTION("""COMPUTED_VALUE"""),"e_sur_00001_general_sur_vh2_Normal_Red_Special_00002")</f>
        <v>e_sur_00001_general_sur_vh2_Normal_Red_Special_00002</v>
      </c>
      <c r="D1305" s="139" t="str">
        <f>IFERROR(__xludf.DUMMYFUNCTION("""COMPUTED_VALUE"""),"e_sur_00001_general_sur_vh2_Normal_Red")</f>
        <v>e_sur_00001_general_sur_vh2_Normal_Red</v>
      </c>
      <c r="E1305" s="139">
        <f>IFERROR(__xludf.DUMMYFUNCTION("""COMPUTED_VALUE"""),0.0)</f>
        <v>0</v>
      </c>
      <c r="F1305" s="139" t="str">
        <f>IFERROR(__xludf.DUMMYFUNCTION("""COMPUTED_VALUE"""),"Special")</f>
        <v>Special</v>
      </c>
      <c r="G1305" s="139"/>
      <c r="H1305" s="139"/>
      <c r="I1305" s="139">
        <f>IFERROR(__xludf.DUMMYFUNCTION("""COMPUTED_VALUE"""),92.0)</f>
        <v>92</v>
      </c>
      <c r="J1305" s="139">
        <f>IFERROR(__xludf.DUMMYFUNCTION("""COMPUTED_VALUE"""),0.0)</f>
        <v>0</v>
      </c>
      <c r="K1305" s="139">
        <f>IFERROR(__xludf.DUMMYFUNCTION("""COMPUTED_VALUE"""),0.0)</f>
        <v>0</v>
      </c>
      <c r="L1305" s="139"/>
      <c r="M1305" s="139"/>
      <c r="N1305" s="139"/>
    </row>
    <row r="1306">
      <c r="A1306" s="139" t="str">
        <f>IFERROR(__xludf.DUMMYFUNCTION("""COMPUTED_VALUE"""),"e")</f>
        <v>e</v>
      </c>
      <c r="B1306" s="139">
        <f>IFERROR(__xludf.DUMMYFUNCTION("""COMPUTED_VALUE"""),2.0250901E8)</f>
        <v>202509010</v>
      </c>
      <c r="C1306" s="139" t="str">
        <f>IFERROR(__xludf.DUMMYFUNCTION("""COMPUTED_VALUE"""),"c_sur_00101_general_sur_vh_Boss_Green_Normal_00000")</f>
        <v>c_sur_00101_general_sur_vh_Boss_Green_Normal_00000</v>
      </c>
      <c r="D1306" s="139" t="str">
        <f>IFERROR(__xludf.DUMMYFUNCTION("""COMPUTED_VALUE"""),"c_sur_00101_general_sur_vh_Boss_Green")</f>
        <v>c_sur_00101_general_sur_vh_Boss_Green</v>
      </c>
      <c r="E1306" s="139">
        <f>IFERROR(__xludf.DUMMYFUNCTION("""COMPUTED_VALUE"""),0.0)</f>
        <v>0</v>
      </c>
      <c r="F1306" s="139" t="str">
        <f>IFERROR(__xludf.DUMMYFUNCTION("""COMPUTED_VALUE"""),"Normal")</f>
        <v>Normal</v>
      </c>
      <c r="G1306" s="139"/>
      <c r="H1306" s="139"/>
      <c r="I1306" s="139">
        <f>IFERROR(__xludf.DUMMYFUNCTION("""COMPUTED_VALUE"""),74.0)</f>
        <v>74</v>
      </c>
      <c r="J1306" s="139">
        <f>IFERROR(__xludf.DUMMYFUNCTION("""COMPUTED_VALUE"""),19.0)</f>
        <v>19</v>
      </c>
      <c r="K1306" s="139">
        <f>IFERROR(__xludf.DUMMYFUNCTION("""COMPUTED_VALUE"""),45.0)</f>
        <v>45</v>
      </c>
      <c r="L1306" s="139"/>
      <c r="M1306" s="139"/>
      <c r="N1306" s="139"/>
    </row>
    <row r="1307">
      <c r="A1307" s="139" t="str">
        <f>IFERROR(__xludf.DUMMYFUNCTION("""COMPUTED_VALUE"""),"e")</f>
        <v>e</v>
      </c>
      <c r="B1307" s="139">
        <f>IFERROR(__xludf.DUMMYFUNCTION("""COMPUTED_VALUE"""),2.0250901E8)</f>
        <v>202509010</v>
      </c>
      <c r="C1307" s="139" t="str">
        <f>IFERROR(__xludf.DUMMYFUNCTION("""COMPUTED_VALUE"""),"c_sur_00101_general_sur_vh_Boss_Green_Appearance_00001")</f>
        <v>c_sur_00101_general_sur_vh_Boss_Green_Appearance_00001</v>
      </c>
      <c r="D1307" s="139" t="str">
        <f>IFERROR(__xludf.DUMMYFUNCTION("""COMPUTED_VALUE"""),"c_sur_00101_general_sur_vh_Boss_Green")</f>
        <v>c_sur_00101_general_sur_vh_Boss_Green</v>
      </c>
      <c r="E1307" s="139">
        <f>IFERROR(__xludf.DUMMYFUNCTION("""COMPUTED_VALUE"""),0.0)</f>
        <v>0</v>
      </c>
      <c r="F1307" s="139" t="str">
        <f>IFERROR(__xludf.DUMMYFUNCTION("""COMPUTED_VALUE"""),"Appearance")</f>
        <v>Appearance</v>
      </c>
      <c r="G1307" s="139"/>
      <c r="H1307" s="139"/>
      <c r="I1307" s="139">
        <f>IFERROR(__xludf.DUMMYFUNCTION("""COMPUTED_VALUE"""),50.0)</f>
        <v>50</v>
      </c>
      <c r="J1307" s="139">
        <f>IFERROR(__xludf.DUMMYFUNCTION("""COMPUTED_VALUE"""),0.0)</f>
        <v>0</v>
      </c>
      <c r="K1307" s="139">
        <f>IFERROR(__xludf.DUMMYFUNCTION("""COMPUTED_VALUE"""),0.0)</f>
        <v>0</v>
      </c>
      <c r="L1307" s="139"/>
      <c r="M1307" s="139"/>
      <c r="N1307" s="139"/>
    </row>
    <row r="1308">
      <c r="A1308" s="139" t="str">
        <f>IFERROR(__xludf.DUMMYFUNCTION("""COMPUTED_VALUE"""),"e")</f>
        <v>e</v>
      </c>
      <c r="B1308" s="139">
        <f>IFERROR(__xludf.DUMMYFUNCTION("""COMPUTED_VALUE"""),2.0250901E8)</f>
        <v>202509010</v>
      </c>
      <c r="C1308" s="139" t="str">
        <f>IFERROR(__xludf.DUMMYFUNCTION("""COMPUTED_VALUE"""),"c_sur_00101_general_sur_vh_Boss_Green_Special_00002")</f>
        <v>c_sur_00101_general_sur_vh_Boss_Green_Special_00002</v>
      </c>
      <c r="D1308" s="139" t="str">
        <f>IFERROR(__xludf.DUMMYFUNCTION("""COMPUTED_VALUE"""),"c_sur_00101_general_sur_vh_Boss_Green")</f>
        <v>c_sur_00101_general_sur_vh_Boss_Green</v>
      </c>
      <c r="E1308" s="139">
        <f>IFERROR(__xludf.DUMMYFUNCTION("""COMPUTED_VALUE"""),0.0)</f>
        <v>0</v>
      </c>
      <c r="F1308" s="139" t="str">
        <f>IFERROR(__xludf.DUMMYFUNCTION("""COMPUTED_VALUE"""),"Special")</f>
        <v>Special</v>
      </c>
      <c r="G1308" s="139"/>
      <c r="H1308" s="139"/>
      <c r="I1308" s="139">
        <f>IFERROR(__xludf.DUMMYFUNCTION("""COMPUTED_VALUE"""),138.0)</f>
        <v>138</v>
      </c>
      <c r="J1308" s="139">
        <f>IFERROR(__xludf.DUMMYFUNCTION("""COMPUTED_VALUE"""),0.0)</f>
        <v>0</v>
      </c>
      <c r="K1308" s="139">
        <f>IFERROR(__xludf.DUMMYFUNCTION("""COMPUTED_VALUE"""),0.0)</f>
        <v>0</v>
      </c>
      <c r="L1308" s="139"/>
      <c r="M1308" s="139"/>
      <c r="N1308" s="139"/>
    </row>
    <row r="1309">
      <c r="A1309" s="139" t="str">
        <f>IFERROR(__xludf.DUMMYFUNCTION("""COMPUTED_VALUE"""),"e")</f>
        <v>e</v>
      </c>
      <c r="B1309" s="139">
        <f>IFERROR(__xludf.DUMMYFUNCTION("""COMPUTED_VALUE"""),2.0250901E8)</f>
        <v>202509010</v>
      </c>
      <c r="C1309" s="139" t="str">
        <f>IFERROR(__xludf.DUMMYFUNCTION("""COMPUTED_VALUE"""),"c_sur_00201_general_sur_vh_Normal_Red_Normal_00000")</f>
        <v>c_sur_00201_general_sur_vh_Normal_Red_Normal_00000</v>
      </c>
      <c r="D1309" s="139" t="str">
        <f>IFERROR(__xludf.DUMMYFUNCTION("""COMPUTED_VALUE"""),"c_sur_00201_general_sur_vh_Normal_Red")</f>
        <v>c_sur_00201_general_sur_vh_Normal_Red</v>
      </c>
      <c r="E1309" s="139">
        <f>IFERROR(__xludf.DUMMYFUNCTION("""COMPUTED_VALUE"""),0.0)</f>
        <v>0</v>
      </c>
      <c r="F1309" s="139" t="str">
        <f>IFERROR(__xludf.DUMMYFUNCTION("""COMPUTED_VALUE"""),"Normal")</f>
        <v>Normal</v>
      </c>
      <c r="G1309" s="139"/>
      <c r="H1309" s="139"/>
      <c r="I1309" s="139">
        <f>IFERROR(__xludf.DUMMYFUNCTION("""COMPUTED_VALUE"""),74.0)</f>
        <v>74</v>
      </c>
      <c r="J1309" s="139">
        <f>IFERROR(__xludf.DUMMYFUNCTION("""COMPUTED_VALUE"""),29.0)</f>
        <v>29</v>
      </c>
      <c r="K1309" s="139">
        <f>IFERROR(__xludf.DUMMYFUNCTION("""COMPUTED_VALUE"""),45.0)</f>
        <v>45</v>
      </c>
      <c r="L1309" s="139"/>
      <c r="M1309" s="139"/>
      <c r="N1309" s="139"/>
    </row>
    <row r="1310">
      <c r="A1310" s="139" t="str">
        <f>IFERROR(__xludf.DUMMYFUNCTION("""COMPUTED_VALUE"""),"e")</f>
        <v>e</v>
      </c>
      <c r="B1310" s="139">
        <f>IFERROR(__xludf.DUMMYFUNCTION("""COMPUTED_VALUE"""),2.0250901E8)</f>
        <v>202509010</v>
      </c>
      <c r="C1310" s="139" t="str">
        <f>IFERROR(__xludf.DUMMYFUNCTION("""COMPUTED_VALUE"""),"c_sur_00201_general_sur_vh_Normal_Red_Special_00001")</f>
        <v>c_sur_00201_general_sur_vh_Normal_Red_Special_00001</v>
      </c>
      <c r="D1310" s="139" t="str">
        <f>IFERROR(__xludf.DUMMYFUNCTION("""COMPUTED_VALUE"""),"c_sur_00201_general_sur_vh_Normal_Red")</f>
        <v>c_sur_00201_general_sur_vh_Normal_Red</v>
      </c>
      <c r="E1310" s="139">
        <f>IFERROR(__xludf.DUMMYFUNCTION("""COMPUTED_VALUE"""),0.0)</f>
        <v>0</v>
      </c>
      <c r="F1310" s="139" t="str">
        <f>IFERROR(__xludf.DUMMYFUNCTION("""COMPUTED_VALUE"""),"Special")</f>
        <v>Special</v>
      </c>
      <c r="G1310" s="139"/>
      <c r="H1310" s="139"/>
      <c r="I1310" s="139">
        <f>IFERROR(__xludf.DUMMYFUNCTION("""COMPUTED_VALUE"""),154.0)</f>
        <v>154</v>
      </c>
      <c r="J1310" s="139">
        <f>IFERROR(__xludf.DUMMYFUNCTION("""COMPUTED_VALUE"""),0.0)</f>
        <v>0</v>
      </c>
      <c r="K1310" s="139">
        <f>IFERROR(__xludf.DUMMYFUNCTION("""COMPUTED_VALUE"""),0.0)</f>
        <v>0</v>
      </c>
      <c r="L1310" s="139"/>
      <c r="M1310" s="139"/>
      <c r="N1310" s="139"/>
    </row>
    <row r="1311">
      <c r="A1311" s="139" t="str">
        <f>IFERROR(__xludf.DUMMYFUNCTION("""COMPUTED_VALUE"""),"e")</f>
        <v>e</v>
      </c>
      <c r="B1311" s="139">
        <f>IFERROR(__xludf.DUMMYFUNCTION("""COMPUTED_VALUE"""),2.0250901E8)</f>
        <v>202509010</v>
      </c>
      <c r="C1311" s="139" t="str">
        <f>IFERROR(__xludf.DUMMYFUNCTION("""COMPUTED_VALUE"""),"c_sur_00301_general_sur_vh_Normal_Red_Normal_00000")</f>
        <v>c_sur_00301_general_sur_vh_Normal_Red_Normal_00000</v>
      </c>
      <c r="D1311" s="139" t="str">
        <f>IFERROR(__xludf.DUMMYFUNCTION("""COMPUTED_VALUE"""),"c_sur_00301_general_sur_vh_Normal_Red")</f>
        <v>c_sur_00301_general_sur_vh_Normal_Red</v>
      </c>
      <c r="E1311" s="139">
        <f>IFERROR(__xludf.DUMMYFUNCTION("""COMPUTED_VALUE"""),0.0)</f>
        <v>0</v>
      </c>
      <c r="F1311" s="139" t="str">
        <f>IFERROR(__xludf.DUMMYFUNCTION("""COMPUTED_VALUE"""),"Normal")</f>
        <v>Normal</v>
      </c>
      <c r="G1311" s="139"/>
      <c r="H1311" s="139"/>
      <c r="I1311" s="139">
        <f>IFERROR(__xludf.DUMMYFUNCTION("""COMPUTED_VALUE"""),78.0)</f>
        <v>78</v>
      </c>
      <c r="J1311" s="139">
        <f>IFERROR(__xludf.DUMMYFUNCTION("""COMPUTED_VALUE"""),33.0)</f>
        <v>33</v>
      </c>
      <c r="K1311" s="139">
        <f>IFERROR(__xludf.DUMMYFUNCTION("""COMPUTED_VALUE"""),60.0)</f>
        <v>60</v>
      </c>
      <c r="L1311" s="139"/>
      <c r="M1311" s="139"/>
      <c r="N1311" s="139"/>
    </row>
    <row r="1312">
      <c r="A1312" s="139" t="str">
        <f>IFERROR(__xludf.DUMMYFUNCTION("""COMPUTED_VALUE"""),"e")</f>
        <v>e</v>
      </c>
      <c r="B1312" s="139">
        <f>IFERROR(__xludf.DUMMYFUNCTION("""COMPUTED_VALUE"""),2.0250901E8)</f>
        <v>202509010</v>
      </c>
      <c r="C1312" s="139" t="str">
        <f>IFERROR(__xludf.DUMMYFUNCTION("""COMPUTED_VALUE"""),"c_sur_00301_general_sur_vh_Normal_Red_Special_00001")</f>
        <v>c_sur_00301_general_sur_vh_Normal_Red_Special_00001</v>
      </c>
      <c r="D1312" s="139" t="str">
        <f>IFERROR(__xludf.DUMMYFUNCTION("""COMPUTED_VALUE"""),"c_sur_00301_general_sur_vh_Normal_Red")</f>
        <v>c_sur_00301_general_sur_vh_Normal_Red</v>
      </c>
      <c r="E1312" s="139">
        <f>IFERROR(__xludf.DUMMYFUNCTION("""COMPUTED_VALUE"""),0.0)</f>
        <v>0</v>
      </c>
      <c r="F1312" s="139" t="str">
        <f>IFERROR(__xludf.DUMMYFUNCTION("""COMPUTED_VALUE"""),"Special")</f>
        <v>Special</v>
      </c>
      <c r="G1312" s="139"/>
      <c r="H1312" s="139"/>
      <c r="I1312" s="139">
        <f>IFERROR(__xludf.DUMMYFUNCTION("""COMPUTED_VALUE"""),96.0)</f>
        <v>96</v>
      </c>
      <c r="J1312" s="139">
        <f>IFERROR(__xludf.DUMMYFUNCTION("""COMPUTED_VALUE"""),37.0)</f>
        <v>37</v>
      </c>
      <c r="K1312" s="139">
        <f>IFERROR(__xludf.DUMMYFUNCTION("""COMPUTED_VALUE"""),0.0)</f>
        <v>0</v>
      </c>
      <c r="L1312" s="139"/>
      <c r="M1312" s="139"/>
      <c r="N1312" s="139"/>
    </row>
    <row r="1313">
      <c r="A1313" s="139" t="str">
        <f>IFERROR(__xludf.DUMMYFUNCTION("""COMPUTED_VALUE"""),"e")</f>
        <v>e</v>
      </c>
      <c r="B1313" s="139">
        <f>IFERROR(__xludf.DUMMYFUNCTION("""COMPUTED_VALUE"""),2.0250901E8)</f>
        <v>202509010</v>
      </c>
      <c r="C1313" s="139" t="str">
        <f>IFERROR(__xludf.DUMMYFUNCTION("""COMPUTED_VALUE"""),"c_sur_00001_general_sur_vh_Normal_Green_Normal_00000")</f>
        <v>c_sur_00001_general_sur_vh_Normal_Green_Normal_00000</v>
      </c>
      <c r="D1313" s="139" t="str">
        <f>IFERROR(__xludf.DUMMYFUNCTION("""COMPUTED_VALUE"""),"c_sur_00001_general_sur_vh_Normal_Green")</f>
        <v>c_sur_00001_general_sur_vh_Normal_Green</v>
      </c>
      <c r="E1313" s="139">
        <f>IFERROR(__xludf.DUMMYFUNCTION("""COMPUTED_VALUE"""),0.0)</f>
        <v>0</v>
      </c>
      <c r="F1313" s="139" t="str">
        <f>IFERROR(__xludf.DUMMYFUNCTION("""COMPUTED_VALUE"""),"Normal")</f>
        <v>Normal</v>
      </c>
      <c r="G1313" s="139"/>
      <c r="H1313" s="139"/>
      <c r="I1313" s="139">
        <f>IFERROR(__xludf.DUMMYFUNCTION("""COMPUTED_VALUE"""),59.0)</f>
        <v>59</v>
      </c>
      <c r="J1313" s="139">
        <f>IFERROR(__xludf.DUMMYFUNCTION("""COMPUTED_VALUE"""),15.0)</f>
        <v>15</v>
      </c>
      <c r="K1313" s="139">
        <f>IFERROR(__xludf.DUMMYFUNCTION("""COMPUTED_VALUE"""),25.0)</f>
        <v>25</v>
      </c>
      <c r="L1313" s="139"/>
      <c r="M1313" s="139"/>
      <c r="N1313" s="139"/>
    </row>
    <row r="1314">
      <c r="A1314" s="139" t="str">
        <f>IFERROR(__xludf.DUMMYFUNCTION("""COMPUTED_VALUE"""),"e")</f>
        <v>e</v>
      </c>
      <c r="B1314" s="139">
        <f>IFERROR(__xludf.DUMMYFUNCTION("""COMPUTED_VALUE"""),2.0250901E8)</f>
        <v>202509010</v>
      </c>
      <c r="C1314" s="139" t="str">
        <f>IFERROR(__xludf.DUMMYFUNCTION("""COMPUTED_VALUE"""),"c_sur_00001_general_sur_vh_Normal_Green_Special_00001")</f>
        <v>c_sur_00001_general_sur_vh_Normal_Green_Special_00001</v>
      </c>
      <c r="D1314" s="139" t="str">
        <f>IFERROR(__xludf.DUMMYFUNCTION("""COMPUTED_VALUE"""),"c_sur_00001_general_sur_vh_Normal_Green")</f>
        <v>c_sur_00001_general_sur_vh_Normal_Green</v>
      </c>
      <c r="E1314" s="139">
        <f>IFERROR(__xludf.DUMMYFUNCTION("""COMPUTED_VALUE"""),0.0)</f>
        <v>0</v>
      </c>
      <c r="F1314" s="139" t="str">
        <f>IFERROR(__xludf.DUMMYFUNCTION("""COMPUTED_VALUE"""),"Special")</f>
        <v>Special</v>
      </c>
      <c r="G1314" s="139"/>
      <c r="H1314" s="139"/>
      <c r="I1314" s="139">
        <f>IFERROR(__xludf.DUMMYFUNCTION("""COMPUTED_VALUE"""),140.0)</f>
        <v>140</v>
      </c>
      <c r="J1314" s="139">
        <f>IFERROR(__xludf.DUMMYFUNCTION("""COMPUTED_VALUE"""),100.0)</f>
        <v>100</v>
      </c>
      <c r="K1314" s="139">
        <f>IFERROR(__xludf.DUMMYFUNCTION("""COMPUTED_VALUE"""),0.0)</f>
        <v>0</v>
      </c>
      <c r="L1314" s="139"/>
      <c r="M1314" s="139"/>
      <c r="N1314" s="139"/>
    </row>
    <row r="1315">
      <c r="A1315" s="139"/>
      <c r="B1315" s="139"/>
      <c r="C1315" s="139"/>
      <c r="D1315" s="139"/>
      <c r="E1315" s="139"/>
      <c r="F1315" s="139"/>
      <c r="G1315" s="139"/>
      <c r="H1315" s="139"/>
      <c r="I1315" s="139"/>
      <c r="J1315" s="139"/>
      <c r="K1315" s="139"/>
      <c r="L1315" s="139"/>
      <c r="M1315" s="139"/>
      <c r="N1315" s="139"/>
    </row>
    <row r="1316">
      <c r="A1316" s="139" t="str">
        <f>IFERROR(__xludf.DUMMYFUNCTION("""COMPUTED_VALUE"""),"e")</f>
        <v>e</v>
      </c>
      <c r="B1316" s="139">
        <f>IFERROR(__xludf.DUMMYFUNCTION("""COMPUTED_VALUE"""),2.0250901E8)</f>
        <v>202509010</v>
      </c>
      <c r="C1316" s="139" t="str">
        <f>IFERROR(__xludf.DUMMYFUNCTION("""COMPUTED_VALUE"""),"c_rik_00001_general_as_Normal_Blue_Normal_00000")</f>
        <v>c_rik_00001_general_as_Normal_Blue_Normal_00000</v>
      </c>
      <c r="D1316" s="139" t="str">
        <f>IFERROR(__xludf.DUMMYFUNCTION("""COMPUTED_VALUE"""),"c_rik_00001_general_as_Normal_Blue")</f>
        <v>c_rik_00001_general_as_Normal_Blue</v>
      </c>
      <c r="E1316" s="139">
        <f>IFERROR(__xludf.DUMMYFUNCTION("""COMPUTED_VALUE"""),0.0)</f>
        <v>0</v>
      </c>
      <c r="F1316" s="139" t="str">
        <f>IFERROR(__xludf.DUMMYFUNCTION("""COMPUTED_VALUE"""),"Normal")</f>
        <v>Normal</v>
      </c>
      <c r="G1316" s="139"/>
      <c r="H1316" s="139"/>
      <c r="I1316" s="139">
        <f>IFERROR(__xludf.DUMMYFUNCTION("""COMPUTED_VALUE"""),82.0)</f>
        <v>82</v>
      </c>
      <c r="J1316" s="139">
        <f>IFERROR(__xludf.DUMMYFUNCTION("""COMPUTED_VALUE"""),47.0)</f>
        <v>47</v>
      </c>
      <c r="K1316" s="139">
        <f>IFERROR(__xludf.DUMMYFUNCTION("""COMPUTED_VALUE"""),35.0)</f>
        <v>35</v>
      </c>
      <c r="L1316" s="139"/>
      <c r="M1316" s="139"/>
      <c r="N1316" s="139"/>
    </row>
    <row r="1317">
      <c r="A1317" s="139" t="str">
        <f>IFERROR(__xludf.DUMMYFUNCTION("""COMPUTED_VALUE"""),"e")</f>
        <v>e</v>
      </c>
      <c r="B1317" s="139">
        <f>IFERROR(__xludf.DUMMYFUNCTION("""COMPUTED_VALUE"""),2.0250901E8)</f>
        <v>202509010</v>
      </c>
      <c r="C1317" s="139" t="str">
        <f>IFERROR(__xludf.DUMMYFUNCTION("""COMPUTED_VALUE"""),"c_rik_00001_general_as_Normal_Blue_Special_00001")</f>
        <v>c_rik_00001_general_as_Normal_Blue_Special_00001</v>
      </c>
      <c r="D1317" s="139" t="str">
        <f>IFERROR(__xludf.DUMMYFUNCTION("""COMPUTED_VALUE"""),"c_rik_00001_general_as_Normal_Blue")</f>
        <v>c_rik_00001_general_as_Normal_Blue</v>
      </c>
      <c r="E1317" s="139">
        <f>IFERROR(__xludf.DUMMYFUNCTION("""COMPUTED_VALUE"""),0.0)</f>
        <v>0</v>
      </c>
      <c r="F1317" s="139" t="str">
        <f>IFERROR(__xludf.DUMMYFUNCTION("""COMPUTED_VALUE"""),"Special")</f>
        <v>Special</v>
      </c>
      <c r="G1317" s="139"/>
      <c r="H1317" s="139"/>
      <c r="I1317" s="139">
        <f>IFERROR(__xludf.DUMMYFUNCTION("""COMPUTED_VALUE"""),201.0)</f>
        <v>201</v>
      </c>
      <c r="J1317" s="139">
        <f>IFERROR(__xludf.DUMMYFUNCTION("""COMPUTED_VALUE"""),0.0)</f>
        <v>0</v>
      </c>
      <c r="K1317" s="139">
        <f>IFERROR(__xludf.DUMMYFUNCTION("""COMPUTED_VALUE"""),0.0)</f>
        <v>0</v>
      </c>
      <c r="L1317" s="139"/>
      <c r="M1317" s="139"/>
      <c r="N1317" s="139"/>
    </row>
    <row r="1318">
      <c r="A1318" s="139" t="str">
        <f>IFERROR(__xludf.DUMMYFUNCTION("""COMPUTED_VALUE"""),"e")</f>
        <v>e</v>
      </c>
      <c r="B1318" s="139">
        <f>IFERROR(__xludf.DUMMYFUNCTION("""COMPUTED_VALUE"""),2.0250901E8)</f>
        <v>202509010</v>
      </c>
      <c r="C1318" s="139" t="str">
        <f>IFERROR(__xludf.DUMMYFUNCTION("""COMPUTED_VALUE"""),"c_sur_00101_general_as_Boss_Blue_Normal_00000")</f>
        <v>c_sur_00101_general_as_Boss_Blue_Normal_00000</v>
      </c>
      <c r="D1318" s="139" t="str">
        <f>IFERROR(__xludf.DUMMYFUNCTION("""COMPUTED_VALUE"""),"c_sur_00101_general_as_Boss_Blue")</f>
        <v>c_sur_00101_general_as_Boss_Blue</v>
      </c>
      <c r="E1318" s="139">
        <f>IFERROR(__xludf.DUMMYFUNCTION("""COMPUTED_VALUE"""),0.0)</f>
        <v>0</v>
      </c>
      <c r="F1318" s="139" t="str">
        <f>IFERROR(__xludf.DUMMYFUNCTION("""COMPUTED_VALUE"""),"Normal")</f>
        <v>Normal</v>
      </c>
      <c r="G1318" s="139"/>
      <c r="H1318" s="139"/>
      <c r="I1318" s="139">
        <f>IFERROR(__xludf.DUMMYFUNCTION("""COMPUTED_VALUE"""),74.0)</f>
        <v>74</v>
      </c>
      <c r="J1318" s="139">
        <f>IFERROR(__xludf.DUMMYFUNCTION("""COMPUTED_VALUE"""),19.0)</f>
        <v>19</v>
      </c>
      <c r="K1318" s="139">
        <f>IFERROR(__xludf.DUMMYFUNCTION("""COMPUTED_VALUE"""),45.0)</f>
        <v>45</v>
      </c>
      <c r="L1318" s="139"/>
      <c r="M1318" s="139"/>
      <c r="N1318" s="139"/>
    </row>
    <row r="1319">
      <c r="A1319" s="139" t="str">
        <f>IFERROR(__xludf.DUMMYFUNCTION("""COMPUTED_VALUE"""),"e")</f>
        <v>e</v>
      </c>
      <c r="B1319" s="139">
        <f>IFERROR(__xludf.DUMMYFUNCTION("""COMPUTED_VALUE"""),2.0250901E8)</f>
        <v>202509010</v>
      </c>
      <c r="C1319" s="139" t="str">
        <f>IFERROR(__xludf.DUMMYFUNCTION("""COMPUTED_VALUE"""),"c_sur_00101_general_as_Boss_Blue_Appearance_00001")</f>
        <v>c_sur_00101_general_as_Boss_Blue_Appearance_00001</v>
      </c>
      <c r="D1319" s="139" t="str">
        <f>IFERROR(__xludf.DUMMYFUNCTION("""COMPUTED_VALUE"""),"c_sur_00101_general_as_Boss_Blue")</f>
        <v>c_sur_00101_general_as_Boss_Blue</v>
      </c>
      <c r="E1319" s="139">
        <f>IFERROR(__xludf.DUMMYFUNCTION("""COMPUTED_VALUE"""),0.0)</f>
        <v>0</v>
      </c>
      <c r="F1319" s="139" t="str">
        <f>IFERROR(__xludf.DUMMYFUNCTION("""COMPUTED_VALUE"""),"Appearance")</f>
        <v>Appearance</v>
      </c>
      <c r="G1319" s="139"/>
      <c r="H1319" s="139"/>
      <c r="I1319" s="139">
        <f>IFERROR(__xludf.DUMMYFUNCTION("""COMPUTED_VALUE"""),50.0)</f>
        <v>50</v>
      </c>
      <c r="J1319" s="139">
        <f>IFERROR(__xludf.DUMMYFUNCTION("""COMPUTED_VALUE"""),0.0)</f>
        <v>0</v>
      </c>
      <c r="K1319" s="139">
        <f>IFERROR(__xludf.DUMMYFUNCTION("""COMPUTED_VALUE"""),0.0)</f>
        <v>0</v>
      </c>
      <c r="L1319" s="139"/>
      <c r="M1319" s="139"/>
      <c r="N1319" s="139"/>
    </row>
    <row r="1320">
      <c r="A1320" s="139" t="str">
        <f>IFERROR(__xludf.DUMMYFUNCTION("""COMPUTED_VALUE"""),"e")</f>
        <v>e</v>
      </c>
      <c r="B1320" s="139">
        <f>IFERROR(__xludf.DUMMYFUNCTION("""COMPUTED_VALUE"""),2.0250901E8)</f>
        <v>202509010</v>
      </c>
      <c r="C1320" s="139" t="str">
        <f>IFERROR(__xludf.DUMMYFUNCTION("""COMPUTED_VALUE"""),"c_sur_00101_general_as_Boss_Blue_Special_00002")</f>
        <v>c_sur_00101_general_as_Boss_Blue_Special_00002</v>
      </c>
      <c r="D1320" s="139" t="str">
        <f>IFERROR(__xludf.DUMMYFUNCTION("""COMPUTED_VALUE"""),"c_sur_00101_general_as_Boss_Blue")</f>
        <v>c_sur_00101_general_as_Boss_Blue</v>
      </c>
      <c r="E1320" s="139">
        <f>IFERROR(__xludf.DUMMYFUNCTION("""COMPUTED_VALUE"""),0.0)</f>
        <v>0</v>
      </c>
      <c r="F1320" s="139" t="str">
        <f>IFERROR(__xludf.DUMMYFUNCTION("""COMPUTED_VALUE"""),"Special")</f>
        <v>Special</v>
      </c>
      <c r="G1320" s="139"/>
      <c r="H1320" s="139"/>
      <c r="I1320" s="139">
        <f>IFERROR(__xludf.DUMMYFUNCTION("""COMPUTED_VALUE"""),138.0)</f>
        <v>138</v>
      </c>
      <c r="J1320" s="139">
        <f>IFERROR(__xludf.DUMMYFUNCTION("""COMPUTED_VALUE"""),0.0)</f>
        <v>0</v>
      </c>
      <c r="K1320" s="139">
        <f>IFERROR(__xludf.DUMMYFUNCTION("""COMPUTED_VALUE"""),0.0)</f>
        <v>0</v>
      </c>
      <c r="L1320" s="139"/>
      <c r="M1320" s="139"/>
      <c r="N1320" s="139"/>
    </row>
    <row r="1321">
      <c r="A1321" s="139" t="str">
        <f>IFERROR(__xludf.DUMMYFUNCTION("""COMPUTED_VALUE"""),"e")</f>
        <v>e</v>
      </c>
      <c r="B1321" s="139">
        <f>IFERROR(__xludf.DUMMYFUNCTION("""COMPUTED_VALUE"""),2.0250901E8)</f>
        <v>202509010</v>
      </c>
      <c r="C1321" s="139" t="str">
        <f>IFERROR(__xludf.DUMMYFUNCTION("""COMPUTED_VALUE"""),"c_chi_00201_general_as_Normal_Blue_Normal_00000")</f>
        <v>c_chi_00201_general_as_Normal_Blue_Normal_00000</v>
      </c>
      <c r="D1321" s="139" t="str">
        <f>IFERROR(__xludf.DUMMYFUNCTION("""COMPUTED_VALUE"""),"c_chi_00201_general_as_Normal_Blue")</f>
        <v>c_chi_00201_general_as_Normal_Blue</v>
      </c>
      <c r="E1321" s="139">
        <f>IFERROR(__xludf.DUMMYFUNCTION("""COMPUTED_VALUE"""),0.0)</f>
        <v>0</v>
      </c>
      <c r="F1321" s="139" t="str">
        <f>IFERROR(__xludf.DUMMYFUNCTION("""COMPUTED_VALUE"""),"Normal")</f>
        <v>Normal</v>
      </c>
      <c r="G1321" s="139"/>
      <c r="H1321" s="139"/>
      <c r="I1321" s="139">
        <f>IFERROR(__xludf.DUMMYFUNCTION("""COMPUTED_VALUE"""),80.0)</f>
        <v>80</v>
      </c>
      <c r="J1321" s="139">
        <f>IFERROR(__xludf.DUMMYFUNCTION("""COMPUTED_VALUE"""),42.0)</f>
        <v>42</v>
      </c>
      <c r="K1321" s="139">
        <f>IFERROR(__xludf.DUMMYFUNCTION("""COMPUTED_VALUE"""),30.0)</f>
        <v>30</v>
      </c>
      <c r="L1321" s="139"/>
      <c r="M1321" s="139"/>
      <c r="N1321" s="139"/>
    </row>
    <row r="1322">
      <c r="A1322" s="139" t="str">
        <f>IFERROR(__xludf.DUMMYFUNCTION("""COMPUTED_VALUE"""),"e")</f>
        <v>e</v>
      </c>
      <c r="B1322" s="139">
        <f>IFERROR(__xludf.DUMMYFUNCTION("""COMPUTED_VALUE"""),2.0250901E8)</f>
        <v>202509010</v>
      </c>
      <c r="C1322" s="139" t="str">
        <f>IFERROR(__xludf.DUMMYFUNCTION("""COMPUTED_VALUE"""),"c_chi_00201_general_as_Normal_Blue_Special_00001")</f>
        <v>c_chi_00201_general_as_Normal_Blue_Special_00001</v>
      </c>
      <c r="D1322" s="139" t="str">
        <f>IFERROR(__xludf.DUMMYFUNCTION("""COMPUTED_VALUE"""),"c_chi_00201_general_as_Normal_Blue")</f>
        <v>c_chi_00201_general_as_Normal_Blue</v>
      </c>
      <c r="E1322" s="139">
        <f>IFERROR(__xludf.DUMMYFUNCTION("""COMPUTED_VALUE"""),0.0)</f>
        <v>0</v>
      </c>
      <c r="F1322" s="139" t="str">
        <f>IFERROR(__xludf.DUMMYFUNCTION("""COMPUTED_VALUE"""),"Special")</f>
        <v>Special</v>
      </c>
      <c r="G1322" s="139"/>
      <c r="H1322" s="139"/>
      <c r="I1322" s="139">
        <f>IFERROR(__xludf.DUMMYFUNCTION("""COMPUTED_VALUE"""),122.0)</f>
        <v>122</v>
      </c>
      <c r="J1322" s="139">
        <f>IFERROR(__xludf.DUMMYFUNCTION("""COMPUTED_VALUE"""),82.0)</f>
        <v>82</v>
      </c>
      <c r="K1322" s="139">
        <f>IFERROR(__xludf.DUMMYFUNCTION("""COMPUTED_VALUE"""),0.0)</f>
        <v>0</v>
      </c>
      <c r="L1322" s="139"/>
      <c r="M1322" s="139"/>
      <c r="N1322" s="139"/>
    </row>
    <row r="1323">
      <c r="A1323" s="139" t="str">
        <f>IFERROR(__xludf.DUMMYFUNCTION("""COMPUTED_VALUE"""),"e")</f>
        <v>e</v>
      </c>
      <c r="B1323" s="139">
        <f>IFERROR(__xludf.DUMMYFUNCTION("""COMPUTED_VALUE"""),2.0250901E8)</f>
        <v>202509010</v>
      </c>
      <c r="C1323" s="139" t="str">
        <f>IFERROR(__xludf.DUMMYFUNCTION("""COMPUTED_VALUE"""),"c_chi_00301_general_as_Normal_Blue_Normal_00000")</f>
        <v>c_chi_00301_general_as_Normal_Blue_Normal_00000</v>
      </c>
      <c r="D1323" s="139" t="str">
        <f>IFERROR(__xludf.DUMMYFUNCTION("""COMPUTED_VALUE"""),"c_chi_00301_general_as_Normal_Blue")</f>
        <v>c_chi_00301_general_as_Normal_Blue</v>
      </c>
      <c r="E1323" s="139">
        <f>IFERROR(__xludf.DUMMYFUNCTION("""COMPUTED_VALUE"""),0.0)</f>
        <v>0</v>
      </c>
      <c r="F1323" s="139" t="str">
        <f>IFERROR(__xludf.DUMMYFUNCTION("""COMPUTED_VALUE"""),"Normal")</f>
        <v>Normal</v>
      </c>
      <c r="G1323" s="139"/>
      <c r="H1323" s="139"/>
      <c r="I1323" s="139">
        <f>IFERROR(__xludf.DUMMYFUNCTION("""COMPUTED_VALUE"""),75.0)</f>
        <v>75</v>
      </c>
      <c r="J1323" s="139">
        <f>IFERROR(__xludf.DUMMYFUNCTION("""COMPUTED_VALUE"""),29.0)</f>
        <v>29</v>
      </c>
      <c r="K1323" s="139">
        <f>IFERROR(__xludf.DUMMYFUNCTION("""COMPUTED_VALUE"""),45.0)</f>
        <v>45</v>
      </c>
      <c r="L1323" s="139"/>
      <c r="M1323" s="139"/>
      <c r="N1323" s="139"/>
    </row>
    <row r="1324">
      <c r="A1324" s="139" t="str">
        <f>IFERROR(__xludf.DUMMYFUNCTION("""COMPUTED_VALUE"""),"e")</f>
        <v>e</v>
      </c>
      <c r="B1324" s="139">
        <f>IFERROR(__xludf.DUMMYFUNCTION("""COMPUTED_VALUE"""),2.0250901E8)</f>
        <v>202509010</v>
      </c>
      <c r="C1324" s="139" t="str">
        <f>IFERROR(__xludf.DUMMYFUNCTION("""COMPUTED_VALUE"""),"c_chi_00301_general_as_Normal_Blue_Special_00001")</f>
        <v>c_chi_00301_general_as_Normal_Blue_Special_00001</v>
      </c>
      <c r="D1324" s="139" t="str">
        <f>IFERROR(__xludf.DUMMYFUNCTION("""COMPUTED_VALUE"""),"c_chi_00301_general_as_Normal_Blue")</f>
        <v>c_chi_00301_general_as_Normal_Blue</v>
      </c>
      <c r="E1324" s="139">
        <f>IFERROR(__xludf.DUMMYFUNCTION("""COMPUTED_VALUE"""),0.0)</f>
        <v>0</v>
      </c>
      <c r="F1324" s="139" t="str">
        <f>IFERROR(__xludf.DUMMYFUNCTION("""COMPUTED_VALUE"""),"Special")</f>
        <v>Special</v>
      </c>
      <c r="G1324" s="139"/>
      <c r="H1324" s="139"/>
      <c r="I1324" s="139">
        <f>IFERROR(__xludf.DUMMYFUNCTION("""COMPUTED_VALUE"""),133.0)</f>
        <v>133</v>
      </c>
      <c r="J1324" s="139">
        <f>IFERROR(__xludf.DUMMYFUNCTION("""COMPUTED_VALUE"""),50.0)</f>
        <v>50</v>
      </c>
      <c r="K1324" s="139">
        <f>IFERROR(__xludf.DUMMYFUNCTION("""COMPUTED_VALUE"""),0.0)</f>
        <v>0</v>
      </c>
      <c r="L1324" s="139"/>
      <c r="M1324" s="139"/>
      <c r="N1324" s="139"/>
    </row>
    <row r="1325">
      <c r="A1325" s="139" t="str">
        <f>IFERROR(__xludf.DUMMYFUNCTION("""COMPUTED_VALUE"""),"e")</f>
        <v>e</v>
      </c>
      <c r="B1325" s="139">
        <f>IFERROR(__xludf.DUMMYFUNCTION("""COMPUTED_VALUE"""),2.0250901E8)</f>
        <v>202509010</v>
      </c>
      <c r="C1325" s="139" t="str">
        <f>IFERROR(__xludf.DUMMYFUNCTION("""COMPUTED_VALUE"""),"c_chi_00001_general_as_Normal_Blue_Normal_00000")</f>
        <v>c_chi_00001_general_as_Normal_Blue_Normal_00000</v>
      </c>
      <c r="D1325" s="139" t="str">
        <f>IFERROR(__xludf.DUMMYFUNCTION("""COMPUTED_VALUE"""),"c_chi_00001_general_as_Normal_Blue")</f>
        <v>c_chi_00001_general_as_Normal_Blue</v>
      </c>
      <c r="E1325" s="139">
        <f>IFERROR(__xludf.DUMMYFUNCTION("""COMPUTED_VALUE"""),0.0)</f>
        <v>0</v>
      </c>
      <c r="F1325" s="139" t="str">
        <f>IFERROR(__xludf.DUMMYFUNCTION("""COMPUTED_VALUE"""),"Normal")</f>
        <v>Normal</v>
      </c>
      <c r="G1325" s="139"/>
      <c r="H1325" s="139"/>
      <c r="I1325" s="139">
        <f>IFERROR(__xludf.DUMMYFUNCTION("""COMPUTED_VALUE"""),70.0)</f>
        <v>70</v>
      </c>
      <c r="J1325" s="139">
        <f>IFERROR(__xludf.DUMMYFUNCTION("""COMPUTED_VALUE"""),27.0)</f>
        <v>27</v>
      </c>
      <c r="K1325" s="139">
        <f>IFERROR(__xludf.DUMMYFUNCTION("""COMPUTED_VALUE"""),45.0)</f>
        <v>45</v>
      </c>
      <c r="L1325" s="139"/>
      <c r="M1325" s="139"/>
      <c r="N1325" s="139"/>
    </row>
    <row r="1326">
      <c r="A1326" s="139" t="str">
        <f>IFERROR(__xludf.DUMMYFUNCTION("""COMPUTED_VALUE"""),"e")</f>
        <v>e</v>
      </c>
      <c r="B1326" s="139">
        <f>IFERROR(__xludf.DUMMYFUNCTION("""COMPUTED_VALUE"""),2.0250901E8)</f>
        <v>202509010</v>
      </c>
      <c r="C1326" s="139" t="str">
        <f>IFERROR(__xludf.DUMMYFUNCTION("""COMPUTED_VALUE"""),"c_chi_00001_general_as_Normal_Blue_Special_00001")</f>
        <v>c_chi_00001_general_as_Normal_Blue_Special_00001</v>
      </c>
      <c r="D1326" s="139" t="str">
        <f>IFERROR(__xludf.DUMMYFUNCTION("""COMPUTED_VALUE"""),"c_chi_00001_general_as_Normal_Blue")</f>
        <v>c_chi_00001_general_as_Normal_Blue</v>
      </c>
      <c r="E1326" s="139">
        <f>IFERROR(__xludf.DUMMYFUNCTION("""COMPUTED_VALUE"""),0.0)</f>
        <v>0</v>
      </c>
      <c r="F1326" s="139" t="str">
        <f>IFERROR(__xludf.DUMMYFUNCTION("""COMPUTED_VALUE"""),"Special")</f>
        <v>Special</v>
      </c>
      <c r="G1326" s="139"/>
      <c r="H1326" s="139"/>
      <c r="I1326" s="139">
        <f>IFERROR(__xludf.DUMMYFUNCTION("""COMPUTED_VALUE"""),169.0)</f>
        <v>169</v>
      </c>
      <c r="J1326" s="139">
        <f>IFERROR(__xludf.DUMMYFUNCTION("""COMPUTED_VALUE"""),79.0)</f>
        <v>79</v>
      </c>
      <c r="K1326" s="139">
        <f>IFERROR(__xludf.DUMMYFUNCTION("""COMPUTED_VALUE"""),0.0)</f>
        <v>0</v>
      </c>
      <c r="L1326" s="139"/>
      <c r="M1326" s="139"/>
      <c r="N1326" s="139"/>
    </row>
    <row r="1327">
      <c r="A1327" s="139"/>
      <c r="B1327" s="139"/>
      <c r="C1327" s="139"/>
      <c r="D1327" s="139"/>
      <c r="E1327" s="139"/>
      <c r="F1327" s="139"/>
      <c r="G1327" s="139"/>
      <c r="H1327" s="139"/>
      <c r="I1327" s="139"/>
      <c r="J1327" s="139"/>
      <c r="K1327" s="139"/>
      <c r="L1327" s="139"/>
      <c r="M1327" s="139"/>
      <c r="N1327" s="139"/>
    </row>
    <row r="1328">
      <c r="A1328" s="139" t="str">
        <f>IFERROR(__xludf.DUMMYFUNCTION("""COMPUTED_VALUE"""),"e")</f>
        <v>e</v>
      </c>
      <c r="B1328" s="139">
        <f>IFERROR(__xludf.DUMMYFUNCTION("""COMPUTED_VALUE"""),2.0250901E8)</f>
        <v>202509010</v>
      </c>
      <c r="C1328" s="139" t="str">
        <f>IFERROR(__xludf.DUMMYFUNCTION("""COMPUTED_VALUE"""),"c_sur_00201_general_as_Normal_Yellow_Normal_00000")</f>
        <v>c_sur_00201_general_as_Normal_Yellow_Normal_00000</v>
      </c>
      <c r="D1328" s="139" t="str">
        <f>IFERROR(__xludf.DUMMYFUNCTION("""COMPUTED_VALUE"""),"c_sur_00201_general_as_Normal_Yellow")</f>
        <v>c_sur_00201_general_as_Normal_Yellow</v>
      </c>
      <c r="E1328" s="139">
        <f>IFERROR(__xludf.DUMMYFUNCTION("""COMPUTED_VALUE"""),0.0)</f>
        <v>0</v>
      </c>
      <c r="F1328" s="139" t="str">
        <f>IFERROR(__xludf.DUMMYFUNCTION("""COMPUTED_VALUE"""),"Normal")</f>
        <v>Normal</v>
      </c>
      <c r="G1328" s="139"/>
      <c r="H1328" s="139"/>
      <c r="I1328" s="139">
        <f>IFERROR(__xludf.DUMMYFUNCTION("""COMPUTED_VALUE"""),74.0)</f>
        <v>74</v>
      </c>
      <c r="J1328" s="139">
        <f>IFERROR(__xludf.DUMMYFUNCTION("""COMPUTED_VALUE"""),29.0)</f>
        <v>29</v>
      </c>
      <c r="K1328" s="139">
        <f>IFERROR(__xludf.DUMMYFUNCTION("""COMPUTED_VALUE"""),45.0)</f>
        <v>45</v>
      </c>
      <c r="L1328" s="139"/>
      <c r="M1328" s="139"/>
      <c r="N1328" s="139"/>
    </row>
    <row r="1329">
      <c r="A1329" s="139" t="str">
        <f>IFERROR(__xludf.DUMMYFUNCTION("""COMPUTED_VALUE"""),"e")</f>
        <v>e</v>
      </c>
      <c r="B1329" s="139">
        <f>IFERROR(__xludf.DUMMYFUNCTION("""COMPUTED_VALUE"""),2.0250901E8)</f>
        <v>202509010</v>
      </c>
      <c r="C1329" s="139" t="str">
        <f>IFERROR(__xludf.DUMMYFUNCTION("""COMPUTED_VALUE"""),"c_sur_00201_general_as_Normal_Yellow_Special_00001")</f>
        <v>c_sur_00201_general_as_Normal_Yellow_Special_00001</v>
      </c>
      <c r="D1329" s="139" t="str">
        <f>IFERROR(__xludf.DUMMYFUNCTION("""COMPUTED_VALUE"""),"c_sur_00201_general_as_Normal_Yellow")</f>
        <v>c_sur_00201_general_as_Normal_Yellow</v>
      </c>
      <c r="E1329" s="139">
        <f>IFERROR(__xludf.DUMMYFUNCTION("""COMPUTED_VALUE"""),0.0)</f>
        <v>0</v>
      </c>
      <c r="F1329" s="139" t="str">
        <f>IFERROR(__xludf.DUMMYFUNCTION("""COMPUTED_VALUE"""),"Special")</f>
        <v>Special</v>
      </c>
      <c r="G1329" s="139"/>
      <c r="H1329" s="139"/>
      <c r="I1329" s="139">
        <f>IFERROR(__xludf.DUMMYFUNCTION("""COMPUTED_VALUE"""),154.0)</f>
        <v>154</v>
      </c>
      <c r="J1329" s="139">
        <f>IFERROR(__xludf.DUMMYFUNCTION("""COMPUTED_VALUE"""),0.0)</f>
        <v>0</v>
      </c>
      <c r="K1329" s="139">
        <f>IFERROR(__xludf.DUMMYFUNCTION("""COMPUTED_VALUE"""),0.0)</f>
        <v>0</v>
      </c>
      <c r="L1329" s="139"/>
      <c r="M1329" s="139"/>
      <c r="N1329" s="139"/>
    </row>
    <row r="1330">
      <c r="A1330" s="139" t="str">
        <f>IFERROR(__xludf.DUMMYFUNCTION("""COMPUTED_VALUE"""),"e")</f>
        <v>e</v>
      </c>
      <c r="B1330" s="139">
        <f>IFERROR(__xludf.DUMMYFUNCTION("""COMPUTED_VALUE"""),2.0250901E8)</f>
        <v>202509010</v>
      </c>
      <c r="C1330" s="139" t="str">
        <f>IFERROR(__xludf.DUMMYFUNCTION("""COMPUTED_VALUE"""),"c_sur_00301_general_as_Normal_Yellow_Normal_00000")</f>
        <v>c_sur_00301_general_as_Normal_Yellow_Normal_00000</v>
      </c>
      <c r="D1330" s="139" t="str">
        <f>IFERROR(__xludf.DUMMYFUNCTION("""COMPUTED_VALUE"""),"c_sur_00301_general_as_Normal_Yellow")</f>
        <v>c_sur_00301_general_as_Normal_Yellow</v>
      </c>
      <c r="E1330" s="139">
        <f>IFERROR(__xludf.DUMMYFUNCTION("""COMPUTED_VALUE"""),0.0)</f>
        <v>0</v>
      </c>
      <c r="F1330" s="139" t="str">
        <f>IFERROR(__xludf.DUMMYFUNCTION("""COMPUTED_VALUE"""),"Normal")</f>
        <v>Normal</v>
      </c>
      <c r="G1330" s="139"/>
      <c r="H1330" s="139"/>
      <c r="I1330" s="139">
        <f>IFERROR(__xludf.DUMMYFUNCTION("""COMPUTED_VALUE"""),78.0)</f>
        <v>78</v>
      </c>
      <c r="J1330" s="139">
        <f>IFERROR(__xludf.DUMMYFUNCTION("""COMPUTED_VALUE"""),33.0)</f>
        <v>33</v>
      </c>
      <c r="K1330" s="139">
        <f>IFERROR(__xludf.DUMMYFUNCTION("""COMPUTED_VALUE"""),60.0)</f>
        <v>60</v>
      </c>
      <c r="L1330" s="139"/>
      <c r="M1330" s="139"/>
      <c r="N1330" s="139"/>
    </row>
    <row r="1331">
      <c r="A1331" s="139" t="str">
        <f>IFERROR(__xludf.DUMMYFUNCTION("""COMPUTED_VALUE"""),"e")</f>
        <v>e</v>
      </c>
      <c r="B1331" s="139">
        <f>IFERROR(__xludf.DUMMYFUNCTION("""COMPUTED_VALUE"""),2.0250901E8)</f>
        <v>202509010</v>
      </c>
      <c r="C1331" s="139" t="str">
        <f>IFERROR(__xludf.DUMMYFUNCTION("""COMPUTED_VALUE"""),"c_sur_00301_general_as_Normal_Yellow_Special_00001")</f>
        <v>c_sur_00301_general_as_Normal_Yellow_Special_00001</v>
      </c>
      <c r="D1331" s="139" t="str">
        <f>IFERROR(__xludf.DUMMYFUNCTION("""COMPUTED_VALUE"""),"c_sur_00301_general_as_Normal_Yellow")</f>
        <v>c_sur_00301_general_as_Normal_Yellow</v>
      </c>
      <c r="E1331" s="139">
        <f>IFERROR(__xludf.DUMMYFUNCTION("""COMPUTED_VALUE"""),0.0)</f>
        <v>0</v>
      </c>
      <c r="F1331" s="139" t="str">
        <f>IFERROR(__xludf.DUMMYFUNCTION("""COMPUTED_VALUE"""),"Special")</f>
        <v>Special</v>
      </c>
      <c r="G1331" s="139"/>
      <c r="H1331" s="139"/>
      <c r="I1331" s="139">
        <f>IFERROR(__xludf.DUMMYFUNCTION("""COMPUTED_VALUE"""),96.0)</f>
        <v>96</v>
      </c>
      <c r="J1331" s="139">
        <f>IFERROR(__xludf.DUMMYFUNCTION("""COMPUTED_VALUE"""),37.0)</f>
        <v>37</v>
      </c>
      <c r="K1331" s="139">
        <f>IFERROR(__xludf.DUMMYFUNCTION("""COMPUTED_VALUE"""),0.0)</f>
        <v>0</v>
      </c>
      <c r="L1331" s="139"/>
      <c r="M1331" s="139"/>
      <c r="N1331" s="139"/>
    </row>
    <row r="1332">
      <c r="A1332" s="139" t="str">
        <f>IFERROR(__xludf.DUMMYFUNCTION("""COMPUTED_VALUE"""),"e")</f>
        <v>e</v>
      </c>
      <c r="B1332" s="139">
        <f>IFERROR(__xludf.DUMMYFUNCTION("""COMPUTED_VALUE"""),2.0250901E8)</f>
        <v>202509010</v>
      </c>
      <c r="C1332" s="139" t="str">
        <f>IFERROR(__xludf.DUMMYFUNCTION("""COMPUTED_VALUE"""),"c_chi_00002_general_as_Normal_Yellow_Normal_00000")</f>
        <v>c_chi_00002_general_as_Normal_Yellow_Normal_00000</v>
      </c>
      <c r="D1332" s="139" t="str">
        <f>IFERROR(__xludf.DUMMYFUNCTION("""COMPUTED_VALUE"""),"c_chi_00002_general_as_Normal_Yellow")</f>
        <v>c_chi_00002_general_as_Normal_Yellow</v>
      </c>
      <c r="E1332" s="139">
        <f>IFERROR(__xludf.DUMMYFUNCTION("""COMPUTED_VALUE"""),0.0)</f>
        <v>0</v>
      </c>
      <c r="F1332" s="139" t="str">
        <f>IFERROR(__xludf.DUMMYFUNCTION("""COMPUTED_VALUE"""),"Normal")</f>
        <v>Normal</v>
      </c>
      <c r="G1332" s="139"/>
      <c r="H1332" s="139"/>
      <c r="I1332" s="139">
        <f>IFERROR(__xludf.DUMMYFUNCTION("""COMPUTED_VALUE"""),54.0)</f>
        <v>54</v>
      </c>
      <c r="J1332" s="139">
        <f>IFERROR(__xludf.DUMMYFUNCTION("""COMPUTED_VALUE"""),33.0)</f>
        <v>33</v>
      </c>
      <c r="K1332" s="139">
        <f>IFERROR(__xludf.DUMMYFUNCTION("""COMPUTED_VALUE"""),35.0)</f>
        <v>35</v>
      </c>
      <c r="L1332" s="139"/>
      <c r="M1332" s="139"/>
      <c r="N1332" s="139"/>
    </row>
    <row r="1333">
      <c r="A1333" s="139" t="str">
        <f>IFERROR(__xludf.DUMMYFUNCTION("""COMPUTED_VALUE"""),"e")</f>
        <v>e</v>
      </c>
      <c r="B1333" s="139">
        <f>IFERROR(__xludf.DUMMYFUNCTION("""COMPUTED_VALUE"""),2.0250901E8)</f>
        <v>202509010</v>
      </c>
      <c r="C1333" s="139" t="str">
        <f>IFERROR(__xludf.DUMMYFUNCTION("""COMPUTED_VALUE"""),"c_chi_00002_general_as_Normal_Yellow_Special_00001")</f>
        <v>c_chi_00002_general_as_Normal_Yellow_Special_00001</v>
      </c>
      <c r="D1333" s="139" t="str">
        <f>IFERROR(__xludf.DUMMYFUNCTION("""COMPUTED_VALUE"""),"c_chi_00002_general_as_Normal_Yellow")</f>
        <v>c_chi_00002_general_as_Normal_Yellow</v>
      </c>
      <c r="E1333" s="139">
        <f>IFERROR(__xludf.DUMMYFUNCTION("""COMPUTED_VALUE"""),0.0)</f>
        <v>0</v>
      </c>
      <c r="F1333" s="139" t="str">
        <f>IFERROR(__xludf.DUMMYFUNCTION("""COMPUTED_VALUE"""),"Special")</f>
        <v>Special</v>
      </c>
      <c r="G1333" s="139"/>
      <c r="H1333" s="139"/>
      <c r="I1333" s="139">
        <f>IFERROR(__xludf.DUMMYFUNCTION("""COMPUTED_VALUE"""),133.0)</f>
        <v>133</v>
      </c>
      <c r="J1333" s="139">
        <f>IFERROR(__xludf.DUMMYFUNCTION("""COMPUTED_VALUE"""),0.0)</f>
        <v>0</v>
      </c>
      <c r="K1333" s="139">
        <f>IFERROR(__xludf.DUMMYFUNCTION("""COMPUTED_VALUE"""),0.0)</f>
        <v>0</v>
      </c>
      <c r="L1333" s="139"/>
      <c r="M1333" s="139"/>
      <c r="N1333" s="139"/>
    </row>
    <row r="1334">
      <c r="A1334" s="139" t="str">
        <f>IFERROR(__xludf.DUMMYFUNCTION("""COMPUTED_VALUE"""),"e")</f>
        <v>e</v>
      </c>
      <c r="B1334" s="139">
        <f>IFERROR(__xludf.DUMMYFUNCTION("""COMPUTED_VALUE"""),2.0250901E8)</f>
        <v>202509010</v>
      </c>
      <c r="C1334" s="139" t="str">
        <f>IFERROR(__xludf.DUMMYFUNCTION("""COMPUTED_VALUE"""),"c_rik_00101_general_as_Boss_Yellow_Normal_00000")</f>
        <v>c_rik_00101_general_as_Boss_Yellow_Normal_00000</v>
      </c>
      <c r="D1334" s="139" t="str">
        <f>IFERROR(__xludf.DUMMYFUNCTION("""COMPUTED_VALUE"""),"c_rik_00101_general_as_Boss_Yellow")</f>
        <v>c_rik_00101_general_as_Boss_Yellow</v>
      </c>
      <c r="E1334" s="139">
        <f>IFERROR(__xludf.DUMMYFUNCTION("""COMPUTED_VALUE"""),0.0)</f>
        <v>0</v>
      </c>
      <c r="F1334" s="139" t="str">
        <f>IFERROR(__xludf.DUMMYFUNCTION("""COMPUTED_VALUE"""),"Normal")</f>
        <v>Normal</v>
      </c>
      <c r="G1334" s="139"/>
      <c r="H1334" s="139"/>
      <c r="I1334" s="139">
        <f>IFERROR(__xludf.DUMMYFUNCTION("""COMPUTED_VALUE"""),79.0)</f>
        <v>79</v>
      </c>
      <c r="J1334" s="139">
        <f>IFERROR(__xludf.DUMMYFUNCTION("""COMPUTED_VALUE"""),44.0)</f>
        <v>44</v>
      </c>
      <c r="K1334" s="139">
        <f>IFERROR(__xludf.DUMMYFUNCTION("""COMPUTED_VALUE"""),75.0)</f>
        <v>75</v>
      </c>
      <c r="L1334" s="139"/>
      <c r="M1334" s="139"/>
      <c r="N1334" s="139"/>
    </row>
    <row r="1335">
      <c r="A1335" s="139" t="str">
        <f>IFERROR(__xludf.DUMMYFUNCTION("""COMPUTED_VALUE"""),"e")</f>
        <v>e</v>
      </c>
      <c r="B1335" s="139">
        <f>IFERROR(__xludf.DUMMYFUNCTION("""COMPUTED_VALUE"""),2.0250901E8)</f>
        <v>202509010</v>
      </c>
      <c r="C1335" s="139" t="str">
        <f>IFERROR(__xludf.DUMMYFUNCTION("""COMPUTED_VALUE"""),"c_rik_00101_general_as_Boss_Yellow_Appearance_00001")</f>
        <v>c_rik_00101_general_as_Boss_Yellow_Appearance_00001</v>
      </c>
      <c r="D1335" s="139" t="str">
        <f>IFERROR(__xludf.DUMMYFUNCTION("""COMPUTED_VALUE"""),"c_rik_00101_general_as_Boss_Yellow")</f>
        <v>c_rik_00101_general_as_Boss_Yellow</v>
      </c>
      <c r="E1335" s="139">
        <f>IFERROR(__xludf.DUMMYFUNCTION("""COMPUTED_VALUE"""),0.0)</f>
        <v>0</v>
      </c>
      <c r="F1335" s="139" t="str">
        <f>IFERROR(__xludf.DUMMYFUNCTION("""COMPUTED_VALUE"""),"Appearance")</f>
        <v>Appearance</v>
      </c>
      <c r="G1335" s="139"/>
      <c r="H1335" s="139"/>
      <c r="I1335" s="139">
        <f>IFERROR(__xludf.DUMMYFUNCTION("""COMPUTED_VALUE"""),50.0)</f>
        <v>50</v>
      </c>
      <c r="J1335" s="139">
        <f>IFERROR(__xludf.DUMMYFUNCTION("""COMPUTED_VALUE"""),0.0)</f>
        <v>0</v>
      </c>
      <c r="K1335" s="139">
        <f>IFERROR(__xludf.DUMMYFUNCTION("""COMPUTED_VALUE"""),0.0)</f>
        <v>0</v>
      </c>
      <c r="L1335" s="139"/>
      <c r="M1335" s="139"/>
      <c r="N1335" s="139"/>
    </row>
    <row r="1336">
      <c r="A1336" s="139" t="str">
        <f>IFERROR(__xludf.DUMMYFUNCTION("""COMPUTED_VALUE"""),"e")</f>
        <v>e</v>
      </c>
      <c r="B1336" s="139">
        <f>IFERROR(__xludf.DUMMYFUNCTION("""COMPUTED_VALUE"""),2.0250901E8)</f>
        <v>202509010</v>
      </c>
      <c r="C1336" s="139" t="str">
        <f>IFERROR(__xludf.DUMMYFUNCTION("""COMPUTED_VALUE"""),"c_rik_00101_general_as_Boss_Yellow_Special_00002")</f>
        <v>c_rik_00101_general_as_Boss_Yellow_Special_00002</v>
      </c>
      <c r="D1336" s="139" t="str">
        <f>IFERROR(__xludf.DUMMYFUNCTION("""COMPUTED_VALUE"""),"c_rik_00101_general_as_Boss_Yellow")</f>
        <v>c_rik_00101_general_as_Boss_Yellow</v>
      </c>
      <c r="E1336" s="139">
        <f>IFERROR(__xludf.DUMMYFUNCTION("""COMPUTED_VALUE"""),0.0)</f>
        <v>0</v>
      </c>
      <c r="F1336" s="139" t="str">
        <f>IFERROR(__xludf.DUMMYFUNCTION("""COMPUTED_VALUE"""),"Special")</f>
        <v>Special</v>
      </c>
      <c r="G1336" s="139"/>
      <c r="H1336" s="139"/>
      <c r="I1336" s="139">
        <f>IFERROR(__xludf.DUMMYFUNCTION("""COMPUTED_VALUE"""),134.0)</f>
        <v>134</v>
      </c>
      <c r="J1336" s="139">
        <f>IFERROR(__xludf.DUMMYFUNCTION("""COMPUTED_VALUE"""),50.0)</f>
        <v>50</v>
      </c>
      <c r="K1336" s="139">
        <f>IFERROR(__xludf.DUMMYFUNCTION("""COMPUTED_VALUE"""),0.0)</f>
        <v>0</v>
      </c>
      <c r="L1336" s="139"/>
      <c r="M1336" s="139"/>
      <c r="N1336" s="139"/>
    </row>
    <row r="1337">
      <c r="A1337" s="139"/>
      <c r="B1337" s="139"/>
      <c r="C1337" s="139"/>
      <c r="D1337" s="139"/>
      <c r="E1337" s="139"/>
      <c r="F1337" s="139"/>
      <c r="G1337" s="139"/>
      <c r="H1337" s="139"/>
      <c r="I1337" s="139"/>
      <c r="J1337" s="139"/>
      <c r="K1337" s="139"/>
      <c r="L1337" s="139"/>
      <c r="M1337" s="139"/>
      <c r="N1337" s="139"/>
    </row>
    <row r="1338">
      <c r="A1338" s="139" t="str">
        <f>IFERROR(__xludf.DUMMYFUNCTION("""COMPUTED_VALUE"""),"e")</f>
        <v>e</v>
      </c>
      <c r="B1338" s="139">
        <f>IFERROR(__xludf.DUMMYFUNCTION("""COMPUTED_VALUE"""),2.0250901E8)</f>
        <v>202509010</v>
      </c>
      <c r="C1338" s="139" t="str">
        <f>IFERROR(__xludf.DUMMYFUNCTION("""COMPUTED_VALUE"""),"e_glo_00001_general_as_Normal_Red_Normal_00000")</f>
        <v>e_glo_00001_general_as_Normal_Red_Normal_00000</v>
      </c>
      <c r="D1338" s="139" t="str">
        <f>IFERROR(__xludf.DUMMYFUNCTION("""COMPUTED_VALUE"""),"e_glo_00001_general_as_Normal_Red")</f>
        <v>e_glo_00001_general_as_Normal_Red</v>
      </c>
      <c r="E1338" s="139">
        <f>IFERROR(__xludf.DUMMYFUNCTION("""COMPUTED_VALUE"""),0.0)</f>
        <v>0</v>
      </c>
      <c r="F1338" s="139" t="str">
        <f>IFERROR(__xludf.DUMMYFUNCTION("""COMPUTED_VALUE"""),"Normal")</f>
        <v>Normal</v>
      </c>
      <c r="G1338" s="139"/>
      <c r="H1338" s="139"/>
      <c r="I1338" s="139">
        <f>IFERROR(__xludf.DUMMYFUNCTION("""COMPUTED_VALUE"""),50.0)</f>
        <v>50</v>
      </c>
      <c r="J1338" s="139">
        <f>IFERROR(__xludf.DUMMYFUNCTION("""COMPUTED_VALUE"""),25.0)</f>
        <v>25</v>
      </c>
      <c r="K1338" s="139">
        <f>IFERROR(__xludf.DUMMYFUNCTION("""COMPUTED_VALUE"""),75.0)</f>
        <v>75</v>
      </c>
      <c r="L1338" s="139"/>
      <c r="M1338" s="139"/>
      <c r="N1338" s="139"/>
    </row>
    <row r="1339">
      <c r="A1339" s="139" t="str">
        <f>IFERROR(__xludf.DUMMYFUNCTION("""COMPUTED_VALUE"""),"e")</f>
        <v>e</v>
      </c>
      <c r="B1339" s="139">
        <f>IFERROR(__xludf.DUMMYFUNCTION("""COMPUTED_VALUE"""),2.0250901E8)</f>
        <v>202509010</v>
      </c>
      <c r="C1339" s="139" t="str">
        <f>IFERROR(__xludf.DUMMYFUNCTION("""COMPUTED_VALUE"""),"e_glo_00001_general_as_h_Normal_Red_Normal_00000")</f>
        <v>e_glo_00001_general_as_h_Normal_Red_Normal_00000</v>
      </c>
      <c r="D1339" s="139" t="str">
        <f>IFERROR(__xludf.DUMMYFUNCTION("""COMPUTED_VALUE"""),"e_glo_00001_general_as_h_Normal_Red")</f>
        <v>e_glo_00001_general_as_h_Normal_Red</v>
      </c>
      <c r="E1339" s="139">
        <f>IFERROR(__xludf.DUMMYFUNCTION("""COMPUTED_VALUE"""),0.0)</f>
        <v>0</v>
      </c>
      <c r="F1339" s="139" t="str">
        <f>IFERROR(__xludf.DUMMYFUNCTION("""COMPUTED_VALUE"""),"Normal")</f>
        <v>Normal</v>
      </c>
      <c r="G1339" s="139"/>
      <c r="H1339" s="139"/>
      <c r="I1339" s="139">
        <f>IFERROR(__xludf.DUMMYFUNCTION("""COMPUTED_VALUE"""),50.0)</f>
        <v>50</v>
      </c>
      <c r="J1339" s="139">
        <f>IFERROR(__xludf.DUMMYFUNCTION("""COMPUTED_VALUE"""),25.0)</f>
        <v>25</v>
      </c>
      <c r="K1339" s="139">
        <f>IFERROR(__xludf.DUMMYFUNCTION("""COMPUTED_VALUE"""),75.0)</f>
        <v>75</v>
      </c>
      <c r="L1339" s="139"/>
      <c r="M1339" s="139"/>
      <c r="N1339" s="139"/>
    </row>
    <row r="1340">
      <c r="A1340" s="139" t="str">
        <f>IFERROR(__xludf.DUMMYFUNCTION("""COMPUTED_VALUE"""),"e")</f>
        <v>e</v>
      </c>
      <c r="B1340" s="139">
        <f>IFERROR(__xludf.DUMMYFUNCTION("""COMPUTED_VALUE"""),2.0250901E8)</f>
        <v>202509010</v>
      </c>
      <c r="C1340" s="139" t="str">
        <f>IFERROR(__xludf.DUMMYFUNCTION("""COMPUTED_VALUE"""),"e_glo_00101_general_as_Boss_Red_Normal_00000")</f>
        <v>e_glo_00101_general_as_Boss_Red_Normal_00000</v>
      </c>
      <c r="D1340" s="139" t="str">
        <f>IFERROR(__xludf.DUMMYFUNCTION("""COMPUTED_VALUE"""),"e_glo_00101_general_as_Boss_Red")</f>
        <v>e_glo_00101_general_as_Boss_Red</v>
      </c>
      <c r="E1340" s="139">
        <f>IFERROR(__xludf.DUMMYFUNCTION("""COMPUTED_VALUE"""),0.0)</f>
        <v>0</v>
      </c>
      <c r="F1340" s="139" t="str">
        <f>IFERROR(__xludf.DUMMYFUNCTION("""COMPUTED_VALUE"""),"Normal")</f>
        <v>Normal</v>
      </c>
      <c r="G1340" s="139"/>
      <c r="H1340" s="139"/>
      <c r="I1340" s="139">
        <f>IFERROR(__xludf.DUMMYFUNCTION("""COMPUTED_VALUE"""),59.0)</f>
        <v>59</v>
      </c>
      <c r="J1340" s="139">
        <f>IFERROR(__xludf.DUMMYFUNCTION("""COMPUTED_VALUE"""),28.0)</f>
        <v>28</v>
      </c>
      <c r="K1340" s="139">
        <f>IFERROR(__xludf.DUMMYFUNCTION("""COMPUTED_VALUE"""),150.0)</f>
        <v>150</v>
      </c>
      <c r="L1340" s="139"/>
      <c r="M1340" s="139"/>
      <c r="N1340" s="139"/>
    </row>
    <row r="1341">
      <c r="A1341" s="139" t="str">
        <f>IFERROR(__xludf.DUMMYFUNCTION("""COMPUTED_VALUE"""),"e")</f>
        <v>e</v>
      </c>
      <c r="B1341" s="139">
        <f>IFERROR(__xludf.DUMMYFUNCTION("""COMPUTED_VALUE"""),2.0250901E8)</f>
        <v>202509010</v>
      </c>
      <c r="C1341" s="139" t="str">
        <f>IFERROR(__xludf.DUMMYFUNCTION("""COMPUTED_VALUE"""),"e_glo_00101_general_as_Boss_Red_Appearance_00001")</f>
        <v>e_glo_00101_general_as_Boss_Red_Appearance_00001</v>
      </c>
      <c r="D1341" s="139" t="str">
        <f>IFERROR(__xludf.DUMMYFUNCTION("""COMPUTED_VALUE"""),"e_glo_00101_general_as_Boss_Red")</f>
        <v>e_glo_00101_general_as_Boss_Red</v>
      </c>
      <c r="E1341" s="139">
        <f>IFERROR(__xludf.DUMMYFUNCTION("""COMPUTED_VALUE"""),0.0)</f>
        <v>0</v>
      </c>
      <c r="F1341" s="139" t="str">
        <f>IFERROR(__xludf.DUMMYFUNCTION("""COMPUTED_VALUE"""),"Appearance")</f>
        <v>Appearance</v>
      </c>
      <c r="G1341" s="139"/>
      <c r="H1341" s="139"/>
      <c r="I1341" s="139">
        <f>IFERROR(__xludf.DUMMYFUNCTION("""COMPUTED_VALUE"""),50.0)</f>
        <v>50</v>
      </c>
      <c r="J1341" s="139">
        <f>IFERROR(__xludf.DUMMYFUNCTION("""COMPUTED_VALUE"""),0.0)</f>
        <v>0</v>
      </c>
      <c r="K1341" s="139">
        <f>IFERROR(__xludf.DUMMYFUNCTION("""COMPUTED_VALUE"""),0.0)</f>
        <v>0</v>
      </c>
      <c r="L1341" s="139"/>
      <c r="M1341" s="139"/>
      <c r="N1341" s="139"/>
    </row>
    <row r="1342">
      <c r="A1342" s="139" t="str">
        <f>IFERROR(__xludf.DUMMYFUNCTION("""COMPUTED_VALUE"""),"e")</f>
        <v>e</v>
      </c>
      <c r="B1342" s="139">
        <f>IFERROR(__xludf.DUMMYFUNCTION("""COMPUTED_VALUE"""),2.0250901E8)</f>
        <v>202509010</v>
      </c>
      <c r="C1342" s="139" t="str">
        <f>IFERROR(__xludf.DUMMYFUNCTION("""COMPUTED_VALUE"""),"e_glo_00101_general_as_h_Boss_Red_Normal_00000")</f>
        <v>e_glo_00101_general_as_h_Boss_Red_Normal_00000</v>
      </c>
      <c r="D1342" s="139" t="str">
        <f>IFERROR(__xludf.DUMMYFUNCTION("""COMPUTED_VALUE"""),"e_glo_00101_general_as_h_Boss_Red")</f>
        <v>e_glo_00101_general_as_h_Boss_Red</v>
      </c>
      <c r="E1342" s="139">
        <f>IFERROR(__xludf.DUMMYFUNCTION("""COMPUTED_VALUE"""),0.0)</f>
        <v>0</v>
      </c>
      <c r="F1342" s="139" t="str">
        <f>IFERROR(__xludf.DUMMYFUNCTION("""COMPUTED_VALUE"""),"Normal")</f>
        <v>Normal</v>
      </c>
      <c r="G1342" s="139"/>
      <c r="H1342" s="139"/>
      <c r="I1342" s="139">
        <f>IFERROR(__xludf.DUMMYFUNCTION("""COMPUTED_VALUE"""),59.0)</f>
        <v>59</v>
      </c>
      <c r="J1342" s="139">
        <f>IFERROR(__xludf.DUMMYFUNCTION("""COMPUTED_VALUE"""),28.0)</f>
        <v>28</v>
      </c>
      <c r="K1342" s="139">
        <f>IFERROR(__xludf.DUMMYFUNCTION("""COMPUTED_VALUE"""),150.0)</f>
        <v>150</v>
      </c>
      <c r="L1342" s="139"/>
      <c r="M1342" s="139"/>
      <c r="N1342" s="139"/>
    </row>
    <row r="1343">
      <c r="A1343" s="139" t="str">
        <f>IFERROR(__xludf.DUMMYFUNCTION("""COMPUTED_VALUE"""),"e")</f>
        <v>e</v>
      </c>
      <c r="B1343" s="139">
        <f>IFERROR(__xludf.DUMMYFUNCTION("""COMPUTED_VALUE"""),2.0250901E8)</f>
        <v>202509010</v>
      </c>
      <c r="C1343" s="139" t="str">
        <f>IFERROR(__xludf.DUMMYFUNCTION("""COMPUTED_VALUE"""),"e_glo_00101_general_as_h_Boss_Red_Appearance_00001")</f>
        <v>e_glo_00101_general_as_h_Boss_Red_Appearance_00001</v>
      </c>
      <c r="D1343" s="139" t="str">
        <f>IFERROR(__xludf.DUMMYFUNCTION("""COMPUTED_VALUE"""),"e_glo_00101_general_as_h_Boss_Red")</f>
        <v>e_glo_00101_general_as_h_Boss_Red</v>
      </c>
      <c r="E1343" s="139">
        <f>IFERROR(__xludf.DUMMYFUNCTION("""COMPUTED_VALUE"""),0.0)</f>
        <v>0</v>
      </c>
      <c r="F1343" s="139" t="str">
        <f>IFERROR(__xludf.DUMMYFUNCTION("""COMPUTED_VALUE"""),"Appearance")</f>
        <v>Appearance</v>
      </c>
      <c r="G1343" s="139"/>
      <c r="H1343" s="139"/>
      <c r="I1343" s="139">
        <f>IFERROR(__xludf.DUMMYFUNCTION("""COMPUTED_VALUE"""),50.0)</f>
        <v>50</v>
      </c>
      <c r="J1343" s="139">
        <f>IFERROR(__xludf.DUMMYFUNCTION("""COMPUTED_VALUE"""),0.0)</f>
        <v>0</v>
      </c>
      <c r="K1343" s="139">
        <f>IFERROR(__xludf.DUMMYFUNCTION("""COMPUTED_VALUE"""),0.0)</f>
        <v>0</v>
      </c>
      <c r="L1343" s="139"/>
      <c r="M1343" s="139"/>
      <c r="N1343" s="139"/>
    </row>
    <row r="1344">
      <c r="A1344" s="139"/>
      <c r="B1344" s="139"/>
      <c r="C1344" s="139"/>
      <c r="D1344" s="139"/>
      <c r="E1344" s="139"/>
      <c r="F1344" s="139"/>
      <c r="G1344" s="139"/>
      <c r="H1344" s="139"/>
      <c r="I1344" s="139"/>
      <c r="J1344" s="139"/>
      <c r="K1344" s="139"/>
      <c r="L1344" s="139"/>
      <c r="M1344" s="139"/>
      <c r="N1344" s="139"/>
    </row>
    <row r="1345">
      <c r="A1345" s="139" t="str">
        <f>IFERROR(__xludf.DUMMYFUNCTION("""COMPUTED_VALUE"""),"e")</f>
        <v>e</v>
      </c>
      <c r="B1345" s="139">
        <f>IFERROR(__xludf.DUMMYFUNCTION("""COMPUTED_VALUE"""),2.0250901E8)</f>
        <v>202509010</v>
      </c>
      <c r="C1345" s="139" t="str">
        <f>IFERROR(__xludf.DUMMYFUNCTION("""COMPUTED_VALUE"""),"e_glo_00001_general_ori3_vh_Normal_Colorless_Normal_00000")</f>
        <v>e_glo_00001_general_ori3_vh_Normal_Colorless_Normal_00000</v>
      </c>
      <c r="D1345" s="139" t="str">
        <f>IFERROR(__xludf.DUMMYFUNCTION("""COMPUTED_VALUE"""),"e_glo_00001_general_ori3_vh_Normal_Colorless")</f>
        <v>e_glo_00001_general_ori3_vh_Normal_Colorless</v>
      </c>
      <c r="E1345" s="139">
        <f>IFERROR(__xludf.DUMMYFUNCTION("""COMPUTED_VALUE"""),0.0)</f>
        <v>0</v>
      </c>
      <c r="F1345" s="139" t="str">
        <f>IFERROR(__xludf.DUMMYFUNCTION("""COMPUTED_VALUE"""),"Normal")</f>
        <v>Normal</v>
      </c>
      <c r="G1345" s="139"/>
      <c r="H1345" s="139"/>
      <c r="I1345" s="139">
        <f>IFERROR(__xludf.DUMMYFUNCTION("""COMPUTED_VALUE"""),50.0)</f>
        <v>50</v>
      </c>
      <c r="J1345" s="139">
        <f>IFERROR(__xludf.DUMMYFUNCTION("""COMPUTED_VALUE"""),25.0)</f>
        <v>25</v>
      </c>
      <c r="K1345" s="139">
        <f>IFERROR(__xludf.DUMMYFUNCTION("""COMPUTED_VALUE"""),75.0)</f>
        <v>75</v>
      </c>
      <c r="L1345" s="139"/>
      <c r="M1345" s="139"/>
      <c r="N1345" s="139"/>
    </row>
    <row r="1346">
      <c r="A1346" s="139" t="str">
        <f>IFERROR(__xludf.DUMMYFUNCTION("""COMPUTED_VALUE"""),"e")</f>
        <v>e</v>
      </c>
      <c r="B1346" s="139">
        <f>IFERROR(__xludf.DUMMYFUNCTION("""COMPUTED_VALUE"""),2.0250901E8)</f>
        <v>202509010</v>
      </c>
      <c r="C1346" s="139" t="str">
        <f>IFERROR(__xludf.DUMMYFUNCTION("""COMPUTED_VALUE"""),"e_glo_00001_general_ori3_vh_big_Normal_Colorless_Normal_00000")</f>
        <v>e_glo_00001_general_ori3_vh_big_Normal_Colorless_Normal_00000</v>
      </c>
      <c r="D1346" s="139" t="str">
        <f>IFERROR(__xludf.DUMMYFUNCTION("""COMPUTED_VALUE"""),"e_glo_00001_general_ori3_vh_big_Normal_Colorless")</f>
        <v>e_glo_00001_general_ori3_vh_big_Normal_Colorless</v>
      </c>
      <c r="E1346" s="139">
        <f>IFERROR(__xludf.DUMMYFUNCTION("""COMPUTED_VALUE"""),0.0)</f>
        <v>0</v>
      </c>
      <c r="F1346" s="139" t="str">
        <f>IFERROR(__xludf.DUMMYFUNCTION("""COMPUTED_VALUE"""),"Normal")</f>
        <v>Normal</v>
      </c>
      <c r="G1346" s="139"/>
      <c r="H1346" s="139"/>
      <c r="I1346" s="139">
        <f>IFERROR(__xludf.DUMMYFUNCTION("""COMPUTED_VALUE"""),50.0)</f>
        <v>50</v>
      </c>
      <c r="J1346" s="139">
        <f>IFERROR(__xludf.DUMMYFUNCTION("""COMPUTED_VALUE"""),25.0)</f>
        <v>25</v>
      </c>
      <c r="K1346" s="139">
        <f>IFERROR(__xludf.DUMMYFUNCTION("""COMPUTED_VALUE"""),75.0)</f>
        <v>75</v>
      </c>
      <c r="L1346" s="139"/>
      <c r="M1346" s="139"/>
      <c r="N1346" s="139"/>
    </row>
    <row r="1347">
      <c r="A1347" s="139" t="str">
        <f>IFERROR(__xludf.DUMMYFUNCTION("""COMPUTED_VALUE"""),"e")</f>
        <v>e</v>
      </c>
      <c r="B1347" s="139">
        <f>IFERROR(__xludf.DUMMYFUNCTION("""COMPUTED_VALUE"""),2.0250901E8)</f>
        <v>202509010</v>
      </c>
      <c r="C1347" s="139" t="str">
        <f>IFERROR(__xludf.DUMMYFUNCTION("""COMPUTED_VALUE"""),"e_glo_00001_general_ori3_vh_Normal_Yellow_Normal_00000")</f>
        <v>e_glo_00001_general_ori3_vh_Normal_Yellow_Normal_00000</v>
      </c>
      <c r="D1347" s="139" t="str">
        <f>IFERROR(__xludf.DUMMYFUNCTION("""COMPUTED_VALUE"""),"e_glo_00001_general_ori3_vh_Normal_Yellow")</f>
        <v>e_glo_00001_general_ori3_vh_Normal_Yellow</v>
      </c>
      <c r="E1347" s="139">
        <f>IFERROR(__xludf.DUMMYFUNCTION("""COMPUTED_VALUE"""),0.0)</f>
        <v>0</v>
      </c>
      <c r="F1347" s="139" t="str">
        <f>IFERROR(__xludf.DUMMYFUNCTION("""COMPUTED_VALUE"""),"Normal")</f>
        <v>Normal</v>
      </c>
      <c r="G1347" s="139"/>
      <c r="H1347" s="139"/>
      <c r="I1347" s="139">
        <f>IFERROR(__xludf.DUMMYFUNCTION("""COMPUTED_VALUE"""),50.0)</f>
        <v>50</v>
      </c>
      <c r="J1347" s="139">
        <f>IFERROR(__xludf.DUMMYFUNCTION("""COMPUTED_VALUE"""),25.0)</f>
        <v>25</v>
      </c>
      <c r="K1347" s="139">
        <f>IFERROR(__xludf.DUMMYFUNCTION("""COMPUTED_VALUE"""),75.0)</f>
        <v>75</v>
      </c>
      <c r="L1347" s="139"/>
      <c r="M1347" s="139"/>
      <c r="N1347" s="139"/>
    </row>
    <row r="1348">
      <c r="A1348" s="139" t="str">
        <f>IFERROR(__xludf.DUMMYFUNCTION("""COMPUTED_VALUE"""),"e")</f>
        <v>e</v>
      </c>
      <c r="B1348" s="139">
        <f>IFERROR(__xludf.DUMMYFUNCTION("""COMPUTED_VALUE"""),2.0250901E8)</f>
        <v>202509010</v>
      </c>
      <c r="C1348" s="139" t="str">
        <f>IFERROR(__xludf.DUMMYFUNCTION("""COMPUTED_VALUE"""),"e_glo_00001_general_ori3_vh_big_Normal_Yellow_Normal_00000")</f>
        <v>e_glo_00001_general_ori3_vh_big_Normal_Yellow_Normal_00000</v>
      </c>
      <c r="D1348" s="139" t="str">
        <f>IFERROR(__xludf.DUMMYFUNCTION("""COMPUTED_VALUE"""),"e_glo_00001_general_ori3_vh_big_Normal_Yellow")</f>
        <v>e_glo_00001_general_ori3_vh_big_Normal_Yellow</v>
      </c>
      <c r="E1348" s="139">
        <f>IFERROR(__xludf.DUMMYFUNCTION("""COMPUTED_VALUE"""),0.0)</f>
        <v>0</v>
      </c>
      <c r="F1348" s="139" t="str">
        <f>IFERROR(__xludf.DUMMYFUNCTION("""COMPUTED_VALUE"""),"Normal")</f>
        <v>Normal</v>
      </c>
      <c r="G1348" s="139"/>
      <c r="H1348" s="139"/>
      <c r="I1348" s="139">
        <f>IFERROR(__xludf.DUMMYFUNCTION("""COMPUTED_VALUE"""),50.0)</f>
        <v>50</v>
      </c>
      <c r="J1348" s="139">
        <f>IFERROR(__xludf.DUMMYFUNCTION("""COMPUTED_VALUE"""),25.0)</f>
        <v>25</v>
      </c>
      <c r="K1348" s="139">
        <f>IFERROR(__xludf.DUMMYFUNCTION("""COMPUTED_VALUE"""),75.0)</f>
        <v>75</v>
      </c>
      <c r="L1348" s="139"/>
      <c r="M1348" s="139"/>
      <c r="N1348" s="139"/>
    </row>
    <row r="1349">
      <c r="A1349" s="139" t="str">
        <f>IFERROR(__xludf.DUMMYFUNCTION("""COMPUTED_VALUE"""),"e")</f>
        <v>e</v>
      </c>
      <c r="B1349" s="139">
        <f>IFERROR(__xludf.DUMMYFUNCTION("""COMPUTED_VALUE"""),2.0250901E8)</f>
        <v>202509010</v>
      </c>
      <c r="C1349" s="139" t="str">
        <f>IFERROR(__xludf.DUMMYFUNCTION("""COMPUTED_VALUE"""),"c_rik_00001_general_ori3_vh_Normal_Colorless_Normal_00000")</f>
        <v>c_rik_00001_general_ori3_vh_Normal_Colorless_Normal_00000</v>
      </c>
      <c r="D1349" s="139" t="str">
        <f>IFERROR(__xludf.DUMMYFUNCTION("""COMPUTED_VALUE"""),"c_rik_00001_general_ori3_vh_Normal_Colorless")</f>
        <v>c_rik_00001_general_ori3_vh_Normal_Colorless</v>
      </c>
      <c r="E1349" s="139">
        <f>IFERROR(__xludf.DUMMYFUNCTION("""COMPUTED_VALUE"""),0.0)</f>
        <v>0</v>
      </c>
      <c r="F1349" s="139" t="str">
        <f>IFERROR(__xludf.DUMMYFUNCTION("""COMPUTED_VALUE"""),"Normal")</f>
        <v>Normal</v>
      </c>
      <c r="G1349" s="139"/>
      <c r="H1349" s="139"/>
      <c r="I1349" s="139">
        <f>IFERROR(__xludf.DUMMYFUNCTION("""COMPUTED_VALUE"""),82.0)</f>
        <v>82</v>
      </c>
      <c r="J1349" s="139">
        <f>IFERROR(__xludf.DUMMYFUNCTION("""COMPUTED_VALUE"""),47.0)</f>
        <v>47</v>
      </c>
      <c r="K1349" s="139">
        <f>IFERROR(__xludf.DUMMYFUNCTION("""COMPUTED_VALUE"""),35.0)</f>
        <v>35</v>
      </c>
      <c r="L1349" s="139"/>
      <c r="M1349" s="139"/>
      <c r="N1349" s="139"/>
    </row>
    <row r="1350">
      <c r="A1350" s="139" t="str">
        <f>IFERROR(__xludf.DUMMYFUNCTION("""COMPUTED_VALUE"""),"e")</f>
        <v>e</v>
      </c>
      <c r="B1350" s="139">
        <f>IFERROR(__xludf.DUMMYFUNCTION("""COMPUTED_VALUE"""),2.0250901E8)</f>
        <v>202509010</v>
      </c>
      <c r="C1350" s="139" t="str">
        <f>IFERROR(__xludf.DUMMYFUNCTION("""COMPUTED_VALUE"""),"c_rik_00001_general_ori3_vh_Normal_Colorless_Special_00001")</f>
        <v>c_rik_00001_general_ori3_vh_Normal_Colorless_Special_00001</v>
      </c>
      <c r="D1350" s="139" t="str">
        <f>IFERROR(__xludf.DUMMYFUNCTION("""COMPUTED_VALUE"""),"c_rik_00001_general_ori3_vh_Normal_Colorless")</f>
        <v>c_rik_00001_general_ori3_vh_Normal_Colorless</v>
      </c>
      <c r="E1350" s="139">
        <f>IFERROR(__xludf.DUMMYFUNCTION("""COMPUTED_VALUE"""),0.0)</f>
        <v>0</v>
      </c>
      <c r="F1350" s="139" t="str">
        <f>IFERROR(__xludf.DUMMYFUNCTION("""COMPUTED_VALUE"""),"Special")</f>
        <v>Special</v>
      </c>
      <c r="G1350" s="139"/>
      <c r="H1350" s="139"/>
      <c r="I1350" s="139">
        <f>IFERROR(__xludf.DUMMYFUNCTION("""COMPUTED_VALUE"""),201.0)</f>
        <v>201</v>
      </c>
      <c r="J1350" s="139">
        <f>IFERROR(__xludf.DUMMYFUNCTION("""COMPUTED_VALUE"""),0.0)</f>
        <v>0</v>
      </c>
      <c r="K1350" s="139">
        <f>IFERROR(__xludf.DUMMYFUNCTION("""COMPUTED_VALUE"""),0.0)</f>
        <v>0</v>
      </c>
      <c r="L1350" s="139"/>
      <c r="M1350" s="139"/>
      <c r="N1350" s="139"/>
    </row>
    <row r="1351">
      <c r="A1351" s="139" t="str">
        <f>IFERROR(__xludf.DUMMYFUNCTION("""COMPUTED_VALUE"""),"e")</f>
        <v>e</v>
      </c>
      <c r="B1351" s="139">
        <f>IFERROR(__xludf.DUMMYFUNCTION("""COMPUTED_VALUE"""),2.0250901E8)</f>
        <v>202509010</v>
      </c>
      <c r="C1351" s="139" t="str">
        <f>IFERROR(__xludf.DUMMYFUNCTION("""COMPUTED_VALUE"""),"c_rik_00001_general_ori3_vh_Normal_Yellow_Normal_00000")</f>
        <v>c_rik_00001_general_ori3_vh_Normal_Yellow_Normal_00000</v>
      </c>
      <c r="D1351" s="139" t="str">
        <f>IFERROR(__xludf.DUMMYFUNCTION("""COMPUTED_VALUE"""),"c_rik_00001_general_ori3_vh_Normal_Yellow")</f>
        <v>c_rik_00001_general_ori3_vh_Normal_Yellow</v>
      </c>
      <c r="E1351" s="139">
        <f>IFERROR(__xludf.DUMMYFUNCTION("""COMPUTED_VALUE"""),0.0)</f>
        <v>0</v>
      </c>
      <c r="F1351" s="139" t="str">
        <f>IFERROR(__xludf.DUMMYFUNCTION("""COMPUTED_VALUE"""),"Normal")</f>
        <v>Normal</v>
      </c>
      <c r="G1351" s="139"/>
      <c r="H1351" s="139"/>
      <c r="I1351" s="139">
        <f>IFERROR(__xludf.DUMMYFUNCTION("""COMPUTED_VALUE"""),82.0)</f>
        <v>82</v>
      </c>
      <c r="J1351" s="139">
        <f>IFERROR(__xludf.DUMMYFUNCTION("""COMPUTED_VALUE"""),47.0)</f>
        <v>47</v>
      </c>
      <c r="K1351" s="139">
        <f>IFERROR(__xludf.DUMMYFUNCTION("""COMPUTED_VALUE"""),35.0)</f>
        <v>35</v>
      </c>
      <c r="L1351" s="139"/>
      <c r="M1351" s="139"/>
      <c r="N1351" s="139"/>
    </row>
    <row r="1352">
      <c r="A1352" s="139" t="str">
        <f>IFERROR(__xludf.DUMMYFUNCTION("""COMPUTED_VALUE"""),"e")</f>
        <v>e</v>
      </c>
      <c r="B1352" s="139">
        <f>IFERROR(__xludf.DUMMYFUNCTION("""COMPUTED_VALUE"""),2.0250901E8)</f>
        <v>202509010</v>
      </c>
      <c r="C1352" s="139" t="str">
        <f>IFERROR(__xludf.DUMMYFUNCTION("""COMPUTED_VALUE"""),"c_rik_00001_general_ori3_vh_Normal_Yellow_Special_00001")</f>
        <v>c_rik_00001_general_ori3_vh_Normal_Yellow_Special_00001</v>
      </c>
      <c r="D1352" s="139" t="str">
        <f>IFERROR(__xludf.DUMMYFUNCTION("""COMPUTED_VALUE"""),"c_rik_00001_general_ori3_vh_Normal_Yellow")</f>
        <v>c_rik_00001_general_ori3_vh_Normal_Yellow</v>
      </c>
      <c r="E1352" s="139">
        <f>IFERROR(__xludf.DUMMYFUNCTION("""COMPUTED_VALUE"""),0.0)</f>
        <v>0</v>
      </c>
      <c r="F1352" s="139" t="str">
        <f>IFERROR(__xludf.DUMMYFUNCTION("""COMPUTED_VALUE"""),"Special")</f>
        <v>Special</v>
      </c>
      <c r="G1352" s="139"/>
      <c r="H1352" s="139"/>
      <c r="I1352" s="139">
        <f>IFERROR(__xludf.DUMMYFUNCTION("""COMPUTED_VALUE"""),201.0)</f>
        <v>201</v>
      </c>
      <c r="J1352" s="139">
        <f>IFERROR(__xludf.DUMMYFUNCTION("""COMPUTED_VALUE"""),0.0)</f>
        <v>0</v>
      </c>
      <c r="K1352" s="139">
        <f>IFERROR(__xludf.DUMMYFUNCTION("""COMPUTED_VALUE"""),0.0)</f>
        <v>0</v>
      </c>
      <c r="L1352" s="139"/>
      <c r="M1352" s="139"/>
      <c r="N1352" s="139"/>
    </row>
    <row r="1353">
      <c r="A1353" s="139" t="str">
        <f>IFERROR(__xludf.DUMMYFUNCTION("""COMPUTED_VALUE"""),"e")</f>
        <v>e</v>
      </c>
      <c r="B1353" s="139">
        <f>IFERROR(__xludf.DUMMYFUNCTION("""COMPUTED_VALUE"""),2.0250901E8)</f>
        <v>202509010</v>
      </c>
      <c r="C1353" s="139" t="str">
        <f>IFERROR(__xludf.DUMMYFUNCTION("""COMPUTED_VALUE"""),"c_sur_00101_general_ori3_vh_Normal_Yellow_Normal_00000")</f>
        <v>c_sur_00101_general_ori3_vh_Normal_Yellow_Normal_00000</v>
      </c>
      <c r="D1353" s="139" t="str">
        <f>IFERROR(__xludf.DUMMYFUNCTION("""COMPUTED_VALUE"""),"c_sur_00101_general_ori3_vh_Normal_Yellow")</f>
        <v>c_sur_00101_general_ori3_vh_Normal_Yellow</v>
      </c>
      <c r="E1353" s="139">
        <f>IFERROR(__xludf.DUMMYFUNCTION("""COMPUTED_VALUE"""),0.0)</f>
        <v>0</v>
      </c>
      <c r="F1353" s="139" t="str">
        <f>IFERROR(__xludf.DUMMYFUNCTION("""COMPUTED_VALUE"""),"Normal")</f>
        <v>Normal</v>
      </c>
      <c r="G1353" s="139"/>
      <c r="H1353" s="139"/>
      <c r="I1353" s="139">
        <f>IFERROR(__xludf.DUMMYFUNCTION("""COMPUTED_VALUE"""),74.0)</f>
        <v>74</v>
      </c>
      <c r="J1353" s="139">
        <f>IFERROR(__xludf.DUMMYFUNCTION("""COMPUTED_VALUE"""),19.0)</f>
        <v>19</v>
      </c>
      <c r="K1353" s="139">
        <f>IFERROR(__xludf.DUMMYFUNCTION("""COMPUTED_VALUE"""),45.0)</f>
        <v>45</v>
      </c>
      <c r="L1353" s="139"/>
      <c r="M1353" s="139"/>
      <c r="N1353" s="139"/>
    </row>
    <row r="1354">
      <c r="A1354" s="139" t="str">
        <f>IFERROR(__xludf.DUMMYFUNCTION("""COMPUTED_VALUE"""),"e")</f>
        <v>e</v>
      </c>
      <c r="B1354" s="139">
        <f>IFERROR(__xludf.DUMMYFUNCTION("""COMPUTED_VALUE"""),2.0250901E8)</f>
        <v>202509010</v>
      </c>
      <c r="C1354" s="139" t="str">
        <f>IFERROR(__xludf.DUMMYFUNCTION("""COMPUTED_VALUE"""),"c_sur_00101_general_ori3_vh_Normal_Yellow_Special_00001")</f>
        <v>c_sur_00101_general_ori3_vh_Normal_Yellow_Special_00001</v>
      </c>
      <c r="D1354" s="139" t="str">
        <f>IFERROR(__xludf.DUMMYFUNCTION("""COMPUTED_VALUE"""),"c_sur_00101_general_ori3_vh_Normal_Yellow")</f>
        <v>c_sur_00101_general_ori3_vh_Normal_Yellow</v>
      </c>
      <c r="E1354" s="139">
        <f>IFERROR(__xludf.DUMMYFUNCTION("""COMPUTED_VALUE"""),0.0)</f>
        <v>0</v>
      </c>
      <c r="F1354" s="139" t="str">
        <f>IFERROR(__xludf.DUMMYFUNCTION("""COMPUTED_VALUE"""),"Special")</f>
        <v>Special</v>
      </c>
      <c r="G1354" s="139"/>
      <c r="H1354" s="139"/>
      <c r="I1354" s="139">
        <f>IFERROR(__xludf.DUMMYFUNCTION("""COMPUTED_VALUE"""),138.0)</f>
        <v>138</v>
      </c>
      <c r="J1354" s="139">
        <f>IFERROR(__xludf.DUMMYFUNCTION("""COMPUTED_VALUE"""),0.0)</f>
        <v>0</v>
      </c>
      <c r="K1354" s="139">
        <f>IFERROR(__xludf.DUMMYFUNCTION("""COMPUTED_VALUE"""),0.0)</f>
        <v>0</v>
      </c>
      <c r="L1354" s="139"/>
      <c r="M1354" s="139"/>
      <c r="N1354" s="139"/>
    </row>
    <row r="1355">
      <c r="A1355" s="139" t="str">
        <f>IFERROR(__xludf.DUMMYFUNCTION("""COMPUTED_VALUE"""),"e")</f>
        <v>e</v>
      </c>
      <c r="B1355" s="139">
        <f>IFERROR(__xludf.DUMMYFUNCTION("""COMPUTED_VALUE"""),2.0250901E8)</f>
        <v>202509010</v>
      </c>
      <c r="C1355" s="139" t="str">
        <f>IFERROR(__xludf.DUMMYFUNCTION("""COMPUTED_VALUE"""),"c_chi_00201_general_ori3_vh_Normal_Yellow_Normal_00000")</f>
        <v>c_chi_00201_general_ori3_vh_Normal_Yellow_Normal_00000</v>
      </c>
      <c r="D1355" s="139" t="str">
        <f>IFERROR(__xludf.DUMMYFUNCTION("""COMPUTED_VALUE"""),"c_chi_00201_general_ori3_vh_Normal_Yellow")</f>
        <v>c_chi_00201_general_ori3_vh_Normal_Yellow</v>
      </c>
      <c r="E1355" s="139">
        <f>IFERROR(__xludf.DUMMYFUNCTION("""COMPUTED_VALUE"""),0.0)</f>
        <v>0</v>
      </c>
      <c r="F1355" s="139" t="str">
        <f>IFERROR(__xludf.DUMMYFUNCTION("""COMPUTED_VALUE"""),"Normal")</f>
        <v>Normal</v>
      </c>
      <c r="G1355" s="139"/>
      <c r="H1355" s="139"/>
      <c r="I1355" s="139">
        <f>IFERROR(__xludf.DUMMYFUNCTION("""COMPUTED_VALUE"""),80.0)</f>
        <v>80</v>
      </c>
      <c r="J1355" s="139">
        <f>IFERROR(__xludf.DUMMYFUNCTION("""COMPUTED_VALUE"""),42.0)</f>
        <v>42</v>
      </c>
      <c r="K1355" s="139">
        <f>IFERROR(__xludf.DUMMYFUNCTION("""COMPUTED_VALUE"""),30.0)</f>
        <v>30</v>
      </c>
      <c r="L1355" s="139"/>
      <c r="M1355" s="139"/>
      <c r="N1355" s="139"/>
    </row>
    <row r="1356">
      <c r="A1356" s="139" t="str">
        <f>IFERROR(__xludf.DUMMYFUNCTION("""COMPUTED_VALUE"""),"e")</f>
        <v>e</v>
      </c>
      <c r="B1356" s="139">
        <f>IFERROR(__xludf.DUMMYFUNCTION("""COMPUTED_VALUE"""),2.0250901E8)</f>
        <v>202509010</v>
      </c>
      <c r="C1356" s="139" t="str">
        <f>IFERROR(__xludf.DUMMYFUNCTION("""COMPUTED_VALUE"""),"c_chi_00201_general_ori3_vh_Normal_Yellow_Special_00001")</f>
        <v>c_chi_00201_general_ori3_vh_Normal_Yellow_Special_00001</v>
      </c>
      <c r="D1356" s="139" t="str">
        <f>IFERROR(__xludf.DUMMYFUNCTION("""COMPUTED_VALUE"""),"c_chi_00201_general_ori3_vh_Normal_Yellow")</f>
        <v>c_chi_00201_general_ori3_vh_Normal_Yellow</v>
      </c>
      <c r="E1356" s="139">
        <f>IFERROR(__xludf.DUMMYFUNCTION("""COMPUTED_VALUE"""),0.0)</f>
        <v>0</v>
      </c>
      <c r="F1356" s="139" t="str">
        <f>IFERROR(__xludf.DUMMYFUNCTION("""COMPUTED_VALUE"""),"Special")</f>
        <v>Special</v>
      </c>
      <c r="G1356" s="139"/>
      <c r="H1356" s="139"/>
      <c r="I1356" s="139">
        <f>IFERROR(__xludf.DUMMYFUNCTION("""COMPUTED_VALUE"""),122.0)</f>
        <v>122</v>
      </c>
      <c r="J1356" s="139">
        <f>IFERROR(__xludf.DUMMYFUNCTION("""COMPUTED_VALUE"""),82.0)</f>
        <v>82</v>
      </c>
      <c r="K1356" s="139">
        <f>IFERROR(__xludf.DUMMYFUNCTION("""COMPUTED_VALUE"""),0.0)</f>
        <v>0</v>
      </c>
      <c r="L1356" s="139"/>
      <c r="M1356" s="139"/>
      <c r="N1356" s="139"/>
    </row>
    <row r="1357">
      <c r="A1357" s="139" t="str">
        <f>IFERROR(__xludf.DUMMYFUNCTION("""COMPUTED_VALUE"""),"e")</f>
        <v>e</v>
      </c>
      <c r="B1357" s="139">
        <f>IFERROR(__xludf.DUMMYFUNCTION("""COMPUTED_VALUE"""),2.0250901E8)</f>
        <v>202509010</v>
      </c>
      <c r="C1357" s="139" t="str">
        <f>IFERROR(__xludf.DUMMYFUNCTION("""COMPUTED_VALUE"""),"c_chi_00301_general_ori3_vh_Normal_Yellow_Normal_00000")</f>
        <v>c_chi_00301_general_ori3_vh_Normal_Yellow_Normal_00000</v>
      </c>
      <c r="D1357" s="139" t="str">
        <f>IFERROR(__xludf.DUMMYFUNCTION("""COMPUTED_VALUE"""),"c_chi_00301_general_ori3_vh_Normal_Yellow")</f>
        <v>c_chi_00301_general_ori3_vh_Normal_Yellow</v>
      </c>
      <c r="E1357" s="139">
        <f>IFERROR(__xludf.DUMMYFUNCTION("""COMPUTED_VALUE"""),0.0)</f>
        <v>0</v>
      </c>
      <c r="F1357" s="139" t="str">
        <f>IFERROR(__xludf.DUMMYFUNCTION("""COMPUTED_VALUE"""),"Normal")</f>
        <v>Normal</v>
      </c>
      <c r="G1357" s="139"/>
      <c r="H1357" s="139"/>
      <c r="I1357" s="139">
        <f>IFERROR(__xludf.DUMMYFUNCTION("""COMPUTED_VALUE"""),75.0)</f>
        <v>75</v>
      </c>
      <c r="J1357" s="139">
        <f>IFERROR(__xludf.DUMMYFUNCTION("""COMPUTED_VALUE"""),29.0)</f>
        <v>29</v>
      </c>
      <c r="K1357" s="139">
        <f>IFERROR(__xludf.DUMMYFUNCTION("""COMPUTED_VALUE"""),45.0)</f>
        <v>45</v>
      </c>
      <c r="L1357" s="139"/>
      <c r="M1357" s="139"/>
      <c r="N1357" s="139"/>
    </row>
    <row r="1358">
      <c r="A1358" s="139" t="str">
        <f>IFERROR(__xludf.DUMMYFUNCTION("""COMPUTED_VALUE"""),"e")</f>
        <v>e</v>
      </c>
      <c r="B1358" s="139">
        <f>IFERROR(__xludf.DUMMYFUNCTION("""COMPUTED_VALUE"""),2.0250901E8)</f>
        <v>202509010</v>
      </c>
      <c r="C1358" s="139" t="str">
        <f>IFERROR(__xludf.DUMMYFUNCTION("""COMPUTED_VALUE"""),"c_chi_00301_general_ori3_vh_Normal_Yellow_Special_00001")</f>
        <v>c_chi_00301_general_ori3_vh_Normal_Yellow_Special_00001</v>
      </c>
      <c r="D1358" s="139" t="str">
        <f>IFERROR(__xludf.DUMMYFUNCTION("""COMPUTED_VALUE"""),"c_chi_00301_general_ori3_vh_Normal_Yellow")</f>
        <v>c_chi_00301_general_ori3_vh_Normal_Yellow</v>
      </c>
      <c r="E1358" s="139">
        <f>IFERROR(__xludf.DUMMYFUNCTION("""COMPUTED_VALUE"""),0.0)</f>
        <v>0</v>
      </c>
      <c r="F1358" s="139" t="str">
        <f>IFERROR(__xludf.DUMMYFUNCTION("""COMPUTED_VALUE"""),"Special")</f>
        <v>Special</v>
      </c>
      <c r="G1358" s="139"/>
      <c r="H1358" s="139"/>
      <c r="I1358" s="139">
        <f>IFERROR(__xludf.DUMMYFUNCTION("""COMPUTED_VALUE"""),133.0)</f>
        <v>133</v>
      </c>
      <c r="J1358" s="139">
        <f>IFERROR(__xludf.DUMMYFUNCTION("""COMPUTED_VALUE"""),50.0)</f>
        <v>50</v>
      </c>
      <c r="K1358" s="139">
        <f>IFERROR(__xludf.DUMMYFUNCTION("""COMPUTED_VALUE"""),0.0)</f>
        <v>0</v>
      </c>
      <c r="L1358" s="139"/>
      <c r="M1358" s="139"/>
      <c r="N1358" s="139"/>
    </row>
    <row r="1359">
      <c r="A1359" s="139" t="str">
        <f>IFERROR(__xludf.DUMMYFUNCTION("""COMPUTED_VALUE"""),"e")</f>
        <v>e</v>
      </c>
      <c r="B1359" s="139">
        <f>IFERROR(__xludf.DUMMYFUNCTION("""COMPUTED_VALUE"""),2.0250901E8)</f>
        <v>202509010</v>
      </c>
      <c r="C1359" s="139" t="str">
        <f>IFERROR(__xludf.DUMMYFUNCTION("""COMPUTED_VALUE"""),"c_chi_00001_general_ori3_vh_Boss_Yellow_Normal_00000")</f>
        <v>c_chi_00001_general_ori3_vh_Boss_Yellow_Normal_00000</v>
      </c>
      <c r="D1359" s="139" t="str">
        <f>IFERROR(__xludf.DUMMYFUNCTION("""COMPUTED_VALUE"""),"c_chi_00001_general_ori3_vh_Boss_Yellow")</f>
        <v>c_chi_00001_general_ori3_vh_Boss_Yellow</v>
      </c>
      <c r="E1359" s="139">
        <f>IFERROR(__xludf.DUMMYFUNCTION("""COMPUTED_VALUE"""),0.0)</f>
        <v>0</v>
      </c>
      <c r="F1359" s="139" t="str">
        <f>IFERROR(__xludf.DUMMYFUNCTION("""COMPUTED_VALUE"""),"Normal")</f>
        <v>Normal</v>
      </c>
      <c r="G1359" s="139"/>
      <c r="H1359" s="139"/>
      <c r="I1359" s="139">
        <f>IFERROR(__xludf.DUMMYFUNCTION("""COMPUTED_VALUE"""),70.0)</f>
        <v>70</v>
      </c>
      <c r="J1359" s="139">
        <f>IFERROR(__xludf.DUMMYFUNCTION("""COMPUTED_VALUE"""),27.0)</f>
        <v>27</v>
      </c>
      <c r="K1359" s="139">
        <f>IFERROR(__xludf.DUMMYFUNCTION("""COMPUTED_VALUE"""),45.0)</f>
        <v>45</v>
      </c>
      <c r="L1359" s="139"/>
      <c r="M1359" s="139"/>
      <c r="N1359" s="139"/>
    </row>
    <row r="1360">
      <c r="A1360" s="139" t="str">
        <f>IFERROR(__xludf.DUMMYFUNCTION("""COMPUTED_VALUE"""),"e")</f>
        <v>e</v>
      </c>
      <c r="B1360" s="139">
        <f>IFERROR(__xludf.DUMMYFUNCTION("""COMPUTED_VALUE"""),2.0250901E8)</f>
        <v>202509010</v>
      </c>
      <c r="C1360" s="139" t="str">
        <f>IFERROR(__xludf.DUMMYFUNCTION("""COMPUTED_VALUE"""),"c_chi_00001_general_ori3_vh_Boss_Yellow_Special_00001")</f>
        <v>c_chi_00001_general_ori3_vh_Boss_Yellow_Special_00001</v>
      </c>
      <c r="D1360" s="139" t="str">
        <f>IFERROR(__xludf.DUMMYFUNCTION("""COMPUTED_VALUE"""),"c_chi_00001_general_ori3_vh_Boss_Yellow")</f>
        <v>c_chi_00001_general_ori3_vh_Boss_Yellow</v>
      </c>
      <c r="E1360" s="139">
        <f>IFERROR(__xludf.DUMMYFUNCTION("""COMPUTED_VALUE"""),0.0)</f>
        <v>0</v>
      </c>
      <c r="F1360" s="139" t="str">
        <f>IFERROR(__xludf.DUMMYFUNCTION("""COMPUTED_VALUE"""),"Special")</f>
        <v>Special</v>
      </c>
      <c r="G1360" s="139"/>
      <c r="H1360" s="139"/>
      <c r="I1360" s="139">
        <f>IFERROR(__xludf.DUMMYFUNCTION("""COMPUTED_VALUE"""),169.0)</f>
        <v>169</v>
      </c>
      <c r="J1360" s="139">
        <f>IFERROR(__xludf.DUMMYFUNCTION("""COMPUTED_VALUE"""),79.0)</f>
        <v>79</v>
      </c>
      <c r="K1360" s="139">
        <f>IFERROR(__xludf.DUMMYFUNCTION("""COMPUTED_VALUE"""),0.0)</f>
        <v>0</v>
      </c>
      <c r="L1360" s="139"/>
      <c r="M1360" s="139"/>
      <c r="N1360" s="139"/>
    </row>
    <row r="1361">
      <c r="A1361" s="139" t="str">
        <f>IFERROR(__xludf.DUMMYFUNCTION("""COMPUTED_VALUE"""),"e")</f>
        <v>e</v>
      </c>
      <c r="B1361" s="139">
        <f>IFERROR(__xludf.DUMMYFUNCTION("""COMPUTED_VALUE"""),2.0250901E8)</f>
        <v>202509010</v>
      </c>
      <c r="C1361" s="139" t="str">
        <f>IFERROR(__xludf.DUMMYFUNCTION("""COMPUTED_VALUE"""),"c_chi_00001_general_ori3_vh_Boss_Yellow_Appearance_00002")</f>
        <v>c_chi_00001_general_ori3_vh_Boss_Yellow_Appearance_00002</v>
      </c>
      <c r="D1361" s="139" t="str">
        <f>IFERROR(__xludf.DUMMYFUNCTION("""COMPUTED_VALUE"""),"c_chi_00001_general_ori3_vh_Boss_Yellow")</f>
        <v>c_chi_00001_general_ori3_vh_Boss_Yellow</v>
      </c>
      <c r="E1361" s="139">
        <f>IFERROR(__xludf.DUMMYFUNCTION("""COMPUTED_VALUE"""),0.0)</f>
        <v>0</v>
      </c>
      <c r="F1361" s="139" t="str">
        <f>IFERROR(__xludf.DUMMYFUNCTION("""COMPUTED_VALUE"""),"Appearance")</f>
        <v>Appearance</v>
      </c>
      <c r="G1361" s="139"/>
      <c r="H1361" s="139"/>
      <c r="I1361" s="139">
        <f>IFERROR(__xludf.DUMMYFUNCTION("""COMPUTED_VALUE"""),50.0)</f>
        <v>50</v>
      </c>
      <c r="J1361" s="139">
        <f>IFERROR(__xludf.DUMMYFUNCTION("""COMPUTED_VALUE"""),0.0)</f>
        <v>0</v>
      </c>
      <c r="K1361" s="139">
        <f>IFERROR(__xludf.DUMMYFUNCTION("""COMPUTED_VALUE"""),0.0)</f>
        <v>0</v>
      </c>
      <c r="L1361" s="139"/>
      <c r="M1361" s="139"/>
      <c r="N1361" s="139"/>
    </row>
    <row r="1362">
      <c r="A1362" s="139" t="str">
        <f>IFERROR(__xludf.DUMMYFUNCTION("""COMPUTED_VALUE"""),"e")</f>
        <v>e</v>
      </c>
      <c r="B1362" s="139">
        <f>IFERROR(__xludf.DUMMYFUNCTION("""COMPUTED_VALUE"""),2.0250901E8)</f>
        <v>202509010</v>
      </c>
      <c r="C1362" s="139" t="str">
        <f>IFERROR(__xludf.DUMMYFUNCTION("""COMPUTED_VALUE"""),"c_chi_00002_general_ori3_vh_Boss_Yellow_Normal_00000")</f>
        <v>c_chi_00002_general_ori3_vh_Boss_Yellow_Normal_00000</v>
      </c>
      <c r="D1362" s="139" t="str">
        <f>IFERROR(__xludf.DUMMYFUNCTION("""COMPUTED_VALUE"""),"c_chi_00002_general_ori3_vh_Boss_Yellow")</f>
        <v>c_chi_00002_general_ori3_vh_Boss_Yellow</v>
      </c>
      <c r="E1362" s="139">
        <f>IFERROR(__xludf.DUMMYFUNCTION("""COMPUTED_VALUE"""),0.0)</f>
        <v>0</v>
      </c>
      <c r="F1362" s="139" t="str">
        <f>IFERROR(__xludf.DUMMYFUNCTION("""COMPUTED_VALUE"""),"Normal")</f>
        <v>Normal</v>
      </c>
      <c r="G1362" s="139"/>
      <c r="H1362" s="139"/>
      <c r="I1362" s="139">
        <f>IFERROR(__xludf.DUMMYFUNCTION("""COMPUTED_VALUE"""),54.0)</f>
        <v>54</v>
      </c>
      <c r="J1362" s="139">
        <f>IFERROR(__xludf.DUMMYFUNCTION("""COMPUTED_VALUE"""),33.0)</f>
        <v>33</v>
      </c>
      <c r="K1362" s="139">
        <f>IFERROR(__xludf.DUMMYFUNCTION("""COMPUTED_VALUE"""),35.0)</f>
        <v>35</v>
      </c>
      <c r="L1362" s="139"/>
      <c r="M1362" s="139"/>
      <c r="N1362" s="139"/>
    </row>
    <row r="1363">
      <c r="A1363" s="139" t="str">
        <f>IFERROR(__xludf.DUMMYFUNCTION("""COMPUTED_VALUE"""),"e")</f>
        <v>e</v>
      </c>
      <c r="B1363" s="139">
        <f>IFERROR(__xludf.DUMMYFUNCTION("""COMPUTED_VALUE"""),2.0250901E8)</f>
        <v>202509010</v>
      </c>
      <c r="C1363" s="139" t="str">
        <f>IFERROR(__xludf.DUMMYFUNCTION("""COMPUTED_VALUE"""),"c_chi_00002_general_ori3_vh_Boss_Yellow_Special_00001")</f>
        <v>c_chi_00002_general_ori3_vh_Boss_Yellow_Special_00001</v>
      </c>
      <c r="D1363" s="139" t="str">
        <f>IFERROR(__xludf.DUMMYFUNCTION("""COMPUTED_VALUE"""),"c_chi_00002_general_ori3_vh_Boss_Yellow")</f>
        <v>c_chi_00002_general_ori3_vh_Boss_Yellow</v>
      </c>
      <c r="E1363" s="139">
        <f>IFERROR(__xludf.DUMMYFUNCTION("""COMPUTED_VALUE"""),0.0)</f>
        <v>0</v>
      </c>
      <c r="F1363" s="139" t="str">
        <f>IFERROR(__xludf.DUMMYFUNCTION("""COMPUTED_VALUE"""),"Special")</f>
        <v>Special</v>
      </c>
      <c r="G1363" s="139"/>
      <c r="H1363" s="139"/>
      <c r="I1363" s="139">
        <f>IFERROR(__xludf.DUMMYFUNCTION("""COMPUTED_VALUE"""),133.0)</f>
        <v>133</v>
      </c>
      <c r="J1363" s="139">
        <f>IFERROR(__xludf.DUMMYFUNCTION("""COMPUTED_VALUE"""),0.0)</f>
        <v>0</v>
      </c>
      <c r="K1363" s="139">
        <f>IFERROR(__xludf.DUMMYFUNCTION("""COMPUTED_VALUE"""),0.0)</f>
        <v>0</v>
      </c>
      <c r="L1363" s="139"/>
      <c r="M1363" s="139"/>
      <c r="N1363" s="139"/>
    </row>
    <row r="1364">
      <c r="A1364" s="139" t="str">
        <f>IFERROR(__xludf.DUMMYFUNCTION("""COMPUTED_VALUE"""),"e")</f>
        <v>e</v>
      </c>
      <c r="B1364" s="139">
        <f>IFERROR(__xludf.DUMMYFUNCTION("""COMPUTED_VALUE"""),2.0250901E8)</f>
        <v>202509010</v>
      </c>
      <c r="C1364" s="139" t="str">
        <f>IFERROR(__xludf.DUMMYFUNCTION("""COMPUTED_VALUE"""),"e_glo_00001_general_ori3_vh2_Normal_Colorless_Normal_00000")</f>
        <v>e_glo_00001_general_ori3_vh2_Normal_Colorless_Normal_00000</v>
      </c>
      <c r="D1364" s="139" t="str">
        <f>IFERROR(__xludf.DUMMYFUNCTION("""COMPUTED_VALUE"""),"e_glo_00001_general_ori3_vh2_Normal_Colorless")</f>
        <v>e_glo_00001_general_ori3_vh2_Normal_Colorless</v>
      </c>
      <c r="E1364" s="139">
        <f>IFERROR(__xludf.DUMMYFUNCTION("""COMPUTED_VALUE"""),0.0)</f>
        <v>0</v>
      </c>
      <c r="F1364" s="139" t="str">
        <f>IFERROR(__xludf.DUMMYFUNCTION("""COMPUTED_VALUE"""),"Normal")</f>
        <v>Normal</v>
      </c>
      <c r="G1364" s="139"/>
      <c r="H1364" s="139"/>
      <c r="I1364" s="139">
        <f>IFERROR(__xludf.DUMMYFUNCTION("""COMPUTED_VALUE"""),50.0)</f>
        <v>50</v>
      </c>
      <c r="J1364" s="139">
        <f>IFERROR(__xludf.DUMMYFUNCTION("""COMPUTED_VALUE"""),25.0)</f>
        <v>25</v>
      </c>
      <c r="K1364" s="139">
        <f>IFERROR(__xludf.DUMMYFUNCTION("""COMPUTED_VALUE"""),75.0)</f>
        <v>75</v>
      </c>
      <c r="L1364" s="139"/>
      <c r="M1364" s="139"/>
      <c r="N1364" s="139"/>
    </row>
    <row r="1365">
      <c r="A1365" s="139" t="str">
        <f>IFERROR(__xludf.DUMMYFUNCTION("""COMPUTED_VALUE"""),"e")</f>
        <v>e</v>
      </c>
      <c r="B1365" s="139">
        <f>IFERROR(__xludf.DUMMYFUNCTION("""COMPUTED_VALUE"""),2.0250901E8)</f>
        <v>202509010</v>
      </c>
      <c r="C1365" s="139" t="str">
        <f>IFERROR(__xludf.DUMMYFUNCTION("""COMPUTED_VALUE"""),"e_glo_00001_general_ori3_vh2_big_Normal_Colorless_Normal_00000")</f>
        <v>e_glo_00001_general_ori3_vh2_big_Normal_Colorless_Normal_00000</v>
      </c>
      <c r="D1365" s="139" t="str">
        <f>IFERROR(__xludf.DUMMYFUNCTION("""COMPUTED_VALUE"""),"e_glo_00001_general_ori3_vh2_big_Normal_Colorless")</f>
        <v>e_glo_00001_general_ori3_vh2_big_Normal_Colorless</v>
      </c>
      <c r="E1365" s="139">
        <f>IFERROR(__xludf.DUMMYFUNCTION("""COMPUTED_VALUE"""),0.0)</f>
        <v>0</v>
      </c>
      <c r="F1365" s="139" t="str">
        <f>IFERROR(__xludf.DUMMYFUNCTION("""COMPUTED_VALUE"""),"Normal")</f>
        <v>Normal</v>
      </c>
      <c r="G1365" s="139"/>
      <c r="H1365" s="139"/>
      <c r="I1365" s="139">
        <f>IFERROR(__xludf.DUMMYFUNCTION("""COMPUTED_VALUE"""),50.0)</f>
        <v>50</v>
      </c>
      <c r="J1365" s="139">
        <f>IFERROR(__xludf.DUMMYFUNCTION("""COMPUTED_VALUE"""),25.0)</f>
        <v>25</v>
      </c>
      <c r="K1365" s="139">
        <f>IFERROR(__xludf.DUMMYFUNCTION("""COMPUTED_VALUE"""),75.0)</f>
        <v>75</v>
      </c>
      <c r="L1365" s="139"/>
      <c r="M1365" s="139"/>
      <c r="N1365" s="139"/>
    </row>
    <row r="1366">
      <c r="A1366" s="139" t="str">
        <f>IFERROR(__xludf.DUMMYFUNCTION("""COMPUTED_VALUE"""),"e")</f>
        <v>e</v>
      </c>
      <c r="B1366" s="139">
        <f>IFERROR(__xludf.DUMMYFUNCTION("""COMPUTED_VALUE"""),2.0250901E8)</f>
        <v>202509010</v>
      </c>
      <c r="C1366" s="139" t="str">
        <f>IFERROR(__xludf.DUMMYFUNCTION("""COMPUTED_VALUE"""),"e_glo_00001_general_ori3_vh2_Normal_Blue_Normal_00000")</f>
        <v>e_glo_00001_general_ori3_vh2_Normal_Blue_Normal_00000</v>
      </c>
      <c r="D1366" s="139" t="str">
        <f>IFERROR(__xludf.DUMMYFUNCTION("""COMPUTED_VALUE"""),"e_glo_00001_general_ori3_vh2_Normal_Blue")</f>
        <v>e_glo_00001_general_ori3_vh2_Normal_Blue</v>
      </c>
      <c r="E1366" s="139">
        <f>IFERROR(__xludf.DUMMYFUNCTION("""COMPUTED_VALUE"""),0.0)</f>
        <v>0</v>
      </c>
      <c r="F1366" s="139" t="str">
        <f>IFERROR(__xludf.DUMMYFUNCTION("""COMPUTED_VALUE"""),"Normal")</f>
        <v>Normal</v>
      </c>
      <c r="G1366" s="139"/>
      <c r="H1366" s="139"/>
      <c r="I1366" s="139">
        <f>IFERROR(__xludf.DUMMYFUNCTION("""COMPUTED_VALUE"""),50.0)</f>
        <v>50</v>
      </c>
      <c r="J1366" s="139">
        <f>IFERROR(__xludf.DUMMYFUNCTION("""COMPUTED_VALUE"""),25.0)</f>
        <v>25</v>
      </c>
      <c r="K1366" s="139">
        <f>IFERROR(__xludf.DUMMYFUNCTION("""COMPUTED_VALUE"""),75.0)</f>
        <v>75</v>
      </c>
      <c r="L1366" s="139"/>
      <c r="M1366" s="139"/>
      <c r="N1366" s="139"/>
    </row>
    <row r="1367">
      <c r="A1367" s="139" t="str">
        <f>IFERROR(__xludf.DUMMYFUNCTION("""COMPUTED_VALUE"""),"e")</f>
        <v>e</v>
      </c>
      <c r="B1367" s="139">
        <f>IFERROR(__xludf.DUMMYFUNCTION("""COMPUTED_VALUE"""),2.0250901E8)</f>
        <v>202509010</v>
      </c>
      <c r="C1367" s="139" t="str">
        <f>IFERROR(__xludf.DUMMYFUNCTION("""COMPUTED_VALUE"""),"e_glo_00001_general_ori3_vh2_big_Normal_Blue_Normal_00000")</f>
        <v>e_glo_00001_general_ori3_vh2_big_Normal_Blue_Normal_00000</v>
      </c>
      <c r="D1367" s="139" t="str">
        <f>IFERROR(__xludf.DUMMYFUNCTION("""COMPUTED_VALUE"""),"e_glo_00001_general_ori3_vh2_big_Normal_Blue")</f>
        <v>e_glo_00001_general_ori3_vh2_big_Normal_Blue</v>
      </c>
      <c r="E1367" s="139">
        <f>IFERROR(__xludf.DUMMYFUNCTION("""COMPUTED_VALUE"""),0.0)</f>
        <v>0</v>
      </c>
      <c r="F1367" s="139" t="str">
        <f>IFERROR(__xludf.DUMMYFUNCTION("""COMPUTED_VALUE"""),"Normal")</f>
        <v>Normal</v>
      </c>
      <c r="G1367" s="139"/>
      <c r="H1367" s="139"/>
      <c r="I1367" s="139">
        <f>IFERROR(__xludf.DUMMYFUNCTION("""COMPUTED_VALUE"""),50.0)</f>
        <v>50</v>
      </c>
      <c r="J1367" s="139">
        <f>IFERROR(__xludf.DUMMYFUNCTION("""COMPUTED_VALUE"""),25.0)</f>
        <v>25</v>
      </c>
      <c r="K1367" s="139">
        <f>IFERROR(__xludf.DUMMYFUNCTION("""COMPUTED_VALUE"""),75.0)</f>
        <v>75</v>
      </c>
      <c r="L1367" s="139"/>
      <c r="M1367" s="139"/>
      <c r="N1367" s="139"/>
    </row>
    <row r="1368">
      <c r="A1368" s="139" t="str">
        <f>IFERROR(__xludf.DUMMYFUNCTION("""COMPUTED_VALUE"""),"e")</f>
        <v>e</v>
      </c>
      <c r="B1368" s="139">
        <f>IFERROR(__xludf.DUMMYFUNCTION("""COMPUTED_VALUE"""),2.0250901E8)</f>
        <v>202509010</v>
      </c>
      <c r="C1368" s="139" t="str">
        <f>IFERROR(__xludf.DUMMYFUNCTION("""COMPUTED_VALUE"""),"c_sur_00201_general_ori3_vh2_Normal_Blue_Normal_00000")</f>
        <v>c_sur_00201_general_ori3_vh2_Normal_Blue_Normal_00000</v>
      </c>
      <c r="D1368" s="139" t="str">
        <f>IFERROR(__xludf.DUMMYFUNCTION("""COMPUTED_VALUE"""),"c_sur_00201_general_ori3_vh2_Normal_Blue")</f>
        <v>c_sur_00201_general_ori3_vh2_Normal_Blue</v>
      </c>
      <c r="E1368" s="139">
        <f>IFERROR(__xludf.DUMMYFUNCTION("""COMPUTED_VALUE"""),0.0)</f>
        <v>0</v>
      </c>
      <c r="F1368" s="139" t="str">
        <f>IFERROR(__xludf.DUMMYFUNCTION("""COMPUTED_VALUE"""),"Normal")</f>
        <v>Normal</v>
      </c>
      <c r="G1368" s="139"/>
      <c r="H1368" s="139"/>
      <c r="I1368" s="139">
        <f>IFERROR(__xludf.DUMMYFUNCTION("""COMPUTED_VALUE"""),74.0)</f>
        <v>74</v>
      </c>
      <c r="J1368" s="139">
        <f>IFERROR(__xludf.DUMMYFUNCTION("""COMPUTED_VALUE"""),29.0)</f>
        <v>29</v>
      </c>
      <c r="K1368" s="139">
        <f>IFERROR(__xludf.DUMMYFUNCTION("""COMPUTED_VALUE"""),45.0)</f>
        <v>45</v>
      </c>
      <c r="L1368" s="139"/>
      <c r="M1368" s="139"/>
      <c r="N1368" s="139"/>
    </row>
    <row r="1369">
      <c r="A1369" s="139" t="str">
        <f>IFERROR(__xludf.DUMMYFUNCTION("""COMPUTED_VALUE"""),"e")</f>
        <v>e</v>
      </c>
      <c r="B1369" s="139">
        <f>IFERROR(__xludf.DUMMYFUNCTION("""COMPUTED_VALUE"""),2.0250901E8)</f>
        <v>202509010</v>
      </c>
      <c r="C1369" s="139" t="str">
        <f>IFERROR(__xludf.DUMMYFUNCTION("""COMPUTED_VALUE"""),"c_sur_00201_general_ori3_vh2_Normal_Blue_Special_00001")</f>
        <v>c_sur_00201_general_ori3_vh2_Normal_Blue_Special_00001</v>
      </c>
      <c r="D1369" s="139" t="str">
        <f>IFERROR(__xludf.DUMMYFUNCTION("""COMPUTED_VALUE"""),"c_sur_00201_general_ori3_vh2_Normal_Blue")</f>
        <v>c_sur_00201_general_ori3_vh2_Normal_Blue</v>
      </c>
      <c r="E1369" s="139">
        <f>IFERROR(__xludf.DUMMYFUNCTION("""COMPUTED_VALUE"""),0.0)</f>
        <v>0</v>
      </c>
      <c r="F1369" s="139" t="str">
        <f>IFERROR(__xludf.DUMMYFUNCTION("""COMPUTED_VALUE"""),"Special")</f>
        <v>Special</v>
      </c>
      <c r="G1369" s="139"/>
      <c r="H1369" s="139"/>
      <c r="I1369" s="139">
        <f>IFERROR(__xludf.DUMMYFUNCTION("""COMPUTED_VALUE"""),154.0)</f>
        <v>154</v>
      </c>
      <c r="J1369" s="139">
        <f>IFERROR(__xludf.DUMMYFUNCTION("""COMPUTED_VALUE"""),0.0)</f>
        <v>0</v>
      </c>
      <c r="K1369" s="139">
        <f>IFERROR(__xludf.DUMMYFUNCTION("""COMPUTED_VALUE"""),0.0)</f>
        <v>0</v>
      </c>
      <c r="L1369" s="139"/>
      <c r="M1369" s="139"/>
      <c r="N1369" s="139"/>
    </row>
    <row r="1370">
      <c r="A1370" s="139" t="str">
        <f>IFERROR(__xludf.DUMMYFUNCTION("""COMPUTED_VALUE"""),"e")</f>
        <v>e</v>
      </c>
      <c r="B1370" s="139">
        <f>IFERROR(__xludf.DUMMYFUNCTION("""COMPUTED_VALUE"""),2.0250901E8)</f>
        <v>202509010</v>
      </c>
      <c r="C1370" s="139" t="str">
        <f>IFERROR(__xludf.DUMMYFUNCTION("""COMPUTED_VALUE"""),"c_sur_00301_general_ori3_vh2_Normal_Blue_Normal_00000")</f>
        <v>c_sur_00301_general_ori3_vh2_Normal_Blue_Normal_00000</v>
      </c>
      <c r="D1370" s="139" t="str">
        <f>IFERROR(__xludf.DUMMYFUNCTION("""COMPUTED_VALUE"""),"c_sur_00301_general_ori3_vh2_Normal_Blue")</f>
        <v>c_sur_00301_general_ori3_vh2_Normal_Blue</v>
      </c>
      <c r="E1370" s="139">
        <f>IFERROR(__xludf.DUMMYFUNCTION("""COMPUTED_VALUE"""),0.0)</f>
        <v>0</v>
      </c>
      <c r="F1370" s="139" t="str">
        <f>IFERROR(__xludf.DUMMYFUNCTION("""COMPUTED_VALUE"""),"Normal")</f>
        <v>Normal</v>
      </c>
      <c r="G1370" s="139"/>
      <c r="H1370" s="139"/>
      <c r="I1370" s="139">
        <f>IFERROR(__xludf.DUMMYFUNCTION("""COMPUTED_VALUE"""),75.0)</f>
        <v>75</v>
      </c>
      <c r="J1370" s="139">
        <f>IFERROR(__xludf.DUMMYFUNCTION("""COMPUTED_VALUE"""),29.0)</f>
        <v>29</v>
      </c>
      <c r="K1370" s="139">
        <f>IFERROR(__xludf.DUMMYFUNCTION("""COMPUTED_VALUE"""),45.0)</f>
        <v>45</v>
      </c>
      <c r="L1370" s="139"/>
      <c r="M1370" s="139"/>
      <c r="N1370" s="139"/>
    </row>
    <row r="1371">
      <c r="A1371" s="139" t="str">
        <f>IFERROR(__xludf.DUMMYFUNCTION("""COMPUTED_VALUE"""),"e")</f>
        <v>e</v>
      </c>
      <c r="B1371" s="139">
        <f>IFERROR(__xludf.DUMMYFUNCTION("""COMPUTED_VALUE"""),2.0250901E8)</f>
        <v>202509010</v>
      </c>
      <c r="C1371" s="139" t="str">
        <f>IFERROR(__xludf.DUMMYFUNCTION("""COMPUTED_VALUE"""),"c_sur_00301_general_ori3_vh2_Normal_Blue_Special_00001")</f>
        <v>c_sur_00301_general_ori3_vh2_Normal_Blue_Special_00001</v>
      </c>
      <c r="D1371" s="139" t="str">
        <f>IFERROR(__xludf.DUMMYFUNCTION("""COMPUTED_VALUE"""),"c_sur_00301_general_ori3_vh2_Normal_Blue")</f>
        <v>c_sur_00301_general_ori3_vh2_Normal_Blue</v>
      </c>
      <c r="E1371" s="139">
        <f>IFERROR(__xludf.DUMMYFUNCTION("""COMPUTED_VALUE"""),0.0)</f>
        <v>0</v>
      </c>
      <c r="F1371" s="139" t="str">
        <f>IFERROR(__xludf.DUMMYFUNCTION("""COMPUTED_VALUE"""),"Special")</f>
        <v>Special</v>
      </c>
      <c r="G1371" s="139"/>
      <c r="H1371" s="139"/>
      <c r="I1371" s="139">
        <f>IFERROR(__xludf.DUMMYFUNCTION("""COMPUTED_VALUE"""),133.0)</f>
        <v>133</v>
      </c>
      <c r="J1371" s="139">
        <f>IFERROR(__xludf.DUMMYFUNCTION("""COMPUTED_VALUE"""),50.0)</f>
        <v>50</v>
      </c>
      <c r="K1371" s="139">
        <f>IFERROR(__xludf.DUMMYFUNCTION("""COMPUTED_VALUE"""),0.0)</f>
        <v>0</v>
      </c>
      <c r="L1371" s="139"/>
      <c r="M1371" s="139"/>
      <c r="N1371" s="139"/>
    </row>
    <row r="1372">
      <c r="A1372" s="139" t="str">
        <f>IFERROR(__xludf.DUMMYFUNCTION("""COMPUTED_VALUE"""),"e")</f>
        <v>e</v>
      </c>
      <c r="B1372" s="139">
        <f>IFERROR(__xludf.DUMMYFUNCTION("""COMPUTED_VALUE"""),2.0250901E8)</f>
        <v>202509010</v>
      </c>
      <c r="C1372" s="139" t="str">
        <f>IFERROR(__xludf.DUMMYFUNCTION("""COMPUTED_VALUE"""),"c_chi_00002_general_ori3_vh2_Normal_Blue_Normal_00000")</f>
        <v>c_chi_00002_general_ori3_vh2_Normal_Blue_Normal_00000</v>
      </c>
      <c r="D1372" s="139" t="str">
        <f>IFERROR(__xludf.DUMMYFUNCTION("""COMPUTED_VALUE"""),"c_chi_00002_general_ori3_vh2_Normal_Blue")</f>
        <v>c_chi_00002_general_ori3_vh2_Normal_Blue</v>
      </c>
      <c r="E1372" s="139">
        <f>IFERROR(__xludf.DUMMYFUNCTION("""COMPUTED_VALUE"""),0.0)</f>
        <v>0</v>
      </c>
      <c r="F1372" s="139" t="str">
        <f>IFERROR(__xludf.DUMMYFUNCTION("""COMPUTED_VALUE"""),"Normal")</f>
        <v>Normal</v>
      </c>
      <c r="G1372" s="139"/>
      <c r="H1372" s="139"/>
      <c r="I1372" s="139">
        <f>IFERROR(__xludf.DUMMYFUNCTION("""COMPUTED_VALUE"""),54.0)</f>
        <v>54</v>
      </c>
      <c r="J1372" s="139">
        <f>IFERROR(__xludf.DUMMYFUNCTION("""COMPUTED_VALUE"""),33.0)</f>
        <v>33</v>
      </c>
      <c r="K1372" s="139">
        <f>IFERROR(__xludf.DUMMYFUNCTION("""COMPUTED_VALUE"""),35.0)</f>
        <v>35</v>
      </c>
      <c r="L1372" s="139"/>
      <c r="M1372" s="139"/>
      <c r="N1372" s="139"/>
    </row>
    <row r="1373">
      <c r="A1373" s="139" t="str">
        <f>IFERROR(__xludf.DUMMYFUNCTION("""COMPUTED_VALUE"""),"e")</f>
        <v>e</v>
      </c>
      <c r="B1373" s="139">
        <f>IFERROR(__xludf.DUMMYFUNCTION("""COMPUTED_VALUE"""),2.0250901E8)</f>
        <v>202509010</v>
      </c>
      <c r="C1373" s="139" t="str">
        <f>IFERROR(__xludf.DUMMYFUNCTION("""COMPUTED_VALUE"""),"c_chi_00002_general_ori3_vh2_Normal_Blue_Special_00001")</f>
        <v>c_chi_00002_general_ori3_vh2_Normal_Blue_Special_00001</v>
      </c>
      <c r="D1373" s="139" t="str">
        <f>IFERROR(__xludf.DUMMYFUNCTION("""COMPUTED_VALUE"""),"c_chi_00002_general_ori3_vh2_Normal_Blue")</f>
        <v>c_chi_00002_general_ori3_vh2_Normal_Blue</v>
      </c>
      <c r="E1373" s="139">
        <f>IFERROR(__xludf.DUMMYFUNCTION("""COMPUTED_VALUE"""),0.0)</f>
        <v>0</v>
      </c>
      <c r="F1373" s="139" t="str">
        <f>IFERROR(__xludf.DUMMYFUNCTION("""COMPUTED_VALUE"""),"Special")</f>
        <v>Special</v>
      </c>
      <c r="G1373" s="139"/>
      <c r="H1373" s="139"/>
      <c r="I1373" s="139">
        <f>IFERROR(__xludf.DUMMYFUNCTION("""COMPUTED_VALUE"""),133.0)</f>
        <v>133</v>
      </c>
      <c r="J1373" s="139">
        <f>IFERROR(__xludf.DUMMYFUNCTION("""COMPUTED_VALUE"""),0.0)</f>
        <v>0</v>
      </c>
      <c r="K1373" s="139">
        <f>IFERROR(__xludf.DUMMYFUNCTION("""COMPUTED_VALUE"""),0.0)</f>
        <v>0</v>
      </c>
      <c r="L1373" s="139"/>
      <c r="M1373" s="139"/>
      <c r="N1373" s="139"/>
    </row>
    <row r="1374">
      <c r="A1374" s="139" t="str">
        <f>IFERROR(__xludf.DUMMYFUNCTION("""COMPUTED_VALUE"""),"e")</f>
        <v>e</v>
      </c>
      <c r="B1374" s="139">
        <f>IFERROR(__xludf.DUMMYFUNCTION("""COMPUTED_VALUE"""),2.0250901E8)</f>
        <v>202509010</v>
      </c>
      <c r="C1374" s="139" t="str">
        <f>IFERROR(__xludf.DUMMYFUNCTION("""COMPUTED_VALUE"""),"c_rik_00101_general_ori3_vh2_Boss_Blue_Normal_00000")</f>
        <v>c_rik_00101_general_ori3_vh2_Boss_Blue_Normal_00000</v>
      </c>
      <c r="D1374" s="139" t="str">
        <f>IFERROR(__xludf.DUMMYFUNCTION("""COMPUTED_VALUE"""),"c_rik_00101_general_ori3_vh2_Boss_Blue")</f>
        <v>c_rik_00101_general_ori3_vh2_Boss_Blue</v>
      </c>
      <c r="E1374" s="139">
        <f>IFERROR(__xludf.DUMMYFUNCTION("""COMPUTED_VALUE"""),0.0)</f>
        <v>0</v>
      </c>
      <c r="F1374" s="139" t="str">
        <f>IFERROR(__xludf.DUMMYFUNCTION("""COMPUTED_VALUE"""),"Normal")</f>
        <v>Normal</v>
      </c>
      <c r="G1374" s="139"/>
      <c r="H1374" s="139"/>
      <c r="I1374" s="139">
        <f>IFERROR(__xludf.DUMMYFUNCTION("""COMPUTED_VALUE"""),79.0)</f>
        <v>79</v>
      </c>
      <c r="J1374" s="139">
        <f>IFERROR(__xludf.DUMMYFUNCTION("""COMPUTED_VALUE"""),44.0)</f>
        <v>44</v>
      </c>
      <c r="K1374" s="139">
        <f>IFERROR(__xludf.DUMMYFUNCTION("""COMPUTED_VALUE"""),175.0)</f>
        <v>175</v>
      </c>
      <c r="L1374" s="139"/>
      <c r="M1374" s="139"/>
      <c r="N1374" s="139"/>
    </row>
    <row r="1375">
      <c r="A1375" s="139" t="str">
        <f>IFERROR(__xludf.DUMMYFUNCTION("""COMPUTED_VALUE"""),"e")</f>
        <v>e</v>
      </c>
      <c r="B1375" s="139">
        <f>IFERROR(__xludf.DUMMYFUNCTION("""COMPUTED_VALUE"""),2.0250901E8)</f>
        <v>202509010</v>
      </c>
      <c r="C1375" s="139" t="str">
        <f>IFERROR(__xludf.DUMMYFUNCTION("""COMPUTED_VALUE"""),"c_rik_00101_general_ori3_vh2_Boss_Blue_Appearance_00001")</f>
        <v>c_rik_00101_general_ori3_vh2_Boss_Blue_Appearance_00001</v>
      </c>
      <c r="D1375" s="139" t="str">
        <f>IFERROR(__xludf.DUMMYFUNCTION("""COMPUTED_VALUE"""),"c_rik_00101_general_ori3_vh2_Boss_Blue")</f>
        <v>c_rik_00101_general_ori3_vh2_Boss_Blue</v>
      </c>
      <c r="E1375" s="139">
        <f>IFERROR(__xludf.DUMMYFUNCTION("""COMPUTED_VALUE"""),0.0)</f>
        <v>0</v>
      </c>
      <c r="F1375" s="139" t="str">
        <f>IFERROR(__xludf.DUMMYFUNCTION("""COMPUTED_VALUE"""),"Appearance")</f>
        <v>Appearance</v>
      </c>
      <c r="G1375" s="139"/>
      <c r="H1375" s="139"/>
      <c r="I1375" s="139">
        <f>IFERROR(__xludf.DUMMYFUNCTION("""COMPUTED_VALUE"""),50.0)</f>
        <v>50</v>
      </c>
      <c r="J1375" s="139">
        <f>IFERROR(__xludf.DUMMYFUNCTION("""COMPUTED_VALUE"""),0.0)</f>
        <v>0</v>
      </c>
      <c r="K1375" s="139">
        <f>IFERROR(__xludf.DUMMYFUNCTION("""COMPUTED_VALUE"""),0.0)</f>
        <v>0</v>
      </c>
      <c r="L1375" s="139"/>
      <c r="M1375" s="139"/>
      <c r="N1375" s="139"/>
    </row>
    <row r="1376">
      <c r="A1376" s="139" t="str">
        <f>IFERROR(__xludf.DUMMYFUNCTION("""COMPUTED_VALUE"""),"e")</f>
        <v>e</v>
      </c>
      <c r="B1376" s="139">
        <f>IFERROR(__xludf.DUMMYFUNCTION("""COMPUTED_VALUE"""),2.0250901E8)</f>
        <v>202509010</v>
      </c>
      <c r="C1376" s="139" t="str">
        <f>IFERROR(__xludf.DUMMYFUNCTION("""COMPUTED_VALUE"""),"c_rik_00101_general_ori3_vh2_Boss_Blue_Special_00002")</f>
        <v>c_rik_00101_general_ori3_vh2_Boss_Blue_Special_00002</v>
      </c>
      <c r="D1376" s="139" t="str">
        <f>IFERROR(__xludf.DUMMYFUNCTION("""COMPUTED_VALUE"""),"c_rik_00101_general_ori3_vh2_Boss_Blue")</f>
        <v>c_rik_00101_general_ori3_vh2_Boss_Blue</v>
      </c>
      <c r="E1376" s="139">
        <f>IFERROR(__xludf.DUMMYFUNCTION("""COMPUTED_VALUE"""),0.0)</f>
        <v>0</v>
      </c>
      <c r="F1376" s="139" t="str">
        <f>IFERROR(__xludf.DUMMYFUNCTION("""COMPUTED_VALUE"""),"Special")</f>
        <v>Special</v>
      </c>
      <c r="G1376" s="139"/>
      <c r="H1376" s="139"/>
      <c r="I1376" s="139">
        <f>IFERROR(__xludf.DUMMYFUNCTION("""COMPUTED_VALUE"""),134.0)</f>
        <v>134</v>
      </c>
      <c r="J1376" s="139">
        <f>IFERROR(__xludf.DUMMYFUNCTION("""COMPUTED_VALUE"""),50.0)</f>
        <v>50</v>
      </c>
      <c r="K1376" s="139">
        <f>IFERROR(__xludf.DUMMYFUNCTION("""COMPUTED_VALUE"""),0.0)</f>
        <v>0</v>
      </c>
      <c r="L1376" s="139"/>
      <c r="M1376" s="139"/>
      <c r="N1376" s="139"/>
    </row>
    <row r="1377">
      <c r="A1377" s="139"/>
      <c r="B1377" s="139"/>
      <c r="C1377" s="139"/>
      <c r="D1377" s="139"/>
      <c r="E1377" s="139"/>
      <c r="F1377" s="139"/>
      <c r="G1377" s="139"/>
      <c r="H1377" s="139"/>
      <c r="I1377" s="139"/>
      <c r="J1377" s="139"/>
      <c r="K1377" s="139"/>
      <c r="L1377" s="139"/>
      <c r="M1377" s="139"/>
      <c r="N1377" s="139"/>
    </row>
    <row r="1378">
      <c r="A1378" s="139" t="str">
        <f>IFERROR(__xludf.DUMMYFUNCTION("""COMPUTED_VALUE"""),"e")</f>
        <v>e</v>
      </c>
      <c r="B1378" s="139">
        <f>IFERROR(__xludf.DUMMYFUNCTION("""COMPUTED_VALUE"""),2.0250901E8)</f>
        <v>202509010</v>
      </c>
      <c r="C1378" s="139" t="str">
        <f>IFERROR(__xludf.DUMMYFUNCTION("""COMPUTED_VALUE"""),"e_glo_00001_general_ori3_vh3_Normal_Colorless_Normal_00000")</f>
        <v>e_glo_00001_general_ori3_vh3_Normal_Colorless_Normal_00000</v>
      </c>
      <c r="D1378" s="139" t="str">
        <f>IFERROR(__xludf.DUMMYFUNCTION("""COMPUTED_VALUE"""),"e_glo_00001_general_ori3_vh3_Normal_Colorless")</f>
        <v>e_glo_00001_general_ori3_vh3_Normal_Colorless</v>
      </c>
      <c r="E1378" s="139">
        <f>IFERROR(__xludf.DUMMYFUNCTION("""COMPUTED_VALUE"""),0.0)</f>
        <v>0</v>
      </c>
      <c r="F1378" s="139" t="str">
        <f>IFERROR(__xludf.DUMMYFUNCTION("""COMPUTED_VALUE"""),"Normal")</f>
        <v>Normal</v>
      </c>
      <c r="G1378" s="139"/>
      <c r="H1378" s="139"/>
      <c r="I1378" s="139">
        <f>IFERROR(__xludf.DUMMYFUNCTION("""COMPUTED_VALUE"""),50.0)</f>
        <v>50</v>
      </c>
      <c r="J1378" s="139">
        <f>IFERROR(__xludf.DUMMYFUNCTION("""COMPUTED_VALUE"""),25.0)</f>
        <v>25</v>
      </c>
      <c r="K1378" s="139">
        <f>IFERROR(__xludf.DUMMYFUNCTION("""COMPUTED_VALUE"""),100.0)</f>
        <v>100</v>
      </c>
      <c r="L1378" s="139"/>
      <c r="M1378" s="139"/>
      <c r="N1378" s="139"/>
    </row>
    <row r="1379">
      <c r="A1379" s="139" t="str">
        <f>IFERROR(__xludf.DUMMYFUNCTION("""COMPUTED_VALUE"""),"e")</f>
        <v>e</v>
      </c>
      <c r="B1379" s="139">
        <f>IFERROR(__xludf.DUMMYFUNCTION("""COMPUTED_VALUE"""),2.0250901E8)</f>
        <v>202509010</v>
      </c>
      <c r="C1379" s="139" t="str">
        <f>IFERROR(__xludf.DUMMYFUNCTION("""COMPUTED_VALUE"""),"e_glo_00001_general_ori3_vh3_big_Normal_Colorless_Normal_00000")</f>
        <v>e_glo_00001_general_ori3_vh3_big_Normal_Colorless_Normal_00000</v>
      </c>
      <c r="D1379" s="139" t="str">
        <f>IFERROR(__xludf.DUMMYFUNCTION("""COMPUTED_VALUE"""),"e_glo_00001_general_ori3_vh3_big_Normal_Colorless")</f>
        <v>e_glo_00001_general_ori3_vh3_big_Normal_Colorless</v>
      </c>
      <c r="E1379" s="139">
        <f>IFERROR(__xludf.DUMMYFUNCTION("""COMPUTED_VALUE"""),0.0)</f>
        <v>0</v>
      </c>
      <c r="F1379" s="139" t="str">
        <f>IFERROR(__xludf.DUMMYFUNCTION("""COMPUTED_VALUE"""),"Normal")</f>
        <v>Normal</v>
      </c>
      <c r="G1379" s="139"/>
      <c r="H1379" s="139"/>
      <c r="I1379" s="139">
        <f>IFERROR(__xludf.DUMMYFUNCTION("""COMPUTED_VALUE"""),50.0)</f>
        <v>50</v>
      </c>
      <c r="J1379" s="139">
        <f>IFERROR(__xludf.DUMMYFUNCTION("""COMPUTED_VALUE"""),25.0)</f>
        <v>25</v>
      </c>
      <c r="K1379" s="139">
        <f>IFERROR(__xludf.DUMMYFUNCTION("""COMPUTED_VALUE"""),100.0)</f>
        <v>100</v>
      </c>
      <c r="L1379" s="139"/>
      <c r="M1379" s="139"/>
      <c r="N1379" s="139"/>
    </row>
    <row r="1380">
      <c r="A1380" s="139" t="str">
        <f>IFERROR(__xludf.DUMMYFUNCTION("""COMPUTED_VALUE"""),"e")</f>
        <v>e</v>
      </c>
      <c r="B1380" s="139">
        <f>IFERROR(__xludf.DUMMYFUNCTION("""COMPUTED_VALUE"""),2.0250901E8)</f>
        <v>202509010</v>
      </c>
      <c r="C1380" s="139" t="str">
        <f>IFERROR(__xludf.DUMMYFUNCTION("""COMPUTED_VALUE"""),"e_glo_00101_general_ori3_vh3_Boss_Colorless_Normal_00000")</f>
        <v>e_glo_00101_general_ori3_vh3_Boss_Colorless_Normal_00000</v>
      </c>
      <c r="D1380" s="139" t="str">
        <f>IFERROR(__xludf.DUMMYFUNCTION("""COMPUTED_VALUE"""),"e_glo_00101_general_ori3_vh3_Boss_Colorless")</f>
        <v>e_glo_00101_general_ori3_vh3_Boss_Colorless</v>
      </c>
      <c r="E1380" s="139">
        <f>IFERROR(__xludf.DUMMYFUNCTION("""COMPUTED_VALUE"""),0.0)</f>
        <v>0</v>
      </c>
      <c r="F1380" s="139" t="str">
        <f>IFERROR(__xludf.DUMMYFUNCTION("""COMPUTED_VALUE"""),"Normal")</f>
        <v>Normal</v>
      </c>
      <c r="G1380" s="139"/>
      <c r="H1380" s="139"/>
      <c r="I1380" s="139">
        <f>IFERROR(__xludf.DUMMYFUNCTION("""COMPUTED_VALUE"""),59.0)</f>
        <v>59</v>
      </c>
      <c r="J1380" s="139">
        <f>IFERROR(__xludf.DUMMYFUNCTION("""COMPUTED_VALUE"""),28.0)</f>
        <v>28</v>
      </c>
      <c r="K1380" s="139">
        <f>IFERROR(__xludf.DUMMYFUNCTION("""COMPUTED_VALUE"""),150.0)</f>
        <v>150</v>
      </c>
      <c r="L1380" s="139"/>
      <c r="M1380" s="139"/>
      <c r="N1380" s="139"/>
    </row>
    <row r="1381">
      <c r="A1381" s="139" t="str">
        <f>IFERROR(__xludf.DUMMYFUNCTION("""COMPUTED_VALUE"""),"e")</f>
        <v>e</v>
      </c>
      <c r="B1381" s="139">
        <f>IFERROR(__xludf.DUMMYFUNCTION("""COMPUTED_VALUE"""),2.0250901E8)</f>
        <v>202509010</v>
      </c>
      <c r="C1381" s="139" t="str">
        <f>IFERROR(__xludf.DUMMYFUNCTION("""COMPUTED_VALUE"""),"e_glo_00101_general_ori3_vh3_Boss_Colorless_Appearance_00001")</f>
        <v>e_glo_00101_general_ori3_vh3_Boss_Colorless_Appearance_00001</v>
      </c>
      <c r="D1381" s="139" t="str">
        <f>IFERROR(__xludf.DUMMYFUNCTION("""COMPUTED_VALUE"""),"e_glo_00101_general_ori3_vh3_Boss_Colorless")</f>
        <v>e_glo_00101_general_ori3_vh3_Boss_Colorless</v>
      </c>
      <c r="E1381" s="139">
        <f>IFERROR(__xludf.DUMMYFUNCTION("""COMPUTED_VALUE"""),0.0)</f>
        <v>0</v>
      </c>
      <c r="F1381" s="139" t="str">
        <f>IFERROR(__xludf.DUMMYFUNCTION("""COMPUTED_VALUE"""),"Appearance")</f>
        <v>Appearance</v>
      </c>
      <c r="G1381" s="139"/>
      <c r="H1381" s="139"/>
      <c r="I1381" s="139">
        <f>IFERROR(__xludf.DUMMYFUNCTION("""COMPUTED_VALUE"""),50.0)</f>
        <v>50</v>
      </c>
      <c r="J1381" s="139">
        <f>IFERROR(__xludf.DUMMYFUNCTION("""COMPUTED_VALUE"""),0.0)</f>
        <v>0</v>
      </c>
      <c r="K1381" s="139">
        <f>IFERROR(__xludf.DUMMYFUNCTION("""COMPUTED_VALUE"""),0.0)</f>
        <v>0</v>
      </c>
      <c r="L1381" s="139"/>
      <c r="M1381" s="139"/>
      <c r="N1381" s="139"/>
    </row>
    <row r="1382">
      <c r="A1382" s="139" t="str">
        <f>IFERROR(__xludf.DUMMYFUNCTION("""COMPUTED_VALUE"""),"e")</f>
        <v>e</v>
      </c>
      <c r="B1382" s="139">
        <f>IFERROR(__xludf.DUMMYFUNCTION("""COMPUTED_VALUE"""),2.0250901E8)</f>
        <v>202509010</v>
      </c>
      <c r="C1382" s="139" t="str">
        <f>IFERROR(__xludf.DUMMYFUNCTION("""COMPUTED_VALUE"""),"e_glo_00001_general_ori3_vh3_Normal_Red_Normal_00000")</f>
        <v>e_glo_00001_general_ori3_vh3_Normal_Red_Normal_00000</v>
      </c>
      <c r="D1382" s="139" t="str">
        <f>IFERROR(__xludf.DUMMYFUNCTION("""COMPUTED_VALUE"""),"e_glo_00001_general_ori3_vh3_Normal_Red")</f>
        <v>e_glo_00001_general_ori3_vh3_Normal_Red</v>
      </c>
      <c r="E1382" s="139">
        <f>IFERROR(__xludf.DUMMYFUNCTION("""COMPUTED_VALUE"""),0.0)</f>
        <v>0</v>
      </c>
      <c r="F1382" s="139" t="str">
        <f>IFERROR(__xludf.DUMMYFUNCTION("""COMPUTED_VALUE"""),"Normal")</f>
        <v>Normal</v>
      </c>
      <c r="G1382" s="139"/>
      <c r="H1382" s="139"/>
      <c r="I1382" s="139">
        <f>IFERROR(__xludf.DUMMYFUNCTION("""COMPUTED_VALUE"""),50.0)</f>
        <v>50</v>
      </c>
      <c r="J1382" s="139">
        <f>IFERROR(__xludf.DUMMYFUNCTION("""COMPUTED_VALUE"""),25.0)</f>
        <v>25</v>
      </c>
      <c r="K1382" s="139">
        <f>IFERROR(__xludf.DUMMYFUNCTION("""COMPUTED_VALUE"""),100.0)</f>
        <v>100</v>
      </c>
      <c r="L1382" s="139"/>
      <c r="M1382" s="139"/>
      <c r="N1382" s="139"/>
    </row>
    <row r="1383">
      <c r="A1383" s="139" t="str">
        <f>IFERROR(__xludf.DUMMYFUNCTION("""COMPUTED_VALUE"""),"e")</f>
        <v>e</v>
      </c>
      <c r="B1383" s="139">
        <f>IFERROR(__xludf.DUMMYFUNCTION("""COMPUTED_VALUE"""),2.0250901E8)</f>
        <v>202509010</v>
      </c>
      <c r="C1383" s="139" t="str">
        <f>IFERROR(__xludf.DUMMYFUNCTION("""COMPUTED_VALUE"""),"e_glo_00001_general_ori3_vh3_big_Normal_Red_Normal_00000")</f>
        <v>e_glo_00001_general_ori3_vh3_big_Normal_Red_Normal_00000</v>
      </c>
      <c r="D1383" s="139" t="str">
        <f>IFERROR(__xludf.DUMMYFUNCTION("""COMPUTED_VALUE"""),"e_glo_00001_general_ori3_vh3_big_Normal_Red")</f>
        <v>e_glo_00001_general_ori3_vh3_big_Normal_Red</v>
      </c>
      <c r="E1383" s="139">
        <f>IFERROR(__xludf.DUMMYFUNCTION("""COMPUTED_VALUE"""),0.0)</f>
        <v>0</v>
      </c>
      <c r="F1383" s="139" t="str">
        <f>IFERROR(__xludf.DUMMYFUNCTION("""COMPUTED_VALUE"""),"Normal")</f>
        <v>Normal</v>
      </c>
      <c r="G1383" s="139"/>
      <c r="H1383" s="139"/>
      <c r="I1383" s="139">
        <f>IFERROR(__xludf.DUMMYFUNCTION("""COMPUTED_VALUE"""),50.0)</f>
        <v>50</v>
      </c>
      <c r="J1383" s="139">
        <f>IFERROR(__xludf.DUMMYFUNCTION("""COMPUTED_VALUE"""),25.0)</f>
        <v>25</v>
      </c>
      <c r="K1383" s="139">
        <f>IFERROR(__xludf.DUMMYFUNCTION("""COMPUTED_VALUE"""),100.0)</f>
        <v>100</v>
      </c>
      <c r="L1383" s="139"/>
      <c r="M1383" s="139"/>
      <c r="N1383" s="139"/>
    </row>
    <row r="1384">
      <c r="A1384" s="139" t="str">
        <f>IFERROR(__xludf.DUMMYFUNCTION("""COMPUTED_VALUE"""),"e")</f>
        <v>e</v>
      </c>
      <c r="B1384" s="139">
        <f>IFERROR(__xludf.DUMMYFUNCTION("""COMPUTED_VALUE"""),2.0250901E8)</f>
        <v>202509010</v>
      </c>
      <c r="C1384" s="139" t="str">
        <f>IFERROR(__xludf.DUMMYFUNCTION("""COMPUTED_VALUE"""),"e_glo_00101_general_ori3_vh3_Boss_Red_Normal_00000")</f>
        <v>e_glo_00101_general_ori3_vh3_Boss_Red_Normal_00000</v>
      </c>
      <c r="D1384" s="139" t="str">
        <f>IFERROR(__xludf.DUMMYFUNCTION("""COMPUTED_VALUE"""),"e_glo_00101_general_ori3_vh3_Boss_Red")</f>
        <v>e_glo_00101_general_ori3_vh3_Boss_Red</v>
      </c>
      <c r="E1384" s="139">
        <f>IFERROR(__xludf.DUMMYFUNCTION("""COMPUTED_VALUE"""),0.0)</f>
        <v>0</v>
      </c>
      <c r="F1384" s="139" t="str">
        <f>IFERROR(__xludf.DUMMYFUNCTION("""COMPUTED_VALUE"""),"Normal")</f>
        <v>Normal</v>
      </c>
      <c r="G1384" s="139"/>
      <c r="H1384" s="139"/>
      <c r="I1384" s="139">
        <f>IFERROR(__xludf.DUMMYFUNCTION("""COMPUTED_VALUE"""),59.0)</f>
        <v>59</v>
      </c>
      <c r="J1384" s="139">
        <f>IFERROR(__xludf.DUMMYFUNCTION("""COMPUTED_VALUE"""),28.0)</f>
        <v>28</v>
      </c>
      <c r="K1384" s="139">
        <f>IFERROR(__xludf.DUMMYFUNCTION("""COMPUTED_VALUE"""),125.0)</f>
        <v>125</v>
      </c>
      <c r="L1384" s="139"/>
      <c r="M1384" s="139"/>
      <c r="N1384" s="139"/>
    </row>
    <row r="1385">
      <c r="A1385" s="139" t="str">
        <f>IFERROR(__xludf.DUMMYFUNCTION("""COMPUTED_VALUE"""),"e")</f>
        <v>e</v>
      </c>
      <c r="B1385" s="139">
        <f>IFERROR(__xludf.DUMMYFUNCTION("""COMPUTED_VALUE"""),2.0250901E8)</f>
        <v>202509010</v>
      </c>
      <c r="C1385" s="139" t="str">
        <f>IFERROR(__xludf.DUMMYFUNCTION("""COMPUTED_VALUE"""),"e_glo_00101_general_ori3_vh3_Boss_Red_Appearance_00001")</f>
        <v>e_glo_00101_general_ori3_vh3_Boss_Red_Appearance_00001</v>
      </c>
      <c r="D1385" s="139" t="str">
        <f>IFERROR(__xludf.DUMMYFUNCTION("""COMPUTED_VALUE"""),"e_glo_00101_general_ori3_vh3_Boss_Red")</f>
        <v>e_glo_00101_general_ori3_vh3_Boss_Red</v>
      </c>
      <c r="E1385" s="139">
        <f>IFERROR(__xludf.DUMMYFUNCTION("""COMPUTED_VALUE"""),0.0)</f>
        <v>0</v>
      </c>
      <c r="F1385" s="139" t="str">
        <f>IFERROR(__xludf.DUMMYFUNCTION("""COMPUTED_VALUE"""),"Appearance")</f>
        <v>Appearance</v>
      </c>
      <c r="G1385" s="139"/>
      <c r="H1385" s="139"/>
      <c r="I1385" s="139">
        <f>IFERROR(__xludf.DUMMYFUNCTION("""COMPUTED_VALUE"""),50.0)</f>
        <v>50</v>
      </c>
      <c r="J1385" s="139">
        <f>IFERROR(__xludf.DUMMYFUNCTION("""COMPUTED_VALUE"""),0.0)</f>
        <v>0</v>
      </c>
      <c r="K1385" s="139">
        <f>IFERROR(__xludf.DUMMYFUNCTION("""COMPUTED_VALUE"""),0.0)</f>
        <v>0</v>
      </c>
      <c r="L1385" s="139"/>
      <c r="M1385" s="139"/>
      <c r="N1385" s="139"/>
    </row>
    <row r="1386">
      <c r="A1386" s="139"/>
      <c r="B1386" s="139"/>
      <c r="C1386" s="139"/>
      <c r="D1386" s="139"/>
      <c r="E1386" s="139"/>
      <c r="F1386" s="139"/>
      <c r="G1386" s="139"/>
      <c r="H1386" s="139"/>
      <c r="I1386" s="139"/>
      <c r="J1386" s="139"/>
      <c r="K1386" s="139"/>
      <c r="L1386" s="139"/>
      <c r="M1386" s="139"/>
      <c r="N1386" s="139"/>
    </row>
    <row r="1387">
      <c r="A1387" s="139" t="str">
        <f>IFERROR(__xludf.DUMMYFUNCTION("""COMPUTED_VALUE"""),"e")</f>
        <v>e</v>
      </c>
      <c r="B1387" s="139">
        <f>IFERROR(__xludf.DUMMYFUNCTION("""COMPUTED_VALUE"""),2.0250901E8)</f>
        <v>202509010</v>
      </c>
      <c r="C1387" s="139" t="str">
        <f>IFERROR(__xludf.DUMMYFUNCTION("""COMPUTED_VALUE"""),"e_mag_00001_general_Normal_Colorless_Normal_00000")</f>
        <v>e_mag_00001_general_Normal_Colorless_Normal_00000</v>
      </c>
      <c r="D1387" s="139" t="str">
        <f>IFERROR(__xludf.DUMMYFUNCTION("""COMPUTED_VALUE"""),"e_mag_00001_general_Normal_Colorless")</f>
        <v>e_mag_00001_general_Normal_Colorless</v>
      </c>
      <c r="E1387" s="139">
        <f>IFERROR(__xludf.DUMMYFUNCTION("""COMPUTED_VALUE"""),0.0)</f>
        <v>0</v>
      </c>
      <c r="F1387" s="139" t="str">
        <f>IFERROR(__xludf.DUMMYFUNCTION("""COMPUTED_VALUE"""),"Normal")</f>
        <v>Normal</v>
      </c>
      <c r="G1387" s="139"/>
      <c r="H1387" s="139"/>
      <c r="I1387" s="139">
        <f>IFERROR(__xludf.DUMMYFUNCTION("""COMPUTED_VALUE"""),75.0)</f>
        <v>75</v>
      </c>
      <c r="J1387" s="139">
        <f>IFERROR(__xludf.DUMMYFUNCTION("""COMPUTED_VALUE"""),40.0)</f>
        <v>40</v>
      </c>
      <c r="K1387" s="139">
        <f>IFERROR(__xludf.DUMMYFUNCTION("""COMPUTED_VALUE"""),150.0)</f>
        <v>150</v>
      </c>
      <c r="L1387" s="139"/>
      <c r="M1387" s="139"/>
      <c r="N1387" s="139"/>
    </row>
    <row r="1388">
      <c r="A1388" s="139" t="str">
        <f>IFERROR(__xludf.DUMMYFUNCTION("""COMPUTED_VALUE"""),"e")</f>
        <v>e</v>
      </c>
      <c r="B1388" s="139">
        <f>IFERROR(__xludf.DUMMYFUNCTION("""COMPUTED_VALUE"""),2.0250901E8)</f>
        <v>202509010</v>
      </c>
      <c r="C1388" s="139" t="str">
        <f>IFERROR(__xludf.DUMMYFUNCTION("""COMPUTED_VALUE"""),"e_mag_00001_general2_Boss_Blue_Normal_00000")</f>
        <v>e_mag_00001_general2_Boss_Blue_Normal_00000</v>
      </c>
      <c r="D1388" s="139" t="str">
        <f>IFERROR(__xludf.DUMMYFUNCTION("""COMPUTED_VALUE"""),"e_mag_00001_general2_Boss_Blue")</f>
        <v>e_mag_00001_general2_Boss_Blue</v>
      </c>
      <c r="E1388" s="139">
        <f>IFERROR(__xludf.DUMMYFUNCTION("""COMPUTED_VALUE"""),0.0)</f>
        <v>0</v>
      </c>
      <c r="F1388" s="139" t="str">
        <f>IFERROR(__xludf.DUMMYFUNCTION("""COMPUTED_VALUE"""),"Normal")</f>
        <v>Normal</v>
      </c>
      <c r="G1388" s="139"/>
      <c r="H1388" s="139"/>
      <c r="I1388" s="139">
        <f>IFERROR(__xludf.DUMMYFUNCTION("""COMPUTED_VALUE"""),75.0)</f>
        <v>75</v>
      </c>
      <c r="J1388" s="139">
        <f>IFERROR(__xludf.DUMMYFUNCTION("""COMPUTED_VALUE"""),40.0)</f>
        <v>40</v>
      </c>
      <c r="K1388" s="139">
        <f>IFERROR(__xludf.DUMMYFUNCTION("""COMPUTED_VALUE"""),125.0)</f>
        <v>125</v>
      </c>
      <c r="L1388" s="139"/>
      <c r="M1388" s="139"/>
      <c r="N1388" s="139"/>
    </row>
    <row r="1389">
      <c r="A1389" s="139" t="str">
        <f>IFERROR(__xludf.DUMMYFUNCTION("""COMPUTED_VALUE"""),"e")</f>
        <v>e</v>
      </c>
      <c r="B1389" s="139">
        <f>IFERROR(__xludf.DUMMYFUNCTION("""COMPUTED_VALUE"""),2.0250901E8)</f>
        <v>202509010</v>
      </c>
      <c r="C1389" s="139" t="str">
        <f>IFERROR(__xludf.DUMMYFUNCTION("""COMPUTED_VALUE"""),"e_mag_00001_general2_Boss_Blue_Appearance_00001")</f>
        <v>e_mag_00001_general2_Boss_Blue_Appearance_00001</v>
      </c>
      <c r="D1389" s="139" t="str">
        <f>IFERROR(__xludf.DUMMYFUNCTION("""COMPUTED_VALUE"""),"e_mag_00001_general2_Boss_Blue")</f>
        <v>e_mag_00001_general2_Boss_Blue</v>
      </c>
      <c r="E1389" s="139">
        <f>IFERROR(__xludf.DUMMYFUNCTION("""COMPUTED_VALUE"""),0.0)</f>
        <v>0</v>
      </c>
      <c r="F1389" s="139" t="str">
        <f>IFERROR(__xludf.DUMMYFUNCTION("""COMPUTED_VALUE"""),"Appearance")</f>
        <v>Appearance</v>
      </c>
      <c r="G1389" s="139"/>
      <c r="H1389" s="139"/>
      <c r="I1389" s="139">
        <f>IFERROR(__xludf.DUMMYFUNCTION("""COMPUTED_VALUE"""),50.0)</f>
        <v>50</v>
      </c>
      <c r="J1389" s="139">
        <f>IFERROR(__xludf.DUMMYFUNCTION("""COMPUTED_VALUE"""),0.0)</f>
        <v>0</v>
      </c>
      <c r="K1389" s="139">
        <f>IFERROR(__xludf.DUMMYFUNCTION("""COMPUTED_VALUE"""),0.0)</f>
        <v>0</v>
      </c>
      <c r="L1389" s="139"/>
      <c r="M1389" s="139"/>
      <c r="N1389" s="139"/>
    </row>
    <row r="1390">
      <c r="A1390" s="139" t="str">
        <f>IFERROR(__xludf.DUMMYFUNCTION("""COMPUTED_VALUE"""),"e")</f>
        <v>e</v>
      </c>
      <c r="B1390" s="139">
        <f>IFERROR(__xludf.DUMMYFUNCTION("""COMPUTED_VALUE"""),2.0250901E8)</f>
        <v>202509010</v>
      </c>
      <c r="C1390" s="139" t="str">
        <f>IFERROR(__xludf.DUMMYFUNCTION("""COMPUTED_VALUE"""),"e_mag_00001_general_Boss_Blue_Normal_00000")</f>
        <v>e_mag_00001_general_Boss_Blue_Normal_00000</v>
      </c>
      <c r="D1390" s="139" t="str">
        <f>IFERROR(__xludf.DUMMYFUNCTION("""COMPUTED_VALUE"""),"e_mag_00001_general_Boss_Blue")</f>
        <v>e_mag_00001_general_Boss_Blue</v>
      </c>
      <c r="E1390" s="139">
        <f>IFERROR(__xludf.DUMMYFUNCTION("""COMPUTED_VALUE"""),0.0)</f>
        <v>0</v>
      </c>
      <c r="F1390" s="139" t="str">
        <f>IFERROR(__xludf.DUMMYFUNCTION("""COMPUTED_VALUE"""),"Normal")</f>
        <v>Normal</v>
      </c>
      <c r="G1390" s="139"/>
      <c r="H1390" s="139"/>
      <c r="I1390" s="139">
        <f>IFERROR(__xludf.DUMMYFUNCTION("""COMPUTED_VALUE"""),75.0)</f>
        <v>75</v>
      </c>
      <c r="J1390" s="139">
        <f>IFERROR(__xludf.DUMMYFUNCTION("""COMPUTED_VALUE"""),40.0)</f>
        <v>40</v>
      </c>
      <c r="K1390" s="139">
        <f>IFERROR(__xludf.DUMMYFUNCTION("""COMPUTED_VALUE"""),150.0)</f>
        <v>150</v>
      </c>
      <c r="L1390" s="139"/>
      <c r="M1390" s="139"/>
      <c r="N1390" s="139"/>
    </row>
    <row r="1391">
      <c r="A1391" s="139" t="str">
        <f>IFERROR(__xludf.DUMMYFUNCTION("""COMPUTED_VALUE"""),"e")</f>
        <v>e</v>
      </c>
      <c r="B1391" s="139">
        <f>IFERROR(__xludf.DUMMYFUNCTION("""COMPUTED_VALUE"""),2.0250901E8)</f>
        <v>202509010</v>
      </c>
      <c r="C1391" s="139" t="str">
        <f>IFERROR(__xludf.DUMMYFUNCTION("""COMPUTED_VALUE"""),"e_mag_00001_general_Boss_Blue_Appearance_00001")</f>
        <v>e_mag_00001_general_Boss_Blue_Appearance_00001</v>
      </c>
      <c r="D1391" s="139" t="str">
        <f>IFERROR(__xludf.DUMMYFUNCTION("""COMPUTED_VALUE"""),"e_mag_00001_general_Boss_Blue")</f>
        <v>e_mag_00001_general_Boss_Blue</v>
      </c>
      <c r="E1391" s="139">
        <f>IFERROR(__xludf.DUMMYFUNCTION("""COMPUTED_VALUE"""),0.0)</f>
        <v>0</v>
      </c>
      <c r="F1391" s="139" t="str">
        <f>IFERROR(__xludf.DUMMYFUNCTION("""COMPUTED_VALUE"""),"Appearance")</f>
        <v>Appearance</v>
      </c>
      <c r="G1391" s="139"/>
      <c r="H1391" s="139"/>
      <c r="I1391" s="139">
        <f>IFERROR(__xludf.DUMMYFUNCTION("""COMPUTED_VALUE"""),50.0)</f>
        <v>50</v>
      </c>
      <c r="J1391" s="139">
        <f>IFERROR(__xludf.DUMMYFUNCTION("""COMPUTED_VALUE"""),0.0)</f>
        <v>0</v>
      </c>
      <c r="K1391" s="139">
        <f>IFERROR(__xludf.DUMMYFUNCTION("""COMPUTED_VALUE"""),0.0)</f>
        <v>0</v>
      </c>
      <c r="L1391" s="139"/>
      <c r="M1391" s="139"/>
      <c r="N1391" s="139"/>
    </row>
    <row r="1392">
      <c r="A1392" s="139" t="str">
        <f>IFERROR(__xludf.DUMMYFUNCTION("""COMPUTED_VALUE"""),"e")</f>
        <v>e</v>
      </c>
      <c r="B1392" s="139">
        <f>IFERROR(__xludf.DUMMYFUNCTION("""COMPUTED_VALUE"""),2.0250901E8)</f>
        <v>202509010</v>
      </c>
      <c r="C1392" s="139" t="str">
        <f>IFERROR(__xludf.DUMMYFUNCTION("""COMPUTED_VALUE"""),"e_mag_00101_general_Normal_Blue_Normal_00000")</f>
        <v>e_mag_00101_general_Normal_Blue_Normal_00000</v>
      </c>
      <c r="D1392" s="139" t="str">
        <f>IFERROR(__xludf.DUMMYFUNCTION("""COMPUTED_VALUE"""),"e_mag_00101_general_Normal_Blue")</f>
        <v>e_mag_00101_general_Normal_Blue</v>
      </c>
      <c r="E1392" s="139">
        <f>IFERROR(__xludf.DUMMYFUNCTION("""COMPUTED_VALUE"""),0.0)</f>
        <v>0</v>
      </c>
      <c r="F1392" s="139" t="str">
        <f>IFERROR(__xludf.DUMMYFUNCTION("""COMPUTED_VALUE"""),"Normal")</f>
        <v>Normal</v>
      </c>
      <c r="G1392" s="139"/>
      <c r="H1392" s="139"/>
      <c r="I1392" s="139">
        <f>IFERROR(__xludf.DUMMYFUNCTION("""COMPUTED_VALUE"""),18.0)</f>
        <v>18</v>
      </c>
      <c r="J1392" s="139">
        <f>IFERROR(__xludf.DUMMYFUNCTION("""COMPUTED_VALUE"""),10.0)</f>
        <v>10</v>
      </c>
      <c r="K1392" s="139">
        <f>IFERROR(__xludf.DUMMYFUNCTION("""COMPUTED_VALUE"""),0.0)</f>
        <v>0</v>
      </c>
      <c r="L1392" s="139"/>
      <c r="M1392" s="139"/>
      <c r="N1392" s="139"/>
    </row>
    <row r="1393">
      <c r="A1393" s="139" t="str">
        <f>IFERROR(__xludf.DUMMYFUNCTION("""COMPUTED_VALUE"""),"e")</f>
        <v>e</v>
      </c>
      <c r="B1393" s="139">
        <f>IFERROR(__xludf.DUMMYFUNCTION("""COMPUTED_VALUE"""),2.0250901E8)</f>
        <v>202509010</v>
      </c>
      <c r="C1393" s="139" t="str">
        <f>IFERROR(__xludf.DUMMYFUNCTION("""COMPUTED_VALUE"""),"e_mag_00101_general_Normal_Colorless_Normal_00000")</f>
        <v>e_mag_00101_general_Normal_Colorless_Normal_00000</v>
      </c>
      <c r="D1393" s="139" t="str">
        <f>IFERROR(__xludf.DUMMYFUNCTION("""COMPUTED_VALUE"""),"e_mag_00101_general_Normal_Colorless")</f>
        <v>e_mag_00101_general_Normal_Colorless</v>
      </c>
      <c r="E1393" s="139">
        <f>IFERROR(__xludf.DUMMYFUNCTION("""COMPUTED_VALUE"""),0.0)</f>
        <v>0</v>
      </c>
      <c r="F1393" s="139" t="str">
        <f>IFERROR(__xludf.DUMMYFUNCTION("""COMPUTED_VALUE"""),"Normal")</f>
        <v>Normal</v>
      </c>
      <c r="G1393" s="139"/>
      <c r="H1393" s="139"/>
      <c r="I1393" s="139">
        <f>IFERROR(__xludf.DUMMYFUNCTION("""COMPUTED_VALUE"""),18.0)</f>
        <v>18</v>
      </c>
      <c r="J1393" s="139">
        <f>IFERROR(__xludf.DUMMYFUNCTION("""COMPUTED_VALUE"""),10.0)</f>
        <v>10</v>
      </c>
      <c r="K1393" s="139">
        <f>IFERROR(__xludf.DUMMYFUNCTION("""COMPUTED_VALUE"""),0.0)</f>
        <v>0</v>
      </c>
      <c r="L1393" s="139"/>
      <c r="M1393" s="139"/>
      <c r="N1393" s="139"/>
    </row>
    <row r="1394">
      <c r="A1394" s="139" t="str">
        <f>IFERROR(__xludf.DUMMYFUNCTION("""COMPUTED_VALUE"""),"e")</f>
        <v>e</v>
      </c>
      <c r="B1394" s="139">
        <f>IFERROR(__xludf.DUMMYFUNCTION("""COMPUTED_VALUE"""),2.0250901E8)</f>
        <v>202509010</v>
      </c>
      <c r="C1394" s="139" t="str">
        <f>IFERROR(__xludf.DUMMYFUNCTION("""COMPUTED_VALUE"""),"e_mag_00101_general2_Normal_Blue_Normal_00000")</f>
        <v>e_mag_00101_general2_Normal_Blue_Normal_00000</v>
      </c>
      <c r="D1394" s="139" t="str">
        <f>IFERROR(__xludf.DUMMYFUNCTION("""COMPUTED_VALUE"""),"e_mag_00101_general2_Normal_Blue")</f>
        <v>e_mag_00101_general2_Normal_Blue</v>
      </c>
      <c r="E1394" s="139">
        <f>IFERROR(__xludf.DUMMYFUNCTION("""COMPUTED_VALUE"""),0.0)</f>
        <v>0</v>
      </c>
      <c r="F1394" s="139" t="str">
        <f>IFERROR(__xludf.DUMMYFUNCTION("""COMPUTED_VALUE"""),"Normal")</f>
        <v>Normal</v>
      </c>
      <c r="G1394" s="139"/>
      <c r="H1394" s="139"/>
      <c r="I1394" s="139">
        <f>IFERROR(__xludf.DUMMYFUNCTION("""COMPUTED_VALUE"""),18.0)</f>
        <v>18</v>
      </c>
      <c r="J1394" s="139">
        <f>IFERROR(__xludf.DUMMYFUNCTION("""COMPUTED_VALUE"""),10.0)</f>
        <v>10</v>
      </c>
      <c r="K1394" s="139">
        <f>IFERROR(__xludf.DUMMYFUNCTION("""COMPUTED_VALUE"""),0.0)</f>
        <v>0</v>
      </c>
      <c r="L1394" s="139"/>
      <c r="M1394" s="139"/>
      <c r="N1394" s="139"/>
    </row>
    <row r="1395">
      <c r="A1395" s="139" t="str">
        <f>IFERROR(__xludf.DUMMYFUNCTION("""COMPUTED_VALUE"""),"e")</f>
        <v>e</v>
      </c>
      <c r="B1395" s="139">
        <f>IFERROR(__xludf.DUMMYFUNCTION("""COMPUTED_VALUE"""),2.0250901E8)</f>
        <v>202509010</v>
      </c>
      <c r="C1395" s="139" t="str">
        <f>IFERROR(__xludf.DUMMYFUNCTION("""COMPUTED_VALUE"""),"e_mag_00101_general2_Normal_Colorless_Normal_00000")</f>
        <v>e_mag_00101_general2_Normal_Colorless_Normal_00000</v>
      </c>
      <c r="D1395" s="139" t="str">
        <f>IFERROR(__xludf.DUMMYFUNCTION("""COMPUTED_VALUE"""),"e_mag_00101_general2_Normal_Colorless")</f>
        <v>e_mag_00101_general2_Normal_Colorless</v>
      </c>
      <c r="E1395" s="139">
        <f>IFERROR(__xludf.DUMMYFUNCTION("""COMPUTED_VALUE"""),0.0)</f>
        <v>0</v>
      </c>
      <c r="F1395" s="139" t="str">
        <f>IFERROR(__xludf.DUMMYFUNCTION("""COMPUTED_VALUE"""),"Normal")</f>
        <v>Normal</v>
      </c>
      <c r="G1395" s="139"/>
      <c r="H1395" s="139"/>
      <c r="I1395" s="139">
        <f>IFERROR(__xludf.DUMMYFUNCTION("""COMPUTED_VALUE"""),18.0)</f>
        <v>18</v>
      </c>
      <c r="J1395" s="139">
        <f>IFERROR(__xludf.DUMMYFUNCTION("""COMPUTED_VALUE"""),10.0)</f>
        <v>10</v>
      </c>
      <c r="K1395" s="139">
        <f>IFERROR(__xludf.DUMMYFUNCTION("""COMPUTED_VALUE"""),0.0)</f>
        <v>0</v>
      </c>
      <c r="L1395" s="139"/>
      <c r="M1395" s="139"/>
      <c r="N1395" s="139"/>
    </row>
    <row r="1396">
      <c r="A1396" s="139" t="str">
        <f>IFERROR(__xludf.DUMMYFUNCTION("""COMPUTED_VALUE"""),"e")</f>
        <v>e</v>
      </c>
      <c r="B1396" s="139">
        <f>IFERROR(__xludf.DUMMYFUNCTION("""COMPUTED_VALUE"""),2.0250901E8)</f>
        <v>202509010</v>
      </c>
      <c r="C1396" s="139" t="str">
        <f>IFERROR(__xludf.DUMMYFUNCTION("""COMPUTED_VALUE"""),"e_mag_00201_general_Boss_Red_Normal_00000")</f>
        <v>e_mag_00201_general_Boss_Red_Normal_00000</v>
      </c>
      <c r="D1396" s="139" t="str">
        <f>IFERROR(__xludf.DUMMYFUNCTION("""COMPUTED_VALUE"""),"e_mag_00201_general_Boss_Red")</f>
        <v>e_mag_00201_general_Boss_Red</v>
      </c>
      <c r="E1396" s="139">
        <f>IFERROR(__xludf.DUMMYFUNCTION("""COMPUTED_VALUE"""),0.0)</f>
        <v>0</v>
      </c>
      <c r="F1396" s="139" t="str">
        <f>IFERROR(__xludf.DUMMYFUNCTION("""COMPUTED_VALUE"""),"Normal")</f>
        <v>Normal</v>
      </c>
      <c r="G1396" s="139"/>
      <c r="H1396" s="139"/>
      <c r="I1396" s="139">
        <f>IFERROR(__xludf.DUMMYFUNCTION("""COMPUTED_VALUE"""),75.0)</f>
        <v>75</v>
      </c>
      <c r="J1396" s="139">
        <f>IFERROR(__xludf.DUMMYFUNCTION("""COMPUTED_VALUE"""),37.0)</f>
        <v>37</v>
      </c>
      <c r="K1396" s="139">
        <f>IFERROR(__xludf.DUMMYFUNCTION("""COMPUTED_VALUE"""),100.0)</f>
        <v>100</v>
      </c>
      <c r="L1396" s="139"/>
      <c r="M1396" s="139"/>
      <c r="N1396" s="139"/>
    </row>
    <row r="1397">
      <c r="A1397" s="139" t="str">
        <f>IFERROR(__xludf.DUMMYFUNCTION("""COMPUTED_VALUE"""),"e")</f>
        <v>e</v>
      </c>
      <c r="B1397" s="139">
        <f>IFERROR(__xludf.DUMMYFUNCTION("""COMPUTED_VALUE"""),2.0250901E8)</f>
        <v>202509010</v>
      </c>
      <c r="C1397" s="139" t="str">
        <f>IFERROR(__xludf.DUMMYFUNCTION("""COMPUTED_VALUE"""),"e_mag_00201_general_Boss_Red_Appearance_00001")</f>
        <v>e_mag_00201_general_Boss_Red_Appearance_00001</v>
      </c>
      <c r="D1397" s="139" t="str">
        <f>IFERROR(__xludf.DUMMYFUNCTION("""COMPUTED_VALUE"""),"e_mag_00201_general_Boss_Red")</f>
        <v>e_mag_00201_general_Boss_Red</v>
      </c>
      <c r="E1397" s="139">
        <f>IFERROR(__xludf.DUMMYFUNCTION("""COMPUTED_VALUE"""),0.0)</f>
        <v>0</v>
      </c>
      <c r="F1397" s="139" t="str">
        <f>IFERROR(__xludf.DUMMYFUNCTION("""COMPUTED_VALUE"""),"Appearance")</f>
        <v>Appearance</v>
      </c>
      <c r="G1397" s="139"/>
      <c r="H1397" s="139"/>
      <c r="I1397" s="139">
        <f>IFERROR(__xludf.DUMMYFUNCTION("""COMPUTED_VALUE"""),50.0)</f>
        <v>50</v>
      </c>
      <c r="J1397" s="139">
        <f>IFERROR(__xludf.DUMMYFUNCTION("""COMPUTED_VALUE"""),0.0)</f>
        <v>0</v>
      </c>
      <c r="K1397" s="139">
        <f>IFERROR(__xludf.DUMMYFUNCTION("""COMPUTED_VALUE"""),0.0)</f>
        <v>0</v>
      </c>
      <c r="L1397" s="139"/>
      <c r="M1397" s="139"/>
      <c r="N1397" s="139"/>
    </row>
    <row r="1398">
      <c r="A1398" s="139" t="str">
        <f>IFERROR(__xludf.DUMMYFUNCTION("""COMPUTED_VALUE"""),"e")</f>
        <v>e</v>
      </c>
      <c r="B1398" s="139">
        <f>IFERROR(__xludf.DUMMYFUNCTION("""COMPUTED_VALUE"""),2.0250901E8)</f>
        <v>202509010</v>
      </c>
      <c r="C1398" s="139" t="str">
        <f>IFERROR(__xludf.DUMMYFUNCTION("""COMPUTED_VALUE"""),"e_mag_00301_general_Normal_Colorless_Normal_00000")</f>
        <v>e_mag_00301_general_Normal_Colorless_Normal_00000</v>
      </c>
      <c r="D1398" s="139" t="str">
        <f>IFERROR(__xludf.DUMMYFUNCTION("""COMPUTED_VALUE"""),"e_mag_00301_general_Normal_Colorless")</f>
        <v>e_mag_00301_general_Normal_Colorless</v>
      </c>
      <c r="E1398" s="139">
        <f>IFERROR(__xludf.DUMMYFUNCTION("""COMPUTED_VALUE"""),0.0)</f>
        <v>0</v>
      </c>
      <c r="F1398" s="139" t="str">
        <f>IFERROR(__xludf.DUMMYFUNCTION("""COMPUTED_VALUE"""),"Normal")</f>
        <v>Normal</v>
      </c>
      <c r="G1398" s="139"/>
      <c r="H1398" s="139"/>
      <c r="I1398" s="139">
        <f>IFERROR(__xludf.DUMMYFUNCTION("""COMPUTED_VALUE"""),75.0)</f>
        <v>75</v>
      </c>
      <c r="J1398" s="139">
        <f>IFERROR(__xludf.DUMMYFUNCTION("""COMPUTED_VALUE"""),37.0)</f>
        <v>37</v>
      </c>
      <c r="K1398" s="139">
        <f>IFERROR(__xludf.DUMMYFUNCTION("""COMPUTED_VALUE"""),65.0)</f>
        <v>65</v>
      </c>
      <c r="L1398" s="139"/>
      <c r="M1398" s="139"/>
      <c r="N1398" s="139"/>
    </row>
    <row r="1399">
      <c r="A1399" s="139" t="str">
        <f>IFERROR(__xludf.DUMMYFUNCTION("""COMPUTED_VALUE"""),"e")</f>
        <v>e</v>
      </c>
      <c r="B1399" s="139">
        <f>IFERROR(__xludf.DUMMYFUNCTION("""COMPUTED_VALUE"""),2.0250901E8)</f>
        <v>202509010</v>
      </c>
      <c r="C1399" s="139" t="str">
        <f>IFERROR(__xludf.DUMMYFUNCTION("""COMPUTED_VALUE"""),"e_mag_00301_general_Normal_Red_Normal_00000")</f>
        <v>e_mag_00301_general_Normal_Red_Normal_00000</v>
      </c>
      <c r="D1399" s="139" t="str">
        <f>IFERROR(__xludf.DUMMYFUNCTION("""COMPUTED_VALUE"""),"e_mag_00301_general_Normal_Red")</f>
        <v>e_mag_00301_general_Normal_Red</v>
      </c>
      <c r="E1399" s="139">
        <f>IFERROR(__xludf.DUMMYFUNCTION("""COMPUTED_VALUE"""),0.0)</f>
        <v>0</v>
      </c>
      <c r="F1399" s="139" t="str">
        <f>IFERROR(__xludf.DUMMYFUNCTION("""COMPUTED_VALUE"""),"Normal")</f>
        <v>Normal</v>
      </c>
      <c r="G1399" s="139"/>
      <c r="H1399" s="139"/>
      <c r="I1399" s="139">
        <f>IFERROR(__xludf.DUMMYFUNCTION("""COMPUTED_VALUE"""),75.0)</f>
        <v>75</v>
      </c>
      <c r="J1399" s="139">
        <f>IFERROR(__xludf.DUMMYFUNCTION("""COMPUTED_VALUE"""),37.0)</f>
        <v>37</v>
      </c>
      <c r="K1399" s="139">
        <f>IFERROR(__xludf.DUMMYFUNCTION("""COMPUTED_VALUE"""),65.0)</f>
        <v>65</v>
      </c>
      <c r="L1399" s="139"/>
      <c r="M1399" s="139"/>
      <c r="N1399" s="139"/>
    </row>
    <row r="1400">
      <c r="A1400" s="139" t="str">
        <f>IFERROR(__xludf.DUMMYFUNCTION("""COMPUTED_VALUE"""),"e")</f>
        <v>e</v>
      </c>
      <c r="B1400" s="139">
        <f>IFERROR(__xludf.DUMMYFUNCTION("""COMPUTED_VALUE"""),2.0250901E8)</f>
        <v>202509010</v>
      </c>
      <c r="C1400" s="139" t="str">
        <f>IFERROR(__xludf.DUMMYFUNCTION("""COMPUTED_VALUE"""),"e_mag_00301_general_Normal_Blue_Normal_00000")</f>
        <v>e_mag_00301_general_Normal_Blue_Normal_00000</v>
      </c>
      <c r="D1400" s="139" t="str">
        <f>IFERROR(__xludf.DUMMYFUNCTION("""COMPUTED_VALUE"""),"e_mag_00301_general_Normal_Blue")</f>
        <v>e_mag_00301_general_Normal_Blue</v>
      </c>
      <c r="E1400" s="139">
        <f>IFERROR(__xludf.DUMMYFUNCTION("""COMPUTED_VALUE"""),0.0)</f>
        <v>0</v>
      </c>
      <c r="F1400" s="139" t="str">
        <f>IFERROR(__xludf.DUMMYFUNCTION("""COMPUTED_VALUE"""),"Normal")</f>
        <v>Normal</v>
      </c>
      <c r="G1400" s="139"/>
      <c r="H1400" s="139"/>
      <c r="I1400" s="139">
        <f>IFERROR(__xludf.DUMMYFUNCTION("""COMPUTED_VALUE"""),75.0)</f>
        <v>75</v>
      </c>
      <c r="J1400" s="139">
        <f>IFERROR(__xludf.DUMMYFUNCTION("""COMPUTED_VALUE"""),37.0)</f>
        <v>37</v>
      </c>
      <c r="K1400" s="139">
        <f>IFERROR(__xludf.DUMMYFUNCTION("""COMPUTED_VALUE"""),65.0)</f>
        <v>65</v>
      </c>
      <c r="L1400" s="139"/>
      <c r="M1400" s="139"/>
      <c r="N1400" s="139"/>
    </row>
    <row r="1401">
      <c r="A1401" s="139" t="str">
        <f>IFERROR(__xludf.DUMMYFUNCTION("""COMPUTED_VALUE"""),"e")</f>
        <v>e</v>
      </c>
      <c r="B1401" s="139">
        <f>IFERROR(__xludf.DUMMYFUNCTION("""COMPUTED_VALUE"""),2.0250901E8)</f>
        <v>202509010</v>
      </c>
      <c r="C1401" s="139" t="str">
        <f>IFERROR(__xludf.DUMMYFUNCTION("""COMPUTED_VALUE"""),"c_mag_00001_general_Boss_Blue_Normal_00000")</f>
        <v>c_mag_00001_general_Boss_Blue_Normal_00000</v>
      </c>
      <c r="D1401" s="139" t="str">
        <f>IFERROR(__xludf.DUMMYFUNCTION("""COMPUTED_VALUE"""),"c_mag_00001_general_Boss_Blue")</f>
        <v>c_mag_00001_general_Boss_Blue</v>
      </c>
      <c r="E1401" s="139">
        <f>IFERROR(__xludf.DUMMYFUNCTION("""COMPUTED_VALUE"""),0.0)</f>
        <v>0</v>
      </c>
      <c r="F1401" s="139" t="str">
        <f>IFERROR(__xludf.DUMMYFUNCTION("""COMPUTED_VALUE"""),"Normal")</f>
        <v>Normal</v>
      </c>
      <c r="G1401" s="139"/>
      <c r="H1401" s="139"/>
      <c r="I1401" s="139">
        <f>IFERROR(__xludf.DUMMYFUNCTION("""COMPUTED_VALUE"""),89.0)</f>
        <v>89</v>
      </c>
      <c r="J1401" s="139">
        <f>IFERROR(__xludf.DUMMYFUNCTION("""COMPUTED_VALUE"""),46.0)</f>
        <v>46</v>
      </c>
      <c r="K1401" s="139">
        <f>IFERROR(__xludf.DUMMYFUNCTION("""COMPUTED_VALUE"""),50.0)</f>
        <v>50</v>
      </c>
      <c r="L1401" s="139"/>
      <c r="M1401" s="139"/>
      <c r="N1401" s="139"/>
    </row>
    <row r="1402">
      <c r="A1402" s="139" t="str">
        <f>IFERROR(__xludf.DUMMYFUNCTION("""COMPUTED_VALUE"""),"e")</f>
        <v>e</v>
      </c>
      <c r="B1402" s="139">
        <f>IFERROR(__xludf.DUMMYFUNCTION("""COMPUTED_VALUE"""),2.0250901E8)</f>
        <v>202509010</v>
      </c>
      <c r="C1402" s="139" t="str">
        <f>IFERROR(__xludf.DUMMYFUNCTION("""COMPUTED_VALUE"""),"c_mag_00001_general_Boss_Blue_Appearance_00001")</f>
        <v>c_mag_00001_general_Boss_Blue_Appearance_00001</v>
      </c>
      <c r="D1402" s="139" t="str">
        <f>IFERROR(__xludf.DUMMYFUNCTION("""COMPUTED_VALUE"""),"c_mag_00001_general_Boss_Blue")</f>
        <v>c_mag_00001_general_Boss_Blue</v>
      </c>
      <c r="E1402" s="139">
        <f>IFERROR(__xludf.DUMMYFUNCTION("""COMPUTED_VALUE"""),0.0)</f>
        <v>0</v>
      </c>
      <c r="F1402" s="139" t="str">
        <f>IFERROR(__xludf.DUMMYFUNCTION("""COMPUTED_VALUE"""),"Appearance")</f>
        <v>Appearance</v>
      </c>
      <c r="G1402" s="139"/>
      <c r="H1402" s="139"/>
      <c r="I1402" s="139">
        <f>IFERROR(__xludf.DUMMYFUNCTION("""COMPUTED_VALUE"""),50.0)</f>
        <v>50</v>
      </c>
      <c r="J1402" s="139">
        <f>IFERROR(__xludf.DUMMYFUNCTION("""COMPUTED_VALUE"""),0.0)</f>
        <v>0</v>
      </c>
      <c r="K1402" s="139">
        <f>IFERROR(__xludf.DUMMYFUNCTION("""COMPUTED_VALUE"""),0.0)</f>
        <v>0</v>
      </c>
      <c r="L1402" s="139"/>
      <c r="M1402" s="139"/>
      <c r="N1402" s="139"/>
    </row>
    <row r="1403">
      <c r="A1403" s="139" t="str">
        <f>IFERROR(__xludf.DUMMYFUNCTION("""COMPUTED_VALUE"""),"e")</f>
        <v>e</v>
      </c>
      <c r="B1403" s="139">
        <f>IFERROR(__xludf.DUMMYFUNCTION("""COMPUTED_VALUE"""),2.0250901E8)</f>
        <v>202509010</v>
      </c>
      <c r="C1403" s="139" t="str">
        <f>IFERROR(__xludf.DUMMYFUNCTION("""COMPUTED_VALUE"""),"c_mag_00001_general_Boss_Blue_Special_00002")</f>
        <v>c_mag_00001_general_Boss_Blue_Special_00002</v>
      </c>
      <c r="D1403" s="139" t="str">
        <f>IFERROR(__xludf.DUMMYFUNCTION("""COMPUTED_VALUE"""),"c_mag_00001_general_Boss_Blue")</f>
        <v>c_mag_00001_general_Boss_Blue</v>
      </c>
      <c r="E1403" s="139">
        <f>IFERROR(__xludf.DUMMYFUNCTION("""COMPUTED_VALUE"""),0.0)</f>
        <v>0</v>
      </c>
      <c r="F1403" s="139" t="str">
        <f>IFERROR(__xludf.DUMMYFUNCTION("""COMPUTED_VALUE"""),"Special")</f>
        <v>Special</v>
      </c>
      <c r="G1403" s="139"/>
      <c r="H1403" s="139"/>
      <c r="I1403" s="139">
        <f>IFERROR(__xludf.DUMMYFUNCTION("""COMPUTED_VALUE"""),117.0)</f>
        <v>117</v>
      </c>
      <c r="J1403" s="139">
        <f>IFERROR(__xludf.DUMMYFUNCTION("""COMPUTED_VALUE"""),0.0)</f>
        <v>0</v>
      </c>
      <c r="K1403" s="139">
        <f>IFERROR(__xludf.DUMMYFUNCTION("""COMPUTED_VALUE"""),0.0)</f>
        <v>0</v>
      </c>
      <c r="L1403" s="139"/>
      <c r="M1403" s="139"/>
      <c r="N1403" s="139"/>
    </row>
    <row r="1404">
      <c r="A1404" s="139" t="str">
        <f>IFERROR(__xludf.DUMMYFUNCTION("""COMPUTED_VALUE"""),"e")</f>
        <v>e</v>
      </c>
      <c r="B1404" s="139">
        <f>IFERROR(__xludf.DUMMYFUNCTION("""COMPUTED_VALUE"""),2.0250901E8)</f>
        <v>202509010</v>
      </c>
      <c r="C1404" s="139" t="str">
        <f>IFERROR(__xludf.DUMMYFUNCTION("""COMPUTED_VALUE"""),"c_mag_00101_general_Normal_Blue_Normal_00000")</f>
        <v>c_mag_00101_general_Normal_Blue_Normal_00000</v>
      </c>
      <c r="D1404" s="139" t="str">
        <f>IFERROR(__xludf.DUMMYFUNCTION("""COMPUTED_VALUE"""),"c_mag_00101_general_Normal_Blue")</f>
        <v>c_mag_00101_general_Normal_Blue</v>
      </c>
      <c r="E1404" s="139">
        <f>IFERROR(__xludf.DUMMYFUNCTION("""COMPUTED_VALUE"""),0.0)</f>
        <v>0</v>
      </c>
      <c r="F1404" s="139" t="str">
        <f>IFERROR(__xludf.DUMMYFUNCTION("""COMPUTED_VALUE"""),"Normal")</f>
        <v>Normal</v>
      </c>
      <c r="G1404" s="139"/>
      <c r="H1404" s="139"/>
      <c r="I1404" s="139">
        <f>IFERROR(__xludf.DUMMYFUNCTION("""COMPUTED_VALUE"""),95.0)</f>
        <v>95</v>
      </c>
      <c r="J1404" s="139">
        <f>IFERROR(__xludf.DUMMYFUNCTION("""COMPUTED_VALUE"""),42.0)</f>
        <v>42</v>
      </c>
      <c r="K1404" s="139">
        <f>IFERROR(__xludf.DUMMYFUNCTION("""COMPUTED_VALUE"""),50.0)</f>
        <v>50</v>
      </c>
      <c r="L1404" s="139"/>
      <c r="M1404" s="139"/>
      <c r="N1404" s="139"/>
    </row>
    <row r="1405">
      <c r="A1405" s="139" t="str">
        <f>IFERROR(__xludf.DUMMYFUNCTION("""COMPUTED_VALUE"""),"e")</f>
        <v>e</v>
      </c>
      <c r="B1405" s="139">
        <f>IFERROR(__xludf.DUMMYFUNCTION("""COMPUTED_VALUE"""),2.0250901E8)</f>
        <v>202509010</v>
      </c>
      <c r="C1405" s="139" t="str">
        <f>IFERROR(__xludf.DUMMYFUNCTION("""COMPUTED_VALUE"""),"c_mag_00101_general_Normal_Blue_Special_00001")</f>
        <v>c_mag_00101_general_Normal_Blue_Special_00001</v>
      </c>
      <c r="D1405" s="139" t="str">
        <f>IFERROR(__xludf.DUMMYFUNCTION("""COMPUTED_VALUE"""),"c_mag_00101_general_Normal_Blue")</f>
        <v>c_mag_00101_general_Normal_Blue</v>
      </c>
      <c r="E1405" s="139">
        <f>IFERROR(__xludf.DUMMYFUNCTION("""COMPUTED_VALUE"""),0.0)</f>
        <v>0</v>
      </c>
      <c r="F1405" s="139" t="str">
        <f>IFERROR(__xludf.DUMMYFUNCTION("""COMPUTED_VALUE"""),"Special")</f>
        <v>Special</v>
      </c>
      <c r="G1405" s="139"/>
      <c r="H1405" s="139"/>
      <c r="I1405" s="139">
        <f>IFERROR(__xludf.DUMMYFUNCTION("""COMPUTED_VALUE"""),134.0)</f>
        <v>134</v>
      </c>
      <c r="J1405" s="139">
        <f>IFERROR(__xludf.DUMMYFUNCTION("""COMPUTED_VALUE"""),75.0)</f>
        <v>75</v>
      </c>
      <c r="K1405" s="139">
        <f>IFERROR(__xludf.DUMMYFUNCTION("""COMPUTED_VALUE"""),0.0)</f>
        <v>0</v>
      </c>
      <c r="L1405" s="139"/>
      <c r="M1405" s="139"/>
      <c r="N1405" s="139"/>
    </row>
    <row r="1406">
      <c r="A1406" s="139" t="str">
        <f>IFERROR(__xludf.DUMMYFUNCTION("""COMPUTED_VALUE"""),"e")</f>
        <v>e</v>
      </c>
      <c r="B1406" s="139">
        <f>IFERROR(__xludf.DUMMYFUNCTION("""COMPUTED_VALUE"""),2.0250901E8)</f>
        <v>202509010</v>
      </c>
      <c r="C1406" s="139" t="str">
        <f>IFERROR(__xludf.DUMMYFUNCTION("""COMPUTED_VALUE"""),"e_mag_00101_general_h_Normal_Blue_Normal_00000")</f>
        <v>e_mag_00101_general_h_Normal_Blue_Normal_00000</v>
      </c>
      <c r="D1406" s="139" t="str">
        <f>IFERROR(__xludf.DUMMYFUNCTION("""COMPUTED_VALUE"""),"e_mag_00101_general_h_Normal_Blue")</f>
        <v>e_mag_00101_general_h_Normal_Blue</v>
      </c>
      <c r="E1406" s="139">
        <f>IFERROR(__xludf.DUMMYFUNCTION("""COMPUTED_VALUE"""),0.0)</f>
        <v>0</v>
      </c>
      <c r="F1406" s="139" t="str">
        <f>IFERROR(__xludf.DUMMYFUNCTION("""COMPUTED_VALUE"""),"Normal")</f>
        <v>Normal</v>
      </c>
      <c r="G1406" s="139"/>
      <c r="H1406" s="139"/>
      <c r="I1406" s="139">
        <f>IFERROR(__xludf.DUMMYFUNCTION("""COMPUTED_VALUE"""),18.0)</f>
        <v>18</v>
      </c>
      <c r="J1406" s="139">
        <f>IFERROR(__xludf.DUMMYFUNCTION("""COMPUTED_VALUE"""),10.0)</f>
        <v>10</v>
      </c>
      <c r="K1406" s="139">
        <f>IFERROR(__xludf.DUMMYFUNCTION("""COMPUTED_VALUE"""),0.0)</f>
        <v>0</v>
      </c>
      <c r="L1406" s="139"/>
      <c r="M1406" s="139"/>
      <c r="N1406" s="139"/>
    </row>
    <row r="1407">
      <c r="A1407" s="139" t="str">
        <f>IFERROR(__xludf.DUMMYFUNCTION("""COMPUTED_VALUE"""),"e")</f>
        <v>e</v>
      </c>
      <c r="B1407" s="139">
        <f>IFERROR(__xludf.DUMMYFUNCTION("""COMPUTED_VALUE"""),2.0250901E8)</f>
        <v>202509010</v>
      </c>
      <c r="C1407" s="139" t="str">
        <f>IFERROR(__xludf.DUMMYFUNCTION("""COMPUTED_VALUE"""),"e_mag_00101_general2_h_Normal_Blue_Normal_00000")</f>
        <v>e_mag_00101_general2_h_Normal_Blue_Normal_00000</v>
      </c>
      <c r="D1407" s="139" t="str">
        <f>IFERROR(__xludf.DUMMYFUNCTION("""COMPUTED_VALUE"""),"e_mag_00101_general2_h_Normal_Blue")</f>
        <v>e_mag_00101_general2_h_Normal_Blue</v>
      </c>
      <c r="E1407" s="139">
        <f>IFERROR(__xludf.DUMMYFUNCTION("""COMPUTED_VALUE"""),0.0)</f>
        <v>0</v>
      </c>
      <c r="F1407" s="139" t="str">
        <f>IFERROR(__xludf.DUMMYFUNCTION("""COMPUTED_VALUE"""),"Normal")</f>
        <v>Normal</v>
      </c>
      <c r="G1407" s="139"/>
      <c r="H1407" s="139"/>
      <c r="I1407" s="139">
        <f>IFERROR(__xludf.DUMMYFUNCTION("""COMPUTED_VALUE"""),18.0)</f>
        <v>18</v>
      </c>
      <c r="J1407" s="139">
        <f>IFERROR(__xludf.DUMMYFUNCTION("""COMPUTED_VALUE"""),10.0)</f>
        <v>10</v>
      </c>
      <c r="K1407" s="139">
        <f>IFERROR(__xludf.DUMMYFUNCTION("""COMPUTED_VALUE"""),0.0)</f>
        <v>0</v>
      </c>
      <c r="L1407" s="139"/>
      <c r="M1407" s="139"/>
      <c r="N1407" s="139"/>
    </row>
    <row r="1408">
      <c r="A1408" s="139"/>
      <c r="B1408" s="139"/>
      <c r="C1408" s="139"/>
      <c r="D1408" s="139"/>
      <c r="E1408" s="139"/>
      <c r="F1408" s="139"/>
      <c r="G1408" s="139"/>
      <c r="H1408" s="139"/>
      <c r="I1408" s="139"/>
      <c r="J1408" s="139"/>
      <c r="K1408" s="139"/>
      <c r="L1408" s="139"/>
      <c r="M1408" s="139"/>
      <c r="N1408" s="139"/>
    </row>
    <row r="1409">
      <c r="A1409" s="139" t="str">
        <f>IFERROR(__xludf.DUMMYFUNCTION("""COMPUTED_VALUE"""),"e")</f>
        <v>e</v>
      </c>
      <c r="B1409" s="139">
        <f>IFERROR(__xludf.DUMMYFUNCTION("""COMPUTED_VALUE"""),2.0250901E8)</f>
        <v>202509010</v>
      </c>
      <c r="C1409" s="139" t="str">
        <f>IFERROR(__xludf.DUMMYFUNCTION("""COMPUTED_VALUE"""),"e_glo_00001_general_mag_vh_Normal_Red_Normal_00000")</f>
        <v>e_glo_00001_general_mag_vh_Normal_Red_Normal_00000</v>
      </c>
      <c r="D1409" s="139" t="str">
        <f>IFERROR(__xludf.DUMMYFUNCTION("""COMPUTED_VALUE"""),"e_glo_00001_general_mag_vh_Normal_Red")</f>
        <v>e_glo_00001_general_mag_vh_Normal_Red</v>
      </c>
      <c r="E1409" s="139">
        <f>IFERROR(__xludf.DUMMYFUNCTION("""COMPUTED_VALUE"""),0.0)</f>
        <v>0</v>
      </c>
      <c r="F1409" s="139" t="str">
        <f>IFERROR(__xludf.DUMMYFUNCTION("""COMPUTED_VALUE"""),"Normal")</f>
        <v>Normal</v>
      </c>
      <c r="G1409" s="139"/>
      <c r="H1409" s="139"/>
      <c r="I1409" s="139">
        <f>IFERROR(__xludf.DUMMYFUNCTION("""COMPUTED_VALUE"""),50.0)</f>
        <v>50</v>
      </c>
      <c r="J1409" s="139">
        <f>IFERROR(__xludf.DUMMYFUNCTION("""COMPUTED_VALUE"""),25.0)</f>
        <v>25</v>
      </c>
      <c r="K1409" s="139">
        <f>IFERROR(__xludf.DUMMYFUNCTION("""COMPUTED_VALUE"""),75.0)</f>
        <v>75</v>
      </c>
      <c r="L1409" s="139"/>
      <c r="M1409" s="139"/>
      <c r="N1409" s="139"/>
    </row>
    <row r="1410">
      <c r="A1410" s="139" t="str">
        <f>IFERROR(__xludf.DUMMYFUNCTION("""COMPUTED_VALUE"""),"e")</f>
        <v>e</v>
      </c>
      <c r="B1410" s="139">
        <f>IFERROR(__xludf.DUMMYFUNCTION("""COMPUTED_VALUE"""),2.0250901E8)</f>
        <v>202509010</v>
      </c>
      <c r="C1410" s="139" t="str">
        <f>IFERROR(__xludf.DUMMYFUNCTION("""COMPUTED_VALUE"""),"e_glo_00001_general_mag_vh_Normal_Blue_Normal_00000")</f>
        <v>e_glo_00001_general_mag_vh_Normal_Blue_Normal_00000</v>
      </c>
      <c r="D1410" s="139" t="str">
        <f>IFERROR(__xludf.DUMMYFUNCTION("""COMPUTED_VALUE"""),"e_glo_00001_general_mag_vh_Normal_Blue")</f>
        <v>e_glo_00001_general_mag_vh_Normal_Blue</v>
      </c>
      <c r="E1410" s="139">
        <f>IFERROR(__xludf.DUMMYFUNCTION("""COMPUTED_VALUE"""),0.0)</f>
        <v>0</v>
      </c>
      <c r="F1410" s="139" t="str">
        <f>IFERROR(__xludf.DUMMYFUNCTION("""COMPUTED_VALUE"""),"Normal")</f>
        <v>Normal</v>
      </c>
      <c r="G1410" s="139"/>
      <c r="H1410" s="139"/>
      <c r="I1410" s="139">
        <f>IFERROR(__xludf.DUMMYFUNCTION("""COMPUTED_VALUE"""),50.0)</f>
        <v>50</v>
      </c>
      <c r="J1410" s="139">
        <f>IFERROR(__xludf.DUMMYFUNCTION("""COMPUTED_VALUE"""),25.0)</f>
        <v>25</v>
      </c>
      <c r="K1410" s="139">
        <f>IFERROR(__xludf.DUMMYFUNCTION("""COMPUTED_VALUE"""),75.0)</f>
        <v>75</v>
      </c>
      <c r="L1410" s="139"/>
      <c r="M1410" s="139"/>
      <c r="N1410" s="139"/>
    </row>
    <row r="1411">
      <c r="A1411" s="139" t="str">
        <f>IFERROR(__xludf.DUMMYFUNCTION("""COMPUTED_VALUE"""),"e")</f>
        <v>e</v>
      </c>
      <c r="B1411" s="139">
        <f>IFERROR(__xludf.DUMMYFUNCTION("""COMPUTED_VALUE"""),2.0250901E8)</f>
        <v>202509010</v>
      </c>
      <c r="C1411" s="139" t="str">
        <f>IFERROR(__xludf.DUMMYFUNCTION("""COMPUTED_VALUE"""),"e_glo_00001_general_mag_vh_Normal_Green_Normal_00000")</f>
        <v>e_glo_00001_general_mag_vh_Normal_Green_Normal_00000</v>
      </c>
      <c r="D1411" s="139" t="str">
        <f>IFERROR(__xludf.DUMMYFUNCTION("""COMPUTED_VALUE"""),"e_glo_00001_general_mag_vh_Normal_Green")</f>
        <v>e_glo_00001_general_mag_vh_Normal_Green</v>
      </c>
      <c r="E1411" s="139">
        <f>IFERROR(__xludf.DUMMYFUNCTION("""COMPUTED_VALUE"""),0.0)</f>
        <v>0</v>
      </c>
      <c r="F1411" s="139" t="str">
        <f>IFERROR(__xludf.DUMMYFUNCTION("""COMPUTED_VALUE"""),"Normal")</f>
        <v>Normal</v>
      </c>
      <c r="G1411" s="139"/>
      <c r="H1411" s="139"/>
      <c r="I1411" s="139">
        <f>IFERROR(__xludf.DUMMYFUNCTION("""COMPUTED_VALUE"""),50.0)</f>
        <v>50</v>
      </c>
      <c r="J1411" s="139">
        <f>IFERROR(__xludf.DUMMYFUNCTION("""COMPUTED_VALUE"""),25.0)</f>
        <v>25</v>
      </c>
      <c r="K1411" s="139">
        <f>IFERROR(__xludf.DUMMYFUNCTION("""COMPUTED_VALUE"""),75.0)</f>
        <v>75</v>
      </c>
      <c r="L1411" s="139"/>
      <c r="M1411" s="139"/>
      <c r="N1411" s="139"/>
    </row>
    <row r="1412">
      <c r="A1412" s="139" t="str">
        <f>IFERROR(__xludf.DUMMYFUNCTION("""COMPUTED_VALUE"""),"e")</f>
        <v>e</v>
      </c>
      <c r="B1412" s="139">
        <f>IFERROR(__xludf.DUMMYFUNCTION("""COMPUTED_VALUE"""),2.0250901E8)</f>
        <v>202509010</v>
      </c>
      <c r="C1412" s="139" t="str">
        <f>IFERROR(__xludf.DUMMYFUNCTION("""COMPUTED_VALUE"""),"e_glo_00001_general_mag_vh_Normal_Yellow_Normal_00000")</f>
        <v>e_glo_00001_general_mag_vh_Normal_Yellow_Normal_00000</v>
      </c>
      <c r="D1412" s="139" t="str">
        <f>IFERROR(__xludf.DUMMYFUNCTION("""COMPUTED_VALUE"""),"e_glo_00001_general_mag_vh_Normal_Yellow")</f>
        <v>e_glo_00001_general_mag_vh_Normal_Yellow</v>
      </c>
      <c r="E1412" s="139">
        <f>IFERROR(__xludf.DUMMYFUNCTION("""COMPUTED_VALUE"""),0.0)</f>
        <v>0</v>
      </c>
      <c r="F1412" s="139" t="str">
        <f>IFERROR(__xludf.DUMMYFUNCTION("""COMPUTED_VALUE"""),"Normal")</f>
        <v>Normal</v>
      </c>
      <c r="G1412" s="139"/>
      <c r="H1412" s="139"/>
      <c r="I1412" s="139">
        <f>IFERROR(__xludf.DUMMYFUNCTION("""COMPUTED_VALUE"""),50.0)</f>
        <v>50</v>
      </c>
      <c r="J1412" s="139">
        <f>IFERROR(__xludf.DUMMYFUNCTION("""COMPUTED_VALUE"""),25.0)</f>
        <v>25</v>
      </c>
      <c r="K1412" s="139">
        <f>IFERROR(__xludf.DUMMYFUNCTION("""COMPUTED_VALUE"""),75.0)</f>
        <v>75</v>
      </c>
      <c r="L1412" s="139"/>
      <c r="M1412" s="139"/>
      <c r="N1412" s="139"/>
    </row>
    <row r="1413">
      <c r="A1413" s="139" t="str">
        <f>IFERROR(__xludf.DUMMYFUNCTION("""COMPUTED_VALUE"""),"e")</f>
        <v>e</v>
      </c>
      <c r="B1413" s="139">
        <f>IFERROR(__xludf.DUMMYFUNCTION("""COMPUTED_VALUE"""),2.0250901E8)</f>
        <v>202509010</v>
      </c>
      <c r="C1413" s="139" t="str">
        <f>IFERROR(__xludf.DUMMYFUNCTION("""COMPUTED_VALUE"""),"e_glo_00001_general_mag_vh_big_Normal_Green_Normal_00000")</f>
        <v>e_glo_00001_general_mag_vh_big_Normal_Green_Normal_00000</v>
      </c>
      <c r="D1413" s="139" t="str">
        <f>IFERROR(__xludf.DUMMYFUNCTION("""COMPUTED_VALUE"""),"e_glo_00001_general_mag_vh_big_Normal_Green")</f>
        <v>e_glo_00001_general_mag_vh_big_Normal_Green</v>
      </c>
      <c r="E1413" s="139">
        <f>IFERROR(__xludf.DUMMYFUNCTION("""COMPUTED_VALUE"""),0.0)</f>
        <v>0</v>
      </c>
      <c r="F1413" s="139" t="str">
        <f>IFERROR(__xludf.DUMMYFUNCTION("""COMPUTED_VALUE"""),"Normal")</f>
        <v>Normal</v>
      </c>
      <c r="G1413" s="139"/>
      <c r="H1413" s="139"/>
      <c r="I1413" s="139">
        <f>IFERROR(__xludf.DUMMYFUNCTION("""COMPUTED_VALUE"""),59.0)</f>
        <v>59</v>
      </c>
      <c r="J1413" s="139">
        <f>IFERROR(__xludf.DUMMYFUNCTION("""COMPUTED_VALUE"""),28.0)</f>
        <v>28</v>
      </c>
      <c r="K1413" s="139">
        <f>IFERROR(__xludf.DUMMYFUNCTION("""COMPUTED_VALUE"""),75.0)</f>
        <v>75</v>
      </c>
      <c r="L1413" s="139"/>
      <c r="M1413" s="139"/>
      <c r="N1413" s="139"/>
    </row>
    <row r="1414">
      <c r="A1414" s="139" t="str">
        <f>IFERROR(__xludf.DUMMYFUNCTION("""COMPUTED_VALUE"""),"e")</f>
        <v>e</v>
      </c>
      <c r="B1414" s="139">
        <f>IFERROR(__xludf.DUMMYFUNCTION("""COMPUTED_VALUE"""),2.0250901E8)</f>
        <v>202509010</v>
      </c>
      <c r="C1414" s="139" t="str">
        <f>IFERROR(__xludf.DUMMYFUNCTION("""COMPUTED_VALUE"""),"e_glo_00001_general_mag_vh_big_Normal_Blue_Normal_00000")</f>
        <v>e_glo_00001_general_mag_vh_big_Normal_Blue_Normal_00000</v>
      </c>
      <c r="D1414" s="139" t="str">
        <f>IFERROR(__xludf.DUMMYFUNCTION("""COMPUTED_VALUE"""),"e_glo_00001_general_mag_vh_big_Normal_Blue")</f>
        <v>e_glo_00001_general_mag_vh_big_Normal_Blue</v>
      </c>
      <c r="E1414" s="139">
        <f>IFERROR(__xludf.DUMMYFUNCTION("""COMPUTED_VALUE"""),0.0)</f>
        <v>0</v>
      </c>
      <c r="F1414" s="139" t="str">
        <f>IFERROR(__xludf.DUMMYFUNCTION("""COMPUTED_VALUE"""),"Normal")</f>
        <v>Normal</v>
      </c>
      <c r="G1414" s="139"/>
      <c r="H1414" s="139"/>
      <c r="I1414" s="139">
        <f>IFERROR(__xludf.DUMMYFUNCTION("""COMPUTED_VALUE"""),59.0)</f>
        <v>59</v>
      </c>
      <c r="J1414" s="139">
        <f>IFERROR(__xludf.DUMMYFUNCTION("""COMPUTED_VALUE"""),28.0)</f>
        <v>28</v>
      </c>
      <c r="K1414" s="139">
        <f>IFERROR(__xludf.DUMMYFUNCTION("""COMPUTED_VALUE"""),75.0)</f>
        <v>75</v>
      </c>
      <c r="L1414" s="139"/>
      <c r="M1414" s="139"/>
      <c r="N1414" s="139"/>
    </row>
    <row r="1415">
      <c r="A1415" s="139" t="str">
        <f>IFERROR(__xludf.DUMMYFUNCTION("""COMPUTED_VALUE"""),"e")</f>
        <v>e</v>
      </c>
      <c r="B1415" s="139">
        <f>IFERROR(__xludf.DUMMYFUNCTION("""COMPUTED_VALUE"""),2.0250901E8)</f>
        <v>202509010</v>
      </c>
      <c r="C1415" s="139" t="str">
        <f>IFERROR(__xludf.DUMMYFUNCTION("""COMPUTED_VALUE"""),"e_glo_00001_general_mag_vh_big_Normal_Yellow_Normal_00000")</f>
        <v>e_glo_00001_general_mag_vh_big_Normal_Yellow_Normal_00000</v>
      </c>
      <c r="D1415" s="139" t="str">
        <f>IFERROR(__xludf.DUMMYFUNCTION("""COMPUTED_VALUE"""),"e_glo_00001_general_mag_vh_big_Normal_Yellow")</f>
        <v>e_glo_00001_general_mag_vh_big_Normal_Yellow</v>
      </c>
      <c r="E1415" s="139">
        <f>IFERROR(__xludf.DUMMYFUNCTION("""COMPUTED_VALUE"""),0.0)</f>
        <v>0</v>
      </c>
      <c r="F1415" s="139" t="str">
        <f>IFERROR(__xludf.DUMMYFUNCTION("""COMPUTED_VALUE"""),"Normal")</f>
        <v>Normal</v>
      </c>
      <c r="G1415" s="139"/>
      <c r="H1415" s="139"/>
      <c r="I1415" s="139">
        <f>IFERROR(__xludf.DUMMYFUNCTION("""COMPUTED_VALUE"""),59.0)</f>
        <v>59</v>
      </c>
      <c r="J1415" s="139">
        <f>IFERROR(__xludf.DUMMYFUNCTION("""COMPUTED_VALUE"""),28.0)</f>
        <v>28</v>
      </c>
      <c r="K1415" s="139">
        <f>IFERROR(__xludf.DUMMYFUNCTION("""COMPUTED_VALUE"""),75.0)</f>
        <v>75</v>
      </c>
      <c r="L1415" s="139"/>
      <c r="M1415" s="139"/>
      <c r="N1415" s="139"/>
    </row>
    <row r="1416">
      <c r="A1416" s="139" t="str">
        <f>IFERROR(__xludf.DUMMYFUNCTION("""COMPUTED_VALUE"""),"e")</f>
        <v>e</v>
      </c>
      <c r="B1416" s="139">
        <f>IFERROR(__xludf.DUMMYFUNCTION("""COMPUTED_VALUE"""),2.0250901E8)</f>
        <v>202509010</v>
      </c>
      <c r="C1416" s="139" t="str">
        <f>IFERROR(__xludf.DUMMYFUNCTION("""COMPUTED_VALUE"""),"e_mag_00001_general_vh_Normal_Blue_Normal_00000")</f>
        <v>e_mag_00001_general_vh_Normal_Blue_Normal_00000</v>
      </c>
      <c r="D1416" s="139" t="str">
        <f>IFERROR(__xludf.DUMMYFUNCTION("""COMPUTED_VALUE"""),"e_mag_00001_general_vh_Normal_Blue")</f>
        <v>e_mag_00001_general_vh_Normal_Blue</v>
      </c>
      <c r="E1416" s="139">
        <f>IFERROR(__xludf.DUMMYFUNCTION("""COMPUTED_VALUE"""),0.0)</f>
        <v>0</v>
      </c>
      <c r="F1416" s="139" t="str">
        <f>IFERROR(__xludf.DUMMYFUNCTION("""COMPUTED_VALUE"""),"Normal")</f>
        <v>Normal</v>
      </c>
      <c r="G1416" s="139"/>
      <c r="H1416" s="139"/>
      <c r="I1416" s="139">
        <f>IFERROR(__xludf.DUMMYFUNCTION("""COMPUTED_VALUE"""),89.0)</f>
        <v>89</v>
      </c>
      <c r="J1416" s="139">
        <f>IFERROR(__xludf.DUMMYFUNCTION("""COMPUTED_VALUE"""),46.0)</f>
        <v>46</v>
      </c>
      <c r="K1416" s="139">
        <f>IFERROR(__xludf.DUMMYFUNCTION("""COMPUTED_VALUE"""),50.0)</f>
        <v>50</v>
      </c>
      <c r="L1416" s="139"/>
      <c r="M1416" s="139"/>
      <c r="N1416" s="139"/>
    </row>
    <row r="1417">
      <c r="A1417" s="139" t="str">
        <f>IFERROR(__xludf.DUMMYFUNCTION("""COMPUTED_VALUE"""),"e")</f>
        <v>e</v>
      </c>
      <c r="B1417" s="139">
        <f>IFERROR(__xludf.DUMMYFUNCTION("""COMPUTED_VALUE"""),2.0250901E8)</f>
        <v>202509010</v>
      </c>
      <c r="C1417" s="139" t="str">
        <f>IFERROR(__xludf.DUMMYFUNCTION("""COMPUTED_VALUE"""),"e_mag_00001_general_vh_Boss_Blue_Normal_00000")</f>
        <v>e_mag_00001_general_vh_Boss_Blue_Normal_00000</v>
      </c>
      <c r="D1417" s="139" t="str">
        <f>IFERROR(__xludf.DUMMYFUNCTION("""COMPUTED_VALUE"""),"e_mag_00001_general_vh_Boss_Blue")</f>
        <v>e_mag_00001_general_vh_Boss_Blue</v>
      </c>
      <c r="E1417" s="139">
        <f>IFERROR(__xludf.DUMMYFUNCTION("""COMPUTED_VALUE"""),0.0)</f>
        <v>0</v>
      </c>
      <c r="F1417" s="139" t="str">
        <f>IFERROR(__xludf.DUMMYFUNCTION("""COMPUTED_VALUE"""),"Normal")</f>
        <v>Normal</v>
      </c>
      <c r="G1417" s="139"/>
      <c r="H1417" s="139"/>
      <c r="I1417" s="139">
        <f>IFERROR(__xludf.DUMMYFUNCTION("""COMPUTED_VALUE"""),89.0)</f>
        <v>89</v>
      </c>
      <c r="J1417" s="139">
        <f>IFERROR(__xludf.DUMMYFUNCTION("""COMPUTED_VALUE"""),46.0)</f>
        <v>46</v>
      </c>
      <c r="K1417" s="139">
        <f>IFERROR(__xludf.DUMMYFUNCTION("""COMPUTED_VALUE"""),50.0)</f>
        <v>50</v>
      </c>
      <c r="L1417" s="139"/>
      <c r="M1417" s="139"/>
      <c r="N1417" s="139"/>
    </row>
    <row r="1418">
      <c r="A1418" s="139" t="str">
        <f>IFERROR(__xludf.DUMMYFUNCTION("""COMPUTED_VALUE"""),"e")</f>
        <v>e</v>
      </c>
      <c r="B1418" s="139">
        <f>IFERROR(__xludf.DUMMYFUNCTION("""COMPUTED_VALUE"""),2.0250901E8)</f>
        <v>202509010</v>
      </c>
      <c r="C1418" s="139" t="str">
        <f>IFERROR(__xludf.DUMMYFUNCTION("""COMPUTED_VALUE"""),"e_mag_00001_general_vh_Boss_Blue_Appearance_00001")</f>
        <v>e_mag_00001_general_vh_Boss_Blue_Appearance_00001</v>
      </c>
      <c r="D1418" s="139" t="str">
        <f>IFERROR(__xludf.DUMMYFUNCTION("""COMPUTED_VALUE"""),"e_mag_00001_general_vh_Boss_Blue")</f>
        <v>e_mag_00001_general_vh_Boss_Blue</v>
      </c>
      <c r="E1418" s="139">
        <f>IFERROR(__xludf.DUMMYFUNCTION("""COMPUTED_VALUE"""),0.0)</f>
        <v>0</v>
      </c>
      <c r="F1418" s="139" t="str">
        <f>IFERROR(__xludf.DUMMYFUNCTION("""COMPUTED_VALUE"""),"Appearance")</f>
        <v>Appearance</v>
      </c>
      <c r="G1418" s="139"/>
      <c r="H1418" s="139"/>
      <c r="I1418" s="139">
        <f>IFERROR(__xludf.DUMMYFUNCTION("""COMPUTED_VALUE"""),50.0)</f>
        <v>50</v>
      </c>
      <c r="J1418" s="139">
        <f>IFERROR(__xludf.DUMMYFUNCTION("""COMPUTED_VALUE"""),0.0)</f>
        <v>0</v>
      </c>
      <c r="K1418" s="139">
        <f>IFERROR(__xludf.DUMMYFUNCTION("""COMPUTED_VALUE"""),0.0)</f>
        <v>0</v>
      </c>
      <c r="L1418" s="139"/>
      <c r="M1418" s="139"/>
      <c r="N1418" s="139"/>
    </row>
    <row r="1419">
      <c r="A1419" s="139" t="str">
        <f>IFERROR(__xludf.DUMMYFUNCTION("""COMPUTED_VALUE"""),"e")</f>
        <v>e</v>
      </c>
      <c r="B1419" s="139">
        <f>IFERROR(__xludf.DUMMYFUNCTION("""COMPUTED_VALUE"""),2.0250901E8)</f>
        <v>202509010</v>
      </c>
      <c r="C1419" s="139" t="str">
        <f>IFERROR(__xludf.DUMMYFUNCTION("""COMPUTED_VALUE"""),"e_mag_00101_general_f_vh_Normal_Blue_Normal_00000")</f>
        <v>e_mag_00101_general_f_vh_Normal_Blue_Normal_00000</v>
      </c>
      <c r="D1419" s="139" t="str">
        <f>IFERROR(__xludf.DUMMYFUNCTION("""COMPUTED_VALUE"""),"e_mag_00101_general_f_vh_Normal_Blue")</f>
        <v>e_mag_00101_general_f_vh_Normal_Blue</v>
      </c>
      <c r="E1419" s="139">
        <f>IFERROR(__xludf.DUMMYFUNCTION("""COMPUTED_VALUE"""),0.0)</f>
        <v>0</v>
      </c>
      <c r="F1419" s="139" t="str">
        <f>IFERROR(__xludf.DUMMYFUNCTION("""COMPUTED_VALUE"""),"Normal")</f>
        <v>Normal</v>
      </c>
      <c r="G1419" s="139"/>
      <c r="H1419" s="139"/>
      <c r="I1419" s="139">
        <f>IFERROR(__xludf.DUMMYFUNCTION("""COMPUTED_VALUE"""),18.0)</f>
        <v>18</v>
      </c>
      <c r="J1419" s="139">
        <f>IFERROR(__xludf.DUMMYFUNCTION("""COMPUTED_VALUE"""),10.0)</f>
        <v>10</v>
      </c>
      <c r="K1419" s="139">
        <f>IFERROR(__xludf.DUMMYFUNCTION("""COMPUTED_VALUE"""),0.0)</f>
        <v>0</v>
      </c>
      <c r="L1419" s="139"/>
      <c r="M1419" s="139"/>
      <c r="N1419" s="139"/>
    </row>
    <row r="1420">
      <c r="A1420" s="139" t="str">
        <f>IFERROR(__xludf.DUMMYFUNCTION("""COMPUTED_VALUE"""),"e")</f>
        <v>e</v>
      </c>
      <c r="B1420" s="139">
        <f>IFERROR(__xludf.DUMMYFUNCTION("""COMPUTED_VALUE"""),2.0250901E8)</f>
        <v>202509010</v>
      </c>
      <c r="C1420" s="139" t="str">
        <f>IFERROR(__xludf.DUMMYFUNCTION("""COMPUTED_VALUE"""),"e_mag_00101_general_vh_Normal_Blue_Normal_00000")</f>
        <v>e_mag_00101_general_vh_Normal_Blue_Normal_00000</v>
      </c>
      <c r="D1420" s="139" t="str">
        <f>IFERROR(__xludf.DUMMYFUNCTION("""COMPUTED_VALUE"""),"e_mag_00101_general_vh_Normal_Blue")</f>
        <v>e_mag_00101_general_vh_Normal_Blue</v>
      </c>
      <c r="E1420" s="139">
        <f>IFERROR(__xludf.DUMMYFUNCTION("""COMPUTED_VALUE"""),0.0)</f>
        <v>0</v>
      </c>
      <c r="F1420" s="139" t="str">
        <f>IFERROR(__xludf.DUMMYFUNCTION("""COMPUTED_VALUE"""),"Normal")</f>
        <v>Normal</v>
      </c>
      <c r="G1420" s="139"/>
      <c r="H1420" s="139"/>
      <c r="I1420" s="139">
        <f>IFERROR(__xludf.DUMMYFUNCTION("""COMPUTED_VALUE"""),18.0)</f>
        <v>18</v>
      </c>
      <c r="J1420" s="139">
        <f>IFERROR(__xludf.DUMMYFUNCTION("""COMPUTED_VALUE"""),10.0)</f>
        <v>10</v>
      </c>
      <c r="K1420" s="139">
        <f>IFERROR(__xludf.DUMMYFUNCTION("""COMPUTED_VALUE"""),0.0)</f>
        <v>0</v>
      </c>
      <c r="L1420" s="139"/>
      <c r="M1420" s="139"/>
      <c r="N1420" s="139"/>
    </row>
    <row r="1421">
      <c r="A1421" s="139" t="str">
        <f>IFERROR(__xludf.DUMMYFUNCTION("""COMPUTED_VALUE"""),"e")</f>
        <v>e</v>
      </c>
      <c r="B1421" s="139">
        <f>IFERROR(__xludf.DUMMYFUNCTION("""COMPUTED_VALUE"""),2.0250901E8)</f>
        <v>202509010</v>
      </c>
      <c r="C1421" s="139" t="str">
        <f>IFERROR(__xludf.DUMMYFUNCTION("""COMPUTED_VALUE"""),"e_mag_00201_general_vh_Boss_Green_Normal_00000")</f>
        <v>e_mag_00201_general_vh_Boss_Green_Normal_00000</v>
      </c>
      <c r="D1421" s="139" t="str">
        <f>IFERROR(__xludf.DUMMYFUNCTION("""COMPUTED_VALUE"""),"e_mag_00201_general_vh_Boss_Green")</f>
        <v>e_mag_00201_general_vh_Boss_Green</v>
      </c>
      <c r="E1421" s="139">
        <f>IFERROR(__xludf.DUMMYFUNCTION("""COMPUTED_VALUE"""),0.0)</f>
        <v>0</v>
      </c>
      <c r="F1421" s="139" t="str">
        <f>IFERROR(__xludf.DUMMYFUNCTION("""COMPUTED_VALUE"""),"Normal")</f>
        <v>Normal</v>
      </c>
      <c r="G1421" s="139"/>
      <c r="H1421" s="139"/>
      <c r="I1421" s="139">
        <f>IFERROR(__xludf.DUMMYFUNCTION("""COMPUTED_VALUE"""),75.0)</f>
        <v>75</v>
      </c>
      <c r="J1421" s="139">
        <f>IFERROR(__xludf.DUMMYFUNCTION("""COMPUTED_VALUE"""),37.0)</f>
        <v>37</v>
      </c>
      <c r="K1421" s="139">
        <f>IFERROR(__xludf.DUMMYFUNCTION("""COMPUTED_VALUE"""),200.0)</f>
        <v>200</v>
      </c>
      <c r="L1421" s="139"/>
      <c r="M1421" s="139"/>
      <c r="N1421" s="139"/>
    </row>
    <row r="1422">
      <c r="A1422" s="139" t="str">
        <f>IFERROR(__xludf.DUMMYFUNCTION("""COMPUTED_VALUE"""),"e")</f>
        <v>e</v>
      </c>
      <c r="B1422" s="139">
        <f>IFERROR(__xludf.DUMMYFUNCTION("""COMPUTED_VALUE"""),2.0250901E8)</f>
        <v>202509010</v>
      </c>
      <c r="C1422" s="139" t="str">
        <f>IFERROR(__xludf.DUMMYFUNCTION("""COMPUTED_VALUE"""),"e_mag_00201_general_vh_Boss_Green_Appearance_00001")</f>
        <v>e_mag_00201_general_vh_Boss_Green_Appearance_00001</v>
      </c>
      <c r="D1422" s="139" t="str">
        <f>IFERROR(__xludf.DUMMYFUNCTION("""COMPUTED_VALUE"""),"e_mag_00201_general_vh_Boss_Green")</f>
        <v>e_mag_00201_general_vh_Boss_Green</v>
      </c>
      <c r="E1422" s="139">
        <f>IFERROR(__xludf.DUMMYFUNCTION("""COMPUTED_VALUE"""),0.0)</f>
        <v>0</v>
      </c>
      <c r="F1422" s="139" t="str">
        <f>IFERROR(__xludf.DUMMYFUNCTION("""COMPUTED_VALUE"""),"Appearance")</f>
        <v>Appearance</v>
      </c>
      <c r="G1422" s="139"/>
      <c r="H1422" s="139"/>
      <c r="I1422" s="139">
        <f>IFERROR(__xludf.DUMMYFUNCTION("""COMPUTED_VALUE"""),50.0)</f>
        <v>50</v>
      </c>
      <c r="J1422" s="139">
        <f>IFERROR(__xludf.DUMMYFUNCTION("""COMPUTED_VALUE"""),0.0)</f>
        <v>0</v>
      </c>
      <c r="K1422" s="139">
        <f>IFERROR(__xludf.DUMMYFUNCTION("""COMPUTED_VALUE"""),0.0)</f>
        <v>0</v>
      </c>
      <c r="L1422" s="139"/>
      <c r="M1422" s="139"/>
      <c r="N1422" s="139"/>
    </row>
    <row r="1423">
      <c r="A1423" s="139"/>
      <c r="B1423" s="139"/>
      <c r="C1423" s="139" t="str">
        <f>IFERROR(__xludf.DUMMYFUNCTION("""COMPUTED_VALUE"""),"e_mag_00201_general_vh_Normal_Green_Normal_00000")</f>
        <v>e_mag_00201_general_vh_Normal_Green_Normal_00000</v>
      </c>
      <c r="D1423" s="139" t="str">
        <f>IFERROR(__xludf.DUMMYFUNCTION("""COMPUTED_VALUE"""),"e_mag_00201_general_vh_Normal_Green")</f>
        <v>e_mag_00201_general_vh_Normal_Green</v>
      </c>
      <c r="E1423" s="139">
        <f>IFERROR(__xludf.DUMMYFUNCTION("""COMPUTED_VALUE"""),0.0)</f>
        <v>0</v>
      </c>
      <c r="F1423" s="139" t="str">
        <f>IFERROR(__xludf.DUMMYFUNCTION("""COMPUTED_VALUE"""),"Normal")</f>
        <v>Normal</v>
      </c>
      <c r="G1423" s="139"/>
      <c r="H1423" s="139"/>
      <c r="I1423" s="139">
        <f>IFERROR(__xludf.DUMMYFUNCTION("""COMPUTED_VALUE"""),75.0)</f>
        <v>75</v>
      </c>
      <c r="J1423" s="139">
        <f>IFERROR(__xludf.DUMMYFUNCTION("""COMPUTED_VALUE"""),37.0)</f>
        <v>37</v>
      </c>
      <c r="K1423" s="139">
        <f>IFERROR(__xludf.DUMMYFUNCTION("""COMPUTED_VALUE"""),200.0)</f>
        <v>200</v>
      </c>
      <c r="L1423" s="139"/>
      <c r="M1423" s="139"/>
      <c r="N1423" s="139"/>
    </row>
    <row r="1424">
      <c r="A1424" s="139" t="str">
        <f>IFERROR(__xludf.DUMMYFUNCTION("""COMPUTED_VALUE"""),"e")</f>
        <v>e</v>
      </c>
      <c r="B1424" s="139">
        <f>IFERROR(__xludf.DUMMYFUNCTION("""COMPUTED_VALUE"""),2.0250901E8)</f>
        <v>202509010</v>
      </c>
      <c r="C1424" s="139" t="str">
        <f>IFERROR(__xludf.DUMMYFUNCTION("""COMPUTED_VALUE"""),"e_mag_00301_general_vh_Normal_Green_Normal_00000")</f>
        <v>e_mag_00301_general_vh_Normal_Green_Normal_00000</v>
      </c>
      <c r="D1424" s="139" t="str">
        <f>IFERROR(__xludf.DUMMYFUNCTION("""COMPUTED_VALUE"""),"e_mag_00301_general_vh_Normal_Green")</f>
        <v>e_mag_00301_general_vh_Normal_Green</v>
      </c>
      <c r="E1424" s="139">
        <f>IFERROR(__xludf.DUMMYFUNCTION("""COMPUTED_VALUE"""),0.0)</f>
        <v>0</v>
      </c>
      <c r="F1424" s="139" t="str">
        <f>IFERROR(__xludf.DUMMYFUNCTION("""COMPUTED_VALUE"""),"Normal")</f>
        <v>Normal</v>
      </c>
      <c r="G1424" s="139"/>
      <c r="H1424" s="139"/>
      <c r="I1424" s="139">
        <f>IFERROR(__xludf.DUMMYFUNCTION("""COMPUTED_VALUE"""),75.0)</f>
        <v>75</v>
      </c>
      <c r="J1424" s="139">
        <f>IFERROR(__xludf.DUMMYFUNCTION("""COMPUTED_VALUE"""),37.0)</f>
        <v>37</v>
      </c>
      <c r="K1424" s="139">
        <f>IFERROR(__xludf.DUMMYFUNCTION("""COMPUTED_VALUE"""),65.0)</f>
        <v>65</v>
      </c>
      <c r="L1424" s="139"/>
      <c r="M1424" s="139"/>
      <c r="N1424" s="139"/>
    </row>
    <row r="1425">
      <c r="A1425" s="139" t="str">
        <f>IFERROR(__xludf.DUMMYFUNCTION("""COMPUTED_VALUE"""),"e")</f>
        <v>e</v>
      </c>
      <c r="B1425" s="139">
        <f>IFERROR(__xludf.DUMMYFUNCTION("""COMPUTED_VALUE"""),2.0250901E8)</f>
        <v>202509010</v>
      </c>
      <c r="C1425" s="139" t="str">
        <f>IFERROR(__xludf.DUMMYFUNCTION("""COMPUTED_VALUE"""),"e_mag_00301_general_vh_Normal_Yellow_Normal_00000")</f>
        <v>e_mag_00301_general_vh_Normal_Yellow_Normal_00000</v>
      </c>
      <c r="D1425" s="139" t="str">
        <f>IFERROR(__xludf.DUMMYFUNCTION("""COMPUTED_VALUE"""),"e_mag_00301_general_vh_Normal_Yellow")</f>
        <v>e_mag_00301_general_vh_Normal_Yellow</v>
      </c>
      <c r="E1425" s="139">
        <f>IFERROR(__xludf.DUMMYFUNCTION("""COMPUTED_VALUE"""),0.0)</f>
        <v>0</v>
      </c>
      <c r="F1425" s="139" t="str">
        <f>IFERROR(__xludf.DUMMYFUNCTION("""COMPUTED_VALUE"""),"Normal")</f>
        <v>Normal</v>
      </c>
      <c r="G1425" s="139"/>
      <c r="H1425" s="139"/>
      <c r="I1425" s="139">
        <f>IFERROR(__xludf.DUMMYFUNCTION("""COMPUTED_VALUE"""),75.0)</f>
        <v>75</v>
      </c>
      <c r="J1425" s="139">
        <f>IFERROR(__xludf.DUMMYFUNCTION("""COMPUTED_VALUE"""),37.0)</f>
        <v>37</v>
      </c>
      <c r="K1425" s="139">
        <f>IFERROR(__xludf.DUMMYFUNCTION("""COMPUTED_VALUE"""),65.0)</f>
        <v>65</v>
      </c>
      <c r="L1425" s="139"/>
      <c r="M1425" s="139"/>
      <c r="N1425" s="139"/>
    </row>
    <row r="1426">
      <c r="A1426" s="139" t="str">
        <f>IFERROR(__xludf.DUMMYFUNCTION("""COMPUTED_VALUE"""),"e")</f>
        <v>e</v>
      </c>
      <c r="B1426" s="139">
        <f>IFERROR(__xludf.DUMMYFUNCTION("""COMPUTED_VALUE"""),2.0250901E8)</f>
        <v>202509010</v>
      </c>
      <c r="C1426" s="139" t="str">
        <f>IFERROR(__xludf.DUMMYFUNCTION("""COMPUTED_VALUE"""),"c_mag_00001_general_vh_Boss_Yellow_Normal_00000")</f>
        <v>c_mag_00001_general_vh_Boss_Yellow_Normal_00000</v>
      </c>
      <c r="D1426" s="139" t="str">
        <f>IFERROR(__xludf.DUMMYFUNCTION("""COMPUTED_VALUE"""),"c_mag_00001_general_vh_Boss_Yellow")</f>
        <v>c_mag_00001_general_vh_Boss_Yellow</v>
      </c>
      <c r="E1426" s="139">
        <f>IFERROR(__xludf.DUMMYFUNCTION("""COMPUTED_VALUE"""),0.0)</f>
        <v>0</v>
      </c>
      <c r="F1426" s="139" t="str">
        <f>IFERROR(__xludf.DUMMYFUNCTION("""COMPUTED_VALUE"""),"Normal")</f>
        <v>Normal</v>
      </c>
      <c r="G1426" s="139"/>
      <c r="H1426" s="139"/>
      <c r="I1426" s="139">
        <f>IFERROR(__xludf.DUMMYFUNCTION("""COMPUTED_VALUE"""),89.0)</f>
        <v>89</v>
      </c>
      <c r="J1426" s="139">
        <f>IFERROR(__xludf.DUMMYFUNCTION("""COMPUTED_VALUE"""),46.0)</f>
        <v>46</v>
      </c>
      <c r="K1426" s="139">
        <f>IFERROR(__xludf.DUMMYFUNCTION("""COMPUTED_VALUE"""),50.0)</f>
        <v>50</v>
      </c>
      <c r="L1426" s="139"/>
      <c r="M1426" s="139"/>
      <c r="N1426" s="139"/>
    </row>
    <row r="1427">
      <c r="A1427" s="139" t="str">
        <f>IFERROR(__xludf.DUMMYFUNCTION("""COMPUTED_VALUE"""),"e")</f>
        <v>e</v>
      </c>
      <c r="B1427" s="139">
        <f>IFERROR(__xludf.DUMMYFUNCTION("""COMPUTED_VALUE"""),2.0250901E8)</f>
        <v>202509010</v>
      </c>
      <c r="C1427" s="139" t="str">
        <f>IFERROR(__xludf.DUMMYFUNCTION("""COMPUTED_VALUE"""),"c_mag_00001_general_vh_Boss_Yellow_Appearance_00001")</f>
        <v>c_mag_00001_general_vh_Boss_Yellow_Appearance_00001</v>
      </c>
      <c r="D1427" s="139" t="str">
        <f>IFERROR(__xludf.DUMMYFUNCTION("""COMPUTED_VALUE"""),"c_mag_00001_general_vh_Boss_Yellow")</f>
        <v>c_mag_00001_general_vh_Boss_Yellow</v>
      </c>
      <c r="E1427" s="139">
        <f>IFERROR(__xludf.DUMMYFUNCTION("""COMPUTED_VALUE"""),0.0)</f>
        <v>0</v>
      </c>
      <c r="F1427" s="139" t="str">
        <f>IFERROR(__xludf.DUMMYFUNCTION("""COMPUTED_VALUE"""),"Appearance")</f>
        <v>Appearance</v>
      </c>
      <c r="G1427" s="139"/>
      <c r="H1427" s="139"/>
      <c r="I1427" s="139">
        <f>IFERROR(__xludf.DUMMYFUNCTION("""COMPUTED_VALUE"""),50.0)</f>
        <v>50</v>
      </c>
      <c r="J1427" s="139">
        <f>IFERROR(__xludf.DUMMYFUNCTION("""COMPUTED_VALUE"""),0.0)</f>
        <v>0</v>
      </c>
      <c r="K1427" s="139">
        <f>IFERROR(__xludf.DUMMYFUNCTION("""COMPUTED_VALUE"""),0.0)</f>
        <v>0</v>
      </c>
      <c r="L1427" s="139"/>
      <c r="M1427" s="139"/>
      <c r="N1427" s="139"/>
    </row>
    <row r="1428">
      <c r="A1428" s="139" t="str">
        <f>IFERROR(__xludf.DUMMYFUNCTION("""COMPUTED_VALUE"""),"e")</f>
        <v>e</v>
      </c>
      <c r="B1428" s="139">
        <f>IFERROR(__xludf.DUMMYFUNCTION("""COMPUTED_VALUE"""),2.0250901E8)</f>
        <v>202509010</v>
      </c>
      <c r="C1428" s="139" t="str">
        <f>IFERROR(__xludf.DUMMYFUNCTION("""COMPUTED_VALUE"""),"c_mag_00001_general_vh_Boss_Yellow_Special_00002")</f>
        <v>c_mag_00001_general_vh_Boss_Yellow_Special_00002</v>
      </c>
      <c r="D1428" s="139" t="str">
        <f>IFERROR(__xludf.DUMMYFUNCTION("""COMPUTED_VALUE"""),"c_mag_00001_general_vh_Boss_Yellow")</f>
        <v>c_mag_00001_general_vh_Boss_Yellow</v>
      </c>
      <c r="E1428" s="139">
        <f>IFERROR(__xludf.DUMMYFUNCTION("""COMPUTED_VALUE"""),0.0)</f>
        <v>0</v>
      </c>
      <c r="F1428" s="139" t="str">
        <f>IFERROR(__xludf.DUMMYFUNCTION("""COMPUTED_VALUE"""),"Special")</f>
        <v>Special</v>
      </c>
      <c r="G1428" s="139"/>
      <c r="H1428" s="139"/>
      <c r="I1428" s="139">
        <f>IFERROR(__xludf.DUMMYFUNCTION("""COMPUTED_VALUE"""),117.0)</f>
        <v>117</v>
      </c>
      <c r="J1428" s="139">
        <f>IFERROR(__xludf.DUMMYFUNCTION("""COMPUTED_VALUE"""),0.0)</f>
        <v>0</v>
      </c>
      <c r="K1428" s="139">
        <f>IFERROR(__xludf.DUMMYFUNCTION("""COMPUTED_VALUE"""),0.0)</f>
        <v>0</v>
      </c>
      <c r="L1428" s="139"/>
      <c r="M1428" s="139"/>
      <c r="N1428" s="139"/>
    </row>
    <row r="1429">
      <c r="A1429" s="139" t="str">
        <f>IFERROR(__xludf.DUMMYFUNCTION("""COMPUTED_VALUE"""),"e")</f>
        <v>e</v>
      </c>
      <c r="B1429" s="139">
        <f>IFERROR(__xludf.DUMMYFUNCTION("""COMPUTED_VALUE"""),2.0250901E8)</f>
        <v>202509010</v>
      </c>
      <c r="C1429" s="139" t="str">
        <f>IFERROR(__xludf.DUMMYFUNCTION("""COMPUTED_VALUE"""),"c_mag_00101_general_vh_Normal_Blue_Normal_00000")</f>
        <v>c_mag_00101_general_vh_Normal_Blue_Normal_00000</v>
      </c>
      <c r="D1429" s="139" t="str">
        <f>IFERROR(__xludf.DUMMYFUNCTION("""COMPUTED_VALUE"""),"c_mag_00101_general_vh_Normal_Blue")</f>
        <v>c_mag_00101_general_vh_Normal_Blue</v>
      </c>
      <c r="E1429" s="139">
        <f>IFERROR(__xludf.DUMMYFUNCTION("""COMPUTED_VALUE"""),0.0)</f>
        <v>0</v>
      </c>
      <c r="F1429" s="139" t="str">
        <f>IFERROR(__xludf.DUMMYFUNCTION("""COMPUTED_VALUE"""),"Normal")</f>
        <v>Normal</v>
      </c>
      <c r="G1429" s="139"/>
      <c r="H1429" s="139"/>
      <c r="I1429" s="139">
        <f>IFERROR(__xludf.DUMMYFUNCTION("""COMPUTED_VALUE"""),95.0)</f>
        <v>95</v>
      </c>
      <c r="J1429" s="139">
        <f>IFERROR(__xludf.DUMMYFUNCTION("""COMPUTED_VALUE"""),42.0)</f>
        <v>42</v>
      </c>
      <c r="K1429" s="139">
        <f>IFERROR(__xludf.DUMMYFUNCTION("""COMPUTED_VALUE"""),50.0)</f>
        <v>50</v>
      </c>
      <c r="L1429" s="139"/>
      <c r="M1429" s="139"/>
      <c r="N1429" s="139"/>
    </row>
    <row r="1430">
      <c r="A1430" s="139" t="str">
        <f>IFERROR(__xludf.DUMMYFUNCTION("""COMPUTED_VALUE"""),"e")</f>
        <v>e</v>
      </c>
      <c r="B1430" s="139">
        <f>IFERROR(__xludf.DUMMYFUNCTION("""COMPUTED_VALUE"""),2.0250901E8)</f>
        <v>202509010</v>
      </c>
      <c r="C1430" s="139" t="str">
        <f>IFERROR(__xludf.DUMMYFUNCTION("""COMPUTED_VALUE"""),"c_mag_00101_general_vh_Normal_Blue_Special_00001")</f>
        <v>c_mag_00101_general_vh_Normal_Blue_Special_00001</v>
      </c>
      <c r="D1430" s="139" t="str">
        <f>IFERROR(__xludf.DUMMYFUNCTION("""COMPUTED_VALUE"""),"c_mag_00101_general_vh_Normal_Blue")</f>
        <v>c_mag_00101_general_vh_Normal_Blue</v>
      </c>
      <c r="E1430" s="139">
        <f>IFERROR(__xludf.DUMMYFUNCTION("""COMPUTED_VALUE"""),0.0)</f>
        <v>0</v>
      </c>
      <c r="F1430" s="139" t="str">
        <f>IFERROR(__xludf.DUMMYFUNCTION("""COMPUTED_VALUE"""),"Special")</f>
        <v>Special</v>
      </c>
      <c r="G1430" s="139"/>
      <c r="H1430" s="139"/>
      <c r="I1430" s="139">
        <f>IFERROR(__xludf.DUMMYFUNCTION("""COMPUTED_VALUE"""),134.0)</f>
        <v>134</v>
      </c>
      <c r="J1430" s="139">
        <f>IFERROR(__xludf.DUMMYFUNCTION("""COMPUTED_VALUE"""),75.0)</f>
        <v>75</v>
      </c>
      <c r="K1430" s="139">
        <f>IFERROR(__xludf.DUMMYFUNCTION("""COMPUTED_VALUE"""),0.0)</f>
        <v>0</v>
      </c>
      <c r="L1430" s="139"/>
      <c r="M1430" s="139"/>
      <c r="N1430" s="139"/>
    </row>
    <row r="1431">
      <c r="A1431" s="139"/>
      <c r="B1431" s="139"/>
      <c r="C1431" s="139"/>
      <c r="D1431" s="139"/>
      <c r="E1431" s="139"/>
      <c r="F1431" s="139"/>
      <c r="G1431" s="139"/>
      <c r="H1431" s="139"/>
      <c r="I1431" s="139"/>
      <c r="J1431" s="139"/>
      <c r="K1431" s="139"/>
      <c r="L1431" s="139"/>
      <c r="M1431" s="139"/>
      <c r="N1431" s="139"/>
    </row>
    <row r="1432">
      <c r="A1432" s="139" t="str">
        <f>IFERROR(__xludf.DUMMYFUNCTION("""COMPUTED_VALUE"""),"e")</f>
        <v>e</v>
      </c>
      <c r="B1432" s="139">
        <f>IFERROR(__xludf.DUMMYFUNCTION("""COMPUTED_VALUE"""),2.0250901E8)</f>
        <v>202509010</v>
      </c>
      <c r="C1432" s="139" t="str">
        <f>IFERROR(__xludf.DUMMYFUNCTION("""COMPUTED_VALUE"""),"c_sum_00201_general_Normal_Colorless_Normal_00000")</f>
        <v>c_sum_00201_general_Normal_Colorless_Normal_00000</v>
      </c>
      <c r="D1432" s="139" t="str">
        <f>IFERROR(__xludf.DUMMYFUNCTION("""COMPUTED_VALUE"""),"c_sum_00201_general_Normal_Colorless")</f>
        <v>c_sum_00201_general_Normal_Colorless</v>
      </c>
      <c r="E1432" s="139">
        <f>IFERROR(__xludf.DUMMYFUNCTION("""COMPUTED_VALUE"""),0.0)</f>
        <v>0</v>
      </c>
      <c r="F1432" s="139" t="str">
        <f>IFERROR(__xludf.DUMMYFUNCTION("""COMPUTED_VALUE"""),"Normal")</f>
        <v>Normal</v>
      </c>
      <c r="G1432" s="139"/>
      <c r="H1432" s="139"/>
      <c r="I1432" s="139">
        <f>IFERROR(__xludf.DUMMYFUNCTION("""COMPUTED_VALUE"""),110.0)</f>
        <v>110</v>
      </c>
      <c r="J1432" s="139">
        <f>IFERROR(__xludf.DUMMYFUNCTION("""COMPUTED_VALUE"""),34.0)</f>
        <v>34</v>
      </c>
      <c r="K1432" s="139">
        <f>IFERROR(__xludf.DUMMYFUNCTION("""COMPUTED_VALUE"""),100.0)</f>
        <v>100</v>
      </c>
      <c r="L1432" s="139"/>
      <c r="M1432" s="139"/>
      <c r="N1432" s="139"/>
    </row>
    <row r="1433">
      <c r="A1433" s="139" t="str">
        <f>IFERROR(__xludf.DUMMYFUNCTION("""COMPUTED_VALUE"""),"e")</f>
        <v>e</v>
      </c>
      <c r="B1433" s="139">
        <f>IFERROR(__xludf.DUMMYFUNCTION("""COMPUTED_VALUE"""),2.0250901E8)</f>
        <v>202509010</v>
      </c>
      <c r="C1433" s="139" t="str">
        <f>IFERROR(__xludf.DUMMYFUNCTION("""COMPUTED_VALUE"""),"c_sum_00201_general_Normal_Colorless_Special_00001")</f>
        <v>c_sum_00201_general_Normal_Colorless_Special_00001</v>
      </c>
      <c r="D1433" s="139" t="str">
        <f>IFERROR(__xludf.DUMMYFUNCTION("""COMPUTED_VALUE"""),"c_sum_00201_general_Normal_Colorless")</f>
        <v>c_sum_00201_general_Normal_Colorless</v>
      </c>
      <c r="E1433" s="139">
        <f>IFERROR(__xludf.DUMMYFUNCTION("""COMPUTED_VALUE"""),0.0)</f>
        <v>0</v>
      </c>
      <c r="F1433" s="139" t="str">
        <f>IFERROR(__xludf.DUMMYFUNCTION("""COMPUTED_VALUE"""),"Special")</f>
        <v>Special</v>
      </c>
      <c r="G1433" s="139"/>
      <c r="H1433" s="139"/>
      <c r="I1433" s="139">
        <f>IFERROR(__xludf.DUMMYFUNCTION("""COMPUTED_VALUE"""),135.0)</f>
        <v>135</v>
      </c>
      <c r="J1433" s="139">
        <f>IFERROR(__xludf.DUMMYFUNCTION("""COMPUTED_VALUE"""),85.0)</f>
        <v>85</v>
      </c>
      <c r="K1433" s="139">
        <f>IFERROR(__xludf.DUMMYFUNCTION("""COMPUTED_VALUE"""),0.0)</f>
        <v>0</v>
      </c>
      <c r="L1433" s="139"/>
      <c r="M1433" s="139"/>
      <c r="N1433" s="139"/>
    </row>
    <row r="1434">
      <c r="A1434" s="139" t="str">
        <f>IFERROR(__xludf.DUMMYFUNCTION("""COMPUTED_VALUE"""),"e")</f>
        <v>e</v>
      </c>
      <c r="B1434" s="139">
        <f>IFERROR(__xludf.DUMMYFUNCTION("""COMPUTED_VALUE"""),2.0250901E8)</f>
        <v>202509010</v>
      </c>
      <c r="C1434" s="139" t="str">
        <f>IFERROR(__xludf.DUMMYFUNCTION("""COMPUTED_VALUE"""),"c_sum_00201_general_Normal_Yellow_Normal_00000")</f>
        <v>c_sum_00201_general_Normal_Yellow_Normal_00000</v>
      </c>
      <c r="D1434" s="139" t="str">
        <f>IFERROR(__xludf.DUMMYFUNCTION("""COMPUTED_VALUE"""),"c_sum_00201_general_Normal_Yellow")</f>
        <v>c_sum_00201_general_Normal_Yellow</v>
      </c>
      <c r="E1434" s="139">
        <f>IFERROR(__xludf.DUMMYFUNCTION("""COMPUTED_VALUE"""),0.0)</f>
        <v>0</v>
      </c>
      <c r="F1434" s="139" t="str">
        <f>IFERROR(__xludf.DUMMYFUNCTION("""COMPUTED_VALUE"""),"Normal")</f>
        <v>Normal</v>
      </c>
      <c r="G1434" s="139"/>
      <c r="H1434" s="139"/>
      <c r="I1434" s="139">
        <f>IFERROR(__xludf.DUMMYFUNCTION("""COMPUTED_VALUE"""),110.0)</f>
        <v>110</v>
      </c>
      <c r="J1434" s="139">
        <f>IFERROR(__xludf.DUMMYFUNCTION("""COMPUTED_VALUE"""),34.0)</f>
        <v>34</v>
      </c>
      <c r="K1434" s="139">
        <f>IFERROR(__xludf.DUMMYFUNCTION("""COMPUTED_VALUE"""),100.0)</f>
        <v>100</v>
      </c>
      <c r="L1434" s="139"/>
      <c r="M1434" s="139"/>
      <c r="N1434" s="139"/>
    </row>
    <row r="1435">
      <c r="A1435" s="139" t="str">
        <f>IFERROR(__xludf.DUMMYFUNCTION("""COMPUTED_VALUE"""),"e")</f>
        <v>e</v>
      </c>
      <c r="B1435" s="139">
        <f>IFERROR(__xludf.DUMMYFUNCTION("""COMPUTED_VALUE"""),2.0250901E8)</f>
        <v>202509010</v>
      </c>
      <c r="C1435" s="139" t="str">
        <f>IFERROR(__xludf.DUMMYFUNCTION("""COMPUTED_VALUE"""),"c_sum_00201_general_Normal_Yellow_Special_00001")</f>
        <v>c_sum_00201_general_Normal_Yellow_Special_00001</v>
      </c>
      <c r="D1435" s="139" t="str">
        <f>IFERROR(__xludf.DUMMYFUNCTION("""COMPUTED_VALUE"""),"c_sum_00201_general_Normal_Yellow")</f>
        <v>c_sum_00201_general_Normal_Yellow</v>
      </c>
      <c r="E1435" s="139">
        <f>IFERROR(__xludf.DUMMYFUNCTION("""COMPUTED_VALUE"""),0.0)</f>
        <v>0</v>
      </c>
      <c r="F1435" s="139" t="str">
        <f>IFERROR(__xludf.DUMMYFUNCTION("""COMPUTED_VALUE"""),"Special")</f>
        <v>Special</v>
      </c>
      <c r="G1435" s="139"/>
      <c r="H1435" s="139"/>
      <c r="I1435" s="139">
        <f>IFERROR(__xludf.DUMMYFUNCTION("""COMPUTED_VALUE"""),135.0)</f>
        <v>135</v>
      </c>
      <c r="J1435" s="139">
        <f>IFERROR(__xludf.DUMMYFUNCTION("""COMPUTED_VALUE"""),85.0)</f>
        <v>85</v>
      </c>
      <c r="K1435" s="139">
        <f>IFERROR(__xludf.DUMMYFUNCTION("""COMPUTED_VALUE"""),0.0)</f>
        <v>0</v>
      </c>
      <c r="L1435" s="139"/>
      <c r="M1435" s="139"/>
      <c r="N1435" s="139"/>
    </row>
    <row r="1436">
      <c r="A1436" s="139" t="str">
        <f>IFERROR(__xludf.DUMMYFUNCTION("""COMPUTED_VALUE"""),"e")</f>
        <v>e</v>
      </c>
      <c r="B1436" s="139">
        <f>IFERROR(__xludf.DUMMYFUNCTION("""COMPUTED_VALUE"""),2.0250901E8)</f>
        <v>202509010</v>
      </c>
      <c r="C1436" s="139" t="str">
        <f>IFERROR(__xludf.DUMMYFUNCTION("""COMPUTED_VALUE"""),"c_sum_00201_general_Boss_Blue_Normal_00000")</f>
        <v>c_sum_00201_general_Boss_Blue_Normal_00000</v>
      </c>
      <c r="D1436" s="139" t="str">
        <f>IFERROR(__xludf.DUMMYFUNCTION("""COMPUTED_VALUE"""),"c_sum_00201_general_Boss_Blue")</f>
        <v>c_sum_00201_general_Boss_Blue</v>
      </c>
      <c r="E1436" s="139">
        <f>IFERROR(__xludf.DUMMYFUNCTION("""COMPUTED_VALUE"""),0.0)</f>
        <v>0</v>
      </c>
      <c r="F1436" s="139" t="str">
        <f>IFERROR(__xludf.DUMMYFUNCTION("""COMPUTED_VALUE"""),"Normal")</f>
        <v>Normal</v>
      </c>
      <c r="G1436" s="139"/>
      <c r="H1436" s="139"/>
      <c r="I1436" s="139">
        <f>IFERROR(__xludf.DUMMYFUNCTION("""COMPUTED_VALUE"""),110.0)</f>
        <v>110</v>
      </c>
      <c r="J1436" s="139">
        <f>IFERROR(__xludf.DUMMYFUNCTION("""COMPUTED_VALUE"""),34.0)</f>
        <v>34</v>
      </c>
      <c r="K1436" s="139">
        <f>IFERROR(__xludf.DUMMYFUNCTION("""COMPUTED_VALUE"""),100.0)</f>
        <v>100</v>
      </c>
      <c r="L1436" s="139"/>
      <c r="M1436" s="139"/>
      <c r="N1436" s="139"/>
    </row>
    <row r="1437">
      <c r="A1437" s="139" t="str">
        <f>IFERROR(__xludf.DUMMYFUNCTION("""COMPUTED_VALUE"""),"e")</f>
        <v>e</v>
      </c>
      <c r="B1437" s="139">
        <f>IFERROR(__xludf.DUMMYFUNCTION("""COMPUTED_VALUE"""),2.0250901E8)</f>
        <v>202509010</v>
      </c>
      <c r="C1437" s="139" t="str">
        <f>IFERROR(__xludf.DUMMYFUNCTION("""COMPUTED_VALUE"""),"c_sum_00201_general_Boss_Blue_Appearance_00001")</f>
        <v>c_sum_00201_general_Boss_Blue_Appearance_00001</v>
      </c>
      <c r="D1437" s="139" t="str">
        <f>IFERROR(__xludf.DUMMYFUNCTION("""COMPUTED_VALUE"""),"c_sum_00201_general_Boss_Blue")</f>
        <v>c_sum_00201_general_Boss_Blue</v>
      </c>
      <c r="E1437" s="139">
        <f>IFERROR(__xludf.DUMMYFUNCTION("""COMPUTED_VALUE"""),0.0)</f>
        <v>0</v>
      </c>
      <c r="F1437" s="139" t="str">
        <f>IFERROR(__xludf.DUMMYFUNCTION("""COMPUTED_VALUE"""),"Appearance")</f>
        <v>Appearance</v>
      </c>
      <c r="G1437" s="139"/>
      <c r="H1437" s="139"/>
      <c r="I1437" s="139">
        <f>IFERROR(__xludf.DUMMYFUNCTION("""COMPUTED_VALUE"""),50.0)</f>
        <v>50</v>
      </c>
      <c r="J1437" s="139">
        <f>IFERROR(__xludf.DUMMYFUNCTION("""COMPUTED_VALUE"""),0.0)</f>
        <v>0</v>
      </c>
      <c r="K1437" s="139">
        <f>IFERROR(__xludf.DUMMYFUNCTION("""COMPUTED_VALUE"""),0.0)</f>
        <v>0</v>
      </c>
      <c r="L1437" s="139"/>
      <c r="M1437" s="139"/>
      <c r="N1437" s="139"/>
    </row>
    <row r="1438">
      <c r="A1438" s="139" t="str">
        <f>IFERROR(__xludf.DUMMYFUNCTION("""COMPUTED_VALUE"""),"e")</f>
        <v>e</v>
      </c>
      <c r="B1438" s="139">
        <f>IFERROR(__xludf.DUMMYFUNCTION("""COMPUTED_VALUE"""),2.0250901E8)</f>
        <v>202509010</v>
      </c>
      <c r="C1438" s="139" t="str">
        <f>IFERROR(__xludf.DUMMYFUNCTION("""COMPUTED_VALUE"""),"c_sum_00201_general_Boss_Blue_Special_00002")</f>
        <v>c_sum_00201_general_Boss_Blue_Special_00002</v>
      </c>
      <c r="D1438" s="139" t="str">
        <f>IFERROR(__xludf.DUMMYFUNCTION("""COMPUTED_VALUE"""),"c_sum_00201_general_Boss_Blue")</f>
        <v>c_sum_00201_general_Boss_Blue</v>
      </c>
      <c r="E1438" s="139">
        <f>IFERROR(__xludf.DUMMYFUNCTION("""COMPUTED_VALUE"""),0.0)</f>
        <v>0</v>
      </c>
      <c r="F1438" s="139" t="str">
        <f>IFERROR(__xludf.DUMMYFUNCTION("""COMPUTED_VALUE"""),"Special")</f>
        <v>Special</v>
      </c>
      <c r="G1438" s="139"/>
      <c r="H1438" s="139"/>
      <c r="I1438" s="139">
        <f>IFERROR(__xludf.DUMMYFUNCTION("""COMPUTED_VALUE"""),135.0)</f>
        <v>135</v>
      </c>
      <c r="J1438" s="139">
        <f>IFERROR(__xludf.DUMMYFUNCTION("""COMPUTED_VALUE"""),85.0)</f>
        <v>85</v>
      </c>
      <c r="K1438" s="139">
        <f>IFERROR(__xludf.DUMMYFUNCTION("""COMPUTED_VALUE"""),0.0)</f>
        <v>0</v>
      </c>
      <c r="L1438" s="139"/>
      <c r="M1438" s="139"/>
      <c r="N1438" s="139"/>
    </row>
    <row r="1439">
      <c r="A1439" s="139" t="str">
        <f>IFERROR(__xludf.DUMMYFUNCTION("""COMPUTED_VALUE"""),"e")</f>
        <v>e</v>
      </c>
      <c r="B1439" s="139">
        <f>IFERROR(__xludf.DUMMYFUNCTION("""COMPUTED_VALUE"""),2.0250901E8)</f>
        <v>202509010</v>
      </c>
      <c r="C1439" s="139" t="str">
        <f>IFERROR(__xludf.DUMMYFUNCTION("""COMPUTED_VALUE"""),"e_sum_00101_general_Boss_Yellow_Normal_00000")</f>
        <v>e_sum_00101_general_Boss_Yellow_Normal_00000</v>
      </c>
      <c r="D1439" s="139" t="str">
        <f>IFERROR(__xludf.DUMMYFUNCTION("""COMPUTED_VALUE"""),"e_sum_00101_general_Boss_Yellow")</f>
        <v>e_sum_00101_general_Boss_Yellow</v>
      </c>
      <c r="E1439" s="139">
        <f>IFERROR(__xludf.DUMMYFUNCTION("""COMPUTED_VALUE"""),0.0)</f>
        <v>0</v>
      </c>
      <c r="F1439" s="139" t="str">
        <f>IFERROR(__xludf.DUMMYFUNCTION("""COMPUTED_VALUE"""),"Normal")</f>
        <v>Normal</v>
      </c>
      <c r="G1439" s="139"/>
      <c r="H1439" s="139"/>
      <c r="I1439" s="139">
        <f>IFERROR(__xludf.DUMMYFUNCTION("""COMPUTED_VALUE"""),70.0)</f>
        <v>70</v>
      </c>
      <c r="J1439" s="139">
        <f>IFERROR(__xludf.DUMMYFUNCTION("""COMPUTED_VALUE"""),30.0)</f>
        <v>30</v>
      </c>
      <c r="K1439" s="139">
        <f>IFERROR(__xludf.DUMMYFUNCTION("""COMPUTED_VALUE"""),150.0)</f>
        <v>150</v>
      </c>
      <c r="L1439" s="139"/>
      <c r="M1439" s="139"/>
      <c r="N1439" s="139"/>
    </row>
    <row r="1440">
      <c r="A1440" s="139" t="str">
        <f>IFERROR(__xludf.DUMMYFUNCTION("""COMPUTED_VALUE"""),"e")</f>
        <v>e</v>
      </c>
      <c r="B1440" s="139">
        <f>IFERROR(__xludf.DUMMYFUNCTION("""COMPUTED_VALUE"""),2.0250901E8)</f>
        <v>202509010</v>
      </c>
      <c r="C1440" s="139" t="str">
        <f>IFERROR(__xludf.DUMMYFUNCTION("""COMPUTED_VALUE"""),"e_sum_00101_general_Boss_Yellow_Appearance_00001")</f>
        <v>e_sum_00101_general_Boss_Yellow_Appearance_00001</v>
      </c>
      <c r="D1440" s="139" t="str">
        <f>IFERROR(__xludf.DUMMYFUNCTION("""COMPUTED_VALUE"""),"e_sum_00101_general_Boss_Yellow")</f>
        <v>e_sum_00101_general_Boss_Yellow</v>
      </c>
      <c r="E1440" s="139">
        <f>IFERROR(__xludf.DUMMYFUNCTION("""COMPUTED_VALUE"""),0.0)</f>
        <v>0</v>
      </c>
      <c r="F1440" s="139" t="str">
        <f>IFERROR(__xludf.DUMMYFUNCTION("""COMPUTED_VALUE"""),"Appearance")</f>
        <v>Appearance</v>
      </c>
      <c r="G1440" s="139"/>
      <c r="H1440" s="139"/>
      <c r="I1440" s="139">
        <f>IFERROR(__xludf.DUMMYFUNCTION("""COMPUTED_VALUE"""),50.0)</f>
        <v>50</v>
      </c>
      <c r="J1440" s="139">
        <f>IFERROR(__xludf.DUMMYFUNCTION("""COMPUTED_VALUE"""),0.0)</f>
        <v>0</v>
      </c>
      <c r="K1440" s="139">
        <f>IFERROR(__xludf.DUMMYFUNCTION("""COMPUTED_VALUE"""),0.0)</f>
        <v>0</v>
      </c>
      <c r="L1440" s="139"/>
      <c r="M1440" s="139"/>
      <c r="N1440" s="139"/>
    </row>
    <row r="1441">
      <c r="A1441" s="139" t="str">
        <f>IFERROR(__xludf.DUMMYFUNCTION("""COMPUTED_VALUE"""),"e")</f>
        <v>e</v>
      </c>
      <c r="B1441" s="139">
        <f>IFERROR(__xludf.DUMMYFUNCTION("""COMPUTED_VALUE"""),2.0250901E8)</f>
        <v>202509010</v>
      </c>
      <c r="C1441" s="139" t="str">
        <f>IFERROR(__xludf.DUMMYFUNCTION("""COMPUTED_VALUE"""),"e_sum_00201_general_Boss_Blue_Normal_00000")</f>
        <v>e_sum_00201_general_Boss_Blue_Normal_00000</v>
      </c>
      <c r="D1441" s="139" t="str">
        <f>IFERROR(__xludf.DUMMYFUNCTION("""COMPUTED_VALUE"""),"e_sum_00201_general_Boss_Blue")</f>
        <v>e_sum_00201_general_Boss_Blue</v>
      </c>
      <c r="E1441" s="139">
        <f>IFERROR(__xludf.DUMMYFUNCTION("""COMPUTED_VALUE"""),0.0)</f>
        <v>0</v>
      </c>
      <c r="F1441" s="139" t="str">
        <f>IFERROR(__xludf.DUMMYFUNCTION("""COMPUTED_VALUE"""),"Normal")</f>
        <v>Normal</v>
      </c>
      <c r="G1441" s="139"/>
      <c r="H1441" s="139"/>
      <c r="I1441" s="139">
        <f>IFERROR(__xludf.DUMMYFUNCTION("""COMPUTED_VALUE"""),70.0)</f>
        <v>70</v>
      </c>
      <c r="J1441" s="139">
        <f>IFERROR(__xludf.DUMMYFUNCTION("""COMPUTED_VALUE"""),30.0)</f>
        <v>30</v>
      </c>
      <c r="K1441" s="139">
        <f>IFERROR(__xludf.DUMMYFUNCTION("""COMPUTED_VALUE"""),100.0)</f>
        <v>100</v>
      </c>
      <c r="L1441" s="139"/>
      <c r="M1441" s="139"/>
      <c r="N1441" s="139"/>
    </row>
    <row r="1442">
      <c r="A1442" s="139" t="str">
        <f>IFERROR(__xludf.DUMMYFUNCTION("""COMPUTED_VALUE"""),"e")</f>
        <v>e</v>
      </c>
      <c r="B1442" s="139">
        <f>IFERROR(__xludf.DUMMYFUNCTION("""COMPUTED_VALUE"""),2.0250901E8)</f>
        <v>202509010</v>
      </c>
      <c r="C1442" s="139" t="str">
        <f>IFERROR(__xludf.DUMMYFUNCTION("""COMPUTED_VALUE"""),"e_sum_00201_general_Boss_Blue_Appearance_00001")</f>
        <v>e_sum_00201_general_Boss_Blue_Appearance_00001</v>
      </c>
      <c r="D1442" s="139" t="str">
        <f>IFERROR(__xludf.DUMMYFUNCTION("""COMPUTED_VALUE"""),"e_sum_00201_general_Boss_Blue")</f>
        <v>e_sum_00201_general_Boss_Blue</v>
      </c>
      <c r="E1442" s="139">
        <f>IFERROR(__xludf.DUMMYFUNCTION("""COMPUTED_VALUE"""),0.0)</f>
        <v>0</v>
      </c>
      <c r="F1442" s="139" t="str">
        <f>IFERROR(__xludf.DUMMYFUNCTION("""COMPUTED_VALUE"""),"Appearance")</f>
        <v>Appearance</v>
      </c>
      <c r="G1442" s="139"/>
      <c r="H1442" s="139"/>
      <c r="I1442" s="139">
        <f>IFERROR(__xludf.DUMMYFUNCTION("""COMPUTED_VALUE"""),50.0)</f>
        <v>50</v>
      </c>
      <c r="J1442" s="139">
        <f>IFERROR(__xludf.DUMMYFUNCTION("""COMPUTED_VALUE"""),0.0)</f>
        <v>0</v>
      </c>
      <c r="K1442" s="139">
        <f>IFERROR(__xludf.DUMMYFUNCTION("""COMPUTED_VALUE"""),0.0)</f>
        <v>0</v>
      </c>
      <c r="L1442" s="139"/>
      <c r="M1442" s="139"/>
      <c r="N1442" s="139"/>
    </row>
    <row r="1443">
      <c r="A1443" s="139" t="str">
        <f>IFERROR(__xludf.DUMMYFUNCTION("""COMPUTED_VALUE"""),"e")</f>
        <v>e</v>
      </c>
      <c r="B1443" s="139">
        <f>IFERROR(__xludf.DUMMYFUNCTION("""COMPUTED_VALUE"""),2.0250901E8)</f>
        <v>202509010</v>
      </c>
      <c r="C1443" s="139" t="str">
        <f>IFERROR(__xludf.DUMMYFUNCTION("""COMPUTED_VALUE"""),"e_sum_00001_general_Normal_Colorless_Normal_00000")</f>
        <v>e_sum_00001_general_Normal_Colorless_Normal_00000</v>
      </c>
      <c r="D1443" s="139" t="str">
        <f>IFERROR(__xludf.DUMMYFUNCTION("""COMPUTED_VALUE"""),"e_sum_00001_general_Normal_Colorless")</f>
        <v>e_sum_00001_general_Normal_Colorless</v>
      </c>
      <c r="E1443" s="139">
        <f>IFERROR(__xludf.DUMMYFUNCTION("""COMPUTED_VALUE"""),0.0)</f>
        <v>0</v>
      </c>
      <c r="F1443" s="139" t="str">
        <f>IFERROR(__xludf.DUMMYFUNCTION("""COMPUTED_VALUE"""),"Normal")</f>
        <v>Normal</v>
      </c>
      <c r="G1443" s="139"/>
      <c r="H1443" s="139"/>
      <c r="I1443" s="139">
        <f>IFERROR(__xludf.DUMMYFUNCTION("""COMPUTED_VALUE"""),75.0)</f>
        <v>75</v>
      </c>
      <c r="J1443" s="139">
        <f>IFERROR(__xludf.DUMMYFUNCTION("""COMPUTED_VALUE"""),33.0)</f>
        <v>33</v>
      </c>
      <c r="K1443" s="139">
        <f>IFERROR(__xludf.DUMMYFUNCTION("""COMPUTED_VALUE"""),100.0)</f>
        <v>100</v>
      </c>
      <c r="L1443" s="139"/>
      <c r="M1443" s="139"/>
      <c r="N1443" s="139"/>
    </row>
    <row r="1444">
      <c r="A1444" s="139" t="str">
        <f>IFERROR(__xludf.DUMMYFUNCTION("""COMPUTED_VALUE"""),"e")</f>
        <v>e</v>
      </c>
      <c r="B1444" s="139">
        <f>IFERROR(__xludf.DUMMYFUNCTION("""COMPUTED_VALUE"""),2.0250901E8)</f>
        <v>202509010</v>
      </c>
      <c r="C1444" s="139" t="str">
        <f>IFERROR(__xludf.DUMMYFUNCTION("""COMPUTED_VALUE"""),"e_sum_00001_general_Normal_Yellow_Normal_00000")</f>
        <v>e_sum_00001_general_Normal_Yellow_Normal_00000</v>
      </c>
      <c r="D1444" s="139" t="str">
        <f>IFERROR(__xludf.DUMMYFUNCTION("""COMPUTED_VALUE"""),"e_sum_00001_general_Normal_Yellow")</f>
        <v>e_sum_00001_general_Normal_Yellow</v>
      </c>
      <c r="E1444" s="139">
        <f>IFERROR(__xludf.DUMMYFUNCTION("""COMPUTED_VALUE"""),0.0)</f>
        <v>0</v>
      </c>
      <c r="F1444" s="139" t="str">
        <f>IFERROR(__xludf.DUMMYFUNCTION("""COMPUTED_VALUE"""),"Normal")</f>
        <v>Normal</v>
      </c>
      <c r="G1444" s="139"/>
      <c r="H1444" s="139"/>
      <c r="I1444" s="139">
        <f>IFERROR(__xludf.DUMMYFUNCTION("""COMPUTED_VALUE"""),75.0)</f>
        <v>75</v>
      </c>
      <c r="J1444" s="139">
        <f>IFERROR(__xludf.DUMMYFUNCTION("""COMPUTED_VALUE"""),33.0)</f>
        <v>33</v>
      </c>
      <c r="K1444" s="139">
        <f>IFERROR(__xludf.DUMMYFUNCTION("""COMPUTED_VALUE"""),100.0)</f>
        <v>100</v>
      </c>
      <c r="L1444" s="139"/>
      <c r="M1444" s="139"/>
      <c r="N1444" s="139"/>
    </row>
    <row r="1445">
      <c r="A1445" s="139" t="str">
        <f>IFERROR(__xludf.DUMMYFUNCTION("""COMPUTED_VALUE"""),"e")</f>
        <v>e</v>
      </c>
      <c r="B1445" s="139">
        <f>IFERROR(__xludf.DUMMYFUNCTION("""COMPUTED_VALUE"""),2.0250901E8)</f>
        <v>202509010</v>
      </c>
      <c r="C1445" s="139" t="str">
        <f>IFERROR(__xludf.DUMMYFUNCTION("""COMPUTED_VALUE"""),"e_sum_00001_general_Normal_Blue_Normal_00000")</f>
        <v>e_sum_00001_general_Normal_Blue_Normal_00000</v>
      </c>
      <c r="D1445" s="139" t="str">
        <f>IFERROR(__xludf.DUMMYFUNCTION("""COMPUTED_VALUE"""),"e_sum_00001_general_Normal_Blue")</f>
        <v>e_sum_00001_general_Normal_Blue</v>
      </c>
      <c r="E1445" s="139">
        <f>IFERROR(__xludf.DUMMYFUNCTION("""COMPUTED_VALUE"""),0.0)</f>
        <v>0</v>
      </c>
      <c r="F1445" s="139" t="str">
        <f>IFERROR(__xludf.DUMMYFUNCTION("""COMPUTED_VALUE"""),"Normal")</f>
        <v>Normal</v>
      </c>
      <c r="G1445" s="139"/>
      <c r="H1445" s="139"/>
      <c r="I1445" s="139">
        <f>IFERROR(__xludf.DUMMYFUNCTION("""COMPUTED_VALUE"""),75.0)</f>
        <v>75</v>
      </c>
      <c r="J1445" s="139">
        <f>IFERROR(__xludf.DUMMYFUNCTION("""COMPUTED_VALUE"""),33.0)</f>
        <v>33</v>
      </c>
      <c r="K1445" s="139">
        <f>IFERROR(__xludf.DUMMYFUNCTION("""COMPUTED_VALUE"""),100.0)</f>
        <v>100</v>
      </c>
      <c r="L1445" s="139"/>
      <c r="M1445" s="139"/>
      <c r="N1445" s="139"/>
    </row>
    <row r="1446">
      <c r="A1446" s="139" t="str">
        <f>IFERROR(__xludf.DUMMYFUNCTION("""COMPUTED_VALUE"""),"e")</f>
        <v>e</v>
      </c>
      <c r="B1446" s="139">
        <f>IFERROR(__xludf.DUMMYFUNCTION("""COMPUTED_VALUE"""),2.0250901E8)</f>
        <v>202509010</v>
      </c>
      <c r="C1446" s="139" t="str">
        <f>IFERROR(__xludf.DUMMYFUNCTION("""COMPUTED_VALUE"""),"e_sum_00001_general_Normal_Red_Normal_00000")</f>
        <v>e_sum_00001_general_Normal_Red_Normal_00000</v>
      </c>
      <c r="D1446" s="139" t="str">
        <f>IFERROR(__xludf.DUMMYFUNCTION("""COMPUTED_VALUE"""),"e_sum_00001_general_Normal_Red")</f>
        <v>e_sum_00001_general_Normal_Red</v>
      </c>
      <c r="E1446" s="139">
        <f>IFERROR(__xludf.DUMMYFUNCTION("""COMPUTED_VALUE"""),0.0)</f>
        <v>0</v>
      </c>
      <c r="F1446" s="139" t="str">
        <f>IFERROR(__xludf.DUMMYFUNCTION("""COMPUTED_VALUE"""),"Normal")</f>
        <v>Normal</v>
      </c>
      <c r="G1446" s="139"/>
      <c r="H1446" s="139"/>
      <c r="I1446" s="139">
        <f>IFERROR(__xludf.DUMMYFUNCTION("""COMPUTED_VALUE"""),75.0)</f>
        <v>75</v>
      </c>
      <c r="J1446" s="139">
        <f>IFERROR(__xludf.DUMMYFUNCTION("""COMPUTED_VALUE"""),33.0)</f>
        <v>33</v>
      </c>
      <c r="K1446" s="139">
        <f>IFERROR(__xludf.DUMMYFUNCTION("""COMPUTED_VALUE"""),100.0)</f>
        <v>100</v>
      </c>
      <c r="L1446" s="139"/>
      <c r="M1446" s="139"/>
      <c r="N1446" s="139"/>
    </row>
    <row r="1447">
      <c r="A1447" s="139" t="str">
        <f>IFERROR(__xludf.DUMMYFUNCTION("""COMPUTED_VALUE"""),"e")</f>
        <v>e</v>
      </c>
      <c r="B1447" s="139">
        <f>IFERROR(__xludf.DUMMYFUNCTION("""COMPUTED_VALUE"""),2.0250901E8)</f>
        <v>202509010</v>
      </c>
      <c r="C1447" s="139" t="str">
        <f>IFERROR(__xludf.DUMMYFUNCTION("""COMPUTED_VALUE"""),"e_sum_00001_general_Boss_Red_Normal_00000")</f>
        <v>e_sum_00001_general_Boss_Red_Normal_00000</v>
      </c>
      <c r="D1447" s="139" t="str">
        <f>IFERROR(__xludf.DUMMYFUNCTION("""COMPUTED_VALUE"""),"e_sum_00001_general_Boss_Red")</f>
        <v>e_sum_00001_general_Boss_Red</v>
      </c>
      <c r="E1447" s="139">
        <f>IFERROR(__xludf.DUMMYFUNCTION("""COMPUTED_VALUE"""),0.0)</f>
        <v>0</v>
      </c>
      <c r="F1447" s="139" t="str">
        <f>IFERROR(__xludf.DUMMYFUNCTION("""COMPUTED_VALUE"""),"Normal")</f>
        <v>Normal</v>
      </c>
      <c r="G1447" s="139"/>
      <c r="H1447" s="139"/>
      <c r="I1447" s="139">
        <f>IFERROR(__xludf.DUMMYFUNCTION("""COMPUTED_VALUE"""),75.0)</f>
        <v>75</v>
      </c>
      <c r="J1447" s="139">
        <f>IFERROR(__xludf.DUMMYFUNCTION("""COMPUTED_VALUE"""),33.0)</f>
        <v>33</v>
      </c>
      <c r="K1447" s="139">
        <f>IFERROR(__xludf.DUMMYFUNCTION("""COMPUTED_VALUE"""),50.0)</f>
        <v>50</v>
      </c>
      <c r="L1447" s="139"/>
      <c r="M1447" s="139"/>
      <c r="N1447" s="139"/>
    </row>
    <row r="1448">
      <c r="A1448" s="139" t="str">
        <f>IFERROR(__xludf.DUMMYFUNCTION("""COMPUTED_VALUE"""),"e")</f>
        <v>e</v>
      </c>
      <c r="B1448" s="139">
        <f>IFERROR(__xludf.DUMMYFUNCTION("""COMPUTED_VALUE"""),2.0250901E8)</f>
        <v>202509010</v>
      </c>
      <c r="C1448" s="139" t="str">
        <f>IFERROR(__xludf.DUMMYFUNCTION("""COMPUTED_VALUE"""),"e_sum_00001_general_Boss_Red_Appearance_00001")</f>
        <v>e_sum_00001_general_Boss_Red_Appearance_00001</v>
      </c>
      <c r="D1448" s="139" t="str">
        <f>IFERROR(__xludf.DUMMYFUNCTION("""COMPUTED_VALUE"""),"e_sum_00001_general_Boss_Red")</f>
        <v>e_sum_00001_general_Boss_Red</v>
      </c>
      <c r="E1448" s="139">
        <f>IFERROR(__xludf.DUMMYFUNCTION("""COMPUTED_VALUE"""),0.0)</f>
        <v>0</v>
      </c>
      <c r="F1448" s="139" t="str">
        <f>IFERROR(__xludf.DUMMYFUNCTION("""COMPUTED_VALUE"""),"Appearance")</f>
        <v>Appearance</v>
      </c>
      <c r="G1448" s="139"/>
      <c r="H1448" s="139"/>
      <c r="I1448" s="139">
        <f>IFERROR(__xludf.DUMMYFUNCTION("""COMPUTED_VALUE"""),50.0)</f>
        <v>50</v>
      </c>
      <c r="J1448" s="139">
        <f>IFERROR(__xludf.DUMMYFUNCTION("""COMPUTED_VALUE"""),0.0)</f>
        <v>0</v>
      </c>
      <c r="K1448" s="139">
        <f>IFERROR(__xludf.DUMMYFUNCTION("""COMPUTED_VALUE"""),0.0)</f>
        <v>0</v>
      </c>
      <c r="L1448" s="139"/>
      <c r="M1448" s="139"/>
      <c r="N1448" s="139"/>
    </row>
    <row r="1449">
      <c r="A1449" s="139" t="str">
        <f>IFERROR(__xludf.DUMMYFUNCTION("""COMPUTED_VALUE"""),"e")</f>
        <v>e</v>
      </c>
      <c r="B1449" s="139">
        <f>IFERROR(__xludf.DUMMYFUNCTION("""COMPUTED_VALUE"""),2.0250901E8)</f>
        <v>202509010</v>
      </c>
      <c r="C1449" s="139" t="str">
        <f>IFERROR(__xludf.DUMMYFUNCTION("""COMPUTED_VALUE"""),"c_sum_00001_general_Normal_Red_Normal_00000")</f>
        <v>c_sum_00001_general_Normal_Red_Normal_00000</v>
      </c>
      <c r="D1449" s="139" t="str">
        <f>IFERROR(__xludf.DUMMYFUNCTION("""COMPUTED_VALUE"""),"c_sum_00001_general_Normal_Red")</f>
        <v>c_sum_00001_general_Normal_Red</v>
      </c>
      <c r="E1449" s="139">
        <f>IFERROR(__xludf.DUMMYFUNCTION("""COMPUTED_VALUE"""),0.0)</f>
        <v>0</v>
      </c>
      <c r="F1449" s="139" t="str">
        <f>IFERROR(__xludf.DUMMYFUNCTION("""COMPUTED_VALUE"""),"Normal")</f>
        <v>Normal</v>
      </c>
      <c r="G1449" s="139"/>
      <c r="H1449" s="139"/>
      <c r="I1449" s="139">
        <f>IFERROR(__xludf.DUMMYFUNCTION("""COMPUTED_VALUE"""),75.0)</f>
        <v>75</v>
      </c>
      <c r="J1449" s="139">
        <f>IFERROR(__xludf.DUMMYFUNCTION("""COMPUTED_VALUE"""),33.0)</f>
        <v>33</v>
      </c>
      <c r="K1449" s="139">
        <f>IFERROR(__xludf.DUMMYFUNCTION("""COMPUTED_VALUE"""),100.0)</f>
        <v>100</v>
      </c>
      <c r="L1449" s="139"/>
      <c r="M1449" s="139"/>
      <c r="N1449" s="139"/>
    </row>
    <row r="1450">
      <c r="A1450" s="139" t="str">
        <f>IFERROR(__xludf.DUMMYFUNCTION("""COMPUTED_VALUE"""),"e")</f>
        <v>e</v>
      </c>
      <c r="B1450" s="139">
        <f>IFERROR(__xludf.DUMMYFUNCTION("""COMPUTED_VALUE"""),2.0250901E8)</f>
        <v>202509010</v>
      </c>
      <c r="C1450" s="139" t="str">
        <f>IFERROR(__xludf.DUMMYFUNCTION("""COMPUTED_VALUE"""),"c_sum_00001_general_Normal_Red_Special_00001")</f>
        <v>c_sum_00001_general_Normal_Red_Special_00001</v>
      </c>
      <c r="D1450" s="139" t="str">
        <f>IFERROR(__xludf.DUMMYFUNCTION("""COMPUTED_VALUE"""),"c_sum_00001_general_Normal_Red")</f>
        <v>c_sum_00001_general_Normal_Red</v>
      </c>
      <c r="E1450" s="139">
        <f>IFERROR(__xludf.DUMMYFUNCTION("""COMPUTED_VALUE"""),0.0)</f>
        <v>0</v>
      </c>
      <c r="F1450" s="139" t="str">
        <f>IFERROR(__xludf.DUMMYFUNCTION("""COMPUTED_VALUE"""),"Special")</f>
        <v>Special</v>
      </c>
      <c r="G1450" s="139"/>
      <c r="H1450" s="139"/>
      <c r="I1450" s="139">
        <f>IFERROR(__xludf.DUMMYFUNCTION("""COMPUTED_VALUE"""),117.0)</f>
        <v>117</v>
      </c>
      <c r="J1450" s="139">
        <f>IFERROR(__xludf.DUMMYFUNCTION("""COMPUTED_VALUE"""),0.0)</f>
        <v>0</v>
      </c>
      <c r="K1450" s="139">
        <f>IFERROR(__xludf.DUMMYFUNCTION("""COMPUTED_VALUE"""),0.0)</f>
        <v>0</v>
      </c>
      <c r="L1450" s="139"/>
      <c r="M1450" s="139"/>
      <c r="N1450" s="139"/>
    </row>
    <row r="1451">
      <c r="A1451" s="139" t="str">
        <f>IFERROR(__xludf.DUMMYFUNCTION("""COMPUTED_VALUE"""),"e")</f>
        <v>e</v>
      </c>
      <c r="B1451" s="139">
        <f>IFERROR(__xludf.DUMMYFUNCTION("""COMPUTED_VALUE"""),2.0250901E8)</f>
        <v>202509010</v>
      </c>
      <c r="C1451" s="139" t="str">
        <f>IFERROR(__xludf.DUMMYFUNCTION("""COMPUTED_VALUE"""),"c_sum_00101_general_Boss_Red_Normal_00000")</f>
        <v>c_sum_00101_general_Boss_Red_Normal_00000</v>
      </c>
      <c r="D1451" s="139" t="str">
        <f>IFERROR(__xludf.DUMMYFUNCTION("""COMPUTED_VALUE"""),"c_sum_00101_general_Boss_Red")</f>
        <v>c_sum_00101_general_Boss_Red</v>
      </c>
      <c r="E1451" s="139">
        <f>IFERROR(__xludf.DUMMYFUNCTION("""COMPUTED_VALUE"""),0.0)</f>
        <v>0</v>
      </c>
      <c r="F1451" s="139" t="str">
        <f>IFERROR(__xludf.DUMMYFUNCTION("""COMPUTED_VALUE"""),"Normal")</f>
        <v>Normal</v>
      </c>
      <c r="G1451" s="139"/>
      <c r="H1451" s="139"/>
      <c r="I1451" s="139">
        <f>IFERROR(__xludf.DUMMYFUNCTION("""COMPUTED_VALUE"""),57.0)</f>
        <v>57</v>
      </c>
      <c r="J1451" s="139">
        <f>IFERROR(__xludf.DUMMYFUNCTION("""COMPUTED_VALUE"""),25.0)</f>
        <v>25</v>
      </c>
      <c r="K1451" s="139">
        <f>IFERROR(__xludf.DUMMYFUNCTION("""COMPUTED_VALUE"""),100.0)</f>
        <v>100</v>
      </c>
      <c r="L1451" s="139"/>
      <c r="M1451" s="139"/>
      <c r="N1451" s="139"/>
    </row>
    <row r="1452">
      <c r="A1452" s="139" t="str">
        <f>IFERROR(__xludf.DUMMYFUNCTION("""COMPUTED_VALUE"""),"e")</f>
        <v>e</v>
      </c>
      <c r="B1452" s="139">
        <f>IFERROR(__xludf.DUMMYFUNCTION("""COMPUTED_VALUE"""),2.0250901E8)</f>
        <v>202509010</v>
      </c>
      <c r="C1452" s="139" t="str">
        <f>IFERROR(__xludf.DUMMYFUNCTION("""COMPUTED_VALUE"""),"c_sum_00101_general_Boss_Red_Appearance_00001")</f>
        <v>c_sum_00101_general_Boss_Red_Appearance_00001</v>
      </c>
      <c r="D1452" s="139" t="str">
        <f>IFERROR(__xludf.DUMMYFUNCTION("""COMPUTED_VALUE"""),"c_sum_00101_general_Boss_Red")</f>
        <v>c_sum_00101_general_Boss_Red</v>
      </c>
      <c r="E1452" s="139">
        <f>IFERROR(__xludf.DUMMYFUNCTION("""COMPUTED_VALUE"""),0.0)</f>
        <v>0</v>
      </c>
      <c r="F1452" s="139" t="str">
        <f>IFERROR(__xludf.DUMMYFUNCTION("""COMPUTED_VALUE"""),"Appearance")</f>
        <v>Appearance</v>
      </c>
      <c r="G1452" s="139"/>
      <c r="H1452" s="139"/>
      <c r="I1452" s="139">
        <f>IFERROR(__xludf.DUMMYFUNCTION("""COMPUTED_VALUE"""),50.0)</f>
        <v>50</v>
      </c>
      <c r="J1452" s="139">
        <f>IFERROR(__xludf.DUMMYFUNCTION("""COMPUTED_VALUE"""),0.0)</f>
        <v>0</v>
      </c>
      <c r="K1452" s="139">
        <f>IFERROR(__xludf.DUMMYFUNCTION("""COMPUTED_VALUE"""),0.0)</f>
        <v>0</v>
      </c>
      <c r="L1452" s="139"/>
      <c r="M1452" s="139"/>
      <c r="N1452" s="139"/>
    </row>
    <row r="1453">
      <c r="A1453" s="139" t="str">
        <f>IFERROR(__xludf.DUMMYFUNCTION("""COMPUTED_VALUE"""),"e")</f>
        <v>e</v>
      </c>
      <c r="B1453" s="139">
        <f>IFERROR(__xludf.DUMMYFUNCTION("""COMPUTED_VALUE"""),2.0250901E8)</f>
        <v>202509010</v>
      </c>
      <c r="C1453" s="139" t="str">
        <f>IFERROR(__xludf.DUMMYFUNCTION("""COMPUTED_VALUE"""),"c_sum_00101_general_Boss_Red_Special_00002")</f>
        <v>c_sum_00101_general_Boss_Red_Special_00002</v>
      </c>
      <c r="D1453" s="139" t="str">
        <f>IFERROR(__xludf.DUMMYFUNCTION("""COMPUTED_VALUE"""),"c_sum_00101_general_Boss_Red")</f>
        <v>c_sum_00101_general_Boss_Red</v>
      </c>
      <c r="E1453" s="139">
        <f>IFERROR(__xludf.DUMMYFUNCTION("""COMPUTED_VALUE"""),0.0)</f>
        <v>0</v>
      </c>
      <c r="F1453" s="139" t="str">
        <f>IFERROR(__xludf.DUMMYFUNCTION("""COMPUTED_VALUE"""),"Special")</f>
        <v>Special</v>
      </c>
      <c r="G1453" s="139"/>
      <c r="H1453" s="139"/>
      <c r="I1453" s="139">
        <f>IFERROR(__xludf.DUMMYFUNCTION("""COMPUTED_VALUE"""),110.0)</f>
        <v>110</v>
      </c>
      <c r="J1453" s="139">
        <f>IFERROR(__xludf.DUMMYFUNCTION("""COMPUTED_VALUE"""),50.0)</f>
        <v>50</v>
      </c>
      <c r="K1453" s="139">
        <f>IFERROR(__xludf.DUMMYFUNCTION("""COMPUTED_VALUE"""),0.0)</f>
        <v>0</v>
      </c>
      <c r="L1453" s="139"/>
      <c r="M1453" s="139"/>
      <c r="N1453" s="139"/>
    </row>
    <row r="1454">
      <c r="A1454" s="139" t="str">
        <f>IFERROR(__xludf.DUMMYFUNCTION("""COMPUTED_VALUE"""),"e")</f>
        <v>e</v>
      </c>
      <c r="B1454" s="139">
        <f>IFERROR(__xludf.DUMMYFUNCTION("""COMPUTED_VALUE"""),2.0250901E8)</f>
        <v>202509010</v>
      </c>
      <c r="C1454" s="139" t="str">
        <f>IFERROR(__xludf.DUMMYFUNCTION("""COMPUTED_VALUE"""),"c_sum_00201_general2_Normal_Colorless_Normal_00000")</f>
        <v>c_sum_00201_general2_Normal_Colorless_Normal_00000</v>
      </c>
      <c r="D1454" s="139" t="str">
        <f>IFERROR(__xludf.DUMMYFUNCTION("""COMPUTED_VALUE"""),"c_sum_00201_general2_Normal_Colorless")</f>
        <v>c_sum_00201_general2_Normal_Colorless</v>
      </c>
      <c r="E1454" s="139">
        <f>IFERROR(__xludf.DUMMYFUNCTION("""COMPUTED_VALUE"""),0.0)</f>
        <v>0</v>
      </c>
      <c r="F1454" s="139" t="str">
        <f>IFERROR(__xludf.DUMMYFUNCTION("""COMPUTED_VALUE"""),"Normal")</f>
        <v>Normal</v>
      </c>
      <c r="G1454" s="139"/>
      <c r="H1454" s="139"/>
      <c r="I1454" s="139">
        <f>IFERROR(__xludf.DUMMYFUNCTION("""COMPUTED_VALUE"""),110.0)</f>
        <v>110</v>
      </c>
      <c r="J1454" s="139">
        <f>IFERROR(__xludf.DUMMYFUNCTION("""COMPUTED_VALUE"""),34.0)</f>
        <v>34</v>
      </c>
      <c r="K1454" s="139">
        <f>IFERROR(__xludf.DUMMYFUNCTION("""COMPUTED_VALUE"""),100.0)</f>
        <v>100</v>
      </c>
      <c r="L1454" s="139"/>
      <c r="M1454" s="139"/>
      <c r="N1454" s="139"/>
    </row>
    <row r="1455">
      <c r="A1455" s="139" t="str">
        <f>IFERROR(__xludf.DUMMYFUNCTION("""COMPUTED_VALUE"""),"e")</f>
        <v>e</v>
      </c>
      <c r="B1455" s="139">
        <f>IFERROR(__xludf.DUMMYFUNCTION("""COMPUTED_VALUE"""),2.0250901E8)</f>
        <v>202509010</v>
      </c>
      <c r="C1455" s="139" t="str">
        <f>IFERROR(__xludf.DUMMYFUNCTION("""COMPUTED_VALUE"""),"c_sum_00201_general2_Normal_Colorless_Special_00001")</f>
        <v>c_sum_00201_general2_Normal_Colorless_Special_00001</v>
      </c>
      <c r="D1455" s="139" t="str">
        <f>IFERROR(__xludf.DUMMYFUNCTION("""COMPUTED_VALUE"""),"c_sum_00201_general2_Normal_Colorless")</f>
        <v>c_sum_00201_general2_Normal_Colorless</v>
      </c>
      <c r="E1455" s="139">
        <f>IFERROR(__xludf.DUMMYFUNCTION("""COMPUTED_VALUE"""),0.0)</f>
        <v>0</v>
      </c>
      <c r="F1455" s="139" t="str">
        <f>IFERROR(__xludf.DUMMYFUNCTION("""COMPUTED_VALUE"""),"Special")</f>
        <v>Special</v>
      </c>
      <c r="G1455" s="139"/>
      <c r="H1455" s="139"/>
      <c r="I1455" s="139">
        <f>IFERROR(__xludf.DUMMYFUNCTION("""COMPUTED_VALUE"""),135.0)</f>
        <v>135</v>
      </c>
      <c r="J1455" s="139">
        <f>IFERROR(__xludf.DUMMYFUNCTION("""COMPUTED_VALUE"""),85.0)</f>
        <v>85</v>
      </c>
      <c r="K1455" s="139">
        <f>IFERROR(__xludf.DUMMYFUNCTION("""COMPUTED_VALUE"""),0.0)</f>
        <v>0</v>
      </c>
      <c r="L1455" s="139"/>
      <c r="M1455" s="139"/>
      <c r="N1455" s="139"/>
    </row>
    <row r="1456">
      <c r="A1456" s="139" t="str">
        <f>IFERROR(__xludf.DUMMYFUNCTION("""COMPUTED_VALUE"""),"e")</f>
        <v>e</v>
      </c>
      <c r="B1456" s="139">
        <f>IFERROR(__xludf.DUMMYFUNCTION("""COMPUTED_VALUE"""),2.0250901E8)</f>
        <v>202509010</v>
      </c>
      <c r="C1456" s="139" t="str">
        <f>IFERROR(__xludf.DUMMYFUNCTION("""COMPUTED_VALUE"""),"c_sum_00201_general2_Normal_Red_Normal_00000")</f>
        <v>c_sum_00201_general2_Normal_Red_Normal_00000</v>
      </c>
      <c r="D1456" s="139" t="str">
        <f>IFERROR(__xludf.DUMMYFUNCTION("""COMPUTED_VALUE"""),"c_sum_00201_general2_Normal_Red")</f>
        <v>c_sum_00201_general2_Normal_Red</v>
      </c>
      <c r="E1456" s="139">
        <f>IFERROR(__xludf.DUMMYFUNCTION("""COMPUTED_VALUE"""),0.0)</f>
        <v>0</v>
      </c>
      <c r="F1456" s="139" t="str">
        <f>IFERROR(__xludf.DUMMYFUNCTION("""COMPUTED_VALUE"""),"Normal")</f>
        <v>Normal</v>
      </c>
      <c r="G1456" s="139"/>
      <c r="H1456" s="139"/>
      <c r="I1456" s="139">
        <f>IFERROR(__xludf.DUMMYFUNCTION("""COMPUTED_VALUE"""),110.0)</f>
        <v>110</v>
      </c>
      <c r="J1456" s="139">
        <f>IFERROR(__xludf.DUMMYFUNCTION("""COMPUTED_VALUE"""),34.0)</f>
        <v>34</v>
      </c>
      <c r="K1456" s="139">
        <f>IFERROR(__xludf.DUMMYFUNCTION("""COMPUTED_VALUE"""),100.0)</f>
        <v>100</v>
      </c>
      <c r="L1456" s="139"/>
      <c r="M1456" s="139"/>
      <c r="N1456" s="139"/>
    </row>
    <row r="1457">
      <c r="A1457" s="139" t="str">
        <f>IFERROR(__xludf.DUMMYFUNCTION("""COMPUTED_VALUE"""),"e")</f>
        <v>e</v>
      </c>
      <c r="B1457" s="139">
        <f>IFERROR(__xludf.DUMMYFUNCTION("""COMPUTED_VALUE"""),2.0250901E8)</f>
        <v>202509010</v>
      </c>
      <c r="C1457" s="139" t="str">
        <f>IFERROR(__xludf.DUMMYFUNCTION("""COMPUTED_VALUE"""),"c_sum_00201_general2_Normal_Red_Special_00001")</f>
        <v>c_sum_00201_general2_Normal_Red_Special_00001</v>
      </c>
      <c r="D1457" s="139" t="str">
        <f>IFERROR(__xludf.DUMMYFUNCTION("""COMPUTED_VALUE"""),"c_sum_00201_general2_Normal_Red")</f>
        <v>c_sum_00201_general2_Normal_Red</v>
      </c>
      <c r="E1457" s="139">
        <f>IFERROR(__xludf.DUMMYFUNCTION("""COMPUTED_VALUE"""),0.0)</f>
        <v>0</v>
      </c>
      <c r="F1457" s="139" t="str">
        <f>IFERROR(__xludf.DUMMYFUNCTION("""COMPUTED_VALUE"""),"Special")</f>
        <v>Special</v>
      </c>
      <c r="G1457" s="139"/>
      <c r="H1457" s="139"/>
      <c r="I1457" s="139">
        <f>IFERROR(__xludf.DUMMYFUNCTION("""COMPUTED_VALUE"""),135.0)</f>
        <v>135</v>
      </c>
      <c r="J1457" s="139">
        <f>IFERROR(__xludf.DUMMYFUNCTION("""COMPUTED_VALUE"""),85.0)</f>
        <v>85</v>
      </c>
      <c r="K1457" s="139">
        <f>IFERROR(__xludf.DUMMYFUNCTION("""COMPUTED_VALUE"""),0.0)</f>
        <v>0</v>
      </c>
      <c r="L1457" s="139"/>
      <c r="M1457" s="139"/>
      <c r="N1457" s="139"/>
    </row>
    <row r="1458">
      <c r="A1458" s="139"/>
      <c r="B1458" s="139"/>
      <c r="C1458" s="139"/>
      <c r="D1458" s="139"/>
      <c r="E1458" s="139"/>
      <c r="F1458" s="139"/>
      <c r="G1458" s="139"/>
      <c r="H1458" s="139"/>
      <c r="I1458" s="139"/>
      <c r="J1458" s="139"/>
      <c r="K1458" s="139"/>
      <c r="L1458" s="139"/>
      <c r="M1458" s="139"/>
      <c r="N1458" s="139"/>
    </row>
    <row r="1459">
      <c r="A1459" s="139" t="str">
        <f>IFERROR(__xludf.DUMMYFUNCTION("""COMPUTED_VALUE"""),"e")</f>
        <v>e</v>
      </c>
      <c r="B1459" s="139">
        <f>IFERROR(__xludf.DUMMYFUNCTION("""COMPUTED_VALUE"""),2.0250901E8)</f>
        <v>202509010</v>
      </c>
      <c r="C1459" s="139" t="str">
        <f>IFERROR(__xludf.DUMMYFUNCTION("""COMPUTED_VALUE"""),"e_glo_00001_general_sum_vh_Normal_Red_Normal_00000")</f>
        <v>e_glo_00001_general_sum_vh_Normal_Red_Normal_00000</v>
      </c>
      <c r="D1459" s="139" t="str">
        <f>IFERROR(__xludf.DUMMYFUNCTION("""COMPUTED_VALUE"""),"e_glo_00001_general_sum_vh_Normal_Red")</f>
        <v>e_glo_00001_general_sum_vh_Normal_Red</v>
      </c>
      <c r="E1459" s="139">
        <f>IFERROR(__xludf.DUMMYFUNCTION("""COMPUTED_VALUE"""),0.0)</f>
        <v>0</v>
      </c>
      <c r="F1459" s="139" t="str">
        <f>IFERROR(__xludf.DUMMYFUNCTION("""COMPUTED_VALUE"""),"Normal")</f>
        <v>Normal</v>
      </c>
      <c r="G1459" s="139"/>
      <c r="H1459" s="139"/>
      <c r="I1459" s="139">
        <f>IFERROR(__xludf.DUMMYFUNCTION("""COMPUTED_VALUE"""),50.0)</f>
        <v>50</v>
      </c>
      <c r="J1459" s="139">
        <f>IFERROR(__xludf.DUMMYFUNCTION("""COMPUTED_VALUE"""),25.0)</f>
        <v>25</v>
      </c>
      <c r="K1459" s="139">
        <f>IFERROR(__xludf.DUMMYFUNCTION("""COMPUTED_VALUE"""),90.0)</f>
        <v>90</v>
      </c>
      <c r="L1459" s="139"/>
      <c r="M1459" s="139"/>
      <c r="N1459" s="139"/>
    </row>
    <row r="1460">
      <c r="A1460" s="139" t="str">
        <f>IFERROR(__xludf.DUMMYFUNCTION("""COMPUTED_VALUE"""),"e")</f>
        <v>e</v>
      </c>
      <c r="B1460" s="139">
        <f>IFERROR(__xludf.DUMMYFUNCTION("""COMPUTED_VALUE"""),2.0250901E8)</f>
        <v>202509010</v>
      </c>
      <c r="C1460" s="139" t="str">
        <f>IFERROR(__xludf.DUMMYFUNCTION("""COMPUTED_VALUE"""),"e_glo_00001_general_sum_vh_Normal_Blue_Normal_00000")</f>
        <v>e_glo_00001_general_sum_vh_Normal_Blue_Normal_00000</v>
      </c>
      <c r="D1460" s="139" t="str">
        <f>IFERROR(__xludf.DUMMYFUNCTION("""COMPUTED_VALUE"""),"e_glo_00001_general_sum_vh_Normal_Blue")</f>
        <v>e_glo_00001_general_sum_vh_Normal_Blue</v>
      </c>
      <c r="E1460" s="139">
        <f>IFERROR(__xludf.DUMMYFUNCTION("""COMPUTED_VALUE"""),0.0)</f>
        <v>0</v>
      </c>
      <c r="F1460" s="139" t="str">
        <f>IFERROR(__xludf.DUMMYFUNCTION("""COMPUTED_VALUE"""),"Normal")</f>
        <v>Normal</v>
      </c>
      <c r="G1460" s="139"/>
      <c r="H1460" s="139"/>
      <c r="I1460" s="139">
        <f>IFERROR(__xludf.DUMMYFUNCTION("""COMPUTED_VALUE"""),50.0)</f>
        <v>50</v>
      </c>
      <c r="J1460" s="139">
        <f>IFERROR(__xludf.DUMMYFUNCTION("""COMPUTED_VALUE"""),25.0)</f>
        <v>25</v>
      </c>
      <c r="K1460" s="139">
        <f>IFERROR(__xludf.DUMMYFUNCTION("""COMPUTED_VALUE"""),90.0)</f>
        <v>90</v>
      </c>
      <c r="L1460" s="139"/>
      <c r="M1460" s="139"/>
      <c r="N1460" s="139"/>
    </row>
    <row r="1461">
      <c r="A1461" s="139" t="str">
        <f>IFERROR(__xludf.DUMMYFUNCTION("""COMPUTED_VALUE"""),"e")</f>
        <v>e</v>
      </c>
      <c r="B1461" s="139">
        <f>IFERROR(__xludf.DUMMYFUNCTION("""COMPUTED_VALUE"""),2.0250901E8)</f>
        <v>202509010</v>
      </c>
      <c r="C1461" s="139" t="str">
        <f>IFERROR(__xludf.DUMMYFUNCTION("""COMPUTED_VALUE"""),"e_glo_00001_general_sum_vh_Normal_Green_Normal_00000")</f>
        <v>e_glo_00001_general_sum_vh_Normal_Green_Normal_00000</v>
      </c>
      <c r="D1461" s="139" t="str">
        <f>IFERROR(__xludf.DUMMYFUNCTION("""COMPUTED_VALUE"""),"e_glo_00001_general_sum_vh_Normal_Green")</f>
        <v>e_glo_00001_general_sum_vh_Normal_Green</v>
      </c>
      <c r="E1461" s="139">
        <f>IFERROR(__xludf.DUMMYFUNCTION("""COMPUTED_VALUE"""),0.0)</f>
        <v>0</v>
      </c>
      <c r="F1461" s="139" t="str">
        <f>IFERROR(__xludf.DUMMYFUNCTION("""COMPUTED_VALUE"""),"Normal")</f>
        <v>Normal</v>
      </c>
      <c r="G1461" s="139"/>
      <c r="H1461" s="139"/>
      <c r="I1461" s="139">
        <f>IFERROR(__xludf.DUMMYFUNCTION("""COMPUTED_VALUE"""),50.0)</f>
        <v>50</v>
      </c>
      <c r="J1461" s="139">
        <f>IFERROR(__xludf.DUMMYFUNCTION("""COMPUTED_VALUE"""),25.0)</f>
        <v>25</v>
      </c>
      <c r="K1461" s="139">
        <f>IFERROR(__xludf.DUMMYFUNCTION("""COMPUTED_VALUE"""),90.0)</f>
        <v>90</v>
      </c>
      <c r="L1461" s="139"/>
      <c r="M1461" s="139"/>
      <c r="N1461" s="139"/>
    </row>
    <row r="1462">
      <c r="A1462" s="139" t="str">
        <f>IFERROR(__xludf.DUMMYFUNCTION("""COMPUTED_VALUE"""),"e")</f>
        <v>e</v>
      </c>
      <c r="B1462" s="139">
        <f>IFERROR(__xludf.DUMMYFUNCTION("""COMPUTED_VALUE"""),2.0250901E8)</f>
        <v>202509010</v>
      </c>
      <c r="C1462" s="139" t="str">
        <f>IFERROR(__xludf.DUMMYFUNCTION("""COMPUTED_VALUE"""),"e_glo_00001_general_sum_vh_Normal_Yellow_Normal_00000")</f>
        <v>e_glo_00001_general_sum_vh_Normal_Yellow_Normal_00000</v>
      </c>
      <c r="D1462" s="139" t="str">
        <f>IFERROR(__xludf.DUMMYFUNCTION("""COMPUTED_VALUE"""),"e_glo_00001_general_sum_vh_Normal_Yellow")</f>
        <v>e_glo_00001_general_sum_vh_Normal_Yellow</v>
      </c>
      <c r="E1462" s="139">
        <f>IFERROR(__xludf.DUMMYFUNCTION("""COMPUTED_VALUE"""),0.0)</f>
        <v>0</v>
      </c>
      <c r="F1462" s="139" t="str">
        <f>IFERROR(__xludf.DUMMYFUNCTION("""COMPUTED_VALUE"""),"Normal")</f>
        <v>Normal</v>
      </c>
      <c r="G1462" s="139"/>
      <c r="H1462" s="139"/>
      <c r="I1462" s="139">
        <f>IFERROR(__xludf.DUMMYFUNCTION("""COMPUTED_VALUE"""),50.0)</f>
        <v>50</v>
      </c>
      <c r="J1462" s="139">
        <f>IFERROR(__xludf.DUMMYFUNCTION("""COMPUTED_VALUE"""),25.0)</f>
        <v>25</v>
      </c>
      <c r="K1462" s="139">
        <f>IFERROR(__xludf.DUMMYFUNCTION("""COMPUTED_VALUE"""),90.0)</f>
        <v>90</v>
      </c>
      <c r="L1462" s="139"/>
      <c r="M1462" s="139"/>
      <c r="N1462" s="139"/>
    </row>
    <row r="1463">
      <c r="A1463" s="139" t="str">
        <f>IFERROR(__xludf.DUMMYFUNCTION("""COMPUTED_VALUE"""),"e")</f>
        <v>e</v>
      </c>
      <c r="B1463" s="139">
        <f>IFERROR(__xludf.DUMMYFUNCTION("""COMPUTED_VALUE"""),2.0250901E8)</f>
        <v>202509010</v>
      </c>
      <c r="C1463" s="139" t="str">
        <f>IFERROR(__xludf.DUMMYFUNCTION("""COMPUTED_VALUE"""),"e_glo_00001_general_sum_vh_big_Normal_Red_Normal_00000")</f>
        <v>e_glo_00001_general_sum_vh_big_Normal_Red_Normal_00000</v>
      </c>
      <c r="D1463" s="139" t="str">
        <f>IFERROR(__xludf.DUMMYFUNCTION("""COMPUTED_VALUE"""),"e_glo_00001_general_sum_vh_big_Normal_Red")</f>
        <v>e_glo_00001_general_sum_vh_big_Normal_Red</v>
      </c>
      <c r="E1463" s="139">
        <f>IFERROR(__xludf.DUMMYFUNCTION("""COMPUTED_VALUE"""),0.0)</f>
        <v>0</v>
      </c>
      <c r="F1463" s="139" t="str">
        <f>IFERROR(__xludf.DUMMYFUNCTION("""COMPUTED_VALUE"""),"Normal")</f>
        <v>Normal</v>
      </c>
      <c r="G1463" s="139"/>
      <c r="H1463" s="139"/>
      <c r="I1463" s="139">
        <f>IFERROR(__xludf.DUMMYFUNCTION("""COMPUTED_VALUE"""),50.0)</f>
        <v>50</v>
      </c>
      <c r="J1463" s="139">
        <f>IFERROR(__xludf.DUMMYFUNCTION("""COMPUTED_VALUE"""),25.0)</f>
        <v>25</v>
      </c>
      <c r="K1463" s="139">
        <f>IFERROR(__xludf.DUMMYFUNCTION("""COMPUTED_VALUE"""),90.0)</f>
        <v>90</v>
      </c>
      <c r="L1463" s="139"/>
      <c r="M1463" s="139"/>
      <c r="N1463" s="139"/>
    </row>
    <row r="1464">
      <c r="A1464" s="139" t="str">
        <f>IFERROR(__xludf.DUMMYFUNCTION("""COMPUTED_VALUE"""),"e")</f>
        <v>e</v>
      </c>
      <c r="B1464" s="139">
        <f>IFERROR(__xludf.DUMMYFUNCTION("""COMPUTED_VALUE"""),2.0250901E8)</f>
        <v>202509010</v>
      </c>
      <c r="C1464" s="139" t="str">
        <f>IFERROR(__xludf.DUMMYFUNCTION("""COMPUTED_VALUE"""),"e_glo_00001_general_sum_vh_big_Normal_Blue_Normal_00000")</f>
        <v>e_glo_00001_general_sum_vh_big_Normal_Blue_Normal_00000</v>
      </c>
      <c r="D1464" s="139" t="str">
        <f>IFERROR(__xludf.DUMMYFUNCTION("""COMPUTED_VALUE"""),"e_glo_00001_general_sum_vh_big_Normal_Blue")</f>
        <v>e_glo_00001_general_sum_vh_big_Normal_Blue</v>
      </c>
      <c r="E1464" s="139">
        <f>IFERROR(__xludf.DUMMYFUNCTION("""COMPUTED_VALUE"""),0.0)</f>
        <v>0</v>
      </c>
      <c r="F1464" s="139" t="str">
        <f>IFERROR(__xludf.DUMMYFUNCTION("""COMPUTED_VALUE"""),"Normal")</f>
        <v>Normal</v>
      </c>
      <c r="G1464" s="139"/>
      <c r="H1464" s="139"/>
      <c r="I1464" s="139">
        <f>IFERROR(__xludf.DUMMYFUNCTION("""COMPUTED_VALUE"""),50.0)</f>
        <v>50</v>
      </c>
      <c r="J1464" s="139">
        <f>IFERROR(__xludf.DUMMYFUNCTION("""COMPUTED_VALUE"""),25.0)</f>
        <v>25</v>
      </c>
      <c r="K1464" s="139">
        <f>IFERROR(__xludf.DUMMYFUNCTION("""COMPUTED_VALUE"""),90.0)</f>
        <v>90</v>
      </c>
      <c r="L1464" s="139"/>
      <c r="M1464" s="139"/>
      <c r="N1464" s="139"/>
    </row>
    <row r="1465">
      <c r="A1465" s="139" t="str">
        <f>IFERROR(__xludf.DUMMYFUNCTION("""COMPUTED_VALUE"""),"e")</f>
        <v>e</v>
      </c>
      <c r="B1465" s="139">
        <f>IFERROR(__xludf.DUMMYFUNCTION("""COMPUTED_VALUE"""),2.0250901E8)</f>
        <v>202509010</v>
      </c>
      <c r="C1465" s="139" t="str">
        <f>IFERROR(__xludf.DUMMYFUNCTION("""COMPUTED_VALUE"""),"e_glo_00001_general_sum_vh_big_Normal_Green_Normal_00000")</f>
        <v>e_glo_00001_general_sum_vh_big_Normal_Green_Normal_00000</v>
      </c>
      <c r="D1465" s="139" t="str">
        <f>IFERROR(__xludf.DUMMYFUNCTION("""COMPUTED_VALUE"""),"e_glo_00001_general_sum_vh_big_Normal_Green")</f>
        <v>e_glo_00001_general_sum_vh_big_Normal_Green</v>
      </c>
      <c r="E1465" s="139">
        <f>IFERROR(__xludf.DUMMYFUNCTION("""COMPUTED_VALUE"""),0.0)</f>
        <v>0</v>
      </c>
      <c r="F1465" s="139" t="str">
        <f>IFERROR(__xludf.DUMMYFUNCTION("""COMPUTED_VALUE"""),"Normal")</f>
        <v>Normal</v>
      </c>
      <c r="G1465" s="139"/>
      <c r="H1465" s="139"/>
      <c r="I1465" s="139">
        <f>IFERROR(__xludf.DUMMYFUNCTION("""COMPUTED_VALUE"""),50.0)</f>
        <v>50</v>
      </c>
      <c r="J1465" s="139">
        <f>IFERROR(__xludf.DUMMYFUNCTION("""COMPUTED_VALUE"""),25.0)</f>
        <v>25</v>
      </c>
      <c r="K1465" s="139">
        <f>IFERROR(__xludf.DUMMYFUNCTION("""COMPUTED_VALUE"""),90.0)</f>
        <v>90</v>
      </c>
      <c r="L1465" s="139"/>
      <c r="M1465" s="139"/>
      <c r="N1465" s="139"/>
    </row>
    <row r="1466">
      <c r="A1466" s="139" t="str">
        <f>IFERROR(__xludf.DUMMYFUNCTION("""COMPUTED_VALUE"""),"e")</f>
        <v>e</v>
      </c>
      <c r="B1466" s="139">
        <f>IFERROR(__xludf.DUMMYFUNCTION("""COMPUTED_VALUE"""),2.0250901E8)</f>
        <v>202509010</v>
      </c>
      <c r="C1466" s="139" t="str">
        <f>IFERROR(__xludf.DUMMYFUNCTION("""COMPUTED_VALUE"""),"e_glo_00001_general_sum_vh_big_Normal_Yellow_Normal_00000")</f>
        <v>e_glo_00001_general_sum_vh_big_Normal_Yellow_Normal_00000</v>
      </c>
      <c r="D1466" s="139" t="str">
        <f>IFERROR(__xludf.DUMMYFUNCTION("""COMPUTED_VALUE"""),"e_glo_00001_general_sum_vh_big_Normal_Yellow")</f>
        <v>e_glo_00001_general_sum_vh_big_Normal_Yellow</v>
      </c>
      <c r="E1466" s="139">
        <f>IFERROR(__xludf.DUMMYFUNCTION("""COMPUTED_VALUE"""),0.0)</f>
        <v>0</v>
      </c>
      <c r="F1466" s="139" t="str">
        <f>IFERROR(__xludf.DUMMYFUNCTION("""COMPUTED_VALUE"""),"Normal")</f>
        <v>Normal</v>
      </c>
      <c r="G1466" s="139"/>
      <c r="H1466" s="139"/>
      <c r="I1466" s="139">
        <f>IFERROR(__xludf.DUMMYFUNCTION("""COMPUTED_VALUE"""),50.0)</f>
        <v>50</v>
      </c>
      <c r="J1466" s="139">
        <f>IFERROR(__xludf.DUMMYFUNCTION("""COMPUTED_VALUE"""),25.0)</f>
        <v>25</v>
      </c>
      <c r="K1466" s="139">
        <f>IFERROR(__xludf.DUMMYFUNCTION("""COMPUTED_VALUE"""),90.0)</f>
        <v>90</v>
      </c>
      <c r="L1466" s="139"/>
      <c r="M1466" s="139"/>
      <c r="N1466" s="139"/>
    </row>
    <row r="1467">
      <c r="A1467" s="139" t="str">
        <f>IFERROR(__xludf.DUMMYFUNCTION("""COMPUTED_VALUE"""),"e")</f>
        <v>e</v>
      </c>
      <c r="B1467" s="139">
        <f>IFERROR(__xludf.DUMMYFUNCTION("""COMPUTED_VALUE"""),2.0250901E8)</f>
        <v>202509010</v>
      </c>
      <c r="C1467" s="139" t="str">
        <f>IFERROR(__xludf.DUMMYFUNCTION("""COMPUTED_VALUE"""),"c_sum_00201_general_sum_vh_Normal_Blue_Normal_00000")</f>
        <v>c_sum_00201_general_sum_vh_Normal_Blue_Normal_00000</v>
      </c>
      <c r="D1467" s="139" t="str">
        <f>IFERROR(__xludf.DUMMYFUNCTION("""COMPUTED_VALUE"""),"c_sum_00201_general_sum_vh_Normal_Blue")</f>
        <v>c_sum_00201_general_sum_vh_Normal_Blue</v>
      </c>
      <c r="E1467" s="139">
        <f>IFERROR(__xludf.DUMMYFUNCTION("""COMPUTED_VALUE"""),0.0)</f>
        <v>0</v>
      </c>
      <c r="F1467" s="139" t="str">
        <f>IFERROR(__xludf.DUMMYFUNCTION("""COMPUTED_VALUE"""),"Normal")</f>
        <v>Normal</v>
      </c>
      <c r="G1467" s="139"/>
      <c r="H1467" s="139"/>
      <c r="I1467" s="139">
        <f>IFERROR(__xludf.DUMMYFUNCTION("""COMPUTED_VALUE"""),110.0)</f>
        <v>110</v>
      </c>
      <c r="J1467" s="139">
        <f>IFERROR(__xludf.DUMMYFUNCTION("""COMPUTED_VALUE"""),34.0)</f>
        <v>34</v>
      </c>
      <c r="K1467" s="139">
        <f>IFERROR(__xludf.DUMMYFUNCTION("""COMPUTED_VALUE"""),150.0)</f>
        <v>150</v>
      </c>
      <c r="L1467" s="139"/>
      <c r="M1467" s="139"/>
      <c r="N1467" s="139"/>
    </row>
    <row r="1468">
      <c r="A1468" s="139" t="str">
        <f>IFERROR(__xludf.DUMMYFUNCTION("""COMPUTED_VALUE"""),"e")</f>
        <v>e</v>
      </c>
      <c r="B1468" s="139">
        <f>IFERROR(__xludf.DUMMYFUNCTION("""COMPUTED_VALUE"""),2.0250901E8)</f>
        <v>202509010</v>
      </c>
      <c r="C1468" s="139" t="str">
        <f>IFERROR(__xludf.DUMMYFUNCTION("""COMPUTED_VALUE"""),"c_sum_00201_general_sum_vh_Normal_Blue_Special_00001")</f>
        <v>c_sum_00201_general_sum_vh_Normal_Blue_Special_00001</v>
      </c>
      <c r="D1468" s="139" t="str">
        <f>IFERROR(__xludf.DUMMYFUNCTION("""COMPUTED_VALUE"""),"c_sum_00201_general_sum_vh_Normal_Blue")</f>
        <v>c_sum_00201_general_sum_vh_Normal_Blue</v>
      </c>
      <c r="E1468" s="139">
        <f>IFERROR(__xludf.DUMMYFUNCTION("""COMPUTED_VALUE"""),0.0)</f>
        <v>0</v>
      </c>
      <c r="F1468" s="139" t="str">
        <f>IFERROR(__xludf.DUMMYFUNCTION("""COMPUTED_VALUE"""),"Special")</f>
        <v>Special</v>
      </c>
      <c r="G1468" s="139"/>
      <c r="H1468" s="139"/>
      <c r="I1468" s="139">
        <f>IFERROR(__xludf.DUMMYFUNCTION("""COMPUTED_VALUE"""),135.0)</f>
        <v>135</v>
      </c>
      <c r="J1468" s="139">
        <f>IFERROR(__xludf.DUMMYFUNCTION("""COMPUTED_VALUE"""),85.0)</f>
        <v>85</v>
      </c>
      <c r="K1468" s="139">
        <f>IFERROR(__xludf.DUMMYFUNCTION("""COMPUTED_VALUE"""),0.0)</f>
        <v>0</v>
      </c>
      <c r="L1468" s="139"/>
      <c r="M1468" s="139"/>
      <c r="N1468" s="139"/>
    </row>
    <row r="1469">
      <c r="A1469" s="139" t="str">
        <f>IFERROR(__xludf.DUMMYFUNCTION("""COMPUTED_VALUE"""),"e")</f>
        <v>e</v>
      </c>
      <c r="B1469" s="139">
        <f>IFERROR(__xludf.DUMMYFUNCTION("""COMPUTED_VALUE"""),2.0250901E8)</f>
        <v>202509010</v>
      </c>
      <c r="C1469" s="139" t="str">
        <f>IFERROR(__xludf.DUMMYFUNCTION("""COMPUTED_VALUE"""),"c_sum_00201_general_sum_vh_Boss_Blue_Normal_00000")</f>
        <v>c_sum_00201_general_sum_vh_Boss_Blue_Normal_00000</v>
      </c>
      <c r="D1469" s="139" t="str">
        <f>IFERROR(__xludf.DUMMYFUNCTION("""COMPUTED_VALUE"""),"c_sum_00201_general_sum_vh_Boss_Blue")</f>
        <v>c_sum_00201_general_sum_vh_Boss_Blue</v>
      </c>
      <c r="E1469" s="139">
        <f>IFERROR(__xludf.DUMMYFUNCTION("""COMPUTED_VALUE"""),0.0)</f>
        <v>0</v>
      </c>
      <c r="F1469" s="139" t="str">
        <f>IFERROR(__xludf.DUMMYFUNCTION("""COMPUTED_VALUE"""),"Normal")</f>
        <v>Normal</v>
      </c>
      <c r="G1469" s="139"/>
      <c r="H1469" s="139"/>
      <c r="I1469" s="139">
        <f>IFERROR(__xludf.DUMMYFUNCTION("""COMPUTED_VALUE"""),110.0)</f>
        <v>110</v>
      </c>
      <c r="J1469" s="139">
        <f>IFERROR(__xludf.DUMMYFUNCTION("""COMPUTED_VALUE"""),34.0)</f>
        <v>34</v>
      </c>
      <c r="K1469" s="139">
        <f>IFERROR(__xludf.DUMMYFUNCTION("""COMPUTED_VALUE"""),150.0)</f>
        <v>150</v>
      </c>
      <c r="L1469" s="139"/>
      <c r="M1469" s="139"/>
      <c r="N1469" s="139"/>
    </row>
    <row r="1470">
      <c r="A1470" s="139" t="str">
        <f>IFERROR(__xludf.DUMMYFUNCTION("""COMPUTED_VALUE"""),"e")</f>
        <v>e</v>
      </c>
      <c r="B1470" s="139">
        <f>IFERROR(__xludf.DUMMYFUNCTION("""COMPUTED_VALUE"""),2.0250901E8)</f>
        <v>202509010</v>
      </c>
      <c r="C1470" s="139" t="str">
        <f>IFERROR(__xludf.DUMMYFUNCTION("""COMPUTED_VALUE"""),"c_sum_00201_general_sum_vh_Boss_Blue_Appearance_00001")</f>
        <v>c_sum_00201_general_sum_vh_Boss_Blue_Appearance_00001</v>
      </c>
      <c r="D1470" s="139" t="str">
        <f>IFERROR(__xludf.DUMMYFUNCTION("""COMPUTED_VALUE"""),"c_sum_00201_general_sum_vh_Boss_Blue")</f>
        <v>c_sum_00201_general_sum_vh_Boss_Blue</v>
      </c>
      <c r="E1470" s="139">
        <f>IFERROR(__xludf.DUMMYFUNCTION("""COMPUTED_VALUE"""),0.0)</f>
        <v>0</v>
      </c>
      <c r="F1470" s="139" t="str">
        <f>IFERROR(__xludf.DUMMYFUNCTION("""COMPUTED_VALUE"""),"Appearance")</f>
        <v>Appearance</v>
      </c>
      <c r="G1470" s="139"/>
      <c r="H1470" s="139"/>
      <c r="I1470" s="139">
        <f>IFERROR(__xludf.DUMMYFUNCTION("""COMPUTED_VALUE"""),50.0)</f>
        <v>50</v>
      </c>
      <c r="J1470" s="139">
        <f>IFERROR(__xludf.DUMMYFUNCTION("""COMPUTED_VALUE"""),0.0)</f>
        <v>0</v>
      </c>
      <c r="K1470" s="139">
        <f>IFERROR(__xludf.DUMMYFUNCTION("""COMPUTED_VALUE"""),0.0)</f>
        <v>0</v>
      </c>
      <c r="L1470" s="139"/>
      <c r="M1470" s="139"/>
      <c r="N1470" s="139"/>
    </row>
    <row r="1471">
      <c r="A1471" s="139" t="str">
        <f>IFERROR(__xludf.DUMMYFUNCTION("""COMPUTED_VALUE"""),"e")</f>
        <v>e</v>
      </c>
      <c r="B1471" s="139">
        <f>IFERROR(__xludf.DUMMYFUNCTION("""COMPUTED_VALUE"""),2.0250901E8)</f>
        <v>202509010</v>
      </c>
      <c r="C1471" s="139" t="str">
        <f>IFERROR(__xludf.DUMMYFUNCTION("""COMPUTED_VALUE"""),"c_sum_00201_general_sum_vh_Boss_Blue_Special_00002")</f>
        <v>c_sum_00201_general_sum_vh_Boss_Blue_Special_00002</v>
      </c>
      <c r="D1471" s="139" t="str">
        <f>IFERROR(__xludf.DUMMYFUNCTION("""COMPUTED_VALUE"""),"c_sum_00201_general_sum_vh_Boss_Blue")</f>
        <v>c_sum_00201_general_sum_vh_Boss_Blue</v>
      </c>
      <c r="E1471" s="139">
        <f>IFERROR(__xludf.DUMMYFUNCTION("""COMPUTED_VALUE"""),0.0)</f>
        <v>0</v>
      </c>
      <c r="F1471" s="139" t="str">
        <f>IFERROR(__xludf.DUMMYFUNCTION("""COMPUTED_VALUE"""),"Special")</f>
        <v>Special</v>
      </c>
      <c r="G1471" s="139"/>
      <c r="H1471" s="139"/>
      <c r="I1471" s="139">
        <f>IFERROR(__xludf.DUMMYFUNCTION("""COMPUTED_VALUE"""),135.0)</f>
        <v>135</v>
      </c>
      <c r="J1471" s="139">
        <f>IFERROR(__xludf.DUMMYFUNCTION("""COMPUTED_VALUE"""),85.0)</f>
        <v>85</v>
      </c>
      <c r="K1471" s="139">
        <f>IFERROR(__xludf.DUMMYFUNCTION("""COMPUTED_VALUE"""),0.0)</f>
        <v>0</v>
      </c>
      <c r="L1471" s="139"/>
      <c r="M1471" s="139"/>
      <c r="N1471" s="139"/>
    </row>
    <row r="1472">
      <c r="A1472" s="139" t="str">
        <f>IFERROR(__xludf.DUMMYFUNCTION("""COMPUTED_VALUE"""),"e")</f>
        <v>e</v>
      </c>
      <c r="B1472" s="139">
        <f>IFERROR(__xludf.DUMMYFUNCTION("""COMPUTED_VALUE"""),2.0250901E8)</f>
        <v>202509010</v>
      </c>
      <c r="C1472" s="139" t="str">
        <f>IFERROR(__xludf.DUMMYFUNCTION("""COMPUTED_VALUE"""),"e_sum_00001_general_sum_vh_Normal_Red_Normal_00000")</f>
        <v>e_sum_00001_general_sum_vh_Normal_Red_Normal_00000</v>
      </c>
      <c r="D1472" s="139" t="str">
        <f>IFERROR(__xludf.DUMMYFUNCTION("""COMPUTED_VALUE"""),"e_sum_00001_general_sum_vh_Normal_Red")</f>
        <v>e_sum_00001_general_sum_vh_Normal_Red</v>
      </c>
      <c r="E1472" s="139">
        <f>IFERROR(__xludf.DUMMYFUNCTION("""COMPUTED_VALUE"""),0.0)</f>
        <v>0</v>
      </c>
      <c r="F1472" s="139" t="str">
        <f>IFERROR(__xludf.DUMMYFUNCTION("""COMPUTED_VALUE"""),"Normal")</f>
        <v>Normal</v>
      </c>
      <c r="G1472" s="139"/>
      <c r="H1472" s="139"/>
      <c r="I1472" s="139">
        <f>IFERROR(__xludf.DUMMYFUNCTION("""COMPUTED_VALUE"""),75.0)</f>
        <v>75</v>
      </c>
      <c r="J1472" s="139">
        <f>IFERROR(__xludf.DUMMYFUNCTION("""COMPUTED_VALUE"""),33.0)</f>
        <v>33</v>
      </c>
      <c r="K1472" s="139">
        <f>IFERROR(__xludf.DUMMYFUNCTION("""COMPUTED_VALUE"""),50.0)</f>
        <v>50</v>
      </c>
      <c r="L1472" s="139"/>
      <c r="M1472" s="139"/>
      <c r="N1472" s="139"/>
    </row>
    <row r="1473">
      <c r="A1473" s="139" t="str">
        <f>IFERROR(__xludf.DUMMYFUNCTION("""COMPUTED_VALUE"""),"e")</f>
        <v>e</v>
      </c>
      <c r="B1473" s="139">
        <f>IFERROR(__xludf.DUMMYFUNCTION("""COMPUTED_VALUE"""),2.0250901E8)</f>
        <v>202509010</v>
      </c>
      <c r="C1473" s="139" t="str">
        <f>IFERROR(__xludf.DUMMYFUNCTION("""COMPUTED_VALUE"""),"e_sum_00001_general_sum_vh_Normal_Blue_Normal_00000")</f>
        <v>e_sum_00001_general_sum_vh_Normal_Blue_Normal_00000</v>
      </c>
      <c r="D1473" s="139" t="str">
        <f>IFERROR(__xludf.DUMMYFUNCTION("""COMPUTED_VALUE"""),"e_sum_00001_general_sum_vh_Normal_Blue")</f>
        <v>e_sum_00001_general_sum_vh_Normal_Blue</v>
      </c>
      <c r="E1473" s="139">
        <f>IFERROR(__xludf.DUMMYFUNCTION("""COMPUTED_VALUE"""),0.0)</f>
        <v>0</v>
      </c>
      <c r="F1473" s="139" t="str">
        <f>IFERROR(__xludf.DUMMYFUNCTION("""COMPUTED_VALUE"""),"Normal")</f>
        <v>Normal</v>
      </c>
      <c r="G1473" s="139"/>
      <c r="H1473" s="139"/>
      <c r="I1473" s="139">
        <f>IFERROR(__xludf.DUMMYFUNCTION("""COMPUTED_VALUE"""),75.0)</f>
        <v>75</v>
      </c>
      <c r="J1473" s="139">
        <f>IFERROR(__xludf.DUMMYFUNCTION("""COMPUTED_VALUE"""),33.0)</f>
        <v>33</v>
      </c>
      <c r="K1473" s="139">
        <f>IFERROR(__xludf.DUMMYFUNCTION("""COMPUTED_VALUE"""),50.0)</f>
        <v>50</v>
      </c>
      <c r="L1473" s="139"/>
      <c r="M1473" s="139"/>
      <c r="N1473" s="139"/>
    </row>
    <row r="1474">
      <c r="A1474" s="139" t="str">
        <f>IFERROR(__xludf.DUMMYFUNCTION("""COMPUTED_VALUE"""),"e")</f>
        <v>e</v>
      </c>
      <c r="B1474" s="139">
        <f>IFERROR(__xludf.DUMMYFUNCTION("""COMPUTED_VALUE"""),2.0250901E8)</f>
        <v>202509010</v>
      </c>
      <c r="C1474" s="139" t="str">
        <f>IFERROR(__xludf.DUMMYFUNCTION("""COMPUTED_VALUE"""),"e_sum_00001_general_sum_vh_Normal_Green_Normal_00000")</f>
        <v>e_sum_00001_general_sum_vh_Normal_Green_Normal_00000</v>
      </c>
      <c r="D1474" s="139" t="str">
        <f>IFERROR(__xludf.DUMMYFUNCTION("""COMPUTED_VALUE"""),"e_sum_00001_general_sum_vh_Normal_Green")</f>
        <v>e_sum_00001_general_sum_vh_Normal_Green</v>
      </c>
      <c r="E1474" s="139">
        <f>IFERROR(__xludf.DUMMYFUNCTION("""COMPUTED_VALUE"""),0.0)</f>
        <v>0</v>
      </c>
      <c r="F1474" s="139" t="str">
        <f>IFERROR(__xludf.DUMMYFUNCTION("""COMPUTED_VALUE"""),"Normal")</f>
        <v>Normal</v>
      </c>
      <c r="G1474" s="139"/>
      <c r="H1474" s="139"/>
      <c r="I1474" s="139">
        <f>IFERROR(__xludf.DUMMYFUNCTION("""COMPUTED_VALUE"""),75.0)</f>
        <v>75</v>
      </c>
      <c r="J1474" s="139">
        <f>IFERROR(__xludf.DUMMYFUNCTION("""COMPUTED_VALUE"""),33.0)</f>
        <v>33</v>
      </c>
      <c r="K1474" s="139">
        <f>IFERROR(__xludf.DUMMYFUNCTION("""COMPUTED_VALUE"""),50.0)</f>
        <v>50</v>
      </c>
      <c r="L1474" s="139"/>
      <c r="M1474" s="139"/>
      <c r="N1474" s="139"/>
    </row>
    <row r="1475">
      <c r="A1475" s="139" t="str">
        <f>IFERROR(__xludf.DUMMYFUNCTION("""COMPUTED_VALUE"""),"e")</f>
        <v>e</v>
      </c>
      <c r="B1475" s="139">
        <f>IFERROR(__xludf.DUMMYFUNCTION("""COMPUTED_VALUE"""),2.0250901E8)</f>
        <v>202509010</v>
      </c>
      <c r="C1475" s="139" t="str">
        <f>IFERROR(__xludf.DUMMYFUNCTION("""COMPUTED_VALUE"""),"e_sum_00001_general_sum_vh_Normal_Yellow_Normal_00000")</f>
        <v>e_sum_00001_general_sum_vh_Normal_Yellow_Normal_00000</v>
      </c>
      <c r="D1475" s="139" t="str">
        <f>IFERROR(__xludf.DUMMYFUNCTION("""COMPUTED_VALUE"""),"e_sum_00001_general_sum_vh_Normal_Yellow")</f>
        <v>e_sum_00001_general_sum_vh_Normal_Yellow</v>
      </c>
      <c r="E1475" s="139">
        <f>IFERROR(__xludf.DUMMYFUNCTION("""COMPUTED_VALUE"""),0.0)</f>
        <v>0</v>
      </c>
      <c r="F1475" s="139" t="str">
        <f>IFERROR(__xludf.DUMMYFUNCTION("""COMPUTED_VALUE"""),"Normal")</f>
        <v>Normal</v>
      </c>
      <c r="G1475" s="139"/>
      <c r="H1475" s="139"/>
      <c r="I1475" s="139">
        <f>IFERROR(__xludf.DUMMYFUNCTION("""COMPUTED_VALUE"""),75.0)</f>
        <v>75</v>
      </c>
      <c r="J1475" s="139">
        <f>IFERROR(__xludf.DUMMYFUNCTION("""COMPUTED_VALUE"""),33.0)</f>
        <v>33</v>
      </c>
      <c r="K1475" s="139">
        <f>IFERROR(__xludf.DUMMYFUNCTION("""COMPUTED_VALUE"""),50.0)</f>
        <v>50</v>
      </c>
      <c r="L1475" s="139"/>
      <c r="M1475" s="139"/>
      <c r="N1475" s="139"/>
    </row>
    <row r="1476">
      <c r="A1476" s="139" t="str">
        <f>IFERROR(__xludf.DUMMYFUNCTION("""COMPUTED_VALUE"""),"e")</f>
        <v>e</v>
      </c>
      <c r="B1476" s="139">
        <f>IFERROR(__xludf.DUMMYFUNCTION("""COMPUTED_VALUE"""),2.0250901E8)</f>
        <v>202509010</v>
      </c>
      <c r="C1476" s="139" t="str">
        <f>IFERROR(__xludf.DUMMYFUNCTION("""COMPUTED_VALUE"""),"e_sum_00001_general_sum_vh_big_Normal_Blue_Normal_00000")</f>
        <v>e_sum_00001_general_sum_vh_big_Normal_Blue_Normal_00000</v>
      </c>
      <c r="D1476" s="139" t="str">
        <f>IFERROR(__xludf.DUMMYFUNCTION("""COMPUTED_VALUE"""),"e_sum_00001_general_sum_vh_big_Normal_Blue")</f>
        <v>e_sum_00001_general_sum_vh_big_Normal_Blue</v>
      </c>
      <c r="E1476" s="139">
        <f>IFERROR(__xludf.DUMMYFUNCTION("""COMPUTED_VALUE"""),0.0)</f>
        <v>0</v>
      </c>
      <c r="F1476" s="139" t="str">
        <f>IFERROR(__xludf.DUMMYFUNCTION("""COMPUTED_VALUE"""),"Normal")</f>
        <v>Normal</v>
      </c>
      <c r="G1476" s="139"/>
      <c r="H1476" s="139"/>
      <c r="I1476" s="139">
        <f>IFERROR(__xludf.DUMMYFUNCTION("""COMPUTED_VALUE"""),75.0)</f>
        <v>75</v>
      </c>
      <c r="J1476" s="139">
        <f>IFERROR(__xludf.DUMMYFUNCTION("""COMPUTED_VALUE"""),33.0)</f>
        <v>33</v>
      </c>
      <c r="K1476" s="139">
        <f>IFERROR(__xludf.DUMMYFUNCTION("""COMPUTED_VALUE"""),125.0)</f>
        <v>125</v>
      </c>
      <c r="L1476" s="139"/>
      <c r="M1476" s="139"/>
      <c r="N1476" s="139"/>
    </row>
    <row r="1477">
      <c r="A1477" s="139" t="str">
        <f>IFERROR(__xludf.DUMMYFUNCTION("""COMPUTED_VALUE"""),"e")</f>
        <v>e</v>
      </c>
      <c r="B1477" s="139">
        <f>IFERROR(__xludf.DUMMYFUNCTION("""COMPUTED_VALUE"""),2.0250901E8)</f>
        <v>202509010</v>
      </c>
      <c r="C1477" s="139" t="str">
        <f>IFERROR(__xludf.DUMMYFUNCTION("""COMPUTED_VALUE"""),"e_sum_00001_general_sum_vh_big_Normal_Yellow_Normal_00000")</f>
        <v>e_sum_00001_general_sum_vh_big_Normal_Yellow_Normal_00000</v>
      </c>
      <c r="D1477" s="139" t="str">
        <f>IFERROR(__xludf.DUMMYFUNCTION("""COMPUTED_VALUE"""),"e_sum_00001_general_sum_vh_big_Normal_Yellow")</f>
        <v>e_sum_00001_general_sum_vh_big_Normal_Yellow</v>
      </c>
      <c r="E1477" s="139">
        <f>IFERROR(__xludf.DUMMYFUNCTION("""COMPUTED_VALUE"""),0.0)</f>
        <v>0</v>
      </c>
      <c r="F1477" s="139" t="str">
        <f>IFERROR(__xludf.DUMMYFUNCTION("""COMPUTED_VALUE"""),"Normal")</f>
        <v>Normal</v>
      </c>
      <c r="G1477" s="139"/>
      <c r="H1477" s="139"/>
      <c r="I1477" s="139">
        <f>IFERROR(__xludf.DUMMYFUNCTION("""COMPUTED_VALUE"""),75.0)</f>
        <v>75</v>
      </c>
      <c r="J1477" s="139">
        <f>IFERROR(__xludf.DUMMYFUNCTION("""COMPUTED_VALUE"""),33.0)</f>
        <v>33</v>
      </c>
      <c r="K1477" s="139">
        <f>IFERROR(__xludf.DUMMYFUNCTION("""COMPUTED_VALUE"""),100.0)</f>
        <v>100</v>
      </c>
      <c r="L1477" s="139"/>
      <c r="M1477" s="139"/>
      <c r="N1477" s="139"/>
    </row>
    <row r="1478">
      <c r="A1478" s="139" t="str">
        <f>IFERROR(__xludf.DUMMYFUNCTION("""COMPUTED_VALUE"""),"e")</f>
        <v>e</v>
      </c>
      <c r="B1478" s="139">
        <f>IFERROR(__xludf.DUMMYFUNCTION("""COMPUTED_VALUE"""),2.0250901E8)</f>
        <v>202509010</v>
      </c>
      <c r="C1478" s="139" t="str">
        <f>IFERROR(__xludf.DUMMYFUNCTION("""COMPUTED_VALUE"""),"e_sum_00101_general_sum_vh_Boss_Blue_Normal_00000")</f>
        <v>e_sum_00101_general_sum_vh_Boss_Blue_Normal_00000</v>
      </c>
      <c r="D1478" s="139" t="str">
        <f>IFERROR(__xludf.DUMMYFUNCTION("""COMPUTED_VALUE"""),"e_sum_00101_general_sum_vh_Boss_Blue")</f>
        <v>e_sum_00101_general_sum_vh_Boss_Blue</v>
      </c>
      <c r="E1478" s="139">
        <f>IFERROR(__xludf.DUMMYFUNCTION("""COMPUTED_VALUE"""),0.0)</f>
        <v>0</v>
      </c>
      <c r="F1478" s="139" t="str">
        <f>IFERROR(__xludf.DUMMYFUNCTION("""COMPUTED_VALUE"""),"Normal")</f>
        <v>Normal</v>
      </c>
      <c r="G1478" s="139"/>
      <c r="H1478" s="139"/>
      <c r="I1478" s="139">
        <f>IFERROR(__xludf.DUMMYFUNCTION("""COMPUTED_VALUE"""),70.0)</f>
        <v>70</v>
      </c>
      <c r="J1478" s="139">
        <f>IFERROR(__xludf.DUMMYFUNCTION("""COMPUTED_VALUE"""),30.0)</f>
        <v>30</v>
      </c>
      <c r="K1478" s="139">
        <f>IFERROR(__xludf.DUMMYFUNCTION("""COMPUTED_VALUE"""),175.0)</f>
        <v>175</v>
      </c>
      <c r="L1478" s="139"/>
      <c r="M1478" s="139"/>
      <c r="N1478" s="139"/>
    </row>
    <row r="1479">
      <c r="A1479" s="139" t="str">
        <f>IFERROR(__xludf.DUMMYFUNCTION("""COMPUTED_VALUE"""),"e")</f>
        <v>e</v>
      </c>
      <c r="B1479" s="139">
        <f>IFERROR(__xludf.DUMMYFUNCTION("""COMPUTED_VALUE"""),2.0250901E8)</f>
        <v>202509010</v>
      </c>
      <c r="C1479" s="139" t="str">
        <f>IFERROR(__xludf.DUMMYFUNCTION("""COMPUTED_VALUE"""),"e_sum_00101_general_sum_vh_Boss_Blue_Appearance_00001")</f>
        <v>e_sum_00101_general_sum_vh_Boss_Blue_Appearance_00001</v>
      </c>
      <c r="D1479" s="139" t="str">
        <f>IFERROR(__xludf.DUMMYFUNCTION("""COMPUTED_VALUE"""),"e_sum_00101_general_sum_vh_Boss_Blue")</f>
        <v>e_sum_00101_general_sum_vh_Boss_Blue</v>
      </c>
      <c r="E1479" s="139">
        <f>IFERROR(__xludf.DUMMYFUNCTION("""COMPUTED_VALUE"""),0.0)</f>
        <v>0</v>
      </c>
      <c r="F1479" s="139" t="str">
        <f>IFERROR(__xludf.DUMMYFUNCTION("""COMPUTED_VALUE"""),"Appearance")</f>
        <v>Appearance</v>
      </c>
      <c r="G1479" s="139"/>
      <c r="H1479" s="139"/>
      <c r="I1479" s="139">
        <f>IFERROR(__xludf.DUMMYFUNCTION("""COMPUTED_VALUE"""),50.0)</f>
        <v>50</v>
      </c>
      <c r="J1479" s="139">
        <f>IFERROR(__xludf.DUMMYFUNCTION("""COMPUTED_VALUE"""),0.0)</f>
        <v>0</v>
      </c>
      <c r="K1479" s="139">
        <f>IFERROR(__xludf.DUMMYFUNCTION("""COMPUTED_VALUE"""),0.0)</f>
        <v>0</v>
      </c>
      <c r="L1479" s="139"/>
      <c r="M1479" s="139"/>
      <c r="N1479" s="139"/>
    </row>
    <row r="1480">
      <c r="A1480" s="139" t="str">
        <f>IFERROR(__xludf.DUMMYFUNCTION("""COMPUTED_VALUE"""),"e")</f>
        <v>e</v>
      </c>
      <c r="B1480" s="139">
        <f>IFERROR(__xludf.DUMMYFUNCTION("""COMPUTED_VALUE"""),2.0250901E8)</f>
        <v>202509010</v>
      </c>
      <c r="C1480" s="139" t="str">
        <f>IFERROR(__xludf.DUMMYFUNCTION("""COMPUTED_VALUE"""),"e_sum_00201_general_sum_vh_Boss_Yellow_Normal_00000")</f>
        <v>e_sum_00201_general_sum_vh_Boss_Yellow_Normal_00000</v>
      </c>
      <c r="D1480" s="139" t="str">
        <f>IFERROR(__xludf.DUMMYFUNCTION("""COMPUTED_VALUE"""),"e_sum_00201_general_sum_vh_Boss_Yellow")</f>
        <v>e_sum_00201_general_sum_vh_Boss_Yellow</v>
      </c>
      <c r="E1480" s="139">
        <f>IFERROR(__xludf.DUMMYFUNCTION("""COMPUTED_VALUE"""),0.0)</f>
        <v>0</v>
      </c>
      <c r="F1480" s="139" t="str">
        <f>IFERROR(__xludf.DUMMYFUNCTION("""COMPUTED_VALUE"""),"Normal")</f>
        <v>Normal</v>
      </c>
      <c r="G1480" s="139"/>
      <c r="H1480" s="139"/>
      <c r="I1480" s="139">
        <f>IFERROR(__xludf.DUMMYFUNCTION("""COMPUTED_VALUE"""),70.0)</f>
        <v>70</v>
      </c>
      <c r="J1480" s="139">
        <f>IFERROR(__xludf.DUMMYFUNCTION("""COMPUTED_VALUE"""),30.0)</f>
        <v>30</v>
      </c>
      <c r="K1480" s="139">
        <f>IFERROR(__xludf.DUMMYFUNCTION("""COMPUTED_VALUE"""),100.0)</f>
        <v>100</v>
      </c>
      <c r="L1480" s="139"/>
      <c r="M1480" s="139"/>
      <c r="N1480" s="139"/>
    </row>
    <row r="1481">
      <c r="A1481" s="139" t="str">
        <f>IFERROR(__xludf.DUMMYFUNCTION("""COMPUTED_VALUE"""),"e")</f>
        <v>e</v>
      </c>
      <c r="B1481" s="139">
        <f>IFERROR(__xludf.DUMMYFUNCTION("""COMPUTED_VALUE"""),2.0250901E8)</f>
        <v>202509010</v>
      </c>
      <c r="C1481" s="139" t="str">
        <f>IFERROR(__xludf.DUMMYFUNCTION("""COMPUTED_VALUE"""),"e_sum_00201_general_sum_vh_Boss_Yellow_Appearance_00001")</f>
        <v>e_sum_00201_general_sum_vh_Boss_Yellow_Appearance_00001</v>
      </c>
      <c r="D1481" s="139" t="str">
        <f>IFERROR(__xludf.DUMMYFUNCTION("""COMPUTED_VALUE"""),"e_sum_00201_general_sum_vh_Boss_Yellow")</f>
        <v>e_sum_00201_general_sum_vh_Boss_Yellow</v>
      </c>
      <c r="E1481" s="139">
        <f>IFERROR(__xludf.DUMMYFUNCTION("""COMPUTED_VALUE"""),0.0)</f>
        <v>0</v>
      </c>
      <c r="F1481" s="139" t="str">
        <f>IFERROR(__xludf.DUMMYFUNCTION("""COMPUTED_VALUE"""),"Appearance")</f>
        <v>Appearance</v>
      </c>
      <c r="G1481" s="139"/>
      <c r="H1481" s="139"/>
      <c r="I1481" s="139">
        <f>IFERROR(__xludf.DUMMYFUNCTION("""COMPUTED_VALUE"""),50.0)</f>
        <v>50</v>
      </c>
      <c r="J1481" s="139">
        <f>IFERROR(__xludf.DUMMYFUNCTION("""COMPUTED_VALUE"""),0.0)</f>
        <v>0</v>
      </c>
      <c r="K1481" s="139">
        <f>IFERROR(__xludf.DUMMYFUNCTION("""COMPUTED_VALUE"""),0.0)</f>
        <v>0</v>
      </c>
      <c r="L1481" s="139"/>
      <c r="M1481" s="139"/>
      <c r="N1481" s="139"/>
    </row>
    <row r="1482">
      <c r="A1482" s="139" t="str">
        <f>IFERROR(__xludf.DUMMYFUNCTION("""COMPUTED_VALUE"""),"e")</f>
        <v>e</v>
      </c>
      <c r="B1482" s="139">
        <f>IFERROR(__xludf.DUMMYFUNCTION("""COMPUTED_VALUE"""),2.0250901E8)</f>
        <v>202509010</v>
      </c>
      <c r="C1482" s="139" t="str">
        <f>IFERROR(__xludf.DUMMYFUNCTION("""COMPUTED_VALUE"""),"e_sum_00101_general_sum_vh_Normal_Green_Normal_00000")</f>
        <v>e_sum_00101_general_sum_vh_Normal_Green_Normal_00000</v>
      </c>
      <c r="D1482" s="139" t="str">
        <f>IFERROR(__xludf.DUMMYFUNCTION("""COMPUTED_VALUE"""),"e_sum_00101_general_sum_vh_Normal_Green")</f>
        <v>e_sum_00101_general_sum_vh_Normal_Green</v>
      </c>
      <c r="E1482" s="139">
        <f>IFERROR(__xludf.DUMMYFUNCTION("""COMPUTED_VALUE"""),0.0)</f>
        <v>0</v>
      </c>
      <c r="F1482" s="139" t="str">
        <f>IFERROR(__xludf.DUMMYFUNCTION("""COMPUTED_VALUE"""),"Normal")</f>
        <v>Normal</v>
      </c>
      <c r="G1482" s="139"/>
      <c r="H1482" s="139"/>
      <c r="I1482" s="139">
        <f>IFERROR(__xludf.DUMMYFUNCTION("""COMPUTED_VALUE"""),70.0)</f>
        <v>70</v>
      </c>
      <c r="J1482" s="139">
        <f>IFERROR(__xludf.DUMMYFUNCTION("""COMPUTED_VALUE"""),30.0)</f>
        <v>30</v>
      </c>
      <c r="K1482" s="139">
        <f>IFERROR(__xludf.DUMMYFUNCTION("""COMPUTED_VALUE"""),175.0)</f>
        <v>175</v>
      </c>
      <c r="L1482" s="139"/>
      <c r="M1482" s="139"/>
      <c r="N1482" s="139"/>
    </row>
    <row r="1483">
      <c r="A1483" s="139" t="str">
        <f>IFERROR(__xludf.DUMMYFUNCTION("""COMPUTED_VALUE"""),"e")</f>
        <v>e</v>
      </c>
      <c r="B1483" s="139">
        <f>IFERROR(__xludf.DUMMYFUNCTION("""COMPUTED_VALUE"""),2.0250901E8)</f>
        <v>202509010</v>
      </c>
      <c r="C1483" s="139" t="str">
        <f>IFERROR(__xludf.DUMMYFUNCTION("""COMPUTED_VALUE"""),"e_sum_00201_general_sum_vh_Normal_Yellow_Normal_00000")</f>
        <v>e_sum_00201_general_sum_vh_Normal_Yellow_Normal_00000</v>
      </c>
      <c r="D1483" s="139" t="str">
        <f>IFERROR(__xludf.DUMMYFUNCTION("""COMPUTED_VALUE"""),"e_sum_00201_general_sum_vh_Normal_Yellow")</f>
        <v>e_sum_00201_general_sum_vh_Normal_Yellow</v>
      </c>
      <c r="E1483" s="139">
        <f>IFERROR(__xludf.DUMMYFUNCTION("""COMPUTED_VALUE"""),0.0)</f>
        <v>0</v>
      </c>
      <c r="F1483" s="139" t="str">
        <f>IFERROR(__xludf.DUMMYFUNCTION("""COMPUTED_VALUE"""),"Normal")</f>
        <v>Normal</v>
      </c>
      <c r="G1483" s="139"/>
      <c r="H1483" s="139"/>
      <c r="I1483" s="139">
        <f>IFERROR(__xludf.DUMMYFUNCTION("""COMPUTED_VALUE"""),70.0)</f>
        <v>70</v>
      </c>
      <c r="J1483" s="139">
        <f>IFERROR(__xludf.DUMMYFUNCTION("""COMPUTED_VALUE"""),30.0)</f>
        <v>30</v>
      </c>
      <c r="K1483" s="139">
        <f>IFERROR(__xludf.DUMMYFUNCTION("""COMPUTED_VALUE"""),100.0)</f>
        <v>100</v>
      </c>
      <c r="L1483" s="139"/>
      <c r="M1483" s="139"/>
      <c r="N1483" s="139"/>
    </row>
    <row r="1484">
      <c r="A1484" s="139" t="str">
        <f>IFERROR(__xludf.DUMMYFUNCTION("""COMPUTED_VALUE"""),"e")</f>
        <v>e</v>
      </c>
      <c r="B1484" s="139">
        <f>IFERROR(__xludf.DUMMYFUNCTION("""COMPUTED_VALUE"""),2.0250901E8)</f>
        <v>202509010</v>
      </c>
      <c r="C1484" s="139" t="str">
        <f>IFERROR(__xludf.DUMMYFUNCTION("""COMPUTED_VALUE"""),"c_sum_00001_general_sum_vh_Normal_Green_Normal_00000")</f>
        <v>c_sum_00001_general_sum_vh_Normal_Green_Normal_00000</v>
      </c>
      <c r="D1484" s="139" t="str">
        <f>IFERROR(__xludf.DUMMYFUNCTION("""COMPUTED_VALUE"""),"c_sum_00001_general_sum_vh_Normal_Green")</f>
        <v>c_sum_00001_general_sum_vh_Normal_Green</v>
      </c>
      <c r="E1484" s="139">
        <f>IFERROR(__xludf.DUMMYFUNCTION("""COMPUTED_VALUE"""),0.0)</f>
        <v>0</v>
      </c>
      <c r="F1484" s="139" t="str">
        <f>IFERROR(__xludf.DUMMYFUNCTION("""COMPUTED_VALUE"""),"Normal")</f>
        <v>Normal</v>
      </c>
      <c r="G1484" s="139"/>
      <c r="H1484" s="139"/>
      <c r="I1484" s="139">
        <f>IFERROR(__xludf.DUMMYFUNCTION("""COMPUTED_VALUE"""),75.0)</f>
        <v>75</v>
      </c>
      <c r="J1484" s="139">
        <f>IFERROR(__xludf.DUMMYFUNCTION("""COMPUTED_VALUE"""),33.0)</f>
        <v>33</v>
      </c>
      <c r="K1484" s="139">
        <f>IFERROR(__xludf.DUMMYFUNCTION("""COMPUTED_VALUE"""),25.0)</f>
        <v>25</v>
      </c>
      <c r="L1484" s="139"/>
      <c r="M1484" s="139"/>
      <c r="N1484" s="139"/>
    </row>
    <row r="1485">
      <c r="A1485" s="139" t="str">
        <f>IFERROR(__xludf.DUMMYFUNCTION("""COMPUTED_VALUE"""),"e")</f>
        <v>e</v>
      </c>
      <c r="B1485" s="139">
        <f>IFERROR(__xludf.DUMMYFUNCTION("""COMPUTED_VALUE"""),2.0250901E8)</f>
        <v>202509010</v>
      </c>
      <c r="C1485" s="139" t="str">
        <f>IFERROR(__xludf.DUMMYFUNCTION("""COMPUTED_VALUE"""),"c_sum_00001_general_sum_vh_Normal_Green_Special_00001")</f>
        <v>c_sum_00001_general_sum_vh_Normal_Green_Special_00001</v>
      </c>
      <c r="D1485" s="139" t="str">
        <f>IFERROR(__xludf.DUMMYFUNCTION("""COMPUTED_VALUE"""),"c_sum_00001_general_sum_vh_Normal_Green")</f>
        <v>c_sum_00001_general_sum_vh_Normal_Green</v>
      </c>
      <c r="E1485" s="139">
        <f>IFERROR(__xludf.DUMMYFUNCTION("""COMPUTED_VALUE"""),0.0)</f>
        <v>0</v>
      </c>
      <c r="F1485" s="139" t="str">
        <f>IFERROR(__xludf.DUMMYFUNCTION("""COMPUTED_VALUE"""),"Special")</f>
        <v>Special</v>
      </c>
      <c r="G1485" s="139"/>
      <c r="H1485" s="139"/>
      <c r="I1485" s="139">
        <f>IFERROR(__xludf.DUMMYFUNCTION("""COMPUTED_VALUE"""),117.0)</f>
        <v>117</v>
      </c>
      <c r="J1485" s="139">
        <f>IFERROR(__xludf.DUMMYFUNCTION("""COMPUTED_VALUE"""),0.0)</f>
        <v>0</v>
      </c>
      <c r="K1485" s="139">
        <f>IFERROR(__xludf.DUMMYFUNCTION("""COMPUTED_VALUE"""),0.0)</f>
        <v>0</v>
      </c>
      <c r="L1485" s="139"/>
      <c r="M1485" s="139"/>
      <c r="N1485" s="139"/>
    </row>
    <row r="1486">
      <c r="A1486" s="139" t="str">
        <f>IFERROR(__xludf.DUMMYFUNCTION("""COMPUTED_VALUE"""),"e")</f>
        <v>e</v>
      </c>
      <c r="B1486" s="139">
        <f>IFERROR(__xludf.DUMMYFUNCTION("""COMPUTED_VALUE"""),2.0250901E8)</f>
        <v>202509010</v>
      </c>
      <c r="C1486" s="139" t="str">
        <f>IFERROR(__xludf.DUMMYFUNCTION("""COMPUTED_VALUE"""),"c_sum_00001_general_sum_vh2_Normal_Blue_Normal_00000")</f>
        <v>c_sum_00001_general_sum_vh2_Normal_Blue_Normal_00000</v>
      </c>
      <c r="D1486" s="139" t="str">
        <f>IFERROR(__xludf.DUMMYFUNCTION("""COMPUTED_VALUE"""),"c_sum_00001_general_sum_vh2_Normal_Blue")</f>
        <v>c_sum_00001_general_sum_vh2_Normal_Blue</v>
      </c>
      <c r="E1486" s="139">
        <f>IFERROR(__xludf.DUMMYFUNCTION("""COMPUTED_VALUE"""),0.0)</f>
        <v>0</v>
      </c>
      <c r="F1486" s="139" t="str">
        <f>IFERROR(__xludf.DUMMYFUNCTION("""COMPUTED_VALUE"""),"Normal")</f>
        <v>Normal</v>
      </c>
      <c r="G1486" s="139"/>
      <c r="H1486" s="139"/>
      <c r="I1486" s="139">
        <f>IFERROR(__xludf.DUMMYFUNCTION("""COMPUTED_VALUE"""),75.0)</f>
        <v>75</v>
      </c>
      <c r="J1486" s="139">
        <f>IFERROR(__xludf.DUMMYFUNCTION("""COMPUTED_VALUE"""),33.0)</f>
        <v>33</v>
      </c>
      <c r="K1486" s="139">
        <f>IFERROR(__xludf.DUMMYFUNCTION("""COMPUTED_VALUE"""),35.0)</f>
        <v>35</v>
      </c>
      <c r="L1486" s="139"/>
      <c r="M1486" s="139"/>
      <c r="N1486" s="139"/>
    </row>
    <row r="1487">
      <c r="A1487" s="139" t="str">
        <f>IFERROR(__xludf.DUMMYFUNCTION("""COMPUTED_VALUE"""),"e")</f>
        <v>e</v>
      </c>
      <c r="B1487" s="139">
        <f>IFERROR(__xludf.DUMMYFUNCTION("""COMPUTED_VALUE"""),2.0250901E8)</f>
        <v>202509010</v>
      </c>
      <c r="C1487" s="139" t="str">
        <f>IFERROR(__xludf.DUMMYFUNCTION("""COMPUTED_VALUE"""),"c_sum_00001_general_sum_vh2_Normal_Blue_Special_00001")</f>
        <v>c_sum_00001_general_sum_vh2_Normal_Blue_Special_00001</v>
      </c>
      <c r="D1487" s="139" t="str">
        <f>IFERROR(__xludf.DUMMYFUNCTION("""COMPUTED_VALUE"""),"c_sum_00001_general_sum_vh2_Normal_Blue")</f>
        <v>c_sum_00001_general_sum_vh2_Normal_Blue</v>
      </c>
      <c r="E1487" s="139">
        <f>IFERROR(__xludf.DUMMYFUNCTION("""COMPUTED_VALUE"""),0.0)</f>
        <v>0</v>
      </c>
      <c r="F1487" s="139" t="str">
        <f>IFERROR(__xludf.DUMMYFUNCTION("""COMPUTED_VALUE"""),"Special")</f>
        <v>Special</v>
      </c>
      <c r="G1487" s="139"/>
      <c r="H1487" s="139"/>
      <c r="I1487" s="139">
        <f>IFERROR(__xludf.DUMMYFUNCTION("""COMPUTED_VALUE"""),117.0)</f>
        <v>117</v>
      </c>
      <c r="J1487" s="139">
        <f>IFERROR(__xludf.DUMMYFUNCTION("""COMPUTED_VALUE"""),0.0)</f>
        <v>0</v>
      </c>
      <c r="K1487" s="139">
        <f>IFERROR(__xludf.DUMMYFUNCTION("""COMPUTED_VALUE"""),0.0)</f>
        <v>0</v>
      </c>
      <c r="L1487" s="139"/>
      <c r="M1487" s="139"/>
      <c r="N1487" s="139"/>
    </row>
    <row r="1488">
      <c r="A1488" s="139" t="str">
        <f>IFERROR(__xludf.DUMMYFUNCTION("""COMPUTED_VALUE"""),"e")</f>
        <v>e</v>
      </c>
      <c r="B1488" s="139">
        <f>IFERROR(__xludf.DUMMYFUNCTION("""COMPUTED_VALUE"""),2.0250901E8)</f>
        <v>202509010</v>
      </c>
      <c r="C1488" s="139" t="str">
        <f>IFERROR(__xludf.DUMMYFUNCTION("""COMPUTED_VALUE"""),"c_sum_00101_general_sum_vh_Boss_Blue_Normal_00000")</f>
        <v>c_sum_00101_general_sum_vh_Boss_Blue_Normal_00000</v>
      </c>
      <c r="D1488" s="139" t="str">
        <f>IFERROR(__xludf.DUMMYFUNCTION("""COMPUTED_VALUE"""),"c_sum_00101_general_sum_vh_Boss_Blue")</f>
        <v>c_sum_00101_general_sum_vh_Boss_Blue</v>
      </c>
      <c r="E1488" s="139">
        <f>IFERROR(__xludf.DUMMYFUNCTION("""COMPUTED_VALUE"""),0.0)</f>
        <v>0</v>
      </c>
      <c r="F1488" s="139" t="str">
        <f>IFERROR(__xludf.DUMMYFUNCTION("""COMPUTED_VALUE"""),"Normal")</f>
        <v>Normal</v>
      </c>
      <c r="G1488" s="139"/>
      <c r="H1488" s="139"/>
      <c r="I1488" s="139">
        <f>IFERROR(__xludf.DUMMYFUNCTION("""COMPUTED_VALUE"""),57.0)</f>
        <v>57</v>
      </c>
      <c r="J1488" s="139">
        <f>IFERROR(__xludf.DUMMYFUNCTION("""COMPUTED_VALUE"""),25.0)</f>
        <v>25</v>
      </c>
      <c r="K1488" s="139">
        <f>IFERROR(__xludf.DUMMYFUNCTION("""COMPUTED_VALUE"""),125.0)</f>
        <v>125</v>
      </c>
      <c r="L1488" s="139"/>
      <c r="M1488" s="139"/>
      <c r="N1488" s="139"/>
    </row>
    <row r="1489">
      <c r="A1489" s="139" t="str">
        <f>IFERROR(__xludf.DUMMYFUNCTION("""COMPUTED_VALUE"""),"e")</f>
        <v>e</v>
      </c>
      <c r="B1489" s="139">
        <f>IFERROR(__xludf.DUMMYFUNCTION("""COMPUTED_VALUE"""),2.0250901E8)</f>
        <v>202509010</v>
      </c>
      <c r="C1489" s="139" t="str">
        <f>IFERROR(__xludf.DUMMYFUNCTION("""COMPUTED_VALUE"""),"c_sum_00101_general_sum_vh_Boss_Blue_Appearance_00001")</f>
        <v>c_sum_00101_general_sum_vh_Boss_Blue_Appearance_00001</v>
      </c>
      <c r="D1489" s="139" t="str">
        <f>IFERROR(__xludf.DUMMYFUNCTION("""COMPUTED_VALUE"""),"c_sum_00101_general_sum_vh_Boss_Blue")</f>
        <v>c_sum_00101_general_sum_vh_Boss_Blue</v>
      </c>
      <c r="E1489" s="139">
        <f>IFERROR(__xludf.DUMMYFUNCTION("""COMPUTED_VALUE"""),0.0)</f>
        <v>0</v>
      </c>
      <c r="F1489" s="139" t="str">
        <f>IFERROR(__xludf.DUMMYFUNCTION("""COMPUTED_VALUE"""),"Appearance")</f>
        <v>Appearance</v>
      </c>
      <c r="G1489" s="139"/>
      <c r="H1489" s="139"/>
      <c r="I1489" s="139">
        <f>IFERROR(__xludf.DUMMYFUNCTION("""COMPUTED_VALUE"""),50.0)</f>
        <v>50</v>
      </c>
      <c r="J1489" s="139">
        <f>IFERROR(__xludf.DUMMYFUNCTION("""COMPUTED_VALUE"""),0.0)</f>
        <v>0</v>
      </c>
      <c r="K1489" s="139">
        <f>IFERROR(__xludf.DUMMYFUNCTION("""COMPUTED_VALUE"""),0.0)</f>
        <v>0</v>
      </c>
      <c r="L1489" s="139"/>
      <c r="M1489" s="139"/>
      <c r="N1489" s="139"/>
    </row>
    <row r="1490">
      <c r="A1490" s="139" t="str">
        <f>IFERROR(__xludf.DUMMYFUNCTION("""COMPUTED_VALUE"""),"e")</f>
        <v>e</v>
      </c>
      <c r="B1490" s="139">
        <f>IFERROR(__xludf.DUMMYFUNCTION("""COMPUTED_VALUE"""),2.0250901E8)</f>
        <v>202509010</v>
      </c>
      <c r="C1490" s="139" t="str">
        <f>IFERROR(__xludf.DUMMYFUNCTION("""COMPUTED_VALUE"""),"c_sum_00101_general_sum_vh_Boss_Blue_Special_00002")</f>
        <v>c_sum_00101_general_sum_vh_Boss_Blue_Special_00002</v>
      </c>
      <c r="D1490" s="139" t="str">
        <f>IFERROR(__xludf.DUMMYFUNCTION("""COMPUTED_VALUE"""),"c_sum_00101_general_sum_vh_Boss_Blue")</f>
        <v>c_sum_00101_general_sum_vh_Boss_Blue</v>
      </c>
      <c r="E1490" s="139">
        <f>IFERROR(__xludf.DUMMYFUNCTION("""COMPUTED_VALUE"""),0.0)</f>
        <v>0</v>
      </c>
      <c r="F1490" s="139" t="str">
        <f>IFERROR(__xludf.DUMMYFUNCTION("""COMPUTED_VALUE"""),"Special")</f>
        <v>Special</v>
      </c>
      <c r="G1490" s="139"/>
      <c r="H1490" s="139"/>
      <c r="I1490" s="139">
        <f>IFERROR(__xludf.DUMMYFUNCTION("""COMPUTED_VALUE"""),110.0)</f>
        <v>110</v>
      </c>
      <c r="J1490" s="139">
        <f>IFERROR(__xludf.DUMMYFUNCTION("""COMPUTED_VALUE"""),50.0)</f>
        <v>50</v>
      </c>
      <c r="K1490" s="139">
        <f>IFERROR(__xludf.DUMMYFUNCTION("""COMPUTED_VALUE"""),0.0)</f>
        <v>0</v>
      </c>
      <c r="L1490" s="139"/>
      <c r="M1490" s="139"/>
      <c r="N1490" s="139"/>
    </row>
    <row r="1491">
      <c r="A1491" s="139" t="str">
        <f>IFERROR(__xludf.DUMMYFUNCTION("""COMPUTED_VALUE"""),"e")</f>
        <v>e</v>
      </c>
      <c r="B1491" s="139">
        <f>IFERROR(__xludf.DUMMYFUNCTION("""COMPUTED_VALUE"""),2.0250901E8)</f>
        <v>202509010</v>
      </c>
      <c r="C1491" s="139" t="str">
        <f>IFERROR(__xludf.DUMMYFUNCTION("""COMPUTED_VALUE"""),"c_sum_00101_general_sum_vh_Boss_Yellow_Normal_00000")</f>
        <v>c_sum_00101_general_sum_vh_Boss_Yellow_Normal_00000</v>
      </c>
      <c r="D1491" s="139" t="str">
        <f>IFERROR(__xludf.DUMMYFUNCTION("""COMPUTED_VALUE"""),"c_sum_00101_general_sum_vh_Boss_Yellow")</f>
        <v>c_sum_00101_general_sum_vh_Boss_Yellow</v>
      </c>
      <c r="E1491" s="139">
        <f>IFERROR(__xludf.DUMMYFUNCTION("""COMPUTED_VALUE"""),0.0)</f>
        <v>0</v>
      </c>
      <c r="F1491" s="139" t="str">
        <f>IFERROR(__xludf.DUMMYFUNCTION("""COMPUTED_VALUE"""),"Normal")</f>
        <v>Normal</v>
      </c>
      <c r="G1491" s="139"/>
      <c r="H1491" s="139"/>
      <c r="I1491" s="139">
        <f>IFERROR(__xludf.DUMMYFUNCTION("""COMPUTED_VALUE"""),57.0)</f>
        <v>57</v>
      </c>
      <c r="J1491" s="139">
        <f>IFERROR(__xludf.DUMMYFUNCTION("""COMPUTED_VALUE"""),25.0)</f>
        <v>25</v>
      </c>
      <c r="K1491" s="139">
        <f>IFERROR(__xludf.DUMMYFUNCTION("""COMPUTED_VALUE"""),125.0)</f>
        <v>125</v>
      </c>
      <c r="L1491" s="139"/>
      <c r="M1491" s="139"/>
      <c r="N1491" s="139"/>
    </row>
    <row r="1492">
      <c r="A1492" s="139" t="str">
        <f>IFERROR(__xludf.DUMMYFUNCTION("""COMPUTED_VALUE"""),"e")</f>
        <v>e</v>
      </c>
      <c r="B1492" s="139">
        <f>IFERROR(__xludf.DUMMYFUNCTION("""COMPUTED_VALUE"""),2.0250901E8)</f>
        <v>202509010</v>
      </c>
      <c r="C1492" s="139" t="str">
        <f>IFERROR(__xludf.DUMMYFUNCTION("""COMPUTED_VALUE"""),"c_sum_00101_general_sum_vh_Boss_Yellow_Appearance_00001")</f>
        <v>c_sum_00101_general_sum_vh_Boss_Yellow_Appearance_00001</v>
      </c>
      <c r="D1492" s="139" t="str">
        <f>IFERROR(__xludf.DUMMYFUNCTION("""COMPUTED_VALUE"""),"c_sum_00101_general_sum_vh_Boss_Yellow")</f>
        <v>c_sum_00101_general_sum_vh_Boss_Yellow</v>
      </c>
      <c r="E1492" s="139">
        <f>IFERROR(__xludf.DUMMYFUNCTION("""COMPUTED_VALUE"""),0.0)</f>
        <v>0</v>
      </c>
      <c r="F1492" s="139" t="str">
        <f>IFERROR(__xludf.DUMMYFUNCTION("""COMPUTED_VALUE"""),"Appearance")</f>
        <v>Appearance</v>
      </c>
      <c r="G1492" s="139"/>
      <c r="H1492" s="139"/>
      <c r="I1492" s="139">
        <f>IFERROR(__xludf.DUMMYFUNCTION("""COMPUTED_VALUE"""),50.0)</f>
        <v>50</v>
      </c>
      <c r="J1492" s="139">
        <f>IFERROR(__xludf.DUMMYFUNCTION("""COMPUTED_VALUE"""),0.0)</f>
        <v>0</v>
      </c>
      <c r="K1492" s="139">
        <f>IFERROR(__xludf.DUMMYFUNCTION("""COMPUTED_VALUE"""),0.0)</f>
        <v>0</v>
      </c>
      <c r="L1492" s="139"/>
      <c r="M1492" s="139"/>
      <c r="N1492" s="139"/>
    </row>
    <row r="1493">
      <c r="A1493" s="139" t="str">
        <f>IFERROR(__xludf.DUMMYFUNCTION("""COMPUTED_VALUE"""),"e")</f>
        <v>e</v>
      </c>
      <c r="B1493" s="139">
        <f>IFERROR(__xludf.DUMMYFUNCTION("""COMPUTED_VALUE"""),2.0250901E8)</f>
        <v>202509010</v>
      </c>
      <c r="C1493" s="139" t="str">
        <f>IFERROR(__xludf.DUMMYFUNCTION("""COMPUTED_VALUE"""),"c_sum_00101_general_sum_vh_Boss_Yellow_Special_00002")</f>
        <v>c_sum_00101_general_sum_vh_Boss_Yellow_Special_00002</v>
      </c>
      <c r="D1493" s="139" t="str">
        <f>IFERROR(__xludf.DUMMYFUNCTION("""COMPUTED_VALUE"""),"c_sum_00101_general_sum_vh_Boss_Yellow")</f>
        <v>c_sum_00101_general_sum_vh_Boss_Yellow</v>
      </c>
      <c r="E1493" s="139">
        <f>IFERROR(__xludf.DUMMYFUNCTION("""COMPUTED_VALUE"""),0.0)</f>
        <v>0</v>
      </c>
      <c r="F1493" s="139" t="str">
        <f>IFERROR(__xludf.DUMMYFUNCTION("""COMPUTED_VALUE"""),"Special")</f>
        <v>Special</v>
      </c>
      <c r="G1493" s="139"/>
      <c r="H1493" s="139"/>
      <c r="I1493" s="139">
        <f>IFERROR(__xludf.DUMMYFUNCTION("""COMPUTED_VALUE"""),110.0)</f>
        <v>110</v>
      </c>
      <c r="J1493" s="139">
        <f>IFERROR(__xludf.DUMMYFUNCTION("""COMPUTED_VALUE"""),50.0)</f>
        <v>50</v>
      </c>
      <c r="K1493" s="139">
        <f>IFERROR(__xludf.DUMMYFUNCTION("""COMPUTED_VALUE"""),0.0)</f>
        <v>0</v>
      </c>
      <c r="L1493" s="139"/>
      <c r="M1493" s="139"/>
      <c r="N1493" s="139"/>
    </row>
    <row r="1494">
      <c r="A1494" s="139" t="str">
        <f>IFERROR(__xludf.DUMMYFUNCTION("""COMPUTED_VALUE"""),"e")</f>
        <v>e</v>
      </c>
      <c r="B1494" s="139">
        <f>IFERROR(__xludf.DUMMYFUNCTION("""COMPUTED_VALUE"""),2.0250901E8)</f>
        <v>202509010</v>
      </c>
      <c r="C1494" s="139" t="str">
        <f>IFERROR(__xludf.DUMMYFUNCTION("""COMPUTED_VALUE"""),"c_sum_00201_general_sum_vh2_Boss_Green_Normal_00000")</f>
        <v>c_sum_00201_general_sum_vh2_Boss_Green_Normal_00000</v>
      </c>
      <c r="D1494" s="139" t="str">
        <f>IFERROR(__xludf.DUMMYFUNCTION("""COMPUTED_VALUE"""),"c_sum_00201_general_sum_vh2_Boss_Green")</f>
        <v>c_sum_00201_general_sum_vh2_Boss_Green</v>
      </c>
      <c r="E1494" s="139">
        <f>IFERROR(__xludf.DUMMYFUNCTION("""COMPUTED_VALUE"""),0.0)</f>
        <v>0</v>
      </c>
      <c r="F1494" s="139" t="str">
        <f>IFERROR(__xludf.DUMMYFUNCTION("""COMPUTED_VALUE"""),"Normal")</f>
        <v>Normal</v>
      </c>
      <c r="G1494" s="139"/>
      <c r="H1494" s="139"/>
      <c r="I1494" s="139">
        <f>IFERROR(__xludf.DUMMYFUNCTION("""COMPUTED_VALUE"""),110.0)</f>
        <v>110</v>
      </c>
      <c r="J1494" s="139">
        <f>IFERROR(__xludf.DUMMYFUNCTION("""COMPUTED_VALUE"""),34.0)</f>
        <v>34</v>
      </c>
      <c r="K1494" s="139">
        <f>IFERROR(__xludf.DUMMYFUNCTION("""COMPUTED_VALUE"""),120.0)</f>
        <v>120</v>
      </c>
      <c r="L1494" s="139"/>
      <c r="M1494" s="139"/>
      <c r="N1494" s="139"/>
    </row>
    <row r="1495">
      <c r="A1495" s="139" t="str">
        <f>IFERROR(__xludf.DUMMYFUNCTION("""COMPUTED_VALUE"""),"e")</f>
        <v>e</v>
      </c>
      <c r="B1495" s="139">
        <f>IFERROR(__xludf.DUMMYFUNCTION("""COMPUTED_VALUE"""),2.0250901E8)</f>
        <v>202509010</v>
      </c>
      <c r="C1495" s="139" t="str">
        <f>IFERROR(__xludf.DUMMYFUNCTION("""COMPUTED_VALUE"""),"c_sum_00201_general_sum_vh2_Boss_Green_Appearance_00001")</f>
        <v>c_sum_00201_general_sum_vh2_Boss_Green_Appearance_00001</v>
      </c>
      <c r="D1495" s="139" t="str">
        <f>IFERROR(__xludf.DUMMYFUNCTION("""COMPUTED_VALUE"""),"c_sum_00201_general_sum_vh2_Boss_Green")</f>
        <v>c_sum_00201_general_sum_vh2_Boss_Green</v>
      </c>
      <c r="E1495" s="139">
        <f>IFERROR(__xludf.DUMMYFUNCTION("""COMPUTED_VALUE"""),0.0)</f>
        <v>0</v>
      </c>
      <c r="F1495" s="139" t="str">
        <f>IFERROR(__xludf.DUMMYFUNCTION("""COMPUTED_VALUE"""),"Appearance")</f>
        <v>Appearance</v>
      </c>
      <c r="G1495" s="139"/>
      <c r="H1495" s="139"/>
      <c r="I1495" s="139">
        <f>IFERROR(__xludf.DUMMYFUNCTION("""COMPUTED_VALUE"""),50.0)</f>
        <v>50</v>
      </c>
      <c r="J1495" s="139">
        <f>IFERROR(__xludf.DUMMYFUNCTION("""COMPUTED_VALUE"""),0.0)</f>
        <v>0</v>
      </c>
      <c r="K1495" s="139">
        <f>IFERROR(__xludf.DUMMYFUNCTION("""COMPUTED_VALUE"""),0.0)</f>
        <v>0</v>
      </c>
      <c r="L1495" s="139"/>
      <c r="M1495" s="139"/>
      <c r="N1495" s="139"/>
    </row>
    <row r="1496">
      <c r="A1496" s="139" t="str">
        <f>IFERROR(__xludf.DUMMYFUNCTION("""COMPUTED_VALUE"""),"e")</f>
        <v>e</v>
      </c>
      <c r="B1496" s="139">
        <f>IFERROR(__xludf.DUMMYFUNCTION("""COMPUTED_VALUE"""),2.0250901E8)</f>
        <v>202509010</v>
      </c>
      <c r="C1496" s="139" t="str">
        <f>IFERROR(__xludf.DUMMYFUNCTION("""COMPUTED_VALUE"""),"c_sum_00201_general_sum_vh2_Boss_Green_Special_00002")</f>
        <v>c_sum_00201_general_sum_vh2_Boss_Green_Special_00002</v>
      </c>
      <c r="D1496" s="139" t="str">
        <f>IFERROR(__xludf.DUMMYFUNCTION("""COMPUTED_VALUE"""),"c_sum_00201_general_sum_vh2_Boss_Green")</f>
        <v>c_sum_00201_general_sum_vh2_Boss_Green</v>
      </c>
      <c r="E1496" s="139">
        <f>IFERROR(__xludf.DUMMYFUNCTION("""COMPUTED_VALUE"""),0.0)</f>
        <v>0</v>
      </c>
      <c r="F1496" s="139" t="str">
        <f>IFERROR(__xludf.DUMMYFUNCTION("""COMPUTED_VALUE"""),"Special")</f>
        <v>Special</v>
      </c>
      <c r="G1496" s="139"/>
      <c r="H1496" s="139"/>
      <c r="I1496" s="139">
        <f>IFERROR(__xludf.DUMMYFUNCTION("""COMPUTED_VALUE"""),135.0)</f>
        <v>135</v>
      </c>
      <c r="J1496" s="139">
        <f>IFERROR(__xludf.DUMMYFUNCTION("""COMPUTED_VALUE"""),85.0)</f>
        <v>85</v>
      </c>
      <c r="K1496" s="139">
        <f>IFERROR(__xludf.DUMMYFUNCTION("""COMPUTED_VALUE"""),0.0)</f>
        <v>0</v>
      </c>
      <c r="L1496" s="139"/>
      <c r="M1496" s="139"/>
      <c r="N1496" s="139"/>
    </row>
    <row r="1497">
      <c r="A1497" s="139" t="str">
        <f>IFERROR(__xludf.DUMMYFUNCTION("""COMPUTED_VALUE"""),"e")</f>
        <v>e</v>
      </c>
      <c r="B1497" s="139">
        <f>IFERROR(__xludf.DUMMYFUNCTION("""COMPUTED_VALUE"""),2.0250901E8)</f>
        <v>202509010</v>
      </c>
      <c r="C1497" s="139" t="str">
        <f>IFERROR(__xludf.DUMMYFUNCTION("""COMPUTED_VALUE"""),"c_sum_00201_general_sum_vh3_Normal_Green_Normal_00000")</f>
        <v>c_sum_00201_general_sum_vh3_Normal_Green_Normal_00000</v>
      </c>
      <c r="D1497" s="139" t="str">
        <f>IFERROR(__xludf.DUMMYFUNCTION("""COMPUTED_VALUE"""),"c_sum_00201_general_sum_vh3_Normal_Green")</f>
        <v>c_sum_00201_general_sum_vh3_Normal_Green</v>
      </c>
      <c r="E1497" s="139">
        <f>IFERROR(__xludf.DUMMYFUNCTION("""COMPUTED_VALUE"""),0.0)</f>
        <v>0</v>
      </c>
      <c r="F1497" s="139" t="str">
        <f>IFERROR(__xludf.DUMMYFUNCTION("""COMPUTED_VALUE"""),"Normal")</f>
        <v>Normal</v>
      </c>
      <c r="G1497" s="139"/>
      <c r="H1497" s="139"/>
      <c r="I1497" s="139">
        <f>IFERROR(__xludf.DUMMYFUNCTION("""COMPUTED_VALUE"""),110.0)</f>
        <v>110</v>
      </c>
      <c r="J1497" s="139">
        <f>IFERROR(__xludf.DUMMYFUNCTION("""COMPUTED_VALUE"""),34.0)</f>
        <v>34</v>
      </c>
      <c r="K1497" s="139">
        <f>IFERROR(__xludf.DUMMYFUNCTION("""COMPUTED_VALUE"""),120.0)</f>
        <v>120</v>
      </c>
      <c r="L1497" s="139"/>
      <c r="M1497" s="139"/>
      <c r="N1497" s="139"/>
    </row>
    <row r="1498">
      <c r="A1498" s="139" t="str">
        <f>IFERROR(__xludf.DUMMYFUNCTION("""COMPUTED_VALUE"""),"e")</f>
        <v>e</v>
      </c>
      <c r="B1498" s="139">
        <f>IFERROR(__xludf.DUMMYFUNCTION("""COMPUTED_VALUE"""),2.0250901E8)</f>
        <v>202509010</v>
      </c>
      <c r="C1498" s="139" t="str">
        <f>IFERROR(__xludf.DUMMYFUNCTION("""COMPUTED_VALUE"""),"c_sum_00201_general_sum_vh3_Normal_Green_Special_00001")</f>
        <v>c_sum_00201_general_sum_vh3_Normal_Green_Special_00001</v>
      </c>
      <c r="D1498" s="139" t="str">
        <f>IFERROR(__xludf.DUMMYFUNCTION("""COMPUTED_VALUE"""),"c_sum_00201_general_sum_vh3_Normal_Green")</f>
        <v>c_sum_00201_general_sum_vh3_Normal_Green</v>
      </c>
      <c r="E1498" s="139">
        <f>IFERROR(__xludf.DUMMYFUNCTION("""COMPUTED_VALUE"""),0.0)</f>
        <v>0</v>
      </c>
      <c r="F1498" s="139" t="str">
        <f>IFERROR(__xludf.DUMMYFUNCTION("""COMPUTED_VALUE"""),"Special")</f>
        <v>Special</v>
      </c>
      <c r="G1498" s="139"/>
      <c r="H1498" s="139"/>
      <c r="I1498" s="139">
        <f>IFERROR(__xludf.DUMMYFUNCTION("""COMPUTED_VALUE"""),135.0)</f>
        <v>135</v>
      </c>
      <c r="J1498" s="139">
        <f>IFERROR(__xludf.DUMMYFUNCTION("""COMPUTED_VALUE"""),85.0)</f>
        <v>85</v>
      </c>
      <c r="K1498" s="139">
        <f>IFERROR(__xludf.DUMMYFUNCTION("""COMPUTED_VALUE"""),0.0)</f>
        <v>0</v>
      </c>
      <c r="L1498" s="139"/>
      <c r="M1498" s="139"/>
      <c r="N1498" s="139"/>
    </row>
    <row r="1499">
      <c r="A1499" s="139"/>
      <c r="B1499" s="139"/>
      <c r="C1499" s="139"/>
      <c r="D1499" s="139"/>
      <c r="E1499" s="139"/>
      <c r="F1499" s="139"/>
      <c r="G1499" s="139"/>
      <c r="H1499" s="139"/>
      <c r="I1499" s="139"/>
      <c r="J1499" s="139"/>
      <c r="K1499" s="139"/>
      <c r="L1499" s="139"/>
      <c r="M1499" s="139"/>
      <c r="N1499" s="139"/>
    </row>
    <row r="1500">
      <c r="A1500" s="139" t="str">
        <f>IFERROR(__xludf.DUMMYFUNCTION("""COMPUTED_VALUE"""),"e")</f>
        <v>e</v>
      </c>
      <c r="B1500" s="139">
        <f>IFERROR(__xludf.DUMMYFUNCTION("""COMPUTED_VALUE"""),2.0250901E8)</f>
        <v>202509010</v>
      </c>
      <c r="C1500" s="139" t="str">
        <f>IFERROR(__xludf.DUMMYFUNCTION("""COMPUTED_VALUE"""),"e_kai_00301_general_1_Normal_Colorless_Normal_00000")</f>
        <v>e_kai_00301_general_1_Normal_Colorless_Normal_00000</v>
      </c>
      <c r="D1500" s="139" t="str">
        <f>IFERROR(__xludf.DUMMYFUNCTION("""COMPUTED_VALUE"""),"e_kai_00301_general_1_Normal_Colorless")</f>
        <v>e_kai_00301_general_1_Normal_Colorless</v>
      </c>
      <c r="E1500" s="139">
        <f>IFERROR(__xludf.DUMMYFUNCTION("""COMPUTED_VALUE"""),0.0)</f>
        <v>0</v>
      </c>
      <c r="F1500" s="139" t="str">
        <f>IFERROR(__xludf.DUMMYFUNCTION("""COMPUTED_VALUE"""),"Normal")</f>
        <v>Normal</v>
      </c>
      <c r="G1500" s="139"/>
      <c r="H1500" s="139"/>
      <c r="I1500" s="139">
        <f>IFERROR(__xludf.DUMMYFUNCTION("""COMPUTED_VALUE"""),50.0)</f>
        <v>50</v>
      </c>
      <c r="J1500" s="139">
        <f>IFERROR(__xludf.DUMMYFUNCTION("""COMPUTED_VALUE"""),20.0)</f>
        <v>20</v>
      </c>
      <c r="K1500" s="139">
        <f>IFERROR(__xludf.DUMMYFUNCTION("""COMPUTED_VALUE"""),75.0)</f>
        <v>75</v>
      </c>
      <c r="L1500" s="139"/>
      <c r="M1500" s="139"/>
      <c r="N1500" s="139"/>
    </row>
    <row r="1501">
      <c r="A1501" s="139" t="str">
        <f>IFERROR(__xludf.DUMMYFUNCTION("""COMPUTED_VALUE"""),"e")</f>
        <v>e</v>
      </c>
      <c r="B1501" s="139">
        <f>IFERROR(__xludf.DUMMYFUNCTION("""COMPUTED_VALUE"""),2.0250901E8)</f>
        <v>202509010</v>
      </c>
      <c r="C1501" s="139" t="str">
        <f>IFERROR(__xludf.DUMMYFUNCTION("""COMPUTED_VALUE"""),"e_kai_00301_general_1_Boss_Green_Normal_00000")</f>
        <v>e_kai_00301_general_1_Boss_Green_Normal_00000</v>
      </c>
      <c r="D1501" s="139" t="str">
        <f>IFERROR(__xludf.DUMMYFUNCTION("""COMPUTED_VALUE"""),"e_kai_00301_general_1_Boss_Green")</f>
        <v>e_kai_00301_general_1_Boss_Green</v>
      </c>
      <c r="E1501" s="139">
        <f>IFERROR(__xludf.DUMMYFUNCTION("""COMPUTED_VALUE"""),0.0)</f>
        <v>0</v>
      </c>
      <c r="F1501" s="139" t="str">
        <f>IFERROR(__xludf.DUMMYFUNCTION("""COMPUTED_VALUE"""),"Normal")</f>
        <v>Normal</v>
      </c>
      <c r="G1501" s="139"/>
      <c r="H1501" s="139"/>
      <c r="I1501" s="139">
        <f>IFERROR(__xludf.DUMMYFUNCTION("""COMPUTED_VALUE"""),50.0)</f>
        <v>50</v>
      </c>
      <c r="J1501" s="139">
        <f>IFERROR(__xludf.DUMMYFUNCTION("""COMPUTED_VALUE"""),20.0)</f>
        <v>20</v>
      </c>
      <c r="K1501" s="139">
        <f>IFERROR(__xludf.DUMMYFUNCTION("""COMPUTED_VALUE"""),100.0)</f>
        <v>100</v>
      </c>
      <c r="L1501" s="139"/>
      <c r="M1501" s="139"/>
      <c r="N1501" s="139"/>
    </row>
    <row r="1502">
      <c r="A1502" s="139" t="str">
        <f>IFERROR(__xludf.DUMMYFUNCTION("""COMPUTED_VALUE"""),"e")</f>
        <v>e</v>
      </c>
      <c r="B1502" s="139">
        <f>IFERROR(__xludf.DUMMYFUNCTION("""COMPUTED_VALUE"""),2.0250901E8)</f>
        <v>202509010</v>
      </c>
      <c r="C1502" s="139" t="str">
        <f>IFERROR(__xludf.DUMMYFUNCTION("""COMPUTED_VALUE"""),"e_kai_00301_general_1_Boss_Green_Appearance_00001")</f>
        <v>e_kai_00301_general_1_Boss_Green_Appearance_00001</v>
      </c>
      <c r="D1502" s="139" t="str">
        <f>IFERROR(__xludf.DUMMYFUNCTION("""COMPUTED_VALUE"""),"e_kai_00301_general_1_Boss_Green")</f>
        <v>e_kai_00301_general_1_Boss_Green</v>
      </c>
      <c r="E1502" s="139">
        <f>IFERROR(__xludf.DUMMYFUNCTION("""COMPUTED_VALUE"""),0.0)</f>
        <v>0</v>
      </c>
      <c r="F1502" s="139" t="str">
        <f>IFERROR(__xludf.DUMMYFUNCTION("""COMPUTED_VALUE"""),"Appearance")</f>
        <v>Appearance</v>
      </c>
      <c r="G1502" s="139"/>
      <c r="H1502" s="139"/>
      <c r="I1502" s="139">
        <f>IFERROR(__xludf.DUMMYFUNCTION("""COMPUTED_VALUE"""),50.0)</f>
        <v>50</v>
      </c>
      <c r="J1502" s="139">
        <f>IFERROR(__xludf.DUMMYFUNCTION("""COMPUTED_VALUE"""),0.0)</f>
        <v>0</v>
      </c>
      <c r="K1502" s="139">
        <f>IFERROR(__xludf.DUMMYFUNCTION("""COMPUTED_VALUE"""),0.0)</f>
        <v>0</v>
      </c>
      <c r="L1502" s="139"/>
      <c r="M1502" s="139"/>
      <c r="N1502" s="139"/>
    </row>
    <row r="1503">
      <c r="A1503" s="139" t="str">
        <f>IFERROR(__xludf.DUMMYFUNCTION("""COMPUTED_VALUE"""),"e")</f>
        <v>e</v>
      </c>
      <c r="B1503" s="139">
        <f>IFERROR(__xludf.DUMMYFUNCTION("""COMPUTED_VALUE"""),2.0250901E8)</f>
        <v>202509010</v>
      </c>
      <c r="C1503" s="139" t="str">
        <f>IFERROR(__xludf.DUMMYFUNCTION("""COMPUTED_VALUE"""),"e_kai_00301_general_Normal_Colorless_Normal_00000")</f>
        <v>e_kai_00301_general_Normal_Colorless_Normal_00000</v>
      </c>
      <c r="D1503" s="139" t="str">
        <f>IFERROR(__xludf.DUMMYFUNCTION("""COMPUTED_VALUE"""),"e_kai_00301_general_Normal_Colorless")</f>
        <v>e_kai_00301_general_Normal_Colorless</v>
      </c>
      <c r="E1503" s="139">
        <f>IFERROR(__xludf.DUMMYFUNCTION("""COMPUTED_VALUE"""),0.0)</f>
        <v>0</v>
      </c>
      <c r="F1503" s="139" t="str">
        <f>IFERROR(__xludf.DUMMYFUNCTION("""COMPUTED_VALUE"""),"Normal")</f>
        <v>Normal</v>
      </c>
      <c r="G1503" s="139"/>
      <c r="H1503" s="139"/>
      <c r="I1503" s="139">
        <f>IFERROR(__xludf.DUMMYFUNCTION("""COMPUTED_VALUE"""),50.0)</f>
        <v>50</v>
      </c>
      <c r="J1503" s="139">
        <f>IFERROR(__xludf.DUMMYFUNCTION("""COMPUTED_VALUE"""),20.0)</f>
        <v>20</v>
      </c>
      <c r="K1503" s="139">
        <f>IFERROR(__xludf.DUMMYFUNCTION("""COMPUTED_VALUE"""),50.0)</f>
        <v>50</v>
      </c>
      <c r="L1503" s="139"/>
      <c r="M1503" s="139"/>
      <c r="N1503" s="139"/>
    </row>
    <row r="1504">
      <c r="A1504" s="139" t="str">
        <f>IFERROR(__xludf.DUMMYFUNCTION("""COMPUTED_VALUE"""),"e")</f>
        <v>e</v>
      </c>
      <c r="B1504" s="139">
        <f>IFERROR(__xludf.DUMMYFUNCTION("""COMPUTED_VALUE"""),2.0250901E8)</f>
        <v>202509010</v>
      </c>
      <c r="C1504" s="139" t="str">
        <f>IFERROR(__xludf.DUMMYFUNCTION("""COMPUTED_VALUE"""),"e_kai_00301_general_Normal_Green_Normal_00000")</f>
        <v>e_kai_00301_general_Normal_Green_Normal_00000</v>
      </c>
      <c r="D1504" s="139" t="str">
        <f>IFERROR(__xludf.DUMMYFUNCTION("""COMPUTED_VALUE"""),"e_kai_00301_general_Normal_Green")</f>
        <v>e_kai_00301_general_Normal_Green</v>
      </c>
      <c r="E1504" s="139">
        <f>IFERROR(__xludf.DUMMYFUNCTION("""COMPUTED_VALUE"""),0.0)</f>
        <v>0</v>
      </c>
      <c r="F1504" s="139" t="str">
        <f>IFERROR(__xludf.DUMMYFUNCTION("""COMPUTED_VALUE"""),"Normal")</f>
        <v>Normal</v>
      </c>
      <c r="G1504" s="139"/>
      <c r="H1504" s="139"/>
      <c r="I1504" s="139">
        <f>IFERROR(__xludf.DUMMYFUNCTION("""COMPUTED_VALUE"""),50.0)</f>
        <v>50</v>
      </c>
      <c r="J1504" s="139">
        <f>IFERROR(__xludf.DUMMYFUNCTION("""COMPUTED_VALUE"""),20.0)</f>
        <v>20</v>
      </c>
      <c r="K1504" s="139">
        <f>IFERROR(__xludf.DUMMYFUNCTION("""COMPUTED_VALUE"""),50.0)</f>
        <v>50</v>
      </c>
      <c r="L1504" s="139"/>
      <c r="M1504" s="139"/>
      <c r="N1504" s="139"/>
    </row>
    <row r="1505">
      <c r="A1505" s="139" t="str">
        <f>IFERROR(__xludf.DUMMYFUNCTION("""COMPUTED_VALUE"""),"e")</f>
        <v>e</v>
      </c>
      <c r="B1505" s="139">
        <f>IFERROR(__xludf.DUMMYFUNCTION("""COMPUTED_VALUE"""),2.0250901E8)</f>
        <v>202509010</v>
      </c>
      <c r="C1505" s="139" t="str">
        <f>IFERROR(__xludf.DUMMYFUNCTION("""COMPUTED_VALUE"""),"e_kai_00001_general_Normal_Yellow_Normal_00000")</f>
        <v>e_kai_00001_general_Normal_Yellow_Normal_00000</v>
      </c>
      <c r="D1505" s="139" t="str">
        <f>IFERROR(__xludf.DUMMYFUNCTION("""COMPUTED_VALUE"""),"e_kai_00001_general_Normal_Yellow")</f>
        <v>e_kai_00001_general_Normal_Yellow</v>
      </c>
      <c r="E1505" s="139">
        <f>IFERROR(__xludf.DUMMYFUNCTION("""COMPUTED_VALUE"""),0.0)</f>
        <v>0</v>
      </c>
      <c r="F1505" s="139" t="str">
        <f>IFERROR(__xludf.DUMMYFUNCTION("""COMPUTED_VALUE"""),"Normal")</f>
        <v>Normal</v>
      </c>
      <c r="G1505" s="139"/>
      <c r="H1505" s="139"/>
      <c r="I1505" s="139">
        <f>IFERROR(__xludf.DUMMYFUNCTION("""COMPUTED_VALUE"""),68.0)</f>
        <v>68</v>
      </c>
      <c r="J1505" s="139">
        <f>IFERROR(__xludf.DUMMYFUNCTION("""COMPUTED_VALUE"""),10.0)</f>
        <v>10</v>
      </c>
      <c r="K1505" s="139">
        <f>IFERROR(__xludf.DUMMYFUNCTION("""COMPUTED_VALUE"""),100.0)</f>
        <v>100</v>
      </c>
      <c r="L1505" s="139"/>
      <c r="M1505" s="139"/>
      <c r="N1505" s="139"/>
    </row>
    <row r="1506">
      <c r="A1506" s="139" t="str">
        <f>IFERROR(__xludf.DUMMYFUNCTION("""COMPUTED_VALUE"""),"e")</f>
        <v>e</v>
      </c>
      <c r="B1506" s="139">
        <f>IFERROR(__xludf.DUMMYFUNCTION("""COMPUTED_VALUE"""),2.0250901E8)</f>
        <v>202509010</v>
      </c>
      <c r="C1506" s="139" t="str">
        <f>IFERROR(__xludf.DUMMYFUNCTION("""COMPUTED_VALUE"""),"e_kai_00001_general_Boss_Yellow_Normal_00000")</f>
        <v>e_kai_00001_general_Boss_Yellow_Normal_00000</v>
      </c>
      <c r="D1506" s="139" t="str">
        <f>IFERROR(__xludf.DUMMYFUNCTION("""COMPUTED_VALUE"""),"e_kai_00001_general_Boss_Yellow")</f>
        <v>e_kai_00001_general_Boss_Yellow</v>
      </c>
      <c r="E1506" s="139">
        <f>IFERROR(__xludf.DUMMYFUNCTION("""COMPUTED_VALUE"""),0.0)</f>
        <v>0</v>
      </c>
      <c r="F1506" s="139" t="str">
        <f>IFERROR(__xludf.DUMMYFUNCTION("""COMPUTED_VALUE"""),"Normal")</f>
        <v>Normal</v>
      </c>
      <c r="G1506" s="139"/>
      <c r="H1506" s="139"/>
      <c r="I1506" s="139">
        <f>IFERROR(__xludf.DUMMYFUNCTION("""COMPUTED_VALUE"""),68.0)</f>
        <v>68</v>
      </c>
      <c r="J1506" s="139">
        <f>IFERROR(__xludf.DUMMYFUNCTION("""COMPUTED_VALUE"""),10.0)</f>
        <v>10</v>
      </c>
      <c r="K1506" s="139">
        <f>IFERROR(__xludf.DUMMYFUNCTION("""COMPUTED_VALUE"""),100.0)</f>
        <v>100</v>
      </c>
      <c r="L1506" s="139"/>
      <c r="M1506" s="139"/>
      <c r="N1506" s="139"/>
    </row>
    <row r="1507">
      <c r="A1507" s="139" t="str">
        <f>IFERROR(__xludf.DUMMYFUNCTION("""COMPUTED_VALUE"""),"e")</f>
        <v>e</v>
      </c>
      <c r="B1507" s="139">
        <f>IFERROR(__xludf.DUMMYFUNCTION("""COMPUTED_VALUE"""),2.0250901E8)</f>
        <v>202509010</v>
      </c>
      <c r="C1507" s="139" t="str">
        <f>IFERROR(__xludf.DUMMYFUNCTION("""COMPUTED_VALUE"""),"e_kai_00001_general_Boss_Yellow_Appearance_00001")</f>
        <v>e_kai_00001_general_Boss_Yellow_Appearance_00001</v>
      </c>
      <c r="D1507" s="139" t="str">
        <f>IFERROR(__xludf.DUMMYFUNCTION("""COMPUTED_VALUE"""),"e_kai_00001_general_Boss_Yellow")</f>
        <v>e_kai_00001_general_Boss_Yellow</v>
      </c>
      <c r="E1507" s="139">
        <f>IFERROR(__xludf.DUMMYFUNCTION("""COMPUTED_VALUE"""),0.0)</f>
        <v>0</v>
      </c>
      <c r="F1507" s="139" t="str">
        <f>IFERROR(__xludf.DUMMYFUNCTION("""COMPUTED_VALUE"""),"Appearance")</f>
        <v>Appearance</v>
      </c>
      <c r="G1507" s="139"/>
      <c r="H1507" s="139"/>
      <c r="I1507" s="139">
        <f>IFERROR(__xludf.DUMMYFUNCTION("""COMPUTED_VALUE"""),50.0)</f>
        <v>50</v>
      </c>
      <c r="J1507" s="139">
        <f>IFERROR(__xludf.DUMMYFUNCTION("""COMPUTED_VALUE"""),0.0)</f>
        <v>0</v>
      </c>
      <c r="K1507" s="139">
        <f>IFERROR(__xludf.DUMMYFUNCTION("""COMPUTED_VALUE"""),0.0)</f>
        <v>0</v>
      </c>
      <c r="L1507" s="139"/>
      <c r="M1507" s="139"/>
      <c r="N1507" s="139"/>
    </row>
    <row r="1508">
      <c r="A1508" s="139" t="str">
        <f>IFERROR(__xludf.DUMMYFUNCTION("""COMPUTED_VALUE"""),"e")</f>
        <v>e</v>
      </c>
      <c r="B1508" s="139">
        <f>IFERROR(__xludf.DUMMYFUNCTION("""COMPUTED_VALUE"""),2.0250901E8)</f>
        <v>202509010</v>
      </c>
      <c r="C1508" s="139" t="str">
        <f>IFERROR(__xludf.DUMMYFUNCTION("""COMPUTED_VALUE"""),"e_kai_00101_general_Normal_Colorless_Normal_00000")</f>
        <v>e_kai_00101_general_Normal_Colorless_Normal_00000</v>
      </c>
      <c r="D1508" s="139" t="str">
        <f>IFERROR(__xludf.DUMMYFUNCTION("""COMPUTED_VALUE"""),"e_kai_00101_general_Normal_Colorless")</f>
        <v>e_kai_00101_general_Normal_Colorless</v>
      </c>
      <c r="E1508" s="139">
        <f>IFERROR(__xludf.DUMMYFUNCTION("""COMPUTED_VALUE"""),0.0)</f>
        <v>0</v>
      </c>
      <c r="F1508" s="139" t="str">
        <f>IFERROR(__xludf.DUMMYFUNCTION("""COMPUTED_VALUE"""),"Normal")</f>
        <v>Normal</v>
      </c>
      <c r="G1508" s="139"/>
      <c r="H1508" s="139"/>
      <c r="I1508" s="139">
        <f>IFERROR(__xludf.DUMMYFUNCTION("""COMPUTED_VALUE"""),62.0)</f>
        <v>62</v>
      </c>
      <c r="J1508" s="139">
        <f>IFERROR(__xludf.DUMMYFUNCTION("""COMPUTED_VALUE"""),28.0)</f>
        <v>28</v>
      </c>
      <c r="K1508" s="139">
        <f>IFERROR(__xludf.DUMMYFUNCTION("""COMPUTED_VALUE"""),75.0)</f>
        <v>75</v>
      </c>
      <c r="L1508" s="139"/>
      <c r="M1508" s="139"/>
      <c r="N1508" s="139"/>
    </row>
    <row r="1509">
      <c r="A1509" s="139" t="str">
        <f>IFERROR(__xludf.DUMMYFUNCTION("""COMPUTED_VALUE"""),"e")</f>
        <v>e</v>
      </c>
      <c r="B1509" s="139">
        <f>IFERROR(__xludf.DUMMYFUNCTION("""COMPUTED_VALUE"""),2.0250901E8)</f>
        <v>202509010</v>
      </c>
      <c r="C1509" s="139" t="str">
        <f>IFERROR(__xludf.DUMMYFUNCTION("""COMPUTED_VALUE"""),"e_kai_00101_general_Normal_Yellow_Normal_00000")</f>
        <v>e_kai_00101_general_Normal_Yellow_Normal_00000</v>
      </c>
      <c r="D1509" s="139" t="str">
        <f>IFERROR(__xludf.DUMMYFUNCTION("""COMPUTED_VALUE"""),"e_kai_00101_general_Normal_Yellow")</f>
        <v>e_kai_00101_general_Normal_Yellow</v>
      </c>
      <c r="E1509" s="139">
        <f>IFERROR(__xludf.DUMMYFUNCTION("""COMPUTED_VALUE"""),0.0)</f>
        <v>0</v>
      </c>
      <c r="F1509" s="139" t="str">
        <f>IFERROR(__xludf.DUMMYFUNCTION("""COMPUTED_VALUE"""),"Normal")</f>
        <v>Normal</v>
      </c>
      <c r="G1509" s="139"/>
      <c r="H1509" s="139"/>
      <c r="I1509" s="139">
        <f>IFERROR(__xludf.DUMMYFUNCTION("""COMPUTED_VALUE"""),62.0)</f>
        <v>62</v>
      </c>
      <c r="J1509" s="139">
        <f>IFERROR(__xludf.DUMMYFUNCTION("""COMPUTED_VALUE"""),28.0)</f>
        <v>28</v>
      </c>
      <c r="K1509" s="139">
        <f>IFERROR(__xludf.DUMMYFUNCTION("""COMPUTED_VALUE"""),50.0)</f>
        <v>50</v>
      </c>
      <c r="L1509" s="139"/>
      <c r="M1509" s="139"/>
      <c r="N1509" s="139"/>
    </row>
    <row r="1510">
      <c r="A1510" s="139" t="str">
        <f>IFERROR(__xludf.DUMMYFUNCTION("""COMPUTED_VALUE"""),"e")</f>
        <v>e</v>
      </c>
      <c r="B1510" s="139">
        <f>IFERROR(__xludf.DUMMYFUNCTION("""COMPUTED_VALUE"""),2.0250901E8)</f>
        <v>202509010</v>
      </c>
      <c r="C1510" s="139" t="str">
        <f>IFERROR(__xludf.DUMMYFUNCTION("""COMPUTED_VALUE"""),"e_kai_00101_general_Normal_Green_Normal_00000")</f>
        <v>e_kai_00101_general_Normal_Green_Normal_00000</v>
      </c>
      <c r="D1510" s="139" t="str">
        <f>IFERROR(__xludf.DUMMYFUNCTION("""COMPUTED_VALUE"""),"e_kai_00101_general_Normal_Green")</f>
        <v>e_kai_00101_general_Normal_Green</v>
      </c>
      <c r="E1510" s="139">
        <f>IFERROR(__xludf.DUMMYFUNCTION("""COMPUTED_VALUE"""),0.0)</f>
        <v>0</v>
      </c>
      <c r="F1510" s="139" t="str">
        <f>IFERROR(__xludf.DUMMYFUNCTION("""COMPUTED_VALUE"""),"Normal")</f>
        <v>Normal</v>
      </c>
      <c r="G1510" s="139"/>
      <c r="H1510" s="139"/>
      <c r="I1510" s="139">
        <f>IFERROR(__xludf.DUMMYFUNCTION("""COMPUTED_VALUE"""),62.0)</f>
        <v>62</v>
      </c>
      <c r="J1510" s="139">
        <f>IFERROR(__xludf.DUMMYFUNCTION("""COMPUTED_VALUE"""),28.0)</f>
        <v>28</v>
      </c>
      <c r="K1510" s="139">
        <f>IFERROR(__xludf.DUMMYFUNCTION("""COMPUTED_VALUE"""),75.0)</f>
        <v>75</v>
      </c>
      <c r="L1510" s="139"/>
      <c r="M1510" s="139"/>
      <c r="N1510" s="139"/>
    </row>
    <row r="1511">
      <c r="A1511" s="139" t="str">
        <f>IFERROR(__xludf.DUMMYFUNCTION("""COMPUTED_VALUE"""),"e")</f>
        <v>e</v>
      </c>
      <c r="B1511" s="139">
        <f>IFERROR(__xludf.DUMMYFUNCTION("""COMPUTED_VALUE"""),2.0250901E8)</f>
        <v>202509010</v>
      </c>
      <c r="C1511" s="139" t="str">
        <f>IFERROR(__xludf.DUMMYFUNCTION("""COMPUTED_VALUE"""),"e_kai_00201_general_Boss_Yellow_Normal_00000")</f>
        <v>e_kai_00201_general_Boss_Yellow_Normal_00000</v>
      </c>
      <c r="D1511" s="139" t="str">
        <f>IFERROR(__xludf.DUMMYFUNCTION("""COMPUTED_VALUE"""),"e_kai_00201_general_Boss_Yellow")</f>
        <v>e_kai_00201_general_Boss_Yellow</v>
      </c>
      <c r="E1511" s="139">
        <f>IFERROR(__xludf.DUMMYFUNCTION("""COMPUTED_VALUE"""),0.0)</f>
        <v>0</v>
      </c>
      <c r="F1511" s="139" t="str">
        <f>IFERROR(__xludf.DUMMYFUNCTION("""COMPUTED_VALUE"""),"Normal")</f>
        <v>Normal</v>
      </c>
      <c r="G1511" s="139"/>
      <c r="H1511" s="139"/>
      <c r="I1511" s="139">
        <f>IFERROR(__xludf.DUMMYFUNCTION("""COMPUTED_VALUE"""),124.0)</f>
        <v>124</v>
      </c>
      <c r="J1511" s="139">
        <f>IFERROR(__xludf.DUMMYFUNCTION("""COMPUTED_VALUE"""),63.0)</f>
        <v>63</v>
      </c>
      <c r="K1511" s="139">
        <f>IFERROR(__xludf.DUMMYFUNCTION("""COMPUTED_VALUE"""),100.0)</f>
        <v>100</v>
      </c>
      <c r="L1511" s="139"/>
      <c r="M1511" s="139"/>
      <c r="N1511" s="139"/>
    </row>
    <row r="1512">
      <c r="A1512" s="139" t="str">
        <f>IFERROR(__xludf.DUMMYFUNCTION("""COMPUTED_VALUE"""),"e")</f>
        <v>e</v>
      </c>
      <c r="B1512" s="139">
        <f>IFERROR(__xludf.DUMMYFUNCTION("""COMPUTED_VALUE"""),2.0250901E8)</f>
        <v>202509010</v>
      </c>
      <c r="C1512" s="139" t="str">
        <f>IFERROR(__xludf.DUMMYFUNCTION("""COMPUTED_VALUE"""),"e_kai_00201_general_Boss_Yellow_Appearance_00001")</f>
        <v>e_kai_00201_general_Boss_Yellow_Appearance_00001</v>
      </c>
      <c r="D1512" s="139" t="str">
        <f>IFERROR(__xludf.DUMMYFUNCTION("""COMPUTED_VALUE"""),"e_kai_00201_general_Boss_Yellow")</f>
        <v>e_kai_00201_general_Boss_Yellow</v>
      </c>
      <c r="E1512" s="139">
        <f>IFERROR(__xludf.DUMMYFUNCTION("""COMPUTED_VALUE"""),0.0)</f>
        <v>0</v>
      </c>
      <c r="F1512" s="139" t="str">
        <f>IFERROR(__xludf.DUMMYFUNCTION("""COMPUTED_VALUE"""),"Appearance")</f>
        <v>Appearance</v>
      </c>
      <c r="G1512" s="139"/>
      <c r="H1512" s="139"/>
      <c r="I1512" s="139">
        <f>IFERROR(__xludf.DUMMYFUNCTION("""COMPUTED_VALUE"""),50.0)</f>
        <v>50</v>
      </c>
      <c r="J1512" s="139">
        <f>IFERROR(__xludf.DUMMYFUNCTION("""COMPUTED_VALUE"""),0.0)</f>
        <v>0</v>
      </c>
      <c r="K1512" s="139">
        <f>IFERROR(__xludf.DUMMYFUNCTION("""COMPUTED_VALUE"""),0.0)</f>
        <v>0</v>
      </c>
      <c r="L1512" s="139"/>
      <c r="M1512" s="139"/>
      <c r="N1512" s="139"/>
    </row>
    <row r="1513">
      <c r="A1513" s="139" t="str">
        <f>IFERROR(__xludf.DUMMYFUNCTION("""COMPUTED_VALUE"""),"e")</f>
        <v>e</v>
      </c>
      <c r="B1513" s="139">
        <f>IFERROR(__xludf.DUMMYFUNCTION("""COMPUTED_VALUE"""),2.0250901E8)</f>
        <v>202509010</v>
      </c>
      <c r="C1513" s="139" t="str">
        <f>IFERROR(__xludf.DUMMYFUNCTION("""COMPUTED_VALUE"""),"c_kai_00001_general_Normal_Yellow_Normal_00000")</f>
        <v>c_kai_00001_general_Normal_Yellow_Normal_00000</v>
      </c>
      <c r="D1513" s="139" t="str">
        <f>IFERROR(__xludf.DUMMYFUNCTION("""COMPUTED_VALUE"""),"c_kai_00001_general_Normal_Yellow")</f>
        <v>c_kai_00001_general_Normal_Yellow</v>
      </c>
      <c r="E1513" s="139">
        <f>IFERROR(__xludf.DUMMYFUNCTION("""COMPUTED_VALUE"""),0.0)</f>
        <v>0</v>
      </c>
      <c r="F1513" s="139" t="str">
        <f>IFERROR(__xludf.DUMMYFUNCTION("""COMPUTED_VALUE"""),"Normal")</f>
        <v>Normal</v>
      </c>
      <c r="G1513" s="139"/>
      <c r="H1513" s="139"/>
      <c r="I1513" s="139">
        <f>IFERROR(__xludf.DUMMYFUNCTION("""COMPUTED_VALUE"""),92.0)</f>
        <v>92</v>
      </c>
      <c r="J1513" s="139">
        <f>IFERROR(__xludf.DUMMYFUNCTION("""COMPUTED_VALUE"""),50.0)</f>
        <v>50</v>
      </c>
      <c r="K1513" s="139">
        <f>IFERROR(__xludf.DUMMYFUNCTION("""COMPUTED_VALUE"""),75.0)</f>
        <v>75</v>
      </c>
      <c r="L1513" s="139"/>
      <c r="M1513" s="139"/>
      <c r="N1513" s="139"/>
    </row>
    <row r="1514">
      <c r="A1514" s="139" t="str">
        <f>IFERROR(__xludf.DUMMYFUNCTION("""COMPUTED_VALUE"""),"e")</f>
        <v>e</v>
      </c>
      <c r="B1514" s="139">
        <f>IFERROR(__xludf.DUMMYFUNCTION("""COMPUTED_VALUE"""),2.0250901E8)</f>
        <v>202509010</v>
      </c>
      <c r="C1514" s="139" t="str">
        <f>IFERROR(__xludf.DUMMYFUNCTION("""COMPUTED_VALUE"""),"c_kai_00001_general_Normal_Yellow_Special_00001")</f>
        <v>c_kai_00001_general_Normal_Yellow_Special_00001</v>
      </c>
      <c r="D1514" s="139" t="str">
        <f>IFERROR(__xludf.DUMMYFUNCTION("""COMPUTED_VALUE"""),"c_kai_00001_general_Normal_Yellow")</f>
        <v>c_kai_00001_general_Normal_Yellow</v>
      </c>
      <c r="E1514" s="139">
        <f>IFERROR(__xludf.DUMMYFUNCTION("""COMPUTED_VALUE"""),0.0)</f>
        <v>0</v>
      </c>
      <c r="F1514" s="139" t="str">
        <f>IFERROR(__xludf.DUMMYFUNCTION("""COMPUTED_VALUE"""),"Special")</f>
        <v>Special</v>
      </c>
      <c r="G1514" s="139"/>
      <c r="H1514" s="139"/>
      <c r="I1514" s="139">
        <f>IFERROR(__xludf.DUMMYFUNCTION("""COMPUTED_VALUE"""),117.0)</f>
        <v>117</v>
      </c>
      <c r="J1514" s="139">
        <f>IFERROR(__xludf.DUMMYFUNCTION("""COMPUTED_VALUE"""),67.0)</f>
        <v>67</v>
      </c>
      <c r="K1514" s="139">
        <f>IFERROR(__xludf.DUMMYFUNCTION("""COMPUTED_VALUE"""),0.0)</f>
        <v>0</v>
      </c>
      <c r="L1514" s="139"/>
      <c r="M1514" s="139"/>
      <c r="N1514" s="139"/>
    </row>
    <row r="1515">
      <c r="A1515" s="139" t="str">
        <f>IFERROR(__xludf.DUMMYFUNCTION("""COMPUTED_VALUE"""),"e")</f>
        <v>e</v>
      </c>
      <c r="B1515" s="139">
        <f>IFERROR(__xludf.DUMMYFUNCTION("""COMPUTED_VALUE"""),2.0250901E8)</f>
        <v>202509010</v>
      </c>
      <c r="C1515" s="139" t="str">
        <f>IFERROR(__xludf.DUMMYFUNCTION("""COMPUTED_VALUE"""),"c_kai_00002_general_Boss_Yellow_Normal_00000")</f>
        <v>c_kai_00002_general_Boss_Yellow_Normal_00000</v>
      </c>
      <c r="D1515" s="139" t="str">
        <f>IFERROR(__xludf.DUMMYFUNCTION("""COMPUTED_VALUE"""),"c_kai_00002_general_Boss_Yellow")</f>
        <v>c_kai_00002_general_Boss_Yellow</v>
      </c>
      <c r="E1515" s="139">
        <f>IFERROR(__xludf.DUMMYFUNCTION("""COMPUTED_VALUE"""),0.0)</f>
        <v>0</v>
      </c>
      <c r="F1515" s="139" t="str">
        <f>IFERROR(__xludf.DUMMYFUNCTION("""COMPUTED_VALUE"""),"Normal")</f>
        <v>Normal</v>
      </c>
      <c r="G1515" s="139"/>
      <c r="H1515" s="139"/>
      <c r="I1515" s="139">
        <f>IFERROR(__xludf.DUMMYFUNCTION("""COMPUTED_VALUE"""),75.0)</f>
        <v>75</v>
      </c>
      <c r="J1515" s="139">
        <f>IFERROR(__xludf.DUMMYFUNCTION("""COMPUTED_VALUE"""),27.0)</f>
        <v>27</v>
      </c>
      <c r="K1515" s="139">
        <f>IFERROR(__xludf.DUMMYFUNCTION("""COMPUTED_VALUE"""),100.0)</f>
        <v>100</v>
      </c>
      <c r="L1515" s="139"/>
      <c r="M1515" s="139"/>
      <c r="N1515" s="139"/>
    </row>
    <row r="1516">
      <c r="A1516" s="139" t="str">
        <f>IFERROR(__xludf.DUMMYFUNCTION("""COMPUTED_VALUE"""),"e")</f>
        <v>e</v>
      </c>
      <c r="B1516" s="139">
        <f>IFERROR(__xludf.DUMMYFUNCTION("""COMPUTED_VALUE"""),2.0250901E8)</f>
        <v>202509010</v>
      </c>
      <c r="C1516" s="139" t="str">
        <f>IFERROR(__xludf.DUMMYFUNCTION("""COMPUTED_VALUE"""),"c_kai_00002_general_Boss_Yellow_Appearance_00001")</f>
        <v>c_kai_00002_general_Boss_Yellow_Appearance_00001</v>
      </c>
      <c r="D1516" s="139" t="str">
        <f>IFERROR(__xludf.DUMMYFUNCTION("""COMPUTED_VALUE"""),"c_kai_00002_general_Boss_Yellow")</f>
        <v>c_kai_00002_general_Boss_Yellow</v>
      </c>
      <c r="E1516" s="139">
        <f>IFERROR(__xludf.DUMMYFUNCTION("""COMPUTED_VALUE"""),0.0)</f>
        <v>0</v>
      </c>
      <c r="F1516" s="139" t="str">
        <f>IFERROR(__xludf.DUMMYFUNCTION("""COMPUTED_VALUE"""),"Appearance")</f>
        <v>Appearance</v>
      </c>
      <c r="G1516" s="139"/>
      <c r="H1516" s="139"/>
      <c r="I1516" s="139">
        <f>IFERROR(__xludf.DUMMYFUNCTION("""COMPUTED_VALUE"""),50.0)</f>
        <v>50</v>
      </c>
      <c r="J1516" s="139">
        <f>IFERROR(__xludf.DUMMYFUNCTION("""COMPUTED_VALUE"""),0.0)</f>
        <v>0</v>
      </c>
      <c r="K1516" s="139">
        <f>IFERROR(__xludf.DUMMYFUNCTION("""COMPUTED_VALUE"""),0.0)</f>
        <v>0</v>
      </c>
      <c r="L1516" s="139"/>
      <c r="M1516" s="139"/>
      <c r="N1516" s="139"/>
    </row>
    <row r="1517">
      <c r="A1517" s="139" t="str">
        <f>IFERROR(__xludf.DUMMYFUNCTION("""COMPUTED_VALUE"""),"e")</f>
        <v>e</v>
      </c>
      <c r="B1517" s="139">
        <f>IFERROR(__xludf.DUMMYFUNCTION("""COMPUTED_VALUE"""),2.0250901E8)</f>
        <v>202509010</v>
      </c>
      <c r="C1517" s="139" t="str">
        <f>IFERROR(__xludf.DUMMYFUNCTION("""COMPUTED_VALUE"""),"c_kai_00002_general_Boss_Yellow_Special_00002")</f>
        <v>c_kai_00002_general_Boss_Yellow_Special_00002</v>
      </c>
      <c r="D1517" s="139" t="str">
        <f>IFERROR(__xludf.DUMMYFUNCTION("""COMPUTED_VALUE"""),"c_kai_00002_general_Boss_Yellow")</f>
        <v>c_kai_00002_general_Boss_Yellow</v>
      </c>
      <c r="E1517" s="139">
        <f>IFERROR(__xludf.DUMMYFUNCTION("""COMPUTED_VALUE"""),0.0)</f>
        <v>0</v>
      </c>
      <c r="F1517" s="139" t="str">
        <f>IFERROR(__xludf.DUMMYFUNCTION("""COMPUTED_VALUE"""),"Special")</f>
        <v>Special</v>
      </c>
      <c r="G1517" s="139"/>
      <c r="H1517" s="139"/>
      <c r="I1517" s="139">
        <f>IFERROR(__xludf.DUMMYFUNCTION("""COMPUTED_VALUE"""),120.0)</f>
        <v>120</v>
      </c>
      <c r="J1517" s="139">
        <f>IFERROR(__xludf.DUMMYFUNCTION("""COMPUTED_VALUE"""),0.0)</f>
        <v>0</v>
      </c>
      <c r="K1517" s="139">
        <f>IFERROR(__xludf.DUMMYFUNCTION("""COMPUTED_VALUE"""),0.0)</f>
        <v>0</v>
      </c>
      <c r="L1517" s="139"/>
      <c r="M1517" s="139"/>
      <c r="N1517" s="139"/>
    </row>
    <row r="1518">
      <c r="A1518" s="139" t="str">
        <f>IFERROR(__xludf.DUMMYFUNCTION("""COMPUTED_VALUE"""),"e")</f>
        <v>e</v>
      </c>
      <c r="B1518" s="139">
        <f>IFERROR(__xludf.DUMMYFUNCTION("""COMPUTED_VALUE"""),2.0250901E8)</f>
        <v>202509010</v>
      </c>
      <c r="C1518" s="139" t="str">
        <f>IFERROR(__xludf.DUMMYFUNCTION("""COMPUTED_VALUE"""),"c_kai_00301_general_Normal_Yellow_Normal_00000")</f>
        <v>c_kai_00301_general_Normal_Yellow_Normal_00000</v>
      </c>
      <c r="D1518" s="139" t="str">
        <f>IFERROR(__xludf.DUMMYFUNCTION("""COMPUTED_VALUE"""),"c_kai_00301_general_Normal_Yellow")</f>
        <v>c_kai_00301_general_Normal_Yellow</v>
      </c>
      <c r="E1518" s="139">
        <f>IFERROR(__xludf.DUMMYFUNCTION("""COMPUTED_VALUE"""),0.0)</f>
        <v>0</v>
      </c>
      <c r="F1518" s="139" t="str">
        <f>IFERROR(__xludf.DUMMYFUNCTION("""COMPUTED_VALUE"""),"Normal")</f>
        <v>Normal</v>
      </c>
      <c r="G1518" s="139"/>
      <c r="H1518" s="139"/>
      <c r="I1518" s="139">
        <f>IFERROR(__xludf.DUMMYFUNCTION("""COMPUTED_VALUE"""),102.0)</f>
        <v>102</v>
      </c>
      <c r="J1518" s="139">
        <f>IFERROR(__xludf.DUMMYFUNCTION("""COMPUTED_VALUE"""),35.0)</f>
        <v>35</v>
      </c>
      <c r="K1518" s="139">
        <f>IFERROR(__xludf.DUMMYFUNCTION("""COMPUTED_VALUE"""),75.0)</f>
        <v>75</v>
      </c>
      <c r="L1518" s="139"/>
      <c r="M1518" s="139"/>
      <c r="N1518" s="139"/>
    </row>
    <row r="1519">
      <c r="A1519" s="139" t="str">
        <f>IFERROR(__xludf.DUMMYFUNCTION("""COMPUTED_VALUE"""),"e")</f>
        <v>e</v>
      </c>
      <c r="B1519" s="139">
        <f>IFERROR(__xludf.DUMMYFUNCTION("""COMPUTED_VALUE"""),2.0250901E8)</f>
        <v>202509010</v>
      </c>
      <c r="C1519" s="139" t="str">
        <f>IFERROR(__xludf.DUMMYFUNCTION("""COMPUTED_VALUE"""),"c_kai_00301_general_Normal_Yellow_Special_00001")</f>
        <v>c_kai_00301_general_Normal_Yellow_Special_00001</v>
      </c>
      <c r="D1519" s="139" t="str">
        <f>IFERROR(__xludf.DUMMYFUNCTION("""COMPUTED_VALUE"""),"c_kai_00301_general_Normal_Yellow")</f>
        <v>c_kai_00301_general_Normal_Yellow</v>
      </c>
      <c r="E1519" s="139">
        <f>IFERROR(__xludf.DUMMYFUNCTION("""COMPUTED_VALUE"""),0.0)</f>
        <v>0</v>
      </c>
      <c r="F1519" s="139" t="str">
        <f>IFERROR(__xludf.DUMMYFUNCTION("""COMPUTED_VALUE"""),"Special")</f>
        <v>Special</v>
      </c>
      <c r="G1519" s="139"/>
      <c r="H1519" s="139"/>
      <c r="I1519" s="139">
        <f>IFERROR(__xludf.DUMMYFUNCTION("""COMPUTED_VALUE"""),167.0)</f>
        <v>167</v>
      </c>
      <c r="J1519" s="139">
        <f>IFERROR(__xludf.DUMMYFUNCTION("""COMPUTED_VALUE"""),54.0)</f>
        <v>54</v>
      </c>
      <c r="K1519" s="139">
        <f>IFERROR(__xludf.DUMMYFUNCTION("""COMPUTED_VALUE"""),0.0)</f>
        <v>0</v>
      </c>
      <c r="L1519" s="139"/>
      <c r="M1519" s="139"/>
      <c r="N1519" s="139"/>
    </row>
    <row r="1520">
      <c r="A1520" s="139"/>
      <c r="B1520" s="139"/>
      <c r="C1520" s="139"/>
      <c r="D1520" s="139"/>
      <c r="E1520" s="139"/>
      <c r="F1520" s="139"/>
      <c r="G1520" s="139"/>
      <c r="H1520" s="139"/>
      <c r="I1520" s="139"/>
      <c r="J1520" s="139"/>
      <c r="K1520" s="139"/>
      <c r="L1520" s="139"/>
      <c r="M1520" s="139"/>
      <c r="N1520" s="139"/>
    </row>
    <row r="1521">
      <c r="A1521" s="139" t="str">
        <f>IFERROR(__xludf.DUMMYFUNCTION("""COMPUTED_VALUE"""),"e")</f>
        <v>e</v>
      </c>
      <c r="B1521" s="139">
        <f>IFERROR(__xludf.DUMMYFUNCTION("""COMPUTED_VALUE"""),2.0250901E8)</f>
        <v>202509010</v>
      </c>
      <c r="C1521" s="139" t="str">
        <f>IFERROR(__xludf.DUMMYFUNCTION("""COMPUTED_VALUE"""),"e_glo_00001_general_kai_vh_Normal_Red_Normal_00000")</f>
        <v>e_glo_00001_general_kai_vh_Normal_Red_Normal_00000</v>
      </c>
      <c r="D1521" s="139" t="str">
        <f>IFERROR(__xludf.DUMMYFUNCTION("""COMPUTED_VALUE"""),"e_glo_00001_general_kai_vh_Normal_Red")</f>
        <v>e_glo_00001_general_kai_vh_Normal_Red</v>
      </c>
      <c r="E1521" s="139">
        <f>IFERROR(__xludf.DUMMYFUNCTION("""COMPUTED_VALUE"""),0.0)</f>
        <v>0</v>
      </c>
      <c r="F1521" s="139" t="str">
        <f>IFERROR(__xludf.DUMMYFUNCTION("""COMPUTED_VALUE"""),"Normal")</f>
        <v>Normal</v>
      </c>
      <c r="G1521" s="139"/>
      <c r="H1521" s="139"/>
      <c r="I1521" s="139">
        <f>IFERROR(__xludf.DUMMYFUNCTION("""COMPUTED_VALUE"""),50.0)</f>
        <v>50</v>
      </c>
      <c r="J1521" s="139">
        <f>IFERROR(__xludf.DUMMYFUNCTION("""COMPUTED_VALUE"""),25.0)</f>
        <v>25</v>
      </c>
      <c r="K1521" s="139">
        <f>IFERROR(__xludf.DUMMYFUNCTION("""COMPUTED_VALUE"""),35.0)</f>
        <v>35</v>
      </c>
      <c r="L1521" s="139"/>
      <c r="M1521" s="139"/>
      <c r="N1521" s="139"/>
    </row>
    <row r="1522">
      <c r="A1522" s="139" t="str">
        <f>IFERROR(__xludf.DUMMYFUNCTION("""COMPUTED_VALUE"""),"e")</f>
        <v>e</v>
      </c>
      <c r="B1522" s="139">
        <f>IFERROR(__xludf.DUMMYFUNCTION("""COMPUTED_VALUE"""),2.0250901E8)</f>
        <v>202509010</v>
      </c>
      <c r="C1522" s="139" t="str">
        <f>IFERROR(__xludf.DUMMYFUNCTION("""COMPUTED_VALUE"""),"e_glo_00001_general_kai_vh_Normal_Blue_Normal_00000")</f>
        <v>e_glo_00001_general_kai_vh_Normal_Blue_Normal_00000</v>
      </c>
      <c r="D1522" s="139" t="str">
        <f>IFERROR(__xludf.DUMMYFUNCTION("""COMPUTED_VALUE"""),"e_glo_00001_general_kai_vh_Normal_Blue")</f>
        <v>e_glo_00001_general_kai_vh_Normal_Blue</v>
      </c>
      <c r="E1522" s="139">
        <f>IFERROR(__xludf.DUMMYFUNCTION("""COMPUTED_VALUE"""),0.0)</f>
        <v>0</v>
      </c>
      <c r="F1522" s="139" t="str">
        <f>IFERROR(__xludf.DUMMYFUNCTION("""COMPUTED_VALUE"""),"Normal")</f>
        <v>Normal</v>
      </c>
      <c r="G1522" s="139"/>
      <c r="H1522" s="139"/>
      <c r="I1522" s="139">
        <f>IFERROR(__xludf.DUMMYFUNCTION("""COMPUTED_VALUE"""),50.0)</f>
        <v>50</v>
      </c>
      <c r="J1522" s="139">
        <f>IFERROR(__xludf.DUMMYFUNCTION("""COMPUTED_VALUE"""),25.0)</f>
        <v>25</v>
      </c>
      <c r="K1522" s="139">
        <f>IFERROR(__xludf.DUMMYFUNCTION("""COMPUTED_VALUE"""),35.0)</f>
        <v>35</v>
      </c>
      <c r="L1522" s="139"/>
      <c r="M1522" s="139"/>
      <c r="N1522" s="139"/>
    </row>
    <row r="1523">
      <c r="A1523" s="139" t="str">
        <f>IFERROR(__xludf.DUMMYFUNCTION("""COMPUTED_VALUE"""),"e")</f>
        <v>e</v>
      </c>
      <c r="B1523" s="139">
        <f>IFERROR(__xludf.DUMMYFUNCTION("""COMPUTED_VALUE"""),2.0250901E8)</f>
        <v>202509010</v>
      </c>
      <c r="C1523" s="139" t="str">
        <f>IFERROR(__xludf.DUMMYFUNCTION("""COMPUTED_VALUE"""),"e_glo_00001_general_kai_vh_Normal_Green_Normal_00000")</f>
        <v>e_glo_00001_general_kai_vh_Normal_Green_Normal_00000</v>
      </c>
      <c r="D1523" s="139" t="str">
        <f>IFERROR(__xludf.DUMMYFUNCTION("""COMPUTED_VALUE"""),"e_glo_00001_general_kai_vh_Normal_Green")</f>
        <v>e_glo_00001_general_kai_vh_Normal_Green</v>
      </c>
      <c r="E1523" s="139">
        <f>IFERROR(__xludf.DUMMYFUNCTION("""COMPUTED_VALUE"""),0.0)</f>
        <v>0</v>
      </c>
      <c r="F1523" s="139" t="str">
        <f>IFERROR(__xludf.DUMMYFUNCTION("""COMPUTED_VALUE"""),"Normal")</f>
        <v>Normal</v>
      </c>
      <c r="G1523" s="139"/>
      <c r="H1523" s="139"/>
      <c r="I1523" s="139">
        <f>IFERROR(__xludf.DUMMYFUNCTION("""COMPUTED_VALUE"""),50.0)</f>
        <v>50</v>
      </c>
      <c r="J1523" s="139">
        <f>IFERROR(__xludf.DUMMYFUNCTION("""COMPUTED_VALUE"""),25.0)</f>
        <v>25</v>
      </c>
      <c r="K1523" s="139">
        <f>IFERROR(__xludf.DUMMYFUNCTION("""COMPUTED_VALUE"""),35.0)</f>
        <v>35</v>
      </c>
      <c r="L1523" s="139"/>
      <c r="M1523" s="139"/>
      <c r="N1523" s="139"/>
    </row>
    <row r="1524">
      <c r="A1524" s="139" t="str">
        <f>IFERROR(__xludf.DUMMYFUNCTION("""COMPUTED_VALUE"""),"e")</f>
        <v>e</v>
      </c>
      <c r="B1524" s="139">
        <f>IFERROR(__xludf.DUMMYFUNCTION("""COMPUTED_VALUE"""),2.0250901E8)</f>
        <v>202509010</v>
      </c>
      <c r="C1524" s="139" t="str">
        <f>IFERROR(__xludf.DUMMYFUNCTION("""COMPUTED_VALUE"""),"e_glo_00001_general_kai_vh_big_Normal_Red_Normal_00000")</f>
        <v>e_glo_00001_general_kai_vh_big_Normal_Red_Normal_00000</v>
      </c>
      <c r="D1524" s="139" t="str">
        <f>IFERROR(__xludf.DUMMYFUNCTION("""COMPUTED_VALUE"""),"e_glo_00001_general_kai_vh_big_Normal_Red")</f>
        <v>e_glo_00001_general_kai_vh_big_Normal_Red</v>
      </c>
      <c r="E1524" s="139">
        <f>IFERROR(__xludf.DUMMYFUNCTION("""COMPUTED_VALUE"""),0.0)</f>
        <v>0</v>
      </c>
      <c r="F1524" s="139" t="str">
        <f>IFERROR(__xludf.DUMMYFUNCTION("""COMPUTED_VALUE"""),"Normal")</f>
        <v>Normal</v>
      </c>
      <c r="G1524" s="139"/>
      <c r="H1524" s="139"/>
      <c r="I1524" s="139">
        <f>IFERROR(__xludf.DUMMYFUNCTION("""COMPUTED_VALUE"""),50.0)</f>
        <v>50</v>
      </c>
      <c r="J1524" s="139">
        <f>IFERROR(__xludf.DUMMYFUNCTION("""COMPUTED_VALUE"""),25.0)</f>
        <v>25</v>
      </c>
      <c r="K1524" s="139">
        <f>IFERROR(__xludf.DUMMYFUNCTION("""COMPUTED_VALUE"""),20.0)</f>
        <v>20</v>
      </c>
      <c r="L1524" s="139"/>
      <c r="M1524" s="139"/>
      <c r="N1524" s="139"/>
    </row>
    <row r="1525">
      <c r="A1525" s="139" t="str">
        <f>IFERROR(__xludf.DUMMYFUNCTION("""COMPUTED_VALUE"""),"e")</f>
        <v>e</v>
      </c>
      <c r="B1525" s="139">
        <f>IFERROR(__xludf.DUMMYFUNCTION("""COMPUTED_VALUE"""),2.0250901E8)</f>
        <v>202509010</v>
      </c>
      <c r="C1525" s="139" t="str">
        <f>IFERROR(__xludf.DUMMYFUNCTION("""COMPUTED_VALUE"""),"e_glo_00001_general_kai_vh_big_Normal_Green_Normal_00000")</f>
        <v>e_glo_00001_general_kai_vh_big_Normal_Green_Normal_00000</v>
      </c>
      <c r="D1525" s="139" t="str">
        <f>IFERROR(__xludf.DUMMYFUNCTION("""COMPUTED_VALUE"""),"e_glo_00001_general_kai_vh_big_Normal_Green")</f>
        <v>e_glo_00001_general_kai_vh_big_Normal_Green</v>
      </c>
      <c r="E1525" s="139">
        <f>IFERROR(__xludf.DUMMYFUNCTION("""COMPUTED_VALUE"""),0.0)</f>
        <v>0</v>
      </c>
      <c r="F1525" s="139" t="str">
        <f>IFERROR(__xludf.DUMMYFUNCTION("""COMPUTED_VALUE"""),"Normal")</f>
        <v>Normal</v>
      </c>
      <c r="G1525" s="139"/>
      <c r="H1525" s="139"/>
      <c r="I1525" s="139">
        <f>IFERROR(__xludf.DUMMYFUNCTION("""COMPUTED_VALUE"""),50.0)</f>
        <v>50</v>
      </c>
      <c r="J1525" s="139">
        <f>IFERROR(__xludf.DUMMYFUNCTION("""COMPUTED_VALUE"""),25.0)</f>
        <v>25</v>
      </c>
      <c r="K1525" s="139">
        <f>IFERROR(__xludf.DUMMYFUNCTION("""COMPUTED_VALUE"""),20.0)</f>
        <v>20</v>
      </c>
      <c r="L1525" s="139"/>
      <c r="M1525" s="139"/>
      <c r="N1525" s="139"/>
    </row>
    <row r="1526">
      <c r="A1526" s="139" t="str">
        <f>IFERROR(__xludf.DUMMYFUNCTION("""COMPUTED_VALUE"""),"e")</f>
        <v>e</v>
      </c>
      <c r="B1526" s="139">
        <f>IFERROR(__xludf.DUMMYFUNCTION("""COMPUTED_VALUE"""),2.0250901E8)</f>
        <v>202509010</v>
      </c>
      <c r="C1526" s="139" t="str">
        <f>IFERROR(__xludf.DUMMYFUNCTION("""COMPUTED_VALUE"""),"e_kai_00301_general_kai_vh_Normal_Green_Normal_00000")</f>
        <v>e_kai_00301_general_kai_vh_Normal_Green_Normal_00000</v>
      </c>
      <c r="D1526" s="139" t="str">
        <f>IFERROR(__xludf.DUMMYFUNCTION("""COMPUTED_VALUE"""),"e_kai_00301_general_kai_vh_Normal_Green")</f>
        <v>e_kai_00301_general_kai_vh_Normal_Green</v>
      </c>
      <c r="E1526" s="139">
        <f>IFERROR(__xludf.DUMMYFUNCTION("""COMPUTED_VALUE"""),0.0)</f>
        <v>0</v>
      </c>
      <c r="F1526" s="139" t="str">
        <f>IFERROR(__xludf.DUMMYFUNCTION("""COMPUTED_VALUE"""),"Normal")</f>
        <v>Normal</v>
      </c>
      <c r="G1526" s="139"/>
      <c r="H1526" s="139"/>
      <c r="I1526" s="139">
        <f>IFERROR(__xludf.DUMMYFUNCTION("""COMPUTED_VALUE"""),50.0)</f>
        <v>50</v>
      </c>
      <c r="J1526" s="139">
        <f>IFERROR(__xludf.DUMMYFUNCTION("""COMPUTED_VALUE"""),20.0)</f>
        <v>20</v>
      </c>
      <c r="K1526" s="139">
        <f>IFERROR(__xludf.DUMMYFUNCTION("""COMPUTED_VALUE"""),125.0)</f>
        <v>125</v>
      </c>
      <c r="L1526" s="139"/>
      <c r="M1526" s="139"/>
      <c r="N1526" s="139"/>
    </row>
    <row r="1527">
      <c r="A1527" s="139" t="str">
        <f>IFERROR(__xludf.DUMMYFUNCTION("""COMPUTED_VALUE"""),"e")</f>
        <v>e</v>
      </c>
      <c r="B1527" s="139">
        <f>IFERROR(__xludf.DUMMYFUNCTION("""COMPUTED_VALUE"""),2.0250901E8)</f>
        <v>202509010</v>
      </c>
      <c r="C1527" s="139" t="str">
        <f>IFERROR(__xludf.DUMMYFUNCTION("""COMPUTED_VALUE"""),"e_kai_00301_general_kai_vh_Normal_Yellow_Normal_00000")</f>
        <v>e_kai_00301_general_kai_vh_Normal_Yellow_Normal_00000</v>
      </c>
      <c r="D1527" s="139" t="str">
        <f>IFERROR(__xludf.DUMMYFUNCTION("""COMPUTED_VALUE"""),"e_kai_00301_general_kai_vh_Normal_Yellow")</f>
        <v>e_kai_00301_general_kai_vh_Normal_Yellow</v>
      </c>
      <c r="E1527" s="139">
        <f>IFERROR(__xludf.DUMMYFUNCTION("""COMPUTED_VALUE"""),0.0)</f>
        <v>0</v>
      </c>
      <c r="F1527" s="139" t="str">
        <f>IFERROR(__xludf.DUMMYFUNCTION("""COMPUTED_VALUE"""),"Normal")</f>
        <v>Normal</v>
      </c>
      <c r="G1527" s="139"/>
      <c r="H1527" s="139"/>
      <c r="I1527" s="139">
        <f>IFERROR(__xludf.DUMMYFUNCTION("""COMPUTED_VALUE"""),50.0)</f>
        <v>50</v>
      </c>
      <c r="J1527" s="139">
        <f>IFERROR(__xludf.DUMMYFUNCTION("""COMPUTED_VALUE"""),20.0)</f>
        <v>20</v>
      </c>
      <c r="K1527" s="139">
        <f>IFERROR(__xludf.DUMMYFUNCTION("""COMPUTED_VALUE"""),125.0)</f>
        <v>125</v>
      </c>
      <c r="L1527" s="139"/>
      <c r="M1527" s="139"/>
      <c r="N1527" s="139"/>
    </row>
    <row r="1528">
      <c r="A1528" s="139" t="str">
        <f>IFERROR(__xludf.DUMMYFUNCTION("""COMPUTED_VALUE"""),"e")</f>
        <v>e</v>
      </c>
      <c r="B1528" s="139">
        <f>IFERROR(__xludf.DUMMYFUNCTION("""COMPUTED_VALUE"""),2.0250901E8)</f>
        <v>202509010</v>
      </c>
      <c r="C1528" s="139" t="str">
        <f>IFERROR(__xludf.DUMMYFUNCTION("""COMPUTED_VALUE"""),"e_kai_00301_general_kai_vh_Boss_Green_Normal_00000")</f>
        <v>e_kai_00301_general_kai_vh_Boss_Green_Normal_00000</v>
      </c>
      <c r="D1528" s="139" t="str">
        <f>IFERROR(__xludf.DUMMYFUNCTION("""COMPUTED_VALUE"""),"e_kai_00301_general_kai_vh_Boss_Green")</f>
        <v>e_kai_00301_general_kai_vh_Boss_Green</v>
      </c>
      <c r="E1528" s="139">
        <f>IFERROR(__xludf.DUMMYFUNCTION("""COMPUTED_VALUE"""),0.0)</f>
        <v>0</v>
      </c>
      <c r="F1528" s="139" t="str">
        <f>IFERROR(__xludf.DUMMYFUNCTION("""COMPUTED_VALUE"""),"Normal")</f>
        <v>Normal</v>
      </c>
      <c r="G1528" s="139"/>
      <c r="H1528" s="139"/>
      <c r="I1528" s="139">
        <f>IFERROR(__xludf.DUMMYFUNCTION("""COMPUTED_VALUE"""),50.0)</f>
        <v>50</v>
      </c>
      <c r="J1528" s="139">
        <f>IFERROR(__xludf.DUMMYFUNCTION("""COMPUTED_VALUE"""),20.0)</f>
        <v>20</v>
      </c>
      <c r="K1528" s="139">
        <f>IFERROR(__xludf.DUMMYFUNCTION("""COMPUTED_VALUE"""),125.0)</f>
        <v>125</v>
      </c>
      <c r="L1528" s="139"/>
      <c r="M1528" s="139"/>
      <c r="N1528" s="139"/>
    </row>
    <row r="1529">
      <c r="A1529" s="139" t="str">
        <f>IFERROR(__xludf.DUMMYFUNCTION("""COMPUTED_VALUE"""),"e")</f>
        <v>e</v>
      </c>
      <c r="B1529" s="139">
        <f>IFERROR(__xludf.DUMMYFUNCTION("""COMPUTED_VALUE"""),2.0250901E8)</f>
        <v>202509010</v>
      </c>
      <c r="C1529" s="139" t="str">
        <f>IFERROR(__xludf.DUMMYFUNCTION("""COMPUTED_VALUE"""),"e_kai_00301_general_kai_vh_Boss_Green_Appearance_00001")</f>
        <v>e_kai_00301_general_kai_vh_Boss_Green_Appearance_00001</v>
      </c>
      <c r="D1529" s="139" t="str">
        <f>IFERROR(__xludf.DUMMYFUNCTION("""COMPUTED_VALUE"""),"e_kai_00301_general_kai_vh_Boss_Green")</f>
        <v>e_kai_00301_general_kai_vh_Boss_Green</v>
      </c>
      <c r="E1529" s="139">
        <f>IFERROR(__xludf.DUMMYFUNCTION("""COMPUTED_VALUE"""),0.0)</f>
        <v>0</v>
      </c>
      <c r="F1529" s="139" t="str">
        <f>IFERROR(__xludf.DUMMYFUNCTION("""COMPUTED_VALUE"""),"Appearance")</f>
        <v>Appearance</v>
      </c>
      <c r="G1529" s="139"/>
      <c r="H1529" s="139"/>
      <c r="I1529" s="139">
        <f>IFERROR(__xludf.DUMMYFUNCTION("""COMPUTED_VALUE"""),50.0)</f>
        <v>50</v>
      </c>
      <c r="J1529" s="139">
        <f>IFERROR(__xludf.DUMMYFUNCTION("""COMPUTED_VALUE"""),0.0)</f>
        <v>0</v>
      </c>
      <c r="K1529" s="139">
        <f>IFERROR(__xludf.DUMMYFUNCTION("""COMPUTED_VALUE"""),0.0)</f>
        <v>0</v>
      </c>
      <c r="L1529" s="139"/>
      <c r="M1529" s="139"/>
      <c r="N1529" s="139"/>
    </row>
    <row r="1530">
      <c r="A1530" s="139" t="str">
        <f>IFERROR(__xludf.DUMMYFUNCTION("""COMPUTED_VALUE"""),"e")</f>
        <v>e</v>
      </c>
      <c r="B1530" s="139">
        <f>IFERROR(__xludf.DUMMYFUNCTION("""COMPUTED_VALUE"""),2.0250901E8)</f>
        <v>202509010</v>
      </c>
      <c r="C1530" s="139" t="str">
        <f>IFERROR(__xludf.DUMMYFUNCTION("""COMPUTED_VALUE"""),"e_kai_00301_general_kai_vh_Normal_Blue_Normal_00000")</f>
        <v>e_kai_00301_general_kai_vh_Normal_Blue_Normal_00000</v>
      </c>
      <c r="D1530" s="139" t="str">
        <f>IFERROR(__xludf.DUMMYFUNCTION("""COMPUTED_VALUE"""),"e_kai_00301_general_kai_vh_Normal_Blue")</f>
        <v>e_kai_00301_general_kai_vh_Normal_Blue</v>
      </c>
      <c r="E1530" s="139">
        <f>IFERROR(__xludf.DUMMYFUNCTION("""COMPUTED_VALUE"""),0.0)</f>
        <v>0</v>
      </c>
      <c r="F1530" s="139" t="str">
        <f>IFERROR(__xludf.DUMMYFUNCTION("""COMPUTED_VALUE"""),"Normal")</f>
        <v>Normal</v>
      </c>
      <c r="G1530" s="139"/>
      <c r="H1530" s="139"/>
      <c r="I1530" s="139">
        <f>IFERROR(__xludf.DUMMYFUNCTION("""COMPUTED_VALUE"""),50.0)</f>
        <v>50</v>
      </c>
      <c r="J1530" s="139">
        <f>IFERROR(__xludf.DUMMYFUNCTION("""COMPUTED_VALUE"""),20.0)</f>
        <v>20</v>
      </c>
      <c r="K1530" s="139">
        <f>IFERROR(__xludf.DUMMYFUNCTION("""COMPUTED_VALUE"""),125.0)</f>
        <v>125</v>
      </c>
      <c r="L1530" s="139"/>
      <c r="M1530" s="139"/>
      <c r="N1530" s="139"/>
    </row>
    <row r="1531">
      <c r="A1531" s="139" t="str">
        <f>IFERROR(__xludf.DUMMYFUNCTION("""COMPUTED_VALUE"""),"e")</f>
        <v>e</v>
      </c>
      <c r="B1531" s="139">
        <f>IFERROR(__xludf.DUMMYFUNCTION("""COMPUTED_VALUE"""),2.0250901E8)</f>
        <v>202509010</v>
      </c>
      <c r="C1531" s="139" t="str">
        <f>IFERROR(__xludf.DUMMYFUNCTION("""COMPUTED_VALUE"""),"e_kai_00001_general_kai_vh_Normal_Green_Normal_00000")</f>
        <v>e_kai_00001_general_kai_vh_Normal_Green_Normal_00000</v>
      </c>
      <c r="D1531" s="139" t="str">
        <f>IFERROR(__xludf.DUMMYFUNCTION("""COMPUTED_VALUE"""),"e_kai_00001_general_kai_vh_Normal_Green")</f>
        <v>e_kai_00001_general_kai_vh_Normal_Green</v>
      </c>
      <c r="E1531" s="139">
        <f>IFERROR(__xludf.DUMMYFUNCTION("""COMPUTED_VALUE"""),0.0)</f>
        <v>0</v>
      </c>
      <c r="F1531" s="139" t="str">
        <f>IFERROR(__xludf.DUMMYFUNCTION("""COMPUTED_VALUE"""),"Normal")</f>
        <v>Normal</v>
      </c>
      <c r="G1531" s="139"/>
      <c r="H1531" s="139"/>
      <c r="I1531" s="139">
        <f>IFERROR(__xludf.DUMMYFUNCTION("""COMPUTED_VALUE"""),92.0)</f>
        <v>92</v>
      </c>
      <c r="J1531" s="139">
        <f>IFERROR(__xludf.DUMMYFUNCTION("""COMPUTED_VALUE"""),50.0)</f>
        <v>50</v>
      </c>
      <c r="K1531" s="139">
        <f>IFERROR(__xludf.DUMMYFUNCTION("""COMPUTED_VALUE"""),75.0)</f>
        <v>75</v>
      </c>
      <c r="L1531" s="139"/>
      <c r="M1531" s="139"/>
      <c r="N1531" s="139"/>
    </row>
    <row r="1532">
      <c r="A1532" s="139" t="str">
        <f>IFERROR(__xludf.DUMMYFUNCTION("""COMPUTED_VALUE"""),"e")</f>
        <v>e</v>
      </c>
      <c r="B1532" s="139">
        <f>IFERROR(__xludf.DUMMYFUNCTION("""COMPUTED_VALUE"""),2.0250901E8)</f>
        <v>202509010</v>
      </c>
      <c r="C1532" s="139" t="str">
        <f>IFERROR(__xludf.DUMMYFUNCTION("""COMPUTED_VALUE"""),"e_kai_00001_general_kai_vh_Normal_Blue_Normal_00000")</f>
        <v>e_kai_00001_general_kai_vh_Normal_Blue_Normal_00000</v>
      </c>
      <c r="D1532" s="139" t="str">
        <f>IFERROR(__xludf.DUMMYFUNCTION("""COMPUTED_VALUE"""),"e_kai_00001_general_kai_vh_Normal_Blue")</f>
        <v>e_kai_00001_general_kai_vh_Normal_Blue</v>
      </c>
      <c r="E1532" s="139">
        <f>IFERROR(__xludf.DUMMYFUNCTION("""COMPUTED_VALUE"""),0.0)</f>
        <v>0</v>
      </c>
      <c r="F1532" s="139" t="str">
        <f>IFERROR(__xludf.DUMMYFUNCTION("""COMPUTED_VALUE"""),"Normal")</f>
        <v>Normal</v>
      </c>
      <c r="G1532" s="139"/>
      <c r="H1532" s="139"/>
      <c r="I1532" s="139">
        <f>IFERROR(__xludf.DUMMYFUNCTION("""COMPUTED_VALUE"""),92.0)</f>
        <v>92</v>
      </c>
      <c r="J1532" s="139">
        <f>IFERROR(__xludf.DUMMYFUNCTION("""COMPUTED_VALUE"""),50.0)</f>
        <v>50</v>
      </c>
      <c r="K1532" s="139">
        <f>IFERROR(__xludf.DUMMYFUNCTION("""COMPUTED_VALUE"""),125.0)</f>
        <v>125</v>
      </c>
      <c r="L1532" s="139"/>
      <c r="M1532" s="139"/>
      <c r="N1532" s="139"/>
    </row>
    <row r="1533">
      <c r="A1533" s="139" t="str">
        <f>IFERROR(__xludf.DUMMYFUNCTION("""COMPUTED_VALUE"""),"e")</f>
        <v>e</v>
      </c>
      <c r="B1533" s="139">
        <f>IFERROR(__xludf.DUMMYFUNCTION("""COMPUTED_VALUE"""),2.0250901E8)</f>
        <v>202509010</v>
      </c>
      <c r="C1533" s="139" t="str">
        <f>IFERROR(__xludf.DUMMYFUNCTION("""COMPUTED_VALUE"""),"e_kai_00001_general_kai_vh_Boss_Green_Normal_00000")</f>
        <v>e_kai_00001_general_kai_vh_Boss_Green_Normal_00000</v>
      </c>
      <c r="D1533" s="139" t="str">
        <f>IFERROR(__xludf.DUMMYFUNCTION("""COMPUTED_VALUE"""),"e_kai_00001_general_kai_vh_Boss_Green")</f>
        <v>e_kai_00001_general_kai_vh_Boss_Green</v>
      </c>
      <c r="E1533" s="139">
        <f>IFERROR(__xludf.DUMMYFUNCTION("""COMPUTED_VALUE"""),0.0)</f>
        <v>0</v>
      </c>
      <c r="F1533" s="139" t="str">
        <f>IFERROR(__xludf.DUMMYFUNCTION("""COMPUTED_VALUE"""),"Normal")</f>
        <v>Normal</v>
      </c>
      <c r="G1533" s="139"/>
      <c r="H1533" s="139"/>
      <c r="I1533" s="139">
        <f>IFERROR(__xludf.DUMMYFUNCTION("""COMPUTED_VALUE"""),92.0)</f>
        <v>92</v>
      </c>
      <c r="J1533" s="139">
        <f>IFERROR(__xludf.DUMMYFUNCTION("""COMPUTED_VALUE"""),50.0)</f>
        <v>50</v>
      </c>
      <c r="K1533" s="139">
        <f>IFERROR(__xludf.DUMMYFUNCTION("""COMPUTED_VALUE"""),125.0)</f>
        <v>125</v>
      </c>
      <c r="L1533" s="139"/>
      <c r="M1533" s="139"/>
      <c r="N1533" s="139"/>
    </row>
    <row r="1534">
      <c r="A1534" s="139" t="str">
        <f>IFERROR(__xludf.DUMMYFUNCTION("""COMPUTED_VALUE"""),"e")</f>
        <v>e</v>
      </c>
      <c r="B1534" s="139">
        <f>IFERROR(__xludf.DUMMYFUNCTION("""COMPUTED_VALUE"""),2.0250901E8)</f>
        <v>202509010</v>
      </c>
      <c r="C1534" s="139" t="str">
        <f>IFERROR(__xludf.DUMMYFUNCTION("""COMPUTED_VALUE"""),"e_kai_00001_general_kai_vh_Boss_Green_Appearance_00001")</f>
        <v>e_kai_00001_general_kai_vh_Boss_Green_Appearance_00001</v>
      </c>
      <c r="D1534" s="139" t="str">
        <f>IFERROR(__xludf.DUMMYFUNCTION("""COMPUTED_VALUE"""),"e_kai_00001_general_kai_vh_Boss_Green")</f>
        <v>e_kai_00001_general_kai_vh_Boss_Green</v>
      </c>
      <c r="E1534" s="139">
        <f>IFERROR(__xludf.DUMMYFUNCTION("""COMPUTED_VALUE"""),0.0)</f>
        <v>0</v>
      </c>
      <c r="F1534" s="139" t="str">
        <f>IFERROR(__xludf.DUMMYFUNCTION("""COMPUTED_VALUE"""),"Appearance")</f>
        <v>Appearance</v>
      </c>
      <c r="G1534" s="139"/>
      <c r="H1534" s="139"/>
      <c r="I1534" s="139">
        <f>IFERROR(__xludf.DUMMYFUNCTION("""COMPUTED_VALUE"""),50.0)</f>
        <v>50</v>
      </c>
      <c r="J1534" s="139">
        <f>IFERROR(__xludf.DUMMYFUNCTION("""COMPUTED_VALUE"""),0.0)</f>
        <v>0</v>
      </c>
      <c r="K1534" s="139">
        <f>IFERROR(__xludf.DUMMYFUNCTION("""COMPUTED_VALUE"""),0.0)</f>
        <v>0</v>
      </c>
      <c r="L1534" s="139"/>
      <c r="M1534" s="139"/>
      <c r="N1534" s="139"/>
    </row>
    <row r="1535">
      <c r="A1535" s="139" t="str">
        <f>IFERROR(__xludf.DUMMYFUNCTION("""COMPUTED_VALUE"""),"e")</f>
        <v>e</v>
      </c>
      <c r="B1535" s="139">
        <f>IFERROR(__xludf.DUMMYFUNCTION("""COMPUTED_VALUE"""),2.0250901E8)</f>
        <v>202509010</v>
      </c>
      <c r="C1535" s="139" t="str">
        <f>IFERROR(__xludf.DUMMYFUNCTION("""COMPUTED_VALUE"""),"e_kai_00001_general_kai_vh_Boss_Blue_Normal_00000")</f>
        <v>e_kai_00001_general_kai_vh_Boss_Blue_Normal_00000</v>
      </c>
      <c r="D1535" s="139" t="str">
        <f>IFERROR(__xludf.DUMMYFUNCTION("""COMPUTED_VALUE"""),"e_kai_00001_general_kai_vh_Boss_Blue")</f>
        <v>e_kai_00001_general_kai_vh_Boss_Blue</v>
      </c>
      <c r="E1535" s="139">
        <f>IFERROR(__xludf.DUMMYFUNCTION("""COMPUTED_VALUE"""),0.0)</f>
        <v>0</v>
      </c>
      <c r="F1535" s="139" t="str">
        <f>IFERROR(__xludf.DUMMYFUNCTION("""COMPUTED_VALUE"""),"Normal")</f>
        <v>Normal</v>
      </c>
      <c r="G1535" s="139"/>
      <c r="H1535" s="139"/>
      <c r="I1535" s="139">
        <f>IFERROR(__xludf.DUMMYFUNCTION("""COMPUTED_VALUE"""),92.0)</f>
        <v>92</v>
      </c>
      <c r="J1535" s="139">
        <f>IFERROR(__xludf.DUMMYFUNCTION("""COMPUTED_VALUE"""),50.0)</f>
        <v>50</v>
      </c>
      <c r="K1535" s="139">
        <f>IFERROR(__xludf.DUMMYFUNCTION("""COMPUTED_VALUE"""),125.0)</f>
        <v>125</v>
      </c>
      <c r="L1535" s="139"/>
      <c r="M1535" s="139"/>
      <c r="N1535" s="139"/>
    </row>
    <row r="1536">
      <c r="A1536" s="139" t="str">
        <f>IFERROR(__xludf.DUMMYFUNCTION("""COMPUTED_VALUE"""),"e")</f>
        <v>e</v>
      </c>
      <c r="B1536" s="139">
        <f>IFERROR(__xludf.DUMMYFUNCTION("""COMPUTED_VALUE"""),2.0250901E8)</f>
        <v>202509010</v>
      </c>
      <c r="C1536" s="139" t="str">
        <f>IFERROR(__xludf.DUMMYFUNCTION("""COMPUTED_VALUE"""),"e_kai_00001_general_kai_vh_Boss_Blue_Appearance_00001")</f>
        <v>e_kai_00001_general_kai_vh_Boss_Blue_Appearance_00001</v>
      </c>
      <c r="D1536" s="139" t="str">
        <f>IFERROR(__xludf.DUMMYFUNCTION("""COMPUTED_VALUE"""),"e_kai_00001_general_kai_vh_Boss_Blue")</f>
        <v>e_kai_00001_general_kai_vh_Boss_Blue</v>
      </c>
      <c r="E1536" s="139">
        <f>IFERROR(__xludf.DUMMYFUNCTION("""COMPUTED_VALUE"""),0.0)</f>
        <v>0</v>
      </c>
      <c r="F1536" s="139" t="str">
        <f>IFERROR(__xludf.DUMMYFUNCTION("""COMPUTED_VALUE"""),"Appearance")</f>
        <v>Appearance</v>
      </c>
      <c r="G1536" s="139"/>
      <c r="H1536" s="139"/>
      <c r="I1536" s="139">
        <f>IFERROR(__xludf.DUMMYFUNCTION("""COMPUTED_VALUE"""),50.0)</f>
        <v>50</v>
      </c>
      <c r="J1536" s="139">
        <f>IFERROR(__xludf.DUMMYFUNCTION("""COMPUTED_VALUE"""),0.0)</f>
        <v>0</v>
      </c>
      <c r="K1536" s="139">
        <f>IFERROR(__xludf.DUMMYFUNCTION("""COMPUTED_VALUE"""),0.0)</f>
        <v>0</v>
      </c>
      <c r="L1536" s="139"/>
      <c r="M1536" s="139"/>
      <c r="N1536" s="139"/>
    </row>
    <row r="1537">
      <c r="A1537" s="139" t="str">
        <f>IFERROR(__xludf.DUMMYFUNCTION("""COMPUTED_VALUE"""),"e")</f>
        <v>e</v>
      </c>
      <c r="B1537" s="139">
        <f>IFERROR(__xludf.DUMMYFUNCTION("""COMPUTED_VALUE"""),2.0250901E8)</f>
        <v>202509010</v>
      </c>
      <c r="C1537" s="139" t="str">
        <f>IFERROR(__xludf.DUMMYFUNCTION("""COMPUTED_VALUE"""),"e_kai_00101_general_kai_vh_Normal_Green_Normal_00000")</f>
        <v>e_kai_00101_general_kai_vh_Normal_Green_Normal_00000</v>
      </c>
      <c r="D1537" s="139" t="str">
        <f>IFERROR(__xludf.DUMMYFUNCTION("""COMPUTED_VALUE"""),"e_kai_00101_general_kai_vh_Normal_Green")</f>
        <v>e_kai_00101_general_kai_vh_Normal_Green</v>
      </c>
      <c r="E1537" s="139">
        <f>IFERROR(__xludf.DUMMYFUNCTION("""COMPUTED_VALUE"""),0.0)</f>
        <v>0</v>
      </c>
      <c r="F1537" s="139" t="str">
        <f>IFERROR(__xludf.DUMMYFUNCTION("""COMPUTED_VALUE"""),"Normal")</f>
        <v>Normal</v>
      </c>
      <c r="G1537" s="139"/>
      <c r="H1537" s="139"/>
      <c r="I1537" s="139">
        <f>IFERROR(__xludf.DUMMYFUNCTION("""COMPUTED_VALUE"""),62.0)</f>
        <v>62</v>
      </c>
      <c r="J1537" s="139">
        <f>IFERROR(__xludf.DUMMYFUNCTION("""COMPUTED_VALUE"""),28.0)</f>
        <v>28</v>
      </c>
      <c r="K1537" s="139">
        <f>IFERROR(__xludf.DUMMYFUNCTION("""COMPUTED_VALUE"""),75.0)</f>
        <v>75</v>
      </c>
      <c r="L1537" s="139"/>
      <c r="M1537" s="139"/>
      <c r="N1537" s="139"/>
    </row>
    <row r="1538">
      <c r="A1538" s="139" t="str">
        <f>IFERROR(__xludf.DUMMYFUNCTION("""COMPUTED_VALUE"""),"e")</f>
        <v>e</v>
      </c>
      <c r="B1538" s="139">
        <f>IFERROR(__xludf.DUMMYFUNCTION("""COMPUTED_VALUE"""),2.0250901E8)</f>
        <v>202509010</v>
      </c>
      <c r="C1538" s="139" t="str">
        <f>IFERROR(__xludf.DUMMYFUNCTION("""COMPUTED_VALUE"""),"e_kai_00101_general_kai_vh_Normal_Blue_Normal_00000")</f>
        <v>e_kai_00101_general_kai_vh_Normal_Blue_Normal_00000</v>
      </c>
      <c r="D1538" s="139" t="str">
        <f>IFERROR(__xludf.DUMMYFUNCTION("""COMPUTED_VALUE"""),"e_kai_00101_general_kai_vh_Normal_Blue")</f>
        <v>e_kai_00101_general_kai_vh_Normal_Blue</v>
      </c>
      <c r="E1538" s="139">
        <f>IFERROR(__xludf.DUMMYFUNCTION("""COMPUTED_VALUE"""),0.0)</f>
        <v>0</v>
      </c>
      <c r="F1538" s="139" t="str">
        <f>IFERROR(__xludf.DUMMYFUNCTION("""COMPUTED_VALUE"""),"Normal")</f>
        <v>Normal</v>
      </c>
      <c r="G1538" s="139"/>
      <c r="H1538" s="139"/>
      <c r="I1538" s="139">
        <f>IFERROR(__xludf.DUMMYFUNCTION("""COMPUTED_VALUE"""),62.0)</f>
        <v>62</v>
      </c>
      <c r="J1538" s="139">
        <f>IFERROR(__xludf.DUMMYFUNCTION("""COMPUTED_VALUE"""),28.0)</f>
        <v>28</v>
      </c>
      <c r="K1538" s="139">
        <f>IFERROR(__xludf.DUMMYFUNCTION("""COMPUTED_VALUE"""),50.0)</f>
        <v>50</v>
      </c>
      <c r="L1538" s="139"/>
      <c r="M1538" s="139"/>
      <c r="N1538" s="139"/>
    </row>
    <row r="1539">
      <c r="A1539" s="139" t="str">
        <f>IFERROR(__xludf.DUMMYFUNCTION("""COMPUTED_VALUE"""),"e")</f>
        <v>e</v>
      </c>
      <c r="B1539" s="139">
        <f>IFERROR(__xludf.DUMMYFUNCTION("""COMPUTED_VALUE"""),2.0250901E8)</f>
        <v>202509010</v>
      </c>
      <c r="C1539" s="139" t="str">
        <f>IFERROR(__xludf.DUMMYFUNCTION("""COMPUTED_VALUE"""),"e_kai_00101_general_kai_vh_Normal_Red_Normal_00000")</f>
        <v>e_kai_00101_general_kai_vh_Normal_Red_Normal_00000</v>
      </c>
      <c r="D1539" s="139" t="str">
        <f>IFERROR(__xludf.DUMMYFUNCTION("""COMPUTED_VALUE"""),"e_kai_00101_general_kai_vh_Normal_Red")</f>
        <v>e_kai_00101_general_kai_vh_Normal_Red</v>
      </c>
      <c r="E1539" s="139">
        <f>IFERROR(__xludf.DUMMYFUNCTION("""COMPUTED_VALUE"""),0.0)</f>
        <v>0</v>
      </c>
      <c r="F1539" s="139" t="str">
        <f>IFERROR(__xludf.DUMMYFUNCTION("""COMPUTED_VALUE"""),"Normal")</f>
        <v>Normal</v>
      </c>
      <c r="G1539" s="139"/>
      <c r="H1539" s="139"/>
      <c r="I1539" s="139">
        <f>IFERROR(__xludf.DUMMYFUNCTION("""COMPUTED_VALUE"""),62.0)</f>
        <v>62</v>
      </c>
      <c r="J1539" s="139">
        <f>IFERROR(__xludf.DUMMYFUNCTION("""COMPUTED_VALUE"""),28.0)</f>
        <v>28</v>
      </c>
      <c r="K1539" s="139">
        <f>IFERROR(__xludf.DUMMYFUNCTION("""COMPUTED_VALUE"""),50.0)</f>
        <v>50</v>
      </c>
      <c r="L1539" s="139"/>
      <c r="M1539" s="139"/>
      <c r="N1539" s="139"/>
    </row>
    <row r="1540">
      <c r="A1540" s="139" t="str">
        <f>IFERROR(__xludf.DUMMYFUNCTION("""COMPUTED_VALUE"""),"e")</f>
        <v>e</v>
      </c>
      <c r="B1540" s="139">
        <f>IFERROR(__xludf.DUMMYFUNCTION("""COMPUTED_VALUE"""),2.0250901E8)</f>
        <v>202509010</v>
      </c>
      <c r="C1540" s="139" t="str">
        <f>IFERROR(__xludf.DUMMYFUNCTION("""COMPUTED_VALUE"""),"e_kai_00101_general_kai_vh_Normal_Yellow_Normal_00000")</f>
        <v>e_kai_00101_general_kai_vh_Normal_Yellow_Normal_00000</v>
      </c>
      <c r="D1540" s="139" t="str">
        <f>IFERROR(__xludf.DUMMYFUNCTION("""COMPUTED_VALUE"""),"e_kai_00101_general_kai_vh_Normal_Yellow")</f>
        <v>e_kai_00101_general_kai_vh_Normal_Yellow</v>
      </c>
      <c r="E1540" s="139">
        <f>IFERROR(__xludf.DUMMYFUNCTION("""COMPUTED_VALUE"""),0.0)</f>
        <v>0</v>
      </c>
      <c r="F1540" s="139" t="str">
        <f>IFERROR(__xludf.DUMMYFUNCTION("""COMPUTED_VALUE"""),"Normal")</f>
        <v>Normal</v>
      </c>
      <c r="G1540" s="139"/>
      <c r="H1540" s="139"/>
      <c r="I1540" s="139">
        <f>IFERROR(__xludf.DUMMYFUNCTION("""COMPUTED_VALUE"""),62.0)</f>
        <v>62</v>
      </c>
      <c r="J1540" s="139">
        <f>IFERROR(__xludf.DUMMYFUNCTION("""COMPUTED_VALUE"""),28.0)</f>
        <v>28</v>
      </c>
      <c r="K1540" s="139">
        <f>IFERROR(__xludf.DUMMYFUNCTION("""COMPUTED_VALUE"""),50.0)</f>
        <v>50</v>
      </c>
      <c r="L1540" s="139"/>
      <c r="M1540" s="139"/>
      <c r="N1540" s="139"/>
    </row>
    <row r="1541">
      <c r="A1541" s="139" t="str">
        <f>IFERROR(__xludf.DUMMYFUNCTION("""COMPUTED_VALUE"""),"e")</f>
        <v>e</v>
      </c>
      <c r="B1541" s="139">
        <f>IFERROR(__xludf.DUMMYFUNCTION("""COMPUTED_VALUE"""),2.0250901E8)</f>
        <v>202509010</v>
      </c>
      <c r="C1541" s="139" t="str">
        <f>IFERROR(__xludf.DUMMYFUNCTION("""COMPUTED_VALUE"""),"e_kai_00201_general_kai_vh2_Normal_Red_Normal_00000")</f>
        <v>e_kai_00201_general_kai_vh2_Normal_Red_Normal_00000</v>
      </c>
      <c r="D1541" s="139" t="str">
        <f>IFERROR(__xludf.DUMMYFUNCTION("""COMPUTED_VALUE"""),"e_kai_00201_general_kai_vh2_Normal_Red")</f>
        <v>e_kai_00201_general_kai_vh2_Normal_Red</v>
      </c>
      <c r="E1541" s="139">
        <f>IFERROR(__xludf.DUMMYFUNCTION("""COMPUTED_VALUE"""),0.0)</f>
        <v>0</v>
      </c>
      <c r="F1541" s="139" t="str">
        <f>IFERROR(__xludf.DUMMYFUNCTION("""COMPUTED_VALUE"""),"Normal")</f>
        <v>Normal</v>
      </c>
      <c r="G1541" s="139"/>
      <c r="H1541" s="139"/>
      <c r="I1541" s="139">
        <f>IFERROR(__xludf.DUMMYFUNCTION("""COMPUTED_VALUE"""),124.0)</f>
        <v>124</v>
      </c>
      <c r="J1541" s="139">
        <f>IFERROR(__xludf.DUMMYFUNCTION("""COMPUTED_VALUE"""),63.0)</f>
        <v>63</v>
      </c>
      <c r="K1541" s="139">
        <f>IFERROR(__xludf.DUMMYFUNCTION("""COMPUTED_VALUE"""),250.0)</f>
        <v>250</v>
      </c>
      <c r="L1541" s="139"/>
      <c r="M1541" s="139"/>
      <c r="N1541" s="139"/>
    </row>
    <row r="1542">
      <c r="A1542" s="139" t="str">
        <f>IFERROR(__xludf.DUMMYFUNCTION("""COMPUTED_VALUE"""),"e")</f>
        <v>e</v>
      </c>
      <c r="B1542" s="139">
        <f>IFERROR(__xludf.DUMMYFUNCTION("""COMPUTED_VALUE"""),2.0250901E8)</f>
        <v>202509010</v>
      </c>
      <c r="C1542" s="139" t="str">
        <f>IFERROR(__xludf.DUMMYFUNCTION("""COMPUTED_VALUE"""),"e_kai_00201_general_kai_vh2_Boss_Red_Normal_00000")</f>
        <v>e_kai_00201_general_kai_vh2_Boss_Red_Normal_00000</v>
      </c>
      <c r="D1542" s="139" t="str">
        <f>IFERROR(__xludf.DUMMYFUNCTION("""COMPUTED_VALUE"""),"e_kai_00201_general_kai_vh2_Boss_Red")</f>
        <v>e_kai_00201_general_kai_vh2_Boss_Red</v>
      </c>
      <c r="E1542" s="139">
        <f>IFERROR(__xludf.DUMMYFUNCTION("""COMPUTED_VALUE"""),0.0)</f>
        <v>0</v>
      </c>
      <c r="F1542" s="139" t="str">
        <f>IFERROR(__xludf.DUMMYFUNCTION("""COMPUTED_VALUE"""),"Normal")</f>
        <v>Normal</v>
      </c>
      <c r="G1542" s="139"/>
      <c r="H1542" s="139"/>
      <c r="I1542" s="139">
        <f>IFERROR(__xludf.DUMMYFUNCTION("""COMPUTED_VALUE"""),124.0)</f>
        <v>124</v>
      </c>
      <c r="J1542" s="139">
        <f>IFERROR(__xludf.DUMMYFUNCTION("""COMPUTED_VALUE"""),63.0)</f>
        <v>63</v>
      </c>
      <c r="K1542" s="139">
        <f>IFERROR(__xludf.DUMMYFUNCTION("""COMPUTED_VALUE"""),75.0)</f>
        <v>75</v>
      </c>
      <c r="L1542" s="139"/>
      <c r="M1542" s="139"/>
      <c r="N1542" s="139"/>
    </row>
    <row r="1543">
      <c r="A1543" s="139" t="str">
        <f>IFERROR(__xludf.DUMMYFUNCTION("""COMPUTED_VALUE"""),"e")</f>
        <v>e</v>
      </c>
      <c r="B1543" s="139">
        <f>IFERROR(__xludf.DUMMYFUNCTION("""COMPUTED_VALUE"""),2.0250901E8)</f>
        <v>202509010</v>
      </c>
      <c r="C1543" s="139" t="str">
        <f>IFERROR(__xludf.DUMMYFUNCTION("""COMPUTED_VALUE"""),"e_kai_00201_general_kai_vh2_Boss_Red_Appearance_00001")</f>
        <v>e_kai_00201_general_kai_vh2_Boss_Red_Appearance_00001</v>
      </c>
      <c r="D1543" s="139" t="str">
        <f>IFERROR(__xludf.DUMMYFUNCTION("""COMPUTED_VALUE"""),"e_kai_00201_general_kai_vh2_Boss_Red")</f>
        <v>e_kai_00201_general_kai_vh2_Boss_Red</v>
      </c>
      <c r="E1543" s="139">
        <f>IFERROR(__xludf.DUMMYFUNCTION("""COMPUTED_VALUE"""),0.0)</f>
        <v>0</v>
      </c>
      <c r="F1543" s="139" t="str">
        <f>IFERROR(__xludf.DUMMYFUNCTION("""COMPUTED_VALUE"""),"Appearance")</f>
        <v>Appearance</v>
      </c>
      <c r="G1543" s="139"/>
      <c r="H1543" s="139"/>
      <c r="I1543" s="139">
        <f>IFERROR(__xludf.DUMMYFUNCTION("""COMPUTED_VALUE"""),50.0)</f>
        <v>50</v>
      </c>
      <c r="J1543" s="139">
        <f>IFERROR(__xludf.DUMMYFUNCTION("""COMPUTED_VALUE"""),0.0)</f>
        <v>0</v>
      </c>
      <c r="K1543" s="139">
        <f>IFERROR(__xludf.DUMMYFUNCTION("""COMPUTED_VALUE"""),0.0)</f>
        <v>0</v>
      </c>
      <c r="L1543" s="139"/>
      <c r="M1543" s="139"/>
      <c r="N1543" s="139"/>
    </row>
    <row r="1544">
      <c r="A1544" s="139" t="str">
        <f>IFERROR(__xludf.DUMMYFUNCTION("""COMPUTED_VALUE"""),"e")</f>
        <v>e</v>
      </c>
      <c r="B1544" s="139">
        <f>IFERROR(__xludf.DUMMYFUNCTION("""COMPUTED_VALUE"""),2.0250901E8)</f>
        <v>202509010</v>
      </c>
      <c r="C1544" s="139" t="str">
        <f>IFERROR(__xludf.DUMMYFUNCTION("""COMPUTED_VALUE"""),"e_kai_00201_general_kai_vh_Boss_Yellow_Normal_00000")</f>
        <v>e_kai_00201_general_kai_vh_Boss_Yellow_Normal_00000</v>
      </c>
      <c r="D1544" s="139" t="str">
        <f>IFERROR(__xludf.DUMMYFUNCTION("""COMPUTED_VALUE"""),"e_kai_00201_general_kai_vh_Boss_Yellow")</f>
        <v>e_kai_00201_general_kai_vh_Boss_Yellow</v>
      </c>
      <c r="E1544" s="139">
        <f>IFERROR(__xludf.DUMMYFUNCTION("""COMPUTED_VALUE"""),0.0)</f>
        <v>0</v>
      </c>
      <c r="F1544" s="139" t="str">
        <f>IFERROR(__xludf.DUMMYFUNCTION("""COMPUTED_VALUE"""),"Normal")</f>
        <v>Normal</v>
      </c>
      <c r="G1544" s="139"/>
      <c r="H1544" s="139"/>
      <c r="I1544" s="139">
        <f>IFERROR(__xludf.DUMMYFUNCTION("""COMPUTED_VALUE"""),124.0)</f>
        <v>124</v>
      </c>
      <c r="J1544" s="139">
        <f>IFERROR(__xludf.DUMMYFUNCTION("""COMPUTED_VALUE"""),63.0)</f>
        <v>63</v>
      </c>
      <c r="K1544" s="139">
        <f>IFERROR(__xludf.DUMMYFUNCTION("""COMPUTED_VALUE"""),75.0)</f>
        <v>75</v>
      </c>
      <c r="L1544" s="139"/>
      <c r="M1544" s="139"/>
      <c r="N1544" s="139"/>
    </row>
    <row r="1545">
      <c r="A1545" s="139" t="str">
        <f>IFERROR(__xludf.DUMMYFUNCTION("""COMPUTED_VALUE"""),"e")</f>
        <v>e</v>
      </c>
      <c r="B1545" s="139">
        <f>IFERROR(__xludf.DUMMYFUNCTION("""COMPUTED_VALUE"""),2.0250901E8)</f>
        <v>202509010</v>
      </c>
      <c r="C1545" s="139" t="str">
        <f>IFERROR(__xludf.DUMMYFUNCTION("""COMPUTED_VALUE"""),"e_kai_00201_general_kai_vh_Boss_Yellow_Appearance_00001")</f>
        <v>e_kai_00201_general_kai_vh_Boss_Yellow_Appearance_00001</v>
      </c>
      <c r="D1545" s="139" t="str">
        <f>IFERROR(__xludf.DUMMYFUNCTION("""COMPUTED_VALUE"""),"e_kai_00201_general_kai_vh_Boss_Yellow")</f>
        <v>e_kai_00201_general_kai_vh_Boss_Yellow</v>
      </c>
      <c r="E1545" s="139">
        <f>IFERROR(__xludf.DUMMYFUNCTION("""COMPUTED_VALUE"""),0.0)</f>
        <v>0</v>
      </c>
      <c r="F1545" s="139" t="str">
        <f>IFERROR(__xludf.DUMMYFUNCTION("""COMPUTED_VALUE"""),"Appearance")</f>
        <v>Appearance</v>
      </c>
      <c r="G1545" s="139"/>
      <c r="H1545" s="139"/>
      <c r="I1545" s="139">
        <f>IFERROR(__xludf.DUMMYFUNCTION("""COMPUTED_VALUE"""),50.0)</f>
        <v>50</v>
      </c>
      <c r="J1545" s="139">
        <f>IFERROR(__xludf.DUMMYFUNCTION("""COMPUTED_VALUE"""),0.0)</f>
        <v>0</v>
      </c>
      <c r="K1545" s="139">
        <f>IFERROR(__xludf.DUMMYFUNCTION("""COMPUTED_VALUE"""),0.0)</f>
        <v>0</v>
      </c>
      <c r="L1545" s="139"/>
      <c r="M1545" s="139"/>
      <c r="N1545" s="139"/>
    </row>
    <row r="1546">
      <c r="A1546" s="139" t="str">
        <f>IFERROR(__xludf.DUMMYFUNCTION("""COMPUTED_VALUE"""),"e")</f>
        <v>e</v>
      </c>
      <c r="B1546" s="139">
        <f>IFERROR(__xludf.DUMMYFUNCTION("""COMPUTED_VALUE"""),2.0250901E8)</f>
        <v>202509010</v>
      </c>
      <c r="C1546" s="139" t="str">
        <f>IFERROR(__xludf.DUMMYFUNCTION("""COMPUTED_VALUE"""),"c_kai_00001_general_kai_vh_Boss_Yellow_Normal_00000")</f>
        <v>c_kai_00001_general_kai_vh_Boss_Yellow_Normal_00000</v>
      </c>
      <c r="D1546" s="139" t="str">
        <f>IFERROR(__xludf.DUMMYFUNCTION("""COMPUTED_VALUE"""),"c_kai_00001_general_kai_vh_Boss_Yellow")</f>
        <v>c_kai_00001_general_kai_vh_Boss_Yellow</v>
      </c>
      <c r="E1546" s="139">
        <f>IFERROR(__xludf.DUMMYFUNCTION("""COMPUTED_VALUE"""),0.0)</f>
        <v>0</v>
      </c>
      <c r="F1546" s="139" t="str">
        <f>IFERROR(__xludf.DUMMYFUNCTION("""COMPUTED_VALUE"""),"Normal")</f>
        <v>Normal</v>
      </c>
      <c r="G1546" s="139"/>
      <c r="H1546" s="139"/>
      <c r="I1546" s="139">
        <f>IFERROR(__xludf.DUMMYFUNCTION("""COMPUTED_VALUE"""),92.0)</f>
        <v>92</v>
      </c>
      <c r="J1546" s="139">
        <f>IFERROR(__xludf.DUMMYFUNCTION("""COMPUTED_VALUE"""),50.0)</f>
        <v>50</v>
      </c>
      <c r="K1546" s="139">
        <f>IFERROR(__xludf.DUMMYFUNCTION("""COMPUTED_VALUE"""),100.0)</f>
        <v>100</v>
      </c>
      <c r="L1546" s="139"/>
      <c r="M1546" s="139"/>
      <c r="N1546" s="139"/>
    </row>
    <row r="1547">
      <c r="A1547" s="139" t="str">
        <f>IFERROR(__xludf.DUMMYFUNCTION("""COMPUTED_VALUE"""),"e")</f>
        <v>e</v>
      </c>
      <c r="B1547" s="139">
        <f>IFERROR(__xludf.DUMMYFUNCTION("""COMPUTED_VALUE"""),2.0250901E8)</f>
        <v>202509010</v>
      </c>
      <c r="C1547" s="139" t="str">
        <f>IFERROR(__xludf.DUMMYFUNCTION("""COMPUTED_VALUE"""),"c_kai_00001_general_kai_vh_Boss_Yellow_Appearance_00001")</f>
        <v>c_kai_00001_general_kai_vh_Boss_Yellow_Appearance_00001</v>
      </c>
      <c r="D1547" s="139" t="str">
        <f>IFERROR(__xludf.DUMMYFUNCTION("""COMPUTED_VALUE"""),"c_kai_00001_general_kai_vh_Boss_Yellow")</f>
        <v>c_kai_00001_general_kai_vh_Boss_Yellow</v>
      </c>
      <c r="E1547" s="139">
        <f>IFERROR(__xludf.DUMMYFUNCTION("""COMPUTED_VALUE"""),0.0)</f>
        <v>0</v>
      </c>
      <c r="F1547" s="139" t="str">
        <f>IFERROR(__xludf.DUMMYFUNCTION("""COMPUTED_VALUE"""),"Appearance")</f>
        <v>Appearance</v>
      </c>
      <c r="G1547" s="139"/>
      <c r="H1547" s="139"/>
      <c r="I1547" s="139">
        <f>IFERROR(__xludf.DUMMYFUNCTION("""COMPUTED_VALUE"""),50.0)</f>
        <v>50</v>
      </c>
      <c r="J1547" s="139">
        <f>IFERROR(__xludf.DUMMYFUNCTION("""COMPUTED_VALUE"""),0.0)</f>
        <v>0</v>
      </c>
      <c r="K1547" s="139">
        <f>IFERROR(__xludf.DUMMYFUNCTION("""COMPUTED_VALUE"""),0.0)</f>
        <v>0</v>
      </c>
      <c r="L1547" s="139"/>
      <c r="M1547" s="139"/>
      <c r="N1547" s="139"/>
    </row>
    <row r="1548">
      <c r="A1548" s="139" t="str">
        <f>IFERROR(__xludf.DUMMYFUNCTION("""COMPUTED_VALUE"""),"e")</f>
        <v>e</v>
      </c>
      <c r="B1548" s="139">
        <f>IFERROR(__xludf.DUMMYFUNCTION("""COMPUTED_VALUE"""),2.0250901E8)</f>
        <v>202509010</v>
      </c>
      <c r="C1548" s="139" t="str">
        <f>IFERROR(__xludf.DUMMYFUNCTION("""COMPUTED_VALUE"""),"c_kai_00001_general_kai_vh_Boss_Yellow_Special_00002")</f>
        <v>c_kai_00001_general_kai_vh_Boss_Yellow_Special_00002</v>
      </c>
      <c r="D1548" s="139" t="str">
        <f>IFERROR(__xludf.DUMMYFUNCTION("""COMPUTED_VALUE"""),"c_kai_00001_general_kai_vh_Boss_Yellow")</f>
        <v>c_kai_00001_general_kai_vh_Boss_Yellow</v>
      </c>
      <c r="E1548" s="139">
        <f>IFERROR(__xludf.DUMMYFUNCTION("""COMPUTED_VALUE"""),0.0)</f>
        <v>0</v>
      </c>
      <c r="F1548" s="139" t="str">
        <f>IFERROR(__xludf.DUMMYFUNCTION("""COMPUTED_VALUE"""),"Special")</f>
        <v>Special</v>
      </c>
      <c r="G1548" s="139"/>
      <c r="H1548" s="139"/>
      <c r="I1548" s="139">
        <f>IFERROR(__xludf.DUMMYFUNCTION("""COMPUTED_VALUE"""),117.0)</f>
        <v>117</v>
      </c>
      <c r="J1548" s="139">
        <f>IFERROR(__xludf.DUMMYFUNCTION("""COMPUTED_VALUE"""),67.0)</f>
        <v>67</v>
      </c>
      <c r="K1548" s="139">
        <f>IFERROR(__xludf.DUMMYFUNCTION("""COMPUTED_VALUE"""),0.0)</f>
        <v>0</v>
      </c>
      <c r="L1548" s="139"/>
      <c r="M1548" s="139"/>
      <c r="N1548" s="139"/>
    </row>
    <row r="1549">
      <c r="A1549" s="139" t="str">
        <f>IFERROR(__xludf.DUMMYFUNCTION("""COMPUTED_VALUE"""),"e")</f>
        <v>e</v>
      </c>
      <c r="B1549" s="139">
        <f>IFERROR(__xludf.DUMMYFUNCTION("""COMPUTED_VALUE"""),2.0250901E8)</f>
        <v>202509010</v>
      </c>
      <c r="C1549" s="139" t="str">
        <f>IFERROR(__xludf.DUMMYFUNCTION("""COMPUTED_VALUE"""),"c_kai_00002_general_kai_vh_Boss_Red_Normal_00000")</f>
        <v>c_kai_00002_general_kai_vh_Boss_Red_Normal_00000</v>
      </c>
      <c r="D1549" s="139" t="str">
        <f>IFERROR(__xludf.DUMMYFUNCTION("""COMPUTED_VALUE"""),"c_kai_00002_general_kai_vh_Boss_Red")</f>
        <v>c_kai_00002_general_kai_vh_Boss_Red</v>
      </c>
      <c r="E1549" s="139">
        <f>IFERROR(__xludf.DUMMYFUNCTION("""COMPUTED_VALUE"""),0.0)</f>
        <v>0</v>
      </c>
      <c r="F1549" s="139" t="str">
        <f>IFERROR(__xludf.DUMMYFUNCTION("""COMPUTED_VALUE"""),"Normal")</f>
        <v>Normal</v>
      </c>
      <c r="G1549" s="139"/>
      <c r="H1549" s="139"/>
      <c r="I1549" s="139">
        <f>IFERROR(__xludf.DUMMYFUNCTION("""COMPUTED_VALUE"""),75.0)</f>
        <v>75</v>
      </c>
      <c r="J1549" s="139">
        <f>IFERROR(__xludf.DUMMYFUNCTION("""COMPUTED_VALUE"""),27.0)</f>
        <v>27</v>
      </c>
      <c r="K1549" s="139">
        <f>IFERROR(__xludf.DUMMYFUNCTION("""COMPUTED_VALUE"""),100.0)</f>
        <v>100</v>
      </c>
      <c r="L1549" s="139"/>
      <c r="M1549" s="139"/>
      <c r="N1549" s="139"/>
    </row>
    <row r="1550">
      <c r="A1550" s="139" t="str">
        <f>IFERROR(__xludf.DUMMYFUNCTION("""COMPUTED_VALUE"""),"e")</f>
        <v>e</v>
      </c>
      <c r="B1550" s="139">
        <f>IFERROR(__xludf.DUMMYFUNCTION("""COMPUTED_VALUE"""),2.0250901E8)</f>
        <v>202509010</v>
      </c>
      <c r="C1550" s="139" t="str">
        <f>IFERROR(__xludf.DUMMYFUNCTION("""COMPUTED_VALUE"""),"c_kai_00002_general_kai_vh_Boss_Red_Special_00001")</f>
        <v>c_kai_00002_general_kai_vh_Boss_Red_Special_00001</v>
      </c>
      <c r="D1550" s="139" t="str">
        <f>IFERROR(__xludf.DUMMYFUNCTION("""COMPUTED_VALUE"""),"c_kai_00002_general_kai_vh_Boss_Red")</f>
        <v>c_kai_00002_general_kai_vh_Boss_Red</v>
      </c>
      <c r="E1550" s="139">
        <f>IFERROR(__xludf.DUMMYFUNCTION("""COMPUTED_VALUE"""),0.0)</f>
        <v>0</v>
      </c>
      <c r="F1550" s="139" t="str">
        <f>IFERROR(__xludf.DUMMYFUNCTION("""COMPUTED_VALUE"""),"Special")</f>
        <v>Special</v>
      </c>
      <c r="G1550" s="139"/>
      <c r="H1550" s="139"/>
      <c r="I1550" s="139">
        <f>IFERROR(__xludf.DUMMYFUNCTION("""COMPUTED_VALUE"""),120.0)</f>
        <v>120</v>
      </c>
      <c r="J1550" s="139">
        <f>IFERROR(__xludf.DUMMYFUNCTION("""COMPUTED_VALUE"""),0.0)</f>
        <v>0</v>
      </c>
      <c r="K1550" s="139">
        <f>IFERROR(__xludf.DUMMYFUNCTION("""COMPUTED_VALUE"""),0.0)</f>
        <v>0</v>
      </c>
      <c r="L1550" s="139"/>
      <c r="M1550" s="139"/>
      <c r="N1550" s="139"/>
    </row>
    <row r="1551">
      <c r="A1551" s="139" t="str">
        <f>IFERROR(__xludf.DUMMYFUNCTION("""COMPUTED_VALUE"""),"e")</f>
        <v>e</v>
      </c>
      <c r="B1551" s="139">
        <f>IFERROR(__xludf.DUMMYFUNCTION("""COMPUTED_VALUE"""),2.0250901E8)</f>
        <v>202509010</v>
      </c>
      <c r="C1551" s="139" t="str">
        <f>IFERROR(__xludf.DUMMYFUNCTION("""COMPUTED_VALUE"""),"c_kai_00301_general_kai_vh_Boss_Green_Normal_00000")</f>
        <v>c_kai_00301_general_kai_vh_Boss_Green_Normal_00000</v>
      </c>
      <c r="D1551" s="139" t="str">
        <f>IFERROR(__xludf.DUMMYFUNCTION("""COMPUTED_VALUE"""),"c_kai_00301_general_kai_vh_Boss_Green")</f>
        <v>c_kai_00301_general_kai_vh_Boss_Green</v>
      </c>
      <c r="E1551" s="139">
        <f>IFERROR(__xludf.DUMMYFUNCTION("""COMPUTED_VALUE"""),0.0)</f>
        <v>0</v>
      </c>
      <c r="F1551" s="139" t="str">
        <f>IFERROR(__xludf.DUMMYFUNCTION("""COMPUTED_VALUE"""),"Normal")</f>
        <v>Normal</v>
      </c>
      <c r="G1551" s="139"/>
      <c r="H1551" s="139"/>
      <c r="I1551" s="139">
        <f>IFERROR(__xludf.DUMMYFUNCTION("""COMPUTED_VALUE"""),102.0)</f>
        <v>102</v>
      </c>
      <c r="J1551" s="139">
        <f>IFERROR(__xludf.DUMMYFUNCTION("""COMPUTED_VALUE"""),35.0)</f>
        <v>35</v>
      </c>
      <c r="K1551" s="139">
        <f>IFERROR(__xludf.DUMMYFUNCTION("""COMPUTED_VALUE"""),50.0)</f>
        <v>50</v>
      </c>
      <c r="L1551" s="139"/>
      <c r="M1551" s="139"/>
      <c r="N1551" s="139"/>
    </row>
    <row r="1552">
      <c r="A1552" s="139" t="str">
        <f>IFERROR(__xludf.DUMMYFUNCTION("""COMPUTED_VALUE"""),"e")</f>
        <v>e</v>
      </c>
      <c r="B1552" s="139">
        <f>IFERROR(__xludf.DUMMYFUNCTION("""COMPUTED_VALUE"""),2.0250901E8)</f>
        <v>202509010</v>
      </c>
      <c r="C1552" s="139" t="str">
        <f>IFERROR(__xludf.DUMMYFUNCTION("""COMPUTED_VALUE"""),"c_kai_00301_general_kai_vh_Boss_Green_Appearance_00001")</f>
        <v>c_kai_00301_general_kai_vh_Boss_Green_Appearance_00001</v>
      </c>
      <c r="D1552" s="139" t="str">
        <f>IFERROR(__xludf.DUMMYFUNCTION("""COMPUTED_VALUE"""),"c_kai_00301_general_kai_vh_Boss_Green")</f>
        <v>c_kai_00301_general_kai_vh_Boss_Green</v>
      </c>
      <c r="E1552" s="139">
        <f>IFERROR(__xludf.DUMMYFUNCTION("""COMPUTED_VALUE"""),0.0)</f>
        <v>0</v>
      </c>
      <c r="F1552" s="139" t="str">
        <f>IFERROR(__xludf.DUMMYFUNCTION("""COMPUTED_VALUE"""),"Appearance")</f>
        <v>Appearance</v>
      </c>
      <c r="G1552" s="139"/>
      <c r="H1552" s="139"/>
      <c r="I1552" s="139">
        <f>IFERROR(__xludf.DUMMYFUNCTION("""COMPUTED_VALUE"""),50.0)</f>
        <v>50</v>
      </c>
      <c r="J1552" s="139">
        <f>IFERROR(__xludf.DUMMYFUNCTION("""COMPUTED_VALUE"""),0.0)</f>
        <v>0</v>
      </c>
      <c r="K1552" s="139">
        <f>IFERROR(__xludf.DUMMYFUNCTION("""COMPUTED_VALUE"""),0.0)</f>
        <v>0</v>
      </c>
      <c r="L1552" s="139"/>
      <c r="M1552" s="139"/>
      <c r="N1552" s="139"/>
    </row>
    <row r="1553">
      <c r="A1553" s="139" t="str">
        <f>IFERROR(__xludf.DUMMYFUNCTION("""COMPUTED_VALUE"""),"e")</f>
        <v>e</v>
      </c>
      <c r="B1553" s="139">
        <f>IFERROR(__xludf.DUMMYFUNCTION("""COMPUTED_VALUE"""),2.0250901E8)</f>
        <v>202509010</v>
      </c>
      <c r="C1553" s="139" t="str">
        <f>IFERROR(__xludf.DUMMYFUNCTION("""COMPUTED_VALUE"""),"c_kai_00301_general_kai_vh_Boss_Green_Special_00002")</f>
        <v>c_kai_00301_general_kai_vh_Boss_Green_Special_00002</v>
      </c>
      <c r="D1553" s="139" t="str">
        <f>IFERROR(__xludf.DUMMYFUNCTION("""COMPUTED_VALUE"""),"c_kai_00301_general_kai_vh_Boss_Green")</f>
        <v>c_kai_00301_general_kai_vh_Boss_Green</v>
      </c>
      <c r="E1553" s="139">
        <f>IFERROR(__xludf.DUMMYFUNCTION("""COMPUTED_VALUE"""),0.0)</f>
        <v>0</v>
      </c>
      <c r="F1553" s="139" t="str">
        <f>IFERROR(__xludf.DUMMYFUNCTION("""COMPUTED_VALUE"""),"Special")</f>
        <v>Special</v>
      </c>
      <c r="G1553" s="139"/>
      <c r="H1553" s="139"/>
      <c r="I1553" s="139">
        <f>IFERROR(__xludf.DUMMYFUNCTION("""COMPUTED_VALUE"""),167.0)</f>
        <v>167</v>
      </c>
      <c r="J1553" s="139">
        <f>IFERROR(__xludf.DUMMYFUNCTION("""COMPUTED_VALUE"""),54.0)</f>
        <v>54</v>
      </c>
      <c r="K1553" s="139">
        <f>IFERROR(__xludf.DUMMYFUNCTION("""COMPUTED_VALUE"""),0.0)</f>
        <v>0</v>
      </c>
      <c r="L1553" s="139"/>
      <c r="M1553" s="139"/>
      <c r="N1553" s="139"/>
    </row>
    <row r="1554">
      <c r="A1554" s="139"/>
      <c r="B1554" s="139"/>
      <c r="C1554" s="139"/>
      <c r="D1554" s="139"/>
      <c r="E1554" s="139"/>
      <c r="F1554" s="139"/>
      <c r="G1554" s="139"/>
      <c r="H1554" s="139"/>
      <c r="I1554" s="139"/>
      <c r="J1554" s="139"/>
      <c r="K1554" s="139"/>
      <c r="L1554" s="139"/>
      <c r="M1554" s="139"/>
      <c r="N1554" s="139"/>
    </row>
    <row r="1555">
      <c r="A1555" s="139" t="str">
        <f>IFERROR(__xludf.DUMMYFUNCTION("""COMPUTED_VALUE"""),"e")</f>
        <v>e</v>
      </c>
      <c r="B1555" s="139">
        <f>IFERROR(__xludf.DUMMYFUNCTION("""COMPUTED_VALUE"""),2.0250901E8)</f>
        <v>202509010</v>
      </c>
      <c r="C1555" s="139" t="str">
        <f>IFERROR(__xludf.DUMMYFUNCTION("""COMPUTED_VALUE"""),"c_kai_00002_general_as4_Normal_Green_Normal_00000")</f>
        <v>c_kai_00002_general_as4_Normal_Green_Normal_00000</v>
      </c>
      <c r="D1555" s="139" t="str">
        <f>IFERROR(__xludf.DUMMYFUNCTION("""COMPUTED_VALUE"""),"c_kai_00002_general_as4_Normal_Green")</f>
        <v>c_kai_00002_general_as4_Normal_Green</v>
      </c>
      <c r="E1555" s="139">
        <f>IFERROR(__xludf.DUMMYFUNCTION("""COMPUTED_VALUE"""),0.0)</f>
        <v>0</v>
      </c>
      <c r="F1555" s="139" t="str">
        <f>IFERROR(__xludf.DUMMYFUNCTION("""COMPUTED_VALUE"""),"Normal")</f>
        <v>Normal</v>
      </c>
      <c r="G1555" s="139"/>
      <c r="H1555" s="139"/>
      <c r="I1555" s="139">
        <f>IFERROR(__xludf.DUMMYFUNCTION("""COMPUTED_VALUE"""),75.0)</f>
        <v>75</v>
      </c>
      <c r="J1555" s="139">
        <f>IFERROR(__xludf.DUMMYFUNCTION("""COMPUTED_VALUE"""),27.0)</f>
        <v>27</v>
      </c>
      <c r="K1555" s="139">
        <f>IFERROR(__xludf.DUMMYFUNCTION("""COMPUTED_VALUE"""),100.0)</f>
        <v>100</v>
      </c>
      <c r="L1555" s="139"/>
      <c r="M1555" s="139"/>
      <c r="N1555" s="139"/>
    </row>
    <row r="1556">
      <c r="A1556" s="139" t="str">
        <f>IFERROR(__xludf.DUMMYFUNCTION("""COMPUTED_VALUE"""),"e")</f>
        <v>e</v>
      </c>
      <c r="B1556" s="139">
        <f>IFERROR(__xludf.DUMMYFUNCTION("""COMPUTED_VALUE"""),2.0250901E8)</f>
        <v>202509010</v>
      </c>
      <c r="C1556" s="139" t="str">
        <f>IFERROR(__xludf.DUMMYFUNCTION("""COMPUTED_VALUE"""),"c_kai_00002_general_as4_Normal_Green_Special_00001")</f>
        <v>c_kai_00002_general_as4_Normal_Green_Special_00001</v>
      </c>
      <c r="D1556" s="139" t="str">
        <f>IFERROR(__xludf.DUMMYFUNCTION("""COMPUTED_VALUE"""),"c_kai_00002_general_as4_Normal_Green")</f>
        <v>c_kai_00002_general_as4_Normal_Green</v>
      </c>
      <c r="E1556" s="139">
        <f>IFERROR(__xludf.DUMMYFUNCTION("""COMPUTED_VALUE"""),0.0)</f>
        <v>0</v>
      </c>
      <c r="F1556" s="139" t="str">
        <f>IFERROR(__xludf.DUMMYFUNCTION("""COMPUTED_VALUE"""),"Special")</f>
        <v>Special</v>
      </c>
      <c r="G1556" s="139"/>
      <c r="H1556" s="139"/>
      <c r="I1556" s="139">
        <f>IFERROR(__xludf.DUMMYFUNCTION("""COMPUTED_VALUE"""),120.0)</f>
        <v>120</v>
      </c>
      <c r="J1556" s="139">
        <f>IFERROR(__xludf.DUMMYFUNCTION("""COMPUTED_VALUE"""),0.0)</f>
        <v>0</v>
      </c>
      <c r="K1556" s="139">
        <f>IFERROR(__xludf.DUMMYFUNCTION("""COMPUTED_VALUE"""),0.0)</f>
        <v>0</v>
      </c>
      <c r="L1556" s="139"/>
      <c r="M1556" s="139"/>
      <c r="N1556" s="139"/>
    </row>
    <row r="1557">
      <c r="A1557" s="139" t="str">
        <f>IFERROR(__xludf.DUMMYFUNCTION("""COMPUTED_VALUE"""),"e")</f>
        <v>e</v>
      </c>
      <c r="B1557" s="139">
        <f>IFERROR(__xludf.DUMMYFUNCTION("""COMPUTED_VALUE"""),2.0250901E8)</f>
        <v>202509010</v>
      </c>
      <c r="C1557" s="139" t="str">
        <f>IFERROR(__xludf.DUMMYFUNCTION("""COMPUTED_VALUE"""),"c_sum_00101_general_as4_Boss_Green_Normal_00000")</f>
        <v>c_sum_00101_general_as4_Boss_Green_Normal_00000</v>
      </c>
      <c r="D1557" s="139" t="str">
        <f>IFERROR(__xludf.DUMMYFUNCTION("""COMPUTED_VALUE"""),"c_sum_00101_general_as4_Boss_Green")</f>
        <v>c_sum_00101_general_as4_Boss_Green</v>
      </c>
      <c r="E1557" s="139">
        <f>IFERROR(__xludf.DUMMYFUNCTION("""COMPUTED_VALUE"""),0.0)</f>
        <v>0</v>
      </c>
      <c r="F1557" s="139" t="str">
        <f>IFERROR(__xludf.DUMMYFUNCTION("""COMPUTED_VALUE"""),"Normal")</f>
        <v>Normal</v>
      </c>
      <c r="G1557" s="139"/>
      <c r="H1557" s="139"/>
      <c r="I1557" s="139">
        <f>IFERROR(__xludf.DUMMYFUNCTION("""COMPUTED_VALUE"""),57.0)</f>
        <v>57</v>
      </c>
      <c r="J1557" s="139">
        <f>IFERROR(__xludf.DUMMYFUNCTION("""COMPUTED_VALUE"""),25.0)</f>
        <v>25</v>
      </c>
      <c r="K1557" s="139">
        <f>IFERROR(__xludf.DUMMYFUNCTION("""COMPUTED_VALUE"""),150.0)</f>
        <v>150</v>
      </c>
      <c r="L1557" s="139"/>
      <c r="M1557" s="139"/>
      <c r="N1557" s="139"/>
    </row>
    <row r="1558">
      <c r="A1558" s="139" t="str">
        <f>IFERROR(__xludf.DUMMYFUNCTION("""COMPUTED_VALUE"""),"e")</f>
        <v>e</v>
      </c>
      <c r="B1558" s="139">
        <f>IFERROR(__xludf.DUMMYFUNCTION("""COMPUTED_VALUE"""),2.0250901E8)</f>
        <v>202509010</v>
      </c>
      <c r="C1558" s="139" t="str">
        <f>IFERROR(__xludf.DUMMYFUNCTION("""COMPUTED_VALUE"""),"c_sum_00101_general_as4_Boss_Green_Appearance_00001")</f>
        <v>c_sum_00101_general_as4_Boss_Green_Appearance_00001</v>
      </c>
      <c r="D1558" s="139" t="str">
        <f>IFERROR(__xludf.DUMMYFUNCTION("""COMPUTED_VALUE"""),"c_sum_00101_general_as4_Boss_Green")</f>
        <v>c_sum_00101_general_as4_Boss_Green</v>
      </c>
      <c r="E1558" s="139">
        <f>IFERROR(__xludf.DUMMYFUNCTION("""COMPUTED_VALUE"""),0.0)</f>
        <v>0</v>
      </c>
      <c r="F1558" s="139" t="str">
        <f>IFERROR(__xludf.DUMMYFUNCTION("""COMPUTED_VALUE"""),"Appearance")</f>
        <v>Appearance</v>
      </c>
      <c r="G1558" s="139"/>
      <c r="H1558" s="139"/>
      <c r="I1558" s="139">
        <f>IFERROR(__xludf.DUMMYFUNCTION("""COMPUTED_VALUE"""),50.0)</f>
        <v>50</v>
      </c>
      <c r="J1558" s="139">
        <f>IFERROR(__xludf.DUMMYFUNCTION("""COMPUTED_VALUE"""),0.0)</f>
        <v>0</v>
      </c>
      <c r="K1558" s="139">
        <f>IFERROR(__xludf.DUMMYFUNCTION("""COMPUTED_VALUE"""),0.0)</f>
        <v>0</v>
      </c>
      <c r="L1558" s="139"/>
      <c r="M1558" s="139"/>
      <c r="N1558" s="139"/>
    </row>
    <row r="1559">
      <c r="A1559" s="139" t="str">
        <f>IFERROR(__xludf.DUMMYFUNCTION("""COMPUTED_VALUE"""),"e")</f>
        <v>e</v>
      </c>
      <c r="B1559" s="139">
        <f>IFERROR(__xludf.DUMMYFUNCTION("""COMPUTED_VALUE"""),2.0250901E8)</f>
        <v>202509010</v>
      </c>
      <c r="C1559" s="139" t="str">
        <f>IFERROR(__xludf.DUMMYFUNCTION("""COMPUTED_VALUE"""),"c_sum_00101_general_as4_Boss_Green_Special_00002")</f>
        <v>c_sum_00101_general_as4_Boss_Green_Special_00002</v>
      </c>
      <c r="D1559" s="139" t="str">
        <f>IFERROR(__xludf.DUMMYFUNCTION("""COMPUTED_VALUE"""),"c_sum_00101_general_as4_Boss_Green")</f>
        <v>c_sum_00101_general_as4_Boss_Green</v>
      </c>
      <c r="E1559" s="139">
        <f>IFERROR(__xludf.DUMMYFUNCTION("""COMPUTED_VALUE"""),0.0)</f>
        <v>0</v>
      </c>
      <c r="F1559" s="139" t="str">
        <f>IFERROR(__xludf.DUMMYFUNCTION("""COMPUTED_VALUE"""),"Special")</f>
        <v>Special</v>
      </c>
      <c r="G1559" s="139"/>
      <c r="H1559" s="139"/>
      <c r="I1559" s="139">
        <f>IFERROR(__xludf.DUMMYFUNCTION("""COMPUTED_VALUE"""),110.0)</f>
        <v>110</v>
      </c>
      <c r="J1559" s="139">
        <f>IFERROR(__xludf.DUMMYFUNCTION("""COMPUTED_VALUE"""),50.0)</f>
        <v>50</v>
      </c>
      <c r="K1559" s="139">
        <f>IFERROR(__xludf.DUMMYFUNCTION("""COMPUTED_VALUE"""),0.0)</f>
        <v>0</v>
      </c>
      <c r="L1559" s="139"/>
      <c r="M1559" s="139"/>
      <c r="N1559" s="139"/>
    </row>
    <row r="1560">
      <c r="A1560" s="139" t="str">
        <f>IFERROR(__xludf.DUMMYFUNCTION("""COMPUTED_VALUE"""),"e")</f>
        <v>e</v>
      </c>
      <c r="B1560" s="139">
        <f>IFERROR(__xludf.DUMMYFUNCTION("""COMPUTED_VALUE"""),2.0250901E8)</f>
        <v>202509010</v>
      </c>
      <c r="C1560" s="139" t="str">
        <f>IFERROR(__xludf.DUMMYFUNCTION("""COMPUTED_VALUE"""),"c_kai_00101_general_as4_Normal_Green_Normal_00000")</f>
        <v>c_kai_00101_general_as4_Normal_Green_Normal_00000</v>
      </c>
      <c r="D1560" s="139" t="str">
        <f>IFERROR(__xludf.DUMMYFUNCTION("""COMPUTED_VALUE"""),"c_kai_00101_general_as4_Normal_Green")</f>
        <v>c_kai_00101_general_as4_Normal_Green</v>
      </c>
      <c r="E1560" s="139">
        <f>IFERROR(__xludf.DUMMYFUNCTION("""COMPUTED_VALUE"""),0.0)</f>
        <v>0</v>
      </c>
      <c r="F1560" s="139" t="str">
        <f>IFERROR(__xludf.DUMMYFUNCTION("""COMPUTED_VALUE"""),"Normal")</f>
        <v>Normal</v>
      </c>
      <c r="G1560" s="139"/>
      <c r="H1560" s="139"/>
      <c r="I1560" s="139">
        <f>IFERROR(__xludf.DUMMYFUNCTION("""COMPUTED_VALUE"""),70.0)</f>
        <v>70</v>
      </c>
      <c r="J1560" s="139">
        <f>IFERROR(__xludf.DUMMYFUNCTION("""COMPUTED_VALUE"""),46.0)</f>
        <v>46</v>
      </c>
      <c r="K1560" s="139">
        <f>IFERROR(__xludf.DUMMYFUNCTION("""COMPUTED_VALUE"""),130.0)</f>
        <v>130</v>
      </c>
      <c r="L1560" s="139"/>
      <c r="M1560" s="139"/>
      <c r="N1560" s="139"/>
    </row>
    <row r="1561">
      <c r="A1561" s="139" t="str">
        <f>IFERROR(__xludf.DUMMYFUNCTION("""COMPUTED_VALUE"""),"e")</f>
        <v>e</v>
      </c>
      <c r="B1561" s="139">
        <f>IFERROR(__xludf.DUMMYFUNCTION("""COMPUTED_VALUE"""),2.0250901E8)</f>
        <v>202509010</v>
      </c>
      <c r="C1561" s="139" t="str">
        <f>IFERROR(__xludf.DUMMYFUNCTION("""COMPUTED_VALUE"""),"c_kai_00101_general_as4_Normal_Green_Special_00001")</f>
        <v>c_kai_00101_general_as4_Normal_Green_Special_00001</v>
      </c>
      <c r="D1561" s="139" t="str">
        <f>IFERROR(__xludf.DUMMYFUNCTION("""COMPUTED_VALUE"""),"c_kai_00101_general_as4_Normal_Green")</f>
        <v>c_kai_00101_general_as4_Normal_Green</v>
      </c>
      <c r="E1561" s="139">
        <f>IFERROR(__xludf.DUMMYFUNCTION("""COMPUTED_VALUE"""),0.0)</f>
        <v>0</v>
      </c>
      <c r="F1561" s="139" t="str">
        <f>IFERROR(__xludf.DUMMYFUNCTION("""COMPUTED_VALUE"""),"Special")</f>
        <v>Special</v>
      </c>
      <c r="G1561" s="139"/>
      <c r="H1561" s="139"/>
      <c r="I1561" s="139">
        <f>IFERROR(__xludf.DUMMYFUNCTION("""COMPUTED_VALUE"""),159.0)</f>
        <v>159</v>
      </c>
      <c r="J1561" s="139">
        <f>IFERROR(__xludf.DUMMYFUNCTION("""COMPUTED_VALUE"""),0.0)</f>
        <v>0</v>
      </c>
      <c r="K1561" s="139">
        <f>IFERROR(__xludf.DUMMYFUNCTION("""COMPUTED_VALUE"""),0.0)</f>
        <v>0</v>
      </c>
      <c r="L1561" s="139"/>
      <c r="M1561" s="139"/>
      <c r="N1561" s="139"/>
    </row>
    <row r="1562">
      <c r="A1562" s="139" t="str">
        <f>IFERROR(__xludf.DUMMYFUNCTION("""COMPUTED_VALUE"""),"e")</f>
        <v>e</v>
      </c>
      <c r="B1562" s="139">
        <f>IFERROR(__xludf.DUMMYFUNCTION("""COMPUTED_VALUE"""),2.0250901E8)</f>
        <v>202509010</v>
      </c>
      <c r="C1562" s="139" t="str">
        <f>IFERROR(__xludf.DUMMYFUNCTION("""COMPUTED_VALUE"""),"c_sum_00201_general_as4_Normal_Green_Normal_00000")</f>
        <v>c_sum_00201_general_as4_Normal_Green_Normal_00000</v>
      </c>
      <c r="D1562" s="139" t="str">
        <f>IFERROR(__xludf.DUMMYFUNCTION("""COMPUTED_VALUE"""),"c_sum_00201_general_as4_Normal_Green")</f>
        <v>c_sum_00201_general_as4_Normal_Green</v>
      </c>
      <c r="E1562" s="139">
        <f>IFERROR(__xludf.DUMMYFUNCTION("""COMPUTED_VALUE"""),0.0)</f>
        <v>0</v>
      </c>
      <c r="F1562" s="139" t="str">
        <f>IFERROR(__xludf.DUMMYFUNCTION("""COMPUTED_VALUE"""),"Normal")</f>
        <v>Normal</v>
      </c>
      <c r="G1562" s="139"/>
      <c r="H1562" s="139"/>
      <c r="I1562" s="139">
        <f>IFERROR(__xludf.DUMMYFUNCTION("""COMPUTED_VALUE"""),110.0)</f>
        <v>110</v>
      </c>
      <c r="J1562" s="139">
        <f>IFERROR(__xludf.DUMMYFUNCTION("""COMPUTED_VALUE"""),34.0)</f>
        <v>34</v>
      </c>
      <c r="K1562" s="139">
        <f>IFERROR(__xludf.DUMMYFUNCTION("""COMPUTED_VALUE"""),50.0)</f>
        <v>50</v>
      </c>
      <c r="L1562" s="139"/>
      <c r="M1562" s="139"/>
      <c r="N1562" s="139"/>
    </row>
    <row r="1563">
      <c r="A1563" s="139" t="str">
        <f>IFERROR(__xludf.DUMMYFUNCTION("""COMPUTED_VALUE"""),"e")</f>
        <v>e</v>
      </c>
      <c r="B1563" s="139">
        <f>IFERROR(__xludf.DUMMYFUNCTION("""COMPUTED_VALUE"""),2.0250901E8)</f>
        <v>202509010</v>
      </c>
      <c r="C1563" s="139" t="str">
        <f>IFERROR(__xludf.DUMMYFUNCTION("""COMPUTED_VALUE"""),"c_sum_00201_general_as4_Normal_Green_Special_00001")</f>
        <v>c_sum_00201_general_as4_Normal_Green_Special_00001</v>
      </c>
      <c r="D1563" s="139" t="str">
        <f>IFERROR(__xludf.DUMMYFUNCTION("""COMPUTED_VALUE"""),"c_sum_00201_general_as4_Normal_Green")</f>
        <v>c_sum_00201_general_as4_Normal_Green</v>
      </c>
      <c r="E1563" s="139">
        <f>IFERROR(__xludf.DUMMYFUNCTION("""COMPUTED_VALUE"""),0.0)</f>
        <v>0</v>
      </c>
      <c r="F1563" s="139" t="str">
        <f>IFERROR(__xludf.DUMMYFUNCTION("""COMPUTED_VALUE"""),"Special")</f>
        <v>Special</v>
      </c>
      <c r="G1563" s="139"/>
      <c r="H1563" s="139"/>
      <c r="I1563" s="139">
        <f>IFERROR(__xludf.DUMMYFUNCTION("""COMPUTED_VALUE"""),135.0)</f>
        <v>135</v>
      </c>
      <c r="J1563" s="139">
        <f>IFERROR(__xludf.DUMMYFUNCTION("""COMPUTED_VALUE"""),85.0)</f>
        <v>85</v>
      </c>
      <c r="K1563" s="139">
        <f>IFERROR(__xludf.DUMMYFUNCTION("""COMPUTED_VALUE"""),0.0)</f>
        <v>0</v>
      </c>
      <c r="L1563" s="139"/>
      <c r="M1563" s="139"/>
      <c r="N1563" s="139"/>
    </row>
    <row r="1564">
      <c r="A1564" s="139" t="str">
        <f>IFERROR(__xludf.DUMMYFUNCTION("""COMPUTED_VALUE"""),"e")</f>
        <v>e</v>
      </c>
      <c r="B1564" s="139">
        <f>IFERROR(__xludf.DUMMYFUNCTION("""COMPUTED_VALUE"""),2.0250901E8)</f>
        <v>202509010</v>
      </c>
      <c r="C1564" s="139" t="str">
        <f>IFERROR(__xludf.DUMMYFUNCTION("""COMPUTED_VALUE"""),"e_sum_00101_general_as4_Normal_Green_Normal_00000")</f>
        <v>e_sum_00101_general_as4_Normal_Green_Normal_00000</v>
      </c>
      <c r="D1564" s="139" t="str">
        <f>IFERROR(__xludf.DUMMYFUNCTION("""COMPUTED_VALUE"""),"e_sum_00101_general_as4_Normal_Green")</f>
        <v>e_sum_00101_general_as4_Normal_Green</v>
      </c>
      <c r="E1564" s="139">
        <f>IFERROR(__xludf.DUMMYFUNCTION("""COMPUTED_VALUE"""),0.0)</f>
        <v>0</v>
      </c>
      <c r="F1564" s="139" t="str">
        <f>IFERROR(__xludf.DUMMYFUNCTION("""COMPUTED_VALUE"""),"Normal")</f>
        <v>Normal</v>
      </c>
      <c r="G1564" s="139"/>
      <c r="H1564" s="139"/>
      <c r="I1564" s="139">
        <f>IFERROR(__xludf.DUMMYFUNCTION("""COMPUTED_VALUE"""),70.0)</f>
        <v>70</v>
      </c>
      <c r="J1564" s="139">
        <f>IFERROR(__xludf.DUMMYFUNCTION("""COMPUTED_VALUE"""),30.0)</f>
        <v>30</v>
      </c>
      <c r="K1564" s="139">
        <f>IFERROR(__xludf.DUMMYFUNCTION("""COMPUTED_VALUE"""),150.0)</f>
        <v>150</v>
      </c>
      <c r="L1564" s="139"/>
      <c r="M1564" s="139"/>
      <c r="N1564" s="139"/>
    </row>
    <row r="1565">
      <c r="A1565" s="139" t="str">
        <f>IFERROR(__xludf.DUMMYFUNCTION("""COMPUTED_VALUE"""),"e")</f>
        <v>e</v>
      </c>
      <c r="B1565" s="139">
        <f>IFERROR(__xludf.DUMMYFUNCTION("""COMPUTED_VALUE"""),2.0250901E8)</f>
        <v>202509010</v>
      </c>
      <c r="C1565" s="139" t="str">
        <f>IFERROR(__xludf.DUMMYFUNCTION("""COMPUTED_VALUE"""),"e_sum_00201_general_as4_Normal_Green_Normal_00000")</f>
        <v>e_sum_00201_general_as4_Normal_Green_Normal_00000</v>
      </c>
      <c r="D1565" s="139" t="str">
        <f>IFERROR(__xludf.DUMMYFUNCTION("""COMPUTED_VALUE"""),"e_sum_00201_general_as4_Normal_Green")</f>
        <v>e_sum_00201_general_as4_Normal_Green</v>
      </c>
      <c r="E1565" s="139">
        <f>IFERROR(__xludf.DUMMYFUNCTION("""COMPUTED_VALUE"""),0.0)</f>
        <v>0</v>
      </c>
      <c r="F1565" s="139" t="str">
        <f>IFERROR(__xludf.DUMMYFUNCTION("""COMPUTED_VALUE"""),"Normal")</f>
        <v>Normal</v>
      </c>
      <c r="G1565" s="139"/>
      <c r="H1565" s="139"/>
      <c r="I1565" s="139">
        <f>IFERROR(__xludf.DUMMYFUNCTION("""COMPUTED_VALUE"""),70.0)</f>
        <v>70</v>
      </c>
      <c r="J1565" s="139">
        <f>IFERROR(__xludf.DUMMYFUNCTION("""COMPUTED_VALUE"""),30.0)</f>
        <v>30</v>
      </c>
      <c r="K1565" s="139">
        <f>IFERROR(__xludf.DUMMYFUNCTION("""COMPUTED_VALUE"""),10.0)</f>
        <v>10</v>
      </c>
      <c r="L1565" s="139"/>
      <c r="M1565" s="139"/>
      <c r="N1565" s="139"/>
    </row>
    <row r="1566">
      <c r="A1566" s="139"/>
      <c r="B1566" s="139"/>
      <c r="C1566" s="139"/>
      <c r="D1566" s="139"/>
      <c r="E1566" s="139"/>
      <c r="F1566" s="139"/>
      <c r="G1566" s="139"/>
      <c r="H1566" s="139"/>
      <c r="I1566" s="139"/>
      <c r="J1566" s="139"/>
      <c r="K1566" s="139"/>
      <c r="L1566" s="139"/>
      <c r="M1566" s="139"/>
      <c r="N1566" s="139"/>
    </row>
    <row r="1567">
      <c r="A1567" s="139"/>
      <c r="B1567" s="139"/>
      <c r="C1567" s="139"/>
      <c r="D1567" s="139"/>
      <c r="E1567" s="139"/>
      <c r="F1567" s="139"/>
      <c r="G1567" s="139"/>
      <c r="H1567" s="139"/>
      <c r="I1567" s="139"/>
      <c r="J1567" s="139"/>
      <c r="K1567" s="139"/>
      <c r="L1567" s="139"/>
      <c r="M1567" s="139"/>
      <c r="N1567" s="139"/>
    </row>
    <row r="1568">
      <c r="A1568" s="139" t="str">
        <f>IFERROR(__xludf.DUMMYFUNCTION("""COMPUTED_VALUE"""),"e")</f>
        <v>e</v>
      </c>
      <c r="B1568" s="139">
        <f>IFERROR(__xludf.DUMMYFUNCTION("""COMPUTED_VALUE"""),2.0250901E8)</f>
        <v>202509010</v>
      </c>
      <c r="C1568" s="139" t="str">
        <f>IFERROR(__xludf.DUMMYFUNCTION("""COMPUTED_VALUE"""),"c_mag_00001_general_as4_Boss_Blue_Normal_00000")</f>
        <v>c_mag_00001_general_as4_Boss_Blue_Normal_00000</v>
      </c>
      <c r="D1568" s="139" t="str">
        <f>IFERROR(__xludf.DUMMYFUNCTION("""COMPUTED_VALUE"""),"c_mag_00001_general_as4_Boss_Blue")</f>
        <v>c_mag_00001_general_as4_Boss_Blue</v>
      </c>
      <c r="E1568" s="139">
        <f>IFERROR(__xludf.DUMMYFUNCTION("""COMPUTED_VALUE"""),0.0)</f>
        <v>0</v>
      </c>
      <c r="F1568" s="139" t="str">
        <f>IFERROR(__xludf.DUMMYFUNCTION("""COMPUTED_VALUE"""),"Normal")</f>
        <v>Normal</v>
      </c>
      <c r="G1568" s="139"/>
      <c r="H1568" s="139"/>
      <c r="I1568" s="139">
        <f>IFERROR(__xludf.DUMMYFUNCTION("""COMPUTED_VALUE"""),89.0)</f>
        <v>89</v>
      </c>
      <c r="J1568" s="139">
        <f>IFERROR(__xludf.DUMMYFUNCTION("""COMPUTED_VALUE"""),46.0)</f>
        <v>46</v>
      </c>
      <c r="K1568" s="139">
        <f>IFERROR(__xludf.DUMMYFUNCTION("""COMPUTED_VALUE"""),75.0)</f>
        <v>75</v>
      </c>
      <c r="L1568" s="139"/>
      <c r="M1568" s="139"/>
      <c r="N1568" s="139"/>
    </row>
    <row r="1569">
      <c r="A1569" s="139" t="str">
        <f>IFERROR(__xludf.DUMMYFUNCTION("""COMPUTED_VALUE"""),"e")</f>
        <v>e</v>
      </c>
      <c r="B1569" s="139">
        <f>IFERROR(__xludf.DUMMYFUNCTION("""COMPUTED_VALUE"""),2.0250901E8)</f>
        <v>202509010</v>
      </c>
      <c r="C1569" s="139" t="str">
        <f>IFERROR(__xludf.DUMMYFUNCTION("""COMPUTED_VALUE"""),"c_mag_00001_general_as4_Boss_Blue_Appearance_00001")</f>
        <v>c_mag_00001_general_as4_Boss_Blue_Appearance_00001</v>
      </c>
      <c r="D1569" s="139" t="str">
        <f>IFERROR(__xludf.DUMMYFUNCTION("""COMPUTED_VALUE"""),"c_mag_00001_general_as4_Boss_Blue")</f>
        <v>c_mag_00001_general_as4_Boss_Blue</v>
      </c>
      <c r="E1569" s="139">
        <f>IFERROR(__xludf.DUMMYFUNCTION("""COMPUTED_VALUE"""),0.0)</f>
        <v>0</v>
      </c>
      <c r="F1569" s="139" t="str">
        <f>IFERROR(__xludf.DUMMYFUNCTION("""COMPUTED_VALUE"""),"Appearance")</f>
        <v>Appearance</v>
      </c>
      <c r="G1569" s="139"/>
      <c r="H1569" s="139"/>
      <c r="I1569" s="139">
        <f>IFERROR(__xludf.DUMMYFUNCTION("""COMPUTED_VALUE"""),50.0)</f>
        <v>50</v>
      </c>
      <c r="J1569" s="139">
        <f>IFERROR(__xludf.DUMMYFUNCTION("""COMPUTED_VALUE"""),0.0)</f>
        <v>0</v>
      </c>
      <c r="K1569" s="139">
        <f>IFERROR(__xludf.DUMMYFUNCTION("""COMPUTED_VALUE"""),0.0)</f>
        <v>0</v>
      </c>
      <c r="L1569" s="139"/>
      <c r="M1569" s="139"/>
      <c r="N1569" s="139"/>
    </row>
    <row r="1570">
      <c r="A1570" s="139" t="str">
        <f>IFERROR(__xludf.DUMMYFUNCTION("""COMPUTED_VALUE"""),"e")</f>
        <v>e</v>
      </c>
      <c r="B1570" s="139">
        <f>IFERROR(__xludf.DUMMYFUNCTION("""COMPUTED_VALUE"""),2.0250901E8)</f>
        <v>202509010</v>
      </c>
      <c r="C1570" s="139" t="str">
        <f>IFERROR(__xludf.DUMMYFUNCTION("""COMPUTED_VALUE"""),"c_mag_00001_general_as4_Boss_Blue_Special_00002")</f>
        <v>c_mag_00001_general_as4_Boss_Blue_Special_00002</v>
      </c>
      <c r="D1570" s="139" t="str">
        <f>IFERROR(__xludf.DUMMYFUNCTION("""COMPUTED_VALUE"""),"c_mag_00001_general_as4_Boss_Blue")</f>
        <v>c_mag_00001_general_as4_Boss_Blue</v>
      </c>
      <c r="E1570" s="139">
        <f>IFERROR(__xludf.DUMMYFUNCTION("""COMPUTED_VALUE"""),0.0)</f>
        <v>0</v>
      </c>
      <c r="F1570" s="139" t="str">
        <f>IFERROR(__xludf.DUMMYFUNCTION("""COMPUTED_VALUE"""),"Special")</f>
        <v>Special</v>
      </c>
      <c r="G1570" s="139"/>
      <c r="H1570" s="139"/>
      <c r="I1570" s="139">
        <f>IFERROR(__xludf.DUMMYFUNCTION("""COMPUTED_VALUE"""),117.0)</f>
        <v>117</v>
      </c>
      <c r="J1570" s="139">
        <f>IFERROR(__xludf.DUMMYFUNCTION("""COMPUTED_VALUE"""),0.0)</f>
        <v>0</v>
      </c>
      <c r="K1570" s="139">
        <f>IFERROR(__xludf.DUMMYFUNCTION("""COMPUTED_VALUE"""),0.0)</f>
        <v>0</v>
      </c>
      <c r="L1570" s="139"/>
      <c r="M1570" s="139"/>
      <c r="N1570" s="139"/>
    </row>
    <row r="1571">
      <c r="A1571" s="139" t="str">
        <f>IFERROR(__xludf.DUMMYFUNCTION("""COMPUTED_VALUE"""),"e")</f>
        <v>e</v>
      </c>
      <c r="B1571" s="139">
        <f>IFERROR(__xludf.DUMMYFUNCTION("""COMPUTED_VALUE"""),2.0250901E8)</f>
        <v>202509010</v>
      </c>
      <c r="C1571" s="139" t="str">
        <f>IFERROR(__xludf.DUMMYFUNCTION("""COMPUTED_VALUE"""),"c_kai_00301_general_as4_Normal_Blue_Normal_00000")</f>
        <v>c_kai_00301_general_as4_Normal_Blue_Normal_00000</v>
      </c>
      <c r="D1571" s="139" t="str">
        <f>IFERROR(__xludf.DUMMYFUNCTION("""COMPUTED_VALUE"""),"c_kai_00301_general_as4_Normal_Blue")</f>
        <v>c_kai_00301_general_as4_Normal_Blue</v>
      </c>
      <c r="E1571" s="139">
        <f>IFERROR(__xludf.DUMMYFUNCTION("""COMPUTED_VALUE"""),0.0)</f>
        <v>0</v>
      </c>
      <c r="F1571" s="139" t="str">
        <f>IFERROR(__xludf.DUMMYFUNCTION("""COMPUTED_VALUE"""),"Normal")</f>
        <v>Normal</v>
      </c>
      <c r="G1571" s="139"/>
      <c r="H1571" s="139"/>
      <c r="I1571" s="139">
        <f>IFERROR(__xludf.DUMMYFUNCTION("""COMPUTED_VALUE"""),120.0)</f>
        <v>120</v>
      </c>
      <c r="J1571" s="139">
        <f>IFERROR(__xludf.DUMMYFUNCTION("""COMPUTED_VALUE"""),35.0)</f>
        <v>35</v>
      </c>
      <c r="K1571" s="139">
        <f>IFERROR(__xludf.DUMMYFUNCTION("""COMPUTED_VALUE"""),50.0)</f>
        <v>50</v>
      </c>
      <c r="L1571" s="139"/>
      <c r="M1571" s="139"/>
      <c r="N1571" s="139"/>
    </row>
    <row r="1572">
      <c r="A1572" s="139" t="str">
        <f>IFERROR(__xludf.DUMMYFUNCTION("""COMPUTED_VALUE"""),"e")</f>
        <v>e</v>
      </c>
      <c r="B1572" s="139">
        <f>IFERROR(__xludf.DUMMYFUNCTION("""COMPUTED_VALUE"""),2.0250901E8)</f>
        <v>202509010</v>
      </c>
      <c r="C1572" s="139" t="str">
        <f>IFERROR(__xludf.DUMMYFUNCTION("""COMPUTED_VALUE"""),"c_kai_00301_general_as4_Normal_Blue_Special_00001")</f>
        <v>c_kai_00301_general_as4_Normal_Blue_Special_00001</v>
      </c>
      <c r="D1572" s="139" t="str">
        <f>IFERROR(__xludf.DUMMYFUNCTION("""COMPUTED_VALUE"""),"c_kai_00301_general_as4_Normal_Blue")</f>
        <v>c_kai_00301_general_as4_Normal_Blue</v>
      </c>
      <c r="E1572" s="139">
        <f>IFERROR(__xludf.DUMMYFUNCTION("""COMPUTED_VALUE"""),0.0)</f>
        <v>0</v>
      </c>
      <c r="F1572" s="139" t="str">
        <f>IFERROR(__xludf.DUMMYFUNCTION("""COMPUTED_VALUE"""),"Special")</f>
        <v>Special</v>
      </c>
      <c r="G1572" s="139"/>
      <c r="H1572" s="139"/>
      <c r="I1572" s="139">
        <f>IFERROR(__xludf.DUMMYFUNCTION("""COMPUTED_VALUE"""),167.0)</f>
        <v>167</v>
      </c>
      <c r="J1572" s="139">
        <f>IFERROR(__xludf.DUMMYFUNCTION("""COMPUTED_VALUE"""),54.0)</f>
        <v>54</v>
      </c>
      <c r="K1572" s="139">
        <f>IFERROR(__xludf.DUMMYFUNCTION("""COMPUTED_VALUE"""),0.0)</f>
        <v>0</v>
      </c>
      <c r="L1572" s="139"/>
      <c r="M1572" s="139"/>
      <c r="N1572" s="139"/>
    </row>
    <row r="1573">
      <c r="A1573" s="139" t="str">
        <f>IFERROR(__xludf.DUMMYFUNCTION("""COMPUTED_VALUE"""),"e")</f>
        <v>e</v>
      </c>
      <c r="B1573" s="139">
        <f>IFERROR(__xludf.DUMMYFUNCTION("""COMPUTED_VALUE"""),2.0250901E8)</f>
        <v>202509010</v>
      </c>
      <c r="C1573" s="139" t="str">
        <f>IFERROR(__xludf.DUMMYFUNCTION("""COMPUTED_VALUE"""),"c_mag_00101_general_as4_Normal_Blue_Normal_00000")</f>
        <v>c_mag_00101_general_as4_Normal_Blue_Normal_00000</v>
      </c>
      <c r="D1573" s="139" t="str">
        <f>IFERROR(__xludf.DUMMYFUNCTION("""COMPUTED_VALUE"""),"c_mag_00101_general_as4_Normal_Blue")</f>
        <v>c_mag_00101_general_as4_Normal_Blue</v>
      </c>
      <c r="E1573" s="139">
        <f>IFERROR(__xludf.DUMMYFUNCTION("""COMPUTED_VALUE"""),0.0)</f>
        <v>0</v>
      </c>
      <c r="F1573" s="139" t="str">
        <f>IFERROR(__xludf.DUMMYFUNCTION("""COMPUTED_VALUE"""),"Normal")</f>
        <v>Normal</v>
      </c>
      <c r="G1573" s="139"/>
      <c r="H1573" s="139"/>
      <c r="I1573" s="139">
        <f>IFERROR(__xludf.DUMMYFUNCTION("""COMPUTED_VALUE"""),95.0)</f>
        <v>95</v>
      </c>
      <c r="J1573" s="139">
        <f>IFERROR(__xludf.DUMMYFUNCTION("""COMPUTED_VALUE"""),42.0)</f>
        <v>42</v>
      </c>
      <c r="K1573" s="139">
        <f>IFERROR(__xludf.DUMMYFUNCTION("""COMPUTED_VALUE"""),75.0)</f>
        <v>75</v>
      </c>
      <c r="L1573" s="139"/>
      <c r="M1573" s="139"/>
      <c r="N1573" s="139"/>
    </row>
    <row r="1574">
      <c r="A1574" s="139" t="str">
        <f>IFERROR(__xludf.DUMMYFUNCTION("""COMPUTED_VALUE"""),"e")</f>
        <v>e</v>
      </c>
      <c r="B1574" s="139">
        <f>IFERROR(__xludf.DUMMYFUNCTION("""COMPUTED_VALUE"""),2.0250901E8)</f>
        <v>202509010</v>
      </c>
      <c r="C1574" s="139" t="str">
        <f>IFERROR(__xludf.DUMMYFUNCTION("""COMPUTED_VALUE"""),"c_mag_00101_general_as4_Normal_Blue_Special_00001")</f>
        <v>c_mag_00101_general_as4_Normal_Blue_Special_00001</v>
      </c>
      <c r="D1574" s="139" t="str">
        <f>IFERROR(__xludf.DUMMYFUNCTION("""COMPUTED_VALUE"""),"c_mag_00101_general_as4_Normal_Blue")</f>
        <v>c_mag_00101_general_as4_Normal_Blue</v>
      </c>
      <c r="E1574" s="139">
        <f>IFERROR(__xludf.DUMMYFUNCTION("""COMPUTED_VALUE"""),0.0)</f>
        <v>0</v>
      </c>
      <c r="F1574" s="139" t="str">
        <f>IFERROR(__xludf.DUMMYFUNCTION("""COMPUTED_VALUE"""),"Special")</f>
        <v>Special</v>
      </c>
      <c r="G1574" s="139"/>
      <c r="H1574" s="139"/>
      <c r="I1574" s="139">
        <f>IFERROR(__xludf.DUMMYFUNCTION("""COMPUTED_VALUE"""),134.0)</f>
        <v>134</v>
      </c>
      <c r="J1574" s="139">
        <f>IFERROR(__xludf.DUMMYFUNCTION("""COMPUTED_VALUE"""),75.0)</f>
        <v>75</v>
      </c>
      <c r="K1574" s="139">
        <f>IFERROR(__xludf.DUMMYFUNCTION("""COMPUTED_VALUE"""),0.0)</f>
        <v>0</v>
      </c>
      <c r="L1574" s="139"/>
      <c r="M1574" s="139"/>
      <c r="N1574" s="139"/>
    </row>
    <row r="1575">
      <c r="A1575" s="139" t="str">
        <f>IFERROR(__xludf.DUMMYFUNCTION("""COMPUTED_VALUE"""),"e")</f>
        <v>e</v>
      </c>
      <c r="B1575" s="139">
        <f>IFERROR(__xludf.DUMMYFUNCTION("""COMPUTED_VALUE"""),2.0250901E8)</f>
        <v>202509010</v>
      </c>
      <c r="C1575" s="139" t="str">
        <f>IFERROR(__xludf.DUMMYFUNCTION("""COMPUTED_VALUE"""),"c_sum_00001_general_as4_Normal_Blue_Normal_00000")</f>
        <v>c_sum_00001_general_as4_Normal_Blue_Normal_00000</v>
      </c>
      <c r="D1575" s="139" t="str">
        <f>IFERROR(__xludf.DUMMYFUNCTION("""COMPUTED_VALUE"""),"c_sum_00001_general_as4_Normal_Blue")</f>
        <v>c_sum_00001_general_as4_Normal_Blue</v>
      </c>
      <c r="E1575" s="139">
        <f>IFERROR(__xludf.DUMMYFUNCTION("""COMPUTED_VALUE"""),0.0)</f>
        <v>0</v>
      </c>
      <c r="F1575" s="139" t="str">
        <f>IFERROR(__xludf.DUMMYFUNCTION("""COMPUTED_VALUE"""),"Normal")</f>
        <v>Normal</v>
      </c>
      <c r="G1575" s="139"/>
      <c r="H1575" s="139"/>
      <c r="I1575" s="139">
        <f>IFERROR(__xludf.DUMMYFUNCTION("""COMPUTED_VALUE"""),70.0)</f>
        <v>70</v>
      </c>
      <c r="J1575" s="139">
        <f>IFERROR(__xludf.DUMMYFUNCTION("""COMPUTED_VALUE"""),33.0)</f>
        <v>33</v>
      </c>
      <c r="K1575" s="139">
        <f>IFERROR(__xludf.DUMMYFUNCTION("""COMPUTED_VALUE"""),150.0)</f>
        <v>150</v>
      </c>
      <c r="L1575" s="139"/>
      <c r="M1575" s="139"/>
      <c r="N1575" s="139"/>
    </row>
    <row r="1576">
      <c r="A1576" s="139" t="str">
        <f>IFERROR(__xludf.DUMMYFUNCTION("""COMPUTED_VALUE"""),"e")</f>
        <v>e</v>
      </c>
      <c r="B1576" s="139">
        <f>IFERROR(__xludf.DUMMYFUNCTION("""COMPUTED_VALUE"""),2.0250901E8)</f>
        <v>202509010</v>
      </c>
      <c r="C1576" s="139" t="str">
        <f>IFERROR(__xludf.DUMMYFUNCTION("""COMPUTED_VALUE"""),"c_sum_00001_general_as4_Normal_Blue_Special_00001")</f>
        <v>c_sum_00001_general_as4_Normal_Blue_Special_00001</v>
      </c>
      <c r="D1576" s="139" t="str">
        <f>IFERROR(__xludf.DUMMYFUNCTION("""COMPUTED_VALUE"""),"c_sum_00001_general_as4_Normal_Blue")</f>
        <v>c_sum_00001_general_as4_Normal_Blue</v>
      </c>
      <c r="E1576" s="139">
        <f>IFERROR(__xludf.DUMMYFUNCTION("""COMPUTED_VALUE"""),0.0)</f>
        <v>0</v>
      </c>
      <c r="F1576" s="139" t="str">
        <f>IFERROR(__xludf.DUMMYFUNCTION("""COMPUTED_VALUE"""),"Special")</f>
        <v>Special</v>
      </c>
      <c r="G1576" s="139"/>
      <c r="H1576" s="139"/>
      <c r="I1576" s="139">
        <f>IFERROR(__xludf.DUMMYFUNCTION("""COMPUTED_VALUE"""),117.0)</f>
        <v>117</v>
      </c>
      <c r="J1576" s="139">
        <f>IFERROR(__xludf.DUMMYFUNCTION("""COMPUTED_VALUE"""),0.0)</f>
        <v>0</v>
      </c>
      <c r="K1576" s="139">
        <f>IFERROR(__xludf.DUMMYFUNCTION("""COMPUTED_VALUE"""),0.0)</f>
        <v>0</v>
      </c>
      <c r="L1576" s="139"/>
      <c r="M1576" s="139"/>
      <c r="N1576" s="139"/>
    </row>
    <row r="1577">
      <c r="A1577" s="139" t="str">
        <f>IFERROR(__xludf.DUMMYFUNCTION("""COMPUTED_VALUE"""),"e")</f>
        <v>e</v>
      </c>
      <c r="B1577" s="139">
        <f>IFERROR(__xludf.DUMMYFUNCTION("""COMPUTED_VALUE"""),2.0250901E8)</f>
        <v>202509010</v>
      </c>
      <c r="C1577" s="139" t="str">
        <f>IFERROR(__xludf.DUMMYFUNCTION("""COMPUTED_VALUE"""),"c_kai_00001_general_as4_Normal_Blue_Normal_00000")</f>
        <v>c_kai_00001_general_as4_Normal_Blue_Normal_00000</v>
      </c>
      <c r="D1577" s="139" t="str">
        <f>IFERROR(__xludf.DUMMYFUNCTION("""COMPUTED_VALUE"""),"c_kai_00001_general_as4_Normal_Blue")</f>
        <v>c_kai_00001_general_as4_Normal_Blue</v>
      </c>
      <c r="E1577" s="139">
        <f>IFERROR(__xludf.DUMMYFUNCTION("""COMPUTED_VALUE"""),0.0)</f>
        <v>0</v>
      </c>
      <c r="F1577" s="139" t="str">
        <f>IFERROR(__xludf.DUMMYFUNCTION("""COMPUTED_VALUE"""),"Normal")</f>
        <v>Normal</v>
      </c>
      <c r="G1577" s="139"/>
      <c r="H1577" s="139"/>
      <c r="I1577" s="139">
        <f>IFERROR(__xludf.DUMMYFUNCTION("""COMPUTED_VALUE"""),92.0)</f>
        <v>92</v>
      </c>
      <c r="J1577" s="139">
        <f>IFERROR(__xludf.DUMMYFUNCTION("""COMPUTED_VALUE"""),50.0)</f>
        <v>50</v>
      </c>
      <c r="K1577" s="139">
        <f>IFERROR(__xludf.DUMMYFUNCTION("""COMPUTED_VALUE"""),75.0)</f>
        <v>75</v>
      </c>
      <c r="L1577" s="139"/>
      <c r="M1577" s="139"/>
      <c r="N1577" s="139"/>
    </row>
    <row r="1578">
      <c r="A1578" s="139" t="str">
        <f>IFERROR(__xludf.DUMMYFUNCTION("""COMPUTED_VALUE"""),"e")</f>
        <v>e</v>
      </c>
      <c r="B1578" s="139">
        <f>IFERROR(__xludf.DUMMYFUNCTION("""COMPUTED_VALUE"""),2.0250901E8)</f>
        <v>202509010</v>
      </c>
      <c r="C1578" s="139" t="str">
        <f>IFERROR(__xludf.DUMMYFUNCTION("""COMPUTED_VALUE"""),"c_kai_00001_general_as4_Normal_Blue_Special_00001")</f>
        <v>c_kai_00001_general_as4_Normal_Blue_Special_00001</v>
      </c>
      <c r="D1578" s="139" t="str">
        <f>IFERROR(__xludf.DUMMYFUNCTION("""COMPUTED_VALUE"""),"c_kai_00001_general_as4_Normal_Blue")</f>
        <v>c_kai_00001_general_as4_Normal_Blue</v>
      </c>
      <c r="E1578" s="139">
        <f>IFERROR(__xludf.DUMMYFUNCTION("""COMPUTED_VALUE"""),0.0)</f>
        <v>0</v>
      </c>
      <c r="F1578" s="139" t="str">
        <f>IFERROR(__xludf.DUMMYFUNCTION("""COMPUTED_VALUE"""),"Special")</f>
        <v>Special</v>
      </c>
      <c r="G1578" s="139"/>
      <c r="H1578" s="139"/>
      <c r="I1578" s="139">
        <f>IFERROR(__xludf.DUMMYFUNCTION("""COMPUTED_VALUE"""),117.0)</f>
        <v>117</v>
      </c>
      <c r="J1578" s="139">
        <f>IFERROR(__xludf.DUMMYFUNCTION("""COMPUTED_VALUE"""),67.0)</f>
        <v>67</v>
      </c>
      <c r="K1578" s="139">
        <f>IFERROR(__xludf.DUMMYFUNCTION("""COMPUTED_VALUE"""),0.0)</f>
        <v>0</v>
      </c>
      <c r="L1578" s="139"/>
      <c r="M1578" s="139"/>
      <c r="N1578" s="139"/>
    </row>
    <row r="1579">
      <c r="A1579" s="139" t="str">
        <f>IFERROR(__xludf.DUMMYFUNCTION("""COMPUTED_VALUE"""),"e")</f>
        <v>e</v>
      </c>
      <c r="B1579" s="139">
        <f>IFERROR(__xludf.DUMMYFUNCTION("""COMPUTED_VALUE"""),2.0250901E8)</f>
        <v>202509010</v>
      </c>
      <c r="C1579" s="139" t="str">
        <f>IFERROR(__xludf.DUMMYFUNCTION("""COMPUTED_VALUE"""),"e_mag_00101_general_as4_Normal_Blue_Normal_00000")</f>
        <v>e_mag_00101_general_as4_Normal_Blue_Normal_00000</v>
      </c>
      <c r="D1579" s="139" t="str">
        <f>IFERROR(__xludf.DUMMYFUNCTION("""COMPUTED_VALUE"""),"e_mag_00101_general_as4_Normal_Blue")</f>
        <v>e_mag_00101_general_as4_Normal_Blue</v>
      </c>
      <c r="E1579" s="139">
        <f>IFERROR(__xludf.DUMMYFUNCTION("""COMPUTED_VALUE"""),0.0)</f>
        <v>0</v>
      </c>
      <c r="F1579" s="139" t="str">
        <f>IFERROR(__xludf.DUMMYFUNCTION("""COMPUTED_VALUE"""),"Normal")</f>
        <v>Normal</v>
      </c>
      <c r="G1579" s="139"/>
      <c r="H1579" s="139"/>
      <c r="I1579" s="139">
        <f>IFERROR(__xludf.DUMMYFUNCTION("""COMPUTED_VALUE"""),19.0)</f>
        <v>19</v>
      </c>
      <c r="J1579" s="139">
        <f>IFERROR(__xludf.DUMMYFUNCTION("""COMPUTED_VALUE"""),10.0)</f>
        <v>10</v>
      </c>
      <c r="K1579" s="139">
        <f>IFERROR(__xludf.DUMMYFUNCTION("""COMPUTED_VALUE"""),0.0)</f>
        <v>0</v>
      </c>
      <c r="L1579" s="139"/>
      <c r="M1579" s="139"/>
      <c r="N1579" s="139"/>
    </row>
    <row r="1580">
      <c r="A1580" s="139" t="str">
        <f>IFERROR(__xludf.DUMMYFUNCTION("""COMPUTED_VALUE"""),"e")</f>
        <v>e</v>
      </c>
      <c r="B1580" s="139">
        <f>IFERROR(__xludf.DUMMYFUNCTION("""COMPUTED_VALUE"""),2.0250901E8)</f>
        <v>202509010</v>
      </c>
      <c r="C1580" s="139" t="str">
        <f>IFERROR(__xludf.DUMMYFUNCTION("""COMPUTED_VALUE"""),"e_mag_00101_general_as4_Normal_Colorless_Normal_00000")</f>
        <v>e_mag_00101_general_as4_Normal_Colorless_Normal_00000</v>
      </c>
      <c r="D1580" s="139" t="str">
        <f>IFERROR(__xludf.DUMMYFUNCTION("""COMPUTED_VALUE"""),"e_mag_00101_general_as4_Normal_Colorless")</f>
        <v>e_mag_00101_general_as4_Normal_Colorless</v>
      </c>
      <c r="E1580" s="139">
        <f>IFERROR(__xludf.DUMMYFUNCTION("""COMPUTED_VALUE"""),0.0)</f>
        <v>0</v>
      </c>
      <c r="F1580" s="139" t="str">
        <f>IFERROR(__xludf.DUMMYFUNCTION("""COMPUTED_VALUE"""),"Normal")</f>
        <v>Normal</v>
      </c>
      <c r="G1580" s="139"/>
      <c r="H1580" s="139"/>
      <c r="I1580" s="139">
        <f>IFERROR(__xludf.DUMMYFUNCTION("""COMPUTED_VALUE"""),19.0)</f>
        <v>19</v>
      </c>
      <c r="J1580" s="139">
        <f>IFERROR(__xludf.DUMMYFUNCTION("""COMPUTED_VALUE"""),10.0)</f>
        <v>10</v>
      </c>
      <c r="K1580" s="139">
        <f>IFERROR(__xludf.DUMMYFUNCTION("""COMPUTED_VALUE"""),0.0)</f>
        <v>0</v>
      </c>
      <c r="L1580" s="139"/>
      <c r="M1580" s="139"/>
      <c r="N1580" s="139"/>
    </row>
    <row r="1581">
      <c r="A1581" s="139"/>
      <c r="B1581" s="139"/>
      <c r="C1581" s="139"/>
      <c r="D1581" s="139"/>
      <c r="E1581" s="139"/>
      <c r="F1581" s="139"/>
      <c r="G1581" s="139"/>
      <c r="H1581" s="139"/>
      <c r="I1581" s="139"/>
      <c r="J1581" s="139"/>
      <c r="K1581" s="139"/>
      <c r="L1581" s="139"/>
      <c r="M1581" s="139"/>
      <c r="N1581" s="139"/>
    </row>
    <row r="1582">
      <c r="A1582" s="139" t="str">
        <f>IFERROR(__xludf.DUMMYFUNCTION("""COMPUTED_VALUE"""),"e")</f>
        <v>e</v>
      </c>
      <c r="B1582" s="139">
        <f>IFERROR(__xludf.DUMMYFUNCTION("""COMPUTED_VALUE"""),2.0250901E8)</f>
        <v>202509010</v>
      </c>
      <c r="C1582" s="139" t="str">
        <f>IFERROR(__xludf.DUMMYFUNCTION("""COMPUTED_VALUE"""),"e_glo_00001_general_as_Normal_Yellow_Normal_00000")</f>
        <v>e_glo_00001_general_as_Normal_Yellow_Normal_00000</v>
      </c>
      <c r="D1582" s="139" t="str">
        <f>IFERROR(__xludf.DUMMYFUNCTION("""COMPUTED_VALUE"""),"e_glo_00001_general_as_Normal_Yellow")</f>
        <v>e_glo_00001_general_as_Normal_Yellow</v>
      </c>
      <c r="E1582" s="139">
        <f>IFERROR(__xludf.DUMMYFUNCTION("""COMPUTED_VALUE"""),0.0)</f>
        <v>0</v>
      </c>
      <c r="F1582" s="139" t="str">
        <f>IFERROR(__xludf.DUMMYFUNCTION("""COMPUTED_VALUE"""),"Normal")</f>
        <v>Normal</v>
      </c>
      <c r="G1582" s="139"/>
      <c r="H1582" s="139"/>
      <c r="I1582" s="139">
        <f>IFERROR(__xludf.DUMMYFUNCTION("""COMPUTED_VALUE"""),50.0)</f>
        <v>50</v>
      </c>
      <c r="J1582" s="139">
        <f>IFERROR(__xludf.DUMMYFUNCTION("""COMPUTED_VALUE"""),25.0)</f>
        <v>25</v>
      </c>
      <c r="K1582" s="139">
        <f>IFERROR(__xludf.DUMMYFUNCTION("""COMPUTED_VALUE"""),50.0)</f>
        <v>50</v>
      </c>
      <c r="L1582" s="139"/>
      <c r="M1582" s="139"/>
      <c r="N1582" s="139"/>
    </row>
    <row r="1583">
      <c r="A1583" s="139" t="str">
        <f>IFERROR(__xludf.DUMMYFUNCTION("""COMPUTED_VALUE"""),"e")</f>
        <v>e</v>
      </c>
      <c r="B1583" s="139">
        <f>IFERROR(__xludf.DUMMYFUNCTION("""COMPUTED_VALUE"""),2.0250901E8)</f>
        <v>202509010</v>
      </c>
      <c r="C1583" s="139" t="str">
        <f>IFERROR(__xludf.DUMMYFUNCTION("""COMPUTED_VALUE"""),"e_glo_00001_general_as_h_Normal_Yellow_Normal_00000")</f>
        <v>e_glo_00001_general_as_h_Normal_Yellow_Normal_00000</v>
      </c>
      <c r="D1583" s="139" t="str">
        <f>IFERROR(__xludf.DUMMYFUNCTION("""COMPUTED_VALUE"""),"e_glo_00001_general_as_h_Normal_Yellow")</f>
        <v>e_glo_00001_general_as_h_Normal_Yellow</v>
      </c>
      <c r="E1583" s="139">
        <f>IFERROR(__xludf.DUMMYFUNCTION("""COMPUTED_VALUE"""),0.0)</f>
        <v>0</v>
      </c>
      <c r="F1583" s="139" t="str">
        <f>IFERROR(__xludf.DUMMYFUNCTION("""COMPUTED_VALUE"""),"Normal")</f>
        <v>Normal</v>
      </c>
      <c r="G1583" s="139"/>
      <c r="H1583" s="139"/>
      <c r="I1583" s="139">
        <f>IFERROR(__xludf.DUMMYFUNCTION("""COMPUTED_VALUE"""),50.0)</f>
        <v>50</v>
      </c>
      <c r="J1583" s="139">
        <f>IFERROR(__xludf.DUMMYFUNCTION("""COMPUTED_VALUE"""),25.0)</f>
        <v>25</v>
      </c>
      <c r="K1583" s="139">
        <f>IFERROR(__xludf.DUMMYFUNCTION("""COMPUTED_VALUE"""),50.0)</f>
        <v>50</v>
      </c>
      <c r="L1583" s="139"/>
      <c r="M1583" s="139"/>
      <c r="N1583" s="139"/>
    </row>
    <row r="1584">
      <c r="A1584" s="139" t="str">
        <f>IFERROR(__xludf.DUMMYFUNCTION("""COMPUTED_VALUE"""),"e")</f>
        <v>e</v>
      </c>
      <c r="B1584" s="139">
        <f>IFERROR(__xludf.DUMMYFUNCTION("""COMPUTED_VALUE"""),2.0250901E8)</f>
        <v>202509010</v>
      </c>
      <c r="C1584" s="139" t="str">
        <f>IFERROR(__xludf.DUMMYFUNCTION("""COMPUTED_VALUE"""),"e_glo_00101_general_as_Boss_Yellow_Normal_00000")</f>
        <v>e_glo_00101_general_as_Boss_Yellow_Normal_00000</v>
      </c>
      <c r="D1584" s="139" t="str">
        <f>IFERROR(__xludf.DUMMYFUNCTION("""COMPUTED_VALUE"""),"e_glo_00101_general_as_Boss_Yellow")</f>
        <v>e_glo_00101_general_as_Boss_Yellow</v>
      </c>
      <c r="E1584" s="139">
        <f>IFERROR(__xludf.DUMMYFUNCTION("""COMPUTED_VALUE"""),0.0)</f>
        <v>0</v>
      </c>
      <c r="F1584" s="139" t="str">
        <f>IFERROR(__xludf.DUMMYFUNCTION("""COMPUTED_VALUE"""),"Normal")</f>
        <v>Normal</v>
      </c>
      <c r="G1584" s="139"/>
      <c r="H1584" s="139"/>
      <c r="I1584" s="139">
        <f>IFERROR(__xludf.DUMMYFUNCTION("""COMPUTED_VALUE"""),59.0)</f>
        <v>59</v>
      </c>
      <c r="J1584" s="139">
        <f>IFERROR(__xludf.DUMMYFUNCTION("""COMPUTED_VALUE"""),28.0)</f>
        <v>28</v>
      </c>
      <c r="K1584" s="139">
        <f>IFERROR(__xludf.DUMMYFUNCTION("""COMPUTED_VALUE"""),200.0)</f>
        <v>200</v>
      </c>
      <c r="L1584" s="139"/>
      <c r="M1584" s="139"/>
      <c r="N1584" s="139"/>
    </row>
    <row r="1585">
      <c r="A1585" s="139" t="str">
        <f>IFERROR(__xludf.DUMMYFUNCTION("""COMPUTED_VALUE"""),"e")</f>
        <v>e</v>
      </c>
      <c r="B1585" s="139">
        <f>IFERROR(__xludf.DUMMYFUNCTION("""COMPUTED_VALUE"""),2.0250901E8)</f>
        <v>202509010</v>
      </c>
      <c r="C1585" s="139" t="str">
        <f>IFERROR(__xludf.DUMMYFUNCTION("""COMPUTED_VALUE"""),"e_glo_00101_general_as_Boss_Yellow_Appearance_00001")</f>
        <v>e_glo_00101_general_as_Boss_Yellow_Appearance_00001</v>
      </c>
      <c r="D1585" s="139" t="str">
        <f>IFERROR(__xludf.DUMMYFUNCTION("""COMPUTED_VALUE"""),"e_glo_00101_general_as_Boss_Yellow")</f>
        <v>e_glo_00101_general_as_Boss_Yellow</v>
      </c>
      <c r="E1585" s="139">
        <f>IFERROR(__xludf.DUMMYFUNCTION("""COMPUTED_VALUE"""),0.0)</f>
        <v>0</v>
      </c>
      <c r="F1585" s="139" t="str">
        <f>IFERROR(__xludf.DUMMYFUNCTION("""COMPUTED_VALUE"""),"Appearance")</f>
        <v>Appearance</v>
      </c>
      <c r="G1585" s="139"/>
      <c r="H1585" s="139"/>
      <c r="I1585" s="139">
        <f>IFERROR(__xludf.DUMMYFUNCTION("""COMPUTED_VALUE"""),50.0)</f>
        <v>50</v>
      </c>
      <c r="J1585" s="139">
        <f>IFERROR(__xludf.DUMMYFUNCTION("""COMPUTED_VALUE"""),0.0)</f>
        <v>0</v>
      </c>
      <c r="K1585" s="139">
        <f>IFERROR(__xludf.DUMMYFUNCTION("""COMPUTED_VALUE"""),0.0)</f>
        <v>0</v>
      </c>
      <c r="L1585" s="139"/>
      <c r="M1585" s="139"/>
      <c r="N1585" s="139"/>
    </row>
    <row r="1586">
      <c r="A1586" s="139" t="str">
        <f>IFERROR(__xludf.DUMMYFUNCTION("""COMPUTED_VALUE"""),"e")</f>
        <v>e</v>
      </c>
      <c r="B1586" s="139">
        <f>IFERROR(__xludf.DUMMYFUNCTION("""COMPUTED_VALUE"""),2.0250901E8)</f>
        <v>202509010</v>
      </c>
      <c r="C1586" s="139" t="str">
        <f>IFERROR(__xludf.DUMMYFUNCTION("""COMPUTED_VALUE"""),"e_glo_00101_general_as_h_Boss_Yellow_Normal_00000")</f>
        <v>e_glo_00101_general_as_h_Boss_Yellow_Normal_00000</v>
      </c>
      <c r="D1586" s="139" t="str">
        <f>IFERROR(__xludf.DUMMYFUNCTION("""COMPUTED_VALUE"""),"e_glo_00101_general_as_h_Boss_Yellow")</f>
        <v>e_glo_00101_general_as_h_Boss_Yellow</v>
      </c>
      <c r="E1586" s="139">
        <f>IFERROR(__xludf.DUMMYFUNCTION("""COMPUTED_VALUE"""),0.0)</f>
        <v>0</v>
      </c>
      <c r="F1586" s="139" t="str">
        <f>IFERROR(__xludf.DUMMYFUNCTION("""COMPUTED_VALUE"""),"Normal")</f>
        <v>Normal</v>
      </c>
      <c r="G1586" s="139"/>
      <c r="H1586" s="139"/>
      <c r="I1586" s="139">
        <f>IFERROR(__xludf.DUMMYFUNCTION("""COMPUTED_VALUE"""),59.0)</f>
        <v>59</v>
      </c>
      <c r="J1586" s="139">
        <f>IFERROR(__xludf.DUMMYFUNCTION("""COMPUTED_VALUE"""),28.0)</f>
        <v>28</v>
      </c>
      <c r="K1586" s="139">
        <f>IFERROR(__xludf.DUMMYFUNCTION("""COMPUTED_VALUE"""),200.0)</f>
        <v>200</v>
      </c>
      <c r="L1586" s="139"/>
      <c r="M1586" s="139"/>
      <c r="N1586" s="139"/>
    </row>
    <row r="1587">
      <c r="A1587" s="139" t="str">
        <f>IFERROR(__xludf.DUMMYFUNCTION("""COMPUTED_VALUE"""),"e")</f>
        <v>e</v>
      </c>
      <c r="B1587" s="139">
        <f>IFERROR(__xludf.DUMMYFUNCTION("""COMPUTED_VALUE"""),2.0250901E8)</f>
        <v>202509010</v>
      </c>
      <c r="C1587" s="139" t="str">
        <f>IFERROR(__xludf.DUMMYFUNCTION("""COMPUTED_VALUE"""),"e_glo_00101_general_as_h_Boss_Yellow_Appearance_00001")</f>
        <v>e_glo_00101_general_as_h_Boss_Yellow_Appearance_00001</v>
      </c>
      <c r="D1587" s="139" t="str">
        <f>IFERROR(__xludf.DUMMYFUNCTION("""COMPUTED_VALUE"""),"e_glo_00101_general_as_h_Boss_Yellow")</f>
        <v>e_glo_00101_general_as_h_Boss_Yellow</v>
      </c>
      <c r="E1587" s="139">
        <f>IFERROR(__xludf.DUMMYFUNCTION("""COMPUTED_VALUE"""),0.0)</f>
        <v>0</v>
      </c>
      <c r="F1587" s="139" t="str">
        <f>IFERROR(__xludf.DUMMYFUNCTION("""COMPUTED_VALUE"""),"Appearance")</f>
        <v>Appearance</v>
      </c>
      <c r="G1587" s="139"/>
      <c r="H1587" s="139"/>
      <c r="I1587" s="139">
        <f>IFERROR(__xludf.DUMMYFUNCTION("""COMPUTED_VALUE"""),50.0)</f>
        <v>50</v>
      </c>
      <c r="J1587" s="139">
        <f>IFERROR(__xludf.DUMMYFUNCTION("""COMPUTED_VALUE"""),0.0)</f>
        <v>0</v>
      </c>
      <c r="K1587" s="139">
        <f>IFERROR(__xludf.DUMMYFUNCTION("""COMPUTED_VALUE"""),0.0)</f>
        <v>0</v>
      </c>
      <c r="L1587" s="139"/>
      <c r="M1587" s="139"/>
      <c r="N1587" s="139"/>
    </row>
    <row r="1588">
      <c r="A1588" s="139"/>
      <c r="B1588" s="139"/>
      <c r="C1588" s="139"/>
      <c r="D1588" s="139"/>
      <c r="E1588" s="139"/>
      <c r="F1588" s="139"/>
      <c r="G1588" s="139"/>
      <c r="H1588" s="139"/>
      <c r="I1588" s="139"/>
      <c r="J1588" s="139"/>
      <c r="K1588" s="139"/>
      <c r="L1588" s="139"/>
      <c r="M1588" s="139"/>
      <c r="N1588" s="139"/>
    </row>
    <row r="1589">
      <c r="A1589" s="139" t="str">
        <f>IFERROR(__xludf.DUMMYFUNCTION("""COMPUTED_VALUE"""),"e")</f>
        <v>e</v>
      </c>
      <c r="B1589" s="139">
        <f>IFERROR(__xludf.DUMMYFUNCTION("""COMPUTED_VALUE"""),2.0250901E8)</f>
        <v>202509010</v>
      </c>
      <c r="C1589" s="139" t="str">
        <f>IFERROR(__xludf.DUMMYFUNCTION("""COMPUTED_VALUE"""),"e_glo_00001_general_ori4_Normal_Yellow_Normal_00000")</f>
        <v>e_glo_00001_general_ori4_Normal_Yellow_Normal_00000</v>
      </c>
      <c r="D1589" s="139" t="str">
        <f>IFERROR(__xludf.DUMMYFUNCTION("""COMPUTED_VALUE"""),"e_glo_00001_general_ori4_Normal_Yellow")</f>
        <v>e_glo_00001_general_ori4_Normal_Yellow</v>
      </c>
      <c r="E1589" s="139">
        <f>IFERROR(__xludf.DUMMYFUNCTION("""COMPUTED_VALUE"""),0.0)</f>
        <v>0</v>
      </c>
      <c r="F1589" s="139" t="str">
        <f>IFERROR(__xludf.DUMMYFUNCTION("""COMPUTED_VALUE"""),"Normal")</f>
        <v>Normal</v>
      </c>
      <c r="G1589" s="139"/>
      <c r="H1589" s="139"/>
      <c r="I1589" s="139">
        <f>IFERROR(__xludf.DUMMYFUNCTION("""COMPUTED_VALUE"""),50.0)</f>
        <v>50</v>
      </c>
      <c r="J1589" s="139">
        <f>IFERROR(__xludf.DUMMYFUNCTION("""COMPUTED_VALUE"""),25.0)</f>
        <v>25</v>
      </c>
      <c r="K1589" s="139">
        <f>IFERROR(__xludf.DUMMYFUNCTION("""COMPUTED_VALUE"""),75.0)</f>
        <v>75</v>
      </c>
      <c r="L1589" s="139"/>
      <c r="M1589" s="139"/>
      <c r="N1589" s="139"/>
    </row>
    <row r="1590">
      <c r="A1590" s="139" t="str">
        <f>IFERROR(__xludf.DUMMYFUNCTION("""COMPUTED_VALUE"""),"e")</f>
        <v>e</v>
      </c>
      <c r="B1590" s="139">
        <f>IFERROR(__xludf.DUMMYFUNCTION("""COMPUTED_VALUE"""),2.0250901E8)</f>
        <v>202509010</v>
      </c>
      <c r="C1590" s="139" t="str">
        <f>IFERROR(__xludf.DUMMYFUNCTION("""COMPUTED_VALUE"""),"e_glo_00001_general_ori4_big_Normal_Yellow_Normal_00000")</f>
        <v>e_glo_00001_general_ori4_big_Normal_Yellow_Normal_00000</v>
      </c>
      <c r="D1590" s="139" t="str">
        <f>IFERROR(__xludf.DUMMYFUNCTION("""COMPUTED_VALUE"""),"e_glo_00001_general_ori4_big_Normal_Yellow")</f>
        <v>e_glo_00001_general_ori4_big_Normal_Yellow</v>
      </c>
      <c r="E1590" s="139">
        <f>IFERROR(__xludf.DUMMYFUNCTION("""COMPUTED_VALUE"""),0.0)</f>
        <v>0</v>
      </c>
      <c r="F1590" s="139" t="str">
        <f>IFERROR(__xludf.DUMMYFUNCTION("""COMPUTED_VALUE"""),"Normal")</f>
        <v>Normal</v>
      </c>
      <c r="G1590" s="139"/>
      <c r="H1590" s="139"/>
      <c r="I1590" s="139">
        <f>IFERROR(__xludf.DUMMYFUNCTION("""COMPUTED_VALUE"""),50.0)</f>
        <v>50</v>
      </c>
      <c r="J1590" s="139">
        <f>IFERROR(__xludf.DUMMYFUNCTION("""COMPUTED_VALUE"""),25.0)</f>
        <v>25</v>
      </c>
      <c r="K1590" s="139">
        <f>IFERROR(__xludf.DUMMYFUNCTION("""COMPUTED_VALUE"""),500.0)</f>
        <v>500</v>
      </c>
      <c r="L1590" s="139"/>
      <c r="M1590" s="139"/>
      <c r="N1590" s="139"/>
    </row>
    <row r="1591">
      <c r="A1591" s="139" t="str">
        <f>IFERROR(__xludf.DUMMYFUNCTION("""COMPUTED_VALUE"""),"e")</f>
        <v>e</v>
      </c>
      <c r="B1591" s="139">
        <f>IFERROR(__xludf.DUMMYFUNCTION("""COMPUTED_VALUE"""),2.0250901E8)</f>
        <v>202509010</v>
      </c>
      <c r="C1591" s="139" t="str">
        <f>IFERROR(__xludf.DUMMYFUNCTION("""COMPUTED_VALUE"""),"e_glo_00101_general_ori4_Boss_Yellow_Normal_00000")</f>
        <v>e_glo_00101_general_ori4_Boss_Yellow_Normal_00000</v>
      </c>
      <c r="D1591" s="139" t="str">
        <f>IFERROR(__xludf.DUMMYFUNCTION("""COMPUTED_VALUE"""),"e_glo_00101_general_ori4_Boss_Yellow")</f>
        <v>e_glo_00101_general_ori4_Boss_Yellow</v>
      </c>
      <c r="E1591" s="139">
        <f>IFERROR(__xludf.DUMMYFUNCTION("""COMPUTED_VALUE"""),0.0)</f>
        <v>0</v>
      </c>
      <c r="F1591" s="139" t="str">
        <f>IFERROR(__xludf.DUMMYFUNCTION("""COMPUTED_VALUE"""),"Normal")</f>
        <v>Normal</v>
      </c>
      <c r="G1591" s="139"/>
      <c r="H1591" s="139"/>
      <c r="I1591" s="139">
        <f>IFERROR(__xludf.DUMMYFUNCTION("""COMPUTED_VALUE"""),59.0)</f>
        <v>59</v>
      </c>
      <c r="J1591" s="139">
        <f>IFERROR(__xludf.DUMMYFUNCTION("""COMPUTED_VALUE"""),28.0)</f>
        <v>28</v>
      </c>
      <c r="K1591" s="139">
        <f>IFERROR(__xludf.DUMMYFUNCTION("""COMPUTED_VALUE"""),200.0)</f>
        <v>200</v>
      </c>
      <c r="L1591" s="139"/>
      <c r="M1591" s="139"/>
      <c r="N1591" s="139"/>
    </row>
    <row r="1592">
      <c r="A1592" s="139" t="str">
        <f>IFERROR(__xludf.DUMMYFUNCTION("""COMPUTED_VALUE"""),"e")</f>
        <v>e</v>
      </c>
      <c r="B1592" s="139">
        <f>IFERROR(__xludf.DUMMYFUNCTION("""COMPUTED_VALUE"""),2.0250901E8)</f>
        <v>202509010</v>
      </c>
      <c r="C1592" s="139" t="str">
        <f>IFERROR(__xludf.DUMMYFUNCTION("""COMPUTED_VALUE"""),"e_glo_00101_general_ori4_Boss_Yellow_Appearance_00001")</f>
        <v>e_glo_00101_general_ori4_Boss_Yellow_Appearance_00001</v>
      </c>
      <c r="D1592" s="139" t="str">
        <f>IFERROR(__xludf.DUMMYFUNCTION("""COMPUTED_VALUE"""),"e_glo_00101_general_ori4_Boss_Yellow")</f>
        <v>e_glo_00101_general_ori4_Boss_Yellow</v>
      </c>
      <c r="E1592" s="139">
        <f>IFERROR(__xludf.DUMMYFUNCTION("""COMPUTED_VALUE"""),0.0)</f>
        <v>0</v>
      </c>
      <c r="F1592" s="139" t="str">
        <f>IFERROR(__xludf.DUMMYFUNCTION("""COMPUTED_VALUE"""),"Appearance")</f>
        <v>Appearance</v>
      </c>
      <c r="G1592" s="139"/>
      <c r="H1592" s="139"/>
      <c r="I1592" s="139">
        <f>IFERROR(__xludf.DUMMYFUNCTION("""COMPUTED_VALUE"""),50.0)</f>
        <v>50</v>
      </c>
      <c r="J1592" s="139">
        <f>IFERROR(__xludf.DUMMYFUNCTION("""COMPUTED_VALUE"""),0.0)</f>
        <v>0</v>
      </c>
      <c r="K1592" s="139">
        <f>IFERROR(__xludf.DUMMYFUNCTION("""COMPUTED_VALUE"""),0.0)</f>
        <v>0</v>
      </c>
      <c r="L1592" s="139"/>
      <c r="M1592" s="139"/>
      <c r="N1592" s="139"/>
    </row>
    <row r="1593">
      <c r="A1593" s="139" t="str">
        <f>IFERROR(__xludf.DUMMYFUNCTION("""COMPUTED_VALUE"""),"e")</f>
        <v>e</v>
      </c>
      <c r="B1593" s="139">
        <f>IFERROR(__xludf.DUMMYFUNCTION("""COMPUTED_VALUE"""),2.0250901E8)</f>
        <v>202509010</v>
      </c>
      <c r="C1593" s="139" t="str">
        <f>IFERROR(__xludf.DUMMYFUNCTION("""COMPUTED_VALUE"""),"e_glo_00001_general_ori4_Normal_Colorless_Normal_00000")</f>
        <v>e_glo_00001_general_ori4_Normal_Colorless_Normal_00000</v>
      </c>
      <c r="D1593" s="139" t="str">
        <f>IFERROR(__xludf.DUMMYFUNCTION("""COMPUTED_VALUE"""),"e_glo_00001_general_ori4_Normal_Colorless")</f>
        <v>e_glo_00001_general_ori4_Normal_Colorless</v>
      </c>
      <c r="E1593" s="139">
        <f>IFERROR(__xludf.DUMMYFUNCTION("""COMPUTED_VALUE"""),0.0)</f>
        <v>0</v>
      </c>
      <c r="F1593" s="139" t="str">
        <f>IFERROR(__xludf.DUMMYFUNCTION("""COMPUTED_VALUE"""),"Normal")</f>
        <v>Normal</v>
      </c>
      <c r="G1593" s="139"/>
      <c r="H1593" s="139"/>
      <c r="I1593" s="139">
        <f>IFERROR(__xludf.DUMMYFUNCTION("""COMPUTED_VALUE"""),50.0)</f>
        <v>50</v>
      </c>
      <c r="J1593" s="139">
        <f>IFERROR(__xludf.DUMMYFUNCTION("""COMPUTED_VALUE"""),25.0)</f>
        <v>25</v>
      </c>
      <c r="K1593" s="139">
        <f>IFERROR(__xludf.DUMMYFUNCTION("""COMPUTED_VALUE"""),75.0)</f>
        <v>75</v>
      </c>
      <c r="L1593" s="139"/>
      <c r="M1593" s="139"/>
      <c r="N1593" s="139"/>
    </row>
    <row r="1594">
      <c r="A1594" s="139" t="str">
        <f>IFERROR(__xludf.DUMMYFUNCTION("""COMPUTED_VALUE"""),"e")</f>
        <v>e</v>
      </c>
      <c r="B1594" s="139">
        <f>IFERROR(__xludf.DUMMYFUNCTION("""COMPUTED_VALUE"""),2.0250901E8)</f>
        <v>202509010</v>
      </c>
      <c r="C1594" s="139" t="str">
        <f>IFERROR(__xludf.DUMMYFUNCTION("""COMPUTED_VALUE"""),"e_glo_00001_general_ori4_big_a__Normal_Green_Normal_00000")</f>
        <v>e_glo_00001_general_ori4_big_a__Normal_Green_Normal_00000</v>
      </c>
      <c r="D1594" s="139" t="str">
        <f>IFERROR(__xludf.DUMMYFUNCTION("""COMPUTED_VALUE"""),"e_glo_00001_general_ori4_big_a__Normal_Green")</f>
        <v>e_glo_00001_general_ori4_big_a__Normal_Green</v>
      </c>
      <c r="E1594" s="139">
        <f>IFERROR(__xludf.DUMMYFUNCTION("""COMPUTED_VALUE"""),0.0)</f>
        <v>0</v>
      </c>
      <c r="F1594" s="139" t="str">
        <f>IFERROR(__xludf.DUMMYFUNCTION("""COMPUTED_VALUE"""),"Normal")</f>
        <v>Normal</v>
      </c>
      <c r="G1594" s="139"/>
      <c r="H1594" s="139"/>
      <c r="I1594" s="139">
        <f>IFERROR(__xludf.DUMMYFUNCTION("""COMPUTED_VALUE"""),50.0)</f>
        <v>50</v>
      </c>
      <c r="J1594" s="139">
        <f>IFERROR(__xludf.DUMMYFUNCTION("""COMPUTED_VALUE"""),25.0)</f>
        <v>25</v>
      </c>
      <c r="K1594" s="139">
        <f>IFERROR(__xludf.DUMMYFUNCTION("""COMPUTED_VALUE"""),500.0)</f>
        <v>500</v>
      </c>
      <c r="L1594" s="139"/>
      <c r="M1594" s="139"/>
      <c r="N1594" s="139"/>
    </row>
    <row r="1595">
      <c r="A1595" s="139" t="str">
        <f>IFERROR(__xludf.DUMMYFUNCTION("""COMPUTED_VALUE"""),"e")</f>
        <v>e</v>
      </c>
      <c r="B1595" s="139">
        <f>IFERROR(__xludf.DUMMYFUNCTION("""COMPUTED_VALUE"""),2.0250901E8)</f>
        <v>202509010</v>
      </c>
      <c r="C1595" s="139" t="str">
        <f>IFERROR(__xludf.DUMMYFUNCTION("""COMPUTED_VALUE"""),"e_glo_00001_general_ori4_big_Normal_Colorless_Normal_00000")</f>
        <v>e_glo_00001_general_ori4_big_Normal_Colorless_Normal_00000</v>
      </c>
      <c r="D1595" s="139" t="str">
        <f>IFERROR(__xludf.DUMMYFUNCTION("""COMPUTED_VALUE"""),"e_glo_00001_general_ori4_big_Normal_Colorless")</f>
        <v>e_glo_00001_general_ori4_big_Normal_Colorless</v>
      </c>
      <c r="E1595" s="139">
        <f>IFERROR(__xludf.DUMMYFUNCTION("""COMPUTED_VALUE"""),0.0)</f>
        <v>0</v>
      </c>
      <c r="F1595" s="139" t="str">
        <f>IFERROR(__xludf.DUMMYFUNCTION("""COMPUTED_VALUE"""),"Normal")</f>
        <v>Normal</v>
      </c>
      <c r="G1595" s="139"/>
      <c r="H1595" s="139"/>
      <c r="I1595" s="139">
        <f>IFERROR(__xludf.DUMMYFUNCTION("""COMPUTED_VALUE"""),59.0)</f>
        <v>59</v>
      </c>
      <c r="J1595" s="139">
        <f>IFERROR(__xludf.DUMMYFUNCTION("""COMPUTED_VALUE"""),28.0)</f>
        <v>28</v>
      </c>
      <c r="K1595" s="139">
        <f>IFERROR(__xludf.DUMMYFUNCTION("""COMPUTED_VALUE"""),200.0)</f>
        <v>200</v>
      </c>
      <c r="L1595" s="139"/>
      <c r="M1595" s="139"/>
      <c r="N1595" s="139"/>
    </row>
    <row r="1596">
      <c r="A1596" s="139"/>
      <c r="B1596" s="139"/>
      <c r="C1596" s="139"/>
      <c r="D1596" s="139"/>
      <c r="E1596" s="139"/>
      <c r="F1596" s="139"/>
      <c r="G1596" s="139"/>
      <c r="H1596" s="139"/>
      <c r="I1596" s="139"/>
      <c r="J1596" s="139"/>
      <c r="K1596" s="139"/>
      <c r="L1596" s="139"/>
      <c r="M1596" s="139"/>
      <c r="N1596" s="139"/>
    </row>
    <row r="1597">
      <c r="A1597" s="139" t="str">
        <f>IFERROR(__xludf.DUMMYFUNCTION("""COMPUTED_VALUE"""),"e")</f>
        <v>e</v>
      </c>
      <c r="B1597" s="139">
        <f>IFERROR(__xludf.DUMMYFUNCTION("""COMPUTED_VALUE"""),2.0250901E8)</f>
        <v>202509010</v>
      </c>
      <c r="C1597" s="139" t="str">
        <f>IFERROR(__xludf.DUMMYFUNCTION("""COMPUTED_VALUE"""),"e_glo_00001_general_ori4_Normal_Green_Normal_00000")</f>
        <v>e_glo_00001_general_ori4_Normal_Green_Normal_00000</v>
      </c>
      <c r="D1597" s="139" t="str">
        <f>IFERROR(__xludf.DUMMYFUNCTION("""COMPUTED_VALUE"""),"e_glo_00001_general_ori4_Normal_Green")</f>
        <v>e_glo_00001_general_ori4_Normal_Green</v>
      </c>
      <c r="E1597" s="139">
        <f>IFERROR(__xludf.DUMMYFUNCTION("""COMPUTED_VALUE"""),0.0)</f>
        <v>0</v>
      </c>
      <c r="F1597" s="139" t="str">
        <f>IFERROR(__xludf.DUMMYFUNCTION("""COMPUTED_VALUE"""),"Normal")</f>
        <v>Normal</v>
      </c>
      <c r="G1597" s="139"/>
      <c r="H1597" s="139"/>
      <c r="I1597" s="139">
        <f>IFERROR(__xludf.DUMMYFUNCTION("""COMPUTED_VALUE"""),50.0)</f>
        <v>50</v>
      </c>
      <c r="J1597" s="139">
        <f>IFERROR(__xludf.DUMMYFUNCTION("""COMPUTED_VALUE"""),25.0)</f>
        <v>25</v>
      </c>
      <c r="K1597" s="139">
        <f>IFERROR(__xludf.DUMMYFUNCTION("""COMPUTED_VALUE"""),50.0)</f>
        <v>50</v>
      </c>
      <c r="L1597" s="139"/>
      <c r="M1597" s="139"/>
      <c r="N1597" s="139"/>
    </row>
    <row r="1598">
      <c r="A1598" s="139" t="str">
        <f>IFERROR(__xludf.DUMMYFUNCTION("""COMPUTED_VALUE"""),"e")</f>
        <v>e</v>
      </c>
      <c r="B1598" s="139">
        <f>IFERROR(__xludf.DUMMYFUNCTION("""COMPUTED_VALUE"""),2.0250901E8)</f>
        <v>202509010</v>
      </c>
      <c r="C1598" s="139" t="str">
        <f>IFERROR(__xludf.DUMMYFUNCTION("""COMPUTED_VALUE"""),"e_glo_00001_general_ori4_big_Normal_Green_Normal_00000")</f>
        <v>e_glo_00001_general_ori4_big_Normal_Green_Normal_00000</v>
      </c>
      <c r="D1598" s="139" t="str">
        <f>IFERROR(__xludf.DUMMYFUNCTION("""COMPUTED_VALUE"""),"e_glo_00001_general_ori4_big_Normal_Green")</f>
        <v>e_glo_00001_general_ori4_big_Normal_Green</v>
      </c>
      <c r="E1598" s="139">
        <f>IFERROR(__xludf.DUMMYFUNCTION("""COMPUTED_VALUE"""),0.0)</f>
        <v>0</v>
      </c>
      <c r="F1598" s="139" t="str">
        <f>IFERROR(__xludf.DUMMYFUNCTION("""COMPUTED_VALUE"""),"Normal")</f>
        <v>Normal</v>
      </c>
      <c r="G1598" s="139"/>
      <c r="H1598" s="139"/>
      <c r="I1598" s="139">
        <f>IFERROR(__xludf.DUMMYFUNCTION("""COMPUTED_VALUE"""),50.0)</f>
        <v>50</v>
      </c>
      <c r="J1598" s="139">
        <f>IFERROR(__xludf.DUMMYFUNCTION("""COMPUTED_VALUE"""),25.0)</f>
        <v>25</v>
      </c>
      <c r="K1598" s="139">
        <f>IFERROR(__xludf.DUMMYFUNCTION("""COMPUTED_VALUE"""),1000.0)</f>
        <v>1000</v>
      </c>
      <c r="L1598" s="139"/>
      <c r="M1598" s="139"/>
      <c r="N1598" s="139"/>
    </row>
    <row r="1599">
      <c r="A1599" s="139" t="str">
        <f>IFERROR(__xludf.DUMMYFUNCTION("""COMPUTED_VALUE"""),"e")</f>
        <v>e</v>
      </c>
      <c r="B1599" s="139">
        <f>IFERROR(__xludf.DUMMYFUNCTION("""COMPUTED_VALUE"""),2.0250901E8)</f>
        <v>202509010</v>
      </c>
      <c r="C1599" s="139" t="str">
        <f>IFERROR(__xludf.DUMMYFUNCTION("""COMPUTED_VALUE"""),"e_glo_00001_general2_ori4_Normal_Colorless_Normal_00000")</f>
        <v>e_glo_00001_general2_ori4_Normal_Colorless_Normal_00000</v>
      </c>
      <c r="D1599" s="139" t="str">
        <f>IFERROR(__xludf.DUMMYFUNCTION("""COMPUTED_VALUE"""),"e_glo_00001_general2_ori4_Normal_Colorless")</f>
        <v>e_glo_00001_general2_ori4_Normal_Colorless</v>
      </c>
      <c r="E1599" s="139">
        <f>IFERROR(__xludf.DUMMYFUNCTION("""COMPUTED_VALUE"""),0.0)</f>
        <v>0</v>
      </c>
      <c r="F1599" s="139" t="str">
        <f>IFERROR(__xludf.DUMMYFUNCTION("""COMPUTED_VALUE"""),"Normal")</f>
        <v>Normal</v>
      </c>
      <c r="G1599" s="139"/>
      <c r="H1599" s="139"/>
      <c r="I1599" s="139">
        <f>IFERROR(__xludf.DUMMYFUNCTION("""COMPUTED_VALUE"""),50.0)</f>
        <v>50</v>
      </c>
      <c r="J1599" s="139">
        <f>IFERROR(__xludf.DUMMYFUNCTION("""COMPUTED_VALUE"""),25.0)</f>
        <v>25</v>
      </c>
      <c r="K1599" s="139">
        <f>IFERROR(__xludf.DUMMYFUNCTION("""COMPUTED_VALUE"""),50.0)</f>
        <v>50</v>
      </c>
      <c r="L1599" s="139"/>
      <c r="M1599" s="139"/>
      <c r="N1599" s="139"/>
    </row>
    <row r="1600">
      <c r="A1600" s="139" t="str">
        <f>IFERROR(__xludf.DUMMYFUNCTION("""COMPUTED_VALUE"""),"e")</f>
        <v>e</v>
      </c>
      <c r="B1600" s="139">
        <f>IFERROR(__xludf.DUMMYFUNCTION("""COMPUTED_VALUE"""),2.0250901E8)</f>
        <v>202509010</v>
      </c>
      <c r="C1600" s="139" t="str">
        <f>IFERROR(__xludf.DUMMYFUNCTION("""COMPUTED_VALUE"""),"e_glo_00001_general2_ori4_big_Normal_Colorless_Normal_00000")</f>
        <v>e_glo_00001_general2_ori4_big_Normal_Colorless_Normal_00000</v>
      </c>
      <c r="D1600" s="139" t="str">
        <f>IFERROR(__xludf.DUMMYFUNCTION("""COMPUTED_VALUE"""),"e_glo_00001_general2_ori4_big_Normal_Colorless")</f>
        <v>e_glo_00001_general2_ori4_big_Normal_Colorless</v>
      </c>
      <c r="E1600" s="139">
        <f>IFERROR(__xludf.DUMMYFUNCTION("""COMPUTED_VALUE"""),0.0)</f>
        <v>0</v>
      </c>
      <c r="F1600" s="139" t="str">
        <f>IFERROR(__xludf.DUMMYFUNCTION("""COMPUTED_VALUE"""),"Normal")</f>
        <v>Normal</v>
      </c>
      <c r="G1600" s="139"/>
      <c r="H1600" s="139"/>
      <c r="I1600" s="139">
        <f>IFERROR(__xludf.DUMMYFUNCTION("""COMPUTED_VALUE"""),50.0)</f>
        <v>50</v>
      </c>
      <c r="J1600" s="139">
        <f>IFERROR(__xludf.DUMMYFUNCTION("""COMPUTED_VALUE"""),25.0)</f>
        <v>25</v>
      </c>
      <c r="K1600" s="139">
        <f>IFERROR(__xludf.DUMMYFUNCTION("""COMPUTED_VALUE"""),1000.0)</f>
        <v>1000</v>
      </c>
      <c r="L1600" s="139"/>
      <c r="M1600" s="139"/>
      <c r="N1600" s="139"/>
    </row>
    <row r="1601">
      <c r="A1601" s="139" t="str">
        <f>IFERROR(__xludf.DUMMYFUNCTION("""COMPUTED_VALUE"""),"e")</f>
        <v>e</v>
      </c>
      <c r="B1601" s="139">
        <f>IFERROR(__xludf.DUMMYFUNCTION("""COMPUTED_VALUE"""),2.0250901E8)</f>
        <v>202509010</v>
      </c>
      <c r="C1601" s="139" t="str">
        <f>IFERROR(__xludf.DUMMYFUNCTION("""COMPUTED_VALUE"""),"c_kai_00002_general_ori4_Boss_Green_Normal_00000")</f>
        <v>c_kai_00002_general_ori4_Boss_Green_Normal_00000</v>
      </c>
      <c r="D1601" s="139" t="str">
        <f>IFERROR(__xludf.DUMMYFUNCTION("""COMPUTED_VALUE"""),"c_kai_00002_general_ori4_Boss_Green")</f>
        <v>c_kai_00002_general_ori4_Boss_Green</v>
      </c>
      <c r="E1601" s="139">
        <f>IFERROR(__xludf.DUMMYFUNCTION("""COMPUTED_VALUE"""),0.0)</f>
        <v>0</v>
      </c>
      <c r="F1601" s="139" t="str">
        <f>IFERROR(__xludf.DUMMYFUNCTION("""COMPUTED_VALUE"""),"Normal")</f>
        <v>Normal</v>
      </c>
      <c r="G1601" s="139"/>
      <c r="H1601" s="139"/>
      <c r="I1601" s="139">
        <f>IFERROR(__xludf.DUMMYFUNCTION("""COMPUTED_VALUE"""),75.0)</f>
        <v>75</v>
      </c>
      <c r="J1601" s="139">
        <f>IFERROR(__xludf.DUMMYFUNCTION("""COMPUTED_VALUE"""),27.0)</f>
        <v>27</v>
      </c>
      <c r="K1601" s="139">
        <f>IFERROR(__xludf.DUMMYFUNCTION("""COMPUTED_VALUE"""),75.0)</f>
        <v>75</v>
      </c>
      <c r="L1601" s="139"/>
      <c r="M1601" s="139"/>
      <c r="N1601" s="139"/>
    </row>
    <row r="1602">
      <c r="A1602" s="139" t="str">
        <f>IFERROR(__xludf.DUMMYFUNCTION("""COMPUTED_VALUE"""),"e")</f>
        <v>e</v>
      </c>
      <c r="B1602" s="139">
        <f>IFERROR(__xludf.DUMMYFUNCTION("""COMPUTED_VALUE"""),2.0250901E8)</f>
        <v>202509010</v>
      </c>
      <c r="C1602" s="139" t="str">
        <f>IFERROR(__xludf.DUMMYFUNCTION("""COMPUTED_VALUE"""),"c_kai_00002_general_ori4_Boss_Green_Appearance_00001")</f>
        <v>c_kai_00002_general_ori4_Boss_Green_Appearance_00001</v>
      </c>
      <c r="D1602" s="139" t="str">
        <f>IFERROR(__xludf.DUMMYFUNCTION("""COMPUTED_VALUE"""),"c_kai_00002_general_ori4_Boss_Green")</f>
        <v>c_kai_00002_general_ori4_Boss_Green</v>
      </c>
      <c r="E1602" s="139">
        <f>IFERROR(__xludf.DUMMYFUNCTION("""COMPUTED_VALUE"""),0.0)</f>
        <v>0</v>
      </c>
      <c r="F1602" s="139" t="str">
        <f>IFERROR(__xludf.DUMMYFUNCTION("""COMPUTED_VALUE"""),"Appearance")</f>
        <v>Appearance</v>
      </c>
      <c r="G1602" s="139"/>
      <c r="H1602" s="139"/>
      <c r="I1602" s="139">
        <f>IFERROR(__xludf.DUMMYFUNCTION("""COMPUTED_VALUE"""),50.0)</f>
        <v>50</v>
      </c>
      <c r="J1602" s="139">
        <f>IFERROR(__xludf.DUMMYFUNCTION("""COMPUTED_VALUE"""),0.0)</f>
        <v>0</v>
      </c>
      <c r="K1602" s="139">
        <f>IFERROR(__xludf.DUMMYFUNCTION("""COMPUTED_VALUE"""),0.0)</f>
        <v>0</v>
      </c>
      <c r="L1602" s="139"/>
      <c r="M1602" s="139"/>
      <c r="N1602" s="139"/>
    </row>
    <row r="1603">
      <c r="A1603" s="139" t="str">
        <f>IFERROR(__xludf.DUMMYFUNCTION("""COMPUTED_VALUE"""),"e")</f>
        <v>e</v>
      </c>
      <c r="B1603" s="139">
        <f>IFERROR(__xludf.DUMMYFUNCTION("""COMPUTED_VALUE"""),2.0250901E8)</f>
        <v>202509010</v>
      </c>
      <c r="C1603" s="139" t="str">
        <f>IFERROR(__xludf.DUMMYFUNCTION("""COMPUTED_VALUE"""),"c_kai_00002_general_ori4_Boss_Green_Special_00002")</f>
        <v>c_kai_00002_general_ori4_Boss_Green_Special_00002</v>
      </c>
      <c r="D1603" s="139" t="str">
        <f>IFERROR(__xludf.DUMMYFUNCTION("""COMPUTED_VALUE"""),"c_kai_00002_general_ori4_Boss_Green")</f>
        <v>c_kai_00002_general_ori4_Boss_Green</v>
      </c>
      <c r="E1603" s="139">
        <f>IFERROR(__xludf.DUMMYFUNCTION("""COMPUTED_VALUE"""),0.0)</f>
        <v>0</v>
      </c>
      <c r="F1603" s="139" t="str">
        <f>IFERROR(__xludf.DUMMYFUNCTION("""COMPUTED_VALUE"""),"Special")</f>
        <v>Special</v>
      </c>
      <c r="G1603" s="139"/>
      <c r="H1603" s="139"/>
      <c r="I1603" s="139">
        <f>IFERROR(__xludf.DUMMYFUNCTION("""COMPUTED_VALUE"""),120.0)</f>
        <v>120</v>
      </c>
      <c r="J1603" s="139">
        <f>IFERROR(__xludf.DUMMYFUNCTION("""COMPUTED_VALUE"""),0.0)</f>
        <v>0</v>
      </c>
      <c r="K1603" s="139">
        <f>IFERROR(__xludf.DUMMYFUNCTION("""COMPUTED_VALUE"""),0.0)</f>
        <v>0</v>
      </c>
      <c r="L1603" s="139"/>
      <c r="M1603" s="139"/>
      <c r="N1603" s="139"/>
    </row>
    <row r="1604">
      <c r="A1604" s="139" t="str">
        <f>IFERROR(__xludf.DUMMYFUNCTION("""COMPUTED_VALUE"""),"e")</f>
        <v>e</v>
      </c>
      <c r="B1604" s="139">
        <f>IFERROR(__xludf.DUMMYFUNCTION("""COMPUTED_VALUE"""),2.0250901E8)</f>
        <v>202509010</v>
      </c>
      <c r="C1604" s="139" t="str">
        <f>IFERROR(__xludf.DUMMYFUNCTION("""COMPUTED_VALUE"""),"c_sum_00101_general_ori4_Normal_Green_Normal_00000")</f>
        <v>c_sum_00101_general_ori4_Normal_Green_Normal_00000</v>
      </c>
      <c r="D1604" s="139" t="str">
        <f>IFERROR(__xludf.DUMMYFUNCTION("""COMPUTED_VALUE"""),"c_sum_00101_general_ori4_Normal_Green")</f>
        <v>c_sum_00101_general_ori4_Normal_Green</v>
      </c>
      <c r="E1604" s="139">
        <f>IFERROR(__xludf.DUMMYFUNCTION("""COMPUTED_VALUE"""),0.0)</f>
        <v>0</v>
      </c>
      <c r="F1604" s="139" t="str">
        <f>IFERROR(__xludf.DUMMYFUNCTION("""COMPUTED_VALUE"""),"Normal")</f>
        <v>Normal</v>
      </c>
      <c r="G1604" s="139"/>
      <c r="H1604" s="139"/>
      <c r="I1604" s="139">
        <f>IFERROR(__xludf.DUMMYFUNCTION("""COMPUTED_VALUE"""),57.0)</f>
        <v>57</v>
      </c>
      <c r="J1604" s="139">
        <f>IFERROR(__xludf.DUMMYFUNCTION("""COMPUTED_VALUE"""),25.0)</f>
        <v>25</v>
      </c>
      <c r="K1604" s="139">
        <f>IFERROR(__xludf.DUMMYFUNCTION("""COMPUTED_VALUE"""),100.0)</f>
        <v>100</v>
      </c>
      <c r="L1604" s="139"/>
      <c r="M1604" s="139"/>
      <c r="N1604" s="139"/>
    </row>
    <row r="1605">
      <c r="A1605" s="139" t="str">
        <f>IFERROR(__xludf.DUMMYFUNCTION("""COMPUTED_VALUE"""),"e")</f>
        <v>e</v>
      </c>
      <c r="B1605" s="139">
        <f>IFERROR(__xludf.DUMMYFUNCTION("""COMPUTED_VALUE"""),2.0250901E8)</f>
        <v>202509010</v>
      </c>
      <c r="C1605" s="139" t="str">
        <f>IFERROR(__xludf.DUMMYFUNCTION("""COMPUTED_VALUE"""),"c_sum_00101_general_ori4_Normal_Green_Special_00001")</f>
        <v>c_sum_00101_general_ori4_Normal_Green_Special_00001</v>
      </c>
      <c r="D1605" s="139" t="str">
        <f>IFERROR(__xludf.DUMMYFUNCTION("""COMPUTED_VALUE"""),"c_sum_00101_general_ori4_Normal_Green")</f>
        <v>c_sum_00101_general_ori4_Normal_Green</v>
      </c>
      <c r="E1605" s="139">
        <f>IFERROR(__xludf.DUMMYFUNCTION("""COMPUTED_VALUE"""),0.0)</f>
        <v>0</v>
      </c>
      <c r="F1605" s="139" t="str">
        <f>IFERROR(__xludf.DUMMYFUNCTION("""COMPUTED_VALUE"""),"Special")</f>
        <v>Special</v>
      </c>
      <c r="G1605" s="139"/>
      <c r="H1605" s="139"/>
      <c r="I1605" s="139">
        <f>IFERROR(__xludf.DUMMYFUNCTION("""COMPUTED_VALUE"""),110.0)</f>
        <v>110</v>
      </c>
      <c r="J1605" s="139">
        <f>IFERROR(__xludf.DUMMYFUNCTION("""COMPUTED_VALUE"""),50.0)</f>
        <v>50</v>
      </c>
      <c r="K1605" s="139">
        <f>IFERROR(__xludf.DUMMYFUNCTION("""COMPUTED_VALUE"""),0.0)</f>
        <v>0</v>
      </c>
      <c r="L1605" s="139"/>
      <c r="M1605" s="139"/>
      <c r="N1605" s="139"/>
    </row>
    <row r="1606">
      <c r="A1606" s="139" t="str">
        <f>IFERROR(__xludf.DUMMYFUNCTION("""COMPUTED_VALUE"""),"e")</f>
        <v>e</v>
      </c>
      <c r="B1606" s="139">
        <f>IFERROR(__xludf.DUMMYFUNCTION("""COMPUTED_VALUE"""),2.0250901E8)</f>
        <v>202509010</v>
      </c>
      <c r="C1606" s="139" t="str">
        <f>IFERROR(__xludf.DUMMYFUNCTION("""COMPUTED_VALUE"""),"c_kai_00101_general_ori4_Normal_Green_Normal_00000")</f>
        <v>c_kai_00101_general_ori4_Normal_Green_Normal_00000</v>
      </c>
      <c r="D1606" s="139" t="str">
        <f>IFERROR(__xludf.DUMMYFUNCTION("""COMPUTED_VALUE"""),"c_kai_00101_general_ori4_Normal_Green")</f>
        <v>c_kai_00101_general_ori4_Normal_Green</v>
      </c>
      <c r="E1606" s="139">
        <f>IFERROR(__xludf.DUMMYFUNCTION("""COMPUTED_VALUE"""),0.0)</f>
        <v>0</v>
      </c>
      <c r="F1606" s="139" t="str">
        <f>IFERROR(__xludf.DUMMYFUNCTION("""COMPUTED_VALUE"""),"Normal")</f>
        <v>Normal</v>
      </c>
      <c r="G1606" s="139"/>
      <c r="H1606" s="139"/>
      <c r="I1606" s="139">
        <f>IFERROR(__xludf.DUMMYFUNCTION("""COMPUTED_VALUE"""),70.0)</f>
        <v>70</v>
      </c>
      <c r="J1606" s="139">
        <f>IFERROR(__xludf.DUMMYFUNCTION("""COMPUTED_VALUE"""),46.0)</f>
        <v>46</v>
      </c>
      <c r="K1606" s="139">
        <f>IFERROR(__xludf.DUMMYFUNCTION("""COMPUTED_VALUE"""),100.0)</f>
        <v>100</v>
      </c>
      <c r="L1606" s="139"/>
      <c r="M1606" s="139"/>
      <c r="N1606" s="139"/>
    </row>
    <row r="1607">
      <c r="A1607" s="139" t="str">
        <f>IFERROR(__xludf.DUMMYFUNCTION("""COMPUTED_VALUE"""),"e")</f>
        <v>e</v>
      </c>
      <c r="B1607" s="139">
        <f>IFERROR(__xludf.DUMMYFUNCTION("""COMPUTED_VALUE"""),2.0250901E8)</f>
        <v>202509010</v>
      </c>
      <c r="C1607" s="139" t="str">
        <f>IFERROR(__xludf.DUMMYFUNCTION("""COMPUTED_VALUE"""),"c_kai_00101_general_ori4_Normal_Green_Special_00001")</f>
        <v>c_kai_00101_general_ori4_Normal_Green_Special_00001</v>
      </c>
      <c r="D1607" s="139" t="str">
        <f>IFERROR(__xludf.DUMMYFUNCTION("""COMPUTED_VALUE"""),"c_kai_00101_general_ori4_Normal_Green")</f>
        <v>c_kai_00101_general_ori4_Normal_Green</v>
      </c>
      <c r="E1607" s="139">
        <f>IFERROR(__xludf.DUMMYFUNCTION("""COMPUTED_VALUE"""),0.0)</f>
        <v>0</v>
      </c>
      <c r="F1607" s="139" t="str">
        <f>IFERROR(__xludf.DUMMYFUNCTION("""COMPUTED_VALUE"""),"Special")</f>
        <v>Special</v>
      </c>
      <c r="G1607" s="139"/>
      <c r="H1607" s="139"/>
      <c r="I1607" s="139">
        <f>IFERROR(__xludf.DUMMYFUNCTION("""COMPUTED_VALUE"""),159.0)</f>
        <v>159</v>
      </c>
      <c r="J1607" s="139">
        <f>IFERROR(__xludf.DUMMYFUNCTION("""COMPUTED_VALUE"""),0.0)</f>
        <v>0</v>
      </c>
      <c r="K1607" s="139">
        <f>IFERROR(__xludf.DUMMYFUNCTION("""COMPUTED_VALUE"""),0.0)</f>
        <v>0</v>
      </c>
      <c r="L1607" s="139"/>
      <c r="M1607" s="139"/>
      <c r="N1607" s="139"/>
    </row>
    <row r="1608">
      <c r="A1608" s="139" t="str">
        <f>IFERROR(__xludf.DUMMYFUNCTION("""COMPUTED_VALUE"""),"e")</f>
        <v>e</v>
      </c>
      <c r="B1608" s="139">
        <f>IFERROR(__xludf.DUMMYFUNCTION("""COMPUTED_VALUE"""),2.0250901E8)</f>
        <v>202509010</v>
      </c>
      <c r="C1608" s="139" t="str">
        <f>IFERROR(__xludf.DUMMYFUNCTION("""COMPUTED_VALUE"""),"c_sum_00201_general_ori4_Normal_Green_Normal_00000")</f>
        <v>c_sum_00201_general_ori4_Normal_Green_Normal_00000</v>
      </c>
      <c r="D1608" s="139" t="str">
        <f>IFERROR(__xludf.DUMMYFUNCTION("""COMPUTED_VALUE"""),"c_sum_00201_general_ori4_Normal_Green")</f>
        <v>c_sum_00201_general_ori4_Normal_Green</v>
      </c>
      <c r="E1608" s="139">
        <f>IFERROR(__xludf.DUMMYFUNCTION("""COMPUTED_VALUE"""),0.0)</f>
        <v>0</v>
      </c>
      <c r="F1608" s="139" t="str">
        <f>IFERROR(__xludf.DUMMYFUNCTION("""COMPUTED_VALUE"""),"Normal")</f>
        <v>Normal</v>
      </c>
      <c r="G1608" s="139"/>
      <c r="H1608" s="139"/>
      <c r="I1608" s="139">
        <f>IFERROR(__xludf.DUMMYFUNCTION("""COMPUTED_VALUE"""),110.0)</f>
        <v>110</v>
      </c>
      <c r="J1608" s="139">
        <f>IFERROR(__xludf.DUMMYFUNCTION("""COMPUTED_VALUE"""),34.0)</f>
        <v>34</v>
      </c>
      <c r="K1608" s="139">
        <f>IFERROR(__xludf.DUMMYFUNCTION("""COMPUTED_VALUE"""),100.0)</f>
        <v>100</v>
      </c>
      <c r="L1608" s="139"/>
      <c r="M1608" s="139"/>
      <c r="N1608" s="139"/>
    </row>
    <row r="1609">
      <c r="A1609" s="139" t="str">
        <f>IFERROR(__xludf.DUMMYFUNCTION("""COMPUTED_VALUE"""),"e")</f>
        <v>e</v>
      </c>
      <c r="B1609" s="139">
        <f>IFERROR(__xludf.DUMMYFUNCTION("""COMPUTED_VALUE"""),2.0250901E8)</f>
        <v>202509010</v>
      </c>
      <c r="C1609" s="139" t="str">
        <f>IFERROR(__xludf.DUMMYFUNCTION("""COMPUTED_VALUE"""),"c_sum_00201_general_ori4_Normal_Green_Special_00001")</f>
        <v>c_sum_00201_general_ori4_Normal_Green_Special_00001</v>
      </c>
      <c r="D1609" s="139" t="str">
        <f>IFERROR(__xludf.DUMMYFUNCTION("""COMPUTED_VALUE"""),"c_sum_00201_general_ori4_Normal_Green")</f>
        <v>c_sum_00201_general_ori4_Normal_Green</v>
      </c>
      <c r="E1609" s="139">
        <f>IFERROR(__xludf.DUMMYFUNCTION("""COMPUTED_VALUE"""),0.0)</f>
        <v>0</v>
      </c>
      <c r="F1609" s="139" t="str">
        <f>IFERROR(__xludf.DUMMYFUNCTION("""COMPUTED_VALUE"""),"Special")</f>
        <v>Special</v>
      </c>
      <c r="G1609" s="139"/>
      <c r="H1609" s="139"/>
      <c r="I1609" s="139">
        <f>IFERROR(__xludf.DUMMYFUNCTION("""COMPUTED_VALUE"""),135.0)</f>
        <v>135</v>
      </c>
      <c r="J1609" s="139">
        <f>IFERROR(__xludf.DUMMYFUNCTION("""COMPUTED_VALUE"""),85.0)</f>
        <v>85</v>
      </c>
      <c r="K1609" s="139">
        <f>IFERROR(__xludf.DUMMYFUNCTION("""COMPUTED_VALUE"""),0.0)</f>
        <v>0</v>
      </c>
      <c r="L1609" s="139"/>
      <c r="M1609" s="139"/>
      <c r="N1609" s="139"/>
    </row>
    <row r="1610">
      <c r="A1610" s="139"/>
      <c r="B1610" s="139"/>
      <c r="C1610" s="139"/>
      <c r="D1610" s="139"/>
      <c r="E1610" s="139"/>
      <c r="F1610" s="139"/>
      <c r="G1610" s="139"/>
      <c r="H1610" s="139"/>
      <c r="I1610" s="139"/>
      <c r="J1610" s="139"/>
      <c r="K1610" s="139"/>
      <c r="L1610" s="139"/>
      <c r="M1610" s="139"/>
      <c r="N1610" s="139"/>
    </row>
    <row r="1611">
      <c r="A1611" s="139" t="str">
        <f>IFERROR(__xludf.DUMMYFUNCTION("""COMPUTED_VALUE"""),"e")</f>
        <v>e</v>
      </c>
      <c r="B1611" s="139">
        <f>IFERROR(__xludf.DUMMYFUNCTION("""COMPUTED_VALUE"""),2.0250901E8)</f>
        <v>202509010</v>
      </c>
      <c r="C1611" s="139" t="str">
        <f>IFERROR(__xludf.DUMMYFUNCTION("""COMPUTED_VALUE"""),"e_glo_00001_general_ori4_Normal_Blue_Normal_00000")</f>
        <v>e_glo_00001_general_ori4_Normal_Blue_Normal_00000</v>
      </c>
      <c r="D1611" s="139" t="str">
        <f>IFERROR(__xludf.DUMMYFUNCTION("""COMPUTED_VALUE"""),"e_glo_00001_general_ori4_Normal_Blue")</f>
        <v>e_glo_00001_general_ori4_Normal_Blue</v>
      </c>
      <c r="E1611" s="139">
        <f>IFERROR(__xludf.DUMMYFUNCTION("""COMPUTED_VALUE"""),0.0)</f>
        <v>0</v>
      </c>
      <c r="F1611" s="139" t="str">
        <f>IFERROR(__xludf.DUMMYFUNCTION("""COMPUTED_VALUE"""),"Normal")</f>
        <v>Normal</v>
      </c>
      <c r="G1611" s="139"/>
      <c r="H1611" s="139"/>
      <c r="I1611" s="139">
        <f>IFERROR(__xludf.DUMMYFUNCTION("""COMPUTED_VALUE"""),50.0)</f>
        <v>50</v>
      </c>
      <c r="J1611" s="139">
        <f>IFERROR(__xludf.DUMMYFUNCTION("""COMPUTED_VALUE"""),25.0)</f>
        <v>25</v>
      </c>
      <c r="K1611" s="139">
        <f>IFERROR(__xludf.DUMMYFUNCTION("""COMPUTED_VALUE"""),50.0)</f>
        <v>50</v>
      </c>
      <c r="L1611" s="139"/>
      <c r="M1611" s="139"/>
      <c r="N1611" s="139"/>
    </row>
    <row r="1612">
      <c r="A1612" s="139" t="str">
        <f>IFERROR(__xludf.DUMMYFUNCTION("""COMPUTED_VALUE"""),"e")</f>
        <v>e</v>
      </c>
      <c r="B1612" s="139">
        <f>IFERROR(__xludf.DUMMYFUNCTION("""COMPUTED_VALUE"""),2.0250901E8)</f>
        <v>202509010</v>
      </c>
      <c r="C1612" s="139" t="str">
        <f>IFERROR(__xludf.DUMMYFUNCTION("""COMPUTED_VALUE"""),"e_glo_00001_general_ori4_big_Normal_Blue_Normal_00000")</f>
        <v>e_glo_00001_general_ori4_big_Normal_Blue_Normal_00000</v>
      </c>
      <c r="D1612" s="139" t="str">
        <f>IFERROR(__xludf.DUMMYFUNCTION("""COMPUTED_VALUE"""),"e_glo_00001_general_ori4_big_Normal_Blue")</f>
        <v>e_glo_00001_general_ori4_big_Normal_Blue</v>
      </c>
      <c r="E1612" s="139">
        <f>IFERROR(__xludf.DUMMYFUNCTION("""COMPUTED_VALUE"""),0.0)</f>
        <v>0</v>
      </c>
      <c r="F1612" s="139" t="str">
        <f>IFERROR(__xludf.DUMMYFUNCTION("""COMPUTED_VALUE"""),"Normal")</f>
        <v>Normal</v>
      </c>
      <c r="G1612" s="139"/>
      <c r="H1612" s="139"/>
      <c r="I1612" s="139">
        <f>IFERROR(__xludf.DUMMYFUNCTION("""COMPUTED_VALUE"""),50.0)</f>
        <v>50</v>
      </c>
      <c r="J1612" s="139">
        <f>IFERROR(__xludf.DUMMYFUNCTION("""COMPUTED_VALUE"""),25.0)</f>
        <v>25</v>
      </c>
      <c r="K1612" s="139">
        <f>IFERROR(__xludf.DUMMYFUNCTION("""COMPUTED_VALUE"""),1000.0)</f>
        <v>1000</v>
      </c>
      <c r="L1612" s="139"/>
      <c r="M1612" s="139"/>
      <c r="N1612" s="139"/>
    </row>
    <row r="1613">
      <c r="A1613" s="139" t="str">
        <f>IFERROR(__xludf.DUMMYFUNCTION("""COMPUTED_VALUE"""),"e")</f>
        <v>e</v>
      </c>
      <c r="B1613" s="139">
        <f>IFERROR(__xludf.DUMMYFUNCTION("""COMPUTED_VALUE"""),2.0250901E8)</f>
        <v>202509010</v>
      </c>
      <c r="C1613" s="139" t="str">
        <f>IFERROR(__xludf.DUMMYFUNCTION("""COMPUTED_VALUE"""),"e_glo_00001_general3_ori4_Normal_Colorless_Normal_00000")</f>
        <v>e_glo_00001_general3_ori4_Normal_Colorless_Normal_00000</v>
      </c>
      <c r="D1613" s="139" t="str">
        <f>IFERROR(__xludf.DUMMYFUNCTION("""COMPUTED_VALUE"""),"e_glo_00001_general3_ori4_Normal_Colorless")</f>
        <v>e_glo_00001_general3_ori4_Normal_Colorless</v>
      </c>
      <c r="E1613" s="139">
        <f>IFERROR(__xludf.DUMMYFUNCTION("""COMPUTED_VALUE"""),0.0)</f>
        <v>0</v>
      </c>
      <c r="F1613" s="139" t="str">
        <f>IFERROR(__xludf.DUMMYFUNCTION("""COMPUTED_VALUE"""),"Normal")</f>
        <v>Normal</v>
      </c>
      <c r="G1613" s="139"/>
      <c r="H1613" s="139"/>
      <c r="I1613" s="139">
        <f>IFERROR(__xludf.DUMMYFUNCTION("""COMPUTED_VALUE"""),50.0)</f>
        <v>50</v>
      </c>
      <c r="J1613" s="139">
        <f>IFERROR(__xludf.DUMMYFUNCTION("""COMPUTED_VALUE"""),25.0)</f>
        <v>25</v>
      </c>
      <c r="K1613" s="139">
        <f>IFERROR(__xludf.DUMMYFUNCTION("""COMPUTED_VALUE"""),50.0)</f>
        <v>50</v>
      </c>
      <c r="L1613" s="139"/>
      <c r="M1613" s="139"/>
      <c r="N1613" s="139"/>
    </row>
    <row r="1614">
      <c r="A1614" s="139" t="str">
        <f>IFERROR(__xludf.DUMMYFUNCTION("""COMPUTED_VALUE"""),"e")</f>
        <v>e</v>
      </c>
      <c r="B1614" s="139">
        <f>IFERROR(__xludf.DUMMYFUNCTION("""COMPUTED_VALUE"""),2.0250901E8)</f>
        <v>202509010</v>
      </c>
      <c r="C1614" s="139" t="str">
        <f>IFERROR(__xludf.DUMMYFUNCTION("""COMPUTED_VALUE"""),"e_glo_00001_general3_ori4_big_Normal_Colorless_Normal_00000")</f>
        <v>e_glo_00001_general3_ori4_big_Normal_Colorless_Normal_00000</v>
      </c>
      <c r="D1614" s="139" t="str">
        <f>IFERROR(__xludf.DUMMYFUNCTION("""COMPUTED_VALUE"""),"e_glo_00001_general3_ori4_big_Normal_Colorless")</f>
        <v>e_glo_00001_general3_ori4_big_Normal_Colorless</v>
      </c>
      <c r="E1614" s="139">
        <f>IFERROR(__xludf.DUMMYFUNCTION("""COMPUTED_VALUE"""),0.0)</f>
        <v>0</v>
      </c>
      <c r="F1614" s="139" t="str">
        <f>IFERROR(__xludf.DUMMYFUNCTION("""COMPUTED_VALUE"""),"Normal")</f>
        <v>Normal</v>
      </c>
      <c r="G1614" s="139"/>
      <c r="H1614" s="139"/>
      <c r="I1614" s="139">
        <f>IFERROR(__xludf.DUMMYFUNCTION("""COMPUTED_VALUE"""),50.0)</f>
        <v>50</v>
      </c>
      <c r="J1614" s="139">
        <f>IFERROR(__xludf.DUMMYFUNCTION("""COMPUTED_VALUE"""),25.0)</f>
        <v>25</v>
      </c>
      <c r="K1614" s="139">
        <f>IFERROR(__xludf.DUMMYFUNCTION("""COMPUTED_VALUE"""),1000.0)</f>
        <v>1000</v>
      </c>
      <c r="L1614" s="139"/>
      <c r="M1614" s="139"/>
      <c r="N1614" s="139"/>
    </row>
    <row r="1615">
      <c r="A1615" s="139" t="str">
        <f>IFERROR(__xludf.DUMMYFUNCTION("""COMPUTED_VALUE"""),"e")</f>
        <v>e</v>
      </c>
      <c r="B1615" s="139">
        <f>IFERROR(__xludf.DUMMYFUNCTION("""COMPUTED_VALUE"""),2.0250901E8)</f>
        <v>202509010</v>
      </c>
      <c r="C1615" s="139" t="str">
        <f>IFERROR(__xludf.DUMMYFUNCTION("""COMPUTED_VALUE"""),"c_mag_00001_general_ori4_Boss_Blue_Normal_00000")</f>
        <v>c_mag_00001_general_ori4_Boss_Blue_Normal_00000</v>
      </c>
      <c r="D1615" s="139" t="str">
        <f>IFERROR(__xludf.DUMMYFUNCTION("""COMPUTED_VALUE"""),"c_mag_00001_general_ori4_Boss_Blue")</f>
        <v>c_mag_00001_general_ori4_Boss_Blue</v>
      </c>
      <c r="E1615" s="139">
        <f>IFERROR(__xludf.DUMMYFUNCTION("""COMPUTED_VALUE"""),0.0)</f>
        <v>0</v>
      </c>
      <c r="F1615" s="139" t="str">
        <f>IFERROR(__xludf.DUMMYFUNCTION("""COMPUTED_VALUE"""),"Normal")</f>
        <v>Normal</v>
      </c>
      <c r="G1615" s="139"/>
      <c r="H1615" s="139"/>
      <c r="I1615" s="139">
        <f>IFERROR(__xludf.DUMMYFUNCTION("""COMPUTED_VALUE"""),89.0)</f>
        <v>89</v>
      </c>
      <c r="J1615" s="139">
        <f>IFERROR(__xludf.DUMMYFUNCTION("""COMPUTED_VALUE"""),46.0)</f>
        <v>46</v>
      </c>
      <c r="K1615" s="139">
        <f>IFERROR(__xludf.DUMMYFUNCTION("""COMPUTED_VALUE"""),75.0)</f>
        <v>75</v>
      </c>
      <c r="L1615" s="139"/>
      <c r="M1615" s="139"/>
      <c r="N1615" s="139"/>
    </row>
    <row r="1616">
      <c r="A1616" s="139" t="str">
        <f>IFERROR(__xludf.DUMMYFUNCTION("""COMPUTED_VALUE"""),"e")</f>
        <v>e</v>
      </c>
      <c r="B1616" s="139">
        <f>IFERROR(__xludf.DUMMYFUNCTION("""COMPUTED_VALUE"""),2.0250901E8)</f>
        <v>202509010</v>
      </c>
      <c r="C1616" s="139" t="str">
        <f>IFERROR(__xludf.DUMMYFUNCTION("""COMPUTED_VALUE"""),"c_mag_00001_general_ori4_Boss_Blue_Appearance_00001")</f>
        <v>c_mag_00001_general_ori4_Boss_Blue_Appearance_00001</v>
      </c>
      <c r="D1616" s="139" t="str">
        <f>IFERROR(__xludf.DUMMYFUNCTION("""COMPUTED_VALUE"""),"c_mag_00001_general_ori4_Boss_Blue")</f>
        <v>c_mag_00001_general_ori4_Boss_Blue</v>
      </c>
      <c r="E1616" s="139">
        <f>IFERROR(__xludf.DUMMYFUNCTION("""COMPUTED_VALUE"""),0.0)</f>
        <v>0</v>
      </c>
      <c r="F1616" s="139" t="str">
        <f>IFERROR(__xludf.DUMMYFUNCTION("""COMPUTED_VALUE"""),"Appearance")</f>
        <v>Appearance</v>
      </c>
      <c r="G1616" s="139"/>
      <c r="H1616" s="139"/>
      <c r="I1616" s="139">
        <f>IFERROR(__xludf.DUMMYFUNCTION("""COMPUTED_VALUE"""),50.0)</f>
        <v>50</v>
      </c>
      <c r="J1616" s="139">
        <f>IFERROR(__xludf.DUMMYFUNCTION("""COMPUTED_VALUE"""),0.0)</f>
        <v>0</v>
      </c>
      <c r="K1616" s="139">
        <f>IFERROR(__xludf.DUMMYFUNCTION("""COMPUTED_VALUE"""),0.0)</f>
        <v>0</v>
      </c>
      <c r="L1616" s="139"/>
      <c r="M1616" s="139"/>
      <c r="N1616" s="139"/>
    </row>
    <row r="1617">
      <c r="A1617" s="139" t="str">
        <f>IFERROR(__xludf.DUMMYFUNCTION("""COMPUTED_VALUE"""),"e")</f>
        <v>e</v>
      </c>
      <c r="B1617" s="139">
        <f>IFERROR(__xludf.DUMMYFUNCTION("""COMPUTED_VALUE"""),2.0250901E8)</f>
        <v>202509010</v>
      </c>
      <c r="C1617" s="139" t="str">
        <f>IFERROR(__xludf.DUMMYFUNCTION("""COMPUTED_VALUE"""),"c_mag_00001_general_ori4_Boss_Blue_Special_00002")</f>
        <v>c_mag_00001_general_ori4_Boss_Blue_Special_00002</v>
      </c>
      <c r="D1617" s="139" t="str">
        <f>IFERROR(__xludf.DUMMYFUNCTION("""COMPUTED_VALUE"""),"c_mag_00001_general_ori4_Boss_Blue")</f>
        <v>c_mag_00001_general_ori4_Boss_Blue</v>
      </c>
      <c r="E1617" s="139">
        <f>IFERROR(__xludf.DUMMYFUNCTION("""COMPUTED_VALUE"""),0.0)</f>
        <v>0</v>
      </c>
      <c r="F1617" s="139" t="str">
        <f>IFERROR(__xludf.DUMMYFUNCTION("""COMPUTED_VALUE"""),"Special")</f>
        <v>Special</v>
      </c>
      <c r="G1617" s="139"/>
      <c r="H1617" s="139"/>
      <c r="I1617" s="139">
        <f>IFERROR(__xludf.DUMMYFUNCTION("""COMPUTED_VALUE"""),117.0)</f>
        <v>117</v>
      </c>
      <c r="J1617" s="139">
        <f>IFERROR(__xludf.DUMMYFUNCTION("""COMPUTED_VALUE"""),0.0)</f>
        <v>0</v>
      </c>
      <c r="K1617" s="139">
        <f>IFERROR(__xludf.DUMMYFUNCTION("""COMPUTED_VALUE"""),0.0)</f>
        <v>0</v>
      </c>
      <c r="L1617" s="139"/>
      <c r="M1617" s="139"/>
      <c r="N1617" s="139"/>
    </row>
    <row r="1618">
      <c r="A1618" s="139" t="str">
        <f>IFERROR(__xludf.DUMMYFUNCTION("""COMPUTED_VALUE"""),"e")</f>
        <v>e</v>
      </c>
      <c r="B1618" s="139">
        <f>IFERROR(__xludf.DUMMYFUNCTION("""COMPUTED_VALUE"""),2.0250901E8)</f>
        <v>202509010</v>
      </c>
      <c r="C1618" s="139" t="str">
        <f>IFERROR(__xludf.DUMMYFUNCTION("""COMPUTED_VALUE"""),"c_kai_00301_general_ori4_Normal_Blue_Normal_00000")</f>
        <v>c_kai_00301_general_ori4_Normal_Blue_Normal_00000</v>
      </c>
      <c r="D1618" s="139" t="str">
        <f>IFERROR(__xludf.DUMMYFUNCTION("""COMPUTED_VALUE"""),"c_kai_00301_general_ori4_Normal_Blue")</f>
        <v>c_kai_00301_general_ori4_Normal_Blue</v>
      </c>
      <c r="E1618" s="139">
        <f>IFERROR(__xludf.DUMMYFUNCTION("""COMPUTED_VALUE"""),0.0)</f>
        <v>0</v>
      </c>
      <c r="F1618" s="139" t="str">
        <f>IFERROR(__xludf.DUMMYFUNCTION("""COMPUTED_VALUE"""),"Normal")</f>
        <v>Normal</v>
      </c>
      <c r="G1618" s="139"/>
      <c r="H1618" s="139"/>
      <c r="I1618" s="139">
        <f>IFERROR(__xludf.DUMMYFUNCTION("""COMPUTED_VALUE"""),120.0)</f>
        <v>120</v>
      </c>
      <c r="J1618" s="139">
        <f>IFERROR(__xludf.DUMMYFUNCTION("""COMPUTED_VALUE"""),35.0)</f>
        <v>35</v>
      </c>
      <c r="K1618" s="139">
        <f>IFERROR(__xludf.DUMMYFUNCTION("""COMPUTED_VALUE"""),50.0)</f>
        <v>50</v>
      </c>
      <c r="L1618" s="139"/>
      <c r="M1618" s="139"/>
      <c r="N1618" s="139"/>
    </row>
    <row r="1619">
      <c r="A1619" s="139" t="str">
        <f>IFERROR(__xludf.DUMMYFUNCTION("""COMPUTED_VALUE"""),"e")</f>
        <v>e</v>
      </c>
      <c r="B1619" s="139">
        <f>IFERROR(__xludf.DUMMYFUNCTION("""COMPUTED_VALUE"""),2.0250901E8)</f>
        <v>202509010</v>
      </c>
      <c r="C1619" s="139" t="str">
        <f>IFERROR(__xludf.DUMMYFUNCTION("""COMPUTED_VALUE"""),"c_kai_00301_general_ori4_Normal_Blue_Special_00001")</f>
        <v>c_kai_00301_general_ori4_Normal_Blue_Special_00001</v>
      </c>
      <c r="D1619" s="139" t="str">
        <f>IFERROR(__xludf.DUMMYFUNCTION("""COMPUTED_VALUE"""),"c_kai_00301_general_ori4_Normal_Blue")</f>
        <v>c_kai_00301_general_ori4_Normal_Blue</v>
      </c>
      <c r="E1619" s="139">
        <f>IFERROR(__xludf.DUMMYFUNCTION("""COMPUTED_VALUE"""),0.0)</f>
        <v>0</v>
      </c>
      <c r="F1619" s="139" t="str">
        <f>IFERROR(__xludf.DUMMYFUNCTION("""COMPUTED_VALUE"""),"Special")</f>
        <v>Special</v>
      </c>
      <c r="G1619" s="139"/>
      <c r="H1619" s="139"/>
      <c r="I1619" s="139">
        <f>IFERROR(__xludf.DUMMYFUNCTION("""COMPUTED_VALUE"""),167.0)</f>
        <v>167</v>
      </c>
      <c r="J1619" s="139">
        <f>IFERROR(__xludf.DUMMYFUNCTION("""COMPUTED_VALUE"""),54.0)</f>
        <v>54</v>
      </c>
      <c r="K1619" s="139">
        <f>IFERROR(__xludf.DUMMYFUNCTION("""COMPUTED_VALUE"""),0.0)</f>
        <v>0</v>
      </c>
      <c r="L1619" s="139"/>
      <c r="M1619" s="139"/>
      <c r="N1619" s="139"/>
    </row>
    <row r="1620">
      <c r="A1620" s="139" t="str">
        <f>IFERROR(__xludf.DUMMYFUNCTION("""COMPUTED_VALUE"""),"e")</f>
        <v>e</v>
      </c>
      <c r="B1620" s="139">
        <f>IFERROR(__xludf.DUMMYFUNCTION("""COMPUTED_VALUE"""),2.0250901E8)</f>
        <v>202509010</v>
      </c>
      <c r="C1620" s="139" t="str">
        <f>IFERROR(__xludf.DUMMYFUNCTION("""COMPUTED_VALUE"""),"c_mag_00101_general_ori4_Boss_Blue_Normal_00000")</f>
        <v>c_mag_00101_general_ori4_Boss_Blue_Normal_00000</v>
      </c>
      <c r="D1620" s="139" t="str">
        <f>IFERROR(__xludf.DUMMYFUNCTION("""COMPUTED_VALUE"""),"c_mag_00101_general_ori4_Boss_Blue")</f>
        <v>c_mag_00101_general_ori4_Boss_Blue</v>
      </c>
      <c r="E1620" s="139">
        <f>IFERROR(__xludf.DUMMYFUNCTION("""COMPUTED_VALUE"""),0.0)</f>
        <v>0</v>
      </c>
      <c r="F1620" s="139" t="str">
        <f>IFERROR(__xludf.DUMMYFUNCTION("""COMPUTED_VALUE"""),"Normal")</f>
        <v>Normal</v>
      </c>
      <c r="G1620" s="139"/>
      <c r="H1620" s="139"/>
      <c r="I1620" s="139">
        <f>IFERROR(__xludf.DUMMYFUNCTION("""COMPUTED_VALUE"""),95.0)</f>
        <v>95</v>
      </c>
      <c r="J1620" s="139">
        <f>IFERROR(__xludf.DUMMYFUNCTION("""COMPUTED_VALUE"""),42.0)</f>
        <v>42</v>
      </c>
      <c r="K1620" s="139">
        <f>IFERROR(__xludf.DUMMYFUNCTION("""COMPUTED_VALUE"""),75.0)</f>
        <v>75</v>
      </c>
      <c r="L1620" s="139"/>
      <c r="M1620" s="139"/>
      <c r="N1620" s="139"/>
    </row>
    <row r="1621">
      <c r="A1621" s="139" t="str">
        <f>IFERROR(__xludf.DUMMYFUNCTION("""COMPUTED_VALUE"""),"e")</f>
        <v>e</v>
      </c>
      <c r="B1621" s="139">
        <f>IFERROR(__xludf.DUMMYFUNCTION("""COMPUTED_VALUE"""),2.0250901E8)</f>
        <v>202509010</v>
      </c>
      <c r="C1621" s="139" t="str">
        <f>IFERROR(__xludf.DUMMYFUNCTION("""COMPUTED_VALUE"""),"c_mag_00101_general_ori4_Boss_Blue_Special_00001")</f>
        <v>c_mag_00101_general_ori4_Boss_Blue_Special_00001</v>
      </c>
      <c r="D1621" s="139" t="str">
        <f>IFERROR(__xludf.DUMMYFUNCTION("""COMPUTED_VALUE"""),"c_mag_00101_general_ori4_Boss_Blue")</f>
        <v>c_mag_00101_general_ori4_Boss_Blue</v>
      </c>
      <c r="E1621" s="139">
        <f>IFERROR(__xludf.DUMMYFUNCTION("""COMPUTED_VALUE"""),0.0)</f>
        <v>0</v>
      </c>
      <c r="F1621" s="139" t="str">
        <f>IFERROR(__xludf.DUMMYFUNCTION("""COMPUTED_VALUE"""),"Special")</f>
        <v>Special</v>
      </c>
      <c r="G1621" s="139"/>
      <c r="H1621" s="139"/>
      <c r="I1621" s="139">
        <f>IFERROR(__xludf.DUMMYFUNCTION("""COMPUTED_VALUE"""),134.0)</f>
        <v>134</v>
      </c>
      <c r="J1621" s="139">
        <f>IFERROR(__xludf.DUMMYFUNCTION("""COMPUTED_VALUE"""),75.0)</f>
        <v>75</v>
      </c>
      <c r="K1621" s="139">
        <f>IFERROR(__xludf.DUMMYFUNCTION("""COMPUTED_VALUE"""),0.0)</f>
        <v>0</v>
      </c>
      <c r="L1621" s="139"/>
      <c r="M1621" s="139"/>
      <c r="N1621" s="139"/>
    </row>
    <row r="1622">
      <c r="A1622" s="139" t="str">
        <f>IFERROR(__xludf.DUMMYFUNCTION("""COMPUTED_VALUE"""),"e")</f>
        <v>e</v>
      </c>
      <c r="B1622" s="139">
        <f>IFERROR(__xludf.DUMMYFUNCTION("""COMPUTED_VALUE"""),2.0250901E8)</f>
        <v>202509010</v>
      </c>
      <c r="C1622" s="139" t="str">
        <f>IFERROR(__xludf.DUMMYFUNCTION("""COMPUTED_VALUE"""),"c_mag_00101_general_ori4_Boss_Blue_Appearance_00002")</f>
        <v>c_mag_00101_general_ori4_Boss_Blue_Appearance_00002</v>
      </c>
      <c r="D1622" s="139" t="str">
        <f>IFERROR(__xludf.DUMMYFUNCTION("""COMPUTED_VALUE"""),"c_mag_00101_general_ori4_Boss_Blue")</f>
        <v>c_mag_00101_general_ori4_Boss_Blue</v>
      </c>
      <c r="E1622" s="139">
        <f>IFERROR(__xludf.DUMMYFUNCTION("""COMPUTED_VALUE"""),0.0)</f>
        <v>0</v>
      </c>
      <c r="F1622" s="139" t="str">
        <f>IFERROR(__xludf.DUMMYFUNCTION("""COMPUTED_VALUE"""),"Appearance")</f>
        <v>Appearance</v>
      </c>
      <c r="G1622" s="139"/>
      <c r="H1622" s="139"/>
      <c r="I1622" s="139">
        <f>IFERROR(__xludf.DUMMYFUNCTION("""COMPUTED_VALUE"""),50.0)</f>
        <v>50</v>
      </c>
      <c r="J1622" s="139">
        <f>IFERROR(__xludf.DUMMYFUNCTION("""COMPUTED_VALUE"""),0.0)</f>
        <v>0</v>
      </c>
      <c r="K1622" s="139">
        <f>IFERROR(__xludf.DUMMYFUNCTION("""COMPUTED_VALUE"""),0.0)</f>
        <v>0</v>
      </c>
      <c r="L1622" s="139"/>
      <c r="M1622" s="139"/>
      <c r="N1622" s="139"/>
    </row>
    <row r="1623">
      <c r="A1623" s="139" t="str">
        <f>IFERROR(__xludf.DUMMYFUNCTION("""COMPUTED_VALUE"""),"e")</f>
        <v>e</v>
      </c>
      <c r="B1623" s="139">
        <f>IFERROR(__xludf.DUMMYFUNCTION("""COMPUTED_VALUE"""),2.0250901E8)</f>
        <v>202509010</v>
      </c>
      <c r="C1623" s="139" t="str">
        <f>IFERROR(__xludf.DUMMYFUNCTION("""COMPUTED_VALUE"""),"c_sum_00001_general_ori4_Normal_Blue_Normal_00000")</f>
        <v>c_sum_00001_general_ori4_Normal_Blue_Normal_00000</v>
      </c>
      <c r="D1623" s="139" t="str">
        <f>IFERROR(__xludf.DUMMYFUNCTION("""COMPUTED_VALUE"""),"c_sum_00001_general_ori4_Normal_Blue")</f>
        <v>c_sum_00001_general_ori4_Normal_Blue</v>
      </c>
      <c r="E1623" s="139">
        <f>IFERROR(__xludf.DUMMYFUNCTION("""COMPUTED_VALUE"""),0.0)</f>
        <v>0</v>
      </c>
      <c r="F1623" s="139" t="str">
        <f>IFERROR(__xludf.DUMMYFUNCTION("""COMPUTED_VALUE"""),"Normal")</f>
        <v>Normal</v>
      </c>
      <c r="G1623" s="139"/>
      <c r="H1623" s="139"/>
      <c r="I1623" s="139">
        <f>IFERROR(__xludf.DUMMYFUNCTION("""COMPUTED_VALUE"""),70.0)</f>
        <v>70</v>
      </c>
      <c r="J1623" s="139">
        <f>IFERROR(__xludf.DUMMYFUNCTION("""COMPUTED_VALUE"""),33.0)</f>
        <v>33</v>
      </c>
      <c r="K1623" s="139">
        <f>IFERROR(__xludf.DUMMYFUNCTION("""COMPUTED_VALUE"""),100.0)</f>
        <v>100</v>
      </c>
      <c r="L1623" s="139"/>
      <c r="M1623" s="139"/>
      <c r="N1623" s="139"/>
    </row>
    <row r="1624">
      <c r="A1624" s="139" t="str">
        <f>IFERROR(__xludf.DUMMYFUNCTION("""COMPUTED_VALUE"""),"e")</f>
        <v>e</v>
      </c>
      <c r="B1624" s="139">
        <f>IFERROR(__xludf.DUMMYFUNCTION("""COMPUTED_VALUE"""),2.0250901E8)</f>
        <v>202509010</v>
      </c>
      <c r="C1624" s="139" t="str">
        <f>IFERROR(__xludf.DUMMYFUNCTION("""COMPUTED_VALUE"""),"c_sum_00001_general_ori4_Normal_Blue_Special_00001")</f>
        <v>c_sum_00001_general_ori4_Normal_Blue_Special_00001</v>
      </c>
      <c r="D1624" s="139" t="str">
        <f>IFERROR(__xludf.DUMMYFUNCTION("""COMPUTED_VALUE"""),"c_sum_00001_general_ori4_Normal_Blue")</f>
        <v>c_sum_00001_general_ori4_Normal_Blue</v>
      </c>
      <c r="E1624" s="139">
        <f>IFERROR(__xludf.DUMMYFUNCTION("""COMPUTED_VALUE"""),0.0)</f>
        <v>0</v>
      </c>
      <c r="F1624" s="139" t="str">
        <f>IFERROR(__xludf.DUMMYFUNCTION("""COMPUTED_VALUE"""),"Special")</f>
        <v>Special</v>
      </c>
      <c r="G1624" s="139"/>
      <c r="H1624" s="139"/>
      <c r="I1624" s="139">
        <f>IFERROR(__xludf.DUMMYFUNCTION("""COMPUTED_VALUE"""),117.0)</f>
        <v>117</v>
      </c>
      <c r="J1624" s="139">
        <f>IFERROR(__xludf.DUMMYFUNCTION("""COMPUTED_VALUE"""),0.0)</f>
        <v>0</v>
      </c>
      <c r="K1624" s="139">
        <f>IFERROR(__xludf.DUMMYFUNCTION("""COMPUTED_VALUE"""),0.0)</f>
        <v>0</v>
      </c>
      <c r="L1624" s="139"/>
      <c r="M1624" s="139"/>
      <c r="N1624" s="139"/>
    </row>
    <row r="1625">
      <c r="A1625" s="139" t="str">
        <f>IFERROR(__xludf.DUMMYFUNCTION("""COMPUTED_VALUE"""),"e")</f>
        <v>e</v>
      </c>
      <c r="B1625" s="139">
        <f>IFERROR(__xludf.DUMMYFUNCTION("""COMPUTED_VALUE"""),2.0250901E8)</f>
        <v>202509010</v>
      </c>
      <c r="C1625" s="139" t="str">
        <f>IFERROR(__xludf.DUMMYFUNCTION("""COMPUTED_VALUE"""),"c_kai_00001_general_ori4_Normal_Blue_Normal_00000")</f>
        <v>c_kai_00001_general_ori4_Normal_Blue_Normal_00000</v>
      </c>
      <c r="D1625" s="139" t="str">
        <f>IFERROR(__xludf.DUMMYFUNCTION("""COMPUTED_VALUE"""),"c_kai_00001_general_ori4_Normal_Blue")</f>
        <v>c_kai_00001_general_ori4_Normal_Blue</v>
      </c>
      <c r="E1625" s="139">
        <f>IFERROR(__xludf.DUMMYFUNCTION("""COMPUTED_VALUE"""),0.0)</f>
        <v>0</v>
      </c>
      <c r="F1625" s="139" t="str">
        <f>IFERROR(__xludf.DUMMYFUNCTION("""COMPUTED_VALUE"""),"Normal")</f>
        <v>Normal</v>
      </c>
      <c r="G1625" s="139"/>
      <c r="H1625" s="139"/>
      <c r="I1625" s="139">
        <f>IFERROR(__xludf.DUMMYFUNCTION("""COMPUTED_VALUE"""),92.0)</f>
        <v>92</v>
      </c>
      <c r="J1625" s="139">
        <f>IFERROR(__xludf.DUMMYFUNCTION("""COMPUTED_VALUE"""),50.0)</f>
        <v>50</v>
      </c>
      <c r="K1625" s="139">
        <f>IFERROR(__xludf.DUMMYFUNCTION("""COMPUTED_VALUE"""),75.0)</f>
        <v>75</v>
      </c>
      <c r="L1625" s="139"/>
      <c r="M1625" s="139"/>
      <c r="N1625" s="139"/>
    </row>
    <row r="1626">
      <c r="A1626" s="139" t="str">
        <f>IFERROR(__xludf.DUMMYFUNCTION("""COMPUTED_VALUE"""),"e")</f>
        <v>e</v>
      </c>
      <c r="B1626" s="139">
        <f>IFERROR(__xludf.DUMMYFUNCTION("""COMPUTED_VALUE"""),2.0250901E8)</f>
        <v>202509010</v>
      </c>
      <c r="C1626" s="139" t="str">
        <f>IFERROR(__xludf.DUMMYFUNCTION("""COMPUTED_VALUE"""),"c_kai_00001_general_ori4_Normal_Blue_Special_00001")</f>
        <v>c_kai_00001_general_ori4_Normal_Blue_Special_00001</v>
      </c>
      <c r="D1626" s="139" t="str">
        <f>IFERROR(__xludf.DUMMYFUNCTION("""COMPUTED_VALUE"""),"c_kai_00001_general_ori4_Normal_Blue")</f>
        <v>c_kai_00001_general_ori4_Normal_Blue</v>
      </c>
      <c r="E1626" s="139">
        <f>IFERROR(__xludf.DUMMYFUNCTION("""COMPUTED_VALUE"""),0.0)</f>
        <v>0</v>
      </c>
      <c r="F1626" s="139" t="str">
        <f>IFERROR(__xludf.DUMMYFUNCTION("""COMPUTED_VALUE"""),"Special")</f>
        <v>Special</v>
      </c>
      <c r="G1626" s="139"/>
      <c r="H1626" s="139"/>
      <c r="I1626" s="139">
        <f>IFERROR(__xludf.DUMMYFUNCTION("""COMPUTED_VALUE"""),117.0)</f>
        <v>117</v>
      </c>
      <c r="J1626" s="139">
        <f>IFERROR(__xludf.DUMMYFUNCTION("""COMPUTED_VALUE"""),67.0)</f>
        <v>67</v>
      </c>
      <c r="K1626" s="139">
        <f>IFERROR(__xludf.DUMMYFUNCTION("""COMPUTED_VALUE"""),0.0)</f>
        <v>0</v>
      </c>
      <c r="L1626" s="139"/>
      <c r="M1626" s="139"/>
      <c r="N1626" s="139"/>
    </row>
    <row r="1627">
      <c r="A1627" s="139" t="str">
        <f>IFERROR(__xludf.DUMMYFUNCTION("""COMPUTED_VALUE"""),"e")</f>
        <v>e</v>
      </c>
      <c r="B1627" s="139">
        <f>IFERROR(__xludf.DUMMYFUNCTION("""COMPUTED_VALUE"""),2.0250901E8)</f>
        <v>202509010</v>
      </c>
      <c r="C1627" s="139" t="str">
        <f>IFERROR(__xludf.DUMMYFUNCTION("""COMPUTED_VALUE"""),"e_mag_00101_general_ori4_Normal_Blue_Normal_00000")</f>
        <v>e_mag_00101_general_ori4_Normal_Blue_Normal_00000</v>
      </c>
      <c r="D1627" s="139" t="str">
        <f>IFERROR(__xludf.DUMMYFUNCTION("""COMPUTED_VALUE"""),"e_mag_00101_general_ori4_Normal_Blue")</f>
        <v>e_mag_00101_general_ori4_Normal_Blue</v>
      </c>
      <c r="E1627" s="139">
        <f>IFERROR(__xludf.DUMMYFUNCTION("""COMPUTED_VALUE"""),0.0)</f>
        <v>0</v>
      </c>
      <c r="F1627" s="139" t="str">
        <f>IFERROR(__xludf.DUMMYFUNCTION("""COMPUTED_VALUE"""),"Normal")</f>
        <v>Normal</v>
      </c>
      <c r="G1627" s="139"/>
      <c r="H1627" s="139"/>
      <c r="I1627" s="139">
        <f>IFERROR(__xludf.DUMMYFUNCTION("""COMPUTED_VALUE"""),19.0)</f>
        <v>19</v>
      </c>
      <c r="J1627" s="139">
        <f>IFERROR(__xludf.DUMMYFUNCTION("""COMPUTED_VALUE"""),10.0)</f>
        <v>10</v>
      </c>
      <c r="K1627" s="139">
        <f>IFERROR(__xludf.DUMMYFUNCTION("""COMPUTED_VALUE"""),0.0)</f>
        <v>0</v>
      </c>
      <c r="L1627" s="139"/>
      <c r="M1627" s="139"/>
      <c r="N1627" s="139"/>
    </row>
    <row r="1628">
      <c r="A1628" s="139" t="str">
        <f>IFERROR(__xludf.DUMMYFUNCTION("""COMPUTED_VALUE"""),"e")</f>
        <v>e</v>
      </c>
      <c r="B1628" s="139">
        <f>IFERROR(__xludf.DUMMYFUNCTION("""COMPUTED_VALUE"""),2.0250901E8)</f>
        <v>202509010</v>
      </c>
      <c r="C1628" s="139" t="str">
        <f>IFERROR(__xludf.DUMMYFUNCTION("""COMPUTED_VALUE"""),"e_mag_00101_general_ori4_Normal_Colorless_Normal_00000")</f>
        <v>e_mag_00101_general_ori4_Normal_Colorless_Normal_00000</v>
      </c>
      <c r="D1628" s="139" t="str">
        <f>IFERROR(__xludf.DUMMYFUNCTION("""COMPUTED_VALUE"""),"e_mag_00101_general_ori4_Normal_Colorless")</f>
        <v>e_mag_00101_general_ori4_Normal_Colorless</v>
      </c>
      <c r="E1628" s="139">
        <f>IFERROR(__xludf.DUMMYFUNCTION("""COMPUTED_VALUE"""),0.0)</f>
        <v>0</v>
      </c>
      <c r="F1628" s="139" t="str">
        <f>IFERROR(__xludf.DUMMYFUNCTION("""COMPUTED_VALUE"""),"Normal")</f>
        <v>Normal</v>
      </c>
      <c r="G1628" s="139"/>
      <c r="H1628" s="139"/>
      <c r="I1628" s="139">
        <f>IFERROR(__xludf.DUMMYFUNCTION("""COMPUTED_VALUE"""),19.0)</f>
        <v>19</v>
      </c>
      <c r="J1628" s="139">
        <f>IFERROR(__xludf.DUMMYFUNCTION("""COMPUTED_VALUE"""),10.0)</f>
        <v>10</v>
      </c>
      <c r="K1628" s="139">
        <f>IFERROR(__xludf.DUMMYFUNCTION("""COMPUTED_VALUE"""),0.0)</f>
        <v>0</v>
      </c>
      <c r="L1628" s="139"/>
      <c r="M1628" s="139"/>
      <c r="N1628" s="139"/>
    </row>
    <row r="1629">
      <c r="A1629" s="139"/>
      <c r="B1629" s="139"/>
      <c r="C1629" s="139"/>
      <c r="D1629" s="139"/>
      <c r="E1629" s="139"/>
      <c r="F1629" s="139"/>
      <c r="G1629" s="139"/>
      <c r="H1629" s="139"/>
      <c r="I1629" s="139"/>
      <c r="J1629" s="139"/>
      <c r="K1629" s="139"/>
      <c r="L1629" s="139"/>
      <c r="M1629" s="139"/>
      <c r="N1629" s="139"/>
    </row>
    <row r="1630">
      <c r="A1630" s="139" t="str">
        <f>IFERROR(__xludf.DUMMYFUNCTION("""COMPUTED_VALUE"""),"e")</f>
        <v>e</v>
      </c>
      <c r="B1630" s="139">
        <f>IFERROR(__xludf.DUMMYFUNCTION("""COMPUTED_VALUE"""),2.0250901E8)</f>
        <v>202509010</v>
      </c>
      <c r="C1630" s="139" t="str">
        <f>IFERROR(__xludf.DUMMYFUNCTION("""COMPUTED_VALUE"""),"e_spy_00101_general_n_Normal_Colorless_Normal_00000")</f>
        <v>e_spy_00101_general_n_Normal_Colorless_Normal_00000</v>
      </c>
      <c r="D1630" s="139" t="str">
        <f>IFERROR(__xludf.DUMMYFUNCTION("""COMPUTED_VALUE"""),"e_spy_00101_general_n_Normal_Colorless")</f>
        <v>e_spy_00101_general_n_Normal_Colorless</v>
      </c>
      <c r="E1630" s="139">
        <f>IFERROR(__xludf.DUMMYFUNCTION("""COMPUTED_VALUE"""),0.0)</f>
        <v>0</v>
      </c>
      <c r="F1630" s="139" t="str">
        <f>IFERROR(__xludf.DUMMYFUNCTION("""COMPUTED_VALUE"""),"Normal")</f>
        <v>Normal</v>
      </c>
      <c r="G1630" s="139"/>
      <c r="H1630" s="139"/>
      <c r="I1630" s="139">
        <f>IFERROR(__xludf.DUMMYFUNCTION("""COMPUTED_VALUE"""),60.0)</f>
        <v>60</v>
      </c>
      <c r="J1630" s="139">
        <f>IFERROR(__xludf.DUMMYFUNCTION("""COMPUTED_VALUE"""),25.0)</f>
        <v>25</v>
      </c>
      <c r="K1630" s="139">
        <f>IFERROR(__xludf.DUMMYFUNCTION("""COMPUTED_VALUE"""),50.0)</f>
        <v>50</v>
      </c>
      <c r="L1630" s="139"/>
      <c r="M1630" s="139"/>
      <c r="N1630" s="139"/>
    </row>
    <row r="1631">
      <c r="A1631" s="139" t="str">
        <f>IFERROR(__xludf.DUMMYFUNCTION("""COMPUTED_VALUE"""),"e")</f>
        <v>e</v>
      </c>
      <c r="B1631" s="139">
        <f>IFERROR(__xludf.DUMMYFUNCTION("""COMPUTED_VALUE"""),2.0250901E8)</f>
        <v>202509010</v>
      </c>
      <c r="C1631" s="139" t="str">
        <f>IFERROR(__xludf.DUMMYFUNCTION("""COMPUTED_VALUE"""),"e_spy_00101_general_vh_Normal_Green_Normal_00000")</f>
        <v>e_spy_00101_general_vh_Normal_Green_Normal_00000</v>
      </c>
      <c r="D1631" s="139" t="str">
        <f>IFERROR(__xludf.DUMMYFUNCTION("""COMPUTED_VALUE"""),"e_spy_00101_general_vh_Normal_Green")</f>
        <v>e_spy_00101_general_vh_Normal_Green</v>
      </c>
      <c r="E1631" s="139">
        <f>IFERROR(__xludf.DUMMYFUNCTION("""COMPUTED_VALUE"""),0.0)</f>
        <v>0</v>
      </c>
      <c r="F1631" s="139" t="str">
        <f>IFERROR(__xludf.DUMMYFUNCTION("""COMPUTED_VALUE"""),"Normal")</f>
        <v>Normal</v>
      </c>
      <c r="G1631" s="139"/>
      <c r="H1631" s="139"/>
      <c r="I1631" s="139">
        <f>IFERROR(__xludf.DUMMYFUNCTION("""COMPUTED_VALUE"""),60.0)</f>
        <v>60</v>
      </c>
      <c r="J1631" s="139">
        <f>IFERROR(__xludf.DUMMYFUNCTION("""COMPUTED_VALUE"""),25.0)</f>
        <v>25</v>
      </c>
      <c r="K1631" s="139">
        <f>IFERROR(__xludf.DUMMYFUNCTION("""COMPUTED_VALUE"""),50.0)</f>
        <v>50</v>
      </c>
      <c r="L1631" s="139"/>
      <c r="M1631" s="139"/>
      <c r="N1631" s="139"/>
    </row>
    <row r="1632">
      <c r="A1632" s="139" t="str">
        <f>IFERROR(__xludf.DUMMYFUNCTION("""COMPUTED_VALUE"""),"e")</f>
        <v>e</v>
      </c>
      <c r="B1632" s="139">
        <f>IFERROR(__xludf.DUMMYFUNCTION("""COMPUTED_VALUE"""),2.0250901E8)</f>
        <v>202509010</v>
      </c>
      <c r="C1632" s="139" t="str">
        <f>IFERROR(__xludf.DUMMYFUNCTION("""COMPUTED_VALUE"""),"e_spy_00101_general_vh_Normal_Blue_Normal_00000")</f>
        <v>e_spy_00101_general_vh_Normal_Blue_Normal_00000</v>
      </c>
      <c r="D1632" s="139" t="str">
        <f>IFERROR(__xludf.DUMMYFUNCTION("""COMPUTED_VALUE"""),"e_spy_00101_general_vh_Normal_Blue")</f>
        <v>e_spy_00101_general_vh_Normal_Blue</v>
      </c>
      <c r="E1632" s="139">
        <f>IFERROR(__xludf.DUMMYFUNCTION("""COMPUTED_VALUE"""),0.0)</f>
        <v>0</v>
      </c>
      <c r="F1632" s="139" t="str">
        <f>IFERROR(__xludf.DUMMYFUNCTION("""COMPUTED_VALUE"""),"Normal")</f>
        <v>Normal</v>
      </c>
      <c r="G1632" s="139"/>
      <c r="H1632" s="139"/>
      <c r="I1632" s="139">
        <f>IFERROR(__xludf.DUMMYFUNCTION("""COMPUTED_VALUE"""),60.0)</f>
        <v>60</v>
      </c>
      <c r="J1632" s="139">
        <f>IFERROR(__xludf.DUMMYFUNCTION("""COMPUTED_VALUE"""),25.0)</f>
        <v>25</v>
      </c>
      <c r="K1632" s="139">
        <f>IFERROR(__xludf.DUMMYFUNCTION("""COMPUTED_VALUE"""),50.0)</f>
        <v>50</v>
      </c>
      <c r="L1632" s="139"/>
      <c r="M1632" s="139"/>
      <c r="N1632" s="139"/>
    </row>
    <row r="1633">
      <c r="A1633" s="139" t="str">
        <f>IFERROR(__xludf.DUMMYFUNCTION("""COMPUTED_VALUE"""),"e")</f>
        <v>e</v>
      </c>
      <c r="B1633" s="139">
        <f>IFERROR(__xludf.DUMMYFUNCTION("""COMPUTED_VALUE"""),2.0250901E8)</f>
        <v>202509010</v>
      </c>
      <c r="C1633" s="139" t="str">
        <f>IFERROR(__xludf.DUMMYFUNCTION("""COMPUTED_VALUE"""),"e_spy_00101_general_n_Boss_Colorless_Normal_00000")</f>
        <v>e_spy_00101_general_n_Boss_Colorless_Normal_00000</v>
      </c>
      <c r="D1633" s="139" t="str">
        <f>IFERROR(__xludf.DUMMYFUNCTION("""COMPUTED_VALUE"""),"e_spy_00101_general_n_Boss_Colorless")</f>
        <v>e_spy_00101_general_n_Boss_Colorless</v>
      </c>
      <c r="E1633" s="139">
        <f>IFERROR(__xludf.DUMMYFUNCTION("""COMPUTED_VALUE"""),0.0)</f>
        <v>0</v>
      </c>
      <c r="F1633" s="139" t="str">
        <f>IFERROR(__xludf.DUMMYFUNCTION("""COMPUTED_VALUE"""),"Normal")</f>
        <v>Normal</v>
      </c>
      <c r="G1633" s="139"/>
      <c r="H1633" s="139"/>
      <c r="I1633" s="139">
        <f>IFERROR(__xludf.DUMMYFUNCTION("""COMPUTED_VALUE"""),60.0)</f>
        <v>60</v>
      </c>
      <c r="J1633" s="139">
        <f>IFERROR(__xludf.DUMMYFUNCTION("""COMPUTED_VALUE"""),25.0)</f>
        <v>25</v>
      </c>
      <c r="K1633" s="139">
        <f>IFERROR(__xludf.DUMMYFUNCTION("""COMPUTED_VALUE"""),50.0)</f>
        <v>50</v>
      </c>
      <c r="L1633" s="139"/>
      <c r="M1633" s="139"/>
      <c r="N1633" s="139"/>
    </row>
    <row r="1634">
      <c r="A1634" s="139" t="str">
        <f>IFERROR(__xludf.DUMMYFUNCTION("""COMPUTED_VALUE"""),"e")</f>
        <v>e</v>
      </c>
      <c r="B1634" s="139">
        <f>IFERROR(__xludf.DUMMYFUNCTION("""COMPUTED_VALUE"""),2.0250901E8)</f>
        <v>202509010</v>
      </c>
      <c r="C1634" s="139" t="str">
        <f>IFERROR(__xludf.DUMMYFUNCTION("""COMPUTED_VALUE"""),"e_spy_00101_general_n_Boss_Colorless_Appearance_00001")</f>
        <v>e_spy_00101_general_n_Boss_Colorless_Appearance_00001</v>
      </c>
      <c r="D1634" s="139" t="str">
        <f>IFERROR(__xludf.DUMMYFUNCTION("""COMPUTED_VALUE"""),"e_spy_00101_general_n_Boss_Colorless")</f>
        <v>e_spy_00101_general_n_Boss_Colorless</v>
      </c>
      <c r="E1634" s="139">
        <f>IFERROR(__xludf.DUMMYFUNCTION("""COMPUTED_VALUE"""),0.0)</f>
        <v>0</v>
      </c>
      <c r="F1634" s="139" t="str">
        <f>IFERROR(__xludf.DUMMYFUNCTION("""COMPUTED_VALUE"""),"Appearance")</f>
        <v>Appearance</v>
      </c>
      <c r="G1634" s="139"/>
      <c r="H1634" s="139"/>
      <c r="I1634" s="139">
        <f>IFERROR(__xludf.DUMMYFUNCTION("""COMPUTED_VALUE"""),50.0)</f>
        <v>50</v>
      </c>
      <c r="J1634" s="139">
        <f>IFERROR(__xludf.DUMMYFUNCTION("""COMPUTED_VALUE"""),0.0)</f>
        <v>0</v>
      </c>
      <c r="K1634" s="139">
        <f>IFERROR(__xludf.DUMMYFUNCTION("""COMPUTED_VALUE"""),0.0)</f>
        <v>0</v>
      </c>
      <c r="L1634" s="139"/>
      <c r="M1634" s="139"/>
      <c r="N1634" s="139"/>
    </row>
    <row r="1635">
      <c r="A1635" s="139" t="str">
        <f>IFERROR(__xludf.DUMMYFUNCTION("""COMPUTED_VALUE"""),"e")</f>
        <v>e</v>
      </c>
      <c r="B1635" s="139">
        <f>IFERROR(__xludf.DUMMYFUNCTION("""COMPUTED_VALUE"""),2.0250901E8)</f>
        <v>202509010</v>
      </c>
      <c r="C1635" s="139" t="str">
        <f>IFERROR(__xludf.DUMMYFUNCTION("""COMPUTED_VALUE"""),"e_spy_00101_general_n_Boss_Blue_Normal_00000")</f>
        <v>e_spy_00101_general_n_Boss_Blue_Normal_00000</v>
      </c>
      <c r="D1635" s="139" t="str">
        <f>IFERROR(__xludf.DUMMYFUNCTION("""COMPUTED_VALUE"""),"e_spy_00101_general_n_Boss_Blue")</f>
        <v>e_spy_00101_general_n_Boss_Blue</v>
      </c>
      <c r="E1635" s="139">
        <f>IFERROR(__xludf.DUMMYFUNCTION("""COMPUTED_VALUE"""),0.0)</f>
        <v>0</v>
      </c>
      <c r="F1635" s="139" t="str">
        <f>IFERROR(__xludf.DUMMYFUNCTION("""COMPUTED_VALUE"""),"Normal")</f>
        <v>Normal</v>
      </c>
      <c r="G1635" s="139"/>
      <c r="H1635" s="139"/>
      <c r="I1635" s="139">
        <f>IFERROR(__xludf.DUMMYFUNCTION("""COMPUTED_VALUE"""),60.0)</f>
        <v>60</v>
      </c>
      <c r="J1635" s="139">
        <f>IFERROR(__xludf.DUMMYFUNCTION("""COMPUTED_VALUE"""),25.0)</f>
        <v>25</v>
      </c>
      <c r="K1635" s="139">
        <f>IFERROR(__xludf.DUMMYFUNCTION("""COMPUTED_VALUE"""),50.0)</f>
        <v>50</v>
      </c>
      <c r="L1635" s="139"/>
      <c r="M1635" s="139"/>
      <c r="N1635" s="139"/>
    </row>
    <row r="1636">
      <c r="A1636" s="139" t="str">
        <f>IFERROR(__xludf.DUMMYFUNCTION("""COMPUTED_VALUE"""),"e")</f>
        <v>e</v>
      </c>
      <c r="B1636" s="139">
        <f>IFERROR(__xludf.DUMMYFUNCTION("""COMPUTED_VALUE"""),2.0250901E8)</f>
        <v>202509010</v>
      </c>
      <c r="C1636" s="139" t="str">
        <f>IFERROR(__xludf.DUMMYFUNCTION("""COMPUTED_VALUE"""),"e_spy_00101_general_n_Boss_Blue_Appearance_00001")</f>
        <v>e_spy_00101_general_n_Boss_Blue_Appearance_00001</v>
      </c>
      <c r="D1636" s="139" t="str">
        <f>IFERROR(__xludf.DUMMYFUNCTION("""COMPUTED_VALUE"""),"e_spy_00101_general_n_Boss_Blue")</f>
        <v>e_spy_00101_general_n_Boss_Blue</v>
      </c>
      <c r="E1636" s="139">
        <f>IFERROR(__xludf.DUMMYFUNCTION("""COMPUTED_VALUE"""),0.0)</f>
        <v>0</v>
      </c>
      <c r="F1636" s="139" t="str">
        <f>IFERROR(__xludf.DUMMYFUNCTION("""COMPUTED_VALUE"""),"Appearance")</f>
        <v>Appearance</v>
      </c>
      <c r="G1636" s="139"/>
      <c r="H1636" s="139"/>
      <c r="I1636" s="139">
        <f>IFERROR(__xludf.DUMMYFUNCTION("""COMPUTED_VALUE"""),50.0)</f>
        <v>50</v>
      </c>
      <c r="J1636" s="139">
        <f>IFERROR(__xludf.DUMMYFUNCTION("""COMPUTED_VALUE"""),0.0)</f>
        <v>0</v>
      </c>
      <c r="K1636" s="139">
        <f>IFERROR(__xludf.DUMMYFUNCTION("""COMPUTED_VALUE"""),0.0)</f>
        <v>0</v>
      </c>
      <c r="L1636" s="139"/>
      <c r="M1636" s="139"/>
      <c r="N1636" s="139"/>
    </row>
    <row r="1637">
      <c r="A1637" s="139" t="str">
        <f>IFERROR(__xludf.DUMMYFUNCTION("""COMPUTED_VALUE"""),"e")</f>
        <v>e</v>
      </c>
      <c r="B1637" s="139">
        <f>IFERROR(__xludf.DUMMYFUNCTION("""COMPUTED_VALUE"""),2.0250901E8)</f>
        <v>202509010</v>
      </c>
      <c r="C1637" s="139" t="str">
        <f>IFERROR(__xludf.DUMMYFUNCTION("""COMPUTED_VALUE"""),"e_spy_00101_general_vh_Boss_Green_Normal_00000")</f>
        <v>e_spy_00101_general_vh_Boss_Green_Normal_00000</v>
      </c>
      <c r="D1637" s="139" t="str">
        <f>IFERROR(__xludf.DUMMYFUNCTION("""COMPUTED_VALUE"""),"e_spy_00101_general_vh_Boss_Green")</f>
        <v>e_spy_00101_general_vh_Boss_Green</v>
      </c>
      <c r="E1637" s="139">
        <f>IFERROR(__xludf.DUMMYFUNCTION("""COMPUTED_VALUE"""),0.0)</f>
        <v>0</v>
      </c>
      <c r="F1637" s="139" t="str">
        <f>IFERROR(__xludf.DUMMYFUNCTION("""COMPUTED_VALUE"""),"Normal")</f>
        <v>Normal</v>
      </c>
      <c r="G1637" s="139"/>
      <c r="H1637" s="139"/>
      <c r="I1637" s="139">
        <f>IFERROR(__xludf.DUMMYFUNCTION("""COMPUTED_VALUE"""),60.0)</f>
        <v>60</v>
      </c>
      <c r="J1637" s="139">
        <f>IFERROR(__xludf.DUMMYFUNCTION("""COMPUTED_VALUE"""),25.0)</f>
        <v>25</v>
      </c>
      <c r="K1637" s="139">
        <f>IFERROR(__xludf.DUMMYFUNCTION("""COMPUTED_VALUE"""),50.0)</f>
        <v>50</v>
      </c>
      <c r="L1637" s="139"/>
      <c r="M1637" s="139"/>
      <c r="N1637" s="139"/>
    </row>
    <row r="1638">
      <c r="A1638" s="139" t="str">
        <f>IFERROR(__xludf.DUMMYFUNCTION("""COMPUTED_VALUE"""),"e")</f>
        <v>e</v>
      </c>
      <c r="B1638" s="139">
        <f>IFERROR(__xludf.DUMMYFUNCTION("""COMPUTED_VALUE"""),2.0250901E8)</f>
        <v>202509010</v>
      </c>
      <c r="C1638" s="139" t="str">
        <f>IFERROR(__xludf.DUMMYFUNCTION("""COMPUTED_VALUE"""),"e_spy_00101_general_vh_Boss_Green_Appearance_00001")</f>
        <v>e_spy_00101_general_vh_Boss_Green_Appearance_00001</v>
      </c>
      <c r="D1638" s="139" t="str">
        <f>IFERROR(__xludf.DUMMYFUNCTION("""COMPUTED_VALUE"""),"e_spy_00101_general_vh_Boss_Green")</f>
        <v>e_spy_00101_general_vh_Boss_Green</v>
      </c>
      <c r="E1638" s="139">
        <f>IFERROR(__xludf.DUMMYFUNCTION("""COMPUTED_VALUE"""),0.0)</f>
        <v>0</v>
      </c>
      <c r="F1638" s="139" t="str">
        <f>IFERROR(__xludf.DUMMYFUNCTION("""COMPUTED_VALUE"""),"Appearance")</f>
        <v>Appearance</v>
      </c>
      <c r="G1638" s="139"/>
      <c r="H1638" s="139"/>
      <c r="I1638" s="139">
        <f>IFERROR(__xludf.DUMMYFUNCTION("""COMPUTED_VALUE"""),50.0)</f>
        <v>50</v>
      </c>
      <c r="J1638" s="139">
        <f>IFERROR(__xludf.DUMMYFUNCTION("""COMPUTED_VALUE"""),0.0)</f>
        <v>0</v>
      </c>
      <c r="K1638" s="139">
        <f>IFERROR(__xludf.DUMMYFUNCTION("""COMPUTED_VALUE"""),0.0)</f>
        <v>0</v>
      </c>
      <c r="L1638" s="139"/>
      <c r="M1638" s="139"/>
      <c r="N1638" s="139"/>
    </row>
    <row r="1639">
      <c r="A1639" s="139" t="str">
        <f>IFERROR(__xludf.DUMMYFUNCTION("""COMPUTED_VALUE"""),"e")</f>
        <v>e</v>
      </c>
      <c r="B1639" s="139">
        <f>IFERROR(__xludf.DUMMYFUNCTION("""COMPUTED_VALUE"""),2.0250901E8)</f>
        <v>202509010</v>
      </c>
      <c r="C1639" s="139" t="str">
        <f>IFERROR(__xludf.DUMMYFUNCTION("""COMPUTED_VALUE"""),"e_spy_00101_general_vh_Boss_Blue_Normal_00000")</f>
        <v>e_spy_00101_general_vh_Boss_Blue_Normal_00000</v>
      </c>
      <c r="D1639" s="139" t="str">
        <f>IFERROR(__xludf.DUMMYFUNCTION("""COMPUTED_VALUE"""),"e_spy_00101_general_vh_Boss_Blue")</f>
        <v>e_spy_00101_general_vh_Boss_Blue</v>
      </c>
      <c r="E1639" s="139">
        <f>IFERROR(__xludf.DUMMYFUNCTION("""COMPUTED_VALUE"""),0.0)</f>
        <v>0</v>
      </c>
      <c r="F1639" s="139" t="str">
        <f>IFERROR(__xludf.DUMMYFUNCTION("""COMPUTED_VALUE"""),"Normal")</f>
        <v>Normal</v>
      </c>
      <c r="G1639" s="139"/>
      <c r="H1639" s="139"/>
      <c r="I1639" s="139">
        <f>IFERROR(__xludf.DUMMYFUNCTION("""COMPUTED_VALUE"""),60.0)</f>
        <v>60</v>
      </c>
      <c r="J1639" s="139">
        <f>IFERROR(__xludf.DUMMYFUNCTION("""COMPUTED_VALUE"""),25.0)</f>
        <v>25</v>
      </c>
      <c r="K1639" s="139">
        <f>IFERROR(__xludf.DUMMYFUNCTION("""COMPUTED_VALUE"""),50.0)</f>
        <v>50</v>
      </c>
      <c r="L1639" s="139"/>
      <c r="M1639" s="139"/>
      <c r="N1639" s="139"/>
    </row>
    <row r="1640">
      <c r="A1640" s="139" t="str">
        <f>IFERROR(__xludf.DUMMYFUNCTION("""COMPUTED_VALUE"""),"e")</f>
        <v>e</v>
      </c>
      <c r="B1640" s="139">
        <f>IFERROR(__xludf.DUMMYFUNCTION("""COMPUTED_VALUE"""),2.0250901E8)</f>
        <v>202509010</v>
      </c>
      <c r="C1640" s="139" t="str">
        <f>IFERROR(__xludf.DUMMYFUNCTION("""COMPUTED_VALUE"""),"e_spy_00101_general_vh_Boss_Blue_Appearance_00001")</f>
        <v>e_spy_00101_general_vh_Boss_Blue_Appearance_00001</v>
      </c>
      <c r="D1640" s="139" t="str">
        <f>IFERROR(__xludf.DUMMYFUNCTION("""COMPUTED_VALUE"""),"e_spy_00101_general_vh_Boss_Blue")</f>
        <v>e_spy_00101_general_vh_Boss_Blue</v>
      </c>
      <c r="E1640" s="139">
        <f>IFERROR(__xludf.DUMMYFUNCTION("""COMPUTED_VALUE"""),0.0)</f>
        <v>0</v>
      </c>
      <c r="F1640" s="139" t="str">
        <f>IFERROR(__xludf.DUMMYFUNCTION("""COMPUTED_VALUE"""),"Appearance")</f>
        <v>Appearance</v>
      </c>
      <c r="G1640" s="139"/>
      <c r="H1640" s="139"/>
      <c r="I1640" s="139">
        <f>IFERROR(__xludf.DUMMYFUNCTION("""COMPUTED_VALUE"""),50.0)</f>
        <v>50</v>
      </c>
      <c r="J1640" s="139">
        <f>IFERROR(__xludf.DUMMYFUNCTION("""COMPUTED_VALUE"""),0.0)</f>
        <v>0</v>
      </c>
      <c r="K1640" s="139">
        <f>IFERROR(__xludf.DUMMYFUNCTION("""COMPUTED_VALUE"""),0.0)</f>
        <v>0</v>
      </c>
      <c r="L1640" s="139"/>
      <c r="M1640" s="139"/>
      <c r="N1640" s="139"/>
    </row>
    <row r="1641">
      <c r="A1641" s="139" t="str">
        <f>IFERROR(__xludf.DUMMYFUNCTION("""COMPUTED_VALUE"""),"e")</f>
        <v>e</v>
      </c>
      <c r="B1641" s="139">
        <f>IFERROR(__xludf.DUMMYFUNCTION("""COMPUTED_VALUE"""),2.0250901E8)</f>
        <v>202509010</v>
      </c>
      <c r="C1641" s="139" t="str">
        <f>IFERROR(__xludf.DUMMYFUNCTION("""COMPUTED_VALUE"""),"e_spy_00001_general_n_Normal_Colorless_Normal_00000")</f>
        <v>e_spy_00001_general_n_Normal_Colorless_Normal_00000</v>
      </c>
      <c r="D1641" s="139" t="str">
        <f>IFERROR(__xludf.DUMMYFUNCTION("""COMPUTED_VALUE"""),"e_spy_00001_general_n_Normal_Colorless")</f>
        <v>e_spy_00001_general_n_Normal_Colorless</v>
      </c>
      <c r="E1641" s="139">
        <f>IFERROR(__xludf.DUMMYFUNCTION("""COMPUTED_VALUE"""),0.0)</f>
        <v>0</v>
      </c>
      <c r="F1641" s="139" t="str">
        <f>IFERROR(__xludf.DUMMYFUNCTION("""COMPUTED_VALUE"""),"Normal")</f>
        <v>Normal</v>
      </c>
      <c r="G1641" s="139"/>
      <c r="H1641" s="139"/>
      <c r="I1641" s="139">
        <f>IFERROR(__xludf.DUMMYFUNCTION("""COMPUTED_VALUE"""),50.0)</f>
        <v>50</v>
      </c>
      <c r="J1641" s="139">
        <f>IFERROR(__xludf.DUMMYFUNCTION("""COMPUTED_VALUE"""),9.0)</f>
        <v>9</v>
      </c>
      <c r="K1641" s="139">
        <f>IFERROR(__xludf.DUMMYFUNCTION("""COMPUTED_VALUE"""),50.0)</f>
        <v>50</v>
      </c>
      <c r="L1641" s="139"/>
      <c r="M1641" s="139"/>
      <c r="N1641" s="139"/>
    </row>
    <row r="1642">
      <c r="A1642" s="139" t="str">
        <f>IFERROR(__xludf.DUMMYFUNCTION("""COMPUTED_VALUE"""),"e")</f>
        <v>e</v>
      </c>
      <c r="B1642" s="139">
        <f>IFERROR(__xludf.DUMMYFUNCTION("""COMPUTED_VALUE"""),2.0250901E8)</f>
        <v>202509010</v>
      </c>
      <c r="C1642" s="139" t="str">
        <f>IFERROR(__xludf.DUMMYFUNCTION("""COMPUTED_VALUE"""),"e_spy_00001_general_n_Normal_Blue_Normal_00000")</f>
        <v>e_spy_00001_general_n_Normal_Blue_Normal_00000</v>
      </c>
      <c r="D1642" s="139" t="str">
        <f>IFERROR(__xludf.DUMMYFUNCTION("""COMPUTED_VALUE"""),"e_spy_00001_general_n_Normal_Blue")</f>
        <v>e_spy_00001_general_n_Normal_Blue</v>
      </c>
      <c r="E1642" s="139">
        <f>IFERROR(__xludf.DUMMYFUNCTION("""COMPUTED_VALUE"""),0.0)</f>
        <v>0</v>
      </c>
      <c r="F1642" s="139" t="str">
        <f>IFERROR(__xludf.DUMMYFUNCTION("""COMPUTED_VALUE"""),"Normal")</f>
        <v>Normal</v>
      </c>
      <c r="G1642" s="139"/>
      <c r="H1642" s="139"/>
      <c r="I1642" s="139">
        <f>IFERROR(__xludf.DUMMYFUNCTION("""COMPUTED_VALUE"""),50.0)</f>
        <v>50</v>
      </c>
      <c r="J1642" s="139">
        <f>IFERROR(__xludf.DUMMYFUNCTION("""COMPUTED_VALUE"""),9.0)</f>
        <v>9</v>
      </c>
      <c r="K1642" s="139">
        <f>IFERROR(__xludf.DUMMYFUNCTION("""COMPUTED_VALUE"""),50.0)</f>
        <v>50</v>
      </c>
      <c r="L1642" s="139"/>
      <c r="M1642" s="139"/>
      <c r="N1642" s="139"/>
    </row>
    <row r="1643">
      <c r="A1643" s="139" t="str">
        <f>IFERROR(__xludf.DUMMYFUNCTION("""COMPUTED_VALUE"""),"e")</f>
        <v>e</v>
      </c>
      <c r="B1643" s="139">
        <f>IFERROR(__xludf.DUMMYFUNCTION("""COMPUTED_VALUE"""),2.0250901E8)</f>
        <v>202509010</v>
      </c>
      <c r="C1643" s="139" t="str">
        <f>IFERROR(__xludf.DUMMYFUNCTION("""COMPUTED_VALUE"""),"e_spy_00001_general_vh_Normal_Yellow_Normal_00000")</f>
        <v>e_spy_00001_general_vh_Normal_Yellow_Normal_00000</v>
      </c>
      <c r="D1643" s="139" t="str">
        <f>IFERROR(__xludf.DUMMYFUNCTION("""COMPUTED_VALUE"""),"e_spy_00001_general_vh_Normal_Yellow")</f>
        <v>e_spy_00001_general_vh_Normal_Yellow</v>
      </c>
      <c r="E1643" s="139">
        <f>IFERROR(__xludf.DUMMYFUNCTION("""COMPUTED_VALUE"""),0.0)</f>
        <v>0</v>
      </c>
      <c r="F1643" s="139" t="str">
        <f>IFERROR(__xludf.DUMMYFUNCTION("""COMPUTED_VALUE"""),"Normal")</f>
        <v>Normal</v>
      </c>
      <c r="G1643" s="139"/>
      <c r="H1643" s="139"/>
      <c r="I1643" s="139">
        <f>IFERROR(__xludf.DUMMYFUNCTION("""COMPUTED_VALUE"""),50.0)</f>
        <v>50</v>
      </c>
      <c r="J1643" s="139">
        <f>IFERROR(__xludf.DUMMYFUNCTION("""COMPUTED_VALUE"""),9.0)</f>
        <v>9</v>
      </c>
      <c r="K1643" s="139">
        <f>IFERROR(__xludf.DUMMYFUNCTION("""COMPUTED_VALUE"""),50.0)</f>
        <v>50</v>
      </c>
      <c r="L1643" s="139"/>
      <c r="M1643" s="139"/>
      <c r="N1643" s="139"/>
    </row>
    <row r="1644">
      <c r="A1644" s="139" t="str">
        <f>IFERROR(__xludf.DUMMYFUNCTION("""COMPUTED_VALUE"""),"e")</f>
        <v>e</v>
      </c>
      <c r="B1644" s="139">
        <f>IFERROR(__xludf.DUMMYFUNCTION("""COMPUTED_VALUE"""),2.0250901E8)</f>
        <v>202509010</v>
      </c>
      <c r="C1644" s="139" t="str">
        <f>IFERROR(__xludf.DUMMYFUNCTION("""COMPUTED_VALUE"""),"e_spy_00001_general_n_Boss_Blue_Normal_00000")</f>
        <v>e_spy_00001_general_n_Boss_Blue_Normal_00000</v>
      </c>
      <c r="D1644" s="139" t="str">
        <f>IFERROR(__xludf.DUMMYFUNCTION("""COMPUTED_VALUE"""),"e_spy_00001_general_n_Boss_Blue")</f>
        <v>e_spy_00001_general_n_Boss_Blue</v>
      </c>
      <c r="E1644" s="139">
        <f>IFERROR(__xludf.DUMMYFUNCTION("""COMPUTED_VALUE"""),0.0)</f>
        <v>0</v>
      </c>
      <c r="F1644" s="139" t="str">
        <f>IFERROR(__xludf.DUMMYFUNCTION("""COMPUTED_VALUE"""),"Normal")</f>
        <v>Normal</v>
      </c>
      <c r="G1644" s="139"/>
      <c r="H1644" s="139"/>
      <c r="I1644" s="139">
        <f>IFERROR(__xludf.DUMMYFUNCTION("""COMPUTED_VALUE"""),50.0)</f>
        <v>50</v>
      </c>
      <c r="J1644" s="139">
        <f>IFERROR(__xludf.DUMMYFUNCTION("""COMPUTED_VALUE"""),9.0)</f>
        <v>9</v>
      </c>
      <c r="K1644" s="139">
        <f>IFERROR(__xludf.DUMMYFUNCTION("""COMPUTED_VALUE"""),40.0)</f>
        <v>40</v>
      </c>
      <c r="L1644" s="139"/>
      <c r="M1644" s="139"/>
      <c r="N1644" s="139"/>
    </row>
    <row r="1645">
      <c r="A1645" s="139" t="str">
        <f>IFERROR(__xludf.DUMMYFUNCTION("""COMPUTED_VALUE"""),"e")</f>
        <v>e</v>
      </c>
      <c r="B1645" s="139">
        <f>IFERROR(__xludf.DUMMYFUNCTION("""COMPUTED_VALUE"""),2.0250901E8)</f>
        <v>202509010</v>
      </c>
      <c r="C1645" s="139" t="str">
        <f>IFERROR(__xludf.DUMMYFUNCTION("""COMPUTED_VALUE"""),"e_spy_00001_general_n_Boss_Blue_Appearance_00001")</f>
        <v>e_spy_00001_general_n_Boss_Blue_Appearance_00001</v>
      </c>
      <c r="D1645" s="139" t="str">
        <f>IFERROR(__xludf.DUMMYFUNCTION("""COMPUTED_VALUE"""),"e_spy_00001_general_n_Boss_Blue")</f>
        <v>e_spy_00001_general_n_Boss_Blue</v>
      </c>
      <c r="E1645" s="139">
        <f>IFERROR(__xludf.DUMMYFUNCTION("""COMPUTED_VALUE"""),0.0)</f>
        <v>0</v>
      </c>
      <c r="F1645" s="139" t="str">
        <f>IFERROR(__xludf.DUMMYFUNCTION("""COMPUTED_VALUE"""),"Appearance")</f>
        <v>Appearance</v>
      </c>
      <c r="G1645" s="139"/>
      <c r="H1645" s="139"/>
      <c r="I1645" s="139">
        <f>IFERROR(__xludf.DUMMYFUNCTION("""COMPUTED_VALUE"""),50.0)</f>
        <v>50</v>
      </c>
      <c r="J1645" s="139">
        <f>IFERROR(__xludf.DUMMYFUNCTION("""COMPUTED_VALUE"""),0.0)</f>
        <v>0</v>
      </c>
      <c r="K1645" s="139">
        <f>IFERROR(__xludf.DUMMYFUNCTION("""COMPUTED_VALUE"""),0.0)</f>
        <v>0</v>
      </c>
      <c r="L1645" s="139"/>
      <c r="M1645" s="139"/>
      <c r="N1645" s="139"/>
    </row>
    <row r="1646">
      <c r="A1646" s="139" t="str">
        <f>IFERROR(__xludf.DUMMYFUNCTION("""COMPUTED_VALUE"""),"e")</f>
        <v>e</v>
      </c>
      <c r="B1646" s="139">
        <f>IFERROR(__xludf.DUMMYFUNCTION("""COMPUTED_VALUE"""),2.0250901E8)</f>
        <v>202509010</v>
      </c>
      <c r="C1646" s="139" t="str">
        <f>IFERROR(__xludf.DUMMYFUNCTION("""COMPUTED_VALUE"""),"c_spy_00101_general_Boss_Colorless_Normal_00000")</f>
        <v>c_spy_00101_general_Boss_Colorless_Normal_00000</v>
      </c>
      <c r="D1646" s="139" t="str">
        <f>IFERROR(__xludf.DUMMYFUNCTION("""COMPUTED_VALUE"""),"c_spy_00101_general_Boss_Colorless")</f>
        <v>c_spy_00101_general_Boss_Colorless</v>
      </c>
      <c r="E1646" s="139">
        <f>IFERROR(__xludf.DUMMYFUNCTION("""COMPUTED_VALUE"""),0.0)</f>
        <v>0</v>
      </c>
      <c r="F1646" s="139" t="str">
        <f>IFERROR(__xludf.DUMMYFUNCTION("""COMPUTED_VALUE"""),"Normal")</f>
        <v>Normal</v>
      </c>
      <c r="G1646" s="139"/>
      <c r="H1646" s="139"/>
      <c r="I1646" s="139">
        <f>IFERROR(__xludf.DUMMYFUNCTION("""COMPUTED_VALUE"""),82.0)</f>
        <v>82</v>
      </c>
      <c r="J1646" s="139">
        <f>IFERROR(__xludf.DUMMYFUNCTION("""COMPUTED_VALUE"""),42.0)</f>
        <v>42</v>
      </c>
      <c r="K1646" s="139">
        <f>IFERROR(__xludf.DUMMYFUNCTION("""COMPUTED_VALUE"""),100.0)</f>
        <v>100</v>
      </c>
      <c r="L1646" s="139"/>
      <c r="M1646" s="139"/>
      <c r="N1646" s="139"/>
    </row>
    <row r="1647">
      <c r="A1647" s="139" t="str">
        <f>IFERROR(__xludf.DUMMYFUNCTION("""COMPUTED_VALUE"""),"e")</f>
        <v>e</v>
      </c>
      <c r="B1647" s="139">
        <f>IFERROR(__xludf.DUMMYFUNCTION("""COMPUTED_VALUE"""),2.0250901E8)</f>
        <v>202509010</v>
      </c>
      <c r="C1647" s="139" t="str">
        <f>IFERROR(__xludf.DUMMYFUNCTION("""COMPUTED_VALUE"""),"c_spy_00101_general_Boss_Colorless_Appearance_00001")</f>
        <v>c_spy_00101_general_Boss_Colorless_Appearance_00001</v>
      </c>
      <c r="D1647" s="139" t="str">
        <f>IFERROR(__xludf.DUMMYFUNCTION("""COMPUTED_VALUE"""),"c_spy_00101_general_Boss_Colorless")</f>
        <v>c_spy_00101_general_Boss_Colorless</v>
      </c>
      <c r="E1647" s="139">
        <f>IFERROR(__xludf.DUMMYFUNCTION("""COMPUTED_VALUE"""),0.0)</f>
        <v>0</v>
      </c>
      <c r="F1647" s="139" t="str">
        <f>IFERROR(__xludf.DUMMYFUNCTION("""COMPUTED_VALUE"""),"Appearance")</f>
        <v>Appearance</v>
      </c>
      <c r="G1647" s="139"/>
      <c r="H1647" s="139"/>
      <c r="I1647" s="139">
        <f>IFERROR(__xludf.DUMMYFUNCTION("""COMPUTED_VALUE"""),50.0)</f>
        <v>50</v>
      </c>
      <c r="J1647" s="139">
        <f>IFERROR(__xludf.DUMMYFUNCTION("""COMPUTED_VALUE"""),0.0)</f>
        <v>0</v>
      </c>
      <c r="K1647" s="139">
        <f>IFERROR(__xludf.DUMMYFUNCTION("""COMPUTED_VALUE"""),0.0)</f>
        <v>0</v>
      </c>
      <c r="L1647" s="139"/>
      <c r="M1647" s="139"/>
      <c r="N1647" s="139"/>
    </row>
    <row r="1648">
      <c r="A1648" s="139" t="str">
        <f>IFERROR(__xludf.DUMMYFUNCTION("""COMPUTED_VALUE"""),"e")</f>
        <v>e</v>
      </c>
      <c r="B1648" s="139">
        <f>IFERROR(__xludf.DUMMYFUNCTION("""COMPUTED_VALUE"""),2.0250901E8)</f>
        <v>202509010</v>
      </c>
      <c r="C1648" s="139" t="str">
        <f>IFERROR(__xludf.DUMMYFUNCTION("""COMPUTED_VALUE"""),"c_spy_00101_general_n_Boss_Red_Normal_00000")</f>
        <v>c_spy_00101_general_n_Boss_Red_Normal_00000</v>
      </c>
      <c r="D1648" s="139" t="str">
        <f>IFERROR(__xludf.DUMMYFUNCTION("""COMPUTED_VALUE"""),"c_spy_00101_general_n_Boss_Red")</f>
        <v>c_spy_00101_general_n_Boss_Red</v>
      </c>
      <c r="E1648" s="139">
        <f>IFERROR(__xludf.DUMMYFUNCTION("""COMPUTED_VALUE"""),0.0)</f>
        <v>0</v>
      </c>
      <c r="F1648" s="139" t="str">
        <f>IFERROR(__xludf.DUMMYFUNCTION("""COMPUTED_VALUE"""),"Normal")</f>
        <v>Normal</v>
      </c>
      <c r="G1648" s="139"/>
      <c r="H1648" s="139"/>
      <c r="I1648" s="139">
        <f>IFERROR(__xludf.DUMMYFUNCTION("""COMPUTED_VALUE"""),82.0)</f>
        <v>82</v>
      </c>
      <c r="J1648" s="139">
        <f>IFERROR(__xludf.DUMMYFUNCTION("""COMPUTED_VALUE"""),42.0)</f>
        <v>42</v>
      </c>
      <c r="K1648" s="139">
        <f>IFERROR(__xludf.DUMMYFUNCTION("""COMPUTED_VALUE"""),100.0)</f>
        <v>100</v>
      </c>
      <c r="L1648" s="139"/>
      <c r="M1648" s="139"/>
      <c r="N1648" s="139"/>
    </row>
    <row r="1649">
      <c r="A1649" s="139" t="str">
        <f>IFERROR(__xludf.DUMMYFUNCTION("""COMPUTED_VALUE"""),"e")</f>
        <v>e</v>
      </c>
      <c r="B1649" s="139">
        <f>IFERROR(__xludf.DUMMYFUNCTION("""COMPUTED_VALUE"""),2.0250901E8)</f>
        <v>202509010</v>
      </c>
      <c r="C1649" s="139" t="str">
        <f>IFERROR(__xludf.DUMMYFUNCTION("""COMPUTED_VALUE"""),"c_spy_00101_general_n_Boss_Red_Appearance_00001")</f>
        <v>c_spy_00101_general_n_Boss_Red_Appearance_00001</v>
      </c>
      <c r="D1649" s="139" t="str">
        <f>IFERROR(__xludf.DUMMYFUNCTION("""COMPUTED_VALUE"""),"c_spy_00101_general_n_Boss_Red")</f>
        <v>c_spy_00101_general_n_Boss_Red</v>
      </c>
      <c r="E1649" s="139">
        <f>IFERROR(__xludf.DUMMYFUNCTION("""COMPUTED_VALUE"""),0.0)</f>
        <v>0</v>
      </c>
      <c r="F1649" s="139" t="str">
        <f>IFERROR(__xludf.DUMMYFUNCTION("""COMPUTED_VALUE"""),"Appearance")</f>
        <v>Appearance</v>
      </c>
      <c r="G1649" s="139"/>
      <c r="H1649" s="139"/>
      <c r="I1649" s="139">
        <f>IFERROR(__xludf.DUMMYFUNCTION("""COMPUTED_VALUE"""),50.0)</f>
        <v>50</v>
      </c>
      <c r="J1649" s="139">
        <f>IFERROR(__xludf.DUMMYFUNCTION("""COMPUTED_VALUE"""),0.0)</f>
        <v>0</v>
      </c>
      <c r="K1649" s="139">
        <f>IFERROR(__xludf.DUMMYFUNCTION("""COMPUTED_VALUE"""),0.0)</f>
        <v>0</v>
      </c>
      <c r="L1649" s="139"/>
      <c r="M1649" s="139"/>
      <c r="N1649" s="139"/>
    </row>
    <row r="1650">
      <c r="A1650" s="139" t="str">
        <f>IFERROR(__xludf.DUMMYFUNCTION("""COMPUTED_VALUE"""),"e")</f>
        <v>e</v>
      </c>
      <c r="B1650" s="139">
        <f>IFERROR(__xludf.DUMMYFUNCTION("""COMPUTED_VALUE"""),2.0250901E8)</f>
        <v>202509010</v>
      </c>
      <c r="C1650" s="139" t="str">
        <f>IFERROR(__xludf.DUMMYFUNCTION("""COMPUTED_VALUE"""),"c_spy_00101_general_n_Boss_Red_Special_00002")</f>
        <v>c_spy_00101_general_n_Boss_Red_Special_00002</v>
      </c>
      <c r="D1650" s="139" t="str">
        <f>IFERROR(__xludf.DUMMYFUNCTION("""COMPUTED_VALUE"""),"c_spy_00101_general_n_Boss_Red")</f>
        <v>c_spy_00101_general_n_Boss_Red</v>
      </c>
      <c r="E1650" s="139">
        <f>IFERROR(__xludf.DUMMYFUNCTION("""COMPUTED_VALUE"""),0.0)</f>
        <v>0</v>
      </c>
      <c r="F1650" s="139" t="str">
        <f>IFERROR(__xludf.DUMMYFUNCTION("""COMPUTED_VALUE"""),"Special")</f>
        <v>Special</v>
      </c>
      <c r="G1650" s="139"/>
      <c r="H1650" s="139"/>
      <c r="I1650" s="139">
        <f>IFERROR(__xludf.DUMMYFUNCTION("""COMPUTED_VALUE"""),125.0)</f>
        <v>125</v>
      </c>
      <c r="J1650" s="139">
        <f>IFERROR(__xludf.DUMMYFUNCTION("""COMPUTED_VALUE"""),67.0)</f>
        <v>67</v>
      </c>
      <c r="K1650" s="139">
        <f>IFERROR(__xludf.DUMMYFUNCTION("""COMPUTED_VALUE"""),0.0)</f>
        <v>0</v>
      </c>
      <c r="L1650" s="139"/>
      <c r="M1650" s="139"/>
      <c r="N1650" s="139"/>
    </row>
    <row r="1651">
      <c r="A1651" s="139" t="str">
        <f>IFERROR(__xludf.DUMMYFUNCTION("""COMPUTED_VALUE"""),"e")</f>
        <v>e</v>
      </c>
      <c r="B1651" s="139">
        <f>IFERROR(__xludf.DUMMYFUNCTION("""COMPUTED_VALUE"""),2.0250901E8)</f>
        <v>202509010</v>
      </c>
      <c r="C1651" s="139" t="str">
        <f>IFERROR(__xludf.DUMMYFUNCTION("""COMPUTED_VALUE"""),"c_spy_00101_general_n_Boss_Blue_Normal_00000")</f>
        <v>c_spy_00101_general_n_Boss_Blue_Normal_00000</v>
      </c>
      <c r="D1651" s="139" t="str">
        <f>IFERROR(__xludf.DUMMYFUNCTION("""COMPUTED_VALUE"""),"c_spy_00101_general_n_Boss_Blue")</f>
        <v>c_spy_00101_general_n_Boss_Blue</v>
      </c>
      <c r="E1651" s="139">
        <f>IFERROR(__xludf.DUMMYFUNCTION("""COMPUTED_VALUE"""),0.0)</f>
        <v>0</v>
      </c>
      <c r="F1651" s="139" t="str">
        <f>IFERROR(__xludf.DUMMYFUNCTION("""COMPUTED_VALUE"""),"Normal")</f>
        <v>Normal</v>
      </c>
      <c r="G1651" s="139"/>
      <c r="H1651" s="139"/>
      <c r="I1651" s="139">
        <f>IFERROR(__xludf.DUMMYFUNCTION("""COMPUTED_VALUE"""),82.0)</f>
        <v>82</v>
      </c>
      <c r="J1651" s="139">
        <f>IFERROR(__xludf.DUMMYFUNCTION("""COMPUTED_VALUE"""),42.0)</f>
        <v>42</v>
      </c>
      <c r="K1651" s="139">
        <f>IFERROR(__xludf.DUMMYFUNCTION("""COMPUTED_VALUE"""),100.0)</f>
        <v>100</v>
      </c>
      <c r="L1651" s="139"/>
      <c r="M1651" s="139"/>
      <c r="N1651" s="139"/>
    </row>
    <row r="1652">
      <c r="A1652" s="139" t="str">
        <f>IFERROR(__xludf.DUMMYFUNCTION("""COMPUTED_VALUE"""),"e")</f>
        <v>e</v>
      </c>
      <c r="B1652" s="139">
        <f>IFERROR(__xludf.DUMMYFUNCTION("""COMPUTED_VALUE"""),2.0250901E8)</f>
        <v>202509010</v>
      </c>
      <c r="C1652" s="139" t="str">
        <f>IFERROR(__xludf.DUMMYFUNCTION("""COMPUTED_VALUE"""),"c_spy_00101_general_n_Boss_Blue_Appearance_00001")</f>
        <v>c_spy_00101_general_n_Boss_Blue_Appearance_00001</v>
      </c>
      <c r="D1652" s="139" t="str">
        <f>IFERROR(__xludf.DUMMYFUNCTION("""COMPUTED_VALUE"""),"c_spy_00101_general_n_Boss_Blue")</f>
        <v>c_spy_00101_general_n_Boss_Blue</v>
      </c>
      <c r="E1652" s="139">
        <f>IFERROR(__xludf.DUMMYFUNCTION("""COMPUTED_VALUE"""),0.0)</f>
        <v>0</v>
      </c>
      <c r="F1652" s="139" t="str">
        <f>IFERROR(__xludf.DUMMYFUNCTION("""COMPUTED_VALUE"""),"Appearance")</f>
        <v>Appearance</v>
      </c>
      <c r="G1652" s="139"/>
      <c r="H1652" s="139"/>
      <c r="I1652" s="139">
        <f>IFERROR(__xludf.DUMMYFUNCTION("""COMPUTED_VALUE"""),50.0)</f>
        <v>50</v>
      </c>
      <c r="J1652" s="139">
        <f>IFERROR(__xludf.DUMMYFUNCTION("""COMPUTED_VALUE"""),0.0)</f>
        <v>0</v>
      </c>
      <c r="K1652" s="139">
        <f>IFERROR(__xludf.DUMMYFUNCTION("""COMPUTED_VALUE"""),0.0)</f>
        <v>0</v>
      </c>
      <c r="L1652" s="139"/>
      <c r="M1652" s="139"/>
      <c r="N1652" s="139"/>
    </row>
    <row r="1653">
      <c r="A1653" s="139" t="str">
        <f>IFERROR(__xludf.DUMMYFUNCTION("""COMPUTED_VALUE"""),"e")</f>
        <v>e</v>
      </c>
      <c r="B1653" s="139">
        <f>IFERROR(__xludf.DUMMYFUNCTION("""COMPUTED_VALUE"""),2.0250901E8)</f>
        <v>202509010</v>
      </c>
      <c r="C1653" s="139" t="str">
        <f>IFERROR(__xludf.DUMMYFUNCTION("""COMPUTED_VALUE"""),"c_spy_00101_general_n_Boss_Blue_Special_00002")</f>
        <v>c_spy_00101_general_n_Boss_Blue_Special_00002</v>
      </c>
      <c r="D1653" s="139" t="str">
        <f>IFERROR(__xludf.DUMMYFUNCTION("""COMPUTED_VALUE"""),"c_spy_00101_general_n_Boss_Blue")</f>
        <v>c_spy_00101_general_n_Boss_Blue</v>
      </c>
      <c r="E1653" s="139">
        <f>IFERROR(__xludf.DUMMYFUNCTION("""COMPUTED_VALUE"""),0.0)</f>
        <v>0</v>
      </c>
      <c r="F1653" s="139" t="str">
        <f>IFERROR(__xludf.DUMMYFUNCTION("""COMPUTED_VALUE"""),"Special")</f>
        <v>Special</v>
      </c>
      <c r="G1653" s="139"/>
      <c r="H1653" s="139"/>
      <c r="I1653" s="139">
        <f>IFERROR(__xludf.DUMMYFUNCTION("""COMPUTED_VALUE"""),125.0)</f>
        <v>125</v>
      </c>
      <c r="J1653" s="139">
        <f>IFERROR(__xludf.DUMMYFUNCTION("""COMPUTED_VALUE"""),67.0)</f>
        <v>67</v>
      </c>
      <c r="K1653" s="139">
        <f>IFERROR(__xludf.DUMMYFUNCTION("""COMPUTED_VALUE"""),0.0)</f>
        <v>0</v>
      </c>
      <c r="L1653" s="139"/>
      <c r="M1653" s="139"/>
      <c r="N1653" s="139"/>
    </row>
    <row r="1654">
      <c r="A1654" s="139" t="str">
        <f>IFERROR(__xludf.DUMMYFUNCTION("""COMPUTED_VALUE"""),"e")</f>
        <v>e</v>
      </c>
      <c r="B1654" s="139">
        <f>IFERROR(__xludf.DUMMYFUNCTION("""COMPUTED_VALUE"""),2.0250901E8)</f>
        <v>202509010</v>
      </c>
      <c r="C1654" s="139" t="str">
        <f>IFERROR(__xludf.DUMMYFUNCTION("""COMPUTED_VALUE"""),"c_spy_00101_general_h_Boss_Red_Normal_00000")</f>
        <v>c_spy_00101_general_h_Boss_Red_Normal_00000</v>
      </c>
      <c r="D1654" s="139" t="str">
        <f>IFERROR(__xludf.DUMMYFUNCTION("""COMPUTED_VALUE"""),"c_spy_00101_general_h_Boss_Red")</f>
        <v>c_spy_00101_general_h_Boss_Red</v>
      </c>
      <c r="E1654" s="139">
        <f>IFERROR(__xludf.DUMMYFUNCTION("""COMPUTED_VALUE"""),0.0)</f>
        <v>0</v>
      </c>
      <c r="F1654" s="139" t="str">
        <f>IFERROR(__xludf.DUMMYFUNCTION("""COMPUTED_VALUE"""),"Normal")</f>
        <v>Normal</v>
      </c>
      <c r="G1654" s="139"/>
      <c r="H1654" s="139"/>
      <c r="I1654" s="139">
        <f>IFERROR(__xludf.DUMMYFUNCTION("""COMPUTED_VALUE"""),82.0)</f>
        <v>82</v>
      </c>
      <c r="J1654" s="139">
        <f>IFERROR(__xludf.DUMMYFUNCTION("""COMPUTED_VALUE"""),42.0)</f>
        <v>42</v>
      </c>
      <c r="K1654" s="139">
        <f>IFERROR(__xludf.DUMMYFUNCTION("""COMPUTED_VALUE"""),100.0)</f>
        <v>100</v>
      </c>
      <c r="L1654" s="139"/>
      <c r="M1654" s="139"/>
      <c r="N1654" s="139"/>
    </row>
    <row r="1655">
      <c r="A1655" s="139" t="str">
        <f>IFERROR(__xludf.DUMMYFUNCTION("""COMPUTED_VALUE"""),"e")</f>
        <v>e</v>
      </c>
      <c r="B1655" s="139">
        <f>IFERROR(__xludf.DUMMYFUNCTION("""COMPUTED_VALUE"""),2.0250901E8)</f>
        <v>202509010</v>
      </c>
      <c r="C1655" s="139" t="str">
        <f>IFERROR(__xludf.DUMMYFUNCTION("""COMPUTED_VALUE"""),"c_spy_00101_general_h_Boss_Red_Appearance_00001")</f>
        <v>c_spy_00101_general_h_Boss_Red_Appearance_00001</v>
      </c>
      <c r="D1655" s="139" t="str">
        <f>IFERROR(__xludf.DUMMYFUNCTION("""COMPUTED_VALUE"""),"c_spy_00101_general_h_Boss_Red")</f>
        <v>c_spy_00101_general_h_Boss_Red</v>
      </c>
      <c r="E1655" s="139">
        <f>IFERROR(__xludf.DUMMYFUNCTION("""COMPUTED_VALUE"""),0.0)</f>
        <v>0</v>
      </c>
      <c r="F1655" s="139" t="str">
        <f>IFERROR(__xludf.DUMMYFUNCTION("""COMPUTED_VALUE"""),"Appearance")</f>
        <v>Appearance</v>
      </c>
      <c r="G1655" s="139"/>
      <c r="H1655" s="139"/>
      <c r="I1655" s="139">
        <f>IFERROR(__xludf.DUMMYFUNCTION("""COMPUTED_VALUE"""),50.0)</f>
        <v>50</v>
      </c>
      <c r="J1655" s="139">
        <f>IFERROR(__xludf.DUMMYFUNCTION("""COMPUTED_VALUE"""),0.0)</f>
        <v>0</v>
      </c>
      <c r="K1655" s="139">
        <f>IFERROR(__xludf.DUMMYFUNCTION("""COMPUTED_VALUE"""),0.0)</f>
        <v>0</v>
      </c>
      <c r="L1655" s="139"/>
      <c r="M1655" s="139"/>
      <c r="N1655" s="139"/>
    </row>
    <row r="1656">
      <c r="A1656" s="139" t="str">
        <f>IFERROR(__xludf.DUMMYFUNCTION("""COMPUTED_VALUE"""),"e")</f>
        <v>e</v>
      </c>
      <c r="B1656" s="139">
        <f>IFERROR(__xludf.DUMMYFUNCTION("""COMPUTED_VALUE"""),2.0250901E8)</f>
        <v>202509010</v>
      </c>
      <c r="C1656" s="139" t="str">
        <f>IFERROR(__xludf.DUMMYFUNCTION("""COMPUTED_VALUE"""),"c_spy_00101_general_h_Boss_Red_Special_00002")</f>
        <v>c_spy_00101_general_h_Boss_Red_Special_00002</v>
      </c>
      <c r="D1656" s="139" t="str">
        <f>IFERROR(__xludf.DUMMYFUNCTION("""COMPUTED_VALUE"""),"c_spy_00101_general_h_Boss_Red")</f>
        <v>c_spy_00101_general_h_Boss_Red</v>
      </c>
      <c r="E1656" s="139">
        <f>IFERROR(__xludf.DUMMYFUNCTION("""COMPUTED_VALUE"""),0.0)</f>
        <v>0</v>
      </c>
      <c r="F1656" s="139" t="str">
        <f>IFERROR(__xludf.DUMMYFUNCTION("""COMPUTED_VALUE"""),"Special")</f>
        <v>Special</v>
      </c>
      <c r="G1656" s="139"/>
      <c r="H1656" s="139"/>
      <c r="I1656" s="139">
        <f>IFERROR(__xludf.DUMMYFUNCTION("""COMPUTED_VALUE"""),125.0)</f>
        <v>125</v>
      </c>
      <c r="J1656" s="139">
        <f>IFERROR(__xludf.DUMMYFUNCTION("""COMPUTED_VALUE"""),67.0)</f>
        <v>67</v>
      </c>
      <c r="K1656" s="139">
        <f>IFERROR(__xludf.DUMMYFUNCTION("""COMPUTED_VALUE"""),0.0)</f>
        <v>0</v>
      </c>
      <c r="L1656" s="139"/>
      <c r="M1656" s="139"/>
      <c r="N1656" s="139"/>
    </row>
    <row r="1657">
      <c r="A1657" s="139" t="str">
        <f>IFERROR(__xludf.DUMMYFUNCTION("""COMPUTED_VALUE"""),"e")</f>
        <v>e</v>
      </c>
      <c r="B1657" s="139">
        <f>IFERROR(__xludf.DUMMYFUNCTION("""COMPUTED_VALUE"""),2.0250901E8)</f>
        <v>202509010</v>
      </c>
      <c r="C1657" s="139" t="str">
        <f>IFERROR(__xludf.DUMMYFUNCTION("""COMPUTED_VALUE"""),"c_spy_00101_general_h_Boss_Blue_Normal_00000")</f>
        <v>c_spy_00101_general_h_Boss_Blue_Normal_00000</v>
      </c>
      <c r="D1657" s="139" t="str">
        <f>IFERROR(__xludf.DUMMYFUNCTION("""COMPUTED_VALUE"""),"c_spy_00101_general_h_Boss_Blue")</f>
        <v>c_spy_00101_general_h_Boss_Blue</v>
      </c>
      <c r="E1657" s="139">
        <f>IFERROR(__xludf.DUMMYFUNCTION("""COMPUTED_VALUE"""),0.0)</f>
        <v>0</v>
      </c>
      <c r="F1657" s="139" t="str">
        <f>IFERROR(__xludf.DUMMYFUNCTION("""COMPUTED_VALUE"""),"Normal")</f>
        <v>Normal</v>
      </c>
      <c r="G1657" s="139"/>
      <c r="H1657" s="139"/>
      <c r="I1657" s="139">
        <f>IFERROR(__xludf.DUMMYFUNCTION("""COMPUTED_VALUE"""),82.0)</f>
        <v>82</v>
      </c>
      <c r="J1657" s="139">
        <f>IFERROR(__xludf.DUMMYFUNCTION("""COMPUTED_VALUE"""),42.0)</f>
        <v>42</v>
      </c>
      <c r="K1657" s="139">
        <f>IFERROR(__xludf.DUMMYFUNCTION("""COMPUTED_VALUE"""),100.0)</f>
        <v>100</v>
      </c>
      <c r="L1657" s="139"/>
      <c r="M1657" s="139"/>
      <c r="N1657" s="139"/>
    </row>
    <row r="1658">
      <c r="A1658" s="139" t="str">
        <f>IFERROR(__xludf.DUMMYFUNCTION("""COMPUTED_VALUE"""),"e")</f>
        <v>e</v>
      </c>
      <c r="B1658" s="139">
        <f>IFERROR(__xludf.DUMMYFUNCTION("""COMPUTED_VALUE"""),2.0250901E8)</f>
        <v>202509010</v>
      </c>
      <c r="C1658" s="139" t="str">
        <f>IFERROR(__xludf.DUMMYFUNCTION("""COMPUTED_VALUE"""),"c_spy_00101_general_h_Boss_Blue_Appearance_00001")</f>
        <v>c_spy_00101_general_h_Boss_Blue_Appearance_00001</v>
      </c>
      <c r="D1658" s="139" t="str">
        <f>IFERROR(__xludf.DUMMYFUNCTION("""COMPUTED_VALUE"""),"c_spy_00101_general_h_Boss_Blue")</f>
        <v>c_spy_00101_general_h_Boss_Blue</v>
      </c>
      <c r="E1658" s="139">
        <f>IFERROR(__xludf.DUMMYFUNCTION("""COMPUTED_VALUE"""),0.0)</f>
        <v>0</v>
      </c>
      <c r="F1658" s="139" t="str">
        <f>IFERROR(__xludf.DUMMYFUNCTION("""COMPUTED_VALUE"""),"Appearance")</f>
        <v>Appearance</v>
      </c>
      <c r="G1658" s="139"/>
      <c r="H1658" s="139"/>
      <c r="I1658" s="139">
        <f>IFERROR(__xludf.DUMMYFUNCTION("""COMPUTED_VALUE"""),50.0)</f>
        <v>50</v>
      </c>
      <c r="J1658" s="139">
        <f>IFERROR(__xludf.DUMMYFUNCTION("""COMPUTED_VALUE"""),0.0)</f>
        <v>0</v>
      </c>
      <c r="K1658" s="139">
        <f>IFERROR(__xludf.DUMMYFUNCTION("""COMPUTED_VALUE"""),0.0)</f>
        <v>0</v>
      </c>
      <c r="L1658" s="139"/>
      <c r="M1658" s="139"/>
      <c r="N1658" s="139"/>
    </row>
    <row r="1659">
      <c r="A1659" s="139" t="str">
        <f>IFERROR(__xludf.DUMMYFUNCTION("""COMPUTED_VALUE"""),"e")</f>
        <v>e</v>
      </c>
      <c r="B1659" s="139">
        <f>IFERROR(__xludf.DUMMYFUNCTION("""COMPUTED_VALUE"""),2.0250901E8)</f>
        <v>202509010</v>
      </c>
      <c r="C1659" s="139" t="str">
        <f>IFERROR(__xludf.DUMMYFUNCTION("""COMPUTED_VALUE"""),"c_spy_00101_general_h_Boss_Blue_Special_00002")</f>
        <v>c_spy_00101_general_h_Boss_Blue_Special_00002</v>
      </c>
      <c r="D1659" s="139" t="str">
        <f>IFERROR(__xludf.DUMMYFUNCTION("""COMPUTED_VALUE"""),"c_spy_00101_general_h_Boss_Blue")</f>
        <v>c_spy_00101_general_h_Boss_Blue</v>
      </c>
      <c r="E1659" s="139">
        <f>IFERROR(__xludf.DUMMYFUNCTION("""COMPUTED_VALUE"""),0.0)</f>
        <v>0</v>
      </c>
      <c r="F1659" s="139" t="str">
        <f>IFERROR(__xludf.DUMMYFUNCTION("""COMPUTED_VALUE"""),"Special")</f>
        <v>Special</v>
      </c>
      <c r="G1659" s="139"/>
      <c r="H1659" s="139"/>
      <c r="I1659" s="139">
        <f>IFERROR(__xludf.DUMMYFUNCTION("""COMPUTED_VALUE"""),125.0)</f>
        <v>125</v>
      </c>
      <c r="J1659" s="139">
        <f>IFERROR(__xludf.DUMMYFUNCTION("""COMPUTED_VALUE"""),67.0)</f>
        <v>67</v>
      </c>
      <c r="K1659" s="139">
        <f>IFERROR(__xludf.DUMMYFUNCTION("""COMPUTED_VALUE"""),0.0)</f>
        <v>0</v>
      </c>
      <c r="L1659" s="139"/>
      <c r="M1659" s="139"/>
      <c r="N1659" s="139"/>
    </row>
    <row r="1660">
      <c r="A1660" s="139" t="str">
        <f>IFERROR(__xludf.DUMMYFUNCTION("""COMPUTED_VALUE"""),"e")</f>
        <v>e</v>
      </c>
      <c r="B1660" s="139">
        <f>IFERROR(__xludf.DUMMYFUNCTION("""COMPUTED_VALUE"""),2.0250901E8)</f>
        <v>202509010</v>
      </c>
      <c r="C1660" s="139" t="str">
        <f>IFERROR(__xludf.DUMMYFUNCTION("""COMPUTED_VALUE"""),"c_spy_00101_general_vh_Boss_Colorless_Normal_00000")</f>
        <v>c_spy_00101_general_vh_Boss_Colorless_Normal_00000</v>
      </c>
      <c r="D1660" s="139" t="str">
        <f>IFERROR(__xludf.DUMMYFUNCTION("""COMPUTED_VALUE"""),"c_spy_00101_general_vh_Boss_Colorless")</f>
        <v>c_spy_00101_general_vh_Boss_Colorless</v>
      </c>
      <c r="E1660" s="139">
        <f>IFERROR(__xludf.DUMMYFUNCTION("""COMPUTED_VALUE"""),0.0)</f>
        <v>0</v>
      </c>
      <c r="F1660" s="139" t="str">
        <f>IFERROR(__xludf.DUMMYFUNCTION("""COMPUTED_VALUE"""),"Normal")</f>
        <v>Normal</v>
      </c>
      <c r="G1660" s="139"/>
      <c r="H1660" s="139"/>
      <c r="I1660" s="139">
        <f>IFERROR(__xludf.DUMMYFUNCTION("""COMPUTED_VALUE"""),82.0)</f>
        <v>82</v>
      </c>
      <c r="J1660" s="139">
        <f>IFERROR(__xludf.DUMMYFUNCTION("""COMPUTED_VALUE"""),42.0)</f>
        <v>42</v>
      </c>
      <c r="K1660" s="139">
        <f>IFERROR(__xludf.DUMMYFUNCTION("""COMPUTED_VALUE"""),100.0)</f>
        <v>100</v>
      </c>
      <c r="L1660" s="139"/>
      <c r="M1660" s="139"/>
      <c r="N1660" s="139"/>
    </row>
    <row r="1661">
      <c r="A1661" s="139" t="str">
        <f>IFERROR(__xludf.DUMMYFUNCTION("""COMPUTED_VALUE"""),"e")</f>
        <v>e</v>
      </c>
      <c r="B1661" s="139">
        <f>IFERROR(__xludf.DUMMYFUNCTION("""COMPUTED_VALUE"""),2.0250901E8)</f>
        <v>202509010</v>
      </c>
      <c r="C1661" s="139" t="str">
        <f>IFERROR(__xludf.DUMMYFUNCTION("""COMPUTED_VALUE"""),"c_spy_00101_general_vh_Boss_Colorless_Appearance_00001")</f>
        <v>c_spy_00101_general_vh_Boss_Colorless_Appearance_00001</v>
      </c>
      <c r="D1661" s="139" t="str">
        <f>IFERROR(__xludf.DUMMYFUNCTION("""COMPUTED_VALUE"""),"c_spy_00101_general_vh_Boss_Colorless")</f>
        <v>c_spy_00101_general_vh_Boss_Colorless</v>
      </c>
      <c r="E1661" s="139">
        <f>IFERROR(__xludf.DUMMYFUNCTION("""COMPUTED_VALUE"""),0.0)</f>
        <v>0</v>
      </c>
      <c r="F1661" s="139" t="str">
        <f>IFERROR(__xludf.DUMMYFUNCTION("""COMPUTED_VALUE"""),"Appearance")</f>
        <v>Appearance</v>
      </c>
      <c r="G1661" s="139"/>
      <c r="H1661" s="139"/>
      <c r="I1661" s="139">
        <f>IFERROR(__xludf.DUMMYFUNCTION("""COMPUTED_VALUE"""),50.0)</f>
        <v>50</v>
      </c>
      <c r="J1661" s="139">
        <f>IFERROR(__xludf.DUMMYFUNCTION("""COMPUTED_VALUE"""),0.0)</f>
        <v>0</v>
      </c>
      <c r="K1661" s="139">
        <f>IFERROR(__xludf.DUMMYFUNCTION("""COMPUTED_VALUE"""),0.0)</f>
        <v>0</v>
      </c>
      <c r="L1661" s="139"/>
      <c r="M1661" s="139"/>
      <c r="N1661" s="139"/>
    </row>
    <row r="1662">
      <c r="A1662" s="139" t="str">
        <f>IFERROR(__xludf.DUMMYFUNCTION("""COMPUTED_VALUE"""),"e")</f>
        <v>e</v>
      </c>
      <c r="B1662" s="139">
        <f>IFERROR(__xludf.DUMMYFUNCTION("""COMPUTED_VALUE"""),2.0250901E8)</f>
        <v>202509010</v>
      </c>
      <c r="C1662" s="139" t="str">
        <f>IFERROR(__xludf.DUMMYFUNCTION("""COMPUTED_VALUE"""),"c_spy_00101_general_vh_Boss_Colorless_Special_00002")</f>
        <v>c_spy_00101_general_vh_Boss_Colorless_Special_00002</v>
      </c>
      <c r="D1662" s="139" t="str">
        <f>IFERROR(__xludf.DUMMYFUNCTION("""COMPUTED_VALUE"""),"c_spy_00101_general_vh_Boss_Colorless")</f>
        <v>c_spy_00101_general_vh_Boss_Colorless</v>
      </c>
      <c r="E1662" s="139">
        <f>IFERROR(__xludf.DUMMYFUNCTION("""COMPUTED_VALUE"""),0.0)</f>
        <v>0</v>
      </c>
      <c r="F1662" s="139" t="str">
        <f>IFERROR(__xludf.DUMMYFUNCTION("""COMPUTED_VALUE"""),"Special")</f>
        <v>Special</v>
      </c>
      <c r="G1662" s="139"/>
      <c r="H1662" s="139"/>
      <c r="I1662" s="139">
        <f>IFERROR(__xludf.DUMMYFUNCTION("""COMPUTED_VALUE"""),125.0)</f>
        <v>125</v>
      </c>
      <c r="J1662" s="139">
        <f>IFERROR(__xludf.DUMMYFUNCTION("""COMPUTED_VALUE"""),67.0)</f>
        <v>67</v>
      </c>
      <c r="K1662" s="139">
        <f>IFERROR(__xludf.DUMMYFUNCTION("""COMPUTED_VALUE"""),0.0)</f>
        <v>0</v>
      </c>
      <c r="L1662" s="139"/>
      <c r="M1662" s="139"/>
      <c r="N1662" s="139"/>
    </row>
    <row r="1663">
      <c r="A1663" s="139" t="str">
        <f>IFERROR(__xludf.DUMMYFUNCTION("""COMPUTED_VALUE"""),"e")</f>
        <v>e</v>
      </c>
      <c r="B1663" s="139">
        <f>IFERROR(__xludf.DUMMYFUNCTION("""COMPUTED_VALUE"""),2.0250901E8)</f>
        <v>202509010</v>
      </c>
      <c r="C1663" s="139" t="str">
        <f>IFERROR(__xludf.DUMMYFUNCTION("""COMPUTED_VALUE"""),"c_spy_00101_general_vh_Boss_Red_Normal_00000")</f>
        <v>c_spy_00101_general_vh_Boss_Red_Normal_00000</v>
      </c>
      <c r="D1663" s="139" t="str">
        <f>IFERROR(__xludf.DUMMYFUNCTION("""COMPUTED_VALUE"""),"c_spy_00101_general_vh_Boss_Red")</f>
        <v>c_spy_00101_general_vh_Boss_Red</v>
      </c>
      <c r="E1663" s="139">
        <f>IFERROR(__xludf.DUMMYFUNCTION("""COMPUTED_VALUE"""),0.0)</f>
        <v>0</v>
      </c>
      <c r="F1663" s="139" t="str">
        <f>IFERROR(__xludf.DUMMYFUNCTION("""COMPUTED_VALUE"""),"Normal")</f>
        <v>Normal</v>
      </c>
      <c r="G1663" s="139"/>
      <c r="H1663" s="139"/>
      <c r="I1663" s="139">
        <f>IFERROR(__xludf.DUMMYFUNCTION("""COMPUTED_VALUE"""),82.0)</f>
        <v>82</v>
      </c>
      <c r="J1663" s="139">
        <f>IFERROR(__xludf.DUMMYFUNCTION("""COMPUTED_VALUE"""),42.0)</f>
        <v>42</v>
      </c>
      <c r="K1663" s="139">
        <f>IFERROR(__xludf.DUMMYFUNCTION("""COMPUTED_VALUE"""),100.0)</f>
        <v>100</v>
      </c>
      <c r="L1663" s="139"/>
      <c r="M1663" s="139"/>
      <c r="N1663" s="139"/>
    </row>
    <row r="1664">
      <c r="A1664" s="139" t="str">
        <f>IFERROR(__xludf.DUMMYFUNCTION("""COMPUTED_VALUE"""),"e")</f>
        <v>e</v>
      </c>
      <c r="B1664" s="139">
        <f>IFERROR(__xludf.DUMMYFUNCTION("""COMPUTED_VALUE"""),2.0250901E8)</f>
        <v>202509010</v>
      </c>
      <c r="C1664" s="139" t="str">
        <f>IFERROR(__xludf.DUMMYFUNCTION("""COMPUTED_VALUE"""),"c_spy_00101_general_vh_Boss_Red_Appearance_00001")</f>
        <v>c_spy_00101_general_vh_Boss_Red_Appearance_00001</v>
      </c>
      <c r="D1664" s="139" t="str">
        <f>IFERROR(__xludf.DUMMYFUNCTION("""COMPUTED_VALUE"""),"c_spy_00101_general_vh_Boss_Red")</f>
        <v>c_spy_00101_general_vh_Boss_Red</v>
      </c>
      <c r="E1664" s="139">
        <f>IFERROR(__xludf.DUMMYFUNCTION("""COMPUTED_VALUE"""),0.0)</f>
        <v>0</v>
      </c>
      <c r="F1664" s="139" t="str">
        <f>IFERROR(__xludf.DUMMYFUNCTION("""COMPUTED_VALUE"""),"Appearance")</f>
        <v>Appearance</v>
      </c>
      <c r="G1664" s="139"/>
      <c r="H1664" s="139"/>
      <c r="I1664" s="139">
        <f>IFERROR(__xludf.DUMMYFUNCTION("""COMPUTED_VALUE"""),50.0)</f>
        <v>50</v>
      </c>
      <c r="J1664" s="139">
        <f>IFERROR(__xludf.DUMMYFUNCTION("""COMPUTED_VALUE"""),0.0)</f>
        <v>0</v>
      </c>
      <c r="K1664" s="139">
        <f>IFERROR(__xludf.DUMMYFUNCTION("""COMPUTED_VALUE"""),0.0)</f>
        <v>0</v>
      </c>
      <c r="L1664" s="139"/>
      <c r="M1664" s="139"/>
      <c r="N1664" s="139"/>
    </row>
    <row r="1665">
      <c r="A1665" s="139" t="str">
        <f>IFERROR(__xludf.DUMMYFUNCTION("""COMPUTED_VALUE"""),"e")</f>
        <v>e</v>
      </c>
      <c r="B1665" s="139">
        <f>IFERROR(__xludf.DUMMYFUNCTION("""COMPUTED_VALUE"""),2.0250901E8)</f>
        <v>202509010</v>
      </c>
      <c r="C1665" s="139" t="str">
        <f>IFERROR(__xludf.DUMMYFUNCTION("""COMPUTED_VALUE"""),"c_spy_00101_general_vh_Boss_Red_Special_00002")</f>
        <v>c_spy_00101_general_vh_Boss_Red_Special_00002</v>
      </c>
      <c r="D1665" s="139" t="str">
        <f>IFERROR(__xludf.DUMMYFUNCTION("""COMPUTED_VALUE"""),"c_spy_00101_general_vh_Boss_Red")</f>
        <v>c_spy_00101_general_vh_Boss_Red</v>
      </c>
      <c r="E1665" s="139">
        <f>IFERROR(__xludf.DUMMYFUNCTION("""COMPUTED_VALUE"""),0.0)</f>
        <v>0</v>
      </c>
      <c r="F1665" s="139" t="str">
        <f>IFERROR(__xludf.DUMMYFUNCTION("""COMPUTED_VALUE"""),"Special")</f>
        <v>Special</v>
      </c>
      <c r="G1665" s="139"/>
      <c r="H1665" s="139"/>
      <c r="I1665" s="139">
        <f>IFERROR(__xludf.DUMMYFUNCTION("""COMPUTED_VALUE"""),125.0)</f>
        <v>125</v>
      </c>
      <c r="J1665" s="139">
        <f>IFERROR(__xludf.DUMMYFUNCTION("""COMPUTED_VALUE"""),67.0)</f>
        <v>67</v>
      </c>
      <c r="K1665" s="139">
        <f>IFERROR(__xludf.DUMMYFUNCTION("""COMPUTED_VALUE"""),0.0)</f>
        <v>0</v>
      </c>
      <c r="L1665" s="139"/>
      <c r="M1665" s="139"/>
      <c r="N1665" s="139"/>
    </row>
    <row r="1666">
      <c r="A1666" s="139" t="str">
        <f>IFERROR(__xludf.DUMMYFUNCTION("""COMPUTED_VALUE"""),"e")</f>
        <v>e</v>
      </c>
      <c r="B1666" s="139">
        <f>IFERROR(__xludf.DUMMYFUNCTION("""COMPUTED_VALUE"""),2.0250901E8)</f>
        <v>202509010</v>
      </c>
      <c r="C1666" s="139" t="str">
        <f>IFERROR(__xludf.DUMMYFUNCTION("""COMPUTED_VALUE"""),"c_spy_00101_general_vh_Boss_Blue_Normal_00000")</f>
        <v>c_spy_00101_general_vh_Boss_Blue_Normal_00000</v>
      </c>
      <c r="D1666" s="139" t="str">
        <f>IFERROR(__xludf.DUMMYFUNCTION("""COMPUTED_VALUE"""),"c_spy_00101_general_vh_Boss_Blue")</f>
        <v>c_spy_00101_general_vh_Boss_Blue</v>
      </c>
      <c r="E1666" s="139">
        <f>IFERROR(__xludf.DUMMYFUNCTION("""COMPUTED_VALUE"""),0.0)</f>
        <v>0</v>
      </c>
      <c r="F1666" s="139" t="str">
        <f>IFERROR(__xludf.DUMMYFUNCTION("""COMPUTED_VALUE"""),"Normal")</f>
        <v>Normal</v>
      </c>
      <c r="G1666" s="139"/>
      <c r="H1666" s="139"/>
      <c r="I1666" s="139">
        <f>IFERROR(__xludf.DUMMYFUNCTION("""COMPUTED_VALUE"""),82.0)</f>
        <v>82</v>
      </c>
      <c r="J1666" s="139">
        <f>IFERROR(__xludf.DUMMYFUNCTION("""COMPUTED_VALUE"""),42.0)</f>
        <v>42</v>
      </c>
      <c r="K1666" s="139">
        <f>IFERROR(__xludf.DUMMYFUNCTION("""COMPUTED_VALUE"""),100.0)</f>
        <v>100</v>
      </c>
      <c r="L1666" s="139"/>
      <c r="M1666" s="139"/>
      <c r="N1666" s="139"/>
    </row>
    <row r="1667">
      <c r="A1667" s="139" t="str">
        <f>IFERROR(__xludf.DUMMYFUNCTION("""COMPUTED_VALUE"""),"e")</f>
        <v>e</v>
      </c>
      <c r="B1667" s="139">
        <f>IFERROR(__xludf.DUMMYFUNCTION("""COMPUTED_VALUE"""),2.0250901E8)</f>
        <v>202509010</v>
      </c>
      <c r="C1667" s="139" t="str">
        <f>IFERROR(__xludf.DUMMYFUNCTION("""COMPUTED_VALUE"""),"c_spy_00101_general_vh_Boss_Blue_Appearance_00001")</f>
        <v>c_spy_00101_general_vh_Boss_Blue_Appearance_00001</v>
      </c>
      <c r="D1667" s="139" t="str">
        <f>IFERROR(__xludf.DUMMYFUNCTION("""COMPUTED_VALUE"""),"c_spy_00101_general_vh_Boss_Blue")</f>
        <v>c_spy_00101_general_vh_Boss_Blue</v>
      </c>
      <c r="E1667" s="139">
        <f>IFERROR(__xludf.DUMMYFUNCTION("""COMPUTED_VALUE"""),0.0)</f>
        <v>0</v>
      </c>
      <c r="F1667" s="139" t="str">
        <f>IFERROR(__xludf.DUMMYFUNCTION("""COMPUTED_VALUE"""),"Appearance")</f>
        <v>Appearance</v>
      </c>
      <c r="G1667" s="139"/>
      <c r="H1667" s="139"/>
      <c r="I1667" s="139">
        <f>IFERROR(__xludf.DUMMYFUNCTION("""COMPUTED_VALUE"""),50.0)</f>
        <v>50</v>
      </c>
      <c r="J1667" s="139">
        <f>IFERROR(__xludf.DUMMYFUNCTION("""COMPUTED_VALUE"""),0.0)</f>
        <v>0</v>
      </c>
      <c r="K1667" s="139">
        <f>IFERROR(__xludf.DUMMYFUNCTION("""COMPUTED_VALUE"""),0.0)</f>
        <v>0</v>
      </c>
      <c r="L1667" s="139"/>
      <c r="M1667" s="139"/>
      <c r="N1667" s="139"/>
    </row>
    <row r="1668">
      <c r="A1668" s="139" t="str">
        <f>IFERROR(__xludf.DUMMYFUNCTION("""COMPUTED_VALUE"""),"e")</f>
        <v>e</v>
      </c>
      <c r="B1668" s="139">
        <f>IFERROR(__xludf.DUMMYFUNCTION("""COMPUTED_VALUE"""),2.0250901E8)</f>
        <v>202509010</v>
      </c>
      <c r="C1668" s="139" t="str">
        <f>IFERROR(__xludf.DUMMYFUNCTION("""COMPUTED_VALUE"""),"c_spy_00101_general_vh_Boss_Blue_Special_00002")</f>
        <v>c_spy_00101_general_vh_Boss_Blue_Special_00002</v>
      </c>
      <c r="D1668" s="139" t="str">
        <f>IFERROR(__xludf.DUMMYFUNCTION("""COMPUTED_VALUE"""),"c_spy_00101_general_vh_Boss_Blue")</f>
        <v>c_spy_00101_general_vh_Boss_Blue</v>
      </c>
      <c r="E1668" s="139">
        <f>IFERROR(__xludf.DUMMYFUNCTION("""COMPUTED_VALUE"""),0.0)</f>
        <v>0</v>
      </c>
      <c r="F1668" s="139" t="str">
        <f>IFERROR(__xludf.DUMMYFUNCTION("""COMPUTED_VALUE"""),"Special")</f>
        <v>Special</v>
      </c>
      <c r="G1668" s="139"/>
      <c r="H1668" s="139"/>
      <c r="I1668" s="139">
        <f>IFERROR(__xludf.DUMMYFUNCTION("""COMPUTED_VALUE"""),125.0)</f>
        <v>125</v>
      </c>
      <c r="J1668" s="139">
        <f>IFERROR(__xludf.DUMMYFUNCTION("""COMPUTED_VALUE"""),67.0)</f>
        <v>67</v>
      </c>
      <c r="K1668" s="139">
        <f>IFERROR(__xludf.DUMMYFUNCTION("""COMPUTED_VALUE"""),0.0)</f>
        <v>0</v>
      </c>
      <c r="L1668" s="139"/>
      <c r="M1668" s="139"/>
      <c r="N1668" s="139"/>
    </row>
    <row r="1669">
      <c r="A1669" s="139" t="str">
        <f>IFERROR(__xludf.DUMMYFUNCTION("""COMPUTED_VALUE"""),"e")</f>
        <v>e</v>
      </c>
      <c r="B1669" s="139">
        <f>IFERROR(__xludf.DUMMYFUNCTION("""COMPUTED_VALUE"""),2.0250901E8)</f>
        <v>202509010</v>
      </c>
      <c r="C1669" s="139" t="str">
        <f>IFERROR(__xludf.DUMMYFUNCTION("""COMPUTED_VALUE"""),"c_spy_00401_general_n_Boss_Colorless_Normal_00000")</f>
        <v>c_spy_00401_general_n_Boss_Colorless_Normal_00000</v>
      </c>
      <c r="D1669" s="139" t="str">
        <f>IFERROR(__xludf.DUMMYFUNCTION("""COMPUTED_VALUE"""),"c_spy_00401_general_n_Boss_Colorless")</f>
        <v>c_spy_00401_general_n_Boss_Colorless</v>
      </c>
      <c r="E1669" s="139">
        <f>IFERROR(__xludf.DUMMYFUNCTION("""COMPUTED_VALUE"""),0.0)</f>
        <v>0</v>
      </c>
      <c r="F1669" s="139" t="str">
        <f>IFERROR(__xludf.DUMMYFUNCTION("""COMPUTED_VALUE"""),"Normal")</f>
        <v>Normal</v>
      </c>
      <c r="G1669" s="139"/>
      <c r="H1669" s="139"/>
      <c r="I1669" s="139">
        <f>IFERROR(__xludf.DUMMYFUNCTION("""COMPUTED_VALUE"""),60.0)</f>
        <v>60</v>
      </c>
      <c r="J1669" s="139">
        <f>IFERROR(__xludf.DUMMYFUNCTION("""COMPUTED_VALUE"""),25.0)</f>
        <v>25</v>
      </c>
      <c r="K1669" s="139">
        <f>IFERROR(__xludf.DUMMYFUNCTION("""COMPUTED_VALUE"""),100.0)</f>
        <v>100</v>
      </c>
      <c r="L1669" s="139"/>
      <c r="M1669" s="139"/>
      <c r="N1669" s="139"/>
    </row>
    <row r="1670">
      <c r="A1670" s="139" t="str">
        <f>IFERROR(__xludf.DUMMYFUNCTION("""COMPUTED_VALUE"""),"e")</f>
        <v>e</v>
      </c>
      <c r="B1670" s="139">
        <f>IFERROR(__xludf.DUMMYFUNCTION("""COMPUTED_VALUE"""),2.0250901E8)</f>
        <v>202509010</v>
      </c>
      <c r="C1670" s="139" t="str">
        <f>IFERROR(__xludf.DUMMYFUNCTION("""COMPUTED_VALUE"""),"c_spy_00401_general_n_Boss_Colorless_Appearance_00001")</f>
        <v>c_spy_00401_general_n_Boss_Colorless_Appearance_00001</v>
      </c>
      <c r="D1670" s="139" t="str">
        <f>IFERROR(__xludf.DUMMYFUNCTION("""COMPUTED_VALUE"""),"c_spy_00401_general_n_Boss_Colorless")</f>
        <v>c_spy_00401_general_n_Boss_Colorless</v>
      </c>
      <c r="E1670" s="139">
        <f>IFERROR(__xludf.DUMMYFUNCTION("""COMPUTED_VALUE"""),0.0)</f>
        <v>0</v>
      </c>
      <c r="F1670" s="139" t="str">
        <f>IFERROR(__xludf.DUMMYFUNCTION("""COMPUTED_VALUE"""),"Appearance")</f>
        <v>Appearance</v>
      </c>
      <c r="G1670" s="139"/>
      <c r="H1670" s="139"/>
      <c r="I1670" s="139">
        <f>IFERROR(__xludf.DUMMYFUNCTION("""COMPUTED_VALUE"""),50.0)</f>
        <v>50</v>
      </c>
      <c r="J1670" s="139">
        <f>IFERROR(__xludf.DUMMYFUNCTION("""COMPUTED_VALUE"""),0.0)</f>
        <v>0</v>
      </c>
      <c r="K1670" s="139">
        <f>IFERROR(__xludf.DUMMYFUNCTION("""COMPUTED_VALUE"""),0.0)</f>
        <v>0</v>
      </c>
      <c r="L1670" s="139"/>
      <c r="M1670" s="139"/>
      <c r="N1670" s="139"/>
    </row>
    <row r="1671">
      <c r="A1671" s="139" t="str">
        <f>IFERROR(__xludf.DUMMYFUNCTION("""COMPUTED_VALUE"""),"e")</f>
        <v>e</v>
      </c>
      <c r="B1671" s="139">
        <f>IFERROR(__xludf.DUMMYFUNCTION("""COMPUTED_VALUE"""),2.0250901E8)</f>
        <v>202509010</v>
      </c>
      <c r="C1671" s="139" t="str">
        <f>IFERROR(__xludf.DUMMYFUNCTION("""COMPUTED_VALUE"""),"c_spy_00401_general_n_Boss_Blue_Normal_00000")</f>
        <v>c_spy_00401_general_n_Boss_Blue_Normal_00000</v>
      </c>
      <c r="D1671" s="139" t="str">
        <f>IFERROR(__xludf.DUMMYFUNCTION("""COMPUTED_VALUE"""),"c_spy_00401_general_n_Boss_Blue")</f>
        <v>c_spy_00401_general_n_Boss_Blue</v>
      </c>
      <c r="E1671" s="139">
        <f>IFERROR(__xludf.DUMMYFUNCTION("""COMPUTED_VALUE"""),0.0)</f>
        <v>0</v>
      </c>
      <c r="F1671" s="139" t="str">
        <f>IFERROR(__xludf.DUMMYFUNCTION("""COMPUTED_VALUE"""),"Normal")</f>
        <v>Normal</v>
      </c>
      <c r="G1671" s="139"/>
      <c r="H1671" s="139"/>
      <c r="I1671" s="139">
        <f>IFERROR(__xludf.DUMMYFUNCTION("""COMPUTED_VALUE"""),60.0)</f>
        <v>60</v>
      </c>
      <c r="J1671" s="139">
        <f>IFERROR(__xludf.DUMMYFUNCTION("""COMPUTED_VALUE"""),25.0)</f>
        <v>25</v>
      </c>
      <c r="K1671" s="139">
        <f>IFERROR(__xludf.DUMMYFUNCTION("""COMPUTED_VALUE"""),100.0)</f>
        <v>100</v>
      </c>
      <c r="L1671" s="139"/>
      <c r="M1671" s="139"/>
      <c r="N1671" s="139"/>
    </row>
    <row r="1672">
      <c r="A1672" s="139" t="str">
        <f>IFERROR(__xludf.DUMMYFUNCTION("""COMPUTED_VALUE"""),"e")</f>
        <v>e</v>
      </c>
      <c r="B1672" s="139">
        <f>IFERROR(__xludf.DUMMYFUNCTION("""COMPUTED_VALUE"""),2.0250901E8)</f>
        <v>202509010</v>
      </c>
      <c r="C1672" s="139" t="str">
        <f>IFERROR(__xludf.DUMMYFUNCTION("""COMPUTED_VALUE"""),"c_spy_00401_general_n_Boss_Blue_Appearance_00001")</f>
        <v>c_spy_00401_general_n_Boss_Blue_Appearance_00001</v>
      </c>
      <c r="D1672" s="139" t="str">
        <f>IFERROR(__xludf.DUMMYFUNCTION("""COMPUTED_VALUE"""),"c_spy_00401_general_n_Boss_Blue")</f>
        <v>c_spy_00401_general_n_Boss_Blue</v>
      </c>
      <c r="E1672" s="139">
        <f>IFERROR(__xludf.DUMMYFUNCTION("""COMPUTED_VALUE"""),0.0)</f>
        <v>0</v>
      </c>
      <c r="F1672" s="139" t="str">
        <f>IFERROR(__xludf.DUMMYFUNCTION("""COMPUTED_VALUE"""),"Appearance")</f>
        <v>Appearance</v>
      </c>
      <c r="G1672" s="139"/>
      <c r="H1672" s="139"/>
      <c r="I1672" s="139">
        <f>IFERROR(__xludf.DUMMYFUNCTION("""COMPUTED_VALUE"""),50.0)</f>
        <v>50</v>
      </c>
      <c r="J1672" s="139">
        <f>IFERROR(__xludf.DUMMYFUNCTION("""COMPUTED_VALUE"""),0.0)</f>
        <v>0</v>
      </c>
      <c r="K1672" s="139">
        <f>IFERROR(__xludf.DUMMYFUNCTION("""COMPUTED_VALUE"""),0.0)</f>
        <v>0</v>
      </c>
      <c r="L1672" s="139"/>
      <c r="M1672" s="139"/>
      <c r="N1672" s="139"/>
    </row>
    <row r="1673">
      <c r="A1673" s="139" t="str">
        <f>IFERROR(__xludf.DUMMYFUNCTION("""COMPUTED_VALUE"""),"e")</f>
        <v>e</v>
      </c>
      <c r="B1673" s="139">
        <f>IFERROR(__xludf.DUMMYFUNCTION("""COMPUTED_VALUE"""),2.0250901E8)</f>
        <v>202509010</v>
      </c>
      <c r="C1673" s="139" t="str">
        <f>IFERROR(__xludf.DUMMYFUNCTION("""COMPUTED_VALUE"""),"c_spy_00401_general_n_Boss_Blue_Special_00002")</f>
        <v>c_spy_00401_general_n_Boss_Blue_Special_00002</v>
      </c>
      <c r="D1673" s="139" t="str">
        <f>IFERROR(__xludf.DUMMYFUNCTION("""COMPUTED_VALUE"""),"c_spy_00401_general_n_Boss_Blue")</f>
        <v>c_spy_00401_general_n_Boss_Blue</v>
      </c>
      <c r="E1673" s="139">
        <f>IFERROR(__xludf.DUMMYFUNCTION("""COMPUTED_VALUE"""),0.0)</f>
        <v>0</v>
      </c>
      <c r="F1673" s="139" t="str">
        <f>IFERROR(__xludf.DUMMYFUNCTION("""COMPUTED_VALUE"""),"Special")</f>
        <v>Special</v>
      </c>
      <c r="G1673" s="139"/>
      <c r="H1673" s="139"/>
      <c r="I1673" s="139">
        <f>IFERROR(__xludf.DUMMYFUNCTION("""COMPUTED_VALUE"""),138.0)</f>
        <v>138</v>
      </c>
      <c r="J1673" s="139">
        <f>IFERROR(__xludf.DUMMYFUNCTION("""COMPUTED_VALUE"""),67.0)</f>
        <v>67</v>
      </c>
      <c r="K1673" s="139">
        <f>IFERROR(__xludf.DUMMYFUNCTION("""COMPUTED_VALUE"""),0.0)</f>
        <v>0</v>
      </c>
      <c r="L1673" s="139"/>
      <c r="M1673" s="139"/>
      <c r="N1673" s="139"/>
    </row>
    <row r="1674">
      <c r="A1674" s="139" t="str">
        <f>IFERROR(__xludf.DUMMYFUNCTION("""COMPUTED_VALUE"""),"e")</f>
        <v>e</v>
      </c>
      <c r="B1674" s="139">
        <f>IFERROR(__xludf.DUMMYFUNCTION("""COMPUTED_VALUE"""),2.0250901E8)</f>
        <v>202509010</v>
      </c>
      <c r="C1674" s="139" t="str">
        <f>IFERROR(__xludf.DUMMYFUNCTION("""COMPUTED_VALUE"""),"c_spy_00401_general_h_Boss_Colorless_Normal_00000")</f>
        <v>c_spy_00401_general_h_Boss_Colorless_Normal_00000</v>
      </c>
      <c r="D1674" s="139" t="str">
        <f>IFERROR(__xludf.DUMMYFUNCTION("""COMPUTED_VALUE"""),"c_spy_00401_general_h_Boss_Colorless")</f>
        <v>c_spy_00401_general_h_Boss_Colorless</v>
      </c>
      <c r="E1674" s="139">
        <f>IFERROR(__xludf.DUMMYFUNCTION("""COMPUTED_VALUE"""),0.0)</f>
        <v>0</v>
      </c>
      <c r="F1674" s="139" t="str">
        <f>IFERROR(__xludf.DUMMYFUNCTION("""COMPUTED_VALUE"""),"Normal")</f>
        <v>Normal</v>
      </c>
      <c r="G1674" s="139"/>
      <c r="H1674" s="139"/>
      <c r="I1674" s="139">
        <f>IFERROR(__xludf.DUMMYFUNCTION("""COMPUTED_VALUE"""),60.0)</f>
        <v>60</v>
      </c>
      <c r="J1674" s="139">
        <f>IFERROR(__xludf.DUMMYFUNCTION("""COMPUTED_VALUE"""),25.0)</f>
        <v>25</v>
      </c>
      <c r="K1674" s="139">
        <f>IFERROR(__xludf.DUMMYFUNCTION("""COMPUTED_VALUE"""),100.0)</f>
        <v>100</v>
      </c>
      <c r="L1674" s="139"/>
      <c r="M1674" s="139"/>
      <c r="N1674" s="139"/>
    </row>
    <row r="1675">
      <c r="A1675" s="139" t="str">
        <f>IFERROR(__xludf.DUMMYFUNCTION("""COMPUTED_VALUE"""),"e")</f>
        <v>e</v>
      </c>
      <c r="B1675" s="139">
        <f>IFERROR(__xludf.DUMMYFUNCTION("""COMPUTED_VALUE"""),2.0250901E8)</f>
        <v>202509010</v>
      </c>
      <c r="C1675" s="139" t="str">
        <f>IFERROR(__xludf.DUMMYFUNCTION("""COMPUTED_VALUE"""),"c_spy_00401_general_h_Boss_Colorless_Appearance_00001")</f>
        <v>c_spy_00401_general_h_Boss_Colorless_Appearance_00001</v>
      </c>
      <c r="D1675" s="139" t="str">
        <f>IFERROR(__xludf.DUMMYFUNCTION("""COMPUTED_VALUE"""),"c_spy_00401_general_h_Boss_Colorless")</f>
        <v>c_spy_00401_general_h_Boss_Colorless</v>
      </c>
      <c r="E1675" s="139">
        <f>IFERROR(__xludf.DUMMYFUNCTION("""COMPUTED_VALUE"""),0.0)</f>
        <v>0</v>
      </c>
      <c r="F1675" s="139" t="str">
        <f>IFERROR(__xludf.DUMMYFUNCTION("""COMPUTED_VALUE"""),"Appearance")</f>
        <v>Appearance</v>
      </c>
      <c r="G1675" s="139"/>
      <c r="H1675" s="139"/>
      <c r="I1675" s="139">
        <f>IFERROR(__xludf.DUMMYFUNCTION("""COMPUTED_VALUE"""),50.0)</f>
        <v>50</v>
      </c>
      <c r="J1675" s="139">
        <f>IFERROR(__xludf.DUMMYFUNCTION("""COMPUTED_VALUE"""),0.0)</f>
        <v>0</v>
      </c>
      <c r="K1675" s="139">
        <f>IFERROR(__xludf.DUMMYFUNCTION("""COMPUTED_VALUE"""),0.0)</f>
        <v>0</v>
      </c>
      <c r="L1675" s="139"/>
      <c r="M1675" s="139"/>
      <c r="N1675" s="139"/>
    </row>
    <row r="1676">
      <c r="A1676" s="139" t="str">
        <f>IFERROR(__xludf.DUMMYFUNCTION("""COMPUTED_VALUE"""),"e")</f>
        <v>e</v>
      </c>
      <c r="B1676" s="139">
        <f>IFERROR(__xludf.DUMMYFUNCTION("""COMPUTED_VALUE"""),2.0250901E8)</f>
        <v>202509010</v>
      </c>
      <c r="C1676" s="139" t="str">
        <f>IFERROR(__xludf.DUMMYFUNCTION("""COMPUTED_VALUE"""),"c_spy_00401_general_h_Boss_Colorless_Special_00002")</f>
        <v>c_spy_00401_general_h_Boss_Colorless_Special_00002</v>
      </c>
      <c r="D1676" s="139" t="str">
        <f>IFERROR(__xludf.DUMMYFUNCTION("""COMPUTED_VALUE"""),"c_spy_00401_general_h_Boss_Colorless")</f>
        <v>c_spy_00401_general_h_Boss_Colorless</v>
      </c>
      <c r="E1676" s="139">
        <f>IFERROR(__xludf.DUMMYFUNCTION("""COMPUTED_VALUE"""),0.0)</f>
        <v>0</v>
      </c>
      <c r="F1676" s="139" t="str">
        <f>IFERROR(__xludf.DUMMYFUNCTION("""COMPUTED_VALUE"""),"Special")</f>
        <v>Special</v>
      </c>
      <c r="G1676" s="139"/>
      <c r="H1676" s="139"/>
      <c r="I1676" s="139">
        <f>IFERROR(__xludf.DUMMYFUNCTION("""COMPUTED_VALUE"""),138.0)</f>
        <v>138</v>
      </c>
      <c r="J1676" s="139">
        <f>IFERROR(__xludf.DUMMYFUNCTION("""COMPUTED_VALUE"""),67.0)</f>
        <v>67</v>
      </c>
      <c r="K1676" s="139">
        <f>IFERROR(__xludf.DUMMYFUNCTION("""COMPUTED_VALUE"""),0.0)</f>
        <v>0</v>
      </c>
      <c r="L1676" s="139"/>
      <c r="M1676" s="139"/>
      <c r="N1676" s="139"/>
    </row>
    <row r="1677">
      <c r="A1677" s="139" t="str">
        <f>IFERROR(__xludf.DUMMYFUNCTION("""COMPUTED_VALUE"""),"e")</f>
        <v>e</v>
      </c>
      <c r="B1677" s="139">
        <f>IFERROR(__xludf.DUMMYFUNCTION("""COMPUTED_VALUE"""),2.0250901E8)</f>
        <v>202509010</v>
      </c>
      <c r="C1677" s="139" t="str">
        <f>IFERROR(__xludf.DUMMYFUNCTION("""COMPUTED_VALUE"""),"c_spy_00401_general_h_Boss_Blue_Normal_00000")</f>
        <v>c_spy_00401_general_h_Boss_Blue_Normal_00000</v>
      </c>
      <c r="D1677" s="139" t="str">
        <f>IFERROR(__xludf.DUMMYFUNCTION("""COMPUTED_VALUE"""),"c_spy_00401_general_h_Boss_Blue")</f>
        <v>c_spy_00401_general_h_Boss_Blue</v>
      </c>
      <c r="E1677" s="139">
        <f>IFERROR(__xludf.DUMMYFUNCTION("""COMPUTED_VALUE"""),0.0)</f>
        <v>0</v>
      </c>
      <c r="F1677" s="139" t="str">
        <f>IFERROR(__xludf.DUMMYFUNCTION("""COMPUTED_VALUE"""),"Normal")</f>
        <v>Normal</v>
      </c>
      <c r="G1677" s="139"/>
      <c r="H1677" s="139"/>
      <c r="I1677" s="139">
        <f>IFERROR(__xludf.DUMMYFUNCTION("""COMPUTED_VALUE"""),60.0)</f>
        <v>60</v>
      </c>
      <c r="J1677" s="139">
        <f>IFERROR(__xludf.DUMMYFUNCTION("""COMPUTED_VALUE"""),25.0)</f>
        <v>25</v>
      </c>
      <c r="K1677" s="139">
        <f>IFERROR(__xludf.DUMMYFUNCTION("""COMPUTED_VALUE"""),100.0)</f>
        <v>100</v>
      </c>
      <c r="L1677" s="139"/>
      <c r="M1677" s="139"/>
      <c r="N1677" s="139"/>
    </row>
    <row r="1678">
      <c r="A1678" s="139" t="str">
        <f>IFERROR(__xludf.DUMMYFUNCTION("""COMPUTED_VALUE"""),"e")</f>
        <v>e</v>
      </c>
      <c r="B1678" s="139">
        <f>IFERROR(__xludf.DUMMYFUNCTION("""COMPUTED_VALUE"""),2.0250901E8)</f>
        <v>202509010</v>
      </c>
      <c r="C1678" s="139" t="str">
        <f>IFERROR(__xludf.DUMMYFUNCTION("""COMPUTED_VALUE"""),"c_spy_00401_general_h_Boss_Blue_Appearance_00001")</f>
        <v>c_spy_00401_general_h_Boss_Blue_Appearance_00001</v>
      </c>
      <c r="D1678" s="139" t="str">
        <f>IFERROR(__xludf.DUMMYFUNCTION("""COMPUTED_VALUE"""),"c_spy_00401_general_h_Boss_Blue")</f>
        <v>c_spy_00401_general_h_Boss_Blue</v>
      </c>
      <c r="E1678" s="139">
        <f>IFERROR(__xludf.DUMMYFUNCTION("""COMPUTED_VALUE"""),0.0)</f>
        <v>0</v>
      </c>
      <c r="F1678" s="139" t="str">
        <f>IFERROR(__xludf.DUMMYFUNCTION("""COMPUTED_VALUE"""),"Appearance")</f>
        <v>Appearance</v>
      </c>
      <c r="G1678" s="139"/>
      <c r="H1678" s="139"/>
      <c r="I1678" s="139">
        <f>IFERROR(__xludf.DUMMYFUNCTION("""COMPUTED_VALUE"""),50.0)</f>
        <v>50</v>
      </c>
      <c r="J1678" s="139">
        <f>IFERROR(__xludf.DUMMYFUNCTION("""COMPUTED_VALUE"""),0.0)</f>
        <v>0</v>
      </c>
      <c r="K1678" s="139">
        <f>IFERROR(__xludf.DUMMYFUNCTION("""COMPUTED_VALUE"""),0.0)</f>
        <v>0</v>
      </c>
      <c r="L1678" s="139"/>
      <c r="M1678" s="139"/>
      <c r="N1678" s="139"/>
    </row>
    <row r="1679">
      <c r="A1679" s="139" t="str">
        <f>IFERROR(__xludf.DUMMYFUNCTION("""COMPUTED_VALUE"""),"e")</f>
        <v>e</v>
      </c>
      <c r="B1679" s="139">
        <f>IFERROR(__xludf.DUMMYFUNCTION("""COMPUTED_VALUE"""),2.0250901E8)</f>
        <v>202509010</v>
      </c>
      <c r="C1679" s="139" t="str">
        <f>IFERROR(__xludf.DUMMYFUNCTION("""COMPUTED_VALUE"""),"c_spy_00401_general_h_Boss_Blue_Special_00002")</f>
        <v>c_spy_00401_general_h_Boss_Blue_Special_00002</v>
      </c>
      <c r="D1679" s="139" t="str">
        <f>IFERROR(__xludf.DUMMYFUNCTION("""COMPUTED_VALUE"""),"c_spy_00401_general_h_Boss_Blue")</f>
        <v>c_spy_00401_general_h_Boss_Blue</v>
      </c>
      <c r="E1679" s="139">
        <f>IFERROR(__xludf.DUMMYFUNCTION("""COMPUTED_VALUE"""),0.0)</f>
        <v>0</v>
      </c>
      <c r="F1679" s="139" t="str">
        <f>IFERROR(__xludf.DUMMYFUNCTION("""COMPUTED_VALUE"""),"Special")</f>
        <v>Special</v>
      </c>
      <c r="G1679" s="139"/>
      <c r="H1679" s="139"/>
      <c r="I1679" s="139">
        <f>IFERROR(__xludf.DUMMYFUNCTION("""COMPUTED_VALUE"""),138.0)</f>
        <v>138</v>
      </c>
      <c r="J1679" s="139">
        <f>IFERROR(__xludf.DUMMYFUNCTION("""COMPUTED_VALUE"""),67.0)</f>
        <v>67</v>
      </c>
      <c r="K1679" s="139">
        <f>IFERROR(__xludf.DUMMYFUNCTION("""COMPUTED_VALUE"""),0.0)</f>
        <v>0</v>
      </c>
      <c r="L1679" s="139"/>
      <c r="M1679" s="139"/>
      <c r="N1679" s="139"/>
    </row>
    <row r="1680">
      <c r="A1680" s="139" t="str">
        <f>IFERROR(__xludf.DUMMYFUNCTION("""COMPUTED_VALUE"""),"e")</f>
        <v>e</v>
      </c>
      <c r="B1680" s="139">
        <f>IFERROR(__xludf.DUMMYFUNCTION("""COMPUTED_VALUE"""),2.0250901E8)</f>
        <v>202509010</v>
      </c>
      <c r="C1680" s="139" t="str">
        <f>IFERROR(__xludf.DUMMYFUNCTION("""COMPUTED_VALUE"""),"c_spy_00401_general_vh_Boss_Green_Normal_00000")</f>
        <v>c_spy_00401_general_vh_Boss_Green_Normal_00000</v>
      </c>
      <c r="D1680" s="139" t="str">
        <f>IFERROR(__xludf.DUMMYFUNCTION("""COMPUTED_VALUE"""),"c_spy_00401_general_vh_Boss_Green")</f>
        <v>c_spy_00401_general_vh_Boss_Green</v>
      </c>
      <c r="E1680" s="139">
        <f>IFERROR(__xludf.DUMMYFUNCTION("""COMPUTED_VALUE"""),0.0)</f>
        <v>0</v>
      </c>
      <c r="F1680" s="139" t="str">
        <f>IFERROR(__xludf.DUMMYFUNCTION("""COMPUTED_VALUE"""),"Normal")</f>
        <v>Normal</v>
      </c>
      <c r="G1680" s="139"/>
      <c r="H1680" s="139"/>
      <c r="I1680" s="139">
        <f>IFERROR(__xludf.DUMMYFUNCTION("""COMPUTED_VALUE"""),60.0)</f>
        <v>60</v>
      </c>
      <c r="J1680" s="139">
        <f>IFERROR(__xludf.DUMMYFUNCTION("""COMPUTED_VALUE"""),25.0)</f>
        <v>25</v>
      </c>
      <c r="K1680" s="139">
        <f>IFERROR(__xludf.DUMMYFUNCTION("""COMPUTED_VALUE"""),100.0)</f>
        <v>100</v>
      </c>
      <c r="L1680" s="139"/>
      <c r="M1680" s="139"/>
      <c r="N1680" s="139"/>
    </row>
    <row r="1681">
      <c r="A1681" s="139" t="str">
        <f>IFERROR(__xludf.DUMMYFUNCTION("""COMPUTED_VALUE"""),"e")</f>
        <v>e</v>
      </c>
      <c r="B1681" s="139">
        <f>IFERROR(__xludf.DUMMYFUNCTION("""COMPUTED_VALUE"""),2.0250901E8)</f>
        <v>202509010</v>
      </c>
      <c r="C1681" s="139" t="str">
        <f>IFERROR(__xludf.DUMMYFUNCTION("""COMPUTED_VALUE"""),"c_spy_00401_general_vh_Boss_Green_Appearance_00001")</f>
        <v>c_spy_00401_general_vh_Boss_Green_Appearance_00001</v>
      </c>
      <c r="D1681" s="139" t="str">
        <f>IFERROR(__xludf.DUMMYFUNCTION("""COMPUTED_VALUE"""),"c_spy_00401_general_vh_Boss_Green")</f>
        <v>c_spy_00401_general_vh_Boss_Green</v>
      </c>
      <c r="E1681" s="139">
        <f>IFERROR(__xludf.DUMMYFUNCTION("""COMPUTED_VALUE"""),0.0)</f>
        <v>0</v>
      </c>
      <c r="F1681" s="139" t="str">
        <f>IFERROR(__xludf.DUMMYFUNCTION("""COMPUTED_VALUE"""),"Appearance")</f>
        <v>Appearance</v>
      </c>
      <c r="G1681" s="139"/>
      <c r="H1681" s="139"/>
      <c r="I1681" s="139">
        <f>IFERROR(__xludf.DUMMYFUNCTION("""COMPUTED_VALUE"""),50.0)</f>
        <v>50</v>
      </c>
      <c r="J1681" s="139">
        <f>IFERROR(__xludf.DUMMYFUNCTION("""COMPUTED_VALUE"""),0.0)</f>
        <v>0</v>
      </c>
      <c r="K1681" s="139">
        <f>IFERROR(__xludf.DUMMYFUNCTION("""COMPUTED_VALUE"""),0.0)</f>
        <v>0</v>
      </c>
      <c r="L1681" s="139"/>
      <c r="M1681" s="139"/>
      <c r="N1681" s="139"/>
    </row>
    <row r="1682">
      <c r="A1682" s="139" t="str">
        <f>IFERROR(__xludf.DUMMYFUNCTION("""COMPUTED_VALUE"""),"e")</f>
        <v>e</v>
      </c>
      <c r="B1682" s="139">
        <f>IFERROR(__xludf.DUMMYFUNCTION("""COMPUTED_VALUE"""),2.0250901E8)</f>
        <v>202509010</v>
      </c>
      <c r="C1682" s="139" t="str">
        <f>IFERROR(__xludf.DUMMYFUNCTION("""COMPUTED_VALUE"""),"c_spy_00401_general_vh_Boss_Green_Special_00002")</f>
        <v>c_spy_00401_general_vh_Boss_Green_Special_00002</v>
      </c>
      <c r="D1682" s="139" t="str">
        <f>IFERROR(__xludf.DUMMYFUNCTION("""COMPUTED_VALUE"""),"c_spy_00401_general_vh_Boss_Green")</f>
        <v>c_spy_00401_general_vh_Boss_Green</v>
      </c>
      <c r="E1682" s="139">
        <f>IFERROR(__xludf.DUMMYFUNCTION("""COMPUTED_VALUE"""),0.0)</f>
        <v>0</v>
      </c>
      <c r="F1682" s="139" t="str">
        <f>IFERROR(__xludf.DUMMYFUNCTION("""COMPUTED_VALUE"""),"Special")</f>
        <v>Special</v>
      </c>
      <c r="G1682" s="139"/>
      <c r="H1682" s="139"/>
      <c r="I1682" s="139">
        <f>IFERROR(__xludf.DUMMYFUNCTION("""COMPUTED_VALUE"""),138.0)</f>
        <v>138</v>
      </c>
      <c r="J1682" s="139">
        <f>IFERROR(__xludf.DUMMYFUNCTION("""COMPUTED_VALUE"""),67.0)</f>
        <v>67</v>
      </c>
      <c r="K1682" s="139">
        <f>IFERROR(__xludf.DUMMYFUNCTION("""COMPUTED_VALUE"""),0.0)</f>
        <v>0</v>
      </c>
      <c r="L1682" s="139"/>
      <c r="M1682" s="139"/>
      <c r="N1682" s="139"/>
    </row>
    <row r="1683">
      <c r="A1683" s="139" t="str">
        <f>IFERROR(__xludf.DUMMYFUNCTION("""COMPUTED_VALUE"""),"e")</f>
        <v>e</v>
      </c>
      <c r="B1683" s="139">
        <f>IFERROR(__xludf.DUMMYFUNCTION("""COMPUTED_VALUE"""),2.0250901E8)</f>
        <v>202509010</v>
      </c>
      <c r="C1683" s="139" t="str">
        <f>IFERROR(__xludf.DUMMYFUNCTION("""COMPUTED_VALUE"""),"c_spy_00401_general_vh_Boss_Blue_Normal_00000")</f>
        <v>c_spy_00401_general_vh_Boss_Blue_Normal_00000</v>
      </c>
      <c r="D1683" s="139" t="str">
        <f>IFERROR(__xludf.DUMMYFUNCTION("""COMPUTED_VALUE"""),"c_spy_00401_general_vh_Boss_Blue")</f>
        <v>c_spy_00401_general_vh_Boss_Blue</v>
      </c>
      <c r="E1683" s="139">
        <f>IFERROR(__xludf.DUMMYFUNCTION("""COMPUTED_VALUE"""),0.0)</f>
        <v>0</v>
      </c>
      <c r="F1683" s="139" t="str">
        <f>IFERROR(__xludf.DUMMYFUNCTION("""COMPUTED_VALUE"""),"Normal")</f>
        <v>Normal</v>
      </c>
      <c r="G1683" s="139"/>
      <c r="H1683" s="139"/>
      <c r="I1683" s="139">
        <f>IFERROR(__xludf.DUMMYFUNCTION("""COMPUTED_VALUE"""),60.0)</f>
        <v>60</v>
      </c>
      <c r="J1683" s="139">
        <f>IFERROR(__xludf.DUMMYFUNCTION("""COMPUTED_VALUE"""),25.0)</f>
        <v>25</v>
      </c>
      <c r="K1683" s="139">
        <f>IFERROR(__xludf.DUMMYFUNCTION("""COMPUTED_VALUE"""),100.0)</f>
        <v>100</v>
      </c>
      <c r="L1683" s="139"/>
      <c r="M1683" s="139"/>
      <c r="N1683" s="139"/>
    </row>
    <row r="1684">
      <c r="A1684" s="139" t="str">
        <f>IFERROR(__xludf.DUMMYFUNCTION("""COMPUTED_VALUE"""),"e")</f>
        <v>e</v>
      </c>
      <c r="B1684" s="139">
        <f>IFERROR(__xludf.DUMMYFUNCTION("""COMPUTED_VALUE"""),2.0250901E8)</f>
        <v>202509010</v>
      </c>
      <c r="C1684" s="139" t="str">
        <f>IFERROR(__xludf.DUMMYFUNCTION("""COMPUTED_VALUE"""),"c_spy_00401_general_vh_Boss_Blue_Appearance_00001")</f>
        <v>c_spy_00401_general_vh_Boss_Blue_Appearance_00001</v>
      </c>
      <c r="D1684" s="139" t="str">
        <f>IFERROR(__xludf.DUMMYFUNCTION("""COMPUTED_VALUE"""),"c_spy_00401_general_vh_Boss_Blue")</f>
        <v>c_spy_00401_general_vh_Boss_Blue</v>
      </c>
      <c r="E1684" s="139">
        <f>IFERROR(__xludf.DUMMYFUNCTION("""COMPUTED_VALUE"""),0.0)</f>
        <v>0</v>
      </c>
      <c r="F1684" s="139" t="str">
        <f>IFERROR(__xludf.DUMMYFUNCTION("""COMPUTED_VALUE"""),"Appearance")</f>
        <v>Appearance</v>
      </c>
      <c r="G1684" s="139"/>
      <c r="H1684" s="139"/>
      <c r="I1684" s="139">
        <f>IFERROR(__xludf.DUMMYFUNCTION("""COMPUTED_VALUE"""),50.0)</f>
        <v>50</v>
      </c>
      <c r="J1684" s="139">
        <f>IFERROR(__xludf.DUMMYFUNCTION("""COMPUTED_VALUE"""),0.0)</f>
        <v>0</v>
      </c>
      <c r="K1684" s="139">
        <f>IFERROR(__xludf.DUMMYFUNCTION("""COMPUTED_VALUE"""),0.0)</f>
        <v>0</v>
      </c>
      <c r="L1684" s="139"/>
      <c r="M1684" s="139"/>
      <c r="N1684" s="139"/>
    </row>
    <row r="1685">
      <c r="A1685" s="139" t="str">
        <f>IFERROR(__xludf.DUMMYFUNCTION("""COMPUTED_VALUE"""),"e")</f>
        <v>e</v>
      </c>
      <c r="B1685" s="139">
        <f>IFERROR(__xludf.DUMMYFUNCTION("""COMPUTED_VALUE"""),2.0250901E8)</f>
        <v>202509010</v>
      </c>
      <c r="C1685" s="139" t="str">
        <f>IFERROR(__xludf.DUMMYFUNCTION("""COMPUTED_VALUE"""),"c_spy_00401_general_vh_Boss_Blue_Special_00002")</f>
        <v>c_spy_00401_general_vh_Boss_Blue_Special_00002</v>
      </c>
      <c r="D1685" s="139" t="str">
        <f>IFERROR(__xludf.DUMMYFUNCTION("""COMPUTED_VALUE"""),"c_spy_00401_general_vh_Boss_Blue")</f>
        <v>c_spy_00401_general_vh_Boss_Blue</v>
      </c>
      <c r="E1685" s="139">
        <f>IFERROR(__xludf.DUMMYFUNCTION("""COMPUTED_VALUE"""),0.0)</f>
        <v>0</v>
      </c>
      <c r="F1685" s="139" t="str">
        <f>IFERROR(__xludf.DUMMYFUNCTION("""COMPUTED_VALUE"""),"Special")</f>
        <v>Special</v>
      </c>
      <c r="G1685" s="139"/>
      <c r="H1685" s="139"/>
      <c r="I1685" s="139">
        <f>IFERROR(__xludf.DUMMYFUNCTION("""COMPUTED_VALUE"""),138.0)</f>
        <v>138</v>
      </c>
      <c r="J1685" s="139">
        <f>IFERROR(__xludf.DUMMYFUNCTION("""COMPUTED_VALUE"""),67.0)</f>
        <v>67</v>
      </c>
      <c r="K1685" s="139">
        <f>IFERROR(__xludf.DUMMYFUNCTION("""COMPUTED_VALUE"""),0.0)</f>
        <v>0</v>
      </c>
      <c r="L1685" s="139"/>
      <c r="M1685" s="139"/>
      <c r="N1685" s="139"/>
    </row>
    <row r="1686">
      <c r="A1686" s="139" t="str">
        <f>IFERROR(__xludf.DUMMYFUNCTION("""COMPUTED_VALUE"""),"e")</f>
        <v>e</v>
      </c>
      <c r="B1686" s="139">
        <f>IFERROR(__xludf.DUMMYFUNCTION("""COMPUTED_VALUE"""),2.0250901E8)</f>
        <v>202509010</v>
      </c>
      <c r="C1686" s="139" t="str">
        <f>IFERROR(__xludf.DUMMYFUNCTION("""COMPUTED_VALUE"""),"c_spy_00201_generalv_vh_Normal_Blue_Normal_00000")</f>
        <v>c_spy_00201_generalv_vh_Normal_Blue_Normal_00000</v>
      </c>
      <c r="D1686" s="139" t="str">
        <f>IFERROR(__xludf.DUMMYFUNCTION("""COMPUTED_VALUE"""),"c_spy_00201_generalv_vh_Normal_Blue")</f>
        <v>c_spy_00201_generalv_vh_Normal_Blue</v>
      </c>
      <c r="E1686" s="139">
        <f>IFERROR(__xludf.DUMMYFUNCTION("""COMPUTED_VALUE"""),0.0)</f>
        <v>0</v>
      </c>
      <c r="F1686" s="139" t="str">
        <f>IFERROR(__xludf.DUMMYFUNCTION("""COMPUTED_VALUE"""),"Normal")</f>
        <v>Normal</v>
      </c>
      <c r="G1686" s="139"/>
      <c r="H1686" s="139"/>
      <c r="I1686" s="139">
        <f>IFERROR(__xludf.DUMMYFUNCTION("""COMPUTED_VALUE"""),71.0)</f>
        <v>71</v>
      </c>
      <c r="J1686" s="139">
        <f>IFERROR(__xludf.DUMMYFUNCTION("""COMPUTED_VALUE"""),31.0)</f>
        <v>31</v>
      </c>
      <c r="K1686" s="139">
        <f>IFERROR(__xludf.DUMMYFUNCTION("""COMPUTED_VALUE"""),50.0)</f>
        <v>50</v>
      </c>
      <c r="L1686" s="139"/>
      <c r="M1686" s="139"/>
      <c r="N1686" s="139"/>
    </row>
    <row r="1687">
      <c r="A1687" s="139" t="str">
        <f>IFERROR(__xludf.DUMMYFUNCTION("""COMPUTED_VALUE"""),"e")</f>
        <v>e</v>
      </c>
      <c r="B1687" s="139">
        <f>IFERROR(__xludf.DUMMYFUNCTION("""COMPUTED_VALUE"""),2.0250901E8)</f>
        <v>202509010</v>
      </c>
      <c r="C1687" s="139" t="str">
        <f>IFERROR(__xludf.DUMMYFUNCTION("""COMPUTED_VALUE"""),"c_spy_00201_general_n_Boss_Colorless_Normal_00000")</f>
        <v>c_spy_00201_general_n_Boss_Colorless_Normal_00000</v>
      </c>
      <c r="D1687" s="139" t="str">
        <f>IFERROR(__xludf.DUMMYFUNCTION("""COMPUTED_VALUE"""),"c_spy_00201_general_n_Boss_Colorless")</f>
        <v>c_spy_00201_general_n_Boss_Colorless</v>
      </c>
      <c r="E1687" s="139">
        <f>IFERROR(__xludf.DUMMYFUNCTION("""COMPUTED_VALUE"""),0.0)</f>
        <v>0</v>
      </c>
      <c r="F1687" s="139" t="str">
        <f>IFERROR(__xludf.DUMMYFUNCTION("""COMPUTED_VALUE"""),"Normal")</f>
        <v>Normal</v>
      </c>
      <c r="G1687" s="139"/>
      <c r="H1687" s="139"/>
      <c r="I1687" s="139">
        <f>IFERROR(__xludf.DUMMYFUNCTION("""COMPUTED_VALUE"""),71.0)</f>
        <v>71</v>
      </c>
      <c r="J1687" s="139">
        <f>IFERROR(__xludf.DUMMYFUNCTION("""COMPUTED_VALUE"""),31.0)</f>
        <v>31</v>
      </c>
      <c r="K1687" s="139">
        <f>IFERROR(__xludf.DUMMYFUNCTION("""COMPUTED_VALUE"""),100.0)</f>
        <v>100</v>
      </c>
      <c r="L1687" s="139"/>
      <c r="M1687" s="139"/>
      <c r="N1687" s="139"/>
    </row>
    <row r="1688">
      <c r="A1688" s="139" t="str">
        <f>IFERROR(__xludf.DUMMYFUNCTION("""COMPUTED_VALUE"""),"e")</f>
        <v>e</v>
      </c>
      <c r="B1688" s="139">
        <f>IFERROR(__xludf.DUMMYFUNCTION("""COMPUTED_VALUE"""),2.0250901E8)</f>
        <v>202509010</v>
      </c>
      <c r="C1688" s="139" t="str">
        <f>IFERROR(__xludf.DUMMYFUNCTION("""COMPUTED_VALUE"""),"c_spy_00201_general_n_Boss_Colorless_Appearance_00001")</f>
        <v>c_spy_00201_general_n_Boss_Colorless_Appearance_00001</v>
      </c>
      <c r="D1688" s="139" t="str">
        <f>IFERROR(__xludf.DUMMYFUNCTION("""COMPUTED_VALUE"""),"c_spy_00201_general_n_Boss_Colorless")</f>
        <v>c_spy_00201_general_n_Boss_Colorless</v>
      </c>
      <c r="E1688" s="139">
        <f>IFERROR(__xludf.DUMMYFUNCTION("""COMPUTED_VALUE"""),0.0)</f>
        <v>0</v>
      </c>
      <c r="F1688" s="139" t="str">
        <f>IFERROR(__xludf.DUMMYFUNCTION("""COMPUTED_VALUE"""),"Appearance")</f>
        <v>Appearance</v>
      </c>
      <c r="G1688" s="139"/>
      <c r="H1688" s="139"/>
      <c r="I1688" s="139">
        <f>IFERROR(__xludf.DUMMYFUNCTION("""COMPUTED_VALUE"""),50.0)</f>
        <v>50</v>
      </c>
      <c r="J1688" s="139">
        <f>IFERROR(__xludf.DUMMYFUNCTION("""COMPUTED_VALUE"""),0.0)</f>
        <v>0</v>
      </c>
      <c r="K1688" s="139">
        <f>IFERROR(__xludf.DUMMYFUNCTION("""COMPUTED_VALUE"""),0.0)</f>
        <v>0</v>
      </c>
      <c r="L1688" s="139"/>
      <c r="M1688" s="139"/>
      <c r="N1688" s="139"/>
    </row>
    <row r="1689">
      <c r="A1689" s="139" t="str">
        <f>IFERROR(__xludf.DUMMYFUNCTION("""COMPUTED_VALUE"""),"e")</f>
        <v>e</v>
      </c>
      <c r="B1689" s="139">
        <f>IFERROR(__xludf.DUMMYFUNCTION("""COMPUTED_VALUE"""),2.0250901E8)</f>
        <v>202509010</v>
      </c>
      <c r="C1689" s="139" t="str">
        <f>IFERROR(__xludf.DUMMYFUNCTION("""COMPUTED_VALUE"""),"c_spy_00201_general_n_Boss_Colorless_Special_00002")</f>
        <v>c_spy_00201_general_n_Boss_Colorless_Special_00002</v>
      </c>
      <c r="D1689" s="139" t="str">
        <f>IFERROR(__xludf.DUMMYFUNCTION("""COMPUTED_VALUE"""),"c_spy_00201_general_n_Boss_Colorless")</f>
        <v>c_spy_00201_general_n_Boss_Colorless</v>
      </c>
      <c r="E1689" s="139">
        <f>IFERROR(__xludf.DUMMYFUNCTION("""COMPUTED_VALUE"""),0.0)</f>
        <v>0</v>
      </c>
      <c r="F1689" s="139" t="str">
        <f>IFERROR(__xludf.DUMMYFUNCTION("""COMPUTED_VALUE"""),"Special")</f>
        <v>Special</v>
      </c>
      <c r="G1689" s="139"/>
      <c r="H1689" s="139"/>
      <c r="I1689" s="139">
        <f>IFERROR(__xludf.DUMMYFUNCTION("""COMPUTED_VALUE"""),125.0)</f>
        <v>125</v>
      </c>
      <c r="J1689" s="139">
        <f>IFERROR(__xludf.DUMMYFUNCTION("""COMPUTED_VALUE"""),37.0)</f>
        <v>37</v>
      </c>
      <c r="K1689" s="139">
        <f>IFERROR(__xludf.DUMMYFUNCTION("""COMPUTED_VALUE"""),0.0)</f>
        <v>0</v>
      </c>
      <c r="L1689" s="139"/>
      <c r="M1689" s="139"/>
      <c r="N1689" s="139"/>
    </row>
    <row r="1690">
      <c r="A1690" s="139" t="str">
        <f>IFERROR(__xludf.DUMMYFUNCTION("""COMPUTED_VALUE"""),"e")</f>
        <v>e</v>
      </c>
      <c r="B1690" s="139">
        <f>IFERROR(__xludf.DUMMYFUNCTION("""COMPUTED_VALUE"""),2.0250901E8)</f>
        <v>202509010</v>
      </c>
      <c r="C1690" s="139" t="str">
        <f>IFERROR(__xludf.DUMMYFUNCTION("""COMPUTED_VALUE"""),"c_spy_00201_general_n_Boss_Blue_Normal_00000")</f>
        <v>c_spy_00201_general_n_Boss_Blue_Normal_00000</v>
      </c>
      <c r="D1690" s="139" t="str">
        <f>IFERROR(__xludf.DUMMYFUNCTION("""COMPUTED_VALUE"""),"c_spy_00201_general_n_Boss_Blue")</f>
        <v>c_spy_00201_general_n_Boss_Blue</v>
      </c>
      <c r="E1690" s="139">
        <f>IFERROR(__xludf.DUMMYFUNCTION("""COMPUTED_VALUE"""),0.0)</f>
        <v>0</v>
      </c>
      <c r="F1690" s="139" t="str">
        <f>IFERROR(__xludf.DUMMYFUNCTION("""COMPUTED_VALUE"""),"Normal")</f>
        <v>Normal</v>
      </c>
      <c r="G1690" s="139"/>
      <c r="H1690" s="139"/>
      <c r="I1690" s="139">
        <f>IFERROR(__xludf.DUMMYFUNCTION("""COMPUTED_VALUE"""),71.0)</f>
        <v>71</v>
      </c>
      <c r="J1690" s="139">
        <f>IFERROR(__xludf.DUMMYFUNCTION("""COMPUTED_VALUE"""),31.0)</f>
        <v>31</v>
      </c>
      <c r="K1690" s="139">
        <f>IFERROR(__xludf.DUMMYFUNCTION("""COMPUTED_VALUE"""),100.0)</f>
        <v>100</v>
      </c>
      <c r="L1690" s="139"/>
      <c r="M1690" s="139"/>
      <c r="N1690" s="139"/>
    </row>
    <row r="1691">
      <c r="A1691" s="139" t="str">
        <f>IFERROR(__xludf.DUMMYFUNCTION("""COMPUTED_VALUE"""),"e")</f>
        <v>e</v>
      </c>
      <c r="B1691" s="139">
        <f>IFERROR(__xludf.DUMMYFUNCTION("""COMPUTED_VALUE"""),2.0250901E8)</f>
        <v>202509010</v>
      </c>
      <c r="C1691" s="139" t="str">
        <f>IFERROR(__xludf.DUMMYFUNCTION("""COMPUTED_VALUE"""),"c_spy_00201_general_n_Boss_Blue_Appearance_00001")</f>
        <v>c_spy_00201_general_n_Boss_Blue_Appearance_00001</v>
      </c>
      <c r="D1691" s="139" t="str">
        <f>IFERROR(__xludf.DUMMYFUNCTION("""COMPUTED_VALUE"""),"c_spy_00201_general_n_Boss_Blue")</f>
        <v>c_spy_00201_general_n_Boss_Blue</v>
      </c>
      <c r="E1691" s="139">
        <f>IFERROR(__xludf.DUMMYFUNCTION("""COMPUTED_VALUE"""),0.0)</f>
        <v>0</v>
      </c>
      <c r="F1691" s="139" t="str">
        <f>IFERROR(__xludf.DUMMYFUNCTION("""COMPUTED_VALUE"""),"Appearance")</f>
        <v>Appearance</v>
      </c>
      <c r="G1691" s="139"/>
      <c r="H1691" s="139"/>
      <c r="I1691" s="139">
        <f>IFERROR(__xludf.DUMMYFUNCTION("""COMPUTED_VALUE"""),50.0)</f>
        <v>50</v>
      </c>
      <c r="J1691" s="139">
        <f>IFERROR(__xludf.DUMMYFUNCTION("""COMPUTED_VALUE"""),0.0)</f>
        <v>0</v>
      </c>
      <c r="K1691" s="139">
        <f>IFERROR(__xludf.DUMMYFUNCTION("""COMPUTED_VALUE"""),0.0)</f>
        <v>0</v>
      </c>
      <c r="L1691" s="139"/>
      <c r="M1691" s="139"/>
      <c r="N1691" s="139"/>
    </row>
    <row r="1692">
      <c r="A1692" s="139" t="str">
        <f>IFERROR(__xludf.DUMMYFUNCTION("""COMPUTED_VALUE"""),"e")</f>
        <v>e</v>
      </c>
      <c r="B1692" s="139">
        <f>IFERROR(__xludf.DUMMYFUNCTION("""COMPUTED_VALUE"""),2.0250901E8)</f>
        <v>202509010</v>
      </c>
      <c r="C1692" s="139" t="str">
        <f>IFERROR(__xludf.DUMMYFUNCTION("""COMPUTED_VALUE"""),"c_spy_00201_general_n_Boss_Blue_Special_00002")</f>
        <v>c_spy_00201_general_n_Boss_Blue_Special_00002</v>
      </c>
      <c r="D1692" s="139" t="str">
        <f>IFERROR(__xludf.DUMMYFUNCTION("""COMPUTED_VALUE"""),"c_spy_00201_general_n_Boss_Blue")</f>
        <v>c_spy_00201_general_n_Boss_Blue</v>
      </c>
      <c r="E1692" s="139">
        <f>IFERROR(__xludf.DUMMYFUNCTION("""COMPUTED_VALUE"""),0.0)</f>
        <v>0</v>
      </c>
      <c r="F1692" s="139" t="str">
        <f>IFERROR(__xludf.DUMMYFUNCTION("""COMPUTED_VALUE"""),"Special")</f>
        <v>Special</v>
      </c>
      <c r="G1692" s="139"/>
      <c r="H1692" s="139"/>
      <c r="I1692" s="139">
        <f>IFERROR(__xludf.DUMMYFUNCTION("""COMPUTED_VALUE"""),125.0)</f>
        <v>125</v>
      </c>
      <c r="J1692" s="139">
        <f>IFERROR(__xludf.DUMMYFUNCTION("""COMPUTED_VALUE"""),37.0)</f>
        <v>37</v>
      </c>
      <c r="K1692" s="139">
        <f>IFERROR(__xludf.DUMMYFUNCTION("""COMPUTED_VALUE"""),0.0)</f>
        <v>0</v>
      </c>
      <c r="L1692" s="139"/>
      <c r="M1692" s="139"/>
      <c r="N1692" s="139"/>
    </row>
    <row r="1693">
      <c r="A1693" s="139" t="str">
        <f>IFERROR(__xludf.DUMMYFUNCTION("""COMPUTED_VALUE"""),"e")</f>
        <v>e</v>
      </c>
      <c r="B1693" s="139">
        <f>IFERROR(__xludf.DUMMYFUNCTION("""COMPUTED_VALUE"""),2.0250901E8)</f>
        <v>202509010</v>
      </c>
      <c r="C1693" s="139" t="str">
        <f>IFERROR(__xludf.DUMMYFUNCTION("""COMPUTED_VALUE"""),"c_spy_00201_general_h_Boss_Colorless_Normal_00000")</f>
        <v>c_spy_00201_general_h_Boss_Colorless_Normal_00000</v>
      </c>
      <c r="D1693" s="139" t="str">
        <f>IFERROR(__xludf.DUMMYFUNCTION("""COMPUTED_VALUE"""),"c_spy_00201_general_h_Boss_Colorless")</f>
        <v>c_spy_00201_general_h_Boss_Colorless</v>
      </c>
      <c r="E1693" s="139">
        <f>IFERROR(__xludf.DUMMYFUNCTION("""COMPUTED_VALUE"""),0.0)</f>
        <v>0</v>
      </c>
      <c r="F1693" s="139" t="str">
        <f>IFERROR(__xludf.DUMMYFUNCTION("""COMPUTED_VALUE"""),"Normal")</f>
        <v>Normal</v>
      </c>
      <c r="G1693" s="139"/>
      <c r="H1693" s="139"/>
      <c r="I1693" s="139">
        <f>IFERROR(__xludf.DUMMYFUNCTION("""COMPUTED_VALUE"""),71.0)</f>
        <v>71</v>
      </c>
      <c r="J1693" s="139">
        <f>IFERROR(__xludf.DUMMYFUNCTION("""COMPUTED_VALUE"""),31.0)</f>
        <v>31</v>
      </c>
      <c r="K1693" s="139">
        <f>IFERROR(__xludf.DUMMYFUNCTION("""COMPUTED_VALUE"""),100.0)</f>
        <v>100</v>
      </c>
      <c r="L1693" s="139"/>
      <c r="M1693" s="139"/>
      <c r="N1693" s="139"/>
    </row>
    <row r="1694">
      <c r="A1694" s="139" t="str">
        <f>IFERROR(__xludf.DUMMYFUNCTION("""COMPUTED_VALUE"""),"e")</f>
        <v>e</v>
      </c>
      <c r="B1694" s="139">
        <f>IFERROR(__xludf.DUMMYFUNCTION("""COMPUTED_VALUE"""),2.0250901E8)</f>
        <v>202509010</v>
      </c>
      <c r="C1694" s="139" t="str">
        <f>IFERROR(__xludf.DUMMYFUNCTION("""COMPUTED_VALUE"""),"c_spy_00201_general_h_Boss_Colorless_Appearance_00001")</f>
        <v>c_spy_00201_general_h_Boss_Colorless_Appearance_00001</v>
      </c>
      <c r="D1694" s="139" t="str">
        <f>IFERROR(__xludf.DUMMYFUNCTION("""COMPUTED_VALUE"""),"c_spy_00201_general_h_Boss_Colorless")</f>
        <v>c_spy_00201_general_h_Boss_Colorless</v>
      </c>
      <c r="E1694" s="139">
        <f>IFERROR(__xludf.DUMMYFUNCTION("""COMPUTED_VALUE"""),0.0)</f>
        <v>0</v>
      </c>
      <c r="F1694" s="139" t="str">
        <f>IFERROR(__xludf.DUMMYFUNCTION("""COMPUTED_VALUE"""),"Appearance")</f>
        <v>Appearance</v>
      </c>
      <c r="G1694" s="139"/>
      <c r="H1694" s="139"/>
      <c r="I1694" s="139">
        <f>IFERROR(__xludf.DUMMYFUNCTION("""COMPUTED_VALUE"""),50.0)</f>
        <v>50</v>
      </c>
      <c r="J1694" s="139">
        <f>IFERROR(__xludf.DUMMYFUNCTION("""COMPUTED_VALUE"""),0.0)</f>
        <v>0</v>
      </c>
      <c r="K1694" s="139">
        <f>IFERROR(__xludf.DUMMYFUNCTION("""COMPUTED_VALUE"""),0.0)</f>
        <v>0</v>
      </c>
      <c r="L1694" s="139"/>
      <c r="M1694" s="139"/>
      <c r="N1694" s="139"/>
    </row>
    <row r="1695">
      <c r="A1695" s="139" t="str">
        <f>IFERROR(__xludf.DUMMYFUNCTION("""COMPUTED_VALUE"""),"e")</f>
        <v>e</v>
      </c>
      <c r="B1695" s="139">
        <f>IFERROR(__xludf.DUMMYFUNCTION("""COMPUTED_VALUE"""),2.0250901E8)</f>
        <v>202509010</v>
      </c>
      <c r="C1695" s="139" t="str">
        <f>IFERROR(__xludf.DUMMYFUNCTION("""COMPUTED_VALUE"""),"c_spy_00201_general_h_Boss_Colorless_Special_00002")</f>
        <v>c_spy_00201_general_h_Boss_Colorless_Special_00002</v>
      </c>
      <c r="D1695" s="139" t="str">
        <f>IFERROR(__xludf.DUMMYFUNCTION("""COMPUTED_VALUE"""),"c_spy_00201_general_h_Boss_Colorless")</f>
        <v>c_spy_00201_general_h_Boss_Colorless</v>
      </c>
      <c r="E1695" s="139">
        <f>IFERROR(__xludf.DUMMYFUNCTION("""COMPUTED_VALUE"""),0.0)</f>
        <v>0</v>
      </c>
      <c r="F1695" s="139" t="str">
        <f>IFERROR(__xludf.DUMMYFUNCTION("""COMPUTED_VALUE"""),"Special")</f>
        <v>Special</v>
      </c>
      <c r="G1695" s="139"/>
      <c r="H1695" s="139"/>
      <c r="I1695" s="139">
        <f>IFERROR(__xludf.DUMMYFUNCTION("""COMPUTED_VALUE"""),125.0)</f>
        <v>125</v>
      </c>
      <c r="J1695" s="139">
        <f>IFERROR(__xludf.DUMMYFUNCTION("""COMPUTED_VALUE"""),37.0)</f>
        <v>37</v>
      </c>
      <c r="K1695" s="139">
        <f>IFERROR(__xludf.DUMMYFUNCTION("""COMPUTED_VALUE"""),0.0)</f>
        <v>0</v>
      </c>
      <c r="L1695" s="139"/>
      <c r="M1695" s="139"/>
      <c r="N1695" s="139"/>
    </row>
    <row r="1696">
      <c r="A1696" s="139" t="str">
        <f>IFERROR(__xludf.DUMMYFUNCTION("""COMPUTED_VALUE"""),"e")</f>
        <v>e</v>
      </c>
      <c r="B1696" s="139">
        <f>IFERROR(__xludf.DUMMYFUNCTION("""COMPUTED_VALUE"""),2.0250901E8)</f>
        <v>202509010</v>
      </c>
      <c r="C1696" s="139" t="str">
        <f>IFERROR(__xludf.DUMMYFUNCTION("""COMPUTED_VALUE"""),"c_spy_00201_general_h_Boss_Blue_Normal_00000")</f>
        <v>c_spy_00201_general_h_Boss_Blue_Normal_00000</v>
      </c>
      <c r="D1696" s="139" t="str">
        <f>IFERROR(__xludf.DUMMYFUNCTION("""COMPUTED_VALUE"""),"c_spy_00201_general_h_Boss_Blue")</f>
        <v>c_spy_00201_general_h_Boss_Blue</v>
      </c>
      <c r="E1696" s="139">
        <f>IFERROR(__xludf.DUMMYFUNCTION("""COMPUTED_VALUE"""),0.0)</f>
        <v>0</v>
      </c>
      <c r="F1696" s="139" t="str">
        <f>IFERROR(__xludf.DUMMYFUNCTION("""COMPUTED_VALUE"""),"Normal")</f>
        <v>Normal</v>
      </c>
      <c r="G1696" s="139"/>
      <c r="H1696" s="139"/>
      <c r="I1696" s="139">
        <f>IFERROR(__xludf.DUMMYFUNCTION("""COMPUTED_VALUE"""),71.0)</f>
        <v>71</v>
      </c>
      <c r="J1696" s="139">
        <f>IFERROR(__xludf.DUMMYFUNCTION("""COMPUTED_VALUE"""),31.0)</f>
        <v>31</v>
      </c>
      <c r="K1696" s="139">
        <f>IFERROR(__xludf.DUMMYFUNCTION("""COMPUTED_VALUE"""),100.0)</f>
        <v>100</v>
      </c>
      <c r="L1696" s="139"/>
      <c r="M1696" s="139"/>
      <c r="N1696" s="139"/>
    </row>
    <row r="1697">
      <c r="A1697" s="139" t="str">
        <f>IFERROR(__xludf.DUMMYFUNCTION("""COMPUTED_VALUE"""),"e")</f>
        <v>e</v>
      </c>
      <c r="B1697" s="139">
        <f>IFERROR(__xludf.DUMMYFUNCTION("""COMPUTED_VALUE"""),2.0250901E8)</f>
        <v>202509010</v>
      </c>
      <c r="C1697" s="139" t="str">
        <f>IFERROR(__xludf.DUMMYFUNCTION("""COMPUTED_VALUE"""),"c_spy_00201_general_h_Boss_Blue_Appearance_00001")</f>
        <v>c_spy_00201_general_h_Boss_Blue_Appearance_00001</v>
      </c>
      <c r="D1697" s="139" t="str">
        <f>IFERROR(__xludf.DUMMYFUNCTION("""COMPUTED_VALUE"""),"c_spy_00201_general_h_Boss_Blue")</f>
        <v>c_spy_00201_general_h_Boss_Blue</v>
      </c>
      <c r="E1697" s="139">
        <f>IFERROR(__xludf.DUMMYFUNCTION("""COMPUTED_VALUE"""),0.0)</f>
        <v>0</v>
      </c>
      <c r="F1697" s="139" t="str">
        <f>IFERROR(__xludf.DUMMYFUNCTION("""COMPUTED_VALUE"""),"Appearance")</f>
        <v>Appearance</v>
      </c>
      <c r="G1697" s="139"/>
      <c r="H1697" s="139"/>
      <c r="I1697" s="139">
        <f>IFERROR(__xludf.DUMMYFUNCTION("""COMPUTED_VALUE"""),50.0)</f>
        <v>50</v>
      </c>
      <c r="J1697" s="139">
        <f>IFERROR(__xludf.DUMMYFUNCTION("""COMPUTED_VALUE"""),0.0)</f>
        <v>0</v>
      </c>
      <c r="K1697" s="139">
        <f>IFERROR(__xludf.DUMMYFUNCTION("""COMPUTED_VALUE"""),0.0)</f>
        <v>0</v>
      </c>
      <c r="L1697" s="139"/>
      <c r="M1697" s="139"/>
      <c r="N1697" s="139"/>
    </row>
    <row r="1698">
      <c r="A1698" s="139" t="str">
        <f>IFERROR(__xludf.DUMMYFUNCTION("""COMPUTED_VALUE"""),"e")</f>
        <v>e</v>
      </c>
      <c r="B1698" s="139">
        <f>IFERROR(__xludf.DUMMYFUNCTION("""COMPUTED_VALUE"""),2.0250901E8)</f>
        <v>202509010</v>
      </c>
      <c r="C1698" s="139" t="str">
        <f>IFERROR(__xludf.DUMMYFUNCTION("""COMPUTED_VALUE"""),"c_spy_00201_general_h_Boss_Blue_Special_00002")</f>
        <v>c_spy_00201_general_h_Boss_Blue_Special_00002</v>
      </c>
      <c r="D1698" s="139" t="str">
        <f>IFERROR(__xludf.DUMMYFUNCTION("""COMPUTED_VALUE"""),"c_spy_00201_general_h_Boss_Blue")</f>
        <v>c_spy_00201_general_h_Boss_Blue</v>
      </c>
      <c r="E1698" s="139">
        <f>IFERROR(__xludf.DUMMYFUNCTION("""COMPUTED_VALUE"""),0.0)</f>
        <v>0</v>
      </c>
      <c r="F1698" s="139" t="str">
        <f>IFERROR(__xludf.DUMMYFUNCTION("""COMPUTED_VALUE"""),"Special")</f>
        <v>Special</v>
      </c>
      <c r="G1698" s="139"/>
      <c r="H1698" s="139"/>
      <c r="I1698" s="139">
        <f>IFERROR(__xludf.DUMMYFUNCTION("""COMPUTED_VALUE"""),125.0)</f>
        <v>125</v>
      </c>
      <c r="J1698" s="139">
        <f>IFERROR(__xludf.DUMMYFUNCTION("""COMPUTED_VALUE"""),37.0)</f>
        <v>37</v>
      </c>
      <c r="K1698" s="139">
        <f>IFERROR(__xludf.DUMMYFUNCTION("""COMPUTED_VALUE"""),0.0)</f>
        <v>0</v>
      </c>
      <c r="L1698" s="139"/>
      <c r="M1698" s="139"/>
      <c r="N1698" s="139"/>
    </row>
    <row r="1699">
      <c r="A1699" s="139" t="str">
        <f>IFERROR(__xludf.DUMMYFUNCTION("""COMPUTED_VALUE"""),"e")</f>
        <v>e</v>
      </c>
      <c r="B1699" s="139">
        <f>IFERROR(__xludf.DUMMYFUNCTION("""COMPUTED_VALUE"""),2.0250901E8)</f>
        <v>202509010</v>
      </c>
      <c r="C1699" s="139" t="str">
        <f>IFERROR(__xludf.DUMMYFUNCTION("""COMPUTED_VALUE"""),"c_spy_00201_general_vh_Boss_Blue_Normal_00000")</f>
        <v>c_spy_00201_general_vh_Boss_Blue_Normal_00000</v>
      </c>
      <c r="D1699" s="139" t="str">
        <f>IFERROR(__xludf.DUMMYFUNCTION("""COMPUTED_VALUE"""),"c_spy_00201_general_vh_Boss_Blue")</f>
        <v>c_spy_00201_general_vh_Boss_Blue</v>
      </c>
      <c r="E1699" s="139">
        <f>IFERROR(__xludf.DUMMYFUNCTION("""COMPUTED_VALUE"""),0.0)</f>
        <v>0</v>
      </c>
      <c r="F1699" s="139" t="str">
        <f>IFERROR(__xludf.DUMMYFUNCTION("""COMPUTED_VALUE"""),"Normal")</f>
        <v>Normal</v>
      </c>
      <c r="G1699" s="139"/>
      <c r="H1699" s="139"/>
      <c r="I1699" s="139">
        <f>IFERROR(__xludf.DUMMYFUNCTION("""COMPUTED_VALUE"""),71.0)</f>
        <v>71</v>
      </c>
      <c r="J1699" s="139">
        <f>IFERROR(__xludf.DUMMYFUNCTION("""COMPUTED_VALUE"""),31.0)</f>
        <v>31</v>
      </c>
      <c r="K1699" s="139">
        <f>IFERROR(__xludf.DUMMYFUNCTION("""COMPUTED_VALUE"""),100.0)</f>
        <v>100</v>
      </c>
      <c r="L1699" s="139"/>
      <c r="M1699" s="139"/>
      <c r="N1699" s="139"/>
    </row>
    <row r="1700">
      <c r="A1700" s="139" t="str">
        <f>IFERROR(__xludf.DUMMYFUNCTION("""COMPUTED_VALUE"""),"e")</f>
        <v>e</v>
      </c>
      <c r="B1700" s="139">
        <f>IFERROR(__xludf.DUMMYFUNCTION("""COMPUTED_VALUE"""),2.0250901E8)</f>
        <v>202509010</v>
      </c>
      <c r="C1700" s="139" t="str">
        <f>IFERROR(__xludf.DUMMYFUNCTION("""COMPUTED_VALUE"""),"c_spy_00201_general_vh_Boss_Blue_Appearance_00001")</f>
        <v>c_spy_00201_general_vh_Boss_Blue_Appearance_00001</v>
      </c>
      <c r="D1700" s="139" t="str">
        <f>IFERROR(__xludf.DUMMYFUNCTION("""COMPUTED_VALUE"""),"c_spy_00201_general_vh_Boss_Blue")</f>
        <v>c_spy_00201_general_vh_Boss_Blue</v>
      </c>
      <c r="E1700" s="139">
        <f>IFERROR(__xludf.DUMMYFUNCTION("""COMPUTED_VALUE"""),0.0)</f>
        <v>0</v>
      </c>
      <c r="F1700" s="139" t="str">
        <f>IFERROR(__xludf.DUMMYFUNCTION("""COMPUTED_VALUE"""),"Appearance")</f>
        <v>Appearance</v>
      </c>
      <c r="G1700" s="139"/>
      <c r="H1700" s="139"/>
      <c r="I1700" s="139">
        <f>IFERROR(__xludf.DUMMYFUNCTION("""COMPUTED_VALUE"""),50.0)</f>
        <v>50</v>
      </c>
      <c r="J1700" s="139">
        <f>IFERROR(__xludf.DUMMYFUNCTION("""COMPUTED_VALUE"""),0.0)</f>
        <v>0</v>
      </c>
      <c r="K1700" s="139">
        <f>IFERROR(__xludf.DUMMYFUNCTION("""COMPUTED_VALUE"""),0.0)</f>
        <v>0</v>
      </c>
      <c r="L1700" s="139"/>
      <c r="M1700" s="139"/>
      <c r="N1700" s="139"/>
    </row>
    <row r="1701">
      <c r="A1701" s="139" t="str">
        <f>IFERROR(__xludf.DUMMYFUNCTION("""COMPUTED_VALUE"""),"e")</f>
        <v>e</v>
      </c>
      <c r="B1701" s="139">
        <f>IFERROR(__xludf.DUMMYFUNCTION("""COMPUTED_VALUE"""),2.0250901E8)</f>
        <v>202509010</v>
      </c>
      <c r="C1701" s="139" t="str">
        <f>IFERROR(__xludf.DUMMYFUNCTION("""COMPUTED_VALUE"""),"c_spy_00201_general_vh_Boss_Blue_Special_00002")</f>
        <v>c_spy_00201_general_vh_Boss_Blue_Special_00002</v>
      </c>
      <c r="D1701" s="139" t="str">
        <f>IFERROR(__xludf.DUMMYFUNCTION("""COMPUTED_VALUE"""),"c_spy_00201_general_vh_Boss_Blue")</f>
        <v>c_spy_00201_general_vh_Boss_Blue</v>
      </c>
      <c r="E1701" s="139">
        <f>IFERROR(__xludf.DUMMYFUNCTION("""COMPUTED_VALUE"""),0.0)</f>
        <v>0</v>
      </c>
      <c r="F1701" s="139" t="str">
        <f>IFERROR(__xludf.DUMMYFUNCTION("""COMPUTED_VALUE"""),"Special")</f>
        <v>Special</v>
      </c>
      <c r="G1701" s="139"/>
      <c r="H1701" s="139"/>
      <c r="I1701" s="139">
        <f>IFERROR(__xludf.DUMMYFUNCTION("""COMPUTED_VALUE"""),125.0)</f>
        <v>125</v>
      </c>
      <c r="J1701" s="139">
        <f>IFERROR(__xludf.DUMMYFUNCTION("""COMPUTED_VALUE"""),37.0)</f>
        <v>37</v>
      </c>
      <c r="K1701" s="139">
        <f>IFERROR(__xludf.DUMMYFUNCTION("""COMPUTED_VALUE"""),0.0)</f>
        <v>0</v>
      </c>
      <c r="L1701" s="139"/>
      <c r="M1701" s="139"/>
      <c r="N1701" s="139"/>
    </row>
    <row r="1702">
      <c r="A1702" s="139" t="str">
        <f>IFERROR(__xludf.DUMMYFUNCTION("""COMPUTED_VALUE"""),"e")</f>
        <v>e</v>
      </c>
      <c r="B1702" s="139">
        <f>IFERROR(__xludf.DUMMYFUNCTION("""COMPUTED_VALUE"""),2.0250901E8)</f>
        <v>202509010</v>
      </c>
      <c r="C1702" s="139" t="str">
        <f>IFERROR(__xludf.DUMMYFUNCTION("""COMPUTED_VALUE"""),"c_spy_00201_general_vh_Boss_Yellow_Normal_00000")</f>
        <v>c_spy_00201_general_vh_Boss_Yellow_Normal_00000</v>
      </c>
      <c r="D1702" s="139" t="str">
        <f>IFERROR(__xludf.DUMMYFUNCTION("""COMPUTED_VALUE"""),"c_spy_00201_general_vh_Boss_Yellow")</f>
        <v>c_spy_00201_general_vh_Boss_Yellow</v>
      </c>
      <c r="E1702" s="139">
        <f>IFERROR(__xludf.DUMMYFUNCTION("""COMPUTED_VALUE"""),0.0)</f>
        <v>0</v>
      </c>
      <c r="F1702" s="139" t="str">
        <f>IFERROR(__xludf.DUMMYFUNCTION("""COMPUTED_VALUE"""),"Normal")</f>
        <v>Normal</v>
      </c>
      <c r="G1702" s="139"/>
      <c r="H1702" s="139"/>
      <c r="I1702" s="139">
        <f>IFERROR(__xludf.DUMMYFUNCTION("""COMPUTED_VALUE"""),71.0)</f>
        <v>71</v>
      </c>
      <c r="J1702" s="139">
        <f>IFERROR(__xludf.DUMMYFUNCTION("""COMPUTED_VALUE"""),31.0)</f>
        <v>31</v>
      </c>
      <c r="K1702" s="139">
        <f>IFERROR(__xludf.DUMMYFUNCTION("""COMPUTED_VALUE"""),100.0)</f>
        <v>100</v>
      </c>
      <c r="L1702" s="139"/>
      <c r="M1702" s="139"/>
      <c r="N1702" s="139"/>
    </row>
    <row r="1703">
      <c r="A1703" s="139" t="str">
        <f>IFERROR(__xludf.DUMMYFUNCTION("""COMPUTED_VALUE"""),"e")</f>
        <v>e</v>
      </c>
      <c r="B1703" s="139">
        <f>IFERROR(__xludf.DUMMYFUNCTION("""COMPUTED_VALUE"""),2.0250901E8)</f>
        <v>202509010</v>
      </c>
      <c r="C1703" s="139" t="str">
        <f>IFERROR(__xludf.DUMMYFUNCTION("""COMPUTED_VALUE"""),"c_spy_00201_general_vh_Boss_Yellow_Appearance_00001")</f>
        <v>c_spy_00201_general_vh_Boss_Yellow_Appearance_00001</v>
      </c>
      <c r="D1703" s="139" t="str">
        <f>IFERROR(__xludf.DUMMYFUNCTION("""COMPUTED_VALUE"""),"c_spy_00201_general_vh_Boss_Yellow")</f>
        <v>c_spy_00201_general_vh_Boss_Yellow</v>
      </c>
      <c r="E1703" s="139">
        <f>IFERROR(__xludf.DUMMYFUNCTION("""COMPUTED_VALUE"""),0.0)</f>
        <v>0</v>
      </c>
      <c r="F1703" s="139" t="str">
        <f>IFERROR(__xludf.DUMMYFUNCTION("""COMPUTED_VALUE"""),"Appearance")</f>
        <v>Appearance</v>
      </c>
      <c r="G1703" s="139"/>
      <c r="H1703" s="139"/>
      <c r="I1703" s="139">
        <f>IFERROR(__xludf.DUMMYFUNCTION("""COMPUTED_VALUE"""),50.0)</f>
        <v>50</v>
      </c>
      <c r="J1703" s="139">
        <f>IFERROR(__xludf.DUMMYFUNCTION("""COMPUTED_VALUE"""),0.0)</f>
        <v>0</v>
      </c>
      <c r="K1703" s="139">
        <f>IFERROR(__xludf.DUMMYFUNCTION("""COMPUTED_VALUE"""),0.0)</f>
        <v>0</v>
      </c>
      <c r="L1703" s="139"/>
      <c r="M1703" s="139"/>
      <c r="N1703" s="139"/>
    </row>
    <row r="1704">
      <c r="A1704" s="139" t="str">
        <f>IFERROR(__xludf.DUMMYFUNCTION("""COMPUTED_VALUE"""),"e")</f>
        <v>e</v>
      </c>
      <c r="B1704" s="139">
        <f>IFERROR(__xludf.DUMMYFUNCTION("""COMPUTED_VALUE"""),2.0250901E8)</f>
        <v>202509010</v>
      </c>
      <c r="C1704" s="139" t="str">
        <f>IFERROR(__xludf.DUMMYFUNCTION("""COMPUTED_VALUE"""),"c_spy_00201_general_vh_Boss_Yellow_Special_00002")</f>
        <v>c_spy_00201_general_vh_Boss_Yellow_Special_00002</v>
      </c>
      <c r="D1704" s="139" t="str">
        <f>IFERROR(__xludf.DUMMYFUNCTION("""COMPUTED_VALUE"""),"c_spy_00201_general_vh_Boss_Yellow")</f>
        <v>c_spy_00201_general_vh_Boss_Yellow</v>
      </c>
      <c r="E1704" s="139">
        <f>IFERROR(__xludf.DUMMYFUNCTION("""COMPUTED_VALUE"""),0.0)</f>
        <v>0</v>
      </c>
      <c r="F1704" s="139" t="str">
        <f>IFERROR(__xludf.DUMMYFUNCTION("""COMPUTED_VALUE"""),"Special")</f>
        <v>Special</v>
      </c>
      <c r="G1704" s="139"/>
      <c r="H1704" s="139"/>
      <c r="I1704" s="139">
        <f>IFERROR(__xludf.DUMMYFUNCTION("""COMPUTED_VALUE"""),125.0)</f>
        <v>125</v>
      </c>
      <c r="J1704" s="139">
        <f>IFERROR(__xludf.DUMMYFUNCTION("""COMPUTED_VALUE"""),37.0)</f>
        <v>37</v>
      </c>
      <c r="K1704" s="139">
        <f>IFERROR(__xludf.DUMMYFUNCTION("""COMPUTED_VALUE"""),0.0)</f>
        <v>0</v>
      </c>
      <c r="L1704" s="139"/>
      <c r="M1704" s="139"/>
      <c r="N1704" s="139"/>
    </row>
    <row r="1705">
      <c r="A1705" s="139" t="str">
        <f>IFERROR(__xludf.DUMMYFUNCTION("""COMPUTED_VALUE"""),"e")</f>
        <v>e</v>
      </c>
      <c r="B1705" s="139">
        <f>IFERROR(__xludf.DUMMYFUNCTION("""COMPUTED_VALUE"""),2.0250901E8)</f>
        <v>202509010</v>
      </c>
      <c r="C1705" s="139" t="str">
        <f>IFERROR(__xludf.DUMMYFUNCTION("""COMPUTED_VALUE"""),"e_glo_00001_general_h_Normal_Blue_Normal_00000")</f>
        <v>e_glo_00001_general_h_Normal_Blue_Normal_00000</v>
      </c>
      <c r="D1705" s="139" t="str">
        <f>IFERROR(__xludf.DUMMYFUNCTION("""COMPUTED_VALUE"""),"e_glo_00001_general_h_Normal_Blue")</f>
        <v>e_glo_00001_general_h_Normal_Blue</v>
      </c>
      <c r="E1705" s="139">
        <f>IFERROR(__xludf.DUMMYFUNCTION("""COMPUTED_VALUE"""),0.0)</f>
        <v>0</v>
      </c>
      <c r="F1705" s="139" t="str">
        <f>IFERROR(__xludf.DUMMYFUNCTION("""COMPUTED_VALUE"""),"Normal")</f>
        <v>Normal</v>
      </c>
      <c r="G1705" s="139"/>
      <c r="H1705" s="139"/>
      <c r="I1705" s="139">
        <f>IFERROR(__xludf.DUMMYFUNCTION("""COMPUTED_VALUE"""),50.0)</f>
        <v>50</v>
      </c>
      <c r="J1705" s="139">
        <f>IFERROR(__xludf.DUMMYFUNCTION("""COMPUTED_VALUE"""),25.0)</f>
        <v>25</v>
      </c>
      <c r="K1705" s="139">
        <f>IFERROR(__xludf.DUMMYFUNCTION("""COMPUTED_VALUE"""),100.0)</f>
        <v>100</v>
      </c>
      <c r="L1705" s="139"/>
      <c r="M1705" s="139"/>
      <c r="N1705" s="139"/>
    </row>
    <row r="1706">
      <c r="A1706" s="139" t="str">
        <f>IFERROR(__xludf.DUMMYFUNCTION("""COMPUTED_VALUE"""),"e")</f>
        <v>e</v>
      </c>
      <c r="B1706" s="139">
        <f>IFERROR(__xludf.DUMMYFUNCTION("""COMPUTED_VALUE"""),2.0250901E8)</f>
        <v>202509010</v>
      </c>
      <c r="C1706" s="139" t="str">
        <f>IFERROR(__xludf.DUMMYFUNCTION("""COMPUTED_VALUE"""),"e_glo_00001_general_vh_Normal_Colorless_Normal_00000")</f>
        <v>e_glo_00001_general_vh_Normal_Colorless_Normal_00000</v>
      </c>
      <c r="D1706" s="139" t="str">
        <f>IFERROR(__xludf.DUMMYFUNCTION("""COMPUTED_VALUE"""),"e_glo_00001_general_vh_Normal_Colorless")</f>
        <v>e_glo_00001_general_vh_Normal_Colorless</v>
      </c>
      <c r="E1706" s="139">
        <f>IFERROR(__xludf.DUMMYFUNCTION("""COMPUTED_VALUE"""),0.0)</f>
        <v>0</v>
      </c>
      <c r="F1706" s="139" t="str">
        <f>IFERROR(__xludf.DUMMYFUNCTION("""COMPUTED_VALUE"""),"Normal")</f>
        <v>Normal</v>
      </c>
      <c r="G1706" s="139"/>
      <c r="H1706" s="139"/>
      <c r="I1706" s="139">
        <f>IFERROR(__xludf.DUMMYFUNCTION("""COMPUTED_VALUE"""),50.0)</f>
        <v>50</v>
      </c>
      <c r="J1706" s="139">
        <f>IFERROR(__xludf.DUMMYFUNCTION("""COMPUTED_VALUE"""),25.0)</f>
        <v>25</v>
      </c>
      <c r="K1706" s="139">
        <f>IFERROR(__xludf.DUMMYFUNCTION("""COMPUTED_VALUE"""),100.0)</f>
        <v>100</v>
      </c>
      <c r="L1706" s="139"/>
      <c r="M1706" s="139"/>
      <c r="N1706" s="139"/>
    </row>
    <row r="1707">
      <c r="A1707" s="139" t="str">
        <f>IFERROR(__xludf.DUMMYFUNCTION("""COMPUTED_VALUE"""),"e")</f>
        <v>e</v>
      </c>
      <c r="B1707" s="139">
        <f>IFERROR(__xludf.DUMMYFUNCTION("""COMPUTED_VALUE"""),2.0250901E8)</f>
        <v>202509010</v>
      </c>
      <c r="C1707" s="139" t="str">
        <f>IFERROR(__xludf.DUMMYFUNCTION("""COMPUTED_VALUE"""),"e_glo_00001_general_vh_Normal_Blue_Normal_00000")</f>
        <v>e_glo_00001_general_vh_Normal_Blue_Normal_00000</v>
      </c>
      <c r="D1707" s="139" t="str">
        <f>IFERROR(__xludf.DUMMYFUNCTION("""COMPUTED_VALUE"""),"e_glo_00001_general_vh_Normal_Blue")</f>
        <v>e_glo_00001_general_vh_Normal_Blue</v>
      </c>
      <c r="E1707" s="139">
        <f>IFERROR(__xludf.DUMMYFUNCTION("""COMPUTED_VALUE"""),0.0)</f>
        <v>0</v>
      </c>
      <c r="F1707" s="139" t="str">
        <f>IFERROR(__xludf.DUMMYFUNCTION("""COMPUTED_VALUE"""),"Normal")</f>
        <v>Normal</v>
      </c>
      <c r="G1707" s="139"/>
      <c r="H1707" s="139"/>
      <c r="I1707" s="139">
        <f>IFERROR(__xludf.DUMMYFUNCTION("""COMPUTED_VALUE"""),50.0)</f>
        <v>50</v>
      </c>
      <c r="J1707" s="139">
        <f>IFERROR(__xludf.DUMMYFUNCTION("""COMPUTED_VALUE"""),25.0)</f>
        <v>25</v>
      </c>
      <c r="K1707" s="139">
        <f>IFERROR(__xludf.DUMMYFUNCTION("""COMPUTED_VALUE"""),100.0)</f>
        <v>100</v>
      </c>
      <c r="L1707" s="139"/>
      <c r="M1707" s="139"/>
      <c r="N1707" s="139"/>
    </row>
    <row r="1708">
      <c r="A1708" s="139" t="str">
        <f>IFERROR(__xludf.DUMMYFUNCTION("""COMPUTED_VALUE"""),"e")</f>
        <v>e</v>
      </c>
      <c r="B1708" s="139">
        <f>IFERROR(__xludf.DUMMYFUNCTION("""COMPUTED_VALUE"""),2.0250901E8)</f>
        <v>202509010</v>
      </c>
      <c r="C1708" s="139" t="str">
        <f>IFERROR(__xludf.DUMMYFUNCTION("""COMPUTED_VALUE"""),"e_glo_00001_general_vh_Normal_Yellow_Normal_00000")</f>
        <v>e_glo_00001_general_vh_Normal_Yellow_Normal_00000</v>
      </c>
      <c r="D1708" s="139" t="str">
        <f>IFERROR(__xludf.DUMMYFUNCTION("""COMPUTED_VALUE"""),"e_glo_00001_general_vh_Normal_Yellow")</f>
        <v>e_glo_00001_general_vh_Normal_Yellow</v>
      </c>
      <c r="E1708" s="139">
        <f>IFERROR(__xludf.DUMMYFUNCTION("""COMPUTED_VALUE"""),0.0)</f>
        <v>0</v>
      </c>
      <c r="F1708" s="139" t="str">
        <f>IFERROR(__xludf.DUMMYFUNCTION("""COMPUTED_VALUE"""),"Normal")</f>
        <v>Normal</v>
      </c>
      <c r="G1708" s="139"/>
      <c r="H1708" s="139"/>
      <c r="I1708" s="139">
        <f>IFERROR(__xludf.DUMMYFUNCTION("""COMPUTED_VALUE"""),50.0)</f>
        <v>50</v>
      </c>
      <c r="J1708" s="139">
        <f>IFERROR(__xludf.DUMMYFUNCTION("""COMPUTED_VALUE"""),25.0)</f>
        <v>25</v>
      </c>
      <c r="K1708" s="139">
        <f>IFERROR(__xludf.DUMMYFUNCTION("""COMPUTED_VALUE"""),100.0)</f>
        <v>100</v>
      </c>
      <c r="L1708" s="139"/>
      <c r="M1708" s="139"/>
      <c r="N1708" s="139"/>
    </row>
    <row r="1709">
      <c r="A1709" s="139" t="str">
        <f>IFERROR(__xludf.DUMMYFUNCTION("""COMPUTED_VALUE"""),"e")</f>
        <v>e</v>
      </c>
      <c r="B1709" s="139">
        <f>IFERROR(__xludf.DUMMYFUNCTION("""COMPUTED_VALUE"""),2.0250901E8)</f>
        <v>202509010</v>
      </c>
      <c r="C1709" s="139" t="str">
        <f>IFERROR(__xludf.DUMMYFUNCTION("""COMPUTED_VALUE"""),"e_glo_00101_general_vh_Boss_Colorless_Appearance_00000")</f>
        <v>e_glo_00101_general_vh_Boss_Colorless_Appearance_00000</v>
      </c>
      <c r="D1709" s="139" t="str">
        <f>IFERROR(__xludf.DUMMYFUNCTION("""COMPUTED_VALUE"""),"e_glo_00101_general_vh_Boss_Colorless")</f>
        <v>e_glo_00101_general_vh_Boss_Colorless</v>
      </c>
      <c r="E1709" s="139">
        <f>IFERROR(__xludf.DUMMYFUNCTION("""COMPUTED_VALUE"""),0.0)</f>
        <v>0</v>
      </c>
      <c r="F1709" s="139" t="str">
        <f>IFERROR(__xludf.DUMMYFUNCTION("""COMPUTED_VALUE"""),"Appearance")</f>
        <v>Appearance</v>
      </c>
      <c r="G1709" s="139"/>
      <c r="H1709" s="139"/>
      <c r="I1709" s="139">
        <f>IFERROR(__xludf.DUMMYFUNCTION("""COMPUTED_VALUE"""),50.0)</f>
        <v>50</v>
      </c>
      <c r="J1709" s="139">
        <f>IFERROR(__xludf.DUMMYFUNCTION("""COMPUTED_VALUE"""),0.0)</f>
        <v>0</v>
      </c>
      <c r="K1709" s="139">
        <f>IFERROR(__xludf.DUMMYFUNCTION("""COMPUTED_VALUE"""),0.0)</f>
        <v>0</v>
      </c>
      <c r="L1709" s="139"/>
      <c r="M1709" s="139"/>
      <c r="N1709" s="139"/>
    </row>
    <row r="1710">
      <c r="A1710" s="139" t="str">
        <f>IFERROR(__xludf.DUMMYFUNCTION("""COMPUTED_VALUE"""),"e")</f>
        <v>e</v>
      </c>
      <c r="B1710" s="139">
        <f>IFERROR(__xludf.DUMMYFUNCTION("""COMPUTED_VALUE"""),2.0250901E8)</f>
        <v>202509010</v>
      </c>
      <c r="C1710" s="139" t="str">
        <f>IFERROR(__xludf.DUMMYFUNCTION("""COMPUTED_VALUE"""),"e_glo_00101_general_vh_Boss_Colorless_Normal_00001")</f>
        <v>e_glo_00101_general_vh_Boss_Colorless_Normal_00001</v>
      </c>
      <c r="D1710" s="139" t="str">
        <f>IFERROR(__xludf.DUMMYFUNCTION("""COMPUTED_VALUE"""),"e_glo_00101_general_vh_Boss_Colorless")</f>
        <v>e_glo_00101_general_vh_Boss_Colorless</v>
      </c>
      <c r="E1710" s="139">
        <f>IFERROR(__xludf.DUMMYFUNCTION("""COMPUTED_VALUE"""),0.0)</f>
        <v>0</v>
      </c>
      <c r="F1710" s="139" t="str">
        <f>IFERROR(__xludf.DUMMYFUNCTION("""COMPUTED_VALUE"""),"Normal")</f>
        <v>Normal</v>
      </c>
      <c r="G1710" s="139"/>
      <c r="H1710" s="139"/>
      <c r="I1710" s="139">
        <f>IFERROR(__xludf.DUMMYFUNCTION("""COMPUTED_VALUE"""),59.0)</f>
        <v>59</v>
      </c>
      <c r="J1710" s="139">
        <f>IFERROR(__xludf.DUMMYFUNCTION("""COMPUTED_VALUE"""),28.0)</f>
        <v>28</v>
      </c>
      <c r="K1710" s="139">
        <f>IFERROR(__xludf.DUMMYFUNCTION("""COMPUTED_VALUE"""),200.0)</f>
        <v>200</v>
      </c>
      <c r="L1710" s="139"/>
      <c r="M1710" s="139"/>
      <c r="N1710" s="139"/>
    </row>
    <row r="1711">
      <c r="A1711" s="139"/>
      <c r="B1711" s="139"/>
      <c r="C1711" s="139"/>
      <c r="D1711" s="139"/>
      <c r="E1711" s="139"/>
      <c r="F1711" s="139"/>
      <c r="G1711" s="139"/>
      <c r="H1711" s="139"/>
      <c r="I1711" s="139"/>
      <c r="J1711" s="139"/>
      <c r="K1711" s="139"/>
      <c r="L1711" s="139"/>
      <c r="M1711" s="139"/>
      <c r="N1711" s="139"/>
    </row>
    <row r="1712">
      <c r="A1712" s="139" t="str">
        <f>IFERROR(__xludf.DUMMYFUNCTION("""COMPUTED_VALUE"""),"e")</f>
        <v>e</v>
      </c>
      <c r="B1712" s="139">
        <f>IFERROR(__xludf.DUMMYFUNCTION("""COMPUTED_VALUE"""),2.0250901E8)</f>
        <v>202509010</v>
      </c>
      <c r="C1712" s="139" t="str">
        <f>IFERROR(__xludf.DUMMYFUNCTION("""COMPUTED_VALUE"""),"e_gom_01001_general_n_Normal_Colorless_Normal_00000")</f>
        <v>e_gom_01001_general_n_Normal_Colorless_Normal_00000</v>
      </c>
      <c r="D1712" s="139" t="str">
        <f>IFERROR(__xludf.DUMMYFUNCTION("""COMPUTED_VALUE"""),"e_gom_01001_general_n_Normal_Colorless")</f>
        <v>e_gom_01001_general_n_Normal_Colorless</v>
      </c>
      <c r="E1712" s="139">
        <f>IFERROR(__xludf.DUMMYFUNCTION("""COMPUTED_VALUE"""),0.0)</f>
        <v>0</v>
      </c>
      <c r="F1712" s="139" t="str">
        <f>IFERROR(__xludf.DUMMYFUNCTION("""COMPUTED_VALUE"""),"Normal")</f>
        <v>Normal</v>
      </c>
      <c r="G1712" s="139"/>
      <c r="H1712" s="139"/>
      <c r="I1712" s="139">
        <f>IFERROR(__xludf.DUMMYFUNCTION("""COMPUTED_VALUE"""),50.0)</f>
        <v>50</v>
      </c>
      <c r="J1712" s="139">
        <f>IFERROR(__xludf.DUMMYFUNCTION("""COMPUTED_VALUE"""),42.0)</f>
        <v>42</v>
      </c>
      <c r="K1712" s="139">
        <f>IFERROR(__xludf.DUMMYFUNCTION("""COMPUTED_VALUE"""),50.0)</f>
        <v>50</v>
      </c>
      <c r="L1712" s="139"/>
      <c r="M1712" s="139"/>
      <c r="N1712" s="139"/>
    </row>
    <row r="1713">
      <c r="A1713" s="139" t="str">
        <f>IFERROR(__xludf.DUMMYFUNCTION("""COMPUTED_VALUE"""),"e")</f>
        <v>e</v>
      </c>
      <c r="B1713" s="139">
        <f>IFERROR(__xludf.DUMMYFUNCTION("""COMPUTED_VALUE"""),2.0250901E8)</f>
        <v>202509010</v>
      </c>
      <c r="C1713" s="139" t="str">
        <f>IFERROR(__xludf.DUMMYFUNCTION("""COMPUTED_VALUE"""),"e_gom_01001_general_n_Normal_Yellow_Normal_00000")</f>
        <v>e_gom_01001_general_n_Normal_Yellow_Normal_00000</v>
      </c>
      <c r="D1713" s="139" t="str">
        <f>IFERROR(__xludf.DUMMYFUNCTION("""COMPUTED_VALUE"""),"e_gom_01001_general_n_Normal_Yellow")</f>
        <v>e_gom_01001_general_n_Normal_Yellow</v>
      </c>
      <c r="E1713" s="139">
        <f>IFERROR(__xludf.DUMMYFUNCTION("""COMPUTED_VALUE"""),0.0)</f>
        <v>0</v>
      </c>
      <c r="F1713" s="139" t="str">
        <f>IFERROR(__xludf.DUMMYFUNCTION("""COMPUTED_VALUE"""),"Normal")</f>
        <v>Normal</v>
      </c>
      <c r="G1713" s="139"/>
      <c r="H1713" s="139"/>
      <c r="I1713" s="139">
        <f>IFERROR(__xludf.DUMMYFUNCTION("""COMPUTED_VALUE"""),50.0)</f>
        <v>50</v>
      </c>
      <c r="J1713" s="139">
        <f>IFERROR(__xludf.DUMMYFUNCTION("""COMPUTED_VALUE"""),42.0)</f>
        <v>42</v>
      </c>
      <c r="K1713" s="139">
        <f>IFERROR(__xludf.DUMMYFUNCTION("""COMPUTED_VALUE"""),50.0)</f>
        <v>50</v>
      </c>
      <c r="L1713" s="139"/>
      <c r="M1713" s="139"/>
      <c r="N1713" s="139"/>
    </row>
    <row r="1714">
      <c r="A1714" s="139" t="str">
        <f>IFERROR(__xludf.DUMMYFUNCTION("""COMPUTED_VALUE"""),"e")</f>
        <v>e</v>
      </c>
      <c r="B1714" s="139">
        <f>IFERROR(__xludf.DUMMYFUNCTION("""COMPUTED_VALUE"""),2.0250901E8)</f>
        <v>202509010</v>
      </c>
      <c r="C1714" s="139" t="str">
        <f>IFERROR(__xludf.DUMMYFUNCTION("""COMPUTED_VALUE"""),"e_gom_01001_general_h_Boss_Colorless_Normal_00000")</f>
        <v>e_gom_01001_general_h_Boss_Colorless_Normal_00000</v>
      </c>
      <c r="D1714" s="139" t="str">
        <f>IFERROR(__xludf.DUMMYFUNCTION("""COMPUTED_VALUE"""),"e_gom_01001_general_h_Boss_Colorless")</f>
        <v>e_gom_01001_general_h_Boss_Colorless</v>
      </c>
      <c r="E1714" s="139">
        <f>IFERROR(__xludf.DUMMYFUNCTION("""COMPUTED_VALUE"""),0.0)</f>
        <v>0</v>
      </c>
      <c r="F1714" s="139" t="str">
        <f>IFERROR(__xludf.DUMMYFUNCTION("""COMPUTED_VALUE"""),"Normal")</f>
        <v>Normal</v>
      </c>
      <c r="G1714" s="139"/>
      <c r="H1714" s="139"/>
      <c r="I1714" s="139">
        <f>IFERROR(__xludf.DUMMYFUNCTION("""COMPUTED_VALUE"""),50.0)</f>
        <v>50</v>
      </c>
      <c r="J1714" s="139">
        <f>IFERROR(__xludf.DUMMYFUNCTION("""COMPUTED_VALUE"""),42.0)</f>
        <v>42</v>
      </c>
      <c r="K1714" s="139">
        <f>IFERROR(__xludf.DUMMYFUNCTION("""COMPUTED_VALUE"""),50.0)</f>
        <v>50</v>
      </c>
      <c r="L1714" s="139"/>
      <c r="M1714" s="139"/>
      <c r="N1714" s="139"/>
    </row>
    <row r="1715">
      <c r="A1715" s="139" t="str">
        <f>IFERROR(__xludf.DUMMYFUNCTION("""COMPUTED_VALUE"""),"e")</f>
        <v>e</v>
      </c>
      <c r="B1715" s="139">
        <f>IFERROR(__xludf.DUMMYFUNCTION("""COMPUTED_VALUE"""),2.0250901E8)</f>
        <v>202509010</v>
      </c>
      <c r="C1715" s="139" t="str">
        <f>IFERROR(__xludf.DUMMYFUNCTION("""COMPUTED_VALUE"""),"e_gom_01001_general_h_Boss_Colorless_Appearance_00001")</f>
        <v>e_gom_01001_general_h_Boss_Colorless_Appearance_00001</v>
      </c>
      <c r="D1715" s="139" t="str">
        <f>IFERROR(__xludf.DUMMYFUNCTION("""COMPUTED_VALUE"""),"e_gom_01001_general_h_Boss_Colorless")</f>
        <v>e_gom_01001_general_h_Boss_Colorless</v>
      </c>
      <c r="E1715" s="139">
        <f>IFERROR(__xludf.DUMMYFUNCTION("""COMPUTED_VALUE"""),0.0)</f>
        <v>0</v>
      </c>
      <c r="F1715" s="139" t="str">
        <f>IFERROR(__xludf.DUMMYFUNCTION("""COMPUTED_VALUE"""),"Appearance")</f>
        <v>Appearance</v>
      </c>
      <c r="G1715" s="139"/>
      <c r="H1715" s="139"/>
      <c r="I1715" s="139">
        <f>IFERROR(__xludf.DUMMYFUNCTION("""COMPUTED_VALUE"""),50.0)</f>
        <v>50</v>
      </c>
      <c r="J1715" s="139">
        <f>IFERROR(__xludf.DUMMYFUNCTION("""COMPUTED_VALUE"""),0.0)</f>
        <v>0</v>
      </c>
      <c r="K1715" s="139">
        <f>IFERROR(__xludf.DUMMYFUNCTION("""COMPUTED_VALUE"""),0.0)</f>
        <v>0</v>
      </c>
      <c r="L1715" s="139"/>
      <c r="M1715" s="139"/>
      <c r="N1715" s="139"/>
    </row>
    <row r="1716">
      <c r="A1716" s="139" t="str">
        <f>IFERROR(__xludf.DUMMYFUNCTION("""COMPUTED_VALUE"""),"e")</f>
        <v>e</v>
      </c>
      <c r="B1716" s="139">
        <f>IFERROR(__xludf.DUMMYFUNCTION("""COMPUTED_VALUE"""),2.0250901E8)</f>
        <v>202509010</v>
      </c>
      <c r="C1716" s="139" t="str">
        <f>IFERROR(__xludf.DUMMYFUNCTION("""COMPUTED_VALUE"""),"e_gom_01001_general_vh_Normal_Red_Normal_00000")</f>
        <v>e_gom_01001_general_vh_Normal_Red_Normal_00000</v>
      </c>
      <c r="D1716" s="139" t="str">
        <f>IFERROR(__xludf.DUMMYFUNCTION("""COMPUTED_VALUE"""),"e_gom_01001_general_vh_Normal_Red")</f>
        <v>e_gom_01001_general_vh_Normal_Red</v>
      </c>
      <c r="E1716" s="139">
        <f>IFERROR(__xludf.DUMMYFUNCTION("""COMPUTED_VALUE"""),0.0)</f>
        <v>0</v>
      </c>
      <c r="F1716" s="139" t="str">
        <f>IFERROR(__xludf.DUMMYFUNCTION("""COMPUTED_VALUE"""),"Normal")</f>
        <v>Normal</v>
      </c>
      <c r="G1716" s="139"/>
      <c r="H1716" s="139"/>
      <c r="I1716" s="139">
        <f>IFERROR(__xludf.DUMMYFUNCTION("""COMPUTED_VALUE"""),50.0)</f>
        <v>50</v>
      </c>
      <c r="J1716" s="139">
        <f>IFERROR(__xludf.DUMMYFUNCTION("""COMPUTED_VALUE"""),42.0)</f>
        <v>42</v>
      </c>
      <c r="K1716" s="139">
        <f>IFERROR(__xludf.DUMMYFUNCTION("""COMPUTED_VALUE"""),50.0)</f>
        <v>50</v>
      </c>
      <c r="L1716" s="139"/>
      <c r="M1716" s="139"/>
      <c r="N1716" s="139"/>
    </row>
    <row r="1717">
      <c r="A1717" s="139" t="str">
        <f>IFERROR(__xludf.DUMMYFUNCTION("""COMPUTED_VALUE"""),"e")</f>
        <v>e</v>
      </c>
      <c r="B1717" s="139">
        <f>IFERROR(__xludf.DUMMYFUNCTION("""COMPUTED_VALUE"""),2.0250901E8)</f>
        <v>202509010</v>
      </c>
      <c r="C1717" s="139" t="str">
        <f>IFERROR(__xludf.DUMMYFUNCTION("""COMPUTED_VALUE"""),"e_gom_01001_general_vh_Normal_Blue_Normal_00000")</f>
        <v>e_gom_01001_general_vh_Normal_Blue_Normal_00000</v>
      </c>
      <c r="D1717" s="139" t="str">
        <f>IFERROR(__xludf.DUMMYFUNCTION("""COMPUTED_VALUE"""),"e_gom_01001_general_vh_Normal_Blue")</f>
        <v>e_gom_01001_general_vh_Normal_Blue</v>
      </c>
      <c r="E1717" s="139">
        <f>IFERROR(__xludf.DUMMYFUNCTION("""COMPUTED_VALUE"""),0.0)</f>
        <v>0</v>
      </c>
      <c r="F1717" s="139" t="str">
        <f>IFERROR(__xludf.DUMMYFUNCTION("""COMPUTED_VALUE"""),"Normal")</f>
        <v>Normal</v>
      </c>
      <c r="G1717" s="139"/>
      <c r="H1717" s="139"/>
      <c r="I1717" s="139">
        <f>IFERROR(__xludf.DUMMYFUNCTION("""COMPUTED_VALUE"""),50.0)</f>
        <v>50</v>
      </c>
      <c r="J1717" s="139">
        <f>IFERROR(__xludf.DUMMYFUNCTION("""COMPUTED_VALUE"""),42.0)</f>
        <v>42</v>
      </c>
      <c r="K1717" s="139">
        <f>IFERROR(__xludf.DUMMYFUNCTION("""COMPUTED_VALUE"""),50.0)</f>
        <v>50</v>
      </c>
      <c r="L1717" s="139"/>
      <c r="M1717" s="139"/>
      <c r="N1717" s="139"/>
    </row>
    <row r="1718">
      <c r="A1718" s="139" t="str">
        <f>IFERROR(__xludf.DUMMYFUNCTION("""COMPUTED_VALUE"""),"e")</f>
        <v>e</v>
      </c>
      <c r="B1718" s="139">
        <f>IFERROR(__xludf.DUMMYFUNCTION("""COMPUTED_VALUE"""),2.0250901E8)</f>
        <v>202509010</v>
      </c>
      <c r="C1718" s="139" t="str">
        <f>IFERROR(__xludf.DUMMYFUNCTION("""COMPUTED_VALUE"""),"e_gom_01001_general_vh_Normal_Yellow_Normal_00000")</f>
        <v>e_gom_01001_general_vh_Normal_Yellow_Normal_00000</v>
      </c>
      <c r="D1718" s="139" t="str">
        <f>IFERROR(__xludf.DUMMYFUNCTION("""COMPUTED_VALUE"""),"e_gom_01001_general_vh_Normal_Yellow")</f>
        <v>e_gom_01001_general_vh_Normal_Yellow</v>
      </c>
      <c r="E1718" s="139">
        <f>IFERROR(__xludf.DUMMYFUNCTION("""COMPUTED_VALUE"""),0.0)</f>
        <v>0</v>
      </c>
      <c r="F1718" s="139" t="str">
        <f>IFERROR(__xludf.DUMMYFUNCTION("""COMPUTED_VALUE"""),"Normal")</f>
        <v>Normal</v>
      </c>
      <c r="G1718" s="139"/>
      <c r="H1718" s="139"/>
      <c r="I1718" s="139">
        <f>IFERROR(__xludf.DUMMYFUNCTION("""COMPUTED_VALUE"""),50.0)</f>
        <v>50</v>
      </c>
      <c r="J1718" s="139">
        <f>IFERROR(__xludf.DUMMYFUNCTION("""COMPUTED_VALUE"""),42.0)</f>
        <v>42</v>
      </c>
      <c r="K1718" s="139">
        <f>IFERROR(__xludf.DUMMYFUNCTION("""COMPUTED_VALUE"""),50.0)</f>
        <v>50</v>
      </c>
      <c r="L1718" s="139"/>
      <c r="M1718" s="139"/>
      <c r="N1718" s="139"/>
    </row>
    <row r="1719">
      <c r="A1719" s="139" t="str">
        <f>IFERROR(__xludf.DUMMYFUNCTION("""COMPUTED_VALUE"""),"e")</f>
        <v>e</v>
      </c>
      <c r="B1719" s="139">
        <f>IFERROR(__xludf.DUMMYFUNCTION("""COMPUTED_VALUE"""),2.0250901E8)</f>
        <v>202509010</v>
      </c>
      <c r="C1719" s="139" t="str">
        <f>IFERROR(__xludf.DUMMYFUNCTION("""COMPUTED_VALUE"""),"e_gom_01001_general_vh_Boss_Yellow_Normal_00000")</f>
        <v>e_gom_01001_general_vh_Boss_Yellow_Normal_00000</v>
      </c>
      <c r="D1719" s="139" t="str">
        <f>IFERROR(__xludf.DUMMYFUNCTION("""COMPUTED_VALUE"""),"e_gom_01001_general_vh_Boss_Yellow")</f>
        <v>e_gom_01001_general_vh_Boss_Yellow</v>
      </c>
      <c r="E1719" s="139">
        <f>IFERROR(__xludf.DUMMYFUNCTION("""COMPUTED_VALUE"""),0.0)</f>
        <v>0</v>
      </c>
      <c r="F1719" s="139" t="str">
        <f>IFERROR(__xludf.DUMMYFUNCTION("""COMPUTED_VALUE"""),"Normal")</f>
        <v>Normal</v>
      </c>
      <c r="G1719" s="139"/>
      <c r="H1719" s="139"/>
      <c r="I1719" s="139">
        <f>IFERROR(__xludf.DUMMYFUNCTION("""COMPUTED_VALUE"""),50.0)</f>
        <v>50</v>
      </c>
      <c r="J1719" s="139">
        <f>IFERROR(__xludf.DUMMYFUNCTION("""COMPUTED_VALUE"""),42.0)</f>
        <v>42</v>
      </c>
      <c r="K1719" s="139">
        <f>IFERROR(__xludf.DUMMYFUNCTION("""COMPUTED_VALUE"""),50.0)</f>
        <v>50</v>
      </c>
      <c r="L1719" s="139"/>
      <c r="M1719" s="139"/>
      <c r="N1719" s="139"/>
    </row>
    <row r="1720">
      <c r="A1720" s="139" t="str">
        <f>IFERROR(__xludf.DUMMYFUNCTION("""COMPUTED_VALUE"""),"e")</f>
        <v>e</v>
      </c>
      <c r="B1720" s="139">
        <f>IFERROR(__xludf.DUMMYFUNCTION("""COMPUTED_VALUE"""),2.0250901E8)</f>
        <v>202509010</v>
      </c>
      <c r="C1720" s="139" t="str">
        <f>IFERROR(__xludf.DUMMYFUNCTION("""COMPUTED_VALUE"""),"e_gom_01001_general_vh_Boss_Yellow_Appearance_00001")</f>
        <v>e_gom_01001_general_vh_Boss_Yellow_Appearance_00001</v>
      </c>
      <c r="D1720" s="139" t="str">
        <f>IFERROR(__xludf.DUMMYFUNCTION("""COMPUTED_VALUE"""),"e_gom_01001_general_vh_Boss_Yellow")</f>
        <v>e_gom_01001_general_vh_Boss_Yellow</v>
      </c>
      <c r="E1720" s="139">
        <f>IFERROR(__xludf.DUMMYFUNCTION("""COMPUTED_VALUE"""),0.0)</f>
        <v>0</v>
      </c>
      <c r="F1720" s="139" t="str">
        <f>IFERROR(__xludf.DUMMYFUNCTION("""COMPUTED_VALUE"""),"Appearance")</f>
        <v>Appearance</v>
      </c>
      <c r="G1720" s="139"/>
      <c r="H1720" s="139"/>
      <c r="I1720" s="139">
        <f>IFERROR(__xludf.DUMMYFUNCTION("""COMPUTED_VALUE"""),50.0)</f>
        <v>50</v>
      </c>
      <c r="J1720" s="139">
        <f>IFERROR(__xludf.DUMMYFUNCTION("""COMPUTED_VALUE"""),0.0)</f>
        <v>0</v>
      </c>
      <c r="K1720" s="139">
        <f>IFERROR(__xludf.DUMMYFUNCTION("""COMPUTED_VALUE"""),0.0)</f>
        <v>0</v>
      </c>
      <c r="L1720" s="139"/>
      <c r="M1720" s="139"/>
      <c r="N1720" s="139"/>
    </row>
    <row r="1721">
      <c r="A1721" s="139" t="str">
        <f>IFERROR(__xludf.DUMMYFUNCTION("""COMPUTED_VALUE"""),"e")</f>
        <v>e</v>
      </c>
      <c r="B1721" s="139">
        <f>IFERROR(__xludf.DUMMYFUNCTION("""COMPUTED_VALUE"""),2.0250901E8)</f>
        <v>202509010</v>
      </c>
      <c r="C1721" s="139" t="str">
        <f>IFERROR(__xludf.DUMMYFUNCTION("""COMPUTED_VALUE"""),"e_gom_01002_general_n_Normal_Colorless_Normal_00000")</f>
        <v>e_gom_01002_general_n_Normal_Colorless_Normal_00000</v>
      </c>
      <c r="D1721" s="139" t="str">
        <f>IFERROR(__xludf.DUMMYFUNCTION("""COMPUTED_VALUE"""),"e_gom_01002_general_n_Normal_Colorless")</f>
        <v>e_gom_01002_general_n_Normal_Colorless</v>
      </c>
      <c r="E1721" s="139">
        <f>IFERROR(__xludf.DUMMYFUNCTION("""COMPUTED_VALUE"""),0.0)</f>
        <v>0</v>
      </c>
      <c r="F1721" s="139" t="str">
        <f>IFERROR(__xludf.DUMMYFUNCTION("""COMPUTED_VALUE"""),"Normal")</f>
        <v>Normal</v>
      </c>
      <c r="G1721" s="139"/>
      <c r="H1721" s="139"/>
      <c r="I1721" s="139">
        <f>IFERROR(__xludf.DUMMYFUNCTION("""COMPUTED_VALUE"""),50.0)</f>
        <v>50</v>
      </c>
      <c r="J1721" s="139">
        <f>IFERROR(__xludf.DUMMYFUNCTION("""COMPUTED_VALUE"""),42.0)</f>
        <v>42</v>
      </c>
      <c r="K1721" s="139">
        <f>IFERROR(__xludf.DUMMYFUNCTION("""COMPUTED_VALUE"""),100.0)</f>
        <v>100</v>
      </c>
      <c r="L1721" s="139"/>
      <c r="M1721" s="139"/>
      <c r="N1721" s="139"/>
    </row>
    <row r="1722">
      <c r="A1722" s="139" t="str">
        <f>IFERROR(__xludf.DUMMYFUNCTION("""COMPUTED_VALUE"""),"e")</f>
        <v>e</v>
      </c>
      <c r="B1722" s="139">
        <f>IFERROR(__xludf.DUMMYFUNCTION("""COMPUTED_VALUE"""),2.0250901E8)</f>
        <v>202509010</v>
      </c>
      <c r="C1722" s="139" t="str">
        <f>IFERROR(__xludf.DUMMYFUNCTION("""COMPUTED_VALUE"""),"e_gom_01002_general_n_Normal_Yellow_Normal_00000")</f>
        <v>e_gom_01002_general_n_Normal_Yellow_Normal_00000</v>
      </c>
      <c r="D1722" s="139" t="str">
        <f>IFERROR(__xludf.DUMMYFUNCTION("""COMPUTED_VALUE"""),"e_gom_01002_general_n_Normal_Yellow")</f>
        <v>e_gom_01002_general_n_Normal_Yellow</v>
      </c>
      <c r="E1722" s="139">
        <f>IFERROR(__xludf.DUMMYFUNCTION("""COMPUTED_VALUE"""),0.0)</f>
        <v>0</v>
      </c>
      <c r="F1722" s="139" t="str">
        <f>IFERROR(__xludf.DUMMYFUNCTION("""COMPUTED_VALUE"""),"Normal")</f>
        <v>Normal</v>
      </c>
      <c r="G1722" s="139"/>
      <c r="H1722" s="139"/>
      <c r="I1722" s="139">
        <f>IFERROR(__xludf.DUMMYFUNCTION("""COMPUTED_VALUE"""),50.0)</f>
        <v>50</v>
      </c>
      <c r="J1722" s="139">
        <f>IFERROR(__xludf.DUMMYFUNCTION("""COMPUTED_VALUE"""),42.0)</f>
        <v>42</v>
      </c>
      <c r="K1722" s="139">
        <f>IFERROR(__xludf.DUMMYFUNCTION("""COMPUTED_VALUE"""),100.0)</f>
        <v>100</v>
      </c>
      <c r="L1722" s="139"/>
      <c r="M1722" s="139"/>
      <c r="N1722" s="139"/>
    </row>
    <row r="1723">
      <c r="A1723" s="139" t="str">
        <f>IFERROR(__xludf.DUMMYFUNCTION("""COMPUTED_VALUE"""),"e")</f>
        <v>e</v>
      </c>
      <c r="B1723" s="139">
        <f>IFERROR(__xludf.DUMMYFUNCTION("""COMPUTED_VALUE"""),2.0250901E8)</f>
        <v>202509010</v>
      </c>
      <c r="C1723" s="139" t="str">
        <f>IFERROR(__xludf.DUMMYFUNCTION("""COMPUTED_VALUE"""),"e_gom_01002_general_vh_Normal_Red_Normal_00000")</f>
        <v>e_gom_01002_general_vh_Normal_Red_Normal_00000</v>
      </c>
      <c r="D1723" s="139" t="str">
        <f>IFERROR(__xludf.DUMMYFUNCTION("""COMPUTED_VALUE"""),"e_gom_01002_general_vh_Normal_Red")</f>
        <v>e_gom_01002_general_vh_Normal_Red</v>
      </c>
      <c r="E1723" s="139">
        <f>IFERROR(__xludf.DUMMYFUNCTION("""COMPUTED_VALUE"""),0.0)</f>
        <v>0</v>
      </c>
      <c r="F1723" s="139" t="str">
        <f>IFERROR(__xludf.DUMMYFUNCTION("""COMPUTED_VALUE"""),"Normal")</f>
        <v>Normal</v>
      </c>
      <c r="G1723" s="139"/>
      <c r="H1723" s="139"/>
      <c r="I1723" s="139">
        <f>IFERROR(__xludf.DUMMYFUNCTION("""COMPUTED_VALUE"""),50.0)</f>
        <v>50</v>
      </c>
      <c r="J1723" s="139">
        <f>IFERROR(__xludf.DUMMYFUNCTION("""COMPUTED_VALUE"""),42.0)</f>
        <v>42</v>
      </c>
      <c r="K1723" s="139">
        <f>IFERROR(__xludf.DUMMYFUNCTION("""COMPUTED_VALUE"""),100.0)</f>
        <v>100</v>
      </c>
      <c r="L1723" s="139"/>
      <c r="M1723" s="139"/>
      <c r="N1723" s="139"/>
    </row>
    <row r="1724">
      <c r="A1724" s="139" t="str">
        <f>IFERROR(__xludf.DUMMYFUNCTION("""COMPUTED_VALUE"""),"e")</f>
        <v>e</v>
      </c>
      <c r="B1724" s="139">
        <f>IFERROR(__xludf.DUMMYFUNCTION("""COMPUTED_VALUE"""),2.0250901E8)</f>
        <v>202509010</v>
      </c>
      <c r="C1724" s="139" t="str">
        <f>IFERROR(__xludf.DUMMYFUNCTION("""COMPUTED_VALUE"""),"e_gom_01002_general_vh_Normal_Blue_Normal_00000")</f>
        <v>e_gom_01002_general_vh_Normal_Blue_Normal_00000</v>
      </c>
      <c r="D1724" s="139" t="str">
        <f>IFERROR(__xludf.DUMMYFUNCTION("""COMPUTED_VALUE"""),"e_gom_01002_general_vh_Normal_Blue")</f>
        <v>e_gom_01002_general_vh_Normal_Blue</v>
      </c>
      <c r="E1724" s="139">
        <f>IFERROR(__xludf.DUMMYFUNCTION("""COMPUTED_VALUE"""),0.0)</f>
        <v>0</v>
      </c>
      <c r="F1724" s="139" t="str">
        <f>IFERROR(__xludf.DUMMYFUNCTION("""COMPUTED_VALUE"""),"Normal")</f>
        <v>Normal</v>
      </c>
      <c r="G1724" s="139"/>
      <c r="H1724" s="139"/>
      <c r="I1724" s="139">
        <f>IFERROR(__xludf.DUMMYFUNCTION("""COMPUTED_VALUE"""),50.0)</f>
        <v>50</v>
      </c>
      <c r="J1724" s="139">
        <f>IFERROR(__xludf.DUMMYFUNCTION("""COMPUTED_VALUE"""),42.0)</f>
        <v>42</v>
      </c>
      <c r="K1724" s="139">
        <f>IFERROR(__xludf.DUMMYFUNCTION("""COMPUTED_VALUE"""),100.0)</f>
        <v>100</v>
      </c>
      <c r="L1724" s="139"/>
      <c r="M1724" s="139"/>
      <c r="N1724" s="139"/>
    </row>
    <row r="1725">
      <c r="A1725" s="139" t="str">
        <f>IFERROR(__xludf.DUMMYFUNCTION("""COMPUTED_VALUE"""),"e")</f>
        <v>e</v>
      </c>
      <c r="B1725" s="139">
        <f>IFERROR(__xludf.DUMMYFUNCTION("""COMPUTED_VALUE"""),2.0250901E8)</f>
        <v>202509010</v>
      </c>
      <c r="C1725" s="139" t="str">
        <f>IFERROR(__xludf.DUMMYFUNCTION("""COMPUTED_VALUE"""),"e_gom_01002_general_vh_Normal_Yellow_Normal_00000")</f>
        <v>e_gom_01002_general_vh_Normal_Yellow_Normal_00000</v>
      </c>
      <c r="D1725" s="139" t="str">
        <f>IFERROR(__xludf.DUMMYFUNCTION("""COMPUTED_VALUE"""),"e_gom_01002_general_vh_Normal_Yellow")</f>
        <v>e_gom_01002_general_vh_Normal_Yellow</v>
      </c>
      <c r="E1725" s="139">
        <f>IFERROR(__xludf.DUMMYFUNCTION("""COMPUTED_VALUE"""),0.0)</f>
        <v>0</v>
      </c>
      <c r="F1725" s="139" t="str">
        <f>IFERROR(__xludf.DUMMYFUNCTION("""COMPUTED_VALUE"""),"Normal")</f>
        <v>Normal</v>
      </c>
      <c r="G1725" s="139"/>
      <c r="H1725" s="139"/>
      <c r="I1725" s="139">
        <f>IFERROR(__xludf.DUMMYFUNCTION("""COMPUTED_VALUE"""),50.0)</f>
        <v>50</v>
      </c>
      <c r="J1725" s="139">
        <f>IFERROR(__xludf.DUMMYFUNCTION("""COMPUTED_VALUE"""),42.0)</f>
        <v>42</v>
      </c>
      <c r="K1725" s="139">
        <f>IFERROR(__xludf.DUMMYFUNCTION("""COMPUTED_VALUE"""),100.0)</f>
        <v>100</v>
      </c>
      <c r="L1725" s="139"/>
      <c r="M1725" s="139"/>
      <c r="N1725" s="139"/>
    </row>
    <row r="1726">
      <c r="A1726" s="139" t="str">
        <f>IFERROR(__xludf.DUMMYFUNCTION("""COMPUTED_VALUE"""),"e")</f>
        <v>e</v>
      </c>
      <c r="B1726" s="139">
        <f>IFERROR(__xludf.DUMMYFUNCTION("""COMPUTED_VALUE"""),2.0250901E8)</f>
        <v>202509010</v>
      </c>
      <c r="C1726" s="139" t="str">
        <f>IFERROR(__xludf.DUMMYFUNCTION("""COMPUTED_VALUE"""),"e_gom_01002_general_vh_Boss_Yellow_Normal_00000")</f>
        <v>e_gom_01002_general_vh_Boss_Yellow_Normal_00000</v>
      </c>
      <c r="D1726" s="139" t="str">
        <f>IFERROR(__xludf.DUMMYFUNCTION("""COMPUTED_VALUE"""),"e_gom_01002_general_vh_Boss_Yellow")</f>
        <v>e_gom_01002_general_vh_Boss_Yellow</v>
      </c>
      <c r="E1726" s="139">
        <f>IFERROR(__xludf.DUMMYFUNCTION("""COMPUTED_VALUE"""),0.0)</f>
        <v>0</v>
      </c>
      <c r="F1726" s="139" t="str">
        <f>IFERROR(__xludf.DUMMYFUNCTION("""COMPUTED_VALUE"""),"Normal")</f>
        <v>Normal</v>
      </c>
      <c r="G1726" s="139"/>
      <c r="H1726" s="139"/>
      <c r="I1726" s="139">
        <f>IFERROR(__xludf.DUMMYFUNCTION("""COMPUTED_VALUE"""),50.0)</f>
        <v>50</v>
      </c>
      <c r="J1726" s="139">
        <f>IFERROR(__xludf.DUMMYFUNCTION("""COMPUTED_VALUE"""),42.0)</f>
        <v>42</v>
      </c>
      <c r="K1726" s="139">
        <f>IFERROR(__xludf.DUMMYFUNCTION("""COMPUTED_VALUE"""),100.0)</f>
        <v>100</v>
      </c>
      <c r="L1726" s="139"/>
      <c r="M1726" s="139"/>
      <c r="N1726" s="139"/>
    </row>
    <row r="1727">
      <c r="A1727" s="139" t="str">
        <f>IFERROR(__xludf.DUMMYFUNCTION("""COMPUTED_VALUE"""),"e")</f>
        <v>e</v>
      </c>
      <c r="B1727" s="139">
        <f>IFERROR(__xludf.DUMMYFUNCTION("""COMPUTED_VALUE"""),2.0250901E8)</f>
        <v>202509010</v>
      </c>
      <c r="C1727" s="139" t="str">
        <f>IFERROR(__xludf.DUMMYFUNCTION("""COMPUTED_VALUE"""),"e_gom_01002_general_vh_Boss_Yellow_Appearance_00001")</f>
        <v>e_gom_01002_general_vh_Boss_Yellow_Appearance_00001</v>
      </c>
      <c r="D1727" s="139" t="str">
        <f>IFERROR(__xludf.DUMMYFUNCTION("""COMPUTED_VALUE"""),"e_gom_01002_general_vh_Boss_Yellow")</f>
        <v>e_gom_01002_general_vh_Boss_Yellow</v>
      </c>
      <c r="E1727" s="139">
        <f>IFERROR(__xludf.DUMMYFUNCTION("""COMPUTED_VALUE"""),0.0)</f>
        <v>0</v>
      </c>
      <c r="F1727" s="139" t="str">
        <f>IFERROR(__xludf.DUMMYFUNCTION("""COMPUTED_VALUE"""),"Appearance")</f>
        <v>Appearance</v>
      </c>
      <c r="G1727" s="139"/>
      <c r="H1727" s="139"/>
      <c r="I1727" s="139">
        <f>IFERROR(__xludf.DUMMYFUNCTION("""COMPUTED_VALUE"""),50.0)</f>
        <v>50</v>
      </c>
      <c r="J1727" s="139">
        <f>IFERROR(__xludf.DUMMYFUNCTION("""COMPUTED_VALUE"""),0.0)</f>
        <v>0</v>
      </c>
      <c r="K1727" s="139">
        <f>IFERROR(__xludf.DUMMYFUNCTION("""COMPUTED_VALUE"""),0.0)</f>
        <v>0</v>
      </c>
      <c r="L1727" s="139"/>
      <c r="M1727" s="139"/>
      <c r="N1727" s="139"/>
    </row>
    <row r="1728">
      <c r="A1728" s="139" t="str">
        <f>IFERROR(__xludf.DUMMYFUNCTION("""COMPUTED_VALUE"""),"e")</f>
        <v>e</v>
      </c>
      <c r="B1728" s="139">
        <f>IFERROR(__xludf.DUMMYFUNCTION("""COMPUTED_VALUE"""),2.0250901E8)</f>
        <v>202509010</v>
      </c>
      <c r="C1728" s="139" t="str">
        <f>IFERROR(__xludf.DUMMYFUNCTION("""COMPUTED_VALUE"""),"e_gom_00501_general_n_Normal_Colorless_Normal_00000")</f>
        <v>e_gom_00501_general_n_Normal_Colorless_Normal_00000</v>
      </c>
      <c r="D1728" s="139" t="str">
        <f>IFERROR(__xludf.DUMMYFUNCTION("""COMPUTED_VALUE"""),"e_gom_00501_general_n_Normal_Colorless")</f>
        <v>e_gom_00501_general_n_Normal_Colorless</v>
      </c>
      <c r="E1728" s="139">
        <f>IFERROR(__xludf.DUMMYFUNCTION("""COMPUTED_VALUE"""),0.0)</f>
        <v>0</v>
      </c>
      <c r="F1728" s="139" t="str">
        <f>IFERROR(__xludf.DUMMYFUNCTION("""COMPUTED_VALUE"""),"Normal")</f>
        <v>Normal</v>
      </c>
      <c r="G1728" s="139"/>
      <c r="H1728" s="139"/>
      <c r="I1728" s="139">
        <f>IFERROR(__xludf.DUMMYFUNCTION("""COMPUTED_VALUE"""),50.0)</f>
        <v>50</v>
      </c>
      <c r="J1728" s="139">
        <f>IFERROR(__xludf.DUMMYFUNCTION("""COMPUTED_VALUE"""),42.0)</f>
        <v>42</v>
      </c>
      <c r="K1728" s="139">
        <f>IFERROR(__xludf.DUMMYFUNCTION("""COMPUTED_VALUE"""),100.0)</f>
        <v>100</v>
      </c>
      <c r="L1728" s="139"/>
      <c r="M1728" s="139"/>
      <c r="N1728" s="139"/>
    </row>
    <row r="1729">
      <c r="A1729" s="139" t="str">
        <f>IFERROR(__xludf.DUMMYFUNCTION("""COMPUTED_VALUE"""),"e")</f>
        <v>e</v>
      </c>
      <c r="B1729" s="139">
        <f>IFERROR(__xludf.DUMMYFUNCTION("""COMPUTED_VALUE"""),2.0250901E8)</f>
        <v>202509010</v>
      </c>
      <c r="C1729" s="139" t="str">
        <f>IFERROR(__xludf.DUMMYFUNCTION("""COMPUTED_VALUE"""),"e_gom_00501_general_n_Normal_Yellow_Normal_00000")</f>
        <v>e_gom_00501_general_n_Normal_Yellow_Normal_00000</v>
      </c>
      <c r="D1729" s="139" t="str">
        <f>IFERROR(__xludf.DUMMYFUNCTION("""COMPUTED_VALUE"""),"e_gom_00501_general_n_Normal_Yellow")</f>
        <v>e_gom_00501_general_n_Normal_Yellow</v>
      </c>
      <c r="E1729" s="139">
        <f>IFERROR(__xludf.DUMMYFUNCTION("""COMPUTED_VALUE"""),0.0)</f>
        <v>0</v>
      </c>
      <c r="F1729" s="139" t="str">
        <f>IFERROR(__xludf.DUMMYFUNCTION("""COMPUTED_VALUE"""),"Normal")</f>
        <v>Normal</v>
      </c>
      <c r="G1729" s="139"/>
      <c r="H1729" s="139"/>
      <c r="I1729" s="139">
        <f>IFERROR(__xludf.DUMMYFUNCTION("""COMPUTED_VALUE"""),50.0)</f>
        <v>50</v>
      </c>
      <c r="J1729" s="139">
        <f>IFERROR(__xludf.DUMMYFUNCTION("""COMPUTED_VALUE"""),42.0)</f>
        <v>42</v>
      </c>
      <c r="K1729" s="139">
        <f>IFERROR(__xludf.DUMMYFUNCTION("""COMPUTED_VALUE"""),100.0)</f>
        <v>100</v>
      </c>
      <c r="L1729" s="139"/>
      <c r="M1729" s="139"/>
      <c r="N1729" s="139"/>
    </row>
    <row r="1730">
      <c r="A1730" s="139" t="str">
        <f>IFERROR(__xludf.DUMMYFUNCTION("""COMPUTED_VALUE"""),"e")</f>
        <v>e</v>
      </c>
      <c r="B1730" s="139">
        <f>IFERROR(__xludf.DUMMYFUNCTION("""COMPUTED_VALUE"""),2.0250901E8)</f>
        <v>202509010</v>
      </c>
      <c r="C1730" s="139" t="str">
        <f>IFERROR(__xludf.DUMMYFUNCTION("""COMPUTED_VALUE"""),"e_gom_00501_general_vh_Normal_Red_Normal_00000")</f>
        <v>e_gom_00501_general_vh_Normal_Red_Normal_00000</v>
      </c>
      <c r="D1730" s="139" t="str">
        <f>IFERROR(__xludf.DUMMYFUNCTION("""COMPUTED_VALUE"""),"e_gom_00501_general_vh_Normal_Red")</f>
        <v>e_gom_00501_general_vh_Normal_Red</v>
      </c>
      <c r="E1730" s="139">
        <f>IFERROR(__xludf.DUMMYFUNCTION("""COMPUTED_VALUE"""),0.0)</f>
        <v>0</v>
      </c>
      <c r="F1730" s="139" t="str">
        <f>IFERROR(__xludf.DUMMYFUNCTION("""COMPUTED_VALUE"""),"Normal")</f>
        <v>Normal</v>
      </c>
      <c r="G1730" s="139"/>
      <c r="H1730" s="139"/>
      <c r="I1730" s="139">
        <f>IFERROR(__xludf.DUMMYFUNCTION("""COMPUTED_VALUE"""),50.0)</f>
        <v>50</v>
      </c>
      <c r="J1730" s="139">
        <f>IFERROR(__xludf.DUMMYFUNCTION("""COMPUTED_VALUE"""),42.0)</f>
        <v>42</v>
      </c>
      <c r="K1730" s="139">
        <f>IFERROR(__xludf.DUMMYFUNCTION("""COMPUTED_VALUE"""),100.0)</f>
        <v>100</v>
      </c>
      <c r="L1730" s="139"/>
      <c r="M1730" s="139"/>
      <c r="N1730" s="139"/>
    </row>
    <row r="1731">
      <c r="A1731" s="139" t="str">
        <f>IFERROR(__xludf.DUMMYFUNCTION("""COMPUTED_VALUE"""),"e")</f>
        <v>e</v>
      </c>
      <c r="B1731" s="139">
        <f>IFERROR(__xludf.DUMMYFUNCTION("""COMPUTED_VALUE"""),2.0250901E8)</f>
        <v>202509010</v>
      </c>
      <c r="C1731" s="139" t="str">
        <f>IFERROR(__xludf.DUMMYFUNCTION("""COMPUTED_VALUE"""),"e_gom_00501_general_vh_Normal_Blue_Normal_00000")</f>
        <v>e_gom_00501_general_vh_Normal_Blue_Normal_00000</v>
      </c>
      <c r="D1731" s="139" t="str">
        <f>IFERROR(__xludf.DUMMYFUNCTION("""COMPUTED_VALUE"""),"e_gom_00501_general_vh_Normal_Blue")</f>
        <v>e_gom_00501_general_vh_Normal_Blue</v>
      </c>
      <c r="E1731" s="139">
        <f>IFERROR(__xludf.DUMMYFUNCTION("""COMPUTED_VALUE"""),0.0)</f>
        <v>0</v>
      </c>
      <c r="F1731" s="139" t="str">
        <f>IFERROR(__xludf.DUMMYFUNCTION("""COMPUTED_VALUE"""),"Normal")</f>
        <v>Normal</v>
      </c>
      <c r="G1731" s="139"/>
      <c r="H1731" s="139"/>
      <c r="I1731" s="139">
        <f>IFERROR(__xludf.DUMMYFUNCTION("""COMPUTED_VALUE"""),50.0)</f>
        <v>50</v>
      </c>
      <c r="J1731" s="139">
        <f>IFERROR(__xludf.DUMMYFUNCTION("""COMPUTED_VALUE"""),42.0)</f>
        <v>42</v>
      </c>
      <c r="K1731" s="139">
        <f>IFERROR(__xludf.DUMMYFUNCTION("""COMPUTED_VALUE"""),100.0)</f>
        <v>100</v>
      </c>
      <c r="L1731" s="139"/>
      <c r="M1731" s="139"/>
      <c r="N1731" s="139"/>
    </row>
    <row r="1732">
      <c r="A1732" s="139" t="str">
        <f>IFERROR(__xludf.DUMMYFUNCTION("""COMPUTED_VALUE"""),"e")</f>
        <v>e</v>
      </c>
      <c r="B1732" s="139">
        <f>IFERROR(__xludf.DUMMYFUNCTION("""COMPUTED_VALUE"""),2.0250901E8)</f>
        <v>202509010</v>
      </c>
      <c r="C1732" s="139" t="str">
        <f>IFERROR(__xludf.DUMMYFUNCTION("""COMPUTED_VALUE"""),"e_gom_00502_general_n_Normal_Colorless_Normal_00000")</f>
        <v>e_gom_00502_general_n_Normal_Colorless_Normal_00000</v>
      </c>
      <c r="D1732" s="139" t="str">
        <f>IFERROR(__xludf.DUMMYFUNCTION("""COMPUTED_VALUE"""),"e_gom_00502_general_n_Normal_Colorless")</f>
        <v>e_gom_00502_general_n_Normal_Colorless</v>
      </c>
      <c r="E1732" s="139">
        <f>IFERROR(__xludf.DUMMYFUNCTION("""COMPUTED_VALUE"""),0.0)</f>
        <v>0</v>
      </c>
      <c r="F1732" s="139" t="str">
        <f>IFERROR(__xludf.DUMMYFUNCTION("""COMPUTED_VALUE"""),"Normal")</f>
        <v>Normal</v>
      </c>
      <c r="G1732" s="139"/>
      <c r="H1732" s="139"/>
      <c r="I1732" s="139">
        <f>IFERROR(__xludf.DUMMYFUNCTION("""COMPUTED_VALUE"""),50.0)</f>
        <v>50</v>
      </c>
      <c r="J1732" s="139">
        <f>IFERROR(__xludf.DUMMYFUNCTION("""COMPUTED_VALUE"""),42.0)</f>
        <v>42</v>
      </c>
      <c r="K1732" s="139">
        <f>IFERROR(__xludf.DUMMYFUNCTION("""COMPUTED_VALUE"""),150.0)</f>
        <v>150</v>
      </c>
      <c r="L1732" s="139"/>
      <c r="M1732" s="139"/>
      <c r="N1732" s="139"/>
    </row>
    <row r="1733">
      <c r="A1733" s="139" t="str">
        <f>IFERROR(__xludf.DUMMYFUNCTION("""COMPUTED_VALUE"""),"e")</f>
        <v>e</v>
      </c>
      <c r="B1733" s="139">
        <f>IFERROR(__xludf.DUMMYFUNCTION("""COMPUTED_VALUE"""),2.0250901E8)</f>
        <v>202509010</v>
      </c>
      <c r="C1733" s="139" t="str">
        <f>IFERROR(__xludf.DUMMYFUNCTION("""COMPUTED_VALUE"""),"e_gom_00502_general_n_Normal_Yellow_Normal_00000")</f>
        <v>e_gom_00502_general_n_Normal_Yellow_Normal_00000</v>
      </c>
      <c r="D1733" s="139" t="str">
        <f>IFERROR(__xludf.DUMMYFUNCTION("""COMPUTED_VALUE"""),"e_gom_00502_general_n_Normal_Yellow")</f>
        <v>e_gom_00502_general_n_Normal_Yellow</v>
      </c>
      <c r="E1733" s="139">
        <f>IFERROR(__xludf.DUMMYFUNCTION("""COMPUTED_VALUE"""),0.0)</f>
        <v>0</v>
      </c>
      <c r="F1733" s="139" t="str">
        <f>IFERROR(__xludf.DUMMYFUNCTION("""COMPUTED_VALUE"""),"Normal")</f>
        <v>Normal</v>
      </c>
      <c r="G1733" s="139"/>
      <c r="H1733" s="139"/>
      <c r="I1733" s="139">
        <f>IFERROR(__xludf.DUMMYFUNCTION("""COMPUTED_VALUE"""),50.0)</f>
        <v>50</v>
      </c>
      <c r="J1733" s="139">
        <f>IFERROR(__xludf.DUMMYFUNCTION("""COMPUTED_VALUE"""),42.0)</f>
        <v>42</v>
      </c>
      <c r="K1733" s="139">
        <f>IFERROR(__xludf.DUMMYFUNCTION("""COMPUTED_VALUE"""),150.0)</f>
        <v>150</v>
      </c>
      <c r="L1733" s="139"/>
      <c r="M1733" s="139"/>
      <c r="N1733" s="139"/>
    </row>
    <row r="1734">
      <c r="A1734" s="139" t="str">
        <f>IFERROR(__xludf.DUMMYFUNCTION("""COMPUTED_VALUE"""),"e")</f>
        <v>e</v>
      </c>
      <c r="B1734" s="139">
        <f>IFERROR(__xludf.DUMMYFUNCTION("""COMPUTED_VALUE"""),2.0250901E8)</f>
        <v>202509010</v>
      </c>
      <c r="C1734" s="139" t="str">
        <f>IFERROR(__xludf.DUMMYFUNCTION("""COMPUTED_VALUE"""),"e_gom_00502_general_vh_Normal_Red_Normal_00000")</f>
        <v>e_gom_00502_general_vh_Normal_Red_Normal_00000</v>
      </c>
      <c r="D1734" s="139" t="str">
        <f>IFERROR(__xludf.DUMMYFUNCTION("""COMPUTED_VALUE"""),"e_gom_00502_general_vh_Normal_Red")</f>
        <v>e_gom_00502_general_vh_Normal_Red</v>
      </c>
      <c r="E1734" s="139">
        <f>IFERROR(__xludf.DUMMYFUNCTION("""COMPUTED_VALUE"""),0.0)</f>
        <v>0</v>
      </c>
      <c r="F1734" s="139" t="str">
        <f>IFERROR(__xludf.DUMMYFUNCTION("""COMPUTED_VALUE"""),"Normal")</f>
        <v>Normal</v>
      </c>
      <c r="G1734" s="139"/>
      <c r="H1734" s="139"/>
      <c r="I1734" s="139">
        <f>IFERROR(__xludf.DUMMYFUNCTION("""COMPUTED_VALUE"""),50.0)</f>
        <v>50</v>
      </c>
      <c r="J1734" s="139">
        <f>IFERROR(__xludf.DUMMYFUNCTION("""COMPUTED_VALUE"""),42.0)</f>
        <v>42</v>
      </c>
      <c r="K1734" s="139">
        <f>IFERROR(__xludf.DUMMYFUNCTION("""COMPUTED_VALUE"""),150.0)</f>
        <v>150</v>
      </c>
      <c r="L1734" s="139"/>
      <c r="M1734" s="139"/>
      <c r="N1734" s="139"/>
    </row>
    <row r="1735">
      <c r="A1735" s="139" t="str">
        <f>IFERROR(__xludf.DUMMYFUNCTION("""COMPUTED_VALUE"""),"e")</f>
        <v>e</v>
      </c>
      <c r="B1735" s="139">
        <f>IFERROR(__xludf.DUMMYFUNCTION("""COMPUTED_VALUE"""),2.0250901E8)</f>
        <v>202509010</v>
      </c>
      <c r="C1735" s="139" t="str">
        <f>IFERROR(__xludf.DUMMYFUNCTION("""COMPUTED_VALUE"""),"e_gom_00502_general_vh_Normal_Blue_Normal_00000")</f>
        <v>e_gom_00502_general_vh_Normal_Blue_Normal_00000</v>
      </c>
      <c r="D1735" s="139" t="str">
        <f>IFERROR(__xludf.DUMMYFUNCTION("""COMPUTED_VALUE"""),"e_gom_00502_general_vh_Normal_Blue")</f>
        <v>e_gom_00502_general_vh_Normal_Blue</v>
      </c>
      <c r="E1735" s="139">
        <f>IFERROR(__xludf.DUMMYFUNCTION("""COMPUTED_VALUE"""),0.0)</f>
        <v>0</v>
      </c>
      <c r="F1735" s="139" t="str">
        <f>IFERROR(__xludf.DUMMYFUNCTION("""COMPUTED_VALUE"""),"Normal")</f>
        <v>Normal</v>
      </c>
      <c r="G1735" s="139"/>
      <c r="H1735" s="139"/>
      <c r="I1735" s="139">
        <f>IFERROR(__xludf.DUMMYFUNCTION("""COMPUTED_VALUE"""),50.0)</f>
        <v>50</v>
      </c>
      <c r="J1735" s="139">
        <f>IFERROR(__xludf.DUMMYFUNCTION("""COMPUTED_VALUE"""),42.0)</f>
        <v>42</v>
      </c>
      <c r="K1735" s="139">
        <f>IFERROR(__xludf.DUMMYFUNCTION("""COMPUTED_VALUE"""),150.0)</f>
        <v>150</v>
      </c>
      <c r="L1735" s="139"/>
      <c r="M1735" s="139"/>
      <c r="N1735" s="139"/>
    </row>
    <row r="1736">
      <c r="A1736" s="139" t="str">
        <f>IFERROR(__xludf.DUMMYFUNCTION("""COMPUTED_VALUE"""),"e")</f>
        <v>e</v>
      </c>
      <c r="B1736" s="139">
        <f>IFERROR(__xludf.DUMMYFUNCTION("""COMPUTED_VALUE"""),2.0250901E8)</f>
        <v>202509010</v>
      </c>
      <c r="C1736" s="139" t="str">
        <f>IFERROR(__xludf.DUMMYFUNCTION("""COMPUTED_VALUE"""),"e_gom_00402_general_n_Normal_Colorless_Normal_00000")</f>
        <v>e_gom_00402_general_n_Normal_Colorless_Normal_00000</v>
      </c>
      <c r="D1736" s="139" t="str">
        <f>IFERROR(__xludf.DUMMYFUNCTION("""COMPUTED_VALUE"""),"e_gom_00402_general_n_Normal_Colorless")</f>
        <v>e_gom_00402_general_n_Normal_Colorless</v>
      </c>
      <c r="E1736" s="139">
        <f>IFERROR(__xludf.DUMMYFUNCTION("""COMPUTED_VALUE"""),0.0)</f>
        <v>0</v>
      </c>
      <c r="F1736" s="139" t="str">
        <f>IFERROR(__xludf.DUMMYFUNCTION("""COMPUTED_VALUE"""),"Normal")</f>
        <v>Normal</v>
      </c>
      <c r="G1736" s="139"/>
      <c r="H1736" s="139"/>
      <c r="I1736" s="139">
        <f>IFERROR(__xludf.DUMMYFUNCTION("""COMPUTED_VALUE"""),50.0)</f>
        <v>50</v>
      </c>
      <c r="J1736" s="139">
        <f>IFERROR(__xludf.DUMMYFUNCTION("""COMPUTED_VALUE"""),42.0)</f>
        <v>42</v>
      </c>
      <c r="K1736" s="139">
        <f>IFERROR(__xludf.DUMMYFUNCTION("""COMPUTED_VALUE"""),50.0)</f>
        <v>50</v>
      </c>
      <c r="L1736" s="139"/>
      <c r="M1736" s="139"/>
      <c r="N1736" s="139"/>
    </row>
    <row r="1737">
      <c r="A1737" s="139" t="str">
        <f>IFERROR(__xludf.DUMMYFUNCTION("""COMPUTED_VALUE"""),"e")</f>
        <v>e</v>
      </c>
      <c r="B1737" s="139">
        <f>IFERROR(__xludf.DUMMYFUNCTION("""COMPUTED_VALUE"""),2.0250901E8)</f>
        <v>202509010</v>
      </c>
      <c r="C1737" s="139" t="str">
        <f>IFERROR(__xludf.DUMMYFUNCTION("""COMPUTED_VALUE"""),"e_gom_00402_general_n_Normal_Yellow_Normal_00000")</f>
        <v>e_gom_00402_general_n_Normal_Yellow_Normal_00000</v>
      </c>
      <c r="D1737" s="139" t="str">
        <f>IFERROR(__xludf.DUMMYFUNCTION("""COMPUTED_VALUE"""),"e_gom_00402_general_n_Normal_Yellow")</f>
        <v>e_gom_00402_general_n_Normal_Yellow</v>
      </c>
      <c r="E1737" s="139">
        <f>IFERROR(__xludf.DUMMYFUNCTION("""COMPUTED_VALUE"""),0.0)</f>
        <v>0</v>
      </c>
      <c r="F1737" s="139" t="str">
        <f>IFERROR(__xludf.DUMMYFUNCTION("""COMPUTED_VALUE"""),"Normal")</f>
        <v>Normal</v>
      </c>
      <c r="G1737" s="139"/>
      <c r="H1737" s="139"/>
      <c r="I1737" s="139">
        <f>IFERROR(__xludf.DUMMYFUNCTION("""COMPUTED_VALUE"""),50.0)</f>
        <v>50</v>
      </c>
      <c r="J1737" s="139">
        <f>IFERROR(__xludf.DUMMYFUNCTION("""COMPUTED_VALUE"""),42.0)</f>
        <v>42</v>
      </c>
      <c r="K1737" s="139">
        <f>IFERROR(__xludf.DUMMYFUNCTION("""COMPUTED_VALUE"""),50.0)</f>
        <v>50</v>
      </c>
      <c r="L1737" s="139"/>
      <c r="M1737" s="139"/>
      <c r="N1737" s="139"/>
    </row>
    <row r="1738">
      <c r="A1738" s="139" t="str">
        <f>IFERROR(__xludf.DUMMYFUNCTION("""COMPUTED_VALUE"""),"e")</f>
        <v>e</v>
      </c>
      <c r="B1738" s="139">
        <f>IFERROR(__xludf.DUMMYFUNCTION("""COMPUTED_VALUE"""),2.0250901E8)</f>
        <v>202509010</v>
      </c>
      <c r="C1738" s="139" t="str">
        <f>IFERROR(__xludf.DUMMYFUNCTION("""COMPUTED_VALUE"""),"e_gom_00402_general_vh_Normal_Red_Normal_00000")</f>
        <v>e_gom_00402_general_vh_Normal_Red_Normal_00000</v>
      </c>
      <c r="D1738" s="139" t="str">
        <f>IFERROR(__xludf.DUMMYFUNCTION("""COMPUTED_VALUE"""),"e_gom_00402_general_vh_Normal_Red")</f>
        <v>e_gom_00402_general_vh_Normal_Red</v>
      </c>
      <c r="E1738" s="139">
        <f>IFERROR(__xludf.DUMMYFUNCTION("""COMPUTED_VALUE"""),0.0)</f>
        <v>0</v>
      </c>
      <c r="F1738" s="139" t="str">
        <f>IFERROR(__xludf.DUMMYFUNCTION("""COMPUTED_VALUE"""),"Normal")</f>
        <v>Normal</v>
      </c>
      <c r="G1738" s="139"/>
      <c r="H1738" s="139"/>
      <c r="I1738" s="139">
        <f>IFERROR(__xludf.DUMMYFUNCTION("""COMPUTED_VALUE"""),50.0)</f>
        <v>50</v>
      </c>
      <c r="J1738" s="139">
        <f>IFERROR(__xludf.DUMMYFUNCTION("""COMPUTED_VALUE"""),42.0)</f>
        <v>42</v>
      </c>
      <c r="K1738" s="139">
        <f>IFERROR(__xludf.DUMMYFUNCTION("""COMPUTED_VALUE"""),50.0)</f>
        <v>50</v>
      </c>
      <c r="L1738" s="139"/>
      <c r="M1738" s="139"/>
      <c r="N1738" s="139"/>
    </row>
    <row r="1739">
      <c r="A1739" s="139" t="str">
        <f>IFERROR(__xludf.DUMMYFUNCTION("""COMPUTED_VALUE"""),"e")</f>
        <v>e</v>
      </c>
      <c r="B1739" s="139">
        <f>IFERROR(__xludf.DUMMYFUNCTION("""COMPUTED_VALUE"""),2.0250901E8)</f>
        <v>202509010</v>
      </c>
      <c r="C1739" s="139" t="str">
        <f>IFERROR(__xludf.DUMMYFUNCTION("""COMPUTED_VALUE"""),"e_gom_00402_general_vh_Normal_Blue_Normal_00000")</f>
        <v>e_gom_00402_general_vh_Normal_Blue_Normal_00000</v>
      </c>
      <c r="D1739" s="139" t="str">
        <f>IFERROR(__xludf.DUMMYFUNCTION("""COMPUTED_VALUE"""),"e_gom_00402_general_vh_Normal_Blue")</f>
        <v>e_gom_00402_general_vh_Normal_Blue</v>
      </c>
      <c r="E1739" s="139">
        <f>IFERROR(__xludf.DUMMYFUNCTION("""COMPUTED_VALUE"""),0.0)</f>
        <v>0</v>
      </c>
      <c r="F1739" s="139" t="str">
        <f>IFERROR(__xludf.DUMMYFUNCTION("""COMPUTED_VALUE"""),"Normal")</f>
        <v>Normal</v>
      </c>
      <c r="G1739" s="139"/>
      <c r="H1739" s="139"/>
      <c r="I1739" s="139">
        <f>IFERROR(__xludf.DUMMYFUNCTION("""COMPUTED_VALUE"""),50.0)</f>
        <v>50</v>
      </c>
      <c r="J1739" s="139">
        <f>IFERROR(__xludf.DUMMYFUNCTION("""COMPUTED_VALUE"""),42.0)</f>
        <v>42</v>
      </c>
      <c r="K1739" s="139">
        <f>IFERROR(__xludf.DUMMYFUNCTION("""COMPUTED_VALUE"""),50.0)</f>
        <v>50</v>
      </c>
      <c r="L1739" s="139"/>
      <c r="M1739" s="139"/>
      <c r="N1739" s="139"/>
    </row>
    <row r="1740">
      <c r="A1740" s="139" t="str">
        <f>IFERROR(__xludf.DUMMYFUNCTION("""COMPUTED_VALUE"""),"e")</f>
        <v>e</v>
      </c>
      <c r="B1740" s="139">
        <f>IFERROR(__xludf.DUMMYFUNCTION("""COMPUTED_VALUE"""),2.0250901E8)</f>
        <v>202509010</v>
      </c>
      <c r="C1740" s="139" t="str">
        <f>IFERROR(__xludf.DUMMYFUNCTION("""COMPUTED_VALUE"""),"e_gom_00402_general_vh_Normal_Yellow_Normal_00000")</f>
        <v>e_gom_00402_general_vh_Normal_Yellow_Normal_00000</v>
      </c>
      <c r="D1740" s="139" t="str">
        <f>IFERROR(__xludf.DUMMYFUNCTION("""COMPUTED_VALUE"""),"e_gom_00402_general_vh_Normal_Yellow")</f>
        <v>e_gom_00402_general_vh_Normal_Yellow</v>
      </c>
      <c r="E1740" s="139">
        <f>IFERROR(__xludf.DUMMYFUNCTION("""COMPUTED_VALUE"""),0.0)</f>
        <v>0</v>
      </c>
      <c r="F1740" s="139" t="str">
        <f>IFERROR(__xludf.DUMMYFUNCTION("""COMPUTED_VALUE"""),"Normal")</f>
        <v>Normal</v>
      </c>
      <c r="G1740" s="139"/>
      <c r="H1740" s="139"/>
      <c r="I1740" s="139">
        <f>IFERROR(__xludf.DUMMYFUNCTION("""COMPUTED_VALUE"""),50.0)</f>
        <v>50</v>
      </c>
      <c r="J1740" s="139">
        <f>IFERROR(__xludf.DUMMYFUNCTION("""COMPUTED_VALUE"""),42.0)</f>
        <v>42</v>
      </c>
      <c r="K1740" s="139">
        <f>IFERROR(__xludf.DUMMYFUNCTION("""COMPUTED_VALUE"""),50.0)</f>
        <v>50</v>
      </c>
      <c r="L1740" s="139"/>
      <c r="M1740" s="139"/>
      <c r="N1740" s="139"/>
    </row>
    <row r="1741">
      <c r="A1741" s="139" t="str">
        <f>IFERROR(__xludf.DUMMYFUNCTION("""COMPUTED_VALUE"""),"e")</f>
        <v>e</v>
      </c>
      <c r="B1741" s="139">
        <f>IFERROR(__xludf.DUMMYFUNCTION("""COMPUTED_VALUE"""),2.0250901E8)</f>
        <v>202509010</v>
      </c>
      <c r="C1741" s="139" t="str">
        <f>IFERROR(__xludf.DUMMYFUNCTION("""COMPUTED_VALUE"""),"e_gom_00401_general_n_Normal_Colorless_Normal_00000")</f>
        <v>e_gom_00401_general_n_Normal_Colorless_Normal_00000</v>
      </c>
      <c r="D1741" s="139" t="str">
        <f>IFERROR(__xludf.DUMMYFUNCTION("""COMPUTED_VALUE"""),"e_gom_00401_general_n_Normal_Colorless")</f>
        <v>e_gom_00401_general_n_Normal_Colorless</v>
      </c>
      <c r="E1741" s="139">
        <f>IFERROR(__xludf.DUMMYFUNCTION("""COMPUTED_VALUE"""),0.0)</f>
        <v>0</v>
      </c>
      <c r="F1741" s="139" t="str">
        <f>IFERROR(__xludf.DUMMYFUNCTION("""COMPUTED_VALUE"""),"Normal")</f>
        <v>Normal</v>
      </c>
      <c r="G1741" s="139"/>
      <c r="H1741" s="139"/>
      <c r="I1741" s="139">
        <f>IFERROR(__xludf.DUMMYFUNCTION("""COMPUTED_VALUE"""),50.0)</f>
        <v>50</v>
      </c>
      <c r="J1741" s="139">
        <f>IFERROR(__xludf.DUMMYFUNCTION("""COMPUTED_VALUE"""),42.0)</f>
        <v>42</v>
      </c>
      <c r="K1741" s="139">
        <f>IFERROR(__xludf.DUMMYFUNCTION("""COMPUTED_VALUE"""),25.0)</f>
        <v>25</v>
      </c>
      <c r="L1741" s="139"/>
      <c r="M1741" s="139"/>
      <c r="N1741" s="139"/>
    </row>
    <row r="1742">
      <c r="A1742" s="139" t="str">
        <f>IFERROR(__xludf.DUMMYFUNCTION("""COMPUTED_VALUE"""),"e")</f>
        <v>e</v>
      </c>
      <c r="B1742" s="139">
        <f>IFERROR(__xludf.DUMMYFUNCTION("""COMPUTED_VALUE"""),2.0250901E8)</f>
        <v>202509010</v>
      </c>
      <c r="C1742" s="139" t="str">
        <f>IFERROR(__xludf.DUMMYFUNCTION("""COMPUTED_VALUE"""),"e_gom_00401_general_n_Boss_Colorless_Normal_00000")</f>
        <v>e_gom_00401_general_n_Boss_Colorless_Normal_00000</v>
      </c>
      <c r="D1742" s="139" t="str">
        <f>IFERROR(__xludf.DUMMYFUNCTION("""COMPUTED_VALUE"""),"e_gom_00401_general_n_Boss_Colorless")</f>
        <v>e_gom_00401_general_n_Boss_Colorless</v>
      </c>
      <c r="E1742" s="139">
        <f>IFERROR(__xludf.DUMMYFUNCTION("""COMPUTED_VALUE"""),0.0)</f>
        <v>0</v>
      </c>
      <c r="F1742" s="139" t="str">
        <f>IFERROR(__xludf.DUMMYFUNCTION("""COMPUTED_VALUE"""),"Normal")</f>
        <v>Normal</v>
      </c>
      <c r="G1742" s="139"/>
      <c r="H1742" s="139"/>
      <c r="I1742" s="139">
        <f>IFERROR(__xludf.DUMMYFUNCTION("""COMPUTED_VALUE"""),50.0)</f>
        <v>50</v>
      </c>
      <c r="J1742" s="139">
        <f>IFERROR(__xludf.DUMMYFUNCTION("""COMPUTED_VALUE"""),42.0)</f>
        <v>42</v>
      </c>
      <c r="K1742" s="139">
        <f>IFERROR(__xludf.DUMMYFUNCTION("""COMPUTED_VALUE"""),25.0)</f>
        <v>25</v>
      </c>
      <c r="L1742" s="139"/>
      <c r="M1742" s="139"/>
      <c r="N1742" s="139"/>
    </row>
    <row r="1743">
      <c r="A1743" s="139" t="str">
        <f>IFERROR(__xludf.DUMMYFUNCTION("""COMPUTED_VALUE"""),"e")</f>
        <v>e</v>
      </c>
      <c r="B1743" s="139">
        <f>IFERROR(__xludf.DUMMYFUNCTION("""COMPUTED_VALUE"""),2.0250901E8)</f>
        <v>202509010</v>
      </c>
      <c r="C1743" s="139" t="str">
        <f>IFERROR(__xludf.DUMMYFUNCTION("""COMPUTED_VALUE"""),"e_gom_00401_general_n_Boss_Colorless_Appearance_00001")</f>
        <v>e_gom_00401_general_n_Boss_Colorless_Appearance_00001</v>
      </c>
      <c r="D1743" s="139" t="str">
        <f>IFERROR(__xludf.DUMMYFUNCTION("""COMPUTED_VALUE"""),"e_gom_00401_general_n_Boss_Colorless")</f>
        <v>e_gom_00401_general_n_Boss_Colorless</v>
      </c>
      <c r="E1743" s="139">
        <f>IFERROR(__xludf.DUMMYFUNCTION("""COMPUTED_VALUE"""),0.0)</f>
        <v>0</v>
      </c>
      <c r="F1743" s="139" t="str">
        <f>IFERROR(__xludf.DUMMYFUNCTION("""COMPUTED_VALUE"""),"Appearance")</f>
        <v>Appearance</v>
      </c>
      <c r="G1743" s="139"/>
      <c r="H1743" s="139"/>
      <c r="I1743" s="139">
        <f>IFERROR(__xludf.DUMMYFUNCTION("""COMPUTED_VALUE"""),50.0)</f>
        <v>50</v>
      </c>
      <c r="J1743" s="139">
        <f>IFERROR(__xludf.DUMMYFUNCTION("""COMPUTED_VALUE"""),0.0)</f>
        <v>0</v>
      </c>
      <c r="K1743" s="139">
        <f>IFERROR(__xludf.DUMMYFUNCTION("""COMPUTED_VALUE"""),0.0)</f>
        <v>0</v>
      </c>
      <c r="L1743" s="139"/>
      <c r="M1743" s="139"/>
      <c r="N1743" s="139"/>
    </row>
    <row r="1744">
      <c r="A1744" s="139" t="str">
        <f>IFERROR(__xludf.DUMMYFUNCTION("""COMPUTED_VALUE"""),"e")</f>
        <v>e</v>
      </c>
      <c r="B1744" s="139">
        <f>IFERROR(__xludf.DUMMYFUNCTION("""COMPUTED_VALUE"""),2.0250901E8)</f>
        <v>202509010</v>
      </c>
      <c r="C1744" s="139" t="str">
        <f>IFERROR(__xludf.DUMMYFUNCTION("""COMPUTED_VALUE"""),"e_gom_00401_general_n_Boss_Yellow_Normal_00000")</f>
        <v>e_gom_00401_general_n_Boss_Yellow_Normal_00000</v>
      </c>
      <c r="D1744" s="139" t="str">
        <f>IFERROR(__xludf.DUMMYFUNCTION("""COMPUTED_VALUE"""),"e_gom_00401_general_n_Boss_Yellow")</f>
        <v>e_gom_00401_general_n_Boss_Yellow</v>
      </c>
      <c r="E1744" s="139">
        <f>IFERROR(__xludf.DUMMYFUNCTION("""COMPUTED_VALUE"""),0.0)</f>
        <v>0</v>
      </c>
      <c r="F1744" s="139" t="str">
        <f>IFERROR(__xludf.DUMMYFUNCTION("""COMPUTED_VALUE"""),"Normal")</f>
        <v>Normal</v>
      </c>
      <c r="G1744" s="139"/>
      <c r="H1744" s="139"/>
      <c r="I1744" s="139">
        <f>IFERROR(__xludf.DUMMYFUNCTION("""COMPUTED_VALUE"""),50.0)</f>
        <v>50</v>
      </c>
      <c r="J1744" s="139">
        <f>IFERROR(__xludf.DUMMYFUNCTION("""COMPUTED_VALUE"""),42.0)</f>
        <v>42</v>
      </c>
      <c r="K1744" s="139">
        <f>IFERROR(__xludf.DUMMYFUNCTION("""COMPUTED_VALUE"""),25.0)</f>
        <v>25</v>
      </c>
      <c r="L1744" s="139"/>
      <c r="M1744" s="139"/>
      <c r="N1744" s="139"/>
    </row>
    <row r="1745">
      <c r="A1745" s="139" t="str">
        <f>IFERROR(__xludf.DUMMYFUNCTION("""COMPUTED_VALUE"""),"e")</f>
        <v>e</v>
      </c>
      <c r="B1745" s="139">
        <f>IFERROR(__xludf.DUMMYFUNCTION("""COMPUTED_VALUE"""),2.0250901E8)</f>
        <v>202509010</v>
      </c>
      <c r="C1745" s="139" t="str">
        <f>IFERROR(__xludf.DUMMYFUNCTION("""COMPUTED_VALUE"""),"e_gom_00401_general_n_Boss_Yellow_Appearance_00001")</f>
        <v>e_gom_00401_general_n_Boss_Yellow_Appearance_00001</v>
      </c>
      <c r="D1745" s="139" t="str">
        <f>IFERROR(__xludf.DUMMYFUNCTION("""COMPUTED_VALUE"""),"e_gom_00401_general_n_Boss_Yellow")</f>
        <v>e_gom_00401_general_n_Boss_Yellow</v>
      </c>
      <c r="E1745" s="139">
        <f>IFERROR(__xludf.DUMMYFUNCTION("""COMPUTED_VALUE"""),0.0)</f>
        <v>0</v>
      </c>
      <c r="F1745" s="139" t="str">
        <f>IFERROR(__xludf.DUMMYFUNCTION("""COMPUTED_VALUE"""),"Appearance")</f>
        <v>Appearance</v>
      </c>
      <c r="G1745" s="139"/>
      <c r="H1745" s="139"/>
      <c r="I1745" s="139">
        <f>IFERROR(__xludf.DUMMYFUNCTION("""COMPUTED_VALUE"""),50.0)</f>
        <v>50</v>
      </c>
      <c r="J1745" s="139">
        <f>IFERROR(__xludf.DUMMYFUNCTION("""COMPUTED_VALUE"""),0.0)</f>
        <v>0</v>
      </c>
      <c r="K1745" s="139">
        <f>IFERROR(__xludf.DUMMYFUNCTION("""COMPUTED_VALUE"""),0.0)</f>
        <v>0</v>
      </c>
      <c r="L1745" s="139"/>
      <c r="M1745" s="139"/>
      <c r="N1745" s="139"/>
    </row>
    <row r="1746">
      <c r="A1746" s="139" t="str">
        <f>IFERROR(__xludf.DUMMYFUNCTION("""COMPUTED_VALUE"""),"e")</f>
        <v>e</v>
      </c>
      <c r="B1746" s="139">
        <f>IFERROR(__xludf.DUMMYFUNCTION("""COMPUTED_VALUE"""),2.0250901E8)</f>
        <v>202509010</v>
      </c>
      <c r="C1746" s="139" t="str">
        <f>IFERROR(__xludf.DUMMYFUNCTION("""COMPUTED_VALUE"""),"e_gom_00401_general_vh_Boss_Blue_Normal_00000")</f>
        <v>e_gom_00401_general_vh_Boss_Blue_Normal_00000</v>
      </c>
      <c r="D1746" s="139" t="str">
        <f>IFERROR(__xludf.DUMMYFUNCTION("""COMPUTED_VALUE"""),"e_gom_00401_general_vh_Boss_Blue")</f>
        <v>e_gom_00401_general_vh_Boss_Blue</v>
      </c>
      <c r="E1746" s="139">
        <f>IFERROR(__xludf.DUMMYFUNCTION("""COMPUTED_VALUE"""),0.0)</f>
        <v>0</v>
      </c>
      <c r="F1746" s="139" t="str">
        <f>IFERROR(__xludf.DUMMYFUNCTION("""COMPUTED_VALUE"""),"Normal")</f>
        <v>Normal</v>
      </c>
      <c r="G1746" s="139"/>
      <c r="H1746" s="139"/>
      <c r="I1746" s="139">
        <f>IFERROR(__xludf.DUMMYFUNCTION("""COMPUTED_VALUE"""),50.0)</f>
        <v>50</v>
      </c>
      <c r="J1746" s="139">
        <f>IFERROR(__xludf.DUMMYFUNCTION("""COMPUTED_VALUE"""),42.0)</f>
        <v>42</v>
      </c>
      <c r="K1746" s="139">
        <f>IFERROR(__xludf.DUMMYFUNCTION("""COMPUTED_VALUE"""),25.0)</f>
        <v>25</v>
      </c>
      <c r="L1746" s="139"/>
      <c r="M1746" s="139"/>
      <c r="N1746" s="139"/>
    </row>
    <row r="1747">
      <c r="A1747" s="139" t="str">
        <f>IFERROR(__xludf.DUMMYFUNCTION("""COMPUTED_VALUE"""),"e")</f>
        <v>e</v>
      </c>
      <c r="B1747" s="139">
        <f>IFERROR(__xludf.DUMMYFUNCTION("""COMPUTED_VALUE"""),2.0250901E8)</f>
        <v>202509010</v>
      </c>
      <c r="C1747" s="139" t="str">
        <f>IFERROR(__xludf.DUMMYFUNCTION("""COMPUTED_VALUE"""),"e_gom_00401_general_vh_Boss_Blue_Appearance_00001")</f>
        <v>e_gom_00401_general_vh_Boss_Blue_Appearance_00001</v>
      </c>
      <c r="D1747" s="139" t="str">
        <f>IFERROR(__xludf.DUMMYFUNCTION("""COMPUTED_VALUE"""),"e_gom_00401_general_vh_Boss_Blue")</f>
        <v>e_gom_00401_general_vh_Boss_Blue</v>
      </c>
      <c r="E1747" s="139">
        <f>IFERROR(__xludf.DUMMYFUNCTION("""COMPUTED_VALUE"""),0.0)</f>
        <v>0</v>
      </c>
      <c r="F1747" s="139" t="str">
        <f>IFERROR(__xludf.DUMMYFUNCTION("""COMPUTED_VALUE"""),"Appearance")</f>
        <v>Appearance</v>
      </c>
      <c r="G1747" s="139"/>
      <c r="H1747" s="139"/>
      <c r="I1747" s="139">
        <f>IFERROR(__xludf.DUMMYFUNCTION("""COMPUTED_VALUE"""),50.0)</f>
        <v>50</v>
      </c>
      <c r="J1747" s="139">
        <f>IFERROR(__xludf.DUMMYFUNCTION("""COMPUTED_VALUE"""),0.0)</f>
        <v>0</v>
      </c>
      <c r="K1747" s="139">
        <f>IFERROR(__xludf.DUMMYFUNCTION("""COMPUTED_VALUE"""),0.0)</f>
        <v>0</v>
      </c>
      <c r="L1747" s="139"/>
      <c r="M1747" s="139"/>
      <c r="N1747" s="139"/>
    </row>
    <row r="1748">
      <c r="A1748" s="139" t="str">
        <f>IFERROR(__xludf.DUMMYFUNCTION("""COMPUTED_VALUE"""),"e")</f>
        <v>e</v>
      </c>
      <c r="B1748" s="139">
        <f>IFERROR(__xludf.DUMMYFUNCTION("""COMPUTED_VALUE"""),2.0250901E8)</f>
        <v>202509010</v>
      </c>
      <c r="C1748" s="139" t="str">
        <f>IFERROR(__xludf.DUMMYFUNCTION("""COMPUTED_VALUE"""),"e_gom_00401_general_vh_Boss_Yellow_Normal_00000")</f>
        <v>e_gom_00401_general_vh_Boss_Yellow_Normal_00000</v>
      </c>
      <c r="D1748" s="139" t="str">
        <f>IFERROR(__xludf.DUMMYFUNCTION("""COMPUTED_VALUE"""),"e_gom_00401_general_vh_Boss_Yellow")</f>
        <v>e_gom_00401_general_vh_Boss_Yellow</v>
      </c>
      <c r="E1748" s="139">
        <f>IFERROR(__xludf.DUMMYFUNCTION("""COMPUTED_VALUE"""),0.0)</f>
        <v>0</v>
      </c>
      <c r="F1748" s="139" t="str">
        <f>IFERROR(__xludf.DUMMYFUNCTION("""COMPUTED_VALUE"""),"Normal")</f>
        <v>Normal</v>
      </c>
      <c r="G1748" s="139"/>
      <c r="H1748" s="139"/>
      <c r="I1748" s="139">
        <f>IFERROR(__xludf.DUMMYFUNCTION("""COMPUTED_VALUE"""),50.0)</f>
        <v>50</v>
      </c>
      <c r="J1748" s="139">
        <f>IFERROR(__xludf.DUMMYFUNCTION("""COMPUTED_VALUE"""),42.0)</f>
        <v>42</v>
      </c>
      <c r="K1748" s="139">
        <f>IFERROR(__xludf.DUMMYFUNCTION("""COMPUTED_VALUE"""),25.0)</f>
        <v>25</v>
      </c>
      <c r="L1748" s="139"/>
      <c r="M1748" s="139"/>
      <c r="N1748" s="139"/>
    </row>
    <row r="1749">
      <c r="A1749" s="139" t="str">
        <f>IFERROR(__xludf.DUMMYFUNCTION("""COMPUTED_VALUE"""),"e")</f>
        <v>e</v>
      </c>
      <c r="B1749" s="139">
        <f>IFERROR(__xludf.DUMMYFUNCTION("""COMPUTED_VALUE"""),2.0250901E8)</f>
        <v>202509010</v>
      </c>
      <c r="C1749" s="139" t="str">
        <f>IFERROR(__xludf.DUMMYFUNCTION("""COMPUTED_VALUE"""),"e_gom_00401_general_vh_Boss_Yellow_Appearance_00001")</f>
        <v>e_gom_00401_general_vh_Boss_Yellow_Appearance_00001</v>
      </c>
      <c r="D1749" s="139" t="str">
        <f>IFERROR(__xludf.DUMMYFUNCTION("""COMPUTED_VALUE"""),"e_gom_00401_general_vh_Boss_Yellow")</f>
        <v>e_gom_00401_general_vh_Boss_Yellow</v>
      </c>
      <c r="E1749" s="139">
        <f>IFERROR(__xludf.DUMMYFUNCTION("""COMPUTED_VALUE"""),0.0)</f>
        <v>0</v>
      </c>
      <c r="F1749" s="139" t="str">
        <f>IFERROR(__xludf.DUMMYFUNCTION("""COMPUTED_VALUE"""),"Appearance")</f>
        <v>Appearance</v>
      </c>
      <c r="G1749" s="139"/>
      <c r="H1749" s="139"/>
      <c r="I1749" s="139">
        <f>IFERROR(__xludf.DUMMYFUNCTION("""COMPUTED_VALUE"""),50.0)</f>
        <v>50</v>
      </c>
      <c r="J1749" s="139">
        <f>IFERROR(__xludf.DUMMYFUNCTION("""COMPUTED_VALUE"""),0.0)</f>
        <v>0</v>
      </c>
      <c r="K1749" s="139">
        <f>IFERROR(__xludf.DUMMYFUNCTION("""COMPUTED_VALUE"""),0.0)</f>
        <v>0</v>
      </c>
      <c r="L1749" s="139"/>
      <c r="M1749" s="139"/>
      <c r="N1749" s="139"/>
    </row>
    <row r="1750">
      <c r="A1750" s="139" t="str">
        <f>IFERROR(__xludf.DUMMYFUNCTION("""COMPUTED_VALUE"""),"e")</f>
        <v>e</v>
      </c>
      <c r="B1750" s="139">
        <f>IFERROR(__xludf.DUMMYFUNCTION("""COMPUTED_VALUE"""),2.0250901E8)</f>
        <v>202509010</v>
      </c>
      <c r="C1750" s="139" t="str">
        <f>IFERROR(__xludf.DUMMYFUNCTION("""COMPUTED_VALUE"""),"e_gom_00301_general_n_Boss_Yellow_Normal_00000")</f>
        <v>e_gom_00301_general_n_Boss_Yellow_Normal_00000</v>
      </c>
      <c r="D1750" s="139" t="str">
        <f>IFERROR(__xludf.DUMMYFUNCTION("""COMPUTED_VALUE"""),"e_gom_00301_general_n_Boss_Yellow")</f>
        <v>e_gom_00301_general_n_Boss_Yellow</v>
      </c>
      <c r="E1750" s="139">
        <f>IFERROR(__xludf.DUMMYFUNCTION("""COMPUTED_VALUE"""),0.0)</f>
        <v>0</v>
      </c>
      <c r="F1750" s="139" t="str">
        <f>IFERROR(__xludf.DUMMYFUNCTION("""COMPUTED_VALUE"""),"Normal")</f>
        <v>Normal</v>
      </c>
      <c r="G1750" s="139"/>
      <c r="H1750" s="139"/>
      <c r="I1750" s="139">
        <f>IFERROR(__xludf.DUMMYFUNCTION("""COMPUTED_VALUE"""),138.0)</f>
        <v>138</v>
      </c>
      <c r="J1750" s="139">
        <f>IFERROR(__xludf.DUMMYFUNCTION("""COMPUTED_VALUE"""),75.0)</f>
        <v>75</v>
      </c>
      <c r="K1750" s="139">
        <f>IFERROR(__xludf.DUMMYFUNCTION("""COMPUTED_VALUE"""),100.0)</f>
        <v>100</v>
      </c>
      <c r="L1750" s="139"/>
      <c r="M1750" s="139"/>
      <c r="N1750" s="139"/>
    </row>
    <row r="1751">
      <c r="A1751" s="139" t="str">
        <f>IFERROR(__xludf.DUMMYFUNCTION("""COMPUTED_VALUE"""),"e")</f>
        <v>e</v>
      </c>
      <c r="B1751" s="139">
        <f>IFERROR(__xludf.DUMMYFUNCTION("""COMPUTED_VALUE"""),2.0250901E8)</f>
        <v>202509010</v>
      </c>
      <c r="C1751" s="139" t="str">
        <f>IFERROR(__xludf.DUMMYFUNCTION("""COMPUTED_VALUE"""),"e_gom_00301_general_n_Boss_Yellow_Appearance_00001")</f>
        <v>e_gom_00301_general_n_Boss_Yellow_Appearance_00001</v>
      </c>
      <c r="D1751" s="139" t="str">
        <f>IFERROR(__xludf.DUMMYFUNCTION("""COMPUTED_VALUE"""),"e_gom_00301_general_n_Boss_Yellow")</f>
        <v>e_gom_00301_general_n_Boss_Yellow</v>
      </c>
      <c r="E1751" s="139">
        <f>IFERROR(__xludf.DUMMYFUNCTION("""COMPUTED_VALUE"""),0.0)</f>
        <v>0</v>
      </c>
      <c r="F1751" s="139" t="str">
        <f>IFERROR(__xludf.DUMMYFUNCTION("""COMPUTED_VALUE"""),"Appearance")</f>
        <v>Appearance</v>
      </c>
      <c r="G1751" s="139"/>
      <c r="H1751" s="139"/>
      <c r="I1751" s="139">
        <f>IFERROR(__xludf.DUMMYFUNCTION("""COMPUTED_VALUE"""),50.0)</f>
        <v>50</v>
      </c>
      <c r="J1751" s="139">
        <f>IFERROR(__xludf.DUMMYFUNCTION("""COMPUTED_VALUE"""),0.0)</f>
        <v>0</v>
      </c>
      <c r="K1751" s="139">
        <f>IFERROR(__xludf.DUMMYFUNCTION("""COMPUTED_VALUE"""),0.0)</f>
        <v>0</v>
      </c>
      <c r="L1751" s="139"/>
      <c r="M1751" s="139"/>
      <c r="N1751" s="139"/>
    </row>
    <row r="1752">
      <c r="A1752" s="139" t="str">
        <f>IFERROR(__xludf.DUMMYFUNCTION("""COMPUTED_VALUE"""),"e")</f>
        <v>e</v>
      </c>
      <c r="B1752" s="139">
        <f>IFERROR(__xludf.DUMMYFUNCTION("""COMPUTED_VALUE"""),2.0250901E8)</f>
        <v>202509010</v>
      </c>
      <c r="C1752" s="139" t="str">
        <f>IFERROR(__xludf.DUMMYFUNCTION("""COMPUTED_VALUE"""),"c_gom_00201_general_n_Boss_Yellow_Normal_00000")</f>
        <v>c_gom_00201_general_n_Boss_Yellow_Normal_00000</v>
      </c>
      <c r="D1752" s="139" t="str">
        <f>IFERROR(__xludf.DUMMYFUNCTION("""COMPUTED_VALUE"""),"c_gom_00201_general_n_Boss_Yellow")</f>
        <v>c_gom_00201_general_n_Boss_Yellow</v>
      </c>
      <c r="E1752" s="139">
        <f>IFERROR(__xludf.DUMMYFUNCTION("""COMPUTED_VALUE"""),0.0)</f>
        <v>0</v>
      </c>
      <c r="F1752" s="139" t="str">
        <f>IFERROR(__xludf.DUMMYFUNCTION("""COMPUTED_VALUE"""),"Normal")</f>
        <v>Normal</v>
      </c>
      <c r="G1752" s="139"/>
      <c r="H1752" s="139"/>
      <c r="I1752" s="139">
        <f>IFERROR(__xludf.DUMMYFUNCTION("""COMPUTED_VALUE"""),65.0)</f>
        <v>65</v>
      </c>
      <c r="J1752" s="139">
        <f>IFERROR(__xludf.DUMMYFUNCTION("""COMPUTED_VALUE"""),0.0)</f>
        <v>0</v>
      </c>
      <c r="K1752" s="139">
        <f>IFERROR(__xludf.DUMMYFUNCTION("""COMPUTED_VALUE"""),100.0)</f>
        <v>100</v>
      </c>
      <c r="L1752" s="139"/>
      <c r="M1752" s="139"/>
      <c r="N1752" s="139"/>
    </row>
    <row r="1753">
      <c r="A1753" s="139" t="str">
        <f>IFERROR(__xludf.DUMMYFUNCTION("""COMPUTED_VALUE"""),"e")</f>
        <v>e</v>
      </c>
      <c r="B1753" s="139">
        <f>IFERROR(__xludf.DUMMYFUNCTION("""COMPUTED_VALUE"""),2.0250901E8)</f>
        <v>202509010</v>
      </c>
      <c r="C1753" s="139" t="str">
        <f>IFERROR(__xludf.DUMMYFUNCTION("""COMPUTED_VALUE"""),"c_gom_00201_general_n_Boss_Yellow_Appearance_00001")</f>
        <v>c_gom_00201_general_n_Boss_Yellow_Appearance_00001</v>
      </c>
      <c r="D1753" s="139" t="str">
        <f>IFERROR(__xludf.DUMMYFUNCTION("""COMPUTED_VALUE"""),"c_gom_00201_general_n_Boss_Yellow")</f>
        <v>c_gom_00201_general_n_Boss_Yellow</v>
      </c>
      <c r="E1753" s="139">
        <f>IFERROR(__xludf.DUMMYFUNCTION("""COMPUTED_VALUE"""),0.0)</f>
        <v>0</v>
      </c>
      <c r="F1753" s="139" t="str">
        <f>IFERROR(__xludf.DUMMYFUNCTION("""COMPUTED_VALUE"""),"Appearance")</f>
        <v>Appearance</v>
      </c>
      <c r="G1753" s="139"/>
      <c r="H1753" s="139"/>
      <c r="I1753" s="139">
        <f>IFERROR(__xludf.DUMMYFUNCTION("""COMPUTED_VALUE"""),50.0)</f>
        <v>50</v>
      </c>
      <c r="J1753" s="139">
        <f>IFERROR(__xludf.DUMMYFUNCTION("""COMPUTED_VALUE"""),0.0)</f>
        <v>0</v>
      </c>
      <c r="K1753" s="139">
        <f>IFERROR(__xludf.DUMMYFUNCTION("""COMPUTED_VALUE"""),0.0)</f>
        <v>0</v>
      </c>
      <c r="L1753" s="139"/>
      <c r="M1753" s="139"/>
      <c r="N1753" s="139"/>
    </row>
    <row r="1754">
      <c r="A1754" s="139" t="str">
        <f>IFERROR(__xludf.DUMMYFUNCTION("""COMPUTED_VALUE"""),"e")</f>
        <v>e</v>
      </c>
      <c r="B1754" s="139">
        <f>IFERROR(__xludf.DUMMYFUNCTION("""COMPUTED_VALUE"""),2.0250901E8)</f>
        <v>202509010</v>
      </c>
      <c r="C1754" s="139" t="str">
        <f>IFERROR(__xludf.DUMMYFUNCTION("""COMPUTED_VALUE"""),"c_gom_00201_general_n_Boss_Yellow_Special_00002")</f>
        <v>c_gom_00201_general_n_Boss_Yellow_Special_00002</v>
      </c>
      <c r="D1754" s="139" t="str">
        <f>IFERROR(__xludf.DUMMYFUNCTION("""COMPUTED_VALUE"""),"c_gom_00201_general_n_Boss_Yellow")</f>
        <v>c_gom_00201_general_n_Boss_Yellow</v>
      </c>
      <c r="E1754" s="139">
        <f>IFERROR(__xludf.DUMMYFUNCTION("""COMPUTED_VALUE"""),0.0)</f>
        <v>0</v>
      </c>
      <c r="F1754" s="139" t="str">
        <f>IFERROR(__xludf.DUMMYFUNCTION("""COMPUTED_VALUE"""),"Special")</f>
        <v>Special</v>
      </c>
      <c r="G1754" s="139"/>
      <c r="H1754" s="139"/>
      <c r="I1754" s="139">
        <f>IFERROR(__xludf.DUMMYFUNCTION("""COMPUTED_VALUE"""),250.0)</f>
        <v>250</v>
      </c>
      <c r="J1754" s="139">
        <f>IFERROR(__xludf.DUMMYFUNCTION("""COMPUTED_VALUE"""),0.0)</f>
        <v>0</v>
      </c>
      <c r="K1754" s="139">
        <f>IFERROR(__xludf.DUMMYFUNCTION("""COMPUTED_VALUE"""),0.0)</f>
        <v>0</v>
      </c>
      <c r="L1754" s="139"/>
      <c r="M1754" s="139"/>
      <c r="N1754" s="139"/>
    </row>
    <row r="1755">
      <c r="A1755" s="139" t="str">
        <f>IFERROR(__xludf.DUMMYFUNCTION("""COMPUTED_VALUE"""),"e")</f>
        <v>e</v>
      </c>
      <c r="B1755" s="139">
        <f>IFERROR(__xludf.DUMMYFUNCTION("""COMPUTED_VALUE"""),2.0250901E8)</f>
        <v>202509010</v>
      </c>
      <c r="C1755" s="139" t="str">
        <f>IFERROR(__xludf.DUMMYFUNCTION("""COMPUTED_VALUE"""),"c_gom_00201_general_h_Boss_Yellow_Normal_00000")</f>
        <v>c_gom_00201_general_h_Boss_Yellow_Normal_00000</v>
      </c>
      <c r="D1755" s="139" t="str">
        <f>IFERROR(__xludf.DUMMYFUNCTION("""COMPUTED_VALUE"""),"c_gom_00201_general_h_Boss_Yellow")</f>
        <v>c_gom_00201_general_h_Boss_Yellow</v>
      </c>
      <c r="E1755" s="139">
        <f>IFERROR(__xludf.DUMMYFUNCTION("""COMPUTED_VALUE"""),0.0)</f>
        <v>0</v>
      </c>
      <c r="F1755" s="139" t="str">
        <f>IFERROR(__xludf.DUMMYFUNCTION("""COMPUTED_VALUE"""),"Normal")</f>
        <v>Normal</v>
      </c>
      <c r="G1755" s="139"/>
      <c r="H1755" s="139"/>
      <c r="I1755" s="139">
        <f>IFERROR(__xludf.DUMMYFUNCTION("""COMPUTED_VALUE"""),65.0)</f>
        <v>65</v>
      </c>
      <c r="J1755" s="139">
        <f>IFERROR(__xludf.DUMMYFUNCTION("""COMPUTED_VALUE"""),0.0)</f>
        <v>0</v>
      </c>
      <c r="K1755" s="139">
        <f>IFERROR(__xludf.DUMMYFUNCTION("""COMPUTED_VALUE"""),100.0)</f>
        <v>100</v>
      </c>
      <c r="L1755" s="139"/>
      <c r="M1755" s="139"/>
      <c r="N1755" s="139"/>
    </row>
    <row r="1756">
      <c r="A1756" s="139" t="str">
        <f>IFERROR(__xludf.DUMMYFUNCTION("""COMPUTED_VALUE"""),"e")</f>
        <v>e</v>
      </c>
      <c r="B1756" s="139">
        <f>IFERROR(__xludf.DUMMYFUNCTION("""COMPUTED_VALUE"""),2.0250901E8)</f>
        <v>202509010</v>
      </c>
      <c r="C1756" s="139" t="str">
        <f>IFERROR(__xludf.DUMMYFUNCTION("""COMPUTED_VALUE"""),"c_gom_00201_general_h_Boss_Yellow_Appearance_00001")</f>
        <v>c_gom_00201_general_h_Boss_Yellow_Appearance_00001</v>
      </c>
      <c r="D1756" s="139" t="str">
        <f>IFERROR(__xludf.DUMMYFUNCTION("""COMPUTED_VALUE"""),"c_gom_00201_general_h_Boss_Yellow")</f>
        <v>c_gom_00201_general_h_Boss_Yellow</v>
      </c>
      <c r="E1756" s="139">
        <f>IFERROR(__xludf.DUMMYFUNCTION("""COMPUTED_VALUE"""),0.0)</f>
        <v>0</v>
      </c>
      <c r="F1756" s="139" t="str">
        <f>IFERROR(__xludf.DUMMYFUNCTION("""COMPUTED_VALUE"""),"Appearance")</f>
        <v>Appearance</v>
      </c>
      <c r="G1756" s="139"/>
      <c r="H1756" s="139"/>
      <c r="I1756" s="139">
        <f>IFERROR(__xludf.DUMMYFUNCTION("""COMPUTED_VALUE"""),50.0)</f>
        <v>50</v>
      </c>
      <c r="J1756" s="139">
        <f>IFERROR(__xludf.DUMMYFUNCTION("""COMPUTED_VALUE"""),0.0)</f>
        <v>0</v>
      </c>
      <c r="K1756" s="139">
        <f>IFERROR(__xludf.DUMMYFUNCTION("""COMPUTED_VALUE"""),0.0)</f>
        <v>0</v>
      </c>
      <c r="L1756" s="139"/>
      <c r="M1756" s="139"/>
      <c r="N1756" s="139"/>
    </row>
    <row r="1757">
      <c r="A1757" s="139" t="str">
        <f>IFERROR(__xludf.DUMMYFUNCTION("""COMPUTED_VALUE"""),"e")</f>
        <v>e</v>
      </c>
      <c r="B1757" s="139">
        <f>IFERROR(__xludf.DUMMYFUNCTION("""COMPUTED_VALUE"""),2.0250901E8)</f>
        <v>202509010</v>
      </c>
      <c r="C1757" s="139" t="str">
        <f>IFERROR(__xludf.DUMMYFUNCTION("""COMPUTED_VALUE"""),"c_gom_00201_general_h_Boss_Yellow_Special_00002")</f>
        <v>c_gom_00201_general_h_Boss_Yellow_Special_00002</v>
      </c>
      <c r="D1757" s="139" t="str">
        <f>IFERROR(__xludf.DUMMYFUNCTION("""COMPUTED_VALUE"""),"c_gom_00201_general_h_Boss_Yellow")</f>
        <v>c_gom_00201_general_h_Boss_Yellow</v>
      </c>
      <c r="E1757" s="139">
        <f>IFERROR(__xludf.DUMMYFUNCTION("""COMPUTED_VALUE"""),0.0)</f>
        <v>0</v>
      </c>
      <c r="F1757" s="139" t="str">
        <f>IFERROR(__xludf.DUMMYFUNCTION("""COMPUTED_VALUE"""),"Special")</f>
        <v>Special</v>
      </c>
      <c r="G1757" s="139"/>
      <c r="H1757" s="139"/>
      <c r="I1757" s="139">
        <f>IFERROR(__xludf.DUMMYFUNCTION("""COMPUTED_VALUE"""),250.0)</f>
        <v>250</v>
      </c>
      <c r="J1757" s="139">
        <f>IFERROR(__xludf.DUMMYFUNCTION("""COMPUTED_VALUE"""),0.0)</f>
        <v>0</v>
      </c>
      <c r="K1757" s="139">
        <f>IFERROR(__xludf.DUMMYFUNCTION("""COMPUTED_VALUE"""),0.0)</f>
        <v>0</v>
      </c>
      <c r="L1757" s="139"/>
      <c r="M1757" s="139"/>
      <c r="N1757" s="139"/>
    </row>
    <row r="1758">
      <c r="A1758" s="139" t="str">
        <f>IFERROR(__xludf.DUMMYFUNCTION("""COMPUTED_VALUE"""),"e")</f>
        <v>e</v>
      </c>
      <c r="B1758" s="139">
        <f>IFERROR(__xludf.DUMMYFUNCTION("""COMPUTED_VALUE"""),2.0250901E8)</f>
        <v>202509010</v>
      </c>
      <c r="C1758" s="139" t="str">
        <f>IFERROR(__xludf.DUMMYFUNCTION("""COMPUTED_VALUE"""),"c_gom_00201_general_vh_Boss_Yellow_Normal_00000")</f>
        <v>c_gom_00201_general_vh_Boss_Yellow_Normal_00000</v>
      </c>
      <c r="D1758" s="139" t="str">
        <f>IFERROR(__xludf.DUMMYFUNCTION("""COMPUTED_VALUE"""),"c_gom_00201_general_vh_Boss_Yellow")</f>
        <v>c_gom_00201_general_vh_Boss_Yellow</v>
      </c>
      <c r="E1758" s="139">
        <f>IFERROR(__xludf.DUMMYFUNCTION("""COMPUTED_VALUE"""),0.0)</f>
        <v>0</v>
      </c>
      <c r="F1758" s="139" t="str">
        <f>IFERROR(__xludf.DUMMYFUNCTION("""COMPUTED_VALUE"""),"Normal")</f>
        <v>Normal</v>
      </c>
      <c r="G1758" s="139"/>
      <c r="H1758" s="139"/>
      <c r="I1758" s="139">
        <f>IFERROR(__xludf.DUMMYFUNCTION("""COMPUTED_VALUE"""),65.0)</f>
        <v>65</v>
      </c>
      <c r="J1758" s="139">
        <f>IFERROR(__xludf.DUMMYFUNCTION("""COMPUTED_VALUE"""),0.0)</f>
        <v>0</v>
      </c>
      <c r="K1758" s="139">
        <f>IFERROR(__xludf.DUMMYFUNCTION("""COMPUTED_VALUE"""),100.0)</f>
        <v>100</v>
      </c>
      <c r="L1758" s="139"/>
      <c r="M1758" s="139"/>
      <c r="N1758" s="139"/>
    </row>
    <row r="1759">
      <c r="A1759" s="139" t="str">
        <f>IFERROR(__xludf.DUMMYFUNCTION("""COMPUTED_VALUE"""),"e")</f>
        <v>e</v>
      </c>
      <c r="B1759" s="139">
        <f>IFERROR(__xludf.DUMMYFUNCTION("""COMPUTED_VALUE"""),2.0250901E8)</f>
        <v>202509010</v>
      </c>
      <c r="C1759" s="139" t="str">
        <f>IFERROR(__xludf.DUMMYFUNCTION("""COMPUTED_VALUE"""),"c_gom_00201_general_vh_Boss_Yellow_Appearance_00001")</f>
        <v>c_gom_00201_general_vh_Boss_Yellow_Appearance_00001</v>
      </c>
      <c r="D1759" s="139" t="str">
        <f>IFERROR(__xludf.DUMMYFUNCTION("""COMPUTED_VALUE"""),"c_gom_00201_general_vh_Boss_Yellow")</f>
        <v>c_gom_00201_general_vh_Boss_Yellow</v>
      </c>
      <c r="E1759" s="139">
        <f>IFERROR(__xludf.DUMMYFUNCTION("""COMPUTED_VALUE"""),0.0)</f>
        <v>0</v>
      </c>
      <c r="F1759" s="139" t="str">
        <f>IFERROR(__xludf.DUMMYFUNCTION("""COMPUTED_VALUE"""),"Appearance")</f>
        <v>Appearance</v>
      </c>
      <c r="G1759" s="139"/>
      <c r="H1759" s="139"/>
      <c r="I1759" s="139">
        <f>IFERROR(__xludf.DUMMYFUNCTION("""COMPUTED_VALUE"""),50.0)</f>
        <v>50</v>
      </c>
      <c r="J1759" s="139">
        <f>IFERROR(__xludf.DUMMYFUNCTION("""COMPUTED_VALUE"""),0.0)</f>
        <v>0</v>
      </c>
      <c r="K1759" s="139">
        <f>IFERROR(__xludf.DUMMYFUNCTION("""COMPUTED_VALUE"""),0.0)</f>
        <v>0</v>
      </c>
      <c r="L1759" s="139"/>
      <c r="M1759" s="139"/>
      <c r="N1759" s="139"/>
    </row>
    <row r="1760">
      <c r="A1760" s="139" t="str">
        <f>IFERROR(__xludf.DUMMYFUNCTION("""COMPUTED_VALUE"""),"e")</f>
        <v>e</v>
      </c>
      <c r="B1760" s="139">
        <f>IFERROR(__xludf.DUMMYFUNCTION("""COMPUTED_VALUE"""),2.0250901E8)</f>
        <v>202509010</v>
      </c>
      <c r="C1760" s="139" t="str">
        <f>IFERROR(__xludf.DUMMYFUNCTION("""COMPUTED_VALUE"""),"c_gom_00201_general_vh_Boss_Yellow_Special_00002")</f>
        <v>c_gom_00201_general_vh_Boss_Yellow_Special_00002</v>
      </c>
      <c r="D1760" s="139" t="str">
        <f>IFERROR(__xludf.DUMMYFUNCTION("""COMPUTED_VALUE"""),"c_gom_00201_general_vh_Boss_Yellow")</f>
        <v>c_gom_00201_general_vh_Boss_Yellow</v>
      </c>
      <c r="E1760" s="139">
        <f>IFERROR(__xludf.DUMMYFUNCTION("""COMPUTED_VALUE"""),0.0)</f>
        <v>0</v>
      </c>
      <c r="F1760" s="139" t="str">
        <f>IFERROR(__xludf.DUMMYFUNCTION("""COMPUTED_VALUE"""),"Special")</f>
        <v>Special</v>
      </c>
      <c r="G1760" s="139"/>
      <c r="H1760" s="139"/>
      <c r="I1760" s="139">
        <f>IFERROR(__xludf.DUMMYFUNCTION("""COMPUTED_VALUE"""),250.0)</f>
        <v>250</v>
      </c>
      <c r="J1760" s="139">
        <f>IFERROR(__xludf.DUMMYFUNCTION("""COMPUTED_VALUE"""),0.0)</f>
        <v>0</v>
      </c>
      <c r="K1760" s="139">
        <f>IFERROR(__xludf.DUMMYFUNCTION("""COMPUTED_VALUE"""),0.0)</f>
        <v>0</v>
      </c>
      <c r="L1760" s="139"/>
      <c r="M1760" s="139"/>
      <c r="N1760" s="139"/>
    </row>
    <row r="1761">
      <c r="A1761" s="139" t="str">
        <f>IFERROR(__xludf.DUMMYFUNCTION("""COMPUTED_VALUE"""),"e")</f>
        <v>e</v>
      </c>
      <c r="B1761" s="139">
        <f>IFERROR(__xludf.DUMMYFUNCTION("""COMPUTED_VALUE"""),2.0250901E8)</f>
        <v>202509010</v>
      </c>
      <c r="C1761" s="139" t="str">
        <f>IFERROR(__xludf.DUMMYFUNCTION("""COMPUTED_VALUE"""),"c_gom_00101_general_n_Boss_Red_Normal_00000")</f>
        <v>c_gom_00101_general_n_Boss_Red_Normal_00000</v>
      </c>
      <c r="D1761" s="139" t="str">
        <f>IFERROR(__xludf.DUMMYFUNCTION("""COMPUTED_VALUE"""),"c_gom_00101_general_n_Boss_Red")</f>
        <v>c_gom_00101_general_n_Boss_Red</v>
      </c>
      <c r="E1761" s="139">
        <f>IFERROR(__xludf.DUMMYFUNCTION("""COMPUTED_VALUE"""),0.0)</f>
        <v>0</v>
      </c>
      <c r="F1761" s="139" t="str">
        <f>IFERROR(__xludf.DUMMYFUNCTION("""COMPUTED_VALUE"""),"Normal")</f>
        <v>Normal</v>
      </c>
      <c r="G1761" s="139"/>
      <c r="H1761" s="139"/>
      <c r="I1761" s="139">
        <f>IFERROR(__xludf.DUMMYFUNCTION("""COMPUTED_VALUE"""),145.0)</f>
        <v>145</v>
      </c>
      <c r="J1761" s="139">
        <f>IFERROR(__xludf.DUMMYFUNCTION("""COMPUTED_VALUE"""),75.0)</f>
        <v>75</v>
      </c>
      <c r="K1761" s="139">
        <f>IFERROR(__xludf.DUMMYFUNCTION("""COMPUTED_VALUE"""),100.0)</f>
        <v>100</v>
      </c>
      <c r="L1761" s="139"/>
      <c r="M1761" s="139"/>
      <c r="N1761" s="139"/>
    </row>
    <row r="1762">
      <c r="A1762" s="139" t="str">
        <f>IFERROR(__xludf.DUMMYFUNCTION("""COMPUTED_VALUE"""),"e")</f>
        <v>e</v>
      </c>
      <c r="B1762" s="139">
        <f>IFERROR(__xludf.DUMMYFUNCTION("""COMPUTED_VALUE"""),2.0250901E8)</f>
        <v>202509010</v>
      </c>
      <c r="C1762" s="139" t="str">
        <f>IFERROR(__xludf.DUMMYFUNCTION("""COMPUTED_VALUE"""),"c_gom_00101_general_n_Boss_Red_Appearance_00001")</f>
        <v>c_gom_00101_general_n_Boss_Red_Appearance_00001</v>
      </c>
      <c r="D1762" s="139" t="str">
        <f>IFERROR(__xludf.DUMMYFUNCTION("""COMPUTED_VALUE"""),"c_gom_00101_general_n_Boss_Red")</f>
        <v>c_gom_00101_general_n_Boss_Red</v>
      </c>
      <c r="E1762" s="139">
        <f>IFERROR(__xludf.DUMMYFUNCTION("""COMPUTED_VALUE"""),0.0)</f>
        <v>0</v>
      </c>
      <c r="F1762" s="139" t="str">
        <f>IFERROR(__xludf.DUMMYFUNCTION("""COMPUTED_VALUE"""),"Appearance")</f>
        <v>Appearance</v>
      </c>
      <c r="G1762" s="139"/>
      <c r="H1762" s="139"/>
      <c r="I1762" s="139">
        <f>IFERROR(__xludf.DUMMYFUNCTION("""COMPUTED_VALUE"""),50.0)</f>
        <v>50</v>
      </c>
      <c r="J1762" s="139">
        <f>IFERROR(__xludf.DUMMYFUNCTION("""COMPUTED_VALUE"""),0.0)</f>
        <v>0</v>
      </c>
      <c r="K1762" s="139">
        <f>IFERROR(__xludf.DUMMYFUNCTION("""COMPUTED_VALUE"""),0.0)</f>
        <v>0</v>
      </c>
      <c r="L1762" s="139"/>
      <c r="M1762" s="139"/>
      <c r="N1762" s="139"/>
    </row>
    <row r="1763">
      <c r="A1763" s="139" t="str">
        <f>IFERROR(__xludf.DUMMYFUNCTION("""COMPUTED_VALUE"""),"e")</f>
        <v>e</v>
      </c>
      <c r="B1763" s="139">
        <f>IFERROR(__xludf.DUMMYFUNCTION("""COMPUTED_VALUE"""),2.0250901E8)</f>
        <v>202509010</v>
      </c>
      <c r="C1763" s="139" t="str">
        <f>IFERROR(__xludf.DUMMYFUNCTION("""COMPUTED_VALUE"""),"c_gom_00101_general_n_Boss_Red_Special_00002")</f>
        <v>c_gom_00101_general_n_Boss_Red_Special_00002</v>
      </c>
      <c r="D1763" s="139" t="str">
        <f>IFERROR(__xludf.DUMMYFUNCTION("""COMPUTED_VALUE"""),"c_gom_00101_general_n_Boss_Red")</f>
        <v>c_gom_00101_general_n_Boss_Red</v>
      </c>
      <c r="E1763" s="139">
        <f>IFERROR(__xludf.DUMMYFUNCTION("""COMPUTED_VALUE"""),0.0)</f>
        <v>0</v>
      </c>
      <c r="F1763" s="139" t="str">
        <f>IFERROR(__xludf.DUMMYFUNCTION("""COMPUTED_VALUE"""),"Special")</f>
        <v>Special</v>
      </c>
      <c r="G1763" s="139"/>
      <c r="H1763" s="139"/>
      <c r="I1763" s="139">
        <f>IFERROR(__xludf.DUMMYFUNCTION("""COMPUTED_VALUE"""),230.0)</f>
        <v>230</v>
      </c>
      <c r="J1763" s="139">
        <f>IFERROR(__xludf.DUMMYFUNCTION("""COMPUTED_VALUE"""),150.0)</f>
        <v>150</v>
      </c>
      <c r="K1763" s="139">
        <f>IFERROR(__xludf.DUMMYFUNCTION("""COMPUTED_VALUE"""),0.0)</f>
        <v>0</v>
      </c>
      <c r="L1763" s="139"/>
      <c r="M1763" s="139"/>
      <c r="N1763" s="139"/>
    </row>
    <row r="1764">
      <c r="A1764" s="139" t="str">
        <f>IFERROR(__xludf.DUMMYFUNCTION("""COMPUTED_VALUE"""),"e")</f>
        <v>e</v>
      </c>
      <c r="B1764" s="139">
        <f>IFERROR(__xludf.DUMMYFUNCTION("""COMPUTED_VALUE"""),2.0250901E8)</f>
        <v>202509010</v>
      </c>
      <c r="C1764" s="139" t="str">
        <f>IFERROR(__xludf.DUMMYFUNCTION("""COMPUTED_VALUE"""),"c_gom_00101_general_n_Boss_Yellow_Normal_00000")</f>
        <v>c_gom_00101_general_n_Boss_Yellow_Normal_00000</v>
      </c>
      <c r="D1764" s="139" t="str">
        <f>IFERROR(__xludf.DUMMYFUNCTION("""COMPUTED_VALUE"""),"c_gom_00101_general_n_Boss_Yellow")</f>
        <v>c_gom_00101_general_n_Boss_Yellow</v>
      </c>
      <c r="E1764" s="139">
        <f>IFERROR(__xludf.DUMMYFUNCTION("""COMPUTED_VALUE"""),0.0)</f>
        <v>0</v>
      </c>
      <c r="F1764" s="139" t="str">
        <f>IFERROR(__xludf.DUMMYFUNCTION("""COMPUTED_VALUE"""),"Normal")</f>
        <v>Normal</v>
      </c>
      <c r="G1764" s="139"/>
      <c r="H1764" s="139"/>
      <c r="I1764" s="139">
        <f>IFERROR(__xludf.DUMMYFUNCTION("""COMPUTED_VALUE"""),145.0)</f>
        <v>145</v>
      </c>
      <c r="J1764" s="139">
        <f>IFERROR(__xludf.DUMMYFUNCTION("""COMPUTED_VALUE"""),75.0)</f>
        <v>75</v>
      </c>
      <c r="K1764" s="139">
        <f>IFERROR(__xludf.DUMMYFUNCTION("""COMPUTED_VALUE"""),100.0)</f>
        <v>100</v>
      </c>
      <c r="L1764" s="139"/>
      <c r="M1764" s="139"/>
      <c r="N1764" s="139"/>
    </row>
    <row r="1765">
      <c r="A1765" s="139" t="str">
        <f>IFERROR(__xludf.DUMMYFUNCTION("""COMPUTED_VALUE"""),"e")</f>
        <v>e</v>
      </c>
      <c r="B1765" s="139">
        <f>IFERROR(__xludf.DUMMYFUNCTION("""COMPUTED_VALUE"""),2.0250901E8)</f>
        <v>202509010</v>
      </c>
      <c r="C1765" s="139" t="str">
        <f>IFERROR(__xludf.DUMMYFUNCTION("""COMPUTED_VALUE"""),"c_gom_00101_general_n_Boss_Yellow_Appearance_00001")</f>
        <v>c_gom_00101_general_n_Boss_Yellow_Appearance_00001</v>
      </c>
      <c r="D1765" s="139" t="str">
        <f>IFERROR(__xludf.DUMMYFUNCTION("""COMPUTED_VALUE"""),"c_gom_00101_general_n_Boss_Yellow")</f>
        <v>c_gom_00101_general_n_Boss_Yellow</v>
      </c>
      <c r="E1765" s="139">
        <f>IFERROR(__xludf.DUMMYFUNCTION("""COMPUTED_VALUE"""),0.0)</f>
        <v>0</v>
      </c>
      <c r="F1765" s="139" t="str">
        <f>IFERROR(__xludf.DUMMYFUNCTION("""COMPUTED_VALUE"""),"Appearance")</f>
        <v>Appearance</v>
      </c>
      <c r="G1765" s="139"/>
      <c r="H1765" s="139"/>
      <c r="I1765" s="139">
        <f>IFERROR(__xludf.DUMMYFUNCTION("""COMPUTED_VALUE"""),50.0)</f>
        <v>50</v>
      </c>
      <c r="J1765" s="139">
        <f>IFERROR(__xludf.DUMMYFUNCTION("""COMPUTED_VALUE"""),0.0)</f>
        <v>0</v>
      </c>
      <c r="K1765" s="139">
        <f>IFERROR(__xludf.DUMMYFUNCTION("""COMPUTED_VALUE"""),0.0)</f>
        <v>0</v>
      </c>
      <c r="L1765" s="139"/>
      <c r="M1765" s="139"/>
      <c r="N1765" s="139"/>
    </row>
    <row r="1766">
      <c r="A1766" s="139" t="str">
        <f>IFERROR(__xludf.DUMMYFUNCTION("""COMPUTED_VALUE"""),"e")</f>
        <v>e</v>
      </c>
      <c r="B1766" s="139">
        <f>IFERROR(__xludf.DUMMYFUNCTION("""COMPUTED_VALUE"""),2.0250901E8)</f>
        <v>202509010</v>
      </c>
      <c r="C1766" s="139" t="str">
        <f>IFERROR(__xludf.DUMMYFUNCTION("""COMPUTED_VALUE"""),"c_gom_00101_general_n_Boss_Yellow_Special_00002")</f>
        <v>c_gom_00101_general_n_Boss_Yellow_Special_00002</v>
      </c>
      <c r="D1766" s="139" t="str">
        <f>IFERROR(__xludf.DUMMYFUNCTION("""COMPUTED_VALUE"""),"c_gom_00101_general_n_Boss_Yellow")</f>
        <v>c_gom_00101_general_n_Boss_Yellow</v>
      </c>
      <c r="E1766" s="139">
        <f>IFERROR(__xludf.DUMMYFUNCTION("""COMPUTED_VALUE"""),0.0)</f>
        <v>0</v>
      </c>
      <c r="F1766" s="139" t="str">
        <f>IFERROR(__xludf.DUMMYFUNCTION("""COMPUTED_VALUE"""),"Special")</f>
        <v>Special</v>
      </c>
      <c r="G1766" s="139"/>
      <c r="H1766" s="139"/>
      <c r="I1766" s="139">
        <f>IFERROR(__xludf.DUMMYFUNCTION("""COMPUTED_VALUE"""),230.0)</f>
        <v>230</v>
      </c>
      <c r="J1766" s="139">
        <f>IFERROR(__xludf.DUMMYFUNCTION("""COMPUTED_VALUE"""),150.0)</f>
        <v>150</v>
      </c>
      <c r="K1766" s="139">
        <f>IFERROR(__xludf.DUMMYFUNCTION("""COMPUTED_VALUE"""),0.0)</f>
        <v>0</v>
      </c>
      <c r="L1766" s="139"/>
      <c r="M1766" s="139"/>
      <c r="N1766" s="139"/>
    </row>
    <row r="1767">
      <c r="A1767" s="139" t="str">
        <f>IFERROR(__xludf.DUMMYFUNCTION("""COMPUTED_VALUE"""),"e")</f>
        <v>e</v>
      </c>
      <c r="B1767" s="139">
        <f>IFERROR(__xludf.DUMMYFUNCTION("""COMPUTED_VALUE"""),2.0250901E8)</f>
        <v>202509010</v>
      </c>
      <c r="C1767" s="139" t="str">
        <f>IFERROR(__xludf.DUMMYFUNCTION("""COMPUTED_VALUE"""),"c_gom_00101_general_h_Boss_Red_Normal_00000")</f>
        <v>c_gom_00101_general_h_Boss_Red_Normal_00000</v>
      </c>
      <c r="D1767" s="139" t="str">
        <f>IFERROR(__xludf.DUMMYFUNCTION("""COMPUTED_VALUE"""),"c_gom_00101_general_h_Boss_Red")</f>
        <v>c_gom_00101_general_h_Boss_Red</v>
      </c>
      <c r="E1767" s="139">
        <f>IFERROR(__xludf.DUMMYFUNCTION("""COMPUTED_VALUE"""),0.0)</f>
        <v>0</v>
      </c>
      <c r="F1767" s="139" t="str">
        <f>IFERROR(__xludf.DUMMYFUNCTION("""COMPUTED_VALUE"""),"Normal")</f>
        <v>Normal</v>
      </c>
      <c r="G1767" s="139"/>
      <c r="H1767" s="139"/>
      <c r="I1767" s="139">
        <f>IFERROR(__xludf.DUMMYFUNCTION("""COMPUTED_VALUE"""),145.0)</f>
        <v>145</v>
      </c>
      <c r="J1767" s="139">
        <f>IFERROR(__xludf.DUMMYFUNCTION("""COMPUTED_VALUE"""),75.0)</f>
        <v>75</v>
      </c>
      <c r="K1767" s="139">
        <f>IFERROR(__xludf.DUMMYFUNCTION("""COMPUTED_VALUE"""),100.0)</f>
        <v>100</v>
      </c>
      <c r="L1767" s="139"/>
      <c r="M1767" s="139"/>
      <c r="N1767" s="139"/>
    </row>
    <row r="1768">
      <c r="A1768" s="139" t="str">
        <f>IFERROR(__xludf.DUMMYFUNCTION("""COMPUTED_VALUE"""),"e")</f>
        <v>e</v>
      </c>
      <c r="B1768" s="139">
        <f>IFERROR(__xludf.DUMMYFUNCTION("""COMPUTED_VALUE"""),2.0250901E8)</f>
        <v>202509010</v>
      </c>
      <c r="C1768" s="139" t="str">
        <f>IFERROR(__xludf.DUMMYFUNCTION("""COMPUTED_VALUE"""),"c_gom_00101_general_h_Boss_Red_Appearance_00001")</f>
        <v>c_gom_00101_general_h_Boss_Red_Appearance_00001</v>
      </c>
      <c r="D1768" s="139" t="str">
        <f>IFERROR(__xludf.DUMMYFUNCTION("""COMPUTED_VALUE"""),"c_gom_00101_general_h_Boss_Red")</f>
        <v>c_gom_00101_general_h_Boss_Red</v>
      </c>
      <c r="E1768" s="139">
        <f>IFERROR(__xludf.DUMMYFUNCTION("""COMPUTED_VALUE"""),0.0)</f>
        <v>0</v>
      </c>
      <c r="F1768" s="139" t="str">
        <f>IFERROR(__xludf.DUMMYFUNCTION("""COMPUTED_VALUE"""),"Appearance")</f>
        <v>Appearance</v>
      </c>
      <c r="G1768" s="139"/>
      <c r="H1768" s="139"/>
      <c r="I1768" s="139">
        <f>IFERROR(__xludf.DUMMYFUNCTION("""COMPUTED_VALUE"""),50.0)</f>
        <v>50</v>
      </c>
      <c r="J1768" s="139">
        <f>IFERROR(__xludf.DUMMYFUNCTION("""COMPUTED_VALUE"""),0.0)</f>
        <v>0</v>
      </c>
      <c r="K1768" s="139">
        <f>IFERROR(__xludf.DUMMYFUNCTION("""COMPUTED_VALUE"""),0.0)</f>
        <v>0</v>
      </c>
      <c r="L1768" s="139"/>
      <c r="M1768" s="139"/>
      <c r="N1768" s="139"/>
    </row>
    <row r="1769">
      <c r="A1769" s="139" t="str">
        <f>IFERROR(__xludf.DUMMYFUNCTION("""COMPUTED_VALUE"""),"e")</f>
        <v>e</v>
      </c>
      <c r="B1769" s="139">
        <f>IFERROR(__xludf.DUMMYFUNCTION("""COMPUTED_VALUE"""),2.0250901E8)</f>
        <v>202509010</v>
      </c>
      <c r="C1769" s="139" t="str">
        <f>IFERROR(__xludf.DUMMYFUNCTION("""COMPUTED_VALUE"""),"c_gom_00101_general_h_Boss_Red_Special_00002")</f>
        <v>c_gom_00101_general_h_Boss_Red_Special_00002</v>
      </c>
      <c r="D1769" s="139" t="str">
        <f>IFERROR(__xludf.DUMMYFUNCTION("""COMPUTED_VALUE"""),"c_gom_00101_general_h_Boss_Red")</f>
        <v>c_gom_00101_general_h_Boss_Red</v>
      </c>
      <c r="E1769" s="139">
        <f>IFERROR(__xludf.DUMMYFUNCTION("""COMPUTED_VALUE"""),0.0)</f>
        <v>0</v>
      </c>
      <c r="F1769" s="139" t="str">
        <f>IFERROR(__xludf.DUMMYFUNCTION("""COMPUTED_VALUE"""),"Special")</f>
        <v>Special</v>
      </c>
      <c r="G1769" s="139"/>
      <c r="H1769" s="139"/>
      <c r="I1769" s="139">
        <f>IFERROR(__xludf.DUMMYFUNCTION("""COMPUTED_VALUE"""),230.0)</f>
        <v>230</v>
      </c>
      <c r="J1769" s="139">
        <f>IFERROR(__xludf.DUMMYFUNCTION("""COMPUTED_VALUE"""),150.0)</f>
        <v>150</v>
      </c>
      <c r="K1769" s="139">
        <f>IFERROR(__xludf.DUMMYFUNCTION("""COMPUTED_VALUE"""),0.0)</f>
        <v>0</v>
      </c>
      <c r="L1769" s="139"/>
      <c r="M1769" s="139"/>
      <c r="N1769" s="139"/>
    </row>
    <row r="1770">
      <c r="A1770" s="139" t="str">
        <f>IFERROR(__xludf.DUMMYFUNCTION("""COMPUTED_VALUE"""),"e")</f>
        <v>e</v>
      </c>
      <c r="B1770" s="139">
        <f>IFERROR(__xludf.DUMMYFUNCTION("""COMPUTED_VALUE"""),2.0250901E8)</f>
        <v>202509010</v>
      </c>
      <c r="C1770" s="139" t="str">
        <f>IFERROR(__xludf.DUMMYFUNCTION("""COMPUTED_VALUE"""),"c_gom_00101_general_h_Boss_Yellow_Normal_00000")</f>
        <v>c_gom_00101_general_h_Boss_Yellow_Normal_00000</v>
      </c>
      <c r="D1770" s="139" t="str">
        <f>IFERROR(__xludf.DUMMYFUNCTION("""COMPUTED_VALUE"""),"c_gom_00101_general_h_Boss_Yellow")</f>
        <v>c_gom_00101_general_h_Boss_Yellow</v>
      </c>
      <c r="E1770" s="139">
        <f>IFERROR(__xludf.DUMMYFUNCTION("""COMPUTED_VALUE"""),0.0)</f>
        <v>0</v>
      </c>
      <c r="F1770" s="139" t="str">
        <f>IFERROR(__xludf.DUMMYFUNCTION("""COMPUTED_VALUE"""),"Normal")</f>
        <v>Normal</v>
      </c>
      <c r="G1770" s="139"/>
      <c r="H1770" s="139"/>
      <c r="I1770" s="139">
        <f>IFERROR(__xludf.DUMMYFUNCTION("""COMPUTED_VALUE"""),145.0)</f>
        <v>145</v>
      </c>
      <c r="J1770" s="139">
        <f>IFERROR(__xludf.DUMMYFUNCTION("""COMPUTED_VALUE"""),75.0)</f>
        <v>75</v>
      </c>
      <c r="K1770" s="139">
        <f>IFERROR(__xludf.DUMMYFUNCTION("""COMPUTED_VALUE"""),100.0)</f>
        <v>100</v>
      </c>
      <c r="L1770" s="139"/>
      <c r="M1770" s="139"/>
      <c r="N1770" s="139"/>
    </row>
    <row r="1771">
      <c r="A1771" s="139" t="str">
        <f>IFERROR(__xludf.DUMMYFUNCTION("""COMPUTED_VALUE"""),"e")</f>
        <v>e</v>
      </c>
      <c r="B1771" s="139">
        <f>IFERROR(__xludf.DUMMYFUNCTION("""COMPUTED_VALUE"""),2.0250901E8)</f>
        <v>202509010</v>
      </c>
      <c r="C1771" s="139" t="str">
        <f>IFERROR(__xludf.DUMMYFUNCTION("""COMPUTED_VALUE"""),"c_gom_00101_general_h_Boss_Yellow_Appearance_00001")</f>
        <v>c_gom_00101_general_h_Boss_Yellow_Appearance_00001</v>
      </c>
      <c r="D1771" s="139" t="str">
        <f>IFERROR(__xludf.DUMMYFUNCTION("""COMPUTED_VALUE"""),"c_gom_00101_general_h_Boss_Yellow")</f>
        <v>c_gom_00101_general_h_Boss_Yellow</v>
      </c>
      <c r="E1771" s="139">
        <f>IFERROR(__xludf.DUMMYFUNCTION("""COMPUTED_VALUE"""),0.0)</f>
        <v>0</v>
      </c>
      <c r="F1771" s="139" t="str">
        <f>IFERROR(__xludf.DUMMYFUNCTION("""COMPUTED_VALUE"""),"Appearance")</f>
        <v>Appearance</v>
      </c>
      <c r="G1771" s="139"/>
      <c r="H1771" s="139"/>
      <c r="I1771" s="139">
        <f>IFERROR(__xludf.DUMMYFUNCTION("""COMPUTED_VALUE"""),50.0)</f>
        <v>50</v>
      </c>
      <c r="J1771" s="139">
        <f>IFERROR(__xludf.DUMMYFUNCTION("""COMPUTED_VALUE"""),0.0)</f>
        <v>0</v>
      </c>
      <c r="K1771" s="139">
        <f>IFERROR(__xludf.DUMMYFUNCTION("""COMPUTED_VALUE"""),0.0)</f>
        <v>0</v>
      </c>
      <c r="L1771" s="139"/>
      <c r="M1771" s="139"/>
      <c r="N1771" s="139"/>
    </row>
    <row r="1772">
      <c r="A1772" s="139" t="str">
        <f>IFERROR(__xludf.DUMMYFUNCTION("""COMPUTED_VALUE"""),"e")</f>
        <v>e</v>
      </c>
      <c r="B1772" s="139">
        <f>IFERROR(__xludf.DUMMYFUNCTION("""COMPUTED_VALUE"""),2.0250901E8)</f>
        <v>202509010</v>
      </c>
      <c r="C1772" s="139" t="str">
        <f>IFERROR(__xludf.DUMMYFUNCTION("""COMPUTED_VALUE"""),"c_gom_00101_general_h_Boss_Yellow_Special_00002")</f>
        <v>c_gom_00101_general_h_Boss_Yellow_Special_00002</v>
      </c>
      <c r="D1772" s="139" t="str">
        <f>IFERROR(__xludf.DUMMYFUNCTION("""COMPUTED_VALUE"""),"c_gom_00101_general_h_Boss_Yellow")</f>
        <v>c_gom_00101_general_h_Boss_Yellow</v>
      </c>
      <c r="E1772" s="139">
        <f>IFERROR(__xludf.DUMMYFUNCTION("""COMPUTED_VALUE"""),0.0)</f>
        <v>0</v>
      </c>
      <c r="F1772" s="139" t="str">
        <f>IFERROR(__xludf.DUMMYFUNCTION("""COMPUTED_VALUE"""),"Special")</f>
        <v>Special</v>
      </c>
      <c r="G1772" s="139"/>
      <c r="H1772" s="139"/>
      <c r="I1772" s="139">
        <f>IFERROR(__xludf.DUMMYFUNCTION("""COMPUTED_VALUE"""),230.0)</f>
        <v>230</v>
      </c>
      <c r="J1772" s="139">
        <f>IFERROR(__xludf.DUMMYFUNCTION("""COMPUTED_VALUE"""),150.0)</f>
        <v>150</v>
      </c>
      <c r="K1772" s="139">
        <f>IFERROR(__xludf.DUMMYFUNCTION("""COMPUTED_VALUE"""),0.0)</f>
        <v>0</v>
      </c>
      <c r="L1772" s="139"/>
      <c r="M1772" s="139"/>
      <c r="N1772" s="139"/>
    </row>
    <row r="1773">
      <c r="A1773" s="139" t="str">
        <f>IFERROR(__xludf.DUMMYFUNCTION("""COMPUTED_VALUE"""),"e")</f>
        <v>e</v>
      </c>
      <c r="B1773" s="139">
        <f>IFERROR(__xludf.DUMMYFUNCTION("""COMPUTED_VALUE"""),2.0250901E8)</f>
        <v>202509010</v>
      </c>
      <c r="C1773" s="139" t="str">
        <f>IFERROR(__xludf.DUMMYFUNCTION("""COMPUTED_VALUE"""),"c_gom_00101_general_vh_Boss_Red_Normal_00000")</f>
        <v>c_gom_00101_general_vh_Boss_Red_Normal_00000</v>
      </c>
      <c r="D1773" s="139" t="str">
        <f>IFERROR(__xludf.DUMMYFUNCTION("""COMPUTED_VALUE"""),"c_gom_00101_general_vh_Boss_Red")</f>
        <v>c_gom_00101_general_vh_Boss_Red</v>
      </c>
      <c r="E1773" s="139">
        <f>IFERROR(__xludf.DUMMYFUNCTION("""COMPUTED_VALUE"""),0.0)</f>
        <v>0</v>
      </c>
      <c r="F1773" s="139" t="str">
        <f>IFERROR(__xludf.DUMMYFUNCTION("""COMPUTED_VALUE"""),"Normal")</f>
        <v>Normal</v>
      </c>
      <c r="G1773" s="139"/>
      <c r="H1773" s="139"/>
      <c r="I1773" s="139">
        <f>IFERROR(__xludf.DUMMYFUNCTION("""COMPUTED_VALUE"""),145.0)</f>
        <v>145</v>
      </c>
      <c r="J1773" s="139">
        <f>IFERROR(__xludf.DUMMYFUNCTION("""COMPUTED_VALUE"""),75.0)</f>
        <v>75</v>
      </c>
      <c r="K1773" s="139">
        <f>IFERROR(__xludf.DUMMYFUNCTION("""COMPUTED_VALUE"""),100.0)</f>
        <v>100</v>
      </c>
      <c r="L1773" s="139"/>
      <c r="M1773" s="139"/>
      <c r="N1773" s="139"/>
    </row>
    <row r="1774">
      <c r="A1774" s="139" t="str">
        <f>IFERROR(__xludf.DUMMYFUNCTION("""COMPUTED_VALUE"""),"e")</f>
        <v>e</v>
      </c>
      <c r="B1774" s="139">
        <f>IFERROR(__xludf.DUMMYFUNCTION("""COMPUTED_VALUE"""),2.0250901E8)</f>
        <v>202509010</v>
      </c>
      <c r="C1774" s="139" t="str">
        <f>IFERROR(__xludf.DUMMYFUNCTION("""COMPUTED_VALUE"""),"c_gom_00101_general_vh_Boss_Red_Appearance_00001")</f>
        <v>c_gom_00101_general_vh_Boss_Red_Appearance_00001</v>
      </c>
      <c r="D1774" s="139" t="str">
        <f>IFERROR(__xludf.DUMMYFUNCTION("""COMPUTED_VALUE"""),"c_gom_00101_general_vh_Boss_Red")</f>
        <v>c_gom_00101_general_vh_Boss_Red</v>
      </c>
      <c r="E1774" s="139">
        <f>IFERROR(__xludf.DUMMYFUNCTION("""COMPUTED_VALUE"""),0.0)</f>
        <v>0</v>
      </c>
      <c r="F1774" s="139" t="str">
        <f>IFERROR(__xludf.DUMMYFUNCTION("""COMPUTED_VALUE"""),"Appearance")</f>
        <v>Appearance</v>
      </c>
      <c r="G1774" s="139"/>
      <c r="H1774" s="139"/>
      <c r="I1774" s="139">
        <f>IFERROR(__xludf.DUMMYFUNCTION("""COMPUTED_VALUE"""),50.0)</f>
        <v>50</v>
      </c>
      <c r="J1774" s="139">
        <f>IFERROR(__xludf.DUMMYFUNCTION("""COMPUTED_VALUE"""),0.0)</f>
        <v>0</v>
      </c>
      <c r="K1774" s="139">
        <f>IFERROR(__xludf.DUMMYFUNCTION("""COMPUTED_VALUE"""),0.0)</f>
        <v>0</v>
      </c>
      <c r="L1774" s="139"/>
      <c r="M1774" s="139"/>
      <c r="N1774" s="139"/>
    </row>
    <row r="1775">
      <c r="A1775" s="139" t="str">
        <f>IFERROR(__xludf.DUMMYFUNCTION("""COMPUTED_VALUE"""),"e")</f>
        <v>e</v>
      </c>
      <c r="B1775" s="139">
        <f>IFERROR(__xludf.DUMMYFUNCTION("""COMPUTED_VALUE"""),2.0250901E8)</f>
        <v>202509010</v>
      </c>
      <c r="C1775" s="139" t="str">
        <f>IFERROR(__xludf.DUMMYFUNCTION("""COMPUTED_VALUE"""),"c_gom_00101_general_vh_Boss_Red_Special_00002")</f>
        <v>c_gom_00101_general_vh_Boss_Red_Special_00002</v>
      </c>
      <c r="D1775" s="139" t="str">
        <f>IFERROR(__xludf.DUMMYFUNCTION("""COMPUTED_VALUE"""),"c_gom_00101_general_vh_Boss_Red")</f>
        <v>c_gom_00101_general_vh_Boss_Red</v>
      </c>
      <c r="E1775" s="139">
        <f>IFERROR(__xludf.DUMMYFUNCTION("""COMPUTED_VALUE"""),0.0)</f>
        <v>0</v>
      </c>
      <c r="F1775" s="139" t="str">
        <f>IFERROR(__xludf.DUMMYFUNCTION("""COMPUTED_VALUE"""),"Special")</f>
        <v>Special</v>
      </c>
      <c r="G1775" s="139"/>
      <c r="H1775" s="139"/>
      <c r="I1775" s="139">
        <f>IFERROR(__xludf.DUMMYFUNCTION("""COMPUTED_VALUE"""),230.0)</f>
        <v>230</v>
      </c>
      <c r="J1775" s="139">
        <f>IFERROR(__xludf.DUMMYFUNCTION("""COMPUTED_VALUE"""),150.0)</f>
        <v>150</v>
      </c>
      <c r="K1775" s="139">
        <f>IFERROR(__xludf.DUMMYFUNCTION("""COMPUTED_VALUE"""),0.0)</f>
        <v>0</v>
      </c>
      <c r="L1775" s="139"/>
      <c r="M1775" s="139"/>
      <c r="N1775" s="139"/>
    </row>
    <row r="1776">
      <c r="A1776" s="139" t="str">
        <f>IFERROR(__xludf.DUMMYFUNCTION("""COMPUTED_VALUE"""),"e")</f>
        <v>e</v>
      </c>
      <c r="B1776" s="139">
        <f>IFERROR(__xludf.DUMMYFUNCTION("""COMPUTED_VALUE"""),2.0250901E8)</f>
        <v>202509010</v>
      </c>
      <c r="C1776" s="139" t="str">
        <f>IFERROR(__xludf.DUMMYFUNCTION("""COMPUTED_VALUE"""),"c_gom_00101_general_vh_Boss_Yellow_Normal_00000")</f>
        <v>c_gom_00101_general_vh_Boss_Yellow_Normal_00000</v>
      </c>
      <c r="D1776" s="139" t="str">
        <f>IFERROR(__xludf.DUMMYFUNCTION("""COMPUTED_VALUE"""),"c_gom_00101_general_vh_Boss_Yellow")</f>
        <v>c_gom_00101_general_vh_Boss_Yellow</v>
      </c>
      <c r="E1776" s="139">
        <f>IFERROR(__xludf.DUMMYFUNCTION("""COMPUTED_VALUE"""),0.0)</f>
        <v>0</v>
      </c>
      <c r="F1776" s="139" t="str">
        <f>IFERROR(__xludf.DUMMYFUNCTION("""COMPUTED_VALUE"""),"Normal")</f>
        <v>Normal</v>
      </c>
      <c r="G1776" s="139"/>
      <c r="H1776" s="139"/>
      <c r="I1776" s="139">
        <f>IFERROR(__xludf.DUMMYFUNCTION("""COMPUTED_VALUE"""),145.0)</f>
        <v>145</v>
      </c>
      <c r="J1776" s="139">
        <f>IFERROR(__xludf.DUMMYFUNCTION("""COMPUTED_VALUE"""),75.0)</f>
        <v>75</v>
      </c>
      <c r="K1776" s="139">
        <f>IFERROR(__xludf.DUMMYFUNCTION("""COMPUTED_VALUE"""),100.0)</f>
        <v>100</v>
      </c>
      <c r="L1776" s="139"/>
      <c r="M1776" s="139"/>
      <c r="N1776" s="139"/>
    </row>
    <row r="1777">
      <c r="A1777" s="139" t="str">
        <f>IFERROR(__xludf.DUMMYFUNCTION("""COMPUTED_VALUE"""),"e")</f>
        <v>e</v>
      </c>
      <c r="B1777" s="139">
        <f>IFERROR(__xludf.DUMMYFUNCTION("""COMPUTED_VALUE"""),2.0250901E8)</f>
        <v>202509010</v>
      </c>
      <c r="C1777" s="139" t="str">
        <f>IFERROR(__xludf.DUMMYFUNCTION("""COMPUTED_VALUE"""),"c_gom_00101_general_vh_Boss_Yellow_Appearance_00001")</f>
        <v>c_gom_00101_general_vh_Boss_Yellow_Appearance_00001</v>
      </c>
      <c r="D1777" s="139" t="str">
        <f>IFERROR(__xludf.DUMMYFUNCTION("""COMPUTED_VALUE"""),"c_gom_00101_general_vh_Boss_Yellow")</f>
        <v>c_gom_00101_general_vh_Boss_Yellow</v>
      </c>
      <c r="E1777" s="139">
        <f>IFERROR(__xludf.DUMMYFUNCTION("""COMPUTED_VALUE"""),0.0)</f>
        <v>0</v>
      </c>
      <c r="F1777" s="139" t="str">
        <f>IFERROR(__xludf.DUMMYFUNCTION("""COMPUTED_VALUE"""),"Appearance")</f>
        <v>Appearance</v>
      </c>
      <c r="G1777" s="139"/>
      <c r="H1777" s="139"/>
      <c r="I1777" s="139">
        <f>IFERROR(__xludf.DUMMYFUNCTION("""COMPUTED_VALUE"""),50.0)</f>
        <v>50</v>
      </c>
      <c r="J1777" s="139">
        <f>IFERROR(__xludf.DUMMYFUNCTION("""COMPUTED_VALUE"""),0.0)</f>
        <v>0</v>
      </c>
      <c r="K1777" s="139">
        <f>IFERROR(__xludf.DUMMYFUNCTION("""COMPUTED_VALUE"""),0.0)</f>
        <v>0</v>
      </c>
      <c r="L1777" s="139"/>
      <c r="M1777" s="139"/>
      <c r="N1777" s="139"/>
    </row>
    <row r="1778">
      <c r="A1778" s="139" t="str">
        <f>IFERROR(__xludf.DUMMYFUNCTION("""COMPUTED_VALUE"""),"e")</f>
        <v>e</v>
      </c>
      <c r="B1778" s="139">
        <f>IFERROR(__xludf.DUMMYFUNCTION("""COMPUTED_VALUE"""),2.0250901E8)</f>
        <v>202509010</v>
      </c>
      <c r="C1778" s="139" t="str">
        <f>IFERROR(__xludf.DUMMYFUNCTION("""COMPUTED_VALUE"""),"c_gom_00101_general_vh_Boss_Yellow_Special_00002")</f>
        <v>c_gom_00101_general_vh_Boss_Yellow_Special_00002</v>
      </c>
      <c r="D1778" s="139" t="str">
        <f>IFERROR(__xludf.DUMMYFUNCTION("""COMPUTED_VALUE"""),"c_gom_00101_general_vh_Boss_Yellow")</f>
        <v>c_gom_00101_general_vh_Boss_Yellow</v>
      </c>
      <c r="E1778" s="139">
        <f>IFERROR(__xludf.DUMMYFUNCTION("""COMPUTED_VALUE"""),0.0)</f>
        <v>0</v>
      </c>
      <c r="F1778" s="139" t="str">
        <f>IFERROR(__xludf.DUMMYFUNCTION("""COMPUTED_VALUE"""),"Special")</f>
        <v>Special</v>
      </c>
      <c r="G1778" s="139"/>
      <c r="H1778" s="139"/>
      <c r="I1778" s="139">
        <f>IFERROR(__xludf.DUMMYFUNCTION("""COMPUTED_VALUE"""),230.0)</f>
        <v>230</v>
      </c>
      <c r="J1778" s="139">
        <f>IFERROR(__xludf.DUMMYFUNCTION("""COMPUTED_VALUE"""),150.0)</f>
        <v>150</v>
      </c>
      <c r="K1778" s="139">
        <f>IFERROR(__xludf.DUMMYFUNCTION("""COMPUTED_VALUE"""),0.0)</f>
        <v>0</v>
      </c>
      <c r="L1778" s="139"/>
      <c r="M1778" s="139"/>
      <c r="N1778" s="139"/>
    </row>
    <row r="1779">
      <c r="A1779" s="139" t="str">
        <f>IFERROR(__xludf.DUMMYFUNCTION("""COMPUTED_VALUE"""),"e")</f>
        <v>e</v>
      </c>
      <c r="B1779" s="139">
        <f>IFERROR(__xludf.DUMMYFUNCTION("""COMPUTED_VALUE"""),2.0250901E8)</f>
        <v>202509010</v>
      </c>
      <c r="C1779" s="139" t="str">
        <f>IFERROR(__xludf.DUMMYFUNCTION("""COMPUTED_VALUE"""),"e_gom_00701_general_vh_Normal_Blue_Normal_00000")</f>
        <v>e_gom_00701_general_vh_Normal_Blue_Normal_00000</v>
      </c>
      <c r="D1779" s="139" t="str">
        <f>IFERROR(__xludf.DUMMYFUNCTION("""COMPUTED_VALUE"""),"e_gom_00701_general_vh_Normal_Blue")</f>
        <v>e_gom_00701_general_vh_Normal_Blue</v>
      </c>
      <c r="E1779" s="139">
        <f>IFERROR(__xludf.DUMMYFUNCTION("""COMPUTED_VALUE"""),0.0)</f>
        <v>0</v>
      </c>
      <c r="F1779" s="139" t="str">
        <f>IFERROR(__xludf.DUMMYFUNCTION("""COMPUTED_VALUE"""),"Normal")</f>
        <v>Normal</v>
      </c>
      <c r="G1779" s="139"/>
      <c r="H1779" s="139"/>
      <c r="I1779" s="139">
        <f>IFERROR(__xludf.DUMMYFUNCTION("""COMPUTED_VALUE"""),50.0)</f>
        <v>50</v>
      </c>
      <c r="J1779" s="139">
        <f>IFERROR(__xludf.DUMMYFUNCTION("""COMPUTED_VALUE"""),42.0)</f>
        <v>42</v>
      </c>
      <c r="K1779" s="139">
        <f>IFERROR(__xludf.DUMMYFUNCTION("""COMPUTED_VALUE"""),100.0)</f>
        <v>100</v>
      </c>
      <c r="L1779" s="139"/>
      <c r="M1779" s="139"/>
      <c r="N1779" s="139"/>
    </row>
    <row r="1780">
      <c r="A1780" s="139" t="str">
        <f>IFERROR(__xludf.DUMMYFUNCTION("""COMPUTED_VALUE"""),"e")</f>
        <v>e</v>
      </c>
      <c r="B1780" s="139">
        <f>IFERROR(__xludf.DUMMYFUNCTION("""COMPUTED_VALUE"""),2.0250901E8)</f>
        <v>202509010</v>
      </c>
      <c r="C1780" s="139" t="str">
        <f>IFERROR(__xludf.DUMMYFUNCTION("""COMPUTED_VALUE"""),"e_gom_00701_general_n_Boss_Colorless_Normal_00000")</f>
        <v>e_gom_00701_general_n_Boss_Colorless_Normal_00000</v>
      </c>
      <c r="D1780" s="139" t="str">
        <f>IFERROR(__xludf.DUMMYFUNCTION("""COMPUTED_VALUE"""),"e_gom_00701_general_n_Boss_Colorless")</f>
        <v>e_gom_00701_general_n_Boss_Colorless</v>
      </c>
      <c r="E1780" s="139">
        <f>IFERROR(__xludf.DUMMYFUNCTION("""COMPUTED_VALUE"""),0.0)</f>
        <v>0</v>
      </c>
      <c r="F1780" s="139" t="str">
        <f>IFERROR(__xludf.DUMMYFUNCTION("""COMPUTED_VALUE"""),"Normal")</f>
        <v>Normal</v>
      </c>
      <c r="G1780" s="139"/>
      <c r="H1780" s="139"/>
      <c r="I1780" s="139">
        <f>IFERROR(__xludf.DUMMYFUNCTION("""COMPUTED_VALUE"""),50.0)</f>
        <v>50</v>
      </c>
      <c r="J1780" s="139">
        <f>IFERROR(__xludf.DUMMYFUNCTION("""COMPUTED_VALUE"""),42.0)</f>
        <v>42</v>
      </c>
      <c r="K1780" s="139">
        <f>IFERROR(__xludf.DUMMYFUNCTION("""COMPUTED_VALUE"""),100.0)</f>
        <v>100</v>
      </c>
      <c r="L1780" s="139"/>
      <c r="M1780" s="139"/>
      <c r="N1780" s="139"/>
    </row>
    <row r="1781">
      <c r="A1781" s="139" t="str">
        <f>IFERROR(__xludf.DUMMYFUNCTION("""COMPUTED_VALUE"""),"e")</f>
        <v>e</v>
      </c>
      <c r="B1781" s="139">
        <f>IFERROR(__xludf.DUMMYFUNCTION("""COMPUTED_VALUE"""),2.0250901E8)</f>
        <v>202509010</v>
      </c>
      <c r="C1781" s="139" t="str">
        <f>IFERROR(__xludf.DUMMYFUNCTION("""COMPUTED_VALUE"""),"e_gom_00701_general_n_Boss_Colorless_Appearance_00001")</f>
        <v>e_gom_00701_general_n_Boss_Colorless_Appearance_00001</v>
      </c>
      <c r="D1781" s="139" t="str">
        <f>IFERROR(__xludf.DUMMYFUNCTION("""COMPUTED_VALUE"""),"e_gom_00701_general_n_Boss_Colorless")</f>
        <v>e_gom_00701_general_n_Boss_Colorless</v>
      </c>
      <c r="E1781" s="139">
        <f>IFERROR(__xludf.DUMMYFUNCTION("""COMPUTED_VALUE"""),0.0)</f>
        <v>0</v>
      </c>
      <c r="F1781" s="139" t="str">
        <f>IFERROR(__xludf.DUMMYFUNCTION("""COMPUTED_VALUE"""),"Appearance")</f>
        <v>Appearance</v>
      </c>
      <c r="G1781" s="139"/>
      <c r="H1781" s="139"/>
      <c r="I1781" s="139">
        <f>IFERROR(__xludf.DUMMYFUNCTION("""COMPUTED_VALUE"""),50.0)</f>
        <v>50</v>
      </c>
      <c r="J1781" s="139">
        <f>IFERROR(__xludf.DUMMYFUNCTION("""COMPUTED_VALUE"""),0.0)</f>
        <v>0</v>
      </c>
      <c r="K1781" s="139">
        <f>IFERROR(__xludf.DUMMYFUNCTION("""COMPUTED_VALUE"""),0.0)</f>
        <v>0</v>
      </c>
      <c r="L1781" s="139"/>
      <c r="M1781" s="139"/>
      <c r="N1781" s="139"/>
    </row>
    <row r="1782">
      <c r="A1782" s="139" t="str">
        <f>IFERROR(__xludf.DUMMYFUNCTION("""COMPUTED_VALUE"""),"e")</f>
        <v>e</v>
      </c>
      <c r="B1782" s="139">
        <f>IFERROR(__xludf.DUMMYFUNCTION("""COMPUTED_VALUE"""),2.0250901E8)</f>
        <v>202509010</v>
      </c>
      <c r="C1782" s="139" t="str">
        <f>IFERROR(__xludf.DUMMYFUNCTION("""COMPUTED_VALUE"""),"e_gom_00701_general_n_Boss_Yellow_Normal_00000")</f>
        <v>e_gom_00701_general_n_Boss_Yellow_Normal_00000</v>
      </c>
      <c r="D1782" s="139" t="str">
        <f>IFERROR(__xludf.DUMMYFUNCTION("""COMPUTED_VALUE"""),"e_gom_00701_general_n_Boss_Yellow")</f>
        <v>e_gom_00701_general_n_Boss_Yellow</v>
      </c>
      <c r="E1782" s="139">
        <f>IFERROR(__xludf.DUMMYFUNCTION("""COMPUTED_VALUE"""),0.0)</f>
        <v>0</v>
      </c>
      <c r="F1782" s="139" t="str">
        <f>IFERROR(__xludf.DUMMYFUNCTION("""COMPUTED_VALUE"""),"Normal")</f>
        <v>Normal</v>
      </c>
      <c r="G1782" s="139"/>
      <c r="H1782" s="139"/>
      <c r="I1782" s="139">
        <f>IFERROR(__xludf.DUMMYFUNCTION("""COMPUTED_VALUE"""),50.0)</f>
        <v>50</v>
      </c>
      <c r="J1782" s="139">
        <f>IFERROR(__xludf.DUMMYFUNCTION("""COMPUTED_VALUE"""),42.0)</f>
        <v>42</v>
      </c>
      <c r="K1782" s="139">
        <f>IFERROR(__xludf.DUMMYFUNCTION("""COMPUTED_VALUE"""),100.0)</f>
        <v>100</v>
      </c>
      <c r="L1782" s="139"/>
      <c r="M1782" s="139"/>
      <c r="N1782" s="139"/>
    </row>
    <row r="1783">
      <c r="A1783" s="139" t="str">
        <f>IFERROR(__xludf.DUMMYFUNCTION("""COMPUTED_VALUE"""),"e")</f>
        <v>e</v>
      </c>
      <c r="B1783" s="139">
        <f>IFERROR(__xludf.DUMMYFUNCTION("""COMPUTED_VALUE"""),2.0250901E8)</f>
        <v>202509010</v>
      </c>
      <c r="C1783" s="139" t="str">
        <f>IFERROR(__xludf.DUMMYFUNCTION("""COMPUTED_VALUE"""),"e_gom_00701_general_n_Boss_Yellow_Appearance_00001")</f>
        <v>e_gom_00701_general_n_Boss_Yellow_Appearance_00001</v>
      </c>
      <c r="D1783" s="139" t="str">
        <f>IFERROR(__xludf.DUMMYFUNCTION("""COMPUTED_VALUE"""),"e_gom_00701_general_n_Boss_Yellow")</f>
        <v>e_gom_00701_general_n_Boss_Yellow</v>
      </c>
      <c r="E1783" s="139">
        <f>IFERROR(__xludf.DUMMYFUNCTION("""COMPUTED_VALUE"""),0.0)</f>
        <v>0</v>
      </c>
      <c r="F1783" s="139" t="str">
        <f>IFERROR(__xludf.DUMMYFUNCTION("""COMPUTED_VALUE"""),"Appearance")</f>
        <v>Appearance</v>
      </c>
      <c r="G1783" s="139"/>
      <c r="H1783" s="139"/>
      <c r="I1783" s="139">
        <f>IFERROR(__xludf.DUMMYFUNCTION("""COMPUTED_VALUE"""),50.0)</f>
        <v>50</v>
      </c>
      <c r="J1783" s="139">
        <f>IFERROR(__xludf.DUMMYFUNCTION("""COMPUTED_VALUE"""),0.0)</f>
        <v>0</v>
      </c>
      <c r="K1783" s="139">
        <f>IFERROR(__xludf.DUMMYFUNCTION("""COMPUTED_VALUE"""),0.0)</f>
        <v>0</v>
      </c>
      <c r="L1783" s="139"/>
      <c r="M1783" s="139"/>
      <c r="N1783" s="139"/>
    </row>
    <row r="1784">
      <c r="A1784" s="139" t="str">
        <f>IFERROR(__xludf.DUMMYFUNCTION("""COMPUTED_VALUE"""),"e")</f>
        <v>e</v>
      </c>
      <c r="B1784" s="139">
        <f>IFERROR(__xludf.DUMMYFUNCTION("""COMPUTED_VALUE"""),2.0250901E8)</f>
        <v>202509010</v>
      </c>
      <c r="C1784" s="139" t="str">
        <f>IFERROR(__xludf.DUMMYFUNCTION("""COMPUTED_VALUE"""),"e_gom_00701_general_vh_Boss_Red_Normal_00000")</f>
        <v>e_gom_00701_general_vh_Boss_Red_Normal_00000</v>
      </c>
      <c r="D1784" s="139" t="str">
        <f>IFERROR(__xludf.DUMMYFUNCTION("""COMPUTED_VALUE"""),"e_gom_00701_general_vh_Boss_Red")</f>
        <v>e_gom_00701_general_vh_Boss_Red</v>
      </c>
      <c r="E1784" s="139">
        <f>IFERROR(__xludf.DUMMYFUNCTION("""COMPUTED_VALUE"""),0.0)</f>
        <v>0</v>
      </c>
      <c r="F1784" s="139" t="str">
        <f>IFERROR(__xludf.DUMMYFUNCTION("""COMPUTED_VALUE"""),"Normal")</f>
        <v>Normal</v>
      </c>
      <c r="G1784" s="139"/>
      <c r="H1784" s="139"/>
      <c r="I1784" s="139">
        <f>IFERROR(__xludf.DUMMYFUNCTION("""COMPUTED_VALUE"""),50.0)</f>
        <v>50</v>
      </c>
      <c r="J1784" s="139">
        <f>IFERROR(__xludf.DUMMYFUNCTION("""COMPUTED_VALUE"""),42.0)</f>
        <v>42</v>
      </c>
      <c r="K1784" s="139">
        <f>IFERROR(__xludf.DUMMYFUNCTION("""COMPUTED_VALUE"""),100.0)</f>
        <v>100</v>
      </c>
      <c r="L1784" s="139"/>
      <c r="M1784" s="139"/>
      <c r="N1784" s="139"/>
    </row>
    <row r="1785">
      <c r="A1785" s="139" t="str">
        <f>IFERROR(__xludf.DUMMYFUNCTION("""COMPUTED_VALUE"""),"e")</f>
        <v>e</v>
      </c>
      <c r="B1785" s="139">
        <f>IFERROR(__xludf.DUMMYFUNCTION("""COMPUTED_VALUE"""),2.0250901E8)</f>
        <v>202509010</v>
      </c>
      <c r="C1785" s="139" t="str">
        <f>IFERROR(__xludf.DUMMYFUNCTION("""COMPUTED_VALUE"""),"e_gom_00701_general_vh_Boss_Red_Appearance_00001")</f>
        <v>e_gom_00701_general_vh_Boss_Red_Appearance_00001</v>
      </c>
      <c r="D1785" s="139" t="str">
        <f>IFERROR(__xludf.DUMMYFUNCTION("""COMPUTED_VALUE"""),"e_gom_00701_general_vh_Boss_Red")</f>
        <v>e_gom_00701_general_vh_Boss_Red</v>
      </c>
      <c r="E1785" s="139">
        <f>IFERROR(__xludf.DUMMYFUNCTION("""COMPUTED_VALUE"""),0.0)</f>
        <v>0</v>
      </c>
      <c r="F1785" s="139" t="str">
        <f>IFERROR(__xludf.DUMMYFUNCTION("""COMPUTED_VALUE"""),"Appearance")</f>
        <v>Appearance</v>
      </c>
      <c r="G1785" s="139"/>
      <c r="H1785" s="139"/>
      <c r="I1785" s="139">
        <f>IFERROR(__xludf.DUMMYFUNCTION("""COMPUTED_VALUE"""),50.0)</f>
        <v>50</v>
      </c>
      <c r="J1785" s="139">
        <f>IFERROR(__xludf.DUMMYFUNCTION("""COMPUTED_VALUE"""),0.0)</f>
        <v>0</v>
      </c>
      <c r="K1785" s="139">
        <f>IFERROR(__xludf.DUMMYFUNCTION("""COMPUTED_VALUE"""),0.0)</f>
        <v>0</v>
      </c>
      <c r="L1785" s="139"/>
      <c r="M1785" s="139"/>
      <c r="N1785" s="139"/>
    </row>
    <row r="1786">
      <c r="A1786" s="139" t="str">
        <f>IFERROR(__xludf.DUMMYFUNCTION("""COMPUTED_VALUE"""),"e")</f>
        <v>e</v>
      </c>
      <c r="B1786" s="139">
        <f>IFERROR(__xludf.DUMMYFUNCTION("""COMPUTED_VALUE"""),2.0250901E8)</f>
        <v>202509010</v>
      </c>
      <c r="C1786" s="139" t="str">
        <f>IFERROR(__xludf.DUMMYFUNCTION("""COMPUTED_VALUE"""),"e_gom_00701_general_vh_Boss_Blue_Normal_00000")</f>
        <v>e_gom_00701_general_vh_Boss_Blue_Normal_00000</v>
      </c>
      <c r="D1786" s="139" t="str">
        <f>IFERROR(__xludf.DUMMYFUNCTION("""COMPUTED_VALUE"""),"e_gom_00701_general_vh_Boss_Blue")</f>
        <v>e_gom_00701_general_vh_Boss_Blue</v>
      </c>
      <c r="E1786" s="139">
        <f>IFERROR(__xludf.DUMMYFUNCTION("""COMPUTED_VALUE"""),0.0)</f>
        <v>0</v>
      </c>
      <c r="F1786" s="139" t="str">
        <f>IFERROR(__xludf.DUMMYFUNCTION("""COMPUTED_VALUE"""),"Normal")</f>
        <v>Normal</v>
      </c>
      <c r="G1786" s="139"/>
      <c r="H1786" s="139"/>
      <c r="I1786" s="139">
        <f>IFERROR(__xludf.DUMMYFUNCTION("""COMPUTED_VALUE"""),50.0)</f>
        <v>50</v>
      </c>
      <c r="J1786" s="139">
        <f>IFERROR(__xludf.DUMMYFUNCTION("""COMPUTED_VALUE"""),42.0)</f>
        <v>42</v>
      </c>
      <c r="K1786" s="139">
        <f>IFERROR(__xludf.DUMMYFUNCTION("""COMPUTED_VALUE"""),100.0)</f>
        <v>100</v>
      </c>
      <c r="L1786" s="139"/>
      <c r="M1786" s="139"/>
      <c r="N1786" s="139"/>
    </row>
    <row r="1787">
      <c r="A1787" s="139" t="str">
        <f>IFERROR(__xludf.DUMMYFUNCTION("""COMPUTED_VALUE"""),"e")</f>
        <v>e</v>
      </c>
      <c r="B1787" s="139">
        <f>IFERROR(__xludf.DUMMYFUNCTION("""COMPUTED_VALUE"""),2.0250901E8)</f>
        <v>202509010</v>
      </c>
      <c r="C1787" s="139" t="str">
        <f>IFERROR(__xludf.DUMMYFUNCTION("""COMPUTED_VALUE"""),"e_gom_00701_general_vh_Boss_Blue_Appearance_00001")</f>
        <v>e_gom_00701_general_vh_Boss_Blue_Appearance_00001</v>
      </c>
      <c r="D1787" s="139" t="str">
        <f>IFERROR(__xludf.DUMMYFUNCTION("""COMPUTED_VALUE"""),"e_gom_00701_general_vh_Boss_Blue")</f>
        <v>e_gom_00701_general_vh_Boss_Blue</v>
      </c>
      <c r="E1787" s="139">
        <f>IFERROR(__xludf.DUMMYFUNCTION("""COMPUTED_VALUE"""),0.0)</f>
        <v>0</v>
      </c>
      <c r="F1787" s="139" t="str">
        <f>IFERROR(__xludf.DUMMYFUNCTION("""COMPUTED_VALUE"""),"Appearance")</f>
        <v>Appearance</v>
      </c>
      <c r="G1787" s="139"/>
      <c r="H1787" s="139"/>
      <c r="I1787" s="139">
        <f>IFERROR(__xludf.DUMMYFUNCTION("""COMPUTED_VALUE"""),50.0)</f>
        <v>50</v>
      </c>
      <c r="J1787" s="139">
        <f>IFERROR(__xludf.DUMMYFUNCTION("""COMPUTED_VALUE"""),0.0)</f>
        <v>0</v>
      </c>
      <c r="K1787" s="139">
        <f>IFERROR(__xludf.DUMMYFUNCTION("""COMPUTED_VALUE"""),0.0)</f>
        <v>0</v>
      </c>
      <c r="L1787" s="139"/>
      <c r="M1787" s="139"/>
      <c r="N1787" s="139"/>
    </row>
    <row r="1788">
      <c r="A1788" s="139" t="str">
        <f>IFERROR(__xludf.DUMMYFUNCTION("""COMPUTED_VALUE"""),"e")</f>
        <v>e</v>
      </c>
      <c r="B1788" s="139">
        <f>IFERROR(__xludf.DUMMYFUNCTION("""COMPUTED_VALUE"""),2.0250901E8)</f>
        <v>202509010</v>
      </c>
      <c r="C1788" s="139" t="str">
        <f>IFERROR(__xludf.DUMMYFUNCTION("""COMPUTED_VALUE"""),"e_gom_00801_general_n_Normal_Colorless_Normal_00000")</f>
        <v>e_gom_00801_general_n_Normal_Colorless_Normal_00000</v>
      </c>
      <c r="D1788" s="139" t="str">
        <f>IFERROR(__xludf.DUMMYFUNCTION("""COMPUTED_VALUE"""),"e_gom_00801_general_n_Normal_Colorless")</f>
        <v>e_gom_00801_general_n_Normal_Colorless</v>
      </c>
      <c r="E1788" s="139">
        <f>IFERROR(__xludf.DUMMYFUNCTION("""COMPUTED_VALUE"""),0.0)</f>
        <v>0</v>
      </c>
      <c r="F1788" s="139" t="str">
        <f>IFERROR(__xludf.DUMMYFUNCTION("""COMPUTED_VALUE"""),"Normal")</f>
        <v>Normal</v>
      </c>
      <c r="G1788" s="139"/>
      <c r="H1788" s="139"/>
      <c r="I1788" s="139">
        <f>IFERROR(__xludf.DUMMYFUNCTION("""COMPUTED_VALUE"""),50.0)</f>
        <v>50</v>
      </c>
      <c r="J1788" s="139">
        <f>IFERROR(__xludf.DUMMYFUNCTION("""COMPUTED_VALUE"""),42.0)</f>
        <v>42</v>
      </c>
      <c r="K1788" s="139">
        <f>IFERROR(__xludf.DUMMYFUNCTION("""COMPUTED_VALUE"""),100.0)</f>
        <v>100</v>
      </c>
      <c r="L1788" s="139"/>
      <c r="M1788" s="139"/>
      <c r="N1788" s="139"/>
    </row>
    <row r="1789">
      <c r="A1789" s="139" t="str">
        <f>IFERROR(__xludf.DUMMYFUNCTION("""COMPUTED_VALUE"""),"e")</f>
        <v>e</v>
      </c>
      <c r="B1789" s="139">
        <f>IFERROR(__xludf.DUMMYFUNCTION("""COMPUTED_VALUE"""),2.0250901E8)</f>
        <v>202509010</v>
      </c>
      <c r="C1789" s="139" t="str">
        <f>IFERROR(__xludf.DUMMYFUNCTION("""COMPUTED_VALUE"""),"e_gom_00801_general_n_Normal_Yellow_Normal_00000")</f>
        <v>e_gom_00801_general_n_Normal_Yellow_Normal_00000</v>
      </c>
      <c r="D1789" s="139" t="str">
        <f>IFERROR(__xludf.DUMMYFUNCTION("""COMPUTED_VALUE"""),"e_gom_00801_general_n_Normal_Yellow")</f>
        <v>e_gom_00801_general_n_Normal_Yellow</v>
      </c>
      <c r="E1789" s="139">
        <f>IFERROR(__xludf.DUMMYFUNCTION("""COMPUTED_VALUE"""),0.0)</f>
        <v>0</v>
      </c>
      <c r="F1789" s="139" t="str">
        <f>IFERROR(__xludf.DUMMYFUNCTION("""COMPUTED_VALUE"""),"Normal")</f>
        <v>Normal</v>
      </c>
      <c r="G1789" s="139"/>
      <c r="H1789" s="139"/>
      <c r="I1789" s="139">
        <f>IFERROR(__xludf.DUMMYFUNCTION("""COMPUTED_VALUE"""),50.0)</f>
        <v>50</v>
      </c>
      <c r="J1789" s="139">
        <f>IFERROR(__xludf.DUMMYFUNCTION("""COMPUTED_VALUE"""),42.0)</f>
        <v>42</v>
      </c>
      <c r="K1789" s="139">
        <f>IFERROR(__xludf.DUMMYFUNCTION("""COMPUTED_VALUE"""),100.0)</f>
        <v>100</v>
      </c>
      <c r="L1789" s="139"/>
      <c r="M1789" s="139"/>
      <c r="N1789" s="139"/>
    </row>
    <row r="1790">
      <c r="A1790" s="139" t="str">
        <f>IFERROR(__xludf.DUMMYFUNCTION("""COMPUTED_VALUE"""),"e")</f>
        <v>e</v>
      </c>
      <c r="B1790" s="139">
        <f>IFERROR(__xludf.DUMMYFUNCTION("""COMPUTED_VALUE"""),2.0250901E8)</f>
        <v>202509010</v>
      </c>
      <c r="C1790" s="139" t="str">
        <f>IFERROR(__xludf.DUMMYFUNCTION("""COMPUTED_VALUE"""),"e_gom_00801_general_vh_Normal_Red_Normal_00000")</f>
        <v>e_gom_00801_general_vh_Normal_Red_Normal_00000</v>
      </c>
      <c r="D1790" s="139" t="str">
        <f>IFERROR(__xludf.DUMMYFUNCTION("""COMPUTED_VALUE"""),"e_gom_00801_general_vh_Normal_Red")</f>
        <v>e_gom_00801_general_vh_Normal_Red</v>
      </c>
      <c r="E1790" s="139">
        <f>IFERROR(__xludf.DUMMYFUNCTION("""COMPUTED_VALUE"""),0.0)</f>
        <v>0</v>
      </c>
      <c r="F1790" s="139" t="str">
        <f>IFERROR(__xludf.DUMMYFUNCTION("""COMPUTED_VALUE"""),"Normal")</f>
        <v>Normal</v>
      </c>
      <c r="G1790" s="139"/>
      <c r="H1790" s="139"/>
      <c r="I1790" s="139">
        <f>IFERROR(__xludf.DUMMYFUNCTION("""COMPUTED_VALUE"""),50.0)</f>
        <v>50</v>
      </c>
      <c r="J1790" s="139">
        <f>IFERROR(__xludf.DUMMYFUNCTION("""COMPUTED_VALUE"""),42.0)</f>
        <v>42</v>
      </c>
      <c r="K1790" s="139">
        <f>IFERROR(__xludf.DUMMYFUNCTION("""COMPUTED_VALUE"""),100.0)</f>
        <v>100</v>
      </c>
      <c r="L1790" s="139"/>
      <c r="M1790" s="139"/>
      <c r="N1790" s="139"/>
    </row>
    <row r="1791">
      <c r="A1791" s="139" t="str">
        <f>IFERROR(__xludf.DUMMYFUNCTION("""COMPUTED_VALUE"""),"e")</f>
        <v>e</v>
      </c>
      <c r="B1791" s="139">
        <f>IFERROR(__xludf.DUMMYFUNCTION("""COMPUTED_VALUE"""),2.0250901E8)</f>
        <v>202509010</v>
      </c>
      <c r="C1791" s="139" t="str">
        <f>IFERROR(__xludf.DUMMYFUNCTION("""COMPUTED_VALUE"""),"e_gom_00801_general_vh_Normal_Green_Normal_00000")</f>
        <v>e_gom_00801_general_vh_Normal_Green_Normal_00000</v>
      </c>
      <c r="D1791" s="139" t="str">
        <f>IFERROR(__xludf.DUMMYFUNCTION("""COMPUTED_VALUE"""),"e_gom_00801_general_vh_Normal_Green")</f>
        <v>e_gom_00801_general_vh_Normal_Green</v>
      </c>
      <c r="E1791" s="139">
        <f>IFERROR(__xludf.DUMMYFUNCTION("""COMPUTED_VALUE"""),0.0)</f>
        <v>0</v>
      </c>
      <c r="F1791" s="139" t="str">
        <f>IFERROR(__xludf.DUMMYFUNCTION("""COMPUTED_VALUE"""),"Normal")</f>
        <v>Normal</v>
      </c>
      <c r="G1791" s="139"/>
      <c r="H1791" s="139"/>
      <c r="I1791" s="139">
        <f>IFERROR(__xludf.DUMMYFUNCTION("""COMPUTED_VALUE"""),50.0)</f>
        <v>50</v>
      </c>
      <c r="J1791" s="139">
        <f>IFERROR(__xludf.DUMMYFUNCTION("""COMPUTED_VALUE"""),42.0)</f>
        <v>42</v>
      </c>
      <c r="K1791" s="139">
        <f>IFERROR(__xludf.DUMMYFUNCTION("""COMPUTED_VALUE"""),100.0)</f>
        <v>100</v>
      </c>
      <c r="L1791" s="139"/>
      <c r="M1791" s="139"/>
      <c r="N1791" s="139"/>
    </row>
    <row r="1792">
      <c r="A1792" s="139" t="str">
        <f>IFERROR(__xludf.DUMMYFUNCTION("""COMPUTED_VALUE"""),"e")</f>
        <v>e</v>
      </c>
      <c r="B1792" s="139">
        <f>IFERROR(__xludf.DUMMYFUNCTION("""COMPUTED_VALUE"""),2.0250901E8)</f>
        <v>202509010</v>
      </c>
      <c r="C1792" s="139" t="str">
        <f>IFERROR(__xludf.DUMMYFUNCTION("""COMPUTED_VALUE"""),"e_gom_00801_general_vh_Normal_Blue_Normal_00000")</f>
        <v>e_gom_00801_general_vh_Normal_Blue_Normal_00000</v>
      </c>
      <c r="D1792" s="139" t="str">
        <f>IFERROR(__xludf.DUMMYFUNCTION("""COMPUTED_VALUE"""),"e_gom_00801_general_vh_Normal_Blue")</f>
        <v>e_gom_00801_general_vh_Normal_Blue</v>
      </c>
      <c r="E1792" s="139">
        <f>IFERROR(__xludf.DUMMYFUNCTION("""COMPUTED_VALUE"""),0.0)</f>
        <v>0</v>
      </c>
      <c r="F1792" s="139" t="str">
        <f>IFERROR(__xludf.DUMMYFUNCTION("""COMPUTED_VALUE"""),"Normal")</f>
        <v>Normal</v>
      </c>
      <c r="G1792" s="139"/>
      <c r="H1792" s="139"/>
      <c r="I1792" s="139">
        <f>IFERROR(__xludf.DUMMYFUNCTION("""COMPUTED_VALUE"""),50.0)</f>
        <v>50</v>
      </c>
      <c r="J1792" s="139">
        <f>IFERROR(__xludf.DUMMYFUNCTION("""COMPUTED_VALUE"""),42.0)</f>
        <v>42</v>
      </c>
      <c r="K1792" s="139">
        <f>IFERROR(__xludf.DUMMYFUNCTION("""COMPUTED_VALUE"""),100.0)</f>
        <v>100</v>
      </c>
      <c r="L1792" s="139"/>
      <c r="M1792" s="139"/>
      <c r="N1792" s="139"/>
    </row>
    <row r="1793">
      <c r="A1793" s="139" t="str">
        <f>IFERROR(__xludf.DUMMYFUNCTION("""COMPUTED_VALUE"""),"e")</f>
        <v>e</v>
      </c>
      <c r="B1793" s="139">
        <f>IFERROR(__xludf.DUMMYFUNCTION("""COMPUTED_VALUE"""),2.0250901E8)</f>
        <v>202509010</v>
      </c>
      <c r="C1793" s="139" t="str">
        <f>IFERROR(__xludf.DUMMYFUNCTION("""COMPUTED_VALUE"""),"e_gom_00901_general_n_Normal_Colorless_Normal_00000")</f>
        <v>e_gom_00901_general_n_Normal_Colorless_Normal_00000</v>
      </c>
      <c r="D1793" s="139" t="str">
        <f>IFERROR(__xludf.DUMMYFUNCTION("""COMPUTED_VALUE"""),"e_gom_00901_general_n_Normal_Colorless")</f>
        <v>e_gom_00901_general_n_Normal_Colorless</v>
      </c>
      <c r="E1793" s="139">
        <f>IFERROR(__xludf.DUMMYFUNCTION("""COMPUTED_VALUE"""),0.0)</f>
        <v>0</v>
      </c>
      <c r="F1793" s="139" t="str">
        <f>IFERROR(__xludf.DUMMYFUNCTION("""COMPUTED_VALUE"""),"Normal")</f>
        <v>Normal</v>
      </c>
      <c r="G1793" s="139"/>
      <c r="H1793" s="139"/>
      <c r="I1793" s="139">
        <f>IFERROR(__xludf.DUMMYFUNCTION("""COMPUTED_VALUE"""),50.0)</f>
        <v>50</v>
      </c>
      <c r="J1793" s="139">
        <f>IFERROR(__xludf.DUMMYFUNCTION("""COMPUTED_VALUE"""),42.0)</f>
        <v>42</v>
      </c>
      <c r="K1793" s="139">
        <f>IFERROR(__xludf.DUMMYFUNCTION("""COMPUTED_VALUE"""),50.0)</f>
        <v>50</v>
      </c>
      <c r="L1793" s="139"/>
      <c r="M1793" s="139"/>
      <c r="N1793" s="139"/>
    </row>
    <row r="1794">
      <c r="A1794" s="139" t="str">
        <f>IFERROR(__xludf.DUMMYFUNCTION("""COMPUTED_VALUE"""),"e")</f>
        <v>e</v>
      </c>
      <c r="B1794" s="139">
        <f>IFERROR(__xludf.DUMMYFUNCTION("""COMPUTED_VALUE"""),2.0250901E8)</f>
        <v>202509010</v>
      </c>
      <c r="C1794" s="139" t="str">
        <f>IFERROR(__xludf.DUMMYFUNCTION("""COMPUTED_VALUE"""),"e_gom_00901_general_n_Normal_Yellow_Normal_00000")</f>
        <v>e_gom_00901_general_n_Normal_Yellow_Normal_00000</v>
      </c>
      <c r="D1794" s="139" t="str">
        <f>IFERROR(__xludf.DUMMYFUNCTION("""COMPUTED_VALUE"""),"e_gom_00901_general_n_Normal_Yellow")</f>
        <v>e_gom_00901_general_n_Normal_Yellow</v>
      </c>
      <c r="E1794" s="139">
        <f>IFERROR(__xludf.DUMMYFUNCTION("""COMPUTED_VALUE"""),0.0)</f>
        <v>0</v>
      </c>
      <c r="F1794" s="139" t="str">
        <f>IFERROR(__xludf.DUMMYFUNCTION("""COMPUTED_VALUE"""),"Normal")</f>
        <v>Normal</v>
      </c>
      <c r="G1794" s="139"/>
      <c r="H1794" s="139"/>
      <c r="I1794" s="139">
        <f>IFERROR(__xludf.DUMMYFUNCTION("""COMPUTED_VALUE"""),50.0)</f>
        <v>50</v>
      </c>
      <c r="J1794" s="139">
        <f>IFERROR(__xludf.DUMMYFUNCTION("""COMPUTED_VALUE"""),42.0)</f>
        <v>42</v>
      </c>
      <c r="K1794" s="139">
        <f>IFERROR(__xludf.DUMMYFUNCTION("""COMPUTED_VALUE"""),50.0)</f>
        <v>50</v>
      </c>
      <c r="L1794" s="139"/>
      <c r="M1794" s="139"/>
      <c r="N1794" s="139"/>
    </row>
    <row r="1795">
      <c r="A1795" s="139" t="str">
        <f>IFERROR(__xludf.DUMMYFUNCTION("""COMPUTED_VALUE"""),"e")</f>
        <v>e</v>
      </c>
      <c r="B1795" s="139">
        <f>IFERROR(__xludf.DUMMYFUNCTION("""COMPUTED_VALUE"""),2.0250901E8)</f>
        <v>202509010</v>
      </c>
      <c r="C1795" s="139" t="str">
        <f>IFERROR(__xludf.DUMMYFUNCTION("""COMPUTED_VALUE"""),"e_gom_00901_general_vh_Normal_Red_Normal_00000")</f>
        <v>e_gom_00901_general_vh_Normal_Red_Normal_00000</v>
      </c>
      <c r="D1795" s="139" t="str">
        <f>IFERROR(__xludf.DUMMYFUNCTION("""COMPUTED_VALUE"""),"e_gom_00901_general_vh_Normal_Red")</f>
        <v>e_gom_00901_general_vh_Normal_Red</v>
      </c>
      <c r="E1795" s="139">
        <f>IFERROR(__xludf.DUMMYFUNCTION("""COMPUTED_VALUE"""),0.0)</f>
        <v>0</v>
      </c>
      <c r="F1795" s="139" t="str">
        <f>IFERROR(__xludf.DUMMYFUNCTION("""COMPUTED_VALUE"""),"Normal")</f>
        <v>Normal</v>
      </c>
      <c r="G1795" s="139"/>
      <c r="H1795" s="139"/>
      <c r="I1795" s="139">
        <f>IFERROR(__xludf.DUMMYFUNCTION("""COMPUTED_VALUE"""),50.0)</f>
        <v>50</v>
      </c>
      <c r="J1795" s="139">
        <f>IFERROR(__xludf.DUMMYFUNCTION("""COMPUTED_VALUE"""),42.0)</f>
        <v>42</v>
      </c>
      <c r="K1795" s="139">
        <f>IFERROR(__xludf.DUMMYFUNCTION("""COMPUTED_VALUE"""),50.0)</f>
        <v>50</v>
      </c>
      <c r="L1795" s="139"/>
      <c r="M1795" s="139"/>
      <c r="N1795" s="139"/>
    </row>
    <row r="1796">
      <c r="A1796" s="139" t="str">
        <f>IFERROR(__xludf.DUMMYFUNCTION("""COMPUTED_VALUE"""),"e")</f>
        <v>e</v>
      </c>
      <c r="B1796" s="139">
        <f>IFERROR(__xludf.DUMMYFUNCTION("""COMPUTED_VALUE"""),2.0250901E8)</f>
        <v>202509010</v>
      </c>
      <c r="C1796" s="139" t="str">
        <f>IFERROR(__xludf.DUMMYFUNCTION("""COMPUTED_VALUE"""),"e_gom_00901_general_vh_Normal_Green_Normal_00000")</f>
        <v>e_gom_00901_general_vh_Normal_Green_Normal_00000</v>
      </c>
      <c r="D1796" s="139" t="str">
        <f>IFERROR(__xludf.DUMMYFUNCTION("""COMPUTED_VALUE"""),"e_gom_00901_general_vh_Normal_Green")</f>
        <v>e_gom_00901_general_vh_Normal_Green</v>
      </c>
      <c r="E1796" s="139">
        <f>IFERROR(__xludf.DUMMYFUNCTION("""COMPUTED_VALUE"""),0.0)</f>
        <v>0</v>
      </c>
      <c r="F1796" s="139" t="str">
        <f>IFERROR(__xludf.DUMMYFUNCTION("""COMPUTED_VALUE"""),"Normal")</f>
        <v>Normal</v>
      </c>
      <c r="G1796" s="139"/>
      <c r="H1796" s="139"/>
      <c r="I1796" s="139">
        <f>IFERROR(__xludf.DUMMYFUNCTION("""COMPUTED_VALUE"""),50.0)</f>
        <v>50</v>
      </c>
      <c r="J1796" s="139">
        <f>IFERROR(__xludf.DUMMYFUNCTION("""COMPUTED_VALUE"""),42.0)</f>
        <v>42</v>
      </c>
      <c r="K1796" s="139">
        <f>IFERROR(__xludf.DUMMYFUNCTION("""COMPUTED_VALUE"""),50.0)</f>
        <v>50</v>
      </c>
      <c r="L1796" s="139"/>
      <c r="M1796" s="139"/>
      <c r="N1796" s="139"/>
    </row>
    <row r="1797">
      <c r="A1797" s="139" t="str">
        <f>IFERROR(__xludf.DUMMYFUNCTION("""COMPUTED_VALUE"""),"e")</f>
        <v>e</v>
      </c>
      <c r="B1797" s="139">
        <f>IFERROR(__xludf.DUMMYFUNCTION("""COMPUTED_VALUE"""),2.0250901E8)</f>
        <v>202509010</v>
      </c>
      <c r="C1797" s="139" t="str">
        <f>IFERROR(__xludf.DUMMYFUNCTION("""COMPUTED_VALUE"""),"e_gom_00901_general_vh_Normal_Blue_Normal_00000")</f>
        <v>e_gom_00901_general_vh_Normal_Blue_Normal_00000</v>
      </c>
      <c r="D1797" s="139" t="str">
        <f>IFERROR(__xludf.DUMMYFUNCTION("""COMPUTED_VALUE"""),"e_gom_00901_general_vh_Normal_Blue")</f>
        <v>e_gom_00901_general_vh_Normal_Blue</v>
      </c>
      <c r="E1797" s="139">
        <f>IFERROR(__xludf.DUMMYFUNCTION("""COMPUTED_VALUE"""),0.0)</f>
        <v>0</v>
      </c>
      <c r="F1797" s="139" t="str">
        <f>IFERROR(__xludf.DUMMYFUNCTION("""COMPUTED_VALUE"""),"Normal")</f>
        <v>Normal</v>
      </c>
      <c r="G1797" s="139"/>
      <c r="H1797" s="139"/>
      <c r="I1797" s="139">
        <f>IFERROR(__xludf.DUMMYFUNCTION("""COMPUTED_VALUE"""),50.0)</f>
        <v>50</v>
      </c>
      <c r="J1797" s="139">
        <f>IFERROR(__xludf.DUMMYFUNCTION("""COMPUTED_VALUE"""),42.0)</f>
        <v>42</v>
      </c>
      <c r="K1797" s="139">
        <f>IFERROR(__xludf.DUMMYFUNCTION("""COMPUTED_VALUE"""),50.0)</f>
        <v>50</v>
      </c>
      <c r="L1797" s="139"/>
      <c r="M1797" s="139"/>
      <c r="N1797" s="139"/>
    </row>
    <row r="1798">
      <c r="A1798" s="139" t="str">
        <f>IFERROR(__xludf.DUMMYFUNCTION("""COMPUTED_VALUE"""),"e")</f>
        <v>e</v>
      </c>
      <c r="B1798" s="139">
        <f>IFERROR(__xludf.DUMMYFUNCTION("""COMPUTED_VALUE"""),2.0250901E8)</f>
        <v>202509010</v>
      </c>
      <c r="C1798" s="139" t="str">
        <f>IFERROR(__xludf.DUMMYFUNCTION("""COMPUTED_VALUE"""),"c_gom_00001_general_n_Boss_Yellow_Normal_00000")</f>
        <v>c_gom_00001_general_n_Boss_Yellow_Normal_00000</v>
      </c>
      <c r="D1798" s="139" t="str">
        <f>IFERROR(__xludf.DUMMYFUNCTION("""COMPUTED_VALUE"""),"c_gom_00001_general_n_Boss_Yellow")</f>
        <v>c_gom_00001_general_n_Boss_Yellow</v>
      </c>
      <c r="E1798" s="139">
        <f>IFERROR(__xludf.DUMMYFUNCTION("""COMPUTED_VALUE"""),0.0)</f>
        <v>0</v>
      </c>
      <c r="F1798" s="139" t="str">
        <f>IFERROR(__xludf.DUMMYFUNCTION("""COMPUTED_VALUE"""),"Normal")</f>
        <v>Normal</v>
      </c>
      <c r="G1798" s="139"/>
      <c r="H1798" s="139"/>
      <c r="I1798" s="139">
        <f>IFERROR(__xludf.DUMMYFUNCTION("""COMPUTED_VALUE"""),65.0)</f>
        <v>65</v>
      </c>
      <c r="J1798" s="139">
        <f>IFERROR(__xludf.DUMMYFUNCTION("""COMPUTED_VALUE"""),25.0)</f>
        <v>25</v>
      </c>
      <c r="K1798" s="139">
        <f>IFERROR(__xludf.DUMMYFUNCTION("""COMPUTED_VALUE"""),100.0)</f>
        <v>100</v>
      </c>
      <c r="L1798" s="139"/>
      <c r="M1798" s="139"/>
      <c r="N1798" s="139"/>
    </row>
    <row r="1799">
      <c r="A1799" s="139" t="str">
        <f>IFERROR(__xludf.DUMMYFUNCTION("""COMPUTED_VALUE"""),"e")</f>
        <v>e</v>
      </c>
      <c r="B1799" s="139">
        <f>IFERROR(__xludf.DUMMYFUNCTION("""COMPUTED_VALUE"""),2.0250901E8)</f>
        <v>202509010</v>
      </c>
      <c r="C1799" s="139" t="str">
        <f>IFERROR(__xludf.DUMMYFUNCTION("""COMPUTED_VALUE"""),"c_gom_00001_general_n_Boss_Yellow_Appearance_00001")</f>
        <v>c_gom_00001_general_n_Boss_Yellow_Appearance_00001</v>
      </c>
      <c r="D1799" s="139" t="str">
        <f>IFERROR(__xludf.DUMMYFUNCTION("""COMPUTED_VALUE"""),"c_gom_00001_general_n_Boss_Yellow")</f>
        <v>c_gom_00001_general_n_Boss_Yellow</v>
      </c>
      <c r="E1799" s="139">
        <f>IFERROR(__xludf.DUMMYFUNCTION("""COMPUTED_VALUE"""),0.0)</f>
        <v>0</v>
      </c>
      <c r="F1799" s="139" t="str">
        <f>IFERROR(__xludf.DUMMYFUNCTION("""COMPUTED_VALUE"""),"Appearance")</f>
        <v>Appearance</v>
      </c>
      <c r="G1799" s="139"/>
      <c r="H1799" s="139"/>
      <c r="I1799" s="139">
        <f>IFERROR(__xludf.DUMMYFUNCTION("""COMPUTED_VALUE"""),50.0)</f>
        <v>50</v>
      </c>
      <c r="J1799" s="139">
        <f>IFERROR(__xludf.DUMMYFUNCTION("""COMPUTED_VALUE"""),0.0)</f>
        <v>0</v>
      </c>
      <c r="K1799" s="139">
        <f>IFERROR(__xludf.DUMMYFUNCTION("""COMPUTED_VALUE"""),0.0)</f>
        <v>0</v>
      </c>
      <c r="L1799" s="139"/>
      <c r="M1799" s="139"/>
      <c r="N1799" s="139"/>
    </row>
    <row r="1800">
      <c r="A1800" s="139" t="str">
        <f>IFERROR(__xludf.DUMMYFUNCTION("""COMPUTED_VALUE"""),"e")</f>
        <v>e</v>
      </c>
      <c r="B1800" s="139">
        <f>IFERROR(__xludf.DUMMYFUNCTION("""COMPUTED_VALUE"""),2.0250901E8)</f>
        <v>202509010</v>
      </c>
      <c r="C1800" s="139" t="str">
        <f>IFERROR(__xludf.DUMMYFUNCTION("""COMPUTED_VALUE"""),"c_gom_00001_general_n_Boss_Yellow_Special_00002")</f>
        <v>c_gom_00001_general_n_Boss_Yellow_Special_00002</v>
      </c>
      <c r="D1800" s="139" t="str">
        <f>IFERROR(__xludf.DUMMYFUNCTION("""COMPUTED_VALUE"""),"c_gom_00001_general_n_Boss_Yellow")</f>
        <v>c_gom_00001_general_n_Boss_Yellow</v>
      </c>
      <c r="E1800" s="139">
        <f>IFERROR(__xludf.DUMMYFUNCTION("""COMPUTED_VALUE"""),0.0)</f>
        <v>0</v>
      </c>
      <c r="F1800" s="139" t="str">
        <f>IFERROR(__xludf.DUMMYFUNCTION("""COMPUTED_VALUE"""),"Special")</f>
        <v>Special</v>
      </c>
      <c r="G1800" s="139"/>
      <c r="H1800" s="139"/>
      <c r="I1800" s="139">
        <f>IFERROR(__xludf.DUMMYFUNCTION("""COMPUTED_VALUE"""),200.0)</f>
        <v>200</v>
      </c>
      <c r="J1800" s="139">
        <f>IFERROR(__xludf.DUMMYFUNCTION("""COMPUTED_VALUE"""),115.0)</f>
        <v>115</v>
      </c>
      <c r="K1800" s="139">
        <f>IFERROR(__xludf.DUMMYFUNCTION("""COMPUTED_VALUE"""),0.0)</f>
        <v>0</v>
      </c>
      <c r="L1800" s="139"/>
      <c r="M1800" s="139"/>
      <c r="N1800" s="139"/>
    </row>
    <row r="1801">
      <c r="A1801" s="139" t="str">
        <f>IFERROR(__xludf.DUMMYFUNCTION("""COMPUTED_VALUE"""),"e")</f>
        <v>e</v>
      </c>
      <c r="B1801" s="139">
        <f>IFERROR(__xludf.DUMMYFUNCTION("""COMPUTED_VALUE"""),2.0250901E8)</f>
        <v>202509010</v>
      </c>
      <c r="C1801" s="139" t="str">
        <f>IFERROR(__xludf.DUMMYFUNCTION("""COMPUTED_VALUE"""),"c_gom_00001_general_h_Boss_Yellow_Normal_00000")</f>
        <v>c_gom_00001_general_h_Boss_Yellow_Normal_00000</v>
      </c>
      <c r="D1801" s="139" t="str">
        <f>IFERROR(__xludf.DUMMYFUNCTION("""COMPUTED_VALUE"""),"c_gom_00001_general_h_Boss_Yellow")</f>
        <v>c_gom_00001_general_h_Boss_Yellow</v>
      </c>
      <c r="E1801" s="139">
        <f>IFERROR(__xludf.DUMMYFUNCTION("""COMPUTED_VALUE"""),0.0)</f>
        <v>0</v>
      </c>
      <c r="F1801" s="139" t="str">
        <f>IFERROR(__xludf.DUMMYFUNCTION("""COMPUTED_VALUE"""),"Normal")</f>
        <v>Normal</v>
      </c>
      <c r="G1801" s="139"/>
      <c r="H1801" s="139"/>
      <c r="I1801" s="139">
        <f>IFERROR(__xludf.DUMMYFUNCTION("""COMPUTED_VALUE"""),65.0)</f>
        <v>65</v>
      </c>
      <c r="J1801" s="139">
        <f>IFERROR(__xludf.DUMMYFUNCTION("""COMPUTED_VALUE"""),25.0)</f>
        <v>25</v>
      </c>
      <c r="K1801" s="139">
        <f>IFERROR(__xludf.DUMMYFUNCTION("""COMPUTED_VALUE"""),100.0)</f>
        <v>100</v>
      </c>
      <c r="L1801" s="139"/>
      <c r="M1801" s="139"/>
      <c r="N1801" s="139"/>
    </row>
    <row r="1802">
      <c r="A1802" s="139" t="str">
        <f>IFERROR(__xludf.DUMMYFUNCTION("""COMPUTED_VALUE"""),"e")</f>
        <v>e</v>
      </c>
      <c r="B1802" s="139">
        <f>IFERROR(__xludf.DUMMYFUNCTION("""COMPUTED_VALUE"""),2.0250901E8)</f>
        <v>202509010</v>
      </c>
      <c r="C1802" s="139" t="str">
        <f>IFERROR(__xludf.DUMMYFUNCTION("""COMPUTED_VALUE"""),"c_gom_00001_general_h_Boss_Yellow_Appearance_00001")</f>
        <v>c_gom_00001_general_h_Boss_Yellow_Appearance_00001</v>
      </c>
      <c r="D1802" s="139" t="str">
        <f>IFERROR(__xludf.DUMMYFUNCTION("""COMPUTED_VALUE"""),"c_gom_00001_general_h_Boss_Yellow")</f>
        <v>c_gom_00001_general_h_Boss_Yellow</v>
      </c>
      <c r="E1802" s="139">
        <f>IFERROR(__xludf.DUMMYFUNCTION("""COMPUTED_VALUE"""),0.0)</f>
        <v>0</v>
      </c>
      <c r="F1802" s="139" t="str">
        <f>IFERROR(__xludf.DUMMYFUNCTION("""COMPUTED_VALUE"""),"Appearance")</f>
        <v>Appearance</v>
      </c>
      <c r="G1802" s="139"/>
      <c r="H1802" s="139"/>
      <c r="I1802" s="139">
        <f>IFERROR(__xludf.DUMMYFUNCTION("""COMPUTED_VALUE"""),50.0)</f>
        <v>50</v>
      </c>
      <c r="J1802" s="139">
        <f>IFERROR(__xludf.DUMMYFUNCTION("""COMPUTED_VALUE"""),0.0)</f>
        <v>0</v>
      </c>
      <c r="K1802" s="139">
        <f>IFERROR(__xludf.DUMMYFUNCTION("""COMPUTED_VALUE"""),0.0)</f>
        <v>0</v>
      </c>
      <c r="L1802" s="139"/>
      <c r="M1802" s="139"/>
      <c r="N1802" s="139"/>
    </row>
    <row r="1803">
      <c r="A1803" s="139" t="str">
        <f>IFERROR(__xludf.DUMMYFUNCTION("""COMPUTED_VALUE"""),"e")</f>
        <v>e</v>
      </c>
      <c r="B1803" s="139">
        <f>IFERROR(__xludf.DUMMYFUNCTION("""COMPUTED_VALUE"""),2.0250901E8)</f>
        <v>202509010</v>
      </c>
      <c r="C1803" s="139" t="str">
        <f>IFERROR(__xludf.DUMMYFUNCTION("""COMPUTED_VALUE"""),"c_gom_00001_general_h_Boss_Yellow_Special_00002")</f>
        <v>c_gom_00001_general_h_Boss_Yellow_Special_00002</v>
      </c>
      <c r="D1803" s="139" t="str">
        <f>IFERROR(__xludf.DUMMYFUNCTION("""COMPUTED_VALUE"""),"c_gom_00001_general_h_Boss_Yellow")</f>
        <v>c_gom_00001_general_h_Boss_Yellow</v>
      </c>
      <c r="E1803" s="139">
        <f>IFERROR(__xludf.DUMMYFUNCTION("""COMPUTED_VALUE"""),0.0)</f>
        <v>0</v>
      </c>
      <c r="F1803" s="139" t="str">
        <f>IFERROR(__xludf.DUMMYFUNCTION("""COMPUTED_VALUE"""),"Special")</f>
        <v>Special</v>
      </c>
      <c r="G1803" s="139"/>
      <c r="H1803" s="139"/>
      <c r="I1803" s="139">
        <f>IFERROR(__xludf.DUMMYFUNCTION("""COMPUTED_VALUE"""),200.0)</f>
        <v>200</v>
      </c>
      <c r="J1803" s="139">
        <f>IFERROR(__xludf.DUMMYFUNCTION("""COMPUTED_VALUE"""),115.0)</f>
        <v>115</v>
      </c>
      <c r="K1803" s="139">
        <f>IFERROR(__xludf.DUMMYFUNCTION("""COMPUTED_VALUE"""),0.0)</f>
        <v>0</v>
      </c>
      <c r="L1803" s="139"/>
      <c r="M1803" s="139"/>
      <c r="N1803" s="139"/>
    </row>
    <row r="1804">
      <c r="A1804" s="139" t="str">
        <f>IFERROR(__xludf.DUMMYFUNCTION("""COMPUTED_VALUE"""),"e")</f>
        <v>e</v>
      </c>
      <c r="B1804" s="139">
        <f>IFERROR(__xludf.DUMMYFUNCTION("""COMPUTED_VALUE"""),2.0250901E8)</f>
        <v>202509010</v>
      </c>
      <c r="C1804" s="139" t="str">
        <f>IFERROR(__xludf.DUMMYFUNCTION("""COMPUTED_VALUE"""),"e_glo_00001_general_h_Normal_Yellow_Normal_00000")</f>
        <v>e_glo_00001_general_h_Normal_Yellow_Normal_00000</v>
      </c>
      <c r="D1804" s="139" t="str">
        <f>IFERROR(__xludf.DUMMYFUNCTION("""COMPUTED_VALUE"""),"e_glo_00001_general_h_Normal_Yellow")</f>
        <v>e_glo_00001_general_h_Normal_Yellow</v>
      </c>
      <c r="E1804" s="139">
        <f>IFERROR(__xludf.DUMMYFUNCTION("""COMPUTED_VALUE"""),0.0)</f>
        <v>0</v>
      </c>
      <c r="F1804" s="139" t="str">
        <f>IFERROR(__xludf.DUMMYFUNCTION("""COMPUTED_VALUE"""),"Normal")</f>
        <v>Normal</v>
      </c>
      <c r="G1804" s="139"/>
      <c r="H1804" s="139"/>
      <c r="I1804" s="139">
        <f>IFERROR(__xludf.DUMMYFUNCTION("""COMPUTED_VALUE"""),50.0)</f>
        <v>50</v>
      </c>
      <c r="J1804" s="139">
        <f>IFERROR(__xludf.DUMMYFUNCTION("""COMPUTED_VALUE"""),25.0)</f>
        <v>25</v>
      </c>
      <c r="K1804" s="139">
        <f>IFERROR(__xludf.DUMMYFUNCTION("""COMPUTED_VALUE"""),100.0)</f>
        <v>100</v>
      </c>
      <c r="L1804" s="139"/>
      <c r="M1804" s="139"/>
      <c r="N1804" s="139"/>
    </row>
    <row r="1805">
      <c r="A1805" s="139"/>
      <c r="B1805" s="139"/>
      <c r="C1805" s="139"/>
      <c r="D1805" s="139"/>
      <c r="E1805" s="139"/>
      <c r="F1805" s="139"/>
      <c r="G1805" s="139"/>
      <c r="H1805" s="139"/>
      <c r="I1805" s="139"/>
      <c r="J1805" s="139"/>
      <c r="K1805" s="139"/>
      <c r="L1805" s="139"/>
      <c r="M1805" s="139"/>
      <c r="N1805" s="139"/>
    </row>
    <row r="1806">
      <c r="A1806" s="139" t="str">
        <f>IFERROR(__xludf.DUMMYFUNCTION("""COMPUTED_VALUE"""),"e")</f>
        <v>e</v>
      </c>
      <c r="B1806" s="139">
        <f>IFERROR(__xludf.DUMMYFUNCTION("""COMPUTED_VALUE"""),2.0250901E8)</f>
        <v>202509010</v>
      </c>
      <c r="C1806" s="139" t="str">
        <f>IFERROR(__xludf.DUMMYFUNCTION("""COMPUTED_VALUE"""),"c_aka_00101_general_h_Normal_Colorless_Normal_00000")</f>
        <v>c_aka_00101_general_h_Normal_Colorless_Normal_00000</v>
      </c>
      <c r="D1806" s="139" t="str">
        <f>IFERROR(__xludf.DUMMYFUNCTION("""COMPUTED_VALUE"""),"c_aka_00101_general_h_Normal_Colorless")</f>
        <v>c_aka_00101_general_h_Normal_Colorless</v>
      </c>
      <c r="E1806" s="139">
        <f>IFERROR(__xludf.DUMMYFUNCTION("""COMPUTED_VALUE"""),0.0)</f>
        <v>0</v>
      </c>
      <c r="F1806" s="139" t="str">
        <f>IFERROR(__xludf.DUMMYFUNCTION("""COMPUTED_VALUE"""),"Normal")</f>
        <v>Normal</v>
      </c>
      <c r="G1806" s="139"/>
      <c r="H1806" s="139"/>
      <c r="I1806" s="139">
        <f>IFERROR(__xludf.DUMMYFUNCTION("""COMPUTED_VALUE"""),75.0)</f>
        <v>75</v>
      </c>
      <c r="J1806" s="139">
        <f>IFERROR(__xludf.DUMMYFUNCTION("""COMPUTED_VALUE"""),27.0)</f>
        <v>27</v>
      </c>
      <c r="K1806" s="139">
        <f>IFERROR(__xludf.DUMMYFUNCTION("""COMPUTED_VALUE"""),150.0)</f>
        <v>150</v>
      </c>
      <c r="L1806" s="139"/>
      <c r="M1806" s="139"/>
      <c r="N1806" s="139"/>
    </row>
    <row r="1807">
      <c r="A1807" s="139" t="str">
        <f>IFERROR(__xludf.DUMMYFUNCTION("""COMPUTED_VALUE"""),"e")</f>
        <v>e</v>
      </c>
      <c r="B1807" s="139">
        <f>IFERROR(__xludf.DUMMYFUNCTION("""COMPUTED_VALUE"""),2.0250901E8)</f>
        <v>202509010</v>
      </c>
      <c r="C1807" s="139" t="str">
        <f>IFERROR(__xludf.DUMMYFUNCTION("""COMPUTED_VALUE"""),"c_aka_00101_general_vh_Normal_Red_Normal_00000")</f>
        <v>c_aka_00101_general_vh_Normal_Red_Normal_00000</v>
      </c>
      <c r="D1807" s="139" t="str">
        <f>IFERROR(__xludf.DUMMYFUNCTION("""COMPUTED_VALUE"""),"c_aka_00101_general_vh_Normal_Red")</f>
        <v>c_aka_00101_general_vh_Normal_Red</v>
      </c>
      <c r="E1807" s="139">
        <f>IFERROR(__xludf.DUMMYFUNCTION("""COMPUTED_VALUE"""),0.0)</f>
        <v>0</v>
      </c>
      <c r="F1807" s="139" t="str">
        <f>IFERROR(__xludf.DUMMYFUNCTION("""COMPUTED_VALUE"""),"Normal")</f>
        <v>Normal</v>
      </c>
      <c r="G1807" s="139"/>
      <c r="H1807" s="139"/>
      <c r="I1807" s="139">
        <f>IFERROR(__xludf.DUMMYFUNCTION("""COMPUTED_VALUE"""),75.0)</f>
        <v>75</v>
      </c>
      <c r="J1807" s="139">
        <f>IFERROR(__xludf.DUMMYFUNCTION("""COMPUTED_VALUE"""),27.0)</f>
        <v>27</v>
      </c>
      <c r="K1807" s="139">
        <f>IFERROR(__xludf.DUMMYFUNCTION("""COMPUTED_VALUE"""),150.0)</f>
        <v>150</v>
      </c>
      <c r="L1807" s="139"/>
      <c r="M1807" s="139"/>
      <c r="N1807" s="139"/>
    </row>
    <row r="1808">
      <c r="A1808" s="139" t="str">
        <f>IFERROR(__xludf.DUMMYFUNCTION("""COMPUTED_VALUE"""),"e")</f>
        <v>e</v>
      </c>
      <c r="B1808" s="139">
        <f>IFERROR(__xludf.DUMMYFUNCTION("""COMPUTED_VALUE"""),2.0250901E8)</f>
        <v>202509010</v>
      </c>
      <c r="C1808" s="139" t="str">
        <f>IFERROR(__xludf.DUMMYFUNCTION("""COMPUTED_VALUE"""),"c_aka_00101_general_n_Boss_Colorless_Normal_00000")</f>
        <v>c_aka_00101_general_n_Boss_Colorless_Normal_00000</v>
      </c>
      <c r="D1808" s="139" t="str">
        <f>IFERROR(__xludf.DUMMYFUNCTION("""COMPUTED_VALUE"""),"c_aka_00101_general_n_Boss_Colorless")</f>
        <v>c_aka_00101_general_n_Boss_Colorless</v>
      </c>
      <c r="E1808" s="139">
        <f>IFERROR(__xludf.DUMMYFUNCTION("""COMPUTED_VALUE"""),0.0)</f>
        <v>0</v>
      </c>
      <c r="F1808" s="139" t="str">
        <f>IFERROR(__xludf.DUMMYFUNCTION("""COMPUTED_VALUE"""),"Normal")</f>
        <v>Normal</v>
      </c>
      <c r="G1808" s="139"/>
      <c r="H1808" s="139"/>
      <c r="I1808" s="139">
        <f>IFERROR(__xludf.DUMMYFUNCTION("""COMPUTED_VALUE"""),75.0)</f>
        <v>75</v>
      </c>
      <c r="J1808" s="139">
        <f>IFERROR(__xludf.DUMMYFUNCTION("""COMPUTED_VALUE"""),27.0)</f>
        <v>27</v>
      </c>
      <c r="K1808" s="139">
        <f>IFERROR(__xludf.DUMMYFUNCTION("""COMPUTED_VALUE"""),150.0)</f>
        <v>150</v>
      </c>
      <c r="L1808" s="139"/>
      <c r="M1808" s="139"/>
      <c r="N1808" s="139"/>
    </row>
    <row r="1809">
      <c r="A1809" s="139" t="str">
        <f>IFERROR(__xludf.DUMMYFUNCTION("""COMPUTED_VALUE"""),"e")</f>
        <v>e</v>
      </c>
      <c r="B1809" s="139">
        <f>IFERROR(__xludf.DUMMYFUNCTION("""COMPUTED_VALUE"""),2.0250901E8)</f>
        <v>202509010</v>
      </c>
      <c r="C1809" s="139" t="str">
        <f>IFERROR(__xludf.DUMMYFUNCTION("""COMPUTED_VALUE"""),"c_aka_00101_general_n_Boss_Colorless_Appearance_00001")</f>
        <v>c_aka_00101_general_n_Boss_Colorless_Appearance_00001</v>
      </c>
      <c r="D1809" s="139" t="str">
        <f>IFERROR(__xludf.DUMMYFUNCTION("""COMPUTED_VALUE"""),"c_aka_00101_general_n_Boss_Colorless")</f>
        <v>c_aka_00101_general_n_Boss_Colorless</v>
      </c>
      <c r="E1809" s="139">
        <f>IFERROR(__xludf.DUMMYFUNCTION("""COMPUTED_VALUE"""),0.0)</f>
        <v>0</v>
      </c>
      <c r="F1809" s="139" t="str">
        <f>IFERROR(__xludf.DUMMYFUNCTION("""COMPUTED_VALUE"""),"Appearance")</f>
        <v>Appearance</v>
      </c>
      <c r="G1809" s="139"/>
      <c r="H1809" s="139"/>
      <c r="I1809" s="139">
        <f>IFERROR(__xludf.DUMMYFUNCTION("""COMPUTED_VALUE"""),50.0)</f>
        <v>50</v>
      </c>
      <c r="J1809" s="139">
        <f>IFERROR(__xludf.DUMMYFUNCTION("""COMPUTED_VALUE"""),0.0)</f>
        <v>0</v>
      </c>
      <c r="K1809" s="139">
        <f>IFERROR(__xludf.DUMMYFUNCTION("""COMPUTED_VALUE"""),0.0)</f>
        <v>0</v>
      </c>
      <c r="L1809" s="139"/>
      <c r="M1809" s="139"/>
      <c r="N1809" s="139"/>
    </row>
    <row r="1810">
      <c r="A1810" s="139" t="str">
        <f>IFERROR(__xludf.DUMMYFUNCTION("""COMPUTED_VALUE"""),"e")</f>
        <v>e</v>
      </c>
      <c r="B1810" s="139">
        <f>IFERROR(__xludf.DUMMYFUNCTION("""COMPUTED_VALUE"""),2.0250901E8)</f>
        <v>202509010</v>
      </c>
      <c r="C1810" s="139" t="str">
        <f>IFERROR(__xludf.DUMMYFUNCTION("""COMPUTED_VALUE"""),"c_aka_00101_general_n_Boss_Colorless_Special_00002")</f>
        <v>c_aka_00101_general_n_Boss_Colorless_Special_00002</v>
      </c>
      <c r="D1810" s="139" t="str">
        <f>IFERROR(__xludf.DUMMYFUNCTION("""COMPUTED_VALUE"""),"c_aka_00101_general_n_Boss_Colorless")</f>
        <v>c_aka_00101_general_n_Boss_Colorless</v>
      </c>
      <c r="E1810" s="139">
        <f>IFERROR(__xludf.DUMMYFUNCTION("""COMPUTED_VALUE"""),0.0)</f>
        <v>0</v>
      </c>
      <c r="F1810" s="139" t="str">
        <f>IFERROR(__xludf.DUMMYFUNCTION("""COMPUTED_VALUE"""),"Special")</f>
        <v>Special</v>
      </c>
      <c r="G1810" s="139"/>
      <c r="H1810" s="139"/>
      <c r="I1810" s="139">
        <f>IFERROR(__xludf.DUMMYFUNCTION("""COMPUTED_VALUE"""),225.0)</f>
        <v>225</v>
      </c>
      <c r="J1810" s="139">
        <f>IFERROR(__xludf.DUMMYFUNCTION("""COMPUTED_VALUE"""),0.0)</f>
        <v>0</v>
      </c>
      <c r="K1810" s="139">
        <f>IFERROR(__xludf.DUMMYFUNCTION("""COMPUTED_VALUE"""),0.0)</f>
        <v>0</v>
      </c>
      <c r="L1810" s="139"/>
      <c r="M1810" s="139"/>
      <c r="N1810" s="139"/>
    </row>
    <row r="1811">
      <c r="A1811" s="139" t="str">
        <f>IFERROR(__xludf.DUMMYFUNCTION("""COMPUTED_VALUE"""),"e")</f>
        <v>e</v>
      </c>
      <c r="B1811" s="139">
        <f>IFERROR(__xludf.DUMMYFUNCTION("""COMPUTED_VALUE"""),2.0250901E8)</f>
        <v>202509010</v>
      </c>
      <c r="C1811" s="139" t="str">
        <f>IFERROR(__xludf.DUMMYFUNCTION("""COMPUTED_VALUE"""),"c_aka_00101_general_n_Boss_Red_Normal_00000")</f>
        <v>c_aka_00101_general_n_Boss_Red_Normal_00000</v>
      </c>
      <c r="D1811" s="139" t="str">
        <f>IFERROR(__xludf.DUMMYFUNCTION("""COMPUTED_VALUE"""),"c_aka_00101_general_n_Boss_Red")</f>
        <v>c_aka_00101_general_n_Boss_Red</v>
      </c>
      <c r="E1811" s="139">
        <f>IFERROR(__xludf.DUMMYFUNCTION("""COMPUTED_VALUE"""),0.0)</f>
        <v>0</v>
      </c>
      <c r="F1811" s="139" t="str">
        <f>IFERROR(__xludf.DUMMYFUNCTION("""COMPUTED_VALUE"""),"Normal")</f>
        <v>Normal</v>
      </c>
      <c r="G1811" s="139"/>
      <c r="H1811" s="139"/>
      <c r="I1811" s="139">
        <f>IFERROR(__xludf.DUMMYFUNCTION("""COMPUTED_VALUE"""),75.0)</f>
        <v>75</v>
      </c>
      <c r="J1811" s="139">
        <f>IFERROR(__xludf.DUMMYFUNCTION("""COMPUTED_VALUE"""),27.0)</f>
        <v>27</v>
      </c>
      <c r="K1811" s="139">
        <f>IFERROR(__xludf.DUMMYFUNCTION("""COMPUTED_VALUE"""),100.0)</f>
        <v>100</v>
      </c>
      <c r="L1811" s="139"/>
      <c r="M1811" s="139"/>
      <c r="N1811" s="139"/>
    </row>
    <row r="1812">
      <c r="A1812" s="139" t="str">
        <f>IFERROR(__xludf.DUMMYFUNCTION("""COMPUTED_VALUE"""),"e")</f>
        <v>e</v>
      </c>
      <c r="B1812" s="139">
        <f>IFERROR(__xludf.DUMMYFUNCTION("""COMPUTED_VALUE"""),2.0250901E8)</f>
        <v>202509010</v>
      </c>
      <c r="C1812" s="139" t="str">
        <f>IFERROR(__xludf.DUMMYFUNCTION("""COMPUTED_VALUE"""),"c_aka_00101_general_n_Boss_Red_Appearance_00001")</f>
        <v>c_aka_00101_general_n_Boss_Red_Appearance_00001</v>
      </c>
      <c r="D1812" s="139" t="str">
        <f>IFERROR(__xludf.DUMMYFUNCTION("""COMPUTED_VALUE"""),"c_aka_00101_general_n_Boss_Red")</f>
        <v>c_aka_00101_general_n_Boss_Red</v>
      </c>
      <c r="E1812" s="139">
        <f>IFERROR(__xludf.DUMMYFUNCTION("""COMPUTED_VALUE"""),0.0)</f>
        <v>0</v>
      </c>
      <c r="F1812" s="139" t="str">
        <f>IFERROR(__xludf.DUMMYFUNCTION("""COMPUTED_VALUE"""),"Appearance")</f>
        <v>Appearance</v>
      </c>
      <c r="G1812" s="139"/>
      <c r="H1812" s="139"/>
      <c r="I1812" s="139">
        <f>IFERROR(__xludf.DUMMYFUNCTION("""COMPUTED_VALUE"""),50.0)</f>
        <v>50</v>
      </c>
      <c r="J1812" s="139">
        <f>IFERROR(__xludf.DUMMYFUNCTION("""COMPUTED_VALUE"""),0.0)</f>
        <v>0</v>
      </c>
      <c r="K1812" s="139">
        <f>IFERROR(__xludf.DUMMYFUNCTION("""COMPUTED_VALUE"""),0.0)</f>
        <v>0</v>
      </c>
      <c r="L1812" s="139"/>
      <c r="M1812" s="139"/>
      <c r="N1812" s="139"/>
    </row>
    <row r="1813">
      <c r="A1813" s="139" t="str">
        <f>IFERROR(__xludf.DUMMYFUNCTION("""COMPUTED_VALUE"""),"e")</f>
        <v>e</v>
      </c>
      <c r="B1813" s="139">
        <f>IFERROR(__xludf.DUMMYFUNCTION("""COMPUTED_VALUE"""),2.0250901E8)</f>
        <v>202509010</v>
      </c>
      <c r="C1813" s="139" t="str">
        <f>IFERROR(__xludf.DUMMYFUNCTION("""COMPUTED_VALUE"""),"c_aka_00101_general_n_Boss_Red_Special_00002")</f>
        <v>c_aka_00101_general_n_Boss_Red_Special_00002</v>
      </c>
      <c r="D1813" s="139" t="str">
        <f>IFERROR(__xludf.DUMMYFUNCTION("""COMPUTED_VALUE"""),"c_aka_00101_general_n_Boss_Red")</f>
        <v>c_aka_00101_general_n_Boss_Red</v>
      </c>
      <c r="E1813" s="139">
        <f>IFERROR(__xludf.DUMMYFUNCTION("""COMPUTED_VALUE"""),0.0)</f>
        <v>0</v>
      </c>
      <c r="F1813" s="139" t="str">
        <f>IFERROR(__xludf.DUMMYFUNCTION("""COMPUTED_VALUE"""),"Special")</f>
        <v>Special</v>
      </c>
      <c r="G1813" s="139"/>
      <c r="H1813" s="139"/>
      <c r="I1813" s="139">
        <f>IFERROR(__xludf.DUMMYFUNCTION("""COMPUTED_VALUE"""),225.0)</f>
        <v>225</v>
      </c>
      <c r="J1813" s="139">
        <f>IFERROR(__xludf.DUMMYFUNCTION("""COMPUTED_VALUE"""),0.0)</f>
        <v>0</v>
      </c>
      <c r="K1813" s="139">
        <f>IFERROR(__xludf.DUMMYFUNCTION("""COMPUTED_VALUE"""),0.0)</f>
        <v>0</v>
      </c>
      <c r="L1813" s="139"/>
      <c r="M1813" s="139"/>
      <c r="N1813" s="139"/>
    </row>
    <row r="1814">
      <c r="A1814" s="139" t="str">
        <f>IFERROR(__xludf.DUMMYFUNCTION("""COMPUTED_VALUE"""),"e")</f>
        <v>e</v>
      </c>
      <c r="B1814" s="139">
        <f>IFERROR(__xludf.DUMMYFUNCTION("""COMPUTED_VALUE"""),2.0250901E8)</f>
        <v>202509010</v>
      </c>
      <c r="C1814" s="139" t="str">
        <f>IFERROR(__xludf.DUMMYFUNCTION("""COMPUTED_VALUE"""),"c_aka_00101_general_h_Boss_Colorless_Normal_00000")</f>
        <v>c_aka_00101_general_h_Boss_Colorless_Normal_00000</v>
      </c>
      <c r="D1814" s="139" t="str">
        <f>IFERROR(__xludf.DUMMYFUNCTION("""COMPUTED_VALUE"""),"c_aka_00101_general_h_Boss_Colorless")</f>
        <v>c_aka_00101_general_h_Boss_Colorless</v>
      </c>
      <c r="E1814" s="139">
        <f>IFERROR(__xludf.DUMMYFUNCTION("""COMPUTED_VALUE"""),0.0)</f>
        <v>0</v>
      </c>
      <c r="F1814" s="139" t="str">
        <f>IFERROR(__xludf.DUMMYFUNCTION("""COMPUTED_VALUE"""),"Normal")</f>
        <v>Normal</v>
      </c>
      <c r="G1814" s="139"/>
      <c r="H1814" s="139"/>
      <c r="I1814" s="139">
        <f>IFERROR(__xludf.DUMMYFUNCTION("""COMPUTED_VALUE"""),75.0)</f>
        <v>75</v>
      </c>
      <c r="J1814" s="139">
        <f>IFERROR(__xludf.DUMMYFUNCTION("""COMPUTED_VALUE"""),27.0)</f>
        <v>27</v>
      </c>
      <c r="K1814" s="139">
        <f>IFERROR(__xludf.DUMMYFUNCTION("""COMPUTED_VALUE"""),150.0)</f>
        <v>150</v>
      </c>
      <c r="L1814" s="139"/>
      <c r="M1814" s="139"/>
      <c r="N1814" s="139"/>
    </row>
    <row r="1815">
      <c r="A1815" s="139" t="str">
        <f>IFERROR(__xludf.DUMMYFUNCTION("""COMPUTED_VALUE"""),"e")</f>
        <v>e</v>
      </c>
      <c r="B1815" s="139">
        <f>IFERROR(__xludf.DUMMYFUNCTION("""COMPUTED_VALUE"""),2.0250901E8)</f>
        <v>202509010</v>
      </c>
      <c r="C1815" s="139" t="str">
        <f>IFERROR(__xludf.DUMMYFUNCTION("""COMPUTED_VALUE"""),"c_aka_00101_general_h_Boss_Colorless_Appearance_00001")</f>
        <v>c_aka_00101_general_h_Boss_Colorless_Appearance_00001</v>
      </c>
      <c r="D1815" s="139" t="str">
        <f>IFERROR(__xludf.DUMMYFUNCTION("""COMPUTED_VALUE"""),"c_aka_00101_general_h_Boss_Colorless")</f>
        <v>c_aka_00101_general_h_Boss_Colorless</v>
      </c>
      <c r="E1815" s="139">
        <f>IFERROR(__xludf.DUMMYFUNCTION("""COMPUTED_VALUE"""),0.0)</f>
        <v>0</v>
      </c>
      <c r="F1815" s="139" t="str">
        <f>IFERROR(__xludf.DUMMYFUNCTION("""COMPUTED_VALUE"""),"Appearance")</f>
        <v>Appearance</v>
      </c>
      <c r="G1815" s="139"/>
      <c r="H1815" s="139"/>
      <c r="I1815" s="139">
        <f>IFERROR(__xludf.DUMMYFUNCTION("""COMPUTED_VALUE"""),50.0)</f>
        <v>50</v>
      </c>
      <c r="J1815" s="139">
        <f>IFERROR(__xludf.DUMMYFUNCTION("""COMPUTED_VALUE"""),0.0)</f>
        <v>0</v>
      </c>
      <c r="K1815" s="139">
        <f>IFERROR(__xludf.DUMMYFUNCTION("""COMPUTED_VALUE"""),0.0)</f>
        <v>0</v>
      </c>
      <c r="L1815" s="139"/>
      <c r="M1815" s="139"/>
      <c r="N1815" s="139"/>
    </row>
    <row r="1816">
      <c r="A1816" s="139" t="str">
        <f>IFERROR(__xludf.DUMMYFUNCTION("""COMPUTED_VALUE"""),"e")</f>
        <v>e</v>
      </c>
      <c r="B1816" s="139">
        <f>IFERROR(__xludf.DUMMYFUNCTION("""COMPUTED_VALUE"""),2.0250901E8)</f>
        <v>202509010</v>
      </c>
      <c r="C1816" s="139" t="str">
        <f>IFERROR(__xludf.DUMMYFUNCTION("""COMPUTED_VALUE"""),"c_aka_00101_general_h_Boss_Colorless_Special_00002")</f>
        <v>c_aka_00101_general_h_Boss_Colorless_Special_00002</v>
      </c>
      <c r="D1816" s="139" t="str">
        <f>IFERROR(__xludf.DUMMYFUNCTION("""COMPUTED_VALUE"""),"c_aka_00101_general_h_Boss_Colorless")</f>
        <v>c_aka_00101_general_h_Boss_Colorless</v>
      </c>
      <c r="E1816" s="139">
        <f>IFERROR(__xludf.DUMMYFUNCTION("""COMPUTED_VALUE"""),0.0)</f>
        <v>0</v>
      </c>
      <c r="F1816" s="139" t="str">
        <f>IFERROR(__xludf.DUMMYFUNCTION("""COMPUTED_VALUE"""),"Special")</f>
        <v>Special</v>
      </c>
      <c r="G1816" s="139"/>
      <c r="H1816" s="139"/>
      <c r="I1816" s="139">
        <f>IFERROR(__xludf.DUMMYFUNCTION("""COMPUTED_VALUE"""),225.0)</f>
        <v>225</v>
      </c>
      <c r="J1816" s="139">
        <f>IFERROR(__xludf.DUMMYFUNCTION("""COMPUTED_VALUE"""),0.0)</f>
        <v>0</v>
      </c>
      <c r="K1816" s="139">
        <f>IFERROR(__xludf.DUMMYFUNCTION("""COMPUTED_VALUE"""),0.0)</f>
        <v>0</v>
      </c>
      <c r="L1816" s="139"/>
      <c r="M1816" s="139"/>
      <c r="N1816" s="139"/>
    </row>
    <row r="1817">
      <c r="A1817" s="139" t="str">
        <f>IFERROR(__xludf.DUMMYFUNCTION("""COMPUTED_VALUE"""),"e")</f>
        <v>e</v>
      </c>
      <c r="B1817" s="139">
        <f>IFERROR(__xludf.DUMMYFUNCTION("""COMPUTED_VALUE"""),2.0250901E8)</f>
        <v>202509010</v>
      </c>
      <c r="C1817" s="139" t="str">
        <f>IFERROR(__xludf.DUMMYFUNCTION("""COMPUTED_VALUE"""),"c_aka_00101_general_h_Boss_Red_Normal_00000")</f>
        <v>c_aka_00101_general_h_Boss_Red_Normal_00000</v>
      </c>
      <c r="D1817" s="139" t="str">
        <f>IFERROR(__xludf.DUMMYFUNCTION("""COMPUTED_VALUE"""),"c_aka_00101_general_h_Boss_Red")</f>
        <v>c_aka_00101_general_h_Boss_Red</v>
      </c>
      <c r="E1817" s="139">
        <f>IFERROR(__xludf.DUMMYFUNCTION("""COMPUTED_VALUE"""),0.0)</f>
        <v>0</v>
      </c>
      <c r="F1817" s="139" t="str">
        <f>IFERROR(__xludf.DUMMYFUNCTION("""COMPUTED_VALUE"""),"Normal")</f>
        <v>Normal</v>
      </c>
      <c r="G1817" s="139"/>
      <c r="H1817" s="139"/>
      <c r="I1817" s="139">
        <f>IFERROR(__xludf.DUMMYFUNCTION("""COMPUTED_VALUE"""),75.0)</f>
        <v>75</v>
      </c>
      <c r="J1817" s="139">
        <f>IFERROR(__xludf.DUMMYFUNCTION("""COMPUTED_VALUE"""),27.0)</f>
        <v>27</v>
      </c>
      <c r="K1817" s="139">
        <f>IFERROR(__xludf.DUMMYFUNCTION("""COMPUTED_VALUE"""),100.0)</f>
        <v>100</v>
      </c>
      <c r="L1817" s="139"/>
      <c r="M1817" s="139"/>
      <c r="N1817" s="139"/>
    </row>
    <row r="1818">
      <c r="A1818" s="139" t="str">
        <f>IFERROR(__xludf.DUMMYFUNCTION("""COMPUTED_VALUE"""),"e")</f>
        <v>e</v>
      </c>
      <c r="B1818" s="139">
        <f>IFERROR(__xludf.DUMMYFUNCTION("""COMPUTED_VALUE"""),2.0250901E8)</f>
        <v>202509010</v>
      </c>
      <c r="C1818" s="139" t="str">
        <f>IFERROR(__xludf.DUMMYFUNCTION("""COMPUTED_VALUE"""),"c_aka_00101_general_h_Boss_Red_Appearance_00001")</f>
        <v>c_aka_00101_general_h_Boss_Red_Appearance_00001</v>
      </c>
      <c r="D1818" s="139" t="str">
        <f>IFERROR(__xludf.DUMMYFUNCTION("""COMPUTED_VALUE"""),"c_aka_00101_general_h_Boss_Red")</f>
        <v>c_aka_00101_general_h_Boss_Red</v>
      </c>
      <c r="E1818" s="139">
        <f>IFERROR(__xludf.DUMMYFUNCTION("""COMPUTED_VALUE"""),0.0)</f>
        <v>0</v>
      </c>
      <c r="F1818" s="139" t="str">
        <f>IFERROR(__xludf.DUMMYFUNCTION("""COMPUTED_VALUE"""),"Appearance")</f>
        <v>Appearance</v>
      </c>
      <c r="G1818" s="139"/>
      <c r="H1818" s="139"/>
      <c r="I1818" s="139">
        <f>IFERROR(__xludf.DUMMYFUNCTION("""COMPUTED_VALUE"""),50.0)</f>
        <v>50</v>
      </c>
      <c r="J1818" s="139">
        <f>IFERROR(__xludf.DUMMYFUNCTION("""COMPUTED_VALUE"""),0.0)</f>
        <v>0</v>
      </c>
      <c r="K1818" s="139">
        <f>IFERROR(__xludf.DUMMYFUNCTION("""COMPUTED_VALUE"""),0.0)</f>
        <v>0</v>
      </c>
      <c r="L1818" s="139"/>
      <c r="M1818" s="139"/>
      <c r="N1818" s="139"/>
    </row>
    <row r="1819">
      <c r="A1819" s="139" t="str">
        <f>IFERROR(__xludf.DUMMYFUNCTION("""COMPUTED_VALUE"""),"e")</f>
        <v>e</v>
      </c>
      <c r="B1819" s="139">
        <f>IFERROR(__xludf.DUMMYFUNCTION("""COMPUTED_VALUE"""),2.0250901E8)</f>
        <v>202509010</v>
      </c>
      <c r="C1819" s="139" t="str">
        <f>IFERROR(__xludf.DUMMYFUNCTION("""COMPUTED_VALUE"""),"c_aka_00101_general_h_Boss_Red_Special_00002")</f>
        <v>c_aka_00101_general_h_Boss_Red_Special_00002</v>
      </c>
      <c r="D1819" s="139" t="str">
        <f>IFERROR(__xludf.DUMMYFUNCTION("""COMPUTED_VALUE"""),"c_aka_00101_general_h_Boss_Red")</f>
        <v>c_aka_00101_general_h_Boss_Red</v>
      </c>
      <c r="E1819" s="139">
        <f>IFERROR(__xludf.DUMMYFUNCTION("""COMPUTED_VALUE"""),0.0)</f>
        <v>0</v>
      </c>
      <c r="F1819" s="139" t="str">
        <f>IFERROR(__xludf.DUMMYFUNCTION("""COMPUTED_VALUE"""),"Special")</f>
        <v>Special</v>
      </c>
      <c r="G1819" s="139"/>
      <c r="H1819" s="139"/>
      <c r="I1819" s="139">
        <f>IFERROR(__xludf.DUMMYFUNCTION("""COMPUTED_VALUE"""),225.0)</f>
        <v>225</v>
      </c>
      <c r="J1819" s="139">
        <f>IFERROR(__xludf.DUMMYFUNCTION("""COMPUTED_VALUE"""),0.0)</f>
        <v>0</v>
      </c>
      <c r="K1819" s="139">
        <f>IFERROR(__xludf.DUMMYFUNCTION("""COMPUTED_VALUE"""),0.0)</f>
        <v>0</v>
      </c>
      <c r="L1819" s="139"/>
      <c r="M1819" s="139"/>
      <c r="N1819" s="139"/>
    </row>
    <row r="1820">
      <c r="A1820" s="139" t="str">
        <f>IFERROR(__xludf.DUMMYFUNCTION("""COMPUTED_VALUE"""),"e")</f>
        <v>e</v>
      </c>
      <c r="B1820" s="139">
        <f>IFERROR(__xludf.DUMMYFUNCTION("""COMPUTED_VALUE"""),2.0250901E8)</f>
        <v>202509010</v>
      </c>
      <c r="C1820" s="139" t="str">
        <f>IFERROR(__xludf.DUMMYFUNCTION("""COMPUTED_VALUE"""),"c_aka_00101_general_vh_Boss_Colorless_Normal_00000")</f>
        <v>c_aka_00101_general_vh_Boss_Colorless_Normal_00000</v>
      </c>
      <c r="D1820" s="139" t="str">
        <f>IFERROR(__xludf.DUMMYFUNCTION("""COMPUTED_VALUE"""),"c_aka_00101_general_vh_Boss_Colorless")</f>
        <v>c_aka_00101_general_vh_Boss_Colorless</v>
      </c>
      <c r="E1820" s="139">
        <f>IFERROR(__xludf.DUMMYFUNCTION("""COMPUTED_VALUE"""),0.0)</f>
        <v>0</v>
      </c>
      <c r="F1820" s="139" t="str">
        <f>IFERROR(__xludf.DUMMYFUNCTION("""COMPUTED_VALUE"""),"Normal")</f>
        <v>Normal</v>
      </c>
      <c r="G1820" s="139"/>
      <c r="H1820" s="139"/>
      <c r="I1820" s="139">
        <f>IFERROR(__xludf.DUMMYFUNCTION("""COMPUTED_VALUE"""),75.0)</f>
        <v>75</v>
      </c>
      <c r="J1820" s="139">
        <f>IFERROR(__xludf.DUMMYFUNCTION("""COMPUTED_VALUE"""),27.0)</f>
        <v>27</v>
      </c>
      <c r="K1820" s="139">
        <f>IFERROR(__xludf.DUMMYFUNCTION("""COMPUTED_VALUE"""),50.0)</f>
        <v>50</v>
      </c>
      <c r="L1820" s="139"/>
      <c r="M1820" s="139"/>
      <c r="N1820" s="139"/>
    </row>
    <row r="1821">
      <c r="A1821" s="139" t="str">
        <f>IFERROR(__xludf.DUMMYFUNCTION("""COMPUTED_VALUE"""),"e")</f>
        <v>e</v>
      </c>
      <c r="B1821" s="139">
        <f>IFERROR(__xludf.DUMMYFUNCTION("""COMPUTED_VALUE"""),2.0250901E8)</f>
        <v>202509010</v>
      </c>
      <c r="C1821" s="139" t="str">
        <f>IFERROR(__xludf.DUMMYFUNCTION("""COMPUTED_VALUE"""),"c_aka_00101_general_vh_Boss_Colorless_Appearance_00001")</f>
        <v>c_aka_00101_general_vh_Boss_Colorless_Appearance_00001</v>
      </c>
      <c r="D1821" s="139" t="str">
        <f>IFERROR(__xludf.DUMMYFUNCTION("""COMPUTED_VALUE"""),"c_aka_00101_general_vh_Boss_Colorless")</f>
        <v>c_aka_00101_general_vh_Boss_Colorless</v>
      </c>
      <c r="E1821" s="139">
        <f>IFERROR(__xludf.DUMMYFUNCTION("""COMPUTED_VALUE"""),0.0)</f>
        <v>0</v>
      </c>
      <c r="F1821" s="139" t="str">
        <f>IFERROR(__xludf.DUMMYFUNCTION("""COMPUTED_VALUE"""),"Appearance")</f>
        <v>Appearance</v>
      </c>
      <c r="G1821" s="139"/>
      <c r="H1821" s="139"/>
      <c r="I1821" s="139">
        <f>IFERROR(__xludf.DUMMYFUNCTION("""COMPUTED_VALUE"""),50.0)</f>
        <v>50</v>
      </c>
      <c r="J1821" s="139">
        <f>IFERROR(__xludf.DUMMYFUNCTION("""COMPUTED_VALUE"""),0.0)</f>
        <v>0</v>
      </c>
      <c r="K1821" s="139">
        <f>IFERROR(__xludf.DUMMYFUNCTION("""COMPUTED_VALUE"""),0.0)</f>
        <v>0</v>
      </c>
      <c r="L1821" s="139"/>
      <c r="M1821" s="139"/>
      <c r="N1821" s="139"/>
    </row>
    <row r="1822">
      <c r="A1822" s="139" t="str">
        <f>IFERROR(__xludf.DUMMYFUNCTION("""COMPUTED_VALUE"""),"e")</f>
        <v>e</v>
      </c>
      <c r="B1822" s="139">
        <f>IFERROR(__xludf.DUMMYFUNCTION("""COMPUTED_VALUE"""),2.0250901E8)</f>
        <v>202509010</v>
      </c>
      <c r="C1822" s="139" t="str">
        <f>IFERROR(__xludf.DUMMYFUNCTION("""COMPUTED_VALUE"""),"c_aka_00101_general_vh_Boss_Colorless_Special_00002")</f>
        <v>c_aka_00101_general_vh_Boss_Colorless_Special_00002</v>
      </c>
      <c r="D1822" s="139" t="str">
        <f>IFERROR(__xludf.DUMMYFUNCTION("""COMPUTED_VALUE"""),"c_aka_00101_general_vh_Boss_Colorless")</f>
        <v>c_aka_00101_general_vh_Boss_Colorless</v>
      </c>
      <c r="E1822" s="139">
        <f>IFERROR(__xludf.DUMMYFUNCTION("""COMPUTED_VALUE"""),0.0)</f>
        <v>0</v>
      </c>
      <c r="F1822" s="139" t="str">
        <f>IFERROR(__xludf.DUMMYFUNCTION("""COMPUTED_VALUE"""),"Special")</f>
        <v>Special</v>
      </c>
      <c r="G1822" s="139"/>
      <c r="H1822" s="139"/>
      <c r="I1822" s="139">
        <f>IFERROR(__xludf.DUMMYFUNCTION("""COMPUTED_VALUE"""),225.0)</f>
        <v>225</v>
      </c>
      <c r="J1822" s="139">
        <f>IFERROR(__xludf.DUMMYFUNCTION("""COMPUTED_VALUE"""),0.0)</f>
        <v>0</v>
      </c>
      <c r="K1822" s="139">
        <f>IFERROR(__xludf.DUMMYFUNCTION("""COMPUTED_VALUE"""),0.0)</f>
        <v>0</v>
      </c>
      <c r="L1822" s="139"/>
      <c r="M1822" s="139"/>
      <c r="N1822" s="139"/>
    </row>
    <row r="1823">
      <c r="A1823" s="139" t="str">
        <f>IFERROR(__xludf.DUMMYFUNCTION("""COMPUTED_VALUE"""),"e")</f>
        <v>e</v>
      </c>
      <c r="B1823" s="139">
        <f>IFERROR(__xludf.DUMMYFUNCTION("""COMPUTED_VALUE"""),2.0250901E8)</f>
        <v>202509010</v>
      </c>
      <c r="C1823" s="139" t="str">
        <f>IFERROR(__xludf.DUMMYFUNCTION("""COMPUTED_VALUE"""),"c_aka_00101_general_vh_Boss_Red_Normal_00000")</f>
        <v>c_aka_00101_general_vh_Boss_Red_Normal_00000</v>
      </c>
      <c r="D1823" s="139" t="str">
        <f>IFERROR(__xludf.DUMMYFUNCTION("""COMPUTED_VALUE"""),"c_aka_00101_general_vh_Boss_Red")</f>
        <v>c_aka_00101_general_vh_Boss_Red</v>
      </c>
      <c r="E1823" s="139">
        <f>IFERROR(__xludf.DUMMYFUNCTION("""COMPUTED_VALUE"""),0.0)</f>
        <v>0</v>
      </c>
      <c r="F1823" s="139" t="str">
        <f>IFERROR(__xludf.DUMMYFUNCTION("""COMPUTED_VALUE"""),"Normal")</f>
        <v>Normal</v>
      </c>
      <c r="G1823" s="139"/>
      <c r="H1823" s="139"/>
      <c r="I1823" s="139">
        <f>IFERROR(__xludf.DUMMYFUNCTION("""COMPUTED_VALUE"""),75.0)</f>
        <v>75</v>
      </c>
      <c r="J1823" s="139">
        <f>IFERROR(__xludf.DUMMYFUNCTION("""COMPUTED_VALUE"""),27.0)</f>
        <v>27</v>
      </c>
      <c r="K1823" s="139">
        <f>IFERROR(__xludf.DUMMYFUNCTION("""COMPUTED_VALUE"""),50.0)</f>
        <v>50</v>
      </c>
      <c r="L1823" s="139"/>
      <c r="M1823" s="139"/>
      <c r="N1823" s="139"/>
    </row>
    <row r="1824">
      <c r="A1824" s="139" t="str">
        <f>IFERROR(__xludf.DUMMYFUNCTION("""COMPUTED_VALUE"""),"e")</f>
        <v>e</v>
      </c>
      <c r="B1824" s="139">
        <f>IFERROR(__xludf.DUMMYFUNCTION("""COMPUTED_VALUE"""),2.0250901E8)</f>
        <v>202509010</v>
      </c>
      <c r="C1824" s="139" t="str">
        <f>IFERROR(__xludf.DUMMYFUNCTION("""COMPUTED_VALUE"""),"c_aka_00101_general_vh_Boss_Red_Appearance_00001")</f>
        <v>c_aka_00101_general_vh_Boss_Red_Appearance_00001</v>
      </c>
      <c r="D1824" s="139" t="str">
        <f>IFERROR(__xludf.DUMMYFUNCTION("""COMPUTED_VALUE"""),"c_aka_00101_general_vh_Boss_Red")</f>
        <v>c_aka_00101_general_vh_Boss_Red</v>
      </c>
      <c r="E1824" s="139">
        <f>IFERROR(__xludf.DUMMYFUNCTION("""COMPUTED_VALUE"""),0.0)</f>
        <v>0</v>
      </c>
      <c r="F1824" s="139" t="str">
        <f>IFERROR(__xludf.DUMMYFUNCTION("""COMPUTED_VALUE"""),"Appearance")</f>
        <v>Appearance</v>
      </c>
      <c r="G1824" s="139"/>
      <c r="H1824" s="139"/>
      <c r="I1824" s="139">
        <f>IFERROR(__xludf.DUMMYFUNCTION("""COMPUTED_VALUE"""),50.0)</f>
        <v>50</v>
      </c>
      <c r="J1824" s="139">
        <f>IFERROR(__xludf.DUMMYFUNCTION("""COMPUTED_VALUE"""),0.0)</f>
        <v>0</v>
      </c>
      <c r="K1824" s="139">
        <f>IFERROR(__xludf.DUMMYFUNCTION("""COMPUTED_VALUE"""),0.0)</f>
        <v>0</v>
      </c>
      <c r="L1824" s="139"/>
      <c r="M1824" s="139"/>
      <c r="N1824" s="139"/>
    </row>
    <row r="1825">
      <c r="A1825" s="139" t="str">
        <f>IFERROR(__xludf.DUMMYFUNCTION("""COMPUTED_VALUE"""),"e")</f>
        <v>e</v>
      </c>
      <c r="B1825" s="139">
        <f>IFERROR(__xludf.DUMMYFUNCTION("""COMPUTED_VALUE"""),2.0250901E8)</f>
        <v>202509010</v>
      </c>
      <c r="C1825" s="139" t="str">
        <f>IFERROR(__xludf.DUMMYFUNCTION("""COMPUTED_VALUE"""),"c_aka_00101_general_vh_Boss_Red_Special_00002")</f>
        <v>c_aka_00101_general_vh_Boss_Red_Special_00002</v>
      </c>
      <c r="D1825" s="139" t="str">
        <f>IFERROR(__xludf.DUMMYFUNCTION("""COMPUTED_VALUE"""),"c_aka_00101_general_vh_Boss_Red")</f>
        <v>c_aka_00101_general_vh_Boss_Red</v>
      </c>
      <c r="E1825" s="139">
        <f>IFERROR(__xludf.DUMMYFUNCTION("""COMPUTED_VALUE"""),0.0)</f>
        <v>0</v>
      </c>
      <c r="F1825" s="139" t="str">
        <f>IFERROR(__xludf.DUMMYFUNCTION("""COMPUTED_VALUE"""),"Special")</f>
        <v>Special</v>
      </c>
      <c r="G1825" s="139"/>
      <c r="H1825" s="139"/>
      <c r="I1825" s="139">
        <f>IFERROR(__xludf.DUMMYFUNCTION("""COMPUTED_VALUE"""),225.0)</f>
        <v>225</v>
      </c>
      <c r="J1825" s="139">
        <f>IFERROR(__xludf.DUMMYFUNCTION("""COMPUTED_VALUE"""),0.0)</f>
        <v>0</v>
      </c>
      <c r="K1825" s="139">
        <f>IFERROR(__xludf.DUMMYFUNCTION("""COMPUTED_VALUE"""),0.0)</f>
        <v>0</v>
      </c>
      <c r="L1825" s="139"/>
      <c r="M1825" s="139"/>
      <c r="N1825" s="139"/>
    </row>
    <row r="1826">
      <c r="A1826" s="139" t="str">
        <f>IFERROR(__xludf.DUMMYFUNCTION("""COMPUTED_VALUE"""),"e")</f>
        <v>e</v>
      </c>
      <c r="B1826" s="139">
        <f>IFERROR(__xludf.DUMMYFUNCTION("""COMPUTED_VALUE"""),2.0250901E8)</f>
        <v>202509010</v>
      </c>
      <c r="C1826" s="139" t="str">
        <f>IFERROR(__xludf.DUMMYFUNCTION("""COMPUTED_VALUE"""),"c_aka_00001_general_n_Boss_Colorless_Normal_00000")</f>
        <v>c_aka_00001_general_n_Boss_Colorless_Normal_00000</v>
      </c>
      <c r="D1826" s="139" t="str">
        <f>IFERROR(__xludf.DUMMYFUNCTION("""COMPUTED_VALUE"""),"c_aka_00001_general_n_Boss_Colorless")</f>
        <v>c_aka_00001_general_n_Boss_Colorless</v>
      </c>
      <c r="E1826" s="139">
        <f>IFERROR(__xludf.DUMMYFUNCTION("""COMPUTED_VALUE"""),0.0)</f>
        <v>0</v>
      </c>
      <c r="F1826" s="139" t="str">
        <f>IFERROR(__xludf.DUMMYFUNCTION("""COMPUTED_VALUE"""),"Normal")</f>
        <v>Normal</v>
      </c>
      <c r="G1826" s="139"/>
      <c r="H1826" s="139"/>
      <c r="I1826" s="139">
        <f>IFERROR(__xludf.DUMMYFUNCTION("""COMPUTED_VALUE"""),85.0)</f>
        <v>85</v>
      </c>
      <c r="J1826" s="139">
        <f>IFERROR(__xludf.DUMMYFUNCTION("""COMPUTED_VALUE"""),33.0)</f>
        <v>33</v>
      </c>
      <c r="K1826" s="139">
        <f>IFERROR(__xludf.DUMMYFUNCTION("""COMPUTED_VALUE"""),100.0)</f>
        <v>100</v>
      </c>
      <c r="L1826" s="139"/>
      <c r="M1826" s="139"/>
      <c r="N1826" s="139"/>
    </row>
    <row r="1827">
      <c r="A1827" s="139" t="str">
        <f>IFERROR(__xludf.DUMMYFUNCTION("""COMPUTED_VALUE"""),"e")</f>
        <v>e</v>
      </c>
      <c r="B1827" s="139">
        <f>IFERROR(__xludf.DUMMYFUNCTION("""COMPUTED_VALUE"""),2.0250901E8)</f>
        <v>202509010</v>
      </c>
      <c r="C1827" s="139" t="str">
        <f>IFERROR(__xludf.DUMMYFUNCTION("""COMPUTED_VALUE"""),"c_aka_00001_general_n_Boss_Colorless_Appearance_00001")</f>
        <v>c_aka_00001_general_n_Boss_Colorless_Appearance_00001</v>
      </c>
      <c r="D1827" s="139" t="str">
        <f>IFERROR(__xludf.DUMMYFUNCTION("""COMPUTED_VALUE"""),"c_aka_00001_general_n_Boss_Colorless")</f>
        <v>c_aka_00001_general_n_Boss_Colorless</v>
      </c>
      <c r="E1827" s="139">
        <f>IFERROR(__xludf.DUMMYFUNCTION("""COMPUTED_VALUE"""),0.0)</f>
        <v>0</v>
      </c>
      <c r="F1827" s="139" t="str">
        <f>IFERROR(__xludf.DUMMYFUNCTION("""COMPUTED_VALUE"""),"Appearance")</f>
        <v>Appearance</v>
      </c>
      <c r="G1827" s="139"/>
      <c r="H1827" s="139"/>
      <c r="I1827" s="139">
        <f>IFERROR(__xludf.DUMMYFUNCTION("""COMPUTED_VALUE"""),50.0)</f>
        <v>50</v>
      </c>
      <c r="J1827" s="139">
        <f>IFERROR(__xludf.DUMMYFUNCTION("""COMPUTED_VALUE"""),0.0)</f>
        <v>0</v>
      </c>
      <c r="K1827" s="139">
        <f>IFERROR(__xludf.DUMMYFUNCTION("""COMPUTED_VALUE"""),0.0)</f>
        <v>0</v>
      </c>
      <c r="L1827" s="139"/>
      <c r="M1827" s="139"/>
      <c r="N1827" s="139"/>
    </row>
    <row r="1828">
      <c r="A1828" s="139" t="str">
        <f>IFERROR(__xludf.DUMMYFUNCTION("""COMPUTED_VALUE"""),"e")</f>
        <v>e</v>
      </c>
      <c r="B1828" s="139">
        <f>IFERROR(__xludf.DUMMYFUNCTION("""COMPUTED_VALUE"""),2.0250901E8)</f>
        <v>202509010</v>
      </c>
      <c r="C1828" s="139" t="str">
        <f>IFERROR(__xludf.DUMMYFUNCTION("""COMPUTED_VALUE"""),"c_aka_00001_general_n_Boss_Colorless_Special_00002")</f>
        <v>c_aka_00001_general_n_Boss_Colorless_Special_00002</v>
      </c>
      <c r="D1828" s="139" t="str">
        <f>IFERROR(__xludf.DUMMYFUNCTION("""COMPUTED_VALUE"""),"c_aka_00001_general_n_Boss_Colorless")</f>
        <v>c_aka_00001_general_n_Boss_Colorless</v>
      </c>
      <c r="E1828" s="139">
        <f>IFERROR(__xludf.DUMMYFUNCTION("""COMPUTED_VALUE"""),0.0)</f>
        <v>0</v>
      </c>
      <c r="F1828" s="139" t="str">
        <f>IFERROR(__xludf.DUMMYFUNCTION("""COMPUTED_VALUE"""),"Special")</f>
        <v>Special</v>
      </c>
      <c r="G1828" s="139"/>
      <c r="H1828" s="139"/>
      <c r="I1828" s="139">
        <f>IFERROR(__xludf.DUMMYFUNCTION("""COMPUTED_VALUE"""),134.0)</f>
        <v>134</v>
      </c>
      <c r="J1828" s="139">
        <f>IFERROR(__xludf.DUMMYFUNCTION("""COMPUTED_VALUE"""),67.0)</f>
        <v>67</v>
      </c>
      <c r="K1828" s="139">
        <f>IFERROR(__xludf.DUMMYFUNCTION("""COMPUTED_VALUE"""),0.0)</f>
        <v>0</v>
      </c>
      <c r="L1828" s="139"/>
      <c r="M1828" s="139"/>
      <c r="N1828" s="139"/>
    </row>
    <row r="1829">
      <c r="A1829" s="139" t="str">
        <f>IFERROR(__xludf.DUMMYFUNCTION("""COMPUTED_VALUE"""),"e")</f>
        <v>e</v>
      </c>
      <c r="B1829" s="139">
        <f>IFERROR(__xludf.DUMMYFUNCTION("""COMPUTED_VALUE"""),2.0250901E8)</f>
        <v>202509010</v>
      </c>
      <c r="C1829" s="139" t="str">
        <f>IFERROR(__xludf.DUMMYFUNCTION("""COMPUTED_VALUE"""),"c_aka_00001_general_n_Boss_Red_Normal_00000")</f>
        <v>c_aka_00001_general_n_Boss_Red_Normal_00000</v>
      </c>
      <c r="D1829" s="139" t="str">
        <f>IFERROR(__xludf.DUMMYFUNCTION("""COMPUTED_VALUE"""),"c_aka_00001_general_n_Boss_Red")</f>
        <v>c_aka_00001_general_n_Boss_Red</v>
      </c>
      <c r="E1829" s="139">
        <f>IFERROR(__xludf.DUMMYFUNCTION("""COMPUTED_VALUE"""),0.0)</f>
        <v>0</v>
      </c>
      <c r="F1829" s="139" t="str">
        <f>IFERROR(__xludf.DUMMYFUNCTION("""COMPUTED_VALUE"""),"Normal")</f>
        <v>Normal</v>
      </c>
      <c r="G1829" s="139"/>
      <c r="H1829" s="139"/>
      <c r="I1829" s="139">
        <f>IFERROR(__xludf.DUMMYFUNCTION("""COMPUTED_VALUE"""),85.0)</f>
        <v>85</v>
      </c>
      <c r="J1829" s="139">
        <f>IFERROR(__xludf.DUMMYFUNCTION("""COMPUTED_VALUE"""),33.0)</f>
        <v>33</v>
      </c>
      <c r="K1829" s="139">
        <f>IFERROR(__xludf.DUMMYFUNCTION("""COMPUTED_VALUE"""),100.0)</f>
        <v>100</v>
      </c>
      <c r="L1829" s="139"/>
      <c r="M1829" s="139"/>
      <c r="N1829" s="139"/>
    </row>
    <row r="1830">
      <c r="A1830" s="139" t="str">
        <f>IFERROR(__xludf.DUMMYFUNCTION("""COMPUTED_VALUE"""),"e")</f>
        <v>e</v>
      </c>
      <c r="B1830" s="139">
        <f>IFERROR(__xludf.DUMMYFUNCTION("""COMPUTED_VALUE"""),2.0250901E8)</f>
        <v>202509010</v>
      </c>
      <c r="C1830" s="139" t="str">
        <f>IFERROR(__xludf.DUMMYFUNCTION("""COMPUTED_VALUE"""),"c_aka_00001_general_n_Boss_Red_Appearance_00001")</f>
        <v>c_aka_00001_general_n_Boss_Red_Appearance_00001</v>
      </c>
      <c r="D1830" s="139" t="str">
        <f>IFERROR(__xludf.DUMMYFUNCTION("""COMPUTED_VALUE"""),"c_aka_00001_general_n_Boss_Red")</f>
        <v>c_aka_00001_general_n_Boss_Red</v>
      </c>
      <c r="E1830" s="139">
        <f>IFERROR(__xludf.DUMMYFUNCTION("""COMPUTED_VALUE"""),0.0)</f>
        <v>0</v>
      </c>
      <c r="F1830" s="139" t="str">
        <f>IFERROR(__xludf.DUMMYFUNCTION("""COMPUTED_VALUE"""),"Appearance")</f>
        <v>Appearance</v>
      </c>
      <c r="G1830" s="139"/>
      <c r="H1830" s="139"/>
      <c r="I1830" s="139">
        <f>IFERROR(__xludf.DUMMYFUNCTION("""COMPUTED_VALUE"""),50.0)</f>
        <v>50</v>
      </c>
      <c r="J1830" s="139">
        <f>IFERROR(__xludf.DUMMYFUNCTION("""COMPUTED_VALUE"""),0.0)</f>
        <v>0</v>
      </c>
      <c r="K1830" s="139">
        <f>IFERROR(__xludf.DUMMYFUNCTION("""COMPUTED_VALUE"""),0.0)</f>
        <v>0</v>
      </c>
      <c r="L1830" s="139"/>
      <c r="M1830" s="139"/>
      <c r="N1830" s="139"/>
    </row>
    <row r="1831">
      <c r="A1831" s="139" t="str">
        <f>IFERROR(__xludf.DUMMYFUNCTION("""COMPUTED_VALUE"""),"e")</f>
        <v>e</v>
      </c>
      <c r="B1831" s="139">
        <f>IFERROR(__xludf.DUMMYFUNCTION("""COMPUTED_VALUE"""),2.0250901E8)</f>
        <v>202509010</v>
      </c>
      <c r="C1831" s="139" t="str">
        <f>IFERROR(__xludf.DUMMYFUNCTION("""COMPUTED_VALUE"""),"c_aka_00001_general_n_Boss_Red_Special_00002")</f>
        <v>c_aka_00001_general_n_Boss_Red_Special_00002</v>
      </c>
      <c r="D1831" s="139" t="str">
        <f>IFERROR(__xludf.DUMMYFUNCTION("""COMPUTED_VALUE"""),"c_aka_00001_general_n_Boss_Red")</f>
        <v>c_aka_00001_general_n_Boss_Red</v>
      </c>
      <c r="E1831" s="139">
        <f>IFERROR(__xludf.DUMMYFUNCTION("""COMPUTED_VALUE"""),0.0)</f>
        <v>0</v>
      </c>
      <c r="F1831" s="139" t="str">
        <f>IFERROR(__xludf.DUMMYFUNCTION("""COMPUTED_VALUE"""),"Special")</f>
        <v>Special</v>
      </c>
      <c r="G1831" s="139"/>
      <c r="H1831" s="139"/>
      <c r="I1831" s="139">
        <f>IFERROR(__xludf.DUMMYFUNCTION("""COMPUTED_VALUE"""),134.0)</f>
        <v>134</v>
      </c>
      <c r="J1831" s="139">
        <f>IFERROR(__xludf.DUMMYFUNCTION("""COMPUTED_VALUE"""),67.0)</f>
        <v>67</v>
      </c>
      <c r="K1831" s="139">
        <f>IFERROR(__xludf.DUMMYFUNCTION("""COMPUTED_VALUE"""),0.0)</f>
        <v>0</v>
      </c>
      <c r="L1831" s="139"/>
      <c r="M1831" s="139"/>
      <c r="N1831" s="139"/>
    </row>
    <row r="1832">
      <c r="A1832" s="139" t="str">
        <f>IFERROR(__xludf.DUMMYFUNCTION("""COMPUTED_VALUE"""),"e")</f>
        <v>e</v>
      </c>
      <c r="B1832" s="139">
        <f>IFERROR(__xludf.DUMMYFUNCTION("""COMPUTED_VALUE"""),2.0250901E8)</f>
        <v>202509010</v>
      </c>
      <c r="C1832" s="139" t="str">
        <f>IFERROR(__xludf.DUMMYFUNCTION("""COMPUTED_VALUE"""),"c_aka_00001_general_vh_Normal_Colorless_Normal_00000")</f>
        <v>c_aka_00001_general_vh_Normal_Colorless_Normal_00000</v>
      </c>
      <c r="D1832" s="139" t="str">
        <f>IFERROR(__xludf.DUMMYFUNCTION("""COMPUTED_VALUE"""),"c_aka_00001_general_vh_Normal_Colorless")</f>
        <v>c_aka_00001_general_vh_Normal_Colorless</v>
      </c>
      <c r="E1832" s="139">
        <f>IFERROR(__xludf.DUMMYFUNCTION("""COMPUTED_VALUE"""),0.0)</f>
        <v>0</v>
      </c>
      <c r="F1832" s="139" t="str">
        <f>IFERROR(__xludf.DUMMYFUNCTION("""COMPUTED_VALUE"""),"Normal")</f>
        <v>Normal</v>
      </c>
      <c r="G1832" s="139"/>
      <c r="H1832" s="139"/>
      <c r="I1832" s="139">
        <f>IFERROR(__xludf.DUMMYFUNCTION("""COMPUTED_VALUE"""),85.0)</f>
        <v>85</v>
      </c>
      <c r="J1832" s="139">
        <f>IFERROR(__xludf.DUMMYFUNCTION("""COMPUTED_VALUE"""),33.0)</f>
        <v>33</v>
      </c>
      <c r="K1832" s="139">
        <f>IFERROR(__xludf.DUMMYFUNCTION("""COMPUTED_VALUE"""),100.0)</f>
        <v>100</v>
      </c>
      <c r="L1832" s="139"/>
      <c r="M1832" s="139"/>
      <c r="N1832" s="139"/>
    </row>
    <row r="1833">
      <c r="A1833" s="139" t="str">
        <f>IFERROR(__xludf.DUMMYFUNCTION("""COMPUTED_VALUE"""),"e")</f>
        <v>e</v>
      </c>
      <c r="B1833" s="139">
        <f>IFERROR(__xludf.DUMMYFUNCTION("""COMPUTED_VALUE"""),2.0250901E8)</f>
        <v>202509010</v>
      </c>
      <c r="C1833" s="139" t="str">
        <f>IFERROR(__xludf.DUMMYFUNCTION("""COMPUTED_VALUE"""),"c_aka_00001_general_h_Normal_Red_Normal_00000")</f>
        <v>c_aka_00001_general_h_Normal_Red_Normal_00000</v>
      </c>
      <c r="D1833" s="139" t="str">
        <f>IFERROR(__xludf.DUMMYFUNCTION("""COMPUTED_VALUE"""),"c_aka_00001_general_h_Normal_Red")</f>
        <v>c_aka_00001_general_h_Normal_Red</v>
      </c>
      <c r="E1833" s="139">
        <f>IFERROR(__xludf.DUMMYFUNCTION("""COMPUTED_VALUE"""),0.0)</f>
        <v>0</v>
      </c>
      <c r="F1833" s="139" t="str">
        <f>IFERROR(__xludf.DUMMYFUNCTION("""COMPUTED_VALUE"""),"Normal")</f>
        <v>Normal</v>
      </c>
      <c r="G1833" s="139"/>
      <c r="H1833" s="139"/>
      <c r="I1833" s="139">
        <f>IFERROR(__xludf.DUMMYFUNCTION("""COMPUTED_VALUE"""),85.0)</f>
        <v>85</v>
      </c>
      <c r="J1833" s="139">
        <f>IFERROR(__xludf.DUMMYFUNCTION("""COMPUTED_VALUE"""),33.0)</f>
        <v>33</v>
      </c>
      <c r="K1833" s="139">
        <f>IFERROR(__xludf.DUMMYFUNCTION("""COMPUTED_VALUE"""),100.0)</f>
        <v>100</v>
      </c>
      <c r="L1833" s="139"/>
      <c r="M1833" s="139"/>
      <c r="N1833" s="139"/>
    </row>
    <row r="1834">
      <c r="A1834" s="139" t="str">
        <f>IFERROR(__xludf.DUMMYFUNCTION("""COMPUTED_VALUE"""),"e")</f>
        <v>e</v>
      </c>
      <c r="B1834" s="139">
        <f>IFERROR(__xludf.DUMMYFUNCTION("""COMPUTED_VALUE"""),2.0250901E8)</f>
        <v>202509010</v>
      </c>
      <c r="C1834" s="139" t="str">
        <f>IFERROR(__xludf.DUMMYFUNCTION("""COMPUTED_VALUE"""),"c_aka_00001_general_h_Boss_Colorless_Normal_00000")</f>
        <v>c_aka_00001_general_h_Boss_Colorless_Normal_00000</v>
      </c>
      <c r="D1834" s="139" t="str">
        <f>IFERROR(__xludf.DUMMYFUNCTION("""COMPUTED_VALUE"""),"c_aka_00001_general_h_Boss_Colorless")</f>
        <v>c_aka_00001_general_h_Boss_Colorless</v>
      </c>
      <c r="E1834" s="139">
        <f>IFERROR(__xludf.DUMMYFUNCTION("""COMPUTED_VALUE"""),0.0)</f>
        <v>0</v>
      </c>
      <c r="F1834" s="139" t="str">
        <f>IFERROR(__xludf.DUMMYFUNCTION("""COMPUTED_VALUE"""),"Normal")</f>
        <v>Normal</v>
      </c>
      <c r="G1834" s="139"/>
      <c r="H1834" s="139"/>
      <c r="I1834" s="139">
        <f>IFERROR(__xludf.DUMMYFUNCTION("""COMPUTED_VALUE"""),85.0)</f>
        <v>85</v>
      </c>
      <c r="J1834" s="139">
        <f>IFERROR(__xludf.DUMMYFUNCTION("""COMPUTED_VALUE"""),33.0)</f>
        <v>33</v>
      </c>
      <c r="K1834" s="139">
        <f>IFERROR(__xludf.DUMMYFUNCTION("""COMPUTED_VALUE"""),100.0)</f>
        <v>100</v>
      </c>
      <c r="L1834" s="139"/>
      <c r="M1834" s="139"/>
      <c r="N1834" s="139"/>
    </row>
    <row r="1835">
      <c r="A1835" s="139" t="str">
        <f>IFERROR(__xludf.DUMMYFUNCTION("""COMPUTED_VALUE"""),"e")</f>
        <v>e</v>
      </c>
      <c r="B1835" s="139">
        <f>IFERROR(__xludf.DUMMYFUNCTION("""COMPUTED_VALUE"""),2.0250901E8)</f>
        <v>202509010</v>
      </c>
      <c r="C1835" s="139" t="str">
        <f>IFERROR(__xludf.DUMMYFUNCTION("""COMPUTED_VALUE"""),"c_aka_00001_general_h_Boss_Colorless_Appearance_00001")</f>
        <v>c_aka_00001_general_h_Boss_Colorless_Appearance_00001</v>
      </c>
      <c r="D1835" s="139" t="str">
        <f>IFERROR(__xludf.DUMMYFUNCTION("""COMPUTED_VALUE"""),"c_aka_00001_general_h_Boss_Colorless")</f>
        <v>c_aka_00001_general_h_Boss_Colorless</v>
      </c>
      <c r="E1835" s="139">
        <f>IFERROR(__xludf.DUMMYFUNCTION("""COMPUTED_VALUE"""),0.0)</f>
        <v>0</v>
      </c>
      <c r="F1835" s="139" t="str">
        <f>IFERROR(__xludf.DUMMYFUNCTION("""COMPUTED_VALUE"""),"Appearance")</f>
        <v>Appearance</v>
      </c>
      <c r="G1835" s="139"/>
      <c r="H1835" s="139"/>
      <c r="I1835" s="139">
        <f>IFERROR(__xludf.DUMMYFUNCTION("""COMPUTED_VALUE"""),50.0)</f>
        <v>50</v>
      </c>
      <c r="J1835" s="139">
        <f>IFERROR(__xludf.DUMMYFUNCTION("""COMPUTED_VALUE"""),0.0)</f>
        <v>0</v>
      </c>
      <c r="K1835" s="139">
        <f>IFERROR(__xludf.DUMMYFUNCTION("""COMPUTED_VALUE"""),0.0)</f>
        <v>0</v>
      </c>
      <c r="L1835" s="139"/>
      <c r="M1835" s="139"/>
      <c r="N1835" s="139"/>
    </row>
    <row r="1836">
      <c r="A1836" s="139" t="str">
        <f>IFERROR(__xludf.DUMMYFUNCTION("""COMPUTED_VALUE"""),"e")</f>
        <v>e</v>
      </c>
      <c r="B1836" s="139">
        <f>IFERROR(__xludf.DUMMYFUNCTION("""COMPUTED_VALUE"""),2.0250901E8)</f>
        <v>202509010</v>
      </c>
      <c r="C1836" s="139" t="str">
        <f>IFERROR(__xludf.DUMMYFUNCTION("""COMPUTED_VALUE"""),"c_aka_00001_general_h_Boss_Colorless_Special_00002")</f>
        <v>c_aka_00001_general_h_Boss_Colorless_Special_00002</v>
      </c>
      <c r="D1836" s="139" t="str">
        <f>IFERROR(__xludf.DUMMYFUNCTION("""COMPUTED_VALUE"""),"c_aka_00001_general_h_Boss_Colorless")</f>
        <v>c_aka_00001_general_h_Boss_Colorless</v>
      </c>
      <c r="E1836" s="139">
        <f>IFERROR(__xludf.DUMMYFUNCTION("""COMPUTED_VALUE"""),0.0)</f>
        <v>0</v>
      </c>
      <c r="F1836" s="139" t="str">
        <f>IFERROR(__xludf.DUMMYFUNCTION("""COMPUTED_VALUE"""),"Special")</f>
        <v>Special</v>
      </c>
      <c r="G1836" s="139"/>
      <c r="H1836" s="139"/>
      <c r="I1836" s="139">
        <f>IFERROR(__xludf.DUMMYFUNCTION("""COMPUTED_VALUE"""),134.0)</f>
        <v>134</v>
      </c>
      <c r="J1836" s="139">
        <f>IFERROR(__xludf.DUMMYFUNCTION("""COMPUTED_VALUE"""),67.0)</f>
        <v>67</v>
      </c>
      <c r="K1836" s="139">
        <f>IFERROR(__xludf.DUMMYFUNCTION("""COMPUTED_VALUE"""),0.0)</f>
        <v>0</v>
      </c>
      <c r="L1836" s="139"/>
      <c r="M1836" s="139"/>
      <c r="N1836" s="139"/>
    </row>
    <row r="1837">
      <c r="A1837" s="139" t="str">
        <f>IFERROR(__xludf.DUMMYFUNCTION("""COMPUTED_VALUE"""),"e")</f>
        <v>e</v>
      </c>
      <c r="B1837" s="139">
        <f>IFERROR(__xludf.DUMMYFUNCTION("""COMPUTED_VALUE"""),2.0250901E8)</f>
        <v>202509010</v>
      </c>
      <c r="C1837" s="139" t="str">
        <f>IFERROR(__xludf.DUMMYFUNCTION("""COMPUTED_VALUE"""),"c_aka_00001_general_h_Boss_Red_Normal_00000")</f>
        <v>c_aka_00001_general_h_Boss_Red_Normal_00000</v>
      </c>
      <c r="D1837" s="139" t="str">
        <f>IFERROR(__xludf.DUMMYFUNCTION("""COMPUTED_VALUE"""),"c_aka_00001_general_h_Boss_Red")</f>
        <v>c_aka_00001_general_h_Boss_Red</v>
      </c>
      <c r="E1837" s="139">
        <f>IFERROR(__xludf.DUMMYFUNCTION("""COMPUTED_VALUE"""),0.0)</f>
        <v>0</v>
      </c>
      <c r="F1837" s="139" t="str">
        <f>IFERROR(__xludf.DUMMYFUNCTION("""COMPUTED_VALUE"""),"Normal")</f>
        <v>Normal</v>
      </c>
      <c r="G1837" s="139"/>
      <c r="H1837" s="139"/>
      <c r="I1837" s="139">
        <f>IFERROR(__xludf.DUMMYFUNCTION("""COMPUTED_VALUE"""),85.0)</f>
        <v>85</v>
      </c>
      <c r="J1837" s="139">
        <f>IFERROR(__xludf.DUMMYFUNCTION("""COMPUTED_VALUE"""),33.0)</f>
        <v>33</v>
      </c>
      <c r="K1837" s="139">
        <f>IFERROR(__xludf.DUMMYFUNCTION("""COMPUTED_VALUE"""),100.0)</f>
        <v>100</v>
      </c>
      <c r="L1837" s="139"/>
      <c r="M1837" s="139"/>
      <c r="N1837" s="139"/>
    </row>
    <row r="1838">
      <c r="A1838" s="139" t="str">
        <f>IFERROR(__xludf.DUMMYFUNCTION("""COMPUTED_VALUE"""),"e")</f>
        <v>e</v>
      </c>
      <c r="B1838" s="139">
        <f>IFERROR(__xludf.DUMMYFUNCTION("""COMPUTED_VALUE"""),2.0250901E8)</f>
        <v>202509010</v>
      </c>
      <c r="C1838" s="139" t="str">
        <f>IFERROR(__xludf.DUMMYFUNCTION("""COMPUTED_VALUE"""),"c_aka_00001_general_h_Boss_Red_Appearance_00001")</f>
        <v>c_aka_00001_general_h_Boss_Red_Appearance_00001</v>
      </c>
      <c r="D1838" s="139" t="str">
        <f>IFERROR(__xludf.DUMMYFUNCTION("""COMPUTED_VALUE"""),"c_aka_00001_general_h_Boss_Red")</f>
        <v>c_aka_00001_general_h_Boss_Red</v>
      </c>
      <c r="E1838" s="139">
        <f>IFERROR(__xludf.DUMMYFUNCTION("""COMPUTED_VALUE"""),0.0)</f>
        <v>0</v>
      </c>
      <c r="F1838" s="139" t="str">
        <f>IFERROR(__xludf.DUMMYFUNCTION("""COMPUTED_VALUE"""),"Appearance")</f>
        <v>Appearance</v>
      </c>
      <c r="G1838" s="139"/>
      <c r="H1838" s="139"/>
      <c r="I1838" s="139">
        <f>IFERROR(__xludf.DUMMYFUNCTION("""COMPUTED_VALUE"""),50.0)</f>
        <v>50</v>
      </c>
      <c r="J1838" s="139">
        <f>IFERROR(__xludf.DUMMYFUNCTION("""COMPUTED_VALUE"""),0.0)</f>
        <v>0</v>
      </c>
      <c r="K1838" s="139">
        <f>IFERROR(__xludf.DUMMYFUNCTION("""COMPUTED_VALUE"""),0.0)</f>
        <v>0</v>
      </c>
      <c r="L1838" s="139"/>
      <c r="M1838" s="139"/>
      <c r="N1838" s="139"/>
    </row>
    <row r="1839">
      <c r="A1839" s="139" t="str">
        <f>IFERROR(__xludf.DUMMYFUNCTION("""COMPUTED_VALUE"""),"e")</f>
        <v>e</v>
      </c>
      <c r="B1839" s="139">
        <f>IFERROR(__xludf.DUMMYFUNCTION("""COMPUTED_VALUE"""),2.0250901E8)</f>
        <v>202509010</v>
      </c>
      <c r="C1839" s="139" t="str">
        <f>IFERROR(__xludf.DUMMYFUNCTION("""COMPUTED_VALUE"""),"c_aka_00001_general_h_Boss_Red_Special_00002")</f>
        <v>c_aka_00001_general_h_Boss_Red_Special_00002</v>
      </c>
      <c r="D1839" s="139" t="str">
        <f>IFERROR(__xludf.DUMMYFUNCTION("""COMPUTED_VALUE"""),"c_aka_00001_general_h_Boss_Red")</f>
        <v>c_aka_00001_general_h_Boss_Red</v>
      </c>
      <c r="E1839" s="139">
        <f>IFERROR(__xludf.DUMMYFUNCTION("""COMPUTED_VALUE"""),0.0)</f>
        <v>0</v>
      </c>
      <c r="F1839" s="139" t="str">
        <f>IFERROR(__xludf.DUMMYFUNCTION("""COMPUTED_VALUE"""),"Special")</f>
        <v>Special</v>
      </c>
      <c r="G1839" s="139"/>
      <c r="H1839" s="139"/>
      <c r="I1839" s="139">
        <f>IFERROR(__xludf.DUMMYFUNCTION("""COMPUTED_VALUE"""),134.0)</f>
        <v>134</v>
      </c>
      <c r="J1839" s="139">
        <f>IFERROR(__xludf.DUMMYFUNCTION("""COMPUTED_VALUE"""),67.0)</f>
        <v>67</v>
      </c>
      <c r="K1839" s="139">
        <f>IFERROR(__xludf.DUMMYFUNCTION("""COMPUTED_VALUE"""),0.0)</f>
        <v>0</v>
      </c>
      <c r="L1839" s="139"/>
      <c r="M1839" s="139"/>
      <c r="N1839" s="139"/>
    </row>
    <row r="1840">
      <c r="A1840" s="139" t="str">
        <f>IFERROR(__xludf.DUMMYFUNCTION("""COMPUTED_VALUE"""),"e")</f>
        <v>e</v>
      </c>
      <c r="B1840" s="139">
        <f>IFERROR(__xludf.DUMMYFUNCTION("""COMPUTED_VALUE"""),2.0250901E8)</f>
        <v>202509010</v>
      </c>
      <c r="C1840" s="139" t="str">
        <f>IFERROR(__xludf.DUMMYFUNCTION("""COMPUTED_VALUE"""),"c_aka_00001_general_vh_Boss_Colorless_Normal_00000")</f>
        <v>c_aka_00001_general_vh_Boss_Colorless_Normal_00000</v>
      </c>
      <c r="D1840" s="139" t="str">
        <f>IFERROR(__xludf.DUMMYFUNCTION("""COMPUTED_VALUE"""),"c_aka_00001_general_vh_Boss_Colorless")</f>
        <v>c_aka_00001_general_vh_Boss_Colorless</v>
      </c>
      <c r="E1840" s="139">
        <f>IFERROR(__xludf.DUMMYFUNCTION("""COMPUTED_VALUE"""),0.0)</f>
        <v>0</v>
      </c>
      <c r="F1840" s="139" t="str">
        <f>IFERROR(__xludf.DUMMYFUNCTION("""COMPUTED_VALUE"""),"Normal")</f>
        <v>Normal</v>
      </c>
      <c r="G1840" s="139"/>
      <c r="H1840" s="139"/>
      <c r="I1840" s="139">
        <f>IFERROR(__xludf.DUMMYFUNCTION("""COMPUTED_VALUE"""),85.0)</f>
        <v>85</v>
      </c>
      <c r="J1840" s="139">
        <f>IFERROR(__xludf.DUMMYFUNCTION("""COMPUTED_VALUE"""),33.0)</f>
        <v>33</v>
      </c>
      <c r="K1840" s="139">
        <f>IFERROR(__xludf.DUMMYFUNCTION("""COMPUTED_VALUE"""),100.0)</f>
        <v>100</v>
      </c>
      <c r="L1840" s="139"/>
      <c r="M1840" s="139"/>
      <c r="N1840" s="139"/>
    </row>
    <row r="1841">
      <c r="A1841" s="139" t="str">
        <f>IFERROR(__xludf.DUMMYFUNCTION("""COMPUTED_VALUE"""),"e")</f>
        <v>e</v>
      </c>
      <c r="B1841" s="139">
        <f>IFERROR(__xludf.DUMMYFUNCTION("""COMPUTED_VALUE"""),2.0250901E8)</f>
        <v>202509010</v>
      </c>
      <c r="C1841" s="139" t="str">
        <f>IFERROR(__xludf.DUMMYFUNCTION("""COMPUTED_VALUE"""),"c_aka_00001_general_vh_Boss_Colorless_Appearance_00001")</f>
        <v>c_aka_00001_general_vh_Boss_Colorless_Appearance_00001</v>
      </c>
      <c r="D1841" s="139" t="str">
        <f>IFERROR(__xludf.DUMMYFUNCTION("""COMPUTED_VALUE"""),"c_aka_00001_general_vh_Boss_Colorless")</f>
        <v>c_aka_00001_general_vh_Boss_Colorless</v>
      </c>
      <c r="E1841" s="139">
        <f>IFERROR(__xludf.DUMMYFUNCTION("""COMPUTED_VALUE"""),0.0)</f>
        <v>0</v>
      </c>
      <c r="F1841" s="139" t="str">
        <f>IFERROR(__xludf.DUMMYFUNCTION("""COMPUTED_VALUE"""),"Appearance")</f>
        <v>Appearance</v>
      </c>
      <c r="G1841" s="139"/>
      <c r="H1841" s="139"/>
      <c r="I1841" s="139">
        <f>IFERROR(__xludf.DUMMYFUNCTION("""COMPUTED_VALUE"""),50.0)</f>
        <v>50</v>
      </c>
      <c r="J1841" s="139">
        <f>IFERROR(__xludf.DUMMYFUNCTION("""COMPUTED_VALUE"""),0.0)</f>
        <v>0</v>
      </c>
      <c r="K1841" s="139">
        <f>IFERROR(__xludf.DUMMYFUNCTION("""COMPUTED_VALUE"""),0.0)</f>
        <v>0</v>
      </c>
      <c r="L1841" s="139"/>
      <c r="M1841" s="139"/>
      <c r="N1841" s="139"/>
    </row>
    <row r="1842">
      <c r="A1842" s="139" t="str">
        <f>IFERROR(__xludf.DUMMYFUNCTION("""COMPUTED_VALUE"""),"e")</f>
        <v>e</v>
      </c>
      <c r="B1842" s="139">
        <f>IFERROR(__xludf.DUMMYFUNCTION("""COMPUTED_VALUE"""),2.0250901E8)</f>
        <v>202509010</v>
      </c>
      <c r="C1842" s="139" t="str">
        <f>IFERROR(__xludf.DUMMYFUNCTION("""COMPUTED_VALUE"""),"c_aka_00001_general_vh_Boss_Colorless_Special_00002")</f>
        <v>c_aka_00001_general_vh_Boss_Colorless_Special_00002</v>
      </c>
      <c r="D1842" s="139" t="str">
        <f>IFERROR(__xludf.DUMMYFUNCTION("""COMPUTED_VALUE"""),"c_aka_00001_general_vh_Boss_Colorless")</f>
        <v>c_aka_00001_general_vh_Boss_Colorless</v>
      </c>
      <c r="E1842" s="139">
        <f>IFERROR(__xludf.DUMMYFUNCTION("""COMPUTED_VALUE"""),0.0)</f>
        <v>0</v>
      </c>
      <c r="F1842" s="139" t="str">
        <f>IFERROR(__xludf.DUMMYFUNCTION("""COMPUTED_VALUE"""),"Special")</f>
        <v>Special</v>
      </c>
      <c r="G1842" s="139"/>
      <c r="H1842" s="139"/>
      <c r="I1842" s="139">
        <f>IFERROR(__xludf.DUMMYFUNCTION("""COMPUTED_VALUE"""),134.0)</f>
        <v>134</v>
      </c>
      <c r="J1842" s="139">
        <f>IFERROR(__xludf.DUMMYFUNCTION("""COMPUTED_VALUE"""),67.0)</f>
        <v>67</v>
      </c>
      <c r="K1842" s="139">
        <f>IFERROR(__xludf.DUMMYFUNCTION("""COMPUTED_VALUE"""),0.0)</f>
        <v>0</v>
      </c>
      <c r="L1842" s="139"/>
      <c r="M1842" s="139"/>
      <c r="N1842" s="139"/>
    </row>
    <row r="1843">
      <c r="A1843" s="139" t="str">
        <f>IFERROR(__xludf.DUMMYFUNCTION("""COMPUTED_VALUE"""),"e")</f>
        <v>e</v>
      </c>
      <c r="B1843" s="139">
        <f>IFERROR(__xludf.DUMMYFUNCTION("""COMPUTED_VALUE"""),2.0250901E8)</f>
        <v>202509010</v>
      </c>
      <c r="C1843" s="139" t="str">
        <f>IFERROR(__xludf.DUMMYFUNCTION("""COMPUTED_VALUE"""),"c_aka_00001_general_vh_Boss_Red_Normal_00000")</f>
        <v>c_aka_00001_general_vh_Boss_Red_Normal_00000</v>
      </c>
      <c r="D1843" s="139" t="str">
        <f>IFERROR(__xludf.DUMMYFUNCTION("""COMPUTED_VALUE"""),"c_aka_00001_general_vh_Boss_Red")</f>
        <v>c_aka_00001_general_vh_Boss_Red</v>
      </c>
      <c r="E1843" s="139">
        <f>IFERROR(__xludf.DUMMYFUNCTION("""COMPUTED_VALUE"""),0.0)</f>
        <v>0</v>
      </c>
      <c r="F1843" s="139" t="str">
        <f>IFERROR(__xludf.DUMMYFUNCTION("""COMPUTED_VALUE"""),"Normal")</f>
        <v>Normal</v>
      </c>
      <c r="G1843" s="139"/>
      <c r="H1843" s="139"/>
      <c r="I1843" s="139">
        <f>IFERROR(__xludf.DUMMYFUNCTION("""COMPUTED_VALUE"""),85.0)</f>
        <v>85</v>
      </c>
      <c r="J1843" s="139">
        <f>IFERROR(__xludf.DUMMYFUNCTION("""COMPUTED_VALUE"""),33.0)</f>
        <v>33</v>
      </c>
      <c r="K1843" s="139">
        <f>IFERROR(__xludf.DUMMYFUNCTION("""COMPUTED_VALUE"""),100.0)</f>
        <v>100</v>
      </c>
      <c r="L1843" s="139"/>
      <c r="M1843" s="139"/>
      <c r="N1843" s="139"/>
    </row>
    <row r="1844">
      <c r="A1844" s="139" t="str">
        <f>IFERROR(__xludf.DUMMYFUNCTION("""COMPUTED_VALUE"""),"e")</f>
        <v>e</v>
      </c>
      <c r="B1844" s="139">
        <f>IFERROR(__xludf.DUMMYFUNCTION("""COMPUTED_VALUE"""),2.0250901E8)</f>
        <v>202509010</v>
      </c>
      <c r="C1844" s="139" t="str">
        <f>IFERROR(__xludf.DUMMYFUNCTION("""COMPUTED_VALUE"""),"c_aka_00001_general_vh_Boss_Red_Appearance_00001")</f>
        <v>c_aka_00001_general_vh_Boss_Red_Appearance_00001</v>
      </c>
      <c r="D1844" s="139" t="str">
        <f>IFERROR(__xludf.DUMMYFUNCTION("""COMPUTED_VALUE"""),"c_aka_00001_general_vh_Boss_Red")</f>
        <v>c_aka_00001_general_vh_Boss_Red</v>
      </c>
      <c r="E1844" s="139">
        <f>IFERROR(__xludf.DUMMYFUNCTION("""COMPUTED_VALUE"""),0.0)</f>
        <v>0</v>
      </c>
      <c r="F1844" s="139" t="str">
        <f>IFERROR(__xludf.DUMMYFUNCTION("""COMPUTED_VALUE"""),"Appearance")</f>
        <v>Appearance</v>
      </c>
      <c r="G1844" s="139"/>
      <c r="H1844" s="139"/>
      <c r="I1844" s="139">
        <f>IFERROR(__xludf.DUMMYFUNCTION("""COMPUTED_VALUE"""),50.0)</f>
        <v>50</v>
      </c>
      <c r="J1844" s="139">
        <f>IFERROR(__xludf.DUMMYFUNCTION("""COMPUTED_VALUE"""),0.0)</f>
        <v>0</v>
      </c>
      <c r="K1844" s="139">
        <f>IFERROR(__xludf.DUMMYFUNCTION("""COMPUTED_VALUE"""),0.0)</f>
        <v>0</v>
      </c>
      <c r="L1844" s="139"/>
      <c r="M1844" s="139"/>
      <c r="N1844" s="139"/>
    </row>
    <row r="1845">
      <c r="A1845" s="139" t="str">
        <f>IFERROR(__xludf.DUMMYFUNCTION("""COMPUTED_VALUE"""),"e")</f>
        <v>e</v>
      </c>
      <c r="B1845" s="139">
        <f>IFERROR(__xludf.DUMMYFUNCTION("""COMPUTED_VALUE"""),2.0250901E8)</f>
        <v>202509010</v>
      </c>
      <c r="C1845" s="139" t="str">
        <f>IFERROR(__xludf.DUMMYFUNCTION("""COMPUTED_VALUE"""),"c_aka_00001_general_vh_Boss_Red_Special_00002")</f>
        <v>c_aka_00001_general_vh_Boss_Red_Special_00002</v>
      </c>
      <c r="D1845" s="139" t="str">
        <f>IFERROR(__xludf.DUMMYFUNCTION("""COMPUTED_VALUE"""),"c_aka_00001_general_vh_Boss_Red")</f>
        <v>c_aka_00001_general_vh_Boss_Red</v>
      </c>
      <c r="E1845" s="139">
        <f>IFERROR(__xludf.DUMMYFUNCTION("""COMPUTED_VALUE"""),0.0)</f>
        <v>0</v>
      </c>
      <c r="F1845" s="139" t="str">
        <f>IFERROR(__xludf.DUMMYFUNCTION("""COMPUTED_VALUE"""),"Special")</f>
        <v>Special</v>
      </c>
      <c r="G1845" s="139"/>
      <c r="H1845" s="139"/>
      <c r="I1845" s="139">
        <f>IFERROR(__xludf.DUMMYFUNCTION("""COMPUTED_VALUE"""),134.0)</f>
        <v>134</v>
      </c>
      <c r="J1845" s="139">
        <f>IFERROR(__xludf.DUMMYFUNCTION("""COMPUTED_VALUE"""),67.0)</f>
        <v>67</v>
      </c>
      <c r="K1845" s="139">
        <f>IFERROR(__xludf.DUMMYFUNCTION("""COMPUTED_VALUE"""),0.0)</f>
        <v>0</v>
      </c>
      <c r="L1845" s="139"/>
      <c r="M1845" s="139"/>
      <c r="N1845" s="139"/>
    </row>
    <row r="1846">
      <c r="A1846" s="139" t="str">
        <f>IFERROR(__xludf.DUMMYFUNCTION("""COMPUTED_VALUE"""),"e")</f>
        <v>e</v>
      </c>
      <c r="B1846" s="139">
        <f>IFERROR(__xludf.DUMMYFUNCTION("""COMPUTED_VALUE"""),2.0250901E8)</f>
        <v>202509010</v>
      </c>
      <c r="C1846" s="139" t="str">
        <f>IFERROR(__xludf.DUMMYFUNCTION("""COMPUTED_VALUE"""),"c_aka_00001_general_vh_Boss_Yellow_Normal_00000")</f>
        <v>c_aka_00001_general_vh_Boss_Yellow_Normal_00000</v>
      </c>
      <c r="D1846" s="139" t="str">
        <f>IFERROR(__xludf.DUMMYFUNCTION("""COMPUTED_VALUE"""),"c_aka_00001_general_vh_Boss_Yellow")</f>
        <v>c_aka_00001_general_vh_Boss_Yellow</v>
      </c>
      <c r="E1846" s="139">
        <f>IFERROR(__xludf.DUMMYFUNCTION("""COMPUTED_VALUE"""),0.0)</f>
        <v>0</v>
      </c>
      <c r="F1846" s="139" t="str">
        <f>IFERROR(__xludf.DUMMYFUNCTION("""COMPUTED_VALUE"""),"Normal")</f>
        <v>Normal</v>
      </c>
      <c r="G1846" s="139"/>
      <c r="H1846" s="139"/>
      <c r="I1846" s="139">
        <f>IFERROR(__xludf.DUMMYFUNCTION("""COMPUTED_VALUE"""),85.0)</f>
        <v>85</v>
      </c>
      <c r="J1846" s="139">
        <f>IFERROR(__xludf.DUMMYFUNCTION("""COMPUTED_VALUE"""),33.0)</f>
        <v>33</v>
      </c>
      <c r="K1846" s="139">
        <f>IFERROR(__xludf.DUMMYFUNCTION("""COMPUTED_VALUE"""),100.0)</f>
        <v>100</v>
      </c>
      <c r="L1846" s="139"/>
      <c r="M1846" s="139"/>
      <c r="N1846" s="139"/>
    </row>
    <row r="1847">
      <c r="A1847" s="139" t="str">
        <f>IFERROR(__xludf.DUMMYFUNCTION("""COMPUTED_VALUE"""),"e")</f>
        <v>e</v>
      </c>
      <c r="B1847" s="139">
        <f>IFERROR(__xludf.DUMMYFUNCTION("""COMPUTED_VALUE"""),2.0250901E8)</f>
        <v>202509010</v>
      </c>
      <c r="C1847" s="139" t="str">
        <f>IFERROR(__xludf.DUMMYFUNCTION("""COMPUTED_VALUE"""),"c_aka_00001_general_vh_Boss_Yellow_Appearance_00001")</f>
        <v>c_aka_00001_general_vh_Boss_Yellow_Appearance_00001</v>
      </c>
      <c r="D1847" s="139" t="str">
        <f>IFERROR(__xludf.DUMMYFUNCTION("""COMPUTED_VALUE"""),"c_aka_00001_general_vh_Boss_Yellow")</f>
        <v>c_aka_00001_general_vh_Boss_Yellow</v>
      </c>
      <c r="E1847" s="139">
        <f>IFERROR(__xludf.DUMMYFUNCTION("""COMPUTED_VALUE"""),0.0)</f>
        <v>0</v>
      </c>
      <c r="F1847" s="139" t="str">
        <f>IFERROR(__xludf.DUMMYFUNCTION("""COMPUTED_VALUE"""),"Appearance")</f>
        <v>Appearance</v>
      </c>
      <c r="G1847" s="139"/>
      <c r="H1847" s="139"/>
      <c r="I1847" s="139">
        <f>IFERROR(__xludf.DUMMYFUNCTION("""COMPUTED_VALUE"""),50.0)</f>
        <v>50</v>
      </c>
      <c r="J1847" s="139">
        <f>IFERROR(__xludf.DUMMYFUNCTION("""COMPUTED_VALUE"""),0.0)</f>
        <v>0</v>
      </c>
      <c r="K1847" s="139">
        <f>IFERROR(__xludf.DUMMYFUNCTION("""COMPUTED_VALUE"""),0.0)</f>
        <v>0</v>
      </c>
      <c r="L1847" s="139"/>
      <c r="M1847" s="139"/>
      <c r="N1847" s="139"/>
    </row>
    <row r="1848">
      <c r="A1848" s="139" t="str">
        <f>IFERROR(__xludf.DUMMYFUNCTION("""COMPUTED_VALUE"""),"e")</f>
        <v>e</v>
      </c>
      <c r="B1848" s="139">
        <f>IFERROR(__xludf.DUMMYFUNCTION("""COMPUTED_VALUE"""),2.0250901E8)</f>
        <v>202509010</v>
      </c>
      <c r="C1848" s="139" t="str">
        <f>IFERROR(__xludf.DUMMYFUNCTION("""COMPUTED_VALUE"""),"c_aka_00001_general_vh_Boss_Yellow_Special_00002")</f>
        <v>c_aka_00001_general_vh_Boss_Yellow_Special_00002</v>
      </c>
      <c r="D1848" s="139" t="str">
        <f>IFERROR(__xludf.DUMMYFUNCTION("""COMPUTED_VALUE"""),"c_aka_00001_general_vh_Boss_Yellow")</f>
        <v>c_aka_00001_general_vh_Boss_Yellow</v>
      </c>
      <c r="E1848" s="139">
        <f>IFERROR(__xludf.DUMMYFUNCTION("""COMPUTED_VALUE"""),0.0)</f>
        <v>0</v>
      </c>
      <c r="F1848" s="139" t="str">
        <f>IFERROR(__xludf.DUMMYFUNCTION("""COMPUTED_VALUE"""),"Special")</f>
        <v>Special</v>
      </c>
      <c r="G1848" s="139"/>
      <c r="H1848" s="139"/>
      <c r="I1848" s="139">
        <f>IFERROR(__xludf.DUMMYFUNCTION("""COMPUTED_VALUE"""),134.0)</f>
        <v>134</v>
      </c>
      <c r="J1848" s="139">
        <f>IFERROR(__xludf.DUMMYFUNCTION("""COMPUTED_VALUE"""),67.0)</f>
        <v>67</v>
      </c>
      <c r="K1848" s="139">
        <f>IFERROR(__xludf.DUMMYFUNCTION("""COMPUTED_VALUE"""),0.0)</f>
        <v>0</v>
      </c>
      <c r="L1848" s="139"/>
      <c r="M1848" s="139"/>
      <c r="N1848" s="139"/>
    </row>
    <row r="1849">
      <c r="A1849" s="139" t="str">
        <f>IFERROR(__xludf.DUMMYFUNCTION("""COMPUTED_VALUE"""),"e")</f>
        <v>e</v>
      </c>
      <c r="B1849" s="139">
        <f>IFERROR(__xludf.DUMMYFUNCTION("""COMPUTED_VALUE"""),2.0250901E8)</f>
        <v>202509010</v>
      </c>
      <c r="C1849" s="139" t="str">
        <f>IFERROR(__xludf.DUMMYFUNCTION("""COMPUTED_VALUE"""),"e_glo_00001_general_n_Normal_Colorless_Normal_00000")</f>
        <v>e_glo_00001_general_n_Normal_Colorless_Normal_00000</v>
      </c>
      <c r="D1849" s="139" t="str">
        <f>IFERROR(__xludf.DUMMYFUNCTION("""COMPUTED_VALUE"""),"e_glo_00001_general_n_Normal_Colorless")</f>
        <v>e_glo_00001_general_n_Normal_Colorless</v>
      </c>
      <c r="E1849" s="139">
        <f>IFERROR(__xludf.DUMMYFUNCTION("""COMPUTED_VALUE"""),0.0)</f>
        <v>0</v>
      </c>
      <c r="F1849" s="139" t="str">
        <f>IFERROR(__xludf.DUMMYFUNCTION("""COMPUTED_VALUE"""),"Normal")</f>
        <v>Normal</v>
      </c>
      <c r="G1849" s="139"/>
      <c r="H1849" s="139"/>
      <c r="I1849" s="139">
        <f>IFERROR(__xludf.DUMMYFUNCTION("""COMPUTED_VALUE"""),50.0)</f>
        <v>50</v>
      </c>
      <c r="J1849" s="139">
        <f>IFERROR(__xludf.DUMMYFUNCTION("""COMPUTED_VALUE"""),25.0)</f>
        <v>25</v>
      </c>
      <c r="K1849" s="139">
        <f>IFERROR(__xludf.DUMMYFUNCTION("""COMPUTED_VALUE"""),100.0)</f>
        <v>100</v>
      </c>
      <c r="L1849" s="139"/>
      <c r="M1849" s="139"/>
      <c r="N1849" s="139"/>
    </row>
    <row r="1850">
      <c r="A1850" s="139" t="str">
        <f>IFERROR(__xludf.DUMMYFUNCTION("""COMPUTED_VALUE"""),"e")</f>
        <v>e</v>
      </c>
      <c r="B1850" s="139">
        <f>IFERROR(__xludf.DUMMYFUNCTION("""COMPUTED_VALUE"""),2.0250901E8)</f>
        <v>202509010</v>
      </c>
      <c r="C1850" s="139" t="str">
        <f>IFERROR(__xludf.DUMMYFUNCTION("""COMPUTED_VALUE"""),"e_glo_00001_general_n_Normal_Red_Normal_00000")</f>
        <v>e_glo_00001_general_n_Normal_Red_Normal_00000</v>
      </c>
      <c r="D1850" s="139" t="str">
        <f>IFERROR(__xludf.DUMMYFUNCTION("""COMPUTED_VALUE"""),"e_glo_00001_general_n_Normal_Red")</f>
        <v>e_glo_00001_general_n_Normal_Red</v>
      </c>
      <c r="E1850" s="139">
        <f>IFERROR(__xludf.DUMMYFUNCTION("""COMPUTED_VALUE"""),0.0)</f>
        <v>0</v>
      </c>
      <c r="F1850" s="139" t="str">
        <f>IFERROR(__xludf.DUMMYFUNCTION("""COMPUTED_VALUE"""),"Normal")</f>
        <v>Normal</v>
      </c>
      <c r="G1850" s="139"/>
      <c r="H1850" s="139"/>
      <c r="I1850" s="139">
        <f>IFERROR(__xludf.DUMMYFUNCTION("""COMPUTED_VALUE"""),50.0)</f>
        <v>50</v>
      </c>
      <c r="J1850" s="139">
        <f>IFERROR(__xludf.DUMMYFUNCTION("""COMPUTED_VALUE"""),25.0)</f>
        <v>25</v>
      </c>
      <c r="K1850" s="139">
        <f>IFERROR(__xludf.DUMMYFUNCTION("""COMPUTED_VALUE"""),100.0)</f>
        <v>100</v>
      </c>
      <c r="L1850" s="139"/>
      <c r="M1850" s="139"/>
      <c r="N1850" s="139"/>
    </row>
    <row r="1851">
      <c r="A1851" s="139" t="str">
        <f>IFERROR(__xludf.DUMMYFUNCTION("""COMPUTED_VALUE"""),"e")</f>
        <v>e</v>
      </c>
      <c r="B1851" s="139">
        <f>IFERROR(__xludf.DUMMYFUNCTION("""COMPUTED_VALUE"""),2.0250901E8)</f>
        <v>202509010</v>
      </c>
      <c r="C1851" s="139" t="str">
        <f>IFERROR(__xludf.DUMMYFUNCTION("""COMPUTED_VALUE"""),"e_glo_00001_general_vh_Normal_Red_Normal_00000")</f>
        <v>e_glo_00001_general_vh_Normal_Red_Normal_00000</v>
      </c>
      <c r="D1851" s="139" t="str">
        <f>IFERROR(__xludf.DUMMYFUNCTION("""COMPUTED_VALUE"""),"e_glo_00001_general_vh_Normal_Red")</f>
        <v>e_glo_00001_general_vh_Normal_Red</v>
      </c>
      <c r="E1851" s="139">
        <f>IFERROR(__xludf.DUMMYFUNCTION("""COMPUTED_VALUE"""),0.0)</f>
        <v>0</v>
      </c>
      <c r="F1851" s="139" t="str">
        <f>IFERROR(__xludf.DUMMYFUNCTION("""COMPUTED_VALUE"""),"Normal")</f>
        <v>Normal</v>
      </c>
      <c r="G1851" s="139"/>
      <c r="H1851" s="139"/>
      <c r="I1851" s="139">
        <f>IFERROR(__xludf.DUMMYFUNCTION("""COMPUTED_VALUE"""),50.0)</f>
        <v>50</v>
      </c>
      <c r="J1851" s="139">
        <f>IFERROR(__xludf.DUMMYFUNCTION("""COMPUTED_VALUE"""),25.0)</f>
        <v>25</v>
      </c>
      <c r="K1851" s="139">
        <f>IFERROR(__xludf.DUMMYFUNCTION("""COMPUTED_VALUE"""),100.0)</f>
        <v>100</v>
      </c>
      <c r="L1851" s="139"/>
      <c r="M1851" s="139"/>
      <c r="N1851" s="139"/>
    </row>
    <row r="1852">
      <c r="A1852" s="139" t="str">
        <f>IFERROR(__xludf.DUMMYFUNCTION("""COMPUTED_VALUE"""),"e")</f>
        <v>e</v>
      </c>
      <c r="B1852" s="139">
        <f>IFERROR(__xludf.DUMMYFUNCTION("""COMPUTED_VALUE"""),2.0250901E8)</f>
        <v>202509010</v>
      </c>
      <c r="C1852" s="139" t="str">
        <f>IFERROR(__xludf.DUMMYFUNCTION("""COMPUTED_VALUE"""),"e_glo_00001_glo1_vh_Normal_Blue_Normal_00000")</f>
        <v>e_glo_00001_glo1_vh_Normal_Blue_Normal_00000</v>
      </c>
      <c r="D1852" s="139" t="str">
        <f>IFERROR(__xludf.DUMMYFUNCTION("""COMPUTED_VALUE"""),"e_glo_00001_glo1_vh_Normal_Blue")</f>
        <v>e_glo_00001_glo1_vh_Normal_Blue</v>
      </c>
      <c r="E1852" s="139">
        <f>IFERROR(__xludf.DUMMYFUNCTION("""COMPUTED_VALUE"""),0.0)</f>
        <v>0</v>
      </c>
      <c r="F1852" s="139" t="str">
        <f>IFERROR(__xludf.DUMMYFUNCTION("""COMPUTED_VALUE"""),"Normal")</f>
        <v>Normal</v>
      </c>
      <c r="G1852" s="139"/>
      <c r="H1852" s="139"/>
      <c r="I1852" s="139">
        <f>IFERROR(__xludf.DUMMYFUNCTION("""COMPUTED_VALUE"""),50.0)</f>
        <v>50</v>
      </c>
      <c r="J1852" s="139">
        <f>IFERROR(__xludf.DUMMYFUNCTION("""COMPUTED_VALUE"""),25.0)</f>
        <v>25</v>
      </c>
      <c r="K1852" s="139">
        <f>IFERROR(__xludf.DUMMYFUNCTION("""COMPUTED_VALUE"""),100.0)</f>
        <v>100</v>
      </c>
      <c r="L1852" s="139"/>
      <c r="M1852" s="139"/>
      <c r="N1852" s="139"/>
    </row>
    <row r="1853">
      <c r="A1853" s="139" t="str">
        <f>IFERROR(__xludf.DUMMYFUNCTION("""COMPUTED_VALUE"""),"e")</f>
        <v>e</v>
      </c>
      <c r="B1853" s="139">
        <f>IFERROR(__xludf.DUMMYFUNCTION("""COMPUTED_VALUE"""),2.0250901E8)</f>
        <v>202509010</v>
      </c>
      <c r="C1853" s="139" t="str">
        <f>IFERROR(__xludf.DUMMYFUNCTION("""COMPUTED_VALUE"""),"e_glo_00001_glo1_vh_Normal_Green_Normal_00000")</f>
        <v>e_glo_00001_glo1_vh_Normal_Green_Normal_00000</v>
      </c>
      <c r="D1853" s="139" t="str">
        <f>IFERROR(__xludf.DUMMYFUNCTION("""COMPUTED_VALUE"""),"e_glo_00001_glo1_vh_Normal_Green")</f>
        <v>e_glo_00001_glo1_vh_Normal_Green</v>
      </c>
      <c r="E1853" s="139">
        <f>IFERROR(__xludf.DUMMYFUNCTION("""COMPUTED_VALUE"""),0.0)</f>
        <v>0</v>
      </c>
      <c r="F1853" s="139" t="str">
        <f>IFERROR(__xludf.DUMMYFUNCTION("""COMPUTED_VALUE"""),"Normal")</f>
        <v>Normal</v>
      </c>
      <c r="G1853" s="139"/>
      <c r="H1853" s="139"/>
      <c r="I1853" s="139">
        <f>IFERROR(__xludf.DUMMYFUNCTION("""COMPUTED_VALUE"""),50.0)</f>
        <v>50</v>
      </c>
      <c r="J1853" s="139">
        <f>IFERROR(__xludf.DUMMYFUNCTION("""COMPUTED_VALUE"""),25.0)</f>
        <v>25</v>
      </c>
      <c r="K1853" s="139">
        <f>IFERROR(__xludf.DUMMYFUNCTION("""COMPUTED_VALUE"""),100.0)</f>
        <v>100</v>
      </c>
      <c r="L1853" s="139"/>
      <c r="M1853" s="139"/>
      <c r="N1853" s="139"/>
    </row>
    <row r="1854">
      <c r="A1854" s="139" t="str">
        <f>IFERROR(__xludf.DUMMYFUNCTION("""COMPUTED_VALUE"""),"e")</f>
        <v>e</v>
      </c>
      <c r="B1854" s="139">
        <f>IFERROR(__xludf.DUMMYFUNCTION("""COMPUTED_VALUE"""),2.0250901E8)</f>
        <v>202509010</v>
      </c>
      <c r="C1854" s="139" t="str">
        <f>IFERROR(__xludf.DUMMYFUNCTION("""COMPUTED_VALUE"""),"e_glo_00101_general_n_Boss_Colorless_Appearance_00000")</f>
        <v>e_glo_00101_general_n_Boss_Colorless_Appearance_00000</v>
      </c>
      <c r="D1854" s="139" t="str">
        <f>IFERROR(__xludf.DUMMYFUNCTION("""COMPUTED_VALUE"""),"e_glo_00101_general_n_Boss_Colorless")</f>
        <v>e_glo_00101_general_n_Boss_Colorless</v>
      </c>
      <c r="E1854" s="139">
        <f>IFERROR(__xludf.DUMMYFUNCTION("""COMPUTED_VALUE"""),0.0)</f>
        <v>0</v>
      </c>
      <c r="F1854" s="139" t="str">
        <f>IFERROR(__xludf.DUMMYFUNCTION("""COMPUTED_VALUE"""),"Appearance")</f>
        <v>Appearance</v>
      </c>
      <c r="G1854" s="139"/>
      <c r="H1854" s="139"/>
      <c r="I1854" s="139">
        <f>IFERROR(__xludf.DUMMYFUNCTION("""COMPUTED_VALUE"""),50.0)</f>
        <v>50</v>
      </c>
      <c r="J1854" s="139">
        <f>IFERROR(__xludf.DUMMYFUNCTION("""COMPUTED_VALUE"""),0.0)</f>
        <v>0</v>
      </c>
      <c r="K1854" s="139">
        <f>IFERROR(__xludf.DUMMYFUNCTION("""COMPUTED_VALUE"""),0.0)</f>
        <v>0</v>
      </c>
      <c r="L1854" s="139"/>
      <c r="M1854" s="139"/>
      <c r="N1854" s="139"/>
    </row>
    <row r="1855">
      <c r="A1855" s="139" t="str">
        <f>IFERROR(__xludf.DUMMYFUNCTION("""COMPUTED_VALUE"""),"e")</f>
        <v>e</v>
      </c>
      <c r="B1855" s="139">
        <f>IFERROR(__xludf.DUMMYFUNCTION("""COMPUTED_VALUE"""),2.0250901E8)</f>
        <v>202509010</v>
      </c>
      <c r="C1855" s="139" t="str">
        <f>IFERROR(__xludf.DUMMYFUNCTION("""COMPUTED_VALUE"""),"e_glo_00101_general_n_Boss_Colorless_Normal_00001")</f>
        <v>e_glo_00101_general_n_Boss_Colorless_Normal_00001</v>
      </c>
      <c r="D1855" s="139" t="str">
        <f>IFERROR(__xludf.DUMMYFUNCTION("""COMPUTED_VALUE"""),"e_glo_00101_general_n_Boss_Colorless")</f>
        <v>e_glo_00101_general_n_Boss_Colorless</v>
      </c>
      <c r="E1855" s="139">
        <f>IFERROR(__xludf.DUMMYFUNCTION("""COMPUTED_VALUE"""),0.0)</f>
        <v>0</v>
      </c>
      <c r="F1855" s="139" t="str">
        <f>IFERROR(__xludf.DUMMYFUNCTION("""COMPUTED_VALUE"""),"Normal")</f>
        <v>Normal</v>
      </c>
      <c r="G1855" s="139"/>
      <c r="H1855" s="139"/>
      <c r="I1855" s="139">
        <f>IFERROR(__xludf.DUMMYFUNCTION("""COMPUTED_VALUE"""),59.0)</f>
        <v>59</v>
      </c>
      <c r="J1855" s="139">
        <f>IFERROR(__xludf.DUMMYFUNCTION("""COMPUTED_VALUE"""),28.0)</f>
        <v>28</v>
      </c>
      <c r="K1855" s="139">
        <f>IFERROR(__xludf.DUMMYFUNCTION("""COMPUTED_VALUE"""),100.0)</f>
        <v>100</v>
      </c>
      <c r="L1855" s="139"/>
      <c r="M1855" s="139"/>
      <c r="N1855" s="139"/>
    </row>
    <row r="1856">
      <c r="A1856" s="139" t="str">
        <f>IFERROR(__xludf.DUMMYFUNCTION("""COMPUTED_VALUE"""),"e")</f>
        <v>e</v>
      </c>
      <c r="B1856" s="139">
        <f>IFERROR(__xludf.DUMMYFUNCTION("""COMPUTED_VALUE"""),2.0250901E8)</f>
        <v>202509010</v>
      </c>
      <c r="C1856" s="139" t="str">
        <f>IFERROR(__xludf.DUMMYFUNCTION("""COMPUTED_VALUE"""),"e_glo_00101_general_n_Boss_Blue_Appearance_00000")</f>
        <v>e_glo_00101_general_n_Boss_Blue_Appearance_00000</v>
      </c>
      <c r="D1856" s="139" t="str">
        <f>IFERROR(__xludf.DUMMYFUNCTION("""COMPUTED_VALUE"""),"e_glo_00101_general_n_Boss_Blue")</f>
        <v>e_glo_00101_general_n_Boss_Blue</v>
      </c>
      <c r="E1856" s="139">
        <f>IFERROR(__xludf.DUMMYFUNCTION("""COMPUTED_VALUE"""),0.0)</f>
        <v>0</v>
      </c>
      <c r="F1856" s="139" t="str">
        <f>IFERROR(__xludf.DUMMYFUNCTION("""COMPUTED_VALUE"""),"Appearance")</f>
        <v>Appearance</v>
      </c>
      <c r="G1856" s="139"/>
      <c r="H1856" s="139"/>
      <c r="I1856" s="139">
        <f>IFERROR(__xludf.DUMMYFUNCTION("""COMPUTED_VALUE"""),50.0)</f>
        <v>50</v>
      </c>
      <c r="J1856" s="139">
        <f>IFERROR(__xludf.DUMMYFUNCTION("""COMPUTED_VALUE"""),0.0)</f>
        <v>0</v>
      </c>
      <c r="K1856" s="139">
        <f>IFERROR(__xludf.DUMMYFUNCTION("""COMPUTED_VALUE"""),0.0)</f>
        <v>0</v>
      </c>
      <c r="L1856" s="139"/>
      <c r="M1856" s="139"/>
      <c r="N1856" s="139"/>
    </row>
    <row r="1857">
      <c r="A1857" s="139" t="str">
        <f>IFERROR(__xludf.DUMMYFUNCTION("""COMPUTED_VALUE"""),"e")</f>
        <v>e</v>
      </c>
      <c r="B1857" s="139">
        <f>IFERROR(__xludf.DUMMYFUNCTION("""COMPUTED_VALUE"""),2.0250901E8)</f>
        <v>202509010</v>
      </c>
      <c r="C1857" s="139" t="str">
        <f>IFERROR(__xludf.DUMMYFUNCTION("""COMPUTED_VALUE"""),"e_glo_00101_general_n_Boss_Blue_Normal_00001")</f>
        <v>e_glo_00101_general_n_Boss_Blue_Normal_00001</v>
      </c>
      <c r="D1857" s="139" t="str">
        <f>IFERROR(__xludf.DUMMYFUNCTION("""COMPUTED_VALUE"""),"e_glo_00101_general_n_Boss_Blue")</f>
        <v>e_glo_00101_general_n_Boss_Blue</v>
      </c>
      <c r="E1857" s="139">
        <f>IFERROR(__xludf.DUMMYFUNCTION("""COMPUTED_VALUE"""),0.0)</f>
        <v>0</v>
      </c>
      <c r="F1857" s="139" t="str">
        <f>IFERROR(__xludf.DUMMYFUNCTION("""COMPUTED_VALUE"""),"Normal")</f>
        <v>Normal</v>
      </c>
      <c r="G1857" s="139"/>
      <c r="H1857" s="139"/>
      <c r="I1857" s="139">
        <f>IFERROR(__xludf.DUMMYFUNCTION("""COMPUTED_VALUE"""),59.0)</f>
        <v>59</v>
      </c>
      <c r="J1857" s="139">
        <f>IFERROR(__xludf.DUMMYFUNCTION("""COMPUTED_VALUE"""),28.0)</f>
        <v>28</v>
      </c>
      <c r="K1857" s="139">
        <f>IFERROR(__xludf.DUMMYFUNCTION("""COMPUTED_VALUE"""),200.0)</f>
        <v>200</v>
      </c>
      <c r="L1857" s="139"/>
      <c r="M1857" s="139"/>
      <c r="N1857" s="139"/>
    </row>
    <row r="1858">
      <c r="A1858" s="139" t="str">
        <f>IFERROR(__xludf.DUMMYFUNCTION("""COMPUTED_VALUE"""),"e")</f>
        <v>e</v>
      </c>
      <c r="B1858" s="139">
        <f>IFERROR(__xludf.DUMMYFUNCTION("""COMPUTED_VALUE"""),2.0250901E8)</f>
        <v>202509010</v>
      </c>
      <c r="C1858" s="139" t="str">
        <f>IFERROR(__xludf.DUMMYFUNCTION("""COMPUTED_VALUE"""),"e_glo_00101_general_vh_Boss_Blue_Appearance_00000")</f>
        <v>e_glo_00101_general_vh_Boss_Blue_Appearance_00000</v>
      </c>
      <c r="D1858" s="139" t="str">
        <f>IFERROR(__xludf.DUMMYFUNCTION("""COMPUTED_VALUE"""),"e_glo_00101_general_vh_Boss_Blue")</f>
        <v>e_glo_00101_general_vh_Boss_Blue</v>
      </c>
      <c r="E1858" s="139">
        <f>IFERROR(__xludf.DUMMYFUNCTION("""COMPUTED_VALUE"""),0.0)</f>
        <v>0</v>
      </c>
      <c r="F1858" s="139" t="str">
        <f>IFERROR(__xludf.DUMMYFUNCTION("""COMPUTED_VALUE"""),"Appearance")</f>
        <v>Appearance</v>
      </c>
      <c r="G1858" s="139"/>
      <c r="H1858" s="139"/>
      <c r="I1858" s="139">
        <f>IFERROR(__xludf.DUMMYFUNCTION("""COMPUTED_VALUE"""),50.0)</f>
        <v>50</v>
      </c>
      <c r="J1858" s="139">
        <f>IFERROR(__xludf.DUMMYFUNCTION("""COMPUTED_VALUE"""),0.0)</f>
        <v>0</v>
      </c>
      <c r="K1858" s="139">
        <f>IFERROR(__xludf.DUMMYFUNCTION("""COMPUTED_VALUE"""),0.0)</f>
        <v>0</v>
      </c>
      <c r="L1858" s="139"/>
      <c r="M1858" s="139"/>
      <c r="N1858" s="139"/>
    </row>
    <row r="1859">
      <c r="A1859" s="139" t="str">
        <f>IFERROR(__xludf.DUMMYFUNCTION("""COMPUTED_VALUE"""),"e")</f>
        <v>e</v>
      </c>
      <c r="B1859" s="139">
        <f>IFERROR(__xludf.DUMMYFUNCTION("""COMPUTED_VALUE"""),2.0250901E8)</f>
        <v>202509010</v>
      </c>
      <c r="C1859" s="139" t="str">
        <f>IFERROR(__xludf.DUMMYFUNCTION("""COMPUTED_VALUE"""),"e_glo_00101_general_vh_Boss_Blue_Normal_00001")</f>
        <v>e_glo_00101_general_vh_Boss_Blue_Normal_00001</v>
      </c>
      <c r="D1859" s="139" t="str">
        <f>IFERROR(__xludf.DUMMYFUNCTION("""COMPUTED_VALUE"""),"e_glo_00101_general_vh_Boss_Blue")</f>
        <v>e_glo_00101_general_vh_Boss_Blue</v>
      </c>
      <c r="E1859" s="139">
        <f>IFERROR(__xludf.DUMMYFUNCTION("""COMPUTED_VALUE"""),0.0)</f>
        <v>0</v>
      </c>
      <c r="F1859" s="139" t="str">
        <f>IFERROR(__xludf.DUMMYFUNCTION("""COMPUTED_VALUE"""),"Normal")</f>
        <v>Normal</v>
      </c>
      <c r="G1859" s="139"/>
      <c r="H1859" s="139"/>
      <c r="I1859" s="139">
        <f>IFERROR(__xludf.DUMMYFUNCTION("""COMPUTED_VALUE"""),59.0)</f>
        <v>59</v>
      </c>
      <c r="J1859" s="139">
        <f>IFERROR(__xludf.DUMMYFUNCTION("""COMPUTED_VALUE"""),28.0)</f>
        <v>28</v>
      </c>
      <c r="K1859" s="139">
        <f>IFERROR(__xludf.DUMMYFUNCTION("""COMPUTED_VALUE"""),450.0)</f>
        <v>450</v>
      </c>
      <c r="L1859" s="139"/>
      <c r="M1859" s="139"/>
      <c r="N1859" s="139"/>
    </row>
    <row r="1860">
      <c r="A1860" s="139"/>
      <c r="B1860" s="139"/>
      <c r="C1860" s="139"/>
      <c r="D1860" s="139"/>
      <c r="E1860" s="139"/>
      <c r="F1860" s="139"/>
      <c r="G1860" s="139"/>
      <c r="H1860" s="139"/>
      <c r="I1860" s="139"/>
      <c r="J1860" s="139"/>
      <c r="K1860" s="139"/>
      <c r="L1860" s="139"/>
      <c r="M1860" s="139"/>
      <c r="N1860" s="139"/>
    </row>
    <row r="1861">
      <c r="A1861" s="139" t="str">
        <f>IFERROR(__xludf.DUMMYFUNCTION("""COMPUTED_VALUE"""),"e")</f>
        <v>e</v>
      </c>
      <c r="B1861" s="139">
        <f>IFERROR(__xludf.DUMMYFUNCTION("""COMPUTED_VALUE"""),2.0250901E8)</f>
        <v>202509010</v>
      </c>
      <c r="C1861" s="139" t="str">
        <f>IFERROR(__xludf.DUMMYFUNCTION("""COMPUTED_VALUE"""),"e_dan_00001_general_n_trans_Normal_Colorless_Normal_00000")</f>
        <v>e_dan_00001_general_n_trans_Normal_Colorless_Normal_00000</v>
      </c>
      <c r="D1861" s="139" t="str">
        <f>IFERROR(__xludf.DUMMYFUNCTION("""COMPUTED_VALUE"""),"e_dan_00001_general_n_trans_Normal_Colorless")</f>
        <v>e_dan_00001_general_n_trans_Normal_Colorless</v>
      </c>
      <c r="E1861" s="139">
        <f>IFERROR(__xludf.DUMMYFUNCTION("""COMPUTED_VALUE"""),0.0)</f>
        <v>0</v>
      </c>
      <c r="F1861" s="139" t="str">
        <f>IFERROR(__xludf.DUMMYFUNCTION("""COMPUTED_VALUE"""),"Normal")</f>
        <v>Normal</v>
      </c>
      <c r="G1861" s="139"/>
      <c r="H1861" s="139"/>
      <c r="I1861" s="674">
        <f>IFERROR(__xludf.DUMMYFUNCTION("""COMPUTED_VALUE"""),58.0)</f>
        <v>58</v>
      </c>
      <c r="J1861" s="139">
        <f>IFERROR(__xludf.DUMMYFUNCTION("""COMPUTED_VALUE"""),25.0)</f>
        <v>25</v>
      </c>
      <c r="K1861" s="139">
        <f>IFERROR(__xludf.DUMMYFUNCTION("""COMPUTED_VALUE"""),100.0)</f>
        <v>100</v>
      </c>
      <c r="L1861" s="139"/>
      <c r="M1861" s="139"/>
      <c r="N1861" s="139"/>
    </row>
    <row r="1862">
      <c r="A1862" s="139" t="str">
        <f>IFERROR(__xludf.DUMMYFUNCTION("""COMPUTED_VALUE"""),"e")</f>
        <v>e</v>
      </c>
      <c r="B1862" s="139">
        <f>IFERROR(__xludf.DUMMYFUNCTION("""COMPUTED_VALUE"""),2.0250901E8)</f>
        <v>202509010</v>
      </c>
      <c r="C1862" s="139" t="str">
        <f>IFERROR(__xludf.DUMMYFUNCTION("""COMPUTED_VALUE"""),"e_dan_00001_general_n_Normal_Red_Normal_00000")</f>
        <v>e_dan_00001_general_n_Normal_Red_Normal_00000</v>
      </c>
      <c r="D1862" s="139" t="str">
        <f>IFERROR(__xludf.DUMMYFUNCTION("""COMPUTED_VALUE"""),"e_dan_00001_general_n_Normal_Red")</f>
        <v>e_dan_00001_general_n_Normal_Red</v>
      </c>
      <c r="E1862" s="139">
        <f>IFERROR(__xludf.DUMMYFUNCTION("""COMPUTED_VALUE"""),0.0)</f>
        <v>0</v>
      </c>
      <c r="F1862" s="139" t="str">
        <f>IFERROR(__xludf.DUMMYFUNCTION("""COMPUTED_VALUE"""),"Normal")</f>
        <v>Normal</v>
      </c>
      <c r="G1862" s="139"/>
      <c r="H1862" s="139"/>
      <c r="I1862" s="674">
        <f>IFERROR(__xludf.DUMMYFUNCTION("""COMPUTED_VALUE"""),58.0)</f>
        <v>58</v>
      </c>
      <c r="J1862" s="139">
        <f>IFERROR(__xludf.DUMMYFUNCTION("""COMPUTED_VALUE"""),25.0)</f>
        <v>25</v>
      </c>
      <c r="K1862" s="139">
        <f>IFERROR(__xludf.DUMMYFUNCTION("""COMPUTED_VALUE"""),100.0)</f>
        <v>100</v>
      </c>
      <c r="L1862" s="139"/>
      <c r="M1862" s="139"/>
      <c r="N1862" s="139"/>
    </row>
    <row r="1863">
      <c r="A1863" s="139" t="str">
        <f>IFERROR(__xludf.DUMMYFUNCTION("""COMPUTED_VALUE"""),"e")</f>
        <v>e</v>
      </c>
      <c r="B1863" s="139">
        <f>IFERROR(__xludf.DUMMYFUNCTION("""COMPUTED_VALUE"""),2.0250901E8)</f>
        <v>202509010</v>
      </c>
      <c r="C1863" s="139" t="str">
        <f>IFERROR(__xludf.DUMMYFUNCTION("""COMPUTED_VALUE"""),"e_dan_00001_general_n_trans_Normal_Red_Normal_00000")</f>
        <v>e_dan_00001_general_n_trans_Normal_Red_Normal_00000</v>
      </c>
      <c r="D1863" s="139" t="str">
        <f>IFERROR(__xludf.DUMMYFUNCTION("""COMPUTED_VALUE"""),"e_dan_00001_general_n_trans_Normal_Red")</f>
        <v>e_dan_00001_general_n_trans_Normal_Red</v>
      </c>
      <c r="E1863" s="139">
        <f>IFERROR(__xludf.DUMMYFUNCTION("""COMPUTED_VALUE"""),0.0)</f>
        <v>0</v>
      </c>
      <c r="F1863" s="139" t="str">
        <f>IFERROR(__xludf.DUMMYFUNCTION("""COMPUTED_VALUE"""),"Normal")</f>
        <v>Normal</v>
      </c>
      <c r="G1863" s="139"/>
      <c r="H1863" s="139"/>
      <c r="I1863" s="674">
        <f>IFERROR(__xludf.DUMMYFUNCTION("""COMPUTED_VALUE"""),58.0)</f>
        <v>58</v>
      </c>
      <c r="J1863" s="139">
        <f>IFERROR(__xludf.DUMMYFUNCTION("""COMPUTED_VALUE"""),25.0)</f>
        <v>25</v>
      </c>
      <c r="K1863" s="139">
        <f>IFERROR(__xludf.DUMMYFUNCTION("""COMPUTED_VALUE"""),100.0)</f>
        <v>100</v>
      </c>
      <c r="L1863" s="139"/>
      <c r="M1863" s="139"/>
      <c r="N1863" s="139"/>
    </row>
    <row r="1864">
      <c r="A1864" s="139" t="str">
        <f>IFERROR(__xludf.DUMMYFUNCTION("""COMPUTED_VALUE"""),"e")</f>
        <v>e</v>
      </c>
      <c r="B1864" s="139">
        <f>IFERROR(__xludf.DUMMYFUNCTION("""COMPUTED_VALUE"""),2.0250901E8)</f>
        <v>202509010</v>
      </c>
      <c r="C1864" s="139" t="str">
        <f>IFERROR(__xludf.DUMMYFUNCTION("""COMPUTED_VALUE"""),"e_dan_00001_general_h_trans_Normal_Colorless_Normal_00000")</f>
        <v>e_dan_00001_general_h_trans_Normal_Colorless_Normal_00000</v>
      </c>
      <c r="D1864" s="139" t="str">
        <f>IFERROR(__xludf.DUMMYFUNCTION("""COMPUTED_VALUE"""),"e_dan_00001_general_h_trans_Normal_Colorless")</f>
        <v>e_dan_00001_general_h_trans_Normal_Colorless</v>
      </c>
      <c r="E1864" s="139">
        <f>IFERROR(__xludf.DUMMYFUNCTION("""COMPUTED_VALUE"""),0.0)</f>
        <v>0</v>
      </c>
      <c r="F1864" s="139" t="str">
        <f>IFERROR(__xludf.DUMMYFUNCTION("""COMPUTED_VALUE"""),"Normal")</f>
        <v>Normal</v>
      </c>
      <c r="G1864" s="139"/>
      <c r="H1864" s="139"/>
      <c r="I1864" s="674">
        <f>IFERROR(__xludf.DUMMYFUNCTION("""COMPUTED_VALUE"""),58.0)</f>
        <v>58</v>
      </c>
      <c r="J1864" s="139">
        <f>IFERROR(__xludf.DUMMYFUNCTION("""COMPUTED_VALUE"""),25.0)</f>
        <v>25</v>
      </c>
      <c r="K1864" s="139">
        <f>IFERROR(__xludf.DUMMYFUNCTION("""COMPUTED_VALUE"""),100.0)</f>
        <v>100</v>
      </c>
      <c r="L1864" s="139"/>
      <c r="M1864" s="139"/>
      <c r="N1864" s="139"/>
    </row>
    <row r="1865">
      <c r="A1865" s="139" t="str">
        <f>IFERROR(__xludf.DUMMYFUNCTION("""COMPUTED_VALUE"""),"e")</f>
        <v>e</v>
      </c>
      <c r="B1865" s="139">
        <f>IFERROR(__xludf.DUMMYFUNCTION("""COMPUTED_VALUE"""),2.0250901E8)</f>
        <v>202509010</v>
      </c>
      <c r="C1865" s="139" t="str">
        <f>IFERROR(__xludf.DUMMYFUNCTION("""COMPUTED_VALUE"""),"e_dan_00001_general_h_trans_Normal_Red_Normal_00000")</f>
        <v>e_dan_00001_general_h_trans_Normal_Red_Normal_00000</v>
      </c>
      <c r="D1865" s="139" t="str">
        <f>IFERROR(__xludf.DUMMYFUNCTION("""COMPUTED_VALUE"""),"e_dan_00001_general_h_trans_Normal_Red")</f>
        <v>e_dan_00001_general_h_trans_Normal_Red</v>
      </c>
      <c r="E1865" s="139">
        <f>IFERROR(__xludf.DUMMYFUNCTION("""COMPUTED_VALUE"""),0.0)</f>
        <v>0</v>
      </c>
      <c r="F1865" s="139" t="str">
        <f>IFERROR(__xludf.DUMMYFUNCTION("""COMPUTED_VALUE"""),"Normal")</f>
        <v>Normal</v>
      </c>
      <c r="G1865" s="139"/>
      <c r="H1865" s="139"/>
      <c r="I1865" s="674">
        <f>IFERROR(__xludf.DUMMYFUNCTION("""COMPUTED_VALUE"""),58.0)</f>
        <v>58</v>
      </c>
      <c r="J1865" s="139">
        <f>IFERROR(__xludf.DUMMYFUNCTION("""COMPUTED_VALUE"""),25.0)</f>
        <v>25</v>
      </c>
      <c r="K1865" s="139">
        <f>IFERROR(__xludf.DUMMYFUNCTION("""COMPUTED_VALUE"""),100.0)</f>
        <v>100</v>
      </c>
      <c r="L1865" s="139"/>
      <c r="M1865" s="139"/>
      <c r="N1865" s="139"/>
    </row>
    <row r="1866">
      <c r="A1866" s="139" t="str">
        <f>IFERROR(__xludf.DUMMYFUNCTION("""COMPUTED_VALUE"""),"e")</f>
        <v>e</v>
      </c>
      <c r="B1866" s="139">
        <f>IFERROR(__xludf.DUMMYFUNCTION("""COMPUTED_VALUE"""),2.0250901E8)</f>
        <v>202509010</v>
      </c>
      <c r="C1866" s="139" t="str">
        <f>IFERROR(__xludf.DUMMYFUNCTION("""COMPUTED_VALUE"""),"e_dan_00001_general_h_Normal_Colorless_Normal_00000")</f>
        <v>e_dan_00001_general_h_Normal_Colorless_Normal_00000</v>
      </c>
      <c r="D1866" s="139" t="str">
        <f>IFERROR(__xludf.DUMMYFUNCTION("""COMPUTED_VALUE"""),"e_dan_00001_general_h_Normal_Colorless")</f>
        <v>e_dan_00001_general_h_Normal_Colorless</v>
      </c>
      <c r="E1866" s="139">
        <f>IFERROR(__xludf.DUMMYFUNCTION("""COMPUTED_VALUE"""),0.0)</f>
        <v>0</v>
      </c>
      <c r="F1866" s="139" t="str">
        <f>IFERROR(__xludf.DUMMYFUNCTION("""COMPUTED_VALUE"""),"Normal")</f>
        <v>Normal</v>
      </c>
      <c r="G1866" s="139"/>
      <c r="H1866" s="139"/>
      <c r="I1866" s="674">
        <f>IFERROR(__xludf.DUMMYFUNCTION("""COMPUTED_VALUE"""),58.0)</f>
        <v>58</v>
      </c>
      <c r="J1866" s="139">
        <f>IFERROR(__xludf.DUMMYFUNCTION("""COMPUTED_VALUE"""),25.0)</f>
        <v>25</v>
      </c>
      <c r="K1866" s="139">
        <f>IFERROR(__xludf.DUMMYFUNCTION("""COMPUTED_VALUE"""),100.0)</f>
        <v>100</v>
      </c>
      <c r="L1866" s="139"/>
      <c r="M1866" s="139"/>
      <c r="N1866" s="139"/>
    </row>
    <row r="1867">
      <c r="A1867" s="139" t="str">
        <f>IFERROR(__xludf.DUMMYFUNCTION("""COMPUTED_VALUE"""),"e")</f>
        <v>e</v>
      </c>
      <c r="B1867" s="139">
        <f>IFERROR(__xludf.DUMMYFUNCTION("""COMPUTED_VALUE"""),2.0250901E8)</f>
        <v>202509010</v>
      </c>
      <c r="C1867" s="139" t="str">
        <f>IFERROR(__xludf.DUMMYFUNCTION("""COMPUTED_VALUE"""),"e_dan_00001_general_h_Normal_Red_Normal_00000")</f>
        <v>e_dan_00001_general_h_Normal_Red_Normal_00000</v>
      </c>
      <c r="D1867" s="139" t="str">
        <f>IFERROR(__xludf.DUMMYFUNCTION("""COMPUTED_VALUE"""),"e_dan_00001_general_h_Normal_Red")</f>
        <v>e_dan_00001_general_h_Normal_Red</v>
      </c>
      <c r="E1867" s="139">
        <f>IFERROR(__xludf.DUMMYFUNCTION("""COMPUTED_VALUE"""),0.0)</f>
        <v>0</v>
      </c>
      <c r="F1867" s="139" t="str">
        <f>IFERROR(__xludf.DUMMYFUNCTION("""COMPUTED_VALUE"""),"Normal")</f>
        <v>Normal</v>
      </c>
      <c r="G1867" s="139"/>
      <c r="H1867" s="139"/>
      <c r="I1867" s="674">
        <f>IFERROR(__xludf.DUMMYFUNCTION("""COMPUTED_VALUE"""),58.0)</f>
        <v>58</v>
      </c>
      <c r="J1867" s="139">
        <f>IFERROR(__xludf.DUMMYFUNCTION("""COMPUTED_VALUE"""),25.0)</f>
        <v>25</v>
      </c>
      <c r="K1867" s="139">
        <f>IFERROR(__xludf.DUMMYFUNCTION("""COMPUTED_VALUE"""),100.0)</f>
        <v>100</v>
      </c>
      <c r="L1867" s="139"/>
      <c r="M1867" s="139"/>
      <c r="N1867" s="139"/>
    </row>
    <row r="1868">
      <c r="A1868" s="139" t="str">
        <f>IFERROR(__xludf.DUMMYFUNCTION("""COMPUTED_VALUE"""),"e")</f>
        <v>e</v>
      </c>
      <c r="B1868" s="139">
        <f>IFERROR(__xludf.DUMMYFUNCTION("""COMPUTED_VALUE"""),2.0250901E8)</f>
        <v>202509010</v>
      </c>
      <c r="C1868" s="139" t="str">
        <f>IFERROR(__xludf.DUMMYFUNCTION("""COMPUTED_VALUE"""),"e_dan_00001_general_vh_trans_Normal_Red_Normal_00000")</f>
        <v>e_dan_00001_general_vh_trans_Normal_Red_Normal_00000</v>
      </c>
      <c r="D1868" s="139" t="str">
        <f>IFERROR(__xludf.DUMMYFUNCTION("""COMPUTED_VALUE"""),"e_dan_00001_general_vh_trans_Normal_Red")</f>
        <v>e_dan_00001_general_vh_trans_Normal_Red</v>
      </c>
      <c r="E1868" s="139">
        <f>IFERROR(__xludf.DUMMYFUNCTION("""COMPUTED_VALUE"""),0.0)</f>
        <v>0</v>
      </c>
      <c r="F1868" s="139" t="str">
        <f>IFERROR(__xludf.DUMMYFUNCTION("""COMPUTED_VALUE"""),"Normal")</f>
        <v>Normal</v>
      </c>
      <c r="G1868" s="139"/>
      <c r="H1868" s="139"/>
      <c r="I1868" s="674">
        <f>IFERROR(__xludf.DUMMYFUNCTION("""COMPUTED_VALUE"""),58.0)</f>
        <v>58</v>
      </c>
      <c r="J1868" s="139">
        <f>IFERROR(__xludf.DUMMYFUNCTION("""COMPUTED_VALUE"""),25.0)</f>
        <v>25</v>
      </c>
      <c r="K1868" s="139">
        <f>IFERROR(__xludf.DUMMYFUNCTION("""COMPUTED_VALUE"""),100.0)</f>
        <v>100</v>
      </c>
      <c r="L1868" s="139"/>
      <c r="M1868" s="139"/>
      <c r="N1868" s="139"/>
    </row>
    <row r="1869">
      <c r="A1869" s="139" t="str">
        <f>IFERROR(__xludf.DUMMYFUNCTION("""COMPUTED_VALUE"""),"e")</f>
        <v>e</v>
      </c>
      <c r="B1869" s="139">
        <f>IFERROR(__xludf.DUMMYFUNCTION("""COMPUTED_VALUE"""),2.0250901E8)</f>
        <v>202509010</v>
      </c>
      <c r="C1869" s="139" t="str">
        <f>IFERROR(__xludf.DUMMYFUNCTION("""COMPUTED_VALUE"""),"e_dan_00001_general_vh_trans_Normal_Blue_Normal_00000")</f>
        <v>e_dan_00001_general_vh_trans_Normal_Blue_Normal_00000</v>
      </c>
      <c r="D1869" s="139" t="str">
        <f>IFERROR(__xludf.DUMMYFUNCTION("""COMPUTED_VALUE"""),"e_dan_00001_general_vh_trans_Normal_Blue")</f>
        <v>e_dan_00001_general_vh_trans_Normal_Blue</v>
      </c>
      <c r="E1869" s="139">
        <f>IFERROR(__xludf.DUMMYFUNCTION("""COMPUTED_VALUE"""),0.0)</f>
        <v>0</v>
      </c>
      <c r="F1869" s="139" t="str">
        <f>IFERROR(__xludf.DUMMYFUNCTION("""COMPUTED_VALUE"""),"Normal")</f>
        <v>Normal</v>
      </c>
      <c r="G1869" s="139"/>
      <c r="H1869" s="139"/>
      <c r="I1869" s="674">
        <f>IFERROR(__xludf.DUMMYFUNCTION("""COMPUTED_VALUE"""),58.0)</f>
        <v>58</v>
      </c>
      <c r="J1869" s="139">
        <f>IFERROR(__xludf.DUMMYFUNCTION("""COMPUTED_VALUE"""),25.0)</f>
        <v>25</v>
      </c>
      <c r="K1869" s="139">
        <f>IFERROR(__xludf.DUMMYFUNCTION("""COMPUTED_VALUE"""),100.0)</f>
        <v>100</v>
      </c>
      <c r="L1869" s="139"/>
      <c r="M1869" s="139"/>
      <c r="N1869" s="139"/>
    </row>
    <row r="1870">
      <c r="A1870" s="139" t="str">
        <f>IFERROR(__xludf.DUMMYFUNCTION("""COMPUTED_VALUE"""),"e")</f>
        <v>e</v>
      </c>
      <c r="B1870" s="139">
        <f>IFERROR(__xludf.DUMMYFUNCTION("""COMPUTED_VALUE"""),2.0250901E8)</f>
        <v>202509010</v>
      </c>
      <c r="C1870" s="139" t="str">
        <f>IFERROR(__xludf.DUMMYFUNCTION("""COMPUTED_VALUE"""),"e_dan_00001_general_vh_trans_Normal_Green_Normal_00000")</f>
        <v>e_dan_00001_general_vh_trans_Normal_Green_Normal_00000</v>
      </c>
      <c r="D1870" s="139" t="str">
        <f>IFERROR(__xludf.DUMMYFUNCTION("""COMPUTED_VALUE"""),"e_dan_00001_general_vh_trans_Normal_Green")</f>
        <v>e_dan_00001_general_vh_trans_Normal_Green</v>
      </c>
      <c r="E1870" s="139">
        <f>IFERROR(__xludf.DUMMYFUNCTION("""COMPUTED_VALUE"""),0.0)</f>
        <v>0</v>
      </c>
      <c r="F1870" s="139" t="str">
        <f>IFERROR(__xludf.DUMMYFUNCTION("""COMPUTED_VALUE"""),"Normal")</f>
        <v>Normal</v>
      </c>
      <c r="G1870" s="139"/>
      <c r="H1870" s="139"/>
      <c r="I1870" s="674">
        <f>IFERROR(__xludf.DUMMYFUNCTION("""COMPUTED_VALUE"""),58.0)</f>
        <v>58</v>
      </c>
      <c r="J1870" s="139">
        <f>IFERROR(__xludf.DUMMYFUNCTION("""COMPUTED_VALUE"""),25.0)</f>
        <v>25</v>
      </c>
      <c r="K1870" s="139">
        <f>IFERROR(__xludf.DUMMYFUNCTION("""COMPUTED_VALUE"""),100.0)</f>
        <v>100</v>
      </c>
      <c r="L1870" s="139"/>
      <c r="M1870" s="139"/>
      <c r="N1870" s="139"/>
    </row>
    <row r="1871">
      <c r="A1871" s="139" t="str">
        <f>IFERROR(__xludf.DUMMYFUNCTION("""COMPUTED_VALUE"""),"e")</f>
        <v>e</v>
      </c>
      <c r="B1871" s="139">
        <f>IFERROR(__xludf.DUMMYFUNCTION("""COMPUTED_VALUE"""),2.0250901E8)</f>
        <v>202509010</v>
      </c>
      <c r="C1871" s="139" t="str">
        <f>IFERROR(__xludf.DUMMYFUNCTION("""COMPUTED_VALUE"""),"e_dan_00001_general_vh_Normal_Colorless_Normal_00000")</f>
        <v>e_dan_00001_general_vh_Normal_Colorless_Normal_00000</v>
      </c>
      <c r="D1871" s="139" t="str">
        <f>IFERROR(__xludf.DUMMYFUNCTION("""COMPUTED_VALUE"""),"e_dan_00001_general_vh_Normal_Colorless")</f>
        <v>e_dan_00001_general_vh_Normal_Colorless</v>
      </c>
      <c r="E1871" s="139">
        <f>IFERROR(__xludf.DUMMYFUNCTION("""COMPUTED_VALUE"""),0.0)</f>
        <v>0</v>
      </c>
      <c r="F1871" s="139" t="str">
        <f>IFERROR(__xludf.DUMMYFUNCTION("""COMPUTED_VALUE"""),"Normal")</f>
        <v>Normal</v>
      </c>
      <c r="G1871" s="139"/>
      <c r="H1871" s="139"/>
      <c r="I1871" s="674">
        <f>IFERROR(__xludf.DUMMYFUNCTION("""COMPUTED_VALUE"""),58.0)</f>
        <v>58</v>
      </c>
      <c r="J1871" s="139">
        <f>IFERROR(__xludf.DUMMYFUNCTION("""COMPUTED_VALUE"""),25.0)</f>
        <v>25</v>
      </c>
      <c r="K1871" s="139">
        <f>IFERROR(__xludf.DUMMYFUNCTION("""COMPUTED_VALUE"""),100.0)</f>
        <v>100</v>
      </c>
      <c r="L1871" s="139"/>
      <c r="M1871" s="139"/>
      <c r="N1871" s="139"/>
    </row>
    <row r="1872">
      <c r="A1872" s="139" t="str">
        <f>IFERROR(__xludf.DUMMYFUNCTION("""COMPUTED_VALUE"""),"e")</f>
        <v>e</v>
      </c>
      <c r="B1872" s="139">
        <f>IFERROR(__xludf.DUMMYFUNCTION("""COMPUTED_VALUE"""),2.0250901E8)</f>
        <v>202509010</v>
      </c>
      <c r="C1872" s="139" t="str">
        <f>IFERROR(__xludf.DUMMYFUNCTION("""COMPUTED_VALUE"""),"e_dan_00001_general_vh_Normal_Green_Normal_00000")</f>
        <v>e_dan_00001_general_vh_Normal_Green_Normal_00000</v>
      </c>
      <c r="D1872" s="139" t="str">
        <f>IFERROR(__xludf.DUMMYFUNCTION("""COMPUTED_VALUE"""),"e_dan_00001_general_vh_Normal_Green")</f>
        <v>e_dan_00001_general_vh_Normal_Green</v>
      </c>
      <c r="E1872" s="139">
        <f>IFERROR(__xludf.DUMMYFUNCTION("""COMPUTED_VALUE"""),0.0)</f>
        <v>0</v>
      </c>
      <c r="F1872" s="139" t="str">
        <f>IFERROR(__xludf.DUMMYFUNCTION("""COMPUTED_VALUE"""),"Normal")</f>
        <v>Normal</v>
      </c>
      <c r="G1872" s="139"/>
      <c r="H1872" s="139"/>
      <c r="I1872" s="674">
        <f>IFERROR(__xludf.DUMMYFUNCTION("""COMPUTED_VALUE"""),58.0)</f>
        <v>58</v>
      </c>
      <c r="J1872" s="139">
        <f>IFERROR(__xludf.DUMMYFUNCTION("""COMPUTED_VALUE"""),25.0)</f>
        <v>25</v>
      </c>
      <c r="K1872" s="139">
        <f>IFERROR(__xludf.DUMMYFUNCTION("""COMPUTED_VALUE"""),100.0)</f>
        <v>100</v>
      </c>
      <c r="L1872" s="139"/>
      <c r="M1872" s="139"/>
      <c r="N1872" s="139"/>
    </row>
    <row r="1873">
      <c r="A1873" s="139" t="str">
        <f>IFERROR(__xludf.DUMMYFUNCTION("""COMPUTED_VALUE"""),"e")</f>
        <v>e</v>
      </c>
      <c r="B1873" s="139">
        <f>IFERROR(__xludf.DUMMYFUNCTION("""COMPUTED_VALUE"""),2.0250901E8)</f>
        <v>202509010</v>
      </c>
      <c r="C1873" s="139" t="str">
        <f>IFERROR(__xludf.DUMMYFUNCTION("""COMPUTED_VALUE"""),"e_dan_00001_general_vh_trans_Boss_Blue_Normal_00000")</f>
        <v>e_dan_00001_general_vh_trans_Boss_Blue_Normal_00000</v>
      </c>
      <c r="D1873" s="139" t="str">
        <f>IFERROR(__xludf.DUMMYFUNCTION("""COMPUTED_VALUE"""),"e_dan_00001_general_vh_trans_Boss_Blue")</f>
        <v>e_dan_00001_general_vh_trans_Boss_Blue</v>
      </c>
      <c r="E1873" s="139">
        <f>IFERROR(__xludf.DUMMYFUNCTION("""COMPUTED_VALUE"""),0.0)</f>
        <v>0</v>
      </c>
      <c r="F1873" s="139" t="str">
        <f>IFERROR(__xludf.DUMMYFUNCTION("""COMPUTED_VALUE"""),"Normal")</f>
        <v>Normal</v>
      </c>
      <c r="G1873" s="139"/>
      <c r="H1873" s="139"/>
      <c r="I1873" s="674">
        <f>IFERROR(__xludf.DUMMYFUNCTION("""COMPUTED_VALUE"""),58.0)</f>
        <v>58</v>
      </c>
      <c r="J1873" s="139">
        <f>IFERROR(__xludf.DUMMYFUNCTION("""COMPUTED_VALUE"""),25.0)</f>
        <v>25</v>
      </c>
      <c r="K1873" s="139">
        <f>IFERROR(__xludf.DUMMYFUNCTION("""COMPUTED_VALUE"""),100.0)</f>
        <v>100</v>
      </c>
      <c r="L1873" s="139"/>
      <c r="M1873" s="139"/>
      <c r="N1873" s="139"/>
    </row>
    <row r="1874">
      <c r="A1874" s="139" t="str">
        <f>IFERROR(__xludf.DUMMYFUNCTION("""COMPUTED_VALUE"""),"e")</f>
        <v>e</v>
      </c>
      <c r="B1874" s="139">
        <f>IFERROR(__xludf.DUMMYFUNCTION("""COMPUTED_VALUE"""),2.0250901E8)</f>
        <v>202509010</v>
      </c>
      <c r="C1874" s="139" t="str">
        <f>IFERROR(__xludf.DUMMYFUNCTION("""COMPUTED_VALUE"""),"e_dan_00001_general_vh_trans_Boss_Blue_Appearance_00001")</f>
        <v>e_dan_00001_general_vh_trans_Boss_Blue_Appearance_00001</v>
      </c>
      <c r="D1874" s="139" t="str">
        <f>IFERROR(__xludf.DUMMYFUNCTION("""COMPUTED_VALUE"""),"e_dan_00001_general_vh_trans_Boss_Blue")</f>
        <v>e_dan_00001_general_vh_trans_Boss_Blue</v>
      </c>
      <c r="E1874" s="139">
        <f>IFERROR(__xludf.DUMMYFUNCTION("""COMPUTED_VALUE"""),0.0)</f>
        <v>0</v>
      </c>
      <c r="F1874" s="139" t="str">
        <f>IFERROR(__xludf.DUMMYFUNCTION("""COMPUTED_VALUE"""),"Appearance")</f>
        <v>Appearance</v>
      </c>
      <c r="G1874" s="139"/>
      <c r="H1874" s="139"/>
      <c r="I1874" s="139">
        <f>IFERROR(__xludf.DUMMYFUNCTION("""COMPUTED_VALUE"""),50.0)</f>
        <v>50</v>
      </c>
      <c r="J1874" s="139">
        <f>IFERROR(__xludf.DUMMYFUNCTION("""COMPUTED_VALUE"""),0.0)</f>
        <v>0</v>
      </c>
      <c r="K1874" s="139">
        <f>IFERROR(__xludf.DUMMYFUNCTION("""COMPUTED_VALUE"""),0.0)</f>
        <v>0</v>
      </c>
      <c r="L1874" s="139"/>
      <c r="M1874" s="139"/>
      <c r="N1874" s="139"/>
    </row>
    <row r="1875">
      <c r="A1875" s="139" t="str">
        <f>IFERROR(__xludf.DUMMYFUNCTION("""COMPUTED_VALUE"""),"e")</f>
        <v>e</v>
      </c>
      <c r="B1875" s="139">
        <f>IFERROR(__xludf.DUMMYFUNCTION("""COMPUTED_VALUE"""),2.0250901E8)</f>
        <v>202509010</v>
      </c>
      <c r="C1875" s="139" t="str">
        <f>IFERROR(__xludf.DUMMYFUNCTION("""COMPUTED_VALUE"""),"e_dan_00001_general_vh_Boss_Red_Normal_00000")</f>
        <v>e_dan_00001_general_vh_Boss_Red_Normal_00000</v>
      </c>
      <c r="D1875" s="139" t="str">
        <f>IFERROR(__xludf.DUMMYFUNCTION("""COMPUTED_VALUE"""),"e_dan_00001_general_vh_Boss_Red")</f>
        <v>e_dan_00001_general_vh_Boss_Red</v>
      </c>
      <c r="E1875" s="139">
        <f>IFERROR(__xludf.DUMMYFUNCTION("""COMPUTED_VALUE"""),0.0)</f>
        <v>0</v>
      </c>
      <c r="F1875" s="139" t="str">
        <f>IFERROR(__xludf.DUMMYFUNCTION("""COMPUTED_VALUE"""),"Normal")</f>
        <v>Normal</v>
      </c>
      <c r="G1875" s="139"/>
      <c r="H1875" s="139"/>
      <c r="I1875" s="674">
        <f>IFERROR(__xludf.DUMMYFUNCTION("""COMPUTED_VALUE"""),58.0)</f>
        <v>58</v>
      </c>
      <c r="J1875" s="139">
        <f>IFERROR(__xludf.DUMMYFUNCTION("""COMPUTED_VALUE"""),25.0)</f>
        <v>25</v>
      </c>
      <c r="K1875" s="139">
        <f>IFERROR(__xludf.DUMMYFUNCTION("""COMPUTED_VALUE"""),100.0)</f>
        <v>100</v>
      </c>
      <c r="L1875" s="139"/>
      <c r="M1875" s="139"/>
      <c r="N1875" s="139"/>
    </row>
    <row r="1876">
      <c r="A1876" s="139" t="str">
        <f>IFERROR(__xludf.DUMMYFUNCTION("""COMPUTED_VALUE"""),"e")</f>
        <v>e</v>
      </c>
      <c r="B1876" s="139">
        <f>IFERROR(__xludf.DUMMYFUNCTION("""COMPUTED_VALUE"""),2.0250901E8)</f>
        <v>202509010</v>
      </c>
      <c r="C1876" s="139" t="str">
        <f>IFERROR(__xludf.DUMMYFUNCTION("""COMPUTED_VALUE"""),"e_dan_00001_general_vh_Boss_Red_Appearance_00001")</f>
        <v>e_dan_00001_general_vh_Boss_Red_Appearance_00001</v>
      </c>
      <c r="D1876" s="139" t="str">
        <f>IFERROR(__xludf.DUMMYFUNCTION("""COMPUTED_VALUE"""),"e_dan_00001_general_vh_Boss_Red")</f>
        <v>e_dan_00001_general_vh_Boss_Red</v>
      </c>
      <c r="E1876" s="139">
        <f>IFERROR(__xludf.DUMMYFUNCTION("""COMPUTED_VALUE"""),0.0)</f>
        <v>0</v>
      </c>
      <c r="F1876" s="139" t="str">
        <f>IFERROR(__xludf.DUMMYFUNCTION("""COMPUTED_VALUE"""),"Appearance")</f>
        <v>Appearance</v>
      </c>
      <c r="G1876" s="139"/>
      <c r="H1876" s="139"/>
      <c r="I1876" s="139">
        <f>IFERROR(__xludf.DUMMYFUNCTION("""COMPUTED_VALUE"""),50.0)</f>
        <v>50</v>
      </c>
      <c r="J1876" s="139">
        <f>IFERROR(__xludf.DUMMYFUNCTION("""COMPUTED_VALUE"""),0.0)</f>
        <v>0</v>
      </c>
      <c r="K1876" s="139">
        <f>IFERROR(__xludf.DUMMYFUNCTION("""COMPUTED_VALUE"""),0.0)</f>
        <v>0</v>
      </c>
      <c r="L1876" s="139"/>
      <c r="M1876" s="139"/>
      <c r="N1876" s="139"/>
    </row>
    <row r="1877">
      <c r="A1877" s="139" t="str">
        <f>IFERROR(__xludf.DUMMYFUNCTION("""COMPUTED_VALUE"""),"e")</f>
        <v>e</v>
      </c>
      <c r="B1877" s="139">
        <f>IFERROR(__xludf.DUMMYFUNCTION("""COMPUTED_VALUE"""),2.0250901E8)</f>
        <v>202509010</v>
      </c>
      <c r="C1877" s="139" t="str">
        <f>IFERROR(__xludf.DUMMYFUNCTION("""COMPUTED_VALUE"""),"e_dan_00001_general_vh_Boss_Colorless_Normal_00000")</f>
        <v>e_dan_00001_general_vh_Boss_Colorless_Normal_00000</v>
      </c>
      <c r="D1877" s="139" t="str">
        <f>IFERROR(__xludf.DUMMYFUNCTION("""COMPUTED_VALUE"""),"e_dan_00001_general_vh_Boss_Colorless")</f>
        <v>e_dan_00001_general_vh_Boss_Colorless</v>
      </c>
      <c r="E1877" s="139">
        <f>IFERROR(__xludf.DUMMYFUNCTION("""COMPUTED_VALUE"""),0.0)</f>
        <v>0</v>
      </c>
      <c r="F1877" s="139" t="str">
        <f>IFERROR(__xludf.DUMMYFUNCTION("""COMPUTED_VALUE"""),"Normal")</f>
        <v>Normal</v>
      </c>
      <c r="G1877" s="139"/>
      <c r="H1877" s="139"/>
      <c r="I1877" s="674">
        <f>IFERROR(__xludf.DUMMYFUNCTION("""COMPUTED_VALUE"""),58.0)</f>
        <v>58</v>
      </c>
      <c r="J1877" s="139">
        <f>IFERROR(__xludf.DUMMYFUNCTION("""COMPUTED_VALUE"""),25.0)</f>
        <v>25</v>
      </c>
      <c r="K1877" s="139">
        <f>IFERROR(__xludf.DUMMYFUNCTION("""COMPUTED_VALUE"""),75.0)</f>
        <v>75</v>
      </c>
      <c r="L1877" s="139"/>
      <c r="M1877" s="139"/>
      <c r="N1877" s="139"/>
    </row>
    <row r="1878">
      <c r="A1878" s="139" t="str">
        <f>IFERROR(__xludf.DUMMYFUNCTION("""COMPUTED_VALUE"""),"e")</f>
        <v>e</v>
      </c>
      <c r="B1878" s="139">
        <f>IFERROR(__xludf.DUMMYFUNCTION("""COMPUTED_VALUE"""),2.0250901E8)</f>
        <v>202509010</v>
      </c>
      <c r="C1878" s="139" t="str">
        <f>IFERROR(__xludf.DUMMYFUNCTION("""COMPUTED_VALUE"""),"e_dan_00001_general_vh_Boss_Colorless_Appearance_00001")</f>
        <v>e_dan_00001_general_vh_Boss_Colorless_Appearance_00001</v>
      </c>
      <c r="D1878" s="139" t="str">
        <f>IFERROR(__xludf.DUMMYFUNCTION("""COMPUTED_VALUE"""),"e_dan_00001_general_vh_Boss_Colorless")</f>
        <v>e_dan_00001_general_vh_Boss_Colorless</v>
      </c>
      <c r="E1878" s="139">
        <f>IFERROR(__xludf.DUMMYFUNCTION("""COMPUTED_VALUE"""),0.0)</f>
        <v>0</v>
      </c>
      <c r="F1878" s="139" t="str">
        <f>IFERROR(__xludf.DUMMYFUNCTION("""COMPUTED_VALUE"""),"Appearance")</f>
        <v>Appearance</v>
      </c>
      <c r="G1878" s="139"/>
      <c r="H1878" s="139"/>
      <c r="I1878" s="139">
        <f>IFERROR(__xludf.DUMMYFUNCTION("""COMPUTED_VALUE"""),50.0)</f>
        <v>50</v>
      </c>
      <c r="J1878" s="139">
        <f>IFERROR(__xludf.DUMMYFUNCTION("""COMPUTED_VALUE"""),0.0)</f>
        <v>0</v>
      </c>
      <c r="K1878" s="139">
        <f>IFERROR(__xludf.DUMMYFUNCTION("""COMPUTED_VALUE"""),0.0)</f>
        <v>0</v>
      </c>
      <c r="L1878" s="139"/>
      <c r="M1878" s="139"/>
      <c r="N1878" s="139"/>
    </row>
    <row r="1879">
      <c r="A1879" s="139" t="str">
        <f>IFERROR(__xludf.DUMMYFUNCTION("""COMPUTED_VALUE"""),"e")</f>
        <v>e</v>
      </c>
      <c r="B1879" s="139">
        <f>IFERROR(__xludf.DUMMYFUNCTION("""COMPUTED_VALUE"""),2.0250901E8)</f>
        <v>202509010</v>
      </c>
      <c r="C1879" s="139" t="str">
        <f>IFERROR(__xludf.DUMMYFUNCTION("""COMPUTED_VALUE"""),"e_dan_00101_general_n_Normal_Colorless_Normal_00000")</f>
        <v>e_dan_00101_general_n_Normal_Colorless_Normal_00000</v>
      </c>
      <c r="D1879" s="139" t="str">
        <f>IFERROR(__xludf.DUMMYFUNCTION("""COMPUTED_VALUE"""),"e_dan_00101_general_n_Normal_Colorless")</f>
        <v>e_dan_00101_general_n_Normal_Colorless</v>
      </c>
      <c r="E1879" s="139">
        <f>IFERROR(__xludf.DUMMYFUNCTION("""COMPUTED_VALUE"""),0.0)</f>
        <v>0</v>
      </c>
      <c r="F1879" s="139" t="str">
        <f>IFERROR(__xludf.DUMMYFUNCTION("""COMPUTED_VALUE"""),"Normal")</f>
        <v>Normal</v>
      </c>
      <c r="G1879" s="139"/>
      <c r="H1879" s="139"/>
      <c r="I1879" s="139">
        <f>IFERROR(__xludf.DUMMYFUNCTION("""COMPUTED_VALUE"""),70.0)</f>
        <v>70</v>
      </c>
      <c r="J1879" s="139">
        <f>IFERROR(__xludf.DUMMYFUNCTION("""COMPUTED_VALUE"""),35.0)</f>
        <v>35</v>
      </c>
      <c r="K1879" s="139">
        <f>IFERROR(__xludf.DUMMYFUNCTION("""COMPUTED_VALUE"""),50.0)</f>
        <v>50</v>
      </c>
      <c r="L1879" s="139"/>
      <c r="M1879" s="139"/>
      <c r="N1879" s="139"/>
    </row>
    <row r="1880">
      <c r="A1880" s="139" t="str">
        <f>IFERROR(__xludf.DUMMYFUNCTION("""COMPUTED_VALUE"""),"e")</f>
        <v>e</v>
      </c>
      <c r="B1880" s="139">
        <f>IFERROR(__xludf.DUMMYFUNCTION("""COMPUTED_VALUE"""),2.0250901E8)</f>
        <v>202509010</v>
      </c>
      <c r="C1880" s="139" t="str">
        <f>IFERROR(__xludf.DUMMYFUNCTION("""COMPUTED_VALUE"""),"e_dan_00101_general_n_Normal_Red_Normal_00000")</f>
        <v>e_dan_00101_general_n_Normal_Red_Normal_00000</v>
      </c>
      <c r="D1880" s="139" t="str">
        <f>IFERROR(__xludf.DUMMYFUNCTION("""COMPUTED_VALUE"""),"e_dan_00101_general_n_Normal_Red")</f>
        <v>e_dan_00101_general_n_Normal_Red</v>
      </c>
      <c r="E1880" s="139">
        <f>IFERROR(__xludf.DUMMYFUNCTION("""COMPUTED_VALUE"""),0.0)</f>
        <v>0</v>
      </c>
      <c r="F1880" s="139" t="str">
        <f>IFERROR(__xludf.DUMMYFUNCTION("""COMPUTED_VALUE"""),"Normal")</f>
        <v>Normal</v>
      </c>
      <c r="G1880" s="139"/>
      <c r="H1880" s="139"/>
      <c r="I1880" s="139">
        <f>IFERROR(__xludf.DUMMYFUNCTION("""COMPUTED_VALUE"""),70.0)</f>
        <v>70</v>
      </c>
      <c r="J1880" s="139">
        <f>IFERROR(__xludf.DUMMYFUNCTION("""COMPUTED_VALUE"""),35.0)</f>
        <v>35</v>
      </c>
      <c r="K1880" s="139">
        <f>IFERROR(__xludf.DUMMYFUNCTION("""COMPUTED_VALUE"""),50.0)</f>
        <v>50</v>
      </c>
      <c r="L1880" s="139"/>
      <c r="M1880" s="139"/>
      <c r="N1880" s="139"/>
    </row>
    <row r="1881">
      <c r="A1881" s="139" t="str">
        <f>IFERROR(__xludf.DUMMYFUNCTION("""COMPUTED_VALUE"""),"e")</f>
        <v>e</v>
      </c>
      <c r="B1881" s="139">
        <f>IFERROR(__xludf.DUMMYFUNCTION("""COMPUTED_VALUE"""),2.0250901E8)</f>
        <v>202509010</v>
      </c>
      <c r="C1881" s="139" t="str">
        <f>IFERROR(__xludf.DUMMYFUNCTION("""COMPUTED_VALUE"""),"e_dan_00101_general_h_Normal_Colorless_Normal_00000")</f>
        <v>e_dan_00101_general_h_Normal_Colorless_Normal_00000</v>
      </c>
      <c r="D1881" s="139" t="str">
        <f>IFERROR(__xludf.DUMMYFUNCTION("""COMPUTED_VALUE"""),"e_dan_00101_general_h_Normal_Colorless")</f>
        <v>e_dan_00101_general_h_Normal_Colorless</v>
      </c>
      <c r="E1881" s="139">
        <f>IFERROR(__xludf.DUMMYFUNCTION("""COMPUTED_VALUE"""),0.0)</f>
        <v>0</v>
      </c>
      <c r="F1881" s="139" t="str">
        <f>IFERROR(__xludf.DUMMYFUNCTION("""COMPUTED_VALUE"""),"Normal")</f>
        <v>Normal</v>
      </c>
      <c r="G1881" s="139"/>
      <c r="H1881" s="139"/>
      <c r="I1881" s="139">
        <f>IFERROR(__xludf.DUMMYFUNCTION("""COMPUTED_VALUE"""),70.0)</f>
        <v>70</v>
      </c>
      <c r="J1881" s="139">
        <f>IFERROR(__xludf.DUMMYFUNCTION("""COMPUTED_VALUE"""),35.0)</f>
        <v>35</v>
      </c>
      <c r="K1881" s="139">
        <f>IFERROR(__xludf.DUMMYFUNCTION("""COMPUTED_VALUE"""),50.0)</f>
        <v>50</v>
      </c>
      <c r="L1881" s="139"/>
      <c r="M1881" s="139"/>
      <c r="N1881" s="139"/>
    </row>
    <row r="1882">
      <c r="A1882" s="139" t="str">
        <f>IFERROR(__xludf.DUMMYFUNCTION("""COMPUTED_VALUE"""),"e")</f>
        <v>e</v>
      </c>
      <c r="B1882" s="139">
        <f>IFERROR(__xludf.DUMMYFUNCTION("""COMPUTED_VALUE"""),2.0250901E8)</f>
        <v>202509010</v>
      </c>
      <c r="C1882" s="139" t="str">
        <f>IFERROR(__xludf.DUMMYFUNCTION("""COMPUTED_VALUE"""),"e_dan_00101_general_h_Normal_Red_Normal_00000")</f>
        <v>e_dan_00101_general_h_Normal_Red_Normal_00000</v>
      </c>
      <c r="D1882" s="139" t="str">
        <f>IFERROR(__xludf.DUMMYFUNCTION("""COMPUTED_VALUE"""),"e_dan_00101_general_h_Normal_Red")</f>
        <v>e_dan_00101_general_h_Normal_Red</v>
      </c>
      <c r="E1882" s="139">
        <f>IFERROR(__xludf.DUMMYFUNCTION("""COMPUTED_VALUE"""),0.0)</f>
        <v>0</v>
      </c>
      <c r="F1882" s="139" t="str">
        <f>IFERROR(__xludf.DUMMYFUNCTION("""COMPUTED_VALUE"""),"Normal")</f>
        <v>Normal</v>
      </c>
      <c r="G1882" s="139"/>
      <c r="H1882" s="139"/>
      <c r="I1882" s="139">
        <f>IFERROR(__xludf.DUMMYFUNCTION("""COMPUTED_VALUE"""),70.0)</f>
        <v>70</v>
      </c>
      <c r="J1882" s="139">
        <f>IFERROR(__xludf.DUMMYFUNCTION("""COMPUTED_VALUE"""),35.0)</f>
        <v>35</v>
      </c>
      <c r="K1882" s="139">
        <f>IFERROR(__xludf.DUMMYFUNCTION("""COMPUTED_VALUE"""),50.0)</f>
        <v>50</v>
      </c>
      <c r="L1882" s="139"/>
      <c r="M1882" s="139"/>
      <c r="N1882" s="139"/>
    </row>
    <row r="1883">
      <c r="A1883" s="139" t="str">
        <f>IFERROR(__xludf.DUMMYFUNCTION("""COMPUTED_VALUE"""),"e")</f>
        <v>e</v>
      </c>
      <c r="B1883" s="139">
        <f>IFERROR(__xludf.DUMMYFUNCTION("""COMPUTED_VALUE"""),2.0250901E8)</f>
        <v>202509010</v>
      </c>
      <c r="C1883" s="139" t="str">
        <f>IFERROR(__xludf.DUMMYFUNCTION("""COMPUTED_VALUE"""),"e_dan_00101_general_vh_Normal_Red_Normal_00000")</f>
        <v>e_dan_00101_general_vh_Normal_Red_Normal_00000</v>
      </c>
      <c r="D1883" s="139" t="str">
        <f>IFERROR(__xludf.DUMMYFUNCTION("""COMPUTED_VALUE"""),"e_dan_00101_general_vh_Normal_Red")</f>
        <v>e_dan_00101_general_vh_Normal_Red</v>
      </c>
      <c r="E1883" s="139">
        <f>IFERROR(__xludf.DUMMYFUNCTION("""COMPUTED_VALUE"""),0.0)</f>
        <v>0</v>
      </c>
      <c r="F1883" s="139" t="str">
        <f>IFERROR(__xludf.DUMMYFUNCTION("""COMPUTED_VALUE"""),"Normal")</f>
        <v>Normal</v>
      </c>
      <c r="G1883" s="139"/>
      <c r="H1883" s="139"/>
      <c r="I1883" s="139">
        <f>IFERROR(__xludf.DUMMYFUNCTION("""COMPUTED_VALUE"""),70.0)</f>
        <v>70</v>
      </c>
      <c r="J1883" s="139">
        <f>IFERROR(__xludf.DUMMYFUNCTION("""COMPUTED_VALUE"""),35.0)</f>
        <v>35</v>
      </c>
      <c r="K1883" s="139">
        <f>IFERROR(__xludf.DUMMYFUNCTION("""COMPUTED_VALUE"""),50.0)</f>
        <v>50</v>
      </c>
      <c r="L1883" s="139"/>
      <c r="M1883" s="139"/>
      <c r="N1883" s="139"/>
    </row>
    <row r="1884">
      <c r="A1884" s="139" t="str">
        <f>IFERROR(__xludf.DUMMYFUNCTION("""COMPUTED_VALUE"""),"e")</f>
        <v>e</v>
      </c>
      <c r="B1884" s="139">
        <f>IFERROR(__xludf.DUMMYFUNCTION("""COMPUTED_VALUE"""),2.0250901E8)</f>
        <v>202509010</v>
      </c>
      <c r="C1884" s="139" t="str">
        <f>IFERROR(__xludf.DUMMYFUNCTION("""COMPUTED_VALUE"""),"e_dan_00101_general_vh_Normal_Blue_Normal_00000")</f>
        <v>e_dan_00101_general_vh_Normal_Blue_Normal_00000</v>
      </c>
      <c r="D1884" s="139" t="str">
        <f>IFERROR(__xludf.DUMMYFUNCTION("""COMPUTED_VALUE"""),"e_dan_00101_general_vh_Normal_Blue")</f>
        <v>e_dan_00101_general_vh_Normal_Blue</v>
      </c>
      <c r="E1884" s="139">
        <f>IFERROR(__xludf.DUMMYFUNCTION("""COMPUTED_VALUE"""),0.0)</f>
        <v>0</v>
      </c>
      <c r="F1884" s="139" t="str">
        <f>IFERROR(__xludf.DUMMYFUNCTION("""COMPUTED_VALUE"""),"Normal")</f>
        <v>Normal</v>
      </c>
      <c r="G1884" s="139"/>
      <c r="H1884" s="139"/>
      <c r="I1884" s="139">
        <f>IFERROR(__xludf.DUMMYFUNCTION("""COMPUTED_VALUE"""),70.0)</f>
        <v>70</v>
      </c>
      <c r="J1884" s="139">
        <f>IFERROR(__xludf.DUMMYFUNCTION("""COMPUTED_VALUE"""),35.0)</f>
        <v>35</v>
      </c>
      <c r="K1884" s="139">
        <f>IFERROR(__xludf.DUMMYFUNCTION("""COMPUTED_VALUE"""),50.0)</f>
        <v>50</v>
      </c>
      <c r="L1884" s="139"/>
      <c r="M1884" s="139"/>
      <c r="N1884" s="139"/>
    </row>
    <row r="1885">
      <c r="A1885" s="139" t="str">
        <f>IFERROR(__xludf.DUMMYFUNCTION("""COMPUTED_VALUE"""),"e")</f>
        <v>e</v>
      </c>
      <c r="B1885" s="139">
        <f>IFERROR(__xludf.DUMMYFUNCTION("""COMPUTED_VALUE"""),2.0250901E8)</f>
        <v>202509010</v>
      </c>
      <c r="C1885" s="139" t="str">
        <f>IFERROR(__xludf.DUMMYFUNCTION("""COMPUTED_VALUE"""),"e_dan_00101_general_vh_Normal_Green_Normal_00000")</f>
        <v>e_dan_00101_general_vh_Normal_Green_Normal_00000</v>
      </c>
      <c r="D1885" s="139" t="str">
        <f>IFERROR(__xludf.DUMMYFUNCTION("""COMPUTED_VALUE"""),"e_dan_00101_general_vh_Normal_Green")</f>
        <v>e_dan_00101_general_vh_Normal_Green</v>
      </c>
      <c r="E1885" s="139">
        <f>IFERROR(__xludf.DUMMYFUNCTION("""COMPUTED_VALUE"""),0.0)</f>
        <v>0</v>
      </c>
      <c r="F1885" s="139" t="str">
        <f>IFERROR(__xludf.DUMMYFUNCTION("""COMPUTED_VALUE"""),"Normal")</f>
        <v>Normal</v>
      </c>
      <c r="G1885" s="139"/>
      <c r="H1885" s="139"/>
      <c r="I1885" s="139">
        <f>IFERROR(__xludf.DUMMYFUNCTION("""COMPUTED_VALUE"""),70.0)</f>
        <v>70</v>
      </c>
      <c r="J1885" s="139">
        <f>IFERROR(__xludf.DUMMYFUNCTION("""COMPUTED_VALUE"""),35.0)</f>
        <v>35</v>
      </c>
      <c r="K1885" s="139">
        <f>IFERROR(__xludf.DUMMYFUNCTION("""COMPUTED_VALUE"""),50.0)</f>
        <v>50</v>
      </c>
      <c r="L1885" s="139"/>
      <c r="M1885" s="139"/>
      <c r="N1885" s="139"/>
    </row>
    <row r="1886">
      <c r="A1886" s="139" t="str">
        <f>IFERROR(__xludf.DUMMYFUNCTION("""COMPUTED_VALUE"""),"e")</f>
        <v>e</v>
      </c>
      <c r="B1886" s="139">
        <f>IFERROR(__xludf.DUMMYFUNCTION("""COMPUTED_VALUE"""),2.0250901E8)</f>
        <v>202509010</v>
      </c>
      <c r="C1886" s="139" t="str">
        <f>IFERROR(__xludf.DUMMYFUNCTION("""COMPUTED_VALUE"""),"e_dan_00101_general_vh_Boss_Blue_Normal_00000")</f>
        <v>e_dan_00101_general_vh_Boss_Blue_Normal_00000</v>
      </c>
      <c r="D1886" s="139" t="str">
        <f>IFERROR(__xludf.DUMMYFUNCTION("""COMPUTED_VALUE"""),"e_dan_00101_general_vh_Boss_Blue")</f>
        <v>e_dan_00101_general_vh_Boss_Blue</v>
      </c>
      <c r="E1886" s="139">
        <f>IFERROR(__xludf.DUMMYFUNCTION("""COMPUTED_VALUE"""),0.0)</f>
        <v>0</v>
      </c>
      <c r="F1886" s="139" t="str">
        <f>IFERROR(__xludf.DUMMYFUNCTION("""COMPUTED_VALUE"""),"Normal")</f>
        <v>Normal</v>
      </c>
      <c r="G1886" s="139"/>
      <c r="H1886" s="139"/>
      <c r="I1886" s="139">
        <f>IFERROR(__xludf.DUMMYFUNCTION("""COMPUTED_VALUE"""),70.0)</f>
        <v>70</v>
      </c>
      <c r="J1886" s="139">
        <f>IFERROR(__xludf.DUMMYFUNCTION("""COMPUTED_VALUE"""),35.0)</f>
        <v>35</v>
      </c>
      <c r="K1886" s="139">
        <f>IFERROR(__xludf.DUMMYFUNCTION("""COMPUTED_VALUE"""),50.0)</f>
        <v>50</v>
      </c>
      <c r="L1886" s="139"/>
      <c r="M1886" s="139"/>
      <c r="N1886" s="139"/>
    </row>
    <row r="1887">
      <c r="A1887" s="139" t="str">
        <f>IFERROR(__xludf.DUMMYFUNCTION("""COMPUTED_VALUE"""),"e")</f>
        <v>e</v>
      </c>
      <c r="B1887" s="139">
        <f>IFERROR(__xludf.DUMMYFUNCTION("""COMPUTED_VALUE"""),2.0250901E8)</f>
        <v>202509010</v>
      </c>
      <c r="C1887" s="139" t="str">
        <f>IFERROR(__xludf.DUMMYFUNCTION("""COMPUTED_VALUE"""),"e_dan_00101_general_vh_Boss_Blue_Appearance_00001")</f>
        <v>e_dan_00101_general_vh_Boss_Blue_Appearance_00001</v>
      </c>
      <c r="D1887" s="139" t="str">
        <f>IFERROR(__xludf.DUMMYFUNCTION("""COMPUTED_VALUE"""),"e_dan_00101_general_vh_Boss_Blue")</f>
        <v>e_dan_00101_general_vh_Boss_Blue</v>
      </c>
      <c r="E1887" s="139">
        <f>IFERROR(__xludf.DUMMYFUNCTION("""COMPUTED_VALUE"""),0.0)</f>
        <v>0</v>
      </c>
      <c r="F1887" s="139" t="str">
        <f>IFERROR(__xludf.DUMMYFUNCTION("""COMPUTED_VALUE"""),"Appearance")</f>
        <v>Appearance</v>
      </c>
      <c r="G1887" s="139"/>
      <c r="H1887" s="139"/>
      <c r="I1887" s="139">
        <f>IFERROR(__xludf.DUMMYFUNCTION("""COMPUTED_VALUE"""),50.0)</f>
        <v>50</v>
      </c>
      <c r="J1887" s="139">
        <f>IFERROR(__xludf.DUMMYFUNCTION("""COMPUTED_VALUE"""),0.0)</f>
        <v>0</v>
      </c>
      <c r="K1887" s="139">
        <f>IFERROR(__xludf.DUMMYFUNCTION("""COMPUTED_VALUE"""),0.0)</f>
        <v>0</v>
      </c>
      <c r="L1887" s="139"/>
      <c r="M1887" s="139"/>
      <c r="N1887" s="139"/>
    </row>
    <row r="1888">
      <c r="A1888" s="139" t="str">
        <f>IFERROR(__xludf.DUMMYFUNCTION("""COMPUTED_VALUE"""),"e")</f>
        <v>e</v>
      </c>
      <c r="B1888" s="139">
        <f>IFERROR(__xludf.DUMMYFUNCTION("""COMPUTED_VALUE"""),2.0250901E8)</f>
        <v>202509010</v>
      </c>
      <c r="C1888" s="139" t="str">
        <f>IFERROR(__xludf.DUMMYFUNCTION("""COMPUTED_VALUE"""),"e_dan_00201_general_vn_Normal_Colorless_Normal_00000")</f>
        <v>e_dan_00201_general_vn_Normal_Colorless_Normal_00000</v>
      </c>
      <c r="D1888" s="139" t="str">
        <f>IFERROR(__xludf.DUMMYFUNCTION("""COMPUTED_VALUE"""),"e_dan_00201_general_vn_Normal_Colorless")</f>
        <v>e_dan_00201_general_vn_Normal_Colorless</v>
      </c>
      <c r="E1888" s="139">
        <f>IFERROR(__xludf.DUMMYFUNCTION("""COMPUTED_VALUE"""),0.0)</f>
        <v>0</v>
      </c>
      <c r="F1888" s="139" t="str">
        <f>IFERROR(__xludf.DUMMYFUNCTION("""COMPUTED_VALUE"""),"Normal")</f>
        <v>Normal</v>
      </c>
      <c r="G1888" s="139"/>
      <c r="H1888" s="139"/>
      <c r="I1888" s="139">
        <f>IFERROR(__xludf.DUMMYFUNCTION("""COMPUTED_VALUE"""),75.0)</f>
        <v>75</v>
      </c>
      <c r="J1888" s="139">
        <f>IFERROR(__xludf.DUMMYFUNCTION("""COMPUTED_VALUE"""),20.0)</f>
        <v>20</v>
      </c>
      <c r="K1888" s="139">
        <f>IFERROR(__xludf.DUMMYFUNCTION("""COMPUTED_VALUE"""),50.0)</f>
        <v>50</v>
      </c>
      <c r="L1888" s="139"/>
      <c r="M1888" s="139"/>
      <c r="N1888" s="139"/>
    </row>
    <row r="1889">
      <c r="A1889" s="139" t="str">
        <f>IFERROR(__xludf.DUMMYFUNCTION("""COMPUTED_VALUE"""),"e")</f>
        <v>e</v>
      </c>
      <c r="B1889" s="139">
        <f>IFERROR(__xludf.DUMMYFUNCTION("""COMPUTED_VALUE"""),2.0250901E8)</f>
        <v>202509010</v>
      </c>
      <c r="C1889" s="139" t="str">
        <f>IFERROR(__xludf.DUMMYFUNCTION("""COMPUTED_VALUE"""),"e_dan_00201_general_n_Boss_Colorless_Normal_00000")</f>
        <v>e_dan_00201_general_n_Boss_Colorless_Normal_00000</v>
      </c>
      <c r="D1889" s="139" t="str">
        <f>IFERROR(__xludf.DUMMYFUNCTION("""COMPUTED_VALUE"""),"e_dan_00201_general_n_Boss_Colorless")</f>
        <v>e_dan_00201_general_n_Boss_Colorless</v>
      </c>
      <c r="E1889" s="139">
        <f>IFERROR(__xludf.DUMMYFUNCTION("""COMPUTED_VALUE"""),0.0)</f>
        <v>0</v>
      </c>
      <c r="F1889" s="139" t="str">
        <f>IFERROR(__xludf.DUMMYFUNCTION("""COMPUTED_VALUE"""),"Normal")</f>
        <v>Normal</v>
      </c>
      <c r="G1889" s="139"/>
      <c r="H1889" s="139"/>
      <c r="I1889" s="139">
        <f>IFERROR(__xludf.DUMMYFUNCTION("""COMPUTED_VALUE"""),75.0)</f>
        <v>75</v>
      </c>
      <c r="J1889" s="139">
        <f>IFERROR(__xludf.DUMMYFUNCTION("""COMPUTED_VALUE"""),20.0)</f>
        <v>20</v>
      </c>
      <c r="K1889" s="139">
        <f>IFERROR(__xludf.DUMMYFUNCTION("""COMPUTED_VALUE"""),50.0)</f>
        <v>50</v>
      </c>
      <c r="L1889" s="139"/>
      <c r="M1889" s="139"/>
      <c r="N1889" s="139"/>
    </row>
    <row r="1890">
      <c r="A1890" s="139" t="str">
        <f>IFERROR(__xludf.DUMMYFUNCTION("""COMPUTED_VALUE"""),"e")</f>
        <v>e</v>
      </c>
      <c r="B1890" s="139">
        <f>IFERROR(__xludf.DUMMYFUNCTION("""COMPUTED_VALUE"""),2.0250901E8)</f>
        <v>202509010</v>
      </c>
      <c r="C1890" s="139" t="str">
        <f>IFERROR(__xludf.DUMMYFUNCTION("""COMPUTED_VALUE"""),"e_dan_00201_general_n_Boss_Colorless_Appearance_00001")</f>
        <v>e_dan_00201_general_n_Boss_Colorless_Appearance_00001</v>
      </c>
      <c r="D1890" s="139" t="str">
        <f>IFERROR(__xludf.DUMMYFUNCTION("""COMPUTED_VALUE"""),"e_dan_00201_general_n_Boss_Colorless")</f>
        <v>e_dan_00201_general_n_Boss_Colorless</v>
      </c>
      <c r="E1890" s="139">
        <f>IFERROR(__xludf.DUMMYFUNCTION("""COMPUTED_VALUE"""),0.0)</f>
        <v>0</v>
      </c>
      <c r="F1890" s="139" t="str">
        <f>IFERROR(__xludf.DUMMYFUNCTION("""COMPUTED_VALUE"""),"Appearance")</f>
        <v>Appearance</v>
      </c>
      <c r="G1890" s="139"/>
      <c r="H1890" s="139"/>
      <c r="I1890" s="139">
        <f>IFERROR(__xludf.DUMMYFUNCTION("""COMPUTED_VALUE"""),50.0)</f>
        <v>50</v>
      </c>
      <c r="J1890" s="139">
        <f>IFERROR(__xludf.DUMMYFUNCTION("""COMPUTED_VALUE"""),0.0)</f>
        <v>0</v>
      </c>
      <c r="K1890" s="139">
        <f>IFERROR(__xludf.DUMMYFUNCTION("""COMPUTED_VALUE"""),0.0)</f>
        <v>0</v>
      </c>
      <c r="L1890" s="139"/>
      <c r="M1890" s="139"/>
      <c r="N1890" s="139"/>
    </row>
    <row r="1891">
      <c r="A1891" s="139" t="str">
        <f>IFERROR(__xludf.DUMMYFUNCTION("""COMPUTED_VALUE"""),"e")</f>
        <v>e</v>
      </c>
      <c r="B1891" s="139">
        <f>IFERROR(__xludf.DUMMYFUNCTION("""COMPUTED_VALUE"""),2.0250901E8)</f>
        <v>202509010</v>
      </c>
      <c r="C1891" s="139" t="str">
        <f>IFERROR(__xludf.DUMMYFUNCTION("""COMPUTED_VALUE"""),"e_dan_00201_general_n_Boss_Red_Normal_00000")</f>
        <v>e_dan_00201_general_n_Boss_Red_Normal_00000</v>
      </c>
      <c r="D1891" s="139" t="str">
        <f>IFERROR(__xludf.DUMMYFUNCTION("""COMPUTED_VALUE"""),"e_dan_00201_general_n_Boss_Red")</f>
        <v>e_dan_00201_general_n_Boss_Red</v>
      </c>
      <c r="E1891" s="139">
        <f>IFERROR(__xludf.DUMMYFUNCTION("""COMPUTED_VALUE"""),0.0)</f>
        <v>0</v>
      </c>
      <c r="F1891" s="139" t="str">
        <f>IFERROR(__xludf.DUMMYFUNCTION("""COMPUTED_VALUE"""),"Normal")</f>
        <v>Normal</v>
      </c>
      <c r="G1891" s="139"/>
      <c r="H1891" s="139"/>
      <c r="I1891" s="139">
        <f>IFERROR(__xludf.DUMMYFUNCTION("""COMPUTED_VALUE"""),75.0)</f>
        <v>75</v>
      </c>
      <c r="J1891" s="139">
        <f>IFERROR(__xludf.DUMMYFUNCTION("""COMPUTED_VALUE"""),20.0)</f>
        <v>20</v>
      </c>
      <c r="K1891" s="139">
        <f>IFERROR(__xludf.DUMMYFUNCTION("""COMPUTED_VALUE"""),100.0)</f>
        <v>100</v>
      </c>
      <c r="L1891" s="139"/>
      <c r="M1891" s="139"/>
      <c r="N1891" s="139"/>
    </row>
    <row r="1892">
      <c r="A1892" s="139" t="str">
        <f>IFERROR(__xludf.DUMMYFUNCTION("""COMPUTED_VALUE"""),"e")</f>
        <v>e</v>
      </c>
      <c r="B1892" s="139">
        <f>IFERROR(__xludf.DUMMYFUNCTION("""COMPUTED_VALUE"""),2.0250901E8)</f>
        <v>202509010</v>
      </c>
      <c r="C1892" s="139" t="str">
        <f>IFERROR(__xludf.DUMMYFUNCTION("""COMPUTED_VALUE"""),"e_dan_00201_general_n_Boss_Red_Appearance_00001")</f>
        <v>e_dan_00201_general_n_Boss_Red_Appearance_00001</v>
      </c>
      <c r="D1892" s="139" t="str">
        <f>IFERROR(__xludf.DUMMYFUNCTION("""COMPUTED_VALUE"""),"e_dan_00201_general_n_Boss_Red")</f>
        <v>e_dan_00201_general_n_Boss_Red</v>
      </c>
      <c r="E1892" s="139">
        <f>IFERROR(__xludf.DUMMYFUNCTION("""COMPUTED_VALUE"""),0.0)</f>
        <v>0</v>
      </c>
      <c r="F1892" s="139" t="str">
        <f>IFERROR(__xludf.DUMMYFUNCTION("""COMPUTED_VALUE"""),"Appearance")</f>
        <v>Appearance</v>
      </c>
      <c r="G1892" s="139"/>
      <c r="H1892" s="139"/>
      <c r="I1892" s="139">
        <f>IFERROR(__xludf.DUMMYFUNCTION("""COMPUTED_VALUE"""),50.0)</f>
        <v>50</v>
      </c>
      <c r="J1892" s="139">
        <f>IFERROR(__xludf.DUMMYFUNCTION("""COMPUTED_VALUE"""),0.0)</f>
        <v>0</v>
      </c>
      <c r="K1892" s="139">
        <f>IFERROR(__xludf.DUMMYFUNCTION("""COMPUTED_VALUE"""),0.0)</f>
        <v>0</v>
      </c>
      <c r="L1892" s="139"/>
      <c r="M1892" s="139"/>
      <c r="N1892" s="139"/>
    </row>
    <row r="1893">
      <c r="A1893" s="139" t="str">
        <f>IFERROR(__xludf.DUMMYFUNCTION("""COMPUTED_VALUE"""),"e")</f>
        <v>e</v>
      </c>
      <c r="B1893" s="139">
        <f>IFERROR(__xludf.DUMMYFUNCTION("""COMPUTED_VALUE"""),2.0250901E8)</f>
        <v>202509010</v>
      </c>
      <c r="C1893" s="139" t="str">
        <f>IFERROR(__xludf.DUMMYFUNCTION("""COMPUTED_VALUE"""),"c_dan_00001_general_n_Normal_Red_Normal_00000")</f>
        <v>c_dan_00001_general_n_Normal_Red_Normal_00000</v>
      </c>
      <c r="D1893" s="139" t="str">
        <f>IFERROR(__xludf.DUMMYFUNCTION("""COMPUTED_VALUE"""),"c_dan_00001_general_n_Normal_Red")</f>
        <v>c_dan_00001_general_n_Normal_Red</v>
      </c>
      <c r="E1893" s="139">
        <f>IFERROR(__xludf.DUMMYFUNCTION("""COMPUTED_VALUE"""),0.0)</f>
        <v>0</v>
      </c>
      <c r="F1893" s="139" t="str">
        <f>IFERROR(__xludf.DUMMYFUNCTION("""COMPUTED_VALUE"""),"Normal")</f>
        <v>Normal</v>
      </c>
      <c r="G1893" s="139"/>
      <c r="H1893" s="139"/>
      <c r="I1893" s="139">
        <f>IFERROR(__xludf.DUMMYFUNCTION("""COMPUTED_VALUE"""),72.0)</f>
        <v>72</v>
      </c>
      <c r="J1893" s="139">
        <f>IFERROR(__xludf.DUMMYFUNCTION("""COMPUTED_VALUE"""),27.0)</f>
        <v>27</v>
      </c>
      <c r="K1893" s="139">
        <f>IFERROR(__xludf.DUMMYFUNCTION("""COMPUTED_VALUE"""),100.0)</f>
        <v>100</v>
      </c>
      <c r="L1893" s="139"/>
      <c r="M1893" s="139"/>
      <c r="N1893" s="139"/>
    </row>
    <row r="1894">
      <c r="A1894" s="139" t="str">
        <f>IFERROR(__xludf.DUMMYFUNCTION("""COMPUTED_VALUE"""),"e")</f>
        <v>e</v>
      </c>
      <c r="B1894" s="139">
        <f>IFERROR(__xludf.DUMMYFUNCTION("""COMPUTED_VALUE"""),2.0250901E8)</f>
        <v>202509010</v>
      </c>
      <c r="C1894" s="139" t="str">
        <f>IFERROR(__xludf.DUMMYFUNCTION("""COMPUTED_VALUE"""),"c_dan_00001_general_h_Normal_Red_Normal_00000")</f>
        <v>c_dan_00001_general_h_Normal_Red_Normal_00000</v>
      </c>
      <c r="D1894" s="139" t="str">
        <f>IFERROR(__xludf.DUMMYFUNCTION("""COMPUTED_VALUE"""),"c_dan_00001_general_h_Normal_Red")</f>
        <v>c_dan_00001_general_h_Normal_Red</v>
      </c>
      <c r="E1894" s="139">
        <f>IFERROR(__xludf.DUMMYFUNCTION("""COMPUTED_VALUE"""),0.0)</f>
        <v>0</v>
      </c>
      <c r="F1894" s="139" t="str">
        <f>IFERROR(__xludf.DUMMYFUNCTION("""COMPUTED_VALUE"""),"Normal")</f>
        <v>Normal</v>
      </c>
      <c r="G1894" s="139"/>
      <c r="H1894" s="139"/>
      <c r="I1894" s="139">
        <f>IFERROR(__xludf.DUMMYFUNCTION("""COMPUTED_VALUE"""),72.0)</f>
        <v>72</v>
      </c>
      <c r="J1894" s="139">
        <f>IFERROR(__xludf.DUMMYFUNCTION("""COMPUTED_VALUE"""),27.0)</f>
        <v>27</v>
      </c>
      <c r="K1894" s="139">
        <f>IFERROR(__xludf.DUMMYFUNCTION("""COMPUTED_VALUE"""),100.0)</f>
        <v>100</v>
      </c>
      <c r="L1894" s="139"/>
      <c r="M1894" s="139"/>
      <c r="N1894" s="139"/>
    </row>
    <row r="1895">
      <c r="A1895" s="139" t="str">
        <f>IFERROR(__xludf.DUMMYFUNCTION("""COMPUTED_VALUE"""),"e")</f>
        <v>e</v>
      </c>
      <c r="B1895" s="139">
        <f>IFERROR(__xludf.DUMMYFUNCTION("""COMPUTED_VALUE"""),2.0250901E8)</f>
        <v>202509010</v>
      </c>
      <c r="C1895" s="139" t="str">
        <f>IFERROR(__xludf.DUMMYFUNCTION("""COMPUTED_VALUE"""),"c_dan_00001_general_h_Boss_Colorless_Normal_00000")</f>
        <v>c_dan_00001_general_h_Boss_Colorless_Normal_00000</v>
      </c>
      <c r="D1895" s="139" t="str">
        <f>IFERROR(__xludf.DUMMYFUNCTION("""COMPUTED_VALUE"""),"c_dan_00001_general_h_Boss_Colorless")</f>
        <v>c_dan_00001_general_h_Boss_Colorless</v>
      </c>
      <c r="E1895" s="139">
        <f>IFERROR(__xludf.DUMMYFUNCTION("""COMPUTED_VALUE"""),0.0)</f>
        <v>0</v>
      </c>
      <c r="F1895" s="139" t="str">
        <f>IFERROR(__xludf.DUMMYFUNCTION("""COMPUTED_VALUE"""),"Normal")</f>
        <v>Normal</v>
      </c>
      <c r="G1895" s="139"/>
      <c r="H1895" s="139"/>
      <c r="I1895" s="139">
        <f>IFERROR(__xludf.DUMMYFUNCTION("""COMPUTED_VALUE"""),72.0)</f>
        <v>72</v>
      </c>
      <c r="J1895" s="139">
        <f>IFERROR(__xludf.DUMMYFUNCTION("""COMPUTED_VALUE"""),27.0)</f>
        <v>27</v>
      </c>
      <c r="K1895" s="139">
        <f>IFERROR(__xludf.DUMMYFUNCTION("""COMPUTED_VALUE"""),100.0)</f>
        <v>100</v>
      </c>
      <c r="L1895" s="139"/>
      <c r="M1895" s="139"/>
      <c r="N1895" s="139"/>
    </row>
    <row r="1896">
      <c r="A1896" s="139" t="str">
        <f>IFERROR(__xludf.DUMMYFUNCTION("""COMPUTED_VALUE"""),"e")</f>
        <v>e</v>
      </c>
      <c r="B1896" s="139">
        <f>IFERROR(__xludf.DUMMYFUNCTION("""COMPUTED_VALUE"""),2.0250901E8)</f>
        <v>202509010</v>
      </c>
      <c r="C1896" s="139" t="str">
        <f>IFERROR(__xludf.DUMMYFUNCTION("""COMPUTED_VALUE"""),"c_dan_00001_general_h_Boss_Colorless_Appearance_00001")</f>
        <v>c_dan_00001_general_h_Boss_Colorless_Appearance_00001</v>
      </c>
      <c r="D1896" s="139" t="str">
        <f>IFERROR(__xludf.DUMMYFUNCTION("""COMPUTED_VALUE"""),"c_dan_00001_general_h_Boss_Colorless")</f>
        <v>c_dan_00001_general_h_Boss_Colorless</v>
      </c>
      <c r="E1896" s="139">
        <f>IFERROR(__xludf.DUMMYFUNCTION("""COMPUTED_VALUE"""),0.0)</f>
        <v>0</v>
      </c>
      <c r="F1896" s="139" t="str">
        <f>IFERROR(__xludf.DUMMYFUNCTION("""COMPUTED_VALUE"""),"Appearance")</f>
        <v>Appearance</v>
      </c>
      <c r="G1896" s="139"/>
      <c r="H1896" s="139"/>
      <c r="I1896" s="139">
        <f>IFERROR(__xludf.DUMMYFUNCTION("""COMPUTED_VALUE"""),50.0)</f>
        <v>50</v>
      </c>
      <c r="J1896" s="139">
        <f>IFERROR(__xludf.DUMMYFUNCTION("""COMPUTED_VALUE"""),0.0)</f>
        <v>0</v>
      </c>
      <c r="K1896" s="139">
        <f>IFERROR(__xludf.DUMMYFUNCTION("""COMPUTED_VALUE"""),0.0)</f>
        <v>0</v>
      </c>
      <c r="L1896" s="139"/>
      <c r="M1896" s="139"/>
      <c r="N1896" s="139"/>
    </row>
    <row r="1897">
      <c r="A1897" s="139" t="str">
        <f>IFERROR(__xludf.DUMMYFUNCTION("""COMPUTED_VALUE"""),"e")</f>
        <v>e</v>
      </c>
      <c r="B1897" s="139">
        <f>IFERROR(__xludf.DUMMYFUNCTION("""COMPUTED_VALUE"""),2.0250901E8)</f>
        <v>202509010</v>
      </c>
      <c r="C1897" s="139" t="str">
        <f>IFERROR(__xludf.DUMMYFUNCTION("""COMPUTED_VALUE"""),"c_dan_00001_general_h_Boss_Colorless_Special_00002")</f>
        <v>c_dan_00001_general_h_Boss_Colorless_Special_00002</v>
      </c>
      <c r="D1897" s="139" t="str">
        <f>IFERROR(__xludf.DUMMYFUNCTION("""COMPUTED_VALUE"""),"c_dan_00001_general_h_Boss_Colorless")</f>
        <v>c_dan_00001_general_h_Boss_Colorless</v>
      </c>
      <c r="E1897" s="139">
        <f>IFERROR(__xludf.DUMMYFUNCTION("""COMPUTED_VALUE"""),0.0)</f>
        <v>0</v>
      </c>
      <c r="F1897" s="139" t="str">
        <f>IFERROR(__xludf.DUMMYFUNCTION("""COMPUTED_VALUE"""),"Special")</f>
        <v>Special</v>
      </c>
      <c r="G1897" s="139"/>
      <c r="H1897" s="139"/>
      <c r="I1897" s="139">
        <f>IFERROR(__xludf.DUMMYFUNCTION("""COMPUTED_VALUE"""),200.0)</f>
        <v>200</v>
      </c>
      <c r="J1897" s="139">
        <f>IFERROR(__xludf.DUMMYFUNCTION("""COMPUTED_VALUE"""),83.0)</f>
        <v>83</v>
      </c>
      <c r="K1897" s="139">
        <f>IFERROR(__xludf.DUMMYFUNCTION("""COMPUTED_VALUE"""),100.0)</f>
        <v>100</v>
      </c>
      <c r="L1897" s="139"/>
      <c r="M1897" s="139"/>
      <c r="N1897" s="139"/>
    </row>
    <row r="1898">
      <c r="A1898" s="139" t="str">
        <f>IFERROR(__xludf.DUMMYFUNCTION("""COMPUTED_VALUE"""),"e")</f>
        <v>e</v>
      </c>
      <c r="B1898" s="139">
        <f>IFERROR(__xludf.DUMMYFUNCTION("""COMPUTED_VALUE"""),2.0250901E8)</f>
        <v>202509010</v>
      </c>
      <c r="C1898" s="139" t="str">
        <f>IFERROR(__xludf.DUMMYFUNCTION("""COMPUTED_VALUE"""),"c_dan_00001_general_vh_Normal_Green_Normal_00000")</f>
        <v>c_dan_00001_general_vh_Normal_Green_Normal_00000</v>
      </c>
      <c r="D1898" s="139" t="str">
        <f>IFERROR(__xludf.DUMMYFUNCTION("""COMPUTED_VALUE"""),"c_dan_00001_general_vh_Normal_Green")</f>
        <v>c_dan_00001_general_vh_Normal_Green</v>
      </c>
      <c r="E1898" s="139">
        <f>IFERROR(__xludf.DUMMYFUNCTION("""COMPUTED_VALUE"""),0.0)</f>
        <v>0</v>
      </c>
      <c r="F1898" s="139" t="str">
        <f>IFERROR(__xludf.DUMMYFUNCTION("""COMPUTED_VALUE"""),"Normal")</f>
        <v>Normal</v>
      </c>
      <c r="G1898" s="139"/>
      <c r="H1898" s="139"/>
      <c r="I1898" s="139">
        <f>IFERROR(__xludf.DUMMYFUNCTION("""COMPUTED_VALUE"""),72.0)</f>
        <v>72</v>
      </c>
      <c r="J1898" s="139">
        <f>IFERROR(__xludf.DUMMYFUNCTION("""COMPUTED_VALUE"""),27.0)</f>
        <v>27</v>
      </c>
      <c r="K1898" s="139">
        <f>IFERROR(__xludf.DUMMYFUNCTION("""COMPUTED_VALUE"""),100.0)</f>
        <v>100</v>
      </c>
      <c r="L1898" s="139"/>
      <c r="M1898" s="139"/>
      <c r="N1898" s="139"/>
    </row>
    <row r="1899">
      <c r="A1899" s="139" t="str">
        <f>IFERROR(__xludf.DUMMYFUNCTION("""COMPUTED_VALUE"""),"e")</f>
        <v>e</v>
      </c>
      <c r="B1899" s="139">
        <f>IFERROR(__xludf.DUMMYFUNCTION("""COMPUTED_VALUE"""),2.0250901E8)</f>
        <v>202509010</v>
      </c>
      <c r="C1899" s="139" t="str">
        <f>IFERROR(__xludf.DUMMYFUNCTION("""COMPUTED_VALUE"""),"c_dan_00001_general_vh_Boss_Red_Normal_00000")</f>
        <v>c_dan_00001_general_vh_Boss_Red_Normal_00000</v>
      </c>
      <c r="D1899" s="139" t="str">
        <f>IFERROR(__xludf.DUMMYFUNCTION("""COMPUTED_VALUE"""),"c_dan_00001_general_vh_Boss_Red")</f>
        <v>c_dan_00001_general_vh_Boss_Red</v>
      </c>
      <c r="E1899" s="139">
        <f>IFERROR(__xludf.DUMMYFUNCTION("""COMPUTED_VALUE"""),0.0)</f>
        <v>0</v>
      </c>
      <c r="F1899" s="139" t="str">
        <f>IFERROR(__xludf.DUMMYFUNCTION("""COMPUTED_VALUE"""),"Normal")</f>
        <v>Normal</v>
      </c>
      <c r="G1899" s="139"/>
      <c r="H1899" s="139"/>
      <c r="I1899" s="139">
        <f>IFERROR(__xludf.DUMMYFUNCTION("""COMPUTED_VALUE"""),72.0)</f>
        <v>72</v>
      </c>
      <c r="J1899" s="139">
        <f>IFERROR(__xludf.DUMMYFUNCTION("""COMPUTED_VALUE"""),27.0)</f>
        <v>27</v>
      </c>
      <c r="K1899" s="139">
        <f>IFERROR(__xludf.DUMMYFUNCTION("""COMPUTED_VALUE"""),100.0)</f>
        <v>100</v>
      </c>
      <c r="L1899" s="139"/>
      <c r="M1899" s="139"/>
      <c r="N1899" s="139"/>
    </row>
    <row r="1900">
      <c r="A1900" s="139" t="str">
        <f>IFERROR(__xludf.DUMMYFUNCTION("""COMPUTED_VALUE"""),"e")</f>
        <v>e</v>
      </c>
      <c r="B1900" s="139">
        <f>IFERROR(__xludf.DUMMYFUNCTION("""COMPUTED_VALUE"""),2.0250901E8)</f>
        <v>202509010</v>
      </c>
      <c r="C1900" s="139" t="str">
        <f>IFERROR(__xludf.DUMMYFUNCTION("""COMPUTED_VALUE"""),"c_dan_00001_general_vh_Boss_Red_Appearance_00001")</f>
        <v>c_dan_00001_general_vh_Boss_Red_Appearance_00001</v>
      </c>
      <c r="D1900" s="139" t="str">
        <f>IFERROR(__xludf.DUMMYFUNCTION("""COMPUTED_VALUE"""),"c_dan_00001_general_vh_Boss_Red")</f>
        <v>c_dan_00001_general_vh_Boss_Red</v>
      </c>
      <c r="E1900" s="139">
        <f>IFERROR(__xludf.DUMMYFUNCTION("""COMPUTED_VALUE"""),0.0)</f>
        <v>0</v>
      </c>
      <c r="F1900" s="139" t="str">
        <f>IFERROR(__xludf.DUMMYFUNCTION("""COMPUTED_VALUE"""),"Appearance")</f>
        <v>Appearance</v>
      </c>
      <c r="G1900" s="139"/>
      <c r="H1900" s="139"/>
      <c r="I1900" s="139">
        <f>IFERROR(__xludf.DUMMYFUNCTION("""COMPUTED_VALUE"""),50.0)</f>
        <v>50</v>
      </c>
      <c r="J1900" s="139">
        <f>IFERROR(__xludf.DUMMYFUNCTION("""COMPUTED_VALUE"""),0.0)</f>
        <v>0</v>
      </c>
      <c r="K1900" s="139">
        <f>IFERROR(__xludf.DUMMYFUNCTION("""COMPUTED_VALUE"""),0.0)</f>
        <v>0</v>
      </c>
      <c r="L1900" s="139"/>
      <c r="M1900" s="139"/>
      <c r="N1900" s="139"/>
    </row>
    <row r="1901">
      <c r="A1901" s="139" t="str">
        <f>IFERROR(__xludf.DUMMYFUNCTION("""COMPUTED_VALUE"""),"e")</f>
        <v>e</v>
      </c>
      <c r="B1901" s="139">
        <f>IFERROR(__xludf.DUMMYFUNCTION("""COMPUTED_VALUE"""),2.0250901E8)</f>
        <v>202509010</v>
      </c>
      <c r="C1901" s="139" t="str">
        <f>IFERROR(__xludf.DUMMYFUNCTION("""COMPUTED_VALUE"""),"c_dan_00001_general_vh_Boss_Red_Special_00002")</f>
        <v>c_dan_00001_general_vh_Boss_Red_Special_00002</v>
      </c>
      <c r="D1901" s="139" t="str">
        <f>IFERROR(__xludf.DUMMYFUNCTION("""COMPUTED_VALUE"""),"c_dan_00001_general_vh_Boss_Red")</f>
        <v>c_dan_00001_general_vh_Boss_Red</v>
      </c>
      <c r="E1901" s="139">
        <f>IFERROR(__xludf.DUMMYFUNCTION("""COMPUTED_VALUE"""),0.0)</f>
        <v>0</v>
      </c>
      <c r="F1901" s="139" t="str">
        <f>IFERROR(__xludf.DUMMYFUNCTION("""COMPUTED_VALUE"""),"Special")</f>
        <v>Special</v>
      </c>
      <c r="G1901" s="139"/>
      <c r="H1901" s="139"/>
      <c r="I1901" s="139">
        <f>IFERROR(__xludf.DUMMYFUNCTION("""COMPUTED_VALUE"""),200.0)</f>
        <v>200</v>
      </c>
      <c r="J1901" s="139">
        <f>IFERROR(__xludf.DUMMYFUNCTION("""COMPUTED_VALUE"""),83.0)</f>
        <v>83</v>
      </c>
      <c r="K1901" s="139">
        <f>IFERROR(__xludf.DUMMYFUNCTION("""COMPUTED_VALUE"""),100.0)</f>
        <v>100</v>
      </c>
      <c r="L1901" s="139"/>
      <c r="M1901" s="139"/>
      <c r="N1901" s="139"/>
    </row>
    <row r="1902">
      <c r="A1902" s="139" t="str">
        <f>IFERROR(__xludf.DUMMYFUNCTION("""COMPUTED_VALUE"""),"e")</f>
        <v>e</v>
      </c>
      <c r="B1902" s="139">
        <f>IFERROR(__xludf.DUMMYFUNCTION("""COMPUTED_VALUE"""),2.0250901E8)</f>
        <v>202509010</v>
      </c>
      <c r="C1902" s="139" t="str">
        <f>IFERROR(__xludf.DUMMYFUNCTION("""COMPUTED_VALUE"""),"c_dan_00001_general_vh_Boss_Green_Normal_00000")</f>
        <v>c_dan_00001_general_vh_Boss_Green_Normal_00000</v>
      </c>
      <c r="D1902" s="139" t="str">
        <f>IFERROR(__xludf.DUMMYFUNCTION("""COMPUTED_VALUE"""),"c_dan_00001_general_vh_Boss_Green")</f>
        <v>c_dan_00001_general_vh_Boss_Green</v>
      </c>
      <c r="E1902" s="139">
        <f>IFERROR(__xludf.DUMMYFUNCTION("""COMPUTED_VALUE"""),0.0)</f>
        <v>0</v>
      </c>
      <c r="F1902" s="139" t="str">
        <f>IFERROR(__xludf.DUMMYFUNCTION("""COMPUTED_VALUE"""),"Normal")</f>
        <v>Normal</v>
      </c>
      <c r="G1902" s="139"/>
      <c r="H1902" s="139"/>
      <c r="I1902" s="139">
        <f>IFERROR(__xludf.DUMMYFUNCTION("""COMPUTED_VALUE"""),72.0)</f>
        <v>72</v>
      </c>
      <c r="J1902" s="139">
        <f>IFERROR(__xludf.DUMMYFUNCTION("""COMPUTED_VALUE"""),27.0)</f>
        <v>27</v>
      </c>
      <c r="K1902" s="139">
        <f>IFERROR(__xludf.DUMMYFUNCTION("""COMPUTED_VALUE"""),100.0)</f>
        <v>100</v>
      </c>
      <c r="L1902" s="139"/>
      <c r="M1902" s="139"/>
      <c r="N1902" s="139"/>
    </row>
    <row r="1903">
      <c r="A1903" s="139" t="str">
        <f>IFERROR(__xludf.DUMMYFUNCTION("""COMPUTED_VALUE"""),"e")</f>
        <v>e</v>
      </c>
      <c r="B1903" s="139">
        <f>IFERROR(__xludf.DUMMYFUNCTION("""COMPUTED_VALUE"""),2.0250901E8)</f>
        <v>202509010</v>
      </c>
      <c r="C1903" s="139" t="str">
        <f>IFERROR(__xludf.DUMMYFUNCTION("""COMPUTED_VALUE"""),"c_dan_00001_general_vh_Boss_Green_Appearance_00001")</f>
        <v>c_dan_00001_general_vh_Boss_Green_Appearance_00001</v>
      </c>
      <c r="D1903" s="139" t="str">
        <f>IFERROR(__xludf.DUMMYFUNCTION("""COMPUTED_VALUE"""),"c_dan_00001_general_vh_Boss_Green")</f>
        <v>c_dan_00001_general_vh_Boss_Green</v>
      </c>
      <c r="E1903" s="139">
        <f>IFERROR(__xludf.DUMMYFUNCTION("""COMPUTED_VALUE"""),0.0)</f>
        <v>0</v>
      </c>
      <c r="F1903" s="139" t="str">
        <f>IFERROR(__xludf.DUMMYFUNCTION("""COMPUTED_VALUE"""),"Appearance")</f>
        <v>Appearance</v>
      </c>
      <c r="G1903" s="139"/>
      <c r="H1903" s="139"/>
      <c r="I1903" s="139">
        <f>IFERROR(__xludf.DUMMYFUNCTION("""COMPUTED_VALUE"""),50.0)</f>
        <v>50</v>
      </c>
      <c r="J1903" s="139">
        <f>IFERROR(__xludf.DUMMYFUNCTION("""COMPUTED_VALUE"""),0.0)</f>
        <v>0</v>
      </c>
      <c r="K1903" s="139">
        <f>IFERROR(__xludf.DUMMYFUNCTION("""COMPUTED_VALUE"""),0.0)</f>
        <v>0</v>
      </c>
      <c r="L1903" s="139"/>
      <c r="M1903" s="139"/>
      <c r="N1903" s="139"/>
    </row>
    <row r="1904">
      <c r="A1904" s="139" t="str">
        <f>IFERROR(__xludf.DUMMYFUNCTION("""COMPUTED_VALUE"""),"e")</f>
        <v>e</v>
      </c>
      <c r="B1904" s="139">
        <f>IFERROR(__xludf.DUMMYFUNCTION("""COMPUTED_VALUE"""),2.0250901E8)</f>
        <v>202509010</v>
      </c>
      <c r="C1904" s="139" t="str">
        <f>IFERROR(__xludf.DUMMYFUNCTION("""COMPUTED_VALUE"""),"c_dan_00001_general_vh_Boss_Green_Special_00002")</f>
        <v>c_dan_00001_general_vh_Boss_Green_Special_00002</v>
      </c>
      <c r="D1904" s="139" t="str">
        <f>IFERROR(__xludf.DUMMYFUNCTION("""COMPUTED_VALUE"""),"c_dan_00001_general_vh_Boss_Green")</f>
        <v>c_dan_00001_general_vh_Boss_Green</v>
      </c>
      <c r="E1904" s="139">
        <f>IFERROR(__xludf.DUMMYFUNCTION("""COMPUTED_VALUE"""),0.0)</f>
        <v>0</v>
      </c>
      <c r="F1904" s="139" t="str">
        <f>IFERROR(__xludf.DUMMYFUNCTION("""COMPUTED_VALUE"""),"Special")</f>
        <v>Special</v>
      </c>
      <c r="G1904" s="139"/>
      <c r="H1904" s="139"/>
      <c r="I1904" s="139">
        <f>IFERROR(__xludf.DUMMYFUNCTION("""COMPUTED_VALUE"""),200.0)</f>
        <v>200</v>
      </c>
      <c r="J1904" s="139">
        <f>IFERROR(__xludf.DUMMYFUNCTION("""COMPUTED_VALUE"""),83.0)</f>
        <v>83</v>
      </c>
      <c r="K1904" s="139">
        <f>IFERROR(__xludf.DUMMYFUNCTION("""COMPUTED_VALUE"""),100.0)</f>
        <v>100</v>
      </c>
      <c r="L1904" s="139"/>
      <c r="M1904" s="139"/>
      <c r="N1904" s="139"/>
    </row>
    <row r="1905">
      <c r="A1905" s="139" t="str">
        <f>IFERROR(__xludf.DUMMYFUNCTION("""COMPUTED_VALUE"""),"e")</f>
        <v>e</v>
      </c>
      <c r="B1905" s="139">
        <f>IFERROR(__xludf.DUMMYFUNCTION("""COMPUTED_VALUE"""),2.0250901E8)</f>
        <v>202509010</v>
      </c>
      <c r="C1905" s="139" t="str">
        <f>IFERROR(__xludf.DUMMYFUNCTION("""COMPUTED_VALUE"""),"c_dan_00002_general_n_Boss_Red_Normal_00000")</f>
        <v>c_dan_00002_general_n_Boss_Red_Normal_00000</v>
      </c>
      <c r="D1905" s="139" t="str">
        <f>IFERROR(__xludf.DUMMYFUNCTION("""COMPUTED_VALUE"""),"c_dan_00002_general_n_Boss_Red")</f>
        <v>c_dan_00002_general_n_Boss_Red</v>
      </c>
      <c r="E1905" s="139">
        <f>IFERROR(__xludf.DUMMYFUNCTION("""COMPUTED_VALUE"""),0.0)</f>
        <v>0</v>
      </c>
      <c r="F1905" s="139" t="str">
        <f>IFERROR(__xludf.DUMMYFUNCTION("""COMPUTED_VALUE"""),"Normal")</f>
        <v>Normal</v>
      </c>
      <c r="G1905" s="139"/>
      <c r="H1905" s="139"/>
      <c r="I1905" s="139">
        <f>IFERROR(__xludf.DUMMYFUNCTION("""COMPUTED_VALUE"""),92.0)</f>
        <v>92</v>
      </c>
      <c r="J1905" s="139">
        <f>IFERROR(__xludf.DUMMYFUNCTION("""COMPUTED_VALUE"""),0.0)</f>
        <v>0</v>
      </c>
      <c r="K1905" s="139">
        <f>IFERROR(__xludf.DUMMYFUNCTION("""COMPUTED_VALUE"""),150.0)</f>
        <v>150</v>
      </c>
      <c r="L1905" s="139"/>
      <c r="M1905" s="139"/>
      <c r="N1905" s="139"/>
    </row>
    <row r="1906">
      <c r="A1906" s="139" t="str">
        <f>IFERROR(__xludf.DUMMYFUNCTION("""COMPUTED_VALUE"""),"e")</f>
        <v>e</v>
      </c>
      <c r="B1906" s="139">
        <f>IFERROR(__xludf.DUMMYFUNCTION("""COMPUTED_VALUE"""),2.0250901E8)</f>
        <v>202509010</v>
      </c>
      <c r="C1906" s="139" t="str">
        <f>IFERROR(__xludf.DUMMYFUNCTION("""COMPUTED_VALUE"""),"c_dan_00002_general_n_Boss_Red_Appearance_00001")</f>
        <v>c_dan_00002_general_n_Boss_Red_Appearance_00001</v>
      </c>
      <c r="D1906" s="139" t="str">
        <f>IFERROR(__xludf.DUMMYFUNCTION("""COMPUTED_VALUE"""),"c_dan_00002_general_n_Boss_Red")</f>
        <v>c_dan_00002_general_n_Boss_Red</v>
      </c>
      <c r="E1906" s="139">
        <f>IFERROR(__xludf.DUMMYFUNCTION("""COMPUTED_VALUE"""),0.0)</f>
        <v>0</v>
      </c>
      <c r="F1906" s="139" t="str">
        <f>IFERROR(__xludf.DUMMYFUNCTION("""COMPUTED_VALUE"""),"Appearance")</f>
        <v>Appearance</v>
      </c>
      <c r="G1906" s="139"/>
      <c r="H1906" s="139"/>
      <c r="I1906" s="139">
        <f>IFERROR(__xludf.DUMMYFUNCTION("""COMPUTED_VALUE"""),50.0)</f>
        <v>50</v>
      </c>
      <c r="J1906" s="139">
        <f>IFERROR(__xludf.DUMMYFUNCTION("""COMPUTED_VALUE"""),0.0)</f>
        <v>0</v>
      </c>
      <c r="K1906" s="139">
        <f>IFERROR(__xludf.DUMMYFUNCTION("""COMPUTED_VALUE"""),0.0)</f>
        <v>0</v>
      </c>
      <c r="L1906" s="139"/>
      <c r="M1906" s="139"/>
      <c r="N1906" s="139"/>
    </row>
    <row r="1907">
      <c r="A1907" s="139" t="str">
        <f>IFERROR(__xludf.DUMMYFUNCTION("""COMPUTED_VALUE"""),"e")</f>
        <v>e</v>
      </c>
      <c r="B1907" s="139">
        <f>IFERROR(__xludf.DUMMYFUNCTION("""COMPUTED_VALUE"""),2.0250901E8)</f>
        <v>202509010</v>
      </c>
      <c r="C1907" s="139" t="str">
        <f>IFERROR(__xludf.DUMMYFUNCTION("""COMPUTED_VALUE"""),"c_dan_00002_general_n_Boss_Red_Special_00002")</f>
        <v>c_dan_00002_general_n_Boss_Red_Special_00002</v>
      </c>
      <c r="D1907" s="139" t="str">
        <f>IFERROR(__xludf.DUMMYFUNCTION("""COMPUTED_VALUE"""),"c_dan_00002_general_n_Boss_Red")</f>
        <v>c_dan_00002_general_n_Boss_Red</v>
      </c>
      <c r="E1907" s="139">
        <f>IFERROR(__xludf.DUMMYFUNCTION("""COMPUTED_VALUE"""),0.0)</f>
        <v>0</v>
      </c>
      <c r="F1907" s="139" t="str">
        <f>IFERROR(__xludf.DUMMYFUNCTION("""COMPUTED_VALUE"""),"Special")</f>
        <v>Special</v>
      </c>
      <c r="G1907" s="139"/>
      <c r="H1907" s="139"/>
      <c r="I1907" s="139">
        <f>IFERROR(__xludf.DUMMYFUNCTION("""COMPUTED_VALUE"""),261.0)</f>
        <v>261</v>
      </c>
      <c r="J1907" s="139">
        <f>IFERROR(__xludf.DUMMYFUNCTION("""COMPUTED_VALUE"""),0.0)</f>
        <v>0</v>
      </c>
      <c r="K1907" s="139">
        <f>IFERROR(__xludf.DUMMYFUNCTION("""COMPUTED_VALUE"""),100.0)</f>
        <v>100</v>
      </c>
      <c r="L1907" s="139"/>
      <c r="M1907" s="139"/>
      <c r="N1907" s="139"/>
    </row>
    <row r="1908">
      <c r="A1908" s="139" t="str">
        <f>IFERROR(__xludf.DUMMYFUNCTION("""COMPUTED_VALUE"""),"e")</f>
        <v>e</v>
      </c>
      <c r="B1908" s="139">
        <f>IFERROR(__xludf.DUMMYFUNCTION("""COMPUTED_VALUE"""),2.0250901E8)</f>
        <v>202509010</v>
      </c>
      <c r="C1908" s="139" t="str">
        <f>IFERROR(__xludf.DUMMYFUNCTION("""COMPUTED_VALUE"""),"c_dan_00002_general_h_Boss_Red_Normal_00000")</f>
        <v>c_dan_00002_general_h_Boss_Red_Normal_00000</v>
      </c>
      <c r="D1908" s="139" t="str">
        <f>IFERROR(__xludf.DUMMYFUNCTION("""COMPUTED_VALUE"""),"c_dan_00002_general_h_Boss_Red")</f>
        <v>c_dan_00002_general_h_Boss_Red</v>
      </c>
      <c r="E1908" s="139">
        <f>IFERROR(__xludf.DUMMYFUNCTION("""COMPUTED_VALUE"""),0.0)</f>
        <v>0</v>
      </c>
      <c r="F1908" s="139" t="str">
        <f>IFERROR(__xludf.DUMMYFUNCTION("""COMPUTED_VALUE"""),"Normal")</f>
        <v>Normal</v>
      </c>
      <c r="G1908" s="139"/>
      <c r="H1908" s="139"/>
      <c r="I1908" s="139">
        <f>IFERROR(__xludf.DUMMYFUNCTION("""COMPUTED_VALUE"""),92.0)</f>
        <v>92</v>
      </c>
      <c r="J1908" s="139">
        <f>IFERROR(__xludf.DUMMYFUNCTION("""COMPUTED_VALUE"""),0.0)</f>
        <v>0</v>
      </c>
      <c r="K1908" s="139">
        <f>IFERROR(__xludf.DUMMYFUNCTION("""COMPUTED_VALUE"""),150.0)</f>
        <v>150</v>
      </c>
      <c r="L1908" s="139"/>
      <c r="M1908" s="139"/>
      <c r="N1908" s="139"/>
    </row>
    <row r="1909">
      <c r="A1909" s="139" t="str">
        <f>IFERROR(__xludf.DUMMYFUNCTION("""COMPUTED_VALUE"""),"e")</f>
        <v>e</v>
      </c>
      <c r="B1909" s="139">
        <f>IFERROR(__xludf.DUMMYFUNCTION("""COMPUTED_VALUE"""),2.0250901E8)</f>
        <v>202509010</v>
      </c>
      <c r="C1909" s="139" t="str">
        <f>IFERROR(__xludf.DUMMYFUNCTION("""COMPUTED_VALUE"""),"c_dan_00002_general_h_Boss_Red_Appearance_00001")</f>
        <v>c_dan_00002_general_h_Boss_Red_Appearance_00001</v>
      </c>
      <c r="D1909" s="139" t="str">
        <f>IFERROR(__xludf.DUMMYFUNCTION("""COMPUTED_VALUE"""),"c_dan_00002_general_h_Boss_Red")</f>
        <v>c_dan_00002_general_h_Boss_Red</v>
      </c>
      <c r="E1909" s="139">
        <f>IFERROR(__xludf.DUMMYFUNCTION("""COMPUTED_VALUE"""),0.0)</f>
        <v>0</v>
      </c>
      <c r="F1909" s="139" t="str">
        <f>IFERROR(__xludf.DUMMYFUNCTION("""COMPUTED_VALUE"""),"Appearance")</f>
        <v>Appearance</v>
      </c>
      <c r="G1909" s="139"/>
      <c r="H1909" s="139"/>
      <c r="I1909" s="139">
        <f>IFERROR(__xludf.DUMMYFUNCTION("""COMPUTED_VALUE"""),50.0)</f>
        <v>50</v>
      </c>
      <c r="J1909" s="139">
        <f>IFERROR(__xludf.DUMMYFUNCTION("""COMPUTED_VALUE"""),0.0)</f>
        <v>0</v>
      </c>
      <c r="K1909" s="139">
        <f>IFERROR(__xludf.DUMMYFUNCTION("""COMPUTED_VALUE"""),0.0)</f>
        <v>0</v>
      </c>
      <c r="L1909" s="139"/>
      <c r="M1909" s="139"/>
      <c r="N1909" s="139"/>
    </row>
    <row r="1910">
      <c r="A1910" s="139" t="str">
        <f>IFERROR(__xludf.DUMMYFUNCTION("""COMPUTED_VALUE"""),"e")</f>
        <v>e</v>
      </c>
      <c r="B1910" s="139">
        <f>IFERROR(__xludf.DUMMYFUNCTION("""COMPUTED_VALUE"""),2.0250901E8)</f>
        <v>202509010</v>
      </c>
      <c r="C1910" s="139" t="str">
        <f>IFERROR(__xludf.DUMMYFUNCTION("""COMPUTED_VALUE"""),"c_dan_00002_general_h_Boss_Red_Special_00002")</f>
        <v>c_dan_00002_general_h_Boss_Red_Special_00002</v>
      </c>
      <c r="D1910" s="139" t="str">
        <f>IFERROR(__xludf.DUMMYFUNCTION("""COMPUTED_VALUE"""),"c_dan_00002_general_h_Boss_Red")</f>
        <v>c_dan_00002_general_h_Boss_Red</v>
      </c>
      <c r="E1910" s="139">
        <f>IFERROR(__xludf.DUMMYFUNCTION("""COMPUTED_VALUE"""),0.0)</f>
        <v>0</v>
      </c>
      <c r="F1910" s="139" t="str">
        <f>IFERROR(__xludf.DUMMYFUNCTION("""COMPUTED_VALUE"""),"Special")</f>
        <v>Special</v>
      </c>
      <c r="G1910" s="139"/>
      <c r="H1910" s="139"/>
      <c r="I1910" s="139">
        <f>IFERROR(__xludf.DUMMYFUNCTION("""COMPUTED_VALUE"""),261.0)</f>
        <v>261</v>
      </c>
      <c r="J1910" s="139">
        <f>IFERROR(__xludf.DUMMYFUNCTION("""COMPUTED_VALUE"""),0.0)</f>
        <v>0</v>
      </c>
      <c r="K1910" s="139">
        <f>IFERROR(__xludf.DUMMYFUNCTION("""COMPUTED_VALUE"""),100.0)</f>
        <v>100</v>
      </c>
      <c r="L1910" s="139"/>
      <c r="M1910" s="139"/>
      <c r="N1910" s="139"/>
    </row>
    <row r="1911">
      <c r="A1911" s="139" t="str">
        <f>IFERROR(__xludf.DUMMYFUNCTION("""COMPUTED_VALUE"""),"e")</f>
        <v>e</v>
      </c>
      <c r="B1911" s="139">
        <f>IFERROR(__xludf.DUMMYFUNCTION("""COMPUTED_VALUE"""),2.0250901E8)</f>
        <v>202509010</v>
      </c>
      <c r="C1911" s="139" t="str">
        <f>IFERROR(__xludf.DUMMYFUNCTION("""COMPUTED_VALUE"""),"c_dan_00101_general_n_Boss_Red_Normal_00000")</f>
        <v>c_dan_00101_general_n_Boss_Red_Normal_00000</v>
      </c>
      <c r="D1911" s="139" t="str">
        <f>IFERROR(__xludf.DUMMYFUNCTION("""COMPUTED_VALUE"""),"c_dan_00101_general_n_Boss_Red")</f>
        <v>c_dan_00101_general_n_Boss_Red</v>
      </c>
      <c r="E1911" s="139">
        <f>IFERROR(__xludf.DUMMYFUNCTION("""COMPUTED_VALUE"""),0.0)</f>
        <v>0</v>
      </c>
      <c r="F1911" s="139" t="str">
        <f>IFERROR(__xludf.DUMMYFUNCTION("""COMPUTED_VALUE"""),"Normal")</f>
        <v>Normal</v>
      </c>
      <c r="G1911" s="139"/>
      <c r="H1911" s="139"/>
      <c r="I1911" s="139">
        <f>IFERROR(__xludf.DUMMYFUNCTION("""COMPUTED_VALUE"""),50.0)</f>
        <v>50</v>
      </c>
      <c r="J1911" s="139">
        <f>IFERROR(__xludf.DUMMYFUNCTION("""COMPUTED_VALUE"""),25.0)</f>
        <v>25</v>
      </c>
      <c r="K1911" s="139">
        <f>IFERROR(__xludf.DUMMYFUNCTION("""COMPUTED_VALUE"""),100.0)</f>
        <v>100</v>
      </c>
      <c r="L1911" s="139"/>
      <c r="M1911" s="139"/>
      <c r="N1911" s="139"/>
    </row>
    <row r="1912">
      <c r="A1912" s="139" t="str">
        <f>IFERROR(__xludf.DUMMYFUNCTION("""COMPUTED_VALUE"""),"e")</f>
        <v>e</v>
      </c>
      <c r="B1912" s="139">
        <f>IFERROR(__xludf.DUMMYFUNCTION("""COMPUTED_VALUE"""),2.0250901E8)</f>
        <v>202509010</v>
      </c>
      <c r="C1912" s="139" t="str">
        <f>IFERROR(__xludf.DUMMYFUNCTION("""COMPUTED_VALUE"""),"c_dan_00101_general_n_Boss_Red_Appearance_00001")</f>
        <v>c_dan_00101_general_n_Boss_Red_Appearance_00001</v>
      </c>
      <c r="D1912" s="139" t="str">
        <f>IFERROR(__xludf.DUMMYFUNCTION("""COMPUTED_VALUE"""),"c_dan_00101_general_n_Boss_Red")</f>
        <v>c_dan_00101_general_n_Boss_Red</v>
      </c>
      <c r="E1912" s="139">
        <f>IFERROR(__xludf.DUMMYFUNCTION("""COMPUTED_VALUE"""),0.0)</f>
        <v>0</v>
      </c>
      <c r="F1912" s="139" t="str">
        <f>IFERROR(__xludf.DUMMYFUNCTION("""COMPUTED_VALUE"""),"Appearance")</f>
        <v>Appearance</v>
      </c>
      <c r="G1912" s="139"/>
      <c r="H1912" s="139"/>
      <c r="I1912" s="139">
        <f>IFERROR(__xludf.DUMMYFUNCTION("""COMPUTED_VALUE"""),50.0)</f>
        <v>50</v>
      </c>
      <c r="J1912" s="139">
        <f>IFERROR(__xludf.DUMMYFUNCTION("""COMPUTED_VALUE"""),0.0)</f>
        <v>0</v>
      </c>
      <c r="K1912" s="139">
        <f>IFERROR(__xludf.DUMMYFUNCTION("""COMPUTED_VALUE"""),0.0)</f>
        <v>0</v>
      </c>
      <c r="L1912" s="139"/>
      <c r="M1912" s="139"/>
      <c r="N1912" s="139"/>
    </row>
    <row r="1913">
      <c r="A1913" s="139" t="str">
        <f>IFERROR(__xludf.DUMMYFUNCTION("""COMPUTED_VALUE"""),"e")</f>
        <v>e</v>
      </c>
      <c r="B1913" s="139">
        <f>IFERROR(__xludf.DUMMYFUNCTION("""COMPUTED_VALUE"""),2.0250901E8)</f>
        <v>202509010</v>
      </c>
      <c r="C1913" s="139" t="str">
        <f>IFERROR(__xludf.DUMMYFUNCTION("""COMPUTED_VALUE"""),"c_dan_00101_general_n_Boss_Red_Special_00002")</f>
        <v>c_dan_00101_general_n_Boss_Red_Special_00002</v>
      </c>
      <c r="D1913" s="139" t="str">
        <f>IFERROR(__xludf.DUMMYFUNCTION("""COMPUTED_VALUE"""),"c_dan_00101_general_n_Boss_Red")</f>
        <v>c_dan_00101_general_n_Boss_Red</v>
      </c>
      <c r="E1913" s="139">
        <f>IFERROR(__xludf.DUMMYFUNCTION("""COMPUTED_VALUE"""),0.0)</f>
        <v>0</v>
      </c>
      <c r="F1913" s="139" t="str">
        <f>IFERROR(__xludf.DUMMYFUNCTION("""COMPUTED_VALUE"""),"Special")</f>
        <v>Special</v>
      </c>
      <c r="G1913" s="139"/>
      <c r="H1913" s="139"/>
      <c r="I1913" s="139">
        <f>IFERROR(__xludf.DUMMYFUNCTION("""COMPUTED_VALUE"""),100.0)</f>
        <v>100</v>
      </c>
      <c r="J1913" s="139">
        <f>IFERROR(__xludf.DUMMYFUNCTION("""COMPUTED_VALUE"""),50.0)</f>
        <v>50</v>
      </c>
      <c r="K1913" s="139">
        <f>IFERROR(__xludf.DUMMYFUNCTION("""COMPUTED_VALUE"""),100.0)</f>
        <v>100</v>
      </c>
      <c r="L1913" s="139"/>
      <c r="M1913" s="139"/>
      <c r="N1913" s="139"/>
    </row>
    <row r="1914">
      <c r="A1914" s="139" t="str">
        <f>IFERROR(__xludf.DUMMYFUNCTION("""COMPUTED_VALUE"""),"e")</f>
        <v>e</v>
      </c>
      <c r="B1914" s="139">
        <f>IFERROR(__xludf.DUMMYFUNCTION("""COMPUTED_VALUE"""),2.0250901E8)</f>
        <v>202509010</v>
      </c>
      <c r="C1914" s="139" t="str">
        <f>IFERROR(__xludf.DUMMYFUNCTION("""COMPUTED_VALUE"""),"c_dan_00101_general_h_Boss_Red_Normal_00000")</f>
        <v>c_dan_00101_general_h_Boss_Red_Normal_00000</v>
      </c>
      <c r="D1914" s="139" t="str">
        <f>IFERROR(__xludf.DUMMYFUNCTION("""COMPUTED_VALUE"""),"c_dan_00101_general_h_Boss_Red")</f>
        <v>c_dan_00101_general_h_Boss_Red</v>
      </c>
      <c r="E1914" s="139">
        <f>IFERROR(__xludf.DUMMYFUNCTION("""COMPUTED_VALUE"""),0.0)</f>
        <v>0</v>
      </c>
      <c r="F1914" s="139" t="str">
        <f>IFERROR(__xludf.DUMMYFUNCTION("""COMPUTED_VALUE"""),"Normal")</f>
        <v>Normal</v>
      </c>
      <c r="G1914" s="139"/>
      <c r="H1914" s="139"/>
      <c r="I1914" s="139">
        <f>IFERROR(__xludf.DUMMYFUNCTION("""COMPUTED_VALUE"""),50.0)</f>
        <v>50</v>
      </c>
      <c r="J1914" s="139">
        <f>IFERROR(__xludf.DUMMYFUNCTION("""COMPUTED_VALUE"""),25.0)</f>
        <v>25</v>
      </c>
      <c r="K1914" s="139">
        <f>IFERROR(__xludf.DUMMYFUNCTION("""COMPUTED_VALUE"""),100.0)</f>
        <v>100</v>
      </c>
      <c r="L1914" s="139"/>
      <c r="M1914" s="139"/>
      <c r="N1914" s="139"/>
    </row>
    <row r="1915">
      <c r="A1915" s="139" t="str">
        <f>IFERROR(__xludf.DUMMYFUNCTION("""COMPUTED_VALUE"""),"e")</f>
        <v>e</v>
      </c>
      <c r="B1915" s="139">
        <f>IFERROR(__xludf.DUMMYFUNCTION("""COMPUTED_VALUE"""),2.0250901E8)</f>
        <v>202509010</v>
      </c>
      <c r="C1915" s="139" t="str">
        <f>IFERROR(__xludf.DUMMYFUNCTION("""COMPUTED_VALUE"""),"c_dan_00101_general_h_Boss_Red_Appearance_00001")</f>
        <v>c_dan_00101_general_h_Boss_Red_Appearance_00001</v>
      </c>
      <c r="D1915" s="139" t="str">
        <f>IFERROR(__xludf.DUMMYFUNCTION("""COMPUTED_VALUE"""),"c_dan_00101_general_h_Boss_Red")</f>
        <v>c_dan_00101_general_h_Boss_Red</v>
      </c>
      <c r="E1915" s="139">
        <f>IFERROR(__xludf.DUMMYFUNCTION("""COMPUTED_VALUE"""),0.0)</f>
        <v>0</v>
      </c>
      <c r="F1915" s="139" t="str">
        <f>IFERROR(__xludf.DUMMYFUNCTION("""COMPUTED_VALUE"""),"Appearance")</f>
        <v>Appearance</v>
      </c>
      <c r="G1915" s="139"/>
      <c r="H1915" s="139"/>
      <c r="I1915" s="139">
        <f>IFERROR(__xludf.DUMMYFUNCTION("""COMPUTED_VALUE"""),50.0)</f>
        <v>50</v>
      </c>
      <c r="J1915" s="139">
        <f>IFERROR(__xludf.DUMMYFUNCTION("""COMPUTED_VALUE"""),0.0)</f>
        <v>0</v>
      </c>
      <c r="K1915" s="139">
        <f>IFERROR(__xludf.DUMMYFUNCTION("""COMPUTED_VALUE"""),0.0)</f>
        <v>0</v>
      </c>
      <c r="L1915" s="139"/>
      <c r="M1915" s="139"/>
      <c r="N1915" s="139"/>
    </row>
    <row r="1916">
      <c r="A1916" s="139" t="str">
        <f>IFERROR(__xludf.DUMMYFUNCTION("""COMPUTED_VALUE"""),"e")</f>
        <v>e</v>
      </c>
      <c r="B1916" s="139">
        <f>IFERROR(__xludf.DUMMYFUNCTION("""COMPUTED_VALUE"""),2.0250901E8)</f>
        <v>202509010</v>
      </c>
      <c r="C1916" s="139" t="str">
        <f>IFERROR(__xludf.DUMMYFUNCTION("""COMPUTED_VALUE"""),"c_dan_00101_general_h_Boss_Red_Special_00002")</f>
        <v>c_dan_00101_general_h_Boss_Red_Special_00002</v>
      </c>
      <c r="D1916" s="139" t="str">
        <f>IFERROR(__xludf.DUMMYFUNCTION("""COMPUTED_VALUE"""),"c_dan_00101_general_h_Boss_Red")</f>
        <v>c_dan_00101_general_h_Boss_Red</v>
      </c>
      <c r="E1916" s="139">
        <f>IFERROR(__xludf.DUMMYFUNCTION("""COMPUTED_VALUE"""),0.0)</f>
        <v>0</v>
      </c>
      <c r="F1916" s="139" t="str">
        <f>IFERROR(__xludf.DUMMYFUNCTION("""COMPUTED_VALUE"""),"Special")</f>
        <v>Special</v>
      </c>
      <c r="G1916" s="139"/>
      <c r="H1916" s="139"/>
      <c r="I1916" s="139">
        <f>IFERROR(__xludf.DUMMYFUNCTION("""COMPUTED_VALUE"""),100.0)</f>
        <v>100</v>
      </c>
      <c r="J1916" s="139">
        <f>IFERROR(__xludf.DUMMYFUNCTION("""COMPUTED_VALUE"""),50.0)</f>
        <v>50</v>
      </c>
      <c r="K1916" s="139">
        <f>IFERROR(__xludf.DUMMYFUNCTION("""COMPUTED_VALUE"""),100.0)</f>
        <v>100</v>
      </c>
      <c r="L1916" s="139"/>
      <c r="M1916" s="139"/>
      <c r="N1916" s="139"/>
    </row>
    <row r="1917">
      <c r="A1917" s="139" t="str">
        <f>IFERROR(__xludf.DUMMYFUNCTION("""COMPUTED_VALUE"""),"e")</f>
        <v>e</v>
      </c>
      <c r="B1917" s="139">
        <f>IFERROR(__xludf.DUMMYFUNCTION("""COMPUTED_VALUE"""),2.0250901E8)</f>
        <v>202509010</v>
      </c>
      <c r="C1917" s="139" t="str">
        <f>IFERROR(__xludf.DUMMYFUNCTION("""COMPUTED_VALUE"""),"e_glo_00001_general_vh_Boss_Red_Normal_00000")</f>
        <v>e_glo_00001_general_vh_Boss_Red_Normal_00000</v>
      </c>
      <c r="D1917" s="139" t="str">
        <f>IFERROR(__xludf.DUMMYFUNCTION("""COMPUTED_VALUE"""),"e_glo_00001_general_vh_Boss_Red")</f>
        <v>e_glo_00001_general_vh_Boss_Red</v>
      </c>
      <c r="E1917" s="139">
        <f>IFERROR(__xludf.DUMMYFUNCTION("""COMPUTED_VALUE"""),0.0)</f>
        <v>0</v>
      </c>
      <c r="F1917" s="139" t="str">
        <f>IFERROR(__xludf.DUMMYFUNCTION("""COMPUTED_VALUE"""),"Normal")</f>
        <v>Normal</v>
      </c>
      <c r="G1917" s="139"/>
      <c r="H1917" s="139"/>
      <c r="I1917" s="139">
        <f>IFERROR(__xludf.DUMMYFUNCTION("""COMPUTED_VALUE"""),50.0)</f>
        <v>50</v>
      </c>
      <c r="J1917" s="139">
        <f>IFERROR(__xludf.DUMMYFUNCTION("""COMPUTED_VALUE"""),25.0)</f>
        <v>25</v>
      </c>
      <c r="K1917" s="139">
        <f>IFERROR(__xludf.DUMMYFUNCTION("""COMPUTED_VALUE"""),100.0)</f>
        <v>100</v>
      </c>
      <c r="L1917" s="139"/>
      <c r="M1917" s="139"/>
      <c r="N1917" s="139"/>
    </row>
    <row r="1918">
      <c r="A1918" s="139" t="str">
        <f>IFERROR(__xludf.DUMMYFUNCTION("""COMPUTED_VALUE"""),"e")</f>
        <v>e</v>
      </c>
      <c r="B1918" s="139">
        <f>IFERROR(__xludf.DUMMYFUNCTION("""COMPUTED_VALUE"""),2.0250901E8)</f>
        <v>202509010</v>
      </c>
      <c r="C1918" s="139" t="str">
        <f>IFERROR(__xludf.DUMMYFUNCTION("""COMPUTED_VALUE"""),"e_glo_00001_general_vh_Boss_Red_Appearance_00001")</f>
        <v>e_glo_00001_general_vh_Boss_Red_Appearance_00001</v>
      </c>
      <c r="D1918" s="139" t="str">
        <f>IFERROR(__xludf.DUMMYFUNCTION("""COMPUTED_VALUE"""),"e_glo_00001_general_vh_Boss_Red")</f>
        <v>e_glo_00001_general_vh_Boss_Red</v>
      </c>
      <c r="E1918" s="139">
        <f>IFERROR(__xludf.DUMMYFUNCTION("""COMPUTED_VALUE"""),0.0)</f>
        <v>0</v>
      </c>
      <c r="F1918" s="139" t="str">
        <f>IFERROR(__xludf.DUMMYFUNCTION("""COMPUTED_VALUE"""),"Appearance")</f>
        <v>Appearance</v>
      </c>
      <c r="G1918" s="139"/>
      <c r="H1918" s="139"/>
      <c r="I1918" s="139">
        <f>IFERROR(__xludf.DUMMYFUNCTION("""COMPUTED_VALUE"""),50.0)</f>
        <v>50</v>
      </c>
      <c r="J1918" s="139">
        <f>IFERROR(__xludf.DUMMYFUNCTION("""COMPUTED_VALUE"""),0.0)</f>
        <v>0</v>
      </c>
      <c r="K1918" s="139">
        <f>IFERROR(__xludf.DUMMYFUNCTION("""COMPUTED_VALUE"""),0.0)</f>
        <v>0</v>
      </c>
      <c r="L1918" s="139"/>
      <c r="M1918" s="139"/>
      <c r="N1918" s="139"/>
    </row>
    <row r="1919">
      <c r="A1919" s="139"/>
      <c r="B1919" s="139"/>
      <c r="C1919" s="139"/>
      <c r="D1919" s="139"/>
      <c r="E1919" s="139"/>
      <c r="F1919" s="139"/>
      <c r="G1919" s="139"/>
      <c r="H1919" s="139"/>
      <c r="I1919" s="139"/>
      <c r="J1919" s="139"/>
      <c r="K1919" s="139"/>
      <c r="L1919" s="139"/>
      <c r="M1919" s="139"/>
      <c r="N1919" s="139"/>
    </row>
    <row r="1920">
      <c r="A1920" s="139" t="str">
        <f>IFERROR(__xludf.DUMMYFUNCTION("""COMPUTED_VALUE"""),"e")</f>
        <v>e</v>
      </c>
      <c r="B1920" s="139">
        <f>IFERROR(__xludf.DUMMYFUNCTION("""COMPUTED_VALUE"""),2.0250901E8)</f>
        <v>202509010</v>
      </c>
      <c r="C1920" s="139" t="str">
        <f>IFERROR(__xludf.DUMMYFUNCTION("""COMPUTED_VALUE"""),"c_jig_00001_mainquest_Boss_Red_Normal_00000")</f>
        <v>c_jig_00001_mainquest_Boss_Red_Normal_00000</v>
      </c>
      <c r="D1920" s="139" t="str">
        <f>IFERROR(__xludf.DUMMYFUNCTION("""COMPUTED_VALUE"""),"c_jig_00001_mainquest_Boss_Red")</f>
        <v>c_jig_00001_mainquest_Boss_Red</v>
      </c>
      <c r="E1920" s="139">
        <f>IFERROR(__xludf.DUMMYFUNCTION("""COMPUTED_VALUE"""),0.0)</f>
        <v>0</v>
      </c>
      <c r="F1920" s="139" t="str">
        <f>IFERROR(__xludf.DUMMYFUNCTION("""COMPUTED_VALUE"""),"Normal")</f>
        <v>Normal</v>
      </c>
      <c r="G1920" s="139"/>
      <c r="H1920" s="139"/>
      <c r="I1920" s="139">
        <f>IFERROR(__xludf.DUMMYFUNCTION("""COMPUTED_VALUE"""),59.0)</f>
        <v>59</v>
      </c>
      <c r="J1920" s="139">
        <f>IFERROR(__xludf.DUMMYFUNCTION("""COMPUTED_VALUE"""),10.0)</f>
        <v>10</v>
      </c>
      <c r="K1920" s="139">
        <f>IFERROR(__xludf.DUMMYFUNCTION("""COMPUTED_VALUE"""),80.0)</f>
        <v>80</v>
      </c>
      <c r="L1920" s="139"/>
      <c r="M1920" s="139"/>
      <c r="N1920" s="139"/>
    </row>
    <row r="1921">
      <c r="A1921" s="139" t="str">
        <f>IFERROR(__xludf.DUMMYFUNCTION("""COMPUTED_VALUE"""),"e")</f>
        <v>e</v>
      </c>
      <c r="B1921" s="139">
        <f>IFERROR(__xludf.DUMMYFUNCTION("""COMPUTED_VALUE"""),2.0250901E8)</f>
        <v>202509010</v>
      </c>
      <c r="C1921" s="139" t="str">
        <f>IFERROR(__xludf.DUMMYFUNCTION("""COMPUTED_VALUE"""),"c_jig_00001_mainquest_Boss_Red_Special_00001")</f>
        <v>c_jig_00001_mainquest_Boss_Red_Special_00001</v>
      </c>
      <c r="D1921" s="139" t="str">
        <f>IFERROR(__xludf.DUMMYFUNCTION("""COMPUTED_VALUE"""),"c_jig_00001_mainquest_Boss_Red")</f>
        <v>c_jig_00001_mainquest_Boss_Red</v>
      </c>
      <c r="E1921" s="139">
        <f>IFERROR(__xludf.DUMMYFUNCTION("""COMPUTED_VALUE"""),0.0)</f>
        <v>0</v>
      </c>
      <c r="F1921" s="139" t="str">
        <f>IFERROR(__xludf.DUMMYFUNCTION("""COMPUTED_VALUE"""),"Special")</f>
        <v>Special</v>
      </c>
      <c r="G1921" s="139"/>
      <c r="H1921" s="139"/>
      <c r="I1921" s="139">
        <f>IFERROR(__xludf.DUMMYFUNCTION("""COMPUTED_VALUE"""),115.0)</f>
        <v>115</v>
      </c>
      <c r="J1921" s="139">
        <f>IFERROR(__xludf.DUMMYFUNCTION("""COMPUTED_VALUE"""),0.0)</f>
        <v>0</v>
      </c>
      <c r="K1921" s="139">
        <f>IFERROR(__xludf.DUMMYFUNCTION("""COMPUTED_VALUE"""),0.0)</f>
        <v>0</v>
      </c>
      <c r="L1921" s="139"/>
      <c r="M1921" s="139"/>
      <c r="N1921" s="139"/>
    </row>
    <row r="1922">
      <c r="A1922" s="139" t="str">
        <f>IFERROR(__xludf.DUMMYFUNCTION("""COMPUTED_VALUE"""),"e")</f>
        <v>e</v>
      </c>
      <c r="B1922" s="139">
        <f>IFERROR(__xludf.DUMMYFUNCTION("""COMPUTED_VALUE"""),2.0250901E8)</f>
        <v>202509010</v>
      </c>
      <c r="C1922" s="139" t="str">
        <f>IFERROR(__xludf.DUMMYFUNCTION("""COMPUTED_VALUE"""),"c_jig_00001_mainquest_Boss_Red_Appearance_00002")</f>
        <v>c_jig_00001_mainquest_Boss_Red_Appearance_00002</v>
      </c>
      <c r="D1922" s="139" t="str">
        <f>IFERROR(__xludf.DUMMYFUNCTION("""COMPUTED_VALUE"""),"c_jig_00001_mainquest_Boss_Red")</f>
        <v>c_jig_00001_mainquest_Boss_Red</v>
      </c>
      <c r="E1922" s="139">
        <f>IFERROR(__xludf.DUMMYFUNCTION("""COMPUTED_VALUE"""),0.0)</f>
        <v>0</v>
      </c>
      <c r="F1922" s="139" t="str">
        <f>IFERROR(__xludf.DUMMYFUNCTION("""COMPUTED_VALUE"""),"Appearance")</f>
        <v>Appearance</v>
      </c>
      <c r="G1922" s="139"/>
      <c r="H1922" s="139"/>
      <c r="I1922" s="139">
        <f>IFERROR(__xludf.DUMMYFUNCTION("""COMPUTED_VALUE"""),50.0)</f>
        <v>50</v>
      </c>
      <c r="J1922" s="139">
        <f>IFERROR(__xludf.DUMMYFUNCTION("""COMPUTED_VALUE"""),0.0)</f>
        <v>0</v>
      </c>
      <c r="K1922" s="139">
        <f>IFERROR(__xludf.DUMMYFUNCTION("""COMPUTED_VALUE"""),0.0)</f>
        <v>0</v>
      </c>
      <c r="L1922" s="139"/>
      <c r="M1922" s="139"/>
      <c r="N1922" s="139"/>
    </row>
    <row r="1923">
      <c r="A1923" s="139" t="str">
        <f>IFERROR(__xludf.DUMMYFUNCTION("""COMPUTED_VALUE"""),"e")</f>
        <v>e</v>
      </c>
      <c r="B1923" s="139">
        <f>IFERROR(__xludf.DUMMYFUNCTION("""COMPUTED_VALUE"""),2.0250901E8)</f>
        <v>202509010</v>
      </c>
      <c r="C1923" s="139" t="str">
        <f>IFERROR(__xludf.DUMMYFUNCTION("""COMPUTED_VALUE"""),"c_jig_00101_mainquest_Normal_Green_Normal_00000")</f>
        <v>c_jig_00101_mainquest_Normal_Green_Normal_00000</v>
      </c>
      <c r="D1923" s="139" t="str">
        <f>IFERROR(__xludf.DUMMYFUNCTION("""COMPUTED_VALUE"""),"c_jig_00101_mainquest_Normal_Green")</f>
        <v>c_jig_00101_mainquest_Normal_Green</v>
      </c>
      <c r="E1923" s="139">
        <f>IFERROR(__xludf.DUMMYFUNCTION("""COMPUTED_VALUE"""),0.0)</f>
        <v>0</v>
      </c>
      <c r="F1923" s="139" t="str">
        <f>IFERROR(__xludf.DUMMYFUNCTION("""COMPUTED_VALUE"""),"Normal")</f>
        <v>Normal</v>
      </c>
      <c r="G1923" s="139"/>
      <c r="H1923" s="139"/>
      <c r="I1923" s="139">
        <f>IFERROR(__xludf.DUMMYFUNCTION("""COMPUTED_VALUE"""),75.0)</f>
        <v>75</v>
      </c>
      <c r="J1923" s="139">
        <f>IFERROR(__xludf.DUMMYFUNCTION("""COMPUTED_VALUE"""),25.0)</f>
        <v>25</v>
      </c>
      <c r="K1923" s="139">
        <f>IFERROR(__xludf.DUMMYFUNCTION("""COMPUTED_VALUE"""),75.0)</f>
        <v>75</v>
      </c>
      <c r="L1923" s="139"/>
      <c r="M1923" s="139"/>
      <c r="N1923" s="139"/>
    </row>
    <row r="1924">
      <c r="A1924" s="139" t="str">
        <f>IFERROR(__xludf.DUMMYFUNCTION("""COMPUTED_VALUE"""),"e")</f>
        <v>e</v>
      </c>
      <c r="B1924" s="139">
        <f>IFERROR(__xludf.DUMMYFUNCTION("""COMPUTED_VALUE"""),2.0250901E8)</f>
        <v>202509010</v>
      </c>
      <c r="C1924" s="139" t="str">
        <f>IFERROR(__xludf.DUMMYFUNCTION("""COMPUTED_VALUE"""),"c_jig_00101_mainquest_Normal_Green_Special_00001")</f>
        <v>c_jig_00101_mainquest_Normal_Green_Special_00001</v>
      </c>
      <c r="D1924" s="139" t="str">
        <f>IFERROR(__xludf.DUMMYFUNCTION("""COMPUTED_VALUE"""),"c_jig_00101_mainquest_Normal_Green")</f>
        <v>c_jig_00101_mainquest_Normal_Green</v>
      </c>
      <c r="E1924" s="139">
        <f>IFERROR(__xludf.DUMMYFUNCTION("""COMPUTED_VALUE"""),0.0)</f>
        <v>0</v>
      </c>
      <c r="F1924" s="139" t="str">
        <f>IFERROR(__xludf.DUMMYFUNCTION("""COMPUTED_VALUE"""),"Special")</f>
        <v>Special</v>
      </c>
      <c r="G1924" s="139"/>
      <c r="H1924" s="139"/>
      <c r="I1924" s="139">
        <f>IFERROR(__xludf.DUMMYFUNCTION("""COMPUTED_VALUE"""),125.0)</f>
        <v>125</v>
      </c>
      <c r="J1924" s="139">
        <f>IFERROR(__xludf.DUMMYFUNCTION("""COMPUTED_VALUE"""),60.0)</f>
        <v>60</v>
      </c>
      <c r="K1924" s="139">
        <f>IFERROR(__xludf.DUMMYFUNCTION("""COMPUTED_VALUE"""),0.0)</f>
        <v>0</v>
      </c>
      <c r="L1924" s="139"/>
      <c r="M1924" s="139"/>
      <c r="N1924" s="139"/>
    </row>
    <row r="1925">
      <c r="A1925" s="139" t="str">
        <f>IFERROR(__xludf.DUMMYFUNCTION("""COMPUTED_VALUE"""),"e")</f>
        <v>e</v>
      </c>
      <c r="B1925" s="139">
        <f>IFERROR(__xludf.DUMMYFUNCTION("""COMPUTED_VALUE"""),2.0250901E8)</f>
        <v>202509010</v>
      </c>
      <c r="C1925" s="139" t="str">
        <f>IFERROR(__xludf.DUMMYFUNCTION("""COMPUTED_VALUE"""),"c_jig_00101_mainquest_Boss_Green_Normal_00000")</f>
        <v>c_jig_00101_mainquest_Boss_Green_Normal_00000</v>
      </c>
      <c r="D1925" s="139" t="str">
        <f>IFERROR(__xludf.DUMMYFUNCTION("""COMPUTED_VALUE"""),"c_jig_00101_mainquest_Boss_Green")</f>
        <v>c_jig_00101_mainquest_Boss_Green</v>
      </c>
      <c r="E1925" s="139">
        <f>IFERROR(__xludf.DUMMYFUNCTION("""COMPUTED_VALUE"""),0.0)</f>
        <v>0</v>
      </c>
      <c r="F1925" s="139" t="str">
        <f>IFERROR(__xludf.DUMMYFUNCTION("""COMPUTED_VALUE"""),"Normal")</f>
        <v>Normal</v>
      </c>
      <c r="G1925" s="139"/>
      <c r="H1925" s="139"/>
      <c r="I1925" s="139">
        <f>IFERROR(__xludf.DUMMYFUNCTION("""COMPUTED_VALUE"""),75.0)</f>
        <v>75</v>
      </c>
      <c r="J1925" s="139">
        <f>IFERROR(__xludf.DUMMYFUNCTION("""COMPUTED_VALUE"""),25.0)</f>
        <v>25</v>
      </c>
      <c r="K1925" s="139">
        <f>IFERROR(__xludf.DUMMYFUNCTION("""COMPUTED_VALUE"""),75.0)</f>
        <v>75</v>
      </c>
      <c r="L1925" s="139"/>
      <c r="M1925" s="139"/>
      <c r="N1925" s="139"/>
    </row>
    <row r="1926">
      <c r="A1926" s="139" t="str">
        <f>IFERROR(__xludf.DUMMYFUNCTION("""COMPUTED_VALUE"""),"e")</f>
        <v>e</v>
      </c>
      <c r="B1926" s="139">
        <f>IFERROR(__xludf.DUMMYFUNCTION("""COMPUTED_VALUE"""),2.0250901E8)</f>
        <v>202509010</v>
      </c>
      <c r="C1926" s="139" t="str">
        <f>IFERROR(__xludf.DUMMYFUNCTION("""COMPUTED_VALUE"""),"c_jig_00101_mainquest_Boss_Green_Special_00001")</f>
        <v>c_jig_00101_mainquest_Boss_Green_Special_00001</v>
      </c>
      <c r="D1926" s="139" t="str">
        <f>IFERROR(__xludf.DUMMYFUNCTION("""COMPUTED_VALUE"""),"c_jig_00101_mainquest_Boss_Green")</f>
        <v>c_jig_00101_mainquest_Boss_Green</v>
      </c>
      <c r="E1926" s="139">
        <f>IFERROR(__xludf.DUMMYFUNCTION("""COMPUTED_VALUE"""),0.0)</f>
        <v>0</v>
      </c>
      <c r="F1926" s="139" t="str">
        <f>IFERROR(__xludf.DUMMYFUNCTION("""COMPUTED_VALUE"""),"Special")</f>
        <v>Special</v>
      </c>
      <c r="G1926" s="139"/>
      <c r="H1926" s="139"/>
      <c r="I1926" s="139">
        <f>IFERROR(__xludf.DUMMYFUNCTION("""COMPUTED_VALUE"""),125.0)</f>
        <v>125</v>
      </c>
      <c r="J1926" s="139">
        <f>IFERROR(__xludf.DUMMYFUNCTION("""COMPUTED_VALUE"""),60.0)</f>
        <v>60</v>
      </c>
      <c r="K1926" s="139">
        <f>IFERROR(__xludf.DUMMYFUNCTION("""COMPUTED_VALUE"""),0.0)</f>
        <v>0</v>
      </c>
      <c r="L1926" s="139"/>
      <c r="M1926" s="139"/>
      <c r="N1926" s="139"/>
    </row>
    <row r="1927">
      <c r="A1927" s="139" t="str">
        <f>IFERROR(__xludf.DUMMYFUNCTION("""COMPUTED_VALUE"""),"e")</f>
        <v>e</v>
      </c>
      <c r="B1927" s="139">
        <f>IFERROR(__xludf.DUMMYFUNCTION("""COMPUTED_VALUE"""),2.0250901E8)</f>
        <v>202509010</v>
      </c>
      <c r="C1927" s="139" t="str">
        <f>IFERROR(__xludf.DUMMYFUNCTION("""COMPUTED_VALUE"""),"c_jig_00101_mainquest_Boss_Green_Appearance_00002")</f>
        <v>c_jig_00101_mainquest_Boss_Green_Appearance_00002</v>
      </c>
      <c r="D1927" s="139" t="str">
        <f>IFERROR(__xludf.DUMMYFUNCTION("""COMPUTED_VALUE"""),"c_jig_00101_mainquest_Boss_Green")</f>
        <v>c_jig_00101_mainquest_Boss_Green</v>
      </c>
      <c r="E1927" s="139">
        <f>IFERROR(__xludf.DUMMYFUNCTION("""COMPUTED_VALUE"""),0.0)</f>
        <v>0</v>
      </c>
      <c r="F1927" s="139" t="str">
        <f>IFERROR(__xludf.DUMMYFUNCTION("""COMPUTED_VALUE"""),"Appearance")</f>
        <v>Appearance</v>
      </c>
      <c r="G1927" s="139"/>
      <c r="H1927" s="139"/>
      <c r="I1927" s="139">
        <f>IFERROR(__xludf.DUMMYFUNCTION("""COMPUTED_VALUE"""),50.0)</f>
        <v>50</v>
      </c>
      <c r="J1927" s="139">
        <f>IFERROR(__xludf.DUMMYFUNCTION("""COMPUTED_VALUE"""),0.0)</f>
        <v>0</v>
      </c>
      <c r="K1927" s="139">
        <f>IFERROR(__xludf.DUMMYFUNCTION("""COMPUTED_VALUE"""),0.0)</f>
        <v>0</v>
      </c>
      <c r="L1927" s="139"/>
      <c r="M1927" s="139"/>
      <c r="N1927" s="139"/>
    </row>
    <row r="1928">
      <c r="A1928" s="139" t="str">
        <f>IFERROR(__xludf.DUMMYFUNCTION("""COMPUTED_VALUE"""),"e")</f>
        <v>e</v>
      </c>
      <c r="B1928" s="139">
        <f>IFERROR(__xludf.DUMMYFUNCTION("""COMPUTED_VALUE"""),2.0250901E8)</f>
        <v>202509010</v>
      </c>
      <c r="C1928" s="139" t="str">
        <f>IFERROR(__xludf.DUMMYFUNCTION("""COMPUTED_VALUE"""),"e_jig_00201_mainquest_Boss_Green_Normal_00000")</f>
        <v>e_jig_00201_mainquest_Boss_Green_Normal_00000</v>
      </c>
      <c r="D1928" s="139" t="str">
        <f>IFERROR(__xludf.DUMMYFUNCTION("""COMPUTED_VALUE"""),"e_jig_00201_mainquest_Boss_Green")</f>
        <v>e_jig_00201_mainquest_Boss_Green</v>
      </c>
      <c r="E1928" s="139">
        <f>IFERROR(__xludf.DUMMYFUNCTION("""COMPUTED_VALUE"""),0.0)</f>
        <v>0</v>
      </c>
      <c r="F1928" s="139" t="str">
        <f>IFERROR(__xludf.DUMMYFUNCTION("""COMPUTED_VALUE"""),"Normal")</f>
        <v>Normal</v>
      </c>
      <c r="G1928" s="139"/>
      <c r="H1928" s="139"/>
      <c r="I1928" s="139">
        <f>IFERROR(__xludf.DUMMYFUNCTION("""COMPUTED_VALUE"""),92.0)</f>
        <v>92</v>
      </c>
      <c r="J1928" s="139">
        <f>IFERROR(__xludf.DUMMYFUNCTION("""COMPUTED_VALUE"""),42.0)</f>
        <v>42</v>
      </c>
      <c r="K1928" s="139">
        <f>IFERROR(__xludf.DUMMYFUNCTION("""COMPUTED_VALUE"""),250.0)</f>
        <v>250</v>
      </c>
      <c r="L1928" s="139"/>
      <c r="M1928" s="139"/>
      <c r="N1928" s="139"/>
    </row>
    <row r="1929">
      <c r="A1929" s="139" t="str">
        <f>IFERROR(__xludf.DUMMYFUNCTION("""COMPUTED_VALUE"""),"e")</f>
        <v>e</v>
      </c>
      <c r="B1929" s="139">
        <f>IFERROR(__xludf.DUMMYFUNCTION("""COMPUTED_VALUE"""),2.0250901E8)</f>
        <v>202509010</v>
      </c>
      <c r="C1929" s="139" t="str">
        <f>IFERROR(__xludf.DUMMYFUNCTION("""COMPUTED_VALUE"""),"e_jig_00201_mainquest_Boss_Green_Appearance_00001")</f>
        <v>e_jig_00201_mainquest_Boss_Green_Appearance_00001</v>
      </c>
      <c r="D1929" s="139" t="str">
        <f>IFERROR(__xludf.DUMMYFUNCTION("""COMPUTED_VALUE"""),"e_jig_00201_mainquest_Boss_Green")</f>
        <v>e_jig_00201_mainquest_Boss_Green</v>
      </c>
      <c r="E1929" s="139">
        <f>IFERROR(__xludf.DUMMYFUNCTION("""COMPUTED_VALUE"""),0.0)</f>
        <v>0</v>
      </c>
      <c r="F1929" s="139" t="str">
        <f>IFERROR(__xludf.DUMMYFUNCTION("""COMPUTED_VALUE"""),"Appearance")</f>
        <v>Appearance</v>
      </c>
      <c r="G1929" s="139"/>
      <c r="H1929" s="139"/>
      <c r="I1929" s="139">
        <f>IFERROR(__xludf.DUMMYFUNCTION("""COMPUTED_VALUE"""),50.0)</f>
        <v>50</v>
      </c>
      <c r="J1929" s="139">
        <f>IFERROR(__xludf.DUMMYFUNCTION("""COMPUTED_VALUE"""),0.0)</f>
        <v>0</v>
      </c>
      <c r="K1929" s="139">
        <f>IFERROR(__xludf.DUMMYFUNCTION("""COMPUTED_VALUE"""),0.0)</f>
        <v>0</v>
      </c>
      <c r="L1929" s="139"/>
      <c r="M1929" s="139"/>
      <c r="N1929" s="139"/>
    </row>
    <row r="1930">
      <c r="A1930" s="139" t="str">
        <f>IFERROR(__xludf.DUMMYFUNCTION("""COMPUTED_VALUE"""),"e")</f>
        <v>e</v>
      </c>
      <c r="B1930" s="139">
        <f>IFERROR(__xludf.DUMMYFUNCTION("""COMPUTED_VALUE"""),2.0250901E8)</f>
        <v>202509010</v>
      </c>
      <c r="C1930" s="139" t="str">
        <f>IFERROR(__xludf.DUMMYFUNCTION("""COMPUTED_VALUE"""),"e_jig_00201_mainquest2_Boss_Green_Normal_00000")</f>
        <v>e_jig_00201_mainquest2_Boss_Green_Normal_00000</v>
      </c>
      <c r="D1930" s="139" t="str">
        <f>IFERROR(__xludf.DUMMYFUNCTION("""COMPUTED_VALUE"""),"e_jig_00201_mainquest2_Boss_Green")</f>
        <v>e_jig_00201_mainquest2_Boss_Green</v>
      </c>
      <c r="E1930" s="139">
        <f>IFERROR(__xludf.DUMMYFUNCTION("""COMPUTED_VALUE"""),0.0)</f>
        <v>0</v>
      </c>
      <c r="F1930" s="139" t="str">
        <f>IFERROR(__xludf.DUMMYFUNCTION("""COMPUTED_VALUE"""),"Normal")</f>
        <v>Normal</v>
      </c>
      <c r="G1930" s="139"/>
      <c r="H1930" s="139"/>
      <c r="I1930" s="139">
        <f>IFERROR(__xludf.DUMMYFUNCTION("""COMPUTED_VALUE"""),92.0)</f>
        <v>92</v>
      </c>
      <c r="J1930" s="139">
        <f>IFERROR(__xludf.DUMMYFUNCTION("""COMPUTED_VALUE"""),42.0)</f>
        <v>42</v>
      </c>
      <c r="K1930" s="139">
        <f>IFERROR(__xludf.DUMMYFUNCTION("""COMPUTED_VALUE"""),250.0)</f>
        <v>250</v>
      </c>
      <c r="L1930" s="139"/>
      <c r="M1930" s="139"/>
      <c r="N1930" s="139"/>
    </row>
    <row r="1931">
      <c r="A1931" s="139" t="str">
        <f>IFERROR(__xludf.DUMMYFUNCTION("""COMPUTED_VALUE"""),"e")</f>
        <v>e</v>
      </c>
      <c r="B1931" s="139">
        <f>IFERROR(__xludf.DUMMYFUNCTION("""COMPUTED_VALUE"""),2.0250901E8)</f>
        <v>202509010</v>
      </c>
      <c r="C1931" s="139" t="str">
        <f>IFERROR(__xludf.DUMMYFUNCTION("""COMPUTED_VALUE"""),"e_jig_00201_mainquest2_Boss_Green_Appearance_00001")</f>
        <v>e_jig_00201_mainquest2_Boss_Green_Appearance_00001</v>
      </c>
      <c r="D1931" s="139" t="str">
        <f>IFERROR(__xludf.DUMMYFUNCTION("""COMPUTED_VALUE"""),"e_jig_00201_mainquest2_Boss_Green")</f>
        <v>e_jig_00201_mainquest2_Boss_Green</v>
      </c>
      <c r="E1931" s="139">
        <f>IFERROR(__xludf.DUMMYFUNCTION("""COMPUTED_VALUE"""),0.0)</f>
        <v>0</v>
      </c>
      <c r="F1931" s="139" t="str">
        <f>IFERROR(__xludf.DUMMYFUNCTION("""COMPUTED_VALUE"""),"Appearance")</f>
        <v>Appearance</v>
      </c>
      <c r="G1931" s="139"/>
      <c r="H1931" s="139"/>
      <c r="I1931" s="139">
        <f>IFERROR(__xludf.DUMMYFUNCTION("""COMPUTED_VALUE"""),50.0)</f>
        <v>50</v>
      </c>
      <c r="J1931" s="139">
        <f>IFERROR(__xludf.DUMMYFUNCTION("""COMPUTED_VALUE"""),0.0)</f>
        <v>0</v>
      </c>
      <c r="K1931" s="139">
        <f>IFERROR(__xludf.DUMMYFUNCTION("""COMPUTED_VALUE"""),0.0)</f>
        <v>0</v>
      </c>
      <c r="L1931" s="139"/>
      <c r="M1931" s="139"/>
      <c r="N1931" s="139"/>
    </row>
    <row r="1932">
      <c r="A1932" s="139" t="str">
        <f>IFERROR(__xludf.DUMMYFUNCTION("""COMPUTED_VALUE"""),"e")</f>
        <v>e</v>
      </c>
      <c r="B1932" s="139">
        <f>IFERROR(__xludf.DUMMYFUNCTION("""COMPUTED_VALUE"""),2.0250901E8)</f>
        <v>202509010</v>
      </c>
      <c r="C1932" s="139" t="str">
        <f>IFERROR(__xludf.DUMMYFUNCTION("""COMPUTED_VALUE"""),"e_jig_00201_mainquest_Boss_Green_Normal_00002")</f>
        <v>e_jig_00201_mainquest_Boss_Green_Normal_00002</v>
      </c>
      <c r="D1932" s="139" t="str">
        <f>IFERROR(__xludf.DUMMYFUNCTION("""COMPUTED_VALUE"""),"e_jig_00201_mainquest_Boss_Green")</f>
        <v>e_jig_00201_mainquest_Boss_Green</v>
      </c>
      <c r="E1932" s="139">
        <f>IFERROR(__xludf.DUMMYFUNCTION("""COMPUTED_VALUE"""),0.0)</f>
        <v>0</v>
      </c>
      <c r="F1932" s="139" t="str">
        <f>IFERROR(__xludf.DUMMYFUNCTION("""COMPUTED_VALUE"""),"Normal")</f>
        <v>Normal</v>
      </c>
      <c r="G1932" s="139"/>
      <c r="H1932" s="139"/>
      <c r="I1932" s="139">
        <f>IFERROR(__xludf.DUMMYFUNCTION("""COMPUTED_VALUE"""),92.0)</f>
        <v>92</v>
      </c>
      <c r="J1932" s="139">
        <f>IFERROR(__xludf.DUMMYFUNCTION("""COMPUTED_VALUE"""),42.0)</f>
        <v>42</v>
      </c>
      <c r="K1932" s="139">
        <f>IFERROR(__xludf.DUMMYFUNCTION("""COMPUTED_VALUE"""),250.0)</f>
        <v>250</v>
      </c>
      <c r="L1932" s="139"/>
      <c r="M1932" s="139"/>
      <c r="N1932" s="139"/>
    </row>
    <row r="1933">
      <c r="A1933" s="139" t="str">
        <f>IFERROR(__xludf.DUMMYFUNCTION("""COMPUTED_VALUE"""),"e")</f>
        <v>e</v>
      </c>
      <c r="B1933" s="139">
        <f>IFERROR(__xludf.DUMMYFUNCTION("""COMPUTED_VALUE"""),2.0250901E8)</f>
        <v>202509010</v>
      </c>
      <c r="C1933" s="139" t="str">
        <f>IFERROR(__xludf.DUMMYFUNCTION("""COMPUTED_VALUE"""),"e_jig_00201_mainquest_Boss_Green_Appearance_00003")</f>
        <v>e_jig_00201_mainquest_Boss_Green_Appearance_00003</v>
      </c>
      <c r="D1933" s="139" t="str">
        <f>IFERROR(__xludf.DUMMYFUNCTION("""COMPUTED_VALUE"""),"e_jig_00201_mainquest_Boss_Green")</f>
        <v>e_jig_00201_mainquest_Boss_Green</v>
      </c>
      <c r="E1933" s="139">
        <f>IFERROR(__xludf.DUMMYFUNCTION("""COMPUTED_VALUE"""),0.0)</f>
        <v>0</v>
      </c>
      <c r="F1933" s="139" t="str">
        <f>IFERROR(__xludf.DUMMYFUNCTION("""COMPUTED_VALUE"""),"Appearance")</f>
        <v>Appearance</v>
      </c>
      <c r="G1933" s="139"/>
      <c r="H1933" s="139"/>
      <c r="I1933" s="139">
        <f>IFERROR(__xludf.DUMMYFUNCTION("""COMPUTED_VALUE"""),50.0)</f>
        <v>50</v>
      </c>
      <c r="J1933" s="139">
        <f>IFERROR(__xludf.DUMMYFUNCTION("""COMPUTED_VALUE"""),0.0)</f>
        <v>0</v>
      </c>
      <c r="K1933" s="139">
        <f>IFERROR(__xludf.DUMMYFUNCTION("""COMPUTED_VALUE"""),0.0)</f>
        <v>0</v>
      </c>
      <c r="L1933" s="139"/>
      <c r="M1933" s="139"/>
      <c r="N1933" s="139"/>
    </row>
    <row r="1934">
      <c r="A1934" s="139" t="str">
        <f>IFERROR(__xludf.DUMMYFUNCTION("""COMPUTED_VALUE"""),"e")</f>
        <v>e</v>
      </c>
      <c r="B1934" s="139">
        <f>IFERROR(__xludf.DUMMYFUNCTION("""COMPUTED_VALUE"""),2.0250901E8)</f>
        <v>202509010</v>
      </c>
      <c r="C1934" s="139" t="str">
        <f>IFERROR(__xludf.DUMMYFUNCTION("""COMPUTED_VALUE"""),"e_jig_00201_mainquest_Normal_Green_Normal_00000")</f>
        <v>e_jig_00201_mainquest_Normal_Green_Normal_00000</v>
      </c>
      <c r="D1934" s="139" t="str">
        <f>IFERROR(__xludf.DUMMYFUNCTION("""COMPUTED_VALUE"""),"e_jig_00201_mainquest_Normal_Green")</f>
        <v>e_jig_00201_mainquest_Normal_Green</v>
      </c>
      <c r="E1934" s="139">
        <f>IFERROR(__xludf.DUMMYFUNCTION("""COMPUTED_VALUE"""),0.0)</f>
        <v>0</v>
      </c>
      <c r="F1934" s="139" t="str">
        <f>IFERROR(__xludf.DUMMYFUNCTION("""COMPUTED_VALUE"""),"Normal")</f>
        <v>Normal</v>
      </c>
      <c r="G1934" s="139"/>
      <c r="H1934" s="139"/>
      <c r="I1934" s="139">
        <f>IFERROR(__xludf.DUMMYFUNCTION("""COMPUTED_VALUE"""),92.0)</f>
        <v>92</v>
      </c>
      <c r="J1934" s="139">
        <f>IFERROR(__xludf.DUMMYFUNCTION("""COMPUTED_VALUE"""),42.0)</f>
        <v>42</v>
      </c>
      <c r="K1934" s="139">
        <f>IFERROR(__xludf.DUMMYFUNCTION("""COMPUTED_VALUE"""),250.0)</f>
        <v>250</v>
      </c>
      <c r="L1934" s="139"/>
      <c r="M1934" s="139"/>
      <c r="N1934" s="139"/>
    </row>
    <row r="1935">
      <c r="A1935" s="139" t="str">
        <f>IFERROR(__xludf.DUMMYFUNCTION("""COMPUTED_VALUE"""),"e")</f>
        <v>e</v>
      </c>
      <c r="B1935" s="139">
        <f>IFERROR(__xludf.DUMMYFUNCTION("""COMPUTED_VALUE"""),2.0250901E8)</f>
        <v>202509010</v>
      </c>
      <c r="C1935" s="139" t="str">
        <f>IFERROR(__xludf.DUMMYFUNCTION("""COMPUTED_VALUE"""),"c_jig_00301_mainquest_Normal_Green_Normal_00000")</f>
        <v>c_jig_00301_mainquest_Normal_Green_Normal_00000</v>
      </c>
      <c r="D1935" s="139" t="str">
        <f>IFERROR(__xludf.DUMMYFUNCTION("""COMPUTED_VALUE"""),"c_jig_00301_mainquest_Normal_Green")</f>
        <v>c_jig_00301_mainquest_Normal_Green</v>
      </c>
      <c r="E1935" s="139">
        <f>IFERROR(__xludf.DUMMYFUNCTION("""COMPUTED_VALUE"""),0.0)</f>
        <v>0</v>
      </c>
      <c r="F1935" s="139" t="str">
        <f>IFERROR(__xludf.DUMMYFUNCTION("""COMPUTED_VALUE"""),"Normal")</f>
        <v>Normal</v>
      </c>
      <c r="G1935" s="139"/>
      <c r="H1935" s="139"/>
      <c r="I1935" s="139">
        <f>IFERROR(__xludf.DUMMYFUNCTION("""COMPUTED_VALUE"""),90.0)</f>
        <v>90</v>
      </c>
      <c r="J1935" s="139">
        <f>IFERROR(__xludf.DUMMYFUNCTION("""COMPUTED_VALUE"""),25.0)</f>
        <v>25</v>
      </c>
      <c r="K1935" s="139">
        <f>IFERROR(__xludf.DUMMYFUNCTION("""COMPUTED_VALUE"""),100.0)</f>
        <v>100</v>
      </c>
      <c r="L1935" s="139"/>
      <c r="M1935" s="139"/>
      <c r="N1935" s="139"/>
    </row>
    <row r="1936">
      <c r="A1936" s="139" t="str">
        <f>IFERROR(__xludf.DUMMYFUNCTION("""COMPUTED_VALUE"""),"e")</f>
        <v>e</v>
      </c>
      <c r="B1936" s="139">
        <f>IFERROR(__xludf.DUMMYFUNCTION("""COMPUTED_VALUE"""),2.0250901E8)</f>
        <v>202509010</v>
      </c>
      <c r="C1936" s="139" t="str">
        <f>IFERROR(__xludf.DUMMYFUNCTION("""COMPUTED_VALUE"""),"c_jig_00301_mainquest_Normal_Green_Special_00001")</f>
        <v>c_jig_00301_mainquest_Normal_Green_Special_00001</v>
      </c>
      <c r="D1936" s="139" t="str">
        <f>IFERROR(__xludf.DUMMYFUNCTION("""COMPUTED_VALUE"""),"c_jig_00301_mainquest_Normal_Green")</f>
        <v>c_jig_00301_mainquest_Normal_Green</v>
      </c>
      <c r="E1936" s="139">
        <f>IFERROR(__xludf.DUMMYFUNCTION("""COMPUTED_VALUE"""),1.0)</f>
        <v>1</v>
      </c>
      <c r="F1936" s="139" t="str">
        <f>IFERROR(__xludf.DUMMYFUNCTION("""COMPUTED_VALUE"""),"Special")</f>
        <v>Special</v>
      </c>
      <c r="G1936" s="139"/>
      <c r="H1936" s="139"/>
      <c r="I1936" s="139">
        <f>IFERROR(__xludf.DUMMYFUNCTION("""COMPUTED_VALUE"""),108.0)</f>
        <v>108</v>
      </c>
      <c r="J1936" s="139">
        <f>IFERROR(__xludf.DUMMYFUNCTION("""COMPUTED_VALUE"""),0.0)</f>
        <v>0</v>
      </c>
      <c r="K1936" s="139">
        <f>IFERROR(__xludf.DUMMYFUNCTION("""COMPUTED_VALUE"""),0.0)</f>
        <v>0</v>
      </c>
      <c r="L1936" s="139"/>
      <c r="M1936" s="139"/>
      <c r="N1936" s="139"/>
    </row>
    <row r="1937">
      <c r="A1937" s="139" t="str">
        <f>IFERROR(__xludf.DUMMYFUNCTION("""COMPUTED_VALUE"""),"e")</f>
        <v>e</v>
      </c>
      <c r="B1937" s="139">
        <f>IFERROR(__xludf.DUMMYFUNCTION("""COMPUTED_VALUE"""),2.0250901E8)</f>
        <v>202509010</v>
      </c>
      <c r="C1937" s="139" t="str">
        <f>IFERROR(__xludf.DUMMYFUNCTION("""COMPUTED_VALUE"""),"e_jig_00402_mainquest_Normal_Colorless_Normal_00000")</f>
        <v>e_jig_00402_mainquest_Normal_Colorless_Normal_00000</v>
      </c>
      <c r="D1937" s="139" t="str">
        <f>IFERROR(__xludf.DUMMYFUNCTION("""COMPUTED_VALUE"""),"e_jig_00402_mainquest_Normal_Colorless")</f>
        <v>e_jig_00402_mainquest_Normal_Colorless</v>
      </c>
      <c r="E1937" s="139">
        <f>IFERROR(__xludf.DUMMYFUNCTION("""COMPUTED_VALUE"""),0.0)</f>
        <v>0</v>
      </c>
      <c r="F1937" s="139" t="str">
        <f>IFERROR(__xludf.DUMMYFUNCTION("""COMPUTED_VALUE"""),"Normal")</f>
        <v>Normal</v>
      </c>
      <c r="G1937" s="139"/>
      <c r="H1937" s="139"/>
      <c r="I1937" s="139">
        <f>IFERROR(__xludf.DUMMYFUNCTION("""COMPUTED_VALUE"""),105.0)</f>
        <v>105</v>
      </c>
      <c r="J1937" s="139">
        <f>IFERROR(__xludf.DUMMYFUNCTION("""COMPUTED_VALUE"""),30.0)</f>
        <v>30</v>
      </c>
      <c r="K1937" s="139">
        <f>IFERROR(__xludf.DUMMYFUNCTION("""COMPUTED_VALUE"""),100.0)</f>
        <v>100</v>
      </c>
      <c r="L1937" s="139"/>
      <c r="M1937" s="139"/>
      <c r="N1937" s="139"/>
    </row>
    <row r="1938">
      <c r="A1938" s="139" t="str">
        <f>IFERROR(__xludf.DUMMYFUNCTION("""COMPUTED_VALUE"""),"e")</f>
        <v>e</v>
      </c>
      <c r="B1938" s="139">
        <f>IFERROR(__xludf.DUMMYFUNCTION("""COMPUTED_VALUE"""),2.0250901E8)</f>
        <v>202509010</v>
      </c>
      <c r="C1938" s="139" t="str">
        <f>IFERROR(__xludf.DUMMYFUNCTION("""COMPUTED_VALUE"""),"e_jig_00001_mainquest_Normal_Colorless_Normal_00000")</f>
        <v>e_jig_00001_mainquest_Normal_Colorless_Normal_00000</v>
      </c>
      <c r="D1938" s="139" t="str">
        <f>IFERROR(__xludf.DUMMYFUNCTION("""COMPUTED_VALUE"""),"e_jig_00001_mainquest_Normal_Colorless")</f>
        <v>e_jig_00001_mainquest_Normal_Colorless</v>
      </c>
      <c r="E1938" s="139">
        <f>IFERROR(__xludf.DUMMYFUNCTION("""COMPUTED_VALUE"""),0.0)</f>
        <v>0</v>
      </c>
      <c r="F1938" s="139" t="str">
        <f>IFERROR(__xludf.DUMMYFUNCTION("""COMPUTED_VALUE"""),"Normal")</f>
        <v>Normal</v>
      </c>
      <c r="G1938" s="139"/>
      <c r="H1938" s="139"/>
      <c r="I1938" s="139">
        <f>IFERROR(__xludf.DUMMYFUNCTION("""COMPUTED_VALUE"""),92.0)</f>
        <v>92</v>
      </c>
      <c r="J1938" s="139">
        <f>IFERROR(__xludf.DUMMYFUNCTION("""COMPUTED_VALUE"""),42.0)</f>
        <v>42</v>
      </c>
      <c r="K1938" s="139">
        <f>IFERROR(__xludf.DUMMYFUNCTION("""COMPUTED_VALUE"""),100.0)</f>
        <v>100</v>
      </c>
      <c r="L1938" s="139"/>
      <c r="M1938" s="139"/>
      <c r="N1938" s="139"/>
    </row>
    <row r="1939">
      <c r="A1939" s="139" t="str">
        <f>IFERROR(__xludf.DUMMYFUNCTION("""COMPUTED_VALUE"""),"e")</f>
        <v>e</v>
      </c>
      <c r="B1939" s="139">
        <f>IFERROR(__xludf.DUMMYFUNCTION("""COMPUTED_VALUE"""),2.0250901E8)</f>
        <v>202509010</v>
      </c>
      <c r="C1939" s="139" t="str">
        <f>IFERROR(__xludf.DUMMYFUNCTION("""COMPUTED_VALUE"""),"e_jig_00001_mainquest_Normal_Green_Normal_00000")</f>
        <v>e_jig_00001_mainquest_Normal_Green_Normal_00000</v>
      </c>
      <c r="D1939" s="139" t="str">
        <f>IFERROR(__xludf.DUMMYFUNCTION("""COMPUTED_VALUE"""),"e_jig_00001_mainquest_Normal_Green")</f>
        <v>e_jig_00001_mainquest_Normal_Green</v>
      </c>
      <c r="E1939" s="139">
        <f>IFERROR(__xludf.DUMMYFUNCTION("""COMPUTED_VALUE"""),0.0)</f>
        <v>0</v>
      </c>
      <c r="F1939" s="139" t="str">
        <f>IFERROR(__xludf.DUMMYFUNCTION("""COMPUTED_VALUE"""),"Normal")</f>
        <v>Normal</v>
      </c>
      <c r="G1939" s="139"/>
      <c r="H1939" s="139"/>
      <c r="I1939" s="139">
        <f>IFERROR(__xludf.DUMMYFUNCTION("""COMPUTED_VALUE"""),92.0)</f>
        <v>92</v>
      </c>
      <c r="J1939" s="139">
        <f>IFERROR(__xludf.DUMMYFUNCTION("""COMPUTED_VALUE"""),42.0)</f>
        <v>42</v>
      </c>
      <c r="K1939" s="139">
        <f>IFERROR(__xludf.DUMMYFUNCTION("""COMPUTED_VALUE"""),100.0)</f>
        <v>100</v>
      </c>
      <c r="L1939" s="139"/>
      <c r="M1939" s="139"/>
      <c r="N1939" s="139"/>
    </row>
    <row r="1940">
      <c r="A1940" s="139" t="str">
        <f>IFERROR(__xludf.DUMMYFUNCTION("""COMPUTED_VALUE"""),"e")</f>
        <v>e</v>
      </c>
      <c r="B1940" s="139">
        <f>IFERROR(__xludf.DUMMYFUNCTION("""COMPUTED_VALUE"""),2.0250901E8)</f>
        <v>202509010</v>
      </c>
      <c r="C1940" s="139" t="str">
        <f>IFERROR(__xludf.DUMMYFUNCTION("""COMPUTED_VALUE"""),"e_jig_00401_mainquest_Normal_Green_Normal_00000")</f>
        <v>e_jig_00401_mainquest_Normal_Green_Normal_00000</v>
      </c>
      <c r="D1940" s="139" t="str">
        <f>IFERROR(__xludf.DUMMYFUNCTION("""COMPUTED_VALUE"""),"e_jig_00401_mainquest_Normal_Green")</f>
        <v>e_jig_00401_mainquest_Normal_Green</v>
      </c>
      <c r="E1940" s="139">
        <f>IFERROR(__xludf.DUMMYFUNCTION("""COMPUTED_VALUE"""),0.0)</f>
        <v>0</v>
      </c>
      <c r="F1940" s="139" t="str">
        <f>IFERROR(__xludf.DUMMYFUNCTION("""COMPUTED_VALUE"""),"Normal")</f>
        <v>Normal</v>
      </c>
      <c r="G1940" s="139"/>
      <c r="H1940" s="139"/>
      <c r="I1940" s="139">
        <f>IFERROR(__xludf.DUMMYFUNCTION("""COMPUTED_VALUE"""),65.0)</f>
        <v>65</v>
      </c>
      <c r="J1940" s="139">
        <f>IFERROR(__xludf.DUMMYFUNCTION("""COMPUTED_VALUE"""),33.0)</f>
        <v>33</v>
      </c>
      <c r="K1940" s="139">
        <f>IFERROR(__xludf.DUMMYFUNCTION("""COMPUTED_VALUE"""),200.0)</f>
        <v>200</v>
      </c>
      <c r="L1940" s="139"/>
      <c r="M1940" s="139"/>
      <c r="N1940" s="139"/>
    </row>
    <row r="1941">
      <c r="A1941" s="139" t="str">
        <f>IFERROR(__xludf.DUMMYFUNCTION("""COMPUTED_VALUE"""),"e")</f>
        <v>e</v>
      </c>
      <c r="B1941" s="139">
        <f>IFERROR(__xludf.DUMMYFUNCTION("""COMPUTED_VALUE"""),2.0250901E8)</f>
        <v>202509010</v>
      </c>
      <c r="C1941" s="139" t="str">
        <f>IFERROR(__xludf.DUMMYFUNCTION("""COMPUTED_VALUE"""),"e_jig_00401_mainquest_Normal_Colorless_Normal_00000")</f>
        <v>e_jig_00401_mainquest_Normal_Colorless_Normal_00000</v>
      </c>
      <c r="D1941" s="139" t="str">
        <f>IFERROR(__xludf.DUMMYFUNCTION("""COMPUTED_VALUE"""),"e_jig_00401_mainquest_Normal_Colorless")</f>
        <v>e_jig_00401_mainquest_Normal_Colorless</v>
      </c>
      <c r="E1941" s="139">
        <f>IFERROR(__xludf.DUMMYFUNCTION("""COMPUTED_VALUE"""),0.0)</f>
        <v>0</v>
      </c>
      <c r="F1941" s="139" t="str">
        <f>IFERROR(__xludf.DUMMYFUNCTION("""COMPUTED_VALUE"""),"Normal")</f>
        <v>Normal</v>
      </c>
      <c r="G1941" s="139"/>
      <c r="H1941" s="139"/>
      <c r="I1941" s="139">
        <f>IFERROR(__xludf.DUMMYFUNCTION("""COMPUTED_VALUE"""),65.0)</f>
        <v>65</v>
      </c>
      <c r="J1941" s="139">
        <f>IFERROR(__xludf.DUMMYFUNCTION("""COMPUTED_VALUE"""),33.0)</f>
        <v>33</v>
      </c>
      <c r="K1941" s="139">
        <f>IFERROR(__xludf.DUMMYFUNCTION("""COMPUTED_VALUE"""),125.0)</f>
        <v>125</v>
      </c>
      <c r="L1941" s="139"/>
      <c r="M1941" s="139"/>
      <c r="N1941" s="139"/>
    </row>
    <row r="1942">
      <c r="A1942" s="139" t="str">
        <f>IFERROR(__xludf.DUMMYFUNCTION("""COMPUTED_VALUE"""),"e")</f>
        <v>e</v>
      </c>
      <c r="B1942" s="139">
        <f>IFERROR(__xludf.DUMMYFUNCTION("""COMPUTED_VALUE"""),2.0250901E8)</f>
        <v>202509010</v>
      </c>
      <c r="C1942" s="139" t="str">
        <f>IFERROR(__xludf.DUMMYFUNCTION("""COMPUTED_VALUE"""),"e_jig_00301_mainquest_Normal_Colorless_Normal_00000")</f>
        <v>e_jig_00301_mainquest_Normal_Colorless_Normal_00000</v>
      </c>
      <c r="D1942" s="139" t="str">
        <f>IFERROR(__xludf.DUMMYFUNCTION("""COMPUTED_VALUE"""),"e_jig_00301_mainquest_Normal_Colorless")</f>
        <v>e_jig_00301_mainquest_Normal_Colorless</v>
      </c>
      <c r="E1942" s="139">
        <f>IFERROR(__xludf.DUMMYFUNCTION("""COMPUTED_VALUE"""),0.0)</f>
        <v>0</v>
      </c>
      <c r="F1942" s="139" t="str">
        <f>IFERROR(__xludf.DUMMYFUNCTION("""COMPUTED_VALUE"""),"Normal")</f>
        <v>Normal</v>
      </c>
      <c r="G1942" s="139"/>
      <c r="H1942" s="139"/>
      <c r="I1942" s="139">
        <f>IFERROR(__xludf.DUMMYFUNCTION("""COMPUTED_VALUE"""),75.0)</f>
        <v>75</v>
      </c>
      <c r="J1942" s="139">
        <f>IFERROR(__xludf.DUMMYFUNCTION("""COMPUTED_VALUE"""),33.0)</f>
        <v>33</v>
      </c>
      <c r="K1942" s="139">
        <f>IFERROR(__xludf.DUMMYFUNCTION("""COMPUTED_VALUE"""),100.0)</f>
        <v>100</v>
      </c>
      <c r="L1942" s="139"/>
      <c r="M1942" s="139"/>
      <c r="N1942" s="139"/>
    </row>
    <row r="1943">
      <c r="A1943" s="139" t="str">
        <f>IFERROR(__xludf.DUMMYFUNCTION("""COMPUTED_VALUE"""),"e")</f>
        <v>e</v>
      </c>
      <c r="B1943" s="139">
        <f>IFERROR(__xludf.DUMMYFUNCTION("""COMPUTED_VALUE"""),2.0250901E8)</f>
        <v>202509010</v>
      </c>
      <c r="C1943" s="139" t="str">
        <f>IFERROR(__xludf.DUMMYFUNCTION("""COMPUTED_VALUE"""),"e_jig_00301_mainquest_Boss_Green_Normal_00000")</f>
        <v>e_jig_00301_mainquest_Boss_Green_Normal_00000</v>
      </c>
      <c r="D1943" s="139" t="str">
        <f>IFERROR(__xludf.DUMMYFUNCTION("""COMPUTED_VALUE"""),"e_jig_00301_mainquest_Boss_Green")</f>
        <v>e_jig_00301_mainquest_Boss_Green</v>
      </c>
      <c r="E1943" s="139">
        <f>IFERROR(__xludf.DUMMYFUNCTION("""COMPUTED_VALUE"""),0.0)</f>
        <v>0</v>
      </c>
      <c r="F1943" s="139" t="str">
        <f>IFERROR(__xludf.DUMMYFUNCTION("""COMPUTED_VALUE"""),"Normal")</f>
        <v>Normal</v>
      </c>
      <c r="G1943" s="139"/>
      <c r="H1943" s="139"/>
      <c r="I1943" s="139">
        <f>IFERROR(__xludf.DUMMYFUNCTION("""COMPUTED_VALUE"""),75.0)</f>
        <v>75</v>
      </c>
      <c r="J1943" s="139">
        <f>IFERROR(__xludf.DUMMYFUNCTION("""COMPUTED_VALUE"""),33.0)</f>
        <v>33</v>
      </c>
      <c r="K1943" s="139">
        <f>IFERROR(__xludf.DUMMYFUNCTION("""COMPUTED_VALUE"""),10.0)</f>
        <v>10</v>
      </c>
      <c r="L1943" s="139"/>
      <c r="M1943" s="139"/>
      <c r="N1943" s="139"/>
    </row>
    <row r="1944">
      <c r="A1944" s="139" t="str">
        <f>IFERROR(__xludf.DUMMYFUNCTION("""COMPUTED_VALUE"""),"e")</f>
        <v>e</v>
      </c>
      <c r="B1944" s="139">
        <f>IFERROR(__xludf.DUMMYFUNCTION("""COMPUTED_VALUE"""),2.0250901E8)</f>
        <v>202509010</v>
      </c>
      <c r="C1944" s="139" t="str">
        <f>IFERROR(__xludf.DUMMYFUNCTION("""COMPUTED_VALUE"""),"e_jig_00301_mainquest_Boss_Green_Appearance_00001")</f>
        <v>e_jig_00301_mainquest_Boss_Green_Appearance_00001</v>
      </c>
      <c r="D1944" s="139" t="str">
        <f>IFERROR(__xludf.DUMMYFUNCTION("""COMPUTED_VALUE"""),"e_jig_00301_mainquest_Boss_Green")</f>
        <v>e_jig_00301_mainquest_Boss_Green</v>
      </c>
      <c r="E1944" s="139">
        <f>IFERROR(__xludf.DUMMYFUNCTION("""COMPUTED_VALUE"""),0.0)</f>
        <v>0</v>
      </c>
      <c r="F1944" s="139" t="str">
        <f>IFERROR(__xludf.DUMMYFUNCTION("""COMPUTED_VALUE"""),"Appearance")</f>
        <v>Appearance</v>
      </c>
      <c r="G1944" s="139"/>
      <c r="H1944" s="139"/>
      <c r="I1944" s="139">
        <f>IFERROR(__xludf.DUMMYFUNCTION("""COMPUTED_VALUE"""),50.0)</f>
        <v>50</v>
      </c>
      <c r="J1944" s="139">
        <f>IFERROR(__xludf.DUMMYFUNCTION("""COMPUTED_VALUE"""),0.0)</f>
        <v>0</v>
      </c>
      <c r="K1944" s="139">
        <f>IFERROR(__xludf.DUMMYFUNCTION("""COMPUTED_VALUE"""),0.0)</f>
        <v>0</v>
      </c>
      <c r="L1944" s="139"/>
      <c r="M1944" s="139"/>
      <c r="N1944" s="139"/>
    </row>
    <row r="1945">
      <c r="A1945" s="139" t="str">
        <f>IFERROR(__xludf.DUMMYFUNCTION("""COMPUTED_VALUE"""),"e")</f>
        <v>e</v>
      </c>
      <c r="B1945" s="139">
        <f>IFERROR(__xludf.DUMMYFUNCTION("""COMPUTED_VALUE"""),2.0250901E8)</f>
        <v>202509010</v>
      </c>
      <c r="C1945" s="139" t="str">
        <f>IFERROR(__xludf.DUMMYFUNCTION("""COMPUTED_VALUE"""),"e_jig_00301_mainquest_Boss_Colorless_Normal_00000")</f>
        <v>e_jig_00301_mainquest_Boss_Colorless_Normal_00000</v>
      </c>
      <c r="D1945" s="139" t="str">
        <f>IFERROR(__xludf.DUMMYFUNCTION("""COMPUTED_VALUE"""),"e_jig_00301_mainquest_Boss_Colorless")</f>
        <v>e_jig_00301_mainquest_Boss_Colorless</v>
      </c>
      <c r="E1945" s="139">
        <f>IFERROR(__xludf.DUMMYFUNCTION("""COMPUTED_VALUE"""),0.0)</f>
        <v>0</v>
      </c>
      <c r="F1945" s="139" t="str">
        <f>IFERROR(__xludf.DUMMYFUNCTION("""COMPUTED_VALUE"""),"Normal")</f>
        <v>Normal</v>
      </c>
      <c r="G1945" s="139"/>
      <c r="H1945" s="139"/>
      <c r="I1945" s="139">
        <f>IFERROR(__xludf.DUMMYFUNCTION("""COMPUTED_VALUE"""),75.0)</f>
        <v>75</v>
      </c>
      <c r="J1945" s="139">
        <f>IFERROR(__xludf.DUMMYFUNCTION("""COMPUTED_VALUE"""),33.0)</f>
        <v>33</v>
      </c>
      <c r="K1945" s="139">
        <f>IFERROR(__xludf.DUMMYFUNCTION("""COMPUTED_VALUE"""),180.0)</f>
        <v>180</v>
      </c>
      <c r="L1945" s="139"/>
      <c r="M1945" s="139"/>
      <c r="N1945" s="139"/>
    </row>
    <row r="1946">
      <c r="A1946" s="139" t="str">
        <f>IFERROR(__xludf.DUMMYFUNCTION("""COMPUTED_VALUE"""),"e")</f>
        <v>e</v>
      </c>
      <c r="B1946" s="139">
        <f>IFERROR(__xludf.DUMMYFUNCTION("""COMPUTED_VALUE"""),2.0250901E8)</f>
        <v>202509010</v>
      </c>
      <c r="C1946" s="139" t="str">
        <f>IFERROR(__xludf.DUMMYFUNCTION("""COMPUTED_VALUE"""),"e_jig_00301_mainquest_Boss_Colorless_Appearance_00001")</f>
        <v>e_jig_00301_mainquest_Boss_Colorless_Appearance_00001</v>
      </c>
      <c r="D1946" s="139" t="str">
        <f>IFERROR(__xludf.DUMMYFUNCTION("""COMPUTED_VALUE"""),"e_jig_00301_mainquest_Boss_Colorless")</f>
        <v>e_jig_00301_mainquest_Boss_Colorless</v>
      </c>
      <c r="E1946" s="139">
        <f>IFERROR(__xludf.DUMMYFUNCTION("""COMPUTED_VALUE"""),0.0)</f>
        <v>0</v>
      </c>
      <c r="F1946" s="139" t="str">
        <f>IFERROR(__xludf.DUMMYFUNCTION("""COMPUTED_VALUE"""),"Appearance")</f>
        <v>Appearance</v>
      </c>
      <c r="G1946" s="139"/>
      <c r="H1946" s="139"/>
      <c r="I1946" s="139">
        <f>IFERROR(__xludf.DUMMYFUNCTION("""COMPUTED_VALUE"""),50.0)</f>
        <v>50</v>
      </c>
      <c r="J1946" s="139">
        <f>IFERROR(__xludf.DUMMYFUNCTION("""COMPUTED_VALUE"""),0.0)</f>
        <v>0</v>
      </c>
      <c r="K1946" s="139">
        <f>IFERROR(__xludf.DUMMYFUNCTION("""COMPUTED_VALUE"""),0.0)</f>
        <v>0</v>
      </c>
      <c r="L1946" s="139"/>
      <c r="M1946" s="139"/>
      <c r="N1946" s="139"/>
    </row>
    <row r="1947">
      <c r="A1947" s="139" t="str">
        <f>IFERROR(__xludf.DUMMYFUNCTION("""COMPUTED_VALUE"""),"e")</f>
        <v>e</v>
      </c>
      <c r="B1947" s="139">
        <f>IFERROR(__xludf.DUMMYFUNCTION("""COMPUTED_VALUE"""),2.0250901E8)</f>
        <v>202509010</v>
      </c>
      <c r="C1947" s="139" t="str">
        <f>IFERROR(__xludf.DUMMYFUNCTION("""COMPUTED_VALUE"""),"e_jig_00301_mainquest_Normal_Green_Normal_00000")</f>
        <v>e_jig_00301_mainquest_Normal_Green_Normal_00000</v>
      </c>
      <c r="D1947" s="139" t="str">
        <f>IFERROR(__xludf.DUMMYFUNCTION("""COMPUTED_VALUE"""),"e_jig_00301_mainquest_Normal_Green")</f>
        <v>e_jig_00301_mainquest_Normal_Green</v>
      </c>
      <c r="E1947" s="139">
        <f>IFERROR(__xludf.DUMMYFUNCTION("""COMPUTED_VALUE"""),0.0)</f>
        <v>0</v>
      </c>
      <c r="F1947" s="139" t="str">
        <f>IFERROR(__xludf.DUMMYFUNCTION("""COMPUTED_VALUE"""),"Normal")</f>
        <v>Normal</v>
      </c>
      <c r="G1947" s="139"/>
      <c r="H1947" s="139"/>
      <c r="I1947" s="139">
        <f>IFERROR(__xludf.DUMMYFUNCTION("""COMPUTED_VALUE"""),75.0)</f>
        <v>75</v>
      </c>
      <c r="J1947" s="139">
        <f>IFERROR(__xludf.DUMMYFUNCTION("""COMPUTED_VALUE"""),33.0)</f>
        <v>33</v>
      </c>
      <c r="K1947" s="139">
        <f>IFERROR(__xludf.DUMMYFUNCTION("""COMPUTED_VALUE"""),10.0)</f>
        <v>10</v>
      </c>
      <c r="L1947" s="139"/>
      <c r="M1947" s="139"/>
      <c r="N1947" s="139"/>
    </row>
    <row r="1948">
      <c r="A1948" s="139"/>
      <c r="B1948" s="139"/>
      <c r="C1948" s="139"/>
      <c r="D1948" s="139"/>
      <c r="E1948" s="139"/>
      <c r="F1948" s="139"/>
      <c r="G1948" s="139"/>
      <c r="H1948" s="139"/>
      <c r="I1948" s="139"/>
      <c r="J1948" s="139"/>
      <c r="K1948" s="139"/>
      <c r="L1948" s="139"/>
      <c r="M1948" s="139"/>
      <c r="N1948" s="139"/>
    </row>
    <row r="1949">
      <c r="A1949" s="139" t="str">
        <f>IFERROR(__xludf.DUMMYFUNCTION("""COMPUTED_VALUE"""),"e")</f>
        <v>e</v>
      </c>
      <c r="B1949" s="139">
        <f>IFERROR(__xludf.DUMMYFUNCTION("""COMPUTED_VALUE"""),2.0250901E8)</f>
        <v>202509010</v>
      </c>
      <c r="C1949" s="139" t="str">
        <f>IFERROR(__xludf.DUMMYFUNCTION("""COMPUTED_VALUE"""),"c_tak_00001_mainquest_Boss_Yellow_Normal_00000")</f>
        <v>c_tak_00001_mainquest_Boss_Yellow_Normal_00000</v>
      </c>
      <c r="D1949" s="139" t="str">
        <f>IFERROR(__xludf.DUMMYFUNCTION("""COMPUTED_VALUE"""),"c_tak_00001_mainquest_Boss_Yellow")</f>
        <v>c_tak_00001_mainquest_Boss_Yellow</v>
      </c>
      <c r="E1949" s="139">
        <f>IFERROR(__xludf.DUMMYFUNCTION("""COMPUTED_VALUE"""),0.0)</f>
        <v>0</v>
      </c>
      <c r="F1949" s="139" t="str">
        <f>IFERROR(__xludf.DUMMYFUNCTION("""COMPUTED_VALUE"""),"Normal")</f>
        <v>Normal</v>
      </c>
      <c r="G1949" s="139"/>
      <c r="H1949" s="139"/>
      <c r="I1949" s="139">
        <f>IFERROR(__xludf.DUMMYFUNCTION("""COMPUTED_VALUE"""),50.0)</f>
        <v>50</v>
      </c>
      <c r="J1949" s="139">
        <f>IFERROR(__xludf.DUMMYFUNCTION("""COMPUTED_VALUE"""),22.0)</f>
        <v>22</v>
      </c>
      <c r="K1949" s="139">
        <f>IFERROR(__xludf.DUMMYFUNCTION("""COMPUTED_VALUE"""),50.0)</f>
        <v>50</v>
      </c>
      <c r="L1949" s="139"/>
      <c r="M1949" s="139"/>
      <c r="N1949" s="139"/>
    </row>
    <row r="1950">
      <c r="A1950" s="139" t="str">
        <f>IFERROR(__xludf.DUMMYFUNCTION("""COMPUTED_VALUE"""),"e")</f>
        <v>e</v>
      </c>
      <c r="B1950" s="139">
        <f>IFERROR(__xludf.DUMMYFUNCTION("""COMPUTED_VALUE"""),2.0250901E8)</f>
        <v>202509010</v>
      </c>
      <c r="C1950" s="139" t="str">
        <f>IFERROR(__xludf.DUMMYFUNCTION("""COMPUTED_VALUE"""),"c_tak_00001_mainquest_Boss_Yellow_Special_00001")</f>
        <v>c_tak_00001_mainquest_Boss_Yellow_Special_00001</v>
      </c>
      <c r="D1950" s="139" t="str">
        <f>IFERROR(__xludf.DUMMYFUNCTION("""COMPUTED_VALUE"""),"c_tak_00001_mainquest_Boss_Yellow")</f>
        <v>c_tak_00001_mainquest_Boss_Yellow</v>
      </c>
      <c r="E1950" s="139">
        <f>IFERROR(__xludf.DUMMYFUNCTION("""COMPUTED_VALUE"""),0.0)</f>
        <v>0</v>
      </c>
      <c r="F1950" s="139" t="str">
        <f>IFERROR(__xludf.DUMMYFUNCTION("""COMPUTED_VALUE"""),"Special")</f>
        <v>Special</v>
      </c>
      <c r="G1950" s="139"/>
      <c r="H1950" s="139"/>
      <c r="I1950" s="139">
        <f>IFERROR(__xludf.DUMMYFUNCTION("""COMPUTED_VALUE"""),167.0)</f>
        <v>167</v>
      </c>
      <c r="J1950" s="139">
        <f>IFERROR(__xludf.DUMMYFUNCTION("""COMPUTED_VALUE"""),38.0)</f>
        <v>38</v>
      </c>
      <c r="K1950" s="139">
        <f>IFERROR(__xludf.DUMMYFUNCTION("""COMPUTED_VALUE"""),0.0)</f>
        <v>0</v>
      </c>
      <c r="L1950" s="139"/>
      <c r="M1950" s="139"/>
      <c r="N1950" s="139"/>
    </row>
    <row r="1951">
      <c r="A1951" s="139" t="str">
        <f>IFERROR(__xludf.DUMMYFUNCTION("""COMPUTED_VALUE"""),"e")</f>
        <v>e</v>
      </c>
      <c r="B1951" s="139">
        <f>IFERROR(__xludf.DUMMYFUNCTION("""COMPUTED_VALUE"""),2.0250901E8)</f>
        <v>202509010</v>
      </c>
      <c r="C1951" s="139" t="str">
        <f>IFERROR(__xludf.DUMMYFUNCTION("""COMPUTED_VALUE"""),"c_tak_00001_mainquest_Boss_Yellow_Appearance_00002")</f>
        <v>c_tak_00001_mainquest_Boss_Yellow_Appearance_00002</v>
      </c>
      <c r="D1951" s="139" t="str">
        <f>IFERROR(__xludf.DUMMYFUNCTION("""COMPUTED_VALUE"""),"c_tak_00001_mainquest_Boss_Yellow")</f>
        <v>c_tak_00001_mainquest_Boss_Yellow</v>
      </c>
      <c r="E1951" s="139">
        <f>IFERROR(__xludf.DUMMYFUNCTION("""COMPUTED_VALUE"""),0.0)</f>
        <v>0</v>
      </c>
      <c r="F1951" s="139" t="str">
        <f>IFERROR(__xludf.DUMMYFUNCTION("""COMPUTED_VALUE"""),"Appearance")</f>
        <v>Appearance</v>
      </c>
      <c r="G1951" s="139"/>
      <c r="H1951" s="139"/>
      <c r="I1951" s="139">
        <f>IFERROR(__xludf.DUMMYFUNCTION("""COMPUTED_VALUE"""),50.0)</f>
        <v>50</v>
      </c>
      <c r="J1951" s="139">
        <f>IFERROR(__xludf.DUMMYFUNCTION("""COMPUTED_VALUE"""),0.0)</f>
        <v>0</v>
      </c>
      <c r="K1951" s="139">
        <f>IFERROR(__xludf.DUMMYFUNCTION("""COMPUTED_VALUE"""),0.0)</f>
        <v>0</v>
      </c>
      <c r="L1951" s="139"/>
      <c r="M1951" s="139"/>
      <c r="N1951" s="139"/>
    </row>
    <row r="1952">
      <c r="A1952" s="139" t="str">
        <f>IFERROR(__xludf.DUMMYFUNCTION("""COMPUTED_VALUE"""),"e")</f>
        <v>e</v>
      </c>
      <c r="B1952" s="139">
        <f>IFERROR(__xludf.DUMMYFUNCTION("""COMPUTED_VALUE"""),2.0250901E8)</f>
        <v>202509010</v>
      </c>
      <c r="C1952" s="139" t="str">
        <f>IFERROR(__xludf.DUMMYFUNCTION("""COMPUTED_VALUE"""),"c_tak_00001_mainquest_Boss_Blue_Normal_00000")</f>
        <v>c_tak_00001_mainquest_Boss_Blue_Normal_00000</v>
      </c>
      <c r="D1952" s="139" t="str">
        <f>IFERROR(__xludf.DUMMYFUNCTION("""COMPUTED_VALUE"""),"c_tak_00001_mainquest_Boss_Blue")</f>
        <v>c_tak_00001_mainquest_Boss_Blue</v>
      </c>
      <c r="E1952" s="139">
        <f>IFERROR(__xludf.DUMMYFUNCTION("""COMPUTED_VALUE"""),0.0)</f>
        <v>0</v>
      </c>
      <c r="F1952" s="139" t="str">
        <f>IFERROR(__xludf.DUMMYFUNCTION("""COMPUTED_VALUE"""),"Normal")</f>
        <v>Normal</v>
      </c>
      <c r="G1952" s="139"/>
      <c r="H1952" s="139"/>
      <c r="I1952" s="139">
        <f>IFERROR(__xludf.DUMMYFUNCTION("""COMPUTED_VALUE"""),50.0)</f>
        <v>50</v>
      </c>
      <c r="J1952" s="139">
        <f>IFERROR(__xludf.DUMMYFUNCTION("""COMPUTED_VALUE"""),22.0)</f>
        <v>22</v>
      </c>
      <c r="K1952" s="139">
        <f>IFERROR(__xludf.DUMMYFUNCTION("""COMPUTED_VALUE"""),50.0)</f>
        <v>50</v>
      </c>
      <c r="L1952" s="139"/>
      <c r="M1952" s="139"/>
      <c r="N1952" s="139"/>
    </row>
    <row r="1953">
      <c r="A1953" s="139" t="str">
        <f>IFERROR(__xludf.DUMMYFUNCTION("""COMPUTED_VALUE"""),"e")</f>
        <v>e</v>
      </c>
      <c r="B1953" s="139">
        <f>IFERROR(__xludf.DUMMYFUNCTION("""COMPUTED_VALUE"""),2.0250901E8)</f>
        <v>202509010</v>
      </c>
      <c r="C1953" s="139" t="str">
        <f>IFERROR(__xludf.DUMMYFUNCTION("""COMPUTED_VALUE"""),"c_tak_00001_mainquest_Boss_Blue_Special_00001")</f>
        <v>c_tak_00001_mainquest_Boss_Blue_Special_00001</v>
      </c>
      <c r="D1953" s="139" t="str">
        <f>IFERROR(__xludf.DUMMYFUNCTION("""COMPUTED_VALUE"""),"c_tak_00001_mainquest_Boss_Blue")</f>
        <v>c_tak_00001_mainquest_Boss_Blue</v>
      </c>
      <c r="E1953" s="139">
        <f>IFERROR(__xludf.DUMMYFUNCTION("""COMPUTED_VALUE"""),0.0)</f>
        <v>0</v>
      </c>
      <c r="F1953" s="139" t="str">
        <f>IFERROR(__xludf.DUMMYFUNCTION("""COMPUTED_VALUE"""),"Special")</f>
        <v>Special</v>
      </c>
      <c r="G1953" s="139"/>
      <c r="H1953" s="139"/>
      <c r="I1953" s="139">
        <f>IFERROR(__xludf.DUMMYFUNCTION("""COMPUTED_VALUE"""),167.0)</f>
        <v>167</v>
      </c>
      <c r="J1953" s="139">
        <f>IFERROR(__xludf.DUMMYFUNCTION("""COMPUTED_VALUE"""),38.0)</f>
        <v>38</v>
      </c>
      <c r="K1953" s="139">
        <f>IFERROR(__xludf.DUMMYFUNCTION("""COMPUTED_VALUE"""),0.0)</f>
        <v>0</v>
      </c>
      <c r="L1953" s="139"/>
      <c r="M1953" s="139"/>
      <c r="N1953" s="139"/>
    </row>
    <row r="1954">
      <c r="A1954" s="139" t="str">
        <f>IFERROR(__xludf.DUMMYFUNCTION("""COMPUTED_VALUE"""),"e")</f>
        <v>e</v>
      </c>
      <c r="B1954" s="139">
        <f>IFERROR(__xludf.DUMMYFUNCTION("""COMPUTED_VALUE"""),2.0250901E8)</f>
        <v>202509010</v>
      </c>
      <c r="C1954" s="139" t="str">
        <f>IFERROR(__xludf.DUMMYFUNCTION("""COMPUTED_VALUE"""),"c_tak_00001_mainquest_Boss_Blue_Appearance_00002")</f>
        <v>c_tak_00001_mainquest_Boss_Blue_Appearance_00002</v>
      </c>
      <c r="D1954" s="139" t="str">
        <f>IFERROR(__xludf.DUMMYFUNCTION("""COMPUTED_VALUE"""),"c_tak_00001_mainquest_Boss_Blue")</f>
        <v>c_tak_00001_mainquest_Boss_Blue</v>
      </c>
      <c r="E1954" s="139">
        <f>IFERROR(__xludf.DUMMYFUNCTION("""COMPUTED_VALUE"""),0.0)</f>
        <v>0</v>
      </c>
      <c r="F1954" s="139" t="str">
        <f>IFERROR(__xludf.DUMMYFUNCTION("""COMPUTED_VALUE"""),"Appearance")</f>
        <v>Appearance</v>
      </c>
      <c r="G1954" s="139"/>
      <c r="H1954" s="139"/>
      <c r="I1954" s="139">
        <f>IFERROR(__xludf.DUMMYFUNCTION("""COMPUTED_VALUE"""),50.0)</f>
        <v>50</v>
      </c>
      <c r="J1954" s="139">
        <f>IFERROR(__xludf.DUMMYFUNCTION("""COMPUTED_VALUE"""),0.0)</f>
        <v>0</v>
      </c>
      <c r="K1954" s="139">
        <f>IFERROR(__xludf.DUMMYFUNCTION("""COMPUTED_VALUE"""),0.0)</f>
        <v>0</v>
      </c>
      <c r="L1954" s="139"/>
      <c r="M1954" s="139"/>
      <c r="N1954" s="139"/>
    </row>
    <row r="1955">
      <c r="A1955" s="139" t="str">
        <f>IFERROR(__xludf.DUMMYFUNCTION("""COMPUTED_VALUE"""),"e")</f>
        <v>e</v>
      </c>
      <c r="B1955" s="139">
        <f>IFERROR(__xludf.DUMMYFUNCTION("""COMPUTED_VALUE"""),2.0250901E8)</f>
        <v>202509010</v>
      </c>
      <c r="C1955" s="139" t="str">
        <f>IFERROR(__xludf.DUMMYFUNCTION("""COMPUTED_VALUE"""),"c_tak_00001_mainquest_Boss_Green_Normal_00000")</f>
        <v>c_tak_00001_mainquest_Boss_Green_Normal_00000</v>
      </c>
      <c r="D1955" s="139" t="str">
        <f>IFERROR(__xludf.DUMMYFUNCTION("""COMPUTED_VALUE"""),"c_tak_00001_mainquest_Boss_Green")</f>
        <v>c_tak_00001_mainquest_Boss_Green</v>
      </c>
      <c r="E1955" s="139">
        <f>IFERROR(__xludf.DUMMYFUNCTION("""COMPUTED_VALUE"""),0.0)</f>
        <v>0</v>
      </c>
      <c r="F1955" s="139" t="str">
        <f>IFERROR(__xludf.DUMMYFUNCTION("""COMPUTED_VALUE"""),"Normal")</f>
        <v>Normal</v>
      </c>
      <c r="G1955" s="139"/>
      <c r="H1955" s="139"/>
      <c r="I1955" s="139">
        <f>IFERROR(__xludf.DUMMYFUNCTION("""COMPUTED_VALUE"""),50.0)</f>
        <v>50</v>
      </c>
      <c r="J1955" s="139">
        <f>IFERROR(__xludf.DUMMYFUNCTION("""COMPUTED_VALUE"""),22.0)</f>
        <v>22</v>
      </c>
      <c r="K1955" s="139">
        <f>IFERROR(__xludf.DUMMYFUNCTION("""COMPUTED_VALUE"""),50.0)</f>
        <v>50</v>
      </c>
      <c r="L1955" s="139"/>
      <c r="M1955" s="139"/>
      <c r="N1955" s="139"/>
    </row>
    <row r="1956">
      <c r="A1956" s="139" t="str">
        <f>IFERROR(__xludf.DUMMYFUNCTION("""COMPUTED_VALUE"""),"e")</f>
        <v>e</v>
      </c>
      <c r="B1956" s="139">
        <f>IFERROR(__xludf.DUMMYFUNCTION("""COMPUTED_VALUE"""),2.0250901E8)</f>
        <v>202509010</v>
      </c>
      <c r="C1956" s="139" t="str">
        <f>IFERROR(__xludf.DUMMYFUNCTION("""COMPUTED_VALUE"""),"c_tak_00001_mainquest_Boss_Green_Special_00001")</f>
        <v>c_tak_00001_mainquest_Boss_Green_Special_00001</v>
      </c>
      <c r="D1956" s="139" t="str">
        <f>IFERROR(__xludf.DUMMYFUNCTION("""COMPUTED_VALUE"""),"c_tak_00001_mainquest_Boss_Green")</f>
        <v>c_tak_00001_mainquest_Boss_Green</v>
      </c>
      <c r="E1956" s="139">
        <f>IFERROR(__xludf.DUMMYFUNCTION("""COMPUTED_VALUE"""),0.0)</f>
        <v>0</v>
      </c>
      <c r="F1956" s="139" t="str">
        <f>IFERROR(__xludf.DUMMYFUNCTION("""COMPUTED_VALUE"""),"Special")</f>
        <v>Special</v>
      </c>
      <c r="G1956" s="139"/>
      <c r="H1956" s="139"/>
      <c r="I1956" s="139">
        <f>IFERROR(__xludf.DUMMYFUNCTION("""COMPUTED_VALUE"""),167.0)</f>
        <v>167</v>
      </c>
      <c r="J1956" s="139">
        <f>IFERROR(__xludf.DUMMYFUNCTION("""COMPUTED_VALUE"""),38.0)</f>
        <v>38</v>
      </c>
      <c r="K1956" s="139">
        <f>IFERROR(__xludf.DUMMYFUNCTION("""COMPUTED_VALUE"""),0.0)</f>
        <v>0</v>
      </c>
      <c r="L1956" s="139"/>
      <c r="M1956" s="139"/>
      <c r="N1956" s="139"/>
    </row>
    <row r="1957">
      <c r="A1957" s="139" t="str">
        <f>IFERROR(__xludf.DUMMYFUNCTION("""COMPUTED_VALUE"""),"e")</f>
        <v>e</v>
      </c>
      <c r="B1957" s="139">
        <f>IFERROR(__xludf.DUMMYFUNCTION("""COMPUTED_VALUE"""),2.0250901E8)</f>
        <v>202509010</v>
      </c>
      <c r="C1957" s="139" t="str">
        <f>IFERROR(__xludf.DUMMYFUNCTION("""COMPUTED_VALUE"""),"c_tak_00001_mainquest_Boss_Green_Appearance_00002")</f>
        <v>c_tak_00001_mainquest_Boss_Green_Appearance_00002</v>
      </c>
      <c r="D1957" s="139" t="str">
        <f>IFERROR(__xludf.DUMMYFUNCTION("""COMPUTED_VALUE"""),"c_tak_00001_mainquest_Boss_Green")</f>
        <v>c_tak_00001_mainquest_Boss_Green</v>
      </c>
      <c r="E1957" s="139">
        <f>IFERROR(__xludf.DUMMYFUNCTION("""COMPUTED_VALUE"""),0.0)</f>
        <v>0</v>
      </c>
      <c r="F1957" s="139" t="str">
        <f>IFERROR(__xludf.DUMMYFUNCTION("""COMPUTED_VALUE"""),"Appearance")</f>
        <v>Appearance</v>
      </c>
      <c r="G1957" s="139"/>
      <c r="H1957" s="139"/>
      <c r="I1957" s="139">
        <f>IFERROR(__xludf.DUMMYFUNCTION("""COMPUTED_VALUE"""),50.0)</f>
        <v>50</v>
      </c>
      <c r="J1957" s="139">
        <f>IFERROR(__xludf.DUMMYFUNCTION("""COMPUTED_VALUE"""),0.0)</f>
        <v>0</v>
      </c>
      <c r="K1957" s="139">
        <f>IFERROR(__xludf.DUMMYFUNCTION("""COMPUTED_VALUE"""),0.0)</f>
        <v>0</v>
      </c>
      <c r="L1957" s="139"/>
      <c r="M1957" s="139"/>
      <c r="N1957" s="139"/>
    </row>
    <row r="1958">
      <c r="A1958" s="139" t="str">
        <f>IFERROR(__xludf.DUMMYFUNCTION("""COMPUTED_VALUE"""),"e")</f>
        <v>e</v>
      </c>
      <c r="B1958" s="139">
        <f>IFERROR(__xludf.DUMMYFUNCTION("""COMPUTED_VALUE"""),2.0250901E8)</f>
        <v>202509010</v>
      </c>
      <c r="C1958" s="139" t="str">
        <f>IFERROR(__xludf.DUMMYFUNCTION("""COMPUTED_VALUE"""),"c_tak_00001_mainquest_spytrans_loid_Boss_Colorless_Normal_00000")</f>
        <v>c_tak_00001_mainquest_spytrans_loid_Boss_Colorless_Normal_00000</v>
      </c>
      <c r="D1958" s="139" t="str">
        <f>IFERROR(__xludf.DUMMYFUNCTION("""COMPUTED_VALUE"""),"c_tak_00001_mainquest_spytrans_loid_Boss_Colorless")</f>
        <v>c_tak_00001_mainquest_spytrans_loid_Boss_Colorless</v>
      </c>
      <c r="E1958" s="139">
        <f>IFERROR(__xludf.DUMMYFUNCTION("""COMPUTED_VALUE"""),0.0)</f>
        <v>0</v>
      </c>
      <c r="F1958" s="139" t="str">
        <f>IFERROR(__xludf.DUMMYFUNCTION("""COMPUTED_VALUE"""),"Normal")</f>
        <v>Normal</v>
      </c>
      <c r="G1958" s="139"/>
      <c r="H1958" s="139"/>
      <c r="I1958" s="139">
        <f>IFERROR(__xludf.DUMMYFUNCTION("""COMPUTED_VALUE"""),50.0)</f>
        <v>50</v>
      </c>
      <c r="J1958" s="139">
        <f>IFERROR(__xludf.DUMMYFUNCTION("""COMPUTED_VALUE"""),22.0)</f>
        <v>22</v>
      </c>
      <c r="K1958" s="139">
        <f>IFERROR(__xludf.DUMMYFUNCTION("""COMPUTED_VALUE"""),50.0)</f>
        <v>50</v>
      </c>
      <c r="L1958" s="139"/>
      <c r="M1958" s="139"/>
      <c r="N1958" s="139"/>
    </row>
    <row r="1959">
      <c r="A1959" s="139" t="str">
        <f>IFERROR(__xludf.DUMMYFUNCTION("""COMPUTED_VALUE"""),"e")</f>
        <v>e</v>
      </c>
      <c r="B1959" s="139">
        <f>IFERROR(__xludf.DUMMYFUNCTION("""COMPUTED_VALUE"""),2.0250901E8)</f>
        <v>202509010</v>
      </c>
      <c r="C1959" s="139" t="str">
        <f>IFERROR(__xludf.DUMMYFUNCTION("""COMPUTED_VALUE"""),"c_tak_00001_mainquest_spytrans_loid_Boss_Colorless_Appearance_00001")</f>
        <v>c_tak_00001_mainquest_spytrans_loid_Boss_Colorless_Appearance_00001</v>
      </c>
      <c r="D1959" s="139" t="str">
        <f>IFERROR(__xludf.DUMMYFUNCTION("""COMPUTED_VALUE"""),"c_tak_00001_mainquest_spytrans_loid_Boss_Colorless")</f>
        <v>c_tak_00001_mainquest_spytrans_loid_Boss_Colorless</v>
      </c>
      <c r="E1959" s="139">
        <f>IFERROR(__xludf.DUMMYFUNCTION("""COMPUTED_VALUE"""),0.0)</f>
        <v>0</v>
      </c>
      <c r="F1959" s="139" t="str">
        <f>IFERROR(__xludf.DUMMYFUNCTION("""COMPUTED_VALUE"""),"Appearance")</f>
        <v>Appearance</v>
      </c>
      <c r="G1959" s="139"/>
      <c r="H1959" s="139"/>
      <c r="I1959" s="139">
        <f>IFERROR(__xludf.DUMMYFUNCTION("""COMPUTED_VALUE"""),50.0)</f>
        <v>50</v>
      </c>
      <c r="J1959" s="139">
        <f>IFERROR(__xludf.DUMMYFUNCTION("""COMPUTED_VALUE"""),0.0)</f>
        <v>0</v>
      </c>
      <c r="K1959" s="139">
        <f>IFERROR(__xludf.DUMMYFUNCTION("""COMPUTED_VALUE"""),0.0)</f>
        <v>0</v>
      </c>
      <c r="L1959" s="139"/>
      <c r="M1959" s="139"/>
      <c r="N1959" s="139"/>
    </row>
    <row r="1960">
      <c r="A1960" s="139" t="str">
        <f>IFERROR(__xludf.DUMMYFUNCTION("""COMPUTED_VALUE"""),"e")</f>
        <v>e</v>
      </c>
      <c r="B1960" s="139">
        <f>IFERROR(__xludf.DUMMYFUNCTION("""COMPUTED_VALUE"""),2.0250901E8)</f>
        <v>202509010</v>
      </c>
      <c r="C1960" s="139" t="str">
        <f>IFERROR(__xludf.DUMMYFUNCTION("""COMPUTED_VALUE"""),"c_spy_00101_mainquest_tak_transA2_Normal_Blue_Normal_00001")</f>
        <v>c_spy_00101_mainquest_tak_transA2_Normal_Blue_Normal_00001</v>
      </c>
      <c r="D1960" s="139" t="str">
        <f>IFERROR(__xludf.DUMMYFUNCTION("""COMPUTED_VALUE"""),"c_spy_00101_mainquest_tak_transA2_Normal_Blue")</f>
        <v>c_spy_00101_mainquest_tak_transA2_Normal_Blue</v>
      </c>
      <c r="E1960" s="139">
        <f>IFERROR(__xludf.DUMMYFUNCTION("""COMPUTED_VALUE"""),0.0)</f>
        <v>0</v>
      </c>
      <c r="F1960" s="139" t="str">
        <f>IFERROR(__xludf.DUMMYFUNCTION("""COMPUTED_VALUE"""),"Normal")</f>
        <v>Normal</v>
      </c>
      <c r="G1960" s="139"/>
      <c r="H1960" s="139"/>
      <c r="I1960" s="139">
        <f>IFERROR(__xludf.DUMMYFUNCTION("""COMPUTED_VALUE"""),82.0)</f>
        <v>82</v>
      </c>
      <c r="J1960" s="139">
        <f>IFERROR(__xludf.DUMMYFUNCTION("""COMPUTED_VALUE"""),42.0)</f>
        <v>42</v>
      </c>
      <c r="K1960" s="139">
        <f>IFERROR(__xludf.DUMMYFUNCTION("""COMPUTED_VALUE"""),100.0)</f>
        <v>100</v>
      </c>
      <c r="L1960" s="139"/>
      <c r="M1960" s="139"/>
      <c r="N1960" s="139"/>
    </row>
    <row r="1961">
      <c r="A1961" s="139" t="str">
        <f>IFERROR(__xludf.DUMMYFUNCTION("""COMPUTED_VALUE"""),"e")</f>
        <v>e</v>
      </c>
      <c r="B1961" s="139">
        <f>IFERROR(__xludf.DUMMYFUNCTION("""COMPUTED_VALUE"""),2.0250901E8)</f>
        <v>202509010</v>
      </c>
      <c r="C1961" s="139" t="str">
        <f>IFERROR(__xludf.DUMMYFUNCTION("""COMPUTED_VALUE"""),"c_spy_00101_mainquest_tak_transA2_Normal_Blue_Special_00001")</f>
        <v>c_spy_00101_mainquest_tak_transA2_Normal_Blue_Special_00001</v>
      </c>
      <c r="D1961" s="139" t="str">
        <f>IFERROR(__xludf.DUMMYFUNCTION("""COMPUTED_VALUE"""),"c_spy_00101_mainquest_tak_transA2_Normal_Blue")</f>
        <v>c_spy_00101_mainquest_tak_transA2_Normal_Blue</v>
      </c>
      <c r="E1961" s="139">
        <f>IFERROR(__xludf.DUMMYFUNCTION("""COMPUTED_VALUE"""),0.0)</f>
        <v>0</v>
      </c>
      <c r="F1961" s="139" t="str">
        <f>IFERROR(__xludf.DUMMYFUNCTION("""COMPUTED_VALUE"""),"Special")</f>
        <v>Special</v>
      </c>
      <c r="G1961" s="139"/>
      <c r="H1961" s="139"/>
      <c r="I1961" s="139">
        <f>IFERROR(__xludf.DUMMYFUNCTION("""COMPUTED_VALUE"""),125.0)</f>
        <v>125</v>
      </c>
      <c r="J1961" s="139">
        <f>IFERROR(__xludf.DUMMYFUNCTION("""COMPUTED_VALUE"""),67.0)</f>
        <v>67</v>
      </c>
      <c r="K1961" s="139">
        <f>IFERROR(__xludf.DUMMYFUNCTION("""COMPUTED_VALUE"""),0.0)</f>
        <v>0</v>
      </c>
      <c r="L1961" s="139"/>
      <c r="M1961" s="139"/>
      <c r="N1961" s="139"/>
    </row>
    <row r="1962">
      <c r="A1962" s="139" t="str">
        <f>IFERROR(__xludf.DUMMYFUNCTION("""COMPUTED_VALUE"""),"e")</f>
        <v>e</v>
      </c>
      <c r="B1962" s="139">
        <f>IFERROR(__xludf.DUMMYFUNCTION("""COMPUTED_VALUE"""),2.0250901E8)</f>
        <v>202509010</v>
      </c>
      <c r="C1962" s="139" t="str">
        <f>IFERROR(__xludf.DUMMYFUNCTION("""COMPUTED_VALUE"""),"c_tak_00001_mainquest_spytrans_zanto_Normal_Colorless_Normal_00000")</f>
        <v>c_tak_00001_mainquest_spytrans_zanto_Normal_Colorless_Normal_00000</v>
      </c>
      <c r="D1962" s="139" t="str">
        <f>IFERROR(__xludf.DUMMYFUNCTION("""COMPUTED_VALUE"""),"c_tak_00001_mainquest_spytrans_zanto_Normal_Colorless")</f>
        <v>c_tak_00001_mainquest_spytrans_zanto_Normal_Colorless</v>
      </c>
      <c r="E1962" s="139">
        <f>IFERROR(__xludf.DUMMYFUNCTION("""COMPUTED_VALUE"""),0.0)</f>
        <v>0</v>
      </c>
      <c r="F1962" s="139" t="str">
        <f>IFERROR(__xludf.DUMMYFUNCTION("""COMPUTED_VALUE"""),"Normal")</f>
        <v>Normal</v>
      </c>
      <c r="G1962" s="139"/>
      <c r="H1962" s="139"/>
      <c r="I1962" s="139">
        <f>IFERROR(__xludf.DUMMYFUNCTION("""COMPUTED_VALUE"""),50.0)</f>
        <v>50</v>
      </c>
      <c r="J1962" s="139">
        <f>IFERROR(__xludf.DUMMYFUNCTION("""COMPUTED_VALUE"""),22.0)</f>
        <v>22</v>
      </c>
      <c r="K1962" s="139">
        <f>IFERROR(__xludf.DUMMYFUNCTION("""COMPUTED_VALUE"""),50.0)</f>
        <v>50</v>
      </c>
      <c r="L1962" s="139"/>
      <c r="M1962" s="139"/>
      <c r="N1962" s="139"/>
    </row>
    <row r="1963">
      <c r="A1963" s="139" t="str">
        <f>IFERROR(__xludf.DUMMYFUNCTION("""COMPUTED_VALUE"""),"e")</f>
        <v>e</v>
      </c>
      <c r="B1963" s="139">
        <f>IFERROR(__xludf.DUMMYFUNCTION("""COMPUTED_VALUE"""),2.0250901E8)</f>
        <v>202509010</v>
      </c>
      <c r="C1963" s="139" t="str">
        <f>IFERROR(__xludf.DUMMYFUNCTION("""COMPUTED_VALUE"""),"e_spy_00001_mainquest_tak_transA1_Normal_Blue_Normal_00000")</f>
        <v>e_spy_00001_mainquest_tak_transA1_Normal_Blue_Normal_00000</v>
      </c>
      <c r="D1963" s="139" t="str">
        <f>IFERROR(__xludf.DUMMYFUNCTION("""COMPUTED_VALUE"""),"e_spy_00001_mainquest_tak_transA1_Normal_Blue")</f>
        <v>e_spy_00001_mainquest_tak_transA1_Normal_Blue</v>
      </c>
      <c r="E1963" s="139">
        <f>IFERROR(__xludf.DUMMYFUNCTION("""COMPUTED_VALUE"""),0.0)</f>
        <v>0</v>
      </c>
      <c r="F1963" s="139" t="str">
        <f>IFERROR(__xludf.DUMMYFUNCTION("""COMPUTED_VALUE"""),"Normal")</f>
        <v>Normal</v>
      </c>
      <c r="G1963" s="139"/>
      <c r="H1963" s="139"/>
      <c r="I1963" s="139">
        <f>IFERROR(__xludf.DUMMYFUNCTION("""COMPUTED_VALUE"""),50.0)</f>
        <v>50</v>
      </c>
      <c r="J1963" s="139">
        <f>IFERROR(__xludf.DUMMYFUNCTION("""COMPUTED_VALUE"""),22.0)</f>
        <v>22</v>
      </c>
      <c r="K1963" s="139">
        <f>IFERROR(__xludf.DUMMYFUNCTION("""COMPUTED_VALUE"""),40.0)</f>
        <v>40</v>
      </c>
      <c r="L1963" s="139"/>
      <c r="M1963" s="139"/>
      <c r="N1963" s="139"/>
    </row>
    <row r="1964">
      <c r="A1964" s="139" t="str">
        <f>IFERROR(__xludf.DUMMYFUNCTION("""COMPUTED_VALUE"""),"e")</f>
        <v>e</v>
      </c>
      <c r="B1964" s="139">
        <f>IFERROR(__xludf.DUMMYFUNCTION("""COMPUTED_VALUE"""),2.0250901E8)</f>
        <v>202509010</v>
      </c>
      <c r="C1964" s="139" t="str">
        <f>IFERROR(__xludf.DUMMYFUNCTION("""COMPUTED_VALUE"""),"c_tak_00001_mainquest_jigtrans_monshin_Normal_Colorless_Normal_00000")</f>
        <v>c_tak_00001_mainquest_jigtrans_monshin_Normal_Colorless_Normal_00000</v>
      </c>
      <c r="D1964" s="139" t="str">
        <f>IFERROR(__xludf.DUMMYFUNCTION("""COMPUTED_VALUE"""),"c_tak_00001_mainquest_jigtrans_monshin_Normal_Colorless")</f>
        <v>c_tak_00001_mainquest_jigtrans_monshin_Normal_Colorless</v>
      </c>
      <c r="E1964" s="139">
        <f>IFERROR(__xludf.DUMMYFUNCTION("""COMPUTED_VALUE"""),0.0)</f>
        <v>0</v>
      </c>
      <c r="F1964" s="139" t="str">
        <f>IFERROR(__xludf.DUMMYFUNCTION("""COMPUTED_VALUE"""),"Normal")</f>
        <v>Normal</v>
      </c>
      <c r="G1964" s="139"/>
      <c r="H1964" s="139"/>
      <c r="I1964" s="139">
        <f>IFERROR(__xludf.DUMMYFUNCTION("""COMPUTED_VALUE"""),50.0)</f>
        <v>50</v>
      </c>
      <c r="J1964" s="139">
        <f>IFERROR(__xludf.DUMMYFUNCTION("""COMPUTED_VALUE"""),22.0)</f>
        <v>22</v>
      </c>
      <c r="K1964" s="139">
        <f>IFERROR(__xludf.DUMMYFUNCTION("""COMPUTED_VALUE"""),50.0)</f>
        <v>50</v>
      </c>
      <c r="L1964" s="139"/>
      <c r="M1964" s="139"/>
      <c r="N1964" s="139"/>
    </row>
    <row r="1965">
      <c r="A1965" s="139" t="str">
        <f>IFERROR(__xludf.DUMMYFUNCTION("""COMPUTED_VALUE"""),"e")</f>
        <v>e</v>
      </c>
      <c r="B1965" s="139">
        <f>IFERROR(__xludf.DUMMYFUNCTION("""COMPUTED_VALUE"""),2.0250901E8)</f>
        <v>202509010</v>
      </c>
      <c r="C1965" s="139" t="str">
        <f>IFERROR(__xludf.DUMMYFUNCTION("""COMPUTED_VALUE"""),"c_tak_00001_mainquest_jigtrans_kyushin_Normal_Colorless_Normal_00000")</f>
        <v>c_tak_00001_mainquest_jigtrans_kyushin_Normal_Colorless_Normal_00000</v>
      </c>
      <c r="D1965" s="139" t="str">
        <f>IFERROR(__xludf.DUMMYFUNCTION("""COMPUTED_VALUE"""),"c_tak_00001_mainquest_jigtrans_kyushin_Normal_Colorless")</f>
        <v>c_tak_00001_mainquest_jigtrans_kyushin_Normal_Colorless</v>
      </c>
      <c r="E1965" s="139">
        <f>IFERROR(__xludf.DUMMYFUNCTION("""COMPUTED_VALUE"""),0.0)</f>
        <v>0</v>
      </c>
      <c r="F1965" s="139" t="str">
        <f>IFERROR(__xludf.DUMMYFUNCTION("""COMPUTED_VALUE"""),"Normal")</f>
        <v>Normal</v>
      </c>
      <c r="G1965" s="139"/>
      <c r="H1965" s="139"/>
      <c r="I1965" s="139">
        <f>IFERROR(__xludf.DUMMYFUNCTION("""COMPUTED_VALUE"""),50.0)</f>
        <v>50</v>
      </c>
      <c r="J1965" s="139">
        <f>IFERROR(__xludf.DUMMYFUNCTION("""COMPUTED_VALUE"""),22.0)</f>
        <v>22</v>
      </c>
      <c r="K1965" s="139">
        <f>IFERROR(__xludf.DUMMYFUNCTION("""COMPUTED_VALUE"""),50.0)</f>
        <v>50</v>
      </c>
      <c r="L1965" s="139"/>
      <c r="M1965" s="139"/>
      <c r="N1965" s="139"/>
    </row>
    <row r="1966">
      <c r="A1966" s="139" t="str">
        <f>IFERROR(__xludf.DUMMYFUNCTION("""COMPUTED_VALUE"""),"e")</f>
        <v>e</v>
      </c>
      <c r="B1966" s="139">
        <f>IFERROR(__xludf.DUMMYFUNCTION("""COMPUTED_VALUE"""),2.0250901E8)</f>
        <v>202509010</v>
      </c>
      <c r="C1966" s="139" t="str">
        <f>IFERROR(__xludf.DUMMYFUNCTION("""COMPUTED_VALUE"""),"c_tak_00001_mainquest_jigtrans_sagiri_Boss_Colorless_Normal_00000")</f>
        <v>c_tak_00001_mainquest_jigtrans_sagiri_Boss_Colorless_Normal_00000</v>
      </c>
      <c r="D1966" s="139" t="str">
        <f>IFERROR(__xludf.DUMMYFUNCTION("""COMPUTED_VALUE"""),"c_tak_00001_mainquest_jigtrans_sagiri_Boss_Colorless")</f>
        <v>c_tak_00001_mainquest_jigtrans_sagiri_Boss_Colorless</v>
      </c>
      <c r="E1966" s="139">
        <f>IFERROR(__xludf.DUMMYFUNCTION("""COMPUTED_VALUE"""),0.0)</f>
        <v>0</v>
      </c>
      <c r="F1966" s="139" t="str">
        <f>IFERROR(__xludf.DUMMYFUNCTION("""COMPUTED_VALUE"""),"Normal")</f>
        <v>Normal</v>
      </c>
      <c r="G1966" s="139"/>
      <c r="H1966" s="139"/>
      <c r="I1966" s="139">
        <f>IFERROR(__xludf.DUMMYFUNCTION("""COMPUTED_VALUE"""),50.0)</f>
        <v>50</v>
      </c>
      <c r="J1966" s="139">
        <f>IFERROR(__xludf.DUMMYFUNCTION("""COMPUTED_VALUE"""),22.0)</f>
        <v>22</v>
      </c>
      <c r="K1966" s="139">
        <f>IFERROR(__xludf.DUMMYFUNCTION("""COMPUTED_VALUE"""),50.0)</f>
        <v>50</v>
      </c>
      <c r="L1966" s="139"/>
      <c r="M1966" s="139"/>
      <c r="N1966" s="139"/>
    </row>
    <row r="1967">
      <c r="A1967" s="139" t="str">
        <f>IFERROR(__xludf.DUMMYFUNCTION("""COMPUTED_VALUE"""),"e")</f>
        <v>e</v>
      </c>
      <c r="B1967" s="139">
        <f>IFERROR(__xludf.DUMMYFUNCTION("""COMPUTED_VALUE"""),2.0250901E8)</f>
        <v>202509010</v>
      </c>
      <c r="C1967" s="139" t="str">
        <f>IFERROR(__xludf.DUMMYFUNCTION("""COMPUTED_VALUE"""),"c_tak_00001_mainquest_jigtrans_sagiri_Boss_Colorless_Appearance_00001")</f>
        <v>c_tak_00001_mainquest_jigtrans_sagiri_Boss_Colorless_Appearance_00001</v>
      </c>
      <c r="D1967" s="139" t="str">
        <f>IFERROR(__xludf.DUMMYFUNCTION("""COMPUTED_VALUE"""),"c_tak_00001_mainquest_jigtrans_sagiri_Boss_Colorless")</f>
        <v>c_tak_00001_mainquest_jigtrans_sagiri_Boss_Colorless</v>
      </c>
      <c r="E1967" s="139">
        <f>IFERROR(__xludf.DUMMYFUNCTION("""COMPUTED_VALUE"""),0.0)</f>
        <v>0</v>
      </c>
      <c r="F1967" s="139" t="str">
        <f>IFERROR(__xludf.DUMMYFUNCTION("""COMPUTED_VALUE"""),"Appearance")</f>
        <v>Appearance</v>
      </c>
      <c r="G1967" s="139"/>
      <c r="H1967" s="139"/>
      <c r="I1967" s="139">
        <f>IFERROR(__xludf.DUMMYFUNCTION("""COMPUTED_VALUE"""),50.0)</f>
        <v>50</v>
      </c>
      <c r="J1967" s="139">
        <f>IFERROR(__xludf.DUMMYFUNCTION("""COMPUTED_VALUE"""),0.0)</f>
        <v>0</v>
      </c>
      <c r="K1967" s="139">
        <f>IFERROR(__xludf.DUMMYFUNCTION("""COMPUTED_VALUE"""),0.0)</f>
        <v>0</v>
      </c>
      <c r="L1967" s="139"/>
      <c r="M1967" s="139"/>
      <c r="N1967" s="139"/>
    </row>
    <row r="1968">
      <c r="A1968" s="139"/>
      <c r="B1968" s="139"/>
      <c r="C1968" s="139"/>
      <c r="D1968" s="139"/>
      <c r="E1968" s="139"/>
      <c r="F1968" s="139"/>
      <c r="G1968" s="139"/>
      <c r="H1968" s="139"/>
      <c r="I1968" s="139"/>
      <c r="J1968" s="139"/>
      <c r="K1968" s="139"/>
      <c r="L1968" s="139"/>
      <c r="M1968" s="139"/>
      <c r="N1968" s="139"/>
    </row>
    <row r="1969">
      <c r="A1969" s="139" t="str">
        <f>IFERROR(__xludf.DUMMYFUNCTION("""COMPUTED_VALUE"""),"e")</f>
        <v>e</v>
      </c>
      <c r="B1969" s="139">
        <f>IFERROR(__xludf.DUMMYFUNCTION("""COMPUTED_VALUE"""),2.0250901E8)</f>
        <v>202509010</v>
      </c>
      <c r="C1969" s="139" t="str">
        <f>IFERROR(__xludf.DUMMYFUNCTION("""COMPUTED_VALUE"""),"e_dan_00001_mainquest_glo2_Normal_Blue_Normal_00000")</f>
        <v>e_dan_00001_mainquest_glo2_Normal_Blue_Normal_00000</v>
      </c>
      <c r="D1969" s="139" t="str">
        <f>IFERROR(__xludf.DUMMYFUNCTION("""COMPUTED_VALUE"""),"e_dan_00001_mainquest_glo2_Normal_Blue")</f>
        <v>e_dan_00001_mainquest_glo2_Normal_Blue</v>
      </c>
      <c r="E1969" s="139">
        <f>IFERROR(__xludf.DUMMYFUNCTION("""COMPUTED_VALUE"""),0.0)</f>
        <v>0</v>
      </c>
      <c r="F1969" s="139" t="str">
        <f>IFERROR(__xludf.DUMMYFUNCTION("""COMPUTED_VALUE"""),"Normal")</f>
        <v>Normal</v>
      </c>
      <c r="G1969" s="139"/>
      <c r="H1969" s="139"/>
      <c r="I1969" s="139">
        <f>IFERROR(__xludf.DUMMYFUNCTION("""COMPUTED_VALUE"""),58.0)</f>
        <v>58</v>
      </c>
      <c r="J1969" s="139">
        <f>IFERROR(__xludf.DUMMYFUNCTION("""COMPUTED_VALUE"""),25.0)</f>
        <v>25</v>
      </c>
      <c r="K1969" s="139">
        <f>IFERROR(__xludf.DUMMYFUNCTION("""COMPUTED_VALUE"""),110.0)</f>
        <v>110</v>
      </c>
      <c r="L1969" s="139"/>
      <c r="M1969" s="139"/>
      <c r="N1969" s="139"/>
    </row>
    <row r="1970">
      <c r="A1970" s="139" t="str">
        <f>IFERROR(__xludf.DUMMYFUNCTION("""COMPUTED_VALUE"""),"e")</f>
        <v>e</v>
      </c>
      <c r="B1970" s="139">
        <f>IFERROR(__xludf.DUMMYFUNCTION("""COMPUTED_VALUE"""),2.0250901E8)</f>
        <v>202509010</v>
      </c>
      <c r="C1970" s="139" t="str">
        <f>IFERROR(__xludf.DUMMYFUNCTION("""COMPUTED_VALUE"""),"e_dan_00101_mainquest_glo2_Normal_Blue_Normal_00000")</f>
        <v>e_dan_00101_mainquest_glo2_Normal_Blue_Normal_00000</v>
      </c>
      <c r="D1970" s="139" t="str">
        <f>IFERROR(__xludf.DUMMYFUNCTION("""COMPUTED_VALUE"""),"e_dan_00101_mainquest_glo2_Normal_Blue")</f>
        <v>e_dan_00101_mainquest_glo2_Normal_Blue</v>
      </c>
      <c r="E1970" s="139">
        <f>IFERROR(__xludf.DUMMYFUNCTION("""COMPUTED_VALUE"""),0.0)</f>
        <v>0</v>
      </c>
      <c r="F1970" s="139" t="str">
        <f>IFERROR(__xludf.DUMMYFUNCTION("""COMPUTED_VALUE"""),"Normal")</f>
        <v>Normal</v>
      </c>
      <c r="G1970" s="139"/>
      <c r="H1970" s="139"/>
      <c r="I1970" s="139">
        <f>IFERROR(__xludf.DUMMYFUNCTION("""COMPUTED_VALUE"""),70.0)</f>
        <v>70</v>
      </c>
      <c r="J1970" s="139">
        <f>IFERROR(__xludf.DUMMYFUNCTION("""COMPUTED_VALUE"""),35.0)</f>
        <v>35</v>
      </c>
      <c r="K1970" s="139">
        <f>IFERROR(__xludf.DUMMYFUNCTION("""COMPUTED_VALUE"""),75.0)</f>
        <v>75</v>
      </c>
      <c r="L1970" s="139"/>
      <c r="M1970" s="139"/>
      <c r="N1970" s="139"/>
    </row>
    <row r="1971">
      <c r="A1971" s="139" t="str">
        <f>IFERROR(__xludf.DUMMYFUNCTION("""COMPUTED_VALUE"""),"e")</f>
        <v>e</v>
      </c>
      <c r="B1971" s="139">
        <f>IFERROR(__xludf.DUMMYFUNCTION("""COMPUTED_VALUE"""),2.0250901E8)</f>
        <v>202509010</v>
      </c>
      <c r="C1971" s="139" t="str">
        <f>IFERROR(__xludf.DUMMYFUNCTION("""COMPUTED_VALUE"""),"e_dan_00201_mainquest_glo2_Boss_Blue_Normal_00000")</f>
        <v>e_dan_00201_mainquest_glo2_Boss_Blue_Normal_00000</v>
      </c>
      <c r="D1971" s="139" t="str">
        <f>IFERROR(__xludf.DUMMYFUNCTION("""COMPUTED_VALUE"""),"e_dan_00201_mainquest_glo2_Boss_Blue")</f>
        <v>e_dan_00201_mainquest_glo2_Boss_Blue</v>
      </c>
      <c r="E1971" s="139">
        <f>IFERROR(__xludf.DUMMYFUNCTION("""COMPUTED_VALUE"""),0.0)</f>
        <v>0</v>
      </c>
      <c r="F1971" s="139" t="str">
        <f>IFERROR(__xludf.DUMMYFUNCTION("""COMPUTED_VALUE"""),"Normal")</f>
        <v>Normal</v>
      </c>
      <c r="G1971" s="139"/>
      <c r="H1971" s="139"/>
      <c r="I1971" s="139">
        <f>IFERROR(__xludf.DUMMYFUNCTION("""COMPUTED_VALUE"""),75.0)</f>
        <v>75</v>
      </c>
      <c r="J1971" s="139">
        <f>IFERROR(__xludf.DUMMYFUNCTION("""COMPUTED_VALUE"""),20.0)</f>
        <v>20</v>
      </c>
      <c r="K1971" s="139">
        <f>IFERROR(__xludf.DUMMYFUNCTION("""COMPUTED_VALUE"""),200.0)</f>
        <v>200</v>
      </c>
      <c r="L1971" s="139"/>
      <c r="M1971" s="139"/>
      <c r="N1971" s="139"/>
    </row>
    <row r="1972">
      <c r="A1972" s="139" t="str">
        <f>IFERROR(__xludf.DUMMYFUNCTION("""COMPUTED_VALUE"""),"e")</f>
        <v>e</v>
      </c>
      <c r="B1972" s="139">
        <f>IFERROR(__xludf.DUMMYFUNCTION("""COMPUTED_VALUE"""),2.0250901E8)</f>
        <v>202509010</v>
      </c>
      <c r="C1972" s="139" t="str">
        <f>IFERROR(__xludf.DUMMYFUNCTION("""COMPUTED_VALUE"""),"e_dan_00201_mainquest_glo2_Boss_Blue_Appearance_00001")</f>
        <v>e_dan_00201_mainquest_glo2_Boss_Blue_Appearance_00001</v>
      </c>
      <c r="D1972" s="139" t="str">
        <f>IFERROR(__xludf.DUMMYFUNCTION("""COMPUTED_VALUE"""),"e_dan_00201_mainquest_glo2_Boss_Blue")</f>
        <v>e_dan_00201_mainquest_glo2_Boss_Blue</v>
      </c>
      <c r="E1972" s="139">
        <f>IFERROR(__xludf.DUMMYFUNCTION("""COMPUTED_VALUE"""),0.0)</f>
        <v>0</v>
      </c>
      <c r="F1972" s="139" t="str">
        <f>IFERROR(__xludf.DUMMYFUNCTION("""COMPUTED_VALUE"""),"Appearance")</f>
        <v>Appearance</v>
      </c>
      <c r="G1972" s="139"/>
      <c r="H1972" s="139"/>
      <c r="I1972" s="139">
        <f>IFERROR(__xludf.DUMMYFUNCTION("""COMPUTED_VALUE"""),50.0)</f>
        <v>50</v>
      </c>
      <c r="J1972" s="139">
        <f>IFERROR(__xludf.DUMMYFUNCTION("""COMPUTED_VALUE"""),0.0)</f>
        <v>0</v>
      </c>
      <c r="K1972" s="139">
        <f>IFERROR(__xludf.DUMMYFUNCTION("""COMPUTED_VALUE"""),0.0)</f>
        <v>0</v>
      </c>
      <c r="L1972" s="139"/>
      <c r="M1972" s="139"/>
      <c r="N1972" s="139"/>
    </row>
    <row r="1973">
      <c r="A1973" s="139" t="str">
        <f>IFERROR(__xludf.DUMMYFUNCTION("""COMPUTED_VALUE"""),"e")</f>
        <v>e</v>
      </c>
      <c r="B1973" s="139">
        <f>IFERROR(__xludf.DUMMYFUNCTION("""COMPUTED_VALUE"""),2.0250901E8)</f>
        <v>202509010</v>
      </c>
      <c r="C1973" s="139" t="str">
        <f>IFERROR(__xludf.DUMMYFUNCTION("""COMPUTED_VALUE"""),"e_jig_00301_mainquest_glo2_Normal_Blue_Normal_00000")</f>
        <v>e_jig_00301_mainquest_glo2_Normal_Blue_Normal_00000</v>
      </c>
      <c r="D1973" s="139" t="str">
        <f>IFERROR(__xludf.DUMMYFUNCTION("""COMPUTED_VALUE"""),"e_jig_00301_mainquest_glo2_Normal_Blue")</f>
        <v>e_jig_00301_mainquest_glo2_Normal_Blue</v>
      </c>
      <c r="E1973" s="139">
        <f>IFERROR(__xludf.DUMMYFUNCTION("""COMPUTED_VALUE"""),0.0)</f>
        <v>0</v>
      </c>
      <c r="F1973" s="139" t="str">
        <f>IFERROR(__xludf.DUMMYFUNCTION("""COMPUTED_VALUE"""),"Normal")</f>
        <v>Normal</v>
      </c>
      <c r="G1973" s="139"/>
      <c r="H1973" s="139"/>
      <c r="I1973" s="139">
        <f>IFERROR(__xludf.DUMMYFUNCTION("""COMPUTED_VALUE"""),78.0)</f>
        <v>78</v>
      </c>
      <c r="J1973" s="139">
        <f>IFERROR(__xludf.DUMMYFUNCTION("""COMPUTED_VALUE"""),33.0)</f>
        <v>33</v>
      </c>
      <c r="K1973" s="139">
        <f>IFERROR(__xludf.DUMMYFUNCTION("""COMPUTED_VALUE"""),85.0)</f>
        <v>85</v>
      </c>
      <c r="L1973" s="139"/>
      <c r="M1973" s="139"/>
      <c r="N1973" s="139"/>
    </row>
    <row r="1974">
      <c r="A1974" s="139" t="str">
        <f>IFERROR(__xludf.DUMMYFUNCTION("""COMPUTED_VALUE"""),"e")</f>
        <v>e</v>
      </c>
      <c r="B1974" s="139">
        <f>IFERROR(__xludf.DUMMYFUNCTION("""COMPUTED_VALUE"""),2.0250901E8)</f>
        <v>202509010</v>
      </c>
      <c r="C1974" s="139" t="str">
        <f>IFERROR(__xludf.DUMMYFUNCTION("""COMPUTED_VALUE"""),"e_jig_00402_mainquest_glo2_Normal_Blue_Normal_00000")</f>
        <v>e_jig_00402_mainquest_glo2_Normal_Blue_Normal_00000</v>
      </c>
      <c r="D1974" s="139" t="str">
        <f>IFERROR(__xludf.DUMMYFUNCTION("""COMPUTED_VALUE"""),"e_jig_00402_mainquest_glo2_Normal_Blue")</f>
        <v>e_jig_00402_mainquest_glo2_Normal_Blue</v>
      </c>
      <c r="E1974" s="139">
        <f>IFERROR(__xludf.DUMMYFUNCTION("""COMPUTED_VALUE"""),0.0)</f>
        <v>0</v>
      </c>
      <c r="F1974" s="139" t="str">
        <f>IFERROR(__xludf.DUMMYFUNCTION("""COMPUTED_VALUE"""),"Normal")</f>
        <v>Normal</v>
      </c>
      <c r="G1974" s="139"/>
      <c r="H1974" s="139"/>
      <c r="I1974" s="139">
        <f>IFERROR(__xludf.DUMMYFUNCTION("""COMPUTED_VALUE"""),105.0)</f>
        <v>105</v>
      </c>
      <c r="J1974" s="139">
        <f>IFERROR(__xludf.DUMMYFUNCTION("""COMPUTED_VALUE"""),30.0)</f>
        <v>30</v>
      </c>
      <c r="K1974" s="139">
        <f>IFERROR(__xludf.DUMMYFUNCTION("""COMPUTED_VALUE"""),100.0)</f>
        <v>100</v>
      </c>
      <c r="L1974" s="139"/>
      <c r="M1974" s="139"/>
      <c r="N1974" s="139"/>
    </row>
    <row r="1975">
      <c r="A1975" s="139" t="str">
        <f>IFERROR(__xludf.DUMMYFUNCTION("""COMPUTED_VALUE"""),"e")</f>
        <v>e</v>
      </c>
      <c r="B1975" s="139">
        <f>IFERROR(__xludf.DUMMYFUNCTION("""COMPUTED_VALUE"""),2.0250901E8)</f>
        <v>202509010</v>
      </c>
      <c r="C1975" s="139" t="str">
        <f>IFERROR(__xludf.DUMMYFUNCTION("""COMPUTED_VALUE"""),"c_dan_00001_mainquest_glo2_Normal_Red_Normal_00000")</f>
        <v>c_dan_00001_mainquest_glo2_Normal_Red_Normal_00000</v>
      </c>
      <c r="D1975" s="139" t="str">
        <f>IFERROR(__xludf.DUMMYFUNCTION("""COMPUTED_VALUE"""),"c_dan_00001_mainquest_glo2_Normal_Red")</f>
        <v>c_dan_00001_mainquest_glo2_Normal_Red</v>
      </c>
      <c r="E1975" s="139">
        <f>IFERROR(__xludf.DUMMYFUNCTION("""COMPUTED_VALUE"""),0.0)</f>
        <v>0</v>
      </c>
      <c r="F1975" s="139" t="str">
        <f>IFERROR(__xludf.DUMMYFUNCTION("""COMPUTED_VALUE"""),"Normal")</f>
        <v>Normal</v>
      </c>
      <c r="G1975" s="139"/>
      <c r="H1975" s="139"/>
      <c r="I1975" s="139">
        <f>IFERROR(__xludf.DUMMYFUNCTION("""COMPUTED_VALUE"""),72.0)</f>
        <v>72</v>
      </c>
      <c r="J1975" s="139">
        <f>IFERROR(__xludf.DUMMYFUNCTION("""COMPUTED_VALUE"""),27.0)</f>
        <v>27</v>
      </c>
      <c r="K1975" s="139">
        <f>IFERROR(__xludf.DUMMYFUNCTION("""COMPUTED_VALUE"""),225.0)</f>
        <v>225</v>
      </c>
      <c r="L1975" s="139"/>
      <c r="M1975" s="139"/>
      <c r="N1975" s="139"/>
    </row>
    <row r="1976">
      <c r="A1976" s="139" t="str">
        <f>IFERROR(__xludf.DUMMYFUNCTION("""COMPUTED_VALUE"""),"e")</f>
        <v>e</v>
      </c>
      <c r="B1976" s="139">
        <f>IFERROR(__xludf.DUMMYFUNCTION("""COMPUTED_VALUE"""),2.0250901E8)</f>
        <v>202509010</v>
      </c>
      <c r="C1976" s="139" t="str">
        <f>IFERROR(__xludf.DUMMYFUNCTION("""COMPUTED_VALUE"""),"c_dan_00001_mainquest_glo2_Normal_Red_Special_00001")</f>
        <v>c_dan_00001_mainquest_glo2_Normal_Red_Special_00001</v>
      </c>
      <c r="D1976" s="139" t="str">
        <f>IFERROR(__xludf.DUMMYFUNCTION("""COMPUTED_VALUE"""),"c_dan_00001_mainquest_glo2_Normal_Red")</f>
        <v>c_dan_00001_mainquest_glo2_Normal_Red</v>
      </c>
      <c r="E1976" s="139">
        <f>IFERROR(__xludf.DUMMYFUNCTION("""COMPUTED_VALUE"""),0.0)</f>
        <v>0</v>
      </c>
      <c r="F1976" s="139" t="str">
        <f>IFERROR(__xludf.DUMMYFUNCTION("""COMPUTED_VALUE"""),"Special")</f>
        <v>Special</v>
      </c>
      <c r="G1976" s="139"/>
      <c r="H1976" s="139"/>
      <c r="I1976" s="139">
        <f>IFERROR(__xludf.DUMMYFUNCTION("""COMPUTED_VALUE"""),200.0)</f>
        <v>200</v>
      </c>
      <c r="J1976" s="139">
        <f>IFERROR(__xludf.DUMMYFUNCTION("""COMPUTED_VALUE"""),83.0)</f>
        <v>83</v>
      </c>
      <c r="K1976" s="139">
        <f>IFERROR(__xludf.DUMMYFUNCTION("""COMPUTED_VALUE"""),0.0)</f>
        <v>0</v>
      </c>
      <c r="L1976" s="139"/>
      <c r="M1976" s="139"/>
      <c r="N1976" s="139"/>
    </row>
    <row r="1977">
      <c r="A1977" s="139" t="str">
        <f>IFERROR(__xludf.DUMMYFUNCTION("""COMPUTED_VALUE"""),"e")</f>
        <v>e</v>
      </c>
      <c r="B1977" s="139">
        <f>IFERROR(__xludf.DUMMYFUNCTION("""COMPUTED_VALUE"""),2.0250901E8)</f>
        <v>202509010</v>
      </c>
      <c r="C1977" s="139" t="str">
        <f>IFERROR(__xludf.DUMMYFUNCTION("""COMPUTED_VALUE"""),"c_dan_00002_mainquest_glo2_Boss_Red_Normal_00000")</f>
        <v>c_dan_00002_mainquest_glo2_Boss_Red_Normal_00000</v>
      </c>
      <c r="D1977" s="139" t="str">
        <f>IFERROR(__xludf.DUMMYFUNCTION("""COMPUTED_VALUE"""),"c_dan_00002_mainquest_glo2_Boss_Red")</f>
        <v>c_dan_00002_mainquest_glo2_Boss_Red</v>
      </c>
      <c r="E1977" s="139">
        <f>IFERROR(__xludf.DUMMYFUNCTION("""COMPUTED_VALUE"""),0.0)</f>
        <v>0</v>
      </c>
      <c r="F1977" s="139" t="str">
        <f>IFERROR(__xludf.DUMMYFUNCTION("""COMPUTED_VALUE"""),"Normal")</f>
        <v>Normal</v>
      </c>
      <c r="G1977" s="139"/>
      <c r="H1977" s="139"/>
      <c r="I1977" s="139">
        <f>IFERROR(__xludf.DUMMYFUNCTION("""COMPUTED_VALUE"""),92.0)</f>
        <v>92</v>
      </c>
      <c r="J1977" s="139">
        <f>IFERROR(__xludf.DUMMYFUNCTION("""COMPUTED_VALUE"""),0.0)</f>
        <v>0</v>
      </c>
      <c r="K1977" s="139">
        <f>IFERROR(__xludf.DUMMYFUNCTION("""COMPUTED_VALUE"""),65.0)</f>
        <v>65</v>
      </c>
      <c r="L1977" s="139"/>
      <c r="M1977" s="139"/>
      <c r="N1977" s="139"/>
    </row>
    <row r="1978">
      <c r="A1978" s="139" t="str">
        <f>IFERROR(__xludf.DUMMYFUNCTION("""COMPUTED_VALUE"""),"e")</f>
        <v>e</v>
      </c>
      <c r="B1978" s="139">
        <f>IFERROR(__xludf.DUMMYFUNCTION("""COMPUTED_VALUE"""),2.0250901E8)</f>
        <v>202509010</v>
      </c>
      <c r="C1978" s="139" t="str">
        <f>IFERROR(__xludf.DUMMYFUNCTION("""COMPUTED_VALUE"""),"c_dan_00002_mainquest_glo2_Boss_Red_Special_00002")</f>
        <v>c_dan_00002_mainquest_glo2_Boss_Red_Special_00002</v>
      </c>
      <c r="D1978" s="139" t="str">
        <f>IFERROR(__xludf.DUMMYFUNCTION("""COMPUTED_VALUE"""),"c_dan_00002_mainquest_glo2_Boss_Red")</f>
        <v>c_dan_00002_mainquest_glo2_Boss_Red</v>
      </c>
      <c r="E1978" s="139">
        <f>IFERROR(__xludf.DUMMYFUNCTION("""COMPUTED_VALUE"""),0.0)</f>
        <v>0</v>
      </c>
      <c r="F1978" s="139" t="str">
        <f>IFERROR(__xludf.DUMMYFUNCTION("""COMPUTED_VALUE"""),"Special")</f>
        <v>Special</v>
      </c>
      <c r="G1978" s="139"/>
      <c r="H1978" s="139"/>
      <c r="I1978" s="139">
        <f>IFERROR(__xludf.DUMMYFUNCTION("""COMPUTED_VALUE"""),261.0)</f>
        <v>261</v>
      </c>
      <c r="J1978" s="139">
        <f>IFERROR(__xludf.DUMMYFUNCTION("""COMPUTED_VALUE"""),0.0)</f>
        <v>0</v>
      </c>
      <c r="K1978" s="139">
        <f>IFERROR(__xludf.DUMMYFUNCTION("""COMPUTED_VALUE"""),0.0)</f>
        <v>0</v>
      </c>
      <c r="L1978" s="139"/>
      <c r="M1978" s="139"/>
      <c r="N1978" s="139"/>
    </row>
    <row r="1979">
      <c r="A1979" s="139" t="str">
        <f>IFERROR(__xludf.DUMMYFUNCTION("""COMPUTED_VALUE"""),"e")</f>
        <v>e</v>
      </c>
      <c r="B1979" s="139">
        <f>IFERROR(__xludf.DUMMYFUNCTION("""COMPUTED_VALUE"""),2.0250901E8)</f>
        <v>202509010</v>
      </c>
      <c r="C1979" s="139" t="str">
        <f>IFERROR(__xludf.DUMMYFUNCTION("""COMPUTED_VALUE"""),"c_dan_00002_mainquest_glo2_Boss_Red_Appearance_00002")</f>
        <v>c_dan_00002_mainquest_glo2_Boss_Red_Appearance_00002</v>
      </c>
      <c r="D1979" s="139" t="str">
        <f>IFERROR(__xludf.DUMMYFUNCTION("""COMPUTED_VALUE"""),"c_dan_00002_mainquest_glo2_Boss_Red")</f>
        <v>c_dan_00002_mainquest_glo2_Boss_Red</v>
      </c>
      <c r="E1979" s="139">
        <f>IFERROR(__xludf.DUMMYFUNCTION("""COMPUTED_VALUE"""),0.0)</f>
        <v>0</v>
      </c>
      <c r="F1979" s="139" t="str">
        <f>IFERROR(__xludf.DUMMYFUNCTION("""COMPUTED_VALUE"""),"Appearance")</f>
        <v>Appearance</v>
      </c>
      <c r="G1979" s="139"/>
      <c r="H1979" s="139"/>
      <c r="I1979" s="139">
        <f>IFERROR(__xludf.DUMMYFUNCTION("""COMPUTED_VALUE"""),50.0)</f>
        <v>50</v>
      </c>
      <c r="J1979" s="139">
        <f>IFERROR(__xludf.DUMMYFUNCTION("""COMPUTED_VALUE"""),0.0)</f>
        <v>0</v>
      </c>
      <c r="K1979" s="139">
        <f>IFERROR(__xludf.DUMMYFUNCTION("""COMPUTED_VALUE"""),0.0)</f>
        <v>0</v>
      </c>
      <c r="L1979" s="139"/>
      <c r="M1979" s="139"/>
      <c r="N1979" s="139"/>
    </row>
    <row r="1980">
      <c r="A1980" s="139" t="str">
        <f>IFERROR(__xludf.DUMMYFUNCTION("""COMPUTED_VALUE"""),"e")</f>
        <v>e</v>
      </c>
      <c r="B1980" s="139">
        <f>IFERROR(__xludf.DUMMYFUNCTION("""COMPUTED_VALUE"""),2.0250901E8)</f>
        <v>202509010</v>
      </c>
      <c r="C1980" s="139" t="str">
        <f>IFERROR(__xludf.DUMMYFUNCTION("""COMPUTED_VALUE"""),"c_dan_00101_mainquest_glo2_Normal_Red_Normal_00000")</f>
        <v>c_dan_00101_mainquest_glo2_Normal_Red_Normal_00000</v>
      </c>
      <c r="D1980" s="139" t="str">
        <f>IFERROR(__xludf.DUMMYFUNCTION("""COMPUTED_VALUE"""),"c_dan_00101_mainquest_glo2_Normal_Red")</f>
        <v>c_dan_00101_mainquest_glo2_Normal_Red</v>
      </c>
      <c r="E1980" s="139">
        <f>IFERROR(__xludf.DUMMYFUNCTION("""COMPUTED_VALUE"""),0.0)</f>
        <v>0</v>
      </c>
      <c r="F1980" s="139" t="str">
        <f>IFERROR(__xludf.DUMMYFUNCTION("""COMPUTED_VALUE"""),"Normal")</f>
        <v>Normal</v>
      </c>
      <c r="G1980" s="139"/>
      <c r="H1980" s="139"/>
      <c r="I1980" s="139">
        <f>IFERROR(__xludf.DUMMYFUNCTION("""COMPUTED_VALUE"""),50.0)</f>
        <v>50</v>
      </c>
      <c r="J1980" s="139">
        <f>IFERROR(__xludf.DUMMYFUNCTION("""COMPUTED_VALUE"""),25.0)</f>
        <v>25</v>
      </c>
      <c r="K1980" s="139">
        <f>IFERROR(__xludf.DUMMYFUNCTION("""COMPUTED_VALUE"""),90.0)</f>
        <v>90</v>
      </c>
      <c r="L1980" s="139"/>
      <c r="M1980" s="139"/>
      <c r="N1980" s="139"/>
    </row>
    <row r="1981">
      <c r="A1981" s="139" t="str">
        <f>IFERROR(__xludf.DUMMYFUNCTION("""COMPUTED_VALUE"""),"e")</f>
        <v>e</v>
      </c>
      <c r="B1981" s="139">
        <f>IFERROR(__xludf.DUMMYFUNCTION("""COMPUTED_VALUE"""),2.0250901E8)</f>
        <v>202509010</v>
      </c>
      <c r="C1981" s="139" t="str">
        <f>IFERROR(__xludf.DUMMYFUNCTION("""COMPUTED_VALUE"""),"c_dan_00101_mainquest_glo2_Normal_Red_Special_00001")</f>
        <v>c_dan_00101_mainquest_glo2_Normal_Red_Special_00001</v>
      </c>
      <c r="D1981" s="139" t="str">
        <f>IFERROR(__xludf.DUMMYFUNCTION("""COMPUTED_VALUE"""),"c_dan_00101_mainquest_glo2_Normal_Red")</f>
        <v>c_dan_00101_mainquest_glo2_Normal_Red</v>
      </c>
      <c r="E1981" s="139">
        <f>IFERROR(__xludf.DUMMYFUNCTION("""COMPUTED_VALUE"""),0.0)</f>
        <v>0</v>
      </c>
      <c r="F1981" s="139" t="str">
        <f>IFERROR(__xludf.DUMMYFUNCTION("""COMPUTED_VALUE"""),"Special")</f>
        <v>Special</v>
      </c>
      <c r="G1981" s="139"/>
      <c r="H1981" s="139"/>
      <c r="I1981" s="139">
        <f>IFERROR(__xludf.DUMMYFUNCTION("""COMPUTED_VALUE"""),200.0)</f>
        <v>200</v>
      </c>
      <c r="J1981" s="139">
        <f>IFERROR(__xludf.DUMMYFUNCTION("""COMPUTED_VALUE"""),100.0)</f>
        <v>100</v>
      </c>
      <c r="K1981" s="139">
        <f>IFERROR(__xludf.DUMMYFUNCTION("""COMPUTED_VALUE"""),0.0)</f>
        <v>0</v>
      </c>
      <c r="L1981" s="139"/>
      <c r="M1981" s="139"/>
      <c r="N1981" s="139"/>
    </row>
    <row r="1982">
      <c r="A1982" s="139" t="str">
        <f>IFERROR(__xludf.DUMMYFUNCTION("""COMPUTED_VALUE"""),"e")</f>
        <v>e</v>
      </c>
      <c r="B1982" s="139">
        <f>IFERROR(__xludf.DUMMYFUNCTION("""COMPUTED_VALUE"""),2.0250901E8)</f>
        <v>202509010</v>
      </c>
      <c r="C1982" s="139" t="str">
        <f>IFERROR(__xludf.DUMMYFUNCTION("""COMPUTED_VALUE"""),"c_jig_00001_mainquest_glo2_Normal_Red_Normal_00000")</f>
        <v>c_jig_00001_mainquest_glo2_Normal_Red_Normal_00000</v>
      </c>
      <c r="D1982" s="139" t="str">
        <f>IFERROR(__xludf.DUMMYFUNCTION("""COMPUTED_VALUE"""),"c_jig_00001_mainquest_glo2_Normal_Red")</f>
        <v>c_jig_00001_mainquest_glo2_Normal_Red</v>
      </c>
      <c r="E1982" s="139">
        <f>IFERROR(__xludf.DUMMYFUNCTION("""COMPUTED_VALUE"""),0.0)</f>
        <v>0</v>
      </c>
      <c r="F1982" s="139" t="str">
        <f>IFERROR(__xludf.DUMMYFUNCTION("""COMPUTED_VALUE"""),"Normal")</f>
        <v>Normal</v>
      </c>
      <c r="G1982" s="139"/>
      <c r="H1982" s="139"/>
      <c r="I1982" s="139">
        <f>IFERROR(__xludf.DUMMYFUNCTION("""COMPUTED_VALUE"""),59.0)</f>
        <v>59</v>
      </c>
      <c r="J1982" s="139">
        <f>IFERROR(__xludf.DUMMYFUNCTION("""COMPUTED_VALUE"""),10.0)</f>
        <v>10</v>
      </c>
      <c r="K1982" s="139">
        <f>IFERROR(__xludf.DUMMYFUNCTION("""COMPUTED_VALUE"""),80.0)</f>
        <v>80</v>
      </c>
      <c r="L1982" s="139"/>
      <c r="M1982" s="139"/>
      <c r="N1982" s="139"/>
    </row>
    <row r="1983">
      <c r="A1983" s="139" t="str">
        <f>IFERROR(__xludf.DUMMYFUNCTION("""COMPUTED_VALUE"""),"e")</f>
        <v>e</v>
      </c>
      <c r="B1983" s="139">
        <f>IFERROR(__xludf.DUMMYFUNCTION("""COMPUTED_VALUE"""),2.0250901E8)</f>
        <v>202509010</v>
      </c>
      <c r="C1983" s="139" t="str">
        <f>IFERROR(__xludf.DUMMYFUNCTION("""COMPUTED_VALUE"""),"c_jig_00001_mainquest_glo2_Normal_Red_Special_00001")</f>
        <v>c_jig_00001_mainquest_glo2_Normal_Red_Special_00001</v>
      </c>
      <c r="D1983" s="139" t="str">
        <f>IFERROR(__xludf.DUMMYFUNCTION("""COMPUTED_VALUE"""),"c_jig_00001_mainquest_glo2_Normal_Red")</f>
        <v>c_jig_00001_mainquest_glo2_Normal_Red</v>
      </c>
      <c r="E1983" s="139">
        <f>IFERROR(__xludf.DUMMYFUNCTION("""COMPUTED_VALUE"""),0.0)</f>
        <v>0</v>
      </c>
      <c r="F1983" s="139" t="str">
        <f>IFERROR(__xludf.DUMMYFUNCTION("""COMPUTED_VALUE"""),"Special")</f>
        <v>Special</v>
      </c>
      <c r="G1983" s="139"/>
      <c r="H1983" s="139"/>
      <c r="I1983" s="139">
        <f>IFERROR(__xludf.DUMMYFUNCTION("""COMPUTED_VALUE"""),115.0)</f>
        <v>115</v>
      </c>
      <c r="J1983" s="139">
        <f>IFERROR(__xludf.DUMMYFUNCTION("""COMPUTED_VALUE"""),0.0)</f>
        <v>0</v>
      </c>
      <c r="K1983" s="139">
        <f>IFERROR(__xludf.DUMMYFUNCTION("""COMPUTED_VALUE"""),0.0)</f>
        <v>0</v>
      </c>
      <c r="L1983" s="139"/>
      <c r="M1983" s="139"/>
      <c r="N1983" s="139"/>
    </row>
    <row r="1984">
      <c r="A1984" s="139" t="str">
        <f>IFERROR(__xludf.DUMMYFUNCTION("""COMPUTED_VALUE"""),"e")</f>
        <v>e</v>
      </c>
      <c r="B1984" s="139">
        <f>IFERROR(__xludf.DUMMYFUNCTION("""COMPUTED_VALUE"""),2.0250901E8)</f>
        <v>202509010</v>
      </c>
      <c r="C1984" s="139" t="str">
        <f>IFERROR(__xludf.DUMMYFUNCTION("""COMPUTED_VALUE"""),"c_jig_00101_mainquest_glo2_Normal_Red_Normal_00000")</f>
        <v>c_jig_00101_mainquest_glo2_Normal_Red_Normal_00000</v>
      </c>
      <c r="D1984" s="139" t="str">
        <f>IFERROR(__xludf.DUMMYFUNCTION("""COMPUTED_VALUE"""),"c_jig_00101_mainquest_glo2_Normal_Red")</f>
        <v>c_jig_00101_mainquest_glo2_Normal_Red</v>
      </c>
      <c r="E1984" s="139">
        <f>IFERROR(__xludf.DUMMYFUNCTION("""COMPUTED_VALUE"""),0.0)</f>
        <v>0</v>
      </c>
      <c r="F1984" s="139" t="str">
        <f>IFERROR(__xludf.DUMMYFUNCTION("""COMPUTED_VALUE"""),"Normal")</f>
        <v>Normal</v>
      </c>
      <c r="G1984" s="139"/>
      <c r="H1984" s="139"/>
      <c r="I1984" s="139">
        <f>IFERROR(__xludf.DUMMYFUNCTION("""COMPUTED_VALUE"""),75.0)</f>
        <v>75</v>
      </c>
      <c r="J1984" s="139">
        <f>IFERROR(__xludf.DUMMYFUNCTION("""COMPUTED_VALUE"""),25.0)</f>
        <v>25</v>
      </c>
      <c r="K1984" s="139">
        <f>IFERROR(__xludf.DUMMYFUNCTION("""COMPUTED_VALUE"""),100.0)</f>
        <v>100</v>
      </c>
      <c r="L1984" s="139"/>
      <c r="M1984" s="139"/>
      <c r="N1984" s="139"/>
    </row>
    <row r="1985">
      <c r="A1985" s="139" t="str">
        <f>IFERROR(__xludf.DUMMYFUNCTION("""COMPUTED_VALUE"""),"e")</f>
        <v>e</v>
      </c>
      <c r="B1985" s="139">
        <f>IFERROR(__xludf.DUMMYFUNCTION("""COMPUTED_VALUE"""),2.0250901E8)</f>
        <v>202509010</v>
      </c>
      <c r="C1985" s="139" t="str">
        <f>IFERROR(__xludf.DUMMYFUNCTION("""COMPUTED_VALUE"""),"c_jig_00101_mainquest_glo2_Normal_Red_Special_00001")</f>
        <v>c_jig_00101_mainquest_glo2_Normal_Red_Special_00001</v>
      </c>
      <c r="D1985" s="139" t="str">
        <f>IFERROR(__xludf.DUMMYFUNCTION("""COMPUTED_VALUE"""),"c_jig_00101_mainquest_glo2_Normal_Red")</f>
        <v>c_jig_00101_mainquest_glo2_Normal_Red</v>
      </c>
      <c r="E1985" s="139">
        <f>IFERROR(__xludf.DUMMYFUNCTION("""COMPUTED_VALUE"""),0.0)</f>
        <v>0</v>
      </c>
      <c r="F1985" s="139" t="str">
        <f>IFERROR(__xludf.DUMMYFUNCTION("""COMPUTED_VALUE"""),"Special")</f>
        <v>Special</v>
      </c>
      <c r="G1985" s="139"/>
      <c r="H1985" s="139"/>
      <c r="I1985" s="139">
        <f>IFERROR(__xludf.DUMMYFUNCTION("""COMPUTED_VALUE"""),125.0)</f>
        <v>125</v>
      </c>
      <c r="J1985" s="139">
        <f>IFERROR(__xludf.DUMMYFUNCTION("""COMPUTED_VALUE"""),60.0)</f>
        <v>60</v>
      </c>
      <c r="K1985" s="139">
        <f>IFERROR(__xludf.DUMMYFUNCTION("""COMPUTED_VALUE"""),0.0)</f>
        <v>0</v>
      </c>
      <c r="L1985" s="139"/>
      <c r="M1985" s="139"/>
      <c r="N1985" s="139"/>
    </row>
    <row r="1986">
      <c r="A1986" s="139" t="str">
        <f>IFERROR(__xludf.DUMMYFUNCTION("""COMPUTED_VALUE"""),"e")</f>
        <v>e</v>
      </c>
      <c r="B1986" s="139">
        <f>IFERROR(__xludf.DUMMYFUNCTION("""COMPUTED_VALUE"""),2.0250901E8)</f>
        <v>202509010</v>
      </c>
      <c r="C1986" s="139" t="str">
        <f>IFERROR(__xludf.DUMMYFUNCTION("""COMPUTED_VALUE"""),"c_tak_00001_mainquest_glo2_Normal_Red_Normal_00000")</f>
        <v>c_tak_00001_mainquest_glo2_Normal_Red_Normal_00000</v>
      </c>
      <c r="D1986" s="139" t="str">
        <f>IFERROR(__xludf.DUMMYFUNCTION("""COMPUTED_VALUE"""),"c_tak_00001_mainquest_glo2_Normal_Red")</f>
        <v>c_tak_00001_mainquest_glo2_Normal_Red</v>
      </c>
      <c r="E1986" s="139">
        <f>IFERROR(__xludf.DUMMYFUNCTION("""COMPUTED_VALUE"""),0.0)</f>
        <v>0</v>
      </c>
      <c r="F1986" s="139" t="str">
        <f>IFERROR(__xludf.DUMMYFUNCTION("""COMPUTED_VALUE"""),"Normal")</f>
        <v>Normal</v>
      </c>
      <c r="G1986" s="139"/>
      <c r="H1986" s="139"/>
      <c r="I1986" s="139">
        <f>IFERROR(__xludf.DUMMYFUNCTION("""COMPUTED_VALUE"""),50.0)</f>
        <v>50</v>
      </c>
      <c r="J1986" s="139">
        <f>IFERROR(__xludf.DUMMYFUNCTION("""COMPUTED_VALUE"""),22.0)</f>
        <v>22</v>
      </c>
      <c r="K1986" s="139">
        <f>IFERROR(__xludf.DUMMYFUNCTION("""COMPUTED_VALUE"""),100.0)</f>
        <v>100</v>
      </c>
      <c r="L1986" s="139"/>
      <c r="M1986" s="139"/>
      <c r="N1986" s="139"/>
    </row>
    <row r="1987">
      <c r="A1987" s="139"/>
      <c r="B1987" s="139"/>
      <c r="C1987" s="139"/>
      <c r="D1987" s="139"/>
      <c r="E1987" s="139"/>
      <c r="F1987" s="139"/>
      <c r="G1987" s="139"/>
      <c r="H1987" s="139"/>
      <c r="I1987" s="139"/>
      <c r="J1987" s="139"/>
      <c r="K1987" s="139"/>
      <c r="L1987" s="139"/>
      <c r="M1987" s="139"/>
      <c r="N1987" s="139"/>
    </row>
    <row r="1988">
      <c r="A1988" s="139" t="str">
        <f>IFERROR(__xludf.DUMMYFUNCTION("""COMPUTED_VALUE"""),"e")</f>
        <v>e</v>
      </c>
      <c r="B1988" s="139">
        <f>IFERROR(__xludf.DUMMYFUNCTION("""COMPUTED_VALUE"""),2.0251202E8)</f>
        <v>202512020</v>
      </c>
      <c r="C1988" s="139" t="str">
        <f>IFERROR(__xludf.DUMMYFUNCTION("""COMPUTED_VALUE"""),"e_glo_00001_general_osh_n_Normal_Yellow_Normal_00000")</f>
        <v>e_glo_00001_general_osh_n_Normal_Yellow_Normal_00000</v>
      </c>
      <c r="D1988" s="139" t="str">
        <f>IFERROR(__xludf.DUMMYFUNCTION("""COMPUTED_VALUE"""),"e_glo_00001_general_osh_n_Normal_Yellow")</f>
        <v>e_glo_00001_general_osh_n_Normal_Yellow</v>
      </c>
      <c r="E1988" s="139">
        <f>IFERROR(__xludf.DUMMYFUNCTION("""COMPUTED_VALUE"""),0.0)</f>
        <v>0</v>
      </c>
      <c r="F1988" s="139" t="str">
        <f>IFERROR(__xludf.DUMMYFUNCTION("""COMPUTED_VALUE"""),"Normal")</f>
        <v>Normal</v>
      </c>
      <c r="G1988" s="139"/>
      <c r="H1988" s="139"/>
      <c r="I1988" s="139">
        <f>IFERROR(__xludf.DUMMYFUNCTION("""COMPUTED_VALUE"""),50.0)</f>
        <v>50</v>
      </c>
      <c r="J1988" s="139">
        <f>IFERROR(__xludf.DUMMYFUNCTION("""COMPUTED_VALUE"""),25.0)</f>
        <v>25</v>
      </c>
      <c r="K1988" s="139">
        <f>IFERROR(__xludf.DUMMYFUNCTION("""COMPUTED_VALUE"""),100.0)</f>
        <v>100</v>
      </c>
      <c r="L1988" s="139"/>
      <c r="M1988" s="139"/>
      <c r="N1988" s="139"/>
    </row>
    <row r="1989">
      <c r="A1989" s="139" t="str">
        <f>IFERROR(__xludf.DUMMYFUNCTION("""COMPUTED_VALUE"""),"e")</f>
        <v>e</v>
      </c>
      <c r="B1989" s="139">
        <f>IFERROR(__xludf.DUMMYFUNCTION("""COMPUTED_VALUE"""),2.0251202E8)</f>
        <v>202512020</v>
      </c>
      <c r="C1989" s="139" t="str">
        <f>IFERROR(__xludf.DUMMYFUNCTION("""COMPUTED_VALUE"""),"e_glo_00001_general_osh_n_Normal_Green_Normal_00000")</f>
        <v>e_glo_00001_general_osh_n_Normal_Green_Normal_00000</v>
      </c>
      <c r="D1989" s="139" t="str">
        <f>IFERROR(__xludf.DUMMYFUNCTION("""COMPUTED_VALUE"""),"e_glo_00001_general_osh_n_Normal_Green")</f>
        <v>e_glo_00001_general_osh_n_Normal_Green</v>
      </c>
      <c r="E1989" s="139">
        <f>IFERROR(__xludf.DUMMYFUNCTION("""COMPUTED_VALUE"""),0.0)</f>
        <v>0</v>
      </c>
      <c r="F1989" s="139" t="str">
        <f>IFERROR(__xludf.DUMMYFUNCTION("""COMPUTED_VALUE"""),"Normal")</f>
        <v>Normal</v>
      </c>
      <c r="G1989" s="139"/>
      <c r="H1989" s="139"/>
      <c r="I1989" s="139">
        <f>IFERROR(__xludf.DUMMYFUNCTION("""COMPUTED_VALUE"""),50.0)</f>
        <v>50</v>
      </c>
      <c r="J1989" s="139">
        <f>IFERROR(__xludf.DUMMYFUNCTION("""COMPUTED_VALUE"""),25.0)</f>
        <v>25</v>
      </c>
      <c r="K1989" s="139">
        <f>IFERROR(__xludf.DUMMYFUNCTION("""COMPUTED_VALUE"""),100.0)</f>
        <v>100</v>
      </c>
      <c r="L1989" s="139"/>
      <c r="M1989" s="139"/>
      <c r="N1989" s="139"/>
    </row>
    <row r="1990">
      <c r="A1990" s="139" t="str">
        <f>IFERROR(__xludf.DUMMYFUNCTION("""COMPUTED_VALUE"""),"e")</f>
        <v>e</v>
      </c>
      <c r="B1990" s="139">
        <f>IFERROR(__xludf.DUMMYFUNCTION("""COMPUTED_VALUE"""),2.0251202E8)</f>
        <v>202512020</v>
      </c>
      <c r="C1990" s="139" t="str">
        <f>IFERROR(__xludf.DUMMYFUNCTION("""COMPUTED_VALUE"""),"e_glo_00001_general_osh_n_Boss_Yellow_Normal_00000")</f>
        <v>e_glo_00001_general_osh_n_Boss_Yellow_Normal_00000</v>
      </c>
      <c r="D1990" s="139" t="str">
        <f>IFERROR(__xludf.DUMMYFUNCTION("""COMPUTED_VALUE"""),"e_glo_00001_general_osh_n_Boss_Yellow")</f>
        <v>e_glo_00001_general_osh_n_Boss_Yellow</v>
      </c>
      <c r="E1990" s="139">
        <f>IFERROR(__xludf.DUMMYFUNCTION("""COMPUTED_VALUE"""),0.0)</f>
        <v>0</v>
      </c>
      <c r="F1990" s="139" t="str">
        <f>IFERROR(__xludf.DUMMYFUNCTION("""COMPUTED_VALUE"""),"Normal")</f>
        <v>Normal</v>
      </c>
      <c r="G1990" s="139"/>
      <c r="H1990" s="139"/>
      <c r="I1990" s="139">
        <f>IFERROR(__xludf.DUMMYFUNCTION("""COMPUTED_VALUE"""),50.0)</f>
        <v>50</v>
      </c>
      <c r="J1990" s="139">
        <f>IFERROR(__xludf.DUMMYFUNCTION("""COMPUTED_VALUE"""),25.0)</f>
        <v>25</v>
      </c>
      <c r="K1990" s="139">
        <f>IFERROR(__xludf.DUMMYFUNCTION("""COMPUTED_VALUE"""),100.0)</f>
        <v>100</v>
      </c>
      <c r="L1990" s="139"/>
      <c r="M1990" s="139"/>
      <c r="N1990" s="139"/>
    </row>
    <row r="1991">
      <c r="A1991" s="139" t="str">
        <f>IFERROR(__xludf.DUMMYFUNCTION("""COMPUTED_VALUE"""),"e")</f>
        <v>e</v>
      </c>
      <c r="B1991" s="139">
        <f>IFERROR(__xludf.DUMMYFUNCTION("""COMPUTED_VALUE"""),2.0251202E8)</f>
        <v>202512020</v>
      </c>
      <c r="C1991" s="139" t="str">
        <f>IFERROR(__xludf.DUMMYFUNCTION("""COMPUTED_VALUE"""),"e_glo_00001_general_osh_n_Boss_Yellow_Appearance_00001")</f>
        <v>e_glo_00001_general_osh_n_Boss_Yellow_Appearance_00001</v>
      </c>
      <c r="D1991" s="139" t="str">
        <f>IFERROR(__xludf.DUMMYFUNCTION("""COMPUTED_VALUE"""),"e_glo_00001_general_osh_n_Boss_Yellow")</f>
        <v>e_glo_00001_general_osh_n_Boss_Yellow</v>
      </c>
      <c r="E1991" s="139">
        <f>IFERROR(__xludf.DUMMYFUNCTION("""COMPUTED_VALUE"""),0.0)</f>
        <v>0</v>
      </c>
      <c r="F1991" s="139" t="str">
        <f>IFERROR(__xludf.DUMMYFUNCTION("""COMPUTED_VALUE"""),"Appearance")</f>
        <v>Appearance</v>
      </c>
      <c r="G1991" s="139"/>
      <c r="H1991" s="139"/>
      <c r="I1991" s="139">
        <f>IFERROR(__xludf.DUMMYFUNCTION("""COMPUTED_VALUE"""),50.0)</f>
        <v>50</v>
      </c>
      <c r="J1991" s="139">
        <f>IFERROR(__xludf.DUMMYFUNCTION("""COMPUTED_VALUE"""),0.0)</f>
        <v>0</v>
      </c>
      <c r="K1991" s="139">
        <f>IFERROR(__xludf.DUMMYFUNCTION("""COMPUTED_VALUE"""),0.0)</f>
        <v>0</v>
      </c>
      <c r="L1991" s="139"/>
      <c r="M1991" s="139"/>
      <c r="N1991" s="139"/>
    </row>
    <row r="1992">
      <c r="A1992" s="139" t="str">
        <f>IFERROR(__xludf.DUMMYFUNCTION("""COMPUTED_VALUE"""),"e")</f>
        <v>e</v>
      </c>
      <c r="B1992" s="139">
        <f>IFERROR(__xludf.DUMMYFUNCTION("""COMPUTED_VALUE"""),2.0251202E8)</f>
        <v>202512020</v>
      </c>
      <c r="C1992" s="139" t="str">
        <f>IFERROR(__xludf.DUMMYFUNCTION("""COMPUTED_VALUE"""),"e_glo_00002_general_osh_n_Normal_Green_Normal_00000")</f>
        <v>e_glo_00002_general_osh_n_Normal_Green_Normal_00000</v>
      </c>
      <c r="D1992" s="139" t="str">
        <f>IFERROR(__xludf.DUMMYFUNCTION("""COMPUTED_VALUE"""),"e_glo_00002_general_osh_n_Normal_Green")</f>
        <v>e_glo_00002_general_osh_n_Normal_Green</v>
      </c>
      <c r="E1992" s="139">
        <f>IFERROR(__xludf.DUMMYFUNCTION("""COMPUTED_VALUE"""),0.0)</f>
        <v>0</v>
      </c>
      <c r="F1992" s="139" t="str">
        <f>IFERROR(__xludf.DUMMYFUNCTION("""COMPUTED_VALUE"""),"Normal")</f>
        <v>Normal</v>
      </c>
      <c r="G1992" s="139"/>
      <c r="H1992" s="139"/>
      <c r="I1992" s="139">
        <f>IFERROR(__xludf.DUMMYFUNCTION("""COMPUTED_VALUE"""),71.0)</f>
        <v>71</v>
      </c>
      <c r="J1992" s="139">
        <f>IFERROR(__xludf.DUMMYFUNCTION("""COMPUTED_VALUE"""),30.0)</f>
        <v>30</v>
      </c>
      <c r="K1992" s="139">
        <f>IFERROR(__xludf.DUMMYFUNCTION("""COMPUTED_VALUE"""),50.0)</f>
        <v>50</v>
      </c>
      <c r="L1992" s="139"/>
      <c r="M1992" s="139"/>
      <c r="N1992" s="139"/>
    </row>
    <row r="1993">
      <c r="A1993" s="139" t="str">
        <f>IFERROR(__xludf.DUMMYFUNCTION("""COMPUTED_VALUE"""),"e")</f>
        <v>e</v>
      </c>
      <c r="B1993" s="139">
        <f>IFERROR(__xludf.DUMMYFUNCTION("""COMPUTED_VALUE"""),2.0251202E8)</f>
        <v>202512020</v>
      </c>
      <c r="C1993" s="139" t="str">
        <f>IFERROR(__xludf.DUMMYFUNCTION("""COMPUTED_VALUE"""),"e_glo_00002_general_osh_n_Normal_Colorless_Normal_00000")</f>
        <v>e_glo_00002_general_osh_n_Normal_Colorless_Normal_00000</v>
      </c>
      <c r="D1993" s="139" t="str">
        <f>IFERROR(__xludf.DUMMYFUNCTION("""COMPUTED_VALUE"""),"e_glo_00002_general_osh_n_Normal_Colorless")</f>
        <v>e_glo_00002_general_osh_n_Normal_Colorless</v>
      </c>
      <c r="E1993" s="139">
        <f>IFERROR(__xludf.DUMMYFUNCTION("""COMPUTED_VALUE"""),0.0)</f>
        <v>0</v>
      </c>
      <c r="F1993" s="139" t="str">
        <f>IFERROR(__xludf.DUMMYFUNCTION("""COMPUTED_VALUE"""),"Normal")</f>
        <v>Normal</v>
      </c>
      <c r="G1993" s="139"/>
      <c r="H1993" s="139"/>
      <c r="I1993" s="139">
        <f>IFERROR(__xludf.DUMMYFUNCTION("""COMPUTED_VALUE"""),71.0)</f>
        <v>71</v>
      </c>
      <c r="J1993" s="139">
        <f>IFERROR(__xludf.DUMMYFUNCTION("""COMPUTED_VALUE"""),30.0)</f>
        <v>30</v>
      </c>
      <c r="K1993" s="139">
        <f>IFERROR(__xludf.DUMMYFUNCTION("""COMPUTED_VALUE"""),50.0)</f>
        <v>50</v>
      </c>
      <c r="L1993" s="139"/>
      <c r="M1993" s="139"/>
      <c r="N1993" s="139"/>
    </row>
    <row r="1994">
      <c r="A1994" s="139" t="str">
        <f>IFERROR(__xludf.DUMMYFUNCTION("""COMPUTED_VALUE"""),"e")</f>
        <v>e</v>
      </c>
      <c r="B1994" s="139">
        <f>IFERROR(__xludf.DUMMYFUNCTION("""COMPUTED_VALUE"""),2.0251202E8)</f>
        <v>202512020</v>
      </c>
      <c r="C1994" s="139" t="str">
        <f>IFERROR(__xludf.DUMMYFUNCTION("""COMPUTED_VALUE"""),"c_osh_00001_general_osh_n_Normal_Colorless_Normal_00000")</f>
        <v>c_osh_00001_general_osh_n_Normal_Colorless_Normal_00000</v>
      </c>
      <c r="D1994" s="139" t="str">
        <f>IFERROR(__xludf.DUMMYFUNCTION("""COMPUTED_VALUE"""),"c_osh_00001_general_osh_n_Normal_Colorless")</f>
        <v>c_osh_00001_general_osh_n_Normal_Colorless</v>
      </c>
      <c r="E1994" s="139">
        <f>IFERROR(__xludf.DUMMYFUNCTION("""COMPUTED_VALUE"""),0.0)</f>
        <v>0</v>
      </c>
      <c r="F1994" s="139" t="str">
        <f>IFERROR(__xludf.DUMMYFUNCTION("""COMPUTED_VALUE"""),"Normal")</f>
        <v>Normal</v>
      </c>
      <c r="G1994" s="139"/>
      <c r="H1994" s="139"/>
      <c r="I1994" s="139">
        <f>IFERROR(__xludf.DUMMYFUNCTION("""COMPUTED_VALUE"""),80.0)</f>
        <v>80</v>
      </c>
      <c r="J1994" s="139">
        <f>IFERROR(__xludf.DUMMYFUNCTION("""COMPUTED_VALUE"""),22.0)</f>
        <v>22</v>
      </c>
      <c r="K1994" s="139">
        <f>IFERROR(__xludf.DUMMYFUNCTION("""COMPUTED_VALUE"""),50.0)</f>
        <v>50</v>
      </c>
      <c r="L1994" s="139"/>
      <c r="M1994" s="139"/>
      <c r="N1994" s="139"/>
    </row>
    <row r="1995">
      <c r="A1995" s="139" t="str">
        <f>IFERROR(__xludf.DUMMYFUNCTION("""COMPUTED_VALUE"""),"e")</f>
        <v>e</v>
      </c>
      <c r="B1995" s="139">
        <f>IFERROR(__xludf.DUMMYFUNCTION("""COMPUTED_VALUE"""),2.0251202E8)</f>
        <v>202512020</v>
      </c>
      <c r="C1995" s="139" t="str">
        <f>IFERROR(__xludf.DUMMYFUNCTION("""COMPUTED_VALUE"""),"c_osh_00001_general_osh_n_Normal_Colorless_Special_00001")</f>
        <v>c_osh_00001_general_osh_n_Normal_Colorless_Special_00001</v>
      </c>
      <c r="D1995" s="139" t="str">
        <f>IFERROR(__xludf.DUMMYFUNCTION("""COMPUTED_VALUE"""),"c_osh_00001_general_osh_n_Normal_Colorless")</f>
        <v>c_osh_00001_general_osh_n_Normal_Colorless</v>
      </c>
      <c r="E1995" s="139">
        <f>IFERROR(__xludf.DUMMYFUNCTION("""COMPUTED_VALUE"""),0.0)</f>
        <v>0</v>
      </c>
      <c r="F1995" s="139" t="str">
        <f>IFERROR(__xludf.DUMMYFUNCTION("""COMPUTED_VALUE"""),"Special")</f>
        <v>Special</v>
      </c>
      <c r="G1995" s="139"/>
      <c r="H1995" s="139"/>
      <c r="I1995" s="139">
        <f>IFERROR(__xludf.DUMMYFUNCTION("""COMPUTED_VALUE"""),162.0)</f>
        <v>162</v>
      </c>
      <c r="J1995" s="139">
        <f>IFERROR(__xludf.DUMMYFUNCTION("""COMPUTED_VALUE"""),92.0)</f>
        <v>92</v>
      </c>
      <c r="K1995" s="139">
        <f>IFERROR(__xludf.DUMMYFUNCTION("""COMPUTED_VALUE"""),0.0)</f>
        <v>0</v>
      </c>
      <c r="L1995" s="139"/>
      <c r="M1995" s="139"/>
      <c r="N1995" s="139"/>
    </row>
    <row r="1996">
      <c r="A1996" s="139" t="str">
        <f>IFERROR(__xludf.DUMMYFUNCTION("""COMPUTED_VALUE"""),"e")</f>
        <v>e</v>
      </c>
      <c r="B1996" s="139">
        <f>IFERROR(__xludf.DUMMYFUNCTION("""COMPUTED_VALUE"""),2.0251202E8)</f>
        <v>202512020</v>
      </c>
      <c r="C1996" s="139" t="str">
        <f>IFERROR(__xludf.DUMMYFUNCTION("""COMPUTED_VALUE"""),"c_osh_00001_general_osh_n_Boss_Colorless_Normal_00000")</f>
        <v>c_osh_00001_general_osh_n_Boss_Colorless_Normal_00000</v>
      </c>
      <c r="D1996" s="139" t="str">
        <f>IFERROR(__xludf.DUMMYFUNCTION("""COMPUTED_VALUE"""),"c_osh_00001_general_osh_n_Boss_Colorless")</f>
        <v>c_osh_00001_general_osh_n_Boss_Colorless</v>
      </c>
      <c r="E1996" s="139">
        <f>IFERROR(__xludf.DUMMYFUNCTION("""COMPUTED_VALUE"""),0.0)</f>
        <v>0</v>
      </c>
      <c r="F1996" s="139" t="str">
        <f>IFERROR(__xludf.DUMMYFUNCTION("""COMPUTED_VALUE"""),"Normal")</f>
        <v>Normal</v>
      </c>
      <c r="G1996" s="139"/>
      <c r="H1996" s="139"/>
      <c r="I1996" s="139">
        <f>IFERROR(__xludf.DUMMYFUNCTION("""COMPUTED_VALUE"""),80.0)</f>
        <v>80</v>
      </c>
      <c r="J1996" s="139">
        <f>IFERROR(__xludf.DUMMYFUNCTION("""COMPUTED_VALUE"""),22.0)</f>
        <v>22</v>
      </c>
      <c r="K1996" s="139">
        <f>IFERROR(__xludf.DUMMYFUNCTION("""COMPUTED_VALUE"""),50.0)</f>
        <v>50</v>
      </c>
      <c r="L1996" s="139"/>
      <c r="M1996" s="139"/>
      <c r="N1996" s="139"/>
    </row>
    <row r="1997">
      <c r="A1997" s="139" t="str">
        <f>IFERROR(__xludf.DUMMYFUNCTION("""COMPUTED_VALUE"""),"e")</f>
        <v>e</v>
      </c>
      <c r="B1997" s="139">
        <f>IFERROR(__xludf.DUMMYFUNCTION("""COMPUTED_VALUE"""),2.0251202E8)</f>
        <v>202512020</v>
      </c>
      <c r="C1997" s="139" t="str">
        <f>IFERROR(__xludf.DUMMYFUNCTION("""COMPUTED_VALUE"""),"c_osh_00001_general_osh_n_Boss_Colorless_Appearance_00001")</f>
        <v>c_osh_00001_general_osh_n_Boss_Colorless_Appearance_00001</v>
      </c>
      <c r="D1997" s="139" t="str">
        <f>IFERROR(__xludf.DUMMYFUNCTION("""COMPUTED_VALUE"""),"c_osh_00001_general_osh_n_Boss_Colorless")</f>
        <v>c_osh_00001_general_osh_n_Boss_Colorless</v>
      </c>
      <c r="E1997" s="139">
        <f>IFERROR(__xludf.DUMMYFUNCTION("""COMPUTED_VALUE"""),0.0)</f>
        <v>0</v>
      </c>
      <c r="F1997" s="139" t="str">
        <f>IFERROR(__xludf.DUMMYFUNCTION("""COMPUTED_VALUE"""),"Appearance")</f>
        <v>Appearance</v>
      </c>
      <c r="G1997" s="139"/>
      <c r="H1997" s="139"/>
      <c r="I1997" s="139">
        <f>IFERROR(__xludf.DUMMYFUNCTION("""COMPUTED_VALUE"""),50.0)</f>
        <v>50</v>
      </c>
      <c r="J1997" s="139">
        <f>IFERROR(__xludf.DUMMYFUNCTION("""COMPUTED_VALUE"""),0.0)</f>
        <v>0</v>
      </c>
      <c r="K1997" s="139">
        <f>IFERROR(__xludf.DUMMYFUNCTION("""COMPUTED_VALUE"""),0.0)</f>
        <v>0</v>
      </c>
      <c r="L1997" s="139"/>
      <c r="M1997" s="139"/>
      <c r="N1997" s="139"/>
    </row>
    <row r="1998">
      <c r="A1998" s="139" t="str">
        <f>IFERROR(__xludf.DUMMYFUNCTION("""COMPUTED_VALUE"""),"e")</f>
        <v>e</v>
      </c>
      <c r="B1998" s="139">
        <f>IFERROR(__xludf.DUMMYFUNCTION("""COMPUTED_VALUE"""),2.0251202E8)</f>
        <v>202512020</v>
      </c>
      <c r="C1998" s="139" t="str">
        <f>IFERROR(__xludf.DUMMYFUNCTION("""COMPUTED_VALUE"""),"c_osh_00001_general_osh_n_Boss_Colorless_Special_00002")</f>
        <v>c_osh_00001_general_osh_n_Boss_Colorless_Special_00002</v>
      </c>
      <c r="D1998" s="139" t="str">
        <f>IFERROR(__xludf.DUMMYFUNCTION("""COMPUTED_VALUE"""),"c_osh_00001_general_osh_n_Boss_Colorless")</f>
        <v>c_osh_00001_general_osh_n_Boss_Colorless</v>
      </c>
      <c r="E1998" s="139">
        <f>IFERROR(__xludf.DUMMYFUNCTION("""COMPUTED_VALUE"""),0.0)</f>
        <v>0</v>
      </c>
      <c r="F1998" s="139" t="str">
        <f>IFERROR(__xludf.DUMMYFUNCTION("""COMPUTED_VALUE"""),"Special")</f>
        <v>Special</v>
      </c>
      <c r="G1998" s="139"/>
      <c r="H1998" s="139"/>
      <c r="I1998" s="139">
        <f>IFERROR(__xludf.DUMMYFUNCTION("""COMPUTED_VALUE"""),162.0)</f>
        <v>162</v>
      </c>
      <c r="J1998" s="139">
        <f>IFERROR(__xludf.DUMMYFUNCTION("""COMPUTED_VALUE"""),92.0)</f>
        <v>92</v>
      </c>
      <c r="K1998" s="139">
        <f>IFERROR(__xludf.DUMMYFUNCTION("""COMPUTED_VALUE"""),0.0)</f>
        <v>0</v>
      </c>
      <c r="L1998" s="139"/>
      <c r="M1998" s="139"/>
      <c r="N1998" s="139"/>
    </row>
    <row r="1999">
      <c r="A1999" s="139" t="str">
        <f>IFERROR(__xludf.DUMMYFUNCTION("""COMPUTED_VALUE"""),"e")</f>
        <v>e</v>
      </c>
      <c r="B1999" s="139">
        <f>IFERROR(__xludf.DUMMYFUNCTION("""COMPUTED_VALUE"""),2.0251202E8)</f>
        <v>202512020</v>
      </c>
      <c r="C1999" s="139" t="str">
        <f>IFERROR(__xludf.DUMMYFUNCTION("""COMPUTED_VALUE"""),"c_osh_00001_general_osh_n_Boss_Green_Normal_00000")</f>
        <v>c_osh_00001_general_osh_n_Boss_Green_Normal_00000</v>
      </c>
      <c r="D1999" s="139" t="str">
        <f>IFERROR(__xludf.DUMMYFUNCTION("""COMPUTED_VALUE"""),"c_osh_00001_general_osh_n_Boss_Green")</f>
        <v>c_osh_00001_general_osh_n_Boss_Green</v>
      </c>
      <c r="E1999" s="139">
        <f>IFERROR(__xludf.DUMMYFUNCTION("""COMPUTED_VALUE"""),0.0)</f>
        <v>0</v>
      </c>
      <c r="F1999" s="139" t="str">
        <f>IFERROR(__xludf.DUMMYFUNCTION("""COMPUTED_VALUE"""),"Normal")</f>
        <v>Normal</v>
      </c>
      <c r="G1999" s="139"/>
      <c r="H1999" s="139"/>
      <c r="I1999" s="139">
        <f>IFERROR(__xludf.DUMMYFUNCTION("""COMPUTED_VALUE"""),80.0)</f>
        <v>80</v>
      </c>
      <c r="J1999" s="139">
        <f>IFERROR(__xludf.DUMMYFUNCTION("""COMPUTED_VALUE"""),22.0)</f>
        <v>22</v>
      </c>
      <c r="K1999" s="139">
        <f>IFERROR(__xludf.DUMMYFUNCTION("""COMPUTED_VALUE"""),50.0)</f>
        <v>50</v>
      </c>
      <c r="L1999" s="139"/>
      <c r="M1999" s="139"/>
      <c r="N1999" s="139"/>
    </row>
    <row r="2000">
      <c r="A2000" s="139" t="str">
        <f>IFERROR(__xludf.DUMMYFUNCTION("""COMPUTED_VALUE"""),"e")</f>
        <v>e</v>
      </c>
      <c r="B2000" s="139">
        <f>IFERROR(__xludf.DUMMYFUNCTION("""COMPUTED_VALUE"""),2.0251202E8)</f>
        <v>202512020</v>
      </c>
      <c r="C2000" s="139" t="str">
        <f>IFERROR(__xludf.DUMMYFUNCTION("""COMPUTED_VALUE"""),"c_osh_00001_general_osh_n_Boss_Green_Appearance_00001")</f>
        <v>c_osh_00001_general_osh_n_Boss_Green_Appearance_00001</v>
      </c>
      <c r="D2000" s="139" t="str">
        <f>IFERROR(__xludf.DUMMYFUNCTION("""COMPUTED_VALUE"""),"c_osh_00001_general_osh_n_Boss_Green")</f>
        <v>c_osh_00001_general_osh_n_Boss_Green</v>
      </c>
      <c r="E2000" s="139">
        <f>IFERROR(__xludf.DUMMYFUNCTION("""COMPUTED_VALUE"""),0.0)</f>
        <v>0</v>
      </c>
      <c r="F2000" s="139" t="str">
        <f>IFERROR(__xludf.DUMMYFUNCTION("""COMPUTED_VALUE"""),"Appearance")</f>
        <v>Appearance</v>
      </c>
      <c r="G2000" s="139"/>
      <c r="H2000" s="139"/>
      <c r="I2000" s="139">
        <f>IFERROR(__xludf.DUMMYFUNCTION("""COMPUTED_VALUE"""),50.0)</f>
        <v>50</v>
      </c>
      <c r="J2000" s="139">
        <f>IFERROR(__xludf.DUMMYFUNCTION("""COMPUTED_VALUE"""),0.0)</f>
        <v>0</v>
      </c>
      <c r="K2000" s="139">
        <f>IFERROR(__xludf.DUMMYFUNCTION("""COMPUTED_VALUE"""),0.0)</f>
        <v>0</v>
      </c>
      <c r="L2000" s="139"/>
      <c r="M2000" s="139"/>
      <c r="N2000" s="139"/>
    </row>
    <row r="2001">
      <c r="A2001" s="139" t="str">
        <f>IFERROR(__xludf.DUMMYFUNCTION("""COMPUTED_VALUE"""),"e")</f>
        <v>e</v>
      </c>
      <c r="B2001" s="139">
        <f>IFERROR(__xludf.DUMMYFUNCTION("""COMPUTED_VALUE"""),2.0251202E8)</f>
        <v>202512020</v>
      </c>
      <c r="C2001" s="139" t="str">
        <f>IFERROR(__xludf.DUMMYFUNCTION("""COMPUTED_VALUE"""),"c_osh_00001_general_osh_n_Boss_Green_Special_00002")</f>
        <v>c_osh_00001_general_osh_n_Boss_Green_Special_00002</v>
      </c>
      <c r="D2001" s="139" t="str">
        <f>IFERROR(__xludf.DUMMYFUNCTION("""COMPUTED_VALUE"""),"c_osh_00001_general_osh_n_Boss_Green")</f>
        <v>c_osh_00001_general_osh_n_Boss_Green</v>
      </c>
      <c r="E2001" s="139">
        <f>IFERROR(__xludf.DUMMYFUNCTION("""COMPUTED_VALUE"""),0.0)</f>
        <v>0</v>
      </c>
      <c r="F2001" s="139" t="str">
        <f>IFERROR(__xludf.DUMMYFUNCTION("""COMPUTED_VALUE"""),"Special")</f>
        <v>Special</v>
      </c>
      <c r="G2001" s="139"/>
      <c r="H2001" s="139"/>
      <c r="I2001" s="139">
        <f>IFERROR(__xludf.DUMMYFUNCTION("""COMPUTED_VALUE"""),162.0)</f>
        <v>162</v>
      </c>
      <c r="J2001" s="139">
        <f>IFERROR(__xludf.DUMMYFUNCTION("""COMPUTED_VALUE"""),92.0)</f>
        <v>92</v>
      </c>
      <c r="K2001" s="139">
        <f>IFERROR(__xludf.DUMMYFUNCTION("""COMPUTED_VALUE"""),0.0)</f>
        <v>0</v>
      </c>
      <c r="L2001" s="139"/>
      <c r="M2001" s="139"/>
      <c r="N2001" s="139"/>
    </row>
    <row r="2002">
      <c r="A2002" s="139" t="str">
        <f>IFERROR(__xludf.DUMMYFUNCTION("""COMPUTED_VALUE"""),"e")</f>
        <v>e</v>
      </c>
      <c r="B2002" s="139">
        <f>IFERROR(__xludf.DUMMYFUNCTION("""COMPUTED_VALUE"""),2.0251202E8)</f>
        <v>202512020</v>
      </c>
      <c r="C2002" s="139" t="str">
        <f>IFERROR(__xludf.DUMMYFUNCTION("""COMPUTED_VALUE"""),"e_glo_00002_general_osh_h_Normal_Colorless_Normal_00000")</f>
        <v>e_glo_00002_general_osh_h_Normal_Colorless_Normal_00000</v>
      </c>
      <c r="D2002" s="139" t="str">
        <f>IFERROR(__xludf.DUMMYFUNCTION("""COMPUTED_VALUE"""),"e_glo_00002_general_osh_h_Normal_Colorless")</f>
        <v>e_glo_00002_general_osh_h_Normal_Colorless</v>
      </c>
      <c r="E2002" s="139">
        <f>IFERROR(__xludf.DUMMYFUNCTION("""COMPUTED_VALUE"""),0.0)</f>
        <v>0</v>
      </c>
      <c r="F2002" s="139" t="str">
        <f>IFERROR(__xludf.DUMMYFUNCTION("""COMPUTED_VALUE"""),"Normal")</f>
        <v>Normal</v>
      </c>
      <c r="G2002" s="139"/>
      <c r="H2002" s="139"/>
      <c r="I2002" s="139">
        <f>IFERROR(__xludf.DUMMYFUNCTION("""COMPUTED_VALUE"""),71.0)</f>
        <v>71</v>
      </c>
      <c r="J2002" s="139">
        <f>IFERROR(__xludf.DUMMYFUNCTION("""COMPUTED_VALUE"""),30.0)</f>
        <v>30</v>
      </c>
      <c r="K2002" s="139">
        <f>IFERROR(__xludf.DUMMYFUNCTION("""COMPUTED_VALUE"""),50.0)</f>
        <v>50</v>
      </c>
      <c r="L2002" s="139"/>
      <c r="M2002" s="139"/>
      <c r="N2002" s="139"/>
    </row>
    <row r="2003">
      <c r="A2003" s="139" t="str">
        <f>IFERROR(__xludf.DUMMYFUNCTION("""COMPUTED_VALUE"""),"e")</f>
        <v>e</v>
      </c>
      <c r="B2003" s="139">
        <f>IFERROR(__xludf.DUMMYFUNCTION("""COMPUTED_VALUE"""),2.0251202E8)</f>
        <v>202512020</v>
      </c>
      <c r="C2003" s="139" t="str">
        <f>IFERROR(__xludf.DUMMYFUNCTION("""COMPUTED_VALUE"""),"e_glo_00002_general_osh_h_Normal_Red_Normal_00000")</f>
        <v>e_glo_00002_general_osh_h_Normal_Red_Normal_00000</v>
      </c>
      <c r="D2003" s="139" t="str">
        <f>IFERROR(__xludf.DUMMYFUNCTION("""COMPUTED_VALUE"""),"e_glo_00002_general_osh_h_Normal_Red")</f>
        <v>e_glo_00002_general_osh_h_Normal_Red</v>
      </c>
      <c r="E2003" s="139">
        <f>IFERROR(__xludf.DUMMYFUNCTION("""COMPUTED_VALUE"""),0.0)</f>
        <v>0</v>
      </c>
      <c r="F2003" s="139" t="str">
        <f>IFERROR(__xludf.DUMMYFUNCTION("""COMPUTED_VALUE"""),"Normal")</f>
        <v>Normal</v>
      </c>
      <c r="G2003" s="139"/>
      <c r="H2003" s="139"/>
      <c r="I2003" s="139">
        <f>IFERROR(__xludf.DUMMYFUNCTION("""COMPUTED_VALUE"""),71.0)</f>
        <v>71</v>
      </c>
      <c r="J2003" s="139">
        <f>IFERROR(__xludf.DUMMYFUNCTION("""COMPUTED_VALUE"""),30.0)</f>
        <v>30</v>
      </c>
      <c r="K2003" s="139">
        <f>IFERROR(__xludf.DUMMYFUNCTION("""COMPUTED_VALUE"""),50.0)</f>
        <v>50</v>
      </c>
      <c r="L2003" s="139"/>
      <c r="M2003" s="139"/>
      <c r="N2003" s="139"/>
    </row>
    <row r="2004">
      <c r="A2004" s="139" t="str">
        <f>IFERROR(__xludf.DUMMYFUNCTION("""COMPUTED_VALUE"""),"e")</f>
        <v>e</v>
      </c>
      <c r="B2004" s="139">
        <f>IFERROR(__xludf.DUMMYFUNCTION("""COMPUTED_VALUE"""),2.0251202E8)</f>
        <v>202512020</v>
      </c>
      <c r="C2004" s="139" t="str">
        <f>IFERROR(__xludf.DUMMYFUNCTION("""COMPUTED_VALUE"""),"c_osh_00001_general_osh_h_Normal_Blue_Normal_00000")</f>
        <v>c_osh_00001_general_osh_h_Normal_Blue_Normal_00000</v>
      </c>
      <c r="D2004" s="139" t="str">
        <f>IFERROR(__xludf.DUMMYFUNCTION("""COMPUTED_VALUE"""),"c_osh_00001_general_osh_h_Normal_Blue")</f>
        <v>c_osh_00001_general_osh_h_Normal_Blue</v>
      </c>
      <c r="E2004" s="139">
        <f>IFERROR(__xludf.DUMMYFUNCTION("""COMPUTED_VALUE"""),0.0)</f>
        <v>0</v>
      </c>
      <c r="F2004" s="139" t="str">
        <f>IFERROR(__xludf.DUMMYFUNCTION("""COMPUTED_VALUE"""),"Normal")</f>
        <v>Normal</v>
      </c>
      <c r="G2004" s="139"/>
      <c r="H2004" s="139"/>
      <c r="I2004" s="139">
        <f>IFERROR(__xludf.DUMMYFUNCTION("""COMPUTED_VALUE"""),80.0)</f>
        <v>80</v>
      </c>
      <c r="J2004" s="139">
        <f>IFERROR(__xludf.DUMMYFUNCTION("""COMPUTED_VALUE"""),22.0)</f>
        <v>22</v>
      </c>
      <c r="K2004" s="139">
        <f>IFERROR(__xludf.DUMMYFUNCTION("""COMPUTED_VALUE"""),50.0)</f>
        <v>50</v>
      </c>
      <c r="L2004" s="139"/>
      <c r="M2004" s="139"/>
      <c r="N2004" s="139"/>
    </row>
    <row r="2005">
      <c r="A2005" s="139" t="str">
        <f>IFERROR(__xludf.DUMMYFUNCTION("""COMPUTED_VALUE"""),"e")</f>
        <v>e</v>
      </c>
      <c r="B2005" s="139">
        <f>IFERROR(__xludf.DUMMYFUNCTION("""COMPUTED_VALUE"""),2.0251202E8)</f>
        <v>202512020</v>
      </c>
      <c r="C2005" s="139" t="str">
        <f>IFERROR(__xludf.DUMMYFUNCTION("""COMPUTED_VALUE"""),"c_osh_00001_general_osh_h_Normal_Blue_Special_00001")</f>
        <v>c_osh_00001_general_osh_h_Normal_Blue_Special_00001</v>
      </c>
      <c r="D2005" s="139" t="str">
        <f>IFERROR(__xludf.DUMMYFUNCTION("""COMPUTED_VALUE"""),"c_osh_00001_general_osh_h_Normal_Blue")</f>
        <v>c_osh_00001_general_osh_h_Normal_Blue</v>
      </c>
      <c r="E2005" s="139">
        <f>IFERROR(__xludf.DUMMYFUNCTION("""COMPUTED_VALUE"""),0.0)</f>
        <v>0</v>
      </c>
      <c r="F2005" s="139" t="str">
        <f>IFERROR(__xludf.DUMMYFUNCTION("""COMPUTED_VALUE"""),"Special")</f>
        <v>Special</v>
      </c>
      <c r="G2005" s="139"/>
      <c r="H2005" s="139"/>
      <c r="I2005" s="139">
        <f>IFERROR(__xludf.DUMMYFUNCTION("""COMPUTED_VALUE"""),162.0)</f>
        <v>162</v>
      </c>
      <c r="J2005" s="139">
        <f>IFERROR(__xludf.DUMMYFUNCTION("""COMPUTED_VALUE"""),92.0)</f>
        <v>92</v>
      </c>
      <c r="K2005" s="139">
        <f>IFERROR(__xludf.DUMMYFUNCTION("""COMPUTED_VALUE"""),0.0)</f>
        <v>0</v>
      </c>
      <c r="L2005" s="139"/>
      <c r="M2005" s="139"/>
      <c r="N2005" s="139"/>
    </row>
    <row r="2006">
      <c r="A2006" s="139" t="str">
        <f>IFERROR(__xludf.DUMMYFUNCTION("""COMPUTED_VALUE"""),"e")</f>
        <v>e</v>
      </c>
      <c r="B2006" s="139">
        <f>IFERROR(__xludf.DUMMYFUNCTION("""COMPUTED_VALUE"""),2.0251202E8)</f>
        <v>202512020</v>
      </c>
      <c r="C2006" s="139" t="str">
        <f>IFERROR(__xludf.DUMMYFUNCTION("""COMPUTED_VALUE"""),"c_osh_00001_general_osh_h_Boss_Red_Normal_00000")</f>
        <v>c_osh_00001_general_osh_h_Boss_Red_Normal_00000</v>
      </c>
      <c r="D2006" s="139" t="str">
        <f>IFERROR(__xludf.DUMMYFUNCTION("""COMPUTED_VALUE"""),"c_osh_00001_general_osh_h_Boss_Red")</f>
        <v>c_osh_00001_general_osh_h_Boss_Red</v>
      </c>
      <c r="E2006" s="139">
        <f>IFERROR(__xludf.DUMMYFUNCTION("""COMPUTED_VALUE"""),0.0)</f>
        <v>0</v>
      </c>
      <c r="F2006" s="139" t="str">
        <f>IFERROR(__xludf.DUMMYFUNCTION("""COMPUTED_VALUE"""),"Normal")</f>
        <v>Normal</v>
      </c>
      <c r="G2006" s="139"/>
      <c r="H2006" s="139"/>
      <c r="I2006" s="139">
        <f>IFERROR(__xludf.DUMMYFUNCTION("""COMPUTED_VALUE"""),80.0)</f>
        <v>80</v>
      </c>
      <c r="J2006" s="139">
        <f>IFERROR(__xludf.DUMMYFUNCTION("""COMPUTED_VALUE"""),22.0)</f>
        <v>22</v>
      </c>
      <c r="K2006" s="139">
        <f>IFERROR(__xludf.DUMMYFUNCTION("""COMPUTED_VALUE"""),50.0)</f>
        <v>50</v>
      </c>
      <c r="L2006" s="139"/>
      <c r="M2006" s="139"/>
      <c r="N2006" s="139"/>
    </row>
    <row r="2007">
      <c r="A2007" s="139" t="str">
        <f>IFERROR(__xludf.DUMMYFUNCTION("""COMPUTED_VALUE"""),"e")</f>
        <v>e</v>
      </c>
      <c r="B2007" s="139">
        <f>IFERROR(__xludf.DUMMYFUNCTION("""COMPUTED_VALUE"""),2.0251202E8)</f>
        <v>202512020</v>
      </c>
      <c r="C2007" s="139" t="str">
        <f>IFERROR(__xludf.DUMMYFUNCTION("""COMPUTED_VALUE"""),"c_osh_00001_general_osh_h_Boss_Red_Appearance_00001")</f>
        <v>c_osh_00001_general_osh_h_Boss_Red_Appearance_00001</v>
      </c>
      <c r="D2007" s="139" t="str">
        <f>IFERROR(__xludf.DUMMYFUNCTION("""COMPUTED_VALUE"""),"c_osh_00001_general_osh_h_Boss_Red")</f>
        <v>c_osh_00001_general_osh_h_Boss_Red</v>
      </c>
      <c r="E2007" s="139">
        <f>IFERROR(__xludf.DUMMYFUNCTION("""COMPUTED_VALUE"""),0.0)</f>
        <v>0</v>
      </c>
      <c r="F2007" s="139" t="str">
        <f>IFERROR(__xludf.DUMMYFUNCTION("""COMPUTED_VALUE"""),"Appearance")</f>
        <v>Appearance</v>
      </c>
      <c r="G2007" s="139"/>
      <c r="H2007" s="139"/>
      <c r="I2007" s="139">
        <f>IFERROR(__xludf.DUMMYFUNCTION("""COMPUTED_VALUE"""),50.0)</f>
        <v>50</v>
      </c>
      <c r="J2007" s="139">
        <f>IFERROR(__xludf.DUMMYFUNCTION("""COMPUTED_VALUE"""),0.0)</f>
        <v>0</v>
      </c>
      <c r="K2007" s="139">
        <f>IFERROR(__xludf.DUMMYFUNCTION("""COMPUTED_VALUE"""),0.0)</f>
        <v>0</v>
      </c>
      <c r="L2007" s="139"/>
      <c r="M2007" s="139"/>
      <c r="N2007" s="139"/>
    </row>
    <row r="2008">
      <c r="A2008" s="139" t="str">
        <f>IFERROR(__xludf.DUMMYFUNCTION("""COMPUTED_VALUE"""),"e")</f>
        <v>e</v>
      </c>
      <c r="B2008" s="139">
        <f>IFERROR(__xludf.DUMMYFUNCTION("""COMPUTED_VALUE"""),2.0251202E8)</f>
        <v>202512020</v>
      </c>
      <c r="C2008" s="139" t="str">
        <f>IFERROR(__xludf.DUMMYFUNCTION("""COMPUTED_VALUE"""),"c_osh_00001_general_osh_h_Boss_Red_Special_00002")</f>
        <v>c_osh_00001_general_osh_h_Boss_Red_Special_00002</v>
      </c>
      <c r="D2008" s="139" t="str">
        <f>IFERROR(__xludf.DUMMYFUNCTION("""COMPUTED_VALUE"""),"c_osh_00001_general_osh_h_Boss_Red")</f>
        <v>c_osh_00001_general_osh_h_Boss_Red</v>
      </c>
      <c r="E2008" s="139">
        <f>IFERROR(__xludf.DUMMYFUNCTION("""COMPUTED_VALUE"""),0.0)</f>
        <v>0</v>
      </c>
      <c r="F2008" s="139" t="str">
        <f>IFERROR(__xludf.DUMMYFUNCTION("""COMPUTED_VALUE"""),"Special")</f>
        <v>Special</v>
      </c>
      <c r="G2008" s="139"/>
      <c r="H2008" s="139"/>
      <c r="I2008" s="139">
        <f>IFERROR(__xludf.DUMMYFUNCTION("""COMPUTED_VALUE"""),162.0)</f>
        <v>162</v>
      </c>
      <c r="J2008" s="139">
        <f>IFERROR(__xludf.DUMMYFUNCTION("""COMPUTED_VALUE"""),92.0)</f>
        <v>92</v>
      </c>
      <c r="K2008" s="139">
        <f>IFERROR(__xludf.DUMMYFUNCTION("""COMPUTED_VALUE"""),0.0)</f>
        <v>0</v>
      </c>
      <c r="L2008" s="139"/>
      <c r="M2008" s="139"/>
      <c r="N2008" s="139"/>
    </row>
    <row r="2009">
      <c r="A2009" s="139" t="str">
        <f>IFERROR(__xludf.DUMMYFUNCTION("""COMPUTED_VALUE"""),"e")</f>
        <v>e</v>
      </c>
      <c r="B2009" s="139">
        <f>IFERROR(__xludf.DUMMYFUNCTION("""COMPUTED_VALUE"""),2.0251202E8)</f>
        <v>202512020</v>
      </c>
      <c r="C2009" s="139" t="str">
        <f>IFERROR(__xludf.DUMMYFUNCTION("""COMPUTED_VALUE"""),"e_glo_00001_general_osh_h_Normal_Colorless_Normal_00000")</f>
        <v>e_glo_00001_general_osh_h_Normal_Colorless_Normal_00000</v>
      </c>
      <c r="D2009" s="139" t="str">
        <f>IFERROR(__xludf.DUMMYFUNCTION("""COMPUTED_VALUE"""),"e_glo_00001_general_osh_h_Normal_Colorless")</f>
        <v>e_glo_00001_general_osh_h_Normal_Colorless</v>
      </c>
      <c r="E2009" s="139">
        <f>IFERROR(__xludf.DUMMYFUNCTION("""COMPUTED_VALUE"""),0.0)</f>
        <v>0</v>
      </c>
      <c r="F2009" s="139" t="str">
        <f>IFERROR(__xludf.DUMMYFUNCTION("""COMPUTED_VALUE"""),"Normal")</f>
        <v>Normal</v>
      </c>
      <c r="G2009" s="139"/>
      <c r="H2009" s="139"/>
      <c r="I2009" s="139">
        <f>IFERROR(__xludf.DUMMYFUNCTION("""COMPUTED_VALUE"""),50.0)</f>
        <v>50</v>
      </c>
      <c r="J2009" s="139">
        <f>IFERROR(__xludf.DUMMYFUNCTION("""COMPUTED_VALUE"""),25.0)</f>
        <v>25</v>
      </c>
      <c r="K2009" s="139">
        <f>IFERROR(__xludf.DUMMYFUNCTION("""COMPUTED_VALUE"""),100.0)</f>
        <v>100</v>
      </c>
      <c r="L2009" s="139"/>
      <c r="M2009" s="139"/>
      <c r="N2009" s="139"/>
    </row>
    <row r="2010">
      <c r="A2010" s="139" t="str">
        <f>IFERROR(__xludf.DUMMYFUNCTION("""COMPUTED_VALUE"""),"e")</f>
        <v>e</v>
      </c>
      <c r="B2010" s="139">
        <f>IFERROR(__xludf.DUMMYFUNCTION("""COMPUTED_VALUE"""),2.0251202E8)</f>
        <v>202512020</v>
      </c>
      <c r="C2010" s="139" t="str">
        <f>IFERROR(__xludf.DUMMYFUNCTION("""COMPUTED_VALUE"""),"e_glo_00001_general_osh_h_Boss_Blue_Normal_00000")</f>
        <v>e_glo_00001_general_osh_h_Boss_Blue_Normal_00000</v>
      </c>
      <c r="D2010" s="139" t="str">
        <f>IFERROR(__xludf.DUMMYFUNCTION("""COMPUTED_VALUE"""),"e_glo_00001_general_osh_h_Boss_Blue")</f>
        <v>e_glo_00001_general_osh_h_Boss_Blue</v>
      </c>
      <c r="E2010" s="139">
        <f>IFERROR(__xludf.DUMMYFUNCTION("""COMPUTED_VALUE"""),0.0)</f>
        <v>0</v>
      </c>
      <c r="F2010" s="139" t="str">
        <f>IFERROR(__xludf.DUMMYFUNCTION("""COMPUTED_VALUE"""),"Normal")</f>
        <v>Normal</v>
      </c>
      <c r="G2010" s="139"/>
      <c r="H2010" s="139"/>
      <c r="I2010" s="139">
        <f>IFERROR(__xludf.DUMMYFUNCTION("""COMPUTED_VALUE"""),50.0)</f>
        <v>50</v>
      </c>
      <c r="J2010" s="139">
        <f>IFERROR(__xludf.DUMMYFUNCTION("""COMPUTED_VALUE"""),25.0)</f>
        <v>25</v>
      </c>
      <c r="K2010" s="139">
        <f>IFERROR(__xludf.DUMMYFUNCTION("""COMPUTED_VALUE"""),100.0)</f>
        <v>100</v>
      </c>
      <c r="L2010" s="139"/>
      <c r="M2010" s="139"/>
      <c r="N2010" s="139"/>
    </row>
    <row r="2011">
      <c r="A2011" s="139" t="str">
        <f>IFERROR(__xludf.DUMMYFUNCTION("""COMPUTED_VALUE"""),"e")</f>
        <v>e</v>
      </c>
      <c r="B2011" s="139">
        <f>IFERROR(__xludf.DUMMYFUNCTION("""COMPUTED_VALUE"""),2.0251202E8)</f>
        <v>202512020</v>
      </c>
      <c r="C2011" s="139" t="str">
        <f>IFERROR(__xludf.DUMMYFUNCTION("""COMPUTED_VALUE"""),"e_glo_00001_general_osh_h_Boss_Blue_Appearance_00001")</f>
        <v>e_glo_00001_general_osh_h_Boss_Blue_Appearance_00001</v>
      </c>
      <c r="D2011" s="139" t="str">
        <f>IFERROR(__xludf.DUMMYFUNCTION("""COMPUTED_VALUE"""),"e_glo_00001_general_osh_h_Boss_Blue")</f>
        <v>e_glo_00001_general_osh_h_Boss_Blue</v>
      </c>
      <c r="E2011" s="139">
        <f>IFERROR(__xludf.DUMMYFUNCTION("""COMPUTED_VALUE"""),0.0)</f>
        <v>0</v>
      </c>
      <c r="F2011" s="139" t="str">
        <f>IFERROR(__xludf.DUMMYFUNCTION("""COMPUTED_VALUE"""),"Appearance")</f>
        <v>Appearance</v>
      </c>
      <c r="G2011" s="139"/>
      <c r="H2011" s="139"/>
      <c r="I2011" s="139">
        <f>IFERROR(__xludf.DUMMYFUNCTION("""COMPUTED_VALUE"""),50.0)</f>
        <v>50</v>
      </c>
      <c r="J2011" s="139">
        <f>IFERROR(__xludf.DUMMYFUNCTION("""COMPUTED_VALUE"""),0.0)</f>
        <v>0</v>
      </c>
      <c r="K2011" s="139">
        <f>IFERROR(__xludf.DUMMYFUNCTION("""COMPUTED_VALUE"""),0.0)</f>
        <v>0</v>
      </c>
      <c r="L2011" s="139"/>
      <c r="M2011" s="139"/>
      <c r="N2011" s="139"/>
    </row>
    <row r="2012">
      <c r="A2012" s="139" t="str">
        <f>IFERROR(__xludf.DUMMYFUNCTION("""COMPUTED_VALUE"""),"e")</f>
        <v>e</v>
      </c>
      <c r="B2012" s="139">
        <f>IFERROR(__xludf.DUMMYFUNCTION("""COMPUTED_VALUE"""),2.0251202E8)</f>
        <v>202512020</v>
      </c>
      <c r="C2012" s="139" t="str">
        <f>IFERROR(__xludf.DUMMYFUNCTION("""COMPUTED_VALUE"""),"e_glo_00001_general_osh_h_Normal_Blue_Normal_00000")</f>
        <v>e_glo_00001_general_osh_h_Normal_Blue_Normal_00000</v>
      </c>
      <c r="D2012" s="139" t="str">
        <f>IFERROR(__xludf.DUMMYFUNCTION("""COMPUTED_VALUE"""),"e_glo_00001_general_osh_h_Normal_Blue")</f>
        <v>e_glo_00001_general_osh_h_Normal_Blue</v>
      </c>
      <c r="E2012" s="139">
        <f>IFERROR(__xludf.DUMMYFUNCTION("""COMPUTED_VALUE"""),0.0)</f>
        <v>0</v>
      </c>
      <c r="F2012" s="139" t="str">
        <f>IFERROR(__xludf.DUMMYFUNCTION("""COMPUTED_VALUE"""),"Normal")</f>
        <v>Normal</v>
      </c>
      <c r="G2012" s="139"/>
      <c r="H2012" s="139"/>
      <c r="I2012" s="139">
        <f>IFERROR(__xludf.DUMMYFUNCTION("""COMPUTED_VALUE"""),50.0)</f>
        <v>50</v>
      </c>
      <c r="J2012" s="139">
        <f>IFERROR(__xludf.DUMMYFUNCTION("""COMPUTED_VALUE"""),25.0)</f>
        <v>25</v>
      </c>
      <c r="K2012" s="139">
        <f>IFERROR(__xludf.DUMMYFUNCTION("""COMPUTED_VALUE"""),100.0)</f>
        <v>100</v>
      </c>
      <c r="L2012" s="139"/>
      <c r="M2012" s="139"/>
      <c r="N2012" s="139"/>
    </row>
    <row r="2013">
      <c r="A2013" s="139" t="str">
        <f>IFERROR(__xludf.DUMMYFUNCTION("""COMPUTED_VALUE"""),"e")</f>
        <v>e</v>
      </c>
      <c r="B2013" s="139">
        <f>IFERROR(__xludf.DUMMYFUNCTION("""COMPUTED_VALUE"""),2.0251202E8)</f>
        <v>202512020</v>
      </c>
      <c r="C2013" s="139" t="str">
        <f>IFERROR(__xludf.DUMMYFUNCTION("""COMPUTED_VALUE"""),"c_osh_00001_general_osh_vh_Normal_Green_Normal_00000")</f>
        <v>c_osh_00001_general_osh_vh_Normal_Green_Normal_00000</v>
      </c>
      <c r="D2013" s="139" t="str">
        <f>IFERROR(__xludf.DUMMYFUNCTION("""COMPUTED_VALUE"""),"c_osh_00001_general_osh_vh_Normal_Green")</f>
        <v>c_osh_00001_general_osh_vh_Normal_Green</v>
      </c>
      <c r="E2013" s="139">
        <f>IFERROR(__xludf.DUMMYFUNCTION("""COMPUTED_VALUE"""),0.0)</f>
        <v>0</v>
      </c>
      <c r="F2013" s="139" t="str">
        <f>IFERROR(__xludf.DUMMYFUNCTION("""COMPUTED_VALUE"""),"Normal")</f>
        <v>Normal</v>
      </c>
      <c r="G2013" s="139"/>
      <c r="H2013" s="139"/>
      <c r="I2013" s="139">
        <f>IFERROR(__xludf.DUMMYFUNCTION("""COMPUTED_VALUE"""),80.0)</f>
        <v>80</v>
      </c>
      <c r="J2013" s="139">
        <f>IFERROR(__xludf.DUMMYFUNCTION("""COMPUTED_VALUE"""),22.0)</f>
        <v>22</v>
      </c>
      <c r="K2013" s="139">
        <f>IFERROR(__xludf.DUMMYFUNCTION("""COMPUTED_VALUE"""),50.0)</f>
        <v>50</v>
      </c>
      <c r="L2013" s="139"/>
      <c r="M2013" s="139"/>
      <c r="N2013" s="139"/>
    </row>
    <row r="2014">
      <c r="A2014" s="139" t="str">
        <f>IFERROR(__xludf.DUMMYFUNCTION("""COMPUTED_VALUE"""),"e")</f>
        <v>e</v>
      </c>
      <c r="B2014" s="139">
        <f>IFERROR(__xludf.DUMMYFUNCTION("""COMPUTED_VALUE"""),2.0251202E8)</f>
        <v>202512020</v>
      </c>
      <c r="C2014" s="139" t="str">
        <f>IFERROR(__xludf.DUMMYFUNCTION("""COMPUTED_VALUE"""),"c_osh_00001_general_osh_vh_Normal_Green_Special_00001")</f>
        <v>c_osh_00001_general_osh_vh_Normal_Green_Special_00001</v>
      </c>
      <c r="D2014" s="139" t="str">
        <f>IFERROR(__xludf.DUMMYFUNCTION("""COMPUTED_VALUE"""),"c_osh_00001_general_osh_vh_Normal_Green")</f>
        <v>c_osh_00001_general_osh_vh_Normal_Green</v>
      </c>
      <c r="E2014" s="139">
        <f>IFERROR(__xludf.DUMMYFUNCTION("""COMPUTED_VALUE"""),0.0)</f>
        <v>0</v>
      </c>
      <c r="F2014" s="139" t="str">
        <f>IFERROR(__xludf.DUMMYFUNCTION("""COMPUTED_VALUE"""),"Special")</f>
        <v>Special</v>
      </c>
      <c r="G2014" s="139"/>
      <c r="H2014" s="139"/>
      <c r="I2014" s="139">
        <f>IFERROR(__xludf.DUMMYFUNCTION("""COMPUTED_VALUE"""),162.0)</f>
        <v>162</v>
      </c>
      <c r="J2014" s="139">
        <f>IFERROR(__xludf.DUMMYFUNCTION("""COMPUTED_VALUE"""),92.0)</f>
        <v>92</v>
      </c>
      <c r="K2014" s="139">
        <f>IFERROR(__xludf.DUMMYFUNCTION("""COMPUTED_VALUE"""),0.0)</f>
        <v>0</v>
      </c>
      <c r="L2014" s="139"/>
      <c r="M2014" s="139"/>
      <c r="N2014" s="139"/>
    </row>
    <row r="2015">
      <c r="A2015" s="139" t="str">
        <f>IFERROR(__xludf.DUMMYFUNCTION("""COMPUTED_VALUE"""),"e")</f>
        <v>e</v>
      </c>
      <c r="B2015" s="139">
        <f>IFERROR(__xludf.DUMMYFUNCTION("""COMPUTED_VALUE"""),2.0251202E8)</f>
        <v>202512020</v>
      </c>
      <c r="C2015" s="139" t="str">
        <f>IFERROR(__xludf.DUMMYFUNCTION("""COMPUTED_VALUE"""),"c_osh_00001_general_osh_vh_Boss_Colorless_Normal_00000")</f>
        <v>c_osh_00001_general_osh_vh_Boss_Colorless_Normal_00000</v>
      </c>
      <c r="D2015" s="139" t="str">
        <f>IFERROR(__xludf.DUMMYFUNCTION("""COMPUTED_VALUE"""),"c_osh_00001_general_osh_vh_Boss_Colorless")</f>
        <v>c_osh_00001_general_osh_vh_Boss_Colorless</v>
      </c>
      <c r="E2015" s="139">
        <f>IFERROR(__xludf.DUMMYFUNCTION("""COMPUTED_VALUE"""),0.0)</f>
        <v>0</v>
      </c>
      <c r="F2015" s="139" t="str">
        <f>IFERROR(__xludf.DUMMYFUNCTION("""COMPUTED_VALUE"""),"Normal")</f>
        <v>Normal</v>
      </c>
      <c r="G2015" s="139"/>
      <c r="H2015" s="139"/>
      <c r="I2015" s="139">
        <f>IFERROR(__xludf.DUMMYFUNCTION("""COMPUTED_VALUE"""),80.0)</f>
        <v>80</v>
      </c>
      <c r="J2015" s="139">
        <f>IFERROR(__xludf.DUMMYFUNCTION("""COMPUTED_VALUE"""),22.0)</f>
        <v>22</v>
      </c>
      <c r="K2015" s="139">
        <f>IFERROR(__xludf.DUMMYFUNCTION("""COMPUTED_VALUE"""),50.0)</f>
        <v>50</v>
      </c>
      <c r="L2015" s="139"/>
      <c r="M2015" s="139"/>
      <c r="N2015" s="139"/>
    </row>
    <row r="2016">
      <c r="A2016" s="139" t="str">
        <f>IFERROR(__xludf.DUMMYFUNCTION("""COMPUTED_VALUE"""),"e")</f>
        <v>e</v>
      </c>
      <c r="B2016" s="139">
        <f>IFERROR(__xludf.DUMMYFUNCTION("""COMPUTED_VALUE"""),2.0251202E8)</f>
        <v>202512020</v>
      </c>
      <c r="C2016" s="139" t="str">
        <f>IFERROR(__xludf.DUMMYFUNCTION("""COMPUTED_VALUE"""),"c_osh_00001_general_osh_vh_Boss_Colorless_Appearance_00001")</f>
        <v>c_osh_00001_general_osh_vh_Boss_Colorless_Appearance_00001</v>
      </c>
      <c r="D2016" s="139" t="str">
        <f>IFERROR(__xludf.DUMMYFUNCTION("""COMPUTED_VALUE"""),"c_osh_00001_general_osh_vh_Boss_Colorless")</f>
        <v>c_osh_00001_general_osh_vh_Boss_Colorless</v>
      </c>
      <c r="E2016" s="139">
        <f>IFERROR(__xludf.DUMMYFUNCTION("""COMPUTED_VALUE"""),0.0)</f>
        <v>0</v>
      </c>
      <c r="F2016" s="139" t="str">
        <f>IFERROR(__xludf.DUMMYFUNCTION("""COMPUTED_VALUE"""),"Appearance")</f>
        <v>Appearance</v>
      </c>
      <c r="G2016" s="139"/>
      <c r="H2016" s="139"/>
      <c r="I2016" s="139">
        <f>IFERROR(__xludf.DUMMYFUNCTION("""COMPUTED_VALUE"""),50.0)</f>
        <v>50</v>
      </c>
      <c r="J2016" s="139">
        <f>IFERROR(__xludf.DUMMYFUNCTION("""COMPUTED_VALUE"""),0.0)</f>
        <v>0</v>
      </c>
      <c r="K2016" s="139">
        <f>IFERROR(__xludf.DUMMYFUNCTION("""COMPUTED_VALUE"""),0.0)</f>
        <v>0</v>
      </c>
      <c r="L2016" s="139"/>
      <c r="M2016" s="139"/>
      <c r="N2016" s="139"/>
    </row>
    <row r="2017">
      <c r="A2017" s="139" t="str">
        <f>IFERROR(__xludf.DUMMYFUNCTION("""COMPUTED_VALUE"""),"e")</f>
        <v>e</v>
      </c>
      <c r="B2017" s="139">
        <f>IFERROR(__xludf.DUMMYFUNCTION("""COMPUTED_VALUE"""),2.0251202E8)</f>
        <v>202512020</v>
      </c>
      <c r="C2017" s="139" t="str">
        <f>IFERROR(__xludf.DUMMYFUNCTION("""COMPUTED_VALUE"""),"c_osh_00001_general_osh_vh_Boss_Colorless_Special_00002")</f>
        <v>c_osh_00001_general_osh_vh_Boss_Colorless_Special_00002</v>
      </c>
      <c r="D2017" s="139" t="str">
        <f>IFERROR(__xludf.DUMMYFUNCTION("""COMPUTED_VALUE"""),"c_osh_00001_general_osh_vh_Boss_Colorless")</f>
        <v>c_osh_00001_general_osh_vh_Boss_Colorless</v>
      </c>
      <c r="E2017" s="139">
        <f>IFERROR(__xludf.DUMMYFUNCTION("""COMPUTED_VALUE"""),0.0)</f>
        <v>0</v>
      </c>
      <c r="F2017" s="139" t="str">
        <f>IFERROR(__xludf.DUMMYFUNCTION("""COMPUTED_VALUE"""),"Special")</f>
        <v>Special</v>
      </c>
      <c r="G2017" s="139"/>
      <c r="H2017" s="139"/>
      <c r="I2017" s="139">
        <f>IFERROR(__xludf.DUMMYFUNCTION("""COMPUTED_VALUE"""),162.0)</f>
        <v>162</v>
      </c>
      <c r="J2017" s="139">
        <f>IFERROR(__xludf.DUMMYFUNCTION("""COMPUTED_VALUE"""),92.0)</f>
        <v>92</v>
      </c>
      <c r="K2017" s="139">
        <f>IFERROR(__xludf.DUMMYFUNCTION("""COMPUTED_VALUE"""),0.0)</f>
        <v>0</v>
      </c>
      <c r="L2017" s="139"/>
      <c r="M2017" s="139"/>
      <c r="N2017" s="139"/>
    </row>
    <row r="2018">
      <c r="A2018" s="139" t="str">
        <f>IFERROR(__xludf.DUMMYFUNCTION("""COMPUTED_VALUE"""),"e")</f>
        <v>e</v>
      </c>
      <c r="B2018" s="139">
        <f>IFERROR(__xludf.DUMMYFUNCTION("""COMPUTED_VALUE"""),2.0251202E8)</f>
        <v>202512020</v>
      </c>
      <c r="C2018" s="139" t="str">
        <f>IFERROR(__xludf.DUMMYFUNCTION("""COMPUTED_VALUE"""),"c_osh_00001_general_osh_vh_Boss_Red_Normal_00000")</f>
        <v>c_osh_00001_general_osh_vh_Boss_Red_Normal_00000</v>
      </c>
      <c r="D2018" s="139" t="str">
        <f>IFERROR(__xludf.DUMMYFUNCTION("""COMPUTED_VALUE"""),"c_osh_00001_general_osh_vh_Boss_Red")</f>
        <v>c_osh_00001_general_osh_vh_Boss_Red</v>
      </c>
      <c r="E2018" s="139">
        <f>IFERROR(__xludf.DUMMYFUNCTION("""COMPUTED_VALUE"""),0.0)</f>
        <v>0</v>
      </c>
      <c r="F2018" s="139" t="str">
        <f>IFERROR(__xludf.DUMMYFUNCTION("""COMPUTED_VALUE"""),"Normal")</f>
        <v>Normal</v>
      </c>
      <c r="G2018" s="139"/>
      <c r="H2018" s="139"/>
      <c r="I2018" s="139">
        <f>IFERROR(__xludf.DUMMYFUNCTION("""COMPUTED_VALUE"""),80.0)</f>
        <v>80</v>
      </c>
      <c r="J2018" s="139">
        <f>IFERROR(__xludf.DUMMYFUNCTION("""COMPUTED_VALUE"""),22.0)</f>
        <v>22</v>
      </c>
      <c r="K2018" s="139">
        <f>IFERROR(__xludf.DUMMYFUNCTION("""COMPUTED_VALUE"""),50.0)</f>
        <v>50</v>
      </c>
      <c r="L2018" s="139"/>
      <c r="M2018" s="139"/>
      <c r="N2018" s="139"/>
    </row>
    <row r="2019">
      <c r="A2019" s="139" t="str">
        <f>IFERROR(__xludf.DUMMYFUNCTION("""COMPUTED_VALUE"""),"e")</f>
        <v>e</v>
      </c>
      <c r="B2019" s="139">
        <f>IFERROR(__xludf.DUMMYFUNCTION("""COMPUTED_VALUE"""),2.0251202E8)</f>
        <v>202512020</v>
      </c>
      <c r="C2019" s="139" t="str">
        <f>IFERROR(__xludf.DUMMYFUNCTION("""COMPUTED_VALUE"""),"c_osh_00001_general_osh_vh_Boss_Red_Appearance_00001")</f>
        <v>c_osh_00001_general_osh_vh_Boss_Red_Appearance_00001</v>
      </c>
      <c r="D2019" s="139" t="str">
        <f>IFERROR(__xludf.DUMMYFUNCTION("""COMPUTED_VALUE"""),"c_osh_00001_general_osh_vh_Boss_Red")</f>
        <v>c_osh_00001_general_osh_vh_Boss_Red</v>
      </c>
      <c r="E2019" s="139">
        <f>IFERROR(__xludf.DUMMYFUNCTION("""COMPUTED_VALUE"""),0.0)</f>
        <v>0</v>
      </c>
      <c r="F2019" s="139" t="str">
        <f>IFERROR(__xludf.DUMMYFUNCTION("""COMPUTED_VALUE"""),"Appearance")</f>
        <v>Appearance</v>
      </c>
      <c r="G2019" s="139"/>
      <c r="H2019" s="139"/>
      <c r="I2019" s="139">
        <f>IFERROR(__xludf.DUMMYFUNCTION("""COMPUTED_VALUE"""),50.0)</f>
        <v>50</v>
      </c>
      <c r="J2019" s="139">
        <f>IFERROR(__xludf.DUMMYFUNCTION("""COMPUTED_VALUE"""),0.0)</f>
        <v>0</v>
      </c>
      <c r="K2019" s="139">
        <f>IFERROR(__xludf.DUMMYFUNCTION("""COMPUTED_VALUE"""),0.0)</f>
        <v>0</v>
      </c>
      <c r="L2019" s="139"/>
      <c r="M2019" s="139"/>
      <c r="N2019" s="139"/>
    </row>
    <row r="2020">
      <c r="A2020" s="139" t="str">
        <f>IFERROR(__xludf.DUMMYFUNCTION("""COMPUTED_VALUE"""),"e")</f>
        <v>e</v>
      </c>
      <c r="B2020" s="139">
        <f>IFERROR(__xludf.DUMMYFUNCTION("""COMPUTED_VALUE"""),2.0251202E8)</f>
        <v>202512020</v>
      </c>
      <c r="C2020" s="139" t="str">
        <f>IFERROR(__xludf.DUMMYFUNCTION("""COMPUTED_VALUE"""),"c_osh_00001_general_osh_vh_Boss_Red_Special_00002")</f>
        <v>c_osh_00001_general_osh_vh_Boss_Red_Special_00002</v>
      </c>
      <c r="D2020" s="139" t="str">
        <f>IFERROR(__xludf.DUMMYFUNCTION("""COMPUTED_VALUE"""),"c_osh_00001_general_osh_vh_Boss_Red")</f>
        <v>c_osh_00001_general_osh_vh_Boss_Red</v>
      </c>
      <c r="E2020" s="139">
        <f>IFERROR(__xludf.DUMMYFUNCTION("""COMPUTED_VALUE"""),0.0)</f>
        <v>0</v>
      </c>
      <c r="F2020" s="139" t="str">
        <f>IFERROR(__xludf.DUMMYFUNCTION("""COMPUTED_VALUE"""),"Special")</f>
        <v>Special</v>
      </c>
      <c r="G2020" s="139"/>
      <c r="H2020" s="139"/>
      <c r="I2020" s="139">
        <f>IFERROR(__xludf.DUMMYFUNCTION("""COMPUTED_VALUE"""),162.0)</f>
        <v>162</v>
      </c>
      <c r="J2020" s="139">
        <f>IFERROR(__xludf.DUMMYFUNCTION("""COMPUTED_VALUE"""),92.0)</f>
        <v>92</v>
      </c>
      <c r="K2020" s="139">
        <f>IFERROR(__xludf.DUMMYFUNCTION("""COMPUTED_VALUE"""),0.0)</f>
        <v>0</v>
      </c>
      <c r="L2020" s="139"/>
      <c r="M2020" s="139"/>
      <c r="N2020" s="139"/>
    </row>
    <row r="2021">
      <c r="A2021" s="139" t="str">
        <f>IFERROR(__xludf.DUMMYFUNCTION("""COMPUTED_VALUE"""),"e")</f>
        <v>e</v>
      </c>
      <c r="B2021" s="139">
        <f>IFERROR(__xludf.DUMMYFUNCTION("""COMPUTED_VALUE"""),2.0251202E8)</f>
        <v>202512020</v>
      </c>
      <c r="C2021" s="139" t="str">
        <f>IFERROR(__xludf.DUMMYFUNCTION("""COMPUTED_VALUE"""),"e_glo_00001_general_osh_vh_Boss_Blue_Normal_00000")</f>
        <v>e_glo_00001_general_osh_vh_Boss_Blue_Normal_00000</v>
      </c>
      <c r="D2021" s="139" t="str">
        <f>IFERROR(__xludf.DUMMYFUNCTION("""COMPUTED_VALUE"""),"e_glo_00001_general_osh_vh_Boss_Blue")</f>
        <v>e_glo_00001_general_osh_vh_Boss_Blue</v>
      </c>
      <c r="E2021" s="139">
        <f>IFERROR(__xludf.DUMMYFUNCTION("""COMPUTED_VALUE"""),0.0)</f>
        <v>0</v>
      </c>
      <c r="F2021" s="139" t="str">
        <f>IFERROR(__xludf.DUMMYFUNCTION("""COMPUTED_VALUE"""),"Normal")</f>
        <v>Normal</v>
      </c>
      <c r="G2021" s="139"/>
      <c r="H2021" s="139"/>
      <c r="I2021" s="139">
        <f>IFERROR(__xludf.DUMMYFUNCTION("""COMPUTED_VALUE"""),50.0)</f>
        <v>50</v>
      </c>
      <c r="J2021" s="139">
        <f>IFERROR(__xludf.DUMMYFUNCTION("""COMPUTED_VALUE"""),25.0)</f>
        <v>25</v>
      </c>
      <c r="K2021" s="139">
        <f>IFERROR(__xludf.DUMMYFUNCTION("""COMPUTED_VALUE"""),100.0)</f>
        <v>100</v>
      </c>
      <c r="L2021" s="139"/>
      <c r="M2021" s="139"/>
      <c r="N2021" s="139"/>
    </row>
    <row r="2022">
      <c r="A2022" s="139" t="str">
        <f>IFERROR(__xludf.DUMMYFUNCTION("""COMPUTED_VALUE"""),"e")</f>
        <v>e</v>
      </c>
      <c r="B2022" s="139">
        <f>IFERROR(__xludf.DUMMYFUNCTION("""COMPUTED_VALUE"""),2.0251202E8)</f>
        <v>202512020</v>
      </c>
      <c r="C2022" s="139" t="str">
        <f>IFERROR(__xludf.DUMMYFUNCTION("""COMPUTED_VALUE"""),"e_glo_00001_general_osh_vh_Boss_Blue_Appearance_00001")</f>
        <v>e_glo_00001_general_osh_vh_Boss_Blue_Appearance_00001</v>
      </c>
      <c r="D2022" s="139" t="str">
        <f>IFERROR(__xludf.DUMMYFUNCTION("""COMPUTED_VALUE"""),"e_glo_00001_general_osh_vh_Boss_Blue")</f>
        <v>e_glo_00001_general_osh_vh_Boss_Blue</v>
      </c>
      <c r="E2022" s="139">
        <f>IFERROR(__xludf.DUMMYFUNCTION("""COMPUTED_VALUE"""),0.0)</f>
        <v>0</v>
      </c>
      <c r="F2022" s="139" t="str">
        <f>IFERROR(__xludf.DUMMYFUNCTION("""COMPUTED_VALUE"""),"Appearance")</f>
        <v>Appearance</v>
      </c>
      <c r="G2022" s="139"/>
      <c r="H2022" s="139"/>
      <c r="I2022" s="139">
        <f>IFERROR(__xludf.DUMMYFUNCTION("""COMPUTED_VALUE"""),50.0)</f>
        <v>50</v>
      </c>
      <c r="J2022" s="139">
        <f>IFERROR(__xludf.DUMMYFUNCTION("""COMPUTED_VALUE"""),0.0)</f>
        <v>0</v>
      </c>
      <c r="K2022" s="139">
        <f>IFERROR(__xludf.DUMMYFUNCTION("""COMPUTED_VALUE"""),0.0)</f>
        <v>0</v>
      </c>
      <c r="L2022" s="139"/>
      <c r="M2022" s="139"/>
      <c r="N2022" s="139"/>
    </row>
    <row r="2023">
      <c r="A2023" s="139" t="str">
        <f>IFERROR(__xludf.DUMMYFUNCTION("""COMPUTED_VALUE"""),"e")</f>
        <v>e</v>
      </c>
      <c r="B2023" s="139">
        <f>IFERROR(__xludf.DUMMYFUNCTION("""COMPUTED_VALUE"""),2.0251202E8)</f>
        <v>202512020</v>
      </c>
      <c r="C2023" s="139" t="str">
        <f>IFERROR(__xludf.DUMMYFUNCTION("""COMPUTED_VALUE"""),"e_glo_00002_general_osh_vh_Normal_Red_Normal_00000")</f>
        <v>e_glo_00002_general_osh_vh_Normal_Red_Normal_00000</v>
      </c>
      <c r="D2023" s="139" t="str">
        <f>IFERROR(__xludf.DUMMYFUNCTION("""COMPUTED_VALUE"""),"e_glo_00002_general_osh_vh_Normal_Red")</f>
        <v>e_glo_00002_general_osh_vh_Normal_Red</v>
      </c>
      <c r="E2023" s="139">
        <f>IFERROR(__xludf.DUMMYFUNCTION("""COMPUTED_VALUE"""),0.0)</f>
        <v>0</v>
      </c>
      <c r="F2023" s="139" t="str">
        <f>IFERROR(__xludf.DUMMYFUNCTION("""COMPUTED_VALUE"""),"Normal")</f>
        <v>Normal</v>
      </c>
      <c r="G2023" s="139"/>
      <c r="H2023" s="139"/>
      <c r="I2023" s="139">
        <f>IFERROR(__xludf.DUMMYFUNCTION("""COMPUTED_VALUE"""),71.0)</f>
        <v>71</v>
      </c>
      <c r="J2023" s="139">
        <f>IFERROR(__xludf.DUMMYFUNCTION("""COMPUTED_VALUE"""),30.0)</f>
        <v>30</v>
      </c>
      <c r="K2023" s="139">
        <f>IFERROR(__xludf.DUMMYFUNCTION("""COMPUTED_VALUE"""),0.0)</f>
        <v>0</v>
      </c>
      <c r="L2023" s="139"/>
      <c r="M2023" s="139"/>
      <c r="N2023" s="139"/>
    </row>
    <row r="2024">
      <c r="A2024" s="139" t="str">
        <f>IFERROR(__xludf.DUMMYFUNCTION("""COMPUTED_VALUE"""),"e")</f>
        <v>e</v>
      </c>
      <c r="B2024" s="139">
        <f>IFERROR(__xludf.DUMMYFUNCTION("""COMPUTED_VALUE"""),2.0251202E8)</f>
        <v>202512020</v>
      </c>
      <c r="C2024" s="139" t="str">
        <f>IFERROR(__xludf.DUMMYFUNCTION("""COMPUTED_VALUE"""),"e_glo_00002_general_osh_vh_Normal_Colorless_Normal_00000")</f>
        <v>e_glo_00002_general_osh_vh_Normal_Colorless_Normal_00000</v>
      </c>
      <c r="D2024" s="139" t="str">
        <f>IFERROR(__xludf.DUMMYFUNCTION("""COMPUTED_VALUE"""),"e_glo_00002_general_osh_vh_Normal_Colorless")</f>
        <v>e_glo_00002_general_osh_vh_Normal_Colorless</v>
      </c>
      <c r="E2024" s="139">
        <f>IFERROR(__xludf.DUMMYFUNCTION("""COMPUTED_VALUE"""),0.0)</f>
        <v>0</v>
      </c>
      <c r="F2024" s="139" t="str">
        <f>IFERROR(__xludf.DUMMYFUNCTION("""COMPUTED_VALUE"""),"Normal")</f>
        <v>Normal</v>
      </c>
      <c r="G2024" s="139"/>
      <c r="H2024" s="139"/>
      <c r="I2024" s="139">
        <f>IFERROR(__xludf.DUMMYFUNCTION("""COMPUTED_VALUE"""),71.0)</f>
        <v>71</v>
      </c>
      <c r="J2024" s="139">
        <f>IFERROR(__xludf.DUMMYFUNCTION("""COMPUTED_VALUE"""),30.0)</f>
        <v>30</v>
      </c>
      <c r="K2024" s="139">
        <f>IFERROR(__xludf.DUMMYFUNCTION("""COMPUTED_VALUE"""),50.0)</f>
        <v>50</v>
      </c>
      <c r="L2024" s="139"/>
      <c r="M2024" s="139"/>
      <c r="N2024" s="139"/>
    </row>
    <row r="2025">
      <c r="A2025" s="139" t="str">
        <f>IFERROR(__xludf.DUMMYFUNCTION("""COMPUTED_VALUE"""),"e")</f>
        <v>e</v>
      </c>
      <c r="B2025" s="139">
        <f>IFERROR(__xludf.DUMMYFUNCTION("""COMPUTED_VALUE"""),2.0251202E8)</f>
        <v>202512020</v>
      </c>
      <c r="C2025" s="139" t="str">
        <f>IFERROR(__xludf.DUMMYFUNCTION("""COMPUTED_VALUE"""),"e_glo_00002_general_osh_vh_Normal_Blue_Normal_00000")</f>
        <v>e_glo_00002_general_osh_vh_Normal_Blue_Normal_00000</v>
      </c>
      <c r="D2025" s="139" t="str">
        <f>IFERROR(__xludf.DUMMYFUNCTION("""COMPUTED_VALUE"""),"e_glo_00002_general_osh_vh_Normal_Blue")</f>
        <v>e_glo_00002_general_osh_vh_Normal_Blue</v>
      </c>
      <c r="E2025" s="139">
        <f>IFERROR(__xludf.DUMMYFUNCTION("""COMPUTED_VALUE"""),0.0)</f>
        <v>0</v>
      </c>
      <c r="F2025" s="139" t="str">
        <f>IFERROR(__xludf.DUMMYFUNCTION("""COMPUTED_VALUE"""),"Normal")</f>
        <v>Normal</v>
      </c>
      <c r="G2025" s="139"/>
      <c r="H2025" s="139"/>
      <c r="I2025" s="139">
        <f>IFERROR(__xludf.DUMMYFUNCTION("""COMPUTED_VALUE"""),71.0)</f>
        <v>71</v>
      </c>
      <c r="J2025" s="139">
        <f>IFERROR(__xludf.DUMMYFUNCTION("""COMPUTED_VALUE"""),30.0)</f>
        <v>30</v>
      </c>
      <c r="K2025" s="139">
        <f>IFERROR(__xludf.DUMMYFUNCTION("""COMPUTED_VALUE"""),0.0)</f>
        <v>0</v>
      </c>
      <c r="L2025" s="139"/>
      <c r="M2025" s="139"/>
      <c r="N2025" s="139"/>
    </row>
    <row r="2026">
      <c r="A2026" s="139"/>
      <c r="B2026" s="139"/>
      <c r="C2026" s="139"/>
      <c r="D2026" s="139"/>
      <c r="E2026" s="139"/>
      <c r="F2026" s="139"/>
      <c r="G2026" s="139"/>
      <c r="H2026" s="139"/>
      <c r="I2026" s="139"/>
      <c r="J2026" s="139"/>
      <c r="K2026" s="139"/>
      <c r="L2026" s="139"/>
      <c r="M2026" s="139"/>
      <c r="N2026" s="139"/>
    </row>
    <row r="2027">
      <c r="A2027" s="139"/>
      <c r="B2027" s="139"/>
      <c r="C2027" s="139"/>
      <c r="D2027" s="139"/>
      <c r="E2027" s="139"/>
      <c r="F2027" s="139"/>
      <c r="G2027" s="139"/>
      <c r="H2027" s="139"/>
      <c r="I2027" s="139"/>
      <c r="J2027" s="139"/>
      <c r="K2027" s="139"/>
      <c r="L2027" s="139"/>
      <c r="M2027" s="139"/>
      <c r="N2027" s="139"/>
    </row>
    <row r="2028">
      <c r="A2028" s="139"/>
      <c r="B2028" s="139"/>
      <c r="C2028" s="139"/>
      <c r="D2028" s="139"/>
      <c r="E2028" s="139"/>
      <c r="F2028" s="139"/>
      <c r="G2028" s="139"/>
      <c r="H2028" s="139"/>
      <c r="I2028" s="139"/>
      <c r="J2028" s="139"/>
      <c r="K2028" s="139"/>
      <c r="L2028" s="139"/>
      <c r="M2028" s="139"/>
      <c r="N2028" s="139"/>
    </row>
    <row r="2029">
      <c r="A2029" s="139"/>
      <c r="B2029" s="139"/>
      <c r="C2029" s="139"/>
      <c r="D2029" s="139"/>
      <c r="E2029" s="139"/>
      <c r="F2029" s="139"/>
      <c r="G2029" s="139"/>
      <c r="H2029" s="139"/>
      <c r="I2029" s="139"/>
      <c r="J2029" s="139"/>
      <c r="K2029" s="139"/>
      <c r="L2029" s="139"/>
      <c r="M2029" s="139"/>
      <c r="N2029" s="139"/>
    </row>
    <row r="2030">
      <c r="A2030" s="139" t="str">
        <f>IFERROR(__xludf.DUMMYFUNCTION("""COMPUTED_VALUE"""),"e")</f>
        <v>e</v>
      </c>
      <c r="B2030" s="139">
        <f>IFERROR(__xludf.DUMMYFUNCTION("""COMPUTED_VALUE"""),2.0250901E8)</f>
        <v>202509010</v>
      </c>
      <c r="C2030" s="139" t="str">
        <f>IFERROR(__xludf.DUMMYFUNCTION("""COMPUTED_VALUE"""),"e_glo_00001_event_spy1_artwork_Normal_Colorless_Normal_00000")</f>
        <v>e_glo_00001_event_spy1_artwork_Normal_Colorless_Normal_00000</v>
      </c>
      <c r="D2030" s="139" t="str">
        <f>IFERROR(__xludf.DUMMYFUNCTION("""COMPUTED_VALUE"""),"e_glo_00001_event_spy1_artwork_Normal_Colorless")</f>
        <v>e_glo_00001_event_spy1_artwork_Normal_Colorless</v>
      </c>
      <c r="E2030" s="139">
        <f>IFERROR(__xludf.DUMMYFUNCTION("""COMPUTED_VALUE"""),0.0)</f>
        <v>0</v>
      </c>
      <c r="F2030" s="139" t="str">
        <f>IFERROR(__xludf.DUMMYFUNCTION("""COMPUTED_VALUE"""),"Normal")</f>
        <v>Normal</v>
      </c>
      <c r="G2030" s="139"/>
      <c r="H2030" s="139"/>
      <c r="I2030" s="139">
        <f>IFERROR(__xludf.DUMMYFUNCTION("""COMPUTED_VALUE"""),50.0)</f>
        <v>50</v>
      </c>
      <c r="J2030" s="139">
        <f>IFERROR(__xludf.DUMMYFUNCTION("""COMPUTED_VALUE"""),25.0)</f>
        <v>25</v>
      </c>
      <c r="K2030" s="139">
        <f>IFERROR(__xludf.DUMMYFUNCTION("""COMPUTED_VALUE"""),50.0)</f>
        <v>50</v>
      </c>
      <c r="L2030" s="139"/>
      <c r="M2030" s="139"/>
      <c r="N2030" s="139"/>
    </row>
    <row r="2031">
      <c r="A2031" s="139" t="str">
        <f>IFERROR(__xludf.DUMMYFUNCTION("""COMPUTED_VALUE"""),"e")</f>
        <v>e</v>
      </c>
      <c r="B2031" s="139">
        <f>IFERROR(__xludf.DUMMYFUNCTION("""COMPUTED_VALUE"""),2.0250901E8)</f>
        <v>202509010</v>
      </c>
      <c r="C2031" s="139" t="str">
        <f>IFERROR(__xludf.DUMMYFUNCTION("""COMPUTED_VALUE"""),"e_glo_00001_event_spy1_artwork_Boss_Colorless_Normal_00000")</f>
        <v>e_glo_00001_event_spy1_artwork_Boss_Colorless_Normal_00000</v>
      </c>
      <c r="D2031" s="139" t="str">
        <f>IFERROR(__xludf.DUMMYFUNCTION("""COMPUTED_VALUE"""),"e_glo_00001_event_spy1_artwork_Boss_Colorless")</f>
        <v>e_glo_00001_event_spy1_artwork_Boss_Colorless</v>
      </c>
      <c r="E2031" s="139">
        <f>IFERROR(__xludf.DUMMYFUNCTION("""COMPUTED_VALUE"""),0.0)</f>
        <v>0</v>
      </c>
      <c r="F2031" s="139" t="str">
        <f>IFERROR(__xludf.DUMMYFUNCTION("""COMPUTED_VALUE"""),"Normal")</f>
        <v>Normal</v>
      </c>
      <c r="G2031" s="139"/>
      <c r="H2031" s="139"/>
      <c r="I2031" s="139">
        <f>IFERROR(__xludf.DUMMYFUNCTION("""COMPUTED_VALUE"""),50.0)</f>
        <v>50</v>
      </c>
      <c r="J2031" s="139">
        <f>IFERROR(__xludf.DUMMYFUNCTION("""COMPUTED_VALUE"""),25.0)</f>
        <v>25</v>
      </c>
      <c r="K2031" s="139">
        <f>IFERROR(__xludf.DUMMYFUNCTION("""COMPUTED_VALUE"""),100.0)</f>
        <v>100</v>
      </c>
      <c r="L2031" s="139"/>
      <c r="M2031" s="139"/>
      <c r="N2031" s="139"/>
    </row>
    <row r="2032">
      <c r="A2032" s="139" t="str">
        <f>IFERROR(__xludf.DUMMYFUNCTION("""COMPUTED_VALUE"""),"e")</f>
        <v>e</v>
      </c>
      <c r="B2032" s="139">
        <f>IFERROR(__xludf.DUMMYFUNCTION("""COMPUTED_VALUE"""),2.0250901E8)</f>
        <v>202509010</v>
      </c>
      <c r="C2032" s="139" t="str">
        <f>IFERROR(__xludf.DUMMYFUNCTION("""COMPUTED_VALUE"""),"e_glo_00001_event_spy1_artwork_Boss_Colorless_Appearance_00001")</f>
        <v>e_glo_00001_event_spy1_artwork_Boss_Colorless_Appearance_00001</v>
      </c>
      <c r="D2032" s="139" t="str">
        <f>IFERROR(__xludf.DUMMYFUNCTION("""COMPUTED_VALUE"""),"e_glo_00001_event_spy1_artwork_Boss_Colorless")</f>
        <v>e_glo_00001_event_spy1_artwork_Boss_Colorless</v>
      </c>
      <c r="E2032" s="139">
        <f>IFERROR(__xludf.DUMMYFUNCTION("""COMPUTED_VALUE"""),0.0)</f>
        <v>0</v>
      </c>
      <c r="F2032" s="139" t="str">
        <f>IFERROR(__xludf.DUMMYFUNCTION("""COMPUTED_VALUE"""),"Appearance")</f>
        <v>Appearance</v>
      </c>
      <c r="G2032" s="139"/>
      <c r="H2032" s="139"/>
      <c r="I2032" s="139">
        <f>IFERROR(__xludf.DUMMYFUNCTION("""COMPUTED_VALUE"""),50.0)</f>
        <v>50</v>
      </c>
      <c r="J2032" s="139">
        <f>IFERROR(__xludf.DUMMYFUNCTION("""COMPUTED_VALUE"""),25.0)</f>
        <v>25</v>
      </c>
      <c r="K2032" s="139">
        <f>IFERROR(__xludf.DUMMYFUNCTION("""COMPUTED_VALUE"""),0.0)</f>
        <v>0</v>
      </c>
      <c r="L2032" s="139"/>
      <c r="M2032" s="139"/>
      <c r="N2032" s="139"/>
    </row>
    <row r="2033">
      <c r="A2033" s="139" t="str">
        <f>IFERROR(__xludf.DUMMYFUNCTION("""COMPUTED_VALUE"""),"e")</f>
        <v>e</v>
      </c>
      <c r="B2033" s="139">
        <f>IFERROR(__xludf.DUMMYFUNCTION("""COMPUTED_VALUE"""),2.0250901E8)</f>
        <v>202509010</v>
      </c>
      <c r="C2033" s="139" t="str">
        <f>IFERROR(__xludf.DUMMYFUNCTION("""COMPUTED_VALUE"""),"e_glo_00001_event_spy1_artwork_Boss_Yellow_Normal_00000")</f>
        <v>e_glo_00001_event_spy1_artwork_Boss_Yellow_Normal_00000</v>
      </c>
      <c r="D2033" s="139" t="str">
        <f>IFERROR(__xludf.DUMMYFUNCTION("""COMPUTED_VALUE"""),"e_glo_00001_event_spy1_artwork_Boss_Yellow")</f>
        <v>e_glo_00001_event_spy1_artwork_Boss_Yellow</v>
      </c>
      <c r="E2033" s="139">
        <f>IFERROR(__xludf.DUMMYFUNCTION("""COMPUTED_VALUE"""),0.0)</f>
        <v>0</v>
      </c>
      <c r="F2033" s="139" t="str">
        <f>IFERROR(__xludf.DUMMYFUNCTION("""COMPUTED_VALUE"""),"Normal")</f>
        <v>Normal</v>
      </c>
      <c r="G2033" s="139"/>
      <c r="H2033" s="139"/>
      <c r="I2033" s="139">
        <f>IFERROR(__xludf.DUMMYFUNCTION("""COMPUTED_VALUE"""),50.0)</f>
        <v>50</v>
      </c>
      <c r="J2033" s="139">
        <f>IFERROR(__xludf.DUMMYFUNCTION("""COMPUTED_VALUE"""),25.0)</f>
        <v>25</v>
      </c>
      <c r="K2033" s="139">
        <f>IFERROR(__xludf.DUMMYFUNCTION("""COMPUTED_VALUE"""),100.0)</f>
        <v>100</v>
      </c>
      <c r="L2033" s="139"/>
      <c r="M2033" s="139"/>
      <c r="N2033" s="139"/>
    </row>
    <row r="2034">
      <c r="A2034" s="139" t="str">
        <f>IFERROR(__xludf.DUMMYFUNCTION("""COMPUTED_VALUE"""),"e")</f>
        <v>e</v>
      </c>
      <c r="B2034" s="139">
        <f>IFERROR(__xludf.DUMMYFUNCTION("""COMPUTED_VALUE"""),2.0250901E8)</f>
        <v>202509010</v>
      </c>
      <c r="C2034" s="139" t="str">
        <f>IFERROR(__xludf.DUMMYFUNCTION("""COMPUTED_VALUE"""),"e_glo_00001_event_spy1_artwork_Boss_Yellow_Appearance_00001")</f>
        <v>e_glo_00001_event_spy1_artwork_Boss_Yellow_Appearance_00001</v>
      </c>
      <c r="D2034" s="139" t="str">
        <f>IFERROR(__xludf.DUMMYFUNCTION("""COMPUTED_VALUE"""),"e_glo_00001_event_spy1_artwork_Boss_Yellow")</f>
        <v>e_glo_00001_event_spy1_artwork_Boss_Yellow</v>
      </c>
      <c r="E2034" s="139">
        <f>IFERROR(__xludf.DUMMYFUNCTION("""COMPUTED_VALUE"""),0.0)</f>
        <v>0</v>
      </c>
      <c r="F2034" s="139" t="str">
        <f>IFERROR(__xludf.DUMMYFUNCTION("""COMPUTED_VALUE"""),"Appearance")</f>
        <v>Appearance</v>
      </c>
      <c r="G2034" s="139"/>
      <c r="H2034" s="139"/>
      <c r="I2034" s="139">
        <f>IFERROR(__xludf.DUMMYFUNCTION("""COMPUTED_VALUE"""),50.0)</f>
        <v>50</v>
      </c>
      <c r="J2034" s="139">
        <f>IFERROR(__xludf.DUMMYFUNCTION("""COMPUTED_VALUE"""),25.0)</f>
        <v>25</v>
      </c>
      <c r="K2034" s="139">
        <f>IFERROR(__xludf.DUMMYFUNCTION("""COMPUTED_VALUE"""),0.0)</f>
        <v>0</v>
      </c>
      <c r="L2034" s="139"/>
      <c r="M2034" s="139"/>
      <c r="N2034" s="139"/>
    </row>
    <row r="2035">
      <c r="A2035" s="139" t="str">
        <f>IFERROR(__xludf.DUMMYFUNCTION("""COMPUTED_VALUE"""),"e")</f>
        <v>e</v>
      </c>
      <c r="B2035" s="139">
        <f>IFERROR(__xludf.DUMMYFUNCTION("""COMPUTED_VALUE"""),2.0250901E8)</f>
        <v>202509010</v>
      </c>
      <c r="C2035" s="139" t="str">
        <f>IFERROR(__xludf.DUMMYFUNCTION("""COMPUTED_VALUE"""),"e_glo_00001_event_spy1_artwork_Boss_Blue_Normal_00000")</f>
        <v>e_glo_00001_event_spy1_artwork_Boss_Blue_Normal_00000</v>
      </c>
      <c r="D2035" s="139" t="str">
        <f>IFERROR(__xludf.DUMMYFUNCTION("""COMPUTED_VALUE"""),"e_glo_00001_event_spy1_artwork_Boss_Blue")</f>
        <v>e_glo_00001_event_spy1_artwork_Boss_Blue</v>
      </c>
      <c r="E2035" s="139">
        <f>IFERROR(__xludf.DUMMYFUNCTION("""COMPUTED_VALUE"""),0.0)</f>
        <v>0</v>
      </c>
      <c r="F2035" s="139" t="str">
        <f>IFERROR(__xludf.DUMMYFUNCTION("""COMPUTED_VALUE"""),"Normal")</f>
        <v>Normal</v>
      </c>
      <c r="G2035" s="139"/>
      <c r="H2035" s="139"/>
      <c r="I2035" s="139">
        <f>IFERROR(__xludf.DUMMYFUNCTION("""COMPUTED_VALUE"""),50.0)</f>
        <v>50</v>
      </c>
      <c r="J2035" s="139">
        <f>IFERROR(__xludf.DUMMYFUNCTION("""COMPUTED_VALUE"""),25.0)</f>
        <v>25</v>
      </c>
      <c r="K2035" s="139">
        <f>IFERROR(__xludf.DUMMYFUNCTION("""COMPUTED_VALUE"""),100.0)</f>
        <v>100</v>
      </c>
      <c r="L2035" s="139"/>
      <c r="M2035" s="139"/>
      <c r="N2035" s="139"/>
    </row>
    <row r="2036">
      <c r="A2036" s="139" t="str">
        <f>IFERROR(__xludf.DUMMYFUNCTION("""COMPUTED_VALUE"""),"e")</f>
        <v>e</v>
      </c>
      <c r="B2036" s="139">
        <f>IFERROR(__xludf.DUMMYFUNCTION("""COMPUTED_VALUE"""),2.0250901E8)</f>
        <v>202509010</v>
      </c>
      <c r="C2036" s="139" t="str">
        <f>IFERROR(__xludf.DUMMYFUNCTION("""COMPUTED_VALUE"""),"e_glo_00001_event_spy1_artwork_Boss_Blue_Appearance_00001")</f>
        <v>e_glo_00001_event_spy1_artwork_Boss_Blue_Appearance_00001</v>
      </c>
      <c r="D2036" s="139" t="str">
        <f>IFERROR(__xludf.DUMMYFUNCTION("""COMPUTED_VALUE"""),"e_glo_00001_event_spy1_artwork_Boss_Blue")</f>
        <v>e_glo_00001_event_spy1_artwork_Boss_Blue</v>
      </c>
      <c r="E2036" s="139">
        <f>IFERROR(__xludf.DUMMYFUNCTION("""COMPUTED_VALUE"""),0.0)</f>
        <v>0</v>
      </c>
      <c r="F2036" s="139" t="str">
        <f>IFERROR(__xludf.DUMMYFUNCTION("""COMPUTED_VALUE"""),"Appearance")</f>
        <v>Appearance</v>
      </c>
      <c r="G2036" s="139"/>
      <c r="H2036" s="139"/>
      <c r="I2036" s="139">
        <f>IFERROR(__xludf.DUMMYFUNCTION("""COMPUTED_VALUE"""),50.0)</f>
        <v>50</v>
      </c>
      <c r="J2036" s="139">
        <f>IFERROR(__xludf.DUMMYFUNCTION("""COMPUTED_VALUE"""),25.0)</f>
        <v>25</v>
      </c>
      <c r="K2036" s="139">
        <f>IFERROR(__xludf.DUMMYFUNCTION("""COMPUTED_VALUE"""),0.0)</f>
        <v>0</v>
      </c>
      <c r="L2036" s="139"/>
      <c r="M2036" s="139"/>
      <c r="N2036" s="139"/>
    </row>
    <row r="2037">
      <c r="A2037" s="139" t="str">
        <f>IFERROR(__xludf.DUMMYFUNCTION("""COMPUTED_VALUE"""),"e")</f>
        <v>e</v>
      </c>
      <c r="B2037" s="139">
        <f>IFERROR(__xludf.DUMMYFUNCTION("""COMPUTED_VALUE"""),2.0250901E8)</f>
        <v>202509010</v>
      </c>
      <c r="C2037" s="139" t="str">
        <f>IFERROR(__xludf.DUMMYFUNCTION("""COMPUTED_VALUE"""),"e_glo_00001_general_Normal_Colorless_Normal_00000")</f>
        <v>e_glo_00001_general_Normal_Colorless_Normal_00000</v>
      </c>
      <c r="D2037" s="139" t="str">
        <f>IFERROR(__xludf.DUMMYFUNCTION("""COMPUTED_VALUE"""),"e_glo_00001_general_Normal_Colorless")</f>
        <v>e_glo_00001_general_Normal_Colorless</v>
      </c>
      <c r="E2037" s="139">
        <f>IFERROR(__xludf.DUMMYFUNCTION("""COMPUTED_VALUE"""),0.0)</f>
        <v>0</v>
      </c>
      <c r="F2037" s="139" t="str">
        <f>IFERROR(__xludf.DUMMYFUNCTION("""COMPUTED_VALUE"""),"Normal")</f>
        <v>Normal</v>
      </c>
      <c r="G2037" s="139"/>
      <c r="H2037" s="139"/>
      <c r="I2037" s="139">
        <f>IFERROR(__xludf.DUMMYFUNCTION("""COMPUTED_VALUE"""),50.0)</f>
        <v>50</v>
      </c>
      <c r="J2037" s="139">
        <f>IFERROR(__xludf.DUMMYFUNCTION("""COMPUTED_VALUE"""),25.0)</f>
        <v>25</v>
      </c>
      <c r="K2037" s="139">
        <f>IFERROR(__xludf.DUMMYFUNCTION("""COMPUTED_VALUE"""),50.0)</f>
        <v>50</v>
      </c>
      <c r="L2037" s="139"/>
      <c r="M2037" s="139"/>
      <c r="N2037" s="139"/>
    </row>
    <row r="2038">
      <c r="A2038" s="139" t="str">
        <f>IFERROR(__xludf.DUMMYFUNCTION("""COMPUTED_VALUE"""),"e")</f>
        <v>e</v>
      </c>
      <c r="B2038" s="139">
        <f>IFERROR(__xludf.DUMMYFUNCTION("""COMPUTED_VALUE"""),2.0250901E8)</f>
        <v>202509010</v>
      </c>
      <c r="C2038" s="139" t="str">
        <f>IFERROR(__xludf.DUMMYFUNCTION("""COMPUTED_VALUE"""),"e_glo_00001_general_Normal_Blue_Normal_00000")</f>
        <v>e_glo_00001_general_Normal_Blue_Normal_00000</v>
      </c>
      <c r="D2038" s="139" t="str">
        <f>IFERROR(__xludf.DUMMYFUNCTION("""COMPUTED_VALUE"""),"e_glo_00001_general_Normal_Blue")</f>
        <v>e_glo_00001_general_Normal_Blue</v>
      </c>
      <c r="E2038" s="139">
        <f>IFERROR(__xludf.DUMMYFUNCTION("""COMPUTED_VALUE"""),0.0)</f>
        <v>0</v>
      </c>
      <c r="F2038" s="139" t="str">
        <f>IFERROR(__xludf.DUMMYFUNCTION("""COMPUTED_VALUE"""),"Normal")</f>
        <v>Normal</v>
      </c>
      <c r="G2038" s="139"/>
      <c r="H2038" s="139"/>
      <c r="I2038" s="139">
        <f>IFERROR(__xludf.DUMMYFUNCTION("""COMPUTED_VALUE"""),50.0)</f>
        <v>50</v>
      </c>
      <c r="J2038" s="139">
        <f>IFERROR(__xludf.DUMMYFUNCTION("""COMPUTED_VALUE"""),25.0)</f>
        <v>25</v>
      </c>
      <c r="K2038" s="139">
        <f>IFERROR(__xludf.DUMMYFUNCTION("""COMPUTED_VALUE"""),50.0)</f>
        <v>50</v>
      </c>
      <c r="L2038" s="139"/>
      <c r="M2038" s="139"/>
      <c r="N2038" s="139"/>
    </row>
    <row r="2039">
      <c r="A2039" s="139" t="str">
        <f>IFERROR(__xludf.DUMMYFUNCTION("""COMPUTED_VALUE"""),"e")</f>
        <v>e</v>
      </c>
      <c r="B2039" s="139">
        <f>IFERROR(__xludf.DUMMYFUNCTION("""COMPUTED_VALUE"""),2.0250901E8)</f>
        <v>202509010</v>
      </c>
      <c r="C2039" s="139" t="str">
        <f>IFERROR(__xludf.DUMMYFUNCTION("""COMPUTED_VALUE"""),"e_glo_00001_general_Normal_Yellow_Normal_00000")</f>
        <v>e_glo_00001_general_Normal_Yellow_Normal_00000</v>
      </c>
      <c r="D2039" s="139" t="str">
        <f>IFERROR(__xludf.DUMMYFUNCTION("""COMPUTED_VALUE"""),"e_glo_00001_general_Normal_Yellow")</f>
        <v>e_glo_00001_general_Normal_Yellow</v>
      </c>
      <c r="E2039" s="139">
        <f>IFERROR(__xludf.DUMMYFUNCTION("""COMPUTED_VALUE"""),0.0)</f>
        <v>0</v>
      </c>
      <c r="F2039" s="139" t="str">
        <f>IFERROR(__xludf.DUMMYFUNCTION("""COMPUTED_VALUE"""),"Normal")</f>
        <v>Normal</v>
      </c>
      <c r="G2039" s="139"/>
      <c r="H2039" s="139"/>
      <c r="I2039" s="139">
        <f>IFERROR(__xludf.DUMMYFUNCTION("""COMPUTED_VALUE"""),50.0)</f>
        <v>50</v>
      </c>
      <c r="J2039" s="139">
        <f>IFERROR(__xludf.DUMMYFUNCTION("""COMPUTED_VALUE"""),25.0)</f>
        <v>25</v>
      </c>
      <c r="K2039" s="139">
        <f>IFERROR(__xludf.DUMMYFUNCTION("""COMPUTED_VALUE"""),50.0)</f>
        <v>50</v>
      </c>
      <c r="L2039" s="139"/>
      <c r="M2039" s="139"/>
      <c r="N2039" s="139"/>
    </row>
    <row r="2040">
      <c r="A2040" s="139" t="str">
        <f>IFERROR(__xludf.DUMMYFUNCTION("""COMPUTED_VALUE"""),"e")</f>
        <v>e</v>
      </c>
      <c r="B2040" s="139">
        <f>IFERROR(__xludf.DUMMYFUNCTION("""COMPUTED_VALUE"""),2.0250901E8)</f>
        <v>202509010</v>
      </c>
      <c r="C2040" s="139" t="str">
        <f>IFERROR(__xludf.DUMMYFUNCTION("""COMPUTED_VALUE"""),"e_glo_00001_general_Normal_Green_Normal_00000")</f>
        <v>e_glo_00001_general_Normal_Green_Normal_00000</v>
      </c>
      <c r="D2040" s="139" t="str">
        <f>IFERROR(__xludf.DUMMYFUNCTION("""COMPUTED_VALUE"""),"e_glo_00001_general_Normal_Green")</f>
        <v>e_glo_00001_general_Normal_Green</v>
      </c>
      <c r="E2040" s="139">
        <f>IFERROR(__xludf.DUMMYFUNCTION("""COMPUTED_VALUE"""),0.0)</f>
        <v>0</v>
      </c>
      <c r="F2040" s="139" t="str">
        <f>IFERROR(__xludf.DUMMYFUNCTION("""COMPUTED_VALUE"""),"Normal")</f>
        <v>Normal</v>
      </c>
      <c r="G2040" s="139"/>
      <c r="H2040" s="139"/>
      <c r="I2040" s="139">
        <f>IFERROR(__xludf.DUMMYFUNCTION("""COMPUTED_VALUE"""),50.0)</f>
        <v>50</v>
      </c>
      <c r="J2040" s="139">
        <f>IFERROR(__xludf.DUMMYFUNCTION("""COMPUTED_VALUE"""),25.0)</f>
        <v>25</v>
      </c>
      <c r="K2040" s="139">
        <f>IFERROR(__xludf.DUMMYFUNCTION("""COMPUTED_VALUE"""),50.0)</f>
        <v>50</v>
      </c>
      <c r="L2040" s="139"/>
      <c r="M2040" s="139"/>
      <c r="N2040" s="139"/>
    </row>
    <row r="2041">
      <c r="A2041" s="139"/>
      <c r="B2041" s="139"/>
      <c r="C2041" s="139"/>
      <c r="D2041" s="139"/>
      <c r="E2041" s="139"/>
      <c r="F2041" s="139"/>
      <c r="G2041" s="139"/>
      <c r="H2041" s="139"/>
      <c r="I2041" s="139"/>
      <c r="J2041" s="139"/>
      <c r="K2041" s="139"/>
      <c r="L2041" s="139"/>
      <c r="M2041" s="139"/>
      <c r="N2041" s="139"/>
    </row>
    <row r="2042">
      <c r="A2042" s="139" t="str">
        <f>IFERROR(__xludf.DUMMYFUNCTION("""COMPUTED_VALUE"""),"e")</f>
        <v>e</v>
      </c>
      <c r="B2042" s="139">
        <f>IFERROR(__xludf.DUMMYFUNCTION("""COMPUTED_VALUE"""),2.0250901E8)</f>
        <v>202509010</v>
      </c>
      <c r="C2042" s="139" t="str">
        <f>IFERROR(__xludf.DUMMYFUNCTION("""COMPUTED_VALUE"""),"e_glo_00001_mainquest_glo2_Normal_Green_Normal_00000")</f>
        <v>e_glo_00001_mainquest_glo2_Normal_Green_Normal_00000</v>
      </c>
      <c r="D2042" s="139" t="str">
        <f>IFERROR(__xludf.DUMMYFUNCTION("""COMPUTED_VALUE"""),"e_glo_00001_mainquest_glo2_Normal_Green")</f>
        <v>e_glo_00001_mainquest_glo2_Normal_Green</v>
      </c>
      <c r="E2042" s="139">
        <f>IFERROR(__xludf.DUMMYFUNCTION("""COMPUTED_VALUE"""),0.0)</f>
        <v>0</v>
      </c>
      <c r="F2042" s="139" t="str">
        <f>IFERROR(__xludf.DUMMYFUNCTION("""COMPUTED_VALUE"""),"Normal")</f>
        <v>Normal</v>
      </c>
      <c r="G2042" s="139"/>
      <c r="H2042" s="139"/>
      <c r="I2042" s="139">
        <f>IFERROR(__xludf.DUMMYFUNCTION("""COMPUTED_VALUE"""),50.0)</f>
        <v>50</v>
      </c>
      <c r="J2042" s="139">
        <f>IFERROR(__xludf.DUMMYFUNCTION("""COMPUTED_VALUE"""),25.0)</f>
        <v>25</v>
      </c>
      <c r="K2042" s="139">
        <f>IFERROR(__xludf.DUMMYFUNCTION("""COMPUTED_VALUE"""),100.0)</f>
        <v>100</v>
      </c>
      <c r="L2042" s="139"/>
      <c r="M2042" s="139"/>
      <c r="N2042" s="139"/>
    </row>
    <row r="2043">
      <c r="A2043" s="139" t="str">
        <f>IFERROR(__xludf.DUMMYFUNCTION("""COMPUTED_VALUE"""),"e")</f>
        <v>e</v>
      </c>
      <c r="B2043" s="139">
        <f>IFERROR(__xludf.DUMMYFUNCTION("""COMPUTED_VALUE"""),2.0250901E8)</f>
        <v>202509010</v>
      </c>
      <c r="C2043" s="139" t="str">
        <f>IFERROR(__xludf.DUMMYFUNCTION("""COMPUTED_VALUE"""),"e_glo_00001_mainquest_glo2_nostunresist_Boss_Green_Normal_00000")</f>
        <v>e_glo_00001_mainquest_glo2_nostunresist_Boss_Green_Normal_00000</v>
      </c>
      <c r="D2043" s="139" t="str">
        <f>IFERROR(__xludf.DUMMYFUNCTION("""COMPUTED_VALUE"""),"e_glo_00001_mainquest_glo2_nostunresist_Boss_Green")</f>
        <v>e_glo_00001_mainquest_glo2_nostunresist_Boss_Green</v>
      </c>
      <c r="E2043" s="139">
        <f>IFERROR(__xludf.DUMMYFUNCTION("""COMPUTED_VALUE"""),0.0)</f>
        <v>0</v>
      </c>
      <c r="F2043" s="139" t="str">
        <f>IFERROR(__xludf.DUMMYFUNCTION("""COMPUTED_VALUE"""),"Normal")</f>
        <v>Normal</v>
      </c>
      <c r="G2043" s="139"/>
      <c r="H2043" s="139"/>
      <c r="I2043" s="139">
        <f>IFERROR(__xludf.DUMMYFUNCTION("""COMPUTED_VALUE"""),59.0)</f>
        <v>59</v>
      </c>
      <c r="J2043" s="139">
        <f>IFERROR(__xludf.DUMMYFUNCTION("""COMPUTED_VALUE"""),28.0)</f>
        <v>28</v>
      </c>
      <c r="K2043" s="139">
        <f>IFERROR(__xludf.DUMMYFUNCTION("""COMPUTED_VALUE"""),400.0)</f>
        <v>400</v>
      </c>
      <c r="L2043" s="139"/>
      <c r="M2043" s="139"/>
      <c r="N2043" s="139"/>
    </row>
    <row r="2044">
      <c r="A2044" s="139" t="str">
        <f>IFERROR(__xludf.DUMMYFUNCTION("""COMPUTED_VALUE"""),"e")</f>
        <v>e</v>
      </c>
      <c r="B2044" s="139">
        <f>IFERROR(__xludf.DUMMYFUNCTION("""COMPUTED_VALUE"""),2.0250901E8)</f>
        <v>202509010</v>
      </c>
      <c r="C2044" s="139" t="str">
        <f>IFERROR(__xludf.DUMMYFUNCTION("""COMPUTED_VALUE"""),"e_glo_00001_mainquest_glo2_nostunresist_Boss_Green_Appearance_00001")</f>
        <v>e_glo_00001_mainquest_glo2_nostunresist_Boss_Green_Appearance_00001</v>
      </c>
      <c r="D2044" s="139" t="str">
        <f>IFERROR(__xludf.DUMMYFUNCTION("""COMPUTED_VALUE"""),"e_glo_00001_mainquest_glo2_nostunresist_Boss_Green")</f>
        <v>e_glo_00001_mainquest_glo2_nostunresist_Boss_Green</v>
      </c>
      <c r="E2044" s="139">
        <f>IFERROR(__xludf.DUMMYFUNCTION("""COMPUTED_VALUE"""),0.0)</f>
        <v>0</v>
      </c>
      <c r="F2044" s="139" t="str">
        <f>IFERROR(__xludf.DUMMYFUNCTION("""COMPUTED_VALUE"""),"Appearance")</f>
        <v>Appearance</v>
      </c>
      <c r="G2044" s="139"/>
      <c r="H2044" s="139"/>
      <c r="I2044" s="139">
        <f>IFERROR(__xludf.DUMMYFUNCTION("""COMPUTED_VALUE"""),50.0)</f>
        <v>50</v>
      </c>
      <c r="J2044" s="139">
        <f>IFERROR(__xludf.DUMMYFUNCTION("""COMPUTED_VALUE"""),25.0)</f>
        <v>25</v>
      </c>
      <c r="K2044" s="139">
        <f>IFERROR(__xludf.DUMMYFUNCTION("""COMPUTED_VALUE"""),0.0)</f>
        <v>0</v>
      </c>
      <c r="L2044" s="139"/>
      <c r="M2044" s="139"/>
      <c r="N2044" s="139"/>
    </row>
    <row r="2045">
      <c r="A2045" s="139" t="str">
        <f>IFERROR(__xludf.DUMMYFUNCTION("""COMPUTED_VALUE"""),"e")</f>
        <v>e</v>
      </c>
      <c r="B2045" s="139">
        <f>IFERROR(__xludf.DUMMYFUNCTION("""COMPUTED_VALUE"""),2.0250901E8)</f>
        <v>202509010</v>
      </c>
      <c r="C2045" s="139" t="str">
        <f>IFERROR(__xludf.DUMMYFUNCTION("""COMPUTED_VALUE"""),"e_glo_00001_mainquest_glo2_stunresist_Boss_Green_Normal_00000")</f>
        <v>e_glo_00001_mainquest_glo2_stunresist_Boss_Green_Normal_00000</v>
      </c>
      <c r="D2045" s="139" t="str">
        <f>IFERROR(__xludf.DUMMYFUNCTION("""COMPUTED_VALUE"""),"e_glo_00001_mainquest_glo2_stunresist_Boss_Green")</f>
        <v>e_glo_00001_mainquest_glo2_stunresist_Boss_Green</v>
      </c>
      <c r="E2045" s="139">
        <f>IFERROR(__xludf.DUMMYFUNCTION("""COMPUTED_VALUE"""),0.0)</f>
        <v>0</v>
      </c>
      <c r="F2045" s="139" t="str">
        <f>IFERROR(__xludf.DUMMYFUNCTION("""COMPUTED_VALUE"""),"Normal")</f>
        <v>Normal</v>
      </c>
      <c r="G2045" s="139"/>
      <c r="H2045" s="139"/>
      <c r="I2045" s="139">
        <f>IFERROR(__xludf.DUMMYFUNCTION("""COMPUTED_VALUE"""),59.0)</f>
        <v>59</v>
      </c>
      <c r="J2045" s="139">
        <f>IFERROR(__xludf.DUMMYFUNCTION("""COMPUTED_VALUE"""),28.0)</f>
        <v>28</v>
      </c>
      <c r="K2045" s="139">
        <f>IFERROR(__xludf.DUMMYFUNCTION("""COMPUTED_VALUE"""),400.0)</f>
        <v>400</v>
      </c>
      <c r="L2045" s="139"/>
      <c r="M2045" s="139"/>
      <c r="N2045" s="139"/>
    </row>
    <row r="2046">
      <c r="A2046" s="139" t="str">
        <f>IFERROR(__xludf.DUMMYFUNCTION("""COMPUTED_VALUE"""),"e")</f>
        <v>e</v>
      </c>
      <c r="B2046" s="139">
        <f>IFERROR(__xludf.DUMMYFUNCTION("""COMPUTED_VALUE"""),2.0250901E8)</f>
        <v>202509010</v>
      </c>
      <c r="C2046" s="139" t="str">
        <f>IFERROR(__xludf.DUMMYFUNCTION("""COMPUTED_VALUE"""),"e_glo_00001_mainquest_glo2_stunresist_Boss_Green_Appearance_00001")</f>
        <v>e_glo_00001_mainquest_glo2_stunresist_Boss_Green_Appearance_00001</v>
      </c>
      <c r="D2046" s="139" t="str">
        <f>IFERROR(__xludf.DUMMYFUNCTION("""COMPUTED_VALUE"""),"e_glo_00001_mainquest_glo2_stunresist_Boss_Green")</f>
        <v>e_glo_00001_mainquest_glo2_stunresist_Boss_Green</v>
      </c>
      <c r="E2046" s="139">
        <f>IFERROR(__xludf.DUMMYFUNCTION("""COMPUTED_VALUE"""),0.0)</f>
        <v>0</v>
      </c>
      <c r="F2046" s="139" t="str">
        <f>IFERROR(__xludf.DUMMYFUNCTION("""COMPUTED_VALUE"""),"Appearance")</f>
        <v>Appearance</v>
      </c>
      <c r="G2046" s="139"/>
      <c r="H2046" s="139"/>
      <c r="I2046" s="139">
        <f>IFERROR(__xludf.DUMMYFUNCTION("""COMPUTED_VALUE"""),50.0)</f>
        <v>50</v>
      </c>
      <c r="J2046" s="139">
        <f>IFERROR(__xludf.DUMMYFUNCTION("""COMPUTED_VALUE"""),25.0)</f>
        <v>25</v>
      </c>
      <c r="K2046" s="139">
        <f>IFERROR(__xludf.DUMMYFUNCTION("""COMPUTED_VALUE"""),0.0)</f>
        <v>0</v>
      </c>
      <c r="L2046" s="139"/>
      <c r="M2046" s="139"/>
      <c r="N2046" s="139"/>
    </row>
    <row r="2047">
      <c r="A2047" s="139"/>
      <c r="B2047" s="139"/>
      <c r="C2047" s="139"/>
      <c r="D2047" s="139"/>
      <c r="E2047" s="139"/>
      <c r="F2047" s="139"/>
      <c r="G2047" s="139"/>
      <c r="H2047" s="139"/>
      <c r="I2047" s="139"/>
      <c r="J2047" s="139"/>
      <c r="K2047" s="139"/>
      <c r="L2047" s="139"/>
      <c r="M2047" s="139"/>
      <c r="N2047" s="139"/>
    </row>
    <row r="2048">
      <c r="A2048" s="139" t="str">
        <f>IFERROR(__xludf.DUMMYFUNCTION("""COMPUTED_VALUE"""),"e")</f>
        <v>e</v>
      </c>
      <c r="B2048" s="139">
        <f>IFERROR(__xludf.DUMMYFUNCTION("""COMPUTED_VALUE"""),2.0250901E8)</f>
        <v>202509010</v>
      </c>
      <c r="C2048" s="139" t="str">
        <f>IFERROR(__xludf.DUMMYFUNCTION("""COMPUTED_VALUE"""),"e_glo_00001_isaoget_Normal_Yellow_Normal_00000")</f>
        <v>e_glo_00001_isaoget_Normal_Yellow_Normal_00000</v>
      </c>
      <c r="D2048" s="139" t="str">
        <f>IFERROR(__xludf.DUMMYFUNCTION("""COMPUTED_VALUE"""),"e_glo_00001_isaoget_Normal_Yellow")</f>
        <v>e_glo_00001_isaoget_Normal_Yellow</v>
      </c>
      <c r="E2048" s="139">
        <f>IFERROR(__xludf.DUMMYFUNCTION("""COMPUTED_VALUE"""),0.0)</f>
        <v>0</v>
      </c>
      <c r="F2048" s="139" t="str">
        <f>IFERROR(__xludf.DUMMYFUNCTION("""COMPUTED_VALUE"""),"Normal")</f>
        <v>Normal</v>
      </c>
      <c r="G2048" s="139"/>
      <c r="H2048" s="139"/>
      <c r="I2048" s="139">
        <f>IFERROR(__xludf.DUMMYFUNCTION("""COMPUTED_VALUE"""),50.0)</f>
        <v>50</v>
      </c>
      <c r="J2048" s="139">
        <f>IFERROR(__xludf.DUMMYFUNCTION("""COMPUTED_VALUE"""),25.0)</f>
        <v>25</v>
      </c>
      <c r="K2048" s="139">
        <f>IFERROR(__xludf.DUMMYFUNCTION("""COMPUTED_VALUE"""),100.0)</f>
        <v>100</v>
      </c>
      <c r="L2048" s="139"/>
      <c r="M2048" s="139"/>
      <c r="N2048" s="139"/>
    </row>
    <row r="2049">
      <c r="A2049" s="139"/>
      <c r="B2049" s="139"/>
      <c r="C2049" s="139"/>
      <c r="D2049" s="139"/>
      <c r="E2049" s="139"/>
      <c r="F2049" s="139"/>
      <c r="G2049" s="139"/>
      <c r="H2049" s="139"/>
      <c r="I2049" s="139"/>
      <c r="J2049" s="139"/>
      <c r="K2049" s="139"/>
      <c r="L2049" s="139"/>
      <c r="M2049" s="139"/>
      <c r="N2049" s="139"/>
    </row>
    <row r="2050">
      <c r="A2050" s="139" t="str">
        <f>IFERROR(__xludf.DUMMYFUNCTION("""COMPUTED_VALUE"""),"e")</f>
        <v>e</v>
      </c>
      <c r="B2050" s="139">
        <f>IFERROR(__xludf.DUMMYFUNCTION("""COMPUTED_VALUE"""),2.0250901E8)</f>
        <v>202509010</v>
      </c>
      <c r="C2050" s="139" t="str">
        <f>IFERROR(__xludf.DUMMYFUNCTION("""COMPUTED_VALUE"""),"c_kai_00001_1d1c_Boss_Colorless_Normal_00000")</f>
        <v>c_kai_00001_1d1c_Boss_Colorless_Normal_00000</v>
      </c>
      <c r="D2050" s="139" t="str">
        <f>IFERROR(__xludf.DUMMYFUNCTION("""COMPUTED_VALUE"""),"c_kai_00001_1d1c_Boss_Colorless")</f>
        <v>c_kai_00001_1d1c_Boss_Colorless</v>
      </c>
      <c r="E2050" s="139">
        <f>IFERROR(__xludf.DUMMYFUNCTION("""COMPUTED_VALUE"""),0.0)</f>
        <v>0</v>
      </c>
      <c r="F2050" s="139" t="str">
        <f>IFERROR(__xludf.DUMMYFUNCTION("""COMPUTED_VALUE"""),"Normal")</f>
        <v>Normal</v>
      </c>
      <c r="G2050" s="139"/>
      <c r="H2050" s="139"/>
      <c r="I2050" s="139">
        <f>IFERROR(__xludf.DUMMYFUNCTION("""COMPUTED_VALUE"""),92.0)</f>
        <v>92</v>
      </c>
      <c r="J2050" s="139">
        <f>IFERROR(__xludf.DUMMYFUNCTION("""COMPUTED_VALUE"""),50.0)</f>
        <v>50</v>
      </c>
      <c r="K2050" s="139">
        <f>IFERROR(__xludf.DUMMYFUNCTION("""COMPUTED_VALUE"""),75.0)</f>
        <v>75</v>
      </c>
      <c r="L2050" s="139"/>
      <c r="M2050" s="139"/>
      <c r="N2050" s="139"/>
    </row>
    <row r="2051">
      <c r="A2051" s="139" t="str">
        <f>IFERROR(__xludf.DUMMYFUNCTION("""COMPUTED_VALUE"""),"e")</f>
        <v>e</v>
      </c>
      <c r="B2051" s="139">
        <f>IFERROR(__xludf.DUMMYFUNCTION("""COMPUTED_VALUE"""),2.0250901E8)</f>
        <v>202509010</v>
      </c>
      <c r="C2051" s="139" t="str">
        <f>IFERROR(__xludf.DUMMYFUNCTION("""COMPUTED_VALUE"""),"c_kai_00001_1d1c_Boss_Colorless_Special_00001")</f>
        <v>c_kai_00001_1d1c_Boss_Colorless_Special_00001</v>
      </c>
      <c r="D2051" s="139" t="str">
        <f>IFERROR(__xludf.DUMMYFUNCTION("""COMPUTED_VALUE"""),"c_kai_00001_1d1c_Boss_Colorless")</f>
        <v>c_kai_00001_1d1c_Boss_Colorless</v>
      </c>
      <c r="E2051" s="139">
        <f>IFERROR(__xludf.DUMMYFUNCTION("""COMPUTED_VALUE"""),0.0)</f>
        <v>0</v>
      </c>
      <c r="F2051" s="139" t="str">
        <f>IFERROR(__xludf.DUMMYFUNCTION("""COMPUTED_VALUE"""),"Special")</f>
        <v>Special</v>
      </c>
      <c r="G2051" s="139"/>
      <c r="H2051" s="139"/>
      <c r="I2051" s="139">
        <f>IFERROR(__xludf.DUMMYFUNCTION("""COMPUTED_VALUE"""),117.0)</f>
        <v>117</v>
      </c>
      <c r="J2051" s="139">
        <f>IFERROR(__xludf.DUMMYFUNCTION("""COMPUTED_VALUE"""),67.0)</f>
        <v>67</v>
      </c>
      <c r="K2051" s="139">
        <f>IFERROR(__xludf.DUMMYFUNCTION("""COMPUTED_VALUE"""),0.0)</f>
        <v>0</v>
      </c>
      <c r="L2051" s="139"/>
      <c r="M2051" s="139"/>
      <c r="N2051" s="139"/>
    </row>
    <row r="2052">
      <c r="A2052" s="139" t="str">
        <f>IFERROR(__xludf.DUMMYFUNCTION("""COMPUTED_VALUE"""),"e")</f>
        <v>e</v>
      </c>
      <c r="B2052" s="139">
        <f>IFERROR(__xludf.DUMMYFUNCTION("""COMPUTED_VALUE"""),2.0250901E8)</f>
        <v>202509010</v>
      </c>
      <c r="C2052" s="139" t="str">
        <f>IFERROR(__xludf.DUMMYFUNCTION("""COMPUTED_VALUE"""),"c_kai_00001_1d1c_Boss_Colorless_Appearance_00002")</f>
        <v>c_kai_00001_1d1c_Boss_Colorless_Appearance_00002</v>
      </c>
      <c r="D2052" s="139" t="str">
        <f>IFERROR(__xludf.DUMMYFUNCTION("""COMPUTED_VALUE"""),"c_kai_00001_1d1c_Boss_Colorless")</f>
        <v>c_kai_00001_1d1c_Boss_Colorless</v>
      </c>
      <c r="E2052" s="139">
        <f>IFERROR(__xludf.DUMMYFUNCTION("""COMPUTED_VALUE"""),0.0)</f>
        <v>0</v>
      </c>
      <c r="F2052" s="139" t="str">
        <f>IFERROR(__xludf.DUMMYFUNCTION("""COMPUTED_VALUE"""),"Appearance")</f>
        <v>Appearance</v>
      </c>
      <c r="G2052" s="139"/>
      <c r="H2052" s="139"/>
      <c r="I2052" s="139">
        <f>IFERROR(__xludf.DUMMYFUNCTION("""COMPUTED_VALUE"""),50.0)</f>
        <v>50</v>
      </c>
      <c r="J2052" s="139">
        <f>IFERROR(__xludf.DUMMYFUNCTION("""COMPUTED_VALUE"""),25.0)</f>
        <v>25</v>
      </c>
      <c r="K2052" s="139">
        <f>IFERROR(__xludf.DUMMYFUNCTION("""COMPUTED_VALUE"""),0.0)</f>
        <v>0</v>
      </c>
      <c r="L2052" s="139"/>
      <c r="M2052" s="139"/>
      <c r="N2052" s="139"/>
    </row>
    <row r="2053">
      <c r="A2053" s="139"/>
      <c r="B2053" s="139"/>
      <c r="C2053" s="139"/>
      <c r="D2053" s="139"/>
      <c r="E2053" s="139"/>
      <c r="F2053" s="139"/>
      <c r="G2053" s="139"/>
      <c r="H2053" s="139"/>
      <c r="I2053" s="139"/>
      <c r="J2053" s="139"/>
      <c r="K2053" s="139"/>
      <c r="L2053" s="139"/>
      <c r="M2053" s="139"/>
      <c r="N2053" s="139"/>
    </row>
    <row r="2054">
      <c r="A2054" s="139" t="str">
        <f>IFERROR(__xludf.DUMMYFUNCTION("""COMPUTED_VALUE"""),"e")</f>
        <v>e</v>
      </c>
      <c r="B2054" s="139">
        <f>IFERROR(__xludf.DUMMYFUNCTION("""COMPUTED_VALUE"""),2.0250901E8)</f>
        <v>202509010</v>
      </c>
      <c r="C2054" s="139" t="str">
        <f>IFERROR(__xludf.DUMMYFUNCTION("""COMPUTED_VALUE"""),"e_kai_00301_kai1_advent_Normal_Colorless_Normal_00000")</f>
        <v>e_kai_00301_kai1_advent_Normal_Colorless_Normal_00000</v>
      </c>
      <c r="D2054" s="139" t="str">
        <f>IFERROR(__xludf.DUMMYFUNCTION("""COMPUTED_VALUE"""),"e_kai_00301_kai1_advent_Normal_Colorless")</f>
        <v>e_kai_00301_kai1_advent_Normal_Colorless</v>
      </c>
      <c r="E2054" s="139">
        <f>IFERROR(__xludf.DUMMYFUNCTION("""COMPUTED_VALUE"""),0.0)</f>
        <v>0</v>
      </c>
      <c r="F2054" s="139" t="str">
        <f>IFERROR(__xludf.DUMMYFUNCTION("""COMPUTED_VALUE"""),"Normal")</f>
        <v>Normal</v>
      </c>
      <c r="G2054" s="139"/>
      <c r="H2054" s="139"/>
      <c r="I2054" s="139">
        <f>IFERROR(__xludf.DUMMYFUNCTION("""COMPUTED_VALUE"""),50.0)</f>
        <v>50</v>
      </c>
      <c r="J2054" s="139">
        <f>IFERROR(__xludf.DUMMYFUNCTION("""COMPUTED_VALUE"""),20.0)</f>
        <v>20</v>
      </c>
      <c r="K2054" s="139">
        <f>IFERROR(__xludf.DUMMYFUNCTION("""COMPUTED_VALUE"""),50.0)</f>
        <v>50</v>
      </c>
      <c r="L2054" s="139"/>
      <c r="M2054" s="139"/>
      <c r="N2054" s="139"/>
    </row>
    <row r="2055">
      <c r="A2055" s="139" t="str">
        <f>IFERROR(__xludf.DUMMYFUNCTION("""COMPUTED_VALUE"""),"e")</f>
        <v>e</v>
      </c>
      <c r="B2055" s="139">
        <f>IFERROR(__xludf.DUMMYFUNCTION("""COMPUTED_VALUE"""),2.0250901E8)</f>
        <v>202509010</v>
      </c>
      <c r="C2055" s="139" t="str">
        <f>IFERROR(__xludf.DUMMYFUNCTION("""COMPUTED_VALUE"""),"e_kai_00301_kai1_advent_Boss_Red_Normal_00000")</f>
        <v>e_kai_00301_kai1_advent_Boss_Red_Normal_00000</v>
      </c>
      <c r="D2055" s="139" t="str">
        <f>IFERROR(__xludf.DUMMYFUNCTION("""COMPUTED_VALUE"""),"e_kai_00301_kai1_advent_Boss_Red")</f>
        <v>e_kai_00301_kai1_advent_Boss_Red</v>
      </c>
      <c r="E2055" s="139">
        <f>IFERROR(__xludf.DUMMYFUNCTION("""COMPUTED_VALUE"""),0.0)</f>
        <v>0</v>
      </c>
      <c r="F2055" s="139" t="str">
        <f>IFERROR(__xludf.DUMMYFUNCTION("""COMPUTED_VALUE"""),"Normal")</f>
        <v>Normal</v>
      </c>
      <c r="G2055" s="139"/>
      <c r="H2055" s="139"/>
      <c r="I2055" s="139">
        <f>IFERROR(__xludf.DUMMYFUNCTION("""COMPUTED_VALUE"""),50.0)</f>
        <v>50</v>
      </c>
      <c r="J2055" s="139">
        <f>IFERROR(__xludf.DUMMYFUNCTION("""COMPUTED_VALUE"""),20.0)</f>
        <v>20</v>
      </c>
      <c r="K2055" s="139">
        <f>IFERROR(__xludf.DUMMYFUNCTION("""COMPUTED_VALUE"""),75.0)</f>
        <v>75</v>
      </c>
      <c r="L2055" s="139"/>
      <c r="M2055" s="139"/>
      <c r="N2055" s="139"/>
    </row>
    <row r="2056">
      <c r="A2056" s="139" t="str">
        <f>IFERROR(__xludf.DUMMYFUNCTION("""COMPUTED_VALUE"""),"e")</f>
        <v>e</v>
      </c>
      <c r="B2056" s="139">
        <f>IFERROR(__xludf.DUMMYFUNCTION("""COMPUTED_VALUE"""),2.0250901E8)</f>
        <v>202509010</v>
      </c>
      <c r="C2056" s="139" t="str">
        <f>IFERROR(__xludf.DUMMYFUNCTION("""COMPUTED_VALUE"""),"e_kai_00301_kai1_advent_Boss_Red_Appearance_00001")</f>
        <v>e_kai_00301_kai1_advent_Boss_Red_Appearance_00001</v>
      </c>
      <c r="D2056" s="139" t="str">
        <f>IFERROR(__xludf.DUMMYFUNCTION("""COMPUTED_VALUE"""),"e_kai_00301_kai1_advent_Boss_Red")</f>
        <v>e_kai_00301_kai1_advent_Boss_Red</v>
      </c>
      <c r="E2056" s="139">
        <f>IFERROR(__xludf.DUMMYFUNCTION("""COMPUTED_VALUE"""),0.0)</f>
        <v>0</v>
      </c>
      <c r="F2056" s="139" t="str">
        <f>IFERROR(__xludf.DUMMYFUNCTION("""COMPUTED_VALUE"""),"Appearance")</f>
        <v>Appearance</v>
      </c>
      <c r="G2056" s="139"/>
      <c r="H2056" s="139"/>
      <c r="I2056" s="139">
        <f>IFERROR(__xludf.DUMMYFUNCTION("""COMPUTED_VALUE"""),50.0)</f>
        <v>50</v>
      </c>
      <c r="J2056" s="139">
        <f>IFERROR(__xludf.DUMMYFUNCTION("""COMPUTED_VALUE"""),25.0)</f>
        <v>25</v>
      </c>
      <c r="K2056" s="139">
        <f>IFERROR(__xludf.DUMMYFUNCTION("""COMPUTED_VALUE"""),0.0)</f>
        <v>0</v>
      </c>
      <c r="L2056" s="139"/>
      <c r="M2056" s="139"/>
      <c r="N2056" s="139"/>
    </row>
    <row r="2057">
      <c r="A2057" s="139" t="str">
        <f>IFERROR(__xludf.DUMMYFUNCTION("""COMPUTED_VALUE"""),"e")</f>
        <v>e</v>
      </c>
      <c r="B2057" s="139">
        <f>IFERROR(__xludf.DUMMYFUNCTION("""COMPUTED_VALUE"""),2.0250901E8)</f>
        <v>202509010</v>
      </c>
      <c r="C2057" s="139" t="str">
        <f>IFERROR(__xludf.DUMMYFUNCTION("""COMPUTED_VALUE"""),"e_kai_00301_kai1_advent_Boss_Blue_Normal_00000")</f>
        <v>e_kai_00301_kai1_advent_Boss_Blue_Normal_00000</v>
      </c>
      <c r="D2057" s="139" t="str">
        <f>IFERROR(__xludf.DUMMYFUNCTION("""COMPUTED_VALUE"""),"e_kai_00301_kai1_advent_Boss_Blue")</f>
        <v>e_kai_00301_kai1_advent_Boss_Blue</v>
      </c>
      <c r="E2057" s="139">
        <f>IFERROR(__xludf.DUMMYFUNCTION("""COMPUTED_VALUE"""),0.0)</f>
        <v>0</v>
      </c>
      <c r="F2057" s="139" t="str">
        <f>IFERROR(__xludf.DUMMYFUNCTION("""COMPUTED_VALUE"""),"Normal")</f>
        <v>Normal</v>
      </c>
      <c r="G2057" s="139"/>
      <c r="H2057" s="139"/>
      <c r="I2057" s="139">
        <f>IFERROR(__xludf.DUMMYFUNCTION("""COMPUTED_VALUE"""),50.0)</f>
        <v>50</v>
      </c>
      <c r="J2057" s="139">
        <f>IFERROR(__xludf.DUMMYFUNCTION("""COMPUTED_VALUE"""),20.0)</f>
        <v>20</v>
      </c>
      <c r="K2057" s="139">
        <f>IFERROR(__xludf.DUMMYFUNCTION("""COMPUTED_VALUE"""),100.0)</f>
        <v>100</v>
      </c>
      <c r="L2057" s="139"/>
      <c r="M2057" s="139"/>
      <c r="N2057" s="139"/>
    </row>
    <row r="2058">
      <c r="A2058" s="139" t="str">
        <f>IFERROR(__xludf.DUMMYFUNCTION("""COMPUTED_VALUE"""),"e")</f>
        <v>e</v>
      </c>
      <c r="B2058" s="139">
        <f>IFERROR(__xludf.DUMMYFUNCTION("""COMPUTED_VALUE"""),2.0250901E8)</f>
        <v>202509010</v>
      </c>
      <c r="C2058" s="139" t="str">
        <f>IFERROR(__xludf.DUMMYFUNCTION("""COMPUTED_VALUE"""),"e_kai_00301_kai1_advent_Boss_Blue_Appearance_00001")</f>
        <v>e_kai_00301_kai1_advent_Boss_Blue_Appearance_00001</v>
      </c>
      <c r="D2058" s="139" t="str">
        <f>IFERROR(__xludf.DUMMYFUNCTION("""COMPUTED_VALUE"""),"e_kai_00301_kai1_advent_Boss_Blue")</f>
        <v>e_kai_00301_kai1_advent_Boss_Blue</v>
      </c>
      <c r="E2058" s="139">
        <f>IFERROR(__xludf.DUMMYFUNCTION("""COMPUTED_VALUE"""),0.0)</f>
        <v>0</v>
      </c>
      <c r="F2058" s="139" t="str">
        <f>IFERROR(__xludf.DUMMYFUNCTION("""COMPUTED_VALUE"""),"Appearance")</f>
        <v>Appearance</v>
      </c>
      <c r="G2058" s="139"/>
      <c r="H2058" s="139"/>
      <c r="I2058" s="139">
        <f>IFERROR(__xludf.DUMMYFUNCTION("""COMPUTED_VALUE"""),50.0)</f>
        <v>50</v>
      </c>
      <c r="J2058" s="139">
        <f>IFERROR(__xludf.DUMMYFUNCTION("""COMPUTED_VALUE"""),25.0)</f>
        <v>25</v>
      </c>
      <c r="K2058" s="139">
        <f>IFERROR(__xludf.DUMMYFUNCTION("""COMPUTED_VALUE"""),0.0)</f>
        <v>0</v>
      </c>
      <c r="L2058" s="139"/>
      <c r="M2058" s="139"/>
      <c r="N2058" s="139"/>
    </row>
    <row r="2059">
      <c r="A2059" s="139" t="str">
        <f>IFERROR(__xludf.DUMMYFUNCTION("""COMPUTED_VALUE"""),"e")</f>
        <v>e</v>
      </c>
      <c r="B2059" s="139">
        <f>IFERROR(__xludf.DUMMYFUNCTION("""COMPUTED_VALUE"""),2.0250901E8)</f>
        <v>202509010</v>
      </c>
      <c r="C2059" s="139" t="str">
        <f>IFERROR(__xludf.DUMMYFUNCTION("""COMPUTED_VALUE"""),"e_kai_00101_kai1_advent_Normal_Colorless_Normal_00000")</f>
        <v>e_kai_00101_kai1_advent_Normal_Colorless_Normal_00000</v>
      </c>
      <c r="D2059" s="139" t="str">
        <f>IFERROR(__xludf.DUMMYFUNCTION("""COMPUTED_VALUE"""),"e_kai_00101_kai1_advent_Normal_Colorless")</f>
        <v>e_kai_00101_kai1_advent_Normal_Colorless</v>
      </c>
      <c r="E2059" s="139">
        <f>IFERROR(__xludf.DUMMYFUNCTION("""COMPUTED_VALUE"""),0.0)</f>
        <v>0</v>
      </c>
      <c r="F2059" s="139" t="str">
        <f>IFERROR(__xludf.DUMMYFUNCTION("""COMPUTED_VALUE"""),"Normal")</f>
        <v>Normal</v>
      </c>
      <c r="G2059" s="139"/>
      <c r="H2059" s="139"/>
      <c r="I2059" s="139">
        <f>IFERROR(__xludf.DUMMYFUNCTION("""COMPUTED_VALUE"""),62.0)</f>
        <v>62</v>
      </c>
      <c r="J2059" s="139">
        <f>IFERROR(__xludf.DUMMYFUNCTION("""COMPUTED_VALUE"""),28.0)</f>
        <v>28</v>
      </c>
      <c r="K2059" s="139">
        <f>IFERROR(__xludf.DUMMYFUNCTION("""COMPUTED_VALUE"""),50.0)</f>
        <v>50</v>
      </c>
      <c r="L2059" s="139"/>
      <c r="M2059" s="139"/>
      <c r="N2059" s="139"/>
    </row>
    <row r="2060">
      <c r="A2060" s="139" t="str">
        <f>IFERROR(__xludf.DUMMYFUNCTION("""COMPUTED_VALUE"""),"e")</f>
        <v>e</v>
      </c>
      <c r="B2060" s="139">
        <f>IFERROR(__xludf.DUMMYFUNCTION("""COMPUTED_VALUE"""),2.0250901E8)</f>
        <v>202509010</v>
      </c>
      <c r="C2060" s="139" t="str">
        <f>IFERROR(__xludf.DUMMYFUNCTION("""COMPUTED_VALUE"""),"e_kai_00101_kai1_advent_Boss_Red_Normal_00000")</f>
        <v>e_kai_00101_kai1_advent_Boss_Red_Normal_00000</v>
      </c>
      <c r="D2060" s="139" t="str">
        <f>IFERROR(__xludf.DUMMYFUNCTION("""COMPUTED_VALUE"""),"e_kai_00101_kai1_advent_Boss_Red")</f>
        <v>e_kai_00101_kai1_advent_Boss_Red</v>
      </c>
      <c r="E2060" s="139">
        <f>IFERROR(__xludf.DUMMYFUNCTION("""COMPUTED_VALUE"""),0.0)</f>
        <v>0</v>
      </c>
      <c r="F2060" s="139" t="str">
        <f>IFERROR(__xludf.DUMMYFUNCTION("""COMPUTED_VALUE"""),"Normal")</f>
        <v>Normal</v>
      </c>
      <c r="G2060" s="139"/>
      <c r="H2060" s="139"/>
      <c r="I2060" s="139">
        <f>IFERROR(__xludf.DUMMYFUNCTION("""COMPUTED_VALUE"""),62.0)</f>
        <v>62</v>
      </c>
      <c r="J2060" s="139">
        <f>IFERROR(__xludf.DUMMYFUNCTION("""COMPUTED_VALUE"""),28.0)</f>
        <v>28</v>
      </c>
      <c r="K2060" s="139">
        <f>IFERROR(__xludf.DUMMYFUNCTION("""COMPUTED_VALUE"""),75.0)</f>
        <v>75</v>
      </c>
      <c r="L2060" s="139"/>
      <c r="M2060" s="139"/>
      <c r="N2060" s="139"/>
    </row>
    <row r="2061">
      <c r="A2061" s="139" t="str">
        <f>IFERROR(__xludf.DUMMYFUNCTION("""COMPUTED_VALUE"""),"e")</f>
        <v>e</v>
      </c>
      <c r="B2061" s="139">
        <f>IFERROR(__xludf.DUMMYFUNCTION("""COMPUTED_VALUE"""),2.0250901E8)</f>
        <v>202509010</v>
      </c>
      <c r="C2061" s="139" t="str">
        <f>IFERROR(__xludf.DUMMYFUNCTION("""COMPUTED_VALUE"""),"e_kai_00101_kai1_advent_Boss_Red_Appearance_00001")</f>
        <v>e_kai_00101_kai1_advent_Boss_Red_Appearance_00001</v>
      </c>
      <c r="D2061" s="139" t="str">
        <f>IFERROR(__xludf.DUMMYFUNCTION("""COMPUTED_VALUE"""),"e_kai_00101_kai1_advent_Boss_Red")</f>
        <v>e_kai_00101_kai1_advent_Boss_Red</v>
      </c>
      <c r="E2061" s="139">
        <f>IFERROR(__xludf.DUMMYFUNCTION("""COMPUTED_VALUE"""),0.0)</f>
        <v>0</v>
      </c>
      <c r="F2061" s="139" t="str">
        <f>IFERROR(__xludf.DUMMYFUNCTION("""COMPUTED_VALUE"""),"Appearance")</f>
        <v>Appearance</v>
      </c>
      <c r="G2061" s="139"/>
      <c r="H2061" s="139"/>
      <c r="I2061" s="139">
        <f>IFERROR(__xludf.DUMMYFUNCTION("""COMPUTED_VALUE"""),50.0)</f>
        <v>50</v>
      </c>
      <c r="J2061" s="139">
        <f>IFERROR(__xludf.DUMMYFUNCTION("""COMPUTED_VALUE"""),25.0)</f>
        <v>25</v>
      </c>
      <c r="K2061" s="139">
        <f>IFERROR(__xludf.DUMMYFUNCTION("""COMPUTED_VALUE"""),0.0)</f>
        <v>0</v>
      </c>
      <c r="L2061" s="139"/>
      <c r="M2061" s="139"/>
      <c r="N2061" s="139"/>
    </row>
    <row r="2062">
      <c r="A2062" s="139" t="str">
        <f>IFERROR(__xludf.DUMMYFUNCTION("""COMPUTED_VALUE"""),"e")</f>
        <v>e</v>
      </c>
      <c r="B2062" s="139">
        <f>IFERROR(__xludf.DUMMYFUNCTION("""COMPUTED_VALUE"""),2.0250901E8)</f>
        <v>202509010</v>
      </c>
      <c r="C2062" s="139" t="str">
        <f>IFERROR(__xludf.DUMMYFUNCTION("""COMPUTED_VALUE"""),"e_kai_00101_kai1_advent_Boss_Blue_Normal_00000")</f>
        <v>e_kai_00101_kai1_advent_Boss_Blue_Normal_00000</v>
      </c>
      <c r="D2062" s="139" t="str">
        <f>IFERROR(__xludf.DUMMYFUNCTION("""COMPUTED_VALUE"""),"e_kai_00101_kai1_advent_Boss_Blue")</f>
        <v>e_kai_00101_kai1_advent_Boss_Blue</v>
      </c>
      <c r="E2062" s="139">
        <f>IFERROR(__xludf.DUMMYFUNCTION("""COMPUTED_VALUE"""),0.0)</f>
        <v>0</v>
      </c>
      <c r="F2062" s="139" t="str">
        <f>IFERROR(__xludf.DUMMYFUNCTION("""COMPUTED_VALUE"""),"Normal")</f>
        <v>Normal</v>
      </c>
      <c r="G2062" s="139"/>
      <c r="H2062" s="139"/>
      <c r="I2062" s="139">
        <f>IFERROR(__xludf.DUMMYFUNCTION("""COMPUTED_VALUE"""),62.0)</f>
        <v>62</v>
      </c>
      <c r="J2062" s="139">
        <f>IFERROR(__xludf.DUMMYFUNCTION("""COMPUTED_VALUE"""),28.0)</f>
        <v>28</v>
      </c>
      <c r="K2062" s="139">
        <f>IFERROR(__xludf.DUMMYFUNCTION("""COMPUTED_VALUE"""),100.0)</f>
        <v>100</v>
      </c>
      <c r="L2062" s="139"/>
      <c r="M2062" s="139"/>
      <c r="N2062" s="139"/>
    </row>
    <row r="2063">
      <c r="A2063" s="139" t="str">
        <f>IFERROR(__xludf.DUMMYFUNCTION("""COMPUTED_VALUE"""),"e")</f>
        <v>e</v>
      </c>
      <c r="B2063" s="139">
        <f>IFERROR(__xludf.DUMMYFUNCTION("""COMPUTED_VALUE"""),2.0250901E8)</f>
        <v>202509010</v>
      </c>
      <c r="C2063" s="139" t="str">
        <f>IFERROR(__xludf.DUMMYFUNCTION("""COMPUTED_VALUE"""),"e_kai_00101_kai1_advent_Boss_Blue_Appearance_00001")</f>
        <v>e_kai_00101_kai1_advent_Boss_Blue_Appearance_00001</v>
      </c>
      <c r="D2063" s="139" t="str">
        <f>IFERROR(__xludf.DUMMYFUNCTION("""COMPUTED_VALUE"""),"e_kai_00101_kai1_advent_Boss_Blue")</f>
        <v>e_kai_00101_kai1_advent_Boss_Blue</v>
      </c>
      <c r="E2063" s="139">
        <f>IFERROR(__xludf.DUMMYFUNCTION("""COMPUTED_VALUE"""),0.0)</f>
        <v>0</v>
      </c>
      <c r="F2063" s="139" t="str">
        <f>IFERROR(__xludf.DUMMYFUNCTION("""COMPUTED_VALUE"""),"Appearance")</f>
        <v>Appearance</v>
      </c>
      <c r="G2063" s="139"/>
      <c r="H2063" s="139"/>
      <c r="I2063" s="139">
        <f>IFERROR(__xludf.DUMMYFUNCTION("""COMPUTED_VALUE"""),50.0)</f>
        <v>50</v>
      </c>
      <c r="J2063" s="139">
        <f>IFERROR(__xludf.DUMMYFUNCTION("""COMPUTED_VALUE"""),25.0)</f>
        <v>25</v>
      </c>
      <c r="K2063" s="139">
        <f>IFERROR(__xludf.DUMMYFUNCTION("""COMPUTED_VALUE"""),0.0)</f>
        <v>0</v>
      </c>
      <c r="L2063" s="139"/>
      <c r="M2063" s="139"/>
      <c r="N2063" s="139"/>
    </row>
    <row r="2064">
      <c r="A2064" s="139" t="str">
        <f>IFERROR(__xludf.DUMMYFUNCTION("""COMPUTED_VALUE"""),"e")</f>
        <v>e</v>
      </c>
      <c r="B2064" s="139">
        <f>IFERROR(__xludf.DUMMYFUNCTION("""COMPUTED_VALUE"""),2.0250901E8)</f>
        <v>202509010</v>
      </c>
      <c r="C2064" s="139" t="str">
        <f>IFERROR(__xludf.DUMMYFUNCTION("""COMPUTED_VALUE"""),"e_kai_00001_kai1_advent_Normal_Colorless_Normal_00000")</f>
        <v>e_kai_00001_kai1_advent_Normal_Colorless_Normal_00000</v>
      </c>
      <c r="D2064" s="139" t="str">
        <f>IFERROR(__xludf.DUMMYFUNCTION("""COMPUTED_VALUE"""),"e_kai_00001_kai1_advent_Normal_Colorless")</f>
        <v>e_kai_00001_kai1_advent_Normal_Colorless</v>
      </c>
      <c r="E2064" s="139">
        <f>IFERROR(__xludf.DUMMYFUNCTION("""COMPUTED_VALUE"""),0.0)</f>
        <v>0</v>
      </c>
      <c r="F2064" s="139" t="str">
        <f>IFERROR(__xludf.DUMMYFUNCTION("""COMPUTED_VALUE"""),"Normal")</f>
        <v>Normal</v>
      </c>
      <c r="G2064" s="139"/>
      <c r="H2064" s="139"/>
      <c r="I2064" s="139">
        <f>IFERROR(__xludf.DUMMYFUNCTION("""COMPUTED_VALUE"""),117.0)</f>
        <v>117</v>
      </c>
      <c r="J2064" s="139">
        <f>IFERROR(__xludf.DUMMYFUNCTION("""COMPUTED_VALUE"""),50.0)</f>
        <v>50</v>
      </c>
      <c r="K2064" s="139">
        <f>IFERROR(__xludf.DUMMYFUNCTION("""COMPUTED_VALUE"""),100.0)</f>
        <v>100</v>
      </c>
      <c r="L2064" s="139"/>
      <c r="M2064" s="139"/>
      <c r="N2064" s="139"/>
    </row>
    <row r="2065">
      <c r="A2065" s="139" t="str">
        <f>IFERROR(__xludf.DUMMYFUNCTION("""COMPUTED_VALUE"""),"e")</f>
        <v>e</v>
      </c>
      <c r="B2065" s="139">
        <f>IFERROR(__xludf.DUMMYFUNCTION("""COMPUTED_VALUE"""),2.0250901E8)</f>
        <v>202509010</v>
      </c>
      <c r="C2065" s="139" t="str">
        <f>IFERROR(__xludf.DUMMYFUNCTION("""COMPUTED_VALUE"""),"e_kai_00001_kai1_advent_Boss_Red_Normal_00000")</f>
        <v>e_kai_00001_kai1_advent_Boss_Red_Normal_00000</v>
      </c>
      <c r="D2065" s="139" t="str">
        <f>IFERROR(__xludf.DUMMYFUNCTION("""COMPUTED_VALUE"""),"e_kai_00001_kai1_advent_Boss_Red")</f>
        <v>e_kai_00001_kai1_advent_Boss_Red</v>
      </c>
      <c r="E2065" s="139">
        <f>IFERROR(__xludf.DUMMYFUNCTION("""COMPUTED_VALUE"""),0.0)</f>
        <v>0</v>
      </c>
      <c r="F2065" s="139" t="str">
        <f>IFERROR(__xludf.DUMMYFUNCTION("""COMPUTED_VALUE"""),"Normal")</f>
        <v>Normal</v>
      </c>
      <c r="G2065" s="139"/>
      <c r="H2065" s="139"/>
      <c r="I2065" s="139">
        <f>IFERROR(__xludf.DUMMYFUNCTION("""COMPUTED_VALUE"""),117.0)</f>
        <v>117</v>
      </c>
      <c r="J2065" s="139">
        <f>IFERROR(__xludf.DUMMYFUNCTION("""COMPUTED_VALUE"""),50.0)</f>
        <v>50</v>
      </c>
      <c r="K2065" s="139">
        <f>IFERROR(__xludf.DUMMYFUNCTION("""COMPUTED_VALUE"""),150.0)</f>
        <v>150</v>
      </c>
      <c r="L2065" s="139"/>
      <c r="M2065" s="139"/>
      <c r="N2065" s="139"/>
    </row>
    <row r="2066">
      <c r="A2066" s="139" t="str">
        <f>IFERROR(__xludf.DUMMYFUNCTION("""COMPUTED_VALUE"""),"e")</f>
        <v>e</v>
      </c>
      <c r="B2066" s="139">
        <f>IFERROR(__xludf.DUMMYFUNCTION("""COMPUTED_VALUE"""),2.0250901E8)</f>
        <v>202509010</v>
      </c>
      <c r="C2066" s="139" t="str">
        <f>IFERROR(__xludf.DUMMYFUNCTION("""COMPUTED_VALUE"""),"e_kai_00001_kai1_advent_Boss_Red_Appearance_00001")</f>
        <v>e_kai_00001_kai1_advent_Boss_Red_Appearance_00001</v>
      </c>
      <c r="D2066" s="139" t="str">
        <f>IFERROR(__xludf.DUMMYFUNCTION("""COMPUTED_VALUE"""),"e_kai_00001_kai1_advent_Boss_Red")</f>
        <v>e_kai_00001_kai1_advent_Boss_Red</v>
      </c>
      <c r="E2066" s="139">
        <f>IFERROR(__xludf.DUMMYFUNCTION("""COMPUTED_VALUE"""),0.0)</f>
        <v>0</v>
      </c>
      <c r="F2066" s="139" t="str">
        <f>IFERROR(__xludf.DUMMYFUNCTION("""COMPUTED_VALUE"""),"Appearance")</f>
        <v>Appearance</v>
      </c>
      <c r="G2066" s="139"/>
      <c r="H2066" s="139"/>
      <c r="I2066" s="139">
        <f>IFERROR(__xludf.DUMMYFUNCTION("""COMPUTED_VALUE"""),50.0)</f>
        <v>50</v>
      </c>
      <c r="J2066" s="139">
        <f>IFERROR(__xludf.DUMMYFUNCTION("""COMPUTED_VALUE"""),25.0)</f>
        <v>25</v>
      </c>
      <c r="K2066" s="139">
        <f>IFERROR(__xludf.DUMMYFUNCTION("""COMPUTED_VALUE"""),0.0)</f>
        <v>0</v>
      </c>
      <c r="L2066" s="139"/>
      <c r="M2066" s="139"/>
      <c r="N2066" s="139"/>
    </row>
    <row r="2067">
      <c r="A2067" s="139" t="str">
        <f>IFERROR(__xludf.DUMMYFUNCTION("""COMPUTED_VALUE"""),"e")</f>
        <v>e</v>
      </c>
      <c r="B2067" s="139">
        <f>IFERROR(__xludf.DUMMYFUNCTION("""COMPUTED_VALUE"""),2.0250901E8)</f>
        <v>202509010</v>
      </c>
      <c r="C2067" s="139" t="str">
        <f>IFERROR(__xludf.DUMMYFUNCTION("""COMPUTED_VALUE"""),"e_kai_00001_kai1_advent_Boss_Blue_Normal_00000")</f>
        <v>e_kai_00001_kai1_advent_Boss_Blue_Normal_00000</v>
      </c>
      <c r="D2067" s="139" t="str">
        <f>IFERROR(__xludf.DUMMYFUNCTION("""COMPUTED_VALUE"""),"e_kai_00001_kai1_advent_Boss_Blue")</f>
        <v>e_kai_00001_kai1_advent_Boss_Blue</v>
      </c>
      <c r="E2067" s="139">
        <f>IFERROR(__xludf.DUMMYFUNCTION("""COMPUTED_VALUE"""),0.0)</f>
        <v>0</v>
      </c>
      <c r="F2067" s="139" t="str">
        <f>IFERROR(__xludf.DUMMYFUNCTION("""COMPUTED_VALUE"""),"Normal")</f>
        <v>Normal</v>
      </c>
      <c r="G2067" s="139"/>
      <c r="H2067" s="139"/>
      <c r="I2067" s="139">
        <f>IFERROR(__xludf.DUMMYFUNCTION("""COMPUTED_VALUE"""),117.0)</f>
        <v>117</v>
      </c>
      <c r="J2067" s="139">
        <f>IFERROR(__xludf.DUMMYFUNCTION("""COMPUTED_VALUE"""),50.0)</f>
        <v>50</v>
      </c>
      <c r="K2067" s="139">
        <f>IFERROR(__xludf.DUMMYFUNCTION("""COMPUTED_VALUE"""),125.0)</f>
        <v>125</v>
      </c>
      <c r="L2067" s="139"/>
      <c r="M2067" s="139"/>
      <c r="N2067" s="139"/>
    </row>
    <row r="2068">
      <c r="A2068" s="139" t="str">
        <f>IFERROR(__xludf.DUMMYFUNCTION("""COMPUTED_VALUE"""),"e")</f>
        <v>e</v>
      </c>
      <c r="B2068" s="139">
        <f>IFERROR(__xludf.DUMMYFUNCTION("""COMPUTED_VALUE"""),2.0250901E8)</f>
        <v>202509010</v>
      </c>
      <c r="C2068" s="139" t="str">
        <f>IFERROR(__xludf.DUMMYFUNCTION("""COMPUTED_VALUE"""),"e_kai_00001_kai1_advent_Boss_Blue_Appearance_00001")</f>
        <v>e_kai_00001_kai1_advent_Boss_Blue_Appearance_00001</v>
      </c>
      <c r="D2068" s="139" t="str">
        <f>IFERROR(__xludf.DUMMYFUNCTION("""COMPUTED_VALUE"""),"e_kai_00001_kai1_advent_Boss_Blue")</f>
        <v>e_kai_00001_kai1_advent_Boss_Blue</v>
      </c>
      <c r="E2068" s="139">
        <f>IFERROR(__xludf.DUMMYFUNCTION("""COMPUTED_VALUE"""),0.0)</f>
        <v>0</v>
      </c>
      <c r="F2068" s="139" t="str">
        <f>IFERROR(__xludf.DUMMYFUNCTION("""COMPUTED_VALUE"""),"Appearance")</f>
        <v>Appearance</v>
      </c>
      <c r="G2068" s="139"/>
      <c r="H2068" s="139"/>
      <c r="I2068" s="139">
        <f>IFERROR(__xludf.DUMMYFUNCTION("""COMPUTED_VALUE"""),50.0)</f>
        <v>50</v>
      </c>
      <c r="J2068" s="139">
        <f>IFERROR(__xludf.DUMMYFUNCTION("""COMPUTED_VALUE"""),25.0)</f>
        <v>25</v>
      </c>
      <c r="K2068" s="139">
        <f>IFERROR(__xludf.DUMMYFUNCTION("""COMPUTED_VALUE"""),0.0)</f>
        <v>0</v>
      </c>
      <c r="L2068" s="139"/>
      <c r="M2068" s="139"/>
      <c r="N2068" s="139"/>
    </row>
    <row r="2069">
      <c r="A2069" s="139" t="str">
        <f>IFERROR(__xludf.DUMMYFUNCTION("""COMPUTED_VALUE"""),"e")</f>
        <v>e</v>
      </c>
      <c r="B2069" s="139">
        <f>IFERROR(__xludf.DUMMYFUNCTION("""COMPUTED_VALUE"""),2.0250901E8)</f>
        <v>202509010</v>
      </c>
      <c r="C2069" s="139" t="str">
        <f>IFERROR(__xludf.DUMMYFUNCTION("""COMPUTED_VALUE"""),"e_kai_00401_kai1_advent_Boss_Red_Normal_00000")</f>
        <v>e_kai_00401_kai1_advent_Boss_Red_Normal_00000</v>
      </c>
      <c r="D2069" s="139" t="str">
        <f>IFERROR(__xludf.DUMMYFUNCTION("""COMPUTED_VALUE"""),"e_kai_00401_kai1_advent_Boss_Red")</f>
        <v>e_kai_00401_kai1_advent_Boss_Red</v>
      </c>
      <c r="E2069" s="139">
        <f>IFERROR(__xludf.DUMMYFUNCTION("""COMPUTED_VALUE"""),0.0)</f>
        <v>0</v>
      </c>
      <c r="F2069" s="139" t="str">
        <f>IFERROR(__xludf.DUMMYFUNCTION("""COMPUTED_VALUE"""),"Normal")</f>
        <v>Normal</v>
      </c>
      <c r="G2069" s="139"/>
      <c r="H2069" s="139"/>
      <c r="I2069" s="139">
        <f>IFERROR(__xludf.DUMMYFUNCTION("""COMPUTED_VALUE"""),62.0)</f>
        <v>62</v>
      </c>
      <c r="J2069" s="139">
        <f>IFERROR(__xludf.DUMMYFUNCTION("""COMPUTED_VALUE"""),28.0)</f>
        <v>28</v>
      </c>
      <c r="K2069" s="139">
        <f>IFERROR(__xludf.DUMMYFUNCTION("""COMPUTED_VALUE"""),25.0)</f>
        <v>25</v>
      </c>
      <c r="L2069" s="139"/>
      <c r="M2069" s="139"/>
      <c r="N2069" s="139"/>
    </row>
    <row r="2070">
      <c r="A2070" s="139" t="str">
        <f>IFERROR(__xludf.DUMMYFUNCTION("""COMPUTED_VALUE"""),"e")</f>
        <v>e</v>
      </c>
      <c r="B2070" s="139">
        <f>IFERROR(__xludf.DUMMYFUNCTION("""COMPUTED_VALUE"""),2.0250901E8)</f>
        <v>202509010</v>
      </c>
      <c r="C2070" s="139" t="str">
        <f>IFERROR(__xludf.DUMMYFUNCTION("""COMPUTED_VALUE"""),"e_kai_00401_kai1_advent_Boss_Red_Appearance_00001")</f>
        <v>e_kai_00401_kai1_advent_Boss_Red_Appearance_00001</v>
      </c>
      <c r="D2070" s="139" t="str">
        <f>IFERROR(__xludf.DUMMYFUNCTION("""COMPUTED_VALUE"""),"e_kai_00401_kai1_advent_Boss_Red")</f>
        <v>e_kai_00401_kai1_advent_Boss_Red</v>
      </c>
      <c r="E2070" s="139">
        <f>IFERROR(__xludf.DUMMYFUNCTION("""COMPUTED_VALUE"""),0.0)</f>
        <v>0</v>
      </c>
      <c r="F2070" s="139" t="str">
        <f>IFERROR(__xludf.DUMMYFUNCTION("""COMPUTED_VALUE"""),"Appearance")</f>
        <v>Appearance</v>
      </c>
      <c r="G2070" s="139"/>
      <c r="H2070" s="139"/>
      <c r="I2070" s="139">
        <f>IFERROR(__xludf.DUMMYFUNCTION("""COMPUTED_VALUE"""),50.0)</f>
        <v>50</v>
      </c>
      <c r="J2070" s="139">
        <f>IFERROR(__xludf.DUMMYFUNCTION("""COMPUTED_VALUE"""),25.0)</f>
        <v>25</v>
      </c>
      <c r="K2070" s="139">
        <f>IFERROR(__xludf.DUMMYFUNCTION("""COMPUTED_VALUE"""),0.0)</f>
        <v>0</v>
      </c>
      <c r="L2070" s="139"/>
      <c r="M2070" s="139"/>
      <c r="N2070" s="139"/>
    </row>
    <row r="2071">
      <c r="A2071" s="139" t="str">
        <f>IFERROR(__xludf.DUMMYFUNCTION("""COMPUTED_VALUE"""),"e")</f>
        <v>e</v>
      </c>
      <c r="B2071" s="139">
        <f>IFERROR(__xludf.DUMMYFUNCTION("""COMPUTED_VALUE"""),2.0250901E8)</f>
        <v>202509010</v>
      </c>
      <c r="C2071" s="139" t="str">
        <f>IFERROR(__xludf.DUMMYFUNCTION("""COMPUTED_VALUE"""),"e_kai_00401_kai1_advent_Boss_Blue_Normal_00000")</f>
        <v>e_kai_00401_kai1_advent_Boss_Blue_Normal_00000</v>
      </c>
      <c r="D2071" s="139" t="str">
        <f>IFERROR(__xludf.DUMMYFUNCTION("""COMPUTED_VALUE"""),"e_kai_00401_kai1_advent_Boss_Blue")</f>
        <v>e_kai_00401_kai1_advent_Boss_Blue</v>
      </c>
      <c r="E2071" s="139">
        <f>IFERROR(__xludf.DUMMYFUNCTION("""COMPUTED_VALUE"""),0.0)</f>
        <v>0</v>
      </c>
      <c r="F2071" s="139" t="str">
        <f>IFERROR(__xludf.DUMMYFUNCTION("""COMPUTED_VALUE"""),"Normal")</f>
        <v>Normal</v>
      </c>
      <c r="G2071" s="139"/>
      <c r="H2071" s="139"/>
      <c r="I2071" s="139">
        <f>IFERROR(__xludf.DUMMYFUNCTION("""COMPUTED_VALUE"""),62.0)</f>
        <v>62</v>
      </c>
      <c r="J2071" s="139">
        <f>IFERROR(__xludf.DUMMYFUNCTION("""COMPUTED_VALUE"""),28.0)</f>
        <v>28</v>
      </c>
      <c r="K2071" s="139">
        <f>IFERROR(__xludf.DUMMYFUNCTION("""COMPUTED_VALUE"""),100.0)</f>
        <v>100</v>
      </c>
      <c r="L2071" s="139"/>
      <c r="M2071" s="139"/>
      <c r="N2071" s="139"/>
    </row>
    <row r="2072">
      <c r="A2072" s="139" t="str">
        <f>IFERROR(__xludf.DUMMYFUNCTION("""COMPUTED_VALUE"""),"e")</f>
        <v>e</v>
      </c>
      <c r="B2072" s="139">
        <f>IFERROR(__xludf.DUMMYFUNCTION("""COMPUTED_VALUE"""),2.0250901E8)</f>
        <v>202509010</v>
      </c>
      <c r="C2072" s="139" t="str">
        <f>IFERROR(__xludf.DUMMYFUNCTION("""COMPUTED_VALUE"""),"e_kai_00401_kai1_advent_Boss_Blue_Appearance_00001")</f>
        <v>e_kai_00401_kai1_advent_Boss_Blue_Appearance_00001</v>
      </c>
      <c r="D2072" s="139" t="str">
        <f>IFERROR(__xludf.DUMMYFUNCTION("""COMPUTED_VALUE"""),"e_kai_00401_kai1_advent_Boss_Blue")</f>
        <v>e_kai_00401_kai1_advent_Boss_Blue</v>
      </c>
      <c r="E2072" s="139">
        <f>IFERROR(__xludf.DUMMYFUNCTION("""COMPUTED_VALUE"""),0.0)</f>
        <v>0</v>
      </c>
      <c r="F2072" s="139" t="str">
        <f>IFERROR(__xludf.DUMMYFUNCTION("""COMPUTED_VALUE"""),"Appearance")</f>
        <v>Appearance</v>
      </c>
      <c r="G2072" s="139"/>
      <c r="H2072" s="139"/>
      <c r="I2072" s="139">
        <f>IFERROR(__xludf.DUMMYFUNCTION("""COMPUTED_VALUE"""),50.0)</f>
        <v>50</v>
      </c>
      <c r="J2072" s="139">
        <f>IFERROR(__xludf.DUMMYFUNCTION("""COMPUTED_VALUE"""),25.0)</f>
        <v>25</v>
      </c>
      <c r="K2072" s="139">
        <f>IFERROR(__xludf.DUMMYFUNCTION("""COMPUTED_VALUE"""),0.0)</f>
        <v>0</v>
      </c>
      <c r="L2072" s="139"/>
      <c r="M2072" s="139"/>
      <c r="N2072" s="139"/>
    </row>
    <row r="2073">
      <c r="A2073" s="139" t="str">
        <f>IFERROR(__xludf.DUMMYFUNCTION("""COMPUTED_VALUE"""),"e")</f>
        <v>e</v>
      </c>
      <c r="B2073" s="139">
        <f>IFERROR(__xludf.DUMMYFUNCTION("""COMPUTED_VALUE"""),2.0250901E8)</f>
        <v>202509010</v>
      </c>
      <c r="C2073" s="139" t="str">
        <f>IFERROR(__xludf.DUMMYFUNCTION("""COMPUTED_VALUE"""),"c_kai_00601_iharuget_Normal_Yellow_Normal_00000")</f>
        <v>c_kai_00601_iharuget_Normal_Yellow_Normal_00000</v>
      </c>
      <c r="D2073" s="139" t="str">
        <f>IFERROR(__xludf.DUMMYFUNCTION("""COMPUTED_VALUE"""),"c_kai_00601_iharuget_Normal_Yellow")</f>
        <v>c_kai_00601_iharuget_Normal_Yellow</v>
      </c>
      <c r="E2073" s="139">
        <f>IFERROR(__xludf.DUMMYFUNCTION("""COMPUTED_VALUE"""),0.0)</f>
        <v>0</v>
      </c>
      <c r="F2073" s="139" t="str">
        <f>IFERROR(__xludf.DUMMYFUNCTION("""COMPUTED_VALUE"""),"Normal")</f>
        <v>Normal</v>
      </c>
      <c r="G2073" s="139"/>
      <c r="H2073" s="139"/>
      <c r="I2073" s="139">
        <f>IFERROR(__xludf.DUMMYFUNCTION("""COMPUTED_VALUE"""),69.0)</f>
        <v>69</v>
      </c>
      <c r="J2073" s="139">
        <f>IFERROR(__xludf.DUMMYFUNCTION("""COMPUTED_VALUE"""),36.0)</f>
        <v>36</v>
      </c>
      <c r="K2073" s="139">
        <f>IFERROR(__xludf.DUMMYFUNCTION("""COMPUTED_VALUE"""),25.0)</f>
        <v>25</v>
      </c>
      <c r="L2073" s="139"/>
      <c r="M2073" s="139"/>
      <c r="N2073" s="139"/>
    </row>
    <row r="2074">
      <c r="A2074" s="139" t="str">
        <f>IFERROR(__xludf.DUMMYFUNCTION("""COMPUTED_VALUE"""),"e")</f>
        <v>e</v>
      </c>
      <c r="B2074" s="139">
        <f>IFERROR(__xludf.DUMMYFUNCTION("""COMPUTED_VALUE"""),2.0250901E8)</f>
        <v>202509010</v>
      </c>
      <c r="C2074" s="139" t="str">
        <f>IFERROR(__xludf.DUMMYFUNCTION("""COMPUTED_VALUE"""),"c_kai_00601_iharuget_Normal_Yellow_Special_00001")</f>
        <v>c_kai_00601_iharuget_Normal_Yellow_Special_00001</v>
      </c>
      <c r="D2074" s="139" t="str">
        <f>IFERROR(__xludf.DUMMYFUNCTION("""COMPUTED_VALUE"""),"c_kai_00601_iharuget_Normal_Yellow")</f>
        <v>c_kai_00601_iharuget_Normal_Yellow</v>
      </c>
      <c r="E2074" s="139">
        <f>IFERROR(__xludf.DUMMYFUNCTION("""COMPUTED_VALUE"""),0.0)</f>
        <v>0</v>
      </c>
      <c r="F2074" s="139" t="str">
        <f>IFERROR(__xludf.DUMMYFUNCTION("""COMPUTED_VALUE"""),"Special")</f>
        <v>Special</v>
      </c>
      <c r="G2074" s="139"/>
      <c r="H2074" s="139"/>
      <c r="I2074" s="139">
        <f>IFERROR(__xludf.DUMMYFUNCTION("""COMPUTED_VALUE"""),117.0)</f>
        <v>117</v>
      </c>
      <c r="J2074" s="139">
        <f>IFERROR(__xludf.DUMMYFUNCTION("""COMPUTED_VALUE"""),67.0)</f>
        <v>67</v>
      </c>
      <c r="K2074" s="139">
        <f>IFERROR(__xludf.DUMMYFUNCTION("""COMPUTED_VALUE"""),0.0)</f>
        <v>0</v>
      </c>
      <c r="L2074" s="139"/>
      <c r="M2074" s="139"/>
      <c r="N2074" s="139"/>
    </row>
    <row r="2075">
      <c r="A2075" s="139" t="str">
        <f>IFERROR(__xludf.DUMMYFUNCTION("""COMPUTED_VALUE"""),"e")</f>
        <v>e</v>
      </c>
      <c r="B2075" s="139">
        <f>IFERROR(__xludf.DUMMYFUNCTION("""COMPUTED_VALUE"""),2.0250901E8)</f>
        <v>202509010</v>
      </c>
      <c r="C2075" s="139" t="str">
        <f>IFERROR(__xludf.DUMMYFUNCTION("""COMPUTED_VALUE"""),"c_kai_00601_iharuget_Boss_Red_Normal_00000")</f>
        <v>c_kai_00601_iharuget_Boss_Red_Normal_00000</v>
      </c>
      <c r="D2075" s="139" t="str">
        <f>IFERROR(__xludf.DUMMYFUNCTION("""COMPUTED_VALUE"""),"c_kai_00601_iharuget_Boss_Red")</f>
        <v>c_kai_00601_iharuget_Boss_Red</v>
      </c>
      <c r="E2075" s="139">
        <f>IFERROR(__xludf.DUMMYFUNCTION("""COMPUTED_VALUE"""),0.0)</f>
        <v>0</v>
      </c>
      <c r="F2075" s="139" t="str">
        <f>IFERROR(__xludf.DUMMYFUNCTION("""COMPUTED_VALUE"""),"Normal")</f>
        <v>Normal</v>
      </c>
      <c r="G2075" s="139"/>
      <c r="H2075" s="139"/>
      <c r="I2075" s="139">
        <f>IFERROR(__xludf.DUMMYFUNCTION("""COMPUTED_VALUE"""),69.0)</f>
        <v>69</v>
      </c>
      <c r="J2075" s="139">
        <f>IFERROR(__xludf.DUMMYFUNCTION("""COMPUTED_VALUE"""),36.0)</f>
        <v>36</v>
      </c>
      <c r="K2075" s="139">
        <f>IFERROR(__xludf.DUMMYFUNCTION("""COMPUTED_VALUE"""),25.0)</f>
        <v>25</v>
      </c>
      <c r="L2075" s="139"/>
      <c r="M2075" s="139"/>
      <c r="N2075" s="139"/>
    </row>
    <row r="2076">
      <c r="A2076" s="139" t="str">
        <f>IFERROR(__xludf.DUMMYFUNCTION("""COMPUTED_VALUE"""),"e")</f>
        <v>e</v>
      </c>
      <c r="B2076" s="139">
        <f>IFERROR(__xludf.DUMMYFUNCTION("""COMPUTED_VALUE"""),2.0250901E8)</f>
        <v>202509010</v>
      </c>
      <c r="C2076" s="139" t="str">
        <f>IFERROR(__xludf.DUMMYFUNCTION("""COMPUTED_VALUE"""),"c_kai_00601_iharuget_Boss_Red_Special_00001")</f>
        <v>c_kai_00601_iharuget_Boss_Red_Special_00001</v>
      </c>
      <c r="D2076" s="139" t="str">
        <f>IFERROR(__xludf.DUMMYFUNCTION("""COMPUTED_VALUE"""),"c_kai_00601_iharuget_Boss_Red")</f>
        <v>c_kai_00601_iharuget_Boss_Red</v>
      </c>
      <c r="E2076" s="139">
        <f>IFERROR(__xludf.DUMMYFUNCTION("""COMPUTED_VALUE"""),0.0)</f>
        <v>0</v>
      </c>
      <c r="F2076" s="139" t="str">
        <f>IFERROR(__xludf.DUMMYFUNCTION("""COMPUTED_VALUE"""),"Special")</f>
        <v>Special</v>
      </c>
      <c r="G2076" s="139"/>
      <c r="H2076" s="139"/>
      <c r="I2076" s="139">
        <f>IFERROR(__xludf.DUMMYFUNCTION("""COMPUTED_VALUE"""),117.0)</f>
        <v>117</v>
      </c>
      <c r="J2076" s="139">
        <f>IFERROR(__xludf.DUMMYFUNCTION("""COMPUTED_VALUE"""),67.0)</f>
        <v>67</v>
      </c>
      <c r="K2076" s="139">
        <f>IFERROR(__xludf.DUMMYFUNCTION("""COMPUTED_VALUE"""),0.0)</f>
        <v>0</v>
      </c>
      <c r="L2076" s="139"/>
      <c r="M2076" s="139"/>
      <c r="N2076" s="139"/>
    </row>
    <row r="2077">
      <c r="A2077" s="139" t="str">
        <f>IFERROR(__xludf.DUMMYFUNCTION("""COMPUTED_VALUE"""),"e")</f>
        <v>e</v>
      </c>
      <c r="B2077" s="139">
        <f>IFERROR(__xludf.DUMMYFUNCTION("""COMPUTED_VALUE"""),2.0250901E8)</f>
        <v>202509010</v>
      </c>
      <c r="C2077" s="139" t="str">
        <f>IFERROR(__xludf.DUMMYFUNCTION("""COMPUTED_VALUE"""),"c_kai_00601_iharuget_Boss_Red_Appearance_00002")</f>
        <v>c_kai_00601_iharuget_Boss_Red_Appearance_00002</v>
      </c>
      <c r="D2077" s="139" t="str">
        <f>IFERROR(__xludf.DUMMYFUNCTION("""COMPUTED_VALUE"""),"c_kai_00601_iharuget_Boss_Red")</f>
        <v>c_kai_00601_iharuget_Boss_Red</v>
      </c>
      <c r="E2077" s="139">
        <f>IFERROR(__xludf.DUMMYFUNCTION("""COMPUTED_VALUE"""),0.0)</f>
        <v>0</v>
      </c>
      <c r="F2077" s="139" t="str">
        <f>IFERROR(__xludf.DUMMYFUNCTION("""COMPUTED_VALUE"""),"Appearance")</f>
        <v>Appearance</v>
      </c>
      <c r="G2077" s="139"/>
      <c r="H2077" s="139"/>
      <c r="I2077" s="139">
        <f>IFERROR(__xludf.DUMMYFUNCTION("""COMPUTED_VALUE"""),50.0)</f>
        <v>50</v>
      </c>
      <c r="J2077" s="139">
        <f>IFERROR(__xludf.DUMMYFUNCTION("""COMPUTED_VALUE"""),25.0)</f>
        <v>25</v>
      </c>
      <c r="K2077" s="139">
        <f>IFERROR(__xludf.DUMMYFUNCTION("""COMPUTED_VALUE"""),0.0)</f>
        <v>0</v>
      </c>
      <c r="L2077" s="139"/>
      <c r="M2077" s="139"/>
      <c r="N2077" s="139"/>
    </row>
    <row r="2078">
      <c r="A2078" s="139" t="str">
        <f>IFERROR(__xludf.DUMMYFUNCTION("""COMPUTED_VALUE"""),"e")</f>
        <v>e</v>
      </c>
      <c r="B2078" s="139">
        <f>IFERROR(__xludf.DUMMYFUNCTION("""COMPUTED_VALUE"""),2.0250901E8)</f>
        <v>202509010</v>
      </c>
      <c r="C2078" s="139" t="str">
        <f>IFERROR(__xludf.DUMMYFUNCTION("""COMPUTED_VALUE"""),"c_kai_00101_iharuget_Normal_Yellow_Normal_00000")</f>
        <v>c_kai_00101_iharuget_Normal_Yellow_Normal_00000</v>
      </c>
      <c r="D2078" s="139" t="str">
        <f>IFERROR(__xludf.DUMMYFUNCTION("""COMPUTED_VALUE"""),"c_kai_00101_iharuget_Normal_Yellow")</f>
        <v>c_kai_00101_iharuget_Normal_Yellow</v>
      </c>
      <c r="E2078" s="139">
        <f>IFERROR(__xludf.DUMMYFUNCTION("""COMPUTED_VALUE"""),0.0)</f>
        <v>0</v>
      </c>
      <c r="F2078" s="139" t="str">
        <f>IFERROR(__xludf.DUMMYFUNCTION("""COMPUTED_VALUE"""),"Normal")</f>
        <v>Normal</v>
      </c>
      <c r="G2078" s="139"/>
      <c r="H2078" s="139"/>
      <c r="I2078" s="139">
        <f>IFERROR(__xludf.DUMMYFUNCTION("""COMPUTED_VALUE"""),70.0)</f>
        <v>70</v>
      </c>
      <c r="J2078" s="139">
        <f>IFERROR(__xludf.DUMMYFUNCTION("""COMPUTED_VALUE"""),46.0)</f>
        <v>46</v>
      </c>
      <c r="K2078" s="139">
        <f>IFERROR(__xludf.DUMMYFUNCTION("""COMPUTED_VALUE"""),100.0)</f>
        <v>100</v>
      </c>
      <c r="L2078" s="139"/>
      <c r="M2078" s="139"/>
      <c r="N2078" s="139"/>
    </row>
    <row r="2079">
      <c r="A2079" s="139" t="str">
        <f>IFERROR(__xludf.DUMMYFUNCTION("""COMPUTED_VALUE"""),"e")</f>
        <v>e</v>
      </c>
      <c r="B2079" s="139">
        <f>IFERROR(__xludf.DUMMYFUNCTION("""COMPUTED_VALUE"""),2.0250901E8)</f>
        <v>202509010</v>
      </c>
      <c r="C2079" s="139" t="str">
        <f>IFERROR(__xludf.DUMMYFUNCTION("""COMPUTED_VALUE"""),"c_kai_00101_iharuget_Normal_Yellow_Special_00001")</f>
        <v>c_kai_00101_iharuget_Normal_Yellow_Special_00001</v>
      </c>
      <c r="D2079" s="139" t="str">
        <f>IFERROR(__xludf.DUMMYFUNCTION("""COMPUTED_VALUE"""),"c_kai_00101_iharuget_Normal_Yellow")</f>
        <v>c_kai_00101_iharuget_Normal_Yellow</v>
      </c>
      <c r="E2079" s="139">
        <f>IFERROR(__xludf.DUMMYFUNCTION("""COMPUTED_VALUE"""),0.0)</f>
        <v>0</v>
      </c>
      <c r="F2079" s="139" t="str">
        <f>IFERROR(__xludf.DUMMYFUNCTION("""COMPUTED_VALUE"""),"Special")</f>
        <v>Special</v>
      </c>
      <c r="G2079" s="139"/>
      <c r="H2079" s="139"/>
      <c r="I2079" s="139">
        <f>IFERROR(__xludf.DUMMYFUNCTION("""COMPUTED_VALUE"""),159.0)</f>
        <v>159</v>
      </c>
      <c r="J2079" s="139">
        <f>IFERROR(__xludf.DUMMYFUNCTION("""COMPUTED_VALUE"""),0.0)</f>
        <v>0</v>
      </c>
      <c r="K2079" s="139">
        <f>IFERROR(__xludf.DUMMYFUNCTION("""COMPUTED_VALUE"""),0.0)</f>
        <v>0</v>
      </c>
      <c r="L2079" s="139"/>
      <c r="M2079" s="139"/>
      <c r="N2079" s="139"/>
    </row>
    <row r="2080">
      <c r="A2080" s="139" t="str">
        <f>IFERROR(__xludf.DUMMYFUNCTION("""COMPUTED_VALUE"""),"e")</f>
        <v>e</v>
      </c>
      <c r="B2080" s="139">
        <f>IFERROR(__xludf.DUMMYFUNCTION("""COMPUTED_VALUE"""),2.0250901E8)</f>
        <v>202509010</v>
      </c>
      <c r="C2080" s="139" t="str">
        <f>IFERROR(__xludf.DUMMYFUNCTION("""COMPUTED_VALUE"""),"e_kai_00201_iharuget_Normal_Colorless_Normal_00000")</f>
        <v>e_kai_00201_iharuget_Normal_Colorless_Normal_00000</v>
      </c>
      <c r="D2080" s="139" t="str">
        <f>IFERROR(__xludf.DUMMYFUNCTION("""COMPUTED_VALUE"""),"e_kai_00201_iharuget_Normal_Colorless")</f>
        <v>e_kai_00201_iharuget_Normal_Colorless</v>
      </c>
      <c r="E2080" s="139">
        <f>IFERROR(__xludf.DUMMYFUNCTION("""COMPUTED_VALUE"""),0.0)</f>
        <v>0</v>
      </c>
      <c r="F2080" s="139" t="str">
        <f>IFERROR(__xludf.DUMMYFUNCTION("""COMPUTED_VALUE"""),"Normal")</f>
        <v>Normal</v>
      </c>
      <c r="G2080" s="139"/>
      <c r="H2080" s="139"/>
      <c r="I2080" s="139">
        <f>IFERROR(__xludf.DUMMYFUNCTION("""COMPUTED_VALUE"""),124.0)</f>
        <v>124</v>
      </c>
      <c r="J2080" s="139">
        <f>IFERROR(__xludf.DUMMYFUNCTION("""COMPUTED_VALUE"""),63.0)</f>
        <v>63</v>
      </c>
      <c r="K2080" s="139">
        <f>IFERROR(__xludf.DUMMYFUNCTION("""COMPUTED_VALUE"""),75.0)</f>
        <v>75</v>
      </c>
      <c r="L2080" s="139"/>
      <c r="M2080" s="139"/>
      <c r="N2080" s="139"/>
    </row>
    <row r="2081">
      <c r="A2081" s="139" t="str">
        <f>IFERROR(__xludf.DUMMYFUNCTION("""COMPUTED_VALUE"""),"e")</f>
        <v>e</v>
      </c>
      <c r="B2081" s="139">
        <f>IFERROR(__xludf.DUMMYFUNCTION("""COMPUTED_VALUE"""),2.0250901E8)</f>
        <v>202509010</v>
      </c>
      <c r="C2081" s="139" t="str">
        <f>IFERROR(__xludf.DUMMYFUNCTION("""COMPUTED_VALUE"""),"c_kai_00001_iharuget_Normal_Yellow_Normal_00000")</f>
        <v>c_kai_00001_iharuget_Normal_Yellow_Normal_00000</v>
      </c>
      <c r="D2081" s="139" t="str">
        <f>IFERROR(__xludf.DUMMYFUNCTION("""COMPUTED_VALUE"""),"c_kai_00001_iharuget_Normal_Yellow")</f>
        <v>c_kai_00001_iharuget_Normal_Yellow</v>
      </c>
      <c r="E2081" s="139">
        <f>IFERROR(__xludf.DUMMYFUNCTION("""COMPUTED_VALUE"""),0.0)</f>
        <v>0</v>
      </c>
      <c r="F2081" s="139" t="str">
        <f>IFERROR(__xludf.DUMMYFUNCTION("""COMPUTED_VALUE"""),"Normal")</f>
        <v>Normal</v>
      </c>
      <c r="G2081" s="139"/>
      <c r="H2081" s="139"/>
      <c r="I2081" s="139">
        <f>IFERROR(__xludf.DUMMYFUNCTION("""COMPUTED_VALUE"""),92.0)</f>
        <v>92</v>
      </c>
      <c r="J2081" s="139">
        <f>IFERROR(__xludf.DUMMYFUNCTION("""COMPUTED_VALUE"""),50.0)</f>
        <v>50</v>
      </c>
      <c r="K2081" s="139">
        <f>IFERROR(__xludf.DUMMYFUNCTION("""COMPUTED_VALUE"""),100.0)</f>
        <v>100</v>
      </c>
      <c r="L2081" s="139"/>
      <c r="M2081" s="139"/>
      <c r="N2081" s="139"/>
    </row>
    <row r="2082">
      <c r="A2082" s="139" t="str">
        <f>IFERROR(__xludf.DUMMYFUNCTION("""COMPUTED_VALUE"""),"e")</f>
        <v>e</v>
      </c>
      <c r="B2082" s="139">
        <f>IFERROR(__xludf.DUMMYFUNCTION("""COMPUTED_VALUE"""),2.0250901E8)</f>
        <v>202509010</v>
      </c>
      <c r="C2082" s="139" t="str">
        <f>IFERROR(__xludf.DUMMYFUNCTION("""COMPUTED_VALUE"""),"e_kai_00201_iharuget_Boss_Blue_Normal_00000")</f>
        <v>e_kai_00201_iharuget_Boss_Blue_Normal_00000</v>
      </c>
      <c r="D2082" s="139" t="str">
        <f>IFERROR(__xludf.DUMMYFUNCTION("""COMPUTED_VALUE"""),"e_kai_00201_iharuget_Boss_Blue")</f>
        <v>e_kai_00201_iharuget_Boss_Blue</v>
      </c>
      <c r="E2082" s="139">
        <f>IFERROR(__xludf.DUMMYFUNCTION("""COMPUTED_VALUE"""),0.0)</f>
        <v>0</v>
      </c>
      <c r="F2082" s="139" t="str">
        <f>IFERROR(__xludf.DUMMYFUNCTION("""COMPUTED_VALUE"""),"Normal")</f>
        <v>Normal</v>
      </c>
      <c r="G2082" s="139"/>
      <c r="H2082" s="139"/>
      <c r="I2082" s="139">
        <f>IFERROR(__xludf.DUMMYFUNCTION("""COMPUTED_VALUE"""),124.0)</f>
        <v>124</v>
      </c>
      <c r="J2082" s="139">
        <f>IFERROR(__xludf.DUMMYFUNCTION("""COMPUTED_VALUE"""),63.0)</f>
        <v>63</v>
      </c>
      <c r="K2082" s="139">
        <f>IFERROR(__xludf.DUMMYFUNCTION("""COMPUTED_VALUE"""),200.0)</f>
        <v>200</v>
      </c>
      <c r="L2082" s="139"/>
      <c r="M2082" s="139"/>
      <c r="N2082" s="139"/>
    </row>
    <row r="2083">
      <c r="A2083" s="139" t="str">
        <f>IFERROR(__xludf.DUMMYFUNCTION("""COMPUTED_VALUE"""),"e")</f>
        <v>e</v>
      </c>
      <c r="B2083" s="139">
        <f>IFERROR(__xludf.DUMMYFUNCTION("""COMPUTED_VALUE"""),2.0250901E8)</f>
        <v>202509010</v>
      </c>
      <c r="C2083" s="139" t="str">
        <f>IFERROR(__xludf.DUMMYFUNCTION("""COMPUTED_VALUE"""),"e_kai_00201_iharuget_Boss_Blue_Appearance_00001")</f>
        <v>e_kai_00201_iharuget_Boss_Blue_Appearance_00001</v>
      </c>
      <c r="D2083" s="139" t="str">
        <f>IFERROR(__xludf.DUMMYFUNCTION("""COMPUTED_VALUE"""),"e_kai_00201_iharuget_Boss_Blue")</f>
        <v>e_kai_00201_iharuget_Boss_Blue</v>
      </c>
      <c r="E2083" s="139">
        <f>IFERROR(__xludf.DUMMYFUNCTION("""COMPUTED_VALUE"""),0.0)</f>
        <v>0</v>
      </c>
      <c r="F2083" s="139" t="str">
        <f>IFERROR(__xludf.DUMMYFUNCTION("""COMPUTED_VALUE"""),"Appearance")</f>
        <v>Appearance</v>
      </c>
      <c r="G2083" s="139"/>
      <c r="H2083" s="139"/>
      <c r="I2083" s="139">
        <f>IFERROR(__xludf.DUMMYFUNCTION("""COMPUTED_VALUE"""),50.0)</f>
        <v>50</v>
      </c>
      <c r="J2083" s="139">
        <f>IFERROR(__xludf.DUMMYFUNCTION("""COMPUTED_VALUE"""),25.0)</f>
        <v>25</v>
      </c>
      <c r="K2083" s="139">
        <f>IFERROR(__xludf.DUMMYFUNCTION("""COMPUTED_VALUE"""),0.0)</f>
        <v>0</v>
      </c>
      <c r="L2083" s="139"/>
      <c r="M2083" s="139"/>
      <c r="N2083" s="139"/>
    </row>
    <row r="2084">
      <c r="A2084" s="139" t="str">
        <f>IFERROR(__xludf.DUMMYFUNCTION("""COMPUTED_VALUE"""),"e")</f>
        <v>e</v>
      </c>
      <c r="B2084" s="139">
        <f>IFERROR(__xludf.DUMMYFUNCTION("""COMPUTED_VALUE"""),2.0250901E8)</f>
        <v>202509010</v>
      </c>
      <c r="C2084" s="139" t="str">
        <f>IFERROR(__xludf.DUMMYFUNCTION("""COMPUTED_VALUE"""),"c_kai_00401_iharuget_Normal_Yellow_Normal_00000")</f>
        <v>c_kai_00401_iharuget_Normal_Yellow_Normal_00000</v>
      </c>
      <c r="D2084" s="139" t="str">
        <f>IFERROR(__xludf.DUMMYFUNCTION("""COMPUTED_VALUE"""),"c_kai_00401_iharuget_Normal_Yellow")</f>
        <v>c_kai_00401_iharuget_Normal_Yellow</v>
      </c>
      <c r="E2084" s="139">
        <f>IFERROR(__xludf.DUMMYFUNCTION("""COMPUTED_VALUE"""),0.0)</f>
        <v>0</v>
      </c>
      <c r="F2084" s="139" t="str">
        <f>IFERROR(__xludf.DUMMYFUNCTION("""COMPUTED_VALUE"""),"Normal")</f>
        <v>Normal</v>
      </c>
      <c r="G2084" s="139"/>
      <c r="H2084" s="139"/>
      <c r="I2084" s="139">
        <f>IFERROR(__xludf.DUMMYFUNCTION("""COMPUTED_VALUE"""),64.0)</f>
        <v>64</v>
      </c>
      <c r="J2084" s="139">
        <f>IFERROR(__xludf.DUMMYFUNCTION("""COMPUTED_VALUE"""),22.0)</f>
        <v>22</v>
      </c>
      <c r="K2084" s="139">
        <f>IFERROR(__xludf.DUMMYFUNCTION("""COMPUTED_VALUE"""),75.0)</f>
        <v>75</v>
      </c>
      <c r="L2084" s="139"/>
      <c r="M2084" s="139"/>
      <c r="N2084" s="139"/>
    </row>
    <row r="2085">
      <c r="A2085" s="139" t="str">
        <f>IFERROR(__xludf.DUMMYFUNCTION("""COMPUTED_VALUE"""),"e")</f>
        <v>e</v>
      </c>
      <c r="B2085" s="139">
        <f>IFERROR(__xludf.DUMMYFUNCTION("""COMPUTED_VALUE"""),2.0250901E8)</f>
        <v>202509010</v>
      </c>
      <c r="C2085" s="139" t="str">
        <f>IFERROR(__xludf.DUMMYFUNCTION("""COMPUTED_VALUE"""),"c_kai_00401_iharuget_Normal_Yellow_Special_00001")</f>
        <v>c_kai_00401_iharuget_Normal_Yellow_Special_00001</v>
      </c>
      <c r="D2085" s="139" t="str">
        <f>IFERROR(__xludf.DUMMYFUNCTION("""COMPUTED_VALUE"""),"c_kai_00401_iharuget_Normal_Yellow")</f>
        <v>c_kai_00401_iharuget_Normal_Yellow</v>
      </c>
      <c r="E2085" s="139">
        <f>IFERROR(__xludf.DUMMYFUNCTION("""COMPUTED_VALUE"""),0.0)</f>
        <v>0</v>
      </c>
      <c r="F2085" s="139" t="str">
        <f>IFERROR(__xludf.DUMMYFUNCTION("""COMPUTED_VALUE"""),"Special")</f>
        <v>Special</v>
      </c>
      <c r="G2085" s="139"/>
      <c r="H2085" s="139"/>
      <c r="I2085" s="139">
        <f>IFERROR(__xludf.DUMMYFUNCTION("""COMPUTED_VALUE"""),134.0)</f>
        <v>134</v>
      </c>
      <c r="J2085" s="139">
        <f>IFERROR(__xludf.DUMMYFUNCTION("""COMPUTED_VALUE"""),0.0)</f>
        <v>0</v>
      </c>
      <c r="K2085" s="139">
        <f>IFERROR(__xludf.DUMMYFUNCTION("""COMPUTED_VALUE"""),0.0)</f>
        <v>0</v>
      </c>
      <c r="L2085" s="139"/>
      <c r="M2085" s="139"/>
      <c r="N2085" s="139"/>
    </row>
    <row r="2086">
      <c r="A2086" s="139" t="str">
        <f>IFERROR(__xludf.DUMMYFUNCTION("""COMPUTED_VALUE"""),"e")</f>
        <v>e</v>
      </c>
      <c r="B2086" s="139">
        <f>IFERROR(__xludf.DUMMYFUNCTION("""COMPUTED_VALUE"""),2.0250901E8)</f>
        <v>202509010</v>
      </c>
      <c r="C2086" s="139" t="str">
        <f>IFERROR(__xludf.DUMMYFUNCTION("""COMPUTED_VALUE"""),"c_kai_00401_isaoget_Normal_Blue_Normal_00000")</f>
        <v>c_kai_00401_isaoget_Normal_Blue_Normal_00000</v>
      </c>
      <c r="D2086" s="139" t="str">
        <f>IFERROR(__xludf.DUMMYFUNCTION("""COMPUTED_VALUE"""),"c_kai_00401_isaoget_Normal_Blue")</f>
        <v>c_kai_00401_isaoget_Normal_Blue</v>
      </c>
      <c r="E2086" s="139">
        <f>IFERROR(__xludf.DUMMYFUNCTION("""COMPUTED_VALUE"""),0.0)</f>
        <v>0</v>
      </c>
      <c r="F2086" s="139" t="str">
        <f>IFERROR(__xludf.DUMMYFUNCTION("""COMPUTED_VALUE"""),"Normal")</f>
        <v>Normal</v>
      </c>
      <c r="G2086" s="139"/>
      <c r="H2086" s="139"/>
      <c r="I2086" s="139">
        <f>IFERROR(__xludf.DUMMYFUNCTION("""COMPUTED_VALUE"""),64.0)</f>
        <v>64</v>
      </c>
      <c r="J2086" s="139">
        <f>IFERROR(__xludf.DUMMYFUNCTION("""COMPUTED_VALUE"""),22.0)</f>
        <v>22</v>
      </c>
      <c r="K2086" s="139">
        <f>IFERROR(__xludf.DUMMYFUNCTION("""COMPUTED_VALUE"""),75.0)</f>
        <v>75</v>
      </c>
      <c r="L2086" s="139"/>
      <c r="M2086" s="139"/>
      <c r="N2086" s="139"/>
    </row>
    <row r="2087">
      <c r="A2087" s="139" t="str">
        <f>IFERROR(__xludf.DUMMYFUNCTION("""COMPUTED_VALUE"""),"e")</f>
        <v>e</v>
      </c>
      <c r="B2087" s="139">
        <f>IFERROR(__xludf.DUMMYFUNCTION("""COMPUTED_VALUE"""),2.0250901E8)</f>
        <v>202509010</v>
      </c>
      <c r="C2087" s="139" t="str">
        <f>IFERROR(__xludf.DUMMYFUNCTION("""COMPUTED_VALUE"""),"c_kai_00401_isaoget_Normal_Blue_Special_00001")</f>
        <v>c_kai_00401_isaoget_Normal_Blue_Special_00001</v>
      </c>
      <c r="D2087" s="139" t="str">
        <f>IFERROR(__xludf.DUMMYFUNCTION("""COMPUTED_VALUE"""),"c_kai_00401_isaoget_Normal_Blue")</f>
        <v>c_kai_00401_isaoget_Normal_Blue</v>
      </c>
      <c r="E2087" s="139">
        <f>IFERROR(__xludf.DUMMYFUNCTION("""COMPUTED_VALUE"""),0.0)</f>
        <v>0</v>
      </c>
      <c r="F2087" s="139" t="str">
        <f>IFERROR(__xludf.DUMMYFUNCTION("""COMPUTED_VALUE"""),"Special")</f>
        <v>Special</v>
      </c>
      <c r="G2087" s="139"/>
      <c r="H2087" s="139"/>
      <c r="I2087" s="139">
        <f>IFERROR(__xludf.DUMMYFUNCTION("""COMPUTED_VALUE"""),134.0)</f>
        <v>134</v>
      </c>
      <c r="J2087" s="139">
        <f>IFERROR(__xludf.DUMMYFUNCTION("""COMPUTED_VALUE"""),0.0)</f>
        <v>0</v>
      </c>
      <c r="K2087" s="139">
        <f>IFERROR(__xludf.DUMMYFUNCTION("""COMPUTED_VALUE"""),0.0)</f>
        <v>0</v>
      </c>
      <c r="L2087" s="139"/>
      <c r="M2087" s="139"/>
      <c r="N2087" s="139"/>
    </row>
    <row r="2088">
      <c r="A2088" s="139" t="str">
        <f>IFERROR(__xludf.DUMMYFUNCTION("""COMPUTED_VALUE"""),"e")</f>
        <v>e</v>
      </c>
      <c r="B2088" s="139">
        <f>IFERROR(__xludf.DUMMYFUNCTION("""COMPUTED_VALUE"""),2.0250901E8)</f>
        <v>202509010</v>
      </c>
      <c r="C2088" s="139" t="str">
        <f>IFERROR(__xludf.DUMMYFUNCTION("""COMPUTED_VALUE"""),"c_kai_00501_isaoget_Boss_Yellow_Normal_00000")</f>
        <v>c_kai_00501_isaoget_Boss_Yellow_Normal_00000</v>
      </c>
      <c r="D2088" s="139" t="str">
        <f>IFERROR(__xludf.DUMMYFUNCTION("""COMPUTED_VALUE"""),"c_kai_00501_isaoget_Boss_Yellow")</f>
        <v>c_kai_00501_isaoget_Boss_Yellow</v>
      </c>
      <c r="E2088" s="139">
        <f>IFERROR(__xludf.DUMMYFUNCTION("""COMPUTED_VALUE"""),0.0)</f>
        <v>0</v>
      </c>
      <c r="F2088" s="139" t="str">
        <f>IFERROR(__xludf.DUMMYFUNCTION("""COMPUTED_VALUE"""),"Normal")</f>
        <v>Normal</v>
      </c>
      <c r="G2088" s="139"/>
      <c r="H2088" s="139"/>
      <c r="I2088" s="139">
        <f>IFERROR(__xludf.DUMMYFUNCTION("""COMPUTED_VALUE"""),99.0)</f>
        <v>99</v>
      </c>
      <c r="J2088" s="139">
        <f>IFERROR(__xludf.DUMMYFUNCTION("""COMPUTED_VALUE"""),55.0)</f>
        <v>55</v>
      </c>
      <c r="K2088" s="139">
        <f>IFERROR(__xludf.DUMMYFUNCTION("""COMPUTED_VALUE"""),75.0)</f>
        <v>75</v>
      </c>
      <c r="L2088" s="139"/>
      <c r="M2088" s="139"/>
      <c r="N2088" s="139"/>
    </row>
    <row r="2089">
      <c r="A2089" s="139" t="str">
        <f>IFERROR(__xludf.DUMMYFUNCTION("""COMPUTED_VALUE"""),"e")</f>
        <v>e</v>
      </c>
      <c r="B2089" s="139">
        <f>IFERROR(__xludf.DUMMYFUNCTION("""COMPUTED_VALUE"""),2.0250901E8)</f>
        <v>202509010</v>
      </c>
      <c r="C2089" s="139" t="str">
        <f>IFERROR(__xludf.DUMMYFUNCTION("""COMPUTED_VALUE"""),"c_kai_00501_isaoget_Boss_Yellow_Special_00001")</f>
        <v>c_kai_00501_isaoget_Boss_Yellow_Special_00001</v>
      </c>
      <c r="D2089" s="139" t="str">
        <f>IFERROR(__xludf.DUMMYFUNCTION("""COMPUTED_VALUE"""),"c_kai_00501_isaoget_Boss_Yellow")</f>
        <v>c_kai_00501_isaoget_Boss_Yellow</v>
      </c>
      <c r="E2089" s="139">
        <f>IFERROR(__xludf.DUMMYFUNCTION("""COMPUTED_VALUE"""),0.0)</f>
        <v>0</v>
      </c>
      <c r="F2089" s="139" t="str">
        <f>IFERROR(__xludf.DUMMYFUNCTION("""COMPUTED_VALUE"""),"Special")</f>
        <v>Special</v>
      </c>
      <c r="G2089" s="139"/>
      <c r="H2089" s="139"/>
      <c r="I2089" s="139">
        <f>IFERROR(__xludf.DUMMYFUNCTION("""COMPUTED_VALUE"""),134.0)</f>
        <v>134</v>
      </c>
      <c r="J2089" s="139">
        <f>IFERROR(__xludf.DUMMYFUNCTION("""COMPUTED_VALUE"""),81.0)</f>
        <v>81</v>
      </c>
      <c r="K2089" s="139">
        <f>IFERROR(__xludf.DUMMYFUNCTION("""COMPUTED_VALUE"""),0.0)</f>
        <v>0</v>
      </c>
      <c r="L2089" s="139"/>
      <c r="M2089" s="139"/>
      <c r="N2089" s="139"/>
    </row>
    <row r="2090">
      <c r="A2090" s="139" t="str">
        <f>IFERROR(__xludf.DUMMYFUNCTION("""COMPUTED_VALUE"""),"e")</f>
        <v>e</v>
      </c>
      <c r="B2090" s="139">
        <f>IFERROR(__xludf.DUMMYFUNCTION("""COMPUTED_VALUE"""),2.0250901E8)</f>
        <v>202509010</v>
      </c>
      <c r="C2090" s="139" t="str">
        <f>IFERROR(__xludf.DUMMYFUNCTION("""COMPUTED_VALUE"""),"c_kai_00501_isaoget_Boss_Yellow_Appearance_00002")</f>
        <v>c_kai_00501_isaoget_Boss_Yellow_Appearance_00002</v>
      </c>
      <c r="D2090" s="139" t="str">
        <f>IFERROR(__xludf.DUMMYFUNCTION("""COMPUTED_VALUE"""),"c_kai_00501_isaoget_Boss_Yellow")</f>
        <v>c_kai_00501_isaoget_Boss_Yellow</v>
      </c>
      <c r="E2090" s="139">
        <f>IFERROR(__xludf.DUMMYFUNCTION("""COMPUTED_VALUE"""),0.0)</f>
        <v>0</v>
      </c>
      <c r="F2090" s="139" t="str">
        <f>IFERROR(__xludf.DUMMYFUNCTION("""COMPUTED_VALUE"""),"Appearance")</f>
        <v>Appearance</v>
      </c>
      <c r="G2090" s="139"/>
      <c r="H2090" s="139"/>
      <c r="I2090" s="139">
        <f>IFERROR(__xludf.DUMMYFUNCTION("""COMPUTED_VALUE"""),50.0)</f>
        <v>50</v>
      </c>
      <c r="J2090" s="139">
        <f>IFERROR(__xludf.DUMMYFUNCTION("""COMPUTED_VALUE"""),25.0)</f>
        <v>25</v>
      </c>
      <c r="K2090" s="139">
        <f>IFERROR(__xludf.DUMMYFUNCTION("""COMPUTED_VALUE"""),0.0)</f>
        <v>0</v>
      </c>
      <c r="L2090" s="139"/>
      <c r="M2090" s="139"/>
      <c r="N2090" s="139"/>
    </row>
    <row r="2091">
      <c r="A2091" s="139" t="str">
        <f>IFERROR(__xludf.DUMMYFUNCTION("""COMPUTED_VALUE"""),"e")</f>
        <v>e</v>
      </c>
      <c r="B2091" s="139">
        <f>IFERROR(__xludf.DUMMYFUNCTION("""COMPUTED_VALUE"""),2.0250901E8)</f>
        <v>202509010</v>
      </c>
      <c r="C2091" s="139" t="str">
        <f>IFERROR(__xludf.DUMMYFUNCTION("""COMPUTED_VALUE"""),"c_kai_00501_isaoget_Normal_Blue_Normal_00000")</f>
        <v>c_kai_00501_isaoget_Normal_Blue_Normal_00000</v>
      </c>
      <c r="D2091" s="139" t="str">
        <f>IFERROR(__xludf.DUMMYFUNCTION("""COMPUTED_VALUE"""),"c_kai_00501_isaoget_Normal_Blue")</f>
        <v>c_kai_00501_isaoget_Normal_Blue</v>
      </c>
      <c r="E2091" s="139">
        <f>IFERROR(__xludf.DUMMYFUNCTION("""COMPUTED_VALUE"""),0.0)</f>
        <v>0</v>
      </c>
      <c r="F2091" s="139" t="str">
        <f>IFERROR(__xludf.DUMMYFUNCTION("""COMPUTED_VALUE"""),"Normal")</f>
        <v>Normal</v>
      </c>
      <c r="G2091" s="139"/>
      <c r="H2091" s="139"/>
      <c r="I2091" s="139">
        <f>IFERROR(__xludf.DUMMYFUNCTION("""COMPUTED_VALUE"""),99.0)</f>
        <v>99</v>
      </c>
      <c r="J2091" s="139">
        <f>IFERROR(__xludf.DUMMYFUNCTION("""COMPUTED_VALUE"""),55.0)</f>
        <v>55</v>
      </c>
      <c r="K2091" s="139">
        <f>IFERROR(__xludf.DUMMYFUNCTION("""COMPUTED_VALUE"""),75.0)</f>
        <v>75</v>
      </c>
      <c r="L2091" s="139"/>
      <c r="M2091" s="139"/>
      <c r="N2091" s="139"/>
    </row>
    <row r="2092">
      <c r="A2092" s="139" t="str">
        <f>IFERROR(__xludf.DUMMYFUNCTION("""COMPUTED_VALUE"""),"e")</f>
        <v>e</v>
      </c>
      <c r="B2092" s="139">
        <f>IFERROR(__xludf.DUMMYFUNCTION("""COMPUTED_VALUE"""),2.0250901E8)</f>
        <v>202509010</v>
      </c>
      <c r="C2092" s="139" t="str">
        <f>IFERROR(__xludf.DUMMYFUNCTION("""COMPUTED_VALUE"""),"c_kai_00501_isaoget_Normal_Blue_Special_00001")</f>
        <v>c_kai_00501_isaoget_Normal_Blue_Special_00001</v>
      </c>
      <c r="D2092" s="139" t="str">
        <f>IFERROR(__xludf.DUMMYFUNCTION("""COMPUTED_VALUE"""),"c_kai_00501_isaoget_Normal_Blue")</f>
        <v>c_kai_00501_isaoget_Normal_Blue</v>
      </c>
      <c r="E2092" s="139">
        <f>IFERROR(__xludf.DUMMYFUNCTION("""COMPUTED_VALUE"""),0.0)</f>
        <v>0</v>
      </c>
      <c r="F2092" s="139" t="str">
        <f>IFERROR(__xludf.DUMMYFUNCTION("""COMPUTED_VALUE"""),"Special")</f>
        <v>Special</v>
      </c>
      <c r="G2092" s="139"/>
      <c r="H2092" s="139"/>
      <c r="I2092" s="139">
        <f>IFERROR(__xludf.DUMMYFUNCTION("""COMPUTED_VALUE"""),134.0)</f>
        <v>134</v>
      </c>
      <c r="J2092" s="139">
        <f>IFERROR(__xludf.DUMMYFUNCTION("""COMPUTED_VALUE"""),81.0)</f>
        <v>81</v>
      </c>
      <c r="K2092" s="139">
        <f>IFERROR(__xludf.DUMMYFUNCTION("""COMPUTED_VALUE"""),0.0)</f>
        <v>0</v>
      </c>
      <c r="L2092" s="139"/>
      <c r="M2092" s="139"/>
      <c r="N2092" s="139"/>
    </row>
    <row r="2093">
      <c r="A2093" s="139" t="str">
        <f>IFERROR(__xludf.DUMMYFUNCTION("""COMPUTED_VALUE"""),"e")</f>
        <v>e</v>
      </c>
      <c r="B2093" s="139">
        <f>IFERROR(__xludf.DUMMYFUNCTION("""COMPUTED_VALUE"""),2.0250901E8)</f>
        <v>202509010</v>
      </c>
      <c r="C2093" s="139" t="str">
        <f>IFERROR(__xludf.DUMMYFUNCTION("""COMPUTED_VALUE"""),"e_kai_00401_isaoget_Normal_Yellow_Normal_00000")</f>
        <v>e_kai_00401_isaoget_Normal_Yellow_Normal_00000</v>
      </c>
      <c r="D2093" s="139" t="str">
        <f>IFERROR(__xludf.DUMMYFUNCTION("""COMPUTED_VALUE"""),"e_kai_00401_isaoget_Normal_Yellow")</f>
        <v>e_kai_00401_isaoget_Normal_Yellow</v>
      </c>
      <c r="E2093" s="139">
        <f>IFERROR(__xludf.DUMMYFUNCTION("""COMPUTED_VALUE"""),0.0)</f>
        <v>0</v>
      </c>
      <c r="F2093" s="139" t="str">
        <f>IFERROR(__xludf.DUMMYFUNCTION("""COMPUTED_VALUE"""),"Normal")</f>
        <v>Normal</v>
      </c>
      <c r="G2093" s="139"/>
      <c r="H2093" s="139"/>
      <c r="I2093" s="139">
        <f>IFERROR(__xludf.DUMMYFUNCTION("""COMPUTED_VALUE"""),62.0)</f>
        <v>62</v>
      </c>
      <c r="J2093" s="139">
        <f>IFERROR(__xludf.DUMMYFUNCTION("""COMPUTED_VALUE"""),28.0)</f>
        <v>28</v>
      </c>
      <c r="K2093" s="139">
        <f>IFERROR(__xludf.DUMMYFUNCTION("""COMPUTED_VALUE"""),25.0)</f>
        <v>25</v>
      </c>
      <c r="L2093" s="139"/>
      <c r="M2093" s="139"/>
      <c r="N2093" s="139"/>
    </row>
    <row r="2094">
      <c r="A2094" s="139" t="str">
        <f>IFERROR(__xludf.DUMMYFUNCTION("""COMPUTED_VALUE"""),"e")</f>
        <v>e</v>
      </c>
      <c r="B2094" s="139">
        <f>IFERROR(__xludf.DUMMYFUNCTION("""COMPUTED_VALUE"""),2.0250901E8)</f>
        <v>202509010</v>
      </c>
      <c r="C2094" s="139" t="str">
        <f>IFERROR(__xludf.DUMMYFUNCTION("""COMPUTED_VALUE"""),"e_kai_00401_isaoget_Normal_Blue_Normal_00000")</f>
        <v>e_kai_00401_isaoget_Normal_Blue_Normal_00000</v>
      </c>
      <c r="D2094" s="139" t="str">
        <f>IFERROR(__xludf.DUMMYFUNCTION("""COMPUTED_VALUE"""),"e_kai_00401_isaoget_Normal_Blue")</f>
        <v>e_kai_00401_isaoget_Normal_Blue</v>
      </c>
      <c r="E2094" s="139">
        <f>IFERROR(__xludf.DUMMYFUNCTION("""COMPUTED_VALUE"""),0.0)</f>
        <v>0</v>
      </c>
      <c r="F2094" s="139" t="str">
        <f>IFERROR(__xludf.DUMMYFUNCTION("""COMPUTED_VALUE"""),"Normal")</f>
        <v>Normal</v>
      </c>
      <c r="G2094" s="139"/>
      <c r="H2094" s="139"/>
      <c r="I2094" s="139">
        <f>IFERROR(__xludf.DUMMYFUNCTION("""COMPUTED_VALUE"""),62.0)</f>
        <v>62</v>
      </c>
      <c r="J2094" s="139">
        <f>IFERROR(__xludf.DUMMYFUNCTION("""COMPUTED_VALUE"""),28.0)</f>
        <v>28</v>
      </c>
      <c r="K2094" s="139">
        <f>IFERROR(__xludf.DUMMYFUNCTION("""COMPUTED_VALUE"""),25.0)</f>
        <v>25</v>
      </c>
      <c r="L2094" s="139"/>
      <c r="M2094" s="139"/>
      <c r="N2094" s="139"/>
    </row>
    <row r="2095">
      <c r="A2095" s="139" t="str">
        <f>IFERROR(__xludf.DUMMYFUNCTION("""COMPUTED_VALUE"""),"e")</f>
        <v>e</v>
      </c>
      <c r="B2095" s="139">
        <f>IFERROR(__xludf.DUMMYFUNCTION("""COMPUTED_VALUE"""),2.0250901E8)</f>
        <v>202509010</v>
      </c>
      <c r="C2095" s="139" t="str">
        <f>IFERROR(__xludf.DUMMYFUNCTION("""COMPUTED_VALUE"""),"c_kai_00002_isaoget_Normal_Blue_Normal_00000")</f>
        <v>c_kai_00002_isaoget_Normal_Blue_Normal_00000</v>
      </c>
      <c r="D2095" s="139" t="str">
        <f>IFERROR(__xludf.DUMMYFUNCTION("""COMPUTED_VALUE"""),"c_kai_00002_isaoget_Normal_Blue")</f>
        <v>c_kai_00002_isaoget_Normal_Blue</v>
      </c>
      <c r="E2095" s="139">
        <f>IFERROR(__xludf.DUMMYFUNCTION("""COMPUTED_VALUE"""),0.0)</f>
        <v>0</v>
      </c>
      <c r="F2095" s="139" t="str">
        <f>IFERROR(__xludf.DUMMYFUNCTION("""COMPUTED_VALUE"""),"Normal")</f>
        <v>Normal</v>
      </c>
      <c r="G2095" s="139"/>
      <c r="H2095" s="139"/>
      <c r="I2095" s="139">
        <f>IFERROR(__xludf.DUMMYFUNCTION("""COMPUTED_VALUE"""),75.0)</f>
        <v>75</v>
      </c>
      <c r="J2095" s="139">
        <f>IFERROR(__xludf.DUMMYFUNCTION("""COMPUTED_VALUE"""),27.0)</f>
        <v>27</v>
      </c>
      <c r="K2095" s="139">
        <f>IFERROR(__xludf.DUMMYFUNCTION("""COMPUTED_VALUE"""),100.0)</f>
        <v>100</v>
      </c>
      <c r="L2095" s="139"/>
      <c r="M2095" s="139"/>
      <c r="N2095" s="139"/>
    </row>
    <row r="2096">
      <c r="A2096" s="139" t="str">
        <f>IFERROR(__xludf.DUMMYFUNCTION("""COMPUTED_VALUE"""),"e")</f>
        <v>e</v>
      </c>
      <c r="B2096" s="139">
        <f>IFERROR(__xludf.DUMMYFUNCTION("""COMPUTED_VALUE"""),2.0250901E8)</f>
        <v>202509010</v>
      </c>
      <c r="C2096" s="139" t="str">
        <f>IFERROR(__xludf.DUMMYFUNCTION("""COMPUTED_VALUE"""),"c_kai_00002_isaoget_Normal_Blue_Special_00001")</f>
        <v>c_kai_00002_isaoget_Normal_Blue_Special_00001</v>
      </c>
      <c r="D2096" s="139" t="str">
        <f>IFERROR(__xludf.DUMMYFUNCTION("""COMPUTED_VALUE"""),"c_kai_00002_isaoget_Normal_Blue")</f>
        <v>c_kai_00002_isaoget_Normal_Blue</v>
      </c>
      <c r="E2096" s="139">
        <f>IFERROR(__xludf.DUMMYFUNCTION("""COMPUTED_VALUE"""),0.0)</f>
        <v>0</v>
      </c>
      <c r="F2096" s="139" t="str">
        <f>IFERROR(__xludf.DUMMYFUNCTION("""COMPUTED_VALUE"""),"Special")</f>
        <v>Special</v>
      </c>
      <c r="G2096" s="139"/>
      <c r="H2096" s="139"/>
      <c r="I2096" s="139">
        <f>IFERROR(__xludf.DUMMYFUNCTION("""COMPUTED_VALUE"""),120.0)</f>
        <v>120</v>
      </c>
      <c r="J2096" s="139">
        <f>IFERROR(__xludf.DUMMYFUNCTION("""COMPUTED_VALUE"""),0.0)</f>
        <v>0</v>
      </c>
      <c r="K2096" s="139">
        <f>IFERROR(__xludf.DUMMYFUNCTION("""COMPUTED_VALUE"""),0.0)</f>
        <v>0</v>
      </c>
      <c r="L2096" s="139"/>
      <c r="M2096" s="139"/>
      <c r="N2096" s="139"/>
    </row>
    <row r="2097">
      <c r="A2097" s="139" t="str">
        <f>IFERROR(__xludf.DUMMYFUNCTION("""COMPUTED_VALUE"""),"e")</f>
        <v>e</v>
      </c>
      <c r="B2097" s="139">
        <f>IFERROR(__xludf.DUMMYFUNCTION("""COMPUTED_VALUE"""),2.0250901E8)</f>
        <v>202509010</v>
      </c>
      <c r="C2097" s="139" t="str">
        <f>IFERROR(__xludf.DUMMYFUNCTION("""COMPUTED_VALUE"""),"c_kai_00002_isaoget_Boss_Blue_Normal_00000")</f>
        <v>c_kai_00002_isaoget_Boss_Blue_Normal_00000</v>
      </c>
      <c r="D2097" s="139" t="str">
        <f>IFERROR(__xludf.DUMMYFUNCTION("""COMPUTED_VALUE"""),"c_kai_00002_isaoget_Boss_Blue")</f>
        <v>c_kai_00002_isaoget_Boss_Blue</v>
      </c>
      <c r="E2097" s="139">
        <f>IFERROR(__xludf.DUMMYFUNCTION("""COMPUTED_VALUE"""),0.0)</f>
        <v>0</v>
      </c>
      <c r="F2097" s="139" t="str">
        <f>IFERROR(__xludf.DUMMYFUNCTION("""COMPUTED_VALUE"""),"Normal")</f>
        <v>Normal</v>
      </c>
      <c r="G2097" s="139"/>
      <c r="H2097" s="139"/>
      <c r="I2097" s="139">
        <f>IFERROR(__xludf.DUMMYFUNCTION("""COMPUTED_VALUE"""),75.0)</f>
        <v>75</v>
      </c>
      <c r="J2097" s="139">
        <f>IFERROR(__xludf.DUMMYFUNCTION("""COMPUTED_VALUE"""),27.0)</f>
        <v>27</v>
      </c>
      <c r="K2097" s="139">
        <f>IFERROR(__xludf.DUMMYFUNCTION("""COMPUTED_VALUE"""),100.0)</f>
        <v>100</v>
      </c>
      <c r="L2097" s="139"/>
      <c r="M2097" s="139"/>
      <c r="N2097" s="139"/>
    </row>
    <row r="2098">
      <c r="A2098" s="139" t="str">
        <f>IFERROR(__xludf.DUMMYFUNCTION("""COMPUTED_VALUE"""),"e")</f>
        <v>e</v>
      </c>
      <c r="B2098" s="139">
        <f>IFERROR(__xludf.DUMMYFUNCTION("""COMPUTED_VALUE"""),2.0250901E8)</f>
        <v>202509010</v>
      </c>
      <c r="C2098" s="139" t="str">
        <f>IFERROR(__xludf.DUMMYFUNCTION("""COMPUTED_VALUE"""),"c_kai_00002_isaoget_Boss_Blue_Special_00001")</f>
        <v>c_kai_00002_isaoget_Boss_Blue_Special_00001</v>
      </c>
      <c r="D2098" s="139" t="str">
        <f>IFERROR(__xludf.DUMMYFUNCTION("""COMPUTED_VALUE"""),"c_kai_00002_isaoget_Boss_Blue")</f>
        <v>c_kai_00002_isaoget_Boss_Blue</v>
      </c>
      <c r="E2098" s="139">
        <f>IFERROR(__xludf.DUMMYFUNCTION("""COMPUTED_VALUE"""),0.0)</f>
        <v>0</v>
      </c>
      <c r="F2098" s="139" t="str">
        <f>IFERROR(__xludf.DUMMYFUNCTION("""COMPUTED_VALUE"""),"Special")</f>
        <v>Special</v>
      </c>
      <c r="G2098" s="139"/>
      <c r="H2098" s="139"/>
      <c r="I2098" s="139">
        <f>IFERROR(__xludf.DUMMYFUNCTION("""COMPUTED_VALUE"""),120.0)</f>
        <v>120</v>
      </c>
      <c r="J2098" s="139">
        <f>IFERROR(__xludf.DUMMYFUNCTION("""COMPUTED_VALUE"""),0.0)</f>
        <v>0</v>
      </c>
      <c r="K2098" s="139">
        <f>IFERROR(__xludf.DUMMYFUNCTION("""COMPUTED_VALUE"""),0.0)</f>
        <v>0</v>
      </c>
      <c r="L2098" s="139"/>
      <c r="M2098" s="139"/>
      <c r="N2098" s="139"/>
    </row>
    <row r="2099">
      <c r="A2099" s="139" t="str">
        <f>IFERROR(__xludf.DUMMYFUNCTION("""COMPUTED_VALUE"""),"e")</f>
        <v>e</v>
      </c>
      <c r="B2099" s="139">
        <f>IFERROR(__xludf.DUMMYFUNCTION("""COMPUTED_VALUE"""),2.0250901E8)</f>
        <v>202509010</v>
      </c>
      <c r="C2099" s="139" t="str">
        <f>IFERROR(__xludf.DUMMYFUNCTION("""COMPUTED_VALUE"""),"c_kai_00002_isaoget_Boss_Blue_Appearance_00002")</f>
        <v>c_kai_00002_isaoget_Boss_Blue_Appearance_00002</v>
      </c>
      <c r="D2099" s="139" t="str">
        <f>IFERROR(__xludf.DUMMYFUNCTION("""COMPUTED_VALUE"""),"c_kai_00002_isaoget_Boss_Blue")</f>
        <v>c_kai_00002_isaoget_Boss_Blue</v>
      </c>
      <c r="E2099" s="139">
        <f>IFERROR(__xludf.DUMMYFUNCTION("""COMPUTED_VALUE"""),0.0)</f>
        <v>0</v>
      </c>
      <c r="F2099" s="139" t="str">
        <f>IFERROR(__xludf.DUMMYFUNCTION("""COMPUTED_VALUE"""),"Appearance")</f>
        <v>Appearance</v>
      </c>
      <c r="G2099" s="139"/>
      <c r="H2099" s="139"/>
      <c r="I2099" s="139">
        <f>IFERROR(__xludf.DUMMYFUNCTION("""COMPUTED_VALUE"""),50.0)</f>
        <v>50</v>
      </c>
      <c r="J2099" s="139">
        <f>IFERROR(__xludf.DUMMYFUNCTION("""COMPUTED_VALUE"""),25.0)</f>
        <v>25</v>
      </c>
      <c r="K2099" s="139">
        <f>IFERROR(__xludf.DUMMYFUNCTION("""COMPUTED_VALUE"""),0.0)</f>
        <v>0</v>
      </c>
      <c r="L2099" s="139"/>
      <c r="M2099" s="139"/>
      <c r="N2099" s="139"/>
    </row>
    <row r="2100">
      <c r="A2100" s="139" t="str">
        <f>IFERROR(__xludf.DUMMYFUNCTION("""COMPUTED_VALUE"""),"e")</f>
        <v>e</v>
      </c>
      <c r="B2100" s="139">
        <f>IFERROR(__xludf.DUMMYFUNCTION("""COMPUTED_VALUE"""),2.0250901E8)</f>
        <v>202509010</v>
      </c>
      <c r="C2100" s="139" t="str">
        <f>IFERROR(__xludf.DUMMYFUNCTION("""COMPUTED_VALUE"""),"e_kai_00101_eventchallenge01_Normal_Colorless_Normal_00000")</f>
        <v>e_kai_00101_eventchallenge01_Normal_Colorless_Normal_00000</v>
      </c>
      <c r="D2100" s="139" t="str">
        <f>IFERROR(__xludf.DUMMYFUNCTION("""COMPUTED_VALUE"""),"e_kai_00101_eventchallenge01_Normal_Colorless")</f>
        <v>e_kai_00101_eventchallenge01_Normal_Colorless</v>
      </c>
      <c r="E2100" s="139">
        <f>IFERROR(__xludf.DUMMYFUNCTION("""COMPUTED_VALUE"""),0.0)</f>
        <v>0</v>
      </c>
      <c r="F2100" s="139" t="str">
        <f>IFERROR(__xludf.DUMMYFUNCTION("""COMPUTED_VALUE"""),"Normal")</f>
        <v>Normal</v>
      </c>
      <c r="G2100" s="139"/>
      <c r="H2100" s="139"/>
      <c r="I2100" s="139">
        <f>IFERROR(__xludf.DUMMYFUNCTION("""COMPUTED_VALUE"""),62.0)</f>
        <v>62</v>
      </c>
      <c r="J2100" s="139">
        <f>IFERROR(__xludf.DUMMYFUNCTION("""COMPUTED_VALUE"""),28.0)</f>
        <v>28</v>
      </c>
      <c r="K2100" s="139">
        <f>IFERROR(__xludf.DUMMYFUNCTION("""COMPUTED_VALUE"""),50.0)</f>
        <v>50</v>
      </c>
      <c r="L2100" s="139"/>
      <c r="M2100" s="139"/>
      <c r="N2100" s="139"/>
    </row>
    <row r="2101">
      <c r="A2101" s="139" t="str">
        <f>IFERROR(__xludf.DUMMYFUNCTION("""COMPUTED_VALUE"""),"e")</f>
        <v>e</v>
      </c>
      <c r="B2101" s="139">
        <f>IFERROR(__xludf.DUMMYFUNCTION("""COMPUTED_VALUE"""),2.0250901E8)</f>
        <v>202509010</v>
      </c>
      <c r="C2101" s="139" t="str">
        <f>IFERROR(__xludf.DUMMYFUNCTION("""COMPUTED_VALUE"""),"e_kai_00101_eventchallenge01_Normal_Blue_Normal_00000")</f>
        <v>e_kai_00101_eventchallenge01_Normal_Blue_Normal_00000</v>
      </c>
      <c r="D2101" s="139" t="str">
        <f>IFERROR(__xludf.DUMMYFUNCTION("""COMPUTED_VALUE"""),"e_kai_00101_eventchallenge01_Normal_Blue")</f>
        <v>e_kai_00101_eventchallenge01_Normal_Blue</v>
      </c>
      <c r="E2101" s="139">
        <f>IFERROR(__xludf.DUMMYFUNCTION("""COMPUTED_VALUE"""),0.0)</f>
        <v>0</v>
      </c>
      <c r="F2101" s="139" t="str">
        <f>IFERROR(__xludf.DUMMYFUNCTION("""COMPUTED_VALUE"""),"Normal")</f>
        <v>Normal</v>
      </c>
      <c r="G2101" s="139"/>
      <c r="H2101" s="139"/>
      <c r="I2101" s="139">
        <f>IFERROR(__xludf.DUMMYFUNCTION("""COMPUTED_VALUE"""),62.0)</f>
        <v>62</v>
      </c>
      <c r="J2101" s="139">
        <f>IFERROR(__xludf.DUMMYFUNCTION("""COMPUTED_VALUE"""),28.0)</f>
        <v>28</v>
      </c>
      <c r="K2101" s="139">
        <f>IFERROR(__xludf.DUMMYFUNCTION("""COMPUTED_VALUE"""),75.0)</f>
        <v>75</v>
      </c>
      <c r="L2101" s="139"/>
      <c r="M2101" s="139"/>
      <c r="N2101" s="139"/>
    </row>
    <row r="2102">
      <c r="A2102" s="139" t="str">
        <f>IFERROR(__xludf.DUMMYFUNCTION("""COMPUTED_VALUE"""),"e")</f>
        <v>e</v>
      </c>
      <c r="B2102" s="139">
        <f>IFERROR(__xludf.DUMMYFUNCTION("""COMPUTED_VALUE"""),2.0250901E8)</f>
        <v>202509010</v>
      </c>
      <c r="C2102" s="139" t="str">
        <f>IFERROR(__xludf.DUMMYFUNCTION("""COMPUTED_VALUE"""),"e_kai_00101_eventchallenge01_Normal_Green_Normal_00000")</f>
        <v>e_kai_00101_eventchallenge01_Normal_Green_Normal_00000</v>
      </c>
      <c r="D2102" s="139" t="str">
        <f>IFERROR(__xludf.DUMMYFUNCTION("""COMPUTED_VALUE"""),"e_kai_00101_eventchallenge01_Normal_Green")</f>
        <v>e_kai_00101_eventchallenge01_Normal_Green</v>
      </c>
      <c r="E2102" s="139">
        <f>IFERROR(__xludf.DUMMYFUNCTION("""COMPUTED_VALUE"""),0.0)</f>
        <v>0</v>
      </c>
      <c r="F2102" s="139" t="str">
        <f>IFERROR(__xludf.DUMMYFUNCTION("""COMPUTED_VALUE"""),"Normal")</f>
        <v>Normal</v>
      </c>
      <c r="G2102" s="139"/>
      <c r="H2102" s="139"/>
      <c r="I2102" s="139">
        <f>IFERROR(__xludf.DUMMYFUNCTION("""COMPUTED_VALUE"""),62.0)</f>
        <v>62</v>
      </c>
      <c r="J2102" s="139">
        <f>IFERROR(__xludf.DUMMYFUNCTION("""COMPUTED_VALUE"""),28.0)</f>
        <v>28</v>
      </c>
      <c r="K2102" s="139">
        <f>IFERROR(__xludf.DUMMYFUNCTION("""COMPUTED_VALUE"""),75.0)</f>
        <v>75</v>
      </c>
      <c r="L2102" s="139"/>
      <c r="M2102" s="139"/>
      <c r="N2102" s="139"/>
    </row>
    <row r="2103">
      <c r="A2103" s="139" t="str">
        <f>IFERROR(__xludf.DUMMYFUNCTION("""COMPUTED_VALUE"""),"e")</f>
        <v>e</v>
      </c>
      <c r="B2103" s="139">
        <f>IFERROR(__xludf.DUMMYFUNCTION("""COMPUTED_VALUE"""),2.0250901E8)</f>
        <v>202509010</v>
      </c>
      <c r="C2103" s="139" t="str">
        <f>IFERROR(__xludf.DUMMYFUNCTION("""COMPUTED_VALUE"""),"e_kai_00101_eventchallenge01_Normal_Red_Normal_00000")</f>
        <v>e_kai_00101_eventchallenge01_Normal_Red_Normal_00000</v>
      </c>
      <c r="D2103" s="139" t="str">
        <f>IFERROR(__xludf.DUMMYFUNCTION("""COMPUTED_VALUE"""),"e_kai_00101_eventchallenge01_Normal_Red")</f>
        <v>e_kai_00101_eventchallenge01_Normal_Red</v>
      </c>
      <c r="E2103" s="139">
        <f>IFERROR(__xludf.DUMMYFUNCTION("""COMPUTED_VALUE"""),0.0)</f>
        <v>0</v>
      </c>
      <c r="F2103" s="139" t="str">
        <f>IFERROR(__xludf.DUMMYFUNCTION("""COMPUTED_VALUE"""),"Normal")</f>
        <v>Normal</v>
      </c>
      <c r="G2103" s="139"/>
      <c r="H2103" s="139"/>
      <c r="I2103" s="139">
        <f>IFERROR(__xludf.DUMMYFUNCTION("""COMPUTED_VALUE"""),62.0)</f>
        <v>62</v>
      </c>
      <c r="J2103" s="139">
        <f>IFERROR(__xludf.DUMMYFUNCTION("""COMPUTED_VALUE"""),28.0)</f>
        <v>28</v>
      </c>
      <c r="K2103" s="139">
        <f>IFERROR(__xludf.DUMMYFUNCTION("""COMPUTED_VALUE"""),75.0)</f>
        <v>75</v>
      </c>
      <c r="L2103" s="139"/>
      <c r="M2103" s="139"/>
      <c r="N2103" s="139"/>
    </row>
    <row r="2104">
      <c r="A2104" s="139" t="str">
        <f>IFERROR(__xludf.DUMMYFUNCTION("""COMPUTED_VALUE"""),"e")</f>
        <v>e</v>
      </c>
      <c r="B2104" s="139">
        <f>IFERROR(__xludf.DUMMYFUNCTION("""COMPUTED_VALUE"""),2.0250901E8)</f>
        <v>202509010</v>
      </c>
      <c r="C2104" s="139" t="str">
        <f>IFERROR(__xludf.DUMMYFUNCTION("""COMPUTED_VALUE"""),"e_kai_00101_eventchallenge01_Normal_Yellow_Normal_00000")</f>
        <v>e_kai_00101_eventchallenge01_Normal_Yellow_Normal_00000</v>
      </c>
      <c r="D2104" s="139" t="str">
        <f>IFERROR(__xludf.DUMMYFUNCTION("""COMPUTED_VALUE"""),"e_kai_00101_eventchallenge01_Normal_Yellow")</f>
        <v>e_kai_00101_eventchallenge01_Normal_Yellow</v>
      </c>
      <c r="E2104" s="139">
        <f>IFERROR(__xludf.DUMMYFUNCTION("""COMPUTED_VALUE"""),0.0)</f>
        <v>0</v>
      </c>
      <c r="F2104" s="139" t="str">
        <f>IFERROR(__xludf.DUMMYFUNCTION("""COMPUTED_VALUE"""),"Normal")</f>
        <v>Normal</v>
      </c>
      <c r="G2104" s="139"/>
      <c r="H2104" s="139"/>
      <c r="I2104" s="139">
        <f>IFERROR(__xludf.DUMMYFUNCTION("""COMPUTED_VALUE"""),62.0)</f>
        <v>62</v>
      </c>
      <c r="J2104" s="139">
        <f>IFERROR(__xludf.DUMMYFUNCTION("""COMPUTED_VALUE"""),28.0)</f>
        <v>28</v>
      </c>
      <c r="K2104" s="139">
        <f>IFERROR(__xludf.DUMMYFUNCTION("""COMPUTED_VALUE"""),75.0)</f>
        <v>75</v>
      </c>
      <c r="L2104" s="139"/>
      <c r="M2104" s="139"/>
      <c r="N2104" s="139"/>
    </row>
    <row r="2105">
      <c r="A2105" s="139" t="str">
        <f>IFERROR(__xludf.DUMMYFUNCTION("""COMPUTED_VALUE"""),"e")</f>
        <v>e</v>
      </c>
      <c r="B2105" s="139">
        <f>IFERROR(__xludf.DUMMYFUNCTION("""COMPUTED_VALUE"""),2.0250901E8)</f>
        <v>202509010</v>
      </c>
      <c r="C2105" s="139" t="str">
        <f>IFERROR(__xludf.DUMMYFUNCTION("""COMPUTED_VALUE"""),"e_kai_00001_eventchallenge01_Boss_Blue_Normal_00000")</f>
        <v>e_kai_00001_eventchallenge01_Boss_Blue_Normal_00000</v>
      </c>
      <c r="D2105" s="139" t="str">
        <f>IFERROR(__xludf.DUMMYFUNCTION("""COMPUTED_VALUE"""),"e_kai_00001_eventchallenge01_Boss_Blue")</f>
        <v>e_kai_00001_eventchallenge01_Boss_Blue</v>
      </c>
      <c r="E2105" s="139">
        <f>IFERROR(__xludf.DUMMYFUNCTION("""COMPUTED_VALUE"""),0.0)</f>
        <v>0</v>
      </c>
      <c r="F2105" s="139" t="str">
        <f>IFERROR(__xludf.DUMMYFUNCTION("""COMPUTED_VALUE"""),"Normal")</f>
        <v>Normal</v>
      </c>
      <c r="G2105" s="139"/>
      <c r="H2105" s="139"/>
      <c r="I2105" s="139">
        <f>IFERROR(__xludf.DUMMYFUNCTION("""COMPUTED_VALUE"""),117.0)</f>
        <v>117</v>
      </c>
      <c r="J2105" s="139">
        <f>IFERROR(__xludf.DUMMYFUNCTION("""COMPUTED_VALUE"""),50.0)</f>
        <v>50</v>
      </c>
      <c r="K2105" s="139">
        <f>IFERROR(__xludf.DUMMYFUNCTION("""COMPUTED_VALUE"""),150.0)</f>
        <v>150</v>
      </c>
      <c r="L2105" s="139"/>
      <c r="M2105" s="139"/>
      <c r="N2105" s="139"/>
    </row>
    <row r="2106">
      <c r="A2106" s="139" t="str">
        <f>IFERROR(__xludf.DUMMYFUNCTION("""COMPUTED_VALUE"""),"e")</f>
        <v>e</v>
      </c>
      <c r="B2106" s="139">
        <f>IFERROR(__xludf.DUMMYFUNCTION("""COMPUTED_VALUE"""),2.0250901E8)</f>
        <v>202509010</v>
      </c>
      <c r="C2106" s="139" t="str">
        <f>IFERROR(__xludf.DUMMYFUNCTION("""COMPUTED_VALUE"""),"e_kai_00001_eventchallenge01_Boss_Blue_Appearance_00001")</f>
        <v>e_kai_00001_eventchallenge01_Boss_Blue_Appearance_00001</v>
      </c>
      <c r="D2106" s="139" t="str">
        <f>IFERROR(__xludf.DUMMYFUNCTION("""COMPUTED_VALUE"""),"e_kai_00001_eventchallenge01_Boss_Blue")</f>
        <v>e_kai_00001_eventchallenge01_Boss_Blue</v>
      </c>
      <c r="E2106" s="139">
        <f>IFERROR(__xludf.DUMMYFUNCTION("""COMPUTED_VALUE"""),0.0)</f>
        <v>0</v>
      </c>
      <c r="F2106" s="139" t="str">
        <f>IFERROR(__xludf.DUMMYFUNCTION("""COMPUTED_VALUE"""),"Appearance")</f>
        <v>Appearance</v>
      </c>
      <c r="G2106" s="139"/>
      <c r="H2106" s="139"/>
      <c r="I2106" s="139">
        <f>IFERROR(__xludf.DUMMYFUNCTION("""COMPUTED_VALUE"""),50.0)</f>
        <v>50</v>
      </c>
      <c r="J2106" s="139">
        <f>IFERROR(__xludf.DUMMYFUNCTION("""COMPUTED_VALUE"""),25.0)</f>
        <v>25</v>
      </c>
      <c r="K2106" s="139">
        <f>IFERROR(__xludf.DUMMYFUNCTION("""COMPUTED_VALUE"""),0.0)</f>
        <v>0</v>
      </c>
      <c r="L2106" s="139"/>
      <c r="M2106" s="139"/>
      <c r="N2106" s="139"/>
    </row>
    <row r="2107">
      <c r="A2107" s="139" t="str">
        <f>IFERROR(__xludf.DUMMYFUNCTION("""COMPUTED_VALUE"""),"e")</f>
        <v>e</v>
      </c>
      <c r="B2107" s="139">
        <f>IFERROR(__xludf.DUMMYFUNCTION("""COMPUTED_VALUE"""),2.0250901E8)</f>
        <v>202509010</v>
      </c>
      <c r="C2107" s="139" t="str">
        <f>IFERROR(__xludf.DUMMYFUNCTION("""COMPUTED_VALUE"""),"e_kai_00001_eventchallenge01_Boss_Red_Normal_00000")</f>
        <v>e_kai_00001_eventchallenge01_Boss_Red_Normal_00000</v>
      </c>
      <c r="D2107" s="139" t="str">
        <f>IFERROR(__xludf.DUMMYFUNCTION("""COMPUTED_VALUE"""),"e_kai_00001_eventchallenge01_Boss_Red")</f>
        <v>e_kai_00001_eventchallenge01_Boss_Red</v>
      </c>
      <c r="E2107" s="139">
        <f>IFERROR(__xludf.DUMMYFUNCTION("""COMPUTED_VALUE"""),0.0)</f>
        <v>0</v>
      </c>
      <c r="F2107" s="139" t="str">
        <f>IFERROR(__xludf.DUMMYFUNCTION("""COMPUTED_VALUE"""),"Normal")</f>
        <v>Normal</v>
      </c>
      <c r="G2107" s="139"/>
      <c r="H2107" s="139"/>
      <c r="I2107" s="139">
        <f>IFERROR(__xludf.DUMMYFUNCTION("""COMPUTED_VALUE"""),117.0)</f>
        <v>117</v>
      </c>
      <c r="J2107" s="139">
        <f>IFERROR(__xludf.DUMMYFUNCTION("""COMPUTED_VALUE"""),50.0)</f>
        <v>50</v>
      </c>
      <c r="K2107" s="139">
        <f>IFERROR(__xludf.DUMMYFUNCTION("""COMPUTED_VALUE"""),100.0)</f>
        <v>100</v>
      </c>
      <c r="L2107" s="139"/>
      <c r="M2107" s="139"/>
      <c r="N2107" s="139"/>
    </row>
    <row r="2108">
      <c r="A2108" s="139" t="str">
        <f>IFERROR(__xludf.DUMMYFUNCTION("""COMPUTED_VALUE"""),"e")</f>
        <v>e</v>
      </c>
      <c r="B2108" s="139">
        <f>IFERROR(__xludf.DUMMYFUNCTION("""COMPUTED_VALUE"""),2.0250901E8)</f>
        <v>202509010</v>
      </c>
      <c r="C2108" s="139" t="str">
        <f>IFERROR(__xludf.DUMMYFUNCTION("""COMPUTED_VALUE"""),"e_kai_00001_eventchallenge01_Boss_Red_Appearance_00001")</f>
        <v>e_kai_00001_eventchallenge01_Boss_Red_Appearance_00001</v>
      </c>
      <c r="D2108" s="139" t="str">
        <f>IFERROR(__xludf.DUMMYFUNCTION("""COMPUTED_VALUE"""),"e_kai_00001_eventchallenge01_Boss_Red")</f>
        <v>e_kai_00001_eventchallenge01_Boss_Red</v>
      </c>
      <c r="E2108" s="139">
        <f>IFERROR(__xludf.DUMMYFUNCTION("""COMPUTED_VALUE"""),0.0)</f>
        <v>0</v>
      </c>
      <c r="F2108" s="139" t="str">
        <f>IFERROR(__xludf.DUMMYFUNCTION("""COMPUTED_VALUE"""),"Appearance")</f>
        <v>Appearance</v>
      </c>
      <c r="G2108" s="139"/>
      <c r="H2108" s="139"/>
      <c r="I2108" s="139">
        <f>IFERROR(__xludf.DUMMYFUNCTION("""COMPUTED_VALUE"""),50.0)</f>
        <v>50</v>
      </c>
      <c r="J2108" s="139">
        <f>IFERROR(__xludf.DUMMYFUNCTION("""COMPUTED_VALUE"""),25.0)</f>
        <v>25</v>
      </c>
      <c r="K2108" s="139">
        <f>IFERROR(__xludf.DUMMYFUNCTION("""COMPUTED_VALUE"""),0.0)</f>
        <v>0</v>
      </c>
      <c r="L2108" s="139"/>
      <c r="M2108" s="139"/>
      <c r="N2108" s="139"/>
    </row>
    <row r="2109">
      <c r="A2109" s="139" t="str">
        <f>IFERROR(__xludf.DUMMYFUNCTION("""COMPUTED_VALUE"""),"e")</f>
        <v>e</v>
      </c>
      <c r="B2109" s="139">
        <f>IFERROR(__xludf.DUMMYFUNCTION("""COMPUTED_VALUE"""),2.0250901E8)</f>
        <v>202509010</v>
      </c>
      <c r="C2109" s="139" t="str">
        <f>IFERROR(__xludf.DUMMYFUNCTION("""COMPUTED_VALUE"""),"e_kai_00001_eventchallenge01_Normal_Yellow_Normal_00000")</f>
        <v>e_kai_00001_eventchallenge01_Normal_Yellow_Normal_00000</v>
      </c>
      <c r="D2109" s="139" t="str">
        <f>IFERROR(__xludf.DUMMYFUNCTION("""COMPUTED_VALUE"""),"e_kai_00001_eventchallenge01_Normal_Yellow")</f>
        <v>e_kai_00001_eventchallenge01_Normal_Yellow</v>
      </c>
      <c r="E2109" s="139">
        <f>IFERROR(__xludf.DUMMYFUNCTION("""COMPUTED_VALUE"""),0.0)</f>
        <v>0</v>
      </c>
      <c r="F2109" s="139" t="str">
        <f>IFERROR(__xludf.DUMMYFUNCTION("""COMPUTED_VALUE"""),"Normal")</f>
        <v>Normal</v>
      </c>
      <c r="G2109" s="139"/>
      <c r="H2109" s="139"/>
      <c r="I2109" s="139">
        <f>IFERROR(__xludf.DUMMYFUNCTION("""COMPUTED_VALUE"""),117.0)</f>
        <v>117</v>
      </c>
      <c r="J2109" s="139">
        <f>IFERROR(__xludf.DUMMYFUNCTION("""COMPUTED_VALUE"""),50.0)</f>
        <v>50</v>
      </c>
      <c r="K2109" s="139">
        <f>IFERROR(__xludf.DUMMYFUNCTION("""COMPUTED_VALUE"""),100.0)</f>
        <v>100</v>
      </c>
      <c r="L2109" s="139"/>
      <c r="M2109" s="139"/>
      <c r="N2109" s="139"/>
    </row>
    <row r="2110">
      <c r="A2110" s="139" t="str">
        <f>IFERROR(__xludf.DUMMYFUNCTION("""COMPUTED_VALUE"""),"e")</f>
        <v>e</v>
      </c>
      <c r="B2110" s="139">
        <f>IFERROR(__xludf.DUMMYFUNCTION("""COMPUTED_VALUE"""),2.0250901E8)</f>
        <v>202509010</v>
      </c>
      <c r="C2110" s="139" t="str">
        <f>IFERROR(__xludf.DUMMYFUNCTION("""COMPUTED_VALUE"""),"e_kai_00301_eventchallenge01_Boss_Green_Normal_00000")</f>
        <v>e_kai_00301_eventchallenge01_Boss_Green_Normal_00000</v>
      </c>
      <c r="D2110" s="139" t="str">
        <f>IFERROR(__xludf.DUMMYFUNCTION("""COMPUTED_VALUE"""),"e_kai_00301_eventchallenge01_Boss_Green")</f>
        <v>e_kai_00301_eventchallenge01_Boss_Green</v>
      </c>
      <c r="E2110" s="139">
        <f>IFERROR(__xludf.DUMMYFUNCTION("""COMPUTED_VALUE"""),0.0)</f>
        <v>0</v>
      </c>
      <c r="F2110" s="139" t="str">
        <f>IFERROR(__xludf.DUMMYFUNCTION("""COMPUTED_VALUE"""),"Normal")</f>
        <v>Normal</v>
      </c>
      <c r="G2110" s="139"/>
      <c r="H2110" s="139"/>
      <c r="I2110" s="139">
        <f>IFERROR(__xludf.DUMMYFUNCTION("""COMPUTED_VALUE"""),50.0)</f>
        <v>50</v>
      </c>
      <c r="J2110" s="139">
        <f>IFERROR(__xludf.DUMMYFUNCTION("""COMPUTED_VALUE"""),20.0)</f>
        <v>20</v>
      </c>
      <c r="K2110" s="139">
        <f>IFERROR(__xludf.DUMMYFUNCTION("""COMPUTED_VALUE"""),20.0)</f>
        <v>20</v>
      </c>
      <c r="L2110" s="139"/>
      <c r="M2110" s="139"/>
      <c r="N2110" s="139"/>
    </row>
    <row r="2111">
      <c r="A2111" s="139" t="str">
        <f>IFERROR(__xludf.DUMMYFUNCTION("""COMPUTED_VALUE"""),"e")</f>
        <v>e</v>
      </c>
      <c r="B2111" s="139">
        <f>IFERROR(__xludf.DUMMYFUNCTION("""COMPUTED_VALUE"""),2.0250901E8)</f>
        <v>202509010</v>
      </c>
      <c r="C2111" s="139" t="str">
        <f>IFERROR(__xludf.DUMMYFUNCTION("""COMPUTED_VALUE"""),"e_kai_00301_eventchallenge01_Boss_Green_Appearance_00001")</f>
        <v>e_kai_00301_eventchallenge01_Boss_Green_Appearance_00001</v>
      </c>
      <c r="D2111" s="139" t="str">
        <f>IFERROR(__xludf.DUMMYFUNCTION("""COMPUTED_VALUE"""),"e_kai_00301_eventchallenge01_Boss_Green")</f>
        <v>e_kai_00301_eventchallenge01_Boss_Green</v>
      </c>
      <c r="E2111" s="139">
        <f>IFERROR(__xludf.DUMMYFUNCTION("""COMPUTED_VALUE"""),0.0)</f>
        <v>0</v>
      </c>
      <c r="F2111" s="139" t="str">
        <f>IFERROR(__xludf.DUMMYFUNCTION("""COMPUTED_VALUE"""),"Appearance")</f>
        <v>Appearance</v>
      </c>
      <c r="G2111" s="139"/>
      <c r="H2111" s="139"/>
      <c r="I2111" s="139">
        <f>IFERROR(__xludf.DUMMYFUNCTION("""COMPUTED_VALUE"""),50.0)</f>
        <v>50</v>
      </c>
      <c r="J2111" s="139">
        <f>IFERROR(__xludf.DUMMYFUNCTION("""COMPUTED_VALUE"""),25.0)</f>
        <v>25</v>
      </c>
      <c r="K2111" s="139">
        <f>IFERROR(__xludf.DUMMYFUNCTION("""COMPUTED_VALUE"""),0.0)</f>
        <v>0</v>
      </c>
      <c r="L2111" s="139"/>
      <c r="M2111" s="139"/>
      <c r="N2111" s="139"/>
    </row>
    <row r="2112">
      <c r="A2112" s="139" t="str">
        <f>IFERROR(__xludf.DUMMYFUNCTION("""COMPUTED_VALUE"""),"e")</f>
        <v>e</v>
      </c>
      <c r="B2112" s="139">
        <f>IFERROR(__xludf.DUMMYFUNCTION("""COMPUTED_VALUE"""),2.0250901E8)</f>
        <v>202509010</v>
      </c>
      <c r="C2112" s="139" t="str">
        <f>IFERROR(__xludf.DUMMYFUNCTION("""COMPUTED_VALUE"""),"e_kai_00301_eventchallenge01_Boss_Yellow_Normal_00000")</f>
        <v>e_kai_00301_eventchallenge01_Boss_Yellow_Normal_00000</v>
      </c>
      <c r="D2112" s="139" t="str">
        <f>IFERROR(__xludf.DUMMYFUNCTION("""COMPUTED_VALUE"""),"e_kai_00301_eventchallenge01_Boss_Yellow")</f>
        <v>e_kai_00301_eventchallenge01_Boss_Yellow</v>
      </c>
      <c r="E2112" s="139">
        <f>IFERROR(__xludf.DUMMYFUNCTION("""COMPUTED_VALUE"""),0.0)</f>
        <v>0</v>
      </c>
      <c r="F2112" s="139" t="str">
        <f>IFERROR(__xludf.DUMMYFUNCTION("""COMPUTED_VALUE"""),"Normal")</f>
        <v>Normal</v>
      </c>
      <c r="G2112" s="139"/>
      <c r="H2112" s="139"/>
      <c r="I2112" s="139">
        <f>IFERROR(__xludf.DUMMYFUNCTION("""COMPUTED_VALUE"""),50.0)</f>
        <v>50</v>
      </c>
      <c r="J2112" s="139">
        <f>IFERROR(__xludf.DUMMYFUNCTION("""COMPUTED_VALUE"""),20.0)</f>
        <v>20</v>
      </c>
      <c r="K2112" s="139">
        <f>IFERROR(__xludf.DUMMYFUNCTION("""COMPUTED_VALUE"""),75.0)</f>
        <v>75</v>
      </c>
      <c r="L2112" s="139"/>
      <c r="M2112" s="139"/>
      <c r="N2112" s="139"/>
    </row>
    <row r="2113">
      <c r="A2113" s="139" t="str">
        <f>IFERROR(__xludf.DUMMYFUNCTION("""COMPUTED_VALUE"""),"e")</f>
        <v>e</v>
      </c>
      <c r="B2113" s="139">
        <f>IFERROR(__xludf.DUMMYFUNCTION("""COMPUTED_VALUE"""),2.0250901E8)</f>
        <v>202509010</v>
      </c>
      <c r="C2113" s="139" t="str">
        <f>IFERROR(__xludf.DUMMYFUNCTION("""COMPUTED_VALUE"""),"e_kai_00301_eventchallenge01_Boss_Yellow_Appearance_00001")</f>
        <v>e_kai_00301_eventchallenge01_Boss_Yellow_Appearance_00001</v>
      </c>
      <c r="D2113" s="139" t="str">
        <f>IFERROR(__xludf.DUMMYFUNCTION("""COMPUTED_VALUE"""),"e_kai_00301_eventchallenge01_Boss_Yellow")</f>
        <v>e_kai_00301_eventchallenge01_Boss_Yellow</v>
      </c>
      <c r="E2113" s="139">
        <f>IFERROR(__xludf.DUMMYFUNCTION("""COMPUTED_VALUE"""),0.0)</f>
        <v>0</v>
      </c>
      <c r="F2113" s="139" t="str">
        <f>IFERROR(__xludf.DUMMYFUNCTION("""COMPUTED_VALUE"""),"Appearance")</f>
        <v>Appearance</v>
      </c>
      <c r="G2113" s="139"/>
      <c r="H2113" s="139"/>
      <c r="I2113" s="139">
        <f>IFERROR(__xludf.DUMMYFUNCTION("""COMPUTED_VALUE"""),50.0)</f>
        <v>50</v>
      </c>
      <c r="J2113" s="139">
        <f>IFERROR(__xludf.DUMMYFUNCTION("""COMPUTED_VALUE"""),25.0)</f>
        <v>25</v>
      </c>
      <c r="K2113" s="139">
        <f>IFERROR(__xludf.DUMMYFUNCTION("""COMPUTED_VALUE"""),0.0)</f>
        <v>0</v>
      </c>
      <c r="L2113" s="139"/>
      <c r="M2113" s="139"/>
      <c r="N2113" s="139"/>
    </row>
    <row r="2114">
      <c r="A2114" s="139" t="str">
        <f>IFERROR(__xludf.DUMMYFUNCTION("""COMPUTED_VALUE"""),"e")</f>
        <v>e</v>
      </c>
      <c r="B2114" s="139">
        <f>IFERROR(__xludf.DUMMYFUNCTION("""COMPUTED_VALUE"""),2.0250901E8)</f>
        <v>202509010</v>
      </c>
      <c r="C2114" s="139" t="str">
        <f>IFERROR(__xludf.DUMMYFUNCTION("""COMPUTED_VALUE"""),"c_kai_00401_eventchallenge01_Boss_Red_Normal_00000")</f>
        <v>c_kai_00401_eventchallenge01_Boss_Red_Normal_00000</v>
      </c>
      <c r="D2114" s="139" t="str">
        <f>IFERROR(__xludf.DUMMYFUNCTION("""COMPUTED_VALUE"""),"c_kai_00401_eventchallenge01_Boss_Red")</f>
        <v>c_kai_00401_eventchallenge01_Boss_Red</v>
      </c>
      <c r="E2114" s="139">
        <f>IFERROR(__xludf.DUMMYFUNCTION("""COMPUTED_VALUE"""),0.0)</f>
        <v>0</v>
      </c>
      <c r="F2114" s="139" t="str">
        <f>IFERROR(__xludf.DUMMYFUNCTION("""COMPUTED_VALUE"""),"Normal")</f>
        <v>Normal</v>
      </c>
      <c r="G2114" s="139"/>
      <c r="H2114" s="139"/>
      <c r="I2114" s="139">
        <f>IFERROR(__xludf.DUMMYFUNCTION("""COMPUTED_VALUE"""),64.0)</f>
        <v>64</v>
      </c>
      <c r="J2114" s="139">
        <f>IFERROR(__xludf.DUMMYFUNCTION("""COMPUTED_VALUE"""),22.0)</f>
        <v>22</v>
      </c>
      <c r="K2114" s="139">
        <f>IFERROR(__xludf.DUMMYFUNCTION("""COMPUTED_VALUE"""),75.0)</f>
        <v>75</v>
      </c>
      <c r="L2114" s="139"/>
      <c r="M2114" s="139"/>
      <c r="N2114" s="139"/>
    </row>
    <row r="2115">
      <c r="A2115" s="139" t="str">
        <f>IFERROR(__xludf.DUMMYFUNCTION("""COMPUTED_VALUE"""),"e")</f>
        <v>e</v>
      </c>
      <c r="B2115" s="139">
        <f>IFERROR(__xludf.DUMMYFUNCTION("""COMPUTED_VALUE"""),2.0250901E8)</f>
        <v>202509010</v>
      </c>
      <c r="C2115" s="139" t="str">
        <f>IFERROR(__xludf.DUMMYFUNCTION("""COMPUTED_VALUE"""),"c_kai_00401_eventchallenge01_Boss_Red_Special_00001")</f>
        <v>c_kai_00401_eventchallenge01_Boss_Red_Special_00001</v>
      </c>
      <c r="D2115" s="139" t="str">
        <f>IFERROR(__xludf.DUMMYFUNCTION("""COMPUTED_VALUE"""),"c_kai_00401_eventchallenge01_Boss_Red")</f>
        <v>c_kai_00401_eventchallenge01_Boss_Red</v>
      </c>
      <c r="E2115" s="139">
        <f>IFERROR(__xludf.DUMMYFUNCTION("""COMPUTED_VALUE"""),0.0)</f>
        <v>0</v>
      </c>
      <c r="F2115" s="139" t="str">
        <f>IFERROR(__xludf.DUMMYFUNCTION("""COMPUTED_VALUE"""),"Special")</f>
        <v>Special</v>
      </c>
      <c r="G2115" s="139"/>
      <c r="H2115" s="139"/>
      <c r="I2115" s="139">
        <f>IFERROR(__xludf.DUMMYFUNCTION("""COMPUTED_VALUE"""),134.0)</f>
        <v>134</v>
      </c>
      <c r="J2115" s="139">
        <f>IFERROR(__xludf.DUMMYFUNCTION("""COMPUTED_VALUE"""),0.0)</f>
        <v>0</v>
      </c>
      <c r="K2115" s="139">
        <f>IFERROR(__xludf.DUMMYFUNCTION("""COMPUTED_VALUE"""),0.0)</f>
        <v>0</v>
      </c>
      <c r="L2115" s="139"/>
      <c r="M2115" s="139"/>
      <c r="N2115" s="139"/>
    </row>
    <row r="2116">
      <c r="A2116" s="139" t="str">
        <f>IFERROR(__xludf.DUMMYFUNCTION("""COMPUTED_VALUE"""),"e")</f>
        <v>e</v>
      </c>
      <c r="B2116" s="139">
        <f>IFERROR(__xludf.DUMMYFUNCTION("""COMPUTED_VALUE"""),2.0250901E8)</f>
        <v>202509010</v>
      </c>
      <c r="C2116" s="139" t="str">
        <f>IFERROR(__xludf.DUMMYFUNCTION("""COMPUTED_VALUE"""),"c_kai_00401_eventchallenge01_Boss_Red_Appearance_00002")</f>
        <v>c_kai_00401_eventchallenge01_Boss_Red_Appearance_00002</v>
      </c>
      <c r="D2116" s="139" t="str">
        <f>IFERROR(__xludf.DUMMYFUNCTION("""COMPUTED_VALUE"""),"c_kai_00401_eventchallenge01_Boss_Red")</f>
        <v>c_kai_00401_eventchallenge01_Boss_Red</v>
      </c>
      <c r="E2116" s="139">
        <f>IFERROR(__xludf.DUMMYFUNCTION("""COMPUTED_VALUE"""),0.0)</f>
        <v>0</v>
      </c>
      <c r="F2116" s="139" t="str">
        <f>IFERROR(__xludf.DUMMYFUNCTION("""COMPUTED_VALUE"""),"Appearance")</f>
        <v>Appearance</v>
      </c>
      <c r="G2116" s="139"/>
      <c r="H2116" s="139"/>
      <c r="I2116" s="139">
        <f>IFERROR(__xludf.DUMMYFUNCTION("""COMPUTED_VALUE"""),50.0)</f>
        <v>50</v>
      </c>
      <c r="J2116" s="139">
        <f>IFERROR(__xludf.DUMMYFUNCTION("""COMPUTED_VALUE"""),25.0)</f>
        <v>25</v>
      </c>
      <c r="K2116" s="139">
        <f>IFERROR(__xludf.DUMMYFUNCTION("""COMPUTED_VALUE"""),0.0)</f>
        <v>0</v>
      </c>
      <c r="L2116" s="139"/>
      <c r="M2116" s="139"/>
      <c r="N2116" s="139"/>
    </row>
    <row r="2117">
      <c r="A2117" s="139" t="str">
        <f>IFERROR(__xludf.DUMMYFUNCTION("""COMPUTED_VALUE"""),"e")</f>
        <v>e</v>
      </c>
      <c r="B2117" s="139">
        <f>IFERROR(__xludf.DUMMYFUNCTION("""COMPUTED_VALUE"""),2.0250901E8)</f>
        <v>202509010</v>
      </c>
      <c r="C2117" s="139" t="str">
        <f>IFERROR(__xludf.DUMMYFUNCTION("""COMPUTED_VALUE"""),"c_kai_00201_eventchallenge01_Boss_Red_Normal_00000")</f>
        <v>c_kai_00201_eventchallenge01_Boss_Red_Normal_00000</v>
      </c>
      <c r="D2117" s="139" t="str">
        <f>IFERROR(__xludf.DUMMYFUNCTION("""COMPUTED_VALUE"""),"c_kai_00201_eventchallenge01_Boss_Red")</f>
        <v>c_kai_00201_eventchallenge01_Boss_Red</v>
      </c>
      <c r="E2117" s="139">
        <f>IFERROR(__xludf.DUMMYFUNCTION("""COMPUTED_VALUE"""),0.0)</f>
        <v>0</v>
      </c>
      <c r="F2117" s="139" t="str">
        <f>IFERROR(__xludf.DUMMYFUNCTION("""COMPUTED_VALUE"""),"Normal")</f>
        <v>Normal</v>
      </c>
      <c r="G2117" s="139"/>
      <c r="H2117" s="139"/>
      <c r="I2117" s="139">
        <f>IFERROR(__xludf.DUMMYFUNCTION("""COMPUTED_VALUE"""),75.0)</f>
        <v>75</v>
      </c>
      <c r="J2117" s="139">
        <f>IFERROR(__xludf.DUMMYFUNCTION("""COMPUTED_VALUE"""),38.0)</f>
        <v>38</v>
      </c>
      <c r="K2117" s="139">
        <f>IFERROR(__xludf.DUMMYFUNCTION("""COMPUTED_VALUE"""),100.0)</f>
        <v>100</v>
      </c>
      <c r="L2117" s="139"/>
      <c r="M2117" s="139"/>
      <c r="N2117" s="139"/>
    </row>
    <row r="2118">
      <c r="A2118" s="139" t="str">
        <f>IFERROR(__xludf.DUMMYFUNCTION("""COMPUTED_VALUE"""),"e")</f>
        <v>e</v>
      </c>
      <c r="B2118" s="139">
        <f>IFERROR(__xludf.DUMMYFUNCTION("""COMPUTED_VALUE"""),2.0250901E8)</f>
        <v>202509010</v>
      </c>
      <c r="C2118" s="139" t="str">
        <f>IFERROR(__xludf.DUMMYFUNCTION("""COMPUTED_VALUE"""),"c_kai_00201_eventchallenge01_Boss_Red_Special_00001")</f>
        <v>c_kai_00201_eventchallenge01_Boss_Red_Special_00001</v>
      </c>
      <c r="D2118" s="139" t="str">
        <f>IFERROR(__xludf.DUMMYFUNCTION("""COMPUTED_VALUE"""),"c_kai_00201_eventchallenge01_Boss_Red")</f>
        <v>c_kai_00201_eventchallenge01_Boss_Red</v>
      </c>
      <c r="E2118" s="139">
        <f>IFERROR(__xludf.DUMMYFUNCTION("""COMPUTED_VALUE"""),0.0)</f>
        <v>0</v>
      </c>
      <c r="F2118" s="139" t="str">
        <f>IFERROR(__xludf.DUMMYFUNCTION("""COMPUTED_VALUE"""),"Special")</f>
        <v>Special</v>
      </c>
      <c r="G2118" s="139"/>
      <c r="H2118" s="139"/>
      <c r="I2118" s="139">
        <f>IFERROR(__xludf.DUMMYFUNCTION("""COMPUTED_VALUE"""),221.0)</f>
        <v>221</v>
      </c>
      <c r="J2118" s="139">
        <f>IFERROR(__xludf.DUMMYFUNCTION("""COMPUTED_VALUE"""),0.0)</f>
        <v>0</v>
      </c>
      <c r="K2118" s="139">
        <f>IFERROR(__xludf.DUMMYFUNCTION("""COMPUTED_VALUE"""),0.0)</f>
        <v>0</v>
      </c>
      <c r="L2118" s="139"/>
      <c r="M2118" s="139"/>
      <c r="N2118" s="139"/>
    </row>
    <row r="2119">
      <c r="A2119" s="139" t="str">
        <f>IFERROR(__xludf.DUMMYFUNCTION("""COMPUTED_VALUE"""),"e")</f>
        <v>e</v>
      </c>
      <c r="B2119" s="139">
        <f>IFERROR(__xludf.DUMMYFUNCTION("""COMPUTED_VALUE"""),2.0250901E8)</f>
        <v>202509010</v>
      </c>
      <c r="C2119" s="139" t="str">
        <f>IFERROR(__xludf.DUMMYFUNCTION("""COMPUTED_VALUE"""),"c_kai_00201_eventchallenge01_Boss_Red_Appearance_00002")</f>
        <v>c_kai_00201_eventchallenge01_Boss_Red_Appearance_00002</v>
      </c>
      <c r="D2119" s="139" t="str">
        <f>IFERROR(__xludf.DUMMYFUNCTION("""COMPUTED_VALUE"""),"c_kai_00201_eventchallenge01_Boss_Red")</f>
        <v>c_kai_00201_eventchallenge01_Boss_Red</v>
      </c>
      <c r="E2119" s="139">
        <f>IFERROR(__xludf.DUMMYFUNCTION("""COMPUTED_VALUE"""),0.0)</f>
        <v>0</v>
      </c>
      <c r="F2119" s="139" t="str">
        <f>IFERROR(__xludf.DUMMYFUNCTION("""COMPUTED_VALUE"""),"Appearance")</f>
        <v>Appearance</v>
      </c>
      <c r="G2119" s="139"/>
      <c r="H2119" s="139"/>
      <c r="I2119" s="139">
        <f>IFERROR(__xludf.DUMMYFUNCTION("""COMPUTED_VALUE"""),50.0)</f>
        <v>50</v>
      </c>
      <c r="J2119" s="139">
        <f>IFERROR(__xludf.DUMMYFUNCTION("""COMPUTED_VALUE"""),25.0)</f>
        <v>25</v>
      </c>
      <c r="K2119" s="139">
        <f>IFERROR(__xludf.DUMMYFUNCTION("""COMPUTED_VALUE"""),0.0)</f>
        <v>0</v>
      </c>
      <c r="L2119" s="139"/>
      <c r="M2119" s="139"/>
      <c r="N2119" s="139"/>
    </row>
    <row r="2120">
      <c r="A2120" s="139" t="str">
        <f>IFERROR(__xludf.DUMMYFUNCTION("""COMPUTED_VALUE"""),"e")</f>
        <v>e</v>
      </c>
      <c r="B2120" s="139">
        <f>IFERROR(__xludf.DUMMYFUNCTION("""COMPUTED_VALUE"""),2.0250901E8)</f>
        <v>202509010</v>
      </c>
      <c r="C2120" s="139" t="str">
        <f>IFERROR(__xludf.DUMMYFUNCTION("""COMPUTED_VALUE"""),"e_kai_00301_savage01_Normal_Yellow_Normal_00000")</f>
        <v>e_kai_00301_savage01_Normal_Yellow_Normal_00000</v>
      </c>
      <c r="D2120" s="139" t="str">
        <f>IFERROR(__xludf.DUMMYFUNCTION("""COMPUTED_VALUE"""),"e_kai_00301_savage01_Normal_Yellow")</f>
        <v>e_kai_00301_savage01_Normal_Yellow</v>
      </c>
      <c r="E2120" s="139">
        <f>IFERROR(__xludf.DUMMYFUNCTION("""COMPUTED_VALUE"""),0.0)</f>
        <v>0</v>
      </c>
      <c r="F2120" s="139" t="str">
        <f>IFERROR(__xludf.DUMMYFUNCTION("""COMPUTED_VALUE"""),"Normal")</f>
        <v>Normal</v>
      </c>
      <c r="G2120" s="139"/>
      <c r="H2120" s="139"/>
      <c r="I2120" s="139">
        <f>IFERROR(__xludf.DUMMYFUNCTION("""COMPUTED_VALUE"""),50.0)</f>
        <v>50</v>
      </c>
      <c r="J2120" s="139">
        <f>IFERROR(__xludf.DUMMYFUNCTION("""COMPUTED_VALUE"""),20.0)</f>
        <v>20</v>
      </c>
      <c r="K2120" s="139">
        <f>IFERROR(__xludf.DUMMYFUNCTION("""COMPUTED_VALUE"""),75.0)</f>
        <v>75</v>
      </c>
      <c r="L2120" s="139"/>
      <c r="M2120" s="139"/>
      <c r="N2120" s="139"/>
    </row>
    <row r="2121">
      <c r="A2121" s="139" t="str">
        <f>IFERROR(__xludf.DUMMYFUNCTION("""COMPUTED_VALUE"""),"e")</f>
        <v>e</v>
      </c>
      <c r="B2121" s="139">
        <f>IFERROR(__xludf.DUMMYFUNCTION("""COMPUTED_VALUE"""),2.0250901E8)</f>
        <v>202509010</v>
      </c>
      <c r="C2121" s="139" t="str">
        <f>IFERROR(__xludf.DUMMYFUNCTION("""COMPUTED_VALUE"""),"e_kai_00201_savage01_Boss_Yellow_Normal_00000")</f>
        <v>e_kai_00201_savage01_Boss_Yellow_Normal_00000</v>
      </c>
      <c r="D2121" s="139" t="str">
        <f>IFERROR(__xludf.DUMMYFUNCTION("""COMPUTED_VALUE"""),"e_kai_00201_savage01_Boss_Yellow")</f>
        <v>e_kai_00201_savage01_Boss_Yellow</v>
      </c>
      <c r="E2121" s="139">
        <f>IFERROR(__xludf.DUMMYFUNCTION("""COMPUTED_VALUE"""),0.0)</f>
        <v>0</v>
      </c>
      <c r="F2121" s="139" t="str">
        <f>IFERROR(__xludf.DUMMYFUNCTION("""COMPUTED_VALUE"""),"Normal")</f>
        <v>Normal</v>
      </c>
      <c r="G2121" s="139"/>
      <c r="H2121" s="139"/>
      <c r="I2121" s="139">
        <f>IFERROR(__xludf.DUMMYFUNCTION("""COMPUTED_VALUE"""),124.0)</f>
        <v>124</v>
      </c>
      <c r="J2121" s="139">
        <f>IFERROR(__xludf.DUMMYFUNCTION("""COMPUTED_VALUE"""),63.0)</f>
        <v>63</v>
      </c>
      <c r="K2121" s="139">
        <f>IFERROR(__xludf.DUMMYFUNCTION("""COMPUTED_VALUE"""),125.0)</f>
        <v>125</v>
      </c>
      <c r="L2121" s="139"/>
      <c r="M2121" s="139"/>
      <c r="N2121" s="139"/>
    </row>
    <row r="2122">
      <c r="A2122" s="139" t="str">
        <f>IFERROR(__xludf.DUMMYFUNCTION("""COMPUTED_VALUE"""),"e")</f>
        <v>e</v>
      </c>
      <c r="B2122" s="139">
        <f>IFERROR(__xludf.DUMMYFUNCTION("""COMPUTED_VALUE"""),2.0250901E8)</f>
        <v>202509010</v>
      </c>
      <c r="C2122" s="139" t="str">
        <f>IFERROR(__xludf.DUMMYFUNCTION("""COMPUTED_VALUE"""),"e_kai_00201_savage01_Boss_Yellow_Appearance_00001")</f>
        <v>e_kai_00201_savage01_Boss_Yellow_Appearance_00001</v>
      </c>
      <c r="D2122" s="139" t="str">
        <f>IFERROR(__xludf.DUMMYFUNCTION("""COMPUTED_VALUE"""),"e_kai_00201_savage01_Boss_Yellow")</f>
        <v>e_kai_00201_savage01_Boss_Yellow</v>
      </c>
      <c r="E2122" s="139">
        <f>IFERROR(__xludf.DUMMYFUNCTION("""COMPUTED_VALUE"""),0.0)</f>
        <v>0</v>
      </c>
      <c r="F2122" s="139" t="str">
        <f>IFERROR(__xludf.DUMMYFUNCTION("""COMPUTED_VALUE"""),"Appearance")</f>
        <v>Appearance</v>
      </c>
      <c r="G2122" s="139"/>
      <c r="H2122" s="139"/>
      <c r="I2122" s="139">
        <f>IFERROR(__xludf.DUMMYFUNCTION("""COMPUTED_VALUE"""),50.0)</f>
        <v>50</v>
      </c>
      <c r="J2122" s="139">
        <f>IFERROR(__xludf.DUMMYFUNCTION("""COMPUTED_VALUE"""),25.0)</f>
        <v>25</v>
      </c>
      <c r="K2122" s="139">
        <f>IFERROR(__xludf.DUMMYFUNCTION("""COMPUTED_VALUE"""),0.0)</f>
        <v>0</v>
      </c>
      <c r="L2122" s="139"/>
      <c r="M2122" s="139"/>
      <c r="N2122" s="139"/>
    </row>
    <row r="2123">
      <c r="A2123" s="139" t="str">
        <f>IFERROR(__xludf.DUMMYFUNCTION("""COMPUTED_VALUE"""),"e")</f>
        <v>e</v>
      </c>
      <c r="B2123" s="139">
        <f>IFERROR(__xludf.DUMMYFUNCTION("""COMPUTED_VALUE"""),2.0250901E8)</f>
        <v>202509010</v>
      </c>
      <c r="C2123" s="139" t="str">
        <f>IFERROR(__xludf.DUMMYFUNCTION("""COMPUTED_VALUE"""),"e_kai_00201_savage01_Boss_Red_Normal_00000")</f>
        <v>e_kai_00201_savage01_Boss_Red_Normal_00000</v>
      </c>
      <c r="D2123" s="139" t="str">
        <f>IFERROR(__xludf.DUMMYFUNCTION("""COMPUTED_VALUE"""),"e_kai_00201_savage01_Boss_Red")</f>
        <v>e_kai_00201_savage01_Boss_Red</v>
      </c>
      <c r="E2123" s="139">
        <f>IFERROR(__xludf.DUMMYFUNCTION("""COMPUTED_VALUE"""),0.0)</f>
        <v>0</v>
      </c>
      <c r="F2123" s="139" t="str">
        <f>IFERROR(__xludf.DUMMYFUNCTION("""COMPUTED_VALUE"""),"Normal")</f>
        <v>Normal</v>
      </c>
      <c r="G2123" s="139"/>
      <c r="H2123" s="139"/>
      <c r="I2123" s="139">
        <f>IFERROR(__xludf.DUMMYFUNCTION("""COMPUTED_VALUE"""),124.0)</f>
        <v>124</v>
      </c>
      <c r="J2123" s="139">
        <f>IFERROR(__xludf.DUMMYFUNCTION("""COMPUTED_VALUE"""),63.0)</f>
        <v>63</v>
      </c>
      <c r="K2123" s="139">
        <f>IFERROR(__xludf.DUMMYFUNCTION("""COMPUTED_VALUE"""),125.0)</f>
        <v>125</v>
      </c>
      <c r="L2123" s="139"/>
      <c r="M2123" s="139"/>
      <c r="N2123" s="139"/>
    </row>
    <row r="2124">
      <c r="A2124" s="139" t="str">
        <f>IFERROR(__xludf.DUMMYFUNCTION("""COMPUTED_VALUE"""),"e")</f>
        <v>e</v>
      </c>
      <c r="B2124" s="139">
        <f>IFERROR(__xludf.DUMMYFUNCTION("""COMPUTED_VALUE"""),2.0250901E8)</f>
        <v>202509010</v>
      </c>
      <c r="C2124" s="139" t="str">
        <f>IFERROR(__xludf.DUMMYFUNCTION("""COMPUTED_VALUE"""),"e_kai_00201_savage01_Boss_Red_Appearance_00001")</f>
        <v>e_kai_00201_savage01_Boss_Red_Appearance_00001</v>
      </c>
      <c r="D2124" s="139" t="str">
        <f>IFERROR(__xludf.DUMMYFUNCTION("""COMPUTED_VALUE"""),"e_kai_00201_savage01_Boss_Red")</f>
        <v>e_kai_00201_savage01_Boss_Red</v>
      </c>
      <c r="E2124" s="139">
        <f>IFERROR(__xludf.DUMMYFUNCTION("""COMPUTED_VALUE"""),0.0)</f>
        <v>0</v>
      </c>
      <c r="F2124" s="139" t="str">
        <f>IFERROR(__xludf.DUMMYFUNCTION("""COMPUTED_VALUE"""),"Appearance")</f>
        <v>Appearance</v>
      </c>
      <c r="G2124" s="139"/>
      <c r="H2124" s="139"/>
      <c r="I2124" s="139">
        <f>IFERROR(__xludf.DUMMYFUNCTION("""COMPUTED_VALUE"""),50.0)</f>
        <v>50</v>
      </c>
      <c r="J2124" s="139">
        <f>IFERROR(__xludf.DUMMYFUNCTION("""COMPUTED_VALUE"""),25.0)</f>
        <v>25</v>
      </c>
      <c r="K2124" s="139">
        <f>IFERROR(__xludf.DUMMYFUNCTION("""COMPUTED_VALUE"""),0.0)</f>
        <v>0</v>
      </c>
      <c r="L2124" s="139"/>
      <c r="M2124" s="139"/>
      <c r="N2124" s="139"/>
    </row>
    <row r="2125">
      <c r="A2125" s="139" t="str">
        <f>IFERROR(__xludf.DUMMYFUNCTION("""COMPUTED_VALUE"""),"e")</f>
        <v>e</v>
      </c>
      <c r="B2125" s="139">
        <f>IFERROR(__xludf.DUMMYFUNCTION("""COMPUTED_VALUE"""),2.0250901E8)</f>
        <v>202509010</v>
      </c>
      <c r="C2125" s="139" t="str">
        <f>IFERROR(__xludf.DUMMYFUNCTION("""COMPUTED_VALUE"""),"e_kai_00001_savage01_Normal_Red_Normal_00000")</f>
        <v>e_kai_00001_savage01_Normal_Red_Normal_00000</v>
      </c>
      <c r="D2125" s="139" t="str">
        <f>IFERROR(__xludf.DUMMYFUNCTION("""COMPUTED_VALUE"""),"e_kai_00001_savage01_Normal_Red")</f>
        <v>e_kai_00001_savage01_Normal_Red</v>
      </c>
      <c r="E2125" s="139">
        <f>IFERROR(__xludf.DUMMYFUNCTION("""COMPUTED_VALUE"""),0.0)</f>
        <v>0</v>
      </c>
      <c r="F2125" s="139" t="str">
        <f>IFERROR(__xludf.DUMMYFUNCTION("""COMPUTED_VALUE"""),"Normal")</f>
        <v>Normal</v>
      </c>
      <c r="G2125" s="139"/>
      <c r="H2125" s="139"/>
      <c r="I2125" s="139">
        <f>IFERROR(__xludf.DUMMYFUNCTION("""COMPUTED_VALUE"""),117.0)</f>
        <v>117</v>
      </c>
      <c r="J2125" s="139">
        <f>IFERROR(__xludf.DUMMYFUNCTION("""COMPUTED_VALUE"""),50.0)</f>
        <v>50</v>
      </c>
      <c r="K2125" s="139">
        <f>IFERROR(__xludf.DUMMYFUNCTION("""COMPUTED_VALUE"""),100.0)</f>
        <v>100</v>
      </c>
      <c r="L2125" s="139"/>
      <c r="M2125" s="139"/>
      <c r="N2125" s="139"/>
    </row>
    <row r="2126">
      <c r="A2126" s="139" t="str">
        <f>IFERROR(__xludf.DUMMYFUNCTION("""COMPUTED_VALUE"""),"e")</f>
        <v>e</v>
      </c>
      <c r="B2126" s="139">
        <f>IFERROR(__xludf.DUMMYFUNCTION("""COMPUTED_VALUE"""),2.0250901E8)</f>
        <v>202509010</v>
      </c>
      <c r="C2126" s="139" t="str">
        <f>IFERROR(__xludf.DUMMYFUNCTION("""COMPUTED_VALUE"""),"e_kai_00401_savage01_Normal_Red_Normal_00000")</f>
        <v>e_kai_00401_savage01_Normal_Red_Normal_00000</v>
      </c>
      <c r="D2126" s="139" t="str">
        <f>IFERROR(__xludf.DUMMYFUNCTION("""COMPUTED_VALUE"""),"e_kai_00401_savage01_Normal_Red")</f>
        <v>e_kai_00401_savage01_Normal_Red</v>
      </c>
      <c r="E2126" s="139">
        <f>IFERROR(__xludf.DUMMYFUNCTION("""COMPUTED_VALUE"""),0.0)</f>
        <v>0</v>
      </c>
      <c r="F2126" s="139" t="str">
        <f>IFERROR(__xludf.DUMMYFUNCTION("""COMPUTED_VALUE"""),"Normal")</f>
        <v>Normal</v>
      </c>
      <c r="G2126" s="139"/>
      <c r="H2126" s="139"/>
      <c r="I2126" s="139">
        <f>IFERROR(__xludf.DUMMYFUNCTION("""COMPUTED_VALUE"""),62.0)</f>
        <v>62</v>
      </c>
      <c r="J2126" s="139">
        <f>IFERROR(__xludf.DUMMYFUNCTION("""COMPUTED_VALUE"""),28.0)</f>
        <v>28</v>
      </c>
      <c r="K2126" s="139">
        <f>IFERROR(__xludf.DUMMYFUNCTION("""COMPUTED_VALUE"""),25.0)</f>
        <v>25</v>
      </c>
      <c r="L2126" s="139"/>
      <c r="M2126" s="139"/>
      <c r="N2126" s="139"/>
    </row>
    <row r="2127">
      <c r="A2127" s="139" t="str">
        <f>IFERROR(__xludf.DUMMYFUNCTION("""COMPUTED_VALUE"""),"e")</f>
        <v>e</v>
      </c>
      <c r="B2127" s="139">
        <f>IFERROR(__xludf.DUMMYFUNCTION("""COMPUTED_VALUE"""),2.0250901E8)</f>
        <v>202509010</v>
      </c>
      <c r="C2127" s="139" t="str">
        <f>IFERROR(__xludf.DUMMYFUNCTION("""COMPUTED_VALUE"""),"e_kai_00401_savage01_Boss_Red_Normal_00000")</f>
        <v>e_kai_00401_savage01_Boss_Red_Normal_00000</v>
      </c>
      <c r="D2127" s="139" t="str">
        <f>IFERROR(__xludf.DUMMYFUNCTION("""COMPUTED_VALUE"""),"e_kai_00401_savage01_Boss_Red")</f>
        <v>e_kai_00401_savage01_Boss_Red</v>
      </c>
      <c r="E2127" s="139">
        <f>IFERROR(__xludf.DUMMYFUNCTION("""COMPUTED_VALUE"""),0.0)</f>
        <v>0</v>
      </c>
      <c r="F2127" s="139" t="str">
        <f>IFERROR(__xludf.DUMMYFUNCTION("""COMPUTED_VALUE"""),"Normal")</f>
        <v>Normal</v>
      </c>
      <c r="G2127" s="139"/>
      <c r="H2127" s="139"/>
      <c r="I2127" s="139">
        <f>IFERROR(__xludf.DUMMYFUNCTION("""COMPUTED_VALUE"""),62.0)</f>
        <v>62</v>
      </c>
      <c r="J2127" s="139">
        <f>IFERROR(__xludf.DUMMYFUNCTION("""COMPUTED_VALUE"""),28.0)</f>
        <v>28</v>
      </c>
      <c r="K2127" s="139">
        <f>IFERROR(__xludf.DUMMYFUNCTION("""COMPUTED_VALUE"""),25.0)</f>
        <v>25</v>
      </c>
      <c r="L2127" s="139"/>
      <c r="M2127" s="139"/>
      <c r="N2127" s="139"/>
    </row>
    <row r="2128">
      <c r="A2128" s="139" t="str">
        <f>IFERROR(__xludf.DUMMYFUNCTION("""COMPUTED_VALUE"""),"e")</f>
        <v>e</v>
      </c>
      <c r="B2128" s="139">
        <f>IFERROR(__xludf.DUMMYFUNCTION("""COMPUTED_VALUE"""),2.0250901E8)</f>
        <v>202509010</v>
      </c>
      <c r="C2128" s="139" t="str">
        <f>IFERROR(__xludf.DUMMYFUNCTION("""COMPUTED_VALUE"""),"e_kai_00401_savage01_Boss_Red_Appearance_00001")</f>
        <v>e_kai_00401_savage01_Boss_Red_Appearance_00001</v>
      </c>
      <c r="D2128" s="139" t="str">
        <f>IFERROR(__xludf.DUMMYFUNCTION("""COMPUTED_VALUE"""),"e_kai_00401_savage01_Boss_Red")</f>
        <v>e_kai_00401_savage01_Boss_Red</v>
      </c>
      <c r="E2128" s="139">
        <f>IFERROR(__xludf.DUMMYFUNCTION("""COMPUTED_VALUE"""),0.0)</f>
        <v>0</v>
      </c>
      <c r="F2128" s="139" t="str">
        <f>IFERROR(__xludf.DUMMYFUNCTION("""COMPUTED_VALUE"""),"Appearance")</f>
        <v>Appearance</v>
      </c>
      <c r="G2128" s="139"/>
      <c r="H2128" s="139"/>
      <c r="I2128" s="139">
        <f>IFERROR(__xludf.DUMMYFUNCTION("""COMPUTED_VALUE"""),50.0)</f>
        <v>50</v>
      </c>
      <c r="J2128" s="139">
        <f>IFERROR(__xludf.DUMMYFUNCTION("""COMPUTED_VALUE"""),25.0)</f>
        <v>25</v>
      </c>
      <c r="K2128" s="139">
        <f>IFERROR(__xludf.DUMMYFUNCTION("""COMPUTED_VALUE"""),0.0)</f>
        <v>0</v>
      </c>
      <c r="L2128" s="139"/>
      <c r="M2128" s="139"/>
      <c r="N2128" s="139"/>
    </row>
    <row r="2129">
      <c r="A2129" s="139" t="str">
        <f>IFERROR(__xludf.DUMMYFUNCTION("""COMPUTED_VALUE"""),"e")</f>
        <v>e</v>
      </c>
      <c r="B2129" s="139">
        <f>IFERROR(__xludf.DUMMYFUNCTION("""COMPUTED_VALUE"""),2.0250901E8)</f>
        <v>202509010</v>
      </c>
      <c r="C2129" s="139" t="str">
        <f>IFERROR(__xludf.DUMMYFUNCTION("""COMPUTED_VALUE"""),"c_kai_00001_artwork01_Boss_Colorless_Normal_00000")</f>
        <v>c_kai_00001_artwork01_Boss_Colorless_Normal_00000</v>
      </c>
      <c r="D2129" s="139" t="str">
        <f>IFERROR(__xludf.DUMMYFUNCTION("""COMPUTED_VALUE"""),"c_kai_00001_artwork01_Boss_Colorless")</f>
        <v>c_kai_00001_artwork01_Boss_Colorless</v>
      </c>
      <c r="E2129" s="139">
        <f>IFERROR(__xludf.DUMMYFUNCTION("""COMPUTED_VALUE"""),0.0)</f>
        <v>0</v>
      </c>
      <c r="F2129" s="139" t="str">
        <f>IFERROR(__xludf.DUMMYFUNCTION("""COMPUTED_VALUE"""),"Normal")</f>
        <v>Normal</v>
      </c>
      <c r="G2129" s="139"/>
      <c r="H2129" s="139"/>
      <c r="I2129" s="139">
        <f>IFERROR(__xludf.DUMMYFUNCTION("""COMPUTED_VALUE"""),92.0)</f>
        <v>92</v>
      </c>
      <c r="J2129" s="139">
        <f>IFERROR(__xludf.DUMMYFUNCTION("""COMPUTED_VALUE"""),50.0)</f>
        <v>50</v>
      </c>
      <c r="K2129" s="139">
        <f>IFERROR(__xludf.DUMMYFUNCTION("""COMPUTED_VALUE"""),100.0)</f>
        <v>100</v>
      </c>
      <c r="L2129" s="139"/>
      <c r="M2129" s="139"/>
      <c r="N2129" s="139"/>
    </row>
    <row r="2130">
      <c r="A2130" s="139" t="str">
        <f>IFERROR(__xludf.DUMMYFUNCTION("""COMPUTED_VALUE"""),"e")</f>
        <v>e</v>
      </c>
      <c r="B2130" s="139">
        <f>IFERROR(__xludf.DUMMYFUNCTION("""COMPUTED_VALUE"""),2.0250901E8)</f>
        <v>202509010</v>
      </c>
      <c r="C2130" s="139" t="str">
        <f>IFERROR(__xludf.DUMMYFUNCTION("""COMPUTED_VALUE"""),"c_kai_00001_artwork01_Boss_Colorless_Appearance_00001")</f>
        <v>c_kai_00001_artwork01_Boss_Colorless_Appearance_00001</v>
      </c>
      <c r="D2130" s="139" t="str">
        <f>IFERROR(__xludf.DUMMYFUNCTION("""COMPUTED_VALUE"""),"c_kai_00001_artwork01_Boss_Colorless")</f>
        <v>c_kai_00001_artwork01_Boss_Colorless</v>
      </c>
      <c r="E2130" s="139">
        <f>IFERROR(__xludf.DUMMYFUNCTION("""COMPUTED_VALUE"""),0.0)</f>
        <v>0</v>
      </c>
      <c r="F2130" s="139" t="str">
        <f>IFERROR(__xludf.DUMMYFUNCTION("""COMPUTED_VALUE"""),"Appearance")</f>
        <v>Appearance</v>
      </c>
      <c r="G2130" s="139"/>
      <c r="H2130" s="139"/>
      <c r="I2130" s="139">
        <f>IFERROR(__xludf.DUMMYFUNCTION("""COMPUTED_VALUE"""),50.0)</f>
        <v>50</v>
      </c>
      <c r="J2130" s="139">
        <f>IFERROR(__xludf.DUMMYFUNCTION("""COMPUTED_VALUE"""),25.0)</f>
        <v>25</v>
      </c>
      <c r="K2130" s="139">
        <f>IFERROR(__xludf.DUMMYFUNCTION("""COMPUTED_VALUE"""),0.0)</f>
        <v>0</v>
      </c>
      <c r="L2130" s="139"/>
      <c r="M2130" s="139"/>
      <c r="N2130" s="139"/>
    </row>
    <row r="2131">
      <c r="A2131" s="139" t="str">
        <f>IFERROR(__xludf.DUMMYFUNCTION("""COMPUTED_VALUE"""),"e")</f>
        <v>e</v>
      </c>
      <c r="B2131" s="139">
        <f>IFERROR(__xludf.DUMMYFUNCTION("""COMPUTED_VALUE"""),2.0250901E8)</f>
        <v>202509010</v>
      </c>
      <c r="C2131" s="139" t="str">
        <f>IFERROR(__xludf.DUMMYFUNCTION("""COMPUTED_VALUE"""),"c_kai_00001_artwork01_Boss_Colorless_Special_00002")</f>
        <v>c_kai_00001_artwork01_Boss_Colorless_Special_00002</v>
      </c>
      <c r="D2131" s="139" t="str">
        <f>IFERROR(__xludf.DUMMYFUNCTION("""COMPUTED_VALUE"""),"c_kai_00001_artwork01_Boss_Colorless")</f>
        <v>c_kai_00001_artwork01_Boss_Colorless</v>
      </c>
      <c r="E2131" s="139">
        <f>IFERROR(__xludf.DUMMYFUNCTION("""COMPUTED_VALUE"""),0.0)</f>
        <v>0</v>
      </c>
      <c r="F2131" s="139" t="str">
        <f>IFERROR(__xludf.DUMMYFUNCTION("""COMPUTED_VALUE"""),"Special")</f>
        <v>Special</v>
      </c>
      <c r="G2131" s="139"/>
      <c r="H2131" s="139"/>
      <c r="I2131" s="139">
        <f>IFERROR(__xludf.DUMMYFUNCTION("""COMPUTED_VALUE"""),117.0)</f>
        <v>117</v>
      </c>
      <c r="J2131" s="139">
        <f>IFERROR(__xludf.DUMMYFUNCTION("""COMPUTED_VALUE"""),67.0)</f>
        <v>67</v>
      </c>
      <c r="K2131" s="139">
        <f>IFERROR(__xludf.DUMMYFUNCTION("""COMPUTED_VALUE"""),0.0)</f>
        <v>0</v>
      </c>
      <c r="L2131" s="139"/>
      <c r="M2131" s="139"/>
      <c r="N2131" s="139"/>
    </row>
    <row r="2132">
      <c r="A2132" s="139" t="str">
        <f>IFERROR(__xludf.DUMMYFUNCTION("""COMPUTED_VALUE"""),"e")</f>
        <v>e</v>
      </c>
      <c r="B2132" s="139">
        <f>IFERROR(__xludf.DUMMYFUNCTION("""COMPUTED_VALUE"""),2.0250901E8)</f>
        <v>202509010</v>
      </c>
      <c r="C2132" s="139" t="str">
        <f>IFERROR(__xludf.DUMMYFUNCTION("""COMPUTED_VALUE"""),"c_kai_00301_artwork01_Normal_Colorless_Normal_00000")</f>
        <v>c_kai_00301_artwork01_Normal_Colorless_Normal_00000</v>
      </c>
      <c r="D2132" s="139" t="str">
        <f>IFERROR(__xludf.DUMMYFUNCTION("""COMPUTED_VALUE"""),"c_kai_00301_artwork01_Normal_Colorless")</f>
        <v>c_kai_00301_artwork01_Normal_Colorless</v>
      </c>
      <c r="E2132" s="139">
        <f>IFERROR(__xludf.DUMMYFUNCTION("""COMPUTED_VALUE"""),0.0)</f>
        <v>0</v>
      </c>
      <c r="F2132" s="139" t="str">
        <f>IFERROR(__xludf.DUMMYFUNCTION("""COMPUTED_VALUE"""),"Normal")</f>
        <v>Normal</v>
      </c>
      <c r="G2132" s="139"/>
      <c r="H2132" s="139"/>
      <c r="I2132" s="139">
        <f>IFERROR(__xludf.DUMMYFUNCTION("""COMPUTED_VALUE"""),120.0)</f>
        <v>120</v>
      </c>
      <c r="J2132" s="139">
        <f>IFERROR(__xludf.DUMMYFUNCTION("""COMPUTED_VALUE"""),35.0)</f>
        <v>35</v>
      </c>
      <c r="K2132" s="139">
        <f>IFERROR(__xludf.DUMMYFUNCTION("""COMPUTED_VALUE"""),100.0)</f>
        <v>100</v>
      </c>
      <c r="L2132" s="139"/>
      <c r="M2132" s="139"/>
      <c r="N2132" s="139"/>
    </row>
    <row r="2133">
      <c r="A2133" s="139" t="str">
        <f>IFERROR(__xludf.DUMMYFUNCTION("""COMPUTED_VALUE"""),"e")</f>
        <v>e</v>
      </c>
      <c r="B2133" s="139">
        <f>IFERROR(__xludf.DUMMYFUNCTION("""COMPUTED_VALUE"""),2.0250901E8)</f>
        <v>202509010</v>
      </c>
      <c r="C2133" s="139" t="str">
        <f>IFERROR(__xludf.DUMMYFUNCTION("""COMPUTED_VALUE"""),"c_kai_00301_artwork01_Normal_Colorless_Special_00001")</f>
        <v>c_kai_00301_artwork01_Normal_Colorless_Special_00001</v>
      </c>
      <c r="D2133" s="139" t="str">
        <f>IFERROR(__xludf.DUMMYFUNCTION("""COMPUTED_VALUE"""),"c_kai_00301_artwork01_Normal_Colorless")</f>
        <v>c_kai_00301_artwork01_Normal_Colorless</v>
      </c>
      <c r="E2133" s="139">
        <f>IFERROR(__xludf.DUMMYFUNCTION("""COMPUTED_VALUE"""),0.0)</f>
        <v>0</v>
      </c>
      <c r="F2133" s="139" t="str">
        <f>IFERROR(__xludf.DUMMYFUNCTION("""COMPUTED_VALUE"""),"Special")</f>
        <v>Special</v>
      </c>
      <c r="G2133" s="139"/>
      <c r="H2133" s="139"/>
      <c r="I2133" s="139">
        <f>IFERROR(__xludf.DUMMYFUNCTION("""COMPUTED_VALUE"""),167.0)</f>
        <v>167</v>
      </c>
      <c r="J2133" s="139">
        <f>IFERROR(__xludf.DUMMYFUNCTION("""COMPUTED_VALUE"""),54.0)</f>
        <v>54</v>
      </c>
      <c r="K2133" s="139">
        <f>IFERROR(__xludf.DUMMYFUNCTION("""COMPUTED_VALUE"""),0.0)</f>
        <v>0</v>
      </c>
      <c r="L2133" s="139"/>
      <c r="M2133" s="139"/>
      <c r="N2133" s="139"/>
    </row>
    <row r="2134">
      <c r="A2134" s="139" t="str">
        <f>IFERROR(__xludf.DUMMYFUNCTION("""COMPUTED_VALUE"""),"e")</f>
        <v>e</v>
      </c>
      <c r="B2134" s="139">
        <f>IFERROR(__xludf.DUMMYFUNCTION("""COMPUTED_VALUE"""),2.0250901E8)</f>
        <v>202509010</v>
      </c>
      <c r="C2134" s="139" t="str">
        <f>IFERROR(__xludf.DUMMYFUNCTION("""COMPUTED_VALUE"""),"c_kai_00301_artwork01_Boss_Colorless_Normal_00000")</f>
        <v>c_kai_00301_artwork01_Boss_Colorless_Normal_00000</v>
      </c>
      <c r="D2134" s="139" t="str">
        <f>IFERROR(__xludf.DUMMYFUNCTION("""COMPUTED_VALUE"""),"c_kai_00301_artwork01_Boss_Colorless")</f>
        <v>c_kai_00301_artwork01_Boss_Colorless</v>
      </c>
      <c r="E2134" s="139">
        <f>IFERROR(__xludf.DUMMYFUNCTION("""COMPUTED_VALUE"""),0.0)</f>
        <v>0</v>
      </c>
      <c r="F2134" s="139" t="str">
        <f>IFERROR(__xludf.DUMMYFUNCTION("""COMPUTED_VALUE"""),"Normal")</f>
        <v>Normal</v>
      </c>
      <c r="G2134" s="139"/>
      <c r="H2134" s="139"/>
      <c r="I2134" s="139">
        <f>IFERROR(__xludf.DUMMYFUNCTION("""COMPUTED_VALUE"""),120.0)</f>
        <v>120</v>
      </c>
      <c r="J2134" s="139">
        <f>IFERROR(__xludf.DUMMYFUNCTION("""COMPUTED_VALUE"""),35.0)</f>
        <v>35</v>
      </c>
      <c r="K2134" s="139">
        <f>IFERROR(__xludf.DUMMYFUNCTION("""COMPUTED_VALUE"""),100.0)</f>
        <v>100</v>
      </c>
      <c r="L2134" s="139"/>
      <c r="M2134" s="139"/>
      <c r="N2134" s="139"/>
    </row>
    <row r="2135">
      <c r="A2135" s="139" t="str">
        <f>IFERROR(__xludf.DUMMYFUNCTION("""COMPUTED_VALUE"""),"e")</f>
        <v>e</v>
      </c>
      <c r="B2135" s="139">
        <f>IFERROR(__xludf.DUMMYFUNCTION("""COMPUTED_VALUE"""),2.0250901E8)</f>
        <v>202509010</v>
      </c>
      <c r="C2135" s="139" t="str">
        <f>IFERROR(__xludf.DUMMYFUNCTION("""COMPUTED_VALUE"""),"c_kai_00301_artwork01_Boss_Colorless_Special_00001")</f>
        <v>c_kai_00301_artwork01_Boss_Colorless_Special_00001</v>
      </c>
      <c r="D2135" s="139" t="str">
        <f>IFERROR(__xludf.DUMMYFUNCTION("""COMPUTED_VALUE"""),"c_kai_00301_artwork01_Boss_Colorless")</f>
        <v>c_kai_00301_artwork01_Boss_Colorless</v>
      </c>
      <c r="E2135" s="139">
        <f>IFERROR(__xludf.DUMMYFUNCTION("""COMPUTED_VALUE"""),0.0)</f>
        <v>0</v>
      </c>
      <c r="F2135" s="139" t="str">
        <f>IFERROR(__xludf.DUMMYFUNCTION("""COMPUTED_VALUE"""),"Special")</f>
        <v>Special</v>
      </c>
      <c r="G2135" s="139"/>
      <c r="H2135" s="139"/>
      <c r="I2135" s="139">
        <f>IFERROR(__xludf.DUMMYFUNCTION("""COMPUTED_VALUE"""),167.0)</f>
        <v>167</v>
      </c>
      <c r="J2135" s="139">
        <f>IFERROR(__xludf.DUMMYFUNCTION("""COMPUTED_VALUE"""),54.0)</f>
        <v>54</v>
      </c>
      <c r="K2135" s="139">
        <f>IFERROR(__xludf.DUMMYFUNCTION("""COMPUTED_VALUE"""),0.0)</f>
        <v>0</v>
      </c>
      <c r="L2135" s="139"/>
      <c r="M2135" s="139"/>
      <c r="N2135" s="139"/>
    </row>
    <row r="2136">
      <c r="A2136" s="139" t="str">
        <f>IFERROR(__xludf.DUMMYFUNCTION("""COMPUTED_VALUE"""),"e")</f>
        <v>e</v>
      </c>
      <c r="B2136" s="139">
        <f>IFERROR(__xludf.DUMMYFUNCTION("""COMPUTED_VALUE"""),2.0250901E8)</f>
        <v>202509010</v>
      </c>
      <c r="C2136" s="139" t="str">
        <f>IFERROR(__xludf.DUMMYFUNCTION("""COMPUTED_VALUE"""),"c_kai_00301_artwork01_Boss_Colorless_Appearance_00002")</f>
        <v>c_kai_00301_artwork01_Boss_Colorless_Appearance_00002</v>
      </c>
      <c r="D2136" s="139" t="str">
        <f>IFERROR(__xludf.DUMMYFUNCTION("""COMPUTED_VALUE"""),"c_kai_00301_artwork01_Boss_Colorless")</f>
        <v>c_kai_00301_artwork01_Boss_Colorless</v>
      </c>
      <c r="E2136" s="139">
        <f>IFERROR(__xludf.DUMMYFUNCTION("""COMPUTED_VALUE"""),0.0)</f>
        <v>0</v>
      </c>
      <c r="F2136" s="139" t="str">
        <f>IFERROR(__xludf.DUMMYFUNCTION("""COMPUTED_VALUE"""),"Appearance")</f>
        <v>Appearance</v>
      </c>
      <c r="G2136" s="139"/>
      <c r="H2136" s="139"/>
      <c r="I2136" s="139">
        <f>IFERROR(__xludf.DUMMYFUNCTION("""COMPUTED_VALUE"""),50.0)</f>
        <v>50</v>
      </c>
      <c r="J2136" s="139">
        <f>IFERROR(__xludf.DUMMYFUNCTION("""COMPUTED_VALUE"""),25.0)</f>
        <v>25</v>
      </c>
      <c r="K2136" s="139">
        <f>IFERROR(__xludf.DUMMYFUNCTION("""COMPUTED_VALUE"""),0.0)</f>
        <v>0</v>
      </c>
      <c r="L2136" s="139"/>
      <c r="M2136" s="139"/>
      <c r="N2136" s="139"/>
    </row>
    <row r="2137">
      <c r="A2137" s="139" t="str">
        <f>IFERROR(__xludf.DUMMYFUNCTION("""COMPUTED_VALUE"""),"e")</f>
        <v>e</v>
      </c>
      <c r="B2137" s="139">
        <f>IFERROR(__xludf.DUMMYFUNCTION("""COMPUTED_VALUE"""),2.0250901E8)</f>
        <v>202509010</v>
      </c>
      <c r="C2137" s="139" t="str">
        <f>IFERROR(__xludf.DUMMYFUNCTION("""COMPUTED_VALUE"""),"c_kai_00101_artwork01_Normal_Colorless_Normal_00000")</f>
        <v>c_kai_00101_artwork01_Normal_Colorless_Normal_00000</v>
      </c>
      <c r="D2137" s="139" t="str">
        <f>IFERROR(__xludf.DUMMYFUNCTION("""COMPUTED_VALUE"""),"c_kai_00101_artwork01_Normal_Colorless")</f>
        <v>c_kai_00101_artwork01_Normal_Colorless</v>
      </c>
      <c r="E2137" s="139">
        <f>IFERROR(__xludf.DUMMYFUNCTION("""COMPUTED_VALUE"""),0.0)</f>
        <v>0</v>
      </c>
      <c r="F2137" s="139" t="str">
        <f>IFERROR(__xludf.DUMMYFUNCTION("""COMPUTED_VALUE"""),"Normal")</f>
        <v>Normal</v>
      </c>
      <c r="G2137" s="139"/>
      <c r="H2137" s="139"/>
      <c r="I2137" s="139">
        <f>IFERROR(__xludf.DUMMYFUNCTION("""COMPUTED_VALUE"""),70.0)</f>
        <v>70</v>
      </c>
      <c r="J2137" s="139">
        <f>IFERROR(__xludf.DUMMYFUNCTION("""COMPUTED_VALUE"""),46.0)</f>
        <v>46</v>
      </c>
      <c r="K2137" s="139">
        <f>IFERROR(__xludf.DUMMYFUNCTION("""COMPUTED_VALUE"""),100.0)</f>
        <v>100</v>
      </c>
      <c r="L2137" s="139"/>
      <c r="M2137" s="139"/>
      <c r="N2137" s="139"/>
    </row>
    <row r="2138">
      <c r="A2138" s="139" t="str">
        <f>IFERROR(__xludf.DUMMYFUNCTION("""COMPUTED_VALUE"""),"e")</f>
        <v>e</v>
      </c>
      <c r="B2138" s="139">
        <f>IFERROR(__xludf.DUMMYFUNCTION("""COMPUTED_VALUE"""),2.0250901E8)</f>
        <v>202509010</v>
      </c>
      <c r="C2138" s="139" t="str">
        <f>IFERROR(__xludf.DUMMYFUNCTION("""COMPUTED_VALUE"""),"c_kai_00101_artwork01_Normal_Colorless_Special_00001")</f>
        <v>c_kai_00101_artwork01_Normal_Colorless_Special_00001</v>
      </c>
      <c r="D2138" s="139" t="str">
        <f>IFERROR(__xludf.DUMMYFUNCTION("""COMPUTED_VALUE"""),"c_kai_00101_artwork01_Normal_Colorless")</f>
        <v>c_kai_00101_artwork01_Normal_Colorless</v>
      </c>
      <c r="E2138" s="139">
        <f>IFERROR(__xludf.DUMMYFUNCTION("""COMPUTED_VALUE"""),0.0)</f>
        <v>0</v>
      </c>
      <c r="F2138" s="139" t="str">
        <f>IFERROR(__xludf.DUMMYFUNCTION("""COMPUTED_VALUE"""),"Special")</f>
        <v>Special</v>
      </c>
      <c r="G2138" s="139"/>
      <c r="H2138" s="139"/>
      <c r="I2138" s="139">
        <f>IFERROR(__xludf.DUMMYFUNCTION("""COMPUTED_VALUE"""),159.0)</f>
        <v>159</v>
      </c>
      <c r="J2138" s="139">
        <f>IFERROR(__xludf.DUMMYFUNCTION("""COMPUTED_VALUE"""),0.0)</f>
        <v>0</v>
      </c>
      <c r="K2138" s="139">
        <f>IFERROR(__xludf.DUMMYFUNCTION("""COMPUTED_VALUE"""),0.0)</f>
        <v>0</v>
      </c>
      <c r="L2138" s="139"/>
      <c r="M2138" s="139"/>
      <c r="N2138" s="139"/>
    </row>
    <row r="2139">
      <c r="A2139" s="139"/>
      <c r="B2139" s="139"/>
      <c r="C2139" s="139"/>
      <c r="D2139" s="139"/>
      <c r="E2139" s="139"/>
      <c r="F2139" s="139"/>
      <c r="G2139" s="139"/>
      <c r="H2139" s="139"/>
      <c r="I2139" s="139"/>
      <c r="J2139" s="139"/>
      <c r="K2139" s="139"/>
      <c r="L2139" s="139"/>
      <c r="M2139" s="139"/>
      <c r="N2139" s="139"/>
    </row>
    <row r="2140">
      <c r="A2140" s="139" t="str">
        <f>IFERROR(__xludf.DUMMYFUNCTION("""COMPUTED_VALUE"""),"e")</f>
        <v>e</v>
      </c>
      <c r="B2140" s="139">
        <f>IFERROR(__xludf.DUMMYFUNCTION("""COMPUTED_VALUE"""),2.0250901E8)</f>
        <v>202509010</v>
      </c>
      <c r="C2140" s="139" t="str">
        <f>IFERROR(__xludf.DUMMYFUNCTION("""COMPUTED_VALUE"""),"e_glo_00001_general_test_Normal_Colorless_Normal_00000")</f>
        <v>e_glo_00001_general_test_Normal_Colorless_Normal_00000</v>
      </c>
      <c r="D2140" s="139" t="str">
        <f>IFERROR(__xludf.DUMMYFUNCTION("""COMPUTED_VALUE"""),"e_glo_00001_general_test_Normal_Colorless")</f>
        <v>e_glo_00001_general_test_Normal_Colorless</v>
      </c>
      <c r="E2140" s="139">
        <f>IFERROR(__xludf.DUMMYFUNCTION("""COMPUTED_VALUE"""),0.0)</f>
        <v>0</v>
      </c>
      <c r="F2140" s="139" t="str">
        <f>IFERROR(__xludf.DUMMYFUNCTION("""COMPUTED_VALUE"""),"Normal")</f>
        <v>Normal</v>
      </c>
      <c r="G2140" s="139"/>
      <c r="H2140" s="139"/>
      <c r="I2140" s="139">
        <f>IFERROR(__xludf.DUMMYFUNCTION("""COMPUTED_VALUE"""),50.0)</f>
        <v>50</v>
      </c>
      <c r="J2140" s="139">
        <f>IFERROR(__xludf.DUMMYFUNCTION("""COMPUTED_VALUE"""),25.0)</f>
        <v>25</v>
      </c>
      <c r="K2140" s="139">
        <f>IFERROR(__xludf.DUMMYFUNCTION("""COMPUTED_VALUE"""),50.0)</f>
        <v>50</v>
      </c>
      <c r="L2140" s="139"/>
      <c r="M2140" s="139"/>
      <c r="N2140" s="139"/>
    </row>
    <row r="2141">
      <c r="A2141" s="139" t="str">
        <f>IFERROR(__xludf.DUMMYFUNCTION("""COMPUTED_VALUE"""),"e")</f>
        <v>e</v>
      </c>
      <c r="B2141" s="139">
        <f>IFERROR(__xludf.DUMMYFUNCTION("""COMPUTED_VALUE"""),2.0250901E8)</f>
        <v>202509010</v>
      </c>
      <c r="C2141" s="139" t="str">
        <f>IFERROR(__xludf.DUMMYFUNCTION("""COMPUTED_VALUE"""),"e_glo_00001_general_test_Boss_Colorless_Normal_00000")</f>
        <v>e_glo_00001_general_test_Boss_Colorless_Normal_00000</v>
      </c>
      <c r="D2141" s="139" t="str">
        <f>IFERROR(__xludf.DUMMYFUNCTION("""COMPUTED_VALUE"""),"e_glo_00001_general_test_Boss_Colorless")</f>
        <v>e_glo_00001_general_test_Boss_Colorless</v>
      </c>
      <c r="E2141" s="139">
        <f>IFERROR(__xludf.DUMMYFUNCTION("""COMPUTED_VALUE"""),0.0)</f>
        <v>0</v>
      </c>
      <c r="F2141" s="139" t="str">
        <f>IFERROR(__xludf.DUMMYFUNCTION("""COMPUTED_VALUE"""),"Normal")</f>
        <v>Normal</v>
      </c>
      <c r="G2141" s="139"/>
      <c r="H2141" s="139"/>
      <c r="I2141" s="139">
        <f>IFERROR(__xludf.DUMMYFUNCTION("""COMPUTED_VALUE"""),50.0)</f>
        <v>50</v>
      </c>
      <c r="J2141" s="139">
        <f>IFERROR(__xludf.DUMMYFUNCTION("""COMPUTED_VALUE"""),25.0)</f>
        <v>25</v>
      </c>
      <c r="K2141" s="139">
        <f>IFERROR(__xludf.DUMMYFUNCTION("""COMPUTED_VALUE"""),50.0)</f>
        <v>50</v>
      </c>
      <c r="L2141" s="139"/>
      <c r="M2141" s="139"/>
      <c r="N2141" s="139"/>
    </row>
    <row r="2142">
      <c r="A2142" s="139" t="str">
        <f>IFERROR(__xludf.DUMMYFUNCTION("""COMPUTED_VALUE"""),"e")</f>
        <v>e</v>
      </c>
      <c r="B2142" s="139">
        <f>IFERROR(__xludf.DUMMYFUNCTION("""COMPUTED_VALUE"""),2.0250901E8)</f>
        <v>202509010</v>
      </c>
      <c r="C2142" s="139" t="str">
        <f>IFERROR(__xludf.DUMMYFUNCTION("""COMPUTED_VALUE"""),"e_glo_00001_general_test_Boss_Colorless_Appearance_00001")</f>
        <v>e_glo_00001_general_test_Boss_Colorless_Appearance_00001</v>
      </c>
      <c r="D2142" s="139" t="str">
        <f>IFERROR(__xludf.DUMMYFUNCTION("""COMPUTED_VALUE"""),"e_glo_00001_general_test_Boss_Colorless")</f>
        <v>e_glo_00001_general_test_Boss_Colorless</v>
      </c>
      <c r="E2142" s="139">
        <f>IFERROR(__xludf.DUMMYFUNCTION("""COMPUTED_VALUE"""),0.0)</f>
        <v>0</v>
      </c>
      <c r="F2142" s="139" t="str">
        <f>IFERROR(__xludf.DUMMYFUNCTION("""COMPUTED_VALUE"""),"Appearance")</f>
        <v>Appearance</v>
      </c>
      <c r="G2142" s="139"/>
      <c r="H2142" s="139"/>
      <c r="I2142" s="139">
        <f>IFERROR(__xludf.DUMMYFUNCTION("""COMPUTED_VALUE"""),50.0)</f>
        <v>50</v>
      </c>
      <c r="J2142" s="139">
        <f>IFERROR(__xludf.DUMMYFUNCTION("""COMPUTED_VALUE"""),25.0)</f>
        <v>25</v>
      </c>
      <c r="K2142" s="139">
        <f>IFERROR(__xludf.DUMMYFUNCTION("""COMPUTED_VALUE"""),0.0)</f>
        <v>0</v>
      </c>
      <c r="L2142" s="139"/>
      <c r="M2142" s="139"/>
      <c r="N2142" s="139"/>
    </row>
    <row r="2143">
      <c r="A2143" s="139"/>
      <c r="B2143" s="139"/>
      <c r="C2143" s="139"/>
      <c r="D2143" s="139"/>
      <c r="E2143" s="139"/>
      <c r="F2143" s="139"/>
      <c r="G2143" s="139"/>
      <c r="H2143" s="139"/>
      <c r="I2143" s="139"/>
      <c r="J2143" s="139"/>
      <c r="K2143" s="139"/>
      <c r="L2143" s="139"/>
      <c r="M2143" s="139"/>
      <c r="N2143" s="139"/>
    </row>
    <row r="2144">
      <c r="A2144" s="139" t="str">
        <f>IFERROR(__xludf.DUMMYFUNCTION("""COMPUTED_VALUE"""),"e")</f>
        <v>e</v>
      </c>
      <c r="B2144" s="139">
        <f>IFERROR(__xludf.DUMMYFUNCTION("""COMPUTED_VALUE"""),2.0251001E8)</f>
        <v>202510010</v>
      </c>
      <c r="C2144" s="139" t="str">
        <f>IFERROR(__xludf.DUMMYFUNCTION("""COMPUTED_VALUE"""),"c_spy_00101_1d1c_Normal_Colorless_Normal_00000")</f>
        <v>c_spy_00101_1d1c_Normal_Colorless_Normal_00000</v>
      </c>
      <c r="D2144" s="139" t="str">
        <f>IFERROR(__xludf.DUMMYFUNCTION("""COMPUTED_VALUE"""),"c_spy_00101_1d1c_Normal_Colorless")</f>
        <v>c_spy_00101_1d1c_Normal_Colorless</v>
      </c>
      <c r="E2144" s="139">
        <f>IFERROR(__xludf.DUMMYFUNCTION("""COMPUTED_VALUE"""),0.0)</f>
        <v>0</v>
      </c>
      <c r="F2144" s="139" t="str">
        <f>IFERROR(__xludf.DUMMYFUNCTION("""COMPUTED_VALUE"""),"Normal")</f>
        <v>Normal</v>
      </c>
      <c r="G2144" s="139"/>
      <c r="H2144" s="139"/>
      <c r="I2144" s="139">
        <f>IFERROR(__xludf.DUMMYFUNCTION("""COMPUTED_VALUE"""),82.0)</f>
        <v>82</v>
      </c>
      <c r="J2144" s="139">
        <f>IFERROR(__xludf.DUMMYFUNCTION("""COMPUTED_VALUE"""),42.0)</f>
        <v>42</v>
      </c>
      <c r="K2144" s="139">
        <f>IFERROR(__xludf.DUMMYFUNCTION("""COMPUTED_VALUE"""),100.0)</f>
        <v>100</v>
      </c>
      <c r="L2144" s="139"/>
      <c r="M2144" s="139"/>
      <c r="N2144" s="139"/>
    </row>
    <row r="2145">
      <c r="A2145" s="139" t="str">
        <f>IFERROR(__xludf.DUMMYFUNCTION("""COMPUTED_VALUE"""),"e")</f>
        <v>e</v>
      </c>
      <c r="B2145" s="139">
        <f>IFERROR(__xludf.DUMMYFUNCTION("""COMPUTED_VALUE"""),2.0251001E8)</f>
        <v>202510010</v>
      </c>
      <c r="C2145" s="139" t="str">
        <f>IFERROR(__xludf.DUMMYFUNCTION("""COMPUTED_VALUE"""),"c_spy_00101_1d1c_Normal_Colorless_Special_00001")</f>
        <v>c_spy_00101_1d1c_Normal_Colorless_Special_00001</v>
      </c>
      <c r="D2145" s="139" t="str">
        <f>IFERROR(__xludf.DUMMYFUNCTION("""COMPUTED_VALUE"""),"c_spy_00101_1d1c_Normal_Colorless")</f>
        <v>c_spy_00101_1d1c_Normal_Colorless</v>
      </c>
      <c r="E2145" s="139">
        <f>IFERROR(__xludf.DUMMYFUNCTION("""COMPUTED_VALUE"""),0.0)</f>
        <v>0</v>
      </c>
      <c r="F2145" s="139" t="str">
        <f>IFERROR(__xludf.DUMMYFUNCTION("""COMPUTED_VALUE"""),"Special")</f>
        <v>Special</v>
      </c>
      <c r="G2145" s="139"/>
      <c r="H2145" s="139"/>
      <c r="I2145" s="139">
        <f>IFERROR(__xludf.DUMMYFUNCTION("""COMPUTED_VALUE"""),125.0)</f>
        <v>125</v>
      </c>
      <c r="J2145" s="139">
        <f>IFERROR(__xludf.DUMMYFUNCTION("""COMPUTED_VALUE"""),67.0)</f>
        <v>67</v>
      </c>
      <c r="K2145" s="139">
        <f>IFERROR(__xludf.DUMMYFUNCTION("""COMPUTED_VALUE"""),0.0)</f>
        <v>0</v>
      </c>
      <c r="L2145" s="139"/>
      <c r="M2145" s="139"/>
      <c r="N2145" s="139"/>
    </row>
    <row r="2146">
      <c r="A2146" s="139" t="str">
        <f>IFERROR(__xludf.DUMMYFUNCTION("""COMPUTED_VALUE"""),"e")</f>
        <v>e</v>
      </c>
      <c r="B2146" s="139">
        <f>IFERROR(__xludf.DUMMYFUNCTION("""COMPUTED_VALUE"""),2.0251001E8)</f>
        <v>202510010</v>
      </c>
      <c r="C2146" s="139" t="str">
        <f>IFERROR(__xludf.DUMMYFUNCTION("""COMPUTED_VALUE"""),"c_spy_00401_frankyget_Normal_Colorless_Normal_00000")</f>
        <v>c_spy_00401_frankyget_Normal_Colorless_Normal_00000</v>
      </c>
      <c r="D2146" s="139" t="str">
        <f>IFERROR(__xludf.DUMMYFUNCTION("""COMPUTED_VALUE"""),"c_spy_00401_frankyget_Normal_Colorless")</f>
        <v>c_spy_00401_frankyget_Normal_Colorless</v>
      </c>
      <c r="E2146" s="139">
        <f>IFERROR(__xludf.DUMMYFUNCTION("""COMPUTED_VALUE"""),0.0)</f>
        <v>0</v>
      </c>
      <c r="F2146" s="139" t="str">
        <f>IFERROR(__xludf.DUMMYFUNCTION("""COMPUTED_VALUE"""),"Normal")</f>
        <v>Normal</v>
      </c>
      <c r="G2146" s="139"/>
      <c r="H2146" s="139"/>
      <c r="I2146" s="139">
        <f>IFERROR(__xludf.DUMMYFUNCTION("""COMPUTED_VALUE"""),60.0)</f>
        <v>60</v>
      </c>
      <c r="J2146" s="139">
        <f>IFERROR(__xludf.DUMMYFUNCTION("""COMPUTED_VALUE"""),25.0)</f>
        <v>25</v>
      </c>
      <c r="K2146" s="139">
        <f>IFERROR(__xludf.DUMMYFUNCTION("""COMPUTED_VALUE"""),60.0)</f>
        <v>60</v>
      </c>
      <c r="L2146" s="139"/>
      <c r="M2146" s="139"/>
      <c r="N2146" s="139"/>
    </row>
    <row r="2147">
      <c r="A2147" s="139" t="str">
        <f>IFERROR(__xludf.DUMMYFUNCTION("""COMPUTED_VALUE"""),"e")</f>
        <v>e</v>
      </c>
      <c r="B2147" s="139">
        <f>IFERROR(__xludf.DUMMYFUNCTION("""COMPUTED_VALUE"""),2.0251001E8)</f>
        <v>202510010</v>
      </c>
      <c r="C2147" s="139" t="str">
        <f>IFERROR(__xludf.DUMMYFUNCTION("""COMPUTED_VALUE"""),"c_spy_00401_frankyget_Normal_Colorless_Special_00001")</f>
        <v>c_spy_00401_frankyget_Normal_Colorless_Special_00001</v>
      </c>
      <c r="D2147" s="139" t="str">
        <f>IFERROR(__xludf.DUMMYFUNCTION("""COMPUTED_VALUE"""),"c_spy_00401_frankyget_Normal_Colorless")</f>
        <v>c_spy_00401_frankyget_Normal_Colorless</v>
      </c>
      <c r="E2147" s="139">
        <f>IFERROR(__xludf.DUMMYFUNCTION("""COMPUTED_VALUE"""),0.0)</f>
        <v>0</v>
      </c>
      <c r="F2147" s="139" t="str">
        <f>IFERROR(__xludf.DUMMYFUNCTION("""COMPUTED_VALUE"""),"Special")</f>
        <v>Special</v>
      </c>
      <c r="G2147" s="139"/>
      <c r="H2147" s="139"/>
      <c r="I2147" s="139">
        <f>IFERROR(__xludf.DUMMYFUNCTION("""COMPUTED_VALUE"""),138.0)</f>
        <v>138</v>
      </c>
      <c r="J2147" s="139">
        <f>IFERROR(__xludf.DUMMYFUNCTION("""COMPUTED_VALUE"""),67.0)</f>
        <v>67</v>
      </c>
      <c r="K2147" s="139">
        <f>IFERROR(__xludf.DUMMYFUNCTION("""COMPUTED_VALUE"""),0.0)</f>
        <v>0</v>
      </c>
      <c r="L2147" s="139"/>
      <c r="M2147" s="139"/>
      <c r="N2147" s="139"/>
    </row>
    <row r="2148">
      <c r="A2148" s="139" t="str">
        <f>IFERROR(__xludf.DUMMYFUNCTION("""COMPUTED_VALUE"""),"e")</f>
        <v>e</v>
      </c>
      <c r="B2148" s="139">
        <f>IFERROR(__xludf.DUMMYFUNCTION("""COMPUTED_VALUE"""),2.0251001E8)</f>
        <v>202510010</v>
      </c>
      <c r="C2148" s="139" t="str">
        <f>IFERROR(__xludf.DUMMYFUNCTION("""COMPUTED_VALUE"""),"c_spy_00401_frankyget_Boss_Colorless_Normal_00000")</f>
        <v>c_spy_00401_frankyget_Boss_Colorless_Normal_00000</v>
      </c>
      <c r="D2148" s="139" t="str">
        <f>IFERROR(__xludf.DUMMYFUNCTION("""COMPUTED_VALUE"""),"c_spy_00401_frankyget_Boss_Colorless")</f>
        <v>c_spy_00401_frankyget_Boss_Colorless</v>
      </c>
      <c r="E2148" s="139">
        <f>IFERROR(__xludf.DUMMYFUNCTION("""COMPUTED_VALUE"""),0.0)</f>
        <v>0</v>
      </c>
      <c r="F2148" s="139" t="str">
        <f>IFERROR(__xludf.DUMMYFUNCTION("""COMPUTED_VALUE"""),"Normal")</f>
        <v>Normal</v>
      </c>
      <c r="G2148" s="139"/>
      <c r="H2148" s="139"/>
      <c r="I2148" s="139">
        <f>IFERROR(__xludf.DUMMYFUNCTION("""COMPUTED_VALUE"""),60.0)</f>
        <v>60</v>
      </c>
      <c r="J2148" s="139">
        <f>IFERROR(__xludf.DUMMYFUNCTION("""COMPUTED_VALUE"""),25.0)</f>
        <v>25</v>
      </c>
      <c r="K2148" s="139">
        <f>IFERROR(__xludf.DUMMYFUNCTION("""COMPUTED_VALUE"""),60.0)</f>
        <v>60</v>
      </c>
      <c r="L2148" s="139"/>
      <c r="M2148" s="139"/>
      <c r="N2148" s="139"/>
    </row>
    <row r="2149">
      <c r="A2149" s="139" t="str">
        <f>IFERROR(__xludf.DUMMYFUNCTION("""COMPUTED_VALUE"""),"e")</f>
        <v>e</v>
      </c>
      <c r="B2149" s="139">
        <f>IFERROR(__xludf.DUMMYFUNCTION("""COMPUTED_VALUE"""),2.0251001E8)</f>
        <v>202510010</v>
      </c>
      <c r="C2149" s="139" t="str">
        <f>IFERROR(__xludf.DUMMYFUNCTION("""COMPUTED_VALUE"""),"c_spy_00401_frankyget_Boss_Colorless_Special_00001")</f>
        <v>c_spy_00401_frankyget_Boss_Colorless_Special_00001</v>
      </c>
      <c r="D2149" s="139" t="str">
        <f>IFERROR(__xludf.DUMMYFUNCTION("""COMPUTED_VALUE"""),"c_spy_00401_frankyget_Boss_Colorless")</f>
        <v>c_spy_00401_frankyget_Boss_Colorless</v>
      </c>
      <c r="E2149" s="139">
        <f>IFERROR(__xludf.DUMMYFUNCTION("""COMPUTED_VALUE"""),0.0)</f>
        <v>0</v>
      </c>
      <c r="F2149" s="139" t="str">
        <f>IFERROR(__xludf.DUMMYFUNCTION("""COMPUTED_VALUE"""),"Special")</f>
        <v>Special</v>
      </c>
      <c r="G2149" s="139"/>
      <c r="H2149" s="139"/>
      <c r="I2149" s="139">
        <f>IFERROR(__xludf.DUMMYFUNCTION("""COMPUTED_VALUE"""),138.0)</f>
        <v>138</v>
      </c>
      <c r="J2149" s="139">
        <f>IFERROR(__xludf.DUMMYFUNCTION("""COMPUTED_VALUE"""),67.0)</f>
        <v>67</v>
      </c>
      <c r="K2149" s="139">
        <f>IFERROR(__xludf.DUMMYFUNCTION("""COMPUTED_VALUE"""),0.0)</f>
        <v>0</v>
      </c>
      <c r="L2149" s="139"/>
      <c r="M2149" s="139"/>
      <c r="N2149" s="139"/>
    </row>
    <row r="2150">
      <c r="A2150" s="139" t="str">
        <f>IFERROR(__xludf.DUMMYFUNCTION("""COMPUTED_VALUE"""),"e")</f>
        <v>e</v>
      </c>
      <c r="B2150" s="139">
        <f>IFERROR(__xludf.DUMMYFUNCTION("""COMPUTED_VALUE"""),2.0251001E8)</f>
        <v>202510010</v>
      </c>
      <c r="C2150" s="139" t="str">
        <f>IFERROR(__xludf.DUMMYFUNCTION("""COMPUTED_VALUE"""),"c_spy_00401_frankyget_Boss_Colorless_Appearance_00002")</f>
        <v>c_spy_00401_frankyget_Boss_Colorless_Appearance_00002</v>
      </c>
      <c r="D2150" s="139" t="str">
        <f>IFERROR(__xludf.DUMMYFUNCTION("""COMPUTED_VALUE"""),"c_spy_00401_frankyget_Boss_Colorless")</f>
        <v>c_spy_00401_frankyget_Boss_Colorless</v>
      </c>
      <c r="E2150" s="139">
        <f>IFERROR(__xludf.DUMMYFUNCTION("""COMPUTED_VALUE"""),0.0)</f>
        <v>0</v>
      </c>
      <c r="F2150" s="139" t="str">
        <f>IFERROR(__xludf.DUMMYFUNCTION("""COMPUTED_VALUE"""),"Appearance")</f>
        <v>Appearance</v>
      </c>
      <c r="G2150" s="139"/>
      <c r="H2150" s="139"/>
      <c r="I2150" s="139">
        <f>IFERROR(__xludf.DUMMYFUNCTION("""COMPUTED_VALUE"""),50.0)</f>
        <v>50</v>
      </c>
      <c r="J2150" s="139">
        <f>IFERROR(__xludf.DUMMYFUNCTION("""COMPUTED_VALUE"""),0.0)</f>
        <v>0</v>
      </c>
      <c r="K2150" s="139">
        <f>IFERROR(__xludf.DUMMYFUNCTION("""COMPUTED_VALUE"""),0.0)</f>
        <v>0</v>
      </c>
      <c r="L2150" s="139"/>
      <c r="M2150" s="139"/>
      <c r="N2150" s="139"/>
    </row>
    <row r="2151">
      <c r="A2151" s="139" t="str">
        <f>IFERROR(__xludf.DUMMYFUNCTION("""COMPUTED_VALUE"""),"e")</f>
        <v>e</v>
      </c>
      <c r="B2151" s="139">
        <f>IFERROR(__xludf.DUMMYFUNCTION("""COMPUTED_VALUE"""),2.0251001E8)</f>
        <v>202510010</v>
      </c>
      <c r="C2151" s="139" t="str">
        <f>IFERROR(__xludf.DUMMYFUNCTION("""COMPUTED_VALUE"""),"c_spy_00401_frankyget_Boss_Yellow_Normal_00000")</f>
        <v>c_spy_00401_frankyget_Boss_Yellow_Normal_00000</v>
      </c>
      <c r="D2151" s="139" t="str">
        <f>IFERROR(__xludf.DUMMYFUNCTION("""COMPUTED_VALUE"""),"c_spy_00401_frankyget_Boss_Yellow")</f>
        <v>c_spy_00401_frankyget_Boss_Yellow</v>
      </c>
      <c r="E2151" s="139">
        <f>IFERROR(__xludf.DUMMYFUNCTION("""COMPUTED_VALUE"""),0.0)</f>
        <v>0</v>
      </c>
      <c r="F2151" s="139" t="str">
        <f>IFERROR(__xludf.DUMMYFUNCTION("""COMPUTED_VALUE"""),"Normal")</f>
        <v>Normal</v>
      </c>
      <c r="G2151" s="139"/>
      <c r="H2151" s="139"/>
      <c r="I2151" s="139">
        <f>IFERROR(__xludf.DUMMYFUNCTION("""COMPUTED_VALUE"""),60.0)</f>
        <v>60</v>
      </c>
      <c r="J2151" s="139">
        <f>IFERROR(__xludf.DUMMYFUNCTION("""COMPUTED_VALUE"""),25.0)</f>
        <v>25</v>
      </c>
      <c r="K2151" s="139">
        <f>IFERROR(__xludf.DUMMYFUNCTION("""COMPUTED_VALUE"""),75.0)</f>
        <v>75</v>
      </c>
      <c r="L2151" s="139"/>
      <c r="M2151" s="139"/>
      <c r="N2151" s="139"/>
    </row>
    <row r="2152">
      <c r="A2152" s="139" t="str">
        <f>IFERROR(__xludf.DUMMYFUNCTION("""COMPUTED_VALUE"""),"e")</f>
        <v>e</v>
      </c>
      <c r="B2152" s="139">
        <f>IFERROR(__xludf.DUMMYFUNCTION("""COMPUTED_VALUE"""),2.0251001E8)</f>
        <v>202510010</v>
      </c>
      <c r="C2152" s="139" t="str">
        <f>IFERROR(__xludf.DUMMYFUNCTION("""COMPUTED_VALUE"""),"c_spy_00401_frankyget_Boss_Yellow_Special_00001")</f>
        <v>c_spy_00401_frankyget_Boss_Yellow_Special_00001</v>
      </c>
      <c r="D2152" s="139" t="str">
        <f>IFERROR(__xludf.DUMMYFUNCTION("""COMPUTED_VALUE"""),"c_spy_00401_frankyget_Boss_Yellow")</f>
        <v>c_spy_00401_frankyget_Boss_Yellow</v>
      </c>
      <c r="E2152" s="139">
        <f>IFERROR(__xludf.DUMMYFUNCTION("""COMPUTED_VALUE"""),0.0)</f>
        <v>0</v>
      </c>
      <c r="F2152" s="139" t="str">
        <f>IFERROR(__xludf.DUMMYFUNCTION("""COMPUTED_VALUE"""),"Special")</f>
        <v>Special</v>
      </c>
      <c r="G2152" s="139"/>
      <c r="H2152" s="139"/>
      <c r="I2152" s="139">
        <f>IFERROR(__xludf.DUMMYFUNCTION("""COMPUTED_VALUE"""),138.0)</f>
        <v>138</v>
      </c>
      <c r="J2152" s="139">
        <f>IFERROR(__xludf.DUMMYFUNCTION("""COMPUTED_VALUE"""),67.0)</f>
        <v>67</v>
      </c>
      <c r="K2152" s="139">
        <f>IFERROR(__xludf.DUMMYFUNCTION("""COMPUTED_VALUE"""),0.0)</f>
        <v>0</v>
      </c>
      <c r="L2152" s="139"/>
      <c r="M2152" s="139"/>
      <c r="N2152" s="139"/>
    </row>
    <row r="2153">
      <c r="A2153" s="139" t="str">
        <f>IFERROR(__xludf.DUMMYFUNCTION("""COMPUTED_VALUE"""),"e")</f>
        <v>e</v>
      </c>
      <c r="B2153" s="139">
        <f>IFERROR(__xludf.DUMMYFUNCTION("""COMPUTED_VALUE"""),2.0251001E8)</f>
        <v>202510010</v>
      </c>
      <c r="C2153" s="139" t="str">
        <f>IFERROR(__xludf.DUMMYFUNCTION("""COMPUTED_VALUE"""),"c_spy_00401_frankyget_Boss_Yellow_Appearance_00002")</f>
        <v>c_spy_00401_frankyget_Boss_Yellow_Appearance_00002</v>
      </c>
      <c r="D2153" s="139" t="str">
        <f>IFERROR(__xludf.DUMMYFUNCTION("""COMPUTED_VALUE"""),"c_spy_00401_frankyget_Boss_Yellow")</f>
        <v>c_spy_00401_frankyget_Boss_Yellow</v>
      </c>
      <c r="E2153" s="139">
        <f>IFERROR(__xludf.DUMMYFUNCTION("""COMPUTED_VALUE"""),0.0)</f>
        <v>0</v>
      </c>
      <c r="F2153" s="139" t="str">
        <f>IFERROR(__xludf.DUMMYFUNCTION("""COMPUTED_VALUE"""),"Appearance")</f>
        <v>Appearance</v>
      </c>
      <c r="G2153" s="139"/>
      <c r="H2153" s="139"/>
      <c r="I2153" s="139">
        <f>IFERROR(__xludf.DUMMYFUNCTION("""COMPUTED_VALUE"""),50.0)</f>
        <v>50</v>
      </c>
      <c r="J2153" s="139">
        <f>IFERROR(__xludf.DUMMYFUNCTION("""COMPUTED_VALUE"""),0.0)</f>
        <v>0</v>
      </c>
      <c r="K2153" s="139">
        <f>IFERROR(__xludf.DUMMYFUNCTION("""COMPUTED_VALUE"""),0.0)</f>
        <v>0</v>
      </c>
      <c r="L2153" s="139"/>
      <c r="M2153" s="139"/>
      <c r="N2153" s="139"/>
    </row>
    <row r="2154">
      <c r="A2154" s="139" t="str">
        <f>IFERROR(__xludf.DUMMYFUNCTION("""COMPUTED_VALUE"""),"e")</f>
        <v>e</v>
      </c>
      <c r="B2154" s="139">
        <f>IFERROR(__xludf.DUMMYFUNCTION("""COMPUTED_VALUE"""),2.0250901E8)</f>
        <v>202509010</v>
      </c>
      <c r="C2154" s="139" t="str">
        <f>IFERROR(__xludf.DUMMYFUNCTION("""COMPUTED_VALUE"""),"e_spy_00101_frankyget_Normal_Yellow_Normal_00000")</f>
        <v>e_spy_00101_frankyget_Normal_Yellow_Normal_00000</v>
      </c>
      <c r="D2154" s="139" t="str">
        <f>IFERROR(__xludf.DUMMYFUNCTION("""COMPUTED_VALUE"""),"e_spy_00101_frankyget_Normal_Yellow")</f>
        <v>e_spy_00101_frankyget_Normal_Yellow</v>
      </c>
      <c r="E2154" s="139">
        <f>IFERROR(__xludf.DUMMYFUNCTION("""COMPUTED_VALUE"""),0.0)</f>
        <v>0</v>
      </c>
      <c r="F2154" s="139" t="str">
        <f>IFERROR(__xludf.DUMMYFUNCTION("""COMPUTED_VALUE"""),"Normal")</f>
        <v>Normal</v>
      </c>
      <c r="G2154" s="139"/>
      <c r="H2154" s="139"/>
      <c r="I2154" s="139">
        <f>IFERROR(__xludf.DUMMYFUNCTION("""COMPUTED_VALUE"""),60.0)</f>
        <v>60</v>
      </c>
      <c r="J2154" s="139">
        <f>IFERROR(__xludf.DUMMYFUNCTION("""COMPUTED_VALUE"""),25.0)</f>
        <v>25</v>
      </c>
      <c r="K2154" s="139">
        <f>IFERROR(__xludf.DUMMYFUNCTION("""COMPUTED_VALUE"""),75.0)</f>
        <v>75</v>
      </c>
      <c r="L2154" s="139"/>
      <c r="M2154" s="139"/>
      <c r="N2154" s="139"/>
    </row>
    <row r="2155">
      <c r="A2155" s="139" t="str">
        <f>IFERROR(__xludf.DUMMYFUNCTION("""COMPUTED_VALUE"""),"e")</f>
        <v>e</v>
      </c>
      <c r="B2155" s="139">
        <f>IFERROR(__xludf.DUMMYFUNCTION("""COMPUTED_VALUE"""),2.0251001E8)</f>
        <v>202510010</v>
      </c>
      <c r="C2155" s="139" t="str">
        <f>IFERROR(__xludf.DUMMYFUNCTION("""COMPUTED_VALUE"""),"c_spy_00101_frankyget_Boss_Yellow_Normal_00000")</f>
        <v>c_spy_00101_frankyget_Boss_Yellow_Normal_00000</v>
      </c>
      <c r="D2155" s="139" t="str">
        <f>IFERROR(__xludf.DUMMYFUNCTION("""COMPUTED_VALUE"""),"c_spy_00101_frankyget_Boss_Yellow")</f>
        <v>c_spy_00101_frankyget_Boss_Yellow</v>
      </c>
      <c r="E2155" s="139">
        <f>IFERROR(__xludf.DUMMYFUNCTION("""COMPUTED_VALUE"""),0.0)</f>
        <v>0</v>
      </c>
      <c r="F2155" s="139" t="str">
        <f>IFERROR(__xludf.DUMMYFUNCTION("""COMPUTED_VALUE"""),"Normal")</f>
        <v>Normal</v>
      </c>
      <c r="G2155" s="139"/>
      <c r="H2155" s="139"/>
      <c r="I2155" s="139">
        <f>IFERROR(__xludf.DUMMYFUNCTION("""COMPUTED_VALUE"""),82.0)</f>
        <v>82</v>
      </c>
      <c r="J2155" s="139">
        <f>IFERROR(__xludf.DUMMYFUNCTION("""COMPUTED_VALUE"""),42.0)</f>
        <v>42</v>
      </c>
      <c r="K2155" s="139">
        <f>IFERROR(__xludf.DUMMYFUNCTION("""COMPUTED_VALUE"""),100.0)</f>
        <v>100</v>
      </c>
      <c r="L2155" s="139"/>
      <c r="M2155" s="139"/>
      <c r="N2155" s="139"/>
    </row>
    <row r="2156">
      <c r="A2156" s="139" t="str">
        <f>IFERROR(__xludf.DUMMYFUNCTION("""COMPUTED_VALUE"""),"e")</f>
        <v>e</v>
      </c>
      <c r="B2156" s="139">
        <f>IFERROR(__xludf.DUMMYFUNCTION("""COMPUTED_VALUE"""),2.0251001E8)</f>
        <v>202510010</v>
      </c>
      <c r="C2156" s="139" t="str">
        <f>IFERROR(__xludf.DUMMYFUNCTION("""COMPUTED_VALUE"""),"c_spy_00101_frankyget_Boss_Yellow_Special_00001")</f>
        <v>c_spy_00101_frankyget_Boss_Yellow_Special_00001</v>
      </c>
      <c r="D2156" s="139" t="str">
        <f>IFERROR(__xludf.DUMMYFUNCTION("""COMPUTED_VALUE"""),"c_spy_00101_frankyget_Boss_Yellow")</f>
        <v>c_spy_00101_frankyget_Boss_Yellow</v>
      </c>
      <c r="E2156" s="139">
        <f>IFERROR(__xludf.DUMMYFUNCTION("""COMPUTED_VALUE"""),0.0)</f>
        <v>0</v>
      </c>
      <c r="F2156" s="139" t="str">
        <f>IFERROR(__xludf.DUMMYFUNCTION("""COMPUTED_VALUE"""),"Special")</f>
        <v>Special</v>
      </c>
      <c r="G2156" s="139"/>
      <c r="H2156" s="139"/>
      <c r="I2156" s="139">
        <f>IFERROR(__xludf.DUMMYFUNCTION("""COMPUTED_VALUE"""),125.0)</f>
        <v>125</v>
      </c>
      <c r="J2156" s="139">
        <f>IFERROR(__xludf.DUMMYFUNCTION("""COMPUTED_VALUE"""),67.0)</f>
        <v>67</v>
      </c>
      <c r="K2156" s="139">
        <f>IFERROR(__xludf.DUMMYFUNCTION("""COMPUTED_VALUE"""),0.0)</f>
        <v>0</v>
      </c>
      <c r="L2156" s="139"/>
      <c r="M2156" s="139"/>
      <c r="N2156" s="139"/>
    </row>
    <row r="2157">
      <c r="A2157" s="139" t="str">
        <f>IFERROR(__xludf.DUMMYFUNCTION("""COMPUTED_VALUE"""),"e")</f>
        <v>e</v>
      </c>
      <c r="B2157" s="139">
        <f>IFERROR(__xludf.DUMMYFUNCTION("""COMPUTED_VALUE"""),2.0251001E8)</f>
        <v>202510010</v>
      </c>
      <c r="C2157" s="139" t="str">
        <f>IFERROR(__xludf.DUMMYFUNCTION("""COMPUTED_VALUE"""),"c_spy_00101_frankyget_Boss_Yellow_Appearance_00002")</f>
        <v>c_spy_00101_frankyget_Boss_Yellow_Appearance_00002</v>
      </c>
      <c r="D2157" s="139" t="str">
        <f>IFERROR(__xludf.DUMMYFUNCTION("""COMPUTED_VALUE"""),"c_spy_00101_frankyget_Boss_Yellow")</f>
        <v>c_spy_00101_frankyget_Boss_Yellow</v>
      </c>
      <c r="E2157" s="139">
        <f>IFERROR(__xludf.DUMMYFUNCTION("""COMPUTED_VALUE"""),0.0)</f>
        <v>0</v>
      </c>
      <c r="F2157" s="139" t="str">
        <f>IFERROR(__xludf.DUMMYFUNCTION("""COMPUTED_VALUE"""),"Appearance")</f>
        <v>Appearance</v>
      </c>
      <c r="G2157" s="139"/>
      <c r="H2157" s="139"/>
      <c r="I2157" s="139">
        <f>IFERROR(__xludf.DUMMYFUNCTION("""COMPUTED_VALUE"""),50.0)</f>
        <v>50</v>
      </c>
      <c r="J2157" s="139">
        <f>IFERROR(__xludf.DUMMYFUNCTION("""COMPUTED_VALUE"""),0.0)</f>
        <v>0</v>
      </c>
      <c r="K2157" s="139">
        <f>IFERROR(__xludf.DUMMYFUNCTION("""COMPUTED_VALUE"""),0.0)</f>
        <v>0</v>
      </c>
      <c r="L2157" s="139"/>
      <c r="M2157" s="139"/>
      <c r="N2157" s="139"/>
    </row>
    <row r="2158">
      <c r="A2158" s="139" t="str">
        <f>IFERROR(__xludf.DUMMYFUNCTION("""COMPUTED_VALUE"""),"e")</f>
        <v>e</v>
      </c>
      <c r="B2158" s="139">
        <f>IFERROR(__xludf.DUMMYFUNCTION("""COMPUTED_VALUE"""),2.0251001E8)</f>
        <v>202510010</v>
      </c>
      <c r="C2158" s="139" t="str">
        <f>IFERROR(__xludf.DUMMYFUNCTION("""COMPUTED_VALUE"""),"e_spy_00001_frankyget_Normal_Colorless_Normal_00000")</f>
        <v>e_spy_00001_frankyget_Normal_Colorless_Normal_00000</v>
      </c>
      <c r="D2158" s="139" t="str">
        <f>IFERROR(__xludf.DUMMYFUNCTION("""COMPUTED_VALUE"""),"e_spy_00001_frankyget_Normal_Colorless")</f>
        <v>e_spy_00001_frankyget_Normal_Colorless</v>
      </c>
      <c r="E2158" s="139">
        <f>IFERROR(__xludf.DUMMYFUNCTION("""COMPUTED_VALUE"""),0.0)</f>
        <v>0</v>
      </c>
      <c r="F2158" s="139" t="str">
        <f>IFERROR(__xludf.DUMMYFUNCTION("""COMPUTED_VALUE"""),"Normal")</f>
        <v>Normal</v>
      </c>
      <c r="G2158" s="139"/>
      <c r="H2158" s="139"/>
      <c r="I2158" s="139">
        <f>IFERROR(__xludf.DUMMYFUNCTION("""COMPUTED_VALUE"""),50.0)</f>
        <v>50</v>
      </c>
      <c r="J2158" s="139">
        <f>IFERROR(__xludf.DUMMYFUNCTION("""COMPUTED_VALUE"""),9.0)</f>
        <v>9</v>
      </c>
      <c r="K2158" s="139">
        <f>IFERROR(__xludf.DUMMYFUNCTION("""COMPUTED_VALUE"""),50.0)</f>
        <v>50</v>
      </c>
      <c r="L2158" s="139"/>
      <c r="M2158" s="139"/>
      <c r="N2158" s="139"/>
    </row>
    <row r="2159">
      <c r="A2159" s="139" t="str">
        <f>IFERROR(__xludf.DUMMYFUNCTION("""COMPUTED_VALUE"""),"e")</f>
        <v>e</v>
      </c>
      <c r="B2159" s="139">
        <f>IFERROR(__xludf.DUMMYFUNCTION("""COMPUTED_VALUE"""),2.0251001E8)</f>
        <v>202510010</v>
      </c>
      <c r="C2159" s="139" t="str">
        <f>IFERROR(__xludf.DUMMYFUNCTION("""COMPUTED_VALUE"""),"c_spy_00201_frankyget_Boss_Yellow_Special_00000")</f>
        <v>c_spy_00201_frankyget_Boss_Yellow_Special_00000</v>
      </c>
      <c r="D2159" s="139" t="str">
        <f>IFERROR(__xludf.DUMMYFUNCTION("""COMPUTED_VALUE"""),"c_spy_00201_frankyget_Boss_Yellow")</f>
        <v>c_spy_00201_frankyget_Boss_Yellow</v>
      </c>
      <c r="E2159" s="139">
        <f>IFERROR(__xludf.DUMMYFUNCTION("""COMPUTED_VALUE"""),0.0)</f>
        <v>0</v>
      </c>
      <c r="F2159" s="139" t="str">
        <f>IFERROR(__xludf.DUMMYFUNCTION("""COMPUTED_VALUE"""),"Normal")</f>
        <v>Normal</v>
      </c>
      <c r="G2159" s="139"/>
      <c r="H2159" s="139"/>
      <c r="I2159" s="139">
        <f>IFERROR(__xludf.DUMMYFUNCTION("""COMPUTED_VALUE"""),71.0)</f>
        <v>71</v>
      </c>
      <c r="J2159" s="139">
        <f>IFERROR(__xludf.DUMMYFUNCTION("""COMPUTED_VALUE"""),31.0)</f>
        <v>31</v>
      </c>
      <c r="K2159" s="139">
        <f>IFERROR(__xludf.DUMMYFUNCTION("""COMPUTED_VALUE"""),80.0)</f>
        <v>80</v>
      </c>
      <c r="L2159" s="139"/>
      <c r="M2159" s="139"/>
      <c r="N2159" s="139"/>
    </row>
    <row r="2160">
      <c r="A2160" s="139" t="str">
        <f>IFERROR(__xludf.DUMMYFUNCTION("""COMPUTED_VALUE"""),"e")</f>
        <v>e</v>
      </c>
      <c r="B2160" s="139">
        <f>IFERROR(__xludf.DUMMYFUNCTION("""COMPUTED_VALUE"""),2.0251001E8)</f>
        <v>202510010</v>
      </c>
      <c r="C2160" s="139" t="str">
        <f>IFERROR(__xludf.DUMMYFUNCTION("""COMPUTED_VALUE"""),"c_spy_00201_frankyget_Boss_Yellow_Normal_00001")</f>
        <v>c_spy_00201_frankyget_Boss_Yellow_Normal_00001</v>
      </c>
      <c r="D2160" s="139" t="str">
        <f>IFERROR(__xludf.DUMMYFUNCTION("""COMPUTED_VALUE"""),"c_spy_00201_frankyget_Boss_Yellow")</f>
        <v>c_spy_00201_frankyget_Boss_Yellow</v>
      </c>
      <c r="E2160" s="139">
        <f>IFERROR(__xludf.DUMMYFUNCTION("""COMPUTED_VALUE"""),0.0)</f>
        <v>0</v>
      </c>
      <c r="F2160" s="139" t="str">
        <f>IFERROR(__xludf.DUMMYFUNCTION("""COMPUTED_VALUE"""),"Special")</f>
        <v>Special</v>
      </c>
      <c r="G2160" s="139"/>
      <c r="H2160" s="139"/>
      <c r="I2160" s="139">
        <f>IFERROR(__xludf.DUMMYFUNCTION("""COMPUTED_VALUE"""),125.0)</f>
        <v>125</v>
      </c>
      <c r="J2160" s="139">
        <f>IFERROR(__xludf.DUMMYFUNCTION("""COMPUTED_VALUE"""),37.0)</f>
        <v>37</v>
      </c>
      <c r="K2160" s="139">
        <f>IFERROR(__xludf.DUMMYFUNCTION("""COMPUTED_VALUE"""),0.0)</f>
        <v>0</v>
      </c>
      <c r="L2160" s="139"/>
      <c r="M2160" s="139"/>
      <c r="N2160" s="139"/>
    </row>
    <row r="2161">
      <c r="A2161" s="139" t="str">
        <f>IFERROR(__xludf.DUMMYFUNCTION("""COMPUTED_VALUE"""),"e")</f>
        <v>e</v>
      </c>
      <c r="B2161" s="139">
        <f>IFERROR(__xludf.DUMMYFUNCTION("""COMPUTED_VALUE"""),2.0251001E8)</f>
        <v>202510010</v>
      </c>
      <c r="C2161" s="139" t="str">
        <f>IFERROR(__xludf.DUMMYFUNCTION("""COMPUTED_VALUE"""),"c_spy_00201_frankyget_Boss_Yellow_Appearance_00002")</f>
        <v>c_spy_00201_frankyget_Boss_Yellow_Appearance_00002</v>
      </c>
      <c r="D2161" s="139" t="str">
        <f>IFERROR(__xludf.DUMMYFUNCTION("""COMPUTED_VALUE"""),"c_spy_00201_frankyget_Boss_Yellow")</f>
        <v>c_spy_00201_frankyget_Boss_Yellow</v>
      </c>
      <c r="E2161" s="139">
        <f>IFERROR(__xludf.DUMMYFUNCTION("""COMPUTED_VALUE"""),0.0)</f>
        <v>0</v>
      </c>
      <c r="F2161" s="139" t="str">
        <f>IFERROR(__xludf.DUMMYFUNCTION("""COMPUTED_VALUE"""),"Appearance")</f>
        <v>Appearance</v>
      </c>
      <c r="G2161" s="139"/>
      <c r="H2161" s="139"/>
      <c r="I2161" s="139">
        <f>IFERROR(__xludf.DUMMYFUNCTION("""COMPUTED_VALUE"""),50.0)</f>
        <v>50</v>
      </c>
      <c r="J2161" s="139">
        <f>IFERROR(__xludf.DUMMYFUNCTION("""COMPUTED_VALUE"""),0.0)</f>
        <v>0</v>
      </c>
      <c r="K2161" s="139">
        <f>IFERROR(__xludf.DUMMYFUNCTION("""COMPUTED_VALUE"""),0.0)</f>
        <v>0</v>
      </c>
      <c r="L2161" s="139"/>
      <c r="M2161" s="139"/>
      <c r="N2161" s="139"/>
    </row>
    <row r="2162">
      <c r="A2162" s="139" t="str">
        <f>IFERROR(__xludf.DUMMYFUNCTION("""COMPUTED_VALUE"""),"e")</f>
        <v>e</v>
      </c>
      <c r="B2162" s="139">
        <f>IFERROR(__xludf.DUMMYFUNCTION("""COMPUTED_VALUE"""),2.0251001E8)</f>
        <v>202510010</v>
      </c>
      <c r="C2162" s="139" t="str">
        <f>IFERROR(__xludf.DUMMYFUNCTION("""COMPUTED_VALUE"""),"c_spy_00101_damianget_Boss_Colorless_Normal_00000")</f>
        <v>c_spy_00101_damianget_Boss_Colorless_Normal_00000</v>
      </c>
      <c r="D2162" s="139" t="str">
        <f>IFERROR(__xludf.DUMMYFUNCTION("""COMPUTED_VALUE"""),"c_spy_00101_damianget_Boss_Colorless")</f>
        <v>c_spy_00101_damianget_Boss_Colorless</v>
      </c>
      <c r="E2162" s="139">
        <f>IFERROR(__xludf.DUMMYFUNCTION("""COMPUTED_VALUE"""),0.0)</f>
        <v>0</v>
      </c>
      <c r="F2162" s="139" t="str">
        <f>IFERROR(__xludf.DUMMYFUNCTION("""COMPUTED_VALUE"""),"Normal")</f>
        <v>Normal</v>
      </c>
      <c r="G2162" s="139"/>
      <c r="H2162" s="139"/>
      <c r="I2162" s="139">
        <f>IFERROR(__xludf.DUMMYFUNCTION("""COMPUTED_VALUE"""),82.0)</f>
        <v>82</v>
      </c>
      <c r="J2162" s="139">
        <f>IFERROR(__xludf.DUMMYFUNCTION("""COMPUTED_VALUE"""),42.0)</f>
        <v>42</v>
      </c>
      <c r="K2162" s="139">
        <f>IFERROR(__xludf.DUMMYFUNCTION("""COMPUTED_VALUE"""),90.0)</f>
        <v>90</v>
      </c>
      <c r="L2162" s="139"/>
      <c r="M2162" s="139"/>
      <c r="N2162" s="139"/>
    </row>
    <row r="2163">
      <c r="A2163" s="139" t="str">
        <f>IFERROR(__xludf.DUMMYFUNCTION("""COMPUTED_VALUE"""),"e")</f>
        <v>e</v>
      </c>
      <c r="B2163" s="139">
        <f>IFERROR(__xludf.DUMMYFUNCTION("""COMPUTED_VALUE"""),2.0251001E8)</f>
        <v>202510010</v>
      </c>
      <c r="C2163" s="139" t="str">
        <f>IFERROR(__xludf.DUMMYFUNCTION("""COMPUTED_VALUE"""),"c_spy_00101_damianget_Boss_Colorless_Special_00001")</f>
        <v>c_spy_00101_damianget_Boss_Colorless_Special_00001</v>
      </c>
      <c r="D2163" s="139" t="str">
        <f>IFERROR(__xludf.DUMMYFUNCTION("""COMPUTED_VALUE"""),"c_spy_00101_damianget_Boss_Colorless")</f>
        <v>c_spy_00101_damianget_Boss_Colorless</v>
      </c>
      <c r="E2163" s="139">
        <f>IFERROR(__xludf.DUMMYFUNCTION("""COMPUTED_VALUE"""),0.0)</f>
        <v>0</v>
      </c>
      <c r="F2163" s="139" t="str">
        <f>IFERROR(__xludf.DUMMYFUNCTION("""COMPUTED_VALUE"""),"Special")</f>
        <v>Special</v>
      </c>
      <c r="G2163" s="139"/>
      <c r="H2163" s="139"/>
      <c r="I2163" s="139">
        <f>IFERROR(__xludf.DUMMYFUNCTION("""COMPUTED_VALUE"""),125.0)</f>
        <v>125</v>
      </c>
      <c r="J2163" s="139">
        <f>IFERROR(__xludf.DUMMYFUNCTION("""COMPUTED_VALUE"""),67.0)</f>
        <v>67</v>
      </c>
      <c r="K2163" s="139">
        <f>IFERROR(__xludf.DUMMYFUNCTION("""COMPUTED_VALUE"""),0.0)</f>
        <v>0</v>
      </c>
      <c r="L2163" s="139"/>
      <c r="M2163" s="139"/>
      <c r="N2163" s="139"/>
    </row>
    <row r="2164">
      <c r="A2164" s="139" t="str">
        <f>IFERROR(__xludf.DUMMYFUNCTION("""COMPUTED_VALUE"""),"e")</f>
        <v>e</v>
      </c>
      <c r="B2164" s="139">
        <f>IFERROR(__xludf.DUMMYFUNCTION("""COMPUTED_VALUE"""),2.0251001E8)</f>
        <v>202510010</v>
      </c>
      <c r="C2164" s="139" t="str">
        <f>IFERROR(__xludf.DUMMYFUNCTION("""COMPUTED_VALUE"""),"c_spy_00101_damianget_Boss_Colorless_Appearance_00002")</f>
        <v>c_spy_00101_damianget_Boss_Colorless_Appearance_00002</v>
      </c>
      <c r="D2164" s="139" t="str">
        <f>IFERROR(__xludf.DUMMYFUNCTION("""COMPUTED_VALUE"""),"c_spy_00101_damianget_Boss_Colorless")</f>
        <v>c_spy_00101_damianget_Boss_Colorless</v>
      </c>
      <c r="E2164" s="139">
        <f>IFERROR(__xludf.DUMMYFUNCTION("""COMPUTED_VALUE"""),0.0)</f>
        <v>0</v>
      </c>
      <c r="F2164" s="139" t="str">
        <f>IFERROR(__xludf.DUMMYFUNCTION("""COMPUTED_VALUE"""),"Appearance")</f>
        <v>Appearance</v>
      </c>
      <c r="G2164" s="139"/>
      <c r="H2164" s="139"/>
      <c r="I2164" s="139">
        <f>IFERROR(__xludf.DUMMYFUNCTION("""COMPUTED_VALUE"""),50.0)</f>
        <v>50</v>
      </c>
      <c r="J2164" s="139">
        <f>IFERROR(__xludf.DUMMYFUNCTION("""COMPUTED_VALUE"""),0.0)</f>
        <v>0</v>
      </c>
      <c r="K2164" s="139">
        <f>IFERROR(__xludf.DUMMYFUNCTION("""COMPUTED_VALUE"""),0.0)</f>
        <v>0</v>
      </c>
      <c r="L2164" s="139"/>
      <c r="M2164" s="139"/>
      <c r="N2164" s="139"/>
    </row>
    <row r="2165">
      <c r="A2165" s="139" t="str">
        <f>IFERROR(__xludf.DUMMYFUNCTION("""COMPUTED_VALUE"""),"e")</f>
        <v>e</v>
      </c>
      <c r="B2165" s="139">
        <f>IFERROR(__xludf.DUMMYFUNCTION("""COMPUTED_VALUE"""),2.0251001E8)</f>
        <v>202510010</v>
      </c>
      <c r="C2165" s="139" t="str">
        <f>IFERROR(__xludf.DUMMYFUNCTION("""COMPUTED_VALUE"""),"c_spy_00201_damianget_Boss_Red_Normal_00000")</f>
        <v>c_spy_00201_damianget_Boss_Red_Normal_00000</v>
      </c>
      <c r="D2165" s="139" t="str">
        <f>IFERROR(__xludf.DUMMYFUNCTION("""COMPUTED_VALUE"""),"c_spy_00201_damianget_Boss_Red")</f>
        <v>c_spy_00201_damianget_Boss_Red</v>
      </c>
      <c r="E2165" s="139">
        <f>IFERROR(__xludf.DUMMYFUNCTION("""COMPUTED_VALUE"""),0.0)</f>
        <v>0</v>
      </c>
      <c r="F2165" s="139" t="str">
        <f>IFERROR(__xludf.DUMMYFUNCTION("""COMPUTED_VALUE"""),"Normal")</f>
        <v>Normal</v>
      </c>
      <c r="G2165" s="139"/>
      <c r="H2165" s="139"/>
      <c r="I2165" s="139">
        <f>IFERROR(__xludf.DUMMYFUNCTION("""COMPUTED_VALUE"""),71.0)</f>
        <v>71</v>
      </c>
      <c r="J2165" s="139">
        <f>IFERROR(__xludf.DUMMYFUNCTION("""COMPUTED_VALUE"""),31.0)</f>
        <v>31</v>
      </c>
      <c r="K2165" s="139">
        <f>IFERROR(__xludf.DUMMYFUNCTION("""COMPUTED_VALUE"""),85.0)</f>
        <v>85</v>
      </c>
      <c r="L2165" s="139"/>
      <c r="M2165" s="139"/>
      <c r="N2165" s="139"/>
    </row>
    <row r="2166">
      <c r="A2166" s="139" t="str">
        <f>IFERROR(__xludf.DUMMYFUNCTION("""COMPUTED_VALUE"""),"e")</f>
        <v>e</v>
      </c>
      <c r="B2166" s="139">
        <f>IFERROR(__xludf.DUMMYFUNCTION("""COMPUTED_VALUE"""),2.0251001E8)</f>
        <v>202510010</v>
      </c>
      <c r="C2166" s="139" t="str">
        <f>IFERROR(__xludf.DUMMYFUNCTION("""COMPUTED_VALUE"""),"c_spy_00201_damianget_Boss_Red_Special_00001")</f>
        <v>c_spy_00201_damianget_Boss_Red_Special_00001</v>
      </c>
      <c r="D2166" s="139" t="str">
        <f>IFERROR(__xludf.DUMMYFUNCTION("""COMPUTED_VALUE"""),"c_spy_00201_damianget_Boss_Red")</f>
        <v>c_spy_00201_damianget_Boss_Red</v>
      </c>
      <c r="E2166" s="139">
        <f>IFERROR(__xludf.DUMMYFUNCTION("""COMPUTED_VALUE"""),0.0)</f>
        <v>0</v>
      </c>
      <c r="F2166" s="139" t="str">
        <f>IFERROR(__xludf.DUMMYFUNCTION("""COMPUTED_VALUE"""),"Special")</f>
        <v>Special</v>
      </c>
      <c r="G2166" s="139"/>
      <c r="H2166" s="139"/>
      <c r="I2166" s="139">
        <f>IFERROR(__xludf.DUMMYFUNCTION("""COMPUTED_VALUE"""),125.0)</f>
        <v>125</v>
      </c>
      <c r="J2166" s="139">
        <f>IFERROR(__xludf.DUMMYFUNCTION("""COMPUTED_VALUE"""),37.0)</f>
        <v>37</v>
      </c>
      <c r="K2166" s="139">
        <f>IFERROR(__xludf.DUMMYFUNCTION("""COMPUTED_VALUE"""),0.0)</f>
        <v>0</v>
      </c>
      <c r="L2166" s="139"/>
      <c r="M2166" s="139"/>
      <c r="N2166" s="139"/>
    </row>
    <row r="2167">
      <c r="A2167" s="139" t="str">
        <f>IFERROR(__xludf.DUMMYFUNCTION("""COMPUTED_VALUE"""),"e")</f>
        <v>e</v>
      </c>
      <c r="B2167" s="139">
        <f>IFERROR(__xludf.DUMMYFUNCTION("""COMPUTED_VALUE"""),2.0251001E8)</f>
        <v>202510010</v>
      </c>
      <c r="C2167" s="139" t="str">
        <f>IFERROR(__xludf.DUMMYFUNCTION("""COMPUTED_VALUE"""),"c_spy_00201_damianget_Boss_Red_Appearance_00002")</f>
        <v>c_spy_00201_damianget_Boss_Red_Appearance_00002</v>
      </c>
      <c r="D2167" s="139" t="str">
        <f>IFERROR(__xludf.DUMMYFUNCTION("""COMPUTED_VALUE"""),"c_spy_00201_damianget_Boss_Red")</f>
        <v>c_spy_00201_damianget_Boss_Red</v>
      </c>
      <c r="E2167" s="139">
        <f>IFERROR(__xludf.DUMMYFUNCTION("""COMPUTED_VALUE"""),0.0)</f>
        <v>0</v>
      </c>
      <c r="F2167" s="139" t="str">
        <f>IFERROR(__xludf.DUMMYFUNCTION("""COMPUTED_VALUE"""),"Appearance")</f>
        <v>Appearance</v>
      </c>
      <c r="G2167" s="139"/>
      <c r="H2167" s="139"/>
      <c r="I2167" s="139">
        <f>IFERROR(__xludf.DUMMYFUNCTION("""COMPUTED_VALUE"""),50.0)</f>
        <v>50</v>
      </c>
      <c r="J2167" s="139">
        <f>IFERROR(__xludf.DUMMYFUNCTION("""COMPUTED_VALUE"""),0.0)</f>
        <v>0</v>
      </c>
      <c r="K2167" s="139">
        <f>IFERROR(__xludf.DUMMYFUNCTION("""COMPUTED_VALUE"""),0.0)</f>
        <v>0</v>
      </c>
      <c r="L2167" s="139"/>
      <c r="M2167" s="139"/>
      <c r="N2167" s="139"/>
    </row>
    <row r="2168">
      <c r="A2168" s="139" t="str">
        <f>IFERROR(__xludf.DUMMYFUNCTION("""COMPUTED_VALUE"""),"e")</f>
        <v>e</v>
      </c>
      <c r="B2168" s="139">
        <f>IFERROR(__xludf.DUMMYFUNCTION("""COMPUTED_VALUE"""),2.0251001E8)</f>
        <v>202510010</v>
      </c>
      <c r="C2168" s="139" t="str">
        <f>IFERROR(__xludf.DUMMYFUNCTION("""COMPUTED_VALUE"""),"e_spy_00101_damianget_Normal_Colorless_Normal_00000")</f>
        <v>e_spy_00101_damianget_Normal_Colorless_Normal_00000</v>
      </c>
      <c r="D2168" s="139" t="str">
        <f>IFERROR(__xludf.DUMMYFUNCTION("""COMPUTED_VALUE"""),"e_spy_00101_damianget_Normal_Colorless")</f>
        <v>e_spy_00101_damianget_Normal_Colorless</v>
      </c>
      <c r="E2168" s="139">
        <f>IFERROR(__xludf.DUMMYFUNCTION("""COMPUTED_VALUE"""),0.0)</f>
        <v>0</v>
      </c>
      <c r="F2168" s="139" t="str">
        <f>IFERROR(__xludf.DUMMYFUNCTION("""COMPUTED_VALUE"""),"Normal")</f>
        <v>Normal</v>
      </c>
      <c r="G2168" s="139"/>
      <c r="H2168" s="139"/>
      <c r="I2168" s="139">
        <f>IFERROR(__xludf.DUMMYFUNCTION("""COMPUTED_VALUE"""),60.0)</f>
        <v>60</v>
      </c>
      <c r="J2168" s="139">
        <f>IFERROR(__xludf.DUMMYFUNCTION("""COMPUTED_VALUE"""),25.0)</f>
        <v>25</v>
      </c>
      <c r="K2168" s="139">
        <f>IFERROR(__xludf.DUMMYFUNCTION("""COMPUTED_VALUE"""),75.0)</f>
        <v>75</v>
      </c>
      <c r="L2168" s="139"/>
      <c r="M2168" s="139"/>
      <c r="N2168" s="139"/>
    </row>
    <row r="2169">
      <c r="A2169" s="139" t="str">
        <f>IFERROR(__xludf.DUMMYFUNCTION("""COMPUTED_VALUE"""),"e")</f>
        <v>e</v>
      </c>
      <c r="B2169" s="139">
        <f>IFERROR(__xludf.DUMMYFUNCTION("""COMPUTED_VALUE"""),2.0251001E8)</f>
        <v>202510010</v>
      </c>
      <c r="C2169" s="139" t="str">
        <f>IFERROR(__xludf.DUMMYFUNCTION("""COMPUTED_VALUE"""),"c_spy_00101_damianget_Boss_Red_Normal_00000")</f>
        <v>c_spy_00101_damianget_Boss_Red_Normal_00000</v>
      </c>
      <c r="D2169" s="139" t="str">
        <f>IFERROR(__xludf.DUMMYFUNCTION("""COMPUTED_VALUE"""),"c_spy_00101_damianget_Boss_Red")</f>
        <v>c_spy_00101_damianget_Boss_Red</v>
      </c>
      <c r="E2169" s="139">
        <f>IFERROR(__xludf.DUMMYFUNCTION("""COMPUTED_VALUE"""),0.0)</f>
        <v>0</v>
      </c>
      <c r="F2169" s="139" t="str">
        <f>IFERROR(__xludf.DUMMYFUNCTION("""COMPUTED_VALUE"""),"Normal")</f>
        <v>Normal</v>
      </c>
      <c r="G2169" s="139"/>
      <c r="H2169" s="139"/>
      <c r="I2169" s="139">
        <f>IFERROR(__xludf.DUMMYFUNCTION("""COMPUTED_VALUE"""),82.0)</f>
        <v>82</v>
      </c>
      <c r="J2169" s="139">
        <f>IFERROR(__xludf.DUMMYFUNCTION("""COMPUTED_VALUE"""),42.0)</f>
        <v>42</v>
      </c>
      <c r="K2169" s="139">
        <f>IFERROR(__xludf.DUMMYFUNCTION("""COMPUTED_VALUE"""),80.0)</f>
        <v>80</v>
      </c>
      <c r="L2169" s="139"/>
      <c r="M2169" s="139"/>
      <c r="N2169" s="139"/>
    </row>
    <row r="2170">
      <c r="A2170" s="139" t="str">
        <f>IFERROR(__xludf.DUMMYFUNCTION("""COMPUTED_VALUE"""),"e")</f>
        <v>e</v>
      </c>
      <c r="B2170" s="139">
        <f>IFERROR(__xludf.DUMMYFUNCTION("""COMPUTED_VALUE"""),2.0251001E8)</f>
        <v>202510010</v>
      </c>
      <c r="C2170" s="139" t="str">
        <f>IFERROR(__xludf.DUMMYFUNCTION("""COMPUTED_VALUE"""),"c_spy_00101_damianget_Boss_Red_Special_00001")</f>
        <v>c_spy_00101_damianget_Boss_Red_Special_00001</v>
      </c>
      <c r="D2170" s="139" t="str">
        <f>IFERROR(__xludf.DUMMYFUNCTION("""COMPUTED_VALUE"""),"c_spy_00101_damianget_Boss_Red")</f>
        <v>c_spy_00101_damianget_Boss_Red</v>
      </c>
      <c r="E2170" s="139">
        <f>IFERROR(__xludf.DUMMYFUNCTION("""COMPUTED_VALUE"""),0.0)</f>
        <v>0</v>
      </c>
      <c r="F2170" s="139" t="str">
        <f>IFERROR(__xludf.DUMMYFUNCTION("""COMPUTED_VALUE"""),"Special")</f>
        <v>Special</v>
      </c>
      <c r="G2170" s="139"/>
      <c r="H2170" s="139"/>
      <c r="I2170" s="139">
        <f>IFERROR(__xludf.DUMMYFUNCTION("""COMPUTED_VALUE"""),125.0)</f>
        <v>125</v>
      </c>
      <c r="J2170" s="139">
        <f>IFERROR(__xludf.DUMMYFUNCTION("""COMPUTED_VALUE"""),67.0)</f>
        <v>67</v>
      </c>
      <c r="K2170" s="139">
        <f>IFERROR(__xludf.DUMMYFUNCTION("""COMPUTED_VALUE"""),0.0)</f>
        <v>0</v>
      </c>
      <c r="L2170" s="139"/>
      <c r="M2170" s="139"/>
      <c r="N2170" s="139"/>
    </row>
    <row r="2171">
      <c r="A2171" s="139" t="str">
        <f>IFERROR(__xludf.DUMMYFUNCTION("""COMPUTED_VALUE"""),"e")</f>
        <v>e</v>
      </c>
      <c r="B2171" s="139">
        <f>IFERROR(__xludf.DUMMYFUNCTION("""COMPUTED_VALUE"""),2.0251001E8)</f>
        <v>202510010</v>
      </c>
      <c r="C2171" s="139" t="str">
        <f>IFERROR(__xludf.DUMMYFUNCTION("""COMPUTED_VALUE"""),"c_spy_00101_damianget_Boss_Red_Appearance_00002")</f>
        <v>c_spy_00101_damianget_Boss_Red_Appearance_00002</v>
      </c>
      <c r="D2171" s="139" t="str">
        <f>IFERROR(__xludf.DUMMYFUNCTION("""COMPUTED_VALUE"""),"c_spy_00101_damianget_Boss_Red")</f>
        <v>c_spy_00101_damianget_Boss_Red</v>
      </c>
      <c r="E2171" s="139">
        <f>IFERROR(__xludf.DUMMYFUNCTION("""COMPUTED_VALUE"""),0.0)</f>
        <v>0</v>
      </c>
      <c r="F2171" s="139" t="str">
        <f>IFERROR(__xludf.DUMMYFUNCTION("""COMPUTED_VALUE"""),"Appearance")</f>
        <v>Appearance</v>
      </c>
      <c r="G2171" s="139"/>
      <c r="H2171" s="139"/>
      <c r="I2171" s="139">
        <f>IFERROR(__xludf.DUMMYFUNCTION("""COMPUTED_VALUE"""),50.0)</f>
        <v>50</v>
      </c>
      <c r="J2171" s="139">
        <f>IFERROR(__xludf.DUMMYFUNCTION("""COMPUTED_VALUE"""),0.0)</f>
        <v>0</v>
      </c>
      <c r="K2171" s="139">
        <f>IFERROR(__xludf.DUMMYFUNCTION("""COMPUTED_VALUE"""),0.0)</f>
        <v>0</v>
      </c>
      <c r="L2171" s="139"/>
      <c r="M2171" s="139"/>
      <c r="N2171" s="139"/>
    </row>
    <row r="2172">
      <c r="A2172" s="139" t="str">
        <f>IFERROR(__xludf.DUMMYFUNCTION("""COMPUTED_VALUE"""),"e")</f>
        <v>e</v>
      </c>
      <c r="B2172" s="139">
        <f>IFERROR(__xludf.DUMMYFUNCTION("""COMPUTED_VALUE"""),2.0251001E8)</f>
        <v>202510010</v>
      </c>
      <c r="C2172" s="139" t="str">
        <f>IFERROR(__xludf.DUMMYFUNCTION("""COMPUTED_VALUE"""),"e_spy_00001_damianget_Normal_Red_Normal_00000")</f>
        <v>e_spy_00001_damianget_Normal_Red_Normal_00000</v>
      </c>
      <c r="D2172" s="139" t="str">
        <f>IFERROR(__xludf.DUMMYFUNCTION("""COMPUTED_VALUE"""),"e_spy_00001_damianget_Normal_Red")</f>
        <v>e_spy_00001_damianget_Normal_Red</v>
      </c>
      <c r="E2172" s="139">
        <f>IFERROR(__xludf.DUMMYFUNCTION("""COMPUTED_VALUE"""),0.0)</f>
        <v>0</v>
      </c>
      <c r="F2172" s="139" t="str">
        <f>IFERROR(__xludf.DUMMYFUNCTION("""COMPUTED_VALUE"""),"Normal")</f>
        <v>Normal</v>
      </c>
      <c r="G2172" s="139"/>
      <c r="H2172" s="139"/>
      <c r="I2172" s="139">
        <f>IFERROR(__xludf.DUMMYFUNCTION("""COMPUTED_VALUE"""),50.0)</f>
        <v>50</v>
      </c>
      <c r="J2172" s="139">
        <f>IFERROR(__xludf.DUMMYFUNCTION("""COMPUTED_VALUE"""),9.0)</f>
        <v>9</v>
      </c>
      <c r="K2172" s="139">
        <f>IFERROR(__xludf.DUMMYFUNCTION("""COMPUTED_VALUE"""),50.0)</f>
        <v>50</v>
      </c>
      <c r="L2172" s="139"/>
      <c r="M2172" s="139"/>
      <c r="N2172" s="139"/>
    </row>
    <row r="2173">
      <c r="A2173" s="139" t="str">
        <f>IFERROR(__xludf.DUMMYFUNCTION("""COMPUTED_VALUE"""),"e")</f>
        <v>e</v>
      </c>
      <c r="B2173" s="139">
        <f>IFERROR(__xludf.DUMMYFUNCTION("""COMPUTED_VALUE"""),2.0251001E8)</f>
        <v>202510010</v>
      </c>
      <c r="C2173" s="139" t="str">
        <f>IFERROR(__xludf.DUMMYFUNCTION("""COMPUTED_VALUE"""),"c_spy_00401_frankyget_Boss_Red_Normal_00000")</f>
        <v>c_spy_00401_frankyget_Boss_Red_Normal_00000</v>
      </c>
      <c r="D2173" s="139" t="str">
        <f>IFERROR(__xludf.DUMMYFUNCTION("""COMPUTED_VALUE"""),"c_spy_00401_frankyget_Boss_Red")</f>
        <v>c_spy_00401_frankyget_Boss_Red</v>
      </c>
      <c r="E2173" s="139">
        <f>IFERROR(__xludf.DUMMYFUNCTION("""COMPUTED_VALUE"""),0.0)</f>
        <v>0</v>
      </c>
      <c r="F2173" s="139" t="str">
        <f>IFERROR(__xludf.DUMMYFUNCTION("""COMPUTED_VALUE"""),"Normal")</f>
        <v>Normal</v>
      </c>
      <c r="G2173" s="139"/>
      <c r="H2173" s="139"/>
      <c r="I2173" s="139">
        <f>IFERROR(__xludf.DUMMYFUNCTION("""COMPUTED_VALUE"""),60.0)</f>
        <v>60</v>
      </c>
      <c r="J2173" s="139">
        <f>IFERROR(__xludf.DUMMYFUNCTION("""COMPUTED_VALUE"""),25.0)</f>
        <v>25</v>
      </c>
      <c r="K2173" s="139">
        <f>IFERROR(__xludf.DUMMYFUNCTION("""COMPUTED_VALUE"""),30.0)</f>
        <v>30</v>
      </c>
      <c r="L2173" s="139"/>
      <c r="M2173" s="139"/>
      <c r="N2173" s="139"/>
    </row>
    <row r="2174">
      <c r="A2174" s="139" t="str">
        <f>IFERROR(__xludf.DUMMYFUNCTION("""COMPUTED_VALUE"""),"e")</f>
        <v>e</v>
      </c>
      <c r="B2174" s="139">
        <f>IFERROR(__xludf.DUMMYFUNCTION("""COMPUTED_VALUE"""),2.0251001E8)</f>
        <v>202510010</v>
      </c>
      <c r="C2174" s="139" t="str">
        <f>IFERROR(__xludf.DUMMYFUNCTION("""COMPUTED_VALUE"""),"c_spy_00401_frankyget_Boss_Red_Special_00001")</f>
        <v>c_spy_00401_frankyget_Boss_Red_Special_00001</v>
      </c>
      <c r="D2174" s="139" t="str">
        <f>IFERROR(__xludf.DUMMYFUNCTION("""COMPUTED_VALUE"""),"c_spy_00401_frankyget_Boss_Red")</f>
        <v>c_spy_00401_frankyget_Boss_Red</v>
      </c>
      <c r="E2174" s="139">
        <f>IFERROR(__xludf.DUMMYFUNCTION("""COMPUTED_VALUE"""),0.0)</f>
        <v>0</v>
      </c>
      <c r="F2174" s="139" t="str">
        <f>IFERROR(__xludf.DUMMYFUNCTION("""COMPUTED_VALUE"""),"Special")</f>
        <v>Special</v>
      </c>
      <c r="G2174" s="139"/>
      <c r="H2174" s="139"/>
      <c r="I2174" s="139">
        <f>IFERROR(__xludf.DUMMYFUNCTION("""COMPUTED_VALUE"""),138.0)</f>
        <v>138</v>
      </c>
      <c r="J2174" s="139">
        <f>IFERROR(__xludf.DUMMYFUNCTION("""COMPUTED_VALUE"""),67.0)</f>
        <v>67</v>
      </c>
      <c r="K2174" s="139">
        <f>IFERROR(__xludf.DUMMYFUNCTION("""COMPUTED_VALUE"""),0.0)</f>
        <v>0</v>
      </c>
      <c r="L2174" s="139"/>
      <c r="M2174" s="139"/>
      <c r="N2174" s="139"/>
    </row>
    <row r="2175">
      <c r="A2175" s="139" t="str">
        <f>IFERROR(__xludf.DUMMYFUNCTION("""COMPUTED_VALUE"""),"e")</f>
        <v>e</v>
      </c>
      <c r="B2175" s="139">
        <f>IFERROR(__xludf.DUMMYFUNCTION("""COMPUTED_VALUE"""),2.0251001E8)</f>
        <v>202510010</v>
      </c>
      <c r="C2175" s="139" t="str">
        <f>IFERROR(__xludf.DUMMYFUNCTION("""COMPUTED_VALUE"""),"c_spy_00401_frankyget_Boss_Red_Appearance_00002")</f>
        <v>c_spy_00401_frankyget_Boss_Red_Appearance_00002</v>
      </c>
      <c r="D2175" s="139" t="str">
        <f>IFERROR(__xludf.DUMMYFUNCTION("""COMPUTED_VALUE"""),"c_spy_00401_frankyget_Boss_Red")</f>
        <v>c_spy_00401_frankyget_Boss_Red</v>
      </c>
      <c r="E2175" s="139">
        <f>IFERROR(__xludf.DUMMYFUNCTION("""COMPUTED_VALUE"""),0.0)</f>
        <v>0</v>
      </c>
      <c r="F2175" s="139" t="str">
        <f>IFERROR(__xludf.DUMMYFUNCTION("""COMPUTED_VALUE"""),"Appearance")</f>
        <v>Appearance</v>
      </c>
      <c r="G2175" s="139"/>
      <c r="H2175" s="139"/>
      <c r="I2175" s="139">
        <f>IFERROR(__xludf.DUMMYFUNCTION("""COMPUTED_VALUE"""),50.0)</f>
        <v>50</v>
      </c>
      <c r="J2175" s="139">
        <f>IFERROR(__xludf.DUMMYFUNCTION("""COMPUTED_VALUE"""),0.0)</f>
        <v>0</v>
      </c>
      <c r="K2175" s="139">
        <f>IFERROR(__xludf.DUMMYFUNCTION("""COMPUTED_VALUE"""),0.0)</f>
        <v>0</v>
      </c>
      <c r="L2175" s="139"/>
      <c r="M2175" s="139"/>
      <c r="N2175" s="139"/>
    </row>
    <row r="2176">
      <c r="A2176" s="139" t="str">
        <f>IFERROR(__xludf.DUMMYFUNCTION("""COMPUTED_VALUE"""),"e")</f>
        <v>e</v>
      </c>
      <c r="B2176" s="139">
        <f>IFERROR(__xludf.DUMMYFUNCTION("""COMPUTED_VALUE"""),2.0251001E8)</f>
        <v>202510010</v>
      </c>
      <c r="C2176" s="139" t="str">
        <f>IFERROR(__xludf.DUMMYFUNCTION("""COMPUTED_VALUE"""),"e_spy_00001_spy1challenge_Normal_Green_Normal_00000")</f>
        <v>e_spy_00001_spy1challenge_Normal_Green_Normal_00000</v>
      </c>
      <c r="D2176" s="139" t="str">
        <f>IFERROR(__xludf.DUMMYFUNCTION("""COMPUTED_VALUE"""),"e_spy_00001_spy1challenge_Normal_Green")</f>
        <v>e_spy_00001_spy1challenge_Normal_Green</v>
      </c>
      <c r="E2176" s="139">
        <f>IFERROR(__xludf.DUMMYFUNCTION("""COMPUTED_VALUE"""),0.0)</f>
        <v>0</v>
      </c>
      <c r="F2176" s="139" t="str">
        <f>IFERROR(__xludf.DUMMYFUNCTION("""COMPUTED_VALUE"""),"Normal")</f>
        <v>Normal</v>
      </c>
      <c r="G2176" s="139"/>
      <c r="H2176" s="139"/>
      <c r="I2176" s="139">
        <f>IFERROR(__xludf.DUMMYFUNCTION("""COMPUTED_VALUE"""),50.0)</f>
        <v>50</v>
      </c>
      <c r="J2176" s="139">
        <f>IFERROR(__xludf.DUMMYFUNCTION("""COMPUTED_VALUE"""),9.0)</f>
        <v>9</v>
      </c>
      <c r="K2176" s="139">
        <f>IFERROR(__xludf.DUMMYFUNCTION("""COMPUTED_VALUE"""),50.0)</f>
        <v>50</v>
      </c>
      <c r="L2176" s="139"/>
      <c r="M2176" s="139"/>
      <c r="N2176" s="139"/>
    </row>
    <row r="2177">
      <c r="A2177" s="139" t="str">
        <f>IFERROR(__xludf.DUMMYFUNCTION("""COMPUTED_VALUE"""),"e")</f>
        <v>e</v>
      </c>
      <c r="B2177" s="139">
        <f>IFERROR(__xludf.DUMMYFUNCTION("""COMPUTED_VALUE"""),2.0251001E8)</f>
        <v>202510010</v>
      </c>
      <c r="C2177" s="139" t="str">
        <f>IFERROR(__xludf.DUMMYFUNCTION("""COMPUTED_VALUE"""),"e_spy_00101_spy1challenge_Normal_Green_Normal_00000")</f>
        <v>e_spy_00101_spy1challenge_Normal_Green_Normal_00000</v>
      </c>
      <c r="D2177" s="139" t="str">
        <f>IFERROR(__xludf.DUMMYFUNCTION("""COMPUTED_VALUE"""),"e_spy_00101_spy1challenge_Normal_Green")</f>
        <v>e_spy_00101_spy1challenge_Normal_Green</v>
      </c>
      <c r="E2177" s="139">
        <f>IFERROR(__xludf.DUMMYFUNCTION("""COMPUTED_VALUE"""),0.0)</f>
        <v>0</v>
      </c>
      <c r="F2177" s="139" t="str">
        <f>IFERROR(__xludf.DUMMYFUNCTION("""COMPUTED_VALUE"""),"Normal")</f>
        <v>Normal</v>
      </c>
      <c r="G2177" s="139"/>
      <c r="H2177" s="139"/>
      <c r="I2177" s="139">
        <f>IFERROR(__xludf.DUMMYFUNCTION("""COMPUTED_VALUE"""),60.0)</f>
        <v>60</v>
      </c>
      <c r="J2177" s="139">
        <f>IFERROR(__xludf.DUMMYFUNCTION("""COMPUTED_VALUE"""),25.0)</f>
        <v>25</v>
      </c>
      <c r="K2177" s="139">
        <f>IFERROR(__xludf.DUMMYFUNCTION("""COMPUTED_VALUE"""),100.0)</f>
        <v>100</v>
      </c>
      <c r="L2177" s="139"/>
      <c r="M2177" s="139"/>
      <c r="N2177" s="139"/>
    </row>
    <row r="2178">
      <c r="A2178" s="139" t="str">
        <f>IFERROR(__xludf.DUMMYFUNCTION("""COMPUTED_VALUE"""),"e")</f>
        <v>e</v>
      </c>
      <c r="B2178" s="139">
        <f>IFERROR(__xludf.DUMMYFUNCTION("""COMPUTED_VALUE"""),2.0251001E8)</f>
        <v>202510010</v>
      </c>
      <c r="C2178" s="139" t="str">
        <f>IFERROR(__xludf.DUMMYFUNCTION("""COMPUTED_VALUE"""),"e_spy_00101_spy1challenge_Normal_Red_Normal_00000")</f>
        <v>e_spy_00101_spy1challenge_Normal_Red_Normal_00000</v>
      </c>
      <c r="D2178" s="139" t="str">
        <f>IFERROR(__xludf.DUMMYFUNCTION("""COMPUTED_VALUE"""),"e_spy_00101_spy1challenge_Normal_Red")</f>
        <v>e_spy_00101_spy1challenge_Normal_Red</v>
      </c>
      <c r="E2178" s="139">
        <f>IFERROR(__xludf.DUMMYFUNCTION("""COMPUTED_VALUE"""),0.0)</f>
        <v>0</v>
      </c>
      <c r="F2178" s="139" t="str">
        <f>IFERROR(__xludf.DUMMYFUNCTION("""COMPUTED_VALUE"""),"Normal")</f>
        <v>Normal</v>
      </c>
      <c r="G2178" s="139"/>
      <c r="H2178" s="139"/>
      <c r="I2178" s="139">
        <f>IFERROR(__xludf.DUMMYFUNCTION("""COMPUTED_VALUE"""),60.0)</f>
        <v>60</v>
      </c>
      <c r="J2178" s="139">
        <f>IFERROR(__xludf.DUMMYFUNCTION("""COMPUTED_VALUE"""),25.0)</f>
        <v>25</v>
      </c>
      <c r="K2178" s="139">
        <f>IFERROR(__xludf.DUMMYFUNCTION("""COMPUTED_VALUE"""),75.0)</f>
        <v>75</v>
      </c>
      <c r="L2178" s="139"/>
      <c r="M2178" s="139"/>
      <c r="N2178" s="139"/>
    </row>
    <row r="2179">
      <c r="A2179" s="139" t="str">
        <f>IFERROR(__xludf.DUMMYFUNCTION("""COMPUTED_VALUE"""),"e")</f>
        <v>e</v>
      </c>
      <c r="B2179" s="139">
        <f>IFERROR(__xludf.DUMMYFUNCTION("""COMPUTED_VALUE"""),2.0251001E8)</f>
        <v>202510010</v>
      </c>
      <c r="C2179" s="139" t="str">
        <f>IFERROR(__xludf.DUMMYFUNCTION("""COMPUTED_VALUE"""),"e_spy_00001_spy1challenge_Normal_Yellow_Normal_00000")</f>
        <v>e_spy_00001_spy1challenge_Normal_Yellow_Normal_00000</v>
      </c>
      <c r="D2179" s="139" t="str">
        <f>IFERROR(__xludf.DUMMYFUNCTION("""COMPUTED_VALUE"""),"e_spy_00001_spy1challenge_Normal_Yellow")</f>
        <v>e_spy_00001_spy1challenge_Normal_Yellow</v>
      </c>
      <c r="E2179" s="139">
        <f>IFERROR(__xludf.DUMMYFUNCTION("""COMPUTED_VALUE"""),0.0)</f>
        <v>0</v>
      </c>
      <c r="F2179" s="139" t="str">
        <f>IFERROR(__xludf.DUMMYFUNCTION("""COMPUTED_VALUE"""),"Normal")</f>
        <v>Normal</v>
      </c>
      <c r="G2179" s="139"/>
      <c r="H2179" s="139"/>
      <c r="I2179" s="139">
        <f>IFERROR(__xludf.DUMMYFUNCTION("""COMPUTED_VALUE"""),50.0)</f>
        <v>50</v>
      </c>
      <c r="J2179" s="139">
        <f>IFERROR(__xludf.DUMMYFUNCTION("""COMPUTED_VALUE"""),9.0)</f>
        <v>9</v>
      </c>
      <c r="K2179" s="139">
        <f>IFERROR(__xludf.DUMMYFUNCTION("""COMPUTED_VALUE"""),50.0)</f>
        <v>50</v>
      </c>
      <c r="L2179" s="139"/>
      <c r="M2179" s="139"/>
      <c r="N2179" s="139"/>
    </row>
    <row r="2180">
      <c r="A2180" s="139" t="str">
        <f>IFERROR(__xludf.DUMMYFUNCTION("""COMPUTED_VALUE"""),"e")</f>
        <v>e</v>
      </c>
      <c r="B2180" s="139">
        <f>IFERROR(__xludf.DUMMYFUNCTION("""COMPUTED_VALUE"""),2.0251001E8)</f>
        <v>202510010</v>
      </c>
      <c r="C2180" s="139" t="str">
        <f>IFERROR(__xludf.DUMMYFUNCTION("""COMPUTED_VALUE"""),"c_spy_00501_spy1challenge_Boss_Blue_Normal_00000")</f>
        <v>c_spy_00501_spy1challenge_Boss_Blue_Normal_00000</v>
      </c>
      <c r="D2180" s="139" t="str">
        <f>IFERROR(__xludf.DUMMYFUNCTION("""COMPUTED_VALUE"""),"c_spy_00501_spy1challenge_Boss_Blue")</f>
        <v>c_spy_00501_spy1challenge_Boss_Blue</v>
      </c>
      <c r="E2180" s="139">
        <f>IFERROR(__xludf.DUMMYFUNCTION("""COMPUTED_VALUE"""),0.0)</f>
        <v>0</v>
      </c>
      <c r="F2180" s="139" t="str">
        <f>IFERROR(__xludf.DUMMYFUNCTION("""COMPUTED_VALUE"""),"Normal")</f>
        <v>Normal</v>
      </c>
      <c r="G2180" s="139"/>
      <c r="H2180" s="139"/>
      <c r="I2180" s="139">
        <f>IFERROR(__xludf.DUMMYFUNCTION("""COMPUTED_VALUE"""),57.0)</f>
        <v>57</v>
      </c>
      <c r="J2180" s="139">
        <f>IFERROR(__xludf.DUMMYFUNCTION("""COMPUTED_VALUE"""),17.0)</f>
        <v>17</v>
      </c>
      <c r="K2180" s="139">
        <f>IFERROR(__xludf.DUMMYFUNCTION("""COMPUTED_VALUE"""),80.0)</f>
        <v>80</v>
      </c>
      <c r="L2180" s="139"/>
      <c r="M2180" s="139"/>
      <c r="N2180" s="139"/>
    </row>
    <row r="2181">
      <c r="A2181" s="139" t="str">
        <f>IFERROR(__xludf.DUMMYFUNCTION("""COMPUTED_VALUE"""),"e")</f>
        <v>e</v>
      </c>
      <c r="B2181" s="139">
        <f>IFERROR(__xludf.DUMMYFUNCTION("""COMPUTED_VALUE"""),2.0251001E8)</f>
        <v>202510010</v>
      </c>
      <c r="C2181" s="139" t="str">
        <f>IFERROR(__xludf.DUMMYFUNCTION("""COMPUTED_VALUE"""),"c_spy_00501_spy1challenge_Boss_Blue_Special_00001")</f>
        <v>c_spy_00501_spy1challenge_Boss_Blue_Special_00001</v>
      </c>
      <c r="D2181" s="139" t="str">
        <f>IFERROR(__xludf.DUMMYFUNCTION("""COMPUTED_VALUE"""),"c_spy_00501_spy1challenge_Boss_Blue")</f>
        <v>c_spy_00501_spy1challenge_Boss_Blue</v>
      </c>
      <c r="E2181" s="139">
        <f>IFERROR(__xludf.DUMMYFUNCTION("""COMPUTED_VALUE"""),0.0)</f>
        <v>0</v>
      </c>
      <c r="F2181" s="139" t="str">
        <f>IFERROR(__xludf.DUMMYFUNCTION("""COMPUTED_VALUE"""),"Special")</f>
        <v>Special</v>
      </c>
      <c r="G2181" s="139"/>
      <c r="H2181" s="139"/>
      <c r="I2181" s="139">
        <f>IFERROR(__xludf.DUMMYFUNCTION("""COMPUTED_VALUE"""),117.0)</f>
        <v>117</v>
      </c>
      <c r="J2181" s="139">
        <f>IFERROR(__xludf.DUMMYFUNCTION("""COMPUTED_VALUE"""),59.0)</f>
        <v>59</v>
      </c>
      <c r="K2181" s="139">
        <f>IFERROR(__xludf.DUMMYFUNCTION("""COMPUTED_VALUE"""),0.0)</f>
        <v>0</v>
      </c>
      <c r="L2181" s="139"/>
      <c r="M2181" s="139"/>
      <c r="N2181" s="139"/>
    </row>
    <row r="2182">
      <c r="A2182" s="139" t="str">
        <f>IFERROR(__xludf.DUMMYFUNCTION("""COMPUTED_VALUE"""),"e")</f>
        <v>e</v>
      </c>
      <c r="B2182" s="139">
        <f>IFERROR(__xludf.DUMMYFUNCTION("""COMPUTED_VALUE"""),2.0251001E8)</f>
        <v>202510010</v>
      </c>
      <c r="C2182" s="139" t="str">
        <f>IFERROR(__xludf.DUMMYFUNCTION("""COMPUTED_VALUE"""),"c_spy_00501_spy1challenge_Boss_Blue_Appearance_00002")</f>
        <v>c_spy_00501_spy1challenge_Boss_Blue_Appearance_00002</v>
      </c>
      <c r="D2182" s="139" t="str">
        <f>IFERROR(__xludf.DUMMYFUNCTION("""COMPUTED_VALUE"""),"c_spy_00501_spy1challenge_Boss_Blue")</f>
        <v>c_spy_00501_spy1challenge_Boss_Blue</v>
      </c>
      <c r="E2182" s="139">
        <f>IFERROR(__xludf.DUMMYFUNCTION("""COMPUTED_VALUE"""),0.0)</f>
        <v>0</v>
      </c>
      <c r="F2182" s="139" t="str">
        <f>IFERROR(__xludf.DUMMYFUNCTION("""COMPUTED_VALUE"""),"Appearance")</f>
        <v>Appearance</v>
      </c>
      <c r="G2182" s="139"/>
      <c r="H2182" s="139"/>
      <c r="I2182" s="139">
        <f>IFERROR(__xludf.DUMMYFUNCTION("""COMPUTED_VALUE"""),50.0)</f>
        <v>50</v>
      </c>
      <c r="J2182" s="139">
        <f>IFERROR(__xludf.DUMMYFUNCTION("""COMPUTED_VALUE"""),0.0)</f>
        <v>0</v>
      </c>
      <c r="K2182" s="139">
        <f>IFERROR(__xludf.DUMMYFUNCTION("""COMPUTED_VALUE"""),0.0)</f>
        <v>0</v>
      </c>
      <c r="L2182" s="139"/>
      <c r="M2182" s="139"/>
      <c r="N2182" s="139"/>
    </row>
    <row r="2183">
      <c r="A2183" s="139" t="str">
        <f>IFERROR(__xludf.DUMMYFUNCTION("""COMPUTED_VALUE"""),"e")</f>
        <v>e</v>
      </c>
      <c r="B2183" s="139">
        <f>IFERROR(__xludf.DUMMYFUNCTION("""COMPUTED_VALUE"""),2.0251001E8)</f>
        <v>202510010</v>
      </c>
      <c r="C2183" s="139" t="str">
        <f>IFERROR(__xludf.DUMMYFUNCTION("""COMPUTED_VALUE"""),"e_spy_00001_spy1challenge_Normal_Blue_Normal_00000")</f>
        <v>e_spy_00001_spy1challenge_Normal_Blue_Normal_00000</v>
      </c>
      <c r="D2183" s="139" t="str">
        <f>IFERROR(__xludf.DUMMYFUNCTION("""COMPUTED_VALUE"""),"e_spy_00001_spy1challenge_Normal_Blue")</f>
        <v>e_spy_00001_spy1challenge_Normal_Blue</v>
      </c>
      <c r="E2183" s="139">
        <f>IFERROR(__xludf.DUMMYFUNCTION("""COMPUTED_VALUE"""),0.0)</f>
        <v>0</v>
      </c>
      <c r="F2183" s="139" t="str">
        <f>IFERROR(__xludf.DUMMYFUNCTION("""COMPUTED_VALUE"""),"Normal")</f>
        <v>Normal</v>
      </c>
      <c r="G2183" s="139"/>
      <c r="H2183" s="139"/>
      <c r="I2183" s="139">
        <f>IFERROR(__xludf.DUMMYFUNCTION("""COMPUTED_VALUE"""),50.0)</f>
        <v>50</v>
      </c>
      <c r="J2183" s="139">
        <f>IFERROR(__xludf.DUMMYFUNCTION("""COMPUTED_VALUE"""),9.0)</f>
        <v>9</v>
      </c>
      <c r="K2183" s="139">
        <f>IFERROR(__xludf.DUMMYFUNCTION("""COMPUTED_VALUE"""),50.0)</f>
        <v>50</v>
      </c>
      <c r="L2183" s="139"/>
      <c r="M2183" s="139"/>
      <c r="N2183" s="139"/>
    </row>
    <row r="2184">
      <c r="A2184" s="139" t="str">
        <f>IFERROR(__xludf.DUMMYFUNCTION("""COMPUTED_VALUE"""),"e")</f>
        <v>e</v>
      </c>
      <c r="B2184" s="139">
        <f>IFERROR(__xludf.DUMMYFUNCTION("""COMPUTED_VALUE"""),2.0251001E8)</f>
        <v>202510010</v>
      </c>
      <c r="C2184" s="139" t="str">
        <f>IFERROR(__xludf.DUMMYFUNCTION("""COMPUTED_VALUE"""),"e_spy_00101_spy1challenge_Normal_Blue_Normal_00000")</f>
        <v>e_spy_00101_spy1challenge_Normal_Blue_Normal_00000</v>
      </c>
      <c r="D2184" s="139" t="str">
        <f>IFERROR(__xludf.DUMMYFUNCTION("""COMPUTED_VALUE"""),"e_spy_00101_spy1challenge_Normal_Blue")</f>
        <v>e_spy_00101_spy1challenge_Normal_Blue</v>
      </c>
      <c r="E2184" s="139">
        <f>IFERROR(__xludf.DUMMYFUNCTION("""COMPUTED_VALUE"""),0.0)</f>
        <v>0</v>
      </c>
      <c r="F2184" s="139" t="str">
        <f>IFERROR(__xludf.DUMMYFUNCTION("""COMPUTED_VALUE"""),"Normal")</f>
        <v>Normal</v>
      </c>
      <c r="G2184" s="139"/>
      <c r="H2184" s="139"/>
      <c r="I2184" s="139">
        <f>IFERROR(__xludf.DUMMYFUNCTION("""COMPUTED_VALUE"""),60.0)</f>
        <v>60</v>
      </c>
      <c r="J2184" s="139">
        <f>IFERROR(__xludf.DUMMYFUNCTION("""COMPUTED_VALUE"""),25.0)</f>
        <v>25</v>
      </c>
      <c r="K2184" s="139">
        <f>IFERROR(__xludf.DUMMYFUNCTION("""COMPUTED_VALUE"""),30.0)</f>
        <v>30</v>
      </c>
      <c r="L2184" s="139"/>
      <c r="M2184" s="139"/>
      <c r="N2184" s="139"/>
    </row>
    <row r="2185">
      <c r="A2185" s="139" t="str">
        <f>IFERROR(__xludf.DUMMYFUNCTION("""COMPUTED_VALUE"""),"e")</f>
        <v>e</v>
      </c>
      <c r="B2185" s="139">
        <f>IFERROR(__xludf.DUMMYFUNCTION("""COMPUTED_VALUE"""),2.0251001E8)</f>
        <v>202510010</v>
      </c>
      <c r="C2185" s="139" t="str">
        <f>IFERROR(__xludf.DUMMYFUNCTION("""COMPUTED_VALUE"""),"e_spy_00101_spy1savage_Normal_Blue_Normal_00000")</f>
        <v>e_spy_00101_spy1savage_Normal_Blue_Normal_00000</v>
      </c>
      <c r="D2185" s="139" t="str">
        <f>IFERROR(__xludf.DUMMYFUNCTION("""COMPUTED_VALUE"""),"e_spy_00101_spy1savage_Normal_Blue")</f>
        <v>e_spy_00101_spy1savage_Normal_Blue</v>
      </c>
      <c r="E2185" s="139">
        <f>IFERROR(__xludf.DUMMYFUNCTION("""COMPUTED_VALUE"""),0.0)</f>
        <v>0</v>
      </c>
      <c r="F2185" s="139" t="str">
        <f>IFERROR(__xludf.DUMMYFUNCTION("""COMPUTED_VALUE"""),"Normal")</f>
        <v>Normal</v>
      </c>
      <c r="G2185" s="139"/>
      <c r="H2185" s="139"/>
      <c r="I2185" s="139">
        <f>IFERROR(__xludf.DUMMYFUNCTION("""COMPUTED_VALUE"""),60.0)</f>
        <v>60</v>
      </c>
      <c r="J2185" s="139">
        <f>IFERROR(__xludf.DUMMYFUNCTION("""COMPUTED_VALUE"""),25.0)</f>
        <v>25</v>
      </c>
      <c r="K2185" s="139">
        <f>IFERROR(__xludf.DUMMYFUNCTION("""COMPUTED_VALUE"""),50.0)</f>
        <v>50</v>
      </c>
      <c r="L2185" s="139"/>
      <c r="M2185" s="139"/>
      <c r="N2185" s="139"/>
    </row>
    <row r="2186">
      <c r="A2186" s="139" t="str">
        <f>IFERROR(__xludf.DUMMYFUNCTION("""COMPUTED_VALUE"""),"e")</f>
        <v>e</v>
      </c>
      <c r="B2186" s="139">
        <f>IFERROR(__xludf.DUMMYFUNCTION("""COMPUTED_VALUE"""),2.0251001E8)</f>
        <v>202510010</v>
      </c>
      <c r="C2186" s="139" t="str">
        <f>IFERROR(__xludf.DUMMYFUNCTION("""COMPUTED_VALUE"""),"c_spy_00201_spy1savage_Normal_Blue_Normal_00000")</f>
        <v>c_spy_00201_spy1savage_Normal_Blue_Normal_00000</v>
      </c>
      <c r="D2186" s="139" t="str">
        <f>IFERROR(__xludf.DUMMYFUNCTION("""COMPUTED_VALUE"""),"c_spy_00201_spy1savage_Normal_Blue")</f>
        <v>c_spy_00201_spy1savage_Normal_Blue</v>
      </c>
      <c r="E2186" s="139">
        <f>IFERROR(__xludf.DUMMYFUNCTION("""COMPUTED_VALUE"""),0.0)</f>
        <v>0</v>
      </c>
      <c r="F2186" s="139" t="str">
        <f>IFERROR(__xludf.DUMMYFUNCTION("""COMPUTED_VALUE"""),"Normal")</f>
        <v>Normal</v>
      </c>
      <c r="G2186" s="139"/>
      <c r="H2186" s="139"/>
      <c r="I2186" s="139">
        <f>IFERROR(__xludf.DUMMYFUNCTION("""COMPUTED_VALUE"""),71.0)</f>
        <v>71</v>
      </c>
      <c r="J2186" s="139">
        <f>IFERROR(__xludf.DUMMYFUNCTION("""COMPUTED_VALUE"""),31.0)</f>
        <v>31</v>
      </c>
      <c r="K2186" s="139">
        <f>IFERROR(__xludf.DUMMYFUNCTION("""COMPUTED_VALUE"""),90.0)</f>
        <v>90</v>
      </c>
      <c r="L2186" s="139"/>
      <c r="M2186" s="139"/>
      <c r="N2186" s="139"/>
    </row>
    <row r="2187">
      <c r="A2187" s="139" t="str">
        <f>IFERROR(__xludf.DUMMYFUNCTION("""COMPUTED_VALUE"""),"e")</f>
        <v>e</v>
      </c>
      <c r="B2187" s="139">
        <f>IFERROR(__xludf.DUMMYFUNCTION("""COMPUTED_VALUE"""),2.0251001E8)</f>
        <v>202510010</v>
      </c>
      <c r="C2187" s="139" t="str">
        <f>IFERROR(__xludf.DUMMYFUNCTION("""COMPUTED_VALUE"""),"c_spy_00201_spy1savage_Normal_Blue_Special_00001")</f>
        <v>c_spy_00201_spy1savage_Normal_Blue_Special_00001</v>
      </c>
      <c r="D2187" s="139" t="str">
        <f>IFERROR(__xludf.DUMMYFUNCTION("""COMPUTED_VALUE"""),"c_spy_00201_spy1savage_Normal_Blue")</f>
        <v>c_spy_00201_spy1savage_Normal_Blue</v>
      </c>
      <c r="E2187" s="139">
        <f>IFERROR(__xludf.DUMMYFUNCTION("""COMPUTED_VALUE"""),0.0)</f>
        <v>0</v>
      </c>
      <c r="F2187" s="139" t="str">
        <f>IFERROR(__xludf.DUMMYFUNCTION("""COMPUTED_VALUE"""),"Special")</f>
        <v>Special</v>
      </c>
      <c r="G2187" s="139"/>
      <c r="H2187" s="139"/>
      <c r="I2187" s="139">
        <f>IFERROR(__xludf.DUMMYFUNCTION("""COMPUTED_VALUE"""),125.0)</f>
        <v>125</v>
      </c>
      <c r="J2187" s="139">
        <f>IFERROR(__xludf.DUMMYFUNCTION("""COMPUTED_VALUE"""),37.0)</f>
        <v>37</v>
      </c>
      <c r="K2187" s="139">
        <f>IFERROR(__xludf.DUMMYFUNCTION("""COMPUTED_VALUE"""),0.0)</f>
        <v>0</v>
      </c>
      <c r="L2187" s="139"/>
      <c r="M2187" s="139"/>
      <c r="N2187" s="139"/>
    </row>
    <row r="2188">
      <c r="A2188" s="139" t="str">
        <f>IFERROR(__xludf.DUMMYFUNCTION("""COMPUTED_VALUE"""),"e")</f>
        <v>e</v>
      </c>
      <c r="B2188" s="139">
        <f>IFERROR(__xludf.DUMMYFUNCTION("""COMPUTED_VALUE"""),2.0251001E8)</f>
        <v>202510010</v>
      </c>
      <c r="C2188" s="139" t="str">
        <f>IFERROR(__xludf.DUMMYFUNCTION("""COMPUTED_VALUE"""),"e_spy_00001_spy1savage_Normal_Colorless_Normal_00000")</f>
        <v>e_spy_00001_spy1savage_Normal_Colorless_Normal_00000</v>
      </c>
      <c r="D2188" s="139" t="str">
        <f>IFERROR(__xludf.DUMMYFUNCTION("""COMPUTED_VALUE"""),"e_spy_00001_spy1savage_Normal_Colorless")</f>
        <v>e_spy_00001_spy1savage_Normal_Colorless</v>
      </c>
      <c r="E2188" s="139">
        <f>IFERROR(__xludf.DUMMYFUNCTION("""COMPUTED_VALUE"""),0.0)</f>
        <v>0</v>
      </c>
      <c r="F2188" s="139" t="str">
        <f>IFERROR(__xludf.DUMMYFUNCTION("""COMPUTED_VALUE"""),"Normal")</f>
        <v>Normal</v>
      </c>
      <c r="G2188" s="139"/>
      <c r="H2188" s="139"/>
      <c r="I2188" s="139">
        <f>IFERROR(__xludf.DUMMYFUNCTION("""COMPUTED_VALUE"""),50.0)</f>
        <v>50</v>
      </c>
      <c r="J2188" s="139">
        <f>IFERROR(__xludf.DUMMYFUNCTION("""COMPUTED_VALUE"""),9.0)</f>
        <v>9</v>
      </c>
      <c r="K2188" s="139">
        <f>IFERROR(__xludf.DUMMYFUNCTION("""COMPUTED_VALUE"""),50.0)</f>
        <v>50</v>
      </c>
      <c r="L2188" s="139"/>
      <c r="M2188" s="139"/>
      <c r="N2188" s="139"/>
    </row>
    <row r="2189">
      <c r="A2189" s="139" t="str">
        <f>IFERROR(__xludf.DUMMYFUNCTION("""COMPUTED_VALUE"""),"e")</f>
        <v>e</v>
      </c>
      <c r="B2189" s="139">
        <f>IFERROR(__xludf.DUMMYFUNCTION("""COMPUTED_VALUE"""),2.0251001E8)</f>
        <v>202510010</v>
      </c>
      <c r="C2189" s="139" t="str">
        <f>IFERROR(__xludf.DUMMYFUNCTION("""COMPUTED_VALUE"""),"c_spy_00501_spy1_advent_Boss_Red_Normal_00000")</f>
        <v>c_spy_00501_spy1_advent_Boss_Red_Normal_00000</v>
      </c>
      <c r="D2189" s="139" t="str">
        <f>IFERROR(__xludf.DUMMYFUNCTION("""COMPUTED_VALUE"""),"c_spy_00501_spy1_advent_Boss_Red")</f>
        <v>c_spy_00501_spy1_advent_Boss_Red</v>
      </c>
      <c r="E2189" s="139">
        <f>IFERROR(__xludf.DUMMYFUNCTION("""COMPUTED_VALUE"""),0.0)</f>
        <v>0</v>
      </c>
      <c r="F2189" s="139" t="str">
        <f>IFERROR(__xludf.DUMMYFUNCTION("""COMPUTED_VALUE"""),"Normal")</f>
        <v>Normal</v>
      </c>
      <c r="G2189" s="139"/>
      <c r="H2189" s="139"/>
      <c r="I2189" s="139">
        <f>IFERROR(__xludf.DUMMYFUNCTION("""COMPUTED_VALUE"""),57.0)</f>
        <v>57</v>
      </c>
      <c r="J2189" s="139">
        <f>IFERROR(__xludf.DUMMYFUNCTION("""COMPUTED_VALUE"""),17.0)</f>
        <v>17</v>
      </c>
      <c r="K2189" s="139">
        <f>IFERROR(__xludf.DUMMYFUNCTION("""COMPUTED_VALUE"""),50.0)</f>
        <v>50</v>
      </c>
      <c r="L2189" s="139"/>
      <c r="M2189" s="139"/>
      <c r="N2189" s="139"/>
    </row>
    <row r="2190">
      <c r="A2190" s="139" t="str">
        <f>IFERROR(__xludf.DUMMYFUNCTION("""COMPUTED_VALUE"""),"e")</f>
        <v>e</v>
      </c>
      <c r="B2190" s="139">
        <f>IFERROR(__xludf.DUMMYFUNCTION("""COMPUTED_VALUE"""),2.0251001E8)</f>
        <v>202510010</v>
      </c>
      <c r="C2190" s="139" t="str">
        <f>IFERROR(__xludf.DUMMYFUNCTION("""COMPUTED_VALUE"""),"c_spy_00501_spy1_advent_Boss_Red_Special_00001")</f>
        <v>c_spy_00501_spy1_advent_Boss_Red_Special_00001</v>
      </c>
      <c r="D2190" s="139" t="str">
        <f>IFERROR(__xludf.DUMMYFUNCTION("""COMPUTED_VALUE"""),"c_spy_00501_spy1_advent_Boss_Red")</f>
        <v>c_spy_00501_spy1_advent_Boss_Red</v>
      </c>
      <c r="E2190" s="139">
        <f>IFERROR(__xludf.DUMMYFUNCTION("""COMPUTED_VALUE"""),0.0)</f>
        <v>0</v>
      </c>
      <c r="F2190" s="139" t="str">
        <f>IFERROR(__xludf.DUMMYFUNCTION("""COMPUTED_VALUE"""),"Special")</f>
        <v>Special</v>
      </c>
      <c r="G2190" s="139"/>
      <c r="H2190" s="139"/>
      <c r="I2190" s="139">
        <f>IFERROR(__xludf.DUMMYFUNCTION("""COMPUTED_VALUE"""),117.0)</f>
        <v>117</v>
      </c>
      <c r="J2190" s="139">
        <f>IFERROR(__xludf.DUMMYFUNCTION("""COMPUTED_VALUE"""),59.0)</f>
        <v>59</v>
      </c>
      <c r="K2190" s="139">
        <f>IFERROR(__xludf.DUMMYFUNCTION("""COMPUTED_VALUE"""),0.0)</f>
        <v>0</v>
      </c>
      <c r="L2190" s="139"/>
      <c r="M2190" s="139"/>
      <c r="N2190" s="139"/>
    </row>
    <row r="2191">
      <c r="A2191" s="139" t="str">
        <f>IFERROR(__xludf.DUMMYFUNCTION("""COMPUTED_VALUE"""),"e")</f>
        <v>e</v>
      </c>
      <c r="B2191" s="139">
        <f>IFERROR(__xludf.DUMMYFUNCTION("""COMPUTED_VALUE"""),2.0251001E8)</f>
        <v>202510010</v>
      </c>
      <c r="C2191" s="139" t="str">
        <f>IFERROR(__xludf.DUMMYFUNCTION("""COMPUTED_VALUE"""),"c_spy_00501_spy1_advent_Boss_Red_Appearance_00002")</f>
        <v>c_spy_00501_spy1_advent_Boss_Red_Appearance_00002</v>
      </c>
      <c r="D2191" s="139" t="str">
        <f>IFERROR(__xludf.DUMMYFUNCTION("""COMPUTED_VALUE"""),"c_spy_00501_spy1_advent_Boss_Red")</f>
        <v>c_spy_00501_spy1_advent_Boss_Red</v>
      </c>
      <c r="E2191" s="139">
        <f>IFERROR(__xludf.DUMMYFUNCTION("""COMPUTED_VALUE"""),0.0)</f>
        <v>0</v>
      </c>
      <c r="F2191" s="139" t="str">
        <f>IFERROR(__xludf.DUMMYFUNCTION("""COMPUTED_VALUE"""),"Appearance")</f>
        <v>Appearance</v>
      </c>
      <c r="G2191" s="139"/>
      <c r="H2191" s="139"/>
      <c r="I2191" s="139">
        <f>IFERROR(__xludf.DUMMYFUNCTION("""COMPUTED_VALUE"""),50.0)</f>
        <v>50</v>
      </c>
      <c r="J2191" s="139">
        <f>IFERROR(__xludf.DUMMYFUNCTION("""COMPUTED_VALUE"""),0.0)</f>
        <v>0</v>
      </c>
      <c r="K2191" s="139">
        <f>IFERROR(__xludf.DUMMYFUNCTION("""COMPUTED_VALUE"""),0.0)</f>
        <v>0</v>
      </c>
      <c r="L2191" s="139"/>
      <c r="M2191" s="139"/>
      <c r="N2191" s="139"/>
    </row>
    <row r="2192">
      <c r="A2192" s="139" t="str">
        <f>IFERROR(__xludf.DUMMYFUNCTION("""COMPUTED_VALUE"""),"e")</f>
        <v>e</v>
      </c>
      <c r="B2192" s="139">
        <f>IFERROR(__xludf.DUMMYFUNCTION("""COMPUTED_VALUE"""),2.0251001E8)</f>
        <v>202510010</v>
      </c>
      <c r="C2192" s="139" t="str">
        <f>IFERROR(__xludf.DUMMYFUNCTION("""COMPUTED_VALUE"""),"e_glo_00001_spy1general01_Normal_Colorless_Normal_00000")</f>
        <v>e_glo_00001_spy1general01_Normal_Colorless_Normal_00000</v>
      </c>
      <c r="D2192" s="139" t="str">
        <f>IFERROR(__xludf.DUMMYFUNCTION("""COMPUTED_VALUE"""),"e_glo_00001_spy1general01_Normal_Colorless")</f>
        <v>e_glo_00001_spy1general01_Normal_Colorless</v>
      </c>
      <c r="E2192" s="139">
        <f>IFERROR(__xludf.DUMMYFUNCTION("""COMPUTED_VALUE"""),0.0)</f>
        <v>0</v>
      </c>
      <c r="F2192" s="139" t="str">
        <f>IFERROR(__xludf.DUMMYFUNCTION("""COMPUTED_VALUE"""),"Normal")</f>
        <v>Normal</v>
      </c>
      <c r="G2192" s="139"/>
      <c r="H2192" s="139"/>
      <c r="I2192" s="139">
        <f>IFERROR(__xludf.DUMMYFUNCTION("""COMPUTED_VALUE"""),50.0)</f>
        <v>50</v>
      </c>
      <c r="J2192" s="139">
        <f>IFERROR(__xludf.DUMMYFUNCTION("""COMPUTED_VALUE"""),25.0)</f>
        <v>25</v>
      </c>
      <c r="K2192" s="139">
        <f>IFERROR(__xludf.DUMMYFUNCTION("""COMPUTED_VALUE"""),75.0)</f>
        <v>75</v>
      </c>
      <c r="L2192" s="139"/>
      <c r="M2192" s="139"/>
      <c r="N2192" s="139"/>
    </row>
    <row r="2193">
      <c r="A2193" s="139" t="str">
        <f>IFERROR(__xludf.DUMMYFUNCTION("""COMPUTED_VALUE"""),"e")</f>
        <v>e</v>
      </c>
      <c r="B2193" s="139">
        <f>IFERROR(__xludf.DUMMYFUNCTION("""COMPUTED_VALUE"""),2.0251001E8)</f>
        <v>202510010</v>
      </c>
      <c r="C2193" s="139" t="str">
        <f>IFERROR(__xludf.DUMMYFUNCTION("""COMPUTED_VALUE"""),"e_glo_00001_spy1general02_Normal_Colorless_Normal_00000")</f>
        <v>e_glo_00001_spy1general02_Normal_Colorless_Normal_00000</v>
      </c>
      <c r="D2193" s="139" t="str">
        <f>IFERROR(__xludf.DUMMYFUNCTION("""COMPUTED_VALUE"""),"e_glo_00001_spy1general02_Normal_Colorless")</f>
        <v>e_glo_00001_spy1general02_Normal_Colorless</v>
      </c>
      <c r="E2193" s="139">
        <f>IFERROR(__xludf.DUMMYFUNCTION("""COMPUTED_VALUE"""),0.0)</f>
        <v>0</v>
      </c>
      <c r="F2193" s="139" t="str">
        <f>IFERROR(__xludf.DUMMYFUNCTION("""COMPUTED_VALUE"""),"Normal")</f>
        <v>Normal</v>
      </c>
      <c r="G2193" s="139"/>
      <c r="H2193" s="139"/>
      <c r="I2193" s="139">
        <f>IFERROR(__xludf.DUMMYFUNCTION("""COMPUTED_VALUE"""),50.0)</f>
        <v>50</v>
      </c>
      <c r="J2193" s="139">
        <f>IFERROR(__xludf.DUMMYFUNCTION("""COMPUTED_VALUE"""),25.0)</f>
        <v>25</v>
      </c>
      <c r="K2193" s="139">
        <f>IFERROR(__xludf.DUMMYFUNCTION("""COMPUTED_VALUE"""),50.0)</f>
        <v>50</v>
      </c>
      <c r="L2193" s="139"/>
      <c r="M2193" s="139"/>
      <c r="N2193" s="139"/>
    </row>
    <row r="2194">
      <c r="A2194" s="139" t="str">
        <f>IFERROR(__xludf.DUMMYFUNCTION("""COMPUTED_VALUE"""),"e")</f>
        <v>e</v>
      </c>
      <c r="B2194" s="139">
        <f>IFERROR(__xludf.DUMMYFUNCTION("""COMPUTED_VALUE"""),2.0251001E8)</f>
        <v>202510010</v>
      </c>
      <c r="C2194" s="139" t="str">
        <f>IFERROR(__xludf.DUMMYFUNCTION("""COMPUTED_VALUE"""),"e_glo_00001_spy1general03_Normal_Red_Normal_00000")</f>
        <v>e_glo_00001_spy1general03_Normal_Red_Normal_00000</v>
      </c>
      <c r="D2194" s="139" t="str">
        <f>IFERROR(__xludf.DUMMYFUNCTION("""COMPUTED_VALUE"""),"e_glo_00001_spy1general03_Normal_Red")</f>
        <v>e_glo_00001_spy1general03_Normal_Red</v>
      </c>
      <c r="E2194" s="139">
        <f>IFERROR(__xludf.DUMMYFUNCTION("""COMPUTED_VALUE"""),0.0)</f>
        <v>0</v>
      </c>
      <c r="F2194" s="139" t="str">
        <f>IFERROR(__xludf.DUMMYFUNCTION("""COMPUTED_VALUE"""),"Normal")</f>
        <v>Normal</v>
      </c>
      <c r="G2194" s="139"/>
      <c r="H2194" s="139"/>
      <c r="I2194" s="139">
        <f>IFERROR(__xludf.DUMMYFUNCTION("""COMPUTED_VALUE"""),50.0)</f>
        <v>50</v>
      </c>
      <c r="J2194" s="139">
        <f>IFERROR(__xludf.DUMMYFUNCTION("""COMPUTED_VALUE"""),25.0)</f>
        <v>25</v>
      </c>
      <c r="K2194" s="139">
        <f>IFERROR(__xludf.DUMMYFUNCTION("""COMPUTED_VALUE"""),50.0)</f>
        <v>50</v>
      </c>
      <c r="L2194" s="139"/>
      <c r="M2194" s="139"/>
      <c r="N2194" s="139"/>
    </row>
    <row r="2195">
      <c r="A2195" s="139"/>
      <c r="B2195" s="139"/>
      <c r="C2195" s="139"/>
      <c r="D2195" s="139"/>
      <c r="E2195" s="139"/>
      <c r="F2195" s="139"/>
      <c r="G2195" s="139"/>
      <c r="H2195" s="139"/>
      <c r="I2195" s="139"/>
      <c r="J2195" s="139"/>
      <c r="K2195" s="139"/>
      <c r="L2195" s="139"/>
      <c r="M2195" s="139"/>
      <c r="N2195" s="139"/>
    </row>
    <row r="2196">
      <c r="A2196" s="139" t="str">
        <f>IFERROR(__xludf.DUMMYFUNCTION("""COMPUTED_VALUE"""),"e")</f>
        <v>e</v>
      </c>
      <c r="B2196" s="139">
        <f>IFERROR(__xludf.DUMMYFUNCTION("""COMPUTED_VALUE"""),2.0251002E8)</f>
        <v>202510020</v>
      </c>
      <c r="C2196" s="139" t="str">
        <f>IFERROR(__xludf.DUMMYFUNCTION("""COMPUTED_VALUE"""),"c_dan_00001_1d1c_Normal_Colorless_Normal_00000")</f>
        <v>c_dan_00001_1d1c_Normal_Colorless_Normal_00000</v>
      </c>
      <c r="D2196" s="139" t="str">
        <f>IFERROR(__xludf.DUMMYFUNCTION("""COMPUTED_VALUE"""),"c_dan_00001_1d1c_Normal_Colorless")</f>
        <v>c_dan_00001_1d1c_Normal_Colorless</v>
      </c>
      <c r="E2196" s="139">
        <f>IFERROR(__xludf.DUMMYFUNCTION("""COMPUTED_VALUE"""),0.0)</f>
        <v>0</v>
      </c>
      <c r="F2196" s="139" t="str">
        <f>IFERROR(__xludf.DUMMYFUNCTION("""COMPUTED_VALUE"""),"Normal")</f>
        <v>Normal</v>
      </c>
      <c r="G2196" s="139"/>
      <c r="H2196" s="139"/>
      <c r="I2196" s="139">
        <f>IFERROR(__xludf.DUMMYFUNCTION("""COMPUTED_VALUE"""),72.0)</f>
        <v>72</v>
      </c>
      <c r="J2196" s="139">
        <f>IFERROR(__xludf.DUMMYFUNCTION("""COMPUTED_VALUE"""),27.0)</f>
        <v>27</v>
      </c>
      <c r="K2196" s="139">
        <f>IFERROR(__xludf.DUMMYFUNCTION("""COMPUTED_VALUE"""),80.0)</f>
        <v>80</v>
      </c>
      <c r="L2196" s="139"/>
      <c r="M2196" s="139"/>
      <c r="N2196" s="139"/>
    </row>
    <row r="2197">
      <c r="A2197" s="139" t="str">
        <f>IFERROR(__xludf.DUMMYFUNCTION("""COMPUTED_VALUE"""),"e")</f>
        <v>e</v>
      </c>
      <c r="B2197" s="139">
        <f>IFERROR(__xludf.DUMMYFUNCTION("""COMPUTED_VALUE"""),2.0251002E8)</f>
        <v>202510020</v>
      </c>
      <c r="C2197" s="139" t="str">
        <f>IFERROR(__xludf.DUMMYFUNCTION("""COMPUTED_VALUE"""),"c_dan_00001_1d1c_Normal_Colorless_Special_00001")</f>
        <v>c_dan_00001_1d1c_Normal_Colorless_Special_00001</v>
      </c>
      <c r="D2197" s="139" t="str">
        <f>IFERROR(__xludf.DUMMYFUNCTION("""COMPUTED_VALUE"""),"c_dan_00001_1d1c_Normal_Colorless")</f>
        <v>c_dan_00001_1d1c_Normal_Colorless</v>
      </c>
      <c r="E2197" s="139">
        <f>IFERROR(__xludf.DUMMYFUNCTION("""COMPUTED_VALUE"""),0.0)</f>
        <v>0</v>
      </c>
      <c r="F2197" s="139" t="str">
        <f>IFERROR(__xludf.DUMMYFUNCTION("""COMPUTED_VALUE"""),"Special")</f>
        <v>Special</v>
      </c>
      <c r="G2197" s="139"/>
      <c r="H2197" s="139"/>
      <c r="I2197" s="139">
        <f>IFERROR(__xludf.DUMMYFUNCTION("""COMPUTED_VALUE"""),200.0)</f>
        <v>200</v>
      </c>
      <c r="J2197" s="139">
        <f>IFERROR(__xludf.DUMMYFUNCTION("""COMPUTED_VALUE"""),83.0)</f>
        <v>83</v>
      </c>
      <c r="K2197" s="139">
        <f>IFERROR(__xludf.DUMMYFUNCTION("""COMPUTED_VALUE"""),0.0)</f>
        <v>0</v>
      </c>
      <c r="L2197" s="139"/>
      <c r="M2197" s="139"/>
      <c r="N2197" s="139"/>
    </row>
    <row r="2198">
      <c r="A2198" s="139" t="str">
        <f>IFERROR(__xludf.DUMMYFUNCTION("""COMPUTED_VALUE"""),"e")</f>
        <v>e</v>
      </c>
      <c r="B2198" s="139">
        <f>IFERROR(__xludf.DUMMYFUNCTION("""COMPUTED_VALUE"""),2.0251002E8)</f>
        <v>202510020</v>
      </c>
      <c r="C2198" s="139" t="str">
        <f>IFERROR(__xludf.DUMMYFUNCTION("""COMPUTED_VALUE"""),"c_dan_00001_bbaget_Boss_Colorless_Normal_00000")</f>
        <v>c_dan_00001_bbaget_Boss_Colorless_Normal_00000</v>
      </c>
      <c r="D2198" s="139" t="str">
        <f>IFERROR(__xludf.DUMMYFUNCTION("""COMPUTED_VALUE"""),"c_dan_00001_bbaget_Boss_Colorless")</f>
        <v>c_dan_00001_bbaget_Boss_Colorless</v>
      </c>
      <c r="E2198" s="139">
        <f>IFERROR(__xludf.DUMMYFUNCTION("""COMPUTED_VALUE"""),0.0)</f>
        <v>0</v>
      </c>
      <c r="F2198" s="139" t="str">
        <f>IFERROR(__xludf.DUMMYFUNCTION("""COMPUTED_VALUE"""),"Normal")</f>
        <v>Normal</v>
      </c>
      <c r="G2198" s="139"/>
      <c r="H2198" s="139"/>
      <c r="I2198" s="139">
        <f>IFERROR(__xludf.DUMMYFUNCTION("""COMPUTED_VALUE"""),72.0)</f>
        <v>72</v>
      </c>
      <c r="J2198" s="139">
        <f>IFERROR(__xludf.DUMMYFUNCTION("""COMPUTED_VALUE"""),27.0)</f>
        <v>27</v>
      </c>
      <c r="K2198" s="139">
        <f>IFERROR(__xludf.DUMMYFUNCTION("""COMPUTED_VALUE"""),90.0)</f>
        <v>90</v>
      </c>
      <c r="L2198" s="139"/>
      <c r="M2198" s="139"/>
      <c r="N2198" s="139"/>
    </row>
    <row r="2199">
      <c r="A2199" s="139" t="str">
        <f>IFERROR(__xludf.DUMMYFUNCTION("""COMPUTED_VALUE"""),"e")</f>
        <v>e</v>
      </c>
      <c r="B2199" s="139">
        <f>IFERROR(__xludf.DUMMYFUNCTION("""COMPUTED_VALUE"""),2.0251002E8)</f>
        <v>202510020</v>
      </c>
      <c r="C2199" s="139" t="str">
        <f>IFERROR(__xludf.DUMMYFUNCTION("""COMPUTED_VALUE"""),"c_dan_00001_bbaget_Boss_Colorless_Special_00001")</f>
        <v>c_dan_00001_bbaget_Boss_Colorless_Special_00001</v>
      </c>
      <c r="D2199" s="139" t="str">
        <f>IFERROR(__xludf.DUMMYFUNCTION("""COMPUTED_VALUE"""),"c_dan_00001_bbaget_Boss_Colorless")</f>
        <v>c_dan_00001_bbaget_Boss_Colorless</v>
      </c>
      <c r="E2199" s="139">
        <f>IFERROR(__xludf.DUMMYFUNCTION("""COMPUTED_VALUE"""),0.0)</f>
        <v>0</v>
      </c>
      <c r="F2199" s="139" t="str">
        <f>IFERROR(__xludf.DUMMYFUNCTION("""COMPUTED_VALUE"""),"Special")</f>
        <v>Special</v>
      </c>
      <c r="G2199" s="139"/>
      <c r="H2199" s="139"/>
      <c r="I2199" s="139">
        <f>IFERROR(__xludf.DUMMYFUNCTION("""COMPUTED_VALUE"""),200.0)</f>
        <v>200</v>
      </c>
      <c r="J2199" s="139">
        <f>IFERROR(__xludf.DUMMYFUNCTION("""COMPUTED_VALUE"""),83.0)</f>
        <v>83</v>
      </c>
      <c r="K2199" s="139">
        <f>IFERROR(__xludf.DUMMYFUNCTION("""COMPUTED_VALUE"""),0.0)</f>
        <v>0</v>
      </c>
      <c r="L2199" s="139"/>
      <c r="M2199" s="139"/>
      <c r="N2199" s="139"/>
    </row>
    <row r="2200">
      <c r="A2200" s="139" t="str">
        <f>IFERROR(__xludf.DUMMYFUNCTION("""COMPUTED_VALUE"""),"e")</f>
        <v>e</v>
      </c>
      <c r="B2200" s="139">
        <f>IFERROR(__xludf.DUMMYFUNCTION("""COMPUTED_VALUE"""),2.0251002E8)</f>
        <v>202510020</v>
      </c>
      <c r="C2200" s="139" t="str">
        <f>IFERROR(__xludf.DUMMYFUNCTION("""COMPUTED_VALUE"""),"c_dan_00001_bbaget_Boss_Colorless_Appearance_00002")</f>
        <v>c_dan_00001_bbaget_Boss_Colorless_Appearance_00002</v>
      </c>
      <c r="D2200" s="139" t="str">
        <f>IFERROR(__xludf.DUMMYFUNCTION("""COMPUTED_VALUE"""),"c_dan_00001_bbaget_Boss_Colorless")</f>
        <v>c_dan_00001_bbaget_Boss_Colorless</v>
      </c>
      <c r="E2200" s="139">
        <f>IFERROR(__xludf.DUMMYFUNCTION("""COMPUTED_VALUE"""),0.0)</f>
        <v>0</v>
      </c>
      <c r="F2200" s="139" t="str">
        <f>IFERROR(__xludf.DUMMYFUNCTION("""COMPUTED_VALUE"""),"Appearance")</f>
        <v>Appearance</v>
      </c>
      <c r="G2200" s="139"/>
      <c r="H2200" s="139"/>
      <c r="I2200" s="139">
        <f>IFERROR(__xludf.DUMMYFUNCTION("""COMPUTED_VALUE"""),50.0)</f>
        <v>50</v>
      </c>
      <c r="J2200" s="139">
        <f>IFERROR(__xludf.DUMMYFUNCTION("""COMPUTED_VALUE"""),0.0)</f>
        <v>0</v>
      </c>
      <c r="K2200" s="139">
        <f>IFERROR(__xludf.DUMMYFUNCTION("""COMPUTED_VALUE"""),0.0)</f>
        <v>0</v>
      </c>
      <c r="L2200" s="139"/>
      <c r="M2200" s="139"/>
      <c r="N2200" s="139"/>
    </row>
    <row r="2201">
      <c r="A2201" s="139" t="str">
        <f>IFERROR(__xludf.DUMMYFUNCTION("""COMPUTED_VALUE"""),"e")</f>
        <v>e</v>
      </c>
      <c r="B2201" s="139">
        <f>IFERROR(__xludf.DUMMYFUNCTION("""COMPUTED_VALUE"""),2.0251002E8)</f>
        <v>202510020</v>
      </c>
      <c r="C2201" s="139" t="str">
        <f>IFERROR(__xludf.DUMMYFUNCTION("""COMPUTED_VALUE"""),"c_dan_00001_bbaget_Normal_Blue_Normal_00000")</f>
        <v>c_dan_00001_bbaget_Normal_Blue_Normal_00000</v>
      </c>
      <c r="D2201" s="139" t="str">
        <f>IFERROR(__xludf.DUMMYFUNCTION("""COMPUTED_VALUE"""),"c_dan_00001_bbaget_Normal_Blue")</f>
        <v>c_dan_00001_bbaget_Normal_Blue</v>
      </c>
      <c r="E2201" s="139">
        <f>IFERROR(__xludf.DUMMYFUNCTION("""COMPUTED_VALUE"""),0.0)</f>
        <v>0</v>
      </c>
      <c r="F2201" s="139" t="str">
        <f>IFERROR(__xludf.DUMMYFUNCTION("""COMPUTED_VALUE"""),"Normal")</f>
        <v>Normal</v>
      </c>
      <c r="G2201" s="139"/>
      <c r="H2201" s="139"/>
      <c r="I2201" s="139">
        <f>IFERROR(__xludf.DUMMYFUNCTION("""COMPUTED_VALUE"""),72.0)</f>
        <v>72</v>
      </c>
      <c r="J2201" s="139">
        <f>IFERROR(__xludf.DUMMYFUNCTION("""COMPUTED_VALUE"""),27.0)</f>
        <v>27</v>
      </c>
      <c r="K2201" s="139">
        <f>IFERROR(__xludf.DUMMYFUNCTION("""COMPUTED_VALUE"""),90.0)</f>
        <v>90</v>
      </c>
      <c r="L2201" s="139"/>
      <c r="M2201" s="139"/>
      <c r="N2201" s="139"/>
    </row>
    <row r="2202">
      <c r="A2202" s="139" t="str">
        <f>IFERROR(__xludf.DUMMYFUNCTION("""COMPUTED_VALUE"""),"e")</f>
        <v>e</v>
      </c>
      <c r="B2202" s="139">
        <f>IFERROR(__xludf.DUMMYFUNCTION("""COMPUTED_VALUE"""),2.0251002E8)</f>
        <v>202510020</v>
      </c>
      <c r="C2202" s="139" t="str">
        <f>IFERROR(__xludf.DUMMYFUNCTION("""COMPUTED_VALUE"""),"c_dan_00001_bbaget_Normal_Blue_Special_00001")</f>
        <v>c_dan_00001_bbaget_Normal_Blue_Special_00001</v>
      </c>
      <c r="D2202" s="139" t="str">
        <f>IFERROR(__xludf.DUMMYFUNCTION("""COMPUTED_VALUE"""),"c_dan_00001_bbaget_Normal_Blue")</f>
        <v>c_dan_00001_bbaget_Normal_Blue</v>
      </c>
      <c r="E2202" s="139">
        <f>IFERROR(__xludf.DUMMYFUNCTION("""COMPUTED_VALUE"""),0.0)</f>
        <v>0</v>
      </c>
      <c r="F2202" s="139" t="str">
        <f>IFERROR(__xludf.DUMMYFUNCTION("""COMPUTED_VALUE"""),"Special")</f>
        <v>Special</v>
      </c>
      <c r="G2202" s="139"/>
      <c r="H2202" s="139"/>
      <c r="I2202" s="139">
        <f>IFERROR(__xludf.DUMMYFUNCTION("""COMPUTED_VALUE"""),200.0)</f>
        <v>200</v>
      </c>
      <c r="J2202" s="139">
        <f>IFERROR(__xludf.DUMMYFUNCTION("""COMPUTED_VALUE"""),83.0)</f>
        <v>83</v>
      </c>
      <c r="K2202" s="139">
        <f>IFERROR(__xludf.DUMMYFUNCTION("""COMPUTED_VALUE"""),0.0)</f>
        <v>0</v>
      </c>
      <c r="L2202" s="139"/>
      <c r="M2202" s="139"/>
      <c r="N2202" s="139"/>
    </row>
    <row r="2203">
      <c r="A2203" s="139" t="str">
        <f>IFERROR(__xludf.DUMMYFUNCTION("""COMPUTED_VALUE"""),"e")</f>
        <v>e</v>
      </c>
      <c r="B2203" s="139">
        <f>IFERROR(__xludf.DUMMYFUNCTION("""COMPUTED_VALUE"""),2.0251002E8)</f>
        <v>202510020</v>
      </c>
      <c r="C2203" s="139" t="str">
        <f>IFERROR(__xludf.DUMMYFUNCTION("""COMPUTED_VALUE"""),"c_dan_00001_bbaget_Boss_Blue_Normal_00000")</f>
        <v>c_dan_00001_bbaget_Boss_Blue_Normal_00000</v>
      </c>
      <c r="D2203" s="139" t="str">
        <f>IFERROR(__xludf.DUMMYFUNCTION("""COMPUTED_VALUE"""),"c_dan_00001_bbaget_Boss_Blue")</f>
        <v>c_dan_00001_bbaget_Boss_Blue</v>
      </c>
      <c r="E2203" s="139">
        <f>IFERROR(__xludf.DUMMYFUNCTION("""COMPUTED_VALUE"""),0.0)</f>
        <v>0</v>
      </c>
      <c r="F2203" s="139" t="str">
        <f>IFERROR(__xludf.DUMMYFUNCTION("""COMPUTED_VALUE"""),"Normal")</f>
        <v>Normal</v>
      </c>
      <c r="G2203" s="139"/>
      <c r="H2203" s="139"/>
      <c r="I2203" s="139">
        <f>IFERROR(__xludf.DUMMYFUNCTION("""COMPUTED_VALUE"""),72.0)</f>
        <v>72</v>
      </c>
      <c r="J2203" s="139">
        <f>IFERROR(__xludf.DUMMYFUNCTION("""COMPUTED_VALUE"""),27.0)</f>
        <v>27</v>
      </c>
      <c r="K2203" s="139">
        <f>IFERROR(__xludf.DUMMYFUNCTION("""COMPUTED_VALUE"""),90.0)</f>
        <v>90</v>
      </c>
      <c r="L2203" s="139"/>
      <c r="M2203" s="139"/>
      <c r="N2203" s="139"/>
    </row>
    <row r="2204">
      <c r="A2204" s="139" t="str">
        <f>IFERROR(__xludf.DUMMYFUNCTION("""COMPUTED_VALUE"""),"e")</f>
        <v>e</v>
      </c>
      <c r="B2204" s="139">
        <f>IFERROR(__xludf.DUMMYFUNCTION("""COMPUTED_VALUE"""),2.0251002E8)</f>
        <v>202510020</v>
      </c>
      <c r="C2204" s="139" t="str">
        <f>IFERROR(__xludf.DUMMYFUNCTION("""COMPUTED_VALUE"""),"c_dan_00001_bbaget_Boss_Blue_Special_00001")</f>
        <v>c_dan_00001_bbaget_Boss_Blue_Special_00001</v>
      </c>
      <c r="D2204" s="139" t="str">
        <f>IFERROR(__xludf.DUMMYFUNCTION("""COMPUTED_VALUE"""),"c_dan_00001_bbaget_Boss_Blue")</f>
        <v>c_dan_00001_bbaget_Boss_Blue</v>
      </c>
      <c r="E2204" s="139">
        <f>IFERROR(__xludf.DUMMYFUNCTION("""COMPUTED_VALUE"""),0.0)</f>
        <v>0</v>
      </c>
      <c r="F2204" s="139" t="str">
        <f>IFERROR(__xludf.DUMMYFUNCTION("""COMPUTED_VALUE"""),"Special")</f>
        <v>Special</v>
      </c>
      <c r="G2204" s="139"/>
      <c r="H2204" s="139"/>
      <c r="I2204" s="139">
        <f>IFERROR(__xludf.DUMMYFUNCTION("""COMPUTED_VALUE"""),200.0)</f>
        <v>200</v>
      </c>
      <c r="J2204" s="139">
        <f>IFERROR(__xludf.DUMMYFUNCTION("""COMPUTED_VALUE"""),83.0)</f>
        <v>83</v>
      </c>
      <c r="K2204" s="139">
        <f>IFERROR(__xludf.DUMMYFUNCTION("""COMPUTED_VALUE"""),0.0)</f>
        <v>0</v>
      </c>
      <c r="L2204" s="139"/>
      <c r="M2204" s="139"/>
      <c r="N2204" s="139"/>
    </row>
    <row r="2205">
      <c r="A2205" s="139" t="str">
        <f>IFERROR(__xludf.DUMMYFUNCTION("""COMPUTED_VALUE"""),"e")</f>
        <v>e</v>
      </c>
      <c r="B2205" s="139">
        <f>IFERROR(__xludf.DUMMYFUNCTION("""COMPUTED_VALUE"""),2.0251002E8)</f>
        <v>202510020</v>
      </c>
      <c r="C2205" s="139" t="str">
        <f>IFERROR(__xludf.DUMMYFUNCTION("""COMPUTED_VALUE"""),"c_dan_00001_bbaget_Boss_Blue_Appearance_00002")</f>
        <v>c_dan_00001_bbaget_Boss_Blue_Appearance_00002</v>
      </c>
      <c r="D2205" s="139" t="str">
        <f>IFERROR(__xludf.DUMMYFUNCTION("""COMPUTED_VALUE"""),"c_dan_00001_bbaget_Boss_Blue")</f>
        <v>c_dan_00001_bbaget_Boss_Blue</v>
      </c>
      <c r="E2205" s="139">
        <f>IFERROR(__xludf.DUMMYFUNCTION("""COMPUTED_VALUE"""),0.0)</f>
        <v>0</v>
      </c>
      <c r="F2205" s="139" t="str">
        <f>IFERROR(__xludf.DUMMYFUNCTION("""COMPUTED_VALUE"""),"Appearance")</f>
        <v>Appearance</v>
      </c>
      <c r="G2205" s="139"/>
      <c r="H2205" s="139"/>
      <c r="I2205" s="139">
        <f>IFERROR(__xludf.DUMMYFUNCTION("""COMPUTED_VALUE"""),50.0)</f>
        <v>50</v>
      </c>
      <c r="J2205" s="139">
        <f>IFERROR(__xludf.DUMMYFUNCTION("""COMPUTED_VALUE"""),0.0)</f>
        <v>0</v>
      </c>
      <c r="K2205" s="139">
        <f>IFERROR(__xludf.DUMMYFUNCTION("""COMPUTED_VALUE"""),0.0)</f>
        <v>0</v>
      </c>
      <c r="L2205" s="139"/>
      <c r="M2205" s="139"/>
      <c r="N2205" s="139"/>
    </row>
    <row r="2206">
      <c r="A2206" s="139" t="str">
        <f>IFERROR(__xludf.DUMMYFUNCTION("""COMPUTED_VALUE"""),"e")</f>
        <v>e</v>
      </c>
      <c r="B2206" s="139">
        <f>IFERROR(__xludf.DUMMYFUNCTION("""COMPUTED_VALUE"""),2.0251002E8)</f>
        <v>202510020</v>
      </c>
      <c r="C2206" s="139" t="str">
        <f>IFERROR(__xludf.DUMMYFUNCTION("""COMPUTED_VALUE"""),"c_dan_00002_bbaget_Boss_Blue_Normal_00000")</f>
        <v>c_dan_00002_bbaget_Boss_Blue_Normal_00000</v>
      </c>
      <c r="D2206" s="139" t="str">
        <f>IFERROR(__xludf.DUMMYFUNCTION("""COMPUTED_VALUE"""),"c_dan_00002_bbaget_Boss_Blue")</f>
        <v>c_dan_00002_bbaget_Boss_Blue</v>
      </c>
      <c r="E2206" s="139">
        <f>IFERROR(__xludf.DUMMYFUNCTION("""COMPUTED_VALUE"""),0.0)</f>
        <v>0</v>
      </c>
      <c r="F2206" s="139" t="str">
        <f>IFERROR(__xludf.DUMMYFUNCTION("""COMPUTED_VALUE"""),"Normal")</f>
        <v>Normal</v>
      </c>
      <c r="G2206" s="139"/>
      <c r="H2206" s="139"/>
      <c r="I2206" s="139">
        <f>IFERROR(__xludf.DUMMYFUNCTION("""COMPUTED_VALUE"""),92.0)</f>
        <v>92</v>
      </c>
      <c r="J2206" s="139">
        <f>IFERROR(__xludf.DUMMYFUNCTION("""COMPUTED_VALUE"""),0.0)</f>
        <v>0</v>
      </c>
      <c r="K2206" s="139">
        <f>IFERROR(__xludf.DUMMYFUNCTION("""COMPUTED_VALUE"""),80.0)</f>
        <v>80</v>
      </c>
      <c r="L2206" s="139"/>
      <c r="M2206" s="139"/>
      <c r="N2206" s="139"/>
    </row>
    <row r="2207">
      <c r="A2207" s="139" t="str">
        <f>IFERROR(__xludf.DUMMYFUNCTION("""COMPUTED_VALUE"""),"e")</f>
        <v>e</v>
      </c>
      <c r="B2207" s="139">
        <f>IFERROR(__xludf.DUMMYFUNCTION("""COMPUTED_VALUE"""),2.0251002E8)</f>
        <v>202510020</v>
      </c>
      <c r="C2207" s="139" t="str">
        <f>IFERROR(__xludf.DUMMYFUNCTION("""COMPUTED_VALUE"""),"c_dan_00002_bbaget_Boss_Blue_Special_00001")</f>
        <v>c_dan_00002_bbaget_Boss_Blue_Special_00001</v>
      </c>
      <c r="D2207" s="139" t="str">
        <f>IFERROR(__xludf.DUMMYFUNCTION("""COMPUTED_VALUE"""),"c_dan_00002_bbaget_Boss_Blue")</f>
        <v>c_dan_00002_bbaget_Boss_Blue</v>
      </c>
      <c r="E2207" s="139">
        <f>IFERROR(__xludf.DUMMYFUNCTION("""COMPUTED_VALUE"""),0.0)</f>
        <v>0</v>
      </c>
      <c r="F2207" s="139" t="str">
        <f>IFERROR(__xludf.DUMMYFUNCTION("""COMPUTED_VALUE"""),"Special")</f>
        <v>Special</v>
      </c>
      <c r="G2207" s="139"/>
      <c r="H2207" s="139"/>
      <c r="I2207" s="139">
        <f>IFERROR(__xludf.DUMMYFUNCTION("""COMPUTED_VALUE"""),261.0)</f>
        <v>261</v>
      </c>
      <c r="J2207" s="139">
        <f>IFERROR(__xludf.DUMMYFUNCTION("""COMPUTED_VALUE"""),0.0)</f>
        <v>0</v>
      </c>
      <c r="K2207" s="139">
        <f>IFERROR(__xludf.DUMMYFUNCTION("""COMPUTED_VALUE"""),0.0)</f>
        <v>0</v>
      </c>
      <c r="L2207" s="139"/>
      <c r="M2207" s="139"/>
      <c r="N2207" s="139"/>
    </row>
    <row r="2208">
      <c r="A2208" s="139" t="str">
        <f>IFERROR(__xludf.DUMMYFUNCTION("""COMPUTED_VALUE"""),"e")</f>
        <v>e</v>
      </c>
      <c r="B2208" s="139">
        <f>IFERROR(__xludf.DUMMYFUNCTION("""COMPUTED_VALUE"""),2.0251002E8)</f>
        <v>202510020</v>
      </c>
      <c r="C2208" s="139" t="str">
        <f>IFERROR(__xludf.DUMMYFUNCTION("""COMPUTED_VALUE"""),"c_dan_00002_bbaget_Boss_Blue_Appearance_00002")</f>
        <v>c_dan_00002_bbaget_Boss_Blue_Appearance_00002</v>
      </c>
      <c r="D2208" s="139" t="str">
        <f>IFERROR(__xludf.DUMMYFUNCTION("""COMPUTED_VALUE"""),"c_dan_00002_bbaget_Boss_Blue")</f>
        <v>c_dan_00002_bbaget_Boss_Blue</v>
      </c>
      <c r="E2208" s="139">
        <f>IFERROR(__xludf.DUMMYFUNCTION("""COMPUTED_VALUE"""),0.0)</f>
        <v>0</v>
      </c>
      <c r="F2208" s="139" t="str">
        <f>IFERROR(__xludf.DUMMYFUNCTION("""COMPUTED_VALUE"""),"Appearance")</f>
        <v>Appearance</v>
      </c>
      <c r="G2208" s="139"/>
      <c r="H2208" s="139"/>
      <c r="I2208" s="139">
        <f>IFERROR(__xludf.DUMMYFUNCTION("""COMPUTED_VALUE"""),50.0)</f>
        <v>50</v>
      </c>
      <c r="J2208" s="139">
        <f>IFERROR(__xludf.DUMMYFUNCTION("""COMPUTED_VALUE"""),0.0)</f>
        <v>0</v>
      </c>
      <c r="K2208" s="139">
        <f>IFERROR(__xludf.DUMMYFUNCTION("""COMPUTED_VALUE"""),0.0)</f>
        <v>0</v>
      </c>
      <c r="L2208" s="139"/>
      <c r="M2208" s="139"/>
      <c r="N2208" s="139"/>
    </row>
    <row r="2209">
      <c r="A2209" s="139" t="str">
        <f>IFERROR(__xludf.DUMMYFUNCTION("""COMPUTED_VALUE"""),"e")</f>
        <v>e</v>
      </c>
      <c r="B2209" s="139">
        <f>IFERROR(__xludf.DUMMYFUNCTION("""COMPUTED_VALUE"""),2.0251002E8)</f>
        <v>202510020</v>
      </c>
      <c r="C2209" s="139" t="str">
        <f>IFERROR(__xludf.DUMMYFUNCTION("""COMPUTED_VALUE"""),"c_dan_00101_bbaget_Normal_Blue_Normal_00000")</f>
        <v>c_dan_00101_bbaget_Normal_Blue_Normal_00000</v>
      </c>
      <c r="D2209" s="139" t="str">
        <f>IFERROR(__xludf.DUMMYFUNCTION("""COMPUTED_VALUE"""),"c_dan_00101_bbaget_Normal_Blue")</f>
        <v>c_dan_00101_bbaget_Normal_Blue</v>
      </c>
      <c r="E2209" s="139">
        <f>IFERROR(__xludf.DUMMYFUNCTION("""COMPUTED_VALUE"""),0.0)</f>
        <v>0</v>
      </c>
      <c r="F2209" s="139" t="str">
        <f>IFERROR(__xludf.DUMMYFUNCTION("""COMPUTED_VALUE"""),"Normal")</f>
        <v>Normal</v>
      </c>
      <c r="G2209" s="139"/>
      <c r="H2209" s="139"/>
      <c r="I2209" s="139">
        <f>IFERROR(__xludf.DUMMYFUNCTION("""COMPUTED_VALUE"""),50.0)</f>
        <v>50</v>
      </c>
      <c r="J2209" s="139">
        <f>IFERROR(__xludf.DUMMYFUNCTION("""COMPUTED_VALUE"""),25.0)</f>
        <v>25</v>
      </c>
      <c r="K2209" s="139">
        <f>IFERROR(__xludf.DUMMYFUNCTION("""COMPUTED_VALUE"""),100.0)</f>
        <v>100</v>
      </c>
      <c r="L2209" s="139"/>
      <c r="M2209" s="139"/>
      <c r="N2209" s="139"/>
    </row>
    <row r="2210">
      <c r="A2210" s="139" t="str">
        <f>IFERROR(__xludf.DUMMYFUNCTION("""COMPUTED_VALUE"""),"e")</f>
        <v>e</v>
      </c>
      <c r="B2210" s="139">
        <f>IFERROR(__xludf.DUMMYFUNCTION("""COMPUTED_VALUE"""),2.0251002E8)</f>
        <v>202510020</v>
      </c>
      <c r="C2210" s="139" t="str">
        <f>IFERROR(__xludf.DUMMYFUNCTION("""COMPUTED_VALUE"""),"c_dan_00101_bbaget_Normal_Blue_Special_00001")</f>
        <v>c_dan_00101_bbaget_Normal_Blue_Special_00001</v>
      </c>
      <c r="D2210" s="139" t="str">
        <f>IFERROR(__xludf.DUMMYFUNCTION("""COMPUTED_VALUE"""),"c_dan_00101_bbaget_Normal_Blue")</f>
        <v>c_dan_00101_bbaget_Normal_Blue</v>
      </c>
      <c r="E2210" s="139">
        <f>IFERROR(__xludf.DUMMYFUNCTION("""COMPUTED_VALUE"""),0.0)</f>
        <v>0</v>
      </c>
      <c r="F2210" s="139" t="str">
        <f>IFERROR(__xludf.DUMMYFUNCTION("""COMPUTED_VALUE"""),"Special")</f>
        <v>Special</v>
      </c>
      <c r="G2210" s="139"/>
      <c r="H2210" s="139"/>
      <c r="I2210" s="139">
        <f>IFERROR(__xludf.DUMMYFUNCTION("""COMPUTED_VALUE"""),100.0)</f>
        <v>100</v>
      </c>
      <c r="J2210" s="139">
        <f>IFERROR(__xludf.DUMMYFUNCTION("""COMPUTED_VALUE"""),50.0)</f>
        <v>50</v>
      </c>
      <c r="K2210" s="139">
        <f>IFERROR(__xludf.DUMMYFUNCTION("""COMPUTED_VALUE"""),0.0)</f>
        <v>0</v>
      </c>
      <c r="L2210" s="139"/>
      <c r="M2210" s="139"/>
      <c r="N2210" s="139"/>
    </row>
    <row r="2211">
      <c r="A2211" s="139" t="str">
        <f>IFERROR(__xludf.DUMMYFUNCTION("""COMPUTED_VALUE"""),"e")</f>
        <v>e</v>
      </c>
      <c r="B2211" s="139">
        <f>IFERROR(__xludf.DUMMYFUNCTION("""COMPUTED_VALUE"""),2.0251002E8)</f>
        <v>202510020</v>
      </c>
      <c r="C2211" s="139" t="str">
        <f>IFERROR(__xludf.DUMMYFUNCTION("""COMPUTED_VALUE"""),"c_dan_00101_bbaget_Boss_Blue_Normal_00000")</f>
        <v>c_dan_00101_bbaget_Boss_Blue_Normal_00000</v>
      </c>
      <c r="D2211" s="139" t="str">
        <f>IFERROR(__xludf.DUMMYFUNCTION("""COMPUTED_VALUE"""),"c_dan_00101_bbaget_Boss_Blue")</f>
        <v>c_dan_00101_bbaget_Boss_Blue</v>
      </c>
      <c r="E2211" s="139">
        <f>IFERROR(__xludf.DUMMYFUNCTION("""COMPUTED_VALUE"""),0.0)</f>
        <v>0</v>
      </c>
      <c r="F2211" s="139" t="str">
        <f>IFERROR(__xludf.DUMMYFUNCTION("""COMPUTED_VALUE"""),"Normal")</f>
        <v>Normal</v>
      </c>
      <c r="G2211" s="139"/>
      <c r="H2211" s="139"/>
      <c r="I2211" s="139">
        <f>IFERROR(__xludf.DUMMYFUNCTION("""COMPUTED_VALUE"""),50.0)</f>
        <v>50</v>
      </c>
      <c r="J2211" s="139">
        <f>IFERROR(__xludf.DUMMYFUNCTION("""COMPUTED_VALUE"""),25.0)</f>
        <v>25</v>
      </c>
      <c r="K2211" s="139">
        <f>IFERROR(__xludf.DUMMYFUNCTION("""COMPUTED_VALUE"""),100.0)</f>
        <v>100</v>
      </c>
      <c r="L2211" s="139"/>
      <c r="M2211" s="139"/>
      <c r="N2211" s="139"/>
    </row>
    <row r="2212">
      <c r="A2212" s="139" t="str">
        <f>IFERROR(__xludf.DUMMYFUNCTION("""COMPUTED_VALUE"""),"e")</f>
        <v>e</v>
      </c>
      <c r="B2212" s="139">
        <f>IFERROR(__xludf.DUMMYFUNCTION("""COMPUTED_VALUE"""),2.0251002E8)</f>
        <v>202510020</v>
      </c>
      <c r="C2212" s="139" t="str">
        <f>IFERROR(__xludf.DUMMYFUNCTION("""COMPUTED_VALUE"""),"c_dan_00101_bbaget_Boss_Blue_Special_00001")</f>
        <v>c_dan_00101_bbaget_Boss_Blue_Special_00001</v>
      </c>
      <c r="D2212" s="139" t="str">
        <f>IFERROR(__xludf.DUMMYFUNCTION("""COMPUTED_VALUE"""),"c_dan_00101_bbaget_Boss_Blue")</f>
        <v>c_dan_00101_bbaget_Boss_Blue</v>
      </c>
      <c r="E2212" s="139">
        <f>IFERROR(__xludf.DUMMYFUNCTION("""COMPUTED_VALUE"""),0.0)</f>
        <v>0</v>
      </c>
      <c r="F2212" s="139" t="str">
        <f>IFERROR(__xludf.DUMMYFUNCTION("""COMPUTED_VALUE"""),"Special")</f>
        <v>Special</v>
      </c>
      <c r="G2212" s="139"/>
      <c r="H2212" s="139"/>
      <c r="I2212" s="139">
        <f>IFERROR(__xludf.DUMMYFUNCTION("""COMPUTED_VALUE"""),100.0)</f>
        <v>100</v>
      </c>
      <c r="J2212" s="139">
        <f>IFERROR(__xludf.DUMMYFUNCTION("""COMPUTED_VALUE"""),50.0)</f>
        <v>50</v>
      </c>
      <c r="K2212" s="139">
        <f>IFERROR(__xludf.DUMMYFUNCTION("""COMPUTED_VALUE"""),0.0)</f>
        <v>0</v>
      </c>
      <c r="L2212" s="139"/>
      <c r="M2212" s="139"/>
      <c r="N2212" s="139"/>
    </row>
    <row r="2213">
      <c r="A2213" s="139" t="str">
        <f>IFERROR(__xludf.DUMMYFUNCTION("""COMPUTED_VALUE"""),"e")</f>
        <v>e</v>
      </c>
      <c r="B2213" s="139">
        <f>IFERROR(__xludf.DUMMYFUNCTION("""COMPUTED_VALUE"""),2.0251002E8)</f>
        <v>202510020</v>
      </c>
      <c r="C2213" s="139" t="str">
        <f>IFERROR(__xludf.DUMMYFUNCTION("""COMPUTED_VALUE"""),"c_dan_00101_bbaget_Boss_Blue_Appearance_00002")</f>
        <v>c_dan_00101_bbaget_Boss_Blue_Appearance_00002</v>
      </c>
      <c r="D2213" s="139" t="str">
        <f>IFERROR(__xludf.DUMMYFUNCTION("""COMPUTED_VALUE"""),"c_dan_00101_bbaget_Boss_Blue")</f>
        <v>c_dan_00101_bbaget_Boss_Blue</v>
      </c>
      <c r="E2213" s="139">
        <f>IFERROR(__xludf.DUMMYFUNCTION("""COMPUTED_VALUE"""),0.0)</f>
        <v>0</v>
      </c>
      <c r="F2213" s="139" t="str">
        <f>IFERROR(__xludf.DUMMYFUNCTION("""COMPUTED_VALUE"""),"Appearance")</f>
        <v>Appearance</v>
      </c>
      <c r="G2213" s="139"/>
      <c r="H2213" s="139"/>
      <c r="I2213" s="139">
        <f>IFERROR(__xludf.DUMMYFUNCTION("""COMPUTED_VALUE"""),50.0)</f>
        <v>50</v>
      </c>
      <c r="J2213" s="139">
        <f>IFERROR(__xludf.DUMMYFUNCTION("""COMPUTED_VALUE"""),0.0)</f>
        <v>0</v>
      </c>
      <c r="K2213" s="139">
        <f>IFERROR(__xludf.DUMMYFUNCTION("""COMPUTED_VALUE"""),0.0)</f>
        <v>0</v>
      </c>
      <c r="L2213" s="139"/>
      <c r="M2213" s="139"/>
      <c r="N2213" s="139"/>
    </row>
    <row r="2214">
      <c r="A2214" s="139" t="str">
        <f>IFERROR(__xludf.DUMMYFUNCTION("""COMPUTED_VALUE"""),"e")</f>
        <v>e</v>
      </c>
      <c r="B2214" s="139">
        <f>IFERROR(__xludf.DUMMYFUNCTION("""COMPUTED_VALUE"""),2.0251002E8)</f>
        <v>202510020</v>
      </c>
      <c r="C2214" s="139" t="str">
        <f>IFERROR(__xludf.DUMMYFUNCTION("""COMPUTED_VALUE"""),"c_dan_00301_bbaget_atk_Boss_Blue_Normal_00000")</f>
        <v>c_dan_00301_bbaget_atk_Boss_Blue_Normal_00000</v>
      </c>
      <c r="D2214" s="139" t="str">
        <f>IFERROR(__xludf.DUMMYFUNCTION("""COMPUTED_VALUE"""),"c_dan_00301_bbaget_atk_Boss_Blue")</f>
        <v>c_dan_00301_bbaget_atk_Boss_Blue</v>
      </c>
      <c r="E2214" s="139">
        <f>IFERROR(__xludf.DUMMYFUNCTION("""COMPUTED_VALUE"""),0.0)</f>
        <v>0</v>
      </c>
      <c r="F2214" s="139" t="str">
        <f>IFERROR(__xludf.DUMMYFUNCTION("""COMPUTED_VALUE"""),"Normal")</f>
        <v>Normal</v>
      </c>
      <c r="G2214" s="139"/>
      <c r="H2214" s="139"/>
      <c r="I2214" s="139">
        <f>IFERROR(__xludf.DUMMYFUNCTION("""COMPUTED_VALUE"""),80.0)</f>
        <v>80</v>
      </c>
      <c r="J2214" s="139">
        <f>IFERROR(__xludf.DUMMYFUNCTION("""COMPUTED_VALUE"""),0.0)</f>
        <v>0</v>
      </c>
      <c r="K2214" s="139">
        <f>IFERROR(__xludf.DUMMYFUNCTION("""COMPUTED_VALUE"""),75.0)</f>
        <v>75</v>
      </c>
      <c r="L2214" s="139"/>
      <c r="M2214" s="139"/>
      <c r="N2214" s="139"/>
    </row>
    <row r="2215">
      <c r="A2215" s="139" t="str">
        <f>IFERROR(__xludf.DUMMYFUNCTION("""COMPUTED_VALUE"""),"e")</f>
        <v>e</v>
      </c>
      <c r="B2215" s="139">
        <f>IFERROR(__xludf.DUMMYFUNCTION("""COMPUTED_VALUE"""),2.0251002E8)</f>
        <v>202510020</v>
      </c>
      <c r="C2215" s="139" t="str">
        <f>IFERROR(__xludf.DUMMYFUNCTION("""COMPUTED_VALUE"""),"c_dan_00301_bbaget_atk_Boss_Blue_Special_00001")</f>
        <v>c_dan_00301_bbaget_atk_Boss_Blue_Special_00001</v>
      </c>
      <c r="D2215" s="139" t="str">
        <f>IFERROR(__xludf.DUMMYFUNCTION("""COMPUTED_VALUE"""),"c_dan_00301_bbaget_atk_Boss_Blue")</f>
        <v>c_dan_00301_bbaget_atk_Boss_Blue</v>
      </c>
      <c r="E2215" s="139">
        <f>IFERROR(__xludf.DUMMYFUNCTION("""COMPUTED_VALUE"""),0.0)</f>
        <v>0</v>
      </c>
      <c r="F2215" s="139" t="str">
        <f>IFERROR(__xludf.DUMMYFUNCTION("""COMPUTED_VALUE"""),"Special")</f>
        <v>Special</v>
      </c>
      <c r="G2215" s="139"/>
      <c r="H2215" s="139"/>
      <c r="I2215" s="139">
        <f>IFERROR(__xludf.DUMMYFUNCTION("""COMPUTED_VALUE"""),92.0)</f>
        <v>92</v>
      </c>
      <c r="J2215" s="139">
        <f>IFERROR(__xludf.DUMMYFUNCTION("""COMPUTED_VALUE"""),15.0)</f>
        <v>15</v>
      </c>
      <c r="K2215" s="139">
        <f>IFERROR(__xludf.DUMMYFUNCTION("""COMPUTED_VALUE"""),0.0)</f>
        <v>0</v>
      </c>
      <c r="L2215" s="139"/>
      <c r="M2215" s="139"/>
      <c r="N2215" s="139"/>
    </row>
    <row r="2216">
      <c r="A2216" s="139" t="str">
        <f>IFERROR(__xludf.DUMMYFUNCTION("""COMPUTED_VALUE"""),"e")</f>
        <v>e</v>
      </c>
      <c r="B2216" s="139">
        <f>IFERROR(__xludf.DUMMYFUNCTION("""COMPUTED_VALUE"""),2.0251002E8)</f>
        <v>202510020</v>
      </c>
      <c r="C2216" s="139" t="str">
        <f>IFERROR(__xludf.DUMMYFUNCTION("""COMPUTED_VALUE"""),"c_dan_00301_bbaget_atk_Boss_Blue_Appearance_00002")</f>
        <v>c_dan_00301_bbaget_atk_Boss_Blue_Appearance_00002</v>
      </c>
      <c r="D2216" s="139" t="str">
        <f>IFERROR(__xludf.DUMMYFUNCTION("""COMPUTED_VALUE"""),"c_dan_00301_bbaget_atk_Boss_Blue")</f>
        <v>c_dan_00301_bbaget_atk_Boss_Blue</v>
      </c>
      <c r="E2216" s="139">
        <f>IFERROR(__xludf.DUMMYFUNCTION("""COMPUTED_VALUE"""),0.0)</f>
        <v>0</v>
      </c>
      <c r="F2216" s="139" t="str">
        <f>IFERROR(__xludf.DUMMYFUNCTION("""COMPUTED_VALUE"""),"Appearance")</f>
        <v>Appearance</v>
      </c>
      <c r="G2216" s="139"/>
      <c r="H2216" s="139"/>
      <c r="I2216" s="139">
        <f>IFERROR(__xludf.DUMMYFUNCTION("""COMPUTED_VALUE"""),50.0)</f>
        <v>50</v>
      </c>
      <c r="J2216" s="139">
        <f>IFERROR(__xludf.DUMMYFUNCTION("""COMPUTED_VALUE"""),0.0)</f>
        <v>0</v>
      </c>
      <c r="K2216" s="139">
        <f>IFERROR(__xludf.DUMMYFUNCTION("""COMPUTED_VALUE"""),0.0)</f>
        <v>0</v>
      </c>
      <c r="L2216" s="139"/>
      <c r="M2216" s="139"/>
      <c r="N2216" s="139"/>
    </row>
    <row r="2217">
      <c r="A2217" s="139" t="str">
        <f>IFERROR(__xludf.DUMMYFUNCTION("""COMPUTED_VALUE"""),"e")</f>
        <v>e</v>
      </c>
      <c r="B2217" s="139">
        <f>IFERROR(__xludf.DUMMYFUNCTION("""COMPUTED_VALUE"""),2.0251002E8)</f>
        <v>202510020</v>
      </c>
      <c r="C2217" s="139" t="str">
        <f>IFERROR(__xludf.DUMMYFUNCTION("""COMPUTED_VALUE"""),"c_dan_00301_bbaget_tec_Boss_Blue_Normal_00000")</f>
        <v>c_dan_00301_bbaget_tec_Boss_Blue_Normal_00000</v>
      </c>
      <c r="D2217" s="139" t="str">
        <f>IFERROR(__xludf.DUMMYFUNCTION("""COMPUTED_VALUE"""),"c_dan_00301_bbaget_tec_Boss_Blue")</f>
        <v>c_dan_00301_bbaget_tec_Boss_Blue</v>
      </c>
      <c r="E2217" s="139">
        <f>IFERROR(__xludf.DUMMYFUNCTION("""COMPUTED_VALUE"""),0.0)</f>
        <v>0</v>
      </c>
      <c r="F2217" s="139" t="str">
        <f>IFERROR(__xludf.DUMMYFUNCTION("""COMPUTED_VALUE"""),"Normal")</f>
        <v>Normal</v>
      </c>
      <c r="G2217" s="139"/>
      <c r="H2217" s="139"/>
      <c r="I2217" s="139">
        <f>IFERROR(__xludf.DUMMYFUNCTION("""COMPUTED_VALUE"""),80.0)</f>
        <v>80</v>
      </c>
      <c r="J2217" s="139">
        <f>IFERROR(__xludf.DUMMYFUNCTION("""COMPUTED_VALUE"""),0.0)</f>
        <v>0</v>
      </c>
      <c r="K2217" s="139">
        <f>IFERROR(__xludf.DUMMYFUNCTION("""COMPUTED_VALUE"""),90.0)</f>
        <v>90</v>
      </c>
      <c r="L2217" s="139"/>
      <c r="M2217" s="139"/>
      <c r="N2217" s="139"/>
    </row>
    <row r="2218">
      <c r="A2218" s="139" t="str">
        <f>IFERROR(__xludf.DUMMYFUNCTION("""COMPUTED_VALUE"""),"e")</f>
        <v>e</v>
      </c>
      <c r="B2218" s="139">
        <f>IFERROR(__xludf.DUMMYFUNCTION("""COMPUTED_VALUE"""),2.0251002E8)</f>
        <v>202510020</v>
      </c>
      <c r="C2218" s="139" t="str">
        <f>IFERROR(__xludf.DUMMYFUNCTION("""COMPUTED_VALUE"""),"c_dan_00301_bbaget_tec_Boss_Blue_Special_00001")</f>
        <v>c_dan_00301_bbaget_tec_Boss_Blue_Special_00001</v>
      </c>
      <c r="D2218" s="139" t="str">
        <f>IFERROR(__xludf.DUMMYFUNCTION("""COMPUTED_VALUE"""),"c_dan_00301_bbaget_tec_Boss_Blue")</f>
        <v>c_dan_00301_bbaget_tec_Boss_Blue</v>
      </c>
      <c r="E2218" s="139">
        <f>IFERROR(__xludf.DUMMYFUNCTION("""COMPUTED_VALUE"""),0.0)</f>
        <v>0</v>
      </c>
      <c r="F2218" s="139" t="str">
        <f>IFERROR(__xludf.DUMMYFUNCTION("""COMPUTED_VALUE"""),"Special")</f>
        <v>Special</v>
      </c>
      <c r="G2218" s="139"/>
      <c r="H2218" s="139"/>
      <c r="I2218" s="139">
        <f>IFERROR(__xludf.DUMMYFUNCTION("""COMPUTED_VALUE"""),92.0)</f>
        <v>92</v>
      </c>
      <c r="J2218" s="139">
        <f>IFERROR(__xludf.DUMMYFUNCTION("""COMPUTED_VALUE"""),15.0)</f>
        <v>15</v>
      </c>
      <c r="K2218" s="139">
        <f>IFERROR(__xludf.DUMMYFUNCTION("""COMPUTED_VALUE"""),0.0)</f>
        <v>0</v>
      </c>
      <c r="L2218" s="139"/>
      <c r="M2218" s="139"/>
      <c r="N2218" s="139"/>
    </row>
    <row r="2219">
      <c r="A2219" s="139" t="str">
        <f>IFERROR(__xludf.DUMMYFUNCTION("""COMPUTED_VALUE"""),"e")</f>
        <v>e</v>
      </c>
      <c r="B2219" s="139">
        <f>IFERROR(__xludf.DUMMYFUNCTION("""COMPUTED_VALUE"""),2.0251002E8)</f>
        <v>202510020</v>
      </c>
      <c r="C2219" s="139" t="str">
        <f>IFERROR(__xludf.DUMMYFUNCTION("""COMPUTED_VALUE"""),"c_dan_00301_bbaget_tec_Boss_Blue_Appearance_00002")</f>
        <v>c_dan_00301_bbaget_tec_Boss_Blue_Appearance_00002</v>
      </c>
      <c r="D2219" s="139" t="str">
        <f>IFERROR(__xludf.DUMMYFUNCTION("""COMPUTED_VALUE"""),"c_dan_00301_bbaget_tec_Boss_Blue")</f>
        <v>c_dan_00301_bbaget_tec_Boss_Blue</v>
      </c>
      <c r="E2219" s="139">
        <f>IFERROR(__xludf.DUMMYFUNCTION("""COMPUTED_VALUE"""),0.0)</f>
        <v>0</v>
      </c>
      <c r="F2219" s="139" t="str">
        <f>IFERROR(__xludf.DUMMYFUNCTION("""COMPUTED_VALUE"""),"Appearance")</f>
        <v>Appearance</v>
      </c>
      <c r="G2219" s="139"/>
      <c r="H2219" s="139"/>
      <c r="I2219" s="139">
        <f>IFERROR(__xludf.DUMMYFUNCTION("""COMPUTED_VALUE"""),50.0)</f>
        <v>50</v>
      </c>
      <c r="J2219" s="139">
        <f>IFERROR(__xludf.DUMMYFUNCTION("""COMPUTED_VALUE"""),0.0)</f>
        <v>0</v>
      </c>
      <c r="K2219" s="139">
        <f>IFERROR(__xludf.DUMMYFUNCTION("""COMPUTED_VALUE"""),0.0)</f>
        <v>0</v>
      </c>
      <c r="L2219" s="139"/>
      <c r="M2219" s="139"/>
      <c r="N2219" s="139"/>
    </row>
    <row r="2220">
      <c r="A2220" s="139" t="str">
        <f>IFERROR(__xludf.DUMMYFUNCTION("""COMPUTED_VALUE"""),"e")</f>
        <v>e</v>
      </c>
      <c r="B2220" s="139">
        <f>IFERROR(__xludf.DUMMYFUNCTION("""COMPUTED_VALUE"""),2.0251002E8)</f>
        <v>202510020</v>
      </c>
      <c r="C2220" s="139" t="str">
        <f>IFERROR(__xludf.DUMMYFUNCTION("""COMPUTED_VALUE"""),"c_dan_00001_airaget_Normal_Red_Normal_00000")</f>
        <v>c_dan_00001_airaget_Normal_Red_Normal_00000</v>
      </c>
      <c r="D2220" s="139" t="str">
        <f>IFERROR(__xludf.DUMMYFUNCTION("""COMPUTED_VALUE"""),"c_dan_00001_airaget_Normal_Red")</f>
        <v>c_dan_00001_airaget_Normal_Red</v>
      </c>
      <c r="E2220" s="139">
        <f>IFERROR(__xludf.DUMMYFUNCTION("""COMPUTED_VALUE"""),0.0)</f>
        <v>0</v>
      </c>
      <c r="F2220" s="139" t="str">
        <f>IFERROR(__xludf.DUMMYFUNCTION("""COMPUTED_VALUE"""),"Normal")</f>
        <v>Normal</v>
      </c>
      <c r="G2220" s="139"/>
      <c r="H2220" s="139"/>
      <c r="I2220" s="139">
        <f>IFERROR(__xludf.DUMMYFUNCTION("""COMPUTED_VALUE"""),72.0)</f>
        <v>72</v>
      </c>
      <c r="J2220" s="139">
        <f>IFERROR(__xludf.DUMMYFUNCTION("""COMPUTED_VALUE"""),27.0)</f>
        <v>27</v>
      </c>
      <c r="K2220" s="139">
        <f>IFERROR(__xludf.DUMMYFUNCTION("""COMPUTED_VALUE"""),100.0)</f>
        <v>100</v>
      </c>
      <c r="L2220" s="139"/>
      <c r="M2220" s="139"/>
      <c r="N2220" s="139"/>
    </row>
    <row r="2221">
      <c r="A2221" s="139" t="str">
        <f>IFERROR(__xludf.DUMMYFUNCTION("""COMPUTED_VALUE"""),"e")</f>
        <v>e</v>
      </c>
      <c r="B2221" s="139">
        <f>IFERROR(__xludf.DUMMYFUNCTION("""COMPUTED_VALUE"""),2.0251002E8)</f>
        <v>202510020</v>
      </c>
      <c r="C2221" s="139" t="str">
        <f>IFERROR(__xludf.DUMMYFUNCTION("""COMPUTED_VALUE"""),"c_dan_00001_airaget_Normal_Red_Special_00001")</f>
        <v>c_dan_00001_airaget_Normal_Red_Special_00001</v>
      </c>
      <c r="D2221" s="139" t="str">
        <f>IFERROR(__xludf.DUMMYFUNCTION("""COMPUTED_VALUE"""),"c_dan_00001_airaget_Normal_Red")</f>
        <v>c_dan_00001_airaget_Normal_Red</v>
      </c>
      <c r="E2221" s="139">
        <f>IFERROR(__xludf.DUMMYFUNCTION("""COMPUTED_VALUE"""),0.0)</f>
        <v>0</v>
      </c>
      <c r="F2221" s="139" t="str">
        <f>IFERROR(__xludf.DUMMYFUNCTION("""COMPUTED_VALUE"""),"Special")</f>
        <v>Special</v>
      </c>
      <c r="G2221" s="139"/>
      <c r="H2221" s="139"/>
      <c r="I2221" s="139">
        <f>IFERROR(__xludf.DUMMYFUNCTION("""COMPUTED_VALUE"""),200.0)</f>
        <v>200</v>
      </c>
      <c r="J2221" s="139">
        <f>IFERROR(__xludf.DUMMYFUNCTION("""COMPUTED_VALUE"""),83.0)</f>
        <v>83</v>
      </c>
      <c r="K2221" s="139">
        <f>IFERROR(__xludf.DUMMYFUNCTION("""COMPUTED_VALUE"""),0.0)</f>
        <v>0</v>
      </c>
      <c r="L2221" s="139"/>
      <c r="M2221" s="139"/>
      <c r="N2221" s="139"/>
    </row>
    <row r="2222">
      <c r="A2222" s="139" t="str">
        <f>IFERROR(__xludf.DUMMYFUNCTION("""COMPUTED_VALUE"""),"e")</f>
        <v>e</v>
      </c>
      <c r="B2222" s="139">
        <f>IFERROR(__xludf.DUMMYFUNCTION("""COMPUTED_VALUE"""),2.0251002E8)</f>
        <v>202510020</v>
      </c>
      <c r="C2222" s="139" t="str">
        <f>IFERROR(__xludf.DUMMYFUNCTION("""COMPUTED_VALUE"""),"c_dan_00101_airaget_Normal_Red_Normal_00000")</f>
        <v>c_dan_00101_airaget_Normal_Red_Normal_00000</v>
      </c>
      <c r="D2222" s="139" t="str">
        <f>IFERROR(__xludf.DUMMYFUNCTION("""COMPUTED_VALUE"""),"c_dan_00101_airaget_Normal_Red")</f>
        <v>c_dan_00101_airaget_Normal_Red</v>
      </c>
      <c r="E2222" s="139">
        <f>IFERROR(__xludf.DUMMYFUNCTION("""COMPUTED_VALUE"""),0.0)</f>
        <v>0</v>
      </c>
      <c r="F2222" s="139" t="str">
        <f>IFERROR(__xludf.DUMMYFUNCTION("""COMPUTED_VALUE"""),"Normal")</f>
        <v>Normal</v>
      </c>
      <c r="G2222" s="139"/>
      <c r="H2222" s="139"/>
      <c r="I2222" s="139">
        <f>IFERROR(__xludf.DUMMYFUNCTION("""COMPUTED_VALUE"""),50.0)</f>
        <v>50</v>
      </c>
      <c r="J2222" s="139">
        <f>IFERROR(__xludf.DUMMYFUNCTION("""COMPUTED_VALUE"""),25.0)</f>
        <v>25</v>
      </c>
      <c r="K2222" s="139">
        <f>IFERROR(__xludf.DUMMYFUNCTION("""COMPUTED_VALUE"""),100.0)</f>
        <v>100</v>
      </c>
      <c r="L2222" s="139"/>
      <c r="M2222" s="139"/>
      <c r="N2222" s="139"/>
    </row>
    <row r="2223">
      <c r="A2223" s="139" t="str">
        <f>IFERROR(__xludf.DUMMYFUNCTION("""COMPUTED_VALUE"""),"e")</f>
        <v>e</v>
      </c>
      <c r="B2223" s="139">
        <f>IFERROR(__xludf.DUMMYFUNCTION("""COMPUTED_VALUE"""),2.0251002E8)</f>
        <v>202510020</v>
      </c>
      <c r="C2223" s="139" t="str">
        <f>IFERROR(__xludf.DUMMYFUNCTION("""COMPUTED_VALUE"""),"c_dan_00101_airaget_Normal_Red_Special_00001")</f>
        <v>c_dan_00101_airaget_Normal_Red_Special_00001</v>
      </c>
      <c r="D2223" s="139" t="str">
        <f>IFERROR(__xludf.DUMMYFUNCTION("""COMPUTED_VALUE"""),"c_dan_00101_airaget_Normal_Red")</f>
        <v>c_dan_00101_airaget_Normal_Red</v>
      </c>
      <c r="E2223" s="139">
        <f>IFERROR(__xludf.DUMMYFUNCTION("""COMPUTED_VALUE"""),0.0)</f>
        <v>0</v>
      </c>
      <c r="F2223" s="139" t="str">
        <f>IFERROR(__xludf.DUMMYFUNCTION("""COMPUTED_VALUE"""),"Special")</f>
        <v>Special</v>
      </c>
      <c r="G2223" s="139"/>
      <c r="H2223" s="139"/>
      <c r="I2223" s="139">
        <f>IFERROR(__xludf.DUMMYFUNCTION("""COMPUTED_VALUE"""),100.0)</f>
        <v>100</v>
      </c>
      <c r="J2223" s="139">
        <f>IFERROR(__xludf.DUMMYFUNCTION("""COMPUTED_VALUE"""),50.0)</f>
        <v>50</v>
      </c>
      <c r="K2223" s="139">
        <f>IFERROR(__xludf.DUMMYFUNCTION("""COMPUTED_VALUE"""),0.0)</f>
        <v>0</v>
      </c>
      <c r="L2223" s="139"/>
      <c r="M2223" s="139"/>
      <c r="N2223" s="139"/>
    </row>
    <row r="2224">
      <c r="A2224" s="139" t="str">
        <f>IFERROR(__xludf.DUMMYFUNCTION("""COMPUTED_VALUE"""),"e")</f>
        <v>e</v>
      </c>
      <c r="B2224" s="139">
        <f>IFERROR(__xludf.DUMMYFUNCTION("""COMPUTED_VALUE"""),2.0251002E8)</f>
        <v>202510020</v>
      </c>
      <c r="C2224" s="139" t="str">
        <f>IFERROR(__xludf.DUMMYFUNCTION("""COMPUTED_VALUE"""),"c_dan_00101_airaget_Boss_Red_Normal_00000")</f>
        <v>c_dan_00101_airaget_Boss_Red_Normal_00000</v>
      </c>
      <c r="D2224" s="139" t="str">
        <f>IFERROR(__xludf.DUMMYFUNCTION("""COMPUTED_VALUE"""),"c_dan_00101_airaget_Boss_Red")</f>
        <v>c_dan_00101_airaget_Boss_Red</v>
      </c>
      <c r="E2224" s="139">
        <f>IFERROR(__xludf.DUMMYFUNCTION("""COMPUTED_VALUE"""),0.0)</f>
        <v>0</v>
      </c>
      <c r="F2224" s="139" t="str">
        <f>IFERROR(__xludf.DUMMYFUNCTION("""COMPUTED_VALUE"""),"Normal")</f>
        <v>Normal</v>
      </c>
      <c r="G2224" s="139"/>
      <c r="H2224" s="139"/>
      <c r="I2224" s="139">
        <f>IFERROR(__xludf.DUMMYFUNCTION("""COMPUTED_VALUE"""),50.0)</f>
        <v>50</v>
      </c>
      <c r="J2224" s="139">
        <f>IFERROR(__xludf.DUMMYFUNCTION("""COMPUTED_VALUE"""),25.0)</f>
        <v>25</v>
      </c>
      <c r="K2224" s="139">
        <f>IFERROR(__xludf.DUMMYFUNCTION("""COMPUTED_VALUE"""),100.0)</f>
        <v>100</v>
      </c>
      <c r="L2224" s="139"/>
      <c r="M2224" s="139"/>
      <c r="N2224" s="139"/>
    </row>
    <row r="2225">
      <c r="A2225" s="139" t="str">
        <f>IFERROR(__xludf.DUMMYFUNCTION("""COMPUTED_VALUE"""),"e")</f>
        <v>e</v>
      </c>
      <c r="B2225" s="139">
        <f>IFERROR(__xludf.DUMMYFUNCTION("""COMPUTED_VALUE"""),2.0251002E8)</f>
        <v>202510020</v>
      </c>
      <c r="C2225" s="139" t="str">
        <f>IFERROR(__xludf.DUMMYFUNCTION("""COMPUTED_VALUE"""),"c_dan_00101_airaget_Boss_Red_Special_00001")</f>
        <v>c_dan_00101_airaget_Boss_Red_Special_00001</v>
      </c>
      <c r="D2225" s="139" t="str">
        <f>IFERROR(__xludf.DUMMYFUNCTION("""COMPUTED_VALUE"""),"c_dan_00101_airaget_Boss_Red")</f>
        <v>c_dan_00101_airaget_Boss_Red</v>
      </c>
      <c r="E2225" s="139">
        <f>IFERROR(__xludf.DUMMYFUNCTION("""COMPUTED_VALUE"""),0.0)</f>
        <v>0</v>
      </c>
      <c r="F2225" s="139" t="str">
        <f>IFERROR(__xludf.DUMMYFUNCTION("""COMPUTED_VALUE"""),"Special")</f>
        <v>Special</v>
      </c>
      <c r="G2225" s="139"/>
      <c r="H2225" s="139"/>
      <c r="I2225" s="139">
        <f>IFERROR(__xludf.DUMMYFUNCTION("""COMPUTED_VALUE"""),100.0)</f>
        <v>100</v>
      </c>
      <c r="J2225" s="139">
        <f>IFERROR(__xludf.DUMMYFUNCTION("""COMPUTED_VALUE"""),50.0)</f>
        <v>50</v>
      </c>
      <c r="K2225" s="139">
        <f>IFERROR(__xludf.DUMMYFUNCTION("""COMPUTED_VALUE"""),0.0)</f>
        <v>0</v>
      </c>
      <c r="L2225" s="139"/>
      <c r="M2225" s="139"/>
      <c r="N2225" s="139"/>
    </row>
    <row r="2226">
      <c r="A2226" s="139" t="str">
        <f>IFERROR(__xludf.DUMMYFUNCTION("""COMPUTED_VALUE"""),"e")</f>
        <v>e</v>
      </c>
      <c r="B2226" s="139">
        <f>IFERROR(__xludf.DUMMYFUNCTION("""COMPUTED_VALUE"""),2.0251002E8)</f>
        <v>202510020</v>
      </c>
      <c r="C2226" s="139" t="str">
        <f>IFERROR(__xludf.DUMMYFUNCTION("""COMPUTED_VALUE"""),"c_dan_00101_airaget_Boss_Red_Appearance_00002")</f>
        <v>c_dan_00101_airaget_Boss_Red_Appearance_00002</v>
      </c>
      <c r="D2226" s="139" t="str">
        <f>IFERROR(__xludf.DUMMYFUNCTION("""COMPUTED_VALUE"""),"c_dan_00101_airaget_Boss_Red")</f>
        <v>c_dan_00101_airaget_Boss_Red</v>
      </c>
      <c r="E2226" s="139">
        <f>IFERROR(__xludf.DUMMYFUNCTION("""COMPUTED_VALUE"""),0.0)</f>
        <v>0</v>
      </c>
      <c r="F2226" s="139" t="str">
        <f>IFERROR(__xludf.DUMMYFUNCTION("""COMPUTED_VALUE"""),"Appearance")</f>
        <v>Appearance</v>
      </c>
      <c r="G2226" s="139"/>
      <c r="H2226" s="139"/>
      <c r="I2226" s="139">
        <f>IFERROR(__xludf.DUMMYFUNCTION("""COMPUTED_VALUE"""),50.0)</f>
        <v>50</v>
      </c>
      <c r="J2226" s="139">
        <f>IFERROR(__xludf.DUMMYFUNCTION("""COMPUTED_VALUE"""),0.0)</f>
        <v>0</v>
      </c>
      <c r="K2226" s="139">
        <f>IFERROR(__xludf.DUMMYFUNCTION("""COMPUTED_VALUE"""),0.0)</f>
        <v>0</v>
      </c>
      <c r="L2226" s="139"/>
      <c r="M2226" s="139"/>
      <c r="N2226" s="139"/>
    </row>
    <row r="2227">
      <c r="A2227" s="139" t="str">
        <f>IFERROR(__xludf.DUMMYFUNCTION("""COMPUTED_VALUE"""),"e")</f>
        <v>e</v>
      </c>
      <c r="B2227" s="139">
        <f>IFERROR(__xludf.DUMMYFUNCTION("""COMPUTED_VALUE"""),2.0251002E8)</f>
        <v>202510020</v>
      </c>
      <c r="C2227" s="139" t="str">
        <f>IFERROR(__xludf.DUMMYFUNCTION("""COMPUTED_VALUE"""),"c_dan_00201_airaget_Boss_Colorless_Normal_00000")</f>
        <v>c_dan_00201_airaget_Boss_Colorless_Normal_00000</v>
      </c>
      <c r="D2227" s="139" t="str">
        <f>IFERROR(__xludf.DUMMYFUNCTION("""COMPUTED_VALUE"""),"c_dan_00201_airaget_Boss_Colorless")</f>
        <v>c_dan_00201_airaget_Boss_Colorless</v>
      </c>
      <c r="E2227" s="139">
        <f>IFERROR(__xludf.DUMMYFUNCTION("""COMPUTED_VALUE"""),0.0)</f>
        <v>0</v>
      </c>
      <c r="F2227" s="139" t="str">
        <f>IFERROR(__xludf.DUMMYFUNCTION("""COMPUTED_VALUE"""),"Normal")</f>
        <v>Normal</v>
      </c>
      <c r="G2227" s="139"/>
      <c r="H2227" s="139"/>
      <c r="I2227" s="139">
        <f>IFERROR(__xludf.DUMMYFUNCTION("""COMPUTED_VALUE"""),75.0)</f>
        <v>75</v>
      </c>
      <c r="J2227" s="139">
        <f>IFERROR(__xludf.DUMMYFUNCTION("""COMPUTED_VALUE"""),27.0)</f>
        <v>27</v>
      </c>
      <c r="K2227" s="139">
        <f>IFERROR(__xludf.DUMMYFUNCTION("""COMPUTED_VALUE"""),75.0)</f>
        <v>75</v>
      </c>
      <c r="L2227" s="139"/>
      <c r="M2227" s="139"/>
      <c r="N2227" s="139"/>
    </row>
    <row r="2228">
      <c r="A2228" s="139" t="str">
        <f>IFERROR(__xludf.DUMMYFUNCTION("""COMPUTED_VALUE"""),"e")</f>
        <v>e</v>
      </c>
      <c r="B2228" s="139">
        <f>IFERROR(__xludf.DUMMYFUNCTION("""COMPUTED_VALUE"""),2.0251002E8)</f>
        <v>202510020</v>
      </c>
      <c r="C2228" s="139" t="str">
        <f>IFERROR(__xludf.DUMMYFUNCTION("""COMPUTED_VALUE"""),"c_dan_00201_airaget_Boss_Colorless_Special_00001")</f>
        <v>c_dan_00201_airaget_Boss_Colorless_Special_00001</v>
      </c>
      <c r="D2228" s="139" t="str">
        <f>IFERROR(__xludf.DUMMYFUNCTION("""COMPUTED_VALUE"""),"c_dan_00201_airaget_Boss_Colorless")</f>
        <v>c_dan_00201_airaget_Boss_Colorless</v>
      </c>
      <c r="E2228" s="139">
        <f>IFERROR(__xludf.DUMMYFUNCTION("""COMPUTED_VALUE"""),0.0)</f>
        <v>0</v>
      </c>
      <c r="F2228" s="139" t="str">
        <f>IFERROR(__xludf.DUMMYFUNCTION("""COMPUTED_VALUE"""),"Special")</f>
        <v>Special</v>
      </c>
      <c r="G2228" s="139"/>
      <c r="H2228" s="139"/>
      <c r="I2228" s="139">
        <f>IFERROR(__xludf.DUMMYFUNCTION("""COMPUTED_VALUE"""),125.0)</f>
        <v>125</v>
      </c>
      <c r="J2228" s="139">
        <f>IFERROR(__xludf.DUMMYFUNCTION("""COMPUTED_VALUE"""),67.0)</f>
        <v>67</v>
      </c>
      <c r="K2228" s="139">
        <f>IFERROR(__xludf.DUMMYFUNCTION("""COMPUTED_VALUE"""),0.0)</f>
        <v>0</v>
      </c>
      <c r="L2228" s="139"/>
      <c r="M2228" s="139"/>
      <c r="N2228" s="139"/>
    </row>
    <row r="2229">
      <c r="A2229" s="139" t="str">
        <f>IFERROR(__xludf.DUMMYFUNCTION("""COMPUTED_VALUE"""),"e")</f>
        <v>e</v>
      </c>
      <c r="B2229" s="139">
        <f>IFERROR(__xludf.DUMMYFUNCTION("""COMPUTED_VALUE"""),2.0251002E8)</f>
        <v>202510020</v>
      </c>
      <c r="C2229" s="139" t="str">
        <f>IFERROR(__xludf.DUMMYFUNCTION("""COMPUTED_VALUE"""),"c_dan_00201_airaget_Boss_Colorless_Appearance_00002")</f>
        <v>c_dan_00201_airaget_Boss_Colorless_Appearance_00002</v>
      </c>
      <c r="D2229" s="139" t="str">
        <f>IFERROR(__xludf.DUMMYFUNCTION("""COMPUTED_VALUE"""),"c_dan_00201_airaget_Boss_Colorless")</f>
        <v>c_dan_00201_airaget_Boss_Colorless</v>
      </c>
      <c r="E2229" s="139">
        <f>IFERROR(__xludf.DUMMYFUNCTION("""COMPUTED_VALUE"""),0.0)</f>
        <v>0</v>
      </c>
      <c r="F2229" s="139" t="str">
        <f>IFERROR(__xludf.DUMMYFUNCTION("""COMPUTED_VALUE"""),"Appearance")</f>
        <v>Appearance</v>
      </c>
      <c r="G2229" s="139"/>
      <c r="H2229" s="139"/>
      <c r="I2229" s="139">
        <f>IFERROR(__xludf.DUMMYFUNCTION("""COMPUTED_VALUE"""),50.0)</f>
        <v>50</v>
      </c>
      <c r="J2229" s="139">
        <f>IFERROR(__xludf.DUMMYFUNCTION("""COMPUTED_VALUE"""),0.0)</f>
        <v>0</v>
      </c>
      <c r="K2229" s="139">
        <f>IFERROR(__xludf.DUMMYFUNCTION("""COMPUTED_VALUE"""),0.0)</f>
        <v>0</v>
      </c>
      <c r="L2229" s="139"/>
      <c r="M2229" s="139"/>
      <c r="N2229" s="139"/>
    </row>
    <row r="2230">
      <c r="A2230" s="139" t="str">
        <f>IFERROR(__xludf.DUMMYFUNCTION("""COMPUTED_VALUE"""),"e")</f>
        <v>e</v>
      </c>
      <c r="B2230" s="139">
        <f>IFERROR(__xludf.DUMMYFUNCTION("""COMPUTED_VALUE"""),2.0251002E8)</f>
        <v>202510020</v>
      </c>
      <c r="C2230" s="139" t="str">
        <f>IFERROR(__xludf.DUMMYFUNCTION("""COMPUTED_VALUE"""),"c_dan_00201_airaget_Boss_Red_Normal_00000")</f>
        <v>c_dan_00201_airaget_Boss_Red_Normal_00000</v>
      </c>
      <c r="D2230" s="139" t="str">
        <f>IFERROR(__xludf.DUMMYFUNCTION("""COMPUTED_VALUE"""),"c_dan_00201_airaget_Boss_Red")</f>
        <v>c_dan_00201_airaget_Boss_Red</v>
      </c>
      <c r="E2230" s="139">
        <f>IFERROR(__xludf.DUMMYFUNCTION("""COMPUTED_VALUE"""),0.0)</f>
        <v>0</v>
      </c>
      <c r="F2230" s="139" t="str">
        <f>IFERROR(__xludf.DUMMYFUNCTION("""COMPUTED_VALUE"""),"Normal")</f>
        <v>Normal</v>
      </c>
      <c r="G2230" s="139"/>
      <c r="H2230" s="139"/>
      <c r="I2230" s="139">
        <f>IFERROR(__xludf.DUMMYFUNCTION("""COMPUTED_VALUE"""),75.0)</f>
        <v>75</v>
      </c>
      <c r="J2230" s="139">
        <f>IFERROR(__xludf.DUMMYFUNCTION("""COMPUTED_VALUE"""),27.0)</f>
        <v>27</v>
      </c>
      <c r="K2230" s="139">
        <f>IFERROR(__xludf.DUMMYFUNCTION("""COMPUTED_VALUE"""),75.0)</f>
        <v>75</v>
      </c>
      <c r="L2230" s="139"/>
      <c r="M2230" s="139"/>
      <c r="N2230" s="139"/>
    </row>
    <row r="2231">
      <c r="A2231" s="139" t="str">
        <f>IFERROR(__xludf.DUMMYFUNCTION("""COMPUTED_VALUE"""),"e")</f>
        <v>e</v>
      </c>
      <c r="B2231" s="139">
        <f>IFERROR(__xludf.DUMMYFUNCTION("""COMPUTED_VALUE"""),2.0251002E8)</f>
        <v>202510020</v>
      </c>
      <c r="C2231" s="139" t="str">
        <f>IFERROR(__xludf.DUMMYFUNCTION("""COMPUTED_VALUE"""),"c_dan_00201_airaget_Boss_Red_Special_00001")</f>
        <v>c_dan_00201_airaget_Boss_Red_Special_00001</v>
      </c>
      <c r="D2231" s="139" t="str">
        <f>IFERROR(__xludf.DUMMYFUNCTION("""COMPUTED_VALUE"""),"c_dan_00201_airaget_Boss_Red")</f>
        <v>c_dan_00201_airaget_Boss_Red</v>
      </c>
      <c r="E2231" s="139">
        <f>IFERROR(__xludf.DUMMYFUNCTION("""COMPUTED_VALUE"""),0.0)</f>
        <v>0</v>
      </c>
      <c r="F2231" s="139" t="str">
        <f>IFERROR(__xludf.DUMMYFUNCTION("""COMPUTED_VALUE"""),"Special")</f>
        <v>Special</v>
      </c>
      <c r="G2231" s="139"/>
      <c r="H2231" s="139"/>
      <c r="I2231" s="139">
        <f>IFERROR(__xludf.DUMMYFUNCTION("""COMPUTED_VALUE"""),125.0)</f>
        <v>125</v>
      </c>
      <c r="J2231" s="139">
        <f>IFERROR(__xludf.DUMMYFUNCTION("""COMPUTED_VALUE"""),67.0)</f>
        <v>67</v>
      </c>
      <c r="K2231" s="139">
        <f>IFERROR(__xludf.DUMMYFUNCTION("""COMPUTED_VALUE"""),0.0)</f>
        <v>0</v>
      </c>
      <c r="L2231" s="139"/>
      <c r="M2231" s="139"/>
      <c r="N2231" s="139"/>
    </row>
    <row r="2232">
      <c r="A2232" s="139" t="str">
        <f>IFERROR(__xludf.DUMMYFUNCTION("""COMPUTED_VALUE"""),"e")</f>
        <v>e</v>
      </c>
      <c r="B2232" s="139">
        <f>IFERROR(__xludf.DUMMYFUNCTION("""COMPUTED_VALUE"""),2.0251002E8)</f>
        <v>202510020</v>
      </c>
      <c r="C2232" s="139" t="str">
        <f>IFERROR(__xludf.DUMMYFUNCTION("""COMPUTED_VALUE"""),"c_dan_00201_airaget_Boss_Red_Appearance_00002")</f>
        <v>c_dan_00201_airaget_Boss_Red_Appearance_00002</v>
      </c>
      <c r="D2232" s="139" t="str">
        <f>IFERROR(__xludf.DUMMYFUNCTION("""COMPUTED_VALUE"""),"c_dan_00201_airaget_Boss_Red")</f>
        <v>c_dan_00201_airaget_Boss_Red</v>
      </c>
      <c r="E2232" s="139">
        <f>IFERROR(__xludf.DUMMYFUNCTION("""COMPUTED_VALUE"""),0.0)</f>
        <v>0</v>
      </c>
      <c r="F2232" s="139" t="str">
        <f>IFERROR(__xludf.DUMMYFUNCTION("""COMPUTED_VALUE"""),"Appearance")</f>
        <v>Appearance</v>
      </c>
      <c r="G2232" s="139"/>
      <c r="H2232" s="139"/>
      <c r="I2232" s="139">
        <f>IFERROR(__xludf.DUMMYFUNCTION("""COMPUTED_VALUE"""),50.0)</f>
        <v>50</v>
      </c>
      <c r="J2232" s="139">
        <f>IFERROR(__xludf.DUMMYFUNCTION("""COMPUTED_VALUE"""),0.0)</f>
        <v>0</v>
      </c>
      <c r="K2232" s="139">
        <f>IFERROR(__xludf.DUMMYFUNCTION("""COMPUTED_VALUE"""),0.0)</f>
        <v>0</v>
      </c>
      <c r="L2232" s="139"/>
      <c r="M2232" s="139"/>
      <c r="N2232" s="139"/>
    </row>
    <row r="2233">
      <c r="A2233" s="139" t="str">
        <f>IFERROR(__xludf.DUMMYFUNCTION("""COMPUTED_VALUE"""),"e")</f>
        <v>e</v>
      </c>
      <c r="B2233" s="139">
        <f>IFERROR(__xludf.DUMMYFUNCTION("""COMPUTED_VALUE"""),2.0251002E8)</f>
        <v>202510020</v>
      </c>
      <c r="C2233" s="139" t="str">
        <f>IFERROR(__xludf.DUMMYFUNCTION("""COMPUTED_VALUE"""),"e_dan_00301_airaget_Boss_Colorless_Normal_00000")</f>
        <v>e_dan_00301_airaget_Boss_Colorless_Normal_00000</v>
      </c>
      <c r="D2233" s="139" t="str">
        <f>IFERROR(__xludf.DUMMYFUNCTION("""COMPUTED_VALUE"""),"e_dan_00301_airaget_Boss_Colorless")</f>
        <v>e_dan_00301_airaget_Boss_Colorless</v>
      </c>
      <c r="E2233" s="139">
        <f>IFERROR(__xludf.DUMMYFUNCTION("""COMPUTED_VALUE"""),0.0)</f>
        <v>0</v>
      </c>
      <c r="F2233" s="139" t="str">
        <f>IFERROR(__xludf.DUMMYFUNCTION("""COMPUTED_VALUE"""),"Normal")</f>
        <v>Normal</v>
      </c>
      <c r="G2233" s="139"/>
      <c r="H2233" s="139"/>
      <c r="I2233" s="139">
        <f>IFERROR(__xludf.DUMMYFUNCTION("""COMPUTED_VALUE"""),60.0)</f>
        <v>60</v>
      </c>
      <c r="J2233" s="139">
        <f>IFERROR(__xludf.DUMMYFUNCTION("""COMPUTED_VALUE"""),14.0)</f>
        <v>14</v>
      </c>
      <c r="K2233" s="139">
        <f>IFERROR(__xludf.DUMMYFUNCTION("""COMPUTED_VALUE"""),75.0)</f>
        <v>75</v>
      </c>
      <c r="L2233" s="139"/>
      <c r="M2233" s="139"/>
      <c r="N2233" s="139"/>
    </row>
    <row r="2234">
      <c r="A2234" s="139" t="str">
        <f>IFERROR(__xludf.DUMMYFUNCTION("""COMPUTED_VALUE"""),"e")</f>
        <v>e</v>
      </c>
      <c r="B2234" s="139">
        <f>IFERROR(__xludf.DUMMYFUNCTION("""COMPUTED_VALUE"""),2.0251002E8)</f>
        <v>202510020</v>
      </c>
      <c r="C2234" s="139" t="str">
        <f>IFERROR(__xludf.DUMMYFUNCTION("""COMPUTED_VALUE"""),"e_dan_00301_airaget_Boss_Colorless_Appearance_00001")</f>
        <v>e_dan_00301_airaget_Boss_Colorless_Appearance_00001</v>
      </c>
      <c r="D2234" s="139" t="str">
        <f>IFERROR(__xludf.DUMMYFUNCTION("""COMPUTED_VALUE"""),"e_dan_00301_airaget_Boss_Colorless")</f>
        <v>e_dan_00301_airaget_Boss_Colorless</v>
      </c>
      <c r="E2234" s="139">
        <f>IFERROR(__xludf.DUMMYFUNCTION("""COMPUTED_VALUE"""),0.0)</f>
        <v>0</v>
      </c>
      <c r="F2234" s="139" t="str">
        <f>IFERROR(__xludf.DUMMYFUNCTION("""COMPUTED_VALUE"""),"Appearance")</f>
        <v>Appearance</v>
      </c>
      <c r="G2234" s="139"/>
      <c r="H2234" s="139"/>
      <c r="I2234" s="139">
        <f>IFERROR(__xludf.DUMMYFUNCTION("""COMPUTED_VALUE"""),50.0)</f>
        <v>50</v>
      </c>
      <c r="J2234" s="139">
        <f>IFERROR(__xludf.DUMMYFUNCTION("""COMPUTED_VALUE"""),0.0)</f>
        <v>0</v>
      </c>
      <c r="K2234" s="139">
        <f>IFERROR(__xludf.DUMMYFUNCTION("""COMPUTED_VALUE"""),0.0)</f>
        <v>0</v>
      </c>
      <c r="L2234" s="139"/>
      <c r="M2234" s="139"/>
      <c r="N2234" s="139"/>
    </row>
    <row r="2235">
      <c r="A2235" s="139" t="str">
        <f>IFERROR(__xludf.DUMMYFUNCTION("""COMPUTED_VALUE"""),"e")</f>
        <v>e</v>
      </c>
      <c r="B2235" s="139">
        <f>IFERROR(__xludf.DUMMYFUNCTION("""COMPUTED_VALUE"""),2.0251002E8)</f>
        <v>202510020</v>
      </c>
      <c r="C2235" s="139" t="str">
        <f>IFERROR(__xludf.DUMMYFUNCTION("""COMPUTED_VALUE"""),"e_dan_00301_airaget_atk_Boss_Blue_Normal_00000")</f>
        <v>e_dan_00301_airaget_atk_Boss_Blue_Normal_00000</v>
      </c>
      <c r="D2235" s="139" t="str">
        <f>IFERROR(__xludf.DUMMYFUNCTION("""COMPUTED_VALUE"""),"e_dan_00301_airaget_atk_Boss_Blue")</f>
        <v>e_dan_00301_airaget_atk_Boss_Blue</v>
      </c>
      <c r="E2235" s="139">
        <f>IFERROR(__xludf.DUMMYFUNCTION("""COMPUTED_VALUE"""),0.0)</f>
        <v>0</v>
      </c>
      <c r="F2235" s="139" t="str">
        <f>IFERROR(__xludf.DUMMYFUNCTION("""COMPUTED_VALUE"""),"Normal")</f>
        <v>Normal</v>
      </c>
      <c r="G2235" s="139"/>
      <c r="H2235" s="139"/>
      <c r="I2235" s="139">
        <f>IFERROR(__xludf.DUMMYFUNCTION("""COMPUTED_VALUE"""),60.0)</f>
        <v>60</v>
      </c>
      <c r="J2235" s="139">
        <f>IFERROR(__xludf.DUMMYFUNCTION("""COMPUTED_VALUE"""),14.0)</f>
        <v>14</v>
      </c>
      <c r="K2235" s="139">
        <f>IFERROR(__xludf.DUMMYFUNCTION("""COMPUTED_VALUE"""),50.0)</f>
        <v>50</v>
      </c>
      <c r="L2235" s="139"/>
      <c r="M2235" s="139"/>
      <c r="N2235" s="139"/>
    </row>
    <row r="2236">
      <c r="A2236" s="139" t="str">
        <f>IFERROR(__xludf.DUMMYFUNCTION("""COMPUTED_VALUE"""),"e")</f>
        <v>e</v>
      </c>
      <c r="B2236" s="139">
        <f>IFERROR(__xludf.DUMMYFUNCTION("""COMPUTED_VALUE"""),2.0251002E8)</f>
        <v>202510020</v>
      </c>
      <c r="C2236" s="139" t="str">
        <f>IFERROR(__xludf.DUMMYFUNCTION("""COMPUTED_VALUE"""),"e_dan_00301_airaget_atk_Boss_Blue_Appearance_00001")</f>
        <v>e_dan_00301_airaget_atk_Boss_Blue_Appearance_00001</v>
      </c>
      <c r="D2236" s="139" t="str">
        <f>IFERROR(__xludf.DUMMYFUNCTION("""COMPUTED_VALUE"""),"e_dan_00301_airaget_atk_Boss_Blue")</f>
        <v>e_dan_00301_airaget_atk_Boss_Blue</v>
      </c>
      <c r="E2236" s="139">
        <f>IFERROR(__xludf.DUMMYFUNCTION("""COMPUTED_VALUE"""),0.0)</f>
        <v>0</v>
      </c>
      <c r="F2236" s="139" t="str">
        <f>IFERROR(__xludf.DUMMYFUNCTION("""COMPUTED_VALUE"""),"Appearance")</f>
        <v>Appearance</v>
      </c>
      <c r="G2236" s="139"/>
      <c r="H2236" s="139"/>
      <c r="I2236" s="139">
        <f>IFERROR(__xludf.DUMMYFUNCTION("""COMPUTED_VALUE"""),50.0)</f>
        <v>50</v>
      </c>
      <c r="J2236" s="139">
        <f>IFERROR(__xludf.DUMMYFUNCTION("""COMPUTED_VALUE"""),0.0)</f>
        <v>0</v>
      </c>
      <c r="K2236" s="139">
        <f>IFERROR(__xludf.DUMMYFUNCTION("""COMPUTED_VALUE"""),0.0)</f>
        <v>0</v>
      </c>
      <c r="L2236" s="139"/>
      <c r="M2236" s="139"/>
      <c r="N2236" s="139"/>
    </row>
    <row r="2237">
      <c r="A2237" s="139" t="str">
        <f>IFERROR(__xludf.DUMMYFUNCTION("""COMPUTED_VALUE"""),"e")</f>
        <v>e</v>
      </c>
      <c r="B2237" s="139">
        <f>IFERROR(__xludf.DUMMYFUNCTION("""COMPUTED_VALUE"""),2.0251002E8)</f>
        <v>202510020</v>
      </c>
      <c r="C2237" s="139" t="str">
        <f>IFERROR(__xludf.DUMMYFUNCTION("""COMPUTED_VALUE"""),"e_dan_00301_airaget_tec_Boss_Blue_Normal_00000")</f>
        <v>e_dan_00301_airaget_tec_Boss_Blue_Normal_00000</v>
      </c>
      <c r="D2237" s="139" t="str">
        <f>IFERROR(__xludf.DUMMYFUNCTION("""COMPUTED_VALUE"""),"e_dan_00301_airaget_tec_Boss_Blue")</f>
        <v>e_dan_00301_airaget_tec_Boss_Blue</v>
      </c>
      <c r="E2237" s="139">
        <f>IFERROR(__xludf.DUMMYFUNCTION("""COMPUTED_VALUE"""),0.0)</f>
        <v>0</v>
      </c>
      <c r="F2237" s="139" t="str">
        <f>IFERROR(__xludf.DUMMYFUNCTION("""COMPUTED_VALUE"""),"Normal")</f>
        <v>Normal</v>
      </c>
      <c r="G2237" s="139"/>
      <c r="H2237" s="139"/>
      <c r="I2237" s="139">
        <f>IFERROR(__xludf.DUMMYFUNCTION("""COMPUTED_VALUE"""),60.0)</f>
        <v>60</v>
      </c>
      <c r="J2237" s="139">
        <f>IFERROR(__xludf.DUMMYFUNCTION("""COMPUTED_VALUE"""),14.0)</f>
        <v>14</v>
      </c>
      <c r="K2237" s="139">
        <f>IFERROR(__xludf.DUMMYFUNCTION("""COMPUTED_VALUE"""),75.0)</f>
        <v>75</v>
      </c>
      <c r="L2237" s="139"/>
      <c r="M2237" s="139"/>
      <c r="N2237" s="139"/>
    </row>
    <row r="2238">
      <c r="A2238" s="139" t="str">
        <f>IFERROR(__xludf.DUMMYFUNCTION("""COMPUTED_VALUE"""),"e")</f>
        <v>e</v>
      </c>
      <c r="B2238" s="139">
        <f>IFERROR(__xludf.DUMMYFUNCTION("""COMPUTED_VALUE"""),2.0251002E8)</f>
        <v>202510020</v>
      </c>
      <c r="C2238" s="139" t="str">
        <f>IFERROR(__xludf.DUMMYFUNCTION("""COMPUTED_VALUE"""),"e_dan_00301_airaget_tec_Boss_Blue_Appearance_00001")</f>
        <v>e_dan_00301_airaget_tec_Boss_Blue_Appearance_00001</v>
      </c>
      <c r="D2238" s="139" t="str">
        <f>IFERROR(__xludf.DUMMYFUNCTION("""COMPUTED_VALUE"""),"e_dan_00301_airaget_tec_Boss_Blue")</f>
        <v>e_dan_00301_airaget_tec_Boss_Blue</v>
      </c>
      <c r="E2238" s="139">
        <f>IFERROR(__xludf.DUMMYFUNCTION("""COMPUTED_VALUE"""),0.0)</f>
        <v>0</v>
      </c>
      <c r="F2238" s="139" t="str">
        <f>IFERROR(__xludf.DUMMYFUNCTION("""COMPUTED_VALUE"""),"Appearance")</f>
        <v>Appearance</v>
      </c>
      <c r="G2238" s="139"/>
      <c r="H2238" s="139"/>
      <c r="I2238" s="139">
        <f>IFERROR(__xludf.DUMMYFUNCTION("""COMPUTED_VALUE"""),50.0)</f>
        <v>50</v>
      </c>
      <c r="J2238" s="139">
        <f>IFERROR(__xludf.DUMMYFUNCTION("""COMPUTED_VALUE"""),0.0)</f>
        <v>0</v>
      </c>
      <c r="K2238" s="139">
        <f>IFERROR(__xludf.DUMMYFUNCTION("""COMPUTED_VALUE"""),0.0)</f>
        <v>0</v>
      </c>
      <c r="L2238" s="139"/>
      <c r="M2238" s="139"/>
      <c r="N2238" s="139"/>
    </row>
    <row r="2239">
      <c r="A2239" s="139" t="str">
        <f>IFERROR(__xludf.DUMMYFUNCTION("""COMPUTED_VALUE"""),"e")</f>
        <v>e</v>
      </c>
      <c r="B2239" s="139">
        <f>IFERROR(__xludf.DUMMYFUNCTION("""COMPUTED_VALUE"""),2.0251002E8)</f>
        <v>202510020</v>
      </c>
      <c r="C2239" s="139" t="str">
        <f>IFERROR(__xludf.DUMMYFUNCTION("""COMPUTED_VALUE"""),"c_dan_00002_dan1challenge_Boss_Yellow_Normal_00000")</f>
        <v>c_dan_00002_dan1challenge_Boss_Yellow_Normal_00000</v>
      </c>
      <c r="D2239" s="139" t="str">
        <f>IFERROR(__xludf.DUMMYFUNCTION("""COMPUTED_VALUE"""),"c_dan_00002_dan1challenge_Boss_Yellow")</f>
        <v>c_dan_00002_dan1challenge_Boss_Yellow</v>
      </c>
      <c r="E2239" s="139">
        <f>IFERROR(__xludf.DUMMYFUNCTION("""COMPUTED_VALUE"""),0.0)</f>
        <v>0</v>
      </c>
      <c r="F2239" s="139" t="str">
        <f>IFERROR(__xludf.DUMMYFUNCTION("""COMPUTED_VALUE"""),"Normal")</f>
        <v>Normal</v>
      </c>
      <c r="G2239" s="139"/>
      <c r="H2239" s="139"/>
      <c r="I2239" s="139">
        <f>IFERROR(__xludf.DUMMYFUNCTION("""COMPUTED_VALUE"""),92.0)</f>
        <v>92</v>
      </c>
      <c r="J2239" s="139">
        <f>IFERROR(__xludf.DUMMYFUNCTION("""COMPUTED_VALUE"""),0.0)</f>
        <v>0</v>
      </c>
      <c r="K2239" s="139">
        <f>IFERROR(__xludf.DUMMYFUNCTION("""COMPUTED_VALUE"""),80.0)</f>
        <v>80</v>
      </c>
      <c r="L2239" s="139"/>
      <c r="M2239" s="139"/>
      <c r="N2239" s="139"/>
    </row>
    <row r="2240">
      <c r="A2240" s="139" t="str">
        <f>IFERROR(__xludf.DUMMYFUNCTION("""COMPUTED_VALUE"""),"e")</f>
        <v>e</v>
      </c>
      <c r="B2240" s="139">
        <f>IFERROR(__xludf.DUMMYFUNCTION("""COMPUTED_VALUE"""),2.0251002E8)</f>
        <v>202510020</v>
      </c>
      <c r="C2240" s="139" t="str">
        <f>IFERROR(__xludf.DUMMYFUNCTION("""COMPUTED_VALUE"""),"c_dan_00002_dan1challenge_Boss_Yellow_Special_00001")</f>
        <v>c_dan_00002_dan1challenge_Boss_Yellow_Special_00001</v>
      </c>
      <c r="D2240" s="139" t="str">
        <f>IFERROR(__xludf.DUMMYFUNCTION("""COMPUTED_VALUE"""),"c_dan_00002_dan1challenge_Boss_Yellow")</f>
        <v>c_dan_00002_dan1challenge_Boss_Yellow</v>
      </c>
      <c r="E2240" s="139">
        <f>IFERROR(__xludf.DUMMYFUNCTION("""COMPUTED_VALUE"""),0.0)</f>
        <v>0</v>
      </c>
      <c r="F2240" s="139" t="str">
        <f>IFERROR(__xludf.DUMMYFUNCTION("""COMPUTED_VALUE"""),"Special")</f>
        <v>Special</v>
      </c>
      <c r="G2240" s="139"/>
      <c r="H2240" s="139"/>
      <c r="I2240" s="139">
        <f>IFERROR(__xludf.DUMMYFUNCTION("""COMPUTED_VALUE"""),261.0)</f>
        <v>261</v>
      </c>
      <c r="J2240" s="139">
        <f>IFERROR(__xludf.DUMMYFUNCTION("""COMPUTED_VALUE"""),0.0)</f>
        <v>0</v>
      </c>
      <c r="K2240" s="139">
        <f>IFERROR(__xludf.DUMMYFUNCTION("""COMPUTED_VALUE"""),0.0)</f>
        <v>0</v>
      </c>
      <c r="L2240" s="139"/>
      <c r="M2240" s="139"/>
      <c r="N2240" s="139"/>
    </row>
    <row r="2241">
      <c r="A2241" s="139" t="str">
        <f>IFERROR(__xludf.DUMMYFUNCTION("""COMPUTED_VALUE"""),"e")</f>
        <v>e</v>
      </c>
      <c r="B2241" s="139">
        <f>IFERROR(__xludf.DUMMYFUNCTION("""COMPUTED_VALUE"""),2.0251002E8)</f>
        <v>202510020</v>
      </c>
      <c r="C2241" s="139" t="str">
        <f>IFERROR(__xludf.DUMMYFUNCTION("""COMPUTED_VALUE"""),"c_dan_00002_dan1challenge_Boss_Yellow_Appearance_00002")</f>
        <v>c_dan_00002_dan1challenge_Boss_Yellow_Appearance_00002</v>
      </c>
      <c r="D2241" s="139" t="str">
        <f>IFERROR(__xludf.DUMMYFUNCTION("""COMPUTED_VALUE"""),"c_dan_00002_dan1challenge_Boss_Yellow")</f>
        <v>c_dan_00002_dan1challenge_Boss_Yellow</v>
      </c>
      <c r="E2241" s="139">
        <f>IFERROR(__xludf.DUMMYFUNCTION("""COMPUTED_VALUE"""),0.0)</f>
        <v>0</v>
      </c>
      <c r="F2241" s="139" t="str">
        <f>IFERROR(__xludf.DUMMYFUNCTION("""COMPUTED_VALUE"""),"Appearance")</f>
        <v>Appearance</v>
      </c>
      <c r="G2241" s="139"/>
      <c r="H2241" s="139"/>
      <c r="I2241" s="139">
        <f>IFERROR(__xludf.DUMMYFUNCTION("""COMPUTED_VALUE"""),50.0)</f>
        <v>50</v>
      </c>
      <c r="J2241" s="139">
        <f>IFERROR(__xludf.DUMMYFUNCTION("""COMPUTED_VALUE"""),0.0)</f>
        <v>0</v>
      </c>
      <c r="K2241" s="139">
        <f>IFERROR(__xludf.DUMMYFUNCTION("""COMPUTED_VALUE"""),0.0)</f>
        <v>0</v>
      </c>
      <c r="L2241" s="139"/>
      <c r="M2241" s="139"/>
      <c r="N2241" s="139"/>
    </row>
    <row r="2242">
      <c r="A2242" s="139" t="str">
        <f>IFERROR(__xludf.DUMMYFUNCTION("""COMPUTED_VALUE"""),"e")</f>
        <v>e</v>
      </c>
      <c r="B2242" s="139">
        <f>IFERROR(__xludf.DUMMYFUNCTION("""COMPUTED_VALUE"""),2.0251002E8)</f>
        <v>202510020</v>
      </c>
      <c r="C2242" s="139" t="str">
        <f>IFERROR(__xludf.DUMMYFUNCTION("""COMPUTED_VALUE"""),"c_dan_00101_dan1challenge_Boss_Green_Normal_00000")</f>
        <v>c_dan_00101_dan1challenge_Boss_Green_Normal_00000</v>
      </c>
      <c r="D2242" s="139" t="str">
        <f>IFERROR(__xludf.DUMMYFUNCTION("""COMPUTED_VALUE"""),"c_dan_00101_dan1challenge_Boss_Green")</f>
        <v>c_dan_00101_dan1challenge_Boss_Green</v>
      </c>
      <c r="E2242" s="139">
        <f>IFERROR(__xludf.DUMMYFUNCTION("""COMPUTED_VALUE"""),0.0)</f>
        <v>0</v>
      </c>
      <c r="F2242" s="139" t="str">
        <f>IFERROR(__xludf.DUMMYFUNCTION("""COMPUTED_VALUE"""),"Normal")</f>
        <v>Normal</v>
      </c>
      <c r="G2242" s="139"/>
      <c r="H2242" s="139"/>
      <c r="I2242" s="139">
        <f>IFERROR(__xludf.DUMMYFUNCTION("""COMPUTED_VALUE"""),50.0)</f>
        <v>50</v>
      </c>
      <c r="J2242" s="139">
        <f>IFERROR(__xludf.DUMMYFUNCTION("""COMPUTED_VALUE"""),25.0)</f>
        <v>25</v>
      </c>
      <c r="K2242" s="139">
        <f>IFERROR(__xludf.DUMMYFUNCTION("""COMPUTED_VALUE"""),100.0)</f>
        <v>100</v>
      </c>
      <c r="L2242" s="139"/>
      <c r="M2242" s="139"/>
      <c r="N2242" s="139"/>
    </row>
    <row r="2243">
      <c r="A2243" s="139" t="str">
        <f>IFERROR(__xludf.DUMMYFUNCTION("""COMPUTED_VALUE"""),"e")</f>
        <v>e</v>
      </c>
      <c r="B2243" s="139">
        <f>IFERROR(__xludf.DUMMYFUNCTION("""COMPUTED_VALUE"""),2.0251002E8)</f>
        <v>202510020</v>
      </c>
      <c r="C2243" s="139" t="str">
        <f>IFERROR(__xludf.DUMMYFUNCTION("""COMPUTED_VALUE"""),"c_dan_00101_dan1challenge_Boss_Green_Special_00001")</f>
        <v>c_dan_00101_dan1challenge_Boss_Green_Special_00001</v>
      </c>
      <c r="D2243" s="139" t="str">
        <f>IFERROR(__xludf.DUMMYFUNCTION("""COMPUTED_VALUE"""),"c_dan_00101_dan1challenge_Boss_Green")</f>
        <v>c_dan_00101_dan1challenge_Boss_Green</v>
      </c>
      <c r="E2243" s="139">
        <f>IFERROR(__xludf.DUMMYFUNCTION("""COMPUTED_VALUE"""),0.0)</f>
        <v>0</v>
      </c>
      <c r="F2243" s="139" t="str">
        <f>IFERROR(__xludf.DUMMYFUNCTION("""COMPUTED_VALUE"""),"Special")</f>
        <v>Special</v>
      </c>
      <c r="G2243" s="139"/>
      <c r="H2243" s="139"/>
      <c r="I2243" s="139">
        <f>IFERROR(__xludf.DUMMYFUNCTION("""COMPUTED_VALUE"""),100.0)</f>
        <v>100</v>
      </c>
      <c r="J2243" s="139">
        <f>IFERROR(__xludf.DUMMYFUNCTION("""COMPUTED_VALUE"""),50.0)</f>
        <v>50</v>
      </c>
      <c r="K2243" s="139">
        <f>IFERROR(__xludf.DUMMYFUNCTION("""COMPUTED_VALUE"""),0.0)</f>
        <v>0</v>
      </c>
      <c r="L2243" s="139"/>
      <c r="M2243" s="139"/>
      <c r="N2243" s="139"/>
    </row>
    <row r="2244">
      <c r="A2244" s="139" t="str">
        <f>IFERROR(__xludf.DUMMYFUNCTION("""COMPUTED_VALUE"""),"e")</f>
        <v>e</v>
      </c>
      <c r="B2244" s="139">
        <f>IFERROR(__xludf.DUMMYFUNCTION("""COMPUTED_VALUE"""),2.0251002E8)</f>
        <v>202510020</v>
      </c>
      <c r="C2244" s="139" t="str">
        <f>IFERROR(__xludf.DUMMYFUNCTION("""COMPUTED_VALUE"""),"c_dan_00101_dan1challenge_Boss_Green_Appearance_00002")</f>
        <v>c_dan_00101_dan1challenge_Boss_Green_Appearance_00002</v>
      </c>
      <c r="D2244" s="139" t="str">
        <f>IFERROR(__xludf.DUMMYFUNCTION("""COMPUTED_VALUE"""),"c_dan_00101_dan1challenge_Boss_Green")</f>
        <v>c_dan_00101_dan1challenge_Boss_Green</v>
      </c>
      <c r="E2244" s="139">
        <f>IFERROR(__xludf.DUMMYFUNCTION("""COMPUTED_VALUE"""),0.0)</f>
        <v>0</v>
      </c>
      <c r="F2244" s="139" t="str">
        <f>IFERROR(__xludf.DUMMYFUNCTION("""COMPUTED_VALUE"""),"Appearance")</f>
        <v>Appearance</v>
      </c>
      <c r="G2244" s="139"/>
      <c r="H2244" s="139"/>
      <c r="I2244" s="139">
        <f>IFERROR(__xludf.DUMMYFUNCTION("""COMPUTED_VALUE"""),50.0)</f>
        <v>50</v>
      </c>
      <c r="J2244" s="139">
        <f>IFERROR(__xludf.DUMMYFUNCTION("""COMPUTED_VALUE"""),0.0)</f>
        <v>0</v>
      </c>
      <c r="K2244" s="139">
        <f>IFERROR(__xludf.DUMMYFUNCTION("""COMPUTED_VALUE"""),0.0)</f>
        <v>0</v>
      </c>
      <c r="L2244" s="139"/>
      <c r="M2244" s="139"/>
      <c r="N2244" s="139"/>
    </row>
    <row r="2245">
      <c r="A2245" s="139" t="str">
        <f>IFERROR(__xludf.DUMMYFUNCTION("""COMPUTED_VALUE"""),"e")</f>
        <v>e</v>
      </c>
      <c r="B2245" s="139">
        <f>IFERROR(__xludf.DUMMYFUNCTION("""COMPUTED_VALUE"""),2.0251002E8)</f>
        <v>202510020</v>
      </c>
      <c r="C2245" s="139" t="str">
        <f>IFERROR(__xludf.DUMMYFUNCTION("""COMPUTED_VALUE"""),"c_dan_00202_dan1challenge_Boss_Red_Normal_00000")</f>
        <v>c_dan_00202_dan1challenge_Boss_Red_Normal_00000</v>
      </c>
      <c r="D2245" s="139" t="str">
        <f>IFERROR(__xludf.DUMMYFUNCTION("""COMPUTED_VALUE"""),"c_dan_00202_dan1challenge_Boss_Red")</f>
        <v>c_dan_00202_dan1challenge_Boss_Red</v>
      </c>
      <c r="E2245" s="139">
        <f>IFERROR(__xludf.DUMMYFUNCTION("""COMPUTED_VALUE"""),0.0)</f>
        <v>0</v>
      </c>
      <c r="F2245" s="139" t="str">
        <f>IFERROR(__xludf.DUMMYFUNCTION("""COMPUTED_VALUE"""),"Normal")</f>
        <v>Normal</v>
      </c>
      <c r="G2245" s="139"/>
      <c r="H2245" s="139"/>
      <c r="I2245" s="139">
        <f>IFERROR(__xludf.DUMMYFUNCTION("""COMPUTED_VALUE"""),69.0)</f>
        <v>69</v>
      </c>
      <c r="J2245" s="139">
        <f>IFERROR(__xludf.DUMMYFUNCTION("""COMPUTED_VALUE"""),23.0)</f>
        <v>23</v>
      </c>
      <c r="K2245" s="139">
        <f>IFERROR(__xludf.DUMMYFUNCTION("""COMPUTED_VALUE"""),75.0)</f>
        <v>75</v>
      </c>
      <c r="L2245" s="139"/>
      <c r="M2245" s="139"/>
      <c r="N2245" s="139"/>
    </row>
    <row r="2246">
      <c r="A2246" s="139" t="str">
        <f>IFERROR(__xludf.DUMMYFUNCTION("""COMPUTED_VALUE"""),"e")</f>
        <v>e</v>
      </c>
      <c r="B2246" s="139">
        <f>IFERROR(__xludf.DUMMYFUNCTION("""COMPUTED_VALUE"""),2.0251002E8)</f>
        <v>202510020</v>
      </c>
      <c r="C2246" s="139" t="str">
        <f>IFERROR(__xludf.DUMMYFUNCTION("""COMPUTED_VALUE"""),"c_dan_00202_dan1challenge_Boss_Red_Special_00001")</f>
        <v>c_dan_00202_dan1challenge_Boss_Red_Special_00001</v>
      </c>
      <c r="D2246" s="139" t="str">
        <f>IFERROR(__xludf.DUMMYFUNCTION("""COMPUTED_VALUE"""),"c_dan_00202_dan1challenge_Boss_Red")</f>
        <v>c_dan_00202_dan1challenge_Boss_Red</v>
      </c>
      <c r="E2246" s="139">
        <f>IFERROR(__xludf.DUMMYFUNCTION("""COMPUTED_VALUE"""),0.0)</f>
        <v>0</v>
      </c>
      <c r="F2246" s="139" t="str">
        <f>IFERROR(__xludf.DUMMYFUNCTION("""COMPUTED_VALUE"""),"Special")</f>
        <v>Special</v>
      </c>
      <c r="G2246" s="139"/>
      <c r="H2246" s="139"/>
      <c r="I2246" s="139">
        <f>IFERROR(__xludf.DUMMYFUNCTION("""COMPUTED_VALUE"""),122.0)</f>
        <v>122</v>
      </c>
      <c r="J2246" s="139">
        <f>IFERROR(__xludf.DUMMYFUNCTION("""COMPUTED_VALUE"""),0.0)</f>
        <v>0</v>
      </c>
      <c r="K2246" s="139">
        <f>IFERROR(__xludf.DUMMYFUNCTION("""COMPUTED_VALUE"""),0.0)</f>
        <v>0</v>
      </c>
      <c r="L2246" s="139"/>
      <c r="M2246" s="139"/>
      <c r="N2246" s="139"/>
    </row>
    <row r="2247">
      <c r="A2247" s="139" t="str">
        <f>IFERROR(__xludf.DUMMYFUNCTION("""COMPUTED_VALUE"""),"e")</f>
        <v>e</v>
      </c>
      <c r="B2247" s="139">
        <f>IFERROR(__xludf.DUMMYFUNCTION("""COMPUTED_VALUE"""),2.0251002E8)</f>
        <v>202510020</v>
      </c>
      <c r="C2247" s="139" t="str">
        <f>IFERROR(__xludf.DUMMYFUNCTION("""COMPUTED_VALUE"""),"c_dan_00202_dan1challenge_Boss_Red_Appearance_00002")</f>
        <v>c_dan_00202_dan1challenge_Boss_Red_Appearance_00002</v>
      </c>
      <c r="D2247" s="139" t="str">
        <f>IFERROR(__xludf.DUMMYFUNCTION("""COMPUTED_VALUE"""),"c_dan_00202_dan1challenge_Boss_Red")</f>
        <v>c_dan_00202_dan1challenge_Boss_Red</v>
      </c>
      <c r="E2247" s="139">
        <f>IFERROR(__xludf.DUMMYFUNCTION("""COMPUTED_VALUE"""),0.0)</f>
        <v>0</v>
      </c>
      <c r="F2247" s="139" t="str">
        <f>IFERROR(__xludf.DUMMYFUNCTION("""COMPUTED_VALUE"""),"Appearance")</f>
        <v>Appearance</v>
      </c>
      <c r="G2247" s="139"/>
      <c r="H2247" s="139"/>
      <c r="I2247" s="139">
        <f>IFERROR(__xludf.DUMMYFUNCTION("""COMPUTED_VALUE"""),50.0)</f>
        <v>50</v>
      </c>
      <c r="J2247" s="139">
        <f>IFERROR(__xludf.DUMMYFUNCTION("""COMPUTED_VALUE"""),0.0)</f>
        <v>0</v>
      </c>
      <c r="K2247" s="139">
        <f>IFERROR(__xludf.DUMMYFUNCTION("""COMPUTED_VALUE"""),0.0)</f>
        <v>0</v>
      </c>
      <c r="L2247" s="139"/>
      <c r="M2247" s="139"/>
      <c r="N2247" s="139"/>
    </row>
    <row r="2248">
      <c r="A2248" s="139" t="str">
        <f>IFERROR(__xludf.DUMMYFUNCTION("""COMPUTED_VALUE"""),"e")</f>
        <v>e</v>
      </c>
      <c r="B2248" s="139">
        <f>IFERROR(__xludf.DUMMYFUNCTION("""COMPUTED_VALUE"""),2.0251002E8)</f>
        <v>202510020</v>
      </c>
      <c r="C2248" s="139" t="str">
        <f>IFERROR(__xludf.DUMMYFUNCTION("""COMPUTED_VALUE"""),"c_dan_00301_dan1challenge_Normal_Yellow_Normal_00000")</f>
        <v>c_dan_00301_dan1challenge_Normal_Yellow_Normal_00000</v>
      </c>
      <c r="D2248" s="139" t="str">
        <f>IFERROR(__xludf.DUMMYFUNCTION("""COMPUTED_VALUE"""),"c_dan_00301_dan1challenge_Normal_Yellow")</f>
        <v>c_dan_00301_dan1challenge_Normal_Yellow</v>
      </c>
      <c r="E2248" s="139">
        <f>IFERROR(__xludf.DUMMYFUNCTION("""COMPUTED_VALUE"""),0.0)</f>
        <v>0</v>
      </c>
      <c r="F2248" s="139" t="str">
        <f>IFERROR(__xludf.DUMMYFUNCTION("""COMPUTED_VALUE"""),"Normal")</f>
        <v>Normal</v>
      </c>
      <c r="G2248" s="139"/>
      <c r="H2248" s="139"/>
      <c r="I2248" s="139">
        <f>IFERROR(__xludf.DUMMYFUNCTION("""COMPUTED_VALUE"""),80.0)</f>
        <v>80</v>
      </c>
      <c r="J2248" s="139">
        <f>IFERROR(__xludf.DUMMYFUNCTION("""COMPUTED_VALUE"""),0.0)</f>
        <v>0</v>
      </c>
      <c r="K2248" s="139">
        <f>IFERROR(__xludf.DUMMYFUNCTION("""COMPUTED_VALUE"""),80.0)</f>
        <v>80</v>
      </c>
      <c r="L2248" s="139"/>
      <c r="M2248" s="139"/>
      <c r="N2248" s="139"/>
    </row>
    <row r="2249">
      <c r="A2249" s="139" t="str">
        <f>IFERROR(__xludf.DUMMYFUNCTION("""COMPUTED_VALUE"""),"e")</f>
        <v>e</v>
      </c>
      <c r="B2249" s="139">
        <f>IFERROR(__xludf.DUMMYFUNCTION("""COMPUTED_VALUE"""),2.0251002E8)</f>
        <v>202510020</v>
      </c>
      <c r="C2249" s="139" t="str">
        <f>IFERROR(__xludf.DUMMYFUNCTION("""COMPUTED_VALUE"""),"c_dan_00301_dan1challenge_Normal_Yellow_Special_00001")</f>
        <v>c_dan_00301_dan1challenge_Normal_Yellow_Special_00001</v>
      </c>
      <c r="D2249" s="139" t="str">
        <f>IFERROR(__xludf.DUMMYFUNCTION("""COMPUTED_VALUE"""),"c_dan_00301_dan1challenge_Normal_Yellow")</f>
        <v>c_dan_00301_dan1challenge_Normal_Yellow</v>
      </c>
      <c r="E2249" s="139">
        <f>IFERROR(__xludf.DUMMYFUNCTION("""COMPUTED_VALUE"""),0.0)</f>
        <v>0</v>
      </c>
      <c r="F2249" s="139" t="str">
        <f>IFERROR(__xludf.DUMMYFUNCTION("""COMPUTED_VALUE"""),"Special")</f>
        <v>Special</v>
      </c>
      <c r="G2249" s="139"/>
      <c r="H2249" s="139"/>
      <c r="I2249" s="139">
        <f>IFERROR(__xludf.DUMMYFUNCTION("""COMPUTED_VALUE"""),92.0)</f>
        <v>92</v>
      </c>
      <c r="J2249" s="139">
        <f>IFERROR(__xludf.DUMMYFUNCTION("""COMPUTED_VALUE"""),15.0)</f>
        <v>15</v>
      </c>
      <c r="K2249" s="139">
        <f>IFERROR(__xludf.DUMMYFUNCTION("""COMPUTED_VALUE"""),0.0)</f>
        <v>0</v>
      </c>
      <c r="L2249" s="139"/>
      <c r="M2249" s="139"/>
      <c r="N2249" s="139"/>
    </row>
    <row r="2250">
      <c r="A2250" s="139" t="str">
        <f>IFERROR(__xludf.DUMMYFUNCTION("""COMPUTED_VALUE"""),"e")</f>
        <v>e</v>
      </c>
      <c r="B2250" s="139">
        <f>IFERROR(__xludf.DUMMYFUNCTION("""COMPUTED_VALUE"""),2.0251002E8)</f>
        <v>202510020</v>
      </c>
      <c r="C2250" s="139" t="str">
        <f>IFERROR(__xludf.DUMMYFUNCTION("""COMPUTED_VALUE"""),"e_dan_00001_dan1challenge_Normal_Blue_Normal_00000")</f>
        <v>e_dan_00001_dan1challenge_Normal_Blue_Normal_00000</v>
      </c>
      <c r="D2250" s="139" t="str">
        <f>IFERROR(__xludf.DUMMYFUNCTION("""COMPUTED_VALUE"""),"e_dan_00001_dan1challenge_Normal_Blue")</f>
        <v>e_dan_00001_dan1challenge_Normal_Blue</v>
      </c>
      <c r="E2250" s="139">
        <f>IFERROR(__xludf.DUMMYFUNCTION("""COMPUTED_VALUE"""),0.0)</f>
        <v>0</v>
      </c>
      <c r="F2250" s="139" t="str">
        <f>IFERROR(__xludf.DUMMYFUNCTION("""COMPUTED_VALUE"""),"Normal")</f>
        <v>Normal</v>
      </c>
      <c r="G2250" s="139"/>
      <c r="H2250" s="139"/>
      <c r="I2250" s="139">
        <f>IFERROR(__xludf.DUMMYFUNCTION("""COMPUTED_VALUE"""),58.0)</f>
        <v>58</v>
      </c>
      <c r="J2250" s="139">
        <f>IFERROR(__xludf.DUMMYFUNCTION("""COMPUTED_VALUE"""),25.0)</f>
        <v>25</v>
      </c>
      <c r="K2250" s="139">
        <f>IFERROR(__xludf.DUMMYFUNCTION("""COMPUTED_VALUE"""),65.0)</f>
        <v>65</v>
      </c>
      <c r="L2250" s="139"/>
      <c r="M2250" s="139"/>
      <c r="N2250" s="139"/>
    </row>
    <row r="2251">
      <c r="A2251" s="139" t="str">
        <f>IFERROR(__xludf.DUMMYFUNCTION("""COMPUTED_VALUE"""),"e")</f>
        <v>e</v>
      </c>
      <c r="B2251" s="139">
        <f>IFERROR(__xludf.DUMMYFUNCTION("""COMPUTED_VALUE"""),2.0251002E8)</f>
        <v>202510020</v>
      </c>
      <c r="C2251" s="139" t="str">
        <f>IFERROR(__xludf.DUMMYFUNCTION("""COMPUTED_VALUE"""),"e_dan_00001_dan1challenge_Normal_Green_Normal_00000")</f>
        <v>e_dan_00001_dan1challenge_Normal_Green_Normal_00000</v>
      </c>
      <c r="D2251" s="139" t="str">
        <f>IFERROR(__xludf.DUMMYFUNCTION("""COMPUTED_VALUE"""),"e_dan_00001_dan1challenge_Normal_Green")</f>
        <v>e_dan_00001_dan1challenge_Normal_Green</v>
      </c>
      <c r="E2251" s="139">
        <f>IFERROR(__xludf.DUMMYFUNCTION("""COMPUTED_VALUE"""),0.0)</f>
        <v>0</v>
      </c>
      <c r="F2251" s="139" t="str">
        <f>IFERROR(__xludf.DUMMYFUNCTION("""COMPUTED_VALUE"""),"Normal")</f>
        <v>Normal</v>
      </c>
      <c r="G2251" s="139"/>
      <c r="H2251" s="139"/>
      <c r="I2251" s="139">
        <f>IFERROR(__xludf.DUMMYFUNCTION("""COMPUTED_VALUE"""),58.0)</f>
        <v>58</v>
      </c>
      <c r="J2251" s="139">
        <f>IFERROR(__xludf.DUMMYFUNCTION("""COMPUTED_VALUE"""),25.0)</f>
        <v>25</v>
      </c>
      <c r="K2251" s="139">
        <f>IFERROR(__xludf.DUMMYFUNCTION("""COMPUTED_VALUE"""),65.0)</f>
        <v>65</v>
      </c>
      <c r="L2251" s="139"/>
      <c r="M2251" s="139"/>
      <c r="N2251" s="139"/>
    </row>
    <row r="2252">
      <c r="A2252" s="139" t="str">
        <f>IFERROR(__xludf.DUMMYFUNCTION("""COMPUTED_VALUE"""),"e")</f>
        <v>e</v>
      </c>
      <c r="B2252" s="139">
        <f>IFERROR(__xludf.DUMMYFUNCTION("""COMPUTED_VALUE"""),2.0251002E8)</f>
        <v>202510020</v>
      </c>
      <c r="C2252" s="139" t="str">
        <f>IFERROR(__xludf.DUMMYFUNCTION("""COMPUTED_VALUE"""),"e_dan_00201_dan1challenge_Boss_Blue_Normal_00000")</f>
        <v>e_dan_00201_dan1challenge_Boss_Blue_Normal_00000</v>
      </c>
      <c r="D2252" s="139" t="str">
        <f>IFERROR(__xludf.DUMMYFUNCTION("""COMPUTED_VALUE"""),"e_dan_00201_dan1challenge_Boss_Blue")</f>
        <v>e_dan_00201_dan1challenge_Boss_Blue</v>
      </c>
      <c r="E2252" s="139">
        <f>IFERROR(__xludf.DUMMYFUNCTION("""COMPUTED_VALUE"""),0.0)</f>
        <v>0</v>
      </c>
      <c r="F2252" s="139" t="str">
        <f>IFERROR(__xludf.DUMMYFUNCTION("""COMPUTED_VALUE"""),"Normal")</f>
        <v>Normal</v>
      </c>
      <c r="G2252" s="139"/>
      <c r="H2252" s="139"/>
      <c r="I2252" s="139">
        <f>IFERROR(__xludf.DUMMYFUNCTION("""COMPUTED_VALUE"""),75.0)</f>
        <v>75</v>
      </c>
      <c r="J2252" s="139">
        <f>IFERROR(__xludf.DUMMYFUNCTION("""COMPUTED_VALUE"""),20.0)</f>
        <v>20</v>
      </c>
      <c r="K2252" s="139">
        <f>IFERROR(__xludf.DUMMYFUNCTION("""COMPUTED_VALUE"""),40.0)</f>
        <v>40</v>
      </c>
      <c r="L2252" s="139"/>
      <c r="M2252" s="139"/>
      <c r="N2252" s="139"/>
    </row>
    <row r="2253">
      <c r="A2253" s="139" t="str">
        <f>IFERROR(__xludf.DUMMYFUNCTION("""COMPUTED_VALUE"""),"e")</f>
        <v>e</v>
      </c>
      <c r="B2253" s="139">
        <f>IFERROR(__xludf.DUMMYFUNCTION("""COMPUTED_VALUE"""),2.0251002E8)</f>
        <v>202510020</v>
      </c>
      <c r="C2253" s="139" t="str">
        <f>IFERROR(__xludf.DUMMYFUNCTION("""COMPUTED_VALUE"""),"e_dan_00201_dan1challenge_Boss_Blue_Appearance_00001")</f>
        <v>e_dan_00201_dan1challenge_Boss_Blue_Appearance_00001</v>
      </c>
      <c r="D2253" s="139" t="str">
        <f>IFERROR(__xludf.DUMMYFUNCTION("""COMPUTED_VALUE"""),"e_dan_00201_dan1challenge_Boss_Blue")</f>
        <v>e_dan_00201_dan1challenge_Boss_Blue</v>
      </c>
      <c r="E2253" s="139">
        <f>IFERROR(__xludf.DUMMYFUNCTION("""COMPUTED_VALUE"""),0.0)</f>
        <v>0</v>
      </c>
      <c r="F2253" s="139" t="str">
        <f>IFERROR(__xludf.DUMMYFUNCTION("""COMPUTED_VALUE"""),"Appearance")</f>
        <v>Appearance</v>
      </c>
      <c r="G2253" s="139"/>
      <c r="H2253" s="139"/>
      <c r="I2253" s="139">
        <f>IFERROR(__xludf.DUMMYFUNCTION("""COMPUTED_VALUE"""),50.0)</f>
        <v>50</v>
      </c>
      <c r="J2253" s="139">
        <f>IFERROR(__xludf.DUMMYFUNCTION("""COMPUTED_VALUE"""),0.0)</f>
        <v>0</v>
      </c>
      <c r="K2253" s="139">
        <f>IFERROR(__xludf.DUMMYFUNCTION("""COMPUTED_VALUE"""),0.0)</f>
        <v>0</v>
      </c>
      <c r="L2253" s="139"/>
      <c r="M2253" s="139"/>
      <c r="N2253" s="139"/>
    </row>
    <row r="2254">
      <c r="A2254" s="139" t="str">
        <f>IFERROR(__xludf.DUMMYFUNCTION("""COMPUTED_VALUE"""),"e")</f>
        <v>e</v>
      </c>
      <c r="B2254" s="139">
        <f>IFERROR(__xludf.DUMMYFUNCTION("""COMPUTED_VALUE"""),2.0251002E8)</f>
        <v>202510020</v>
      </c>
      <c r="C2254" s="139" t="str">
        <f>IFERROR(__xludf.DUMMYFUNCTION("""COMPUTED_VALUE"""),"c_dan_00201_savage_Normal_Red_Normal_00000")</f>
        <v>c_dan_00201_savage_Normal_Red_Normal_00000</v>
      </c>
      <c r="D2254" s="139" t="str">
        <f>IFERROR(__xludf.DUMMYFUNCTION("""COMPUTED_VALUE"""),"c_dan_00201_savage_Normal_Red")</f>
        <v>c_dan_00201_savage_Normal_Red</v>
      </c>
      <c r="E2254" s="139">
        <f>IFERROR(__xludf.DUMMYFUNCTION("""COMPUTED_VALUE"""),0.0)</f>
        <v>0</v>
      </c>
      <c r="F2254" s="139" t="str">
        <f>IFERROR(__xludf.DUMMYFUNCTION("""COMPUTED_VALUE"""),"Normal")</f>
        <v>Normal</v>
      </c>
      <c r="G2254" s="139"/>
      <c r="H2254" s="139"/>
      <c r="I2254" s="139">
        <f>IFERROR(__xludf.DUMMYFUNCTION("""COMPUTED_VALUE"""),75.0)</f>
        <v>75</v>
      </c>
      <c r="J2254" s="139">
        <f>IFERROR(__xludf.DUMMYFUNCTION("""COMPUTED_VALUE"""),27.0)</f>
        <v>27</v>
      </c>
      <c r="K2254" s="139">
        <f>IFERROR(__xludf.DUMMYFUNCTION("""COMPUTED_VALUE"""),75.0)</f>
        <v>75</v>
      </c>
      <c r="L2254" s="139"/>
      <c r="M2254" s="139"/>
      <c r="N2254" s="139"/>
    </row>
    <row r="2255">
      <c r="A2255" s="139" t="str">
        <f>IFERROR(__xludf.DUMMYFUNCTION("""COMPUTED_VALUE"""),"e")</f>
        <v>e</v>
      </c>
      <c r="B2255" s="139">
        <f>IFERROR(__xludf.DUMMYFUNCTION("""COMPUTED_VALUE"""),2.0251002E8)</f>
        <v>202510020</v>
      </c>
      <c r="C2255" s="139" t="str">
        <f>IFERROR(__xludf.DUMMYFUNCTION("""COMPUTED_VALUE"""),"c_dan_00201_savage_Normal_Red_Special_00001")</f>
        <v>c_dan_00201_savage_Normal_Red_Special_00001</v>
      </c>
      <c r="D2255" s="139" t="str">
        <f>IFERROR(__xludf.DUMMYFUNCTION("""COMPUTED_VALUE"""),"c_dan_00201_savage_Normal_Red")</f>
        <v>c_dan_00201_savage_Normal_Red</v>
      </c>
      <c r="E2255" s="139">
        <f>IFERROR(__xludf.DUMMYFUNCTION("""COMPUTED_VALUE"""),0.0)</f>
        <v>0</v>
      </c>
      <c r="F2255" s="139" t="str">
        <f>IFERROR(__xludf.DUMMYFUNCTION("""COMPUTED_VALUE"""),"Special")</f>
        <v>Special</v>
      </c>
      <c r="G2255" s="139"/>
      <c r="H2255" s="139"/>
      <c r="I2255" s="139">
        <f>IFERROR(__xludf.DUMMYFUNCTION("""COMPUTED_VALUE"""),125.0)</f>
        <v>125</v>
      </c>
      <c r="J2255" s="139">
        <f>IFERROR(__xludf.DUMMYFUNCTION("""COMPUTED_VALUE"""),67.0)</f>
        <v>67</v>
      </c>
      <c r="K2255" s="139">
        <f>IFERROR(__xludf.DUMMYFUNCTION("""COMPUTED_VALUE"""),0.0)</f>
        <v>0</v>
      </c>
      <c r="L2255" s="139"/>
      <c r="M2255" s="139"/>
      <c r="N2255" s="139"/>
    </row>
    <row r="2256">
      <c r="A2256" s="139" t="str">
        <f>IFERROR(__xludf.DUMMYFUNCTION("""COMPUTED_VALUE"""),"e")</f>
        <v>e</v>
      </c>
      <c r="B2256" s="139">
        <f>IFERROR(__xludf.DUMMYFUNCTION("""COMPUTED_VALUE"""),2.0251002E8)</f>
        <v>202510020</v>
      </c>
      <c r="C2256" s="139" t="str">
        <f>IFERROR(__xludf.DUMMYFUNCTION("""COMPUTED_VALUE"""),"e_glo_00001_savage_Normal_Red_Normal_00000")</f>
        <v>e_glo_00001_savage_Normal_Red_Normal_00000</v>
      </c>
      <c r="D2256" s="139" t="str">
        <f>IFERROR(__xludf.DUMMYFUNCTION("""COMPUTED_VALUE"""),"e_glo_00001_savage_Normal_Red")</f>
        <v>e_glo_00001_savage_Normal_Red</v>
      </c>
      <c r="E2256" s="139">
        <f>IFERROR(__xludf.DUMMYFUNCTION("""COMPUTED_VALUE"""),0.0)</f>
        <v>0</v>
      </c>
      <c r="F2256" s="139" t="str">
        <f>IFERROR(__xludf.DUMMYFUNCTION("""COMPUTED_VALUE"""),"Normal")</f>
        <v>Normal</v>
      </c>
      <c r="G2256" s="139"/>
      <c r="H2256" s="139"/>
      <c r="I2256" s="139">
        <f>IFERROR(__xludf.DUMMYFUNCTION("""COMPUTED_VALUE"""),50.0)</f>
        <v>50</v>
      </c>
      <c r="J2256" s="139">
        <f>IFERROR(__xludf.DUMMYFUNCTION("""COMPUTED_VALUE"""),25.0)</f>
        <v>25</v>
      </c>
      <c r="K2256" s="139">
        <f>IFERROR(__xludf.DUMMYFUNCTION("""COMPUTED_VALUE"""),50.0)</f>
        <v>50</v>
      </c>
      <c r="L2256" s="139"/>
      <c r="M2256" s="139"/>
      <c r="N2256" s="139"/>
    </row>
    <row r="2257">
      <c r="A2257" s="139" t="str">
        <f>IFERROR(__xludf.DUMMYFUNCTION("""COMPUTED_VALUE"""),"e")</f>
        <v>e</v>
      </c>
      <c r="B2257" s="139">
        <f>IFERROR(__xludf.DUMMYFUNCTION("""COMPUTED_VALUE"""),2.0251002E8)</f>
        <v>202510020</v>
      </c>
      <c r="C2257" s="139" t="str">
        <f>IFERROR(__xludf.DUMMYFUNCTION("""COMPUTED_VALUE"""),"e_glo_00001_savage_Normal_Yellow_Normal_00000")</f>
        <v>e_glo_00001_savage_Normal_Yellow_Normal_00000</v>
      </c>
      <c r="D2257" s="139" t="str">
        <f>IFERROR(__xludf.DUMMYFUNCTION("""COMPUTED_VALUE"""),"e_glo_00001_savage_Normal_Yellow")</f>
        <v>e_glo_00001_savage_Normal_Yellow</v>
      </c>
      <c r="E2257" s="139">
        <f>IFERROR(__xludf.DUMMYFUNCTION("""COMPUTED_VALUE"""),0.0)</f>
        <v>0</v>
      </c>
      <c r="F2257" s="139" t="str">
        <f>IFERROR(__xludf.DUMMYFUNCTION("""COMPUTED_VALUE"""),"Normal")</f>
        <v>Normal</v>
      </c>
      <c r="G2257" s="139"/>
      <c r="H2257" s="139"/>
      <c r="I2257" s="139">
        <f>IFERROR(__xludf.DUMMYFUNCTION("""COMPUTED_VALUE"""),50.0)</f>
        <v>50</v>
      </c>
      <c r="J2257" s="139">
        <f>IFERROR(__xludf.DUMMYFUNCTION("""COMPUTED_VALUE"""),25.0)</f>
        <v>25</v>
      </c>
      <c r="K2257" s="139">
        <f>IFERROR(__xludf.DUMMYFUNCTION("""COMPUTED_VALUE"""),50.0)</f>
        <v>50</v>
      </c>
      <c r="L2257" s="139"/>
      <c r="M2257" s="139"/>
      <c r="N2257" s="139"/>
    </row>
    <row r="2258">
      <c r="A2258" s="139" t="str">
        <f>IFERROR(__xludf.DUMMYFUNCTION("""COMPUTED_VALUE"""),"e")</f>
        <v>e</v>
      </c>
      <c r="B2258" s="139">
        <f>IFERROR(__xludf.DUMMYFUNCTION("""COMPUTED_VALUE"""),2.0251002E8)</f>
        <v>202510020</v>
      </c>
      <c r="C2258" s="139" t="str">
        <f>IFERROR(__xludf.DUMMYFUNCTION("""COMPUTED_VALUE"""),"c_dan_00001_savage_Normal_Yellow_Normal_00000")</f>
        <v>c_dan_00001_savage_Normal_Yellow_Normal_00000</v>
      </c>
      <c r="D2258" s="139" t="str">
        <f>IFERROR(__xludf.DUMMYFUNCTION("""COMPUTED_VALUE"""),"c_dan_00001_savage_Normal_Yellow")</f>
        <v>c_dan_00001_savage_Normal_Yellow</v>
      </c>
      <c r="E2258" s="139">
        <f>IFERROR(__xludf.DUMMYFUNCTION("""COMPUTED_VALUE"""),0.0)</f>
        <v>0</v>
      </c>
      <c r="F2258" s="139" t="str">
        <f>IFERROR(__xludf.DUMMYFUNCTION("""COMPUTED_VALUE"""),"Normal")</f>
        <v>Normal</v>
      </c>
      <c r="G2258" s="139"/>
      <c r="H2258" s="139"/>
      <c r="I2258" s="139">
        <f>IFERROR(__xludf.DUMMYFUNCTION("""COMPUTED_VALUE"""),72.0)</f>
        <v>72</v>
      </c>
      <c r="J2258" s="139">
        <f>IFERROR(__xludf.DUMMYFUNCTION("""COMPUTED_VALUE"""),27.0)</f>
        <v>27</v>
      </c>
      <c r="K2258" s="139">
        <f>IFERROR(__xludf.DUMMYFUNCTION("""COMPUTED_VALUE"""),90.0)</f>
        <v>90</v>
      </c>
      <c r="L2258" s="139"/>
      <c r="M2258" s="139"/>
      <c r="N2258" s="139"/>
    </row>
    <row r="2259">
      <c r="A2259" s="139" t="str">
        <f>IFERROR(__xludf.DUMMYFUNCTION("""COMPUTED_VALUE"""),"e")</f>
        <v>e</v>
      </c>
      <c r="B2259" s="139">
        <f>IFERROR(__xludf.DUMMYFUNCTION("""COMPUTED_VALUE"""),2.0251002E8)</f>
        <v>202510020</v>
      </c>
      <c r="C2259" s="139" t="str">
        <f>IFERROR(__xludf.DUMMYFUNCTION("""COMPUTED_VALUE"""),"c_dan_00001_savage_Normal_Yellow_Special_00001")</f>
        <v>c_dan_00001_savage_Normal_Yellow_Special_00001</v>
      </c>
      <c r="D2259" s="139" t="str">
        <f>IFERROR(__xludf.DUMMYFUNCTION("""COMPUTED_VALUE"""),"c_dan_00001_savage_Normal_Yellow")</f>
        <v>c_dan_00001_savage_Normal_Yellow</v>
      </c>
      <c r="E2259" s="139">
        <f>IFERROR(__xludf.DUMMYFUNCTION("""COMPUTED_VALUE"""),0.0)</f>
        <v>0</v>
      </c>
      <c r="F2259" s="139" t="str">
        <f>IFERROR(__xludf.DUMMYFUNCTION("""COMPUTED_VALUE"""),"Special")</f>
        <v>Special</v>
      </c>
      <c r="G2259" s="139"/>
      <c r="H2259" s="139"/>
      <c r="I2259" s="139">
        <f>IFERROR(__xludf.DUMMYFUNCTION("""COMPUTED_VALUE"""),200.0)</f>
        <v>200</v>
      </c>
      <c r="J2259" s="139">
        <f>IFERROR(__xludf.DUMMYFUNCTION("""COMPUTED_VALUE"""),83.0)</f>
        <v>83</v>
      </c>
      <c r="K2259" s="139">
        <f>IFERROR(__xludf.DUMMYFUNCTION("""COMPUTED_VALUE"""),0.0)</f>
        <v>0</v>
      </c>
      <c r="L2259" s="139"/>
      <c r="M2259" s="139"/>
      <c r="N2259" s="139"/>
    </row>
    <row r="2260">
      <c r="A2260" s="139" t="str">
        <f>IFERROR(__xludf.DUMMYFUNCTION("""COMPUTED_VALUE"""),"e")</f>
        <v>e</v>
      </c>
      <c r="B2260" s="139">
        <f>IFERROR(__xludf.DUMMYFUNCTION("""COMPUTED_VALUE"""),2.0251002E8)</f>
        <v>202510020</v>
      </c>
      <c r="C2260" s="139" t="str">
        <f>IFERROR(__xludf.DUMMYFUNCTION("""COMPUTED_VALUE"""),"e_glo_00001_dan1_advent_Normal_Colorless_Normal_00000")</f>
        <v>e_glo_00001_dan1_advent_Normal_Colorless_Normal_00000</v>
      </c>
      <c r="D2260" s="139" t="str">
        <f>IFERROR(__xludf.DUMMYFUNCTION("""COMPUTED_VALUE"""),"e_glo_00001_dan1_advent_Normal_Colorless")</f>
        <v>e_glo_00001_dan1_advent_Normal_Colorless</v>
      </c>
      <c r="E2260" s="139">
        <f>IFERROR(__xludf.DUMMYFUNCTION("""COMPUTED_VALUE"""),0.0)</f>
        <v>0</v>
      </c>
      <c r="F2260" s="139" t="str">
        <f>IFERROR(__xludf.DUMMYFUNCTION("""COMPUTED_VALUE"""),"Normal")</f>
        <v>Normal</v>
      </c>
      <c r="G2260" s="139"/>
      <c r="H2260" s="139"/>
      <c r="I2260" s="139">
        <f>IFERROR(__xludf.DUMMYFUNCTION("""COMPUTED_VALUE"""),50.0)</f>
        <v>50</v>
      </c>
      <c r="J2260" s="139">
        <f>IFERROR(__xludf.DUMMYFUNCTION("""COMPUTED_VALUE"""),25.0)</f>
        <v>25</v>
      </c>
      <c r="K2260" s="139">
        <f>IFERROR(__xludf.DUMMYFUNCTION("""COMPUTED_VALUE"""),50.0)</f>
        <v>50</v>
      </c>
      <c r="L2260" s="139"/>
      <c r="M2260" s="139"/>
      <c r="N2260" s="139"/>
    </row>
    <row r="2261">
      <c r="A2261" s="139" t="str">
        <f>IFERROR(__xludf.DUMMYFUNCTION("""COMPUTED_VALUE"""),"e")</f>
        <v>e</v>
      </c>
      <c r="B2261" s="139">
        <f>IFERROR(__xludf.DUMMYFUNCTION("""COMPUTED_VALUE"""),2.0251002E8)</f>
        <v>202510020</v>
      </c>
      <c r="C2261" s="139" t="str">
        <f>IFERROR(__xludf.DUMMYFUNCTION("""COMPUTED_VALUE"""),"e_glo_00001_dan1_advent_Normal_Yellow_Normal_00000")</f>
        <v>e_glo_00001_dan1_advent_Normal_Yellow_Normal_00000</v>
      </c>
      <c r="D2261" s="139" t="str">
        <f>IFERROR(__xludf.DUMMYFUNCTION("""COMPUTED_VALUE"""),"e_glo_00001_dan1_advent_Normal_Yellow")</f>
        <v>e_glo_00001_dan1_advent_Normal_Yellow</v>
      </c>
      <c r="E2261" s="139">
        <f>IFERROR(__xludf.DUMMYFUNCTION("""COMPUTED_VALUE"""),0.0)</f>
        <v>0</v>
      </c>
      <c r="F2261" s="139" t="str">
        <f>IFERROR(__xludf.DUMMYFUNCTION("""COMPUTED_VALUE"""),"Normal")</f>
        <v>Normal</v>
      </c>
      <c r="G2261" s="139"/>
      <c r="H2261" s="139"/>
      <c r="I2261" s="139">
        <f>IFERROR(__xludf.DUMMYFUNCTION("""COMPUTED_VALUE"""),50.0)</f>
        <v>50</v>
      </c>
      <c r="J2261" s="139">
        <f>IFERROR(__xludf.DUMMYFUNCTION("""COMPUTED_VALUE"""),25.0)</f>
        <v>25</v>
      </c>
      <c r="K2261" s="139">
        <f>IFERROR(__xludf.DUMMYFUNCTION("""COMPUTED_VALUE"""),50.0)</f>
        <v>50</v>
      </c>
      <c r="L2261" s="139"/>
      <c r="M2261" s="139"/>
      <c r="N2261" s="139"/>
    </row>
    <row r="2262">
      <c r="A2262" s="139" t="str">
        <f>IFERROR(__xludf.DUMMYFUNCTION("""COMPUTED_VALUE"""),"e")</f>
        <v>e</v>
      </c>
      <c r="B2262" s="139">
        <f>IFERROR(__xludf.DUMMYFUNCTION("""COMPUTED_VALUE"""),2.0251002E8)</f>
        <v>202510020</v>
      </c>
      <c r="C2262" s="139" t="str">
        <f>IFERROR(__xludf.DUMMYFUNCTION("""COMPUTED_VALUE"""),"e_dan_00001_dan1_advent_Normal_Colorless_Normal_00000")</f>
        <v>e_dan_00001_dan1_advent_Normal_Colorless_Normal_00000</v>
      </c>
      <c r="D2262" s="139" t="str">
        <f>IFERROR(__xludf.DUMMYFUNCTION("""COMPUTED_VALUE"""),"e_dan_00001_dan1_advent_Normal_Colorless")</f>
        <v>e_dan_00001_dan1_advent_Normal_Colorless</v>
      </c>
      <c r="E2262" s="139">
        <f>IFERROR(__xludf.DUMMYFUNCTION("""COMPUTED_VALUE"""),0.0)</f>
        <v>0</v>
      </c>
      <c r="F2262" s="139" t="str">
        <f>IFERROR(__xludf.DUMMYFUNCTION("""COMPUTED_VALUE"""),"Normal")</f>
        <v>Normal</v>
      </c>
      <c r="G2262" s="139"/>
      <c r="H2262" s="139"/>
      <c r="I2262" s="139">
        <f>IFERROR(__xludf.DUMMYFUNCTION("""COMPUTED_VALUE"""),50.0)</f>
        <v>50</v>
      </c>
      <c r="J2262" s="139">
        <f>IFERROR(__xludf.DUMMYFUNCTION("""COMPUTED_VALUE"""),25.0)</f>
        <v>25</v>
      </c>
      <c r="K2262" s="139">
        <f>IFERROR(__xludf.DUMMYFUNCTION("""COMPUTED_VALUE"""),50.0)</f>
        <v>50</v>
      </c>
      <c r="L2262" s="139"/>
      <c r="M2262" s="139"/>
      <c r="N2262" s="139"/>
    </row>
    <row r="2263">
      <c r="A2263" s="139" t="str">
        <f>IFERROR(__xludf.DUMMYFUNCTION("""COMPUTED_VALUE"""),"e")</f>
        <v>e</v>
      </c>
      <c r="B2263" s="139">
        <f>IFERROR(__xludf.DUMMYFUNCTION("""COMPUTED_VALUE"""),2.0251002E8)</f>
        <v>202510020</v>
      </c>
      <c r="C2263" s="139" t="str">
        <f>IFERROR(__xludf.DUMMYFUNCTION("""COMPUTED_VALUE"""),"e_dan_00001_dan1_advent_Boss_Colorless_Normal_00000")</f>
        <v>e_dan_00001_dan1_advent_Boss_Colorless_Normal_00000</v>
      </c>
      <c r="D2263" s="139" t="str">
        <f>IFERROR(__xludf.DUMMYFUNCTION("""COMPUTED_VALUE"""),"e_dan_00001_dan1_advent_Boss_Colorless")</f>
        <v>e_dan_00001_dan1_advent_Boss_Colorless</v>
      </c>
      <c r="E2263" s="139">
        <f>IFERROR(__xludf.DUMMYFUNCTION("""COMPUTED_VALUE"""),0.0)</f>
        <v>0</v>
      </c>
      <c r="F2263" s="139" t="str">
        <f>IFERROR(__xludf.DUMMYFUNCTION("""COMPUTED_VALUE"""),"Normal")</f>
        <v>Normal</v>
      </c>
      <c r="G2263" s="139"/>
      <c r="H2263" s="139"/>
      <c r="I2263" s="139">
        <f>IFERROR(__xludf.DUMMYFUNCTION("""COMPUTED_VALUE"""),50.0)</f>
        <v>50</v>
      </c>
      <c r="J2263" s="139">
        <f>IFERROR(__xludf.DUMMYFUNCTION("""COMPUTED_VALUE"""),25.0)</f>
        <v>25</v>
      </c>
      <c r="K2263" s="139">
        <f>IFERROR(__xludf.DUMMYFUNCTION("""COMPUTED_VALUE"""),40.0)</f>
        <v>40</v>
      </c>
      <c r="L2263" s="139"/>
      <c r="M2263" s="139"/>
      <c r="N2263" s="139"/>
    </row>
    <row r="2264">
      <c r="A2264" s="139" t="str">
        <f>IFERROR(__xludf.DUMMYFUNCTION("""COMPUTED_VALUE"""),"e")</f>
        <v>e</v>
      </c>
      <c r="B2264" s="139">
        <f>IFERROR(__xludf.DUMMYFUNCTION("""COMPUTED_VALUE"""),2.0251002E8)</f>
        <v>202510020</v>
      </c>
      <c r="C2264" s="139" t="str">
        <f>IFERROR(__xludf.DUMMYFUNCTION("""COMPUTED_VALUE"""),"e_dan_00001_dan1_advent_Boss_Colorless_Appearance_00001")</f>
        <v>e_dan_00001_dan1_advent_Boss_Colorless_Appearance_00001</v>
      </c>
      <c r="D2264" s="139" t="str">
        <f>IFERROR(__xludf.DUMMYFUNCTION("""COMPUTED_VALUE"""),"e_dan_00001_dan1_advent_Boss_Colorless")</f>
        <v>e_dan_00001_dan1_advent_Boss_Colorless</v>
      </c>
      <c r="E2264" s="139">
        <f>IFERROR(__xludf.DUMMYFUNCTION("""COMPUTED_VALUE"""),0.0)</f>
        <v>0</v>
      </c>
      <c r="F2264" s="139" t="str">
        <f>IFERROR(__xludf.DUMMYFUNCTION("""COMPUTED_VALUE"""),"Appearance")</f>
        <v>Appearance</v>
      </c>
      <c r="G2264" s="139"/>
      <c r="H2264" s="139"/>
      <c r="I2264" s="139">
        <f>IFERROR(__xludf.DUMMYFUNCTION("""COMPUTED_VALUE"""),50.0)</f>
        <v>50</v>
      </c>
      <c r="J2264" s="139">
        <f>IFERROR(__xludf.DUMMYFUNCTION("""COMPUTED_VALUE"""),0.0)</f>
        <v>0</v>
      </c>
      <c r="K2264" s="139">
        <f>IFERROR(__xludf.DUMMYFUNCTION("""COMPUTED_VALUE"""),0.0)</f>
        <v>0</v>
      </c>
      <c r="L2264" s="139"/>
      <c r="M2264" s="139"/>
      <c r="N2264" s="139"/>
    </row>
    <row r="2265">
      <c r="A2265" s="139" t="str">
        <f>IFERROR(__xludf.DUMMYFUNCTION("""COMPUTED_VALUE"""),"e")</f>
        <v>e</v>
      </c>
      <c r="B2265" s="139">
        <f>IFERROR(__xludf.DUMMYFUNCTION("""COMPUTED_VALUE"""),2.0251002E8)</f>
        <v>202510020</v>
      </c>
      <c r="C2265" s="139" t="str">
        <f>IFERROR(__xludf.DUMMYFUNCTION("""COMPUTED_VALUE"""),"e_dan_00001_dan1_advent_trans1_Boss_Colorless_Normal_00000")</f>
        <v>e_dan_00001_dan1_advent_trans1_Boss_Colorless_Normal_00000</v>
      </c>
      <c r="D2265" s="139" t="str">
        <f>IFERROR(__xludf.DUMMYFUNCTION("""COMPUTED_VALUE"""),"e_dan_00001_dan1_advent_trans1_Boss_Colorless")</f>
        <v>e_dan_00001_dan1_advent_trans1_Boss_Colorless</v>
      </c>
      <c r="E2265" s="139">
        <f>IFERROR(__xludf.DUMMYFUNCTION("""COMPUTED_VALUE"""),0.0)</f>
        <v>0</v>
      </c>
      <c r="F2265" s="139" t="str">
        <f>IFERROR(__xludf.DUMMYFUNCTION("""COMPUTED_VALUE"""),"Normal")</f>
        <v>Normal</v>
      </c>
      <c r="G2265" s="139"/>
      <c r="H2265" s="139"/>
      <c r="I2265" s="139">
        <f>IFERROR(__xludf.DUMMYFUNCTION("""COMPUTED_VALUE"""),50.0)</f>
        <v>50</v>
      </c>
      <c r="J2265" s="139">
        <f>IFERROR(__xludf.DUMMYFUNCTION("""COMPUTED_VALUE"""),25.0)</f>
        <v>25</v>
      </c>
      <c r="K2265" s="139">
        <f>IFERROR(__xludf.DUMMYFUNCTION("""COMPUTED_VALUE"""),40.0)</f>
        <v>40</v>
      </c>
      <c r="L2265" s="139"/>
      <c r="M2265" s="139"/>
      <c r="N2265" s="139"/>
    </row>
    <row r="2266">
      <c r="A2266" s="139" t="str">
        <f>IFERROR(__xludf.DUMMYFUNCTION("""COMPUTED_VALUE"""),"e")</f>
        <v>e</v>
      </c>
      <c r="B2266" s="139">
        <f>IFERROR(__xludf.DUMMYFUNCTION("""COMPUTED_VALUE"""),2.0251002E8)</f>
        <v>202510020</v>
      </c>
      <c r="C2266" s="139" t="str">
        <f>IFERROR(__xludf.DUMMYFUNCTION("""COMPUTED_VALUE"""),"e_dan_00001_dan1_advent_trans1_Boss_Colorless_Appearance_00001")</f>
        <v>e_dan_00001_dan1_advent_trans1_Boss_Colorless_Appearance_00001</v>
      </c>
      <c r="D2266" s="139" t="str">
        <f>IFERROR(__xludf.DUMMYFUNCTION("""COMPUTED_VALUE"""),"e_dan_00001_dan1_advent_trans1_Boss_Colorless")</f>
        <v>e_dan_00001_dan1_advent_trans1_Boss_Colorless</v>
      </c>
      <c r="E2266" s="139">
        <f>IFERROR(__xludf.DUMMYFUNCTION("""COMPUTED_VALUE"""),0.0)</f>
        <v>0</v>
      </c>
      <c r="F2266" s="139" t="str">
        <f>IFERROR(__xludf.DUMMYFUNCTION("""COMPUTED_VALUE"""),"Appearance")</f>
        <v>Appearance</v>
      </c>
      <c r="G2266" s="139"/>
      <c r="H2266" s="139"/>
      <c r="I2266" s="139">
        <f>IFERROR(__xludf.DUMMYFUNCTION("""COMPUTED_VALUE"""),50.0)</f>
        <v>50</v>
      </c>
      <c r="J2266" s="139">
        <f>IFERROR(__xludf.DUMMYFUNCTION("""COMPUTED_VALUE"""),0.0)</f>
        <v>0</v>
      </c>
      <c r="K2266" s="139">
        <f>IFERROR(__xludf.DUMMYFUNCTION("""COMPUTED_VALUE"""),0.0)</f>
        <v>0</v>
      </c>
      <c r="L2266" s="139"/>
      <c r="M2266" s="139"/>
      <c r="N2266" s="139"/>
    </row>
    <row r="2267">
      <c r="A2267" s="139" t="str">
        <f>IFERROR(__xludf.DUMMYFUNCTION("""COMPUTED_VALUE"""),"e")</f>
        <v>e</v>
      </c>
      <c r="B2267" s="139">
        <f>IFERROR(__xludf.DUMMYFUNCTION("""COMPUTED_VALUE"""),2.0251002E8)</f>
        <v>202510020</v>
      </c>
      <c r="C2267" s="139" t="str">
        <f>IFERROR(__xludf.DUMMYFUNCTION("""COMPUTED_VALUE"""),"e_dan_00001_dan1_advent_Normal_Yellow_Normal_00000")</f>
        <v>e_dan_00001_dan1_advent_Normal_Yellow_Normal_00000</v>
      </c>
      <c r="D2267" s="139" t="str">
        <f>IFERROR(__xludf.DUMMYFUNCTION("""COMPUTED_VALUE"""),"e_dan_00001_dan1_advent_Normal_Yellow")</f>
        <v>e_dan_00001_dan1_advent_Normal_Yellow</v>
      </c>
      <c r="E2267" s="139">
        <f>IFERROR(__xludf.DUMMYFUNCTION("""COMPUTED_VALUE"""),0.0)</f>
        <v>0</v>
      </c>
      <c r="F2267" s="139" t="str">
        <f>IFERROR(__xludf.DUMMYFUNCTION("""COMPUTED_VALUE"""),"Normal")</f>
        <v>Normal</v>
      </c>
      <c r="G2267" s="139"/>
      <c r="H2267" s="139"/>
      <c r="I2267" s="139">
        <f>IFERROR(__xludf.DUMMYFUNCTION("""COMPUTED_VALUE"""),50.0)</f>
        <v>50</v>
      </c>
      <c r="J2267" s="139">
        <f>IFERROR(__xludf.DUMMYFUNCTION("""COMPUTED_VALUE"""),25.0)</f>
        <v>25</v>
      </c>
      <c r="K2267" s="139">
        <f>IFERROR(__xludf.DUMMYFUNCTION("""COMPUTED_VALUE"""),30.0)</f>
        <v>30</v>
      </c>
      <c r="L2267" s="139"/>
      <c r="M2267" s="139"/>
      <c r="N2267" s="139"/>
    </row>
    <row r="2268">
      <c r="A2268" s="139" t="str">
        <f>IFERROR(__xludf.DUMMYFUNCTION("""COMPUTED_VALUE"""),"e")</f>
        <v>e</v>
      </c>
      <c r="B2268" s="139">
        <f>IFERROR(__xludf.DUMMYFUNCTION("""COMPUTED_VALUE"""),2.0251002E8)</f>
        <v>202510020</v>
      </c>
      <c r="C2268" s="139" t="str">
        <f>IFERROR(__xludf.DUMMYFUNCTION("""COMPUTED_VALUE"""),"e_dan_00101_dan1_advent_trans1_Normal_Colorless_Normal_00000")</f>
        <v>e_dan_00101_dan1_advent_trans1_Normal_Colorless_Normal_00000</v>
      </c>
      <c r="D2268" s="139" t="str">
        <f>IFERROR(__xludf.DUMMYFUNCTION("""COMPUTED_VALUE"""),"e_dan_00101_dan1_advent_trans1_Normal_Colorless")</f>
        <v>e_dan_00101_dan1_advent_trans1_Normal_Colorless</v>
      </c>
      <c r="E2268" s="139">
        <f>IFERROR(__xludf.DUMMYFUNCTION("""COMPUTED_VALUE"""),0.0)</f>
        <v>0</v>
      </c>
      <c r="F2268" s="139" t="str">
        <f>IFERROR(__xludf.DUMMYFUNCTION("""COMPUTED_VALUE"""),"Normal")</f>
        <v>Normal</v>
      </c>
      <c r="G2268" s="139"/>
      <c r="H2268" s="139"/>
      <c r="I2268" s="139">
        <f>IFERROR(__xludf.DUMMYFUNCTION("""COMPUTED_VALUE"""),70.0)</f>
        <v>70</v>
      </c>
      <c r="J2268" s="139">
        <f>IFERROR(__xludf.DUMMYFUNCTION("""COMPUTED_VALUE"""),35.0)</f>
        <v>35</v>
      </c>
      <c r="K2268" s="139">
        <f>IFERROR(__xludf.DUMMYFUNCTION("""COMPUTED_VALUE"""),70.0)</f>
        <v>70</v>
      </c>
      <c r="L2268" s="139"/>
      <c r="M2268" s="139"/>
      <c r="N2268" s="139"/>
    </row>
    <row r="2269">
      <c r="A2269" s="139" t="str">
        <f>IFERROR(__xludf.DUMMYFUNCTION("""COMPUTED_VALUE"""),"e")</f>
        <v>e</v>
      </c>
      <c r="B2269" s="139">
        <f>IFERROR(__xludf.DUMMYFUNCTION("""COMPUTED_VALUE"""),2.0251002E8)</f>
        <v>202510020</v>
      </c>
      <c r="C2269" s="139" t="str">
        <f>IFERROR(__xludf.DUMMYFUNCTION("""COMPUTED_VALUE"""),"e_dan_00101_dan1_advent_Boss_Colorless_Normal_00000")</f>
        <v>e_dan_00101_dan1_advent_Boss_Colorless_Normal_00000</v>
      </c>
      <c r="D2269" s="139" t="str">
        <f>IFERROR(__xludf.DUMMYFUNCTION("""COMPUTED_VALUE"""),"e_dan_00101_dan1_advent_Boss_Colorless")</f>
        <v>e_dan_00101_dan1_advent_Boss_Colorless</v>
      </c>
      <c r="E2269" s="139">
        <f>IFERROR(__xludf.DUMMYFUNCTION("""COMPUTED_VALUE"""),0.0)</f>
        <v>0</v>
      </c>
      <c r="F2269" s="139" t="str">
        <f>IFERROR(__xludf.DUMMYFUNCTION("""COMPUTED_VALUE"""),"Normal")</f>
        <v>Normal</v>
      </c>
      <c r="G2269" s="139"/>
      <c r="H2269" s="139"/>
      <c r="I2269" s="139">
        <f>IFERROR(__xludf.DUMMYFUNCTION("""COMPUTED_VALUE"""),70.0)</f>
        <v>70</v>
      </c>
      <c r="J2269" s="139">
        <f>IFERROR(__xludf.DUMMYFUNCTION("""COMPUTED_VALUE"""),35.0)</f>
        <v>35</v>
      </c>
      <c r="K2269" s="139">
        <f>IFERROR(__xludf.DUMMYFUNCTION("""COMPUTED_VALUE"""),100.0)</f>
        <v>100</v>
      </c>
      <c r="L2269" s="139"/>
      <c r="M2269" s="139"/>
      <c r="N2269" s="139"/>
    </row>
    <row r="2270">
      <c r="A2270" s="139" t="str">
        <f>IFERROR(__xludf.DUMMYFUNCTION("""COMPUTED_VALUE"""),"e")</f>
        <v>e</v>
      </c>
      <c r="B2270" s="139">
        <f>IFERROR(__xludf.DUMMYFUNCTION("""COMPUTED_VALUE"""),2.0251002E8)</f>
        <v>202510020</v>
      </c>
      <c r="C2270" s="139" t="str">
        <f>IFERROR(__xludf.DUMMYFUNCTION("""COMPUTED_VALUE"""),"e_dan_00101_dan1_advent_Boss_Colorless_Appearance_00001")</f>
        <v>e_dan_00101_dan1_advent_Boss_Colorless_Appearance_00001</v>
      </c>
      <c r="D2270" s="139" t="str">
        <f>IFERROR(__xludf.DUMMYFUNCTION("""COMPUTED_VALUE"""),"e_dan_00101_dan1_advent_Boss_Colorless")</f>
        <v>e_dan_00101_dan1_advent_Boss_Colorless</v>
      </c>
      <c r="E2270" s="139">
        <f>IFERROR(__xludf.DUMMYFUNCTION("""COMPUTED_VALUE"""),0.0)</f>
        <v>0</v>
      </c>
      <c r="F2270" s="139" t="str">
        <f>IFERROR(__xludf.DUMMYFUNCTION("""COMPUTED_VALUE"""),"Appearance")</f>
        <v>Appearance</v>
      </c>
      <c r="G2270" s="139"/>
      <c r="H2270" s="139"/>
      <c r="I2270" s="139">
        <f>IFERROR(__xludf.DUMMYFUNCTION("""COMPUTED_VALUE"""),50.0)</f>
        <v>50</v>
      </c>
      <c r="J2270" s="139">
        <f>IFERROR(__xludf.DUMMYFUNCTION("""COMPUTED_VALUE"""),0.0)</f>
        <v>0</v>
      </c>
      <c r="K2270" s="139">
        <f>IFERROR(__xludf.DUMMYFUNCTION("""COMPUTED_VALUE"""),0.0)</f>
        <v>0</v>
      </c>
      <c r="L2270" s="139"/>
      <c r="M2270" s="139"/>
      <c r="N2270" s="139"/>
    </row>
    <row r="2271">
      <c r="A2271" s="139" t="str">
        <f>IFERROR(__xludf.DUMMYFUNCTION("""COMPUTED_VALUE"""),"e")</f>
        <v>e</v>
      </c>
      <c r="B2271" s="139">
        <f>IFERROR(__xludf.DUMMYFUNCTION("""COMPUTED_VALUE"""),2.0251002E8)</f>
        <v>202510020</v>
      </c>
      <c r="C2271" s="139" t="str">
        <f>IFERROR(__xludf.DUMMYFUNCTION("""COMPUTED_VALUE"""),"e_dan_00101_dan1_advent_Normal_Yellow_Normal_00000")</f>
        <v>e_dan_00101_dan1_advent_Normal_Yellow_Normal_00000</v>
      </c>
      <c r="D2271" s="139" t="str">
        <f>IFERROR(__xludf.DUMMYFUNCTION("""COMPUTED_VALUE"""),"e_dan_00101_dan1_advent_Normal_Yellow")</f>
        <v>e_dan_00101_dan1_advent_Normal_Yellow</v>
      </c>
      <c r="E2271" s="139">
        <f>IFERROR(__xludf.DUMMYFUNCTION("""COMPUTED_VALUE"""),0.0)</f>
        <v>0</v>
      </c>
      <c r="F2271" s="139" t="str">
        <f>IFERROR(__xludf.DUMMYFUNCTION("""COMPUTED_VALUE"""),"Normal")</f>
        <v>Normal</v>
      </c>
      <c r="G2271" s="139"/>
      <c r="H2271" s="139"/>
      <c r="I2271" s="139">
        <f>IFERROR(__xludf.DUMMYFUNCTION("""COMPUTED_VALUE"""),70.0)</f>
        <v>70</v>
      </c>
      <c r="J2271" s="139">
        <f>IFERROR(__xludf.DUMMYFUNCTION("""COMPUTED_VALUE"""),35.0)</f>
        <v>35</v>
      </c>
      <c r="K2271" s="139">
        <f>IFERROR(__xludf.DUMMYFUNCTION("""COMPUTED_VALUE"""),100.0)</f>
        <v>100</v>
      </c>
      <c r="L2271" s="139"/>
      <c r="M2271" s="139"/>
      <c r="N2271" s="139"/>
    </row>
    <row r="2272">
      <c r="A2272" s="139" t="str">
        <f>IFERROR(__xludf.DUMMYFUNCTION("""COMPUTED_VALUE"""),"e")</f>
        <v>e</v>
      </c>
      <c r="B2272" s="139">
        <f>IFERROR(__xludf.DUMMYFUNCTION("""COMPUTED_VALUE"""),2.0251002E8)</f>
        <v>202510020</v>
      </c>
      <c r="C2272" s="139" t="str">
        <f>IFERROR(__xludf.DUMMYFUNCTION("""COMPUTED_VALUE"""),"e_dan_00101_dan1_advent_Boss_Yellow_Normal_00000")</f>
        <v>e_dan_00101_dan1_advent_Boss_Yellow_Normal_00000</v>
      </c>
      <c r="D2272" s="139" t="str">
        <f>IFERROR(__xludf.DUMMYFUNCTION("""COMPUTED_VALUE"""),"e_dan_00101_dan1_advent_Boss_Yellow")</f>
        <v>e_dan_00101_dan1_advent_Boss_Yellow</v>
      </c>
      <c r="E2272" s="139">
        <f>IFERROR(__xludf.DUMMYFUNCTION("""COMPUTED_VALUE"""),0.0)</f>
        <v>0</v>
      </c>
      <c r="F2272" s="139" t="str">
        <f>IFERROR(__xludf.DUMMYFUNCTION("""COMPUTED_VALUE"""),"Normal")</f>
        <v>Normal</v>
      </c>
      <c r="G2272" s="139"/>
      <c r="H2272" s="139"/>
      <c r="I2272" s="139">
        <f>IFERROR(__xludf.DUMMYFUNCTION("""COMPUTED_VALUE"""),70.0)</f>
        <v>70</v>
      </c>
      <c r="J2272" s="139">
        <f>IFERROR(__xludf.DUMMYFUNCTION("""COMPUTED_VALUE"""),35.0)</f>
        <v>35</v>
      </c>
      <c r="K2272" s="139">
        <f>IFERROR(__xludf.DUMMYFUNCTION("""COMPUTED_VALUE"""),100.0)</f>
        <v>100</v>
      </c>
      <c r="L2272" s="139"/>
      <c r="M2272" s="139"/>
      <c r="N2272" s="139"/>
    </row>
    <row r="2273">
      <c r="A2273" s="139" t="str">
        <f>IFERROR(__xludf.DUMMYFUNCTION("""COMPUTED_VALUE"""),"e")</f>
        <v>e</v>
      </c>
      <c r="B2273" s="139">
        <f>IFERROR(__xludf.DUMMYFUNCTION("""COMPUTED_VALUE"""),2.0251002E8)</f>
        <v>202510020</v>
      </c>
      <c r="C2273" s="139" t="str">
        <f>IFERROR(__xludf.DUMMYFUNCTION("""COMPUTED_VALUE"""),"e_dan_00101_dan1_advent_Boss_Yellow_Appearance_00001")</f>
        <v>e_dan_00101_dan1_advent_Boss_Yellow_Appearance_00001</v>
      </c>
      <c r="D2273" s="139" t="str">
        <f>IFERROR(__xludf.DUMMYFUNCTION("""COMPUTED_VALUE"""),"e_dan_00101_dan1_advent_Boss_Yellow")</f>
        <v>e_dan_00101_dan1_advent_Boss_Yellow</v>
      </c>
      <c r="E2273" s="139">
        <f>IFERROR(__xludf.DUMMYFUNCTION("""COMPUTED_VALUE"""),0.0)</f>
        <v>0</v>
      </c>
      <c r="F2273" s="139" t="str">
        <f>IFERROR(__xludf.DUMMYFUNCTION("""COMPUTED_VALUE"""),"Appearance")</f>
        <v>Appearance</v>
      </c>
      <c r="G2273" s="139"/>
      <c r="H2273" s="139"/>
      <c r="I2273" s="139">
        <f>IFERROR(__xludf.DUMMYFUNCTION("""COMPUTED_VALUE"""),50.0)</f>
        <v>50</v>
      </c>
      <c r="J2273" s="139">
        <f>IFERROR(__xludf.DUMMYFUNCTION("""COMPUTED_VALUE"""),0.0)</f>
        <v>0</v>
      </c>
      <c r="K2273" s="139">
        <f>IFERROR(__xludf.DUMMYFUNCTION("""COMPUTED_VALUE"""),0.0)</f>
        <v>0</v>
      </c>
      <c r="L2273" s="139"/>
      <c r="M2273" s="139"/>
      <c r="N2273" s="139"/>
    </row>
    <row r="2274">
      <c r="A2274" s="139" t="str">
        <f>IFERROR(__xludf.DUMMYFUNCTION("""COMPUTED_VALUE"""),"e")</f>
        <v>e</v>
      </c>
      <c r="B2274" s="139">
        <f>IFERROR(__xludf.DUMMYFUNCTION("""COMPUTED_VALUE"""),2.0251002E8)</f>
        <v>202510020</v>
      </c>
      <c r="C2274" s="139" t="str">
        <f>IFERROR(__xludf.DUMMYFUNCTION("""COMPUTED_VALUE"""),"e_dan_00201_dan1_advent_Boss_Yellow_Normal_00000")</f>
        <v>e_dan_00201_dan1_advent_Boss_Yellow_Normal_00000</v>
      </c>
      <c r="D2274" s="139" t="str">
        <f>IFERROR(__xludf.DUMMYFUNCTION("""COMPUTED_VALUE"""),"e_dan_00201_dan1_advent_Boss_Yellow")</f>
        <v>e_dan_00201_dan1_advent_Boss_Yellow</v>
      </c>
      <c r="E2274" s="139">
        <f>IFERROR(__xludf.DUMMYFUNCTION("""COMPUTED_VALUE"""),0.0)</f>
        <v>0</v>
      </c>
      <c r="F2274" s="139" t="str">
        <f>IFERROR(__xludf.DUMMYFUNCTION("""COMPUTED_VALUE"""),"Normal")</f>
        <v>Normal</v>
      </c>
      <c r="G2274" s="139"/>
      <c r="H2274" s="139"/>
      <c r="I2274" s="139">
        <f>IFERROR(__xludf.DUMMYFUNCTION("""COMPUTED_VALUE"""),75.0)</f>
        <v>75</v>
      </c>
      <c r="J2274" s="139">
        <f>IFERROR(__xludf.DUMMYFUNCTION("""COMPUTED_VALUE"""),20.0)</f>
        <v>20</v>
      </c>
      <c r="K2274" s="139">
        <f>IFERROR(__xludf.DUMMYFUNCTION("""COMPUTED_VALUE"""),25.0)</f>
        <v>25</v>
      </c>
      <c r="L2274" s="139"/>
      <c r="M2274" s="139"/>
      <c r="N2274" s="139"/>
    </row>
    <row r="2275">
      <c r="A2275" s="139" t="str">
        <f>IFERROR(__xludf.DUMMYFUNCTION("""COMPUTED_VALUE"""),"e")</f>
        <v>e</v>
      </c>
      <c r="B2275" s="139">
        <f>IFERROR(__xludf.DUMMYFUNCTION("""COMPUTED_VALUE"""),2.0251002E8)</f>
        <v>202510020</v>
      </c>
      <c r="C2275" s="139" t="str">
        <f>IFERROR(__xludf.DUMMYFUNCTION("""COMPUTED_VALUE"""),"e_dan_00201_dan1_advent_Boss_Yellow_Appearance_00001")</f>
        <v>e_dan_00201_dan1_advent_Boss_Yellow_Appearance_00001</v>
      </c>
      <c r="D2275" s="139" t="str">
        <f>IFERROR(__xludf.DUMMYFUNCTION("""COMPUTED_VALUE"""),"e_dan_00201_dan1_advent_Boss_Yellow")</f>
        <v>e_dan_00201_dan1_advent_Boss_Yellow</v>
      </c>
      <c r="E2275" s="139">
        <f>IFERROR(__xludf.DUMMYFUNCTION("""COMPUTED_VALUE"""),0.0)</f>
        <v>0</v>
      </c>
      <c r="F2275" s="139" t="str">
        <f>IFERROR(__xludf.DUMMYFUNCTION("""COMPUTED_VALUE"""),"Appearance")</f>
        <v>Appearance</v>
      </c>
      <c r="G2275" s="139"/>
      <c r="H2275" s="139"/>
      <c r="I2275" s="139">
        <f>IFERROR(__xludf.DUMMYFUNCTION("""COMPUTED_VALUE"""),50.0)</f>
        <v>50</v>
      </c>
      <c r="J2275" s="139">
        <f>IFERROR(__xludf.DUMMYFUNCTION("""COMPUTED_VALUE"""),0.0)</f>
        <v>0</v>
      </c>
      <c r="K2275" s="139">
        <f>IFERROR(__xludf.DUMMYFUNCTION("""COMPUTED_VALUE"""),0.0)</f>
        <v>0</v>
      </c>
      <c r="L2275" s="139"/>
      <c r="M2275" s="139"/>
      <c r="N2275" s="139"/>
    </row>
    <row r="2276">
      <c r="A2276" s="139" t="str">
        <f>IFERROR(__xludf.DUMMYFUNCTION("""COMPUTED_VALUE"""),"e")</f>
        <v>e</v>
      </c>
      <c r="B2276" s="139">
        <f>IFERROR(__xludf.DUMMYFUNCTION("""COMPUTED_VALUE"""),2.0251002E8)</f>
        <v>202510020</v>
      </c>
      <c r="C2276" s="139" t="str">
        <f>IFERROR(__xludf.DUMMYFUNCTION("""COMPUTED_VALUE"""),"e_dan_00301_dan1_advent_Boss_Yellow_Normal_00000")</f>
        <v>e_dan_00301_dan1_advent_Boss_Yellow_Normal_00000</v>
      </c>
      <c r="D2276" s="139" t="str">
        <f>IFERROR(__xludf.DUMMYFUNCTION("""COMPUTED_VALUE"""),"e_dan_00301_dan1_advent_Boss_Yellow")</f>
        <v>e_dan_00301_dan1_advent_Boss_Yellow</v>
      </c>
      <c r="E2276" s="139">
        <f>IFERROR(__xludf.DUMMYFUNCTION("""COMPUTED_VALUE"""),0.0)</f>
        <v>0</v>
      </c>
      <c r="F2276" s="139" t="str">
        <f>IFERROR(__xludf.DUMMYFUNCTION("""COMPUTED_VALUE"""),"Normal")</f>
        <v>Normal</v>
      </c>
      <c r="G2276" s="139"/>
      <c r="H2276" s="139"/>
      <c r="I2276" s="139">
        <f>IFERROR(__xludf.DUMMYFUNCTION("""COMPUTED_VALUE"""),60.0)</f>
        <v>60</v>
      </c>
      <c r="J2276" s="139">
        <f>IFERROR(__xludf.DUMMYFUNCTION("""COMPUTED_VALUE"""),14.0)</f>
        <v>14</v>
      </c>
      <c r="K2276" s="139">
        <f>IFERROR(__xludf.DUMMYFUNCTION("""COMPUTED_VALUE"""),80.0)</f>
        <v>80</v>
      </c>
      <c r="L2276" s="139"/>
      <c r="M2276" s="139"/>
      <c r="N2276" s="139"/>
    </row>
    <row r="2277">
      <c r="A2277" s="139" t="str">
        <f>IFERROR(__xludf.DUMMYFUNCTION("""COMPUTED_VALUE"""),"e")</f>
        <v>e</v>
      </c>
      <c r="B2277" s="139">
        <f>IFERROR(__xludf.DUMMYFUNCTION("""COMPUTED_VALUE"""),2.0251002E8)</f>
        <v>202510020</v>
      </c>
      <c r="C2277" s="139" t="str">
        <f>IFERROR(__xludf.DUMMYFUNCTION("""COMPUTED_VALUE"""),"e_dan_00301_dan1_advent_Boss_Yellow_Appearance_00001")</f>
        <v>e_dan_00301_dan1_advent_Boss_Yellow_Appearance_00001</v>
      </c>
      <c r="D2277" s="139" t="str">
        <f>IFERROR(__xludf.DUMMYFUNCTION("""COMPUTED_VALUE"""),"e_dan_00301_dan1_advent_Boss_Yellow")</f>
        <v>e_dan_00301_dan1_advent_Boss_Yellow</v>
      </c>
      <c r="E2277" s="139">
        <f>IFERROR(__xludf.DUMMYFUNCTION("""COMPUTED_VALUE"""),0.0)</f>
        <v>0</v>
      </c>
      <c r="F2277" s="139" t="str">
        <f>IFERROR(__xludf.DUMMYFUNCTION("""COMPUTED_VALUE"""),"Appearance")</f>
        <v>Appearance</v>
      </c>
      <c r="G2277" s="139"/>
      <c r="H2277" s="139"/>
      <c r="I2277" s="139">
        <f>IFERROR(__xludf.DUMMYFUNCTION("""COMPUTED_VALUE"""),50.0)</f>
        <v>50</v>
      </c>
      <c r="J2277" s="139">
        <f>IFERROR(__xludf.DUMMYFUNCTION("""COMPUTED_VALUE"""),0.0)</f>
        <v>0</v>
      </c>
      <c r="K2277" s="139">
        <f>IFERROR(__xludf.DUMMYFUNCTION("""COMPUTED_VALUE"""),0.0)</f>
        <v>0</v>
      </c>
      <c r="L2277" s="139"/>
      <c r="M2277" s="139"/>
      <c r="N2277" s="139"/>
    </row>
    <row r="2278">
      <c r="A2278" s="139"/>
      <c r="B2278" s="139"/>
      <c r="C2278" s="139"/>
      <c r="D2278" s="139"/>
      <c r="E2278" s="139"/>
      <c r="F2278" s="139"/>
      <c r="G2278" s="139"/>
      <c r="H2278" s="139"/>
      <c r="I2278" s="139"/>
      <c r="J2278" s="139"/>
      <c r="K2278" s="139"/>
      <c r="L2278" s="139"/>
      <c r="M2278" s="139"/>
      <c r="N2278" s="139"/>
    </row>
    <row r="2279">
      <c r="A2279" s="139" t="str">
        <f>IFERROR(__xludf.DUMMYFUNCTION("""COMPUTED_VALUE"""),"e")</f>
        <v>e</v>
      </c>
      <c r="B2279" s="139">
        <f>IFERROR(__xludf.DUMMYFUNCTION("""COMPUTED_VALUE"""),2.0251101E8)</f>
        <v>202511010</v>
      </c>
      <c r="C2279" s="139" t="str">
        <f>IFERROR(__xludf.DUMMYFUNCTION("""COMPUTED_VALUE"""),"e_mag_00301_1d1c_Normal_Colorless_Normal_00000")</f>
        <v>e_mag_00301_1d1c_Normal_Colorless_Normal_00000</v>
      </c>
      <c r="D2279" s="139" t="str">
        <f>IFERROR(__xludf.DUMMYFUNCTION("""COMPUTED_VALUE"""),"e_mag_00301_1d1c_Normal_Colorless")</f>
        <v>e_mag_00301_1d1c_Normal_Colorless</v>
      </c>
      <c r="E2279" s="139">
        <f>IFERROR(__xludf.DUMMYFUNCTION("""COMPUTED_VALUE"""),0.0)</f>
        <v>0</v>
      </c>
      <c r="F2279" s="139" t="str">
        <f>IFERROR(__xludf.DUMMYFUNCTION("""COMPUTED_VALUE"""),"Normal")</f>
        <v>Normal</v>
      </c>
      <c r="G2279" s="139"/>
      <c r="H2279" s="139"/>
      <c r="I2279" s="139">
        <f>IFERROR(__xludf.DUMMYFUNCTION("""COMPUTED_VALUE"""),75.0)</f>
        <v>75</v>
      </c>
      <c r="J2279" s="139">
        <f>IFERROR(__xludf.DUMMYFUNCTION("""COMPUTED_VALUE"""),37.0)</f>
        <v>37</v>
      </c>
      <c r="K2279" s="139">
        <f>IFERROR(__xludf.DUMMYFUNCTION("""COMPUTED_VALUE"""),100.0)</f>
        <v>100</v>
      </c>
      <c r="L2279" s="139"/>
      <c r="M2279" s="139"/>
      <c r="N2279" s="139"/>
    </row>
    <row r="2280">
      <c r="A2280" s="139" t="str">
        <f>IFERROR(__xludf.DUMMYFUNCTION("""COMPUTED_VALUE"""),"e")</f>
        <v>e</v>
      </c>
      <c r="B2280" s="139">
        <f>IFERROR(__xludf.DUMMYFUNCTION("""COMPUTED_VALUE"""),2.0251101E8)</f>
        <v>202511010</v>
      </c>
      <c r="C2280" s="139" t="str">
        <f>IFERROR(__xludf.DUMMYFUNCTION("""COMPUTED_VALUE"""),"e_mag_00301_siget_Normal_Colorless_Normal_00000")</f>
        <v>e_mag_00301_siget_Normal_Colorless_Normal_00000</v>
      </c>
      <c r="D2280" s="139" t="str">
        <f>IFERROR(__xludf.DUMMYFUNCTION("""COMPUTED_VALUE"""),"e_mag_00301_siget_Normal_Colorless")</f>
        <v>e_mag_00301_siget_Normal_Colorless</v>
      </c>
      <c r="E2280" s="139">
        <f>IFERROR(__xludf.DUMMYFUNCTION("""COMPUTED_VALUE"""),0.0)</f>
        <v>0</v>
      </c>
      <c r="F2280" s="139" t="str">
        <f>IFERROR(__xludf.DUMMYFUNCTION("""COMPUTED_VALUE"""),"Normal")</f>
        <v>Normal</v>
      </c>
      <c r="G2280" s="139"/>
      <c r="H2280" s="139"/>
      <c r="I2280" s="139">
        <f>IFERROR(__xludf.DUMMYFUNCTION("""COMPUTED_VALUE"""),75.0)</f>
        <v>75</v>
      </c>
      <c r="J2280" s="139">
        <f>IFERROR(__xludf.DUMMYFUNCTION("""COMPUTED_VALUE"""),37.0)</f>
        <v>37</v>
      </c>
      <c r="K2280" s="139">
        <f>IFERROR(__xludf.DUMMYFUNCTION("""COMPUTED_VALUE"""),75.0)</f>
        <v>75</v>
      </c>
      <c r="L2280" s="139"/>
      <c r="M2280" s="139"/>
      <c r="N2280" s="139"/>
    </row>
    <row r="2281">
      <c r="A2281" s="139" t="str">
        <f>IFERROR(__xludf.DUMMYFUNCTION("""COMPUTED_VALUE"""),"e")</f>
        <v>e</v>
      </c>
      <c r="B2281" s="139">
        <f>IFERROR(__xludf.DUMMYFUNCTION("""COMPUTED_VALUE"""),2.0251101E8)</f>
        <v>202511010</v>
      </c>
      <c r="C2281" s="139" t="str">
        <f>IFERROR(__xludf.DUMMYFUNCTION("""COMPUTED_VALUE"""),"e_mag_00301_siget_Normal_Yellow_Normal_00000")</f>
        <v>e_mag_00301_siget_Normal_Yellow_Normal_00000</v>
      </c>
      <c r="D2281" s="139" t="str">
        <f>IFERROR(__xludf.DUMMYFUNCTION("""COMPUTED_VALUE"""),"e_mag_00301_siget_Normal_Yellow")</f>
        <v>e_mag_00301_siget_Normal_Yellow</v>
      </c>
      <c r="E2281" s="139">
        <f>IFERROR(__xludf.DUMMYFUNCTION("""COMPUTED_VALUE"""),0.0)</f>
        <v>0</v>
      </c>
      <c r="F2281" s="139" t="str">
        <f>IFERROR(__xludf.DUMMYFUNCTION("""COMPUTED_VALUE"""),"Normal")</f>
        <v>Normal</v>
      </c>
      <c r="G2281" s="139"/>
      <c r="H2281" s="139"/>
      <c r="I2281" s="139">
        <f>IFERROR(__xludf.DUMMYFUNCTION("""COMPUTED_VALUE"""),75.0)</f>
        <v>75</v>
      </c>
      <c r="J2281" s="139">
        <f>IFERROR(__xludf.DUMMYFUNCTION("""COMPUTED_VALUE"""),37.0)</f>
        <v>37</v>
      </c>
      <c r="K2281" s="139">
        <f>IFERROR(__xludf.DUMMYFUNCTION("""COMPUTED_VALUE"""),50.0)</f>
        <v>50</v>
      </c>
      <c r="L2281" s="139"/>
      <c r="M2281" s="139"/>
      <c r="N2281" s="139"/>
    </row>
    <row r="2282">
      <c r="A2282" s="139" t="str">
        <f>IFERROR(__xludf.DUMMYFUNCTION("""COMPUTED_VALUE"""),"e")</f>
        <v>e</v>
      </c>
      <c r="B2282" s="139">
        <f>IFERROR(__xludf.DUMMYFUNCTION("""COMPUTED_VALUE"""),2.0251101E8)</f>
        <v>202511010</v>
      </c>
      <c r="C2282" s="139" t="str">
        <f>IFERROR(__xludf.DUMMYFUNCTION("""COMPUTED_VALUE"""),"e_mag_00201_siget_Boss_Colorless_Normal_00000")</f>
        <v>e_mag_00201_siget_Boss_Colorless_Normal_00000</v>
      </c>
      <c r="D2282" s="139" t="str">
        <f>IFERROR(__xludf.DUMMYFUNCTION("""COMPUTED_VALUE"""),"e_mag_00201_siget_Boss_Colorless")</f>
        <v>e_mag_00201_siget_Boss_Colorless</v>
      </c>
      <c r="E2282" s="139">
        <f>IFERROR(__xludf.DUMMYFUNCTION("""COMPUTED_VALUE"""),0.0)</f>
        <v>0</v>
      </c>
      <c r="F2282" s="139" t="str">
        <f>IFERROR(__xludf.DUMMYFUNCTION("""COMPUTED_VALUE"""),"Normal")</f>
        <v>Normal</v>
      </c>
      <c r="G2282" s="139"/>
      <c r="H2282" s="139"/>
      <c r="I2282" s="139">
        <f>IFERROR(__xludf.DUMMYFUNCTION("""COMPUTED_VALUE"""),75.0)</f>
        <v>75</v>
      </c>
      <c r="J2282" s="139">
        <f>IFERROR(__xludf.DUMMYFUNCTION("""COMPUTED_VALUE"""),37.0)</f>
        <v>37</v>
      </c>
      <c r="K2282" s="139">
        <f>IFERROR(__xludf.DUMMYFUNCTION("""COMPUTED_VALUE"""),90.0)</f>
        <v>90</v>
      </c>
      <c r="L2282" s="139"/>
      <c r="M2282" s="139"/>
      <c r="N2282" s="139"/>
    </row>
    <row r="2283">
      <c r="A2283" s="139" t="str">
        <f>IFERROR(__xludf.DUMMYFUNCTION("""COMPUTED_VALUE"""),"e")</f>
        <v>e</v>
      </c>
      <c r="B2283" s="139">
        <f>IFERROR(__xludf.DUMMYFUNCTION("""COMPUTED_VALUE"""),2.0251101E8)</f>
        <v>202511010</v>
      </c>
      <c r="C2283" s="139" t="str">
        <f>IFERROR(__xludf.DUMMYFUNCTION("""COMPUTED_VALUE"""),"e_mag_00201_siget_Boss_Colorless_Appearance_00001")</f>
        <v>e_mag_00201_siget_Boss_Colorless_Appearance_00001</v>
      </c>
      <c r="D2283" s="139" t="str">
        <f>IFERROR(__xludf.DUMMYFUNCTION("""COMPUTED_VALUE"""),"e_mag_00201_siget_Boss_Colorless")</f>
        <v>e_mag_00201_siget_Boss_Colorless</v>
      </c>
      <c r="E2283" s="139">
        <f>IFERROR(__xludf.DUMMYFUNCTION("""COMPUTED_VALUE"""),0.0)</f>
        <v>0</v>
      </c>
      <c r="F2283" s="139" t="str">
        <f>IFERROR(__xludf.DUMMYFUNCTION("""COMPUTED_VALUE"""),"Appearance")</f>
        <v>Appearance</v>
      </c>
      <c r="G2283" s="139"/>
      <c r="H2283" s="139"/>
      <c r="I2283" s="139">
        <f>IFERROR(__xludf.DUMMYFUNCTION("""COMPUTED_VALUE"""),50.0)</f>
        <v>50</v>
      </c>
      <c r="J2283" s="139">
        <f>IFERROR(__xludf.DUMMYFUNCTION("""COMPUTED_VALUE"""),0.0)</f>
        <v>0</v>
      </c>
      <c r="K2283" s="139">
        <f>IFERROR(__xludf.DUMMYFUNCTION("""COMPUTED_VALUE"""),0.0)</f>
        <v>0</v>
      </c>
      <c r="L2283" s="139"/>
      <c r="M2283" s="139"/>
      <c r="N2283" s="139"/>
    </row>
    <row r="2284">
      <c r="A2284" s="139" t="str">
        <f>IFERROR(__xludf.DUMMYFUNCTION("""COMPUTED_VALUE"""),"e")</f>
        <v>e</v>
      </c>
      <c r="B2284" s="139">
        <f>IFERROR(__xludf.DUMMYFUNCTION("""COMPUTED_VALUE"""),2.0251101E8)</f>
        <v>202511010</v>
      </c>
      <c r="C2284" s="139" t="str">
        <f>IFERROR(__xludf.DUMMYFUNCTION("""COMPUTED_VALUE"""),"c_mag_00301_siget_Boss_Yellow_Normal_00000")</f>
        <v>c_mag_00301_siget_Boss_Yellow_Normal_00000</v>
      </c>
      <c r="D2284" s="139" t="str">
        <f>IFERROR(__xludf.DUMMYFUNCTION("""COMPUTED_VALUE"""),"c_mag_00301_siget_Boss_Yellow")</f>
        <v>c_mag_00301_siget_Boss_Yellow</v>
      </c>
      <c r="E2284" s="139">
        <f>IFERROR(__xludf.DUMMYFUNCTION("""COMPUTED_VALUE"""),0.0)</f>
        <v>0</v>
      </c>
      <c r="F2284" s="139" t="str">
        <f>IFERROR(__xludf.DUMMYFUNCTION("""COMPUTED_VALUE"""),"Normal")</f>
        <v>Normal</v>
      </c>
      <c r="G2284" s="139"/>
      <c r="H2284" s="139"/>
      <c r="I2284" s="139">
        <f>IFERROR(__xludf.DUMMYFUNCTION("""COMPUTED_VALUE"""),80.0)</f>
        <v>80</v>
      </c>
      <c r="J2284" s="139">
        <f>IFERROR(__xludf.DUMMYFUNCTION("""COMPUTED_VALUE"""),30.0)</f>
        <v>30</v>
      </c>
      <c r="K2284" s="139">
        <f>IFERROR(__xludf.DUMMYFUNCTION("""COMPUTED_VALUE"""),60.0)</f>
        <v>60</v>
      </c>
      <c r="L2284" s="139"/>
      <c r="M2284" s="139"/>
      <c r="N2284" s="139"/>
    </row>
    <row r="2285">
      <c r="A2285" s="139" t="str">
        <f>IFERROR(__xludf.DUMMYFUNCTION("""COMPUTED_VALUE"""),"e")</f>
        <v>e</v>
      </c>
      <c r="B2285" s="139">
        <f>IFERROR(__xludf.DUMMYFUNCTION("""COMPUTED_VALUE"""),2.0251101E8)</f>
        <v>202511010</v>
      </c>
      <c r="C2285" s="139" t="str">
        <f>IFERROR(__xludf.DUMMYFUNCTION("""COMPUTED_VALUE"""),"c_mag_00301_siget_Boss_Yellow_Special_00001")</f>
        <v>c_mag_00301_siget_Boss_Yellow_Special_00001</v>
      </c>
      <c r="D2285" s="139" t="str">
        <f>IFERROR(__xludf.DUMMYFUNCTION("""COMPUTED_VALUE"""),"c_mag_00301_siget_Boss_Yellow")</f>
        <v>c_mag_00301_siget_Boss_Yellow</v>
      </c>
      <c r="E2285" s="139">
        <f>IFERROR(__xludf.DUMMYFUNCTION("""COMPUTED_VALUE"""),0.0)</f>
        <v>0</v>
      </c>
      <c r="F2285" s="139" t="str">
        <f>IFERROR(__xludf.DUMMYFUNCTION("""COMPUTED_VALUE"""),"Special")</f>
        <v>Special</v>
      </c>
      <c r="G2285" s="139"/>
      <c r="H2285" s="139"/>
      <c r="I2285" s="139">
        <f>IFERROR(__xludf.DUMMYFUNCTION("""COMPUTED_VALUE"""),125.0)</f>
        <v>125</v>
      </c>
      <c r="J2285" s="139">
        <f>IFERROR(__xludf.DUMMYFUNCTION("""COMPUTED_VALUE"""),50.0)</f>
        <v>50</v>
      </c>
      <c r="K2285" s="139">
        <f>IFERROR(__xludf.DUMMYFUNCTION("""COMPUTED_VALUE"""),0.0)</f>
        <v>0</v>
      </c>
      <c r="L2285" s="139"/>
      <c r="M2285" s="139"/>
      <c r="N2285" s="139"/>
    </row>
    <row r="2286">
      <c r="A2286" s="139" t="str">
        <f>IFERROR(__xludf.DUMMYFUNCTION("""COMPUTED_VALUE"""),"e")</f>
        <v>e</v>
      </c>
      <c r="B2286" s="139">
        <f>IFERROR(__xludf.DUMMYFUNCTION("""COMPUTED_VALUE"""),2.0251101E8)</f>
        <v>202511010</v>
      </c>
      <c r="C2286" s="139" t="str">
        <f>IFERROR(__xludf.DUMMYFUNCTION("""COMPUTED_VALUE"""),"c_mag_00301_siget_Boss_Yellow_Appearance_00002")</f>
        <v>c_mag_00301_siget_Boss_Yellow_Appearance_00002</v>
      </c>
      <c r="D2286" s="139" t="str">
        <f>IFERROR(__xludf.DUMMYFUNCTION("""COMPUTED_VALUE"""),"c_mag_00301_siget_Boss_Yellow")</f>
        <v>c_mag_00301_siget_Boss_Yellow</v>
      </c>
      <c r="E2286" s="139">
        <f>IFERROR(__xludf.DUMMYFUNCTION("""COMPUTED_VALUE"""),0.0)</f>
        <v>0</v>
      </c>
      <c r="F2286" s="139" t="str">
        <f>IFERROR(__xludf.DUMMYFUNCTION("""COMPUTED_VALUE"""),"Appearance")</f>
        <v>Appearance</v>
      </c>
      <c r="G2286" s="139"/>
      <c r="H2286" s="139"/>
      <c r="I2286" s="139">
        <f>IFERROR(__xludf.DUMMYFUNCTION("""COMPUTED_VALUE"""),50.0)</f>
        <v>50</v>
      </c>
      <c r="J2286" s="139">
        <f>IFERROR(__xludf.DUMMYFUNCTION("""COMPUTED_VALUE"""),0.0)</f>
        <v>0</v>
      </c>
      <c r="K2286" s="139">
        <f>IFERROR(__xludf.DUMMYFUNCTION("""COMPUTED_VALUE"""),0.0)</f>
        <v>0</v>
      </c>
      <c r="L2286" s="139"/>
      <c r="M2286" s="139"/>
      <c r="N2286" s="139"/>
    </row>
    <row r="2287">
      <c r="A2287" s="139" t="str">
        <f>IFERROR(__xludf.DUMMYFUNCTION("""COMPUTED_VALUE"""),"e")</f>
        <v>e</v>
      </c>
      <c r="B2287" s="139">
        <f>IFERROR(__xludf.DUMMYFUNCTION("""COMPUTED_VALUE"""),2.0251101E8)</f>
        <v>202511010</v>
      </c>
      <c r="C2287" s="139" t="str">
        <f>IFERROR(__xludf.DUMMYFUNCTION("""COMPUTED_VALUE"""),"e_mag_00401_siget_Boss_Yellow_Normal_00000")</f>
        <v>e_mag_00401_siget_Boss_Yellow_Normal_00000</v>
      </c>
      <c r="D2287" s="139" t="str">
        <f>IFERROR(__xludf.DUMMYFUNCTION("""COMPUTED_VALUE"""),"e_mag_00401_siget_Boss_Yellow")</f>
        <v>e_mag_00401_siget_Boss_Yellow</v>
      </c>
      <c r="E2287" s="139">
        <f>IFERROR(__xludf.DUMMYFUNCTION("""COMPUTED_VALUE"""),0.0)</f>
        <v>0</v>
      </c>
      <c r="F2287" s="139" t="str">
        <f>IFERROR(__xludf.DUMMYFUNCTION("""COMPUTED_VALUE"""),"Normal")</f>
        <v>Normal</v>
      </c>
      <c r="G2287" s="139"/>
      <c r="H2287" s="139"/>
      <c r="I2287" s="139">
        <f>IFERROR(__xludf.DUMMYFUNCTION("""COMPUTED_VALUE"""),84.0)</f>
        <v>84</v>
      </c>
      <c r="J2287" s="139">
        <f>IFERROR(__xludf.DUMMYFUNCTION("""COMPUTED_VALUE"""),42.0)</f>
        <v>42</v>
      </c>
      <c r="K2287" s="139">
        <f>IFERROR(__xludf.DUMMYFUNCTION("""COMPUTED_VALUE"""),25.0)</f>
        <v>25</v>
      </c>
      <c r="L2287" s="139"/>
      <c r="M2287" s="139"/>
      <c r="N2287" s="139"/>
    </row>
    <row r="2288">
      <c r="A2288" s="139" t="str">
        <f>IFERROR(__xludf.DUMMYFUNCTION("""COMPUTED_VALUE"""),"e")</f>
        <v>e</v>
      </c>
      <c r="B2288" s="139">
        <f>IFERROR(__xludf.DUMMYFUNCTION("""COMPUTED_VALUE"""),2.0251101E8)</f>
        <v>202511010</v>
      </c>
      <c r="C2288" s="139" t="str">
        <f>IFERROR(__xludf.DUMMYFUNCTION("""COMPUTED_VALUE"""),"e_mag_00401_siget_Boss_Yellow_Appearance_00001")</f>
        <v>e_mag_00401_siget_Boss_Yellow_Appearance_00001</v>
      </c>
      <c r="D2288" s="139" t="str">
        <f>IFERROR(__xludf.DUMMYFUNCTION("""COMPUTED_VALUE"""),"e_mag_00401_siget_Boss_Yellow")</f>
        <v>e_mag_00401_siget_Boss_Yellow</v>
      </c>
      <c r="E2288" s="139">
        <f>IFERROR(__xludf.DUMMYFUNCTION("""COMPUTED_VALUE"""),0.0)</f>
        <v>0</v>
      </c>
      <c r="F2288" s="139" t="str">
        <f>IFERROR(__xludf.DUMMYFUNCTION("""COMPUTED_VALUE"""),"Appearance")</f>
        <v>Appearance</v>
      </c>
      <c r="G2288" s="139"/>
      <c r="H2288" s="139"/>
      <c r="I2288" s="139">
        <f>IFERROR(__xludf.DUMMYFUNCTION("""COMPUTED_VALUE"""),50.0)</f>
        <v>50</v>
      </c>
      <c r="J2288" s="139">
        <f>IFERROR(__xludf.DUMMYFUNCTION("""COMPUTED_VALUE"""),0.0)</f>
        <v>0</v>
      </c>
      <c r="K2288" s="139">
        <f>IFERROR(__xludf.DUMMYFUNCTION("""COMPUTED_VALUE"""),0.0)</f>
        <v>0</v>
      </c>
      <c r="L2288" s="139"/>
      <c r="M2288" s="139"/>
      <c r="N2288" s="139"/>
    </row>
    <row r="2289">
      <c r="A2289" s="139" t="str">
        <f>IFERROR(__xludf.DUMMYFUNCTION("""COMPUTED_VALUE"""),"e")</f>
        <v>e</v>
      </c>
      <c r="B2289" s="139">
        <f>IFERROR(__xludf.DUMMYFUNCTION("""COMPUTED_VALUE"""),2.0251101E8)</f>
        <v>202511010</v>
      </c>
      <c r="C2289" s="139" t="str">
        <f>IFERROR(__xludf.DUMMYFUNCTION("""COMPUTED_VALUE"""),"e_mag_00301_aknget_Normal_Green_Normal_00000")</f>
        <v>e_mag_00301_aknget_Normal_Green_Normal_00000</v>
      </c>
      <c r="D2289" s="139" t="str">
        <f>IFERROR(__xludf.DUMMYFUNCTION("""COMPUTED_VALUE"""),"e_mag_00301_aknget_Normal_Green")</f>
        <v>e_mag_00301_aknget_Normal_Green</v>
      </c>
      <c r="E2289" s="139">
        <f>IFERROR(__xludf.DUMMYFUNCTION("""COMPUTED_VALUE"""),0.0)</f>
        <v>0</v>
      </c>
      <c r="F2289" s="139" t="str">
        <f>IFERROR(__xludf.DUMMYFUNCTION("""COMPUTED_VALUE"""),"Normal")</f>
        <v>Normal</v>
      </c>
      <c r="G2289" s="139"/>
      <c r="H2289" s="139"/>
      <c r="I2289" s="139">
        <f>IFERROR(__xludf.DUMMYFUNCTION("""COMPUTED_VALUE"""),75.0)</f>
        <v>75</v>
      </c>
      <c r="J2289" s="139">
        <f>IFERROR(__xludf.DUMMYFUNCTION("""COMPUTED_VALUE"""),37.0)</f>
        <v>37</v>
      </c>
      <c r="K2289" s="139">
        <f>IFERROR(__xludf.DUMMYFUNCTION("""COMPUTED_VALUE"""),50.0)</f>
        <v>50</v>
      </c>
      <c r="L2289" s="139"/>
      <c r="M2289" s="139"/>
      <c r="N2289" s="139"/>
    </row>
    <row r="2290">
      <c r="A2290" s="139" t="str">
        <f>IFERROR(__xludf.DUMMYFUNCTION("""COMPUTED_VALUE"""),"e")</f>
        <v>e</v>
      </c>
      <c r="B2290" s="139">
        <f>IFERROR(__xludf.DUMMYFUNCTION("""COMPUTED_VALUE"""),2.0251101E8)</f>
        <v>202511010</v>
      </c>
      <c r="C2290" s="139" t="str">
        <f>IFERROR(__xludf.DUMMYFUNCTION("""COMPUTED_VALUE"""),"e_mag_00201_aknget_Boss_Green_Normal_00000")</f>
        <v>e_mag_00201_aknget_Boss_Green_Normal_00000</v>
      </c>
      <c r="D2290" s="139" t="str">
        <f>IFERROR(__xludf.DUMMYFUNCTION("""COMPUTED_VALUE"""),"e_mag_00201_aknget_Boss_Green")</f>
        <v>e_mag_00201_aknget_Boss_Green</v>
      </c>
      <c r="E2290" s="139">
        <f>IFERROR(__xludf.DUMMYFUNCTION("""COMPUTED_VALUE"""),0.0)</f>
        <v>0</v>
      </c>
      <c r="F2290" s="139" t="str">
        <f>IFERROR(__xludf.DUMMYFUNCTION("""COMPUTED_VALUE"""),"Normal")</f>
        <v>Normal</v>
      </c>
      <c r="G2290" s="139"/>
      <c r="H2290" s="139"/>
      <c r="I2290" s="139">
        <f>IFERROR(__xludf.DUMMYFUNCTION("""COMPUTED_VALUE"""),75.0)</f>
        <v>75</v>
      </c>
      <c r="J2290" s="139">
        <f>IFERROR(__xludf.DUMMYFUNCTION("""COMPUTED_VALUE"""),37.0)</f>
        <v>37</v>
      </c>
      <c r="K2290" s="139">
        <f>IFERROR(__xludf.DUMMYFUNCTION("""COMPUTED_VALUE"""),100.0)</f>
        <v>100</v>
      </c>
      <c r="L2290" s="139"/>
      <c r="M2290" s="139"/>
      <c r="N2290" s="139"/>
    </row>
    <row r="2291">
      <c r="A2291" s="139" t="str">
        <f>IFERROR(__xludf.DUMMYFUNCTION("""COMPUTED_VALUE"""),"e")</f>
        <v>e</v>
      </c>
      <c r="B2291" s="139">
        <f>IFERROR(__xludf.DUMMYFUNCTION("""COMPUTED_VALUE"""),2.0251101E8)</f>
        <v>202511010</v>
      </c>
      <c r="C2291" s="139" t="str">
        <f>IFERROR(__xludf.DUMMYFUNCTION("""COMPUTED_VALUE"""),"e_mag_00201_aknget_Boss_Green_Appearance_00001")</f>
        <v>e_mag_00201_aknget_Boss_Green_Appearance_00001</v>
      </c>
      <c r="D2291" s="139" t="str">
        <f>IFERROR(__xludf.DUMMYFUNCTION("""COMPUTED_VALUE"""),"e_mag_00201_aknget_Boss_Green")</f>
        <v>e_mag_00201_aknget_Boss_Green</v>
      </c>
      <c r="E2291" s="139">
        <f>IFERROR(__xludf.DUMMYFUNCTION("""COMPUTED_VALUE"""),0.0)</f>
        <v>0</v>
      </c>
      <c r="F2291" s="139" t="str">
        <f>IFERROR(__xludf.DUMMYFUNCTION("""COMPUTED_VALUE"""),"Appearance")</f>
        <v>Appearance</v>
      </c>
      <c r="G2291" s="139"/>
      <c r="H2291" s="139"/>
      <c r="I2291" s="139">
        <f>IFERROR(__xludf.DUMMYFUNCTION("""COMPUTED_VALUE"""),50.0)</f>
        <v>50</v>
      </c>
      <c r="J2291" s="139">
        <f>IFERROR(__xludf.DUMMYFUNCTION("""COMPUTED_VALUE"""),0.0)</f>
        <v>0</v>
      </c>
      <c r="K2291" s="139">
        <f>IFERROR(__xludf.DUMMYFUNCTION("""COMPUTED_VALUE"""),0.0)</f>
        <v>0</v>
      </c>
      <c r="L2291" s="139"/>
      <c r="M2291" s="139"/>
      <c r="N2291" s="139"/>
    </row>
    <row r="2292">
      <c r="A2292" s="139" t="str">
        <f>IFERROR(__xludf.DUMMYFUNCTION("""COMPUTED_VALUE"""),"e")</f>
        <v>e</v>
      </c>
      <c r="B2292" s="139">
        <f>IFERROR(__xludf.DUMMYFUNCTION("""COMPUTED_VALUE"""),2.0251101E8)</f>
        <v>202511010</v>
      </c>
      <c r="C2292" s="139" t="str">
        <f>IFERROR(__xludf.DUMMYFUNCTION("""COMPUTED_VALUE"""),"c_mag_00401_aknget_Boss_Green_Normal_00000")</f>
        <v>c_mag_00401_aknget_Boss_Green_Normal_00000</v>
      </c>
      <c r="D2292" s="139" t="str">
        <f>IFERROR(__xludf.DUMMYFUNCTION("""COMPUTED_VALUE"""),"c_mag_00401_aknget_Boss_Green")</f>
        <v>c_mag_00401_aknget_Boss_Green</v>
      </c>
      <c r="E2292" s="139">
        <f>IFERROR(__xludf.DUMMYFUNCTION("""COMPUTED_VALUE"""),0.0)</f>
        <v>0</v>
      </c>
      <c r="F2292" s="139" t="str">
        <f>IFERROR(__xludf.DUMMYFUNCTION("""COMPUTED_VALUE"""),"Normal")</f>
        <v>Normal</v>
      </c>
      <c r="G2292" s="139"/>
      <c r="H2292" s="139"/>
      <c r="I2292" s="139">
        <f>IFERROR(__xludf.DUMMYFUNCTION("""COMPUTED_VALUE"""),66.0)</f>
        <v>66</v>
      </c>
      <c r="J2292" s="139">
        <f>IFERROR(__xludf.DUMMYFUNCTION("""COMPUTED_VALUE"""),30.0)</f>
        <v>30</v>
      </c>
      <c r="K2292" s="139">
        <f>IFERROR(__xludf.DUMMYFUNCTION("""COMPUTED_VALUE"""),50.0)</f>
        <v>50</v>
      </c>
      <c r="L2292" s="139"/>
      <c r="M2292" s="139"/>
      <c r="N2292" s="139"/>
    </row>
    <row r="2293">
      <c r="A2293" s="139" t="str">
        <f>IFERROR(__xludf.DUMMYFUNCTION("""COMPUTED_VALUE"""),"e")</f>
        <v>e</v>
      </c>
      <c r="B2293" s="139">
        <f>IFERROR(__xludf.DUMMYFUNCTION("""COMPUTED_VALUE"""),2.0251101E8)</f>
        <v>202511010</v>
      </c>
      <c r="C2293" s="139" t="str">
        <f>IFERROR(__xludf.DUMMYFUNCTION("""COMPUTED_VALUE"""),"c_mag_00401_aknget_Boss_Green_Special_00001")</f>
        <v>c_mag_00401_aknget_Boss_Green_Special_00001</v>
      </c>
      <c r="D2293" s="139" t="str">
        <f>IFERROR(__xludf.DUMMYFUNCTION("""COMPUTED_VALUE"""),"c_mag_00401_aknget_Boss_Green")</f>
        <v>c_mag_00401_aknget_Boss_Green</v>
      </c>
      <c r="E2293" s="139">
        <f>IFERROR(__xludf.DUMMYFUNCTION("""COMPUTED_VALUE"""),0.0)</f>
        <v>0</v>
      </c>
      <c r="F2293" s="139" t="str">
        <f>IFERROR(__xludf.DUMMYFUNCTION("""COMPUTED_VALUE"""),"Special")</f>
        <v>Special</v>
      </c>
      <c r="G2293" s="139"/>
      <c r="H2293" s="139"/>
      <c r="I2293" s="139">
        <f>IFERROR(__xludf.DUMMYFUNCTION("""COMPUTED_VALUE"""),94.0)</f>
        <v>94</v>
      </c>
      <c r="J2293" s="139">
        <f>IFERROR(__xludf.DUMMYFUNCTION("""COMPUTED_VALUE"""),31.0)</f>
        <v>31</v>
      </c>
      <c r="K2293" s="139">
        <f>IFERROR(__xludf.DUMMYFUNCTION("""COMPUTED_VALUE"""),0.0)</f>
        <v>0</v>
      </c>
      <c r="L2293" s="139"/>
      <c r="M2293" s="139"/>
      <c r="N2293" s="139"/>
    </row>
    <row r="2294">
      <c r="A2294" s="139" t="str">
        <f>IFERROR(__xludf.DUMMYFUNCTION("""COMPUTED_VALUE"""),"e")</f>
        <v>e</v>
      </c>
      <c r="B2294" s="139">
        <f>IFERROR(__xludf.DUMMYFUNCTION("""COMPUTED_VALUE"""),2.0251101E8)</f>
        <v>202511010</v>
      </c>
      <c r="C2294" s="139" t="str">
        <f>IFERROR(__xludf.DUMMYFUNCTION("""COMPUTED_VALUE"""),"c_mag_00401_aknget_Boss_Green_Appearance_00002")</f>
        <v>c_mag_00401_aknget_Boss_Green_Appearance_00002</v>
      </c>
      <c r="D2294" s="139" t="str">
        <f>IFERROR(__xludf.DUMMYFUNCTION("""COMPUTED_VALUE"""),"c_mag_00401_aknget_Boss_Green")</f>
        <v>c_mag_00401_aknget_Boss_Green</v>
      </c>
      <c r="E2294" s="139">
        <f>IFERROR(__xludf.DUMMYFUNCTION("""COMPUTED_VALUE"""),0.0)</f>
        <v>0</v>
      </c>
      <c r="F2294" s="139" t="str">
        <f>IFERROR(__xludf.DUMMYFUNCTION("""COMPUTED_VALUE"""),"Appearance")</f>
        <v>Appearance</v>
      </c>
      <c r="G2294" s="139"/>
      <c r="H2294" s="139"/>
      <c r="I2294" s="139">
        <f>IFERROR(__xludf.DUMMYFUNCTION("""COMPUTED_VALUE"""),50.0)</f>
        <v>50</v>
      </c>
      <c r="J2294" s="139">
        <f>IFERROR(__xludf.DUMMYFUNCTION("""COMPUTED_VALUE"""),0.0)</f>
        <v>0</v>
      </c>
      <c r="K2294" s="139">
        <f>IFERROR(__xludf.DUMMYFUNCTION("""COMPUTED_VALUE"""),0.0)</f>
        <v>0</v>
      </c>
      <c r="L2294" s="139"/>
      <c r="M2294" s="139"/>
      <c r="N2294" s="139"/>
    </row>
    <row r="2295">
      <c r="A2295" s="139" t="str">
        <f>IFERROR(__xludf.DUMMYFUNCTION("""COMPUTED_VALUE"""),"e")</f>
        <v>e</v>
      </c>
      <c r="B2295" s="139">
        <f>IFERROR(__xludf.DUMMYFUNCTION("""COMPUTED_VALUE"""),2.0251101E8)</f>
        <v>202511010</v>
      </c>
      <c r="C2295" s="139" t="str">
        <f>IFERROR(__xludf.DUMMYFUNCTION("""COMPUTED_VALUE"""),"c_mag_00001_challange_Boss_Yellow_Normal_00000")</f>
        <v>c_mag_00001_challange_Boss_Yellow_Normal_00000</v>
      </c>
      <c r="D2295" s="139" t="str">
        <f>IFERROR(__xludf.DUMMYFUNCTION("""COMPUTED_VALUE"""),"c_mag_00001_challange_Boss_Yellow")</f>
        <v>c_mag_00001_challange_Boss_Yellow</v>
      </c>
      <c r="E2295" s="139">
        <f>IFERROR(__xludf.DUMMYFUNCTION("""COMPUTED_VALUE"""),0.0)</f>
        <v>0</v>
      </c>
      <c r="F2295" s="139" t="str">
        <f>IFERROR(__xludf.DUMMYFUNCTION("""COMPUTED_VALUE"""),"Normal")</f>
        <v>Normal</v>
      </c>
      <c r="G2295" s="139"/>
      <c r="H2295" s="139"/>
      <c r="I2295" s="139">
        <f>IFERROR(__xludf.DUMMYFUNCTION("""COMPUTED_VALUE"""),89.0)</f>
        <v>89</v>
      </c>
      <c r="J2295" s="139">
        <f>IFERROR(__xludf.DUMMYFUNCTION("""COMPUTED_VALUE"""),46.0)</f>
        <v>46</v>
      </c>
      <c r="K2295" s="139">
        <f>IFERROR(__xludf.DUMMYFUNCTION("""COMPUTED_VALUE"""),80.0)</f>
        <v>80</v>
      </c>
      <c r="L2295" s="139"/>
      <c r="M2295" s="139"/>
      <c r="N2295" s="139"/>
    </row>
    <row r="2296">
      <c r="A2296" s="139" t="str">
        <f>IFERROR(__xludf.DUMMYFUNCTION("""COMPUTED_VALUE"""),"e")</f>
        <v>e</v>
      </c>
      <c r="B2296" s="139">
        <f>IFERROR(__xludf.DUMMYFUNCTION("""COMPUTED_VALUE"""),2.0251101E8)</f>
        <v>202511010</v>
      </c>
      <c r="C2296" s="139" t="str">
        <f>IFERROR(__xludf.DUMMYFUNCTION("""COMPUTED_VALUE"""),"c_mag_00001_challange_Boss_Yellow_Special_00001")</f>
        <v>c_mag_00001_challange_Boss_Yellow_Special_00001</v>
      </c>
      <c r="D2296" s="139" t="str">
        <f>IFERROR(__xludf.DUMMYFUNCTION("""COMPUTED_VALUE"""),"c_mag_00001_challange_Boss_Yellow")</f>
        <v>c_mag_00001_challange_Boss_Yellow</v>
      </c>
      <c r="E2296" s="139">
        <f>IFERROR(__xludf.DUMMYFUNCTION("""COMPUTED_VALUE"""),0.0)</f>
        <v>0</v>
      </c>
      <c r="F2296" s="139" t="str">
        <f>IFERROR(__xludf.DUMMYFUNCTION("""COMPUTED_VALUE"""),"Special")</f>
        <v>Special</v>
      </c>
      <c r="G2296" s="139"/>
      <c r="H2296" s="139"/>
      <c r="I2296" s="139">
        <f>IFERROR(__xludf.DUMMYFUNCTION("""COMPUTED_VALUE"""),117.0)</f>
        <v>117</v>
      </c>
      <c r="J2296" s="139">
        <f>IFERROR(__xludf.DUMMYFUNCTION("""COMPUTED_VALUE"""),0.0)</f>
        <v>0</v>
      </c>
      <c r="K2296" s="139">
        <f>IFERROR(__xludf.DUMMYFUNCTION("""COMPUTED_VALUE"""),0.0)</f>
        <v>0</v>
      </c>
      <c r="L2296" s="139"/>
      <c r="M2296" s="139"/>
      <c r="N2296" s="139"/>
    </row>
    <row r="2297">
      <c r="A2297" s="139" t="str">
        <f>IFERROR(__xludf.DUMMYFUNCTION("""COMPUTED_VALUE"""),"e")</f>
        <v>e</v>
      </c>
      <c r="B2297" s="139">
        <f>IFERROR(__xludf.DUMMYFUNCTION("""COMPUTED_VALUE"""),2.0251101E8)</f>
        <v>202511010</v>
      </c>
      <c r="C2297" s="139" t="str">
        <f>IFERROR(__xludf.DUMMYFUNCTION("""COMPUTED_VALUE"""),"c_mag_00001_challange_Boss_Yellow_Appearance_00002")</f>
        <v>c_mag_00001_challange_Boss_Yellow_Appearance_00002</v>
      </c>
      <c r="D2297" s="139" t="str">
        <f>IFERROR(__xludf.DUMMYFUNCTION("""COMPUTED_VALUE"""),"c_mag_00001_challange_Boss_Yellow")</f>
        <v>c_mag_00001_challange_Boss_Yellow</v>
      </c>
      <c r="E2297" s="139">
        <f>IFERROR(__xludf.DUMMYFUNCTION("""COMPUTED_VALUE"""),0.0)</f>
        <v>0</v>
      </c>
      <c r="F2297" s="139" t="str">
        <f>IFERROR(__xludf.DUMMYFUNCTION("""COMPUTED_VALUE"""),"Appearance")</f>
        <v>Appearance</v>
      </c>
      <c r="G2297" s="139"/>
      <c r="H2297" s="139"/>
      <c r="I2297" s="139">
        <f>IFERROR(__xludf.DUMMYFUNCTION("""COMPUTED_VALUE"""),50.0)</f>
        <v>50</v>
      </c>
      <c r="J2297" s="139">
        <f>IFERROR(__xludf.DUMMYFUNCTION("""COMPUTED_VALUE"""),0.0)</f>
        <v>0</v>
      </c>
      <c r="K2297" s="139">
        <f>IFERROR(__xludf.DUMMYFUNCTION("""COMPUTED_VALUE"""),0.0)</f>
        <v>0</v>
      </c>
      <c r="L2297" s="139"/>
      <c r="M2297" s="139"/>
      <c r="N2297" s="139"/>
    </row>
    <row r="2298">
      <c r="A2298" s="139" t="str">
        <f>IFERROR(__xludf.DUMMYFUNCTION("""COMPUTED_VALUE"""),"e")</f>
        <v>e</v>
      </c>
      <c r="B2298" s="139">
        <f>IFERROR(__xludf.DUMMYFUNCTION("""COMPUTED_VALUE"""),2.0251101E8)</f>
        <v>202511010</v>
      </c>
      <c r="C2298" s="139" t="str">
        <f>IFERROR(__xludf.DUMMYFUNCTION("""COMPUTED_VALUE"""),"c_mag_00201_challange_Boss_Green_Normal_00000")</f>
        <v>c_mag_00201_challange_Boss_Green_Normal_00000</v>
      </c>
      <c r="D2298" s="139" t="str">
        <f>IFERROR(__xludf.DUMMYFUNCTION("""COMPUTED_VALUE"""),"c_mag_00201_challange_Boss_Green")</f>
        <v>c_mag_00201_challange_Boss_Green</v>
      </c>
      <c r="E2298" s="139">
        <f>IFERROR(__xludf.DUMMYFUNCTION("""COMPUTED_VALUE"""),0.0)</f>
        <v>0</v>
      </c>
      <c r="F2298" s="139" t="str">
        <f>IFERROR(__xludf.DUMMYFUNCTION("""COMPUTED_VALUE"""),"Normal")</f>
        <v>Normal</v>
      </c>
      <c r="G2298" s="139"/>
      <c r="H2298" s="139"/>
      <c r="I2298" s="139">
        <f>IFERROR(__xludf.DUMMYFUNCTION("""COMPUTED_VALUE"""),59.0)</f>
        <v>59</v>
      </c>
      <c r="J2298" s="139">
        <f>IFERROR(__xludf.DUMMYFUNCTION("""COMPUTED_VALUE"""),21.0)</f>
        <v>21</v>
      </c>
      <c r="K2298" s="139">
        <f>IFERROR(__xludf.DUMMYFUNCTION("""COMPUTED_VALUE"""),50.0)</f>
        <v>50</v>
      </c>
      <c r="L2298" s="139"/>
      <c r="M2298" s="139"/>
      <c r="N2298" s="139"/>
    </row>
    <row r="2299">
      <c r="A2299" s="139" t="str">
        <f>IFERROR(__xludf.DUMMYFUNCTION("""COMPUTED_VALUE"""),"e")</f>
        <v>e</v>
      </c>
      <c r="B2299" s="139">
        <f>IFERROR(__xludf.DUMMYFUNCTION("""COMPUTED_VALUE"""),2.0251101E8)</f>
        <v>202511010</v>
      </c>
      <c r="C2299" s="139" t="str">
        <f>IFERROR(__xludf.DUMMYFUNCTION("""COMPUTED_VALUE"""),"c_mag_00201_challange_Boss_Green_Special_00001")</f>
        <v>c_mag_00201_challange_Boss_Green_Special_00001</v>
      </c>
      <c r="D2299" s="139" t="str">
        <f>IFERROR(__xludf.DUMMYFUNCTION("""COMPUTED_VALUE"""),"c_mag_00201_challange_Boss_Green")</f>
        <v>c_mag_00201_challange_Boss_Green</v>
      </c>
      <c r="E2299" s="139">
        <f>IFERROR(__xludf.DUMMYFUNCTION("""COMPUTED_VALUE"""),0.0)</f>
        <v>0</v>
      </c>
      <c r="F2299" s="139" t="str">
        <f>IFERROR(__xludf.DUMMYFUNCTION("""COMPUTED_VALUE"""),"Special")</f>
        <v>Special</v>
      </c>
      <c r="G2299" s="139"/>
      <c r="H2299" s="139"/>
      <c r="I2299" s="139">
        <f>IFERROR(__xludf.DUMMYFUNCTION("""COMPUTED_VALUE"""),136.0)</f>
        <v>136</v>
      </c>
      <c r="J2299" s="139">
        <f>IFERROR(__xludf.DUMMYFUNCTION("""COMPUTED_VALUE"""),0.0)</f>
        <v>0</v>
      </c>
      <c r="K2299" s="139">
        <f>IFERROR(__xludf.DUMMYFUNCTION("""COMPUTED_VALUE"""),0.0)</f>
        <v>0</v>
      </c>
      <c r="L2299" s="139"/>
      <c r="M2299" s="139"/>
      <c r="N2299" s="139"/>
    </row>
    <row r="2300">
      <c r="A2300" s="139" t="str">
        <f>IFERROR(__xludf.DUMMYFUNCTION("""COMPUTED_VALUE"""),"e")</f>
        <v>e</v>
      </c>
      <c r="B2300" s="139">
        <f>IFERROR(__xludf.DUMMYFUNCTION("""COMPUTED_VALUE"""),2.0251101E8)</f>
        <v>202511010</v>
      </c>
      <c r="C2300" s="139" t="str">
        <f>IFERROR(__xludf.DUMMYFUNCTION("""COMPUTED_VALUE"""),"c_mag_00201_challange_Boss_Green_Appearance_00002")</f>
        <v>c_mag_00201_challange_Boss_Green_Appearance_00002</v>
      </c>
      <c r="D2300" s="139" t="str">
        <f>IFERROR(__xludf.DUMMYFUNCTION("""COMPUTED_VALUE"""),"c_mag_00201_challange_Boss_Green")</f>
        <v>c_mag_00201_challange_Boss_Green</v>
      </c>
      <c r="E2300" s="139">
        <f>IFERROR(__xludf.DUMMYFUNCTION("""COMPUTED_VALUE"""),0.0)</f>
        <v>0</v>
      </c>
      <c r="F2300" s="139" t="str">
        <f>IFERROR(__xludf.DUMMYFUNCTION("""COMPUTED_VALUE"""),"Appearance")</f>
        <v>Appearance</v>
      </c>
      <c r="G2300" s="139"/>
      <c r="H2300" s="139"/>
      <c r="I2300" s="139">
        <f>IFERROR(__xludf.DUMMYFUNCTION("""COMPUTED_VALUE"""),50.0)</f>
        <v>50</v>
      </c>
      <c r="J2300" s="139">
        <f>IFERROR(__xludf.DUMMYFUNCTION("""COMPUTED_VALUE"""),0.0)</f>
        <v>0</v>
      </c>
      <c r="K2300" s="139">
        <f>IFERROR(__xludf.DUMMYFUNCTION("""COMPUTED_VALUE"""),0.0)</f>
        <v>0</v>
      </c>
      <c r="L2300" s="139"/>
      <c r="M2300" s="139"/>
      <c r="N2300" s="139"/>
    </row>
    <row r="2301">
      <c r="A2301" s="139" t="str">
        <f>IFERROR(__xludf.DUMMYFUNCTION("""COMPUTED_VALUE"""),"e")</f>
        <v>e</v>
      </c>
      <c r="B2301" s="139">
        <f>IFERROR(__xludf.DUMMYFUNCTION("""COMPUTED_VALUE"""),2.0251101E8)</f>
        <v>202511010</v>
      </c>
      <c r="C2301" s="139" t="str">
        <f>IFERROR(__xludf.DUMMYFUNCTION("""COMPUTED_VALUE"""),"c_mag_00301_challange_Boss_Red_Normal_00000")</f>
        <v>c_mag_00301_challange_Boss_Red_Normal_00000</v>
      </c>
      <c r="D2301" s="139" t="str">
        <f>IFERROR(__xludf.DUMMYFUNCTION("""COMPUTED_VALUE"""),"c_mag_00301_challange_Boss_Red")</f>
        <v>c_mag_00301_challange_Boss_Red</v>
      </c>
      <c r="E2301" s="139">
        <f>IFERROR(__xludf.DUMMYFUNCTION("""COMPUTED_VALUE"""),0.0)</f>
        <v>0</v>
      </c>
      <c r="F2301" s="139" t="str">
        <f>IFERROR(__xludf.DUMMYFUNCTION("""COMPUTED_VALUE"""),"Normal")</f>
        <v>Normal</v>
      </c>
      <c r="G2301" s="139"/>
      <c r="H2301" s="139"/>
      <c r="I2301" s="139">
        <f>IFERROR(__xludf.DUMMYFUNCTION("""COMPUTED_VALUE"""),80.0)</f>
        <v>80</v>
      </c>
      <c r="J2301" s="139">
        <f>IFERROR(__xludf.DUMMYFUNCTION("""COMPUTED_VALUE"""),30.0)</f>
        <v>30</v>
      </c>
      <c r="K2301" s="139">
        <f>IFERROR(__xludf.DUMMYFUNCTION("""COMPUTED_VALUE"""),50.0)</f>
        <v>50</v>
      </c>
      <c r="L2301" s="139"/>
      <c r="M2301" s="139"/>
      <c r="N2301" s="139"/>
    </row>
    <row r="2302">
      <c r="A2302" s="139" t="str">
        <f>IFERROR(__xludf.DUMMYFUNCTION("""COMPUTED_VALUE"""),"e")</f>
        <v>e</v>
      </c>
      <c r="B2302" s="139">
        <f>IFERROR(__xludf.DUMMYFUNCTION("""COMPUTED_VALUE"""),2.0251101E8)</f>
        <v>202511010</v>
      </c>
      <c r="C2302" s="139" t="str">
        <f>IFERROR(__xludf.DUMMYFUNCTION("""COMPUTED_VALUE"""),"c_mag_00301_challange_Boss_Red_Special_00001")</f>
        <v>c_mag_00301_challange_Boss_Red_Special_00001</v>
      </c>
      <c r="D2302" s="139" t="str">
        <f>IFERROR(__xludf.DUMMYFUNCTION("""COMPUTED_VALUE"""),"c_mag_00301_challange_Boss_Red")</f>
        <v>c_mag_00301_challange_Boss_Red</v>
      </c>
      <c r="E2302" s="139">
        <f>IFERROR(__xludf.DUMMYFUNCTION("""COMPUTED_VALUE"""),0.0)</f>
        <v>0</v>
      </c>
      <c r="F2302" s="139" t="str">
        <f>IFERROR(__xludf.DUMMYFUNCTION("""COMPUTED_VALUE"""),"Special")</f>
        <v>Special</v>
      </c>
      <c r="G2302" s="139"/>
      <c r="H2302" s="139"/>
      <c r="I2302" s="139">
        <f>IFERROR(__xludf.DUMMYFUNCTION("""COMPUTED_VALUE"""),125.0)</f>
        <v>125</v>
      </c>
      <c r="J2302" s="139">
        <f>IFERROR(__xludf.DUMMYFUNCTION("""COMPUTED_VALUE"""),50.0)</f>
        <v>50</v>
      </c>
      <c r="K2302" s="139">
        <f>IFERROR(__xludf.DUMMYFUNCTION("""COMPUTED_VALUE"""),0.0)</f>
        <v>0</v>
      </c>
      <c r="L2302" s="139"/>
      <c r="M2302" s="139"/>
      <c r="N2302" s="139"/>
    </row>
    <row r="2303">
      <c r="A2303" s="139" t="str">
        <f>IFERROR(__xludf.DUMMYFUNCTION("""COMPUTED_VALUE"""),"e")</f>
        <v>e</v>
      </c>
      <c r="B2303" s="139">
        <f>IFERROR(__xludf.DUMMYFUNCTION("""COMPUTED_VALUE"""),2.0251101E8)</f>
        <v>202511010</v>
      </c>
      <c r="C2303" s="139" t="str">
        <f>IFERROR(__xludf.DUMMYFUNCTION("""COMPUTED_VALUE"""),"c_mag_00301_challange_Boss_Red_Appearance_00002")</f>
        <v>c_mag_00301_challange_Boss_Red_Appearance_00002</v>
      </c>
      <c r="D2303" s="139" t="str">
        <f>IFERROR(__xludf.DUMMYFUNCTION("""COMPUTED_VALUE"""),"c_mag_00301_challange_Boss_Red")</f>
        <v>c_mag_00301_challange_Boss_Red</v>
      </c>
      <c r="E2303" s="139">
        <f>IFERROR(__xludf.DUMMYFUNCTION("""COMPUTED_VALUE"""),0.0)</f>
        <v>0</v>
      </c>
      <c r="F2303" s="139" t="str">
        <f>IFERROR(__xludf.DUMMYFUNCTION("""COMPUTED_VALUE"""),"Appearance")</f>
        <v>Appearance</v>
      </c>
      <c r="G2303" s="139"/>
      <c r="H2303" s="139"/>
      <c r="I2303" s="139">
        <f>IFERROR(__xludf.DUMMYFUNCTION("""COMPUTED_VALUE"""),50.0)</f>
        <v>50</v>
      </c>
      <c r="J2303" s="139">
        <f>IFERROR(__xludf.DUMMYFUNCTION("""COMPUTED_VALUE"""),0.0)</f>
        <v>0</v>
      </c>
      <c r="K2303" s="139">
        <f>IFERROR(__xludf.DUMMYFUNCTION("""COMPUTED_VALUE"""),0.0)</f>
        <v>0</v>
      </c>
      <c r="L2303" s="139"/>
      <c r="M2303" s="139"/>
      <c r="N2303" s="139"/>
    </row>
    <row r="2304">
      <c r="A2304" s="139" t="str">
        <f>IFERROR(__xludf.DUMMYFUNCTION("""COMPUTED_VALUE"""),"e")</f>
        <v>e</v>
      </c>
      <c r="B2304" s="139">
        <f>IFERROR(__xludf.DUMMYFUNCTION("""COMPUTED_VALUE"""),2.0251101E8)</f>
        <v>202511010</v>
      </c>
      <c r="C2304" s="139" t="str">
        <f>IFERROR(__xludf.DUMMYFUNCTION("""COMPUTED_VALUE"""),"c_mag_00401_challange_Boss_Blue_Normal_00000")</f>
        <v>c_mag_00401_challange_Boss_Blue_Normal_00000</v>
      </c>
      <c r="D2304" s="139" t="str">
        <f>IFERROR(__xludf.DUMMYFUNCTION("""COMPUTED_VALUE"""),"c_mag_00401_challange_Boss_Blue")</f>
        <v>c_mag_00401_challange_Boss_Blue</v>
      </c>
      <c r="E2304" s="139">
        <f>IFERROR(__xludf.DUMMYFUNCTION("""COMPUTED_VALUE"""),0.0)</f>
        <v>0</v>
      </c>
      <c r="F2304" s="139" t="str">
        <f>IFERROR(__xludf.DUMMYFUNCTION("""COMPUTED_VALUE"""),"Normal")</f>
        <v>Normal</v>
      </c>
      <c r="G2304" s="139"/>
      <c r="H2304" s="139"/>
      <c r="I2304" s="139">
        <f>IFERROR(__xludf.DUMMYFUNCTION("""COMPUTED_VALUE"""),66.0)</f>
        <v>66</v>
      </c>
      <c r="J2304" s="139">
        <f>IFERROR(__xludf.DUMMYFUNCTION("""COMPUTED_VALUE"""),30.0)</f>
        <v>30</v>
      </c>
      <c r="K2304" s="139">
        <f>IFERROR(__xludf.DUMMYFUNCTION("""COMPUTED_VALUE"""),100.0)</f>
        <v>100</v>
      </c>
      <c r="L2304" s="139"/>
      <c r="M2304" s="139"/>
      <c r="N2304" s="139"/>
    </row>
    <row r="2305">
      <c r="A2305" s="139" t="str">
        <f>IFERROR(__xludf.DUMMYFUNCTION("""COMPUTED_VALUE"""),"e")</f>
        <v>e</v>
      </c>
      <c r="B2305" s="139">
        <f>IFERROR(__xludf.DUMMYFUNCTION("""COMPUTED_VALUE"""),2.0251101E8)</f>
        <v>202511010</v>
      </c>
      <c r="C2305" s="139" t="str">
        <f>IFERROR(__xludf.DUMMYFUNCTION("""COMPUTED_VALUE"""),"c_mag_00401_challange_Boss_Blue_Special_00001")</f>
        <v>c_mag_00401_challange_Boss_Blue_Special_00001</v>
      </c>
      <c r="D2305" s="139" t="str">
        <f>IFERROR(__xludf.DUMMYFUNCTION("""COMPUTED_VALUE"""),"c_mag_00401_challange_Boss_Blue")</f>
        <v>c_mag_00401_challange_Boss_Blue</v>
      </c>
      <c r="E2305" s="139">
        <f>IFERROR(__xludf.DUMMYFUNCTION("""COMPUTED_VALUE"""),0.0)</f>
        <v>0</v>
      </c>
      <c r="F2305" s="139" t="str">
        <f>IFERROR(__xludf.DUMMYFUNCTION("""COMPUTED_VALUE"""),"Special")</f>
        <v>Special</v>
      </c>
      <c r="G2305" s="139"/>
      <c r="H2305" s="139"/>
      <c r="I2305" s="139">
        <f>IFERROR(__xludf.DUMMYFUNCTION("""COMPUTED_VALUE"""),94.0)</f>
        <v>94</v>
      </c>
      <c r="J2305" s="139">
        <f>IFERROR(__xludf.DUMMYFUNCTION("""COMPUTED_VALUE"""),31.0)</f>
        <v>31</v>
      </c>
      <c r="K2305" s="139">
        <f>IFERROR(__xludf.DUMMYFUNCTION("""COMPUTED_VALUE"""),0.0)</f>
        <v>0</v>
      </c>
      <c r="L2305" s="139"/>
      <c r="M2305" s="139"/>
      <c r="N2305" s="139"/>
    </row>
    <row r="2306">
      <c r="A2306" s="139" t="str">
        <f>IFERROR(__xludf.DUMMYFUNCTION("""COMPUTED_VALUE"""),"e")</f>
        <v>e</v>
      </c>
      <c r="B2306" s="139">
        <f>IFERROR(__xludf.DUMMYFUNCTION("""COMPUTED_VALUE"""),2.0251101E8)</f>
        <v>202511010</v>
      </c>
      <c r="C2306" s="139" t="str">
        <f>IFERROR(__xludf.DUMMYFUNCTION("""COMPUTED_VALUE"""),"c_mag_00401_challange_Boss_Blue_Appearance_00002")</f>
        <v>c_mag_00401_challange_Boss_Blue_Appearance_00002</v>
      </c>
      <c r="D2306" s="139" t="str">
        <f>IFERROR(__xludf.DUMMYFUNCTION("""COMPUTED_VALUE"""),"c_mag_00401_challange_Boss_Blue")</f>
        <v>c_mag_00401_challange_Boss_Blue</v>
      </c>
      <c r="E2306" s="139">
        <f>IFERROR(__xludf.DUMMYFUNCTION("""COMPUTED_VALUE"""),0.0)</f>
        <v>0</v>
      </c>
      <c r="F2306" s="139" t="str">
        <f>IFERROR(__xludf.DUMMYFUNCTION("""COMPUTED_VALUE"""),"Appearance")</f>
        <v>Appearance</v>
      </c>
      <c r="G2306" s="139"/>
      <c r="H2306" s="139"/>
      <c r="I2306" s="139">
        <f>IFERROR(__xludf.DUMMYFUNCTION("""COMPUTED_VALUE"""),50.0)</f>
        <v>50</v>
      </c>
      <c r="J2306" s="139">
        <f>IFERROR(__xludf.DUMMYFUNCTION("""COMPUTED_VALUE"""),0.0)</f>
        <v>0</v>
      </c>
      <c r="K2306" s="139">
        <f>IFERROR(__xludf.DUMMYFUNCTION("""COMPUTED_VALUE"""),0.0)</f>
        <v>0</v>
      </c>
      <c r="L2306" s="139"/>
      <c r="M2306" s="139"/>
      <c r="N2306" s="139"/>
    </row>
    <row r="2307">
      <c r="A2307" s="139" t="str">
        <f>IFERROR(__xludf.DUMMYFUNCTION("""COMPUTED_VALUE"""),"e")</f>
        <v>e</v>
      </c>
      <c r="B2307" s="139">
        <f>IFERROR(__xludf.DUMMYFUNCTION("""COMPUTED_VALUE"""),2.0251101E8)</f>
        <v>202511010</v>
      </c>
      <c r="C2307" s="139" t="str">
        <f>IFERROR(__xludf.DUMMYFUNCTION("""COMPUTED_VALUE"""),"e_mag_00001_challange_Normal_Yellow_Normal_00000")</f>
        <v>e_mag_00001_challange_Normal_Yellow_Normal_00000</v>
      </c>
      <c r="D2307" s="139" t="str">
        <f>IFERROR(__xludf.DUMMYFUNCTION("""COMPUTED_VALUE"""),"e_mag_00001_challange_Normal_Yellow")</f>
        <v>e_mag_00001_challange_Normal_Yellow</v>
      </c>
      <c r="E2307" s="139">
        <f>IFERROR(__xludf.DUMMYFUNCTION("""COMPUTED_VALUE"""),0.0)</f>
        <v>0</v>
      </c>
      <c r="F2307" s="139" t="str">
        <f>IFERROR(__xludf.DUMMYFUNCTION("""COMPUTED_VALUE"""),"Normal")</f>
        <v>Normal</v>
      </c>
      <c r="G2307" s="139"/>
      <c r="H2307" s="139"/>
      <c r="I2307" s="139">
        <f>IFERROR(__xludf.DUMMYFUNCTION("""COMPUTED_VALUE"""),75.0)</f>
        <v>75</v>
      </c>
      <c r="J2307" s="139">
        <f>IFERROR(__xludf.DUMMYFUNCTION("""COMPUTED_VALUE"""),40.0)</f>
        <v>40</v>
      </c>
      <c r="K2307" s="139">
        <f>IFERROR(__xludf.DUMMYFUNCTION("""COMPUTED_VALUE"""),200.0)</f>
        <v>200</v>
      </c>
      <c r="L2307" s="139"/>
      <c r="M2307" s="139"/>
      <c r="N2307" s="139"/>
    </row>
    <row r="2308">
      <c r="A2308" s="139" t="str">
        <f>IFERROR(__xludf.DUMMYFUNCTION("""COMPUTED_VALUE"""),"e")</f>
        <v>e</v>
      </c>
      <c r="B2308" s="139">
        <f>IFERROR(__xludf.DUMMYFUNCTION("""COMPUTED_VALUE"""),2.0251101E8)</f>
        <v>202511010</v>
      </c>
      <c r="C2308" s="139" t="str">
        <f>IFERROR(__xludf.DUMMYFUNCTION("""COMPUTED_VALUE"""),"e_mag_00101_challange_Normal_Blue_Normal_00000")</f>
        <v>e_mag_00101_challange_Normal_Blue_Normal_00000</v>
      </c>
      <c r="D2308" s="139" t="str">
        <f>IFERROR(__xludf.DUMMYFUNCTION("""COMPUTED_VALUE"""),"e_mag_00101_challange_Normal_Blue")</f>
        <v>e_mag_00101_challange_Normal_Blue</v>
      </c>
      <c r="E2308" s="139">
        <f>IFERROR(__xludf.DUMMYFUNCTION("""COMPUTED_VALUE"""),0.0)</f>
        <v>0</v>
      </c>
      <c r="F2308" s="139" t="str">
        <f>IFERROR(__xludf.DUMMYFUNCTION("""COMPUTED_VALUE"""),"Normal")</f>
        <v>Normal</v>
      </c>
      <c r="G2308" s="139"/>
      <c r="H2308" s="139"/>
      <c r="I2308" s="139">
        <f>IFERROR(__xludf.DUMMYFUNCTION("""COMPUTED_VALUE"""),18.0)</f>
        <v>18</v>
      </c>
      <c r="J2308" s="139">
        <f>IFERROR(__xludf.DUMMYFUNCTION("""COMPUTED_VALUE"""),10.0)</f>
        <v>10</v>
      </c>
      <c r="K2308" s="139">
        <f>IFERROR(__xludf.DUMMYFUNCTION("""COMPUTED_VALUE"""),0.0)</f>
        <v>0</v>
      </c>
      <c r="L2308" s="139"/>
      <c r="M2308" s="139"/>
      <c r="N2308" s="139"/>
    </row>
    <row r="2309">
      <c r="A2309" s="139" t="str">
        <f>IFERROR(__xludf.DUMMYFUNCTION("""COMPUTED_VALUE"""),"e")</f>
        <v>e</v>
      </c>
      <c r="B2309" s="139">
        <f>IFERROR(__xludf.DUMMYFUNCTION("""COMPUTED_VALUE"""),2.0251101E8)</f>
        <v>202511010</v>
      </c>
      <c r="C2309" s="139" t="str">
        <f>IFERROR(__xludf.DUMMYFUNCTION("""COMPUTED_VALUE"""),"e_mag_00201_challange_Normal_Green_Normal_00000")</f>
        <v>e_mag_00201_challange_Normal_Green_Normal_00000</v>
      </c>
      <c r="D2309" s="139" t="str">
        <f>IFERROR(__xludf.DUMMYFUNCTION("""COMPUTED_VALUE"""),"e_mag_00201_challange_Normal_Green")</f>
        <v>e_mag_00201_challange_Normal_Green</v>
      </c>
      <c r="E2309" s="139">
        <f>IFERROR(__xludf.DUMMYFUNCTION("""COMPUTED_VALUE"""),0.0)</f>
        <v>0</v>
      </c>
      <c r="F2309" s="139" t="str">
        <f>IFERROR(__xludf.DUMMYFUNCTION("""COMPUTED_VALUE"""),"Normal")</f>
        <v>Normal</v>
      </c>
      <c r="G2309" s="139"/>
      <c r="H2309" s="139"/>
      <c r="I2309" s="139">
        <f>IFERROR(__xludf.DUMMYFUNCTION("""COMPUTED_VALUE"""),75.0)</f>
        <v>75</v>
      </c>
      <c r="J2309" s="139">
        <f>IFERROR(__xludf.DUMMYFUNCTION("""COMPUTED_VALUE"""),37.0)</f>
        <v>37</v>
      </c>
      <c r="K2309" s="139">
        <f>IFERROR(__xludf.DUMMYFUNCTION("""COMPUTED_VALUE"""),100.0)</f>
        <v>100</v>
      </c>
      <c r="L2309" s="139"/>
      <c r="M2309" s="139"/>
      <c r="N2309" s="139"/>
    </row>
    <row r="2310">
      <c r="A2310" s="139" t="str">
        <f>IFERROR(__xludf.DUMMYFUNCTION("""COMPUTED_VALUE"""),"e")</f>
        <v>e</v>
      </c>
      <c r="B2310" s="139">
        <f>IFERROR(__xludf.DUMMYFUNCTION("""COMPUTED_VALUE"""),2.0251101E8)</f>
        <v>202511010</v>
      </c>
      <c r="C2310" s="139" t="str">
        <f>IFERROR(__xludf.DUMMYFUNCTION("""COMPUTED_VALUE"""),"e_mag_00301_challange_Normal_Red_Normal_00000")</f>
        <v>e_mag_00301_challange_Normal_Red_Normal_00000</v>
      </c>
      <c r="D2310" s="139" t="str">
        <f>IFERROR(__xludf.DUMMYFUNCTION("""COMPUTED_VALUE"""),"e_mag_00301_challange_Normal_Red")</f>
        <v>e_mag_00301_challange_Normal_Red</v>
      </c>
      <c r="E2310" s="139">
        <f>IFERROR(__xludf.DUMMYFUNCTION("""COMPUTED_VALUE"""),0.0)</f>
        <v>0</v>
      </c>
      <c r="F2310" s="139" t="str">
        <f>IFERROR(__xludf.DUMMYFUNCTION("""COMPUTED_VALUE"""),"Normal")</f>
        <v>Normal</v>
      </c>
      <c r="G2310" s="139"/>
      <c r="H2310" s="139"/>
      <c r="I2310" s="139">
        <f>IFERROR(__xludf.DUMMYFUNCTION("""COMPUTED_VALUE"""),75.0)</f>
        <v>75</v>
      </c>
      <c r="J2310" s="139">
        <f>IFERROR(__xludf.DUMMYFUNCTION("""COMPUTED_VALUE"""),37.0)</f>
        <v>37</v>
      </c>
      <c r="K2310" s="139">
        <f>IFERROR(__xludf.DUMMYFUNCTION("""COMPUTED_VALUE"""),75.0)</f>
        <v>75</v>
      </c>
      <c r="L2310" s="139"/>
      <c r="M2310" s="139"/>
      <c r="N2310" s="139"/>
    </row>
    <row r="2311">
      <c r="A2311" s="139" t="str">
        <f>IFERROR(__xludf.DUMMYFUNCTION("""COMPUTED_VALUE"""),"e")</f>
        <v>e</v>
      </c>
      <c r="B2311" s="139">
        <f>IFERROR(__xludf.DUMMYFUNCTION("""COMPUTED_VALUE"""),2.0251101E8)</f>
        <v>202511010</v>
      </c>
      <c r="C2311" s="139" t="str">
        <f>IFERROR(__xludf.DUMMYFUNCTION("""COMPUTED_VALUE"""),"e_mag_00201_savage_Boss_Yellow_Normal_00000")</f>
        <v>e_mag_00201_savage_Boss_Yellow_Normal_00000</v>
      </c>
      <c r="D2311" s="139" t="str">
        <f>IFERROR(__xludf.DUMMYFUNCTION("""COMPUTED_VALUE"""),"e_mag_00201_savage_Boss_Yellow")</f>
        <v>e_mag_00201_savage_Boss_Yellow</v>
      </c>
      <c r="E2311" s="139">
        <f>IFERROR(__xludf.DUMMYFUNCTION("""COMPUTED_VALUE"""),0.0)</f>
        <v>0</v>
      </c>
      <c r="F2311" s="139" t="str">
        <f>IFERROR(__xludf.DUMMYFUNCTION("""COMPUTED_VALUE"""),"Normal")</f>
        <v>Normal</v>
      </c>
      <c r="G2311" s="139"/>
      <c r="H2311" s="139"/>
      <c r="I2311" s="139">
        <f>IFERROR(__xludf.DUMMYFUNCTION("""COMPUTED_VALUE"""),75.0)</f>
        <v>75</v>
      </c>
      <c r="J2311" s="139">
        <f>IFERROR(__xludf.DUMMYFUNCTION("""COMPUTED_VALUE"""),37.0)</f>
        <v>37</v>
      </c>
      <c r="K2311" s="139">
        <f>IFERROR(__xludf.DUMMYFUNCTION("""COMPUTED_VALUE"""),80.0)</f>
        <v>80</v>
      </c>
      <c r="L2311" s="139"/>
      <c r="M2311" s="139"/>
      <c r="N2311" s="139"/>
    </row>
    <row r="2312">
      <c r="A2312" s="139" t="str">
        <f>IFERROR(__xludf.DUMMYFUNCTION("""COMPUTED_VALUE"""),"e")</f>
        <v>e</v>
      </c>
      <c r="B2312" s="139">
        <f>IFERROR(__xludf.DUMMYFUNCTION("""COMPUTED_VALUE"""),2.0251101E8)</f>
        <v>202511010</v>
      </c>
      <c r="C2312" s="139" t="str">
        <f>IFERROR(__xludf.DUMMYFUNCTION("""COMPUTED_VALUE"""),"e_mag_00201_savage_Boss_Yellow_Appearance_00001")</f>
        <v>e_mag_00201_savage_Boss_Yellow_Appearance_00001</v>
      </c>
      <c r="D2312" s="139" t="str">
        <f>IFERROR(__xludf.DUMMYFUNCTION("""COMPUTED_VALUE"""),"e_mag_00201_savage_Boss_Yellow")</f>
        <v>e_mag_00201_savage_Boss_Yellow</v>
      </c>
      <c r="E2312" s="139">
        <f>IFERROR(__xludf.DUMMYFUNCTION("""COMPUTED_VALUE"""),0.0)</f>
        <v>0</v>
      </c>
      <c r="F2312" s="139" t="str">
        <f>IFERROR(__xludf.DUMMYFUNCTION("""COMPUTED_VALUE"""),"Appearance")</f>
        <v>Appearance</v>
      </c>
      <c r="G2312" s="139"/>
      <c r="H2312" s="139"/>
      <c r="I2312" s="139">
        <f>IFERROR(__xludf.DUMMYFUNCTION("""COMPUTED_VALUE"""),50.0)</f>
        <v>50</v>
      </c>
      <c r="J2312" s="139">
        <f>IFERROR(__xludf.DUMMYFUNCTION("""COMPUTED_VALUE"""),0.0)</f>
        <v>0</v>
      </c>
      <c r="K2312" s="139">
        <f>IFERROR(__xludf.DUMMYFUNCTION("""COMPUTED_VALUE"""),0.0)</f>
        <v>0</v>
      </c>
      <c r="L2312" s="139"/>
      <c r="M2312" s="139"/>
      <c r="N2312" s="139"/>
    </row>
    <row r="2313">
      <c r="A2313" s="139" t="str">
        <f>IFERROR(__xludf.DUMMYFUNCTION("""COMPUTED_VALUE"""),"e")</f>
        <v>e</v>
      </c>
      <c r="B2313" s="139">
        <f>IFERROR(__xludf.DUMMYFUNCTION("""COMPUTED_VALUE"""),2.0251101E8)</f>
        <v>202511010</v>
      </c>
      <c r="C2313" s="139" t="str">
        <f>IFERROR(__xludf.DUMMYFUNCTION("""COMPUTED_VALUE"""),"e_mag_00401_savage_Boss_Green_Normal_00000")</f>
        <v>e_mag_00401_savage_Boss_Green_Normal_00000</v>
      </c>
      <c r="D2313" s="139" t="str">
        <f>IFERROR(__xludf.DUMMYFUNCTION("""COMPUTED_VALUE"""),"e_mag_00401_savage_Boss_Green")</f>
        <v>e_mag_00401_savage_Boss_Green</v>
      </c>
      <c r="E2313" s="139">
        <f>IFERROR(__xludf.DUMMYFUNCTION("""COMPUTED_VALUE"""),0.0)</f>
        <v>0</v>
      </c>
      <c r="F2313" s="139" t="str">
        <f>IFERROR(__xludf.DUMMYFUNCTION("""COMPUTED_VALUE"""),"Normal")</f>
        <v>Normal</v>
      </c>
      <c r="G2313" s="139"/>
      <c r="H2313" s="139"/>
      <c r="I2313" s="139">
        <f>IFERROR(__xludf.DUMMYFUNCTION("""COMPUTED_VALUE"""),84.0)</f>
        <v>84</v>
      </c>
      <c r="J2313" s="139">
        <f>IFERROR(__xludf.DUMMYFUNCTION("""COMPUTED_VALUE"""),42.0)</f>
        <v>42</v>
      </c>
      <c r="K2313" s="139">
        <f>IFERROR(__xludf.DUMMYFUNCTION("""COMPUTED_VALUE"""),20.0)</f>
        <v>20</v>
      </c>
      <c r="L2313" s="139"/>
      <c r="M2313" s="139"/>
      <c r="N2313" s="139"/>
    </row>
    <row r="2314">
      <c r="A2314" s="139" t="str">
        <f>IFERROR(__xludf.DUMMYFUNCTION("""COMPUTED_VALUE"""),"e")</f>
        <v>e</v>
      </c>
      <c r="B2314" s="139">
        <f>IFERROR(__xludf.DUMMYFUNCTION("""COMPUTED_VALUE"""),2.0251101E8)</f>
        <v>202511010</v>
      </c>
      <c r="C2314" s="139" t="str">
        <f>IFERROR(__xludf.DUMMYFUNCTION("""COMPUTED_VALUE"""),"e_mag_00401_savage_Boss_Green_Appearance_00001")</f>
        <v>e_mag_00401_savage_Boss_Green_Appearance_00001</v>
      </c>
      <c r="D2314" s="139" t="str">
        <f>IFERROR(__xludf.DUMMYFUNCTION("""COMPUTED_VALUE"""),"e_mag_00401_savage_Boss_Green")</f>
        <v>e_mag_00401_savage_Boss_Green</v>
      </c>
      <c r="E2314" s="139">
        <f>IFERROR(__xludf.DUMMYFUNCTION("""COMPUTED_VALUE"""),0.0)</f>
        <v>0</v>
      </c>
      <c r="F2314" s="139" t="str">
        <f>IFERROR(__xludf.DUMMYFUNCTION("""COMPUTED_VALUE"""),"Appearance")</f>
        <v>Appearance</v>
      </c>
      <c r="G2314" s="139"/>
      <c r="H2314" s="139"/>
      <c r="I2314" s="139">
        <f>IFERROR(__xludf.DUMMYFUNCTION("""COMPUTED_VALUE"""),50.0)</f>
        <v>50</v>
      </c>
      <c r="J2314" s="139">
        <f>IFERROR(__xludf.DUMMYFUNCTION("""COMPUTED_VALUE"""),0.0)</f>
        <v>0</v>
      </c>
      <c r="K2314" s="139">
        <f>IFERROR(__xludf.DUMMYFUNCTION("""COMPUTED_VALUE"""),0.0)</f>
        <v>0</v>
      </c>
      <c r="L2314" s="139"/>
      <c r="M2314" s="139"/>
      <c r="N2314" s="139"/>
    </row>
    <row r="2315">
      <c r="A2315" s="139" t="str">
        <f>IFERROR(__xludf.DUMMYFUNCTION("""COMPUTED_VALUE"""),"e")</f>
        <v>e</v>
      </c>
      <c r="B2315" s="139">
        <f>IFERROR(__xludf.DUMMYFUNCTION("""COMPUTED_VALUE"""),2.0251101E8)</f>
        <v>202511010</v>
      </c>
      <c r="C2315" s="139" t="str">
        <f>IFERROR(__xludf.DUMMYFUNCTION("""COMPUTED_VALUE"""),"e_mag_00101_mag1_advent_Normal_Colorless_Normal_00000")</f>
        <v>e_mag_00101_mag1_advent_Normal_Colorless_Normal_00000</v>
      </c>
      <c r="D2315" s="139" t="str">
        <f>IFERROR(__xludf.DUMMYFUNCTION("""COMPUTED_VALUE"""),"e_mag_00101_mag1_advent_Normal_Colorless")</f>
        <v>e_mag_00101_mag1_advent_Normal_Colorless</v>
      </c>
      <c r="E2315" s="139">
        <f>IFERROR(__xludf.DUMMYFUNCTION("""COMPUTED_VALUE"""),0.0)</f>
        <v>0</v>
      </c>
      <c r="F2315" s="139" t="str">
        <f>IFERROR(__xludf.DUMMYFUNCTION("""COMPUTED_VALUE"""),"Normal")</f>
        <v>Normal</v>
      </c>
      <c r="G2315" s="139"/>
      <c r="H2315" s="139"/>
      <c r="I2315" s="139">
        <f>IFERROR(__xludf.DUMMYFUNCTION("""COMPUTED_VALUE"""),18.0)</f>
        <v>18</v>
      </c>
      <c r="J2315" s="139">
        <f>IFERROR(__xludf.DUMMYFUNCTION("""COMPUTED_VALUE"""),10.0)</f>
        <v>10</v>
      </c>
      <c r="K2315" s="139">
        <f>IFERROR(__xludf.DUMMYFUNCTION("""COMPUTED_VALUE"""),50.0)</f>
        <v>50</v>
      </c>
      <c r="L2315" s="139"/>
      <c r="M2315" s="139"/>
      <c r="N2315" s="139"/>
    </row>
    <row r="2316">
      <c r="A2316" s="139" t="str">
        <f>IFERROR(__xludf.DUMMYFUNCTION("""COMPUTED_VALUE"""),"e")</f>
        <v>e</v>
      </c>
      <c r="B2316" s="139">
        <f>IFERROR(__xludf.DUMMYFUNCTION("""COMPUTED_VALUE"""),2.0251101E8)</f>
        <v>202511010</v>
      </c>
      <c r="C2316" s="139" t="str">
        <f>IFERROR(__xludf.DUMMYFUNCTION("""COMPUTED_VALUE"""),"e_mag_00101_mag1_advent_Normal_Red_Normal_00000")</f>
        <v>e_mag_00101_mag1_advent_Normal_Red_Normal_00000</v>
      </c>
      <c r="D2316" s="139" t="str">
        <f>IFERROR(__xludf.DUMMYFUNCTION("""COMPUTED_VALUE"""),"e_mag_00101_mag1_advent_Normal_Red")</f>
        <v>e_mag_00101_mag1_advent_Normal_Red</v>
      </c>
      <c r="E2316" s="139">
        <f>IFERROR(__xludf.DUMMYFUNCTION("""COMPUTED_VALUE"""),0.0)</f>
        <v>0</v>
      </c>
      <c r="F2316" s="139" t="str">
        <f>IFERROR(__xludf.DUMMYFUNCTION("""COMPUTED_VALUE"""),"Normal")</f>
        <v>Normal</v>
      </c>
      <c r="G2316" s="139"/>
      <c r="H2316" s="139"/>
      <c r="I2316" s="139">
        <f>IFERROR(__xludf.DUMMYFUNCTION("""COMPUTED_VALUE"""),18.0)</f>
        <v>18</v>
      </c>
      <c r="J2316" s="139">
        <f>IFERROR(__xludf.DUMMYFUNCTION("""COMPUTED_VALUE"""),10.0)</f>
        <v>10</v>
      </c>
      <c r="K2316" s="139">
        <f>IFERROR(__xludf.DUMMYFUNCTION("""COMPUTED_VALUE"""),50.0)</f>
        <v>50</v>
      </c>
      <c r="L2316" s="139"/>
      <c r="M2316" s="139"/>
      <c r="N2316" s="139"/>
    </row>
    <row r="2317">
      <c r="A2317" s="139" t="str">
        <f>IFERROR(__xludf.DUMMYFUNCTION("""COMPUTED_VALUE"""),"e")</f>
        <v>e</v>
      </c>
      <c r="B2317" s="139">
        <f>IFERROR(__xludf.DUMMYFUNCTION("""COMPUTED_VALUE"""),2.0251101E8)</f>
        <v>202511010</v>
      </c>
      <c r="C2317" s="139" t="str">
        <f>IFERROR(__xludf.DUMMYFUNCTION("""COMPUTED_VALUE"""),"e_mag_00101_mag1_advent_Normal_Blue_Normal_00000")</f>
        <v>e_mag_00101_mag1_advent_Normal_Blue_Normal_00000</v>
      </c>
      <c r="D2317" s="139" t="str">
        <f>IFERROR(__xludf.DUMMYFUNCTION("""COMPUTED_VALUE"""),"e_mag_00101_mag1_advent_Normal_Blue")</f>
        <v>e_mag_00101_mag1_advent_Normal_Blue</v>
      </c>
      <c r="E2317" s="139">
        <f>IFERROR(__xludf.DUMMYFUNCTION("""COMPUTED_VALUE"""),0.0)</f>
        <v>0</v>
      </c>
      <c r="F2317" s="139" t="str">
        <f>IFERROR(__xludf.DUMMYFUNCTION("""COMPUTED_VALUE"""),"Normal")</f>
        <v>Normal</v>
      </c>
      <c r="G2317" s="139"/>
      <c r="H2317" s="139"/>
      <c r="I2317" s="139">
        <f>IFERROR(__xludf.DUMMYFUNCTION("""COMPUTED_VALUE"""),18.0)</f>
        <v>18</v>
      </c>
      <c r="J2317" s="139">
        <f>IFERROR(__xludf.DUMMYFUNCTION("""COMPUTED_VALUE"""),10.0)</f>
        <v>10</v>
      </c>
      <c r="K2317" s="139">
        <f>IFERROR(__xludf.DUMMYFUNCTION("""COMPUTED_VALUE"""),50.0)</f>
        <v>50</v>
      </c>
      <c r="L2317" s="139"/>
      <c r="M2317" s="139"/>
      <c r="N2317" s="139"/>
    </row>
    <row r="2318">
      <c r="A2318" s="139" t="str">
        <f>IFERROR(__xludf.DUMMYFUNCTION("""COMPUTED_VALUE"""),"e")</f>
        <v>e</v>
      </c>
      <c r="B2318" s="139">
        <f>IFERROR(__xludf.DUMMYFUNCTION("""COMPUTED_VALUE"""),2.0251101E8)</f>
        <v>202511010</v>
      </c>
      <c r="C2318" s="139" t="str">
        <f>IFERROR(__xludf.DUMMYFUNCTION("""COMPUTED_VALUE"""),"e_mag_00101_mag1_advent_Normal_Yellow_Normal_00000")</f>
        <v>e_mag_00101_mag1_advent_Normal_Yellow_Normal_00000</v>
      </c>
      <c r="D2318" s="139" t="str">
        <f>IFERROR(__xludf.DUMMYFUNCTION("""COMPUTED_VALUE"""),"e_mag_00101_mag1_advent_Normal_Yellow")</f>
        <v>e_mag_00101_mag1_advent_Normal_Yellow</v>
      </c>
      <c r="E2318" s="139">
        <f>IFERROR(__xludf.DUMMYFUNCTION("""COMPUTED_VALUE"""),0.0)</f>
        <v>0</v>
      </c>
      <c r="F2318" s="139" t="str">
        <f>IFERROR(__xludf.DUMMYFUNCTION("""COMPUTED_VALUE"""),"Normal")</f>
        <v>Normal</v>
      </c>
      <c r="G2318" s="139"/>
      <c r="H2318" s="139"/>
      <c r="I2318" s="139">
        <f>IFERROR(__xludf.DUMMYFUNCTION("""COMPUTED_VALUE"""),18.0)</f>
        <v>18</v>
      </c>
      <c r="J2318" s="139">
        <f>IFERROR(__xludf.DUMMYFUNCTION("""COMPUTED_VALUE"""),10.0)</f>
        <v>10</v>
      </c>
      <c r="K2318" s="139">
        <f>IFERROR(__xludf.DUMMYFUNCTION("""COMPUTED_VALUE"""),50.0)</f>
        <v>50</v>
      </c>
      <c r="L2318" s="139"/>
      <c r="M2318" s="139"/>
      <c r="N2318" s="139"/>
    </row>
    <row r="2319">
      <c r="A2319" s="139" t="str">
        <f>IFERROR(__xludf.DUMMYFUNCTION("""COMPUTED_VALUE"""),"e")</f>
        <v>e</v>
      </c>
      <c r="B2319" s="139">
        <f>IFERROR(__xludf.DUMMYFUNCTION("""COMPUTED_VALUE"""),2.0251101E8)</f>
        <v>202511010</v>
      </c>
      <c r="C2319" s="139" t="str">
        <f>IFERROR(__xludf.DUMMYFUNCTION("""COMPUTED_VALUE"""),"e_mag_00101_mag1_advent_Normal_Green_Normal_00000")</f>
        <v>e_mag_00101_mag1_advent_Normal_Green_Normal_00000</v>
      </c>
      <c r="D2319" s="139" t="str">
        <f>IFERROR(__xludf.DUMMYFUNCTION("""COMPUTED_VALUE"""),"e_mag_00101_mag1_advent_Normal_Green")</f>
        <v>e_mag_00101_mag1_advent_Normal_Green</v>
      </c>
      <c r="E2319" s="139">
        <f>IFERROR(__xludf.DUMMYFUNCTION("""COMPUTED_VALUE"""),0.0)</f>
        <v>0</v>
      </c>
      <c r="F2319" s="139" t="str">
        <f>IFERROR(__xludf.DUMMYFUNCTION("""COMPUTED_VALUE"""),"Normal")</f>
        <v>Normal</v>
      </c>
      <c r="G2319" s="139"/>
      <c r="H2319" s="139"/>
      <c r="I2319" s="139">
        <f>IFERROR(__xludf.DUMMYFUNCTION("""COMPUTED_VALUE"""),18.0)</f>
        <v>18</v>
      </c>
      <c r="J2319" s="139">
        <f>IFERROR(__xludf.DUMMYFUNCTION("""COMPUTED_VALUE"""),10.0)</f>
        <v>10</v>
      </c>
      <c r="K2319" s="139">
        <f>IFERROR(__xludf.DUMMYFUNCTION("""COMPUTED_VALUE"""),50.0)</f>
        <v>50</v>
      </c>
      <c r="L2319" s="139"/>
      <c r="M2319" s="139"/>
      <c r="N2319" s="139"/>
    </row>
    <row r="2320">
      <c r="A2320" s="139" t="str">
        <f>IFERROR(__xludf.DUMMYFUNCTION("""COMPUTED_VALUE"""),"e")</f>
        <v>e</v>
      </c>
      <c r="B2320" s="139">
        <f>IFERROR(__xludf.DUMMYFUNCTION("""COMPUTED_VALUE"""),2.0251101E8)</f>
        <v>202511010</v>
      </c>
      <c r="C2320" s="139" t="str">
        <f>IFERROR(__xludf.DUMMYFUNCTION("""COMPUTED_VALUE"""),"e_mag_00301_mag1_advent_Normal_Blue_Normal_00000")</f>
        <v>e_mag_00301_mag1_advent_Normal_Blue_Normal_00000</v>
      </c>
      <c r="D2320" s="139" t="str">
        <f>IFERROR(__xludf.DUMMYFUNCTION("""COMPUTED_VALUE"""),"e_mag_00301_mag1_advent_Normal_Blue")</f>
        <v>e_mag_00301_mag1_advent_Normal_Blue</v>
      </c>
      <c r="E2320" s="139">
        <f>IFERROR(__xludf.DUMMYFUNCTION("""COMPUTED_VALUE"""),0.0)</f>
        <v>0</v>
      </c>
      <c r="F2320" s="139" t="str">
        <f>IFERROR(__xludf.DUMMYFUNCTION("""COMPUTED_VALUE"""),"Normal")</f>
        <v>Normal</v>
      </c>
      <c r="G2320" s="139"/>
      <c r="H2320" s="139"/>
      <c r="I2320" s="139">
        <f>IFERROR(__xludf.DUMMYFUNCTION("""COMPUTED_VALUE"""),75.0)</f>
        <v>75</v>
      </c>
      <c r="J2320" s="139">
        <f>IFERROR(__xludf.DUMMYFUNCTION("""COMPUTED_VALUE"""),37.0)</f>
        <v>37</v>
      </c>
      <c r="K2320" s="139">
        <f>IFERROR(__xludf.DUMMYFUNCTION("""COMPUTED_VALUE"""),75.0)</f>
        <v>75</v>
      </c>
      <c r="L2320" s="139"/>
      <c r="M2320" s="139"/>
      <c r="N2320" s="139"/>
    </row>
    <row r="2321">
      <c r="A2321" s="139" t="str">
        <f>IFERROR(__xludf.DUMMYFUNCTION("""COMPUTED_VALUE"""),"e")</f>
        <v>e</v>
      </c>
      <c r="B2321" s="139">
        <f>IFERROR(__xludf.DUMMYFUNCTION("""COMPUTED_VALUE"""),2.0251101E8)</f>
        <v>202511010</v>
      </c>
      <c r="C2321" s="139" t="str">
        <f>IFERROR(__xludf.DUMMYFUNCTION("""COMPUTED_VALUE"""),"e_mag_00201_mag1_advent_Boss_Blue_Normal_00000")</f>
        <v>e_mag_00201_mag1_advent_Boss_Blue_Normal_00000</v>
      </c>
      <c r="D2321" s="139" t="str">
        <f>IFERROR(__xludf.DUMMYFUNCTION("""COMPUTED_VALUE"""),"e_mag_00201_mag1_advent_Boss_Blue")</f>
        <v>e_mag_00201_mag1_advent_Boss_Blue</v>
      </c>
      <c r="E2321" s="139">
        <f>IFERROR(__xludf.DUMMYFUNCTION("""COMPUTED_VALUE"""),0.0)</f>
        <v>0</v>
      </c>
      <c r="F2321" s="139" t="str">
        <f>IFERROR(__xludf.DUMMYFUNCTION("""COMPUTED_VALUE"""),"Normal")</f>
        <v>Normal</v>
      </c>
      <c r="G2321" s="139"/>
      <c r="H2321" s="139"/>
      <c r="I2321" s="139">
        <f>IFERROR(__xludf.DUMMYFUNCTION("""COMPUTED_VALUE"""),75.0)</f>
        <v>75</v>
      </c>
      <c r="J2321" s="139">
        <f>IFERROR(__xludf.DUMMYFUNCTION("""COMPUTED_VALUE"""),37.0)</f>
        <v>37</v>
      </c>
      <c r="K2321" s="139">
        <f>IFERROR(__xludf.DUMMYFUNCTION("""COMPUTED_VALUE"""),80.0)</f>
        <v>80</v>
      </c>
      <c r="L2321" s="139"/>
      <c r="M2321" s="139"/>
      <c r="N2321" s="139"/>
    </row>
    <row r="2322">
      <c r="A2322" s="139" t="str">
        <f>IFERROR(__xludf.DUMMYFUNCTION("""COMPUTED_VALUE"""),"e")</f>
        <v>e</v>
      </c>
      <c r="B2322" s="139">
        <f>IFERROR(__xludf.DUMMYFUNCTION("""COMPUTED_VALUE"""),2.0251101E8)</f>
        <v>202511010</v>
      </c>
      <c r="C2322" s="139" t="str">
        <f>IFERROR(__xludf.DUMMYFUNCTION("""COMPUTED_VALUE"""),"e_mag_00201_mag1_advent_Boss_Blue_Appearance_00001")</f>
        <v>e_mag_00201_mag1_advent_Boss_Blue_Appearance_00001</v>
      </c>
      <c r="D2322" s="139" t="str">
        <f>IFERROR(__xludf.DUMMYFUNCTION("""COMPUTED_VALUE"""),"e_mag_00201_mag1_advent_Boss_Blue")</f>
        <v>e_mag_00201_mag1_advent_Boss_Blue</v>
      </c>
      <c r="E2322" s="139">
        <f>IFERROR(__xludf.DUMMYFUNCTION("""COMPUTED_VALUE"""),0.0)</f>
        <v>0</v>
      </c>
      <c r="F2322" s="139" t="str">
        <f>IFERROR(__xludf.DUMMYFUNCTION("""COMPUTED_VALUE"""),"Appearance")</f>
        <v>Appearance</v>
      </c>
      <c r="G2322" s="139"/>
      <c r="H2322" s="139"/>
      <c r="I2322" s="139">
        <f>IFERROR(__xludf.DUMMYFUNCTION("""COMPUTED_VALUE"""),50.0)</f>
        <v>50</v>
      </c>
      <c r="J2322" s="139">
        <f>IFERROR(__xludf.DUMMYFUNCTION("""COMPUTED_VALUE"""),0.0)</f>
        <v>0</v>
      </c>
      <c r="K2322" s="139">
        <f>IFERROR(__xludf.DUMMYFUNCTION("""COMPUTED_VALUE"""),0.0)</f>
        <v>0</v>
      </c>
      <c r="L2322" s="139"/>
      <c r="M2322" s="139"/>
      <c r="N2322" s="139"/>
    </row>
    <row r="2323">
      <c r="A2323" s="139" t="str">
        <f>IFERROR(__xludf.DUMMYFUNCTION("""COMPUTED_VALUE"""),"e")</f>
        <v>e</v>
      </c>
      <c r="B2323" s="139">
        <f>IFERROR(__xludf.DUMMYFUNCTION("""COMPUTED_VALUE"""),2.0251101E8)</f>
        <v>202511010</v>
      </c>
      <c r="C2323" s="139" t="str">
        <f>IFERROR(__xludf.DUMMYFUNCTION("""COMPUTED_VALUE"""),"e_mag_00201_mag1_advent_Boss_Yellow_Normal_00000")</f>
        <v>e_mag_00201_mag1_advent_Boss_Yellow_Normal_00000</v>
      </c>
      <c r="D2323" s="139" t="str">
        <f>IFERROR(__xludf.DUMMYFUNCTION("""COMPUTED_VALUE"""),"e_mag_00201_mag1_advent_Boss_Yellow")</f>
        <v>e_mag_00201_mag1_advent_Boss_Yellow</v>
      </c>
      <c r="E2323" s="139">
        <f>IFERROR(__xludf.DUMMYFUNCTION("""COMPUTED_VALUE"""),0.0)</f>
        <v>0</v>
      </c>
      <c r="F2323" s="139" t="str">
        <f>IFERROR(__xludf.DUMMYFUNCTION("""COMPUTED_VALUE"""),"Normal")</f>
        <v>Normal</v>
      </c>
      <c r="G2323" s="139"/>
      <c r="H2323" s="139"/>
      <c r="I2323" s="139">
        <f>IFERROR(__xludf.DUMMYFUNCTION("""COMPUTED_VALUE"""),75.0)</f>
        <v>75</v>
      </c>
      <c r="J2323" s="139">
        <f>IFERROR(__xludf.DUMMYFUNCTION("""COMPUTED_VALUE"""),37.0)</f>
        <v>37</v>
      </c>
      <c r="K2323" s="139">
        <f>IFERROR(__xludf.DUMMYFUNCTION("""COMPUTED_VALUE"""),80.0)</f>
        <v>80</v>
      </c>
      <c r="L2323" s="139"/>
      <c r="M2323" s="139"/>
      <c r="N2323" s="139"/>
    </row>
    <row r="2324">
      <c r="A2324" s="139" t="str">
        <f>IFERROR(__xludf.DUMMYFUNCTION("""COMPUTED_VALUE"""),"e")</f>
        <v>e</v>
      </c>
      <c r="B2324" s="139">
        <f>IFERROR(__xludf.DUMMYFUNCTION("""COMPUTED_VALUE"""),2.0251101E8)</f>
        <v>202511010</v>
      </c>
      <c r="C2324" s="139" t="str">
        <f>IFERROR(__xludf.DUMMYFUNCTION("""COMPUTED_VALUE"""),"e_mag_00201_mag1_advent_Boss_Yellow_Appearance_00001")</f>
        <v>e_mag_00201_mag1_advent_Boss_Yellow_Appearance_00001</v>
      </c>
      <c r="D2324" s="139" t="str">
        <f>IFERROR(__xludf.DUMMYFUNCTION("""COMPUTED_VALUE"""),"e_mag_00201_mag1_advent_Boss_Yellow")</f>
        <v>e_mag_00201_mag1_advent_Boss_Yellow</v>
      </c>
      <c r="E2324" s="139">
        <f>IFERROR(__xludf.DUMMYFUNCTION("""COMPUTED_VALUE"""),0.0)</f>
        <v>0</v>
      </c>
      <c r="F2324" s="139" t="str">
        <f>IFERROR(__xludf.DUMMYFUNCTION("""COMPUTED_VALUE"""),"Appearance")</f>
        <v>Appearance</v>
      </c>
      <c r="G2324" s="139"/>
      <c r="H2324" s="139"/>
      <c r="I2324" s="139">
        <f>IFERROR(__xludf.DUMMYFUNCTION("""COMPUTED_VALUE"""),50.0)</f>
        <v>50</v>
      </c>
      <c r="J2324" s="139">
        <f>IFERROR(__xludf.DUMMYFUNCTION("""COMPUTED_VALUE"""),0.0)</f>
        <v>0</v>
      </c>
      <c r="K2324" s="139">
        <f>IFERROR(__xludf.DUMMYFUNCTION("""COMPUTED_VALUE"""),0.0)</f>
        <v>0</v>
      </c>
      <c r="L2324" s="139"/>
      <c r="M2324" s="139"/>
      <c r="N2324" s="139"/>
    </row>
    <row r="2325">
      <c r="A2325" s="139" t="str">
        <f>IFERROR(__xludf.DUMMYFUNCTION("""COMPUTED_VALUE"""),"e")</f>
        <v>e</v>
      </c>
      <c r="B2325" s="139">
        <f>IFERROR(__xludf.DUMMYFUNCTION("""COMPUTED_VALUE"""),2.0251101E8)</f>
        <v>202511010</v>
      </c>
      <c r="C2325" s="139" t="str">
        <f>IFERROR(__xludf.DUMMYFUNCTION("""COMPUTED_VALUE"""),"e_mag_00201_mag1_advent_Boss_Red_Normal_00000")</f>
        <v>e_mag_00201_mag1_advent_Boss_Red_Normal_00000</v>
      </c>
      <c r="D2325" s="139" t="str">
        <f>IFERROR(__xludf.DUMMYFUNCTION("""COMPUTED_VALUE"""),"e_mag_00201_mag1_advent_Boss_Red")</f>
        <v>e_mag_00201_mag1_advent_Boss_Red</v>
      </c>
      <c r="E2325" s="139">
        <f>IFERROR(__xludf.DUMMYFUNCTION("""COMPUTED_VALUE"""),0.0)</f>
        <v>0</v>
      </c>
      <c r="F2325" s="139" t="str">
        <f>IFERROR(__xludf.DUMMYFUNCTION("""COMPUTED_VALUE"""),"Normal")</f>
        <v>Normal</v>
      </c>
      <c r="G2325" s="139"/>
      <c r="H2325" s="139"/>
      <c r="I2325" s="139">
        <f>IFERROR(__xludf.DUMMYFUNCTION("""COMPUTED_VALUE"""),75.0)</f>
        <v>75</v>
      </c>
      <c r="J2325" s="139">
        <f>IFERROR(__xludf.DUMMYFUNCTION("""COMPUTED_VALUE"""),37.0)</f>
        <v>37</v>
      </c>
      <c r="K2325" s="139">
        <f>IFERROR(__xludf.DUMMYFUNCTION("""COMPUTED_VALUE"""),60.0)</f>
        <v>60</v>
      </c>
      <c r="L2325" s="139"/>
      <c r="M2325" s="139"/>
      <c r="N2325" s="139"/>
    </row>
    <row r="2326">
      <c r="A2326" s="139" t="str">
        <f>IFERROR(__xludf.DUMMYFUNCTION("""COMPUTED_VALUE"""),"e")</f>
        <v>e</v>
      </c>
      <c r="B2326" s="139">
        <f>IFERROR(__xludf.DUMMYFUNCTION("""COMPUTED_VALUE"""),2.0251101E8)</f>
        <v>202511010</v>
      </c>
      <c r="C2326" s="139" t="str">
        <f>IFERROR(__xludf.DUMMYFUNCTION("""COMPUTED_VALUE"""),"e_mag_00201_mag1_advent_Boss_Red_Appearance_00001")</f>
        <v>e_mag_00201_mag1_advent_Boss_Red_Appearance_00001</v>
      </c>
      <c r="D2326" s="139" t="str">
        <f>IFERROR(__xludf.DUMMYFUNCTION("""COMPUTED_VALUE"""),"e_mag_00201_mag1_advent_Boss_Red")</f>
        <v>e_mag_00201_mag1_advent_Boss_Red</v>
      </c>
      <c r="E2326" s="139">
        <f>IFERROR(__xludf.DUMMYFUNCTION("""COMPUTED_VALUE"""),0.0)</f>
        <v>0</v>
      </c>
      <c r="F2326" s="139" t="str">
        <f>IFERROR(__xludf.DUMMYFUNCTION("""COMPUTED_VALUE"""),"Appearance")</f>
        <v>Appearance</v>
      </c>
      <c r="G2326" s="139"/>
      <c r="H2326" s="139"/>
      <c r="I2326" s="139">
        <f>IFERROR(__xludf.DUMMYFUNCTION("""COMPUTED_VALUE"""),50.0)</f>
        <v>50</v>
      </c>
      <c r="J2326" s="139">
        <f>IFERROR(__xludf.DUMMYFUNCTION("""COMPUTED_VALUE"""),0.0)</f>
        <v>0</v>
      </c>
      <c r="K2326" s="139">
        <f>IFERROR(__xludf.DUMMYFUNCTION("""COMPUTED_VALUE"""),0.0)</f>
        <v>0</v>
      </c>
      <c r="L2326" s="139"/>
      <c r="M2326" s="139"/>
      <c r="N2326" s="139"/>
    </row>
    <row r="2327">
      <c r="A2327" s="139" t="str">
        <f>IFERROR(__xludf.DUMMYFUNCTION("""COMPUTED_VALUE"""),"e")</f>
        <v>e</v>
      </c>
      <c r="B2327" s="139">
        <f>IFERROR(__xludf.DUMMYFUNCTION("""COMPUTED_VALUE"""),2.0251101E8)</f>
        <v>202511010</v>
      </c>
      <c r="C2327" s="139" t="str">
        <f>IFERROR(__xludf.DUMMYFUNCTION("""COMPUTED_VALUE"""),"e_mag_00401_mag1_advent_Boss_Colorless_Normal_00000")</f>
        <v>e_mag_00401_mag1_advent_Boss_Colorless_Normal_00000</v>
      </c>
      <c r="D2327" s="139" t="str">
        <f>IFERROR(__xludf.DUMMYFUNCTION("""COMPUTED_VALUE"""),"e_mag_00401_mag1_advent_Boss_Colorless")</f>
        <v>e_mag_00401_mag1_advent_Boss_Colorless</v>
      </c>
      <c r="E2327" s="139">
        <f>IFERROR(__xludf.DUMMYFUNCTION("""COMPUTED_VALUE"""),0.0)</f>
        <v>0</v>
      </c>
      <c r="F2327" s="139" t="str">
        <f>IFERROR(__xludf.DUMMYFUNCTION("""COMPUTED_VALUE"""),"Normal")</f>
        <v>Normal</v>
      </c>
      <c r="G2327" s="139"/>
      <c r="H2327" s="139"/>
      <c r="I2327" s="139">
        <f>IFERROR(__xludf.DUMMYFUNCTION("""COMPUTED_VALUE"""),84.0)</f>
        <v>84</v>
      </c>
      <c r="J2327" s="139">
        <f>IFERROR(__xludf.DUMMYFUNCTION("""COMPUTED_VALUE"""),42.0)</f>
        <v>42</v>
      </c>
      <c r="K2327" s="139">
        <f>IFERROR(__xludf.DUMMYFUNCTION("""COMPUTED_VALUE"""),50.0)</f>
        <v>50</v>
      </c>
      <c r="L2327" s="139"/>
      <c r="M2327" s="139"/>
      <c r="N2327" s="139"/>
    </row>
    <row r="2328">
      <c r="A2328" s="139" t="str">
        <f>IFERROR(__xludf.DUMMYFUNCTION("""COMPUTED_VALUE"""),"e")</f>
        <v>e</v>
      </c>
      <c r="B2328" s="139">
        <f>IFERROR(__xludf.DUMMYFUNCTION("""COMPUTED_VALUE"""),2.0251101E8)</f>
        <v>202511010</v>
      </c>
      <c r="C2328" s="139" t="str">
        <f>IFERROR(__xludf.DUMMYFUNCTION("""COMPUTED_VALUE"""),"e_mag_00401_mag1_advent_Boss_Colorless_Appearance_00001")</f>
        <v>e_mag_00401_mag1_advent_Boss_Colorless_Appearance_00001</v>
      </c>
      <c r="D2328" s="139" t="str">
        <f>IFERROR(__xludf.DUMMYFUNCTION("""COMPUTED_VALUE"""),"e_mag_00401_mag1_advent_Boss_Colorless")</f>
        <v>e_mag_00401_mag1_advent_Boss_Colorless</v>
      </c>
      <c r="E2328" s="139">
        <f>IFERROR(__xludf.DUMMYFUNCTION("""COMPUTED_VALUE"""),0.0)</f>
        <v>0</v>
      </c>
      <c r="F2328" s="139" t="str">
        <f>IFERROR(__xludf.DUMMYFUNCTION("""COMPUTED_VALUE"""),"Appearance")</f>
        <v>Appearance</v>
      </c>
      <c r="G2328" s="139"/>
      <c r="H2328" s="139"/>
      <c r="I2328" s="139">
        <f>IFERROR(__xludf.DUMMYFUNCTION("""COMPUTED_VALUE"""),50.0)</f>
        <v>50</v>
      </c>
      <c r="J2328" s="139">
        <f>IFERROR(__xludf.DUMMYFUNCTION("""COMPUTED_VALUE"""),0.0)</f>
        <v>0</v>
      </c>
      <c r="K2328" s="139">
        <f>IFERROR(__xludf.DUMMYFUNCTION("""COMPUTED_VALUE"""),0.0)</f>
        <v>0</v>
      </c>
      <c r="L2328" s="139"/>
      <c r="M2328" s="139"/>
      <c r="N2328" s="139"/>
    </row>
    <row r="2329">
      <c r="A2329" s="139" t="str">
        <f>IFERROR(__xludf.DUMMYFUNCTION("""COMPUTED_VALUE"""),"e")</f>
        <v>e</v>
      </c>
      <c r="B2329" s="139">
        <f>IFERROR(__xludf.DUMMYFUNCTION("""COMPUTED_VALUE"""),2.0251101E8)</f>
        <v>202511010</v>
      </c>
      <c r="C2329" s="139" t="str">
        <f>IFERROR(__xludf.DUMMYFUNCTION("""COMPUTED_VALUE"""),"e_mag_00401_mag1_advent_Boss_Green_Normal_00000")</f>
        <v>e_mag_00401_mag1_advent_Boss_Green_Normal_00000</v>
      </c>
      <c r="D2329" s="139" t="str">
        <f>IFERROR(__xludf.DUMMYFUNCTION("""COMPUTED_VALUE"""),"e_mag_00401_mag1_advent_Boss_Green")</f>
        <v>e_mag_00401_mag1_advent_Boss_Green</v>
      </c>
      <c r="E2329" s="139">
        <f>IFERROR(__xludf.DUMMYFUNCTION("""COMPUTED_VALUE"""),0.0)</f>
        <v>0</v>
      </c>
      <c r="F2329" s="139" t="str">
        <f>IFERROR(__xludf.DUMMYFUNCTION("""COMPUTED_VALUE"""),"Normal")</f>
        <v>Normal</v>
      </c>
      <c r="G2329" s="139"/>
      <c r="H2329" s="139"/>
      <c r="I2329" s="139">
        <f>IFERROR(__xludf.DUMMYFUNCTION("""COMPUTED_VALUE"""),84.0)</f>
        <v>84</v>
      </c>
      <c r="J2329" s="139">
        <f>IFERROR(__xludf.DUMMYFUNCTION("""COMPUTED_VALUE"""),42.0)</f>
        <v>42</v>
      </c>
      <c r="K2329" s="139">
        <f>IFERROR(__xludf.DUMMYFUNCTION("""COMPUTED_VALUE"""),50.0)</f>
        <v>50</v>
      </c>
      <c r="L2329" s="139"/>
      <c r="M2329" s="139"/>
      <c r="N2329" s="139"/>
    </row>
    <row r="2330">
      <c r="A2330" s="139" t="str">
        <f>IFERROR(__xludf.DUMMYFUNCTION("""COMPUTED_VALUE"""),"e")</f>
        <v>e</v>
      </c>
      <c r="B2330" s="139">
        <f>IFERROR(__xludf.DUMMYFUNCTION("""COMPUTED_VALUE"""),2.0251101E8)</f>
        <v>202511010</v>
      </c>
      <c r="C2330" s="139" t="str">
        <f>IFERROR(__xludf.DUMMYFUNCTION("""COMPUTED_VALUE"""),"e_mag_00401_mag1_advent_Boss_Green_Appearance_00001")</f>
        <v>e_mag_00401_mag1_advent_Boss_Green_Appearance_00001</v>
      </c>
      <c r="D2330" s="139" t="str">
        <f>IFERROR(__xludf.DUMMYFUNCTION("""COMPUTED_VALUE"""),"e_mag_00401_mag1_advent_Boss_Green")</f>
        <v>e_mag_00401_mag1_advent_Boss_Green</v>
      </c>
      <c r="E2330" s="139">
        <f>IFERROR(__xludf.DUMMYFUNCTION("""COMPUTED_VALUE"""),0.0)</f>
        <v>0</v>
      </c>
      <c r="F2330" s="139" t="str">
        <f>IFERROR(__xludf.DUMMYFUNCTION("""COMPUTED_VALUE"""),"Appearance")</f>
        <v>Appearance</v>
      </c>
      <c r="G2330" s="139"/>
      <c r="H2330" s="139"/>
      <c r="I2330" s="139">
        <f>IFERROR(__xludf.DUMMYFUNCTION("""COMPUTED_VALUE"""),50.0)</f>
        <v>50</v>
      </c>
      <c r="J2330" s="139">
        <f>IFERROR(__xludf.DUMMYFUNCTION("""COMPUTED_VALUE"""),0.0)</f>
        <v>0</v>
      </c>
      <c r="K2330" s="139">
        <f>IFERROR(__xludf.DUMMYFUNCTION("""COMPUTED_VALUE"""),0.0)</f>
        <v>0</v>
      </c>
      <c r="L2330" s="139"/>
      <c r="M2330" s="139"/>
      <c r="N2330" s="139"/>
    </row>
    <row r="2331">
      <c r="A2331" s="139" t="str">
        <f>IFERROR(__xludf.DUMMYFUNCTION("""COMPUTED_VALUE"""),"e")</f>
        <v>e</v>
      </c>
      <c r="B2331" s="139">
        <f>IFERROR(__xludf.DUMMYFUNCTION("""COMPUTED_VALUE"""),2.0251101E8)</f>
        <v>202511010</v>
      </c>
      <c r="C2331" s="139" t="str">
        <f>IFERROR(__xludf.DUMMYFUNCTION("""COMPUTED_VALUE"""),"e_mag_00001_mag1_advent_Boss_Green_Normal_00000")</f>
        <v>e_mag_00001_mag1_advent_Boss_Green_Normal_00000</v>
      </c>
      <c r="D2331" s="139" t="str">
        <f>IFERROR(__xludf.DUMMYFUNCTION("""COMPUTED_VALUE"""),"e_mag_00001_mag1_advent_Boss_Green")</f>
        <v>e_mag_00001_mag1_advent_Boss_Green</v>
      </c>
      <c r="E2331" s="139">
        <f>IFERROR(__xludf.DUMMYFUNCTION("""COMPUTED_VALUE"""),0.0)</f>
        <v>0</v>
      </c>
      <c r="F2331" s="139" t="str">
        <f>IFERROR(__xludf.DUMMYFUNCTION("""COMPUTED_VALUE"""),"Normal")</f>
        <v>Normal</v>
      </c>
      <c r="G2331" s="139"/>
      <c r="H2331" s="139"/>
      <c r="I2331" s="139">
        <f>IFERROR(__xludf.DUMMYFUNCTION("""COMPUTED_VALUE"""),75.0)</f>
        <v>75</v>
      </c>
      <c r="J2331" s="139">
        <f>IFERROR(__xludf.DUMMYFUNCTION("""COMPUTED_VALUE"""),40.0)</f>
        <v>40</v>
      </c>
      <c r="K2331" s="139">
        <f>IFERROR(__xludf.DUMMYFUNCTION("""COMPUTED_VALUE"""),200.0)</f>
        <v>200</v>
      </c>
      <c r="L2331" s="139"/>
      <c r="M2331" s="139"/>
      <c r="N2331" s="139"/>
    </row>
    <row r="2332">
      <c r="A2332" s="139" t="str">
        <f>IFERROR(__xludf.DUMMYFUNCTION("""COMPUTED_VALUE"""),"e")</f>
        <v>e</v>
      </c>
      <c r="B2332" s="139">
        <f>IFERROR(__xludf.DUMMYFUNCTION("""COMPUTED_VALUE"""),2.0251101E8)</f>
        <v>202511010</v>
      </c>
      <c r="C2332" s="139" t="str">
        <f>IFERROR(__xludf.DUMMYFUNCTION("""COMPUTED_VALUE"""),"e_mag_00001_mag1_advent_Boss_Green_Appearance_00001")</f>
        <v>e_mag_00001_mag1_advent_Boss_Green_Appearance_00001</v>
      </c>
      <c r="D2332" s="139" t="str">
        <f>IFERROR(__xludf.DUMMYFUNCTION("""COMPUTED_VALUE"""),"e_mag_00001_mag1_advent_Boss_Green")</f>
        <v>e_mag_00001_mag1_advent_Boss_Green</v>
      </c>
      <c r="E2332" s="139">
        <f>IFERROR(__xludf.DUMMYFUNCTION("""COMPUTED_VALUE"""),0.0)</f>
        <v>0</v>
      </c>
      <c r="F2332" s="139" t="str">
        <f>IFERROR(__xludf.DUMMYFUNCTION("""COMPUTED_VALUE"""),"Appearance")</f>
        <v>Appearance</v>
      </c>
      <c r="G2332" s="139"/>
      <c r="H2332" s="139"/>
      <c r="I2332" s="139">
        <f>IFERROR(__xludf.DUMMYFUNCTION("""COMPUTED_VALUE"""),50.0)</f>
        <v>50</v>
      </c>
      <c r="J2332" s="139">
        <f>IFERROR(__xludf.DUMMYFUNCTION("""COMPUTED_VALUE"""),0.0)</f>
        <v>0</v>
      </c>
      <c r="K2332" s="139">
        <f>IFERROR(__xludf.DUMMYFUNCTION("""COMPUTED_VALUE"""),0.0)</f>
        <v>0</v>
      </c>
      <c r="L2332" s="139"/>
      <c r="M2332" s="139"/>
      <c r="N2332" s="139"/>
    </row>
    <row r="2333">
      <c r="A2333" s="139"/>
      <c r="B2333" s="139"/>
      <c r="C2333" s="139"/>
      <c r="D2333" s="139"/>
      <c r="E2333" s="139"/>
      <c r="F2333" s="139"/>
      <c r="G2333" s="139"/>
      <c r="H2333" s="139"/>
      <c r="I2333" s="139"/>
      <c r="J2333" s="139"/>
      <c r="K2333" s="139"/>
      <c r="L2333" s="139"/>
      <c r="M2333" s="139"/>
      <c r="N2333" s="139"/>
    </row>
    <row r="2334">
      <c r="A2334" s="139" t="str">
        <f>IFERROR(__xludf.DUMMYFUNCTION("""COMPUTED_VALUE"""),"e")</f>
        <v>e</v>
      </c>
      <c r="B2334" s="139">
        <f>IFERROR(__xludf.DUMMYFUNCTION("""COMPUTED_VALUE"""),2.0251102E8)</f>
        <v>202511020</v>
      </c>
      <c r="C2334" s="139" t="str">
        <f>IFERROR(__xludf.DUMMYFUNCTION("""COMPUTED_VALUE"""),"c_yuw_00001_753get_Normal_Green_Normal_00000")</f>
        <v>c_yuw_00001_753get_Normal_Green_Normal_00000</v>
      </c>
      <c r="D2334" s="139" t="str">
        <f>IFERROR(__xludf.DUMMYFUNCTION("""COMPUTED_VALUE"""),"c_yuw_00001_753get_Normal_Green")</f>
        <v>c_yuw_00001_753get_Normal_Green</v>
      </c>
      <c r="E2334" s="139">
        <f>IFERROR(__xludf.DUMMYFUNCTION("""COMPUTED_VALUE"""),0.0)</f>
        <v>0</v>
      </c>
      <c r="F2334" s="139" t="str">
        <f>IFERROR(__xludf.DUMMYFUNCTION("""COMPUTED_VALUE"""),"Normal")</f>
        <v>Normal</v>
      </c>
      <c r="G2334" s="139"/>
      <c r="H2334" s="139"/>
      <c r="I2334" s="139">
        <f>IFERROR(__xludf.DUMMYFUNCTION("""COMPUTED_VALUE"""),77.0)</f>
        <v>77</v>
      </c>
      <c r="J2334" s="139">
        <f>IFERROR(__xludf.DUMMYFUNCTION("""COMPUTED_VALUE"""),25.0)</f>
        <v>25</v>
      </c>
      <c r="K2334" s="139">
        <f>IFERROR(__xludf.DUMMYFUNCTION("""COMPUTED_VALUE"""),75.0)</f>
        <v>75</v>
      </c>
      <c r="L2334" s="139"/>
      <c r="M2334" s="139"/>
      <c r="N2334" s="139"/>
    </row>
    <row r="2335">
      <c r="A2335" s="139" t="str">
        <f>IFERROR(__xludf.DUMMYFUNCTION("""COMPUTED_VALUE"""),"e")</f>
        <v>e</v>
      </c>
      <c r="B2335" s="139">
        <f>IFERROR(__xludf.DUMMYFUNCTION("""COMPUTED_VALUE"""),2.0251102E8)</f>
        <v>202511020</v>
      </c>
      <c r="C2335" s="139" t="str">
        <f>IFERROR(__xludf.DUMMYFUNCTION("""COMPUTED_VALUE"""),"c_yuw_00001_753get_Normal_Green_Special_00001")</f>
        <v>c_yuw_00001_753get_Normal_Green_Special_00001</v>
      </c>
      <c r="D2335" s="139" t="str">
        <f>IFERROR(__xludf.DUMMYFUNCTION("""COMPUTED_VALUE"""),"c_yuw_00001_753get_Normal_Green")</f>
        <v>c_yuw_00001_753get_Normal_Green</v>
      </c>
      <c r="E2335" s="139">
        <f>IFERROR(__xludf.DUMMYFUNCTION("""COMPUTED_VALUE"""),0.0)</f>
        <v>0</v>
      </c>
      <c r="F2335" s="139" t="str">
        <f>IFERROR(__xludf.DUMMYFUNCTION("""COMPUTED_VALUE"""),"Special")</f>
        <v>Special</v>
      </c>
      <c r="G2335" s="139"/>
      <c r="H2335" s="139"/>
      <c r="I2335" s="139">
        <f>IFERROR(__xludf.DUMMYFUNCTION("""COMPUTED_VALUE"""),184.0)</f>
        <v>184</v>
      </c>
      <c r="J2335" s="139">
        <f>IFERROR(__xludf.DUMMYFUNCTION("""COMPUTED_VALUE"""),122.0)</f>
        <v>122</v>
      </c>
      <c r="K2335" s="139">
        <f>IFERROR(__xludf.DUMMYFUNCTION("""COMPUTED_VALUE"""),0.0)</f>
        <v>0</v>
      </c>
      <c r="L2335" s="139"/>
      <c r="M2335" s="139"/>
      <c r="N2335" s="139"/>
    </row>
    <row r="2336">
      <c r="A2336" s="139" t="str">
        <f>IFERROR(__xludf.DUMMYFUNCTION("""COMPUTED_VALUE"""),"e")</f>
        <v>e</v>
      </c>
      <c r="B2336" s="139">
        <f>IFERROR(__xludf.DUMMYFUNCTION("""COMPUTED_VALUE"""),2.0251102E8)</f>
        <v>202511020</v>
      </c>
      <c r="C2336" s="139" t="str">
        <f>IFERROR(__xludf.DUMMYFUNCTION("""COMPUTED_VALUE"""),"c_yuw_00001_753get_Boss_Green_Normal_00000")</f>
        <v>c_yuw_00001_753get_Boss_Green_Normal_00000</v>
      </c>
      <c r="D2336" s="139" t="str">
        <f>IFERROR(__xludf.DUMMYFUNCTION("""COMPUTED_VALUE"""),"c_yuw_00001_753get_Boss_Green")</f>
        <v>c_yuw_00001_753get_Boss_Green</v>
      </c>
      <c r="E2336" s="139">
        <f>IFERROR(__xludf.DUMMYFUNCTION("""COMPUTED_VALUE"""),0.0)</f>
        <v>0</v>
      </c>
      <c r="F2336" s="139" t="str">
        <f>IFERROR(__xludf.DUMMYFUNCTION("""COMPUTED_VALUE"""),"Normal")</f>
        <v>Normal</v>
      </c>
      <c r="G2336" s="139"/>
      <c r="H2336" s="139"/>
      <c r="I2336" s="139">
        <f>IFERROR(__xludf.DUMMYFUNCTION("""COMPUTED_VALUE"""),77.0)</f>
        <v>77</v>
      </c>
      <c r="J2336" s="139">
        <f>IFERROR(__xludf.DUMMYFUNCTION("""COMPUTED_VALUE"""),25.0)</f>
        <v>25</v>
      </c>
      <c r="K2336" s="139">
        <f>IFERROR(__xludf.DUMMYFUNCTION("""COMPUTED_VALUE"""),75.0)</f>
        <v>75</v>
      </c>
      <c r="L2336" s="139"/>
      <c r="M2336" s="139"/>
      <c r="N2336" s="139"/>
    </row>
    <row r="2337">
      <c r="A2337" s="139" t="str">
        <f>IFERROR(__xludf.DUMMYFUNCTION("""COMPUTED_VALUE"""),"e")</f>
        <v>e</v>
      </c>
      <c r="B2337" s="139">
        <f>IFERROR(__xludf.DUMMYFUNCTION("""COMPUTED_VALUE"""),2.0251102E8)</f>
        <v>202511020</v>
      </c>
      <c r="C2337" s="139" t="str">
        <f>IFERROR(__xludf.DUMMYFUNCTION("""COMPUTED_VALUE"""),"c_yuw_00001_753get_Boss_Green_Appearance_00001")</f>
        <v>c_yuw_00001_753get_Boss_Green_Appearance_00001</v>
      </c>
      <c r="D2337" s="139" t="str">
        <f>IFERROR(__xludf.DUMMYFUNCTION("""COMPUTED_VALUE"""),"c_yuw_00001_753get_Boss_Green")</f>
        <v>c_yuw_00001_753get_Boss_Green</v>
      </c>
      <c r="E2337" s="139">
        <f>IFERROR(__xludf.DUMMYFUNCTION("""COMPUTED_VALUE"""),0.0)</f>
        <v>0</v>
      </c>
      <c r="F2337" s="139" t="str">
        <f>IFERROR(__xludf.DUMMYFUNCTION("""COMPUTED_VALUE"""),"Appearance")</f>
        <v>Appearance</v>
      </c>
      <c r="G2337" s="139"/>
      <c r="H2337" s="139"/>
      <c r="I2337" s="139">
        <f>IFERROR(__xludf.DUMMYFUNCTION("""COMPUTED_VALUE"""),50.0)</f>
        <v>50</v>
      </c>
      <c r="J2337" s="139">
        <f>IFERROR(__xludf.DUMMYFUNCTION("""COMPUTED_VALUE"""),0.0)</f>
        <v>0</v>
      </c>
      <c r="K2337" s="139">
        <f>IFERROR(__xludf.DUMMYFUNCTION("""COMPUTED_VALUE"""),0.0)</f>
        <v>0</v>
      </c>
      <c r="L2337" s="139"/>
      <c r="M2337" s="139"/>
      <c r="N2337" s="139"/>
    </row>
    <row r="2338">
      <c r="A2338" s="139" t="str">
        <f>IFERROR(__xludf.DUMMYFUNCTION("""COMPUTED_VALUE"""),"e")</f>
        <v>e</v>
      </c>
      <c r="B2338" s="139">
        <f>IFERROR(__xludf.DUMMYFUNCTION("""COMPUTED_VALUE"""),2.0251102E8)</f>
        <v>202511020</v>
      </c>
      <c r="C2338" s="139" t="str">
        <f>IFERROR(__xludf.DUMMYFUNCTION("""COMPUTED_VALUE"""),"c_yuw_00001_753get_Boss_Green_Special_00002")</f>
        <v>c_yuw_00001_753get_Boss_Green_Special_00002</v>
      </c>
      <c r="D2338" s="139" t="str">
        <f>IFERROR(__xludf.DUMMYFUNCTION("""COMPUTED_VALUE"""),"c_yuw_00001_753get_Boss_Green")</f>
        <v>c_yuw_00001_753get_Boss_Green</v>
      </c>
      <c r="E2338" s="139">
        <f>IFERROR(__xludf.DUMMYFUNCTION("""COMPUTED_VALUE"""),0.0)</f>
        <v>0</v>
      </c>
      <c r="F2338" s="139" t="str">
        <f>IFERROR(__xludf.DUMMYFUNCTION("""COMPUTED_VALUE"""),"Special")</f>
        <v>Special</v>
      </c>
      <c r="G2338" s="139"/>
      <c r="H2338" s="139"/>
      <c r="I2338" s="139">
        <f>IFERROR(__xludf.DUMMYFUNCTION("""COMPUTED_VALUE"""),184.0)</f>
        <v>184</v>
      </c>
      <c r="J2338" s="139">
        <f>IFERROR(__xludf.DUMMYFUNCTION("""COMPUTED_VALUE"""),122.0)</f>
        <v>122</v>
      </c>
      <c r="K2338" s="139">
        <f>IFERROR(__xludf.DUMMYFUNCTION("""COMPUTED_VALUE"""),0.0)</f>
        <v>0</v>
      </c>
      <c r="L2338" s="139"/>
      <c r="M2338" s="139"/>
      <c r="N2338" s="139"/>
    </row>
    <row r="2339">
      <c r="A2339" s="139" t="str">
        <f>IFERROR(__xludf.DUMMYFUNCTION("""COMPUTED_VALUE"""),"e")</f>
        <v>e</v>
      </c>
      <c r="B2339" s="139">
        <f>IFERROR(__xludf.DUMMYFUNCTION("""COMPUTED_VALUE"""),2.0251102E8)</f>
        <v>202511020</v>
      </c>
      <c r="C2339" s="139" t="str">
        <f>IFERROR(__xludf.DUMMYFUNCTION("""COMPUTED_VALUE"""),"c_yuw_00101_753get_Normal_Green_Normal_00000")</f>
        <v>c_yuw_00101_753get_Normal_Green_Normal_00000</v>
      </c>
      <c r="D2339" s="139" t="str">
        <f>IFERROR(__xludf.DUMMYFUNCTION("""COMPUTED_VALUE"""),"c_yuw_00101_753get_Normal_Green")</f>
        <v>c_yuw_00101_753get_Normal_Green</v>
      </c>
      <c r="E2339" s="139">
        <f>IFERROR(__xludf.DUMMYFUNCTION("""COMPUTED_VALUE"""),0.0)</f>
        <v>0</v>
      </c>
      <c r="F2339" s="139" t="str">
        <f>IFERROR(__xludf.DUMMYFUNCTION("""COMPUTED_VALUE"""),"Normal")</f>
        <v>Normal</v>
      </c>
      <c r="G2339" s="139"/>
      <c r="H2339" s="139"/>
      <c r="I2339" s="139">
        <f>IFERROR(__xludf.DUMMYFUNCTION("""COMPUTED_VALUE"""),75.0)</f>
        <v>75</v>
      </c>
      <c r="J2339" s="139">
        <f>IFERROR(__xludf.DUMMYFUNCTION("""COMPUTED_VALUE"""),0.0)</f>
        <v>0</v>
      </c>
      <c r="K2339" s="139">
        <f>IFERROR(__xludf.DUMMYFUNCTION("""COMPUTED_VALUE"""),80.0)</f>
        <v>80</v>
      </c>
      <c r="L2339" s="139"/>
      <c r="M2339" s="139"/>
      <c r="N2339" s="139"/>
    </row>
    <row r="2340">
      <c r="A2340" s="139" t="str">
        <f>IFERROR(__xludf.DUMMYFUNCTION("""COMPUTED_VALUE"""),"e")</f>
        <v>e</v>
      </c>
      <c r="B2340" s="139">
        <f>IFERROR(__xludf.DUMMYFUNCTION("""COMPUTED_VALUE"""),2.0251102E8)</f>
        <v>202511020</v>
      </c>
      <c r="C2340" s="139" t="str">
        <f>IFERROR(__xludf.DUMMYFUNCTION("""COMPUTED_VALUE"""),"c_yuw_00101_753get_Normal_Green_Special_00001")</f>
        <v>c_yuw_00101_753get_Normal_Green_Special_00001</v>
      </c>
      <c r="D2340" s="139" t="str">
        <f>IFERROR(__xludf.DUMMYFUNCTION("""COMPUTED_VALUE"""),"c_yuw_00101_753get_Normal_Green")</f>
        <v>c_yuw_00101_753get_Normal_Green</v>
      </c>
      <c r="E2340" s="139">
        <f>IFERROR(__xludf.DUMMYFUNCTION("""COMPUTED_VALUE"""),0.0)</f>
        <v>0</v>
      </c>
      <c r="F2340" s="139" t="str">
        <f>IFERROR(__xludf.DUMMYFUNCTION("""COMPUTED_VALUE"""),"Special")</f>
        <v>Special</v>
      </c>
      <c r="G2340" s="139"/>
      <c r="H2340" s="139"/>
      <c r="I2340" s="139">
        <f>IFERROR(__xludf.DUMMYFUNCTION("""COMPUTED_VALUE"""),175.0)</f>
        <v>175</v>
      </c>
      <c r="J2340" s="139">
        <f>IFERROR(__xludf.DUMMYFUNCTION("""COMPUTED_VALUE"""),160.0)</f>
        <v>160</v>
      </c>
      <c r="K2340" s="139">
        <f>IFERROR(__xludf.DUMMYFUNCTION("""COMPUTED_VALUE"""),0.0)</f>
        <v>0</v>
      </c>
      <c r="L2340" s="139"/>
      <c r="M2340" s="139"/>
      <c r="N2340" s="139"/>
    </row>
    <row r="2341">
      <c r="A2341" s="139" t="str">
        <f>IFERROR(__xludf.DUMMYFUNCTION("""COMPUTED_VALUE"""),"e")</f>
        <v>e</v>
      </c>
      <c r="B2341" s="139">
        <f>IFERROR(__xludf.DUMMYFUNCTION("""COMPUTED_VALUE"""),2.0251102E8)</f>
        <v>202511020</v>
      </c>
      <c r="C2341" s="139" t="str">
        <f>IFERROR(__xludf.DUMMYFUNCTION("""COMPUTED_VALUE"""),"c_yuw_00201_753get_Normal_Green_Normal_00000")</f>
        <v>c_yuw_00201_753get_Normal_Green_Normal_00000</v>
      </c>
      <c r="D2341" s="139" t="str">
        <f>IFERROR(__xludf.DUMMYFUNCTION("""COMPUTED_VALUE"""),"c_yuw_00201_753get_Normal_Green")</f>
        <v>c_yuw_00201_753get_Normal_Green</v>
      </c>
      <c r="E2341" s="139">
        <f>IFERROR(__xludf.DUMMYFUNCTION("""COMPUTED_VALUE"""),0.0)</f>
        <v>0</v>
      </c>
      <c r="F2341" s="139" t="str">
        <f>IFERROR(__xludf.DUMMYFUNCTION("""COMPUTED_VALUE"""),"Normal")</f>
        <v>Normal</v>
      </c>
      <c r="G2341" s="139"/>
      <c r="H2341" s="139"/>
      <c r="I2341" s="139">
        <f>IFERROR(__xludf.DUMMYFUNCTION("""COMPUTED_VALUE"""),53.0)</f>
        <v>53</v>
      </c>
      <c r="J2341" s="139">
        <f>IFERROR(__xludf.DUMMYFUNCTION("""COMPUTED_VALUE"""),17.0)</f>
        <v>17</v>
      </c>
      <c r="K2341" s="139">
        <f>IFERROR(__xludf.DUMMYFUNCTION("""COMPUTED_VALUE"""),75.0)</f>
        <v>75</v>
      </c>
      <c r="L2341" s="139"/>
      <c r="M2341" s="139"/>
      <c r="N2341" s="139"/>
    </row>
    <row r="2342">
      <c r="A2342" s="139" t="str">
        <f>IFERROR(__xludf.DUMMYFUNCTION("""COMPUTED_VALUE"""),"e")</f>
        <v>e</v>
      </c>
      <c r="B2342" s="139">
        <f>IFERROR(__xludf.DUMMYFUNCTION("""COMPUTED_VALUE"""),2.0251102E8)</f>
        <v>202511020</v>
      </c>
      <c r="C2342" s="139" t="str">
        <f>IFERROR(__xludf.DUMMYFUNCTION("""COMPUTED_VALUE"""),"c_yuw_00201_753get_Normal_Green_Special_00001")</f>
        <v>c_yuw_00201_753get_Normal_Green_Special_00001</v>
      </c>
      <c r="D2342" s="139" t="str">
        <f>IFERROR(__xludf.DUMMYFUNCTION("""COMPUTED_VALUE"""),"c_yuw_00201_753get_Normal_Green")</f>
        <v>c_yuw_00201_753get_Normal_Green</v>
      </c>
      <c r="E2342" s="139">
        <f>IFERROR(__xludf.DUMMYFUNCTION("""COMPUTED_VALUE"""),0.0)</f>
        <v>0</v>
      </c>
      <c r="F2342" s="139" t="str">
        <f>IFERROR(__xludf.DUMMYFUNCTION("""COMPUTED_VALUE"""),"Special")</f>
        <v>Special</v>
      </c>
      <c r="G2342" s="139"/>
      <c r="H2342" s="139"/>
      <c r="I2342" s="139">
        <f>IFERROR(__xludf.DUMMYFUNCTION("""COMPUTED_VALUE"""),234.0)</f>
        <v>234</v>
      </c>
      <c r="J2342" s="139">
        <f>IFERROR(__xludf.DUMMYFUNCTION("""COMPUTED_VALUE"""),175.0)</f>
        <v>175</v>
      </c>
      <c r="K2342" s="139">
        <f>IFERROR(__xludf.DUMMYFUNCTION("""COMPUTED_VALUE"""),0.0)</f>
        <v>0</v>
      </c>
      <c r="L2342" s="139"/>
      <c r="M2342" s="139"/>
      <c r="N2342" s="139"/>
    </row>
    <row r="2343">
      <c r="A2343" s="139" t="str">
        <f>IFERROR(__xludf.DUMMYFUNCTION("""COMPUTED_VALUE"""),"e")</f>
        <v>e</v>
      </c>
      <c r="B2343" s="139">
        <f>IFERROR(__xludf.DUMMYFUNCTION("""COMPUTED_VALUE"""),2.0251102E8)</f>
        <v>202511020</v>
      </c>
      <c r="C2343" s="139" t="str">
        <f>IFERROR(__xludf.DUMMYFUNCTION("""COMPUTED_VALUE"""),"c_yuw_00501_753get_Boss_Green_Normal_00000")</f>
        <v>c_yuw_00501_753get_Boss_Green_Normal_00000</v>
      </c>
      <c r="D2343" s="139" t="str">
        <f>IFERROR(__xludf.DUMMYFUNCTION("""COMPUTED_VALUE"""),"c_yuw_00501_753get_Boss_Green")</f>
        <v>c_yuw_00501_753get_Boss_Green</v>
      </c>
      <c r="E2343" s="139">
        <f>IFERROR(__xludf.DUMMYFUNCTION("""COMPUTED_VALUE"""),0.0)</f>
        <v>0</v>
      </c>
      <c r="F2343" s="139" t="str">
        <f>IFERROR(__xludf.DUMMYFUNCTION("""COMPUTED_VALUE"""),"Normal")</f>
        <v>Normal</v>
      </c>
      <c r="G2343" s="139"/>
      <c r="H2343" s="139"/>
      <c r="I2343" s="139">
        <f>IFERROR(__xludf.DUMMYFUNCTION("""COMPUTED_VALUE"""),62.0)</f>
        <v>62</v>
      </c>
      <c r="J2343" s="139">
        <f>IFERROR(__xludf.DUMMYFUNCTION("""COMPUTED_VALUE"""),22.0)</f>
        <v>22</v>
      </c>
      <c r="K2343" s="139">
        <f>IFERROR(__xludf.DUMMYFUNCTION("""COMPUTED_VALUE"""),60.0)</f>
        <v>60</v>
      </c>
      <c r="L2343" s="139"/>
      <c r="M2343" s="139"/>
      <c r="N2343" s="139"/>
    </row>
    <row r="2344">
      <c r="A2344" s="139" t="str">
        <f>IFERROR(__xludf.DUMMYFUNCTION("""COMPUTED_VALUE"""),"e")</f>
        <v>e</v>
      </c>
      <c r="B2344" s="139">
        <f>IFERROR(__xludf.DUMMYFUNCTION("""COMPUTED_VALUE"""),2.0251102E8)</f>
        <v>202511020</v>
      </c>
      <c r="C2344" s="139" t="str">
        <f>IFERROR(__xludf.DUMMYFUNCTION("""COMPUTED_VALUE"""),"c_yuw_00501_753get_Boss_Green_Appearance_00001")</f>
        <v>c_yuw_00501_753get_Boss_Green_Appearance_00001</v>
      </c>
      <c r="D2344" s="139" t="str">
        <f>IFERROR(__xludf.DUMMYFUNCTION("""COMPUTED_VALUE"""),"c_yuw_00501_753get_Boss_Green")</f>
        <v>c_yuw_00501_753get_Boss_Green</v>
      </c>
      <c r="E2344" s="139">
        <f>IFERROR(__xludf.DUMMYFUNCTION("""COMPUTED_VALUE"""),0.0)</f>
        <v>0</v>
      </c>
      <c r="F2344" s="139" t="str">
        <f>IFERROR(__xludf.DUMMYFUNCTION("""COMPUTED_VALUE"""),"Appearance")</f>
        <v>Appearance</v>
      </c>
      <c r="G2344" s="139"/>
      <c r="H2344" s="139"/>
      <c r="I2344" s="139">
        <f>IFERROR(__xludf.DUMMYFUNCTION("""COMPUTED_VALUE"""),50.0)</f>
        <v>50</v>
      </c>
      <c r="J2344" s="139">
        <f>IFERROR(__xludf.DUMMYFUNCTION("""COMPUTED_VALUE"""),0.0)</f>
        <v>0</v>
      </c>
      <c r="K2344" s="139">
        <f>IFERROR(__xludf.DUMMYFUNCTION("""COMPUTED_VALUE"""),0.0)</f>
        <v>0</v>
      </c>
      <c r="L2344" s="139"/>
      <c r="M2344" s="139"/>
      <c r="N2344" s="139"/>
    </row>
    <row r="2345">
      <c r="A2345" s="139" t="str">
        <f>IFERROR(__xludf.DUMMYFUNCTION("""COMPUTED_VALUE"""),"e")</f>
        <v>e</v>
      </c>
      <c r="B2345" s="139">
        <f>IFERROR(__xludf.DUMMYFUNCTION("""COMPUTED_VALUE"""),2.0251102E8)</f>
        <v>202511020</v>
      </c>
      <c r="C2345" s="139" t="str">
        <f>IFERROR(__xludf.DUMMYFUNCTION("""COMPUTED_VALUE"""),"c_yuw_00501_753get_Boss_Green_Special_00002")</f>
        <v>c_yuw_00501_753get_Boss_Green_Special_00002</v>
      </c>
      <c r="D2345" s="139" t="str">
        <f>IFERROR(__xludf.DUMMYFUNCTION("""COMPUTED_VALUE"""),"c_yuw_00501_753get_Boss_Green")</f>
        <v>c_yuw_00501_753get_Boss_Green</v>
      </c>
      <c r="E2345" s="139">
        <f>IFERROR(__xludf.DUMMYFUNCTION("""COMPUTED_VALUE"""),0.0)</f>
        <v>0</v>
      </c>
      <c r="F2345" s="139" t="str">
        <f>IFERROR(__xludf.DUMMYFUNCTION("""COMPUTED_VALUE"""),"Special")</f>
        <v>Special</v>
      </c>
      <c r="G2345" s="139"/>
      <c r="H2345" s="139"/>
      <c r="I2345" s="139">
        <f>IFERROR(__xludf.DUMMYFUNCTION("""COMPUTED_VALUE"""),109.0)</f>
        <v>109</v>
      </c>
      <c r="J2345" s="139">
        <f>IFERROR(__xludf.DUMMYFUNCTION("""COMPUTED_VALUE"""),75.0)</f>
        <v>75</v>
      </c>
      <c r="K2345" s="139">
        <f>IFERROR(__xludf.DUMMYFUNCTION("""COMPUTED_VALUE"""),0.0)</f>
        <v>0</v>
      </c>
      <c r="L2345" s="139"/>
      <c r="M2345" s="139"/>
      <c r="N2345" s="139"/>
    </row>
    <row r="2346">
      <c r="A2346" s="139" t="str">
        <f>IFERROR(__xludf.DUMMYFUNCTION("""COMPUTED_VALUE"""),"e")</f>
        <v>e</v>
      </c>
      <c r="B2346" s="139">
        <f>IFERROR(__xludf.DUMMYFUNCTION("""COMPUTED_VALUE"""),2.0251102E8)</f>
        <v>202511020</v>
      </c>
      <c r="C2346" s="139" t="str">
        <f>IFERROR(__xludf.DUMMYFUNCTION("""COMPUTED_VALUE"""),"c_yuw_00601_753get_Boss_Colorless_Normal_00000")</f>
        <v>c_yuw_00601_753get_Boss_Colorless_Normal_00000</v>
      </c>
      <c r="D2346" s="139" t="str">
        <f>IFERROR(__xludf.DUMMYFUNCTION("""COMPUTED_VALUE"""),"c_yuw_00601_753get_Boss_Colorless")</f>
        <v>c_yuw_00601_753get_Boss_Colorless</v>
      </c>
      <c r="E2346" s="139">
        <f>IFERROR(__xludf.DUMMYFUNCTION("""COMPUTED_VALUE"""),0.0)</f>
        <v>0</v>
      </c>
      <c r="F2346" s="139" t="str">
        <f>IFERROR(__xludf.DUMMYFUNCTION("""COMPUTED_VALUE"""),"Normal")</f>
        <v>Normal</v>
      </c>
      <c r="G2346" s="139"/>
      <c r="H2346" s="139"/>
      <c r="I2346" s="139">
        <f>IFERROR(__xludf.DUMMYFUNCTION("""COMPUTED_VALUE"""),60.0)</f>
        <v>60</v>
      </c>
      <c r="J2346" s="139">
        <f>IFERROR(__xludf.DUMMYFUNCTION("""COMPUTED_VALUE"""),34.0)</f>
        <v>34</v>
      </c>
      <c r="K2346" s="139">
        <f>IFERROR(__xludf.DUMMYFUNCTION("""COMPUTED_VALUE"""),60.0)</f>
        <v>60</v>
      </c>
      <c r="L2346" s="139"/>
      <c r="M2346" s="139"/>
      <c r="N2346" s="139"/>
    </row>
    <row r="2347">
      <c r="A2347" s="139" t="str">
        <f>IFERROR(__xludf.DUMMYFUNCTION("""COMPUTED_VALUE"""),"e")</f>
        <v>e</v>
      </c>
      <c r="B2347" s="139">
        <f>IFERROR(__xludf.DUMMYFUNCTION("""COMPUTED_VALUE"""),2.0251102E8)</f>
        <v>202511020</v>
      </c>
      <c r="C2347" s="139" t="str">
        <f>IFERROR(__xludf.DUMMYFUNCTION("""COMPUTED_VALUE"""),"c_yuw_00601_753get_Boss_Colorless_Appearance_00001")</f>
        <v>c_yuw_00601_753get_Boss_Colorless_Appearance_00001</v>
      </c>
      <c r="D2347" s="139" t="str">
        <f>IFERROR(__xludf.DUMMYFUNCTION("""COMPUTED_VALUE"""),"c_yuw_00601_753get_Boss_Colorless")</f>
        <v>c_yuw_00601_753get_Boss_Colorless</v>
      </c>
      <c r="E2347" s="139">
        <f>IFERROR(__xludf.DUMMYFUNCTION("""COMPUTED_VALUE"""),0.0)</f>
        <v>0</v>
      </c>
      <c r="F2347" s="139" t="str">
        <f>IFERROR(__xludf.DUMMYFUNCTION("""COMPUTED_VALUE"""),"Appearance")</f>
        <v>Appearance</v>
      </c>
      <c r="G2347" s="139"/>
      <c r="H2347" s="139"/>
      <c r="I2347" s="139">
        <f>IFERROR(__xludf.DUMMYFUNCTION("""COMPUTED_VALUE"""),50.0)</f>
        <v>50</v>
      </c>
      <c r="J2347" s="139">
        <f>IFERROR(__xludf.DUMMYFUNCTION("""COMPUTED_VALUE"""),0.0)</f>
        <v>0</v>
      </c>
      <c r="K2347" s="139">
        <f>IFERROR(__xludf.DUMMYFUNCTION("""COMPUTED_VALUE"""),0.0)</f>
        <v>0</v>
      </c>
      <c r="L2347" s="139"/>
      <c r="M2347" s="139"/>
      <c r="N2347" s="139"/>
    </row>
    <row r="2348">
      <c r="A2348" s="139" t="str">
        <f>IFERROR(__xludf.DUMMYFUNCTION("""COMPUTED_VALUE"""),"e")</f>
        <v>e</v>
      </c>
      <c r="B2348" s="139">
        <f>IFERROR(__xludf.DUMMYFUNCTION("""COMPUTED_VALUE"""),2.0251102E8)</f>
        <v>202511020</v>
      </c>
      <c r="C2348" s="139" t="str">
        <f>IFERROR(__xludf.DUMMYFUNCTION("""COMPUTED_VALUE"""),"c_yuw_00601_753get_Boss_Colorless_Special_00002")</f>
        <v>c_yuw_00601_753get_Boss_Colorless_Special_00002</v>
      </c>
      <c r="D2348" s="139" t="str">
        <f>IFERROR(__xludf.DUMMYFUNCTION("""COMPUTED_VALUE"""),"c_yuw_00601_753get_Boss_Colorless")</f>
        <v>c_yuw_00601_753get_Boss_Colorless</v>
      </c>
      <c r="E2348" s="139">
        <f>IFERROR(__xludf.DUMMYFUNCTION("""COMPUTED_VALUE"""),0.0)</f>
        <v>0</v>
      </c>
      <c r="F2348" s="139" t="str">
        <f>IFERROR(__xludf.DUMMYFUNCTION("""COMPUTED_VALUE"""),"Special")</f>
        <v>Special</v>
      </c>
      <c r="G2348" s="139"/>
      <c r="H2348" s="139"/>
      <c r="I2348" s="139">
        <f>IFERROR(__xludf.DUMMYFUNCTION("""COMPUTED_VALUE"""),92.0)</f>
        <v>92</v>
      </c>
      <c r="J2348" s="139">
        <f>IFERROR(__xludf.DUMMYFUNCTION("""COMPUTED_VALUE"""),34.0)</f>
        <v>34</v>
      </c>
      <c r="K2348" s="139">
        <f>IFERROR(__xludf.DUMMYFUNCTION("""COMPUTED_VALUE"""),0.0)</f>
        <v>0</v>
      </c>
      <c r="L2348" s="139"/>
      <c r="M2348" s="139"/>
      <c r="N2348" s="139"/>
    </row>
    <row r="2349">
      <c r="A2349" s="139" t="str">
        <f>IFERROR(__xludf.DUMMYFUNCTION("""COMPUTED_VALUE"""),"e")</f>
        <v>e</v>
      </c>
      <c r="B2349" s="139">
        <f>IFERROR(__xludf.DUMMYFUNCTION("""COMPUTED_VALUE"""),2.0251102E8)</f>
        <v>202511020</v>
      </c>
      <c r="C2349" s="139" t="str">
        <f>IFERROR(__xludf.DUMMYFUNCTION("""COMPUTED_VALUE"""),"c_yuw_00001_okumuraget_Normal_Blue_Normal_00000")</f>
        <v>c_yuw_00001_okumuraget_Normal_Blue_Normal_00000</v>
      </c>
      <c r="D2349" s="139" t="str">
        <f>IFERROR(__xludf.DUMMYFUNCTION("""COMPUTED_VALUE"""),"c_yuw_00001_okumuraget_Normal_Blue")</f>
        <v>c_yuw_00001_okumuraget_Normal_Blue</v>
      </c>
      <c r="E2349" s="139">
        <f>IFERROR(__xludf.DUMMYFUNCTION("""COMPUTED_VALUE"""),0.0)</f>
        <v>0</v>
      </c>
      <c r="F2349" s="139" t="str">
        <f>IFERROR(__xludf.DUMMYFUNCTION("""COMPUTED_VALUE"""),"Normal")</f>
        <v>Normal</v>
      </c>
      <c r="G2349" s="139"/>
      <c r="H2349" s="139"/>
      <c r="I2349" s="139">
        <f>IFERROR(__xludf.DUMMYFUNCTION("""COMPUTED_VALUE"""),77.0)</f>
        <v>77</v>
      </c>
      <c r="J2349" s="139">
        <f>IFERROR(__xludf.DUMMYFUNCTION("""COMPUTED_VALUE"""),25.0)</f>
        <v>25</v>
      </c>
      <c r="K2349" s="139">
        <f>IFERROR(__xludf.DUMMYFUNCTION("""COMPUTED_VALUE"""),75.0)</f>
        <v>75</v>
      </c>
      <c r="L2349" s="139"/>
      <c r="M2349" s="139"/>
      <c r="N2349" s="139"/>
    </row>
    <row r="2350">
      <c r="A2350" s="139" t="str">
        <f>IFERROR(__xludf.DUMMYFUNCTION("""COMPUTED_VALUE"""),"e")</f>
        <v>e</v>
      </c>
      <c r="B2350" s="139">
        <f>IFERROR(__xludf.DUMMYFUNCTION("""COMPUTED_VALUE"""),2.0251102E8)</f>
        <v>202511020</v>
      </c>
      <c r="C2350" s="139" t="str">
        <f>IFERROR(__xludf.DUMMYFUNCTION("""COMPUTED_VALUE"""),"c_yuw_00001_okumuraget_Normal_Blue_Special_00001")</f>
        <v>c_yuw_00001_okumuraget_Normal_Blue_Special_00001</v>
      </c>
      <c r="D2350" s="139" t="str">
        <f>IFERROR(__xludf.DUMMYFUNCTION("""COMPUTED_VALUE"""),"c_yuw_00001_okumuraget_Normal_Blue")</f>
        <v>c_yuw_00001_okumuraget_Normal_Blue</v>
      </c>
      <c r="E2350" s="139">
        <f>IFERROR(__xludf.DUMMYFUNCTION("""COMPUTED_VALUE"""),0.0)</f>
        <v>0</v>
      </c>
      <c r="F2350" s="139" t="str">
        <f>IFERROR(__xludf.DUMMYFUNCTION("""COMPUTED_VALUE"""),"Special")</f>
        <v>Special</v>
      </c>
      <c r="G2350" s="139"/>
      <c r="H2350" s="139"/>
      <c r="I2350" s="139">
        <f>IFERROR(__xludf.DUMMYFUNCTION("""COMPUTED_VALUE"""),184.0)</f>
        <v>184</v>
      </c>
      <c r="J2350" s="139">
        <f>IFERROR(__xludf.DUMMYFUNCTION("""COMPUTED_VALUE"""),122.0)</f>
        <v>122</v>
      </c>
      <c r="K2350" s="139">
        <f>IFERROR(__xludf.DUMMYFUNCTION("""COMPUTED_VALUE"""),0.0)</f>
        <v>0</v>
      </c>
      <c r="L2350" s="139"/>
      <c r="M2350" s="139"/>
      <c r="N2350" s="139"/>
    </row>
    <row r="2351">
      <c r="A2351" s="139" t="str">
        <f>IFERROR(__xludf.DUMMYFUNCTION("""COMPUTED_VALUE"""),"e")</f>
        <v>e</v>
      </c>
      <c r="B2351" s="139">
        <f>IFERROR(__xludf.DUMMYFUNCTION("""COMPUTED_VALUE"""),2.0251102E8)</f>
        <v>202511020</v>
      </c>
      <c r="C2351" s="139" t="str">
        <f>IFERROR(__xludf.DUMMYFUNCTION("""COMPUTED_VALUE"""),"c_yuw_00001_okumuraget_Boss_Blue_Normal_00000")</f>
        <v>c_yuw_00001_okumuraget_Boss_Blue_Normal_00000</v>
      </c>
      <c r="D2351" s="139" t="str">
        <f>IFERROR(__xludf.DUMMYFUNCTION("""COMPUTED_VALUE"""),"c_yuw_00001_okumuraget_Boss_Blue")</f>
        <v>c_yuw_00001_okumuraget_Boss_Blue</v>
      </c>
      <c r="E2351" s="139">
        <f>IFERROR(__xludf.DUMMYFUNCTION("""COMPUTED_VALUE"""),0.0)</f>
        <v>0</v>
      </c>
      <c r="F2351" s="139" t="str">
        <f>IFERROR(__xludf.DUMMYFUNCTION("""COMPUTED_VALUE"""),"Normal")</f>
        <v>Normal</v>
      </c>
      <c r="G2351" s="139"/>
      <c r="H2351" s="139"/>
      <c r="I2351" s="139">
        <f>IFERROR(__xludf.DUMMYFUNCTION("""COMPUTED_VALUE"""),77.0)</f>
        <v>77</v>
      </c>
      <c r="J2351" s="139">
        <f>IFERROR(__xludf.DUMMYFUNCTION("""COMPUTED_VALUE"""),25.0)</f>
        <v>25</v>
      </c>
      <c r="K2351" s="139">
        <f>IFERROR(__xludf.DUMMYFUNCTION("""COMPUTED_VALUE"""),75.0)</f>
        <v>75</v>
      </c>
      <c r="L2351" s="139"/>
      <c r="M2351" s="139"/>
      <c r="N2351" s="139"/>
    </row>
    <row r="2352">
      <c r="A2352" s="139" t="str">
        <f>IFERROR(__xludf.DUMMYFUNCTION("""COMPUTED_VALUE"""),"e")</f>
        <v>e</v>
      </c>
      <c r="B2352" s="139">
        <f>IFERROR(__xludf.DUMMYFUNCTION("""COMPUTED_VALUE"""),2.0251102E8)</f>
        <v>202511020</v>
      </c>
      <c r="C2352" s="139" t="str">
        <f>IFERROR(__xludf.DUMMYFUNCTION("""COMPUTED_VALUE"""),"c_yuw_00001_okumuraget_Boss_Blue_Appearance_00001")</f>
        <v>c_yuw_00001_okumuraget_Boss_Blue_Appearance_00001</v>
      </c>
      <c r="D2352" s="139" t="str">
        <f>IFERROR(__xludf.DUMMYFUNCTION("""COMPUTED_VALUE"""),"c_yuw_00001_okumuraget_Boss_Blue")</f>
        <v>c_yuw_00001_okumuraget_Boss_Blue</v>
      </c>
      <c r="E2352" s="139">
        <f>IFERROR(__xludf.DUMMYFUNCTION("""COMPUTED_VALUE"""),0.0)</f>
        <v>0</v>
      </c>
      <c r="F2352" s="139" t="str">
        <f>IFERROR(__xludf.DUMMYFUNCTION("""COMPUTED_VALUE"""),"Appearance")</f>
        <v>Appearance</v>
      </c>
      <c r="G2352" s="139"/>
      <c r="H2352" s="139"/>
      <c r="I2352" s="139">
        <f>IFERROR(__xludf.DUMMYFUNCTION("""COMPUTED_VALUE"""),50.0)</f>
        <v>50</v>
      </c>
      <c r="J2352" s="139">
        <f>IFERROR(__xludf.DUMMYFUNCTION("""COMPUTED_VALUE"""),0.0)</f>
        <v>0</v>
      </c>
      <c r="K2352" s="139">
        <f>IFERROR(__xludf.DUMMYFUNCTION("""COMPUTED_VALUE"""),0.0)</f>
        <v>0</v>
      </c>
      <c r="L2352" s="139"/>
      <c r="M2352" s="139"/>
      <c r="N2352" s="139"/>
    </row>
    <row r="2353">
      <c r="A2353" s="139" t="str">
        <f>IFERROR(__xludf.DUMMYFUNCTION("""COMPUTED_VALUE"""),"e")</f>
        <v>e</v>
      </c>
      <c r="B2353" s="139">
        <f>IFERROR(__xludf.DUMMYFUNCTION("""COMPUTED_VALUE"""),2.0251102E8)</f>
        <v>202511020</v>
      </c>
      <c r="C2353" s="139" t="str">
        <f>IFERROR(__xludf.DUMMYFUNCTION("""COMPUTED_VALUE"""),"c_yuw_00001_okumuraget_Boss_Blue_Special_00002")</f>
        <v>c_yuw_00001_okumuraget_Boss_Blue_Special_00002</v>
      </c>
      <c r="D2353" s="139" t="str">
        <f>IFERROR(__xludf.DUMMYFUNCTION("""COMPUTED_VALUE"""),"c_yuw_00001_okumuraget_Boss_Blue")</f>
        <v>c_yuw_00001_okumuraget_Boss_Blue</v>
      </c>
      <c r="E2353" s="139">
        <f>IFERROR(__xludf.DUMMYFUNCTION("""COMPUTED_VALUE"""),0.0)</f>
        <v>0</v>
      </c>
      <c r="F2353" s="139" t="str">
        <f>IFERROR(__xludf.DUMMYFUNCTION("""COMPUTED_VALUE"""),"Special")</f>
        <v>Special</v>
      </c>
      <c r="G2353" s="139"/>
      <c r="H2353" s="139"/>
      <c r="I2353" s="139">
        <f>IFERROR(__xludf.DUMMYFUNCTION("""COMPUTED_VALUE"""),184.0)</f>
        <v>184</v>
      </c>
      <c r="J2353" s="139">
        <f>IFERROR(__xludf.DUMMYFUNCTION("""COMPUTED_VALUE"""),122.0)</f>
        <v>122</v>
      </c>
      <c r="K2353" s="139">
        <f>IFERROR(__xludf.DUMMYFUNCTION("""COMPUTED_VALUE"""),0.0)</f>
        <v>0</v>
      </c>
      <c r="L2353" s="139"/>
      <c r="M2353" s="139"/>
      <c r="N2353" s="139"/>
    </row>
    <row r="2354">
      <c r="A2354" s="139" t="str">
        <f>IFERROR(__xludf.DUMMYFUNCTION("""COMPUTED_VALUE"""),"e")</f>
        <v>e</v>
      </c>
      <c r="B2354" s="139">
        <f>IFERROR(__xludf.DUMMYFUNCTION("""COMPUTED_VALUE"""),2.0251102E8)</f>
        <v>202511020</v>
      </c>
      <c r="C2354" s="139" t="str">
        <f>IFERROR(__xludf.DUMMYFUNCTION("""COMPUTED_VALUE"""),"c_yuw_00101_okumuraget_Boss_Blue_Normal_00000")</f>
        <v>c_yuw_00101_okumuraget_Boss_Blue_Normal_00000</v>
      </c>
      <c r="D2354" s="139" t="str">
        <f>IFERROR(__xludf.DUMMYFUNCTION("""COMPUTED_VALUE"""),"c_yuw_00101_okumuraget_Boss_Blue")</f>
        <v>c_yuw_00101_okumuraget_Boss_Blue</v>
      </c>
      <c r="E2354" s="139">
        <f>IFERROR(__xludf.DUMMYFUNCTION("""COMPUTED_VALUE"""),0.0)</f>
        <v>0</v>
      </c>
      <c r="F2354" s="139" t="str">
        <f>IFERROR(__xludf.DUMMYFUNCTION("""COMPUTED_VALUE"""),"Normal")</f>
        <v>Normal</v>
      </c>
      <c r="G2354" s="139"/>
      <c r="H2354" s="139"/>
      <c r="I2354" s="139">
        <f>IFERROR(__xludf.DUMMYFUNCTION("""COMPUTED_VALUE"""),75.0)</f>
        <v>75</v>
      </c>
      <c r="J2354" s="139">
        <f>IFERROR(__xludf.DUMMYFUNCTION("""COMPUTED_VALUE"""),0.0)</f>
        <v>0</v>
      </c>
      <c r="K2354" s="139">
        <f>IFERROR(__xludf.DUMMYFUNCTION("""COMPUTED_VALUE"""),80.0)</f>
        <v>80</v>
      </c>
      <c r="L2354" s="139"/>
      <c r="M2354" s="139"/>
      <c r="N2354" s="139"/>
    </row>
    <row r="2355">
      <c r="A2355" s="139" t="str">
        <f>IFERROR(__xludf.DUMMYFUNCTION("""COMPUTED_VALUE"""),"e")</f>
        <v>e</v>
      </c>
      <c r="B2355" s="139">
        <f>IFERROR(__xludf.DUMMYFUNCTION("""COMPUTED_VALUE"""),2.0251102E8)</f>
        <v>202511020</v>
      </c>
      <c r="C2355" s="139" t="str">
        <f>IFERROR(__xludf.DUMMYFUNCTION("""COMPUTED_VALUE"""),"c_yuw_00101_okumuraget_Boss_Blue_Appearance_00001")</f>
        <v>c_yuw_00101_okumuraget_Boss_Blue_Appearance_00001</v>
      </c>
      <c r="D2355" s="139" t="str">
        <f>IFERROR(__xludf.DUMMYFUNCTION("""COMPUTED_VALUE"""),"c_yuw_00101_okumuraget_Boss_Blue")</f>
        <v>c_yuw_00101_okumuraget_Boss_Blue</v>
      </c>
      <c r="E2355" s="139">
        <f>IFERROR(__xludf.DUMMYFUNCTION("""COMPUTED_VALUE"""),0.0)</f>
        <v>0</v>
      </c>
      <c r="F2355" s="139" t="str">
        <f>IFERROR(__xludf.DUMMYFUNCTION("""COMPUTED_VALUE"""),"Appearance")</f>
        <v>Appearance</v>
      </c>
      <c r="G2355" s="139"/>
      <c r="H2355" s="139"/>
      <c r="I2355" s="139">
        <f>IFERROR(__xludf.DUMMYFUNCTION("""COMPUTED_VALUE"""),50.0)</f>
        <v>50</v>
      </c>
      <c r="J2355" s="139">
        <f>IFERROR(__xludf.DUMMYFUNCTION("""COMPUTED_VALUE"""),0.0)</f>
        <v>0</v>
      </c>
      <c r="K2355" s="139">
        <f>IFERROR(__xludf.DUMMYFUNCTION("""COMPUTED_VALUE"""),0.0)</f>
        <v>0</v>
      </c>
      <c r="L2355" s="139"/>
      <c r="M2355" s="139"/>
      <c r="N2355" s="139"/>
    </row>
    <row r="2356">
      <c r="A2356" s="139" t="str">
        <f>IFERROR(__xludf.DUMMYFUNCTION("""COMPUTED_VALUE"""),"e")</f>
        <v>e</v>
      </c>
      <c r="B2356" s="139">
        <f>IFERROR(__xludf.DUMMYFUNCTION("""COMPUTED_VALUE"""),2.0251102E8)</f>
        <v>202511020</v>
      </c>
      <c r="C2356" s="139" t="str">
        <f>IFERROR(__xludf.DUMMYFUNCTION("""COMPUTED_VALUE"""),"c_yuw_00101_okumuraget_Boss_Blue_Special_00002")</f>
        <v>c_yuw_00101_okumuraget_Boss_Blue_Special_00002</v>
      </c>
      <c r="D2356" s="139" t="str">
        <f>IFERROR(__xludf.DUMMYFUNCTION("""COMPUTED_VALUE"""),"c_yuw_00101_okumuraget_Boss_Blue")</f>
        <v>c_yuw_00101_okumuraget_Boss_Blue</v>
      </c>
      <c r="E2356" s="139">
        <f>IFERROR(__xludf.DUMMYFUNCTION("""COMPUTED_VALUE"""),0.0)</f>
        <v>0</v>
      </c>
      <c r="F2356" s="139" t="str">
        <f>IFERROR(__xludf.DUMMYFUNCTION("""COMPUTED_VALUE"""),"Special")</f>
        <v>Special</v>
      </c>
      <c r="G2356" s="139"/>
      <c r="H2356" s="139"/>
      <c r="I2356" s="139">
        <f>IFERROR(__xludf.DUMMYFUNCTION("""COMPUTED_VALUE"""),175.0)</f>
        <v>175</v>
      </c>
      <c r="J2356" s="139">
        <f>IFERROR(__xludf.DUMMYFUNCTION("""COMPUTED_VALUE"""),160.0)</f>
        <v>160</v>
      </c>
      <c r="K2356" s="139">
        <f>IFERROR(__xludf.DUMMYFUNCTION("""COMPUTED_VALUE"""),0.0)</f>
        <v>0</v>
      </c>
      <c r="L2356" s="139"/>
      <c r="M2356" s="139"/>
      <c r="N2356" s="139"/>
    </row>
    <row r="2357">
      <c r="A2357" s="139" t="str">
        <f>IFERROR(__xludf.DUMMYFUNCTION("""COMPUTED_VALUE"""),"e")</f>
        <v>e</v>
      </c>
      <c r="B2357" s="139">
        <f>IFERROR(__xludf.DUMMYFUNCTION("""COMPUTED_VALUE"""),2.0251102E8)</f>
        <v>202511020</v>
      </c>
      <c r="C2357" s="139" t="str">
        <f>IFERROR(__xludf.DUMMYFUNCTION("""COMPUTED_VALUE"""),"c_yuw_00301_okumuraget_Normal_Colorless_Normal_00000")</f>
        <v>c_yuw_00301_okumuraget_Normal_Colorless_Normal_00000</v>
      </c>
      <c r="D2357" s="139" t="str">
        <f>IFERROR(__xludf.DUMMYFUNCTION("""COMPUTED_VALUE"""),"c_yuw_00301_okumuraget_Normal_Colorless")</f>
        <v>c_yuw_00301_okumuraget_Normal_Colorless</v>
      </c>
      <c r="E2357" s="139">
        <f>IFERROR(__xludf.DUMMYFUNCTION("""COMPUTED_VALUE"""),0.0)</f>
        <v>0</v>
      </c>
      <c r="F2357" s="139" t="str">
        <f>IFERROR(__xludf.DUMMYFUNCTION("""COMPUTED_VALUE"""),"Normal")</f>
        <v>Normal</v>
      </c>
      <c r="G2357" s="139"/>
      <c r="H2357" s="139"/>
      <c r="I2357" s="139">
        <f>IFERROR(__xludf.DUMMYFUNCTION("""COMPUTED_VALUE"""),79.0)</f>
        <v>79</v>
      </c>
      <c r="J2357" s="139">
        <f>IFERROR(__xludf.DUMMYFUNCTION("""COMPUTED_VALUE"""),0.0)</f>
        <v>0</v>
      </c>
      <c r="K2357" s="139">
        <f>IFERROR(__xludf.DUMMYFUNCTION("""COMPUTED_VALUE"""),90.0)</f>
        <v>90</v>
      </c>
      <c r="L2357" s="139"/>
      <c r="M2357" s="139"/>
      <c r="N2357" s="139"/>
    </row>
    <row r="2358">
      <c r="A2358" s="139" t="str">
        <f>IFERROR(__xludf.DUMMYFUNCTION("""COMPUTED_VALUE"""),"e")</f>
        <v>e</v>
      </c>
      <c r="B2358" s="139">
        <f>IFERROR(__xludf.DUMMYFUNCTION("""COMPUTED_VALUE"""),2.0251102E8)</f>
        <v>202511020</v>
      </c>
      <c r="C2358" s="139" t="str">
        <f>IFERROR(__xludf.DUMMYFUNCTION("""COMPUTED_VALUE"""),"c_yuw_00301_okumuraget_Normal_Colorless_Special_00001")</f>
        <v>c_yuw_00301_okumuraget_Normal_Colorless_Special_00001</v>
      </c>
      <c r="D2358" s="139" t="str">
        <f>IFERROR(__xludf.DUMMYFUNCTION("""COMPUTED_VALUE"""),"c_yuw_00301_okumuraget_Normal_Colorless")</f>
        <v>c_yuw_00301_okumuraget_Normal_Colorless</v>
      </c>
      <c r="E2358" s="139">
        <f>IFERROR(__xludf.DUMMYFUNCTION("""COMPUTED_VALUE"""),0.0)</f>
        <v>0</v>
      </c>
      <c r="F2358" s="139" t="str">
        <f>IFERROR(__xludf.DUMMYFUNCTION("""COMPUTED_VALUE"""),"Special")</f>
        <v>Special</v>
      </c>
      <c r="G2358" s="139"/>
      <c r="H2358" s="139"/>
      <c r="I2358" s="139">
        <f>IFERROR(__xludf.DUMMYFUNCTION("""COMPUTED_VALUE"""),175.0)</f>
        <v>175</v>
      </c>
      <c r="J2358" s="139">
        <f>IFERROR(__xludf.DUMMYFUNCTION("""COMPUTED_VALUE"""),160.0)</f>
        <v>160</v>
      </c>
      <c r="K2358" s="139">
        <f>IFERROR(__xludf.DUMMYFUNCTION("""COMPUTED_VALUE"""),0.0)</f>
        <v>0</v>
      </c>
      <c r="L2358" s="139"/>
      <c r="M2358" s="139"/>
      <c r="N2358" s="139"/>
    </row>
    <row r="2359">
      <c r="A2359" s="139" t="str">
        <f>IFERROR(__xludf.DUMMYFUNCTION("""COMPUTED_VALUE"""),"e")</f>
        <v>e</v>
      </c>
      <c r="B2359" s="139">
        <f>IFERROR(__xludf.DUMMYFUNCTION("""COMPUTED_VALUE"""),2.0251102E8)</f>
        <v>202511020</v>
      </c>
      <c r="C2359" s="139" t="str">
        <f>IFERROR(__xludf.DUMMYFUNCTION("""COMPUTED_VALUE"""),"c_yuw_00301_okumuraget_Boss_Blue_Normal_00000")</f>
        <v>c_yuw_00301_okumuraget_Boss_Blue_Normal_00000</v>
      </c>
      <c r="D2359" s="139" t="str">
        <f>IFERROR(__xludf.DUMMYFUNCTION("""COMPUTED_VALUE"""),"c_yuw_00301_okumuraget_Boss_Blue")</f>
        <v>c_yuw_00301_okumuraget_Boss_Blue</v>
      </c>
      <c r="E2359" s="139">
        <f>IFERROR(__xludf.DUMMYFUNCTION("""COMPUTED_VALUE"""),0.0)</f>
        <v>0</v>
      </c>
      <c r="F2359" s="139" t="str">
        <f>IFERROR(__xludf.DUMMYFUNCTION("""COMPUTED_VALUE"""),"Normal")</f>
        <v>Normal</v>
      </c>
      <c r="G2359" s="139"/>
      <c r="H2359" s="139"/>
      <c r="I2359" s="139">
        <f>IFERROR(__xludf.DUMMYFUNCTION("""COMPUTED_VALUE"""),79.0)</f>
        <v>79</v>
      </c>
      <c r="J2359" s="139">
        <f>IFERROR(__xludf.DUMMYFUNCTION("""COMPUTED_VALUE"""),0.0)</f>
        <v>0</v>
      </c>
      <c r="K2359" s="139">
        <f>IFERROR(__xludf.DUMMYFUNCTION("""COMPUTED_VALUE"""),90.0)</f>
        <v>90</v>
      </c>
      <c r="L2359" s="139"/>
      <c r="M2359" s="139"/>
      <c r="N2359" s="139"/>
    </row>
    <row r="2360">
      <c r="A2360" s="139" t="str">
        <f>IFERROR(__xludf.DUMMYFUNCTION("""COMPUTED_VALUE"""),"e")</f>
        <v>e</v>
      </c>
      <c r="B2360" s="139">
        <f>IFERROR(__xludf.DUMMYFUNCTION("""COMPUTED_VALUE"""),2.0251102E8)</f>
        <v>202511020</v>
      </c>
      <c r="C2360" s="139" t="str">
        <f>IFERROR(__xludf.DUMMYFUNCTION("""COMPUTED_VALUE"""),"c_yuw_00301_okumuraget_Boss_Blue_Appearance_00001")</f>
        <v>c_yuw_00301_okumuraget_Boss_Blue_Appearance_00001</v>
      </c>
      <c r="D2360" s="139" t="str">
        <f>IFERROR(__xludf.DUMMYFUNCTION("""COMPUTED_VALUE"""),"c_yuw_00301_okumuraget_Boss_Blue")</f>
        <v>c_yuw_00301_okumuraget_Boss_Blue</v>
      </c>
      <c r="E2360" s="139">
        <f>IFERROR(__xludf.DUMMYFUNCTION("""COMPUTED_VALUE"""),0.0)</f>
        <v>0</v>
      </c>
      <c r="F2360" s="139" t="str">
        <f>IFERROR(__xludf.DUMMYFUNCTION("""COMPUTED_VALUE"""),"Appearance")</f>
        <v>Appearance</v>
      </c>
      <c r="G2360" s="139"/>
      <c r="H2360" s="139"/>
      <c r="I2360" s="139">
        <f>IFERROR(__xludf.DUMMYFUNCTION("""COMPUTED_VALUE"""),50.0)</f>
        <v>50</v>
      </c>
      <c r="J2360" s="139">
        <f>IFERROR(__xludf.DUMMYFUNCTION("""COMPUTED_VALUE"""),0.0)</f>
        <v>0</v>
      </c>
      <c r="K2360" s="139">
        <f>IFERROR(__xludf.DUMMYFUNCTION("""COMPUTED_VALUE"""),0.0)</f>
        <v>0</v>
      </c>
      <c r="L2360" s="139"/>
      <c r="M2360" s="139"/>
      <c r="N2360" s="139"/>
    </row>
    <row r="2361">
      <c r="A2361" s="139" t="str">
        <f>IFERROR(__xludf.DUMMYFUNCTION("""COMPUTED_VALUE"""),"e")</f>
        <v>e</v>
      </c>
      <c r="B2361" s="139">
        <f>IFERROR(__xludf.DUMMYFUNCTION("""COMPUTED_VALUE"""),2.0251102E8)</f>
        <v>202511020</v>
      </c>
      <c r="C2361" s="139" t="str">
        <f>IFERROR(__xludf.DUMMYFUNCTION("""COMPUTED_VALUE"""),"c_yuw_00301_okumuraget_Boss_Blue_Special_00002")</f>
        <v>c_yuw_00301_okumuraget_Boss_Blue_Special_00002</v>
      </c>
      <c r="D2361" s="139" t="str">
        <f>IFERROR(__xludf.DUMMYFUNCTION("""COMPUTED_VALUE"""),"c_yuw_00301_okumuraget_Boss_Blue")</f>
        <v>c_yuw_00301_okumuraget_Boss_Blue</v>
      </c>
      <c r="E2361" s="139">
        <f>IFERROR(__xludf.DUMMYFUNCTION("""COMPUTED_VALUE"""),0.0)</f>
        <v>0</v>
      </c>
      <c r="F2361" s="139" t="str">
        <f>IFERROR(__xludf.DUMMYFUNCTION("""COMPUTED_VALUE"""),"Special")</f>
        <v>Special</v>
      </c>
      <c r="G2361" s="139"/>
      <c r="H2361" s="139"/>
      <c r="I2361" s="139">
        <f>IFERROR(__xludf.DUMMYFUNCTION("""COMPUTED_VALUE"""),175.0)</f>
        <v>175</v>
      </c>
      <c r="J2361" s="139">
        <f>IFERROR(__xludf.DUMMYFUNCTION("""COMPUTED_VALUE"""),160.0)</f>
        <v>160</v>
      </c>
      <c r="K2361" s="139">
        <f>IFERROR(__xludf.DUMMYFUNCTION("""COMPUTED_VALUE"""),0.0)</f>
        <v>0</v>
      </c>
      <c r="L2361" s="139"/>
      <c r="M2361" s="139"/>
      <c r="N2361" s="139"/>
    </row>
    <row r="2362">
      <c r="A2362" s="139" t="str">
        <f>IFERROR(__xludf.DUMMYFUNCTION("""COMPUTED_VALUE"""),"e")</f>
        <v>e</v>
      </c>
      <c r="B2362" s="139">
        <f>IFERROR(__xludf.DUMMYFUNCTION("""COMPUTED_VALUE"""),2.0251102E8)</f>
        <v>202511020</v>
      </c>
      <c r="C2362" s="139" t="str">
        <f>IFERROR(__xludf.DUMMYFUNCTION("""COMPUTED_VALUE"""),"c_yuw_00401_okumuraget_Normal_Blue_Normal_00000")</f>
        <v>c_yuw_00401_okumuraget_Normal_Blue_Normal_00000</v>
      </c>
      <c r="D2362" s="139" t="str">
        <f>IFERROR(__xludf.DUMMYFUNCTION("""COMPUTED_VALUE"""),"c_yuw_00401_okumuraget_Normal_Blue")</f>
        <v>c_yuw_00401_okumuraget_Normal_Blue</v>
      </c>
      <c r="E2362" s="139">
        <f>IFERROR(__xludf.DUMMYFUNCTION("""COMPUTED_VALUE"""),0.0)</f>
        <v>0</v>
      </c>
      <c r="F2362" s="139" t="str">
        <f>IFERROR(__xludf.DUMMYFUNCTION("""COMPUTED_VALUE"""),"Normal")</f>
        <v>Normal</v>
      </c>
      <c r="G2362" s="139"/>
      <c r="H2362" s="139"/>
      <c r="I2362" s="139">
        <f>IFERROR(__xludf.DUMMYFUNCTION("""COMPUTED_VALUE"""),59.0)</f>
        <v>59</v>
      </c>
      <c r="J2362" s="139">
        <f>IFERROR(__xludf.DUMMYFUNCTION("""COMPUTED_VALUE"""),17.0)</f>
        <v>17</v>
      </c>
      <c r="K2362" s="139">
        <f>IFERROR(__xludf.DUMMYFUNCTION("""COMPUTED_VALUE"""),30.0)</f>
        <v>30</v>
      </c>
      <c r="L2362" s="139"/>
      <c r="M2362" s="139"/>
      <c r="N2362" s="139"/>
    </row>
    <row r="2363">
      <c r="A2363" s="139" t="str">
        <f>IFERROR(__xludf.DUMMYFUNCTION("""COMPUTED_VALUE"""),"e")</f>
        <v>e</v>
      </c>
      <c r="B2363" s="139">
        <f>IFERROR(__xludf.DUMMYFUNCTION("""COMPUTED_VALUE"""),2.0251102E8)</f>
        <v>202511020</v>
      </c>
      <c r="C2363" s="139" t="str">
        <f>IFERROR(__xludf.DUMMYFUNCTION("""COMPUTED_VALUE"""),"c_yuw_00401_okumuraget_Normal_Blue_Special_00001")</f>
        <v>c_yuw_00401_okumuraget_Normal_Blue_Special_00001</v>
      </c>
      <c r="D2363" s="139" t="str">
        <f>IFERROR(__xludf.DUMMYFUNCTION("""COMPUTED_VALUE"""),"c_yuw_00401_okumuraget_Normal_Blue")</f>
        <v>c_yuw_00401_okumuraget_Normal_Blue</v>
      </c>
      <c r="E2363" s="139">
        <f>IFERROR(__xludf.DUMMYFUNCTION("""COMPUTED_VALUE"""),0.0)</f>
        <v>0</v>
      </c>
      <c r="F2363" s="139" t="str">
        <f>IFERROR(__xludf.DUMMYFUNCTION("""COMPUTED_VALUE"""),"Special")</f>
        <v>Special</v>
      </c>
      <c r="G2363" s="139"/>
      <c r="H2363" s="139"/>
      <c r="I2363" s="139">
        <f>IFERROR(__xludf.DUMMYFUNCTION("""COMPUTED_VALUE"""),134.0)</f>
        <v>134</v>
      </c>
      <c r="J2363" s="139">
        <f>IFERROR(__xludf.DUMMYFUNCTION("""COMPUTED_VALUE"""),82.0)</f>
        <v>82</v>
      </c>
      <c r="K2363" s="139">
        <f>IFERROR(__xludf.DUMMYFUNCTION("""COMPUTED_VALUE"""),0.0)</f>
        <v>0</v>
      </c>
      <c r="L2363" s="139"/>
      <c r="M2363" s="139"/>
      <c r="N2363" s="139"/>
    </row>
    <row r="2364">
      <c r="A2364" s="139" t="str">
        <f>IFERROR(__xludf.DUMMYFUNCTION("""COMPUTED_VALUE"""),"e")</f>
        <v>e</v>
      </c>
      <c r="B2364" s="139">
        <f>IFERROR(__xludf.DUMMYFUNCTION("""COMPUTED_VALUE"""),2.0251102E8)</f>
        <v>202511020</v>
      </c>
      <c r="C2364" s="139" t="str">
        <f>IFERROR(__xludf.DUMMYFUNCTION("""COMPUTED_VALUE"""),"c_yuw_00401_okumuraget_Boss_Blue_Normal_00000")</f>
        <v>c_yuw_00401_okumuraget_Boss_Blue_Normal_00000</v>
      </c>
      <c r="D2364" s="139" t="str">
        <f>IFERROR(__xludf.DUMMYFUNCTION("""COMPUTED_VALUE"""),"c_yuw_00401_okumuraget_Boss_Blue")</f>
        <v>c_yuw_00401_okumuraget_Boss_Blue</v>
      </c>
      <c r="E2364" s="139">
        <f>IFERROR(__xludf.DUMMYFUNCTION("""COMPUTED_VALUE"""),0.0)</f>
        <v>0</v>
      </c>
      <c r="F2364" s="139" t="str">
        <f>IFERROR(__xludf.DUMMYFUNCTION("""COMPUTED_VALUE"""),"Normal")</f>
        <v>Normal</v>
      </c>
      <c r="G2364" s="139"/>
      <c r="H2364" s="139"/>
      <c r="I2364" s="139">
        <f>IFERROR(__xludf.DUMMYFUNCTION("""COMPUTED_VALUE"""),59.0)</f>
        <v>59</v>
      </c>
      <c r="J2364" s="139">
        <f>IFERROR(__xludf.DUMMYFUNCTION("""COMPUTED_VALUE"""),17.0)</f>
        <v>17</v>
      </c>
      <c r="K2364" s="139">
        <f>IFERROR(__xludf.DUMMYFUNCTION("""COMPUTED_VALUE"""),30.0)</f>
        <v>30</v>
      </c>
      <c r="L2364" s="139"/>
      <c r="M2364" s="139"/>
      <c r="N2364" s="139"/>
    </row>
    <row r="2365">
      <c r="A2365" s="139" t="str">
        <f>IFERROR(__xludf.DUMMYFUNCTION("""COMPUTED_VALUE"""),"e")</f>
        <v>e</v>
      </c>
      <c r="B2365" s="139">
        <f>IFERROR(__xludf.DUMMYFUNCTION("""COMPUTED_VALUE"""),2.0251102E8)</f>
        <v>202511020</v>
      </c>
      <c r="C2365" s="139" t="str">
        <f>IFERROR(__xludf.DUMMYFUNCTION("""COMPUTED_VALUE"""),"c_yuw_00401_okumuraget_Boss_Blue_Appearance_00001")</f>
        <v>c_yuw_00401_okumuraget_Boss_Blue_Appearance_00001</v>
      </c>
      <c r="D2365" s="139" t="str">
        <f>IFERROR(__xludf.DUMMYFUNCTION("""COMPUTED_VALUE"""),"c_yuw_00401_okumuraget_Boss_Blue")</f>
        <v>c_yuw_00401_okumuraget_Boss_Blue</v>
      </c>
      <c r="E2365" s="139">
        <f>IFERROR(__xludf.DUMMYFUNCTION("""COMPUTED_VALUE"""),0.0)</f>
        <v>0</v>
      </c>
      <c r="F2365" s="139" t="str">
        <f>IFERROR(__xludf.DUMMYFUNCTION("""COMPUTED_VALUE"""),"Appearance")</f>
        <v>Appearance</v>
      </c>
      <c r="G2365" s="139"/>
      <c r="H2365" s="139"/>
      <c r="I2365" s="139">
        <f>IFERROR(__xludf.DUMMYFUNCTION("""COMPUTED_VALUE"""),50.0)</f>
        <v>50</v>
      </c>
      <c r="J2365" s="139">
        <f>IFERROR(__xludf.DUMMYFUNCTION("""COMPUTED_VALUE"""),0.0)</f>
        <v>0</v>
      </c>
      <c r="K2365" s="139">
        <f>IFERROR(__xludf.DUMMYFUNCTION("""COMPUTED_VALUE"""),0.0)</f>
        <v>0</v>
      </c>
      <c r="L2365" s="139"/>
      <c r="M2365" s="139"/>
      <c r="N2365" s="139"/>
    </row>
    <row r="2366">
      <c r="A2366" s="139" t="str">
        <f>IFERROR(__xludf.DUMMYFUNCTION("""COMPUTED_VALUE"""),"e")</f>
        <v>e</v>
      </c>
      <c r="B2366" s="139">
        <f>IFERROR(__xludf.DUMMYFUNCTION("""COMPUTED_VALUE"""),2.0251102E8)</f>
        <v>202511020</v>
      </c>
      <c r="C2366" s="139" t="str">
        <f>IFERROR(__xludf.DUMMYFUNCTION("""COMPUTED_VALUE"""),"c_yuw_00401_okumuraget_Boss_Blue_Special_00002")</f>
        <v>c_yuw_00401_okumuraget_Boss_Blue_Special_00002</v>
      </c>
      <c r="D2366" s="139" t="str">
        <f>IFERROR(__xludf.DUMMYFUNCTION("""COMPUTED_VALUE"""),"c_yuw_00401_okumuraget_Boss_Blue")</f>
        <v>c_yuw_00401_okumuraget_Boss_Blue</v>
      </c>
      <c r="E2366" s="139">
        <f>IFERROR(__xludf.DUMMYFUNCTION("""COMPUTED_VALUE"""),0.0)</f>
        <v>0</v>
      </c>
      <c r="F2366" s="139" t="str">
        <f>IFERROR(__xludf.DUMMYFUNCTION("""COMPUTED_VALUE"""),"Special")</f>
        <v>Special</v>
      </c>
      <c r="G2366" s="139"/>
      <c r="H2366" s="139"/>
      <c r="I2366" s="139">
        <f>IFERROR(__xludf.DUMMYFUNCTION("""COMPUTED_VALUE"""),134.0)</f>
        <v>134</v>
      </c>
      <c r="J2366" s="139">
        <f>IFERROR(__xludf.DUMMYFUNCTION("""COMPUTED_VALUE"""),82.0)</f>
        <v>82</v>
      </c>
      <c r="K2366" s="139">
        <f>IFERROR(__xludf.DUMMYFUNCTION("""COMPUTED_VALUE"""),0.0)</f>
        <v>0</v>
      </c>
      <c r="L2366" s="139"/>
      <c r="M2366" s="139"/>
      <c r="N2366" s="139"/>
    </row>
    <row r="2367">
      <c r="A2367" s="139" t="str">
        <f>IFERROR(__xludf.DUMMYFUNCTION("""COMPUTED_VALUE"""),"e")</f>
        <v>e</v>
      </c>
      <c r="B2367" s="139">
        <f>IFERROR(__xludf.DUMMYFUNCTION("""COMPUTED_VALUE"""),2.0251102E8)</f>
        <v>202511020</v>
      </c>
      <c r="C2367" s="139" t="str">
        <f>IFERROR(__xludf.DUMMYFUNCTION("""COMPUTED_VALUE"""),"c_yuw_00601_okumuraget_Normal_Blue_Normal_00000")</f>
        <v>c_yuw_00601_okumuraget_Normal_Blue_Normal_00000</v>
      </c>
      <c r="D2367" s="139" t="str">
        <f>IFERROR(__xludf.DUMMYFUNCTION("""COMPUTED_VALUE"""),"c_yuw_00601_okumuraget_Normal_Blue")</f>
        <v>c_yuw_00601_okumuraget_Normal_Blue</v>
      </c>
      <c r="E2367" s="139">
        <f>IFERROR(__xludf.DUMMYFUNCTION("""COMPUTED_VALUE"""),0.0)</f>
        <v>0</v>
      </c>
      <c r="F2367" s="139" t="str">
        <f>IFERROR(__xludf.DUMMYFUNCTION("""COMPUTED_VALUE"""),"Normal")</f>
        <v>Normal</v>
      </c>
      <c r="G2367" s="139"/>
      <c r="H2367" s="139"/>
      <c r="I2367" s="139">
        <f>IFERROR(__xludf.DUMMYFUNCTION("""COMPUTED_VALUE"""),60.0)</f>
        <v>60</v>
      </c>
      <c r="J2367" s="139">
        <f>IFERROR(__xludf.DUMMYFUNCTION("""COMPUTED_VALUE"""),34.0)</f>
        <v>34</v>
      </c>
      <c r="K2367" s="139">
        <f>IFERROR(__xludf.DUMMYFUNCTION("""COMPUTED_VALUE"""),60.0)</f>
        <v>60</v>
      </c>
      <c r="L2367" s="139"/>
      <c r="M2367" s="139"/>
      <c r="N2367" s="139"/>
    </row>
    <row r="2368">
      <c r="A2368" s="139" t="str">
        <f>IFERROR(__xludf.DUMMYFUNCTION("""COMPUTED_VALUE"""),"e")</f>
        <v>e</v>
      </c>
      <c r="B2368" s="139">
        <f>IFERROR(__xludf.DUMMYFUNCTION("""COMPUTED_VALUE"""),2.0251102E8)</f>
        <v>202511020</v>
      </c>
      <c r="C2368" s="139" t="str">
        <f>IFERROR(__xludf.DUMMYFUNCTION("""COMPUTED_VALUE"""),"c_yuw_00601_okumuraget_Normal_Blue_Special_00001")</f>
        <v>c_yuw_00601_okumuraget_Normal_Blue_Special_00001</v>
      </c>
      <c r="D2368" s="139" t="str">
        <f>IFERROR(__xludf.DUMMYFUNCTION("""COMPUTED_VALUE"""),"c_yuw_00601_okumuraget_Normal_Blue")</f>
        <v>c_yuw_00601_okumuraget_Normal_Blue</v>
      </c>
      <c r="E2368" s="139">
        <f>IFERROR(__xludf.DUMMYFUNCTION("""COMPUTED_VALUE"""),0.0)</f>
        <v>0</v>
      </c>
      <c r="F2368" s="139" t="str">
        <f>IFERROR(__xludf.DUMMYFUNCTION("""COMPUTED_VALUE"""),"Special")</f>
        <v>Special</v>
      </c>
      <c r="G2368" s="139"/>
      <c r="H2368" s="139"/>
      <c r="I2368" s="139">
        <f>IFERROR(__xludf.DUMMYFUNCTION("""COMPUTED_VALUE"""),92.0)</f>
        <v>92</v>
      </c>
      <c r="J2368" s="139">
        <f>IFERROR(__xludf.DUMMYFUNCTION("""COMPUTED_VALUE"""),34.0)</f>
        <v>34</v>
      </c>
      <c r="K2368" s="139">
        <f>IFERROR(__xludf.DUMMYFUNCTION("""COMPUTED_VALUE"""),0.0)</f>
        <v>0</v>
      </c>
      <c r="L2368" s="139"/>
      <c r="M2368" s="139"/>
      <c r="N2368" s="139"/>
    </row>
    <row r="2369">
      <c r="A2369" s="139" t="str">
        <f>IFERROR(__xludf.DUMMYFUNCTION("""COMPUTED_VALUE"""),"e")</f>
        <v>e</v>
      </c>
      <c r="B2369" s="139">
        <f>IFERROR(__xludf.DUMMYFUNCTION("""COMPUTED_VALUE"""),2.0251102E8)</f>
        <v>202511020</v>
      </c>
      <c r="C2369" s="139" t="str">
        <f>IFERROR(__xludf.DUMMYFUNCTION("""COMPUTED_VALUE"""),"c_yuw_00601_okumuraget_Boss_Blue_Normal_00000")</f>
        <v>c_yuw_00601_okumuraget_Boss_Blue_Normal_00000</v>
      </c>
      <c r="D2369" s="139" t="str">
        <f>IFERROR(__xludf.DUMMYFUNCTION("""COMPUTED_VALUE"""),"c_yuw_00601_okumuraget_Boss_Blue")</f>
        <v>c_yuw_00601_okumuraget_Boss_Blue</v>
      </c>
      <c r="E2369" s="139">
        <f>IFERROR(__xludf.DUMMYFUNCTION("""COMPUTED_VALUE"""),0.0)</f>
        <v>0</v>
      </c>
      <c r="F2369" s="139" t="str">
        <f>IFERROR(__xludf.DUMMYFUNCTION("""COMPUTED_VALUE"""),"Normal")</f>
        <v>Normal</v>
      </c>
      <c r="G2369" s="139"/>
      <c r="H2369" s="139"/>
      <c r="I2369" s="139">
        <f>IFERROR(__xludf.DUMMYFUNCTION("""COMPUTED_VALUE"""),60.0)</f>
        <v>60</v>
      </c>
      <c r="J2369" s="139">
        <f>IFERROR(__xludf.DUMMYFUNCTION("""COMPUTED_VALUE"""),34.0)</f>
        <v>34</v>
      </c>
      <c r="K2369" s="139">
        <f>IFERROR(__xludf.DUMMYFUNCTION("""COMPUTED_VALUE"""),60.0)</f>
        <v>60</v>
      </c>
      <c r="L2369" s="139"/>
      <c r="M2369" s="139"/>
      <c r="N2369" s="139"/>
    </row>
    <row r="2370">
      <c r="A2370" s="139" t="str">
        <f>IFERROR(__xludf.DUMMYFUNCTION("""COMPUTED_VALUE"""),"e")</f>
        <v>e</v>
      </c>
      <c r="B2370" s="139">
        <f>IFERROR(__xludf.DUMMYFUNCTION("""COMPUTED_VALUE"""),2.0251102E8)</f>
        <v>202511020</v>
      </c>
      <c r="C2370" s="139" t="str">
        <f>IFERROR(__xludf.DUMMYFUNCTION("""COMPUTED_VALUE"""),"c_yuw_00601_okumuraget_Boss_Blue_Appearance_00001")</f>
        <v>c_yuw_00601_okumuraget_Boss_Blue_Appearance_00001</v>
      </c>
      <c r="D2370" s="139" t="str">
        <f>IFERROR(__xludf.DUMMYFUNCTION("""COMPUTED_VALUE"""),"c_yuw_00601_okumuraget_Boss_Blue")</f>
        <v>c_yuw_00601_okumuraget_Boss_Blue</v>
      </c>
      <c r="E2370" s="139">
        <f>IFERROR(__xludf.DUMMYFUNCTION("""COMPUTED_VALUE"""),0.0)</f>
        <v>0</v>
      </c>
      <c r="F2370" s="139" t="str">
        <f>IFERROR(__xludf.DUMMYFUNCTION("""COMPUTED_VALUE"""),"Appearance")</f>
        <v>Appearance</v>
      </c>
      <c r="G2370" s="139"/>
      <c r="H2370" s="139"/>
      <c r="I2370" s="139">
        <f>IFERROR(__xludf.DUMMYFUNCTION("""COMPUTED_VALUE"""),50.0)</f>
        <v>50</v>
      </c>
      <c r="J2370" s="139">
        <f>IFERROR(__xludf.DUMMYFUNCTION("""COMPUTED_VALUE"""),0.0)</f>
        <v>0</v>
      </c>
      <c r="K2370" s="139">
        <f>IFERROR(__xludf.DUMMYFUNCTION("""COMPUTED_VALUE"""),0.0)</f>
        <v>0</v>
      </c>
      <c r="L2370" s="139"/>
      <c r="M2370" s="139"/>
      <c r="N2370" s="139"/>
    </row>
    <row r="2371">
      <c r="A2371" s="139" t="str">
        <f>IFERROR(__xludf.DUMMYFUNCTION("""COMPUTED_VALUE"""),"e")</f>
        <v>e</v>
      </c>
      <c r="B2371" s="139">
        <f>IFERROR(__xludf.DUMMYFUNCTION("""COMPUTED_VALUE"""),2.0251102E8)</f>
        <v>202511020</v>
      </c>
      <c r="C2371" s="139" t="str">
        <f>IFERROR(__xludf.DUMMYFUNCTION("""COMPUTED_VALUE"""),"c_yuw_00601_okumuraget_Boss_Blue_Special_00002")</f>
        <v>c_yuw_00601_okumuraget_Boss_Blue_Special_00002</v>
      </c>
      <c r="D2371" s="139" t="str">
        <f>IFERROR(__xludf.DUMMYFUNCTION("""COMPUTED_VALUE"""),"c_yuw_00601_okumuraget_Boss_Blue")</f>
        <v>c_yuw_00601_okumuraget_Boss_Blue</v>
      </c>
      <c r="E2371" s="139">
        <f>IFERROR(__xludf.DUMMYFUNCTION("""COMPUTED_VALUE"""),0.0)</f>
        <v>0</v>
      </c>
      <c r="F2371" s="139" t="str">
        <f>IFERROR(__xludf.DUMMYFUNCTION("""COMPUTED_VALUE"""),"Special")</f>
        <v>Special</v>
      </c>
      <c r="G2371" s="139"/>
      <c r="H2371" s="139"/>
      <c r="I2371" s="139">
        <f>IFERROR(__xludf.DUMMYFUNCTION("""COMPUTED_VALUE"""),92.0)</f>
        <v>92</v>
      </c>
      <c r="J2371" s="139">
        <f>IFERROR(__xludf.DUMMYFUNCTION("""COMPUTED_VALUE"""),34.0)</f>
        <v>34</v>
      </c>
      <c r="K2371" s="139">
        <f>IFERROR(__xludf.DUMMYFUNCTION("""COMPUTED_VALUE"""),0.0)</f>
        <v>0</v>
      </c>
      <c r="L2371" s="139"/>
      <c r="M2371" s="139"/>
      <c r="N2371" s="139"/>
    </row>
    <row r="2372">
      <c r="A2372" s="139" t="str">
        <f>IFERROR(__xludf.DUMMYFUNCTION("""COMPUTED_VALUE"""),"e")</f>
        <v>e</v>
      </c>
      <c r="B2372" s="139">
        <f>IFERROR(__xludf.DUMMYFUNCTION("""COMPUTED_VALUE"""),2.0251102E8)</f>
        <v>202511020</v>
      </c>
      <c r="C2372" s="139" t="str">
        <f>IFERROR(__xludf.DUMMYFUNCTION("""COMPUTED_VALUE"""),"c_yuw_00101_challenge_Normal_Red_Normal_00000")</f>
        <v>c_yuw_00101_challenge_Normal_Red_Normal_00000</v>
      </c>
      <c r="D2372" s="139" t="str">
        <f>IFERROR(__xludf.DUMMYFUNCTION("""COMPUTED_VALUE"""),"c_yuw_00101_challenge_Normal_Red")</f>
        <v>c_yuw_00101_challenge_Normal_Red</v>
      </c>
      <c r="E2372" s="139">
        <f>IFERROR(__xludf.DUMMYFUNCTION("""COMPUTED_VALUE"""),0.0)</f>
        <v>0</v>
      </c>
      <c r="F2372" s="139" t="str">
        <f>IFERROR(__xludf.DUMMYFUNCTION("""COMPUTED_VALUE"""),"Normal")</f>
        <v>Normal</v>
      </c>
      <c r="G2372" s="139"/>
      <c r="H2372" s="139"/>
      <c r="I2372" s="139">
        <f>IFERROR(__xludf.DUMMYFUNCTION("""COMPUTED_VALUE"""),75.0)</f>
        <v>75</v>
      </c>
      <c r="J2372" s="139">
        <f>IFERROR(__xludf.DUMMYFUNCTION("""COMPUTED_VALUE"""),0.0)</f>
        <v>0</v>
      </c>
      <c r="K2372" s="139">
        <f>IFERROR(__xludf.DUMMYFUNCTION("""COMPUTED_VALUE"""),80.0)</f>
        <v>80</v>
      </c>
      <c r="L2372" s="139"/>
      <c r="M2372" s="139"/>
      <c r="N2372" s="139"/>
    </row>
    <row r="2373">
      <c r="A2373" s="139" t="str">
        <f>IFERROR(__xludf.DUMMYFUNCTION("""COMPUTED_VALUE"""),"e")</f>
        <v>e</v>
      </c>
      <c r="B2373" s="139">
        <f>IFERROR(__xludf.DUMMYFUNCTION("""COMPUTED_VALUE"""),2.0251102E8)</f>
        <v>202511020</v>
      </c>
      <c r="C2373" s="139" t="str">
        <f>IFERROR(__xludf.DUMMYFUNCTION("""COMPUTED_VALUE"""),"c_yuw_00101_challenge_Normal_Red_Special_00001")</f>
        <v>c_yuw_00101_challenge_Normal_Red_Special_00001</v>
      </c>
      <c r="D2373" s="139" t="str">
        <f>IFERROR(__xludf.DUMMYFUNCTION("""COMPUTED_VALUE"""),"c_yuw_00101_challenge_Normal_Red")</f>
        <v>c_yuw_00101_challenge_Normal_Red</v>
      </c>
      <c r="E2373" s="139">
        <f>IFERROR(__xludf.DUMMYFUNCTION("""COMPUTED_VALUE"""),0.0)</f>
        <v>0</v>
      </c>
      <c r="F2373" s="139" t="str">
        <f>IFERROR(__xludf.DUMMYFUNCTION("""COMPUTED_VALUE"""),"Special")</f>
        <v>Special</v>
      </c>
      <c r="G2373" s="139"/>
      <c r="H2373" s="139"/>
      <c r="I2373" s="139">
        <f>IFERROR(__xludf.DUMMYFUNCTION("""COMPUTED_VALUE"""),175.0)</f>
        <v>175</v>
      </c>
      <c r="J2373" s="139">
        <f>IFERROR(__xludf.DUMMYFUNCTION("""COMPUTED_VALUE"""),160.0)</f>
        <v>160</v>
      </c>
      <c r="K2373" s="139">
        <f>IFERROR(__xludf.DUMMYFUNCTION("""COMPUTED_VALUE"""),0.0)</f>
        <v>0</v>
      </c>
      <c r="L2373" s="139"/>
      <c r="M2373" s="139"/>
      <c r="N2373" s="139"/>
    </row>
    <row r="2374">
      <c r="A2374" s="139" t="str">
        <f>IFERROR(__xludf.DUMMYFUNCTION("""COMPUTED_VALUE"""),"e")</f>
        <v>e</v>
      </c>
      <c r="B2374" s="139">
        <f>IFERROR(__xludf.DUMMYFUNCTION("""COMPUTED_VALUE"""),2.0251102E8)</f>
        <v>202511020</v>
      </c>
      <c r="C2374" s="139" t="str">
        <f>IFERROR(__xludf.DUMMYFUNCTION("""COMPUTED_VALUE"""),"c_yuw_00101_challengekb_Boss_Red_Normal_00000")</f>
        <v>c_yuw_00101_challengekb_Boss_Red_Normal_00000</v>
      </c>
      <c r="D2374" s="139" t="str">
        <f>IFERROR(__xludf.DUMMYFUNCTION("""COMPUTED_VALUE"""),"c_yuw_00101_challengekb_Boss_Red")</f>
        <v>c_yuw_00101_challengekb_Boss_Red</v>
      </c>
      <c r="E2374" s="139">
        <f>IFERROR(__xludf.DUMMYFUNCTION("""COMPUTED_VALUE"""),0.0)</f>
        <v>0</v>
      </c>
      <c r="F2374" s="139" t="str">
        <f>IFERROR(__xludf.DUMMYFUNCTION("""COMPUTED_VALUE"""),"Normal")</f>
        <v>Normal</v>
      </c>
      <c r="G2374" s="139"/>
      <c r="H2374" s="139"/>
      <c r="I2374" s="139">
        <f>IFERROR(__xludf.DUMMYFUNCTION("""COMPUTED_VALUE"""),75.0)</f>
        <v>75</v>
      </c>
      <c r="J2374" s="139">
        <f>IFERROR(__xludf.DUMMYFUNCTION("""COMPUTED_VALUE"""),0.0)</f>
        <v>0</v>
      </c>
      <c r="K2374" s="139">
        <f>IFERROR(__xludf.DUMMYFUNCTION("""COMPUTED_VALUE"""),80.0)</f>
        <v>80</v>
      </c>
      <c r="L2374" s="139"/>
      <c r="M2374" s="139"/>
      <c r="N2374" s="139"/>
    </row>
    <row r="2375">
      <c r="A2375" s="139" t="str">
        <f>IFERROR(__xludf.DUMMYFUNCTION("""COMPUTED_VALUE"""),"e")</f>
        <v>e</v>
      </c>
      <c r="B2375" s="139">
        <f>IFERROR(__xludf.DUMMYFUNCTION("""COMPUTED_VALUE"""),2.0251102E8)</f>
        <v>202511020</v>
      </c>
      <c r="C2375" s="139" t="str">
        <f>IFERROR(__xludf.DUMMYFUNCTION("""COMPUTED_VALUE"""),"c_yuw_00101_challengekb_Boss_Red_Appearance_00001")</f>
        <v>c_yuw_00101_challengekb_Boss_Red_Appearance_00001</v>
      </c>
      <c r="D2375" s="139" t="str">
        <f>IFERROR(__xludf.DUMMYFUNCTION("""COMPUTED_VALUE"""),"c_yuw_00101_challengekb_Boss_Red")</f>
        <v>c_yuw_00101_challengekb_Boss_Red</v>
      </c>
      <c r="E2375" s="139">
        <f>IFERROR(__xludf.DUMMYFUNCTION("""COMPUTED_VALUE"""),0.0)</f>
        <v>0</v>
      </c>
      <c r="F2375" s="139" t="str">
        <f>IFERROR(__xludf.DUMMYFUNCTION("""COMPUTED_VALUE"""),"Appearance")</f>
        <v>Appearance</v>
      </c>
      <c r="G2375" s="139"/>
      <c r="H2375" s="139"/>
      <c r="I2375" s="139">
        <f>IFERROR(__xludf.DUMMYFUNCTION("""COMPUTED_VALUE"""),50.0)</f>
        <v>50</v>
      </c>
      <c r="J2375" s="139">
        <f>IFERROR(__xludf.DUMMYFUNCTION("""COMPUTED_VALUE"""),0.0)</f>
        <v>0</v>
      </c>
      <c r="K2375" s="139">
        <f>IFERROR(__xludf.DUMMYFUNCTION("""COMPUTED_VALUE"""),0.0)</f>
        <v>0</v>
      </c>
      <c r="L2375" s="139"/>
      <c r="M2375" s="139"/>
      <c r="N2375" s="139"/>
    </row>
    <row r="2376">
      <c r="A2376" s="139" t="str">
        <f>IFERROR(__xludf.DUMMYFUNCTION("""COMPUTED_VALUE"""),"e")</f>
        <v>e</v>
      </c>
      <c r="B2376" s="139">
        <f>IFERROR(__xludf.DUMMYFUNCTION("""COMPUTED_VALUE"""),2.0251102E8)</f>
        <v>202511020</v>
      </c>
      <c r="C2376" s="139" t="str">
        <f>IFERROR(__xludf.DUMMYFUNCTION("""COMPUTED_VALUE"""),"c_yuw_00101_challengekb_Boss_Red_Special_00002")</f>
        <v>c_yuw_00101_challengekb_Boss_Red_Special_00002</v>
      </c>
      <c r="D2376" s="139" t="str">
        <f>IFERROR(__xludf.DUMMYFUNCTION("""COMPUTED_VALUE"""),"c_yuw_00101_challengekb_Boss_Red")</f>
        <v>c_yuw_00101_challengekb_Boss_Red</v>
      </c>
      <c r="E2376" s="139">
        <f>IFERROR(__xludf.DUMMYFUNCTION("""COMPUTED_VALUE"""),0.0)</f>
        <v>0</v>
      </c>
      <c r="F2376" s="139" t="str">
        <f>IFERROR(__xludf.DUMMYFUNCTION("""COMPUTED_VALUE"""),"Special")</f>
        <v>Special</v>
      </c>
      <c r="G2376" s="139"/>
      <c r="H2376" s="139"/>
      <c r="I2376" s="139">
        <f>IFERROR(__xludf.DUMMYFUNCTION("""COMPUTED_VALUE"""),175.0)</f>
        <v>175</v>
      </c>
      <c r="J2376" s="139">
        <f>IFERROR(__xludf.DUMMYFUNCTION("""COMPUTED_VALUE"""),160.0)</f>
        <v>160</v>
      </c>
      <c r="K2376" s="139">
        <f>IFERROR(__xludf.DUMMYFUNCTION("""COMPUTED_VALUE"""),0.0)</f>
        <v>0</v>
      </c>
      <c r="L2376" s="139"/>
      <c r="M2376" s="139"/>
      <c r="N2376" s="139"/>
    </row>
    <row r="2377">
      <c r="A2377" s="139" t="str">
        <f>IFERROR(__xludf.DUMMYFUNCTION("""COMPUTED_VALUE"""),"e")</f>
        <v>e</v>
      </c>
      <c r="B2377" s="139">
        <f>IFERROR(__xludf.DUMMYFUNCTION("""COMPUTED_VALUE"""),2.0251102E8)</f>
        <v>202511020</v>
      </c>
      <c r="C2377" s="139" t="str">
        <f>IFERROR(__xludf.DUMMYFUNCTION("""COMPUTED_VALUE"""),"c_yuw_00001_challenge_Normal_Red_Normal_00000")</f>
        <v>c_yuw_00001_challenge_Normal_Red_Normal_00000</v>
      </c>
      <c r="D2377" s="139" t="str">
        <f>IFERROR(__xludf.DUMMYFUNCTION("""COMPUTED_VALUE"""),"c_yuw_00001_challenge_Normal_Red")</f>
        <v>c_yuw_00001_challenge_Normal_Red</v>
      </c>
      <c r="E2377" s="139">
        <f>IFERROR(__xludf.DUMMYFUNCTION("""COMPUTED_VALUE"""),0.0)</f>
        <v>0</v>
      </c>
      <c r="F2377" s="139" t="str">
        <f>IFERROR(__xludf.DUMMYFUNCTION("""COMPUTED_VALUE"""),"Normal")</f>
        <v>Normal</v>
      </c>
      <c r="G2377" s="139"/>
      <c r="H2377" s="139"/>
      <c r="I2377" s="139">
        <f>IFERROR(__xludf.DUMMYFUNCTION("""COMPUTED_VALUE"""),77.0)</f>
        <v>77</v>
      </c>
      <c r="J2377" s="139">
        <f>IFERROR(__xludf.DUMMYFUNCTION("""COMPUTED_VALUE"""),25.0)</f>
        <v>25</v>
      </c>
      <c r="K2377" s="139">
        <f>IFERROR(__xludf.DUMMYFUNCTION("""COMPUTED_VALUE"""),75.0)</f>
        <v>75</v>
      </c>
      <c r="L2377" s="139"/>
      <c r="M2377" s="139"/>
      <c r="N2377" s="139"/>
    </row>
    <row r="2378">
      <c r="A2378" s="139" t="str">
        <f>IFERROR(__xludf.DUMMYFUNCTION("""COMPUTED_VALUE"""),"e")</f>
        <v>e</v>
      </c>
      <c r="B2378" s="139">
        <f>IFERROR(__xludf.DUMMYFUNCTION("""COMPUTED_VALUE"""),2.0251102E8)</f>
        <v>202511020</v>
      </c>
      <c r="C2378" s="139" t="str">
        <f>IFERROR(__xludf.DUMMYFUNCTION("""COMPUTED_VALUE"""),"c_yuw_00001_challenge_Normal_Red_Special_00001")</f>
        <v>c_yuw_00001_challenge_Normal_Red_Special_00001</v>
      </c>
      <c r="D2378" s="139" t="str">
        <f>IFERROR(__xludf.DUMMYFUNCTION("""COMPUTED_VALUE"""),"c_yuw_00001_challenge_Normal_Red")</f>
        <v>c_yuw_00001_challenge_Normal_Red</v>
      </c>
      <c r="E2378" s="139">
        <f>IFERROR(__xludf.DUMMYFUNCTION("""COMPUTED_VALUE"""),0.0)</f>
        <v>0</v>
      </c>
      <c r="F2378" s="139" t="str">
        <f>IFERROR(__xludf.DUMMYFUNCTION("""COMPUTED_VALUE"""),"Special")</f>
        <v>Special</v>
      </c>
      <c r="G2378" s="139"/>
      <c r="H2378" s="139"/>
      <c r="I2378" s="139">
        <f>IFERROR(__xludf.DUMMYFUNCTION("""COMPUTED_VALUE"""),184.0)</f>
        <v>184</v>
      </c>
      <c r="J2378" s="139">
        <f>IFERROR(__xludf.DUMMYFUNCTION("""COMPUTED_VALUE"""),122.0)</f>
        <v>122</v>
      </c>
      <c r="K2378" s="139">
        <f>IFERROR(__xludf.DUMMYFUNCTION("""COMPUTED_VALUE"""),0.0)</f>
        <v>0</v>
      </c>
      <c r="L2378" s="139"/>
      <c r="M2378" s="139"/>
      <c r="N2378" s="139"/>
    </row>
    <row r="2379">
      <c r="A2379" s="139" t="str">
        <f>IFERROR(__xludf.DUMMYFUNCTION("""COMPUTED_VALUE"""),"e")</f>
        <v>e</v>
      </c>
      <c r="B2379" s="139">
        <f>IFERROR(__xludf.DUMMYFUNCTION("""COMPUTED_VALUE"""),2.0251102E8)</f>
        <v>202511020</v>
      </c>
      <c r="C2379" s="139" t="str">
        <f>IFERROR(__xludf.DUMMYFUNCTION("""COMPUTED_VALUE"""),"c_yuw_00301_challengeburn_Boss_Red_Normal_00000")</f>
        <v>c_yuw_00301_challengeburn_Boss_Red_Normal_00000</v>
      </c>
      <c r="D2379" s="139" t="str">
        <f>IFERROR(__xludf.DUMMYFUNCTION("""COMPUTED_VALUE"""),"c_yuw_00301_challengeburn_Boss_Red")</f>
        <v>c_yuw_00301_challengeburn_Boss_Red</v>
      </c>
      <c r="E2379" s="139">
        <f>IFERROR(__xludf.DUMMYFUNCTION("""COMPUTED_VALUE"""),0.0)</f>
        <v>0</v>
      </c>
      <c r="F2379" s="139" t="str">
        <f>IFERROR(__xludf.DUMMYFUNCTION("""COMPUTED_VALUE"""),"Normal")</f>
        <v>Normal</v>
      </c>
      <c r="G2379" s="139"/>
      <c r="H2379" s="139"/>
      <c r="I2379" s="139">
        <f>IFERROR(__xludf.DUMMYFUNCTION("""COMPUTED_VALUE"""),79.0)</f>
        <v>79</v>
      </c>
      <c r="J2379" s="139">
        <f>IFERROR(__xludf.DUMMYFUNCTION("""COMPUTED_VALUE"""),0.0)</f>
        <v>0</v>
      </c>
      <c r="K2379" s="139">
        <f>IFERROR(__xludf.DUMMYFUNCTION("""COMPUTED_VALUE"""),50.0)</f>
        <v>50</v>
      </c>
      <c r="L2379" s="139"/>
      <c r="M2379" s="139"/>
      <c r="N2379" s="139"/>
    </row>
    <row r="2380">
      <c r="A2380" s="139" t="str">
        <f>IFERROR(__xludf.DUMMYFUNCTION("""COMPUTED_VALUE"""),"e")</f>
        <v>e</v>
      </c>
      <c r="B2380" s="139">
        <f>IFERROR(__xludf.DUMMYFUNCTION("""COMPUTED_VALUE"""),2.0251102E8)</f>
        <v>202511020</v>
      </c>
      <c r="C2380" s="139" t="str">
        <f>IFERROR(__xludf.DUMMYFUNCTION("""COMPUTED_VALUE"""),"c_yuw_00301_challengeburn_Boss_Red_Appearance_00001")</f>
        <v>c_yuw_00301_challengeburn_Boss_Red_Appearance_00001</v>
      </c>
      <c r="D2380" s="139" t="str">
        <f>IFERROR(__xludf.DUMMYFUNCTION("""COMPUTED_VALUE"""),"c_yuw_00301_challengeburn_Boss_Red")</f>
        <v>c_yuw_00301_challengeburn_Boss_Red</v>
      </c>
      <c r="E2380" s="139">
        <f>IFERROR(__xludf.DUMMYFUNCTION("""COMPUTED_VALUE"""),0.0)</f>
        <v>0</v>
      </c>
      <c r="F2380" s="139" t="str">
        <f>IFERROR(__xludf.DUMMYFUNCTION("""COMPUTED_VALUE"""),"Appearance")</f>
        <v>Appearance</v>
      </c>
      <c r="G2380" s="139"/>
      <c r="H2380" s="139"/>
      <c r="I2380" s="139">
        <f>IFERROR(__xludf.DUMMYFUNCTION("""COMPUTED_VALUE"""),50.0)</f>
        <v>50</v>
      </c>
      <c r="J2380" s="139">
        <f>IFERROR(__xludf.DUMMYFUNCTION("""COMPUTED_VALUE"""),0.0)</f>
        <v>0</v>
      </c>
      <c r="K2380" s="139">
        <f>IFERROR(__xludf.DUMMYFUNCTION("""COMPUTED_VALUE"""),0.0)</f>
        <v>0</v>
      </c>
      <c r="L2380" s="139"/>
      <c r="M2380" s="139"/>
      <c r="N2380" s="139"/>
    </row>
    <row r="2381">
      <c r="A2381" s="139" t="str">
        <f>IFERROR(__xludf.DUMMYFUNCTION("""COMPUTED_VALUE"""),"e")</f>
        <v>e</v>
      </c>
      <c r="B2381" s="139">
        <f>IFERROR(__xludf.DUMMYFUNCTION("""COMPUTED_VALUE"""),2.0251102E8)</f>
        <v>202511020</v>
      </c>
      <c r="C2381" s="139" t="str">
        <f>IFERROR(__xludf.DUMMYFUNCTION("""COMPUTED_VALUE"""),"c_yuw_00301_challengeburn_Boss_Red_Special_00002")</f>
        <v>c_yuw_00301_challengeburn_Boss_Red_Special_00002</v>
      </c>
      <c r="D2381" s="139" t="str">
        <f>IFERROR(__xludf.DUMMYFUNCTION("""COMPUTED_VALUE"""),"c_yuw_00301_challengeburn_Boss_Red")</f>
        <v>c_yuw_00301_challengeburn_Boss_Red</v>
      </c>
      <c r="E2381" s="139">
        <f>IFERROR(__xludf.DUMMYFUNCTION("""COMPUTED_VALUE"""),0.0)</f>
        <v>0</v>
      </c>
      <c r="F2381" s="139" t="str">
        <f>IFERROR(__xludf.DUMMYFUNCTION("""COMPUTED_VALUE"""),"Special")</f>
        <v>Special</v>
      </c>
      <c r="G2381" s="139"/>
      <c r="H2381" s="139"/>
      <c r="I2381" s="139">
        <f>IFERROR(__xludf.DUMMYFUNCTION("""COMPUTED_VALUE"""),175.0)</f>
        <v>175</v>
      </c>
      <c r="J2381" s="139">
        <f>IFERROR(__xludf.DUMMYFUNCTION("""COMPUTED_VALUE"""),160.0)</f>
        <v>160</v>
      </c>
      <c r="K2381" s="139">
        <f>IFERROR(__xludf.DUMMYFUNCTION("""COMPUTED_VALUE"""),0.0)</f>
        <v>0</v>
      </c>
      <c r="L2381" s="139"/>
      <c r="M2381" s="139"/>
      <c r="N2381" s="139"/>
    </row>
    <row r="2382">
      <c r="A2382" s="139" t="str">
        <f>IFERROR(__xludf.DUMMYFUNCTION("""COMPUTED_VALUE"""),"e")</f>
        <v>e</v>
      </c>
      <c r="B2382" s="139">
        <f>IFERROR(__xludf.DUMMYFUNCTION("""COMPUTED_VALUE"""),2.0251102E8)</f>
        <v>202511020</v>
      </c>
      <c r="C2382" s="139" t="str">
        <f>IFERROR(__xludf.DUMMYFUNCTION("""COMPUTED_VALUE"""),"c_yuw_00001_challenge_Normal_Green_Normal_00000")</f>
        <v>c_yuw_00001_challenge_Normal_Green_Normal_00000</v>
      </c>
      <c r="D2382" s="139" t="str">
        <f>IFERROR(__xludf.DUMMYFUNCTION("""COMPUTED_VALUE"""),"c_yuw_00001_challenge_Normal_Green")</f>
        <v>c_yuw_00001_challenge_Normal_Green</v>
      </c>
      <c r="E2382" s="139">
        <f>IFERROR(__xludf.DUMMYFUNCTION("""COMPUTED_VALUE"""),0.0)</f>
        <v>0</v>
      </c>
      <c r="F2382" s="139" t="str">
        <f>IFERROR(__xludf.DUMMYFUNCTION("""COMPUTED_VALUE"""),"Normal")</f>
        <v>Normal</v>
      </c>
      <c r="G2382" s="139"/>
      <c r="H2382" s="139"/>
      <c r="I2382" s="139">
        <f>IFERROR(__xludf.DUMMYFUNCTION("""COMPUTED_VALUE"""),77.0)</f>
        <v>77</v>
      </c>
      <c r="J2382" s="139">
        <f>IFERROR(__xludf.DUMMYFUNCTION("""COMPUTED_VALUE"""),25.0)</f>
        <v>25</v>
      </c>
      <c r="K2382" s="139">
        <f>IFERROR(__xludf.DUMMYFUNCTION("""COMPUTED_VALUE"""),75.0)</f>
        <v>75</v>
      </c>
      <c r="L2382" s="139"/>
      <c r="M2382" s="139"/>
      <c r="N2382" s="139"/>
    </row>
    <row r="2383">
      <c r="A2383" s="139" t="str">
        <f>IFERROR(__xludf.DUMMYFUNCTION("""COMPUTED_VALUE"""),"e")</f>
        <v>e</v>
      </c>
      <c r="B2383" s="139">
        <f>IFERROR(__xludf.DUMMYFUNCTION("""COMPUTED_VALUE"""),2.0251102E8)</f>
        <v>202511020</v>
      </c>
      <c r="C2383" s="139" t="str">
        <f>IFERROR(__xludf.DUMMYFUNCTION("""COMPUTED_VALUE"""),"c_yuw_00001_challenge_Normal_Green_Special_00001")</f>
        <v>c_yuw_00001_challenge_Normal_Green_Special_00001</v>
      </c>
      <c r="D2383" s="139" t="str">
        <f>IFERROR(__xludf.DUMMYFUNCTION("""COMPUTED_VALUE"""),"c_yuw_00001_challenge_Normal_Green")</f>
        <v>c_yuw_00001_challenge_Normal_Green</v>
      </c>
      <c r="E2383" s="139">
        <f>IFERROR(__xludf.DUMMYFUNCTION("""COMPUTED_VALUE"""),0.0)</f>
        <v>0</v>
      </c>
      <c r="F2383" s="139" t="str">
        <f>IFERROR(__xludf.DUMMYFUNCTION("""COMPUTED_VALUE"""),"Special")</f>
        <v>Special</v>
      </c>
      <c r="G2383" s="139"/>
      <c r="H2383" s="139"/>
      <c r="I2383" s="139">
        <f>IFERROR(__xludf.DUMMYFUNCTION("""COMPUTED_VALUE"""),184.0)</f>
        <v>184</v>
      </c>
      <c r="J2383" s="139">
        <f>IFERROR(__xludf.DUMMYFUNCTION("""COMPUTED_VALUE"""),122.0)</f>
        <v>122</v>
      </c>
      <c r="K2383" s="139">
        <f>IFERROR(__xludf.DUMMYFUNCTION("""COMPUTED_VALUE"""),0.0)</f>
        <v>0</v>
      </c>
      <c r="L2383" s="139"/>
      <c r="M2383" s="139"/>
      <c r="N2383" s="139"/>
    </row>
    <row r="2384">
      <c r="A2384" s="139" t="str">
        <f>IFERROR(__xludf.DUMMYFUNCTION("""COMPUTED_VALUE"""),"e")</f>
        <v>e</v>
      </c>
      <c r="B2384" s="139">
        <f>IFERROR(__xludf.DUMMYFUNCTION("""COMPUTED_VALUE"""),2.0251102E8)</f>
        <v>202511020</v>
      </c>
      <c r="C2384" s="139" t="str">
        <f>IFERROR(__xludf.DUMMYFUNCTION("""COMPUTED_VALUE"""),"c_yuw_00001_challenge_Boss_Green_Normal_00000")</f>
        <v>c_yuw_00001_challenge_Boss_Green_Normal_00000</v>
      </c>
      <c r="D2384" s="139" t="str">
        <f>IFERROR(__xludf.DUMMYFUNCTION("""COMPUTED_VALUE"""),"c_yuw_00001_challenge_Boss_Green")</f>
        <v>c_yuw_00001_challenge_Boss_Green</v>
      </c>
      <c r="E2384" s="139">
        <f>IFERROR(__xludf.DUMMYFUNCTION("""COMPUTED_VALUE"""),0.0)</f>
        <v>0</v>
      </c>
      <c r="F2384" s="139" t="str">
        <f>IFERROR(__xludf.DUMMYFUNCTION("""COMPUTED_VALUE"""),"Normal")</f>
        <v>Normal</v>
      </c>
      <c r="G2384" s="139"/>
      <c r="H2384" s="139"/>
      <c r="I2384" s="139">
        <f>IFERROR(__xludf.DUMMYFUNCTION("""COMPUTED_VALUE"""),77.0)</f>
        <v>77</v>
      </c>
      <c r="J2384" s="139">
        <f>IFERROR(__xludf.DUMMYFUNCTION("""COMPUTED_VALUE"""),25.0)</f>
        <v>25</v>
      </c>
      <c r="K2384" s="139">
        <f>IFERROR(__xludf.DUMMYFUNCTION("""COMPUTED_VALUE"""),75.0)</f>
        <v>75</v>
      </c>
      <c r="L2384" s="139"/>
      <c r="M2384" s="139"/>
      <c r="N2384" s="139"/>
    </row>
    <row r="2385">
      <c r="A2385" s="139" t="str">
        <f>IFERROR(__xludf.DUMMYFUNCTION("""COMPUTED_VALUE"""),"e")</f>
        <v>e</v>
      </c>
      <c r="B2385" s="139">
        <f>IFERROR(__xludf.DUMMYFUNCTION("""COMPUTED_VALUE"""),2.0251102E8)</f>
        <v>202511020</v>
      </c>
      <c r="C2385" s="139" t="str">
        <f>IFERROR(__xludf.DUMMYFUNCTION("""COMPUTED_VALUE"""),"c_yuw_00001_challenge_Boss_Green_Appearance_00001")</f>
        <v>c_yuw_00001_challenge_Boss_Green_Appearance_00001</v>
      </c>
      <c r="D2385" s="139" t="str">
        <f>IFERROR(__xludf.DUMMYFUNCTION("""COMPUTED_VALUE"""),"c_yuw_00001_challenge_Boss_Green")</f>
        <v>c_yuw_00001_challenge_Boss_Green</v>
      </c>
      <c r="E2385" s="139">
        <f>IFERROR(__xludf.DUMMYFUNCTION("""COMPUTED_VALUE"""),0.0)</f>
        <v>0</v>
      </c>
      <c r="F2385" s="139" t="str">
        <f>IFERROR(__xludf.DUMMYFUNCTION("""COMPUTED_VALUE"""),"Appearance")</f>
        <v>Appearance</v>
      </c>
      <c r="G2385" s="139"/>
      <c r="H2385" s="139"/>
      <c r="I2385" s="139">
        <f>IFERROR(__xludf.DUMMYFUNCTION("""COMPUTED_VALUE"""),50.0)</f>
        <v>50</v>
      </c>
      <c r="J2385" s="139">
        <f>IFERROR(__xludf.DUMMYFUNCTION("""COMPUTED_VALUE"""),0.0)</f>
        <v>0</v>
      </c>
      <c r="K2385" s="139">
        <f>IFERROR(__xludf.DUMMYFUNCTION("""COMPUTED_VALUE"""),0.0)</f>
        <v>0</v>
      </c>
      <c r="L2385" s="139"/>
      <c r="M2385" s="139"/>
      <c r="N2385" s="139"/>
    </row>
    <row r="2386">
      <c r="A2386" s="139" t="str">
        <f>IFERROR(__xludf.DUMMYFUNCTION("""COMPUTED_VALUE"""),"e")</f>
        <v>e</v>
      </c>
      <c r="B2386" s="139">
        <f>IFERROR(__xludf.DUMMYFUNCTION("""COMPUTED_VALUE"""),2.0251102E8)</f>
        <v>202511020</v>
      </c>
      <c r="C2386" s="139" t="str">
        <f>IFERROR(__xludf.DUMMYFUNCTION("""COMPUTED_VALUE"""),"c_yuw_00001_challenge_Boss_Green_Special_00002")</f>
        <v>c_yuw_00001_challenge_Boss_Green_Special_00002</v>
      </c>
      <c r="D2386" s="139" t="str">
        <f>IFERROR(__xludf.DUMMYFUNCTION("""COMPUTED_VALUE"""),"c_yuw_00001_challenge_Boss_Green")</f>
        <v>c_yuw_00001_challenge_Boss_Green</v>
      </c>
      <c r="E2386" s="139">
        <f>IFERROR(__xludf.DUMMYFUNCTION("""COMPUTED_VALUE"""),0.0)</f>
        <v>0</v>
      </c>
      <c r="F2386" s="139" t="str">
        <f>IFERROR(__xludf.DUMMYFUNCTION("""COMPUTED_VALUE"""),"Special")</f>
        <v>Special</v>
      </c>
      <c r="G2386" s="139"/>
      <c r="H2386" s="139"/>
      <c r="I2386" s="139">
        <f>IFERROR(__xludf.DUMMYFUNCTION("""COMPUTED_VALUE"""),184.0)</f>
        <v>184</v>
      </c>
      <c r="J2386" s="139">
        <f>IFERROR(__xludf.DUMMYFUNCTION("""COMPUTED_VALUE"""),122.0)</f>
        <v>122</v>
      </c>
      <c r="K2386" s="139">
        <f>IFERROR(__xludf.DUMMYFUNCTION("""COMPUTED_VALUE"""),0.0)</f>
        <v>0</v>
      </c>
      <c r="L2386" s="139"/>
      <c r="M2386" s="139"/>
      <c r="N2386" s="139"/>
    </row>
    <row r="2387">
      <c r="A2387" s="139" t="str">
        <f>IFERROR(__xludf.DUMMYFUNCTION("""COMPUTED_VALUE"""),"e")</f>
        <v>e</v>
      </c>
      <c r="B2387" s="139">
        <f>IFERROR(__xludf.DUMMYFUNCTION("""COMPUTED_VALUE"""),2.0251102E8)</f>
        <v>202511020</v>
      </c>
      <c r="C2387" s="139" t="str">
        <f>IFERROR(__xludf.DUMMYFUNCTION("""COMPUTED_VALUE"""),"c_yuw_00101_challenge_Normal_Green_Normal_00000")</f>
        <v>c_yuw_00101_challenge_Normal_Green_Normal_00000</v>
      </c>
      <c r="D2387" s="139" t="str">
        <f>IFERROR(__xludf.DUMMYFUNCTION("""COMPUTED_VALUE"""),"c_yuw_00101_challenge_Normal_Green")</f>
        <v>c_yuw_00101_challenge_Normal_Green</v>
      </c>
      <c r="E2387" s="139">
        <f>IFERROR(__xludf.DUMMYFUNCTION("""COMPUTED_VALUE"""),0.0)</f>
        <v>0</v>
      </c>
      <c r="F2387" s="139" t="str">
        <f>IFERROR(__xludf.DUMMYFUNCTION("""COMPUTED_VALUE"""),"Normal")</f>
        <v>Normal</v>
      </c>
      <c r="G2387" s="139"/>
      <c r="H2387" s="139"/>
      <c r="I2387" s="139">
        <f>IFERROR(__xludf.DUMMYFUNCTION("""COMPUTED_VALUE"""),75.0)</f>
        <v>75</v>
      </c>
      <c r="J2387" s="139">
        <f>IFERROR(__xludf.DUMMYFUNCTION("""COMPUTED_VALUE"""),0.0)</f>
        <v>0</v>
      </c>
      <c r="K2387" s="139">
        <f>IFERROR(__xludf.DUMMYFUNCTION("""COMPUTED_VALUE"""),80.0)</f>
        <v>80</v>
      </c>
      <c r="L2387" s="139"/>
      <c r="M2387" s="139"/>
      <c r="N2387" s="139"/>
    </row>
    <row r="2388">
      <c r="A2388" s="139" t="str">
        <f>IFERROR(__xludf.DUMMYFUNCTION("""COMPUTED_VALUE"""),"e")</f>
        <v>e</v>
      </c>
      <c r="B2388" s="139">
        <f>IFERROR(__xludf.DUMMYFUNCTION("""COMPUTED_VALUE"""),2.0251102E8)</f>
        <v>202511020</v>
      </c>
      <c r="C2388" s="139" t="str">
        <f>IFERROR(__xludf.DUMMYFUNCTION("""COMPUTED_VALUE"""),"c_yuw_00101_challenge_Normal_Green_Special_00001")</f>
        <v>c_yuw_00101_challenge_Normal_Green_Special_00001</v>
      </c>
      <c r="D2388" s="139" t="str">
        <f>IFERROR(__xludf.DUMMYFUNCTION("""COMPUTED_VALUE"""),"c_yuw_00101_challenge_Normal_Green")</f>
        <v>c_yuw_00101_challenge_Normal_Green</v>
      </c>
      <c r="E2388" s="139">
        <f>IFERROR(__xludf.DUMMYFUNCTION("""COMPUTED_VALUE"""),0.0)</f>
        <v>0</v>
      </c>
      <c r="F2388" s="139" t="str">
        <f>IFERROR(__xludf.DUMMYFUNCTION("""COMPUTED_VALUE"""),"Special")</f>
        <v>Special</v>
      </c>
      <c r="G2388" s="139"/>
      <c r="H2388" s="139"/>
      <c r="I2388" s="139">
        <f>IFERROR(__xludf.DUMMYFUNCTION("""COMPUTED_VALUE"""),175.0)</f>
        <v>175</v>
      </c>
      <c r="J2388" s="139">
        <f>IFERROR(__xludf.DUMMYFUNCTION("""COMPUTED_VALUE"""),160.0)</f>
        <v>160</v>
      </c>
      <c r="K2388" s="139">
        <f>IFERROR(__xludf.DUMMYFUNCTION("""COMPUTED_VALUE"""),0.0)</f>
        <v>0</v>
      </c>
      <c r="L2388" s="139"/>
      <c r="M2388" s="139"/>
      <c r="N2388" s="139"/>
    </row>
    <row r="2389">
      <c r="A2389" s="139" t="str">
        <f>IFERROR(__xludf.DUMMYFUNCTION("""COMPUTED_VALUE"""),"e")</f>
        <v>e</v>
      </c>
      <c r="B2389" s="139">
        <f>IFERROR(__xludf.DUMMYFUNCTION("""COMPUTED_VALUE"""),2.0251102E8)</f>
        <v>202511020</v>
      </c>
      <c r="C2389" s="139" t="str">
        <f>IFERROR(__xludf.DUMMYFUNCTION("""COMPUTED_VALUE"""),"c_yuw_00301_challenge_Normal_Green_Normal_00000")</f>
        <v>c_yuw_00301_challenge_Normal_Green_Normal_00000</v>
      </c>
      <c r="D2389" s="139" t="str">
        <f>IFERROR(__xludf.DUMMYFUNCTION("""COMPUTED_VALUE"""),"c_yuw_00301_challenge_Normal_Green")</f>
        <v>c_yuw_00301_challenge_Normal_Green</v>
      </c>
      <c r="E2389" s="139">
        <f>IFERROR(__xludf.DUMMYFUNCTION("""COMPUTED_VALUE"""),0.0)</f>
        <v>0</v>
      </c>
      <c r="F2389" s="139" t="str">
        <f>IFERROR(__xludf.DUMMYFUNCTION("""COMPUTED_VALUE"""),"Normal")</f>
        <v>Normal</v>
      </c>
      <c r="G2389" s="139"/>
      <c r="H2389" s="139"/>
      <c r="I2389" s="139">
        <f>IFERROR(__xludf.DUMMYFUNCTION("""COMPUTED_VALUE"""),79.0)</f>
        <v>79</v>
      </c>
      <c r="J2389" s="139">
        <f>IFERROR(__xludf.DUMMYFUNCTION("""COMPUTED_VALUE"""),0.0)</f>
        <v>0</v>
      </c>
      <c r="K2389" s="139">
        <f>IFERROR(__xludf.DUMMYFUNCTION("""COMPUTED_VALUE"""),50.0)</f>
        <v>50</v>
      </c>
      <c r="L2389" s="139"/>
      <c r="M2389" s="139"/>
      <c r="N2389" s="139"/>
    </row>
    <row r="2390">
      <c r="A2390" s="139" t="str">
        <f>IFERROR(__xludf.DUMMYFUNCTION("""COMPUTED_VALUE"""),"e")</f>
        <v>e</v>
      </c>
      <c r="B2390" s="139">
        <f>IFERROR(__xludf.DUMMYFUNCTION("""COMPUTED_VALUE"""),2.0251102E8)</f>
        <v>202511020</v>
      </c>
      <c r="C2390" s="139" t="str">
        <f>IFERROR(__xludf.DUMMYFUNCTION("""COMPUTED_VALUE"""),"c_yuw_00301_challenge_Normal_Green_Special_00001")</f>
        <v>c_yuw_00301_challenge_Normal_Green_Special_00001</v>
      </c>
      <c r="D2390" s="139" t="str">
        <f>IFERROR(__xludf.DUMMYFUNCTION("""COMPUTED_VALUE"""),"c_yuw_00301_challenge_Normal_Green")</f>
        <v>c_yuw_00301_challenge_Normal_Green</v>
      </c>
      <c r="E2390" s="139">
        <f>IFERROR(__xludf.DUMMYFUNCTION("""COMPUTED_VALUE"""),0.0)</f>
        <v>0</v>
      </c>
      <c r="F2390" s="139" t="str">
        <f>IFERROR(__xludf.DUMMYFUNCTION("""COMPUTED_VALUE"""),"Special")</f>
        <v>Special</v>
      </c>
      <c r="G2390" s="139"/>
      <c r="H2390" s="139"/>
      <c r="I2390" s="139">
        <f>IFERROR(__xludf.DUMMYFUNCTION("""COMPUTED_VALUE"""),175.0)</f>
        <v>175</v>
      </c>
      <c r="J2390" s="139">
        <f>IFERROR(__xludf.DUMMYFUNCTION("""COMPUTED_VALUE"""),160.0)</f>
        <v>160</v>
      </c>
      <c r="K2390" s="139">
        <f>IFERROR(__xludf.DUMMYFUNCTION("""COMPUTED_VALUE"""),0.0)</f>
        <v>0</v>
      </c>
      <c r="L2390" s="139"/>
      <c r="M2390" s="139"/>
      <c r="N2390" s="139"/>
    </row>
    <row r="2391">
      <c r="A2391" s="139" t="str">
        <f>IFERROR(__xludf.DUMMYFUNCTION("""COMPUTED_VALUE"""),"e")</f>
        <v>e</v>
      </c>
      <c r="B2391" s="139">
        <f>IFERROR(__xludf.DUMMYFUNCTION("""COMPUTED_VALUE"""),2.0251102E8)</f>
        <v>202511020</v>
      </c>
      <c r="C2391" s="139" t="str">
        <f>IFERROR(__xludf.DUMMYFUNCTION("""COMPUTED_VALUE"""),"c_yuw_00401_challenge_Normal_Green_Normal_00000")</f>
        <v>c_yuw_00401_challenge_Normal_Green_Normal_00000</v>
      </c>
      <c r="D2391" s="139" t="str">
        <f>IFERROR(__xludf.DUMMYFUNCTION("""COMPUTED_VALUE"""),"c_yuw_00401_challenge_Normal_Green")</f>
        <v>c_yuw_00401_challenge_Normal_Green</v>
      </c>
      <c r="E2391" s="139">
        <f>IFERROR(__xludf.DUMMYFUNCTION("""COMPUTED_VALUE"""),0.0)</f>
        <v>0</v>
      </c>
      <c r="F2391" s="139" t="str">
        <f>IFERROR(__xludf.DUMMYFUNCTION("""COMPUTED_VALUE"""),"Normal")</f>
        <v>Normal</v>
      </c>
      <c r="G2391" s="139"/>
      <c r="H2391" s="139"/>
      <c r="I2391" s="139">
        <f>IFERROR(__xludf.DUMMYFUNCTION("""COMPUTED_VALUE"""),59.0)</f>
        <v>59</v>
      </c>
      <c r="J2391" s="139">
        <f>IFERROR(__xludf.DUMMYFUNCTION("""COMPUTED_VALUE"""),17.0)</f>
        <v>17</v>
      </c>
      <c r="K2391" s="139">
        <f>IFERROR(__xludf.DUMMYFUNCTION("""COMPUTED_VALUE"""),30.0)</f>
        <v>30</v>
      </c>
      <c r="L2391" s="139"/>
      <c r="M2391" s="139"/>
      <c r="N2391" s="139"/>
    </row>
    <row r="2392">
      <c r="A2392" s="139" t="str">
        <f>IFERROR(__xludf.DUMMYFUNCTION("""COMPUTED_VALUE"""),"e")</f>
        <v>e</v>
      </c>
      <c r="B2392" s="139">
        <f>IFERROR(__xludf.DUMMYFUNCTION("""COMPUTED_VALUE"""),2.0251102E8)</f>
        <v>202511020</v>
      </c>
      <c r="C2392" s="139" t="str">
        <f>IFERROR(__xludf.DUMMYFUNCTION("""COMPUTED_VALUE"""),"c_yuw_00401_challenge_Normal_Green_Special_00001")</f>
        <v>c_yuw_00401_challenge_Normal_Green_Special_00001</v>
      </c>
      <c r="D2392" s="139" t="str">
        <f>IFERROR(__xludf.DUMMYFUNCTION("""COMPUTED_VALUE"""),"c_yuw_00401_challenge_Normal_Green")</f>
        <v>c_yuw_00401_challenge_Normal_Green</v>
      </c>
      <c r="E2392" s="139">
        <f>IFERROR(__xludf.DUMMYFUNCTION("""COMPUTED_VALUE"""),0.0)</f>
        <v>0</v>
      </c>
      <c r="F2392" s="139" t="str">
        <f>IFERROR(__xludf.DUMMYFUNCTION("""COMPUTED_VALUE"""),"Special")</f>
        <v>Special</v>
      </c>
      <c r="G2392" s="139"/>
      <c r="H2392" s="139"/>
      <c r="I2392" s="139">
        <f>IFERROR(__xludf.DUMMYFUNCTION("""COMPUTED_VALUE"""),134.0)</f>
        <v>134</v>
      </c>
      <c r="J2392" s="139">
        <f>IFERROR(__xludf.DUMMYFUNCTION("""COMPUTED_VALUE"""),82.0)</f>
        <v>82</v>
      </c>
      <c r="K2392" s="139">
        <f>IFERROR(__xludf.DUMMYFUNCTION("""COMPUTED_VALUE"""),0.0)</f>
        <v>0</v>
      </c>
      <c r="L2392" s="139"/>
      <c r="M2392" s="139"/>
      <c r="N2392" s="139"/>
    </row>
    <row r="2393">
      <c r="A2393" s="139" t="str">
        <f>IFERROR(__xludf.DUMMYFUNCTION("""COMPUTED_VALUE"""),"e")</f>
        <v>e</v>
      </c>
      <c r="B2393" s="139">
        <f>IFERROR(__xludf.DUMMYFUNCTION("""COMPUTED_VALUE"""),2.0251102E8)</f>
        <v>202511020</v>
      </c>
      <c r="C2393" s="139" t="str">
        <f>IFERROR(__xludf.DUMMYFUNCTION("""COMPUTED_VALUE"""),"c_yuw_00401_challenge_Boss_Green_Normal_00000")</f>
        <v>c_yuw_00401_challenge_Boss_Green_Normal_00000</v>
      </c>
      <c r="D2393" s="139" t="str">
        <f>IFERROR(__xludf.DUMMYFUNCTION("""COMPUTED_VALUE"""),"c_yuw_00401_challenge_Boss_Green")</f>
        <v>c_yuw_00401_challenge_Boss_Green</v>
      </c>
      <c r="E2393" s="139">
        <f>IFERROR(__xludf.DUMMYFUNCTION("""COMPUTED_VALUE"""),0.0)</f>
        <v>0</v>
      </c>
      <c r="F2393" s="139" t="str">
        <f>IFERROR(__xludf.DUMMYFUNCTION("""COMPUTED_VALUE"""),"Normal")</f>
        <v>Normal</v>
      </c>
      <c r="G2393" s="139"/>
      <c r="H2393" s="139"/>
      <c r="I2393" s="139">
        <f>IFERROR(__xludf.DUMMYFUNCTION("""COMPUTED_VALUE"""),59.0)</f>
        <v>59</v>
      </c>
      <c r="J2393" s="139">
        <f>IFERROR(__xludf.DUMMYFUNCTION("""COMPUTED_VALUE"""),17.0)</f>
        <v>17</v>
      </c>
      <c r="K2393" s="139">
        <f>IFERROR(__xludf.DUMMYFUNCTION("""COMPUTED_VALUE"""),30.0)</f>
        <v>30</v>
      </c>
      <c r="L2393" s="139"/>
      <c r="M2393" s="139"/>
      <c r="N2393" s="139"/>
    </row>
    <row r="2394">
      <c r="A2394" s="139" t="str">
        <f>IFERROR(__xludf.DUMMYFUNCTION("""COMPUTED_VALUE"""),"e")</f>
        <v>e</v>
      </c>
      <c r="B2394" s="139">
        <f>IFERROR(__xludf.DUMMYFUNCTION("""COMPUTED_VALUE"""),2.0251102E8)</f>
        <v>202511020</v>
      </c>
      <c r="C2394" s="139" t="str">
        <f>IFERROR(__xludf.DUMMYFUNCTION("""COMPUTED_VALUE"""),"c_yuw_00401_challenge_Boss_Green_Appearance_00001")</f>
        <v>c_yuw_00401_challenge_Boss_Green_Appearance_00001</v>
      </c>
      <c r="D2394" s="139" t="str">
        <f>IFERROR(__xludf.DUMMYFUNCTION("""COMPUTED_VALUE"""),"c_yuw_00401_challenge_Boss_Green")</f>
        <v>c_yuw_00401_challenge_Boss_Green</v>
      </c>
      <c r="E2394" s="139">
        <f>IFERROR(__xludf.DUMMYFUNCTION("""COMPUTED_VALUE"""),0.0)</f>
        <v>0</v>
      </c>
      <c r="F2394" s="139" t="str">
        <f>IFERROR(__xludf.DUMMYFUNCTION("""COMPUTED_VALUE"""),"Appearance")</f>
        <v>Appearance</v>
      </c>
      <c r="G2394" s="139"/>
      <c r="H2394" s="139"/>
      <c r="I2394" s="139">
        <f>IFERROR(__xludf.DUMMYFUNCTION("""COMPUTED_VALUE"""),50.0)</f>
        <v>50</v>
      </c>
      <c r="J2394" s="139">
        <f>IFERROR(__xludf.DUMMYFUNCTION("""COMPUTED_VALUE"""),0.0)</f>
        <v>0</v>
      </c>
      <c r="K2394" s="139">
        <f>IFERROR(__xludf.DUMMYFUNCTION("""COMPUTED_VALUE"""),0.0)</f>
        <v>0</v>
      </c>
      <c r="L2394" s="139"/>
      <c r="M2394" s="139"/>
      <c r="N2394" s="139"/>
    </row>
    <row r="2395">
      <c r="A2395" s="139" t="str">
        <f>IFERROR(__xludf.DUMMYFUNCTION("""COMPUTED_VALUE"""),"e")</f>
        <v>e</v>
      </c>
      <c r="B2395" s="139">
        <f>IFERROR(__xludf.DUMMYFUNCTION("""COMPUTED_VALUE"""),2.0251102E8)</f>
        <v>202511020</v>
      </c>
      <c r="C2395" s="139" t="str">
        <f>IFERROR(__xludf.DUMMYFUNCTION("""COMPUTED_VALUE"""),"c_yuw_00401_challenge_Boss_Green_Special_00002")</f>
        <v>c_yuw_00401_challenge_Boss_Green_Special_00002</v>
      </c>
      <c r="D2395" s="139" t="str">
        <f>IFERROR(__xludf.DUMMYFUNCTION("""COMPUTED_VALUE"""),"c_yuw_00401_challenge_Boss_Green")</f>
        <v>c_yuw_00401_challenge_Boss_Green</v>
      </c>
      <c r="E2395" s="139">
        <f>IFERROR(__xludf.DUMMYFUNCTION("""COMPUTED_VALUE"""),0.0)</f>
        <v>0</v>
      </c>
      <c r="F2395" s="139" t="str">
        <f>IFERROR(__xludf.DUMMYFUNCTION("""COMPUTED_VALUE"""),"Special")</f>
        <v>Special</v>
      </c>
      <c r="G2395" s="139"/>
      <c r="H2395" s="139"/>
      <c r="I2395" s="139">
        <f>IFERROR(__xludf.DUMMYFUNCTION("""COMPUTED_VALUE"""),134.0)</f>
        <v>134</v>
      </c>
      <c r="J2395" s="139">
        <f>IFERROR(__xludf.DUMMYFUNCTION("""COMPUTED_VALUE"""),82.0)</f>
        <v>82</v>
      </c>
      <c r="K2395" s="139">
        <f>IFERROR(__xludf.DUMMYFUNCTION("""COMPUTED_VALUE"""),0.0)</f>
        <v>0</v>
      </c>
      <c r="L2395" s="139"/>
      <c r="M2395" s="139"/>
      <c r="N2395" s="139"/>
    </row>
    <row r="2396">
      <c r="A2396" s="139" t="str">
        <f>IFERROR(__xludf.DUMMYFUNCTION("""COMPUTED_VALUE"""),"e")</f>
        <v>e</v>
      </c>
      <c r="B2396" s="139">
        <f>IFERROR(__xludf.DUMMYFUNCTION("""COMPUTED_VALUE"""),2.0251102E8)</f>
        <v>202511020</v>
      </c>
      <c r="C2396" s="139" t="str">
        <f>IFERROR(__xludf.DUMMYFUNCTION("""COMPUTED_VALUE"""),"c_yuw_00601_1d1c_Normal_Colorless_Normal_00000")</f>
        <v>c_yuw_00601_1d1c_Normal_Colorless_Normal_00000</v>
      </c>
      <c r="D2396" s="139" t="str">
        <f>IFERROR(__xludf.DUMMYFUNCTION("""COMPUTED_VALUE"""),"c_yuw_00601_1d1c_Normal_Colorless")</f>
        <v>c_yuw_00601_1d1c_Normal_Colorless</v>
      </c>
      <c r="E2396" s="139">
        <f>IFERROR(__xludf.DUMMYFUNCTION("""COMPUTED_VALUE"""),0.0)</f>
        <v>0</v>
      </c>
      <c r="F2396" s="139" t="str">
        <f>IFERROR(__xludf.DUMMYFUNCTION("""COMPUTED_VALUE"""),"Normal")</f>
        <v>Normal</v>
      </c>
      <c r="G2396" s="139"/>
      <c r="H2396" s="139"/>
      <c r="I2396" s="139">
        <f>IFERROR(__xludf.DUMMYFUNCTION("""COMPUTED_VALUE"""),60.0)</f>
        <v>60</v>
      </c>
      <c r="J2396" s="139">
        <f>IFERROR(__xludf.DUMMYFUNCTION("""COMPUTED_VALUE"""),34.0)</f>
        <v>34</v>
      </c>
      <c r="K2396" s="139">
        <f>IFERROR(__xludf.DUMMYFUNCTION("""COMPUTED_VALUE"""),100.0)</f>
        <v>100</v>
      </c>
      <c r="L2396" s="139"/>
      <c r="M2396" s="139"/>
      <c r="N2396" s="139"/>
    </row>
    <row r="2397">
      <c r="A2397" s="139" t="str">
        <f>IFERROR(__xludf.DUMMYFUNCTION("""COMPUTED_VALUE"""),"e")</f>
        <v>e</v>
      </c>
      <c r="B2397" s="139">
        <f>IFERROR(__xludf.DUMMYFUNCTION("""COMPUTED_VALUE"""),2.0251102E8)</f>
        <v>202511020</v>
      </c>
      <c r="C2397" s="139" t="str">
        <f>IFERROR(__xludf.DUMMYFUNCTION("""COMPUTED_VALUE"""),"c_yuw_00601_1d1c_Normal_Colorless_Special_00001")</f>
        <v>c_yuw_00601_1d1c_Normal_Colorless_Special_00001</v>
      </c>
      <c r="D2397" s="139" t="str">
        <f>IFERROR(__xludf.DUMMYFUNCTION("""COMPUTED_VALUE"""),"c_yuw_00601_1d1c_Normal_Colorless")</f>
        <v>c_yuw_00601_1d1c_Normal_Colorless</v>
      </c>
      <c r="E2397" s="139">
        <f>IFERROR(__xludf.DUMMYFUNCTION("""COMPUTED_VALUE"""),0.0)</f>
        <v>0</v>
      </c>
      <c r="F2397" s="139" t="str">
        <f>IFERROR(__xludf.DUMMYFUNCTION("""COMPUTED_VALUE"""),"Special")</f>
        <v>Special</v>
      </c>
      <c r="G2397" s="139"/>
      <c r="H2397" s="139"/>
      <c r="I2397" s="139">
        <f>IFERROR(__xludf.DUMMYFUNCTION("""COMPUTED_VALUE"""),92.0)</f>
        <v>92</v>
      </c>
      <c r="J2397" s="139">
        <f>IFERROR(__xludf.DUMMYFUNCTION("""COMPUTED_VALUE"""),34.0)</f>
        <v>34</v>
      </c>
      <c r="K2397" s="139">
        <f>IFERROR(__xludf.DUMMYFUNCTION("""COMPUTED_VALUE"""),0.0)</f>
        <v>0</v>
      </c>
      <c r="L2397" s="139"/>
      <c r="M2397" s="139"/>
      <c r="N2397" s="139"/>
    </row>
    <row r="2398">
      <c r="A2398" s="139" t="str">
        <f>IFERROR(__xludf.DUMMYFUNCTION("""COMPUTED_VALUE"""),"e")</f>
        <v>e</v>
      </c>
      <c r="B2398" s="139">
        <f>IFERROR(__xludf.DUMMYFUNCTION("""COMPUTED_VALUE"""),2.0251102E8)</f>
        <v>202511020</v>
      </c>
      <c r="C2398" s="139" t="str">
        <f>IFERROR(__xludf.DUMMYFUNCTION("""COMPUTED_VALUE"""),"c_yuw_00001_1d1c_Normal_Colorless_Normal_00000")</f>
        <v>c_yuw_00001_1d1c_Normal_Colorless_Normal_00000</v>
      </c>
      <c r="D2398" s="139" t="str">
        <f>IFERROR(__xludf.DUMMYFUNCTION("""COMPUTED_VALUE"""),"c_yuw_00001_1d1c_Normal_Colorless")</f>
        <v>c_yuw_00001_1d1c_Normal_Colorless</v>
      </c>
      <c r="E2398" s="139">
        <f>IFERROR(__xludf.DUMMYFUNCTION("""COMPUTED_VALUE"""),0.0)</f>
        <v>0</v>
      </c>
      <c r="F2398" s="139" t="str">
        <f>IFERROR(__xludf.DUMMYFUNCTION("""COMPUTED_VALUE"""),"Normal")</f>
        <v>Normal</v>
      </c>
      <c r="G2398" s="139"/>
      <c r="H2398" s="139"/>
      <c r="I2398" s="139">
        <f>IFERROR(__xludf.DUMMYFUNCTION("""COMPUTED_VALUE"""),77.0)</f>
        <v>77</v>
      </c>
      <c r="J2398" s="139">
        <f>IFERROR(__xludf.DUMMYFUNCTION("""COMPUTED_VALUE"""),25.0)</f>
        <v>25</v>
      </c>
      <c r="K2398" s="139">
        <f>IFERROR(__xludf.DUMMYFUNCTION("""COMPUTED_VALUE"""),100.0)</f>
        <v>100</v>
      </c>
      <c r="L2398" s="139"/>
      <c r="M2398" s="139"/>
      <c r="N2398" s="139"/>
    </row>
    <row r="2399">
      <c r="A2399" s="139" t="str">
        <f>IFERROR(__xludf.DUMMYFUNCTION("""COMPUTED_VALUE"""),"e")</f>
        <v>e</v>
      </c>
      <c r="B2399" s="139">
        <f>IFERROR(__xludf.DUMMYFUNCTION("""COMPUTED_VALUE"""),2.0251102E8)</f>
        <v>202511020</v>
      </c>
      <c r="C2399" s="139" t="str">
        <f>IFERROR(__xludf.DUMMYFUNCTION("""COMPUTED_VALUE"""),"c_yuw_00001_1d1c_Normal_Colorless_Special_00001")</f>
        <v>c_yuw_00001_1d1c_Normal_Colorless_Special_00001</v>
      </c>
      <c r="D2399" s="139" t="str">
        <f>IFERROR(__xludf.DUMMYFUNCTION("""COMPUTED_VALUE"""),"c_yuw_00001_1d1c_Normal_Colorless")</f>
        <v>c_yuw_00001_1d1c_Normal_Colorless</v>
      </c>
      <c r="E2399" s="139">
        <f>IFERROR(__xludf.DUMMYFUNCTION("""COMPUTED_VALUE"""),0.0)</f>
        <v>0</v>
      </c>
      <c r="F2399" s="139" t="str">
        <f>IFERROR(__xludf.DUMMYFUNCTION("""COMPUTED_VALUE"""),"Special")</f>
        <v>Special</v>
      </c>
      <c r="G2399" s="139"/>
      <c r="H2399" s="139"/>
      <c r="I2399" s="139">
        <f>IFERROR(__xludf.DUMMYFUNCTION("""COMPUTED_VALUE"""),184.0)</f>
        <v>184</v>
      </c>
      <c r="J2399" s="139">
        <f>IFERROR(__xludf.DUMMYFUNCTION("""COMPUTED_VALUE"""),122.0)</f>
        <v>122</v>
      </c>
      <c r="K2399" s="139">
        <f>IFERROR(__xludf.DUMMYFUNCTION("""COMPUTED_VALUE"""),0.0)</f>
        <v>0</v>
      </c>
      <c r="L2399" s="139"/>
      <c r="M2399" s="139"/>
      <c r="N2399" s="139"/>
    </row>
    <row r="2400">
      <c r="A2400" s="139" t="str">
        <f>IFERROR(__xludf.DUMMYFUNCTION("""COMPUTED_VALUE"""),"e")</f>
        <v>e</v>
      </c>
      <c r="B2400" s="139">
        <f>IFERROR(__xludf.DUMMYFUNCTION("""COMPUTED_VALUE"""),2.0251102E8)</f>
        <v>202511020</v>
      </c>
      <c r="C2400" s="139" t="str">
        <f>IFERROR(__xludf.DUMMYFUNCTION("""COMPUTED_VALUE"""),"e_glo_00001_savagetank_Normal_Colorless_Normal_00000")</f>
        <v>e_glo_00001_savagetank_Normal_Colorless_Normal_00000</v>
      </c>
      <c r="D2400" s="139" t="str">
        <f>IFERROR(__xludf.DUMMYFUNCTION("""COMPUTED_VALUE"""),"e_glo_00001_savagetank_Normal_Colorless")</f>
        <v>e_glo_00001_savagetank_Normal_Colorless</v>
      </c>
      <c r="E2400" s="139">
        <f>IFERROR(__xludf.DUMMYFUNCTION("""COMPUTED_VALUE"""),0.0)</f>
        <v>0</v>
      </c>
      <c r="F2400" s="139" t="str">
        <f>IFERROR(__xludf.DUMMYFUNCTION("""COMPUTED_VALUE"""),"Normal")</f>
        <v>Normal</v>
      </c>
      <c r="G2400" s="139"/>
      <c r="H2400" s="139"/>
      <c r="I2400" s="139">
        <f>IFERROR(__xludf.DUMMYFUNCTION("""COMPUTED_VALUE"""),50.0)</f>
        <v>50</v>
      </c>
      <c r="J2400" s="139">
        <f>IFERROR(__xludf.DUMMYFUNCTION("""COMPUTED_VALUE"""),25.0)</f>
        <v>25</v>
      </c>
      <c r="K2400" s="139">
        <f>IFERROR(__xludf.DUMMYFUNCTION("""COMPUTED_VALUE"""),60.0)</f>
        <v>60</v>
      </c>
      <c r="L2400" s="139"/>
      <c r="M2400" s="139"/>
      <c r="N2400" s="139"/>
    </row>
    <row r="2401">
      <c r="A2401" s="139" t="str">
        <f>IFERROR(__xludf.DUMMYFUNCTION("""COMPUTED_VALUE"""),"e")</f>
        <v>e</v>
      </c>
      <c r="B2401" s="139">
        <f>IFERROR(__xludf.DUMMYFUNCTION("""COMPUTED_VALUE"""),2.0251102E8)</f>
        <v>202511020</v>
      </c>
      <c r="C2401" s="139" t="str">
        <f>IFERROR(__xludf.DUMMYFUNCTION("""COMPUTED_VALUE"""),"e_glo_00001_savage_Normal_Green_Normal_00000")</f>
        <v>e_glo_00001_savage_Normal_Green_Normal_00000</v>
      </c>
      <c r="D2401" s="139" t="str">
        <f>IFERROR(__xludf.DUMMYFUNCTION("""COMPUTED_VALUE"""),"e_glo_00001_savage_Normal_Green")</f>
        <v>e_glo_00001_savage_Normal_Green</v>
      </c>
      <c r="E2401" s="139">
        <f>IFERROR(__xludf.DUMMYFUNCTION("""COMPUTED_VALUE"""),0.0)</f>
        <v>0</v>
      </c>
      <c r="F2401" s="139" t="str">
        <f>IFERROR(__xludf.DUMMYFUNCTION("""COMPUTED_VALUE"""),"Normal")</f>
        <v>Normal</v>
      </c>
      <c r="G2401" s="139"/>
      <c r="H2401" s="139"/>
      <c r="I2401" s="139">
        <f>IFERROR(__xludf.DUMMYFUNCTION("""COMPUTED_VALUE"""),50.0)</f>
        <v>50</v>
      </c>
      <c r="J2401" s="139">
        <f>IFERROR(__xludf.DUMMYFUNCTION("""COMPUTED_VALUE"""),25.0)</f>
        <v>25</v>
      </c>
      <c r="K2401" s="139">
        <f>IFERROR(__xludf.DUMMYFUNCTION("""COMPUTED_VALUE"""),30.0)</f>
        <v>30</v>
      </c>
      <c r="L2401" s="139"/>
      <c r="M2401" s="139"/>
      <c r="N2401" s="139"/>
    </row>
    <row r="2402">
      <c r="A2402" s="139" t="str">
        <f>IFERROR(__xludf.DUMMYFUNCTION("""COMPUTED_VALUE"""),"e")</f>
        <v>e</v>
      </c>
      <c r="B2402" s="139">
        <f>IFERROR(__xludf.DUMMYFUNCTION("""COMPUTED_VALUE"""),2.0251102E8)</f>
        <v>202511020</v>
      </c>
      <c r="C2402" s="139" t="str">
        <f>IFERROR(__xludf.DUMMYFUNCTION("""COMPUTED_VALUE"""),"e_glo_00001_savageyuwburn_Normal_Red_Normal_00000")</f>
        <v>e_glo_00001_savageyuwburn_Normal_Red_Normal_00000</v>
      </c>
      <c r="D2402" s="139" t="str">
        <f>IFERROR(__xludf.DUMMYFUNCTION("""COMPUTED_VALUE"""),"e_glo_00001_savageyuwburn_Normal_Red")</f>
        <v>e_glo_00001_savageyuwburn_Normal_Red</v>
      </c>
      <c r="E2402" s="139">
        <f>IFERROR(__xludf.DUMMYFUNCTION("""COMPUTED_VALUE"""),0.0)</f>
        <v>0</v>
      </c>
      <c r="F2402" s="139" t="str">
        <f>IFERROR(__xludf.DUMMYFUNCTION("""COMPUTED_VALUE"""),"Normal")</f>
        <v>Normal</v>
      </c>
      <c r="G2402" s="139"/>
      <c r="H2402" s="139"/>
      <c r="I2402" s="139">
        <f>IFERROR(__xludf.DUMMYFUNCTION("""COMPUTED_VALUE"""),50.0)</f>
        <v>50</v>
      </c>
      <c r="J2402" s="139">
        <f>IFERROR(__xludf.DUMMYFUNCTION("""COMPUTED_VALUE"""),25.0)</f>
        <v>25</v>
      </c>
      <c r="K2402" s="139">
        <f>IFERROR(__xludf.DUMMYFUNCTION("""COMPUTED_VALUE"""),75.0)</f>
        <v>75</v>
      </c>
      <c r="L2402" s="139"/>
      <c r="M2402" s="139"/>
      <c r="N2402" s="139"/>
    </row>
    <row r="2403">
      <c r="A2403" s="139" t="str">
        <f>IFERROR(__xludf.DUMMYFUNCTION("""COMPUTED_VALUE"""),"e")</f>
        <v>e</v>
      </c>
      <c r="B2403" s="139">
        <f>IFERROR(__xludf.DUMMYFUNCTION("""COMPUTED_VALUE"""),2.0251102E8)</f>
        <v>202511020</v>
      </c>
      <c r="C2403" s="139" t="str">
        <f>IFERROR(__xludf.DUMMYFUNCTION("""COMPUTED_VALUE"""),"c_yuw_00501_savage_Boss_Red_Normal_00000")</f>
        <v>c_yuw_00501_savage_Boss_Red_Normal_00000</v>
      </c>
      <c r="D2403" s="139" t="str">
        <f>IFERROR(__xludf.DUMMYFUNCTION("""COMPUTED_VALUE"""),"c_yuw_00501_savage_Boss_Red")</f>
        <v>c_yuw_00501_savage_Boss_Red</v>
      </c>
      <c r="E2403" s="139">
        <f>IFERROR(__xludf.DUMMYFUNCTION("""COMPUTED_VALUE"""),0.0)</f>
        <v>0</v>
      </c>
      <c r="F2403" s="139" t="str">
        <f>IFERROR(__xludf.DUMMYFUNCTION("""COMPUTED_VALUE"""),"Normal")</f>
        <v>Normal</v>
      </c>
      <c r="G2403" s="139"/>
      <c r="H2403" s="139"/>
      <c r="I2403" s="139">
        <f>IFERROR(__xludf.DUMMYFUNCTION("""COMPUTED_VALUE"""),62.0)</f>
        <v>62</v>
      </c>
      <c r="J2403" s="139">
        <f>IFERROR(__xludf.DUMMYFUNCTION("""COMPUTED_VALUE"""),22.0)</f>
        <v>22</v>
      </c>
      <c r="K2403" s="139">
        <f>IFERROR(__xludf.DUMMYFUNCTION("""COMPUTED_VALUE"""),50.0)</f>
        <v>50</v>
      </c>
      <c r="L2403" s="139"/>
      <c r="M2403" s="139"/>
      <c r="N2403" s="139"/>
    </row>
    <row r="2404">
      <c r="A2404" s="139" t="str">
        <f>IFERROR(__xludf.DUMMYFUNCTION("""COMPUTED_VALUE"""),"e")</f>
        <v>e</v>
      </c>
      <c r="B2404" s="139">
        <f>IFERROR(__xludf.DUMMYFUNCTION("""COMPUTED_VALUE"""),2.0251102E8)</f>
        <v>202511020</v>
      </c>
      <c r="C2404" s="139" t="str">
        <f>IFERROR(__xludf.DUMMYFUNCTION("""COMPUTED_VALUE"""),"c_yuw_00501_savage_Boss_Red_Appearance_00001")</f>
        <v>c_yuw_00501_savage_Boss_Red_Appearance_00001</v>
      </c>
      <c r="D2404" s="139" t="str">
        <f>IFERROR(__xludf.DUMMYFUNCTION("""COMPUTED_VALUE"""),"c_yuw_00501_savage_Boss_Red")</f>
        <v>c_yuw_00501_savage_Boss_Red</v>
      </c>
      <c r="E2404" s="139">
        <f>IFERROR(__xludf.DUMMYFUNCTION("""COMPUTED_VALUE"""),0.0)</f>
        <v>0</v>
      </c>
      <c r="F2404" s="139" t="str">
        <f>IFERROR(__xludf.DUMMYFUNCTION("""COMPUTED_VALUE"""),"Appearance")</f>
        <v>Appearance</v>
      </c>
      <c r="G2404" s="139"/>
      <c r="H2404" s="139"/>
      <c r="I2404" s="139">
        <f>IFERROR(__xludf.DUMMYFUNCTION("""COMPUTED_VALUE"""),50.0)</f>
        <v>50</v>
      </c>
      <c r="J2404" s="139">
        <f>IFERROR(__xludf.DUMMYFUNCTION("""COMPUTED_VALUE"""),0.0)</f>
        <v>0</v>
      </c>
      <c r="K2404" s="139">
        <f>IFERROR(__xludf.DUMMYFUNCTION("""COMPUTED_VALUE"""),0.0)</f>
        <v>0</v>
      </c>
      <c r="L2404" s="139"/>
      <c r="M2404" s="139"/>
      <c r="N2404" s="139"/>
    </row>
    <row r="2405">
      <c r="A2405" s="139" t="str">
        <f>IFERROR(__xludf.DUMMYFUNCTION("""COMPUTED_VALUE"""),"e")</f>
        <v>e</v>
      </c>
      <c r="B2405" s="139">
        <f>IFERROR(__xludf.DUMMYFUNCTION("""COMPUTED_VALUE"""),2.0251102E8)</f>
        <v>202511020</v>
      </c>
      <c r="C2405" s="139" t="str">
        <f>IFERROR(__xludf.DUMMYFUNCTION("""COMPUTED_VALUE"""),"c_yuw_00501_savage_Boss_Red_Special_00002")</f>
        <v>c_yuw_00501_savage_Boss_Red_Special_00002</v>
      </c>
      <c r="D2405" s="139" t="str">
        <f>IFERROR(__xludf.DUMMYFUNCTION("""COMPUTED_VALUE"""),"c_yuw_00501_savage_Boss_Red")</f>
        <v>c_yuw_00501_savage_Boss_Red</v>
      </c>
      <c r="E2405" s="139">
        <f>IFERROR(__xludf.DUMMYFUNCTION("""COMPUTED_VALUE"""),0.0)</f>
        <v>0</v>
      </c>
      <c r="F2405" s="139" t="str">
        <f>IFERROR(__xludf.DUMMYFUNCTION("""COMPUTED_VALUE"""),"Special")</f>
        <v>Special</v>
      </c>
      <c r="G2405" s="139"/>
      <c r="H2405" s="139"/>
      <c r="I2405" s="139">
        <f>IFERROR(__xludf.DUMMYFUNCTION("""COMPUTED_VALUE"""),109.0)</f>
        <v>109</v>
      </c>
      <c r="J2405" s="139">
        <f>IFERROR(__xludf.DUMMYFUNCTION("""COMPUTED_VALUE"""),75.0)</f>
        <v>75</v>
      </c>
      <c r="K2405" s="139">
        <f>IFERROR(__xludf.DUMMYFUNCTION("""COMPUTED_VALUE"""),0.0)</f>
        <v>0</v>
      </c>
      <c r="L2405" s="139"/>
      <c r="M2405" s="139"/>
      <c r="N2405" s="139"/>
    </row>
    <row r="2406">
      <c r="A2406" s="139" t="str">
        <f>IFERROR(__xludf.DUMMYFUNCTION("""COMPUTED_VALUE"""),"e")</f>
        <v>e</v>
      </c>
      <c r="B2406" s="139">
        <f>IFERROR(__xludf.DUMMYFUNCTION("""COMPUTED_VALUE"""),2.0251102E8)</f>
        <v>202511020</v>
      </c>
      <c r="C2406" s="139" t="str">
        <f>IFERROR(__xludf.DUMMYFUNCTION("""COMPUTED_VALUE"""),"c_yuw_00201_savage_Boss_Green_Normal_00000")</f>
        <v>c_yuw_00201_savage_Boss_Green_Normal_00000</v>
      </c>
      <c r="D2406" s="139" t="str">
        <f>IFERROR(__xludf.DUMMYFUNCTION("""COMPUTED_VALUE"""),"c_yuw_00201_savage_Boss_Green")</f>
        <v>c_yuw_00201_savage_Boss_Green</v>
      </c>
      <c r="E2406" s="139">
        <f>IFERROR(__xludf.DUMMYFUNCTION("""COMPUTED_VALUE"""),0.0)</f>
        <v>0</v>
      </c>
      <c r="F2406" s="139" t="str">
        <f>IFERROR(__xludf.DUMMYFUNCTION("""COMPUTED_VALUE"""),"Normal")</f>
        <v>Normal</v>
      </c>
      <c r="G2406" s="139"/>
      <c r="H2406" s="139"/>
      <c r="I2406" s="139">
        <f>IFERROR(__xludf.DUMMYFUNCTION("""COMPUTED_VALUE"""),53.0)</f>
        <v>53</v>
      </c>
      <c r="J2406" s="139">
        <f>IFERROR(__xludf.DUMMYFUNCTION("""COMPUTED_VALUE"""),17.0)</f>
        <v>17</v>
      </c>
      <c r="K2406" s="139">
        <f>IFERROR(__xludf.DUMMYFUNCTION("""COMPUTED_VALUE"""),75.0)</f>
        <v>75</v>
      </c>
      <c r="L2406" s="139"/>
      <c r="M2406" s="139"/>
      <c r="N2406" s="139"/>
    </row>
    <row r="2407">
      <c r="A2407" s="139" t="str">
        <f>IFERROR(__xludf.DUMMYFUNCTION("""COMPUTED_VALUE"""),"e")</f>
        <v>e</v>
      </c>
      <c r="B2407" s="139">
        <f>IFERROR(__xludf.DUMMYFUNCTION("""COMPUTED_VALUE"""),2.0251102E8)</f>
        <v>202511020</v>
      </c>
      <c r="C2407" s="139" t="str">
        <f>IFERROR(__xludf.DUMMYFUNCTION("""COMPUTED_VALUE"""),"c_yuw_00201_savage_Boss_Green_Appearance_00001")</f>
        <v>c_yuw_00201_savage_Boss_Green_Appearance_00001</v>
      </c>
      <c r="D2407" s="139" t="str">
        <f>IFERROR(__xludf.DUMMYFUNCTION("""COMPUTED_VALUE"""),"c_yuw_00201_savage_Boss_Green")</f>
        <v>c_yuw_00201_savage_Boss_Green</v>
      </c>
      <c r="E2407" s="139">
        <f>IFERROR(__xludf.DUMMYFUNCTION("""COMPUTED_VALUE"""),0.0)</f>
        <v>0</v>
      </c>
      <c r="F2407" s="139" t="str">
        <f>IFERROR(__xludf.DUMMYFUNCTION("""COMPUTED_VALUE"""),"Appearance")</f>
        <v>Appearance</v>
      </c>
      <c r="G2407" s="139"/>
      <c r="H2407" s="139"/>
      <c r="I2407" s="139">
        <f>IFERROR(__xludf.DUMMYFUNCTION("""COMPUTED_VALUE"""),50.0)</f>
        <v>50</v>
      </c>
      <c r="J2407" s="139">
        <f>IFERROR(__xludf.DUMMYFUNCTION("""COMPUTED_VALUE"""),0.0)</f>
        <v>0</v>
      </c>
      <c r="K2407" s="139">
        <f>IFERROR(__xludf.DUMMYFUNCTION("""COMPUTED_VALUE"""),0.0)</f>
        <v>0</v>
      </c>
      <c r="L2407" s="139"/>
      <c r="M2407" s="139"/>
      <c r="N2407" s="139"/>
    </row>
    <row r="2408">
      <c r="A2408" s="139" t="str">
        <f>IFERROR(__xludf.DUMMYFUNCTION("""COMPUTED_VALUE"""),"e")</f>
        <v>e</v>
      </c>
      <c r="B2408" s="139">
        <f>IFERROR(__xludf.DUMMYFUNCTION("""COMPUTED_VALUE"""),2.0251102E8)</f>
        <v>202511020</v>
      </c>
      <c r="C2408" s="139" t="str">
        <f>IFERROR(__xludf.DUMMYFUNCTION("""COMPUTED_VALUE"""),"c_yuw_00201_savage_Boss_Green_Special_00002")</f>
        <v>c_yuw_00201_savage_Boss_Green_Special_00002</v>
      </c>
      <c r="D2408" s="139" t="str">
        <f>IFERROR(__xludf.DUMMYFUNCTION("""COMPUTED_VALUE"""),"c_yuw_00201_savage_Boss_Green")</f>
        <v>c_yuw_00201_savage_Boss_Green</v>
      </c>
      <c r="E2408" s="139">
        <f>IFERROR(__xludf.DUMMYFUNCTION("""COMPUTED_VALUE"""),0.0)</f>
        <v>0</v>
      </c>
      <c r="F2408" s="139" t="str">
        <f>IFERROR(__xludf.DUMMYFUNCTION("""COMPUTED_VALUE"""),"Special")</f>
        <v>Special</v>
      </c>
      <c r="G2408" s="139"/>
      <c r="H2408" s="139"/>
      <c r="I2408" s="139">
        <f>IFERROR(__xludf.DUMMYFUNCTION("""COMPUTED_VALUE"""),234.0)</f>
        <v>234</v>
      </c>
      <c r="J2408" s="139">
        <f>IFERROR(__xludf.DUMMYFUNCTION("""COMPUTED_VALUE"""),175.0)</f>
        <v>175</v>
      </c>
      <c r="K2408" s="139">
        <f>IFERROR(__xludf.DUMMYFUNCTION("""COMPUTED_VALUE"""),0.0)</f>
        <v>0</v>
      </c>
      <c r="L2408" s="139"/>
      <c r="M2408" s="139"/>
      <c r="N2408" s="139"/>
    </row>
    <row r="2409">
      <c r="A2409" s="139" t="str">
        <f>IFERROR(__xludf.DUMMYFUNCTION("""COMPUTED_VALUE"""),"e")</f>
        <v>e</v>
      </c>
      <c r="B2409" s="139">
        <f>IFERROR(__xludf.DUMMYFUNCTION("""COMPUTED_VALUE"""),2.0251102E8)</f>
        <v>202511020</v>
      </c>
      <c r="C2409" s="139" t="str">
        <f>IFERROR(__xludf.DUMMYFUNCTION("""COMPUTED_VALUE"""),"c_yuw_00001raid_00001_Boss_Green_Normal_00000")</f>
        <v>c_yuw_00001raid_00001_Boss_Green_Normal_00000</v>
      </c>
      <c r="D2409" s="139" t="str">
        <f>IFERROR(__xludf.DUMMYFUNCTION("""COMPUTED_VALUE"""),"c_yuw_00001raid_00001_Boss_Green")</f>
        <v>c_yuw_00001raid_00001_Boss_Green</v>
      </c>
      <c r="E2409" s="139">
        <f>IFERROR(__xludf.DUMMYFUNCTION("""COMPUTED_VALUE"""),0.0)</f>
        <v>0</v>
      </c>
      <c r="F2409" s="139" t="str">
        <f>IFERROR(__xludf.DUMMYFUNCTION("""COMPUTED_VALUE"""),"Normal")</f>
        <v>Normal</v>
      </c>
      <c r="G2409" s="139"/>
      <c r="H2409" s="139"/>
      <c r="I2409" s="139">
        <f>IFERROR(__xludf.DUMMYFUNCTION("""COMPUTED_VALUE"""),77.0)</f>
        <v>77</v>
      </c>
      <c r="J2409" s="139">
        <f>IFERROR(__xludf.DUMMYFUNCTION("""COMPUTED_VALUE"""),25.0)</f>
        <v>25</v>
      </c>
      <c r="K2409" s="139">
        <f>IFERROR(__xludf.DUMMYFUNCTION("""COMPUTED_VALUE"""),75.0)</f>
        <v>75</v>
      </c>
      <c r="L2409" s="139"/>
      <c r="M2409" s="139"/>
      <c r="N2409" s="139"/>
    </row>
    <row r="2410">
      <c r="A2410" s="139" t="str">
        <f>IFERROR(__xludf.DUMMYFUNCTION("""COMPUTED_VALUE"""),"e")</f>
        <v>e</v>
      </c>
      <c r="B2410" s="139">
        <f>IFERROR(__xludf.DUMMYFUNCTION("""COMPUTED_VALUE"""),2.0251102E8)</f>
        <v>202511020</v>
      </c>
      <c r="C2410" s="139" t="str">
        <f>IFERROR(__xludf.DUMMYFUNCTION("""COMPUTED_VALUE"""),"c_yuw_00001raid_00001_Boss_Green_Appearance_00001")</f>
        <v>c_yuw_00001raid_00001_Boss_Green_Appearance_00001</v>
      </c>
      <c r="D2410" s="139" t="str">
        <f>IFERROR(__xludf.DUMMYFUNCTION("""COMPUTED_VALUE"""),"c_yuw_00001raid_00001_Boss_Green")</f>
        <v>c_yuw_00001raid_00001_Boss_Green</v>
      </c>
      <c r="E2410" s="139">
        <f>IFERROR(__xludf.DUMMYFUNCTION("""COMPUTED_VALUE"""),0.0)</f>
        <v>0</v>
      </c>
      <c r="F2410" s="139" t="str">
        <f>IFERROR(__xludf.DUMMYFUNCTION("""COMPUTED_VALUE"""),"Appearance")</f>
        <v>Appearance</v>
      </c>
      <c r="G2410" s="139"/>
      <c r="H2410" s="139"/>
      <c r="I2410" s="139">
        <f>IFERROR(__xludf.DUMMYFUNCTION("""COMPUTED_VALUE"""),50.0)</f>
        <v>50</v>
      </c>
      <c r="J2410" s="139">
        <f>IFERROR(__xludf.DUMMYFUNCTION("""COMPUTED_VALUE"""),0.0)</f>
        <v>0</v>
      </c>
      <c r="K2410" s="139">
        <f>IFERROR(__xludf.DUMMYFUNCTION("""COMPUTED_VALUE"""),0.0)</f>
        <v>0</v>
      </c>
      <c r="L2410" s="139"/>
      <c r="M2410" s="139"/>
      <c r="N2410" s="139"/>
    </row>
    <row r="2411">
      <c r="A2411" s="139" t="str">
        <f>IFERROR(__xludf.DUMMYFUNCTION("""COMPUTED_VALUE"""),"e")</f>
        <v>e</v>
      </c>
      <c r="B2411" s="139">
        <f>IFERROR(__xludf.DUMMYFUNCTION("""COMPUTED_VALUE"""),2.0251102E8)</f>
        <v>202511020</v>
      </c>
      <c r="C2411" s="139" t="str">
        <f>IFERROR(__xludf.DUMMYFUNCTION("""COMPUTED_VALUE"""),"c_yuw_00001raid_00001_Boss_Green_Special_00002")</f>
        <v>c_yuw_00001raid_00001_Boss_Green_Special_00002</v>
      </c>
      <c r="D2411" s="139" t="str">
        <f>IFERROR(__xludf.DUMMYFUNCTION("""COMPUTED_VALUE"""),"c_yuw_00001raid_00001_Boss_Green")</f>
        <v>c_yuw_00001raid_00001_Boss_Green</v>
      </c>
      <c r="E2411" s="139">
        <f>IFERROR(__xludf.DUMMYFUNCTION("""COMPUTED_VALUE"""),0.0)</f>
        <v>0</v>
      </c>
      <c r="F2411" s="139" t="str">
        <f>IFERROR(__xludf.DUMMYFUNCTION("""COMPUTED_VALUE"""),"Special")</f>
        <v>Special</v>
      </c>
      <c r="G2411" s="139"/>
      <c r="H2411" s="139"/>
      <c r="I2411" s="139">
        <f>IFERROR(__xludf.DUMMYFUNCTION("""COMPUTED_VALUE"""),184.0)</f>
        <v>184</v>
      </c>
      <c r="J2411" s="139">
        <f>IFERROR(__xludf.DUMMYFUNCTION("""COMPUTED_VALUE"""),122.0)</f>
        <v>122</v>
      </c>
      <c r="K2411" s="139">
        <f>IFERROR(__xludf.DUMMYFUNCTION("""COMPUTED_VALUE"""),0.0)</f>
        <v>0</v>
      </c>
      <c r="L2411" s="139"/>
      <c r="M2411" s="139"/>
      <c r="N2411" s="139"/>
    </row>
    <row r="2412">
      <c r="A2412" s="139" t="str">
        <f>IFERROR(__xludf.DUMMYFUNCTION("""COMPUTED_VALUE"""),"e")</f>
        <v>e</v>
      </c>
      <c r="B2412" s="139">
        <f>IFERROR(__xludf.DUMMYFUNCTION("""COMPUTED_VALUE"""),2.0251102E8)</f>
        <v>202511020</v>
      </c>
      <c r="C2412" s="139" t="str">
        <f>IFERROR(__xludf.DUMMYFUNCTION("""COMPUTED_VALUE"""),"c_yuw_00001raid_00001_Normal_Green_Normal_00000")</f>
        <v>c_yuw_00001raid_00001_Normal_Green_Normal_00000</v>
      </c>
      <c r="D2412" s="139" t="str">
        <f>IFERROR(__xludf.DUMMYFUNCTION("""COMPUTED_VALUE"""),"c_yuw_00001raid_00001_Normal_Green")</f>
        <v>c_yuw_00001raid_00001_Normal_Green</v>
      </c>
      <c r="E2412" s="139">
        <f>IFERROR(__xludf.DUMMYFUNCTION("""COMPUTED_VALUE"""),0.0)</f>
        <v>0</v>
      </c>
      <c r="F2412" s="139" t="str">
        <f>IFERROR(__xludf.DUMMYFUNCTION("""COMPUTED_VALUE"""),"Normal")</f>
        <v>Normal</v>
      </c>
      <c r="G2412" s="139"/>
      <c r="H2412" s="139"/>
      <c r="I2412" s="139">
        <f>IFERROR(__xludf.DUMMYFUNCTION("""COMPUTED_VALUE"""),77.0)</f>
        <v>77</v>
      </c>
      <c r="J2412" s="139">
        <f>IFERROR(__xludf.DUMMYFUNCTION("""COMPUTED_VALUE"""),25.0)</f>
        <v>25</v>
      </c>
      <c r="K2412" s="139">
        <f>IFERROR(__xludf.DUMMYFUNCTION("""COMPUTED_VALUE"""),75.0)</f>
        <v>75</v>
      </c>
      <c r="L2412" s="139"/>
      <c r="M2412" s="139"/>
      <c r="N2412" s="139"/>
    </row>
    <row r="2413">
      <c r="A2413" s="139" t="str">
        <f>IFERROR(__xludf.DUMMYFUNCTION("""COMPUTED_VALUE"""),"e")</f>
        <v>e</v>
      </c>
      <c r="B2413" s="139">
        <f>IFERROR(__xludf.DUMMYFUNCTION("""COMPUTED_VALUE"""),2.0251102E8)</f>
        <v>202511020</v>
      </c>
      <c r="C2413" s="139" t="str">
        <f>IFERROR(__xludf.DUMMYFUNCTION("""COMPUTED_VALUE"""),"c_yuw_00001raid_00001_Normal_Green_Special_00001")</f>
        <v>c_yuw_00001raid_00001_Normal_Green_Special_00001</v>
      </c>
      <c r="D2413" s="139" t="str">
        <f>IFERROR(__xludf.DUMMYFUNCTION("""COMPUTED_VALUE"""),"c_yuw_00001raid_00001_Normal_Green")</f>
        <v>c_yuw_00001raid_00001_Normal_Green</v>
      </c>
      <c r="E2413" s="139">
        <f>IFERROR(__xludf.DUMMYFUNCTION("""COMPUTED_VALUE"""),0.0)</f>
        <v>0</v>
      </c>
      <c r="F2413" s="139" t="str">
        <f>IFERROR(__xludf.DUMMYFUNCTION("""COMPUTED_VALUE"""),"Special")</f>
        <v>Special</v>
      </c>
      <c r="G2413" s="139"/>
      <c r="H2413" s="139"/>
      <c r="I2413" s="139">
        <f>IFERROR(__xludf.DUMMYFUNCTION("""COMPUTED_VALUE"""),184.0)</f>
        <v>184</v>
      </c>
      <c r="J2413" s="139">
        <f>IFERROR(__xludf.DUMMYFUNCTION("""COMPUTED_VALUE"""),122.0)</f>
        <v>122</v>
      </c>
      <c r="K2413" s="139">
        <f>IFERROR(__xludf.DUMMYFUNCTION("""COMPUTED_VALUE"""),0.0)</f>
        <v>0</v>
      </c>
      <c r="L2413" s="139"/>
      <c r="M2413" s="139"/>
      <c r="N2413" s="139"/>
    </row>
    <row r="2414">
      <c r="A2414" s="139" t="str">
        <f>IFERROR(__xludf.DUMMYFUNCTION("""COMPUTED_VALUE"""),"e")</f>
        <v>e</v>
      </c>
      <c r="B2414" s="139">
        <f>IFERROR(__xludf.DUMMYFUNCTION("""COMPUTED_VALUE"""),2.0251102E8)</f>
        <v>202511020</v>
      </c>
      <c r="C2414" s="139" t="str">
        <f>IFERROR(__xludf.DUMMYFUNCTION("""COMPUTED_VALUE"""),"c_yuw_00101raid_00001_Boss_Green_Normal_00000")</f>
        <v>c_yuw_00101raid_00001_Boss_Green_Normal_00000</v>
      </c>
      <c r="D2414" s="139" t="str">
        <f>IFERROR(__xludf.DUMMYFUNCTION("""COMPUTED_VALUE"""),"c_yuw_00101raid_00001_Boss_Green")</f>
        <v>c_yuw_00101raid_00001_Boss_Green</v>
      </c>
      <c r="E2414" s="139">
        <f>IFERROR(__xludf.DUMMYFUNCTION("""COMPUTED_VALUE"""),0.0)</f>
        <v>0</v>
      </c>
      <c r="F2414" s="139" t="str">
        <f>IFERROR(__xludf.DUMMYFUNCTION("""COMPUTED_VALUE"""),"Normal")</f>
        <v>Normal</v>
      </c>
      <c r="G2414" s="139"/>
      <c r="H2414" s="139"/>
      <c r="I2414" s="139">
        <f>IFERROR(__xludf.DUMMYFUNCTION("""COMPUTED_VALUE"""),75.0)</f>
        <v>75</v>
      </c>
      <c r="J2414" s="139">
        <f>IFERROR(__xludf.DUMMYFUNCTION("""COMPUTED_VALUE"""),0.0)</f>
        <v>0</v>
      </c>
      <c r="K2414" s="139">
        <f>IFERROR(__xludf.DUMMYFUNCTION("""COMPUTED_VALUE"""),80.0)</f>
        <v>80</v>
      </c>
      <c r="L2414" s="139"/>
      <c r="M2414" s="139"/>
      <c r="N2414" s="139"/>
    </row>
    <row r="2415">
      <c r="A2415" s="139" t="str">
        <f>IFERROR(__xludf.DUMMYFUNCTION("""COMPUTED_VALUE"""),"e")</f>
        <v>e</v>
      </c>
      <c r="B2415" s="139">
        <f>IFERROR(__xludf.DUMMYFUNCTION("""COMPUTED_VALUE"""),2.0251102E8)</f>
        <v>202511020</v>
      </c>
      <c r="C2415" s="139" t="str">
        <f>IFERROR(__xludf.DUMMYFUNCTION("""COMPUTED_VALUE"""),"c_yuw_00101raid_00001_Boss_Green_Appearance_00001")</f>
        <v>c_yuw_00101raid_00001_Boss_Green_Appearance_00001</v>
      </c>
      <c r="D2415" s="139" t="str">
        <f>IFERROR(__xludf.DUMMYFUNCTION("""COMPUTED_VALUE"""),"c_yuw_00101raid_00001_Boss_Green")</f>
        <v>c_yuw_00101raid_00001_Boss_Green</v>
      </c>
      <c r="E2415" s="139">
        <f>IFERROR(__xludf.DUMMYFUNCTION("""COMPUTED_VALUE"""),0.0)</f>
        <v>0</v>
      </c>
      <c r="F2415" s="139" t="str">
        <f>IFERROR(__xludf.DUMMYFUNCTION("""COMPUTED_VALUE"""),"Appearance")</f>
        <v>Appearance</v>
      </c>
      <c r="G2415" s="139"/>
      <c r="H2415" s="139"/>
      <c r="I2415" s="139">
        <f>IFERROR(__xludf.DUMMYFUNCTION("""COMPUTED_VALUE"""),50.0)</f>
        <v>50</v>
      </c>
      <c r="J2415" s="139">
        <f>IFERROR(__xludf.DUMMYFUNCTION("""COMPUTED_VALUE"""),0.0)</f>
        <v>0</v>
      </c>
      <c r="K2415" s="139">
        <f>IFERROR(__xludf.DUMMYFUNCTION("""COMPUTED_VALUE"""),0.0)</f>
        <v>0</v>
      </c>
      <c r="L2415" s="139"/>
      <c r="M2415" s="139"/>
      <c r="N2415" s="139"/>
    </row>
    <row r="2416">
      <c r="A2416" s="139" t="str">
        <f>IFERROR(__xludf.DUMMYFUNCTION("""COMPUTED_VALUE"""),"e")</f>
        <v>e</v>
      </c>
      <c r="B2416" s="139">
        <f>IFERROR(__xludf.DUMMYFUNCTION("""COMPUTED_VALUE"""),2.0251102E8)</f>
        <v>202511020</v>
      </c>
      <c r="C2416" s="139" t="str">
        <f>IFERROR(__xludf.DUMMYFUNCTION("""COMPUTED_VALUE"""),"c_yuw_00101raid_00001_Boss_Green_Special_00002")</f>
        <v>c_yuw_00101raid_00001_Boss_Green_Special_00002</v>
      </c>
      <c r="D2416" s="139" t="str">
        <f>IFERROR(__xludf.DUMMYFUNCTION("""COMPUTED_VALUE"""),"c_yuw_00101raid_00001_Boss_Green")</f>
        <v>c_yuw_00101raid_00001_Boss_Green</v>
      </c>
      <c r="E2416" s="139">
        <f>IFERROR(__xludf.DUMMYFUNCTION("""COMPUTED_VALUE"""),0.0)</f>
        <v>0</v>
      </c>
      <c r="F2416" s="139" t="str">
        <f>IFERROR(__xludf.DUMMYFUNCTION("""COMPUTED_VALUE"""),"Special")</f>
        <v>Special</v>
      </c>
      <c r="G2416" s="139"/>
      <c r="H2416" s="139"/>
      <c r="I2416" s="139">
        <f>IFERROR(__xludf.DUMMYFUNCTION("""COMPUTED_VALUE"""),175.0)</f>
        <v>175</v>
      </c>
      <c r="J2416" s="139">
        <f>IFERROR(__xludf.DUMMYFUNCTION("""COMPUTED_VALUE"""),160.0)</f>
        <v>160</v>
      </c>
      <c r="K2416" s="139">
        <f>IFERROR(__xludf.DUMMYFUNCTION("""COMPUTED_VALUE"""),0.0)</f>
        <v>0</v>
      </c>
      <c r="L2416" s="139"/>
      <c r="M2416" s="139"/>
      <c r="N2416" s="139"/>
    </row>
    <row r="2417">
      <c r="A2417" s="139" t="str">
        <f>IFERROR(__xludf.DUMMYFUNCTION("""COMPUTED_VALUE"""),"e")</f>
        <v>e</v>
      </c>
      <c r="B2417" s="139">
        <f>IFERROR(__xludf.DUMMYFUNCTION("""COMPUTED_VALUE"""),2.0251102E8)</f>
        <v>202511020</v>
      </c>
      <c r="C2417" s="139" t="str">
        <f>IFERROR(__xludf.DUMMYFUNCTION("""COMPUTED_VALUE"""),"c_yuw_00101raid_00001_Normal_Green_Normal_00000")</f>
        <v>c_yuw_00101raid_00001_Normal_Green_Normal_00000</v>
      </c>
      <c r="D2417" s="139" t="str">
        <f>IFERROR(__xludf.DUMMYFUNCTION("""COMPUTED_VALUE"""),"c_yuw_00101raid_00001_Normal_Green")</f>
        <v>c_yuw_00101raid_00001_Normal_Green</v>
      </c>
      <c r="E2417" s="139">
        <f>IFERROR(__xludf.DUMMYFUNCTION("""COMPUTED_VALUE"""),0.0)</f>
        <v>0</v>
      </c>
      <c r="F2417" s="139" t="str">
        <f>IFERROR(__xludf.DUMMYFUNCTION("""COMPUTED_VALUE"""),"Normal")</f>
        <v>Normal</v>
      </c>
      <c r="G2417" s="139"/>
      <c r="H2417" s="139"/>
      <c r="I2417" s="139">
        <f>IFERROR(__xludf.DUMMYFUNCTION("""COMPUTED_VALUE"""),75.0)</f>
        <v>75</v>
      </c>
      <c r="J2417" s="139">
        <f>IFERROR(__xludf.DUMMYFUNCTION("""COMPUTED_VALUE"""),0.0)</f>
        <v>0</v>
      </c>
      <c r="K2417" s="139">
        <f>IFERROR(__xludf.DUMMYFUNCTION("""COMPUTED_VALUE"""),80.0)</f>
        <v>80</v>
      </c>
      <c r="L2417" s="139"/>
      <c r="M2417" s="139"/>
      <c r="N2417" s="139"/>
    </row>
    <row r="2418">
      <c r="A2418" s="139" t="str">
        <f>IFERROR(__xludf.DUMMYFUNCTION("""COMPUTED_VALUE"""),"e")</f>
        <v>e</v>
      </c>
      <c r="B2418" s="139">
        <f>IFERROR(__xludf.DUMMYFUNCTION("""COMPUTED_VALUE"""),2.0251102E8)</f>
        <v>202511020</v>
      </c>
      <c r="C2418" s="139" t="str">
        <f>IFERROR(__xludf.DUMMYFUNCTION("""COMPUTED_VALUE"""),"c_yuw_00101raid_00001_Normal_Green_Special_00001")</f>
        <v>c_yuw_00101raid_00001_Normal_Green_Special_00001</v>
      </c>
      <c r="D2418" s="139" t="str">
        <f>IFERROR(__xludf.DUMMYFUNCTION("""COMPUTED_VALUE"""),"c_yuw_00101raid_00001_Normal_Green")</f>
        <v>c_yuw_00101raid_00001_Normal_Green</v>
      </c>
      <c r="E2418" s="139">
        <f>IFERROR(__xludf.DUMMYFUNCTION("""COMPUTED_VALUE"""),0.0)</f>
        <v>0</v>
      </c>
      <c r="F2418" s="139" t="str">
        <f>IFERROR(__xludf.DUMMYFUNCTION("""COMPUTED_VALUE"""),"Special")</f>
        <v>Special</v>
      </c>
      <c r="G2418" s="139"/>
      <c r="H2418" s="139"/>
      <c r="I2418" s="139">
        <f>IFERROR(__xludf.DUMMYFUNCTION("""COMPUTED_VALUE"""),175.0)</f>
        <v>175</v>
      </c>
      <c r="J2418" s="139">
        <f>IFERROR(__xludf.DUMMYFUNCTION("""COMPUTED_VALUE"""),160.0)</f>
        <v>160</v>
      </c>
      <c r="K2418" s="139">
        <f>IFERROR(__xludf.DUMMYFUNCTION("""COMPUTED_VALUE"""),0.0)</f>
        <v>0</v>
      </c>
      <c r="L2418" s="139"/>
      <c r="M2418" s="139"/>
      <c r="N2418" s="139"/>
    </row>
    <row r="2419">
      <c r="A2419" s="139" t="str">
        <f>IFERROR(__xludf.DUMMYFUNCTION("""COMPUTED_VALUE"""),"e")</f>
        <v>e</v>
      </c>
      <c r="B2419" s="139">
        <f>IFERROR(__xludf.DUMMYFUNCTION("""COMPUTED_VALUE"""),2.0251102E8)</f>
        <v>202511020</v>
      </c>
      <c r="C2419" s="139" t="str">
        <f>IFERROR(__xludf.DUMMYFUNCTION("""COMPUTED_VALUE"""),"c_yuw_00201raid_00001_Normal_Green_Normal_00000")</f>
        <v>c_yuw_00201raid_00001_Normal_Green_Normal_00000</v>
      </c>
      <c r="D2419" s="139" t="str">
        <f>IFERROR(__xludf.DUMMYFUNCTION("""COMPUTED_VALUE"""),"c_yuw_00201raid_00001_Normal_Green")</f>
        <v>c_yuw_00201raid_00001_Normal_Green</v>
      </c>
      <c r="E2419" s="139">
        <f>IFERROR(__xludf.DUMMYFUNCTION("""COMPUTED_VALUE"""),0.0)</f>
        <v>0</v>
      </c>
      <c r="F2419" s="139" t="str">
        <f>IFERROR(__xludf.DUMMYFUNCTION("""COMPUTED_VALUE"""),"Normal")</f>
        <v>Normal</v>
      </c>
      <c r="G2419" s="139"/>
      <c r="H2419" s="139"/>
      <c r="I2419" s="139">
        <f>IFERROR(__xludf.DUMMYFUNCTION("""COMPUTED_VALUE"""),53.0)</f>
        <v>53</v>
      </c>
      <c r="J2419" s="139">
        <f>IFERROR(__xludf.DUMMYFUNCTION("""COMPUTED_VALUE"""),17.0)</f>
        <v>17</v>
      </c>
      <c r="K2419" s="139">
        <f>IFERROR(__xludf.DUMMYFUNCTION("""COMPUTED_VALUE"""),75.0)</f>
        <v>75</v>
      </c>
      <c r="L2419" s="139"/>
      <c r="M2419" s="139"/>
      <c r="N2419" s="139"/>
    </row>
    <row r="2420">
      <c r="A2420" s="139" t="str">
        <f>IFERROR(__xludf.DUMMYFUNCTION("""COMPUTED_VALUE"""),"e")</f>
        <v>e</v>
      </c>
      <c r="B2420" s="139">
        <f>IFERROR(__xludf.DUMMYFUNCTION("""COMPUTED_VALUE"""),2.0251102E8)</f>
        <v>202511020</v>
      </c>
      <c r="C2420" s="139" t="str">
        <f>IFERROR(__xludf.DUMMYFUNCTION("""COMPUTED_VALUE"""),"c_yuw_00201raid_00001_Normal_Green_Special_00001")</f>
        <v>c_yuw_00201raid_00001_Normal_Green_Special_00001</v>
      </c>
      <c r="D2420" s="139" t="str">
        <f>IFERROR(__xludf.DUMMYFUNCTION("""COMPUTED_VALUE"""),"c_yuw_00201raid_00001_Normal_Green")</f>
        <v>c_yuw_00201raid_00001_Normal_Green</v>
      </c>
      <c r="E2420" s="139">
        <f>IFERROR(__xludf.DUMMYFUNCTION("""COMPUTED_VALUE"""),0.0)</f>
        <v>0</v>
      </c>
      <c r="F2420" s="139" t="str">
        <f>IFERROR(__xludf.DUMMYFUNCTION("""COMPUTED_VALUE"""),"Special")</f>
        <v>Special</v>
      </c>
      <c r="G2420" s="139"/>
      <c r="H2420" s="139"/>
      <c r="I2420" s="139">
        <f>IFERROR(__xludf.DUMMYFUNCTION("""COMPUTED_VALUE"""),234.0)</f>
        <v>234</v>
      </c>
      <c r="J2420" s="139">
        <f>IFERROR(__xludf.DUMMYFUNCTION("""COMPUTED_VALUE"""),175.0)</f>
        <v>175</v>
      </c>
      <c r="K2420" s="139">
        <f>IFERROR(__xludf.DUMMYFUNCTION("""COMPUTED_VALUE"""),0.0)</f>
        <v>0</v>
      </c>
      <c r="L2420" s="139"/>
      <c r="M2420" s="139"/>
      <c r="N2420" s="139"/>
    </row>
    <row r="2421">
      <c r="A2421" s="139" t="str">
        <f>IFERROR(__xludf.DUMMYFUNCTION("""COMPUTED_VALUE"""),"e")</f>
        <v>e</v>
      </c>
      <c r="B2421" s="139">
        <f>IFERROR(__xludf.DUMMYFUNCTION("""COMPUTED_VALUE"""),2.0251102E8)</f>
        <v>202511020</v>
      </c>
      <c r="C2421" s="139" t="str">
        <f>IFERROR(__xludf.DUMMYFUNCTION("""COMPUTED_VALUE"""),"c_yuw_00301raid_00001_Boss_Red_Normal_00000")</f>
        <v>c_yuw_00301raid_00001_Boss_Red_Normal_00000</v>
      </c>
      <c r="D2421" s="139" t="str">
        <f>IFERROR(__xludf.DUMMYFUNCTION("""COMPUTED_VALUE"""),"c_yuw_00301raid_00001_Boss_Red")</f>
        <v>c_yuw_00301raid_00001_Boss_Red</v>
      </c>
      <c r="E2421" s="139">
        <f>IFERROR(__xludf.DUMMYFUNCTION("""COMPUTED_VALUE"""),0.0)</f>
        <v>0</v>
      </c>
      <c r="F2421" s="139" t="str">
        <f>IFERROR(__xludf.DUMMYFUNCTION("""COMPUTED_VALUE"""),"Normal")</f>
        <v>Normal</v>
      </c>
      <c r="G2421" s="139"/>
      <c r="H2421" s="139"/>
      <c r="I2421" s="139">
        <f>IFERROR(__xludf.DUMMYFUNCTION("""COMPUTED_VALUE"""),79.0)</f>
        <v>79</v>
      </c>
      <c r="J2421" s="139">
        <f>IFERROR(__xludf.DUMMYFUNCTION("""COMPUTED_VALUE"""),0.0)</f>
        <v>0</v>
      </c>
      <c r="K2421" s="139">
        <f>IFERROR(__xludf.DUMMYFUNCTION("""COMPUTED_VALUE"""),50.0)</f>
        <v>50</v>
      </c>
      <c r="L2421" s="139"/>
      <c r="M2421" s="139"/>
      <c r="N2421" s="139"/>
    </row>
    <row r="2422">
      <c r="A2422" s="139" t="str">
        <f>IFERROR(__xludf.DUMMYFUNCTION("""COMPUTED_VALUE"""),"e")</f>
        <v>e</v>
      </c>
      <c r="B2422" s="139">
        <f>IFERROR(__xludf.DUMMYFUNCTION("""COMPUTED_VALUE"""),2.0251102E8)</f>
        <v>202511020</v>
      </c>
      <c r="C2422" s="139" t="str">
        <f>IFERROR(__xludf.DUMMYFUNCTION("""COMPUTED_VALUE"""),"c_yuw_00301raid_00001_Boss_Red_Appearance_00001")</f>
        <v>c_yuw_00301raid_00001_Boss_Red_Appearance_00001</v>
      </c>
      <c r="D2422" s="139" t="str">
        <f>IFERROR(__xludf.DUMMYFUNCTION("""COMPUTED_VALUE"""),"c_yuw_00301raid_00001_Boss_Red")</f>
        <v>c_yuw_00301raid_00001_Boss_Red</v>
      </c>
      <c r="E2422" s="139">
        <f>IFERROR(__xludf.DUMMYFUNCTION("""COMPUTED_VALUE"""),0.0)</f>
        <v>0</v>
      </c>
      <c r="F2422" s="139" t="str">
        <f>IFERROR(__xludf.DUMMYFUNCTION("""COMPUTED_VALUE"""),"Appearance")</f>
        <v>Appearance</v>
      </c>
      <c r="G2422" s="139"/>
      <c r="H2422" s="139"/>
      <c r="I2422" s="139">
        <f>IFERROR(__xludf.DUMMYFUNCTION("""COMPUTED_VALUE"""),50.0)</f>
        <v>50</v>
      </c>
      <c r="J2422" s="139">
        <f>IFERROR(__xludf.DUMMYFUNCTION("""COMPUTED_VALUE"""),0.0)</f>
        <v>0</v>
      </c>
      <c r="K2422" s="139">
        <f>IFERROR(__xludf.DUMMYFUNCTION("""COMPUTED_VALUE"""),0.0)</f>
        <v>0</v>
      </c>
      <c r="L2422" s="139"/>
      <c r="M2422" s="139"/>
      <c r="N2422" s="139"/>
    </row>
    <row r="2423">
      <c r="A2423" s="139" t="str">
        <f>IFERROR(__xludf.DUMMYFUNCTION("""COMPUTED_VALUE"""),"e")</f>
        <v>e</v>
      </c>
      <c r="B2423" s="139">
        <f>IFERROR(__xludf.DUMMYFUNCTION("""COMPUTED_VALUE"""),2.0251102E8)</f>
        <v>202511020</v>
      </c>
      <c r="C2423" s="139" t="str">
        <f>IFERROR(__xludf.DUMMYFUNCTION("""COMPUTED_VALUE"""),"c_yuw_00301raid_00001_Boss_Red_Special_00002")</f>
        <v>c_yuw_00301raid_00001_Boss_Red_Special_00002</v>
      </c>
      <c r="D2423" s="139" t="str">
        <f>IFERROR(__xludf.DUMMYFUNCTION("""COMPUTED_VALUE"""),"c_yuw_00301raid_00001_Boss_Red")</f>
        <v>c_yuw_00301raid_00001_Boss_Red</v>
      </c>
      <c r="E2423" s="139">
        <f>IFERROR(__xludf.DUMMYFUNCTION("""COMPUTED_VALUE"""),0.0)</f>
        <v>0</v>
      </c>
      <c r="F2423" s="139" t="str">
        <f>IFERROR(__xludf.DUMMYFUNCTION("""COMPUTED_VALUE"""),"Special")</f>
        <v>Special</v>
      </c>
      <c r="G2423" s="139"/>
      <c r="H2423" s="139"/>
      <c r="I2423" s="139">
        <f>IFERROR(__xludf.DUMMYFUNCTION("""COMPUTED_VALUE"""),175.0)</f>
        <v>175</v>
      </c>
      <c r="J2423" s="139">
        <f>IFERROR(__xludf.DUMMYFUNCTION("""COMPUTED_VALUE"""),160.0)</f>
        <v>160</v>
      </c>
      <c r="K2423" s="139">
        <f>IFERROR(__xludf.DUMMYFUNCTION("""COMPUTED_VALUE"""),0.0)</f>
        <v>0</v>
      </c>
      <c r="L2423" s="139"/>
      <c r="M2423" s="139"/>
      <c r="N2423" s="139"/>
    </row>
    <row r="2424">
      <c r="A2424" s="139" t="str">
        <f>IFERROR(__xludf.DUMMYFUNCTION("""COMPUTED_VALUE"""),"e")</f>
        <v>e</v>
      </c>
      <c r="B2424" s="139">
        <f>IFERROR(__xludf.DUMMYFUNCTION("""COMPUTED_VALUE"""),2.0251102E8)</f>
        <v>202511020</v>
      </c>
      <c r="C2424" s="139" t="str">
        <f>IFERROR(__xludf.DUMMYFUNCTION("""COMPUTED_VALUE"""),"c_yuw_00401raid_00001_Boss_Red_Normal_00000")</f>
        <v>c_yuw_00401raid_00001_Boss_Red_Normal_00000</v>
      </c>
      <c r="D2424" s="139" t="str">
        <f>IFERROR(__xludf.DUMMYFUNCTION("""COMPUTED_VALUE"""),"c_yuw_00401raid_00001_Boss_Red")</f>
        <v>c_yuw_00401raid_00001_Boss_Red</v>
      </c>
      <c r="E2424" s="139">
        <f>IFERROR(__xludf.DUMMYFUNCTION("""COMPUTED_VALUE"""),0.0)</f>
        <v>0</v>
      </c>
      <c r="F2424" s="139" t="str">
        <f>IFERROR(__xludf.DUMMYFUNCTION("""COMPUTED_VALUE"""),"Normal")</f>
        <v>Normal</v>
      </c>
      <c r="G2424" s="139"/>
      <c r="H2424" s="139"/>
      <c r="I2424" s="139">
        <f>IFERROR(__xludf.DUMMYFUNCTION("""COMPUTED_VALUE"""),59.0)</f>
        <v>59</v>
      </c>
      <c r="J2424" s="139">
        <f>IFERROR(__xludf.DUMMYFUNCTION("""COMPUTED_VALUE"""),17.0)</f>
        <v>17</v>
      </c>
      <c r="K2424" s="139">
        <f>IFERROR(__xludf.DUMMYFUNCTION("""COMPUTED_VALUE"""),30.0)</f>
        <v>30</v>
      </c>
      <c r="L2424" s="139"/>
      <c r="M2424" s="139"/>
      <c r="N2424" s="139"/>
    </row>
    <row r="2425">
      <c r="A2425" s="139" t="str">
        <f>IFERROR(__xludf.DUMMYFUNCTION("""COMPUTED_VALUE"""),"e")</f>
        <v>e</v>
      </c>
      <c r="B2425" s="139">
        <f>IFERROR(__xludf.DUMMYFUNCTION("""COMPUTED_VALUE"""),2.0251102E8)</f>
        <v>202511020</v>
      </c>
      <c r="C2425" s="139" t="str">
        <f>IFERROR(__xludf.DUMMYFUNCTION("""COMPUTED_VALUE"""),"c_yuw_00401raid_00001_Boss_Red_Appearance_00001")</f>
        <v>c_yuw_00401raid_00001_Boss_Red_Appearance_00001</v>
      </c>
      <c r="D2425" s="139" t="str">
        <f>IFERROR(__xludf.DUMMYFUNCTION("""COMPUTED_VALUE"""),"c_yuw_00401raid_00001_Boss_Red")</f>
        <v>c_yuw_00401raid_00001_Boss_Red</v>
      </c>
      <c r="E2425" s="139">
        <f>IFERROR(__xludf.DUMMYFUNCTION("""COMPUTED_VALUE"""),0.0)</f>
        <v>0</v>
      </c>
      <c r="F2425" s="139" t="str">
        <f>IFERROR(__xludf.DUMMYFUNCTION("""COMPUTED_VALUE"""),"Appearance")</f>
        <v>Appearance</v>
      </c>
      <c r="G2425" s="139"/>
      <c r="H2425" s="139"/>
      <c r="I2425" s="139">
        <f>IFERROR(__xludf.DUMMYFUNCTION("""COMPUTED_VALUE"""),50.0)</f>
        <v>50</v>
      </c>
      <c r="J2425" s="139">
        <f>IFERROR(__xludf.DUMMYFUNCTION("""COMPUTED_VALUE"""),0.0)</f>
        <v>0</v>
      </c>
      <c r="K2425" s="139">
        <f>IFERROR(__xludf.DUMMYFUNCTION("""COMPUTED_VALUE"""),0.0)</f>
        <v>0</v>
      </c>
      <c r="L2425" s="139"/>
      <c r="M2425" s="139"/>
      <c r="N2425" s="139"/>
    </row>
    <row r="2426">
      <c r="A2426" s="139" t="str">
        <f>IFERROR(__xludf.DUMMYFUNCTION("""COMPUTED_VALUE"""),"e")</f>
        <v>e</v>
      </c>
      <c r="B2426" s="139">
        <f>IFERROR(__xludf.DUMMYFUNCTION("""COMPUTED_VALUE"""),2.0251102E8)</f>
        <v>202511020</v>
      </c>
      <c r="C2426" s="139" t="str">
        <f>IFERROR(__xludf.DUMMYFUNCTION("""COMPUTED_VALUE"""),"c_yuw_00401raid_00001_Boss_Red_Special_00002")</f>
        <v>c_yuw_00401raid_00001_Boss_Red_Special_00002</v>
      </c>
      <c r="D2426" s="139" t="str">
        <f>IFERROR(__xludf.DUMMYFUNCTION("""COMPUTED_VALUE"""),"c_yuw_00401raid_00001_Boss_Red")</f>
        <v>c_yuw_00401raid_00001_Boss_Red</v>
      </c>
      <c r="E2426" s="139">
        <f>IFERROR(__xludf.DUMMYFUNCTION("""COMPUTED_VALUE"""),0.0)</f>
        <v>0</v>
      </c>
      <c r="F2426" s="139" t="str">
        <f>IFERROR(__xludf.DUMMYFUNCTION("""COMPUTED_VALUE"""),"Special")</f>
        <v>Special</v>
      </c>
      <c r="G2426" s="139"/>
      <c r="H2426" s="139"/>
      <c r="I2426" s="139">
        <f>IFERROR(__xludf.DUMMYFUNCTION("""COMPUTED_VALUE"""),134.0)</f>
        <v>134</v>
      </c>
      <c r="J2426" s="139">
        <f>IFERROR(__xludf.DUMMYFUNCTION("""COMPUTED_VALUE"""),82.0)</f>
        <v>82</v>
      </c>
      <c r="K2426" s="139">
        <f>IFERROR(__xludf.DUMMYFUNCTION("""COMPUTED_VALUE"""),0.0)</f>
        <v>0</v>
      </c>
      <c r="L2426" s="139"/>
      <c r="M2426" s="139"/>
      <c r="N2426" s="139"/>
    </row>
    <row r="2427">
      <c r="A2427" s="139" t="str">
        <f>IFERROR(__xludf.DUMMYFUNCTION("""COMPUTED_VALUE"""),"e")</f>
        <v>e</v>
      </c>
      <c r="B2427" s="139">
        <f>IFERROR(__xludf.DUMMYFUNCTION("""COMPUTED_VALUE"""),2.0251102E8)</f>
        <v>202511020</v>
      </c>
      <c r="C2427" s="139" t="str">
        <f>IFERROR(__xludf.DUMMYFUNCTION("""COMPUTED_VALUE"""),"c_yuw_00501raid_00001_Boss_Green_Normal_00000")</f>
        <v>c_yuw_00501raid_00001_Boss_Green_Normal_00000</v>
      </c>
      <c r="D2427" s="139" t="str">
        <f>IFERROR(__xludf.DUMMYFUNCTION("""COMPUTED_VALUE"""),"c_yuw_00501raid_00001_Boss_Green")</f>
        <v>c_yuw_00501raid_00001_Boss_Green</v>
      </c>
      <c r="E2427" s="139">
        <f>IFERROR(__xludf.DUMMYFUNCTION("""COMPUTED_VALUE"""),0.0)</f>
        <v>0</v>
      </c>
      <c r="F2427" s="139" t="str">
        <f>IFERROR(__xludf.DUMMYFUNCTION("""COMPUTED_VALUE"""),"Normal")</f>
        <v>Normal</v>
      </c>
      <c r="G2427" s="139"/>
      <c r="H2427" s="139"/>
      <c r="I2427" s="139">
        <f>IFERROR(__xludf.DUMMYFUNCTION("""COMPUTED_VALUE"""),62.0)</f>
        <v>62</v>
      </c>
      <c r="J2427" s="139">
        <f>IFERROR(__xludf.DUMMYFUNCTION("""COMPUTED_VALUE"""),22.0)</f>
        <v>22</v>
      </c>
      <c r="K2427" s="139">
        <f>IFERROR(__xludf.DUMMYFUNCTION("""COMPUTED_VALUE"""),50.0)</f>
        <v>50</v>
      </c>
      <c r="L2427" s="139"/>
      <c r="M2427" s="139"/>
      <c r="N2427" s="139"/>
    </row>
    <row r="2428">
      <c r="A2428" s="139" t="str">
        <f>IFERROR(__xludf.DUMMYFUNCTION("""COMPUTED_VALUE"""),"e")</f>
        <v>e</v>
      </c>
      <c r="B2428" s="139">
        <f>IFERROR(__xludf.DUMMYFUNCTION("""COMPUTED_VALUE"""),2.0251102E8)</f>
        <v>202511020</v>
      </c>
      <c r="C2428" s="139" t="str">
        <f>IFERROR(__xludf.DUMMYFUNCTION("""COMPUTED_VALUE"""),"c_yuw_00501raid_00001_Boss_Green_Appearance_00001")</f>
        <v>c_yuw_00501raid_00001_Boss_Green_Appearance_00001</v>
      </c>
      <c r="D2428" s="139" t="str">
        <f>IFERROR(__xludf.DUMMYFUNCTION("""COMPUTED_VALUE"""),"c_yuw_00501raid_00001_Boss_Green")</f>
        <v>c_yuw_00501raid_00001_Boss_Green</v>
      </c>
      <c r="E2428" s="139">
        <f>IFERROR(__xludf.DUMMYFUNCTION("""COMPUTED_VALUE"""),0.0)</f>
        <v>0</v>
      </c>
      <c r="F2428" s="139" t="str">
        <f>IFERROR(__xludf.DUMMYFUNCTION("""COMPUTED_VALUE"""),"Appearance")</f>
        <v>Appearance</v>
      </c>
      <c r="G2428" s="139"/>
      <c r="H2428" s="139"/>
      <c r="I2428" s="139">
        <f>IFERROR(__xludf.DUMMYFUNCTION("""COMPUTED_VALUE"""),50.0)</f>
        <v>50</v>
      </c>
      <c r="J2428" s="139">
        <f>IFERROR(__xludf.DUMMYFUNCTION("""COMPUTED_VALUE"""),0.0)</f>
        <v>0</v>
      </c>
      <c r="K2428" s="139">
        <f>IFERROR(__xludf.DUMMYFUNCTION("""COMPUTED_VALUE"""),0.0)</f>
        <v>0</v>
      </c>
      <c r="L2428" s="139"/>
      <c r="M2428" s="139"/>
      <c r="N2428" s="139"/>
    </row>
    <row r="2429">
      <c r="A2429" s="139" t="str">
        <f>IFERROR(__xludf.DUMMYFUNCTION("""COMPUTED_VALUE"""),"e")</f>
        <v>e</v>
      </c>
      <c r="B2429" s="139">
        <f>IFERROR(__xludf.DUMMYFUNCTION("""COMPUTED_VALUE"""),2.0251102E8)</f>
        <v>202511020</v>
      </c>
      <c r="C2429" s="139" t="str">
        <f>IFERROR(__xludf.DUMMYFUNCTION("""COMPUTED_VALUE"""),"c_yuw_00501raid_00001_Boss_Green_Special_00002")</f>
        <v>c_yuw_00501raid_00001_Boss_Green_Special_00002</v>
      </c>
      <c r="D2429" s="139" t="str">
        <f>IFERROR(__xludf.DUMMYFUNCTION("""COMPUTED_VALUE"""),"c_yuw_00501raid_00001_Boss_Green")</f>
        <v>c_yuw_00501raid_00001_Boss_Green</v>
      </c>
      <c r="E2429" s="139">
        <f>IFERROR(__xludf.DUMMYFUNCTION("""COMPUTED_VALUE"""),0.0)</f>
        <v>0</v>
      </c>
      <c r="F2429" s="139" t="str">
        <f>IFERROR(__xludf.DUMMYFUNCTION("""COMPUTED_VALUE"""),"Special")</f>
        <v>Special</v>
      </c>
      <c r="G2429" s="139"/>
      <c r="H2429" s="139"/>
      <c r="I2429" s="139">
        <f>IFERROR(__xludf.DUMMYFUNCTION("""COMPUTED_VALUE"""),109.0)</f>
        <v>109</v>
      </c>
      <c r="J2429" s="139">
        <f>IFERROR(__xludf.DUMMYFUNCTION("""COMPUTED_VALUE"""),75.0)</f>
        <v>75</v>
      </c>
      <c r="K2429" s="139">
        <f>IFERROR(__xludf.DUMMYFUNCTION("""COMPUTED_VALUE"""),0.0)</f>
        <v>0</v>
      </c>
      <c r="L2429" s="139"/>
      <c r="M2429" s="139"/>
      <c r="N2429" s="139"/>
    </row>
    <row r="2430">
      <c r="A2430" s="139" t="str">
        <f>IFERROR(__xludf.DUMMYFUNCTION("""COMPUTED_VALUE"""),"e")</f>
        <v>e</v>
      </c>
      <c r="B2430" s="139">
        <f>IFERROR(__xludf.DUMMYFUNCTION("""COMPUTED_VALUE"""),2.0251102E8)</f>
        <v>202511020</v>
      </c>
      <c r="C2430" s="139" t="str">
        <f>IFERROR(__xludf.DUMMYFUNCTION("""COMPUTED_VALUE"""),"c_yuw_00601raid_00001_Normal_Colorless_Normal_00000")</f>
        <v>c_yuw_00601raid_00001_Normal_Colorless_Normal_00000</v>
      </c>
      <c r="D2430" s="139" t="str">
        <f>IFERROR(__xludf.DUMMYFUNCTION("""COMPUTED_VALUE"""),"c_yuw_00601raid_00001_Normal_Colorless")</f>
        <v>c_yuw_00601raid_00001_Normal_Colorless</v>
      </c>
      <c r="E2430" s="139">
        <f>IFERROR(__xludf.DUMMYFUNCTION("""COMPUTED_VALUE"""),0.0)</f>
        <v>0</v>
      </c>
      <c r="F2430" s="139" t="str">
        <f>IFERROR(__xludf.DUMMYFUNCTION("""COMPUTED_VALUE"""),"Normal")</f>
        <v>Normal</v>
      </c>
      <c r="G2430" s="139"/>
      <c r="H2430" s="139"/>
      <c r="I2430" s="139">
        <f>IFERROR(__xludf.DUMMYFUNCTION("""COMPUTED_VALUE"""),60.0)</f>
        <v>60</v>
      </c>
      <c r="J2430" s="139">
        <f>IFERROR(__xludf.DUMMYFUNCTION("""COMPUTED_VALUE"""),34.0)</f>
        <v>34</v>
      </c>
      <c r="K2430" s="139">
        <f>IFERROR(__xludf.DUMMYFUNCTION("""COMPUTED_VALUE"""),100.0)</f>
        <v>100</v>
      </c>
      <c r="L2430" s="139"/>
      <c r="M2430" s="139"/>
      <c r="N2430" s="139"/>
    </row>
    <row r="2431">
      <c r="A2431" s="139" t="str">
        <f>IFERROR(__xludf.DUMMYFUNCTION("""COMPUTED_VALUE"""),"e")</f>
        <v>e</v>
      </c>
      <c r="B2431" s="139">
        <f>IFERROR(__xludf.DUMMYFUNCTION("""COMPUTED_VALUE"""),2.0251102E8)</f>
        <v>202511020</v>
      </c>
      <c r="C2431" s="139" t="str">
        <f>IFERROR(__xludf.DUMMYFUNCTION("""COMPUTED_VALUE"""),"c_yuw_00601raid_00001_Normal_Colorless_Special_00001")</f>
        <v>c_yuw_00601raid_00001_Normal_Colorless_Special_00001</v>
      </c>
      <c r="D2431" s="139" t="str">
        <f>IFERROR(__xludf.DUMMYFUNCTION("""COMPUTED_VALUE"""),"c_yuw_00601raid_00001_Normal_Colorless")</f>
        <v>c_yuw_00601raid_00001_Normal_Colorless</v>
      </c>
      <c r="E2431" s="139">
        <f>IFERROR(__xludf.DUMMYFUNCTION("""COMPUTED_VALUE"""),0.0)</f>
        <v>0</v>
      </c>
      <c r="F2431" s="139" t="str">
        <f>IFERROR(__xludf.DUMMYFUNCTION("""COMPUTED_VALUE"""),"Special")</f>
        <v>Special</v>
      </c>
      <c r="G2431" s="139"/>
      <c r="H2431" s="139"/>
      <c r="I2431" s="139">
        <f>IFERROR(__xludf.DUMMYFUNCTION("""COMPUTED_VALUE"""),92.0)</f>
        <v>92</v>
      </c>
      <c r="J2431" s="139">
        <f>IFERROR(__xludf.DUMMYFUNCTION("""COMPUTED_VALUE"""),34.0)</f>
        <v>34</v>
      </c>
      <c r="K2431" s="139">
        <f>IFERROR(__xludf.DUMMYFUNCTION("""COMPUTED_VALUE"""),0.0)</f>
        <v>0</v>
      </c>
      <c r="L2431" s="139"/>
      <c r="M2431" s="139"/>
      <c r="N2431" s="139"/>
    </row>
    <row r="2432">
      <c r="A2432" s="139" t="str">
        <f>IFERROR(__xludf.DUMMYFUNCTION("""COMPUTED_VALUE"""),"e")</f>
        <v>e</v>
      </c>
      <c r="B2432" s="139">
        <f>IFERROR(__xludf.DUMMYFUNCTION("""COMPUTED_VALUE"""),2.0251102E8)</f>
        <v>202511020</v>
      </c>
      <c r="C2432" s="139" t="str">
        <f>IFERROR(__xludf.DUMMYFUNCTION("""COMPUTED_VALUE"""),"c_yuw_00601raid_00001_Boss_Colorless_Normal_00000")</f>
        <v>c_yuw_00601raid_00001_Boss_Colorless_Normal_00000</v>
      </c>
      <c r="D2432" s="139" t="str">
        <f>IFERROR(__xludf.DUMMYFUNCTION("""COMPUTED_VALUE"""),"c_yuw_00601raid_00001_Boss_Colorless")</f>
        <v>c_yuw_00601raid_00001_Boss_Colorless</v>
      </c>
      <c r="E2432" s="139">
        <f>IFERROR(__xludf.DUMMYFUNCTION("""COMPUTED_VALUE"""),0.0)</f>
        <v>0</v>
      </c>
      <c r="F2432" s="139" t="str">
        <f>IFERROR(__xludf.DUMMYFUNCTION("""COMPUTED_VALUE"""),"Normal")</f>
        <v>Normal</v>
      </c>
      <c r="G2432" s="139"/>
      <c r="H2432" s="139"/>
      <c r="I2432" s="139">
        <f>IFERROR(__xludf.DUMMYFUNCTION("""COMPUTED_VALUE"""),60.0)</f>
        <v>60</v>
      </c>
      <c r="J2432" s="139">
        <f>IFERROR(__xludf.DUMMYFUNCTION("""COMPUTED_VALUE"""),34.0)</f>
        <v>34</v>
      </c>
      <c r="K2432" s="139">
        <f>IFERROR(__xludf.DUMMYFUNCTION("""COMPUTED_VALUE"""),60.0)</f>
        <v>60</v>
      </c>
      <c r="L2432" s="139"/>
      <c r="M2432" s="139"/>
      <c r="N2432" s="139"/>
    </row>
    <row r="2433">
      <c r="A2433" s="139" t="str">
        <f>IFERROR(__xludf.DUMMYFUNCTION("""COMPUTED_VALUE"""),"e")</f>
        <v>e</v>
      </c>
      <c r="B2433" s="139">
        <f>IFERROR(__xludf.DUMMYFUNCTION("""COMPUTED_VALUE"""),2.0251102E8)</f>
        <v>202511020</v>
      </c>
      <c r="C2433" s="139" t="str">
        <f>IFERROR(__xludf.DUMMYFUNCTION("""COMPUTED_VALUE"""),"c_yuw_00601raid_00001_Boss_Colorless_Appearance_00001")</f>
        <v>c_yuw_00601raid_00001_Boss_Colorless_Appearance_00001</v>
      </c>
      <c r="D2433" s="139" t="str">
        <f>IFERROR(__xludf.DUMMYFUNCTION("""COMPUTED_VALUE"""),"c_yuw_00601raid_00001_Boss_Colorless")</f>
        <v>c_yuw_00601raid_00001_Boss_Colorless</v>
      </c>
      <c r="E2433" s="139">
        <f>IFERROR(__xludf.DUMMYFUNCTION("""COMPUTED_VALUE"""),0.0)</f>
        <v>0</v>
      </c>
      <c r="F2433" s="139" t="str">
        <f>IFERROR(__xludf.DUMMYFUNCTION("""COMPUTED_VALUE"""),"Appearance")</f>
        <v>Appearance</v>
      </c>
      <c r="G2433" s="139"/>
      <c r="H2433" s="139"/>
      <c r="I2433" s="139">
        <f>IFERROR(__xludf.DUMMYFUNCTION("""COMPUTED_VALUE"""),50.0)</f>
        <v>50</v>
      </c>
      <c r="J2433" s="139">
        <f>IFERROR(__xludf.DUMMYFUNCTION("""COMPUTED_VALUE"""),0.0)</f>
        <v>0</v>
      </c>
      <c r="K2433" s="139">
        <f>IFERROR(__xludf.DUMMYFUNCTION("""COMPUTED_VALUE"""),0.0)</f>
        <v>0</v>
      </c>
      <c r="L2433" s="139"/>
      <c r="M2433" s="139"/>
      <c r="N2433" s="139"/>
    </row>
    <row r="2434">
      <c r="A2434" s="139" t="str">
        <f>IFERROR(__xludf.DUMMYFUNCTION("""COMPUTED_VALUE"""),"e")</f>
        <v>e</v>
      </c>
      <c r="B2434" s="139">
        <f>IFERROR(__xludf.DUMMYFUNCTION("""COMPUTED_VALUE"""),2.0251102E8)</f>
        <v>202511020</v>
      </c>
      <c r="C2434" s="139" t="str">
        <f>IFERROR(__xludf.DUMMYFUNCTION("""COMPUTED_VALUE"""),"c_yuw_00601raid_00001_Boss_Colorless_Special_00002")</f>
        <v>c_yuw_00601raid_00001_Boss_Colorless_Special_00002</v>
      </c>
      <c r="D2434" s="139" t="str">
        <f>IFERROR(__xludf.DUMMYFUNCTION("""COMPUTED_VALUE"""),"c_yuw_00601raid_00001_Boss_Colorless")</f>
        <v>c_yuw_00601raid_00001_Boss_Colorless</v>
      </c>
      <c r="E2434" s="139">
        <f>IFERROR(__xludf.DUMMYFUNCTION("""COMPUTED_VALUE"""),0.0)</f>
        <v>0</v>
      </c>
      <c r="F2434" s="139" t="str">
        <f>IFERROR(__xludf.DUMMYFUNCTION("""COMPUTED_VALUE"""),"Special")</f>
        <v>Special</v>
      </c>
      <c r="G2434" s="139"/>
      <c r="H2434" s="139"/>
      <c r="I2434" s="139">
        <f>IFERROR(__xludf.DUMMYFUNCTION("""COMPUTED_VALUE"""),92.0)</f>
        <v>92</v>
      </c>
      <c r="J2434" s="139">
        <f>IFERROR(__xludf.DUMMYFUNCTION("""COMPUTED_VALUE"""),34.0)</f>
        <v>34</v>
      </c>
      <c r="K2434" s="139">
        <f>IFERROR(__xludf.DUMMYFUNCTION("""COMPUTED_VALUE"""),0.0)</f>
        <v>0</v>
      </c>
      <c r="L2434" s="139"/>
      <c r="M2434" s="139"/>
      <c r="N2434" s="139"/>
    </row>
    <row r="2435">
      <c r="A2435" s="139" t="str">
        <f>IFERROR(__xludf.DUMMYFUNCTION("""COMPUTED_VALUE"""),"e")</f>
        <v>e</v>
      </c>
      <c r="B2435" s="139">
        <f>IFERROR(__xludf.DUMMYFUNCTION("""COMPUTED_VALUE"""),2.0251102E8)</f>
        <v>202511020</v>
      </c>
      <c r="C2435" s="139" t="str">
        <f>IFERROR(__xludf.DUMMYFUNCTION("""COMPUTED_VALUE"""),"e_glo_00001raid_00001_Normal_Red_Normal_00000")</f>
        <v>e_glo_00001raid_00001_Normal_Red_Normal_00000</v>
      </c>
      <c r="D2435" s="139" t="str">
        <f>IFERROR(__xludf.DUMMYFUNCTION("""COMPUTED_VALUE"""),"e_glo_00001raid_00001_Normal_Red")</f>
        <v>e_glo_00001raid_00001_Normal_Red</v>
      </c>
      <c r="E2435" s="139">
        <f>IFERROR(__xludf.DUMMYFUNCTION("""COMPUTED_VALUE"""),0.0)</f>
        <v>0</v>
      </c>
      <c r="F2435" s="139" t="str">
        <f>IFERROR(__xludf.DUMMYFUNCTION("""COMPUTED_VALUE"""),"Normal")</f>
        <v>Normal</v>
      </c>
      <c r="G2435" s="139"/>
      <c r="H2435" s="139"/>
      <c r="I2435" s="139">
        <f>IFERROR(__xludf.DUMMYFUNCTION("""COMPUTED_VALUE"""),50.0)</f>
        <v>50</v>
      </c>
      <c r="J2435" s="139">
        <f>IFERROR(__xludf.DUMMYFUNCTION("""COMPUTED_VALUE"""),25.0)</f>
        <v>25</v>
      </c>
      <c r="K2435" s="139">
        <f>IFERROR(__xludf.DUMMYFUNCTION("""COMPUTED_VALUE"""),50.0)</f>
        <v>50</v>
      </c>
      <c r="L2435" s="139"/>
      <c r="M2435" s="139"/>
      <c r="N2435" s="139"/>
    </row>
    <row r="2436">
      <c r="A2436" s="139" t="str">
        <f>IFERROR(__xludf.DUMMYFUNCTION("""COMPUTED_VALUE"""),"e")</f>
        <v>e</v>
      </c>
      <c r="B2436" s="139">
        <f>IFERROR(__xludf.DUMMYFUNCTION("""COMPUTED_VALUE"""),2.0251102E8)</f>
        <v>202511020</v>
      </c>
      <c r="C2436" s="139" t="str">
        <f>IFERROR(__xludf.DUMMYFUNCTION("""COMPUTED_VALUE"""),"e_glo_00001raid_00001_Normal_Colorless_Normal_00000")</f>
        <v>e_glo_00001raid_00001_Normal_Colorless_Normal_00000</v>
      </c>
      <c r="D2436" s="139" t="str">
        <f>IFERROR(__xludf.DUMMYFUNCTION("""COMPUTED_VALUE"""),"e_glo_00001raid_00001_Normal_Colorless")</f>
        <v>e_glo_00001raid_00001_Normal_Colorless</v>
      </c>
      <c r="E2436" s="139">
        <f>IFERROR(__xludf.DUMMYFUNCTION("""COMPUTED_VALUE"""),0.0)</f>
        <v>0</v>
      </c>
      <c r="F2436" s="139" t="str">
        <f>IFERROR(__xludf.DUMMYFUNCTION("""COMPUTED_VALUE"""),"Normal")</f>
        <v>Normal</v>
      </c>
      <c r="G2436" s="139"/>
      <c r="H2436" s="139"/>
      <c r="I2436" s="139">
        <f>IFERROR(__xludf.DUMMYFUNCTION("""COMPUTED_VALUE"""),50.0)</f>
        <v>50</v>
      </c>
      <c r="J2436" s="139">
        <f>IFERROR(__xludf.DUMMYFUNCTION("""COMPUTED_VALUE"""),25.0)</f>
        <v>25</v>
      </c>
      <c r="K2436" s="139">
        <f>IFERROR(__xludf.DUMMYFUNCTION("""COMPUTED_VALUE"""),50.0)</f>
        <v>50</v>
      </c>
      <c r="L2436" s="139"/>
      <c r="M2436" s="139"/>
      <c r="N2436" s="139"/>
    </row>
    <row r="2437">
      <c r="A2437" s="139" t="str">
        <f>IFERROR(__xludf.DUMMYFUNCTION("""COMPUTED_VALUE"""),"e")</f>
        <v>e</v>
      </c>
      <c r="B2437" s="139">
        <f>IFERROR(__xludf.DUMMYFUNCTION("""COMPUTED_VALUE"""),2.02512015E8)</f>
        <v>202512015</v>
      </c>
      <c r="C2437" s="139" t="str">
        <f>IFERROR(__xludf.DUMMYFUNCTION("""COMPUTED_VALUE"""),"c_yuw_00601_savege02_yuw_Boss_Yellow_Normal_00000")</f>
        <v>c_yuw_00601_savege02_yuw_Boss_Yellow_Normal_00000</v>
      </c>
      <c r="D2437" s="139" t="str">
        <f>IFERROR(__xludf.DUMMYFUNCTION("""COMPUTED_VALUE"""),"c_yuw_00601_savege02_yuw_Boss_Yellow")</f>
        <v>c_yuw_00601_savege02_yuw_Boss_Yellow</v>
      </c>
      <c r="E2437" s="139">
        <f>IFERROR(__xludf.DUMMYFUNCTION("""COMPUTED_VALUE"""),0.0)</f>
        <v>0</v>
      </c>
      <c r="F2437" s="139" t="str">
        <f>IFERROR(__xludf.DUMMYFUNCTION("""COMPUTED_VALUE"""),"Normal")</f>
        <v>Normal</v>
      </c>
      <c r="G2437" s="139"/>
      <c r="H2437" s="139"/>
      <c r="I2437" s="139">
        <f>IFERROR(__xludf.DUMMYFUNCTION("""COMPUTED_VALUE"""),60.0)</f>
        <v>60</v>
      </c>
      <c r="J2437" s="139">
        <f>IFERROR(__xludf.DUMMYFUNCTION("""COMPUTED_VALUE"""),34.0)</f>
        <v>34</v>
      </c>
      <c r="K2437" s="139">
        <f>IFERROR(__xludf.DUMMYFUNCTION("""COMPUTED_VALUE"""),50.0)</f>
        <v>50</v>
      </c>
      <c r="L2437" s="139"/>
      <c r="M2437" s="139"/>
      <c r="N2437" s="139"/>
    </row>
    <row r="2438">
      <c r="A2438" s="139" t="str">
        <f>IFERROR(__xludf.DUMMYFUNCTION("""COMPUTED_VALUE"""),"e")</f>
        <v>e</v>
      </c>
      <c r="B2438" s="139">
        <f>IFERROR(__xludf.DUMMYFUNCTION("""COMPUTED_VALUE"""),2.02512015E8)</f>
        <v>202512015</v>
      </c>
      <c r="C2438" s="139" t="str">
        <f>IFERROR(__xludf.DUMMYFUNCTION("""COMPUTED_VALUE"""),"e_glo_00001_savage02_yuw_tank_Normal_Yellow_Normal_00000")</f>
        <v>e_glo_00001_savage02_yuw_tank_Normal_Yellow_Normal_00000</v>
      </c>
      <c r="D2438" s="139" t="str">
        <f>IFERROR(__xludf.DUMMYFUNCTION("""COMPUTED_VALUE"""),"e_glo_00001_savage02_yuw_tank_Normal_Yellow")</f>
        <v>e_glo_00001_savage02_yuw_tank_Normal_Yellow</v>
      </c>
      <c r="E2438" s="139">
        <f>IFERROR(__xludf.DUMMYFUNCTION("""COMPUTED_VALUE"""),0.0)</f>
        <v>0</v>
      </c>
      <c r="F2438" s="139" t="str">
        <f>IFERROR(__xludf.DUMMYFUNCTION("""COMPUTED_VALUE"""),"Normal")</f>
        <v>Normal</v>
      </c>
      <c r="G2438" s="139"/>
      <c r="H2438" s="139"/>
      <c r="I2438" s="139">
        <f>IFERROR(__xludf.DUMMYFUNCTION("""COMPUTED_VALUE"""),50.0)</f>
        <v>50</v>
      </c>
      <c r="J2438" s="139">
        <f>IFERROR(__xludf.DUMMYFUNCTION("""COMPUTED_VALUE"""),25.0)</f>
        <v>25</v>
      </c>
      <c r="K2438" s="139">
        <f>IFERROR(__xludf.DUMMYFUNCTION("""COMPUTED_VALUE"""),50.0)</f>
        <v>50</v>
      </c>
      <c r="L2438" s="139"/>
      <c r="M2438" s="139"/>
      <c r="N2438" s="139"/>
    </row>
    <row r="2439">
      <c r="A2439" s="139" t="str">
        <f>IFERROR(__xludf.DUMMYFUNCTION("""COMPUTED_VALUE"""),"e")</f>
        <v>e</v>
      </c>
      <c r="B2439" s="139">
        <f>IFERROR(__xludf.DUMMYFUNCTION("""COMPUTED_VALUE"""),2.02512015E8)</f>
        <v>202512015</v>
      </c>
      <c r="C2439" s="139" t="str">
        <f>IFERROR(__xludf.DUMMYFUNCTION("""COMPUTED_VALUE"""),"c_yuw_00201_savage02_yuw_support_Boss_Yellow_Normal_00000")</f>
        <v>c_yuw_00201_savage02_yuw_support_Boss_Yellow_Normal_00000</v>
      </c>
      <c r="D2439" s="139" t="str">
        <f>IFERROR(__xludf.DUMMYFUNCTION("""COMPUTED_VALUE"""),"c_yuw_00201_savage02_yuw_support_Boss_Yellow")</f>
        <v>c_yuw_00201_savage02_yuw_support_Boss_Yellow</v>
      </c>
      <c r="E2439" s="139">
        <f>IFERROR(__xludf.DUMMYFUNCTION("""COMPUTED_VALUE"""),0.0)</f>
        <v>0</v>
      </c>
      <c r="F2439" s="139" t="str">
        <f>IFERROR(__xludf.DUMMYFUNCTION("""COMPUTED_VALUE"""),"Normal")</f>
        <v>Normal</v>
      </c>
      <c r="G2439" s="139"/>
      <c r="H2439" s="139"/>
      <c r="I2439" s="139">
        <f>IFERROR(__xludf.DUMMYFUNCTION("""COMPUTED_VALUE"""),53.0)</f>
        <v>53</v>
      </c>
      <c r="J2439" s="139">
        <f>IFERROR(__xludf.DUMMYFUNCTION("""COMPUTED_VALUE"""),17.0)</f>
        <v>17</v>
      </c>
      <c r="K2439" s="139">
        <f>IFERROR(__xludf.DUMMYFUNCTION("""COMPUTED_VALUE"""),75.0)</f>
        <v>75</v>
      </c>
      <c r="L2439" s="139"/>
      <c r="M2439" s="139"/>
      <c r="N2439" s="139"/>
    </row>
    <row r="2440">
      <c r="A2440" s="139" t="str">
        <f>IFERROR(__xludf.DUMMYFUNCTION("""COMPUTED_VALUE"""),"e")</f>
        <v>e</v>
      </c>
      <c r="B2440" s="139">
        <f>IFERROR(__xludf.DUMMYFUNCTION("""COMPUTED_VALUE"""),2.02512015E8)</f>
        <v>202512015</v>
      </c>
      <c r="C2440" s="139" t="str">
        <f>IFERROR(__xludf.DUMMYFUNCTION("""COMPUTED_VALUE"""),"c_yuw_00601_savege02_yuw_Boss_Yellow_Appearance_00001")</f>
        <v>c_yuw_00601_savege02_yuw_Boss_Yellow_Appearance_00001</v>
      </c>
      <c r="D2440" s="139" t="str">
        <f>IFERROR(__xludf.DUMMYFUNCTION("""COMPUTED_VALUE"""),"c_yuw_00601_savege02_yuw_Boss_Yellow")</f>
        <v>c_yuw_00601_savege02_yuw_Boss_Yellow</v>
      </c>
      <c r="E2440" s="139">
        <f>IFERROR(__xludf.DUMMYFUNCTION("""COMPUTED_VALUE"""),0.0)</f>
        <v>0</v>
      </c>
      <c r="F2440" s="139" t="str">
        <f>IFERROR(__xludf.DUMMYFUNCTION("""COMPUTED_VALUE"""),"Appearance")</f>
        <v>Appearance</v>
      </c>
      <c r="G2440" s="139"/>
      <c r="H2440" s="139"/>
      <c r="I2440" s="139">
        <f>IFERROR(__xludf.DUMMYFUNCTION("""COMPUTED_VALUE"""),50.0)</f>
        <v>50</v>
      </c>
      <c r="J2440" s="139">
        <f>IFERROR(__xludf.DUMMYFUNCTION("""COMPUTED_VALUE"""),0.0)</f>
        <v>0</v>
      </c>
      <c r="K2440" s="139">
        <f>IFERROR(__xludf.DUMMYFUNCTION("""COMPUTED_VALUE"""),0.0)</f>
        <v>0</v>
      </c>
      <c r="L2440" s="139"/>
      <c r="M2440" s="139"/>
      <c r="N2440" s="139"/>
    </row>
    <row r="2441">
      <c r="A2441" s="139" t="str">
        <f>IFERROR(__xludf.DUMMYFUNCTION("""COMPUTED_VALUE"""),"e")</f>
        <v>e</v>
      </c>
      <c r="B2441" s="139">
        <f>IFERROR(__xludf.DUMMYFUNCTION("""COMPUTED_VALUE"""),2.02512015E8)</f>
        <v>202512015</v>
      </c>
      <c r="C2441" s="139" t="str">
        <f>IFERROR(__xludf.DUMMYFUNCTION("""COMPUTED_VALUE"""),"c_yuw_00201_savage02_yuw_support_Boss_Yellow_Appearance_00001")</f>
        <v>c_yuw_00201_savage02_yuw_support_Boss_Yellow_Appearance_00001</v>
      </c>
      <c r="D2441" s="139" t="str">
        <f>IFERROR(__xludf.DUMMYFUNCTION("""COMPUTED_VALUE"""),"c_yuw_00201_savage02_yuw_support_Boss_Yellow")</f>
        <v>c_yuw_00201_savage02_yuw_support_Boss_Yellow</v>
      </c>
      <c r="E2441" s="139">
        <f>IFERROR(__xludf.DUMMYFUNCTION("""COMPUTED_VALUE"""),0.0)</f>
        <v>0</v>
      </c>
      <c r="F2441" s="139" t="str">
        <f>IFERROR(__xludf.DUMMYFUNCTION("""COMPUTED_VALUE"""),"Appearance")</f>
        <v>Appearance</v>
      </c>
      <c r="G2441" s="139"/>
      <c r="H2441" s="139"/>
      <c r="I2441" s="139">
        <f>IFERROR(__xludf.DUMMYFUNCTION("""COMPUTED_VALUE"""),50.0)</f>
        <v>50</v>
      </c>
      <c r="J2441" s="139">
        <f>IFERROR(__xludf.DUMMYFUNCTION("""COMPUTED_VALUE"""),0.0)</f>
        <v>0</v>
      </c>
      <c r="K2441" s="139">
        <f>IFERROR(__xludf.DUMMYFUNCTION("""COMPUTED_VALUE"""),0.0)</f>
        <v>0</v>
      </c>
      <c r="L2441" s="139"/>
      <c r="M2441" s="139"/>
      <c r="N2441" s="139"/>
    </row>
    <row r="2442">
      <c r="A2442" s="139" t="str">
        <f>IFERROR(__xludf.DUMMYFUNCTION("""COMPUTED_VALUE"""),"e")</f>
        <v>e</v>
      </c>
      <c r="B2442" s="139">
        <f>IFERROR(__xludf.DUMMYFUNCTION("""COMPUTED_VALUE"""),2.02512015E8)</f>
        <v>202512015</v>
      </c>
      <c r="C2442" s="139" t="str">
        <f>IFERROR(__xludf.DUMMYFUNCTION("""COMPUTED_VALUE"""),"c_yuw_00601_savege02_yuw_Boss_Yellow_Special_00002")</f>
        <v>c_yuw_00601_savege02_yuw_Boss_Yellow_Special_00002</v>
      </c>
      <c r="D2442" s="139" t="str">
        <f>IFERROR(__xludf.DUMMYFUNCTION("""COMPUTED_VALUE"""),"c_yuw_00601_savege02_yuw_Boss_Yellow")</f>
        <v>c_yuw_00601_savege02_yuw_Boss_Yellow</v>
      </c>
      <c r="E2442" s="139">
        <f>IFERROR(__xludf.DUMMYFUNCTION("""COMPUTED_VALUE"""),0.0)</f>
        <v>0</v>
      </c>
      <c r="F2442" s="139" t="str">
        <f>IFERROR(__xludf.DUMMYFUNCTION("""COMPUTED_VALUE"""),"Special")</f>
        <v>Special</v>
      </c>
      <c r="G2442" s="139"/>
      <c r="H2442" s="139"/>
      <c r="I2442" s="139">
        <f>IFERROR(__xludf.DUMMYFUNCTION("""COMPUTED_VALUE"""),162.0)</f>
        <v>162</v>
      </c>
      <c r="J2442" s="139">
        <f>IFERROR(__xludf.DUMMYFUNCTION("""COMPUTED_VALUE"""),92.0)</f>
        <v>92</v>
      </c>
      <c r="K2442" s="139">
        <f>IFERROR(__xludf.DUMMYFUNCTION("""COMPUTED_VALUE"""),0.0)</f>
        <v>0</v>
      </c>
      <c r="L2442" s="139"/>
      <c r="M2442" s="139"/>
      <c r="N2442" s="139"/>
    </row>
    <row r="2443">
      <c r="A2443" s="139" t="str">
        <f>IFERROR(__xludf.DUMMYFUNCTION("""COMPUTED_VALUE"""),"e")</f>
        <v>e</v>
      </c>
      <c r="B2443" s="139">
        <f>IFERROR(__xludf.DUMMYFUNCTION("""COMPUTED_VALUE"""),2.02512015E8)</f>
        <v>202512015</v>
      </c>
      <c r="C2443" s="139" t="str">
        <f>IFERROR(__xludf.DUMMYFUNCTION("""COMPUTED_VALUE"""),"c_yuw_00201_savage02_yuw_support_Boss_Yellow_Special_00002")</f>
        <v>c_yuw_00201_savage02_yuw_support_Boss_Yellow_Special_00002</v>
      </c>
      <c r="D2443" s="139" t="str">
        <f>IFERROR(__xludf.DUMMYFUNCTION("""COMPUTED_VALUE"""),"c_yuw_00201_savage02_yuw_support_Boss_Yellow")</f>
        <v>c_yuw_00201_savage02_yuw_support_Boss_Yellow</v>
      </c>
      <c r="E2443" s="139">
        <f>IFERROR(__xludf.DUMMYFUNCTION("""COMPUTED_VALUE"""),0.0)</f>
        <v>0</v>
      </c>
      <c r="F2443" s="139" t="str">
        <f>IFERROR(__xludf.DUMMYFUNCTION("""COMPUTED_VALUE"""),"Special")</f>
        <v>Special</v>
      </c>
      <c r="G2443" s="139"/>
      <c r="H2443" s="139"/>
      <c r="I2443" s="139">
        <f>IFERROR(__xludf.DUMMYFUNCTION("""COMPUTED_VALUE"""),234.0)</f>
        <v>234</v>
      </c>
      <c r="J2443" s="139">
        <f>IFERROR(__xludf.DUMMYFUNCTION("""COMPUTED_VALUE"""),175.0)</f>
        <v>175</v>
      </c>
      <c r="K2443" s="139">
        <f>IFERROR(__xludf.DUMMYFUNCTION("""COMPUTED_VALUE"""),0.0)</f>
        <v>0</v>
      </c>
      <c r="L2443" s="139"/>
      <c r="M2443" s="139"/>
      <c r="N2443" s="139"/>
    </row>
    <row r="2444">
      <c r="A2444" s="139"/>
      <c r="B2444" s="139"/>
      <c r="C2444" s="139"/>
      <c r="D2444" s="139"/>
      <c r="E2444" s="139"/>
      <c r="F2444" s="139"/>
      <c r="G2444" s="139"/>
      <c r="H2444" s="139"/>
      <c r="I2444" s="139"/>
      <c r="J2444" s="139"/>
      <c r="K2444" s="139"/>
      <c r="L2444" s="139"/>
      <c r="M2444" s="139"/>
      <c r="N2444" s="139"/>
    </row>
    <row r="2445">
      <c r="A2445" s="139" t="str">
        <f>IFERROR(__xludf.DUMMYFUNCTION("""COMPUTED_VALUE"""),"e")</f>
        <v>e</v>
      </c>
      <c r="B2445" s="139">
        <f>IFERROR(__xludf.DUMMYFUNCTION("""COMPUTED_VALUE"""),2.0251201E8)</f>
        <v>202512010</v>
      </c>
      <c r="C2445" s="139" t="str">
        <f>IFERROR(__xludf.DUMMYFUNCTION("""COMPUTED_VALUE"""),"e_sur_00101_1d1c_Normal_Colorless_Normal_00000")</f>
        <v>e_sur_00101_1d1c_Normal_Colorless_Normal_00000</v>
      </c>
      <c r="D2445" s="139" t="str">
        <f>IFERROR(__xludf.DUMMYFUNCTION("""COMPUTED_VALUE"""),"e_sur_00101_1d1c_Normal_Colorless")</f>
        <v>e_sur_00101_1d1c_Normal_Colorless</v>
      </c>
      <c r="E2445" s="139">
        <f>IFERROR(__xludf.DUMMYFUNCTION("""COMPUTED_VALUE"""),0.0)</f>
        <v>0</v>
      </c>
      <c r="F2445" s="139" t="str">
        <f>IFERROR(__xludf.DUMMYFUNCTION("""COMPUTED_VALUE"""),"Normal")</f>
        <v>Normal</v>
      </c>
      <c r="G2445" s="139"/>
      <c r="H2445" s="139"/>
      <c r="I2445" s="139">
        <f>IFERROR(__xludf.DUMMYFUNCTION("""COMPUTED_VALUE"""),40.0)</f>
        <v>40</v>
      </c>
      <c r="J2445" s="139">
        <f>IFERROR(__xludf.DUMMYFUNCTION("""COMPUTED_VALUE"""),15.0)</f>
        <v>15</v>
      </c>
      <c r="K2445" s="139">
        <f>IFERROR(__xludf.DUMMYFUNCTION("""COMPUTED_VALUE"""),35.0)</f>
        <v>35</v>
      </c>
      <c r="L2445" s="139"/>
      <c r="M2445" s="139"/>
      <c r="N2445" s="139"/>
    </row>
    <row r="2446">
      <c r="A2446" s="139" t="str">
        <f>IFERROR(__xludf.DUMMYFUNCTION("""COMPUTED_VALUE"""),"e")</f>
        <v>e</v>
      </c>
      <c r="B2446" s="139">
        <f>IFERROR(__xludf.DUMMYFUNCTION("""COMPUTED_VALUE"""),2.0251201E8)</f>
        <v>202512010</v>
      </c>
      <c r="C2446" s="139" t="str">
        <f>IFERROR(__xludf.DUMMYFUNCTION("""COMPUTED_VALUE"""),"e_sur_00101_surget_Normal_Blue_Normal_00000")</f>
        <v>e_sur_00101_surget_Normal_Blue_Normal_00000</v>
      </c>
      <c r="D2446" s="139" t="str">
        <f>IFERROR(__xludf.DUMMYFUNCTION("""COMPUTED_VALUE"""),"e_sur_00101_surget_Normal_Blue")</f>
        <v>e_sur_00101_surget_Normal_Blue</v>
      </c>
      <c r="E2446" s="139">
        <f>IFERROR(__xludf.DUMMYFUNCTION("""COMPUTED_VALUE"""),0.0)</f>
        <v>0</v>
      </c>
      <c r="F2446" s="139" t="str">
        <f>IFERROR(__xludf.DUMMYFUNCTION("""COMPUTED_VALUE"""),"Normal")</f>
        <v>Normal</v>
      </c>
      <c r="G2446" s="139"/>
      <c r="H2446" s="139"/>
      <c r="I2446" s="139">
        <f>IFERROR(__xludf.DUMMYFUNCTION("""COMPUTED_VALUE"""),40.0)</f>
        <v>40</v>
      </c>
      <c r="J2446" s="139">
        <f>IFERROR(__xludf.DUMMYFUNCTION("""COMPUTED_VALUE"""),15.0)</f>
        <v>15</v>
      </c>
      <c r="K2446" s="139">
        <f>IFERROR(__xludf.DUMMYFUNCTION("""COMPUTED_VALUE"""),35.0)</f>
        <v>35</v>
      </c>
      <c r="L2446" s="139"/>
      <c r="M2446" s="139"/>
      <c r="N2446" s="139"/>
    </row>
    <row r="2447">
      <c r="A2447" s="139" t="str">
        <f>IFERROR(__xludf.DUMMYFUNCTION("""COMPUTED_VALUE"""),"e")</f>
        <v>e</v>
      </c>
      <c r="B2447" s="139">
        <f>IFERROR(__xludf.DUMMYFUNCTION("""COMPUTED_VALUE"""),2.0251201E8)</f>
        <v>202512010</v>
      </c>
      <c r="C2447" s="139" t="str">
        <f>IFERROR(__xludf.DUMMYFUNCTION("""COMPUTED_VALUE"""),"c_sur_00001_surget_Normal_Blue_Normal_00000")</f>
        <v>c_sur_00001_surget_Normal_Blue_Normal_00000</v>
      </c>
      <c r="D2447" s="139" t="str">
        <f>IFERROR(__xludf.DUMMYFUNCTION("""COMPUTED_VALUE"""),"c_sur_00001_surget_Normal_Blue")</f>
        <v>c_sur_00001_surget_Normal_Blue</v>
      </c>
      <c r="E2447" s="139">
        <f>IFERROR(__xludf.DUMMYFUNCTION("""COMPUTED_VALUE"""),0.0)</f>
        <v>0</v>
      </c>
      <c r="F2447" s="139" t="str">
        <f>IFERROR(__xludf.DUMMYFUNCTION("""COMPUTED_VALUE"""),"Normal")</f>
        <v>Normal</v>
      </c>
      <c r="G2447" s="139"/>
      <c r="H2447" s="139"/>
      <c r="I2447" s="139">
        <f>IFERROR(__xludf.DUMMYFUNCTION("""COMPUTED_VALUE"""),62.0)</f>
        <v>62</v>
      </c>
      <c r="J2447" s="139">
        <f>IFERROR(__xludf.DUMMYFUNCTION("""COMPUTED_VALUE"""),22.0)</f>
        <v>22</v>
      </c>
      <c r="K2447" s="139">
        <f>IFERROR(__xludf.DUMMYFUNCTION("""COMPUTED_VALUE"""),75.0)</f>
        <v>75</v>
      </c>
      <c r="L2447" s="139"/>
      <c r="M2447" s="139"/>
      <c r="N2447" s="139"/>
    </row>
    <row r="2448">
      <c r="A2448" s="139" t="str">
        <f>IFERROR(__xludf.DUMMYFUNCTION("""COMPUTED_VALUE"""),"e")</f>
        <v>e</v>
      </c>
      <c r="B2448" s="139">
        <f>IFERROR(__xludf.DUMMYFUNCTION("""COMPUTED_VALUE"""),2.0251201E8)</f>
        <v>202512010</v>
      </c>
      <c r="C2448" s="139" t="str">
        <f>IFERROR(__xludf.DUMMYFUNCTION("""COMPUTED_VALUE"""),"c_sur_00001_surget_Normal_Blue_Special_00001")</f>
        <v>c_sur_00001_surget_Normal_Blue_Special_00001</v>
      </c>
      <c r="D2448" s="139" t="str">
        <f>IFERROR(__xludf.DUMMYFUNCTION("""COMPUTED_VALUE"""),"c_sur_00001_surget_Normal_Blue")</f>
        <v>c_sur_00001_surget_Normal_Blue</v>
      </c>
      <c r="E2448" s="139">
        <f>IFERROR(__xludf.DUMMYFUNCTION("""COMPUTED_VALUE"""),0.0)</f>
        <v>0</v>
      </c>
      <c r="F2448" s="139" t="str">
        <f>IFERROR(__xludf.DUMMYFUNCTION("""COMPUTED_VALUE"""),"Special")</f>
        <v>Special</v>
      </c>
      <c r="G2448" s="139"/>
      <c r="H2448" s="139"/>
      <c r="I2448" s="139">
        <f>IFERROR(__xludf.DUMMYFUNCTION("""COMPUTED_VALUE"""),140.0)</f>
        <v>140</v>
      </c>
      <c r="J2448" s="139">
        <f>IFERROR(__xludf.DUMMYFUNCTION("""COMPUTED_VALUE"""),100.0)</f>
        <v>100</v>
      </c>
      <c r="K2448" s="139">
        <f>IFERROR(__xludf.DUMMYFUNCTION("""COMPUTED_VALUE"""),0.0)</f>
        <v>0</v>
      </c>
      <c r="L2448" s="139"/>
      <c r="M2448" s="139"/>
      <c r="N2448" s="139"/>
    </row>
    <row r="2449">
      <c r="A2449" s="139" t="str">
        <f>IFERROR(__xludf.DUMMYFUNCTION("""COMPUTED_VALUE"""),"e")</f>
        <v>e</v>
      </c>
      <c r="B2449" s="139">
        <f>IFERROR(__xludf.DUMMYFUNCTION("""COMPUTED_VALUE"""),2.0251201E8)</f>
        <v>202512010</v>
      </c>
      <c r="C2449" s="139" t="str">
        <f>IFERROR(__xludf.DUMMYFUNCTION("""COMPUTED_VALUE"""),"c_sur_00101_surget_Boss_Blue_Normal_00000")</f>
        <v>c_sur_00101_surget_Boss_Blue_Normal_00000</v>
      </c>
      <c r="D2449" s="139" t="str">
        <f>IFERROR(__xludf.DUMMYFUNCTION("""COMPUTED_VALUE"""),"c_sur_00101_surget_Boss_Blue")</f>
        <v>c_sur_00101_surget_Boss_Blue</v>
      </c>
      <c r="E2449" s="139">
        <f>IFERROR(__xludf.DUMMYFUNCTION("""COMPUTED_VALUE"""),0.0)</f>
        <v>0</v>
      </c>
      <c r="F2449" s="139" t="str">
        <f>IFERROR(__xludf.DUMMYFUNCTION("""COMPUTED_VALUE"""),"Normal")</f>
        <v>Normal</v>
      </c>
      <c r="G2449" s="139"/>
      <c r="H2449" s="139"/>
      <c r="I2449" s="139">
        <f>IFERROR(__xludf.DUMMYFUNCTION("""COMPUTED_VALUE"""),70.0)</f>
        <v>70</v>
      </c>
      <c r="J2449" s="139">
        <f>IFERROR(__xludf.DUMMYFUNCTION("""COMPUTED_VALUE"""),17.0)</f>
        <v>17</v>
      </c>
      <c r="K2449" s="139">
        <f>IFERROR(__xludf.DUMMYFUNCTION("""COMPUTED_VALUE"""),70.0)</f>
        <v>70</v>
      </c>
      <c r="L2449" s="139"/>
      <c r="M2449" s="139"/>
      <c r="N2449" s="139"/>
    </row>
    <row r="2450">
      <c r="A2450" s="139" t="str">
        <f>IFERROR(__xludf.DUMMYFUNCTION("""COMPUTED_VALUE"""),"e")</f>
        <v>e</v>
      </c>
      <c r="B2450" s="139">
        <f>IFERROR(__xludf.DUMMYFUNCTION("""COMPUTED_VALUE"""),2.0251201E8)</f>
        <v>202512010</v>
      </c>
      <c r="C2450" s="139" t="str">
        <f>IFERROR(__xludf.DUMMYFUNCTION("""COMPUTED_VALUE"""),"c_sur_00101_surget_Boss_Blue_Appearance_00001")</f>
        <v>c_sur_00101_surget_Boss_Blue_Appearance_00001</v>
      </c>
      <c r="D2450" s="139" t="str">
        <f>IFERROR(__xludf.DUMMYFUNCTION("""COMPUTED_VALUE"""),"c_sur_00101_surget_Boss_Blue")</f>
        <v>c_sur_00101_surget_Boss_Blue</v>
      </c>
      <c r="E2450" s="139">
        <f>IFERROR(__xludf.DUMMYFUNCTION("""COMPUTED_VALUE"""),0.0)</f>
        <v>0</v>
      </c>
      <c r="F2450" s="139" t="str">
        <f>IFERROR(__xludf.DUMMYFUNCTION("""COMPUTED_VALUE"""),"Appearance")</f>
        <v>Appearance</v>
      </c>
      <c r="G2450" s="139"/>
      <c r="H2450" s="139"/>
      <c r="I2450" s="139">
        <f>IFERROR(__xludf.DUMMYFUNCTION("""COMPUTED_VALUE"""),50.0)</f>
        <v>50</v>
      </c>
      <c r="J2450" s="139">
        <f>IFERROR(__xludf.DUMMYFUNCTION("""COMPUTED_VALUE"""),0.0)</f>
        <v>0</v>
      </c>
      <c r="K2450" s="139">
        <f>IFERROR(__xludf.DUMMYFUNCTION("""COMPUTED_VALUE"""),0.0)</f>
        <v>0</v>
      </c>
      <c r="L2450" s="139"/>
      <c r="M2450" s="139"/>
      <c r="N2450" s="139"/>
    </row>
    <row r="2451">
      <c r="A2451" s="139" t="str">
        <f>IFERROR(__xludf.DUMMYFUNCTION("""COMPUTED_VALUE"""),"e")</f>
        <v>e</v>
      </c>
      <c r="B2451" s="139">
        <f>IFERROR(__xludf.DUMMYFUNCTION("""COMPUTED_VALUE"""),2.0251201E8)</f>
        <v>202512010</v>
      </c>
      <c r="C2451" s="139" t="str">
        <f>IFERROR(__xludf.DUMMYFUNCTION("""COMPUTED_VALUE"""),"c_sur_00101_surget_Boss_Blue_Special_00002")</f>
        <v>c_sur_00101_surget_Boss_Blue_Special_00002</v>
      </c>
      <c r="D2451" s="139" t="str">
        <f>IFERROR(__xludf.DUMMYFUNCTION("""COMPUTED_VALUE"""),"c_sur_00101_surget_Boss_Blue")</f>
        <v>c_sur_00101_surget_Boss_Blue</v>
      </c>
      <c r="E2451" s="139">
        <f>IFERROR(__xludf.DUMMYFUNCTION("""COMPUTED_VALUE"""),0.0)</f>
        <v>0</v>
      </c>
      <c r="F2451" s="139" t="str">
        <f>IFERROR(__xludf.DUMMYFUNCTION("""COMPUTED_VALUE"""),"Special")</f>
        <v>Special</v>
      </c>
      <c r="G2451" s="139"/>
      <c r="H2451" s="139"/>
      <c r="I2451" s="139">
        <f>IFERROR(__xludf.DUMMYFUNCTION("""COMPUTED_VALUE"""),134.0)</f>
        <v>134</v>
      </c>
      <c r="J2451" s="139">
        <f>IFERROR(__xludf.DUMMYFUNCTION("""COMPUTED_VALUE"""),0.0)</f>
        <v>0</v>
      </c>
      <c r="K2451" s="139">
        <f>IFERROR(__xludf.DUMMYFUNCTION("""COMPUTED_VALUE"""),0.0)</f>
        <v>0</v>
      </c>
      <c r="L2451" s="139"/>
      <c r="M2451" s="139"/>
      <c r="N2451" s="139"/>
    </row>
    <row r="2452">
      <c r="A2452" s="139" t="str">
        <f>IFERROR(__xludf.DUMMYFUNCTION("""COMPUTED_VALUE"""),"e")</f>
        <v>e</v>
      </c>
      <c r="B2452" s="139">
        <f>IFERROR(__xludf.DUMMYFUNCTION("""COMPUTED_VALUE"""),2.0251201E8)</f>
        <v>202512010</v>
      </c>
      <c r="C2452" s="139" t="str">
        <f>IFERROR(__xludf.DUMMYFUNCTION("""COMPUTED_VALUE"""),"c_sur_00101_surget_Normal_Blue_Normal_00000")</f>
        <v>c_sur_00101_surget_Normal_Blue_Normal_00000</v>
      </c>
      <c r="D2452" s="139" t="str">
        <f>IFERROR(__xludf.DUMMYFUNCTION("""COMPUTED_VALUE"""),"c_sur_00101_surget_Normal_Blue")</f>
        <v>c_sur_00101_surget_Normal_Blue</v>
      </c>
      <c r="E2452" s="139">
        <f>IFERROR(__xludf.DUMMYFUNCTION("""COMPUTED_VALUE"""),0.0)</f>
        <v>0</v>
      </c>
      <c r="F2452" s="139" t="str">
        <f>IFERROR(__xludf.DUMMYFUNCTION("""COMPUTED_VALUE"""),"Normal")</f>
        <v>Normal</v>
      </c>
      <c r="G2452" s="139"/>
      <c r="H2452" s="139"/>
      <c r="I2452" s="139">
        <f>IFERROR(__xludf.DUMMYFUNCTION("""COMPUTED_VALUE"""),70.0)</f>
        <v>70</v>
      </c>
      <c r="J2452" s="139">
        <f>IFERROR(__xludf.DUMMYFUNCTION("""COMPUTED_VALUE"""),17.0)</f>
        <v>17</v>
      </c>
      <c r="K2452" s="139">
        <f>IFERROR(__xludf.DUMMYFUNCTION("""COMPUTED_VALUE"""),70.0)</f>
        <v>70</v>
      </c>
      <c r="L2452" s="139"/>
      <c r="M2452" s="139"/>
      <c r="N2452" s="139"/>
    </row>
    <row r="2453">
      <c r="A2453" s="139" t="str">
        <f>IFERROR(__xludf.DUMMYFUNCTION("""COMPUTED_VALUE"""),"e")</f>
        <v>e</v>
      </c>
      <c r="B2453" s="139">
        <f>IFERROR(__xludf.DUMMYFUNCTION("""COMPUTED_VALUE"""),2.0251201E8)</f>
        <v>202512010</v>
      </c>
      <c r="C2453" s="139" t="str">
        <f>IFERROR(__xludf.DUMMYFUNCTION("""COMPUTED_VALUE"""),"c_sur_00101_surget_Normal_Blue_Special_00001")</f>
        <v>c_sur_00101_surget_Normal_Blue_Special_00001</v>
      </c>
      <c r="D2453" s="139" t="str">
        <f>IFERROR(__xludf.DUMMYFUNCTION("""COMPUTED_VALUE"""),"c_sur_00101_surget_Normal_Blue")</f>
        <v>c_sur_00101_surget_Normal_Blue</v>
      </c>
      <c r="E2453" s="139">
        <f>IFERROR(__xludf.DUMMYFUNCTION("""COMPUTED_VALUE"""),0.0)</f>
        <v>0</v>
      </c>
      <c r="F2453" s="139" t="str">
        <f>IFERROR(__xludf.DUMMYFUNCTION("""COMPUTED_VALUE"""),"Special")</f>
        <v>Special</v>
      </c>
      <c r="G2453" s="139"/>
      <c r="H2453" s="139"/>
      <c r="I2453" s="139">
        <f>IFERROR(__xludf.DUMMYFUNCTION("""COMPUTED_VALUE"""),134.0)</f>
        <v>134</v>
      </c>
      <c r="J2453" s="139">
        <f>IFERROR(__xludf.DUMMYFUNCTION("""COMPUTED_VALUE"""),0.0)</f>
        <v>0</v>
      </c>
      <c r="K2453" s="139">
        <f>IFERROR(__xludf.DUMMYFUNCTION("""COMPUTED_VALUE"""),0.0)</f>
        <v>0</v>
      </c>
      <c r="L2453" s="139"/>
      <c r="M2453" s="139"/>
      <c r="N2453" s="139"/>
    </row>
    <row r="2454">
      <c r="A2454" s="139" t="str">
        <f>IFERROR(__xludf.DUMMYFUNCTION("""COMPUTED_VALUE"""),"e")</f>
        <v>e</v>
      </c>
      <c r="B2454" s="139">
        <f>IFERROR(__xludf.DUMMYFUNCTION("""COMPUTED_VALUE"""),2.0251201E8)</f>
        <v>202512010</v>
      </c>
      <c r="C2454" s="139" t="str">
        <f>IFERROR(__xludf.DUMMYFUNCTION("""COMPUTED_VALUE"""),"c_sur_00801_surget_Boss_Blue_Normal_00000")</f>
        <v>c_sur_00801_surget_Boss_Blue_Normal_00000</v>
      </c>
      <c r="D2454" s="139" t="str">
        <f>IFERROR(__xludf.DUMMYFUNCTION("""COMPUTED_VALUE"""),"c_sur_00801_surget_Boss_Blue")</f>
        <v>c_sur_00801_surget_Boss_Blue</v>
      </c>
      <c r="E2454" s="139">
        <f>IFERROR(__xludf.DUMMYFUNCTION("""COMPUTED_VALUE"""),0.0)</f>
        <v>0</v>
      </c>
      <c r="F2454" s="139" t="str">
        <f>IFERROR(__xludf.DUMMYFUNCTION("""COMPUTED_VALUE"""),"Normal")</f>
        <v>Normal</v>
      </c>
      <c r="G2454" s="139"/>
      <c r="H2454" s="139"/>
      <c r="I2454" s="139">
        <f>IFERROR(__xludf.DUMMYFUNCTION("""COMPUTED_VALUE"""),62.0)</f>
        <v>62</v>
      </c>
      <c r="J2454" s="139">
        <f>IFERROR(__xludf.DUMMYFUNCTION("""COMPUTED_VALUE"""),22.0)</f>
        <v>22</v>
      </c>
      <c r="K2454" s="139">
        <f>IFERROR(__xludf.DUMMYFUNCTION("""COMPUTED_VALUE"""),75.0)</f>
        <v>75</v>
      </c>
      <c r="L2454" s="139"/>
      <c r="M2454" s="139"/>
      <c r="N2454" s="139"/>
    </row>
    <row r="2455">
      <c r="A2455" s="139" t="str">
        <f>IFERROR(__xludf.DUMMYFUNCTION("""COMPUTED_VALUE"""),"e")</f>
        <v>e</v>
      </c>
      <c r="B2455" s="139">
        <f>IFERROR(__xludf.DUMMYFUNCTION("""COMPUTED_VALUE"""),2.0251201E8)</f>
        <v>202512010</v>
      </c>
      <c r="C2455" s="139" t="str">
        <f>IFERROR(__xludf.DUMMYFUNCTION("""COMPUTED_VALUE"""),"c_sur_00801_surget_Boss_Blue_Appearance_00001")</f>
        <v>c_sur_00801_surget_Boss_Blue_Appearance_00001</v>
      </c>
      <c r="D2455" s="139" t="str">
        <f>IFERROR(__xludf.DUMMYFUNCTION("""COMPUTED_VALUE"""),"c_sur_00801_surget_Boss_Blue")</f>
        <v>c_sur_00801_surget_Boss_Blue</v>
      </c>
      <c r="E2455" s="139">
        <f>IFERROR(__xludf.DUMMYFUNCTION("""COMPUTED_VALUE"""),0.0)</f>
        <v>0</v>
      </c>
      <c r="F2455" s="139" t="str">
        <f>IFERROR(__xludf.DUMMYFUNCTION("""COMPUTED_VALUE"""),"Appearance")</f>
        <v>Appearance</v>
      </c>
      <c r="G2455" s="139"/>
      <c r="H2455" s="139"/>
      <c r="I2455" s="139">
        <f>IFERROR(__xludf.DUMMYFUNCTION("""COMPUTED_VALUE"""),50.0)</f>
        <v>50</v>
      </c>
      <c r="J2455" s="139">
        <f>IFERROR(__xludf.DUMMYFUNCTION("""COMPUTED_VALUE"""),0.0)</f>
        <v>0</v>
      </c>
      <c r="K2455" s="139">
        <f>IFERROR(__xludf.DUMMYFUNCTION("""COMPUTED_VALUE"""),0.0)</f>
        <v>0</v>
      </c>
      <c r="L2455" s="139"/>
      <c r="M2455" s="139"/>
      <c r="N2455" s="139"/>
    </row>
    <row r="2456">
      <c r="A2456" s="139" t="str">
        <f>IFERROR(__xludf.DUMMYFUNCTION("""COMPUTED_VALUE"""),"e")</f>
        <v>e</v>
      </c>
      <c r="B2456" s="139">
        <f>IFERROR(__xludf.DUMMYFUNCTION("""COMPUTED_VALUE"""),2.0251201E8)</f>
        <v>202512010</v>
      </c>
      <c r="C2456" s="139" t="str">
        <f>IFERROR(__xludf.DUMMYFUNCTION("""COMPUTED_VALUE"""),"c_sur_00801_surget_Boss_Blue_Special_00002")</f>
        <v>c_sur_00801_surget_Boss_Blue_Special_00002</v>
      </c>
      <c r="D2456" s="139" t="str">
        <f>IFERROR(__xludf.DUMMYFUNCTION("""COMPUTED_VALUE"""),"c_sur_00801_surget_Boss_Blue")</f>
        <v>c_sur_00801_surget_Boss_Blue</v>
      </c>
      <c r="E2456" s="139">
        <f>IFERROR(__xludf.DUMMYFUNCTION("""COMPUTED_VALUE"""),0.0)</f>
        <v>0</v>
      </c>
      <c r="F2456" s="139" t="str">
        <f>IFERROR(__xludf.DUMMYFUNCTION("""COMPUTED_VALUE"""),"Special")</f>
        <v>Special</v>
      </c>
      <c r="G2456" s="139"/>
      <c r="H2456" s="139"/>
      <c r="I2456" s="139">
        <f>IFERROR(__xludf.DUMMYFUNCTION("""COMPUTED_VALUE"""),101.0)</f>
        <v>101</v>
      </c>
      <c r="J2456" s="139">
        <f>IFERROR(__xludf.DUMMYFUNCTION("""COMPUTED_VALUE"""),53.0)</f>
        <v>53</v>
      </c>
      <c r="K2456" s="139">
        <f>IFERROR(__xludf.DUMMYFUNCTION("""COMPUTED_VALUE"""),0.0)</f>
        <v>0</v>
      </c>
      <c r="L2456" s="139"/>
      <c r="M2456" s="139"/>
      <c r="N2456" s="139"/>
    </row>
    <row r="2457">
      <c r="A2457" s="139" t="str">
        <f>IFERROR(__xludf.DUMMYFUNCTION("""COMPUTED_VALUE"""),"e")</f>
        <v>e</v>
      </c>
      <c r="B2457" s="139">
        <f>IFERROR(__xludf.DUMMYFUNCTION("""COMPUTED_VALUE"""),2.0251201E8)</f>
        <v>202512010</v>
      </c>
      <c r="C2457" s="139" t="str">
        <f>IFERROR(__xludf.DUMMYFUNCTION("""COMPUTED_VALUE"""),"c_sur_00301_surget_Boss_Blue_Normal_00000")</f>
        <v>c_sur_00301_surget_Boss_Blue_Normal_00000</v>
      </c>
      <c r="D2457" s="139" t="str">
        <f>IFERROR(__xludf.DUMMYFUNCTION("""COMPUTED_VALUE"""),"c_sur_00301_surget_Boss_Blue")</f>
        <v>c_sur_00301_surget_Boss_Blue</v>
      </c>
      <c r="E2457" s="139">
        <f>IFERROR(__xludf.DUMMYFUNCTION("""COMPUTED_VALUE"""),0.0)</f>
        <v>0</v>
      </c>
      <c r="F2457" s="139" t="str">
        <f>IFERROR(__xludf.DUMMYFUNCTION("""COMPUTED_VALUE"""),"Normal")</f>
        <v>Normal</v>
      </c>
      <c r="G2457" s="139"/>
      <c r="H2457" s="139"/>
      <c r="I2457" s="139">
        <f>IFERROR(__xludf.DUMMYFUNCTION("""COMPUTED_VALUE"""),62.0)</f>
        <v>62</v>
      </c>
      <c r="J2457" s="139">
        <f>IFERROR(__xludf.DUMMYFUNCTION("""COMPUTED_VALUE"""),22.0)</f>
        <v>22</v>
      </c>
      <c r="K2457" s="139">
        <f>IFERROR(__xludf.DUMMYFUNCTION("""COMPUTED_VALUE"""),75.0)</f>
        <v>75</v>
      </c>
      <c r="L2457" s="139"/>
      <c r="M2457" s="139"/>
      <c r="N2457" s="139"/>
    </row>
    <row r="2458">
      <c r="A2458" s="139" t="str">
        <f>IFERROR(__xludf.DUMMYFUNCTION("""COMPUTED_VALUE"""),"e")</f>
        <v>e</v>
      </c>
      <c r="B2458" s="139">
        <f>IFERROR(__xludf.DUMMYFUNCTION("""COMPUTED_VALUE"""),2.0251201E8)</f>
        <v>202512010</v>
      </c>
      <c r="C2458" s="139" t="str">
        <f>IFERROR(__xludf.DUMMYFUNCTION("""COMPUTED_VALUE"""),"c_sur_00301_surget_Boss_Blue_Appearance_00001")</f>
        <v>c_sur_00301_surget_Boss_Blue_Appearance_00001</v>
      </c>
      <c r="D2458" s="139" t="str">
        <f>IFERROR(__xludf.DUMMYFUNCTION("""COMPUTED_VALUE"""),"c_sur_00301_surget_Boss_Blue")</f>
        <v>c_sur_00301_surget_Boss_Blue</v>
      </c>
      <c r="E2458" s="139">
        <f>IFERROR(__xludf.DUMMYFUNCTION("""COMPUTED_VALUE"""),0.0)</f>
        <v>0</v>
      </c>
      <c r="F2458" s="139" t="str">
        <f>IFERROR(__xludf.DUMMYFUNCTION("""COMPUTED_VALUE"""),"Appearance")</f>
        <v>Appearance</v>
      </c>
      <c r="G2458" s="139"/>
      <c r="H2458" s="139"/>
      <c r="I2458" s="139">
        <f>IFERROR(__xludf.DUMMYFUNCTION("""COMPUTED_VALUE"""),50.0)</f>
        <v>50</v>
      </c>
      <c r="J2458" s="139">
        <f>IFERROR(__xludf.DUMMYFUNCTION("""COMPUTED_VALUE"""),0.0)</f>
        <v>0</v>
      </c>
      <c r="K2458" s="139">
        <f>IFERROR(__xludf.DUMMYFUNCTION("""COMPUTED_VALUE"""),0.0)</f>
        <v>0</v>
      </c>
      <c r="L2458" s="139"/>
      <c r="M2458" s="139"/>
      <c r="N2458" s="139"/>
    </row>
    <row r="2459">
      <c r="A2459" s="139" t="str">
        <f>IFERROR(__xludf.DUMMYFUNCTION("""COMPUTED_VALUE"""),"e")</f>
        <v>e</v>
      </c>
      <c r="B2459" s="139">
        <f>IFERROR(__xludf.DUMMYFUNCTION("""COMPUTED_VALUE"""),2.0251201E8)</f>
        <v>202512010</v>
      </c>
      <c r="C2459" s="139" t="str">
        <f>IFERROR(__xludf.DUMMYFUNCTION("""COMPUTED_VALUE"""),"c_sur_00301_surget_Boss_Blue_Special_00002")</f>
        <v>c_sur_00301_surget_Boss_Blue_Special_00002</v>
      </c>
      <c r="D2459" s="139" t="str">
        <f>IFERROR(__xludf.DUMMYFUNCTION("""COMPUTED_VALUE"""),"c_sur_00301_surget_Boss_Blue")</f>
        <v>c_sur_00301_surget_Boss_Blue</v>
      </c>
      <c r="E2459" s="139">
        <f>IFERROR(__xludf.DUMMYFUNCTION("""COMPUTED_VALUE"""),0.0)</f>
        <v>0</v>
      </c>
      <c r="F2459" s="139" t="str">
        <f>IFERROR(__xludf.DUMMYFUNCTION("""COMPUTED_VALUE"""),"Special")</f>
        <v>Special</v>
      </c>
      <c r="G2459" s="139"/>
      <c r="H2459" s="139"/>
      <c r="I2459" s="139">
        <f>IFERROR(__xludf.DUMMYFUNCTION("""COMPUTED_VALUE"""),133.0)</f>
        <v>133</v>
      </c>
      <c r="J2459" s="139">
        <f>IFERROR(__xludf.DUMMYFUNCTION("""COMPUTED_VALUE"""),50.0)</f>
        <v>50</v>
      </c>
      <c r="K2459" s="139">
        <f>IFERROR(__xludf.DUMMYFUNCTION("""COMPUTED_VALUE"""),0.0)</f>
        <v>0</v>
      </c>
      <c r="L2459" s="139"/>
      <c r="M2459" s="139"/>
      <c r="N2459" s="139"/>
    </row>
    <row r="2460">
      <c r="A2460" s="139" t="str">
        <f>IFERROR(__xludf.DUMMYFUNCTION("""COMPUTED_VALUE"""),"e")</f>
        <v>e</v>
      </c>
      <c r="B2460" s="139">
        <f>IFERROR(__xludf.DUMMYFUNCTION("""COMPUTED_VALUE"""),2.0251201E8)</f>
        <v>202512010</v>
      </c>
      <c r="C2460" s="139" t="str">
        <f>IFERROR(__xludf.DUMMYFUNCTION("""COMPUTED_VALUE"""),"c_sur_00301_surget_Normal_Blue_Normal_00000")</f>
        <v>c_sur_00301_surget_Normal_Blue_Normal_00000</v>
      </c>
      <c r="D2460" s="139" t="str">
        <f>IFERROR(__xludf.DUMMYFUNCTION("""COMPUTED_VALUE"""),"c_sur_00301_surget_Normal_Blue")</f>
        <v>c_sur_00301_surget_Normal_Blue</v>
      </c>
      <c r="E2460" s="139">
        <f>IFERROR(__xludf.DUMMYFUNCTION("""COMPUTED_VALUE"""),0.0)</f>
        <v>0</v>
      </c>
      <c r="F2460" s="139" t="str">
        <f>IFERROR(__xludf.DUMMYFUNCTION("""COMPUTED_VALUE"""),"Normal")</f>
        <v>Normal</v>
      </c>
      <c r="G2460" s="139"/>
      <c r="H2460" s="139"/>
      <c r="I2460" s="139">
        <f>IFERROR(__xludf.DUMMYFUNCTION("""COMPUTED_VALUE"""),62.0)</f>
        <v>62</v>
      </c>
      <c r="J2460" s="139">
        <f>IFERROR(__xludf.DUMMYFUNCTION("""COMPUTED_VALUE"""),22.0)</f>
        <v>22</v>
      </c>
      <c r="K2460" s="139">
        <f>IFERROR(__xludf.DUMMYFUNCTION("""COMPUTED_VALUE"""),75.0)</f>
        <v>75</v>
      </c>
      <c r="L2460" s="139"/>
      <c r="M2460" s="139"/>
      <c r="N2460" s="139"/>
    </row>
    <row r="2461">
      <c r="A2461" s="139" t="str">
        <f>IFERROR(__xludf.DUMMYFUNCTION("""COMPUTED_VALUE"""),"e")</f>
        <v>e</v>
      </c>
      <c r="B2461" s="139">
        <f>IFERROR(__xludf.DUMMYFUNCTION("""COMPUTED_VALUE"""),2.0251201E8)</f>
        <v>202512010</v>
      </c>
      <c r="C2461" s="139" t="str">
        <f>IFERROR(__xludf.DUMMYFUNCTION("""COMPUTED_VALUE"""),"c_sur_00301_surget_Normal_Blue_Special_00001")</f>
        <v>c_sur_00301_surget_Normal_Blue_Special_00001</v>
      </c>
      <c r="D2461" s="139" t="str">
        <f>IFERROR(__xludf.DUMMYFUNCTION("""COMPUTED_VALUE"""),"c_sur_00301_surget_Normal_Blue")</f>
        <v>c_sur_00301_surget_Normal_Blue</v>
      </c>
      <c r="E2461" s="139">
        <f>IFERROR(__xludf.DUMMYFUNCTION("""COMPUTED_VALUE"""),0.0)</f>
        <v>0</v>
      </c>
      <c r="F2461" s="139" t="str">
        <f>IFERROR(__xludf.DUMMYFUNCTION("""COMPUTED_VALUE"""),"Special")</f>
        <v>Special</v>
      </c>
      <c r="G2461" s="139"/>
      <c r="H2461" s="139"/>
      <c r="I2461" s="139">
        <f>IFERROR(__xludf.DUMMYFUNCTION("""COMPUTED_VALUE"""),133.0)</f>
        <v>133</v>
      </c>
      <c r="J2461" s="139">
        <f>IFERROR(__xludf.DUMMYFUNCTION("""COMPUTED_VALUE"""),50.0)</f>
        <v>50</v>
      </c>
      <c r="K2461" s="139">
        <f>IFERROR(__xludf.DUMMYFUNCTION("""COMPUTED_VALUE"""),0.0)</f>
        <v>0</v>
      </c>
      <c r="L2461" s="139"/>
      <c r="M2461" s="139"/>
      <c r="N2461" s="139"/>
    </row>
    <row r="2462">
      <c r="A2462" s="139" t="str">
        <f>IFERROR(__xludf.DUMMYFUNCTION("""COMPUTED_VALUE"""),"e")</f>
        <v>e</v>
      </c>
      <c r="B2462" s="139">
        <f>IFERROR(__xludf.DUMMYFUNCTION("""COMPUTED_VALUE"""),2.0251201E8)</f>
        <v>202512010</v>
      </c>
      <c r="C2462" s="139" t="str">
        <f>IFERROR(__xludf.DUMMYFUNCTION("""COMPUTED_VALUE"""),"c_sur_00201_surget_Boss_Blue_Normal_00000")</f>
        <v>c_sur_00201_surget_Boss_Blue_Normal_00000</v>
      </c>
      <c r="D2462" s="139" t="str">
        <f>IFERROR(__xludf.DUMMYFUNCTION("""COMPUTED_VALUE"""),"c_sur_00201_surget_Boss_Blue")</f>
        <v>c_sur_00201_surget_Boss_Blue</v>
      </c>
      <c r="E2462" s="139">
        <f>IFERROR(__xludf.DUMMYFUNCTION("""COMPUTED_VALUE"""),0.0)</f>
        <v>0</v>
      </c>
      <c r="F2462" s="139" t="str">
        <f>IFERROR(__xludf.DUMMYFUNCTION("""COMPUTED_VALUE"""),"Normal")</f>
        <v>Normal</v>
      </c>
      <c r="G2462" s="139"/>
      <c r="H2462" s="139"/>
      <c r="I2462" s="139">
        <f>IFERROR(__xludf.DUMMYFUNCTION("""COMPUTED_VALUE"""),62.0)</f>
        <v>62</v>
      </c>
      <c r="J2462" s="139">
        <f>IFERROR(__xludf.DUMMYFUNCTION("""COMPUTED_VALUE"""),22.0)</f>
        <v>22</v>
      </c>
      <c r="K2462" s="139">
        <f>IFERROR(__xludf.DUMMYFUNCTION("""COMPUTED_VALUE"""),75.0)</f>
        <v>75</v>
      </c>
      <c r="L2462" s="139"/>
      <c r="M2462" s="139"/>
      <c r="N2462" s="139"/>
    </row>
    <row r="2463">
      <c r="A2463" s="139" t="str">
        <f>IFERROR(__xludf.DUMMYFUNCTION("""COMPUTED_VALUE"""),"e")</f>
        <v>e</v>
      </c>
      <c r="B2463" s="139">
        <f>IFERROR(__xludf.DUMMYFUNCTION("""COMPUTED_VALUE"""),2.0251201E8)</f>
        <v>202512010</v>
      </c>
      <c r="C2463" s="139" t="str">
        <f>IFERROR(__xludf.DUMMYFUNCTION("""COMPUTED_VALUE"""),"c_sur_00201_surget_Boss_Blue_Appearance_00001")</f>
        <v>c_sur_00201_surget_Boss_Blue_Appearance_00001</v>
      </c>
      <c r="D2463" s="139" t="str">
        <f>IFERROR(__xludf.DUMMYFUNCTION("""COMPUTED_VALUE"""),"c_sur_00201_surget_Boss_Blue")</f>
        <v>c_sur_00201_surget_Boss_Blue</v>
      </c>
      <c r="E2463" s="139">
        <f>IFERROR(__xludf.DUMMYFUNCTION("""COMPUTED_VALUE"""),0.0)</f>
        <v>0</v>
      </c>
      <c r="F2463" s="139" t="str">
        <f>IFERROR(__xludf.DUMMYFUNCTION("""COMPUTED_VALUE"""),"Appearance")</f>
        <v>Appearance</v>
      </c>
      <c r="G2463" s="139"/>
      <c r="H2463" s="139"/>
      <c r="I2463" s="139">
        <f>IFERROR(__xludf.DUMMYFUNCTION("""COMPUTED_VALUE"""),50.0)</f>
        <v>50</v>
      </c>
      <c r="J2463" s="139">
        <f>IFERROR(__xludf.DUMMYFUNCTION("""COMPUTED_VALUE"""),0.0)</f>
        <v>0</v>
      </c>
      <c r="K2463" s="139">
        <f>IFERROR(__xludf.DUMMYFUNCTION("""COMPUTED_VALUE"""),0.0)</f>
        <v>0</v>
      </c>
      <c r="L2463" s="139"/>
      <c r="M2463" s="139"/>
      <c r="N2463" s="139"/>
    </row>
    <row r="2464">
      <c r="A2464" s="139" t="str">
        <f>IFERROR(__xludf.DUMMYFUNCTION("""COMPUTED_VALUE"""),"e")</f>
        <v>e</v>
      </c>
      <c r="B2464" s="139">
        <f>IFERROR(__xludf.DUMMYFUNCTION("""COMPUTED_VALUE"""),2.0251201E8)</f>
        <v>202512010</v>
      </c>
      <c r="C2464" s="139" t="str">
        <f>IFERROR(__xludf.DUMMYFUNCTION("""COMPUTED_VALUE"""),"c_sur_00201_surget_Boss_Blue_Special_00002")</f>
        <v>c_sur_00201_surget_Boss_Blue_Special_00002</v>
      </c>
      <c r="D2464" s="139" t="str">
        <f>IFERROR(__xludf.DUMMYFUNCTION("""COMPUTED_VALUE"""),"c_sur_00201_surget_Boss_Blue")</f>
        <v>c_sur_00201_surget_Boss_Blue</v>
      </c>
      <c r="E2464" s="139">
        <f>IFERROR(__xludf.DUMMYFUNCTION("""COMPUTED_VALUE"""),0.0)</f>
        <v>0</v>
      </c>
      <c r="F2464" s="139" t="str">
        <f>IFERROR(__xludf.DUMMYFUNCTION("""COMPUTED_VALUE"""),"Special")</f>
        <v>Special</v>
      </c>
      <c r="G2464" s="139"/>
      <c r="H2464" s="139"/>
      <c r="I2464" s="139">
        <f>IFERROR(__xludf.DUMMYFUNCTION("""COMPUTED_VALUE"""),154.0)</f>
        <v>154</v>
      </c>
      <c r="J2464" s="139">
        <f>IFERROR(__xludf.DUMMYFUNCTION("""COMPUTED_VALUE"""),0.0)</f>
        <v>0</v>
      </c>
      <c r="K2464" s="139">
        <f>IFERROR(__xludf.DUMMYFUNCTION("""COMPUTED_VALUE"""),0.0)</f>
        <v>0</v>
      </c>
      <c r="L2464" s="139"/>
      <c r="M2464" s="139"/>
      <c r="N2464" s="139"/>
    </row>
    <row r="2465">
      <c r="A2465" s="139" t="str">
        <f>IFERROR(__xludf.DUMMYFUNCTION("""COMPUTED_VALUE"""),"e")</f>
        <v>e</v>
      </c>
      <c r="B2465" s="139">
        <f>IFERROR(__xludf.DUMMYFUNCTION("""COMPUTED_VALUE"""),2.0251201E8)</f>
        <v>202512010</v>
      </c>
      <c r="C2465" s="139" t="str">
        <f>IFERROR(__xludf.DUMMYFUNCTION("""COMPUTED_VALUE"""),"c_sur_00201_surget_Normal_Blue_Normal_00000")</f>
        <v>c_sur_00201_surget_Normal_Blue_Normal_00000</v>
      </c>
      <c r="D2465" s="139" t="str">
        <f>IFERROR(__xludf.DUMMYFUNCTION("""COMPUTED_VALUE"""),"c_sur_00201_surget_Normal_Blue")</f>
        <v>c_sur_00201_surget_Normal_Blue</v>
      </c>
      <c r="E2465" s="139">
        <f>IFERROR(__xludf.DUMMYFUNCTION("""COMPUTED_VALUE"""),0.0)</f>
        <v>0</v>
      </c>
      <c r="F2465" s="139" t="str">
        <f>IFERROR(__xludf.DUMMYFUNCTION("""COMPUTED_VALUE"""),"Normal")</f>
        <v>Normal</v>
      </c>
      <c r="G2465" s="139"/>
      <c r="H2465" s="139"/>
      <c r="I2465" s="139">
        <f>IFERROR(__xludf.DUMMYFUNCTION("""COMPUTED_VALUE"""),62.0)</f>
        <v>62</v>
      </c>
      <c r="J2465" s="139">
        <f>IFERROR(__xludf.DUMMYFUNCTION("""COMPUTED_VALUE"""),22.0)</f>
        <v>22</v>
      </c>
      <c r="K2465" s="139">
        <f>IFERROR(__xludf.DUMMYFUNCTION("""COMPUTED_VALUE"""),75.0)</f>
        <v>75</v>
      </c>
      <c r="L2465" s="139"/>
      <c r="M2465" s="139"/>
      <c r="N2465" s="139"/>
    </row>
    <row r="2466">
      <c r="A2466" s="139" t="str">
        <f>IFERROR(__xludf.DUMMYFUNCTION("""COMPUTED_VALUE"""),"e")</f>
        <v>e</v>
      </c>
      <c r="B2466" s="139">
        <f>IFERROR(__xludf.DUMMYFUNCTION("""COMPUTED_VALUE"""),2.0251201E8)</f>
        <v>202512010</v>
      </c>
      <c r="C2466" s="139" t="str">
        <f>IFERROR(__xludf.DUMMYFUNCTION("""COMPUTED_VALUE"""),"c_sur_00201_surget_Normal_Blue_Special_00001")</f>
        <v>c_sur_00201_surget_Normal_Blue_Special_00001</v>
      </c>
      <c r="D2466" s="139" t="str">
        <f>IFERROR(__xludf.DUMMYFUNCTION("""COMPUTED_VALUE"""),"c_sur_00201_surget_Normal_Blue")</f>
        <v>c_sur_00201_surget_Normal_Blue</v>
      </c>
      <c r="E2466" s="139">
        <f>IFERROR(__xludf.DUMMYFUNCTION("""COMPUTED_VALUE"""),0.0)</f>
        <v>0</v>
      </c>
      <c r="F2466" s="139" t="str">
        <f>IFERROR(__xludf.DUMMYFUNCTION("""COMPUTED_VALUE"""),"Special")</f>
        <v>Special</v>
      </c>
      <c r="G2466" s="139"/>
      <c r="H2466" s="139"/>
      <c r="I2466" s="139">
        <f>IFERROR(__xludf.DUMMYFUNCTION("""COMPUTED_VALUE"""),154.0)</f>
        <v>154</v>
      </c>
      <c r="J2466" s="139">
        <f>IFERROR(__xludf.DUMMYFUNCTION("""COMPUTED_VALUE"""),0.0)</f>
        <v>0</v>
      </c>
      <c r="K2466" s="139">
        <f>IFERROR(__xludf.DUMMYFUNCTION("""COMPUTED_VALUE"""),0.0)</f>
        <v>0</v>
      </c>
      <c r="L2466" s="139"/>
      <c r="M2466" s="139"/>
      <c r="N2466" s="139"/>
    </row>
    <row r="2467">
      <c r="A2467" s="139" t="str">
        <f>IFERROR(__xludf.DUMMYFUNCTION("""COMPUTED_VALUE"""),"e")</f>
        <v>e</v>
      </c>
      <c r="B2467" s="139">
        <f>IFERROR(__xludf.DUMMYFUNCTION("""COMPUTED_VALUE"""),2.0251201E8)</f>
        <v>202512010</v>
      </c>
      <c r="C2467" s="139" t="str">
        <f>IFERROR(__xludf.DUMMYFUNCTION("""COMPUTED_VALUE"""),"c_sur_00501_surget_Boss_Blue_Normal_00000")</f>
        <v>c_sur_00501_surget_Boss_Blue_Normal_00000</v>
      </c>
      <c r="D2467" s="139" t="str">
        <f>IFERROR(__xludf.DUMMYFUNCTION("""COMPUTED_VALUE"""),"c_sur_00501_surget_Boss_Blue")</f>
        <v>c_sur_00501_surget_Boss_Blue</v>
      </c>
      <c r="E2467" s="139">
        <f>IFERROR(__xludf.DUMMYFUNCTION("""COMPUTED_VALUE"""),0.0)</f>
        <v>0</v>
      </c>
      <c r="F2467" s="139" t="str">
        <f>IFERROR(__xludf.DUMMYFUNCTION("""COMPUTED_VALUE"""),"Normal")</f>
        <v>Normal</v>
      </c>
      <c r="G2467" s="139"/>
      <c r="H2467" s="139"/>
      <c r="I2467" s="139">
        <f>IFERROR(__xludf.DUMMYFUNCTION("""COMPUTED_VALUE"""),62.0)</f>
        <v>62</v>
      </c>
      <c r="J2467" s="139">
        <f>IFERROR(__xludf.DUMMYFUNCTION("""COMPUTED_VALUE"""),22.0)</f>
        <v>22</v>
      </c>
      <c r="K2467" s="139">
        <f>IFERROR(__xludf.DUMMYFUNCTION("""COMPUTED_VALUE"""),75.0)</f>
        <v>75</v>
      </c>
      <c r="L2467" s="139"/>
      <c r="M2467" s="139"/>
      <c r="N2467" s="139"/>
    </row>
    <row r="2468">
      <c r="A2468" s="139" t="str">
        <f>IFERROR(__xludf.DUMMYFUNCTION("""COMPUTED_VALUE"""),"e")</f>
        <v>e</v>
      </c>
      <c r="B2468" s="139">
        <f>IFERROR(__xludf.DUMMYFUNCTION("""COMPUTED_VALUE"""),2.0251201E8)</f>
        <v>202512010</v>
      </c>
      <c r="C2468" s="139" t="str">
        <f>IFERROR(__xludf.DUMMYFUNCTION("""COMPUTED_VALUE"""),"c_sur_00501_surget_Boss_Blue_Appearance_00001")</f>
        <v>c_sur_00501_surget_Boss_Blue_Appearance_00001</v>
      </c>
      <c r="D2468" s="139" t="str">
        <f>IFERROR(__xludf.DUMMYFUNCTION("""COMPUTED_VALUE"""),"c_sur_00501_surget_Boss_Blue")</f>
        <v>c_sur_00501_surget_Boss_Blue</v>
      </c>
      <c r="E2468" s="139">
        <f>IFERROR(__xludf.DUMMYFUNCTION("""COMPUTED_VALUE"""),0.0)</f>
        <v>0</v>
      </c>
      <c r="F2468" s="139" t="str">
        <f>IFERROR(__xludf.DUMMYFUNCTION("""COMPUTED_VALUE"""),"Appearance")</f>
        <v>Appearance</v>
      </c>
      <c r="G2468" s="139"/>
      <c r="H2468" s="139"/>
      <c r="I2468" s="139">
        <f>IFERROR(__xludf.DUMMYFUNCTION("""COMPUTED_VALUE"""),50.0)</f>
        <v>50</v>
      </c>
      <c r="J2468" s="139">
        <f>IFERROR(__xludf.DUMMYFUNCTION("""COMPUTED_VALUE"""),0.0)</f>
        <v>0</v>
      </c>
      <c r="K2468" s="139">
        <f>IFERROR(__xludf.DUMMYFUNCTION("""COMPUTED_VALUE"""),0.0)</f>
        <v>0</v>
      </c>
      <c r="L2468" s="139"/>
      <c r="M2468" s="139"/>
      <c r="N2468" s="139"/>
    </row>
    <row r="2469">
      <c r="A2469" s="139" t="str">
        <f>IFERROR(__xludf.DUMMYFUNCTION("""COMPUTED_VALUE"""),"e")</f>
        <v>e</v>
      </c>
      <c r="B2469" s="139">
        <f>IFERROR(__xludf.DUMMYFUNCTION("""COMPUTED_VALUE"""),2.0251201E8)</f>
        <v>202512010</v>
      </c>
      <c r="C2469" s="139" t="str">
        <f>IFERROR(__xludf.DUMMYFUNCTION("""COMPUTED_VALUE"""),"c_sur_00501_surget_Boss_Blue_Special_00002")</f>
        <v>c_sur_00501_surget_Boss_Blue_Special_00002</v>
      </c>
      <c r="D2469" s="139" t="str">
        <f>IFERROR(__xludf.DUMMYFUNCTION("""COMPUTED_VALUE"""),"c_sur_00501_surget_Boss_Blue")</f>
        <v>c_sur_00501_surget_Boss_Blue</v>
      </c>
      <c r="E2469" s="139">
        <f>IFERROR(__xludf.DUMMYFUNCTION("""COMPUTED_VALUE"""),0.0)</f>
        <v>0</v>
      </c>
      <c r="F2469" s="139" t="str">
        <f>IFERROR(__xludf.DUMMYFUNCTION("""COMPUTED_VALUE"""),"Special")</f>
        <v>Special</v>
      </c>
      <c r="G2469" s="139"/>
      <c r="H2469" s="139"/>
      <c r="I2469" s="139">
        <f>IFERROR(__xludf.DUMMYFUNCTION("""COMPUTED_VALUE"""),134.0)</f>
        <v>134</v>
      </c>
      <c r="J2469" s="139">
        <f>IFERROR(__xludf.DUMMYFUNCTION("""COMPUTED_VALUE"""),77.0)</f>
        <v>77</v>
      </c>
      <c r="K2469" s="139">
        <f>IFERROR(__xludf.DUMMYFUNCTION("""COMPUTED_VALUE"""),0.0)</f>
        <v>0</v>
      </c>
      <c r="L2469" s="139"/>
      <c r="M2469" s="139"/>
      <c r="N2469" s="139"/>
    </row>
    <row r="2470">
      <c r="A2470" s="139" t="str">
        <f>IFERROR(__xludf.DUMMYFUNCTION("""COMPUTED_VALUE"""),"e")</f>
        <v>e</v>
      </c>
      <c r="B2470" s="139">
        <f>IFERROR(__xludf.DUMMYFUNCTION("""COMPUTED_VALUE"""),2.0251201E8)</f>
        <v>202512010</v>
      </c>
      <c r="C2470" s="139" t="str">
        <f>IFERROR(__xludf.DUMMYFUNCTION("""COMPUTED_VALUE"""),"c_sur_00501_surget_Normal_Blue_Normal_00000")</f>
        <v>c_sur_00501_surget_Normal_Blue_Normal_00000</v>
      </c>
      <c r="D2470" s="139" t="str">
        <f>IFERROR(__xludf.DUMMYFUNCTION("""COMPUTED_VALUE"""),"c_sur_00501_surget_Normal_Blue")</f>
        <v>c_sur_00501_surget_Normal_Blue</v>
      </c>
      <c r="E2470" s="139">
        <f>IFERROR(__xludf.DUMMYFUNCTION("""COMPUTED_VALUE"""),0.0)</f>
        <v>0</v>
      </c>
      <c r="F2470" s="139" t="str">
        <f>IFERROR(__xludf.DUMMYFUNCTION("""COMPUTED_VALUE"""),"Normal")</f>
        <v>Normal</v>
      </c>
      <c r="G2470" s="139"/>
      <c r="H2470" s="139"/>
      <c r="I2470" s="139">
        <f>IFERROR(__xludf.DUMMYFUNCTION("""COMPUTED_VALUE"""),62.0)</f>
        <v>62</v>
      </c>
      <c r="J2470" s="139">
        <f>IFERROR(__xludf.DUMMYFUNCTION("""COMPUTED_VALUE"""),22.0)</f>
        <v>22</v>
      </c>
      <c r="K2470" s="139">
        <f>IFERROR(__xludf.DUMMYFUNCTION("""COMPUTED_VALUE"""),75.0)</f>
        <v>75</v>
      </c>
      <c r="L2470" s="139"/>
      <c r="M2470" s="139"/>
      <c r="N2470" s="139"/>
    </row>
    <row r="2471">
      <c r="A2471" s="139" t="str">
        <f>IFERROR(__xludf.DUMMYFUNCTION("""COMPUTED_VALUE"""),"e")</f>
        <v>e</v>
      </c>
      <c r="B2471" s="139">
        <f>IFERROR(__xludf.DUMMYFUNCTION("""COMPUTED_VALUE"""),2.0251201E8)</f>
        <v>202512010</v>
      </c>
      <c r="C2471" s="139" t="str">
        <f>IFERROR(__xludf.DUMMYFUNCTION("""COMPUTED_VALUE"""),"c_sur_00501_surget_Normal_Blue_Special_00001")</f>
        <v>c_sur_00501_surget_Normal_Blue_Special_00001</v>
      </c>
      <c r="D2471" s="139" t="str">
        <f>IFERROR(__xludf.DUMMYFUNCTION("""COMPUTED_VALUE"""),"c_sur_00501_surget_Normal_Blue")</f>
        <v>c_sur_00501_surget_Normal_Blue</v>
      </c>
      <c r="E2471" s="139">
        <f>IFERROR(__xludf.DUMMYFUNCTION("""COMPUTED_VALUE"""),0.0)</f>
        <v>0</v>
      </c>
      <c r="F2471" s="139" t="str">
        <f>IFERROR(__xludf.DUMMYFUNCTION("""COMPUTED_VALUE"""),"Special")</f>
        <v>Special</v>
      </c>
      <c r="G2471" s="139"/>
      <c r="H2471" s="139"/>
      <c r="I2471" s="139">
        <f>IFERROR(__xludf.DUMMYFUNCTION("""COMPUTED_VALUE"""),134.0)</f>
        <v>134</v>
      </c>
      <c r="J2471" s="139">
        <f>IFERROR(__xludf.DUMMYFUNCTION("""COMPUTED_VALUE"""),77.0)</f>
        <v>77</v>
      </c>
      <c r="K2471" s="139">
        <f>IFERROR(__xludf.DUMMYFUNCTION("""COMPUTED_VALUE"""),0.0)</f>
        <v>0</v>
      </c>
      <c r="L2471" s="139"/>
      <c r="M2471" s="139"/>
      <c r="N2471" s="139"/>
    </row>
    <row r="2472">
      <c r="A2472" s="139" t="str">
        <f>IFERROR(__xludf.DUMMYFUNCTION("""COMPUTED_VALUE"""),"e")</f>
        <v>e</v>
      </c>
      <c r="B2472" s="139">
        <f>IFERROR(__xludf.DUMMYFUNCTION("""COMPUTED_VALUE"""),2.0251201E8)</f>
        <v>202512010</v>
      </c>
      <c r="C2472" s="139" t="str">
        <f>IFERROR(__xludf.DUMMYFUNCTION("""COMPUTED_VALUE"""),"c_sur_00101_savege_Boss_Yellow_Normal_00000")</f>
        <v>c_sur_00101_savege_Boss_Yellow_Normal_00000</v>
      </c>
      <c r="D2472" s="139" t="str">
        <f>IFERROR(__xludf.DUMMYFUNCTION("""COMPUTED_VALUE"""),"c_sur_00101_savege_Boss_Yellow")</f>
        <v>c_sur_00101_savege_Boss_Yellow</v>
      </c>
      <c r="E2472" s="139">
        <f>IFERROR(__xludf.DUMMYFUNCTION("""COMPUTED_VALUE"""),0.0)</f>
        <v>0</v>
      </c>
      <c r="F2472" s="139" t="str">
        <f>IFERROR(__xludf.DUMMYFUNCTION("""COMPUTED_VALUE"""),"Normal")</f>
        <v>Normal</v>
      </c>
      <c r="G2472" s="139"/>
      <c r="H2472" s="139"/>
      <c r="I2472" s="139">
        <f>IFERROR(__xludf.DUMMYFUNCTION("""COMPUTED_VALUE"""),70.0)</f>
        <v>70</v>
      </c>
      <c r="J2472" s="139">
        <f>IFERROR(__xludf.DUMMYFUNCTION("""COMPUTED_VALUE"""),17.0)</f>
        <v>17</v>
      </c>
      <c r="K2472" s="139">
        <f>IFERROR(__xludf.DUMMYFUNCTION("""COMPUTED_VALUE"""),70.0)</f>
        <v>70</v>
      </c>
      <c r="L2472" s="139"/>
      <c r="M2472" s="139"/>
      <c r="N2472" s="139"/>
    </row>
    <row r="2473">
      <c r="A2473" s="139" t="str">
        <f>IFERROR(__xludf.DUMMYFUNCTION("""COMPUTED_VALUE"""),"e")</f>
        <v>e</v>
      </c>
      <c r="B2473" s="139">
        <f>IFERROR(__xludf.DUMMYFUNCTION("""COMPUTED_VALUE"""),2.0251201E8)</f>
        <v>202512010</v>
      </c>
      <c r="C2473" s="139" t="str">
        <f>IFERROR(__xludf.DUMMYFUNCTION("""COMPUTED_VALUE"""),"c_sur_00101_savege_Boss_Yellow_Appearance_00001")</f>
        <v>c_sur_00101_savege_Boss_Yellow_Appearance_00001</v>
      </c>
      <c r="D2473" s="139" t="str">
        <f>IFERROR(__xludf.DUMMYFUNCTION("""COMPUTED_VALUE"""),"c_sur_00101_savege_Boss_Yellow")</f>
        <v>c_sur_00101_savege_Boss_Yellow</v>
      </c>
      <c r="E2473" s="139">
        <f>IFERROR(__xludf.DUMMYFUNCTION("""COMPUTED_VALUE"""),0.0)</f>
        <v>0</v>
      </c>
      <c r="F2473" s="139" t="str">
        <f>IFERROR(__xludf.DUMMYFUNCTION("""COMPUTED_VALUE"""),"Appearance")</f>
        <v>Appearance</v>
      </c>
      <c r="G2473" s="139"/>
      <c r="H2473" s="139"/>
      <c r="I2473" s="139">
        <f>IFERROR(__xludf.DUMMYFUNCTION("""COMPUTED_VALUE"""),50.0)</f>
        <v>50</v>
      </c>
      <c r="J2473" s="139">
        <f>IFERROR(__xludf.DUMMYFUNCTION("""COMPUTED_VALUE"""),0.0)</f>
        <v>0</v>
      </c>
      <c r="K2473" s="139">
        <f>IFERROR(__xludf.DUMMYFUNCTION("""COMPUTED_VALUE"""),0.0)</f>
        <v>0</v>
      </c>
      <c r="L2473" s="139"/>
      <c r="M2473" s="139"/>
      <c r="N2473" s="139"/>
    </row>
    <row r="2474">
      <c r="A2474" s="139" t="str">
        <f>IFERROR(__xludf.DUMMYFUNCTION("""COMPUTED_VALUE"""),"e")</f>
        <v>e</v>
      </c>
      <c r="B2474" s="139">
        <f>IFERROR(__xludf.DUMMYFUNCTION("""COMPUTED_VALUE"""),2.0251201E8)</f>
        <v>202512010</v>
      </c>
      <c r="C2474" s="139" t="str">
        <f>IFERROR(__xludf.DUMMYFUNCTION("""COMPUTED_VALUE"""),"c_sur_00101_savege_Boss_Yellow_Special_00002")</f>
        <v>c_sur_00101_savege_Boss_Yellow_Special_00002</v>
      </c>
      <c r="D2474" s="139" t="str">
        <f>IFERROR(__xludf.DUMMYFUNCTION("""COMPUTED_VALUE"""),"c_sur_00101_savege_Boss_Yellow")</f>
        <v>c_sur_00101_savege_Boss_Yellow</v>
      </c>
      <c r="E2474" s="139">
        <f>IFERROR(__xludf.DUMMYFUNCTION("""COMPUTED_VALUE"""),0.0)</f>
        <v>0</v>
      </c>
      <c r="F2474" s="139" t="str">
        <f>IFERROR(__xludf.DUMMYFUNCTION("""COMPUTED_VALUE"""),"Special")</f>
        <v>Special</v>
      </c>
      <c r="G2474" s="139"/>
      <c r="H2474" s="139"/>
      <c r="I2474" s="139">
        <f>IFERROR(__xludf.DUMMYFUNCTION("""COMPUTED_VALUE"""),134.0)</f>
        <v>134</v>
      </c>
      <c r="J2474" s="139">
        <f>IFERROR(__xludf.DUMMYFUNCTION("""COMPUTED_VALUE"""),0.0)</f>
        <v>0</v>
      </c>
      <c r="K2474" s="139">
        <f>IFERROR(__xludf.DUMMYFUNCTION("""COMPUTED_VALUE"""),0.0)</f>
        <v>0</v>
      </c>
      <c r="L2474" s="139"/>
      <c r="M2474" s="139"/>
      <c r="N2474" s="139"/>
    </row>
    <row r="2475">
      <c r="A2475" s="139" t="str">
        <f>IFERROR(__xludf.DUMMYFUNCTION("""COMPUTED_VALUE"""),"e")</f>
        <v>e</v>
      </c>
      <c r="B2475" s="139">
        <f>IFERROR(__xludf.DUMMYFUNCTION("""COMPUTED_VALUE"""),2.0251201E8)</f>
        <v>202512010</v>
      </c>
      <c r="C2475" s="139" t="str">
        <f>IFERROR(__xludf.DUMMYFUNCTION("""COMPUTED_VALUE"""),"c_sur_00801_savege_Normal_Yellow_Normal_00000")</f>
        <v>c_sur_00801_savege_Normal_Yellow_Normal_00000</v>
      </c>
      <c r="D2475" s="139" t="str">
        <f>IFERROR(__xludf.DUMMYFUNCTION("""COMPUTED_VALUE"""),"c_sur_00801_savege_Normal_Yellow")</f>
        <v>c_sur_00801_savege_Normal_Yellow</v>
      </c>
      <c r="E2475" s="139">
        <f>IFERROR(__xludf.DUMMYFUNCTION("""COMPUTED_VALUE"""),0.0)</f>
        <v>0</v>
      </c>
      <c r="F2475" s="139" t="str">
        <f>IFERROR(__xludf.DUMMYFUNCTION("""COMPUTED_VALUE"""),"Normal")</f>
        <v>Normal</v>
      </c>
      <c r="G2475" s="139"/>
      <c r="H2475" s="139"/>
      <c r="I2475" s="139">
        <f>IFERROR(__xludf.DUMMYFUNCTION("""COMPUTED_VALUE"""),62.0)</f>
        <v>62</v>
      </c>
      <c r="J2475" s="139">
        <f>IFERROR(__xludf.DUMMYFUNCTION("""COMPUTED_VALUE"""),33.0)</f>
        <v>33</v>
      </c>
      <c r="K2475" s="139">
        <f>IFERROR(__xludf.DUMMYFUNCTION("""COMPUTED_VALUE"""),80.0)</f>
        <v>80</v>
      </c>
      <c r="L2475" s="139"/>
      <c r="M2475" s="139"/>
      <c r="N2475" s="139"/>
    </row>
    <row r="2476">
      <c r="A2476" s="139" t="str">
        <f>IFERROR(__xludf.DUMMYFUNCTION("""COMPUTED_VALUE"""),"e")</f>
        <v>e</v>
      </c>
      <c r="B2476" s="139">
        <f>IFERROR(__xludf.DUMMYFUNCTION("""COMPUTED_VALUE"""),2.0251201E8)</f>
        <v>202512010</v>
      </c>
      <c r="C2476" s="139" t="str">
        <f>IFERROR(__xludf.DUMMYFUNCTION("""COMPUTED_VALUE"""),"c_sur_00801_savege_Normal_Yellow_Special_00001")</f>
        <v>c_sur_00801_savege_Normal_Yellow_Special_00001</v>
      </c>
      <c r="D2476" s="139" t="str">
        <f>IFERROR(__xludf.DUMMYFUNCTION("""COMPUTED_VALUE"""),"c_sur_00801_savege_Normal_Yellow")</f>
        <v>c_sur_00801_savege_Normal_Yellow</v>
      </c>
      <c r="E2476" s="139">
        <f>IFERROR(__xludf.DUMMYFUNCTION("""COMPUTED_VALUE"""),0.0)</f>
        <v>0</v>
      </c>
      <c r="F2476" s="139" t="str">
        <f>IFERROR(__xludf.DUMMYFUNCTION("""COMPUTED_VALUE"""),"Special")</f>
        <v>Special</v>
      </c>
      <c r="G2476" s="139"/>
      <c r="H2476" s="139"/>
      <c r="I2476" s="139">
        <f>IFERROR(__xludf.DUMMYFUNCTION("""COMPUTED_VALUE"""),101.0)</f>
        <v>101</v>
      </c>
      <c r="J2476" s="139">
        <f>IFERROR(__xludf.DUMMYFUNCTION("""COMPUTED_VALUE"""),53.0)</f>
        <v>53</v>
      </c>
      <c r="K2476" s="139">
        <f>IFERROR(__xludf.DUMMYFUNCTION("""COMPUTED_VALUE"""),0.0)</f>
        <v>0</v>
      </c>
      <c r="L2476" s="139"/>
      <c r="M2476" s="139"/>
      <c r="N2476" s="139"/>
    </row>
    <row r="2477">
      <c r="A2477" s="139" t="str">
        <f>IFERROR(__xludf.DUMMYFUNCTION("""COMPUTED_VALUE"""),"e")</f>
        <v>e</v>
      </c>
      <c r="B2477" s="139">
        <f>IFERROR(__xludf.DUMMYFUNCTION("""COMPUTED_VALUE"""),2.0251201E8)</f>
        <v>202512010</v>
      </c>
      <c r="C2477" s="139" t="str">
        <f>IFERROR(__xludf.DUMMYFUNCTION("""COMPUTED_VALUE"""),"c_sur_00801_savege_Normal_Blue_Normal_00000")</f>
        <v>c_sur_00801_savege_Normal_Blue_Normal_00000</v>
      </c>
      <c r="D2477" s="139" t="str">
        <f>IFERROR(__xludf.DUMMYFUNCTION("""COMPUTED_VALUE"""),"c_sur_00801_savege_Normal_Blue")</f>
        <v>c_sur_00801_savege_Normal_Blue</v>
      </c>
      <c r="E2477" s="139">
        <f>IFERROR(__xludf.DUMMYFUNCTION("""COMPUTED_VALUE"""),0.0)</f>
        <v>0</v>
      </c>
      <c r="F2477" s="139" t="str">
        <f>IFERROR(__xludf.DUMMYFUNCTION("""COMPUTED_VALUE"""),"Normal")</f>
        <v>Normal</v>
      </c>
      <c r="G2477" s="139"/>
      <c r="H2477" s="139"/>
      <c r="I2477" s="139">
        <f>IFERROR(__xludf.DUMMYFUNCTION("""COMPUTED_VALUE"""),62.0)</f>
        <v>62</v>
      </c>
      <c r="J2477" s="139">
        <f>IFERROR(__xludf.DUMMYFUNCTION("""COMPUTED_VALUE"""),33.0)</f>
        <v>33</v>
      </c>
      <c r="K2477" s="139">
        <f>IFERROR(__xludf.DUMMYFUNCTION("""COMPUTED_VALUE"""),150.0)</f>
        <v>150</v>
      </c>
      <c r="L2477" s="139"/>
      <c r="M2477" s="139"/>
      <c r="N2477" s="139"/>
    </row>
    <row r="2478">
      <c r="A2478" s="139" t="str">
        <f>IFERROR(__xludf.DUMMYFUNCTION("""COMPUTED_VALUE"""),"e")</f>
        <v>e</v>
      </c>
      <c r="B2478" s="139">
        <f>IFERROR(__xludf.DUMMYFUNCTION("""COMPUTED_VALUE"""),2.0251201E8)</f>
        <v>202512010</v>
      </c>
      <c r="C2478" s="139" t="str">
        <f>IFERROR(__xludf.DUMMYFUNCTION("""COMPUTED_VALUE"""),"c_sur_00801_savege_Normal_Blue_Special_00001")</f>
        <v>c_sur_00801_savege_Normal_Blue_Special_00001</v>
      </c>
      <c r="D2478" s="139" t="str">
        <f>IFERROR(__xludf.DUMMYFUNCTION("""COMPUTED_VALUE"""),"c_sur_00801_savege_Normal_Blue")</f>
        <v>c_sur_00801_savege_Normal_Blue</v>
      </c>
      <c r="E2478" s="139">
        <f>IFERROR(__xludf.DUMMYFUNCTION("""COMPUTED_VALUE"""),0.0)</f>
        <v>0</v>
      </c>
      <c r="F2478" s="139" t="str">
        <f>IFERROR(__xludf.DUMMYFUNCTION("""COMPUTED_VALUE"""),"Special")</f>
        <v>Special</v>
      </c>
      <c r="G2478" s="139"/>
      <c r="H2478" s="139"/>
      <c r="I2478" s="139">
        <f>IFERROR(__xludf.DUMMYFUNCTION("""COMPUTED_VALUE"""),101.0)</f>
        <v>101</v>
      </c>
      <c r="J2478" s="139">
        <f>IFERROR(__xludf.DUMMYFUNCTION("""COMPUTED_VALUE"""),53.0)</f>
        <v>53</v>
      </c>
      <c r="K2478" s="139">
        <f>IFERROR(__xludf.DUMMYFUNCTION("""COMPUTED_VALUE"""),0.0)</f>
        <v>0</v>
      </c>
      <c r="L2478" s="139"/>
      <c r="M2478" s="139"/>
      <c r="N2478" s="139"/>
    </row>
    <row r="2479">
      <c r="A2479" s="139" t="str">
        <f>IFERROR(__xludf.DUMMYFUNCTION("""COMPUTED_VALUE"""),"e")</f>
        <v>e</v>
      </c>
      <c r="B2479" s="139">
        <f>IFERROR(__xludf.DUMMYFUNCTION("""COMPUTED_VALUE"""),2.0251201E8)</f>
        <v>202512010</v>
      </c>
      <c r="C2479" s="139" t="str">
        <f>IFERROR(__xludf.DUMMYFUNCTION("""COMPUTED_VALUE"""),"e_sur_00101_savege_Normal_Colorless_Normal_00000")</f>
        <v>e_sur_00101_savege_Normal_Colorless_Normal_00000</v>
      </c>
      <c r="D2479" s="139" t="str">
        <f>IFERROR(__xludf.DUMMYFUNCTION("""COMPUTED_VALUE"""),"e_sur_00101_savege_Normal_Colorless")</f>
        <v>e_sur_00101_savege_Normal_Colorless</v>
      </c>
      <c r="E2479" s="139">
        <f>IFERROR(__xludf.DUMMYFUNCTION("""COMPUTED_VALUE"""),0.0)</f>
        <v>0</v>
      </c>
      <c r="F2479" s="139" t="str">
        <f>IFERROR(__xludf.DUMMYFUNCTION("""COMPUTED_VALUE"""),"Normal")</f>
        <v>Normal</v>
      </c>
      <c r="G2479" s="139"/>
      <c r="H2479" s="139"/>
      <c r="I2479" s="139">
        <f>IFERROR(__xludf.DUMMYFUNCTION("""COMPUTED_VALUE"""),40.0)</f>
        <v>40</v>
      </c>
      <c r="J2479" s="139">
        <f>IFERROR(__xludf.DUMMYFUNCTION("""COMPUTED_VALUE"""),15.0)</f>
        <v>15</v>
      </c>
      <c r="K2479" s="139">
        <f>IFERROR(__xludf.DUMMYFUNCTION("""COMPUTED_VALUE"""),30.0)</f>
        <v>30</v>
      </c>
      <c r="L2479" s="139"/>
      <c r="M2479" s="139"/>
      <c r="N2479" s="139"/>
    </row>
    <row r="2480">
      <c r="A2480" s="139" t="str">
        <f>IFERROR(__xludf.DUMMYFUNCTION("""COMPUTED_VALUE"""),"e")</f>
        <v>e</v>
      </c>
      <c r="B2480" s="139">
        <f>IFERROR(__xludf.DUMMYFUNCTION("""COMPUTED_VALUE"""),2.0251201E8)</f>
        <v>202512010</v>
      </c>
      <c r="C2480" s="139" t="str">
        <f>IFERROR(__xludf.DUMMYFUNCTION("""COMPUTED_VALUE"""),"e_sur_00101_savege_Normal_Yellow_Normal_00000")</f>
        <v>e_sur_00101_savege_Normal_Yellow_Normal_00000</v>
      </c>
      <c r="D2480" s="139" t="str">
        <f>IFERROR(__xludf.DUMMYFUNCTION("""COMPUTED_VALUE"""),"e_sur_00101_savege_Normal_Yellow")</f>
        <v>e_sur_00101_savege_Normal_Yellow</v>
      </c>
      <c r="E2480" s="139">
        <f>IFERROR(__xludf.DUMMYFUNCTION("""COMPUTED_VALUE"""),0.0)</f>
        <v>0</v>
      </c>
      <c r="F2480" s="139" t="str">
        <f>IFERROR(__xludf.DUMMYFUNCTION("""COMPUTED_VALUE"""),"Normal")</f>
        <v>Normal</v>
      </c>
      <c r="G2480" s="139"/>
      <c r="H2480" s="139"/>
      <c r="I2480" s="139">
        <f>IFERROR(__xludf.DUMMYFUNCTION("""COMPUTED_VALUE"""),40.0)</f>
        <v>40</v>
      </c>
      <c r="J2480" s="139">
        <f>IFERROR(__xludf.DUMMYFUNCTION("""COMPUTED_VALUE"""),15.0)</f>
        <v>15</v>
      </c>
      <c r="K2480" s="139">
        <f>IFERROR(__xludf.DUMMYFUNCTION("""COMPUTED_VALUE"""),100.0)</f>
        <v>100</v>
      </c>
      <c r="L2480" s="139"/>
      <c r="M2480" s="139"/>
      <c r="N2480" s="139"/>
    </row>
    <row r="2481">
      <c r="A2481" s="139" t="str">
        <f>IFERROR(__xludf.DUMMYFUNCTION("""COMPUTED_VALUE"""),"e")</f>
        <v>e</v>
      </c>
      <c r="B2481" s="139">
        <f>IFERROR(__xludf.DUMMYFUNCTION("""COMPUTED_VALUE"""),2.0251201E8)</f>
        <v>202512010</v>
      </c>
      <c r="C2481" s="139" t="str">
        <f>IFERROR(__xludf.DUMMYFUNCTION("""COMPUTED_VALUE"""),"e_sur_00101_savege_Normal_Blue_Normal_00000")</f>
        <v>e_sur_00101_savege_Normal_Blue_Normal_00000</v>
      </c>
      <c r="D2481" s="139" t="str">
        <f>IFERROR(__xludf.DUMMYFUNCTION("""COMPUTED_VALUE"""),"e_sur_00101_savege_Normal_Blue")</f>
        <v>e_sur_00101_savege_Normal_Blue</v>
      </c>
      <c r="E2481" s="139">
        <f>IFERROR(__xludf.DUMMYFUNCTION("""COMPUTED_VALUE"""),0.0)</f>
        <v>0</v>
      </c>
      <c r="F2481" s="139" t="str">
        <f>IFERROR(__xludf.DUMMYFUNCTION("""COMPUTED_VALUE"""),"Normal")</f>
        <v>Normal</v>
      </c>
      <c r="G2481" s="139"/>
      <c r="H2481" s="139"/>
      <c r="I2481" s="139">
        <f>IFERROR(__xludf.DUMMYFUNCTION("""COMPUTED_VALUE"""),40.0)</f>
        <v>40</v>
      </c>
      <c r="J2481" s="139">
        <f>IFERROR(__xludf.DUMMYFUNCTION("""COMPUTED_VALUE"""),15.0)</f>
        <v>15</v>
      </c>
      <c r="K2481" s="139">
        <f>IFERROR(__xludf.DUMMYFUNCTION("""COMPUTED_VALUE"""),100.0)</f>
        <v>100</v>
      </c>
      <c r="L2481" s="139"/>
      <c r="M2481" s="139"/>
      <c r="N2481" s="139"/>
    </row>
    <row r="2482">
      <c r="A2482" s="139" t="str">
        <f>IFERROR(__xludf.DUMMYFUNCTION("""COMPUTED_VALUE"""),"e")</f>
        <v>e</v>
      </c>
      <c r="B2482" s="139">
        <f>IFERROR(__xludf.DUMMYFUNCTION("""COMPUTED_VALUE"""),2.0251201E8)</f>
        <v>202512010</v>
      </c>
      <c r="C2482" s="139" t="str">
        <f>IFERROR(__xludf.DUMMYFUNCTION("""COMPUTED_VALUE"""),"c_sur_00501_savege_Boss_Blue_Normal_00000")</f>
        <v>c_sur_00501_savege_Boss_Blue_Normal_00000</v>
      </c>
      <c r="D2482" s="139" t="str">
        <f>IFERROR(__xludf.DUMMYFUNCTION("""COMPUTED_VALUE"""),"c_sur_00501_savege_Boss_Blue")</f>
        <v>c_sur_00501_savege_Boss_Blue</v>
      </c>
      <c r="E2482" s="139">
        <f>IFERROR(__xludf.DUMMYFUNCTION("""COMPUTED_VALUE"""),0.0)</f>
        <v>0</v>
      </c>
      <c r="F2482" s="139" t="str">
        <f>IFERROR(__xludf.DUMMYFUNCTION("""COMPUTED_VALUE"""),"Normal")</f>
        <v>Normal</v>
      </c>
      <c r="G2482" s="139"/>
      <c r="H2482" s="139"/>
      <c r="I2482" s="139">
        <f>IFERROR(__xludf.DUMMYFUNCTION("""COMPUTED_VALUE"""),86.0)</f>
        <v>86</v>
      </c>
      <c r="J2482" s="139">
        <f>IFERROR(__xludf.DUMMYFUNCTION("""COMPUTED_VALUE"""),47.0)</f>
        <v>47</v>
      </c>
      <c r="K2482" s="139">
        <f>IFERROR(__xludf.DUMMYFUNCTION("""COMPUTED_VALUE"""),90.0)</f>
        <v>90</v>
      </c>
      <c r="L2482" s="139"/>
      <c r="M2482" s="139"/>
      <c r="N2482" s="139"/>
    </row>
    <row r="2483">
      <c r="A2483" s="139" t="str">
        <f>IFERROR(__xludf.DUMMYFUNCTION("""COMPUTED_VALUE"""),"e")</f>
        <v>e</v>
      </c>
      <c r="B2483" s="139">
        <f>IFERROR(__xludf.DUMMYFUNCTION("""COMPUTED_VALUE"""),2.0251201E8)</f>
        <v>202512010</v>
      </c>
      <c r="C2483" s="139" t="str">
        <f>IFERROR(__xludf.DUMMYFUNCTION("""COMPUTED_VALUE"""),"c_sur_00501_savege_Boss_Blue_Appearance_00001")</f>
        <v>c_sur_00501_savege_Boss_Blue_Appearance_00001</v>
      </c>
      <c r="D2483" s="139" t="str">
        <f>IFERROR(__xludf.DUMMYFUNCTION("""COMPUTED_VALUE"""),"c_sur_00501_savege_Boss_Blue")</f>
        <v>c_sur_00501_savege_Boss_Blue</v>
      </c>
      <c r="E2483" s="139">
        <f>IFERROR(__xludf.DUMMYFUNCTION("""COMPUTED_VALUE"""),0.0)</f>
        <v>0</v>
      </c>
      <c r="F2483" s="139" t="str">
        <f>IFERROR(__xludf.DUMMYFUNCTION("""COMPUTED_VALUE"""),"Appearance")</f>
        <v>Appearance</v>
      </c>
      <c r="G2483" s="139"/>
      <c r="H2483" s="139"/>
      <c r="I2483" s="139">
        <f>IFERROR(__xludf.DUMMYFUNCTION("""COMPUTED_VALUE"""),50.0)</f>
        <v>50</v>
      </c>
      <c r="J2483" s="139">
        <f>IFERROR(__xludf.DUMMYFUNCTION("""COMPUTED_VALUE"""),0.0)</f>
        <v>0</v>
      </c>
      <c r="K2483" s="139">
        <f>IFERROR(__xludf.DUMMYFUNCTION("""COMPUTED_VALUE"""),0.0)</f>
        <v>0</v>
      </c>
      <c r="L2483" s="139"/>
      <c r="M2483" s="139"/>
      <c r="N2483" s="139"/>
    </row>
    <row r="2484">
      <c r="A2484" s="139" t="str">
        <f>IFERROR(__xludf.DUMMYFUNCTION("""COMPUTED_VALUE"""),"e")</f>
        <v>e</v>
      </c>
      <c r="B2484" s="139">
        <f>IFERROR(__xludf.DUMMYFUNCTION("""COMPUTED_VALUE"""),2.0251201E8)</f>
        <v>202512010</v>
      </c>
      <c r="C2484" s="139" t="str">
        <f>IFERROR(__xludf.DUMMYFUNCTION("""COMPUTED_VALUE"""),"c_sur_00501_savege_Boss_Blue_Special_00002")</f>
        <v>c_sur_00501_savege_Boss_Blue_Special_00002</v>
      </c>
      <c r="D2484" s="139" t="str">
        <f>IFERROR(__xludf.DUMMYFUNCTION("""COMPUTED_VALUE"""),"c_sur_00501_savege_Boss_Blue")</f>
        <v>c_sur_00501_savege_Boss_Blue</v>
      </c>
      <c r="E2484" s="139">
        <f>IFERROR(__xludf.DUMMYFUNCTION("""COMPUTED_VALUE"""),0.0)</f>
        <v>0</v>
      </c>
      <c r="F2484" s="139" t="str">
        <f>IFERROR(__xludf.DUMMYFUNCTION("""COMPUTED_VALUE"""),"Special")</f>
        <v>Special</v>
      </c>
      <c r="G2484" s="139"/>
      <c r="H2484" s="139"/>
      <c r="I2484" s="139">
        <f>IFERROR(__xludf.DUMMYFUNCTION("""COMPUTED_VALUE"""),134.0)</f>
        <v>134</v>
      </c>
      <c r="J2484" s="139">
        <f>IFERROR(__xludf.DUMMYFUNCTION("""COMPUTED_VALUE"""),77.0)</f>
        <v>77</v>
      </c>
      <c r="K2484" s="139">
        <f>IFERROR(__xludf.DUMMYFUNCTION("""COMPUTED_VALUE"""),0.0)</f>
        <v>0</v>
      </c>
      <c r="L2484" s="139"/>
      <c r="M2484" s="139"/>
      <c r="N2484" s="139"/>
    </row>
    <row r="2485">
      <c r="A2485" s="139" t="str">
        <f>IFERROR(__xludf.DUMMYFUNCTION("""COMPUTED_VALUE"""),"e")</f>
        <v>e</v>
      </c>
      <c r="B2485" s="139">
        <f>IFERROR(__xludf.DUMMYFUNCTION("""COMPUTED_VALUE"""),2.0251201E8)</f>
        <v>202512010</v>
      </c>
      <c r="C2485" s="139" t="str">
        <f>IFERROR(__xludf.DUMMYFUNCTION("""COMPUTED_VALUE"""),"c_sur_00501_savege_Btrans_Boss_Blue_Normal_00000")</f>
        <v>c_sur_00501_savege_Btrans_Boss_Blue_Normal_00000</v>
      </c>
      <c r="D2485" s="139" t="str">
        <f>IFERROR(__xludf.DUMMYFUNCTION("""COMPUTED_VALUE"""),"c_sur_00501_savege_Btrans_Boss_Blue")</f>
        <v>c_sur_00501_savege_Btrans_Boss_Blue</v>
      </c>
      <c r="E2485" s="139">
        <f>IFERROR(__xludf.DUMMYFUNCTION("""COMPUTED_VALUE"""),0.0)</f>
        <v>0</v>
      </c>
      <c r="F2485" s="139" t="str">
        <f>IFERROR(__xludf.DUMMYFUNCTION("""COMPUTED_VALUE"""),"Normal")</f>
        <v>Normal</v>
      </c>
      <c r="G2485" s="139"/>
      <c r="H2485" s="139"/>
      <c r="I2485" s="139">
        <f>IFERROR(__xludf.DUMMYFUNCTION("""COMPUTED_VALUE"""),86.0)</f>
        <v>86</v>
      </c>
      <c r="J2485" s="139">
        <f>IFERROR(__xludf.DUMMYFUNCTION("""COMPUTED_VALUE"""),47.0)</f>
        <v>47</v>
      </c>
      <c r="K2485" s="139">
        <f>IFERROR(__xludf.DUMMYFUNCTION("""COMPUTED_VALUE"""),90.0)</f>
        <v>90</v>
      </c>
      <c r="L2485" s="139"/>
      <c r="M2485" s="139"/>
      <c r="N2485" s="139"/>
    </row>
    <row r="2486">
      <c r="A2486" s="139" t="str">
        <f>IFERROR(__xludf.DUMMYFUNCTION("""COMPUTED_VALUE"""),"e")</f>
        <v>e</v>
      </c>
      <c r="B2486" s="139">
        <f>IFERROR(__xludf.DUMMYFUNCTION("""COMPUTED_VALUE"""),2.0251201E8)</f>
        <v>202512010</v>
      </c>
      <c r="C2486" s="139" t="str">
        <f>IFERROR(__xludf.DUMMYFUNCTION("""COMPUTED_VALUE"""),"c_sur_00501_savege_Btrans_Boss_Blue_Appearance_00001")</f>
        <v>c_sur_00501_savege_Btrans_Boss_Blue_Appearance_00001</v>
      </c>
      <c r="D2486" s="139" t="str">
        <f>IFERROR(__xludf.DUMMYFUNCTION("""COMPUTED_VALUE"""),"c_sur_00501_savege_Btrans_Boss_Blue")</f>
        <v>c_sur_00501_savege_Btrans_Boss_Blue</v>
      </c>
      <c r="E2486" s="139">
        <f>IFERROR(__xludf.DUMMYFUNCTION("""COMPUTED_VALUE"""),0.0)</f>
        <v>0</v>
      </c>
      <c r="F2486" s="139" t="str">
        <f>IFERROR(__xludf.DUMMYFUNCTION("""COMPUTED_VALUE"""),"Appearance")</f>
        <v>Appearance</v>
      </c>
      <c r="G2486" s="139"/>
      <c r="H2486" s="139"/>
      <c r="I2486" s="139">
        <f>IFERROR(__xludf.DUMMYFUNCTION("""COMPUTED_VALUE"""),50.0)</f>
        <v>50</v>
      </c>
      <c r="J2486" s="139">
        <f>IFERROR(__xludf.DUMMYFUNCTION("""COMPUTED_VALUE"""),0.0)</f>
        <v>0</v>
      </c>
      <c r="K2486" s="139">
        <f>IFERROR(__xludf.DUMMYFUNCTION("""COMPUTED_VALUE"""),0.0)</f>
        <v>0</v>
      </c>
      <c r="L2486" s="139"/>
      <c r="M2486" s="139"/>
      <c r="N2486" s="139"/>
    </row>
    <row r="2487">
      <c r="A2487" s="139" t="str">
        <f>IFERROR(__xludf.DUMMYFUNCTION("""COMPUTED_VALUE"""),"e")</f>
        <v>e</v>
      </c>
      <c r="B2487" s="139">
        <f>IFERROR(__xludf.DUMMYFUNCTION("""COMPUTED_VALUE"""),2.0251201E8)</f>
        <v>202512010</v>
      </c>
      <c r="C2487" s="139" t="str">
        <f>IFERROR(__xludf.DUMMYFUNCTION("""COMPUTED_VALUE"""),"c_sur_00501_savege_Btrans_Boss_Blue_Special_00002")</f>
        <v>c_sur_00501_savege_Btrans_Boss_Blue_Special_00002</v>
      </c>
      <c r="D2487" s="139" t="str">
        <f>IFERROR(__xludf.DUMMYFUNCTION("""COMPUTED_VALUE"""),"c_sur_00501_savege_Btrans_Boss_Blue")</f>
        <v>c_sur_00501_savege_Btrans_Boss_Blue</v>
      </c>
      <c r="E2487" s="139">
        <f>IFERROR(__xludf.DUMMYFUNCTION("""COMPUTED_VALUE"""),0.0)</f>
        <v>0</v>
      </c>
      <c r="F2487" s="139" t="str">
        <f>IFERROR(__xludf.DUMMYFUNCTION("""COMPUTED_VALUE"""),"Special")</f>
        <v>Special</v>
      </c>
      <c r="G2487" s="139"/>
      <c r="H2487" s="139"/>
      <c r="I2487" s="139">
        <f>IFERROR(__xludf.DUMMYFUNCTION("""COMPUTED_VALUE"""),134.0)</f>
        <v>134</v>
      </c>
      <c r="J2487" s="139">
        <f>IFERROR(__xludf.DUMMYFUNCTION("""COMPUTED_VALUE"""),77.0)</f>
        <v>77</v>
      </c>
      <c r="K2487" s="139">
        <f>IFERROR(__xludf.DUMMYFUNCTION("""COMPUTED_VALUE"""),0.0)</f>
        <v>0</v>
      </c>
      <c r="L2487" s="139"/>
      <c r="M2487" s="139"/>
      <c r="N2487" s="139"/>
    </row>
    <row r="2488">
      <c r="A2488" s="139" t="str">
        <f>IFERROR(__xludf.DUMMYFUNCTION("""COMPUTED_VALUE"""),"e")</f>
        <v>e</v>
      </c>
      <c r="B2488" s="139">
        <f>IFERROR(__xludf.DUMMYFUNCTION("""COMPUTED_VALUE"""),2.0251201E8)</f>
        <v>202512010</v>
      </c>
      <c r="C2488" s="139" t="str">
        <f>IFERROR(__xludf.DUMMYFUNCTION("""COMPUTED_VALUE"""),"c_sur_00501_savege_Atrans_Boss_Blue_Normal_00000")</f>
        <v>c_sur_00501_savege_Atrans_Boss_Blue_Normal_00000</v>
      </c>
      <c r="D2488" s="139" t="str">
        <f>IFERROR(__xludf.DUMMYFUNCTION("""COMPUTED_VALUE"""),"c_sur_00501_savege_Atrans_Boss_Blue")</f>
        <v>c_sur_00501_savege_Atrans_Boss_Blue</v>
      </c>
      <c r="E2488" s="139">
        <f>IFERROR(__xludf.DUMMYFUNCTION("""COMPUTED_VALUE"""),0.0)</f>
        <v>0</v>
      </c>
      <c r="F2488" s="139" t="str">
        <f>IFERROR(__xludf.DUMMYFUNCTION("""COMPUTED_VALUE"""),"Normal")</f>
        <v>Normal</v>
      </c>
      <c r="G2488" s="139"/>
      <c r="H2488" s="139"/>
      <c r="I2488" s="139">
        <f>IFERROR(__xludf.DUMMYFUNCTION("""COMPUTED_VALUE"""),86.0)</f>
        <v>86</v>
      </c>
      <c r="J2488" s="139">
        <f>IFERROR(__xludf.DUMMYFUNCTION("""COMPUTED_VALUE"""),47.0)</f>
        <v>47</v>
      </c>
      <c r="K2488" s="139">
        <f>IFERROR(__xludf.DUMMYFUNCTION("""COMPUTED_VALUE"""),90.0)</f>
        <v>90</v>
      </c>
      <c r="L2488" s="139"/>
      <c r="M2488" s="139"/>
      <c r="N2488" s="139"/>
    </row>
    <row r="2489">
      <c r="A2489" s="139" t="str">
        <f>IFERROR(__xludf.DUMMYFUNCTION("""COMPUTED_VALUE"""),"e")</f>
        <v>e</v>
      </c>
      <c r="B2489" s="139">
        <f>IFERROR(__xludf.DUMMYFUNCTION("""COMPUTED_VALUE"""),2.0251201E8)</f>
        <v>202512010</v>
      </c>
      <c r="C2489" s="139" t="str">
        <f>IFERROR(__xludf.DUMMYFUNCTION("""COMPUTED_VALUE"""),"c_sur_00501_savege_Atrans_Boss_Blue_Appearance_00001")</f>
        <v>c_sur_00501_savege_Atrans_Boss_Blue_Appearance_00001</v>
      </c>
      <c r="D2489" s="139" t="str">
        <f>IFERROR(__xludf.DUMMYFUNCTION("""COMPUTED_VALUE"""),"c_sur_00501_savege_Atrans_Boss_Blue")</f>
        <v>c_sur_00501_savege_Atrans_Boss_Blue</v>
      </c>
      <c r="E2489" s="139">
        <f>IFERROR(__xludf.DUMMYFUNCTION("""COMPUTED_VALUE"""),0.0)</f>
        <v>0</v>
      </c>
      <c r="F2489" s="139" t="str">
        <f>IFERROR(__xludf.DUMMYFUNCTION("""COMPUTED_VALUE"""),"Appearance")</f>
        <v>Appearance</v>
      </c>
      <c r="G2489" s="139"/>
      <c r="H2489" s="139"/>
      <c r="I2489" s="139">
        <f>IFERROR(__xludf.DUMMYFUNCTION("""COMPUTED_VALUE"""),50.0)</f>
        <v>50</v>
      </c>
      <c r="J2489" s="139">
        <f>IFERROR(__xludf.DUMMYFUNCTION("""COMPUTED_VALUE"""),0.0)</f>
        <v>0</v>
      </c>
      <c r="K2489" s="139">
        <f>IFERROR(__xludf.DUMMYFUNCTION("""COMPUTED_VALUE"""),0.0)</f>
        <v>0</v>
      </c>
      <c r="L2489" s="139"/>
      <c r="M2489" s="139"/>
      <c r="N2489" s="139"/>
    </row>
    <row r="2490">
      <c r="A2490" s="139" t="str">
        <f>IFERROR(__xludf.DUMMYFUNCTION("""COMPUTED_VALUE"""),"e")</f>
        <v>e</v>
      </c>
      <c r="B2490" s="139">
        <f>IFERROR(__xludf.DUMMYFUNCTION("""COMPUTED_VALUE"""),2.0251201E8)</f>
        <v>202512010</v>
      </c>
      <c r="C2490" s="139" t="str">
        <f>IFERROR(__xludf.DUMMYFUNCTION("""COMPUTED_VALUE"""),"c_sur_00501_savege_Atrans_Boss_Blue_Special_00002")</f>
        <v>c_sur_00501_savege_Atrans_Boss_Blue_Special_00002</v>
      </c>
      <c r="D2490" s="139" t="str">
        <f>IFERROR(__xludf.DUMMYFUNCTION("""COMPUTED_VALUE"""),"c_sur_00501_savege_Atrans_Boss_Blue")</f>
        <v>c_sur_00501_savege_Atrans_Boss_Blue</v>
      </c>
      <c r="E2490" s="139">
        <f>IFERROR(__xludf.DUMMYFUNCTION("""COMPUTED_VALUE"""),0.0)</f>
        <v>0</v>
      </c>
      <c r="F2490" s="139" t="str">
        <f>IFERROR(__xludf.DUMMYFUNCTION("""COMPUTED_VALUE"""),"Special")</f>
        <v>Special</v>
      </c>
      <c r="G2490" s="139"/>
      <c r="H2490" s="139"/>
      <c r="I2490" s="139">
        <f>IFERROR(__xludf.DUMMYFUNCTION("""COMPUTED_VALUE"""),134.0)</f>
        <v>134</v>
      </c>
      <c r="J2490" s="139">
        <f>IFERROR(__xludf.DUMMYFUNCTION("""COMPUTED_VALUE"""),77.0)</f>
        <v>77</v>
      </c>
      <c r="K2490" s="139">
        <f>IFERROR(__xludf.DUMMYFUNCTION("""COMPUTED_VALUE"""),0.0)</f>
        <v>0</v>
      </c>
      <c r="L2490" s="139"/>
      <c r="M2490" s="139"/>
      <c r="N2490" s="139"/>
    </row>
    <row r="2491">
      <c r="A2491" s="139" t="str">
        <f>IFERROR(__xludf.DUMMYFUNCTION("""COMPUTED_VALUE"""),"e")</f>
        <v>e</v>
      </c>
      <c r="B2491" s="139">
        <f>IFERROR(__xludf.DUMMYFUNCTION("""COMPUTED_VALUE"""),2.0251201E8)</f>
        <v>202512010</v>
      </c>
      <c r="C2491" s="139" t="str">
        <f>IFERROR(__xludf.DUMMYFUNCTION("""COMPUTED_VALUE"""),"c_sur_00701_sur1_advent_Boss_Blue_Normal_00000")</f>
        <v>c_sur_00701_sur1_advent_Boss_Blue_Normal_00000</v>
      </c>
      <c r="D2491" s="139" t="str">
        <f>IFERROR(__xludf.DUMMYFUNCTION("""COMPUTED_VALUE"""),"c_sur_00701_sur1_advent_Boss_Blue")</f>
        <v>c_sur_00701_sur1_advent_Boss_Blue</v>
      </c>
      <c r="E2491" s="139">
        <f>IFERROR(__xludf.DUMMYFUNCTION("""COMPUTED_VALUE"""),0.0)</f>
        <v>0</v>
      </c>
      <c r="F2491" s="139" t="str">
        <f>IFERROR(__xludf.DUMMYFUNCTION("""COMPUTED_VALUE"""),"Normal")</f>
        <v>Normal</v>
      </c>
      <c r="G2491" s="139"/>
      <c r="H2491" s="139"/>
      <c r="I2491" s="139">
        <f>IFERROR(__xludf.DUMMYFUNCTION("""COMPUTED_VALUE"""),54.0)</f>
        <v>54</v>
      </c>
      <c r="J2491" s="139">
        <f>IFERROR(__xludf.DUMMYFUNCTION("""COMPUTED_VALUE"""),14.0)</f>
        <v>14</v>
      </c>
      <c r="K2491" s="139">
        <f>IFERROR(__xludf.DUMMYFUNCTION("""COMPUTED_VALUE"""),100.0)</f>
        <v>100</v>
      </c>
      <c r="L2491" s="139"/>
      <c r="M2491" s="139"/>
      <c r="N2491" s="139"/>
    </row>
    <row r="2492">
      <c r="A2492" s="139" t="str">
        <f>IFERROR(__xludf.DUMMYFUNCTION("""COMPUTED_VALUE"""),"e")</f>
        <v>e</v>
      </c>
      <c r="B2492" s="139">
        <f>IFERROR(__xludf.DUMMYFUNCTION("""COMPUTED_VALUE"""),2.0251201E8)</f>
        <v>202512010</v>
      </c>
      <c r="C2492" s="139" t="str">
        <f>IFERROR(__xludf.DUMMYFUNCTION("""COMPUTED_VALUE"""),"c_sur_00701_sur1_advent_Boss_Blue_Appearance_00001")</f>
        <v>c_sur_00701_sur1_advent_Boss_Blue_Appearance_00001</v>
      </c>
      <c r="D2492" s="139" t="str">
        <f>IFERROR(__xludf.DUMMYFUNCTION("""COMPUTED_VALUE"""),"c_sur_00701_sur1_advent_Boss_Blue")</f>
        <v>c_sur_00701_sur1_advent_Boss_Blue</v>
      </c>
      <c r="E2492" s="139">
        <f>IFERROR(__xludf.DUMMYFUNCTION("""COMPUTED_VALUE"""),0.0)</f>
        <v>0</v>
      </c>
      <c r="F2492" s="139" t="str">
        <f>IFERROR(__xludf.DUMMYFUNCTION("""COMPUTED_VALUE"""),"Appearance")</f>
        <v>Appearance</v>
      </c>
      <c r="G2492" s="139"/>
      <c r="H2492" s="139"/>
      <c r="I2492" s="139">
        <f>IFERROR(__xludf.DUMMYFUNCTION("""COMPUTED_VALUE"""),50.0)</f>
        <v>50</v>
      </c>
      <c r="J2492" s="139">
        <f>IFERROR(__xludf.DUMMYFUNCTION("""COMPUTED_VALUE"""),0.0)</f>
        <v>0</v>
      </c>
      <c r="K2492" s="139">
        <f>IFERROR(__xludf.DUMMYFUNCTION("""COMPUTED_VALUE"""),0.0)</f>
        <v>0</v>
      </c>
      <c r="L2492" s="139"/>
      <c r="M2492" s="139"/>
      <c r="N2492" s="139"/>
    </row>
    <row r="2493">
      <c r="A2493" s="139" t="str">
        <f>IFERROR(__xludf.DUMMYFUNCTION("""COMPUTED_VALUE"""),"e")</f>
        <v>e</v>
      </c>
      <c r="B2493" s="139">
        <f>IFERROR(__xludf.DUMMYFUNCTION("""COMPUTED_VALUE"""),2.0251201E8)</f>
        <v>202512010</v>
      </c>
      <c r="C2493" s="139" t="str">
        <f>IFERROR(__xludf.DUMMYFUNCTION("""COMPUTED_VALUE"""),"c_sur_00701_sur1_advent_Boss_Blue_Special_00002")</f>
        <v>c_sur_00701_sur1_advent_Boss_Blue_Special_00002</v>
      </c>
      <c r="D2493" s="139" t="str">
        <f>IFERROR(__xludf.DUMMYFUNCTION("""COMPUTED_VALUE"""),"c_sur_00701_sur1_advent_Boss_Blue")</f>
        <v>c_sur_00701_sur1_advent_Boss_Blue</v>
      </c>
      <c r="E2493" s="139">
        <f>IFERROR(__xludf.DUMMYFUNCTION("""COMPUTED_VALUE"""),0.0)</f>
        <v>0</v>
      </c>
      <c r="F2493" s="139" t="str">
        <f>IFERROR(__xludf.DUMMYFUNCTION("""COMPUTED_VALUE"""),"Special")</f>
        <v>Special</v>
      </c>
      <c r="G2493" s="139"/>
      <c r="H2493" s="139"/>
      <c r="I2493" s="139">
        <f>IFERROR(__xludf.DUMMYFUNCTION("""COMPUTED_VALUE"""),92.0)</f>
        <v>92</v>
      </c>
      <c r="J2493" s="139">
        <f>IFERROR(__xludf.DUMMYFUNCTION("""COMPUTED_VALUE"""),0.0)</f>
        <v>0</v>
      </c>
      <c r="K2493" s="139">
        <f>IFERROR(__xludf.DUMMYFUNCTION("""COMPUTED_VALUE"""),0.0)</f>
        <v>0</v>
      </c>
      <c r="L2493" s="139"/>
      <c r="M2493" s="139"/>
      <c r="N2493" s="139"/>
    </row>
    <row r="2494">
      <c r="A2494" s="139" t="str">
        <f>IFERROR(__xludf.DUMMYFUNCTION("""COMPUTED_VALUE"""),"e")</f>
        <v>e</v>
      </c>
      <c r="B2494" s="139">
        <f>IFERROR(__xludf.DUMMYFUNCTION("""COMPUTED_VALUE"""),2.0251201E8)</f>
        <v>202512010</v>
      </c>
      <c r="C2494" s="139" t="str">
        <f>IFERROR(__xludf.DUMMYFUNCTION("""COMPUTED_VALUE"""),"e_sur_00101_sur1_advent_Normal_Red_Normal_00000")</f>
        <v>e_sur_00101_sur1_advent_Normal_Red_Normal_00000</v>
      </c>
      <c r="D2494" s="139" t="str">
        <f>IFERROR(__xludf.DUMMYFUNCTION("""COMPUTED_VALUE"""),"e_sur_00101_sur1_advent_Normal_Red")</f>
        <v>e_sur_00101_sur1_advent_Normal_Red</v>
      </c>
      <c r="E2494" s="139">
        <f>IFERROR(__xludf.DUMMYFUNCTION("""COMPUTED_VALUE"""),0.0)</f>
        <v>0</v>
      </c>
      <c r="F2494" s="139" t="str">
        <f>IFERROR(__xludf.DUMMYFUNCTION("""COMPUTED_VALUE"""),"Normal")</f>
        <v>Normal</v>
      </c>
      <c r="G2494" s="139"/>
      <c r="H2494" s="139"/>
      <c r="I2494" s="139">
        <f>IFERROR(__xludf.DUMMYFUNCTION("""COMPUTED_VALUE"""),40.0)</f>
        <v>40</v>
      </c>
      <c r="J2494" s="139">
        <f>IFERROR(__xludf.DUMMYFUNCTION("""COMPUTED_VALUE"""),15.0)</f>
        <v>15</v>
      </c>
      <c r="K2494" s="139">
        <f>IFERROR(__xludf.DUMMYFUNCTION("""COMPUTED_VALUE"""),70.0)</f>
        <v>70</v>
      </c>
      <c r="L2494" s="139"/>
      <c r="M2494" s="139"/>
      <c r="N2494" s="139"/>
    </row>
    <row r="2495">
      <c r="A2495" s="139" t="str">
        <f>IFERROR(__xludf.DUMMYFUNCTION("""COMPUTED_VALUE"""),"e")</f>
        <v>e</v>
      </c>
      <c r="B2495" s="139">
        <f>IFERROR(__xludf.DUMMYFUNCTION("""COMPUTED_VALUE"""),2.0251201E8)</f>
        <v>202512010</v>
      </c>
      <c r="C2495" s="139" t="str">
        <f>IFERROR(__xludf.DUMMYFUNCTION("""COMPUTED_VALUE"""),"e_glo_00001_sur1_advent_Normal_Green_Normal_00000")</f>
        <v>e_glo_00001_sur1_advent_Normal_Green_Normal_00000</v>
      </c>
      <c r="D2495" s="139" t="str">
        <f>IFERROR(__xludf.DUMMYFUNCTION("""COMPUTED_VALUE"""),"e_glo_00001_sur1_advent_Normal_Green")</f>
        <v>e_glo_00001_sur1_advent_Normal_Green</v>
      </c>
      <c r="E2495" s="139">
        <f>IFERROR(__xludf.DUMMYFUNCTION("""COMPUTED_VALUE"""),0.0)</f>
        <v>0</v>
      </c>
      <c r="F2495" s="139" t="str">
        <f>IFERROR(__xludf.DUMMYFUNCTION("""COMPUTED_VALUE"""),"Normal")</f>
        <v>Normal</v>
      </c>
      <c r="G2495" s="139"/>
      <c r="H2495" s="139"/>
      <c r="I2495" s="139">
        <f>IFERROR(__xludf.DUMMYFUNCTION("""COMPUTED_VALUE"""),50.0)</f>
        <v>50</v>
      </c>
      <c r="J2495" s="139">
        <f>IFERROR(__xludf.DUMMYFUNCTION("""COMPUTED_VALUE"""),25.0)</f>
        <v>25</v>
      </c>
      <c r="K2495" s="139">
        <f>IFERROR(__xludf.DUMMYFUNCTION("""COMPUTED_VALUE"""),60.0)</f>
        <v>60</v>
      </c>
      <c r="L2495" s="139"/>
      <c r="M2495" s="139"/>
      <c r="N2495" s="139"/>
    </row>
    <row r="2496">
      <c r="A2496" s="139" t="str">
        <f>IFERROR(__xludf.DUMMYFUNCTION("""COMPUTED_VALUE"""),"e")</f>
        <v>e</v>
      </c>
      <c r="B2496" s="139">
        <f>IFERROR(__xludf.DUMMYFUNCTION("""COMPUTED_VALUE"""),2.0251201E8)</f>
        <v>202512010</v>
      </c>
      <c r="C2496" s="139" t="str">
        <f>IFERROR(__xludf.DUMMYFUNCTION("""COMPUTED_VALUE"""),"e_glo_00001_sur1_advent_Normal_Blue_Normal_00000")</f>
        <v>e_glo_00001_sur1_advent_Normal_Blue_Normal_00000</v>
      </c>
      <c r="D2496" s="139" t="str">
        <f>IFERROR(__xludf.DUMMYFUNCTION("""COMPUTED_VALUE"""),"e_glo_00001_sur1_advent_Normal_Blue")</f>
        <v>e_glo_00001_sur1_advent_Normal_Blue</v>
      </c>
      <c r="E2496" s="139">
        <f>IFERROR(__xludf.DUMMYFUNCTION("""COMPUTED_VALUE"""),0.0)</f>
        <v>0</v>
      </c>
      <c r="F2496" s="139" t="str">
        <f>IFERROR(__xludf.DUMMYFUNCTION("""COMPUTED_VALUE"""),"Normal")</f>
        <v>Normal</v>
      </c>
      <c r="G2496" s="139"/>
      <c r="H2496" s="139"/>
      <c r="I2496" s="139">
        <f>IFERROR(__xludf.DUMMYFUNCTION("""COMPUTED_VALUE"""),50.0)</f>
        <v>50</v>
      </c>
      <c r="J2496" s="139">
        <f>IFERROR(__xludf.DUMMYFUNCTION("""COMPUTED_VALUE"""),25.0)</f>
        <v>25</v>
      </c>
      <c r="K2496" s="139">
        <f>IFERROR(__xludf.DUMMYFUNCTION("""COMPUTED_VALUE"""),60.0)</f>
        <v>60</v>
      </c>
      <c r="L2496" s="139"/>
      <c r="M2496" s="139"/>
      <c r="N2496" s="139"/>
    </row>
    <row r="2497">
      <c r="A2497" s="139" t="str">
        <f>IFERROR(__xludf.DUMMYFUNCTION("""COMPUTED_VALUE"""),"e")</f>
        <v>e</v>
      </c>
      <c r="B2497" s="139">
        <f>IFERROR(__xludf.DUMMYFUNCTION("""COMPUTED_VALUE"""),2.0251201E8)</f>
        <v>202512010</v>
      </c>
      <c r="C2497" s="139" t="str">
        <f>IFERROR(__xludf.DUMMYFUNCTION("""COMPUTED_VALUE"""),"e_sur_00101_aobaget_Normal_Blue_Normal_00000")</f>
        <v>e_sur_00101_aobaget_Normal_Blue_Normal_00000</v>
      </c>
      <c r="D2497" s="139" t="str">
        <f>IFERROR(__xludf.DUMMYFUNCTION("""COMPUTED_VALUE"""),"e_sur_00101_aobaget_Normal_Blue")</f>
        <v>e_sur_00101_aobaget_Normal_Blue</v>
      </c>
      <c r="E2497" s="139">
        <f>IFERROR(__xludf.DUMMYFUNCTION("""COMPUTED_VALUE"""),0.0)</f>
        <v>0</v>
      </c>
      <c r="F2497" s="139" t="str">
        <f>IFERROR(__xludf.DUMMYFUNCTION("""COMPUTED_VALUE"""),"Normal")</f>
        <v>Normal</v>
      </c>
      <c r="G2497" s="139"/>
      <c r="H2497" s="139"/>
      <c r="I2497" s="139">
        <f>IFERROR(__xludf.DUMMYFUNCTION("""COMPUTED_VALUE"""),40.0)</f>
        <v>40</v>
      </c>
      <c r="J2497" s="139">
        <f>IFERROR(__xludf.DUMMYFUNCTION("""COMPUTED_VALUE"""),15.0)</f>
        <v>15</v>
      </c>
      <c r="K2497" s="139">
        <f>IFERROR(__xludf.DUMMYFUNCTION("""COMPUTED_VALUE"""),35.0)</f>
        <v>35</v>
      </c>
      <c r="L2497" s="139"/>
      <c r="M2497" s="139"/>
      <c r="N2497" s="139"/>
    </row>
    <row r="2498">
      <c r="A2498" s="139" t="str">
        <f>IFERROR(__xludf.DUMMYFUNCTION("""COMPUTED_VALUE"""),"e")</f>
        <v>e</v>
      </c>
      <c r="B2498" s="139">
        <f>IFERROR(__xludf.DUMMYFUNCTION("""COMPUTED_VALUE"""),2.0251201E8)</f>
        <v>202512010</v>
      </c>
      <c r="C2498" s="139" t="str">
        <f>IFERROR(__xludf.DUMMYFUNCTION("""COMPUTED_VALUE"""),"e_sur_00101_aobaget_Normal_Red_Normal_00000")</f>
        <v>e_sur_00101_aobaget_Normal_Red_Normal_00000</v>
      </c>
      <c r="D2498" s="139" t="str">
        <f>IFERROR(__xludf.DUMMYFUNCTION("""COMPUTED_VALUE"""),"e_sur_00101_aobaget_Normal_Red")</f>
        <v>e_sur_00101_aobaget_Normal_Red</v>
      </c>
      <c r="E2498" s="139">
        <f>IFERROR(__xludf.DUMMYFUNCTION("""COMPUTED_VALUE"""),0.0)</f>
        <v>0</v>
      </c>
      <c r="F2498" s="139" t="str">
        <f>IFERROR(__xludf.DUMMYFUNCTION("""COMPUTED_VALUE"""),"Normal")</f>
        <v>Normal</v>
      </c>
      <c r="G2498" s="139"/>
      <c r="H2498" s="139"/>
      <c r="I2498" s="139">
        <f>IFERROR(__xludf.DUMMYFUNCTION("""COMPUTED_VALUE"""),40.0)</f>
        <v>40</v>
      </c>
      <c r="J2498" s="139">
        <f>IFERROR(__xludf.DUMMYFUNCTION("""COMPUTED_VALUE"""),15.0)</f>
        <v>15</v>
      </c>
      <c r="K2498" s="139">
        <f>IFERROR(__xludf.DUMMYFUNCTION("""COMPUTED_VALUE"""),35.0)</f>
        <v>35</v>
      </c>
      <c r="L2498" s="139"/>
      <c r="M2498" s="139"/>
      <c r="N2498" s="139"/>
    </row>
    <row r="2499">
      <c r="A2499" s="139" t="str">
        <f>IFERROR(__xludf.DUMMYFUNCTION("""COMPUTED_VALUE"""),"e")</f>
        <v>e</v>
      </c>
      <c r="B2499" s="139">
        <f>IFERROR(__xludf.DUMMYFUNCTION("""COMPUTED_VALUE"""),2.0251201E8)</f>
        <v>202512010</v>
      </c>
      <c r="C2499" s="139" t="str">
        <f>IFERROR(__xludf.DUMMYFUNCTION("""COMPUTED_VALUE"""),"e_sur_00101_aobaget_Normal_Colorless_Normal_00000")</f>
        <v>e_sur_00101_aobaget_Normal_Colorless_Normal_00000</v>
      </c>
      <c r="D2499" s="139" t="str">
        <f>IFERROR(__xludf.DUMMYFUNCTION("""COMPUTED_VALUE"""),"e_sur_00101_aobaget_Normal_Colorless")</f>
        <v>e_sur_00101_aobaget_Normal_Colorless</v>
      </c>
      <c r="E2499" s="139">
        <f>IFERROR(__xludf.DUMMYFUNCTION("""COMPUTED_VALUE"""),0.0)</f>
        <v>0</v>
      </c>
      <c r="F2499" s="139" t="str">
        <f>IFERROR(__xludf.DUMMYFUNCTION("""COMPUTED_VALUE"""),"Normal")</f>
        <v>Normal</v>
      </c>
      <c r="G2499" s="139"/>
      <c r="H2499" s="139"/>
      <c r="I2499" s="139">
        <f>IFERROR(__xludf.DUMMYFUNCTION("""COMPUTED_VALUE"""),40.0)</f>
        <v>40</v>
      </c>
      <c r="J2499" s="139">
        <f>IFERROR(__xludf.DUMMYFUNCTION("""COMPUTED_VALUE"""),15.0)</f>
        <v>15</v>
      </c>
      <c r="K2499" s="139">
        <f>IFERROR(__xludf.DUMMYFUNCTION("""COMPUTED_VALUE"""),35.0)</f>
        <v>35</v>
      </c>
      <c r="L2499" s="139"/>
      <c r="M2499" s="139"/>
      <c r="N2499" s="139"/>
    </row>
    <row r="2500">
      <c r="A2500" s="139" t="str">
        <f>IFERROR(__xludf.DUMMYFUNCTION("""COMPUTED_VALUE"""),"e")</f>
        <v>e</v>
      </c>
      <c r="B2500" s="139">
        <f>IFERROR(__xludf.DUMMYFUNCTION("""COMPUTED_VALUE"""),2.0251201E8)</f>
        <v>202512010</v>
      </c>
      <c r="C2500" s="139" t="str">
        <f>IFERROR(__xludf.DUMMYFUNCTION("""COMPUTED_VALUE"""),"c_sur_00701_aobaget_Normal_Colorless_Normal_00000")</f>
        <v>c_sur_00701_aobaget_Normal_Colorless_Normal_00000</v>
      </c>
      <c r="D2500" s="139" t="str">
        <f>IFERROR(__xludf.DUMMYFUNCTION("""COMPUTED_VALUE"""),"c_sur_00701_aobaget_Normal_Colorless")</f>
        <v>c_sur_00701_aobaget_Normal_Colorless</v>
      </c>
      <c r="E2500" s="139">
        <f>IFERROR(__xludf.DUMMYFUNCTION("""COMPUTED_VALUE"""),0.0)</f>
        <v>0</v>
      </c>
      <c r="F2500" s="139" t="str">
        <f>IFERROR(__xludf.DUMMYFUNCTION("""COMPUTED_VALUE"""),"Normal")</f>
        <v>Normal</v>
      </c>
      <c r="G2500" s="139"/>
      <c r="H2500" s="139"/>
      <c r="I2500" s="139">
        <f>IFERROR(__xludf.DUMMYFUNCTION("""COMPUTED_VALUE"""),54.0)</f>
        <v>54</v>
      </c>
      <c r="J2500" s="139">
        <f>IFERROR(__xludf.DUMMYFUNCTION("""COMPUTED_VALUE"""),14.0)</f>
        <v>14</v>
      </c>
      <c r="K2500" s="139">
        <f>IFERROR(__xludf.DUMMYFUNCTION("""COMPUTED_VALUE"""),100.0)</f>
        <v>100</v>
      </c>
      <c r="L2500" s="139"/>
      <c r="M2500" s="139"/>
      <c r="N2500" s="139"/>
    </row>
    <row r="2501">
      <c r="A2501" s="139" t="str">
        <f>IFERROR(__xludf.DUMMYFUNCTION("""COMPUTED_VALUE"""),"e")</f>
        <v>e</v>
      </c>
      <c r="B2501" s="139">
        <f>IFERROR(__xludf.DUMMYFUNCTION("""COMPUTED_VALUE"""),2.0251201E8)</f>
        <v>202512010</v>
      </c>
      <c r="C2501" s="139" t="str">
        <f>IFERROR(__xludf.DUMMYFUNCTION("""COMPUTED_VALUE"""),"c_sur_00701_aobaget_Normal_Colorless_Special_00001")</f>
        <v>c_sur_00701_aobaget_Normal_Colorless_Special_00001</v>
      </c>
      <c r="D2501" s="139" t="str">
        <f>IFERROR(__xludf.DUMMYFUNCTION("""COMPUTED_VALUE"""),"c_sur_00701_aobaget_Normal_Colorless")</f>
        <v>c_sur_00701_aobaget_Normal_Colorless</v>
      </c>
      <c r="E2501" s="139">
        <f>IFERROR(__xludf.DUMMYFUNCTION("""COMPUTED_VALUE"""),0.0)</f>
        <v>0</v>
      </c>
      <c r="F2501" s="139" t="str">
        <f>IFERROR(__xludf.DUMMYFUNCTION("""COMPUTED_VALUE"""),"Special")</f>
        <v>Special</v>
      </c>
      <c r="G2501" s="139"/>
      <c r="H2501" s="139"/>
      <c r="I2501" s="139">
        <f>IFERROR(__xludf.DUMMYFUNCTION("""COMPUTED_VALUE"""),92.0)</f>
        <v>92</v>
      </c>
      <c r="J2501" s="139">
        <f>IFERROR(__xludf.DUMMYFUNCTION("""COMPUTED_VALUE"""),0.0)</f>
        <v>0</v>
      </c>
      <c r="K2501" s="139">
        <f>IFERROR(__xludf.DUMMYFUNCTION("""COMPUTED_VALUE"""),0.0)</f>
        <v>0</v>
      </c>
      <c r="L2501" s="139"/>
      <c r="M2501" s="139"/>
      <c r="N2501" s="139"/>
    </row>
    <row r="2502">
      <c r="A2502" s="139" t="str">
        <f>IFERROR(__xludf.DUMMYFUNCTION("""COMPUTED_VALUE"""),"e")</f>
        <v>e</v>
      </c>
      <c r="B2502" s="139">
        <f>IFERROR(__xludf.DUMMYFUNCTION("""COMPUTED_VALUE"""),2.0251201E8)</f>
        <v>202512010</v>
      </c>
      <c r="C2502" s="139" t="str">
        <f>IFERROR(__xludf.DUMMYFUNCTION("""COMPUTED_VALUE"""),"c_sur_00701_aobaget_Normal_Blue_Normal_00000")</f>
        <v>c_sur_00701_aobaget_Normal_Blue_Normal_00000</v>
      </c>
      <c r="D2502" s="139" t="str">
        <f>IFERROR(__xludf.DUMMYFUNCTION("""COMPUTED_VALUE"""),"c_sur_00701_aobaget_Normal_Blue")</f>
        <v>c_sur_00701_aobaget_Normal_Blue</v>
      </c>
      <c r="E2502" s="139">
        <f>IFERROR(__xludf.DUMMYFUNCTION("""COMPUTED_VALUE"""),0.0)</f>
        <v>0</v>
      </c>
      <c r="F2502" s="139" t="str">
        <f>IFERROR(__xludf.DUMMYFUNCTION("""COMPUTED_VALUE"""),"Normal")</f>
        <v>Normal</v>
      </c>
      <c r="G2502" s="139"/>
      <c r="H2502" s="139"/>
      <c r="I2502" s="139">
        <f>IFERROR(__xludf.DUMMYFUNCTION("""COMPUTED_VALUE"""),54.0)</f>
        <v>54</v>
      </c>
      <c r="J2502" s="139">
        <f>IFERROR(__xludf.DUMMYFUNCTION("""COMPUTED_VALUE"""),14.0)</f>
        <v>14</v>
      </c>
      <c r="K2502" s="139">
        <f>IFERROR(__xludf.DUMMYFUNCTION("""COMPUTED_VALUE"""),100.0)</f>
        <v>100</v>
      </c>
      <c r="L2502" s="139"/>
      <c r="M2502" s="139"/>
      <c r="N2502" s="139"/>
    </row>
    <row r="2503">
      <c r="A2503" s="139" t="str">
        <f>IFERROR(__xludf.DUMMYFUNCTION("""COMPUTED_VALUE"""),"e")</f>
        <v>e</v>
      </c>
      <c r="B2503" s="139">
        <f>IFERROR(__xludf.DUMMYFUNCTION("""COMPUTED_VALUE"""),2.0251201E8)</f>
        <v>202512010</v>
      </c>
      <c r="C2503" s="139" t="str">
        <f>IFERROR(__xludf.DUMMYFUNCTION("""COMPUTED_VALUE"""),"c_sur_00701_aobaget_Normal_Blue_Special_00001")</f>
        <v>c_sur_00701_aobaget_Normal_Blue_Special_00001</v>
      </c>
      <c r="D2503" s="139" t="str">
        <f>IFERROR(__xludf.DUMMYFUNCTION("""COMPUTED_VALUE"""),"c_sur_00701_aobaget_Normal_Blue")</f>
        <v>c_sur_00701_aobaget_Normal_Blue</v>
      </c>
      <c r="E2503" s="139">
        <f>IFERROR(__xludf.DUMMYFUNCTION("""COMPUTED_VALUE"""),0.0)</f>
        <v>0</v>
      </c>
      <c r="F2503" s="139" t="str">
        <f>IFERROR(__xludf.DUMMYFUNCTION("""COMPUTED_VALUE"""),"Special")</f>
        <v>Special</v>
      </c>
      <c r="G2503" s="139"/>
      <c r="H2503" s="139"/>
      <c r="I2503" s="139">
        <f>IFERROR(__xludf.DUMMYFUNCTION("""COMPUTED_VALUE"""),92.0)</f>
        <v>92</v>
      </c>
      <c r="J2503" s="139">
        <f>IFERROR(__xludf.DUMMYFUNCTION("""COMPUTED_VALUE"""),0.0)</f>
        <v>0</v>
      </c>
      <c r="K2503" s="139">
        <f>IFERROR(__xludf.DUMMYFUNCTION("""COMPUTED_VALUE"""),0.0)</f>
        <v>0</v>
      </c>
      <c r="L2503" s="139"/>
      <c r="M2503" s="139"/>
      <c r="N2503" s="139"/>
    </row>
    <row r="2504">
      <c r="A2504" s="139" t="str">
        <f>IFERROR(__xludf.DUMMYFUNCTION("""COMPUTED_VALUE"""),"e")</f>
        <v>e</v>
      </c>
      <c r="B2504" s="139">
        <f>IFERROR(__xludf.DUMMYFUNCTION("""COMPUTED_VALUE"""),2.0251201E8)</f>
        <v>202512010</v>
      </c>
      <c r="C2504" s="139" t="str">
        <f>IFERROR(__xludf.DUMMYFUNCTION("""COMPUTED_VALUE"""),"c_sur_00701_aobaget_Boss_Colorless_Normal_00000")</f>
        <v>c_sur_00701_aobaget_Boss_Colorless_Normal_00000</v>
      </c>
      <c r="D2504" s="139" t="str">
        <f>IFERROR(__xludf.DUMMYFUNCTION("""COMPUTED_VALUE"""),"c_sur_00701_aobaget_Boss_Colorless")</f>
        <v>c_sur_00701_aobaget_Boss_Colorless</v>
      </c>
      <c r="E2504" s="139">
        <f>IFERROR(__xludf.DUMMYFUNCTION("""COMPUTED_VALUE"""),0.0)</f>
        <v>0</v>
      </c>
      <c r="F2504" s="139" t="str">
        <f>IFERROR(__xludf.DUMMYFUNCTION("""COMPUTED_VALUE"""),"Normal")</f>
        <v>Normal</v>
      </c>
      <c r="G2504" s="139"/>
      <c r="H2504" s="139"/>
      <c r="I2504" s="139">
        <f>IFERROR(__xludf.DUMMYFUNCTION("""COMPUTED_VALUE"""),54.0)</f>
        <v>54</v>
      </c>
      <c r="J2504" s="139">
        <f>IFERROR(__xludf.DUMMYFUNCTION("""COMPUTED_VALUE"""),14.0)</f>
        <v>14</v>
      </c>
      <c r="K2504" s="139">
        <f>IFERROR(__xludf.DUMMYFUNCTION("""COMPUTED_VALUE"""),100.0)</f>
        <v>100</v>
      </c>
      <c r="L2504" s="139"/>
      <c r="M2504" s="139"/>
      <c r="N2504" s="139"/>
    </row>
    <row r="2505">
      <c r="A2505" s="139" t="str">
        <f>IFERROR(__xludf.DUMMYFUNCTION("""COMPUTED_VALUE"""),"e")</f>
        <v>e</v>
      </c>
      <c r="B2505" s="139">
        <f>IFERROR(__xludf.DUMMYFUNCTION("""COMPUTED_VALUE"""),2.0251201E8)</f>
        <v>202512010</v>
      </c>
      <c r="C2505" s="139" t="str">
        <f>IFERROR(__xludf.DUMMYFUNCTION("""COMPUTED_VALUE"""),"c_sur_00701_aobaget_Boss_Colorless_Appearance_00001")</f>
        <v>c_sur_00701_aobaget_Boss_Colorless_Appearance_00001</v>
      </c>
      <c r="D2505" s="139" t="str">
        <f>IFERROR(__xludf.DUMMYFUNCTION("""COMPUTED_VALUE"""),"c_sur_00701_aobaget_Boss_Colorless")</f>
        <v>c_sur_00701_aobaget_Boss_Colorless</v>
      </c>
      <c r="E2505" s="139">
        <f>IFERROR(__xludf.DUMMYFUNCTION("""COMPUTED_VALUE"""),0.0)</f>
        <v>0</v>
      </c>
      <c r="F2505" s="139" t="str">
        <f>IFERROR(__xludf.DUMMYFUNCTION("""COMPUTED_VALUE"""),"Appearance")</f>
        <v>Appearance</v>
      </c>
      <c r="G2505" s="139"/>
      <c r="H2505" s="139"/>
      <c r="I2505" s="139">
        <f>IFERROR(__xludf.DUMMYFUNCTION("""COMPUTED_VALUE"""),50.0)</f>
        <v>50</v>
      </c>
      <c r="J2505" s="139">
        <f>IFERROR(__xludf.DUMMYFUNCTION("""COMPUTED_VALUE"""),0.0)</f>
        <v>0</v>
      </c>
      <c r="K2505" s="139">
        <f>IFERROR(__xludf.DUMMYFUNCTION("""COMPUTED_VALUE"""),0.0)</f>
        <v>0</v>
      </c>
      <c r="L2505" s="139"/>
      <c r="M2505" s="139"/>
      <c r="N2505" s="139"/>
    </row>
    <row r="2506">
      <c r="A2506" s="139" t="str">
        <f>IFERROR(__xludf.DUMMYFUNCTION("""COMPUTED_VALUE"""),"e")</f>
        <v>e</v>
      </c>
      <c r="B2506" s="139">
        <f>IFERROR(__xludf.DUMMYFUNCTION("""COMPUTED_VALUE"""),2.0251201E8)</f>
        <v>202512010</v>
      </c>
      <c r="C2506" s="139" t="str">
        <f>IFERROR(__xludf.DUMMYFUNCTION("""COMPUTED_VALUE"""),"c_sur_00701_aobaget_Boss_Colorless_Special_00002")</f>
        <v>c_sur_00701_aobaget_Boss_Colorless_Special_00002</v>
      </c>
      <c r="D2506" s="139" t="str">
        <f>IFERROR(__xludf.DUMMYFUNCTION("""COMPUTED_VALUE"""),"c_sur_00701_aobaget_Boss_Colorless")</f>
        <v>c_sur_00701_aobaget_Boss_Colorless</v>
      </c>
      <c r="E2506" s="139">
        <f>IFERROR(__xludf.DUMMYFUNCTION("""COMPUTED_VALUE"""),0.0)</f>
        <v>0</v>
      </c>
      <c r="F2506" s="139" t="str">
        <f>IFERROR(__xludf.DUMMYFUNCTION("""COMPUTED_VALUE"""),"Special")</f>
        <v>Special</v>
      </c>
      <c r="G2506" s="139"/>
      <c r="H2506" s="139"/>
      <c r="I2506" s="139">
        <f>IFERROR(__xludf.DUMMYFUNCTION("""COMPUTED_VALUE"""),92.0)</f>
        <v>92</v>
      </c>
      <c r="J2506" s="139">
        <f>IFERROR(__xludf.DUMMYFUNCTION("""COMPUTED_VALUE"""),0.0)</f>
        <v>0</v>
      </c>
      <c r="K2506" s="139">
        <f>IFERROR(__xludf.DUMMYFUNCTION("""COMPUTED_VALUE"""),0.0)</f>
        <v>0</v>
      </c>
      <c r="L2506" s="139"/>
      <c r="M2506" s="139"/>
      <c r="N2506" s="139"/>
    </row>
    <row r="2507">
      <c r="A2507" s="139" t="str">
        <f>IFERROR(__xludf.DUMMYFUNCTION("""COMPUTED_VALUE"""),"e")</f>
        <v>e</v>
      </c>
      <c r="B2507" s="139">
        <f>IFERROR(__xludf.DUMMYFUNCTION("""COMPUTED_VALUE"""),2.0251201E8)</f>
        <v>202512010</v>
      </c>
      <c r="C2507" s="139" t="str">
        <f>IFERROR(__xludf.DUMMYFUNCTION("""COMPUTED_VALUE"""),"c_sur_00101_aobaget_Normal_Red_Normal_00000")</f>
        <v>c_sur_00101_aobaget_Normal_Red_Normal_00000</v>
      </c>
      <c r="D2507" s="139" t="str">
        <f>IFERROR(__xludf.DUMMYFUNCTION("""COMPUTED_VALUE"""),"c_sur_00101_aobaget_Normal_Red")</f>
        <v>c_sur_00101_aobaget_Normal_Red</v>
      </c>
      <c r="E2507" s="139">
        <f>IFERROR(__xludf.DUMMYFUNCTION("""COMPUTED_VALUE"""),0.0)</f>
        <v>0</v>
      </c>
      <c r="F2507" s="139" t="str">
        <f>IFERROR(__xludf.DUMMYFUNCTION("""COMPUTED_VALUE"""),"Normal")</f>
        <v>Normal</v>
      </c>
      <c r="G2507" s="139"/>
      <c r="H2507" s="139"/>
      <c r="I2507" s="139">
        <f>IFERROR(__xludf.DUMMYFUNCTION("""COMPUTED_VALUE"""),70.0)</f>
        <v>70</v>
      </c>
      <c r="J2507" s="139">
        <f>IFERROR(__xludf.DUMMYFUNCTION("""COMPUTED_VALUE"""),17.0)</f>
        <v>17</v>
      </c>
      <c r="K2507" s="139">
        <f>IFERROR(__xludf.DUMMYFUNCTION("""COMPUTED_VALUE"""),70.0)</f>
        <v>70</v>
      </c>
      <c r="L2507" s="139"/>
      <c r="M2507" s="139"/>
      <c r="N2507" s="139"/>
    </row>
    <row r="2508">
      <c r="A2508" s="139" t="str">
        <f>IFERROR(__xludf.DUMMYFUNCTION("""COMPUTED_VALUE"""),"e")</f>
        <v>e</v>
      </c>
      <c r="B2508" s="139">
        <f>IFERROR(__xludf.DUMMYFUNCTION("""COMPUTED_VALUE"""),2.0251201E8)</f>
        <v>202512010</v>
      </c>
      <c r="C2508" s="139" t="str">
        <f>IFERROR(__xludf.DUMMYFUNCTION("""COMPUTED_VALUE"""),"c_sur_00101_aobaget_Normal_Red_Special_00001")</f>
        <v>c_sur_00101_aobaget_Normal_Red_Special_00001</v>
      </c>
      <c r="D2508" s="139" t="str">
        <f>IFERROR(__xludf.DUMMYFUNCTION("""COMPUTED_VALUE"""),"c_sur_00101_aobaget_Normal_Red")</f>
        <v>c_sur_00101_aobaget_Normal_Red</v>
      </c>
      <c r="E2508" s="139">
        <f>IFERROR(__xludf.DUMMYFUNCTION("""COMPUTED_VALUE"""),0.0)</f>
        <v>0</v>
      </c>
      <c r="F2508" s="139" t="str">
        <f>IFERROR(__xludf.DUMMYFUNCTION("""COMPUTED_VALUE"""),"Special")</f>
        <v>Special</v>
      </c>
      <c r="G2508" s="139"/>
      <c r="H2508" s="139"/>
      <c r="I2508" s="139">
        <f>IFERROR(__xludf.DUMMYFUNCTION("""COMPUTED_VALUE"""),134.0)</f>
        <v>134</v>
      </c>
      <c r="J2508" s="139">
        <f>IFERROR(__xludf.DUMMYFUNCTION("""COMPUTED_VALUE"""),0.0)</f>
        <v>0</v>
      </c>
      <c r="K2508" s="139">
        <f>IFERROR(__xludf.DUMMYFUNCTION("""COMPUTED_VALUE"""),0.0)</f>
        <v>0</v>
      </c>
      <c r="L2508" s="139"/>
      <c r="M2508" s="139"/>
      <c r="N2508" s="139"/>
    </row>
    <row r="2509">
      <c r="A2509" s="139" t="str">
        <f>IFERROR(__xludf.DUMMYFUNCTION("""COMPUTED_VALUE"""),"e")</f>
        <v>e</v>
      </c>
      <c r="B2509" s="139">
        <f>IFERROR(__xludf.DUMMYFUNCTION("""COMPUTED_VALUE"""),2.0251201E8)</f>
        <v>202512010</v>
      </c>
      <c r="C2509" s="139" t="str">
        <f>IFERROR(__xludf.DUMMYFUNCTION("""COMPUTED_VALUE"""),"c_sur_00101_aobaget_Boss_Red_Normal_00000")</f>
        <v>c_sur_00101_aobaget_Boss_Red_Normal_00000</v>
      </c>
      <c r="D2509" s="139" t="str">
        <f>IFERROR(__xludf.DUMMYFUNCTION("""COMPUTED_VALUE"""),"c_sur_00101_aobaget_Boss_Red")</f>
        <v>c_sur_00101_aobaget_Boss_Red</v>
      </c>
      <c r="E2509" s="139">
        <f>IFERROR(__xludf.DUMMYFUNCTION("""COMPUTED_VALUE"""),0.0)</f>
        <v>0</v>
      </c>
      <c r="F2509" s="139" t="str">
        <f>IFERROR(__xludf.DUMMYFUNCTION("""COMPUTED_VALUE"""),"Normal")</f>
        <v>Normal</v>
      </c>
      <c r="G2509" s="139"/>
      <c r="H2509" s="139"/>
      <c r="I2509" s="139">
        <f>IFERROR(__xludf.DUMMYFUNCTION("""COMPUTED_VALUE"""),70.0)</f>
        <v>70</v>
      </c>
      <c r="J2509" s="139">
        <f>IFERROR(__xludf.DUMMYFUNCTION("""COMPUTED_VALUE"""),17.0)</f>
        <v>17</v>
      </c>
      <c r="K2509" s="139">
        <f>IFERROR(__xludf.DUMMYFUNCTION("""COMPUTED_VALUE"""),70.0)</f>
        <v>70</v>
      </c>
      <c r="L2509" s="139"/>
      <c r="M2509" s="139"/>
      <c r="N2509" s="139"/>
    </row>
    <row r="2510">
      <c r="A2510" s="139" t="str">
        <f>IFERROR(__xludf.DUMMYFUNCTION("""COMPUTED_VALUE"""),"e")</f>
        <v>e</v>
      </c>
      <c r="B2510" s="139">
        <f>IFERROR(__xludf.DUMMYFUNCTION("""COMPUTED_VALUE"""),2.0251201E8)</f>
        <v>202512010</v>
      </c>
      <c r="C2510" s="139" t="str">
        <f>IFERROR(__xludf.DUMMYFUNCTION("""COMPUTED_VALUE"""),"c_sur_00101_aobaget_Boss_Red_Appearance_00001")</f>
        <v>c_sur_00101_aobaget_Boss_Red_Appearance_00001</v>
      </c>
      <c r="D2510" s="139" t="str">
        <f>IFERROR(__xludf.DUMMYFUNCTION("""COMPUTED_VALUE"""),"c_sur_00101_aobaget_Boss_Red")</f>
        <v>c_sur_00101_aobaget_Boss_Red</v>
      </c>
      <c r="E2510" s="139">
        <f>IFERROR(__xludf.DUMMYFUNCTION("""COMPUTED_VALUE"""),0.0)</f>
        <v>0</v>
      </c>
      <c r="F2510" s="139" t="str">
        <f>IFERROR(__xludf.DUMMYFUNCTION("""COMPUTED_VALUE"""),"Appearance")</f>
        <v>Appearance</v>
      </c>
      <c r="G2510" s="139"/>
      <c r="H2510" s="139"/>
      <c r="I2510" s="139">
        <f>IFERROR(__xludf.DUMMYFUNCTION("""COMPUTED_VALUE"""),50.0)</f>
        <v>50</v>
      </c>
      <c r="J2510" s="139">
        <f>IFERROR(__xludf.DUMMYFUNCTION("""COMPUTED_VALUE"""),0.0)</f>
        <v>0</v>
      </c>
      <c r="K2510" s="139">
        <f>IFERROR(__xludf.DUMMYFUNCTION("""COMPUTED_VALUE"""),0.0)</f>
        <v>0</v>
      </c>
      <c r="L2510" s="139"/>
      <c r="M2510" s="139"/>
      <c r="N2510" s="139"/>
    </row>
    <row r="2511">
      <c r="A2511" s="139" t="str">
        <f>IFERROR(__xludf.DUMMYFUNCTION("""COMPUTED_VALUE"""),"e")</f>
        <v>e</v>
      </c>
      <c r="B2511" s="139">
        <f>IFERROR(__xludf.DUMMYFUNCTION("""COMPUTED_VALUE"""),2.0251201E8)</f>
        <v>202512010</v>
      </c>
      <c r="C2511" s="139" t="str">
        <f>IFERROR(__xludf.DUMMYFUNCTION("""COMPUTED_VALUE"""),"c_sur_00101_aobaget_Boss_Red_Special_00002")</f>
        <v>c_sur_00101_aobaget_Boss_Red_Special_00002</v>
      </c>
      <c r="D2511" s="139" t="str">
        <f>IFERROR(__xludf.DUMMYFUNCTION("""COMPUTED_VALUE"""),"c_sur_00101_aobaget_Boss_Red")</f>
        <v>c_sur_00101_aobaget_Boss_Red</v>
      </c>
      <c r="E2511" s="139">
        <f>IFERROR(__xludf.DUMMYFUNCTION("""COMPUTED_VALUE"""),0.0)</f>
        <v>0</v>
      </c>
      <c r="F2511" s="139" t="str">
        <f>IFERROR(__xludf.DUMMYFUNCTION("""COMPUTED_VALUE"""),"Special")</f>
        <v>Special</v>
      </c>
      <c r="G2511" s="139"/>
      <c r="H2511" s="139"/>
      <c r="I2511" s="139">
        <f>IFERROR(__xludf.DUMMYFUNCTION("""COMPUTED_VALUE"""),134.0)</f>
        <v>134</v>
      </c>
      <c r="J2511" s="139">
        <f>IFERROR(__xludf.DUMMYFUNCTION("""COMPUTED_VALUE"""),0.0)</f>
        <v>0</v>
      </c>
      <c r="K2511" s="139">
        <f>IFERROR(__xludf.DUMMYFUNCTION("""COMPUTED_VALUE"""),0.0)</f>
        <v>0</v>
      </c>
      <c r="L2511" s="139"/>
      <c r="M2511" s="139"/>
      <c r="N2511" s="139"/>
    </row>
    <row r="2512">
      <c r="A2512" s="139" t="str">
        <f>IFERROR(__xludf.DUMMYFUNCTION("""COMPUTED_VALUE"""),"e")</f>
        <v>e</v>
      </c>
      <c r="B2512" s="139">
        <f>IFERROR(__xludf.DUMMYFUNCTION("""COMPUTED_VALUE"""),2.0251201E8)</f>
        <v>202512010</v>
      </c>
      <c r="C2512" s="139" t="str">
        <f>IFERROR(__xludf.DUMMYFUNCTION("""COMPUTED_VALUE"""),"c_sur_00201_aobaget_Normal_Red_Normal_00000")</f>
        <v>c_sur_00201_aobaget_Normal_Red_Normal_00000</v>
      </c>
      <c r="D2512" s="139" t="str">
        <f>IFERROR(__xludf.DUMMYFUNCTION("""COMPUTED_VALUE"""),"c_sur_00201_aobaget_Normal_Red")</f>
        <v>c_sur_00201_aobaget_Normal_Red</v>
      </c>
      <c r="E2512" s="139">
        <f>IFERROR(__xludf.DUMMYFUNCTION("""COMPUTED_VALUE"""),0.0)</f>
        <v>0</v>
      </c>
      <c r="F2512" s="139" t="str">
        <f>IFERROR(__xludf.DUMMYFUNCTION("""COMPUTED_VALUE"""),"Normal")</f>
        <v>Normal</v>
      </c>
      <c r="G2512" s="139"/>
      <c r="H2512" s="139"/>
      <c r="I2512" s="139">
        <f>IFERROR(__xludf.DUMMYFUNCTION("""COMPUTED_VALUE"""),74.0)</f>
        <v>74</v>
      </c>
      <c r="J2512" s="139">
        <f>IFERROR(__xludf.DUMMYFUNCTION("""COMPUTED_VALUE"""),19.0)</f>
        <v>19</v>
      </c>
      <c r="K2512" s="139">
        <f>IFERROR(__xludf.DUMMYFUNCTION("""COMPUTED_VALUE"""),50.0)</f>
        <v>50</v>
      </c>
      <c r="L2512" s="139"/>
      <c r="M2512" s="139"/>
      <c r="N2512" s="139"/>
    </row>
    <row r="2513">
      <c r="A2513" s="139" t="str">
        <f>IFERROR(__xludf.DUMMYFUNCTION("""COMPUTED_VALUE"""),"e")</f>
        <v>e</v>
      </c>
      <c r="B2513" s="139">
        <f>IFERROR(__xludf.DUMMYFUNCTION("""COMPUTED_VALUE"""),2.0251201E8)</f>
        <v>202512010</v>
      </c>
      <c r="C2513" s="139" t="str">
        <f>IFERROR(__xludf.DUMMYFUNCTION("""COMPUTED_VALUE"""),"c_sur_00201_aobaget_Normal_Red_Special_00001")</f>
        <v>c_sur_00201_aobaget_Normal_Red_Special_00001</v>
      </c>
      <c r="D2513" s="139" t="str">
        <f>IFERROR(__xludf.DUMMYFUNCTION("""COMPUTED_VALUE"""),"c_sur_00201_aobaget_Normal_Red")</f>
        <v>c_sur_00201_aobaget_Normal_Red</v>
      </c>
      <c r="E2513" s="139">
        <f>IFERROR(__xludf.DUMMYFUNCTION("""COMPUTED_VALUE"""),0.0)</f>
        <v>0</v>
      </c>
      <c r="F2513" s="139" t="str">
        <f>IFERROR(__xludf.DUMMYFUNCTION("""COMPUTED_VALUE"""),"Special")</f>
        <v>Special</v>
      </c>
      <c r="G2513" s="139"/>
      <c r="H2513" s="139"/>
      <c r="I2513" s="139">
        <f>IFERROR(__xludf.DUMMYFUNCTION("""COMPUTED_VALUE"""),154.0)</f>
        <v>154</v>
      </c>
      <c r="J2513" s="139">
        <f>IFERROR(__xludf.DUMMYFUNCTION("""COMPUTED_VALUE"""),0.0)</f>
        <v>0</v>
      </c>
      <c r="K2513" s="139">
        <f>IFERROR(__xludf.DUMMYFUNCTION("""COMPUTED_VALUE"""),0.0)</f>
        <v>0</v>
      </c>
      <c r="L2513" s="139"/>
      <c r="M2513" s="139"/>
      <c r="N2513" s="139"/>
    </row>
    <row r="2514">
      <c r="A2514" s="139" t="str">
        <f>IFERROR(__xludf.DUMMYFUNCTION("""COMPUTED_VALUE"""),"e")</f>
        <v>e</v>
      </c>
      <c r="B2514" s="139">
        <f>IFERROR(__xludf.DUMMYFUNCTION("""COMPUTED_VALUE"""),2.0251201E8)</f>
        <v>202512010</v>
      </c>
      <c r="C2514" s="139" t="str">
        <f>IFERROR(__xludf.DUMMYFUNCTION("""COMPUTED_VALUE"""),"c_sur_00201_aobaget_Boss_Red_Normal_00000")</f>
        <v>c_sur_00201_aobaget_Boss_Red_Normal_00000</v>
      </c>
      <c r="D2514" s="139" t="str">
        <f>IFERROR(__xludf.DUMMYFUNCTION("""COMPUTED_VALUE"""),"c_sur_00201_aobaget_Boss_Red")</f>
        <v>c_sur_00201_aobaget_Boss_Red</v>
      </c>
      <c r="E2514" s="139">
        <f>IFERROR(__xludf.DUMMYFUNCTION("""COMPUTED_VALUE"""),0.0)</f>
        <v>0</v>
      </c>
      <c r="F2514" s="139" t="str">
        <f>IFERROR(__xludf.DUMMYFUNCTION("""COMPUTED_VALUE"""),"Normal")</f>
        <v>Normal</v>
      </c>
      <c r="G2514" s="139"/>
      <c r="H2514" s="139"/>
      <c r="I2514" s="139">
        <f>IFERROR(__xludf.DUMMYFUNCTION("""COMPUTED_VALUE"""),74.0)</f>
        <v>74</v>
      </c>
      <c r="J2514" s="139">
        <f>IFERROR(__xludf.DUMMYFUNCTION("""COMPUTED_VALUE"""),19.0)</f>
        <v>19</v>
      </c>
      <c r="K2514" s="139">
        <f>IFERROR(__xludf.DUMMYFUNCTION("""COMPUTED_VALUE"""),50.0)</f>
        <v>50</v>
      </c>
      <c r="L2514" s="139"/>
      <c r="M2514" s="139"/>
      <c r="N2514" s="139"/>
    </row>
    <row r="2515">
      <c r="A2515" s="139" t="str">
        <f>IFERROR(__xludf.DUMMYFUNCTION("""COMPUTED_VALUE"""),"e")</f>
        <v>e</v>
      </c>
      <c r="B2515" s="139">
        <f>IFERROR(__xludf.DUMMYFUNCTION("""COMPUTED_VALUE"""),2.0251201E8)</f>
        <v>202512010</v>
      </c>
      <c r="C2515" s="139" t="str">
        <f>IFERROR(__xludf.DUMMYFUNCTION("""COMPUTED_VALUE"""),"c_sur_00201_aobaget_Boss_Red_Appearance_00001")</f>
        <v>c_sur_00201_aobaget_Boss_Red_Appearance_00001</v>
      </c>
      <c r="D2515" s="139" t="str">
        <f>IFERROR(__xludf.DUMMYFUNCTION("""COMPUTED_VALUE"""),"c_sur_00201_aobaget_Boss_Red")</f>
        <v>c_sur_00201_aobaget_Boss_Red</v>
      </c>
      <c r="E2515" s="139">
        <f>IFERROR(__xludf.DUMMYFUNCTION("""COMPUTED_VALUE"""),0.0)</f>
        <v>0</v>
      </c>
      <c r="F2515" s="139" t="str">
        <f>IFERROR(__xludf.DUMMYFUNCTION("""COMPUTED_VALUE"""),"Appearance")</f>
        <v>Appearance</v>
      </c>
      <c r="G2515" s="139"/>
      <c r="H2515" s="139"/>
      <c r="I2515" s="139">
        <f>IFERROR(__xludf.DUMMYFUNCTION("""COMPUTED_VALUE"""),50.0)</f>
        <v>50</v>
      </c>
      <c r="J2515" s="139">
        <f>IFERROR(__xludf.DUMMYFUNCTION("""COMPUTED_VALUE"""),0.0)</f>
        <v>0</v>
      </c>
      <c r="K2515" s="139">
        <f>IFERROR(__xludf.DUMMYFUNCTION("""COMPUTED_VALUE"""),0.0)</f>
        <v>0</v>
      </c>
      <c r="L2515" s="139"/>
      <c r="M2515" s="139"/>
      <c r="N2515" s="139"/>
    </row>
    <row r="2516">
      <c r="A2516" s="139" t="str">
        <f>IFERROR(__xludf.DUMMYFUNCTION("""COMPUTED_VALUE"""),"e")</f>
        <v>e</v>
      </c>
      <c r="B2516" s="139">
        <f>IFERROR(__xludf.DUMMYFUNCTION("""COMPUTED_VALUE"""),2.0251201E8)</f>
        <v>202512010</v>
      </c>
      <c r="C2516" s="139" t="str">
        <f>IFERROR(__xludf.DUMMYFUNCTION("""COMPUTED_VALUE"""),"c_sur_00201_aobaget_Boss_Red_Special_00002")</f>
        <v>c_sur_00201_aobaget_Boss_Red_Special_00002</v>
      </c>
      <c r="D2516" s="139" t="str">
        <f>IFERROR(__xludf.DUMMYFUNCTION("""COMPUTED_VALUE"""),"c_sur_00201_aobaget_Boss_Red")</f>
        <v>c_sur_00201_aobaget_Boss_Red</v>
      </c>
      <c r="E2516" s="139">
        <f>IFERROR(__xludf.DUMMYFUNCTION("""COMPUTED_VALUE"""),0.0)</f>
        <v>0</v>
      </c>
      <c r="F2516" s="139" t="str">
        <f>IFERROR(__xludf.DUMMYFUNCTION("""COMPUTED_VALUE"""),"Special")</f>
        <v>Special</v>
      </c>
      <c r="G2516" s="139"/>
      <c r="H2516" s="139"/>
      <c r="I2516" s="139">
        <f>IFERROR(__xludf.DUMMYFUNCTION("""COMPUTED_VALUE"""),154.0)</f>
        <v>154</v>
      </c>
      <c r="J2516" s="139">
        <f>IFERROR(__xludf.DUMMYFUNCTION("""COMPUTED_VALUE"""),0.0)</f>
        <v>0</v>
      </c>
      <c r="K2516" s="139">
        <f>IFERROR(__xludf.DUMMYFUNCTION("""COMPUTED_VALUE"""),0.0)</f>
        <v>0</v>
      </c>
      <c r="L2516" s="139"/>
      <c r="M2516" s="139"/>
      <c r="N2516" s="139"/>
    </row>
    <row r="2517">
      <c r="A2517" s="139" t="str">
        <f>IFERROR(__xludf.DUMMYFUNCTION("""COMPUTED_VALUE"""),"e")</f>
        <v>e</v>
      </c>
      <c r="B2517" s="139">
        <f>IFERROR(__xludf.DUMMYFUNCTION("""COMPUTED_VALUE"""),2.0251201E8)</f>
        <v>202512010</v>
      </c>
      <c r="C2517" s="139" t="str">
        <f>IFERROR(__xludf.DUMMYFUNCTION("""COMPUTED_VALUE"""),"c_sur_00601_aobaget_Normal_Red_Normal_00000")</f>
        <v>c_sur_00601_aobaget_Normal_Red_Normal_00000</v>
      </c>
      <c r="D2517" s="139" t="str">
        <f>IFERROR(__xludf.DUMMYFUNCTION("""COMPUTED_VALUE"""),"c_sur_00601_aobaget_Normal_Red")</f>
        <v>c_sur_00601_aobaget_Normal_Red</v>
      </c>
      <c r="E2517" s="139">
        <f>IFERROR(__xludf.DUMMYFUNCTION("""COMPUTED_VALUE"""),0.0)</f>
        <v>0</v>
      </c>
      <c r="F2517" s="139" t="str">
        <f>IFERROR(__xludf.DUMMYFUNCTION("""COMPUTED_VALUE"""),"Normal")</f>
        <v>Normal</v>
      </c>
      <c r="G2517" s="139"/>
      <c r="H2517" s="139"/>
      <c r="I2517" s="139">
        <f>IFERROR(__xludf.DUMMYFUNCTION("""COMPUTED_VALUE"""),82.0)</f>
        <v>82</v>
      </c>
      <c r="J2517" s="139">
        <f>IFERROR(__xludf.DUMMYFUNCTION("""COMPUTED_VALUE"""),38.0)</f>
        <v>38</v>
      </c>
      <c r="K2517" s="139">
        <f>IFERROR(__xludf.DUMMYFUNCTION("""COMPUTED_VALUE"""),75.0)</f>
        <v>75</v>
      </c>
      <c r="L2517" s="139"/>
      <c r="M2517" s="139"/>
      <c r="N2517" s="139"/>
    </row>
    <row r="2518">
      <c r="A2518" s="139" t="str">
        <f>IFERROR(__xludf.DUMMYFUNCTION("""COMPUTED_VALUE"""),"e")</f>
        <v>e</v>
      </c>
      <c r="B2518" s="139">
        <f>IFERROR(__xludf.DUMMYFUNCTION("""COMPUTED_VALUE"""),2.0251201E8)</f>
        <v>202512010</v>
      </c>
      <c r="C2518" s="139" t="str">
        <f>IFERROR(__xludf.DUMMYFUNCTION("""COMPUTED_VALUE"""),"c_sur_00601_aobaget_Normal_Red_Special_00001")</f>
        <v>c_sur_00601_aobaget_Normal_Red_Special_00001</v>
      </c>
      <c r="D2518" s="139" t="str">
        <f>IFERROR(__xludf.DUMMYFUNCTION("""COMPUTED_VALUE"""),"c_sur_00601_aobaget_Normal_Red")</f>
        <v>c_sur_00601_aobaget_Normal_Red</v>
      </c>
      <c r="E2518" s="139">
        <f>IFERROR(__xludf.DUMMYFUNCTION("""COMPUTED_VALUE"""),0.0)</f>
        <v>0</v>
      </c>
      <c r="F2518" s="139" t="str">
        <f>IFERROR(__xludf.DUMMYFUNCTION("""COMPUTED_VALUE"""),"Special")</f>
        <v>Special</v>
      </c>
      <c r="G2518" s="139"/>
      <c r="H2518" s="139"/>
      <c r="I2518" s="139">
        <f>IFERROR(__xludf.DUMMYFUNCTION("""COMPUTED_VALUE"""),167.0)</f>
        <v>167</v>
      </c>
      <c r="J2518" s="139">
        <f>IFERROR(__xludf.DUMMYFUNCTION("""COMPUTED_VALUE"""),60.0)</f>
        <v>60</v>
      </c>
      <c r="K2518" s="139">
        <f>IFERROR(__xludf.DUMMYFUNCTION("""COMPUTED_VALUE"""),0.0)</f>
        <v>0</v>
      </c>
      <c r="L2518" s="139"/>
      <c r="M2518" s="139"/>
      <c r="N2518" s="139"/>
    </row>
    <row r="2519">
      <c r="A2519" s="139" t="str">
        <f>IFERROR(__xludf.DUMMYFUNCTION("""COMPUTED_VALUE"""),"e")</f>
        <v>e</v>
      </c>
      <c r="B2519" s="139">
        <f>IFERROR(__xludf.DUMMYFUNCTION("""COMPUTED_VALUE"""),2.0251201E8)</f>
        <v>202512010</v>
      </c>
      <c r="C2519" s="139" t="str">
        <f>IFERROR(__xludf.DUMMYFUNCTION("""COMPUTED_VALUE"""),"c_sur_00601_aobaget_Boss_Red_Normal_00000")</f>
        <v>c_sur_00601_aobaget_Boss_Red_Normal_00000</v>
      </c>
      <c r="D2519" s="139" t="str">
        <f>IFERROR(__xludf.DUMMYFUNCTION("""COMPUTED_VALUE"""),"c_sur_00601_aobaget_Boss_Red")</f>
        <v>c_sur_00601_aobaget_Boss_Red</v>
      </c>
      <c r="E2519" s="139">
        <f>IFERROR(__xludf.DUMMYFUNCTION("""COMPUTED_VALUE"""),0.0)</f>
        <v>0</v>
      </c>
      <c r="F2519" s="139" t="str">
        <f>IFERROR(__xludf.DUMMYFUNCTION("""COMPUTED_VALUE"""),"Normal")</f>
        <v>Normal</v>
      </c>
      <c r="G2519" s="139"/>
      <c r="H2519" s="139"/>
      <c r="I2519" s="139">
        <f>IFERROR(__xludf.DUMMYFUNCTION("""COMPUTED_VALUE"""),82.0)</f>
        <v>82</v>
      </c>
      <c r="J2519" s="139">
        <f>IFERROR(__xludf.DUMMYFUNCTION("""COMPUTED_VALUE"""),38.0)</f>
        <v>38</v>
      </c>
      <c r="K2519" s="139">
        <f>IFERROR(__xludf.DUMMYFUNCTION("""COMPUTED_VALUE"""),75.0)</f>
        <v>75</v>
      </c>
      <c r="L2519" s="139"/>
      <c r="M2519" s="139"/>
      <c r="N2519" s="139"/>
    </row>
    <row r="2520">
      <c r="A2520" s="139" t="str">
        <f>IFERROR(__xludf.DUMMYFUNCTION("""COMPUTED_VALUE"""),"e")</f>
        <v>e</v>
      </c>
      <c r="B2520" s="139">
        <f>IFERROR(__xludf.DUMMYFUNCTION("""COMPUTED_VALUE"""),2.0251201E8)</f>
        <v>202512010</v>
      </c>
      <c r="C2520" s="139" t="str">
        <f>IFERROR(__xludf.DUMMYFUNCTION("""COMPUTED_VALUE"""),"c_sur_00601_aobaget_Boss_Red_Appearance_00001")</f>
        <v>c_sur_00601_aobaget_Boss_Red_Appearance_00001</v>
      </c>
      <c r="D2520" s="139" t="str">
        <f>IFERROR(__xludf.DUMMYFUNCTION("""COMPUTED_VALUE"""),"c_sur_00601_aobaget_Boss_Red")</f>
        <v>c_sur_00601_aobaget_Boss_Red</v>
      </c>
      <c r="E2520" s="139">
        <f>IFERROR(__xludf.DUMMYFUNCTION("""COMPUTED_VALUE"""),0.0)</f>
        <v>0</v>
      </c>
      <c r="F2520" s="139" t="str">
        <f>IFERROR(__xludf.DUMMYFUNCTION("""COMPUTED_VALUE"""),"Appearance")</f>
        <v>Appearance</v>
      </c>
      <c r="G2520" s="139"/>
      <c r="H2520" s="139"/>
      <c r="I2520" s="139">
        <f>IFERROR(__xludf.DUMMYFUNCTION("""COMPUTED_VALUE"""),50.0)</f>
        <v>50</v>
      </c>
      <c r="J2520" s="139">
        <f>IFERROR(__xludf.DUMMYFUNCTION("""COMPUTED_VALUE"""),0.0)</f>
        <v>0</v>
      </c>
      <c r="K2520" s="139">
        <f>IFERROR(__xludf.DUMMYFUNCTION("""COMPUTED_VALUE"""),0.0)</f>
        <v>0</v>
      </c>
      <c r="L2520" s="139"/>
      <c r="M2520" s="139"/>
      <c r="N2520" s="139"/>
    </row>
    <row r="2521">
      <c r="A2521" s="139" t="str">
        <f>IFERROR(__xludf.DUMMYFUNCTION("""COMPUTED_VALUE"""),"e")</f>
        <v>e</v>
      </c>
      <c r="B2521" s="139">
        <f>IFERROR(__xludf.DUMMYFUNCTION("""COMPUTED_VALUE"""),2.0251201E8)</f>
        <v>202512010</v>
      </c>
      <c r="C2521" s="139" t="str">
        <f>IFERROR(__xludf.DUMMYFUNCTION("""COMPUTED_VALUE"""),"c_sur_00601_aobaget_Boss_Red_Special_00002")</f>
        <v>c_sur_00601_aobaget_Boss_Red_Special_00002</v>
      </c>
      <c r="D2521" s="139" t="str">
        <f>IFERROR(__xludf.DUMMYFUNCTION("""COMPUTED_VALUE"""),"c_sur_00601_aobaget_Boss_Red")</f>
        <v>c_sur_00601_aobaget_Boss_Red</v>
      </c>
      <c r="E2521" s="139">
        <f>IFERROR(__xludf.DUMMYFUNCTION("""COMPUTED_VALUE"""),0.0)</f>
        <v>0</v>
      </c>
      <c r="F2521" s="139" t="str">
        <f>IFERROR(__xludf.DUMMYFUNCTION("""COMPUTED_VALUE"""),"Special")</f>
        <v>Special</v>
      </c>
      <c r="G2521" s="139"/>
      <c r="H2521" s="139"/>
      <c r="I2521" s="139">
        <f>IFERROR(__xludf.DUMMYFUNCTION("""COMPUTED_VALUE"""),167.0)</f>
        <v>167</v>
      </c>
      <c r="J2521" s="139">
        <f>IFERROR(__xludf.DUMMYFUNCTION("""COMPUTED_VALUE"""),60.0)</f>
        <v>60</v>
      </c>
      <c r="K2521" s="139">
        <f>IFERROR(__xludf.DUMMYFUNCTION("""COMPUTED_VALUE"""),0.0)</f>
        <v>0</v>
      </c>
      <c r="L2521" s="139"/>
      <c r="M2521" s="139"/>
      <c r="N2521" s="139"/>
    </row>
    <row r="2522">
      <c r="A2522" s="139" t="str">
        <f>IFERROR(__xludf.DUMMYFUNCTION("""COMPUTED_VALUE"""),"e")</f>
        <v>e</v>
      </c>
      <c r="B2522" s="139">
        <f>IFERROR(__xludf.DUMMYFUNCTION("""COMPUTED_VALUE"""),2.0251201E8)</f>
        <v>202512010</v>
      </c>
      <c r="C2522" s="139" t="str">
        <f>IFERROR(__xludf.DUMMYFUNCTION("""COMPUTED_VALUE"""),"c_sur_00301_aobaget_Boss_Blue_Normal_00000")</f>
        <v>c_sur_00301_aobaget_Boss_Blue_Normal_00000</v>
      </c>
      <c r="D2522" s="139" t="str">
        <f>IFERROR(__xludf.DUMMYFUNCTION("""COMPUTED_VALUE"""),"c_sur_00301_aobaget_Boss_Blue")</f>
        <v>c_sur_00301_aobaget_Boss_Blue</v>
      </c>
      <c r="E2522" s="139">
        <f>IFERROR(__xludf.DUMMYFUNCTION("""COMPUTED_VALUE"""),0.0)</f>
        <v>0</v>
      </c>
      <c r="F2522" s="139" t="str">
        <f>IFERROR(__xludf.DUMMYFUNCTION("""COMPUTED_VALUE"""),"Normal")</f>
        <v>Normal</v>
      </c>
      <c r="G2522" s="139"/>
      <c r="H2522" s="139"/>
      <c r="I2522" s="139">
        <f>IFERROR(__xludf.DUMMYFUNCTION("""COMPUTED_VALUE"""),75.0)</f>
        <v>75</v>
      </c>
      <c r="J2522" s="139">
        <f>IFERROR(__xludf.DUMMYFUNCTION("""COMPUTED_VALUE"""),29.0)</f>
        <v>29</v>
      </c>
      <c r="K2522" s="139">
        <f>IFERROR(__xludf.DUMMYFUNCTION("""COMPUTED_VALUE"""),70.0)</f>
        <v>70</v>
      </c>
      <c r="L2522" s="139"/>
      <c r="M2522" s="139"/>
      <c r="N2522" s="139"/>
    </row>
    <row r="2523">
      <c r="A2523" s="139" t="str">
        <f>IFERROR(__xludf.DUMMYFUNCTION("""COMPUTED_VALUE"""),"e")</f>
        <v>e</v>
      </c>
      <c r="B2523" s="139">
        <f>IFERROR(__xludf.DUMMYFUNCTION("""COMPUTED_VALUE"""),2.0251201E8)</f>
        <v>202512010</v>
      </c>
      <c r="C2523" s="139" t="str">
        <f>IFERROR(__xludf.DUMMYFUNCTION("""COMPUTED_VALUE"""),"c_sur_00301_aobaget_Boss_Blue_Special_00001")</f>
        <v>c_sur_00301_aobaget_Boss_Blue_Special_00001</v>
      </c>
      <c r="D2523" s="139" t="str">
        <f>IFERROR(__xludf.DUMMYFUNCTION("""COMPUTED_VALUE"""),"c_sur_00301_aobaget_Boss_Blue")</f>
        <v>c_sur_00301_aobaget_Boss_Blue</v>
      </c>
      <c r="E2523" s="139">
        <f>IFERROR(__xludf.DUMMYFUNCTION("""COMPUTED_VALUE"""),0.0)</f>
        <v>0</v>
      </c>
      <c r="F2523" s="139" t="str">
        <f>IFERROR(__xludf.DUMMYFUNCTION("""COMPUTED_VALUE"""),"Special")</f>
        <v>Special</v>
      </c>
      <c r="G2523" s="139"/>
      <c r="H2523" s="139"/>
      <c r="I2523" s="139">
        <f>IFERROR(__xludf.DUMMYFUNCTION("""COMPUTED_VALUE"""),133.0)</f>
        <v>133</v>
      </c>
      <c r="J2523" s="139">
        <f>IFERROR(__xludf.DUMMYFUNCTION("""COMPUTED_VALUE"""),50.0)</f>
        <v>50</v>
      </c>
      <c r="K2523" s="139">
        <f>IFERROR(__xludf.DUMMYFUNCTION("""COMPUTED_VALUE"""),0.0)</f>
        <v>0</v>
      </c>
      <c r="L2523" s="139"/>
      <c r="M2523" s="139"/>
      <c r="N2523" s="139"/>
    </row>
    <row r="2524">
      <c r="A2524" s="139" t="str">
        <f>IFERROR(__xludf.DUMMYFUNCTION("""COMPUTED_VALUE"""),"e")</f>
        <v>e</v>
      </c>
      <c r="B2524" s="139">
        <f>IFERROR(__xludf.DUMMYFUNCTION("""COMPUTED_VALUE"""),2.0251201E8)</f>
        <v>202512010</v>
      </c>
      <c r="C2524" s="139" t="str">
        <f>IFERROR(__xludf.DUMMYFUNCTION("""COMPUTED_VALUE"""),"c_sur_00501_aobaget_Normal_Blue_Normal_00000")</f>
        <v>c_sur_00501_aobaget_Normal_Blue_Normal_00000</v>
      </c>
      <c r="D2524" s="139" t="str">
        <f>IFERROR(__xludf.DUMMYFUNCTION("""COMPUTED_VALUE"""),"c_sur_00501_aobaget_Normal_Blue")</f>
        <v>c_sur_00501_aobaget_Normal_Blue</v>
      </c>
      <c r="E2524" s="139">
        <f>IFERROR(__xludf.DUMMYFUNCTION("""COMPUTED_VALUE"""),0.0)</f>
        <v>0</v>
      </c>
      <c r="F2524" s="139" t="str">
        <f>IFERROR(__xludf.DUMMYFUNCTION("""COMPUTED_VALUE"""),"Normal")</f>
        <v>Normal</v>
      </c>
      <c r="G2524" s="139"/>
      <c r="H2524" s="139"/>
      <c r="I2524" s="139">
        <f>IFERROR(__xludf.DUMMYFUNCTION("""COMPUTED_VALUE"""),86.0)</f>
        <v>86</v>
      </c>
      <c r="J2524" s="139">
        <f>IFERROR(__xludf.DUMMYFUNCTION("""COMPUTED_VALUE"""),47.0)</f>
        <v>47</v>
      </c>
      <c r="K2524" s="139">
        <f>IFERROR(__xludf.DUMMYFUNCTION("""COMPUTED_VALUE"""),90.0)</f>
        <v>90</v>
      </c>
      <c r="L2524" s="139"/>
      <c r="M2524" s="139"/>
      <c r="N2524" s="139"/>
    </row>
    <row r="2525">
      <c r="A2525" s="139" t="str">
        <f>IFERROR(__xludf.DUMMYFUNCTION("""COMPUTED_VALUE"""),"e")</f>
        <v>e</v>
      </c>
      <c r="B2525" s="139">
        <f>IFERROR(__xludf.DUMMYFUNCTION("""COMPUTED_VALUE"""),2.0251201E8)</f>
        <v>202512010</v>
      </c>
      <c r="C2525" s="139" t="str">
        <f>IFERROR(__xludf.DUMMYFUNCTION("""COMPUTED_VALUE"""),"c_sur_00501_aobaget_Normal_Blue_Special_00001")</f>
        <v>c_sur_00501_aobaget_Normal_Blue_Special_00001</v>
      </c>
      <c r="D2525" s="139" t="str">
        <f>IFERROR(__xludf.DUMMYFUNCTION("""COMPUTED_VALUE"""),"c_sur_00501_aobaget_Normal_Blue")</f>
        <v>c_sur_00501_aobaget_Normal_Blue</v>
      </c>
      <c r="E2525" s="139">
        <f>IFERROR(__xludf.DUMMYFUNCTION("""COMPUTED_VALUE"""),0.0)</f>
        <v>0</v>
      </c>
      <c r="F2525" s="139" t="str">
        <f>IFERROR(__xludf.DUMMYFUNCTION("""COMPUTED_VALUE"""),"Special")</f>
        <v>Special</v>
      </c>
      <c r="G2525" s="139"/>
      <c r="H2525" s="139"/>
      <c r="I2525" s="139">
        <f>IFERROR(__xludf.DUMMYFUNCTION("""COMPUTED_VALUE"""),134.0)</f>
        <v>134</v>
      </c>
      <c r="J2525" s="139">
        <f>IFERROR(__xludf.DUMMYFUNCTION("""COMPUTED_VALUE"""),77.0)</f>
        <v>77</v>
      </c>
      <c r="K2525" s="139">
        <f>IFERROR(__xludf.DUMMYFUNCTION("""COMPUTED_VALUE"""),0.0)</f>
        <v>0</v>
      </c>
      <c r="L2525" s="139"/>
      <c r="M2525" s="139"/>
      <c r="N2525" s="139"/>
    </row>
    <row r="2526">
      <c r="A2526" s="139" t="str">
        <f>IFERROR(__xludf.DUMMYFUNCTION("""COMPUTED_VALUE"""),"e")</f>
        <v>e</v>
      </c>
      <c r="B2526" s="139">
        <f>IFERROR(__xludf.DUMMYFUNCTION("""COMPUTED_VALUE"""),2.0251201E8)</f>
        <v>202512010</v>
      </c>
      <c r="C2526" s="139" t="str">
        <f>IFERROR(__xludf.DUMMYFUNCTION("""COMPUTED_VALUE"""),"c_sur_00501_aobaget_Boss_Blue_Normal_00000")</f>
        <v>c_sur_00501_aobaget_Boss_Blue_Normal_00000</v>
      </c>
      <c r="D2526" s="139" t="str">
        <f>IFERROR(__xludf.DUMMYFUNCTION("""COMPUTED_VALUE"""),"c_sur_00501_aobaget_Boss_Blue")</f>
        <v>c_sur_00501_aobaget_Boss_Blue</v>
      </c>
      <c r="E2526" s="139">
        <f>IFERROR(__xludf.DUMMYFUNCTION("""COMPUTED_VALUE"""),0.0)</f>
        <v>0</v>
      </c>
      <c r="F2526" s="139" t="str">
        <f>IFERROR(__xludf.DUMMYFUNCTION("""COMPUTED_VALUE"""),"Normal")</f>
        <v>Normal</v>
      </c>
      <c r="G2526" s="139"/>
      <c r="H2526" s="139"/>
      <c r="I2526" s="139">
        <f>IFERROR(__xludf.DUMMYFUNCTION("""COMPUTED_VALUE"""),86.0)</f>
        <v>86</v>
      </c>
      <c r="J2526" s="139">
        <f>IFERROR(__xludf.DUMMYFUNCTION("""COMPUTED_VALUE"""),47.0)</f>
        <v>47</v>
      </c>
      <c r="K2526" s="139">
        <f>IFERROR(__xludf.DUMMYFUNCTION("""COMPUTED_VALUE"""),100.0)</f>
        <v>100</v>
      </c>
      <c r="L2526" s="139"/>
      <c r="M2526" s="139"/>
      <c r="N2526" s="139"/>
    </row>
    <row r="2527">
      <c r="A2527" s="139" t="str">
        <f>IFERROR(__xludf.DUMMYFUNCTION("""COMPUTED_VALUE"""),"e")</f>
        <v>e</v>
      </c>
      <c r="B2527" s="139">
        <f>IFERROR(__xludf.DUMMYFUNCTION("""COMPUTED_VALUE"""),2.0251201E8)</f>
        <v>202512010</v>
      </c>
      <c r="C2527" s="139" t="str">
        <f>IFERROR(__xludf.DUMMYFUNCTION("""COMPUTED_VALUE"""),"c_sur_00501_aobaget_Boss_Blue_Appearance_00001")</f>
        <v>c_sur_00501_aobaget_Boss_Blue_Appearance_00001</v>
      </c>
      <c r="D2527" s="139" t="str">
        <f>IFERROR(__xludf.DUMMYFUNCTION("""COMPUTED_VALUE"""),"c_sur_00501_aobaget_Boss_Blue")</f>
        <v>c_sur_00501_aobaget_Boss_Blue</v>
      </c>
      <c r="E2527" s="139">
        <f>IFERROR(__xludf.DUMMYFUNCTION("""COMPUTED_VALUE"""),0.0)</f>
        <v>0</v>
      </c>
      <c r="F2527" s="139" t="str">
        <f>IFERROR(__xludf.DUMMYFUNCTION("""COMPUTED_VALUE"""),"Appearance")</f>
        <v>Appearance</v>
      </c>
      <c r="G2527" s="139"/>
      <c r="H2527" s="139"/>
      <c r="I2527" s="139">
        <f>IFERROR(__xludf.DUMMYFUNCTION("""COMPUTED_VALUE"""),50.0)</f>
        <v>50</v>
      </c>
      <c r="J2527" s="139">
        <f>IFERROR(__xludf.DUMMYFUNCTION("""COMPUTED_VALUE"""),0.0)</f>
        <v>0</v>
      </c>
      <c r="K2527" s="139">
        <f>IFERROR(__xludf.DUMMYFUNCTION("""COMPUTED_VALUE"""),0.0)</f>
        <v>0</v>
      </c>
      <c r="L2527" s="139"/>
      <c r="M2527" s="139"/>
      <c r="N2527" s="139"/>
    </row>
    <row r="2528">
      <c r="A2528" s="139" t="str">
        <f>IFERROR(__xludf.DUMMYFUNCTION("""COMPUTED_VALUE"""),"e")</f>
        <v>e</v>
      </c>
      <c r="B2528" s="139">
        <f>IFERROR(__xludf.DUMMYFUNCTION("""COMPUTED_VALUE"""),2.0251201E8)</f>
        <v>202512010</v>
      </c>
      <c r="C2528" s="139" t="str">
        <f>IFERROR(__xludf.DUMMYFUNCTION("""COMPUTED_VALUE"""),"c_sur_00501_aobaget_Boss_Blue_Special_00002")</f>
        <v>c_sur_00501_aobaget_Boss_Blue_Special_00002</v>
      </c>
      <c r="D2528" s="139" t="str">
        <f>IFERROR(__xludf.DUMMYFUNCTION("""COMPUTED_VALUE"""),"c_sur_00501_aobaget_Boss_Blue")</f>
        <v>c_sur_00501_aobaget_Boss_Blue</v>
      </c>
      <c r="E2528" s="139">
        <f>IFERROR(__xludf.DUMMYFUNCTION("""COMPUTED_VALUE"""),0.0)</f>
        <v>0</v>
      </c>
      <c r="F2528" s="139" t="str">
        <f>IFERROR(__xludf.DUMMYFUNCTION("""COMPUTED_VALUE"""),"Special")</f>
        <v>Special</v>
      </c>
      <c r="G2528" s="139"/>
      <c r="H2528" s="139"/>
      <c r="I2528" s="139">
        <f>IFERROR(__xludf.DUMMYFUNCTION("""COMPUTED_VALUE"""),134.0)</f>
        <v>134</v>
      </c>
      <c r="J2528" s="139">
        <f>IFERROR(__xludf.DUMMYFUNCTION("""COMPUTED_VALUE"""),77.0)</f>
        <v>77</v>
      </c>
      <c r="K2528" s="139">
        <f>IFERROR(__xludf.DUMMYFUNCTION("""COMPUTED_VALUE"""),0.0)</f>
        <v>0</v>
      </c>
      <c r="L2528" s="139"/>
      <c r="M2528" s="139"/>
      <c r="N2528" s="139"/>
    </row>
    <row r="2529">
      <c r="A2529" s="139" t="str">
        <f>IFERROR(__xludf.DUMMYFUNCTION("""COMPUTED_VALUE"""),"e")</f>
        <v>e</v>
      </c>
      <c r="B2529" s="139">
        <f>IFERROR(__xludf.DUMMYFUNCTION("""COMPUTED_VALUE"""),2.0251201E8)</f>
        <v>202512010</v>
      </c>
      <c r="C2529" s="139" t="str">
        <f>IFERROR(__xludf.DUMMYFUNCTION("""COMPUTED_VALUE"""),"e_sur_00101_challenge_Normal_Red_Normal_00000")</f>
        <v>e_sur_00101_challenge_Normal_Red_Normal_00000</v>
      </c>
      <c r="D2529" s="139" t="str">
        <f>IFERROR(__xludf.DUMMYFUNCTION("""COMPUTED_VALUE"""),"e_sur_00101_challenge_Normal_Red")</f>
        <v>e_sur_00101_challenge_Normal_Red</v>
      </c>
      <c r="E2529" s="139">
        <f>IFERROR(__xludf.DUMMYFUNCTION("""COMPUTED_VALUE"""),0.0)</f>
        <v>0</v>
      </c>
      <c r="F2529" s="139" t="str">
        <f>IFERROR(__xludf.DUMMYFUNCTION("""COMPUTED_VALUE"""),"Normal")</f>
        <v>Normal</v>
      </c>
      <c r="G2529" s="139"/>
      <c r="H2529" s="139"/>
      <c r="I2529" s="139">
        <f>IFERROR(__xludf.DUMMYFUNCTION("""COMPUTED_VALUE"""),40.0)</f>
        <v>40</v>
      </c>
      <c r="J2529" s="139">
        <f>IFERROR(__xludf.DUMMYFUNCTION("""COMPUTED_VALUE"""),15.0)</f>
        <v>15</v>
      </c>
      <c r="K2529" s="139">
        <f>IFERROR(__xludf.DUMMYFUNCTION("""COMPUTED_VALUE"""),35.0)</f>
        <v>35</v>
      </c>
      <c r="L2529" s="139"/>
      <c r="M2529" s="139"/>
      <c r="N2529" s="139"/>
    </row>
    <row r="2530">
      <c r="A2530" s="139" t="str">
        <f>IFERROR(__xludf.DUMMYFUNCTION("""COMPUTED_VALUE"""),"e")</f>
        <v>e</v>
      </c>
      <c r="B2530" s="139">
        <f>IFERROR(__xludf.DUMMYFUNCTION("""COMPUTED_VALUE"""),2.0251201E8)</f>
        <v>202512010</v>
      </c>
      <c r="C2530" s="139" t="str">
        <f>IFERROR(__xludf.DUMMYFUNCTION("""COMPUTED_VALUE"""),"c_sur_00001_challenge_Normal_Red_Normal_00000")</f>
        <v>c_sur_00001_challenge_Normal_Red_Normal_00000</v>
      </c>
      <c r="D2530" s="139" t="str">
        <f>IFERROR(__xludf.DUMMYFUNCTION("""COMPUTED_VALUE"""),"c_sur_00001_challenge_Normal_Red")</f>
        <v>c_sur_00001_challenge_Normal_Red</v>
      </c>
      <c r="E2530" s="139">
        <f>IFERROR(__xludf.DUMMYFUNCTION("""COMPUTED_VALUE"""),0.0)</f>
        <v>0</v>
      </c>
      <c r="F2530" s="139" t="str">
        <f>IFERROR(__xludf.DUMMYFUNCTION("""COMPUTED_VALUE"""),"Normal")</f>
        <v>Normal</v>
      </c>
      <c r="G2530" s="139"/>
      <c r="H2530" s="139"/>
      <c r="I2530" s="139">
        <f>IFERROR(__xludf.DUMMYFUNCTION("""COMPUTED_VALUE"""),62.0)</f>
        <v>62</v>
      </c>
      <c r="J2530" s="139">
        <f>IFERROR(__xludf.DUMMYFUNCTION("""COMPUTED_VALUE"""),22.0)</f>
        <v>22</v>
      </c>
      <c r="K2530" s="139">
        <f>IFERROR(__xludf.DUMMYFUNCTION("""COMPUTED_VALUE"""),75.0)</f>
        <v>75</v>
      </c>
      <c r="L2530" s="139"/>
      <c r="M2530" s="139"/>
      <c r="N2530" s="139"/>
    </row>
    <row r="2531">
      <c r="A2531" s="139" t="str">
        <f>IFERROR(__xludf.DUMMYFUNCTION("""COMPUTED_VALUE"""),"e")</f>
        <v>e</v>
      </c>
      <c r="B2531" s="139">
        <f>IFERROR(__xludf.DUMMYFUNCTION("""COMPUTED_VALUE"""),2.0251201E8)</f>
        <v>202512010</v>
      </c>
      <c r="C2531" s="139" t="str">
        <f>IFERROR(__xludf.DUMMYFUNCTION("""COMPUTED_VALUE"""),"c_sur_00001_challenge_Normal_Red_Special_00001")</f>
        <v>c_sur_00001_challenge_Normal_Red_Special_00001</v>
      </c>
      <c r="D2531" s="139" t="str">
        <f>IFERROR(__xludf.DUMMYFUNCTION("""COMPUTED_VALUE"""),"c_sur_00001_challenge_Normal_Red")</f>
        <v>c_sur_00001_challenge_Normal_Red</v>
      </c>
      <c r="E2531" s="139">
        <f>IFERROR(__xludf.DUMMYFUNCTION("""COMPUTED_VALUE"""),0.0)</f>
        <v>0</v>
      </c>
      <c r="F2531" s="139" t="str">
        <f>IFERROR(__xludf.DUMMYFUNCTION("""COMPUTED_VALUE"""),"Special")</f>
        <v>Special</v>
      </c>
      <c r="G2531" s="139"/>
      <c r="H2531" s="139"/>
      <c r="I2531" s="139">
        <f>IFERROR(__xludf.DUMMYFUNCTION("""COMPUTED_VALUE"""),140.0)</f>
        <v>140</v>
      </c>
      <c r="J2531" s="139">
        <f>IFERROR(__xludf.DUMMYFUNCTION("""COMPUTED_VALUE"""),100.0)</f>
        <v>100</v>
      </c>
      <c r="K2531" s="139">
        <f>IFERROR(__xludf.DUMMYFUNCTION("""COMPUTED_VALUE"""),0.0)</f>
        <v>0</v>
      </c>
      <c r="L2531" s="139"/>
      <c r="M2531" s="139"/>
      <c r="N2531" s="139"/>
    </row>
    <row r="2532">
      <c r="A2532" s="139" t="str">
        <f>IFERROR(__xludf.DUMMYFUNCTION("""COMPUTED_VALUE"""),"e")</f>
        <v>e</v>
      </c>
      <c r="B2532" s="139">
        <f>IFERROR(__xludf.DUMMYFUNCTION("""COMPUTED_VALUE"""),2.0251201E8)</f>
        <v>202512010</v>
      </c>
      <c r="C2532" s="139" t="str">
        <f>IFERROR(__xludf.DUMMYFUNCTION("""COMPUTED_VALUE"""),"c_sur_00301_challenge_Boss_Blue_Normal_00000")</f>
        <v>c_sur_00301_challenge_Boss_Blue_Normal_00000</v>
      </c>
      <c r="D2532" s="139" t="str">
        <f>IFERROR(__xludf.DUMMYFUNCTION("""COMPUTED_VALUE"""),"c_sur_00301_challenge_Boss_Blue")</f>
        <v>c_sur_00301_challenge_Boss_Blue</v>
      </c>
      <c r="E2532" s="139">
        <f>IFERROR(__xludf.DUMMYFUNCTION("""COMPUTED_VALUE"""),0.0)</f>
        <v>0</v>
      </c>
      <c r="F2532" s="139" t="str">
        <f>IFERROR(__xludf.DUMMYFUNCTION("""COMPUTED_VALUE"""),"Normal")</f>
        <v>Normal</v>
      </c>
      <c r="G2532" s="139"/>
      <c r="H2532" s="139"/>
      <c r="I2532" s="139">
        <f>IFERROR(__xludf.DUMMYFUNCTION("""COMPUTED_VALUE"""),75.0)</f>
        <v>75</v>
      </c>
      <c r="J2532" s="139">
        <f>IFERROR(__xludf.DUMMYFUNCTION("""COMPUTED_VALUE"""),29.0)</f>
        <v>29</v>
      </c>
      <c r="K2532" s="139">
        <f>IFERROR(__xludf.DUMMYFUNCTION("""COMPUTED_VALUE"""),70.0)</f>
        <v>70</v>
      </c>
      <c r="L2532" s="139"/>
      <c r="M2532" s="139"/>
      <c r="N2532" s="139"/>
    </row>
    <row r="2533">
      <c r="A2533" s="139" t="str">
        <f>IFERROR(__xludf.DUMMYFUNCTION("""COMPUTED_VALUE"""),"e")</f>
        <v>e</v>
      </c>
      <c r="B2533" s="139">
        <f>IFERROR(__xludf.DUMMYFUNCTION("""COMPUTED_VALUE"""),2.0251201E8)</f>
        <v>202512010</v>
      </c>
      <c r="C2533" s="139" t="str">
        <f>IFERROR(__xludf.DUMMYFUNCTION("""COMPUTED_VALUE"""),"c_sur_00301_challenge_Boss_Blue_Appearance_00001")</f>
        <v>c_sur_00301_challenge_Boss_Blue_Appearance_00001</v>
      </c>
      <c r="D2533" s="139" t="str">
        <f>IFERROR(__xludf.DUMMYFUNCTION("""COMPUTED_VALUE"""),"c_sur_00301_challenge_Boss_Blue")</f>
        <v>c_sur_00301_challenge_Boss_Blue</v>
      </c>
      <c r="E2533" s="139">
        <f>IFERROR(__xludf.DUMMYFUNCTION("""COMPUTED_VALUE"""),0.0)</f>
        <v>0</v>
      </c>
      <c r="F2533" s="139" t="str">
        <f>IFERROR(__xludf.DUMMYFUNCTION("""COMPUTED_VALUE"""),"Appearance")</f>
        <v>Appearance</v>
      </c>
      <c r="G2533" s="139"/>
      <c r="H2533" s="139"/>
      <c r="I2533" s="139">
        <f>IFERROR(__xludf.DUMMYFUNCTION("""COMPUTED_VALUE"""),50.0)</f>
        <v>50</v>
      </c>
      <c r="J2533" s="139">
        <f>IFERROR(__xludf.DUMMYFUNCTION("""COMPUTED_VALUE"""),0.0)</f>
        <v>0</v>
      </c>
      <c r="K2533" s="139">
        <f>IFERROR(__xludf.DUMMYFUNCTION("""COMPUTED_VALUE"""),0.0)</f>
        <v>0</v>
      </c>
      <c r="L2533" s="139"/>
      <c r="M2533" s="139"/>
      <c r="N2533" s="139"/>
    </row>
    <row r="2534">
      <c r="A2534" s="139" t="str">
        <f>IFERROR(__xludf.DUMMYFUNCTION("""COMPUTED_VALUE"""),"e")</f>
        <v>e</v>
      </c>
      <c r="B2534" s="139">
        <f>IFERROR(__xludf.DUMMYFUNCTION("""COMPUTED_VALUE"""),2.0251201E8)</f>
        <v>202512010</v>
      </c>
      <c r="C2534" s="139" t="str">
        <f>IFERROR(__xludf.DUMMYFUNCTION("""COMPUTED_VALUE"""),"c_sur_00301_challenge_Boss_Blue_Special_00002")</f>
        <v>c_sur_00301_challenge_Boss_Blue_Special_00002</v>
      </c>
      <c r="D2534" s="139" t="str">
        <f>IFERROR(__xludf.DUMMYFUNCTION("""COMPUTED_VALUE"""),"c_sur_00301_challenge_Boss_Blue")</f>
        <v>c_sur_00301_challenge_Boss_Blue</v>
      </c>
      <c r="E2534" s="139">
        <f>IFERROR(__xludf.DUMMYFUNCTION("""COMPUTED_VALUE"""),0.0)</f>
        <v>0</v>
      </c>
      <c r="F2534" s="139" t="str">
        <f>IFERROR(__xludf.DUMMYFUNCTION("""COMPUTED_VALUE"""),"Special")</f>
        <v>Special</v>
      </c>
      <c r="G2534" s="139"/>
      <c r="H2534" s="139"/>
      <c r="I2534" s="139">
        <f>IFERROR(__xludf.DUMMYFUNCTION("""COMPUTED_VALUE"""),133.0)</f>
        <v>133</v>
      </c>
      <c r="J2534" s="139">
        <f>IFERROR(__xludf.DUMMYFUNCTION("""COMPUTED_VALUE"""),50.0)</f>
        <v>50</v>
      </c>
      <c r="K2534" s="139">
        <f>IFERROR(__xludf.DUMMYFUNCTION("""COMPUTED_VALUE"""),0.0)</f>
        <v>0</v>
      </c>
      <c r="L2534" s="139"/>
      <c r="M2534" s="139"/>
      <c r="N2534" s="139"/>
    </row>
    <row r="2535">
      <c r="A2535" s="139" t="str">
        <f>IFERROR(__xludf.DUMMYFUNCTION("""COMPUTED_VALUE"""),"e")</f>
        <v>e</v>
      </c>
      <c r="B2535" s="139">
        <f>IFERROR(__xludf.DUMMYFUNCTION("""COMPUTED_VALUE"""),2.0251201E8)</f>
        <v>202512010</v>
      </c>
      <c r="C2535" s="139" t="str">
        <f>IFERROR(__xludf.DUMMYFUNCTION("""COMPUTED_VALUE"""),"c_sur_00801_challenge_Normal_Red_Normal_00000")</f>
        <v>c_sur_00801_challenge_Normal_Red_Normal_00000</v>
      </c>
      <c r="D2535" s="139" t="str">
        <f>IFERROR(__xludf.DUMMYFUNCTION("""COMPUTED_VALUE"""),"c_sur_00801_challenge_Normal_Red")</f>
        <v>c_sur_00801_challenge_Normal_Red</v>
      </c>
      <c r="E2535" s="139">
        <f>IFERROR(__xludf.DUMMYFUNCTION("""COMPUTED_VALUE"""),0.0)</f>
        <v>0</v>
      </c>
      <c r="F2535" s="139" t="str">
        <f>IFERROR(__xludf.DUMMYFUNCTION("""COMPUTED_VALUE"""),"Normal")</f>
        <v>Normal</v>
      </c>
      <c r="G2535" s="139"/>
      <c r="H2535" s="139"/>
      <c r="I2535" s="139">
        <f>IFERROR(__xludf.DUMMYFUNCTION("""COMPUTED_VALUE"""),62.0)</f>
        <v>62</v>
      </c>
      <c r="J2535" s="139">
        <f>IFERROR(__xludf.DUMMYFUNCTION("""COMPUTED_VALUE"""),33.0)</f>
        <v>33</v>
      </c>
      <c r="K2535" s="139">
        <f>IFERROR(__xludf.DUMMYFUNCTION("""COMPUTED_VALUE"""),80.0)</f>
        <v>80</v>
      </c>
      <c r="L2535" s="139"/>
      <c r="M2535" s="139"/>
      <c r="N2535" s="139"/>
    </row>
    <row r="2536">
      <c r="A2536" s="139" t="str">
        <f>IFERROR(__xludf.DUMMYFUNCTION("""COMPUTED_VALUE"""),"e")</f>
        <v>e</v>
      </c>
      <c r="B2536" s="139">
        <f>IFERROR(__xludf.DUMMYFUNCTION("""COMPUTED_VALUE"""),2.0251201E8)</f>
        <v>202512010</v>
      </c>
      <c r="C2536" s="139" t="str">
        <f>IFERROR(__xludf.DUMMYFUNCTION("""COMPUTED_VALUE"""),"c_sur_00801_challenge_Normal_Red_Special_00001")</f>
        <v>c_sur_00801_challenge_Normal_Red_Special_00001</v>
      </c>
      <c r="D2536" s="139" t="str">
        <f>IFERROR(__xludf.DUMMYFUNCTION("""COMPUTED_VALUE"""),"c_sur_00801_challenge_Normal_Red")</f>
        <v>c_sur_00801_challenge_Normal_Red</v>
      </c>
      <c r="E2536" s="139">
        <f>IFERROR(__xludf.DUMMYFUNCTION("""COMPUTED_VALUE"""),0.0)</f>
        <v>0</v>
      </c>
      <c r="F2536" s="139" t="str">
        <f>IFERROR(__xludf.DUMMYFUNCTION("""COMPUTED_VALUE"""),"Special")</f>
        <v>Special</v>
      </c>
      <c r="G2536" s="139"/>
      <c r="H2536" s="139"/>
      <c r="I2536" s="139">
        <f>IFERROR(__xludf.DUMMYFUNCTION("""COMPUTED_VALUE"""),101.0)</f>
        <v>101</v>
      </c>
      <c r="J2536" s="139">
        <f>IFERROR(__xludf.DUMMYFUNCTION("""COMPUTED_VALUE"""),53.0)</f>
        <v>53</v>
      </c>
      <c r="K2536" s="139">
        <f>IFERROR(__xludf.DUMMYFUNCTION("""COMPUTED_VALUE"""),0.0)</f>
        <v>0</v>
      </c>
      <c r="L2536" s="139"/>
      <c r="M2536" s="139"/>
      <c r="N2536" s="139"/>
    </row>
    <row r="2537">
      <c r="A2537" s="139" t="str">
        <f>IFERROR(__xludf.DUMMYFUNCTION("""COMPUTED_VALUE"""),"e")</f>
        <v>e</v>
      </c>
      <c r="B2537" s="139">
        <f>IFERROR(__xludf.DUMMYFUNCTION("""COMPUTED_VALUE"""),2.0251201E8)</f>
        <v>202512010</v>
      </c>
      <c r="C2537" s="139" t="str">
        <f>IFERROR(__xludf.DUMMYFUNCTION("""COMPUTED_VALUE"""),"c_sur_00201_challenge_Boss_Blue_Normal_00000")</f>
        <v>c_sur_00201_challenge_Boss_Blue_Normal_00000</v>
      </c>
      <c r="D2537" s="139" t="str">
        <f>IFERROR(__xludf.DUMMYFUNCTION("""COMPUTED_VALUE"""),"c_sur_00201_challenge_Boss_Blue")</f>
        <v>c_sur_00201_challenge_Boss_Blue</v>
      </c>
      <c r="E2537" s="139">
        <f>IFERROR(__xludf.DUMMYFUNCTION("""COMPUTED_VALUE"""),0.0)</f>
        <v>0</v>
      </c>
      <c r="F2537" s="139" t="str">
        <f>IFERROR(__xludf.DUMMYFUNCTION("""COMPUTED_VALUE"""),"Normal")</f>
        <v>Normal</v>
      </c>
      <c r="G2537" s="139"/>
      <c r="H2537" s="139"/>
      <c r="I2537" s="139">
        <f>IFERROR(__xludf.DUMMYFUNCTION("""COMPUTED_VALUE"""),74.0)</f>
        <v>74</v>
      </c>
      <c r="J2537" s="139">
        <f>IFERROR(__xludf.DUMMYFUNCTION("""COMPUTED_VALUE"""),19.0)</f>
        <v>19</v>
      </c>
      <c r="K2537" s="139">
        <f>IFERROR(__xludf.DUMMYFUNCTION("""COMPUTED_VALUE"""),50.0)</f>
        <v>50</v>
      </c>
      <c r="L2537" s="139"/>
      <c r="M2537" s="139"/>
      <c r="N2537" s="139"/>
    </row>
    <row r="2538">
      <c r="A2538" s="139" t="str">
        <f>IFERROR(__xludf.DUMMYFUNCTION("""COMPUTED_VALUE"""),"e")</f>
        <v>e</v>
      </c>
      <c r="B2538" s="139">
        <f>IFERROR(__xludf.DUMMYFUNCTION("""COMPUTED_VALUE"""),2.0251201E8)</f>
        <v>202512010</v>
      </c>
      <c r="C2538" s="139" t="str">
        <f>IFERROR(__xludf.DUMMYFUNCTION("""COMPUTED_VALUE"""),"c_sur_00201_challenge_Boss_Blue_Appearance_00001")</f>
        <v>c_sur_00201_challenge_Boss_Blue_Appearance_00001</v>
      </c>
      <c r="D2538" s="139" t="str">
        <f>IFERROR(__xludf.DUMMYFUNCTION("""COMPUTED_VALUE"""),"c_sur_00201_challenge_Boss_Blue")</f>
        <v>c_sur_00201_challenge_Boss_Blue</v>
      </c>
      <c r="E2538" s="139">
        <f>IFERROR(__xludf.DUMMYFUNCTION("""COMPUTED_VALUE"""),0.0)</f>
        <v>0</v>
      </c>
      <c r="F2538" s="139" t="str">
        <f>IFERROR(__xludf.DUMMYFUNCTION("""COMPUTED_VALUE"""),"Appearance")</f>
        <v>Appearance</v>
      </c>
      <c r="G2538" s="139"/>
      <c r="H2538" s="139"/>
      <c r="I2538" s="139">
        <f>IFERROR(__xludf.DUMMYFUNCTION("""COMPUTED_VALUE"""),50.0)</f>
        <v>50</v>
      </c>
      <c r="J2538" s="139">
        <f>IFERROR(__xludf.DUMMYFUNCTION("""COMPUTED_VALUE"""),0.0)</f>
        <v>0</v>
      </c>
      <c r="K2538" s="139">
        <f>IFERROR(__xludf.DUMMYFUNCTION("""COMPUTED_VALUE"""),0.0)</f>
        <v>0</v>
      </c>
      <c r="L2538" s="139"/>
      <c r="M2538" s="139"/>
      <c r="N2538" s="139"/>
    </row>
    <row r="2539">
      <c r="A2539" s="139" t="str">
        <f>IFERROR(__xludf.DUMMYFUNCTION("""COMPUTED_VALUE"""),"e")</f>
        <v>e</v>
      </c>
      <c r="B2539" s="139">
        <f>IFERROR(__xludf.DUMMYFUNCTION("""COMPUTED_VALUE"""),2.0251201E8)</f>
        <v>202512010</v>
      </c>
      <c r="C2539" s="139" t="str">
        <f>IFERROR(__xludf.DUMMYFUNCTION("""COMPUTED_VALUE"""),"c_sur_00201_challenge_Boss_Blue_Special_00002")</f>
        <v>c_sur_00201_challenge_Boss_Blue_Special_00002</v>
      </c>
      <c r="D2539" s="139" t="str">
        <f>IFERROR(__xludf.DUMMYFUNCTION("""COMPUTED_VALUE"""),"c_sur_00201_challenge_Boss_Blue")</f>
        <v>c_sur_00201_challenge_Boss_Blue</v>
      </c>
      <c r="E2539" s="139">
        <f>IFERROR(__xludf.DUMMYFUNCTION("""COMPUTED_VALUE"""),0.0)</f>
        <v>0</v>
      </c>
      <c r="F2539" s="139" t="str">
        <f>IFERROR(__xludf.DUMMYFUNCTION("""COMPUTED_VALUE"""),"Special")</f>
        <v>Special</v>
      </c>
      <c r="G2539" s="139"/>
      <c r="H2539" s="139"/>
      <c r="I2539" s="139">
        <f>IFERROR(__xludf.DUMMYFUNCTION("""COMPUTED_VALUE"""),154.0)</f>
        <v>154</v>
      </c>
      <c r="J2539" s="139">
        <f>IFERROR(__xludf.DUMMYFUNCTION("""COMPUTED_VALUE"""),0.0)</f>
        <v>0</v>
      </c>
      <c r="K2539" s="139">
        <f>IFERROR(__xludf.DUMMYFUNCTION("""COMPUTED_VALUE"""),0.0)</f>
        <v>0</v>
      </c>
      <c r="L2539" s="139"/>
      <c r="M2539" s="139"/>
      <c r="N2539" s="139"/>
    </row>
    <row r="2540">
      <c r="A2540" s="139" t="str">
        <f>IFERROR(__xludf.DUMMYFUNCTION("""COMPUTED_VALUE"""),"e")</f>
        <v>e</v>
      </c>
      <c r="B2540" s="139">
        <f>IFERROR(__xludf.DUMMYFUNCTION("""COMPUTED_VALUE"""),2.0251201E8)</f>
        <v>202512010</v>
      </c>
      <c r="C2540" s="139" t="str">
        <f>IFERROR(__xludf.DUMMYFUNCTION("""COMPUTED_VALUE"""),"c_sur_00601_challenge_Boss_Red_Normal_00000")</f>
        <v>c_sur_00601_challenge_Boss_Red_Normal_00000</v>
      </c>
      <c r="D2540" s="139" t="str">
        <f>IFERROR(__xludf.DUMMYFUNCTION("""COMPUTED_VALUE"""),"c_sur_00601_challenge_Boss_Red")</f>
        <v>c_sur_00601_challenge_Boss_Red</v>
      </c>
      <c r="E2540" s="139">
        <f>IFERROR(__xludf.DUMMYFUNCTION("""COMPUTED_VALUE"""),0.0)</f>
        <v>0</v>
      </c>
      <c r="F2540" s="139" t="str">
        <f>IFERROR(__xludf.DUMMYFUNCTION("""COMPUTED_VALUE"""),"Normal")</f>
        <v>Normal</v>
      </c>
      <c r="G2540" s="139"/>
      <c r="H2540" s="139"/>
      <c r="I2540" s="139">
        <f>IFERROR(__xludf.DUMMYFUNCTION("""COMPUTED_VALUE"""),82.0)</f>
        <v>82</v>
      </c>
      <c r="J2540" s="139">
        <f>IFERROR(__xludf.DUMMYFUNCTION("""COMPUTED_VALUE"""),38.0)</f>
        <v>38</v>
      </c>
      <c r="K2540" s="139">
        <f>IFERROR(__xludf.DUMMYFUNCTION("""COMPUTED_VALUE"""),75.0)</f>
        <v>75</v>
      </c>
      <c r="L2540" s="139"/>
      <c r="M2540" s="139"/>
      <c r="N2540" s="139"/>
    </row>
    <row r="2541">
      <c r="A2541" s="139" t="str">
        <f>IFERROR(__xludf.DUMMYFUNCTION("""COMPUTED_VALUE"""),"e")</f>
        <v>e</v>
      </c>
      <c r="B2541" s="139">
        <f>IFERROR(__xludf.DUMMYFUNCTION("""COMPUTED_VALUE"""),2.0251201E8)</f>
        <v>202512010</v>
      </c>
      <c r="C2541" s="139" t="str">
        <f>IFERROR(__xludf.DUMMYFUNCTION("""COMPUTED_VALUE"""),"c_sur_00601_challenge_Boss_Red_Appearance_00001")</f>
        <v>c_sur_00601_challenge_Boss_Red_Appearance_00001</v>
      </c>
      <c r="D2541" s="139" t="str">
        <f>IFERROR(__xludf.DUMMYFUNCTION("""COMPUTED_VALUE"""),"c_sur_00601_challenge_Boss_Red")</f>
        <v>c_sur_00601_challenge_Boss_Red</v>
      </c>
      <c r="E2541" s="139">
        <f>IFERROR(__xludf.DUMMYFUNCTION("""COMPUTED_VALUE"""),0.0)</f>
        <v>0</v>
      </c>
      <c r="F2541" s="139" t="str">
        <f>IFERROR(__xludf.DUMMYFUNCTION("""COMPUTED_VALUE"""),"Appearance")</f>
        <v>Appearance</v>
      </c>
      <c r="G2541" s="139"/>
      <c r="H2541" s="139"/>
      <c r="I2541" s="139">
        <f>IFERROR(__xludf.DUMMYFUNCTION("""COMPUTED_VALUE"""),50.0)</f>
        <v>50</v>
      </c>
      <c r="J2541" s="139">
        <f>IFERROR(__xludf.DUMMYFUNCTION("""COMPUTED_VALUE"""),0.0)</f>
        <v>0</v>
      </c>
      <c r="K2541" s="139">
        <f>IFERROR(__xludf.DUMMYFUNCTION("""COMPUTED_VALUE"""),0.0)</f>
        <v>0</v>
      </c>
      <c r="L2541" s="139"/>
      <c r="M2541" s="139"/>
      <c r="N2541" s="139"/>
    </row>
    <row r="2542">
      <c r="A2542" s="139" t="str">
        <f>IFERROR(__xludf.DUMMYFUNCTION("""COMPUTED_VALUE"""),"e")</f>
        <v>e</v>
      </c>
      <c r="B2542" s="139">
        <f>IFERROR(__xludf.DUMMYFUNCTION("""COMPUTED_VALUE"""),2.0251201E8)</f>
        <v>202512010</v>
      </c>
      <c r="C2542" s="139" t="str">
        <f>IFERROR(__xludf.DUMMYFUNCTION("""COMPUTED_VALUE"""),"c_sur_00601_challenge_Boss_Red_Special_00002")</f>
        <v>c_sur_00601_challenge_Boss_Red_Special_00002</v>
      </c>
      <c r="D2542" s="139" t="str">
        <f>IFERROR(__xludf.DUMMYFUNCTION("""COMPUTED_VALUE"""),"c_sur_00601_challenge_Boss_Red")</f>
        <v>c_sur_00601_challenge_Boss_Red</v>
      </c>
      <c r="E2542" s="139">
        <f>IFERROR(__xludf.DUMMYFUNCTION("""COMPUTED_VALUE"""),0.0)</f>
        <v>0</v>
      </c>
      <c r="F2542" s="139" t="str">
        <f>IFERROR(__xludf.DUMMYFUNCTION("""COMPUTED_VALUE"""),"Special")</f>
        <v>Special</v>
      </c>
      <c r="G2542" s="139"/>
      <c r="H2542" s="139"/>
      <c r="I2542" s="139">
        <f>IFERROR(__xludf.DUMMYFUNCTION("""COMPUTED_VALUE"""),167.0)</f>
        <v>167</v>
      </c>
      <c r="J2542" s="139">
        <f>IFERROR(__xludf.DUMMYFUNCTION("""COMPUTED_VALUE"""),60.0)</f>
        <v>60</v>
      </c>
      <c r="K2542" s="139">
        <f>IFERROR(__xludf.DUMMYFUNCTION("""COMPUTED_VALUE"""),0.0)</f>
        <v>0</v>
      </c>
      <c r="L2542" s="139"/>
      <c r="M2542" s="139"/>
      <c r="N2542" s="139"/>
    </row>
    <row r="2543">
      <c r="A2543" s="139" t="str">
        <f>IFERROR(__xludf.DUMMYFUNCTION("""COMPUTED_VALUE"""),"e")</f>
        <v>e</v>
      </c>
      <c r="B2543" s="139">
        <f>IFERROR(__xludf.DUMMYFUNCTION("""COMPUTED_VALUE"""),2.0251201E8)</f>
        <v>202512010</v>
      </c>
      <c r="C2543" s="139" t="str">
        <f>IFERROR(__xludf.DUMMYFUNCTION("""COMPUTED_VALUE"""),"c_sur_00101_challenge_Boss_Green_Normal_00000")</f>
        <v>c_sur_00101_challenge_Boss_Green_Normal_00000</v>
      </c>
      <c r="D2543" s="139" t="str">
        <f>IFERROR(__xludf.DUMMYFUNCTION("""COMPUTED_VALUE"""),"c_sur_00101_challenge_Boss_Green")</f>
        <v>c_sur_00101_challenge_Boss_Green</v>
      </c>
      <c r="E2543" s="139">
        <f>IFERROR(__xludf.DUMMYFUNCTION("""COMPUTED_VALUE"""),0.0)</f>
        <v>0</v>
      </c>
      <c r="F2543" s="139" t="str">
        <f>IFERROR(__xludf.DUMMYFUNCTION("""COMPUTED_VALUE"""),"Normal")</f>
        <v>Normal</v>
      </c>
      <c r="G2543" s="139"/>
      <c r="H2543" s="139"/>
      <c r="I2543" s="139">
        <f>IFERROR(__xludf.DUMMYFUNCTION("""COMPUTED_VALUE"""),70.0)</f>
        <v>70</v>
      </c>
      <c r="J2543" s="139">
        <f>IFERROR(__xludf.DUMMYFUNCTION("""COMPUTED_VALUE"""),17.0)</f>
        <v>17</v>
      </c>
      <c r="K2543" s="139">
        <f>IFERROR(__xludf.DUMMYFUNCTION("""COMPUTED_VALUE"""),70.0)</f>
        <v>70</v>
      </c>
      <c r="L2543" s="139"/>
      <c r="M2543" s="139"/>
      <c r="N2543" s="139"/>
    </row>
    <row r="2544">
      <c r="A2544" s="139" t="str">
        <f>IFERROR(__xludf.DUMMYFUNCTION("""COMPUTED_VALUE"""),"e")</f>
        <v>e</v>
      </c>
      <c r="B2544" s="139">
        <f>IFERROR(__xludf.DUMMYFUNCTION("""COMPUTED_VALUE"""),2.0251201E8)</f>
        <v>202512010</v>
      </c>
      <c r="C2544" s="139" t="str">
        <f>IFERROR(__xludf.DUMMYFUNCTION("""COMPUTED_VALUE"""),"c_sur_00101_challenge_Boss_Green_Appearance_00001")</f>
        <v>c_sur_00101_challenge_Boss_Green_Appearance_00001</v>
      </c>
      <c r="D2544" s="139" t="str">
        <f>IFERROR(__xludf.DUMMYFUNCTION("""COMPUTED_VALUE"""),"c_sur_00101_challenge_Boss_Green")</f>
        <v>c_sur_00101_challenge_Boss_Green</v>
      </c>
      <c r="E2544" s="139">
        <f>IFERROR(__xludf.DUMMYFUNCTION("""COMPUTED_VALUE"""),0.0)</f>
        <v>0</v>
      </c>
      <c r="F2544" s="139" t="str">
        <f>IFERROR(__xludf.DUMMYFUNCTION("""COMPUTED_VALUE"""),"Appearance")</f>
        <v>Appearance</v>
      </c>
      <c r="G2544" s="139"/>
      <c r="H2544" s="139"/>
      <c r="I2544" s="139">
        <f>IFERROR(__xludf.DUMMYFUNCTION("""COMPUTED_VALUE"""),50.0)</f>
        <v>50</v>
      </c>
      <c r="J2544" s="139">
        <f>IFERROR(__xludf.DUMMYFUNCTION("""COMPUTED_VALUE"""),0.0)</f>
        <v>0</v>
      </c>
      <c r="K2544" s="139">
        <f>IFERROR(__xludf.DUMMYFUNCTION("""COMPUTED_VALUE"""),0.0)</f>
        <v>0</v>
      </c>
      <c r="L2544" s="139"/>
      <c r="M2544" s="139"/>
      <c r="N2544" s="139"/>
    </row>
    <row r="2545">
      <c r="A2545" s="139" t="str">
        <f>IFERROR(__xludf.DUMMYFUNCTION("""COMPUTED_VALUE"""),"e")</f>
        <v>e</v>
      </c>
      <c r="B2545" s="139">
        <f>IFERROR(__xludf.DUMMYFUNCTION("""COMPUTED_VALUE"""),2.0251201E8)</f>
        <v>202512010</v>
      </c>
      <c r="C2545" s="139" t="str">
        <f>IFERROR(__xludf.DUMMYFUNCTION("""COMPUTED_VALUE"""),"c_sur_00101_challenge_Boss_Green_Special_00002")</f>
        <v>c_sur_00101_challenge_Boss_Green_Special_00002</v>
      </c>
      <c r="D2545" s="139" t="str">
        <f>IFERROR(__xludf.DUMMYFUNCTION("""COMPUTED_VALUE"""),"c_sur_00101_challenge_Boss_Green")</f>
        <v>c_sur_00101_challenge_Boss_Green</v>
      </c>
      <c r="E2545" s="139">
        <f>IFERROR(__xludf.DUMMYFUNCTION("""COMPUTED_VALUE"""),0.0)</f>
        <v>0</v>
      </c>
      <c r="F2545" s="139" t="str">
        <f>IFERROR(__xludf.DUMMYFUNCTION("""COMPUTED_VALUE"""),"Special")</f>
        <v>Special</v>
      </c>
      <c r="G2545" s="139"/>
      <c r="H2545" s="139"/>
      <c r="I2545" s="139">
        <f>IFERROR(__xludf.DUMMYFUNCTION("""COMPUTED_VALUE"""),134.0)</f>
        <v>134</v>
      </c>
      <c r="J2545" s="139">
        <f>IFERROR(__xludf.DUMMYFUNCTION("""COMPUTED_VALUE"""),0.0)</f>
        <v>0</v>
      </c>
      <c r="K2545" s="139">
        <f>IFERROR(__xludf.DUMMYFUNCTION("""COMPUTED_VALUE"""),0.0)</f>
        <v>0</v>
      </c>
      <c r="L2545" s="139"/>
      <c r="M2545" s="139"/>
      <c r="N2545" s="139"/>
    </row>
    <row r="2546">
      <c r="A2546" s="139" t="str">
        <f>IFERROR(__xludf.DUMMYFUNCTION("""COMPUTED_VALUE"""),"e")</f>
        <v>e</v>
      </c>
      <c r="B2546" s="139">
        <f>IFERROR(__xludf.DUMMYFUNCTION("""COMPUTED_VALUE"""),2.0251201E8)</f>
        <v>202512010</v>
      </c>
      <c r="C2546" s="139" t="str">
        <f>IFERROR(__xludf.DUMMYFUNCTION("""COMPUTED_VALUE"""),"c_sur_00501_challenge_Boss_Yellow_Normal_00000")</f>
        <v>c_sur_00501_challenge_Boss_Yellow_Normal_00000</v>
      </c>
      <c r="D2546" s="139" t="str">
        <f>IFERROR(__xludf.DUMMYFUNCTION("""COMPUTED_VALUE"""),"c_sur_00501_challenge_Boss_Yellow")</f>
        <v>c_sur_00501_challenge_Boss_Yellow</v>
      </c>
      <c r="E2546" s="139">
        <f>IFERROR(__xludf.DUMMYFUNCTION("""COMPUTED_VALUE"""),0.0)</f>
        <v>0</v>
      </c>
      <c r="F2546" s="139" t="str">
        <f>IFERROR(__xludf.DUMMYFUNCTION("""COMPUTED_VALUE"""),"Normal")</f>
        <v>Normal</v>
      </c>
      <c r="G2546" s="139"/>
      <c r="H2546" s="139"/>
      <c r="I2546" s="139">
        <f>IFERROR(__xludf.DUMMYFUNCTION("""COMPUTED_VALUE"""),86.0)</f>
        <v>86</v>
      </c>
      <c r="J2546" s="139">
        <f>IFERROR(__xludf.DUMMYFUNCTION("""COMPUTED_VALUE"""),47.0)</f>
        <v>47</v>
      </c>
      <c r="K2546" s="139">
        <f>IFERROR(__xludf.DUMMYFUNCTION("""COMPUTED_VALUE"""),100.0)</f>
        <v>100</v>
      </c>
      <c r="L2546" s="139"/>
      <c r="M2546" s="139"/>
      <c r="N2546" s="139"/>
    </row>
    <row r="2547">
      <c r="A2547" s="139" t="str">
        <f>IFERROR(__xludf.DUMMYFUNCTION("""COMPUTED_VALUE"""),"e")</f>
        <v>e</v>
      </c>
      <c r="B2547" s="139">
        <f>IFERROR(__xludf.DUMMYFUNCTION("""COMPUTED_VALUE"""),2.0251201E8)</f>
        <v>202512010</v>
      </c>
      <c r="C2547" s="139" t="str">
        <f>IFERROR(__xludf.DUMMYFUNCTION("""COMPUTED_VALUE"""),"c_sur_00501_challenge_Boss_Yellow_Appearance_00001")</f>
        <v>c_sur_00501_challenge_Boss_Yellow_Appearance_00001</v>
      </c>
      <c r="D2547" s="139" t="str">
        <f>IFERROR(__xludf.DUMMYFUNCTION("""COMPUTED_VALUE"""),"c_sur_00501_challenge_Boss_Yellow")</f>
        <v>c_sur_00501_challenge_Boss_Yellow</v>
      </c>
      <c r="E2547" s="139">
        <f>IFERROR(__xludf.DUMMYFUNCTION("""COMPUTED_VALUE"""),0.0)</f>
        <v>0</v>
      </c>
      <c r="F2547" s="139" t="str">
        <f>IFERROR(__xludf.DUMMYFUNCTION("""COMPUTED_VALUE"""),"Appearance")</f>
        <v>Appearance</v>
      </c>
      <c r="G2547" s="139"/>
      <c r="H2547" s="139"/>
      <c r="I2547" s="139">
        <f>IFERROR(__xludf.DUMMYFUNCTION("""COMPUTED_VALUE"""),50.0)</f>
        <v>50</v>
      </c>
      <c r="J2547" s="139">
        <f>IFERROR(__xludf.DUMMYFUNCTION("""COMPUTED_VALUE"""),0.0)</f>
        <v>0</v>
      </c>
      <c r="K2547" s="139">
        <f>IFERROR(__xludf.DUMMYFUNCTION("""COMPUTED_VALUE"""),0.0)</f>
        <v>0</v>
      </c>
      <c r="L2547" s="139"/>
      <c r="M2547" s="139"/>
      <c r="N2547" s="139"/>
    </row>
    <row r="2548">
      <c r="A2548" s="139" t="str">
        <f>IFERROR(__xludf.DUMMYFUNCTION("""COMPUTED_VALUE"""),"e")</f>
        <v>e</v>
      </c>
      <c r="B2548" s="139">
        <f>IFERROR(__xludf.DUMMYFUNCTION("""COMPUTED_VALUE"""),2.0251201E8)</f>
        <v>202512010</v>
      </c>
      <c r="C2548" s="139" t="str">
        <f>IFERROR(__xludf.DUMMYFUNCTION("""COMPUTED_VALUE"""),"c_sur_00501_challenge_Boss_Yellow_Special_00002")</f>
        <v>c_sur_00501_challenge_Boss_Yellow_Special_00002</v>
      </c>
      <c r="D2548" s="139" t="str">
        <f>IFERROR(__xludf.DUMMYFUNCTION("""COMPUTED_VALUE"""),"c_sur_00501_challenge_Boss_Yellow")</f>
        <v>c_sur_00501_challenge_Boss_Yellow</v>
      </c>
      <c r="E2548" s="139">
        <f>IFERROR(__xludf.DUMMYFUNCTION("""COMPUTED_VALUE"""),0.0)</f>
        <v>0</v>
      </c>
      <c r="F2548" s="139" t="str">
        <f>IFERROR(__xludf.DUMMYFUNCTION("""COMPUTED_VALUE"""),"Special")</f>
        <v>Special</v>
      </c>
      <c r="G2548" s="139"/>
      <c r="H2548" s="139"/>
      <c r="I2548" s="139">
        <f>IFERROR(__xludf.DUMMYFUNCTION("""COMPUTED_VALUE"""),134.0)</f>
        <v>134</v>
      </c>
      <c r="J2548" s="139">
        <f>IFERROR(__xludf.DUMMYFUNCTION("""COMPUTED_VALUE"""),77.0)</f>
        <v>77</v>
      </c>
      <c r="K2548" s="139">
        <f>IFERROR(__xludf.DUMMYFUNCTION("""COMPUTED_VALUE"""),0.0)</f>
        <v>0</v>
      </c>
      <c r="L2548" s="139"/>
      <c r="M2548" s="139"/>
      <c r="N2548" s="139"/>
    </row>
    <row r="2549">
      <c r="A2549" s="139"/>
      <c r="B2549" s="139"/>
      <c r="C2549" s="139"/>
      <c r="D2549" s="139"/>
      <c r="E2549" s="139"/>
      <c r="F2549" s="139"/>
      <c r="G2549" s="139"/>
      <c r="H2549" s="139"/>
      <c r="I2549" s="139"/>
      <c r="J2549" s="139"/>
      <c r="K2549" s="139"/>
      <c r="L2549" s="139"/>
      <c r="M2549" s="139"/>
      <c r="N2549" s="139"/>
    </row>
    <row r="2550">
      <c r="A2550" s="139" t="str">
        <f>IFERROR(__xludf.DUMMYFUNCTION("""COMPUTED_VALUE"""),"e")</f>
        <v>e</v>
      </c>
      <c r="B2550" s="139">
        <f>IFERROR(__xludf.DUMMYFUNCTION("""COMPUTED_VALUE"""),2.0251202E8)</f>
        <v>202512020</v>
      </c>
      <c r="C2550" s="139" t="str">
        <f>IFERROR(__xludf.DUMMYFUNCTION("""COMPUTED_VALUE"""),"e_glo_00002_osh1_1d1c_Normal_Colorless_Normal_00000")</f>
        <v>e_glo_00002_osh1_1d1c_Normal_Colorless_Normal_00000</v>
      </c>
      <c r="D2550" s="139" t="str">
        <f>IFERROR(__xludf.DUMMYFUNCTION("""COMPUTED_VALUE"""),"e_glo_00002_osh1_1d1c_Normal_Colorless")</f>
        <v>e_glo_00002_osh1_1d1c_Normal_Colorless</v>
      </c>
      <c r="E2550" s="139">
        <f>IFERROR(__xludf.DUMMYFUNCTION("""COMPUTED_VALUE"""),0.0)</f>
        <v>0</v>
      </c>
      <c r="F2550" s="139" t="str">
        <f>IFERROR(__xludf.DUMMYFUNCTION("""COMPUTED_VALUE"""),"Normal")</f>
        <v>Normal</v>
      </c>
      <c r="G2550" s="139"/>
      <c r="H2550" s="139"/>
      <c r="I2550" s="139">
        <f>IFERROR(__xludf.DUMMYFUNCTION("""COMPUTED_VALUE"""),59.0)</f>
        <v>59</v>
      </c>
      <c r="J2550" s="139">
        <f>IFERROR(__xludf.DUMMYFUNCTION("""COMPUTED_VALUE"""),30.0)</f>
        <v>30</v>
      </c>
      <c r="K2550" s="139">
        <f>IFERROR(__xludf.DUMMYFUNCTION("""COMPUTED_VALUE"""),100.0)</f>
        <v>100</v>
      </c>
      <c r="L2550" s="139"/>
      <c r="M2550" s="139"/>
      <c r="N2550" s="139"/>
    </row>
    <row r="2551">
      <c r="A2551" s="139" t="str">
        <f>IFERROR(__xludf.DUMMYFUNCTION("""COMPUTED_VALUE"""),"e")</f>
        <v>e</v>
      </c>
      <c r="B2551" s="139">
        <f>IFERROR(__xludf.DUMMYFUNCTION("""COMPUTED_VALUE"""),2.0251202E8)</f>
        <v>202512020</v>
      </c>
      <c r="C2551" s="139" t="str">
        <f>IFERROR(__xludf.DUMMYFUNCTION("""COMPUTED_VALUE"""),"c_osh_00601_osh1_boot_tan_Normal_Colorless_Normal_00000")</f>
        <v>c_osh_00601_osh1_boot_tan_Normal_Colorless_Normal_00000</v>
      </c>
      <c r="D2551" s="139" t="str">
        <f>IFERROR(__xludf.DUMMYFUNCTION("""COMPUTED_VALUE"""),"c_osh_00601_osh1_boot_tan_Normal_Colorless")</f>
        <v>c_osh_00601_osh1_boot_tan_Normal_Colorless</v>
      </c>
      <c r="E2551" s="139">
        <f>IFERROR(__xludf.DUMMYFUNCTION("""COMPUTED_VALUE"""),0.0)</f>
        <v>0</v>
      </c>
      <c r="F2551" s="139" t="str">
        <f>IFERROR(__xludf.DUMMYFUNCTION("""COMPUTED_VALUE"""),"Normal")</f>
        <v>Normal</v>
      </c>
      <c r="G2551" s="139"/>
      <c r="H2551" s="139"/>
      <c r="I2551" s="139">
        <f>IFERROR(__xludf.DUMMYFUNCTION("""COMPUTED_VALUE"""),55.0)</f>
        <v>55</v>
      </c>
      <c r="J2551" s="139">
        <f>IFERROR(__xludf.DUMMYFUNCTION("""COMPUTED_VALUE"""),0.0)</f>
        <v>0</v>
      </c>
      <c r="K2551" s="139">
        <f>IFERROR(__xludf.DUMMYFUNCTION("""COMPUTED_VALUE"""),80.0)</f>
        <v>80</v>
      </c>
      <c r="L2551" s="139"/>
      <c r="M2551" s="139"/>
      <c r="N2551" s="139"/>
    </row>
    <row r="2552">
      <c r="A2552" s="139" t="str">
        <f>IFERROR(__xludf.DUMMYFUNCTION("""COMPUTED_VALUE"""),"e")</f>
        <v>e</v>
      </c>
      <c r="B2552" s="139">
        <f>IFERROR(__xludf.DUMMYFUNCTION("""COMPUTED_VALUE"""),2.0251202E8)</f>
        <v>202512020</v>
      </c>
      <c r="C2552" s="139" t="str">
        <f>IFERROR(__xludf.DUMMYFUNCTION("""COMPUTED_VALUE"""),"c_osh_00601_osh1_boot_huku_Boss_Colorless_Normal_00000")</f>
        <v>c_osh_00601_osh1_boot_huku_Boss_Colorless_Normal_00000</v>
      </c>
      <c r="D2552" s="139" t="str">
        <f>IFERROR(__xludf.DUMMYFUNCTION("""COMPUTED_VALUE"""),"c_osh_00601_osh1_boot_huku_Boss_Colorless")</f>
        <v>c_osh_00601_osh1_boot_huku_Boss_Colorless</v>
      </c>
      <c r="E2552" s="139">
        <f>IFERROR(__xludf.DUMMYFUNCTION("""COMPUTED_VALUE"""),0.0)</f>
        <v>0</v>
      </c>
      <c r="F2552" s="139" t="str">
        <f>IFERROR(__xludf.DUMMYFUNCTION("""COMPUTED_VALUE"""),"Normal")</f>
        <v>Normal</v>
      </c>
      <c r="G2552" s="139"/>
      <c r="H2552" s="139"/>
      <c r="I2552" s="139">
        <f>IFERROR(__xludf.DUMMYFUNCTION("""COMPUTED_VALUE"""),55.0)</f>
        <v>55</v>
      </c>
      <c r="J2552" s="139">
        <f>IFERROR(__xludf.DUMMYFUNCTION("""COMPUTED_VALUE"""),0.0)</f>
        <v>0</v>
      </c>
      <c r="K2552" s="139">
        <f>IFERROR(__xludf.DUMMYFUNCTION("""COMPUTED_VALUE"""),60.0)</f>
        <v>60</v>
      </c>
      <c r="L2552" s="139"/>
      <c r="M2552" s="139"/>
      <c r="N2552" s="139"/>
    </row>
    <row r="2553">
      <c r="A2553" s="139" t="str">
        <f>IFERROR(__xludf.DUMMYFUNCTION("""COMPUTED_VALUE"""),"e")</f>
        <v>e</v>
      </c>
      <c r="B2553" s="139">
        <f>IFERROR(__xludf.DUMMYFUNCTION("""COMPUTED_VALUE"""),2.0251202E8)</f>
        <v>202512020</v>
      </c>
      <c r="C2553" s="139" t="str">
        <f>IFERROR(__xludf.DUMMYFUNCTION("""COMPUTED_VALUE"""),"c_osh_00601_osh1_boot_huku_Boss_Colorless_Special_00001")</f>
        <v>c_osh_00601_osh1_boot_huku_Boss_Colorless_Special_00001</v>
      </c>
      <c r="D2553" s="139" t="str">
        <f>IFERROR(__xludf.DUMMYFUNCTION("""COMPUTED_VALUE"""),"c_osh_00601_osh1_boot_huku_Boss_Colorless")</f>
        <v>c_osh_00601_osh1_boot_huku_Boss_Colorless</v>
      </c>
      <c r="E2553" s="139">
        <f>IFERROR(__xludf.DUMMYFUNCTION("""COMPUTED_VALUE"""),0.0)</f>
        <v>0</v>
      </c>
      <c r="F2553" s="139" t="str">
        <f>IFERROR(__xludf.DUMMYFUNCTION("""COMPUTED_VALUE"""),"Special")</f>
        <v>Special</v>
      </c>
      <c r="G2553" s="139"/>
      <c r="H2553" s="139"/>
      <c r="I2553" s="139">
        <f>IFERROR(__xludf.DUMMYFUNCTION("""COMPUTED_VALUE"""),95.0)</f>
        <v>95</v>
      </c>
      <c r="J2553" s="139">
        <f>IFERROR(__xludf.DUMMYFUNCTION("""COMPUTED_VALUE"""),20.0)</f>
        <v>20</v>
      </c>
      <c r="K2553" s="139">
        <f>IFERROR(__xludf.DUMMYFUNCTION("""COMPUTED_VALUE"""),0.0)</f>
        <v>0</v>
      </c>
      <c r="L2553" s="139"/>
      <c r="M2553" s="139"/>
      <c r="N2553" s="139"/>
    </row>
    <row r="2554">
      <c r="A2554" s="139" t="str">
        <f>IFERROR(__xludf.DUMMYFUNCTION("""COMPUTED_VALUE"""),"e")</f>
        <v>e</v>
      </c>
      <c r="B2554" s="139">
        <f>IFERROR(__xludf.DUMMYFUNCTION("""COMPUTED_VALUE"""),2.0251202E8)</f>
        <v>202512020</v>
      </c>
      <c r="C2554" s="139" t="str">
        <f>IFERROR(__xludf.DUMMYFUNCTION("""COMPUTED_VALUE"""),"c_osh_00601_osh1_boot_huku_Boss_Colorless_Appearance_00002")</f>
        <v>c_osh_00601_osh1_boot_huku_Boss_Colorless_Appearance_00002</v>
      </c>
      <c r="D2554" s="139" t="str">
        <f>IFERROR(__xludf.DUMMYFUNCTION("""COMPUTED_VALUE"""),"c_osh_00601_osh1_boot_huku_Boss_Colorless")</f>
        <v>c_osh_00601_osh1_boot_huku_Boss_Colorless</v>
      </c>
      <c r="E2554" s="139">
        <f>IFERROR(__xludf.DUMMYFUNCTION("""COMPUTED_VALUE"""),0.0)</f>
        <v>0</v>
      </c>
      <c r="F2554" s="139" t="str">
        <f>IFERROR(__xludf.DUMMYFUNCTION("""COMPUTED_VALUE"""),"Appearance")</f>
        <v>Appearance</v>
      </c>
      <c r="G2554" s="139"/>
      <c r="H2554" s="139"/>
      <c r="I2554" s="139">
        <f>IFERROR(__xludf.DUMMYFUNCTION("""COMPUTED_VALUE"""),50.0)</f>
        <v>50</v>
      </c>
      <c r="J2554" s="139">
        <f>IFERROR(__xludf.DUMMYFUNCTION("""COMPUTED_VALUE"""),0.0)</f>
        <v>0</v>
      </c>
      <c r="K2554" s="139">
        <f>IFERROR(__xludf.DUMMYFUNCTION("""COMPUTED_VALUE"""),0.0)</f>
        <v>0</v>
      </c>
      <c r="L2554" s="139"/>
      <c r="M2554" s="139"/>
      <c r="N2554" s="139"/>
    </row>
    <row r="2555">
      <c r="A2555" s="139" t="str">
        <f>IFERROR(__xludf.DUMMYFUNCTION("""COMPUTED_VALUE"""),"e")</f>
        <v>e</v>
      </c>
      <c r="B2555" s="139">
        <f>IFERROR(__xludf.DUMMYFUNCTION("""COMPUTED_VALUE"""),2.0251202E8)</f>
        <v>202512020</v>
      </c>
      <c r="C2555" s="139" t="str">
        <f>IFERROR(__xludf.DUMMYFUNCTION("""COMPUTED_VALUE"""),"e_glo_00001_osh1_boot_Normal_Colorless_Normal_00000")</f>
        <v>e_glo_00001_osh1_boot_Normal_Colorless_Normal_00000</v>
      </c>
      <c r="D2555" s="139" t="str">
        <f>IFERROR(__xludf.DUMMYFUNCTION("""COMPUTED_VALUE"""),"e_glo_00001_osh1_boot_Normal_Colorless")</f>
        <v>e_glo_00001_osh1_boot_Normal_Colorless</v>
      </c>
      <c r="E2555" s="139">
        <f>IFERROR(__xludf.DUMMYFUNCTION("""COMPUTED_VALUE"""),0.0)</f>
        <v>0</v>
      </c>
      <c r="F2555" s="139" t="str">
        <f>IFERROR(__xludf.DUMMYFUNCTION("""COMPUTED_VALUE"""),"Normal")</f>
        <v>Normal</v>
      </c>
      <c r="G2555" s="139"/>
      <c r="H2555" s="139"/>
      <c r="I2555" s="139">
        <f>IFERROR(__xludf.DUMMYFUNCTION("""COMPUTED_VALUE"""),50.0)</f>
        <v>50</v>
      </c>
      <c r="J2555" s="139">
        <f>IFERROR(__xludf.DUMMYFUNCTION("""COMPUTED_VALUE"""),25.0)</f>
        <v>25</v>
      </c>
      <c r="K2555" s="139">
        <f>IFERROR(__xludf.DUMMYFUNCTION("""COMPUTED_VALUE"""),100.0)</f>
        <v>100</v>
      </c>
      <c r="L2555" s="139"/>
      <c r="M2555" s="139"/>
      <c r="N2555" s="139"/>
    </row>
    <row r="2556">
      <c r="A2556" s="139" t="str">
        <f>IFERROR(__xludf.DUMMYFUNCTION("""COMPUTED_VALUE"""),"e")</f>
        <v>e</v>
      </c>
      <c r="B2556" s="139">
        <f>IFERROR(__xludf.DUMMYFUNCTION("""COMPUTED_VALUE"""),2.0251202E8)</f>
        <v>202512020</v>
      </c>
      <c r="C2556" s="139" t="str">
        <f>IFERROR(__xludf.DUMMYFUNCTION("""COMPUTED_VALUE"""),"c_osh_00001_charaget_repeat_Boss_Colorless_Normal_00000")</f>
        <v>c_osh_00001_charaget_repeat_Boss_Colorless_Normal_00000</v>
      </c>
      <c r="D2556" s="139" t="str">
        <f>IFERROR(__xludf.DUMMYFUNCTION("""COMPUTED_VALUE"""),"c_osh_00001_charaget_repeat_Boss_Colorless")</f>
        <v>c_osh_00001_charaget_repeat_Boss_Colorless</v>
      </c>
      <c r="E2556" s="139">
        <f>IFERROR(__xludf.DUMMYFUNCTION("""COMPUTED_VALUE"""),0.0)</f>
        <v>0</v>
      </c>
      <c r="F2556" s="139" t="str">
        <f>IFERROR(__xludf.DUMMYFUNCTION("""COMPUTED_VALUE"""),"Normal")</f>
        <v>Normal</v>
      </c>
      <c r="G2556" s="139"/>
      <c r="H2556" s="139"/>
      <c r="I2556" s="139">
        <f>IFERROR(__xludf.DUMMYFUNCTION("""COMPUTED_VALUE"""),80.0)</f>
        <v>80</v>
      </c>
      <c r="J2556" s="139">
        <f>IFERROR(__xludf.DUMMYFUNCTION("""COMPUTED_VALUE"""),22.0)</f>
        <v>22</v>
      </c>
      <c r="K2556" s="139">
        <f>IFERROR(__xludf.DUMMYFUNCTION("""COMPUTED_VALUE"""),50.0)</f>
        <v>50</v>
      </c>
      <c r="L2556" s="139"/>
      <c r="M2556" s="139"/>
      <c r="N2556" s="139"/>
    </row>
    <row r="2557">
      <c r="A2557" s="139" t="str">
        <f>IFERROR(__xludf.DUMMYFUNCTION("""COMPUTED_VALUE"""),"e")</f>
        <v>e</v>
      </c>
      <c r="B2557" s="139">
        <f>IFERROR(__xludf.DUMMYFUNCTION("""COMPUTED_VALUE"""),2.0251202E8)</f>
        <v>202512020</v>
      </c>
      <c r="C2557" s="139" t="str">
        <f>IFERROR(__xludf.DUMMYFUNCTION("""COMPUTED_VALUE"""),"c_osh_00001_charaget_repeat_Boss_Colorless_Special_00001")</f>
        <v>c_osh_00001_charaget_repeat_Boss_Colorless_Special_00001</v>
      </c>
      <c r="D2557" s="139" t="str">
        <f>IFERROR(__xludf.DUMMYFUNCTION("""COMPUTED_VALUE"""),"c_osh_00001_charaget_repeat_Boss_Colorless")</f>
        <v>c_osh_00001_charaget_repeat_Boss_Colorless</v>
      </c>
      <c r="E2557" s="139">
        <f>IFERROR(__xludf.DUMMYFUNCTION("""COMPUTED_VALUE"""),0.0)</f>
        <v>0</v>
      </c>
      <c r="F2557" s="139" t="str">
        <f>IFERROR(__xludf.DUMMYFUNCTION("""COMPUTED_VALUE"""),"Special")</f>
        <v>Special</v>
      </c>
      <c r="G2557" s="139"/>
      <c r="H2557" s="139"/>
      <c r="I2557" s="139">
        <f>IFERROR(__xludf.DUMMYFUNCTION("""COMPUTED_VALUE"""),162.0)</f>
        <v>162</v>
      </c>
      <c r="J2557" s="139">
        <f>IFERROR(__xludf.DUMMYFUNCTION("""COMPUTED_VALUE"""),92.0)</f>
        <v>92</v>
      </c>
      <c r="K2557" s="139">
        <f>IFERROR(__xludf.DUMMYFUNCTION("""COMPUTED_VALUE"""),0.0)</f>
        <v>0</v>
      </c>
      <c r="L2557" s="139"/>
      <c r="M2557" s="139"/>
      <c r="N2557" s="139"/>
    </row>
    <row r="2558">
      <c r="A2558" s="139" t="str">
        <f>IFERROR(__xludf.DUMMYFUNCTION("""COMPUTED_VALUE"""),"e")</f>
        <v>e</v>
      </c>
      <c r="B2558" s="139">
        <f>IFERROR(__xludf.DUMMYFUNCTION("""COMPUTED_VALUE"""),2.0251202E8)</f>
        <v>202512020</v>
      </c>
      <c r="C2558" s="139" t="str">
        <f>IFERROR(__xludf.DUMMYFUNCTION("""COMPUTED_VALUE"""),"c_osh_00001_charaget_repeat_Boss_Colorless_Appearance_00002")</f>
        <v>c_osh_00001_charaget_repeat_Boss_Colorless_Appearance_00002</v>
      </c>
      <c r="D2558" s="139" t="str">
        <f>IFERROR(__xludf.DUMMYFUNCTION("""COMPUTED_VALUE"""),"c_osh_00001_charaget_repeat_Boss_Colorless")</f>
        <v>c_osh_00001_charaget_repeat_Boss_Colorless</v>
      </c>
      <c r="E2558" s="139">
        <f>IFERROR(__xludf.DUMMYFUNCTION("""COMPUTED_VALUE"""),0.0)</f>
        <v>0</v>
      </c>
      <c r="F2558" s="139" t="str">
        <f>IFERROR(__xludf.DUMMYFUNCTION("""COMPUTED_VALUE"""),"Appearance")</f>
        <v>Appearance</v>
      </c>
      <c r="G2558" s="139"/>
      <c r="H2558" s="139"/>
      <c r="I2558" s="139">
        <f>IFERROR(__xludf.DUMMYFUNCTION("""COMPUTED_VALUE"""),50.0)</f>
        <v>50</v>
      </c>
      <c r="J2558" s="139">
        <f>IFERROR(__xludf.DUMMYFUNCTION("""COMPUTED_VALUE"""),0.0)</f>
        <v>0</v>
      </c>
      <c r="K2558" s="139">
        <f>IFERROR(__xludf.DUMMYFUNCTION("""COMPUTED_VALUE"""),0.0)</f>
        <v>0</v>
      </c>
      <c r="L2558" s="139"/>
      <c r="M2558" s="139"/>
      <c r="N2558" s="139"/>
    </row>
    <row r="2559">
      <c r="A2559" s="139" t="str">
        <f>IFERROR(__xludf.DUMMYFUNCTION("""COMPUTED_VALUE"""),"e")</f>
        <v>e</v>
      </c>
      <c r="B2559" s="139">
        <f>IFERROR(__xludf.DUMMYFUNCTION("""COMPUTED_VALUE"""),2.0251202E8)</f>
        <v>202512020</v>
      </c>
      <c r="C2559" s="139" t="str">
        <f>IFERROR(__xludf.DUMMYFUNCTION("""COMPUTED_VALUE"""),"e_glo_00002_charaget_repeat_Normal_Colorless_Normal_00000")</f>
        <v>e_glo_00002_charaget_repeat_Normal_Colorless_Normal_00000</v>
      </c>
      <c r="D2559" s="139" t="str">
        <f>IFERROR(__xludf.DUMMYFUNCTION("""COMPUTED_VALUE"""),"e_glo_00002_charaget_repeat_Normal_Colorless")</f>
        <v>e_glo_00002_charaget_repeat_Normal_Colorless</v>
      </c>
      <c r="E2559" s="139">
        <f>IFERROR(__xludf.DUMMYFUNCTION("""COMPUTED_VALUE"""),0.0)</f>
        <v>0</v>
      </c>
      <c r="F2559" s="139" t="str">
        <f>IFERROR(__xludf.DUMMYFUNCTION("""COMPUTED_VALUE"""),"Normal")</f>
        <v>Normal</v>
      </c>
      <c r="G2559" s="139"/>
      <c r="H2559" s="139"/>
      <c r="I2559" s="139">
        <f>IFERROR(__xludf.DUMMYFUNCTION("""COMPUTED_VALUE"""),59.0)</f>
        <v>59</v>
      </c>
      <c r="J2559" s="139">
        <f>IFERROR(__xludf.DUMMYFUNCTION("""COMPUTED_VALUE"""),30.0)</f>
        <v>30</v>
      </c>
      <c r="K2559" s="139">
        <f>IFERROR(__xludf.DUMMYFUNCTION("""COMPUTED_VALUE"""),80.0)</f>
        <v>80</v>
      </c>
      <c r="L2559" s="139"/>
      <c r="M2559" s="139"/>
      <c r="N2559" s="139"/>
    </row>
    <row r="2560">
      <c r="A2560" s="139" t="str">
        <f>IFERROR(__xludf.DUMMYFUNCTION("""COMPUTED_VALUE"""),"e")</f>
        <v>e</v>
      </c>
      <c r="B2560" s="139">
        <f>IFERROR(__xludf.DUMMYFUNCTION("""COMPUTED_VALUE"""),2.0251202E8)</f>
        <v>202512020</v>
      </c>
      <c r="C2560" s="139" t="str">
        <f>IFERROR(__xludf.DUMMYFUNCTION("""COMPUTED_VALUE"""),"c_osh_00201_charaget_repeat_Boss_Colorless_Normal_00000")</f>
        <v>c_osh_00201_charaget_repeat_Boss_Colorless_Normal_00000</v>
      </c>
      <c r="D2560" s="139" t="str">
        <f>IFERROR(__xludf.DUMMYFUNCTION("""COMPUTED_VALUE"""),"c_osh_00201_charaget_repeat_Boss_Colorless")</f>
        <v>c_osh_00201_charaget_repeat_Boss_Colorless</v>
      </c>
      <c r="E2560" s="139">
        <f>IFERROR(__xludf.DUMMYFUNCTION("""COMPUTED_VALUE"""),0.0)</f>
        <v>0</v>
      </c>
      <c r="F2560" s="139" t="str">
        <f>IFERROR(__xludf.DUMMYFUNCTION("""COMPUTED_VALUE"""),"Normal")</f>
        <v>Normal</v>
      </c>
      <c r="G2560" s="139"/>
      <c r="H2560" s="139"/>
      <c r="I2560" s="139">
        <f>IFERROR(__xludf.DUMMYFUNCTION("""COMPUTED_VALUE"""),69.0)</f>
        <v>69</v>
      </c>
      <c r="J2560" s="139">
        <f>IFERROR(__xludf.DUMMYFUNCTION("""COMPUTED_VALUE"""),0.0)</f>
        <v>0</v>
      </c>
      <c r="K2560" s="139">
        <f>IFERROR(__xludf.DUMMYFUNCTION("""COMPUTED_VALUE"""),75.0)</f>
        <v>75</v>
      </c>
      <c r="L2560" s="139"/>
      <c r="M2560" s="139"/>
      <c r="N2560" s="139"/>
    </row>
    <row r="2561">
      <c r="A2561" s="139" t="str">
        <f>IFERROR(__xludf.DUMMYFUNCTION("""COMPUTED_VALUE"""),"e")</f>
        <v>e</v>
      </c>
      <c r="B2561" s="139">
        <f>IFERROR(__xludf.DUMMYFUNCTION("""COMPUTED_VALUE"""),2.0251202E8)</f>
        <v>202512020</v>
      </c>
      <c r="C2561" s="139" t="str">
        <f>IFERROR(__xludf.DUMMYFUNCTION("""COMPUTED_VALUE"""),"c_osh_00201_charaget_repeat_Boss_Colorless_Special_00001")</f>
        <v>c_osh_00201_charaget_repeat_Boss_Colorless_Special_00001</v>
      </c>
      <c r="D2561" s="139" t="str">
        <f>IFERROR(__xludf.DUMMYFUNCTION("""COMPUTED_VALUE"""),"c_osh_00201_charaget_repeat_Boss_Colorless")</f>
        <v>c_osh_00201_charaget_repeat_Boss_Colorless</v>
      </c>
      <c r="E2561" s="139">
        <f>IFERROR(__xludf.DUMMYFUNCTION("""COMPUTED_VALUE"""),0.0)</f>
        <v>0</v>
      </c>
      <c r="F2561" s="139" t="str">
        <f>IFERROR(__xludf.DUMMYFUNCTION("""COMPUTED_VALUE"""),"Special")</f>
        <v>Special</v>
      </c>
      <c r="G2561" s="139"/>
      <c r="H2561" s="139"/>
      <c r="I2561" s="139">
        <f>IFERROR(__xludf.DUMMYFUNCTION("""COMPUTED_VALUE"""),150.0)</f>
        <v>150</v>
      </c>
      <c r="J2561" s="139">
        <f>IFERROR(__xludf.DUMMYFUNCTION("""COMPUTED_VALUE"""),83.0)</f>
        <v>83</v>
      </c>
      <c r="K2561" s="139">
        <f>IFERROR(__xludf.DUMMYFUNCTION("""COMPUTED_VALUE"""),0.0)</f>
        <v>0</v>
      </c>
      <c r="L2561" s="139"/>
      <c r="M2561" s="139"/>
      <c r="N2561" s="139"/>
    </row>
    <row r="2562">
      <c r="A2562" s="139" t="str">
        <f>IFERROR(__xludf.DUMMYFUNCTION("""COMPUTED_VALUE"""),"e")</f>
        <v>e</v>
      </c>
      <c r="B2562" s="139">
        <f>IFERROR(__xludf.DUMMYFUNCTION("""COMPUTED_VALUE"""),2.0251202E8)</f>
        <v>202512020</v>
      </c>
      <c r="C2562" s="139" t="str">
        <f>IFERROR(__xludf.DUMMYFUNCTION("""COMPUTED_VALUE"""),"c_osh_00201_charaget_repeat_Boss_Colorless_Appearance_00002")</f>
        <v>c_osh_00201_charaget_repeat_Boss_Colorless_Appearance_00002</v>
      </c>
      <c r="D2562" s="139" t="str">
        <f>IFERROR(__xludf.DUMMYFUNCTION("""COMPUTED_VALUE"""),"c_osh_00201_charaget_repeat_Boss_Colorless")</f>
        <v>c_osh_00201_charaget_repeat_Boss_Colorless</v>
      </c>
      <c r="E2562" s="139">
        <f>IFERROR(__xludf.DUMMYFUNCTION("""COMPUTED_VALUE"""),0.0)</f>
        <v>0</v>
      </c>
      <c r="F2562" s="139" t="str">
        <f>IFERROR(__xludf.DUMMYFUNCTION("""COMPUTED_VALUE"""),"Appearance")</f>
        <v>Appearance</v>
      </c>
      <c r="G2562" s="139"/>
      <c r="H2562" s="139"/>
      <c r="I2562" s="139">
        <f>IFERROR(__xludf.DUMMYFUNCTION("""COMPUTED_VALUE"""),50.0)</f>
        <v>50</v>
      </c>
      <c r="J2562" s="139">
        <f>IFERROR(__xludf.DUMMYFUNCTION("""COMPUTED_VALUE"""),0.0)</f>
        <v>0</v>
      </c>
      <c r="K2562" s="139">
        <f>IFERROR(__xludf.DUMMYFUNCTION("""COMPUTED_VALUE"""),0.0)</f>
        <v>0</v>
      </c>
      <c r="L2562" s="139"/>
      <c r="M2562" s="139"/>
      <c r="N2562" s="139"/>
    </row>
    <row r="2563">
      <c r="A2563" s="139" t="str">
        <f>IFERROR(__xludf.DUMMYFUNCTION("""COMPUTED_VALUE"""),"e")</f>
        <v>e</v>
      </c>
      <c r="B2563" s="139">
        <f>IFERROR(__xludf.DUMMYFUNCTION("""COMPUTED_VALUE"""),2.0251202E8)</f>
        <v>202512020</v>
      </c>
      <c r="C2563" s="139" t="str">
        <f>IFERROR(__xludf.DUMMYFUNCTION("""COMPUTED_VALUE"""),"c_osh_00401_charaget_repeat_Boss_Colorless_Normal_00000")</f>
        <v>c_osh_00401_charaget_repeat_Boss_Colorless_Normal_00000</v>
      </c>
      <c r="D2563" s="139" t="str">
        <f>IFERROR(__xludf.DUMMYFUNCTION("""COMPUTED_VALUE"""),"c_osh_00401_charaget_repeat_Boss_Colorless")</f>
        <v>c_osh_00401_charaget_repeat_Boss_Colorless</v>
      </c>
      <c r="E2563" s="139">
        <f>IFERROR(__xludf.DUMMYFUNCTION("""COMPUTED_VALUE"""),0.0)</f>
        <v>0</v>
      </c>
      <c r="F2563" s="139" t="str">
        <f>IFERROR(__xludf.DUMMYFUNCTION("""COMPUTED_VALUE"""),"Normal")</f>
        <v>Normal</v>
      </c>
      <c r="G2563" s="139"/>
      <c r="H2563" s="139"/>
      <c r="I2563" s="139">
        <f>IFERROR(__xludf.DUMMYFUNCTION("""COMPUTED_VALUE"""),59.0)</f>
        <v>59</v>
      </c>
      <c r="J2563" s="139">
        <f>IFERROR(__xludf.DUMMYFUNCTION("""COMPUTED_VALUE"""),25.0)</f>
        <v>25</v>
      </c>
      <c r="K2563" s="139">
        <f>IFERROR(__xludf.DUMMYFUNCTION("""COMPUTED_VALUE"""),50.0)</f>
        <v>50</v>
      </c>
      <c r="L2563" s="139"/>
      <c r="M2563" s="139"/>
      <c r="N2563" s="139"/>
    </row>
    <row r="2564">
      <c r="A2564" s="139" t="str">
        <f>IFERROR(__xludf.DUMMYFUNCTION("""COMPUTED_VALUE"""),"e")</f>
        <v>e</v>
      </c>
      <c r="B2564" s="139">
        <f>IFERROR(__xludf.DUMMYFUNCTION("""COMPUTED_VALUE"""),2.0251202E8)</f>
        <v>202512020</v>
      </c>
      <c r="C2564" s="139" t="str">
        <f>IFERROR(__xludf.DUMMYFUNCTION("""COMPUTED_VALUE"""),"c_osh_00401_charaget_repeat_Boss_Colorless_Special_00002")</f>
        <v>c_osh_00401_charaget_repeat_Boss_Colorless_Special_00002</v>
      </c>
      <c r="D2564" s="139" t="str">
        <f>IFERROR(__xludf.DUMMYFUNCTION("""COMPUTED_VALUE"""),"c_osh_00401_charaget_repeat_Boss_Colorless")</f>
        <v>c_osh_00401_charaget_repeat_Boss_Colorless</v>
      </c>
      <c r="E2564" s="139">
        <f>IFERROR(__xludf.DUMMYFUNCTION("""COMPUTED_VALUE"""),0.0)</f>
        <v>0</v>
      </c>
      <c r="F2564" s="139" t="str">
        <f>IFERROR(__xludf.DUMMYFUNCTION("""COMPUTED_VALUE"""),"Special")</f>
        <v>Special</v>
      </c>
      <c r="G2564" s="139"/>
      <c r="H2564" s="139"/>
      <c r="I2564" s="139">
        <f>IFERROR(__xludf.DUMMYFUNCTION("""COMPUTED_VALUE"""),124.0)</f>
        <v>124</v>
      </c>
      <c r="J2564" s="139">
        <f>IFERROR(__xludf.DUMMYFUNCTION("""COMPUTED_VALUE"""),50.0)</f>
        <v>50</v>
      </c>
      <c r="K2564" s="139">
        <f>IFERROR(__xludf.DUMMYFUNCTION("""COMPUTED_VALUE"""),0.0)</f>
        <v>0</v>
      </c>
      <c r="L2564" s="139"/>
      <c r="M2564" s="139"/>
      <c r="N2564" s="139"/>
    </row>
    <row r="2565">
      <c r="A2565" s="139" t="str">
        <f>IFERROR(__xludf.DUMMYFUNCTION("""COMPUTED_VALUE"""),"e")</f>
        <v>e</v>
      </c>
      <c r="B2565" s="139">
        <f>IFERROR(__xludf.DUMMYFUNCTION("""COMPUTED_VALUE"""),2.0251202E8)</f>
        <v>202512020</v>
      </c>
      <c r="C2565" s="139" t="str">
        <f>IFERROR(__xludf.DUMMYFUNCTION("""COMPUTED_VALUE"""),"c_osh_00401_charaget_repeat_Boss_Colorless_Appearance_00002")</f>
        <v>c_osh_00401_charaget_repeat_Boss_Colorless_Appearance_00002</v>
      </c>
      <c r="D2565" s="139" t="str">
        <f>IFERROR(__xludf.DUMMYFUNCTION("""COMPUTED_VALUE"""),"c_osh_00401_charaget_repeat_Boss_Colorless")</f>
        <v>c_osh_00401_charaget_repeat_Boss_Colorless</v>
      </c>
      <c r="E2565" s="139">
        <f>IFERROR(__xludf.DUMMYFUNCTION("""COMPUTED_VALUE"""),0.0)</f>
        <v>0</v>
      </c>
      <c r="F2565" s="139" t="str">
        <f>IFERROR(__xludf.DUMMYFUNCTION("""COMPUTED_VALUE"""),"Appearance")</f>
        <v>Appearance</v>
      </c>
      <c r="G2565" s="139"/>
      <c r="H2565" s="139"/>
      <c r="I2565" s="139">
        <f>IFERROR(__xludf.DUMMYFUNCTION("""COMPUTED_VALUE"""),50.0)</f>
        <v>50</v>
      </c>
      <c r="J2565" s="139">
        <f>IFERROR(__xludf.DUMMYFUNCTION("""COMPUTED_VALUE"""),0.0)</f>
        <v>0</v>
      </c>
      <c r="K2565" s="139">
        <f>IFERROR(__xludf.DUMMYFUNCTION("""COMPUTED_VALUE"""),0.0)</f>
        <v>0</v>
      </c>
      <c r="L2565" s="139"/>
      <c r="M2565" s="139"/>
      <c r="N2565" s="139"/>
    </row>
    <row r="2566">
      <c r="A2566" s="139" t="str">
        <f>IFERROR(__xludf.DUMMYFUNCTION("""COMPUTED_VALUE"""),"e")</f>
        <v>e</v>
      </c>
      <c r="B2566" s="139">
        <f>IFERROR(__xludf.DUMMYFUNCTION("""COMPUTED_VALUE"""),2.0251202E8)</f>
        <v>202512020</v>
      </c>
      <c r="C2566" s="139" t="str">
        <f>IFERROR(__xludf.DUMMYFUNCTION("""COMPUTED_VALUE"""),"c_osh_00501_charaget_repeat_Boss_Yellow_Normal_00000")</f>
        <v>c_osh_00501_charaget_repeat_Boss_Yellow_Normal_00000</v>
      </c>
      <c r="D2566" s="139" t="str">
        <f>IFERROR(__xludf.DUMMYFUNCTION("""COMPUTED_VALUE"""),"c_osh_00501_charaget_repeat_Boss_Yellow")</f>
        <v>c_osh_00501_charaget_repeat_Boss_Yellow</v>
      </c>
      <c r="E2566" s="139">
        <f>IFERROR(__xludf.DUMMYFUNCTION("""COMPUTED_VALUE"""),0.0)</f>
        <v>0</v>
      </c>
      <c r="F2566" s="139" t="str">
        <f>IFERROR(__xludf.DUMMYFUNCTION("""COMPUTED_VALUE"""),"Normal")</f>
        <v>Normal</v>
      </c>
      <c r="G2566" s="139"/>
      <c r="H2566" s="139"/>
      <c r="I2566" s="139">
        <f>IFERROR(__xludf.DUMMYFUNCTION("""COMPUTED_VALUE"""),53.0)</f>
        <v>53</v>
      </c>
      <c r="J2566" s="139">
        <f>IFERROR(__xludf.DUMMYFUNCTION("""COMPUTED_VALUE"""),15.0)</f>
        <v>15</v>
      </c>
      <c r="K2566" s="139">
        <f>IFERROR(__xludf.DUMMYFUNCTION("""COMPUTED_VALUE"""),50.0)</f>
        <v>50</v>
      </c>
      <c r="L2566" s="139"/>
      <c r="M2566" s="139"/>
      <c r="N2566" s="139"/>
    </row>
    <row r="2567">
      <c r="A2567" s="139" t="str">
        <f>IFERROR(__xludf.DUMMYFUNCTION("""COMPUTED_VALUE"""),"e")</f>
        <v>e</v>
      </c>
      <c r="B2567" s="139">
        <f>IFERROR(__xludf.DUMMYFUNCTION("""COMPUTED_VALUE"""),2.0251202E8)</f>
        <v>202512020</v>
      </c>
      <c r="C2567" s="139" t="str">
        <f>IFERROR(__xludf.DUMMYFUNCTION("""COMPUTED_VALUE"""),"c_osh_00501_charaget_repeat_Boss_Yellow_Special_00001")</f>
        <v>c_osh_00501_charaget_repeat_Boss_Yellow_Special_00001</v>
      </c>
      <c r="D2567" s="139" t="str">
        <f>IFERROR(__xludf.DUMMYFUNCTION("""COMPUTED_VALUE"""),"c_osh_00501_charaget_repeat_Boss_Yellow")</f>
        <v>c_osh_00501_charaget_repeat_Boss_Yellow</v>
      </c>
      <c r="E2567" s="139">
        <f>IFERROR(__xludf.DUMMYFUNCTION("""COMPUTED_VALUE"""),0.0)</f>
        <v>0</v>
      </c>
      <c r="F2567" s="139" t="str">
        <f>IFERROR(__xludf.DUMMYFUNCTION("""COMPUTED_VALUE"""),"Special")</f>
        <v>Special</v>
      </c>
      <c r="G2567" s="139"/>
      <c r="H2567" s="139"/>
      <c r="I2567" s="139">
        <f>IFERROR(__xludf.DUMMYFUNCTION("""COMPUTED_VALUE"""),134.0)</f>
        <v>134</v>
      </c>
      <c r="J2567" s="139">
        <f>IFERROR(__xludf.DUMMYFUNCTION("""COMPUTED_VALUE"""),89.0)</f>
        <v>89</v>
      </c>
      <c r="K2567" s="139">
        <f>IFERROR(__xludf.DUMMYFUNCTION("""COMPUTED_VALUE"""),0.0)</f>
        <v>0</v>
      </c>
      <c r="L2567" s="139"/>
      <c r="M2567" s="139"/>
      <c r="N2567" s="139"/>
    </row>
    <row r="2568">
      <c r="A2568" s="139" t="str">
        <f>IFERROR(__xludf.DUMMYFUNCTION("""COMPUTED_VALUE"""),"e")</f>
        <v>e</v>
      </c>
      <c r="B2568" s="139">
        <f>IFERROR(__xludf.DUMMYFUNCTION("""COMPUTED_VALUE"""),2.0251202E8)</f>
        <v>202512020</v>
      </c>
      <c r="C2568" s="139" t="str">
        <f>IFERROR(__xludf.DUMMYFUNCTION("""COMPUTED_VALUE"""),"c_osh_00501_charaget_repeat_Boss_Yellow_Appearance_00002")</f>
        <v>c_osh_00501_charaget_repeat_Boss_Yellow_Appearance_00002</v>
      </c>
      <c r="D2568" s="139" t="str">
        <f>IFERROR(__xludf.DUMMYFUNCTION("""COMPUTED_VALUE"""),"c_osh_00501_charaget_repeat_Boss_Yellow")</f>
        <v>c_osh_00501_charaget_repeat_Boss_Yellow</v>
      </c>
      <c r="E2568" s="139">
        <f>IFERROR(__xludf.DUMMYFUNCTION("""COMPUTED_VALUE"""),0.0)</f>
        <v>0</v>
      </c>
      <c r="F2568" s="139" t="str">
        <f>IFERROR(__xludf.DUMMYFUNCTION("""COMPUTED_VALUE"""),"Appearance")</f>
        <v>Appearance</v>
      </c>
      <c r="G2568" s="139"/>
      <c r="H2568" s="139"/>
      <c r="I2568" s="139">
        <f>IFERROR(__xludf.DUMMYFUNCTION("""COMPUTED_VALUE"""),50.0)</f>
        <v>50</v>
      </c>
      <c r="J2568" s="139">
        <f>IFERROR(__xludf.DUMMYFUNCTION("""COMPUTED_VALUE"""),0.0)</f>
        <v>0</v>
      </c>
      <c r="K2568" s="139">
        <f>IFERROR(__xludf.DUMMYFUNCTION("""COMPUTED_VALUE"""),0.0)</f>
        <v>0</v>
      </c>
      <c r="L2568" s="139"/>
      <c r="M2568" s="139"/>
      <c r="N2568" s="139"/>
    </row>
    <row r="2569">
      <c r="A2569" s="139" t="str">
        <f>IFERROR(__xludf.DUMMYFUNCTION("""COMPUTED_VALUE"""),"e")</f>
        <v>e</v>
      </c>
      <c r="B2569" s="139">
        <f>IFERROR(__xludf.DUMMYFUNCTION("""COMPUTED_VALUE"""),2.0251202E8)</f>
        <v>202512020</v>
      </c>
      <c r="C2569" s="139" t="str">
        <f>IFERROR(__xludf.DUMMYFUNCTION("""COMPUTED_VALUE"""),"c_osh_00301_charaget_repeat_Boss_Yellow_Normal_00000")</f>
        <v>c_osh_00301_charaget_repeat_Boss_Yellow_Normal_00000</v>
      </c>
      <c r="D2569" s="139" t="str">
        <f>IFERROR(__xludf.DUMMYFUNCTION("""COMPUTED_VALUE"""),"c_osh_00301_charaget_repeat_Boss_Yellow")</f>
        <v>c_osh_00301_charaget_repeat_Boss_Yellow</v>
      </c>
      <c r="E2569" s="139">
        <f>IFERROR(__xludf.DUMMYFUNCTION("""COMPUTED_VALUE"""),0.0)</f>
        <v>0</v>
      </c>
      <c r="F2569" s="139" t="str">
        <f>IFERROR(__xludf.DUMMYFUNCTION("""COMPUTED_VALUE"""),"Normal")</f>
        <v>Normal</v>
      </c>
      <c r="G2569" s="139"/>
      <c r="H2569" s="139"/>
      <c r="I2569" s="139">
        <f>IFERROR(__xludf.DUMMYFUNCTION("""COMPUTED_VALUE"""),57.0)</f>
        <v>57</v>
      </c>
      <c r="J2569" s="139">
        <f>IFERROR(__xludf.DUMMYFUNCTION("""COMPUTED_VALUE"""),0.0)</f>
        <v>0</v>
      </c>
      <c r="K2569" s="139">
        <f>IFERROR(__xludf.DUMMYFUNCTION("""COMPUTED_VALUE"""),80.0)</f>
        <v>80</v>
      </c>
      <c r="L2569" s="139"/>
      <c r="M2569" s="139"/>
      <c r="N2569" s="139"/>
    </row>
    <row r="2570">
      <c r="A2570" s="139" t="str">
        <f>IFERROR(__xludf.DUMMYFUNCTION("""COMPUTED_VALUE"""),"e")</f>
        <v>e</v>
      </c>
      <c r="B2570" s="139">
        <f>IFERROR(__xludf.DUMMYFUNCTION("""COMPUTED_VALUE"""),2.0251202E8)</f>
        <v>202512020</v>
      </c>
      <c r="C2570" s="139" t="str">
        <f>IFERROR(__xludf.DUMMYFUNCTION("""COMPUTED_VALUE"""),"c_osh_00301_charaget_repeat_Boss_Yellow_Special_00001")</f>
        <v>c_osh_00301_charaget_repeat_Boss_Yellow_Special_00001</v>
      </c>
      <c r="D2570" s="139" t="str">
        <f>IFERROR(__xludf.DUMMYFUNCTION("""COMPUTED_VALUE"""),"c_osh_00301_charaget_repeat_Boss_Yellow")</f>
        <v>c_osh_00301_charaget_repeat_Boss_Yellow</v>
      </c>
      <c r="E2570" s="139">
        <f>IFERROR(__xludf.DUMMYFUNCTION("""COMPUTED_VALUE"""),0.0)</f>
        <v>0</v>
      </c>
      <c r="F2570" s="139" t="str">
        <f>IFERROR(__xludf.DUMMYFUNCTION("""COMPUTED_VALUE"""),"Special")</f>
        <v>Special</v>
      </c>
      <c r="G2570" s="139"/>
      <c r="H2570" s="139"/>
      <c r="I2570" s="139">
        <f>IFERROR(__xludf.DUMMYFUNCTION("""COMPUTED_VALUE"""),167.0)</f>
        <v>167</v>
      </c>
      <c r="J2570" s="139">
        <f>IFERROR(__xludf.DUMMYFUNCTION("""COMPUTED_VALUE"""),89.0)</f>
        <v>89</v>
      </c>
      <c r="K2570" s="139">
        <f>IFERROR(__xludf.DUMMYFUNCTION("""COMPUTED_VALUE"""),0.0)</f>
        <v>0</v>
      </c>
      <c r="L2570" s="139"/>
      <c r="M2570" s="139"/>
      <c r="N2570" s="139"/>
    </row>
    <row r="2571">
      <c r="A2571" s="139" t="str">
        <f>IFERROR(__xludf.DUMMYFUNCTION("""COMPUTED_VALUE"""),"e")</f>
        <v>e</v>
      </c>
      <c r="B2571" s="139">
        <f>IFERROR(__xludf.DUMMYFUNCTION("""COMPUTED_VALUE"""),2.0251202E8)</f>
        <v>202512020</v>
      </c>
      <c r="C2571" s="139" t="str">
        <f>IFERROR(__xludf.DUMMYFUNCTION("""COMPUTED_VALUE"""),"c_osh_00301_charaget_repeat_Boss_Yellow_Appearance_00002")</f>
        <v>c_osh_00301_charaget_repeat_Boss_Yellow_Appearance_00002</v>
      </c>
      <c r="D2571" s="139" t="str">
        <f>IFERROR(__xludf.DUMMYFUNCTION("""COMPUTED_VALUE"""),"c_osh_00301_charaget_repeat_Boss_Yellow")</f>
        <v>c_osh_00301_charaget_repeat_Boss_Yellow</v>
      </c>
      <c r="E2571" s="139">
        <f>IFERROR(__xludf.DUMMYFUNCTION("""COMPUTED_VALUE"""),0.0)</f>
        <v>0</v>
      </c>
      <c r="F2571" s="139" t="str">
        <f>IFERROR(__xludf.DUMMYFUNCTION("""COMPUTED_VALUE"""),"Appearance")</f>
        <v>Appearance</v>
      </c>
      <c r="G2571" s="139"/>
      <c r="H2571" s="139"/>
      <c r="I2571" s="139">
        <f>IFERROR(__xludf.DUMMYFUNCTION("""COMPUTED_VALUE"""),50.0)</f>
        <v>50</v>
      </c>
      <c r="J2571" s="139">
        <f>IFERROR(__xludf.DUMMYFUNCTION("""COMPUTED_VALUE"""),0.0)</f>
        <v>0</v>
      </c>
      <c r="K2571" s="139">
        <f>IFERROR(__xludf.DUMMYFUNCTION("""COMPUTED_VALUE"""),0.0)</f>
        <v>0</v>
      </c>
      <c r="L2571" s="139"/>
      <c r="M2571" s="139"/>
      <c r="N2571" s="139"/>
    </row>
    <row r="2572">
      <c r="A2572" s="139" t="str">
        <f>IFERROR(__xludf.DUMMYFUNCTION("""COMPUTED_VALUE"""),"e")</f>
        <v>e</v>
      </c>
      <c r="B2572" s="139">
        <f>IFERROR(__xludf.DUMMYFUNCTION("""COMPUTED_VALUE"""),2.0251202E8)</f>
        <v>202512020</v>
      </c>
      <c r="C2572" s="139" t="str">
        <f>IFERROR(__xludf.DUMMYFUNCTION("""COMPUTED_VALUE"""),"c_osh_00001_challenge_Boss_Red_Normal_00000")</f>
        <v>c_osh_00001_challenge_Boss_Red_Normal_00000</v>
      </c>
      <c r="D2572" s="139" t="str">
        <f>IFERROR(__xludf.DUMMYFUNCTION("""COMPUTED_VALUE"""),"c_osh_00001_challenge_Boss_Red")</f>
        <v>c_osh_00001_challenge_Boss_Red</v>
      </c>
      <c r="E2572" s="139">
        <f>IFERROR(__xludf.DUMMYFUNCTION("""COMPUTED_VALUE"""),0.0)</f>
        <v>0</v>
      </c>
      <c r="F2572" s="139" t="str">
        <f>IFERROR(__xludf.DUMMYFUNCTION("""COMPUTED_VALUE"""),"Normal")</f>
        <v>Normal</v>
      </c>
      <c r="G2572" s="139"/>
      <c r="H2572" s="139"/>
      <c r="I2572" s="139">
        <f>IFERROR(__xludf.DUMMYFUNCTION("""COMPUTED_VALUE"""),80.0)</f>
        <v>80</v>
      </c>
      <c r="J2572" s="139">
        <f>IFERROR(__xludf.DUMMYFUNCTION("""COMPUTED_VALUE"""),22.0)</f>
        <v>22</v>
      </c>
      <c r="K2572" s="139">
        <f>IFERROR(__xludf.DUMMYFUNCTION("""COMPUTED_VALUE"""),50.0)</f>
        <v>50</v>
      </c>
      <c r="L2572" s="139"/>
      <c r="M2572" s="139"/>
      <c r="N2572" s="139"/>
    </row>
    <row r="2573">
      <c r="A2573" s="139" t="str">
        <f>IFERROR(__xludf.DUMMYFUNCTION("""COMPUTED_VALUE"""),"e")</f>
        <v>e</v>
      </c>
      <c r="B2573" s="139">
        <f>IFERROR(__xludf.DUMMYFUNCTION("""COMPUTED_VALUE"""),2.0251202E8)</f>
        <v>202512020</v>
      </c>
      <c r="C2573" s="139" t="str">
        <f>IFERROR(__xludf.DUMMYFUNCTION("""COMPUTED_VALUE"""),"c_osh_00001_challenge_Boss_Red_Special_00001")</f>
        <v>c_osh_00001_challenge_Boss_Red_Special_00001</v>
      </c>
      <c r="D2573" s="139" t="str">
        <f>IFERROR(__xludf.DUMMYFUNCTION("""COMPUTED_VALUE"""),"c_osh_00001_challenge_Boss_Red")</f>
        <v>c_osh_00001_challenge_Boss_Red</v>
      </c>
      <c r="E2573" s="139">
        <f>IFERROR(__xludf.DUMMYFUNCTION("""COMPUTED_VALUE"""),0.0)</f>
        <v>0</v>
      </c>
      <c r="F2573" s="139" t="str">
        <f>IFERROR(__xludf.DUMMYFUNCTION("""COMPUTED_VALUE"""),"Special")</f>
        <v>Special</v>
      </c>
      <c r="G2573" s="139"/>
      <c r="H2573" s="139"/>
      <c r="I2573" s="139">
        <f>IFERROR(__xludf.DUMMYFUNCTION("""COMPUTED_VALUE"""),162.0)</f>
        <v>162</v>
      </c>
      <c r="J2573" s="139">
        <f>IFERROR(__xludf.DUMMYFUNCTION("""COMPUTED_VALUE"""),92.0)</f>
        <v>92</v>
      </c>
      <c r="K2573" s="139">
        <f>IFERROR(__xludf.DUMMYFUNCTION("""COMPUTED_VALUE"""),0.0)</f>
        <v>0</v>
      </c>
      <c r="L2573" s="139"/>
      <c r="M2573" s="139"/>
      <c r="N2573" s="139"/>
    </row>
    <row r="2574">
      <c r="A2574" s="139" t="str">
        <f>IFERROR(__xludf.DUMMYFUNCTION("""COMPUTED_VALUE"""),"e")</f>
        <v>e</v>
      </c>
      <c r="B2574" s="139">
        <f>IFERROR(__xludf.DUMMYFUNCTION("""COMPUTED_VALUE"""),2.0251202E8)</f>
        <v>202512020</v>
      </c>
      <c r="C2574" s="139" t="str">
        <f>IFERROR(__xludf.DUMMYFUNCTION("""COMPUTED_VALUE"""),"c_osh_00001_challenge_Boss_Red_Appearance_00002")</f>
        <v>c_osh_00001_challenge_Boss_Red_Appearance_00002</v>
      </c>
      <c r="D2574" s="139" t="str">
        <f>IFERROR(__xludf.DUMMYFUNCTION("""COMPUTED_VALUE"""),"c_osh_00001_challenge_Boss_Red")</f>
        <v>c_osh_00001_challenge_Boss_Red</v>
      </c>
      <c r="E2574" s="139">
        <f>IFERROR(__xludf.DUMMYFUNCTION("""COMPUTED_VALUE"""),0.0)</f>
        <v>0</v>
      </c>
      <c r="F2574" s="139" t="str">
        <f>IFERROR(__xludf.DUMMYFUNCTION("""COMPUTED_VALUE"""),"Appearance")</f>
        <v>Appearance</v>
      </c>
      <c r="G2574" s="139"/>
      <c r="H2574" s="139"/>
      <c r="I2574" s="139">
        <f>IFERROR(__xludf.DUMMYFUNCTION("""COMPUTED_VALUE"""),50.0)</f>
        <v>50</v>
      </c>
      <c r="J2574" s="139">
        <f>IFERROR(__xludf.DUMMYFUNCTION("""COMPUTED_VALUE"""),0.0)</f>
        <v>0</v>
      </c>
      <c r="K2574" s="139">
        <f>IFERROR(__xludf.DUMMYFUNCTION("""COMPUTED_VALUE"""),0.0)</f>
        <v>0</v>
      </c>
      <c r="L2574" s="139"/>
      <c r="M2574" s="139"/>
      <c r="N2574" s="139"/>
    </row>
    <row r="2575">
      <c r="A2575" s="139" t="str">
        <f>IFERROR(__xludf.DUMMYFUNCTION("""COMPUTED_VALUE"""),"e")</f>
        <v>e</v>
      </c>
      <c r="B2575" s="139">
        <f>IFERROR(__xludf.DUMMYFUNCTION("""COMPUTED_VALUE"""),2.0251202E8)</f>
        <v>202512020</v>
      </c>
      <c r="C2575" s="139" t="str">
        <f>IFERROR(__xludf.DUMMYFUNCTION("""COMPUTED_VALUE"""),"e_glo_00002_challenge_Normal_Red_Normal_00000")</f>
        <v>e_glo_00002_challenge_Normal_Red_Normal_00000</v>
      </c>
      <c r="D2575" s="139" t="str">
        <f>IFERROR(__xludf.DUMMYFUNCTION("""COMPUTED_VALUE"""),"e_glo_00002_challenge_Normal_Red")</f>
        <v>e_glo_00002_challenge_Normal_Red</v>
      </c>
      <c r="E2575" s="139">
        <f>IFERROR(__xludf.DUMMYFUNCTION("""COMPUTED_VALUE"""),0.0)</f>
        <v>0</v>
      </c>
      <c r="F2575" s="139" t="str">
        <f>IFERROR(__xludf.DUMMYFUNCTION("""COMPUTED_VALUE"""),"Normal")</f>
        <v>Normal</v>
      </c>
      <c r="G2575" s="139"/>
      <c r="H2575" s="139"/>
      <c r="I2575" s="139">
        <f>IFERROR(__xludf.DUMMYFUNCTION("""COMPUTED_VALUE"""),59.0)</f>
        <v>59</v>
      </c>
      <c r="J2575" s="139">
        <f>IFERROR(__xludf.DUMMYFUNCTION("""COMPUTED_VALUE"""),30.0)</f>
        <v>30</v>
      </c>
      <c r="K2575" s="139">
        <f>IFERROR(__xludf.DUMMYFUNCTION("""COMPUTED_VALUE"""),75.0)</f>
        <v>75</v>
      </c>
      <c r="L2575" s="139"/>
      <c r="M2575" s="139"/>
      <c r="N2575" s="139"/>
    </row>
    <row r="2576">
      <c r="A2576" s="139" t="str">
        <f>IFERROR(__xludf.DUMMYFUNCTION("""COMPUTED_VALUE"""),"e")</f>
        <v>e</v>
      </c>
      <c r="B2576" s="139">
        <f>IFERROR(__xludf.DUMMYFUNCTION("""COMPUTED_VALUE"""),2.0251202E8)</f>
        <v>202512020</v>
      </c>
      <c r="C2576" s="139" t="str">
        <f>IFERROR(__xludf.DUMMYFUNCTION("""COMPUTED_VALUE"""),"c_osh_00301_challenge_Boss_Yellow_Normal_00000")</f>
        <v>c_osh_00301_challenge_Boss_Yellow_Normal_00000</v>
      </c>
      <c r="D2576" s="139" t="str">
        <f>IFERROR(__xludf.DUMMYFUNCTION("""COMPUTED_VALUE"""),"c_osh_00301_challenge_Boss_Yellow")</f>
        <v>c_osh_00301_challenge_Boss_Yellow</v>
      </c>
      <c r="E2576" s="139">
        <f>IFERROR(__xludf.DUMMYFUNCTION("""COMPUTED_VALUE"""),0.0)</f>
        <v>0</v>
      </c>
      <c r="F2576" s="139" t="str">
        <f>IFERROR(__xludf.DUMMYFUNCTION("""COMPUTED_VALUE"""),"Normal")</f>
        <v>Normal</v>
      </c>
      <c r="G2576" s="139"/>
      <c r="H2576" s="139"/>
      <c r="I2576" s="139">
        <f>IFERROR(__xludf.DUMMYFUNCTION("""COMPUTED_VALUE"""),57.0)</f>
        <v>57</v>
      </c>
      <c r="J2576" s="139">
        <f>IFERROR(__xludf.DUMMYFUNCTION("""COMPUTED_VALUE"""),0.0)</f>
        <v>0</v>
      </c>
      <c r="K2576" s="139">
        <f>IFERROR(__xludf.DUMMYFUNCTION("""COMPUTED_VALUE"""),80.0)</f>
        <v>80</v>
      </c>
      <c r="L2576" s="139"/>
      <c r="M2576" s="139"/>
      <c r="N2576" s="139"/>
    </row>
    <row r="2577">
      <c r="A2577" s="139" t="str">
        <f>IFERROR(__xludf.DUMMYFUNCTION("""COMPUTED_VALUE"""),"e")</f>
        <v>e</v>
      </c>
      <c r="B2577" s="139">
        <f>IFERROR(__xludf.DUMMYFUNCTION("""COMPUTED_VALUE"""),2.0251202E8)</f>
        <v>202512020</v>
      </c>
      <c r="C2577" s="139" t="str">
        <f>IFERROR(__xludf.DUMMYFUNCTION("""COMPUTED_VALUE"""),"c_osh_00301_challenge_Boss_Yellow_Special_00001")</f>
        <v>c_osh_00301_challenge_Boss_Yellow_Special_00001</v>
      </c>
      <c r="D2577" s="139" t="str">
        <f>IFERROR(__xludf.DUMMYFUNCTION("""COMPUTED_VALUE"""),"c_osh_00301_challenge_Boss_Yellow")</f>
        <v>c_osh_00301_challenge_Boss_Yellow</v>
      </c>
      <c r="E2577" s="139">
        <f>IFERROR(__xludf.DUMMYFUNCTION("""COMPUTED_VALUE"""),0.0)</f>
        <v>0</v>
      </c>
      <c r="F2577" s="139" t="str">
        <f>IFERROR(__xludf.DUMMYFUNCTION("""COMPUTED_VALUE"""),"Special")</f>
        <v>Special</v>
      </c>
      <c r="G2577" s="139"/>
      <c r="H2577" s="139"/>
      <c r="I2577" s="139">
        <f>IFERROR(__xludf.DUMMYFUNCTION("""COMPUTED_VALUE"""),167.0)</f>
        <v>167</v>
      </c>
      <c r="J2577" s="139">
        <f>IFERROR(__xludf.DUMMYFUNCTION("""COMPUTED_VALUE"""),89.0)</f>
        <v>89</v>
      </c>
      <c r="K2577" s="139">
        <f>IFERROR(__xludf.DUMMYFUNCTION("""COMPUTED_VALUE"""),0.0)</f>
        <v>0</v>
      </c>
      <c r="L2577" s="139"/>
      <c r="M2577" s="139"/>
      <c r="N2577" s="139"/>
    </row>
    <row r="2578">
      <c r="A2578" s="139" t="str">
        <f>IFERROR(__xludf.DUMMYFUNCTION("""COMPUTED_VALUE"""),"e")</f>
        <v>e</v>
      </c>
      <c r="B2578" s="139">
        <f>IFERROR(__xludf.DUMMYFUNCTION("""COMPUTED_VALUE"""),2.0251202E8)</f>
        <v>202512020</v>
      </c>
      <c r="C2578" s="139" t="str">
        <f>IFERROR(__xludf.DUMMYFUNCTION("""COMPUTED_VALUE"""),"c_osh_00301_challenge_Boss_Yellow_Appearance_00002")</f>
        <v>c_osh_00301_challenge_Boss_Yellow_Appearance_00002</v>
      </c>
      <c r="D2578" s="139" t="str">
        <f>IFERROR(__xludf.DUMMYFUNCTION("""COMPUTED_VALUE"""),"c_osh_00301_challenge_Boss_Yellow")</f>
        <v>c_osh_00301_challenge_Boss_Yellow</v>
      </c>
      <c r="E2578" s="139">
        <f>IFERROR(__xludf.DUMMYFUNCTION("""COMPUTED_VALUE"""),0.0)</f>
        <v>0</v>
      </c>
      <c r="F2578" s="139" t="str">
        <f>IFERROR(__xludf.DUMMYFUNCTION("""COMPUTED_VALUE"""),"Appearance")</f>
        <v>Appearance</v>
      </c>
      <c r="G2578" s="139"/>
      <c r="H2578" s="139"/>
      <c r="I2578" s="139">
        <f>IFERROR(__xludf.DUMMYFUNCTION("""COMPUTED_VALUE"""),50.0)</f>
        <v>50</v>
      </c>
      <c r="J2578" s="139">
        <f>IFERROR(__xludf.DUMMYFUNCTION("""COMPUTED_VALUE"""),0.0)</f>
        <v>0</v>
      </c>
      <c r="K2578" s="139">
        <f>IFERROR(__xludf.DUMMYFUNCTION("""COMPUTED_VALUE"""),0.0)</f>
        <v>0</v>
      </c>
      <c r="L2578" s="139"/>
      <c r="M2578" s="139"/>
      <c r="N2578" s="139"/>
    </row>
    <row r="2579">
      <c r="A2579" s="139" t="str">
        <f>IFERROR(__xludf.DUMMYFUNCTION("""COMPUTED_VALUE"""),"e")</f>
        <v>e</v>
      </c>
      <c r="B2579" s="139">
        <f>IFERROR(__xludf.DUMMYFUNCTION("""COMPUTED_VALUE"""),2.0251202E8)</f>
        <v>202512020</v>
      </c>
      <c r="C2579" s="139" t="str">
        <f>IFERROR(__xludf.DUMMYFUNCTION("""COMPUTED_VALUE"""),"c_osh_00201_challenge_Boss_Red_Normal_00000")</f>
        <v>c_osh_00201_challenge_Boss_Red_Normal_00000</v>
      </c>
      <c r="D2579" s="139" t="str">
        <f>IFERROR(__xludf.DUMMYFUNCTION("""COMPUTED_VALUE"""),"c_osh_00201_challenge_Boss_Red")</f>
        <v>c_osh_00201_challenge_Boss_Red</v>
      </c>
      <c r="E2579" s="139">
        <f>IFERROR(__xludf.DUMMYFUNCTION("""COMPUTED_VALUE"""),0.0)</f>
        <v>0</v>
      </c>
      <c r="F2579" s="139" t="str">
        <f>IFERROR(__xludf.DUMMYFUNCTION("""COMPUTED_VALUE"""),"Normal")</f>
        <v>Normal</v>
      </c>
      <c r="G2579" s="139"/>
      <c r="H2579" s="139"/>
      <c r="I2579" s="139">
        <f>IFERROR(__xludf.DUMMYFUNCTION("""COMPUTED_VALUE"""),69.0)</f>
        <v>69</v>
      </c>
      <c r="J2579" s="139">
        <f>IFERROR(__xludf.DUMMYFUNCTION("""COMPUTED_VALUE"""),0.0)</f>
        <v>0</v>
      </c>
      <c r="K2579" s="139">
        <f>IFERROR(__xludf.DUMMYFUNCTION("""COMPUTED_VALUE"""),75.0)</f>
        <v>75</v>
      </c>
      <c r="L2579" s="139"/>
      <c r="M2579" s="139"/>
      <c r="N2579" s="139"/>
    </row>
    <row r="2580">
      <c r="A2580" s="139" t="str">
        <f>IFERROR(__xludf.DUMMYFUNCTION("""COMPUTED_VALUE"""),"e")</f>
        <v>e</v>
      </c>
      <c r="B2580" s="139">
        <f>IFERROR(__xludf.DUMMYFUNCTION("""COMPUTED_VALUE"""),2.0251202E8)</f>
        <v>202512020</v>
      </c>
      <c r="C2580" s="139" t="str">
        <f>IFERROR(__xludf.DUMMYFUNCTION("""COMPUTED_VALUE"""),"c_osh_00201_challenge_Boss_Red_Special_00001")</f>
        <v>c_osh_00201_challenge_Boss_Red_Special_00001</v>
      </c>
      <c r="D2580" s="139" t="str">
        <f>IFERROR(__xludf.DUMMYFUNCTION("""COMPUTED_VALUE"""),"c_osh_00201_challenge_Boss_Red")</f>
        <v>c_osh_00201_challenge_Boss_Red</v>
      </c>
      <c r="E2580" s="139">
        <f>IFERROR(__xludf.DUMMYFUNCTION("""COMPUTED_VALUE"""),0.0)</f>
        <v>0</v>
      </c>
      <c r="F2580" s="139" t="str">
        <f>IFERROR(__xludf.DUMMYFUNCTION("""COMPUTED_VALUE"""),"Special")</f>
        <v>Special</v>
      </c>
      <c r="G2580" s="139"/>
      <c r="H2580" s="139"/>
      <c r="I2580" s="139">
        <f>IFERROR(__xludf.DUMMYFUNCTION("""COMPUTED_VALUE"""),150.0)</f>
        <v>150</v>
      </c>
      <c r="J2580" s="139">
        <f>IFERROR(__xludf.DUMMYFUNCTION("""COMPUTED_VALUE"""),83.0)</f>
        <v>83</v>
      </c>
      <c r="K2580" s="139">
        <f>IFERROR(__xludf.DUMMYFUNCTION("""COMPUTED_VALUE"""),0.0)</f>
        <v>0</v>
      </c>
      <c r="L2580" s="139"/>
      <c r="M2580" s="139"/>
      <c r="N2580" s="139"/>
    </row>
    <row r="2581">
      <c r="A2581" s="139" t="str">
        <f>IFERROR(__xludf.DUMMYFUNCTION("""COMPUTED_VALUE"""),"e")</f>
        <v>e</v>
      </c>
      <c r="B2581" s="139">
        <f>IFERROR(__xludf.DUMMYFUNCTION("""COMPUTED_VALUE"""),2.0251202E8)</f>
        <v>202512020</v>
      </c>
      <c r="C2581" s="139" t="str">
        <f>IFERROR(__xludf.DUMMYFUNCTION("""COMPUTED_VALUE"""),"c_osh_00201_challenge_Boss_Red_Appearance_00002")</f>
        <v>c_osh_00201_challenge_Boss_Red_Appearance_00002</v>
      </c>
      <c r="D2581" s="139" t="str">
        <f>IFERROR(__xludf.DUMMYFUNCTION("""COMPUTED_VALUE"""),"c_osh_00201_challenge_Boss_Red")</f>
        <v>c_osh_00201_challenge_Boss_Red</v>
      </c>
      <c r="E2581" s="139">
        <f>IFERROR(__xludf.DUMMYFUNCTION("""COMPUTED_VALUE"""),0.0)</f>
        <v>0</v>
      </c>
      <c r="F2581" s="139" t="str">
        <f>IFERROR(__xludf.DUMMYFUNCTION("""COMPUTED_VALUE"""),"Appearance")</f>
        <v>Appearance</v>
      </c>
      <c r="G2581" s="139"/>
      <c r="H2581" s="139"/>
      <c r="I2581" s="139">
        <f>IFERROR(__xludf.DUMMYFUNCTION("""COMPUTED_VALUE"""),50.0)</f>
        <v>50</v>
      </c>
      <c r="J2581" s="139">
        <f>IFERROR(__xludf.DUMMYFUNCTION("""COMPUTED_VALUE"""),0.0)</f>
        <v>0</v>
      </c>
      <c r="K2581" s="139">
        <f>IFERROR(__xludf.DUMMYFUNCTION("""COMPUTED_VALUE"""),0.0)</f>
        <v>0</v>
      </c>
      <c r="L2581" s="139"/>
      <c r="M2581" s="139"/>
      <c r="N2581" s="139"/>
    </row>
    <row r="2582">
      <c r="A2582" s="139" t="str">
        <f>IFERROR(__xludf.DUMMYFUNCTION("""COMPUTED_VALUE"""),"e")</f>
        <v>e</v>
      </c>
      <c r="B2582" s="139">
        <f>IFERROR(__xludf.DUMMYFUNCTION("""COMPUTED_VALUE"""),2.0251202E8)</f>
        <v>202512020</v>
      </c>
      <c r="C2582" s="139" t="str">
        <f>IFERROR(__xludf.DUMMYFUNCTION("""COMPUTED_VALUE"""),"c_osh_00401_challenge_Boss_Green_Normal_00000")</f>
        <v>c_osh_00401_challenge_Boss_Green_Normal_00000</v>
      </c>
      <c r="D2582" s="139" t="str">
        <f>IFERROR(__xludf.DUMMYFUNCTION("""COMPUTED_VALUE"""),"c_osh_00401_challenge_Boss_Green")</f>
        <v>c_osh_00401_challenge_Boss_Green</v>
      </c>
      <c r="E2582" s="139">
        <f>IFERROR(__xludf.DUMMYFUNCTION("""COMPUTED_VALUE"""),0.0)</f>
        <v>0</v>
      </c>
      <c r="F2582" s="139" t="str">
        <f>IFERROR(__xludf.DUMMYFUNCTION("""COMPUTED_VALUE"""),"Normal")</f>
        <v>Normal</v>
      </c>
      <c r="G2582" s="139"/>
      <c r="H2582" s="139"/>
      <c r="I2582" s="139">
        <f>IFERROR(__xludf.DUMMYFUNCTION("""COMPUTED_VALUE"""),59.0)</f>
        <v>59</v>
      </c>
      <c r="J2582" s="139">
        <f>IFERROR(__xludf.DUMMYFUNCTION("""COMPUTED_VALUE"""),25.0)</f>
        <v>25</v>
      </c>
      <c r="K2582" s="139">
        <f>IFERROR(__xludf.DUMMYFUNCTION("""COMPUTED_VALUE"""),50.0)</f>
        <v>50</v>
      </c>
      <c r="L2582" s="139"/>
      <c r="M2582" s="139"/>
      <c r="N2582" s="139"/>
    </row>
    <row r="2583">
      <c r="A2583" s="139" t="str">
        <f>IFERROR(__xludf.DUMMYFUNCTION("""COMPUTED_VALUE"""),"e")</f>
        <v>e</v>
      </c>
      <c r="B2583" s="139">
        <f>IFERROR(__xludf.DUMMYFUNCTION("""COMPUTED_VALUE"""),2.0251202E8)</f>
        <v>202512020</v>
      </c>
      <c r="C2583" s="139" t="str">
        <f>IFERROR(__xludf.DUMMYFUNCTION("""COMPUTED_VALUE"""),"c_osh_00401_challenge_Boss_Green_Special_00001")</f>
        <v>c_osh_00401_challenge_Boss_Green_Special_00001</v>
      </c>
      <c r="D2583" s="139" t="str">
        <f>IFERROR(__xludf.DUMMYFUNCTION("""COMPUTED_VALUE"""),"c_osh_00401_challenge_Boss_Green")</f>
        <v>c_osh_00401_challenge_Boss_Green</v>
      </c>
      <c r="E2583" s="139">
        <f>IFERROR(__xludf.DUMMYFUNCTION("""COMPUTED_VALUE"""),0.0)</f>
        <v>0</v>
      </c>
      <c r="F2583" s="139" t="str">
        <f>IFERROR(__xludf.DUMMYFUNCTION("""COMPUTED_VALUE"""),"Special")</f>
        <v>Special</v>
      </c>
      <c r="G2583" s="139"/>
      <c r="H2583" s="139"/>
      <c r="I2583" s="139">
        <f>IFERROR(__xludf.DUMMYFUNCTION("""COMPUTED_VALUE"""),124.0)</f>
        <v>124</v>
      </c>
      <c r="J2583" s="139">
        <f>IFERROR(__xludf.DUMMYFUNCTION("""COMPUTED_VALUE"""),50.0)</f>
        <v>50</v>
      </c>
      <c r="K2583" s="139">
        <f>IFERROR(__xludf.DUMMYFUNCTION("""COMPUTED_VALUE"""),0.0)</f>
        <v>0</v>
      </c>
      <c r="L2583" s="139"/>
      <c r="M2583" s="139"/>
      <c r="N2583" s="139"/>
    </row>
    <row r="2584">
      <c r="A2584" s="139" t="str">
        <f>IFERROR(__xludf.DUMMYFUNCTION("""COMPUTED_VALUE"""),"e")</f>
        <v>e</v>
      </c>
      <c r="B2584" s="139">
        <f>IFERROR(__xludf.DUMMYFUNCTION("""COMPUTED_VALUE"""),2.0251202E8)</f>
        <v>202512020</v>
      </c>
      <c r="C2584" s="139" t="str">
        <f>IFERROR(__xludf.DUMMYFUNCTION("""COMPUTED_VALUE"""),"c_osh_00401_challenge_Boss_Green_Appearance_00002")</f>
        <v>c_osh_00401_challenge_Boss_Green_Appearance_00002</v>
      </c>
      <c r="D2584" s="139" t="str">
        <f>IFERROR(__xludf.DUMMYFUNCTION("""COMPUTED_VALUE"""),"c_osh_00401_challenge_Boss_Green")</f>
        <v>c_osh_00401_challenge_Boss_Green</v>
      </c>
      <c r="E2584" s="139">
        <f>IFERROR(__xludf.DUMMYFUNCTION("""COMPUTED_VALUE"""),0.0)</f>
        <v>0</v>
      </c>
      <c r="F2584" s="139" t="str">
        <f>IFERROR(__xludf.DUMMYFUNCTION("""COMPUTED_VALUE"""),"Appearance")</f>
        <v>Appearance</v>
      </c>
      <c r="G2584" s="139"/>
      <c r="H2584" s="139"/>
      <c r="I2584" s="139">
        <f>IFERROR(__xludf.DUMMYFUNCTION("""COMPUTED_VALUE"""),50.0)</f>
        <v>50</v>
      </c>
      <c r="J2584" s="139">
        <f>IFERROR(__xludf.DUMMYFUNCTION("""COMPUTED_VALUE"""),0.0)</f>
        <v>0</v>
      </c>
      <c r="K2584" s="139">
        <f>IFERROR(__xludf.DUMMYFUNCTION("""COMPUTED_VALUE"""),0.0)</f>
        <v>0</v>
      </c>
      <c r="L2584" s="139"/>
      <c r="M2584" s="139"/>
      <c r="N2584" s="139"/>
    </row>
    <row r="2585">
      <c r="A2585" s="139" t="str">
        <f>IFERROR(__xludf.DUMMYFUNCTION("""COMPUTED_VALUE"""),"e")</f>
        <v>e</v>
      </c>
      <c r="B2585" s="139">
        <f>IFERROR(__xludf.DUMMYFUNCTION("""COMPUTED_VALUE"""),2.0251202E8)</f>
        <v>202512020</v>
      </c>
      <c r="C2585" s="139" t="str">
        <f>IFERROR(__xludf.DUMMYFUNCTION("""COMPUTED_VALUE"""),"e_glo_00001_newyear_2026_1d1c_Normal_Colorless_Normal_00000")</f>
        <v>e_glo_00001_newyear_2026_1d1c_Normal_Colorless_Normal_00000</v>
      </c>
      <c r="D2585" s="139" t="str">
        <f>IFERROR(__xludf.DUMMYFUNCTION("""COMPUTED_VALUE"""),"e_glo_00001_newyear_2026_1d1c_Normal_Colorless")</f>
        <v>e_glo_00001_newyear_2026_1d1c_Normal_Colorless</v>
      </c>
      <c r="E2585" s="139">
        <f>IFERROR(__xludf.DUMMYFUNCTION("""COMPUTED_VALUE"""),0.0)</f>
        <v>0</v>
      </c>
      <c r="F2585" s="139" t="str">
        <f>IFERROR(__xludf.DUMMYFUNCTION("""COMPUTED_VALUE"""),"Normal")</f>
        <v>Normal</v>
      </c>
      <c r="G2585" s="139"/>
      <c r="H2585" s="139"/>
      <c r="I2585" s="139">
        <f>IFERROR(__xludf.DUMMYFUNCTION("""COMPUTED_VALUE"""),50.0)</f>
        <v>50</v>
      </c>
      <c r="J2585" s="139">
        <f>IFERROR(__xludf.DUMMYFUNCTION("""COMPUTED_VALUE"""),25.0)</f>
        <v>25</v>
      </c>
      <c r="K2585" s="139">
        <f>IFERROR(__xludf.DUMMYFUNCTION("""COMPUTED_VALUE"""),100.0)</f>
        <v>100</v>
      </c>
      <c r="L2585" s="139"/>
      <c r="M2585" s="139"/>
      <c r="N2585" s="139"/>
    </row>
    <row r="2586">
      <c r="A2586" s="139" t="str">
        <f>IFERROR(__xludf.DUMMYFUNCTION("""COMPUTED_VALUE"""),"e")</f>
        <v>e</v>
      </c>
      <c r="B2586" s="139">
        <f>IFERROR(__xludf.DUMMYFUNCTION("""COMPUTED_VALUE"""),2.0251202E8)</f>
        <v>202512020</v>
      </c>
      <c r="C2586" s="139" t="str">
        <f>IFERROR(__xludf.DUMMYFUNCTION("""COMPUTED_VALUE"""),"e_glo_00002_osh1_advent_Normal_Colorless_Normal_00000")</f>
        <v>e_glo_00002_osh1_advent_Normal_Colorless_Normal_00000</v>
      </c>
      <c r="D2586" s="139" t="str">
        <f>IFERROR(__xludf.DUMMYFUNCTION("""COMPUTED_VALUE"""),"e_glo_00002_osh1_advent_Normal_Colorless")</f>
        <v>e_glo_00002_osh1_advent_Normal_Colorless</v>
      </c>
      <c r="E2586" s="139">
        <f>IFERROR(__xludf.DUMMYFUNCTION("""COMPUTED_VALUE"""),0.0)</f>
        <v>0</v>
      </c>
      <c r="F2586" s="139" t="str">
        <f>IFERROR(__xludf.DUMMYFUNCTION("""COMPUTED_VALUE"""),"Normal")</f>
        <v>Normal</v>
      </c>
      <c r="G2586" s="139"/>
      <c r="H2586" s="139"/>
      <c r="I2586" s="139">
        <f>IFERROR(__xludf.DUMMYFUNCTION("""COMPUTED_VALUE"""),71.0)</f>
        <v>71</v>
      </c>
      <c r="J2586" s="139">
        <f>IFERROR(__xludf.DUMMYFUNCTION("""COMPUTED_VALUE"""),30.0)</f>
        <v>30</v>
      </c>
      <c r="K2586" s="139">
        <f>IFERROR(__xludf.DUMMYFUNCTION("""COMPUTED_VALUE"""),0.0)</f>
        <v>0</v>
      </c>
      <c r="L2586" s="139"/>
      <c r="M2586" s="139"/>
      <c r="N2586" s="139"/>
    </row>
    <row r="2587">
      <c r="A2587" s="139" t="str">
        <f>IFERROR(__xludf.DUMMYFUNCTION("""COMPUTED_VALUE"""),"e")</f>
        <v>e</v>
      </c>
      <c r="B2587" s="139">
        <f>IFERROR(__xludf.DUMMYFUNCTION("""COMPUTED_VALUE"""),2.0251202E8)</f>
        <v>202512020</v>
      </c>
      <c r="C2587" s="139" t="str">
        <f>IFERROR(__xludf.DUMMYFUNCTION("""COMPUTED_VALUE"""),"e_glo_00002_osh1_advent_Normal_Green_Normal_00000")</f>
        <v>e_glo_00002_osh1_advent_Normal_Green_Normal_00000</v>
      </c>
      <c r="D2587" s="139" t="str">
        <f>IFERROR(__xludf.DUMMYFUNCTION("""COMPUTED_VALUE"""),"e_glo_00002_osh1_advent_Normal_Green")</f>
        <v>e_glo_00002_osh1_advent_Normal_Green</v>
      </c>
      <c r="E2587" s="139">
        <f>IFERROR(__xludf.DUMMYFUNCTION("""COMPUTED_VALUE"""),0.0)</f>
        <v>0</v>
      </c>
      <c r="F2587" s="139" t="str">
        <f>IFERROR(__xludf.DUMMYFUNCTION("""COMPUTED_VALUE"""),"Normal")</f>
        <v>Normal</v>
      </c>
      <c r="G2587" s="139"/>
      <c r="H2587" s="139"/>
      <c r="I2587" s="139">
        <f>IFERROR(__xludf.DUMMYFUNCTION("""COMPUTED_VALUE"""),71.0)</f>
        <v>71</v>
      </c>
      <c r="J2587" s="139">
        <f>IFERROR(__xludf.DUMMYFUNCTION("""COMPUTED_VALUE"""),30.0)</f>
        <v>30</v>
      </c>
      <c r="K2587" s="139">
        <f>IFERROR(__xludf.DUMMYFUNCTION("""COMPUTED_VALUE"""),0.0)</f>
        <v>0</v>
      </c>
      <c r="L2587" s="139"/>
      <c r="M2587" s="139"/>
      <c r="N2587" s="139"/>
    </row>
    <row r="2588">
      <c r="A2588" s="139" t="str">
        <f>IFERROR(__xludf.DUMMYFUNCTION("""COMPUTED_VALUE"""),"e")</f>
        <v>e</v>
      </c>
      <c r="B2588" s="139">
        <f>IFERROR(__xludf.DUMMYFUNCTION("""COMPUTED_VALUE"""),2.0251202E8)</f>
        <v>202512020</v>
      </c>
      <c r="C2588" s="139" t="str">
        <f>IFERROR(__xludf.DUMMYFUNCTION("""COMPUTED_VALUE"""),"e_glo_00002_osh1_advent_Boss_Green_Normal_00000")</f>
        <v>e_glo_00002_osh1_advent_Boss_Green_Normal_00000</v>
      </c>
      <c r="D2588" s="139" t="str">
        <f>IFERROR(__xludf.DUMMYFUNCTION("""COMPUTED_VALUE"""),"e_glo_00002_osh1_advent_Boss_Green")</f>
        <v>e_glo_00002_osh1_advent_Boss_Green</v>
      </c>
      <c r="E2588" s="139">
        <f>IFERROR(__xludf.DUMMYFUNCTION("""COMPUTED_VALUE"""),0.0)</f>
        <v>0</v>
      </c>
      <c r="F2588" s="139" t="str">
        <f>IFERROR(__xludf.DUMMYFUNCTION("""COMPUTED_VALUE"""),"Normal")</f>
        <v>Normal</v>
      </c>
      <c r="G2588" s="139"/>
      <c r="H2588" s="139"/>
      <c r="I2588" s="139">
        <f>IFERROR(__xludf.DUMMYFUNCTION("""COMPUTED_VALUE"""),71.0)</f>
        <v>71</v>
      </c>
      <c r="J2588" s="139">
        <f>IFERROR(__xludf.DUMMYFUNCTION("""COMPUTED_VALUE"""),30.0)</f>
        <v>30</v>
      </c>
      <c r="K2588" s="139">
        <f>IFERROR(__xludf.DUMMYFUNCTION("""COMPUTED_VALUE"""),0.0)</f>
        <v>0</v>
      </c>
      <c r="L2588" s="139"/>
      <c r="M2588" s="139"/>
      <c r="N2588" s="139"/>
    </row>
    <row r="2589">
      <c r="A2589" s="139" t="str">
        <f>IFERROR(__xludf.DUMMYFUNCTION("""COMPUTED_VALUE"""),"e")</f>
        <v>e</v>
      </c>
      <c r="B2589" s="139">
        <f>IFERROR(__xludf.DUMMYFUNCTION("""COMPUTED_VALUE"""),2.0251202E8)</f>
        <v>202512020</v>
      </c>
      <c r="C2589" s="139" t="str">
        <f>IFERROR(__xludf.DUMMYFUNCTION("""COMPUTED_VALUE"""),"e_glo_00002_osh1_advent_Boss_Green_Appearance_00001")</f>
        <v>e_glo_00002_osh1_advent_Boss_Green_Appearance_00001</v>
      </c>
      <c r="D2589" s="139" t="str">
        <f>IFERROR(__xludf.DUMMYFUNCTION("""COMPUTED_VALUE"""),"e_glo_00002_osh1_advent_Boss_Green")</f>
        <v>e_glo_00002_osh1_advent_Boss_Green</v>
      </c>
      <c r="E2589" s="139">
        <f>IFERROR(__xludf.DUMMYFUNCTION("""COMPUTED_VALUE"""),0.0)</f>
        <v>0</v>
      </c>
      <c r="F2589" s="139" t="str">
        <f>IFERROR(__xludf.DUMMYFUNCTION("""COMPUTED_VALUE"""),"Appearance")</f>
        <v>Appearance</v>
      </c>
      <c r="G2589" s="139"/>
      <c r="H2589" s="139"/>
      <c r="I2589" s="139">
        <f>IFERROR(__xludf.DUMMYFUNCTION("""COMPUTED_VALUE"""),50.0)</f>
        <v>50</v>
      </c>
      <c r="J2589" s="139">
        <f>IFERROR(__xludf.DUMMYFUNCTION("""COMPUTED_VALUE"""),0.0)</f>
        <v>0</v>
      </c>
      <c r="K2589" s="139">
        <f>IFERROR(__xludf.DUMMYFUNCTION("""COMPUTED_VALUE"""),0.0)</f>
        <v>0</v>
      </c>
      <c r="L2589" s="139"/>
      <c r="M2589" s="139"/>
      <c r="N2589" s="139"/>
    </row>
    <row r="2590">
      <c r="A2590" s="139" t="str">
        <f>IFERROR(__xludf.DUMMYFUNCTION("""COMPUTED_VALUE"""),"e")</f>
        <v>e</v>
      </c>
      <c r="B2590" s="139">
        <f>IFERROR(__xludf.DUMMYFUNCTION("""COMPUTED_VALUE"""),2.0251202E8)</f>
        <v>202512020</v>
      </c>
      <c r="C2590" s="139" t="str">
        <f>IFERROR(__xludf.DUMMYFUNCTION("""COMPUTED_VALUE"""),"c_osh_00201_osh1_advent_Normal_Red_Normal_00000")</f>
        <v>c_osh_00201_osh1_advent_Normal_Red_Normal_00000</v>
      </c>
      <c r="D2590" s="139" t="str">
        <f>IFERROR(__xludf.DUMMYFUNCTION("""COMPUTED_VALUE"""),"c_osh_00201_osh1_advent_Normal_Red")</f>
        <v>c_osh_00201_osh1_advent_Normal_Red</v>
      </c>
      <c r="E2590" s="139">
        <f>IFERROR(__xludf.DUMMYFUNCTION("""COMPUTED_VALUE"""),0.0)</f>
        <v>0</v>
      </c>
      <c r="F2590" s="139" t="str">
        <f>IFERROR(__xludf.DUMMYFUNCTION("""COMPUTED_VALUE"""),"Normal")</f>
        <v>Normal</v>
      </c>
      <c r="G2590" s="139"/>
      <c r="H2590" s="139"/>
      <c r="I2590" s="139">
        <f>IFERROR(__xludf.DUMMYFUNCTION("""COMPUTED_VALUE"""),69.0)</f>
        <v>69</v>
      </c>
      <c r="J2590" s="139">
        <f>IFERROR(__xludf.DUMMYFUNCTION("""COMPUTED_VALUE"""),0.0)</f>
        <v>0</v>
      </c>
      <c r="K2590" s="139">
        <f>IFERROR(__xludf.DUMMYFUNCTION("""COMPUTED_VALUE"""),50.0)</f>
        <v>50</v>
      </c>
      <c r="L2590" s="139"/>
      <c r="M2590" s="139"/>
      <c r="N2590" s="139"/>
    </row>
    <row r="2591">
      <c r="A2591" s="139" t="str">
        <f>IFERROR(__xludf.DUMMYFUNCTION("""COMPUTED_VALUE"""),"e")</f>
        <v>e</v>
      </c>
      <c r="B2591" s="139">
        <f>IFERROR(__xludf.DUMMYFUNCTION("""COMPUTED_VALUE"""),2.0251202E8)</f>
        <v>202512020</v>
      </c>
      <c r="C2591" s="139" t="str">
        <f>IFERROR(__xludf.DUMMYFUNCTION("""COMPUTED_VALUE"""),"c_osh_00201_osh1_advent_Normal_Red_Special_00001")</f>
        <v>c_osh_00201_osh1_advent_Normal_Red_Special_00001</v>
      </c>
      <c r="D2591" s="139" t="str">
        <f>IFERROR(__xludf.DUMMYFUNCTION("""COMPUTED_VALUE"""),"c_osh_00201_osh1_advent_Normal_Red")</f>
        <v>c_osh_00201_osh1_advent_Normal_Red</v>
      </c>
      <c r="E2591" s="139">
        <f>IFERROR(__xludf.DUMMYFUNCTION("""COMPUTED_VALUE"""),0.0)</f>
        <v>0</v>
      </c>
      <c r="F2591" s="139" t="str">
        <f>IFERROR(__xludf.DUMMYFUNCTION("""COMPUTED_VALUE"""),"Special")</f>
        <v>Special</v>
      </c>
      <c r="G2591" s="139"/>
      <c r="H2591" s="139"/>
      <c r="I2591" s="139">
        <f>IFERROR(__xludf.DUMMYFUNCTION("""COMPUTED_VALUE"""),150.0)</f>
        <v>150</v>
      </c>
      <c r="J2591" s="139">
        <f>IFERROR(__xludf.DUMMYFUNCTION("""COMPUTED_VALUE"""),70.0)</f>
        <v>70</v>
      </c>
      <c r="K2591" s="139">
        <f>IFERROR(__xludf.DUMMYFUNCTION("""COMPUTED_VALUE"""),0.0)</f>
        <v>0</v>
      </c>
      <c r="L2591" s="139"/>
      <c r="M2591" s="139"/>
      <c r="N2591" s="139"/>
    </row>
    <row r="2592">
      <c r="A2592" s="139" t="str">
        <f>IFERROR(__xludf.DUMMYFUNCTION("""COMPUTED_VALUE"""),"e")</f>
        <v>e</v>
      </c>
      <c r="B2592" s="139">
        <f>IFERROR(__xludf.DUMMYFUNCTION("""COMPUTED_VALUE"""),2.0251202E8)</f>
        <v>202512020</v>
      </c>
      <c r="C2592" s="139" t="str">
        <f>IFERROR(__xludf.DUMMYFUNCTION("""COMPUTED_VALUE"""),"c_osh_00201_osh1_advent_Boss_Red_Normal_00000")</f>
        <v>c_osh_00201_osh1_advent_Boss_Red_Normal_00000</v>
      </c>
      <c r="D2592" s="139" t="str">
        <f>IFERROR(__xludf.DUMMYFUNCTION("""COMPUTED_VALUE"""),"c_osh_00201_osh1_advent_Boss_Red")</f>
        <v>c_osh_00201_osh1_advent_Boss_Red</v>
      </c>
      <c r="E2592" s="139">
        <f>IFERROR(__xludf.DUMMYFUNCTION("""COMPUTED_VALUE"""),0.0)</f>
        <v>0</v>
      </c>
      <c r="F2592" s="139" t="str">
        <f>IFERROR(__xludf.DUMMYFUNCTION("""COMPUTED_VALUE"""),"Normal")</f>
        <v>Normal</v>
      </c>
      <c r="G2592" s="139"/>
      <c r="H2592" s="139"/>
      <c r="I2592" s="139">
        <f>IFERROR(__xludf.DUMMYFUNCTION("""COMPUTED_VALUE"""),69.0)</f>
        <v>69</v>
      </c>
      <c r="J2592" s="139">
        <f>IFERROR(__xludf.DUMMYFUNCTION("""COMPUTED_VALUE"""),0.0)</f>
        <v>0</v>
      </c>
      <c r="K2592" s="139">
        <f>IFERROR(__xludf.DUMMYFUNCTION("""COMPUTED_VALUE"""),50.0)</f>
        <v>50</v>
      </c>
      <c r="L2592" s="139"/>
      <c r="M2592" s="139"/>
      <c r="N2592" s="139"/>
    </row>
    <row r="2593">
      <c r="A2593" s="139" t="str">
        <f>IFERROR(__xludf.DUMMYFUNCTION("""COMPUTED_VALUE"""),"e")</f>
        <v>e</v>
      </c>
      <c r="B2593" s="139">
        <f>IFERROR(__xludf.DUMMYFUNCTION("""COMPUTED_VALUE"""),2.0251202E8)</f>
        <v>202512020</v>
      </c>
      <c r="C2593" s="139" t="str">
        <f>IFERROR(__xludf.DUMMYFUNCTION("""COMPUTED_VALUE"""),"c_osh_00201_osh1_advent_Boss_Red_Appearance_00001")</f>
        <v>c_osh_00201_osh1_advent_Boss_Red_Appearance_00001</v>
      </c>
      <c r="D2593" s="139" t="str">
        <f>IFERROR(__xludf.DUMMYFUNCTION("""COMPUTED_VALUE"""),"c_osh_00201_osh1_advent_Boss_Red")</f>
        <v>c_osh_00201_osh1_advent_Boss_Red</v>
      </c>
      <c r="E2593" s="139">
        <f>IFERROR(__xludf.DUMMYFUNCTION("""COMPUTED_VALUE"""),0.0)</f>
        <v>0</v>
      </c>
      <c r="F2593" s="139" t="str">
        <f>IFERROR(__xludf.DUMMYFUNCTION("""COMPUTED_VALUE"""),"Appearance")</f>
        <v>Appearance</v>
      </c>
      <c r="G2593" s="139"/>
      <c r="H2593" s="139"/>
      <c r="I2593" s="139">
        <f>IFERROR(__xludf.DUMMYFUNCTION("""COMPUTED_VALUE"""),50.0)</f>
        <v>50</v>
      </c>
      <c r="J2593" s="139">
        <f>IFERROR(__xludf.DUMMYFUNCTION("""COMPUTED_VALUE"""),0.0)</f>
        <v>0</v>
      </c>
      <c r="K2593" s="139">
        <f>IFERROR(__xludf.DUMMYFUNCTION("""COMPUTED_VALUE"""),0.0)</f>
        <v>0</v>
      </c>
      <c r="L2593" s="139"/>
      <c r="M2593" s="139"/>
      <c r="N2593" s="139"/>
    </row>
    <row r="2594">
      <c r="A2594" s="139" t="str">
        <f>IFERROR(__xludf.DUMMYFUNCTION("""COMPUTED_VALUE"""),"e")</f>
        <v>e</v>
      </c>
      <c r="B2594" s="139">
        <f>IFERROR(__xludf.DUMMYFUNCTION("""COMPUTED_VALUE"""),2.0251202E8)</f>
        <v>202512020</v>
      </c>
      <c r="C2594" s="139" t="str">
        <f>IFERROR(__xludf.DUMMYFUNCTION("""COMPUTED_VALUE"""),"c_osh_00201_osh1_advent_Boss_Red_Special_00002")</f>
        <v>c_osh_00201_osh1_advent_Boss_Red_Special_00002</v>
      </c>
      <c r="D2594" s="139" t="str">
        <f>IFERROR(__xludf.DUMMYFUNCTION("""COMPUTED_VALUE"""),"c_osh_00201_osh1_advent_Boss_Red")</f>
        <v>c_osh_00201_osh1_advent_Boss_Red</v>
      </c>
      <c r="E2594" s="139">
        <f>IFERROR(__xludf.DUMMYFUNCTION("""COMPUTED_VALUE"""),0.0)</f>
        <v>0</v>
      </c>
      <c r="F2594" s="139" t="str">
        <f>IFERROR(__xludf.DUMMYFUNCTION("""COMPUTED_VALUE"""),"Special")</f>
        <v>Special</v>
      </c>
      <c r="G2594" s="139"/>
      <c r="H2594" s="139"/>
      <c r="I2594" s="139">
        <f>IFERROR(__xludf.DUMMYFUNCTION("""COMPUTED_VALUE"""),150.0)</f>
        <v>150</v>
      </c>
      <c r="J2594" s="139">
        <f>IFERROR(__xludf.DUMMYFUNCTION("""COMPUTED_VALUE"""),70.0)</f>
        <v>70</v>
      </c>
      <c r="K2594" s="139">
        <f>IFERROR(__xludf.DUMMYFUNCTION("""COMPUTED_VALUE"""),0.0)</f>
        <v>0</v>
      </c>
      <c r="L2594" s="139"/>
      <c r="M2594" s="139"/>
      <c r="N2594" s="139"/>
    </row>
    <row r="2595">
      <c r="A2595" s="139" t="str">
        <f>IFERROR(__xludf.DUMMYFUNCTION("""COMPUTED_VALUE"""),"e")</f>
        <v>e</v>
      </c>
      <c r="B2595" s="139">
        <f>IFERROR(__xludf.DUMMYFUNCTION("""COMPUTED_VALUE"""),2.0251202E8)</f>
        <v>202512020</v>
      </c>
      <c r="C2595" s="139" t="str">
        <f>IFERROR(__xludf.DUMMYFUNCTION("""COMPUTED_VALUE"""),"c_osh_00301_osh1_advent_Normal_Yellow_Normal_00000")</f>
        <v>c_osh_00301_osh1_advent_Normal_Yellow_Normal_00000</v>
      </c>
      <c r="D2595" s="139" t="str">
        <f>IFERROR(__xludf.DUMMYFUNCTION("""COMPUTED_VALUE"""),"c_osh_00301_osh1_advent_Normal_Yellow")</f>
        <v>c_osh_00301_osh1_advent_Normal_Yellow</v>
      </c>
      <c r="E2595" s="139">
        <f>IFERROR(__xludf.DUMMYFUNCTION("""COMPUTED_VALUE"""),0.0)</f>
        <v>0</v>
      </c>
      <c r="F2595" s="139" t="str">
        <f>IFERROR(__xludf.DUMMYFUNCTION("""COMPUTED_VALUE"""),"Normal")</f>
        <v>Normal</v>
      </c>
      <c r="G2595" s="139"/>
      <c r="H2595" s="139"/>
      <c r="I2595" s="139">
        <f>IFERROR(__xludf.DUMMYFUNCTION("""COMPUTED_VALUE"""),57.0)</f>
        <v>57</v>
      </c>
      <c r="J2595" s="139">
        <f>IFERROR(__xludf.DUMMYFUNCTION("""COMPUTED_VALUE"""),0.0)</f>
        <v>0</v>
      </c>
      <c r="K2595" s="139">
        <f>IFERROR(__xludf.DUMMYFUNCTION("""COMPUTED_VALUE"""),75.0)</f>
        <v>75</v>
      </c>
      <c r="L2595" s="139"/>
      <c r="M2595" s="139"/>
      <c r="N2595" s="139"/>
    </row>
    <row r="2596">
      <c r="A2596" s="139" t="str">
        <f>IFERROR(__xludf.DUMMYFUNCTION("""COMPUTED_VALUE"""),"e")</f>
        <v>e</v>
      </c>
      <c r="B2596" s="139">
        <f>IFERROR(__xludf.DUMMYFUNCTION("""COMPUTED_VALUE"""),2.0251202E8)</f>
        <v>202512020</v>
      </c>
      <c r="C2596" s="139" t="str">
        <f>IFERROR(__xludf.DUMMYFUNCTION("""COMPUTED_VALUE"""),"c_osh_00301_osh1_advent_Normal_Yellow_Special_00001")</f>
        <v>c_osh_00301_osh1_advent_Normal_Yellow_Special_00001</v>
      </c>
      <c r="D2596" s="139" t="str">
        <f>IFERROR(__xludf.DUMMYFUNCTION("""COMPUTED_VALUE"""),"c_osh_00301_osh1_advent_Normal_Yellow")</f>
        <v>c_osh_00301_osh1_advent_Normal_Yellow</v>
      </c>
      <c r="E2596" s="139">
        <f>IFERROR(__xludf.DUMMYFUNCTION("""COMPUTED_VALUE"""),0.0)</f>
        <v>0</v>
      </c>
      <c r="F2596" s="139" t="str">
        <f>IFERROR(__xludf.DUMMYFUNCTION("""COMPUTED_VALUE"""),"Special")</f>
        <v>Special</v>
      </c>
      <c r="G2596" s="139"/>
      <c r="H2596" s="139"/>
      <c r="I2596" s="139">
        <f>IFERROR(__xludf.DUMMYFUNCTION("""COMPUTED_VALUE"""),167.0)</f>
        <v>167</v>
      </c>
      <c r="J2596" s="139">
        <f>IFERROR(__xludf.DUMMYFUNCTION("""COMPUTED_VALUE"""),89.0)</f>
        <v>89</v>
      </c>
      <c r="K2596" s="139">
        <f>IFERROR(__xludf.DUMMYFUNCTION("""COMPUTED_VALUE"""),0.0)</f>
        <v>0</v>
      </c>
      <c r="L2596" s="139"/>
      <c r="M2596" s="139"/>
      <c r="N2596" s="139"/>
    </row>
    <row r="2597">
      <c r="A2597" s="139" t="str">
        <f>IFERROR(__xludf.DUMMYFUNCTION("""COMPUTED_VALUE"""),"e")</f>
        <v>e</v>
      </c>
      <c r="B2597" s="139">
        <f>IFERROR(__xludf.DUMMYFUNCTION("""COMPUTED_VALUE"""),2.0251202E8)</f>
        <v>202512020</v>
      </c>
      <c r="C2597" s="139" t="str">
        <f>IFERROR(__xludf.DUMMYFUNCTION("""COMPUTED_VALUE"""),"c_osh_00301_osh1_advent_Boss_Yellow_Normal_00000")</f>
        <v>c_osh_00301_osh1_advent_Boss_Yellow_Normal_00000</v>
      </c>
      <c r="D2597" s="139" t="str">
        <f>IFERROR(__xludf.DUMMYFUNCTION("""COMPUTED_VALUE"""),"c_osh_00301_osh1_advent_Boss_Yellow")</f>
        <v>c_osh_00301_osh1_advent_Boss_Yellow</v>
      </c>
      <c r="E2597" s="139">
        <f>IFERROR(__xludf.DUMMYFUNCTION("""COMPUTED_VALUE"""),0.0)</f>
        <v>0</v>
      </c>
      <c r="F2597" s="139" t="str">
        <f>IFERROR(__xludf.DUMMYFUNCTION("""COMPUTED_VALUE"""),"Normal")</f>
        <v>Normal</v>
      </c>
      <c r="G2597" s="139"/>
      <c r="H2597" s="139"/>
      <c r="I2597" s="139">
        <f>IFERROR(__xludf.DUMMYFUNCTION("""COMPUTED_VALUE"""),57.0)</f>
        <v>57</v>
      </c>
      <c r="J2597" s="139">
        <f>IFERROR(__xludf.DUMMYFUNCTION("""COMPUTED_VALUE"""),0.0)</f>
        <v>0</v>
      </c>
      <c r="K2597" s="139">
        <f>IFERROR(__xludf.DUMMYFUNCTION("""COMPUTED_VALUE"""),75.0)</f>
        <v>75</v>
      </c>
      <c r="L2597" s="139"/>
      <c r="M2597" s="139"/>
      <c r="N2597" s="139"/>
    </row>
    <row r="2598">
      <c r="A2598" s="139" t="str">
        <f>IFERROR(__xludf.DUMMYFUNCTION("""COMPUTED_VALUE"""),"e")</f>
        <v>e</v>
      </c>
      <c r="B2598" s="139">
        <f>IFERROR(__xludf.DUMMYFUNCTION("""COMPUTED_VALUE"""),2.0251202E8)</f>
        <v>202512020</v>
      </c>
      <c r="C2598" s="139" t="str">
        <f>IFERROR(__xludf.DUMMYFUNCTION("""COMPUTED_VALUE"""),"c_osh_00301_osh1_advent_Boss_Yellow_Appearance_00001")</f>
        <v>c_osh_00301_osh1_advent_Boss_Yellow_Appearance_00001</v>
      </c>
      <c r="D2598" s="139" t="str">
        <f>IFERROR(__xludf.DUMMYFUNCTION("""COMPUTED_VALUE"""),"c_osh_00301_osh1_advent_Boss_Yellow")</f>
        <v>c_osh_00301_osh1_advent_Boss_Yellow</v>
      </c>
      <c r="E2598" s="139">
        <f>IFERROR(__xludf.DUMMYFUNCTION("""COMPUTED_VALUE"""),0.0)</f>
        <v>0</v>
      </c>
      <c r="F2598" s="139" t="str">
        <f>IFERROR(__xludf.DUMMYFUNCTION("""COMPUTED_VALUE"""),"Appearance")</f>
        <v>Appearance</v>
      </c>
      <c r="G2598" s="139"/>
      <c r="H2598" s="139"/>
      <c r="I2598" s="139">
        <f>IFERROR(__xludf.DUMMYFUNCTION("""COMPUTED_VALUE"""),50.0)</f>
        <v>50</v>
      </c>
      <c r="J2598" s="139">
        <f>IFERROR(__xludf.DUMMYFUNCTION("""COMPUTED_VALUE"""),0.0)</f>
        <v>0</v>
      </c>
      <c r="K2598" s="139">
        <f>IFERROR(__xludf.DUMMYFUNCTION("""COMPUTED_VALUE"""),0.0)</f>
        <v>0</v>
      </c>
      <c r="L2598" s="139"/>
      <c r="M2598" s="139"/>
      <c r="N2598" s="139"/>
    </row>
    <row r="2599">
      <c r="A2599" s="139" t="str">
        <f>IFERROR(__xludf.DUMMYFUNCTION("""COMPUTED_VALUE"""),"e")</f>
        <v>e</v>
      </c>
      <c r="B2599" s="139">
        <f>IFERROR(__xludf.DUMMYFUNCTION("""COMPUTED_VALUE"""),2.0251202E8)</f>
        <v>202512020</v>
      </c>
      <c r="C2599" s="139" t="str">
        <f>IFERROR(__xludf.DUMMYFUNCTION("""COMPUTED_VALUE"""),"c_osh_00301_osh1_advent_Boss_Yellow_Special_00002")</f>
        <v>c_osh_00301_osh1_advent_Boss_Yellow_Special_00002</v>
      </c>
      <c r="D2599" s="139" t="str">
        <f>IFERROR(__xludf.DUMMYFUNCTION("""COMPUTED_VALUE"""),"c_osh_00301_osh1_advent_Boss_Yellow")</f>
        <v>c_osh_00301_osh1_advent_Boss_Yellow</v>
      </c>
      <c r="E2599" s="139">
        <f>IFERROR(__xludf.DUMMYFUNCTION("""COMPUTED_VALUE"""),0.0)</f>
        <v>0</v>
      </c>
      <c r="F2599" s="139" t="str">
        <f>IFERROR(__xludf.DUMMYFUNCTION("""COMPUTED_VALUE"""),"Special")</f>
        <v>Special</v>
      </c>
      <c r="G2599" s="139"/>
      <c r="H2599" s="139"/>
      <c r="I2599" s="139">
        <f>IFERROR(__xludf.DUMMYFUNCTION("""COMPUTED_VALUE"""),167.0)</f>
        <v>167</v>
      </c>
      <c r="J2599" s="139">
        <f>IFERROR(__xludf.DUMMYFUNCTION("""COMPUTED_VALUE"""),89.0)</f>
        <v>89</v>
      </c>
      <c r="K2599" s="139">
        <f>IFERROR(__xludf.DUMMYFUNCTION("""COMPUTED_VALUE"""),0.0)</f>
        <v>0</v>
      </c>
      <c r="L2599" s="139"/>
      <c r="M2599" s="139"/>
      <c r="N2599" s="139"/>
    </row>
    <row r="2600">
      <c r="A2600" s="139" t="str">
        <f>IFERROR(__xludf.DUMMYFUNCTION("""COMPUTED_VALUE"""),"e")</f>
        <v>e</v>
      </c>
      <c r="B2600" s="139">
        <f>IFERROR(__xludf.DUMMYFUNCTION("""COMPUTED_VALUE"""),2.0251202E8)</f>
        <v>202512020</v>
      </c>
      <c r="C2600" s="139" t="str">
        <f>IFERROR(__xludf.DUMMYFUNCTION("""COMPUTED_VALUE"""),"c_osh_00401_osh1_advent_Normal_Colorless_Normal_00000")</f>
        <v>c_osh_00401_osh1_advent_Normal_Colorless_Normal_00000</v>
      </c>
      <c r="D2600" s="139" t="str">
        <f>IFERROR(__xludf.DUMMYFUNCTION("""COMPUTED_VALUE"""),"c_osh_00401_osh1_advent_Normal_Colorless")</f>
        <v>c_osh_00401_osh1_advent_Normal_Colorless</v>
      </c>
      <c r="E2600" s="139">
        <f>IFERROR(__xludf.DUMMYFUNCTION("""COMPUTED_VALUE"""),0.0)</f>
        <v>0</v>
      </c>
      <c r="F2600" s="139" t="str">
        <f>IFERROR(__xludf.DUMMYFUNCTION("""COMPUTED_VALUE"""),"Normal")</f>
        <v>Normal</v>
      </c>
      <c r="G2600" s="139"/>
      <c r="H2600" s="139"/>
      <c r="I2600" s="139">
        <f>IFERROR(__xludf.DUMMYFUNCTION("""COMPUTED_VALUE"""),59.0)</f>
        <v>59</v>
      </c>
      <c r="J2600" s="139">
        <f>IFERROR(__xludf.DUMMYFUNCTION("""COMPUTED_VALUE"""),25.0)</f>
        <v>25</v>
      </c>
      <c r="K2600" s="139">
        <f>IFERROR(__xludf.DUMMYFUNCTION("""COMPUTED_VALUE"""),50.0)</f>
        <v>50</v>
      </c>
      <c r="L2600" s="139"/>
      <c r="M2600" s="139"/>
      <c r="N2600" s="139"/>
    </row>
    <row r="2601">
      <c r="A2601" s="139" t="str">
        <f>IFERROR(__xludf.DUMMYFUNCTION("""COMPUTED_VALUE"""),"e")</f>
        <v>e</v>
      </c>
      <c r="B2601" s="139">
        <f>IFERROR(__xludf.DUMMYFUNCTION("""COMPUTED_VALUE"""),2.0251202E8)</f>
        <v>202512020</v>
      </c>
      <c r="C2601" s="139" t="str">
        <f>IFERROR(__xludf.DUMMYFUNCTION("""COMPUTED_VALUE"""),"c_osh_00401_osh1_advent_Normal_Colorless_Special_00001")</f>
        <v>c_osh_00401_osh1_advent_Normal_Colorless_Special_00001</v>
      </c>
      <c r="D2601" s="139" t="str">
        <f>IFERROR(__xludf.DUMMYFUNCTION("""COMPUTED_VALUE"""),"c_osh_00401_osh1_advent_Normal_Colorless")</f>
        <v>c_osh_00401_osh1_advent_Normal_Colorless</v>
      </c>
      <c r="E2601" s="139">
        <f>IFERROR(__xludf.DUMMYFUNCTION("""COMPUTED_VALUE"""),0.0)</f>
        <v>0</v>
      </c>
      <c r="F2601" s="139" t="str">
        <f>IFERROR(__xludf.DUMMYFUNCTION("""COMPUTED_VALUE"""),"Special")</f>
        <v>Special</v>
      </c>
      <c r="G2601" s="139"/>
      <c r="H2601" s="139"/>
      <c r="I2601" s="139">
        <f>IFERROR(__xludf.DUMMYFUNCTION("""COMPUTED_VALUE"""),124.0)</f>
        <v>124</v>
      </c>
      <c r="J2601" s="139">
        <f>IFERROR(__xludf.DUMMYFUNCTION("""COMPUTED_VALUE"""),50.0)</f>
        <v>50</v>
      </c>
      <c r="K2601" s="139">
        <f>IFERROR(__xludf.DUMMYFUNCTION("""COMPUTED_VALUE"""),0.0)</f>
        <v>0</v>
      </c>
      <c r="L2601" s="139"/>
      <c r="M2601" s="139"/>
      <c r="N2601" s="139"/>
    </row>
    <row r="2602">
      <c r="A2602" s="139" t="str">
        <f>IFERROR(__xludf.DUMMYFUNCTION("""COMPUTED_VALUE"""),"e")</f>
        <v>e</v>
      </c>
      <c r="B2602" s="139">
        <f>IFERROR(__xludf.DUMMYFUNCTION("""COMPUTED_VALUE"""),2.0251202E8)</f>
        <v>202512020</v>
      </c>
      <c r="C2602" s="139" t="str">
        <f>IFERROR(__xludf.DUMMYFUNCTION("""COMPUTED_VALUE"""),"c_osh_00401_osh1_advent_Boss_Colorless_Normal_00000")</f>
        <v>c_osh_00401_osh1_advent_Boss_Colorless_Normal_00000</v>
      </c>
      <c r="D2602" s="139" t="str">
        <f>IFERROR(__xludf.DUMMYFUNCTION("""COMPUTED_VALUE"""),"c_osh_00401_osh1_advent_Boss_Colorless")</f>
        <v>c_osh_00401_osh1_advent_Boss_Colorless</v>
      </c>
      <c r="E2602" s="139">
        <f>IFERROR(__xludf.DUMMYFUNCTION("""COMPUTED_VALUE"""),0.0)</f>
        <v>0</v>
      </c>
      <c r="F2602" s="139" t="str">
        <f>IFERROR(__xludf.DUMMYFUNCTION("""COMPUTED_VALUE"""),"Normal")</f>
        <v>Normal</v>
      </c>
      <c r="G2602" s="139"/>
      <c r="H2602" s="139"/>
      <c r="I2602" s="139">
        <f>IFERROR(__xludf.DUMMYFUNCTION("""COMPUTED_VALUE"""),59.0)</f>
        <v>59</v>
      </c>
      <c r="J2602" s="139">
        <f>IFERROR(__xludf.DUMMYFUNCTION("""COMPUTED_VALUE"""),25.0)</f>
        <v>25</v>
      </c>
      <c r="K2602" s="139">
        <f>IFERROR(__xludf.DUMMYFUNCTION("""COMPUTED_VALUE"""),50.0)</f>
        <v>50</v>
      </c>
      <c r="L2602" s="139"/>
      <c r="M2602" s="139"/>
      <c r="N2602" s="139"/>
    </row>
    <row r="2603">
      <c r="A2603" s="139" t="str">
        <f>IFERROR(__xludf.DUMMYFUNCTION("""COMPUTED_VALUE"""),"e")</f>
        <v>e</v>
      </c>
      <c r="B2603" s="139">
        <f>IFERROR(__xludf.DUMMYFUNCTION("""COMPUTED_VALUE"""),2.0251202E8)</f>
        <v>202512020</v>
      </c>
      <c r="C2603" s="139" t="str">
        <f>IFERROR(__xludf.DUMMYFUNCTION("""COMPUTED_VALUE"""),"c_osh_00401_osh1_advent_Boss_Colorless_Appearance_00001")</f>
        <v>c_osh_00401_osh1_advent_Boss_Colorless_Appearance_00001</v>
      </c>
      <c r="D2603" s="139" t="str">
        <f>IFERROR(__xludf.DUMMYFUNCTION("""COMPUTED_VALUE"""),"c_osh_00401_osh1_advent_Boss_Colorless")</f>
        <v>c_osh_00401_osh1_advent_Boss_Colorless</v>
      </c>
      <c r="E2603" s="139">
        <f>IFERROR(__xludf.DUMMYFUNCTION("""COMPUTED_VALUE"""),0.0)</f>
        <v>0</v>
      </c>
      <c r="F2603" s="139" t="str">
        <f>IFERROR(__xludf.DUMMYFUNCTION("""COMPUTED_VALUE"""),"Appearance")</f>
        <v>Appearance</v>
      </c>
      <c r="G2603" s="139"/>
      <c r="H2603" s="139"/>
      <c r="I2603" s="139">
        <f>IFERROR(__xludf.DUMMYFUNCTION("""COMPUTED_VALUE"""),50.0)</f>
        <v>50</v>
      </c>
      <c r="J2603" s="139">
        <f>IFERROR(__xludf.DUMMYFUNCTION("""COMPUTED_VALUE"""),0.0)</f>
        <v>0</v>
      </c>
      <c r="K2603" s="139">
        <f>IFERROR(__xludf.DUMMYFUNCTION("""COMPUTED_VALUE"""),0.0)</f>
        <v>0</v>
      </c>
      <c r="L2603" s="139"/>
      <c r="M2603" s="139"/>
      <c r="N2603" s="139"/>
    </row>
    <row r="2604">
      <c r="A2604" s="139" t="str">
        <f>IFERROR(__xludf.DUMMYFUNCTION("""COMPUTED_VALUE"""),"e")</f>
        <v>e</v>
      </c>
      <c r="B2604" s="139">
        <f>IFERROR(__xludf.DUMMYFUNCTION("""COMPUTED_VALUE"""),2.0251202E8)</f>
        <v>202512020</v>
      </c>
      <c r="C2604" s="139" t="str">
        <f>IFERROR(__xludf.DUMMYFUNCTION("""COMPUTED_VALUE"""),"c_osh_00401_osh1_advent_Boss_Colorless_Special_00002")</f>
        <v>c_osh_00401_osh1_advent_Boss_Colorless_Special_00002</v>
      </c>
      <c r="D2604" s="139" t="str">
        <f>IFERROR(__xludf.DUMMYFUNCTION("""COMPUTED_VALUE"""),"c_osh_00401_osh1_advent_Boss_Colorless")</f>
        <v>c_osh_00401_osh1_advent_Boss_Colorless</v>
      </c>
      <c r="E2604" s="139">
        <f>IFERROR(__xludf.DUMMYFUNCTION("""COMPUTED_VALUE"""),0.0)</f>
        <v>0</v>
      </c>
      <c r="F2604" s="139" t="str">
        <f>IFERROR(__xludf.DUMMYFUNCTION("""COMPUTED_VALUE"""),"Special")</f>
        <v>Special</v>
      </c>
      <c r="G2604" s="139"/>
      <c r="H2604" s="139"/>
      <c r="I2604" s="139">
        <f>IFERROR(__xludf.DUMMYFUNCTION("""COMPUTED_VALUE"""),124.0)</f>
        <v>124</v>
      </c>
      <c r="J2604" s="139">
        <f>IFERROR(__xludf.DUMMYFUNCTION("""COMPUTED_VALUE"""),50.0)</f>
        <v>50</v>
      </c>
      <c r="K2604" s="139">
        <f>IFERROR(__xludf.DUMMYFUNCTION("""COMPUTED_VALUE"""),0.0)</f>
        <v>0</v>
      </c>
      <c r="L2604" s="139"/>
      <c r="M2604" s="139"/>
      <c r="N2604" s="139"/>
    </row>
    <row r="2605">
      <c r="A2605" s="139" t="str">
        <f>IFERROR(__xludf.DUMMYFUNCTION("""COMPUTED_VALUE"""),"e")</f>
        <v>e</v>
      </c>
      <c r="B2605" s="139">
        <f>IFERROR(__xludf.DUMMYFUNCTION("""COMPUTED_VALUE"""),2.0251202E8)</f>
        <v>202512020</v>
      </c>
      <c r="C2605" s="139" t="str">
        <f>IFERROR(__xludf.DUMMYFUNCTION("""COMPUTED_VALUE"""),"e_glo_00002_osh1savage02_Normal_Blue_Normal_00000")</f>
        <v>e_glo_00002_osh1savage02_Normal_Blue_Normal_00000</v>
      </c>
      <c r="D2605" s="139" t="str">
        <f>IFERROR(__xludf.DUMMYFUNCTION("""COMPUTED_VALUE"""),"e_glo_00002_osh1savage02_Normal_Blue")</f>
        <v>e_glo_00002_osh1savage02_Normal_Blue</v>
      </c>
      <c r="E2605" s="139">
        <f>IFERROR(__xludf.DUMMYFUNCTION("""COMPUTED_VALUE"""),0.0)</f>
        <v>0</v>
      </c>
      <c r="F2605" s="139" t="str">
        <f>IFERROR(__xludf.DUMMYFUNCTION("""COMPUTED_VALUE"""),"Normal")</f>
        <v>Normal</v>
      </c>
      <c r="G2605" s="139"/>
      <c r="H2605" s="139"/>
      <c r="I2605" s="139">
        <f>IFERROR(__xludf.DUMMYFUNCTION("""COMPUTED_VALUE"""),59.0)</f>
        <v>59</v>
      </c>
      <c r="J2605" s="139">
        <f>IFERROR(__xludf.DUMMYFUNCTION("""COMPUTED_VALUE"""),30.0)</f>
        <v>30</v>
      </c>
      <c r="K2605" s="139">
        <f>IFERROR(__xludf.DUMMYFUNCTION("""COMPUTED_VALUE"""),65.0)</f>
        <v>65</v>
      </c>
      <c r="L2605" s="139"/>
      <c r="M2605" s="139"/>
      <c r="N2605" s="139"/>
    </row>
    <row r="2606">
      <c r="A2606" s="139" t="str">
        <f>IFERROR(__xludf.DUMMYFUNCTION("""COMPUTED_VALUE"""),"e")</f>
        <v>e</v>
      </c>
      <c r="B2606" s="139">
        <f>IFERROR(__xludf.DUMMYFUNCTION("""COMPUTED_VALUE"""),2.0251202E8)</f>
        <v>202512020</v>
      </c>
      <c r="C2606" s="139" t="str">
        <f>IFERROR(__xludf.DUMMYFUNCTION("""COMPUTED_VALUE"""),"e_glo_00002_osh1savage01_Normal_Yellow_Normal_00000")</f>
        <v>e_glo_00002_osh1savage01_Normal_Yellow_Normal_00000</v>
      </c>
      <c r="D2606" s="139" t="str">
        <f>IFERROR(__xludf.DUMMYFUNCTION("""COMPUTED_VALUE"""),"e_glo_00002_osh1savage01_Normal_Yellow")</f>
        <v>e_glo_00002_osh1savage01_Normal_Yellow</v>
      </c>
      <c r="E2606" s="139">
        <f>IFERROR(__xludf.DUMMYFUNCTION("""COMPUTED_VALUE"""),0.0)</f>
        <v>0</v>
      </c>
      <c r="F2606" s="139" t="str">
        <f>IFERROR(__xludf.DUMMYFUNCTION("""COMPUTED_VALUE"""),"Normal")</f>
        <v>Normal</v>
      </c>
      <c r="G2606" s="139"/>
      <c r="H2606" s="139"/>
      <c r="I2606" s="139">
        <f>IFERROR(__xludf.DUMMYFUNCTION("""COMPUTED_VALUE"""),59.0)</f>
        <v>59</v>
      </c>
      <c r="J2606" s="139">
        <f>IFERROR(__xludf.DUMMYFUNCTION("""COMPUTED_VALUE"""),30.0)</f>
        <v>30</v>
      </c>
      <c r="K2606" s="139">
        <f>IFERROR(__xludf.DUMMYFUNCTION("""COMPUTED_VALUE"""),65.0)</f>
        <v>65</v>
      </c>
      <c r="L2606" s="139"/>
      <c r="M2606" s="139"/>
      <c r="N2606" s="139"/>
    </row>
    <row r="2607">
      <c r="A2607" s="139" t="str">
        <f>IFERROR(__xludf.DUMMYFUNCTION("""COMPUTED_VALUE"""),"e")</f>
        <v>e</v>
      </c>
      <c r="B2607" s="139">
        <f>IFERROR(__xludf.DUMMYFUNCTION("""COMPUTED_VALUE"""),2.0251202E8)</f>
        <v>202512020</v>
      </c>
      <c r="C2607" s="139" t="str">
        <f>IFERROR(__xludf.DUMMYFUNCTION("""COMPUTED_VALUE"""),"e_glo_00002_osh1savage03b_Normal_Green_Normal_00000")</f>
        <v>e_glo_00002_osh1savage03b_Normal_Green_Normal_00000</v>
      </c>
      <c r="D2607" s="139" t="str">
        <f>IFERROR(__xludf.DUMMYFUNCTION("""COMPUTED_VALUE"""),"e_glo_00002_osh1savage03b_Normal_Green")</f>
        <v>e_glo_00002_osh1savage03b_Normal_Green</v>
      </c>
      <c r="E2607" s="139">
        <f>IFERROR(__xludf.DUMMYFUNCTION("""COMPUTED_VALUE"""),0.0)</f>
        <v>0</v>
      </c>
      <c r="F2607" s="139" t="str">
        <f>IFERROR(__xludf.DUMMYFUNCTION("""COMPUTED_VALUE"""),"Normal")</f>
        <v>Normal</v>
      </c>
      <c r="G2607" s="139"/>
      <c r="H2607" s="139"/>
      <c r="I2607" s="139">
        <f>IFERROR(__xludf.DUMMYFUNCTION("""COMPUTED_VALUE"""),59.0)</f>
        <v>59</v>
      </c>
      <c r="J2607" s="139">
        <f>IFERROR(__xludf.DUMMYFUNCTION("""COMPUTED_VALUE"""),30.0)</f>
        <v>30</v>
      </c>
      <c r="K2607" s="139">
        <f>IFERROR(__xludf.DUMMYFUNCTION("""COMPUTED_VALUE"""),65.0)</f>
        <v>65</v>
      </c>
      <c r="L2607" s="139"/>
      <c r="M2607" s="139"/>
      <c r="N2607" s="139"/>
    </row>
    <row r="2608">
      <c r="A2608" s="139" t="str">
        <f>IFERROR(__xludf.DUMMYFUNCTION("""COMPUTED_VALUE"""),"e")</f>
        <v>e</v>
      </c>
      <c r="B2608" s="139">
        <f>IFERROR(__xludf.DUMMYFUNCTION("""COMPUTED_VALUE"""),2.0251202E8)</f>
        <v>202512020</v>
      </c>
      <c r="C2608" s="139" t="str">
        <f>IFERROR(__xludf.DUMMYFUNCTION("""COMPUTED_VALUE"""),"e_glo_00002_osh1savage01_Normal_Colorless_Normal_00000")</f>
        <v>e_glo_00002_osh1savage01_Normal_Colorless_Normal_00000</v>
      </c>
      <c r="D2608" s="139" t="str">
        <f>IFERROR(__xludf.DUMMYFUNCTION("""COMPUTED_VALUE"""),"e_glo_00002_osh1savage01_Normal_Colorless")</f>
        <v>e_glo_00002_osh1savage01_Normal_Colorless</v>
      </c>
      <c r="E2608" s="139">
        <f>IFERROR(__xludf.DUMMYFUNCTION("""COMPUTED_VALUE"""),0.0)</f>
        <v>0</v>
      </c>
      <c r="F2608" s="139" t="str">
        <f>IFERROR(__xludf.DUMMYFUNCTION("""COMPUTED_VALUE"""),"Normal")</f>
        <v>Normal</v>
      </c>
      <c r="G2608" s="139"/>
      <c r="H2608" s="139"/>
      <c r="I2608" s="139">
        <f>IFERROR(__xludf.DUMMYFUNCTION("""COMPUTED_VALUE"""),59.0)</f>
        <v>59</v>
      </c>
      <c r="J2608" s="139">
        <f>IFERROR(__xludf.DUMMYFUNCTION("""COMPUTED_VALUE"""),30.0)</f>
        <v>30</v>
      </c>
      <c r="K2608" s="139">
        <f>IFERROR(__xludf.DUMMYFUNCTION("""COMPUTED_VALUE"""),80.0)</f>
        <v>80</v>
      </c>
      <c r="L2608" s="139"/>
      <c r="M2608" s="139"/>
      <c r="N2608" s="139"/>
    </row>
    <row r="2609">
      <c r="A2609" s="139" t="str">
        <f>IFERROR(__xludf.DUMMYFUNCTION("""COMPUTED_VALUE"""),"e")</f>
        <v>e</v>
      </c>
      <c r="B2609" s="139">
        <f>IFERROR(__xludf.DUMMYFUNCTION("""COMPUTED_VALUE"""),2.0251202E8)</f>
        <v>202512020</v>
      </c>
      <c r="C2609" s="139" t="str">
        <f>IFERROR(__xludf.DUMMYFUNCTION("""COMPUTED_VALUE"""),"e_glo_00002_osh1savage03a_Normal_Green_Normal_00000")</f>
        <v>e_glo_00002_osh1savage03a_Normal_Green_Normal_00000</v>
      </c>
      <c r="D2609" s="139" t="str">
        <f>IFERROR(__xludf.DUMMYFUNCTION("""COMPUTED_VALUE"""),"e_glo_00002_osh1savage03a_Normal_Green")</f>
        <v>e_glo_00002_osh1savage03a_Normal_Green</v>
      </c>
      <c r="E2609" s="139">
        <f>IFERROR(__xludf.DUMMYFUNCTION("""COMPUTED_VALUE"""),0.0)</f>
        <v>0</v>
      </c>
      <c r="F2609" s="139" t="str">
        <f>IFERROR(__xludf.DUMMYFUNCTION("""COMPUTED_VALUE"""),"Normal")</f>
        <v>Normal</v>
      </c>
      <c r="G2609" s="139"/>
      <c r="H2609" s="139"/>
      <c r="I2609" s="139">
        <f>IFERROR(__xludf.DUMMYFUNCTION("""COMPUTED_VALUE"""),59.0)</f>
        <v>59</v>
      </c>
      <c r="J2609" s="139">
        <f>IFERROR(__xludf.DUMMYFUNCTION("""COMPUTED_VALUE"""),30.0)</f>
        <v>30</v>
      </c>
      <c r="K2609" s="139">
        <f>IFERROR(__xludf.DUMMYFUNCTION("""COMPUTED_VALUE"""),50.0)</f>
        <v>50</v>
      </c>
      <c r="L2609" s="139"/>
      <c r="M2609" s="139"/>
      <c r="N2609" s="139"/>
    </row>
    <row r="2610">
      <c r="A2610" s="139" t="str">
        <f>IFERROR(__xludf.DUMMYFUNCTION("""COMPUTED_VALUE"""),"e")</f>
        <v>e</v>
      </c>
      <c r="B2610" s="139">
        <f>IFERROR(__xludf.DUMMYFUNCTION("""COMPUTED_VALUE"""),2.0251202E8)</f>
        <v>202512020</v>
      </c>
      <c r="C2610" s="139" t="str">
        <f>IFERROR(__xludf.DUMMYFUNCTION("""COMPUTED_VALUE"""),"c_osh_00201_osh1savage02_Normal_Blue_Normal_00000")</f>
        <v>c_osh_00201_osh1savage02_Normal_Blue_Normal_00000</v>
      </c>
      <c r="D2610" s="139" t="str">
        <f>IFERROR(__xludf.DUMMYFUNCTION("""COMPUTED_VALUE"""),"c_osh_00201_osh1savage02_Normal_Blue")</f>
        <v>c_osh_00201_osh1savage02_Normal_Blue</v>
      </c>
      <c r="E2610" s="139">
        <f>IFERROR(__xludf.DUMMYFUNCTION("""COMPUTED_VALUE"""),0.0)</f>
        <v>0</v>
      </c>
      <c r="F2610" s="139" t="str">
        <f>IFERROR(__xludf.DUMMYFUNCTION("""COMPUTED_VALUE"""),"Normal")</f>
        <v>Normal</v>
      </c>
      <c r="G2610" s="139"/>
      <c r="H2610" s="139"/>
      <c r="I2610" s="139">
        <f>IFERROR(__xludf.DUMMYFUNCTION("""COMPUTED_VALUE"""),69.0)</f>
        <v>69</v>
      </c>
      <c r="J2610" s="139">
        <f>IFERROR(__xludf.DUMMYFUNCTION("""COMPUTED_VALUE"""),0.0)</f>
        <v>0</v>
      </c>
      <c r="K2610" s="139">
        <f>IFERROR(__xludf.DUMMYFUNCTION("""COMPUTED_VALUE"""),75.0)</f>
        <v>75</v>
      </c>
      <c r="L2610" s="139"/>
      <c r="M2610" s="139"/>
      <c r="N2610" s="139"/>
    </row>
    <row r="2611">
      <c r="A2611" s="139" t="str">
        <f>IFERROR(__xludf.DUMMYFUNCTION("""COMPUTED_VALUE"""),"e")</f>
        <v>e</v>
      </c>
      <c r="B2611" s="139">
        <f>IFERROR(__xludf.DUMMYFUNCTION("""COMPUTED_VALUE"""),2.0251202E8)</f>
        <v>202512020</v>
      </c>
      <c r="C2611" s="139" t="str">
        <f>IFERROR(__xludf.DUMMYFUNCTION("""COMPUTED_VALUE"""),"c_osh_00201_osh1savage02_Normal_Blue_Special_00001")</f>
        <v>c_osh_00201_osh1savage02_Normal_Blue_Special_00001</v>
      </c>
      <c r="D2611" s="139" t="str">
        <f>IFERROR(__xludf.DUMMYFUNCTION("""COMPUTED_VALUE"""),"c_osh_00201_osh1savage02_Normal_Blue")</f>
        <v>c_osh_00201_osh1savage02_Normal_Blue</v>
      </c>
      <c r="E2611" s="139">
        <f>IFERROR(__xludf.DUMMYFUNCTION("""COMPUTED_VALUE"""),0.0)</f>
        <v>0</v>
      </c>
      <c r="F2611" s="139" t="str">
        <f>IFERROR(__xludf.DUMMYFUNCTION("""COMPUTED_VALUE"""),"Special")</f>
        <v>Special</v>
      </c>
      <c r="G2611" s="139"/>
      <c r="H2611" s="139"/>
      <c r="I2611" s="139">
        <f>IFERROR(__xludf.DUMMYFUNCTION("""COMPUTED_VALUE"""),150.0)</f>
        <v>150</v>
      </c>
      <c r="J2611" s="139">
        <f>IFERROR(__xludf.DUMMYFUNCTION("""COMPUTED_VALUE"""),83.0)</f>
        <v>83</v>
      </c>
      <c r="K2611" s="139">
        <f>IFERROR(__xludf.DUMMYFUNCTION("""COMPUTED_VALUE"""),0.0)</f>
        <v>0</v>
      </c>
      <c r="L2611" s="139"/>
      <c r="M2611" s="139"/>
      <c r="N2611" s="139"/>
    </row>
    <row r="2612">
      <c r="A2612" s="139" t="str">
        <f>IFERROR(__xludf.DUMMYFUNCTION("""COMPUTED_VALUE"""),"e")</f>
        <v>e</v>
      </c>
      <c r="B2612" s="139">
        <f>IFERROR(__xludf.DUMMYFUNCTION("""COMPUTED_VALUE"""),2.0251202E8)</f>
        <v>202512020</v>
      </c>
      <c r="C2612" s="139" t="str">
        <f>IFERROR(__xludf.DUMMYFUNCTION("""COMPUTED_VALUE"""),"c_osh_00201_osh1savage03_Normal_Green_Normal_00000")</f>
        <v>c_osh_00201_osh1savage03_Normal_Green_Normal_00000</v>
      </c>
      <c r="D2612" s="139" t="str">
        <f>IFERROR(__xludf.DUMMYFUNCTION("""COMPUTED_VALUE"""),"c_osh_00201_osh1savage03_Normal_Green")</f>
        <v>c_osh_00201_osh1savage03_Normal_Green</v>
      </c>
      <c r="E2612" s="139">
        <f>IFERROR(__xludf.DUMMYFUNCTION("""COMPUTED_VALUE"""),0.0)</f>
        <v>0</v>
      </c>
      <c r="F2612" s="139" t="str">
        <f>IFERROR(__xludf.DUMMYFUNCTION("""COMPUTED_VALUE"""),"Normal")</f>
        <v>Normal</v>
      </c>
      <c r="G2612" s="139"/>
      <c r="H2612" s="139"/>
      <c r="I2612" s="139">
        <f>IFERROR(__xludf.DUMMYFUNCTION("""COMPUTED_VALUE"""),69.0)</f>
        <v>69</v>
      </c>
      <c r="J2612" s="139">
        <f>IFERROR(__xludf.DUMMYFUNCTION("""COMPUTED_VALUE"""),0.0)</f>
        <v>0</v>
      </c>
      <c r="K2612" s="139">
        <f>IFERROR(__xludf.DUMMYFUNCTION("""COMPUTED_VALUE"""),75.0)</f>
        <v>75</v>
      </c>
      <c r="L2612" s="139"/>
      <c r="M2612" s="139"/>
      <c r="N2612" s="139"/>
    </row>
    <row r="2613">
      <c r="A2613" s="139" t="str">
        <f>IFERROR(__xludf.DUMMYFUNCTION("""COMPUTED_VALUE"""),"e")</f>
        <v>e</v>
      </c>
      <c r="B2613" s="139">
        <f>IFERROR(__xludf.DUMMYFUNCTION("""COMPUTED_VALUE"""),2.0251202E8)</f>
        <v>202512020</v>
      </c>
      <c r="C2613" s="139" t="str">
        <f>IFERROR(__xludf.DUMMYFUNCTION("""COMPUTED_VALUE"""),"c_osh_00201_osh1savage03_Normal_Green_Special_00001")</f>
        <v>c_osh_00201_osh1savage03_Normal_Green_Special_00001</v>
      </c>
      <c r="D2613" s="139" t="str">
        <f>IFERROR(__xludf.DUMMYFUNCTION("""COMPUTED_VALUE"""),"c_osh_00201_osh1savage03_Normal_Green")</f>
        <v>c_osh_00201_osh1savage03_Normal_Green</v>
      </c>
      <c r="E2613" s="139">
        <f>IFERROR(__xludf.DUMMYFUNCTION("""COMPUTED_VALUE"""),0.0)</f>
        <v>0</v>
      </c>
      <c r="F2613" s="139" t="str">
        <f>IFERROR(__xludf.DUMMYFUNCTION("""COMPUTED_VALUE"""),"Special")</f>
        <v>Special</v>
      </c>
      <c r="G2613" s="139"/>
      <c r="H2613" s="139"/>
      <c r="I2613" s="139">
        <f>IFERROR(__xludf.DUMMYFUNCTION("""COMPUTED_VALUE"""),150.0)</f>
        <v>150</v>
      </c>
      <c r="J2613" s="139">
        <f>IFERROR(__xludf.DUMMYFUNCTION("""COMPUTED_VALUE"""),83.0)</f>
        <v>83</v>
      </c>
      <c r="K2613" s="139">
        <f>IFERROR(__xludf.DUMMYFUNCTION("""COMPUTED_VALUE"""),0.0)</f>
        <v>0</v>
      </c>
      <c r="L2613" s="139"/>
      <c r="M2613" s="139"/>
      <c r="N2613" s="139"/>
    </row>
    <row r="2614">
      <c r="A2614" s="139" t="str">
        <f>IFERROR(__xludf.DUMMYFUNCTION("""COMPUTED_VALUE"""),"e")</f>
        <v>e</v>
      </c>
      <c r="B2614" s="139">
        <f>IFERROR(__xludf.DUMMYFUNCTION("""COMPUTED_VALUE"""),2.0251202E8)</f>
        <v>202512020</v>
      </c>
      <c r="C2614" s="139" t="str">
        <f>IFERROR(__xludf.DUMMYFUNCTION("""COMPUTED_VALUE"""),"c_osh_00301_osh1savage02_Normal_Blue_Normal_00000")</f>
        <v>c_osh_00301_osh1savage02_Normal_Blue_Normal_00000</v>
      </c>
      <c r="D2614" s="139" t="str">
        <f>IFERROR(__xludf.DUMMYFUNCTION("""COMPUTED_VALUE"""),"c_osh_00301_osh1savage02_Normal_Blue")</f>
        <v>c_osh_00301_osh1savage02_Normal_Blue</v>
      </c>
      <c r="E2614" s="139">
        <f>IFERROR(__xludf.DUMMYFUNCTION("""COMPUTED_VALUE"""),0.0)</f>
        <v>0</v>
      </c>
      <c r="F2614" s="139" t="str">
        <f>IFERROR(__xludf.DUMMYFUNCTION("""COMPUTED_VALUE"""),"Normal")</f>
        <v>Normal</v>
      </c>
      <c r="G2614" s="139"/>
      <c r="H2614" s="139"/>
      <c r="I2614" s="139">
        <f>IFERROR(__xludf.DUMMYFUNCTION("""COMPUTED_VALUE"""),57.0)</f>
        <v>57</v>
      </c>
      <c r="J2614" s="139">
        <f>IFERROR(__xludf.DUMMYFUNCTION("""COMPUTED_VALUE"""),0.0)</f>
        <v>0</v>
      </c>
      <c r="K2614" s="139">
        <f>IFERROR(__xludf.DUMMYFUNCTION("""COMPUTED_VALUE"""),80.0)</f>
        <v>80</v>
      </c>
      <c r="L2614" s="139"/>
      <c r="M2614" s="139"/>
      <c r="N2614" s="139"/>
    </row>
    <row r="2615">
      <c r="A2615" s="139" t="str">
        <f>IFERROR(__xludf.DUMMYFUNCTION("""COMPUTED_VALUE"""),"e")</f>
        <v>e</v>
      </c>
      <c r="B2615" s="139">
        <f>IFERROR(__xludf.DUMMYFUNCTION("""COMPUTED_VALUE"""),2.0251202E8)</f>
        <v>202512020</v>
      </c>
      <c r="C2615" s="139" t="str">
        <f>IFERROR(__xludf.DUMMYFUNCTION("""COMPUTED_VALUE"""),"c_osh_00301_osh1savage02_Normal_Blue_Special_00001")</f>
        <v>c_osh_00301_osh1savage02_Normal_Blue_Special_00001</v>
      </c>
      <c r="D2615" s="139" t="str">
        <f>IFERROR(__xludf.DUMMYFUNCTION("""COMPUTED_VALUE"""),"c_osh_00301_osh1savage02_Normal_Blue")</f>
        <v>c_osh_00301_osh1savage02_Normal_Blue</v>
      </c>
      <c r="E2615" s="139">
        <f>IFERROR(__xludf.DUMMYFUNCTION("""COMPUTED_VALUE"""),0.0)</f>
        <v>0</v>
      </c>
      <c r="F2615" s="139" t="str">
        <f>IFERROR(__xludf.DUMMYFUNCTION("""COMPUTED_VALUE"""),"Special")</f>
        <v>Special</v>
      </c>
      <c r="G2615" s="139"/>
      <c r="H2615" s="139"/>
      <c r="I2615" s="139">
        <f>IFERROR(__xludf.DUMMYFUNCTION("""COMPUTED_VALUE"""),167.0)</f>
        <v>167</v>
      </c>
      <c r="J2615" s="139">
        <f>IFERROR(__xludf.DUMMYFUNCTION("""COMPUTED_VALUE"""),89.0)</f>
        <v>89</v>
      </c>
      <c r="K2615" s="139">
        <f>IFERROR(__xludf.DUMMYFUNCTION("""COMPUTED_VALUE"""),0.0)</f>
        <v>0</v>
      </c>
      <c r="L2615" s="139"/>
      <c r="M2615" s="139"/>
      <c r="N2615" s="139"/>
    </row>
    <row r="2616">
      <c r="A2616" s="139" t="str">
        <f>IFERROR(__xludf.DUMMYFUNCTION("""COMPUTED_VALUE"""),"e")</f>
        <v>e</v>
      </c>
      <c r="B2616" s="139">
        <f>IFERROR(__xludf.DUMMYFUNCTION("""COMPUTED_VALUE"""),2.0251202E8)</f>
        <v>202512020</v>
      </c>
      <c r="C2616" s="139" t="str">
        <f>IFERROR(__xludf.DUMMYFUNCTION("""COMPUTED_VALUE"""),"c_osh_00301_osh1savage01_Normal_Yellow_Normal_00000")</f>
        <v>c_osh_00301_osh1savage01_Normal_Yellow_Normal_00000</v>
      </c>
      <c r="D2616" s="139" t="str">
        <f>IFERROR(__xludf.DUMMYFUNCTION("""COMPUTED_VALUE"""),"c_osh_00301_osh1savage01_Normal_Yellow")</f>
        <v>c_osh_00301_osh1savage01_Normal_Yellow</v>
      </c>
      <c r="E2616" s="139">
        <f>IFERROR(__xludf.DUMMYFUNCTION("""COMPUTED_VALUE"""),0.0)</f>
        <v>0</v>
      </c>
      <c r="F2616" s="139" t="str">
        <f>IFERROR(__xludf.DUMMYFUNCTION("""COMPUTED_VALUE"""),"Normal")</f>
        <v>Normal</v>
      </c>
      <c r="G2616" s="139"/>
      <c r="H2616" s="139"/>
      <c r="I2616" s="139">
        <f>IFERROR(__xludf.DUMMYFUNCTION("""COMPUTED_VALUE"""),57.0)</f>
        <v>57</v>
      </c>
      <c r="J2616" s="139">
        <f>IFERROR(__xludf.DUMMYFUNCTION("""COMPUTED_VALUE"""),0.0)</f>
        <v>0</v>
      </c>
      <c r="K2616" s="139">
        <f>IFERROR(__xludf.DUMMYFUNCTION("""COMPUTED_VALUE"""),80.0)</f>
        <v>80</v>
      </c>
      <c r="L2616" s="139"/>
      <c r="M2616" s="139"/>
      <c r="N2616" s="139"/>
    </row>
    <row r="2617">
      <c r="A2617" s="139" t="str">
        <f>IFERROR(__xludf.DUMMYFUNCTION("""COMPUTED_VALUE"""),"e")</f>
        <v>e</v>
      </c>
      <c r="B2617" s="139">
        <f>IFERROR(__xludf.DUMMYFUNCTION("""COMPUTED_VALUE"""),2.0251202E8)</f>
        <v>202512020</v>
      </c>
      <c r="C2617" s="139" t="str">
        <f>IFERROR(__xludf.DUMMYFUNCTION("""COMPUTED_VALUE"""),"c_osh_00301_osh1savage01_Normal_Yellow_Special_00001")</f>
        <v>c_osh_00301_osh1savage01_Normal_Yellow_Special_00001</v>
      </c>
      <c r="D2617" s="139" t="str">
        <f>IFERROR(__xludf.DUMMYFUNCTION("""COMPUTED_VALUE"""),"c_osh_00301_osh1savage01_Normal_Yellow")</f>
        <v>c_osh_00301_osh1savage01_Normal_Yellow</v>
      </c>
      <c r="E2617" s="139">
        <f>IFERROR(__xludf.DUMMYFUNCTION("""COMPUTED_VALUE"""),0.0)</f>
        <v>0</v>
      </c>
      <c r="F2617" s="139" t="str">
        <f>IFERROR(__xludf.DUMMYFUNCTION("""COMPUTED_VALUE"""),"Special")</f>
        <v>Special</v>
      </c>
      <c r="G2617" s="139"/>
      <c r="H2617" s="139"/>
      <c r="I2617" s="139">
        <f>IFERROR(__xludf.DUMMYFUNCTION("""COMPUTED_VALUE"""),167.0)</f>
        <v>167</v>
      </c>
      <c r="J2617" s="139">
        <f>IFERROR(__xludf.DUMMYFUNCTION("""COMPUTED_VALUE"""),89.0)</f>
        <v>89</v>
      </c>
      <c r="K2617" s="139">
        <f>IFERROR(__xludf.DUMMYFUNCTION("""COMPUTED_VALUE"""),0.0)</f>
        <v>0</v>
      </c>
      <c r="L2617" s="139"/>
      <c r="M2617" s="139"/>
      <c r="N2617" s="139"/>
    </row>
    <row r="2618">
      <c r="A2618" s="139" t="str">
        <f>IFERROR(__xludf.DUMMYFUNCTION("""COMPUTED_VALUE"""),"e")</f>
        <v>e</v>
      </c>
      <c r="B2618" s="139">
        <f>IFERROR(__xludf.DUMMYFUNCTION("""COMPUTED_VALUE"""),2.0251202E8)</f>
        <v>202512020</v>
      </c>
      <c r="C2618" s="139" t="str">
        <f>IFERROR(__xludf.DUMMYFUNCTION("""COMPUTED_VALUE"""),"c_osh_00301_osh1savage03_Normal_Green_Normal_00000")</f>
        <v>c_osh_00301_osh1savage03_Normal_Green_Normal_00000</v>
      </c>
      <c r="D2618" s="139" t="str">
        <f>IFERROR(__xludf.DUMMYFUNCTION("""COMPUTED_VALUE"""),"c_osh_00301_osh1savage03_Normal_Green")</f>
        <v>c_osh_00301_osh1savage03_Normal_Green</v>
      </c>
      <c r="E2618" s="139">
        <f>IFERROR(__xludf.DUMMYFUNCTION("""COMPUTED_VALUE"""),0.0)</f>
        <v>0</v>
      </c>
      <c r="F2618" s="139" t="str">
        <f>IFERROR(__xludf.DUMMYFUNCTION("""COMPUTED_VALUE"""),"Normal")</f>
        <v>Normal</v>
      </c>
      <c r="G2618" s="139"/>
      <c r="H2618" s="139"/>
      <c r="I2618" s="139">
        <f>IFERROR(__xludf.DUMMYFUNCTION("""COMPUTED_VALUE"""),57.0)</f>
        <v>57</v>
      </c>
      <c r="J2618" s="139">
        <f>IFERROR(__xludf.DUMMYFUNCTION("""COMPUTED_VALUE"""),0.0)</f>
        <v>0</v>
      </c>
      <c r="K2618" s="139">
        <f>IFERROR(__xludf.DUMMYFUNCTION("""COMPUTED_VALUE"""),80.0)</f>
        <v>80</v>
      </c>
      <c r="L2618" s="139"/>
      <c r="M2618" s="139"/>
      <c r="N2618" s="139"/>
    </row>
    <row r="2619">
      <c r="A2619" s="139" t="str">
        <f>IFERROR(__xludf.DUMMYFUNCTION("""COMPUTED_VALUE"""),"e")</f>
        <v>e</v>
      </c>
      <c r="B2619" s="139">
        <f>IFERROR(__xludf.DUMMYFUNCTION("""COMPUTED_VALUE"""),2.0251202E8)</f>
        <v>202512020</v>
      </c>
      <c r="C2619" s="139" t="str">
        <f>IFERROR(__xludf.DUMMYFUNCTION("""COMPUTED_VALUE"""),"c_osh_00301_osh1savage03_Normal_Green_Special_00001")</f>
        <v>c_osh_00301_osh1savage03_Normal_Green_Special_00001</v>
      </c>
      <c r="D2619" s="139" t="str">
        <f>IFERROR(__xludf.DUMMYFUNCTION("""COMPUTED_VALUE"""),"c_osh_00301_osh1savage03_Normal_Green")</f>
        <v>c_osh_00301_osh1savage03_Normal_Green</v>
      </c>
      <c r="E2619" s="139">
        <f>IFERROR(__xludf.DUMMYFUNCTION("""COMPUTED_VALUE"""),0.0)</f>
        <v>0</v>
      </c>
      <c r="F2619" s="139" t="str">
        <f>IFERROR(__xludf.DUMMYFUNCTION("""COMPUTED_VALUE"""),"Special")</f>
        <v>Special</v>
      </c>
      <c r="G2619" s="139"/>
      <c r="H2619" s="139"/>
      <c r="I2619" s="139">
        <f>IFERROR(__xludf.DUMMYFUNCTION("""COMPUTED_VALUE"""),167.0)</f>
        <v>167</v>
      </c>
      <c r="J2619" s="139">
        <f>IFERROR(__xludf.DUMMYFUNCTION("""COMPUTED_VALUE"""),89.0)</f>
        <v>89</v>
      </c>
      <c r="K2619" s="139">
        <f>IFERROR(__xludf.DUMMYFUNCTION("""COMPUTED_VALUE"""),0.0)</f>
        <v>0</v>
      </c>
      <c r="L2619" s="139"/>
      <c r="M2619" s="139"/>
      <c r="N2619" s="139"/>
    </row>
    <row r="2620">
      <c r="A2620" s="139" t="str">
        <f>IFERROR(__xludf.DUMMYFUNCTION("""COMPUTED_VALUE"""),"e")</f>
        <v>e</v>
      </c>
      <c r="B2620" s="139">
        <f>IFERROR(__xludf.DUMMYFUNCTION("""COMPUTED_VALUE"""),2.0251202E8)</f>
        <v>202512020</v>
      </c>
      <c r="C2620" s="139" t="str">
        <f>IFERROR(__xludf.DUMMYFUNCTION("""COMPUTED_VALUE"""),"c_osh_00401_osh1savage02_Normal_Blue_Normal_00000")</f>
        <v>c_osh_00401_osh1savage02_Normal_Blue_Normal_00000</v>
      </c>
      <c r="D2620" s="139" t="str">
        <f>IFERROR(__xludf.DUMMYFUNCTION("""COMPUTED_VALUE"""),"c_osh_00401_osh1savage02_Normal_Blue")</f>
        <v>c_osh_00401_osh1savage02_Normal_Blue</v>
      </c>
      <c r="E2620" s="139">
        <f>IFERROR(__xludf.DUMMYFUNCTION("""COMPUTED_VALUE"""),0.0)</f>
        <v>0</v>
      </c>
      <c r="F2620" s="139" t="str">
        <f>IFERROR(__xludf.DUMMYFUNCTION("""COMPUTED_VALUE"""),"Normal")</f>
        <v>Normal</v>
      </c>
      <c r="G2620" s="139"/>
      <c r="H2620" s="139"/>
      <c r="I2620" s="139">
        <f>IFERROR(__xludf.DUMMYFUNCTION("""COMPUTED_VALUE"""),59.0)</f>
        <v>59</v>
      </c>
      <c r="J2620" s="139">
        <f>IFERROR(__xludf.DUMMYFUNCTION("""COMPUTED_VALUE"""),25.0)</f>
        <v>25</v>
      </c>
      <c r="K2620" s="139">
        <f>IFERROR(__xludf.DUMMYFUNCTION("""COMPUTED_VALUE"""),60.0)</f>
        <v>60</v>
      </c>
      <c r="L2620" s="139"/>
      <c r="M2620" s="139"/>
      <c r="N2620" s="139"/>
    </row>
    <row r="2621">
      <c r="A2621" s="139" t="str">
        <f>IFERROR(__xludf.DUMMYFUNCTION("""COMPUTED_VALUE"""),"e")</f>
        <v>e</v>
      </c>
      <c r="B2621" s="139">
        <f>IFERROR(__xludf.DUMMYFUNCTION("""COMPUTED_VALUE"""),2.0251202E8)</f>
        <v>202512020</v>
      </c>
      <c r="C2621" s="139" t="str">
        <f>IFERROR(__xludf.DUMMYFUNCTION("""COMPUTED_VALUE"""),"c_osh_00401_osh1savage02_Normal_Blue_Special_00001")</f>
        <v>c_osh_00401_osh1savage02_Normal_Blue_Special_00001</v>
      </c>
      <c r="D2621" s="139" t="str">
        <f>IFERROR(__xludf.DUMMYFUNCTION("""COMPUTED_VALUE"""),"c_osh_00401_osh1savage02_Normal_Blue")</f>
        <v>c_osh_00401_osh1savage02_Normal_Blue</v>
      </c>
      <c r="E2621" s="139">
        <f>IFERROR(__xludf.DUMMYFUNCTION("""COMPUTED_VALUE"""),0.0)</f>
        <v>0</v>
      </c>
      <c r="F2621" s="139" t="str">
        <f>IFERROR(__xludf.DUMMYFUNCTION("""COMPUTED_VALUE"""),"Special")</f>
        <v>Special</v>
      </c>
      <c r="G2621" s="139"/>
      <c r="H2621" s="139"/>
      <c r="I2621" s="139">
        <f>IFERROR(__xludf.DUMMYFUNCTION("""COMPUTED_VALUE"""),124.0)</f>
        <v>124</v>
      </c>
      <c r="J2621" s="139">
        <f>IFERROR(__xludf.DUMMYFUNCTION("""COMPUTED_VALUE"""),50.0)</f>
        <v>50</v>
      </c>
      <c r="K2621" s="139">
        <f>IFERROR(__xludf.DUMMYFUNCTION("""COMPUTED_VALUE"""),0.0)</f>
        <v>0</v>
      </c>
      <c r="L2621" s="139"/>
      <c r="M2621" s="139"/>
      <c r="N2621" s="139"/>
    </row>
    <row r="2622">
      <c r="A2622" s="139" t="str">
        <f>IFERROR(__xludf.DUMMYFUNCTION("""COMPUTED_VALUE"""),"e")</f>
        <v>e</v>
      </c>
      <c r="B2622" s="139">
        <f>IFERROR(__xludf.DUMMYFUNCTION("""COMPUTED_VALUE"""),2.0251202E8)</f>
        <v>202512020</v>
      </c>
      <c r="C2622" s="139" t="str">
        <f>IFERROR(__xludf.DUMMYFUNCTION("""COMPUTED_VALUE"""),"c_osh_00401_osh1savage01_Normal_Yellow_Normal_00000")</f>
        <v>c_osh_00401_osh1savage01_Normal_Yellow_Normal_00000</v>
      </c>
      <c r="D2622" s="139" t="str">
        <f>IFERROR(__xludf.DUMMYFUNCTION("""COMPUTED_VALUE"""),"c_osh_00401_osh1savage01_Normal_Yellow")</f>
        <v>c_osh_00401_osh1savage01_Normal_Yellow</v>
      </c>
      <c r="E2622" s="139">
        <f>IFERROR(__xludf.DUMMYFUNCTION("""COMPUTED_VALUE"""),0.0)</f>
        <v>0</v>
      </c>
      <c r="F2622" s="139" t="str">
        <f>IFERROR(__xludf.DUMMYFUNCTION("""COMPUTED_VALUE"""),"Normal")</f>
        <v>Normal</v>
      </c>
      <c r="G2622" s="139"/>
      <c r="H2622" s="139"/>
      <c r="I2622" s="139">
        <f>IFERROR(__xludf.DUMMYFUNCTION("""COMPUTED_VALUE"""),59.0)</f>
        <v>59</v>
      </c>
      <c r="J2622" s="139">
        <f>IFERROR(__xludf.DUMMYFUNCTION("""COMPUTED_VALUE"""),25.0)</f>
        <v>25</v>
      </c>
      <c r="K2622" s="139">
        <f>IFERROR(__xludf.DUMMYFUNCTION("""COMPUTED_VALUE"""),60.0)</f>
        <v>60</v>
      </c>
      <c r="L2622" s="139"/>
      <c r="M2622" s="139"/>
      <c r="N2622" s="139"/>
    </row>
    <row r="2623">
      <c r="A2623" s="139" t="str">
        <f>IFERROR(__xludf.DUMMYFUNCTION("""COMPUTED_VALUE"""),"e")</f>
        <v>e</v>
      </c>
      <c r="B2623" s="139">
        <f>IFERROR(__xludf.DUMMYFUNCTION("""COMPUTED_VALUE"""),2.0251202E8)</f>
        <v>202512020</v>
      </c>
      <c r="C2623" s="139" t="str">
        <f>IFERROR(__xludf.DUMMYFUNCTION("""COMPUTED_VALUE"""),"c_osh_00401_osh1savage01_Normal_Yellow_Special_00001")</f>
        <v>c_osh_00401_osh1savage01_Normal_Yellow_Special_00001</v>
      </c>
      <c r="D2623" s="139" t="str">
        <f>IFERROR(__xludf.DUMMYFUNCTION("""COMPUTED_VALUE"""),"c_osh_00401_osh1savage01_Normal_Yellow")</f>
        <v>c_osh_00401_osh1savage01_Normal_Yellow</v>
      </c>
      <c r="E2623" s="139">
        <f>IFERROR(__xludf.DUMMYFUNCTION("""COMPUTED_VALUE"""),0.0)</f>
        <v>0</v>
      </c>
      <c r="F2623" s="139" t="str">
        <f>IFERROR(__xludf.DUMMYFUNCTION("""COMPUTED_VALUE"""),"Special")</f>
        <v>Special</v>
      </c>
      <c r="G2623" s="139"/>
      <c r="H2623" s="139"/>
      <c r="I2623" s="139">
        <f>IFERROR(__xludf.DUMMYFUNCTION("""COMPUTED_VALUE"""),124.0)</f>
        <v>124</v>
      </c>
      <c r="J2623" s="139">
        <f>IFERROR(__xludf.DUMMYFUNCTION("""COMPUTED_VALUE"""),50.0)</f>
        <v>50</v>
      </c>
      <c r="K2623" s="139">
        <f>IFERROR(__xludf.DUMMYFUNCTION("""COMPUTED_VALUE"""),0.0)</f>
        <v>0</v>
      </c>
      <c r="L2623" s="139"/>
      <c r="M2623" s="139"/>
      <c r="N2623" s="139"/>
    </row>
    <row r="2624">
      <c r="A2624" s="139" t="str">
        <f>IFERROR(__xludf.DUMMYFUNCTION("""COMPUTED_VALUE"""),"e")</f>
        <v>e</v>
      </c>
      <c r="B2624" s="139">
        <f>IFERROR(__xludf.DUMMYFUNCTION("""COMPUTED_VALUE"""),2.0251202E8)</f>
        <v>202512020</v>
      </c>
      <c r="C2624" s="139" t="str">
        <f>IFERROR(__xludf.DUMMYFUNCTION("""COMPUTED_VALUE"""),"c_osh_00401_osh1savage03_Normal_Green_Normal_00000")</f>
        <v>c_osh_00401_osh1savage03_Normal_Green_Normal_00000</v>
      </c>
      <c r="D2624" s="139" t="str">
        <f>IFERROR(__xludf.DUMMYFUNCTION("""COMPUTED_VALUE"""),"c_osh_00401_osh1savage03_Normal_Green")</f>
        <v>c_osh_00401_osh1savage03_Normal_Green</v>
      </c>
      <c r="E2624" s="139">
        <f>IFERROR(__xludf.DUMMYFUNCTION("""COMPUTED_VALUE"""),0.0)</f>
        <v>0</v>
      </c>
      <c r="F2624" s="139" t="str">
        <f>IFERROR(__xludf.DUMMYFUNCTION("""COMPUTED_VALUE"""),"Normal")</f>
        <v>Normal</v>
      </c>
      <c r="G2624" s="139"/>
      <c r="H2624" s="139"/>
      <c r="I2624" s="139">
        <f>IFERROR(__xludf.DUMMYFUNCTION("""COMPUTED_VALUE"""),59.0)</f>
        <v>59</v>
      </c>
      <c r="J2624" s="139">
        <f>IFERROR(__xludf.DUMMYFUNCTION("""COMPUTED_VALUE"""),25.0)</f>
        <v>25</v>
      </c>
      <c r="K2624" s="139">
        <f>IFERROR(__xludf.DUMMYFUNCTION("""COMPUTED_VALUE"""),60.0)</f>
        <v>60</v>
      </c>
      <c r="L2624" s="139"/>
      <c r="M2624" s="139"/>
      <c r="N2624" s="139"/>
    </row>
    <row r="2625">
      <c r="A2625" s="139" t="str">
        <f>IFERROR(__xludf.DUMMYFUNCTION("""COMPUTED_VALUE"""),"e")</f>
        <v>e</v>
      </c>
      <c r="B2625" s="139">
        <f>IFERROR(__xludf.DUMMYFUNCTION("""COMPUTED_VALUE"""),2.0251202E8)</f>
        <v>202512020</v>
      </c>
      <c r="C2625" s="139" t="str">
        <f>IFERROR(__xludf.DUMMYFUNCTION("""COMPUTED_VALUE"""),"c_osh_00401_osh1savage03_Normal_Green_Special_00001")</f>
        <v>c_osh_00401_osh1savage03_Normal_Green_Special_00001</v>
      </c>
      <c r="D2625" s="139" t="str">
        <f>IFERROR(__xludf.DUMMYFUNCTION("""COMPUTED_VALUE"""),"c_osh_00401_osh1savage03_Normal_Green")</f>
        <v>c_osh_00401_osh1savage03_Normal_Green</v>
      </c>
      <c r="E2625" s="139">
        <f>IFERROR(__xludf.DUMMYFUNCTION("""COMPUTED_VALUE"""),0.0)</f>
        <v>0</v>
      </c>
      <c r="F2625" s="139" t="str">
        <f>IFERROR(__xludf.DUMMYFUNCTION("""COMPUTED_VALUE"""),"Special")</f>
        <v>Special</v>
      </c>
      <c r="G2625" s="139"/>
      <c r="H2625" s="139"/>
      <c r="I2625" s="139">
        <f>IFERROR(__xludf.DUMMYFUNCTION("""COMPUTED_VALUE"""),124.0)</f>
        <v>124</v>
      </c>
      <c r="J2625" s="139">
        <f>IFERROR(__xludf.DUMMYFUNCTION("""COMPUTED_VALUE"""),50.0)</f>
        <v>50</v>
      </c>
      <c r="K2625" s="139">
        <f>IFERROR(__xludf.DUMMYFUNCTION("""COMPUTED_VALUE"""),0.0)</f>
        <v>0</v>
      </c>
      <c r="L2625" s="139"/>
      <c r="M2625" s="139"/>
      <c r="N2625" s="139"/>
    </row>
    <row r="2626">
      <c r="A2626" s="139" t="str">
        <f>IFERROR(__xludf.DUMMYFUNCTION("""COMPUTED_VALUE"""),"e")</f>
        <v>e</v>
      </c>
      <c r="B2626" s="139">
        <f>IFERROR(__xludf.DUMMYFUNCTION("""COMPUTED_VALUE"""),2.0251202E8)</f>
        <v>202512020</v>
      </c>
      <c r="C2626" s="139" t="str">
        <f>IFERROR(__xludf.DUMMYFUNCTION("""COMPUTED_VALUE"""),"c_osh_00501_osh1savage01_Boss_Yellow_Normal_00000")</f>
        <v>c_osh_00501_osh1savage01_Boss_Yellow_Normal_00000</v>
      </c>
      <c r="D2626" s="139" t="str">
        <f>IFERROR(__xludf.DUMMYFUNCTION("""COMPUTED_VALUE"""),"c_osh_00501_osh1savage01_Boss_Yellow")</f>
        <v>c_osh_00501_osh1savage01_Boss_Yellow</v>
      </c>
      <c r="E2626" s="139">
        <f>IFERROR(__xludf.DUMMYFUNCTION("""COMPUTED_VALUE"""),0.0)</f>
        <v>0</v>
      </c>
      <c r="F2626" s="139" t="str">
        <f>IFERROR(__xludf.DUMMYFUNCTION("""COMPUTED_VALUE"""),"Normal")</f>
        <v>Normal</v>
      </c>
      <c r="G2626" s="139"/>
      <c r="H2626" s="139"/>
      <c r="I2626" s="139">
        <f>IFERROR(__xludf.DUMMYFUNCTION("""COMPUTED_VALUE"""),53.0)</f>
        <v>53</v>
      </c>
      <c r="J2626" s="139">
        <f>IFERROR(__xludf.DUMMYFUNCTION("""COMPUTED_VALUE"""),15.0)</f>
        <v>15</v>
      </c>
      <c r="K2626" s="139">
        <f>IFERROR(__xludf.DUMMYFUNCTION("""COMPUTED_VALUE"""),50.0)</f>
        <v>50</v>
      </c>
      <c r="L2626" s="139"/>
      <c r="M2626" s="139"/>
      <c r="N2626" s="139"/>
    </row>
    <row r="2627">
      <c r="A2627" s="139" t="str">
        <f>IFERROR(__xludf.DUMMYFUNCTION("""COMPUTED_VALUE"""),"e")</f>
        <v>e</v>
      </c>
      <c r="B2627" s="139">
        <f>IFERROR(__xludf.DUMMYFUNCTION("""COMPUTED_VALUE"""),2.0251202E8)</f>
        <v>202512020</v>
      </c>
      <c r="C2627" s="139" t="str">
        <f>IFERROR(__xludf.DUMMYFUNCTION("""COMPUTED_VALUE"""),"c_osh_00501_osh1savage01_Boss_Yellow_Special_00001")</f>
        <v>c_osh_00501_osh1savage01_Boss_Yellow_Special_00001</v>
      </c>
      <c r="D2627" s="139" t="str">
        <f>IFERROR(__xludf.DUMMYFUNCTION("""COMPUTED_VALUE"""),"c_osh_00501_osh1savage01_Boss_Yellow")</f>
        <v>c_osh_00501_osh1savage01_Boss_Yellow</v>
      </c>
      <c r="E2627" s="139">
        <f>IFERROR(__xludf.DUMMYFUNCTION("""COMPUTED_VALUE"""),0.0)</f>
        <v>0</v>
      </c>
      <c r="F2627" s="139" t="str">
        <f>IFERROR(__xludf.DUMMYFUNCTION("""COMPUTED_VALUE"""),"Special")</f>
        <v>Special</v>
      </c>
      <c r="G2627" s="139"/>
      <c r="H2627" s="139"/>
      <c r="I2627" s="139">
        <f>IFERROR(__xludf.DUMMYFUNCTION("""COMPUTED_VALUE"""),134.0)</f>
        <v>134</v>
      </c>
      <c r="J2627" s="139">
        <f>IFERROR(__xludf.DUMMYFUNCTION("""COMPUTED_VALUE"""),89.0)</f>
        <v>89</v>
      </c>
      <c r="K2627" s="139">
        <f>IFERROR(__xludf.DUMMYFUNCTION("""COMPUTED_VALUE"""),0.0)</f>
        <v>0</v>
      </c>
      <c r="L2627" s="139"/>
      <c r="M2627" s="139"/>
      <c r="N2627" s="139"/>
    </row>
    <row r="2628">
      <c r="A2628" s="139" t="str">
        <f>IFERROR(__xludf.DUMMYFUNCTION("""COMPUTED_VALUE"""),"e")</f>
        <v>e</v>
      </c>
      <c r="B2628" s="139">
        <f>IFERROR(__xludf.DUMMYFUNCTION("""COMPUTED_VALUE"""),2.0251202E8)</f>
        <v>202512020</v>
      </c>
      <c r="C2628" s="139" t="str">
        <f>IFERROR(__xludf.DUMMYFUNCTION("""COMPUTED_VALUE"""),"c_osh_00501_osh1savage01_Boss_Yellow_Appearance_00002")</f>
        <v>c_osh_00501_osh1savage01_Boss_Yellow_Appearance_00002</v>
      </c>
      <c r="D2628" s="139" t="str">
        <f>IFERROR(__xludf.DUMMYFUNCTION("""COMPUTED_VALUE"""),"c_osh_00501_osh1savage01_Boss_Yellow")</f>
        <v>c_osh_00501_osh1savage01_Boss_Yellow</v>
      </c>
      <c r="E2628" s="139">
        <f>IFERROR(__xludf.DUMMYFUNCTION("""COMPUTED_VALUE"""),0.0)</f>
        <v>0</v>
      </c>
      <c r="F2628" s="139" t="str">
        <f>IFERROR(__xludf.DUMMYFUNCTION("""COMPUTED_VALUE"""),"Appearance")</f>
        <v>Appearance</v>
      </c>
      <c r="G2628" s="139"/>
      <c r="H2628" s="139"/>
      <c r="I2628" s="139">
        <f>IFERROR(__xludf.DUMMYFUNCTION("""COMPUTED_VALUE"""),50.0)</f>
        <v>50</v>
      </c>
      <c r="J2628" s="139">
        <f>IFERROR(__xludf.DUMMYFUNCTION("""COMPUTED_VALUE"""),0.0)</f>
        <v>0</v>
      </c>
      <c r="K2628" s="139">
        <f>IFERROR(__xludf.DUMMYFUNCTION("""COMPUTED_VALUE"""),0.0)</f>
        <v>0</v>
      </c>
      <c r="L2628" s="139"/>
      <c r="M2628" s="139"/>
      <c r="N2628" s="139"/>
    </row>
    <row r="2629">
      <c r="A2629" s="139" t="str">
        <f>IFERROR(__xludf.DUMMYFUNCTION("""COMPUTED_VALUE"""),"e")</f>
        <v>e</v>
      </c>
      <c r="B2629" s="139">
        <f>IFERROR(__xludf.DUMMYFUNCTION("""COMPUTED_VALUE"""),2.0251202E8)</f>
        <v>202512020</v>
      </c>
      <c r="C2629" s="139" t="str">
        <f>IFERROR(__xludf.DUMMYFUNCTION("""COMPUTED_VALUE"""),"c_osh_00001_osh1savage02_Boss_Blue_Normal_00000")</f>
        <v>c_osh_00001_osh1savage02_Boss_Blue_Normal_00000</v>
      </c>
      <c r="D2629" s="139" t="str">
        <f>IFERROR(__xludf.DUMMYFUNCTION("""COMPUTED_VALUE"""),"c_osh_00001_osh1savage02_Boss_Blue")</f>
        <v>c_osh_00001_osh1savage02_Boss_Blue</v>
      </c>
      <c r="E2629" s="139">
        <f>IFERROR(__xludf.DUMMYFUNCTION("""COMPUTED_VALUE"""),0.0)</f>
        <v>0</v>
      </c>
      <c r="F2629" s="139" t="str">
        <f>IFERROR(__xludf.DUMMYFUNCTION("""COMPUTED_VALUE"""),"Normal")</f>
        <v>Normal</v>
      </c>
      <c r="G2629" s="139"/>
      <c r="H2629" s="139"/>
      <c r="I2629" s="139">
        <f>IFERROR(__xludf.DUMMYFUNCTION("""COMPUTED_VALUE"""),80.0)</f>
        <v>80</v>
      </c>
      <c r="J2629" s="139">
        <f>IFERROR(__xludf.DUMMYFUNCTION("""COMPUTED_VALUE"""),22.0)</f>
        <v>22</v>
      </c>
      <c r="K2629" s="139">
        <f>IFERROR(__xludf.DUMMYFUNCTION("""COMPUTED_VALUE"""),30.0)</f>
        <v>30</v>
      </c>
      <c r="L2629" s="139"/>
      <c r="M2629" s="139"/>
      <c r="N2629" s="139"/>
    </row>
    <row r="2630">
      <c r="A2630" s="139" t="str">
        <f>IFERROR(__xludf.DUMMYFUNCTION("""COMPUTED_VALUE"""),"e")</f>
        <v>e</v>
      </c>
      <c r="B2630" s="139">
        <f>IFERROR(__xludf.DUMMYFUNCTION("""COMPUTED_VALUE"""),2.0251202E8)</f>
        <v>202512020</v>
      </c>
      <c r="C2630" s="139" t="str">
        <f>IFERROR(__xludf.DUMMYFUNCTION("""COMPUTED_VALUE"""),"c_osh_00001_osh1savage02_Boss_Blue_Special_00001")</f>
        <v>c_osh_00001_osh1savage02_Boss_Blue_Special_00001</v>
      </c>
      <c r="D2630" s="139" t="str">
        <f>IFERROR(__xludf.DUMMYFUNCTION("""COMPUTED_VALUE"""),"c_osh_00001_osh1savage02_Boss_Blue")</f>
        <v>c_osh_00001_osh1savage02_Boss_Blue</v>
      </c>
      <c r="E2630" s="139">
        <f>IFERROR(__xludf.DUMMYFUNCTION("""COMPUTED_VALUE"""),0.0)</f>
        <v>0</v>
      </c>
      <c r="F2630" s="139" t="str">
        <f>IFERROR(__xludf.DUMMYFUNCTION("""COMPUTED_VALUE"""),"Special")</f>
        <v>Special</v>
      </c>
      <c r="G2630" s="139"/>
      <c r="H2630" s="139"/>
      <c r="I2630" s="139">
        <f>IFERROR(__xludf.DUMMYFUNCTION("""COMPUTED_VALUE"""),162.0)</f>
        <v>162</v>
      </c>
      <c r="J2630" s="139">
        <f>IFERROR(__xludf.DUMMYFUNCTION("""COMPUTED_VALUE"""),92.0)</f>
        <v>92</v>
      </c>
      <c r="K2630" s="139">
        <f>IFERROR(__xludf.DUMMYFUNCTION("""COMPUTED_VALUE"""),0.0)</f>
        <v>0</v>
      </c>
      <c r="L2630" s="139"/>
      <c r="M2630" s="139"/>
      <c r="N2630" s="139"/>
    </row>
    <row r="2631">
      <c r="A2631" s="139" t="str">
        <f>IFERROR(__xludf.DUMMYFUNCTION("""COMPUTED_VALUE"""),"e")</f>
        <v>e</v>
      </c>
      <c r="B2631" s="139">
        <f>IFERROR(__xludf.DUMMYFUNCTION("""COMPUTED_VALUE"""),2.0251202E8)</f>
        <v>202512020</v>
      </c>
      <c r="C2631" s="139" t="str">
        <f>IFERROR(__xludf.DUMMYFUNCTION("""COMPUTED_VALUE"""),"c_osh_00001_osh1savage02_Boss_Blue_Appearance_00002")</f>
        <v>c_osh_00001_osh1savage02_Boss_Blue_Appearance_00002</v>
      </c>
      <c r="D2631" s="139" t="str">
        <f>IFERROR(__xludf.DUMMYFUNCTION("""COMPUTED_VALUE"""),"c_osh_00001_osh1savage02_Boss_Blue")</f>
        <v>c_osh_00001_osh1savage02_Boss_Blue</v>
      </c>
      <c r="E2631" s="139">
        <f>IFERROR(__xludf.DUMMYFUNCTION("""COMPUTED_VALUE"""),0.0)</f>
        <v>0</v>
      </c>
      <c r="F2631" s="139" t="str">
        <f>IFERROR(__xludf.DUMMYFUNCTION("""COMPUTED_VALUE"""),"Appearance")</f>
        <v>Appearance</v>
      </c>
      <c r="G2631" s="139"/>
      <c r="H2631" s="139"/>
      <c r="I2631" s="139">
        <f>IFERROR(__xludf.DUMMYFUNCTION("""COMPUTED_VALUE"""),50.0)</f>
        <v>50</v>
      </c>
      <c r="J2631" s="139">
        <f>IFERROR(__xludf.DUMMYFUNCTION("""COMPUTED_VALUE"""),0.0)</f>
        <v>0</v>
      </c>
      <c r="K2631" s="139">
        <f>IFERROR(__xludf.DUMMYFUNCTION("""COMPUTED_VALUE"""),0.0)</f>
        <v>0</v>
      </c>
      <c r="L2631" s="139"/>
      <c r="M2631" s="139"/>
      <c r="N2631" s="139"/>
    </row>
    <row r="2632">
      <c r="A2632" s="139" t="str">
        <f>IFERROR(__xludf.DUMMYFUNCTION("""COMPUTED_VALUE"""),"e")</f>
        <v>e</v>
      </c>
      <c r="B2632" s="139">
        <f>IFERROR(__xludf.DUMMYFUNCTION("""COMPUTED_VALUE"""),2.0251202E8)</f>
        <v>202512020</v>
      </c>
      <c r="C2632" s="139" t="str">
        <f>IFERROR(__xludf.DUMMYFUNCTION("""COMPUTED_VALUE"""),"c_osh_00001_osh1savage03_Boss_Green_Normal_00000")</f>
        <v>c_osh_00001_osh1savage03_Boss_Green_Normal_00000</v>
      </c>
      <c r="D2632" s="139" t="str">
        <f>IFERROR(__xludf.DUMMYFUNCTION("""COMPUTED_VALUE"""),"c_osh_00001_osh1savage03_Boss_Green")</f>
        <v>c_osh_00001_osh1savage03_Boss_Green</v>
      </c>
      <c r="E2632" s="139">
        <f>IFERROR(__xludf.DUMMYFUNCTION("""COMPUTED_VALUE"""),0.0)</f>
        <v>0</v>
      </c>
      <c r="F2632" s="139" t="str">
        <f>IFERROR(__xludf.DUMMYFUNCTION("""COMPUTED_VALUE"""),"Normal")</f>
        <v>Normal</v>
      </c>
      <c r="G2632" s="139"/>
      <c r="H2632" s="139"/>
      <c r="I2632" s="139">
        <f>IFERROR(__xludf.DUMMYFUNCTION("""COMPUTED_VALUE"""),80.0)</f>
        <v>80</v>
      </c>
      <c r="J2632" s="139">
        <f>IFERROR(__xludf.DUMMYFUNCTION("""COMPUTED_VALUE"""),22.0)</f>
        <v>22</v>
      </c>
      <c r="K2632" s="139">
        <f>IFERROR(__xludf.DUMMYFUNCTION("""COMPUTED_VALUE"""),30.0)</f>
        <v>30</v>
      </c>
      <c r="L2632" s="139"/>
      <c r="M2632" s="139"/>
      <c r="N2632" s="139"/>
    </row>
    <row r="2633">
      <c r="A2633" s="139" t="str">
        <f>IFERROR(__xludf.DUMMYFUNCTION("""COMPUTED_VALUE"""),"e")</f>
        <v>e</v>
      </c>
      <c r="B2633" s="139">
        <f>IFERROR(__xludf.DUMMYFUNCTION("""COMPUTED_VALUE"""),2.0251202E8)</f>
        <v>202512020</v>
      </c>
      <c r="C2633" s="139" t="str">
        <f>IFERROR(__xludf.DUMMYFUNCTION("""COMPUTED_VALUE"""),"c_osh_00001_osh1savage03_Boss_Green_Special_00001")</f>
        <v>c_osh_00001_osh1savage03_Boss_Green_Special_00001</v>
      </c>
      <c r="D2633" s="139" t="str">
        <f>IFERROR(__xludf.DUMMYFUNCTION("""COMPUTED_VALUE"""),"c_osh_00001_osh1savage03_Boss_Green")</f>
        <v>c_osh_00001_osh1savage03_Boss_Green</v>
      </c>
      <c r="E2633" s="139">
        <f>IFERROR(__xludf.DUMMYFUNCTION("""COMPUTED_VALUE"""),0.0)</f>
        <v>0</v>
      </c>
      <c r="F2633" s="139" t="str">
        <f>IFERROR(__xludf.DUMMYFUNCTION("""COMPUTED_VALUE"""),"Special")</f>
        <v>Special</v>
      </c>
      <c r="G2633" s="139"/>
      <c r="H2633" s="139"/>
      <c r="I2633" s="139">
        <f>IFERROR(__xludf.DUMMYFUNCTION("""COMPUTED_VALUE"""),162.0)</f>
        <v>162</v>
      </c>
      <c r="J2633" s="139">
        <f>IFERROR(__xludf.DUMMYFUNCTION("""COMPUTED_VALUE"""),92.0)</f>
        <v>92</v>
      </c>
      <c r="K2633" s="139">
        <f>IFERROR(__xludf.DUMMYFUNCTION("""COMPUTED_VALUE"""),0.0)</f>
        <v>0</v>
      </c>
      <c r="L2633" s="139"/>
      <c r="M2633" s="139"/>
      <c r="N2633" s="139"/>
    </row>
    <row r="2634">
      <c r="A2634" s="139" t="str">
        <f>IFERROR(__xludf.DUMMYFUNCTION("""COMPUTED_VALUE"""),"e")</f>
        <v>e</v>
      </c>
      <c r="B2634" s="139">
        <f>IFERROR(__xludf.DUMMYFUNCTION("""COMPUTED_VALUE"""),2.0251202E8)</f>
        <v>202512020</v>
      </c>
      <c r="C2634" s="139" t="str">
        <f>IFERROR(__xludf.DUMMYFUNCTION("""COMPUTED_VALUE"""),"c_osh_00001_osh1savage03_Boss_Green_Appearance_00002")</f>
        <v>c_osh_00001_osh1savage03_Boss_Green_Appearance_00002</v>
      </c>
      <c r="D2634" s="139" t="str">
        <f>IFERROR(__xludf.DUMMYFUNCTION("""COMPUTED_VALUE"""),"c_osh_00001_osh1savage03_Boss_Green")</f>
        <v>c_osh_00001_osh1savage03_Boss_Green</v>
      </c>
      <c r="E2634" s="139">
        <f>IFERROR(__xludf.DUMMYFUNCTION("""COMPUTED_VALUE"""),0.0)</f>
        <v>0</v>
      </c>
      <c r="F2634" s="139" t="str">
        <f>IFERROR(__xludf.DUMMYFUNCTION("""COMPUTED_VALUE"""),"Appearance")</f>
        <v>Appearance</v>
      </c>
      <c r="G2634" s="139"/>
      <c r="H2634" s="139"/>
      <c r="I2634" s="139">
        <f>IFERROR(__xludf.DUMMYFUNCTION("""COMPUTED_VALUE"""),50.0)</f>
        <v>50</v>
      </c>
      <c r="J2634" s="139">
        <f>IFERROR(__xludf.DUMMYFUNCTION("""COMPUTED_VALUE"""),0.0)</f>
        <v>0</v>
      </c>
      <c r="K2634" s="139">
        <f>IFERROR(__xludf.DUMMYFUNCTION("""COMPUTED_VALUE"""),0.0)</f>
        <v>0</v>
      </c>
      <c r="L2634" s="139"/>
      <c r="M2634" s="139"/>
      <c r="N2634" s="139"/>
    </row>
    <row r="2635">
      <c r="A2635" s="139"/>
      <c r="B2635" s="139"/>
      <c r="C2635" s="139"/>
      <c r="D2635" s="139"/>
      <c r="E2635" s="139"/>
      <c r="F2635" s="139"/>
      <c r="G2635" s="139"/>
      <c r="H2635" s="139"/>
      <c r="I2635" s="139"/>
      <c r="J2635" s="139"/>
      <c r="K2635" s="139"/>
      <c r="L2635" s="139"/>
      <c r="M2635" s="139"/>
      <c r="N2635" s="139"/>
    </row>
    <row r="2636">
      <c r="A2636" s="139" t="str">
        <f>IFERROR(__xludf.DUMMYFUNCTION("""COMPUTED_VALUE"""),"e")</f>
        <v>e</v>
      </c>
      <c r="B2636" s="139">
        <f>IFERROR(__xludf.DUMMYFUNCTION("""COMPUTED_VALUE"""),2.0260101E8)</f>
        <v>202601010</v>
      </c>
      <c r="C2636" s="139" t="str">
        <f>IFERROR(__xludf.DUMMYFUNCTION("""COMPUTED_VALUE"""),"c_jig_00001_jig1_1d1c_Normal_Colorless_Normal_00000")</f>
        <v>c_jig_00001_jig1_1d1c_Normal_Colorless_Normal_00000</v>
      </c>
      <c r="D2636" s="139" t="str">
        <f>IFERROR(__xludf.DUMMYFUNCTION("""COMPUTED_VALUE"""),"c_jig_00001_jig1_1d1c_Normal_Colorless")</f>
        <v>c_jig_00001_jig1_1d1c_Normal_Colorless</v>
      </c>
      <c r="E2636" s="139">
        <f>IFERROR(__xludf.DUMMYFUNCTION("""COMPUTED_VALUE"""),0.0)</f>
        <v>0</v>
      </c>
      <c r="F2636" s="139" t="str">
        <f>IFERROR(__xludf.DUMMYFUNCTION("""COMPUTED_VALUE"""),"Normal")</f>
        <v>Normal</v>
      </c>
      <c r="G2636" s="139"/>
      <c r="H2636" s="139"/>
      <c r="I2636" s="139">
        <f>IFERROR(__xludf.DUMMYFUNCTION("""COMPUTED_VALUE"""),59.0)</f>
        <v>59</v>
      </c>
      <c r="J2636" s="139">
        <f>IFERROR(__xludf.DUMMYFUNCTION("""COMPUTED_VALUE"""),10.0)</f>
        <v>10</v>
      </c>
      <c r="K2636" s="139">
        <f>IFERROR(__xludf.DUMMYFUNCTION("""COMPUTED_VALUE"""),60.0)</f>
        <v>60</v>
      </c>
      <c r="L2636" s="139"/>
      <c r="M2636" s="139"/>
      <c r="N2636" s="139"/>
    </row>
    <row r="2637">
      <c r="A2637" s="139" t="str">
        <f>IFERROR(__xludf.DUMMYFUNCTION("""COMPUTED_VALUE"""),"e")</f>
        <v>e</v>
      </c>
      <c r="B2637" s="139">
        <f>IFERROR(__xludf.DUMMYFUNCTION("""COMPUTED_VALUE"""),2.0260101E8)</f>
        <v>202601010</v>
      </c>
      <c r="C2637" s="139" t="str">
        <f>IFERROR(__xludf.DUMMYFUNCTION("""COMPUTED_VALUE"""),"c_jig_00001_jig1_1d1c_Normal_Colorless_Special_00001")</f>
        <v>c_jig_00001_jig1_1d1c_Normal_Colorless_Special_00001</v>
      </c>
      <c r="D2637" s="139" t="str">
        <f>IFERROR(__xludf.DUMMYFUNCTION("""COMPUTED_VALUE"""),"c_jig_00001_jig1_1d1c_Normal_Colorless")</f>
        <v>c_jig_00001_jig1_1d1c_Normal_Colorless</v>
      </c>
      <c r="E2637" s="139">
        <f>IFERROR(__xludf.DUMMYFUNCTION("""COMPUTED_VALUE"""),0.0)</f>
        <v>0</v>
      </c>
      <c r="F2637" s="139" t="str">
        <f>IFERROR(__xludf.DUMMYFUNCTION("""COMPUTED_VALUE"""),"Special")</f>
        <v>Special</v>
      </c>
      <c r="G2637" s="139"/>
      <c r="H2637" s="139"/>
      <c r="I2637" s="139">
        <f>IFERROR(__xludf.DUMMYFUNCTION("""COMPUTED_VALUE"""),115.0)</f>
        <v>115</v>
      </c>
      <c r="J2637" s="139">
        <f>IFERROR(__xludf.DUMMYFUNCTION("""COMPUTED_VALUE"""),0.0)</f>
        <v>0</v>
      </c>
      <c r="K2637" s="139">
        <f>IFERROR(__xludf.DUMMYFUNCTION("""COMPUTED_VALUE"""),0.0)</f>
        <v>0</v>
      </c>
      <c r="L2637" s="139"/>
      <c r="M2637" s="139"/>
      <c r="N2637" s="139"/>
    </row>
    <row r="2638">
      <c r="A2638" s="139" t="str">
        <f>IFERROR(__xludf.DUMMYFUNCTION("""COMPUTED_VALUE"""),"e")</f>
        <v>e</v>
      </c>
      <c r="B2638" s="139">
        <f>IFERROR(__xludf.DUMMYFUNCTION("""COMPUTED_VALUE"""),2.0260101E8)</f>
        <v>202601010</v>
      </c>
      <c r="C2638" s="139" t="str">
        <f>IFERROR(__xludf.DUMMYFUNCTION("""COMPUTED_VALUE"""),"e_jig_00601_jig1_advent_Boss_Yellow_Normal_00000")</f>
        <v>e_jig_00601_jig1_advent_Boss_Yellow_Normal_00000</v>
      </c>
      <c r="D2638" s="139" t="str">
        <f>IFERROR(__xludf.DUMMYFUNCTION("""COMPUTED_VALUE"""),"e_jig_00601_jig1_advent_Boss_Yellow")</f>
        <v>e_jig_00601_jig1_advent_Boss_Yellow</v>
      </c>
      <c r="E2638" s="139">
        <f>IFERROR(__xludf.DUMMYFUNCTION("""COMPUTED_VALUE"""),0.0)</f>
        <v>0</v>
      </c>
      <c r="F2638" s="139" t="str">
        <f>IFERROR(__xludf.DUMMYFUNCTION("""COMPUTED_VALUE"""),"Normal")</f>
        <v>Normal</v>
      </c>
      <c r="G2638" s="139"/>
      <c r="H2638" s="139"/>
      <c r="I2638" s="674">
        <f>IFERROR(__xludf.DUMMYFUNCTION("""COMPUTED_VALUE"""),75.0)</f>
        <v>75</v>
      </c>
      <c r="J2638" s="674">
        <f>IFERROR(__xludf.DUMMYFUNCTION("""COMPUTED_VALUE"""),38.0)</f>
        <v>38</v>
      </c>
      <c r="K2638" s="139">
        <f>IFERROR(__xludf.DUMMYFUNCTION("""COMPUTED_VALUE"""),60.0)</f>
        <v>60</v>
      </c>
      <c r="L2638" s="139"/>
      <c r="M2638" s="139"/>
      <c r="N2638" s="139"/>
    </row>
    <row r="2639">
      <c r="A2639" s="139" t="str">
        <f>IFERROR(__xludf.DUMMYFUNCTION("""COMPUTED_VALUE"""),"e")</f>
        <v>e</v>
      </c>
      <c r="B2639" s="139">
        <f>IFERROR(__xludf.DUMMYFUNCTION("""COMPUTED_VALUE"""),2.0260101E8)</f>
        <v>202601010</v>
      </c>
      <c r="C2639" s="139" t="str">
        <f>IFERROR(__xludf.DUMMYFUNCTION("""COMPUTED_VALUE"""),"e_jig_00601_jig1_advent_Boss_Yellow_Appearance_00001")</f>
        <v>e_jig_00601_jig1_advent_Boss_Yellow_Appearance_00001</v>
      </c>
      <c r="D2639" s="139" t="str">
        <f>IFERROR(__xludf.DUMMYFUNCTION("""COMPUTED_VALUE"""),"e_jig_00601_jig1_advent_Boss_Yellow")</f>
        <v>e_jig_00601_jig1_advent_Boss_Yellow</v>
      </c>
      <c r="E2639" s="139">
        <f>IFERROR(__xludf.DUMMYFUNCTION("""COMPUTED_VALUE"""),0.0)</f>
        <v>0</v>
      </c>
      <c r="F2639" s="139" t="str">
        <f>IFERROR(__xludf.DUMMYFUNCTION("""COMPUTED_VALUE"""),"Appearance")</f>
        <v>Appearance</v>
      </c>
      <c r="G2639" s="139"/>
      <c r="H2639" s="139"/>
      <c r="I2639" s="139">
        <f>IFERROR(__xludf.DUMMYFUNCTION("""COMPUTED_VALUE"""),50.0)</f>
        <v>50</v>
      </c>
      <c r="J2639" s="139">
        <f>IFERROR(__xludf.DUMMYFUNCTION("""COMPUTED_VALUE"""),0.0)</f>
        <v>0</v>
      </c>
      <c r="K2639" s="139">
        <f>IFERROR(__xludf.DUMMYFUNCTION("""COMPUTED_VALUE"""),0.0)</f>
        <v>0</v>
      </c>
      <c r="L2639" s="139"/>
      <c r="M2639" s="139"/>
      <c r="N2639" s="139"/>
    </row>
    <row r="2640">
      <c r="A2640" s="139" t="str">
        <f>IFERROR(__xludf.DUMMYFUNCTION("""COMPUTED_VALUE"""),"e")</f>
        <v>e</v>
      </c>
      <c r="B2640" s="139">
        <f>IFERROR(__xludf.DUMMYFUNCTION("""COMPUTED_VALUE"""),2.0260101E8)</f>
        <v>202601010</v>
      </c>
      <c r="C2640" s="139" t="str">
        <f>IFERROR(__xludf.DUMMYFUNCTION("""COMPUTED_VALUE"""),"e_jig_00401_jig1_advent_Normal_Colorless_Normal_00000")</f>
        <v>e_jig_00401_jig1_advent_Normal_Colorless_Normal_00000</v>
      </c>
      <c r="D2640" s="139" t="str">
        <f>IFERROR(__xludf.DUMMYFUNCTION("""COMPUTED_VALUE"""),"e_jig_00401_jig1_advent_Normal_Colorless")</f>
        <v>e_jig_00401_jig1_advent_Normal_Colorless</v>
      </c>
      <c r="E2640" s="139">
        <f>IFERROR(__xludf.DUMMYFUNCTION("""COMPUTED_VALUE"""),0.0)</f>
        <v>0</v>
      </c>
      <c r="F2640" s="139" t="str">
        <f>IFERROR(__xludf.DUMMYFUNCTION("""COMPUTED_VALUE"""),"Normal")</f>
        <v>Normal</v>
      </c>
      <c r="G2640" s="139"/>
      <c r="H2640" s="139"/>
      <c r="I2640" s="139">
        <f>IFERROR(__xludf.DUMMYFUNCTION("""COMPUTED_VALUE"""),65.0)</f>
        <v>65</v>
      </c>
      <c r="J2640" s="139">
        <f>IFERROR(__xludf.DUMMYFUNCTION("""COMPUTED_VALUE"""),33.0)</f>
        <v>33</v>
      </c>
      <c r="K2640" s="139">
        <f>IFERROR(__xludf.DUMMYFUNCTION("""COMPUTED_VALUE"""),20.0)</f>
        <v>20</v>
      </c>
      <c r="L2640" s="139"/>
      <c r="M2640" s="139"/>
      <c r="N2640" s="139"/>
    </row>
    <row r="2641">
      <c r="A2641" s="139" t="str">
        <f>IFERROR(__xludf.DUMMYFUNCTION("""COMPUTED_VALUE"""),"e")</f>
        <v>e</v>
      </c>
      <c r="B2641" s="139">
        <f>IFERROR(__xludf.DUMMYFUNCTION("""COMPUTED_VALUE"""),2.0260101E8)</f>
        <v>202601010</v>
      </c>
      <c r="C2641" s="139" t="str">
        <f>IFERROR(__xludf.DUMMYFUNCTION("""COMPUTED_VALUE"""),"e_jig_00401_jig1_advent_Normal_Yellow_Normal_00000")</f>
        <v>e_jig_00401_jig1_advent_Normal_Yellow_Normal_00000</v>
      </c>
      <c r="D2641" s="139" t="str">
        <f>IFERROR(__xludf.DUMMYFUNCTION("""COMPUTED_VALUE"""),"e_jig_00401_jig1_advent_Normal_Yellow")</f>
        <v>e_jig_00401_jig1_advent_Normal_Yellow</v>
      </c>
      <c r="E2641" s="139">
        <f>IFERROR(__xludf.DUMMYFUNCTION("""COMPUTED_VALUE"""),0.0)</f>
        <v>0</v>
      </c>
      <c r="F2641" s="139" t="str">
        <f>IFERROR(__xludf.DUMMYFUNCTION("""COMPUTED_VALUE"""),"Normal")</f>
        <v>Normal</v>
      </c>
      <c r="G2641" s="139"/>
      <c r="H2641" s="139"/>
      <c r="I2641" s="139">
        <f>IFERROR(__xludf.DUMMYFUNCTION("""COMPUTED_VALUE"""),65.0)</f>
        <v>65</v>
      </c>
      <c r="J2641" s="139">
        <f>IFERROR(__xludf.DUMMYFUNCTION("""COMPUTED_VALUE"""),33.0)</f>
        <v>33</v>
      </c>
      <c r="K2641" s="139">
        <f>IFERROR(__xludf.DUMMYFUNCTION("""COMPUTED_VALUE"""),20.0)</f>
        <v>20</v>
      </c>
      <c r="L2641" s="139"/>
      <c r="M2641" s="139"/>
      <c r="N2641" s="139"/>
    </row>
    <row r="2642">
      <c r="A2642" s="139" t="str">
        <f>IFERROR(__xludf.DUMMYFUNCTION("""COMPUTED_VALUE"""),"e")</f>
        <v>e</v>
      </c>
      <c r="B2642" s="139">
        <f>IFERROR(__xludf.DUMMYFUNCTION("""COMPUTED_VALUE"""),2.0260101E8)</f>
        <v>202601010</v>
      </c>
      <c r="C2642" s="139" t="str">
        <f>IFERROR(__xludf.DUMMYFUNCTION("""COMPUTED_VALUE"""),"e_jig_00201_jig1_advent_Boss_Red_Normal_00000")</f>
        <v>e_jig_00201_jig1_advent_Boss_Red_Normal_00000</v>
      </c>
      <c r="D2642" s="139" t="str">
        <f>IFERROR(__xludf.DUMMYFUNCTION("""COMPUTED_VALUE"""),"e_jig_00201_jig1_advent_Boss_Red")</f>
        <v>e_jig_00201_jig1_advent_Boss_Red</v>
      </c>
      <c r="E2642" s="139">
        <f>IFERROR(__xludf.DUMMYFUNCTION("""COMPUTED_VALUE"""),0.0)</f>
        <v>0</v>
      </c>
      <c r="F2642" s="139" t="str">
        <f>IFERROR(__xludf.DUMMYFUNCTION("""COMPUTED_VALUE"""),"Normal")</f>
        <v>Normal</v>
      </c>
      <c r="G2642" s="139"/>
      <c r="H2642" s="139"/>
      <c r="I2642" s="139">
        <f>IFERROR(__xludf.DUMMYFUNCTION("""COMPUTED_VALUE"""),92.0)</f>
        <v>92</v>
      </c>
      <c r="J2642" s="139">
        <f>IFERROR(__xludf.DUMMYFUNCTION("""COMPUTED_VALUE"""),42.0)</f>
        <v>42</v>
      </c>
      <c r="K2642" s="139">
        <f>IFERROR(__xludf.DUMMYFUNCTION("""COMPUTED_VALUE"""),60.0)</f>
        <v>60</v>
      </c>
      <c r="L2642" s="139"/>
      <c r="M2642" s="139"/>
      <c r="N2642" s="139"/>
    </row>
    <row r="2643">
      <c r="A2643" s="139" t="str">
        <f>IFERROR(__xludf.DUMMYFUNCTION("""COMPUTED_VALUE"""),"e")</f>
        <v>e</v>
      </c>
      <c r="B2643" s="139">
        <f>IFERROR(__xludf.DUMMYFUNCTION("""COMPUTED_VALUE"""),2.0260101E8)</f>
        <v>202601010</v>
      </c>
      <c r="C2643" s="139" t="str">
        <f>IFERROR(__xludf.DUMMYFUNCTION("""COMPUTED_VALUE"""),"e_jig_00201_jig1_advent_Boss_Red_Appearance_00001")</f>
        <v>e_jig_00201_jig1_advent_Boss_Red_Appearance_00001</v>
      </c>
      <c r="D2643" s="139" t="str">
        <f>IFERROR(__xludf.DUMMYFUNCTION("""COMPUTED_VALUE"""),"e_jig_00201_jig1_advent_Boss_Red")</f>
        <v>e_jig_00201_jig1_advent_Boss_Red</v>
      </c>
      <c r="E2643" s="139">
        <f>IFERROR(__xludf.DUMMYFUNCTION("""COMPUTED_VALUE"""),0.0)</f>
        <v>0</v>
      </c>
      <c r="F2643" s="139" t="str">
        <f>IFERROR(__xludf.DUMMYFUNCTION("""COMPUTED_VALUE"""),"Appearance")</f>
        <v>Appearance</v>
      </c>
      <c r="G2643" s="139"/>
      <c r="H2643" s="139"/>
      <c r="I2643" s="139">
        <f>IFERROR(__xludf.DUMMYFUNCTION("""COMPUTED_VALUE"""),50.0)</f>
        <v>50</v>
      </c>
      <c r="J2643" s="139">
        <f>IFERROR(__xludf.DUMMYFUNCTION("""COMPUTED_VALUE"""),0.0)</f>
        <v>0</v>
      </c>
      <c r="K2643" s="139">
        <f>IFERROR(__xludf.DUMMYFUNCTION("""COMPUTED_VALUE"""),0.0)</f>
        <v>0</v>
      </c>
      <c r="L2643" s="139"/>
      <c r="M2643" s="139"/>
      <c r="N2643" s="139"/>
    </row>
    <row r="2644">
      <c r="A2644" s="139" t="str">
        <f>IFERROR(__xludf.DUMMYFUNCTION("""COMPUTED_VALUE"""),"e")</f>
        <v>e</v>
      </c>
      <c r="B2644" s="139">
        <f>IFERROR(__xludf.DUMMYFUNCTION("""COMPUTED_VALUE"""),2.0260101E8)</f>
        <v>202601010</v>
      </c>
      <c r="C2644" s="139" t="str">
        <f>IFERROR(__xludf.DUMMYFUNCTION("""COMPUTED_VALUE"""),"e_jig_00201_jig1_advent_Boss_Yellow_Normal_00000")</f>
        <v>e_jig_00201_jig1_advent_Boss_Yellow_Normal_00000</v>
      </c>
      <c r="D2644" s="139" t="str">
        <f>IFERROR(__xludf.DUMMYFUNCTION("""COMPUTED_VALUE"""),"e_jig_00201_jig1_advent_Boss_Yellow")</f>
        <v>e_jig_00201_jig1_advent_Boss_Yellow</v>
      </c>
      <c r="E2644" s="139">
        <f>IFERROR(__xludf.DUMMYFUNCTION("""COMPUTED_VALUE"""),0.0)</f>
        <v>0</v>
      </c>
      <c r="F2644" s="139" t="str">
        <f>IFERROR(__xludf.DUMMYFUNCTION("""COMPUTED_VALUE"""),"Normal")</f>
        <v>Normal</v>
      </c>
      <c r="G2644" s="139"/>
      <c r="H2644" s="139"/>
      <c r="I2644" s="139">
        <f>IFERROR(__xludf.DUMMYFUNCTION("""COMPUTED_VALUE"""),92.0)</f>
        <v>92</v>
      </c>
      <c r="J2644" s="139">
        <f>IFERROR(__xludf.DUMMYFUNCTION("""COMPUTED_VALUE"""),42.0)</f>
        <v>42</v>
      </c>
      <c r="K2644" s="139">
        <f>IFERROR(__xludf.DUMMYFUNCTION("""COMPUTED_VALUE"""),60.0)</f>
        <v>60</v>
      </c>
      <c r="L2644" s="139"/>
      <c r="M2644" s="139"/>
      <c r="N2644" s="139"/>
    </row>
    <row r="2645">
      <c r="A2645" s="139" t="str">
        <f>IFERROR(__xludf.DUMMYFUNCTION("""COMPUTED_VALUE"""),"e")</f>
        <v>e</v>
      </c>
      <c r="B2645" s="139">
        <f>IFERROR(__xludf.DUMMYFUNCTION("""COMPUTED_VALUE"""),2.0260101E8)</f>
        <v>202601010</v>
      </c>
      <c r="C2645" s="139" t="str">
        <f>IFERROR(__xludf.DUMMYFUNCTION("""COMPUTED_VALUE"""),"e_jig_00201_jig1_advent_Boss_Yellow_Appearance_00001")</f>
        <v>e_jig_00201_jig1_advent_Boss_Yellow_Appearance_00001</v>
      </c>
      <c r="D2645" s="139" t="str">
        <f>IFERROR(__xludf.DUMMYFUNCTION("""COMPUTED_VALUE"""),"e_jig_00201_jig1_advent_Boss_Yellow")</f>
        <v>e_jig_00201_jig1_advent_Boss_Yellow</v>
      </c>
      <c r="E2645" s="139">
        <f>IFERROR(__xludf.DUMMYFUNCTION("""COMPUTED_VALUE"""),0.0)</f>
        <v>0</v>
      </c>
      <c r="F2645" s="139" t="str">
        <f>IFERROR(__xludf.DUMMYFUNCTION("""COMPUTED_VALUE"""),"Appearance")</f>
        <v>Appearance</v>
      </c>
      <c r="G2645" s="139"/>
      <c r="H2645" s="139"/>
      <c r="I2645" s="139">
        <f>IFERROR(__xludf.DUMMYFUNCTION("""COMPUTED_VALUE"""),50.0)</f>
        <v>50</v>
      </c>
      <c r="J2645" s="139">
        <f>IFERROR(__xludf.DUMMYFUNCTION("""COMPUTED_VALUE"""),0.0)</f>
        <v>0</v>
      </c>
      <c r="K2645" s="139">
        <f>IFERROR(__xludf.DUMMYFUNCTION("""COMPUTED_VALUE"""),0.0)</f>
        <v>0</v>
      </c>
      <c r="L2645" s="139"/>
      <c r="M2645" s="139"/>
      <c r="N2645" s="139"/>
    </row>
    <row r="2646">
      <c r="A2646" s="139" t="str">
        <f>IFERROR(__xludf.DUMMYFUNCTION("""COMPUTED_VALUE"""),"e")</f>
        <v>e</v>
      </c>
      <c r="B2646" s="139">
        <f>IFERROR(__xludf.DUMMYFUNCTION("""COMPUTED_VALUE"""),2.0260101E8)</f>
        <v>202601010</v>
      </c>
      <c r="C2646" s="139" t="str">
        <f>IFERROR(__xludf.DUMMYFUNCTION("""COMPUTED_VALUE"""),"e_jig_00301_jig1_advent_Boss_Colorless_Normal_00000")</f>
        <v>e_jig_00301_jig1_advent_Boss_Colorless_Normal_00000</v>
      </c>
      <c r="D2646" s="139" t="str">
        <f>IFERROR(__xludf.DUMMYFUNCTION("""COMPUTED_VALUE"""),"e_jig_00301_jig1_advent_Boss_Colorless")</f>
        <v>e_jig_00301_jig1_advent_Boss_Colorless</v>
      </c>
      <c r="E2646" s="139">
        <f>IFERROR(__xludf.DUMMYFUNCTION("""COMPUTED_VALUE"""),0.0)</f>
        <v>0</v>
      </c>
      <c r="F2646" s="139" t="str">
        <f>IFERROR(__xludf.DUMMYFUNCTION("""COMPUTED_VALUE"""),"Normal")</f>
        <v>Normal</v>
      </c>
      <c r="G2646" s="139"/>
      <c r="H2646" s="139"/>
      <c r="I2646" s="139">
        <f>IFERROR(__xludf.DUMMYFUNCTION("""COMPUTED_VALUE"""),75.0)</f>
        <v>75</v>
      </c>
      <c r="J2646" s="139">
        <f>IFERROR(__xludf.DUMMYFUNCTION("""COMPUTED_VALUE"""),33.0)</f>
        <v>33</v>
      </c>
      <c r="K2646" s="139">
        <f>IFERROR(__xludf.DUMMYFUNCTION("""COMPUTED_VALUE"""),50.0)</f>
        <v>50</v>
      </c>
      <c r="L2646" s="139"/>
      <c r="M2646" s="139"/>
      <c r="N2646" s="139"/>
    </row>
    <row r="2647">
      <c r="A2647" s="139" t="str">
        <f>IFERROR(__xludf.DUMMYFUNCTION("""COMPUTED_VALUE"""),"e")</f>
        <v>e</v>
      </c>
      <c r="B2647" s="139">
        <f>IFERROR(__xludf.DUMMYFUNCTION("""COMPUTED_VALUE"""),2.0260101E8)</f>
        <v>202601010</v>
      </c>
      <c r="C2647" s="139" t="str">
        <f>IFERROR(__xludf.DUMMYFUNCTION("""COMPUTED_VALUE"""),"e_jig_00301_jig1_advent_Boss_Colorless_Appearance_00001")</f>
        <v>e_jig_00301_jig1_advent_Boss_Colorless_Appearance_00001</v>
      </c>
      <c r="D2647" s="139" t="str">
        <f>IFERROR(__xludf.DUMMYFUNCTION("""COMPUTED_VALUE"""),"e_jig_00301_jig1_advent_Boss_Colorless")</f>
        <v>e_jig_00301_jig1_advent_Boss_Colorless</v>
      </c>
      <c r="E2647" s="139">
        <f>IFERROR(__xludf.DUMMYFUNCTION("""COMPUTED_VALUE"""),0.0)</f>
        <v>0</v>
      </c>
      <c r="F2647" s="139" t="str">
        <f>IFERROR(__xludf.DUMMYFUNCTION("""COMPUTED_VALUE"""),"Appearance")</f>
        <v>Appearance</v>
      </c>
      <c r="G2647" s="139"/>
      <c r="H2647" s="139"/>
      <c r="I2647" s="139">
        <f>IFERROR(__xludf.DUMMYFUNCTION("""COMPUTED_VALUE"""),50.0)</f>
        <v>50</v>
      </c>
      <c r="J2647" s="139">
        <f>IFERROR(__xludf.DUMMYFUNCTION("""COMPUTED_VALUE"""),0.0)</f>
        <v>0</v>
      </c>
      <c r="K2647" s="139">
        <f>IFERROR(__xludf.DUMMYFUNCTION("""COMPUTED_VALUE"""),0.0)</f>
        <v>0</v>
      </c>
      <c r="L2647" s="139"/>
      <c r="M2647" s="139"/>
      <c r="N2647" s="139"/>
    </row>
    <row r="2648">
      <c r="A2648" s="139" t="str">
        <f>IFERROR(__xludf.DUMMYFUNCTION("""COMPUTED_VALUE"""),"e")</f>
        <v>e</v>
      </c>
      <c r="B2648" s="139">
        <f>IFERROR(__xludf.DUMMYFUNCTION("""COMPUTED_VALUE"""),2.0260101E8)</f>
        <v>202601010</v>
      </c>
      <c r="C2648" s="139" t="str">
        <f>IFERROR(__xludf.DUMMYFUNCTION("""COMPUTED_VALUE"""),"e_jig_00301_jig1_advent_Boss_Green_Normal_00000")</f>
        <v>e_jig_00301_jig1_advent_Boss_Green_Normal_00000</v>
      </c>
      <c r="D2648" s="139" t="str">
        <f>IFERROR(__xludf.DUMMYFUNCTION("""COMPUTED_VALUE"""),"e_jig_00301_jig1_advent_Boss_Green")</f>
        <v>e_jig_00301_jig1_advent_Boss_Green</v>
      </c>
      <c r="E2648" s="139">
        <f>IFERROR(__xludf.DUMMYFUNCTION("""COMPUTED_VALUE"""),0.0)</f>
        <v>0</v>
      </c>
      <c r="F2648" s="139" t="str">
        <f>IFERROR(__xludf.DUMMYFUNCTION("""COMPUTED_VALUE"""),"Normal")</f>
        <v>Normal</v>
      </c>
      <c r="G2648" s="139"/>
      <c r="H2648" s="139"/>
      <c r="I2648" s="139">
        <f>IFERROR(__xludf.DUMMYFUNCTION("""COMPUTED_VALUE"""),75.0)</f>
        <v>75</v>
      </c>
      <c r="J2648" s="139">
        <f>IFERROR(__xludf.DUMMYFUNCTION("""COMPUTED_VALUE"""),33.0)</f>
        <v>33</v>
      </c>
      <c r="K2648" s="139">
        <f>IFERROR(__xludf.DUMMYFUNCTION("""COMPUTED_VALUE"""),50.0)</f>
        <v>50</v>
      </c>
      <c r="L2648" s="139"/>
      <c r="M2648" s="139"/>
      <c r="N2648" s="139"/>
    </row>
    <row r="2649">
      <c r="A2649" s="139" t="str">
        <f>IFERROR(__xludf.DUMMYFUNCTION("""COMPUTED_VALUE"""),"e")</f>
        <v>e</v>
      </c>
      <c r="B2649" s="139">
        <f>IFERROR(__xludf.DUMMYFUNCTION("""COMPUTED_VALUE"""),2.0260101E8)</f>
        <v>202601010</v>
      </c>
      <c r="C2649" s="139" t="str">
        <f>IFERROR(__xludf.DUMMYFUNCTION("""COMPUTED_VALUE"""),"e_jig_00301_jig1_advent_Boss_Green_Appearance_00001")</f>
        <v>e_jig_00301_jig1_advent_Boss_Green_Appearance_00001</v>
      </c>
      <c r="D2649" s="139" t="str">
        <f>IFERROR(__xludf.DUMMYFUNCTION("""COMPUTED_VALUE"""),"e_jig_00301_jig1_advent_Boss_Green")</f>
        <v>e_jig_00301_jig1_advent_Boss_Green</v>
      </c>
      <c r="E2649" s="139">
        <f>IFERROR(__xludf.DUMMYFUNCTION("""COMPUTED_VALUE"""),0.0)</f>
        <v>0</v>
      </c>
      <c r="F2649" s="139" t="str">
        <f>IFERROR(__xludf.DUMMYFUNCTION("""COMPUTED_VALUE"""),"Appearance")</f>
        <v>Appearance</v>
      </c>
      <c r="G2649" s="139"/>
      <c r="H2649" s="139"/>
      <c r="I2649" s="139">
        <f>IFERROR(__xludf.DUMMYFUNCTION("""COMPUTED_VALUE"""),50.0)</f>
        <v>50</v>
      </c>
      <c r="J2649" s="139">
        <f>IFERROR(__xludf.DUMMYFUNCTION("""COMPUTED_VALUE"""),0.0)</f>
        <v>0</v>
      </c>
      <c r="K2649" s="139">
        <f>IFERROR(__xludf.DUMMYFUNCTION("""COMPUTED_VALUE"""),0.0)</f>
        <v>0</v>
      </c>
      <c r="L2649" s="139"/>
      <c r="M2649" s="139"/>
      <c r="N2649" s="139"/>
    </row>
    <row r="2650">
      <c r="A2650" s="139" t="str">
        <f>IFERROR(__xludf.DUMMYFUNCTION("""COMPUTED_VALUE"""),"e")</f>
        <v>e</v>
      </c>
      <c r="B2650" s="139">
        <f>IFERROR(__xludf.DUMMYFUNCTION("""COMPUTED_VALUE"""),2.0260101E8)</f>
        <v>202601010</v>
      </c>
      <c r="C2650" s="139" t="str">
        <f>IFERROR(__xludf.DUMMYFUNCTION("""COMPUTED_VALUE"""),"e_jig_00001_jig1_advent_Normal_Colorless_Normal_00000")</f>
        <v>e_jig_00001_jig1_advent_Normal_Colorless_Normal_00000</v>
      </c>
      <c r="D2650" s="139" t="str">
        <f>IFERROR(__xludf.DUMMYFUNCTION("""COMPUTED_VALUE"""),"e_jig_00001_jig1_advent_Normal_Colorless")</f>
        <v>e_jig_00001_jig1_advent_Normal_Colorless</v>
      </c>
      <c r="E2650" s="139">
        <f>IFERROR(__xludf.DUMMYFUNCTION("""COMPUTED_VALUE"""),0.0)</f>
        <v>0</v>
      </c>
      <c r="F2650" s="139" t="str">
        <f>IFERROR(__xludf.DUMMYFUNCTION("""COMPUTED_VALUE"""),"Normal")</f>
        <v>Normal</v>
      </c>
      <c r="G2650" s="139"/>
      <c r="H2650" s="139"/>
      <c r="I2650" s="139">
        <f>IFERROR(__xludf.DUMMYFUNCTION("""COMPUTED_VALUE"""),92.0)</f>
        <v>92</v>
      </c>
      <c r="J2650" s="139">
        <f>IFERROR(__xludf.DUMMYFUNCTION("""COMPUTED_VALUE"""),42.0)</f>
        <v>42</v>
      </c>
      <c r="K2650" s="139">
        <f>IFERROR(__xludf.DUMMYFUNCTION("""COMPUTED_VALUE"""),40.0)</f>
        <v>40</v>
      </c>
      <c r="L2650" s="139"/>
      <c r="M2650" s="139"/>
      <c r="N2650" s="139"/>
    </row>
    <row r="2651">
      <c r="A2651" s="139" t="str">
        <f>IFERROR(__xludf.DUMMYFUNCTION("""COMPUTED_VALUE"""),"e")</f>
        <v>e</v>
      </c>
      <c r="B2651" s="139">
        <f>IFERROR(__xludf.DUMMYFUNCTION("""COMPUTED_VALUE"""),2.0260101E8)</f>
        <v>202601010</v>
      </c>
      <c r="C2651" s="139" t="str">
        <f>IFERROR(__xludf.DUMMYFUNCTION("""COMPUTED_VALUE"""),"e_jig_00001_jig1_advent_Normal_Red_Normal_00000")</f>
        <v>e_jig_00001_jig1_advent_Normal_Red_Normal_00000</v>
      </c>
      <c r="D2651" s="139" t="str">
        <f>IFERROR(__xludf.DUMMYFUNCTION("""COMPUTED_VALUE"""),"e_jig_00001_jig1_advent_Normal_Red")</f>
        <v>e_jig_00001_jig1_advent_Normal_Red</v>
      </c>
      <c r="E2651" s="139">
        <f>IFERROR(__xludf.DUMMYFUNCTION("""COMPUTED_VALUE"""),0.0)</f>
        <v>0</v>
      </c>
      <c r="F2651" s="139" t="str">
        <f>IFERROR(__xludf.DUMMYFUNCTION("""COMPUTED_VALUE"""),"Normal")</f>
        <v>Normal</v>
      </c>
      <c r="G2651" s="139"/>
      <c r="H2651" s="139"/>
      <c r="I2651" s="139">
        <f>IFERROR(__xludf.DUMMYFUNCTION("""COMPUTED_VALUE"""),92.0)</f>
        <v>92</v>
      </c>
      <c r="J2651" s="139">
        <f>IFERROR(__xludf.DUMMYFUNCTION("""COMPUTED_VALUE"""),42.0)</f>
        <v>42</v>
      </c>
      <c r="K2651" s="139">
        <f>IFERROR(__xludf.DUMMYFUNCTION("""COMPUTED_VALUE"""),40.0)</f>
        <v>40</v>
      </c>
      <c r="L2651" s="139"/>
      <c r="M2651" s="139"/>
      <c r="N2651" s="139"/>
    </row>
    <row r="2652">
      <c r="A2652" s="139" t="str">
        <f>IFERROR(__xludf.DUMMYFUNCTION("""COMPUTED_VALUE"""),"e")</f>
        <v>e</v>
      </c>
      <c r="B2652" s="139">
        <f>IFERROR(__xludf.DUMMYFUNCTION("""COMPUTED_VALUE"""),2.0260101E8)</f>
        <v>202601010</v>
      </c>
      <c r="C2652" s="139" t="str">
        <f>IFERROR(__xludf.DUMMYFUNCTION("""COMPUTED_VALUE"""),"e_jig_00001_jig1_advent_Normal_Green_Normal_00000")</f>
        <v>e_jig_00001_jig1_advent_Normal_Green_Normal_00000</v>
      </c>
      <c r="D2652" s="139" t="str">
        <f>IFERROR(__xludf.DUMMYFUNCTION("""COMPUTED_VALUE"""),"e_jig_00001_jig1_advent_Normal_Green")</f>
        <v>e_jig_00001_jig1_advent_Normal_Green</v>
      </c>
      <c r="E2652" s="139">
        <f>IFERROR(__xludf.DUMMYFUNCTION("""COMPUTED_VALUE"""),0.0)</f>
        <v>0</v>
      </c>
      <c r="F2652" s="139" t="str">
        <f>IFERROR(__xludf.DUMMYFUNCTION("""COMPUTED_VALUE"""),"Normal")</f>
        <v>Normal</v>
      </c>
      <c r="G2652" s="139"/>
      <c r="H2652" s="139"/>
      <c r="I2652" s="139">
        <f>IFERROR(__xludf.DUMMYFUNCTION("""COMPUTED_VALUE"""),92.0)</f>
        <v>92</v>
      </c>
      <c r="J2652" s="139">
        <f>IFERROR(__xludf.DUMMYFUNCTION("""COMPUTED_VALUE"""),42.0)</f>
        <v>42</v>
      </c>
      <c r="K2652" s="139">
        <f>IFERROR(__xludf.DUMMYFUNCTION("""COMPUTED_VALUE"""),40.0)</f>
        <v>40</v>
      </c>
      <c r="L2652" s="139"/>
      <c r="M2652" s="139"/>
      <c r="N2652" s="139"/>
    </row>
    <row r="2653">
      <c r="A2653" s="139" t="str">
        <f>IFERROR(__xludf.DUMMYFUNCTION("""COMPUTED_VALUE"""),"e")</f>
        <v>e</v>
      </c>
      <c r="B2653" s="139">
        <f>IFERROR(__xludf.DUMMYFUNCTION("""COMPUTED_VALUE"""),2.0260101E8)</f>
        <v>202601010</v>
      </c>
      <c r="C2653" s="139" t="str">
        <f>IFERROR(__xludf.DUMMYFUNCTION("""COMPUTED_VALUE"""),"c_jig_00601_jig1_charaget02_Boss_Red_Normal_00000")</f>
        <v>c_jig_00601_jig1_charaget02_Boss_Red_Normal_00000</v>
      </c>
      <c r="D2653" s="139" t="str">
        <f>IFERROR(__xludf.DUMMYFUNCTION("""COMPUTED_VALUE"""),"c_jig_00601_jig1_charaget02_Boss_Red")</f>
        <v>c_jig_00601_jig1_charaget02_Boss_Red</v>
      </c>
      <c r="E2653" s="139">
        <f>IFERROR(__xludf.DUMMYFUNCTION("""COMPUTED_VALUE"""),0.0)</f>
        <v>0</v>
      </c>
      <c r="F2653" s="139" t="str">
        <f>IFERROR(__xludf.DUMMYFUNCTION("""COMPUTED_VALUE"""),"Normal")</f>
        <v>Normal</v>
      </c>
      <c r="G2653" s="139"/>
      <c r="H2653" s="139"/>
      <c r="I2653" s="139">
        <f>IFERROR(__xludf.DUMMYFUNCTION("""COMPUTED_VALUE"""),83.0)</f>
        <v>83</v>
      </c>
      <c r="J2653" s="139">
        <f>IFERROR(__xludf.DUMMYFUNCTION("""COMPUTED_VALUE"""),25.0)</f>
        <v>25</v>
      </c>
      <c r="K2653" s="139">
        <f>IFERROR(__xludf.DUMMYFUNCTION("""COMPUTED_VALUE"""),60.0)</f>
        <v>60</v>
      </c>
      <c r="L2653" s="139"/>
      <c r="M2653" s="139"/>
      <c r="N2653" s="139"/>
    </row>
    <row r="2654">
      <c r="A2654" s="139" t="str">
        <f>IFERROR(__xludf.DUMMYFUNCTION("""COMPUTED_VALUE"""),"e")</f>
        <v>e</v>
      </c>
      <c r="B2654" s="139">
        <f>IFERROR(__xludf.DUMMYFUNCTION("""COMPUTED_VALUE"""),2.0260101E8)</f>
        <v>202601010</v>
      </c>
      <c r="C2654" s="139" t="str">
        <f>IFERROR(__xludf.DUMMYFUNCTION("""COMPUTED_VALUE"""),"c_jig_00601_jig1_charaget02_Boss_Red_Appearance_00001")</f>
        <v>c_jig_00601_jig1_charaget02_Boss_Red_Appearance_00001</v>
      </c>
      <c r="D2654" s="139" t="str">
        <f>IFERROR(__xludf.DUMMYFUNCTION("""COMPUTED_VALUE"""),"c_jig_00601_jig1_charaget02_Boss_Red")</f>
        <v>c_jig_00601_jig1_charaget02_Boss_Red</v>
      </c>
      <c r="E2654" s="139">
        <f>IFERROR(__xludf.DUMMYFUNCTION("""COMPUTED_VALUE"""),0.0)</f>
        <v>0</v>
      </c>
      <c r="F2654" s="139" t="str">
        <f>IFERROR(__xludf.DUMMYFUNCTION("""COMPUTED_VALUE"""),"Appearance")</f>
        <v>Appearance</v>
      </c>
      <c r="G2654" s="139"/>
      <c r="H2654" s="139"/>
      <c r="I2654" s="139">
        <f>IFERROR(__xludf.DUMMYFUNCTION("""COMPUTED_VALUE"""),50.0)</f>
        <v>50</v>
      </c>
      <c r="J2654" s="139">
        <f>IFERROR(__xludf.DUMMYFUNCTION("""COMPUTED_VALUE"""),0.0)</f>
        <v>0</v>
      </c>
      <c r="K2654" s="139">
        <f>IFERROR(__xludf.DUMMYFUNCTION("""COMPUTED_VALUE"""),0.0)</f>
        <v>0</v>
      </c>
      <c r="L2654" s="139"/>
      <c r="M2654" s="139"/>
      <c r="N2654" s="139"/>
    </row>
    <row r="2655">
      <c r="A2655" s="139" t="str">
        <f>IFERROR(__xludf.DUMMYFUNCTION("""COMPUTED_VALUE"""),"e")</f>
        <v>e</v>
      </c>
      <c r="B2655" s="139">
        <f>IFERROR(__xludf.DUMMYFUNCTION("""COMPUTED_VALUE"""),2.0260101E8)</f>
        <v>202601010</v>
      </c>
      <c r="C2655" s="139" t="str">
        <f>IFERROR(__xludf.DUMMYFUNCTION("""COMPUTED_VALUE"""),"c_jig_00601_jig1_charaget02_Boss_Red_Special_00002")</f>
        <v>c_jig_00601_jig1_charaget02_Boss_Red_Special_00002</v>
      </c>
      <c r="D2655" s="139" t="str">
        <f>IFERROR(__xludf.DUMMYFUNCTION("""COMPUTED_VALUE"""),"c_jig_00601_jig1_charaget02_Boss_Red")</f>
        <v>c_jig_00601_jig1_charaget02_Boss_Red</v>
      </c>
      <c r="E2655" s="139">
        <f>IFERROR(__xludf.DUMMYFUNCTION("""COMPUTED_VALUE"""),0.0)</f>
        <v>0</v>
      </c>
      <c r="F2655" s="139" t="str">
        <f>IFERROR(__xludf.DUMMYFUNCTION("""COMPUTED_VALUE"""),"Special")</f>
        <v>Special</v>
      </c>
      <c r="G2655" s="139"/>
      <c r="H2655" s="139"/>
      <c r="I2655" s="139">
        <f>IFERROR(__xludf.DUMMYFUNCTION("""COMPUTED_VALUE"""),115.0)</f>
        <v>115</v>
      </c>
      <c r="J2655" s="139">
        <f>IFERROR(__xludf.DUMMYFUNCTION("""COMPUTED_VALUE"""),0.0)</f>
        <v>0</v>
      </c>
      <c r="K2655" s="139">
        <f>IFERROR(__xludf.DUMMYFUNCTION("""COMPUTED_VALUE"""),0.0)</f>
        <v>0</v>
      </c>
      <c r="L2655" s="139"/>
      <c r="M2655" s="139"/>
      <c r="N2655" s="139"/>
    </row>
    <row r="2656">
      <c r="A2656" s="139" t="str">
        <f>IFERROR(__xludf.DUMMYFUNCTION("""COMPUTED_VALUE"""),"e")</f>
        <v>e</v>
      </c>
      <c r="B2656" s="139">
        <f>IFERROR(__xludf.DUMMYFUNCTION("""COMPUTED_VALUE"""),2.0260101E8)</f>
        <v>202601010</v>
      </c>
      <c r="C2656" s="139" t="str">
        <f>IFERROR(__xludf.DUMMYFUNCTION("""COMPUTED_VALUE"""),"e_jig_00402_jig1_charaget02_Normal_Colorless_Normal_00000")</f>
        <v>e_jig_00402_jig1_charaget02_Normal_Colorless_Normal_00000</v>
      </c>
      <c r="D2656" s="139" t="str">
        <f>IFERROR(__xludf.DUMMYFUNCTION("""COMPUTED_VALUE"""),"e_jig_00402_jig1_charaget02_Normal_Colorless")</f>
        <v>e_jig_00402_jig1_charaget02_Normal_Colorless</v>
      </c>
      <c r="E2656" s="139">
        <f>IFERROR(__xludf.DUMMYFUNCTION("""COMPUTED_VALUE"""),0.0)</f>
        <v>0</v>
      </c>
      <c r="F2656" s="139" t="str">
        <f>IFERROR(__xludf.DUMMYFUNCTION("""COMPUTED_VALUE"""),"Normal")</f>
        <v>Normal</v>
      </c>
      <c r="G2656" s="139"/>
      <c r="H2656" s="139"/>
      <c r="I2656" s="139">
        <f>IFERROR(__xludf.DUMMYFUNCTION("""COMPUTED_VALUE"""),105.0)</f>
        <v>105</v>
      </c>
      <c r="J2656" s="139">
        <f>IFERROR(__xludf.DUMMYFUNCTION("""COMPUTED_VALUE"""),30.0)</f>
        <v>30</v>
      </c>
      <c r="K2656" s="139">
        <f>IFERROR(__xludf.DUMMYFUNCTION("""COMPUTED_VALUE"""),85.0)</f>
        <v>85</v>
      </c>
      <c r="L2656" s="139"/>
      <c r="M2656" s="139"/>
      <c r="N2656" s="139"/>
    </row>
    <row r="2657">
      <c r="A2657" s="139" t="str">
        <f>IFERROR(__xludf.DUMMYFUNCTION("""COMPUTED_VALUE"""),"e")</f>
        <v>e</v>
      </c>
      <c r="B2657" s="139">
        <f>IFERROR(__xludf.DUMMYFUNCTION("""COMPUTED_VALUE"""),2.0260101E8)</f>
        <v>202601010</v>
      </c>
      <c r="C2657" s="139" t="str">
        <f>IFERROR(__xludf.DUMMYFUNCTION("""COMPUTED_VALUE"""),"e_jig_00301_jig1_charaget02_Normal_Red_Normal_00000")</f>
        <v>e_jig_00301_jig1_charaget02_Normal_Red_Normal_00000</v>
      </c>
      <c r="D2657" s="139" t="str">
        <f>IFERROR(__xludf.DUMMYFUNCTION("""COMPUTED_VALUE"""),"e_jig_00301_jig1_charaget02_Normal_Red")</f>
        <v>e_jig_00301_jig1_charaget02_Normal_Red</v>
      </c>
      <c r="E2657" s="139">
        <f>IFERROR(__xludf.DUMMYFUNCTION("""COMPUTED_VALUE"""),0.0)</f>
        <v>0</v>
      </c>
      <c r="F2657" s="139" t="str">
        <f>IFERROR(__xludf.DUMMYFUNCTION("""COMPUTED_VALUE"""),"Normal")</f>
        <v>Normal</v>
      </c>
      <c r="G2657" s="139"/>
      <c r="H2657" s="139"/>
      <c r="I2657" s="139">
        <f>IFERROR(__xludf.DUMMYFUNCTION("""COMPUTED_VALUE"""),90.0)</f>
        <v>90</v>
      </c>
      <c r="J2657" s="139">
        <f>IFERROR(__xludf.DUMMYFUNCTION("""COMPUTED_VALUE"""),25.0)</f>
        <v>25</v>
      </c>
      <c r="K2657" s="139">
        <f>IFERROR(__xludf.DUMMYFUNCTION("""COMPUTED_VALUE"""),85.0)</f>
        <v>85</v>
      </c>
      <c r="L2657" s="139"/>
      <c r="M2657" s="139"/>
      <c r="N2657" s="139"/>
    </row>
    <row r="2658">
      <c r="A2658" s="139" t="str">
        <f>IFERROR(__xludf.DUMMYFUNCTION("""COMPUTED_VALUE"""),"e")</f>
        <v>e</v>
      </c>
      <c r="B2658" s="139">
        <f>IFERROR(__xludf.DUMMYFUNCTION("""COMPUTED_VALUE"""),2.0260101E8)</f>
        <v>202601010</v>
      </c>
      <c r="C2658" s="139" t="str">
        <f>IFERROR(__xludf.DUMMYFUNCTION("""COMPUTED_VALUE"""),"c_jig_00401_jig1_charaget02_Boss_Red_Normal_00000")</f>
        <v>c_jig_00401_jig1_charaget02_Boss_Red_Normal_00000</v>
      </c>
      <c r="D2658" s="139" t="str">
        <f>IFERROR(__xludf.DUMMYFUNCTION("""COMPUTED_VALUE"""),"c_jig_00401_jig1_charaget02_Boss_Red")</f>
        <v>c_jig_00401_jig1_charaget02_Boss_Red</v>
      </c>
      <c r="E2658" s="139">
        <f>IFERROR(__xludf.DUMMYFUNCTION("""COMPUTED_VALUE"""),0.0)</f>
        <v>0</v>
      </c>
      <c r="F2658" s="139" t="str">
        <f>IFERROR(__xludf.DUMMYFUNCTION("""COMPUTED_VALUE"""),"Normal")</f>
        <v>Normal</v>
      </c>
      <c r="G2658" s="139"/>
      <c r="H2658" s="139"/>
      <c r="I2658" s="139">
        <f>IFERROR(__xludf.DUMMYFUNCTION("""COMPUTED_VALUE"""),83.0)</f>
        <v>83</v>
      </c>
      <c r="J2658" s="139">
        <f>IFERROR(__xludf.DUMMYFUNCTION("""COMPUTED_VALUE"""),25.0)</f>
        <v>25</v>
      </c>
      <c r="K2658" s="139">
        <f>IFERROR(__xludf.DUMMYFUNCTION("""COMPUTED_VALUE"""),50.0)</f>
        <v>50</v>
      </c>
      <c r="L2658" s="139"/>
      <c r="M2658" s="139"/>
      <c r="N2658" s="139"/>
    </row>
    <row r="2659">
      <c r="A2659" s="139" t="str">
        <f>IFERROR(__xludf.DUMMYFUNCTION("""COMPUTED_VALUE"""),"e")</f>
        <v>e</v>
      </c>
      <c r="B2659" s="139">
        <f>IFERROR(__xludf.DUMMYFUNCTION("""COMPUTED_VALUE"""),2.0260101E8)</f>
        <v>202601010</v>
      </c>
      <c r="C2659" s="139" t="str">
        <f>IFERROR(__xludf.DUMMYFUNCTION("""COMPUTED_VALUE"""),"c_jig_00401_jig1_charaget02_Boss_Red_Appearance_00001")</f>
        <v>c_jig_00401_jig1_charaget02_Boss_Red_Appearance_00001</v>
      </c>
      <c r="D2659" s="139" t="str">
        <f>IFERROR(__xludf.DUMMYFUNCTION("""COMPUTED_VALUE"""),"c_jig_00401_jig1_charaget02_Boss_Red")</f>
        <v>c_jig_00401_jig1_charaget02_Boss_Red</v>
      </c>
      <c r="E2659" s="139">
        <f>IFERROR(__xludf.DUMMYFUNCTION("""COMPUTED_VALUE"""),0.0)</f>
        <v>0</v>
      </c>
      <c r="F2659" s="139" t="str">
        <f>IFERROR(__xludf.DUMMYFUNCTION("""COMPUTED_VALUE"""),"Appearance")</f>
        <v>Appearance</v>
      </c>
      <c r="G2659" s="139"/>
      <c r="H2659" s="139"/>
      <c r="I2659" s="139">
        <f>IFERROR(__xludf.DUMMYFUNCTION("""COMPUTED_VALUE"""),50.0)</f>
        <v>50</v>
      </c>
      <c r="J2659" s="139">
        <f>IFERROR(__xludf.DUMMYFUNCTION("""COMPUTED_VALUE"""),0.0)</f>
        <v>0</v>
      </c>
      <c r="K2659" s="139">
        <f>IFERROR(__xludf.DUMMYFUNCTION("""COMPUTED_VALUE"""),0.0)</f>
        <v>0</v>
      </c>
      <c r="L2659" s="139"/>
      <c r="M2659" s="139"/>
      <c r="N2659" s="139"/>
    </row>
    <row r="2660">
      <c r="A2660" s="139" t="str">
        <f>IFERROR(__xludf.DUMMYFUNCTION("""COMPUTED_VALUE"""),"e")</f>
        <v>e</v>
      </c>
      <c r="B2660" s="139">
        <f>IFERROR(__xludf.DUMMYFUNCTION("""COMPUTED_VALUE"""),2.0260101E8)</f>
        <v>202601010</v>
      </c>
      <c r="C2660" s="139" t="str">
        <f>IFERROR(__xludf.DUMMYFUNCTION("""COMPUTED_VALUE"""),"c_jig_00401_jig1_charaget02_Boss_Red_Special_00002")</f>
        <v>c_jig_00401_jig1_charaget02_Boss_Red_Special_00002</v>
      </c>
      <c r="D2660" s="139" t="str">
        <f>IFERROR(__xludf.DUMMYFUNCTION("""COMPUTED_VALUE"""),"c_jig_00401_jig1_charaget02_Boss_Red")</f>
        <v>c_jig_00401_jig1_charaget02_Boss_Red</v>
      </c>
      <c r="E2660" s="139">
        <f>IFERROR(__xludf.DUMMYFUNCTION("""COMPUTED_VALUE"""),0.0)</f>
        <v>0</v>
      </c>
      <c r="F2660" s="139" t="str">
        <f>IFERROR(__xludf.DUMMYFUNCTION("""COMPUTED_VALUE"""),"Special")</f>
        <v>Special</v>
      </c>
      <c r="G2660" s="139"/>
      <c r="H2660" s="139"/>
      <c r="I2660" s="139">
        <f>IFERROR(__xludf.DUMMYFUNCTION("""COMPUTED_VALUE"""),134.0)</f>
        <v>134</v>
      </c>
      <c r="J2660" s="139">
        <f>IFERROR(__xludf.DUMMYFUNCTION("""COMPUTED_VALUE"""),0.0)</f>
        <v>0</v>
      </c>
      <c r="K2660" s="139">
        <f>IFERROR(__xludf.DUMMYFUNCTION("""COMPUTED_VALUE"""),0.0)</f>
        <v>0</v>
      </c>
      <c r="L2660" s="139"/>
      <c r="M2660" s="139"/>
      <c r="N2660" s="139"/>
    </row>
    <row r="2661">
      <c r="A2661" s="139" t="str">
        <f>IFERROR(__xludf.DUMMYFUNCTION("""COMPUTED_VALUE"""),"e")</f>
        <v>e</v>
      </c>
      <c r="B2661" s="139">
        <f>IFERROR(__xludf.DUMMYFUNCTION("""COMPUTED_VALUE"""),2.0260101E8)</f>
        <v>202601010</v>
      </c>
      <c r="C2661" s="139" t="str">
        <f>IFERROR(__xludf.DUMMYFUNCTION("""COMPUTED_VALUE"""),"c_jig_00501_jig1_charaget02_Normal_Red_Normal_00000")</f>
        <v>c_jig_00501_jig1_charaget02_Normal_Red_Normal_00000</v>
      </c>
      <c r="D2661" s="139" t="str">
        <f>IFERROR(__xludf.DUMMYFUNCTION("""COMPUTED_VALUE"""),"c_jig_00501_jig1_charaget02_Normal_Red")</f>
        <v>c_jig_00501_jig1_charaget02_Normal_Red</v>
      </c>
      <c r="E2661" s="139">
        <f>IFERROR(__xludf.DUMMYFUNCTION("""COMPUTED_VALUE"""),0.0)</f>
        <v>0</v>
      </c>
      <c r="F2661" s="139" t="str">
        <f>IFERROR(__xludf.DUMMYFUNCTION("""COMPUTED_VALUE"""),"Normal")</f>
        <v>Normal</v>
      </c>
      <c r="G2661" s="139"/>
      <c r="H2661" s="139"/>
      <c r="I2661" s="139">
        <f>IFERROR(__xludf.DUMMYFUNCTION("""COMPUTED_VALUE"""),83.0)</f>
        <v>83</v>
      </c>
      <c r="J2661" s="139">
        <f>IFERROR(__xludf.DUMMYFUNCTION("""COMPUTED_VALUE"""),20.0)</f>
        <v>20</v>
      </c>
      <c r="K2661" s="139">
        <f>IFERROR(__xludf.DUMMYFUNCTION("""COMPUTED_VALUE"""),60.0)</f>
        <v>60</v>
      </c>
      <c r="L2661" s="139"/>
      <c r="M2661" s="139"/>
      <c r="N2661" s="139"/>
    </row>
    <row r="2662">
      <c r="A2662" s="139" t="str">
        <f>IFERROR(__xludf.DUMMYFUNCTION("""COMPUTED_VALUE"""),"e")</f>
        <v>e</v>
      </c>
      <c r="B2662" s="139">
        <f>IFERROR(__xludf.DUMMYFUNCTION("""COMPUTED_VALUE"""),2.0260101E8)</f>
        <v>202601010</v>
      </c>
      <c r="C2662" s="139" t="str">
        <f>IFERROR(__xludf.DUMMYFUNCTION("""COMPUTED_VALUE"""),"c_jig_00001_jig1_charaget02_Boss_Red_Normal_00000")</f>
        <v>c_jig_00001_jig1_charaget02_Boss_Red_Normal_00000</v>
      </c>
      <c r="D2662" s="139" t="str">
        <f>IFERROR(__xludf.DUMMYFUNCTION("""COMPUTED_VALUE"""),"c_jig_00001_jig1_charaget02_Boss_Red")</f>
        <v>c_jig_00001_jig1_charaget02_Boss_Red</v>
      </c>
      <c r="E2662" s="139">
        <f>IFERROR(__xludf.DUMMYFUNCTION("""COMPUTED_VALUE"""),0.0)</f>
        <v>0</v>
      </c>
      <c r="F2662" s="139" t="str">
        <f>IFERROR(__xludf.DUMMYFUNCTION("""COMPUTED_VALUE"""),"Normal")</f>
        <v>Normal</v>
      </c>
      <c r="G2662" s="139"/>
      <c r="H2662" s="139"/>
      <c r="I2662" s="139">
        <f>IFERROR(__xludf.DUMMYFUNCTION("""COMPUTED_VALUE"""),59.0)</f>
        <v>59</v>
      </c>
      <c r="J2662" s="139">
        <f>IFERROR(__xludf.DUMMYFUNCTION("""COMPUTED_VALUE"""),10.0)</f>
        <v>10</v>
      </c>
      <c r="K2662" s="139">
        <f>IFERROR(__xludf.DUMMYFUNCTION("""COMPUTED_VALUE"""),60.0)</f>
        <v>60</v>
      </c>
      <c r="L2662" s="139"/>
      <c r="M2662" s="139"/>
      <c r="N2662" s="139"/>
    </row>
    <row r="2663">
      <c r="A2663" s="139" t="str">
        <f>IFERROR(__xludf.DUMMYFUNCTION("""COMPUTED_VALUE"""),"e")</f>
        <v>e</v>
      </c>
      <c r="B2663" s="139">
        <f>IFERROR(__xludf.DUMMYFUNCTION("""COMPUTED_VALUE"""),2.0260101E8)</f>
        <v>202601010</v>
      </c>
      <c r="C2663" s="139" t="str">
        <f>IFERROR(__xludf.DUMMYFUNCTION("""COMPUTED_VALUE"""),"c_jig_00001_jig1_charaget02_Boss_Red_Appearance_00001")</f>
        <v>c_jig_00001_jig1_charaget02_Boss_Red_Appearance_00001</v>
      </c>
      <c r="D2663" s="139" t="str">
        <f>IFERROR(__xludf.DUMMYFUNCTION("""COMPUTED_VALUE"""),"c_jig_00001_jig1_charaget02_Boss_Red")</f>
        <v>c_jig_00001_jig1_charaget02_Boss_Red</v>
      </c>
      <c r="E2663" s="139">
        <f>IFERROR(__xludf.DUMMYFUNCTION("""COMPUTED_VALUE"""),0.0)</f>
        <v>0</v>
      </c>
      <c r="F2663" s="139" t="str">
        <f>IFERROR(__xludf.DUMMYFUNCTION("""COMPUTED_VALUE"""),"Appearance")</f>
        <v>Appearance</v>
      </c>
      <c r="G2663" s="139"/>
      <c r="H2663" s="139"/>
      <c r="I2663" s="139">
        <f>IFERROR(__xludf.DUMMYFUNCTION("""COMPUTED_VALUE"""),50.0)</f>
        <v>50</v>
      </c>
      <c r="J2663" s="139">
        <f>IFERROR(__xludf.DUMMYFUNCTION("""COMPUTED_VALUE"""),0.0)</f>
        <v>0</v>
      </c>
      <c r="K2663" s="139">
        <f>IFERROR(__xludf.DUMMYFUNCTION("""COMPUTED_VALUE"""),0.0)</f>
        <v>0</v>
      </c>
      <c r="L2663" s="139"/>
      <c r="M2663" s="139"/>
      <c r="N2663" s="139"/>
    </row>
    <row r="2664">
      <c r="A2664" s="139" t="str">
        <f>IFERROR(__xludf.DUMMYFUNCTION("""COMPUTED_VALUE"""),"e")</f>
        <v>e</v>
      </c>
      <c r="B2664" s="139">
        <f>IFERROR(__xludf.DUMMYFUNCTION("""COMPUTED_VALUE"""),2.0260101E8)</f>
        <v>202601010</v>
      </c>
      <c r="C2664" s="139" t="str">
        <f>IFERROR(__xludf.DUMMYFUNCTION("""COMPUTED_VALUE"""),"c_jig_00001_jig1_charaget02_Boss_Red_Special_00002")</f>
        <v>c_jig_00001_jig1_charaget02_Boss_Red_Special_00002</v>
      </c>
      <c r="D2664" s="139" t="str">
        <f>IFERROR(__xludf.DUMMYFUNCTION("""COMPUTED_VALUE"""),"c_jig_00001_jig1_charaget02_Boss_Red")</f>
        <v>c_jig_00001_jig1_charaget02_Boss_Red</v>
      </c>
      <c r="E2664" s="139">
        <f>IFERROR(__xludf.DUMMYFUNCTION("""COMPUTED_VALUE"""),0.0)</f>
        <v>0</v>
      </c>
      <c r="F2664" s="139" t="str">
        <f>IFERROR(__xludf.DUMMYFUNCTION("""COMPUTED_VALUE"""),"Special")</f>
        <v>Special</v>
      </c>
      <c r="G2664" s="139"/>
      <c r="H2664" s="139"/>
      <c r="I2664" s="139">
        <f>IFERROR(__xludf.DUMMYFUNCTION("""COMPUTED_VALUE"""),115.0)</f>
        <v>115</v>
      </c>
      <c r="J2664" s="139">
        <f>IFERROR(__xludf.DUMMYFUNCTION("""COMPUTED_VALUE"""),0.0)</f>
        <v>0</v>
      </c>
      <c r="K2664" s="139">
        <f>IFERROR(__xludf.DUMMYFUNCTION("""COMPUTED_VALUE"""),0.0)</f>
        <v>0</v>
      </c>
      <c r="L2664" s="139"/>
      <c r="M2664" s="139"/>
      <c r="N2664" s="139"/>
    </row>
    <row r="2665">
      <c r="A2665" s="139" t="str">
        <f>IFERROR(__xludf.DUMMYFUNCTION("""COMPUTED_VALUE"""),"e")</f>
        <v>e</v>
      </c>
      <c r="B2665" s="139">
        <f>IFERROR(__xludf.DUMMYFUNCTION("""COMPUTED_VALUE"""),2.0260101E8)</f>
        <v>202601010</v>
      </c>
      <c r="C2665" s="139" t="str">
        <f>IFERROR(__xludf.DUMMYFUNCTION("""COMPUTED_VALUE"""),"e_jig_00401_jig1_charaget01_Normal_Green_Normal_00000")</f>
        <v>e_jig_00401_jig1_charaget01_Normal_Green_Normal_00000</v>
      </c>
      <c r="D2665" s="139" t="str">
        <f>IFERROR(__xludf.DUMMYFUNCTION("""COMPUTED_VALUE"""),"e_jig_00401_jig1_charaget01_Normal_Green")</f>
        <v>e_jig_00401_jig1_charaget01_Normal_Green</v>
      </c>
      <c r="E2665" s="139">
        <f>IFERROR(__xludf.DUMMYFUNCTION("""COMPUTED_VALUE"""),0.0)</f>
        <v>0</v>
      </c>
      <c r="F2665" s="139" t="str">
        <f>IFERROR(__xludf.DUMMYFUNCTION("""COMPUTED_VALUE"""),"Normal")</f>
        <v>Normal</v>
      </c>
      <c r="G2665" s="139"/>
      <c r="H2665" s="139"/>
      <c r="I2665" s="139">
        <f>IFERROR(__xludf.DUMMYFUNCTION("""COMPUTED_VALUE"""),65.0)</f>
        <v>65</v>
      </c>
      <c r="J2665" s="139">
        <f>IFERROR(__xludf.DUMMYFUNCTION("""COMPUTED_VALUE"""),33.0)</f>
        <v>33</v>
      </c>
      <c r="K2665" s="139">
        <f>IFERROR(__xludf.DUMMYFUNCTION("""COMPUTED_VALUE"""),75.0)</f>
        <v>75</v>
      </c>
      <c r="L2665" s="139"/>
      <c r="M2665" s="139"/>
      <c r="N2665" s="139"/>
    </row>
    <row r="2666">
      <c r="A2666" s="139" t="str">
        <f>IFERROR(__xludf.DUMMYFUNCTION("""COMPUTED_VALUE"""),"e")</f>
        <v>e</v>
      </c>
      <c r="B2666" s="139">
        <f>IFERROR(__xludf.DUMMYFUNCTION("""COMPUTED_VALUE"""),2.0260101E8)</f>
        <v>202601010</v>
      </c>
      <c r="C2666" s="139" t="str">
        <f>IFERROR(__xludf.DUMMYFUNCTION("""COMPUTED_VALUE"""),"e_jig_00402_jig1_charaget01_Normal_Colorless_Normal_00000")</f>
        <v>e_jig_00402_jig1_charaget01_Normal_Colorless_Normal_00000</v>
      </c>
      <c r="D2666" s="139" t="str">
        <f>IFERROR(__xludf.DUMMYFUNCTION("""COMPUTED_VALUE"""),"e_jig_00402_jig1_charaget01_Normal_Colorless")</f>
        <v>e_jig_00402_jig1_charaget01_Normal_Colorless</v>
      </c>
      <c r="E2666" s="139">
        <f>IFERROR(__xludf.DUMMYFUNCTION("""COMPUTED_VALUE"""),0.0)</f>
        <v>0</v>
      </c>
      <c r="F2666" s="139" t="str">
        <f>IFERROR(__xludf.DUMMYFUNCTION("""COMPUTED_VALUE"""),"Normal")</f>
        <v>Normal</v>
      </c>
      <c r="G2666" s="139"/>
      <c r="H2666" s="139"/>
      <c r="I2666" s="139">
        <f>IFERROR(__xludf.DUMMYFUNCTION("""COMPUTED_VALUE"""),105.0)</f>
        <v>105</v>
      </c>
      <c r="J2666" s="139">
        <f>IFERROR(__xludf.DUMMYFUNCTION("""COMPUTED_VALUE"""),30.0)</f>
        <v>30</v>
      </c>
      <c r="K2666" s="139">
        <f>IFERROR(__xludf.DUMMYFUNCTION("""COMPUTED_VALUE"""),75.0)</f>
        <v>75</v>
      </c>
      <c r="L2666" s="139"/>
      <c r="M2666" s="139"/>
      <c r="N2666" s="139"/>
    </row>
    <row r="2667">
      <c r="A2667" s="139" t="str">
        <f>IFERROR(__xludf.DUMMYFUNCTION("""COMPUTED_VALUE"""),"e")</f>
        <v>e</v>
      </c>
      <c r="B2667" s="139">
        <f>IFERROR(__xludf.DUMMYFUNCTION("""COMPUTED_VALUE"""),2.0260101E8)</f>
        <v>202601010</v>
      </c>
      <c r="C2667" s="139" t="str">
        <f>IFERROR(__xludf.DUMMYFUNCTION("""COMPUTED_VALUE"""),"e_jig_00001_jig1_charaget01_Normal_Colorless_Normal_00000")</f>
        <v>e_jig_00001_jig1_charaget01_Normal_Colorless_Normal_00000</v>
      </c>
      <c r="D2667" s="139" t="str">
        <f>IFERROR(__xludf.DUMMYFUNCTION("""COMPUTED_VALUE"""),"e_jig_00001_jig1_charaget01_Normal_Colorless")</f>
        <v>e_jig_00001_jig1_charaget01_Normal_Colorless</v>
      </c>
      <c r="E2667" s="139">
        <f>IFERROR(__xludf.DUMMYFUNCTION("""COMPUTED_VALUE"""),0.0)</f>
        <v>0</v>
      </c>
      <c r="F2667" s="139" t="str">
        <f>IFERROR(__xludf.DUMMYFUNCTION("""COMPUTED_VALUE"""),"Normal")</f>
        <v>Normal</v>
      </c>
      <c r="G2667" s="139"/>
      <c r="H2667" s="139"/>
      <c r="I2667" s="139">
        <f>IFERROR(__xludf.DUMMYFUNCTION("""COMPUTED_VALUE"""),92.0)</f>
        <v>92</v>
      </c>
      <c r="J2667" s="139">
        <f>IFERROR(__xludf.DUMMYFUNCTION("""COMPUTED_VALUE"""),42.0)</f>
        <v>42</v>
      </c>
      <c r="K2667" s="139">
        <f>IFERROR(__xludf.DUMMYFUNCTION("""COMPUTED_VALUE"""),100.0)</f>
        <v>100</v>
      </c>
      <c r="L2667" s="139"/>
      <c r="M2667" s="139"/>
      <c r="N2667" s="139"/>
    </row>
    <row r="2668">
      <c r="A2668" s="139" t="str">
        <f>IFERROR(__xludf.DUMMYFUNCTION("""COMPUTED_VALUE"""),"e")</f>
        <v>e</v>
      </c>
      <c r="B2668" s="139">
        <f>IFERROR(__xludf.DUMMYFUNCTION("""COMPUTED_VALUE"""),2.0260101E8)</f>
        <v>202601010</v>
      </c>
      <c r="C2668" s="139" t="str">
        <f>IFERROR(__xludf.DUMMYFUNCTION("""COMPUTED_VALUE"""),"e_jig_00301_jig1_charaget01_Normal_Green_Normal_00000")</f>
        <v>e_jig_00301_jig1_charaget01_Normal_Green_Normal_00000</v>
      </c>
      <c r="D2668" s="139" t="str">
        <f>IFERROR(__xludf.DUMMYFUNCTION("""COMPUTED_VALUE"""),"e_jig_00301_jig1_charaget01_Normal_Green")</f>
        <v>e_jig_00301_jig1_charaget01_Normal_Green</v>
      </c>
      <c r="E2668" s="139">
        <f>IFERROR(__xludf.DUMMYFUNCTION("""COMPUTED_VALUE"""),0.0)</f>
        <v>0</v>
      </c>
      <c r="F2668" s="139" t="str">
        <f>IFERROR(__xludf.DUMMYFUNCTION("""COMPUTED_VALUE"""),"Normal")</f>
        <v>Normal</v>
      </c>
      <c r="G2668" s="139"/>
      <c r="H2668" s="139"/>
      <c r="I2668" s="139">
        <f>IFERROR(__xludf.DUMMYFUNCTION("""COMPUTED_VALUE"""),75.0)</f>
        <v>75</v>
      </c>
      <c r="J2668" s="139">
        <f>IFERROR(__xludf.DUMMYFUNCTION("""COMPUTED_VALUE"""),33.0)</f>
        <v>33</v>
      </c>
      <c r="K2668" s="139">
        <f>IFERROR(__xludf.DUMMYFUNCTION("""COMPUTED_VALUE"""),50.0)</f>
        <v>50</v>
      </c>
      <c r="L2668" s="139"/>
      <c r="M2668" s="139"/>
      <c r="N2668" s="139"/>
    </row>
    <row r="2669">
      <c r="A2669" s="139" t="str">
        <f>IFERROR(__xludf.DUMMYFUNCTION("""COMPUTED_VALUE"""),"e")</f>
        <v>e</v>
      </c>
      <c r="B2669" s="139">
        <f>IFERROR(__xludf.DUMMYFUNCTION("""COMPUTED_VALUE"""),2.0260101E8)</f>
        <v>202601010</v>
      </c>
      <c r="C2669" s="139" t="str">
        <f>IFERROR(__xludf.DUMMYFUNCTION("""COMPUTED_VALUE"""),"c_jig_00201_jig1_charaget01_Boss_Green_Normal_00000")</f>
        <v>c_jig_00201_jig1_charaget01_Boss_Green_Normal_00000</v>
      </c>
      <c r="D2669" s="139" t="str">
        <f>IFERROR(__xludf.DUMMYFUNCTION("""COMPUTED_VALUE"""),"c_jig_00201_jig1_charaget01_Boss_Green")</f>
        <v>c_jig_00201_jig1_charaget01_Boss_Green</v>
      </c>
      <c r="E2669" s="139">
        <f>IFERROR(__xludf.DUMMYFUNCTION("""COMPUTED_VALUE"""),0.0)</f>
        <v>0</v>
      </c>
      <c r="F2669" s="139" t="str">
        <f>IFERROR(__xludf.DUMMYFUNCTION("""COMPUTED_VALUE"""),"Normal")</f>
        <v>Normal</v>
      </c>
      <c r="G2669" s="139"/>
      <c r="H2669" s="139"/>
      <c r="I2669" s="139">
        <f>IFERROR(__xludf.DUMMYFUNCTION("""COMPUTED_VALUE"""),84.0)</f>
        <v>84</v>
      </c>
      <c r="J2669" s="139">
        <f>IFERROR(__xludf.DUMMYFUNCTION("""COMPUTED_VALUE"""),50.0)</f>
        <v>50</v>
      </c>
      <c r="K2669" s="139">
        <f>IFERROR(__xludf.DUMMYFUNCTION("""COMPUTED_VALUE"""),75.0)</f>
        <v>75</v>
      </c>
      <c r="L2669" s="139"/>
      <c r="M2669" s="139"/>
      <c r="N2669" s="139"/>
    </row>
    <row r="2670">
      <c r="A2670" s="139" t="str">
        <f>IFERROR(__xludf.DUMMYFUNCTION("""COMPUTED_VALUE"""),"e")</f>
        <v>e</v>
      </c>
      <c r="B2670" s="139">
        <f>IFERROR(__xludf.DUMMYFUNCTION("""COMPUTED_VALUE"""),2.0260101E8)</f>
        <v>202601010</v>
      </c>
      <c r="C2670" s="139" t="str">
        <f>IFERROR(__xludf.DUMMYFUNCTION("""COMPUTED_VALUE"""),"c_jig_00201_jig1_charaget01_Boss_Green_Appearance_00001")</f>
        <v>c_jig_00201_jig1_charaget01_Boss_Green_Appearance_00001</v>
      </c>
      <c r="D2670" s="139" t="str">
        <f>IFERROR(__xludf.DUMMYFUNCTION("""COMPUTED_VALUE"""),"c_jig_00201_jig1_charaget01_Boss_Green")</f>
        <v>c_jig_00201_jig1_charaget01_Boss_Green</v>
      </c>
      <c r="E2670" s="139">
        <f>IFERROR(__xludf.DUMMYFUNCTION("""COMPUTED_VALUE"""),0.0)</f>
        <v>0</v>
      </c>
      <c r="F2670" s="139" t="str">
        <f>IFERROR(__xludf.DUMMYFUNCTION("""COMPUTED_VALUE"""),"Appearance")</f>
        <v>Appearance</v>
      </c>
      <c r="G2670" s="139"/>
      <c r="H2670" s="139"/>
      <c r="I2670" s="139">
        <f>IFERROR(__xludf.DUMMYFUNCTION("""COMPUTED_VALUE"""),50.0)</f>
        <v>50</v>
      </c>
      <c r="J2670" s="139">
        <f>IFERROR(__xludf.DUMMYFUNCTION("""COMPUTED_VALUE"""),0.0)</f>
        <v>0</v>
      </c>
      <c r="K2670" s="139">
        <f>IFERROR(__xludf.DUMMYFUNCTION("""COMPUTED_VALUE"""),0.0)</f>
        <v>0</v>
      </c>
      <c r="L2670" s="139"/>
      <c r="M2670" s="139"/>
      <c r="N2670" s="139"/>
    </row>
    <row r="2671">
      <c r="A2671" s="139" t="str">
        <f>IFERROR(__xludf.DUMMYFUNCTION("""COMPUTED_VALUE"""),"e")</f>
        <v>e</v>
      </c>
      <c r="B2671" s="139">
        <f>IFERROR(__xludf.DUMMYFUNCTION("""COMPUTED_VALUE"""),2.0260101E8)</f>
        <v>202601010</v>
      </c>
      <c r="C2671" s="139" t="str">
        <f>IFERROR(__xludf.DUMMYFUNCTION("""COMPUTED_VALUE"""),"c_jig_00201_jig1_charaget01_Boss_Green_Special_00002")</f>
        <v>c_jig_00201_jig1_charaget01_Boss_Green_Special_00002</v>
      </c>
      <c r="D2671" s="139" t="str">
        <f>IFERROR(__xludf.DUMMYFUNCTION("""COMPUTED_VALUE"""),"c_jig_00201_jig1_charaget01_Boss_Green")</f>
        <v>c_jig_00201_jig1_charaget01_Boss_Green</v>
      </c>
      <c r="E2671" s="139">
        <f>IFERROR(__xludf.DUMMYFUNCTION("""COMPUTED_VALUE"""),0.0)</f>
        <v>0</v>
      </c>
      <c r="F2671" s="139" t="str">
        <f>IFERROR(__xludf.DUMMYFUNCTION("""COMPUTED_VALUE"""),"Special")</f>
        <v>Special</v>
      </c>
      <c r="G2671" s="139"/>
      <c r="H2671" s="139"/>
      <c r="I2671" s="139">
        <f>IFERROR(__xludf.DUMMYFUNCTION("""COMPUTED_VALUE"""),128.0)</f>
        <v>128</v>
      </c>
      <c r="J2671" s="139">
        <f>IFERROR(__xludf.DUMMYFUNCTION("""COMPUTED_VALUE"""),83.0)</f>
        <v>83</v>
      </c>
      <c r="K2671" s="139">
        <f>IFERROR(__xludf.DUMMYFUNCTION("""COMPUTED_VALUE"""),0.0)</f>
        <v>0</v>
      </c>
      <c r="L2671" s="139"/>
      <c r="M2671" s="139"/>
      <c r="N2671" s="139"/>
    </row>
    <row r="2672">
      <c r="A2672" s="139" t="str">
        <f>IFERROR(__xludf.DUMMYFUNCTION("""COMPUTED_VALUE"""),"e")</f>
        <v>e</v>
      </c>
      <c r="B2672" s="139">
        <f>IFERROR(__xludf.DUMMYFUNCTION("""COMPUTED_VALUE"""),2.0260101E8)</f>
        <v>202601010</v>
      </c>
      <c r="C2672" s="139" t="str">
        <f>IFERROR(__xludf.DUMMYFUNCTION("""COMPUTED_VALUE"""),"c_jig_00101_jig1_charaget01_Boss_Yellow_Normal_00000")</f>
        <v>c_jig_00101_jig1_charaget01_Boss_Yellow_Normal_00000</v>
      </c>
      <c r="D2672" s="139" t="str">
        <f>IFERROR(__xludf.DUMMYFUNCTION("""COMPUTED_VALUE"""),"c_jig_00101_jig1_charaget01_Boss_Yellow")</f>
        <v>c_jig_00101_jig1_charaget01_Boss_Yellow</v>
      </c>
      <c r="E2672" s="139">
        <f>IFERROR(__xludf.DUMMYFUNCTION("""COMPUTED_VALUE"""),0.0)</f>
        <v>0</v>
      </c>
      <c r="F2672" s="139" t="str">
        <f>IFERROR(__xludf.DUMMYFUNCTION("""COMPUTED_VALUE"""),"Normal")</f>
        <v>Normal</v>
      </c>
      <c r="G2672" s="139"/>
      <c r="H2672" s="139"/>
      <c r="I2672" s="139">
        <f>IFERROR(__xludf.DUMMYFUNCTION("""COMPUTED_VALUE"""),75.0)</f>
        <v>75</v>
      </c>
      <c r="J2672" s="139">
        <f>IFERROR(__xludf.DUMMYFUNCTION("""COMPUTED_VALUE"""),25.0)</f>
        <v>25</v>
      </c>
      <c r="K2672" s="139">
        <f>IFERROR(__xludf.DUMMYFUNCTION("""COMPUTED_VALUE"""),75.0)</f>
        <v>75</v>
      </c>
      <c r="L2672" s="139"/>
      <c r="M2672" s="139"/>
      <c r="N2672" s="139"/>
    </row>
    <row r="2673">
      <c r="A2673" s="139" t="str">
        <f>IFERROR(__xludf.DUMMYFUNCTION("""COMPUTED_VALUE"""),"e")</f>
        <v>e</v>
      </c>
      <c r="B2673" s="139">
        <f>IFERROR(__xludf.DUMMYFUNCTION("""COMPUTED_VALUE"""),2.0260101E8)</f>
        <v>202601010</v>
      </c>
      <c r="C2673" s="139" t="str">
        <f>IFERROR(__xludf.DUMMYFUNCTION("""COMPUTED_VALUE"""),"c_jig_00101_jig1_charaget01_Boss_Yellow_Appearance_00001")</f>
        <v>c_jig_00101_jig1_charaget01_Boss_Yellow_Appearance_00001</v>
      </c>
      <c r="D2673" s="139" t="str">
        <f>IFERROR(__xludf.DUMMYFUNCTION("""COMPUTED_VALUE"""),"c_jig_00101_jig1_charaget01_Boss_Yellow")</f>
        <v>c_jig_00101_jig1_charaget01_Boss_Yellow</v>
      </c>
      <c r="E2673" s="139">
        <f>IFERROR(__xludf.DUMMYFUNCTION("""COMPUTED_VALUE"""),0.0)</f>
        <v>0</v>
      </c>
      <c r="F2673" s="139" t="str">
        <f>IFERROR(__xludf.DUMMYFUNCTION("""COMPUTED_VALUE"""),"Appearance")</f>
        <v>Appearance</v>
      </c>
      <c r="G2673" s="139"/>
      <c r="H2673" s="139"/>
      <c r="I2673" s="139">
        <f>IFERROR(__xludf.DUMMYFUNCTION("""COMPUTED_VALUE"""),50.0)</f>
        <v>50</v>
      </c>
      <c r="J2673" s="139">
        <f>IFERROR(__xludf.DUMMYFUNCTION("""COMPUTED_VALUE"""),0.0)</f>
        <v>0</v>
      </c>
      <c r="K2673" s="139">
        <f>IFERROR(__xludf.DUMMYFUNCTION("""COMPUTED_VALUE"""),0.0)</f>
        <v>0</v>
      </c>
      <c r="L2673" s="139"/>
      <c r="M2673" s="139"/>
      <c r="N2673" s="139"/>
    </row>
    <row r="2674">
      <c r="A2674" s="139" t="str">
        <f>IFERROR(__xludf.DUMMYFUNCTION("""COMPUTED_VALUE"""),"e")</f>
        <v>e</v>
      </c>
      <c r="B2674" s="139">
        <f>IFERROR(__xludf.DUMMYFUNCTION("""COMPUTED_VALUE"""),2.0260101E8)</f>
        <v>202601010</v>
      </c>
      <c r="C2674" s="139" t="str">
        <f>IFERROR(__xludf.DUMMYFUNCTION("""COMPUTED_VALUE"""),"c_jig_00101_jig1_charaget01_Boss_Yellow_Special_00002")</f>
        <v>c_jig_00101_jig1_charaget01_Boss_Yellow_Special_00002</v>
      </c>
      <c r="D2674" s="139" t="str">
        <f>IFERROR(__xludf.DUMMYFUNCTION("""COMPUTED_VALUE"""),"c_jig_00101_jig1_charaget01_Boss_Yellow")</f>
        <v>c_jig_00101_jig1_charaget01_Boss_Yellow</v>
      </c>
      <c r="E2674" s="139">
        <f>IFERROR(__xludf.DUMMYFUNCTION("""COMPUTED_VALUE"""),0.0)</f>
        <v>0</v>
      </c>
      <c r="F2674" s="139" t="str">
        <f>IFERROR(__xludf.DUMMYFUNCTION("""COMPUTED_VALUE"""),"Special")</f>
        <v>Special</v>
      </c>
      <c r="G2674" s="139"/>
      <c r="H2674" s="139"/>
      <c r="I2674" s="139">
        <f>IFERROR(__xludf.DUMMYFUNCTION("""COMPUTED_VALUE"""),125.0)</f>
        <v>125</v>
      </c>
      <c r="J2674" s="139">
        <f>IFERROR(__xludf.DUMMYFUNCTION("""COMPUTED_VALUE"""),60.0)</f>
        <v>60</v>
      </c>
      <c r="K2674" s="139">
        <f>IFERROR(__xludf.DUMMYFUNCTION("""COMPUTED_VALUE"""),0.0)</f>
        <v>0</v>
      </c>
      <c r="L2674" s="139"/>
      <c r="M2674" s="139"/>
      <c r="N2674" s="139"/>
    </row>
    <row r="2675">
      <c r="A2675" s="139" t="str">
        <f>IFERROR(__xludf.DUMMYFUNCTION("""COMPUTED_VALUE"""),"e")</f>
        <v>e</v>
      </c>
      <c r="B2675" s="139">
        <f>IFERROR(__xludf.DUMMYFUNCTION("""COMPUTED_VALUE"""),2.0260101E8)</f>
        <v>202601010</v>
      </c>
      <c r="C2675" s="139" t="str">
        <f>IFERROR(__xludf.DUMMYFUNCTION("""COMPUTED_VALUE"""),"e_jig_00501_jig1_charaget01_Boss_Colorless_Normal_00000")</f>
        <v>e_jig_00501_jig1_charaget01_Boss_Colorless_Normal_00000</v>
      </c>
      <c r="D2675" s="139" t="str">
        <f>IFERROR(__xludf.DUMMYFUNCTION("""COMPUTED_VALUE"""),"e_jig_00501_jig1_charaget01_Boss_Colorless")</f>
        <v>e_jig_00501_jig1_charaget01_Boss_Colorless</v>
      </c>
      <c r="E2675" s="139">
        <f>IFERROR(__xludf.DUMMYFUNCTION("""COMPUTED_VALUE"""),0.0)</f>
        <v>0</v>
      </c>
      <c r="F2675" s="139" t="str">
        <f>IFERROR(__xludf.DUMMYFUNCTION("""COMPUTED_VALUE"""),"Normal")</f>
        <v>Normal</v>
      </c>
      <c r="G2675" s="139"/>
      <c r="H2675" s="139"/>
      <c r="I2675" s="139">
        <f>IFERROR(__xludf.DUMMYFUNCTION("""COMPUTED_VALUE"""),72.0)</f>
        <v>72</v>
      </c>
      <c r="J2675" s="139">
        <f>IFERROR(__xludf.DUMMYFUNCTION("""COMPUTED_VALUE"""),33.0)</f>
        <v>33</v>
      </c>
      <c r="K2675" s="139">
        <f>IFERROR(__xludf.DUMMYFUNCTION("""COMPUTED_VALUE"""),100.0)</f>
        <v>100</v>
      </c>
      <c r="L2675" s="139"/>
      <c r="M2675" s="139"/>
      <c r="N2675" s="139"/>
    </row>
    <row r="2676">
      <c r="A2676" s="139" t="str">
        <f>IFERROR(__xludf.DUMMYFUNCTION("""COMPUTED_VALUE"""),"e")</f>
        <v>e</v>
      </c>
      <c r="B2676" s="139">
        <f>IFERROR(__xludf.DUMMYFUNCTION("""COMPUTED_VALUE"""),2.0260101E8)</f>
        <v>202601010</v>
      </c>
      <c r="C2676" s="139" t="str">
        <f>IFERROR(__xludf.DUMMYFUNCTION("""COMPUTED_VALUE"""),"e_jig_00501_jig1_charaget01_Boss_Colorless_Appearance_00001")</f>
        <v>e_jig_00501_jig1_charaget01_Boss_Colorless_Appearance_00001</v>
      </c>
      <c r="D2676" s="139" t="str">
        <f>IFERROR(__xludf.DUMMYFUNCTION("""COMPUTED_VALUE"""),"e_jig_00501_jig1_charaget01_Boss_Colorless")</f>
        <v>e_jig_00501_jig1_charaget01_Boss_Colorless</v>
      </c>
      <c r="E2676" s="139">
        <f>IFERROR(__xludf.DUMMYFUNCTION("""COMPUTED_VALUE"""),0.0)</f>
        <v>0</v>
      </c>
      <c r="F2676" s="139" t="str">
        <f>IFERROR(__xludf.DUMMYFUNCTION("""COMPUTED_VALUE"""),"Appearance")</f>
        <v>Appearance</v>
      </c>
      <c r="G2676" s="139"/>
      <c r="H2676" s="139"/>
      <c r="I2676" s="139">
        <f>IFERROR(__xludf.DUMMYFUNCTION("""COMPUTED_VALUE"""),50.0)</f>
        <v>50</v>
      </c>
      <c r="J2676" s="139">
        <f>IFERROR(__xludf.DUMMYFUNCTION("""COMPUTED_VALUE"""),0.0)</f>
        <v>0</v>
      </c>
      <c r="K2676" s="139">
        <f>IFERROR(__xludf.DUMMYFUNCTION("""COMPUTED_VALUE"""),0.0)</f>
        <v>0</v>
      </c>
      <c r="L2676" s="139"/>
      <c r="M2676" s="139"/>
      <c r="N2676" s="139"/>
    </row>
    <row r="2677">
      <c r="A2677" s="139" t="str">
        <f>IFERROR(__xludf.DUMMYFUNCTION("""COMPUTED_VALUE"""),"e")</f>
        <v>e</v>
      </c>
      <c r="B2677" s="139">
        <f>IFERROR(__xludf.DUMMYFUNCTION("""COMPUTED_VALUE"""),2.0260101E8)</f>
        <v>202601010</v>
      </c>
      <c r="C2677" s="139" t="str">
        <f>IFERROR(__xludf.DUMMYFUNCTION("""COMPUTED_VALUE"""),"c_jig_00001_jig1_charaget01_Boss_Yellow_Normal_00000")</f>
        <v>c_jig_00001_jig1_charaget01_Boss_Yellow_Normal_00000</v>
      </c>
      <c r="D2677" s="139" t="str">
        <f>IFERROR(__xludf.DUMMYFUNCTION("""COMPUTED_VALUE"""),"c_jig_00001_jig1_charaget01_Boss_Yellow")</f>
        <v>c_jig_00001_jig1_charaget01_Boss_Yellow</v>
      </c>
      <c r="E2677" s="139">
        <f>IFERROR(__xludf.DUMMYFUNCTION("""COMPUTED_VALUE"""),0.0)</f>
        <v>0</v>
      </c>
      <c r="F2677" s="139" t="str">
        <f>IFERROR(__xludf.DUMMYFUNCTION("""COMPUTED_VALUE"""),"Normal")</f>
        <v>Normal</v>
      </c>
      <c r="G2677" s="139"/>
      <c r="H2677" s="139"/>
      <c r="I2677" s="139">
        <f>IFERROR(__xludf.DUMMYFUNCTION("""COMPUTED_VALUE"""),59.0)</f>
        <v>59</v>
      </c>
      <c r="J2677" s="139">
        <f>IFERROR(__xludf.DUMMYFUNCTION("""COMPUTED_VALUE"""),10.0)</f>
        <v>10</v>
      </c>
      <c r="K2677" s="139">
        <f>IFERROR(__xludf.DUMMYFUNCTION("""COMPUTED_VALUE"""),75.0)</f>
        <v>75</v>
      </c>
      <c r="L2677" s="139"/>
      <c r="M2677" s="139"/>
      <c r="N2677" s="139"/>
    </row>
    <row r="2678">
      <c r="A2678" s="139" t="str">
        <f>IFERROR(__xludf.DUMMYFUNCTION("""COMPUTED_VALUE"""),"e")</f>
        <v>e</v>
      </c>
      <c r="B2678" s="139">
        <f>IFERROR(__xludf.DUMMYFUNCTION("""COMPUTED_VALUE"""),2.0260101E8)</f>
        <v>202601010</v>
      </c>
      <c r="C2678" s="139" t="str">
        <f>IFERROR(__xludf.DUMMYFUNCTION("""COMPUTED_VALUE"""),"c_jig_00001_jig1_charaget01_Boss_Yellow_Appearance_00001")</f>
        <v>c_jig_00001_jig1_charaget01_Boss_Yellow_Appearance_00001</v>
      </c>
      <c r="D2678" s="139" t="str">
        <f>IFERROR(__xludf.DUMMYFUNCTION("""COMPUTED_VALUE"""),"c_jig_00001_jig1_charaget01_Boss_Yellow")</f>
        <v>c_jig_00001_jig1_charaget01_Boss_Yellow</v>
      </c>
      <c r="E2678" s="139">
        <f>IFERROR(__xludf.DUMMYFUNCTION("""COMPUTED_VALUE"""),0.0)</f>
        <v>0</v>
      </c>
      <c r="F2678" s="139" t="str">
        <f>IFERROR(__xludf.DUMMYFUNCTION("""COMPUTED_VALUE"""),"Appearance")</f>
        <v>Appearance</v>
      </c>
      <c r="G2678" s="139"/>
      <c r="H2678" s="139"/>
      <c r="I2678" s="139">
        <f>IFERROR(__xludf.DUMMYFUNCTION("""COMPUTED_VALUE"""),50.0)</f>
        <v>50</v>
      </c>
      <c r="J2678" s="139">
        <f>IFERROR(__xludf.DUMMYFUNCTION("""COMPUTED_VALUE"""),0.0)</f>
        <v>0</v>
      </c>
      <c r="K2678" s="139">
        <f>IFERROR(__xludf.DUMMYFUNCTION("""COMPUTED_VALUE"""),0.0)</f>
        <v>0</v>
      </c>
      <c r="L2678" s="139"/>
      <c r="M2678" s="139"/>
      <c r="N2678" s="139"/>
    </row>
    <row r="2679">
      <c r="A2679" s="139" t="str">
        <f>IFERROR(__xludf.DUMMYFUNCTION("""COMPUTED_VALUE"""),"e")</f>
        <v>e</v>
      </c>
      <c r="B2679" s="139">
        <f>IFERROR(__xludf.DUMMYFUNCTION("""COMPUTED_VALUE"""),2.0260101E8)</f>
        <v>202601010</v>
      </c>
      <c r="C2679" s="139" t="str">
        <f>IFERROR(__xludf.DUMMYFUNCTION("""COMPUTED_VALUE"""),"c_jig_00001_jig1_charaget01_Boss_Yellow_Special_00002")</f>
        <v>c_jig_00001_jig1_charaget01_Boss_Yellow_Special_00002</v>
      </c>
      <c r="D2679" s="139" t="str">
        <f>IFERROR(__xludf.DUMMYFUNCTION("""COMPUTED_VALUE"""),"c_jig_00001_jig1_charaget01_Boss_Yellow")</f>
        <v>c_jig_00001_jig1_charaget01_Boss_Yellow</v>
      </c>
      <c r="E2679" s="139">
        <f>IFERROR(__xludf.DUMMYFUNCTION("""COMPUTED_VALUE"""),0.0)</f>
        <v>0</v>
      </c>
      <c r="F2679" s="139" t="str">
        <f>IFERROR(__xludf.DUMMYFUNCTION("""COMPUTED_VALUE"""),"Special")</f>
        <v>Special</v>
      </c>
      <c r="G2679" s="139"/>
      <c r="H2679" s="139"/>
      <c r="I2679" s="139">
        <f>IFERROR(__xludf.DUMMYFUNCTION("""COMPUTED_VALUE"""),115.0)</f>
        <v>115</v>
      </c>
      <c r="J2679" s="139">
        <f>IFERROR(__xludf.DUMMYFUNCTION("""COMPUTED_VALUE"""),0.0)</f>
        <v>0</v>
      </c>
      <c r="K2679" s="139">
        <f>IFERROR(__xludf.DUMMYFUNCTION("""COMPUTED_VALUE"""),0.0)</f>
        <v>0</v>
      </c>
      <c r="L2679" s="139"/>
      <c r="M2679" s="139"/>
      <c r="N2679" s="139"/>
    </row>
    <row r="2680">
      <c r="A2680" s="139" t="str">
        <f>IFERROR(__xludf.DUMMYFUNCTION("""COMPUTED_VALUE"""),"e")</f>
        <v>e</v>
      </c>
      <c r="B2680" s="139">
        <f>IFERROR(__xludf.DUMMYFUNCTION("""COMPUTED_VALUE"""),2.0260101E8)</f>
        <v>202601010</v>
      </c>
      <c r="C2680" s="139" t="str">
        <f>IFERROR(__xludf.DUMMYFUNCTION("""COMPUTED_VALUE"""),"c_jig_00301_jig1_charaget01_Boss_Colorless_Normal_00000")</f>
        <v>c_jig_00301_jig1_charaget01_Boss_Colorless_Normal_00000</v>
      </c>
      <c r="D2680" s="139" t="str">
        <f>IFERROR(__xludf.DUMMYFUNCTION("""COMPUTED_VALUE"""),"c_jig_00301_jig1_charaget01_Boss_Colorless")</f>
        <v>c_jig_00301_jig1_charaget01_Boss_Colorless</v>
      </c>
      <c r="E2680" s="139">
        <f>IFERROR(__xludf.DUMMYFUNCTION("""COMPUTED_VALUE"""),0.0)</f>
        <v>0</v>
      </c>
      <c r="F2680" s="139" t="str">
        <f>IFERROR(__xludf.DUMMYFUNCTION("""COMPUTED_VALUE"""),"Normal")</f>
        <v>Normal</v>
      </c>
      <c r="G2680" s="139"/>
      <c r="H2680" s="139"/>
      <c r="I2680" s="139">
        <f>IFERROR(__xludf.DUMMYFUNCTION("""COMPUTED_VALUE"""),90.0)</f>
        <v>90</v>
      </c>
      <c r="J2680" s="139">
        <f>IFERROR(__xludf.DUMMYFUNCTION("""COMPUTED_VALUE"""),25.0)</f>
        <v>25</v>
      </c>
      <c r="K2680" s="139">
        <f>IFERROR(__xludf.DUMMYFUNCTION("""COMPUTED_VALUE"""),75.0)</f>
        <v>75</v>
      </c>
      <c r="L2680" s="139"/>
      <c r="M2680" s="139"/>
      <c r="N2680" s="139"/>
    </row>
    <row r="2681">
      <c r="A2681" s="139" t="str">
        <f>IFERROR(__xludf.DUMMYFUNCTION("""COMPUTED_VALUE"""),"e")</f>
        <v>e</v>
      </c>
      <c r="B2681" s="139">
        <f>IFERROR(__xludf.DUMMYFUNCTION("""COMPUTED_VALUE"""),2.0260101E8)</f>
        <v>202601010</v>
      </c>
      <c r="C2681" s="139" t="str">
        <f>IFERROR(__xludf.DUMMYFUNCTION("""COMPUTED_VALUE"""),"c_jig_00301_jig1_charaget01_Boss_Colorless_Appearance_00001")</f>
        <v>c_jig_00301_jig1_charaget01_Boss_Colorless_Appearance_00001</v>
      </c>
      <c r="D2681" s="139" t="str">
        <f>IFERROR(__xludf.DUMMYFUNCTION("""COMPUTED_VALUE"""),"c_jig_00301_jig1_charaget01_Boss_Colorless")</f>
        <v>c_jig_00301_jig1_charaget01_Boss_Colorless</v>
      </c>
      <c r="E2681" s="139">
        <f>IFERROR(__xludf.DUMMYFUNCTION("""COMPUTED_VALUE"""),0.0)</f>
        <v>0</v>
      </c>
      <c r="F2681" s="139" t="str">
        <f>IFERROR(__xludf.DUMMYFUNCTION("""COMPUTED_VALUE"""),"Appearance")</f>
        <v>Appearance</v>
      </c>
      <c r="G2681" s="139"/>
      <c r="H2681" s="139"/>
      <c r="I2681" s="139">
        <f>IFERROR(__xludf.DUMMYFUNCTION("""COMPUTED_VALUE"""),50.0)</f>
        <v>50</v>
      </c>
      <c r="J2681" s="139">
        <f>IFERROR(__xludf.DUMMYFUNCTION("""COMPUTED_VALUE"""),0.0)</f>
        <v>0</v>
      </c>
      <c r="K2681" s="139">
        <f>IFERROR(__xludf.DUMMYFUNCTION("""COMPUTED_VALUE"""),0.0)</f>
        <v>0</v>
      </c>
      <c r="L2681" s="139"/>
      <c r="M2681" s="139"/>
      <c r="N2681" s="139"/>
    </row>
    <row r="2682">
      <c r="A2682" s="139" t="str">
        <f>IFERROR(__xludf.DUMMYFUNCTION("""COMPUTED_VALUE"""),"e")</f>
        <v>e</v>
      </c>
      <c r="B2682" s="139">
        <f>IFERROR(__xludf.DUMMYFUNCTION("""COMPUTED_VALUE"""),2.0260101E8)</f>
        <v>202601010</v>
      </c>
      <c r="C2682" s="139" t="str">
        <f>IFERROR(__xludf.DUMMYFUNCTION("""COMPUTED_VALUE"""),"c_jig_00301_jig1_charaget01_Boss_Colorless_Special_00002")</f>
        <v>c_jig_00301_jig1_charaget01_Boss_Colorless_Special_00002</v>
      </c>
      <c r="D2682" s="139" t="str">
        <f>IFERROR(__xludf.DUMMYFUNCTION("""COMPUTED_VALUE"""),"c_jig_00301_jig1_charaget01_Boss_Colorless")</f>
        <v>c_jig_00301_jig1_charaget01_Boss_Colorless</v>
      </c>
      <c r="E2682" s="139">
        <f>IFERROR(__xludf.DUMMYFUNCTION("""COMPUTED_VALUE"""),0.0)</f>
        <v>0</v>
      </c>
      <c r="F2682" s="139" t="str">
        <f>IFERROR(__xludf.DUMMYFUNCTION("""COMPUTED_VALUE"""),"Special")</f>
        <v>Special</v>
      </c>
      <c r="G2682" s="139"/>
      <c r="H2682" s="139"/>
      <c r="I2682" s="139">
        <f>IFERROR(__xludf.DUMMYFUNCTION("""COMPUTED_VALUE"""),108.0)</f>
        <v>108</v>
      </c>
      <c r="J2682" s="139">
        <f>IFERROR(__xludf.DUMMYFUNCTION("""COMPUTED_VALUE"""),0.0)</f>
        <v>0</v>
      </c>
      <c r="K2682" s="139">
        <f>IFERROR(__xludf.DUMMYFUNCTION("""COMPUTED_VALUE"""),0.0)</f>
        <v>0</v>
      </c>
      <c r="L2682" s="139"/>
      <c r="M2682" s="139"/>
      <c r="N2682" s="139"/>
    </row>
    <row r="2683">
      <c r="A2683" s="139" t="str">
        <f>IFERROR(__xludf.DUMMYFUNCTION("""COMPUTED_VALUE"""),"e")</f>
        <v>e</v>
      </c>
      <c r="B2683" s="139">
        <f>IFERROR(__xludf.DUMMYFUNCTION("""COMPUTED_VALUE"""),2.0260101E8)</f>
        <v>202601010</v>
      </c>
      <c r="C2683" s="139" t="str">
        <f>IFERROR(__xludf.DUMMYFUNCTION("""COMPUTED_VALUE"""),"e_jig_00601_jig1_charaget01_Boss_Colorless_Normal_00000")</f>
        <v>e_jig_00601_jig1_charaget01_Boss_Colorless_Normal_00000</v>
      </c>
      <c r="D2683" s="139" t="str">
        <f>IFERROR(__xludf.DUMMYFUNCTION("""COMPUTED_VALUE"""),"e_jig_00601_jig1_charaget01_Boss_Colorless")</f>
        <v>e_jig_00601_jig1_charaget01_Boss_Colorless</v>
      </c>
      <c r="E2683" s="139">
        <f>IFERROR(__xludf.DUMMYFUNCTION("""COMPUTED_VALUE"""),0.0)</f>
        <v>0</v>
      </c>
      <c r="F2683" s="139" t="str">
        <f>IFERROR(__xludf.DUMMYFUNCTION("""COMPUTED_VALUE"""),"Normal")</f>
        <v>Normal</v>
      </c>
      <c r="G2683" s="139"/>
      <c r="H2683" s="139"/>
      <c r="I2683" s="139">
        <f>IFERROR(__xludf.DUMMYFUNCTION("""COMPUTED_VALUE"""),75.0)</f>
        <v>75</v>
      </c>
      <c r="J2683" s="139">
        <f>IFERROR(__xludf.DUMMYFUNCTION("""COMPUTED_VALUE"""),38.0)</f>
        <v>38</v>
      </c>
      <c r="K2683" s="139">
        <f>IFERROR(__xludf.DUMMYFUNCTION("""COMPUTED_VALUE"""),50.0)</f>
        <v>50</v>
      </c>
      <c r="L2683" s="139"/>
      <c r="M2683" s="139"/>
      <c r="N2683" s="139"/>
    </row>
    <row r="2684">
      <c r="A2684" s="139" t="str">
        <f>IFERROR(__xludf.DUMMYFUNCTION("""COMPUTED_VALUE"""),"e")</f>
        <v>e</v>
      </c>
      <c r="B2684" s="139">
        <f>IFERROR(__xludf.DUMMYFUNCTION("""COMPUTED_VALUE"""),2.0260101E8)</f>
        <v>202601010</v>
      </c>
      <c r="C2684" s="139" t="str">
        <f>IFERROR(__xludf.DUMMYFUNCTION("""COMPUTED_VALUE"""),"e_jig_00601_jig1_charaget01_Boss_Colorless_Appearance_00001")</f>
        <v>e_jig_00601_jig1_charaget01_Boss_Colorless_Appearance_00001</v>
      </c>
      <c r="D2684" s="139" t="str">
        <f>IFERROR(__xludf.DUMMYFUNCTION("""COMPUTED_VALUE"""),"e_jig_00601_jig1_charaget01_Boss_Colorless")</f>
        <v>e_jig_00601_jig1_charaget01_Boss_Colorless</v>
      </c>
      <c r="E2684" s="139">
        <f>IFERROR(__xludf.DUMMYFUNCTION("""COMPUTED_VALUE"""),0.0)</f>
        <v>0</v>
      </c>
      <c r="F2684" s="139" t="str">
        <f>IFERROR(__xludf.DUMMYFUNCTION("""COMPUTED_VALUE"""),"Appearance")</f>
        <v>Appearance</v>
      </c>
      <c r="G2684" s="139"/>
      <c r="H2684" s="139"/>
      <c r="I2684" s="139">
        <f>IFERROR(__xludf.DUMMYFUNCTION("""COMPUTED_VALUE"""),50.0)</f>
        <v>50</v>
      </c>
      <c r="J2684" s="139">
        <f>IFERROR(__xludf.DUMMYFUNCTION("""COMPUTED_VALUE"""),0.0)</f>
        <v>0</v>
      </c>
      <c r="K2684" s="139">
        <f>IFERROR(__xludf.DUMMYFUNCTION("""COMPUTED_VALUE"""),0.0)</f>
        <v>0</v>
      </c>
      <c r="L2684" s="139"/>
      <c r="M2684" s="139"/>
      <c r="N2684" s="139"/>
    </row>
    <row r="2685">
      <c r="A2685" s="139" t="str">
        <f>IFERROR(__xludf.DUMMYFUNCTION("""COMPUTED_VALUE"""),"e")</f>
        <v>e</v>
      </c>
      <c r="B2685" s="139">
        <f>IFERROR(__xludf.DUMMYFUNCTION("""COMPUTED_VALUE"""),2.0260101E8)</f>
        <v>202601010</v>
      </c>
      <c r="C2685" s="139" t="str">
        <f>IFERROR(__xludf.DUMMYFUNCTION("""COMPUTED_VALUE"""),"e_jig_00501_jig1_challenge_Boss_Colorless_Normal_00000")</f>
        <v>e_jig_00501_jig1_challenge_Boss_Colorless_Normal_00000</v>
      </c>
      <c r="D2685" s="139" t="str">
        <f>IFERROR(__xludf.DUMMYFUNCTION("""COMPUTED_VALUE"""),"e_jig_00501_jig1_challenge_Boss_Colorless")</f>
        <v>e_jig_00501_jig1_challenge_Boss_Colorless</v>
      </c>
      <c r="E2685" s="139">
        <f>IFERROR(__xludf.DUMMYFUNCTION("""COMPUTED_VALUE"""),0.0)</f>
        <v>0</v>
      </c>
      <c r="F2685" s="139" t="str">
        <f>IFERROR(__xludf.DUMMYFUNCTION("""COMPUTED_VALUE"""),"Normal")</f>
        <v>Normal</v>
      </c>
      <c r="G2685" s="139"/>
      <c r="H2685" s="139"/>
      <c r="I2685" s="139">
        <f>IFERROR(__xludf.DUMMYFUNCTION("""COMPUTED_VALUE"""),72.0)</f>
        <v>72</v>
      </c>
      <c r="J2685" s="139">
        <f>IFERROR(__xludf.DUMMYFUNCTION("""COMPUTED_VALUE"""),33.0)</f>
        <v>33</v>
      </c>
      <c r="K2685" s="139">
        <f>IFERROR(__xludf.DUMMYFUNCTION("""COMPUTED_VALUE"""),75.0)</f>
        <v>75</v>
      </c>
      <c r="L2685" s="139"/>
      <c r="M2685" s="139"/>
      <c r="N2685" s="139"/>
    </row>
    <row r="2686">
      <c r="A2686" s="139" t="str">
        <f>IFERROR(__xludf.DUMMYFUNCTION("""COMPUTED_VALUE"""),"e")</f>
        <v>e</v>
      </c>
      <c r="B2686" s="139">
        <f>IFERROR(__xludf.DUMMYFUNCTION("""COMPUTED_VALUE"""),2.0260101E8)</f>
        <v>202601010</v>
      </c>
      <c r="C2686" s="139" t="str">
        <f>IFERROR(__xludf.DUMMYFUNCTION("""COMPUTED_VALUE"""),"e_jig_00501_jig1_challenge_Boss_Colorless_Appearance_00001")</f>
        <v>e_jig_00501_jig1_challenge_Boss_Colorless_Appearance_00001</v>
      </c>
      <c r="D2686" s="139" t="str">
        <f>IFERROR(__xludf.DUMMYFUNCTION("""COMPUTED_VALUE"""),"e_jig_00501_jig1_challenge_Boss_Colorless")</f>
        <v>e_jig_00501_jig1_challenge_Boss_Colorless</v>
      </c>
      <c r="E2686" s="139">
        <f>IFERROR(__xludf.DUMMYFUNCTION("""COMPUTED_VALUE"""),0.0)</f>
        <v>0</v>
      </c>
      <c r="F2686" s="139" t="str">
        <f>IFERROR(__xludf.DUMMYFUNCTION("""COMPUTED_VALUE"""),"Appearance")</f>
        <v>Appearance</v>
      </c>
      <c r="G2686" s="139"/>
      <c r="H2686" s="139"/>
      <c r="I2686" s="139">
        <f>IFERROR(__xludf.DUMMYFUNCTION("""COMPUTED_VALUE"""),50.0)</f>
        <v>50</v>
      </c>
      <c r="J2686" s="139">
        <f>IFERROR(__xludf.DUMMYFUNCTION("""COMPUTED_VALUE"""),0.0)</f>
        <v>0</v>
      </c>
      <c r="K2686" s="139">
        <f>IFERROR(__xludf.DUMMYFUNCTION("""COMPUTED_VALUE"""),0.0)</f>
        <v>0</v>
      </c>
      <c r="L2686" s="139"/>
      <c r="M2686" s="139"/>
      <c r="N2686" s="139"/>
    </row>
    <row r="2687">
      <c r="A2687" s="139" t="str">
        <f>IFERROR(__xludf.DUMMYFUNCTION("""COMPUTED_VALUE"""),"e")</f>
        <v>e</v>
      </c>
      <c r="B2687" s="139">
        <f>IFERROR(__xludf.DUMMYFUNCTION("""COMPUTED_VALUE"""),2.0260101E8)</f>
        <v>202601010</v>
      </c>
      <c r="C2687" s="139" t="str">
        <f>IFERROR(__xludf.DUMMYFUNCTION("""COMPUTED_VALUE"""),"c_jig_00201_jig1_challenge_Boss_Green_Normal_00000")</f>
        <v>c_jig_00201_jig1_challenge_Boss_Green_Normal_00000</v>
      </c>
      <c r="D2687" s="139" t="str">
        <f>IFERROR(__xludf.DUMMYFUNCTION("""COMPUTED_VALUE"""),"c_jig_00201_jig1_challenge_Boss_Green")</f>
        <v>c_jig_00201_jig1_challenge_Boss_Green</v>
      </c>
      <c r="E2687" s="139">
        <f>IFERROR(__xludf.DUMMYFUNCTION("""COMPUTED_VALUE"""),0.0)</f>
        <v>0</v>
      </c>
      <c r="F2687" s="139" t="str">
        <f>IFERROR(__xludf.DUMMYFUNCTION("""COMPUTED_VALUE"""),"Normal")</f>
        <v>Normal</v>
      </c>
      <c r="G2687" s="139"/>
      <c r="H2687" s="139"/>
      <c r="I2687" s="139">
        <f>IFERROR(__xludf.DUMMYFUNCTION("""COMPUTED_VALUE"""),84.0)</f>
        <v>84</v>
      </c>
      <c r="J2687" s="139">
        <f>IFERROR(__xludf.DUMMYFUNCTION("""COMPUTED_VALUE"""),50.0)</f>
        <v>50</v>
      </c>
      <c r="K2687" s="139">
        <f>IFERROR(__xludf.DUMMYFUNCTION("""COMPUTED_VALUE"""),75.0)</f>
        <v>75</v>
      </c>
      <c r="L2687" s="139"/>
      <c r="M2687" s="139"/>
      <c r="N2687" s="139"/>
    </row>
    <row r="2688">
      <c r="A2688" s="139" t="str">
        <f>IFERROR(__xludf.DUMMYFUNCTION("""COMPUTED_VALUE"""),"e")</f>
        <v>e</v>
      </c>
      <c r="B2688" s="139">
        <f>IFERROR(__xludf.DUMMYFUNCTION("""COMPUTED_VALUE"""),2.0260101E8)</f>
        <v>202601010</v>
      </c>
      <c r="C2688" s="139" t="str">
        <f>IFERROR(__xludf.DUMMYFUNCTION("""COMPUTED_VALUE"""),"c_jig_00201_jig1_challenge_Boss_Green_Appearance_00001")</f>
        <v>c_jig_00201_jig1_challenge_Boss_Green_Appearance_00001</v>
      </c>
      <c r="D2688" s="139" t="str">
        <f>IFERROR(__xludf.DUMMYFUNCTION("""COMPUTED_VALUE"""),"c_jig_00201_jig1_challenge_Boss_Green")</f>
        <v>c_jig_00201_jig1_challenge_Boss_Green</v>
      </c>
      <c r="E2688" s="139">
        <f>IFERROR(__xludf.DUMMYFUNCTION("""COMPUTED_VALUE"""),0.0)</f>
        <v>0</v>
      </c>
      <c r="F2688" s="139" t="str">
        <f>IFERROR(__xludf.DUMMYFUNCTION("""COMPUTED_VALUE"""),"Appearance")</f>
        <v>Appearance</v>
      </c>
      <c r="G2688" s="139"/>
      <c r="H2688" s="139"/>
      <c r="I2688" s="139">
        <f>IFERROR(__xludf.DUMMYFUNCTION("""COMPUTED_VALUE"""),50.0)</f>
        <v>50</v>
      </c>
      <c r="J2688" s="139">
        <f>IFERROR(__xludf.DUMMYFUNCTION("""COMPUTED_VALUE"""),0.0)</f>
        <v>0</v>
      </c>
      <c r="K2688" s="139">
        <f>IFERROR(__xludf.DUMMYFUNCTION("""COMPUTED_VALUE"""),0.0)</f>
        <v>0</v>
      </c>
      <c r="L2688" s="139"/>
      <c r="M2688" s="139"/>
      <c r="N2688" s="139"/>
    </row>
    <row r="2689">
      <c r="A2689" s="139" t="str">
        <f>IFERROR(__xludf.DUMMYFUNCTION("""COMPUTED_VALUE"""),"e")</f>
        <v>e</v>
      </c>
      <c r="B2689" s="139">
        <f>IFERROR(__xludf.DUMMYFUNCTION("""COMPUTED_VALUE"""),2.0260101E8)</f>
        <v>202601010</v>
      </c>
      <c r="C2689" s="139" t="str">
        <f>IFERROR(__xludf.DUMMYFUNCTION("""COMPUTED_VALUE"""),"c_jig_00201_jig1_challenge_Boss_Green_Special_00002")</f>
        <v>c_jig_00201_jig1_challenge_Boss_Green_Special_00002</v>
      </c>
      <c r="D2689" s="139" t="str">
        <f>IFERROR(__xludf.DUMMYFUNCTION("""COMPUTED_VALUE"""),"c_jig_00201_jig1_challenge_Boss_Green")</f>
        <v>c_jig_00201_jig1_challenge_Boss_Green</v>
      </c>
      <c r="E2689" s="139">
        <f>IFERROR(__xludf.DUMMYFUNCTION("""COMPUTED_VALUE"""),0.0)</f>
        <v>0</v>
      </c>
      <c r="F2689" s="139" t="str">
        <f>IFERROR(__xludf.DUMMYFUNCTION("""COMPUTED_VALUE"""),"Special")</f>
        <v>Special</v>
      </c>
      <c r="G2689" s="139"/>
      <c r="H2689" s="139"/>
      <c r="I2689" s="139">
        <f>IFERROR(__xludf.DUMMYFUNCTION("""COMPUTED_VALUE"""),128.0)</f>
        <v>128</v>
      </c>
      <c r="J2689" s="139">
        <f>IFERROR(__xludf.DUMMYFUNCTION("""COMPUTED_VALUE"""),83.0)</f>
        <v>83</v>
      </c>
      <c r="K2689" s="139">
        <f>IFERROR(__xludf.DUMMYFUNCTION("""COMPUTED_VALUE"""),0.0)</f>
        <v>0</v>
      </c>
      <c r="L2689" s="139"/>
      <c r="M2689" s="139"/>
      <c r="N2689" s="139"/>
    </row>
    <row r="2690">
      <c r="A2690" s="139" t="str">
        <f>IFERROR(__xludf.DUMMYFUNCTION("""COMPUTED_VALUE"""),"e")</f>
        <v>e</v>
      </c>
      <c r="B2690" s="139">
        <f>IFERROR(__xludf.DUMMYFUNCTION("""COMPUTED_VALUE"""),2.0260101E8)</f>
        <v>202601010</v>
      </c>
      <c r="C2690" s="139" t="str">
        <f>IFERROR(__xludf.DUMMYFUNCTION("""COMPUTED_VALUE"""),"c_jig_00301_jig1_challenge_Boss_Green_Normal_00000")</f>
        <v>c_jig_00301_jig1_challenge_Boss_Green_Normal_00000</v>
      </c>
      <c r="D2690" s="139" t="str">
        <f>IFERROR(__xludf.DUMMYFUNCTION("""COMPUTED_VALUE"""),"c_jig_00301_jig1_challenge_Boss_Green")</f>
        <v>c_jig_00301_jig1_challenge_Boss_Green</v>
      </c>
      <c r="E2690" s="139">
        <f>IFERROR(__xludf.DUMMYFUNCTION("""COMPUTED_VALUE"""),0.0)</f>
        <v>0</v>
      </c>
      <c r="F2690" s="139" t="str">
        <f>IFERROR(__xludf.DUMMYFUNCTION("""COMPUTED_VALUE"""),"Normal")</f>
        <v>Normal</v>
      </c>
      <c r="G2690" s="139"/>
      <c r="H2690" s="139"/>
      <c r="I2690" s="139">
        <f>IFERROR(__xludf.DUMMYFUNCTION("""COMPUTED_VALUE"""),90.0)</f>
        <v>90</v>
      </c>
      <c r="J2690" s="139">
        <f>IFERROR(__xludf.DUMMYFUNCTION("""COMPUTED_VALUE"""),25.0)</f>
        <v>25</v>
      </c>
      <c r="K2690" s="139">
        <f>IFERROR(__xludf.DUMMYFUNCTION("""COMPUTED_VALUE"""),75.0)</f>
        <v>75</v>
      </c>
      <c r="L2690" s="139"/>
      <c r="M2690" s="139"/>
      <c r="N2690" s="139"/>
    </row>
    <row r="2691">
      <c r="A2691" s="139" t="str">
        <f>IFERROR(__xludf.DUMMYFUNCTION("""COMPUTED_VALUE"""),"e")</f>
        <v>e</v>
      </c>
      <c r="B2691" s="139">
        <f>IFERROR(__xludf.DUMMYFUNCTION("""COMPUTED_VALUE"""),2.0260101E8)</f>
        <v>202601010</v>
      </c>
      <c r="C2691" s="139" t="str">
        <f>IFERROR(__xludf.DUMMYFUNCTION("""COMPUTED_VALUE"""),"c_jig_00301_jig1_challenge_Boss_Green_Appearance_00001")</f>
        <v>c_jig_00301_jig1_challenge_Boss_Green_Appearance_00001</v>
      </c>
      <c r="D2691" s="139" t="str">
        <f>IFERROR(__xludf.DUMMYFUNCTION("""COMPUTED_VALUE"""),"c_jig_00301_jig1_challenge_Boss_Green")</f>
        <v>c_jig_00301_jig1_challenge_Boss_Green</v>
      </c>
      <c r="E2691" s="139">
        <f>IFERROR(__xludf.DUMMYFUNCTION("""COMPUTED_VALUE"""),0.0)</f>
        <v>0</v>
      </c>
      <c r="F2691" s="139" t="str">
        <f>IFERROR(__xludf.DUMMYFUNCTION("""COMPUTED_VALUE"""),"Appearance")</f>
        <v>Appearance</v>
      </c>
      <c r="G2691" s="139"/>
      <c r="H2691" s="139"/>
      <c r="I2691" s="139">
        <f>IFERROR(__xludf.DUMMYFUNCTION("""COMPUTED_VALUE"""),50.0)</f>
        <v>50</v>
      </c>
      <c r="J2691" s="139">
        <f>IFERROR(__xludf.DUMMYFUNCTION("""COMPUTED_VALUE"""),0.0)</f>
        <v>0</v>
      </c>
      <c r="K2691" s="139">
        <f>IFERROR(__xludf.DUMMYFUNCTION("""COMPUTED_VALUE"""),0.0)</f>
        <v>0</v>
      </c>
      <c r="L2691" s="139"/>
      <c r="M2691" s="139"/>
      <c r="N2691" s="139"/>
    </row>
    <row r="2692">
      <c r="A2692" s="139" t="str">
        <f>IFERROR(__xludf.DUMMYFUNCTION("""COMPUTED_VALUE"""),"e")</f>
        <v>e</v>
      </c>
      <c r="B2692" s="139">
        <f>IFERROR(__xludf.DUMMYFUNCTION("""COMPUTED_VALUE"""),2.0260101E8)</f>
        <v>202601010</v>
      </c>
      <c r="C2692" s="139" t="str">
        <f>IFERROR(__xludf.DUMMYFUNCTION("""COMPUTED_VALUE"""),"c_jig_00301_jig1_challenge_Boss_Green_Special_00002")</f>
        <v>c_jig_00301_jig1_challenge_Boss_Green_Special_00002</v>
      </c>
      <c r="D2692" s="139" t="str">
        <f>IFERROR(__xludf.DUMMYFUNCTION("""COMPUTED_VALUE"""),"c_jig_00301_jig1_challenge_Boss_Green")</f>
        <v>c_jig_00301_jig1_challenge_Boss_Green</v>
      </c>
      <c r="E2692" s="139">
        <f>IFERROR(__xludf.DUMMYFUNCTION("""COMPUTED_VALUE"""),0.0)</f>
        <v>0</v>
      </c>
      <c r="F2692" s="139" t="str">
        <f>IFERROR(__xludf.DUMMYFUNCTION("""COMPUTED_VALUE"""),"Special")</f>
        <v>Special</v>
      </c>
      <c r="G2692" s="139"/>
      <c r="H2692" s="139"/>
      <c r="I2692" s="139">
        <f>IFERROR(__xludf.DUMMYFUNCTION("""COMPUTED_VALUE"""),108.0)</f>
        <v>108</v>
      </c>
      <c r="J2692" s="139">
        <f>IFERROR(__xludf.DUMMYFUNCTION("""COMPUTED_VALUE"""),0.0)</f>
        <v>0</v>
      </c>
      <c r="K2692" s="139">
        <f>IFERROR(__xludf.DUMMYFUNCTION("""COMPUTED_VALUE"""),0.0)</f>
        <v>0</v>
      </c>
      <c r="L2692" s="139"/>
      <c r="M2692" s="139"/>
      <c r="N2692" s="139"/>
    </row>
    <row r="2693">
      <c r="A2693" s="139" t="str">
        <f>IFERROR(__xludf.DUMMYFUNCTION("""COMPUTED_VALUE"""),"e")</f>
        <v>e</v>
      </c>
      <c r="B2693" s="139">
        <f>IFERROR(__xludf.DUMMYFUNCTION("""COMPUTED_VALUE"""),2.0260101E8)</f>
        <v>202601010</v>
      </c>
      <c r="C2693" s="139" t="str">
        <f>IFERROR(__xludf.DUMMYFUNCTION("""COMPUTED_VALUE"""),"c_jig_00401_jig1_challenge_Boss_Colorless_Normal_00000")</f>
        <v>c_jig_00401_jig1_challenge_Boss_Colorless_Normal_00000</v>
      </c>
      <c r="D2693" s="139" t="str">
        <f>IFERROR(__xludf.DUMMYFUNCTION("""COMPUTED_VALUE"""),"c_jig_00401_jig1_challenge_Boss_Colorless")</f>
        <v>c_jig_00401_jig1_challenge_Boss_Colorless</v>
      </c>
      <c r="E2693" s="139">
        <f>IFERROR(__xludf.DUMMYFUNCTION("""COMPUTED_VALUE"""),0.0)</f>
        <v>0</v>
      </c>
      <c r="F2693" s="139" t="str">
        <f>IFERROR(__xludf.DUMMYFUNCTION("""COMPUTED_VALUE"""),"Normal")</f>
        <v>Normal</v>
      </c>
      <c r="G2693" s="139"/>
      <c r="H2693" s="139"/>
      <c r="I2693" s="139">
        <f>IFERROR(__xludf.DUMMYFUNCTION("""COMPUTED_VALUE"""),83.0)</f>
        <v>83</v>
      </c>
      <c r="J2693" s="139">
        <f>IFERROR(__xludf.DUMMYFUNCTION("""COMPUTED_VALUE"""),25.0)</f>
        <v>25</v>
      </c>
      <c r="K2693" s="139">
        <f>IFERROR(__xludf.DUMMYFUNCTION("""COMPUTED_VALUE"""),50.0)</f>
        <v>50</v>
      </c>
      <c r="L2693" s="139"/>
      <c r="M2693" s="139"/>
      <c r="N2693" s="139"/>
    </row>
    <row r="2694">
      <c r="A2694" s="139" t="str">
        <f>IFERROR(__xludf.DUMMYFUNCTION("""COMPUTED_VALUE"""),"e")</f>
        <v>e</v>
      </c>
      <c r="B2694" s="139">
        <f>IFERROR(__xludf.DUMMYFUNCTION("""COMPUTED_VALUE"""),2.0260101E8)</f>
        <v>202601010</v>
      </c>
      <c r="C2694" s="139" t="str">
        <f>IFERROR(__xludf.DUMMYFUNCTION("""COMPUTED_VALUE"""),"c_jig_00401_jig1_challenge_Boss_Colorless_Appearance_00001")</f>
        <v>c_jig_00401_jig1_challenge_Boss_Colorless_Appearance_00001</v>
      </c>
      <c r="D2694" s="139" t="str">
        <f>IFERROR(__xludf.DUMMYFUNCTION("""COMPUTED_VALUE"""),"c_jig_00401_jig1_challenge_Boss_Colorless")</f>
        <v>c_jig_00401_jig1_challenge_Boss_Colorless</v>
      </c>
      <c r="E2694" s="139">
        <f>IFERROR(__xludf.DUMMYFUNCTION("""COMPUTED_VALUE"""),0.0)</f>
        <v>0</v>
      </c>
      <c r="F2694" s="139" t="str">
        <f>IFERROR(__xludf.DUMMYFUNCTION("""COMPUTED_VALUE"""),"Appearance")</f>
        <v>Appearance</v>
      </c>
      <c r="G2694" s="139"/>
      <c r="H2694" s="139"/>
      <c r="I2694" s="139">
        <f>IFERROR(__xludf.DUMMYFUNCTION("""COMPUTED_VALUE"""),50.0)</f>
        <v>50</v>
      </c>
      <c r="J2694" s="139">
        <f>IFERROR(__xludf.DUMMYFUNCTION("""COMPUTED_VALUE"""),0.0)</f>
        <v>0</v>
      </c>
      <c r="K2694" s="139">
        <f>IFERROR(__xludf.DUMMYFUNCTION("""COMPUTED_VALUE"""),0.0)</f>
        <v>0</v>
      </c>
      <c r="L2694" s="139"/>
      <c r="M2694" s="139"/>
      <c r="N2694" s="139"/>
    </row>
    <row r="2695">
      <c r="A2695" s="139" t="str">
        <f>IFERROR(__xludf.DUMMYFUNCTION("""COMPUTED_VALUE"""),"e")</f>
        <v>e</v>
      </c>
      <c r="B2695" s="139">
        <f>IFERROR(__xludf.DUMMYFUNCTION("""COMPUTED_VALUE"""),2.0260101E8)</f>
        <v>202601010</v>
      </c>
      <c r="C2695" s="139" t="str">
        <f>IFERROR(__xludf.DUMMYFUNCTION("""COMPUTED_VALUE"""),"c_jig_00401_jig1_challenge_Boss_Colorless_Special_00002")</f>
        <v>c_jig_00401_jig1_challenge_Boss_Colorless_Special_00002</v>
      </c>
      <c r="D2695" s="139" t="str">
        <f>IFERROR(__xludf.DUMMYFUNCTION("""COMPUTED_VALUE"""),"c_jig_00401_jig1_challenge_Boss_Colorless")</f>
        <v>c_jig_00401_jig1_challenge_Boss_Colorless</v>
      </c>
      <c r="E2695" s="139">
        <f>IFERROR(__xludf.DUMMYFUNCTION("""COMPUTED_VALUE"""),0.0)</f>
        <v>0</v>
      </c>
      <c r="F2695" s="139" t="str">
        <f>IFERROR(__xludf.DUMMYFUNCTION("""COMPUTED_VALUE"""),"Special")</f>
        <v>Special</v>
      </c>
      <c r="G2695" s="139"/>
      <c r="H2695" s="139"/>
      <c r="I2695" s="139">
        <f>IFERROR(__xludf.DUMMYFUNCTION("""COMPUTED_VALUE"""),134.0)</f>
        <v>134</v>
      </c>
      <c r="J2695" s="139">
        <f>IFERROR(__xludf.DUMMYFUNCTION("""COMPUTED_VALUE"""),0.0)</f>
        <v>0</v>
      </c>
      <c r="K2695" s="139">
        <f>IFERROR(__xludf.DUMMYFUNCTION("""COMPUTED_VALUE"""),0.0)</f>
        <v>0</v>
      </c>
      <c r="L2695" s="139"/>
      <c r="M2695" s="139"/>
      <c r="N2695" s="139"/>
    </row>
    <row r="2696">
      <c r="A2696" s="139" t="str">
        <f>IFERROR(__xludf.DUMMYFUNCTION("""COMPUTED_VALUE"""),"e")</f>
        <v>e</v>
      </c>
      <c r="B2696" s="139">
        <f>IFERROR(__xludf.DUMMYFUNCTION("""COMPUTED_VALUE"""),2.0260101E8)</f>
        <v>202601010</v>
      </c>
      <c r="C2696" s="139" t="str">
        <f>IFERROR(__xludf.DUMMYFUNCTION("""COMPUTED_VALUE"""),"c_jig_00501_jig1_challenge_Boss_Green_Normal_00000")</f>
        <v>c_jig_00501_jig1_challenge_Boss_Green_Normal_00000</v>
      </c>
      <c r="D2696" s="139" t="str">
        <f>IFERROR(__xludf.DUMMYFUNCTION("""COMPUTED_VALUE"""),"c_jig_00501_jig1_challenge_Boss_Green")</f>
        <v>c_jig_00501_jig1_challenge_Boss_Green</v>
      </c>
      <c r="E2696" s="139">
        <f>IFERROR(__xludf.DUMMYFUNCTION("""COMPUTED_VALUE"""),0.0)</f>
        <v>0</v>
      </c>
      <c r="F2696" s="139" t="str">
        <f>IFERROR(__xludf.DUMMYFUNCTION("""COMPUTED_VALUE"""),"Normal")</f>
        <v>Normal</v>
      </c>
      <c r="G2696" s="139"/>
      <c r="H2696" s="139"/>
      <c r="I2696" s="139">
        <f>IFERROR(__xludf.DUMMYFUNCTION("""COMPUTED_VALUE"""),83.0)</f>
        <v>83</v>
      </c>
      <c r="J2696" s="139">
        <f>IFERROR(__xludf.DUMMYFUNCTION("""COMPUTED_VALUE"""),20.0)</f>
        <v>20</v>
      </c>
      <c r="K2696" s="139">
        <f>IFERROR(__xludf.DUMMYFUNCTION("""COMPUTED_VALUE"""),75.0)</f>
        <v>75</v>
      </c>
      <c r="L2696" s="139"/>
      <c r="M2696" s="139"/>
      <c r="N2696" s="139"/>
    </row>
    <row r="2697">
      <c r="A2697" s="139" t="str">
        <f>IFERROR(__xludf.DUMMYFUNCTION("""COMPUTED_VALUE"""),"e")</f>
        <v>e</v>
      </c>
      <c r="B2697" s="139">
        <f>IFERROR(__xludf.DUMMYFUNCTION("""COMPUTED_VALUE"""),2.0260101E8)</f>
        <v>202601010</v>
      </c>
      <c r="C2697" s="139" t="str">
        <f>IFERROR(__xludf.DUMMYFUNCTION("""COMPUTED_VALUE"""),"c_jig_00501_jig1_challenge_Boss_Green_Appearance_00001")</f>
        <v>c_jig_00501_jig1_challenge_Boss_Green_Appearance_00001</v>
      </c>
      <c r="D2697" s="139" t="str">
        <f>IFERROR(__xludf.DUMMYFUNCTION("""COMPUTED_VALUE"""),"c_jig_00501_jig1_challenge_Boss_Green")</f>
        <v>c_jig_00501_jig1_challenge_Boss_Green</v>
      </c>
      <c r="E2697" s="139">
        <f>IFERROR(__xludf.DUMMYFUNCTION("""COMPUTED_VALUE"""),0.0)</f>
        <v>0</v>
      </c>
      <c r="F2697" s="139" t="str">
        <f>IFERROR(__xludf.DUMMYFUNCTION("""COMPUTED_VALUE"""),"Appearance")</f>
        <v>Appearance</v>
      </c>
      <c r="G2697" s="139"/>
      <c r="H2697" s="139"/>
      <c r="I2697" s="139">
        <f>IFERROR(__xludf.DUMMYFUNCTION("""COMPUTED_VALUE"""),50.0)</f>
        <v>50</v>
      </c>
      <c r="J2697" s="139">
        <f>IFERROR(__xludf.DUMMYFUNCTION("""COMPUTED_VALUE"""),0.0)</f>
        <v>0</v>
      </c>
      <c r="K2697" s="139">
        <f>IFERROR(__xludf.DUMMYFUNCTION("""COMPUTED_VALUE"""),0.0)</f>
        <v>0</v>
      </c>
      <c r="L2697" s="139"/>
      <c r="M2697" s="139"/>
      <c r="N2697" s="139"/>
    </row>
    <row r="2698">
      <c r="A2698" s="139" t="str">
        <f>IFERROR(__xludf.DUMMYFUNCTION("""COMPUTED_VALUE"""),"e")</f>
        <v>e</v>
      </c>
      <c r="B2698" s="139">
        <f>IFERROR(__xludf.DUMMYFUNCTION("""COMPUTED_VALUE"""),2.0260101E8)</f>
        <v>202601010</v>
      </c>
      <c r="C2698" s="139" t="str">
        <f>IFERROR(__xludf.DUMMYFUNCTION("""COMPUTED_VALUE"""),"c_jig_00501_jig1_challenge_Boss_Green_Special_00002")</f>
        <v>c_jig_00501_jig1_challenge_Boss_Green_Special_00002</v>
      </c>
      <c r="D2698" s="139" t="str">
        <f>IFERROR(__xludf.DUMMYFUNCTION("""COMPUTED_VALUE"""),"c_jig_00501_jig1_challenge_Boss_Green")</f>
        <v>c_jig_00501_jig1_challenge_Boss_Green</v>
      </c>
      <c r="E2698" s="139">
        <f>IFERROR(__xludf.DUMMYFUNCTION("""COMPUTED_VALUE"""),0.0)</f>
        <v>0</v>
      </c>
      <c r="F2698" s="139" t="str">
        <f>IFERROR(__xludf.DUMMYFUNCTION("""COMPUTED_VALUE"""),"Special")</f>
        <v>Special</v>
      </c>
      <c r="G2698" s="139"/>
      <c r="H2698" s="139"/>
      <c r="I2698" s="139">
        <f>IFERROR(__xludf.DUMMYFUNCTION("""COMPUTED_VALUE"""),167.0)</f>
        <v>167</v>
      </c>
      <c r="J2698" s="139">
        <f>IFERROR(__xludf.DUMMYFUNCTION("""COMPUTED_VALUE"""),85.0)</f>
        <v>85</v>
      </c>
      <c r="K2698" s="139">
        <f>IFERROR(__xludf.DUMMYFUNCTION("""COMPUTED_VALUE"""),0.0)</f>
        <v>0</v>
      </c>
      <c r="L2698" s="139"/>
      <c r="M2698" s="139"/>
      <c r="N2698" s="139"/>
    </row>
    <row r="2699">
      <c r="A2699" s="139" t="str">
        <f>IFERROR(__xludf.DUMMYFUNCTION("""COMPUTED_VALUE"""),"e")</f>
        <v>e</v>
      </c>
      <c r="B2699" s="139">
        <f>IFERROR(__xludf.DUMMYFUNCTION("""COMPUTED_VALUE"""),2.0260101E8)</f>
        <v>202601010</v>
      </c>
      <c r="C2699" s="139" t="str">
        <f>IFERROR(__xludf.DUMMYFUNCTION("""COMPUTED_VALUE"""),"c_jig_00001_jig1_challenge_Boss_Red_Normal_00000")</f>
        <v>c_jig_00001_jig1_challenge_Boss_Red_Normal_00000</v>
      </c>
      <c r="D2699" s="139" t="str">
        <f>IFERROR(__xludf.DUMMYFUNCTION("""COMPUTED_VALUE"""),"c_jig_00001_jig1_challenge_Boss_Red")</f>
        <v>c_jig_00001_jig1_challenge_Boss_Red</v>
      </c>
      <c r="E2699" s="139">
        <f>IFERROR(__xludf.DUMMYFUNCTION("""COMPUTED_VALUE"""),0.0)</f>
        <v>0</v>
      </c>
      <c r="F2699" s="139" t="str">
        <f>IFERROR(__xludf.DUMMYFUNCTION("""COMPUTED_VALUE"""),"Normal")</f>
        <v>Normal</v>
      </c>
      <c r="G2699" s="139"/>
      <c r="H2699" s="139"/>
      <c r="I2699" s="139">
        <f>IFERROR(__xludf.DUMMYFUNCTION("""COMPUTED_VALUE"""),59.0)</f>
        <v>59</v>
      </c>
      <c r="J2699" s="139">
        <f>IFERROR(__xludf.DUMMYFUNCTION("""COMPUTED_VALUE"""),10.0)</f>
        <v>10</v>
      </c>
      <c r="K2699" s="139">
        <f>IFERROR(__xludf.DUMMYFUNCTION("""COMPUTED_VALUE"""),75.0)</f>
        <v>75</v>
      </c>
      <c r="L2699" s="139"/>
      <c r="M2699" s="139"/>
      <c r="N2699" s="139"/>
    </row>
    <row r="2700">
      <c r="A2700" s="139" t="str">
        <f>IFERROR(__xludf.DUMMYFUNCTION("""COMPUTED_VALUE"""),"e")</f>
        <v>e</v>
      </c>
      <c r="B2700" s="139">
        <f>IFERROR(__xludf.DUMMYFUNCTION("""COMPUTED_VALUE"""),2.0260101E8)</f>
        <v>202601010</v>
      </c>
      <c r="C2700" s="139" t="str">
        <f>IFERROR(__xludf.DUMMYFUNCTION("""COMPUTED_VALUE"""),"c_jig_00001_jig1_challenge_Boss_Red_Appearance_00001")</f>
        <v>c_jig_00001_jig1_challenge_Boss_Red_Appearance_00001</v>
      </c>
      <c r="D2700" s="139" t="str">
        <f>IFERROR(__xludf.DUMMYFUNCTION("""COMPUTED_VALUE"""),"c_jig_00001_jig1_challenge_Boss_Red")</f>
        <v>c_jig_00001_jig1_challenge_Boss_Red</v>
      </c>
      <c r="E2700" s="139">
        <f>IFERROR(__xludf.DUMMYFUNCTION("""COMPUTED_VALUE"""),0.0)</f>
        <v>0</v>
      </c>
      <c r="F2700" s="139" t="str">
        <f>IFERROR(__xludf.DUMMYFUNCTION("""COMPUTED_VALUE"""),"Appearance")</f>
        <v>Appearance</v>
      </c>
      <c r="G2700" s="139"/>
      <c r="H2700" s="139"/>
      <c r="I2700" s="139">
        <f>IFERROR(__xludf.DUMMYFUNCTION("""COMPUTED_VALUE"""),50.0)</f>
        <v>50</v>
      </c>
      <c r="J2700" s="139">
        <f>IFERROR(__xludf.DUMMYFUNCTION("""COMPUTED_VALUE"""),0.0)</f>
        <v>0</v>
      </c>
      <c r="K2700" s="139">
        <f>IFERROR(__xludf.DUMMYFUNCTION("""COMPUTED_VALUE"""),0.0)</f>
        <v>0</v>
      </c>
      <c r="L2700" s="139"/>
      <c r="M2700" s="139"/>
      <c r="N2700" s="139"/>
    </row>
    <row r="2701">
      <c r="A2701" s="139" t="str">
        <f>IFERROR(__xludf.DUMMYFUNCTION("""COMPUTED_VALUE"""),"e")</f>
        <v>e</v>
      </c>
      <c r="B2701" s="139">
        <f>IFERROR(__xludf.DUMMYFUNCTION("""COMPUTED_VALUE"""),2.0260101E8)</f>
        <v>202601010</v>
      </c>
      <c r="C2701" s="139" t="str">
        <f>IFERROR(__xludf.DUMMYFUNCTION("""COMPUTED_VALUE"""),"c_jig_00001_jig1_challenge_Boss_Red_Special_00002")</f>
        <v>c_jig_00001_jig1_challenge_Boss_Red_Special_00002</v>
      </c>
      <c r="D2701" s="139" t="str">
        <f>IFERROR(__xludf.DUMMYFUNCTION("""COMPUTED_VALUE"""),"c_jig_00001_jig1_challenge_Boss_Red")</f>
        <v>c_jig_00001_jig1_challenge_Boss_Red</v>
      </c>
      <c r="E2701" s="139">
        <f>IFERROR(__xludf.DUMMYFUNCTION("""COMPUTED_VALUE"""),0.0)</f>
        <v>0</v>
      </c>
      <c r="F2701" s="139" t="str">
        <f>IFERROR(__xludf.DUMMYFUNCTION("""COMPUTED_VALUE"""),"Special")</f>
        <v>Special</v>
      </c>
      <c r="G2701" s="139"/>
      <c r="H2701" s="139"/>
      <c r="I2701" s="139">
        <f>IFERROR(__xludf.DUMMYFUNCTION("""COMPUTED_VALUE"""),115.0)</f>
        <v>115</v>
      </c>
      <c r="J2701" s="139">
        <f>IFERROR(__xludf.DUMMYFUNCTION("""COMPUTED_VALUE"""),0.0)</f>
        <v>0</v>
      </c>
      <c r="K2701" s="139">
        <f>IFERROR(__xludf.DUMMYFUNCTION("""COMPUTED_VALUE"""),0.0)</f>
        <v>0</v>
      </c>
      <c r="L2701" s="139"/>
      <c r="M2701" s="139"/>
      <c r="N2701" s="139"/>
    </row>
    <row r="2702">
      <c r="A2702" s="139" t="str">
        <f>IFERROR(__xludf.DUMMYFUNCTION("""COMPUTED_VALUE"""),"e")</f>
        <v>e</v>
      </c>
      <c r="B2702" s="139">
        <f>IFERROR(__xludf.DUMMYFUNCTION("""COMPUTED_VALUE"""),2.0260101E8)</f>
        <v>202601010</v>
      </c>
      <c r="C2702" s="139" t="str">
        <f>IFERROR(__xludf.DUMMYFUNCTION("""COMPUTED_VALUE"""),"c_jig_00101_jig1_challenge_Boss_Red_Normal_00000")</f>
        <v>c_jig_00101_jig1_challenge_Boss_Red_Normal_00000</v>
      </c>
      <c r="D2702" s="139" t="str">
        <f>IFERROR(__xludf.DUMMYFUNCTION("""COMPUTED_VALUE"""),"c_jig_00101_jig1_challenge_Boss_Red")</f>
        <v>c_jig_00101_jig1_challenge_Boss_Red</v>
      </c>
      <c r="E2702" s="139">
        <f>IFERROR(__xludf.DUMMYFUNCTION("""COMPUTED_VALUE"""),0.0)</f>
        <v>0</v>
      </c>
      <c r="F2702" s="139" t="str">
        <f>IFERROR(__xludf.DUMMYFUNCTION("""COMPUTED_VALUE"""),"Normal")</f>
        <v>Normal</v>
      </c>
      <c r="G2702" s="139"/>
      <c r="H2702" s="139"/>
      <c r="I2702" s="139">
        <f>IFERROR(__xludf.DUMMYFUNCTION("""COMPUTED_VALUE"""),75.0)</f>
        <v>75</v>
      </c>
      <c r="J2702" s="139">
        <f>IFERROR(__xludf.DUMMYFUNCTION("""COMPUTED_VALUE"""),25.0)</f>
        <v>25</v>
      </c>
      <c r="K2702" s="139">
        <f>IFERROR(__xludf.DUMMYFUNCTION("""COMPUTED_VALUE"""),75.0)</f>
        <v>75</v>
      </c>
      <c r="L2702" s="139"/>
      <c r="M2702" s="139"/>
      <c r="N2702" s="139"/>
    </row>
    <row r="2703">
      <c r="A2703" s="139" t="str">
        <f>IFERROR(__xludf.DUMMYFUNCTION("""COMPUTED_VALUE"""),"e")</f>
        <v>e</v>
      </c>
      <c r="B2703" s="139">
        <f>IFERROR(__xludf.DUMMYFUNCTION("""COMPUTED_VALUE"""),2.0260101E8)</f>
        <v>202601010</v>
      </c>
      <c r="C2703" s="139" t="str">
        <f>IFERROR(__xludf.DUMMYFUNCTION("""COMPUTED_VALUE"""),"c_jig_00101_jig1_challenge_Boss_Red_Appearance_00001")</f>
        <v>c_jig_00101_jig1_challenge_Boss_Red_Appearance_00001</v>
      </c>
      <c r="D2703" s="139" t="str">
        <f>IFERROR(__xludf.DUMMYFUNCTION("""COMPUTED_VALUE"""),"c_jig_00101_jig1_challenge_Boss_Red")</f>
        <v>c_jig_00101_jig1_challenge_Boss_Red</v>
      </c>
      <c r="E2703" s="139">
        <f>IFERROR(__xludf.DUMMYFUNCTION("""COMPUTED_VALUE"""),0.0)</f>
        <v>0</v>
      </c>
      <c r="F2703" s="139" t="str">
        <f>IFERROR(__xludf.DUMMYFUNCTION("""COMPUTED_VALUE"""),"Appearance")</f>
        <v>Appearance</v>
      </c>
      <c r="G2703" s="139"/>
      <c r="H2703" s="139"/>
      <c r="I2703" s="139">
        <f>IFERROR(__xludf.DUMMYFUNCTION("""COMPUTED_VALUE"""),50.0)</f>
        <v>50</v>
      </c>
      <c r="J2703" s="139">
        <f>IFERROR(__xludf.DUMMYFUNCTION("""COMPUTED_VALUE"""),0.0)</f>
        <v>0</v>
      </c>
      <c r="K2703" s="139">
        <f>IFERROR(__xludf.DUMMYFUNCTION("""COMPUTED_VALUE"""),0.0)</f>
        <v>0</v>
      </c>
      <c r="L2703" s="139"/>
      <c r="M2703" s="139"/>
      <c r="N2703" s="139"/>
    </row>
    <row r="2704">
      <c r="A2704" s="139" t="str">
        <f>IFERROR(__xludf.DUMMYFUNCTION("""COMPUTED_VALUE"""),"e")</f>
        <v>e</v>
      </c>
      <c r="B2704" s="139">
        <f>IFERROR(__xludf.DUMMYFUNCTION("""COMPUTED_VALUE"""),2.0260101E8)</f>
        <v>202601010</v>
      </c>
      <c r="C2704" s="139" t="str">
        <f>IFERROR(__xludf.DUMMYFUNCTION("""COMPUTED_VALUE"""),"c_jig_00101_jig1_challenge_Boss_Red_Special_00002")</f>
        <v>c_jig_00101_jig1_challenge_Boss_Red_Special_00002</v>
      </c>
      <c r="D2704" s="139" t="str">
        <f>IFERROR(__xludf.DUMMYFUNCTION("""COMPUTED_VALUE"""),"c_jig_00101_jig1_challenge_Boss_Red")</f>
        <v>c_jig_00101_jig1_challenge_Boss_Red</v>
      </c>
      <c r="E2704" s="139">
        <f>IFERROR(__xludf.DUMMYFUNCTION("""COMPUTED_VALUE"""),0.0)</f>
        <v>0</v>
      </c>
      <c r="F2704" s="139" t="str">
        <f>IFERROR(__xludf.DUMMYFUNCTION("""COMPUTED_VALUE"""),"Special")</f>
        <v>Special</v>
      </c>
      <c r="G2704" s="139"/>
      <c r="H2704" s="139"/>
      <c r="I2704" s="139">
        <f>IFERROR(__xludf.DUMMYFUNCTION("""COMPUTED_VALUE"""),125.0)</f>
        <v>125</v>
      </c>
      <c r="J2704" s="139">
        <f>IFERROR(__xludf.DUMMYFUNCTION("""COMPUTED_VALUE"""),60.0)</f>
        <v>60</v>
      </c>
      <c r="K2704" s="139">
        <f>IFERROR(__xludf.DUMMYFUNCTION("""COMPUTED_VALUE"""),0.0)</f>
        <v>0</v>
      </c>
      <c r="L2704" s="139"/>
      <c r="M2704" s="139"/>
      <c r="N2704" s="139"/>
    </row>
    <row r="2705">
      <c r="A2705" s="139" t="str">
        <f>IFERROR(__xludf.DUMMYFUNCTION("""COMPUTED_VALUE"""),"e")</f>
        <v>e</v>
      </c>
      <c r="B2705" s="139">
        <f>IFERROR(__xludf.DUMMYFUNCTION("""COMPUTED_VALUE"""),2.0260101E8)</f>
        <v>202601010</v>
      </c>
      <c r="C2705" s="139" t="str">
        <f>IFERROR(__xludf.DUMMYFUNCTION("""COMPUTED_VALUE"""),"e_jig_00301_jig1_challenge_Normal_Red_Normal_00000")</f>
        <v>e_jig_00301_jig1_challenge_Normal_Red_Normal_00000</v>
      </c>
      <c r="D2705" s="139" t="str">
        <f>IFERROR(__xludf.DUMMYFUNCTION("""COMPUTED_VALUE"""),"e_jig_00301_jig1_challenge_Normal_Red")</f>
        <v>e_jig_00301_jig1_challenge_Normal_Red</v>
      </c>
      <c r="E2705" s="139">
        <f>IFERROR(__xludf.DUMMYFUNCTION("""COMPUTED_VALUE"""),0.0)</f>
        <v>0</v>
      </c>
      <c r="F2705" s="139" t="str">
        <f>IFERROR(__xludf.DUMMYFUNCTION("""COMPUTED_VALUE"""),"Normal")</f>
        <v>Normal</v>
      </c>
      <c r="G2705" s="139"/>
      <c r="H2705" s="139"/>
      <c r="I2705" s="139">
        <f>IFERROR(__xludf.DUMMYFUNCTION("""COMPUTED_VALUE"""),75.0)</f>
        <v>75</v>
      </c>
      <c r="J2705" s="139">
        <f>IFERROR(__xludf.DUMMYFUNCTION("""COMPUTED_VALUE"""),33.0)</f>
        <v>33</v>
      </c>
      <c r="K2705" s="139">
        <f>IFERROR(__xludf.DUMMYFUNCTION("""COMPUTED_VALUE"""),75.0)</f>
        <v>75</v>
      </c>
      <c r="L2705" s="139"/>
      <c r="M2705" s="139"/>
      <c r="N2705" s="139"/>
    </row>
    <row r="2706">
      <c r="A2706" s="139" t="str">
        <f>IFERROR(__xludf.DUMMYFUNCTION("""COMPUTED_VALUE"""),"e")</f>
        <v>e</v>
      </c>
      <c r="B2706" s="139">
        <f>IFERROR(__xludf.DUMMYFUNCTION("""COMPUTED_VALUE"""),2.0260101E8)</f>
        <v>202601010</v>
      </c>
      <c r="C2706" s="139" t="str">
        <f>IFERROR(__xludf.DUMMYFUNCTION("""COMPUTED_VALUE"""),"e_jig_00301_jig1_challenge_Normal_Yellow_Normal_00000")</f>
        <v>e_jig_00301_jig1_challenge_Normal_Yellow_Normal_00000</v>
      </c>
      <c r="D2706" s="139" t="str">
        <f>IFERROR(__xludf.DUMMYFUNCTION("""COMPUTED_VALUE"""),"e_jig_00301_jig1_challenge_Normal_Yellow")</f>
        <v>e_jig_00301_jig1_challenge_Normal_Yellow</v>
      </c>
      <c r="E2706" s="139">
        <f>IFERROR(__xludf.DUMMYFUNCTION("""COMPUTED_VALUE"""),0.0)</f>
        <v>0</v>
      </c>
      <c r="F2706" s="139" t="str">
        <f>IFERROR(__xludf.DUMMYFUNCTION("""COMPUTED_VALUE"""),"Normal")</f>
        <v>Normal</v>
      </c>
      <c r="G2706" s="139"/>
      <c r="H2706" s="139"/>
      <c r="I2706" s="139">
        <f>IFERROR(__xludf.DUMMYFUNCTION("""COMPUTED_VALUE"""),75.0)</f>
        <v>75</v>
      </c>
      <c r="J2706" s="139">
        <f>IFERROR(__xludf.DUMMYFUNCTION("""COMPUTED_VALUE"""),33.0)</f>
        <v>33</v>
      </c>
      <c r="K2706" s="139">
        <f>IFERROR(__xludf.DUMMYFUNCTION("""COMPUTED_VALUE"""),75.0)</f>
        <v>75</v>
      </c>
      <c r="L2706" s="139"/>
      <c r="M2706" s="139"/>
      <c r="N2706" s="139"/>
    </row>
    <row r="2707">
      <c r="A2707" s="139" t="str">
        <f>IFERROR(__xludf.DUMMYFUNCTION("""COMPUTED_VALUE"""),"e")</f>
        <v>e</v>
      </c>
      <c r="B2707" s="139">
        <f>IFERROR(__xludf.DUMMYFUNCTION("""COMPUTED_VALUE"""),2.0260101E8)</f>
        <v>202601010</v>
      </c>
      <c r="C2707" s="139" t="str">
        <f>IFERROR(__xludf.DUMMYFUNCTION("""COMPUTED_VALUE"""),"e_jig_00401_jig1_challenge01_Normal_Red_Normal_00000")</f>
        <v>e_jig_00401_jig1_challenge01_Normal_Red_Normal_00000</v>
      </c>
      <c r="D2707" s="139" t="str">
        <f>IFERROR(__xludf.DUMMYFUNCTION("""COMPUTED_VALUE"""),"e_jig_00401_jig1_challenge01_Normal_Red")</f>
        <v>e_jig_00401_jig1_challenge01_Normal_Red</v>
      </c>
      <c r="E2707" s="139">
        <f>IFERROR(__xludf.DUMMYFUNCTION("""COMPUTED_VALUE"""),0.0)</f>
        <v>0</v>
      </c>
      <c r="F2707" s="139" t="str">
        <f>IFERROR(__xludf.DUMMYFUNCTION("""COMPUTED_VALUE"""),"Normal")</f>
        <v>Normal</v>
      </c>
      <c r="G2707" s="139"/>
      <c r="H2707" s="139"/>
      <c r="I2707" s="139">
        <f>IFERROR(__xludf.DUMMYFUNCTION("""COMPUTED_VALUE"""),65.0)</f>
        <v>65</v>
      </c>
      <c r="J2707" s="139">
        <f>IFERROR(__xludf.DUMMYFUNCTION("""COMPUTED_VALUE"""),33.0)</f>
        <v>33</v>
      </c>
      <c r="K2707" s="139">
        <f>IFERROR(__xludf.DUMMYFUNCTION("""COMPUTED_VALUE"""),60.0)</f>
        <v>60</v>
      </c>
      <c r="L2707" s="139"/>
      <c r="M2707" s="139"/>
      <c r="N2707" s="139"/>
    </row>
    <row r="2708">
      <c r="A2708" s="139" t="str">
        <f>IFERROR(__xludf.DUMMYFUNCTION("""COMPUTED_VALUE"""),"e")</f>
        <v>e</v>
      </c>
      <c r="B2708" s="139">
        <f>IFERROR(__xludf.DUMMYFUNCTION("""COMPUTED_VALUE"""),2.0260101E8)</f>
        <v>202601010</v>
      </c>
      <c r="C2708" s="139" t="str">
        <f>IFERROR(__xludf.DUMMYFUNCTION("""COMPUTED_VALUE"""),"e_jig_00401_jig1_challenge02_Normal_Red_Normal_00000")</f>
        <v>e_jig_00401_jig1_challenge02_Normal_Red_Normal_00000</v>
      </c>
      <c r="D2708" s="139" t="str">
        <f>IFERROR(__xludf.DUMMYFUNCTION("""COMPUTED_VALUE"""),"e_jig_00401_jig1_challenge02_Normal_Red")</f>
        <v>e_jig_00401_jig1_challenge02_Normal_Red</v>
      </c>
      <c r="E2708" s="139">
        <f>IFERROR(__xludf.DUMMYFUNCTION("""COMPUTED_VALUE"""),0.0)</f>
        <v>0</v>
      </c>
      <c r="F2708" s="139" t="str">
        <f>IFERROR(__xludf.DUMMYFUNCTION("""COMPUTED_VALUE"""),"Normal")</f>
        <v>Normal</v>
      </c>
      <c r="G2708" s="139"/>
      <c r="H2708" s="139"/>
      <c r="I2708" s="139">
        <f>IFERROR(__xludf.DUMMYFUNCTION("""COMPUTED_VALUE"""),65.0)</f>
        <v>65</v>
      </c>
      <c r="J2708" s="139">
        <f>IFERROR(__xludf.DUMMYFUNCTION("""COMPUTED_VALUE"""),33.0)</f>
        <v>33</v>
      </c>
      <c r="K2708" s="139">
        <f>IFERROR(__xludf.DUMMYFUNCTION("""COMPUTED_VALUE"""),60.0)</f>
        <v>60</v>
      </c>
      <c r="L2708" s="139"/>
      <c r="M2708" s="139"/>
      <c r="N2708" s="139"/>
    </row>
    <row r="2709">
      <c r="A2709" s="139" t="str">
        <f>IFERROR(__xludf.DUMMYFUNCTION("""COMPUTED_VALUE"""),"e")</f>
        <v>e</v>
      </c>
      <c r="B2709" s="139">
        <f>IFERROR(__xludf.DUMMYFUNCTION("""COMPUTED_VALUE"""),2.0260101E8)</f>
        <v>202601010</v>
      </c>
      <c r="C2709" s="139" t="str">
        <f>IFERROR(__xludf.DUMMYFUNCTION("""COMPUTED_VALUE"""),"e_jig_00401_jig1_challenge_Normal_Yellow_Normal_00000")</f>
        <v>e_jig_00401_jig1_challenge_Normal_Yellow_Normal_00000</v>
      </c>
      <c r="D2709" s="139" t="str">
        <f>IFERROR(__xludf.DUMMYFUNCTION("""COMPUTED_VALUE"""),"e_jig_00401_jig1_challenge_Normal_Yellow")</f>
        <v>e_jig_00401_jig1_challenge_Normal_Yellow</v>
      </c>
      <c r="E2709" s="139">
        <f>IFERROR(__xludf.DUMMYFUNCTION("""COMPUTED_VALUE"""),0.0)</f>
        <v>0</v>
      </c>
      <c r="F2709" s="139" t="str">
        <f>IFERROR(__xludf.DUMMYFUNCTION("""COMPUTED_VALUE"""),"Normal")</f>
        <v>Normal</v>
      </c>
      <c r="G2709" s="139"/>
      <c r="H2709" s="139"/>
      <c r="I2709" s="139">
        <f>IFERROR(__xludf.DUMMYFUNCTION("""COMPUTED_VALUE"""),65.0)</f>
        <v>65</v>
      </c>
      <c r="J2709" s="139">
        <f>IFERROR(__xludf.DUMMYFUNCTION("""COMPUTED_VALUE"""),33.0)</f>
        <v>33</v>
      </c>
      <c r="K2709" s="139">
        <f>IFERROR(__xludf.DUMMYFUNCTION("""COMPUTED_VALUE"""),60.0)</f>
        <v>60</v>
      </c>
      <c r="L2709" s="139"/>
      <c r="M2709" s="139"/>
      <c r="N2709" s="139"/>
    </row>
    <row r="2710">
      <c r="A2710" s="139" t="str">
        <f>IFERROR(__xludf.DUMMYFUNCTION("""COMPUTED_VALUE"""),"e")</f>
        <v>e</v>
      </c>
      <c r="B2710" s="139">
        <f>IFERROR(__xludf.DUMMYFUNCTION("""COMPUTED_VALUE"""),2.0260101E8)</f>
        <v>202601010</v>
      </c>
      <c r="C2710" s="139" t="str">
        <f>IFERROR(__xludf.DUMMYFUNCTION("""COMPUTED_VALUE"""),"e_jig_00401_jig1_challenge_Normal_Colorless_Normal_00000")</f>
        <v>e_jig_00401_jig1_challenge_Normal_Colorless_Normal_00000</v>
      </c>
      <c r="D2710" s="139" t="str">
        <f>IFERROR(__xludf.DUMMYFUNCTION("""COMPUTED_VALUE"""),"e_jig_00401_jig1_challenge_Normal_Colorless")</f>
        <v>e_jig_00401_jig1_challenge_Normal_Colorless</v>
      </c>
      <c r="E2710" s="139">
        <f>IFERROR(__xludf.DUMMYFUNCTION("""COMPUTED_VALUE"""),0.0)</f>
        <v>0</v>
      </c>
      <c r="F2710" s="139" t="str">
        <f>IFERROR(__xludf.DUMMYFUNCTION("""COMPUTED_VALUE"""),"Normal")</f>
        <v>Normal</v>
      </c>
      <c r="G2710" s="139"/>
      <c r="H2710" s="139"/>
      <c r="I2710" s="139">
        <f>IFERROR(__xludf.DUMMYFUNCTION("""COMPUTED_VALUE"""),65.0)</f>
        <v>65</v>
      </c>
      <c r="J2710" s="139">
        <f>IFERROR(__xludf.DUMMYFUNCTION("""COMPUTED_VALUE"""),33.0)</f>
        <v>33</v>
      </c>
      <c r="K2710" s="139">
        <f>IFERROR(__xludf.DUMMYFUNCTION("""COMPUTED_VALUE"""),80.0)</f>
        <v>80</v>
      </c>
      <c r="L2710" s="139"/>
      <c r="M2710" s="139"/>
      <c r="N2710" s="139"/>
    </row>
    <row r="2711">
      <c r="A2711" s="139" t="str">
        <f>IFERROR(__xludf.DUMMYFUNCTION("""COMPUTED_VALUE"""),"e")</f>
        <v>e</v>
      </c>
      <c r="B2711" s="139">
        <f>IFERROR(__xludf.DUMMYFUNCTION("""COMPUTED_VALUE"""),2.0260101E8)</f>
        <v>202601010</v>
      </c>
      <c r="C2711" s="139" t="str">
        <f>IFERROR(__xludf.DUMMYFUNCTION("""COMPUTED_VALUE"""),"e_jig_00001_jig1_challenge_Normal_Red_Normal_00000")</f>
        <v>e_jig_00001_jig1_challenge_Normal_Red_Normal_00000</v>
      </c>
      <c r="D2711" s="139" t="str">
        <f>IFERROR(__xludf.DUMMYFUNCTION("""COMPUTED_VALUE"""),"e_jig_00001_jig1_challenge_Normal_Red")</f>
        <v>e_jig_00001_jig1_challenge_Normal_Red</v>
      </c>
      <c r="E2711" s="139">
        <f>IFERROR(__xludf.DUMMYFUNCTION("""COMPUTED_VALUE"""),0.0)</f>
        <v>0</v>
      </c>
      <c r="F2711" s="139" t="str">
        <f>IFERROR(__xludf.DUMMYFUNCTION("""COMPUTED_VALUE"""),"Normal")</f>
        <v>Normal</v>
      </c>
      <c r="G2711" s="139"/>
      <c r="H2711" s="139"/>
      <c r="I2711" s="139">
        <f>IFERROR(__xludf.DUMMYFUNCTION("""COMPUTED_VALUE"""),92.0)</f>
        <v>92</v>
      </c>
      <c r="J2711" s="139">
        <f>IFERROR(__xludf.DUMMYFUNCTION("""COMPUTED_VALUE"""),42.0)</f>
        <v>42</v>
      </c>
      <c r="K2711" s="139">
        <f>IFERROR(__xludf.DUMMYFUNCTION("""COMPUTED_VALUE"""),75.0)</f>
        <v>75</v>
      </c>
      <c r="L2711" s="139"/>
      <c r="M2711" s="139"/>
      <c r="N2711" s="139"/>
    </row>
    <row r="2712">
      <c r="A2712" s="139" t="str">
        <f>IFERROR(__xludf.DUMMYFUNCTION("""COMPUTED_VALUE"""),"e")</f>
        <v>e</v>
      </c>
      <c r="B2712" s="139">
        <f>IFERROR(__xludf.DUMMYFUNCTION("""COMPUTED_VALUE"""),2.0260101E8)</f>
        <v>202601010</v>
      </c>
      <c r="C2712" s="139" t="str">
        <f>IFERROR(__xludf.DUMMYFUNCTION("""COMPUTED_VALUE"""),"e_jig_00001_jig1_challenge_Normal_Colorless_Normal_00000")</f>
        <v>e_jig_00001_jig1_challenge_Normal_Colorless_Normal_00000</v>
      </c>
      <c r="D2712" s="139" t="str">
        <f>IFERROR(__xludf.DUMMYFUNCTION("""COMPUTED_VALUE"""),"e_jig_00001_jig1_challenge_Normal_Colorless")</f>
        <v>e_jig_00001_jig1_challenge_Normal_Colorless</v>
      </c>
      <c r="E2712" s="139">
        <f>IFERROR(__xludf.DUMMYFUNCTION("""COMPUTED_VALUE"""),0.0)</f>
        <v>0</v>
      </c>
      <c r="F2712" s="139" t="str">
        <f>IFERROR(__xludf.DUMMYFUNCTION("""COMPUTED_VALUE"""),"Normal")</f>
        <v>Normal</v>
      </c>
      <c r="G2712" s="139"/>
      <c r="H2712" s="139"/>
      <c r="I2712" s="139">
        <f>IFERROR(__xludf.DUMMYFUNCTION("""COMPUTED_VALUE"""),92.0)</f>
        <v>92</v>
      </c>
      <c r="J2712" s="139">
        <f>IFERROR(__xludf.DUMMYFUNCTION("""COMPUTED_VALUE"""),42.0)</f>
        <v>42</v>
      </c>
      <c r="K2712" s="139">
        <f>IFERROR(__xludf.DUMMYFUNCTION("""COMPUTED_VALUE"""),75.0)</f>
        <v>75</v>
      </c>
      <c r="L2712" s="139"/>
      <c r="M2712" s="139"/>
      <c r="N2712" s="139"/>
    </row>
    <row r="2713">
      <c r="A2713" s="139" t="str">
        <f>IFERROR(__xludf.DUMMYFUNCTION("""COMPUTED_VALUE"""),"e")</f>
        <v>e</v>
      </c>
      <c r="B2713" s="139">
        <f>IFERROR(__xludf.DUMMYFUNCTION("""COMPUTED_VALUE"""),2.0260101E8)</f>
        <v>202601010</v>
      </c>
      <c r="C2713" s="139" t="str">
        <f>IFERROR(__xludf.DUMMYFUNCTION("""COMPUTED_VALUE"""),"c_jig_00501_jig1_savage_Boss_Yellow_Normal_00000")</f>
        <v>c_jig_00501_jig1_savage_Boss_Yellow_Normal_00000</v>
      </c>
      <c r="D2713" s="139" t="str">
        <f>IFERROR(__xludf.DUMMYFUNCTION("""COMPUTED_VALUE"""),"c_jig_00501_jig1_savage_Boss_Yellow")</f>
        <v>c_jig_00501_jig1_savage_Boss_Yellow</v>
      </c>
      <c r="E2713" s="139">
        <f>IFERROR(__xludf.DUMMYFUNCTION("""COMPUTED_VALUE"""),0.0)</f>
        <v>0</v>
      </c>
      <c r="F2713" s="139" t="str">
        <f>IFERROR(__xludf.DUMMYFUNCTION("""COMPUTED_VALUE"""),"Normal")</f>
        <v>Normal</v>
      </c>
      <c r="G2713" s="139"/>
      <c r="H2713" s="139"/>
      <c r="I2713" s="139">
        <f>IFERROR(__xludf.DUMMYFUNCTION("""COMPUTED_VALUE"""),83.0)</f>
        <v>83</v>
      </c>
      <c r="J2713" s="139">
        <f>IFERROR(__xludf.DUMMYFUNCTION("""COMPUTED_VALUE"""),20.0)</f>
        <v>20</v>
      </c>
      <c r="K2713" s="139">
        <f>IFERROR(__xludf.DUMMYFUNCTION("""COMPUTED_VALUE"""),75.0)</f>
        <v>75</v>
      </c>
      <c r="L2713" s="139"/>
      <c r="M2713" s="139"/>
      <c r="N2713" s="139"/>
    </row>
    <row r="2714">
      <c r="A2714" s="139" t="str">
        <f>IFERROR(__xludf.DUMMYFUNCTION("""COMPUTED_VALUE"""),"e")</f>
        <v>e</v>
      </c>
      <c r="B2714" s="139">
        <f>IFERROR(__xludf.DUMMYFUNCTION("""COMPUTED_VALUE"""),2.0260101E8)</f>
        <v>202601010</v>
      </c>
      <c r="C2714" s="139" t="str">
        <f>IFERROR(__xludf.DUMMYFUNCTION("""COMPUTED_VALUE"""),"c_jig_00501_jig1_savage_Boss_Yellow_Appearance_00001")</f>
        <v>c_jig_00501_jig1_savage_Boss_Yellow_Appearance_00001</v>
      </c>
      <c r="D2714" s="139" t="str">
        <f>IFERROR(__xludf.DUMMYFUNCTION("""COMPUTED_VALUE"""),"c_jig_00501_jig1_savage_Boss_Yellow")</f>
        <v>c_jig_00501_jig1_savage_Boss_Yellow</v>
      </c>
      <c r="E2714" s="139">
        <f>IFERROR(__xludf.DUMMYFUNCTION("""COMPUTED_VALUE"""),0.0)</f>
        <v>0</v>
      </c>
      <c r="F2714" s="139" t="str">
        <f>IFERROR(__xludf.DUMMYFUNCTION("""COMPUTED_VALUE"""),"Appearance")</f>
        <v>Appearance</v>
      </c>
      <c r="G2714" s="139"/>
      <c r="H2714" s="139"/>
      <c r="I2714" s="139">
        <f>IFERROR(__xludf.DUMMYFUNCTION("""COMPUTED_VALUE"""),50.0)</f>
        <v>50</v>
      </c>
      <c r="J2714" s="139">
        <f>IFERROR(__xludf.DUMMYFUNCTION("""COMPUTED_VALUE"""),0.0)</f>
        <v>0</v>
      </c>
      <c r="K2714" s="139">
        <f>IFERROR(__xludf.DUMMYFUNCTION("""COMPUTED_VALUE"""),0.0)</f>
        <v>0</v>
      </c>
      <c r="L2714" s="139"/>
      <c r="M2714" s="139"/>
      <c r="N2714" s="139"/>
    </row>
    <row r="2715">
      <c r="A2715" s="139" t="str">
        <f>IFERROR(__xludf.DUMMYFUNCTION("""COMPUTED_VALUE"""),"e")</f>
        <v>e</v>
      </c>
      <c r="B2715" s="139">
        <f>IFERROR(__xludf.DUMMYFUNCTION("""COMPUTED_VALUE"""),2.0260101E8)</f>
        <v>202601010</v>
      </c>
      <c r="C2715" s="139" t="str">
        <f>IFERROR(__xludf.DUMMYFUNCTION("""COMPUTED_VALUE"""),"c_jig_00501_jig1_savage_Boss_Yellow_Special_00002")</f>
        <v>c_jig_00501_jig1_savage_Boss_Yellow_Special_00002</v>
      </c>
      <c r="D2715" s="139" t="str">
        <f>IFERROR(__xludf.DUMMYFUNCTION("""COMPUTED_VALUE"""),"c_jig_00501_jig1_savage_Boss_Yellow")</f>
        <v>c_jig_00501_jig1_savage_Boss_Yellow</v>
      </c>
      <c r="E2715" s="139">
        <f>IFERROR(__xludf.DUMMYFUNCTION("""COMPUTED_VALUE"""),0.0)</f>
        <v>0</v>
      </c>
      <c r="F2715" s="139" t="str">
        <f>IFERROR(__xludf.DUMMYFUNCTION("""COMPUTED_VALUE"""),"Special")</f>
        <v>Special</v>
      </c>
      <c r="G2715" s="139"/>
      <c r="H2715" s="139"/>
      <c r="I2715" s="139">
        <f>IFERROR(__xludf.DUMMYFUNCTION("""COMPUTED_VALUE"""),167.0)</f>
        <v>167</v>
      </c>
      <c r="J2715" s="139">
        <f>IFERROR(__xludf.DUMMYFUNCTION("""COMPUTED_VALUE"""),85.0)</f>
        <v>85</v>
      </c>
      <c r="K2715" s="139">
        <f>IFERROR(__xludf.DUMMYFUNCTION("""COMPUTED_VALUE"""),0.0)</f>
        <v>0</v>
      </c>
      <c r="L2715" s="139"/>
      <c r="M2715" s="139"/>
      <c r="N2715" s="139"/>
    </row>
    <row r="2716">
      <c r="A2716" s="139" t="str">
        <f>IFERROR(__xludf.DUMMYFUNCTION("""COMPUTED_VALUE"""),"e")</f>
        <v>e</v>
      </c>
      <c r="B2716" s="139">
        <f>IFERROR(__xludf.DUMMYFUNCTION("""COMPUTED_VALUE"""),2.0260101E8)</f>
        <v>202601010</v>
      </c>
      <c r="C2716" s="139" t="str">
        <f>IFERROR(__xludf.DUMMYFUNCTION("""COMPUTED_VALUE"""),"c_jig_00101_jig1_savage_Boss_Colorless_Normal_00000")</f>
        <v>c_jig_00101_jig1_savage_Boss_Colorless_Normal_00000</v>
      </c>
      <c r="D2716" s="139" t="str">
        <f>IFERROR(__xludf.DUMMYFUNCTION("""COMPUTED_VALUE"""),"c_jig_00101_jig1_savage_Boss_Colorless")</f>
        <v>c_jig_00101_jig1_savage_Boss_Colorless</v>
      </c>
      <c r="E2716" s="139">
        <f>IFERROR(__xludf.DUMMYFUNCTION("""COMPUTED_VALUE"""),0.0)</f>
        <v>0</v>
      </c>
      <c r="F2716" s="139" t="str">
        <f>IFERROR(__xludf.DUMMYFUNCTION("""COMPUTED_VALUE"""),"Normal")</f>
        <v>Normal</v>
      </c>
      <c r="G2716" s="139"/>
      <c r="H2716" s="139"/>
      <c r="I2716" s="139">
        <f>IFERROR(__xludf.DUMMYFUNCTION("""COMPUTED_VALUE"""),75.0)</f>
        <v>75</v>
      </c>
      <c r="J2716" s="139">
        <f>IFERROR(__xludf.DUMMYFUNCTION("""COMPUTED_VALUE"""),25.0)</f>
        <v>25</v>
      </c>
      <c r="K2716" s="139">
        <f>IFERROR(__xludf.DUMMYFUNCTION("""COMPUTED_VALUE"""),125.0)</f>
        <v>125</v>
      </c>
      <c r="L2716" s="139"/>
      <c r="M2716" s="139"/>
      <c r="N2716" s="139"/>
    </row>
    <row r="2717">
      <c r="A2717" s="139" t="str">
        <f>IFERROR(__xludf.DUMMYFUNCTION("""COMPUTED_VALUE"""),"e")</f>
        <v>e</v>
      </c>
      <c r="B2717" s="139">
        <f>IFERROR(__xludf.DUMMYFUNCTION("""COMPUTED_VALUE"""),2.0260101E8)</f>
        <v>202601010</v>
      </c>
      <c r="C2717" s="139" t="str">
        <f>IFERROR(__xludf.DUMMYFUNCTION("""COMPUTED_VALUE"""),"c_jig_00101_jig1_savage_Boss_Colorless_Appearance_00001")</f>
        <v>c_jig_00101_jig1_savage_Boss_Colorless_Appearance_00001</v>
      </c>
      <c r="D2717" s="139" t="str">
        <f>IFERROR(__xludf.DUMMYFUNCTION("""COMPUTED_VALUE"""),"c_jig_00101_jig1_savage_Boss_Colorless")</f>
        <v>c_jig_00101_jig1_savage_Boss_Colorless</v>
      </c>
      <c r="E2717" s="139">
        <f>IFERROR(__xludf.DUMMYFUNCTION("""COMPUTED_VALUE"""),0.0)</f>
        <v>0</v>
      </c>
      <c r="F2717" s="139" t="str">
        <f>IFERROR(__xludf.DUMMYFUNCTION("""COMPUTED_VALUE"""),"Appearance")</f>
        <v>Appearance</v>
      </c>
      <c r="G2717" s="139"/>
      <c r="H2717" s="139"/>
      <c r="I2717" s="139">
        <f>IFERROR(__xludf.DUMMYFUNCTION("""COMPUTED_VALUE"""),50.0)</f>
        <v>50</v>
      </c>
      <c r="J2717" s="139">
        <f>IFERROR(__xludf.DUMMYFUNCTION("""COMPUTED_VALUE"""),0.0)</f>
        <v>0</v>
      </c>
      <c r="K2717" s="139">
        <f>IFERROR(__xludf.DUMMYFUNCTION("""COMPUTED_VALUE"""),0.0)</f>
        <v>0</v>
      </c>
      <c r="L2717" s="139"/>
      <c r="M2717" s="139"/>
      <c r="N2717" s="139"/>
    </row>
    <row r="2718">
      <c r="A2718" s="139" t="str">
        <f>IFERROR(__xludf.DUMMYFUNCTION("""COMPUTED_VALUE"""),"e")</f>
        <v>e</v>
      </c>
      <c r="B2718" s="139">
        <f>IFERROR(__xludf.DUMMYFUNCTION("""COMPUTED_VALUE"""),2.0260101E8)</f>
        <v>202601010</v>
      </c>
      <c r="C2718" s="139" t="str">
        <f>IFERROR(__xludf.DUMMYFUNCTION("""COMPUTED_VALUE"""),"c_jig_00101_jig1_savage_Boss_Colorless_Special_00002")</f>
        <v>c_jig_00101_jig1_savage_Boss_Colorless_Special_00002</v>
      </c>
      <c r="D2718" s="139" t="str">
        <f>IFERROR(__xludf.DUMMYFUNCTION("""COMPUTED_VALUE"""),"c_jig_00101_jig1_savage_Boss_Colorless")</f>
        <v>c_jig_00101_jig1_savage_Boss_Colorless</v>
      </c>
      <c r="E2718" s="139">
        <f>IFERROR(__xludf.DUMMYFUNCTION("""COMPUTED_VALUE"""),0.0)</f>
        <v>0</v>
      </c>
      <c r="F2718" s="139" t="str">
        <f>IFERROR(__xludf.DUMMYFUNCTION("""COMPUTED_VALUE"""),"Special")</f>
        <v>Special</v>
      </c>
      <c r="G2718" s="139"/>
      <c r="H2718" s="139"/>
      <c r="I2718" s="139">
        <f>IFERROR(__xludf.DUMMYFUNCTION("""COMPUTED_VALUE"""),125.0)</f>
        <v>125</v>
      </c>
      <c r="J2718" s="139">
        <f>IFERROR(__xludf.DUMMYFUNCTION("""COMPUTED_VALUE"""),60.0)</f>
        <v>60</v>
      </c>
      <c r="K2718" s="139">
        <f>IFERROR(__xludf.DUMMYFUNCTION("""COMPUTED_VALUE"""),0.0)</f>
        <v>0</v>
      </c>
      <c r="L2718" s="139"/>
      <c r="M2718" s="139"/>
      <c r="N2718" s="139"/>
    </row>
    <row r="2719">
      <c r="A2719" s="139" t="str">
        <f>IFERROR(__xludf.DUMMYFUNCTION("""COMPUTED_VALUE"""),"e")</f>
        <v>e</v>
      </c>
      <c r="B2719" s="139">
        <f>IFERROR(__xludf.DUMMYFUNCTION("""COMPUTED_VALUE"""),2.0260101E8)</f>
        <v>202601010</v>
      </c>
      <c r="C2719" s="139" t="str">
        <f>IFERROR(__xludf.DUMMYFUNCTION("""COMPUTED_VALUE"""),"c_jig_00001_jig1_savage_Boss_Colorless_Normal_00000")</f>
        <v>c_jig_00001_jig1_savage_Boss_Colorless_Normal_00000</v>
      </c>
      <c r="D2719" s="139" t="str">
        <f>IFERROR(__xludf.DUMMYFUNCTION("""COMPUTED_VALUE"""),"c_jig_00001_jig1_savage_Boss_Colorless")</f>
        <v>c_jig_00001_jig1_savage_Boss_Colorless</v>
      </c>
      <c r="E2719" s="139">
        <f>IFERROR(__xludf.DUMMYFUNCTION("""COMPUTED_VALUE"""),0.0)</f>
        <v>0</v>
      </c>
      <c r="F2719" s="139" t="str">
        <f>IFERROR(__xludf.DUMMYFUNCTION("""COMPUTED_VALUE"""),"Normal")</f>
        <v>Normal</v>
      </c>
      <c r="G2719" s="139"/>
      <c r="H2719" s="139"/>
      <c r="I2719" s="139">
        <f>IFERROR(__xludf.DUMMYFUNCTION("""COMPUTED_VALUE"""),59.0)</f>
        <v>59</v>
      </c>
      <c r="J2719" s="139">
        <f>IFERROR(__xludf.DUMMYFUNCTION("""COMPUTED_VALUE"""),10.0)</f>
        <v>10</v>
      </c>
      <c r="K2719" s="139">
        <f>IFERROR(__xludf.DUMMYFUNCTION("""COMPUTED_VALUE"""),80.0)</f>
        <v>80</v>
      </c>
      <c r="L2719" s="139"/>
      <c r="M2719" s="139"/>
      <c r="N2719" s="139"/>
    </row>
    <row r="2720">
      <c r="A2720" s="139" t="str">
        <f>IFERROR(__xludf.DUMMYFUNCTION("""COMPUTED_VALUE"""),"e")</f>
        <v>e</v>
      </c>
      <c r="B2720" s="139">
        <f>IFERROR(__xludf.DUMMYFUNCTION("""COMPUTED_VALUE"""),2.0260101E8)</f>
        <v>202601010</v>
      </c>
      <c r="C2720" s="139" t="str">
        <f>IFERROR(__xludf.DUMMYFUNCTION("""COMPUTED_VALUE"""),"c_jig_00001_jig1_savage_Boss_Colorless_Appearance_00001")</f>
        <v>c_jig_00001_jig1_savage_Boss_Colorless_Appearance_00001</v>
      </c>
      <c r="D2720" s="139" t="str">
        <f>IFERROR(__xludf.DUMMYFUNCTION("""COMPUTED_VALUE"""),"c_jig_00001_jig1_savage_Boss_Colorless")</f>
        <v>c_jig_00001_jig1_savage_Boss_Colorless</v>
      </c>
      <c r="E2720" s="139">
        <f>IFERROR(__xludf.DUMMYFUNCTION("""COMPUTED_VALUE"""),0.0)</f>
        <v>0</v>
      </c>
      <c r="F2720" s="139" t="str">
        <f>IFERROR(__xludf.DUMMYFUNCTION("""COMPUTED_VALUE"""),"Appearance")</f>
        <v>Appearance</v>
      </c>
      <c r="G2720" s="139"/>
      <c r="H2720" s="139"/>
      <c r="I2720" s="139">
        <f>IFERROR(__xludf.DUMMYFUNCTION("""COMPUTED_VALUE"""),50.0)</f>
        <v>50</v>
      </c>
      <c r="J2720" s="139">
        <f>IFERROR(__xludf.DUMMYFUNCTION("""COMPUTED_VALUE"""),0.0)</f>
        <v>0</v>
      </c>
      <c r="K2720" s="139">
        <f>IFERROR(__xludf.DUMMYFUNCTION("""COMPUTED_VALUE"""),0.0)</f>
        <v>0</v>
      </c>
      <c r="L2720" s="139"/>
      <c r="M2720" s="139"/>
      <c r="N2720" s="139"/>
    </row>
    <row r="2721">
      <c r="A2721" s="139" t="str">
        <f>IFERROR(__xludf.DUMMYFUNCTION("""COMPUTED_VALUE"""),"e")</f>
        <v>e</v>
      </c>
      <c r="B2721" s="139">
        <f>IFERROR(__xludf.DUMMYFUNCTION("""COMPUTED_VALUE"""),2.0260101E8)</f>
        <v>202601010</v>
      </c>
      <c r="C2721" s="139" t="str">
        <f>IFERROR(__xludf.DUMMYFUNCTION("""COMPUTED_VALUE"""),"c_jig_00001_jig1_savage_Boss_Colorless_Special_00002")</f>
        <v>c_jig_00001_jig1_savage_Boss_Colorless_Special_00002</v>
      </c>
      <c r="D2721" s="139" t="str">
        <f>IFERROR(__xludf.DUMMYFUNCTION("""COMPUTED_VALUE"""),"c_jig_00001_jig1_savage_Boss_Colorless")</f>
        <v>c_jig_00001_jig1_savage_Boss_Colorless</v>
      </c>
      <c r="E2721" s="139">
        <f>IFERROR(__xludf.DUMMYFUNCTION("""COMPUTED_VALUE"""),0.0)</f>
        <v>0</v>
      </c>
      <c r="F2721" s="139" t="str">
        <f>IFERROR(__xludf.DUMMYFUNCTION("""COMPUTED_VALUE"""),"Special")</f>
        <v>Special</v>
      </c>
      <c r="G2721" s="139"/>
      <c r="H2721" s="139"/>
      <c r="I2721" s="139">
        <f>IFERROR(__xludf.DUMMYFUNCTION("""COMPUTED_VALUE"""),115.0)</f>
        <v>115</v>
      </c>
      <c r="J2721" s="139">
        <f>IFERROR(__xludf.DUMMYFUNCTION("""COMPUTED_VALUE"""),0.0)</f>
        <v>0</v>
      </c>
      <c r="K2721" s="139">
        <f>IFERROR(__xludf.DUMMYFUNCTION("""COMPUTED_VALUE"""),0.0)</f>
        <v>0</v>
      </c>
      <c r="L2721" s="139"/>
      <c r="M2721" s="139"/>
      <c r="N2721" s="139"/>
    </row>
    <row r="2722">
      <c r="A2722" s="139" t="str">
        <f>IFERROR(__xludf.DUMMYFUNCTION("""COMPUTED_VALUE"""),"e")</f>
        <v>e</v>
      </c>
      <c r="B2722" s="139">
        <f>IFERROR(__xludf.DUMMYFUNCTION("""COMPUTED_VALUE"""),2.0260101E8)</f>
        <v>202601010</v>
      </c>
      <c r="C2722" s="139" t="str">
        <f>IFERROR(__xludf.DUMMYFUNCTION("""COMPUTED_VALUE"""),"c_jig_00401_jig1_savage_Normal_Colorless_Normal_00000")</f>
        <v>c_jig_00401_jig1_savage_Normal_Colorless_Normal_00000</v>
      </c>
      <c r="D2722" s="139" t="str">
        <f>IFERROR(__xludf.DUMMYFUNCTION("""COMPUTED_VALUE"""),"c_jig_00401_jig1_savage_Normal_Colorless")</f>
        <v>c_jig_00401_jig1_savage_Normal_Colorless</v>
      </c>
      <c r="E2722" s="139">
        <f>IFERROR(__xludf.DUMMYFUNCTION("""COMPUTED_VALUE"""),0.0)</f>
        <v>0</v>
      </c>
      <c r="F2722" s="139" t="str">
        <f>IFERROR(__xludf.DUMMYFUNCTION("""COMPUTED_VALUE"""),"Normal")</f>
        <v>Normal</v>
      </c>
      <c r="G2722" s="139"/>
      <c r="H2722" s="139"/>
      <c r="I2722" s="139">
        <f>IFERROR(__xludf.DUMMYFUNCTION("""COMPUTED_VALUE"""),84.0)</f>
        <v>84</v>
      </c>
      <c r="J2722" s="139">
        <f>IFERROR(__xludf.DUMMYFUNCTION("""COMPUTED_VALUE"""),25.0)</f>
        <v>25</v>
      </c>
      <c r="K2722" s="139">
        <f>IFERROR(__xludf.DUMMYFUNCTION("""COMPUTED_VALUE"""),50.0)</f>
        <v>50</v>
      </c>
      <c r="L2722" s="139"/>
      <c r="M2722" s="139"/>
      <c r="N2722" s="139"/>
    </row>
    <row r="2723">
      <c r="A2723" s="139" t="str">
        <f>IFERROR(__xludf.DUMMYFUNCTION("""COMPUTED_VALUE"""),"e")</f>
        <v>e</v>
      </c>
      <c r="B2723" s="139">
        <f>IFERROR(__xludf.DUMMYFUNCTION("""COMPUTED_VALUE"""),2.0260101E8)</f>
        <v>202601010</v>
      </c>
      <c r="C2723" s="139" t="str">
        <f>IFERROR(__xludf.DUMMYFUNCTION("""COMPUTED_VALUE"""),"c_jig_00401_jig1_savage_Normal_Colorless_Special_00001")</f>
        <v>c_jig_00401_jig1_savage_Normal_Colorless_Special_00001</v>
      </c>
      <c r="D2723" s="139" t="str">
        <f>IFERROR(__xludf.DUMMYFUNCTION("""COMPUTED_VALUE"""),"c_jig_00401_jig1_savage_Normal_Colorless")</f>
        <v>c_jig_00401_jig1_savage_Normal_Colorless</v>
      </c>
      <c r="E2723" s="139">
        <f>IFERROR(__xludf.DUMMYFUNCTION("""COMPUTED_VALUE"""),1.0)</f>
        <v>1</v>
      </c>
      <c r="F2723" s="139" t="str">
        <f>IFERROR(__xludf.DUMMYFUNCTION("""COMPUTED_VALUE"""),"Special")</f>
        <v>Special</v>
      </c>
      <c r="G2723" s="139"/>
      <c r="H2723" s="139"/>
      <c r="I2723" s="139">
        <f>IFERROR(__xludf.DUMMYFUNCTION("""COMPUTED_VALUE"""),134.0)</f>
        <v>134</v>
      </c>
      <c r="J2723" s="139">
        <f>IFERROR(__xludf.DUMMYFUNCTION("""COMPUTED_VALUE"""),79.0)</f>
        <v>79</v>
      </c>
      <c r="K2723" s="139">
        <f>IFERROR(__xludf.DUMMYFUNCTION("""COMPUTED_VALUE"""),0.0)</f>
        <v>0</v>
      </c>
      <c r="L2723" s="139"/>
      <c r="M2723" s="139"/>
      <c r="N2723" s="139"/>
    </row>
    <row r="2724">
      <c r="A2724" s="139" t="str">
        <f>IFERROR(__xludf.DUMMYFUNCTION("""COMPUTED_VALUE"""),"e")</f>
        <v>e</v>
      </c>
      <c r="B2724" s="139">
        <f>IFERROR(__xludf.DUMMYFUNCTION("""COMPUTED_VALUE"""),2.0260101E8)</f>
        <v>202601010</v>
      </c>
      <c r="C2724" s="139" t="str">
        <f>IFERROR(__xludf.DUMMYFUNCTION("""COMPUTED_VALUE"""),"c_jig_00001_jig1_savage_Normal_Yellow_Normal_00000")</f>
        <v>c_jig_00001_jig1_savage_Normal_Yellow_Normal_00000</v>
      </c>
      <c r="D2724" s="139" t="str">
        <f>IFERROR(__xludf.DUMMYFUNCTION("""COMPUTED_VALUE"""),"c_jig_00001_jig1_savage_Normal_Yellow")</f>
        <v>c_jig_00001_jig1_savage_Normal_Yellow</v>
      </c>
      <c r="E2724" s="139">
        <f>IFERROR(__xludf.DUMMYFUNCTION("""COMPUTED_VALUE"""),0.0)</f>
        <v>0</v>
      </c>
      <c r="F2724" s="139" t="str">
        <f>IFERROR(__xludf.DUMMYFUNCTION("""COMPUTED_VALUE"""),"Normal")</f>
        <v>Normal</v>
      </c>
      <c r="G2724" s="139"/>
      <c r="H2724" s="139"/>
      <c r="I2724" s="139">
        <f>IFERROR(__xludf.DUMMYFUNCTION("""COMPUTED_VALUE"""),59.0)</f>
        <v>59</v>
      </c>
      <c r="J2724" s="139">
        <f>IFERROR(__xludf.DUMMYFUNCTION("""COMPUTED_VALUE"""),10.0)</f>
        <v>10</v>
      </c>
      <c r="K2724" s="139">
        <f>IFERROR(__xludf.DUMMYFUNCTION("""COMPUTED_VALUE"""),50.0)</f>
        <v>50</v>
      </c>
      <c r="L2724" s="139"/>
      <c r="M2724" s="139"/>
      <c r="N2724" s="139"/>
    </row>
    <row r="2725">
      <c r="A2725" s="139" t="str">
        <f>IFERROR(__xludf.DUMMYFUNCTION("""COMPUTED_VALUE"""),"e")</f>
        <v>e</v>
      </c>
      <c r="B2725" s="139">
        <f>IFERROR(__xludf.DUMMYFUNCTION("""COMPUTED_VALUE"""),2.0260101E8)</f>
        <v>202601010</v>
      </c>
      <c r="C2725" s="139" t="str">
        <f>IFERROR(__xludf.DUMMYFUNCTION("""COMPUTED_VALUE"""),"c_jig_00001_jig1_savage_Normal_Yellow_Special_00001")</f>
        <v>c_jig_00001_jig1_savage_Normal_Yellow_Special_00001</v>
      </c>
      <c r="D2725" s="139" t="str">
        <f>IFERROR(__xludf.DUMMYFUNCTION("""COMPUTED_VALUE"""),"c_jig_00001_jig1_savage_Normal_Yellow")</f>
        <v>c_jig_00001_jig1_savage_Normal_Yellow</v>
      </c>
      <c r="E2725" s="139">
        <f>IFERROR(__xludf.DUMMYFUNCTION("""COMPUTED_VALUE"""),0.0)</f>
        <v>0</v>
      </c>
      <c r="F2725" s="139" t="str">
        <f>IFERROR(__xludf.DUMMYFUNCTION("""COMPUTED_VALUE"""),"Special")</f>
        <v>Special</v>
      </c>
      <c r="G2725" s="139"/>
      <c r="H2725" s="139"/>
      <c r="I2725" s="139">
        <f>IFERROR(__xludf.DUMMYFUNCTION("""COMPUTED_VALUE"""),115.0)</f>
        <v>115</v>
      </c>
      <c r="J2725" s="139">
        <f>IFERROR(__xludf.DUMMYFUNCTION("""COMPUTED_VALUE"""),0.0)</f>
        <v>0</v>
      </c>
      <c r="K2725" s="139">
        <f>IFERROR(__xludf.DUMMYFUNCTION("""COMPUTED_VALUE"""),0.0)</f>
        <v>0</v>
      </c>
      <c r="L2725" s="139"/>
      <c r="M2725" s="139"/>
      <c r="N2725" s="139"/>
    </row>
    <row r="2726">
      <c r="A2726" s="139" t="str">
        <f>IFERROR(__xludf.DUMMYFUNCTION("""COMPUTED_VALUE"""),"e")</f>
        <v>e</v>
      </c>
      <c r="B2726" s="139">
        <f>IFERROR(__xludf.DUMMYFUNCTION("""COMPUTED_VALUE"""),2.0260101E8)</f>
        <v>202601010</v>
      </c>
      <c r="C2726" s="139" t="str">
        <f>IFERROR(__xludf.DUMMYFUNCTION("""COMPUTED_VALUE"""),"e_jig_00601_jig1_savage_Normal_Yellow_Normal_00000")</f>
        <v>e_jig_00601_jig1_savage_Normal_Yellow_Normal_00000</v>
      </c>
      <c r="D2726" s="139" t="str">
        <f>IFERROR(__xludf.DUMMYFUNCTION("""COMPUTED_VALUE"""),"e_jig_00601_jig1_savage_Normal_Yellow")</f>
        <v>e_jig_00601_jig1_savage_Normal_Yellow</v>
      </c>
      <c r="E2726" s="139">
        <f>IFERROR(__xludf.DUMMYFUNCTION("""COMPUTED_VALUE"""),0.0)</f>
        <v>0</v>
      </c>
      <c r="F2726" s="139" t="str">
        <f>IFERROR(__xludf.DUMMYFUNCTION("""COMPUTED_VALUE"""),"Normal")</f>
        <v>Normal</v>
      </c>
      <c r="G2726" s="139"/>
      <c r="H2726" s="139"/>
      <c r="I2726" s="674">
        <f>IFERROR(__xludf.DUMMYFUNCTION("""COMPUTED_VALUE"""),75.0)</f>
        <v>75</v>
      </c>
      <c r="J2726" s="674">
        <f>IFERROR(__xludf.DUMMYFUNCTION("""COMPUTED_VALUE"""),38.0)</f>
        <v>38</v>
      </c>
      <c r="K2726" s="139">
        <f>IFERROR(__xludf.DUMMYFUNCTION("""COMPUTED_VALUE"""),60.0)</f>
        <v>60</v>
      </c>
      <c r="L2726" s="139"/>
      <c r="M2726" s="139"/>
      <c r="N2726" s="139"/>
    </row>
    <row r="2727">
      <c r="A2727" s="139" t="str">
        <f>IFERROR(__xludf.DUMMYFUNCTION("""COMPUTED_VALUE"""),"e")</f>
        <v>e</v>
      </c>
      <c r="B2727" s="139">
        <f>IFERROR(__xludf.DUMMYFUNCTION("""COMPUTED_VALUE"""),2.0260101E8)</f>
        <v>202601010</v>
      </c>
      <c r="C2727" s="139" t="str">
        <f>IFERROR(__xludf.DUMMYFUNCTION("""COMPUTED_VALUE"""),"e_jig_00001_jig1_savage_Normal_Colorless_Normal_00000")</f>
        <v>e_jig_00001_jig1_savage_Normal_Colorless_Normal_00000</v>
      </c>
      <c r="D2727" s="139" t="str">
        <f>IFERROR(__xludf.DUMMYFUNCTION("""COMPUTED_VALUE"""),"e_jig_00001_jig1_savage_Normal_Colorless")</f>
        <v>e_jig_00001_jig1_savage_Normal_Colorless</v>
      </c>
      <c r="E2727" s="139">
        <f>IFERROR(__xludf.DUMMYFUNCTION("""COMPUTED_VALUE"""),0.0)</f>
        <v>0</v>
      </c>
      <c r="F2727" s="139" t="str">
        <f>IFERROR(__xludf.DUMMYFUNCTION("""COMPUTED_VALUE"""),"Normal")</f>
        <v>Normal</v>
      </c>
      <c r="G2727" s="139"/>
      <c r="H2727" s="139"/>
      <c r="I2727" s="139">
        <f>IFERROR(__xludf.DUMMYFUNCTION("""COMPUTED_VALUE"""),92.0)</f>
        <v>92</v>
      </c>
      <c r="J2727" s="139">
        <f>IFERROR(__xludf.DUMMYFUNCTION("""COMPUTED_VALUE"""),42.0)</f>
        <v>42</v>
      </c>
      <c r="K2727" s="139">
        <f>IFERROR(__xludf.DUMMYFUNCTION("""COMPUTED_VALUE"""),100.0)</f>
        <v>100</v>
      </c>
      <c r="L2727" s="139"/>
      <c r="M2727" s="139"/>
      <c r="N2727" s="139"/>
    </row>
    <row r="2728">
      <c r="A2728" s="139" t="str">
        <f>IFERROR(__xludf.DUMMYFUNCTION("""COMPUTED_VALUE"""),"e")</f>
        <v>e</v>
      </c>
      <c r="B2728" s="139">
        <f>IFERROR(__xludf.DUMMYFUNCTION("""COMPUTED_VALUE"""),2.0260101E8)</f>
        <v>202601010</v>
      </c>
      <c r="C2728" s="139" t="str">
        <f>IFERROR(__xludf.DUMMYFUNCTION("""COMPUTED_VALUE"""),"e_jig_00001_jig1_savage_Normal_Yellow_Normal_00000")</f>
        <v>e_jig_00001_jig1_savage_Normal_Yellow_Normal_00000</v>
      </c>
      <c r="D2728" s="139" t="str">
        <f>IFERROR(__xludf.DUMMYFUNCTION("""COMPUTED_VALUE"""),"e_jig_00001_jig1_savage_Normal_Yellow")</f>
        <v>e_jig_00001_jig1_savage_Normal_Yellow</v>
      </c>
      <c r="E2728" s="139">
        <f>IFERROR(__xludf.DUMMYFUNCTION("""COMPUTED_VALUE"""),0.0)</f>
        <v>0</v>
      </c>
      <c r="F2728" s="139" t="str">
        <f>IFERROR(__xludf.DUMMYFUNCTION("""COMPUTED_VALUE"""),"Normal")</f>
        <v>Normal</v>
      </c>
      <c r="G2728" s="139"/>
      <c r="H2728" s="139"/>
      <c r="I2728" s="139">
        <f>IFERROR(__xludf.DUMMYFUNCTION("""COMPUTED_VALUE"""),92.0)</f>
        <v>92</v>
      </c>
      <c r="J2728" s="139">
        <f>IFERROR(__xludf.DUMMYFUNCTION("""COMPUTED_VALUE"""),42.0)</f>
        <v>42</v>
      </c>
      <c r="K2728" s="139">
        <f>IFERROR(__xludf.DUMMYFUNCTION("""COMPUTED_VALUE"""),100.0)</f>
        <v>100</v>
      </c>
      <c r="L2728" s="139"/>
      <c r="M2728" s="139"/>
      <c r="N2728" s="139"/>
    </row>
    <row r="2729">
      <c r="A2729" s="139"/>
      <c r="B2729" s="139"/>
      <c r="C2729" s="139"/>
      <c r="D2729" s="139"/>
      <c r="E2729" s="139"/>
      <c r="F2729" s="139"/>
      <c r="G2729" s="139"/>
      <c r="H2729" s="139"/>
      <c r="I2729" s="139"/>
      <c r="J2729" s="139"/>
      <c r="K2729" s="139"/>
      <c r="L2729" s="139"/>
      <c r="M2729" s="139"/>
      <c r="N2729" s="139"/>
    </row>
    <row r="2730">
      <c r="A2730" s="139" t="str">
        <f>IFERROR(__xludf.DUMMYFUNCTION("""COMPUTED_VALUE"""),"e")</f>
        <v>e</v>
      </c>
      <c r="B2730" s="139">
        <f>IFERROR(__xludf.DUMMYFUNCTION("""COMPUTED_VALUE"""),2.02602015E8)</f>
        <v>202602015</v>
      </c>
      <c r="C2730" s="139" t="str">
        <f>IFERROR(__xludf.DUMMYFUNCTION("""COMPUTED_VALUE"""),"c_you_00001_you1_1d1c_Normal_Colorless_Normal_00000")</f>
        <v>c_you_00001_you1_1d1c_Normal_Colorless_Normal_00000</v>
      </c>
      <c r="D2730" s="139" t="str">
        <f>IFERROR(__xludf.DUMMYFUNCTION("""COMPUTED_VALUE"""),"c_you_00001_you1_1d1c_Normal_Colorless")</f>
        <v>c_you_00001_you1_1d1c_Normal_Colorless</v>
      </c>
      <c r="E2730" s="139">
        <f>IFERROR(__xludf.DUMMYFUNCTION("""COMPUTED_VALUE"""),0.0)</f>
        <v>0</v>
      </c>
      <c r="F2730" s="139" t="str">
        <f>IFERROR(__xludf.DUMMYFUNCTION("""COMPUTED_VALUE"""),"Normal")</f>
        <v>Normal</v>
      </c>
      <c r="G2730" s="139"/>
      <c r="H2730" s="139"/>
      <c r="I2730" s="139">
        <f>IFERROR(__xludf.DUMMYFUNCTION("""COMPUTED_VALUE"""),67.0)</f>
        <v>67</v>
      </c>
      <c r="J2730" s="139">
        <f>IFERROR(__xludf.DUMMYFUNCTION("""COMPUTED_VALUE"""),23.0)</f>
        <v>23</v>
      </c>
      <c r="K2730" s="139">
        <f>IFERROR(__xludf.DUMMYFUNCTION("""COMPUTED_VALUE"""),60.0)</f>
        <v>60</v>
      </c>
      <c r="L2730" s="139"/>
      <c r="M2730" s="139"/>
      <c r="N2730" s="139"/>
    </row>
    <row r="2731">
      <c r="A2731" s="139" t="str">
        <f>IFERROR(__xludf.DUMMYFUNCTION("""COMPUTED_VALUE"""),"e")</f>
        <v>e</v>
      </c>
      <c r="B2731" s="139">
        <f>IFERROR(__xludf.DUMMYFUNCTION("""COMPUTED_VALUE"""),2.02602015E8)</f>
        <v>202602015</v>
      </c>
      <c r="C2731" s="139" t="str">
        <f>IFERROR(__xludf.DUMMYFUNCTION("""COMPUTED_VALUE"""),"c_you_00001_you1_1d1c_Normal_Colorless_Special_00001")</f>
        <v>c_you_00001_you1_1d1c_Normal_Colorless_Special_00001</v>
      </c>
      <c r="D2731" s="139" t="str">
        <f>IFERROR(__xludf.DUMMYFUNCTION("""COMPUTED_VALUE"""),"c_you_00001_you1_1d1c_Normal_Colorless")</f>
        <v>c_you_00001_you1_1d1c_Normal_Colorless</v>
      </c>
      <c r="E2731" s="139">
        <f>IFERROR(__xludf.DUMMYFUNCTION("""COMPUTED_VALUE"""),0.0)</f>
        <v>0</v>
      </c>
      <c r="F2731" s="139" t="str">
        <f>IFERROR(__xludf.DUMMYFUNCTION("""COMPUTED_VALUE"""),"Special")</f>
        <v>Special</v>
      </c>
      <c r="G2731" s="139"/>
      <c r="H2731" s="139"/>
      <c r="I2731" s="139">
        <f>IFERROR(__xludf.DUMMYFUNCTION("""COMPUTED_VALUE"""),89.0)</f>
        <v>89</v>
      </c>
      <c r="J2731" s="139">
        <f>IFERROR(__xludf.DUMMYFUNCTION("""COMPUTED_VALUE"""),0.0)</f>
        <v>0</v>
      </c>
      <c r="K2731" s="139">
        <f>IFERROR(__xludf.DUMMYFUNCTION("""COMPUTED_VALUE"""),0.0)</f>
        <v>0</v>
      </c>
      <c r="L2731" s="139"/>
      <c r="M2731" s="139"/>
      <c r="N2731" s="139"/>
    </row>
    <row r="2732">
      <c r="A2732" s="139" t="str">
        <f>IFERROR(__xludf.DUMMYFUNCTION("""COMPUTED_VALUE"""),"e")</f>
        <v>e</v>
      </c>
      <c r="B2732" s="139">
        <f>IFERROR(__xludf.DUMMYFUNCTION("""COMPUTED_VALUE"""),2.02602015E8)</f>
        <v>202602015</v>
      </c>
      <c r="C2732" s="139" t="str">
        <f>IFERROR(__xludf.DUMMYFUNCTION("""COMPUTED_VALUE"""),"c_you_00001_you1_charaget02_Boss_Red_Normal_00000")</f>
        <v>c_you_00001_you1_charaget02_Boss_Red_Normal_00000</v>
      </c>
      <c r="D2732" s="139" t="str">
        <f>IFERROR(__xludf.DUMMYFUNCTION("""COMPUTED_VALUE"""),"c_you_00001_you1_charaget02_Boss_Red")</f>
        <v>c_you_00001_you1_charaget02_Boss_Red</v>
      </c>
      <c r="E2732" s="139">
        <f>IFERROR(__xludf.DUMMYFUNCTION("""COMPUTED_VALUE"""),0.0)</f>
        <v>0</v>
      </c>
      <c r="F2732" s="139" t="str">
        <f>IFERROR(__xludf.DUMMYFUNCTION("""COMPUTED_VALUE"""),"Normal")</f>
        <v>Normal</v>
      </c>
      <c r="G2732" s="139"/>
      <c r="H2732" s="139"/>
      <c r="I2732" s="139">
        <f>IFERROR(__xludf.DUMMYFUNCTION("""COMPUTED_VALUE"""),67.0)</f>
        <v>67</v>
      </c>
      <c r="J2732" s="139">
        <f>IFERROR(__xludf.DUMMYFUNCTION("""COMPUTED_VALUE"""),23.0)</f>
        <v>23</v>
      </c>
      <c r="K2732" s="139">
        <f>IFERROR(__xludf.DUMMYFUNCTION("""COMPUTED_VALUE"""),25.0)</f>
        <v>25</v>
      </c>
      <c r="L2732" s="139"/>
      <c r="M2732" s="139"/>
      <c r="N2732" s="139"/>
    </row>
    <row r="2733">
      <c r="A2733" s="139" t="str">
        <f>IFERROR(__xludf.DUMMYFUNCTION("""COMPUTED_VALUE"""),"e")</f>
        <v>e</v>
      </c>
      <c r="B2733" s="139">
        <f>IFERROR(__xludf.DUMMYFUNCTION("""COMPUTED_VALUE"""),2.02602015E8)</f>
        <v>202602015</v>
      </c>
      <c r="C2733" s="139" t="str">
        <f>IFERROR(__xludf.DUMMYFUNCTION("""COMPUTED_VALUE"""),"c_you_00001_you1_charaget02_Boss_Red_Special_00001")</f>
        <v>c_you_00001_you1_charaget02_Boss_Red_Special_00001</v>
      </c>
      <c r="D2733" s="139" t="str">
        <f>IFERROR(__xludf.DUMMYFUNCTION("""COMPUTED_VALUE"""),"c_you_00001_you1_charaget02_Boss_Red")</f>
        <v>c_you_00001_you1_charaget02_Boss_Red</v>
      </c>
      <c r="E2733" s="139">
        <f>IFERROR(__xludf.DUMMYFUNCTION("""COMPUTED_VALUE"""),0.0)</f>
        <v>0</v>
      </c>
      <c r="F2733" s="139" t="str">
        <f>IFERROR(__xludf.DUMMYFUNCTION("""COMPUTED_VALUE"""),"Special")</f>
        <v>Special</v>
      </c>
      <c r="G2733" s="139"/>
      <c r="H2733" s="139"/>
      <c r="I2733" s="139">
        <f>IFERROR(__xludf.DUMMYFUNCTION("""COMPUTED_VALUE"""),89.0)</f>
        <v>89</v>
      </c>
      <c r="J2733" s="139">
        <f>IFERROR(__xludf.DUMMYFUNCTION("""COMPUTED_VALUE"""),0.0)</f>
        <v>0</v>
      </c>
      <c r="K2733" s="139">
        <f>IFERROR(__xludf.DUMMYFUNCTION("""COMPUTED_VALUE"""),0.0)</f>
        <v>0</v>
      </c>
      <c r="L2733" s="139"/>
      <c r="M2733" s="139"/>
      <c r="N2733" s="139"/>
    </row>
    <row r="2734">
      <c r="A2734" s="139" t="str">
        <f>IFERROR(__xludf.DUMMYFUNCTION("""COMPUTED_VALUE"""),"e")</f>
        <v>e</v>
      </c>
      <c r="B2734" s="139">
        <f>IFERROR(__xludf.DUMMYFUNCTION("""COMPUTED_VALUE"""),2.02602015E8)</f>
        <v>202602015</v>
      </c>
      <c r="C2734" s="139" t="str">
        <f>IFERROR(__xludf.DUMMYFUNCTION("""COMPUTED_VALUE"""),"c_you_00001_you1_charaget02_Boss_Red_Appearance_00002")</f>
        <v>c_you_00001_you1_charaget02_Boss_Red_Appearance_00002</v>
      </c>
      <c r="D2734" s="139" t="str">
        <f>IFERROR(__xludf.DUMMYFUNCTION("""COMPUTED_VALUE"""),"c_you_00001_you1_charaget02_Boss_Red")</f>
        <v>c_you_00001_you1_charaget02_Boss_Red</v>
      </c>
      <c r="E2734" s="139">
        <f>IFERROR(__xludf.DUMMYFUNCTION("""COMPUTED_VALUE"""),0.0)</f>
        <v>0</v>
      </c>
      <c r="F2734" s="139" t="str">
        <f>IFERROR(__xludf.DUMMYFUNCTION("""COMPUTED_VALUE"""),"Appearance")</f>
        <v>Appearance</v>
      </c>
      <c r="G2734" s="139"/>
      <c r="H2734" s="139"/>
      <c r="I2734" s="139">
        <f>IFERROR(__xludf.DUMMYFUNCTION("""COMPUTED_VALUE"""),50.0)</f>
        <v>50</v>
      </c>
      <c r="J2734" s="139">
        <f>IFERROR(__xludf.DUMMYFUNCTION("""COMPUTED_VALUE"""),0.0)</f>
        <v>0</v>
      </c>
      <c r="K2734" s="139">
        <f>IFERROR(__xludf.DUMMYFUNCTION("""COMPUTED_VALUE"""),0.0)</f>
        <v>0</v>
      </c>
      <c r="L2734" s="139"/>
      <c r="M2734" s="139"/>
      <c r="N2734" s="139"/>
    </row>
    <row r="2735">
      <c r="A2735" s="139" t="str">
        <f>IFERROR(__xludf.DUMMYFUNCTION("""COMPUTED_VALUE"""),"e")</f>
        <v>e</v>
      </c>
      <c r="B2735" s="139">
        <f>IFERROR(__xludf.DUMMYFUNCTION("""COMPUTED_VALUE"""),2.02602015E8)</f>
        <v>202602015</v>
      </c>
      <c r="C2735" s="139" t="str">
        <f>IFERROR(__xludf.DUMMYFUNCTION("""COMPUTED_VALUE"""),"c_you_00201_you1_charaget02_Boss_Red_Normal_00000")</f>
        <v>c_you_00201_you1_charaget02_Boss_Red_Normal_00000</v>
      </c>
      <c r="D2735" s="139" t="str">
        <f>IFERROR(__xludf.DUMMYFUNCTION("""COMPUTED_VALUE"""),"c_you_00201_you1_charaget02_Boss_Red")</f>
        <v>c_you_00201_you1_charaget02_Boss_Red</v>
      </c>
      <c r="E2735" s="139">
        <f>IFERROR(__xludf.DUMMYFUNCTION("""COMPUTED_VALUE"""),0.0)</f>
        <v>0</v>
      </c>
      <c r="F2735" s="139" t="str">
        <f>IFERROR(__xludf.DUMMYFUNCTION("""COMPUTED_VALUE"""),"Normal")</f>
        <v>Normal</v>
      </c>
      <c r="G2735" s="139"/>
      <c r="H2735" s="139"/>
      <c r="I2735" s="139">
        <f>IFERROR(__xludf.DUMMYFUNCTION("""COMPUTED_VALUE"""),84.0)</f>
        <v>84</v>
      </c>
      <c r="J2735" s="139">
        <f>IFERROR(__xludf.DUMMYFUNCTION("""COMPUTED_VALUE"""),32.0)</f>
        <v>32</v>
      </c>
      <c r="K2735" s="139">
        <f>IFERROR(__xludf.DUMMYFUNCTION("""COMPUTED_VALUE"""),30.0)</f>
        <v>30</v>
      </c>
      <c r="L2735" s="139"/>
      <c r="M2735" s="139"/>
      <c r="N2735" s="139"/>
    </row>
    <row r="2736">
      <c r="A2736" s="139" t="str">
        <f>IFERROR(__xludf.DUMMYFUNCTION("""COMPUTED_VALUE"""),"e")</f>
        <v>e</v>
      </c>
      <c r="B2736" s="139">
        <f>IFERROR(__xludf.DUMMYFUNCTION("""COMPUTED_VALUE"""),2.02602015E8)</f>
        <v>202602015</v>
      </c>
      <c r="C2736" s="139" t="str">
        <f>IFERROR(__xludf.DUMMYFUNCTION("""COMPUTED_VALUE"""),"c_you_00201_you1_charaget02_Boss_Red_Special_00001")</f>
        <v>c_you_00201_you1_charaget02_Boss_Red_Special_00001</v>
      </c>
      <c r="D2736" s="139" t="str">
        <f>IFERROR(__xludf.DUMMYFUNCTION("""COMPUTED_VALUE"""),"c_you_00201_you1_charaget02_Boss_Red")</f>
        <v>c_you_00201_you1_charaget02_Boss_Red</v>
      </c>
      <c r="E2736" s="139">
        <f>IFERROR(__xludf.DUMMYFUNCTION("""COMPUTED_VALUE"""),0.0)</f>
        <v>0</v>
      </c>
      <c r="F2736" s="139" t="str">
        <f>IFERROR(__xludf.DUMMYFUNCTION("""COMPUTED_VALUE"""),"Special")</f>
        <v>Special</v>
      </c>
      <c r="G2736" s="139"/>
      <c r="H2736" s="139"/>
      <c r="I2736" s="139">
        <f>IFERROR(__xludf.DUMMYFUNCTION("""COMPUTED_VALUE"""),159.0)</f>
        <v>159</v>
      </c>
      <c r="J2736" s="139">
        <f>IFERROR(__xludf.DUMMYFUNCTION("""COMPUTED_VALUE"""),0.0)</f>
        <v>0</v>
      </c>
      <c r="K2736" s="139">
        <f>IFERROR(__xludf.DUMMYFUNCTION("""COMPUTED_VALUE"""),0.0)</f>
        <v>0</v>
      </c>
      <c r="L2736" s="139"/>
      <c r="M2736" s="139"/>
      <c r="N2736" s="139"/>
    </row>
    <row r="2737">
      <c r="A2737" s="139" t="str">
        <f>IFERROR(__xludf.DUMMYFUNCTION("""COMPUTED_VALUE"""),"e")</f>
        <v>e</v>
      </c>
      <c r="B2737" s="139">
        <f>IFERROR(__xludf.DUMMYFUNCTION("""COMPUTED_VALUE"""),2.02602015E8)</f>
        <v>202602015</v>
      </c>
      <c r="C2737" s="139" t="str">
        <f>IFERROR(__xludf.DUMMYFUNCTION("""COMPUTED_VALUE"""),"c_you_00201_you1_charaget02_Boss_Red_Appearance_00002")</f>
        <v>c_you_00201_you1_charaget02_Boss_Red_Appearance_00002</v>
      </c>
      <c r="D2737" s="139" t="str">
        <f>IFERROR(__xludf.DUMMYFUNCTION("""COMPUTED_VALUE"""),"c_you_00201_you1_charaget02_Boss_Red")</f>
        <v>c_you_00201_you1_charaget02_Boss_Red</v>
      </c>
      <c r="E2737" s="139">
        <f>IFERROR(__xludf.DUMMYFUNCTION("""COMPUTED_VALUE"""),0.0)</f>
        <v>0</v>
      </c>
      <c r="F2737" s="139" t="str">
        <f>IFERROR(__xludf.DUMMYFUNCTION("""COMPUTED_VALUE"""),"Appearance")</f>
        <v>Appearance</v>
      </c>
      <c r="G2737" s="139"/>
      <c r="H2737" s="139"/>
      <c r="I2737" s="139">
        <f>IFERROR(__xludf.DUMMYFUNCTION("""COMPUTED_VALUE"""),50.0)</f>
        <v>50</v>
      </c>
      <c r="J2737" s="139">
        <f>IFERROR(__xludf.DUMMYFUNCTION("""COMPUTED_VALUE"""),0.0)</f>
        <v>0</v>
      </c>
      <c r="K2737" s="139">
        <f>IFERROR(__xludf.DUMMYFUNCTION("""COMPUTED_VALUE"""),0.0)</f>
        <v>0</v>
      </c>
      <c r="L2737" s="139"/>
      <c r="M2737" s="139"/>
      <c r="N2737" s="139"/>
    </row>
    <row r="2738">
      <c r="A2738" s="139" t="str">
        <f>IFERROR(__xludf.DUMMYFUNCTION("""COMPUTED_VALUE"""),"e")</f>
        <v>e</v>
      </c>
      <c r="B2738" s="139">
        <f>IFERROR(__xludf.DUMMYFUNCTION("""COMPUTED_VALUE"""),2.02602015E8)</f>
        <v>202602015</v>
      </c>
      <c r="C2738" s="139" t="str">
        <f>IFERROR(__xludf.DUMMYFUNCTION("""COMPUTED_VALUE"""),"c_you_00301_you1_charaget02_Boss_Red_Normal_00000")</f>
        <v>c_you_00301_you1_charaget02_Boss_Red_Normal_00000</v>
      </c>
      <c r="D2738" s="139" t="str">
        <f>IFERROR(__xludf.DUMMYFUNCTION("""COMPUTED_VALUE"""),"c_you_00301_you1_charaget02_Boss_Red")</f>
        <v>c_you_00301_you1_charaget02_Boss_Red</v>
      </c>
      <c r="E2738" s="139">
        <f>IFERROR(__xludf.DUMMYFUNCTION("""COMPUTED_VALUE"""),0.0)</f>
        <v>0</v>
      </c>
      <c r="F2738" s="139" t="str">
        <f>IFERROR(__xludf.DUMMYFUNCTION("""COMPUTED_VALUE"""),"Normal")</f>
        <v>Normal</v>
      </c>
      <c r="G2738" s="139"/>
      <c r="H2738" s="139"/>
      <c r="I2738" s="139">
        <f>IFERROR(__xludf.DUMMYFUNCTION("""COMPUTED_VALUE"""),89.0)</f>
        <v>89</v>
      </c>
      <c r="J2738" s="139">
        <f>IFERROR(__xludf.DUMMYFUNCTION("""COMPUTED_VALUE"""),35.0)</f>
        <v>35</v>
      </c>
      <c r="K2738" s="139">
        <f>IFERROR(__xludf.DUMMYFUNCTION("""COMPUTED_VALUE"""),60.0)</f>
        <v>60</v>
      </c>
      <c r="L2738" s="139"/>
      <c r="M2738" s="139"/>
      <c r="N2738" s="139"/>
    </row>
    <row r="2739">
      <c r="A2739" s="139" t="str">
        <f>IFERROR(__xludf.DUMMYFUNCTION("""COMPUTED_VALUE"""),"e")</f>
        <v>e</v>
      </c>
      <c r="B2739" s="139">
        <f>IFERROR(__xludf.DUMMYFUNCTION("""COMPUTED_VALUE"""),2.02602015E8)</f>
        <v>202602015</v>
      </c>
      <c r="C2739" s="139" t="str">
        <f>IFERROR(__xludf.DUMMYFUNCTION("""COMPUTED_VALUE"""),"c_you_00301_you1_charaget02_Boss_Red_Special_00001")</f>
        <v>c_you_00301_you1_charaget02_Boss_Red_Special_00001</v>
      </c>
      <c r="D2739" s="139" t="str">
        <f>IFERROR(__xludf.DUMMYFUNCTION("""COMPUTED_VALUE"""),"c_you_00301_you1_charaget02_Boss_Red")</f>
        <v>c_you_00301_you1_charaget02_Boss_Red</v>
      </c>
      <c r="E2739" s="139">
        <f>IFERROR(__xludf.DUMMYFUNCTION("""COMPUTED_VALUE"""),0.0)</f>
        <v>0</v>
      </c>
      <c r="F2739" s="139" t="str">
        <f>IFERROR(__xludf.DUMMYFUNCTION("""COMPUTED_VALUE"""),"Special")</f>
        <v>Special</v>
      </c>
      <c r="G2739" s="139"/>
      <c r="H2739" s="139"/>
      <c r="I2739" s="139">
        <f>IFERROR(__xludf.DUMMYFUNCTION("""COMPUTED_VALUE"""),184.0)</f>
        <v>184</v>
      </c>
      <c r="J2739" s="139">
        <f>IFERROR(__xludf.DUMMYFUNCTION("""COMPUTED_VALUE"""),110.0)</f>
        <v>110</v>
      </c>
      <c r="K2739" s="139">
        <f>IFERROR(__xludf.DUMMYFUNCTION("""COMPUTED_VALUE"""),0.0)</f>
        <v>0</v>
      </c>
      <c r="L2739" s="139"/>
      <c r="M2739" s="139"/>
      <c r="N2739" s="139"/>
    </row>
    <row r="2740">
      <c r="A2740" s="139" t="str">
        <f>IFERROR(__xludf.DUMMYFUNCTION("""COMPUTED_VALUE"""),"e")</f>
        <v>e</v>
      </c>
      <c r="B2740" s="139">
        <f>IFERROR(__xludf.DUMMYFUNCTION("""COMPUTED_VALUE"""),2.02602015E8)</f>
        <v>202602015</v>
      </c>
      <c r="C2740" s="139" t="str">
        <f>IFERROR(__xludf.DUMMYFUNCTION("""COMPUTED_VALUE"""),"c_you_00301_you1_charaget02_Boss_Red_Appearance_00002")</f>
        <v>c_you_00301_you1_charaget02_Boss_Red_Appearance_00002</v>
      </c>
      <c r="D2740" s="139" t="str">
        <f>IFERROR(__xludf.DUMMYFUNCTION("""COMPUTED_VALUE"""),"c_you_00301_you1_charaget02_Boss_Red")</f>
        <v>c_you_00301_you1_charaget02_Boss_Red</v>
      </c>
      <c r="E2740" s="139">
        <f>IFERROR(__xludf.DUMMYFUNCTION("""COMPUTED_VALUE"""),0.0)</f>
        <v>0</v>
      </c>
      <c r="F2740" s="139" t="str">
        <f>IFERROR(__xludf.DUMMYFUNCTION("""COMPUTED_VALUE"""),"Appearance")</f>
        <v>Appearance</v>
      </c>
      <c r="G2740" s="139"/>
      <c r="H2740" s="139"/>
      <c r="I2740" s="139">
        <f>IFERROR(__xludf.DUMMYFUNCTION("""COMPUTED_VALUE"""),50.0)</f>
        <v>50</v>
      </c>
      <c r="J2740" s="139">
        <f>IFERROR(__xludf.DUMMYFUNCTION("""COMPUTED_VALUE"""),0.0)</f>
        <v>0</v>
      </c>
      <c r="K2740" s="139">
        <f>IFERROR(__xludf.DUMMYFUNCTION("""COMPUTED_VALUE"""),0.0)</f>
        <v>0</v>
      </c>
      <c r="L2740" s="139"/>
      <c r="M2740" s="139"/>
      <c r="N2740" s="139"/>
    </row>
    <row r="2741">
      <c r="A2741" s="139" t="str">
        <f>IFERROR(__xludf.DUMMYFUNCTION("""COMPUTED_VALUE"""),"e")</f>
        <v>e</v>
      </c>
      <c r="B2741" s="139">
        <f>IFERROR(__xludf.DUMMYFUNCTION("""COMPUTED_VALUE"""),2.02602015E8)</f>
        <v>202602015</v>
      </c>
      <c r="C2741" s="139" t="str">
        <f>IFERROR(__xludf.DUMMYFUNCTION("""COMPUTED_VALUE"""),"c_you_00301_you1_charaget02_Normal_Red_Normal_00000")</f>
        <v>c_you_00301_you1_charaget02_Normal_Red_Normal_00000</v>
      </c>
      <c r="D2741" s="139" t="str">
        <f>IFERROR(__xludf.DUMMYFUNCTION("""COMPUTED_VALUE"""),"c_you_00301_you1_charaget02_Normal_Red")</f>
        <v>c_you_00301_you1_charaget02_Normal_Red</v>
      </c>
      <c r="E2741" s="139">
        <f>IFERROR(__xludf.DUMMYFUNCTION("""COMPUTED_VALUE"""),0.0)</f>
        <v>0</v>
      </c>
      <c r="F2741" s="139" t="str">
        <f>IFERROR(__xludf.DUMMYFUNCTION("""COMPUTED_VALUE"""),"Normal")</f>
        <v>Normal</v>
      </c>
      <c r="G2741" s="139"/>
      <c r="H2741" s="139"/>
      <c r="I2741" s="139">
        <f>IFERROR(__xludf.DUMMYFUNCTION("""COMPUTED_VALUE"""),89.0)</f>
        <v>89</v>
      </c>
      <c r="J2741" s="139">
        <f>IFERROR(__xludf.DUMMYFUNCTION("""COMPUTED_VALUE"""),35.0)</f>
        <v>35</v>
      </c>
      <c r="K2741" s="139">
        <f>IFERROR(__xludf.DUMMYFUNCTION("""COMPUTED_VALUE"""),60.0)</f>
        <v>60</v>
      </c>
      <c r="L2741" s="139"/>
      <c r="M2741" s="139"/>
      <c r="N2741" s="139"/>
    </row>
    <row r="2742">
      <c r="A2742" s="139" t="str">
        <f>IFERROR(__xludf.DUMMYFUNCTION("""COMPUTED_VALUE"""),"e")</f>
        <v>e</v>
      </c>
      <c r="B2742" s="139">
        <f>IFERROR(__xludf.DUMMYFUNCTION("""COMPUTED_VALUE"""),2.02602015E8)</f>
        <v>202602015</v>
      </c>
      <c r="C2742" s="139" t="str">
        <f>IFERROR(__xludf.DUMMYFUNCTION("""COMPUTED_VALUE"""),"e_you_00001_you1_charaget02_Normal_Red_Normal_00000")</f>
        <v>e_you_00001_you1_charaget02_Normal_Red_Normal_00000</v>
      </c>
      <c r="D2742" s="139" t="str">
        <f>IFERROR(__xludf.DUMMYFUNCTION("""COMPUTED_VALUE"""),"e_you_00001_you1_charaget02_Normal_Red")</f>
        <v>e_you_00001_you1_charaget02_Normal_Red</v>
      </c>
      <c r="E2742" s="139">
        <f>IFERROR(__xludf.DUMMYFUNCTION("""COMPUTED_VALUE"""),0.0)</f>
        <v>0</v>
      </c>
      <c r="F2742" s="139" t="str">
        <f>IFERROR(__xludf.DUMMYFUNCTION("""COMPUTED_VALUE"""),"Normal")</f>
        <v>Normal</v>
      </c>
      <c r="G2742" s="139"/>
      <c r="H2742" s="139"/>
      <c r="I2742" s="139">
        <f>IFERROR(__xludf.DUMMYFUNCTION("""COMPUTED_VALUE"""),64.0)</f>
        <v>64</v>
      </c>
      <c r="J2742" s="139">
        <f>IFERROR(__xludf.DUMMYFUNCTION("""COMPUTED_VALUE"""),25.0)</f>
        <v>25</v>
      </c>
      <c r="K2742" s="139">
        <f>IFERROR(__xludf.DUMMYFUNCTION("""COMPUTED_VALUE"""),50.0)</f>
        <v>50</v>
      </c>
      <c r="L2742" s="139"/>
      <c r="M2742" s="139"/>
      <c r="N2742" s="139"/>
    </row>
    <row r="2743">
      <c r="A2743" s="139" t="str">
        <f>IFERROR(__xludf.DUMMYFUNCTION("""COMPUTED_VALUE"""),"e")</f>
        <v>e</v>
      </c>
      <c r="B2743" s="139">
        <f>IFERROR(__xludf.DUMMYFUNCTION("""COMPUTED_VALUE"""),2.02602015E8)</f>
        <v>202602015</v>
      </c>
      <c r="C2743" s="139" t="str">
        <f>IFERROR(__xludf.DUMMYFUNCTION("""COMPUTED_VALUE"""),"e_you_00101_you1_charaget02_Normal_Red_Normal_00000")</f>
        <v>e_you_00101_you1_charaget02_Normal_Red_Normal_00000</v>
      </c>
      <c r="D2743" s="139" t="str">
        <f>IFERROR(__xludf.DUMMYFUNCTION("""COMPUTED_VALUE"""),"e_you_00101_you1_charaget02_Normal_Red")</f>
        <v>e_you_00101_you1_charaget02_Normal_Red</v>
      </c>
      <c r="E2743" s="139">
        <f>IFERROR(__xludf.DUMMYFUNCTION("""COMPUTED_VALUE"""),0.0)</f>
        <v>0</v>
      </c>
      <c r="F2743" s="139" t="str">
        <f>IFERROR(__xludf.DUMMYFUNCTION("""COMPUTED_VALUE"""),"Normal")</f>
        <v>Normal</v>
      </c>
      <c r="G2743" s="139"/>
      <c r="H2743" s="139"/>
      <c r="I2743" s="139">
        <f>IFERROR(__xludf.DUMMYFUNCTION("""COMPUTED_VALUE"""),64.0)</f>
        <v>64</v>
      </c>
      <c r="J2743" s="139">
        <f>IFERROR(__xludf.DUMMYFUNCTION("""COMPUTED_VALUE"""),28.000000000000004)</f>
        <v>28</v>
      </c>
      <c r="K2743" s="139">
        <f>IFERROR(__xludf.DUMMYFUNCTION("""COMPUTED_VALUE"""),70.0)</f>
        <v>70</v>
      </c>
      <c r="L2743" s="139"/>
      <c r="M2743" s="139"/>
      <c r="N2743" s="139"/>
    </row>
    <row r="2744">
      <c r="A2744" s="139" t="str">
        <f>IFERROR(__xludf.DUMMYFUNCTION("""COMPUTED_VALUE"""),"e")</f>
        <v>e</v>
      </c>
      <c r="B2744" s="139">
        <f>IFERROR(__xludf.DUMMYFUNCTION("""COMPUTED_VALUE"""),2.02602015E8)</f>
        <v>202602015</v>
      </c>
      <c r="C2744" s="139" t="str">
        <f>IFERROR(__xludf.DUMMYFUNCTION("""COMPUTED_VALUE"""),"c_you_00001_you1_charaget01_Boss_Colorless_Normal_00000")</f>
        <v>c_you_00001_you1_charaget01_Boss_Colorless_Normal_00000</v>
      </c>
      <c r="D2744" s="139" t="str">
        <f>IFERROR(__xludf.DUMMYFUNCTION("""COMPUTED_VALUE"""),"c_you_00001_you1_charaget01_Boss_Colorless")</f>
        <v>c_you_00001_you1_charaget01_Boss_Colorless</v>
      </c>
      <c r="E2744" s="139">
        <f>IFERROR(__xludf.DUMMYFUNCTION("""COMPUTED_VALUE"""),0.0)</f>
        <v>0</v>
      </c>
      <c r="F2744" s="139" t="str">
        <f>IFERROR(__xludf.DUMMYFUNCTION("""COMPUTED_VALUE"""),"Normal")</f>
        <v>Normal</v>
      </c>
      <c r="G2744" s="139"/>
      <c r="H2744" s="139"/>
      <c r="I2744" s="139">
        <f>IFERROR(__xludf.DUMMYFUNCTION("""COMPUTED_VALUE"""),67.0)</f>
        <v>67</v>
      </c>
      <c r="J2744" s="139">
        <f>IFERROR(__xludf.DUMMYFUNCTION("""COMPUTED_VALUE"""),23.0)</f>
        <v>23</v>
      </c>
      <c r="K2744" s="139">
        <f>IFERROR(__xludf.DUMMYFUNCTION("""COMPUTED_VALUE"""),10.0)</f>
        <v>10</v>
      </c>
      <c r="L2744" s="139"/>
      <c r="M2744" s="139"/>
      <c r="N2744" s="139"/>
    </row>
    <row r="2745">
      <c r="A2745" s="139" t="str">
        <f>IFERROR(__xludf.DUMMYFUNCTION("""COMPUTED_VALUE"""),"e")</f>
        <v>e</v>
      </c>
      <c r="B2745" s="139">
        <f>IFERROR(__xludf.DUMMYFUNCTION("""COMPUTED_VALUE"""),2.02602015E8)</f>
        <v>202602015</v>
      </c>
      <c r="C2745" s="139" t="str">
        <f>IFERROR(__xludf.DUMMYFUNCTION("""COMPUTED_VALUE"""),"c_you_00001_you1_charaget01_Boss_Colorless_Special_00001")</f>
        <v>c_you_00001_you1_charaget01_Boss_Colorless_Special_00001</v>
      </c>
      <c r="D2745" s="139" t="str">
        <f>IFERROR(__xludf.DUMMYFUNCTION("""COMPUTED_VALUE"""),"c_you_00001_you1_charaget01_Boss_Colorless")</f>
        <v>c_you_00001_you1_charaget01_Boss_Colorless</v>
      </c>
      <c r="E2745" s="139">
        <f>IFERROR(__xludf.DUMMYFUNCTION("""COMPUTED_VALUE"""),0.0)</f>
        <v>0</v>
      </c>
      <c r="F2745" s="139" t="str">
        <f>IFERROR(__xludf.DUMMYFUNCTION("""COMPUTED_VALUE"""),"Special")</f>
        <v>Special</v>
      </c>
      <c r="G2745" s="139"/>
      <c r="H2745" s="139"/>
      <c r="I2745" s="139">
        <f>IFERROR(__xludf.DUMMYFUNCTION("""COMPUTED_VALUE"""),89.0)</f>
        <v>89</v>
      </c>
      <c r="J2745" s="139">
        <f>IFERROR(__xludf.DUMMYFUNCTION("""COMPUTED_VALUE"""),0.0)</f>
        <v>0</v>
      </c>
      <c r="K2745" s="139">
        <f>IFERROR(__xludf.DUMMYFUNCTION("""COMPUTED_VALUE"""),0.0)</f>
        <v>0</v>
      </c>
      <c r="L2745" s="139"/>
      <c r="M2745" s="139"/>
      <c r="N2745" s="139"/>
    </row>
    <row r="2746">
      <c r="A2746" s="139" t="str">
        <f>IFERROR(__xludf.DUMMYFUNCTION("""COMPUTED_VALUE"""),"e")</f>
        <v>e</v>
      </c>
      <c r="B2746" s="139">
        <f>IFERROR(__xludf.DUMMYFUNCTION("""COMPUTED_VALUE"""),2.02602015E8)</f>
        <v>202602015</v>
      </c>
      <c r="C2746" s="139" t="str">
        <f>IFERROR(__xludf.DUMMYFUNCTION("""COMPUTED_VALUE"""),"c_you_00001_you1_charaget01_Boss_Colorless_Appearance_00002")</f>
        <v>c_you_00001_you1_charaget01_Boss_Colorless_Appearance_00002</v>
      </c>
      <c r="D2746" s="139" t="str">
        <f>IFERROR(__xludf.DUMMYFUNCTION("""COMPUTED_VALUE"""),"c_you_00001_you1_charaget01_Boss_Colorless")</f>
        <v>c_you_00001_you1_charaget01_Boss_Colorless</v>
      </c>
      <c r="E2746" s="139">
        <f>IFERROR(__xludf.DUMMYFUNCTION("""COMPUTED_VALUE"""),0.0)</f>
        <v>0</v>
      </c>
      <c r="F2746" s="139" t="str">
        <f>IFERROR(__xludf.DUMMYFUNCTION("""COMPUTED_VALUE"""),"Appearance")</f>
        <v>Appearance</v>
      </c>
      <c r="G2746" s="139"/>
      <c r="H2746" s="139"/>
      <c r="I2746" s="139">
        <f>IFERROR(__xludf.DUMMYFUNCTION("""COMPUTED_VALUE"""),50.0)</f>
        <v>50</v>
      </c>
      <c r="J2746" s="139">
        <f>IFERROR(__xludf.DUMMYFUNCTION("""COMPUTED_VALUE"""),0.0)</f>
        <v>0</v>
      </c>
      <c r="K2746" s="139">
        <f>IFERROR(__xludf.DUMMYFUNCTION("""COMPUTED_VALUE"""),0.0)</f>
        <v>0</v>
      </c>
      <c r="L2746" s="139"/>
      <c r="M2746" s="139"/>
      <c r="N2746" s="139"/>
    </row>
    <row r="2747">
      <c r="A2747" s="139" t="str">
        <f>IFERROR(__xludf.DUMMYFUNCTION("""COMPUTED_VALUE"""),"e")</f>
        <v>e</v>
      </c>
      <c r="B2747" s="139">
        <f>IFERROR(__xludf.DUMMYFUNCTION("""COMPUTED_VALUE"""),2.02602015E8)</f>
        <v>202602015</v>
      </c>
      <c r="C2747" s="139" t="str">
        <f>IFERROR(__xludf.DUMMYFUNCTION("""COMPUTED_VALUE"""),"c_you_00201_you1_charaget01_Boss_Yellow_Normal_00000")</f>
        <v>c_you_00201_you1_charaget01_Boss_Yellow_Normal_00000</v>
      </c>
      <c r="D2747" s="139" t="str">
        <f>IFERROR(__xludf.DUMMYFUNCTION("""COMPUTED_VALUE"""),"c_you_00201_you1_charaget01_Boss_Yellow")</f>
        <v>c_you_00201_you1_charaget01_Boss_Yellow</v>
      </c>
      <c r="E2747" s="139">
        <f>IFERROR(__xludf.DUMMYFUNCTION("""COMPUTED_VALUE"""),0.0)</f>
        <v>0</v>
      </c>
      <c r="F2747" s="139" t="str">
        <f>IFERROR(__xludf.DUMMYFUNCTION("""COMPUTED_VALUE"""),"Normal")</f>
        <v>Normal</v>
      </c>
      <c r="G2747" s="139"/>
      <c r="H2747" s="139"/>
      <c r="I2747" s="139">
        <f>IFERROR(__xludf.DUMMYFUNCTION("""COMPUTED_VALUE"""),83.0)</f>
        <v>83</v>
      </c>
      <c r="J2747" s="139">
        <f>IFERROR(__xludf.DUMMYFUNCTION("""COMPUTED_VALUE"""),32.0)</f>
        <v>32</v>
      </c>
      <c r="K2747" s="139">
        <f>IFERROR(__xludf.DUMMYFUNCTION("""COMPUTED_VALUE"""),10.0)</f>
        <v>10</v>
      </c>
      <c r="L2747" s="139"/>
      <c r="M2747" s="139"/>
      <c r="N2747" s="139"/>
    </row>
    <row r="2748">
      <c r="A2748" s="139" t="str">
        <f>IFERROR(__xludf.DUMMYFUNCTION("""COMPUTED_VALUE"""),"e")</f>
        <v>e</v>
      </c>
      <c r="B2748" s="139">
        <f>IFERROR(__xludf.DUMMYFUNCTION("""COMPUTED_VALUE"""),2.02602015E8)</f>
        <v>202602015</v>
      </c>
      <c r="C2748" s="139" t="str">
        <f>IFERROR(__xludf.DUMMYFUNCTION("""COMPUTED_VALUE"""),"c_you_00201_you1_charaget01_Boss_Yellow_Special_00001")</f>
        <v>c_you_00201_you1_charaget01_Boss_Yellow_Special_00001</v>
      </c>
      <c r="D2748" s="139" t="str">
        <f>IFERROR(__xludf.DUMMYFUNCTION("""COMPUTED_VALUE"""),"c_you_00201_you1_charaget01_Boss_Yellow")</f>
        <v>c_you_00201_you1_charaget01_Boss_Yellow</v>
      </c>
      <c r="E2748" s="139">
        <f>IFERROR(__xludf.DUMMYFUNCTION("""COMPUTED_VALUE"""),0.0)</f>
        <v>0</v>
      </c>
      <c r="F2748" s="139" t="str">
        <f>IFERROR(__xludf.DUMMYFUNCTION("""COMPUTED_VALUE"""),"Special")</f>
        <v>Special</v>
      </c>
      <c r="G2748" s="139"/>
      <c r="H2748" s="139"/>
      <c r="I2748" s="139">
        <f>IFERROR(__xludf.DUMMYFUNCTION("""COMPUTED_VALUE"""),158.0)</f>
        <v>158</v>
      </c>
      <c r="J2748" s="139">
        <f>IFERROR(__xludf.DUMMYFUNCTION("""COMPUTED_VALUE"""),0.0)</f>
        <v>0</v>
      </c>
      <c r="K2748" s="139">
        <f>IFERROR(__xludf.DUMMYFUNCTION("""COMPUTED_VALUE"""),0.0)</f>
        <v>0</v>
      </c>
      <c r="L2748" s="139"/>
      <c r="M2748" s="139"/>
      <c r="N2748" s="139"/>
    </row>
    <row r="2749">
      <c r="A2749" s="139" t="str">
        <f>IFERROR(__xludf.DUMMYFUNCTION("""COMPUTED_VALUE"""),"e")</f>
        <v>e</v>
      </c>
      <c r="B2749" s="139">
        <f>IFERROR(__xludf.DUMMYFUNCTION("""COMPUTED_VALUE"""),2.02602015E8)</f>
        <v>202602015</v>
      </c>
      <c r="C2749" s="139" t="str">
        <f>IFERROR(__xludf.DUMMYFUNCTION("""COMPUTED_VALUE"""),"c_you_00201_you1_charaget01_Boss_Yellow_Appearance_00002")</f>
        <v>c_you_00201_you1_charaget01_Boss_Yellow_Appearance_00002</v>
      </c>
      <c r="D2749" s="139" t="str">
        <f>IFERROR(__xludf.DUMMYFUNCTION("""COMPUTED_VALUE"""),"c_you_00201_you1_charaget01_Boss_Yellow")</f>
        <v>c_you_00201_you1_charaget01_Boss_Yellow</v>
      </c>
      <c r="E2749" s="139">
        <f>IFERROR(__xludf.DUMMYFUNCTION("""COMPUTED_VALUE"""),0.0)</f>
        <v>0</v>
      </c>
      <c r="F2749" s="139" t="str">
        <f>IFERROR(__xludf.DUMMYFUNCTION("""COMPUTED_VALUE"""),"Appearance")</f>
        <v>Appearance</v>
      </c>
      <c r="G2749" s="139"/>
      <c r="H2749" s="139"/>
      <c r="I2749" s="139">
        <f>IFERROR(__xludf.DUMMYFUNCTION("""COMPUTED_VALUE"""),50.0)</f>
        <v>50</v>
      </c>
      <c r="J2749" s="139">
        <f>IFERROR(__xludf.DUMMYFUNCTION("""COMPUTED_VALUE"""),0.0)</f>
        <v>0</v>
      </c>
      <c r="K2749" s="139">
        <f>IFERROR(__xludf.DUMMYFUNCTION("""COMPUTED_VALUE"""),0.0)</f>
        <v>0</v>
      </c>
      <c r="L2749" s="139"/>
      <c r="M2749" s="139"/>
      <c r="N2749" s="139"/>
    </row>
    <row r="2750">
      <c r="A2750" s="139" t="str">
        <f>IFERROR(__xludf.DUMMYFUNCTION("""COMPUTED_VALUE"""),"e")</f>
        <v>e</v>
      </c>
      <c r="B2750" s="139">
        <f>IFERROR(__xludf.DUMMYFUNCTION("""COMPUTED_VALUE"""),2.02602015E8)</f>
        <v>202602015</v>
      </c>
      <c r="C2750" s="139" t="str">
        <f>IFERROR(__xludf.DUMMYFUNCTION("""COMPUTED_VALUE"""),"e_you_00001_you1_charaget01_Normal_Colorless_Normal_00000")</f>
        <v>e_you_00001_you1_charaget01_Normal_Colorless_Normal_00000</v>
      </c>
      <c r="D2750" s="139" t="str">
        <f>IFERROR(__xludf.DUMMYFUNCTION("""COMPUTED_VALUE"""),"e_you_00001_you1_charaget01_Normal_Colorless")</f>
        <v>e_you_00001_you1_charaget01_Normal_Colorless</v>
      </c>
      <c r="E2750" s="139">
        <f>IFERROR(__xludf.DUMMYFUNCTION("""COMPUTED_VALUE"""),0.0)</f>
        <v>0</v>
      </c>
      <c r="F2750" s="139" t="str">
        <f>IFERROR(__xludf.DUMMYFUNCTION("""COMPUTED_VALUE"""),"Normal")</f>
        <v>Normal</v>
      </c>
      <c r="G2750" s="139"/>
      <c r="H2750" s="139"/>
      <c r="I2750" s="139">
        <f>IFERROR(__xludf.DUMMYFUNCTION("""COMPUTED_VALUE"""),89.0)</f>
        <v>89</v>
      </c>
      <c r="J2750" s="139">
        <f>IFERROR(__xludf.DUMMYFUNCTION("""COMPUTED_VALUE"""),35.0)</f>
        <v>35</v>
      </c>
      <c r="K2750" s="139">
        <f>IFERROR(__xludf.DUMMYFUNCTION("""COMPUTED_VALUE"""),20.0)</f>
        <v>20</v>
      </c>
      <c r="L2750" s="139"/>
      <c r="M2750" s="139"/>
      <c r="N2750" s="139"/>
    </row>
    <row r="2751">
      <c r="A2751" s="139" t="str">
        <f>IFERROR(__xludf.DUMMYFUNCTION("""COMPUTED_VALUE"""),"e")</f>
        <v>e</v>
      </c>
      <c r="B2751" s="139">
        <f>IFERROR(__xludf.DUMMYFUNCTION("""COMPUTED_VALUE"""),2.02602015E8)</f>
        <v>202602015</v>
      </c>
      <c r="C2751" s="139" t="str">
        <f>IFERROR(__xludf.DUMMYFUNCTION("""COMPUTED_VALUE"""),"e_you_00101_you1_charaget01_Normal_Yellow_Normal_00000")</f>
        <v>e_you_00101_you1_charaget01_Normal_Yellow_Normal_00000</v>
      </c>
      <c r="D2751" s="139" t="str">
        <f>IFERROR(__xludf.DUMMYFUNCTION("""COMPUTED_VALUE"""),"e_you_00101_you1_charaget01_Normal_Yellow")</f>
        <v>e_you_00101_you1_charaget01_Normal_Yellow</v>
      </c>
      <c r="E2751" s="139">
        <f>IFERROR(__xludf.DUMMYFUNCTION("""COMPUTED_VALUE"""),0.0)</f>
        <v>0</v>
      </c>
      <c r="F2751" s="139" t="str">
        <f>IFERROR(__xludf.DUMMYFUNCTION("""COMPUTED_VALUE"""),"Normal")</f>
        <v>Normal</v>
      </c>
      <c r="G2751" s="139"/>
      <c r="H2751" s="139"/>
      <c r="I2751" s="139">
        <f>IFERROR(__xludf.DUMMYFUNCTION("""COMPUTED_VALUE"""),70.0)</f>
        <v>70</v>
      </c>
      <c r="J2751" s="139">
        <f>IFERROR(__xludf.DUMMYFUNCTION("""COMPUTED_VALUE"""),28.0)</f>
        <v>28</v>
      </c>
      <c r="K2751" s="139">
        <f>IFERROR(__xludf.DUMMYFUNCTION("""COMPUTED_VALUE"""),20.0)</f>
        <v>20</v>
      </c>
      <c r="L2751" s="139"/>
      <c r="M2751" s="139"/>
      <c r="N2751" s="139"/>
    </row>
    <row r="2752">
      <c r="A2752" s="139" t="str">
        <f>IFERROR(__xludf.DUMMYFUNCTION("""COMPUTED_VALUE"""),"e")</f>
        <v>e</v>
      </c>
      <c r="B2752" s="139">
        <f>IFERROR(__xludf.DUMMYFUNCTION("""COMPUTED_VALUE"""),2.02602015E8)</f>
        <v>202602015</v>
      </c>
      <c r="C2752" s="139" t="str">
        <f>IFERROR(__xludf.DUMMYFUNCTION("""COMPUTED_VALUE"""),"c_you_00201_you1_challenge_Boss_Green_Normal_00000")</f>
        <v>c_you_00201_you1_challenge_Boss_Green_Normal_00000</v>
      </c>
      <c r="D2752" s="139" t="str">
        <f>IFERROR(__xludf.DUMMYFUNCTION("""COMPUTED_VALUE"""),"c_you_00201_you1_challenge_Boss_Green")</f>
        <v>c_you_00201_you1_challenge_Boss_Green</v>
      </c>
      <c r="E2752" s="139">
        <f>IFERROR(__xludf.DUMMYFUNCTION("""COMPUTED_VALUE"""),0.0)</f>
        <v>0</v>
      </c>
      <c r="F2752" s="139" t="str">
        <f>IFERROR(__xludf.DUMMYFUNCTION("""COMPUTED_VALUE"""),"Normal")</f>
        <v>Normal</v>
      </c>
      <c r="G2752" s="139"/>
      <c r="H2752" s="139"/>
      <c r="I2752" s="139">
        <f>IFERROR(__xludf.DUMMYFUNCTION("""COMPUTED_VALUE"""),84.0)</f>
        <v>84</v>
      </c>
      <c r="J2752" s="139">
        <f>IFERROR(__xludf.DUMMYFUNCTION("""COMPUTED_VALUE"""),32.0)</f>
        <v>32</v>
      </c>
      <c r="K2752" s="139">
        <f>IFERROR(__xludf.DUMMYFUNCTION("""COMPUTED_VALUE"""),40.0)</f>
        <v>40</v>
      </c>
      <c r="L2752" s="139"/>
      <c r="M2752" s="139"/>
      <c r="N2752" s="139"/>
    </row>
    <row r="2753">
      <c r="A2753" s="139" t="str">
        <f>IFERROR(__xludf.DUMMYFUNCTION("""COMPUTED_VALUE"""),"e")</f>
        <v>e</v>
      </c>
      <c r="B2753" s="139">
        <f>IFERROR(__xludf.DUMMYFUNCTION("""COMPUTED_VALUE"""),2.02602015E8)</f>
        <v>202602015</v>
      </c>
      <c r="C2753" s="139" t="str">
        <f>IFERROR(__xludf.DUMMYFUNCTION("""COMPUTED_VALUE"""),"c_you_00201_you1_challenge_Boss_Green_Special_00001")</f>
        <v>c_you_00201_you1_challenge_Boss_Green_Special_00001</v>
      </c>
      <c r="D2753" s="139" t="str">
        <f>IFERROR(__xludf.DUMMYFUNCTION("""COMPUTED_VALUE"""),"c_you_00201_you1_challenge_Boss_Green")</f>
        <v>c_you_00201_you1_challenge_Boss_Green</v>
      </c>
      <c r="E2753" s="139">
        <f>IFERROR(__xludf.DUMMYFUNCTION("""COMPUTED_VALUE"""),0.0)</f>
        <v>0</v>
      </c>
      <c r="F2753" s="139" t="str">
        <f>IFERROR(__xludf.DUMMYFUNCTION("""COMPUTED_VALUE"""),"Special")</f>
        <v>Special</v>
      </c>
      <c r="G2753" s="139"/>
      <c r="H2753" s="139"/>
      <c r="I2753" s="139">
        <f>IFERROR(__xludf.DUMMYFUNCTION("""COMPUTED_VALUE"""),159.0)</f>
        <v>159</v>
      </c>
      <c r="J2753" s="139">
        <f>IFERROR(__xludf.DUMMYFUNCTION("""COMPUTED_VALUE"""),0.0)</f>
        <v>0</v>
      </c>
      <c r="K2753" s="139">
        <f>IFERROR(__xludf.DUMMYFUNCTION("""COMPUTED_VALUE"""),0.0)</f>
        <v>0</v>
      </c>
      <c r="L2753" s="139"/>
      <c r="M2753" s="139"/>
      <c r="N2753" s="139"/>
    </row>
    <row r="2754">
      <c r="A2754" s="139" t="str">
        <f>IFERROR(__xludf.DUMMYFUNCTION("""COMPUTED_VALUE"""),"e")</f>
        <v>e</v>
      </c>
      <c r="B2754" s="139">
        <f>IFERROR(__xludf.DUMMYFUNCTION("""COMPUTED_VALUE"""),2.02602015E8)</f>
        <v>202602015</v>
      </c>
      <c r="C2754" s="139" t="str">
        <f>IFERROR(__xludf.DUMMYFUNCTION("""COMPUTED_VALUE"""),"c_you_00201_you1_challenge_Boss_Green_Appearance_00002")</f>
        <v>c_you_00201_you1_challenge_Boss_Green_Appearance_00002</v>
      </c>
      <c r="D2754" s="139" t="str">
        <f>IFERROR(__xludf.DUMMYFUNCTION("""COMPUTED_VALUE"""),"c_you_00201_you1_challenge_Boss_Green")</f>
        <v>c_you_00201_you1_challenge_Boss_Green</v>
      </c>
      <c r="E2754" s="139">
        <f>IFERROR(__xludf.DUMMYFUNCTION("""COMPUTED_VALUE"""),0.0)</f>
        <v>0</v>
      </c>
      <c r="F2754" s="139" t="str">
        <f>IFERROR(__xludf.DUMMYFUNCTION("""COMPUTED_VALUE"""),"Appearance")</f>
        <v>Appearance</v>
      </c>
      <c r="G2754" s="139"/>
      <c r="H2754" s="139"/>
      <c r="I2754" s="139">
        <f>IFERROR(__xludf.DUMMYFUNCTION("""COMPUTED_VALUE"""),50.0)</f>
        <v>50</v>
      </c>
      <c r="J2754" s="139">
        <f>IFERROR(__xludf.DUMMYFUNCTION("""COMPUTED_VALUE"""),0.0)</f>
        <v>0</v>
      </c>
      <c r="K2754" s="139">
        <f>IFERROR(__xludf.DUMMYFUNCTION("""COMPUTED_VALUE"""),0.0)</f>
        <v>0</v>
      </c>
      <c r="L2754" s="139"/>
      <c r="M2754" s="139"/>
      <c r="N2754" s="139"/>
    </row>
    <row r="2755">
      <c r="A2755" s="139" t="str">
        <f>IFERROR(__xludf.DUMMYFUNCTION("""COMPUTED_VALUE"""),"e")</f>
        <v>e</v>
      </c>
      <c r="B2755" s="139">
        <f>IFERROR(__xludf.DUMMYFUNCTION("""COMPUTED_VALUE"""),2.02602015E8)</f>
        <v>202602015</v>
      </c>
      <c r="C2755" s="139" t="str">
        <f>IFERROR(__xludf.DUMMYFUNCTION("""COMPUTED_VALUE"""),"c_you_00301_you1_challenge_Boss_Green_Normal_00000")</f>
        <v>c_you_00301_you1_challenge_Boss_Green_Normal_00000</v>
      </c>
      <c r="D2755" s="139" t="str">
        <f>IFERROR(__xludf.DUMMYFUNCTION("""COMPUTED_VALUE"""),"c_you_00301_you1_challenge_Boss_Green")</f>
        <v>c_you_00301_you1_challenge_Boss_Green</v>
      </c>
      <c r="E2755" s="139">
        <f>IFERROR(__xludf.DUMMYFUNCTION("""COMPUTED_VALUE"""),0.0)</f>
        <v>0</v>
      </c>
      <c r="F2755" s="139" t="str">
        <f>IFERROR(__xludf.DUMMYFUNCTION("""COMPUTED_VALUE"""),"Normal")</f>
        <v>Normal</v>
      </c>
      <c r="G2755" s="139"/>
      <c r="H2755" s="139"/>
      <c r="I2755" s="139">
        <f>IFERROR(__xludf.DUMMYFUNCTION("""COMPUTED_VALUE"""),89.0)</f>
        <v>89</v>
      </c>
      <c r="J2755" s="139">
        <f>IFERROR(__xludf.DUMMYFUNCTION("""COMPUTED_VALUE"""),35.0)</f>
        <v>35</v>
      </c>
      <c r="K2755" s="139">
        <f>IFERROR(__xludf.DUMMYFUNCTION("""COMPUTED_VALUE"""),40.0)</f>
        <v>40</v>
      </c>
      <c r="L2755" s="139"/>
      <c r="M2755" s="139"/>
      <c r="N2755" s="139"/>
    </row>
    <row r="2756">
      <c r="A2756" s="139" t="str">
        <f>IFERROR(__xludf.DUMMYFUNCTION("""COMPUTED_VALUE"""),"e")</f>
        <v>e</v>
      </c>
      <c r="B2756" s="139">
        <f>IFERROR(__xludf.DUMMYFUNCTION("""COMPUTED_VALUE"""),2.02602015E8)</f>
        <v>202602015</v>
      </c>
      <c r="C2756" s="139" t="str">
        <f>IFERROR(__xludf.DUMMYFUNCTION("""COMPUTED_VALUE"""),"c_you_00301_you1_challenge_Boss_Green_Special_00001")</f>
        <v>c_you_00301_you1_challenge_Boss_Green_Special_00001</v>
      </c>
      <c r="D2756" s="139" t="str">
        <f>IFERROR(__xludf.DUMMYFUNCTION("""COMPUTED_VALUE"""),"c_you_00301_you1_challenge_Boss_Green")</f>
        <v>c_you_00301_you1_challenge_Boss_Green</v>
      </c>
      <c r="E2756" s="139">
        <f>IFERROR(__xludf.DUMMYFUNCTION("""COMPUTED_VALUE"""),0.0)</f>
        <v>0</v>
      </c>
      <c r="F2756" s="139" t="str">
        <f>IFERROR(__xludf.DUMMYFUNCTION("""COMPUTED_VALUE"""),"Special")</f>
        <v>Special</v>
      </c>
      <c r="G2756" s="139"/>
      <c r="H2756" s="139"/>
      <c r="I2756" s="139">
        <f>IFERROR(__xludf.DUMMYFUNCTION("""COMPUTED_VALUE"""),184.0)</f>
        <v>184</v>
      </c>
      <c r="J2756" s="139">
        <f>IFERROR(__xludf.DUMMYFUNCTION("""COMPUTED_VALUE"""),110.0)</f>
        <v>110</v>
      </c>
      <c r="K2756" s="139">
        <f>IFERROR(__xludf.DUMMYFUNCTION("""COMPUTED_VALUE"""),0.0)</f>
        <v>0</v>
      </c>
      <c r="L2756" s="139"/>
      <c r="M2756" s="139"/>
      <c r="N2756" s="139"/>
    </row>
    <row r="2757">
      <c r="A2757" s="139" t="str">
        <f>IFERROR(__xludf.DUMMYFUNCTION("""COMPUTED_VALUE"""),"e")</f>
        <v>e</v>
      </c>
      <c r="B2757" s="139">
        <f>IFERROR(__xludf.DUMMYFUNCTION("""COMPUTED_VALUE"""),2.02602015E8)</f>
        <v>202602015</v>
      </c>
      <c r="C2757" s="139" t="str">
        <f>IFERROR(__xludf.DUMMYFUNCTION("""COMPUTED_VALUE"""),"c_you_00301_you1_challenge_Boss_Green_Appearance_00002")</f>
        <v>c_you_00301_you1_challenge_Boss_Green_Appearance_00002</v>
      </c>
      <c r="D2757" s="139" t="str">
        <f>IFERROR(__xludf.DUMMYFUNCTION("""COMPUTED_VALUE"""),"c_you_00301_you1_challenge_Boss_Green")</f>
        <v>c_you_00301_you1_challenge_Boss_Green</v>
      </c>
      <c r="E2757" s="139">
        <f>IFERROR(__xludf.DUMMYFUNCTION("""COMPUTED_VALUE"""),0.0)</f>
        <v>0</v>
      </c>
      <c r="F2757" s="139" t="str">
        <f>IFERROR(__xludf.DUMMYFUNCTION("""COMPUTED_VALUE"""),"Appearance")</f>
        <v>Appearance</v>
      </c>
      <c r="G2757" s="139"/>
      <c r="H2757" s="139"/>
      <c r="I2757" s="139">
        <f>IFERROR(__xludf.DUMMYFUNCTION("""COMPUTED_VALUE"""),50.0)</f>
        <v>50</v>
      </c>
      <c r="J2757" s="139">
        <f>IFERROR(__xludf.DUMMYFUNCTION("""COMPUTED_VALUE"""),0.0)</f>
        <v>0</v>
      </c>
      <c r="K2757" s="139">
        <f>IFERROR(__xludf.DUMMYFUNCTION("""COMPUTED_VALUE"""),0.0)</f>
        <v>0</v>
      </c>
      <c r="L2757" s="139"/>
      <c r="M2757" s="139"/>
      <c r="N2757" s="139"/>
    </row>
    <row r="2758">
      <c r="A2758" s="139" t="str">
        <f>IFERROR(__xludf.DUMMYFUNCTION("""COMPUTED_VALUE"""),"e")</f>
        <v>e</v>
      </c>
      <c r="B2758" s="139">
        <f>IFERROR(__xludf.DUMMYFUNCTION("""COMPUTED_VALUE"""),2.02602015E8)</f>
        <v>202602015</v>
      </c>
      <c r="C2758" s="139" t="str">
        <f>IFERROR(__xludf.DUMMYFUNCTION("""COMPUTED_VALUE"""),"c_you_00101_you1_challenge_Boss_Blue_Normal_00000")</f>
        <v>c_you_00101_you1_challenge_Boss_Blue_Normal_00000</v>
      </c>
      <c r="D2758" s="139" t="str">
        <f>IFERROR(__xludf.DUMMYFUNCTION("""COMPUTED_VALUE"""),"c_you_00101_you1_challenge_Boss_Blue")</f>
        <v>c_you_00101_you1_challenge_Boss_Blue</v>
      </c>
      <c r="E2758" s="139">
        <f>IFERROR(__xludf.DUMMYFUNCTION("""COMPUTED_VALUE"""),0.0)</f>
        <v>0</v>
      </c>
      <c r="F2758" s="139" t="str">
        <f>IFERROR(__xludf.DUMMYFUNCTION("""COMPUTED_VALUE"""),"Normal")</f>
        <v>Normal</v>
      </c>
      <c r="G2758" s="139"/>
      <c r="H2758" s="139"/>
      <c r="I2758" s="139">
        <f>IFERROR(__xludf.DUMMYFUNCTION("""COMPUTED_VALUE"""),82.0)</f>
        <v>82</v>
      </c>
      <c r="J2758" s="139">
        <f>IFERROR(__xludf.DUMMYFUNCTION("""COMPUTED_VALUE"""),33.0)</f>
        <v>33</v>
      </c>
      <c r="K2758" s="139">
        <f>IFERROR(__xludf.DUMMYFUNCTION("""COMPUTED_VALUE"""),30.0)</f>
        <v>30</v>
      </c>
      <c r="L2758" s="139"/>
      <c r="M2758" s="139"/>
      <c r="N2758" s="139"/>
    </row>
    <row r="2759">
      <c r="A2759" s="139" t="str">
        <f>IFERROR(__xludf.DUMMYFUNCTION("""COMPUTED_VALUE"""),"e")</f>
        <v>e</v>
      </c>
      <c r="B2759" s="139">
        <f>IFERROR(__xludf.DUMMYFUNCTION("""COMPUTED_VALUE"""),2.02602015E8)</f>
        <v>202602015</v>
      </c>
      <c r="C2759" s="139" t="str">
        <f>IFERROR(__xludf.DUMMYFUNCTION("""COMPUTED_VALUE"""),"c_you_00101_you1_challenge_Boss_Blue_Special_00001")</f>
        <v>c_you_00101_you1_challenge_Boss_Blue_Special_00001</v>
      </c>
      <c r="D2759" s="139" t="str">
        <f>IFERROR(__xludf.DUMMYFUNCTION("""COMPUTED_VALUE"""),"c_you_00101_you1_challenge_Boss_Blue")</f>
        <v>c_you_00101_you1_challenge_Boss_Blue</v>
      </c>
      <c r="E2759" s="139">
        <f>IFERROR(__xludf.DUMMYFUNCTION("""COMPUTED_VALUE"""),0.0)</f>
        <v>0</v>
      </c>
      <c r="F2759" s="139" t="str">
        <f>IFERROR(__xludf.DUMMYFUNCTION("""COMPUTED_VALUE"""),"Special")</f>
        <v>Special</v>
      </c>
      <c r="G2759" s="139"/>
      <c r="H2759" s="139"/>
      <c r="I2759" s="139">
        <f>IFERROR(__xludf.DUMMYFUNCTION("""COMPUTED_VALUE"""),179.0)</f>
        <v>179</v>
      </c>
      <c r="J2759" s="139">
        <f>IFERROR(__xludf.DUMMYFUNCTION("""COMPUTED_VALUE"""),0.0)</f>
        <v>0</v>
      </c>
      <c r="K2759" s="139">
        <f>IFERROR(__xludf.DUMMYFUNCTION("""COMPUTED_VALUE"""),0.0)</f>
        <v>0</v>
      </c>
      <c r="L2759" s="139"/>
      <c r="M2759" s="139"/>
      <c r="N2759" s="139"/>
    </row>
    <row r="2760">
      <c r="A2760" s="139" t="str">
        <f>IFERROR(__xludf.DUMMYFUNCTION("""COMPUTED_VALUE"""),"e")</f>
        <v>e</v>
      </c>
      <c r="B2760" s="139">
        <f>IFERROR(__xludf.DUMMYFUNCTION("""COMPUTED_VALUE"""),2.02602015E8)</f>
        <v>202602015</v>
      </c>
      <c r="C2760" s="139" t="str">
        <f>IFERROR(__xludf.DUMMYFUNCTION("""COMPUTED_VALUE"""),"c_you_00301_you1_challenge_Normal_Red_Normal_00000")</f>
        <v>c_you_00301_you1_challenge_Normal_Red_Normal_00000</v>
      </c>
      <c r="D2760" s="139" t="str">
        <f>IFERROR(__xludf.DUMMYFUNCTION("""COMPUTED_VALUE"""),"c_you_00301_you1_challenge_Normal_Red")</f>
        <v>c_you_00301_you1_challenge_Normal_Red</v>
      </c>
      <c r="E2760" s="139">
        <f>IFERROR(__xludf.DUMMYFUNCTION("""COMPUTED_VALUE"""),0.0)</f>
        <v>0</v>
      </c>
      <c r="F2760" s="139" t="str">
        <f>IFERROR(__xludf.DUMMYFUNCTION("""COMPUTED_VALUE"""),"Normal")</f>
        <v>Normal</v>
      </c>
      <c r="G2760" s="139"/>
      <c r="H2760" s="139"/>
      <c r="I2760" s="139">
        <f>IFERROR(__xludf.DUMMYFUNCTION("""COMPUTED_VALUE"""),89.0)</f>
        <v>89</v>
      </c>
      <c r="J2760" s="139">
        <f>IFERROR(__xludf.DUMMYFUNCTION("""COMPUTED_VALUE"""),35.0)</f>
        <v>35</v>
      </c>
      <c r="K2760" s="139">
        <f>IFERROR(__xludf.DUMMYFUNCTION("""COMPUTED_VALUE"""),140.0)</f>
        <v>140</v>
      </c>
      <c r="L2760" s="139"/>
      <c r="M2760" s="139"/>
      <c r="N2760" s="139"/>
    </row>
    <row r="2761">
      <c r="A2761" s="139" t="str">
        <f>IFERROR(__xludf.DUMMYFUNCTION("""COMPUTED_VALUE"""),"e")</f>
        <v>e</v>
      </c>
      <c r="B2761" s="139">
        <f>IFERROR(__xludf.DUMMYFUNCTION("""COMPUTED_VALUE"""),2.02602015E8)</f>
        <v>202602015</v>
      </c>
      <c r="C2761" s="139" t="str">
        <f>IFERROR(__xludf.DUMMYFUNCTION("""COMPUTED_VALUE"""),"c_you_00201_you1_challenge_Normal_Green_Normal_00000")</f>
        <v>c_you_00201_you1_challenge_Normal_Green_Normal_00000</v>
      </c>
      <c r="D2761" s="139" t="str">
        <f>IFERROR(__xludf.DUMMYFUNCTION("""COMPUTED_VALUE"""),"c_you_00201_you1_challenge_Normal_Green")</f>
        <v>c_you_00201_you1_challenge_Normal_Green</v>
      </c>
      <c r="E2761" s="139">
        <f>IFERROR(__xludf.DUMMYFUNCTION("""COMPUTED_VALUE"""),0.0)</f>
        <v>0</v>
      </c>
      <c r="F2761" s="139" t="str">
        <f>IFERROR(__xludf.DUMMYFUNCTION("""COMPUTED_VALUE"""),"Normal")</f>
        <v>Normal</v>
      </c>
      <c r="G2761" s="139"/>
      <c r="H2761" s="139"/>
      <c r="I2761" s="139">
        <f>IFERROR(__xludf.DUMMYFUNCTION("""COMPUTED_VALUE"""),84.0)</f>
        <v>84</v>
      </c>
      <c r="J2761" s="139">
        <f>IFERROR(__xludf.DUMMYFUNCTION("""COMPUTED_VALUE"""),32.0)</f>
        <v>32</v>
      </c>
      <c r="K2761" s="139">
        <f>IFERROR(__xludf.DUMMYFUNCTION("""COMPUTED_VALUE"""),75.0)</f>
        <v>75</v>
      </c>
      <c r="L2761" s="139"/>
      <c r="M2761" s="139"/>
      <c r="N2761" s="139"/>
    </row>
    <row r="2762">
      <c r="A2762" s="139" t="str">
        <f>IFERROR(__xludf.DUMMYFUNCTION("""COMPUTED_VALUE"""),"e")</f>
        <v>e</v>
      </c>
      <c r="B2762" s="139">
        <f>IFERROR(__xludf.DUMMYFUNCTION("""COMPUTED_VALUE"""),2.02602015E8)</f>
        <v>202602015</v>
      </c>
      <c r="C2762" s="139" t="str">
        <f>IFERROR(__xludf.DUMMYFUNCTION("""COMPUTED_VALUE"""),"c_you_00001_you1_challenge_Boss_Green_Normal_00000")</f>
        <v>c_you_00001_you1_challenge_Boss_Green_Normal_00000</v>
      </c>
      <c r="D2762" s="139" t="str">
        <f>IFERROR(__xludf.DUMMYFUNCTION("""COMPUTED_VALUE"""),"c_you_00001_you1_challenge_Boss_Green")</f>
        <v>c_you_00001_you1_challenge_Boss_Green</v>
      </c>
      <c r="E2762" s="139">
        <f>IFERROR(__xludf.DUMMYFUNCTION("""COMPUTED_VALUE"""),0.0)</f>
        <v>0</v>
      </c>
      <c r="F2762" s="139" t="str">
        <f>IFERROR(__xludf.DUMMYFUNCTION("""COMPUTED_VALUE"""),"Normal")</f>
        <v>Normal</v>
      </c>
      <c r="G2762" s="139"/>
      <c r="H2762" s="139"/>
      <c r="I2762" s="139">
        <f>IFERROR(__xludf.DUMMYFUNCTION("""COMPUTED_VALUE"""),67.0)</f>
        <v>67</v>
      </c>
      <c r="J2762" s="139">
        <f>IFERROR(__xludf.DUMMYFUNCTION("""COMPUTED_VALUE"""),23.0)</f>
        <v>23</v>
      </c>
      <c r="K2762" s="139">
        <f>IFERROR(__xludf.DUMMYFUNCTION("""COMPUTED_VALUE"""),20.0)</f>
        <v>20</v>
      </c>
      <c r="L2762" s="139"/>
      <c r="M2762" s="139"/>
      <c r="N2762" s="139"/>
    </row>
    <row r="2763">
      <c r="A2763" s="139" t="str">
        <f>IFERROR(__xludf.DUMMYFUNCTION("""COMPUTED_VALUE"""),"e")</f>
        <v>e</v>
      </c>
      <c r="B2763" s="139">
        <f>IFERROR(__xludf.DUMMYFUNCTION("""COMPUTED_VALUE"""),2.02602015E8)</f>
        <v>202602015</v>
      </c>
      <c r="C2763" s="139" t="str">
        <f>IFERROR(__xludf.DUMMYFUNCTION("""COMPUTED_VALUE"""),"c_you_00001_you1_challenge_Boss_Green_Special_00001")</f>
        <v>c_you_00001_you1_challenge_Boss_Green_Special_00001</v>
      </c>
      <c r="D2763" s="139" t="str">
        <f>IFERROR(__xludf.DUMMYFUNCTION("""COMPUTED_VALUE"""),"c_you_00001_you1_challenge_Boss_Green")</f>
        <v>c_you_00001_you1_challenge_Boss_Green</v>
      </c>
      <c r="E2763" s="139">
        <f>IFERROR(__xludf.DUMMYFUNCTION("""COMPUTED_VALUE"""),0.0)</f>
        <v>0</v>
      </c>
      <c r="F2763" s="139" t="str">
        <f>IFERROR(__xludf.DUMMYFUNCTION("""COMPUTED_VALUE"""),"Special")</f>
        <v>Special</v>
      </c>
      <c r="G2763" s="139"/>
      <c r="H2763" s="139"/>
      <c r="I2763" s="139">
        <f>IFERROR(__xludf.DUMMYFUNCTION("""COMPUTED_VALUE"""),89.0)</f>
        <v>89</v>
      </c>
      <c r="J2763" s="139">
        <f>IFERROR(__xludf.DUMMYFUNCTION("""COMPUTED_VALUE"""),0.0)</f>
        <v>0</v>
      </c>
      <c r="K2763" s="139">
        <f>IFERROR(__xludf.DUMMYFUNCTION("""COMPUTED_VALUE"""),0.0)</f>
        <v>0</v>
      </c>
      <c r="L2763" s="139"/>
      <c r="M2763" s="139"/>
      <c r="N2763" s="139"/>
    </row>
    <row r="2764">
      <c r="A2764" s="139" t="str">
        <f>IFERROR(__xludf.DUMMYFUNCTION("""COMPUTED_VALUE"""),"e")</f>
        <v>e</v>
      </c>
      <c r="B2764" s="139">
        <f>IFERROR(__xludf.DUMMYFUNCTION("""COMPUTED_VALUE"""),2.02602015E8)</f>
        <v>202602015</v>
      </c>
      <c r="C2764" s="139" t="str">
        <f>IFERROR(__xludf.DUMMYFUNCTION("""COMPUTED_VALUE"""),"c_you_00001_you1_challenge_Boss_Green_Appearance_00002")</f>
        <v>c_you_00001_you1_challenge_Boss_Green_Appearance_00002</v>
      </c>
      <c r="D2764" s="139" t="str">
        <f>IFERROR(__xludf.DUMMYFUNCTION("""COMPUTED_VALUE"""),"c_you_00001_you1_challenge_Boss_Green")</f>
        <v>c_you_00001_you1_challenge_Boss_Green</v>
      </c>
      <c r="E2764" s="139">
        <f>IFERROR(__xludf.DUMMYFUNCTION("""COMPUTED_VALUE"""),0.0)</f>
        <v>0</v>
      </c>
      <c r="F2764" s="139" t="str">
        <f>IFERROR(__xludf.DUMMYFUNCTION("""COMPUTED_VALUE"""),"Appearance")</f>
        <v>Appearance</v>
      </c>
      <c r="G2764" s="139"/>
      <c r="H2764" s="139"/>
      <c r="I2764" s="139">
        <f>IFERROR(__xludf.DUMMYFUNCTION("""COMPUTED_VALUE"""),50.0)</f>
        <v>50</v>
      </c>
      <c r="J2764" s="139">
        <f>IFERROR(__xludf.DUMMYFUNCTION("""COMPUTED_VALUE"""),0.0)</f>
        <v>0</v>
      </c>
      <c r="K2764" s="139">
        <f>IFERROR(__xludf.DUMMYFUNCTION("""COMPUTED_VALUE"""),0.0)</f>
        <v>0</v>
      </c>
      <c r="L2764" s="139"/>
      <c r="M2764" s="139"/>
      <c r="N2764" s="139"/>
    </row>
    <row r="2765">
      <c r="A2765" s="139" t="str">
        <f>IFERROR(__xludf.DUMMYFUNCTION("""COMPUTED_VALUE"""),"e")</f>
        <v>e</v>
      </c>
      <c r="B2765" s="139">
        <f>IFERROR(__xludf.DUMMYFUNCTION("""COMPUTED_VALUE"""),2.02602015E8)</f>
        <v>202602015</v>
      </c>
      <c r="C2765" s="139" t="str">
        <f>IFERROR(__xludf.DUMMYFUNCTION("""COMPUTED_VALUE"""),"e_glo_00001_you1_challenge_Normal_Green_Normal_00000")</f>
        <v>e_glo_00001_you1_challenge_Normal_Green_Normal_00000</v>
      </c>
      <c r="D2765" s="139" t="str">
        <f>IFERROR(__xludf.DUMMYFUNCTION("""COMPUTED_VALUE"""),"e_glo_00001_you1_challenge_Normal_Green")</f>
        <v>e_glo_00001_you1_challenge_Normal_Green</v>
      </c>
      <c r="E2765" s="139">
        <f>IFERROR(__xludf.DUMMYFUNCTION("""COMPUTED_VALUE"""),0.0)</f>
        <v>0</v>
      </c>
      <c r="F2765" s="139" t="str">
        <f>IFERROR(__xludf.DUMMYFUNCTION("""COMPUTED_VALUE"""),"Normal")</f>
        <v>Normal</v>
      </c>
      <c r="G2765" s="139"/>
      <c r="H2765" s="139"/>
      <c r="I2765" s="139">
        <f>IFERROR(__xludf.DUMMYFUNCTION("""COMPUTED_VALUE"""),50.0)</f>
        <v>50</v>
      </c>
      <c r="J2765" s="139">
        <f>IFERROR(__xludf.DUMMYFUNCTION("""COMPUTED_VALUE"""),25.0)</f>
        <v>25</v>
      </c>
      <c r="K2765" s="139">
        <f>IFERROR(__xludf.DUMMYFUNCTION("""COMPUTED_VALUE"""),50.0)</f>
        <v>50</v>
      </c>
      <c r="L2765" s="139"/>
      <c r="M2765" s="139"/>
      <c r="N2765" s="139"/>
    </row>
    <row r="2766">
      <c r="A2766" s="139" t="str">
        <f>IFERROR(__xludf.DUMMYFUNCTION("""COMPUTED_VALUE"""),"e")</f>
        <v>e</v>
      </c>
      <c r="B2766" s="139">
        <f>IFERROR(__xludf.DUMMYFUNCTION("""COMPUTED_VALUE"""),2.02602015E8)</f>
        <v>202602015</v>
      </c>
      <c r="C2766" s="139" t="str">
        <f>IFERROR(__xludf.DUMMYFUNCTION("""COMPUTED_VALUE"""),"e_glo_00001_you1_challenge_Normal_Blue_Normal_00000")</f>
        <v>e_glo_00001_you1_challenge_Normal_Blue_Normal_00000</v>
      </c>
      <c r="D2766" s="139" t="str">
        <f>IFERROR(__xludf.DUMMYFUNCTION("""COMPUTED_VALUE"""),"e_glo_00001_you1_challenge_Normal_Blue")</f>
        <v>e_glo_00001_you1_challenge_Normal_Blue</v>
      </c>
      <c r="E2766" s="139">
        <f>IFERROR(__xludf.DUMMYFUNCTION("""COMPUTED_VALUE"""),0.0)</f>
        <v>0</v>
      </c>
      <c r="F2766" s="139" t="str">
        <f>IFERROR(__xludf.DUMMYFUNCTION("""COMPUTED_VALUE"""),"Normal")</f>
        <v>Normal</v>
      </c>
      <c r="G2766" s="139"/>
      <c r="H2766" s="139"/>
      <c r="I2766" s="139">
        <f>IFERROR(__xludf.DUMMYFUNCTION("""COMPUTED_VALUE"""),50.0)</f>
        <v>50</v>
      </c>
      <c r="J2766" s="139">
        <f>IFERROR(__xludf.DUMMYFUNCTION("""COMPUTED_VALUE"""),25.0)</f>
        <v>25</v>
      </c>
      <c r="K2766" s="139">
        <f>IFERROR(__xludf.DUMMYFUNCTION("""COMPUTED_VALUE"""),50.0)</f>
        <v>50</v>
      </c>
      <c r="L2766" s="139"/>
      <c r="M2766" s="139"/>
      <c r="N2766" s="139"/>
    </row>
    <row r="2767">
      <c r="A2767" s="139" t="str">
        <f>IFERROR(__xludf.DUMMYFUNCTION("""COMPUTED_VALUE"""),"e")</f>
        <v>e</v>
      </c>
      <c r="B2767" s="139">
        <f>IFERROR(__xludf.DUMMYFUNCTION("""COMPUTED_VALUE"""),2.02602015E8)</f>
        <v>202602015</v>
      </c>
      <c r="C2767" s="139" t="str">
        <f>IFERROR(__xludf.DUMMYFUNCTION("""COMPUTED_VALUE"""),"e_glo_00001_you1_challenge_Normal_Red_Normal_00000")</f>
        <v>e_glo_00001_you1_challenge_Normal_Red_Normal_00000</v>
      </c>
      <c r="D2767" s="139" t="str">
        <f>IFERROR(__xludf.DUMMYFUNCTION("""COMPUTED_VALUE"""),"e_glo_00001_you1_challenge_Normal_Red")</f>
        <v>e_glo_00001_you1_challenge_Normal_Red</v>
      </c>
      <c r="E2767" s="139">
        <f>IFERROR(__xludf.DUMMYFUNCTION("""COMPUTED_VALUE"""),0.0)</f>
        <v>0</v>
      </c>
      <c r="F2767" s="139" t="str">
        <f>IFERROR(__xludf.DUMMYFUNCTION("""COMPUTED_VALUE"""),"Normal")</f>
        <v>Normal</v>
      </c>
      <c r="G2767" s="139"/>
      <c r="H2767" s="139"/>
      <c r="I2767" s="139">
        <f>IFERROR(__xludf.DUMMYFUNCTION("""COMPUTED_VALUE"""),50.0)</f>
        <v>50</v>
      </c>
      <c r="J2767" s="139">
        <f>IFERROR(__xludf.DUMMYFUNCTION("""COMPUTED_VALUE"""),25.0)</f>
        <v>25</v>
      </c>
      <c r="K2767" s="139">
        <f>IFERROR(__xludf.DUMMYFUNCTION("""COMPUTED_VALUE"""),50.0)</f>
        <v>50</v>
      </c>
      <c r="L2767" s="139"/>
      <c r="M2767" s="139"/>
      <c r="N2767" s="139"/>
    </row>
    <row r="2768">
      <c r="A2768" s="139" t="str">
        <f>IFERROR(__xludf.DUMMYFUNCTION("""COMPUTED_VALUE"""),"e")</f>
        <v>e</v>
      </c>
      <c r="B2768" s="139">
        <f>IFERROR(__xludf.DUMMYFUNCTION("""COMPUTED_VALUE"""),2.02602015E8)</f>
        <v>202602015</v>
      </c>
      <c r="C2768" s="139" t="str">
        <f>IFERROR(__xludf.DUMMYFUNCTION("""COMPUTED_VALUE"""),"c_you_00201_you1_savage01_Boss_Green_Normal_00000")</f>
        <v>c_you_00201_you1_savage01_Boss_Green_Normal_00000</v>
      </c>
      <c r="D2768" s="139" t="str">
        <f>IFERROR(__xludf.DUMMYFUNCTION("""COMPUTED_VALUE"""),"c_you_00201_you1_savage01_Boss_Green")</f>
        <v>c_you_00201_you1_savage01_Boss_Green</v>
      </c>
      <c r="E2768" s="139">
        <f>IFERROR(__xludf.DUMMYFUNCTION("""COMPUTED_VALUE"""),0.0)</f>
        <v>0</v>
      </c>
      <c r="F2768" s="139" t="str">
        <f>IFERROR(__xludf.DUMMYFUNCTION("""COMPUTED_VALUE"""),"Normal")</f>
        <v>Normal</v>
      </c>
      <c r="G2768" s="139"/>
      <c r="H2768" s="139"/>
      <c r="I2768" s="139">
        <f>IFERROR(__xludf.DUMMYFUNCTION("""COMPUTED_VALUE"""),83.0)</f>
        <v>83</v>
      </c>
      <c r="J2768" s="139">
        <f>IFERROR(__xludf.DUMMYFUNCTION("""COMPUTED_VALUE"""),32.0)</f>
        <v>32</v>
      </c>
      <c r="K2768" s="139">
        <f>IFERROR(__xludf.DUMMYFUNCTION("""COMPUTED_VALUE"""),10.0)</f>
        <v>10</v>
      </c>
      <c r="L2768" s="139"/>
      <c r="M2768" s="139"/>
      <c r="N2768" s="139"/>
    </row>
    <row r="2769">
      <c r="A2769" s="139" t="str">
        <f>IFERROR(__xludf.DUMMYFUNCTION("""COMPUTED_VALUE"""),"e")</f>
        <v>e</v>
      </c>
      <c r="B2769" s="139">
        <f>IFERROR(__xludf.DUMMYFUNCTION("""COMPUTED_VALUE"""),2.02602015E8)</f>
        <v>202602015</v>
      </c>
      <c r="C2769" s="139" t="str">
        <f>IFERROR(__xludf.DUMMYFUNCTION("""COMPUTED_VALUE"""),"c_you_00201_you1_savage01_Boss_Green_Special_00001")</f>
        <v>c_you_00201_you1_savage01_Boss_Green_Special_00001</v>
      </c>
      <c r="D2769" s="139" t="str">
        <f>IFERROR(__xludf.DUMMYFUNCTION("""COMPUTED_VALUE"""),"c_you_00201_you1_savage01_Boss_Green")</f>
        <v>c_you_00201_you1_savage01_Boss_Green</v>
      </c>
      <c r="E2769" s="139">
        <f>IFERROR(__xludf.DUMMYFUNCTION("""COMPUTED_VALUE"""),0.0)</f>
        <v>0</v>
      </c>
      <c r="F2769" s="139" t="str">
        <f>IFERROR(__xludf.DUMMYFUNCTION("""COMPUTED_VALUE"""),"Special")</f>
        <v>Special</v>
      </c>
      <c r="G2769" s="139"/>
      <c r="H2769" s="139"/>
      <c r="I2769" s="139">
        <f>IFERROR(__xludf.DUMMYFUNCTION("""COMPUTED_VALUE"""),158.0)</f>
        <v>158</v>
      </c>
      <c r="J2769" s="139">
        <f>IFERROR(__xludf.DUMMYFUNCTION("""COMPUTED_VALUE"""),0.0)</f>
        <v>0</v>
      </c>
      <c r="K2769" s="139">
        <f>IFERROR(__xludf.DUMMYFUNCTION("""COMPUTED_VALUE"""),0.0)</f>
        <v>0</v>
      </c>
      <c r="L2769" s="139"/>
      <c r="M2769" s="139"/>
      <c r="N2769" s="139"/>
    </row>
    <row r="2770">
      <c r="A2770" s="139" t="str">
        <f>IFERROR(__xludf.DUMMYFUNCTION("""COMPUTED_VALUE"""),"e")</f>
        <v>e</v>
      </c>
      <c r="B2770" s="139">
        <f>IFERROR(__xludf.DUMMYFUNCTION("""COMPUTED_VALUE"""),2.02602015E8)</f>
        <v>202602015</v>
      </c>
      <c r="C2770" s="139" t="str">
        <f>IFERROR(__xludf.DUMMYFUNCTION("""COMPUTED_VALUE"""),"c_you_00201_you1_savage01_Boss_Green_Appearance_00002")</f>
        <v>c_you_00201_you1_savage01_Boss_Green_Appearance_00002</v>
      </c>
      <c r="D2770" s="139" t="str">
        <f>IFERROR(__xludf.DUMMYFUNCTION("""COMPUTED_VALUE"""),"c_you_00201_you1_savage01_Boss_Green")</f>
        <v>c_you_00201_you1_savage01_Boss_Green</v>
      </c>
      <c r="E2770" s="139">
        <f>IFERROR(__xludf.DUMMYFUNCTION("""COMPUTED_VALUE"""),0.0)</f>
        <v>0</v>
      </c>
      <c r="F2770" s="139" t="str">
        <f>IFERROR(__xludf.DUMMYFUNCTION("""COMPUTED_VALUE"""),"Appearance")</f>
        <v>Appearance</v>
      </c>
      <c r="G2770" s="139"/>
      <c r="H2770" s="139"/>
      <c r="I2770" s="139">
        <f>IFERROR(__xludf.DUMMYFUNCTION("""COMPUTED_VALUE"""),50.0)</f>
        <v>50</v>
      </c>
      <c r="J2770" s="139">
        <f>IFERROR(__xludf.DUMMYFUNCTION("""COMPUTED_VALUE"""),0.0)</f>
        <v>0</v>
      </c>
      <c r="K2770" s="139">
        <f>IFERROR(__xludf.DUMMYFUNCTION("""COMPUTED_VALUE"""),0.0)</f>
        <v>0</v>
      </c>
      <c r="L2770" s="139"/>
      <c r="M2770" s="139"/>
      <c r="N2770" s="139"/>
    </row>
    <row r="2771">
      <c r="A2771" s="139" t="str">
        <f>IFERROR(__xludf.DUMMYFUNCTION("""COMPUTED_VALUE"""),"e")</f>
        <v>e</v>
      </c>
      <c r="B2771" s="139">
        <f>IFERROR(__xludf.DUMMYFUNCTION("""COMPUTED_VALUE"""),2.02602015E8)</f>
        <v>202602015</v>
      </c>
      <c r="C2771" s="139" t="str">
        <f>IFERROR(__xludf.DUMMYFUNCTION("""COMPUTED_VALUE"""),"c_you_00301_you1_savage01_Boss_Blue_Normal_00000")</f>
        <v>c_you_00301_you1_savage01_Boss_Blue_Normal_00000</v>
      </c>
      <c r="D2771" s="139" t="str">
        <f>IFERROR(__xludf.DUMMYFUNCTION("""COMPUTED_VALUE"""),"c_you_00301_you1_savage01_Boss_Blue")</f>
        <v>c_you_00301_you1_savage01_Boss_Blue</v>
      </c>
      <c r="E2771" s="139">
        <f>IFERROR(__xludf.DUMMYFUNCTION("""COMPUTED_VALUE"""),0.0)</f>
        <v>0</v>
      </c>
      <c r="F2771" s="139" t="str">
        <f>IFERROR(__xludf.DUMMYFUNCTION("""COMPUTED_VALUE"""),"Normal")</f>
        <v>Normal</v>
      </c>
      <c r="G2771" s="139"/>
      <c r="H2771" s="139"/>
      <c r="I2771" s="139">
        <f>IFERROR(__xludf.DUMMYFUNCTION("""COMPUTED_VALUE"""),89.0)</f>
        <v>89</v>
      </c>
      <c r="J2771" s="139">
        <f>IFERROR(__xludf.DUMMYFUNCTION("""COMPUTED_VALUE"""),35.0)</f>
        <v>35</v>
      </c>
      <c r="K2771" s="139">
        <f>IFERROR(__xludf.DUMMYFUNCTION("""COMPUTED_VALUE"""),30.0)</f>
        <v>30</v>
      </c>
      <c r="L2771" s="139"/>
      <c r="M2771" s="139"/>
      <c r="N2771" s="139"/>
    </row>
    <row r="2772">
      <c r="A2772" s="139" t="str">
        <f>IFERROR(__xludf.DUMMYFUNCTION("""COMPUTED_VALUE"""),"e")</f>
        <v>e</v>
      </c>
      <c r="B2772" s="139">
        <f>IFERROR(__xludf.DUMMYFUNCTION("""COMPUTED_VALUE"""),2.02602015E8)</f>
        <v>202602015</v>
      </c>
      <c r="C2772" s="139" t="str">
        <f>IFERROR(__xludf.DUMMYFUNCTION("""COMPUTED_VALUE"""),"c_you_00301_you1_savage01_Boss_Blue_Special_00001")</f>
        <v>c_you_00301_you1_savage01_Boss_Blue_Special_00001</v>
      </c>
      <c r="D2772" s="139" t="str">
        <f>IFERROR(__xludf.DUMMYFUNCTION("""COMPUTED_VALUE"""),"c_you_00301_you1_savage01_Boss_Blue")</f>
        <v>c_you_00301_you1_savage01_Boss_Blue</v>
      </c>
      <c r="E2772" s="139">
        <f>IFERROR(__xludf.DUMMYFUNCTION("""COMPUTED_VALUE"""),0.0)</f>
        <v>0</v>
      </c>
      <c r="F2772" s="139" t="str">
        <f>IFERROR(__xludf.DUMMYFUNCTION("""COMPUTED_VALUE"""),"Special")</f>
        <v>Special</v>
      </c>
      <c r="G2772" s="139"/>
      <c r="H2772" s="139"/>
      <c r="I2772" s="139">
        <f>IFERROR(__xludf.DUMMYFUNCTION("""COMPUTED_VALUE"""),184.0)</f>
        <v>184</v>
      </c>
      <c r="J2772" s="139">
        <f>IFERROR(__xludf.DUMMYFUNCTION("""COMPUTED_VALUE"""),110.0)</f>
        <v>110</v>
      </c>
      <c r="K2772" s="139">
        <f>IFERROR(__xludf.DUMMYFUNCTION("""COMPUTED_VALUE"""),0.0)</f>
        <v>0</v>
      </c>
      <c r="L2772" s="139"/>
      <c r="M2772" s="139"/>
      <c r="N2772" s="139"/>
    </row>
    <row r="2773">
      <c r="A2773" s="139" t="str">
        <f>IFERROR(__xludf.DUMMYFUNCTION("""COMPUTED_VALUE"""),"e")</f>
        <v>e</v>
      </c>
      <c r="B2773" s="139">
        <f>IFERROR(__xludf.DUMMYFUNCTION("""COMPUTED_VALUE"""),2.02602015E8)</f>
        <v>202602015</v>
      </c>
      <c r="C2773" s="139" t="str">
        <f>IFERROR(__xludf.DUMMYFUNCTION("""COMPUTED_VALUE"""),"c_you_00301_you1_savage01_Boss_Blue_Appearance_00002")</f>
        <v>c_you_00301_you1_savage01_Boss_Blue_Appearance_00002</v>
      </c>
      <c r="D2773" s="139" t="str">
        <f>IFERROR(__xludf.DUMMYFUNCTION("""COMPUTED_VALUE"""),"c_you_00301_you1_savage01_Boss_Blue")</f>
        <v>c_you_00301_you1_savage01_Boss_Blue</v>
      </c>
      <c r="E2773" s="139">
        <f>IFERROR(__xludf.DUMMYFUNCTION("""COMPUTED_VALUE"""),0.0)</f>
        <v>0</v>
      </c>
      <c r="F2773" s="139" t="str">
        <f>IFERROR(__xludf.DUMMYFUNCTION("""COMPUTED_VALUE"""),"Appearance")</f>
        <v>Appearance</v>
      </c>
      <c r="G2773" s="139"/>
      <c r="H2773" s="139"/>
      <c r="I2773" s="139">
        <f>IFERROR(__xludf.DUMMYFUNCTION("""COMPUTED_VALUE"""),50.0)</f>
        <v>50</v>
      </c>
      <c r="J2773" s="139">
        <f>IFERROR(__xludf.DUMMYFUNCTION("""COMPUTED_VALUE"""),0.0)</f>
        <v>0</v>
      </c>
      <c r="K2773" s="139">
        <f>IFERROR(__xludf.DUMMYFUNCTION("""COMPUTED_VALUE"""),0.0)</f>
        <v>0</v>
      </c>
      <c r="L2773" s="139"/>
      <c r="M2773" s="139"/>
      <c r="N2773" s="139"/>
    </row>
    <row r="2774">
      <c r="A2774" s="139" t="str">
        <f>IFERROR(__xludf.DUMMYFUNCTION("""COMPUTED_VALUE"""),"e")</f>
        <v>e</v>
      </c>
      <c r="B2774" s="139">
        <f>IFERROR(__xludf.DUMMYFUNCTION("""COMPUTED_VALUE"""),2.02602015E8)</f>
        <v>202602015</v>
      </c>
      <c r="C2774" s="139" t="str">
        <f>IFERROR(__xludf.DUMMYFUNCTION("""COMPUTED_VALUE"""),"c_you_00301_you1_savage01_Boss_Green_Normal_00000")</f>
        <v>c_you_00301_you1_savage01_Boss_Green_Normal_00000</v>
      </c>
      <c r="D2774" s="139" t="str">
        <f>IFERROR(__xludf.DUMMYFUNCTION("""COMPUTED_VALUE"""),"c_you_00301_you1_savage01_Boss_Green")</f>
        <v>c_you_00301_you1_savage01_Boss_Green</v>
      </c>
      <c r="E2774" s="139">
        <f>IFERROR(__xludf.DUMMYFUNCTION("""COMPUTED_VALUE"""),0.0)</f>
        <v>0</v>
      </c>
      <c r="F2774" s="139" t="str">
        <f>IFERROR(__xludf.DUMMYFUNCTION("""COMPUTED_VALUE"""),"Normal")</f>
        <v>Normal</v>
      </c>
      <c r="G2774" s="139"/>
      <c r="H2774" s="139"/>
      <c r="I2774" s="139">
        <f>IFERROR(__xludf.DUMMYFUNCTION("""COMPUTED_VALUE"""),89.0)</f>
        <v>89</v>
      </c>
      <c r="J2774" s="139">
        <f>IFERROR(__xludf.DUMMYFUNCTION("""COMPUTED_VALUE"""),35.0)</f>
        <v>35</v>
      </c>
      <c r="K2774" s="139">
        <f>IFERROR(__xludf.DUMMYFUNCTION("""COMPUTED_VALUE"""),30.0)</f>
        <v>30</v>
      </c>
      <c r="L2774" s="139"/>
      <c r="M2774" s="139"/>
      <c r="N2774" s="139"/>
    </row>
    <row r="2775">
      <c r="A2775" s="139" t="str">
        <f>IFERROR(__xludf.DUMMYFUNCTION("""COMPUTED_VALUE"""),"e")</f>
        <v>e</v>
      </c>
      <c r="B2775" s="139">
        <f>IFERROR(__xludf.DUMMYFUNCTION("""COMPUTED_VALUE"""),2.02602015E8)</f>
        <v>202602015</v>
      </c>
      <c r="C2775" s="139" t="str">
        <f>IFERROR(__xludf.DUMMYFUNCTION("""COMPUTED_VALUE"""),"c_you_00301_you1_savage01_Boss_Green_Special_00001")</f>
        <v>c_you_00301_you1_savage01_Boss_Green_Special_00001</v>
      </c>
      <c r="D2775" s="139" t="str">
        <f>IFERROR(__xludf.DUMMYFUNCTION("""COMPUTED_VALUE"""),"c_you_00301_you1_savage01_Boss_Green")</f>
        <v>c_you_00301_you1_savage01_Boss_Green</v>
      </c>
      <c r="E2775" s="139">
        <f>IFERROR(__xludf.DUMMYFUNCTION("""COMPUTED_VALUE"""),0.0)</f>
        <v>0</v>
      </c>
      <c r="F2775" s="139" t="str">
        <f>IFERROR(__xludf.DUMMYFUNCTION("""COMPUTED_VALUE"""),"Special")</f>
        <v>Special</v>
      </c>
      <c r="G2775" s="139"/>
      <c r="H2775" s="139"/>
      <c r="I2775" s="139">
        <f>IFERROR(__xludf.DUMMYFUNCTION("""COMPUTED_VALUE"""),184.0)</f>
        <v>184</v>
      </c>
      <c r="J2775" s="139">
        <f>IFERROR(__xludf.DUMMYFUNCTION("""COMPUTED_VALUE"""),110.0)</f>
        <v>110</v>
      </c>
      <c r="K2775" s="139">
        <f>IFERROR(__xludf.DUMMYFUNCTION("""COMPUTED_VALUE"""),0.0)</f>
        <v>0</v>
      </c>
      <c r="L2775" s="139"/>
      <c r="M2775" s="139"/>
      <c r="N2775" s="139"/>
    </row>
    <row r="2776">
      <c r="A2776" s="139" t="str">
        <f>IFERROR(__xludf.DUMMYFUNCTION("""COMPUTED_VALUE"""),"e")</f>
        <v>e</v>
      </c>
      <c r="B2776" s="139">
        <f>IFERROR(__xludf.DUMMYFUNCTION("""COMPUTED_VALUE"""),2.02602015E8)</f>
        <v>202602015</v>
      </c>
      <c r="C2776" s="139" t="str">
        <f>IFERROR(__xludf.DUMMYFUNCTION("""COMPUTED_VALUE"""),"c_you_00301_you1_savage01_Boss_Green_Appearance_00002")</f>
        <v>c_you_00301_you1_savage01_Boss_Green_Appearance_00002</v>
      </c>
      <c r="D2776" s="139" t="str">
        <f>IFERROR(__xludf.DUMMYFUNCTION("""COMPUTED_VALUE"""),"c_you_00301_you1_savage01_Boss_Green")</f>
        <v>c_you_00301_you1_savage01_Boss_Green</v>
      </c>
      <c r="E2776" s="139">
        <f>IFERROR(__xludf.DUMMYFUNCTION("""COMPUTED_VALUE"""),0.0)</f>
        <v>0</v>
      </c>
      <c r="F2776" s="139" t="str">
        <f>IFERROR(__xludf.DUMMYFUNCTION("""COMPUTED_VALUE"""),"Appearance")</f>
        <v>Appearance</v>
      </c>
      <c r="G2776" s="139"/>
      <c r="H2776" s="139"/>
      <c r="I2776" s="139">
        <f>IFERROR(__xludf.DUMMYFUNCTION("""COMPUTED_VALUE"""),50.0)</f>
        <v>50</v>
      </c>
      <c r="J2776" s="139">
        <f>IFERROR(__xludf.DUMMYFUNCTION("""COMPUTED_VALUE"""),0.0)</f>
        <v>0</v>
      </c>
      <c r="K2776" s="139">
        <f>IFERROR(__xludf.DUMMYFUNCTION("""COMPUTED_VALUE"""),0.0)</f>
        <v>0</v>
      </c>
      <c r="L2776" s="139"/>
      <c r="M2776" s="139"/>
      <c r="N2776" s="139"/>
    </row>
    <row r="2777">
      <c r="A2777" s="139" t="str">
        <f>IFERROR(__xludf.DUMMYFUNCTION("""COMPUTED_VALUE"""),"e")</f>
        <v>e</v>
      </c>
      <c r="B2777" s="139">
        <f>IFERROR(__xludf.DUMMYFUNCTION("""COMPUTED_VALUE"""),2.02602015E8)</f>
        <v>202602015</v>
      </c>
      <c r="C2777" s="139" t="str">
        <f>IFERROR(__xludf.DUMMYFUNCTION("""COMPUTED_VALUE"""),"c_you_00001_you1_savage01_Boss_Red_Normal_00000")</f>
        <v>c_you_00001_you1_savage01_Boss_Red_Normal_00000</v>
      </c>
      <c r="D2777" s="139" t="str">
        <f>IFERROR(__xludf.DUMMYFUNCTION("""COMPUTED_VALUE"""),"c_you_00001_you1_savage01_Boss_Red")</f>
        <v>c_you_00001_you1_savage01_Boss_Red</v>
      </c>
      <c r="E2777" s="139">
        <f>IFERROR(__xludf.DUMMYFUNCTION("""COMPUTED_VALUE"""),0.0)</f>
        <v>0</v>
      </c>
      <c r="F2777" s="139" t="str">
        <f>IFERROR(__xludf.DUMMYFUNCTION("""COMPUTED_VALUE"""),"Normal")</f>
        <v>Normal</v>
      </c>
      <c r="G2777" s="139"/>
      <c r="H2777" s="139"/>
      <c r="I2777" s="139">
        <f>IFERROR(__xludf.DUMMYFUNCTION("""COMPUTED_VALUE"""),67.0)</f>
        <v>67</v>
      </c>
      <c r="J2777" s="139">
        <f>IFERROR(__xludf.DUMMYFUNCTION("""COMPUTED_VALUE"""),23.0)</f>
        <v>23</v>
      </c>
      <c r="K2777" s="139">
        <f>IFERROR(__xludf.DUMMYFUNCTION("""COMPUTED_VALUE"""),10.0)</f>
        <v>10</v>
      </c>
      <c r="L2777" s="139"/>
      <c r="M2777" s="139"/>
      <c r="N2777" s="139"/>
    </row>
    <row r="2778">
      <c r="A2778" s="139" t="str">
        <f>IFERROR(__xludf.DUMMYFUNCTION("""COMPUTED_VALUE"""),"e")</f>
        <v>e</v>
      </c>
      <c r="B2778" s="139">
        <f>IFERROR(__xludf.DUMMYFUNCTION("""COMPUTED_VALUE"""),2.02602015E8)</f>
        <v>202602015</v>
      </c>
      <c r="C2778" s="139" t="str">
        <f>IFERROR(__xludf.DUMMYFUNCTION("""COMPUTED_VALUE"""),"c_you_00001_you1_savage01_Boss_Red_Special_00001")</f>
        <v>c_you_00001_you1_savage01_Boss_Red_Special_00001</v>
      </c>
      <c r="D2778" s="139" t="str">
        <f>IFERROR(__xludf.DUMMYFUNCTION("""COMPUTED_VALUE"""),"c_you_00001_you1_savage01_Boss_Red")</f>
        <v>c_you_00001_you1_savage01_Boss_Red</v>
      </c>
      <c r="E2778" s="139">
        <f>IFERROR(__xludf.DUMMYFUNCTION("""COMPUTED_VALUE"""),0.0)</f>
        <v>0</v>
      </c>
      <c r="F2778" s="139" t="str">
        <f>IFERROR(__xludf.DUMMYFUNCTION("""COMPUTED_VALUE"""),"Special")</f>
        <v>Special</v>
      </c>
      <c r="G2778" s="139"/>
      <c r="H2778" s="139"/>
      <c r="I2778" s="139">
        <f>IFERROR(__xludf.DUMMYFUNCTION("""COMPUTED_VALUE"""),89.0)</f>
        <v>89</v>
      </c>
      <c r="J2778" s="139">
        <f>IFERROR(__xludf.DUMMYFUNCTION("""COMPUTED_VALUE"""),0.0)</f>
        <v>0</v>
      </c>
      <c r="K2778" s="139">
        <f>IFERROR(__xludf.DUMMYFUNCTION("""COMPUTED_VALUE"""),0.0)</f>
        <v>0</v>
      </c>
      <c r="L2778" s="139"/>
      <c r="M2778" s="139"/>
      <c r="N2778" s="139"/>
    </row>
    <row r="2779">
      <c r="A2779" s="139" t="str">
        <f>IFERROR(__xludf.DUMMYFUNCTION("""COMPUTED_VALUE"""),"e")</f>
        <v>e</v>
      </c>
      <c r="B2779" s="139">
        <f>IFERROR(__xludf.DUMMYFUNCTION("""COMPUTED_VALUE"""),2.02602015E8)</f>
        <v>202602015</v>
      </c>
      <c r="C2779" s="139" t="str">
        <f>IFERROR(__xludf.DUMMYFUNCTION("""COMPUTED_VALUE"""),"c_you_00001_you1_savage01_Boss_Red_Appearance_00002")</f>
        <v>c_you_00001_you1_savage01_Boss_Red_Appearance_00002</v>
      </c>
      <c r="D2779" s="139" t="str">
        <f>IFERROR(__xludf.DUMMYFUNCTION("""COMPUTED_VALUE"""),"c_you_00001_you1_savage01_Boss_Red")</f>
        <v>c_you_00001_you1_savage01_Boss_Red</v>
      </c>
      <c r="E2779" s="139">
        <f>IFERROR(__xludf.DUMMYFUNCTION("""COMPUTED_VALUE"""),0.0)</f>
        <v>0</v>
      </c>
      <c r="F2779" s="139" t="str">
        <f>IFERROR(__xludf.DUMMYFUNCTION("""COMPUTED_VALUE"""),"Appearance")</f>
        <v>Appearance</v>
      </c>
      <c r="G2779" s="139"/>
      <c r="H2779" s="139"/>
      <c r="I2779" s="139">
        <f>IFERROR(__xludf.DUMMYFUNCTION("""COMPUTED_VALUE"""),50.0)</f>
        <v>50</v>
      </c>
      <c r="J2779" s="139">
        <f>IFERROR(__xludf.DUMMYFUNCTION("""COMPUTED_VALUE"""),0.0)</f>
        <v>0</v>
      </c>
      <c r="K2779" s="139">
        <f>IFERROR(__xludf.DUMMYFUNCTION("""COMPUTED_VALUE"""),0.0)</f>
        <v>0</v>
      </c>
      <c r="L2779" s="139"/>
      <c r="M2779" s="139"/>
      <c r="N2779" s="139"/>
    </row>
    <row r="2780">
      <c r="A2780" s="139" t="str">
        <f>IFERROR(__xludf.DUMMYFUNCTION("""COMPUTED_VALUE"""),"e")</f>
        <v>e</v>
      </c>
      <c r="B2780" s="139">
        <f>IFERROR(__xludf.DUMMYFUNCTION("""COMPUTED_VALUE"""),2.02602015E8)</f>
        <v>202602015</v>
      </c>
      <c r="C2780" s="139" t="str">
        <f>IFERROR(__xludf.DUMMYFUNCTION("""COMPUTED_VALUE"""),"c_you_00101_you1_savage01_Boss_Blue_Normal_00000")</f>
        <v>c_you_00101_you1_savage01_Boss_Blue_Normal_00000</v>
      </c>
      <c r="D2780" s="139" t="str">
        <f>IFERROR(__xludf.DUMMYFUNCTION("""COMPUTED_VALUE"""),"c_you_00101_you1_savage01_Boss_Blue")</f>
        <v>c_you_00101_you1_savage01_Boss_Blue</v>
      </c>
      <c r="E2780" s="139">
        <f>IFERROR(__xludf.DUMMYFUNCTION("""COMPUTED_VALUE"""),0.0)</f>
        <v>0</v>
      </c>
      <c r="F2780" s="139" t="str">
        <f>IFERROR(__xludf.DUMMYFUNCTION("""COMPUTED_VALUE"""),"Normal")</f>
        <v>Normal</v>
      </c>
      <c r="G2780" s="139"/>
      <c r="H2780" s="139"/>
      <c r="I2780" s="139">
        <f>IFERROR(__xludf.DUMMYFUNCTION("""COMPUTED_VALUE"""),82.0)</f>
        <v>82</v>
      </c>
      <c r="J2780" s="139">
        <f>IFERROR(__xludf.DUMMYFUNCTION("""COMPUTED_VALUE"""),33.0)</f>
        <v>33</v>
      </c>
      <c r="K2780" s="139">
        <f>IFERROR(__xludf.DUMMYFUNCTION("""COMPUTED_VALUE"""),30.0)</f>
        <v>30</v>
      </c>
      <c r="L2780" s="139"/>
      <c r="M2780" s="139"/>
      <c r="N2780" s="139"/>
    </row>
    <row r="2781">
      <c r="A2781" s="139" t="str">
        <f>IFERROR(__xludf.DUMMYFUNCTION("""COMPUTED_VALUE"""),"e")</f>
        <v>e</v>
      </c>
      <c r="B2781" s="139">
        <f>IFERROR(__xludf.DUMMYFUNCTION("""COMPUTED_VALUE"""),2.02602015E8)</f>
        <v>202602015</v>
      </c>
      <c r="C2781" s="139" t="str">
        <f>IFERROR(__xludf.DUMMYFUNCTION("""COMPUTED_VALUE"""),"c_you_00101_you1_savage01_Boss_Blue_Special_00001")</f>
        <v>c_you_00101_you1_savage01_Boss_Blue_Special_00001</v>
      </c>
      <c r="D2781" s="139" t="str">
        <f>IFERROR(__xludf.DUMMYFUNCTION("""COMPUTED_VALUE"""),"c_you_00101_you1_savage01_Boss_Blue")</f>
        <v>c_you_00101_you1_savage01_Boss_Blue</v>
      </c>
      <c r="E2781" s="139">
        <f>IFERROR(__xludf.DUMMYFUNCTION("""COMPUTED_VALUE"""),0.0)</f>
        <v>0</v>
      </c>
      <c r="F2781" s="139" t="str">
        <f>IFERROR(__xludf.DUMMYFUNCTION("""COMPUTED_VALUE"""),"Special")</f>
        <v>Special</v>
      </c>
      <c r="G2781" s="139"/>
      <c r="H2781" s="139"/>
      <c r="I2781" s="139">
        <f>IFERROR(__xludf.DUMMYFUNCTION("""COMPUTED_VALUE"""),179.0)</f>
        <v>179</v>
      </c>
      <c r="J2781" s="139">
        <f>IFERROR(__xludf.DUMMYFUNCTION("""COMPUTED_VALUE"""),0.0)</f>
        <v>0</v>
      </c>
      <c r="K2781" s="139">
        <f>IFERROR(__xludf.DUMMYFUNCTION("""COMPUTED_VALUE"""),0.0)</f>
        <v>0</v>
      </c>
      <c r="L2781" s="139"/>
      <c r="M2781" s="139"/>
      <c r="N2781" s="139"/>
    </row>
    <row r="2782">
      <c r="A2782" s="139" t="str">
        <f>IFERROR(__xludf.DUMMYFUNCTION("""COMPUTED_VALUE"""),"e")</f>
        <v>e</v>
      </c>
      <c r="B2782" s="139">
        <f>IFERROR(__xludf.DUMMYFUNCTION("""COMPUTED_VALUE"""),2.02602015E8)</f>
        <v>202602015</v>
      </c>
      <c r="C2782" s="139" t="str">
        <f>IFERROR(__xludf.DUMMYFUNCTION("""COMPUTED_VALUE"""),"c_you_00101_you1_savage01_Boss_Blue_Appearance_00002")</f>
        <v>c_you_00101_you1_savage01_Boss_Blue_Appearance_00002</v>
      </c>
      <c r="D2782" s="139" t="str">
        <f>IFERROR(__xludf.DUMMYFUNCTION("""COMPUTED_VALUE"""),"c_you_00101_you1_savage01_Boss_Blue")</f>
        <v>c_you_00101_you1_savage01_Boss_Blue</v>
      </c>
      <c r="E2782" s="139">
        <f>IFERROR(__xludf.DUMMYFUNCTION("""COMPUTED_VALUE"""),0.0)</f>
        <v>0</v>
      </c>
      <c r="F2782" s="139" t="str">
        <f>IFERROR(__xludf.DUMMYFUNCTION("""COMPUTED_VALUE"""),"Appearance")</f>
        <v>Appearance</v>
      </c>
      <c r="G2782" s="139"/>
      <c r="H2782" s="139"/>
      <c r="I2782" s="139">
        <f>IFERROR(__xludf.DUMMYFUNCTION("""COMPUTED_VALUE"""),50.0)</f>
        <v>50</v>
      </c>
      <c r="J2782" s="139">
        <f>IFERROR(__xludf.DUMMYFUNCTION("""COMPUTED_VALUE"""),0.0)</f>
        <v>0</v>
      </c>
      <c r="K2782" s="139">
        <f>IFERROR(__xludf.DUMMYFUNCTION("""COMPUTED_VALUE"""),0.0)</f>
        <v>0</v>
      </c>
      <c r="L2782" s="139"/>
      <c r="M2782" s="139"/>
      <c r="N2782" s="139"/>
    </row>
    <row r="2783">
      <c r="A2783" s="139" t="str">
        <f>IFERROR(__xludf.DUMMYFUNCTION("""COMPUTED_VALUE"""),"e")</f>
        <v>e</v>
      </c>
      <c r="B2783" s="139">
        <f>IFERROR(__xludf.DUMMYFUNCTION("""COMPUTED_VALUE"""),2.02602015E8)</f>
        <v>202602015</v>
      </c>
      <c r="C2783" s="139" t="str">
        <f>IFERROR(__xludf.DUMMYFUNCTION("""COMPUTED_VALUE"""),"c_you_00101_you1_savage01_Boss_Green_Normal_00000")</f>
        <v>c_you_00101_you1_savage01_Boss_Green_Normal_00000</v>
      </c>
      <c r="D2783" s="139" t="str">
        <f>IFERROR(__xludf.DUMMYFUNCTION("""COMPUTED_VALUE"""),"c_you_00101_you1_savage01_Boss_Green")</f>
        <v>c_you_00101_you1_savage01_Boss_Green</v>
      </c>
      <c r="E2783" s="139">
        <f>IFERROR(__xludf.DUMMYFUNCTION("""COMPUTED_VALUE"""),0.0)</f>
        <v>0</v>
      </c>
      <c r="F2783" s="139" t="str">
        <f>IFERROR(__xludf.DUMMYFUNCTION("""COMPUTED_VALUE"""),"Normal")</f>
        <v>Normal</v>
      </c>
      <c r="G2783" s="139"/>
      <c r="H2783" s="139"/>
      <c r="I2783" s="139">
        <f>IFERROR(__xludf.DUMMYFUNCTION("""COMPUTED_VALUE"""),82.0)</f>
        <v>82</v>
      </c>
      <c r="J2783" s="139">
        <f>IFERROR(__xludf.DUMMYFUNCTION("""COMPUTED_VALUE"""),33.0)</f>
        <v>33</v>
      </c>
      <c r="K2783" s="139">
        <f>IFERROR(__xludf.DUMMYFUNCTION("""COMPUTED_VALUE"""),30.0)</f>
        <v>30</v>
      </c>
      <c r="L2783" s="139"/>
      <c r="M2783" s="139"/>
      <c r="N2783" s="139"/>
    </row>
    <row r="2784">
      <c r="A2784" s="139" t="str">
        <f>IFERROR(__xludf.DUMMYFUNCTION("""COMPUTED_VALUE"""),"e")</f>
        <v>e</v>
      </c>
      <c r="B2784" s="139">
        <f>IFERROR(__xludf.DUMMYFUNCTION("""COMPUTED_VALUE"""),2.02602015E8)</f>
        <v>202602015</v>
      </c>
      <c r="C2784" s="139" t="str">
        <f>IFERROR(__xludf.DUMMYFUNCTION("""COMPUTED_VALUE"""),"c_you_00101_you1_savage01_Boss_Green_Special_00001")</f>
        <v>c_you_00101_you1_savage01_Boss_Green_Special_00001</v>
      </c>
      <c r="D2784" s="139" t="str">
        <f>IFERROR(__xludf.DUMMYFUNCTION("""COMPUTED_VALUE"""),"c_you_00101_you1_savage01_Boss_Green")</f>
        <v>c_you_00101_you1_savage01_Boss_Green</v>
      </c>
      <c r="E2784" s="139">
        <f>IFERROR(__xludf.DUMMYFUNCTION("""COMPUTED_VALUE"""),0.0)</f>
        <v>0</v>
      </c>
      <c r="F2784" s="139" t="str">
        <f>IFERROR(__xludf.DUMMYFUNCTION("""COMPUTED_VALUE"""),"Special")</f>
        <v>Special</v>
      </c>
      <c r="G2784" s="139"/>
      <c r="H2784" s="139"/>
      <c r="I2784" s="139">
        <f>IFERROR(__xludf.DUMMYFUNCTION("""COMPUTED_VALUE"""),179.0)</f>
        <v>179</v>
      </c>
      <c r="J2784" s="139">
        <f>IFERROR(__xludf.DUMMYFUNCTION("""COMPUTED_VALUE"""),0.0)</f>
        <v>0</v>
      </c>
      <c r="K2784" s="139">
        <f>IFERROR(__xludf.DUMMYFUNCTION("""COMPUTED_VALUE"""),0.0)</f>
        <v>0</v>
      </c>
      <c r="L2784" s="139"/>
      <c r="M2784" s="139"/>
      <c r="N2784" s="139"/>
    </row>
    <row r="2785">
      <c r="A2785" s="139" t="str">
        <f>IFERROR(__xludf.DUMMYFUNCTION("""COMPUTED_VALUE"""),"e")</f>
        <v>e</v>
      </c>
      <c r="B2785" s="139">
        <f>IFERROR(__xludf.DUMMYFUNCTION("""COMPUTED_VALUE"""),2.02602015E8)</f>
        <v>202602015</v>
      </c>
      <c r="C2785" s="139" t="str">
        <f>IFERROR(__xludf.DUMMYFUNCTION("""COMPUTED_VALUE"""),"c_you_00101_you1_savage01_Boss_Green_Appearance_00002")</f>
        <v>c_you_00101_you1_savage01_Boss_Green_Appearance_00002</v>
      </c>
      <c r="D2785" s="139" t="str">
        <f>IFERROR(__xludf.DUMMYFUNCTION("""COMPUTED_VALUE"""),"c_you_00101_you1_savage01_Boss_Green")</f>
        <v>c_you_00101_you1_savage01_Boss_Green</v>
      </c>
      <c r="E2785" s="139">
        <f>IFERROR(__xludf.DUMMYFUNCTION("""COMPUTED_VALUE"""),0.0)</f>
        <v>0</v>
      </c>
      <c r="F2785" s="139" t="str">
        <f>IFERROR(__xludf.DUMMYFUNCTION("""COMPUTED_VALUE"""),"Appearance")</f>
        <v>Appearance</v>
      </c>
      <c r="G2785" s="139"/>
      <c r="H2785" s="139"/>
      <c r="I2785" s="139">
        <f>IFERROR(__xludf.DUMMYFUNCTION("""COMPUTED_VALUE"""),50.0)</f>
        <v>50</v>
      </c>
      <c r="J2785" s="139">
        <f>IFERROR(__xludf.DUMMYFUNCTION("""COMPUTED_VALUE"""),0.0)</f>
        <v>0</v>
      </c>
      <c r="K2785" s="139">
        <f>IFERROR(__xludf.DUMMYFUNCTION("""COMPUTED_VALUE"""),0.0)</f>
        <v>0</v>
      </c>
      <c r="L2785" s="139"/>
      <c r="M2785" s="139"/>
      <c r="N2785" s="139"/>
    </row>
    <row r="2786">
      <c r="A2786" s="139" t="str">
        <f>IFERROR(__xludf.DUMMYFUNCTION("""COMPUTED_VALUE"""),"e")</f>
        <v>e</v>
      </c>
      <c r="B2786" s="139">
        <f>IFERROR(__xludf.DUMMYFUNCTION("""COMPUTED_VALUE"""),2.02602015E8)</f>
        <v>202602015</v>
      </c>
      <c r="C2786" s="139" t="str">
        <f>IFERROR(__xludf.DUMMYFUNCTION("""COMPUTED_VALUE"""),"e_you_00001_you1_savage01_Normal_Colorless_Normal_00000")</f>
        <v>e_you_00001_you1_savage01_Normal_Colorless_Normal_00000</v>
      </c>
      <c r="D2786" s="139" t="str">
        <f>IFERROR(__xludf.DUMMYFUNCTION("""COMPUTED_VALUE"""),"e_you_00001_you1_savage01_Normal_Colorless")</f>
        <v>e_you_00001_you1_savage01_Normal_Colorless</v>
      </c>
      <c r="E2786" s="139">
        <f>IFERROR(__xludf.DUMMYFUNCTION("""COMPUTED_VALUE"""),0.0)</f>
        <v>0</v>
      </c>
      <c r="F2786" s="139" t="str">
        <f>IFERROR(__xludf.DUMMYFUNCTION("""COMPUTED_VALUE"""),"Normal")</f>
        <v>Normal</v>
      </c>
      <c r="G2786" s="139"/>
      <c r="H2786" s="139"/>
      <c r="I2786" s="139">
        <f>IFERROR(__xludf.DUMMYFUNCTION("""COMPUTED_VALUE"""),89.0)</f>
        <v>89</v>
      </c>
      <c r="J2786" s="139">
        <f>IFERROR(__xludf.DUMMYFUNCTION("""COMPUTED_VALUE"""),35.0)</f>
        <v>35</v>
      </c>
      <c r="K2786" s="139">
        <f>IFERROR(__xludf.DUMMYFUNCTION("""COMPUTED_VALUE"""),20.0)</f>
        <v>20</v>
      </c>
      <c r="L2786" s="139"/>
      <c r="M2786" s="139"/>
      <c r="N2786" s="139"/>
    </row>
    <row r="2787">
      <c r="A2787" s="139" t="str">
        <f>IFERROR(__xludf.DUMMYFUNCTION("""COMPUTED_VALUE"""),"e")</f>
        <v>e</v>
      </c>
      <c r="B2787" s="139">
        <f>IFERROR(__xludf.DUMMYFUNCTION("""COMPUTED_VALUE"""),2.02602015E8)</f>
        <v>202602015</v>
      </c>
      <c r="C2787" s="139" t="str">
        <f>IFERROR(__xludf.DUMMYFUNCTION("""COMPUTED_VALUE"""),"e_you_00001_you1_savage01_02_Normal_Colorless_Normal_00000")</f>
        <v>e_you_00001_you1_savage01_02_Normal_Colorless_Normal_00000</v>
      </c>
      <c r="D2787" s="139" t="str">
        <f>IFERROR(__xludf.DUMMYFUNCTION("""COMPUTED_VALUE"""),"e_you_00001_you1_savage01_02_Normal_Colorless")</f>
        <v>e_you_00001_you1_savage01_02_Normal_Colorless</v>
      </c>
      <c r="E2787" s="139">
        <f>IFERROR(__xludf.DUMMYFUNCTION("""COMPUTED_VALUE"""),0.0)</f>
        <v>0</v>
      </c>
      <c r="F2787" s="139" t="str">
        <f>IFERROR(__xludf.DUMMYFUNCTION("""COMPUTED_VALUE"""),"Normal")</f>
        <v>Normal</v>
      </c>
      <c r="G2787" s="139"/>
      <c r="H2787" s="139"/>
      <c r="I2787" s="139">
        <f>IFERROR(__xludf.DUMMYFUNCTION("""COMPUTED_VALUE"""),89.0)</f>
        <v>89</v>
      </c>
      <c r="J2787" s="139">
        <f>IFERROR(__xludf.DUMMYFUNCTION("""COMPUTED_VALUE"""),35.0)</f>
        <v>35</v>
      </c>
      <c r="K2787" s="139">
        <f>IFERROR(__xludf.DUMMYFUNCTION("""COMPUTED_VALUE"""),20.0)</f>
        <v>20</v>
      </c>
      <c r="L2787" s="139"/>
      <c r="M2787" s="139"/>
      <c r="N2787" s="139"/>
    </row>
    <row r="2788">
      <c r="A2788" s="139" t="str">
        <f>IFERROR(__xludf.DUMMYFUNCTION("""COMPUTED_VALUE"""),"e")</f>
        <v>e</v>
      </c>
      <c r="B2788" s="139">
        <f>IFERROR(__xludf.DUMMYFUNCTION("""COMPUTED_VALUE"""),2.02602015E8)</f>
        <v>202602015</v>
      </c>
      <c r="C2788" s="139" t="str">
        <f>IFERROR(__xludf.DUMMYFUNCTION("""COMPUTED_VALUE"""),"e_you_00101_you1_savage01_Normal_Colorless_Normal_00000")</f>
        <v>e_you_00101_you1_savage01_Normal_Colorless_Normal_00000</v>
      </c>
      <c r="D2788" s="139" t="str">
        <f>IFERROR(__xludf.DUMMYFUNCTION("""COMPUTED_VALUE"""),"e_you_00101_you1_savage01_Normal_Colorless")</f>
        <v>e_you_00101_you1_savage01_Normal_Colorless</v>
      </c>
      <c r="E2788" s="139">
        <f>IFERROR(__xludf.DUMMYFUNCTION("""COMPUTED_VALUE"""),0.0)</f>
        <v>0</v>
      </c>
      <c r="F2788" s="139" t="str">
        <f>IFERROR(__xludf.DUMMYFUNCTION("""COMPUTED_VALUE"""),"Normal")</f>
        <v>Normal</v>
      </c>
      <c r="G2788" s="139"/>
      <c r="H2788" s="139"/>
      <c r="I2788" s="139">
        <f>IFERROR(__xludf.DUMMYFUNCTION("""COMPUTED_VALUE"""),70.0)</f>
        <v>70</v>
      </c>
      <c r="J2788" s="139">
        <f>IFERROR(__xludf.DUMMYFUNCTION("""COMPUTED_VALUE"""),28.0)</f>
        <v>28</v>
      </c>
      <c r="K2788" s="139">
        <f>IFERROR(__xludf.DUMMYFUNCTION("""COMPUTED_VALUE"""),20.0)</f>
        <v>20</v>
      </c>
      <c r="L2788" s="139"/>
      <c r="M2788" s="139"/>
      <c r="N2788" s="139"/>
    </row>
    <row r="2789">
      <c r="A2789" s="139" t="str">
        <f>IFERROR(__xludf.DUMMYFUNCTION("""COMPUTED_VALUE"""),"e")</f>
        <v>e</v>
      </c>
      <c r="B2789" s="139">
        <f>IFERROR(__xludf.DUMMYFUNCTION("""COMPUTED_VALUE"""),2.02602015E8)</f>
        <v>202602015</v>
      </c>
      <c r="C2789" s="139" t="str">
        <f>IFERROR(__xludf.DUMMYFUNCTION("""COMPUTED_VALUE"""),"e_you_00001_you1_savage01_Normal_Green_Normal_00000")</f>
        <v>e_you_00001_you1_savage01_Normal_Green_Normal_00000</v>
      </c>
      <c r="D2789" s="139" t="str">
        <f>IFERROR(__xludf.DUMMYFUNCTION("""COMPUTED_VALUE"""),"e_you_00001_you1_savage01_Normal_Green")</f>
        <v>e_you_00001_you1_savage01_Normal_Green</v>
      </c>
      <c r="E2789" s="139">
        <f>IFERROR(__xludf.DUMMYFUNCTION("""COMPUTED_VALUE"""),0.0)</f>
        <v>0</v>
      </c>
      <c r="F2789" s="139" t="str">
        <f>IFERROR(__xludf.DUMMYFUNCTION("""COMPUTED_VALUE"""),"Normal")</f>
        <v>Normal</v>
      </c>
      <c r="G2789" s="139"/>
      <c r="H2789" s="139"/>
      <c r="I2789" s="139">
        <f>IFERROR(__xludf.DUMMYFUNCTION("""COMPUTED_VALUE"""),89.0)</f>
        <v>89</v>
      </c>
      <c r="J2789" s="139">
        <f>IFERROR(__xludf.DUMMYFUNCTION("""COMPUTED_VALUE"""),35.0)</f>
        <v>35</v>
      </c>
      <c r="K2789" s="139">
        <f>IFERROR(__xludf.DUMMYFUNCTION("""COMPUTED_VALUE"""),20.0)</f>
        <v>20</v>
      </c>
      <c r="L2789" s="139"/>
      <c r="M2789" s="139"/>
      <c r="N2789" s="139"/>
    </row>
    <row r="2790">
      <c r="A2790" s="139" t="str">
        <f>IFERROR(__xludf.DUMMYFUNCTION("""COMPUTED_VALUE"""),"e")</f>
        <v>e</v>
      </c>
      <c r="B2790" s="139">
        <f>IFERROR(__xludf.DUMMYFUNCTION("""COMPUTED_VALUE"""),2.02602015E8)</f>
        <v>202602015</v>
      </c>
      <c r="C2790" s="139" t="str">
        <f>IFERROR(__xludf.DUMMYFUNCTION("""COMPUTED_VALUE"""),"e_you_00101_you1_savage01_Normal_Green_Normal_00000")</f>
        <v>e_you_00101_you1_savage01_Normal_Green_Normal_00000</v>
      </c>
      <c r="D2790" s="139" t="str">
        <f>IFERROR(__xludf.DUMMYFUNCTION("""COMPUTED_VALUE"""),"e_you_00101_you1_savage01_Normal_Green")</f>
        <v>e_you_00101_you1_savage01_Normal_Green</v>
      </c>
      <c r="E2790" s="139">
        <f>IFERROR(__xludf.DUMMYFUNCTION("""COMPUTED_VALUE"""),0.0)</f>
        <v>0</v>
      </c>
      <c r="F2790" s="139" t="str">
        <f>IFERROR(__xludf.DUMMYFUNCTION("""COMPUTED_VALUE"""),"Normal")</f>
        <v>Normal</v>
      </c>
      <c r="G2790" s="139"/>
      <c r="H2790" s="139"/>
      <c r="I2790" s="139">
        <f>IFERROR(__xludf.DUMMYFUNCTION("""COMPUTED_VALUE"""),70.0)</f>
        <v>70</v>
      </c>
      <c r="J2790" s="139">
        <f>IFERROR(__xludf.DUMMYFUNCTION("""COMPUTED_VALUE"""),28.0)</f>
        <v>28</v>
      </c>
      <c r="K2790" s="139">
        <f>IFERROR(__xludf.DUMMYFUNCTION("""COMPUTED_VALUE"""),20.0)</f>
        <v>20</v>
      </c>
      <c r="L2790" s="139"/>
      <c r="M2790" s="139"/>
      <c r="N2790" s="139"/>
    </row>
    <row r="2791">
      <c r="A2791" s="139" t="str">
        <f>IFERROR(__xludf.DUMMYFUNCTION("""COMPUTED_VALUE"""),"e")</f>
        <v>e</v>
      </c>
      <c r="B2791" s="139">
        <f>IFERROR(__xludf.DUMMYFUNCTION("""COMPUTED_VALUE"""),2.02602015E8)</f>
        <v>202602015</v>
      </c>
      <c r="C2791" s="139" t="str">
        <f>IFERROR(__xludf.DUMMYFUNCTION("""COMPUTED_VALUE"""),"e_you_00001_you1_advent_Normal_Green_Normal_00000")</f>
        <v>e_you_00001_you1_advent_Normal_Green_Normal_00000</v>
      </c>
      <c r="D2791" s="139" t="str">
        <f>IFERROR(__xludf.DUMMYFUNCTION("""COMPUTED_VALUE"""),"e_you_00001_you1_advent_Normal_Green")</f>
        <v>e_you_00001_you1_advent_Normal_Green</v>
      </c>
      <c r="E2791" s="139">
        <f>IFERROR(__xludf.DUMMYFUNCTION("""COMPUTED_VALUE"""),0.0)</f>
        <v>0</v>
      </c>
      <c r="F2791" s="139" t="str">
        <f>IFERROR(__xludf.DUMMYFUNCTION("""COMPUTED_VALUE"""),"Normal")</f>
        <v>Normal</v>
      </c>
      <c r="G2791" s="139"/>
      <c r="H2791" s="139"/>
      <c r="I2791" s="139">
        <f>IFERROR(__xludf.DUMMYFUNCTION("""COMPUTED_VALUE"""),89.0)</f>
        <v>89</v>
      </c>
      <c r="J2791" s="139">
        <f>IFERROR(__xludf.DUMMYFUNCTION("""COMPUTED_VALUE"""),35.0)</f>
        <v>35</v>
      </c>
      <c r="K2791" s="139">
        <f>IFERROR(__xludf.DUMMYFUNCTION("""COMPUTED_VALUE"""),20.0)</f>
        <v>20</v>
      </c>
      <c r="L2791" s="139"/>
      <c r="M2791" s="139"/>
      <c r="N2791" s="139"/>
    </row>
    <row r="2792">
      <c r="A2792" s="139" t="str">
        <f>IFERROR(__xludf.DUMMYFUNCTION("""COMPUTED_VALUE"""),"e")</f>
        <v>e</v>
      </c>
      <c r="B2792" s="139">
        <f>IFERROR(__xludf.DUMMYFUNCTION("""COMPUTED_VALUE"""),2.02602015E8)</f>
        <v>202602015</v>
      </c>
      <c r="C2792" s="139" t="str">
        <f>IFERROR(__xludf.DUMMYFUNCTION("""COMPUTED_VALUE"""),"e_you_00101_you1_advent_Normal_Green_Normal_00000")</f>
        <v>e_you_00101_you1_advent_Normal_Green_Normal_00000</v>
      </c>
      <c r="D2792" s="139" t="str">
        <f>IFERROR(__xludf.DUMMYFUNCTION("""COMPUTED_VALUE"""),"e_you_00101_you1_advent_Normal_Green")</f>
        <v>e_you_00101_you1_advent_Normal_Green</v>
      </c>
      <c r="E2792" s="139">
        <f>IFERROR(__xludf.DUMMYFUNCTION("""COMPUTED_VALUE"""),0.0)</f>
        <v>0</v>
      </c>
      <c r="F2792" s="139" t="str">
        <f>IFERROR(__xludf.DUMMYFUNCTION("""COMPUTED_VALUE"""),"Normal")</f>
        <v>Normal</v>
      </c>
      <c r="G2792" s="139"/>
      <c r="H2792" s="139"/>
      <c r="I2792" s="139">
        <f>IFERROR(__xludf.DUMMYFUNCTION("""COMPUTED_VALUE"""),70.0)</f>
        <v>70</v>
      </c>
      <c r="J2792" s="139">
        <f>IFERROR(__xludf.DUMMYFUNCTION("""COMPUTED_VALUE"""),28.0)</f>
        <v>28</v>
      </c>
      <c r="K2792" s="139">
        <f>IFERROR(__xludf.DUMMYFUNCTION("""COMPUTED_VALUE"""),20.0)</f>
        <v>20</v>
      </c>
      <c r="L2792" s="139"/>
      <c r="M2792" s="139"/>
      <c r="N2792" s="139"/>
    </row>
    <row r="2793">
      <c r="A2793" s="139" t="str">
        <f>IFERROR(__xludf.DUMMYFUNCTION("""COMPUTED_VALUE"""),"e")</f>
        <v>e</v>
      </c>
      <c r="B2793" s="139">
        <f>IFERROR(__xludf.DUMMYFUNCTION("""COMPUTED_VALUE"""),2.02602015E8)</f>
        <v>202602015</v>
      </c>
      <c r="C2793" s="139" t="str">
        <f>IFERROR(__xludf.DUMMYFUNCTION("""COMPUTED_VALUE"""),"c_you_00001_you1_advent_Normal_Colorless_Normal_00000")</f>
        <v>c_you_00001_you1_advent_Normal_Colorless_Normal_00000</v>
      </c>
      <c r="D2793" s="139" t="str">
        <f>IFERROR(__xludf.DUMMYFUNCTION("""COMPUTED_VALUE"""),"c_you_00001_you1_advent_Normal_Colorless")</f>
        <v>c_you_00001_you1_advent_Normal_Colorless</v>
      </c>
      <c r="E2793" s="139">
        <f>IFERROR(__xludf.DUMMYFUNCTION("""COMPUTED_VALUE"""),0.0)</f>
        <v>0</v>
      </c>
      <c r="F2793" s="139" t="str">
        <f>IFERROR(__xludf.DUMMYFUNCTION("""COMPUTED_VALUE"""),"Normal")</f>
        <v>Normal</v>
      </c>
      <c r="G2793" s="139"/>
      <c r="H2793" s="139"/>
      <c r="I2793" s="139">
        <f>IFERROR(__xludf.DUMMYFUNCTION("""COMPUTED_VALUE"""),67.0)</f>
        <v>67</v>
      </c>
      <c r="J2793" s="139">
        <f>IFERROR(__xludf.DUMMYFUNCTION("""COMPUTED_VALUE"""),23.0)</f>
        <v>23</v>
      </c>
      <c r="K2793" s="139">
        <f>IFERROR(__xludf.DUMMYFUNCTION("""COMPUTED_VALUE"""),75.0)</f>
        <v>75</v>
      </c>
      <c r="L2793" s="139"/>
      <c r="M2793" s="139"/>
      <c r="N2793" s="139"/>
    </row>
    <row r="2794">
      <c r="A2794" s="139" t="str">
        <f>IFERROR(__xludf.DUMMYFUNCTION("""COMPUTED_VALUE"""),"e")</f>
        <v>e</v>
      </c>
      <c r="B2794" s="139">
        <f>IFERROR(__xludf.DUMMYFUNCTION("""COMPUTED_VALUE"""),2.02602015E8)</f>
        <v>202602015</v>
      </c>
      <c r="C2794" s="139" t="str">
        <f>IFERROR(__xludf.DUMMYFUNCTION("""COMPUTED_VALUE"""),"c_you_00001_you1_advent_Normal_Colorless_Special_00001")</f>
        <v>c_you_00001_you1_advent_Normal_Colorless_Special_00001</v>
      </c>
      <c r="D2794" s="139" t="str">
        <f>IFERROR(__xludf.DUMMYFUNCTION("""COMPUTED_VALUE"""),"c_you_00001_you1_advent_Normal_Colorless")</f>
        <v>c_you_00001_you1_advent_Normal_Colorless</v>
      </c>
      <c r="E2794" s="139">
        <f>IFERROR(__xludf.DUMMYFUNCTION("""COMPUTED_VALUE"""),0.0)</f>
        <v>0</v>
      </c>
      <c r="F2794" s="139" t="str">
        <f>IFERROR(__xludf.DUMMYFUNCTION("""COMPUTED_VALUE"""),"Special")</f>
        <v>Special</v>
      </c>
      <c r="G2794" s="139"/>
      <c r="H2794" s="139"/>
      <c r="I2794" s="139">
        <f>IFERROR(__xludf.DUMMYFUNCTION("""COMPUTED_VALUE"""),89.0)</f>
        <v>89</v>
      </c>
      <c r="J2794" s="139">
        <f>IFERROR(__xludf.DUMMYFUNCTION("""COMPUTED_VALUE"""),0.0)</f>
        <v>0</v>
      </c>
      <c r="K2794" s="139">
        <f>IFERROR(__xludf.DUMMYFUNCTION("""COMPUTED_VALUE"""),0.0)</f>
        <v>0</v>
      </c>
      <c r="L2794" s="139"/>
      <c r="M2794" s="139"/>
      <c r="N2794" s="139"/>
    </row>
    <row r="2795">
      <c r="A2795" s="139" t="str">
        <f>IFERROR(__xludf.DUMMYFUNCTION("""COMPUTED_VALUE"""),"e")</f>
        <v>e</v>
      </c>
      <c r="B2795" s="139">
        <f>IFERROR(__xludf.DUMMYFUNCTION("""COMPUTED_VALUE"""),2.02602015E8)</f>
        <v>202602015</v>
      </c>
      <c r="C2795" s="139" t="str">
        <f>IFERROR(__xludf.DUMMYFUNCTION("""COMPUTED_VALUE"""),"c_you_00201_you1_advent_Normal_Green_Normal_00000")</f>
        <v>c_you_00201_you1_advent_Normal_Green_Normal_00000</v>
      </c>
      <c r="D2795" s="139" t="str">
        <f>IFERROR(__xludf.DUMMYFUNCTION("""COMPUTED_VALUE"""),"c_you_00201_you1_advent_Normal_Green")</f>
        <v>c_you_00201_you1_advent_Normal_Green</v>
      </c>
      <c r="E2795" s="139">
        <f>IFERROR(__xludf.DUMMYFUNCTION("""COMPUTED_VALUE"""),0.0)</f>
        <v>0</v>
      </c>
      <c r="F2795" s="139" t="str">
        <f>IFERROR(__xludf.DUMMYFUNCTION("""COMPUTED_VALUE"""),"Normal")</f>
        <v>Normal</v>
      </c>
      <c r="G2795" s="139"/>
      <c r="H2795" s="139"/>
      <c r="I2795" s="139">
        <f>IFERROR(__xludf.DUMMYFUNCTION("""COMPUTED_VALUE"""),84.0)</f>
        <v>84</v>
      </c>
      <c r="J2795" s="139">
        <f>IFERROR(__xludf.DUMMYFUNCTION("""COMPUTED_VALUE"""),32.0)</f>
        <v>32</v>
      </c>
      <c r="K2795" s="139">
        <f>IFERROR(__xludf.DUMMYFUNCTION("""COMPUTED_VALUE"""),75.0)</f>
        <v>75</v>
      </c>
      <c r="L2795" s="139"/>
      <c r="M2795" s="139"/>
      <c r="N2795" s="139"/>
    </row>
    <row r="2796">
      <c r="A2796" s="139" t="str">
        <f>IFERROR(__xludf.DUMMYFUNCTION("""COMPUTED_VALUE"""),"e")</f>
        <v>e</v>
      </c>
      <c r="B2796" s="139">
        <f>IFERROR(__xludf.DUMMYFUNCTION("""COMPUTED_VALUE"""),2.02602015E8)</f>
        <v>202602015</v>
      </c>
      <c r="C2796" s="139" t="str">
        <f>IFERROR(__xludf.DUMMYFUNCTION("""COMPUTED_VALUE"""),"c_you_00201_you1_advent_Normal_Green_Special_00001")</f>
        <v>c_you_00201_you1_advent_Normal_Green_Special_00001</v>
      </c>
      <c r="D2796" s="139" t="str">
        <f>IFERROR(__xludf.DUMMYFUNCTION("""COMPUTED_VALUE"""),"c_you_00201_you1_advent_Normal_Green")</f>
        <v>c_you_00201_you1_advent_Normal_Green</v>
      </c>
      <c r="E2796" s="139">
        <f>IFERROR(__xludf.DUMMYFUNCTION("""COMPUTED_VALUE"""),0.0)</f>
        <v>0</v>
      </c>
      <c r="F2796" s="139" t="str">
        <f>IFERROR(__xludf.DUMMYFUNCTION("""COMPUTED_VALUE"""),"Special")</f>
        <v>Special</v>
      </c>
      <c r="G2796" s="139"/>
      <c r="H2796" s="139"/>
      <c r="I2796" s="139">
        <f>IFERROR(__xludf.DUMMYFUNCTION("""COMPUTED_VALUE"""),159.0)</f>
        <v>159</v>
      </c>
      <c r="J2796" s="139">
        <f>IFERROR(__xludf.DUMMYFUNCTION("""COMPUTED_VALUE"""),0.0)</f>
        <v>0</v>
      </c>
      <c r="K2796" s="139">
        <f>IFERROR(__xludf.DUMMYFUNCTION("""COMPUTED_VALUE"""),0.0)</f>
        <v>0</v>
      </c>
      <c r="L2796" s="139"/>
      <c r="M2796" s="139"/>
      <c r="N2796" s="139"/>
    </row>
    <row r="2797">
      <c r="A2797" s="139" t="str">
        <f>IFERROR(__xludf.DUMMYFUNCTION("""COMPUTED_VALUE"""),"e")</f>
        <v>e</v>
      </c>
      <c r="B2797" s="139">
        <f>IFERROR(__xludf.DUMMYFUNCTION("""COMPUTED_VALUE"""),2.02602015E8)</f>
        <v>202602015</v>
      </c>
      <c r="C2797" s="139" t="str">
        <f>IFERROR(__xludf.DUMMYFUNCTION("""COMPUTED_VALUE"""),"c_you_00301_you1_advent_Normal_Colorless_Normal_00000")</f>
        <v>c_you_00301_you1_advent_Normal_Colorless_Normal_00000</v>
      </c>
      <c r="D2797" s="139" t="str">
        <f>IFERROR(__xludf.DUMMYFUNCTION("""COMPUTED_VALUE"""),"c_you_00301_you1_advent_Normal_Colorless")</f>
        <v>c_you_00301_you1_advent_Normal_Colorless</v>
      </c>
      <c r="E2797" s="139">
        <f>IFERROR(__xludf.DUMMYFUNCTION("""COMPUTED_VALUE"""),0.0)</f>
        <v>0</v>
      </c>
      <c r="F2797" s="139" t="str">
        <f>IFERROR(__xludf.DUMMYFUNCTION("""COMPUTED_VALUE"""),"Normal")</f>
        <v>Normal</v>
      </c>
      <c r="G2797" s="139"/>
      <c r="H2797" s="139"/>
      <c r="I2797" s="139">
        <f>IFERROR(__xludf.DUMMYFUNCTION("""COMPUTED_VALUE"""),89.0)</f>
        <v>89</v>
      </c>
      <c r="J2797" s="139">
        <f>IFERROR(__xludf.DUMMYFUNCTION("""COMPUTED_VALUE"""),35.0)</f>
        <v>35</v>
      </c>
      <c r="K2797" s="139">
        <f>IFERROR(__xludf.DUMMYFUNCTION("""COMPUTED_VALUE"""),50.0)</f>
        <v>50</v>
      </c>
      <c r="L2797" s="139"/>
      <c r="M2797" s="139"/>
      <c r="N2797" s="139"/>
    </row>
    <row r="2798">
      <c r="A2798" s="139" t="str">
        <f>IFERROR(__xludf.DUMMYFUNCTION("""COMPUTED_VALUE"""),"e")</f>
        <v>e</v>
      </c>
      <c r="B2798" s="139">
        <f>IFERROR(__xludf.DUMMYFUNCTION("""COMPUTED_VALUE"""),2.02602015E8)</f>
        <v>202602015</v>
      </c>
      <c r="C2798" s="139" t="str">
        <f>IFERROR(__xludf.DUMMYFUNCTION("""COMPUTED_VALUE"""),"c_you_00301_you1_advent_Normal_Colorless_Special_00001")</f>
        <v>c_you_00301_you1_advent_Normal_Colorless_Special_00001</v>
      </c>
      <c r="D2798" s="139" t="str">
        <f>IFERROR(__xludf.DUMMYFUNCTION("""COMPUTED_VALUE"""),"c_you_00301_you1_advent_Normal_Colorless")</f>
        <v>c_you_00301_you1_advent_Normal_Colorless</v>
      </c>
      <c r="E2798" s="139">
        <f>IFERROR(__xludf.DUMMYFUNCTION("""COMPUTED_VALUE"""),0.0)</f>
        <v>0</v>
      </c>
      <c r="F2798" s="139" t="str">
        <f>IFERROR(__xludf.DUMMYFUNCTION("""COMPUTED_VALUE"""),"Special")</f>
        <v>Special</v>
      </c>
      <c r="G2798" s="139"/>
      <c r="H2798" s="139"/>
      <c r="I2798" s="139">
        <f>IFERROR(__xludf.DUMMYFUNCTION("""COMPUTED_VALUE"""),184.0)</f>
        <v>184</v>
      </c>
      <c r="J2798" s="139">
        <f>IFERROR(__xludf.DUMMYFUNCTION("""COMPUTED_VALUE"""),110.0)</f>
        <v>110</v>
      </c>
      <c r="K2798" s="139">
        <f>IFERROR(__xludf.DUMMYFUNCTION("""COMPUTED_VALUE"""),0.0)</f>
        <v>0</v>
      </c>
      <c r="L2798" s="139"/>
      <c r="M2798" s="139"/>
      <c r="N2798" s="139"/>
    </row>
    <row r="2799">
      <c r="A2799" s="139" t="str">
        <f>IFERROR(__xludf.DUMMYFUNCTION("""COMPUTED_VALUE"""),"e")</f>
        <v>e</v>
      </c>
      <c r="B2799" s="139">
        <f>IFERROR(__xludf.DUMMYFUNCTION("""COMPUTED_VALUE"""),2.02602015E8)</f>
        <v>202602015</v>
      </c>
      <c r="C2799" s="139" t="str">
        <f>IFERROR(__xludf.DUMMYFUNCTION("""COMPUTED_VALUE"""),"e_you_00001_you1_advent_Boss_Colorless_Normal_00000")</f>
        <v>e_you_00001_you1_advent_Boss_Colorless_Normal_00000</v>
      </c>
      <c r="D2799" s="139" t="str">
        <f>IFERROR(__xludf.DUMMYFUNCTION("""COMPUTED_VALUE"""),"e_you_00001_you1_advent_Boss_Colorless")</f>
        <v>e_you_00001_you1_advent_Boss_Colorless</v>
      </c>
      <c r="E2799" s="139">
        <f>IFERROR(__xludf.DUMMYFUNCTION("""COMPUTED_VALUE"""),0.0)</f>
        <v>0</v>
      </c>
      <c r="F2799" s="139" t="str">
        <f>IFERROR(__xludf.DUMMYFUNCTION("""COMPUTED_VALUE"""),"Normal")</f>
        <v>Normal</v>
      </c>
      <c r="G2799" s="139"/>
      <c r="H2799" s="139"/>
      <c r="I2799" s="139">
        <f>IFERROR(__xludf.DUMMYFUNCTION("""COMPUTED_VALUE"""),89.0)</f>
        <v>89</v>
      </c>
      <c r="J2799" s="139">
        <f>IFERROR(__xludf.DUMMYFUNCTION("""COMPUTED_VALUE"""),35.0)</f>
        <v>35</v>
      </c>
      <c r="K2799" s="139">
        <f>IFERROR(__xludf.DUMMYFUNCTION("""COMPUTED_VALUE"""),20.0)</f>
        <v>20</v>
      </c>
      <c r="L2799" s="139"/>
      <c r="M2799" s="139"/>
      <c r="N2799" s="139"/>
    </row>
    <row r="2800">
      <c r="A2800" s="139" t="str">
        <f>IFERROR(__xludf.DUMMYFUNCTION("""COMPUTED_VALUE"""),"e")</f>
        <v>e</v>
      </c>
      <c r="B2800" s="139">
        <f>IFERROR(__xludf.DUMMYFUNCTION("""COMPUTED_VALUE"""),2.02602015E8)</f>
        <v>202602015</v>
      </c>
      <c r="C2800" s="139" t="str">
        <f>IFERROR(__xludf.DUMMYFUNCTION("""COMPUTED_VALUE"""),"e_you_00001_you1_advent_Boss_Colorless_Appearance_00001")</f>
        <v>e_you_00001_you1_advent_Boss_Colorless_Appearance_00001</v>
      </c>
      <c r="D2800" s="139" t="str">
        <f>IFERROR(__xludf.DUMMYFUNCTION("""COMPUTED_VALUE"""),"e_you_00001_you1_advent_Boss_Colorless")</f>
        <v>e_you_00001_you1_advent_Boss_Colorless</v>
      </c>
      <c r="E2800" s="139">
        <f>IFERROR(__xludf.DUMMYFUNCTION("""COMPUTED_VALUE"""),0.0)</f>
        <v>0</v>
      </c>
      <c r="F2800" s="139" t="str">
        <f>IFERROR(__xludf.DUMMYFUNCTION("""COMPUTED_VALUE"""),"Appearance")</f>
        <v>Appearance</v>
      </c>
      <c r="G2800" s="139"/>
      <c r="H2800" s="139"/>
      <c r="I2800" s="139">
        <f>IFERROR(__xludf.DUMMYFUNCTION("""COMPUTED_VALUE"""),50.0)</f>
        <v>50</v>
      </c>
      <c r="J2800" s="139">
        <f>IFERROR(__xludf.DUMMYFUNCTION("""COMPUTED_VALUE"""),0.0)</f>
        <v>0</v>
      </c>
      <c r="K2800" s="139">
        <f>IFERROR(__xludf.DUMMYFUNCTION("""COMPUTED_VALUE"""),0.0)</f>
        <v>0</v>
      </c>
      <c r="L2800" s="139"/>
      <c r="M2800" s="139"/>
      <c r="N2800" s="139"/>
    </row>
    <row r="2801">
      <c r="A2801" s="139" t="str">
        <f>IFERROR(__xludf.DUMMYFUNCTION("""COMPUTED_VALUE"""),"e")</f>
        <v>e</v>
      </c>
      <c r="B2801" s="139">
        <f>IFERROR(__xludf.DUMMYFUNCTION("""COMPUTED_VALUE"""),2.02602015E8)</f>
        <v>202602015</v>
      </c>
      <c r="C2801" s="139" t="str">
        <f>IFERROR(__xludf.DUMMYFUNCTION("""COMPUTED_VALUE"""),"e_you_00101_you1_advent_Boss_Colorless_Normal_00000")</f>
        <v>e_you_00101_you1_advent_Boss_Colorless_Normal_00000</v>
      </c>
      <c r="D2801" s="139" t="str">
        <f>IFERROR(__xludf.DUMMYFUNCTION("""COMPUTED_VALUE"""),"e_you_00101_you1_advent_Boss_Colorless")</f>
        <v>e_you_00101_you1_advent_Boss_Colorless</v>
      </c>
      <c r="E2801" s="139">
        <f>IFERROR(__xludf.DUMMYFUNCTION("""COMPUTED_VALUE"""),0.0)</f>
        <v>0</v>
      </c>
      <c r="F2801" s="139" t="str">
        <f>IFERROR(__xludf.DUMMYFUNCTION("""COMPUTED_VALUE"""),"Normal")</f>
        <v>Normal</v>
      </c>
      <c r="G2801" s="139"/>
      <c r="H2801" s="139"/>
      <c r="I2801" s="139">
        <f>IFERROR(__xludf.DUMMYFUNCTION("""COMPUTED_VALUE"""),70.0)</f>
        <v>70</v>
      </c>
      <c r="J2801" s="139">
        <f>IFERROR(__xludf.DUMMYFUNCTION("""COMPUTED_VALUE"""),28.0)</f>
        <v>28</v>
      </c>
      <c r="K2801" s="139">
        <f>IFERROR(__xludf.DUMMYFUNCTION("""COMPUTED_VALUE"""),20.0)</f>
        <v>20</v>
      </c>
      <c r="L2801" s="139"/>
      <c r="M2801" s="139"/>
      <c r="N2801" s="139"/>
    </row>
    <row r="2802">
      <c r="A2802" s="139" t="str">
        <f>IFERROR(__xludf.DUMMYFUNCTION("""COMPUTED_VALUE"""),"e")</f>
        <v>e</v>
      </c>
      <c r="B2802" s="139">
        <f>IFERROR(__xludf.DUMMYFUNCTION("""COMPUTED_VALUE"""),2.02602015E8)</f>
        <v>202602015</v>
      </c>
      <c r="C2802" s="139" t="str">
        <f>IFERROR(__xludf.DUMMYFUNCTION("""COMPUTED_VALUE"""),"e_you_00101_you1_advent_Boss_Colorless_Appearance_00001")</f>
        <v>e_you_00101_you1_advent_Boss_Colorless_Appearance_00001</v>
      </c>
      <c r="D2802" s="139" t="str">
        <f>IFERROR(__xludf.DUMMYFUNCTION("""COMPUTED_VALUE"""),"e_you_00101_you1_advent_Boss_Colorless")</f>
        <v>e_you_00101_you1_advent_Boss_Colorless</v>
      </c>
      <c r="E2802" s="139">
        <f>IFERROR(__xludf.DUMMYFUNCTION("""COMPUTED_VALUE"""),0.0)</f>
        <v>0</v>
      </c>
      <c r="F2802" s="139" t="str">
        <f>IFERROR(__xludf.DUMMYFUNCTION("""COMPUTED_VALUE"""),"Appearance")</f>
        <v>Appearance</v>
      </c>
      <c r="G2802" s="139"/>
      <c r="H2802" s="139"/>
      <c r="I2802" s="139">
        <f>IFERROR(__xludf.DUMMYFUNCTION("""COMPUTED_VALUE"""),50.0)</f>
        <v>50</v>
      </c>
      <c r="J2802" s="139">
        <f>IFERROR(__xludf.DUMMYFUNCTION("""COMPUTED_VALUE"""),0.0)</f>
        <v>0</v>
      </c>
      <c r="K2802" s="139">
        <f>IFERROR(__xludf.DUMMYFUNCTION("""COMPUTED_VALUE"""),0.0)</f>
        <v>0</v>
      </c>
      <c r="L2802" s="139"/>
      <c r="M2802" s="139"/>
      <c r="N2802" s="139"/>
    </row>
    <row r="2803">
      <c r="A2803" s="139" t="str">
        <f>IFERROR(__xludf.DUMMYFUNCTION("""COMPUTED_VALUE"""),"e")</f>
        <v>e</v>
      </c>
      <c r="B2803" s="139">
        <f>IFERROR(__xludf.DUMMYFUNCTION("""COMPUTED_VALUE"""),2.02602015E8)</f>
        <v>202602015</v>
      </c>
      <c r="C2803" s="139" t="str">
        <f>IFERROR(__xludf.DUMMYFUNCTION("""COMPUTED_VALUE"""),"c_you_00001_you1_advent_Boss_Green_Normal_00000")</f>
        <v>c_you_00001_you1_advent_Boss_Green_Normal_00000</v>
      </c>
      <c r="D2803" s="139" t="str">
        <f>IFERROR(__xludf.DUMMYFUNCTION("""COMPUTED_VALUE"""),"c_you_00001_you1_advent_Boss_Green")</f>
        <v>c_you_00001_you1_advent_Boss_Green</v>
      </c>
      <c r="E2803" s="139">
        <f>IFERROR(__xludf.DUMMYFUNCTION("""COMPUTED_VALUE"""),0.0)</f>
        <v>0</v>
      </c>
      <c r="F2803" s="139" t="str">
        <f>IFERROR(__xludf.DUMMYFUNCTION("""COMPUTED_VALUE"""),"Normal")</f>
        <v>Normal</v>
      </c>
      <c r="G2803" s="139"/>
      <c r="H2803" s="139"/>
      <c r="I2803" s="139">
        <f>IFERROR(__xludf.DUMMYFUNCTION("""COMPUTED_VALUE"""),67.0)</f>
        <v>67</v>
      </c>
      <c r="J2803" s="139">
        <f>IFERROR(__xludf.DUMMYFUNCTION("""COMPUTED_VALUE"""),23.0)</f>
        <v>23</v>
      </c>
      <c r="K2803" s="139">
        <f>IFERROR(__xludf.DUMMYFUNCTION("""COMPUTED_VALUE"""),75.0)</f>
        <v>75</v>
      </c>
      <c r="L2803" s="139"/>
      <c r="M2803" s="139"/>
      <c r="N2803" s="139"/>
    </row>
    <row r="2804">
      <c r="A2804" s="139" t="str">
        <f>IFERROR(__xludf.DUMMYFUNCTION("""COMPUTED_VALUE"""),"e")</f>
        <v>e</v>
      </c>
      <c r="B2804" s="139">
        <f>IFERROR(__xludf.DUMMYFUNCTION("""COMPUTED_VALUE"""),2.02602015E8)</f>
        <v>202602015</v>
      </c>
      <c r="C2804" s="139" t="str">
        <f>IFERROR(__xludf.DUMMYFUNCTION("""COMPUTED_VALUE"""),"c_you_00001_you1_advent_Boss_Green_Appearance_00001")</f>
        <v>c_you_00001_you1_advent_Boss_Green_Appearance_00001</v>
      </c>
      <c r="D2804" s="139" t="str">
        <f>IFERROR(__xludf.DUMMYFUNCTION("""COMPUTED_VALUE"""),"c_you_00001_you1_advent_Boss_Green")</f>
        <v>c_you_00001_you1_advent_Boss_Green</v>
      </c>
      <c r="E2804" s="139">
        <f>IFERROR(__xludf.DUMMYFUNCTION("""COMPUTED_VALUE"""),0.0)</f>
        <v>0</v>
      </c>
      <c r="F2804" s="139" t="str">
        <f>IFERROR(__xludf.DUMMYFUNCTION("""COMPUTED_VALUE"""),"Appearance")</f>
        <v>Appearance</v>
      </c>
      <c r="G2804" s="139"/>
      <c r="H2804" s="139"/>
      <c r="I2804" s="139">
        <f>IFERROR(__xludf.DUMMYFUNCTION("""COMPUTED_VALUE"""),50.0)</f>
        <v>50</v>
      </c>
      <c r="J2804" s="139">
        <f>IFERROR(__xludf.DUMMYFUNCTION("""COMPUTED_VALUE"""),0.0)</f>
        <v>0</v>
      </c>
      <c r="K2804" s="139">
        <f>IFERROR(__xludf.DUMMYFUNCTION("""COMPUTED_VALUE"""),0.0)</f>
        <v>0</v>
      </c>
      <c r="L2804" s="139"/>
      <c r="M2804" s="139"/>
      <c r="N2804" s="139"/>
    </row>
    <row r="2805">
      <c r="A2805" s="139" t="str">
        <f>IFERROR(__xludf.DUMMYFUNCTION("""COMPUTED_VALUE"""),"e")</f>
        <v>e</v>
      </c>
      <c r="B2805" s="139">
        <f>IFERROR(__xludf.DUMMYFUNCTION("""COMPUTED_VALUE"""),2.02602015E8)</f>
        <v>202602015</v>
      </c>
      <c r="C2805" s="139" t="str">
        <f>IFERROR(__xludf.DUMMYFUNCTION("""COMPUTED_VALUE"""),"c_you_00001_you1_advent_Boss_Green_Special_00002")</f>
        <v>c_you_00001_you1_advent_Boss_Green_Special_00002</v>
      </c>
      <c r="D2805" s="139" t="str">
        <f>IFERROR(__xludf.DUMMYFUNCTION("""COMPUTED_VALUE"""),"c_you_00001_you1_advent_Boss_Green")</f>
        <v>c_you_00001_you1_advent_Boss_Green</v>
      </c>
      <c r="E2805" s="139">
        <f>IFERROR(__xludf.DUMMYFUNCTION("""COMPUTED_VALUE"""),0.0)</f>
        <v>0</v>
      </c>
      <c r="F2805" s="139" t="str">
        <f>IFERROR(__xludf.DUMMYFUNCTION("""COMPUTED_VALUE"""),"Special")</f>
        <v>Special</v>
      </c>
      <c r="G2805" s="139"/>
      <c r="H2805" s="139"/>
      <c r="I2805" s="139">
        <f>IFERROR(__xludf.DUMMYFUNCTION("""COMPUTED_VALUE"""),89.0)</f>
        <v>89</v>
      </c>
      <c r="J2805" s="139">
        <f>IFERROR(__xludf.DUMMYFUNCTION("""COMPUTED_VALUE"""),0.0)</f>
        <v>0</v>
      </c>
      <c r="K2805" s="139">
        <f>IFERROR(__xludf.DUMMYFUNCTION("""COMPUTED_VALUE"""),0.0)</f>
        <v>0</v>
      </c>
      <c r="L2805" s="139"/>
      <c r="M2805" s="139"/>
      <c r="N2805" s="139"/>
    </row>
    <row r="2806">
      <c r="A2806" s="139" t="str">
        <f>IFERROR(__xludf.DUMMYFUNCTION("""COMPUTED_VALUE"""),"e")</f>
        <v>e</v>
      </c>
      <c r="B2806" s="139">
        <f>IFERROR(__xludf.DUMMYFUNCTION("""COMPUTED_VALUE"""),2.02602015E8)</f>
        <v>202602015</v>
      </c>
      <c r="C2806" s="139" t="str">
        <f>IFERROR(__xludf.DUMMYFUNCTION("""COMPUTED_VALUE"""),"c_you_00201_you1_advent_Boss_Green_Normal_00000")</f>
        <v>c_you_00201_you1_advent_Boss_Green_Normal_00000</v>
      </c>
      <c r="D2806" s="139" t="str">
        <f>IFERROR(__xludf.DUMMYFUNCTION("""COMPUTED_VALUE"""),"c_you_00201_you1_advent_Boss_Green")</f>
        <v>c_you_00201_you1_advent_Boss_Green</v>
      </c>
      <c r="E2806" s="139">
        <f>IFERROR(__xludf.DUMMYFUNCTION("""COMPUTED_VALUE"""),0.0)</f>
        <v>0</v>
      </c>
      <c r="F2806" s="139" t="str">
        <f>IFERROR(__xludf.DUMMYFUNCTION("""COMPUTED_VALUE"""),"Normal")</f>
        <v>Normal</v>
      </c>
      <c r="G2806" s="139"/>
      <c r="H2806" s="139"/>
      <c r="I2806" s="139">
        <f>IFERROR(__xludf.DUMMYFUNCTION("""COMPUTED_VALUE"""),84.0)</f>
        <v>84</v>
      </c>
      <c r="J2806" s="139">
        <f>IFERROR(__xludf.DUMMYFUNCTION("""COMPUTED_VALUE"""),32.0)</f>
        <v>32</v>
      </c>
      <c r="K2806" s="139">
        <f>IFERROR(__xludf.DUMMYFUNCTION("""COMPUTED_VALUE"""),75.0)</f>
        <v>75</v>
      </c>
      <c r="L2806" s="139"/>
      <c r="M2806" s="139"/>
      <c r="N2806" s="139"/>
    </row>
    <row r="2807">
      <c r="A2807" s="139" t="str">
        <f>IFERROR(__xludf.DUMMYFUNCTION("""COMPUTED_VALUE"""),"e")</f>
        <v>e</v>
      </c>
      <c r="B2807" s="139">
        <f>IFERROR(__xludf.DUMMYFUNCTION("""COMPUTED_VALUE"""),2.02602015E8)</f>
        <v>202602015</v>
      </c>
      <c r="C2807" s="139" t="str">
        <f>IFERROR(__xludf.DUMMYFUNCTION("""COMPUTED_VALUE"""),"c_you_00201_you1_advent_Boss_Green_Appearance_00001")</f>
        <v>c_you_00201_you1_advent_Boss_Green_Appearance_00001</v>
      </c>
      <c r="D2807" s="139" t="str">
        <f>IFERROR(__xludf.DUMMYFUNCTION("""COMPUTED_VALUE"""),"c_you_00201_you1_advent_Boss_Green")</f>
        <v>c_you_00201_you1_advent_Boss_Green</v>
      </c>
      <c r="E2807" s="139">
        <f>IFERROR(__xludf.DUMMYFUNCTION("""COMPUTED_VALUE"""),0.0)</f>
        <v>0</v>
      </c>
      <c r="F2807" s="139" t="str">
        <f>IFERROR(__xludf.DUMMYFUNCTION("""COMPUTED_VALUE"""),"Appearance")</f>
        <v>Appearance</v>
      </c>
      <c r="G2807" s="139"/>
      <c r="H2807" s="139"/>
      <c r="I2807" s="139">
        <f>IFERROR(__xludf.DUMMYFUNCTION("""COMPUTED_VALUE"""),50.0)</f>
        <v>50</v>
      </c>
      <c r="J2807" s="139">
        <f>IFERROR(__xludf.DUMMYFUNCTION("""COMPUTED_VALUE"""),0.0)</f>
        <v>0</v>
      </c>
      <c r="K2807" s="139">
        <f>IFERROR(__xludf.DUMMYFUNCTION("""COMPUTED_VALUE"""),0.0)</f>
        <v>0</v>
      </c>
      <c r="L2807" s="139"/>
      <c r="M2807" s="139"/>
      <c r="N2807" s="139"/>
    </row>
    <row r="2808">
      <c r="A2808" s="139" t="str">
        <f>IFERROR(__xludf.DUMMYFUNCTION("""COMPUTED_VALUE"""),"e")</f>
        <v>e</v>
      </c>
      <c r="B2808" s="139">
        <f>IFERROR(__xludf.DUMMYFUNCTION("""COMPUTED_VALUE"""),2.02602015E8)</f>
        <v>202602015</v>
      </c>
      <c r="C2808" s="139" t="str">
        <f>IFERROR(__xludf.DUMMYFUNCTION("""COMPUTED_VALUE"""),"c_you_00201_you1_advent_Boss_Green_Special_00002")</f>
        <v>c_you_00201_you1_advent_Boss_Green_Special_00002</v>
      </c>
      <c r="D2808" s="139" t="str">
        <f>IFERROR(__xludf.DUMMYFUNCTION("""COMPUTED_VALUE"""),"c_you_00201_you1_advent_Boss_Green")</f>
        <v>c_you_00201_you1_advent_Boss_Green</v>
      </c>
      <c r="E2808" s="139">
        <f>IFERROR(__xludf.DUMMYFUNCTION("""COMPUTED_VALUE"""),0.0)</f>
        <v>0</v>
      </c>
      <c r="F2808" s="139" t="str">
        <f>IFERROR(__xludf.DUMMYFUNCTION("""COMPUTED_VALUE"""),"Special")</f>
        <v>Special</v>
      </c>
      <c r="G2808" s="139"/>
      <c r="H2808" s="139"/>
      <c r="I2808" s="139">
        <f>IFERROR(__xludf.DUMMYFUNCTION("""COMPUTED_VALUE"""),159.0)</f>
        <v>159</v>
      </c>
      <c r="J2808" s="139">
        <f>IFERROR(__xludf.DUMMYFUNCTION("""COMPUTED_VALUE"""),0.0)</f>
        <v>0</v>
      </c>
      <c r="K2808" s="139">
        <f>IFERROR(__xludf.DUMMYFUNCTION("""COMPUTED_VALUE"""),0.0)</f>
        <v>0</v>
      </c>
      <c r="L2808" s="139"/>
      <c r="M2808" s="139"/>
      <c r="N2808" s="139"/>
    </row>
    <row r="2809">
      <c r="A2809" s="139" t="str">
        <f>IFERROR(__xludf.DUMMYFUNCTION("""COMPUTED_VALUE"""),"e")</f>
        <v>e</v>
      </c>
      <c r="B2809" s="139">
        <f>IFERROR(__xludf.DUMMYFUNCTION("""COMPUTED_VALUE"""),2.02602015E8)</f>
        <v>202602015</v>
      </c>
      <c r="C2809" s="139" t="str">
        <f>IFERROR(__xludf.DUMMYFUNCTION("""COMPUTED_VALUE"""),"c_you_00301_you1_advent_Boss_Green_Normal_00000")</f>
        <v>c_you_00301_you1_advent_Boss_Green_Normal_00000</v>
      </c>
      <c r="D2809" s="139" t="str">
        <f>IFERROR(__xludf.DUMMYFUNCTION("""COMPUTED_VALUE"""),"c_you_00301_you1_advent_Boss_Green")</f>
        <v>c_you_00301_you1_advent_Boss_Green</v>
      </c>
      <c r="E2809" s="139">
        <f>IFERROR(__xludf.DUMMYFUNCTION("""COMPUTED_VALUE"""),0.0)</f>
        <v>0</v>
      </c>
      <c r="F2809" s="139" t="str">
        <f>IFERROR(__xludf.DUMMYFUNCTION("""COMPUTED_VALUE"""),"Normal")</f>
        <v>Normal</v>
      </c>
      <c r="G2809" s="139"/>
      <c r="H2809" s="139"/>
      <c r="I2809" s="139">
        <f>IFERROR(__xludf.DUMMYFUNCTION("""COMPUTED_VALUE"""),89.0)</f>
        <v>89</v>
      </c>
      <c r="J2809" s="139">
        <f>IFERROR(__xludf.DUMMYFUNCTION("""COMPUTED_VALUE"""),35.0)</f>
        <v>35</v>
      </c>
      <c r="K2809" s="139">
        <f>IFERROR(__xludf.DUMMYFUNCTION("""COMPUTED_VALUE"""),50.0)</f>
        <v>50</v>
      </c>
      <c r="L2809" s="139"/>
      <c r="M2809" s="139"/>
      <c r="N2809" s="139"/>
    </row>
    <row r="2810">
      <c r="A2810" s="139" t="str">
        <f>IFERROR(__xludf.DUMMYFUNCTION("""COMPUTED_VALUE"""),"e")</f>
        <v>e</v>
      </c>
      <c r="B2810" s="139">
        <f>IFERROR(__xludf.DUMMYFUNCTION("""COMPUTED_VALUE"""),2.02602015E8)</f>
        <v>202602015</v>
      </c>
      <c r="C2810" s="139" t="str">
        <f>IFERROR(__xludf.DUMMYFUNCTION("""COMPUTED_VALUE"""),"c_you_00301_you1_advent_Boss_Green_Appearance_00001")</f>
        <v>c_you_00301_you1_advent_Boss_Green_Appearance_00001</v>
      </c>
      <c r="D2810" s="139" t="str">
        <f>IFERROR(__xludf.DUMMYFUNCTION("""COMPUTED_VALUE"""),"c_you_00301_you1_advent_Boss_Green")</f>
        <v>c_you_00301_you1_advent_Boss_Green</v>
      </c>
      <c r="E2810" s="139">
        <f>IFERROR(__xludf.DUMMYFUNCTION("""COMPUTED_VALUE"""),0.0)</f>
        <v>0</v>
      </c>
      <c r="F2810" s="139" t="str">
        <f>IFERROR(__xludf.DUMMYFUNCTION("""COMPUTED_VALUE"""),"Appearance")</f>
        <v>Appearance</v>
      </c>
      <c r="G2810" s="139"/>
      <c r="H2810" s="139"/>
      <c r="I2810" s="139">
        <f>IFERROR(__xludf.DUMMYFUNCTION("""COMPUTED_VALUE"""),50.0)</f>
        <v>50</v>
      </c>
      <c r="J2810" s="139">
        <f>IFERROR(__xludf.DUMMYFUNCTION("""COMPUTED_VALUE"""),0.0)</f>
        <v>0</v>
      </c>
      <c r="K2810" s="139">
        <f>IFERROR(__xludf.DUMMYFUNCTION("""COMPUTED_VALUE"""),0.0)</f>
        <v>0</v>
      </c>
      <c r="L2810" s="139"/>
      <c r="M2810" s="139"/>
      <c r="N2810" s="139"/>
    </row>
    <row r="2811">
      <c r="A2811" s="139" t="str">
        <f>IFERROR(__xludf.DUMMYFUNCTION("""COMPUTED_VALUE"""),"e")</f>
        <v>e</v>
      </c>
      <c r="B2811" s="139">
        <f>IFERROR(__xludf.DUMMYFUNCTION("""COMPUTED_VALUE"""),2.02602015E8)</f>
        <v>202602015</v>
      </c>
      <c r="C2811" s="139" t="str">
        <f>IFERROR(__xludf.DUMMYFUNCTION("""COMPUTED_VALUE"""),"c_you_00301_you1_advent_Boss_Green_Special_00002")</f>
        <v>c_you_00301_you1_advent_Boss_Green_Special_00002</v>
      </c>
      <c r="D2811" s="139" t="str">
        <f>IFERROR(__xludf.DUMMYFUNCTION("""COMPUTED_VALUE"""),"c_you_00301_you1_advent_Boss_Green")</f>
        <v>c_you_00301_you1_advent_Boss_Green</v>
      </c>
      <c r="E2811" s="139">
        <f>IFERROR(__xludf.DUMMYFUNCTION("""COMPUTED_VALUE"""),0.0)</f>
        <v>0</v>
      </c>
      <c r="F2811" s="139" t="str">
        <f>IFERROR(__xludf.DUMMYFUNCTION("""COMPUTED_VALUE"""),"Special")</f>
        <v>Special</v>
      </c>
      <c r="G2811" s="139"/>
      <c r="H2811" s="139"/>
      <c r="I2811" s="139">
        <f>IFERROR(__xludf.DUMMYFUNCTION("""COMPUTED_VALUE"""),184.0)</f>
        <v>184</v>
      </c>
      <c r="J2811" s="139">
        <f>IFERROR(__xludf.DUMMYFUNCTION("""COMPUTED_VALUE"""),110.0)</f>
        <v>110</v>
      </c>
      <c r="K2811" s="139">
        <f>IFERROR(__xludf.DUMMYFUNCTION("""COMPUTED_VALUE"""),0.0)</f>
        <v>0</v>
      </c>
      <c r="L2811" s="139"/>
      <c r="M2811" s="139"/>
      <c r="N2811" s="139"/>
    </row>
    <row r="2812">
      <c r="A2812" s="139" t="str">
        <f>IFERROR(__xludf.DUMMYFUNCTION("""COMPUTED_VALUE"""),"e")</f>
        <v>e</v>
      </c>
      <c r="B2812" s="139">
        <f>IFERROR(__xludf.DUMMYFUNCTION("""COMPUTED_VALUE"""),2.02602015E8)</f>
        <v>202602015</v>
      </c>
      <c r="C2812" s="139" t="str">
        <f>IFERROR(__xludf.DUMMYFUNCTION("""COMPUTED_VALUE"""),"c_you_00101_you1_advent_Boss_Green_Normal_00000")</f>
        <v>c_you_00101_you1_advent_Boss_Green_Normal_00000</v>
      </c>
      <c r="D2812" s="139" t="str">
        <f>IFERROR(__xludf.DUMMYFUNCTION("""COMPUTED_VALUE"""),"c_you_00101_you1_advent_Boss_Green")</f>
        <v>c_you_00101_you1_advent_Boss_Green</v>
      </c>
      <c r="E2812" s="139">
        <f>IFERROR(__xludf.DUMMYFUNCTION("""COMPUTED_VALUE"""),0.0)</f>
        <v>0</v>
      </c>
      <c r="F2812" s="139" t="str">
        <f>IFERROR(__xludf.DUMMYFUNCTION("""COMPUTED_VALUE"""),"Normal")</f>
        <v>Normal</v>
      </c>
      <c r="G2812" s="139"/>
      <c r="H2812" s="139"/>
      <c r="I2812" s="139">
        <f>IFERROR(__xludf.DUMMYFUNCTION("""COMPUTED_VALUE"""),82.0)</f>
        <v>82</v>
      </c>
      <c r="J2812" s="139">
        <f>IFERROR(__xludf.DUMMYFUNCTION("""COMPUTED_VALUE"""),33.0)</f>
        <v>33</v>
      </c>
      <c r="K2812" s="139">
        <f>IFERROR(__xludf.DUMMYFUNCTION("""COMPUTED_VALUE"""),65.0)</f>
        <v>65</v>
      </c>
      <c r="L2812" s="139"/>
      <c r="M2812" s="139"/>
      <c r="N2812" s="139"/>
    </row>
    <row r="2813">
      <c r="A2813" s="139" t="str">
        <f>IFERROR(__xludf.DUMMYFUNCTION("""COMPUTED_VALUE"""),"e")</f>
        <v>e</v>
      </c>
      <c r="B2813" s="139">
        <f>IFERROR(__xludf.DUMMYFUNCTION("""COMPUTED_VALUE"""),2.02602015E8)</f>
        <v>202602015</v>
      </c>
      <c r="C2813" s="139" t="str">
        <f>IFERROR(__xludf.DUMMYFUNCTION("""COMPUTED_VALUE"""),"c_you_00101_you1_advent_Boss_Green_Appearance_00001")</f>
        <v>c_you_00101_you1_advent_Boss_Green_Appearance_00001</v>
      </c>
      <c r="D2813" s="139" t="str">
        <f>IFERROR(__xludf.DUMMYFUNCTION("""COMPUTED_VALUE"""),"c_you_00101_you1_advent_Boss_Green")</f>
        <v>c_you_00101_you1_advent_Boss_Green</v>
      </c>
      <c r="E2813" s="139">
        <f>IFERROR(__xludf.DUMMYFUNCTION("""COMPUTED_VALUE"""),0.0)</f>
        <v>0</v>
      </c>
      <c r="F2813" s="139" t="str">
        <f>IFERROR(__xludf.DUMMYFUNCTION("""COMPUTED_VALUE"""),"Appearance")</f>
        <v>Appearance</v>
      </c>
      <c r="G2813" s="139"/>
      <c r="H2813" s="139"/>
      <c r="I2813" s="139">
        <f>IFERROR(__xludf.DUMMYFUNCTION("""COMPUTED_VALUE"""),50.0)</f>
        <v>50</v>
      </c>
      <c r="J2813" s="139">
        <f>IFERROR(__xludf.DUMMYFUNCTION("""COMPUTED_VALUE"""),0.0)</f>
        <v>0</v>
      </c>
      <c r="K2813" s="139">
        <f>IFERROR(__xludf.DUMMYFUNCTION("""COMPUTED_VALUE"""),0.0)</f>
        <v>0</v>
      </c>
      <c r="L2813" s="139"/>
      <c r="M2813" s="139"/>
      <c r="N2813" s="139"/>
    </row>
    <row r="2814">
      <c r="A2814" s="139" t="str">
        <f>IFERROR(__xludf.DUMMYFUNCTION("""COMPUTED_VALUE"""),"e")</f>
        <v>e</v>
      </c>
      <c r="B2814" s="139">
        <f>IFERROR(__xludf.DUMMYFUNCTION("""COMPUTED_VALUE"""),2.02602015E8)</f>
        <v>202602015</v>
      </c>
      <c r="C2814" s="139" t="str">
        <f>IFERROR(__xludf.DUMMYFUNCTION("""COMPUTED_VALUE"""),"c_you_00101_you1_advent_Boss_Green_Special_00002")</f>
        <v>c_you_00101_you1_advent_Boss_Green_Special_00002</v>
      </c>
      <c r="D2814" s="139" t="str">
        <f>IFERROR(__xludf.DUMMYFUNCTION("""COMPUTED_VALUE"""),"c_you_00101_you1_advent_Boss_Green")</f>
        <v>c_you_00101_you1_advent_Boss_Green</v>
      </c>
      <c r="E2814" s="139">
        <f>IFERROR(__xludf.DUMMYFUNCTION("""COMPUTED_VALUE"""),0.0)</f>
        <v>0</v>
      </c>
      <c r="F2814" s="139" t="str">
        <f>IFERROR(__xludf.DUMMYFUNCTION("""COMPUTED_VALUE"""),"Special")</f>
        <v>Special</v>
      </c>
      <c r="G2814" s="139"/>
      <c r="H2814" s="139"/>
      <c r="I2814" s="139">
        <f>IFERROR(__xludf.DUMMYFUNCTION("""COMPUTED_VALUE"""),179.0)</f>
        <v>179</v>
      </c>
      <c r="J2814" s="139">
        <f>IFERROR(__xludf.DUMMYFUNCTION("""COMPUTED_VALUE"""),0.0)</f>
        <v>0</v>
      </c>
      <c r="K2814" s="139">
        <f>IFERROR(__xludf.DUMMYFUNCTION("""COMPUTED_VALUE"""),0.0)</f>
        <v>0</v>
      </c>
      <c r="L2814" s="139"/>
      <c r="M2814" s="139"/>
      <c r="N2814" s="139"/>
    </row>
    <row r="2815">
      <c r="A2815" s="139"/>
      <c r="B2815" s="139"/>
      <c r="C2815" s="139"/>
      <c r="D2815" s="139"/>
      <c r="E2815" s="139"/>
      <c r="F2815" s="139"/>
      <c r="G2815" s="139"/>
      <c r="H2815" s="139"/>
      <c r="I2815" s="139"/>
      <c r="J2815" s="139"/>
      <c r="K2815" s="139"/>
      <c r="L2815" s="139"/>
      <c r="M2815" s="139"/>
      <c r="N2815" s="139"/>
    </row>
    <row r="2816">
      <c r="A2816" s="139" t="str">
        <f>IFERROR(__xludf.DUMMYFUNCTION("""COMPUTED_VALUE"""),"e")</f>
        <v>e</v>
      </c>
      <c r="B2816" s="139">
        <f>IFERROR(__xludf.DUMMYFUNCTION("""COMPUTED_VALUE"""),2.0260202E8)</f>
        <v>202602020</v>
      </c>
      <c r="C2816" s="139" t="str">
        <f>IFERROR(__xludf.DUMMYFUNCTION("""COMPUTED_VALUE"""),"e_glo_00001_kim1_savage_Normal_Blue_Normal_00000")</f>
        <v>e_glo_00001_kim1_savage_Normal_Blue_Normal_00000</v>
      </c>
      <c r="D2816" s="139" t="str">
        <f>IFERROR(__xludf.DUMMYFUNCTION("""COMPUTED_VALUE"""),"e_glo_00001_kim1_savage_Normal_Blue")</f>
        <v>e_glo_00001_kim1_savage_Normal_Blue</v>
      </c>
      <c r="E2816" s="139">
        <f>IFERROR(__xludf.DUMMYFUNCTION("""COMPUTED_VALUE"""),0.0)</f>
        <v>0</v>
      </c>
      <c r="F2816" s="139" t="str">
        <f>IFERROR(__xludf.DUMMYFUNCTION("""COMPUTED_VALUE"""),"Normal")</f>
        <v>Normal</v>
      </c>
      <c r="G2816" s="139"/>
      <c r="H2816" s="139"/>
      <c r="I2816" s="139">
        <f>IFERROR(__xludf.DUMMYFUNCTION("""COMPUTED_VALUE"""),50.0)</f>
        <v>50</v>
      </c>
      <c r="J2816" s="139">
        <f>IFERROR(__xludf.DUMMYFUNCTION("""COMPUTED_VALUE"""),25.0)</f>
        <v>25</v>
      </c>
      <c r="K2816" s="139">
        <f>IFERROR(__xludf.DUMMYFUNCTION("""COMPUTED_VALUE"""),30.0)</f>
        <v>30</v>
      </c>
      <c r="L2816" s="139"/>
      <c r="M2816" s="139"/>
      <c r="N2816" s="139"/>
    </row>
    <row r="2817">
      <c r="A2817" s="139" t="str">
        <f>IFERROR(__xludf.DUMMYFUNCTION("""COMPUTED_VALUE"""),"e")</f>
        <v>e</v>
      </c>
      <c r="B2817" s="139">
        <f>IFERROR(__xludf.DUMMYFUNCTION("""COMPUTED_VALUE"""),2.0260202E8)</f>
        <v>202602020</v>
      </c>
      <c r="C2817" s="139" t="str">
        <f>IFERROR(__xludf.DUMMYFUNCTION("""COMPUTED_VALUE"""),"c_kim_00101_kim1_savage01_Boss_Blue_Normal_00000")</f>
        <v>c_kim_00101_kim1_savage01_Boss_Blue_Normal_00000</v>
      </c>
      <c r="D2817" s="139" t="str">
        <f>IFERROR(__xludf.DUMMYFUNCTION("""COMPUTED_VALUE"""),"c_kim_00101_kim1_savage01_Boss_Blue")</f>
        <v>c_kim_00101_kim1_savage01_Boss_Blue</v>
      </c>
      <c r="E2817" s="139">
        <f>IFERROR(__xludf.DUMMYFUNCTION("""COMPUTED_VALUE"""),0.0)</f>
        <v>0</v>
      </c>
      <c r="F2817" s="139" t="str">
        <f>IFERROR(__xludf.DUMMYFUNCTION("""COMPUTED_VALUE"""),"Normal")</f>
        <v>Normal</v>
      </c>
      <c r="G2817" s="139"/>
      <c r="H2817" s="139"/>
      <c r="I2817" s="139">
        <f>IFERROR(__xludf.DUMMYFUNCTION("""COMPUTED_VALUE"""),62.0)</f>
        <v>62</v>
      </c>
      <c r="J2817" s="139">
        <f>IFERROR(__xludf.DUMMYFUNCTION("""COMPUTED_VALUE"""),13.0)</f>
        <v>13</v>
      </c>
      <c r="K2817" s="139">
        <f>IFERROR(__xludf.DUMMYFUNCTION("""COMPUTED_VALUE"""),40.0)</f>
        <v>40</v>
      </c>
      <c r="L2817" s="139"/>
      <c r="M2817" s="139"/>
      <c r="N2817" s="139"/>
    </row>
    <row r="2818">
      <c r="A2818" s="139" t="str">
        <f>IFERROR(__xludf.DUMMYFUNCTION("""COMPUTED_VALUE"""),"e")</f>
        <v>e</v>
      </c>
      <c r="B2818" s="139">
        <f>IFERROR(__xludf.DUMMYFUNCTION("""COMPUTED_VALUE"""),2.0260202E8)</f>
        <v>202602020</v>
      </c>
      <c r="C2818" s="139" t="str">
        <f>IFERROR(__xludf.DUMMYFUNCTION("""COMPUTED_VALUE"""),"c_kim_00101_kim1_savage01_Boss_Blue_Special_00001")</f>
        <v>c_kim_00101_kim1_savage01_Boss_Blue_Special_00001</v>
      </c>
      <c r="D2818" s="139" t="str">
        <f>IFERROR(__xludf.DUMMYFUNCTION("""COMPUTED_VALUE"""),"c_kim_00101_kim1_savage01_Boss_Blue")</f>
        <v>c_kim_00101_kim1_savage01_Boss_Blue</v>
      </c>
      <c r="E2818" s="139">
        <f>IFERROR(__xludf.DUMMYFUNCTION("""COMPUTED_VALUE"""),0.0)</f>
        <v>0</v>
      </c>
      <c r="F2818" s="139" t="str">
        <f>IFERROR(__xludf.DUMMYFUNCTION("""COMPUTED_VALUE"""),"Special")</f>
        <v>Special</v>
      </c>
      <c r="G2818" s="139"/>
      <c r="H2818" s="139"/>
      <c r="I2818" s="139">
        <f>IFERROR(__xludf.DUMMYFUNCTION("""COMPUTED_VALUE"""),175.0)</f>
        <v>175</v>
      </c>
      <c r="J2818" s="139">
        <f>IFERROR(__xludf.DUMMYFUNCTION("""COMPUTED_VALUE"""),0.0)</f>
        <v>0</v>
      </c>
      <c r="K2818" s="139">
        <f>IFERROR(__xludf.DUMMYFUNCTION("""COMPUTED_VALUE"""),0.0)</f>
        <v>0</v>
      </c>
      <c r="L2818" s="139"/>
      <c r="M2818" s="139"/>
      <c r="N2818" s="139"/>
    </row>
    <row r="2819">
      <c r="A2819" s="139" t="str">
        <f>IFERROR(__xludf.DUMMYFUNCTION("""COMPUTED_VALUE"""),"e")</f>
        <v>e</v>
      </c>
      <c r="B2819" s="139">
        <f>IFERROR(__xludf.DUMMYFUNCTION("""COMPUTED_VALUE"""),2.0260202E8)</f>
        <v>202602020</v>
      </c>
      <c r="C2819" s="139" t="str">
        <f>IFERROR(__xludf.DUMMYFUNCTION("""COMPUTED_VALUE"""),"c_kim_00101_kim1_savage01_Boss_Blue_Appearance_00002")</f>
        <v>c_kim_00101_kim1_savage01_Boss_Blue_Appearance_00002</v>
      </c>
      <c r="D2819" s="139" t="str">
        <f>IFERROR(__xludf.DUMMYFUNCTION("""COMPUTED_VALUE"""),"c_kim_00101_kim1_savage01_Boss_Blue")</f>
        <v>c_kim_00101_kim1_savage01_Boss_Blue</v>
      </c>
      <c r="E2819" s="139">
        <f>IFERROR(__xludf.DUMMYFUNCTION("""COMPUTED_VALUE"""),0.0)</f>
        <v>0</v>
      </c>
      <c r="F2819" s="139" t="str">
        <f>IFERROR(__xludf.DUMMYFUNCTION("""COMPUTED_VALUE"""),"Appearance")</f>
        <v>Appearance</v>
      </c>
      <c r="G2819" s="139"/>
      <c r="H2819" s="139"/>
      <c r="I2819" s="139">
        <f>IFERROR(__xludf.DUMMYFUNCTION("""COMPUTED_VALUE"""),50.0)</f>
        <v>50</v>
      </c>
      <c r="J2819" s="139">
        <f>IFERROR(__xludf.DUMMYFUNCTION("""COMPUTED_VALUE"""),0.0)</f>
        <v>0</v>
      </c>
      <c r="K2819" s="139">
        <f>IFERROR(__xludf.DUMMYFUNCTION("""COMPUTED_VALUE"""),0.0)</f>
        <v>0</v>
      </c>
      <c r="L2819" s="139"/>
      <c r="M2819" s="139"/>
      <c r="N2819" s="139"/>
    </row>
    <row r="2820">
      <c r="A2820" s="139" t="str">
        <f>IFERROR(__xludf.DUMMYFUNCTION("""COMPUTED_VALUE"""),"e")</f>
        <v>e</v>
      </c>
      <c r="B2820" s="139">
        <f>IFERROR(__xludf.DUMMYFUNCTION("""COMPUTED_VALUE"""),2.0260202E8)</f>
        <v>202602020</v>
      </c>
      <c r="C2820" s="139" t="str">
        <f>IFERROR(__xludf.DUMMYFUNCTION("""COMPUTED_VALUE"""),"c_kim_00201_kim1_savage01_Boss_Blue_Normal_00000")</f>
        <v>c_kim_00201_kim1_savage01_Boss_Blue_Normal_00000</v>
      </c>
      <c r="D2820" s="139" t="str">
        <f>IFERROR(__xludf.DUMMYFUNCTION("""COMPUTED_VALUE"""),"c_kim_00201_kim1_savage01_Boss_Blue")</f>
        <v>c_kim_00201_kim1_savage01_Boss_Blue</v>
      </c>
      <c r="E2820" s="139">
        <f>IFERROR(__xludf.DUMMYFUNCTION("""COMPUTED_VALUE"""),0.0)</f>
        <v>0</v>
      </c>
      <c r="F2820" s="139" t="str">
        <f>IFERROR(__xludf.DUMMYFUNCTION("""COMPUTED_VALUE"""),"Normal")</f>
        <v>Normal</v>
      </c>
      <c r="G2820" s="139"/>
      <c r="H2820" s="139"/>
      <c r="I2820" s="139">
        <f>IFERROR(__xludf.DUMMYFUNCTION("""COMPUTED_VALUE"""),69.0)</f>
        <v>69</v>
      </c>
      <c r="J2820" s="139">
        <f>IFERROR(__xludf.DUMMYFUNCTION("""COMPUTED_VALUE"""),10.0)</f>
        <v>10</v>
      </c>
      <c r="K2820" s="139">
        <f>IFERROR(__xludf.DUMMYFUNCTION("""COMPUTED_VALUE"""),80.0)</f>
        <v>80</v>
      </c>
      <c r="L2820" s="139"/>
      <c r="M2820" s="139"/>
      <c r="N2820" s="139"/>
    </row>
    <row r="2821">
      <c r="A2821" s="139" t="str">
        <f>IFERROR(__xludf.DUMMYFUNCTION("""COMPUTED_VALUE"""),"e")</f>
        <v>e</v>
      </c>
      <c r="B2821" s="139">
        <f>IFERROR(__xludf.DUMMYFUNCTION("""COMPUTED_VALUE"""),2.0260202E8)</f>
        <v>202602020</v>
      </c>
      <c r="C2821" s="139" t="str">
        <f>IFERROR(__xludf.DUMMYFUNCTION("""COMPUTED_VALUE"""),"c_kim_00201_kim1_savage01_Boss_Blue_Special_00001")</f>
        <v>c_kim_00201_kim1_savage01_Boss_Blue_Special_00001</v>
      </c>
      <c r="D2821" s="139" t="str">
        <f>IFERROR(__xludf.DUMMYFUNCTION("""COMPUTED_VALUE"""),"c_kim_00201_kim1_savage01_Boss_Blue")</f>
        <v>c_kim_00201_kim1_savage01_Boss_Blue</v>
      </c>
      <c r="E2821" s="139">
        <f>IFERROR(__xludf.DUMMYFUNCTION("""COMPUTED_VALUE"""),0.0)</f>
        <v>0</v>
      </c>
      <c r="F2821" s="139" t="str">
        <f>IFERROR(__xludf.DUMMYFUNCTION("""COMPUTED_VALUE"""),"Special")</f>
        <v>Special</v>
      </c>
      <c r="G2821" s="139"/>
      <c r="H2821" s="139"/>
      <c r="I2821" s="139">
        <f>IFERROR(__xludf.DUMMYFUNCTION("""COMPUTED_VALUE"""),120.0)</f>
        <v>120</v>
      </c>
      <c r="J2821" s="139">
        <f>IFERROR(__xludf.DUMMYFUNCTION("""COMPUTED_VALUE"""),60.0)</f>
        <v>60</v>
      </c>
      <c r="K2821" s="139">
        <f>IFERROR(__xludf.DUMMYFUNCTION("""COMPUTED_VALUE"""),0.0)</f>
        <v>0</v>
      </c>
      <c r="L2821" s="139"/>
      <c r="M2821" s="139"/>
      <c r="N2821" s="139"/>
    </row>
    <row r="2822">
      <c r="A2822" s="139" t="str">
        <f>IFERROR(__xludf.DUMMYFUNCTION("""COMPUTED_VALUE"""),"e")</f>
        <v>e</v>
      </c>
      <c r="B2822" s="139">
        <f>IFERROR(__xludf.DUMMYFUNCTION("""COMPUTED_VALUE"""),2.0260202E8)</f>
        <v>202602020</v>
      </c>
      <c r="C2822" s="139" t="str">
        <f>IFERROR(__xludf.DUMMYFUNCTION("""COMPUTED_VALUE"""),"e_glo_00001_kim1_savage_Normal_Yellow_Normal_00000")</f>
        <v>e_glo_00001_kim1_savage_Normal_Yellow_Normal_00000</v>
      </c>
      <c r="D2822" s="139" t="str">
        <f>IFERROR(__xludf.DUMMYFUNCTION("""COMPUTED_VALUE"""),"e_glo_00001_kim1_savage_Normal_Yellow")</f>
        <v>e_glo_00001_kim1_savage_Normal_Yellow</v>
      </c>
      <c r="E2822" s="139">
        <f>IFERROR(__xludf.DUMMYFUNCTION("""COMPUTED_VALUE"""),0.0)</f>
        <v>0</v>
      </c>
      <c r="F2822" s="139" t="str">
        <f>IFERROR(__xludf.DUMMYFUNCTION("""COMPUTED_VALUE"""),"Normal")</f>
        <v>Normal</v>
      </c>
      <c r="G2822" s="139"/>
      <c r="H2822" s="139"/>
      <c r="I2822" s="139">
        <f>IFERROR(__xludf.DUMMYFUNCTION("""COMPUTED_VALUE"""),50.0)</f>
        <v>50</v>
      </c>
      <c r="J2822" s="139">
        <f>IFERROR(__xludf.DUMMYFUNCTION("""COMPUTED_VALUE"""),25.0)</f>
        <v>25</v>
      </c>
      <c r="K2822" s="139">
        <f>IFERROR(__xludf.DUMMYFUNCTION("""COMPUTED_VALUE"""),30.0)</f>
        <v>30</v>
      </c>
      <c r="L2822" s="139"/>
      <c r="M2822" s="139"/>
      <c r="N2822" s="139"/>
    </row>
    <row r="2823">
      <c r="A2823" s="139" t="str">
        <f>IFERROR(__xludf.DUMMYFUNCTION("""COMPUTED_VALUE"""),"e")</f>
        <v>e</v>
      </c>
      <c r="B2823" s="139">
        <f>IFERROR(__xludf.DUMMYFUNCTION("""COMPUTED_VALUE"""),2.0260202E8)</f>
        <v>202602020</v>
      </c>
      <c r="C2823" s="139" t="str">
        <f>IFERROR(__xludf.DUMMYFUNCTION("""COMPUTED_VALUE"""),"c_kim_00101_kim1_savage02_Boss_Yellow_Normal_00000")</f>
        <v>c_kim_00101_kim1_savage02_Boss_Yellow_Normal_00000</v>
      </c>
      <c r="D2823" s="139" t="str">
        <f>IFERROR(__xludf.DUMMYFUNCTION("""COMPUTED_VALUE"""),"c_kim_00101_kim1_savage02_Boss_Yellow")</f>
        <v>c_kim_00101_kim1_savage02_Boss_Yellow</v>
      </c>
      <c r="E2823" s="139">
        <f>IFERROR(__xludf.DUMMYFUNCTION("""COMPUTED_VALUE"""),0.0)</f>
        <v>0</v>
      </c>
      <c r="F2823" s="139" t="str">
        <f>IFERROR(__xludf.DUMMYFUNCTION("""COMPUTED_VALUE"""),"Normal")</f>
        <v>Normal</v>
      </c>
      <c r="G2823" s="139"/>
      <c r="H2823" s="139"/>
      <c r="I2823" s="139">
        <f>IFERROR(__xludf.DUMMYFUNCTION("""COMPUTED_VALUE"""),62.0)</f>
        <v>62</v>
      </c>
      <c r="J2823" s="139">
        <f>IFERROR(__xludf.DUMMYFUNCTION("""COMPUTED_VALUE"""),13.0)</f>
        <v>13</v>
      </c>
      <c r="K2823" s="139">
        <f>IFERROR(__xludf.DUMMYFUNCTION("""COMPUTED_VALUE"""),60.0)</f>
        <v>60</v>
      </c>
      <c r="L2823" s="139"/>
      <c r="M2823" s="139"/>
      <c r="N2823" s="139"/>
    </row>
    <row r="2824">
      <c r="A2824" s="139" t="str">
        <f>IFERROR(__xludf.DUMMYFUNCTION("""COMPUTED_VALUE"""),"e")</f>
        <v>e</v>
      </c>
      <c r="B2824" s="139">
        <f>IFERROR(__xludf.DUMMYFUNCTION("""COMPUTED_VALUE"""),2.0260202E8)</f>
        <v>202602020</v>
      </c>
      <c r="C2824" s="139" t="str">
        <f>IFERROR(__xludf.DUMMYFUNCTION("""COMPUTED_VALUE"""),"c_kim_00101_kim1_savage02_Boss_Yellow_Special_00001")</f>
        <v>c_kim_00101_kim1_savage02_Boss_Yellow_Special_00001</v>
      </c>
      <c r="D2824" s="139" t="str">
        <f>IFERROR(__xludf.DUMMYFUNCTION("""COMPUTED_VALUE"""),"c_kim_00101_kim1_savage02_Boss_Yellow")</f>
        <v>c_kim_00101_kim1_savage02_Boss_Yellow</v>
      </c>
      <c r="E2824" s="139">
        <f>IFERROR(__xludf.DUMMYFUNCTION("""COMPUTED_VALUE"""),0.0)</f>
        <v>0</v>
      </c>
      <c r="F2824" s="139" t="str">
        <f>IFERROR(__xludf.DUMMYFUNCTION("""COMPUTED_VALUE"""),"Special")</f>
        <v>Special</v>
      </c>
      <c r="G2824" s="139"/>
      <c r="H2824" s="139"/>
      <c r="I2824" s="139">
        <f>IFERROR(__xludf.DUMMYFUNCTION("""COMPUTED_VALUE"""),175.0)</f>
        <v>175</v>
      </c>
      <c r="J2824" s="139">
        <f>IFERROR(__xludf.DUMMYFUNCTION("""COMPUTED_VALUE"""),0.0)</f>
        <v>0</v>
      </c>
      <c r="K2824" s="139">
        <f>IFERROR(__xludf.DUMMYFUNCTION("""COMPUTED_VALUE"""),0.0)</f>
        <v>0</v>
      </c>
      <c r="L2824" s="139"/>
      <c r="M2824" s="139"/>
      <c r="N2824" s="139"/>
    </row>
    <row r="2825">
      <c r="A2825" s="139" t="str">
        <f>IFERROR(__xludf.DUMMYFUNCTION("""COMPUTED_VALUE"""),"e")</f>
        <v>e</v>
      </c>
      <c r="B2825" s="139">
        <f>IFERROR(__xludf.DUMMYFUNCTION("""COMPUTED_VALUE"""),2.0260202E8)</f>
        <v>202602020</v>
      </c>
      <c r="C2825" s="139" t="str">
        <f>IFERROR(__xludf.DUMMYFUNCTION("""COMPUTED_VALUE"""),"c_kim_00101_kim1_savage02_Boss_Yellow_Appearance_00002")</f>
        <v>c_kim_00101_kim1_savage02_Boss_Yellow_Appearance_00002</v>
      </c>
      <c r="D2825" s="139" t="str">
        <f>IFERROR(__xludf.DUMMYFUNCTION("""COMPUTED_VALUE"""),"c_kim_00101_kim1_savage02_Boss_Yellow")</f>
        <v>c_kim_00101_kim1_savage02_Boss_Yellow</v>
      </c>
      <c r="E2825" s="139">
        <f>IFERROR(__xludf.DUMMYFUNCTION("""COMPUTED_VALUE"""),0.0)</f>
        <v>0</v>
      </c>
      <c r="F2825" s="139" t="str">
        <f>IFERROR(__xludf.DUMMYFUNCTION("""COMPUTED_VALUE"""),"Appearance")</f>
        <v>Appearance</v>
      </c>
      <c r="G2825" s="139"/>
      <c r="H2825" s="139"/>
      <c r="I2825" s="139">
        <f>IFERROR(__xludf.DUMMYFUNCTION("""COMPUTED_VALUE"""),50.0)</f>
        <v>50</v>
      </c>
      <c r="J2825" s="139">
        <f>IFERROR(__xludf.DUMMYFUNCTION("""COMPUTED_VALUE"""),0.0)</f>
        <v>0</v>
      </c>
      <c r="K2825" s="139">
        <f>IFERROR(__xludf.DUMMYFUNCTION("""COMPUTED_VALUE"""),0.0)</f>
        <v>0</v>
      </c>
      <c r="L2825" s="139"/>
      <c r="M2825" s="139"/>
      <c r="N2825" s="139"/>
    </row>
    <row r="2826">
      <c r="A2826" s="139" t="str">
        <f>IFERROR(__xludf.DUMMYFUNCTION("""COMPUTED_VALUE"""),"e")</f>
        <v>e</v>
      </c>
      <c r="B2826" s="139">
        <f>IFERROR(__xludf.DUMMYFUNCTION("""COMPUTED_VALUE"""),2.0260202E8)</f>
        <v>202602020</v>
      </c>
      <c r="C2826" s="139" t="str">
        <f>IFERROR(__xludf.DUMMYFUNCTION("""COMPUTED_VALUE"""),"c_kim_00201_kim1_savage02_Boss_Yellow_Normal_00000")</f>
        <v>c_kim_00201_kim1_savage02_Boss_Yellow_Normal_00000</v>
      </c>
      <c r="D2826" s="139" t="str">
        <f>IFERROR(__xludf.DUMMYFUNCTION("""COMPUTED_VALUE"""),"c_kim_00201_kim1_savage02_Boss_Yellow")</f>
        <v>c_kim_00201_kim1_savage02_Boss_Yellow</v>
      </c>
      <c r="E2826" s="139">
        <f>IFERROR(__xludf.DUMMYFUNCTION("""COMPUTED_VALUE"""),0.0)</f>
        <v>0</v>
      </c>
      <c r="F2826" s="139" t="str">
        <f>IFERROR(__xludf.DUMMYFUNCTION("""COMPUTED_VALUE"""),"Normal")</f>
        <v>Normal</v>
      </c>
      <c r="G2826" s="139"/>
      <c r="H2826" s="139"/>
      <c r="I2826" s="139">
        <f>IFERROR(__xludf.DUMMYFUNCTION("""COMPUTED_VALUE"""),69.0)</f>
        <v>69</v>
      </c>
      <c r="J2826" s="139">
        <f>IFERROR(__xludf.DUMMYFUNCTION("""COMPUTED_VALUE"""),10.0)</f>
        <v>10</v>
      </c>
      <c r="K2826" s="139">
        <f>IFERROR(__xludf.DUMMYFUNCTION("""COMPUTED_VALUE"""),80.0)</f>
        <v>80</v>
      </c>
      <c r="L2826" s="139"/>
      <c r="M2826" s="139"/>
      <c r="N2826" s="139"/>
    </row>
    <row r="2827">
      <c r="A2827" s="139" t="str">
        <f>IFERROR(__xludf.DUMMYFUNCTION("""COMPUTED_VALUE"""),"e")</f>
        <v>e</v>
      </c>
      <c r="B2827" s="139">
        <f>IFERROR(__xludf.DUMMYFUNCTION("""COMPUTED_VALUE"""),2.0260202E8)</f>
        <v>202602020</v>
      </c>
      <c r="C2827" s="139" t="str">
        <f>IFERROR(__xludf.DUMMYFUNCTION("""COMPUTED_VALUE"""),"c_kim_00201_kim1_savage02_Boss_Yellow_Special_00001")</f>
        <v>c_kim_00201_kim1_savage02_Boss_Yellow_Special_00001</v>
      </c>
      <c r="D2827" s="139" t="str">
        <f>IFERROR(__xludf.DUMMYFUNCTION("""COMPUTED_VALUE"""),"c_kim_00201_kim1_savage02_Boss_Yellow")</f>
        <v>c_kim_00201_kim1_savage02_Boss_Yellow</v>
      </c>
      <c r="E2827" s="139">
        <f>IFERROR(__xludf.DUMMYFUNCTION("""COMPUTED_VALUE"""),0.0)</f>
        <v>0</v>
      </c>
      <c r="F2827" s="139" t="str">
        <f>IFERROR(__xludf.DUMMYFUNCTION("""COMPUTED_VALUE"""),"Special")</f>
        <v>Special</v>
      </c>
      <c r="G2827" s="139"/>
      <c r="H2827" s="139"/>
      <c r="I2827" s="139">
        <f>IFERROR(__xludf.DUMMYFUNCTION("""COMPUTED_VALUE"""),120.0)</f>
        <v>120</v>
      </c>
      <c r="J2827" s="139">
        <f>IFERROR(__xludf.DUMMYFUNCTION("""COMPUTED_VALUE"""),60.0)</f>
        <v>60</v>
      </c>
      <c r="K2827" s="139">
        <f>IFERROR(__xludf.DUMMYFUNCTION("""COMPUTED_VALUE"""),0.0)</f>
        <v>0</v>
      </c>
      <c r="L2827" s="139"/>
      <c r="M2827" s="139"/>
      <c r="N2827" s="139"/>
    </row>
    <row r="2828">
      <c r="A2828" s="139" t="str">
        <f>IFERROR(__xludf.DUMMYFUNCTION("""COMPUTED_VALUE"""),"e")</f>
        <v>e</v>
      </c>
      <c r="B2828" s="139">
        <f>IFERROR(__xludf.DUMMYFUNCTION("""COMPUTED_VALUE"""),2.0260202E8)</f>
        <v>202602020</v>
      </c>
      <c r="C2828" s="139" t="str">
        <f>IFERROR(__xludf.DUMMYFUNCTION("""COMPUTED_VALUE"""),"c_kim_00301_kim1_savage02_Boss_Yellow_Normal_00000")</f>
        <v>c_kim_00301_kim1_savage02_Boss_Yellow_Normal_00000</v>
      </c>
      <c r="D2828" s="139" t="str">
        <f>IFERROR(__xludf.DUMMYFUNCTION("""COMPUTED_VALUE"""),"c_kim_00301_kim1_savage02_Boss_Yellow")</f>
        <v>c_kim_00301_kim1_savage02_Boss_Yellow</v>
      </c>
      <c r="E2828" s="139">
        <f>IFERROR(__xludf.DUMMYFUNCTION("""COMPUTED_VALUE"""),0.0)</f>
        <v>0</v>
      </c>
      <c r="F2828" s="139" t="str">
        <f>IFERROR(__xludf.DUMMYFUNCTION("""COMPUTED_VALUE"""),"Normal")</f>
        <v>Normal</v>
      </c>
      <c r="G2828" s="139"/>
      <c r="H2828" s="139"/>
      <c r="I2828" s="139">
        <f>IFERROR(__xludf.DUMMYFUNCTION("""COMPUTED_VALUE"""),88.0)</f>
        <v>88</v>
      </c>
      <c r="J2828" s="139">
        <f>IFERROR(__xludf.DUMMYFUNCTION("""COMPUTED_VALUE"""),39.0)</f>
        <v>39</v>
      </c>
      <c r="K2828" s="139">
        <f>IFERROR(__xludf.DUMMYFUNCTION("""COMPUTED_VALUE"""),75.0)</f>
        <v>75</v>
      </c>
      <c r="L2828" s="139"/>
      <c r="M2828" s="139"/>
      <c r="N2828" s="139"/>
    </row>
    <row r="2829">
      <c r="A2829" s="139" t="str">
        <f>IFERROR(__xludf.DUMMYFUNCTION("""COMPUTED_VALUE"""),"e")</f>
        <v>e</v>
      </c>
      <c r="B2829" s="139">
        <f>IFERROR(__xludf.DUMMYFUNCTION("""COMPUTED_VALUE"""),2.0260202E8)</f>
        <v>202602020</v>
      </c>
      <c r="C2829" s="139" t="str">
        <f>IFERROR(__xludf.DUMMYFUNCTION("""COMPUTED_VALUE"""),"c_kim_00301_kim1_savage02_Boss_Yellow_Special_00001")</f>
        <v>c_kim_00301_kim1_savage02_Boss_Yellow_Special_00001</v>
      </c>
      <c r="D2829" s="139" t="str">
        <f>IFERROR(__xludf.DUMMYFUNCTION("""COMPUTED_VALUE"""),"c_kim_00301_kim1_savage02_Boss_Yellow")</f>
        <v>c_kim_00301_kim1_savage02_Boss_Yellow</v>
      </c>
      <c r="E2829" s="139">
        <f>IFERROR(__xludf.DUMMYFUNCTION("""COMPUTED_VALUE"""),0.0)</f>
        <v>0</v>
      </c>
      <c r="F2829" s="139" t="str">
        <f>IFERROR(__xludf.DUMMYFUNCTION("""COMPUTED_VALUE"""),"Special")</f>
        <v>Special</v>
      </c>
      <c r="G2829" s="139"/>
      <c r="H2829" s="139"/>
      <c r="I2829" s="139">
        <f>IFERROR(__xludf.DUMMYFUNCTION("""COMPUTED_VALUE"""),180.0)</f>
        <v>180</v>
      </c>
      <c r="J2829" s="139">
        <f>IFERROR(__xludf.DUMMYFUNCTION("""COMPUTED_VALUE"""),60.0)</f>
        <v>60</v>
      </c>
      <c r="K2829" s="139">
        <f>IFERROR(__xludf.DUMMYFUNCTION("""COMPUTED_VALUE"""),0.0)</f>
        <v>0</v>
      </c>
      <c r="L2829" s="139"/>
      <c r="M2829" s="139"/>
      <c r="N2829" s="139"/>
    </row>
    <row r="2830">
      <c r="A2830" s="139" t="str">
        <f>IFERROR(__xludf.DUMMYFUNCTION("""COMPUTED_VALUE"""),"e")</f>
        <v>e</v>
      </c>
      <c r="B2830" s="139">
        <f>IFERROR(__xludf.DUMMYFUNCTION("""COMPUTED_VALUE"""),2.0260202E8)</f>
        <v>202602020</v>
      </c>
      <c r="C2830" s="139" t="str">
        <f>IFERROR(__xludf.DUMMYFUNCTION("""COMPUTED_VALUE"""),"e_glo_00001_kim1_savage_Normal_Red_Normal_00000")</f>
        <v>e_glo_00001_kim1_savage_Normal_Red_Normal_00000</v>
      </c>
      <c r="D2830" s="139" t="str">
        <f>IFERROR(__xludf.DUMMYFUNCTION("""COMPUTED_VALUE"""),"e_glo_00001_kim1_savage_Normal_Red")</f>
        <v>e_glo_00001_kim1_savage_Normal_Red</v>
      </c>
      <c r="E2830" s="139">
        <f>IFERROR(__xludf.DUMMYFUNCTION("""COMPUTED_VALUE"""),0.0)</f>
        <v>0</v>
      </c>
      <c r="F2830" s="139" t="str">
        <f>IFERROR(__xludf.DUMMYFUNCTION("""COMPUTED_VALUE"""),"Normal")</f>
        <v>Normal</v>
      </c>
      <c r="G2830" s="139"/>
      <c r="H2830" s="139"/>
      <c r="I2830" s="139">
        <f>IFERROR(__xludf.DUMMYFUNCTION("""COMPUTED_VALUE"""),50.0)</f>
        <v>50</v>
      </c>
      <c r="J2830" s="139">
        <f>IFERROR(__xludf.DUMMYFUNCTION("""COMPUTED_VALUE"""),25.0)</f>
        <v>25</v>
      </c>
      <c r="K2830" s="139">
        <f>IFERROR(__xludf.DUMMYFUNCTION("""COMPUTED_VALUE"""),30.0)</f>
        <v>30</v>
      </c>
      <c r="L2830" s="139"/>
      <c r="M2830" s="139"/>
      <c r="N2830" s="139"/>
    </row>
    <row r="2831">
      <c r="A2831" s="139" t="str">
        <f>IFERROR(__xludf.DUMMYFUNCTION("""COMPUTED_VALUE"""),"e")</f>
        <v>e</v>
      </c>
      <c r="B2831" s="139">
        <f>IFERROR(__xludf.DUMMYFUNCTION("""COMPUTED_VALUE"""),2.0260202E8)</f>
        <v>202602020</v>
      </c>
      <c r="C2831" s="139" t="str">
        <f>IFERROR(__xludf.DUMMYFUNCTION("""COMPUTED_VALUE"""),"c_kim_00101_kim1_savage03_Boss_Red_Normal_00000")</f>
        <v>c_kim_00101_kim1_savage03_Boss_Red_Normal_00000</v>
      </c>
      <c r="D2831" s="139" t="str">
        <f>IFERROR(__xludf.DUMMYFUNCTION("""COMPUTED_VALUE"""),"c_kim_00101_kim1_savage03_Boss_Red")</f>
        <v>c_kim_00101_kim1_savage03_Boss_Red</v>
      </c>
      <c r="E2831" s="139">
        <f>IFERROR(__xludf.DUMMYFUNCTION("""COMPUTED_VALUE"""),0.0)</f>
        <v>0</v>
      </c>
      <c r="F2831" s="139" t="str">
        <f>IFERROR(__xludf.DUMMYFUNCTION("""COMPUTED_VALUE"""),"Normal")</f>
        <v>Normal</v>
      </c>
      <c r="G2831" s="139"/>
      <c r="H2831" s="139"/>
      <c r="I2831" s="139">
        <f>IFERROR(__xludf.DUMMYFUNCTION("""COMPUTED_VALUE"""),62.0)</f>
        <v>62</v>
      </c>
      <c r="J2831" s="139">
        <f>IFERROR(__xludf.DUMMYFUNCTION("""COMPUTED_VALUE"""),13.0)</f>
        <v>13</v>
      </c>
      <c r="K2831" s="139">
        <f>IFERROR(__xludf.DUMMYFUNCTION("""COMPUTED_VALUE"""),60.0)</f>
        <v>60</v>
      </c>
      <c r="L2831" s="139"/>
      <c r="M2831" s="139"/>
      <c r="N2831" s="139"/>
    </row>
    <row r="2832">
      <c r="A2832" s="139" t="str">
        <f>IFERROR(__xludf.DUMMYFUNCTION("""COMPUTED_VALUE"""),"e")</f>
        <v>e</v>
      </c>
      <c r="B2832" s="139">
        <f>IFERROR(__xludf.DUMMYFUNCTION("""COMPUTED_VALUE"""),2.0260202E8)</f>
        <v>202602020</v>
      </c>
      <c r="C2832" s="139" t="str">
        <f>IFERROR(__xludf.DUMMYFUNCTION("""COMPUTED_VALUE"""),"c_kim_00101_kim1_savage03_Boss_Red_Special_00001")</f>
        <v>c_kim_00101_kim1_savage03_Boss_Red_Special_00001</v>
      </c>
      <c r="D2832" s="139" t="str">
        <f>IFERROR(__xludf.DUMMYFUNCTION("""COMPUTED_VALUE"""),"c_kim_00101_kim1_savage03_Boss_Red")</f>
        <v>c_kim_00101_kim1_savage03_Boss_Red</v>
      </c>
      <c r="E2832" s="139">
        <f>IFERROR(__xludf.DUMMYFUNCTION("""COMPUTED_VALUE"""),0.0)</f>
        <v>0</v>
      </c>
      <c r="F2832" s="139" t="str">
        <f>IFERROR(__xludf.DUMMYFUNCTION("""COMPUTED_VALUE"""),"Special")</f>
        <v>Special</v>
      </c>
      <c r="G2832" s="139"/>
      <c r="H2832" s="139"/>
      <c r="I2832" s="139">
        <f>IFERROR(__xludf.DUMMYFUNCTION("""COMPUTED_VALUE"""),175.0)</f>
        <v>175</v>
      </c>
      <c r="J2832" s="139">
        <f>IFERROR(__xludf.DUMMYFUNCTION("""COMPUTED_VALUE"""),0.0)</f>
        <v>0</v>
      </c>
      <c r="K2832" s="139">
        <f>IFERROR(__xludf.DUMMYFUNCTION("""COMPUTED_VALUE"""),0.0)</f>
        <v>0</v>
      </c>
      <c r="L2832" s="139"/>
      <c r="M2832" s="139"/>
      <c r="N2832" s="139"/>
    </row>
    <row r="2833">
      <c r="A2833" s="139" t="str">
        <f>IFERROR(__xludf.DUMMYFUNCTION("""COMPUTED_VALUE"""),"e")</f>
        <v>e</v>
      </c>
      <c r="B2833" s="139">
        <f>IFERROR(__xludf.DUMMYFUNCTION("""COMPUTED_VALUE"""),2.0260202E8)</f>
        <v>202602020</v>
      </c>
      <c r="C2833" s="139" t="str">
        <f>IFERROR(__xludf.DUMMYFUNCTION("""COMPUTED_VALUE"""),"c_kim_00201_kim1_savage03_Boss_Red_Normal_00000")</f>
        <v>c_kim_00201_kim1_savage03_Boss_Red_Normal_00000</v>
      </c>
      <c r="D2833" s="139" t="str">
        <f>IFERROR(__xludf.DUMMYFUNCTION("""COMPUTED_VALUE"""),"c_kim_00201_kim1_savage03_Boss_Red")</f>
        <v>c_kim_00201_kim1_savage03_Boss_Red</v>
      </c>
      <c r="E2833" s="139">
        <f>IFERROR(__xludf.DUMMYFUNCTION("""COMPUTED_VALUE"""),0.0)</f>
        <v>0</v>
      </c>
      <c r="F2833" s="139" t="str">
        <f>IFERROR(__xludf.DUMMYFUNCTION("""COMPUTED_VALUE"""),"Normal")</f>
        <v>Normal</v>
      </c>
      <c r="G2833" s="139"/>
      <c r="H2833" s="139"/>
      <c r="I2833" s="139">
        <f>IFERROR(__xludf.DUMMYFUNCTION("""COMPUTED_VALUE"""),69.0)</f>
        <v>69</v>
      </c>
      <c r="J2833" s="139">
        <f>IFERROR(__xludf.DUMMYFUNCTION("""COMPUTED_VALUE"""),10.0)</f>
        <v>10</v>
      </c>
      <c r="K2833" s="139">
        <f>IFERROR(__xludf.DUMMYFUNCTION("""COMPUTED_VALUE"""),80.0)</f>
        <v>80</v>
      </c>
      <c r="L2833" s="139"/>
      <c r="M2833" s="139"/>
      <c r="N2833" s="139"/>
    </row>
    <row r="2834">
      <c r="A2834" s="139" t="str">
        <f>IFERROR(__xludf.DUMMYFUNCTION("""COMPUTED_VALUE"""),"e")</f>
        <v>e</v>
      </c>
      <c r="B2834" s="139">
        <f>IFERROR(__xludf.DUMMYFUNCTION("""COMPUTED_VALUE"""),2.0260202E8)</f>
        <v>202602020</v>
      </c>
      <c r="C2834" s="139" t="str">
        <f>IFERROR(__xludf.DUMMYFUNCTION("""COMPUTED_VALUE"""),"c_kim_00201_kim1_savage03_Boss_Red_Special_00001")</f>
        <v>c_kim_00201_kim1_savage03_Boss_Red_Special_00001</v>
      </c>
      <c r="D2834" s="139" t="str">
        <f>IFERROR(__xludf.DUMMYFUNCTION("""COMPUTED_VALUE"""),"c_kim_00201_kim1_savage03_Boss_Red")</f>
        <v>c_kim_00201_kim1_savage03_Boss_Red</v>
      </c>
      <c r="E2834" s="139">
        <f>IFERROR(__xludf.DUMMYFUNCTION("""COMPUTED_VALUE"""),0.0)</f>
        <v>0</v>
      </c>
      <c r="F2834" s="139" t="str">
        <f>IFERROR(__xludf.DUMMYFUNCTION("""COMPUTED_VALUE"""),"Special")</f>
        <v>Special</v>
      </c>
      <c r="G2834" s="139"/>
      <c r="H2834" s="139"/>
      <c r="I2834" s="139">
        <f>IFERROR(__xludf.DUMMYFUNCTION("""COMPUTED_VALUE"""),120.0)</f>
        <v>120</v>
      </c>
      <c r="J2834" s="139">
        <f>IFERROR(__xludf.DUMMYFUNCTION("""COMPUTED_VALUE"""),60.0)</f>
        <v>60</v>
      </c>
      <c r="K2834" s="139">
        <f>IFERROR(__xludf.DUMMYFUNCTION("""COMPUTED_VALUE"""),0.0)</f>
        <v>0</v>
      </c>
      <c r="L2834" s="139"/>
      <c r="M2834" s="139"/>
      <c r="N2834" s="139"/>
    </row>
    <row r="2835">
      <c r="A2835" s="139" t="str">
        <f>IFERROR(__xludf.DUMMYFUNCTION("""COMPUTED_VALUE"""),"e")</f>
        <v>e</v>
      </c>
      <c r="B2835" s="139">
        <f>IFERROR(__xludf.DUMMYFUNCTION("""COMPUTED_VALUE"""),2.0260202E8)</f>
        <v>202602020</v>
      </c>
      <c r="C2835" s="139" t="str">
        <f>IFERROR(__xludf.DUMMYFUNCTION("""COMPUTED_VALUE"""),"c_kim_00301_kim1_savage03_Boss_Red_Normal_00000")</f>
        <v>c_kim_00301_kim1_savage03_Boss_Red_Normal_00000</v>
      </c>
      <c r="D2835" s="139" t="str">
        <f>IFERROR(__xludf.DUMMYFUNCTION("""COMPUTED_VALUE"""),"c_kim_00301_kim1_savage03_Boss_Red")</f>
        <v>c_kim_00301_kim1_savage03_Boss_Red</v>
      </c>
      <c r="E2835" s="139">
        <f>IFERROR(__xludf.DUMMYFUNCTION("""COMPUTED_VALUE"""),0.0)</f>
        <v>0</v>
      </c>
      <c r="F2835" s="139" t="str">
        <f>IFERROR(__xludf.DUMMYFUNCTION("""COMPUTED_VALUE"""),"Normal")</f>
        <v>Normal</v>
      </c>
      <c r="G2835" s="139"/>
      <c r="H2835" s="139"/>
      <c r="I2835" s="139">
        <f>IFERROR(__xludf.DUMMYFUNCTION("""COMPUTED_VALUE"""),88.0)</f>
        <v>88</v>
      </c>
      <c r="J2835" s="139">
        <f>IFERROR(__xludf.DUMMYFUNCTION("""COMPUTED_VALUE"""),39.0)</f>
        <v>39</v>
      </c>
      <c r="K2835" s="139">
        <f>IFERROR(__xludf.DUMMYFUNCTION("""COMPUTED_VALUE"""),75.0)</f>
        <v>75</v>
      </c>
      <c r="L2835" s="139"/>
      <c r="M2835" s="139"/>
      <c r="N2835" s="139"/>
    </row>
    <row r="2836">
      <c r="A2836" s="139" t="str">
        <f>IFERROR(__xludf.DUMMYFUNCTION("""COMPUTED_VALUE"""),"e")</f>
        <v>e</v>
      </c>
      <c r="B2836" s="139">
        <f>IFERROR(__xludf.DUMMYFUNCTION("""COMPUTED_VALUE"""),2.0260202E8)</f>
        <v>202602020</v>
      </c>
      <c r="C2836" s="139" t="str">
        <f>IFERROR(__xludf.DUMMYFUNCTION("""COMPUTED_VALUE"""),"c_kim_00301_kim1_savage03_Boss_Red_Special_00001")</f>
        <v>c_kim_00301_kim1_savage03_Boss_Red_Special_00001</v>
      </c>
      <c r="D2836" s="139" t="str">
        <f>IFERROR(__xludf.DUMMYFUNCTION("""COMPUTED_VALUE"""),"c_kim_00301_kim1_savage03_Boss_Red")</f>
        <v>c_kim_00301_kim1_savage03_Boss_Red</v>
      </c>
      <c r="E2836" s="139">
        <f>IFERROR(__xludf.DUMMYFUNCTION("""COMPUTED_VALUE"""),0.0)</f>
        <v>0</v>
      </c>
      <c r="F2836" s="139" t="str">
        <f>IFERROR(__xludf.DUMMYFUNCTION("""COMPUTED_VALUE"""),"Special")</f>
        <v>Special</v>
      </c>
      <c r="G2836" s="139"/>
      <c r="H2836" s="139"/>
      <c r="I2836" s="139">
        <f>IFERROR(__xludf.DUMMYFUNCTION("""COMPUTED_VALUE"""),180.0)</f>
        <v>180</v>
      </c>
      <c r="J2836" s="139">
        <f>IFERROR(__xludf.DUMMYFUNCTION("""COMPUTED_VALUE"""),60.0)</f>
        <v>60</v>
      </c>
      <c r="K2836" s="139">
        <f>IFERROR(__xludf.DUMMYFUNCTION("""COMPUTED_VALUE"""),0.0)</f>
        <v>0</v>
      </c>
      <c r="L2836" s="139"/>
      <c r="M2836" s="139"/>
      <c r="N2836" s="139"/>
    </row>
    <row r="2837">
      <c r="A2837" s="139" t="str">
        <f>IFERROR(__xludf.DUMMYFUNCTION("""COMPUTED_VALUE"""),"e")</f>
        <v>e</v>
      </c>
      <c r="B2837" s="139">
        <f>IFERROR(__xludf.DUMMYFUNCTION("""COMPUTED_VALUE"""),2.0260202E8)</f>
        <v>202602020</v>
      </c>
      <c r="C2837" s="139" t="str">
        <f>IFERROR(__xludf.DUMMYFUNCTION("""COMPUTED_VALUE"""),"c_kim_00001_kim1_savage03_Boss_Red_Normal_00000")</f>
        <v>c_kim_00001_kim1_savage03_Boss_Red_Normal_00000</v>
      </c>
      <c r="D2837" s="139" t="str">
        <f>IFERROR(__xludf.DUMMYFUNCTION("""COMPUTED_VALUE"""),"c_kim_00001_kim1_savage03_Boss_Red")</f>
        <v>c_kim_00001_kim1_savage03_Boss_Red</v>
      </c>
      <c r="E2837" s="139">
        <f>IFERROR(__xludf.DUMMYFUNCTION("""COMPUTED_VALUE"""),0.0)</f>
        <v>0</v>
      </c>
      <c r="F2837" s="139" t="str">
        <f>IFERROR(__xludf.DUMMYFUNCTION("""COMPUTED_VALUE"""),"Normal")</f>
        <v>Normal</v>
      </c>
      <c r="G2837" s="139"/>
      <c r="H2837" s="139"/>
      <c r="I2837" s="139">
        <f>IFERROR(__xludf.DUMMYFUNCTION("""COMPUTED_VALUE"""),65.0)</f>
        <v>65</v>
      </c>
      <c r="J2837" s="139">
        <f>IFERROR(__xludf.DUMMYFUNCTION("""COMPUTED_VALUE"""),34.0)</f>
        <v>34</v>
      </c>
      <c r="K2837" s="139">
        <f>IFERROR(__xludf.DUMMYFUNCTION("""COMPUTED_VALUE"""),50.0)</f>
        <v>50</v>
      </c>
      <c r="L2837" s="139"/>
      <c r="M2837" s="139"/>
      <c r="N2837" s="139"/>
    </row>
    <row r="2838">
      <c r="A2838" s="139" t="str">
        <f>IFERROR(__xludf.DUMMYFUNCTION("""COMPUTED_VALUE"""),"e")</f>
        <v>e</v>
      </c>
      <c r="B2838" s="139">
        <f>IFERROR(__xludf.DUMMYFUNCTION("""COMPUTED_VALUE"""),2.0260202E8)</f>
        <v>202602020</v>
      </c>
      <c r="C2838" s="139" t="str">
        <f>IFERROR(__xludf.DUMMYFUNCTION("""COMPUTED_VALUE"""),"c_kim_00001_kim1_savage03_Boss_Red_Special_00001")</f>
        <v>c_kim_00001_kim1_savage03_Boss_Red_Special_00001</v>
      </c>
      <c r="D2838" s="139" t="str">
        <f>IFERROR(__xludf.DUMMYFUNCTION("""COMPUTED_VALUE"""),"c_kim_00001_kim1_savage03_Boss_Red")</f>
        <v>c_kim_00001_kim1_savage03_Boss_Red</v>
      </c>
      <c r="E2838" s="139">
        <f>IFERROR(__xludf.DUMMYFUNCTION("""COMPUTED_VALUE"""),0.0)</f>
        <v>0</v>
      </c>
      <c r="F2838" s="139" t="str">
        <f>IFERROR(__xludf.DUMMYFUNCTION("""COMPUTED_VALUE"""),"Special")</f>
        <v>Special</v>
      </c>
      <c r="G2838" s="139"/>
      <c r="H2838" s="139"/>
      <c r="I2838" s="139">
        <f>IFERROR(__xludf.DUMMYFUNCTION("""COMPUTED_VALUE"""),125.0)</f>
        <v>125</v>
      </c>
      <c r="J2838" s="139">
        <f>IFERROR(__xludf.DUMMYFUNCTION("""COMPUTED_VALUE"""),0.0)</f>
        <v>0</v>
      </c>
      <c r="K2838" s="139">
        <f>IFERROR(__xludf.DUMMYFUNCTION("""COMPUTED_VALUE"""),0.0)</f>
        <v>0</v>
      </c>
      <c r="L2838" s="139"/>
      <c r="M2838" s="139"/>
      <c r="N2838" s="139"/>
    </row>
    <row r="2839">
      <c r="A2839" s="139" t="str">
        <f>IFERROR(__xludf.DUMMYFUNCTION("""COMPUTED_VALUE"""),"e")</f>
        <v>e</v>
      </c>
      <c r="B2839" s="139">
        <f>IFERROR(__xludf.DUMMYFUNCTION("""COMPUTED_VALUE"""),2.0260202E8)</f>
        <v>202602020</v>
      </c>
      <c r="C2839" s="139" t="str">
        <f>IFERROR(__xludf.DUMMYFUNCTION("""COMPUTED_VALUE"""),"c_kim_00001_kim1_savage03_Boss_Red_Appearance_00002")</f>
        <v>c_kim_00001_kim1_savage03_Boss_Red_Appearance_00002</v>
      </c>
      <c r="D2839" s="139" t="str">
        <f>IFERROR(__xludf.DUMMYFUNCTION("""COMPUTED_VALUE"""),"c_kim_00001_kim1_savage03_Boss_Red")</f>
        <v>c_kim_00001_kim1_savage03_Boss_Red</v>
      </c>
      <c r="E2839" s="139">
        <f>IFERROR(__xludf.DUMMYFUNCTION("""COMPUTED_VALUE"""),0.0)</f>
        <v>0</v>
      </c>
      <c r="F2839" s="139" t="str">
        <f>IFERROR(__xludf.DUMMYFUNCTION("""COMPUTED_VALUE"""),"Appearance")</f>
        <v>Appearance</v>
      </c>
      <c r="G2839" s="139"/>
      <c r="H2839" s="139"/>
      <c r="I2839" s="139">
        <f>IFERROR(__xludf.DUMMYFUNCTION("""COMPUTED_VALUE"""),50.0)</f>
        <v>50</v>
      </c>
      <c r="J2839" s="139">
        <f>IFERROR(__xludf.DUMMYFUNCTION("""COMPUTED_VALUE"""),0.0)</f>
        <v>0</v>
      </c>
      <c r="K2839" s="139">
        <f>IFERROR(__xludf.DUMMYFUNCTION("""COMPUTED_VALUE"""),0.0)</f>
        <v>0</v>
      </c>
      <c r="L2839" s="139"/>
      <c r="M2839" s="139"/>
      <c r="N2839" s="139"/>
    </row>
    <row r="2840">
      <c r="A2840" s="139" t="str">
        <f>IFERROR(__xludf.DUMMYFUNCTION("""COMPUTED_VALUE"""),"e")</f>
        <v>e</v>
      </c>
      <c r="B2840" s="139">
        <f>IFERROR(__xludf.DUMMYFUNCTION("""COMPUTED_VALUE"""),2.0260202E8)</f>
        <v>202602020</v>
      </c>
      <c r="C2840" s="139" t="str">
        <f>IFERROR(__xludf.DUMMYFUNCTION("""COMPUTED_VALUE"""),"c_kim_00001_kim1_challenge_Boss_Red_Normal_00000")</f>
        <v>c_kim_00001_kim1_challenge_Boss_Red_Normal_00000</v>
      </c>
      <c r="D2840" s="139" t="str">
        <f>IFERROR(__xludf.DUMMYFUNCTION("""COMPUTED_VALUE"""),"c_kim_00001_kim1_challenge_Boss_Red")</f>
        <v>c_kim_00001_kim1_challenge_Boss_Red</v>
      </c>
      <c r="E2840" s="139">
        <f>IFERROR(__xludf.DUMMYFUNCTION("""COMPUTED_VALUE"""),0.0)</f>
        <v>0</v>
      </c>
      <c r="F2840" s="139" t="str">
        <f>IFERROR(__xludf.DUMMYFUNCTION("""COMPUTED_VALUE"""),"Normal")</f>
        <v>Normal</v>
      </c>
      <c r="G2840" s="139"/>
      <c r="H2840" s="139"/>
      <c r="I2840" s="139">
        <f>IFERROR(__xludf.DUMMYFUNCTION("""COMPUTED_VALUE"""),65.0)</f>
        <v>65</v>
      </c>
      <c r="J2840" s="139">
        <f>IFERROR(__xludf.DUMMYFUNCTION("""COMPUTED_VALUE"""),34.0)</f>
        <v>34</v>
      </c>
      <c r="K2840" s="139">
        <f>IFERROR(__xludf.DUMMYFUNCTION("""COMPUTED_VALUE"""),50.0)</f>
        <v>50</v>
      </c>
      <c r="L2840" s="139"/>
      <c r="M2840" s="139"/>
      <c r="N2840" s="139"/>
    </row>
    <row r="2841">
      <c r="A2841" s="139" t="str">
        <f>IFERROR(__xludf.DUMMYFUNCTION("""COMPUTED_VALUE"""),"e")</f>
        <v>e</v>
      </c>
      <c r="B2841" s="139">
        <f>IFERROR(__xludf.DUMMYFUNCTION("""COMPUTED_VALUE"""),2.0260202E8)</f>
        <v>202602020</v>
      </c>
      <c r="C2841" s="139" t="str">
        <f>IFERROR(__xludf.DUMMYFUNCTION("""COMPUTED_VALUE"""),"c_kim_00001_kim1_challenge_Boss_Red_Special_00001")</f>
        <v>c_kim_00001_kim1_challenge_Boss_Red_Special_00001</v>
      </c>
      <c r="D2841" s="139" t="str">
        <f>IFERROR(__xludf.DUMMYFUNCTION("""COMPUTED_VALUE"""),"c_kim_00001_kim1_challenge_Boss_Red")</f>
        <v>c_kim_00001_kim1_challenge_Boss_Red</v>
      </c>
      <c r="E2841" s="139">
        <f>IFERROR(__xludf.DUMMYFUNCTION("""COMPUTED_VALUE"""),0.0)</f>
        <v>0</v>
      </c>
      <c r="F2841" s="139" t="str">
        <f>IFERROR(__xludf.DUMMYFUNCTION("""COMPUTED_VALUE"""),"Special")</f>
        <v>Special</v>
      </c>
      <c r="G2841" s="139"/>
      <c r="H2841" s="139"/>
      <c r="I2841" s="139">
        <f>IFERROR(__xludf.DUMMYFUNCTION("""COMPUTED_VALUE"""),125.0)</f>
        <v>125</v>
      </c>
      <c r="J2841" s="139">
        <f>IFERROR(__xludf.DUMMYFUNCTION("""COMPUTED_VALUE"""),0.0)</f>
        <v>0</v>
      </c>
      <c r="K2841" s="139">
        <f>IFERROR(__xludf.DUMMYFUNCTION("""COMPUTED_VALUE"""),0.0)</f>
        <v>0</v>
      </c>
      <c r="L2841" s="139"/>
      <c r="M2841" s="139"/>
      <c r="N2841" s="139"/>
    </row>
    <row r="2842">
      <c r="A2842" s="139" t="str">
        <f>IFERROR(__xludf.DUMMYFUNCTION("""COMPUTED_VALUE"""),"e")</f>
        <v>e</v>
      </c>
      <c r="B2842" s="139">
        <f>IFERROR(__xludf.DUMMYFUNCTION("""COMPUTED_VALUE"""),2.0260202E8)</f>
        <v>202602020</v>
      </c>
      <c r="C2842" s="139" t="str">
        <f>IFERROR(__xludf.DUMMYFUNCTION("""COMPUTED_VALUE"""),"c_kim_00001_kim1_challenge_Boss_Red_Appearance_00002")</f>
        <v>c_kim_00001_kim1_challenge_Boss_Red_Appearance_00002</v>
      </c>
      <c r="D2842" s="139" t="str">
        <f>IFERROR(__xludf.DUMMYFUNCTION("""COMPUTED_VALUE"""),"c_kim_00001_kim1_challenge_Boss_Red")</f>
        <v>c_kim_00001_kim1_challenge_Boss_Red</v>
      </c>
      <c r="E2842" s="139">
        <f>IFERROR(__xludf.DUMMYFUNCTION("""COMPUTED_VALUE"""),0.0)</f>
        <v>0</v>
      </c>
      <c r="F2842" s="139" t="str">
        <f>IFERROR(__xludf.DUMMYFUNCTION("""COMPUTED_VALUE"""),"Appearance")</f>
        <v>Appearance</v>
      </c>
      <c r="G2842" s="139"/>
      <c r="H2842" s="139"/>
      <c r="I2842" s="139">
        <f>IFERROR(__xludf.DUMMYFUNCTION("""COMPUTED_VALUE"""),50.0)</f>
        <v>50</v>
      </c>
      <c r="J2842" s="139">
        <f>IFERROR(__xludf.DUMMYFUNCTION("""COMPUTED_VALUE"""),0.0)</f>
        <v>0</v>
      </c>
      <c r="K2842" s="139">
        <f>IFERROR(__xludf.DUMMYFUNCTION("""COMPUTED_VALUE"""),0.0)</f>
        <v>0</v>
      </c>
      <c r="L2842" s="139"/>
      <c r="M2842" s="139"/>
      <c r="N2842" s="139"/>
    </row>
    <row r="2843">
      <c r="A2843" s="139" t="str">
        <f>IFERROR(__xludf.DUMMYFUNCTION("""COMPUTED_VALUE"""),"e")</f>
        <v>e</v>
      </c>
      <c r="B2843" s="139">
        <f>IFERROR(__xludf.DUMMYFUNCTION("""COMPUTED_VALUE"""),2.0260202E8)</f>
        <v>202602020</v>
      </c>
      <c r="C2843" s="139" t="str">
        <f>IFERROR(__xludf.DUMMYFUNCTION("""COMPUTED_VALUE"""),"c_kim_00101_kim1_challenge_Boss_Green_Normal_00000")</f>
        <v>c_kim_00101_kim1_challenge_Boss_Green_Normal_00000</v>
      </c>
      <c r="D2843" s="139" t="str">
        <f>IFERROR(__xludf.DUMMYFUNCTION("""COMPUTED_VALUE"""),"c_kim_00101_kim1_challenge_Boss_Green")</f>
        <v>c_kim_00101_kim1_challenge_Boss_Green</v>
      </c>
      <c r="E2843" s="139">
        <f>IFERROR(__xludf.DUMMYFUNCTION("""COMPUTED_VALUE"""),0.0)</f>
        <v>0</v>
      </c>
      <c r="F2843" s="139" t="str">
        <f>IFERROR(__xludf.DUMMYFUNCTION("""COMPUTED_VALUE"""),"Normal")</f>
        <v>Normal</v>
      </c>
      <c r="G2843" s="139"/>
      <c r="H2843" s="139"/>
      <c r="I2843" s="139">
        <f>IFERROR(__xludf.DUMMYFUNCTION("""COMPUTED_VALUE"""),62.0)</f>
        <v>62</v>
      </c>
      <c r="J2843" s="139">
        <f>IFERROR(__xludf.DUMMYFUNCTION("""COMPUTED_VALUE"""),13.0)</f>
        <v>13</v>
      </c>
      <c r="K2843" s="139">
        <f>IFERROR(__xludf.DUMMYFUNCTION("""COMPUTED_VALUE"""),60.0)</f>
        <v>60</v>
      </c>
      <c r="L2843" s="139"/>
      <c r="M2843" s="139"/>
      <c r="N2843" s="139"/>
    </row>
    <row r="2844">
      <c r="A2844" s="139" t="str">
        <f>IFERROR(__xludf.DUMMYFUNCTION("""COMPUTED_VALUE"""),"e")</f>
        <v>e</v>
      </c>
      <c r="B2844" s="139">
        <f>IFERROR(__xludf.DUMMYFUNCTION("""COMPUTED_VALUE"""),2.0260202E8)</f>
        <v>202602020</v>
      </c>
      <c r="C2844" s="139" t="str">
        <f>IFERROR(__xludf.DUMMYFUNCTION("""COMPUTED_VALUE"""),"c_kim_00101_kim1_challenge_Boss_Green_Special_00001")</f>
        <v>c_kim_00101_kim1_challenge_Boss_Green_Special_00001</v>
      </c>
      <c r="D2844" s="139" t="str">
        <f>IFERROR(__xludf.DUMMYFUNCTION("""COMPUTED_VALUE"""),"c_kim_00101_kim1_challenge_Boss_Green")</f>
        <v>c_kim_00101_kim1_challenge_Boss_Green</v>
      </c>
      <c r="E2844" s="139">
        <f>IFERROR(__xludf.DUMMYFUNCTION("""COMPUTED_VALUE"""),0.0)</f>
        <v>0</v>
      </c>
      <c r="F2844" s="139" t="str">
        <f>IFERROR(__xludf.DUMMYFUNCTION("""COMPUTED_VALUE"""),"Special")</f>
        <v>Special</v>
      </c>
      <c r="G2844" s="139"/>
      <c r="H2844" s="139"/>
      <c r="I2844" s="139">
        <f>IFERROR(__xludf.DUMMYFUNCTION("""COMPUTED_VALUE"""),175.0)</f>
        <v>175</v>
      </c>
      <c r="J2844" s="139">
        <f>IFERROR(__xludf.DUMMYFUNCTION("""COMPUTED_VALUE"""),0.0)</f>
        <v>0</v>
      </c>
      <c r="K2844" s="139">
        <f>IFERROR(__xludf.DUMMYFUNCTION("""COMPUTED_VALUE"""),0.0)</f>
        <v>0</v>
      </c>
      <c r="L2844" s="139"/>
      <c r="M2844" s="139"/>
      <c r="N2844" s="139"/>
    </row>
    <row r="2845">
      <c r="A2845" s="139" t="str">
        <f>IFERROR(__xludf.DUMMYFUNCTION("""COMPUTED_VALUE"""),"e")</f>
        <v>e</v>
      </c>
      <c r="B2845" s="139">
        <f>IFERROR(__xludf.DUMMYFUNCTION("""COMPUTED_VALUE"""),2.0260202E8)</f>
        <v>202602020</v>
      </c>
      <c r="C2845" s="139" t="str">
        <f>IFERROR(__xludf.DUMMYFUNCTION("""COMPUTED_VALUE"""),"c_kim_00101_kim1_challenge_Boss_Green_Appearance_00002")</f>
        <v>c_kim_00101_kim1_challenge_Boss_Green_Appearance_00002</v>
      </c>
      <c r="D2845" s="139" t="str">
        <f>IFERROR(__xludf.DUMMYFUNCTION("""COMPUTED_VALUE"""),"c_kim_00101_kim1_challenge_Boss_Green")</f>
        <v>c_kim_00101_kim1_challenge_Boss_Green</v>
      </c>
      <c r="E2845" s="139">
        <f>IFERROR(__xludf.DUMMYFUNCTION("""COMPUTED_VALUE"""),0.0)</f>
        <v>0</v>
      </c>
      <c r="F2845" s="139" t="str">
        <f>IFERROR(__xludf.DUMMYFUNCTION("""COMPUTED_VALUE"""),"Appearance")</f>
        <v>Appearance</v>
      </c>
      <c r="G2845" s="139"/>
      <c r="H2845" s="139"/>
      <c r="I2845" s="139">
        <f>IFERROR(__xludf.DUMMYFUNCTION("""COMPUTED_VALUE"""),50.0)</f>
        <v>50</v>
      </c>
      <c r="J2845" s="139">
        <f>IFERROR(__xludf.DUMMYFUNCTION("""COMPUTED_VALUE"""),0.0)</f>
        <v>0</v>
      </c>
      <c r="K2845" s="139">
        <f>IFERROR(__xludf.DUMMYFUNCTION("""COMPUTED_VALUE"""),0.0)</f>
        <v>0</v>
      </c>
      <c r="L2845" s="139"/>
      <c r="M2845" s="139"/>
      <c r="N2845" s="139"/>
    </row>
    <row r="2846">
      <c r="A2846" s="139" t="str">
        <f>IFERROR(__xludf.DUMMYFUNCTION("""COMPUTED_VALUE"""),"e")</f>
        <v>e</v>
      </c>
      <c r="B2846" s="139">
        <f>IFERROR(__xludf.DUMMYFUNCTION("""COMPUTED_VALUE"""),2.0260202E8)</f>
        <v>202602020</v>
      </c>
      <c r="C2846" s="139" t="str">
        <f>IFERROR(__xludf.DUMMYFUNCTION("""COMPUTED_VALUE"""),"c_kim_00201_kim1_challenge_Boss_Red_Normal_00000")</f>
        <v>c_kim_00201_kim1_challenge_Boss_Red_Normal_00000</v>
      </c>
      <c r="D2846" s="139" t="str">
        <f>IFERROR(__xludf.DUMMYFUNCTION("""COMPUTED_VALUE"""),"c_kim_00201_kim1_challenge_Boss_Red")</f>
        <v>c_kim_00201_kim1_challenge_Boss_Red</v>
      </c>
      <c r="E2846" s="139">
        <f>IFERROR(__xludf.DUMMYFUNCTION("""COMPUTED_VALUE"""),0.0)</f>
        <v>0</v>
      </c>
      <c r="F2846" s="139" t="str">
        <f>IFERROR(__xludf.DUMMYFUNCTION("""COMPUTED_VALUE"""),"Normal")</f>
        <v>Normal</v>
      </c>
      <c r="G2846" s="139"/>
      <c r="H2846" s="139"/>
      <c r="I2846" s="139">
        <f>IFERROR(__xludf.DUMMYFUNCTION("""COMPUTED_VALUE"""),69.0)</f>
        <v>69</v>
      </c>
      <c r="J2846" s="139">
        <f>IFERROR(__xludf.DUMMYFUNCTION("""COMPUTED_VALUE"""),10.0)</f>
        <v>10</v>
      </c>
      <c r="K2846" s="139">
        <f>IFERROR(__xludf.DUMMYFUNCTION("""COMPUTED_VALUE"""),70.0)</f>
        <v>70</v>
      </c>
      <c r="L2846" s="139"/>
      <c r="M2846" s="139"/>
      <c r="N2846" s="139"/>
    </row>
    <row r="2847">
      <c r="A2847" s="139" t="str">
        <f>IFERROR(__xludf.DUMMYFUNCTION("""COMPUTED_VALUE"""),"e")</f>
        <v>e</v>
      </c>
      <c r="B2847" s="139">
        <f>IFERROR(__xludf.DUMMYFUNCTION("""COMPUTED_VALUE"""),2.0260202E8)</f>
        <v>202602020</v>
      </c>
      <c r="C2847" s="139" t="str">
        <f>IFERROR(__xludf.DUMMYFUNCTION("""COMPUTED_VALUE"""),"c_kim_00201_kim1_challenge_Boss_Red_Special_00001")</f>
        <v>c_kim_00201_kim1_challenge_Boss_Red_Special_00001</v>
      </c>
      <c r="D2847" s="139" t="str">
        <f>IFERROR(__xludf.DUMMYFUNCTION("""COMPUTED_VALUE"""),"c_kim_00201_kim1_challenge_Boss_Red")</f>
        <v>c_kim_00201_kim1_challenge_Boss_Red</v>
      </c>
      <c r="E2847" s="139">
        <f>IFERROR(__xludf.DUMMYFUNCTION("""COMPUTED_VALUE"""),0.0)</f>
        <v>0</v>
      </c>
      <c r="F2847" s="139" t="str">
        <f>IFERROR(__xludf.DUMMYFUNCTION("""COMPUTED_VALUE"""),"Special")</f>
        <v>Special</v>
      </c>
      <c r="G2847" s="139"/>
      <c r="H2847" s="139"/>
      <c r="I2847" s="139">
        <f>IFERROR(__xludf.DUMMYFUNCTION("""COMPUTED_VALUE"""),120.0)</f>
        <v>120</v>
      </c>
      <c r="J2847" s="139">
        <f>IFERROR(__xludf.DUMMYFUNCTION("""COMPUTED_VALUE"""),60.0)</f>
        <v>60</v>
      </c>
      <c r="K2847" s="139">
        <f>IFERROR(__xludf.DUMMYFUNCTION("""COMPUTED_VALUE"""),0.0)</f>
        <v>0</v>
      </c>
      <c r="L2847" s="139"/>
      <c r="M2847" s="139"/>
      <c r="N2847" s="139"/>
    </row>
    <row r="2848">
      <c r="A2848" s="139" t="str">
        <f>IFERROR(__xludf.DUMMYFUNCTION("""COMPUTED_VALUE"""),"e")</f>
        <v>e</v>
      </c>
      <c r="B2848" s="139">
        <f>IFERROR(__xludf.DUMMYFUNCTION("""COMPUTED_VALUE"""),2.0260202E8)</f>
        <v>202602020</v>
      </c>
      <c r="C2848" s="139" t="str">
        <f>IFERROR(__xludf.DUMMYFUNCTION("""COMPUTED_VALUE"""),"c_kim_00201_kim1_challenge_Boss_Red_Appearance_00002")</f>
        <v>c_kim_00201_kim1_challenge_Boss_Red_Appearance_00002</v>
      </c>
      <c r="D2848" s="139" t="str">
        <f>IFERROR(__xludf.DUMMYFUNCTION("""COMPUTED_VALUE"""),"c_kim_00201_kim1_challenge_Boss_Red")</f>
        <v>c_kim_00201_kim1_challenge_Boss_Red</v>
      </c>
      <c r="E2848" s="139">
        <f>IFERROR(__xludf.DUMMYFUNCTION("""COMPUTED_VALUE"""),0.0)</f>
        <v>0</v>
      </c>
      <c r="F2848" s="139" t="str">
        <f>IFERROR(__xludf.DUMMYFUNCTION("""COMPUTED_VALUE"""),"Appearance")</f>
        <v>Appearance</v>
      </c>
      <c r="G2848" s="139"/>
      <c r="H2848" s="139"/>
      <c r="I2848" s="139">
        <f>IFERROR(__xludf.DUMMYFUNCTION("""COMPUTED_VALUE"""),50.0)</f>
        <v>50</v>
      </c>
      <c r="J2848" s="139">
        <f>IFERROR(__xludf.DUMMYFUNCTION("""COMPUTED_VALUE"""),0.0)</f>
        <v>0</v>
      </c>
      <c r="K2848" s="139">
        <f>IFERROR(__xludf.DUMMYFUNCTION("""COMPUTED_VALUE"""),0.0)</f>
        <v>0</v>
      </c>
      <c r="L2848" s="139"/>
      <c r="M2848" s="139"/>
      <c r="N2848" s="139"/>
    </row>
    <row r="2849">
      <c r="A2849" s="139" t="str">
        <f>IFERROR(__xludf.DUMMYFUNCTION("""COMPUTED_VALUE"""),"e")</f>
        <v>e</v>
      </c>
      <c r="B2849" s="139">
        <f>IFERROR(__xludf.DUMMYFUNCTION("""COMPUTED_VALUE"""),2.0260202E8)</f>
        <v>202602020</v>
      </c>
      <c r="C2849" s="139" t="str">
        <f>IFERROR(__xludf.DUMMYFUNCTION("""COMPUTED_VALUE"""),"c_kim_00301_kim1_challenge_Boss_Yellow_Normal_00000")</f>
        <v>c_kim_00301_kim1_challenge_Boss_Yellow_Normal_00000</v>
      </c>
      <c r="D2849" s="139" t="str">
        <f>IFERROR(__xludf.DUMMYFUNCTION("""COMPUTED_VALUE"""),"c_kim_00301_kim1_challenge_Boss_Yellow")</f>
        <v>c_kim_00301_kim1_challenge_Boss_Yellow</v>
      </c>
      <c r="E2849" s="139">
        <f>IFERROR(__xludf.DUMMYFUNCTION("""COMPUTED_VALUE"""),0.0)</f>
        <v>0</v>
      </c>
      <c r="F2849" s="139" t="str">
        <f>IFERROR(__xludf.DUMMYFUNCTION("""COMPUTED_VALUE"""),"Normal")</f>
        <v>Normal</v>
      </c>
      <c r="G2849" s="139"/>
      <c r="H2849" s="139"/>
      <c r="I2849" s="139">
        <f>IFERROR(__xludf.DUMMYFUNCTION("""COMPUTED_VALUE"""),88.0)</f>
        <v>88</v>
      </c>
      <c r="J2849" s="139">
        <f>IFERROR(__xludf.DUMMYFUNCTION("""COMPUTED_VALUE"""),39.0)</f>
        <v>39</v>
      </c>
      <c r="K2849" s="139">
        <f>IFERROR(__xludf.DUMMYFUNCTION("""COMPUTED_VALUE"""),75.0)</f>
        <v>75</v>
      </c>
      <c r="L2849" s="139"/>
      <c r="M2849" s="139"/>
      <c r="N2849" s="139"/>
    </row>
    <row r="2850">
      <c r="A2850" s="139" t="str">
        <f>IFERROR(__xludf.DUMMYFUNCTION("""COMPUTED_VALUE"""),"e")</f>
        <v>e</v>
      </c>
      <c r="B2850" s="139">
        <f>IFERROR(__xludf.DUMMYFUNCTION("""COMPUTED_VALUE"""),2.0260202E8)</f>
        <v>202602020</v>
      </c>
      <c r="C2850" s="139" t="str">
        <f>IFERROR(__xludf.DUMMYFUNCTION("""COMPUTED_VALUE"""),"c_kim_00301_kim1_challenge_Boss_Yellow_Special_00001")</f>
        <v>c_kim_00301_kim1_challenge_Boss_Yellow_Special_00001</v>
      </c>
      <c r="D2850" s="139" t="str">
        <f>IFERROR(__xludf.DUMMYFUNCTION("""COMPUTED_VALUE"""),"c_kim_00301_kim1_challenge_Boss_Yellow")</f>
        <v>c_kim_00301_kim1_challenge_Boss_Yellow</v>
      </c>
      <c r="E2850" s="139">
        <f>IFERROR(__xludf.DUMMYFUNCTION("""COMPUTED_VALUE"""),0.0)</f>
        <v>0</v>
      </c>
      <c r="F2850" s="139" t="str">
        <f>IFERROR(__xludf.DUMMYFUNCTION("""COMPUTED_VALUE"""),"Special")</f>
        <v>Special</v>
      </c>
      <c r="G2850" s="139"/>
      <c r="H2850" s="139"/>
      <c r="I2850" s="139">
        <f>IFERROR(__xludf.DUMMYFUNCTION("""COMPUTED_VALUE"""),180.0)</f>
        <v>180</v>
      </c>
      <c r="J2850" s="139">
        <f>IFERROR(__xludf.DUMMYFUNCTION("""COMPUTED_VALUE"""),60.0)</f>
        <v>60</v>
      </c>
      <c r="K2850" s="139">
        <f>IFERROR(__xludf.DUMMYFUNCTION("""COMPUTED_VALUE"""),0.0)</f>
        <v>0</v>
      </c>
      <c r="L2850" s="139"/>
      <c r="M2850" s="139"/>
      <c r="N2850" s="139"/>
    </row>
    <row r="2851">
      <c r="A2851" s="139" t="str">
        <f>IFERROR(__xludf.DUMMYFUNCTION("""COMPUTED_VALUE"""),"e")</f>
        <v>e</v>
      </c>
      <c r="B2851" s="139">
        <f>IFERROR(__xludf.DUMMYFUNCTION("""COMPUTED_VALUE"""),2.0260202E8)</f>
        <v>202602020</v>
      </c>
      <c r="C2851" s="139" t="str">
        <f>IFERROR(__xludf.DUMMYFUNCTION("""COMPUTED_VALUE"""),"c_kim_00301_kim1_challenge_Boss_Yellow_Appearance_00002")</f>
        <v>c_kim_00301_kim1_challenge_Boss_Yellow_Appearance_00002</v>
      </c>
      <c r="D2851" s="139" t="str">
        <f>IFERROR(__xludf.DUMMYFUNCTION("""COMPUTED_VALUE"""),"c_kim_00301_kim1_challenge_Boss_Yellow")</f>
        <v>c_kim_00301_kim1_challenge_Boss_Yellow</v>
      </c>
      <c r="E2851" s="139">
        <f>IFERROR(__xludf.DUMMYFUNCTION("""COMPUTED_VALUE"""),0.0)</f>
        <v>0</v>
      </c>
      <c r="F2851" s="139" t="str">
        <f>IFERROR(__xludf.DUMMYFUNCTION("""COMPUTED_VALUE"""),"Appearance")</f>
        <v>Appearance</v>
      </c>
      <c r="G2851" s="139"/>
      <c r="H2851" s="139"/>
      <c r="I2851" s="139">
        <f>IFERROR(__xludf.DUMMYFUNCTION("""COMPUTED_VALUE"""),50.0)</f>
        <v>50</v>
      </c>
      <c r="J2851" s="139">
        <f>IFERROR(__xludf.DUMMYFUNCTION("""COMPUTED_VALUE"""),0.0)</f>
        <v>0</v>
      </c>
      <c r="K2851" s="139">
        <f>IFERROR(__xludf.DUMMYFUNCTION("""COMPUTED_VALUE"""),0.0)</f>
        <v>0</v>
      </c>
      <c r="L2851" s="139"/>
      <c r="M2851" s="139"/>
      <c r="N2851" s="139"/>
    </row>
    <row r="2852">
      <c r="A2852" s="139" t="str">
        <f>IFERROR(__xludf.DUMMYFUNCTION("""COMPUTED_VALUE"""),"e")</f>
        <v>e</v>
      </c>
      <c r="B2852" s="139">
        <f>IFERROR(__xludf.DUMMYFUNCTION("""COMPUTED_VALUE"""),2.0260202E8)</f>
        <v>202602020</v>
      </c>
      <c r="C2852" s="139" t="str">
        <f>IFERROR(__xludf.DUMMYFUNCTION("""COMPUTED_VALUE"""),"c_kim_00101_kim1_challenge_Normal_Green_Normal_00000")</f>
        <v>c_kim_00101_kim1_challenge_Normal_Green_Normal_00000</v>
      </c>
      <c r="D2852" s="139" t="str">
        <f>IFERROR(__xludf.DUMMYFUNCTION("""COMPUTED_VALUE"""),"c_kim_00101_kim1_challenge_Normal_Green")</f>
        <v>c_kim_00101_kim1_challenge_Normal_Green</v>
      </c>
      <c r="E2852" s="139">
        <f>IFERROR(__xludf.DUMMYFUNCTION("""COMPUTED_VALUE"""),0.0)</f>
        <v>0</v>
      </c>
      <c r="F2852" s="139" t="str">
        <f>IFERROR(__xludf.DUMMYFUNCTION("""COMPUTED_VALUE"""),"Normal")</f>
        <v>Normal</v>
      </c>
      <c r="G2852" s="139"/>
      <c r="H2852" s="139"/>
      <c r="I2852" s="139">
        <f>IFERROR(__xludf.DUMMYFUNCTION("""COMPUTED_VALUE"""),62.0)</f>
        <v>62</v>
      </c>
      <c r="J2852" s="139">
        <f>IFERROR(__xludf.DUMMYFUNCTION("""COMPUTED_VALUE"""),13.0)</f>
        <v>13</v>
      </c>
      <c r="K2852" s="139">
        <f>IFERROR(__xludf.DUMMYFUNCTION("""COMPUTED_VALUE"""),60.0)</f>
        <v>60</v>
      </c>
      <c r="L2852" s="139"/>
      <c r="M2852" s="139"/>
      <c r="N2852" s="139"/>
    </row>
    <row r="2853">
      <c r="A2853" s="139" t="str">
        <f>IFERROR(__xludf.DUMMYFUNCTION("""COMPUTED_VALUE"""),"e")</f>
        <v>e</v>
      </c>
      <c r="B2853" s="139">
        <f>IFERROR(__xludf.DUMMYFUNCTION("""COMPUTED_VALUE"""),2.0260202E8)</f>
        <v>202602020</v>
      </c>
      <c r="C2853" s="139" t="str">
        <f>IFERROR(__xludf.DUMMYFUNCTION("""COMPUTED_VALUE"""),"c_kim_00101_kim1_challenge_Normal_Green_Special_00001")</f>
        <v>c_kim_00101_kim1_challenge_Normal_Green_Special_00001</v>
      </c>
      <c r="D2853" s="139" t="str">
        <f>IFERROR(__xludf.DUMMYFUNCTION("""COMPUTED_VALUE"""),"c_kim_00101_kim1_challenge_Normal_Green")</f>
        <v>c_kim_00101_kim1_challenge_Normal_Green</v>
      </c>
      <c r="E2853" s="139">
        <f>IFERROR(__xludf.DUMMYFUNCTION("""COMPUTED_VALUE"""),0.0)</f>
        <v>0</v>
      </c>
      <c r="F2853" s="139" t="str">
        <f>IFERROR(__xludf.DUMMYFUNCTION("""COMPUTED_VALUE"""),"Special")</f>
        <v>Special</v>
      </c>
      <c r="G2853" s="139"/>
      <c r="H2853" s="139"/>
      <c r="I2853" s="139">
        <f>IFERROR(__xludf.DUMMYFUNCTION("""COMPUTED_VALUE"""),175.0)</f>
        <v>175</v>
      </c>
      <c r="J2853" s="139">
        <f>IFERROR(__xludf.DUMMYFUNCTION("""COMPUTED_VALUE"""),0.0)</f>
        <v>0</v>
      </c>
      <c r="K2853" s="139">
        <f>IFERROR(__xludf.DUMMYFUNCTION("""COMPUTED_VALUE"""),0.0)</f>
        <v>0</v>
      </c>
      <c r="L2853" s="139"/>
      <c r="M2853" s="139"/>
      <c r="N2853" s="139"/>
    </row>
    <row r="2854">
      <c r="A2854" s="139" t="str">
        <f>IFERROR(__xludf.DUMMYFUNCTION("""COMPUTED_VALUE"""),"e")</f>
        <v>e</v>
      </c>
      <c r="B2854" s="139">
        <f>IFERROR(__xludf.DUMMYFUNCTION("""COMPUTED_VALUE"""),2.0260202E8)</f>
        <v>202602020</v>
      </c>
      <c r="C2854" s="139" t="str">
        <f>IFERROR(__xludf.DUMMYFUNCTION("""COMPUTED_VALUE"""),"c_kim_00201_kim1_challenge_Normal_Red_Normal_00000")</f>
        <v>c_kim_00201_kim1_challenge_Normal_Red_Normal_00000</v>
      </c>
      <c r="D2854" s="139" t="str">
        <f>IFERROR(__xludf.DUMMYFUNCTION("""COMPUTED_VALUE"""),"c_kim_00201_kim1_challenge_Normal_Red")</f>
        <v>c_kim_00201_kim1_challenge_Normal_Red</v>
      </c>
      <c r="E2854" s="139">
        <f>IFERROR(__xludf.DUMMYFUNCTION("""COMPUTED_VALUE"""),0.0)</f>
        <v>0</v>
      </c>
      <c r="F2854" s="139" t="str">
        <f>IFERROR(__xludf.DUMMYFUNCTION("""COMPUTED_VALUE"""),"Normal")</f>
        <v>Normal</v>
      </c>
      <c r="G2854" s="139"/>
      <c r="H2854" s="139"/>
      <c r="I2854" s="139">
        <f>IFERROR(__xludf.DUMMYFUNCTION("""COMPUTED_VALUE"""),69.0)</f>
        <v>69</v>
      </c>
      <c r="J2854" s="139">
        <f>IFERROR(__xludf.DUMMYFUNCTION("""COMPUTED_VALUE"""),10.0)</f>
        <v>10</v>
      </c>
      <c r="K2854" s="139">
        <f>IFERROR(__xludf.DUMMYFUNCTION("""COMPUTED_VALUE"""),70.0)</f>
        <v>70</v>
      </c>
      <c r="L2854" s="139"/>
      <c r="M2854" s="139"/>
      <c r="N2854" s="139"/>
    </row>
    <row r="2855">
      <c r="A2855" s="139" t="str">
        <f>IFERROR(__xludf.DUMMYFUNCTION("""COMPUTED_VALUE"""),"e")</f>
        <v>e</v>
      </c>
      <c r="B2855" s="139">
        <f>IFERROR(__xludf.DUMMYFUNCTION("""COMPUTED_VALUE"""),2.0260202E8)</f>
        <v>202602020</v>
      </c>
      <c r="C2855" s="139" t="str">
        <f>IFERROR(__xludf.DUMMYFUNCTION("""COMPUTED_VALUE"""),"c_kim_00201_kim1_challenge_Normal_Red_Special_00001")</f>
        <v>c_kim_00201_kim1_challenge_Normal_Red_Special_00001</v>
      </c>
      <c r="D2855" s="139" t="str">
        <f>IFERROR(__xludf.DUMMYFUNCTION("""COMPUTED_VALUE"""),"c_kim_00201_kim1_challenge_Normal_Red")</f>
        <v>c_kim_00201_kim1_challenge_Normal_Red</v>
      </c>
      <c r="E2855" s="139">
        <f>IFERROR(__xludf.DUMMYFUNCTION("""COMPUTED_VALUE"""),0.0)</f>
        <v>0</v>
      </c>
      <c r="F2855" s="139" t="str">
        <f>IFERROR(__xludf.DUMMYFUNCTION("""COMPUTED_VALUE"""),"Special")</f>
        <v>Special</v>
      </c>
      <c r="G2855" s="139"/>
      <c r="H2855" s="139"/>
      <c r="I2855" s="139">
        <f>IFERROR(__xludf.DUMMYFUNCTION("""COMPUTED_VALUE"""),120.0)</f>
        <v>120</v>
      </c>
      <c r="J2855" s="139">
        <f>IFERROR(__xludf.DUMMYFUNCTION("""COMPUTED_VALUE"""),60.0)</f>
        <v>60</v>
      </c>
      <c r="K2855" s="139">
        <f>IFERROR(__xludf.DUMMYFUNCTION("""COMPUTED_VALUE"""),0.0)</f>
        <v>0</v>
      </c>
      <c r="L2855" s="139"/>
      <c r="M2855" s="139"/>
      <c r="N2855" s="139"/>
    </row>
    <row r="2856">
      <c r="A2856" s="139" t="str">
        <f>IFERROR(__xludf.DUMMYFUNCTION("""COMPUTED_VALUE"""),"e")</f>
        <v>e</v>
      </c>
      <c r="B2856" s="139">
        <f>IFERROR(__xludf.DUMMYFUNCTION("""COMPUTED_VALUE"""),2.0260202E8)</f>
        <v>202602020</v>
      </c>
      <c r="C2856" s="139" t="str">
        <f>IFERROR(__xludf.DUMMYFUNCTION("""COMPUTED_VALUE"""),"e_glo_00001_kim1_challenge_Normal_Red_Normal_00000")</f>
        <v>e_glo_00001_kim1_challenge_Normal_Red_Normal_00000</v>
      </c>
      <c r="D2856" s="139" t="str">
        <f>IFERROR(__xludf.DUMMYFUNCTION("""COMPUTED_VALUE"""),"e_glo_00001_kim1_challenge_Normal_Red")</f>
        <v>e_glo_00001_kim1_challenge_Normal_Red</v>
      </c>
      <c r="E2856" s="139">
        <f>IFERROR(__xludf.DUMMYFUNCTION("""COMPUTED_VALUE"""),0.0)</f>
        <v>0</v>
      </c>
      <c r="F2856" s="139" t="str">
        <f>IFERROR(__xludf.DUMMYFUNCTION("""COMPUTED_VALUE"""),"Normal")</f>
        <v>Normal</v>
      </c>
      <c r="G2856" s="139"/>
      <c r="H2856" s="139"/>
      <c r="I2856" s="139">
        <f>IFERROR(__xludf.DUMMYFUNCTION("""COMPUTED_VALUE"""),50.0)</f>
        <v>50</v>
      </c>
      <c r="J2856" s="139">
        <f>IFERROR(__xludf.DUMMYFUNCTION("""COMPUTED_VALUE"""),25.0)</f>
        <v>25</v>
      </c>
      <c r="K2856" s="139">
        <f>IFERROR(__xludf.DUMMYFUNCTION("""COMPUTED_VALUE"""),50.0)</f>
        <v>50</v>
      </c>
      <c r="L2856" s="139"/>
      <c r="M2856" s="139"/>
      <c r="N2856" s="139"/>
    </row>
    <row r="2857">
      <c r="A2857" s="139" t="str">
        <f>IFERROR(__xludf.DUMMYFUNCTION("""COMPUTED_VALUE"""),"e")</f>
        <v>e</v>
      </c>
      <c r="B2857" s="139">
        <f>IFERROR(__xludf.DUMMYFUNCTION("""COMPUTED_VALUE"""),2.0260202E8)</f>
        <v>202602020</v>
      </c>
      <c r="C2857" s="139" t="str">
        <f>IFERROR(__xludf.DUMMYFUNCTION("""COMPUTED_VALUE"""),"e_glo_00001_kim1_challenge_Normal_Colorless_Normal_00000")</f>
        <v>e_glo_00001_kim1_challenge_Normal_Colorless_Normal_00000</v>
      </c>
      <c r="D2857" s="139" t="str">
        <f>IFERROR(__xludf.DUMMYFUNCTION("""COMPUTED_VALUE"""),"e_glo_00001_kim1_challenge_Normal_Colorless")</f>
        <v>e_glo_00001_kim1_challenge_Normal_Colorless</v>
      </c>
      <c r="E2857" s="139">
        <f>IFERROR(__xludf.DUMMYFUNCTION("""COMPUTED_VALUE"""),0.0)</f>
        <v>0</v>
      </c>
      <c r="F2857" s="139" t="str">
        <f>IFERROR(__xludf.DUMMYFUNCTION("""COMPUTED_VALUE"""),"Normal")</f>
        <v>Normal</v>
      </c>
      <c r="G2857" s="139"/>
      <c r="H2857" s="139"/>
      <c r="I2857" s="139">
        <f>IFERROR(__xludf.DUMMYFUNCTION("""COMPUTED_VALUE"""),50.0)</f>
        <v>50</v>
      </c>
      <c r="J2857" s="139">
        <f>IFERROR(__xludf.DUMMYFUNCTION("""COMPUTED_VALUE"""),25.0)</f>
        <v>25</v>
      </c>
      <c r="K2857" s="139">
        <f>IFERROR(__xludf.DUMMYFUNCTION("""COMPUTED_VALUE"""),50.0)</f>
        <v>50</v>
      </c>
      <c r="L2857" s="139"/>
      <c r="M2857" s="139"/>
      <c r="N2857" s="139"/>
    </row>
    <row r="2858">
      <c r="A2858" s="139" t="str">
        <f>IFERROR(__xludf.DUMMYFUNCTION("""COMPUTED_VALUE"""),"e")</f>
        <v>e</v>
      </c>
      <c r="B2858" s="139">
        <f>IFERROR(__xludf.DUMMYFUNCTION("""COMPUTED_VALUE"""),2.0260202E8)</f>
        <v>202602020</v>
      </c>
      <c r="C2858" s="139" t="str">
        <f>IFERROR(__xludf.DUMMYFUNCTION("""COMPUTED_VALUE"""),"e_glo_00001_kim1_advent_Normal_Yellow_Normal_00000")</f>
        <v>e_glo_00001_kim1_advent_Normal_Yellow_Normal_00000</v>
      </c>
      <c r="D2858" s="139" t="str">
        <f>IFERROR(__xludf.DUMMYFUNCTION("""COMPUTED_VALUE"""),"e_glo_00001_kim1_advent_Normal_Yellow")</f>
        <v>e_glo_00001_kim1_advent_Normal_Yellow</v>
      </c>
      <c r="E2858" s="139">
        <f>IFERROR(__xludf.DUMMYFUNCTION("""COMPUTED_VALUE"""),0.0)</f>
        <v>0</v>
      </c>
      <c r="F2858" s="139" t="str">
        <f>IFERROR(__xludf.DUMMYFUNCTION("""COMPUTED_VALUE"""),"Normal")</f>
        <v>Normal</v>
      </c>
      <c r="G2858" s="139"/>
      <c r="H2858" s="139"/>
      <c r="I2858" s="139">
        <f>IFERROR(__xludf.DUMMYFUNCTION("""COMPUTED_VALUE"""),50.0)</f>
        <v>50</v>
      </c>
      <c r="J2858" s="139">
        <f>IFERROR(__xludf.DUMMYFUNCTION("""COMPUTED_VALUE"""),25.0)</f>
        <v>25</v>
      </c>
      <c r="K2858" s="139">
        <f>IFERROR(__xludf.DUMMYFUNCTION("""COMPUTED_VALUE"""),25.0)</f>
        <v>25</v>
      </c>
      <c r="L2858" s="139"/>
      <c r="M2858" s="139"/>
      <c r="N2858" s="139"/>
    </row>
    <row r="2859">
      <c r="A2859" s="139" t="str">
        <f>IFERROR(__xludf.DUMMYFUNCTION("""COMPUTED_VALUE"""),"e")</f>
        <v>e</v>
      </c>
      <c r="B2859" s="139">
        <f>IFERROR(__xludf.DUMMYFUNCTION("""COMPUTED_VALUE"""),2.0260202E8)</f>
        <v>202602020</v>
      </c>
      <c r="C2859" s="139" t="str">
        <f>IFERROR(__xludf.DUMMYFUNCTION("""COMPUTED_VALUE"""),"c_kim_00101_kim1_advent_Normal_Red_Normal_00000")</f>
        <v>c_kim_00101_kim1_advent_Normal_Red_Normal_00000</v>
      </c>
      <c r="D2859" s="139" t="str">
        <f>IFERROR(__xludf.DUMMYFUNCTION("""COMPUTED_VALUE"""),"c_kim_00101_kim1_advent_Normal_Red")</f>
        <v>c_kim_00101_kim1_advent_Normal_Red</v>
      </c>
      <c r="E2859" s="139">
        <f>IFERROR(__xludf.DUMMYFUNCTION("""COMPUTED_VALUE"""),0.0)</f>
        <v>0</v>
      </c>
      <c r="F2859" s="139" t="str">
        <f>IFERROR(__xludf.DUMMYFUNCTION("""COMPUTED_VALUE"""),"Normal")</f>
        <v>Normal</v>
      </c>
      <c r="G2859" s="139"/>
      <c r="H2859" s="139"/>
      <c r="I2859" s="139">
        <f>IFERROR(__xludf.DUMMYFUNCTION("""COMPUTED_VALUE"""),62.0)</f>
        <v>62</v>
      </c>
      <c r="J2859" s="139">
        <f>IFERROR(__xludf.DUMMYFUNCTION("""COMPUTED_VALUE"""),13.0)</f>
        <v>13</v>
      </c>
      <c r="K2859" s="139">
        <f>IFERROR(__xludf.DUMMYFUNCTION("""COMPUTED_VALUE"""),50.0)</f>
        <v>50</v>
      </c>
      <c r="L2859" s="139"/>
      <c r="M2859" s="139"/>
      <c r="N2859" s="139"/>
    </row>
    <row r="2860">
      <c r="A2860" s="139" t="str">
        <f>IFERROR(__xludf.DUMMYFUNCTION("""COMPUTED_VALUE"""),"e")</f>
        <v>e</v>
      </c>
      <c r="B2860" s="139">
        <f>IFERROR(__xludf.DUMMYFUNCTION("""COMPUTED_VALUE"""),2.0260202E8)</f>
        <v>202602020</v>
      </c>
      <c r="C2860" s="139" t="str">
        <f>IFERROR(__xludf.DUMMYFUNCTION("""COMPUTED_VALUE"""),"c_kim_00101_kim1_advent_Normal_Red_Special_00001")</f>
        <v>c_kim_00101_kim1_advent_Normal_Red_Special_00001</v>
      </c>
      <c r="D2860" s="139" t="str">
        <f>IFERROR(__xludf.DUMMYFUNCTION("""COMPUTED_VALUE"""),"c_kim_00101_kim1_advent_Normal_Red")</f>
        <v>c_kim_00101_kim1_advent_Normal_Red</v>
      </c>
      <c r="E2860" s="139">
        <f>IFERROR(__xludf.DUMMYFUNCTION("""COMPUTED_VALUE"""),0.0)</f>
        <v>0</v>
      </c>
      <c r="F2860" s="139" t="str">
        <f>IFERROR(__xludf.DUMMYFUNCTION("""COMPUTED_VALUE"""),"Special")</f>
        <v>Special</v>
      </c>
      <c r="G2860" s="139"/>
      <c r="H2860" s="139"/>
      <c r="I2860" s="139">
        <f>IFERROR(__xludf.DUMMYFUNCTION("""COMPUTED_VALUE"""),175.0)</f>
        <v>175</v>
      </c>
      <c r="J2860" s="139">
        <f>IFERROR(__xludf.DUMMYFUNCTION("""COMPUTED_VALUE"""),0.0)</f>
        <v>0</v>
      </c>
      <c r="K2860" s="139">
        <f>IFERROR(__xludf.DUMMYFUNCTION("""COMPUTED_VALUE"""),0.0)</f>
        <v>0</v>
      </c>
      <c r="L2860" s="139"/>
      <c r="M2860" s="139"/>
      <c r="N2860" s="139"/>
    </row>
    <row r="2861">
      <c r="A2861" s="139" t="str">
        <f>IFERROR(__xludf.DUMMYFUNCTION("""COMPUTED_VALUE"""),"e")</f>
        <v>e</v>
      </c>
      <c r="B2861" s="139">
        <f>IFERROR(__xludf.DUMMYFUNCTION("""COMPUTED_VALUE"""),2.0260202E8)</f>
        <v>202602020</v>
      </c>
      <c r="C2861" s="139" t="str">
        <f>IFERROR(__xludf.DUMMYFUNCTION("""COMPUTED_VALUE"""),"c_kim_00301_kim1_advent_Normal_Yellow_Normal_00000")</f>
        <v>c_kim_00301_kim1_advent_Normal_Yellow_Normal_00000</v>
      </c>
      <c r="D2861" s="139" t="str">
        <f>IFERROR(__xludf.DUMMYFUNCTION("""COMPUTED_VALUE"""),"c_kim_00301_kim1_advent_Normal_Yellow")</f>
        <v>c_kim_00301_kim1_advent_Normal_Yellow</v>
      </c>
      <c r="E2861" s="139">
        <f>IFERROR(__xludf.DUMMYFUNCTION("""COMPUTED_VALUE"""),0.0)</f>
        <v>0</v>
      </c>
      <c r="F2861" s="139" t="str">
        <f>IFERROR(__xludf.DUMMYFUNCTION("""COMPUTED_VALUE"""),"Normal")</f>
        <v>Normal</v>
      </c>
      <c r="G2861" s="139"/>
      <c r="H2861" s="139"/>
      <c r="I2861" s="139">
        <f>IFERROR(__xludf.DUMMYFUNCTION("""COMPUTED_VALUE"""),88.0)</f>
        <v>88</v>
      </c>
      <c r="J2861" s="139">
        <f>IFERROR(__xludf.DUMMYFUNCTION("""COMPUTED_VALUE"""),39.0)</f>
        <v>39</v>
      </c>
      <c r="K2861" s="139">
        <f>IFERROR(__xludf.DUMMYFUNCTION("""COMPUTED_VALUE"""),100.0)</f>
        <v>100</v>
      </c>
      <c r="L2861" s="139"/>
      <c r="M2861" s="139"/>
      <c r="N2861" s="139"/>
    </row>
    <row r="2862">
      <c r="A2862" s="139" t="str">
        <f>IFERROR(__xludf.DUMMYFUNCTION("""COMPUTED_VALUE"""),"e")</f>
        <v>e</v>
      </c>
      <c r="B2862" s="139">
        <f>IFERROR(__xludf.DUMMYFUNCTION("""COMPUTED_VALUE"""),2.0260202E8)</f>
        <v>202602020</v>
      </c>
      <c r="C2862" s="139" t="str">
        <f>IFERROR(__xludf.DUMMYFUNCTION("""COMPUTED_VALUE"""),"c_kim_00301_kim1_advent_Normal_Yellow_Special_00001")</f>
        <v>c_kim_00301_kim1_advent_Normal_Yellow_Special_00001</v>
      </c>
      <c r="D2862" s="139" t="str">
        <f>IFERROR(__xludf.DUMMYFUNCTION("""COMPUTED_VALUE"""),"c_kim_00301_kim1_advent_Normal_Yellow")</f>
        <v>c_kim_00301_kim1_advent_Normal_Yellow</v>
      </c>
      <c r="E2862" s="139">
        <f>IFERROR(__xludf.DUMMYFUNCTION("""COMPUTED_VALUE"""),0.0)</f>
        <v>0</v>
      </c>
      <c r="F2862" s="139" t="str">
        <f>IFERROR(__xludf.DUMMYFUNCTION("""COMPUTED_VALUE"""),"Special")</f>
        <v>Special</v>
      </c>
      <c r="G2862" s="139"/>
      <c r="H2862" s="139"/>
      <c r="I2862" s="139">
        <f>IFERROR(__xludf.DUMMYFUNCTION("""COMPUTED_VALUE"""),180.0)</f>
        <v>180</v>
      </c>
      <c r="J2862" s="139">
        <f>IFERROR(__xludf.DUMMYFUNCTION("""COMPUTED_VALUE"""),60.0)</f>
        <v>60</v>
      </c>
      <c r="K2862" s="139">
        <f>IFERROR(__xludf.DUMMYFUNCTION("""COMPUTED_VALUE"""),0.0)</f>
        <v>0</v>
      </c>
      <c r="L2862" s="139"/>
      <c r="M2862" s="139"/>
      <c r="N2862" s="139"/>
    </row>
    <row r="2863">
      <c r="A2863" s="139" t="str">
        <f>IFERROR(__xludf.DUMMYFUNCTION("""COMPUTED_VALUE"""),"e")</f>
        <v>e</v>
      </c>
      <c r="B2863" s="139">
        <f>IFERROR(__xludf.DUMMYFUNCTION("""COMPUTED_VALUE"""),2.0260202E8)</f>
        <v>202602020</v>
      </c>
      <c r="C2863" s="139" t="str">
        <f>IFERROR(__xludf.DUMMYFUNCTION("""COMPUTED_VALUE"""),"e_glo_00001_kim1_advent_Boss_Red_Normal_00000")</f>
        <v>e_glo_00001_kim1_advent_Boss_Red_Normal_00000</v>
      </c>
      <c r="D2863" s="139" t="str">
        <f>IFERROR(__xludf.DUMMYFUNCTION("""COMPUTED_VALUE"""),"e_glo_00001_kim1_advent_Boss_Red")</f>
        <v>e_glo_00001_kim1_advent_Boss_Red</v>
      </c>
      <c r="E2863" s="139">
        <f>IFERROR(__xludf.DUMMYFUNCTION("""COMPUTED_VALUE"""),0.0)</f>
        <v>0</v>
      </c>
      <c r="F2863" s="139" t="str">
        <f>IFERROR(__xludf.DUMMYFUNCTION("""COMPUTED_VALUE"""),"Normal")</f>
        <v>Normal</v>
      </c>
      <c r="G2863" s="139"/>
      <c r="H2863" s="139"/>
      <c r="I2863" s="139">
        <f>IFERROR(__xludf.DUMMYFUNCTION("""COMPUTED_VALUE"""),50.0)</f>
        <v>50</v>
      </c>
      <c r="J2863" s="139">
        <f>IFERROR(__xludf.DUMMYFUNCTION("""COMPUTED_VALUE"""),25.0)</f>
        <v>25</v>
      </c>
      <c r="K2863" s="139">
        <f>IFERROR(__xludf.DUMMYFUNCTION("""COMPUTED_VALUE"""),50.0)</f>
        <v>50</v>
      </c>
      <c r="L2863" s="139"/>
      <c r="M2863" s="139"/>
      <c r="N2863" s="139"/>
    </row>
    <row r="2864">
      <c r="A2864" s="139" t="str">
        <f>IFERROR(__xludf.DUMMYFUNCTION("""COMPUTED_VALUE"""),"e")</f>
        <v>e</v>
      </c>
      <c r="B2864" s="139">
        <f>IFERROR(__xludf.DUMMYFUNCTION("""COMPUTED_VALUE"""),2.0260202E8)</f>
        <v>202602020</v>
      </c>
      <c r="C2864" s="139" t="str">
        <f>IFERROR(__xludf.DUMMYFUNCTION("""COMPUTED_VALUE"""),"e_glo_00001_kim1_advent_Boss_Red_Appearance_00001")</f>
        <v>e_glo_00001_kim1_advent_Boss_Red_Appearance_00001</v>
      </c>
      <c r="D2864" s="139" t="str">
        <f>IFERROR(__xludf.DUMMYFUNCTION("""COMPUTED_VALUE"""),"e_glo_00001_kim1_advent_Boss_Red")</f>
        <v>e_glo_00001_kim1_advent_Boss_Red</v>
      </c>
      <c r="E2864" s="139">
        <f>IFERROR(__xludf.DUMMYFUNCTION("""COMPUTED_VALUE"""),0.0)</f>
        <v>0</v>
      </c>
      <c r="F2864" s="139" t="str">
        <f>IFERROR(__xludf.DUMMYFUNCTION("""COMPUTED_VALUE"""),"Appearance")</f>
        <v>Appearance</v>
      </c>
      <c r="G2864" s="139"/>
      <c r="H2864" s="139"/>
      <c r="I2864" s="139">
        <f>IFERROR(__xludf.DUMMYFUNCTION("""COMPUTED_VALUE"""),50.0)</f>
        <v>50</v>
      </c>
      <c r="J2864" s="139">
        <f>IFERROR(__xludf.DUMMYFUNCTION("""COMPUTED_VALUE"""),0.0)</f>
        <v>0</v>
      </c>
      <c r="K2864" s="139">
        <f>IFERROR(__xludf.DUMMYFUNCTION("""COMPUTED_VALUE"""),0.0)</f>
        <v>0</v>
      </c>
      <c r="L2864" s="139"/>
      <c r="M2864" s="139"/>
      <c r="N2864" s="139"/>
    </row>
    <row r="2865">
      <c r="A2865" s="139" t="str">
        <f>IFERROR(__xludf.DUMMYFUNCTION("""COMPUTED_VALUE"""),"e")</f>
        <v>e</v>
      </c>
      <c r="B2865" s="139">
        <f>IFERROR(__xludf.DUMMYFUNCTION("""COMPUTED_VALUE"""),2.0260202E8)</f>
        <v>202602020</v>
      </c>
      <c r="C2865" s="139" t="str">
        <f>IFERROR(__xludf.DUMMYFUNCTION("""COMPUTED_VALUE"""),"c_kim_00001_kim1_advent_Boss_Red_Normal_00000")</f>
        <v>c_kim_00001_kim1_advent_Boss_Red_Normal_00000</v>
      </c>
      <c r="D2865" s="139" t="str">
        <f>IFERROR(__xludf.DUMMYFUNCTION("""COMPUTED_VALUE"""),"c_kim_00001_kim1_advent_Boss_Red")</f>
        <v>c_kim_00001_kim1_advent_Boss_Red</v>
      </c>
      <c r="E2865" s="139">
        <f>IFERROR(__xludf.DUMMYFUNCTION("""COMPUTED_VALUE"""),0.0)</f>
        <v>0</v>
      </c>
      <c r="F2865" s="139" t="str">
        <f>IFERROR(__xludf.DUMMYFUNCTION("""COMPUTED_VALUE"""),"Normal")</f>
        <v>Normal</v>
      </c>
      <c r="G2865" s="139"/>
      <c r="H2865" s="139"/>
      <c r="I2865" s="139">
        <f>IFERROR(__xludf.DUMMYFUNCTION("""COMPUTED_VALUE"""),65.0)</f>
        <v>65</v>
      </c>
      <c r="J2865" s="139">
        <f>IFERROR(__xludf.DUMMYFUNCTION("""COMPUTED_VALUE"""),34.0)</f>
        <v>34</v>
      </c>
      <c r="K2865" s="139">
        <f>IFERROR(__xludf.DUMMYFUNCTION("""COMPUTED_VALUE"""),50.0)</f>
        <v>50</v>
      </c>
      <c r="L2865" s="139"/>
      <c r="M2865" s="139"/>
      <c r="N2865" s="139"/>
    </row>
    <row r="2866">
      <c r="A2866" s="139" t="str">
        <f>IFERROR(__xludf.DUMMYFUNCTION("""COMPUTED_VALUE"""),"e")</f>
        <v>e</v>
      </c>
      <c r="B2866" s="139">
        <f>IFERROR(__xludf.DUMMYFUNCTION("""COMPUTED_VALUE"""),2.0260202E8)</f>
        <v>202602020</v>
      </c>
      <c r="C2866" s="139" t="str">
        <f>IFERROR(__xludf.DUMMYFUNCTION("""COMPUTED_VALUE"""),"c_kim_00001_kim1_advent_Boss_Red_Special_00001")</f>
        <v>c_kim_00001_kim1_advent_Boss_Red_Special_00001</v>
      </c>
      <c r="D2866" s="139" t="str">
        <f>IFERROR(__xludf.DUMMYFUNCTION("""COMPUTED_VALUE"""),"c_kim_00001_kim1_advent_Boss_Red")</f>
        <v>c_kim_00001_kim1_advent_Boss_Red</v>
      </c>
      <c r="E2866" s="139">
        <f>IFERROR(__xludf.DUMMYFUNCTION("""COMPUTED_VALUE"""),0.0)</f>
        <v>0</v>
      </c>
      <c r="F2866" s="139" t="str">
        <f>IFERROR(__xludf.DUMMYFUNCTION("""COMPUTED_VALUE"""),"Special")</f>
        <v>Special</v>
      </c>
      <c r="G2866" s="139"/>
      <c r="H2866" s="139"/>
      <c r="I2866" s="139">
        <f>IFERROR(__xludf.DUMMYFUNCTION("""COMPUTED_VALUE"""),125.0)</f>
        <v>125</v>
      </c>
      <c r="J2866" s="139">
        <f>IFERROR(__xludf.DUMMYFUNCTION("""COMPUTED_VALUE"""),0.0)</f>
        <v>0</v>
      </c>
      <c r="K2866" s="139">
        <f>IFERROR(__xludf.DUMMYFUNCTION("""COMPUTED_VALUE"""),0.0)</f>
        <v>0</v>
      </c>
      <c r="L2866" s="139"/>
      <c r="M2866" s="139"/>
      <c r="N2866" s="139"/>
    </row>
    <row r="2867">
      <c r="A2867" s="139" t="str">
        <f>IFERROR(__xludf.DUMMYFUNCTION("""COMPUTED_VALUE"""),"e")</f>
        <v>e</v>
      </c>
      <c r="B2867" s="139">
        <f>IFERROR(__xludf.DUMMYFUNCTION("""COMPUTED_VALUE"""),2.0260202E8)</f>
        <v>202602020</v>
      </c>
      <c r="C2867" s="139" t="str">
        <f>IFERROR(__xludf.DUMMYFUNCTION("""COMPUTED_VALUE"""),"c_kim_00001_kim1_advent_Boss_Red_Appearance_00002")</f>
        <v>c_kim_00001_kim1_advent_Boss_Red_Appearance_00002</v>
      </c>
      <c r="D2867" s="139" t="str">
        <f>IFERROR(__xludf.DUMMYFUNCTION("""COMPUTED_VALUE"""),"c_kim_00001_kim1_advent_Boss_Red")</f>
        <v>c_kim_00001_kim1_advent_Boss_Red</v>
      </c>
      <c r="E2867" s="139">
        <f>IFERROR(__xludf.DUMMYFUNCTION("""COMPUTED_VALUE"""),0.0)</f>
        <v>0</v>
      </c>
      <c r="F2867" s="139" t="str">
        <f>IFERROR(__xludf.DUMMYFUNCTION("""COMPUTED_VALUE"""),"Appearance")</f>
        <v>Appearance</v>
      </c>
      <c r="G2867" s="139"/>
      <c r="H2867" s="139"/>
      <c r="I2867" s="139">
        <f>IFERROR(__xludf.DUMMYFUNCTION("""COMPUTED_VALUE"""),50.0)</f>
        <v>50</v>
      </c>
      <c r="J2867" s="139">
        <f>IFERROR(__xludf.DUMMYFUNCTION("""COMPUTED_VALUE"""),0.0)</f>
        <v>0</v>
      </c>
      <c r="K2867" s="139">
        <f>IFERROR(__xludf.DUMMYFUNCTION("""COMPUTED_VALUE"""),0.0)</f>
        <v>0</v>
      </c>
      <c r="L2867" s="139"/>
      <c r="M2867" s="139"/>
      <c r="N2867" s="139"/>
    </row>
    <row r="2868">
      <c r="A2868" s="139" t="str">
        <f>IFERROR(__xludf.DUMMYFUNCTION("""COMPUTED_VALUE"""),"e")</f>
        <v>e</v>
      </c>
      <c r="B2868" s="139">
        <f>IFERROR(__xludf.DUMMYFUNCTION("""COMPUTED_VALUE"""),2.0260202E8)</f>
        <v>202602020</v>
      </c>
      <c r="C2868" s="139" t="str">
        <f>IFERROR(__xludf.DUMMYFUNCTION("""COMPUTED_VALUE"""),"c_kim_00101_kim1_advent_Boss_Red_Normal_00000")</f>
        <v>c_kim_00101_kim1_advent_Boss_Red_Normal_00000</v>
      </c>
      <c r="D2868" s="139" t="str">
        <f>IFERROR(__xludf.DUMMYFUNCTION("""COMPUTED_VALUE"""),"c_kim_00101_kim1_advent_Boss_Red")</f>
        <v>c_kim_00101_kim1_advent_Boss_Red</v>
      </c>
      <c r="E2868" s="139">
        <f>IFERROR(__xludf.DUMMYFUNCTION("""COMPUTED_VALUE"""),0.0)</f>
        <v>0</v>
      </c>
      <c r="F2868" s="139" t="str">
        <f>IFERROR(__xludf.DUMMYFUNCTION("""COMPUTED_VALUE"""),"Normal")</f>
        <v>Normal</v>
      </c>
      <c r="G2868" s="139"/>
      <c r="H2868" s="139"/>
      <c r="I2868" s="139">
        <f>IFERROR(__xludf.DUMMYFUNCTION("""COMPUTED_VALUE"""),62.0)</f>
        <v>62</v>
      </c>
      <c r="J2868" s="139">
        <f>IFERROR(__xludf.DUMMYFUNCTION("""COMPUTED_VALUE"""),13.0)</f>
        <v>13</v>
      </c>
      <c r="K2868" s="139">
        <f>IFERROR(__xludf.DUMMYFUNCTION("""COMPUTED_VALUE"""),50.0)</f>
        <v>50</v>
      </c>
      <c r="L2868" s="139"/>
      <c r="M2868" s="139"/>
      <c r="N2868" s="139"/>
    </row>
    <row r="2869">
      <c r="A2869" s="139" t="str">
        <f>IFERROR(__xludf.DUMMYFUNCTION("""COMPUTED_VALUE"""),"e")</f>
        <v>e</v>
      </c>
      <c r="B2869" s="139">
        <f>IFERROR(__xludf.DUMMYFUNCTION("""COMPUTED_VALUE"""),2.0260202E8)</f>
        <v>202602020</v>
      </c>
      <c r="C2869" s="139" t="str">
        <f>IFERROR(__xludf.DUMMYFUNCTION("""COMPUTED_VALUE"""),"c_kim_00101_kim1_advent_Boss_Red_Special_00001")</f>
        <v>c_kim_00101_kim1_advent_Boss_Red_Special_00001</v>
      </c>
      <c r="D2869" s="139" t="str">
        <f>IFERROR(__xludf.DUMMYFUNCTION("""COMPUTED_VALUE"""),"c_kim_00101_kim1_advent_Boss_Red")</f>
        <v>c_kim_00101_kim1_advent_Boss_Red</v>
      </c>
      <c r="E2869" s="139">
        <f>IFERROR(__xludf.DUMMYFUNCTION("""COMPUTED_VALUE"""),0.0)</f>
        <v>0</v>
      </c>
      <c r="F2869" s="139" t="str">
        <f>IFERROR(__xludf.DUMMYFUNCTION("""COMPUTED_VALUE"""),"Special")</f>
        <v>Special</v>
      </c>
      <c r="G2869" s="139"/>
      <c r="H2869" s="139"/>
      <c r="I2869" s="139">
        <f>IFERROR(__xludf.DUMMYFUNCTION("""COMPUTED_VALUE"""),175.0)</f>
        <v>175</v>
      </c>
      <c r="J2869" s="139">
        <f>IFERROR(__xludf.DUMMYFUNCTION("""COMPUTED_VALUE"""),0.0)</f>
        <v>0</v>
      </c>
      <c r="K2869" s="139">
        <f>IFERROR(__xludf.DUMMYFUNCTION("""COMPUTED_VALUE"""),0.0)</f>
        <v>0</v>
      </c>
      <c r="L2869" s="139"/>
      <c r="M2869" s="139"/>
      <c r="N2869" s="139"/>
    </row>
    <row r="2870">
      <c r="A2870" s="139" t="str">
        <f>IFERROR(__xludf.DUMMYFUNCTION("""COMPUTED_VALUE"""),"e")</f>
        <v>e</v>
      </c>
      <c r="B2870" s="139">
        <f>IFERROR(__xludf.DUMMYFUNCTION("""COMPUTED_VALUE"""),2.0260202E8)</f>
        <v>202602020</v>
      </c>
      <c r="C2870" s="139" t="str">
        <f>IFERROR(__xludf.DUMMYFUNCTION("""COMPUTED_VALUE"""),"c_kim_00101_kim1_advent_Boss_Red_Appearance_00002")</f>
        <v>c_kim_00101_kim1_advent_Boss_Red_Appearance_00002</v>
      </c>
      <c r="D2870" s="139" t="str">
        <f>IFERROR(__xludf.DUMMYFUNCTION("""COMPUTED_VALUE"""),"c_kim_00101_kim1_advent_Boss_Red")</f>
        <v>c_kim_00101_kim1_advent_Boss_Red</v>
      </c>
      <c r="E2870" s="139">
        <f>IFERROR(__xludf.DUMMYFUNCTION("""COMPUTED_VALUE"""),0.0)</f>
        <v>0</v>
      </c>
      <c r="F2870" s="139" t="str">
        <f>IFERROR(__xludf.DUMMYFUNCTION("""COMPUTED_VALUE"""),"Appearance")</f>
        <v>Appearance</v>
      </c>
      <c r="G2870" s="139"/>
      <c r="H2870" s="139"/>
      <c r="I2870" s="139">
        <f>IFERROR(__xludf.DUMMYFUNCTION("""COMPUTED_VALUE"""),50.0)</f>
        <v>50</v>
      </c>
      <c r="J2870" s="139">
        <f>IFERROR(__xludf.DUMMYFUNCTION("""COMPUTED_VALUE"""),0.0)</f>
        <v>0</v>
      </c>
      <c r="K2870" s="139">
        <f>IFERROR(__xludf.DUMMYFUNCTION("""COMPUTED_VALUE"""),0.0)</f>
        <v>0</v>
      </c>
      <c r="L2870" s="139"/>
      <c r="M2870" s="139"/>
      <c r="N2870" s="139"/>
    </row>
    <row r="2871">
      <c r="A2871" s="139" t="str">
        <f>IFERROR(__xludf.DUMMYFUNCTION("""COMPUTED_VALUE"""),"e")</f>
        <v>e</v>
      </c>
      <c r="B2871" s="139">
        <f>IFERROR(__xludf.DUMMYFUNCTION("""COMPUTED_VALUE"""),2.0260202E8)</f>
        <v>202602020</v>
      </c>
      <c r="C2871" s="139" t="str">
        <f>IFERROR(__xludf.DUMMYFUNCTION("""COMPUTED_VALUE"""),"c_kim_00201_kim1_advent_Boss_Red_Normal_00000")</f>
        <v>c_kim_00201_kim1_advent_Boss_Red_Normal_00000</v>
      </c>
      <c r="D2871" s="139" t="str">
        <f>IFERROR(__xludf.DUMMYFUNCTION("""COMPUTED_VALUE"""),"c_kim_00201_kim1_advent_Boss_Red")</f>
        <v>c_kim_00201_kim1_advent_Boss_Red</v>
      </c>
      <c r="E2871" s="139">
        <f>IFERROR(__xludf.DUMMYFUNCTION("""COMPUTED_VALUE"""),0.0)</f>
        <v>0</v>
      </c>
      <c r="F2871" s="139" t="str">
        <f>IFERROR(__xludf.DUMMYFUNCTION("""COMPUTED_VALUE"""),"Normal")</f>
        <v>Normal</v>
      </c>
      <c r="G2871" s="139"/>
      <c r="H2871" s="139"/>
      <c r="I2871" s="139">
        <f>IFERROR(__xludf.DUMMYFUNCTION("""COMPUTED_VALUE"""),69.0)</f>
        <v>69</v>
      </c>
      <c r="J2871" s="139">
        <f>IFERROR(__xludf.DUMMYFUNCTION("""COMPUTED_VALUE"""),10.0)</f>
        <v>10</v>
      </c>
      <c r="K2871" s="139">
        <f>IFERROR(__xludf.DUMMYFUNCTION("""COMPUTED_VALUE"""),50.0)</f>
        <v>50</v>
      </c>
      <c r="L2871" s="139"/>
      <c r="M2871" s="139"/>
      <c r="N2871" s="139"/>
    </row>
    <row r="2872">
      <c r="A2872" s="139" t="str">
        <f>IFERROR(__xludf.DUMMYFUNCTION("""COMPUTED_VALUE"""),"e")</f>
        <v>e</v>
      </c>
      <c r="B2872" s="139">
        <f>IFERROR(__xludf.DUMMYFUNCTION("""COMPUTED_VALUE"""),2.0260202E8)</f>
        <v>202602020</v>
      </c>
      <c r="C2872" s="139" t="str">
        <f>IFERROR(__xludf.DUMMYFUNCTION("""COMPUTED_VALUE"""),"c_kim_00201_kim1_advent_Boss_Red_Special_00001")</f>
        <v>c_kim_00201_kim1_advent_Boss_Red_Special_00001</v>
      </c>
      <c r="D2872" s="139" t="str">
        <f>IFERROR(__xludf.DUMMYFUNCTION("""COMPUTED_VALUE"""),"c_kim_00201_kim1_advent_Boss_Red")</f>
        <v>c_kim_00201_kim1_advent_Boss_Red</v>
      </c>
      <c r="E2872" s="139">
        <f>IFERROR(__xludf.DUMMYFUNCTION("""COMPUTED_VALUE"""),0.0)</f>
        <v>0</v>
      </c>
      <c r="F2872" s="139" t="str">
        <f>IFERROR(__xludf.DUMMYFUNCTION("""COMPUTED_VALUE"""),"Special")</f>
        <v>Special</v>
      </c>
      <c r="G2872" s="139"/>
      <c r="H2872" s="139"/>
      <c r="I2872" s="139">
        <f>IFERROR(__xludf.DUMMYFUNCTION("""COMPUTED_VALUE"""),120.0)</f>
        <v>120</v>
      </c>
      <c r="J2872" s="139">
        <f>IFERROR(__xludf.DUMMYFUNCTION("""COMPUTED_VALUE"""),60.0)</f>
        <v>60</v>
      </c>
      <c r="K2872" s="139">
        <f>IFERROR(__xludf.DUMMYFUNCTION("""COMPUTED_VALUE"""),0.0)</f>
        <v>0</v>
      </c>
      <c r="L2872" s="139"/>
      <c r="M2872" s="139"/>
      <c r="N2872" s="139"/>
    </row>
    <row r="2873">
      <c r="A2873" s="139" t="str">
        <f>IFERROR(__xludf.DUMMYFUNCTION("""COMPUTED_VALUE"""),"e")</f>
        <v>e</v>
      </c>
      <c r="B2873" s="139">
        <f>IFERROR(__xludf.DUMMYFUNCTION("""COMPUTED_VALUE"""),2.0260202E8)</f>
        <v>202602020</v>
      </c>
      <c r="C2873" s="139" t="str">
        <f>IFERROR(__xludf.DUMMYFUNCTION("""COMPUTED_VALUE"""),"c_kim_00201_kim1_advent_Boss_Red_Appearance_00002")</f>
        <v>c_kim_00201_kim1_advent_Boss_Red_Appearance_00002</v>
      </c>
      <c r="D2873" s="139" t="str">
        <f>IFERROR(__xludf.DUMMYFUNCTION("""COMPUTED_VALUE"""),"c_kim_00201_kim1_advent_Boss_Red")</f>
        <v>c_kim_00201_kim1_advent_Boss_Red</v>
      </c>
      <c r="E2873" s="139">
        <f>IFERROR(__xludf.DUMMYFUNCTION("""COMPUTED_VALUE"""),0.0)</f>
        <v>0</v>
      </c>
      <c r="F2873" s="139" t="str">
        <f>IFERROR(__xludf.DUMMYFUNCTION("""COMPUTED_VALUE"""),"Appearance")</f>
        <v>Appearance</v>
      </c>
      <c r="G2873" s="139"/>
      <c r="H2873" s="139"/>
      <c r="I2873" s="139">
        <f>IFERROR(__xludf.DUMMYFUNCTION("""COMPUTED_VALUE"""),50.0)</f>
        <v>50</v>
      </c>
      <c r="J2873" s="139">
        <f>IFERROR(__xludf.DUMMYFUNCTION("""COMPUTED_VALUE"""),0.0)</f>
        <v>0</v>
      </c>
      <c r="K2873" s="139">
        <f>IFERROR(__xludf.DUMMYFUNCTION("""COMPUTED_VALUE"""),0.0)</f>
        <v>0</v>
      </c>
      <c r="L2873" s="139"/>
      <c r="M2873" s="139"/>
      <c r="N2873" s="139"/>
    </row>
    <row r="2874">
      <c r="A2874" s="139" t="str">
        <f>IFERROR(__xludf.DUMMYFUNCTION("""COMPUTED_VALUE"""),"e")</f>
        <v>e</v>
      </c>
      <c r="B2874" s="139">
        <f>IFERROR(__xludf.DUMMYFUNCTION("""COMPUTED_VALUE"""),2.0260202E8)</f>
        <v>202602020</v>
      </c>
      <c r="C2874" s="139" t="str">
        <f>IFERROR(__xludf.DUMMYFUNCTION("""COMPUTED_VALUE"""),"c_kim_00301_kim1_advent_Boss_Yellow_Normal_00000")</f>
        <v>c_kim_00301_kim1_advent_Boss_Yellow_Normal_00000</v>
      </c>
      <c r="D2874" s="139" t="str">
        <f>IFERROR(__xludf.DUMMYFUNCTION("""COMPUTED_VALUE"""),"c_kim_00301_kim1_advent_Boss_Yellow")</f>
        <v>c_kim_00301_kim1_advent_Boss_Yellow</v>
      </c>
      <c r="E2874" s="139">
        <f>IFERROR(__xludf.DUMMYFUNCTION("""COMPUTED_VALUE"""),0.0)</f>
        <v>0</v>
      </c>
      <c r="F2874" s="139" t="str">
        <f>IFERROR(__xludf.DUMMYFUNCTION("""COMPUTED_VALUE"""),"Normal")</f>
        <v>Normal</v>
      </c>
      <c r="G2874" s="139"/>
      <c r="H2874" s="139"/>
      <c r="I2874" s="139">
        <f>IFERROR(__xludf.DUMMYFUNCTION("""COMPUTED_VALUE"""),88.0)</f>
        <v>88</v>
      </c>
      <c r="J2874" s="139">
        <f>IFERROR(__xludf.DUMMYFUNCTION("""COMPUTED_VALUE"""),39.0)</f>
        <v>39</v>
      </c>
      <c r="K2874" s="139">
        <f>IFERROR(__xludf.DUMMYFUNCTION("""COMPUTED_VALUE"""),100.0)</f>
        <v>100</v>
      </c>
      <c r="L2874" s="139"/>
      <c r="M2874" s="139"/>
      <c r="N2874" s="139"/>
    </row>
    <row r="2875">
      <c r="A2875" s="139" t="str">
        <f>IFERROR(__xludf.DUMMYFUNCTION("""COMPUTED_VALUE"""),"e")</f>
        <v>e</v>
      </c>
      <c r="B2875" s="139">
        <f>IFERROR(__xludf.DUMMYFUNCTION("""COMPUTED_VALUE"""),2.0260202E8)</f>
        <v>202602020</v>
      </c>
      <c r="C2875" s="139" t="str">
        <f>IFERROR(__xludf.DUMMYFUNCTION("""COMPUTED_VALUE"""),"c_kim_00301_kim1_advent_Boss_Yellow_Special_00001")</f>
        <v>c_kim_00301_kim1_advent_Boss_Yellow_Special_00001</v>
      </c>
      <c r="D2875" s="139" t="str">
        <f>IFERROR(__xludf.DUMMYFUNCTION("""COMPUTED_VALUE"""),"c_kim_00301_kim1_advent_Boss_Yellow")</f>
        <v>c_kim_00301_kim1_advent_Boss_Yellow</v>
      </c>
      <c r="E2875" s="139">
        <f>IFERROR(__xludf.DUMMYFUNCTION("""COMPUTED_VALUE"""),0.0)</f>
        <v>0</v>
      </c>
      <c r="F2875" s="139" t="str">
        <f>IFERROR(__xludf.DUMMYFUNCTION("""COMPUTED_VALUE"""),"Special")</f>
        <v>Special</v>
      </c>
      <c r="G2875" s="139"/>
      <c r="H2875" s="139"/>
      <c r="I2875" s="139">
        <f>IFERROR(__xludf.DUMMYFUNCTION("""COMPUTED_VALUE"""),180.0)</f>
        <v>180</v>
      </c>
      <c r="J2875" s="139">
        <f>IFERROR(__xludf.DUMMYFUNCTION("""COMPUTED_VALUE"""),60.0)</f>
        <v>60</v>
      </c>
      <c r="K2875" s="139">
        <f>IFERROR(__xludf.DUMMYFUNCTION("""COMPUTED_VALUE"""),0.0)</f>
        <v>0</v>
      </c>
      <c r="L2875" s="139"/>
      <c r="M2875" s="139"/>
      <c r="N2875" s="139"/>
    </row>
    <row r="2876">
      <c r="A2876" s="139" t="str">
        <f>IFERROR(__xludf.DUMMYFUNCTION("""COMPUTED_VALUE"""),"e")</f>
        <v>e</v>
      </c>
      <c r="B2876" s="139">
        <f>IFERROR(__xludf.DUMMYFUNCTION("""COMPUTED_VALUE"""),2.0260202E8)</f>
        <v>202602020</v>
      </c>
      <c r="C2876" s="139" t="str">
        <f>IFERROR(__xludf.DUMMYFUNCTION("""COMPUTED_VALUE"""),"c_kim_00301_kim1_advent_Boss_Yellow_Appearance_00002")</f>
        <v>c_kim_00301_kim1_advent_Boss_Yellow_Appearance_00002</v>
      </c>
      <c r="D2876" s="139" t="str">
        <f>IFERROR(__xludf.DUMMYFUNCTION("""COMPUTED_VALUE"""),"c_kim_00301_kim1_advent_Boss_Yellow")</f>
        <v>c_kim_00301_kim1_advent_Boss_Yellow</v>
      </c>
      <c r="E2876" s="139">
        <f>IFERROR(__xludf.DUMMYFUNCTION("""COMPUTED_VALUE"""),0.0)</f>
        <v>0</v>
      </c>
      <c r="F2876" s="139" t="str">
        <f>IFERROR(__xludf.DUMMYFUNCTION("""COMPUTED_VALUE"""),"Appearance")</f>
        <v>Appearance</v>
      </c>
      <c r="G2876" s="139"/>
      <c r="H2876" s="139"/>
      <c r="I2876" s="139">
        <f>IFERROR(__xludf.DUMMYFUNCTION("""COMPUTED_VALUE"""),50.0)</f>
        <v>50</v>
      </c>
      <c r="J2876" s="139">
        <f>IFERROR(__xludf.DUMMYFUNCTION("""COMPUTED_VALUE"""),0.0)</f>
        <v>0</v>
      </c>
      <c r="K2876" s="139">
        <f>IFERROR(__xludf.DUMMYFUNCTION("""COMPUTED_VALUE"""),0.0)</f>
        <v>0</v>
      </c>
      <c r="L2876" s="139"/>
      <c r="M2876" s="139"/>
      <c r="N2876" s="139"/>
    </row>
    <row r="2877">
      <c r="A2877" s="139" t="str">
        <f>IFERROR(__xludf.DUMMYFUNCTION("""COMPUTED_VALUE"""),"e")</f>
        <v>e</v>
      </c>
      <c r="B2877" s="139">
        <f>IFERROR(__xludf.DUMMYFUNCTION("""COMPUTED_VALUE"""),2.0260202E8)</f>
        <v>202602020</v>
      </c>
      <c r="C2877" s="139" t="str">
        <f>IFERROR(__xludf.DUMMYFUNCTION("""COMPUTED_VALUE"""),"c_kim_00101_kim1_1d1c_Normal_Colorless_Normal_00000")</f>
        <v>c_kim_00101_kim1_1d1c_Normal_Colorless_Normal_00000</v>
      </c>
      <c r="D2877" s="139" t="str">
        <f>IFERROR(__xludf.DUMMYFUNCTION("""COMPUTED_VALUE"""),"c_kim_00101_kim1_1d1c_Normal_Colorless")</f>
        <v>c_kim_00101_kim1_1d1c_Normal_Colorless</v>
      </c>
      <c r="E2877" s="139">
        <f>IFERROR(__xludf.DUMMYFUNCTION("""COMPUTED_VALUE"""),0.0)</f>
        <v>0</v>
      </c>
      <c r="F2877" s="139" t="str">
        <f>IFERROR(__xludf.DUMMYFUNCTION("""COMPUTED_VALUE"""),"Normal")</f>
        <v>Normal</v>
      </c>
      <c r="G2877" s="139"/>
      <c r="H2877" s="139"/>
      <c r="I2877" s="139">
        <f>IFERROR(__xludf.DUMMYFUNCTION("""COMPUTED_VALUE"""),62.0)</f>
        <v>62</v>
      </c>
      <c r="J2877" s="139">
        <f>IFERROR(__xludf.DUMMYFUNCTION("""COMPUTED_VALUE"""),13.0)</f>
        <v>13</v>
      </c>
      <c r="K2877" s="139">
        <f>IFERROR(__xludf.DUMMYFUNCTION("""COMPUTED_VALUE"""),50.0)</f>
        <v>50</v>
      </c>
      <c r="L2877" s="139"/>
      <c r="M2877" s="139"/>
      <c r="N2877" s="139"/>
    </row>
    <row r="2878">
      <c r="A2878" s="139" t="str">
        <f>IFERROR(__xludf.DUMMYFUNCTION("""COMPUTED_VALUE"""),"e")</f>
        <v>e</v>
      </c>
      <c r="B2878" s="139">
        <f>IFERROR(__xludf.DUMMYFUNCTION("""COMPUTED_VALUE"""),2.0260202E8)</f>
        <v>202602020</v>
      </c>
      <c r="C2878" s="139" t="str">
        <f>IFERROR(__xludf.DUMMYFUNCTION("""COMPUTED_VALUE"""),"c_kim_00101_kim1_1d1c_Normal_Colorless_Special_00001")</f>
        <v>c_kim_00101_kim1_1d1c_Normal_Colorless_Special_00001</v>
      </c>
      <c r="D2878" s="139" t="str">
        <f>IFERROR(__xludf.DUMMYFUNCTION("""COMPUTED_VALUE"""),"c_kim_00101_kim1_1d1c_Normal_Colorless")</f>
        <v>c_kim_00101_kim1_1d1c_Normal_Colorless</v>
      </c>
      <c r="E2878" s="139">
        <f>IFERROR(__xludf.DUMMYFUNCTION("""COMPUTED_VALUE"""),0.0)</f>
        <v>0</v>
      </c>
      <c r="F2878" s="139" t="str">
        <f>IFERROR(__xludf.DUMMYFUNCTION("""COMPUTED_VALUE"""),"Special")</f>
        <v>Special</v>
      </c>
      <c r="G2878" s="139"/>
      <c r="H2878" s="139"/>
      <c r="I2878" s="139">
        <f>IFERROR(__xludf.DUMMYFUNCTION("""COMPUTED_VALUE"""),175.0)</f>
        <v>175</v>
      </c>
      <c r="J2878" s="139">
        <f>IFERROR(__xludf.DUMMYFUNCTION("""COMPUTED_VALUE"""),0.0)</f>
        <v>0</v>
      </c>
      <c r="K2878" s="139">
        <f>IFERROR(__xludf.DUMMYFUNCTION("""COMPUTED_VALUE"""),0.0)</f>
        <v>0</v>
      </c>
      <c r="L2878" s="139"/>
      <c r="M2878" s="139"/>
      <c r="N2878" s="139"/>
    </row>
    <row r="2879">
      <c r="A2879" s="139" t="str">
        <f>IFERROR(__xludf.DUMMYFUNCTION("""COMPUTED_VALUE"""),"e")</f>
        <v>e</v>
      </c>
      <c r="B2879" s="139">
        <f>IFERROR(__xludf.DUMMYFUNCTION("""COMPUTED_VALUE"""),2.0260202E8)</f>
        <v>202602020</v>
      </c>
      <c r="C2879" s="139" t="str">
        <f>IFERROR(__xludf.DUMMYFUNCTION("""COMPUTED_VALUE"""),"c_kim_00201_kim1_1d1c_Normal_Colorless_Normal_00000")</f>
        <v>c_kim_00201_kim1_1d1c_Normal_Colorless_Normal_00000</v>
      </c>
      <c r="D2879" s="139" t="str">
        <f>IFERROR(__xludf.DUMMYFUNCTION("""COMPUTED_VALUE"""),"c_kim_00201_kim1_1d1c_Normal_Colorless")</f>
        <v>c_kim_00201_kim1_1d1c_Normal_Colorless</v>
      </c>
      <c r="E2879" s="139">
        <f>IFERROR(__xludf.DUMMYFUNCTION("""COMPUTED_VALUE"""),0.0)</f>
        <v>0</v>
      </c>
      <c r="F2879" s="139" t="str">
        <f>IFERROR(__xludf.DUMMYFUNCTION("""COMPUTED_VALUE"""),"Normal")</f>
        <v>Normal</v>
      </c>
      <c r="G2879" s="139"/>
      <c r="H2879" s="139"/>
      <c r="I2879" s="139">
        <f>IFERROR(__xludf.DUMMYFUNCTION("""COMPUTED_VALUE"""),69.0)</f>
        <v>69</v>
      </c>
      <c r="J2879" s="139">
        <f>IFERROR(__xludf.DUMMYFUNCTION("""COMPUTED_VALUE"""),10.0)</f>
        <v>10</v>
      </c>
      <c r="K2879" s="139">
        <f>IFERROR(__xludf.DUMMYFUNCTION("""COMPUTED_VALUE"""),25.0)</f>
        <v>25</v>
      </c>
      <c r="L2879" s="139"/>
      <c r="M2879" s="139"/>
      <c r="N2879" s="139"/>
    </row>
    <row r="2880">
      <c r="A2880" s="139" t="str">
        <f>IFERROR(__xludf.DUMMYFUNCTION("""COMPUTED_VALUE"""),"e")</f>
        <v>e</v>
      </c>
      <c r="B2880" s="139">
        <f>IFERROR(__xludf.DUMMYFUNCTION("""COMPUTED_VALUE"""),2.0260202E8)</f>
        <v>202602020</v>
      </c>
      <c r="C2880" s="139" t="str">
        <f>IFERROR(__xludf.DUMMYFUNCTION("""COMPUTED_VALUE"""),"c_kim_00201_kim1_1d1c_Normal_Colorless_Special_00001")</f>
        <v>c_kim_00201_kim1_1d1c_Normal_Colorless_Special_00001</v>
      </c>
      <c r="D2880" s="139" t="str">
        <f>IFERROR(__xludf.DUMMYFUNCTION("""COMPUTED_VALUE"""),"c_kim_00201_kim1_1d1c_Normal_Colorless")</f>
        <v>c_kim_00201_kim1_1d1c_Normal_Colorless</v>
      </c>
      <c r="E2880" s="139">
        <f>IFERROR(__xludf.DUMMYFUNCTION("""COMPUTED_VALUE"""),0.0)</f>
        <v>0</v>
      </c>
      <c r="F2880" s="139" t="str">
        <f>IFERROR(__xludf.DUMMYFUNCTION("""COMPUTED_VALUE"""),"Special")</f>
        <v>Special</v>
      </c>
      <c r="G2880" s="139"/>
      <c r="H2880" s="139"/>
      <c r="I2880" s="139">
        <f>IFERROR(__xludf.DUMMYFUNCTION("""COMPUTED_VALUE"""),120.0)</f>
        <v>120</v>
      </c>
      <c r="J2880" s="139">
        <f>IFERROR(__xludf.DUMMYFUNCTION("""COMPUTED_VALUE"""),0.0)</f>
        <v>0</v>
      </c>
      <c r="K2880" s="139">
        <f>IFERROR(__xludf.DUMMYFUNCTION("""COMPUTED_VALUE"""),0.0)</f>
        <v>0</v>
      </c>
      <c r="L2880" s="139"/>
      <c r="M2880" s="139"/>
      <c r="N2880" s="139"/>
    </row>
    <row r="2881">
      <c r="A2881" s="139" t="str">
        <f>IFERROR(__xludf.DUMMYFUNCTION("""COMPUTED_VALUE"""),"e")</f>
        <v>e</v>
      </c>
      <c r="B2881" s="139">
        <f>IFERROR(__xludf.DUMMYFUNCTION("""COMPUTED_VALUE"""),2.0260202E8)</f>
        <v>202602020</v>
      </c>
      <c r="C2881" s="139" t="str">
        <f>IFERROR(__xludf.DUMMYFUNCTION("""COMPUTED_VALUE"""),"c_kim_00101_kim1_charaget01_Boss_Colorless_Normal_00000")</f>
        <v>c_kim_00101_kim1_charaget01_Boss_Colorless_Normal_00000</v>
      </c>
      <c r="D2881" s="139" t="str">
        <f>IFERROR(__xludf.DUMMYFUNCTION("""COMPUTED_VALUE"""),"c_kim_00101_kim1_charaget01_Boss_Colorless")</f>
        <v>c_kim_00101_kim1_charaget01_Boss_Colorless</v>
      </c>
      <c r="E2881" s="139">
        <f>IFERROR(__xludf.DUMMYFUNCTION("""COMPUTED_VALUE"""),0.0)</f>
        <v>0</v>
      </c>
      <c r="F2881" s="139" t="str">
        <f>IFERROR(__xludf.DUMMYFUNCTION("""COMPUTED_VALUE"""),"Normal")</f>
        <v>Normal</v>
      </c>
      <c r="G2881" s="139"/>
      <c r="H2881" s="139"/>
      <c r="I2881" s="139">
        <f>IFERROR(__xludf.DUMMYFUNCTION("""COMPUTED_VALUE"""),62.0)</f>
        <v>62</v>
      </c>
      <c r="J2881" s="139">
        <f>IFERROR(__xludf.DUMMYFUNCTION("""COMPUTED_VALUE"""),13.0)</f>
        <v>13</v>
      </c>
      <c r="K2881" s="139">
        <f>IFERROR(__xludf.DUMMYFUNCTION("""COMPUTED_VALUE"""),50.0)</f>
        <v>50</v>
      </c>
      <c r="L2881" s="139"/>
      <c r="M2881" s="139"/>
      <c r="N2881" s="139"/>
    </row>
    <row r="2882">
      <c r="A2882" s="139" t="str">
        <f>IFERROR(__xludf.DUMMYFUNCTION("""COMPUTED_VALUE"""),"e")</f>
        <v>e</v>
      </c>
      <c r="B2882" s="139">
        <f>IFERROR(__xludf.DUMMYFUNCTION("""COMPUTED_VALUE"""),2.0260202E8)</f>
        <v>202602020</v>
      </c>
      <c r="C2882" s="139" t="str">
        <f>IFERROR(__xludf.DUMMYFUNCTION("""COMPUTED_VALUE"""),"c_kim_00101_kim1_charaget01_Boss_Colorless_Special_00001")</f>
        <v>c_kim_00101_kim1_charaget01_Boss_Colorless_Special_00001</v>
      </c>
      <c r="D2882" s="139" t="str">
        <f>IFERROR(__xludf.DUMMYFUNCTION("""COMPUTED_VALUE"""),"c_kim_00101_kim1_charaget01_Boss_Colorless")</f>
        <v>c_kim_00101_kim1_charaget01_Boss_Colorless</v>
      </c>
      <c r="E2882" s="139">
        <f>IFERROR(__xludf.DUMMYFUNCTION("""COMPUTED_VALUE"""),0.0)</f>
        <v>0</v>
      </c>
      <c r="F2882" s="139" t="str">
        <f>IFERROR(__xludf.DUMMYFUNCTION("""COMPUTED_VALUE"""),"Special")</f>
        <v>Special</v>
      </c>
      <c r="G2882" s="139"/>
      <c r="H2882" s="139"/>
      <c r="I2882" s="139">
        <f>IFERROR(__xludf.DUMMYFUNCTION("""COMPUTED_VALUE"""),175.0)</f>
        <v>175</v>
      </c>
      <c r="J2882" s="139">
        <f>IFERROR(__xludf.DUMMYFUNCTION("""COMPUTED_VALUE"""),0.0)</f>
        <v>0</v>
      </c>
      <c r="K2882" s="139">
        <f>IFERROR(__xludf.DUMMYFUNCTION("""COMPUTED_VALUE"""),0.0)</f>
        <v>0</v>
      </c>
      <c r="L2882" s="139"/>
      <c r="M2882" s="139"/>
      <c r="N2882" s="139"/>
    </row>
    <row r="2883">
      <c r="A2883" s="139" t="str">
        <f>IFERROR(__xludf.DUMMYFUNCTION("""COMPUTED_VALUE"""),"e")</f>
        <v>e</v>
      </c>
      <c r="B2883" s="139">
        <f>IFERROR(__xludf.DUMMYFUNCTION("""COMPUTED_VALUE"""),2.0260202E8)</f>
        <v>202602020</v>
      </c>
      <c r="C2883" s="139" t="str">
        <f>IFERROR(__xludf.DUMMYFUNCTION("""COMPUTED_VALUE"""),"c_kim_00101_kim1_charaget01_Boss_Colorless_Appearance_00002")</f>
        <v>c_kim_00101_kim1_charaget01_Boss_Colorless_Appearance_00002</v>
      </c>
      <c r="D2883" s="139" t="str">
        <f>IFERROR(__xludf.DUMMYFUNCTION("""COMPUTED_VALUE"""),"c_kim_00101_kim1_charaget01_Boss_Colorless")</f>
        <v>c_kim_00101_kim1_charaget01_Boss_Colorless</v>
      </c>
      <c r="E2883" s="139">
        <f>IFERROR(__xludf.DUMMYFUNCTION("""COMPUTED_VALUE"""),0.0)</f>
        <v>0</v>
      </c>
      <c r="F2883" s="139" t="str">
        <f>IFERROR(__xludf.DUMMYFUNCTION("""COMPUTED_VALUE"""),"Appearance")</f>
        <v>Appearance</v>
      </c>
      <c r="G2883" s="139"/>
      <c r="H2883" s="139"/>
      <c r="I2883" s="139">
        <f>IFERROR(__xludf.DUMMYFUNCTION("""COMPUTED_VALUE"""),50.0)</f>
        <v>50</v>
      </c>
      <c r="J2883" s="139">
        <f>IFERROR(__xludf.DUMMYFUNCTION("""COMPUTED_VALUE"""),0.0)</f>
        <v>0</v>
      </c>
      <c r="K2883" s="139">
        <f>IFERROR(__xludf.DUMMYFUNCTION("""COMPUTED_VALUE"""),0.0)</f>
        <v>0</v>
      </c>
      <c r="L2883" s="139"/>
      <c r="M2883" s="139"/>
      <c r="N2883" s="139"/>
    </row>
    <row r="2884">
      <c r="A2884" s="139" t="str">
        <f>IFERROR(__xludf.DUMMYFUNCTION("""COMPUTED_VALUE"""),"e")</f>
        <v>e</v>
      </c>
      <c r="B2884" s="139">
        <f>IFERROR(__xludf.DUMMYFUNCTION("""COMPUTED_VALUE"""),2.0260202E8)</f>
        <v>202602020</v>
      </c>
      <c r="C2884" s="139" t="str">
        <f>IFERROR(__xludf.DUMMYFUNCTION("""COMPUTED_VALUE"""),"c_kim_00201_kim1_charaget01_Boss_Colorless_Normal_00000")</f>
        <v>c_kim_00201_kim1_charaget01_Boss_Colorless_Normal_00000</v>
      </c>
      <c r="D2884" s="139" t="str">
        <f>IFERROR(__xludf.DUMMYFUNCTION("""COMPUTED_VALUE"""),"c_kim_00201_kim1_charaget01_Boss_Colorless")</f>
        <v>c_kim_00201_kim1_charaget01_Boss_Colorless</v>
      </c>
      <c r="E2884" s="139">
        <f>IFERROR(__xludf.DUMMYFUNCTION("""COMPUTED_VALUE"""),0.0)</f>
        <v>0</v>
      </c>
      <c r="F2884" s="139" t="str">
        <f>IFERROR(__xludf.DUMMYFUNCTION("""COMPUTED_VALUE"""),"Normal")</f>
        <v>Normal</v>
      </c>
      <c r="G2884" s="139"/>
      <c r="H2884" s="139"/>
      <c r="I2884" s="139">
        <f>IFERROR(__xludf.DUMMYFUNCTION("""COMPUTED_VALUE"""),69.0)</f>
        <v>69</v>
      </c>
      <c r="J2884" s="139">
        <f>IFERROR(__xludf.DUMMYFUNCTION("""COMPUTED_VALUE"""),10.0)</f>
        <v>10</v>
      </c>
      <c r="K2884" s="139">
        <f>IFERROR(__xludf.DUMMYFUNCTION("""COMPUTED_VALUE"""),25.0)</f>
        <v>25</v>
      </c>
      <c r="L2884" s="139"/>
      <c r="M2884" s="139"/>
      <c r="N2884" s="139"/>
    </row>
    <row r="2885">
      <c r="A2885" s="139" t="str">
        <f>IFERROR(__xludf.DUMMYFUNCTION("""COMPUTED_VALUE"""),"e")</f>
        <v>e</v>
      </c>
      <c r="B2885" s="139">
        <f>IFERROR(__xludf.DUMMYFUNCTION("""COMPUTED_VALUE"""),2.0260202E8)</f>
        <v>202602020</v>
      </c>
      <c r="C2885" s="139" t="str">
        <f>IFERROR(__xludf.DUMMYFUNCTION("""COMPUTED_VALUE"""),"c_kim_00201_kim1_charaget01_Boss_Colorless_Special_00001")</f>
        <v>c_kim_00201_kim1_charaget01_Boss_Colorless_Special_00001</v>
      </c>
      <c r="D2885" s="139" t="str">
        <f>IFERROR(__xludf.DUMMYFUNCTION("""COMPUTED_VALUE"""),"c_kim_00201_kim1_charaget01_Boss_Colorless")</f>
        <v>c_kim_00201_kim1_charaget01_Boss_Colorless</v>
      </c>
      <c r="E2885" s="139">
        <f>IFERROR(__xludf.DUMMYFUNCTION("""COMPUTED_VALUE"""),0.0)</f>
        <v>0</v>
      </c>
      <c r="F2885" s="139" t="str">
        <f>IFERROR(__xludf.DUMMYFUNCTION("""COMPUTED_VALUE"""),"Special")</f>
        <v>Special</v>
      </c>
      <c r="G2885" s="139"/>
      <c r="H2885" s="139"/>
      <c r="I2885" s="139">
        <f>IFERROR(__xludf.DUMMYFUNCTION("""COMPUTED_VALUE"""),120.0)</f>
        <v>120</v>
      </c>
      <c r="J2885" s="139">
        <f>IFERROR(__xludf.DUMMYFUNCTION("""COMPUTED_VALUE"""),60.0)</f>
        <v>60</v>
      </c>
      <c r="K2885" s="139">
        <f>IFERROR(__xludf.DUMMYFUNCTION("""COMPUTED_VALUE"""),0.0)</f>
        <v>0</v>
      </c>
      <c r="L2885" s="139"/>
      <c r="M2885" s="139"/>
      <c r="N2885" s="139"/>
    </row>
    <row r="2886">
      <c r="A2886" s="139" t="str">
        <f>IFERROR(__xludf.DUMMYFUNCTION("""COMPUTED_VALUE"""),"e")</f>
        <v>e</v>
      </c>
      <c r="B2886" s="139">
        <f>IFERROR(__xludf.DUMMYFUNCTION("""COMPUTED_VALUE"""),2.0260202E8)</f>
        <v>202602020</v>
      </c>
      <c r="C2886" s="139" t="str">
        <f>IFERROR(__xludf.DUMMYFUNCTION("""COMPUTED_VALUE"""),"c_kim_00201_kim1_charaget01_Boss_Colorless_Appearance_00002")</f>
        <v>c_kim_00201_kim1_charaget01_Boss_Colorless_Appearance_00002</v>
      </c>
      <c r="D2886" s="139" t="str">
        <f>IFERROR(__xludf.DUMMYFUNCTION("""COMPUTED_VALUE"""),"c_kim_00201_kim1_charaget01_Boss_Colorless")</f>
        <v>c_kim_00201_kim1_charaget01_Boss_Colorless</v>
      </c>
      <c r="E2886" s="139">
        <f>IFERROR(__xludf.DUMMYFUNCTION("""COMPUTED_VALUE"""),0.0)</f>
        <v>0</v>
      </c>
      <c r="F2886" s="139" t="str">
        <f>IFERROR(__xludf.DUMMYFUNCTION("""COMPUTED_VALUE"""),"Appearance")</f>
        <v>Appearance</v>
      </c>
      <c r="G2886" s="139"/>
      <c r="H2886" s="139"/>
      <c r="I2886" s="139">
        <f>IFERROR(__xludf.DUMMYFUNCTION("""COMPUTED_VALUE"""),50.0)</f>
        <v>50</v>
      </c>
      <c r="J2886" s="139">
        <f>IFERROR(__xludf.DUMMYFUNCTION("""COMPUTED_VALUE"""),0.0)</f>
        <v>0</v>
      </c>
      <c r="K2886" s="139">
        <f>IFERROR(__xludf.DUMMYFUNCTION("""COMPUTED_VALUE"""),0.0)</f>
        <v>0</v>
      </c>
      <c r="L2886" s="139"/>
      <c r="M2886" s="139"/>
      <c r="N2886" s="139"/>
    </row>
    <row r="2887">
      <c r="A2887" s="139" t="str">
        <f>IFERROR(__xludf.DUMMYFUNCTION("""COMPUTED_VALUE"""),"e")</f>
        <v>e</v>
      </c>
      <c r="B2887" s="139">
        <f>IFERROR(__xludf.DUMMYFUNCTION("""COMPUTED_VALUE"""),2.0260202E8)</f>
        <v>202602020</v>
      </c>
      <c r="C2887" s="139" t="str">
        <f>IFERROR(__xludf.DUMMYFUNCTION("""COMPUTED_VALUE"""),"c_kim_00101_kim1_charaget01_Normal_Colorless_Normal_00000")</f>
        <v>c_kim_00101_kim1_charaget01_Normal_Colorless_Normal_00000</v>
      </c>
      <c r="D2887" s="139" t="str">
        <f>IFERROR(__xludf.DUMMYFUNCTION("""COMPUTED_VALUE"""),"c_kim_00101_kim1_charaget01_Normal_Colorless")</f>
        <v>c_kim_00101_kim1_charaget01_Normal_Colorless</v>
      </c>
      <c r="E2887" s="139">
        <f>IFERROR(__xludf.DUMMYFUNCTION("""COMPUTED_VALUE"""),0.0)</f>
        <v>0</v>
      </c>
      <c r="F2887" s="139" t="str">
        <f>IFERROR(__xludf.DUMMYFUNCTION("""COMPUTED_VALUE"""),"Normal")</f>
        <v>Normal</v>
      </c>
      <c r="G2887" s="139"/>
      <c r="H2887" s="139"/>
      <c r="I2887" s="139">
        <f>IFERROR(__xludf.DUMMYFUNCTION("""COMPUTED_VALUE"""),62.0)</f>
        <v>62</v>
      </c>
      <c r="J2887" s="139">
        <f>IFERROR(__xludf.DUMMYFUNCTION("""COMPUTED_VALUE"""),13.0)</f>
        <v>13</v>
      </c>
      <c r="K2887" s="139">
        <f>IFERROR(__xludf.DUMMYFUNCTION("""COMPUTED_VALUE"""),50.0)</f>
        <v>50</v>
      </c>
      <c r="L2887" s="139"/>
      <c r="M2887" s="139"/>
      <c r="N2887" s="139"/>
    </row>
    <row r="2888">
      <c r="A2888" s="139" t="str">
        <f>IFERROR(__xludf.DUMMYFUNCTION("""COMPUTED_VALUE"""),"e")</f>
        <v>e</v>
      </c>
      <c r="B2888" s="139">
        <f>IFERROR(__xludf.DUMMYFUNCTION("""COMPUTED_VALUE"""),2.0260202E8)</f>
        <v>202602020</v>
      </c>
      <c r="C2888" s="139" t="str">
        <f>IFERROR(__xludf.DUMMYFUNCTION("""COMPUTED_VALUE"""),"c_kim_00101_kim1_charaget01_Normal_Colorless_Special_00001")</f>
        <v>c_kim_00101_kim1_charaget01_Normal_Colorless_Special_00001</v>
      </c>
      <c r="D2888" s="139" t="str">
        <f>IFERROR(__xludf.DUMMYFUNCTION("""COMPUTED_VALUE"""),"c_kim_00101_kim1_charaget01_Normal_Colorless")</f>
        <v>c_kim_00101_kim1_charaget01_Normal_Colorless</v>
      </c>
      <c r="E2888" s="139">
        <f>IFERROR(__xludf.DUMMYFUNCTION("""COMPUTED_VALUE"""),0.0)</f>
        <v>0</v>
      </c>
      <c r="F2888" s="139" t="str">
        <f>IFERROR(__xludf.DUMMYFUNCTION("""COMPUTED_VALUE"""),"Special")</f>
        <v>Special</v>
      </c>
      <c r="G2888" s="139"/>
      <c r="H2888" s="139"/>
      <c r="I2888" s="139">
        <f>IFERROR(__xludf.DUMMYFUNCTION("""COMPUTED_VALUE"""),175.0)</f>
        <v>175</v>
      </c>
      <c r="J2888" s="139">
        <f>IFERROR(__xludf.DUMMYFUNCTION("""COMPUTED_VALUE"""),0.0)</f>
        <v>0</v>
      </c>
      <c r="K2888" s="139">
        <f>IFERROR(__xludf.DUMMYFUNCTION("""COMPUTED_VALUE"""),0.0)</f>
        <v>0</v>
      </c>
      <c r="L2888" s="139"/>
      <c r="M2888" s="139"/>
      <c r="N2888" s="139"/>
    </row>
    <row r="2889">
      <c r="A2889" s="139" t="str">
        <f>IFERROR(__xludf.DUMMYFUNCTION("""COMPUTED_VALUE"""),"e")</f>
        <v>e</v>
      </c>
      <c r="B2889" s="139">
        <f>IFERROR(__xludf.DUMMYFUNCTION("""COMPUTED_VALUE"""),2.0260202E8)</f>
        <v>202602020</v>
      </c>
      <c r="C2889" s="139" t="str">
        <f>IFERROR(__xludf.DUMMYFUNCTION("""COMPUTED_VALUE"""),"c_kim_00201_kim1_charaget01_Normal_Colorless_Normal_00000")</f>
        <v>c_kim_00201_kim1_charaget01_Normal_Colorless_Normal_00000</v>
      </c>
      <c r="D2889" s="139" t="str">
        <f>IFERROR(__xludf.DUMMYFUNCTION("""COMPUTED_VALUE"""),"c_kim_00201_kim1_charaget01_Normal_Colorless")</f>
        <v>c_kim_00201_kim1_charaget01_Normal_Colorless</v>
      </c>
      <c r="E2889" s="139">
        <f>IFERROR(__xludf.DUMMYFUNCTION("""COMPUTED_VALUE"""),0.0)</f>
        <v>0</v>
      </c>
      <c r="F2889" s="139" t="str">
        <f>IFERROR(__xludf.DUMMYFUNCTION("""COMPUTED_VALUE"""),"Normal")</f>
        <v>Normal</v>
      </c>
      <c r="G2889" s="139"/>
      <c r="H2889" s="139"/>
      <c r="I2889" s="139">
        <f>IFERROR(__xludf.DUMMYFUNCTION("""COMPUTED_VALUE"""),69.0)</f>
        <v>69</v>
      </c>
      <c r="J2889" s="139">
        <f>IFERROR(__xludf.DUMMYFUNCTION("""COMPUTED_VALUE"""),10.0)</f>
        <v>10</v>
      </c>
      <c r="K2889" s="139">
        <f>IFERROR(__xludf.DUMMYFUNCTION("""COMPUTED_VALUE"""),25.0)</f>
        <v>25</v>
      </c>
      <c r="L2889" s="139"/>
      <c r="M2889" s="139"/>
      <c r="N2889" s="139"/>
    </row>
    <row r="2890">
      <c r="A2890" s="139" t="str">
        <f>IFERROR(__xludf.DUMMYFUNCTION("""COMPUTED_VALUE"""),"e")</f>
        <v>e</v>
      </c>
      <c r="B2890" s="139">
        <f>IFERROR(__xludf.DUMMYFUNCTION("""COMPUTED_VALUE"""),2.0260202E8)</f>
        <v>202602020</v>
      </c>
      <c r="C2890" s="139" t="str">
        <f>IFERROR(__xludf.DUMMYFUNCTION("""COMPUTED_VALUE"""),"c_kim_00201_kim1_charaget01_Normal_Colorless_Special_00001")</f>
        <v>c_kim_00201_kim1_charaget01_Normal_Colorless_Special_00001</v>
      </c>
      <c r="D2890" s="139" t="str">
        <f>IFERROR(__xludf.DUMMYFUNCTION("""COMPUTED_VALUE"""),"c_kim_00201_kim1_charaget01_Normal_Colorless")</f>
        <v>c_kim_00201_kim1_charaget01_Normal_Colorless</v>
      </c>
      <c r="E2890" s="139">
        <f>IFERROR(__xludf.DUMMYFUNCTION("""COMPUTED_VALUE"""),0.0)</f>
        <v>0</v>
      </c>
      <c r="F2890" s="139" t="str">
        <f>IFERROR(__xludf.DUMMYFUNCTION("""COMPUTED_VALUE"""),"Special")</f>
        <v>Special</v>
      </c>
      <c r="G2890" s="139"/>
      <c r="H2890" s="139"/>
      <c r="I2890" s="139">
        <f>IFERROR(__xludf.DUMMYFUNCTION("""COMPUTED_VALUE"""),120.0)</f>
        <v>120</v>
      </c>
      <c r="J2890" s="139">
        <f>IFERROR(__xludf.DUMMYFUNCTION("""COMPUTED_VALUE"""),60.0)</f>
        <v>60</v>
      </c>
      <c r="K2890" s="139">
        <f>IFERROR(__xludf.DUMMYFUNCTION("""COMPUTED_VALUE"""),0.0)</f>
        <v>0</v>
      </c>
      <c r="L2890" s="139"/>
      <c r="M2890" s="139"/>
      <c r="N2890" s="139"/>
    </row>
    <row r="2891">
      <c r="A2891" s="139" t="str">
        <f>IFERROR(__xludf.DUMMYFUNCTION("""COMPUTED_VALUE"""),"e")</f>
        <v>e</v>
      </c>
      <c r="B2891" s="139">
        <f>IFERROR(__xludf.DUMMYFUNCTION("""COMPUTED_VALUE"""),2.0260202E8)</f>
        <v>202602020</v>
      </c>
      <c r="C2891" s="139" t="str">
        <f>IFERROR(__xludf.DUMMYFUNCTION("""COMPUTED_VALUE"""),"c_kim_00301_kim1_charaget01_Boss_Colorless_Normal_00000")</f>
        <v>c_kim_00301_kim1_charaget01_Boss_Colorless_Normal_00000</v>
      </c>
      <c r="D2891" s="139" t="str">
        <f>IFERROR(__xludf.DUMMYFUNCTION("""COMPUTED_VALUE"""),"c_kim_00301_kim1_charaget01_Boss_Colorless")</f>
        <v>c_kim_00301_kim1_charaget01_Boss_Colorless</v>
      </c>
      <c r="E2891" s="139">
        <f>IFERROR(__xludf.DUMMYFUNCTION("""COMPUTED_VALUE"""),0.0)</f>
        <v>0</v>
      </c>
      <c r="F2891" s="139" t="str">
        <f>IFERROR(__xludf.DUMMYFUNCTION("""COMPUTED_VALUE"""),"Normal")</f>
        <v>Normal</v>
      </c>
      <c r="G2891" s="139"/>
      <c r="H2891" s="139"/>
      <c r="I2891" s="139">
        <f>IFERROR(__xludf.DUMMYFUNCTION("""COMPUTED_VALUE"""),88.0)</f>
        <v>88</v>
      </c>
      <c r="J2891" s="139">
        <f>IFERROR(__xludf.DUMMYFUNCTION("""COMPUTED_VALUE"""),39.0)</f>
        <v>39</v>
      </c>
      <c r="K2891" s="139">
        <f>IFERROR(__xludf.DUMMYFUNCTION("""COMPUTED_VALUE"""),60.0)</f>
        <v>60</v>
      </c>
      <c r="L2891" s="139"/>
      <c r="M2891" s="139"/>
      <c r="N2891" s="139"/>
    </row>
    <row r="2892">
      <c r="A2892" s="139" t="str">
        <f>IFERROR(__xludf.DUMMYFUNCTION("""COMPUTED_VALUE"""),"e")</f>
        <v>e</v>
      </c>
      <c r="B2892" s="139">
        <f>IFERROR(__xludf.DUMMYFUNCTION("""COMPUTED_VALUE"""),2.0260202E8)</f>
        <v>202602020</v>
      </c>
      <c r="C2892" s="139" t="str">
        <f>IFERROR(__xludf.DUMMYFUNCTION("""COMPUTED_VALUE"""),"c_kim_00301_kim1_charaget01_Boss_Colorless_Special_00001")</f>
        <v>c_kim_00301_kim1_charaget01_Boss_Colorless_Special_00001</v>
      </c>
      <c r="D2892" s="139" t="str">
        <f>IFERROR(__xludf.DUMMYFUNCTION("""COMPUTED_VALUE"""),"c_kim_00301_kim1_charaget01_Boss_Colorless")</f>
        <v>c_kim_00301_kim1_charaget01_Boss_Colorless</v>
      </c>
      <c r="E2892" s="139">
        <f>IFERROR(__xludf.DUMMYFUNCTION("""COMPUTED_VALUE"""),0.0)</f>
        <v>0</v>
      </c>
      <c r="F2892" s="139" t="str">
        <f>IFERROR(__xludf.DUMMYFUNCTION("""COMPUTED_VALUE"""),"Special")</f>
        <v>Special</v>
      </c>
      <c r="G2892" s="139"/>
      <c r="H2892" s="139"/>
      <c r="I2892" s="139">
        <f>IFERROR(__xludf.DUMMYFUNCTION("""COMPUTED_VALUE"""),180.0)</f>
        <v>180</v>
      </c>
      <c r="J2892" s="139">
        <f>IFERROR(__xludf.DUMMYFUNCTION("""COMPUTED_VALUE"""),60.0)</f>
        <v>60</v>
      </c>
      <c r="K2892" s="139">
        <f>IFERROR(__xludf.DUMMYFUNCTION("""COMPUTED_VALUE"""),0.0)</f>
        <v>0</v>
      </c>
      <c r="L2892" s="139"/>
      <c r="M2892" s="139"/>
      <c r="N2892" s="139"/>
    </row>
    <row r="2893">
      <c r="A2893" s="139" t="str">
        <f>IFERROR(__xludf.DUMMYFUNCTION("""COMPUTED_VALUE"""),"e")</f>
        <v>e</v>
      </c>
      <c r="B2893" s="139">
        <f>IFERROR(__xludf.DUMMYFUNCTION("""COMPUTED_VALUE"""),2.0260202E8)</f>
        <v>202602020</v>
      </c>
      <c r="C2893" s="139" t="str">
        <f>IFERROR(__xludf.DUMMYFUNCTION("""COMPUTED_VALUE"""),"c_kim_00301_kim1_charaget01_Boss_Colorless_Appearance_00002")</f>
        <v>c_kim_00301_kim1_charaget01_Boss_Colorless_Appearance_00002</v>
      </c>
      <c r="D2893" s="139" t="str">
        <f>IFERROR(__xludf.DUMMYFUNCTION("""COMPUTED_VALUE"""),"c_kim_00301_kim1_charaget01_Boss_Colorless")</f>
        <v>c_kim_00301_kim1_charaget01_Boss_Colorless</v>
      </c>
      <c r="E2893" s="139">
        <f>IFERROR(__xludf.DUMMYFUNCTION("""COMPUTED_VALUE"""),0.0)</f>
        <v>0</v>
      </c>
      <c r="F2893" s="139" t="str">
        <f>IFERROR(__xludf.DUMMYFUNCTION("""COMPUTED_VALUE"""),"Appearance")</f>
        <v>Appearance</v>
      </c>
      <c r="G2893" s="139"/>
      <c r="H2893" s="139"/>
      <c r="I2893" s="139">
        <f>IFERROR(__xludf.DUMMYFUNCTION("""COMPUTED_VALUE"""),50.0)</f>
        <v>50</v>
      </c>
      <c r="J2893" s="139">
        <f>IFERROR(__xludf.DUMMYFUNCTION("""COMPUTED_VALUE"""),0.0)</f>
        <v>0</v>
      </c>
      <c r="K2893" s="139">
        <f>IFERROR(__xludf.DUMMYFUNCTION("""COMPUTED_VALUE"""),0.0)</f>
        <v>0</v>
      </c>
      <c r="L2893" s="139"/>
      <c r="M2893" s="139"/>
      <c r="N2893" s="139"/>
    </row>
    <row r="2894">
      <c r="A2894" s="139" t="str">
        <f>IFERROR(__xludf.DUMMYFUNCTION("""COMPUTED_VALUE"""),"e")</f>
        <v>e</v>
      </c>
      <c r="B2894" s="139">
        <f>IFERROR(__xludf.DUMMYFUNCTION("""COMPUTED_VALUE"""),2.0260202E8)</f>
        <v>202602020</v>
      </c>
      <c r="C2894" s="139" t="str">
        <f>IFERROR(__xludf.DUMMYFUNCTION("""COMPUTED_VALUE"""),"e_glo_00001_kim1_charaget01_Normal_Colorless_Normal_00000")</f>
        <v>e_glo_00001_kim1_charaget01_Normal_Colorless_Normal_00000</v>
      </c>
      <c r="D2894" s="139" t="str">
        <f>IFERROR(__xludf.DUMMYFUNCTION("""COMPUTED_VALUE"""),"e_glo_00001_kim1_charaget01_Normal_Colorless")</f>
        <v>e_glo_00001_kim1_charaget01_Normal_Colorless</v>
      </c>
      <c r="E2894" s="139">
        <f>IFERROR(__xludf.DUMMYFUNCTION("""COMPUTED_VALUE"""),0.0)</f>
        <v>0</v>
      </c>
      <c r="F2894" s="139" t="str">
        <f>IFERROR(__xludf.DUMMYFUNCTION("""COMPUTED_VALUE"""),"Normal")</f>
        <v>Normal</v>
      </c>
      <c r="G2894" s="139"/>
      <c r="H2894" s="139"/>
      <c r="I2894" s="139">
        <f>IFERROR(__xludf.DUMMYFUNCTION("""COMPUTED_VALUE"""),50.0)</f>
        <v>50</v>
      </c>
      <c r="J2894" s="139">
        <f>IFERROR(__xludf.DUMMYFUNCTION("""COMPUTED_VALUE"""),25.0)</f>
        <v>25</v>
      </c>
      <c r="K2894" s="139">
        <f>IFERROR(__xludf.DUMMYFUNCTION("""COMPUTED_VALUE"""),25.0)</f>
        <v>25</v>
      </c>
      <c r="L2894" s="139"/>
      <c r="M2894" s="139"/>
      <c r="N2894" s="139"/>
    </row>
    <row r="2895">
      <c r="A2895" s="139" t="str">
        <f>IFERROR(__xludf.DUMMYFUNCTION("""COMPUTED_VALUE"""),"e")</f>
        <v>e</v>
      </c>
      <c r="B2895" s="139">
        <f>IFERROR(__xludf.DUMMYFUNCTION("""COMPUTED_VALUE"""),2.0260202E8)</f>
        <v>202602020</v>
      </c>
      <c r="C2895" s="139" t="str">
        <f>IFERROR(__xludf.DUMMYFUNCTION("""COMPUTED_VALUE"""),"c_kim_00101_kim1_charaget02_Boss_Red_Normal_00000")</f>
        <v>c_kim_00101_kim1_charaget02_Boss_Red_Normal_00000</v>
      </c>
      <c r="D2895" s="139" t="str">
        <f>IFERROR(__xludf.DUMMYFUNCTION("""COMPUTED_VALUE"""),"c_kim_00101_kim1_charaget02_Boss_Red")</f>
        <v>c_kim_00101_kim1_charaget02_Boss_Red</v>
      </c>
      <c r="E2895" s="139">
        <f>IFERROR(__xludf.DUMMYFUNCTION("""COMPUTED_VALUE"""),0.0)</f>
        <v>0</v>
      </c>
      <c r="F2895" s="139" t="str">
        <f>IFERROR(__xludf.DUMMYFUNCTION("""COMPUTED_VALUE"""),"Normal")</f>
        <v>Normal</v>
      </c>
      <c r="G2895" s="139"/>
      <c r="H2895" s="139"/>
      <c r="I2895" s="139">
        <f>IFERROR(__xludf.DUMMYFUNCTION("""COMPUTED_VALUE"""),62.0)</f>
        <v>62</v>
      </c>
      <c r="J2895" s="139">
        <f>IFERROR(__xludf.DUMMYFUNCTION("""COMPUTED_VALUE"""),13.0)</f>
        <v>13</v>
      </c>
      <c r="K2895" s="139">
        <f>IFERROR(__xludf.DUMMYFUNCTION("""COMPUTED_VALUE"""),50.0)</f>
        <v>50</v>
      </c>
      <c r="L2895" s="139"/>
      <c r="M2895" s="139"/>
      <c r="N2895" s="139"/>
    </row>
    <row r="2896">
      <c r="A2896" s="139" t="str">
        <f>IFERROR(__xludf.DUMMYFUNCTION("""COMPUTED_VALUE"""),"e")</f>
        <v>e</v>
      </c>
      <c r="B2896" s="139">
        <f>IFERROR(__xludf.DUMMYFUNCTION("""COMPUTED_VALUE"""),2.0260202E8)</f>
        <v>202602020</v>
      </c>
      <c r="C2896" s="139" t="str">
        <f>IFERROR(__xludf.DUMMYFUNCTION("""COMPUTED_VALUE"""),"c_kim_00101_kim1_charaget02_Boss_Red_Special_00001")</f>
        <v>c_kim_00101_kim1_charaget02_Boss_Red_Special_00001</v>
      </c>
      <c r="D2896" s="139" t="str">
        <f>IFERROR(__xludf.DUMMYFUNCTION("""COMPUTED_VALUE"""),"c_kim_00101_kim1_charaget02_Boss_Red")</f>
        <v>c_kim_00101_kim1_charaget02_Boss_Red</v>
      </c>
      <c r="E2896" s="139">
        <f>IFERROR(__xludf.DUMMYFUNCTION("""COMPUTED_VALUE"""),0.0)</f>
        <v>0</v>
      </c>
      <c r="F2896" s="139" t="str">
        <f>IFERROR(__xludf.DUMMYFUNCTION("""COMPUTED_VALUE"""),"Special")</f>
        <v>Special</v>
      </c>
      <c r="G2896" s="139"/>
      <c r="H2896" s="139"/>
      <c r="I2896" s="139">
        <f>IFERROR(__xludf.DUMMYFUNCTION("""COMPUTED_VALUE"""),175.0)</f>
        <v>175</v>
      </c>
      <c r="J2896" s="139">
        <f>IFERROR(__xludf.DUMMYFUNCTION("""COMPUTED_VALUE"""),0.0)</f>
        <v>0</v>
      </c>
      <c r="K2896" s="139">
        <f>IFERROR(__xludf.DUMMYFUNCTION("""COMPUTED_VALUE"""),0.0)</f>
        <v>0</v>
      </c>
      <c r="L2896" s="139"/>
      <c r="M2896" s="139"/>
      <c r="N2896" s="139"/>
    </row>
    <row r="2897">
      <c r="A2897" s="139" t="str">
        <f>IFERROR(__xludf.DUMMYFUNCTION("""COMPUTED_VALUE"""),"e")</f>
        <v>e</v>
      </c>
      <c r="B2897" s="139">
        <f>IFERROR(__xludf.DUMMYFUNCTION("""COMPUTED_VALUE"""),2.0260202E8)</f>
        <v>202602020</v>
      </c>
      <c r="C2897" s="139" t="str">
        <f>IFERROR(__xludf.DUMMYFUNCTION("""COMPUTED_VALUE"""),"c_kim_00101_kim1_charaget02_Boss_Red_Appearance_00002")</f>
        <v>c_kim_00101_kim1_charaget02_Boss_Red_Appearance_00002</v>
      </c>
      <c r="D2897" s="139" t="str">
        <f>IFERROR(__xludf.DUMMYFUNCTION("""COMPUTED_VALUE"""),"c_kim_00101_kim1_charaget02_Boss_Red")</f>
        <v>c_kim_00101_kim1_charaget02_Boss_Red</v>
      </c>
      <c r="E2897" s="139">
        <f>IFERROR(__xludf.DUMMYFUNCTION("""COMPUTED_VALUE"""),0.0)</f>
        <v>0</v>
      </c>
      <c r="F2897" s="139" t="str">
        <f>IFERROR(__xludf.DUMMYFUNCTION("""COMPUTED_VALUE"""),"Appearance")</f>
        <v>Appearance</v>
      </c>
      <c r="G2897" s="139"/>
      <c r="H2897" s="139"/>
      <c r="I2897" s="139">
        <f>IFERROR(__xludf.DUMMYFUNCTION("""COMPUTED_VALUE"""),50.0)</f>
        <v>50</v>
      </c>
      <c r="J2897" s="139">
        <f>IFERROR(__xludf.DUMMYFUNCTION("""COMPUTED_VALUE"""),0.0)</f>
        <v>0</v>
      </c>
      <c r="K2897" s="139">
        <f>IFERROR(__xludf.DUMMYFUNCTION("""COMPUTED_VALUE"""),0.0)</f>
        <v>0</v>
      </c>
      <c r="L2897" s="139"/>
      <c r="M2897" s="139"/>
      <c r="N2897" s="139"/>
    </row>
    <row r="2898">
      <c r="A2898" s="139" t="str">
        <f>IFERROR(__xludf.DUMMYFUNCTION("""COMPUTED_VALUE"""),"e")</f>
        <v>e</v>
      </c>
      <c r="B2898" s="139">
        <f>IFERROR(__xludf.DUMMYFUNCTION("""COMPUTED_VALUE"""),2.0260202E8)</f>
        <v>202602020</v>
      </c>
      <c r="C2898" s="139" t="str">
        <f>IFERROR(__xludf.DUMMYFUNCTION("""COMPUTED_VALUE"""),"c_kim_00201_kim1_charaget02_Boss_Red_Normal_00000")</f>
        <v>c_kim_00201_kim1_charaget02_Boss_Red_Normal_00000</v>
      </c>
      <c r="D2898" s="139" t="str">
        <f>IFERROR(__xludf.DUMMYFUNCTION("""COMPUTED_VALUE"""),"c_kim_00201_kim1_charaget02_Boss_Red")</f>
        <v>c_kim_00201_kim1_charaget02_Boss_Red</v>
      </c>
      <c r="E2898" s="139">
        <f>IFERROR(__xludf.DUMMYFUNCTION("""COMPUTED_VALUE"""),0.0)</f>
        <v>0</v>
      </c>
      <c r="F2898" s="139" t="str">
        <f>IFERROR(__xludf.DUMMYFUNCTION("""COMPUTED_VALUE"""),"Normal")</f>
        <v>Normal</v>
      </c>
      <c r="G2898" s="139"/>
      <c r="H2898" s="139"/>
      <c r="I2898" s="139">
        <f>IFERROR(__xludf.DUMMYFUNCTION("""COMPUTED_VALUE"""),69.0)</f>
        <v>69</v>
      </c>
      <c r="J2898" s="139">
        <f>IFERROR(__xludf.DUMMYFUNCTION("""COMPUTED_VALUE"""),10.0)</f>
        <v>10</v>
      </c>
      <c r="K2898" s="139">
        <f>IFERROR(__xludf.DUMMYFUNCTION("""COMPUTED_VALUE"""),25.0)</f>
        <v>25</v>
      </c>
      <c r="L2898" s="139"/>
      <c r="M2898" s="139"/>
      <c r="N2898" s="139"/>
    </row>
    <row r="2899">
      <c r="A2899" s="139" t="str">
        <f>IFERROR(__xludf.DUMMYFUNCTION("""COMPUTED_VALUE"""),"e")</f>
        <v>e</v>
      </c>
      <c r="B2899" s="139">
        <f>IFERROR(__xludf.DUMMYFUNCTION("""COMPUTED_VALUE"""),2.0260202E8)</f>
        <v>202602020</v>
      </c>
      <c r="C2899" s="139" t="str">
        <f>IFERROR(__xludf.DUMMYFUNCTION("""COMPUTED_VALUE"""),"c_kim_00201_kim1_charaget02_Boss_Red_Special_00001")</f>
        <v>c_kim_00201_kim1_charaget02_Boss_Red_Special_00001</v>
      </c>
      <c r="D2899" s="139" t="str">
        <f>IFERROR(__xludf.DUMMYFUNCTION("""COMPUTED_VALUE"""),"c_kim_00201_kim1_charaget02_Boss_Red")</f>
        <v>c_kim_00201_kim1_charaget02_Boss_Red</v>
      </c>
      <c r="E2899" s="139">
        <f>IFERROR(__xludf.DUMMYFUNCTION("""COMPUTED_VALUE"""),0.0)</f>
        <v>0</v>
      </c>
      <c r="F2899" s="139" t="str">
        <f>IFERROR(__xludf.DUMMYFUNCTION("""COMPUTED_VALUE"""),"Special")</f>
        <v>Special</v>
      </c>
      <c r="G2899" s="139"/>
      <c r="H2899" s="139"/>
      <c r="I2899" s="139">
        <f>IFERROR(__xludf.DUMMYFUNCTION("""COMPUTED_VALUE"""),120.0)</f>
        <v>120</v>
      </c>
      <c r="J2899" s="139">
        <f>IFERROR(__xludf.DUMMYFUNCTION("""COMPUTED_VALUE"""),60.0)</f>
        <v>60</v>
      </c>
      <c r="K2899" s="139">
        <f>IFERROR(__xludf.DUMMYFUNCTION("""COMPUTED_VALUE"""),0.0)</f>
        <v>0</v>
      </c>
      <c r="L2899" s="139"/>
      <c r="M2899" s="139"/>
      <c r="N2899" s="139"/>
    </row>
    <row r="2900">
      <c r="A2900" s="139" t="str">
        <f>IFERROR(__xludf.DUMMYFUNCTION("""COMPUTED_VALUE"""),"e")</f>
        <v>e</v>
      </c>
      <c r="B2900" s="139">
        <f>IFERROR(__xludf.DUMMYFUNCTION("""COMPUTED_VALUE"""),2.0260202E8)</f>
        <v>202602020</v>
      </c>
      <c r="C2900" s="139" t="str">
        <f>IFERROR(__xludf.DUMMYFUNCTION("""COMPUTED_VALUE"""),"c_kim_00201_kim1_charaget02_Boss_Red_Appearance_00002")</f>
        <v>c_kim_00201_kim1_charaget02_Boss_Red_Appearance_00002</v>
      </c>
      <c r="D2900" s="139" t="str">
        <f>IFERROR(__xludf.DUMMYFUNCTION("""COMPUTED_VALUE"""),"c_kim_00201_kim1_charaget02_Boss_Red")</f>
        <v>c_kim_00201_kim1_charaget02_Boss_Red</v>
      </c>
      <c r="E2900" s="139">
        <f>IFERROR(__xludf.DUMMYFUNCTION("""COMPUTED_VALUE"""),0.0)</f>
        <v>0</v>
      </c>
      <c r="F2900" s="139" t="str">
        <f>IFERROR(__xludf.DUMMYFUNCTION("""COMPUTED_VALUE"""),"Appearance")</f>
        <v>Appearance</v>
      </c>
      <c r="G2900" s="139"/>
      <c r="H2900" s="139"/>
      <c r="I2900" s="139">
        <f>IFERROR(__xludf.DUMMYFUNCTION("""COMPUTED_VALUE"""),50.0)</f>
        <v>50</v>
      </c>
      <c r="J2900" s="139">
        <f>IFERROR(__xludf.DUMMYFUNCTION("""COMPUTED_VALUE"""),0.0)</f>
        <v>0</v>
      </c>
      <c r="K2900" s="139">
        <f>IFERROR(__xludf.DUMMYFUNCTION("""COMPUTED_VALUE"""),0.0)</f>
        <v>0</v>
      </c>
      <c r="L2900" s="139"/>
      <c r="M2900" s="139"/>
      <c r="N2900" s="139"/>
    </row>
    <row r="2901">
      <c r="A2901" s="139" t="str">
        <f>IFERROR(__xludf.DUMMYFUNCTION("""COMPUTED_VALUE"""),"e")</f>
        <v>e</v>
      </c>
      <c r="B2901" s="139">
        <f>IFERROR(__xludf.DUMMYFUNCTION("""COMPUTED_VALUE"""),2.0260202E8)</f>
        <v>202602020</v>
      </c>
      <c r="C2901" s="139" t="str">
        <f>IFERROR(__xludf.DUMMYFUNCTION("""COMPUTED_VALUE"""),"c_kim_00301_kim1_charaget02_Boss_Red_Normal_00000")</f>
        <v>c_kim_00301_kim1_charaget02_Boss_Red_Normal_00000</v>
      </c>
      <c r="D2901" s="139" t="str">
        <f>IFERROR(__xludf.DUMMYFUNCTION("""COMPUTED_VALUE"""),"c_kim_00301_kim1_charaget02_Boss_Red")</f>
        <v>c_kim_00301_kim1_charaget02_Boss_Red</v>
      </c>
      <c r="E2901" s="139">
        <f>IFERROR(__xludf.DUMMYFUNCTION("""COMPUTED_VALUE"""),0.0)</f>
        <v>0</v>
      </c>
      <c r="F2901" s="139" t="str">
        <f>IFERROR(__xludf.DUMMYFUNCTION("""COMPUTED_VALUE"""),"Normal")</f>
        <v>Normal</v>
      </c>
      <c r="G2901" s="139"/>
      <c r="H2901" s="139"/>
      <c r="I2901" s="139">
        <f>IFERROR(__xludf.DUMMYFUNCTION("""COMPUTED_VALUE"""),88.0)</f>
        <v>88</v>
      </c>
      <c r="J2901" s="139">
        <f>IFERROR(__xludf.DUMMYFUNCTION("""COMPUTED_VALUE"""),39.0)</f>
        <v>39</v>
      </c>
      <c r="K2901" s="139">
        <f>IFERROR(__xludf.DUMMYFUNCTION("""COMPUTED_VALUE"""),60.0)</f>
        <v>60</v>
      </c>
      <c r="L2901" s="139"/>
      <c r="M2901" s="139"/>
      <c r="N2901" s="139"/>
    </row>
    <row r="2902">
      <c r="A2902" s="139" t="str">
        <f>IFERROR(__xludf.DUMMYFUNCTION("""COMPUTED_VALUE"""),"e")</f>
        <v>e</v>
      </c>
      <c r="B2902" s="139">
        <f>IFERROR(__xludf.DUMMYFUNCTION("""COMPUTED_VALUE"""),2.0260202E8)</f>
        <v>202602020</v>
      </c>
      <c r="C2902" s="139" t="str">
        <f>IFERROR(__xludf.DUMMYFUNCTION("""COMPUTED_VALUE"""),"c_kim_00301_kim1_charaget02_Boss_Red_Special_00001")</f>
        <v>c_kim_00301_kim1_charaget02_Boss_Red_Special_00001</v>
      </c>
      <c r="D2902" s="139" t="str">
        <f>IFERROR(__xludf.DUMMYFUNCTION("""COMPUTED_VALUE"""),"c_kim_00301_kim1_charaget02_Boss_Red")</f>
        <v>c_kim_00301_kim1_charaget02_Boss_Red</v>
      </c>
      <c r="E2902" s="139">
        <f>IFERROR(__xludf.DUMMYFUNCTION("""COMPUTED_VALUE"""),0.0)</f>
        <v>0</v>
      </c>
      <c r="F2902" s="139" t="str">
        <f>IFERROR(__xludf.DUMMYFUNCTION("""COMPUTED_VALUE"""),"Special")</f>
        <v>Special</v>
      </c>
      <c r="G2902" s="139"/>
      <c r="H2902" s="139"/>
      <c r="I2902" s="139">
        <f>IFERROR(__xludf.DUMMYFUNCTION("""COMPUTED_VALUE"""),180.0)</f>
        <v>180</v>
      </c>
      <c r="J2902" s="139">
        <f>IFERROR(__xludf.DUMMYFUNCTION("""COMPUTED_VALUE"""),60.0)</f>
        <v>60</v>
      </c>
      <c r="K2902" s="139">
        <f>IFERROR(__xludf.DUMMYFUNCTION("""COMPUTED_VALUE"""),0.0)</f>
        <v>0</v>
      </c>
      <c r="L2902" s="139"/>
      <c r="M2902" s="139"/>
      <c r="N2902" s="139"/>
    </row>
    <row r="2903">
      <c r="A2903" s="139" t="str">
        <f>IFERROR(__xludf.DUMMYFUNCTION("""COMPUTED_VALUE"""),"e")</f>
        <v>e</v>
      </c>
      <c r="B2903" s="139">
        <f>IFERROR(__xludf.DUMMYFUNCTION("""COMPUTED_VALUE"""),2.0260202E8)</f>
        <v>202602020</v>
      </c>
      <c r="C2903" s="139" t="str">
        <f>IFERROR(__xludf.DUMMYFUNCTION("""COMPUTED_VALUE"""),"c_kim_00301_kim1_charaget02_Boss_Red_Appearance_00002")</f>
        <v>c_kim_00301_kim1_charaget02_Boss_Red_Appearance_00002</v>
      </c>
      <c r="D2903" s="139" t="str">
        <f>IFERROR(__xludf.DUMMYFUNCTION("""COMPUTED_VALUE"""),"c_kim_00301_kim1_charaget02_Boss_Red")</f>
        <v>c_kim_00301_kim1_charaget02_Boss_Red</v>
      </c>
      <c r="E2903" s="139">
        <f>IFERROR(__xludf.DUMMYFUNCTION("""COMPUTED_VALUE"""),0.0)</f>
        <v>0</v>
      </c>
      <c r="F2903" s="139" t="str">
        <f>IFERROR(__xludf.DUMMYFUNCTION("""COMPUTED_VALUE"""),"Appearance")</f>
        <v>Appearance</v>
      </c>
      <c r="G2903" s="139"/>
      <c r="H2903" s="139"/>
      <c r="I2903" s="139">
        <f>IFERROR(__xludf.DUMMYFUNCTION("""COMPUTED_VALUE"""),50.0)</f>
        <v>50</v>
      </c>
      <c r="J2903" s="139">
        <f>IFERROR(__xludf.DUMMYFUNCTION("""COMPUTED_VALUE"""),0.0)</f>
        <v>0</v>
      </c>
      <c r="K2903" s="139">
        <f>IFERROR(__xludf.DUMMYFUNCTION("""COMPUTED_VALUE"""),0.0)</f>
        <v>0</v>
      </c>
      <c r="L2903" s="139"/>
      <c r="M2903" s="139"/>
      <c r="N2903" s="139"/>
    </row>
    <row r="2904">
      <c r="A2904" s="139" t="str">
        <f>IFERROR(__xludf.DUMMYFUNCTION("""COMPUTED_VALUE"""),"e")</f>
        <v>e</v>
      </c>
      <c r="B2904" s="139">
        <f>IFERROR(__xludf.DUMMYFUNCTION("""COMPUTED_VALUE"""),2.0260202E8)</f>
        <v>202602020</v>
      </c>
      <c r="C2904" s="139" t="str">
        <f>IFERROR(__xludf.DUMMYFUNCTION("""COMPUTED_VALUE"""),"e_glo_00001_kim1_charaget02_Normal_Colorless_Normal_00000")</f>
        <v>e_glo_00001_kim1_charaget02_Normal_Colorless_Normal_00000</v>
      </c>
      <c r="D2904" s="139" t="str">
        <f>IFERROR(__xludf.DUMMYFUNCTION("""COMPUTED_VALUE"""),"e_glo_00001_kim1_charaget02_Normal_Colorless")</f>
        <v>e_glo_00001_kim1_charaget02_Normal_Colorless</v>
      </c>
      <c r="E2904" s="139">
        <f>IFERROR(__xludf.DUMMYFUNCTION("""COMPUTED_VALUE"""),0.0)</f>
        <v>0</v>
      </c>
      <c r="F2904" s="139" t="str">
        <f>IFERROR(__xludf.DUMMYFUNCTION("""COMPUTED_VALUE"""),"Normal")</f>
        <v>Normal</v>
      </c>
      <c r="G2904" s="139"/>
      <c r="H2904" s="139"/>
      <c r="I2904" s="139">
        <f>IFERROR(__xludf.DUMMYFUNCTION("""COMPUTED_VALUE"""),50.0)</f>
        <v>50</v>
      </c>
      <c r="J2904" s="139">
        <f>IFERROR(__xludf.DUMMYFUNCTION("""COMPUTED_VALUE"""),25.0)</f>
        <v>25</v>
      </c>
      <c r="K2904" s="139">
        <f>IFERROR(__xludf.DUMMYFUNCTION("""COMPUTED_VALUE"""),25.0)</f>
        <v>25</v>
      </c>
      <c r="L2904" s="139"/>
      <c r="M2904" s="139"/>
      <c r="N2904" s="139"/>
    </row>
    <row r="2905">
      <c r="A2905" s="139" t="str">
        <f>IFERROR(__xludf.DUMMYFUNCTION("""COMPUTED_VALUE"""),"e")</f>
        <v>e</v>
      </c>
      <c r="B2905" s="139">
        <f>IFERROR(__xludf.DUMMYFUNCTION("""COMPUTED_VALUE"""),2.0260202E8)</f>
        <v>202602020</v>
      </c>
      <c r="C2905" s="139" t="str">
        <f>IFERROR(__xludf.DUMMYFUNCTION("""COMPUTED_VALUE"""),"c_kim_00001_kim1_charaget02_Boss_Red_Normal_00000")</f>
        <v>c_kim_00001_kim1_charaget02_Boss_Red_Normal_00000</v>
      </c>
      <c r="D2905" s="139" t="str">
        <f>IFERROR(__xludf.DUMMYFUNCTION("""COMPUTED_VALUE"""),"c_kim_00001_kim1_charaget02_Boss_Red")</f>
        <v>c_kim_00001_kim1_charaget02_Boss_Red</v>
      </c>
      <c r="E2905" s="139">
        <f>IFERROR(__xludf.DUMMYFUNCTION("""COMPUTED_VALUE"""),0.0)</f>
        <v>0</v>
      </c>
      <c r="F2905" s="139" t="str">
        <f>IFERROR(__xludf.DUMMYFUNCTION("""COMPUTED_VALUE"""),"Normal")</f>
        <v>Normal</v>
      </c>
      <c r="G2905" s="139"/>
      <c r="H2905" s="139"/>
      <c r="I2905" s="139">
        <f>IFERROR(__xludf.DUMMYFUNCTION("""COMPUTED_VALUE"""),65.0)</f>
        <v>65</v>
      </c>
      <c r="J2905" s="139">
        <f>IFERROR(__xludf.DUMMYFUNCTION("""COMPUTED_VALUE"""),34.0)</f>
        <v>34</v>
      </c>
      <c r="K2905" s="139">
        <f>IFERROR(__xludf.DUMMYFUNCTION("""COMPUTED_VALUE"""),60.0)</f>
        <v>60</v>
      </c>
      <c r="L2905" s="139"/>
      <c r="M2905" s="139"/>
      <c r="N2905" s="139"/>
    </row>
    <row r="2906">
      <c r="A2906" s="139" t="str">
        <f>IFERROR(__xludf.DUMMYFUNCTION("""COMPUTED_VALUE"""),"e")</f>
        <v>e</v>
      </c>
      <c r="B2906" s="139">
        <f>IFERROR(__xludf.DUMMYFUNCTION("""COMPUTED_VALUE"""),2.0260202E8)</f>
        <v>202602020</v>
      </c>
      <c r="C2906" s="139" t="str">
        <f>IFERROR(__xludf.DUMMYFUNCTION("""COMPUTED_VALUE"""),"c_kim_00001_kim1_charaget02_Boss_Red_Special_00001")</f>
        <v>c_kim_00001_kim1_charaget02_Boss_Red_Special_00001</v>
      </c>
      <c r="D2906" s="139" t="str">
        <f>IFERROR(__xludf.DUMMYFUNCTION("""COMPUTED_VALUE"""),"c_kim_00001_kim1_charaget02_Boss_Red")</f>
        <v>c_kim_00001_kim1_charaget02_Boss_Red</v>
      </c>
      <c r="E2906" s="139">
        <f>IFERROR(__xludf.DUMMYFUNCTION("""COMPUTED_VALUE"""),0.0)</f>
        <v>0</v>
      </c>
      <c r="F2906" s="139" t="str">
        <f>IFERROR(__xludf.DUMMYFUNCTION("""COMPUTED_VALUE"""),"Special")</f>
        <v>Special</v>
      </c>
      <c r="G2906" s="139"/>
      <c r="H2906" s="139"/>
      <c r="I2906" s="139">
        <f>IFERROR(__xludf.DUMMYFUNCTION("""COMPUTED_VALUE"""),125.0)</f>
        <v>125</v>
      </c>
      <c r="J2906" s="139">
        <f>IFERROR(__xludf.DUMMYFUNCTION("""COMPUTED_VALUE"""),0.0)</f>
        <v>0</v>
      </c>
      <c r="K2906" s="139">
        <f>IFERROR(__xludf.DUMMYFUNCTION("""COMPUTED_VALUE"""),0.0)</f>
        <v>0</v>
      </c>
      <c r="L2906" s="139"/>
      <c r="M2906" s="139"/>
      <c r="N2906" s="139"/>
    </row>
    <row r="2907">
      <c r="A2907" s="139" t="str">
        <f>IFERROR(__xludf.DUMMYFUNCTION("""COMPUTED_VALUE"""),"e")</f>
        <v>e</v>
      </c>
      <c r="B2907" s="139">
        <f>IFERROR(__xludf.DUMMYFUNCTION("""COMPUTED_VALUE"""),2.0260202E8)</f>
        <v>202602020</v>
      </c>
      <c r="C2907" s="139" t="str">
        <f>IFERROR(__xludf.DUMMYFUNCTION("""COMPUTED_VALUE"""),"c_kim_00001_kim1_charaget02_Boss_Red_Appearance_00002")</f>
        <v>c_kim_00001_kim1_charaget02_Boss_Red_Appearance_00002</v>
      </c>
      <c r="D2907" s="139" t="str">
        <f>IFERROR(__xludf.DUMMYFUNCTION("""COMPUTED_VALUE"""),"c_kim_00001_kim1_charaget02_Boss_Red")</f>
        <v>c_kim_00001_kim1_charaget02_Boss_Red</v>
      </c>
      <c r="E2907" s="139">
        <f>IFERROR(__xludf.DUMMYFUNCTION("""COMPUTED_VALUE"""),0.0)</f>
        <v>0</v>
      </c>
      <c r="F2907" s="139" t="str">
        <f>IFERROR(__xludf.DUMMYFUNCTION("""COMPUTED_VALUE"""),"Appearance")</f>
        <v>Appearance</v>
      </c>
      <c r="G2907" s="139"/>
      <c r="H2907" s="139"/>
      <c r="I2907" s="139">
        <f>IFERROR(__xludf.DUMMYFUNCTION("""COMPUTED_VALUE"""),50.0)</f>
        <v>50</v>
      </c>
      <c r="J2907" s="139">
        <f>IFERROR(__xludf.DUMMYFUNCTION("""COMPUTED_VALUE"""),0.0)</f>
        <v>0</v>
      </c>
      <c r="K2907" s="139">
        <f>IFERROR(__xludf.DUMMYFUNCTION("""COMPUTED_VALUE"""),0.0)</f>
        <v>0</v>
      </c>
      <c r="L2907" s="139"/>
      <c r="M2907" s="139"/>
      <c r="N2907" s="139"/>
    </row>
    <row r="2908">
      <c r="A2908" s="139"/>
      <c r="B2908" s="139"/>
      <c r="C2908" s="139"/>
      <c r="D2908" s="139"/>
      <c r="E2908" s="139"/>
      <c r="F2908" s="139"/>
      <c r="G2908" s="139"/>
      <c r="H2908" s="139"/>
      <c r="I2908" s="139"/>
      <c r="J2908" s="139"/>
      <c r="K2908" s="139"/>
      <c r="L2908" s="139"/>
      <c r="M2908" s="139"/>
      <c r="N2908" s="139"/>
    </row>
    <row r="2909">
      <c r="A2909" s="139" t="str">
        <f>IFERROR(__xludf.DUMMYFUNCTION("""COMPUTED_VALUE"""),"e")</f>
        <v>e</v>
      </c>
      <c r="B2909" s="139">
        <f>IFERROR(__xludf.DUMMYFUNCTION("""COMPUTED_VALUE"""),2.0260301E8)</f>
        <v>202603010</v>
      </c>
      <c r="C2909" s="139" t="str">
        <f>IFERROR(__xludf.DUMMYFUNCTION("""COMPUTED_VALUE"""),"c_hut_00001_hut1_1d1c_Normal_Colorless_Normal_00000")</f>
        <v>c_hut_00001_hut1_1d1c_Normal_Colorless_Normal_00000</v>
      </c>
      <c r="D2909" s="139" t="str">
        <f>IFERROR(__xludf.DUMMYFUNCTION("""COMPUTED_VALUE"""),"c_hut_00001_hut1_1d1c_Normal_Colorless")</f>
        <v>c_hut_00001_hut1_1d1c_Normal_Colorless</v>
      </c>
      <c r="E2909" s="139">
        <f>IFERROR(__xludf.DUMMYFUNCTION("""COMPUTED_VALUE"""),0.0)</f>
        <v>0</v>
      </c>
      <c r="F2909" s="139" t="str">
        <f>IFERROR(__xludf.DUMMYFUNCTION("""COMPUTED_VALUE"""),"Normal")</f>
        <v>Normal</v>
      </c>
      <c r="G2909" s="139"/>
      <c r="H2909" s="139"/>
      <c r="I2909" s="139">
        <f>IFERROR(__xludf.DUMMYFUNCTION("""COMPUTED_VALUE"""),74.0)</f>
        <v>74</v>
      </c>
      <c r="J2909" s="139">
        <f>IFERROR(__xludf.DUMMYFUNCTION("""COMPUTED_VALUE"""),8.0)</f>
        <v>8</v>
      </c>
      <c r="K2909" s="139">
        <f>IFERROR(__xludf.DUMMYFUNCTION("""COMPUTED_VALUE"""),60.0)</f>
        <v>60</v>
      </c>
      <c r="L2909" s="139"/>
      <c r="M2909" s="139"/>
      <c r="N2909" s="139"/>
    </row>
    <row r="2910">
      <c r="A2910" s="139" t="str">
        <f>IFERROR(__xludf.DUMMYFUNCTION("""COMPUTED_VALUE"""),"e")</f>
        <v>e</v>
      </c>
      <c r="B2910" s="139">
        <f>IFERROR(__xludf.DUMMYFUNCTION("""COMPUTED_VALUE"""),2.0260301E8)</f>
        <v>202603010</v>
      </c>
      <c r="C2910" s="139" t="str">
        <f>IFERROR(__xludf.DUMMYFUNCTION("""COMPUTED_VALUE"""),"c_hut_00001_hut1_1d1c_Normal_Colorless_Special_00001")</f>
        <v>c_hut_00001_hut1_1d1c_Normal_Colorless_Special_00001</v>
      </c>
      <c r="D2910" s="139" t="str">
        <f>IFERROR(__xludf.DUMMYFUNCTION("""COMPUTED_VALUE"""),"c_hut_00001_hut1_1d1c_Normal_Colorless")</f>
        <v>c_hut_00001_hut1_1d1c_Normal_Colorless</v>
      </c>
      <c r="E2910" s="139">
        <f>IFERROR(__xludf.DUMMYFUNCTION("""COMPUTED_VALUE"""),0.0)</f>
        <v>0</v>
      </c>
      <c r="F2910" s="139" t="str">
        <f>IFERROR(__xludf.DUMMYFUNCTION("""COMPUTED_VALUE"""),"Special")</f>
        <v>Special</v>
      </c>
      <c r="G2910" s="139"/>
      <c r="H2910" s="139"/>
      <c r="I2910" s="139">
        <f>IFERROR(__xludf.DUMMYFUNCTION("""COMPUTED_VALUE"""),140.0)</f>
        <v>140</v>
      </c>
      <c r="J2910" s="139">
        <f>IFERROR(__xludf.DUMMYFUNCTION("""COMPUTED_VALUE"""),0.0)</f>
        <v>0</v>
      </c>
      <c r="K2910" s="139">
        <f>IFERROR(__xludf.DUMMYFUNCTION("""COMPUTED_VALUE"""),0.0)</f>
        <v>0</v>
      </c>
      <c r="L2910" s="139"/>
      <c r="M2910" s="139"/>
      <c r="N2910" s="139"/>
    </row>
    <row r="2911">
      <c r="A2911" s="139" t="str">
        <f>IFERROR(__xludf.DUMMYFUNCTION("""COMPUTED_VALUE"""),"e")</f>
        <v>e</v>
      </c>
      <c r="B2911" s="139">
        <f>IFERROR(__xludf.DUMMYFUNCTION("""COMPUTED_VALUE"""),2.0260301E8)</f>
        <v>202603010</v>
      </c>
      <c r="C2911" s="139" t="str">
        <f>IFERROR(__xludf.DUMMYFUNCTION("""COMPUTED_VALUE"""),"e_hut_00001_hut1_1d1c_Normal_Colorless_Normal_00000")</f>
        <v>e_hut_00001_hut1_1d1c_Normal_Colorless_Normal_00000</v>
      </c>
      <c r="D2911" s="139" t="str">
        <f>IFERROR(__xludf.DUMMYFUNCTION("""COMPUTED_VALUE"""),"e_hut_00001_hut1_1d1c_Normal_Colorless")</f>
        <v>e_hut_00001_hut1_1d1c_Normal_Colorless</v>
      </c>
      <c r="E2911" s="139">
        <f>IFERROR(__xludf.DUMMYFUNCTION("""COMPUTED_VALUE"""),0.0)</f>
        <v>0</v>
      </c>
      <c r="F2911" s="139" t="str">
        <f>IFERROR(__xludf.DUMMYFUNCTION("""COMPUTED_VALUE"""),"Normal")</f>
        <v>Normal</v>
      </c>
      <c r="G2911" s="139"/>
      <c r="H2911" s="139"/>
      <c r="I2911" s="139">
        <f>IFERROR(__xludf.DUMMYFUNCTION("""COMPUTED_VALUE"""),69.0)</f>
        <v>69</v>
      </c>
      <c r="J2911" s="139">
        <f>IFERROR(__xludf.DUMMYFUNCTION("""COMPUTED_VALUE"""),26.0)</f>
        <v>26</v>
      </c>
      <c r="K2911" s="139">
        <f>IFERROR(__xludf.DUMMYFUNCTION("""COMPUTED_VALUE"""),70.0)</f>
        <v>70</v>
      </c>
      <c r="L2911" s="139"/>
      <c r="M2911" s="139"/>
      <c r="N2911" s="139"/>
    </row>
    <row r="2912">
      <c r="A2912" s="139" t="str">
        <f>IFERROR(__xludf.DUMMYFUNCTION("""COMPUTED_VALUE"""),"e")</f>
        <v>e</v>
      </c>
      <c r="B2912" s="139">
        <f>IFERROR(__xludf.DUMMYFUNCTION("""COMPUTED_VALUE"""),2.0260301E8)</f>
        <v>202603010</v>
      </c>
      <c r="C2912" s="139" t="str">
        <f>IFERROR(__xludf.DUMMYFUNCTION("""COMPUTED_VALUE"""),"c_hut_00001_hut1_charaget01_Normal_Colorless_Normal_00000")</f>
        <v>c_hut_00001_hut1_charaget01_Normal_Colorless_Normal_00000</v>
      </c>
      <c r="D2912" s="139" t="str">
        <f>IFERROR(__xludf.DUMMYFUNCTION("""COMPUTED_VALUE"""),"c_hut_00001_hut1_charaget01_Normal_Colorless")</f>
        <v>c_hut_00001_hut1_charaget01_Normal_Colorless</v>
      </c>
      <c r="E2912" s="139">
        <f>IFERROR(__xludf.DUMMYFUNCTION("""COMPUTED_VALUE"""),0.0)</f>
        <v>0</v>
      </c>
      <c r="F2912" s="139" t="str">
        <f>IFERROR(__xludf.DUMMYFUNCTION("""COMPUTED_VALUE"""),"Normal")</f>
        <v>Normal</v>
      </c>
      <c r="G2912" s="139"/>
      <c r="H2912" s="139"/>
      <c r="I2912" s="139">
        <f>IFERROR(__xludf.DUMMYFUNCTION("""COMPUTED_VALUE"""),74.0)</f>
        <v>74</v>
      </c>
      <c r="J2912" s="139">
        <f>IFERROR(__xludf.DUMMYFUNCTION("""COMPUTED_VALUE"""),8.0)</f>
        <v>8</v>
      </c>
      <c r="K2912" s="139">
        <f>IFERROR(__xludf.DUMMYFUNCTION("""COMPUTED_VALUE"""),60.0)</f>
        <v>60</v>
      </c>
      <c r="L2912" s="139"/>
      <c r="M2912" s="139"/>
      <c r="N2912" s="139"/>
    </row>
    <row r="2913">
      <c r="A2913" s="139" t="str">
        <f>IFERROR(__xludf.DUMMYFUNCTION("""COMPUTED_VALUE"""),"e")</f>
        <v>e</v>
      </c>
      <c r="B2913" s="139">
        <f>IFERROR(__xludf.DUMMYFUNCTION("""COMPUTED_VALUE"""),2.0260301E8)</f>
        <v>202603010</v>
      </c>
      <c r="C2913" s="139" t="str">
        <f>IFERROR(__xludf.DUMMYFUNCTION("""COMPUTED_VALUE"""),"c_hut_00001_hut1_charaget01_Normal_Colorless_Special_00001")</f>
        <v>c_hut_00001_hut1_charaget01_Normal_Colorless_Special_00001</v>
      </c>
      <c r="D2913" s="139" t="str">
        <f>IFERROR(__xludf.DUMMYFUNCTION("""COMPUTED_VALUE"""),"c_hut_00001_hut1_charaget01_Normal_Colorless")</f>
        <v>c_hut_00001_hut1_charaget01_Normal_Colorless</v>
      </c>
      <c r="E2913" s="139">
        <f>IFERROR(__xludf.DUMMYFUNCTION("""COMPUTED_VALUE"""),0.0)</f>
        <v>0</v>
      </c>
      <c r="F2913" s="139" t="str">
        <f>IFERROR(__xludf.DUMMYFUNCTION("""COMPUTED_VALUE"""),"Special")</f>
        <v>Special</v>
      </c>
      <c r="G2913" s="139"/>
      <c r="H2913" s="139"/>
      <c r="I2913" s="139">
        <f>IFERROR(__xludf.DUMMYFUNCTION("""COMPUTED_VALUE"""),140.0)</f>
        <v>140</v>
      </c>
      <c r="J2913" s="139">
        <f>IFERROR(__xludf.DUMMYFUNCTION("""COMPUTED_VALUE"""),0.0)</f>
        <v>0</v>
      </c>
      <c r="K2913" s="139">
        <f>IFERROR(__xludf.DUMMYFUNCTION("""COMPUTED_VALUE"""),0.0)</f>
        <v>0</v>
      </c>
      <c r="L2913" s="139"/>
      <c r="M2913" s="139"/>
      <c r="N2913" s="139"/>
    </row>
    <row r="2914">
      <c r="A2914" s="139" t="str">
        <f>IFERROR(__xludf.DUMMYFUNCTION("""COMPUTED_VALUE"""),"e")</f>
        <v>e</v>
      </c>
      <c r="B2914" s="139">
        <f>IFERROR(__xludf.DUMMYFUNCTION("""COMPUTED_VALUE"""),2.0260301E8)</f>
        <v>202603010</v>
      </c>
      <c r="C2914" s="139" t="str">
        <f>IFERROR(__xludf.DUMMYFUNCTION("""COMPUTED_VALUE"""),"e_glo_00001_hut1_charaget01_Normal_Blue_Normal_00000")</f>
        <v>e_glo_00001_hut1_charaget01_Normal_Blue_Normal_00000</v>
      </c>
      <c r="D2914" s="139" t="str">
        <f>IFERROR(__xludf.DUMMYFUNCTION("""COMPUTED_VALUE"""),"e_glo_00001_hut1_charaget01_Normal_Blue")</f>
        <v>e_glo_00001_hut1_charaget01_Normal_Blue</v>
      </c>
      <c r="E2914" s="139">
        <f>IFERROR(__xludf.DUMMYFUNCTION("""COMPUTED_VALUE"""),0.0)</f>
        <v>0</v>
      </c>
      <c r="F2914" s="139" t="str">
        <f>IFERROR(__xludf.DUMMYFUNCTION("""COMPUTED_VALUE"""),"Normal")</f>
        <v>Normal</v>
      </c>
      <c r="G2914" s="139"/>
      <c r="H2914" s="139"/>
      <c r="I2914" s="139">
        <f>IFERROR(__xludf.DUMMYFUNCTION("""COMPUTED_VALUE"""),50.0)</f>
        <v>50</v>
      </c>
      <c r="J2914" s="139">
        <f>IFERROR(__xludf.DUMMYFUNCTION("""COMPUTED_VALUE"""),25.0)</f>
        <v>25</v>
      </c>
      <c r="K2914" s="139">
        <f>IFERROR(__xludf.DUMMYFUNCTION("""COMPUTED_VALUE"""),30.0)</f>
        <v>30</v>
      </c>
      <c r="L2914" s="139"/>
      <c r="M2914" s="139"/>
      <c r="N2914" s="139"/>
    </row>
    <row r="2915">
      <c r="A2915" s="139" t="str">
        <f>IFERROR(__xludf.DUMMYFUNCTION("""COMPUTED_VALUE"""),"e")</f>
        <v>e</v>
      </c>
      <c r="B2915" s="139">
        <f>IFERROR(__xludf.DUMMYFUNCTION("""COMPUTED_VALUE"""),2.0260301E8)</f>
        <v>202603010</v>
      </c>
      <c r="C2915" s="139" t="str">
        <f>IFERROR(__xludf.DUMMYFUNCTION("""COMPUTED_VALUE"""),"c_hut_00101_hut1_charaget01_Boss_Colorless_Normal_00000")</f>
        <v>c_hut_00101_hut1_charaget01_Boss_Colorless_Normal_00000</v>
      </c>
      <c r="D2915" s="139" t="str">
        <f>IFERROR(__xludf.DUMMYFUNCTION("""COMPUTED_VALUE"""),"c_hut_00101_hut1_charaget01_Boss_Colorless")</f>
        <v>c_hut_00101_hut1_charaget01_Boss_Colorless</v>
      </c>
      <c r="E2915" s="139">
        <f>IFERROR(__xludf.DUMMYFUNCTION("""COMPUTED_VALUE"""),0.0)</f>
        <v>0</v>
      </c>
      <c r="F2915" s="139" t="str">
        <f>IFERROR(__xludf.DUMMYFUNCTION("""COMPUTED_VALUE"""),"Normal")</f>
        <v>Normal</v>
      </c>
      <c r="G2915" s="139"/>
      <c r="H2915" s="139"/>
      <c r="I2915" s="139">
        <f>IFERROR(__xludf.DUMMYFUNCTION("""COMPUTED_VALUE"""),79.0)</f>
        <v>79</v>
      </c>
      <c r="J2915" s="139">
        <f>IFERROR(__xludf.DUMMYFUNCTION("""COMPUTED_VALUE"""),38.0)</f>
        <v>38</v>
      </c>
      <c r="K2915" s="139">
        <f>IFERROR(__xludf.DUMMYFUNCTION("""COMPUTED_VALUE"""),60.0)</f>
        <v>60</v>
      </c>
      <c r="L2915" s="139"/>
      <c r="M2915" s="139"/>
      <c r="N2915" s="139"/>
    </row>
    <row r="2916">
      <c r="A2916" s="139" t="str">
        <f>IFERROR(__xludf.DUMMYFUNCTION("""COMPUTED_VALUE"""),"e")</f>
        <v>e</v>
      </c>
      <c r="B2916" s="139">
        <f>IFERROR(__xludf.DUMMYFUNCTION("""COMPUTED_VALUE"""),2.0260301E8)</f>
        <v>202603010</v>
      </c>
      <c r="C2916" s="139" t="str">
        <f>IFERROR(__xludf.DUMMYFUNCTION("""COMPUTED_VALUE"""),"c_hut_00101_hut1_charaget01_Boss_Colorless_Special_00001")</f>
        <v>c_hut_00101_hut1_charaget01_Boss_Colorless_Special_00001</v>
      </c>
      <c r="D2916" s="139" t="str">
        <f>IFERROR(__xludf.DUMMYFUNCTION("""COMPUTED_VALUE"""),"c_hut_00101_hut1_charaget01_Boss_Colorless")</f>
        <v>c_hut_00101_hut1_charaget01_Boss_Colorless</v>
      </c>
      <c r="E2916" s="139">
        <f>IFERROR(__xludf.DUMMYFUNCTION("""COMPUTED_VALUE"""),0.0)</f>
        <v>0</v>
      </c>
      <c r="F2916" s="139" t="str">
        <f>IFERROR(__xludf.DUMMYFUNCTION("""COMPUTED_VALUE"""),"Special")</f>
        <v>Special</v>
      </c>
      <c r="G2916" s="139"/>
      <c r="H2916" s="139"/>
      <c r="I2916" s="139">
        <f>IFERROR(__xludf.DUMMYFUNCTION("""COMPUTED_VALUE"""),129.0)</f>
        <v>129</v>
      </c>
      <c r="J2916" s="139">
        <f>IFERROR(__xludf.DUMMYFUNCTION("""COMPUTED_VALUE"""),0.0)</f>
        <v>0</v>
      </c>
      <c r="K2916" s="139">
        <f>IFERROR(__xludf.DUMMYFUNCTION("""COMPUTED_VALUE"""),0.0)</f>
        <v>0</v>
      </c>
      <c r="L2916" s="139"/>
      <c r="M2916" s="139"/>
      <c r="N2916" s="139"/>
    </row>
    <row r="2917">
      <c r="A2917" s="139" t="str">
        <f>IFERROR(__xludf.DUMMYFUNCTION("""COMPUTED_VALUE"""),"e")</f>
        <v>e</v>
      </c>
      <c r="B2917" s="139">
        <f>IFERROR(__xludf.DUMMYFUNCTION("""COMPUTED_VALUE"""),2.0260301E8)</f>
        <v>202603010</v>
      </c>
      <c r="C2917" s="139" t="str">
        <f>IFERROR(__xludf.DUMMYFUNCTION("""COMPUTED_VALUE"""),"c_hut_00101_hut1_charaget01_Boss_Colorless_Appearance_00002")</f>
        <v>c_hut_00101_hut1_charaget01_Boss_Colorless_Appearance_00002</v>
      </c>
      <c r="D2917" s="139" t="str">
        <f>IFERROR(__xludf.DUMMYFUNCTION("""COMPUTED_VALUE"""),"c_hut_00101_hut1_charaget01_Boss_Colorless")</f>
        <v>c_hut_00101_hut1_charaget01_Boss_Colorless</v>
      </c>
      <c r="E2917" s="139">
        <f>IFERROR(__xludf.DUMMYFUNCTION("""COMPUTED_VALUE"""),0.0)</f>
        <v>0</v>
      </c>
      <c r="F2917" s="139" t="str">
        <f>IFERROR(__xludf.DUMMYFUNCTION("""COMPUTED_VALUE"""),"Appearance")</f>
        <v>Appearance</v>
      </c>
      <c r="G2917" s="139"/>
      <c r="H2917" s="139"/>
      <c r="I2917" s="139">
        <f>IFERROR(__xludf.DUMMYFUNCTION("""COMPUTED_VALUE"""),50.0)</f>
        <v>50</v>
      </c>
      <c r="J2917" s="139">
        <f>IFERROR(__xludf.DUMMYFUNCTION("""COMPUTED_VALUE"""),0.0)</f>
        <v>0</v>
      </c>
      <c r="K2917" s="139">
        <f>IFERROR(__xludf.DUMMYFUNCTION("""COMPUTED_VALUE"""),0.0)</f>
        <v>0</v>
      </c>
      <c r="L2917" s="139"/>
      <c r="M2917" s="139"/>
      <c r="N2917" s="139"/>
    </row>
    <row r="2918">
      <c r="A2918" s="139" t="str">
        <f>IFERROR(__xludf.DUMMYFUNCTION("""COMPUTED_VALUE"""),"e")</f>
        <v>e</v>
      </c>
      <c r="B2918" s="139">
        <f>IFERROR(__xludf.DUMMYFUNCTION("""COMPUTED_VALUE"""),2.0260301E8)</f>
        <v>202603010</v>
      </c>
      <c r="C2918" s="139" t="str">
        <f>IFERROR(__xludf.DUMMYFUNCTION("""COMPUTED_VALUE"""),"c_hut_00201_hut1_charaget01_Boss_Colorless_Normal_00000")</f>
        <v>c_hut_00201_hut1_charaget01_Boss_Colorless_Normal_00000</v>
      </c>
      <c r="D2918" s="139" t="str">
        <f>IFERROR(__xludf.DUMMYFUNCTION("""COMPUTED_VALUE"""),"c_hut_00201_hut1_charaget01_Boss_Colorless")</f>
        <v>c_hut_00201_hut1_charaget01_Boss_Colorless</v>
      </c>
      <c r="E2918" s="139">
        <f>IFERROR(__xludf.DUMMYFUNCTION("""COMPUTED_VALUE"""),0.0)</f>
        <v>0</v>
      </c>
      <c r="F2918" s="139" t="str">
        <f>IFERROR(__xludf.DUMMYFUNCTION("""COMPUTED_VALUE"""),"Normal")</f>
        <v>Normal</v>
      </c>
      <c r="G2918" s="139"/>
      <c r="H2918" s="139"/>
      <c r="I2918" s="139">
        <f>IFERROR(__xludf.DUMMYFUNCTION("""COMPUTED_VALUE"""),60.0)</f>
        <v>60</v>
      </c>
      <c r="J2918" s="139">
        <f>IFERROR(__xludf.DUMMYFUNCTION("""COMPUTED_VALUE"""),17.0)</f>
        <v>17</v>
      </c>
      <c r="K2918" s="139">
        <f>IFERROR(__xludf.DUMMYFUNCTION("""COMPUTED_VALUE"""),60.0)</f>
        <v>60</v>
      </c>
      <c r="L2918" s="139"/>
      <c r="M2918" s="139"/>
      <c r="N2918" s="139"/>
    </row>
    <row r="2919">
      <c r="A2919" s="139" t="str">
        <f>IFERROR(__xludf.DUMMYFUNCTION("""COMPUTED_VALUE"""),"e")</f>
        <v>e</v>
      </c>
      <c r="B2919" s="139">
        <f>IFERROR(__xludf.DUMMYFUNCTION("""COMPUTED_VALUE"""),2.0260301E8)</f>
        <v>202603010</v>
      </c>
      <c r="C2919" s="139" t="str">
        <f>IFERROR(__xludf.DUMMYFUNCTION("""COMPUTED_VALUE"""),"c_hut_00201_hut1_charaget01_Boss_Colorless_Special_00001")</f>
        <v>c_hut_00201_hut1_charaget01_Boss_Colorless_Special_00001</v>
      </c>
      <c r="D2919" s="139" t="str">
        <f>IFERROR(__xludf.DUMMYFUNCTION("""COMPUTED_VALUE"""),"c_hut_00201_hut1_charaget01_Boss_Colorless")</f>
        <v>c_hut_00201_hut1_charaget01_Boss_Colorless</v>
      </c>
      <c r="E2919" s="139">
        <f>IFERROR(__xludf.DUMMYFUNCTION("""COMPUTED_VALUE"""),0.0)</f>
        <v>0</v>
      </c>
      <c r="F2919" s="139" t="str">
        <f>IFERROR(__xludf.DUMMYFUNCTION("""COMPUTED_VALUE"""),"Special")</f>
        <v>Special</v>
      </c>
      <c r="G2919" s="139"/>
      <c r="H2919" s="139"/>
      <c r="I2919" s="139">
        <f>IFERROR(__xludf.DUMMYFUNCTION("""COMPUTED_VALUE"""),142.0)</f>
        <v>142</v>
      </c>
      <c r="J2919" s="139">
        <f>IFERROR(__xludf.DUMMYFUNCTION("""COMPUTED_VALUE"""),0.0)</f>
        <v>0</v>
      </c>
      <c r="K2919" s="139">
        <f>IFERROR(__xludf.DUMMYFUNCTION("""COMPUTED_VALUE"""),0.0)</f>
        <v>0</v>
      </c>
      <c r="L2919" s="139"/>
      <c r="M2919" s="139"/>
      <c r="N2919" s="139"/>
    </row>
    <row r="2920">
      <c r="A2920" s="139" t="str">
        <f>IFERROR(__xludf.DUMMYFUNCTION("""COMPUTED_VALUE"""),"e")</f>
        <v>e</v>
      </c>
      <c r="B2920" s="139">
        <f>IFERROR(__xludf.DUMMYFUNCTION("""COMPUTED_VALUE"""),2.0260301E8)</f>
        <v>202603010</v>
      </c>
      <c r="C2920" s="139" t="str">
        <f>IFERROR(__xludf.DUMMYFUNCTION("""COMPUTED_VALUE"""),"c_hut_00201_hut1_charaget01_Boss_Colorless_Appearance_00002")</f>
        <v>c_hut_00201_hut1_charaget01_Boss_Colorless_Appearance_00002</v>
      </c>
      <c r="D2920" s="139" t="str">
        <f>IFERROR(__xludf.DUMMYFUNCTION("""COMPUTED_VALUE"""),"c_hut_00201_hut1_charaget01_Boss_Colorless")</f>
        <v>c_hut_00201_hut1_charaget01_Boss_Colorless</v>
      </c>
      <c r="E2920" s="139">
        <f>IFERROR(__xludf.DUMMYFUNCTION("""COMPUTED_VALUE"""),0.0)</f>
        <v>0</v>
      </c>
      <c r="F2920" s="139" t="str">
        <f>IFERROR(__xludf.DUMMYFUNCTION("""COMPUTED_VALUE"""),"Appearance")</f>
        <v>Appearance</v>
      </c>
      <c r="G2920" s="139"/>
      <c r="H2920" s="139"/>
      <c r="I2920" s="139">
        <f>IFERROR(__xludf.DUMMYFUNCTION("""COMPUTED_VALUE"""),50.0)</f>
        <v>50</v>
      </c>
      <c r="J2920" s="139">
        <f>IFERROR(__xludf.DUMMYFUNCTION("""COMPUTED_VALUE"""),0.0)</f>
        <v>0</v>
      </c>
      <c r="K2920" s="139">
        <f>IFERROR(__xludf.DUMMYFUNCTION("""COMPUTED_VALUE"""),0.0)</f>
        <v>0</v>
      </c>
      <c r="L2920" s="139"/>
      <c r="M2920" s="139"/>
      <c r="N2920" s="139"/>
    </row>
    <row r="2921">
      <c r="A2921" s="139" t="str">
        <f>IFERROR(__xludf.DUMMYFUNCTION("""COMPUTED_VALUE"""),"e")</f>
        <v>e</v>
      </c>
      <c r="B2921" s="139">
        <f>IFERROR(__xludf.DUMMYFUNCTION("""COMPUTED_VALUE"""),2.0260301E8)</f>
        <v>202603010</v>
      </c>
      <c r="C2921" s="139" t="str">
        <f>IFERROR(__xludf.DUMMYFUNCTION("""COMPUTED_VALUE"""),"c_hut_00301_hut1_charaget01_Boss_Colorless_Normal_00000")</f>
        <v>c_hut_00301_hut1_charaget01_Boss_Colorless_Normal_00000</v>
      </c>
      <c r="D2921" s="139" t="str">
        <f>IFERROR(__xludf.DUMMYFUNCTION("""COMPUTED_VALUE"""),"c_hut_00301_hut1_charaget01_Boss_Colorless")</f>
        <v>c_hut_00301_hut1_charaget01_Boss_Colorless</v>
      </c>
      <c r="E2921" s="139">
        <f>IFERROR(__xludf.DUMMYFUNCTION("""COMPUTED_VALUE"""),0.0)</f>
        <v>0</v>
      </c>
      <c r="F2921" s="139" t="str">
        <f>IFERROR(__xludf.DUMMYFUNCTION("""COMPUTED_VALUE"""),"Normal")</f>
        <v>Normal</v>
      </c>
      <c r="G2921" s="139"/>
      <c r="H2921" s="139"/>
      <c r="I2921" s="139">
        <f>IFERROR(__xludf.DUMMYFUNCTION("""COMPUTED_VALUE"""),67.0)</f>
        <v>67</v>
      </c>
      <c r="J2921" s="139">
        <f>IFERROR(__xludf.DUMMYFUNCTION("""COMPUTED_VALUE"""),17.0)</f>
        <v>17</v>
      </c>
      <c r="K2921" s="139">
        <f>IFERROR(__xludf.DUMMYFUNCTION("""COMPUTED_VALUE"""),60.0)</f>
        <v>60</v>
      </c>
      <c r="L2921" s="139"/>
      <c r="M2921" s="139"/>
      <c r="N2921" s="139"/>
    </row>
    <row r="2922">
      <c r="A2922" s="139" t="str">
        <f>IFERROR(__xludf.DUMMYFUNCTION("""COMPUTED_VALUE"""),"e")</f>
        <v>e</v>
      </c>
      <c r="B2922" s="139">
        <f>IFERROR(__xludf.DUMMYFUNCTION("""COMPUTED_VALUE"""),2.0260301E8)</f>
        <v>202603010</v>
      </c>
      <c r="C2922" s="139" t="str">
        <f>IFERROR(__xludf.DUMMYFUNCTION("""COMPUTED_VALUE"""),"c_hut_00301_hut1_charaget01_Boss_Colorless_Special_00001")</f>
        <v>c_hut_00301_hut1_charaget01_Boss_Colorless_Special_00001</v>
      </c>
      <c r="D2922" s="139" t="str">
        <f>IFERROR(__xludf.DUMMYFUNCTION("""COMPUTED_VALUE"""),"c_hut_00301_hut1_charaget01_Boss_Colorless")</f>
        <v>c_hut_00301_hut1_charaget01_Boss_Colorless</v>
      </c>
      <c r="E2922" s="139">
        <f>IFERROR(__xludf.DUMMYFUNCTION("""COMPUTED_VALUE"""),0.0)</f>
        <v>0</v>
      </c>
      <c r="F2922" s="139" t="str">
        <f>IFERROR(__xludf.DUMMYFUNCTION("""COMPUTED_VALUE"""),"Special")</f>
        <v>Special</v>
      </c>
      <c r="G2922" s="139"/>
      <c r="H2922" s="139"/>
      <c r="I2922" s="139">
        <f>IFERROR(__xludf.DUMMYFUNCTION("""COMPUTED_VALUE"""),121.0)</f>
        <v>121</v>
      </c>
      <c r="J2922" s="139">
        <f>IFERROR(__xludf.DUMMYFUNCTION("""COMPUTED_VALUE"""),0.0)</f>
        <v>0</v>
      </c>
      <c r="K2922" s="139">
        <f>IFERROR(__xludf.DUMMYFUNCTION("""COMPUTED_VALUE"""),0.0)</f>
        <v>0</v>
      </c>
      <c r="L2922" s="139"/>
      <c r="M2922" s="139"/>
      <c r="N2922" s="139"/>
    </row>
    <row r="2923">
      <c r="A2923" s="139" t="str">
        <f>IFERROR(__xludf.DUMMYFUNCTION("""COMPUTED_VALUE"""),"e")</f>
        <v>e</v>
      </c>
      <c r="B2923" s="139">
        <f>IFERROR(__xludf.DUMMYFUNCTION("""COMPUTED_VALUE"""),2.0260301E8)</f>
        <v>202603010</v>
      </c>
      <c r="C2923" s="139" t="str">
        <f>IFERROR(__xludf.DUMMYFUNCTION("""COMPUTED_VALUE"""),"c_hut_00301_hut1_charaget01_Boss_Colorless_Appearance_00002")</f>
        <v>c_hut_00301_hut1_charaget01_Boss_Colorless_Appearance_00002</v>
      </c>
      <c r="D2923" s="139" t="str">
        <f>IFERROR(__xludf.DUMMYFUNCTION("""COMPUTED_VALUE"""),"c_hut_00301_hut1_charaget01_Boss_Colorless")</f>
        <v>c_hut_00301_hut1_charaget01_Boss_Colorless</v>
      </c>
      <c r="E2923" s="139">
        <f>IFERROR(__xludf.DUMMYFUNCTION("""COMPUTED_VALUE"""),0.0)</f>
        <v>0</v>
      </c>
      <c r="F2923" s="139" t="str">
        <f>IFERROR(__xludf.DUMMYFUNCTION("""COMPUTED_VALUE"""),"Appearance")</f>
        <v>Appearance</v>
      </c>
      <c r="G2923" s="139"/>
      <c r="H2923" s="139"/>
      <c r="I2923" s="139">
        <f>IFERROR(__xludf.DUMMYFUNCTION("""COMPUTED_VALUE"""),50.0)</f>
        <v>50</v>
      </c>
      <c r="J2923" s="139">
        <f>IFERROR(__xludf.DUMMYFUNCTION("""COMPUTED_VALUE"""),0.0)</f>
        <v>0</v>
      </c>
      <c r="K2923" s="139">
        <f>IFERROR(__xludf.DUMMYFUNCTION("""COMPUTED_VALUE"""),0.0)</f>
        <v>0</v>
      </c>
      <c r="L2923" s="139"/>
      <c r="M2923" s="139"/>
      <c r="N2923" s="139"/>
    </row>
    <row r="2924">
      <c r="A2924" s="139" t="str">
        <f>IFERROR(__xludf.DUMMYFUNCTION("""COMPUTED_VALUE"""),"e")</f>
        <v>e</v>
      </c>
      <c r="B2924" s="139">
        <f>IFERROR(__xludf.DUMMYFUNCTION("""COMPUTED_VALUE"""),2.0260301E8)</f>
        <v>202603010</v>
      </c>
      <c r="C2924" s="139" t="str">
        <f>IFERROR(__xludf.DUMMYFUNCTION("""COMPUTED_VALUE"""),"c_hut_00101_hut1_charaget02_Normal_Yellow_Normal_00000")</f>
        <v>c_hut_00101_hut1_charaget02_Normal_Yellow_Normal_00000</v>
      </c>
      <c r="D2924" s="139" t="str">
        <f>IFERROR(__xludf.DUMMYFUNCTION("""COMPUTED_VALUE"""),"c_hut_00101_hut1_charaget02_Normal_Yellow")</f>
        <v>c_hut_00101_hut1_charaget02_Normal_Yellow</v>
      </c>
      <c r="E2924" s="139">
        <f>IFERROR(__xludf.DUMMYFUNCTION("""COMPUTED_VALUE"""),0.0)</f>
        <v>0</v>
      </c>
      <c r="F2924" s="139" t="str">
        <f>IFERROR(__xludf.DUMMYFUNCTION("""COMPUTED_VALUE"""),"Normal")</f>
        <v>Normal</v>
      </c>
      <c r="G2924" s="139"/>
      <c r="H2924" s="139"/>
      <c r="I2924" s="139">
        <f>IFERROR(__xludf.DUMMYFUNCTION("""COMPUTED_VALUE"""),79.0)</f>
        <v>79</v>
      </c>
      <c r="J2924" s="139">
        <f>IFERROR(__xludf.DUMMYFUNCTION("""COMPUTED_VALUE"""),38.0)</f>
        <v>38</v>
      </c>
      <c r="K2924" s="139">
        <f>IFERROR(__xludf.DUMMYFUNCTION("""COMPUTED_VALUE"""),60.0)</f>
        <v>60</v>
      </c>
      <c r="L2924" s="139"/>
      <c r="M2924" s="139"/>
      <c r="N2924" s="139"/>
    </row>
    <row r="2925">
      <c r="A2925" s="139" t="str">
        <f>IFERROR(__xludf.DUMMYFUNCTION("""COMPUTED_VALUE"""),"e")</f>
        <v>e</v>
      </c>
      <c r="B2925" s="139">
        <f>IFERROR(__xludf.DUMMYFUNCTION("""COMPUTED_VALUE"""),2.0260301E8)</f>
        <v>202603010</v>
      </c>
      <c r="C2925" s="139" t="str">
        <f>IFERROR(__xludf.DUMMYFUNCTION("""COMPUTED_VALUE"""),"c_hut_00101_hut1_charaget02_Normal_Yellow_Special_00001")</f>
        <v>c_hut_00101_hut1_charaget02_Normal_Yellow_Special_00001</v>
      </c>
      <c r="D2925" s="139" t="str">
        <f>IFERROR(__xludf.DUMMYFUNCTION("""COMPUTED_VALUE"""),"c_hut_00101_hut1_charaget02_Normal_Yellow")</f>
        <v>c_hut_00101_hut1_charaget02_Normal_Yellow</v>
      </c>
      <c r="E2925" s="139">
        <f>IFERROR(__xludf.DUMMYFUNCTION("""COMPUTED_VALUE"""),0.0)</f>
        <v>0</v>
      </c>
      <c r="F2925" s="139" t="str">
        <f>IFERROR(__xludf.DUMMYFUNCTION("""COMPUTED_VALUE"""),"Special")</f>
        <v>Special</v>
      </c>
      <c r="G2925" s="139"/>
      <c r="H2925" s="139"/>
      <c r="I2925" s="139">
        <f>IFERROR(__xludf.DUMMYFUNCTION("""COMPUTED_VALUE"""),129.0)</f>
        <v>129</v>
      </c>
      <c r="J2925" s="139">
        <f>IFERROR(__xludf.DUMMYFUNCTION("""COMPUTED_VALUE"""),0.0)</f>
        <v>0</v>
      </c>
      <c r="K2925" s="139">
        <f>IFERROR(__xludf.DUMMYFUNCTION("""COMPUTED_VALUE"""),0.0)</f>
        <v>0</v>
      </c>
      <c r="L2925" s="139"/>
      <c r="M2925" s="139"/>
      <c r="N2925" s="139"/>
    </row>
    <row r="2926">
      <c r="A2926" s="139" t="str">
        <f>IFERROR(__xludf.DUMMYFUNCTION("""COMPUTED_VALUE"""),"e")</f>
        <v>e</v>
      </c>
      <c r="B2926" s="139">
        <f>IFERROR(__xludf.DUMMYFUNCTION("""COMPUTED_VALUE"""),2.0260301E8)</f>
        <v>202603010</v>
      </c>
      <c r="C2926" s="139" t="str">
        <f>IFERROR(__xludf.DUMMYFUNCTION("""COMPUTED_VALUE"""),"c_hut_00101_hut1_charaget02_Normal_Yellow_Appearance_00002")</f>
        <v>c_hut_00101_hut1_charaget02_Normal_Yellow_Appearance_00002</v>
      </c>
      <c r="D2926" s="139" t="str">
        <f>IFERROR(__xludf.DUMMYFUNCTION("""COMPUTED_VALUE"""),"c_hut_00101_hut1_charaget02_Normal_Yellow")</f>
        <v>c_hut_00101_hut1_charaget02_Normal_Yellow</v>
      </c>
      <c r="E2926" s="139">
        <f>IFERROR(__xludf.DUMMYFUNCTION("""COMPUTED_VALUE"""),0.0)</f>
        <v>0</v>
      </c>
      <c r="F2926" s="139" t="str">
        <f>IFERROR(__xludf.DUMMYFUNCTION("""COMPUTED_VALUE"""),"Appearance")</f>
        <v>Appearance</v>
      </c>
      <c r="G2926" s="139"/>
      <c r="H2926" s="139"/>
      <c r="I2926" s="139">
        <f>IFERROR(__xludf.DUMMYFUNCTION("""COMPUTED_VALUE"""),50.0)</f>
        <v>50</v>
      </c>
      <c r="J2926" s="139">
        <f>IFERROR(__xludf.DUMMYFUNCTION("""COMPUTED_VALUE"""),0.0)</f>
        <v>0</v>
      </c>
      <c r="K2926" s="139">
        <f>IFERROR(__xludf.DUMMYFUNCTION("""COMPUTED_VALUE"""),0.0)</f>
        <v>0</v>
      </c>
      <c r="L2926" s="139"/>
      <c r="M2926" s="139"/>
      <c r="N2926" s="139"/>
    </row>
    <row r="2927">
      <c r="A2927" s="139" t="str">
        <f>IFERROR(__xludf.DUMMYFUNCTION("""COMPUTED_VALUE"""),"e")</f>
        <v>e</v>
      </c>
      <c r="B2927" s="139">
        <f>IFERROR(__xludf.DUMMYFUNCTION("""COMPUTED_VALUE"""),2.0260301E8)</f>
        <v>202603010</v>
      </c>
      <c r="C2927" s="139" t="str">
        <f>IFERROR(__xludf.DUMMYFUNCTION("""COMPUTED_VALUE"""),"e_glo_00001_hut1_charaget02_Normal_Colorless_Normal_00000")</f>
        <v>e_glo_00001_hut1_charaget02_Normal_Colorless_Normal_00000</v>
      </c>
      <c r="D2927" s="139" t="str">
        <f>IFERROR(__xludf.DUMMYFUNCTION("""COMPUTED_VALUE"""),"e_glo_00001_hut1_charaget02_Normal_Colorless")</f>
        <v>e_glo_00001_hut1_charaget02_Normal_Colorless</v>
      </c>
      <c r="E2927" s="139">
        <f>IFERROR(__xludf.DUMMYFUNCTION("""COMPUTED_VALUE"""),0.0)</f>
        <v>0</v>
      </c>
      <c r="F2927" s="139" t="str">
        <f>IFERROR(__xludf.DUMMYFUNCTION("""COMPUTED_VALUE"""),"Normal")</f>
        <v>Normal</v>
      </c>
      <c r="G2927" s="139"/>
      <c r="H2927" s="139"/>
      <c r="I2927" s="139">
        <f>IFERROR(__xludf.DUMMYFUNCTION("""COMPUTED_VALUE"""),50.0)</f>
        <v>50</v>
      </c>
      <c r="J2927" s="139">
        <f>IFERROR(__xludf.DUMMYFUNCTION("""COMPUTED_VALUE"""),25.0)</f>
        <v>25</v>
      </c>
      <c r="K2927" s="139">
        <f>IFERROR(__xludf.DUMMYFUNCTION("""COMPUTED_VALUE"""),30.0)</f>
        <v>30</v>
      </c>
      <c r="L2927" s="139"/>
      <c r="M2927" s="139"/>
      <c r="N2927" s="139"/>
    </row>
    <row r="2928">
      <c r="A2928" s="139" t="str">
        <f>IFERROR(__xludf.DUMMYFUNCTION("""COMPUTED_VALUE"""),"e")</f>
        <v>e</v>
      </c>
      <c r="B2928" s="139">
        <f>IFERROR(__xludf.DUMMYFUNCTION("""COMPUTED_VALUE"""),2.0260301E8)</f>
        <v>202603010</v>
      </c>
      <c r="C2928" s="139" t="str">
        <f>IFERROR(__xludf.DUMMYFUNCTION("""COMPUTED_VALUE"""),"c_hut_00001_hut1_charaget02_Boss_Yellow_Normal_00000")</f>
        <v>c_hut_00001_hut1_charaget02_Boss_Yellow_Normal_00000</v>
      </c>
      <c r="D2928" s="139" t="str">
        <f>IFERROR(__xludf.DUMMYFUNCTION("""COMPUTED_VALUE"""),"c_hut_00001_hut1_charaget02_Boss_Yellow")</f>
        <v>c_hut_00001_hut1_charaget02_Boss_Yellow</v>
      </c>
      <c r="E2928" s="139">
        <f>IFERROR(__xludf.DUMMYFUNCTION("""COMPUTED_VALUE"""),0.0)</f>
        <v>0</v>
      </c>
      <c r="F2928" s="139" t="str">
        <f>IFERROR(__xludf.DUMMYFUNCTION("""COMPUTED_VALUE"""),"Normal")</f>
        <v>Normal</v>
      </c>
      <c r="G2928" s="139"/>
      <c r="H2928" s="139"/>
      <c r="I2928" s="139">
        <f>IFERROR(__xludf.DUMMYFUNCTION("""COMPUTED_VALUE"""),74.0)</f>
        <v>74</v>
      </c>
      <c r="J2928" s="139">
        <f>IFERROR(__xludf.DUMMYFUNCTION("""COMPUTED_VALUE"""),8.0)</f>
        <v>8</v>
      </c>
      <c r="K2928" s="139">
        <f>IFERROR(__xludf.DUMMYFUNCTION("""COMPUTED_VALUE"""),60.0)</f>
        <v>60</v>
      </c>
      <c r="L2928" s="139"/>
      <c r="M2928" s="139"/>
      <c r="N2928" s="139"/>
    </row>
    <row r="2929">
      <c r="A2929" s="139" t="str">
        <f>IFERROR(__xludf.DUMMYFUNCTION("""COMPUTED_VALUE"""),"e")</f>
        <v>e</v>
      </c>
      <c r="B2929" s="139">
        <f>IFERROR(__xludf.DUMMYFUNCTION("""COMPUTED_VALUE"""),2.0260301E8)</f>
        <v>202603010</v>
      </c>
      <c r="C2929" s="139" t="str">
        <f>IFERROR(__xludf.DUMMYFUNCTION("""COMPUTED_VALUE"""),"c_hut_00001_hut1_charaget02_Boss_Yellow_Special_00001")</f>
        <v>c_hut_00001_hut1_charaget02_Boss_Yellow_Special_00001</v>
      </c>
      <c r="D2929" s="139" t="str">
        <f>IFERROR(__xludf.DUMMYFUNCTION("""COMPUTED_VALUE"""),"c_hut_00001_hut1_charaget02_Boss_Yellow")</f>
        <v>c_hut_00001_hut1_charaget02_Boss_Yellow</v>
      </c>
      <c r="E2929" s="139">
        <f>IFERROR(__xludf.DUMMYFUNCTION("""COMPUTED_VALUE"""),0.0)</f>
        <v>0</v>
      </c>
      <c r="F2929" s="139" t="str">
        <f>IFERROR(__xludf.DUMMYFUNCTION("""COMPUTED_VALUE"""),"Special")</f>
        <v>Special</v>
      </c>
      <c r="G2929" s="139"/>
      <c r="H2929" s="139"/>
      <c r="I2929" s="139">
        <f>IFERROR(__xludf.DUMMYFUNCTION("""COMPUTED_VALUE"""),140.0)</f>
        <v>140</v>
      </c>
      <c r="J2929" s="139">
        <f>IFERROR(__xludf.DUMMYFUNCTION("""COMPUTED_VALUE"""),0.0)</f>
        <v>0</v>
      </c>
      <c r="K2929" s="139">
        <f>IFERROR(__xludf.DUMMYFUNCTION("""COMPUTED_VALUE"""),0.0)</f>
        <v>0</v>
      </c>
      <c r="L2929" s="139"/>
      <c r="M2929" s="139"/>
      <c r="N2929" s="139"/>
    </row>
    <row r="2930">
      <c r="A2930" s="139" t="str">
        <f>IFERROR(__xludf.DUMMYFUNCTION("""COMPUTED_VALUE"""),"e")</f>
        <v>e</v>
      </c>
      <c r="B2930" s="139">
        <f>IFERROR(__xludf.DUMMYFUNCTION("""COMPUTED_VALUE"""),2.0260301E8)</f>
        <v>202603010</v>
      </c>
      <c r="C2930" s="139" t="str">
        <f>IFERROR(__xludf.DUMMYFUNCTION("""COMPUTED_VALUE"""),"c_hut_00001_hut1_charaget02_Boss_Yellow_Appearance_00002")</f>
        <v>c_hut_00001_hut1_charaget02_Boss_Yellow_Appearance_00002</v>
      </c>
      <c r="D2930" s="139" t="str">
        <f>IFERROR(__xludf.DUMMYFUNCTION("""COMPUTED_VALUE"""),"c_hut_00001_hut1_charaget02_Boss_Yellow")</f>
        <v>c_hut_00001_hut1_charaget02_Boss_Yellow</v>
      </c>
      <c r="E2930" s="139">
        <f>IFERROR(__xludf.DUMMYFUNCTION("""COMPUTED_VALUE"""),0.0)</f>
        <v>0</v>
      </c>
      <c r="F2930" s="139" t="str">
        <f>IFERROR(__xludf.DUMMYFUNCTION("""COMPUTED_VALUE"""),"Appearance")</f>
        <v>Appearance</v>
      </c>
      <c r="G2930" s="139"/>
      <c r="H2930" s="139"/>
      <c r="I2930" s="139">
        <f>IFERROR(__xludf.DUMMYFUNCTION("""COMPUTED_VALUE"""),50.0)</f>
        <v>50</v>
      </c>
      <c r="J2930" s="139">
        <f>IFERROR(__xludf.DUMMYFUNCTION("""COMPUTED_VALUE"""),0.0)</f>
        <v>0</v>
      </c>
      <c r="K2930" s="139">
        <f>IFERROR(__xludf.DUMMYFUNCTION("""COMPUTED_VALUE"""),0.0)</f>
        <v>0</v>
      </c>
      <c r="L2930" s="139"/>
      <c r="M2930" s="139"/>
      <c r="N2930" s="139"/>
    </row>
    <row r="2931">
      <c r="A2931" s="139" t="str">
        <f>IFERROR(__xludf.DUMMYFUNCTION("""COMPUTED_VALUE"""),"e")</f>
        <v>e</v>
      </c>
      <c r="B2931" s="139">
        <f>IFERROR(__xludf.DUMMYFUNCTION("""COMPUTED_VALUE"""),2.0260301E8)</f>
        <v>202603010</v>
      </c>
      <c r="C2931" s="139" t="str">
        <f>IFERROR(__xludf.DUMMYFUNCTION("""COMPUTED_VALUE"""),"c_hut_00201_hut1_charaget02_Normal_Yellow_Normal_00000")</f>
        <v>c_hut_00201_hut1_charaget02_Normal_Yellow_Normal_00000</v>
      </c>
      <c r="D2931" s="139" t="str">
        <f>IFERROR(__xludf.DUMMYFUNCTION("""COMPUTED_VALUE"""),"c_hut_00201_hut1_charaget02_Normal_Yellow")</f>
        <v>c_hut_00201_hut1_charaget02_Normal_Yellow</v>
      </c>
      <c r="E2931" s="139">
        <f>IFERROR(__xludf.DUMMYFUNCTION("""COMPUTED_VALUE"""),0.0)</f>
        <v>0</v>
      </c>
      <c r="F2931" s="139" t="str">
        <f>IFERROR(__xludf.DUMMYFUNCTION("""COMPUTED_VALUE"""),"Normal")</f>
        <v>Normal</v>
      </c>
      <c r="G2931" s="139"/>
      <c r="H2931" s="139"/>
      <c r="I2931" s="139">
        <f>IFERROR(__xludf.DUMMYFUNCTION("""COMPUTED_VALUE"""),60.0)</f>
        <v>60</v>
      </c>
      <c r="J2931" s="139">
        <f>IFERROR(__xludf.DUMMYFUNCTION("""COMPUTED_VALUE"""),17.0)</f>
        <v>17</v>
      </c>
      <c r="K2931" s="139">
        <f>IFERROR(__xludf.DUMMYFUNCTION("""COMPUTED_VALUE"""),60.0)</f>
        <v>60</v>
      </c>
      <c r="L2931" s="139"/>
      <c r="M2931" s="139"/>
      <c r="N2931" s="139"/>
    </row>
    <row r="2932">
      <c r="A2932" s="139" t="str">
        <f>IFERROR(__xludf.DUMMYFUNCTION("""COMPUTED_VALUE"""),"e")</f>
        <v>e</v>
      </c>
      <c r="B2932" s="139">
        <f>IFERROR(__xludf.DUMMYFUNCTION("""COMPUTED_VALUE"""),2.0260301E8)</f>
        <v>202603010</v>
      </c>
      <c r="C2932" s="139" t="str">
        <f>IFERROR(__xludf.DUMMYFUNCTION("""COMPUTED_VALUE"""),"c_hut_00201_hut1_charaget02_Normal_Yellow_Special_00001")</f>
        <v>c_hut_00201_hut1_charaget02_Normal_Yellow_Special_00001</v>
      </c>
      <c r="D2932" s="139" t="str">
        <f>IFERROR(__xludf.DUMMYFUNCTION("""COMPUTED_VALUE"""),"c_hut_00201_hut1_charaget02_Normal_Yellow")</f>
        <v>c_hut_00201_hut1_charaget02_Normal_Yellow</v>
      </c>
      <c r="E2932" s="139">
        <f>IFERROR(__xludf.DUMMYFUNCTION("""COMPUTED_VALUE"""),0.0)</f>
        <v>0</v>
      </c>
      <c r="F2932" s="139" t="str">
        <f>IFERROR(__xludf.DUMMYFUNCTION("""COMPUTED_VALUE"""),"Special")</f>
        <v>Special</v>
      </c>
      <c r="G2932" s="139"/>
      <c r="H2932" s="139"/>
      <c r="I2932" s="139">
        <f>IFERROR(__xludf.DUMMYFUNCTION("""COMPUTED_VALUE"""),142.0)</f>
        <v>142</v>
      </c>
      <c r="J2932" s="139">
        <f>IFERROR(__xludf.DUMMYFUNCTION("""COMPUTED_VALUE"""),0.0)</f>
        <v>0</v>
      </c>
      <c r="K2932" s="139">
        <f>IFERROR(__xludf.DUMMYFUNCTION("""COMPUTED_VALUE"""),0.0)</f>
        <v>0</v>
      </c>
      <c r="L2932" s="139"/>
      <c r="M2932" s="139"/>
      <c r="N2932" s="139"/>
    </row>
    <row r="2933">
      <c r="A2933" s="139" t="str">
        <f>IFERROR(__xludf.DUMMYFUNCTION("""COMPUTED_VALUE"""),"e")</f>
        <v>e</v>
      </c>
      <c r="B2933" s="139">
        <f>IFERROR(__xludf.DUMMYFUNCTION("""COMPUTED_VALUE"""),2.0260301E8)</f>
        <v>202603010</v>
      </c>
      <c r="C2933" s="139" t="str">
        <f>IFERROR(__xludf.DUMMYFUNCTION("""COMPUTED_VALUE"""),"c_hut_00201_hut1_charaget02_Normal_Yellow_Appearance_00002")</f>
        <v>c_hut_00201_hut1_charaget02_Normal_Yellow_Appearance_00002</v>
      </c>
      <c r="D2933" s="139" t="str">
        <f>IFERROR(__xludf.DUMMYFUNCTION("""COMPUTED_VALUE"""),"c_hut_00201_hut1_charaget02_Normal_Yellow")</f>
        <v>c_hut_00201_hut1_charaget02_Normal_Yellow</v>
      </c>
      <c r="E2933" s="139">
        <f>IFERROR(__xludf.DUMMYFUNCTION("""COMPUTED_VALUE"""),0.0)</f>
        <v>0</v>
      </c>
      <c r="F2933" s="139" t="str">
        <f>IFERROR(__xludf.DUMMYFUNCTION("""COMPUTED_VALUE"""),"Appearance")</f>
        <v>Appearance</v>
      </c>
      <c r="G2933" s="139"/>
      <c r="H2933" s="139"/>
      <c r="I2933" s="139">
        <f>IFERROR(__xludf.DUMMYFUNCTION("""COMPUTED_VALUE"""),50.0)</f>
        <v>50</v>
      </c>
      <c r="J2933" s="139">
        <f>IFERROR(__xludf.DUMMYFUNCTION("""COMPUTED_VALUE"""),0.0)</f>
        <v>0</v>
      </c>
      <c r="K2933" s="139">
        <f>IFERROR(__xludf.DUMMYFUNCTION("""COMPUTED_VALUE"""),0.0)</f>
        <v>0</v>
      </c>
      <c r="L2933" s="139"/>
      <c r="M2933" s="139"/>
      <c r="N2933" s="139"/>
    </row>
    <row r="2934">
      <c r="A2934" s="139" t="str">
        <f>IFERROR(__xludf.DUMMYFUNCTION("""COMPUTED_VALUE"""),"e")</f>
        <v>e</v>
      </c>
      <c r="B2934" s="139">
        <f>IFERROR(__xludf.DUMMYFUNCTION("""COMPUTED_VALUE"""),2.0260301E8)</f>
        <v>202603010</v>
      </c>
      <c r="C2934" s="139" t="str">
        <f>IFERROR(__xludf.DUMMYFUNCTION("""COMPUTED_VALUE"""),"c_hut_00301_hut1_charaget02_Normal_Yellow_Normal_00000")</f>
        <v>c_hut_00301_hut1_charaget02_Normal_Yellow_Normal_00000</v>
      </c>
      <c r="D2934" s="139" t="str">
        <f>IFERROR(__xludf.DUMMYFUNCTION("""COMPUTED_VALUE"""),"c_hut_00301_hut1_charaget02_Normal_Yellow")</f>
        <v>c_hut_00301_hut1_charaget02_Normal_Yellow</v>
      </c>
      <c r="E2934" s="139">
        <f>IFERROR(__xludf.DUMMYFUNCTION("""COMPUTED_VALUE"""),0.0)</f>
        <v>0</v>
      </c>
      <c r="F2934" s="139" t="str">
        <f>IFERROR(__xludf.DUMMYFUNCTION("""COMPUTED_VALUE"""),"Normal")</f>
        <v>Normal</v>
      </c>
      <c r="G2934" s="139"/>
      <c r="H2934" s="139"/>
      <c r="I2934" s="139">
        <f>IFERROR(__xludf.DUMMYFUNCTION("""COMPUTED_VALUE"""),67.0)</f>
        <v>67</v>
      </c>
      <c r="J2934" s="139">
        <f>IFERROR(__xludf.DUMMYFUNCTION("""COMPUTED_VALUE"""),17.0)</f>
        <v>17</v>
      </c>
      <c r="K2934" s="139">
        <f>IFERROR(__xludf.DUMMYFUNCTION("""COMPUTED_VALUE"""),60.0)</f>
        <v>60</v>
      </c>
      <c r="L2934" s="139"/>
      <c r="M2934" s="139"/>
      <c r="N2934" s="139"/>
    </row>
    <row r="2935">
      <c r="A2935" s="139" t="str">
        <f>IFERROR(__xludf.DUMMYFUNCTION("""COMPUTED_VALUE"""),"e")</f>
        <v>e</v>
      </c>
      <c r="B2935" s="139">
        <f>IFERROR(__xludf.DUMMYFUNCTION("""COMPUTED_VALUE"""),2.0260301E8)</f>
        <v>202603010</v>
      </c>
      <c r="C2935" s="139" t="str">
        <f>IFERROR(__xludf.DUMMYFUNCTION("""COMPUTED_VALUE"""),"c_hut_00301_hut1_charaget02_Normal_Yellow_Special_00001")</f>
        <v>c_hut_00301_hut1_charaget02_Normal_Yellow_Special_00001</v>
      </c>
      <c r="D2935" s="139" t="str">
        <f>IFERROR(__xludf.DUMMYFUNCTION("""COMPUTED_VALUE"""),"c_hut_00301_hut1_charaget02_Normal_Yellow")</f>
        <v>c_hut_00301_hut1_charaget02_Normal_Yellow</v>
      </c>
      <c r="E2935" s="139">
        <f>IFERROR(__xludf.DUMMYFUNCTION("""COMPUTED_VALUE"""),0.0)</f>
        <v>0</v>
      </c>
      <c r="F2935" s="139" t="str">
        <f>IFERROR(__xludf.DUMMYFUNCTION("""COMPUTED_VALUE"""),"Special")</f>
        <v>Special</v>
      </c>
      <c r="G2935" s="139"/>
      <c r="H2935" s="139"/>
      <c r="I2935" s="139">
        <f>IFERROR(__xludf.DUMMYFUNCTION("""COMPUTED_VALUE"""),121.0)</f>
        <v>121</v>
      </c>
      <c r="J2935" s="139">
        <f>IFERROR(__xludf.DUMMYFUNCTION("""COMPUTED_VALUE"""),0.0)</f>
        <v>0</v>
      </c>
      <c r="K2935" s="139">
        <f>IFERROR(__xludf.DUMMYFUNCTION("""COMPUTED_VALUE"""),0.0)</f>
        <v>0</v>
      </c>
      <c r="L2935" s="139"/>
      <c r="M2935" s="139"/>
      <c r="N2935" s="139"/>
    </row>
    <row r="2936">
      <c r="A2936" s="139" t="str">
        <f>IFERROR(__xludf.DUMMYFUNCTION("""COMPUTED_VALUE"""),"e")</f>
        <v>e</v>
      </c>
      <c r="B2936" s="139">
        <f>IFERROR(__xludf.DUMMYFUNCTION("""COMPUTED_VALUE"""),2.0260301E8)</f>
        <v>202603010</v>
      </c>
      <c r="C2936" s="139" t="str">
        <f>IFERROR(__xludf.DUMMYFUNCTION("""COMPUTED_VALUE"""),"c_hut_00301_hut1_charaget02_Normal_Yellow_Appearance_00002")</f>
        <v>c_hut_00301_hut1_charaget02_Normal_Yellow_Appearance_00002</v>
      </c>
      <c r="D2936" s="139" t="str">
        <f>IFERROR(__xludf.DUMMYFUNCTION("""COMPUTED_VALUE"""),"c_hut_00301_hut1_charaget02_Normal_Yellow")</f>
        <v>c_hut_00301_hut1_charaget02_Normal_Yellow</v>
      </c>
      <c r="E2936" s="139">
        <f>IFERROR(__xludf.DUMMYFUNCTION("""COMPUTED_VALUE"""),0.0)</f>
        <v>0</v>
      </c>
      <c r="F2936" s="139" t="str">
        <f>IFERROR(__xludf.DUMMYFUNCTION("""COMPUTED_VALUE"""),"Appearance")</f>
        <v>Appearance</v>
      </c>
      <c r="G2936" s="139"/>
      <c r="H2936" s="139"/>
      <c r="I2936" s="139">
        <f>IFERROR(__xludf.DUMMYFUNCTION("""COMPUTED_VALUE"""),50.0)</f>
        <v>50</v>
      </c>
      <c r="J2936" s="139">
        <f>IFERROR(__xludf.DUMMYFUNCTION("""COMPUTED_VALUE"""),0.0)</f>
        <v>0</v>
      </c>
      <c r="K2936" s="139">
        <f>IFERROR(__xludf.DUMMYFUNCTION("""COMPUTED_VALUE"""),0.0)</f>
        <v>0</v>
      </c>
      <c r="L2936" s="139"/>
      <c r="M2936" s="139"/>
      <c r="N2936" s="139"/>
    </row>
    <row r="2937">
      <c r="A2937" s="139" t="str">
        <f>IFERROR(__xludf.DUMMYFUNCTION("""COMPUTED_VALUE"""),"e")</f>
        <v>e</v>
      </c>
      <c r="B2937" s="139">
        <f>IFERROR(__xludf.DUMMYFUNCTION("""COMPUTED_VALUE"""),2.0260301E8)</f>
        <v>202603010</v>
      </c>
      <c r="C2937" s="139" t="str">
        <f>IFERROR(__xludf.DUMMYFUNCTION("""COMPUTED_VALUE"""),"c_hut_00001_hut1_challenge1_Boss_Green_Normal_00000")</f>
        <v>c_hut_00001_hut1_challenge1_Boss_Green_Normal_00000</v>
      </c>
      <c r="D2937" s="139" t="str">
        <f>IFERROR(__xludf.DUMMYFUNCTION("""COMPUTED_VALUE"""),"c_hut_00001_hut1_challenge1_Boss_Green")</f>
        <v>c_hut_00001_hut1_challenge1_Boss_Green</v>
      </c>
      <c r="E2937" s="139">
        <f>IFERROR(__xludf.DUMMYFUNCTION("""COMPUTED_VALUE"""),0.0)</f>
        <v>0</v>
      </c>
      <c r="F2937" s="139" t="str">
        <f>IFERROR(__xludf.DUMMYFUNCTION("""COMPUTED_VALUE"""),"Normal")</f>
        <v>Normal</v>
      </c>
      <c r="G2937" s="139"/>
      <c r="H2937" s="139"/>
      <c r="I2937" s="139">
        <f>IFERROR(__xludf.DUMMYFUNCTION("""COMPUTED_VALUE"""),74.0)</f>
        <v>74</v>
      </c>
      <c r="J2937" s="139">
        <f>IFERROR(__xludf.DUMMYFUNCTION("""COMPUTED_VALUE"""),8.0)</f>
        <v>8</v>
      </c>
      <c r="K2937" s="139">
        <f>IFERROR(__xludf.DUMMYFUNCTION("""COMPUTED_VALUE"""),60.0)</f>
        <v>60</v>
      </c>
      <c r="L2937" s="139"/>
      <c r="M2937" s="139"/>
      <c r="N2937" s="139"/>
    </row>
    <row r="2938">
      <c r="A2938" s="139" t="str">
        <f>IFERROR(__xludf.DUMMYFUNCTION("""COMPUTED_VALUE"""),"e")</f>
        <v>e</v>
      </c>
      <c r="B2938" s="139">
        <f>IFERROR(__xludf.DUMMYFUNCTION("""COMPUTED_VALUE"""),2.0260301E8)</f>
        <v>202603010</v>
      </c>
      <c r="C2938" s="139" t="str">
        <f>IFERROR(__xludf.DUMMYFUNCTION("""COMPUTED_VALUE"""),"c_hut_00001_hut1_challenge1_Boss_Green_Special_00001")</f>
        <v>c_hut_00001_hut1_challenge1_Boss_Green_Special_00001</v>
      </c>
      <c r="D2938" s="139" t="str">
        <f>IFERROR(__xludf.DUMMYFUNCTION("""COMPUTED_VALUE"""),"c_hut_00001_hut1_challenge1_Boss_Green")</f>
        <v>c_hut_00001_hut1_challenge1_Boss_Green</v>
      </c>
      <c r="E2938" s="139">
        <f>IFERROR(__xludf.DUMMYFUNCTION("""COMPUTED_VALUE"""),0.0)</f>
        <v>0</v>
      </c>
      <c r="F2938" s="139" t="str">
        <f>IFERROR(__xludf.DUMMYFUNCTION("""COMPUTED_VALUE"""),"Special")</f>
        <v>Special</v>
      </c>
      <c r="G2938" s="139"/>
      <c r="H2938" s="139"/>
      <c r="I2938" s="139">
        <f>IFERROR(__xludf.DUMMYFUNCTION("""COMPUTED_VALUE"""),140.0)</f>
        <v>140</v>
      </c>
      <c r="J2938" s="139">
        <f>IFERROR(__xludf.DUMMYFUNCTION("""COMPUTED_VALUE"""),0.0)</f>
        <v>0</v>
      </c>
      <c r="K2938" s="139">
        <f>IFERROR(__xludf.DUMMYFUNCTION("""COMPUTED_VALUE"""),0.0)</f>
        <v>0</v>
      </c>
      <c r="L2938" s="139"/>
      <c r="M2938" s="139"/>
      <c r="N2938" s="139"/>
    </row>
    <row r="2939">
      <c r="A2939" s="139" t="str">
        <f>IFERROR(__xludf.DUMMYFUNCTION("""COMPUTED_VALUE"""),"e")</f>
        <v>e</v>
      </c>
      <c r="B2939" s="139">
        <f>IFERROR(__xludf.DUMMYFUNCTION("""COMPUTED_VALUE"""),2.0260301E8)</f>
        <v>202603010</v>
      </c>
      <c r="C2939" s="139" t="str">
        <f>IFERROR(__xludf.DUMMYFUNCTION("""COMPUTED_VALUE"""),"c_hut_00001_hut1_challenge1_Boss_Green_Appearance_00002")</f>
        <v>c_hut_00001_hut1_challenge1_Boss_Green_Appearance_00002</v>
      </c>
      <c r="D2939" s="139" t="str">
        <f>IFERROR(__xludf.DUMMYFUNCTION("""COMPUTED_VALUE"""),"c_hut_00001_hut1_challenge1_Boss_Green")</f>
        <v>c_hut_00001_hut1_challenge1_Boss_Green</v>
      </c>
      <c r="E2939" s="139">
        <f>IFERROR(__xludf.DUMMYFUNCTION("""COMPUTED_VALUE"""),0.0)</f>
        <v>0</v>
      </c>
      <c r="F2939" s="139" t="str">
        <f>IFERROR(__xludf.DUMMYFUNCTION("""COMPUTED_VALUE"""),"Appearance")</f>
        <v>Appearance</v>
      </c>
      <c r="G2939" s="139"/>
      <c r="H2939" s="139"/>
      <c r="I2939" s="139">
        <f>IFERROR(__xludf.DUMMYFUNCTION("""COMPUTED_VALUE"""),50.0)</f>
        <v>50</v>
      </c>
      <c r="J2939" s="139">
        <f>IFERROR(__xludf.DUMMYFUNCTION("""COMPUTED_VALUE"""),0.0)</f>
        <v>0</v>
      </c>
      <c r="K2939" s="139">
        <f>IFERROR(__xludf.DUMMYFUNCTION("""COMPUTED_VALUE"""),0.0)</f>
        <v>0</v>
      </c>
      <c r="L2939" s="139"/>
      <c r="M2939" s="139"/>
      <c r="N2939" s="139"/>
    </row>
    <row r="2940">
      <c r="A2940" s="139" t="str">
        <f>IFERROR(__xludf.DUMMYFUNCTION("""COMPUTED_VALUE"""),"e")</f>
        <v>e</v>
      </c>
      <c r="B2940" s="139">
        <f>IFERROR(__xludf.DUMMYFUNCTION("""COMPUTED_VALUE"""),2.0260301E8)</f>
        <v>202603010</v>
      </c>
      <c r="C2940" s="139" t="str">
        <f>IFERROR(__xludf.DUMMYFUNCTION("""COMPUTED_VALUE"""),"c_hut_00001_hut1_challenge2_Boss_Blue_Normal_00000")</f>
        <v>c_hut_00001_hut1_challenge2_Boss_Blue_Normal_00000</v>
      </c>
      <c r="D2940" s="139" t="str">
        <f>IFERROR(__xludf.DUMMYFUNCTION("""COMPUTED_VALUE"""),"c_hut_00001_hut1_challenge2_Boss_Blue")</f>
        <v>c_hut_00001_hut1_challenge2_Boss_Blue</v>
      </c>
      <c r="E2940" s="139">
        <f>IFERROR(__xludf.DUMMYFUNCTION("""COMPUTED_VALUE"""),0.0)</f>
        <v>0</v>
      </c>
      <c r="F2940" s="139" t="str">
        <f>IFERROR(__xludf.DUMMYFUNCTION("""COMPUTED_VALUE"""),"Normal")</f>
        <v>Normal</v>
      </c>
      <c r="G2940" s="139"/>
      <c r="H2940" s="139"/>
      <c r="I2940" s="139">
        <f>IFERROR(__xludf.DUMMYFUNCTION("""COMPUTED_VALUE"""),74.0)</f>
        <v>74</v>
      </c>
      <c r="J2940" s="139">
        <f>IFERROR(__xludf.DUMMYFUNCTION("""COMPUTED_VALUE"""),8.0)</f>
        <v>8</v>
      </c>
      <c r="K2940" s="139">
        <f>IFERROR(__xludf.DUMMYFUNCTION("""COMPUTED_VALUE"""),60.0)</f>
        <v>60</v>
      </c>
      <c r="L2940" s="139"/>
      <c r="M2940" s="139"/>
      <c r="N2940" s="139"/>
    </row>
    <row r="2941">
      <c r="A2941" s="139" t="str">
        <f>IFERROR(__xludf.DUMMYFUNCTION("""COMPUTED_VALUE"""),"e")</f>
        <v>e</v>
      </c>
      <c r="B2941" s="139">
        <f>IFERROR(__xludf.DUMMYFUNCTION("""COMPUTED_VALUE"""),2.0260301E8)</f>
        <v>202603010</v>
      </c>
      <c r="C2941" s="139" t="str">
        <f>IFERROR(__xludf.DUMMYFUNCTION("""COMPUTED_VALUE"""),"c_hut_00001_hut1_challenge2_Boss_Blue_Special_00001")</f>
        <v>c_hut_00001_hut1_challenge2_Boss_Blue_Special_00001</v>
      </c>
      <c r="D2941" s="139" t="str">
        <f>IFERROR(__xludf.DUMMYFUNCTION("""COMPUTED_VALUE"""),"c_hut_00001_hut1_challenge2_Boss_Blue")</f>
        <v>c_hut_00001_hut1_challenge2_Boss_Blue</v>
      </c>
      <c r="E2941" s="139">
        <f>IFERROR(__xludf.DUMMYFUNCTION("""COMPUTED_VALUE"""),0.0)</f>
        <v>0</v>
      </c>
      <c r="F2941" s="139" t="str">
        <f>IFERROR(__xludf.DUMMYFUNCTION("""COMPUTED_VALUE"""),"Special")</f>
        <v>Special</v>
      </c>
      <c r="G2941" s="139"/>
      <c r="H2941" s="139"/>
      <c r="I2941" s="139">
        <f>IFERROR(__xludf.DUMMYFUNCTION("""COMPUTED_VALUE"""),140.0)</f>
        <v>140</v>
      </c>
      <c r="J2941" s="139">
        <f>IFERROR(__xludf.DUMMYFUNCTION("""COMPUTED_VALUE"""),0.0)</f>
        <v>0</v>
      </c>
      <c r="K2941" s="139">
        <f>IFERROR(__xludf.DUMMYFUNCTION("""COMPUTED_VALUE"""),0.0)</f>
        <v>0</v>
      </c>
      <c r="L2941" s="139"/>
      <c r="M2941" s="139"/>
      <c r="N2941" s="139"/>
    </row>
    <row r="2942">
      <c r="A2942" s="139" t="str">
        <f>IFERROR(__xludf.DUMMYFUNCTION("""COMPUTED_VALUE"""),"e")</f>
        <v>e</v>
      </c>
      <c r="B2942" s="139">
        <f>IFERROR(__xludf.DUMMYFUNCTION("""COMPUTED_VALUE"""),2.0260301E8)</f>
        <v>202603010</v>
      </c>
      <c r="C2942" s="139" t="str">
        <f>IFERROR(__xludf.DUMMYFUNCTION("""COMPUTED_VALUE"""),"c_hut_00001_hut1_challenge2_Boss_Blue_Appearance_00002")</f>
        <v>c_hut_00001_hut1_challenge2_Boss_Blue_Appearance_00002</v>
      </c>
      <c r="D2942" s="139" t="str">
        <f>IFERROR(__xludf.DUMMYFUNCTION("""COMPUTED_VALUE"""),"c_hut_00001_hut1_challenge2_Boss_Blue")</f>
        <v>c_hut_00001_hut1_challenge2_Boss_Blue</v>
      </c>
      <c r="E2942" s="139">
        <f>IFERROR(__xludf.DUMMYFUNCTION("""COMPUTED_VALUE"""),0.0)</f>
        <v>0</v>
      </c>
      <c r="F2942" s="139" t="str">
        <f>IFERROR(__xludf.DUMMYFUNCTION("""COMPUTED_VALUE"""),"Appearance")</f>
        <v>Appearance</v>
      </c>
      <c r="G2942" s="139"/>
      <c r="H2942" s="139"/>
      <c r="I2942" s="139">
        <f>IFERROR(__xludf.DUMMYFUNCTION("""COMPUTED_VALUE"""),50.0)</f>
        <v>50</v>
      </c>
      <c r="J2942" s="139">
        <f>IFERROR(__xludf.DUMMYFUNCTION("""COMPUTED_VALUE"""),0.0)</f>
        <v>0</v>
      </c>
      <c r="K2942" s="139">
        <f>IFERROR(__xludf.DUMMYFUNCTION("""COMPUTED_VALUE"""),0.0)</f>
        <v>0</v>
      </c>
      <c r="L2942" s="139"/>
      <c r="M2942" s="139"/>
      <c r="N2942" s="139"/>
    </row>
    <row r="2943">
      <c r="A2943" s="139" t="str">
        <f>IFERROR(__xludf.DUMMYFUNCTION("""COMPUTED_VALUE"""),"e")</f>
        <v>e</v>
      </c>
      <c r="B2943" s="139">
        <f>IFERROR(__xludf.DUMMYFUNCTION("""COMPUTED_VALUE"""),2.0260301E8)</f>
        <v>202603010</v>
      </c>
      <c r="C2943" s="139" t="str">
        <f>IFERROR(__xludf.DUMMYFUNCTION("""COMPUTED_VALUE"""),"c_hut_00101_hut1_challenge2_Normal_Blue_Normal_00000")</f>
        <v>c_hut_00101_hut1_challenge2_Normal_Blue_Normal_00000</v>
      </c>
      <c r="D2943" s="139" t="str">
        <f>IFERROR(__xludf.DUMMYFUNCTION("""COMPUTED_VALUE"""),"c_hut_00101_hut1_challenge2_Normal_Blue")</f>
        <v>c_hut_00101_hut1_challenge2_Normal_Blue</v>
      </c>
      <c r="E2943" s="139">
        <f>IFERROR(__xludf.DUMMYFUNCTION("""COMPUTED_VALUE"""),0.0)</f>
        <v>0</v>
      </c>
      <c r="F2943" s="139" t="str">
        <f>IFERROR(__xludf.DUMMYFUNCTION("""COMPUTED_VALUE"""),"Normal")</f>
        <v>Normal</v>
      </c>
      <c r="G2943" s="139"/>
      <c r="H2943" s="139"/>
      <c r="I2943" s="139">
        <f>IFERROR(__xludf.DUMMYFUNCTION("""COMPUTED_VALUE"""),79.0)</f>
        <v>79</v>
      </c>
      <c r="J2943" s="139">
        <f>IFERROR(__xludf.DUMMYFUNCTION("""COMPUTED_VALUE"""),38.0)</f>
        <v>38</v>
      </c>
      <c r="K2943" s="139">
        <f>IFERROR(__xludf.DUMMYFUNCTION("""COMPUTED_VALUE"""),60.0)</f>
        <v>60</v>
      </c>
      <c r="L2943" s="139"/>
      <c r="M2943" s="139"/>
      <c r="N2943" s="139"/>
    </row>
    <row r="2944">
      <c r="A2944" s="139" t="str">
        <f>IFERROR(__xludf.DUMMYFUNCTION("""COMPUTED_VALUE"""),"e")</f>
        <v>e</v>
      </c>
      <c r="B2944" s="139">
        <f>IFERROR(__xludf.DUMMYFUNCTION("""COMPUTED_VALUE"""),2.0260301E8)</f>
        <v>202603010</v>
      </c>
      <c r="C2944" s="139" t="str">
        <f>IFERROR(__xludf.DUMMYFUNCTION("""COMPUTED_VALUE"""),"c_hut_00101_hut1_challenge2_Normal_Blue_Special_00001")</f>
        <v>c_hut_00101_hut1_challenge2_Normal_Blue_Special_00001</v>
      </c>
      <c r="D2944" s="139" t="str">
        <f>IFERROR(__xludf.DUMMYFUNCTION("""COMPUTED_VALUE"""),"c_hut_00101_hut1_challenge2_Normal_Blue")</f>
        <v>c_hut_00101_hut1_challenge2_Normal_Blue</v>
      </c>
      <c r="E2944" s="139">
        <f>IFERROR(__xludf.DUMMYFUNCTION("""COMPUTED_VALUE"""),0.0)</f>
        <v>0</v>
      </c>
      <c r="F2944" s="139" t="str">
        <f>IFERROR(__xludf.DUMMYFUNCTION("""COMPUTED_VALUE"""),"Special")</f>
        <v>Special</v>
      </c>
      <c r="G2944" s="139"/>
      <c r="H2944" s="139"/>
      <c r="I2944" s="139">
        <f>IFERROR(__xludf.DUMMYFUNCTION("""COMPUTED_VALUE"""),129.0)</f>
        <v>129</v>
      </c>
      <c r="J2944" s="139">
        <f>IFERROR(__xludf.DUMMYFUNCTION("""COMPUTED_VALUE"""),0.0)</f>
        <v>0</v>
      </c>
      <c r="K2944" s="139">
        <f>IFERROR(__xludf.DUMMYFUNCTION("""COMPUTED_VALUE"""),0.0)</f>
        <v>0</v>
      </c>
      <c r="L2944" s="139"/>
      <c r="M2944" s="139"/>
      <c r="N2944" s="139"/>
    </row>
    <row r="2945">
      <c r="A2945" s="139" t="str">
        <f>IFERROR(__xludf.DUMMYFUNCTION("""COMPUTED_VALUE"""),"e")</f>
        <v>e</v>
      </c>
      <c r="B2945" s="139">
        <f>IFERROR(__xludf.DUMMYFUNCTION("""COMPUTED_VALUE"""),2.0260301E8)</f>
        <v>202603010</v>
      </c>
      <c r="C2945" s="139" t="str">
        <f>IFERROR(__xludf.DUMMYFUNCTION("""COMPUTED_VALUE"""),"c_hut_00001_hut1_challeng3_Boss_Red_Normal_00000")</f>
        <v>c_hut_00001_hut1_challeng3_Boss_Red_Normal_00000</v>
      </c>
      <c r="D2945" s="139" t="str">
        <f>IFERROR(__xludf.DUMMYFUNCTION("""COMPUTED_VALUE"""),"c_hut_00001_hut1_challeng3_Boss_Red")</f>
        <v>c_hut_00001_hut1_challeng3_Boss_Red</v>
      </c>
      <c r="E2945" s="139">
        <f>IFERROR(__xludf.DUMMYFUNCTION("""COMPUTED_VALUE"""),0.0)</f>
        <v>0</v>
      </c>
      <c r="F2945" s="139" t="str">
        <f>IFERROR(__xludf.DUMMYFUNCTION("""COMPUTED_VALUE"""),"Normal")</f>
        <v>Normal</v>
      </c>
      <c r="G2945" s="139"/>
      <c r="H2945" s="139"/>
      <c r="I2945" s="139">
        <f>IFERROR(__xludf.DUMMYFUNCTION("""COMPUTED_VALUE"""),74.0)</f>
        <v>74</v>
      </c>
      <c r="J2945" s="139">
        <f>IFERROR(__xludf.DUMMYFUNCTION("""COMPUTED_VALUE"""),8.0)</f>
        <v>8</v>
      </c>
      <c r="K2945" s="139">
        <f>IFERROR(__xludf.DUMMYFUNCTION("""COMPUTED_VALUE"""),60.0)</f>
        <v>60</v>
      </c>
      <c r="L2945" s="139"/>
      <c r="M2945" s="139"/>
      <c r="N2945" s="139"/>
    </row>
    <row r="2946">
      <c r="A2946" s="139" t="str">
        <f>IFERROR(__xludf.DUMMYFUNCTION("""COMPUTED_VALUE"""),"e")</f>
        <v>e</v>
      </c>
      <c r="B2946" s="139">
        <f>IFERROR(__xludf.DUMMYFUNCTION("""COMPUTED_VALUE"""),2.0260301E8)</f>
        <v>202603010</v>
      </c>
      <c r="C2946" s="139" t="str">
        <f>IFERROR(__xludf.DUMMYFUNCTION("""COMPUTED_VALUE"""),"c_hut_00001_hut1_challeng3_Boss_Red_Special_00001")</f>
        <v>c_hut_00001_hut1_challeng3_Boss_Red_Special_00001</v>
      </c>
      <c r="D2946" s="139" t="str">
        <f>IFERROR(__xludf.DUMMYFUNCTION("""COMPUTED_VALUE"""),"c_hut_00001_hut1_challeng3_Boss_Red")</f>
        <v>c_hut_00001_hut1_challeng3_Boss_Red</v>
      </c>
      <c r="E2946" s="139">
        <f>IFERROR(__xludf.DUMMYFUNCTION("""COMPUTED_VALUE"""),0.0)</f>
        <v>0</v>
      </c>
      <c r="F2946" s="139" t="str">
        <f>IFERROR(__xludf.DUMMYFUNCTION("""COMPUTED_VALUE"""),"Special")</f>
        <v>Special</v>
      </c>
      <c r="G2946" s="139"/>
      <c r="H2946" s="139"/>
      <c r="I2946" s="139">
        <f>IFERROR(__xludf.DUMMYFUNCTION("""COMPUTED_VALUE"""),140.0)</f>
        <v>140</v>
      </c>
      <c r="J2946" s="139">
        <f>IFERROR(__xludf.DUMMYFUNCTION("""COMPUTED_VALUE"""),0.0)</f>
        <v>0</v>
      </c>
      <c r="K2946" s="139">
        <f>IFERROR(__xludf.DUMMYFUNCTION("""COMPUTED_VALUE"""),0.0)</f>
        <v>0</v>
      </c>
      <c r="L2946" s="139"/>
      <c r="M2946" s="139"/>
      <c r="N2946" s="139"/>
    </row>
    <row r="2947">
      <c r="A2947" s="139" t="str">
        <f>IFERROR(__xludf.DUMMYFUNCTION("""COMPUTED_VALUE"""),"e")</f>
        <v>e</v>
      </c>
      <c r="B2947" s="139">
        <f>IFERROR(__xludf.DUMMYFUNCTION("""COMPUTED_VALUE"""),2.0260301E8)</f>
        <v>202603010</v>
      </c>
      <c r="C2947" s="139" t="str">
        <f>IFERROR(__xludf.DUMMYFUNCTION("""COMPUTED_VALUE"""),"c_hut_00001_hut1_challeng3_Boss_Red_Appearance_00002")</f>
        <v>c_hut_00001_hut1_challeng3_Boss_Red_Appearance_00002</v>
      </c>
      <c r="D2947" s="139" t="str">
        <f>IFERROR(__xludf.DUMMYFUNCTION("""COMPUTED_VALUE"""),"c_hut_00001_hut1_challeng3_Boss_Red")</f>
        <v>c_hut_00001_hut1_challeng3_Boss_Red</v>
      </c>
      <c r="E2947" s="139">
        <f>IFERROR(__xludf.DUMMYFUNCTION("""COMPUTED_VALUE"""),0.0)</f>
        <v>0</v>
      </c>
      <c r="F2947" s="139" t="str">
        <f>IFERROR(__xludf.DUMMYFUNCTION("""COMPUTED_VALUE"""),"Appearance")</f>
        <v>Appearance</v>
      </c>
      <c r="G2947" s="139"/>
      <c r="H2947" s="139"/>
      <c r="I2947" s="139">
        <f>IFERROR(__xludf.DUMMYFUNCTION("""COMPUTED_VALUE"""),50.0)</f>
        <v>50</v>
      </c>
      <c r="J2947" s="139">
        <f>IFERROR(__xludf.DUMMYFUNCTION("""COMPUTED_VALUE"""),0.0)</f>
        <v>0</v>
      </c>
      <c r="K2947" s="139">
        <f>IFERROR(__xludf.DUMMYFUNCTION("""COMPUTED_VALUE"""),0.0)</f>
        <v>0</v>
      </c>
      <c r="L2947" s="139"/>
      <c r="M2947" s="139"/>
      <c r="N2947" s="139"/>
    </row>
    <row r="2948">
      <c r="A2948" s="139" t="str">
        <f>IFERROR(__xludf.DUMMYFUNCTION("""COMPUTED_VALUE"""),"e")</f>
        <v>e</v>
      </c>
      <c r="B2948" s="139">
        <f>IFERROR(__xludf.DUMMYFUNCTION("""COMPUTED_VALUE"""),2.0260301E8)</f>
        <v>202603010</v>
      </c>
      <c r="C2948" s="139" t="str">
        <f>IFERROR(__xludf.DUMMYFUNCTION("""COMPUTED_VALUE"""),"c_hut_00101_hut1_challeng3_Normal_Red_Normal_00000")</f>
        <v>c_hut_00101_hut1_challeng3_Normal_Red_Normal_00000</v>
      </c>
      <c r="D2948" s="139" t="str">
        <f>IFERROR(__xludf.DUMMYFUNCTION("""COMPUTED_VALUE"""),"c_hut_00101_hut1_challeng3_Normal_Red")</f>
        <v>c_hut_00101_hut1_challeng3_Normal_Red</v>
      </c>
      <c r="E2948" s="139">
        <f>IFERROR(__xludf.DUMMYFUNCTION("""COMPUTED_VALUE"""),0.0)</f>
        <v>0</v>
      </c>
      <c r="F2948" s="139" t="str">
        <f>IFERROR(__xludf.DUMMYFUNCTION("""COMPUTED_VALUE"""),"Normal")</f>
        <v>Normal</v>
      </c>
      <c r="G2948" s="139"/>
      <c r="H2948" s="139"/>
      <c r="I2948" s="139">
        <f>IFERROR(__xludf.DUMMYFUNCTION("""COMPUTED_VALUE"""),79.0)</f>
        <v>79</v>
      </c>
      <c r="J2948" s="139">
        <f>IFERROR(__xludf.DUMMYFUNCTION("""COMPUTED_VALUE"""),38.0)</f>
        <v>38</v>
      </c>
      <c r="K2948" s="139">
        <f>IFERROR(__xludf.DUMMYFUNCTION("""COMPUTED_VALUE"""),60.0)</f>
        <v>60</v>
      </c>
      <c r="L2948" s="139"/>
      <c r="M2948" s="139"/>
      <c r="N2948" s="139"/>
    </row>
    <row r="2949">
      <c r="A2949" s="139" t="str">
        <f>IFERROR(__xludf.DUMMYFUNCTION("""COMPUTED_VALUE"""),"e")</f>
        <v>e</v>
      </c>
      <c r="B2949" s="139">
        <f>IFERROR(__xludf.DUMMYFUNCTION("""COMPUTED_VALUE"""),2.0260301E8)</f>
        <v>202603010</v>
      </c>
      <c r="C2949" s="139" t="str">
        <f>IFERROR(__xludf.DUMMYFUNCTION("""COMPUTED_VALUE"""),"c_hut_00101_hut1_challeng3_Normal_Red_Special_00001")</f>
        <v>c_hut_00101_hut1_challeng3_Normal_Red_Special_00001</v>
      </c>
      <c r="D2949" s="139" t="str">
        <f>IFERROR(__xludf.DUMMYFUNCTION("""COMPUTED_VALUE"""),"c_hut_00101_hut1_challeng3_Normal_Red")</f>
        <v>c_hut_00101_hut1_challeng3_Normal_Red</v>
      </c>
      <c r="E2949" s="139">
        <f>IFERROR(__xludf.DUMMYFUNCTION("""COMPUTED_VALUE"""),0.0)</f>
        <v>0</v>
      </c>
      <c r="F2949" s="139" t="str">
        <f>IFERROR(__xludf.DUMMYFUNCTION("""COMPUTED_VALUE"""),"Special")</f>
        <v>Special</v>
      </c>
      <c r="G2949" s="139"/>
      <c r="H2949" s="139"/>
      <c r="I2949" s="139">
        <f>IFERROR(__xludf.DUMMYFUNCTION("""COMPUTED_VALUE"""),129.0)</f>
        <v>129</v>
      </c>
      <c r="J2949" s="139">
        <f>IFERROR(__xludf.DUMMYFUNCTION("""COMPUTED_VALUE"""),0.0)</f>
        <v>0</v>
      </c>
      <c r="K2949" s="139">
        <f>IFERROR(__xludf.DUMMYFUNCTION("""COMPUTED_VALUE"""),0.0)</f>
        <v>0</v>
      </c>
      <c r="L2949" s="139"/>
      <c r="M2949" s="139"/>
      <c r="N2949" s="139"/>
    </row>
    <row r="2950">
      <c r="A2950" s="139" t="str">
        <f>IFERROR(__xludf.DUMMYFUNCTION("""COMPUTED_VALUE"""),"e")</f>
        <v>e</v>
      </c>
      <c r="B2950" s="139">
        <f>IFERROR(__xludf.DUMMYFUNCTION("""COMPUTED_VALUE"""),2.0260301E8)</f>
        <v>202603010</v>
      </c>
      <c r="C2950" s="139" t="str">
        <f>IFERROR(__xludf.DUMMYFUNCTION("""COMPUTED_VALUE"""),"c_hut_00201_hut1_challeng3_Normal_Red_Normal_00000")</f>
        <v>c_hut_00201_hut1_challeng3_Normal_Red_Normal_00000</v>
      </c>
      <c r="D2950" s="139" t="str">
        <f>IFERROR(__xludf.DUMMYFUNCTION("""COMPUTED_VALUE"""),"c_hut_00201_hut1_challeng3_Normal_Red")</f>
        <v>c_hut_00201_hut1_challeng3_Normal_Red</v>
      </c>
      <c r="E2950" s="139">
        <f>IFERROR(__xludf.DUMMYFUNCTION("""COMPUTED_VALUE"""),0.0)</f>
        <v>0</v>
      </c>
      <c r="F2950" s="139" t="str">
        <f>IFERROR(__xludf.DUMMYFUNCTION("""COMPUTED_VALUE"""),"Normal")</f>
        <v>Normal</v>
      </c>
      <c r="G2950" s="139"/>
      <c r="H2950" s="139"/>
      <c r="I2950" s="139">
        <f>IFERROR(__xludf.DUMMYFUNCTION("""COMPUTED_VALUE"""),60.0)</f>
        <v>60</v>
      </c>
      <c r="J2950" s="139">
        <f>IFERROR(__xludf.DUMMYFUNCTION("""COMPUTED_VALUE"""),17.0)</f>
        <v>17</v>
      </c>
      <c r="K2950" s="139">
        <f>IFERROR(__xludf.DUMMYFUNCTION("""COMPUTED_VALUE"""),60.0)</f>
        <v>60</v>
      </c>
      <c r="L2950" s="139"/>
      <c r="M2950" s="139"/>
      <c r="N2950" s="139"/>
    </row>
    <row r="2951">
      <c r="A2951" s="139" t="str">
        <f>IFERROR(__xludf.DUMMYFUNCTION("""COMPUTED_VALUE"""),"e")</f>
        <v>e</v>
      </c>
      <c r="B2951" s="139">
        <f>IFERROR(__xludf.DUMMYFUNCTION("""COMPUTED_VALUE"""),2.0260301E8)</f>
        <v>202603010</v>
      </c>
      <c r="C2951" s="139" t="str">
        <f>IFERROR(__xludf.DUMMYFUNCTION("""COMPUTED_VALUE"""),"c_hut_00201_hut1_challeng3_Normal_Red_Special_00001")</f>
        <v>c_hut_00201_hut1_challeng3_Normal_Red_Special_00001</v>
      </c>
      <c r="D2951" s="139" t="str">
        <f>IFERROR(__xludf.DUMMYFUNCTION("""COMPUTED_VALUE"""),"c_hut_00201_hut1_challeng3_Normal_Red")</f>
        <v>c_hut_00201_hut1_challeng3_Normal_Red</v>
      </c>
      <c r="E2951" s="139">
        <f>IFERROR(__xludf.DUMMYFUNCTION("""COMPUTED_VALUE"""),0.0)</f>
        <v>0</v>
      </c>
      <c r="F2951" s="139" t="str">
        <f>IFERROR(__xludf.DUMMYFUNCTION("""COMPUTED_VALUE"""),"Special")</f>
        <v>Special</v>
      </c>
      <c r="G2951" s="139"/>
      <c r="H2951" s="139"/>
      <c r="I2951" s="139">
        <f>IFERROR(__xludf.DUMMYFUNCTION("""COMPUTED_VALUE"""),142.0)</f>
        <v>142</v>
      </c>
      <c r="J2951" s="139">
        <f>IFERROR(__xludf.DUMMYFUNCTION("""COMPUTED_VALUE"""),0.0)</f>
        <v>0</v>
      </c>
      <c r="K2951" s="139">
        <f>IFERROR(__xludf.DUMMYFUNCTION("""COMPUTED_VALUE"""),0.0)</f>
        <v>0</v>
      </c>
      <c r="L2951" s="139"/>
      <c r="M2951" s="139"/>
      <c r="N2951" s="139"/>
    </row>
    <row r="2952">
      <c r="A2952" s="139" t="str">
        <f>IFERROR(__xludf.DUMMYFUNCTION("""COMPUTED_VALUE"""),"e")</f>
        <v>e</v>
      </c>
      <c r="B2952" s="139">
        <f>IFERROR(__xludf.DUMMYFUNCTION("""COMPUTED_VALUE"""),2.0260301E8)</f>
        <v>202603010</v>
      </c>
      <c r="C2952" s="139" t="str">
        <f>IFERROR(__xludf.DUMMYFUNCTION("""COMPUTED_VALUE"""),"c_hut_00001_hut1_challenge4_Boss_Yellow_Normal_00000")</f>
        <v>c_hut_00001_hut1_challenge4_Boss_Yellow_Normal_00000</v>
      </c>
      <c r="D2952" s="139" t="str">
        <f>IFERROR(__xludf.DUMMYFUNCTION("""COMPUTED_VALUE"""),"c_hut_00001_hut1_challenge4_Boss_Yellow")</f>
        <v>c_hut_00001_hut1_challenge4_Boss_Yellow</v>
      </c>
      <c r="E2952" s="139">
        <f>IFERROR(__xludf.DUMMYFUNCTION("""COMPUTED_VALUE"""),0.0)</f>
        <v>0</v>
      </c>
      <c r="F2952" s="139" t="str">
        <f>IFERROR(__xludf.DUMMYFUNCTION("""COMPUTED_VALUE"""),"Normal")</f>
        <v>Normal</v>
      </c>
      <c r="G2952" s="139"/>
      <c r="H2952" s="139"/>
      <c r="I2952" s="139">
        <f>IFERROR(__xludf.DUMMYFUNCTION("""COMPUTED_VALUE"""),74.0)</f>
        <v>74</v>
      </c>
      <c r="J2952" s="139">
        <f>IFERROR(__xludf.DUMMYFUNCTION("""COMPUTED_VALUE"""),8.0)</f>
        <v>8</v>
      </c>
      <c r="K2952" s="139">
        <f>IFERROR(__xludf.DUMMYFUNCTION("""COMPUTED_VALUE"""),60.0)</f>
        <v>60</v>
      </c>
      <c r="L2952" s="139"/>
      <c r="M2952" s="139"/>
      <c r="N2952" s="139"/>
    </row>
    <row r="2953">
      <c r="A2953" s="139" t="str">
        <f>IFERROR(__xludf.DUMMYFUNCTION("""COMPUTED_VALUE"""),"e")</f>
        <v>e</v>
      </c>
      <c r="B2953" s="139">
        <f>IFERROR(__xludf.DUMMYFUNCTION("""COMPUTED_VALUE"""),2.0260301E8)</f>
        <v>202603010</v>
      </c>
      <c r="C2953" s="139" t="str">
        <f>IFERROR(__xludf.DUMMYFUNCTION("""COMPUTED_VALUE"""),"c_hut_00001_hut1_challenge4_Boss_Yellow_Special_00001")</f>
        <v>c_hut_00001_hut1_challenge4_Boss_Yellow_Special_00001</v>
      </c>
      <c r="D2953" s="139" t="str">
        <f>IFERROR(__xludf.DUMMYFUNCTION("""COMPUTED_VALUE"""),"c_hut_00001_hut1_challenge4_Boss_Yellow")</f>
        <v>c_hut_00001_hut1_challenge4_Boss_Yellow</v>
      </c>
      <c r="E2953" s="139">
        <f>IFERROR(__xludf.DUMMYFUNCTION("""COMPUTED_VALUE"""),0.0)</f>
        <v>0</v>
      </c>
      <c r="F2953" s="139" t="str">
        <f>IFERROR(__xludf.DUMMYFUNCTION("""COMPUTED_VALUE"""),"Special")</f>
        <v>Special</v>
      </c>
      <c r="G2953" s="139"/>
      <c r="H2953" s="139"/>
      <c r="I2953" s="139">
        <f>IFERROR(__xludf.DUMMYFUNCTION("""COMPUTED_VALUE"""),140.0)</f>
        <v>140</v>
      </c>
      <c r="J2953" s="139">
        <f>IFERROR(__xludf.DUMMYFUNCTION("""COMPUTED_VALUE"""),0.0)</f>
        <v>0</v>
      </c>
      <c r="K2953" s="139">
        <f>IFERROR(__xludf.DUMMYFUNCTION("""COMPUTED_VALUE"""),0.0)</f>
        <v>0</v>
      </c>
      <c r="L2953" s="139"/>
      <c r="M2953" s="139"/>
      <c r="N2953" s="139"/>
    </row>
    <row r="2954">
      <c r="A2954" s="139" t="str">
        <f>IFERROR(__xludf.DUMMYFUNCTION("""COMPUTED_VALUE"""),"e")</f>
        <v>e</v>
      </c>
      <c r="B2954" s="139">
        <f>IFERROR(__xludf.DUMMYFUNCTION("""COMPUTED_VALUE"""),2.0260301E8)</f>
        <v>202603010</v>
      </c>
      <c r="C2954" s="139" t="str">
        <f>IFERROR(__xludf.DUMMYFUNCTION("""COMPUTED_VALUE"""),"c_hut_00001_hut1_challenge4_Boss_Yellow_Appearance_00002")</f>
        <v>c_hut_00001_hut1_challenge4_Boss_Yellow_Appearance_00002</v>
      </c>
      <c r="D2954" s="139" t="str">
        <f>IFERROR(__xludf.DUMMYFUNCTION("""COMPUTED_VALUE"""),"c_hut_00001_hut1_challenge4_Boss_Yellow")</f>
        <v>c_hut_00001_hut1_challenge4_Boss_Yellow</v>
      </c>
      <c r="E2954" s="139">
        <f>IFERROR(__xludf.DUMMYFUNCTION("""COMPUTED_VALUE"""),0.0)</f>
        <v>0</v>
      </c>
      <c r="F2954" s="139" t="str">
        <f>IFERROR(__xludf.DUMMYFUNCTION("""COMPUTED_VALUE"""),"Appearance")</f>
        <v>Appearance</v>
      </c>
      <c r="G2954" s="139"/>
      <c r="H2954" s="139"/>
      <c r="I2954" s="139">
        <f>IFERROR(__xludf.DUMMYFUNCTION("""COMPUTED_VALUE"""),50.0)</f>
        <v>50</v>
      </c>
      <c r="J2954" s="139">
        <f>IFERROR(__xludf.DUMMYFUNCTION("""COMPUTED_VALUE"""),0.0)</f>
        <v>0</v>
      </c>
      <c r="K2954" s="139">
        <f>IFERROR(__xludf.DUMMYFUNCTION("""COMPUTED_VALUE"""),0.0)</f>
        <v>0</v>
      </c>
      <c r="L2954" s="139"/>
      <c r="M2954" s="139"/>
      <c r="N2954" s="139"/>
    </row>
    <row r="2955">
      <c r="A2955" s="139" t="str">
        <f>IFERROR(__xludf.DUMMYFUNCTION("""COMPUTED_VALUE"""),"e")</f>
        <v>e</v>
      </c>
      <c r="B2955" s="139">
        <f>IFERROR(__xludf.DUMMYFUNCTION("""COMPUTED_VALUE"""),2.0260301E8)</f>
        <v>202603010</v>
      </c>
      <c r="C2955" s="139" t="str">
        <f>IFERROR(__xludf.DUMMYFUNCTION("""COMPUTED_VALUE"""),"c_hut_00101_hut1_challenge4_Normal_Yellow_Normal_00000")</f>
        <v>c_hut_00101_hut1_challenge4_Normal_Yellow_Normal_00000</v>
      </c>
      <c r="D2955" s="139" t="str">
        <f>IFERROR(__xludf.DUMMYFUNCTION("""COMPUTED_VALUE"""),"c_hut_00101_hut1_challenge4_Normal_Yellow")</f>
        <v>c_hut_00101_hut1_challenge4_Normal_Yellow</v>
      </c>
      <c r="E2955" s="139">
        <f>IFERROR(__xludf.DUMMYFUNCTION("""COMPUTED_VALUE"""),0.0)</f>
        <v>0</v>
      </c>
      <c r="F2955" s="139" t="str">
        <f>IFERROR(__xludf.DUMMYFUNCTION("""COMPUTED_VALUE"""),"Normal")</f>
        <v>Normal</v>
      </c>
      <c r="G2955" s="139"/>
      <c r="H2955" s="139"/>
      <c r="I2955" s="139">
        <f>IFERROR(__xludf.DUMMYFUNCTION("""COMPUTED_VALUE"""),79.0)</f>
        <v>79</v>
      </c>
      <c r="J2955" s="139">
        <f>IFERROR(__xludf.DUMMYFUNCTION("""COMPUTED_VALUE"""),38.0)</f>
        <v>38</v>
      </c>
      <c r="K2955" s="139">
        <f>IFERROR(__xludf.DUMMYFUNCTION("""COMPUTED_VALUE"""),60.0)</f>
        <v>60</v>
      </c>
      <c r="L2955" s="139"/>
      <c r="M2955" s="139"/>
      <c r="N2955" s="139"/>
    </row>
    <row r="2956">
      <c r="A2956" s="139" t="str">
        <f>IFERROR(__xludf.DUMMYFUNCTION("""COMPUTED_VALUE"""),"e")</f>
        <v>e</v>
      </c>
      <c r="B2956" s="139">
        <f>IFERROR(__xludf.DUMMYFUNCTION("""COMPUTED_VALUE"""),2.0260301E8)</f>
        <v>202603010</v>
      </c>
      <c r="C2956" s="139" t="str">
        <f>IFERROR(__xludf.DUMMYFUNCTION("""COMPUTED_VALUE"""),"c_hut_00101_hut1_challenge4_Normal_Yellow_Special_00001")</f>
        <v>c_hut_00101_hut1_challenge4_Normal_Yellow_Special_00001</v>
      </c>
      <c r="D2956" s="139" t="str">
        <f>IFERROR(__xludf.DUMMYFUNCTION("""COMPUTED_VALUE"""),"c_hut_00101_hut1_challenge4_Normal_Yellow")</f>
        <v>c_hut_00101_hut1_challenge4_Normal_Yellow</v>
      </c>
      <c r="E2956" s="139">
        <f>IFERROR(__xludf.DUMMYFUNCTION("""COMPUTED_VALUE"""),0.0)</f>
        <v>0</v>
      </c>
      <c r="F2956" s="139" t="str">
        <f>IFERROR(__xludf.DUMMYFUNCTION("""COMPUTED_VALUE"""),"Special")</f>
        <v>Special</v>
      </c>
      <c r="G2956" s="139"/>
      <c r="H2956" s="139"/>
      <c r="I2956" s="139">
        <f>IFERROR(__xludf.DUMMYFUNCTION("""COMPUTED_VALUE"""),129.0)</f>
        <v>129</v>
      </c>
      <c r="J2956" s="139">
        <f>IFERROR(__xludf.DUMMYFUNCTION("""COMPUTED_VALUE"""),0.0)</f>
        <v>0</v>
      </c>
      <c r="K2956" s="139">
        <f>IFERROR(__xludf.DUMMYFUNCTION("""COMPUTED_VALUE"""),0.0)</f>
        <v>0</v>
      </c>
      <c r="L2956" s="139"/>
      <c r="M2956" s="139"/>
      <c r="N2956" s="139"/>
    </row>
    <row r="2957">
      <c r="A2957" s="139" t="str">
        <f>IFERROR(__xludf.DUMMYFUNCTION("""COMPUTED_VALUE"""),"e")</f>
        <v>e</v>
      </c>
      <c r="B2957" s="139">
        <f>IFERROR(__xludf.DUMMYFUNCTION("""COMPUTED_VALUE"""),2.0260301E8)</f>
        <v>202603010</v>
      </c>
      <c r="C2957" s="139" t="str">
        <f>IFERROR(__xludf.DUMMYFUNCTION("""COMPUTED_VALUE"""),"c_hut_00201_hut1_challenge4_Normal_Yellow_Normal_00000")</f>
        <v>c_hut_00201_hut1_challenge4_Normal_Yellow_Normal_00000</v>
      </c>
      <c r="D2957" s="139" t="str">
        <f>IFERROR(__xludf.DUMMYFUNCTION("""COMPUTED_VALUE"""),"c_hut_00201_hut1_challenge4_Normal_Yellow")</f>
        <v>c_hut_00201_hut1_challenge4_Normal_Yellow</v>
      </c>
      <c r="E2957" s="139">
        <f>IFERROR(__xludf.DUMMYFUNCTION("""COMPUTED_VALUE"""),0.0)</f>
        <v>0</v>
      </c>
      <c r="F2957" s="139" t="str">
        <f>IFERROR(__xludf.DUMMYFUNCTION("""COMPUTED_VALUE"""),"Normal")</f>
        <v>Normal</v>
      </c>
      <c r="G2957" s="139"/>
      <c r="H2957" s="139"/>
      <c r="I2957" s="139">
        <f>IFERROR(__xludf.DUMMYFUNCTION("""COMPUTED_VALUE"""),60.0)</f>
        <v>60</v>
      </c>
      <c r="J2957" s="139">
        <f>IFERROR(__xludf.DUMMYFUNCTION("""COMPUTED_VALUE"""),17.0)</f>
        <v>17</v>
      </c>
      <c r="K2957" s="139">
        <f>IFERROR(__xludf.DUMMYFUNCTION("""COMPUTED_VALUE"""),60.0)</f>
        <v>60</v>
      </c>
      <c r="L2957" s="139"/>
      <c r="M2957" s="139"/>
      <c r="N2957" s="139"/>
    </row>
    <row r="2958">
      <c r="A2958" s="139" t="str">
        <f>IFERROR(__xludf.DUMMYFUNCTION("""COMPUTED_VALUE"""),"e")</f>
        <v>e</v>
      </c>
      <c r="B2958" s="139">
        <f>IFERROR(__xludf.DUMMYFUNCTION("""COMPUTED_VALUE"""),2.0260301E8)</f>
        <v>202603010</v>
      </c>
      <c r="C2958" s="139" t="str">
        <f>IFERROR(__xludf.DUMMYFUNCTION("""COMPUTED_VALUE"""),"c_hut_00201_hut1_challenge4_Normal_Yellow_Special_00001")</f>
        <v>c_hut_00201_hut1_challenge4_Normal_Yellow_Special_00001</v>
      </c>
      <c r="D2958" s="139" t="str">
        <f>IFERROR(__xludf.DUMMYFUNCTION("""COMPUTED_VALUE"""),"c_hut_00201_hut1_challenge4_Normal_Yellow")</f>
        <v>c_hut_00201_hut1_challenge4_Normal_Yellow</v>
      </c>
      <c r="E2958" s="139">
        <f>IFERROR(__xludf.DUMMYFUNCTION("""COMPUTED_VALUE"""),0.0)</f>
        <v>0</v>
      </c>
      <c r="F2958" s="139" t="str">
        <f>IFERROR(__xludf.DUMMYFUNCTION("""COMPUTED_VALUE"""),"Special")</f>
        <v>Special</v>
      </c>
      <c r="G2958" s="139"/>
      <c r="H2958" s="139"/>
      <c r="I2958" s="139">
        <f>IFERROR(__xludf.DUMMYFUNCTION("""COMPUTED_VALUE"""),142.0)</f>
        <v>142</v>
      </c>
      <c r="J2958" s="139">
        <f>IFERROR(__xludf.DUMMYFUNCTION("""COMPUTED_VALUE"""),0.0)</f>
        <v>0</v>
      </c>
      <c r="K2958" s="139">
        <f>IFERROR(__xludf.DUMMYFUNCTION("""COMPUTED_VALUE"""),0.0)</f>
        <v>0</v>
      </c>
      <c r="L2958" s="139"/>
      <c r="M2958" s="139"/>
      <c r="N2958" s="139"/>
    </row>
    <row r="2959">
      <c r="A2959" s="139" t="str">
        <f>IFERROR(__xludf.DUMMYFUNCTION("""COMPUTED_VALUE"""),"e")</f>
        <v>e</v>
      </c>
      <c r="B2959" s="139">
        <f>IFERROR(__xludf.DUMMYFUNCTION("""COMPUTED_VALUE"""),2.0260301E8)</f>
        <v>202603010</v>
      </c>
      <c r="C2959" s="139" t="str">
        <f>IFERROR(__xludf.DUMMYFUNCTION("""COMPUTED_VALUE"""),"c_hut_00301_hut1_challenge4_Normal_Yellow_Normal_00000")</f>
        <v>c_hut_00301_hut1_challenge4_Normal_Yellow_Normal_00000</v>
      </c>
      <c r="D2959" s="139" t="str">
        <f>IFERROR(__xludf.DUMMYFUNCTION("""COMPUTED_VALUE"""),"c_hut_00301_hut1_challenge4_Normal_Yellow")</f>
        <v>c_hut_00301_hut1_challenge4_Normal_Yellow</v>
      </c>
      <c r="E2959" s="139">
        <f>IFERROR(__xludf.DUMMYFUNCTION("""COMPUTED_VALUE"""),0.0)</f>
        <v>0</v>
      </c>
      <c r="F2959" s="139" t="str">
        <f>IFERROR(__xludf.DUMMYFUNCTION("""COMPUTED_VALUE"""),"Normal")</f>
        <v>Normal</v>
      </c>
      <c r="G2959" s="139"/>
      <c r="H2959" s="139"/>
      <c r="I2959" s="139">
        <f>IFERROR(__xludf.DUMMYFUNCTION("""COMPUTED_VALUE"""),67.0)</f>
        <v>67</v>
      </c>
      <c r="J2959" s="139">
        <f>IFERROR(__xludf.DUMMYFUNCTION("""COMPUTED_VALUE"""),17.0)</f>
        <v>17</v>
      </c>
      <c r="K2959" s="139">
        <f>IFERROR(__xludf.DUMMYFUNCTION("""COMPUTED_VALUE"""),60.0)</f>
        <v>60</v>
      </c>
      <c r="L2959" s="139"/>
      <c r="M2959" s="139"/>
      <c r="N2959" s="139"/>
    </row>
    <row r="2960">
      <c r="A2960" s="139" t="str">
        <f>IFERROR(__xludf.DUMMYFUNCTION("""COMPUTED_VALUE"""),"e")</f>
        <v>e</v>
      </c>
      <c r="B2960" s="139">
        <f>IFERROR(__xludf.DUMMYFUNCTION("""COMPUTED_VALUE"""),2.0260301E8)</f>
        <v>202603010</v>
      </c>
      <c r="C2960" s="139" t="str">
        <f>IFERROR(__xludf.DUMMYFUNCTION("""COMPUTED_VALUE"""),"c_hut_00301_hut1_challenge4_Normal_Yellow_Special_00001")</f>
        <v>c_hut_00301_hut1_challenge4_Normal_Yellow_Special_00001</v>
      </c>
      <c r="D2960" s="139" t="str">
        <f>IFERROR(__xludf.DUMMYFUNCTION("""COMPUTED_VALUE"""),"c_hut_00301_hut1_challenge4_Normal_Yellow")</f>
        <v>c_hut_00301_hut1_challenge4_Normal_Yellow</v>
      </c>
      <c r="E2960" s="139">
        <f>IFERROR(__xludf.DUMMYFUNCTION("""COMPUTED_VALUE"""),0.0)</f>
        <v>0</v>
      </c>
      <c r="F2960" s="139" t="str">
        <f>IFERROR(__xludf.DUMMYFUNCTION("""COMPUTED_VALUE"""),"Special")</f>
        <v>Special</v>
      </c>
      <c r="G2960" s="139"/>
      <c r="H2960" s="139"/>
      <c r="I2960" s="139">
        <f>IFERROR(__xludf.DUMMYFUNCTION("""COMPUTED_VALUE"""),121.0)</f>
        <v>121</v>
      </c>
      <c r="J2960" s="139">
        <f>IFERROR(__xludf.DUMMYFUNCTION("""COMPUTED_VALUE"""),0.0)</f>
        <v>0</v>
      </c>
      <c r="K2960" s="139">
        <f>IFERROR(__xludf.DUMMYFUNCTION("""COMPUTED_VALUE"""),0.0)</f>
        <v>0</v>
      </c>
      <c r="L2960" s="139"/>
      <c r="M2960" s="139"/>
      <c r="N2960" s="139"/>
    </row>
    <row r="2961">
      <c r="A2961" s="139" t="str">
        <f>IFERROR(__xludf.DUMMYFUNCTION("""COMPUTED_VALUE"""),"e")</f>
        <v>e</v>
      </c>
      <c r="B2961" s="139">
        <f>IFERROR(__xludf.DUMMYFUNCTION("""COMPUTED_VALUE"""),2.0260301E8)</f>
        <v>202603010</v>
      </c>
      <c r="C2961" s="139" t="str">
        <f>IFERROR(__xludf.DUMMYFUNCTION("""COMPUTED_VALUE"""),"e_hut_00001_hut1_challenge_Normal_Colorless_Normal_00000")</f>
        <v>e_hut_00001_hut1_challenge_Normal_Colorless_Normal_00000</v>
      </c>
      <c r="D2961" s="139" t="str">
        <f>IFERROR(__xludf.DUMMYFUNCTION("""COMPUTED_VALUE"""),"e_hut_00001_hut1_challenge_Normal_Colorless")</f>
        <v>e_hut_00001_hut1_challenge_Normal_Colorless</v>
      </c>
      <c r="E2961" s="139">
        <f>IFERROR(__xludf.DUMMYFUNCTION("""COMPUTED_VALUE"""),0.0)</f>
        <v>0</v>
      </c>
      <c r="F2961" s="139" t="str">
        <f>IFERROR(__xludf.DUMMYFUNCTION("""COMPUTED_VALUE"""),"Normal")</f>
        <v>Normal</v>
      </c>
      <c r="G2961" s="139"/>
      <c r="H2961" s="139"/>
      <c r="I2961" s="139">
        <f>IFERROR(__xludf.DUMMYFUNCTION("""COMPUTED_VALUE"""),69.0)</f>
        <v>69</v>
      </c>
      <c r="J2961" s="139">
        <f>IFERROR(__xludf.DUMMYFUNCTION("""COMPUTED_VALUE"""),26.0)</f>
        <v>26</v>
      </c>
      <c r="K2961" s="139">
        <f>IFERROR(__xludf.DUMMYFUNCTION("""COMPUTED_VALUE"""),70.0)</f>
        <v>70</v>
      </c>
      <c r="L2961" s="139"/>
      <c r="M2961" s="139"/>
      <c r="N2961" s="139"/>
    </row>
    <row r="2962">
      <c r="A2962" s="139" t="str">
        <f>IFERROR(__xludf.DUMMYFUNCTION("""COMPUTED_VALUE"""),"e")</f>
        <v>e</v>
      </c>
      <c r="B2962" s="139">
        <f>IFERROR(__xludf.DUMMYFUNCTION("""COMPUTED_VALUE"""),2.0260301E8)</f>
        <v>202603010</v>
      </c>
      <c r="C2962" s="139" t="str">
        <f>IFERROR(__xludf.DUMMYFUNCTION("""COMPUTED_VALUE"""),"e_glo_00001_hut1_challenge_Normal_Colorless_Normal_00000")</f>
        <v>e_glo_00001_hut1_challenge_Normal_Colorless_Normal_00000</v>
      </c>
      <c r="D2962" s="139" t="str">
        <f>IFERROR(__xludf.DUMMYFUNCTION("""COMPUTED_VALUE"""),"e_glo_00001_hut1_challenge_Normal_Colorless")</f>
        <v>e_glo_00001_hut1_challenge_Normal_Colorless</v>
      </c>
      <c r="E2962" s="139">
        <f>IFERROR(__xludf.DUMMYFUNCTION("""COMPUTED_VALUE"""),0.0)</f>
        <v>0</v>
      </c>
      <c r="F2962" s="139" t="str">
        <f>IFERROR(__xludf.DUMMYFUNCTION("""COMPUTED_VALUE"""),"Normal")</f>
        <v>Normal</v>
      </c>
      <c r="G2962" s="139"/>
      <c r="H2962" s="139"/>
      <c r="I2962" s="139">
        <f>IFERROR(__xludf.DUMMYFUNCTION("""COMPUTED_VALUE"""),50.0)</f>
        <v>50</v>
      </c>
      <c r="J2962" s="139">
        <f>IFERROR(__xludf.DUMMYFUNCTION("""COMPUTED_VALUE"""),25.0)</f>
        <v>25</v>
      </c>
      <c r="K2962" s="139">
        <f>IFERROR(__xludf.DUMMYFUNCTION("""COMPUTED_VALUE"""),30.0)</f>
        <v>30</v>
      </c>
      <c r="L2962" s="139"/>
      <c r="M2962" s="139"/>
      <c r="N2962" s="139"/>
    </row>
    <row r="2963">
      <c r="A2963" s="139" t="str">
        <f>IFERROR(__xludf.DUMMYFUNCTION("""COMPUTED_VALUE"""),"e")</f>
        <v>e</v>
      </c>
      <c r="B2963" s="139">
        <f>IFERROR(__xludf.DUMMYFUNCTION("""COMPUTED_VALUE"""),2.0260301E8)</f>
        <v>202603010</v>
      </c>
      <c r="C2963" s="139" t="str">
        <f>IFERROR(__xludf.DUMMYFUNCTION("""COMPUTED_VALUE"""),"e_glo_00001_hut1_savage01_Normal_Colorless_Normal_00000")</f>
        <v>e_glo_00001_hut1_savage01_Normal_Colorless_Normal_00000</v>
      </c>
      <c r="D2963" s="139" t="str">
        <f>IFERROR(__xludf.DUMMYFUNCTION("""COMPUTED_VALUE"""),"e_glo_00001_hut1_savage01_Normal_Colorless")</f>
        <v>e_glo_00001_hut1_savage01_Normal_Colorless</v>
      </c>
      <c r="E2963" s="139">
        <f>IFERROR(__xludf.DUMMYFUNCTION("""COMPUTED_VALUE"""),0.0)</f>
        <v>0</v>
      </c>
      <c r="F2963" s="139" t="str">
        <f>IFERROR(__xludf.DUMMYFUNCTION("""COMPUTED_VALUE"""),"Normal")</f>
        <v>Normal</v>
      </c>
      <c r="G2963" s="139"/>
      <c r="H2963" s="139"/>
      <c r="I2963" s="139">
        <f>IFERROR(__xludf.DUMMYFUNCTION("""COMPUTED_VALUE"""),50.0)</f>
        <v>50</v>
      </c>
      <c r="J2963" s="139">
        <f>IFERROR(__xludf.DUMMYFUNCTION("""COMPUTED_VALUE"""),25.0)</f>
        <v>25</v>
      </c>
      <c r="K2963" s="139">
        <f>IFERROR(__xludf.DUMMYFUNCTION("""COMPUTED_VALUE"""),40.0)</f>
        <v>40</v>
      </c>
      <c r="L2963" s="139"/>
      <c r="M2963" s="139"/>
      <c r="N2963" s="139"/>
    </row>
    <row r="2964">
      <c r="A2964" s="139" t="str">
        <f>IFERROR(__xludf.DUMMYFUNCTION("""COMPUTED_VALUE"""),"e")</f>
        <v>e</v>
      </c>
      <c r="B2964" s="139">
        <f>IFERROR(__xludf.DUMMYFUNCTION("""COMPUTED_VALUE"""),2.0260301E8)</f>
        <v>202603010</v>
      </c>
      <c r="C2964" s="139" t="str">
        <f>IFERROR(__xludf.DUMMYFUNCTION("""COMPUTED_VALUE"""),"c_hut_00001_hut1_savage01_Boss_Colorless_Normal_00000")</f>
        <v>c_hut_00001_hut1_savage01_Boss_Colorless_Normal_00000</v>
      </c>
      <c r="D2964" s="139" t="str">
        <f>IFERROR(__xludf.DUMMYFUNCTION("""COMPUTED_VALUE"""),"c_hut_00001_hut1_savage01_Boss_Colorless")</f>
        <v>c_hut_00001_hut1_savage01_Boss_Colorless</v>
      </c>
      <c r="E2964" s="139">
        <f>IFERROR(__xludf.DUMMYFUNCTION("""COMPUTED_VALUE"""),0.0)</f>
        <v>0</v>
      </c>
      <c r="F2964" s="139" t="str">
        <f>IFERROR(__xludf.DUMMYFUNCTION("""COMPUTED_VALUE"""),"Normal")</f>
        <v>Normal</v>
      </c>
      <c r="G2964" s="139"/>
      <c r="H2964" s="139"/>
      <c r="I2964" s="139">
        <f>IFERROR(__xludf.DUMMYFUNCTION("""COMPUTED_VALUE"""),74.0)</f>
        <v>74</v>
      </c>
      <c r="J2964" s="139">
        <f>IFERROR(__xludf.DUMMYFUNCTION("""COMPUTED_VALUE"""),8.0)</f>
        <v>8</v>
      </c>
      <c r="K2964" s="139">
        <f>IFERROR(__xludf.DUMMYFUNCTION("""COMPUTED_VALUE"""),50.0)</f>
        <v>50</v>
      </c>
      <c r="L2964" s="139"/>
      <c r="M2964" s="139"/>
      <c r="N2964" s="139"/>
    </row>
    <row r="2965">
      <c r="A2965" s="139" t="str">
        <f>IFERROR(__xludf.DUMMYFUNCTION("""COMPUTED_VALUE"""),"e")</f>
        <v>e</v>
      </c>
      <c r="B2965" s="139">
        <f>IFERROR(__xludf.DUMMYFUNCTION("""COMPUTED_VALUE"""),2.0260301E8)</f>
        <v>202603010</v>
      </c>
      <c r="C2965" s="139" t="str">
        <f>IFERROR(__xludf.DUMMYFUNCTION("""COMPUTED_VALUE"""),"c_hut_00001_hut1_savage01_Boss_Colorless_Special_00001")</f>
        <v>c_hut_00001_hut1_savage01_Boss_Colorless_Special_00001</v>
      </c>
      <c r="D2965" s="139" t="str">
        <f>IFERROR(__xludf.DUMMYFUNCTION("""COMPUTED_VALUE"""),"c_hut_00001_hut1_savage01_Boss_Colorless")</f>
        <v>c_hut_00001_hut1_savage01_Boss_Colorless</v>
      </c>
      <c r="E2965" s="139">
        <f>IFERROR(__xludf.DUMMYFUNCTION("""COMPUTED_VALUE"""),0.0)</f>
        <v>0</v>
      </c>
      <c r="F2965" s="139" t="str">
        <f>IFERROR(__xludf.DUMMYFUNCTION("""COMPUTED_VALUE"""),"Special")</f>
        <v>Special</v>
      </c>
      <c r="G2965" s="139"/>
      <c r="H2965" s="139"/>
      <c r="I2965" s="139">
        <f>IFERROR(__xludf.DUMMYFUNCTION("""COMPUTED_VALUE"""),140.0)</f>
        <v>140</v>
      </c>
      <c r="J2965" s="139">
        <f>IFERROR(__xludf.DUMMYFUNCTION("""COMPUTED_VALUE"""),44.0)</f>
        <v>44</v>
      </c>
      <c r="K2965" s="139">
        <f>IFERROR(__xludf.DUMMYFUNCTION("""COMPUTED_VALUE"""),0.0)</f>
        <v>0</v>
      </c>
      <c r="L2965" s="139"/>
      <c r="M2965" s="139"/>
      <c r="N2965" s="139"/>
    </row>
    <row r="2966">
      <c r="A2966" s="139" t="str">
        <f>IFERROR(__xludf.DUMMYFUNCTION("""COMPUTED_VALUE"""),"e")</f>
        <v>e</v>
      </c>
      <c r="B2966" s="139">
        <f>IFERROR(__xludf.DUMMYFUNCTION("""COMPUTED_VALUE"""),2.0260301E8)</f>
        <v>202603010</v>
      </c>
      <c r="C2966" s="139" t="str">
        <f>IFERROR(__xludf.DUMMYFUNCTION("""COMPUTED_VALUE"""),"c_hut_00001_hut1_savage01_Boss_Colorless_Appearance_00002")</f>
        <v>c_hut_00001_hut1_savage01_Boss_Colorless_Appearance_00002</v>
      </c>
      <c r="D2966" s="139" t="str">
        <f>IFERROR(__xludf.DUMMYFUNCTION("""COMPUTED_VALUE"""),"c_hut_00001_hut1_savage01_Boss_Colorless")</f>
        <v>c_hut_00001_hut1_savage01_Boss_Colorless</v>
      </c>
      <c r="E2966" s="139">
        <f>IFERROR(__xludf.DUMMYFUNCTION("""COMPUTED_VALUE"""),0.0)</f>
        <v>0</v>
      </c>
      <c r="F2966" s="139" t="str">
        <f>IFERROR(__xludf.DUMMYFUNCTION("""COMPUTED_VALUE"""),"Appearance")</f>
        <v>Appearance</v>
      </c>
      <c r="G2966" s="139"/>
      <c r="H2966" s="139"/>
      <c r="I2966" s="139">
        <f>IFERROR(__xludf.DUMMYFUNCTION("""COMPUTED_VALUE"""),50.0)</f>
        <v>50</v>
      </c>
      <c r="J2966" s="139">
        <f>IFERROR(__xludf.DUMMYFUNCTION("""COMPUTED_VALUE"""),0.0)</f>
        <v>0</v>
      </c>
      <c r="K2966" s="139">
        <f>IFERROR(__xludf.DUMMYFUNCTION("""COMPUTED_VALUE"""),0.0)</f>
        <v>0</v>
      </c>
      <c r="L2966" s="139"/>
      <c r="M2966" s="139"/>
      <c r="N2966" s="139"/>
    </row>
    <row r="2967">
      <c r="A2967" s="139" t="str">
        <f>IFERROR(__xludf.DUMMYFUNCTION("""COMPUTED_VALUE"""),"e")</f>
        <v>e</v>
      </c>
      <c r="B2967" s="139">
        <f>IFERROR(__xludf.DUMMYFUNCTION("""COMPUTED_VALUE"""),2.0260301E8)</f>
        <v>202603010</v>
      </c>
      <c r="C2967" s="139" t="str">
        <f>IFERROR(__xludf.DUMMYFUNCTION("""COMPUTED_VALUE"""),"c_hut_00101_hut1_savage01_Boss_Colorless_Normal_00000")</f>
        <v>c_hut_00101_hut1_savage01_Boss_Colorless_Normal_00000</v>
      </c>
      <c r="D2967" s="139" t="str">
        <f>IFERROR(__xludf.DUMMYFUNCTION("""COMPUTED_VALUE"""),"c_hut_00101_hut1_savage01_Boss_Colorless")</f>
        <v>c_hut_00101_hut1_savage01_Boss_Colorless</v>
      </c>
      <c r="E2967" s="139">
        <f>IFERROR(__xludf.DUMMYFUNCTION("""COMPUTED_VALUE"""),0.0)</f>
        <v>0</v>
      </c>
      <c r="F2967" s="139" t="str">
        <f>IFERROR(__xludf.DUMMYFUNCTION("""COMPUTED_VALUE"""),"Normal")</f>
        <v>Normal</v>
      </c>
      <c r="G2967" s="139"/>
      <c r="H2967" s="139"/>
      <c r="I2967" s="139">
        <f>IFERROR(__xludf.DUMMYFUNCTION("""COMPUTED_VALUE"""),79.0)</f>
        <v>79</v>
      </c>
      <c r="J2967" s="139">
        <f>IFERROR(__xludf.DUMMYFUNCTION("""COMPUTED_VALUE"""),38.0)</f>
        <v>38</v>
      </c>
      <c r="K2967" s="139">
        <f>IFERROR(__xludf.DUMMYFUNCTION("""COMPUTED_VALUE"""),70.0)</f>
        <v>70</v>
      </c>
      <c r="L2967" s="139"/>
      <c r="M2967" s="139"/>
      <c r="N2967" s="139"/>
    </row>
    <row r="2968">
      <c r="A2968" s="139" t="str">
        <f>IFERROR(__xludf.DUMMYFUNCTION("""COMPUTED_VALUE"""),"e")</f>
        <v>e</v>
      </c>
      <c r="B2968" s="139">
        <f>IFERROR(__xludf.DUMMYFUNCTION("""COMPUTED_VALUE"""),2.0260301E8)</f>
        <v>202603010</v>
      </c>
      <c r="C2968" s="139" t="str">
        <f>IFERROR(__xludf.DUMMYFUNCTION("""COMPUTED_VALUE"""),"c_hut_00101_hut1_savage01_Boss_Colorless_Special_00001")</f>
        <v>c_hut_00101_hut1_savage01_Boss_Colorless_Special_00001</v>
      </c>
      <c r="D2968" s="139" t="str">
        <f>IFERROR(__xludf.DUMMYFUNCTION("""COMPUTED_VALUE"""),"c_hut_00101_hut1_savage01_Boss_Colorless")</f>
        <v>c_hut_00101_hut1_savage01_Boss_Colorless</v>
      </c>
      <c r="E2968" s="139">
        <f>IFERROR(__xludf.DUMMYFUNCTION("""COMPUTED_VALUE"""),0.0)</f>
        <v>0</v>
      </c>
      <c r="F2968" s="139" t="str">
        <f>IFERROR(__xludf.DUMMYFUNCTION("""COMPUTED_VALUE"""),"Special")</f>
        <v>Special</v>
      </c>
      <c r="G2968" s="139"/>
      <c r="H2968" s="139"/>
      <c r="I2968" s="139">
        <f>IFERROR(__xludf.DUMMYFUNCTION("""COMPUTED_VALUE"""),129.0)</f>
        <v>129</v>
      </c>
      <c r="J2968" s="139">
        <f>IFERROR(__xludf.DUMMYFUNCTION("""COMPUTED_VALUE"""),0.0)</f>
        <v>0</v>
      </c>
      <c r="K2968" s="139">
        <f>IFERROR(__xludf.DUMMYFUNCTION("""COMPUTED_VALUE"""),0.0)</f>
        <v>0</v>
      </c>
      <c r="L2968" s="139"/>
      <c r="M2968" s="139"/>
      <c r="N2968" s="139"/>
    </row>
    <row r="2969">
      <c r="A2969" s="139" t="str">
        <f>IFERROR(__xludf.DUMMYFUNCTION("""COMPUTED_VALUE"""),"e")</f>
        <v>e</v>
      </c>
      <c r="B2969" s="139">
        <f>IFERROR(__xludf.DUMMYFUNCTION("""COMPUTED_VALUE"""),2.0260301E8)</f>
        <v>202603010</v>
      </c>
      <c r="C2969" s="139" t="str">
        <f>IFERROR(__xludf.DUMMYFUNCTION("""COMPUTED_VALUE"""),"c_hut_00101_hut1_savage01_Boss_Colorless_Appearance_00002")</f>
        <v>c_hut_00101_hut1_savage01_Boss_Colorless_Appearance_00002</v>
      </c>
      <c r="D2969" s="139" t="str">
        <f>IFERROR(__xludf.DUMMYFUNCTION("""COMPUTED_VALUE"""),"c_hut_00101_hut1_savage01_Boss_Colorless")</f>
        <v>c_hut_00101_hut1_savage01_Boss_Colorless</v>
      </c>
      <c r="E2969" s="139">
        <f>IFERROR(__xludf.DUMMYFUNCTION("""COMPUTED_VALUE"""),0.0)</f>
        <v>0</v>
      </c>
      <c r="F2969" s="139" t="str">
        <f>IFERROR(__xludf.DUMMYFUNCTION("""COMPUTED_VALUE"""),"Appearance")</f>
        <v>Appearance</v>
      </c>
      <c r="G2969" s="139"/>
      <c r="H2969" s="139"/>
      <c r="I2969" s="139">
        <f>IFERROR(__xludf.DUMMYFUNCTION("""COMPUTED_VALUE"""),50.0)</f>
        <v>50</v>
      </c>
      <c r="J2969" s="139">
        <f>IFERROR(__xludf.DUMMYFUNCTION("""COMPUTED_VALUE"""),0.0)</f>
        <v>0</v>
      </c>
      <c r="K2969" s="139">
        <f>IFERROR(__xludf.DUMMYFUNCTION("""COMPUTED_VALUE"""),0.0)</f>
        <v>0</v>
      </c>
      <c r="L2969" s="139"/>
      <c r="M2969" s="139"/>
      <c r="N2969" s="139"/>
    </row>
    <row r="2970">
      <c r="A2970" s="139" t="str">
        <f>IFERROR(__xludf.DUMMYFUNCTION("""COMPUTED_VALUE"""),"e")</f>
        <v>e</v>
      </c>
      <c r="B2970" s="139">
        <f>IFERROR(__xludf.DUMMYFUNCTION("""COMPUTED_VALUE"""),2.0260301E8)</f>
        <v>202603010</v>
      </c>
      <c r="C2970" s="139" t="str">
        <f>IFERROR(__xludf.DUMMYFUNCTION("""COMPUTED_VALUE"""),"e_glo_00001_hut1_savage02_poison_Normal_Red_Normal_00000")</f>
        <v>e_glo_00001_hut1_savage02_poison_Normal_Red_Normal_00000</v>
      </c>
      <c r="D2970" s="139" t="str">
        <f>IFERROR(__xludf.DUMMYFUNCTION("""COMPUTED_VALUE"""),"e_glo_00001_hut1_savage02_poison_Normal_Red")</f>
        <v>e_glo_00001_hut1_savage02_poison_Normal_Red</v>
      </c>
      <c r="E2970" s="139">
        <f>IFERROR(__xludf.DUMMYFUNCTION("""COMPUTED_VALUE"""),0.0)</f>
        <v>0</v>
      </c>
      <c r="F2970" s="139" t="str">
        <f>IFERROR(__xludf.DUMMYFUNCTION("""COMPUTED_VALUE"""),"Normal")</f>
        <v>Normal</v>
      </c>
      <c r="G2970" s="139"/>
      <c r="H2970" s="139"/>
      <c r="I2970" s="139">
        <f>IFERROR(__xludf.DUMMYFUNCTION("""COMPUTED_VALUE"""),50.0)</f>
        <v>50</v>
      </c>
      <c r="J2970" s="139">
        <f>IFERROR(__xludf.DUMMYFUNCTION("""COMPUTED_VALUE"""),25.0)</f>
        <v>25</v>
      </c>
      <c r="K2970" s="139">
        <f>IFERROR(__xludf.DUMMYFUNCTION("""COMPUTED_VALUE"""),80.0)</f>
        <v>80</v>
      </c>
      <c r="L2970" s="139"/>
      <c r="M2970" s="139"/>
      <c r="N2970" s="139"/>
    </row>
    <row r="2971">
      <c r="A2971" s="139" t="str">
        <f>IFERROR(__xludf.DUMMYFUNCTION("""COMPUTED_VALUE"""),"e")</f>
        <v>e</v>
      </c>
      <c r="B2971" s="139">
        <f>IFERROR(__xludf.DUMMYFUNCTION("""COMPUTED_VALUE"""),2.0260301E8)</f>
        <v>202603010</v>
      </c>
      <c r="C2971" s="139" t="str">
        <f>IFERROR(__xludf.DUMMYFUNCTION("""COMPUTED_VALUE"""),"c_hut_00001_hut1_savage02_Boss_Red_Normal_00000")</f>
        <v>c_hut_00001_hut1_savage02_Boss_Red_Normal_00000</v>
      </c>
      <c r="D2971" s="139" t="str">
        <f>IFERROR(__xludf.DUMMYFUNCTION("""COMPUTED_VALUE"""),"c_hut_00001_hut1_savage02_Boss_Red")</f>
        <v>c_hut_00001_hut1_savage02_Boss_Red</v>
      </c>
      <c r="E2971" s="139">
        <f>IFERROR(__xludf.DUMMYFUNCTION("""COMPUTED_VALUE"""),0.0)</f>
        <v>0</v>
      </c>
      <c r="F2971" s="139" t="str">
        <f>IFERROR(__xludf.DUMMYFUNCTION("""COMPUTED_VALUE"""),"Normal")</f>
        <v>Normal</v>
      </c>
      <c r="G2971" s="139"/>
      <c r="H2971" s="139"/>
      <c r="I2971" s="139">
        <f>IFERROR(__xludf.DUMMYFUNCTION("""COMPUTED_VALUE"""),74.0)</f>
        <v>74</v>
      </c>
      <c r="J2971" s="139">
        <f>IFERROR(__xludf.DUMMYFUNCTION("""COMPUTED_VALUE"""),8.0)</f>
        <v>8</v>
      </c>
      <c r="K2971" s="139">
        <f>IFERROR(__xludf.DUMMYFUNCTION("""COMPUTED_VALUE"""),50.0)</f>
        <v>50</v>
      </c>
      <c r="L2971" s="139"/>
      <c r="M2971" s="139"/>
      <c r="N2971" s="139"/>
    </row>
    <row r="2972">
      <c r="A2972" s="139" t="str">
        <f>IFERROR(__xludf.DUMMYFUNCTION("""COMPUTED_VALUE"""),"e")</f>
        <v>e</v>
      </c>
      <c r="B2972" s="139">
        <f>IFERROR(__xludf.DUMMYFUNCTION("""COMPUTED_VALUE"""),2.0260301E8)</f>
        <v>202603010</v>
      </c>
      <c r="C2972" s="139" t="str">
        <f>IFERROR(__xludf.DUMMYFUNCTION("""COMPUTED_VALUE"""),"c_hut_00001_hut1_savage02_Boss_Red_Special_00001")</f>
        <v>c_hut_00001_hut1_savage02_Boss_Red_Special_00001</v>
      </c>
      <c r="D2972" s="139" t="str">
        <f>IFERROR(__xludf.DUMMYFUNCTION("""COMPUTED_VALUE"""),"c_hut_00001_hut1_savage02_Boss_Red")</f>
        <v>c_hut_00001_hut1_savage02_Boss_Red</v>
      </c>
      <c r="E2972" s="139">
        <f>IFERROR(__xludf.DUMMYFUNCTION("""COMPUTED_VALUE"""),0.0)</f>
        <v>0</v>
      </c>
      <c r="F2972" s="139" t="str">
        <f>IFERROR(__xludf.DUMMYFUNCTION("""COMPUTED_VALUE"""),"Special")</f>
        <v>Special</v>
      </c>
      <c r="G2972" s="139"/>
      <c r="H2972" s="139"/>
      <c r="I2972" s="139">
        <f>IFERROR(__xludf.DUMMYFUNCTION("""COMPUTED_VALUE"""),140.0)</f>
        <v>140</v>
      </c>
      <c r="J2972" s="139">
        <f>IFERROR(__xludf.DUMMYFUNCTION("""COMPUTED_VALUE"""),44.0)</f>
        <v>44</v>
      </c>
      <c r="K2972" s="139">
        <f>IFERROR(__xludf.DUMMYFUNCTION("""COMPUTED_VALUE"""),0.0)</f>
        <v>0</v>
      </c>
      <c r="L2972" s="139"/>
      <c r="M2972" s="139"/>
      <c r="N2972" s="139"/>
    </row>
    <row r="2973">
      <c r="A2973" s="139" t="str">
        <f>IFERROR(__xludf.DUMMYFUNCTION("""COMPUTED_VALUE"""),"e")</f>
        <v>e</v>
      </c>
      <c r="B2973" s="139">
        <f>IFERROR(__xludf.DUMMYFUNCTION("""COMPUTED_VALUE"""),2.0260301E8)</f>
        <v>202603010</v>
      </c>
      <c r="C2973" s="139" t="str">
        <f>IFERROR(__xludf.DUMMYFUNCTION("""COMPUTED_VALUE"""),"c_hut_00001_hut1_savage02_Boss_Red_Appearance_00002")</f>
        <v>c_hut_00001_hut1_savage02_Boss_Red_Appearance_00002</v>
      </c>
      <c r="D2973" s="139" t="str">
        <f>IFERROR(__xludf.DUMMYFUNCTION("""COMPUTED_VALUE"""),"c_hut_00001_hut1_savage02_Boss_Red")</f>
        <v>c_hut_00001_hut1_savage02_Boss_Red</v>
      </c>
      <c r="E2973" s="139">
        <f>IFERROR(__xludf.DUMMYFUNCTION("""COMPUTED_VALUE"""),0.0)</f>
        <v>0</v>
      </c>
      <c r="F2973" s="139" t="str">
        <f>IFERROR(__xludf.DUMMYFUNCTION("""COMPUTED_VALUE"""),"Appearance")</f>
        <v>Appearance</v>
      </c>
      <c r="G2973" s="139"/>
      <c r="H2973" s="139"/>
      <c r="I2973" s="139">
        <f>IFERROR(__xludf.DUMMYFUNCTION("""COMPUTED_VALUE"""),50.0)</f>
        <v>50</v>
      </c>
      <c r="J2973" s="139">
        <f>IFERROR(__xludf.DUMMYFUNCTION("""COMPUTED_VALUE"""),0.0)</f>
        <v>0</v>
      </c>
      <c r="K2973" s="139">
        <f>IFERROR(__xludf.DUMMYFUNCTION("""COMPUTED_VALUE"""),0.0)</f>
        <v>0</v>
      </c>
      <c r="L2973" s="139"/>
      <c r="M2973" s="139"/>
      <c r="N2973" s="139"/>
    </row>
    <row r="2974">
      <c r="A2974" s="139" t="str">
        <f>IFERROR(__xludf.DUMMYFUNCTION("""COMPUTED_VALUE"""),"e")</f>
        <v>e</v>
      </c>
      <c r="B2974" s="139">
        <f>IFERROR(__xludf.DUMMYFUNCTION("""COMPUTED_VALUE"""),2.0260301E8)</f>
        <v>202603010</v>
      </c>
      <c r="C2974" s="139" t="str">
        <f>IFERROR(__xludf.DUMMYFUNCTION("""COMPUTED_VALUE"""),"c_hut_00101_hut1_savage02_Boss_Red_Normal_00000")</f>
        <v>c_hut_00101_hut1_savage02_Boss_Red_Normal_00000</v>
      </c>
      <c r="D2974" s="139" t="str">
        <f>IFERROR(__xludf.DUMMYFUNCTION("""COMPUTED_VALUE"""),"c_hut_00101_hut1_savage02_Boss_Red")</f>
        <v>c_hut_00101_hut1_savage02_Boss_Red</v>
      </c>
      <c r="E2974" s="139">
        <f>IFERROR(__xludf.DUMMYFUNCTION("""COMPUTED_VALUE"""),0.0)</f>
        <v>0</v>
      </c>
      <c r="F2974" s="139" t="str">
        <f>IFERROR(__xludf.DUMMYFUNCTION("""COMPUTED_VALUE"""),"Normal")</f>
        <v>Normal</v>
      </c>
      <c r="G2974" s="139"/>
      <c r="H2974" s="139"/>
      <c r="I2974" s="139">
        <f>IFERROR(__xludf.DUMMYFUNCTION("""COMPUTED_VALUE"""),79.0)</f>
        <v>79</v>
      </c>
      <c r="J2974" s="139">
        <f>IFERROR(__xludf.DUMMYFUNCTION("""COMPUTED_VALUE"""),38.0)</f>
        <v>38</v>
      </c>
      <c r="K2974" s="139">
        <f>IFERROR(__xludf.DUMMYFUNCTION("""COMPUTED_VALUE"""),70.0)</f>
        <v>70</v>
      </c>
      <c r="L2974" s="139"/>
      <c r="M2974" s="139"/>
      <c r="N2974" s="139"/>
    </row>
    <row r="2975">
      <c r="A2975" s="139" t="str">
        <f>IFERROR(__xludf.DUMMYFUNCTION("""COMPUTED_VALUE"""),"e")</f>
        <v>e</v>
      </c>
      <c r="B2975" s="139">
        <f>IFERROR(__xludf.DUMMYFUNCTION("""COMPUTED_VALUE"""),2.0260301E8)</f>
        <v>202603010</v>
      </c>
      <c r="C2975" s="139" t="str">
        <f>IFERROR(__xludf.DUMMYFUNCTION("""COMPUTED_VALUE"""),"c_hut_00101_hut1_savage02_Boss_Red_Special_00001")</f>
        <v>c_hut_00101_hut1_savage02_Boss_Red_Special_00001</v>
      </c>
      <c r="D2975" s="139" t="str">
        <f>IFERROR(__xludf.DUMMYFUNCTION("""COMPUTED_VALUE"""),"c_hut_00101_hut1_savage02_Boss_Red")</f>
        <v>c_hut_00101_hut1_savage02_Boss_Red</v>
      </c>
      <c r="E2975" s="139">
        <f>IFERROR(__xludf.DUMMYFUNCTION("""COMPUTED_VALUE"""),0.0)</f>
        <v>0</v>
      </c>
      <c r="F2975" s="139" t="str">
        <f>IFERROR(__xludf.DUMMYFUNCTION("""COMPUTED_VALUE"""),"Special")</f>
        <v>Special</v>
      </c>
      <c r="G2975" s="139"/>
      <c r="H2975" s="139"/>
      <c r="I2975" s="139">
        <f>IFERROR(__xludf.DUMMYFUNCTION("""COMPUTED_VALUE"""),129.0)</f>
        <v>129</v>
      </c>
      <c r="J2975" s="139">
        <f>IFERROR(__xludf.DUMMYFUNCTION("""COMPUTED_VALUE"""),0.0)</f>
        <v>0</v>
      </c>
      <c r="K2975" s="139">
        <f>IFERROR(__xludf.DUMMYFUNCTION("""COMPUTED_VALUE"""),0.0)</f>
        <v>0</v>
      </c>
      <c r="L2975" s="139"/>
      <c r="M2975" s="139"/>
      <c r="N2975" s="139"/>
    </row>
    <row r="2976">
      <c r="A2976" s="139" t="str">
        <f>IFERROR(__xludf.DUMMYFUNCTION("""COMPUTED_VALUE"""),"e")</f>
        <v>e</v>
      </c>
      <c r="B2976" s="139">
        <f>IFERROR(__xludf.DUMMYFUNCTION("""COMPUTED_VALUE"""),2.0260301E8)</f>
        <v>202603010</v>
      </c>
      <c r="C2976" s="139" t="str">
        <f>IFERROR(__xludf.DUMMYFUNCTION("""COMPUTED_VALUE"""),"c_hut_00101_hut1_savage02_Boss_Red_Appearance_00002")</f>
        <v>c_hut_00101_hut1_savage02_Boss_Red_Appearance_00002</v>
      </c>
      <c r="D2976" s="139" t="str">
        <f>IFERROR(__xludf.DUMMYFUNCTION("""COMPUTED_VALUE"""),"c_hut_00101_hut1_savage02_Boss_Red")</f>
        <v>c_hut_00101_hut1_savage02_Boss_Red</v>
      </c>
      <c r="E2976" s="139">
        <f>IFERROR(__xludf.DUMMYFUNCTION("""COMPUTED_VALUE"""),0.0)</f>
        <v>0</v>
      </c>
      <c r="F2976" s="139" t="str">
        <f>IFERROR(__xludf.DUMMYFUNCTION("""COMPUTED_VALUE"""),"Appearance")</f>
        <v>Appearance</v>
      </c>
      <c r="G2976" s="139"/>
      <c r="H2976" s="139"/>
      <c r="I2976" s="139">
        <f>IFERROR(__xludf.DUMMYFUNCTION("""COMPUTED_VALUE"""),50.0)</f>
        <v>50</v>
      </c>
      <c r="J2976" s="139">
        <f>IFERROR(__xludf.DUMMYFUNCTION("""COMPUTED_VALUE"""),0.0)</f>
        <v>0</v>
      </c>
      <c r="K2976" s="139">
        <f>IFERROR(__xludf.DUMMYFUNCTION("""COMPUTED_VALUE"""),0.0)</f>
        <v>0</v>
      </c>
      <c r="L2976" s="139"/>
      <c r="M2976" s="139"/>
      <c r="N2976" s="139"/>
    </row>
    <row r="2977">
      <c r="A2977" s="139" t="str">
        <f>IFERROR(__xludf.DUMMYFUNCTION("""COMPUTED_VALUE"""),"e")</f>
        <v>e</v>
      </c>
      <c r="B2977" s="139">
        <f>IFERROR(__xludf.DUMMYFUNCTION("""COMPUTED_VALUE"""),2.0260301E8)</f>
        <v>202603010</v>
      </c>
      <c r="C2977" s="139" t="str">
        <f>IFERROR(__xludf.DUMMYFUNCTION("""COMPUTED_VALUE"""),"c_hut_00201_hut1_savage02_Boss_Red_Normal_00000")</f>
        <v>c_hut_00201_hut1_savage02_Boss_Red_Normal_00000</v>
      </c>
      <c r="D2977" s="139" t="str">
        <f>IFERROR(__xludf.DUMMYFUNCTION("""COMPUTED_VALUE"""),"c_hut_00201_hut1_savage02_Boss_Red")</f>
        <v>c_hut_00201_hut1_savage02_Boss_Red</v>
      </c>
      <c r="E2977" s="139">
        <f>IFERROR(__xludf.DUMMYFUNCTION("""COMPUTED_VALUE"""),0.0)</f>
        <v>0</v>
      </c>
      <c r="F2977" s="139" t="str">
        <f>IFERROR(__xludf.DUMMYFUNCTION("""COMPUTED_VALUE"""),"Normal")</f>
        <v>Normal</v>
      </c>
      <c r="G2977" s="139"/>
      <c r="H2977" s="139"/>
      <c r="I2977" s="139">
        <f>IFERROR(__xludf.DUMMYFUNCTION("""COMPUTED_VALUE"""),60.0)</f>
        <v>60</v>
      </c>
      <c r="J2977" s="139">
        <f>IFERROR(__xludf.DUMMYFUNCTION("""COMPUTED_VALUE"""),17.0)</f>
        <v>17</v>
      </c>
      <c r="K2977" s="139">
        <f>IFERROR(__xludf.DUMMYFUNCTION("""COMPUTED_VALUE"""),75.0)</f>
        <v>75</v>
      </c>
      <c r="L2977" s="139"/>
      <c r="M2977" s="139"/>
      <c r="N2977" s="139"/>
    </row>
    <row r="2978">
      <c r="A2978" s="139" t="str">
        <f>IFERROR(__xludf.DUMMYFUNCTION("""COMPUTED_VALUE"""),"e")</f>
        <v>e</v>
      </c>
      <c r="B2978" s="139">
        <f>IFERROR(__xludf.DUMMYFUNCTION("""COMPUTED_VALUE"""),2.0260301E8)</f>
        <v>202603010</v>
      </c>
      <c r="C2978" s="139" t="str">
        <f>IFERROR(__xludf.DUMMYFUNCTION("""COMPUTED_VALUE"""),"c_hut_00201_hut1_savage02_Boss_Red_Special_00001")</f>
        <v>c_hut_00201_hut1_savage02_Boss_Red_Special_00001</v>
      </c>
      <c r="D2978" s="139" t="str">
        <f>IFERROR(__xludf.DUMMYFUNCTION("""COMPUTED_VALUE"""),"c_hut_00201_hut1_savage02_Boss_Red")</f>
        <v>c_hut_00201_hut1_savage02_Boss_Red</v>
      </c>
      <c r="E2978" s="139">
        <f>IFERROR(__xludf.DUMMYFUNCTION("""COMPUTED_VALUE"""),0.0)</f>
        <v>0</v>
      </c>
      <c r="F2978" s="139" t="str">
        <f>IFERROR(__xludf.DUMMYFUNCTION("""COMPUTED_VALUE"""),"Special")</f>
        <v>Special</v>
      </c>
      <c r="G2978" s="139"/>
      <c r="H2978" s="139"/>
      <c r="I2978" s="139">
        <f>IFERROR(__xludf.DUMMYFUNCTION("""COMPUTED_VALUE"""),142.0)</f>
        <v>142</v>
      </c>
      <c r="J2978" s="139">
        <f>IFERROR(__xludf.DUMMYFUNCTION("""COMPUTED_VALUE"""),0.0)</f>
        <v>0</v>
      </c>
      <c r="K2978" s="139">
        <f>IFERROR(__xludf.DUMMYFUNCTION("""COMPUTED_VALUE"""),0.0)</f>
        <v>0</v>
      </c>
      <c r="L2978" s="139"/>
      <c r="M2978" s="139"/>
      <c r="N2978" s="139"/>
    </row>
    <row r="2979">
      <c r="A2979" s="139" t="str">
        <f>IFERROR(__xludf.DUMMYFUNCTION("""COMPUTED_VALUE"""),"e")</f>
        <v>e</v>
      </c>
      <c r="B2979" s="139">
        <f>IFERROR(__xludf.DUMMYFUNCTION("""COMPUTED_VALUE"""),2.0260301E8)</f>
        <v>202603010</v>
      </c>
      <c r="C2979" s="139" t="str">
        <f>IFERROR(__xludf.DUMMYFUNCTION("""COMPUTED_VALUE"""),"c_hut_00201_hut1_savage02_Boss_Red_Appearance_00002")</f>
        <v>c_hut_00201_hut1_savage02_Boss_Red_Appearance_00002</v>
      </c>
      <c r="D2979" s="139" t="str">
        <f>IFERROR(__xludf.DUMMYFUNCTION("""COMPUTED_VALUE"""),"c_hut_00201_hut1_savage02_Boss_Red")</f>
        <v>c_hut_00201_hut1_savage02_Boss_Red</v>
      </c>
      <c r="E2979" s="139">
        <f>IFERROR(__xludf.DUMMYFUNCTION("""COMPUTED_VALUE"""),0.0)</f>
        <v>0</v>
      </c>
      <c r="F2979" s="139" t="str">
        <f>IFERROR(__xludf.DUMMYFUNCTION("""COMPUTED_VALUE"""),"Appearance")</f>
        <v>Appearance</v>
      </c>
      <c r="G2979" s="139"/>
      <c r="H2979" s="139"/>
      <c r="I2979" s="139">
        <f>IFERROR(__xludf.DUMMYFUNCTION("""COMPUTED_VALUE"""),50.0)</f>
        <v>50</v>
      </c>
      <c r="J2979" s="139">
        <f>IFERROR(__xludf.DUMMYFUNCTION("""COMPUTED_VALUE"""),0.0)</f>
        <v>0</v>
      </c>
      <c r="K2979" s="139">
        <f>IFERROR(__xludf.DUMMYFUNCTION("""COMPUTED_VALUE"""),0.0)</f>
        <v>0</v>
      </c>
      <c r="L2979" s="139"/>
      <c r="M2979" s="139"/>
      <c r="N2979" s="139"/>
    </row>
    <row r="2980">
      <c r="A2980" s="139" t="str">
        <f>IFERROR(__xludf.DUMMYFUNCTION("""COMPUTED_VALUE"""),"e")</f>
        <v>e</v>
      </c>
      <c r="B2980" s="139">
        <f>IFERROR(__xludf.DUMMYFUNCTION("""COMPUTED_VALUE"""),2.0260301E8)</f>
        <v>202603010</v>
      </c>
      <c r="C2980" s="139" t="str">
        <f>IFERROR(__xludf.DUMMYFUNCTION("""COMPUTED_VALUE"""),"e_glo_00001_hut1_savage03_Normal_Yellow_Normal_00000")</f>
        <v>e_glo_00001_hut1_savage03_Normal_Yellow_Normal_00000</v>
      </c>
      <c r="D2980" s="139" t="str">
        <f>IFERROR(__xludf.DUMMYFUNCTION("""COMPUTED_VALUE"""),"e_glo_00001_hut1_savage03_Normal_Yellow")</f>
        <v>e_glo_00001_hut1_savage03_Normal_Yellow</v>
      </c>
      <c r="E2980" s="139">
        <f>IFERROR(__xludf.DUMMYFUNCTION("""COMPUTED_VALUE"""),0.0)</f>
        <v>0</v>
      </c>
      <c r="F2980" s="139" t="str">
        <f>IFERROR(__xludf.DUMMYFUNCTION("""COMPUTED_VALUE"""),"Normal")</f>
        <v>Normal</v>
      </c>
      <c r="G2980" s="139"/>
      <c r="H2980" s="139"/>
      <c r="I2980" s="139">
        <f>IFERROR(__xludf.DUMMYFUNCTION("""COMPUTED_VALUE"""),50.0)</f>
        <v>50</v>
      </c>
      <c r="J2980" s="139">
        <f>IFERROR(__xludf.DUMMYFUNCTION("""COMPUTED_VALUE"""),25.0)</f>
        <v>25</v>
      </c>
      <c r="K2980" s="139">
        <f>IFERROR(__xludf.DUMMYFUNCTION("""COMPUTED_VALUE"""),40.0)</f>
        <v>40</v>
      </c>
      <c r="L2980" s="139"/>
      <c r="M2980" s="139"/>
      <c r="N2980" s="139"/>
    </row>
    <row r="2981">
      <c r="A2981" s="139" t="str">
        <f>IFERROR(__xludf.DUMMYFUNCTION("""COMPUTED_VALUE"""),"e")</f>
        <v>e</v>
      </c>
      <c r="B2981" s="139">
        <f>IFERROR(__xludf.DUMMYFUNCTION("""COMPUTED_VALUE"""),2.0260301E8)</f>
        <v>202603010</v>
      </c>
      <c r="C2981" s="139" t="str">
        <f>IFERROR(__xludf.DUMMYFUNCTION("""COMPUTED_VALUE"""),"e_glo_00001_hut1_savage03_tank_Normal_Yellow_Normal_00000")</f>
        <v>e_glo_00001_hut1_savage03_tank_Normal_Yellow_Normal_00000</v>
      </c>
      <c r="D2981" s="139" t="str">
        <f>IFERROR(__xludf.DUMMYFUNCTION("""COMPUTED_VALUE"""),"e_glo_00001_hut1_savage03_tank_Normal_Yellow")</f>
        <v>e_glo_00001_hut1_savage03_tank_Normal_Yellow</v>
      </c>
      <c r="E2981" s="139">
        <f>IFERROR(__xludf.DUMMYFUNCTION("""COMPUTED_VALUE"""),0.0)</f>
        <v>0</v>
      </c>
      <c r="F2981" s="139" t="str">
        <f>IFERROR(__xludf.DUMMYFUNCTION("""COMPUTED_VALUE"""),"Normal")</f>
        <v>Normal</v>
      </c>
      <c r="G2981" s="139"/>
      <c r="H2981" s="139"/>
      <c r="I2981" s="139">
        <f>IFERROR(__xludf.DUMMYFUNCTION("""COMPUTED_VALUE"""),50.0)</f>
        <v>50</v>
      </c>
      <c r="J2981" s="139">
        <f>IFERROR(__xludf.DUMMYFUNCTION("""COMPUTED_VALUE"""),25.0)</f>
        <v>25</v>
      </c>
      <c r="K2981" s="139">
        <f>IFERROR(__xludf.DUMMYFUNCTION("""COMPUTED_VALUE"""),80.0)</f>
        <v>80</v>
      </c>
      <c r="L2981" s="139"/>
      <c r="M2981" s="139"/>
      <c r="N2981" s="139"/>
    </row>
    <row r="2982">
      <c r="A2982" s="139" t="str">
        <f>IFERROR(__xludf.DUMMYFUNCTION("""COMPUTED_VALUE"""),"e")</f>
        <v>e</v>
      </c>
      <c r="B2982" s="139">
        <f>IFERROR(__xludf.DUMMYFUNCTION("""COMPUTED_VALUE"""),2.0260301E8)</f>
        <v>202603010</v>
      </c>
      <c r="C2982" s="139" t="str">
        <f>IFERROR(__xludf.DUMMYFUNCTION("""COMPUTED_VALUE"""),"c_hut_00001_hut1_savage03_Boss_Yellow_Normal_00000")</f>
        <v>c_hut_00001_hut1_savage03_Boss_Yellow_Normal_00000</v>
      </c>
      <c r="D2982" s="139" t="str">
        <f>IFERROR(__xludf.DUMMYFUNCTION("""COMPUTED_VALUE"""),"c_hut_00001_hut1_savage03_Boss_Yellow")</f>
        <v>c_hut_00001_hut1_savage03_Boss_Yellow</v>
      </c>
      <c r="E2982" s="139">
        <f>IFERROR(__xludf.DUMMYFUNCTION("""COMPUTED_VALUE"""),0.0)</f>
        <v>0</v>
      </c>
      <c r="F2982" s="139" t="str">
        <f>IFERROR(__xludf.DUMMYFUNCTION("""COMPUTED_VALUE"""),"Normal")</f>
        <v>Normal</v>
      </c>
      <c r="G2982" s="139"/>
      <c r="H2982" s="139"/>
      <c r="I2982" s="139">
        <f>IFERROR(__xludf.DUMMYFUNCTION("""COMPUTED_VALUE"""),74.0)</f>
        <v>74</v>
      </c>
      <c r="J2982" s="139">
        <f>IFERROR(__xludf.DUMMYFUNCTION("""COMPUTED_VALUE"""),8.0)</f>
        <v>8</v>
      </c>
      <c r="K2982" s="139">
        <f>IFERROR(__xludf.DUMMYFUNCTION("""COMPUTED_VALUE"""),50.0)</f>
        <v>50</v>
      </c>
      <c r="L2982" s="139"/>
      <c r="M2982" s="139"/>
      <c r="N2982" s="139"/>
    </row>
    <row r="2983">
      <c r="A2983" s="139" t="str">
        <f>IFERROR(__xludf.DUMMYFUNCTION("""COMPUTED_VALUE"""),"e")</f>
        <v>e</v>
      </c>
      <c r="B2983" s="139">
        <f>IFERROR(__xludf.DUMMYFUNCTION("""COMPUTED_VALUE"""),2.0260301E8)</f>
        <v>202603010</v>
      </c>
      <c r="C2983" s="139" t="str">
        <f>IFERROR(__xludf.DUMMYFUNCTION("""COMPUTED_VALUE"""),"c_hut_00001_hut1_savage03_Boss_Yellow_Special_00001")</f>
        <v>c_hut_00001_hut1_savage03_Boss_Yellow_Special_00001</v>
      </c>
      <c r="D2983" s="139" t="str">
        <f>IFERROR(__xludf.DUMMYFUNCTION("""COMPUTED_VALUE"""),"c_hut_00001_hut1_savage03_Boss_Yellow")</f>
        <v>c_hut_00001_hut1_savage03_Boss_Yellow</v>
      </c>
      <c r="E2983" s="139">
        <f>IFERROR(__xludf.DUMMYFUNCTION("""COMPUTED_VALUE"""),0.0)</f>
        <v>0</v>
      </c>
      <c r="F2983" s="139" t="str">
        <f>IFERROR(__xludf.DUMMYFUNCTION("""COMPUTED_VALUE"""),"Special")</f>
        <v>Special</v>
      </c>
      <c r="G2983" s="139"/>
      <c r="H2983" s="139"/>
      <c r="I2983" s="139">
        <f>IFERROR(__xludf.DUMMYFUNCTION("""COMPUTED_VALUE"""),140.0)</f>
        <v>140</v>
      </c>
      <c r="J2983" s="139">
        <f>IFERROR(__xludf.DUMMYFUNCTION("""COMPUTED_VALUE"""),44.0)</f>
        <v>44</v>
      </c>
      <c r="K2983" s="139">
        <f>IFERROR(__xludf.DUMMYFUNCTION("""COMPUTED_VALUE"""),0.0)</f>
        <v>0</v>
      </c>
      <c r="L2983" s="139"/>
      <c r="M2983" s="139"/>
      <c r="N2983" s="139"/>
    </row>
    <row r="2984">
      <c r="A2984" s="139" t="str">
        <f>IFERROR(__xludf.DUMMYFUNCTION("""COMPUTED_VALUE"""),"e")</f>
        <v>e</v>
      </c>
      <c r="B2984" s="139">
        <f>IFERROR(__xludf.DUMMYFUNCTION("""COMPUTED_VALUE"""),2.0260301E8)</f>
        <v>202603010</v>
      </c>
      <c r="C2984" s="139" t="str">
        <f>IFERROR(__xludf.DUMMYFUNCTION("""COMPUTED_VALUE"""),"c_hut_00001_hut1_savage03_Boss_Yellow_Appearance_00002")</f>
        <v>c_hut_00001_hut1_savage03_Boss_Yellow_Appearance_00002</v>
      </c>
      <c r="D2984" s="139" t="str">
        <f>IFERROR(__xludf.DUMMYFUNCTION("""COMPUTED_VALUE"""),"c_hut_00001_hut1_savage03_Boss_Yellow")</f>
        <v>c_hut_00001_hut1_savage03_Boss_Yellow</v>
      </c>
      <c r="E2984" s="139">
        <f>IFERROR(__xludf.DUMMYFUNCTION("""COMPUTED_VALUE"""),0.0)</f>
        <v>0</v>
      </c>
      <c r="F2984" s="139" t="str">
        <f>IFERROR(__xludf.DUMMYFUNCTION("""COMPUTED_VALUE"""),"Appearance")</f>
        <v>Appearance</v>
      </c>
      <c r="G2984" s="139"/>
      <c r="H2984" s="139"/>
      <c r="I2984" s="139">
        <f>IFERROR(__xludf.DUMMYFUNCTION("""COMPUTED_VALUE"""),50.0)</f>
        <v>50</v>
      </c>
      <c r="J2984" s="139">
        <f>IFERROR(__xludf.DUMMYFUNCTION("""COMPUTED_VALUE"""),0.0)</f>
        <v>0</v>
      </c>
      <c r="K2984" s="139">
        <f>IFERROR(__xludf.DUMMYFUNCTION("""COMPUTED_VALUE"""),0.0)</f>
        <v>0</v>
      </c>
      <c r="L2984" s="139"/>
      <c r="M2984" s="139"/>
      <c r="N2984" s="139"/>
    </row>
    <row r="2985">
      <c r="A2985" s="139" t="str">
        <f>IFERROR(__xludf.DUMMYFUNCTION("""COMPUTED_VALUE"""),"e")</f>
        <v>e</v>
      </c>
      <c r="B2985" s="139">
        <f>IFERROR(__xludf.DUMMYFUNCTION("""COMPUTED_VALUE"""),2.0260301E8)</f>
        <v>202603010</v>
      </c>
      <c r="C2985" s="139" t="str">
        <f>IFERROR(__xludf.DUMMYFUNCTION("""COMPUTED_VALUE"""),"c_hut_00101_hut1_savage03_Boss_Yellow_Normal_00000")</f>
        <v>c_hut_00101_hut1_savage03_Boss_Yellow_Normal_00000</v>
      </c>
      <c r="D2985" s="139" t="str">
        <f>IFERROR(__xludf.DUMMYFUNCTION("""COMPUTED_VALUE"""),"c_hut_00101_hut1_savage03_Boss_Yellow")</f>
        <v>c_hut_00101_hut1_savage03_Boss_Yellow</v>
      </c>
      <c r="E2985" s="139">
        <f>IFERROR(__xludf.DUMMYFUNCTION("""COMPUTED_VALUE"""),0.0)</f>
        <v>0</v>
      </c>
      <c r="F2985" s="139" t="str">
        <f>IFERROR(__xludf.DUMMYFUNCTION("""COMPUTED_VALUE"""),"Normal")</f>
        <v>Normal</v>
      </c>
      <c r="G2985" s="139"/>
      <c r="H2985" s="139"/>
      <c r="I2985" s="139">
        <f>IFERROR(__xludf.DUMMYFUNCTION("""COMPUTED_VALUE"""),79.0)</f>
        <v>79</v>
      </c>
      <c r="J2985" s="139">
        <f>IFERROR(__xludf.DUMMYFUNCTION("""COMPUTED_VALUE"""),38.0)</f>
        <v>38</v>
      </c>
      <c r="K2985" s="139">
        <f>IFERROR(__xludf.DUMMYFUNCTION("""COMPUTED_VALUE"""),70.0)</f>
        <v>70</v>
      </c>
      <c r="L2985" s="139"/>
      <c r="M2985" s="139"/>
      <c r="N2985" s="139"/>
    </row>
    <row r="2986">
      <c r="A2986" s="139" t="str">
        <f>IFERROR(__xludf.DUMMYFUNCTION("""COMPUTED_VALUE"""),"e")</f>
        <v>e</v>
      </c>
      <c r="B2986" s="139">
        <f>IFERROR(__xludf.DUMMYFUNCTION("""COMPUTED_VALUE"""),2.0260301E8)</f>
        <v>202603010</v>
      </c>
      <c r="C2986" s="139" t="str">
        <f>IFERROR(__xludf.DUMMYFUNCTION("""COMPUTED_VALUE"""),"c_hut_00101_hut1_savage03_Boss_Yellow_Special_00001")</f>
        <v>c_hut_00101_hut1_savage03_Boss_Yellow_Special_00001</v>
      </c>
      <c r="D2986" s="139" t="str">
        <f>IFERROR(__xludf.DUMMYFUNCTION("""COMPUTED_VALUE"""),"c_hut_00101_hut1_savage03_Boss_Yellow")</f>
        <v>c_hut_00101_hut1_savage03_Boss_Yellow</v>
      </c>
      <c r="E2986" s="139">
        <f>IFERROR(__xludf.DUMMYFUNCTION("""COMPUTED_VALUE"""),0.0)</f>
        <v>0</v>
      </c>
      <c r="F2986" s="139" t="str">
        <f>IFERROR(__xludf.DUMMYFUNCTION("""COMPUTED_VALUE"""),"Special")</f>
        <v>Special</v>
      </c>
      <c r="G2986" s="139"/>
      <c r="H2986" s="139"/>
      <c r="I2986" s="139">
        <f>IFERROR(__xludf.DUMMYFUNCTION("""COMPUTED_VALUE"""),129.0)</f>
        <v>129</v>
      </c>
      <c r="J2986" s="139">
        <f>IFERROR(__xludf.DUMMYFUNCTION("""COMPUTED_VALUE"""),0.0)</f>
        <v>0</v>
      </c>
      <c r="K2986" s="139">
        <f>IFERROR(__xludf.DUMMYFUNCTION("""COMPUTED_VALUE"""),0.0)</f>
        <v>0</v>
      </c>
      <c r="L2986" s="139"/>
      <c r="M2986" s="139"/>
      <c r="N2986" s="139"/>
    </row>
    <row r="2987">
      <c r="A2987" s="139" t="str">
        <f>IFERROR(__xludf.DUMMYFUNCTION("""COMPUTED_VALUE"""),"e")</f>
        <v>e</v>
      </c>
      <c r="B2987" s="139">
        <f>IFERROR(__xludf.DUMMYFUNCTION("""COMPUTED_VALUE"""),2.0260301E8)</f>
        <v>202603010</v>
      </c>
      <c r="C2987" s="139" t="str">
        <f>IFERROR(__xludf.DUMMYFUNCTION("""COMPUTED_VALUE"""),"c_hut_00101_hut1_savage03_Boss_Yellow_Appearance_00002")</f>
        <v>c_hut_00101_hut1_savage03_Boss_Yellow_Appearance_00002</v>
      </c>
      <c r="D2987" s="139" t="str">
        <f>IFERROR(__xludf.DUMMYFUNCTION("""COMPUTED_VALUE"""),"c_hut_00101_hut1_savage03_Boss_Yellow")</f>
        <v>c_hut_00101_hut1_savage03_Boss_Yellow</v>
      </c>
      <c r="E2987" s="139">
        <f>IFERROR(__xludf.DUMMYFUNCTION("""COMPUTED_VALUE"""),0.0)</f>
        <v>0</v>
      </c>
      <c r="F2987" s="139" t="str">
        <f>IFERROR(__xludf.DUMMYFUNCTION("""COMPUTED_VALUE"""),"Appearance")</f>
        <v>Appearance</v>
      </c>
      <c r="G2987" s="139"/>
      <c r="H2987" s="139"/>
      <c r="I2987" s="139">
        <f>IFERROR(__xludf.DUMMYFUNCTION("""COMPUTED_VALUE"""),50.0)</f>
        <v>50</v>
      </c>
      <c r="J2987" s="139">
        <f>IFERROR(__xludf.DUMMYFUNCTION("""COMPUTED_VALUE"""),0.0)</f>
        <v>0</v>
      </c>
      <c r="K2987" s="139">
        <f>IFERROR(__xludf.DUMMYFUNCTION("""COMPUTED_VALUE"""),0.0)</f>
        <v>0</v>
      </c>
      <c r="L2987" s="139"/>
      <c r="M2987" s="139"/>
      <c r="N2987" s="139"/>
    </row>
    <row r="2988">
      <c r="A2988" s="139" t="str">
        <f>IFERROR(__xludf.DUMMYFUNCTION("""COMPUTED_VALUE"""),"e")</f>
        <v>e</v>
      </c>
      <c r="B2988" s="139">
        <f>IFERROR(__xludf.DUMMYFUNCTION("""COMPUTED_VALUE"""),2.0260301E8)</f>
        <v>202603010</v>
      </c>
      <c r="C2988" s="139" t="str">
        <f>IFERROR(__xludf.DUMMYFUNCTION("""COMPUTED_VALUE"""),"c_hut_00201_hut1_savage03_Boss_Yellow_Normal_00000")</f>
        <v>c_hut_00201_hut1_savage03_Boss_Yellow_Normal_00000</v>
      </c>
      <c r="D2988" s="139" t="str">
        <f>IFERROR(__xludf.DUMMYFUNCTION("""COMPUTED_VALUE"""),"c_hut_00201_hut1_savage03_Boss_Yellow")</f>
        <v>c_hut_00201_hut1_savage03_Boss_Yellow</v>
      </c>
      <c r="E2988" s="139">
        <f>IFERROR(__xludf.DUMMYFUNCTION("""COMPUTED_VALUE"""),0.0)</f>
        <v>0</v>
      </c>
      <c r="F2988" s="139" t="str">
        <f>IFERROR(__xludf.DUMMYFUNCTION("""COMPUTED_VALUE"""),"Normal")</f>
        <v>Normal</v>
      </c>
      <c r="G2988" s="139"/>
      <c r="H2988" s="139"/>
      <c r="I2988" s="139">
        <f>IFERROR(__xludf.DUMMYFUNCTION("""COMPUTED_VALUE"""),60.0)</f>
        <v>60</v>
      </c>
      <c r="J2988" s="139">
        <f>IFERROR(__xludf.DUMMYFUNCTION("""COMPUTED_VALUE"""),17.0)</f>
        <v>17</v>
      </c>
      <c r="K2988" s="139">
        <f>IFERROR(__xludf.DUMMYFUNCTION("""COMPUTED_VALUE"""),75.0)</f>
        <v>75</v>
      </c>
      <c r="L2988" s="139"/>
      <c r="M2988" s="139"/>
      <c r="N2988" s="139"/>
    </row>
    <row r="2989">
      <c r="A2989" s="139" t="str">
        <f>IFERROR(__xludf.DUMMYFUNCTION("""COMPUTED_VALUE"""),"e")</f>
        <v>e</v>
      </c>
      <c r="B2989" s="139">
        <f>IFERROR(__xludf.DUMMYFUNCTION("""COMPUTED_VALUE"""),2.0260301E8)</f>
        <v>202603010</v>
      </c>
      <c r="C2989" s="139" t="str">
        <f>IFERROR(__xludf.DUMMYFUNCTION("""COMPUTED_VALUE"""),"c_hut_00201_hut1_savage03_Boss_Yellow_Special_00001")</f>
        <v>c_hut_00201_hut1_savage03_Boss_Yellow_Special_00001</v>
      </c>
      <c r="D2989" s="139" t="str">
        <f>IFERROR(__xludf.DUMMYFUNCTION("""COMPUTED_VALUE"""),"c_hut_00201_hut1_savage03_Boss_Yellow")</f>
        <v>c_hut_00201_hut1_savage03_Boss_Yellow</v>
      </c>
      <c r="E2989" s="139">
        <f>IFERROR(__xludf.DUMMYFUNCTION("""COMPUTED_VALUE"""),0.0)</f>
        <v>0</v>
      </c>
      <c r="F2989" s="139" t="str">
        <f>IFERROR(__xludf.DUMMYFUNCTION("""COMPUTED_VALUE"""),"Special")</f>
        <v>Special</v>
      </c>
      <c r="G2989" s="139"/>
      <c r="H2989" s="139"/>
      <c r="I2989" s="139">
        <f>IFERROR(__xludf.DUMMYFUNCTION("""COMPUTED_VALUE"""),142.0)</f>
        <v>142</v>
      </c>
      <c r="J2989" s="139">
        <f>IFERROR(__xludf.DUMMYFUNCTION("""COMPUTED_VALUE"""),0.0)</f>
        <v>0</v>
      </c>
      <c r="K2989" s="139">
        <f>IFERROR(__xludf.DUMMYFUNCTION("""COMPUTED_VALUE"""),0.0)</f>
        <v>0</v>
      </c>
      <c r="L2989" s="139"/>
      <c r="M2989" s="139"/>
      <c r="N2989" s="139"/>
    </row>
    <row r="2990">
      <c r="A2990" s="139" t="str">
        <f>IFERROR(__xludf.DUMMYFUNCTION("""COMPUTED_VALUE"""),"e")</f>
        <v>e</v>
      </c>
      <c r="B2990" s="139">
        <f>IFERROR(__xludf.DUMMYFUNCTION("""COMPUTED_VALUE"""),2.0260301E8)</f>
        <v>202603010</v>
      </c>
      <c r="C2990" s="139" t="str">
        <f>IFERROR(__xludf.DUMMYFUNCTION("""COMPUTED_VALUE"""),"c_hut_00201_hut1_savage03_Boss_Yellow_Appearance_00002")</f>
        <v>c_hut_00201_hut1_savage03_Boss_Yellow_Appearance_00002</v>
      </c>
      <c r="D2990" s="139" t="str">
        <f>IFERROR(__xludf.DUMMYFUNCTION("""COMPUTED_VALUE"""),"c_hut_00201_hut1_savage03_Boss_Yellow")</f>
        <v>c_hut_00201_hut1_savage03_Boss_Yellow</v>
      </c>
      <c r="E2990" s="139">
        <f>IFERROR(__xludf.DUMMYFUNCTION("""COMPUTED_VALUE"""),0.0)</f>
        <v>0</v>
      </c>
      <c r="F2990" s="139" t="str">
        <f>IFERROR(__xludf.DUMMYFUNCTION("""COMPUTED_VALUE"""),"Appearance")</f>
        <v>Appearance</v>
      </c>
      <c r="G2990" s="139"/>
      <c r="H2990" s="139"/>
      <c r="I2990" s="139">
        <f>IFERROR(__xludf.DUMMYFUNCTION("""COMPUTED_VALUE"""),50.0)</f>
        <v>50</v>
      </c>
      <c r="J2990" s="139">
        <f>IFERROR(__xludf.DUMMYFUNCTION("""COMPUTED_VALUE"""),0.0)</f>
        <v>0</v>
      </c>
      <c r="K2990" s="139">
        <f>IFERROR(__xludf.DUMMYFUNCTION("""COMPUTED_VALUE"""),0.0)</f>
        <v>0</v>
      </c>
      <c r="L2990" s="139"/>
      <c r="M2990" s="139"/>
      <c r="N2990" s="139"/>
    </row>
    <row r="2991">
      <c r="A2991" s="139" t="str">
        <f>IFERROR(__xludf.DUMMYFUNCTION("""COMPUTED_VALUE"""),"e")</f>
        <v>e</v>
      </c>
      <c r="B2991" s="139">
        <f>IFERROR(__xludf.DUMMYFUNCTION("""COMPUTED_VALUE"""),2.0260301E8)</f>
        <v>202603010</v>
      </c>
      <c r="C2991" s="139" t="str">
        <f>IFERROR(__xludf.DUMMYFUNCTION("""COMPUTED_VALUE"""),"c_hut_00301_hut1_savage03_Boss_Yellow_Normal_00000")</f>
        <v>c_hut_00301_hut1_savage03_Boss_Yellow_Normal_00000</v>
      </c>
      <c r="D2991" s="139" t="str">
        <f>IFERROR(__xludf.DUMMYFUNCTION("""COMPUTED_VALUE"""),"c_hut_00301_hut1_savage03_Boss_Yellow")</f>
        <v>c_hut_00301_hut1_savage03_Boss_Yellow</v>
      </c>
      <c r="E2991" s="139">
        <f>IFERROR(__xludf.DUMMYFUNCTION("""COMPUTED_VALUE"""),0.0)</f>
        <v>0</v>
      </c>
      <c r="F2991" s="139" t="str">
        <f>IFERROR(__xludf.DUMMYFUNCTION("""COMPUTED_VALUE"""),"Normal")</f>
        <v>Normal</v>
      </c>
      <c r="G2991" s="139"/>
      <c r="H2991" s="139"/>
      <c r="I2991" s="139">
        <f>IFERROR(__xludf.DUMMYFUNCTION("""COMPUTED_VALUE"""),67.0)</f>
        <v>67</v>
      </c>
      <c r="J2991" s="139">
        <f>IFERROR(__xludf.DUMMYFUNCTION("""COMPUTED_VALUE"""),17.0)</f>
        <v>17</v>
      </c>
      <c r="K2991" s="139">
        <f>IFERROR(__xludf.DUMMYFUNCTION("""COMPUTED_VALUE"""),65.0)</f>
        <v>65</v>
      </c>
      <c r="L2991" s="139"/>
      <c r="M2991" s="139"/>
      <c r="N2991" s="139"/>
    </row>
    <row r="2992">
      <c r="A2992" s="139" t="str">
        <f>IFERROR(__xludf.DUMMYFUNCTION("""COMPUTED_VALUE"""),"e")</f>
        <v>e</v>
      </c>
      <c r="B2992" s="139">
        <f>IFERROR(__xludf.DUMMYFUNCTION("""COMPUTED_VALUE"""),2.0260301E8)</f>
        <v>202603010</v>
      </c>
      <c r="C2992" s="139" t="str">
        <f>IFERROR(__xludf.DUMMYFUNCTION("""COMPUTED_VALUE"""),"c_hut_00301_hut1_savage03_Boss_Yellow_Special_00001")</f>
        <v>c_hut_00301_hut1_savage03_Boss_Yellow_Special_00001</v>
      </c>
      <c r="D2992" s="139" t="str">
        <f>IFERROR(__xludf.DUMMYFUNCTION("""COMPUTED_VALUE"""),"c_hut_00301_hut1_savage03_Boss_Yellow")</f>
        <v>c_hut_00301_hut1_savage03_Boss_Yellow</v>
      </c>
      <c r="E2992" s="139">
        <f>IFERROR(__xludf.DUMMYFUNCTION("""COMPUTED_VALUE"""),0.0)</f>
        <v>0</v>
      </c>
      <c r="F2992" s="139" t="str">
        <f>IFERROR(__xludf.DUMMYFUNCTION("""COMPUTED_VALUE"""),"Special")</f>
        <v>Special</v>
      </c>
      <c r="G2992" s="139"/>
      <c r="H2992" s="139"/>
      <c r="I2992" s="139">
        <f>IFERROR(__xludf.DUMMYFUNCTION("""COMPUTED_VALUE"""),121.0)</f>
        <v>121</v>
      </c>
      <c r="J2992" s="139">
        <f>IFERROR(__xludf.DUMMYFUNCTION("""COMPUTED_VALUE"""),0.0)</f>
        <v>0</v>
      </c>
      <c r="K2992" s="139">
        <f>IFERROR(__xludf.DUMMYFUNCTION("""COMPUTED_VALUE"""),0.0)</f>
        <v>0</v>
      </c>
      <c r="L2992" s="139"/>
      <c r="M2992" s="139"/>
      <c r="N2992" s="139"/>
    </row>
    <row r="2993">
      <c r="A2993" s="139" t="str">
        <f>IFERROR(__xludf.DUMMYFUNCTION("""COMPUTED_VALUE"""),"e")</f>
        <v>e</v>
      </c>
      <c r="B2993" s="139">
        <f>IFERROR(__xludf.DUMMYFUNCTION("""COMPUTED_VALUE"""),2.0260301E8)</f>
        <v>202603010</v>
      </c>
      <c r="C2993" s="139" t="str">
        <f>IFERROR(__xludf.DUMMYFUNCTION("""COMPUTED_VALUE"""),"c_hut_00301_hut1_savage03_Boss_Yellow_Appearance_00002")</f>
        <v>c_hut_00301_hut1_savage03_Boss_Yellow_Appearance_00002</v>
      </c>
      <c r="D2993" s="139" t="str">
        <f>IFERROR(__xludf.DUMMYFUNCTION("""COMPUTED_VALUE"""),"c_hut_00301_hut1_savage03_Boss_Yellow")</f>
        <v>c_hut_00301_hut1_savage03_Boss_Yellow</v>
      </c>
      <c r="E2993" s="139">
        <f>IFERROR(__xludf.DUMMYFUNCTION("""COMPUTED_VALUE"""),0.0)</f>
        <v>0</v>
      </c>
      <c r="F2993" s="139" t="str">
        <f>IFERROR(__xludf.DUMMYFUNCTION("""COMPUTED_VALUE"""),"Appearance")</f>
        <v>Appearance</v>
      </c>
      <c r="G2993" s="139"/>
      <c r="H2993" s="139"/>
      <c r="I2993" s="139">
        <f>IFERROR(__xludf.DUMMYFUNCTION("""COMPUTED_VALUE"""),50.0)</f>
        <v>50</v>
      </c>
      <c r="J2993" s="139">
        <f>IFERROR(__xludf.DUMMYFUNCTION("""COMPUTED_VALUE"""),0.0)</f>
        <v>0</v>
      </c>
      <c r="K2993" s="139">
        <f>IFERROR(__xludf.DUMMYFUNCTION("""COMPUTED_VALUE"""),0.0)</f>
        <v>0</v>
      </c>
      <c r="L2993" s="139"/>
      <c r="M2993" s="139"/>
      <c r="N2993" s="139"/>
    </row>
    <row r="2994">
      <c r="A2994" s="139" t="str">
        <f>IFERROR(__xludf.DUMMYFUNCTION("""COMPUTED_VALUE"""),"e")</f>
        <v>e</v>
      </c>
      <c r="B2994" s="139">
        <f>IFERROR(__xludf.DUMMYFUNCTION("""COMPUTED_VALUE"""),2.0260301E8)</f>
        <v>202603010</v>
      </c>
      <c r="C2994" s="139" t="str">
        <f>IFERROR(__xludf.DUMMYFUNCTION("""COMPUTED_VALUE"""),"e_glo_00001_hut1_advent_Normal_Yellow_Normal_00000")</f>
        <v>e_glo_00001_hut1_advent_Normal_Yellow_Normal_00000</v>
      </c>
      <c r="D2994" s="139" t="str">
        <f>IFERROR(__xludf.DUMMYFUNCTION("""COMPUTED_VALUE"""),"e_glo_00001_hut1_advent_Normal_Yellow")</f>
        <v>e_glo_00001_hut1_advent_Normal_Yellow</v>
      </c>
      <c r="E2994" s="139">
        <f>IFERROR(__xludf.DUMMYFUNCTION("""COMPUTED_VALUE"""),0.0)</f>
        <v>0</v>
      </c>
      <c r="F2994" s="139" t="str">
        <f>IFERROR(__xludf.DUMMYFUNCTION("""COMPUTED_VALUE"""),"Normal")</f>
        <v>Normal</v>
      </c>
      <c r="G2994" s="139"/>
      <c r="H2994" s="139"/>
      <c r="I2994" s="139">
        <f>IFERROR(__xludf.DUMMYFUNCTION("""COMPUTED_VALUE"""),50.0)</f>
        <v>50</v>
      </c>
      <c r="J2994" s="139">
        <f>IFERROR(__xludf.DUMMYFUNCTION("""COMPUTED_VALUE"""),25.0)</f>
        <v>25</v>
      </c>
      <c r="K2994" s="139">
        <f>IFERROR(__xludf.DUMMYFUNCTION("""COMPUTED_VALUE"""),50.0)</f>
        <v>50</v>
      </c>
      <c r="L2994" s="139"/>
      <c r="M2994" s="139"/>
      <c r="N2994" s="139"/>
    </row>
    <row r="2995">
      <c r="A2995" s="139" t="str">
        <f>IFERROR(__xludf.DUMMYFUNCTION("""COMPUTED_VALUE"""),"e")</f>
        <v>e</v>
      </c>
      <c r="B2995" s="139">
        <f>IFERROR(__xludf.DUMMYFUNCTION("""COMPUTED_VALUE"""),2.0260301E8)</f>
        <v>202603010</v>
      </c>
      <c r="C2995" s="139" t="str">
        <f>IFERROR(__xludf.DUMMYFUNCTION("""COMPUTED_VALUE"""),"e_glo_00001_hut1_advent_Normal_Colorless_Normal_00000")</f>
        <v>e_glo_00001_hut1_advent_Normal_Colorless_Normal_00000</v>
      </c>
      <c r="D2995" s="139" t="str">
        <f>IFERROR(__xludf.DUMMYFUNCTION("""COMPUTED_VALUE"""),"e_glo_00001_hut1_advent_Normal_Colorless")</f>
        <v>e_glo_00001_hut1_advent_Normal_Colorless</v>
      </c>
      <c r="E2995" s="139">
        <f>IFERROR(__xludf.DUMMYFUNCTION("""COMPUTED_VALUE"""),0.0)</f>
        <v>0</v>
      </c>
      <c r="F2995" s="139" t="str">
        <f>IFERROR(__xludf.DUMMYFUNCTION("""COMPUTED_VALUE"""),"Normal")</f>
        <v>Normal</v>
      </c>
      <c r="G2995" s="139"/>
      <c r="H2995" s="139"/>
      <c r="I2995" s="139">
        <f>IFERROR(__xludf.DUMMYFUNCTION("""COMPUTED_VALUE"""),50.0)</f>
        <v>50</v>
      </c>
      <c r="J2995" s="139">
        <f>IFERROR(__xludf.DUMMYFUNCTION("""COMPUTED_VALUE"""),25.0)</f>
        <v>25</v>
      </c>
      <c r="K2995" s="139">
        <f>IFERROR(__xludf.DUMMYFUNCTION("""COMPUTED_VALUE"""),75.0)</f>
        <v>75</v>
      </c>
      <c r="L2995" s="139"/>
      <c r="M2995" s="139"/>
      <c r="N2995" s="139"/>
    </row>
    <row r="2996">
      <c r="A2996" s="139" t="str">
        <f>IFERROR(__xludf.DUMMYFUNCTION("""COMPUTED_VALUE"""),"e")</f>
        <v>e</v>
      </c>
      <c r="B2996" s="139">
        <f>IFERROR(__xludf.DUMMYFUNCTION("""COMPUTED_VALUE"""),2.0260301E8)</f>
        <v>202603010</v>
      </c>
      <c r="C2996" s="139" t="str">
        <f>IFERROR(__xludf.DUMMYFUNCTION("""COMPUTED_VALUE"""),"e_hut_00001_hut1_advent_Normal_Yellow_Normal_00000")</f>
        <v>e_hut_00001_hut1_advent_Normal_Yellow_Normal_00000</v>
      </c>
      <c r="D2996" s="139" t="str">
        <f>IFERROR(__xludf.DUMMYFUNCTION("""COMPUTED_VALUE"""),"e_hut_00001_hut1_advent_Normal_Yellow")</f>
        <v>e_hut_00001_hut1_advent_Normal_Yellow</v>
      </c>
      <c r="E2996" s="139">
        <f>IFERROR(__xludf.DUMMYFUNCTION("""COMPUTED_VALUE"""),0.0)</f>
        <v>0</v>
      </c>
      <c r="F2996" s="139" t="str">
        <f>IFERROR(__xludf.DUMMYFUNCTION("""COMPUTED_VALUE"""),"Normal")</f>
        <v>Normal</v>
      </c>
      <c r="G2996" s="139"/>
      <c r="H2996" s="139"/>
      <c r="I2996" s="139">
        <f>IFERROR(__xludf.DUMMYFUNCTION("""COMPUTED_VALUE"""),69.0)</f>
        <v>69</v>
      </c>
      <c r="J2996" s="139">
        <f>IFERROR(__xludf.DUMMYFUNCTION("""COMPUTED_VALUE"""),26.0)</f>
        <v>26</v>
      </c>
      <c r="K2996" s="139">
        <f>IFERROR(__xludf.DUMMYFUNCTION("""COMPUTED_VALUE"""),50.0)</f>
        <v>50</v>
      </c>
      <c r="L2996" s="139"/>
      <c r="M2996" s="139"/>
      <c r="N2996" s="139"/>
    </row>
    <row r="2997">
      <c r="A2997" s="139" t="str">
        <f>IFERROR(__xludf.DUMMYFUNCTION("""COMPUTED_VALUE"""),"e")</f>
        <v>e</v>
      </c>
      <c r="B2997" s="139">
        <f>IFERROR(__xludf.DUMMYFUNCTION("""COMPUTED_VALUE"""),2.0260301E8)</f>
        <v>202603010</v>
      </c>
      <c r="C2997" s="139" t="str">
        <f>IFERROR(__xludf.DUMMYFUNCTION("""COMPUTED_VALUE"""),"c_hut_00001_hut1_advent_Normal_Colorless_Normal_00000")</f>
        <v>c_hut_00001_hut1_advent_Normal_Colorless_Normal_00000</v>
      </c>
      <c r="D2997" s="139" t="str">
        <f>IFERROR(__xludf.DUMMYFUNCTION("""COMPUTED_VALUE"""),"c_hut_00001_hut1_advent_Normal_Colorless")</f>
        <v>c_hut_00001_hut1_advent_Normal_Colorless</v>
      </c>
      <c r="E2997" s="139">
        <f>IFERROR(__xludf.DUMMYFUNCTION("""COMPUTED_VALUE"""),0.0)</f>
        <v>0</v>
      </c>
      <c r="F2997" s="139" t="str">
        <f>IFERROR(__xludf.DUMMYFUNCTION("""COMPUTED_VALUE"""),"Normal")</f>
        <v>Normal</v>
      </c>
      <c r="G2997" s="139"/>
      <c r="H2997" s="139"/>
      <c r="I2997" s="139">
        <f>IFERROR(__xludf.DUMMYFUNCTION("""COMPUTED_VALUE"""),74.0)</f>
        <v>74</v>
      </c>
      <c r="J2997" s="139">
        <f>IFERROR(__xludf.DUMMYFUNCTION("""COMPUTED_VALUE"""),8.0)</f>
        <v>8</v>
      </c>
      <c r="K2997" s="139">
        <f>IFERROR(__xludf.DUMMYFUNCTION("""COMPUTED_VALUE"""),50.0)</f>
        <v>50</v>
      </c>
      <c r="L2997" s="139"/>
      <c r="M2997" s="139"/>
      <c r="N2997" s="139"/>
    </row>
    <row r="2998">
      <c r="A2998" s="139" t="str">
        <f>IFERROR(__xludf.DUMMYFUNCTION("""COMPUTED_VALUE"""),"e")</f>
        <v>e</v>
      </c>
      <c r="B2998" s="139">
        <f>IFERROR(__xludf.DUMMYFUNCTION("""COMPUTED_VALUE"""),2.0260301E8)</f>
        <v>202603010</v>
      </c>
      <c r="C2998" s="139" t="str">
        <f>IFERROR(__xludf.DUMMYFUNCTION("""COMPUTED_VALUE"""),"c_hut_00001_hut1_advent_Normal_Colorless_Special_00001")</f>
        <v>c_hut_00001_hut1_advent_Normal_Colorless_Special_00001</v>
      </c>
      <c r="D2998" s="139" t="str">
        <f>IFERROR(__xludf.DUMMYFUNCTION("""COMPUTED_VALUE"""),"c_hut_00001_hut1_advent_Normal_Colorless")</f>
        <v>c_hut_00001_hut1_advent_Normal_Colorless</v>
      </c>
      <c r="E2998" s="139">
        <f>IFERROR(__xludf.DUMMYFUNCTION("""COMPUTED_VALUE"""),0.0)</f>
        <v>0</v>
      </c>
      <c r="F2998" s="139" t="str">
        <f>IFERROR(__xludf.DUMMYFUNCTION("""COMPUTED_VALUE"""),"Special")</f>
        <v>Special</v>
      </c>
      <c r="G2998" s="139"/>
      <c r="H2998" s="139"/>
      <c r="I2998" s="139">
        <f>IFERROR(__xludf.DUMMYFUNCTION("""COMPUTED_VALUE"""),140.0)</f>
        <v>140</v>
      </c>
      <c r="J2998" s="139">
        <f>IFERROR(__xludf.DUMMYFUNCTION("""COMPUTED_VALUE"""),44.0)</f>
        <v>44</v>
      </c>
      <c r="K2998" s="139">
        <f>IFERROR(__xludf.DUMMYFUNCTION("""COMPUTED_VALUE"""),0.0)</f>
        <v>0</v>
      </c>
      <c r="L2998" s="139"/>
      <c r="M2998" s="139"/>
      <c r="N2998" s="139"/>
    </row>
    <row r="2999">
      <c r="A2999" s="139" t="str">
        <f>IFERROR(__xludf.DUMMYFUNCTION("""COMPUTED_VALUE"""),"e")</f>
        <v>e</v>
      </c>
      <c r="B2999" s="139">
        <f>IFERROR(__xludf.DUMMYFUNCTION("""COMPUTED_VALUE"""),2.0260301E8)</f>
        <v>202603010</v>
      </c>
      <c r="C2999" s="139" t="str">
        <f>IFERROR(__xludf.DUMMYFUNCTION("""COMPUTED_VALUE"""),"c_hut_00101_hut1_advent_Normal_Colorless_Normal_00000")</f>
        <v>c_hut_00101_hut1_advent_Normal_Colorless_Normal_00000</v>
      </c>
      <c r="D2999" s="139" t="str">
        <f>IFERROR(__xludf.DUMMYFUNCTION("""COMPUTED_VALUE"""),"c_hut_00101_hut1_advent_Normal_Colorless")</f>
        <v>c_hut_00101_hut1_advent_Normal_Colorless</v>
      </c>
      <c r="E2999" s="139">
        <f>IFERROR(__xludf.DUMMYFUNCTION("""COMPUTED_VALUE"""),0.0)</f>
        <v>0</v>
      </c>
      <c r="F2999" s="139" t="str">
        <f>IFERROR(__xludf.DUMMYFUNCTION("""COMPUTED_VALUE"""),"Normal")</f>
        <v>Normal</v>
      </c>
      <c r="G2999" s="139"/>
      <c r="H2999" s="139"/>
      <c r="I2999" s="139">
        <f>IFERROR(__xludf.DUMMYFUNCTION("""COMPUTED_VALUE"""),79.0)</f>
        <v>79</v>
      </c>
      <c r="J2999" s="139">
        <f>IFERROR(__xludf.DUMMYFUNCTION("""COMPUTED_VALUE"""),38.0)</f>
        <v>38</v>
      </c>
      <c r="K2999" s="139">
        <f>IFERROR(__xludf.DUMMYFUNCTION("""COMPUTED_VALUE"""),50.0)</f>
        <v>50</v>
      </c>
      <c r="L2999" s="139"/>
      <c r="M2999" s="139"/>
      <c r="N2999" s="139"/>
    </row>
    <row r="3000">
      <c r="A3000" s="139" t="str">
        <f>IFERROR(__xludf.DUMMYFUNCTION("""COMPUTED_VALUE"""),"e")</f>
        <v>e</v>
      </c>
      <c r="B3000" s="139">
        <f>IFERROR(__xludf.DUMMYFUNCTION("""COMPUTED_VALUE"""),2.0260301E8)</f>
        <v>202603010</v>
      </c>
      <c r="C3000" s="139" t="str">
        <f>IFERROR(__xludf.DUMMYFUNCTION("""COMPUTED_VALUE"""),"c_hut_00101_hut1_advent_Normal_Colorless_Special_00001")</f>
        <v>c_hut_00101_hut1_advent_Normal_Colorless_Special_00001</v>
      </c>
      <c r="D3000" s="139" t="str">
        <f>IFERROR(__xludf.DUMMYFUNCTION("""COMPUTED_VALUE"""),"c_hut_00101_hut1_advent_Normal_Colorless")</f>
        <v>c_hut_00101_hut1_advent_Normal_Colorless</v>
      </c>
      <c r="E3000" s="139">
        <f>IFERROR(__xludf.DUMMYFUNCTION("""COMPUTED_VALUE"""),0.0)</f>
        <v>0</v>
      </c>
      <c r="F3000" s="139" t="str">
        <f>IFERROR(__xludf.DUMMYFUNCTION("""COMPUTED_VALUE"""),"Special")</f>
        <v>Special</v>
      </c>
      <c r="G3000" s="139"/>
      <c r="H3000" s="139"/>
      <c r="I3000" s="139">
        <f>IFERROR(__xludf.DUMMYFUNCTION("""COMPUTED_VALUE"""),129.0)</f>
        <v>129</v>
      </c>
      <c r="J3000" s="139">
        <f>IFERROR(__xludf.DUMMYFUNCTION("""COMPUTED_VALUE"""),0.0)</f>
        <v>0</v>
      </c>
      <c r="K3000" s="139">
        <f>IFERROR(__xludf.DUMMYFUNCTION("""COMPUTED_VALUE"""),0.0)</f>
        <v>0</v>
      </c>
      <c r="L3000" s="139"/>
      <c r="M3000" s="139"/>
      <c r="N3000" s="139"/>
    </row>
    <row r="3001">
      <c r="A3001" s="139" t="str">
        <f>IFERROR(__xludf.DUMMYFUNCTION("""COMPUTED_VALUE"""),"e")</f>
        <v>e</v>
      </c>
      <c r="B3001" s="139">
        <f>IFERROR(__xludf.DUMMYFUNCTION("""COMPUTED_VALUE"""),2.0260301E8)</f>
        <v>202603010</v>
      </c>
      <c r="C3001" s="139" t="str">
        <f>IFERROR(__xludf.DUMMYFUNCTION("""COMPUTED_VALUE"""),"c_hut_00201_hut1_advent_Normal_Colorless_Normal_00000")</f>
        <v>c_hut_00201_hut1_advent_Normal_Colorless_Normal_00000</v>
      </c>
      <c r="D3001" s="139" t="str">
        <f>IFERROR(__xludf.DUMMYFUNCTION("""COMPUTED_VALUE"""),"c_hut_00201_hut1_advent_Normal_Colorless")</f>
        <v>c_hut_00201_hut1_advent_Normal_Colorless</v>
      </c>
      <c r="E3001" s="139">
        <f>IFERROR(__xludf.DUMMYFUNCTION("""COMPUTED_VALUE"""),0.0)</f>
        <v>0</v>
      </c>
      <c r="F3001" s="139" t="str">
        <f>IFERROR(__xludf.DUMMYFUNCTION("""COMPUTED_VALUE"""),"Normal")</f>
        <v>Normal</v>
      </c>
      <c r="G3001" s="139"/>
      <c r="H3001" s="139"/>
      <c r="I3001" s="139">
        <f>IFERROR(__xludf.DUMMYFUNCTION("""COMPUTED_VALUE"""),60.0)</f>
        <v>60</v>
      </c>
      <c r="J3001" s="139">
        <f>IFERROR(__xludf.DUMMYFUNCTION("""COMPUTED_VALUE"""),17.0)</f>
        <v>17</v>
      </c>
      <c r="K3001" s="139">
        <f>IFERROR(__xludf.DUMMYFUNCTION("""COMPUTED_VALUE"""),75.0)</f>
        <v>75</v>
      </c>
      <c r="L3001" s="139"/>
      <c r="M3001" s="139"/>
      <c r="N3001" s="139"/>
    </row>
    <row r="3002">
      <c r="A3002" s="139" t="str">
        <f>IFERROR(__xludf.DUMMYFUNCTION("""COMPUTED_VALUE"""),"e")</f>
        <v>e</v>
      </c>
      <c r="B3002" s="139">
        <f>IFERROR(__xludf.DUMMYFUNCTION("""COMPUTED_VALUE"""),2.0260301E8)</f>
        <v>202603010</v>
      </c>
      <c r="C3002" s="139" t="str">
        <f>IFERROR(__xludf.DUMMYFUNCTION("""COMPUTED_VALUE"""),"c_hut_00201_hut1_advent_Normal_Colorless_Special_00001")</f>
        <v>c_hut_00201_hut1_advent_Normal_Colorless_Special_00001</v>
      </c>
      <c r="D3002" s="139" t="str">
        <f>IFERROR(__xludf.DUMMYFUNCTION("""COMPUTED_VALUE"""),"c_hut_00201_hut1_advent_Normal_Colorless")</f>
        <v>c_hut_00201_hut1_advent_Normal_Colorless</v>
      </c>
      <c r="E3002" s="139">
        <f>IFERROR(__xludf.DUMMYFUNCTION("""COMPUTED_VALUE"""),0.0)</f>
        <v>0</v>
      </c>
      <c r="F3002" s="139" t="str">
        <f>IFERROR(__xludf.DUMMYFUNCTION("""COMPUTED_VALUE"""),"Special")</f>
        <v>Special</v>
      </c>
      <c r="G3002" s="139"/>
      <c r="H3002" s="139"/>
      <c r="I3002" s="139">
        <f>IFERROR(__xludf.DUMMYFUNCTION("""COMPUTED_VALUE"""),142.0)</f>
        <v>142</v>
      </c>
      <c r="J3002" s="139">
        <f>IFERROR(__xludf.DUMMYFUNCTION("""COMPUTED_VALUE"""),0.0)</f>
        <v>0</v>
      </c>
      <c r="K3002" s="139">
        <f>IFERROR(__xludf.DUMMYFUNCTION("""COMPUTED_VALUE"""),0.0)</f>
        <v>0</v>
      </c>
      <c r="L3002" s="139"/>
      <c r="M3002" s="139"/>
      <c r="N3002" s="139"/>
    </row>
    <row r="3003">
      <c r="A3003" s="139" t="str">
        <f>IFERROR(__xludf.DUMMYFUNCTION("""COMPUTED_VALUE"""),"e")</f>
        <v>e</v>
      </c>
      <c r="B3003" s="139">
        <f>IFERROR(__xludf.DUMMYFUNCTION("""COMPUTED_VALUE"""),2.0260301E8)</f>
        <v>202603010</v>
      </c>
      <c r="C3003" s="139" t="str">
        <f>IFERROR(__xludf.DUMMYFUNCTION("""COMPUTED_VALUE"""),"c_hut_00301_hut1_advent_Normal_Yellow_Normal_00000")</f>
        <v>c_hut_00301_hut1_advent_Normal_Yellow_Normal_00000</v>
      </c>
      <c r="D3003" s="139" t="str">
        <f>IFERROR(__xludf.DUMMYFUNCTION("""COMPUTED_VALUE"""),"c_hut_00301_hut1_advent_Normal_Yellow")</f>
        <v>c_hut_00301_hut1_advent_Normal_Yellow</v>
      </c>
      <c r="E3003" s="139">
        <f>IFERROR(__xludf.DUMMYFUNCTION("""COMPUTED_VALUE"""),0.0)</f>
        <v>0</v>
      </c>
      <c r="F3003" s="139" t="str">
        <f>IFERROR(__xludf.DUMMYFUNCTION("""COMPUTED_VALUE"""),"Normal")</f>
        <v>Normal</v>
      </c>
      <c r="G3003" s="139"/>
      <c r="H3003" s="139"/>
      <c r="I3003" s="139">
        <f>IFERROR(__xludf.DUMMYFUNCTION("""COMPUTED_VALUE"""),67.0)</f>
        <v>67</v>
      </c>
      <c r="J3003" s="139">
        <f>IFERROR(__xludf.DUMMYFUNCTION("""COMPUTED_VALUE"""),17.0)</f>
        <v>17</v>
      </c>
      <c r="K3003" s="139">
        <f>IFERROR(__xludf.DUMMYFUNCTION("""COMPUTED_VALUE"""),30.0)</f>
        <v>30</v>
      </c>
      <c r="L3003" s="139"/>
      <c r="M3003" s="139"/>
      <c r="N3003" s="139"/>
    </row>
    <row r="3004">
      <c r="A3004" s="139" t="str">
        <f>IFERROR(__xludf.DUMMYFUNCTION("""COMPUTED_VALUE"""),"e")</f>
        <v>e</v>
      </c>
      <c r="B3004" s="139">
        <f>IFERROR(__xludf.DUMMYFUNCTION("""COMPUTED_VALUE"""),2.0260301E8)</f>
        <v>202603010</v>
      </c>
      <c r="C3004" s="139" t="str">
        <f>IFERROR(__xludf.DUMMYFUNCTION("""COMPUTED_VALUE"""),"c_hut_00301_hut1_advent_Normal_Yellow_Special_00001")</f>
        <v>c_hut_00301_hut1_advent_Normal_Yellow_Special_00001</v>
      </c>
      <c r="D3004" s="139" t="str">
        <f>IFERROR(__xludf.DUMMYFUNCTION("""COMPUTED_VALUE"""),"c_hut_00301_hut1_advent_Normal_Yellow")</f>
        <v>c_hut_00301_hut1_advent_Normal_Yellow</v>
      </c>
      <c r="E3004" s="139">
        <f>IFERROR(__xludf.DUMMYFUNCTION("""COMPUTED_VALUE"""),0.0)</f>
        <v>0</v>
      </c>
      <c r="F3004" s="139" t="str">
        <f>IFERROR(__xludf.DUMMYFUNCTION("""COMPUTED_VALUE"""),"Special")</f>
        <v>Special</v>
      </c>
      <c r="G3004" s="139"/>
      <c r="H3004" s="139"/>
      <c r="I3004" s="139">
        <f>IFERROR(__xludf.DUMMYFUNCTION("""COMPUTED_VALUE"""),121.0)</f>
        <v>121</v>
      </c>
      <c r="J3004" s="139">
        <f>IFERROR(__xludf.DUMMYFUNCTION("""COMPUTED_VALUE"""),0.0)</f>
        <v>0</v>
      </c>
      <c r="K3004" s="139">
        <f>IFERROR(__xludf.DUMMYFUNCTION("""COMPUTED_VALUE"""),0.0)</f>
        <v>0</v>
      </c>
      <c r="L3004" s="139"/>
      <c r="M3004" s="139"/>
      <c r="N3004" s="139"/>
    </row>
    <row r="3005">
      <c r="A3005" s="139" t="str">
        <f>IFERROR(__xludf.DUMMYFUNCTION("""COMPUTED_VALUE"""),"e")</f>
        <v>e</v>
      </c>
      <c r="B3005" s="139">
        <f>IFERROR(__xludf.DUMMYFUNCTION("""COMPUTED_VALUE"""),2.0260301E8)</f>
        <v>202603010</v>
      </c>
      <c r="C3005" s="139" t="str">
        <f>IFERROR(__xludf.DUMMYFUNCTION("""COMPUTED_VALUE"""),"e_glo_00001_hut1_advent_Boss_Yellow_Normal_00000")</f>
        <v>e_glo_00001_hut1_advent_Boss_Yellow_Normal_00000</v>
      </c>
      <c r="D3005" s="139" t="str">
        <f>IFERROR(__xludf.DUMMYFUNCTION("""COMPUTED_VALUE"""),"e_glo_00001_hut1_advent_Boss_Yellow")</f>
        <v>e_glo_00001_hut1_advent_Boss_Yellow</v>
      </c>
      <c r="E3005" s="139">
        <f>IFERROR(__xludf.DUMMYFUNCTION("""COMPUTED_VALUE"""),0.0)</f>
        <v>0</v>
      </c>
      <c r="F3005" s="139" t="str">
        <f>IFERROR(__xludf.DUMMYFUNCTION("""COMPUTED_VALUE"""),"Normal")</f>
        <v>Normal</v>
      </c>
      <c r="G3005" s="139"/>
      <c r="H3005" s="139"/>
      <c r="I3005" s="139">
        <f>IFERROR(__xludf.DUMMYFUNCTION("""COMPUTED_VALUE"""),50.0)</f>
        <v>50</v>
      </c>
      <c r="J3005" s="139">
        <f>IFERROR(__xludf.DUMMYFUNCTION("""COMPUTED_VALUE"""),25.0)</f>
        <v>25</v>
      </c>
      <c r="K3005" s="139">
        <f>IFERROR(__xludf.DUMMYFUNCTION("""COMPUTED_VALUE"""),50.0)</f>
        <v>50</v>
      </c>
      <c r="L3005" s="139"/>
      <c r="M3005" s="139"/>
      <c r="N3005" s="139"/>
    </row>
    <row r="3006">
      <c r="A3006" s="139" t="str">
        <f>IFERROR(__xludf.DUMMYFUNCTION("""COMPUTED_VALUE"""),"e")</f>
        <v>e</v>
      </c>
      <c r="B3006" s="139">
        <f>IFERROR(__xludf.DUMMYFUNCTION("""COMPUTED_VALUE"""),2.0260301E8)</f>
        <v>202603010</v>
      </c>
      <c r="C3006" s="139" t="str">
        <f>IFERROR(__xludf.DUMMYFUNCTION("""COMPUTED_VALUE"""),"e_glo_00001_hut1_advent_Boss_Yellow_Appearance_00001")</f>
        <v>e_glo_00001_hut1_advent_Boss_Yellow_Appearance_00001</v>
      </c>
      <c r="D3006" s="139" t="str">
        <f>IFERROR(__xludf.DUMMYFUNCTION("""COMPUTED_VALUE"""),"e_glo_00001_hut1_advent_Boss_Yellow")</f>
        <v>e_glo_00001_hut1_advent_Boss_Yellow</v>
      </c>
      <c r="E3006" s="139">
        <f>IFERROR(__xludf.DUMMYFUNCTION("""COMPUTED_VALUE"""),0.0)</f>
        <v>0</v>
      </c>
      <c r="F3006" s="139" t="str">
        <f>IFERROR(__xludf.DUMMYFUNCTION("""COMPUTED_VALUE"""),"Appearance")</f>
        <v>Appearance</v>
      </c>
      <c r="G3006" s="139"/>
      <c r="H3006" s="139"/>
      <c r="I3006" s="139">
        <f>IFERROR(__xludf.DUMMYFUNCTION("""COMPUTED_VALUE"""),50.0)</f>
        <v>50</v>
      </c>
      <c r="J3006" s="139">
        <f>IFERROR(__xludf.DUMMYFUNCTION("""COMPUTED_VALUE"""),0.0)</f>
        <v>0</v>
      </c>
      <c r="K3006" s="139">
        <f>IFERROR(__xludf.DUMMYFUNCTION("""COMPUTED_VALUE"""),0.0)</f>
        <v>0</v>
      </c>
      <c r="L3006" s="139"/>
      <c r="M3006" s="139"/>
      <c r="N3006" s="139"/>
    </row>
    <row r="3007">
      <c r="A3007" s="139" t="str">
        <f>IFERROR(__xludf.DUMMYFUNCTION("""COMPUTED_VALUE"""),"e")</f>
        <v>e</v>
      </c>
      <c r="B3007" s="139">
        <f>IFERROR(__xludf.DUMMYFUNCTION("""COMPUTED_VALUE"""),2.0260301E8)</f>
        <v>202603010</v>
      </c>
      <c r="C3007" s="139" t="str">
        <f>IFERROR(__xludf.DUMMYFUNCTION("""COMPUTED_VALUE"""),"e_glo_00001_hut1_advent_Boss_Colorless_Normal_00000")</f>
        <v>e_glo_00001_hut1_advent_Boss_Colorless_Normal_00000</v>
      </c>
      <c r="D3007" s="139" t="str">
        <f>IFERROR(__xludf.DUMMYFUNCTION("""COMPUTED_VALUE"""),"e_glo_00001_hut1_advent_Boss_Colorless")</f>
        <v>e_glo_00001_hut1_advent_Boss_Colorless</v>
      </c>
      <c r="E3007" s="139">
        <f>IFERROR(__xludf.DUMMYFUNCTION("""COMPUTED_VALUE"""),0.0)</f>
        <v>0</v>
      </c>
      <c r="F3007" s="139" t="str">
        <f>IFERROR(__xludf.DUMMYFUNCTION("""COMPUTED_VALUE"""),"Normal")</f>
        <v>Normal</v>
      </c>
      <c r="G3007" s="139"/>
      <c r="H3007" s="139"/>
      <c r="I3007" s="139">
        <f>IFERROR(__xludf.DUMMYFUNCTION("""COMPUTED_VALUE"""),50.0)</f>
        <v>50</v>
      </c>
      <c r="J3007" s="139">
        <f>IFERROR(__xludf.DUMMYFUNCTION("""COMPUTED_VALUE"""),25.0)</f>
        <v>25</v>
      </c>
      <c r="K3007" s="139">
        <f>IFERROR(__xludf.DUMMYFUNCTION("""COMPUTED_VALUE"""),75.0)</f>
        <v>75</v>
      </c>
      <c r="L3007" s="139"/>
      <c r="M3007" s="139"/>
      <c r="N3007" s="139"/>
    </row>
    <row r="3008">
      <c r="A3008" s="139" t="str">
        <f>IFERROR(__xludf.DUMMYFUNCTION("""COMPUTED_VALUE"""),"e")</f>
        <v>e</v>
      </c>
      <c r="B3008" s="139">
        <f>IFERROR(__xludf.DUMMYFUNCTION("""COMPUTED_VALUE"""),2.0260301E8)</f>
        <v>202603010</v>
      </c>
      <c r="C3008" s="139" t="str">
        <f>IFERROR(__xludf.DUMMYFUNCTION("""COMPUTED_VALUE"""),"e_glo_00001_hut1_advent_Boss_Colorless_Appearance_00001")</f>
        <v>e_glo_00001_hut1_advent_Boss_Colorless_Appearance_00001</v>
      </c>
      <c r="D3008" s="139" t="str">
        <f>IFERROR(__xludf.DUMMYFUNCTION("""COMPUTED_VALUE"""),"e_glo_00001_hut1_advent_Boss_Colorless")</f>
        <v>e_glo_00001_hut1_advent_Boss_Colorless</v>
      </c>
      <c r="E3008" s="139">
        <f>IFERROR(__xludf.DUMMYFUNCTION("""COMPUTED_VALUE"""),0.0)</f>
        <v>0</v>
      </c>
      <c r="F3008" s="139" t="str">
        <f>IFERROR(__xludf.DUMMYFUNCTION("""COMPUTED_VALUE"""),"Appearance")</f>
        <v>Appearance</v>
      </c>
      <c r="G3008" s="139"/>
      <c r="H3008" s="139"/>
      <c r="I3008" s="139">
        <f>IFERROR(__xludf.DUMMYFUNCTION("""COMPUTED_VALUE"""),50.0)</f>
        <v>50</v>
      </c>
      <c r="J3008" s="139">
        <f>IFERROR(__xludf.DUMMYFUNCTION("""COMPUTED_VALUE"""),0.0)</f>
        <v>0</v>
      </c>
      <c r="K3008" s="139">
        <f>IFERROR(__xludf.DUMMYFUNCTION("""COMPUTED_VALUE"""),0.0)</f>
        <v>0</v>
      </c>
      <c r="L3008" s="139"/>
      <c r="M3008" s="139"/>
      <c r="N3008" s="139"/>
    </row>
    <row r="3009">
      <c r="A3009" s="139" t="str">
        <f>IFERROR(__xludf.DUMMYFUNCTION("""COMPUTED_VALUE"""),"e")</f>
        <v>e</v>
      </c>
      <c r="B3009" s="139">
        <f>IFERROR(__xludf.DUMMYFUNCTION("""COMPUTED_VALUE"""),2.0260301E8)</f>
        <v>202603010</v>
      </c>
      <c r="C3009" s="139" t="str">
        <f>IFERROR(__xludf.DUMMYFUNCTION("""COMPUTED_VALUE"""),"e_hut_00001_hut1_advent_Boss_Yellow_Normal_00000")</f>
        <v>e_hut_00001_hut1_advent_Boss_Yellow_Normal_00000</v>
      </c>
      <c r="D3009" s="139" t="str">
        <f>IFERROR(__xludf.DUMMYFUNCTION("""COMPUTED_VALUE"""),"e_hut_00001_hut1_advent_Boss_Yellow")</f>
        <v>e_hut_00001_hut1_advent_Boss_Yellow</v>
      </c>
      <c r="E3009" s="139">
        <f>IFERROR(__xludf.DUMMYFUNCTION("""COMPUTED_VALUE"""),0.0)</f>
        <v>0</v>
      </c>
      <c r="F3009" s="139" t="str">
        <f>IFERROR(__xludf.DUMMYFUNCTION("""COMPUTED_VALUE"""),"Normal")</f>
        <v>Normal</v>
      </c>
      <c r="G3009" s="139"/>
      <c r="H3009" s="139"/>
      <c r="I3009" s="139">
        <f>IFERROR(__xludf.DUMMYFUNCTION("""COMPUTED_VALUE"""),69.0)</f>
        <v>69</v>
      </c>
      <c r="J3009" s="139">
        <f>IFERROR(__xludf.DUMMYFUNCTION("""COMPUTED_VALUE"""),26.0)</f>
        <v>26</v>
      </c>
      <c r="K3009" s="139">
        <f>IFERROR(__xludf.DUMMYFUNCTION("""COMPUTED_VALUE"""),50.0)</f>
        <v>50</v>
      </c>
      <c r="L3009" s="139"/>
      <c r="M3009" s="139"/>
      <c r="N3009" s="139"/>
    </row>
    <row r="3010">
      <c r="A3010" s="139" t="str">
        <f>IFERROR(__xludf.DUMMYFUNCTION("""COMPUTED_VALUE"""),"e")</f>
        <v>e</v>
      </c>
      <c r="B3010" s="139">
        <f>IFERROR(__xludf.DUMMYFUNCTION("""COMPUTED_VALUE"""),2.0260301E8)</f>
        <v>202603010</v>
      </c>
      <c r="C3010" s="139" t="str">
        <f>IFERROR(__xludf.DUMMYFUNCTION("""COMPUTED_VALUE"""),"e_hut_00001_hut1_advent_Boss_Yellow_Appearance_00001")</f>
        <v>e_hut_00001_hut1_advent_Boss_Yellow_Appearance_00001</v>
      </c>
      <c r="D3010" s="139" t="str">
        <f>IFERROR(__xludf.DUMMYFUNCTION("""COMPUTED_VALUE"""),"e_hut_00001_hut1_advent_Boss_Yellow")</f>
        <v>e_hut_00001_hut1_advent_Boss_Yellow</v>
      </c>
      <c r="E3010" s="139">
        <f>IFERROR(__xludf.DUMMYFUNCTION("""COMPUTED_VALUE"""),0.0)</f>
        <v>0</v>
      </c>
      <c r="F3010" s="139" t="str">
        <f>IFERROR(__xludf.DUMMYFUNCTION("""COMPUTED_VALUE"""),"Appearance")</f>
        <v>Appearance</v>
      </c>
      <c r="G3010" s="139"/>
      <c r="H3010" s="139"/>
      <c r="I3010" s="139">
        <f>IFERROR(__xludf.DUMMYFUNCTION("""COMPUTED_VALUE"""),50.0)</f>
        <v>50</v>
      </c>
      <c r="J3010" s="139">
        <f>IFERROR(__xludf.DUMMYFUNCTION("""COMPUTED_VALUE"""),0.0)</f>
        <v>0</v>
      </c>
      <c r="K3010" s="139">
        <f>IFERROR(__xludf.DUMMYFUNCTION("""COMPUTED_VALUE"""),0.0)</f>
        <v>0</v>
      </c>
      <c r="L3010" s="139"/>
      <c r="M3010" s="139"/>
      <c r="N3010" s="139"/>
    </row>
    <row r="3011">
      <c r="A3011" s="139" t="str">
        <f>IFERROR(__xludf.DUMMYFUNCTION("""COMPUTED_VALUE"""),"e")</f>
        <v>e</v>
      </c>
      <c r="B3011" s="139">
        <f>IFERROR(__xludf.DUMMYFUNCTION("""COMPUTED_VALUE"""),2.0260301E8)</f>
        <v>202603010</v>
      </c>
      <c r="C3011" s="139" t="str">
        <f>IFERROR(__xludf.DUMMYFUNCTION("""COMPUTED_VALUE"""),"c_hut_00001_hut1_advent_Boss_Colorless_Normal_00000")</f>
        <v>c_hut_00001_hut1_advent_Boss_Colorless_Normal_00000</v>
      </c>
      <c r="D3011" s="139" t="str">
        <f>IFERROR(__xludf.DUMMYFUNCTION("""COMPUTED_VALUE"""),"c_hut_00001_hut1_advent_Boss_Colorless")</f>
        <v>c_hut_00001_hut1_advent_Boss_Colorless</v>
      </c>
      <c r="E3011" s="139">
        <f>IFERROR(__xludf.DUMMYFUNCTION("""COMPUTED_VALUE"""),0.0)</f>
        <v>0</v>
      </c>
      <c r="F3011" s="139" t="str">
        <f>IFERROR(__xludf.DUMMYFUNCTION("""COMPUTED_VALUE"""),"Normal")</f>
        <v>Normal</v>
      </c>
      <c r="G3011" s="139"/>
      <c r="H3011" s="139"/>
      <c r="I3011" s="139">
        <f>IFERROR(__xludf.DUMMYFUNCTION("""COMPUTED_VALUE"""),74.0)</f>
        <v>74</v>
      </c>
      <c r="J3011" s="139">
        <f>IFERROR(__xludf.DUMMYFUNCTION("""COMPUTED_VALUE"""),8.0)</f>
        <v>8</v>
      </c>
      <c r="K3011" s="139">
        <f>IFERROR(__xludf.DUMMYFUNCTION("""COMPUTED_VALUE"""),50.0)</f>
        <v>50</v>
      </c>
      <c r="L3011" s="139"/>
      <c r="M3011" s="139"/>
      <c r="N3011" s="139"/>
    </row>
    <row r="3012">
      <c r="A3012" s="139" t="str">
        <f>IFERROR(__xludf.DUMMYFUNCTION("""COMPUTED_VALUE"""),"e")</f>
        <v>e</v>
      </c>
      <c r="B3012" s="139">
        <f>IFERROR(__xludf.DUMMYFUNCTION("""COMPUTED_VALUE"""),2.0260301E8)</f>
        <v>202603010</v>
      </c>
      <c r="C3012" s="139" t="str">
        <f>IFERROR(__xludf.DUMMYFUNCTION("""COMPUTED_VALUE"""),"c_hut_00001_hut1_advent_Boss_Colorless_Special_00001")</f>
        <v>c_hut_00001_hut1_advent_Boss_Colorless_Special_00001</v>
      </c>
      <c r="D3012" s="139" t="str">
        <f>IFERROR(__xludf.DUMMYFUNCTION("""COMPUTED_VALUE"""),"c_hut_00001_hut1_advent_Boss_Colorless")</f>
        <v>c_hut_00001_hut1_advent_Boss_Colorless</v>
      </c>
      <c r="E3012" s="139">
        <f>IFERROR(__xludf.DUMMYFUNCTION("""COMPUTED_VALUE"""),0.0)</f>
        <v>0</v>
      </c>
      <c r="F3012" s="139" t="str">
        <f>IFERROR(__xludf.DUMMYFUNCTION("""COMPUTED_VALUE"""),"Special")</f>
        <v>Special</v>
      </c>
      <c r="G3012" s="139"/>
      <c r="H3012" s="139"/>
      <c r="I3012" s="139">
        <f>IFERROR(__xludf.DUMMYFUNCTION("""COMPUTED_VALUE"""),140.0)</f>
        <v>140</v>
      </c>
      <c r="J3012" s="139">
        <f>IFERROR(__xludf.DUMMYFUNCTION("""COMPUTED_VALUE"""),44.0)</f>
        <v>44</v>
      </c>
      <c r="K3012" s="139">
        <f>IFERROR(__xludf.DUMMYFUNCTION("""COMPUTED_VALUE"""),0.0)</f>
        <v>0</v>
      </c>
      <c r="L3012" s="139"/>
      <c r="M3012" s="139"/>
      <c r="N3012" s="139"/>
    </row>
    <row r="3013">
      <c r="A3013" s="139" t="str">
        <f>IFERROR(__xludf.DUMMYFUNCTION("""COMPUTED_VALUE"""),"e")</f>
        <v>e</v>
      </c>
      <c r="B3013" s="139">
        <f>IFERROR(__xludf.DUMMYFUNCTION("""COMPUTED_VALUE"""),2.0260301E8)</f>
        <v>202603010</v>
      </c>
      <c r="C3013" s="139" t="str">
        <f>IFERROR(__xludf.DUMMYFUNCTION("""COMPUTED_VALUE"""),"c_hut_00001_hut1_advent_Boss_Colorless_Appearance_00002")</f>
        <v>c_hut_00001_hut1_advent_Boss_Colorless_Appearance_00002</v>
      </c>
      <c r="D3013" s="139" t="str">
        <f>IFERROR(__xludf.DUMMYFUNCTION("""COMPUTED_VALUE"""),"c_hut_00001_hut1_advent_Boss_Colorless")</f>
        <v>c_hut_00001_hut1_advent_Boss_Colorless</v>
      </c>
      <c r="E3013" s="139">
        <f>IFERROR(__xludf.DUMMYFUNCTION("""COMPUTED_VALUE"""),0.0)</f>
        <v>0</v>
      </c>
      <c r="F3013" s="139" t="str">
        <f>IFERROR(__xludf.DUMMYFUNCTION("""COMPUTED_VALUE"""),"Appearance")</f>
        <v>Appearance</v>
      </c>
      <c r="G3013" s="139"/>
      <c r="H3013" s="139"/>
      <c r="I3013" s="139">
        <f>IFERROR(__xludf.DUMMYFUNCTION("""COMPUTED_VALUE"""),50.0)</f>
        <v>50</v>
      </c>
      <c r="J3013" s="139">
        <f>IFERROR(__xludf.DUMMYFUNCTION("""COMPUTED_VALUE"""),0.0)</f>
        <v>0</v>
      </c>
      <c r="K3013" s="139">
        <f>IFERROR(__xludf.DUMMYFUNCTION("""COMPUTED_VALUE"""),0.0)</f>
        <v>0</v>
      </c>
      <c r="L3013" s="139"/>
      <c r="M3013" s="139"/>
      <c r="N3013" s="139"/>
    </row>
    <row r="3014">
      <c r="A3014" s="139" t="str">
        <f>IFERROR(__xludf.DUMMYFUNCTION("""COMPUTED_VALUE"""),"e")</f>
        <v>e</v>
      </c>
      <c r="B3014" s="139">
        <f>IFERROR(__xludf.DUMMYFUNCTION("""COMPUTED_VALUE"""),2.0260301E8)</f>
        <v>202603010</v>
      </c>
      <c r="C3014" s="139" t="str">
        <f>IFERROR(__xludf.DUMMYFUNCTION("""COMPUTED_VALUE"""),"c_hut_00101_hut1_advent_Boss_Yellow_Normal_00000")</f>
        <v>c_hut_00101_hut1_advent_Boss_Yellow_Normal_00000</v>
      </c>
      <c r="D3014" s="139" t="str">
        <f>IFERROR(__xludf.DUMMYFUNCTION("""COMPUTED_VALUE"""),"c_hut_00101_hut1_advent_Boss_Yellow")</f>
        <v>c_hut_00101_hut1_advent_Boss_Yellow</v>
      </c>
      <c r="E3014" s="139">
        <f>IFERROR(__xludf.DUMMYFUNCTION("""COMPUTED_VALUE"""),0.0)</f>
        <v>0</v>
      </c>
      <c r="F3014" s="139" t="str">
        <f>IFERROR(__xludf.DUMMYFUNCTION("""COMPUTED_VALUE"""),"Normal")</f>
        <v>Normal</v>
      </c>
      <c r="G3014" s="139"/>
      <c r="H3014" s="139"/>
      <c r="I3014" s="139">
        <f>IFERROR(__xludf.DUMMYFUNCTION("""COMPUTED_VALUE"""),79.0)</f>
        <v>79</v>
      </c>
      <c r="J3014" s="139">
        <f>IFERROR(__xludf.DUMMYFUNCTION("""COMPUTED_VALUE"""),38.0)</f>
        <v>38</v>
      </c>
      <c r="K3014" s="139">
        <f>IFERROR(__xludf.DUMMYFUNCTION("""COMPUTED_VALUE"""),50.0)</f>
        <v>50</v>
      </c>
      <c r="L3014" s="139"/>
      <c r="M3014" s="139"/>
      <c r="N3014" s="139"/>
    </row>
    <row r="3015">
      <c r="A3015" s="139" t="str">
        <f>IFERROR(__xludf.DUMMYFUNCTION("""COMPUTED_VALUE"""),"e")</f>
        <v>e</v>
      </c>
      <c r="B3015" s="139">
        <f>IFERROR(__xludf.DUMMYFUNCTION("""COMPUTED_VALUE"""),2.0260301E8)</f>
        <v>202603010</v>
      </c>
      <c r="C3015" s="139" t="str">
        <f>IFERROR(__xludf.DUMMYFUNCTION("""COMPUTED_VALUE"""),"c_hut_00101_hut1_advent_Boss_Yellow_Special_00001")</f>
        <v>c_hut_00101_hut1_advent_Boss_Yellow_Special_00001</v>
      </c>
      <c r="D3015" s="139" t="str">
        <f>IFERROR(__xludf.DUMMYFUNCTION("""COMPUTED_VALUE"""),"c_hut_00101_hut1_advent_Boss_Yellow")</f>
        <v>c_hut_00101_hut1_advent_Boss_Yellow</v>
      </c>
      <c r="E3015" s="139">
        <f>IFERROR(__xludf.DUMMYFUNCTION("""COMPUTED_VALUE"""),0.0)</f>
        <v>0</v>
      </c>
      <c r="F3015" s="139" t="str">
        <f>IFERROR(__xludf.DUMMYFUNCTION("""COMPUTED_VALUE"""),"Special")</f>
        <v>Special</v>
      </c>
      <c r="G3015" s="139"/>
      <c r="H3015" s="139"/>
      <c r="I3015" s="139">
        <f>IFERROR(__xludf.DUMMYFUNCTION("""COMPUTED_VALUE"""),129.0)</f>
        <v>129</v>
      </c>
      <c r="J3015" s="139">
        <f>IFERROR(__xludf.DUMMYFUNCTION("""COMPUTED_VALUE"""),0.0)</f>
        <v>0</v>
      </c>
      <c r="K3015" s="139">
        <f>IFERROR(__xludf.DUMMYFUNCTION("""COMPUTED_VALUE"""),0.0)</f>
        <v>0</v>
      </c>
      <c r="L3015" s="139"/>
      <c r="M3015" s="139"/>
      <c r="N3015" s="139"/>
    </row>
    <row r="3016">
      <c r="A3016" s="139" t="str">
        <f>IFERROR(__xludf.DUMMYFUNCTION("""COMPUTED_VALUE"""),"e")</f>
        <v>e</v>
      </c>
      <c r="B3016" s="139">
        <f>IFERROR(__xludf.DUMMYFUNCTION("""COMPUTED_VALUE"""),2.0260301E8)</f>
        <v>202603010</v>
      </c>
      <c r="C3016" s="139" t="str">
        <f>IFERROR(__xludf.DUMMYFUNCTION("""COMPUTED_VALUE"""),"c_hut_00101_hut1_advent_Boss_Yellow_Appearance_00002")</f>
        <v>c_hut_00101_hut1_advent_Boss_Yellow_Appearance_00002</v>
      </c>
      <c r="D3016" s="139" t="str">
        <f>IFERROR(__xludf.DUMMYFUNCTION("""COMPUTED_VALUE"""),"c_hut_00101_hut1_advent_Boss_Yellow")</f>
        <v>c_hut_00101_hut1_advent_Boss_Yellow</v>
      </c>
      <c r="E3016" s="139">
        <f>IFERROR(__xludf.DUMMYFUNCTION("""COMPUTED_VALUE"""),0.0)</f>
        <v>0</v>
      </c>
      <c r="F3016" s="139" t="str">
        <f>IFERROR(__xludf.DUMMYFUNCTION("""COMPUTED_VALUE"""),"Appearance")</f>
        <v>Appearance</v>
      </c>
      <c r="G3016" s="139"/>
      <c r="H3016" s="139"/>
      <c r="I3016" s="139">
        <f>IFERROR(__xludf.DUMMYFUNCTION("""COMPUTED_VALUE"""),50.0)</f>
        <v>50</v>
      </c>
      <c r="J3016" s="139">
        <f>IFERROR(__xludf.DUMMYFUNCTION("""COMPUTED_VALUE"""),0.0)</f>
        <v>0</v>
      </c>
      <c r="K3016" s="139">
        <f>IFERROR(__xludf.DUMMYFUNCTION("""COMPUTED_VALUE"""),0.0)</f>
        <v>0</v>
      </c>
      <c r="L3016" s="139"/>
      <c r="M3016" s="139"/>
      <c r="N3016" s="139"/>
    </row>
    <row r="3017">
      <c r="A3017" s="139" t="str">
        <f>IFERROR(__xludf.DUMMYFUNCTION("""COMPUTED_VALUE"""),"e")</f>
        <v>e</v>
      </c>
      <c r="B3017" s="139">
        <f>IFERROR(__xludf.DUMMYFUNCTION("""COMPUTED_VALUE"""),2.0260301E8)</f>
        <v>202603010</v>
      </c>
      <c r="C3017" s="139" t="str">
        <f>IFERROR(__xludf.DUMMYFUNCTION("""COMPUTED_VALUE"""),"c_hut_00201_hut1_advent_Boss_Colorless_Normal_00000")</f>
        <v>c_hut_00201_hut1_advent_Boss_Colorless_Normal_00000</v>
      </c>
      <c r="D3017" s="139" t="str">
        <f>IFERROR(__xludf.DUMMYFUNCTION("""COMPUTED_VALUE"""),"c_hut_00201_hut1_advent_Boss_Colorless")</f>
        <v>c_hut_00201_hut1_advent_Boss_Colorless</v>
      </c>
      <c r="E3017" s="139">
        <f>IFERROR(__xludf.DUMMYFUNCTION("""COMPUTED_VALUE"""),0.0)</f>
        <v>0</v>
      </c>
      <c r="F3017" s="139" t="str">
        <f>IFERROR(__xludf.DUMMYFUNCTION("""COMPUTED_VALUE"""),"Normal")</f>
        <v>Normal</v>
      </c>
      <c r="G3017" s="139"/>
      <c r="H3017" s="139"/>
      <c r="I3017" s="139">
        <f>IFERROR(__xludf.DUMMYFUNCTION("""COMPUTED_VALUE"""),60.0)</f>
        <v>60</v>
      </c>
      <c r="J3017" s="139">
        <f>IFERROR(__xludf.DUMMYFUNCTION("""COMPUTED_VALUE"""),17.0)</f>
        <v>17</v>
      </c>
      <c r="K3017" s="139">
        <f>IFERROR(__xludf.DUMMYFUNCTION("""COMPUTED_VALUE"""),75.0)</f>
        <v>75</v>
      </c>
      <c r="L3017" s="139"/>
      <c r="M3017" s="139"/>
      <c r="N3017" s="139"/>
    </row>
    <row r="3018">
      <c r="A3018" s="139" t="str">
        <f>IFERROR(__xludf.DUMMYFUNCTION("""COMPUTED_VALUE"""),"e")</f>
        <v>e</v>
      </c>
      <c r="B3018" s="139">
        <f>IFERROR(__xludf.DUMMYFUNCTION("""COMPUTED_VALUE"""),2.0260301E8)</f>
        <v>202603010</v>
      </c>
      <c r="C3018" s="139" t="str">
        <f>IFERROR(__xludf.DUMMYFUNCTION("""COMPUTED_VALUE"""),"c_hut_00201_hut1_advent_Boss_Colorless_Special_00001")</f>
        <v>c_hut_00201_hut1_advent_Boss_Colorless_Special_00001</v>
      </c>
      <c r="D3018" s="139" t="str">
        <f>IFERROR(__xludf.DUMMYFUNCTION("""COMPUTED_VALUE"""),"c_hut_00201_hut1_advent_Boss_Colorless")</f>
        <v>c_hut_00201_hut1_advent_Boss_Colorless</v>
      </c>
      <c r="E3018" s="139">
        <f>IFERROR(__xludf.DUMMYFUNCTION("""COMPUTED_VALUE"""),0.0)</f>
        <v>0</v>
      </c>
      <c r="F3018" s="139" t="str">
        <f>IFERROR(__xludf.DUMMYFUNCTION("""COMPUTED_VALUE"""),"Special")</f>
        <v>Special</v>
      </c>
      <c r="G3018" s="139"/>
      <c r="H3018" s="139"/>
      <c r="I3018" s="139">
        <f>IFERROR(__xludf.DUMMYFUNCTION("""COMPUTED_VALUE"""),142.0)</f>
        <v>142</v>
      </c>
      <c r="J3018" s="139">
        <f>IFERROR(__xludf.DUMMYFUNCTION("""COMPUTED_VALUE"""),0.0)</f>
        <v>0</v>
      </c>
      <c r="K3018" s="139">
        <f>IFERROR(__xludf.DUMMYFUNCTION("""COMPUTED_VALUE"""),0.0)</f>
        <v>0</v>
      </c>
      <c r="L3018" s="139"/>
      <c r="M3018" s="139"/>
      <c r="N3018" s="139"/>
    </row>
    <row r="3019">
      <c r="A3019" s="139" t="str">
        <f>IFERROR(__xludf.DUMMYFUNCTION("""COMPUTED_VALUE"""),"e")</f>
        <v>e</v>
      </c>
      <c r="B3019" s="139">
        <f>IFERROR(__xludf.DUMMYFUNCTION("""COMPUTED_VALUE"""),2.0260301E8)</f>
        <v>202603010</v>
      </c>
      <c r="C3019" s="139" t="str">
        <f>IFERROR(__xludf.DUMMYFUNCTION("""COMPUTED_VALUE"""),"c_hut_00201_hut1_advent_Boss_Colorless_Appearance_00002")</f>
        <v>c_hut_00201_hut1_advent_Boss_Colorless_Appearance_00002</v>
      </c>
      <c r="D3019" s="139" t="str">
        <f>IFERROR(__xludf.DUMMYFUNCTION("""COMPUTED_VALUE"""),"c_hut_00201_hut1_advent_Boss_Colorless")</f>
        <v>c_hut_00201_hut1_advent_Boss_Colorless</v>
      </c>
      <c r="E3019" s="139">
        <f>IFERROR(__xludf.DUMMYFUNCTION("""COMPUTED_VALUE"""),0.0)</f>
        <v>0</v>
      </c>
      <c r="F3019" s="139" t="str">
        <f>IFERROR(__xludf.DUMMYFUNCTION("""COMPUTED_VALUE"""),"Appearance")</f>
        <v>Appearance</v>
      </c>
      <c r="G3019" s="139"/>
      <c r="H3019" s="139"/>
      <c r="I3019" s="139">
        <f>IFERROR(__xludf.DUMMYFUNCTION("""COMPUTED_VALUE"""),50.0)</f>
        <v>50</v>
      </c>
      <c r="J3019" s="139">
        <f>IFERROR(__xludf.DUMMYFUNCTION("""COMPUTED_VALUE"""),0.0)</f>
        <v>0</v>
      </c>
      <c r="K3019" s="139">
        <f>IFERROR(__xludf.DUMMYFUNCTION("""COMPUTED_VALUE"""),0.0)</f>
        <v>0</v>
      </c>
      <c r="L3019" s="139"/>
      <c r="M3019" s="139"/>
      <c r="N3019" s="139"/>
    </row>
    <row r="3020">
      <c r="A3020" s="139" t="str">
        <f>IFERROR(__xludf.DUMMYFUNCTION("""COMPUTED_VALUE"""),"e")</f>
        <v>e</v>
      </c>
      <c r="B3020" s="139">
        <f>IFERROR(__xludf.DUMMYFUNCTION("""COMPUTED_VALUE"""),2.0260301E8)</f>
        <v>202603010</v>
      </c>
      <c r="C3020" s="139" t="str">
        <f>IFERROR(__xludf.DUMMYFUNCTION("""COMPUTED_VALUE"""),"c_hut_00301_hut1_advent_Boss_Yellow_Normal_00000")</f>
        <v>c_hut_00301_hut1_advent_Boss_Yellow_Normal_00000</v>
      </c>
      <c r="D3020" s="139" t="str">
        <f>IFERROR(__xludf.DUMMYFUNCTION("""COMPUTED_VALUE"""),"c_hut_00301_hut1_advent_Boss_Yellow")</f>
        <v>c_hut_00301_hut1_advent_Boss_Yellow</v>
      </c>
      <c r="E3020" s="139">
        <f>IFERROR(__xludf.DUMMYFUNCTION("""COMPUTED_VALUE"""),0.0)</f>
        <v>0</v>
      </c>
      <c r="F3020" s="139" t="str">
        <f>IFERROR(__xludf.DUMMYFUNCTION("""COMPUTED_VALUE"""),"Normal")</f>
        <v>Normal</v>
      </c>
      <c r="G3020" s="139"/>
      <c r="H3020" s="139"/>
      <c r="I3020" s="139">
        <f>IFERROR(__xludf.DUMMYFUNCTION("""COMPUTED_VALUE"""),67.0)</f>
        <v>67</v>
      </c>
      <c r="J3020" s="139">
        <f>IFERROR(__xludf.DUMMYFUNCTION("""COMPUTED_VALUE"""),17.0)</f>
        <v>17</v>
      </c>
      <c r="K3020" s="139">
        <f>IFERROR(__xludf.DUMMYFUNCTION("""COMPUTED_VALUE"""),50.0)</f>
        <v>50</v>
      </c>
      <c r="L3020" s="139"/>
      <c r="M3020" s="139"/>
      <c r="N3020" s="139"/>
    </row>
    <row r="3021">
      <c r="A3021" s="139" t="str">
        <f>IFERROR(__xludf.DUMMYFUNCTION("""COMPUTED_VALUE"""),"e")</f>
        <v>e</v>
      </c>
      <c r="B3021" s="139">
        <f>IFERROR(__xludf.DUMMYFUNCTION("""COMPUTED_VALUE"""),2.0260301E8)</f>
        <v>202603010</v>
      </c>
      <c r="C3021" s="139" t="str">
        <f>IFERROR(__xludf.DUMMYFUNCTION("""COMPUTED_VALUE"""),"c_hut_00301_hut1_advent_Boss_Yellow_Special_00001")</f>
        <v>c_hut_00301_hut1_advent_Boss_Yellow_Special_00001</v>
      </c>
      <c r="D3021" s="139" t="str">
        <f>IFERROR(__xludf.DUMMYFUNCTION("""COMPUTED_VALUE"""),"c_hut_00301_hut1_advent_Boss_Yellow")</f>
        <v>c_hut_00301_hut1_advent_Boss_Yellow</v>
      </c>
      <c r="E3021" s="139">
        <f>IFERROR(__xludf.DUMMYFUNCTION("""COMPUTED_VALUE"""),0.0)</f>
        <v>0</v>
      </c>
      <c r="F3021" s="139" t="str">
        <f>IFERROR(__xludf.DUMMYFUNCTION("""COMPUTED_VALUE"""),"Special")</f>
        <v>Special</v>
      </c>
      <c r="G3021" s="139"/>
      <c r="H3021" s="139"/>
      <c r="I3021" s="139">
        <f>IFERROR(__xludf.DUMMYFUNCTION("""COMPUTED_VALUE"""),121.0)</f>
        <v>121</v>
      </c>
      <c r="J3021" s="139">
        <f>IFERROR(__xludf.DUMMYFUNCTION("""COMPUTED_VALUE"""),0.0)</f>
        <v>0</v>
      </c>
      <c r="K3021" s="139">
        <f>IFERROR(__xludf.DUMMYFUNCTION("""COMPUTED_VALUE"""),0.0)</f>
        <v>0</v>
      </c>
      <c r="L3021" s="139"/>
      <c r="M3021" s="139"/>
      <c r="N3021" s="139"/>
    </row>
    <row r="3022">
      <c r="A3022" s="139" t="str">
        <f>IFERROR(__xludf.DUMMYFUNCTION("""COMPUTED_VALUE"""),"e")</f>
        <v>e</v>
      </c>
      <c r="B3022" s="139">
        <f>IFERROR(__xludf.DUMMYFUNCTION("""COMPUTED_VALUE"""),2.0260301E8)</f>
        <v>202603010</v>
      </c>
      <c r="C3022" s="139" t="str">
        <f>IFERROR(__xludf.DUMMYFUNCTION("""COMPUTED_VALUE"""),"c_hut_00301_hut1_advent_Boss_Yellow_Appearance_00002")</f>
        <v>c_hut_00301_hut1_advent_Boss_Yellow_Appearance_00002</v>
      </c>
      <c r="D3022" s="139" t="str">
        <f>IFERROR(__xludf.DUMMYFUNCTION("""COMPUTED_VALUE"""),"c_hut_00301_hut1_advent_Boss_Yellow")</f>
        <v>c_hut_00301_hut1_advent_Boss_Yellow</v>
      </c>
      <c r="E3022" s="139">
        <f>IFERROR(__xludf.DUMMYFUNCTION("""COMPUTED_VALUE"""),0.0)</f>
        <v>0</v>
      </c>
      <c r="F3022" s="139" t="str">
        <f>IFERROR(__xludf.DUMMYFUNCTION("""COMPUTED_VALUE"""),"Appearance")</f>
        <v>Appearance</v>
      </c>
      <c r="G3022" s="139"/>
      <c r="H3022" s="139"/>
      <c r="I3022" s="139">
        <f>IFERROR(__xludf.DUMMYFUNCTION("""COMPUTED_VALUE"""),50.0)</f>
        <v>50</v>
      </c>
      <c r="J3022" s="139">
        <f>IFERROR(__xludf.DUMMYFUNCTION("""COMPUTED_VALUE"""),0.0)</f>
        <v>0</v>
      </c>
      <c r="K3022" s="139">
        <f>IFERROR(__xludf.DUMMYFUNCTION("""COMPUTED_VALUE"""),0.0)</f>
        <v>0</v>
      </c>
      <c r="L3022" s="139"/>
      <c r="M3022" s="139"/>
      <c r="N3022" s="139"/>
    </row>
    <row r="3023">
      <c r="A3023" s="139"/>
      <c r="B3023" s="139"/>
      <c r="C3023" s="139"/>
      <c r="D3023" s="139"/>
      <c r="E3023" s="139"/>
      <c r="F3023" s="139"/>
      <c r="G3023" s="139"/>
      <c r="H3023" s="139"/>
      <c r="I3023" s="139"/>
      <c r="J3023" s="139"/>
      <c r="K3023" s="139"/>
      <c r="L3023" s="139"/>
      <c r="M3023" s="139"/>
      <c r="N3023" s="139"/>
    </row>
    <row r="3024">
      <c r="A3024" s="139" t="str">
        <f>IFERROR(__xludf.DUMMYFUNCTION("""COMPUTED_VALUE"""),"e")</f>
        <v>e</v>
      </c>
      <c r="B3024" s="139">
        <f>IFERROR(__xludf.DUMMYFUNCTION("""COMPUTED_VALUE"""),2.0260302E8)</f>
        <v>202603020</v>
      </c>
      <c r="C3024" s="139" t="str">
        <f>IFERROR(__xludf.DUMMYFUNCTION("""COMPUTED_VALUE"""),"c_ara_00001_glo2_charaget01_Normal_Yellow_Normal_00000")</f>
        <v>c_ara_00001_glo2_charaget01_Normal_Yellow_Normal_00000</v>
      </c>
      <c r="D3024" s="139" t="str">
        <f>IFERROR(__xludf.DUMMYFUNCTION("""COMPUTED_VALUE"""),"c_ara_00001_glo2_charaget01_Normal_Yellow")</f>
        <v>c_ara_00001_glo2_charaget01_Normal_Yellow</v>
      </c>
      <c r="E3024" s="139">
        <f>IFERROR(__xludf.DUMMYFUNCTION("""COMPUTED_VALUE"""),0.0)</f>
        <v>0</v>
      </c>
      <c r="F3024" s="139" t="str">
        <f>IFERROR(__xludf.DUMMYFUNCTION("""COMPUTED_VALUE"""),"Normal")</f>
        <v>Normal</v>
      </c>
      <c r="G3024" s="139"/>
      <c r="H3024" s="139"/>
      <c r="I3024" s="139">
        <f>IFERROR(__xludf.DUMMYFUNCTION("""COMPUTED_VALUE"""),69.0)</f>
        <v>69</v>
      </c>
      <c r="J3024" s="139">
        <f>IFERROR(__xludf.DUMMYFUNCTION("""COMPUTED_VALUE"""),15.0)</f>
        <v>15</v>
      </c>
      <c r="K3024" s="139">
        <f>IFERROR(__xludf.DUMMYFUNCTION("""COMPUTED_VALUE"""),60.0)</f>
        <v>60</v>
      </c>
      <c r="L3024" s="139"/>
      <c r="M3024" s="139"/>
      <c r="N3024" s="139"/>
    </row>
    <row r="3025">
      <c r="A3025" s="139" t="str">
        <f>IFERROR(__xludf.DUMMYFUNCTION("""COMPUTED_VALUE"""),"e")</f>
        <v>e</v>
      </c>
      <c r="B3025" s="139">
        <f>IFERROR(__xludf.DUMMYFUNCTION("""COMPUTED_VALUE"""),2.0260302E8)</f>
        <v>202603020</v>
      </c>
      <c r="C3025" s="139" t="str">
        <f>IFERROR(__xludf.DUMMYFUNCTION("""COMPUTED_VALUE"""),"c_ara_00001_glo2_charaget01_Normal_Yellow_Special_00001")</f>
        <v>c_ara_00001_glo2_charaget01_Normal_Yellow_Special_00001</v>
      </c>
      <c r="D3025" s="139" t="str">
        <f>IFERROR(__xludf.DUMMYFUNCTION("""COMPUTED_VALUE"""),"c_ara_00001_glo2_charaget01_Normal_Yellow")</f>
        <v>c_ara_00001_glo2_charaget01_Normal_Yellow</v>
      </c>
      <c r="E3025" s="139">
        <f>IFERROR(__xludf.DUMMYFUNCTION("""COMPUTED_VALUE"""),0.0)</f>
        <v>0</v>
      </c>
      <c r="F3025" s="139" t="str">
        <f>IFERROR(__xludf.DUMMYFUNCTION("""COMPUTED_VALUE"""),"Special")</f>
        <v>Special</v>
      </c>
      <c r="G3025" s="139"/>
      <c r="H3025" s="139"/>
      <c r="I3025" s="139">
        <f>IFERROR(__xludf.DUMMYFUNCTION("""COMPUTED_VALUE"""),134.0)</f>
        <v>134</v>
      </c>
      <c r="J3025" s="139">
        <f>IFERROR(__xludf.DUMMYFUNCTION("""COMPUTED_VALUE"""),35.0)</f>
        <v>35</v>
      </c>
      <c r="K3025" s="139">
        <f>IFERROR(__xludf.DUMMYFUNCTION("""COMPUTED_VALUE"""),0.0)</f>
        <v>0</v>
      </c>
      <c r="L3025" s="139"/>
      <c r="M3025" s="139"/>
      <c r="N3025" s="139"/>
    </row>
    <row r="3026">
      <c r="A3026" s="139" t="str">
        <f>IFERROR(__xludf.DUMMYFUNCTION("""COMPUTED_VALUE"""),"e")</f>
        <v>e</v>
      </c>
      <c r="B3026" s="139">
        <f>IFERROR(__xludf.DUMMYFUNCTION("""COMPUTED_VALUE"""),2.0260302E8)</f>
        <v>202603020</v>
      </c>
      <c r="C3026" s="139" t="str">
        <f>IFERROR(__xludf.DUMMYFUNCTION("""COMPUTED_VALUE"""),"c_ara_00001_glo2_charaget01_Boss_Yellow_Normal_00000")</f>
        <v>c_ara_00001_glo2_charaget01_Boss_Yellow_Normal_00000</v>
      </c>
      <c r="D3026" s="139" t="str">
        <f>IFERROR(__xludf.DUMMYFUNCTION("""COMPUTED_VALUE"""),"c_ara_00001_glo2_charaget01_Boss_Yellow")</f>
        <v>c_ara_00001_glo2_charaget01_Boss_Yellow</v>
      </c>
      <c r="E3026" s="139">
        <f>IFERROR(__xludf.DUMMYFUNCTION("""COMPUTED_VALUE"""),0.0)</f>
        <v>0</v>
      </c>
      <c r="F3026" s="139" t="str">
        <f>IFERROR(__xludf.DUMMYFUNCTION("""COMPUTED_VALUE"""),"Normal")</f>
        <v>Normal</v>
      </c>
      <c r="G3026" s="139"/>
      <c r="H3026" s="139"/>
      <c r="I3026" s="139">
        <f>IFERROR(__xludf.DUMMYFUNCTION("""COMPUTED_VALUE"""),69.0)</f>
        <v>69</v>
      </c>
      <c r="J3026" s="139">
        <f>IFERROR(__xludf.DUMMYFUNCTION("""COMPUTED_VALUE"""),15.0)</f>
        <v>15</v>
      </c>
      <c r="K3026" s="139">
        <f>IFERROR(__xludf.DUMMYFUNCTION("""COMPUTED_VALUE"""),60.0)</f>
        <v>60</v>
      </c>
      <c r="L3026" s="139"/>
      <c r="M3026" s="139"/>
      <c r="N3026" s="139"/>
    </row>
    <row r="3027">
      <c r="A3027" s="139" t="str">
        <f>IFERROR(__xludf.DUMMYFUNCTION("""COMPUTED_VALUE"""),"e")</f>
        <v>e</v>
      </c>
      <c r="B3027" s="139">
        <f>IFERROR(__xludf.DUMMYFUNCTION("""COMPUTED_VALUE"""),2.0260302E8)</f>
        <v>202603020</v>
      </c>
      <c r="C3027" s="139" t="str">
        <f>IFERROR(__xludf.DUMMYFUNCTION("""COMPUTED_VALUE"""),"c_ara_00001_glo2_charaget01_Boss_Yellow_Special_00001")</f>
        <v>c_ara_00001_glo2_charaget01_Boss_Yellow_Special_00001</v>
      </c>
      <c r="D3027" s="139" t="str">
        <f>IFERROR(__xludf.DUMMYFUNCTION("""COMPUTED_VALUE"""),"c_ara_00001_glo2_charaget01_Boss_Yellow")</f>
        <v>c_ara_00001_glo2_charaget01_Boss_Yellow</v>
      </c>
      <c r="E3027" s="139">
        <f>IFERROR(__xludf.DUMMYFUNCTION("""COMPUTED_VALUE"""),0.0)</f>
        <v>0</v>
      </c>
      <c r="F3027" s="139" t="str">
        <f>IFERROR(__xludf.DUMMYFUNCTION("""COMPUTED_VALUE"""),"Special")</f>
        <v>Special</v>
      </c>
      <c r="G3027" s="139"/>
      <c r="H3027" s="139"/>
      <c r="I3027" s="139">
        <f>IFERROR(__xludf.DUMMYFUNCTION("""COMPUTED_VALUE"""),134.0)</f>
        <v>134</v>
      </c>
      <c r="J3027" s="139">
        <f>IFERROR(__xludf.DUMMYFUNCTION("""COMPUTED_VALUE"""),35.0)</f>
        <v>35</v>
      </c>
      <c r="K3027" s="139">
        <f>IFERROR(__xludf.DUMMYFUNCTION("""COMPUTED_VALUE"""),0.0)</f>
        <v>0</v>
      </c>
      <c r="L3027" s="139"/>
      <c r="M3027" s="139"/>
      <c r="N3027" s="139"/>
    </row>
    <row r="3028">
      <c r="A3028" s="139" t="str">
        <f>IFERROR(__xludf.DUMMYFUNCTION("""COMPUTED_VALUE"""),"e")</f>
        <v>e</v>
      </c>
      <c r="B3028" s="139">
        <f>IFERROR(__xludf.DUMMYFUNCTION("""COMPUTED_VALUE"""),2.0260302E8)</f>
        <v>202603020</v>
      </c>
      <c r="C3028" s="139" t="str">
        <f>IFERROR(__xludf.DUMMYFUNCTION("""COMPUTED_VALUE"""),"c_ara_00001_glo2_charaget01_Boss_Yellow_Appearance_00002")</f>
        <v>c_ara_00001_glo2_charaget01_Boss_Yellow_Appearance_00002</v>
      </c>
      <c r="D3028" s="139" t="str">
        <f>IFERROR(__xludf.DUMMYFUNCTION("""COMPUTED_VALUE"""),"c_ara_00001_glo2_charaget01_Boss_Yellow")</f>
        <v>c_ara_00001_glo2_charaget01_Boss_Yellow</v>
      </c>
      <c r="E3028" s="139">
        <f>IFERROR(__xludf.DUMMYFUNCTION("""COMPUTED_VALUE"""),0.0)</f>
        <v>0</v>
      </c>
      <c r="F3028" s="139" t="str">
        <f>IFERROR(__xludf.DUMMYFUNCTION("""COMPUTED_VALUE"""),"Appearance")</f>
        <v>Appearance</v>
      </c>
      <c r="G3028" s="139"/>
      <c r="H3028" s="139"/>
      <c r="I3028" s="139">
        <f>IFERROR(__xludf.DUMMYFUNCTION("""COMPUTED_VALUE"""),50.0)</f>
        <v>50</v>
      </c>
      <c r="J3028" s="139">
        <f>IFERROR(__xludf.DUMMYFUNCTION("""COMPUTED_VALUE"""),0.0)</f>
        <v>0</v>
      </c>
      <c r="K3028" s="139">
        <f>IFERROR(__xludf.DUMMYFUNCTION("""COMPUTED_VALUE"""),0.0)</f>
        <v>0</v>
      </c>
      <c r="L3028" s="139"/>
      <c r="M3028" s="139"/>
      <c r="N3028" s="139"/>
    </row>
    <row r="3029">
      <c r="A3029" s="139" t="str">
        <f>IFERROR(__xludf.DUMMYFUNCTION("""COMPUTED_VALUE"""),"e")</f>
        <v>e</v>
      </c>
      <c r="B3029" s="139">
        <f>IFERROR(__xludf.DUMMYFUNCTION("""COMPUTED_VALUE"""),2.0260302E8)</f>
        <v>202603020</v>
      </c>
      <c r="C3029" s="139" t="str">
        <f>IFERROR(__xludf.DUMMYFUNCTION("""COMPUTED_VALUE"""),"e_glo_00001_glo2_charaget01_Normal_Yellow_Normal_00000")</f>
        <v>e_glo_00001_glo2_charaget01_Normal_Yellow_Normal_00000</v>
      </c>
      <c r="D3029" s="139" t="str">
        <f>IFERROR(__xludf.DUMMYFUNCTION("""COMPUTED_VALUE"""),"e_glo_00001_glo2_charaget01_Normal_Yellow")</f>
        <v>e_glo_00001_glo2_charaget01_Normal_Yellow</v>
      </c>
      <c r="E3029" s="139">
        <f>IFERROR(__xludf.DUMMYFUNCTION("""COMPUTED_VALUE"""),0.0)</f>
        <v>0</v>
      </c>
      <c r="F3029" s="139" t="str">
        <f>IFERROR(__xludf.DUMMYFUNCTION("""COMPUTED_VALUE"""),"Normal")</f>
        <v>Normal</v>
      </c>
      <c r="G3029" s="139"/>
      <c r="H3029" s="139"/>
      <c r="I3029" s="139">
        <f>IFERROR(__xludf.DUMMYFUNCTION("""COMPUTED_VALUE"""),50.0)</f>
        <v>50</v>
      </c>
      <c r="J3029" s="139">
        <f>IFERROR(__xludf.DUMMYFUNCTION("""COMPUTED_VALUE"""),25.0)</f>
        <v>25</v>
      </c>
      <c r="K3029" s="139">
        <f>IFERROR(__xludf.DUMMYFUNCTION("""COMPUTED_VALUE"""),30.0)</f>
        <v>30</v>
      </c>
      <c r="L3029" s="139"/>
      <c r="M3029" s="139"/>
      <c r="N3029" s="139"/>
    </row>
    <row r="3030">
      <c r="A3030" s="139" t="str">
        <f>IFERROR(__xludf.DUMMYFUNCTION("""COMPUTED_VALUE"""),"e")</f>
        <v>e</v>
      </c>
      <c r="B3030" s="139">
        <f>IFERROR(__xludf.DUMMYFUNCTION("""COMPUTED_VALUE"""),2.0260302E8)</f>
        <v>202603020</v>
      </c>
      <c r="C3030" s="139" t="str">
        <f>IFERROR(__xludf.DUMMYFUNCTION("""COMPUTED_VALUE"""),"c_sur_00901_glo2_1d1c_Normal_Colorless_Normal_00000")</f>
        <v>c_sur_00901_glo2_1d1c_Normal_Colorless_Normal_00000</v>
      </c>
      <c r="D3030" s="139" t="str">
        <f>IFERROR(__xludf.DUMMYFUNCTION("""COMPUTED_VALUE"""),"c_sur_00901_glo2_1d1c_Normal_Colorless")</f>
        <v>c_sur_00901_glo2_1d1c_Normal_Colorless</v>
      </c>
      <c r="E3030" s="139">
        <f>IFERROR(__xludf.DUMMYFUNCTION("""COMPUTED_VALUE"""),0.0)</f>
        <v>0</v>
      </c>
      <c r="F3030" s="139" t="str">
        <f>IFERROR(__xludf.DUMMYFUNCTION("""COMPUTED_VALUE"""),"Normal")</f>
        <v>Normal</v>
      </c>
      <c r="G3030" s="139"/>
      <c r="H3030" s="139"/>
      <c r="I3030" s="139">
        <f>IFERROR(__xludf.DUMMYFUNCTION("""COMPUTED_VALUE"""),59.0)</f>
        <v>59</v>
      </c>
      <c r="J3030" s="139">
        <f>IFERROR(__xludf.DUMMYFUNCTION("""COMPUTED_VALUE"""),22.0)</f>
        <v>22</v>
      </c>
      <c r="K3030" s="139">
        <f>IFERROR(__xludf.DUMMYFUNCTION("""COMPUTED_VALUE"""),50.0)</f>
        <v>50</v>
      </c>
      <c r="L3030" s="139"/>
      <c r="M3030" s="139"/>
      <c r="N3030" s="139"/>
    </row>
    <row r="3031">
      <c r="A3031" s="139" t="str">
        <f>IFERROR(__xludf.DUMMYFUNCTION("""COMPUTED_VALUE"""),"e")</f>
        <v>e</v>
      </c>
      <c r="B3031" s="139">
        <f>IFERROR(__xludf.DUMMYFUNCTION("""COMPUTED_VALUE"""),2.0260302E8)</f>
        <v>202603020</v>
      </c>
      <c r="C3031" s="139" t="str">
        <f>IFERROR(__xludf.DUMMYFUNCTION("""COMPUTED_VALUE"""),"c_kai_00102_glo2_1d1c_Normal_Colorless_Normal_00000")</f>
        <v>c_kai_00102_glo2_1d1c_Normal_Colorless_Normal_00000</v>
      </c>
      <c r="D3031" s="139" t="str">
        <f>IFERROR(__xludf.DUMMYFUNCTION("""COMPUTED_VALUE"""),"c_kai_00102_glo2_1d1c_Normal_Colorless")</f>
        <v>c_kai_00102_glo2_1d1c_Normal_Colorless</v>
      </c>
      <c r="E3031" s="139">
        <f>IFERROR(__xludf.DUMMYFUNCTION("""COMPUTED_VALUE"""),0.0)</f>
        <v>0</v>
      </c>
      <c r="F3031" s="139" t="str">
        <f>IFERROR(__xludf.DUMMYFUNCTION("""COMPUTED_VALUE"""),"Normal")</f>
        <v>Normal</v>
      </c>
      <c r="G3031" s="139"/>
      <c r="H3031" s="139"/>
      <c r="I3031" s="139">
        <f>IFERROR(__xludf.DUMMYFUNCTION("""COMPUTED_VALUE"""),89.0)</f>
        <v>89</v>
      </c>
      <c r="J3031" s="139">
        <f>IFERROR(__xludf.DUMMYFUNCTION("""COMPUTED_VALUE"""),0.0)</f>
        <v>0</v>
      </c>
      <c r="K3031" s="139">
        <f>IFERROR(__xludf.DUMMYFUNCTION("""COMPUTED_VALUE"""),150.0)</f>
        <v>150</v>
      </c>
      <c r="L3031" s="139"/>
      <c r="M3031" s="139"/>
      <c r="N3031" s="139"/>
    </row>
    <row r="3032">
      <c r="A3032" s="139" t="str">
        <f>IFERROR(__xludf.DUMMYFUNCTION("""COMPUTED_VALUE"""),"e")</f>
        <v>e</v>
      </c>
      <c r="B3032" s="139">
        <f>IFERROR(__xludf.DUMMYFUNCTION("""COMPUTED_VALUE"""),2.0260302E8)</f>
        <v>202603020</v>
      </c>
      <c r="C3032" s="139" t="str">
        <f>IFERROR(__xludf.DUMMYFUNCTION("""COMPUTED_VALUE"""),"c_gam_00001_glo2_1d1c_Normal_Colorless_Normal_00000")</f>
        <v>c_gam_00001_glo2_1d1c_Normal_Colorless_Normal_00000</v>
      </c>
      <c r="D3032" s="139" t="str">
        <f>IFERROR(__xludf.DUMMYFUNCTION("""COMPUTED_VALUE"""),"c_gam_00001_glo2_1d1c_Normal_Colorless")</f>
        <v>c_gam_00001_glo2_1d1c_Normal_Colorless</v>
      </c>
      <c r="E3032" s="139">
        <f>IFERROR(__xludf.DUMMYFUNCTION("""COMPUTED_VALUE"""),0.0)</f>
        <v>0</v>
      </c>
      <c r="F3032" s="139" t="str">
        <f>IFERROR(__xludf.DUMMYFUNCTION("""COMPUTED_VALUE"""),"Normal")</f>
        <v>Normal</v>
      </c>
      <c r="G3032" s="139"/>
      <c r="H3032" s="139"/>
      <c r="I3032" s="139">
        <f>IFERROR(__xludf.DUMMYFUNCTION("""COMPUTED_VALUE"""),54.0)</f>
        <v>54</v>
      </c>
      <c r="J3032" s="139">
        <f>IFERROR(__xludf.DUMMYFUNCTION("""COMPUTED_VALUE"""),28.0)</f>
        <v>28</v>
      </c>
      <c r="K3032" s="139">
        <f>IFERROR(__xludf.DUMMYFUNCTION("""COMPUTED_VALUE"""),50.0)</f>
        <v>50</v>
      </c>
      <c r="L3032" s="139"/>
      <c r="M3032" s="139"/>
      <c r="N3032" s="139"/>
    </row>
    <row r="3033">
      <c r="A3033" s="139" t="str">
        <f>IFERROR(__xludf.DUMMYFUNCTION("""COMPUTED_VALUE"""),"e")</f>
        <v>e</v>
      </c>
      <c r="B3033" s="139">
        <f>IFERROR(__xludf.DUMMYFUNCTION("""COMPUTED_VALUE"""),2.0260302E8)</f>
        <v>202603020</v>
      </c>
      <c r="C3033" s="139" t="str">
        <f>IFERROR(__xludf.DUMMYFUNCTION("""COMPUTED_VALUE"""),"c_hyp_00001_glo2_1d1c_Normal_Colorless_Normal_00000")</f>
        <v>c_hyp_00001_glo2_1d1c_Normal_Colorless_Normal_00000</v>
      </c>
      <c r="D3033" s="139" t="str">
        <f>IFERROR(__xludf.DUMMYFUNCTION("""COMPUTED_VALUE"""),"c_hyp_00001_glo2_1d1c_Normal_Colorless")</f>
        <v>c_hyp_00001_glo2_1d1c_Normal_Colorless</v>
      </c>
      <c r="E3033" s="139">
        <f>IFERROR(__xludf.DUMMYFUNCTION("""COMPUTED_VALUE"""),0.0)</f>
        <v>0</v>
      </c>
      <c r="F3033" s="139" t="str">
        <f>IFERROR(__xludf.DUMMYFUNCTION("""COMPUTED_VALUE"""),"Normal")</f>
        <v>Normal</v>
      </c>
      <c r="G3033" s="139"/>
      <c r="H3033" s="139"/>
      <c r="I3033" s="139">
        <f>IFERROR(__xludf.DUMMYFUNCTION("""COMPUTED_VALUE"""),79.0)</f>
        <v>79</v>
      </c>
      <c r="J3033" s="139">
        <f>IFERROR(__xludf.DUMMYFUNCTION("""COMPUTED_VALUE"""),23.0)</f>
        <v>23</v>
      </c>
      <c r="K3033" s="139">
        <f>IFERROR(__xludf.DUMMYFUNCTION("""COMPUTED_VALUE"""),75.0)</f>
        <v>75</v>
      </c>
      <c r="L3033" s="139"/>
      <c r="M3033" s="139"/>
      <c r="N3033" s="139"/>
    </row>
    <row r="3034">
      <c r="A3034" s="139" t="str">
        <f>IFERROR(__xludf.DUMMYFUNCTION("""COMPUTED_VALUE"""),"e")</f>
        <v>e</v>
      </c>
      <c r="B3034" s="139">
        <f>IFERROR(__xludf.DUMMYFUNCTION("""COMPUTED_VALUE"""),2.0260302E8)</f>
        <v>202603020</v>
      </c>
      <c r="C3034" s="139" t="str">
        <f>IFERROR(__xludf.DUMMYFUNCTION("""COMPUTED_VALUE"""),"c_ara_00001_glo2_1d1c_Normal_Colorless_Normal_00000")</f>
        <v>c_ara_00001_glo2_1d1c_Normal_Colorless_Normal_00000</v>
      </c>
      <c r="D3034" s="139" t="str">
        <f>IFERROR(__xludf.DUMMYFUNCTION("""COMPUTED_VALUE"""),"c_ara_00001_glo2_1d1c_Normal_Colorless")</f>
        <v>c_ara_00001_glo2_1d1c_Normal_Colorless</v>
      </c>
      <c r="E3034" s="139">
        <f>IFERROR(__xludf.DUMMYFUNCTION("""COMPUTED_VALUE"""),0.0)</f>
        <v>0</v>
      </c>
      <c r="F3034" s="139" t="str">
        <f>IFERROR(__xludf.DUMMYFUNCTION("""COMPUTED_VALUE"""),"Normal")</f>
        <v>Normal</v>
      </c>
      <c r="G3034" s="139"/>
      <c r="H3034" s="139"/>
      <c r="I3034" s="139">
        <f>IFERROR(__xludf.DUMMYFUNCTION("""COMPUTED_VALUE"""),69.0)</f>
        <v>69</v>
      </c>
      <c r="J3034" s="139">
        <f>IFERROR(__xludf.DUMMYFUNCTION("""COMPUTED_VALUE"""),15.0)</f>
        <v>15</v>
      </c>
      <c r="K3034" s="139">
        <f>IFERROR(__xludf.DUMMYFUNCTION("""COMPUTED_VALUE"""),75.0)</f>
        <v>75</v>
      </c>
      <c r="L3034" s="139"/>
      <c r="M3034" s="139"/>
      <c r="N3034" s="139"/>
    </row>
    <row r="3035">
      <c r="A3035" s="139" t="str">
        <f>IFERROR(__xludf.DUMMYFUNCTION("""COMPUTED_VALUE"""),"e")</f>
        <v>e</v>
      </c>
      <c r="B3035" s="139">
        <f>IFERROR(__xludf.DUMMYFUNCTION("""COMPUTED_VALUE"""),2.0260302E8)</f>
        <v>202603020</v>
      </c>
      <c r="C3035" s="139" t="str">
        <f>IFERROR(__xludf.DUMMYFUNCTION("""COMPUTED_VALUE"""),"c_hyp_00001_glo2_charaget02_Boss_Red_Normal_00000")</f>
        <v>c_hyp_00001_glo2_charaget02_Boss_Red_Normal_00000</v>
      </c>
      <c r="D3035" s="139" t="str">
        <f>IFERROR(__xludf.DUMMYFUNCTION("""COMPUTED_VALUE"""),"c_hyp_00001_glo2_charaget02_Boss_Red")</f>
        <v>c_hyp_00001_glo2_charaget02_Boss_Red</v>
      </c>
      <c r="E3035" s="139">
        <f>IFERROR(__xludf.DUMMYFUNCTION("""COMPUTED_VALUE"""),0.0)</f>
        <v>0</v>
      </c>
      <c r="F3035" s="139" t="str">
        <f>IFERROR(__xludf.DUMMYFUNCTION("""COMPUTED_VALUE"""),"Normal")</f>
        <v>Normal</v>
      </c>
      <c r="G3035" s="139"/>
      <c r="H3035" s="139"/>
      <c r="I3035" s="139">
        <f>IFERROR(__xludf.DUMMYFUNCTION("""COMPUTED_VALUE"""),79.0)</f>
        <v>79</v>
      </c>
      <c r="J3035" s="139">
        <f>IFERROR(__xludf.DUMMYFUNCTION("""COMPUTED_VALUE"""),23.0)</f>
        <v>23</v>
      </c>
      <c r="K3035" s="139">
        <f>IFERROR(__xludf.DUMMYFUNCTION("""COMPUTED_VALUE"""),75.0)</f>
        <v>75</v>
      </c>
      <c r="L3035" s="139"/>
      <c r="M3035" s="139"/>
      <c r="N3035" s="139"/>
    </row>
    <row r="3036">
      <c r="A3036" s="139" t="str">
        <f>IFERROR(__xludf.DUMMYFUNCTION("""COMPUTED_VALUE"""),"e")</f>
        <v>e</v>
      </c>
      <c r="B3036" s="139">
        <f>IFERROR(__xludf.DUMMYFUNCTION("""COMPUTED_VALUE"""),2.0260302E8)</f>
        <v>202603020</v>
      </c>
      <c r="C3036" s="139" t="str">
        <f>IFERROR(__xludf.DUMMYFUNCTION("""COMPUTED_VALUE"""),"c_hyp_00001_glo2_charaget02_Boss_Red_Special_00001")</f>
        <v>c_hyp_00001_glo2_charaget02_Boss_Red_Special_00001</v>
      </c>
      <c r="D3036" s="139" t="str">
        <f>IFERROR(__xludf.DUMMYFUNCTION("""COMPUTED_VALUE"""),"c_hyp_00001_glo2_charaget02_Boss_Red")</f>
        <v>c_hyp_00001_glo2_charaget02_Boss_Red</v>
      </c>
      <c r="E3036" s="139">
        <f>IFERROR(__xludf.DUMMYFUNCTION("""COMPUTED_VALUE"""),0.0)</f>
        <v>0</v>
      </c>
      <c r="F3036" s="139" t="str">
        <f>IFERROR(__xludf.DUMMYFUNCTION("""COMPUTED_VALUE"""),"Special")</f>
        <v>Special</v>
      </c>
      <c r="G3036" s="139"/>
      <c r="H3036" s="139"/>
      <c r="I3036" s="139">
        <f>IFERROR(__xludf.DUMMYFUNCTION("""COMPUTED_VALUE"""),123.0)</f>
        <v>123</v>
      </c>
      <c r="J3036" s="139">
        <f>IFERROR(__xludf.DUMMYFUNCTION("""COMPUTED_VALUE"""),43.0)</f>
        <v>43</v>
      </c>
      <c r="K3036" s="139">
        <f>IFERROR(__xludf.DUMMYFUNCTION("""COMPUTED_VALUE"""),0.0)</f>
        <v>0</v>
      </c>
      <c r="L3036" s="139"/>
      <c r="M3036" s="139"/>
      <c r="N3036" s="139"/>
    </row>
    <row r="3037">
      <c r="A3037" s="139" t="str">
        <f>IFERROR(__xludf.DUMMYFUNCTION("""COMPUTED_VALUE"""),"e")</f>
        <v>e</v>
      </c>
      <c r="B3037" s="139">
        <f>IFERROR(__xludf.DUMMYFUNCTION("""COMPUTED_VALUE"""),2.0260302E8)</f>
        <v>202603020</v>
      </c>
      <c r="C3037" s="139" t="str">
        <f>IFERROR(__xludf.DUMMYFUNCTION("""COMPUTED_VALUE"""),"c_hyp_00001_glo2_charaget02_Boss_Red_Appearance_00002")</f>
        <v>c_hyp_00001_glo2_charaget02_Boss_Red_Appearance_00002</v>
      </c>
      <c r="D3037" s="139" t="str">
        <f>IFERROR(__xludf.DUMMYFUNCTION("""COMPUTED_VALUE"""),"c_hyp_00001_glo2_charaget02_Boss_Red")</f>
        <v>c_hyp_00001_glo2_charaget02_Boss_Red</v>
      </c>
      <c r="E3037" s="139">
        <f>IFERROR(__xludf.DUMMYFUNCTION("""COMPUTED_VALUE"""),0.0)</f>
        <v>0</v>
      </c>
      <c r="F3037" s="139" t="str">
        <f>IFERROR(__xludf.DUMMYFUNCTION("""COMPUTED_VALUE"""),"Appearance")</f>
        <v>Appearance</v>
      </c>
      <c r="G3037" s="139"/>
      <c r="H3037" s="139"/>
      <c r="I3037" s="139">
        <f>IFERROR(__xludf.DUMMYFUNCTION("""COMPUTED_VALUE"""),50.0)</f>
        <v>50</v>
      </c>
      <c r="J3037" s="139">
        <f>IFERROR(__xludf.DUMMYFUNCTION("""COMPUTED_VALUE"""),0.0)</f>
        <v>0</v>
      </c>
      <c r="K3037" s="139">
        <f>IFERROR(__xludf.DUMMYFUNCTION("""COMPUTED_VALUE"""),0.0)</f>
        <v>0</v>
      </c>
      <c r="L3037" s="139"/>
      <c r="M3037" s="139"/>
      <c r="N3037" s="139"/>
    </row>
    <row r="3038">
      <c r="A3038" s="139" t="str">
        <f>IFERROR(__xludf.DUMMYFUNCTION("""COMPUTED_VALUE"""),"e")</f>
        <v>e</v>
      </c>
      <c r="B3038" s="139">
        <f>IFERROR(__xludf.DUMMYFUNCTION("""COMPUTED_VALUE"""),2.0260302E8)</f>
        <v>202603020</v>
      </c>
      <c r="C3038" s="139" t="str">
        <f>IFERROR(__xludf.DUMMYFUNCTION("""COMPUTED_VALUE"""),"c_hyp_00001_glo2_charaget02_Boss_Blue_Normal_00000")</f>
        <v>c_hyp_00001_glo2_charaget02_Boss_Blue_Normal_00000</v>
      </c>
      <c r="D3038" s="139" t="str">
        <f>IFERROR(__xludf.DUMMYFUNCTION("""COMPUTED_VALUE"""),"c_hyp_00001_glo2_charaget02_Boss_Blue")</f>
        <v>c_hyp_00001_glo2_charaget02_Boss_Blue</v>
      </c>
      <c r="E3038" s="139">
        <f>IFERROR(__xludf.DUMMYFUNCTION("""COMPUTED_VALUE"""),0.0)</f>
        <v>0</v>
      </c>
      <c r="F3038" s="139" t="str">
        <f>IFERROR(__xludf.DUMMYFUNCTION("""COMPUTED_VALUE"""),"Normal")</f>
        <v>Normal</v>
      </c>
      <c r="G3038" s="139"/>
      <c r="H3038" s="139"/>
      <c r="I3038" s="139">
        <f>IFERROR(__xludf.DUMMYFUNCTION("""COMPUTED_VALUE"""),79.0)</f>
        <v>79</v>
      </c>
      <c r="J3038" s="139">
        <f>IFERROR(__xludf.DUMMYFUNCTION("""COMPUTED_VALUE"""),23.0)</f>
        <v>23</v>
      </c>
      <c r="K3038" s="139">
        <f>IFERROR(__xludf.DUMMYFUNCTION("""COMPUTED_VALUE"""),75.0)</f>
        <v>75</v>
      </c>
      <c r="L3038" s="139"/>
      <c r="M3038" s="139"/>
      <c r="N3038" s="139"/>
    </row>
    <row r="3039">
      <c r="A3039" s="139" t="str">
        <f>IFERROR(__xludf.DUMMYFUNCTION("""COMPUTED_VALUE"""),"e")</f>
        <v>e</v>
      </c>
      <c r="B3039" s="139">
        <f>IFERROR(__xludf.DUMMYFUNCTION("""COMPUTED_VALUE"""),2.0260302E8)</f>
        <v>202603020</v>
      </c>
      <c r="C3039" s="139" t="str">
        <f>IFERROR(__xludf.DUMMYFUNCTION("""COMPUTED_VALUE"""),"c_hyp_00001_glo2_charaget02_Boss_Blue_Special_00001")</f>
        <v>c_hyp_00001_glo2_charaget02_Boss_Blue_Special_00001</v>
      </c>
      <c r="D3039" s="139" t="str">
        <f>IFERROR(__xludf.DUMMYFUNCTION("""COMPUTED_VALUE"""),"c_hyp_00001_glo2_charaget02_Boss_Blue")</f>
        <v>c_hyp_00001_glo2_charaget02_Boss_Blue</v>
      </c>
      <c r="E3039" s="139">
        <f>IFERROR(__xludf.DUMMYFUNCTION("""COMPUTED_VALUE"""),0.0)</f>
        <v>0</v>
      </c>
      <c r="F3039" s="139" t="str">
        <f>IFERROR(__xludf.DUMMYFUNCTION("""COMPUTED_VALUE"""),"Special")</f>
        <v>Special</v>
      </c>
      <c r="G3039" s="139"/>
      <c r="H3039" s="139"/>
      <c r="I3039" s="139">
        <f>IFERROR(__xludf.DUMMYFUNCTION("""COMPUTED_VALUE"""),123.0)</f>
        <v>123</v>
      </c>
      <c r="J3039" s="139">
        <f>IFERROR(__xludf.DUMMYFUNCTION("""COMPUTED_VALUE"""),43.0)</f>
        <v>43</v>
      </c>
      <c r="K3039" s="139">
        <f>IFERROR(__xludf.DUMMYFUNCTION("""COMPUTED_VALUE"""),0.0)</f>
        <v>0</v>
      </c>
      <c r="L3039" s="139"/>
      <c r="M3039" s="139"/>
      <c r="N3039" s="139"/>
    </row>
    <row r="3040">
      <c r="A3040" s="139" t="str">
        <f>IFERROR(__xludf.DUMMYFUNCTION("""COMPUTED_VALUE"""),"e")</f>
        <v>e</v>
      </c>
      <c r="B3040" s="139">
        <f>IFERROR(__xludf.DUMMYFUNCTION("""COMPUTED_VALUE"""),2.0260302E8)</f>
        <v>202603020</v>
      </c>
      <c r="C3040" s="139" t="str">
        <f>IFERROR(__xludf.DUMMYFUNCTION("""COMPUTED_VALUE"""),"c_hyp_00001_glo2_charaget02_Boss_Blue_Appearance_00002")</f>
        <v>c_hyp_00001_glo2_charaget02_Boss_Blue_Appearance_00002</v>
      </c>
      <c r="D3040" s="139" t="str">
        <f>IFERROR(__xludf.DUMMYFUNCTION("""COMPUTED_VALUE"""),"c_hyp_00001_glo2_charaget02_Boss_Blue")</f>
        <v>c_hyp_00001_glo2_charaget02_Boss_Blue</v>
      </c>
      <c r="E3040" s="139">
        <f>IFERROR(__xludf.DUMMYFUNCTION("""COMPUTED_VALUE"""),0.0)</f>
        <v>0</v>
      </c>
      <c r="F3040" s="139" t="str">
        <f>IFERROR(__xludf.DUMMYFUNCTION("""COMPUTED_VALUE"""),"Appearance")</f>
        <v>Appearance</v>
      </c>
      <c r="G3040" s="139"/>
      <c r="H3040" s="139"/>
      <c r="I3040" s="139">
        <f>IFERROR(__xludf.DUMMYFUNCTION("""COMPUTED_VALUE"""),50.0)</f>
        <v>50</v>
      </c>
      <c r="J3040" s="139">
        <f>IFERROR(__xludf.DUMMYFUNCTION("""COMPUTED_VALUE"""),0.0)</f>
        <v>0</v>
      </c>
      <c r="K3040" s="139">
        <f>IFERROR(__xludf.DUMMYFUNCTION("""COMPUTED_VALUE"""),0.0)</f>
        <v>0</v>
      </c>
      <c r="L3040" s="139"/>
      <c r="M3040" s="139"/>
      <c r="N3040" s="139"/>
    </row>
    <row r="3041">
      <c r="A3041" s="139" t="str">
        <f>IFERROR(__xludf.DUMMYFUNCTION("""COMPUTED_VALUE"""),"e")</f>
        <v>e</v>
      </c>
      <c r="B3041" s="139">
        <f>IFERROR(__xludf.DUMMYFUNCTION("""COMPUTED_VALUE"""),2.0260302E8)</f>
        <v>202603020</v>
      </c>
      <c r="C3041" s="139" t="str">
        <f>IFERROR(__xludf.DUMMYFUNCTION("""COMPUTED_VALUE"""),"e_glo_00001_glo2_charaget02_Normal_Colorless_Normal_00000")</f>
        <v>e_glo_00001_glo2_charaget02_Normal_Colorless_Normal_00000</v>
      </c>
      <c r="D3041" s="139" t="str">
        <f>IFERROR(__xludf.DUMMYFUNCTION("""COMPUTED_VALUE"""),"e_glo_00001_glo2_charaget02_Normal_Colorless")</f>
        <v>e_glo_00001_glo2_charaget02_Normal_Colorless</v>
      </c>
      <c r="E3041" s="139">
        <f>IFERROR(__xludf.DUMMYFUNCTION("""COMPUTED_VALUE"""),0.0)</f>
        <v>0</v>
      </c>
      <c r="F3041" s="139" t="str">
        <f>IFERROR(__xludf.DUMMYFUNCTION("""COMPUTED_VALUE"""),"Normal")</f>
        <v>Normal</v>
      </c>
      <c r="G3041" s="139"/>
      <c r="H3041" s="139"/>
      <c r="I3041" s="139">
        <f>IFERROR(__xludf.DUMMYFUNCTION("""COMPUTED_VALUE"""),50.0)</f>
        <v>50</v>
      </c>
      <c r="J3041" s="139">
        <f>IFERROR(__xludf.DUMMYFUNCTION("""COMPUTED_VALUE"""),25.0)</f>
        <v>25</v>
      </c>
      <c r="K3041" s="139">
        <f>IFERROR(__xludf.DUMMYFUNCTION("""COMPUTED_VALUE"""),40.0)</f>
        <v>40</v>
      </c>
      <c r="L3041" s="139"/>
      <c r="M3041" s="139"/>
      <c r="N3041" s="139"/>
    </row>
    <row r="3042">
      <c r="A3042" s="139" t="str">
        <f>IFERROR(__xludf.DUMMYFUNCTION("""COMPUTED_VALUE"""),"e")</f>
        <v>e</v>
      </c>
      <c r="B3042" s="139">
        <f>IFERROR(__xludf.DUMMYFUNCTION("""COMPUTED_VALUE"""),2.0260302E8)</f>
        <v>202603020</v>
      </c>
      <c r="C3042" s="139" t="str">
        <f>IFERROR(__xludf.DUMMYFUNCTION("""COMPUTED_VALUE"""),"c_gam_00001_glo2_challenge_Boss_Blue_Normal_00000")</f>
        <v>c_gam_00001_glo2_challenge_Boss_Blue_Normal_00000</v>
      </c>
      <c r="D3042" s="139" t="str">
        <f>IFERROR(__xludf.DUMMYFUNCTION("""COMPUTED_VALUE"""),"c_gam_00001_glo2_challenge_Boss_Blue")</f>
        <v>c_gam_00001_glo2_challenge_Boss_Blue</v>
      </c>
      <c r="E3042" s="139">
        <f>IFERROR(__xludf.DUMMYFUNCTION("""COMPUTED_VALUE"""),0.0)</f>
        <v>0</v>
      </c>
      <c r="F3042" s="139" t="str">
        <f>IFERROR(__xludf.DUMMYFUNCTION("""COMPUTED_VALUE"""),"Normal")</f>
        <v>Normal</v>
      </c>
      <c r="G3042" s="139"/>
      <c r="H3042" s="139"/>
      <c r="I3042" s="139">
        <f>IFERROR(__xludf.DUMMYFUNCTION("""COMPUTED_VALUE"""),50.0)</f>
        <v>50</v>
      </c>
      <c r="J3042" s="139">
        <f>IFERROR(__xludf.DUMMYFUNCTION("""COMPUTED_VALUE"""),30.0)</f>
        <v>30</v>
      </c>
      <c r="K3042" s="139">
        <f>IFERROR(__xludf.DUMMYFUNCTION("""COMPUTED_VALUE"""),40.0)</f>
        <v>40</v>
      </c>
      <c r="L3042" s="139"/>
      <c r="M3042" s="139"/>
      <c r="N3042" s="139"/>
    </row>
    <row r="3043">
      <c r="A3043" s="139" t="str">
        <f>IFERROR(__xludf.DUMMYFUNCTION("""COMPUTED_VALUE"""),"e")</f>
        <v>e</v>
      </c>
      <c r="B3043" s="139">
        <f>IFERROR(__xludf.DUMMYFUNCTION("""COMPUTED_VALUE"""),2.0260302E8)</f>
        <v>202603020</v>
      </c>
      <c r="C3043" s="139" t="str">
        <f>IFERROR(__xludf.DUMMYFUNCTION("""COMPUTED_VALUE"""),"c_gam_00001_glo2_challenge_Boss_Blue_Special_00001")</f>
        <v>c_gam_00001_glo2_challenge_Boss_Blue_Special_00001</v>
      </c>
      <c r="D3043" s="139" t="str">
        <f>IFERROR(__xludf.DUMMYFUNCTION("""COMPUTED_VALUE"""),"c_gam_00001_glo2_challenge_Boss_Blue")</f>
        <v>c_gam_00001_glo2_challenge_Boss_Blue</v>
      </c>
      <c r="E3043" s="139">
        <f>IFERROR(__xludf.DUMMYFUNCTION("""COMPUTED_VALUE"""),0.0)</f>
        <v>0</v>
      </c>
      <c r="F3043" s="139" t="str">
        <f>IFERROR(__xludf.DUMMYFUNCTION("""COMPUTED_VALUE"""),"Special")</f>
        <v>Special</v>
      </c>
      <c r="G3043" s="139"/>
      <c r="H3043" s="139"/>
      <c r="I3043" s="139">
        <f>IFERROR(__xludf.DUMMYFUNCTION("""COMPUTED_VALUE"""),173.0)</f>
        <v>173</v>
      </c>
      <c r="J3043" s="139">
        <f>IFERROR(__xludf.DUMMYFUNCTION("""COMPUTED_VALUE"""),37.0)</f>
        <v>37</v>
      </c>
      <c r="K3043" s="139">
        <f>IFERROR(__xludf.DUMMYFUNCTION("""COMPUTED_VALUE"""),0.0)</f>
        <v>0</v>
      </c>
      <c r="L3043" s="139"/>
      <c r="M3043" s="139"/>
      <c r="N3043" s="139"/>
    </row>
    <row r="3044">
      <c r="A3044" s="139" t="str">
        <f>IFERROR(__xludf.DUMMYFUNCTION("""COMPUTED_VALUE"""),"e")</f>
        <v>e</v>
      </c>
      <c r="B3044" s="139">
        <f>IFERROR(__xludf.DUMMYFUNCTION("""COMPUTED_VALUE"""),2.0260302E8)</f>
        <v>202603020</v>
      </c>
      <c r="C3044" s="139" t="str">
        <f>IFERROR(__xludf.DUMMYFUNCTION("""COMPUTED_VALUE"""),"c_gam_00001_glo2_challenge_Boss_Blue_Appearance_00002")</f>
        <v>c_gam_00001_glo2_challenge_Boss_Blue_Appearance_00002</v>
      </c>
      <c r="D3044" s="139" t="str">
        <f>IFERROR(__xludf.DUMMYFUNCTION("""COMPUTED_VALUE"""),"c_gam_00001_glo2_challenge_Boss_Blue")</f>
        <v>c_gam_00001_glo2_challenge_Boss_Blue</v>
      </c>
      <c r="E3044" s="139">
        <f>IFERROR(__xludf.DUMMYFUNCTION("""COMPUTED_VALUE"""),0.0)</f>
        <v>0</v>
      </c>
      <c r="F3044" s="139" t="str">
        <f>IFERROR(__xludf.DUMMYFUNCTION("""COMPUTED_VALUE"""),"Appearance")</f>
        <v>Appearance</v>
      </c>
      <c r="G3044" s="139"/>
      <c r="H3044" s="139"/>
      <c r="I3044" s="139">
        <f>IFERROR(__xludf.DUMMYFUNCTION("""COMPUTED_VALUE"""),50.0)</f>
        <v>50</v>
      </c>
      <c r="J3044" s="139">
        <f>IFERROR(__xludf.DUMMYFUNCTION("""COMPUTED_VALUE"""),0.0)</f>
        <v>0</v>
      </c>
      <c r="K3044" s="139">
        <f>IFERROR(__xludf.DUMMYFUNCTION("""COMPUTED_VALUE"""),0.0)</f>
        <v>0</v>
      </c>
      <c r="L3044" s="139"/>
      <c r="M3044" s="139"/>
      <c r="N3044" s="139"/>
    </row>
    <row r="3045">
      <c r="A3045" s="139" t="str">
        <f>IFERROR(__xludf.DUMMYFUNCTION("""COMPUTED_VALUE"""),"e")</f>
        <v>e</v>
      </c>
      <c r="B3045" s="139">
        <f>IFERROR(__xludf.DUMMYFUNCTION("""COMPUTED_VALUE"""),2.0260302E8)</f>
        <v>202603020</v>
      </c>
      <c r="C3045" s="139" t="str">
        <f>IFERROR(__xludf.DUMMYFUNCTION("""COMPUTED_VALUE"""),"e_glo_00001_glo2_challenge_Normal_Blue_Normal_00000")</f>
        <v>e_glo_00001_glo2_challenge_Normal_Blue_Normal_00000</v>
      </c>
      <c r="D3045" s="139" t="str">
        <f>IFERROR(__xludf.DUMMYFUNCTION("""COMPUTED_VALUE"""),"e_glo_00001_glo2_challenge_Normal_Blue")</f>
        <v>e_glo_00001_glo2_challenge_Normal_Blue</v>
      </c>
      <c r="E3045" s="139">
        <f>IFERROR(__xludf.DUMMYFUNCTION("""COMPUTED_VALUE"""),0.0)</f>
        <v>0</v>
      </c>
      <c r="F3045" s="139" t="str">
        <f>IFERROR(__xludf.DUMMYFUNCTION("""COMPUTED_VALUE"""),"Normal")</f>
        <v>Normal</v>
      </c>
      <c r="G3045" s="139"/>
      <c r="H3045" s="139"/>
      <c r="I3045" s="139">
        <f>IFERROR(__xludf.DUMMYFUNCTION("""COMPUTED_VALUE"""),50.0)</f>
        <v>50</v>
      </c>
      <c r="J3045" s="139">
        <f>IFERROR(__xludf.DUMMYFUNCTION("""COMPUTED_VALUE"""),25.0)</f>
        <v>25</v>
      </c>
      <c r="K3045" s="139">
        <f>IFERROR(__xludf.DUMMYFUNCTION("""COMPUTED_VALUE"""),30.0)</f>
        <v>30</v>
      </c>
      <c r="L3045" s="139"/>
      <c r="M3045" s="139"/>
      <c r="N3045" s="139"/>
    </row>
    <row r="3046">
      <c r="A3046" s="139" t="str">
        <f>IFERROR(__xludf.DUMMYFUNCTION("""COMPUTED_VALUE"""),"e")</f>
        <v>e</v>
      </c>
      <c r="B3046" s="139">
        <f>IFERROR(__xludf.DUMMYFUNCTION("""COMPUTED_VALUE"""),2.0260302E8)</f>
        <v>202603020</v>
      </c>
      <c r="C3046" s="139" t="str">
        <f>IFERROR(__xludf.DUMMYFUNCTION("""COMPUTED_VALUE"""),"e_glo_00101_glo2_challenge_Boss_Blue_Normal_00000")</f>
        <v>e_glo_00101_glo2_challenge_Boss_Blue_Normal_00000</v>
      </c>
      <c r="D3046" s="139" t="str">
        <f>IFERROR(__xludf.DUMMYFUNCTION("""COMPUTED_VALUE"""),"e_glo_00101_glo2_challenge_Boss_Blue")</f>
        <v>e_glo_00101_glo2_challenge_Boss_Blue</v>
      </c>
      <c r="E3046" s="139">
        <f>IFERROR(__xludf.DUMMYFUNCTION("""COMPUTED_VALUE"""),0.0)</f>
        <v>0</v>
      </c>
      <c r="F3046" s="139" t="str">
        <f>IFERROR(__xludf.DUMMYFUNCTION("""COMPUTED_VALUE"""),"Normal")</f>
        <v>Normal</v>
      </c>
      <c r="G3046" s="139"/>
      <c r="H3046" s="139"/>
      <c r="I3046" s="139">
        <f>IFERROR(__xludf.DUMMYFUNCTION("""COMPUTED_VALUE"""),59.0)</f>
        <v>59</v>
      </c>
      <c r="J3046" s="139">
        <f>IFERROR(__xludf.DUMMYFUNCTION("""COMPUTED_VALUE"""),28.0)</f>
        <v>28</v>
      </c>
      <c r="K3046" s="139">
        <f>IFERROR(__xludf.DUMMYFUNCTION("""COMPUTED_VALUE"""),200.0)</f>
        <v>200</v>
      </c>
      <c r="L3046" s="139"/>
      <c r="M3046" s="139"/>
      <c r="N3046" s="139"/>
    </row>
    <row r="3047">
      <c r="A3047" s="139" t="str">
        <f>IFERROR(__xludf.DUMMYFUNCTION("""COMPUTED_VALUE"""),"e")</f>
        <v>e</v>
      </c>
      <c r="B3047" s="139">
        <f>IFERROR(__xludf.DUMMYFUNCTION("""COMPUTED_VALUE"""),2.0260302E8)</f>
        <v>202603020</v>
      </c>
      <c r="C3047" s="139" t="str">
        <f>IFERROR(__xludf.DUMMYFUNCTION("""COMPUTED_VALUE"""),"e_glo_00101_glo2_challenge_Boss_Blue_Appearance_00001")</f>
        <v>e_glo_00101_glo2_challenge_Boss_Blue_Appearance_00001</v>
      </c>
      <c r="D3047" s="139" t="str">
        <f>IFERROR(__xludf.DUMMYFUNCTION("""COMPUTED_VALUE"""),"e_glo_00101_glo2_challenge_Boss_Blue")</f>
        <v>e_glo_00101_glo2_challenge_Boss_Blue</v>
      </c>
      <c r="E3047" s="139">
        <f>IFERROR(__xludf.DUMMYFUNCTION("""COMPUTED_VALUE"""),0.0)</f>
        <v>0</v>
      </c>
      <c r="F3047" s="139" t="str">
        <f>IFERROR(__xludf.DUMMYFUNCTION("""COMPUTED_VALUE"""),"Appearance")</f>
        <v>Appearance</v>
      </c>
      <c r="G3047" s="139"/>
      <c r="H3047" s="139"/>
      <c r="I3047" s="139">
        <f>IFERROR(__xludf.DUMMYFUNCTION("""COMPUTED_VALUE"""),50.0)</f>
        <v>50</v>
      </c>
      <c r="J3047" s="139">
        <f>IFERROR(__xludf.DUMMYFUNCTION("""COMPUTED_VALUE"""),0.0)</f>
        <v>0</v>
      </c>
      <c r="K3047" s="139">
        <f>IFERROR(__xludf.DUMMYFUNCTION("""COMPUTED_VALUE"""),0.0)</f>
        <v>0</v>
      </c>
      <c r="L3047" s="139"/>
      <c r="M3047" s="139"/>
      <c r="N3047" s="139"/>
    </row>
    <row r="3048">
      <c r="A3048" s="139" t="str">
        <f>IFERROR(__xludf.DUMMYFUNCTION("""COMPUTED_VALUE"""),"e")</f>
        <v>e</v>
      </c>
      <c r="B3048" s="139">
        <f>IFERROR(__xludf.DUMMYFUNCTION("""COMPUTED_VALUE"""),2.0260302E8)</f>
        <v>202603020</v>
      </c>
      <c r="C3048" s="139" t="str">
        <f>IFERROR(__xludf.DUMMYFUNCTION("""COMPUTED_VALUE"""),"c_gam_00001_glo2_challenge_Boss_Yellow_Normal_00000")</f>
        <v>c_gam_00001_glo2_challenge_Boss_Yellow_Normal_00000</v>
      </c>
      <c r="D3048" s="139" t="str">
        <f>IFERROR(__xludf.DUMMYFUNCTION("""COMPUTED_VALUE"""),"c_gam_00001_glo2_challenge_Boss_Yellow")</f>
        <v>c_gam_00001_glo2_challenge_Boss_Yellow</v>
      </c>
      <c r="E3048" s="139">
        <f>IFERROR(__xludf.DUMMYFUNCTION("""COMPUTED_VALUE"""),0.0)</f>
        <v>0</v>
      </c>
      <c r="F3048" s="139" t="str">
        <f>IFERROR(__xludf.DUMMYFUNCTION("""COMPUTED_VALUE"""),"Normal")</f>
        <v>Normal</v>
      </c>
      <c r="G3048" s="139"/>
      <c r="H3048" s="139"/>
      <c r="I3048" s="139">
        <f>IFERROR(__xludf.DUMMYFUNCTION("""COMPUTED_VALUE"""),50.0)</f>
        <v>50</v>
      </c>
      <c r="J3048" s="139">
        <f>IFERROR(__xludf.DUMMYFUNCTION("""COMPUTED_VALUE"""),30.0)</f>
        <v>30</v>
      </c>
      <c r="K3048" s="139">
        <f>IFERROR(__xludf.DUMMYFUNCTION("""COMPUTED_VALUE"""),40.0)</f>
        <v>40</v>
      </c>
      <c r="L3048" s="139"/>
      <c r="M3048" s="139"/>
      <c r="N3048" s="139"/>
    </row>
    <row r="3049">
      <c r="A3049" s="139" t="str">
        <f>IFERROR(__xludf.DUMMYFUNCTION("""COMPUTED_VALUE"""),"e")</f>
        <v>e</v>
      </c>
      <c r="B3049" s="139">
        <f>IFERROR(__xludf.DUMMYFUNCTION("""COMPUTED_VALUE"""),2.0260302E8)</f>
        <v>202603020</v>
      </c>
      <c r="C3049" s="139" t="str">
        <f>IFERROR(__xludf.DUMMYFUNCTION("""COMPUTED_VALUE"""),"c_gam_00001_glo2_challenge_Boss_Yellow_Special_00001")</f>
        <v>c_gam_00001_glo2_challenge_Boss_Yellow_Special_00001</v>
      </c>
      <c r="D3049" s="139" t="str">
        <f>IFERROR(__xludf.DUMMYFUNCTION("""COMPUTED_VALUE"""),"c_gam_00001_glo2_challenge_Boss_Yellow")</f>
        <v>c_gam_00001_glo2_challenge_Boss_Yellow</v>
      </c>
      <c r="E3049" s="139">
        <f>IFERROR(__xludf.DUMMYFUNCTION("""COMPUTED_VALUE"""),0.0)</f>
        <v>0</v>
      </c>
      <c r="F3049" s="139" t="str">
        <f>IFERROR(__xludf.DUMMYFUNCTION("""COMPUTED_VALUE"""),"Special")</f>
        <v>Special</v>
      </c>
      <c r="G3049" s="139"/>
      <c r="H3049" s="139"/>
      <c r="I3049" s="139">
        <f>IFERROR(__xludf.DUMMYFUNCTION("""COMPUTED_VALUE"""),173.0)</f>
        <v>173</v>
      </c>
      <c r="J3049" s="139">
        <f>IFERROR(__xludf.DUMMYFUNCTION("""COMPUTED_VALUE"""),37.0)</f>
        <v>37</v>
      </c>
      <c r="K3049" s="139">
        <f>IFERROR(__xludf.DUMMYFUNCTION("""COMPUTED_VALUE"""),0.0)</f>
        <v>0</v>
      </c>
      <c r="L3049" s="139"/>
      <c r="M3049" s="139"/>
      <c r="N3049" s="139"/>
    </row>
    <row r="3050">
      <c r="A3050" s="139" t="str">
        <f>IFERROR(__xludf.DUMMYFUNCTION("""COMPUTED_VALUE"""),"e")</f>
        <v>e</v>
      </c>
      <c r="B3050" s="139">
        <f>IFERROR(__xludf.DUMMYFUNCTION("""COMPUTED_VALUE"""),2.0260302E8)</f>
        <v>202603020</v>
      </c>
      <c r="C3050" s="139" t="str">
        <f>IFERROR(__xludf.DUMMYFUNCTION("""COMPUTED_VALUE"""),"c_gam_00001_glo2_challenge_Boss_Yellow_Appearance_00002")</f>
        <v>c_gam_00001_glo2_challenge_Boss_Yellow_Appearance_00002</v>
      </c>
      <c r="D3050" s="139" t="str">
        <f>IFERROR(__xludf.DUMMYFUNCTION("""COMPUTED_VALUE"""),"c_gam_00001_glo2_challenge_Boss_Yellow")</f>
        <v>c_gam_00001_glo2_challenge_Boss_Yellow</v>
      </c>
      <c r="E3050" s="139">
        <f>IFERROR(__xludf.DUMMYFUNCTION("""COMPUTED_VALUE"""),0.0)</f>
        <v>0</v>
      </c>
      <c r="F3050" s="139" t="str">
        <f>IFERROR(__xludf.DUMMYFUNCTION("""COMPUTED_VALUE"""),"Appearance")</f>
        <v>Appearance</v>
      </c>
      <c r="G3050" s="139"/>
      <c r="H3050" s="139"/>
      <c r="I3050" s="139">
        <f>IFERROR(__xludf.DUMMYFUNCTION("""COMPUTED_VALUE"""),50.0)</f>
        <v>50</v>
      </c>
      <c r="J3050" s="139">
        <f>IFERROR(__xludf.DUMMYFUNCTION("""COMPUTED_VALUE"""),0.0)</f>
        <v>0</v>
      </c>
      <c r="K3050" s="139">
        <f>IFERROR(__xludf.DUMMYFUNCTION("""COMPUTED_VALUE"""),0.0)</f>
        <v>0</v>
      </c>
      <c r="L3050" s="139"/>
      <c r="M3050" s="139"/>
      <c r="N3050" s="139"/>
    </row>
    <row r="3051">
      <c r="A3051" s="139" t="str">
        <f>IFERROR(__xludf.DUMMYFUNCTION("""COMPUTED_VALUE"""),"e")</f>
        <v>e</v>
      </c>
      <c r="B3051" s="139">
        <f>IFERROR(__xludf.DUMMYFUNCTION("""COMPUTED_VALUE"""),2.0260302E8)</f>
        <v>202603020</v>
      </c>
      <c r="C3051" s="139" t="str">
        <f>IFERROR(__xludf.DUMMYFUNCTION("""COMPUTED_VALUE"""),"e_glo_00001_glo2_challenge_Normal_Yellow_Normal_00000")</f>
        <v>e_glo_00001_glo2_challenge_Normal_Yellow_Normal_00000</v>
      </c>
      <c r="D3051" s="139" t="str">
        <f>IFERROR(__xludf.DUMMYFUNCTION("""COMPUTED_VALUE"""),"e_glo_00001_glo2_challenge_Normal_Yellow")</f>
        <v>e_glo_00001_glo2_challenge_Normal_Yellow</v>
      </c>
      <c r="E3051" s="139">
        <f>IFERROR(__xludf.DUMMYFUNCTION("""COMPUTED_VALUE"""),0.0)</f>
        <v>0</v>
      </c>
      <c r="F3051" s="139" t="str">
        <f>IFERROR(__xludf.DUMMYFUNCTION("""COMPUTED_VALUE"""),"Normal")</f>
        <v>Normal</v>
      </c>
      <c r="G3051" s="139"/>
      <c r="H3051" s="139"/>
      <c r="I3051" s="139">
        <f>IFERROR(__xludf.DUMMYFUNCTION("""COMPUTED_VALUE"""),50.0)</f>
        <v>50</v>
      </c>
      <c r="J3051" s="139">
        <f>IFERROR(__xludf.DUMMYFUNCTION("""COMPUTED_VALUE"""),25.0)</f>
        <v>25</v>
      </c>
      <c r="K3051" s="139">
        <f>IFERROR(__xludf.DUMMYFUNCTION("""COMPUTED_VALUE"""),30.0)</f>
        <v>30</v>
      </c>
      <c r="L3051" s="139"/>
      <c r="M3051" s="139"/>
      <c r="N3051" s="139"/>
    </row>
    <row r="3052">
      <c r="A3052" s="139" t="str">
        <f>IFERROR(__xludf.DUMMYFUNCTION("""COMPUTED_VALUE"""),"e")</f>
        <v>e</v>
      </c>
      <c r="B3052" s="139">
        <f>IFERROR(__xludf.DUMMYFUNCTION("""COMPUTED_VALUE"""),2.0260302E8)</f>
        <v>202603020</v>
      </c>
      <c r="C3052" s="139" t="str">
        <f>IFERROR(__xludf.DUMMYFUNCTION("""COMPUTED_VALUE"""),"c_gam_00001_glo2_challenge_Boss_Red_Normal_00000")</f>
        <v>c_gam_00001_glo2_challenge_Boss_Red_Normal_00000</v>
      </c>
      <c r="D3052" s="139" t="str">
        <f>IFERROR(__xludf.DUMMYFUNCTION("""COMPUTED_VALUE"""),"c_gam_00001_glo2_challenge_Boss_Red")</f>
        <v>c_gam_00001_glo2_challenge_Boss_Red</v>
      </c>
      <c r="E3052" s="139">
        <f>IFERROR(__xludf.DUMMYFUNCTION("""COMPUTED_VALUE"""),0.0)</f>
        <v>0</v>
      </c>
      <c r="F3052" s="139" t="str">
        <f>IFERROR(__xludf.DUMMYFUNCTION("""COMPUTED_VALUE"""),"Normal")</f>
        <v>Normal</v>
      </c>
      <c r="G3052" s="139"/>
      <c r="H3052" s="139"/>
      <c r="I3052" s="139">
        <f>IFERROR(__xludf.DUMMYFUNCTION("""COMPUTED_VALUE"""),50.0)</f>
        <v>50</v>
      </c>
      <c r="J3052" s="139">
        <f>IFERROR(__xludf.DUMMYFUNCTION("""COMPUTED_VALUE"""),30.0)</f>
        <v>30</v>
      </c>
      <c r="K3052" s="139">
        <f>IFERROR(__xludf.DUMMYFUNCTION("""COMPUTED_VALUE"""),40.0)</f>
        <v>40</v>
      </c>
      <c r="L3052" s="139"/>
      <c r="M3052" s="139"/>
      <c r="N3052" s="139"/>
    </row>
    <row r="3053">
      <c r="A3053" s="139" t="str">
        <f>IFERROR(__xludf.DUMMYFUNCTION("""COMPUTED_VALUE"""),"e")</f>
        <v>e</v>
      </c>
      <c r="B3053" s="139">
        <f>IFERROR(__xludf.DUMMYFUNCTION("""COMPUTED_VALUE"""),2.0260302E8)</f>
        <v>202603020</v>
      </c>
      <c r="C3053" s="139" t="str">
        <f>IFERROR(__xludf.DUMMYFUNCTION("""COMPUTED_VALUE"""),"c_gam_00001_glo2_challenge_Boss_Red_Special_00001")</f>
        <v>c_gam_00001_glo2_challenge_Boss_Red_Special_00001</v>
      </c>
      <c r="D3053" s="139" t="str">
        <f>IFERROR(__xludf.DUMMYFUNCTION("""COMPUTED_VALUE"""),"c_gam_00001_glo2_challenge_Boss_Red")</f>
        <v>c_gam_00001_glo2_challenge_Boss_Red</v>
      </c>
      <c r="E3053" s="139">
        <f>IFERROR(__xludf.DUMMYFUNCTION("""COMPUTED_VALUE"""),0.0)</f>
        <v>0</v>
      </c>
      <c r="F3053" s="139" t="str">
        <f>IFERROR(__xludf.DUMMYFUNCTION("""COMPUTED_VALUE"""),"Special")</f>
        <v>Special</v>
      </c>
      <c r="G3053" s="139"/>
      <c r="H3053" s="139"/>
      <c r="I3053" s="139">
        <f>IFERROR(__xludf.DUMMYFUNCTION("""COMPUTED_VALUE"""),173.0)</f>
        <v>173</v>
      </c>
      <c r="J3053" s="139">
        <f>IFERROR(__xludf.DUMMYFUNCTION("""COMPUTED_VALUE"""),37.0)</f>
        <v>37</v>
      </c>
      <c r="K3053" s="139">
        <f>IFERROR(__xludf.DUMMYFUNCTION("""COMPUTED_VALUE"""),0.0)</f>
        <v>0</v>
      </c>
      <c r="L3053" s="139"/>
      <c r="M3053" s="139"/>
      <c r="N3053" s="139"/>
    </row>
    <row r="3054">
      <c r="A3054" s="139" t="str">
        <f>IFERROR(__xludf.DUMMYFUNCTION("""COMPUTED_VALUE"""),"e")</f>
        <v>e</v>
      </c>
      <c r="B3054" s="139">
        <f>IFERROR(__xludf.DUMMYFUNCTION("""COMPUTED_VALUE"""),2.0260302E8)</f>
        <v>202603020</v>
      </c>
      <c r="C3054" s="139" t="str">
        <f>IFERROR(__xludf.DUMMYFUNCTION("""COMPUTED_VALUE"""),"c_gam_00001_glo2_challenge_Boss_Red_Appearance_00002")</f>
        <v>c_gam_00001_glo2_challenge_Boss_Red_Appearance_00002</v>
      </c>
      <c r="D3054" s="139" t="str">
        <f>IFERROR(__xludf.DUMMYFUNCTION("""COMPUTED_VALUE"""),"c_gam_00001_glo2_challenge_Boss_Red")</f>
        <v>c_gam_00001_glo2_challenge_Boss_Red</v>
      </c>
      <c r="E3054" s="139">
        <f>IFERROR(__xludf.DUMMYFUNCTION("""COMPUTED_VALUE"""),0.0)</f>
        <v>0</v>
      </c>
      <c r="F3054" s="139" t="str">
        <f>IFERROR(__xludf.DUMMYFUNCTION("""COMPUTED_VALUE"""),"Appearance")</f>
        <v>Appearance</v>
      </c>
      <c r="G3054" s="139"/>
      <c r="H3054" s="139"/>
      <c r="I3054" s="139">
        <f>IFERROR(__xludf.DUMMYFUNCTION("""COMPUTED_VALUE"""),50.0)</f>
        <v>50</v>
      </c>
      <c r="J3054" s="139">
        <f>IFERROR(__xludf.DUMMYFUNCTION("""COMPUTED_VALUE"""),0.0)</f>
        <v>0</v>
      </c>
      <c r="K3054" s="139">
        <f>IFERROR(__xludf.DUMMYFUNCTION("""COMPUTED_VALUE"""),0.0)</f>
        <v>0</v>
      </c>
      <c r="L3054" s="139"/>
      <c r="M3054" s="139"/>
      <c r="N3054" s="139"/>
    </row>
    <row r="3055">
      <c r="A3055" s="139" t="str">
        <f>IFERROR(__xludf.DUMMYFUNCTION("""COMPUTED_VALUE"""),"e")</f>
        <v>e</v>
      </c>
      <c r="B3055" s="139">
        <f>IFERROR(__xludf.DUMMYFUNCTION("""COMPUTED_VALUE"""),2.0260302E8)</f>
        <v>202603020</v>
      </c>
      <c r="C3055" s="139" t="str">
        <f>IFERROR(__xludf.DUMMYFUNCTION("""COMPUTED_VALUE"""),"e_glo_00001_glo2_challenge_Normal_Red_Normal_00000")</f>
        <v>e_glo_00001_glo2_challenge_Normal_Red_Normal_00000</v>
      </c>
      <c r="D3055" s="139" t="str">
        <f>IFERROR(__xludf.DUMMYFUNCTION("""COMPUTED_VALUE"""),"e_glo_00001_glo2_challenge_Normal_Red")</f>
        <v>e_glo_00001_glo2_challenge_Normal_Red</v>
      </c>
      <c r="E3055" s="139">
        <f>IFERROR(__xludf.DUMMYFUNCTION("""COMPUTED_VALUE"""),0.0)</f>
        <v>0</v>
      </c>
      <c r="F3055" s="139" t="str">
        <f>IFERROR(__xludf.DUMMYFUNCTION("""COMPUTED_VALUE"""),"Normal")</f>
        <v>Normal</v>
      </c>
      <c r="G3055" s="139"/>
      <c r="H3055" s="139"/>
      <c r="I3055" s="139">
        <f>IFERROR(__xludf.DUMMYFUNCTION("""COMPUTED_VALUE"""),50.0)</f>
        <v>50</v>
      </c>
      <c r="J3055" s="139">
        <f>IFERROR(__xludf.DUMMYFUNCTION("""COMPUTED_VALUE"""),25.0)</f>
        <v>25</v>
      </c>
      <c r="K3055" s="139">
        <f>IFERROR(__xludf.DUMMYFUNCTION("""COMPUTED_VALUE"""),30.0)</f>
        <v>30</v>
      </c>
      <c r="L3055" s="139"/>
      <c r="M3055" s="139"/>
      <c r="N3055" s="139"/>
    </row>
    <row r="3056">
      <c r="A3056" s="139" t="str">
        <f>IFERROR(__xludf.DUMMYFUNCTION("""COMPUTED_VALUE"""),"e")</f>
        <v>e</v>
      </c>
      <c r="B3056" s="139">
        <f>IFERROR(__xludf.DUMMYFUNCTION("""COMPUTED_VALUE"""),2.0260302E8)</f>
        <v>202603020</v>
      </c>
      <c r="C3056" s="139" t="str">
        <f>IFERROR(__xludf.DUMMYFUNCTION("""COMPUTED_VALUE"""),"e_glo_00101_glo2_challenge_Boss_Red_Normal_00000")</f>
        <v>e_glo_00101_glo2_challenge_Boss_Red_Normal_00000</v>
      </c>
      <c r="D3056" s="139" t="str">
        <f>IFERROR(__xludf.DUMMYFUNCTION("""COMPUTED_VALUE"""),"e_glo_00101_glo2_challenge_Boss_Red")</f>
        <v>e_glo_00101_glo2_challenge_Boss_Red</v>
      </c>
      <c r="E3056" s="139">
        <f>IFERROR(__xludf.DUMMYFUNCTION("""COMPUTED_VALUE"""),0.0)</f>
        <v>0</v>
      </c>
      <c r="F3056" s="139" t="str">
        <f>IFERROR(__xludf.DUMMYFUNCTION("""COMPUTED_VALUE"""),"Normal")</f>
        <v>Normal</v>
      </c>
      <c r="G3056" s="139"/>
      <c r="H3056" s="139"/>
      <c r="I3056" s="139">
        <f>IFERROR(__xludf.DUMMYFUNCTION("""COMPUTED_VALUE"""),59.0)</f>
        <v>59</v>
      </c>
      <c r="J3056" s="139">
        <f>IFERROR(__xludf.DUMMYFUNCTION("""COMPUTED_VALUE"""),28.0)</f>
        <v>28</v>
      </c>
      <c r="K3056" s="139">
        <f>IFERROR(__xludf.DUMMYFUNCTION("""COMPUTED_VALUE"""),200.0)</f>
        <v>200</v>
      </c>
      <c r="L3056" s="139"/>
      <c r="M3056" s="139"/>
      <c r="N3056" s="139"/>
    </row>
    <row r="3057">
      <c r="A3057" s="139" t="str">
        <f>IFERROR(__xludf.DUMMYFUNCTION("""COMPUTED_VALUE"""),"e")</f>
        <v>e</v>
      </c>
      <c r="B3057" s="139">
        <f>IFERROR(__xludf.DUMMYFUNCTION("""COMPUTED_VALUE"""),2.0260302E8)</f>
        <v>202603020</v>
      </c>
      <c r="C3057" s="139" t="str">
        <f>IFERROR(__xludf.DUMMYFUNCTION("""COMPUTED_VALUE"""),"e_glo_00101_glo2_challenge_Boss_Red_Appearance_00001")</f>
        <v>e_glo_00101_glo2_challenge_Boss_Red_Appearance_00001</v>
      </c>
      <c r="D3057" s="139" t="str">
        <f>IFERROR(__xludf.DUMMYFUNCTION("""COMPUTED_VALUE"""),"e_glo_00101_glo2_challenge_Boss_Red")</f>
        <v>e_glo_00101_glo2_challenge_Boss_Red</v>
      </c>
      <c r="E3057" s="139">
        <f>IFERROR(__xludf.DUMMYFUNCTION("""COMPUTED_VALUE"""),0.0)</f>
        <v>0</v>
      </c>
      <c r="F3057" s="139" t="str">
        <f>IFERROR(__xludf.DUMMYFUNCTION("""COMPUTED_VALUE"""),"Appearance")</f>
        <v>Appearance</v>
      </c>
      <c r="G3057" s="139"/>
      <c r="H3057" s="139"/>
      <c r="I3057" s="139">
        <f>IFERROR(__xludf.DUMMYFUNCTION("""COMPUTED_VALUE"""),50.0)</f>
        <v>50</v>
      </c>
      <c r="J3057" s="139">
        <f>IFERROR(__xludf.DUMMYFUNCTION("""COMPUTED_VALUE"""),0.0)</f>
        <v>0</v>
      </c>
      <c r="K3057" s="139">
        <f>IFERROR(__xludf.DUMMYFUNCTION("""COMPUTED_VALUE"""),0.0)</f>
        <v>0</v>
      </c>
      <c r="L3057" s="139"/>
      <c r="M3057" s="139"/>
      <c r="N3057" s="139"/>
    </row>
    <row r="3058">
      <c r="A3058" s="139" t="str">
        <f>IFERROR(__xludf.DUMMYFUNCTION("""COMPUTED_VALUE"""),"e")</f>
        <v>e</v>
      </c>
      <c r="B3058" s="139">
        <f>IFERROR(__xludf.DUMMYFUNCTION("""COMPUTED_VALUE"""),2.0260302E8)</f>
        <v>202603020</v>
      </c>
      <c r="C3058" s="139" t="str">
        <f>IFERROR(__xludf.DUMMYFUNCTION("""COMPUTED_VALUE"""),"c_sur_00901_glo2_savage01_Boss_Red_Normal_00000")</f>
        <v>c_sur_00901_glo2_savage01_Boss_Red_Normal_00000</v>
      </c>
      <c r="D3058" s="139" t="str">
        <f>IFERROR(__xludf.DUMMYFUNCTION("""COMPUTED_VALUE"""),"c_sur_00901_glo2_savage01_Boss_Red")</f>
        <v>c_sur_00901_glo2_savage01_Boss_Red</v>
      </c>
      <c r="E3058" s="139">
        <f>IFERROR(__xludf.DUMMYFUNCTION("""COMPUTED_VALUE"""),0.0)</f>
        <v>0</v>
      </c>
      <c r="F3058" s="139" t="str">
        <f>IFERROR(__xludf.DUMMYFUNCTION("""COMPUTED_VALUE"""),"Normal")</f>
        <v>Normal</v>
      </c>
      <c r="G3058" s="139"/>
      <c r="H3058" s="139"/>
      <c r="I3058" s="139">
        <f>IFERROR(__xludf.DUMMYFUNCTION("""COMPUTED_VALUE"""),59.0)</f>
        <v>59</v>
      </c>
      <c r="J3058" s="139">
        <f>IFERROR(__xludf.DUMMYFUNCTION("""COMPUTED_VALUE"""),22.0)</f>
        <v>22</v>
      </c>
      <c r="K3058" s="139">
        <f>IFERROR(__xludf.DUMMYFUNCTION("""COMPUTED_VALUE"""),50.0)</f>
        <v>50</v>
      </c>
      <c r="L3058" s="139"/>
      <c r="M3058" s="139"/>
      <c r="N3058" s="139"/>
    </row>
    <row r="3059">
      <c r="A3059" s="139" t="str">
        <f>IFERROR(__xludf.DUMMYFUNCTION("""COMPUTED_VALUE"""),"e")</f>
        <v>e</v>
      </c>
      <c r="B3059" s="139">
        <f>IFERROR(__xludf.DUMMYFUNCTION("""COMPUTED_VALUE"""),2.0260302E8)</f>
        <v>202603020</v>
      </c>
      <c r="C3059" s="139" t="str">
        <f>IFERROR(__xludf.DUMMYFUNCTION("""COMPUTED_VALUE"""),"c_sur_00901_glo2_savage01_Boss_Red_Special_00001")</f>
        <v>c_sur_00901_glo2_savage01_Boss_Red_Special_00001</v>
      </c>
      <c r="D3059" s="139" t="str">
        <f>IFERROR(__xludf.DUMMYFUNCTION("""COMPUTED_VALUE"""),"c_sur_00901_glo2_savage01_Boss_Red")</f>
        <v>c_sur_00901_glo2_savage01_Boss_Red</v>
      </c>
      <c r="E3059" s="139">
        <f>IFERROR(__xludf.DUMMYFUNCTION("""COMPUTED_VALUE"""),0.0)</f>
        <v>0</v>
      </c>
      <c r="F3059" s="139" t="str">
        <f>IFERROR(__xludf.DUMMYFUNCTION("""COMPUTED_VALUE"""),"Special")</f>
        <v>Special</v>
      </c>
      <c r="G3059" s="139"/>
      <c r="H3059" s="139"/>
      <c r="I3059" s="139">
        <f>IFERROR(__xludf.DUMMYFUNCTION("""COMPUTED_VALUE"""),146.0)</f>
        <v>146</v>
      </c>
      <c r="J3059" s="139">
        <f>IFERROR(__xludf.DUMMYFUNCTION("""COMPUTED_VALUE"""),66.0)</f>
        <v>66</v>
      </c>
      <c r="K3059" s="139">
        <f>IFERROR(__xludf.DUMMYFUNCTION("""COMPUTED_VALUE"""),0.0)</f>
        <v>0</v>
      </c>
      <c r="L3059" s="139"/>
      <c r="M3059" s="139"/>
      <c r="N3059" s="139"/>
    </row>
    <row r="3060">
      <c r="A3060" s="139" t="str">
        <f>IFERROR(__xludf.DUMMYFUNCTION("""COMPUTED_VALUE"""),"e")</f>
        <v>e</v>
      </c>
      <c r="B3060" s="139">
        <f>IFERROR(__xludf.DUMMYFUNCTION("""COMPUTED_VALUE"""),2.0260302E8)</f>
        <v>202603020</v>
      </c>
      <c r="C3060" s="139" t="str">
        <f>IFERROR(__xludf.DUMMYFUNCTION("""COMPUTED_VALUE"""),"c_sur_00901_glo2_savage01_Boss_Red_Appearance_00002")</f>
        <v>c_sur_00901_glo2_savage01_Boss_Red_Appearance_00002</v>
      </c>
      <c r="D3060" s="139" t="str">
        <f>IFERROR(__xludf.DUMMYFUNCTION("""COMPUTED_VALUE"""),"c_sur_00901_glo2_savage01_Boss_Red")</f>
        <v>c_sur_00901_glo2_savage01_Boss_Red</v>
      </c>
      <c r="E3060" s="139">
        <f>IFERROR(__xludf.DUMMYFUNCTION("""COMPUTED_VALUE"""),0.0)</f>
        <v>0</v>
      </c>
      <c r="F3060" s="139" t="str">
        <f>IFERROR(__xludf.DUMMYFUNCTION("""COMPUTED_VALUE"""),"Appearance")</f>
        <v>Appearance</v>
      </c>
      <c r="G3060" s="139"/>
      <c r="H3060" s="139"/>
      <c r="I3060" s="139">
        <f>IFERROR(__xludf.DUMMYFUNCTION("""COMPUTED_VALUE"""),50.0)</f>
        <v>50</v>
      </c>
      <c r="J3060" s="139">
        <f>IFERROR(__xludf.DUMMYFUNCTION("""COMPUTED_VALUE"""),0.0)</f>
        <v>0</v>
      </c>
      <c r="K3060" s="139">
        <f>IFERROR(__xludf.DUMMYFUNCTION("""COMPUTED_VALUE"""),0.0)</f>
        <v>0</v>
      </c>
      <c r="L3060" s="139"/>
      <c r="M3060" s="139"/>
      <c r="N3060" s="139"/>
    </row>
    <row r="3061">
      <c r="A3061" s="139" t="str">
        <f>IFERROR(__xludf.DUMMYFUNCTION("""COMPUTED_VALUE"""),"e")</f>
        <v>e</v>
      </c>
      <c r="B3061" s="139">
        <f>IFERROR(__xludf.DUMMYFUNCTION("""COMPUTED_VALUE"""),2.0260302E8)</f>
        <v>202603020</v>
      </c>
      <c r="C3061" s="139" t="str">
        <f>IFERROR(__xludf.DUMMYFUNCTION("""COMPUTED_VALUE"""),"c_sur_00901_glo2_savage01_Boss_Colorless_Normal_00000")</f>
        <v>c_sur_00901_glo2_savage01_Boss_Colorless_Normal_00000</v>
      </c>
      <c r="D3061" s="139" t="str">
        <f>IFERROR(__xludf.DUMMYFUNCTION("""COMPUTED_VALUE"""),"c_sur_00901_glo2_savage01_Boss_Colorless")</f>
        <v>c_sur_00901_glo2_savage01_Boss_Colorless</v>
      </c>
      <c r="E3061" s="139">
        <f>IFERROR(__xludf.DUMMYFUNCTION("""COMPUTED_VALUE"""),0.0)</f>
        <v>0</v>
      </c>
      <c r="F3061" s="139" t="str">
        <f>IFERROR(__xludf.DUMMYFUNCTION("""COMPUTED_VALUE"""),"Normal")</f>
        <v>Normal</v>
      </c>
      <c r="G3061" s="139"/>
      <c r="H3061" s="139"/>
      <c r="I3061" s="139">
        <f>IFERROR(__xludf.DUMMYFUNCTION("""COMPUTED_VALUE"""),59.0)</f>
        <v>59</v>
      </c>
      <c r="J3061" s="139">
        <f>IFERROR(__xludf.DUMMYFUNCTION("""COMPUTED_VALUE"""),22.0)</f>
        <v>22</v>
      </c>
      <c r="K3061" s="139">
        <f>IFERROR(__xludf.DUMMYFUNCTION("""COMPUTED_VALUE"""),50.0)</f>
        <v>50</v>
      </c>
      <c r="L3061" s="139"/>
      <c r="M3061" s="139"/>
      <c r="N3061" s="139"/>
    </row>
    <row r="3062">
      <c r="A3062" s="139" t="str">
        <f>IFERROR(__xludf.DUMMYFUNCTION("""COMPUTED_VALUE"""),"e")</f>
        <v>e</v>
      </c>
      <c r="B3062" s="139">
        <f>IFERROR(__xludf.DUMMYFUNCTION("""COMPUTED_VALUE"""),2.0260302E8)</f>
        <v>202603020</v>
      </c>
      <c r="C3062" s="139" t="str">
        <f>IFERROR(__xludf.DUMMYFUNCTION("""COMPUTED_VALUE"""),"c_sur_00901_glo2_savage01_Boss_Colorless_Special_00001")</f>
        <v>c_sur_00901_glo2_savage01_Boss_Colorless_Special_00001</v>
      </c>
      <c r="D3062" s="139" t="str">
        <f>IFERROR(__xludf.DUMMYFUNCTION("""COMPUTED_VALUE"""),"c_sur_00901_glo2_savage01_Boss_Colorless")</f>
        <v>c_sur_00901_glo2_savage01_Boss_Colorless</v>
      </c>
      <c r="E3062" s="139">
        <f>IFERROR(__xludf.DUMMYFUNCTION("""COMPUTED_VALUE"""),0.0)</f>
        <v>0</v>
      </c>
      <c r="F3062" s="139" t="str">
        <f>IFERROR(__xludf.DUMMYFUNCTION("""COMPUTED_VALUE"""),"Special")</f>
        <v>Special</v>
      </c>
      <c r="G3062" s="139"/>
      <c r="H3062" s="139"/>
      <c r="I3062" s="139">
        <f>IFERROR(__xludf.DUMMYFUNCTION("""COMPUTED_VALUE"""),146.0)</f>
        <v>146</v>
      </c>
      <c r="J3062" s="139">
        <f>IFERROR(__xludf.DUMMYFUNCTION("""COMPUTED_VALUE"""),66.0)</f>
        <v>66</v>
      </c>
      <c r="K3062" s="139">
        <f>IFERROR(__xludf.DUMMYFUNCTION("""COMPUTED_VALUE"""),0.0)</f>
        <v>0</v>
      </c>
      <c r="L3062" s="139"/>
      <c r="M3062" s="139"/>
      <c r="N3062" s="139"/>
    </row>
    <row r="3063">
      <c r="A3063" s="139" t="str">
        <f>IFERROR(__xludf.DUMMYFUNCTION("""COMPUTED_VALUE"""),"e")</f>
        <v>e</v>
      </c>
      <c r="B3063" s="139">
        <f>IFERROR(__xludf.DUMMYFUNCTION("""COMPUTED_VALUE"""),2.0260302E8)</f>
        <v>202603020</v>
      </c>
      <c r="C3063" s="139" t="str">
        <f>IFERROR(__xludf.DUMMYFUNCTION("""COMPUTED_VALUE"""),"c_sur_00901_glo2_savage01_Boss_Colorless_Appearance_00002")</f>
        <v>c_sur_00901_glo2_savage01_Boss_Colorless_Appearance_00002</v>
      </c>
      <c r="D3063" s="139" t="str">
        <f>IFERROR(__xludf.DUMMYFUNCTION("""COMPUTED_VALUE"""),"c_sur_00901_glo2_savage01_Boss_Colorless")</f>
        <v>c_sur_00901_glo2_savage01_Boss_Colorless</v>
      </c>
      <c r="E3063" s="139">
        <f>IFERROR(__xludf.DUMMYFUNCTION("""COMPUTED_VALUE"""),0.0)</f>
        <v>0</v>
      </c>
      <c r="F3063" s="139" t="str">
        <f>IFERROR(__xludf.DUMMYFUNCTION("""COMPUTED_VALUE"""),"Appearance")</f>
        <v>Appearance</v>
      </c>
      <c r="G3063" s="139"/>
      <c r="H3063" s="139"/>
      <c r="I3063" s="139">
        <f>IFERROR(__xludf.DUMMYFUNCTION("""COMPUTED_VALUE"""),50.0)</f>
        <v>50</v>
      </c>
      <c r="J3063" s="139">
        <f>IFERROR(__xludf.DUMMYFUNCTION("""COMPUTED_VALUE"""),0.0)</f>
        <v>0</v>
      </c>
      <c r="K3063" s="139">
        <f>IFERROR(__xludf.DUMMYFUNCTION("""COMPUTED_VALUE"""),0.0)</f>
        <v>0</v>
      </c>
      <c r="L3063" s="139"/>
      <c r="M3063" s="139"/>
      <c r="N3063" s="139"/>
    </row>
    <row r="3064">
      <c r="A3064" s="139" t="str">
        <f>IFERROR(__xludf.DUMMYFUNCTION("""COMPUTED_VALUE"""),"e")</f>
        <v>e</v>
      </c>
      <c r="B3064" s="139">
        <f>IFERROR(__xludf.DUMMYFUNCTION("""COMPUTED_VALUE"""),2.0260302E8)</f>
        <v>202603020</v>
      </c>
      <c r="C3064" s="139" t="str">
        <f>IFERROR(__xludf.DUMMYFUNCTION("""COMPUTED_VALUE"""),"c_sur_00801_glo2_savage01_Boss_Red_Normal_00000")</f>
        <v>c_sur_00801_glo2_savage01_Boss_Red_Normal_00000</v>
      </c>
      <c r="D3064" s="139" t="str">
        <f>IFERROR(__xludf.DUMMYFUNCTION("""COMPUTED_VALUE"""),"c_sur_00801_glo2_savage01_Boss_Red")</f>
        <v>c_sur_00801_glo2_savage01_Boss_Red</v>
      </c>
      <c r="E3064" s="139">
        <f>IFERROR(__xludf.DUMMYFUNCTION("""COMPUTED_VALUE"""),0.0)</f>
        <v>0</v>
      </c>
      <c r="F3064" s="139" t="str">
        <f>IFERROR(__xludf.DUMMYFUNCTION("""COMPUTED_VALUE"""),"Normal")</f>
        <v>Normal</v>
      </c>
      <c r="G3064" s="139"/>
      <c r="H3064" s="139"/>
      <c r="I3064" s="139">
        <f>IFERROR(__xludf.DUMMYFUNCTION("""COMPUTED_VALUE"""),62.0)</f>
        <v>62</v>
      </c>
      <c r="J3064" s="139">
        <f>IFERROR(__xludf.DUMMYFUNCTION("""COMPUTED_VALUE"""),33.0)</f>
        <v>33</v>
      </c>
      <c r="K3064" s="139">
        <f>IFERROR(__xludf.DUMMYFUNCTION("""COMPUTED_VALUE"""),70.0)</f>
        <v>70</v>
      </c>
      <c r="L3064" s="139"/>
      <c r="M3064" s="139"/>
      <c r="N3064" s="139"/>
    </row>
    <row r="3065">
      <c r="A3065" s="139" t="str">
        <f>IFERROR(__xludf.DUMMYFUNCTION("""COMPUTED_VALUE"""),"e")</f>
        <v>e</v>
      </c>
      <c r="B3065" s="139">
        <f>IFERROR(__xludf.DUMMYFUNCTION("""COMPUTED_VALUE"""),2.0260302E8)</f>
        <v>202603020</v>
      </c>
      <c r="C3065" s="139" t="str">
        <f>IFERROR(__xludf.DUMMYFUNCTION("""COMPUTED_VALUE"""),"c_sur_00801_glo2_savage01_Boss_Red_Special_00001")</f>
        <v>c_sur_00801_glo2_savage01_Boss_Red_Special_00001</v>
      </c>
      <c r="D3065" s="139" t="str">
        <f>IFERROR(__xludf.DUMMYFUNCTION("""COMPUTED_VALUE"""),"c_sur_00801_glo2_savage01_Boss_Red")</f>
        <v>c_sur_00801_glo2_savage01_Boss_Red</v>
      </c>
      <c r="E3065" s="139">
        <f>IFERROR(__xludf.DUMMYFUNCTION("""COMPUTED_VALUE"""),0.0)</f>
        <v>0</v>
      </c>
      <c r="F3065" s="139" t="str">
        <f>IFERROR(__xludf.DUMMYFUNCTION("""COMPUTED_VALUE"""),"Special")</f>
        <v>Special</v>
      </c>
      <c r="G3065" s="139"/>
      <c r="H3065" s="139"/>
      <c r="I3065" s="139">
        <f>IFERROR(__xludf.DUMMYFUNCTION("""COMPUTED_VALUE"""),101.0)</f>
        <v>101</v>
      </c>
      <c r="J3065" s="139">
        <f>IFERROR(__xludf.DUMMYFUNCTION("""COMPUTED_VALUE"""),53.0)</f>
        <v>53</v>
      </c>
      <c r="K3065" s="139">
        <f>IFERROR(__xludf.DUMMYFUNCTION("""COMPUTED_VALUE"""),0.0)</f>
        <v>0</v>
      </c>
      <c r="L3065" s="139"/>
      <c r="M3065" s="139"/>
      <c r="N3065" s="139"/>
    </row>
    <row r="3066">
      <c r="A3066" s="139" t="str">
        <f>IFERROR(__xludf.DUMMYFUNCTION("""COMPUTED_VALUE"""),"e")</f>
        <v>e</v>
      </c>
      <c r="B3066" s="139">
        <f>IFERROR(__xludf.DUMMYFUNCTION("""COMPUTED_VALUE"""),2.0260302E8)</f>
        <v>202603020</v>
      </c>
      <c r="C3066" s="139" t="str">
        <f>IFERROR(__xludf.DUMMYFUNCTION("""COMPUTED_VALUE"""),"e_sur_00101_glo2_savage01_Normal_Red_Normal_00000")</f>
        <v>e_sur_00101_glo2_savage01_Normal_Red_Normal_00000</v>
      </c>
      <c r="D3066" s="139" t="str">
        <f>IFERROR(__xludf.DUMMYFUNCTION("""COMPUTED_VALUE"""),"e_sur_00101_glo2_savage01_Normal_Red")</f>
        <v>e_sur_00101_glo2_savage01_Normal_Red</v>
      </c>
      <c r="E3066" s="139">
        <f>IFERROR(__xludf.DUMMYFUNCTION("""COMPUTED_VALUE"""),0.0)</f>
        <v>0</v>
      </c>
      <c r="F3066" s="139" t="str">
        <f>IFERROR(__xludf.DUMMYFUNCTION("""COMPUTED_VALUE"""),"Normal")</f>
        <v>Normal</v>
      </c>
      <c r="G3066" s="139"/>
      <c r="H3066" s="139"/>
      <c r="I3066" s="139">
        <f>IFERROR(__xludf.DUMMYFUNCTION("""COMPUTED_VALUE"""),40.0)</f>
        <v>40</v>
      </c>
      <c r="J3066" s="139">
        <f>IFERROR(__xludf.DUMMYFUNCTION("""COMPUTED_VALUE"""),15.0)</f>
        <v>15</v>
      </c>
      <c r="K3066" s="139">
        <f>IFERROR(__xludf.DUMMYFUNCTION("""COMPUTED_VALUE"""),40.0)</f>
        <v>40</v>
      </c>
      <c r="L3066" s="139"/>
      <c r="M3066" s="139"/>
      <c r="N3066" s="139"/>
    </row>
    <row r="3067">
      <c r="A3067" s="139" t="str">
        <f>IFERROR(__xludf.DUMMYFUNCTION("""COMPUTED_VALUE"""),"e")</f>
        <v>e</v>
      </c>
      <c r="B3067" s="139">
        <f>IFERROR(__xludf.DUMMYFUNCTION("""COMPUTED_VALUE"""),2.0260302E8)</f>
        <v>202603020</v>
      </c>
      <c r="C3067" s="139" t="str">
        <f>IFERROR(__xludf.DUMMYFUNCTION("""COMPUTED_VALUE"""),"e_sur_00101_glo2_savage01_Normal_Colorless_Normal_00000")</f>
        <v>e_sur_00101_glo2_savage01_Normal_Colorless_Normal_00000</v>
      </c>
      <c r="D3067" s="139" t="str">
        <f>IFERROR(__xludf.DUMMYFUNCTION("""COMPUTED_VALUE"""),"e_sur_00101_glo2_savage01_Normal_Colorless")</f>
        <v>e_sur_00101_glo2_savage01_Normal_Colorless</v>
      </c>
      <c r="E3067" s="139">
        <f>IFERROR(__xludf.DUMMYFUNCTION("""COMPUTED_VALUE"""),0.0)</f>
        <v>0</v>
      </c>
      <c r="F3067" s="139" t="str">
        <f>IFERROR(__xludf.DUMMYFUNCTION("""COMPUTED_VALUE"""),"Normal")</f>
        <v>Normal</v>
      </c>
      <c r="G3067" s="139"/>
      <c r="H3067" s="139"/>
      <c r="I3067" s="139">
        <f>IFERROR(__xludf.DUMMYFUNCTION("""COMPUTED_VALUE"""),40.0)</f>
        <v>40</v>
      </c>
      <c r="J3067" s="139">
        <f>IFERROR(__xludf.DUMMYFUNCTION("""COMPUTED_VALUE"""),15.0)</f>
        <v>15</v>
      </c>
      <c r="K3067" s="139">
        <f>IFERROR(__xludf.DUMMYFUNCTION("""COMPUTED_VALUE"""),40.0)</f>
        <v>40</v>
      </c>
      <c r="L3067" s="139"/>
      <c r="M3067" s="139"/>
      <c r="N3067" s="139"/>
    </row>
    <row r="3068">
      <c r="A3068" s="139" t="str">
        <f>IFERROR(__xludf.DUMMYFUNCTION("""COMPUTED_VALUE"""),"e")</f>
        <v>e</v>
      </c>
      <c r="B3068" s="139">
        <f>IFERROR(__xludf.DUMMYFUNCTION("""COMPUTED_VALUE"""),2.0260302E8)</f>
        <v>202603020</v>
      </c>
      <c r="C3068" s="139" t="str">
        <f>IFERROR(__xludf.DUMMYFUNCTION("""COMPUTED_VALUE"""),"c_sur_00101_glo2_savage01_Boss_Colorless_Normal_00000")</f>
        <v>c_sur_00101_glo2_savage01_Boss_Colorless_Normal_00000</v>
      </c>
      <c r="D3068" s="139" t="str">
        <f>IFERROR(__xludf.DUMMYFUNCTION("""COMPUTED_VALUE"""),"c_sur_00101_glo2_savage01_Boss_Colorless")</f>
        <v>c_sur_00101_glo2_savage01_Boss_Colorless</v>
      </c>
      <c r="E3068" s="139">
        <f>IFERROR(__xludf.DUMMYFUNCTION("""COMPUTED_VALUE"""),0.0)</f>
        <v>0</v>
      </c>
      <c r="F3068" s="139" t="str">
        <f>IFERROR(__xludf.DUMMYFUNCTION("""COMPUTED_VALUE"""),"Normal")</f>
        <v>Normal</v>
      </c>
      <c r="G3068" s="139"/>
      <c r="H3068" s="139"/>
      <c r="I3068" s="139">
        <f>IFERROR(__xludf.DUMMYFUNCTION("""COMPUTED_VALUE"""),70.0)</f>
        <v>70</v>
      </c>
      <c r="J3068" s="139">
        <f>IFERROR(__xludf.DUMMYFUNCTION("""COMPUTED_VALUE"""),17.0)</f>
        <v>17</v>
      </c>
      <c r="K3068" s="139">
        <f>IFERROR(__xludf.DUMMYFUNCTION("""COMPUTED_VALUE"""),70.0)</f>
        <v>70</v>
      </c>
      <c r="L3068" s="139"/>
      <c r="M3068" s="139"/>
      <c r="N3068" s="139"/>
    </row>
    <row r="3069">
      <c r="A3069" s="139" t="str">
        <f>IFERROR(__xludf.DUMMYFUNCTION("""COMPUTED_VALUE"""),"e")</f>
        <v>e</v>
      </c>
      <c r="B3069" s="139">
        <f>IFERROR(__xludf.DUMMYFUNCTION("""COMPUTED_VALUE"""),2.0260302E8)</f>
        <v>202603020</v>
      </c>
      <c r="C3069" s="139" t="str">
        <f>IFERROR(__xludf.DUMMYFUNCTION("""COMPUTED_VALUE"""),"c_sur_00101_glo2_savage01_Boss_Colorless_Special_00001")</f>
        <v>c_sur_00101_glo2_savage01_Boss_Colorless_Special_00001</v>
      </c>
      <c r="D3069" s="139" t="str">
        <f>IFERROR(__xludf.DUMMYFUNCTION("""COMPUTED_VALUE"""),"c_sur_00101_glo2_savage01_Boss_Colorless")</f>
        <v>c_sur_00101_glo2_savage01_Boss_Colorless</v>
      </c>
      <c r="E3069" s="139">
        <f>IFERROR(__xludf.DUMMYFUNCTION("""COMPUTED_VALUE"""),0.0)</f>
        <v>0</v>
      </c>
      <c r="F3069" s="139" t="str">
        <f>IFERROR(__xludf.DUMMYFUNCTION("""COMPUTED_VALUE"""),"Special")</f>
        <v>Special</v>
      </c>
      <c r="G3069" s="139"/>
      <c r="H3069" s="139"/>
      <c r="I3069" s="139">
        <f>IFERROR(__xludf.DUMMYFUNCTION("""COMPUTED_VALUE"""),134.0)</f>
        <v>134</v>
      </c>
      <c r="J3069" s="139">
        <f>IFERROR(__xludf.DUMMYFUNCTION("""COMPUTED_VALUE"""),0.0)</f>
        <v>0</v>
      </c>
      <c r="K3069" s="139">
        <f>IFERROR(__xludf.DUMMYFUNCTION("""COMPUTED_VALUE"""),0.0)</f>
        <v>0</v>
      </c>
      <c r="L3069" s="139"/>
      <c r="M3069" s="139"/>
      <c r="N3069" s="139"/>
    </row>
    <row r="3070">
      <c r="A3070" s="139" t="str">
        <f>IFERROR(__xludf.DUMMYFUNCTION("""COMPUTED_VALUE"""),"e")</f>
        <v>e</v>
      </c>
      <c r="B3070" s="139">
        <f>IFERROR(__xludf.DUMMYFUNCTION("""COMPUTED_VALUE"""),2.0260302E8)</f>
        <v>202603020</v>
      </c>
      <c r="C3070" s="139" t="str">
        <f>IFERROR(__xludf.DUMMYFUNCTION("""COMPUTED_VALUE"""),"c_sur_00501_glo2_savage01_Boss_Red_Normal_00000")</f>
        <v>c_sur_00501_glo2_savage01_Boss_Red_Normal_00000</v>
      </c>
      <c r="D3070" s="139" t="str">
        <f>IFERROR(__xludf.DUMMYFUNCTION("""COMPUTED_VALUE"""),"c_sur_00501_glo2_savage01_Boss_Red")</f>
        <v>c_sur_00501_glo2_savage01_Boss_Red</v>
      </c>
      <c r="E3070" s="139">
        <f>IFERROR(__xludf.DUMMYFUNCTION("""COMPUTED_VALUE"""),0.0)</f>
        <v>0</v>
      </c>
      <c r="F3070" s="139" t="str">
        <f>IFERROR(__xludf.DUMMYFUNCTION("""COMPUTED_VALUE"""),"Normal")</f>
        <v>Normal</v>
      </c>
      <c r="G3070" s="139"/>
      <c r="H3070" s="139"/>
      <c r="I3070" s="139">
        <f>IFERROR(__xludf.DUMMYFUNCTION("""COMPUTED_VALUE"""),86.0)</f>
        <v>86</v>
      </c>
      <c r="J3070" s="139">
        <f>IFERROR(__xludf.DUMMYFUNCTION("""COMPUTED_VALUE"""),47.0)</f>
        <v>47</v>
      </c>
      <c r="K3070" s="139">
        <f>IFERROR(__xludf.DUMMYFUNCTION("""COMPUTED_VALUE"""),90.0)</f>
        <v>90</v>
      </c>
      <c r="L3070" s="139"/>
      <c r="M3070" s="139"/>
      <c r="N3070" s="139"/>
    </row>
    <row r="3071">
      <c r="A3071" s="139" t="str">
        <f>IFERROR(__xludf.DUMMYFUNCTION("""COMPUTED_VALUE"""),"e")</f>
        <v>e</v>
      </c>
      <c r="B3071" s="139">
        <f>IFERROR(__xludf.DUMMYFUNCTION("""COMPUTED_VALUE"""),2.0260302E8)</f>
        <v>202603020</v>
      </c>
      <c r="C3071" s="139" t="str">
        <f>IFERROR(__xludf.DUMMYFUNCTION("""COMPUTED_VALUE"""),"c_sur_00501_glo2_savage01_Boss_Red_Special_00001")</f>
        <v>c_sur_00501_glo2_savage01_Boss_Red_Special_00001</v>
      </c>
      <c r="D3071" s="139" t="str">
        <f>IFERROR(__xludf.DUMMYFUNCTION("""COMPUTED_VALUE"""),"c_sur_00501_glo2_savage01_Boss_Red")</f>
        <v>c_sur_00501_glo2_savage01_Boss_Red</v>
      </c>
      <c r="E3071" s="139">
        <f>IFERROR(__xludf.DUMMYFUNCTION("""COMPUTED_VALUE"""),0.0)</f>
        <v>0</v>
      </c>
      <c r="F3071" s="139" t="str">
        <f>IFERROR(__xludf.DUMMYFUNCTION("""COMPUTED_VALUE"""),"Special")</f>
        <v>Special</v>
      </c>
      <c r="G3071" s="139"/>
      <c r="H3071" s="139"/>
      <c r="I3071" s="139">
        <f>IFERROR(__xludf.DUMMYFUNCTION("""COMPUTED_VALUE"""),134.0)</f>
        <v>134</v>
      </c>
      <c r="J3071" s="139">
        <f>IFERROR(__xludf.DUMMYFUNCTION("""COMPUTED_VALUE"""),77.0)</f>
        <v>77</v>
      </c>
      <c r="K3071" s="139">
        <f>IFERROR(__xludf.DUMMYFUNCTION("""COMPUTED_VALUE"""),0.0)</f>
        <v>0</v>
      </c>
      <c r="L3071" s="139"/>
      <c r="M3071" s="139"/>
      <c r="N3071" s="139"/>
    </row>
    <row r="3072">
      <c r="A3072" s="139"/>
      <c r="B3072" s="139"/>
      <c r="C3072" s="139"/>
      <c r="D3072" s="139"/>
      <c r="E3072" s="139"/>
      <c r="F3072" s="139"/>
      <c r="G3072" s="139"/>
      <c r="H3072" s="139"/>
      <c r="I3072" s="139"/>
      <c r="J3072" s="139"/>
      <c r="K3072" s="139"/>
      <c r="L3072" s="139"/>
      <c r="M3072" s="139"/>
      <c r="N3072" s="139"/>
    </row>
    <row r="3073">
      <c r="A3073" s="139" t="str">
        <f>IFERROR(__xludf.DUMMYFUNCTION("""COMPUTED_VALUE"""),"e")</f>
        <v>e</v>
      </c>
      <c r="B3073" s="139">
        <f>IFERROR(__xludf.DUMMYFUNCTION("""COMPUTED_VALUE"""),2.02603025E8)</f>
        <v>202603025</v>
      </c>
      <c r="C3073" s="139" t="str">
        <f>IFERROR(__xludf.DUMMYFUNCTION("""COMPUTED_VALUE"""),"c_kai_00701_glo2_1d1c_Normal_Colorless_Normal_00000")</f>
        <v>c_kai_00701_glo2_1d1c_Normal_Colorless_Normal_00000</v>
      </c>
      <c r="D3073" s="139" t="str">
        <f>IFERROR(__xludf.DUMMYFUNCTION("""COMPUTED_VALUE"""),"c_kai_00701_glo2_1d1c_Normal_Colorless")</f>
        <v>c_kai_00701_glo2_1d1c_Normal_Colorless</v>
      </c>
      <c r="E3073" s="139">
        <f>IFERROR(__xludf.DUMMYFUNCTION("""COMPUTED_VALUE"""),0.0)</f>
        <v>0</v>
      </c>
      <c r="F3073" s="139" t="str">
        <f>IFERROR(__xludf.DUMMYFUNCTION("""COMPUTED_VALUE"""),"Normal")</f>
        <v>Normal</v>
      </c>
      <c r="G3073" s="139"/>
      <c r="H3073" s="139"/>
      <c r="I3073" s="139">
        <f>IFERROR(__xludf.DUMMYFUNCTION("""COMPUTED_VALUE"""),65.0)</f>
        <v>65</v>
      </c>
      <c r="J3073" s="139">
        <f>IFERROR(__xludf.DUMMYFUNCTION("""COMPUTED_VALUE"""),7.0)</f>
        <v>7</v>
      </c>
      <c r="K3073" s="139">
        <f>IFERROR(__xludf.DUMMYFUNCTION("""COMPUTED_VALUE"""),50.0)</f>
        <v>50</v>
      </c>
      <c r="L3073" s="139"/>
      <c r="M3073" s="139"/>
      <c r="N3073" s="139"/>
    </row>
    <row r="3074">
      <c r="A3074" s="139" t="str">
        <f>IFERROR(__xludf.DUMMYFUNCTION("""COMPUTED_VALUE"""),"e")</f>
        <v>e</v>
      </c>
      <c r="B3074" s="139">
        <f>IFERROR(__xludf.DUMMYFUNCTION("""COMPUTED_VALUE"""),2.02603025E8)</f>
        <v>202603025</v>
      </c>
      <c r="C3074" s="139" t="str">
        <f>IFERROR(__xludf.DUMMYFUNCTION("""COMPUTED_VALUE"""),"c_gom_00701_glo2_1d1c_Normal_Colorless_Normal_00000")</f>
        <v>c_gom_00701_glo2_1d1c_Normal_Colorless_Normal_00000</v>
      </c>
      <c r="D3074" s="139" t="str">
        <f>IFERROR(__xludf.DUMMYFUNCTION("""COMPUTED_VALUE"""),"c_gom_00701_glo2_1d1c_Normal_Colorless")</f>
        <v>c_gom_00701_glo2_1d1c_Normal_Colorless</v>
      </c>
      <c r="E3074" s="139">
        <f>IFERROR(__xludf.DUMMYFUNCTION("""COMPUTED_VALUE"""),0.0)</f>
        <v>0</v>
      </c>
      <c r="F3074" s="139" t="str">
        <f>IFERROR(__xludf.DUMMYFUNCTION("""COMPUTED_VALUE"""),"Normal")</f>
        <v>Normal</v>
      </c>
      <c r="G3074" s="139"/>
      <c r="H3074" s="139"/>
      <c r="I3074" s="139">
        <f>IFERROR(__xludf.DUMMYFUNCTION("""COMPUTED_VALUE"""),79.0)</f>
        <v>79</v>
      </c>
      <c r="J3074" s="139">
        <f>IFERROR(__xludf.DUMMYFUNCTION("""COMPUTED_VALUE"""),21.0)</f>
        <v>21</v>
      </c>
      <c r="K3074" s="139">
        <f>IFERROR(__xludf.DUMMYFUNCTION("""COMPUTED_VALUE"""),75.0)</f>
        <v>75</v>
      </c>
      <c r="L3074" s="139"/>
      <c r="M3074" s="139"/>
      <c r="N3074" s="139"/>
    </row>
    <row r="3075">
      <c r="A3075" s="139" t="str">
        <f>IFERROR(__xludf.DUMMYFUNCTION("""COMPUTED_VALUE"""),"e")</f>
        <v>e</v>
      </c>
      <c r="B3075" s="139">
        <f>IFERROR(__xludf.DUMMYFUNCTION("""COMPUTED_VALUE"""),2.02603025E8)</f>
        <v>202603025</v>
      </c>
      <c r="C3075" s="139" t="str">
        <f>IFERROR(__xludf.DUMMYFUNCTION("""COMPUTED_VALUE"""),"e_glo_00001_glo2_1d1c_Normal_Colorless_Normal_00000")</f>
        <v>e_glo_00001_glo2_1d1c_Normal_Colorless_Normal_00000</v>
      </c>
      <c r="D3075" s="139" t="str">
        <f>IFERROR(__xludf.DUMMYFUNCTION("""COMPUTED_VALUE"""),"e_glo_00001_glo2_1d1c_Normal_Colorless")</f>
        <v>e_glo_00001_glo2_1d1c_Normal_Colorless</v>
      </c>
      <c r="E3075" s="139">
        <f>IFERROR(__xludf.DUMMYFUNCTION("""COMPUTED_VALUE"""),0.0)</f>
        <v>0</v>
      </c>
      <c r="F3075" s="139" t="str">
        <f>IFERROR(__xludf.DUMMYFUNCTION("""COMPUTED_VALUE"""),"Normal")</f>
        <v>Normal</v>
      </c>
      <c r="G3075" s="139"/>
      <c r="H3075" s="139"/>
      <c r="I3075" s="139">
        <f>IFERROR(__xludf.DUMMYFUNCTION("""COMPUTED_VALUE"""),50.0)</f>
        <v>50</v>
      </c>
      <c r="J3075" s="139">
        <f>IFERROR(__xludf.DUMMYFUNCTION("""COMPUTED_VALUE"""),25.0)</f>
        <v>25</v>
      </c>
      <c r="K3075" s="139">
        <f>IFERROR(__xludf.DUMMYFUNCTION("""COMPUTED_VALUE"""),40.0)</f>
        <v>40</v>
      </c>
      <c r="L3075" s="139"/>
      <c r="M3075" s="139"/>
      <c r="N3075" s="139"/>
    </row>
    <row r="3076">
      <c r="A3076" s="139" t="str">
        <f>IFERROR(__xludf.DUMMYFUNCTION("""COMPUTED_VALUE"""),"e")</f>
        <v>e</v>
      </c>
      <c r="B3076" s="139">
        <f>IFERROR(__xludf.DUMMYFUNCTION("""COMPUTED_VALUE"""),2.02603025E8)</f>
        <v>202603025</v>
      </c>
      <c r="C3076" s="139" t="str">
        <f>IFERROR(__xludf.DUMMYFUNCTION("""COMPUTED_VALUE"""),"c_gom_00201_l05anniv_advent_Normal_Blue_Normal_00000")</f>
        <v>c_gom_00201_l05anniv_advent_Normal_Blue_Normal_00000</v>
      </c>
      <c r="D3076" s="139" t="str">
        <f>IFERROR(__xludf.DUMMYFUNCTION("""COMPUTED_VALUE"""),"c_gom_00201_l05anniv_advent_Normal_Blue")</f>
        <v>c_gom_00201_l05anniv_advent_Normal_Blue</v>
      </c>
      <c r="E3076" s="139">
        <f>IFERROR(__xludf.DUMMYFUNCTION("""COMPUTED_VALUE"""),0.0)</f>
        <v>0</v>
      </c>
      <c r="F3076" s="139" t="str">
        <f>IFERROR(__xludf.DUMMYFUNCTION("""COMPUTED_VALUE"""),"Normal")</f>
        <v>Normal</v>
      </c>
      <c r="G3076" s="139"/>
      <c r="H3076" s="139"/>
      <c r="I3076" s="139">
        <f>IFERROR(__xludf.DUMMYFUNCTION("""COMPUTED_VALUE"""),65.0)</f>
        <v>65</v>
      </c>
      <c r="J3076" s="139">
        <f>IFERROR(__xludf.DUMMYFUNCTION("""COMPUTED_VALUE"""),0.0)</f>
        <v>0</v>
      </c>
      <c r="K3076" s="139">
        <f>IFERROR(__xludf.DUMMYFUNCTION("""COMPUTED_VALUE"""),100.0)</f>
        <v>100</v>
      </c>
      <c r="L3076" s="139"/>
      <c r="M3076" s="139"/>
      <c r="N3076" s="139"/>
    </row>
    <row r="3077">
      <c r="A3077" s="139" t="str">
        <f>IFERROR(__xludf.DUMMYFUNCTION("""COMPUTED_VALUE"""),"e")</f>
        <v>e</v>
      </c>
      <c r="B3077" s="139">
        <f>IFERROR(__xludf.DUMMYFUNCTION("""COMPUTED_VALUE"""),2.02603025E8)</f>
        <v>202603025</v>
      </c>
      <c r="C3077" s="139" t="str">
        <f>IFERROR(__xludf.DUMMYFUNCTION("""COMPUTED_VALUE"""),"c_gom_00201_l05anniv_advent_Normal_Blue_Special_00001")</f>
        <v>c_gom_00201_l05anniv_advent_Normal_Blue_Special_00001</v>
      </c>
      <c r="D3077" s="139" t="str">
        <f>IFERROR(__xludf.DUMMYFUNCTION("""COMPUTED_VALUE"""),"c_gom_00201_l05anniv_advent_Normal_Blue")</f>
        <v>c_gom_00201_l05anniv_advent_Normal_Blue</v>
      </c>
      <c r="E3077" s="139">
        <f>IFERROR(__xludf.DUMMYFUNCTION("""COMPUTED_VALUE"""),0.0)</f>
        <v>0</v>
      </c>
      <c r="F3077" s="139" t="str">
        <f>IFERROR(__xludf.DUMMYFUNCTION("""COMPUTED_VALUE"""),"Special")</f>
        <v>Special</v>
      </c>
      <c r="G3077" s="139"/>
      <c r="H3077" s="139"/>
      <c r="I3077" s="139">
        <f>IFERROR(__xludf.DUMMYFUNCTION("""COMPUTED_VALUE"""),250.0)</f>
        <v>250</v>
      </c>
      <c r="J3077" s="139">
        <f>IFERROR(__xludf.DUMMYFUNCTION("""COMPUTED_VALUE"""),0.0)</f>
        <v>0</v>
      </c>
      <c r="K3077" s="139">
        <f>IFERROR(__xludf.DUMMYFUNCTION("""COMPUTED_VALUE"""),0.0)</f>
        <v>0</v>
      </c>
      <c r="L3077" s="139"/>
      <c r="M3077" s="139"/>
      <c r="N3077" s="139"/>
    </row>
    <row r="3078">
      <c r="A3078" s="139" t="str">
        <f>IFERROR(__xludf.DUMMYFUNCTION("""COMPUTED_VALUE"""),"e")</f>
        <v>e</v>
      </c>
      <c r="B3078" s="139">
        <f>IFERROR(__xludf.DUMMYFUNCTION("""COMPUTED_VALUE"""),2.02603025E8)</f>
        <v>202603025</v>
      </c>
      <c r="C3078" s="139" t="str">
        <f>IFERROR(__xludf.DUMMYFUNCTION("""COMPUTED_VALUE"""),"c_kai_00401_l05anniv_advent_Normal_Blue_Normal_00000")</f>
        <v>c_kai_00401_l05anniv_advent_Normal_Blue_Normal_00000</v>
      </c>
      <c r="D3078" s="139" t="str">
        <f>IFERROR(__xludf.DUMMYFUNCTION("""COMPUTED_VALUE"""),"c_kai_00401_l05anniv_advent_Normal_Blue")</f>
        <v>c_kai_00401_l05anniv_advent_Normal_Blue</v>
      </c>
      <c r="E3078" s="139">
        <f>IFERROR(__xludf.DUMMYFUNCTION("""COMPUTED_VALUE"""),0.0)</f>
        <v>0</v>
      </c>
      <c r="F3078" s="139" t="str">
        <f>IFERROR(__xludf.DUMMYFUNCTION("""COMPUTED_VALUE"""),"Normal")</f>
        <v>Normal</v>
      </c>
      <c r="G3078" s="139"/>
      <c r="H3078" s="139"/>
      <c r="I3078" s="139">
        <f>IFERROR(__xludf.DUMMYFUNCTION("""COMPUTED_VALUE"""),64.0)</f>
        <v>64</v>
      </c>
      <c r="J3078" s="139">
        <f>IFERROR(__xludf.DUMMYFUNCTION("""COMPUTED_VALUE"""),22.0)</f>
        <v>22</v>
      </c>
      <c r="K3078" s="139">
        <f>IFERROR(__xludf.DUMMYFUNCTION("""COMPUTED_VALUE"""),75.0)</f>
        <v>75</v>
      </c>
      <c r="L3078" s="139"/>
      <c r="M3078" s="139"/>
      <c r="N3078" s="139"/>
    </row>
    <row r="3079">
      <c r="A3079" s="139" t="str">
        <f>IFERROR(__xludf.DUMMYFUNCTION("""COMPUTED_VALUE"""),"e")</f>
        <v>e</v>
      </c>
      <c r="B3079" s="139">
        <f>IFERROR(__xludf.DUMMYFUNCTION("""COMPUTED_VALUE"""),2.02603025E8)</f>
        <v>202603025</v>
      </c>
      <c r="C3079" s="139" t="str">
        <f>IFERROR(__xludf.DUMMYFUNCTION("""COMPUTED_VALUE"""),"c_kai_00401_l05anniv_advent_Normal_Blue_Special_00001")</f>
        <v>c_kai_00401_l05anniv_advent_Normal_Blue_Special_00001</v>
      </c>
      <c r="D3079" s="139" t="str">
        <f>IFERROR(__xludf.DUMMYFUNCTION("""COMPUTED_VALUE"""),"c_kai_00401_l05anniv_advent_Normal_Blue")</f>
        <v>c_kai_00401_l05anniv_advent_Normal_Blue</v>
      </c>
      <c r="E3079" s="139">
        <f>IFERROR(__xludf.DUMMYFUNCTION("""COMPUTED_VALUE"""),0.0)</f>
        <v>0</v>
      </c>
      <c r="F3079" s="139" t="str">
        <f>IFERROR(__xludf.DUMMYFUNCTION("""COMPUTED_VALUE"""),"Special")</f>
        <v>Special</v>
      </c>
      <c r="G3079" s="139"/>
      <c r="H3079" s="139"/>
      <c r="I3079" s="139">
        <f>IFERROR(__xludf.DUMMYFUNCTION("""COMPUTED_VALUE"""),134.0)</f>
        <v>134</v>
      </c>
      <c r="J3079" s="139">
        <f>IFERROR(__xludf.DUMMYFUNCTION("""COMPUTED_VALUE"""),0.0)</f>
        <v>0</v>
      </c>
      <c r="K3079" s="139">
        <f>IFERROR(__xludf.DUMMYFUNCTION("""COMPUTED_VALUE"""),0.0)</f>
        <v>0</v>
      </c>
      <c r="L3079" s="139"/>
      <c r="M3079" s="139"/>
      <c r="N3079" s="139"/>
    </row>
    <row r="3080">
      <c r="A3080" s="139" t="str">
        <f>IFERROR(__xludf.DUMMYFUNCTION("""COMPUTED_VALUE"""),"e")</f>
        <v>e</v>
      </c>
      <c r="B3080" s="139">
        <f>IFERROR(__xludf.DUMMYFUNCTION("""COMPUTED_VALUE"""),2.02603025E8)</f>
        <v>202603025</v>
      </c>
      <c r="C3080" s="139" t="str">
        <f>IFERROR(__xludf.DUMMYFUNCTION("""COMPUTED_VALUE"""),"e_gom_00701_l05anniv_advent_Normal_Colorless_Normal_00000")</f>
        <v>e_gom_00701_l05anniv_advent_Normal_Colorless_Normal_00000</v>
      </c>
      <c r="D3080" s="139" t="str">
        <f>IFERROR(__xludf.DUMMYFUNCTION("""COMPUTED_VALUE"""),"e_gom_00701_l05anniv_advent_Normal_Colorless")</f>
        <v>e_gom_00701_l05anniv_advent_Normal_Colorless</v>
      </c>
      <c r="E3080" s="139">
        <f>IFERROR(__xludf.DUMMYFUNCTION("""COMPUTED_VALUE"""),0.0)</f>
        <v>0</v>
      </c>
      <c r="F3080" s="139" t="str">
        <f>IFERROR(__xludf.DUMMYFUNCTION("""COMPUTED_VALUE"""),"Normal")</f>
        <v>Normal</v>
      </c>
      <c r="G3080" s="139"/>
      <c r="H3080" s="139"/>
      <c r="I3080" s="139">
        <f>IFERROR(__xludf.DUMMYFUNCTION("""COMPUTED_VALUE"""),79.0)</f>
        <v>79</v>
      </c>
      <c r="J3080" s="139">
        <f>IFERROR(__xludf.DUMMYFUNCTION("""COMPUTED_VALUE"""),21.0)</f>
        <v>21</v>
      </c>
      <c r="K3080" s="139">
        <f>IFERROR(__xludf.DUMMYFUNCTION("""COMPUTED_VALUE"""),75.0)</f>
        <v>75</v>
      </c>
      <c r="L3080" s="139"/>
      <c r="M3080" s="139"/>
      <c r="N3080" s="139"/>
    </row>
    <row r="3081">
      <c r="A3081" s="139" t="str">
        <f>IFERROR(__xludf.DUMMYFUNCTION("""COMPUTED_VALUE"""),"e")</f>
        <v>e</v>
      </c>
      <c r="B3081" s="139">
        <f>IFERROR(__xludf.DUMMYFUNCTION("""COMPUTED_VALUE"""),2.02603025E8)</f>
        <v>202603025</v>
      </c>
      <c r="C3081" s="139" t="str">
        <f>IFERROR(__xludf.DUMMYFUNCTION("""COMPUTED_VALUE"""),"e_gom_00501_l05anniv_advent_Normal_Colorless_Normal_00000")</f>
        <v>e_gom_00501_l05anniv_advent_Normal_Colorless_Normal_00000</v>
      </c>
      <c r="D3081" s="139" t="str">
        <f>IFERROR(__xludf.DUMMYFUNCTION("""COMPUTED_VALUE"""),"e_gom_00501_l05anniv_advent_Normal_Colorless")</f>
        <v>e_gom_00501_l05anniv_advent_Normal_Colorless</v>
      </c>
      <c r="E3081" s="139">
        <f>IFERROR(__xludf.DUMMYFUNCTION("""COMPUTED_VALUE"""),0.0)</f>
        <v>0</v>
      </c>
      <c r="F3081" s="139" t="str">
        <f>IFERROR(__xludf.DUMMYFUNCTION("""COMPUTED_VALUE"""),"Normal")</f>
        <v>Normal</v>
      </c>
      <c r="G3081" s="139"/>
      <c r="H3081" s="139"/>
      <c r="I3081" s="139">
        <f>IFERROR(__xludf.DUMMYFUNCTION("""COMPUTED_VALUE"""),50.0)</f>
        <v>50</v>
      </c>
      <c r="J3081" s="139">
        <f>IFERROR(__xludf.DUMMYFUNCTION("""COMPUTED_VALUE"""),42.0)</f>
        <v>42</v>
      </c>
      <c r="K3081" s="139">
        <f>IFERROR(__xludf.DUMMYFUNCTION("""COMPUTED_VALUE"""),100.0)</f>
        <v>100</v>
      </c>
      <c r="L3081" s="139"/>
      <c r="M3081" s="139"/>
      <c r="N3081" s="139"/>
    </row>
    <row r="3082">
      <c r="A3082" s="139" t="str">
        <f>IFERROR(__xludf.DUMMYFUNCTION("""COMPUTED_VALUE"""),"e")</f>
        <v>e</v>
      </c>
      <c r="B3082" s="139">
        <f>IFERROR(__xludf.DUMMYFUNCTION("""COMPUTED_VALUE"""),2.02603025E8)</f>
        <v>202603025</v>
      </c>
      <c r="C3082" s="139" t="str">
        <f>IFERROR(__xludf.DUMMYFUNCTION("""COMPUTED_VALUE"""),"c_kai_00101_l05anniv_advent_Normal_Blue_Normal_00000")</f>
        <v>c_kai_00101_l05anniv_advent_Normal_Blue_Normal_00000</v>
      </c>
      <c r="D3082" s="139" t="str">
        <f>IFERROR(__xludf.DUMMYFUNCTION("""COMPUTED_VALUE"""),"c_kai_00101_l05anniv_advent_Normal_Blue")</f>
        <v>c_kai_00101_l05anniv_advent_Normal_Blue</v>
      </c>
      <c r="E3082" s="139">
        <f>IFERROR(__xludf.DUMMYFUNCTION("""COMPUTED_VALUE"""),0.0)</f>
        <v>0</v>
      </c>
      <c r="F3082" s="139" t="str">
        <f>IFERROR(__xludf.DUMMYFUNCTION("""COMPUTED_VALUE"""),"Normal")</f>
        <v>Normal</v>
      </c>
      <c r="G3082" s="139"/>
      <c r="H3082" s="139"/>
      <c r="I3082" s="139">
        <f>IFERROR(__xludf.DUMMYFUNCTION("""COMPUTED_VALUE"""),70.0)</f>
        <v>70</v>
      </c>
      <c r="J3082" s="139">
        <f>IFERROR(__xludf.DUMMYFUNCTION("""COMPUTED_VALUE"""),46.0)</f>
        <v>46</v>
      </c>
      <c r="K3082" s="139">
        <f>IFERROR(__xludf.DUMMYFUNCTION("""COMPUTED_VALUE"""),130.0)</f>
        <v>130</v>
      </c>
      <c r="L3082" s="139"/>
      <c r="M3082" s="139"/>
      <c r="N3082" s="139"/>
    </row>
    <row r="3083">
      <c r="A3083" s="139" t="str">
        <f>IFERROR(__xludf.DUMMYFUNCTION("""COMPUTED_VALUE"""),"e")</f>
        <v>e</v>
      </c>
      <c r="B3083" s="139">
        <f>IFERROR(__xludf.DUMMYFUNCTION("""COMPUTED_VALUE"""),2.02603025E8)</f>
        <v>202603025</v>
      </c>
      <c r="C3083" s="139" t="str">
        <f>IFERROR(__xludf.DUMMYFUNCTION("""COMPUTED_VALUE"""),"c_kai_00101_l05anniv_advent_Normal_Blue_Special_00001")</f>
        <v>c_kai_00101_l05anniv_advent_Normal_Blue_Special_00001</v>
      </c>
      <c r="D3083" s="139" t="str">
        <f>IFERROR(__xludf.DUMMYFUNCTION("""COMPUTED_VALUE"""),"c_kai_00101_l05anniv_advent_Normal_Blue")</f>
        <v>c_kai_00101_l05anniv_advent_Normal_Blue</v>
      </c>
      <c r="E3083" s="139">
        <f>IFERROR(__xludf.DUMMYFUNCTION("""COMPUTED_VALUE"""),0.0)</f>
        <v>0</v>
      </c>
      <c r="F3083" s="139" t="str">
        <f>IFERROR(__xludf.DUMMYFUNCTION("""COMPUTED_VALUE"""),"Special")</f>
        <v>Special</v>
      </c>
      <c r="G3083" s="139"/>
      <c r="H3083" s="139"/>
      <c r="I3083" s="139">
        <f>IFERROR(__xludf.DUMMYFUNCTION("""COMPUTED_VALUE"""),159.0)</f>
        <v>159</v>
      </c>
      <c r="J3083" s="139">
        <f>IFERROR(__xludf.DUMMYFUNCTION("""COMPUTED_VALUE"""),0.0)</f>
        <v>0</v>
      </c>
      <c r="K3083" s="139">
        <f>IFERROR(__xludf.DUMMYFUNCTION("""COMPUTED_VALUE"""),0.0)</f>
        <v>0</v>
      </c>
      <c r="L3083" s="139"/>
      <c r="M3083" s="139"/>
      <c r="N3083" s="139"/>
    </row>
    <row r="3084">
      <c r="A3084" s="139" t="str">
        <f>IFERROR(__xludf.DUMMYFUNCTION("""COMPUTED_VALUE"""),"e")</f>
        <v>e</v>
      </c>
      <c r="B3084" s="139">
        <f>IFERROR(__xludf.DUMMYFUNCTION("""COMPUTED_VALUE"""),2.02603025E8)</f>
        <v>202603025</v>
      </c>
      <c r="C3084" s="139" t="str">
        <f>IFERROR(__xludf.DUMMYFUNCTION("""COMPUTED_VALUE"""),"c_gom_00701_l05anniv_advent_Boss_Blue_Normal_00000")</f>
        <v>c_gom_00701_l05anniv_advent_Boss_Blue_Normal_00000</v>
      </c>
      <c r="D3084" s="139" t="str">
        <f>IFERROR(__xludf.DUMMYFUNCTION("""COMPUTED_VALUE"""),"c_gom_00701_l05anniv_advent_Boss_Blue")</f>
        <v>c_gom_00701_l05anniv_advent_Boss_Blue</v>
      </c>
      <c r="E3084" s="139">
        <f>IFERROR(__xludf.DUMMYFUNCTION("""COMPUTED_VALUE"""),0.0)</f>
        <v>0</v>
      </c>
      <c r="F3084" s="139" t="str">
        <f>IFERROR(__xludf.DUMMYFUNCTION("""COMPUTED_VALUE"""),"Normal")</f>
        <v>Normal</v>
      </c>
      <c r="G3084" s="139"/>
      <c r="H3084" s="139"/>
      <c r="I3084" s="139">
        <f>IFERROR(__xludf.DUMMYFUNCTION("""COMPUTED_VALUE"""),79.0)</f>
        <v>79</v>
      </c>
      <c r="J3084" s="139">
        <f>IFERROR(__xludf.DUMMYFUNCTION("""COMPUTED_VALUE"""),21.0)</f>
        <v>21</v>
      </c>
      <c r="K3084" s="139">
        <f>IFERROR(__xludf.DUMMYFUNCTION("""COMPUTED_VALUE"""),70.0)</f>
        <v>70</v>
      </c>
      <c r="L3084" s="139"/>
      <c r="M3084" s="139"/>
      <c r="N3084" s="139"/>
    </row>
    <row r="3085">
      <c r="A3085" s="139" t="str">
        <f>IFERROR(__xludf.DUMMYFUNCTION("""COMPUTED_VALUE"""),"e")</f>
        <v>e</v>
      </c>
      <c r="B3085" s="139">
        <f>IFERROR(__xludf.DUMMYFUNCTION("""COMPUTED_VALUE"""),2.02603025E8)</f>
        <v>202603025</v>
      </c>
      <c r="C3085" s="139" t="str">
        <f>IFERROR(__xludf.DUMMYFUNCTION("""COMPUTED_VALUE"""),"c_gom_00701_l05anniv_advent_Boss_Blue_Special_00001")</f>
        <v>c_gom_00701_l05anniv_advent_Boss_Blue_Special_00001</v>
      </c>
      <c r="D3085" s="139" t="str">
        <f>IFERROR(__xludf.DUMMYFUNCTION("""COMPUTED_VALUE"""),"c_gom_00701_l05anniv_advent_Boss_Blue")</f>
        <v>c_gom_00701_l05anniv_advent_Boss_Blue</v>
      </c>
      <c r="E3085" s="139">
        <f>IFERROR(__xludf.DUMMYFUNCTION("""COMPUTED_VALUE"""),0.0)</f>
        <v>0</v>
      </c>
      <c r="F3085" s="139" t="str">
        <f>IFERROR(__xludf.DUMMYFUNCTION("""COMPUTED_VALUE"""),"Special")</f>
        <v>Special</v>
      </c>
      <c r="G3085" s="139"/>
      <c r="H3085" s="139"/>
      <c r="I3085" s="139">
        <f>IFERROR(__xludf.DUMMYFUNCTION("""COMPUTED_VALUE"""),114.0)</f>
        <v>114</v>
      </c>
      <c r="J3085" s="139">
        <f>IFERROR(__xludf.DUMMYFUNCTION("""COMPUTED_VALUE"""),46.0)</f>
        <v>46</v>
      </c>
      <c r="K3085" s="139">
        <f>IFERROR(__xludf.DUMMYFUNCTION("""COMPUTED_VALUE"""),0.0)</f>
        <v>0</v>
      </c>
      <c r="L3085" s="139"/>
      <c r="M3085" s="139"/>
      <c r="N3085" s="139"/>
    </row>
    <row r="3086">
      <c r="A3086" s="139" t="str">
        <f>IFERROR(__xludf.DUMMYFUNCTION("""COMPUTED_VALUE"""),"e")</f>
        <v>e</v>
      </c>
      <c r="B3086" s="139">
        <f>IFERROR(__xludf.DUMMYFUNCTION("""COMPUTED_VALUE"""),2.02603025E8)</f>
        <v>202603025</v>
      </c>
      <c r="C3086" s="139" t="str">
        <f>IFERROR(__xludf.DUMMYFUNCTION("""COMPUTED_VALUE"""),"c_gom_00701_l05anniv_advent_Boss_Blue_Appearance_00002")</f>
        <v>c_gom_00701_l05anniv_advent_Boss_Blue_Appearance_00002</v>
      </c>
      <c r="D3086" s="139" t="str">
        <f>IFERROR(__xludf.DUMMYFUNCTION("""COMPUTED_VALUE"""),"c_gom_00701_l05anniv_advent_Boss_Blue")</f>
        <v>c_gom_00701_l05anniv_advent_Boss_Blue</v>
      </c>
      <c r="E3086" s="139">
        <f>IFERROR(__xludf.DUMMYFUNCTION("""COMPUTED_VALUE"""),0.0)</f>
        <v>0</v>
      </c>
      <c r="F3086" s="139" t="str">
        <f>IFERROR(__xludf.DUMMYFUNCTION("""COMPUTED_VALUE"""),"Appearance")</f>
        <v>Appearance</v>
      </c>
      <c r="G3086" s="139"/>
      <c r="H3086" s="139"/>
      <c r="I3086" s="139">
        <f>IFERROR(__xludf.DUMMYFUNCTION("""COMPUTED_VALUE"""),50.0)</f>
        <v>50</v>
      </c>
      <c r="J3086" s="139">
        <f>IFERROR(__xludf.DUMMYFUNCTION("""COMPUTED_VALUE"""),0.0)</f>
        <v>0</v>
      </c>
      <c r="K3086" s="139">
        <f>IFERROR(__xludf.DUMMYFUNCTION("""COMPUTED_VALUE"""),0.0)</f>
        <v>0</v>
      </c>
      <c r="L3086" s="139"/>
      <c r="M3086" s="139"/>
      <c r="N3086" s="139"/>
    </row>
    <row r="3087">
      <c r="A3087" s="139" t="str">
        <f>IFERROR(__xludf.DUMMYFUNCTION("""COMPUTED_VALUE"""),"e")</f>
        <v>e</v>
      </c>
      <c r="B3087" s="139">
        <f>IFERROR(__xludf.DUMMYFUNCTION("""COMPUTED_VALUE"""),2.02603025E8)</f>
        <v>202603025</v>
      </c>
      <c r="C3087" s="139" t="str">
        <f>IFERROR(__xludf.DUMMYFUNCTION("""COMPUTED_VALUE"""),"e_gom_00402_l05anniv_advent_Normal_Colorless_Normal_00000")</f>
        <v>e_gom_00402_l05anniv_advent_Normal_Colorless_Normal_00000</v>
      </c>
      <c r="D3087" s="139" t="str">
        <f>IFERROR(__xludf.DUMMYFUNCTION("""COMPUTED_VALUE"""),"e_gom_00402_l05anniv_advent_Normal_Colorless")</f>
        <v>e_gom_00402_l05anniv_advent_Normal_Colorless</v>
      </c>
      <c r="E3087" s="139">
        <f>IFERROR(__xludf.DUMMYFUNCTION("""COMPUTED_VALUE"""),0.0)</f>
        <v>0</v>
      </c>
      <c r="F3087" s="139" t="str">
        <f>IFERROR(__xludf.DUMMYFUNCTION("""COMPUTED_VALUE"""),"Normal")</f>
        <v>Normal</v>
      </c>
      <c r="G3087" s="139"/>
      <c r="H3087" s="139"/>
      <c r="I3087" s="139">
        <f>IFERROR(__xludf.DUMMYFUNCTION("""COMPUTED_VALUE"""),50.0)</f>
        <v>50</v>
      </c>
      <c r="J3087" s="139">
        <f>IFERROR(__xludf.DUMMYFUNCTION("""COMPUTED_VALUE"""),42.0)</f>
        <v>42</v>
      </c>
      <c r="K3087" s="139">
        <f>IFERROR(__xludf.DUMMYFUNCTION("""COMPUTED_VALUE"""),50.0)</f>
        <v>50</v>
      </c>
      <c r="L3087" s="139"/>
      <c r="M3087" s="139"/>
      <c r="N3087" s="139"/>
    </row>
    <row r="3088">
      <c r="A3088" s="139" t="str">
        <f>IFERROR(__xludf.DUMMYFUNCTION("""COMPUTED_VALUE"""),"e")</f>
        <v>e</v>
      </c>
      <c r="B3088" s="139">
        <f>IFERROR(__xludf.DUMMYFUNCTION("""COMPUTED_VALUE"""),2.02603025E8)</f>
        <v>202603025</v>
      </c>
      <c r="C3088" s="139" t="str">
        <f>IFERROR(__xludf.DUMMYFUNCTION("""COMPUTED_VALUE"""),"e_gom_00801_l05anniv_advent_Normal_Colorless_Normal_00000")</f>
        <v>e_gom_00801_l05anniv_advent_Normal_Colorless_Normal_00000</v>
      </c>
      <c r="D3088" s="139" t="str">
        <f>IFERROR(__xludf.DUMMYFUNCTION("""COMPUTED_VALUE"""),"e_gom_00801_l05anniv_advent_Normal_Colorless")</f>
        <v>e_gom_00801_l05anniv_advent_Normal_Colorless</v>
      </c>
      <c r="E3088" s="139">
        <f>IFERROR(__xludf.DUMMYFUNCTION("""COMPUTED_VALUE"""),0.0)</f>
        <v>0</v>
      </c>
      <c r="F3088" s="139" t="str">
        <f>IFERROR(__xludf.DUMMYFUNCTION("""COMPUTED_VALUE"""),"Normal")</f>
        <v>Normal</v>
      </c>
      <c r="G3088" s="139"/>
      <c r="H3088" s="139"/>
      <c r="I3088" s="139">
        <f>IFERROR(__xludf.DUMMYFUNCTION("""COMPUTED_VALUE"""),50.0)</f>
        <v>50</v>
      </c>
      <c r="J3088" s="139">
        <f>IFERROR(__xludf.DUMMYFUNCTION("""COMPUTED_VALUE"""),42.0)</f>
        <v>42</v>
      </c>
      <c r="K3088" s="139">
        <f>IFERROR(__xludf.DUMMYFUNCTION("""COMPUTED_VALUE"""),100.0)</f>
        <v>100</v>
      </c>
      <c r="L3088" s="139"/>
      <c r="M3088" s="139"/>
      <c r="N3088" s="139"/>
    </row>
    <row r="3089">
      <c r="A3089" s="139" t="str">
        <f>IFERROR(__xludf.DUMMYFUNCTION("""COMPUTED_VALUE"""),"e")</f>
        <v>e</v>
      </c>
      <c r="B3089" s="139">
        <f>IFERROR(__xludf.DUMMYFUNCTION("""COMPUTED_VALUE"""),2.02603025E8)</f>
        <v>202603025</v>
      </c>
      <c r="C3089" s="139" t="str">
        <f>IFERROR(__xludf.DUMMYFUNCTION("""COMPUTED_VALUE"""),"c_kai_00301_l05anniv_advent_Boss_Blue_Normal_00000")</f>
        <v>c_kai_00301_l05anniv_advent_Boss_Blue_Normal_00000</v>
      </c>
      <c r="D3089" s="139" t="str">
        <f>IFERROR(__xludf.DUMMYFUNCTION("""COMPUTED_VALUE"""),"c_kai_00301_l05anniv_advent_Boss_Blue")</f>
        <v>c_kai_00301_l05anniv_advent_Boss_Blue</v>
      </c>
      <c r="E3089" s="139">
        <f>IFERROR(__xludf.DUMMYFUNCTION("""COMPUTED_VALUE"""),0.0)</f>
        <v>0</v>
      </c>
      <c r="F3089" s="139" t="str">
        <f>IFERROR(__xludf.DUMMYFUNCTION("""COMPUTED_VALUE"""),"Normal")</f>
        <v>Normal</v>
      </c>
      <c r="G3089" s="139"/>
      <c r="H3089" s="139"/>
      <c r="I3089" s="139">
        <f>IFERROR(__xludf.DUMMYFUNCTION("""COMPUTED_VALUE"""),120.0)</f>
        <v>120</v>
      </c>
      <c r="J3089" s="139">
        <f>IFERROR(__xludf.DUMMYFUNCTION("""COMPUTED_VALUE"""),35.0)</f>
        <v>35</v>
      </c>
      <c r="K3089" s="139">
        <f>IFERROR(__xludf.DUMMYFUNCTION("""COMPUTED_VALUE"""),100.0)</f>
        <v>100</v>
      </c>
      <c r="L3089" s="139"/>
      <c r="M3089" s="139"/>
      <c r="N3089" s="139"/>
    </row>
    <row r="3090">
      <c r="A3090" s="139" t="str">
        <f>IFERROR(__xludf.DUMMYFUNCTION("""COMPUTED_VALUE"""),"e")</f>
        <v>e</v>
      </c>
      <c r="B3090" s="139">
        <f>IFERROR(__xludf.DUMMYFUNCTION("""COMPUTED_VALUE"""),2.02603025E8)</f>
        <v>202603025</v>
      </c>
      <c r="C3090" s="139" t="str">
        <f>IFERROR(__xludf.DUMMYFUNCTION("""COMPUTED_VALUE"""),"c_kai_00301_l05anniv_advent_Boss_Blue_Special_00001")</f>
        <v>c_kai_00301_l05anniv_advent_Boss_Blue_Special_00001</v>
      </c>
      <c r="D3090" s="139" t="str">
        <f>IFERROR(__xludf.DUMMYFUNCTION("""COMPUTED_VALUE"""),"c_kai_00301_l05anniv_advent_Boss_Blue")</f>
        <v>c_kai_00301_l05anniv_advent_Boss_Blue</v>
      </c>
      <c r="E3090" s="139">
        <f>IFERROR(__xludf.DUMMYFUNCTION("""COMPUTED_VALUE"""),0.0)</f>
        <v>0</v>
      </c>
      <c r="F3090" s="139" t="str">
        <f>IFERROR(__xludf.DUMMYFUNCTION("""COMPUTED_VALUE"""),"Special")</f>
        <v>Special</v>
      </c>
      <c r="G3090" s="139"/>
      <c r="H3090" s="139"/>
      <c r="I3090" s="139">
        <f>IFERROR(__xludf.DUMMYFUNCTION("""COMPUTED_VALUE"""),167.0)</f>
        <v>167</v>
      </c>
      <c r="J3090" s="139">
        <f>IFERROR(__xludf.DUMMYFUNCTION("""COMPUTED_VALUE"""),54.0)</f>
        <v>54</v>
      </c>
      <c r="K3090" s="139">
        <f>IFERROR(__xludf.DUMMYFUNCTION("""COMPUTED_VALUE"""),0.0)</f>
        <v>0</v>
      </c>
      <c r="L3090" s="139"/>
      <c r="M3090" s="139"/>
      <c r="N3090" s="139"/>
    </row>
    <row r="3091">
      <c r="A3091" s="139" t="str">
        <f>IFERROR(__xludf.DUMMYFUNCTION("""COMPUTED_VALUE"""),"e")</f>
        <v>e</v>
      </c>
      <c r="B3091" s="139">
        <f>IFERROR(__xludf.DUMMYFUNCTION("""COMPUTED_VALUE"""),2.02603025E8)</f>
        <v>202603025</v>
      </c>
      <c r="C3091" s="139" t="str">
        <f>IFERROR(__xludf.DUMMYFUNCTION("""COMPUTED_VALUE"""),"c_kai_00301_l05anniv_advent_Boss_Blue_Appearance_00002")</f>
        <v>c_kai_00301_l05anniv_advent_Boss_Blue_Appearance_00002</v>
      </c>
      <c r="D3091" s="139" t="str">
        <f>IFERROR(__xludf.DUMMYFUNCTION("""COMPUTED_VALUE"""),"c_kai_00301_l05anniv_advent_Boss_Blue")</f>
        <v>c_kai_00301_l05anniv_advent_Boss_Blue</v>
      </c>
      <c r="E3091" s="139">
        <f>IFERROR(__xludf.DUMMYFUNCTION("""COMPUTED_VALUE"""),0.0)</f>
        <v>0</v>
      </c>
      <c r="F3091" s="139" t="str">
        <f>IFERROR(__xludf.DUMMYFUNCTION("""COMPUTED_VALUE"""),"Appearance")</f>
        <v>Appearance</v>
      </c>
      <c r="G3091" s="139"/>
      <c r="H3091" s="139"/>
      <c r="I3091" s="139">
        <f>IFERROR(__xludf.DUMMYFUNCTION("""COMPUTED_VALUE"""),50.0)</f>
        <v>50</v>
      </c>
      <c r="J3091" s="139">
        <f>IFERROR(__xludf.DUMMYFUNCTION("""COMPUTED_VALUE"""),0.0)</f>
        <v>0</v>
      </c>
      <c r="K3091" s="139">
        <f>IFERROR(__xludf.DUMMYFUNCTION("""COMPUTED_VALUE"""),0.0)</f>
        <v>0</v>
      </c>
      <c r="L3091" s="139"/>
      <c r="M3091" s="139"/>
      <c r="N3091" s="139"/>
    </row>
    <row r="3092">
      <c r="A3092" s="139" t="str">
        <f>IFERROR(__xludf.DUMMYFUNCTION("""COMPUTED_VALUE"""),"e")</f>
        <v>e</v>
      </c>
      <c r="B3092" s="139">
        <f>IFERROR(__xludf.DUMMYFUNCTION("""COMPUTED_VALUE"""),2.02603025E8)</f>
        <v>202603025</v>
      </c>
      <c r="C3092" s="139" t="str">
        <f>IFERROR(__xludf.DUMMYFUNCTION("""COMPUTED_VALUE"""),"c_gom_00101_l05anniv_advent_Boss_Colorless_Normal_00000")</f>
        <v>c_gom_00101_l05anniv_advent_Boss_Colorless_Normal_00000</v>
      </c>
      <c r="D3092" s="139" t="str">
        <f>IFERROR(__xludf.DUMMYFUNCTION("""COMPUTED_VALUE"""),"c_gom_00101_l05anniv_advent_Boss_Colorless")</f>
        <v>c_gom_00101_l05anniv_advent_Boss_Colorless</v>
      </c>
      <c r="E3092" s="139">
        <f>IFERROR(__xludf.DUMMYFUNCTION("""COMPUTED_VALUE"""),0.0)</f>
        <v>0</v>
      </c>
      <c r="F3092" s="139" t="str">
        <f>IFERROR(__xludf.DUMMYFUNCTION("""COMPUTED_VALUE"""),"Normal")</f>
        <v>Normal</v>
      </c>
      <c r="G3092" s="139"/>
      <c r="H3092" s="139"/>
      <c r="I3092" s="139">
        <f>IFERROR(__xludf.DUMMYFUNCTION("""COMPUTED_VALUE"""),145.0)</f>
        <v>145</v>
      </c>
      <c r="J3092" s="139">
        <f>IFERROR(__xludf.DUMMYFUNCTION("""COMPUTED_VALUE"""),75.0)</f>
        <v>75</v>
      </c>
      <c r="K3092" s="139">
        <f>IFERROR(__xludf.DUMMYFUNCTION("""COMPUTED_VALUE"""),100.0)</f>
        <v>100</v>
      </c>
      <c r="L3092" s="139"/>
      <c r="M3092" s="139"/>
      <c r="N3092" s="139"/>
    </row>
    <row r="3093">
      <c r="A3093" s="139" t="str">
        <f>IFERROR(__xludf.DUMMYFUNCTION("""COMPUTED_VALUE"""),"e")</f>
        <v>e</v>
      </c>
      <c r="B3093" s="139">
        <f>IFERROR(__xludf.DUMMYFUNCTION("""COMPUTED_VALUE"""),2.02603025E8)</f>
        <v>202603025</v>
      </c>
      <c r="C3093" s="139" t="str">
        <f>IFERROR(__xludf.DUMMYFUNCTION("""COMPUTED_VALUE"""),"c_gom_00101_l05anniv_advent_Boss_Colorless_Special_00001")</f>
        <v>c_gom_00101_l05anniv_advent_Boss_Colorless_Special_00001</v>
      </c>
      <c r="D3093" s="139" t="str">
        <f>IFERROR(__xludf.DUMMYFUNCTION("""COMPUTED_VALUE"""),"c_gom_00101_l05anniv_advent_Boss_Colorless")</f>
        <v>c_gom_00101_l05anniv_advent_Boss_Colorless</v>
      </c>
      <c r="E3093" s="139">
        <f>IFERROR(__xludf.DUMMYFUNCTION("""COMPUTED_VALUE"""),0.0)</f>
        <v>0</v>
      </c>
      <c r="F3093" s="139" t="str">
        <f>IFERROR(__xludf.DUMMYFUNCTION("""COMPUTED_VALUE"""),"Special")</f>
        <v>Special</v>
      </c>
      <c r="G3093" s="139"/>
      <c r="H3093" s="139"/>
      <c r="I3093" s="139">
        <f>IFERROR(__xludf.DUMMYFUNCTION("""COMPUTED_VALUE"""),230.0)</f>
        <v>230</v>
      </c>
      <c r="J3093" s="139">
        <f>IFERROR(__xludf.DUMMYFUNCTION("""COMPUTED_VALUE"""),150.0)</f>
        <v>150</v>
      </c>
      <c r="K3093" s="139">
        <f>IFERROR(__xludf.DUMMYFUNCTION("""COMPUTED_VALUE"""),0.0)</f>
        <v>0</v>
      </c>
      <c r="L3093" s="139"/>
      <c r="M3093" s="139"/>
      <c r="N3093" s="139"/>
    </row>
    <row r="3094">
      <c r="A3094" s="139" t="str">
        <f>IFERROR(__xludf.DUMMYFUNCTION("""COMPUTED_VALUE"""),"e")</f>
        <v>e</v>
      </c>
      <c r="B3094" s="139">
        <f>IFERROR(__xludf.DUMMYFUNCTION("""COMPUTED_VALUE"""),2.02603025E8)</f>
        <v>202603025</v>
      </c>
      <c r="C3094" s="139" t="str">
        <f>IFERROR(__xludf.DUMMYFUNCTION("""COMPUTED_VALUE"""),"c_gom_00101_l05anniv_advent_Boss_Colorless_Appearance_00002")</f>
        <v>c_gom_00101_l05anniv_advent_Boss_Colorless_Appearance_00002</v>
      </c>
      <c r="D3094" s="139" t="str">
        <f>IFERROR(__xludf.DUMMYFUNCTION("""COMPUTED_VALUE"""),"c_gom_00101_l05anniv_advent_Boss_Colorless")</f>
        <v>c_gom_00101_l05anniv_advent_Boss_Colorless</v>
      </c>
      <c r="E3094" s="139">
        <f>IFERROR(__xludf.DUMMYFUNCTION("""COMPUTED_VALUE"""),0.0)</f>
        <v>0</v>
      </c>
      <c r="F3094" s="139" t="str">
        <f>IFERROR(__xludf.DUMMYFUNCTION("""COMPUTED_VALUE"""),"Appearance")</f>
        <v>Appearance</v>
      </c>
      <c r="G3094" s="139"/>
      <c r="H3094" s="139"/>
      <c r="I3094" s="139">
        <f>IFERROR(__xludf.DUMMYFUNCTION("""COMPUTED_VALUE"""),50.0)</f>
        <v>50</v>
      </c>
      <c r="J3094" s="139">
        <f>IFERROR(__xludf.DUMMYFUNCTION("""COMPUTED_VALUE"""),0.0)</f>
        <v>0</v>
      </c>
      <c r="K3094" s="139">
        <f>IFERROR(__xludf.DUMMYFUNCTION("""COMPUTED_VALUE"""),0.0)</f>
        <v>0</v>
      </c>
      <c r="L3094" s="139"/>
      <c r="M3094" s="139"/>
      <c r="N3094" s="139"/>
    </row>
    <row r="3095">
      <c r="A3095" s="139" t="str">
        <f>IFERROR(__xludf.DUMMYFUNCTION("""COMPUTED_VALUE"""),"e")</f>
        <v>e</v>
      </c>
      <c r="B3095" s="139">
        <f>IFERROR(__xludf.DUMMYFUNCTION("""COMPUTED_VALUE"""),2.02603025E8)</f>
        <v>202603025</v>
      </c>
      <c r="C3095" s="139" t="str">
        <f>IFERROR(__xludf.DUMMYFUNCTION("""COMPUTED_VALUE"""),"e_kai_00101_l05anniv_advent_Normal_Colorless_Normal_00000")</f>
        <v>e_kai_00101_l05anniv_advent_Normal_Colorless_Normal_00000</v>
      </c>
      <c r="D3095" s="139" t="str">
        <f>IFERROR(__xludf.DUMMYFUNCTION("""COMPUTED_VALUE"""),"e_kai_00101_l05anniv_advent_Normal_Colorless")</f>
        <v>e_kai_00101_l05anniv_advent_Normal_Colorless</v>
      </c>
      <c r="E3095" s="139">
        <f>IFERROR(__xludf.DUMMYFUNCTION("""COMPUTED_VALUE"""),0.0)</f>
        <v>0</v>
      </c>
      <c r="F3095" s="139" t="str">
        <f>IFERROR(__xludf.DUMMYFUNCTION("""COMPUTED_VALUE"""),"Normal")</f>
        <v>Normal</v>
      </c>
      <c r="G3095" s="139"/>
      <c r="H3095" s="139"/>
      <c r="I3095" s="139">
        <f>IFERROR(__xludf.DUMMYFUNCTION("""COMPUTED_VALUE"""),70.0)</f>
        <v>70</v>
      </c>
      <c r="J3095" s="139">
        <f>IFERROR(__xludf.DUMMYFUNCTION("""COMPUTED_VALUE"""),46.0)</f>
        <v>46</v>
      </c>
      <c r="K3095" s="139">
        <f>IFERROR(__xludf.DUMMYFUNCTION("""COMPUTED_VALUE"""),130.0)</f>
        <v>130</v>
      </c>
      <c r="L3095" s="139"/>
      <c r="M3095" s="139"/>
      <c r="N3095" s="139"/>
    </row>
    <row r="3096">
      <c r="A3096" s="139" t="str">
        <f>IFERROR(__xludf.DUMMYFUNCTION("""COMPUTED_VALUE"""),"e")</f>
        <v>e</v>
      </c>
      <c r="B3096" s="139">
        <f>IFERROR(__xludf.DUMMYFUNCTION("""COMPUTED_VALUE"""),2.02603025E8)</f>
        <v>202603025</v>
      </c>
      <c r="C3096" s="139" t="str">
        <f>IFERROR(__xludf.DUMMYFUNCTION("""COMPUTED_VALUE"""),"e_kai_00001_l05anniv_advent_Normal_Colorless_Normal_00000")</f>
        <v>e_kai_00001_l05anniv_advent_Normal_Colorless_Normal_00000</v>
      </c>
      <c r="D3096" s="139" t="str">
        <f>IFERROR(__xludf.DUMMYFUNCTION("""COMPUTED_VALUE"""),"e_kai_00001_l05anniv_advent_Normal_Colorless")</f>
        <v>e_kai_00001_l05anniv_advent_Normal_Colorless</v>
      </c>
      <c r="E3096" s="139">
        <f>IFERROR(__xludf.DUMMYFUNCTION("""COMPUTED_VALUE"""),0.0)</f>
        <v>0</v>
      </c>
      <c r="F3096" s="139" t="str">
        <f>IFERROR(__xludf.DUMMYFUNCTION("""COMPUTED_VALUE"""),"Normal")</f>
        <v>Normal</v>
      </c>
      <c r="G3096" s="139"/>
      <c r="H3096" s="139"/>
      <c r="I3096" s="139">
        <f>IFERROR(__xludf.DUMMYFUNCTION("""COMPUTED_VALUE"""),92.0)</f>
        <v>92</v>
      </c>
      <c r="J3096" s="139">
        <f>IFERROR(__xludf.DUMMYFUNCTION("""COMPUTED_VALUE"""),50.0)</f>
        <v>50</v>
      </c>
      <c r="K3096" s="139">
        <f>IFERROR(__xludf.DUMMYFUNCTION("""COMPUTED_VALUE"""),100.0)</f>
        <v>100</v>
      </c>
      <c r="L3096" s="139"/>
      <c r="M3096" s="139"/>
      <c r="N3096" s="139"/>
    </row>
    <row r="3097">
      <c r="A3097" s="139" t="str">
        <f>IFERROR(__xludf.DUMMYFUNCTION("""COMPUTED_VALUE"""),"e")</f>
        <v>e</v>
      </c>
      <c r="B3097" s="139">
        <f>IFERROR(__xludf.DUMMYFUNCTION("""COMPUTED_VALUE"""),2.02603025E8)</f>
        <v>202603025</v>
      </c>
      <c r="C3097" s="139" t="str">
        <f>IFERROR(__xludf.DUMMYFUNCTION("""COMPUTED_VALUE"""),"c_gom_00001_l05anniv_advent_Boss_Blue_Normal_00000")</f>
        <v>c_gom_00001_l05anniv_advent_Boss_Blue_Normal_00000</v>
      </c>
      <c r="D3097" s="139" t="str">
        <f>IFERROR(__xludf.DUMMYFUNCTION("""COMPUTED_VALUE"""),"c_gom_00001_l05anniv_advent_Boss_Blue")</f>
        <v>c_gom_00001_l05anniv_advent_Boss_Blue</v>
      </c>
      <c r="E3097" s="139">
        <f>IFERROR(__xludf.DUMMYFUNCTION("""COMPUTED_VALUE"""),0.0)</f>
        <v>0</v>
      </c>
      <c r="F3097" s="139" t="str">
        <f>IFERROR(__xludf.DUMMYFUNCTION("""COMPUTED_VALUE"""),"Normal")</f>
        <v>Normal</v>
      </c>
      <c r="G3097" s="139"/>
      <c r="H3097" s="139"/>
      <c r="I3097" s="139">
        <f>IFERROR(__xludf.DUMMYFUNCTION("""COMPUTED_VALUE"""),65.0)</f>
        <v>65</v>
      </c>
      <c r="J3097" s="139">
        <f>IFERROR(__xludf.DUMMYFUNCTION("""COMPUTED_VALUE"""),25.0)</f>
        <v>25</v>
      </c>
      <c r="K3097" s="139">
        <f>IFERROR(__xludf.DUMMYFUNCTION("""COMPUTED_VALUE"""),100.0)</f>
        <v>100</v>
      </c>
      <c r="L3097" s="139"/>
      <c r="M3097" s="139"/>
      <c r="N3097" s="139"/>
    </row>
    <row r="3098">
      <c r="A3098" s="139" t="str">
        <f>IFERROR(__xludf.DUMMYFUNCTION("""COMPUTED_VALUE"""),"e")</f>
        <v>e</v>
      </c>
      <c r="B3098" s="139">
        <f>IFERROR(__xludf.DUMMYFUNCTION("""COMPUTED_VALUE"""),2.02603025E8)</f>
        <v>202603025</v>
      </c>
      <c r="C3098" s="139" t="str">
        <f>IFERROR(__xludf.DUMMYFUNCTION("""COMPUTED_VALUE"""),"c_gom_00001_l05anniv_advent_Boss_Blue_Special_00001")</f>
        <v>c_gom_00001_l05anniv_advent_Boss_Blue_Special_00001</v>
      </c>
      <c r="D3098" s="139" t="str">
        <f>IFERROR(__xludf.DUMMYFUNCTION("""COMPUTED_VALUE"""),"c_gom_00001_l05anniv_advent_Boss_Blue")</f>
        <v>c_gom_00001_l05anniv_advent_Boss_Blue</v>
      </c>
      <c r="E3098" s="139">
        <f>IFERROR(__xludf.DUMMYFUNCTION("""COMPUTED_VALUE"""),0.0)</f>
        <v>0</v>
      </c>
      <c r="F3098" s="139" t="str">
        <f>IFERROR(__xludf.DUMMYFUNCTION("""COMPUTED_VALUE"""),"Special")</f>
        <v>Special</v>
      </c>
      <c r="G3098" s="139"/>
      <c r="H3098" s="139"/>
      <c r="I3098" s="139">
        <f>IFERROR(__xludf.DUMMYFUNCTION("""COMPUTED_VALUE"""),200.0)</f>
        <v>200</v>
      </c>
      <c r="J3098" s="139">
        <f>IFERROR(__xludf.DUMMYFUNCTION("""COMPUTED_VALUE"""),115.0)</f>
        <v>115</v>
      </c>
      <c r="K3098" s="139">
        <f>IFERROR(__xludf.DUMMYFUNCTION("""COMPUTED_VALUE"""),0.0)</f>
        <v>0</v>
      </c>
      <c r="L3098" s="139"/>
      <c r="M3098" s="139"/>
      <c r="N3098" s="139"/>
    </row>
    <row r="3099">
      <c r="A3099" s="139" t="str">
        <f>IFERROR(__xludf.DUMMYFUNCTION("""COMPUTED_VALUE"""),"e")</f>
        <v>e</v>
      </c>
      <c r="B3099" s="139">
        <f>IFERROR(__xludf.DUMMYFUNCTION("""COMPUTED_VALUE"""),2.02603025E8)</f>
        <v>202603025</v>
      </c>
      <c r="C3099" s="139" t="str">
        <f>IFERROR(__xludf.DUMMYFUNCTION("""COMPUTED_VALUE"""),"c_gom_00001_l05anniv_advent_Boss_Blue_Appearance_00002")</f>
        <v>c_gom_00001_l05anniv_advent_Boss_Blue_Appearance_00002</v>
      </c>
      <c r="D3099" s="139" t="str">
        <f>IFERROR(__xludf.DUMMYFUNCTION("""COMPUTED_VALUE"""),"c_gom_00001_l05anniv_advent_Boss_Blue")</f>
        <v>c_gom_00001_l05anniv_advent_Boss_Blue</v>
      </c>
      <c r="E3099" s="139">
        <f>IFERROR(__xludf.DUMMYFUNCTION("""COMPUTED_VALUE"""),0.0)</f>
        <v>0</v>
      </c>
      <c r="F3099" s="139" t="str">
        <f>IFERROR(__xludf.DUMMYFUNCTION("""COMPUTED_VALUE"""),"Appearance")</f>
        <v>Appearance</v>
      </c>
      <c r="G3099" s="139"/>
      <c r="H3099" s="139"/>
      <c r="I3099" s="139">
        <f>IFERROR(__xludf.DUMMYFUNCTION("""COMPUTED_VALUE"""),50.0)</f>
        <v>50</v>
      </c>
      <c r="J3099" s="139">
        <f>IFERROR(__xludf.DUMMYFUNCTION("""COMPUTED_VALUE"""),0.0)</f>
        <v>0</v>
      </c>
      <c r="K3099" s="139">
        <f>IFERROR(__xludf.DUMMYFUNCTION("""COMPUTED_VALUE"""),0.0)</f>
        <v>0</v>
      </c>
      <c r="L3099" s="139"/>
      <c r="M3099" s="139"/>
      <c r="N3099" s="139"/>
    </row>
    <row r="3100">
      <c r="A3100" s="139" t="str">
        <f>IFERROR(__xludf.DUMMYFUNCTION("""COMPUTED_VALUE"""),"e")</f>
        <v>e</v>
      </c>
      <c r="B3100" s="139">
        <f>IFERROR(__xludf.DUMMYFUNCTION("""COMPUTED_VALUE"""),2.02603025E8)</f>
        <v>202603025</v>
      </c>
      <c r="C3100" s="139" t="str">
        <f>IFERROR(__xludf.DUMMYFUNCTION("""COMPUTED_VALUE"""),"c_kai_00002_l05anniv_advent_Boss_Colorless_Normal_00000")</f>
        <v>c_kai_00002_l05anniv_advent_Boss_Colorless_Normal_00000</v>
      </c>
      <c r="D3100" s="139" t="str">
        <f>IFERROR(__xludf.DUMMYFUNCTION("""COMPUTED_VALUE"""),"c_kai_00002_l05anniv_advent_Boss_Colorless")</f>
        <v>c_kai_00002_l05anniv_advent_Boss_Colorless</v>
      </c>
      <c r="E3100" s="139">
        <f>IFERROR(__xludf.DUMMYFUNCTION("""COMPUTED_VALUE"""),0.0)</f>
        <v>0</v>
      </c>
      <c r="F3100" s="139" t="str">
        <f>IFERROR(__xludf.DUMMYFUNCTION("""COMPUTED_VALUE"""),"Normal")</f>
        <v>Normal</v>
      </c>
      <c r="G3100" s="139"/>
      <c r="H3100" s="139"/>
      <c r="I3100" s="139">
        <f>IFERROR(__xludf.DUMMYFUNCTION("""COMPUTED_VALUE"""),75.0)</f>
        <v>75</v>
      </c>
      <c r="J3100" s="139">
        <f>IFERROR(__xludf.DUMMYFUNCTION("""COMPUTED_VALUE"""),27.0)</f>
        <v>27</v>
      </c>
      <c r="K3100" s="139">
        <f>IFERROR(__xludf.DUMMYFUNCTION("""COMPUTED_VALUE"""),100.0)</f>
        <v>100</v>
      </c>
      <c r="L3100" s="139"/>
      <c r="M3100" s="139"/>
      <c r="N3100" s="139"/>
    </row>
    <row r="3101">
      <c r="A3101" s="139" t="str">
        <f>IFERROR(__xludf.DUMMYFUNCTION("""COMPUTED_VALUE"""),"e")</f>
        <v>e</v>
      </c>
      <c r="B3101" s="139">
        <f>IFERROR(__xludf.DUMMYFUNCTION("""COMPUTED_VALUE"""),2.02603025E8)</f>
        <v>202603025</v>
      </c>
      <c r="C3101" s="139" t="str">
        <f>IFERROR(__xludf.DUMMYFUNCTION("""COMPUTED_VALUE"""),"c_kai_00002_l05anniv_advent_Boss_Colorless_Special_00001")</f>
        <v>c_kai_00002_l05anniv_advent_Boss_Colorless_Special_00001</v>
      </c>
      <c r="D3101" s="139" t="str">
        <f>IFERROR(__xludf.DUMMYFUNCTION("""COMPUTED_VALUE"""),"c_kai_00002_l05anniv_advent_Boss_Colorless")</f>
        <v>c_kai_00002_l05anniv_advent_Boss_Colorless</v>
      </c>
      <c r="E3101" s="139">
        <f>IFERROR(__xludf.DUMMYFUNCTION("""COMPUTED_VALUE"""),0.0)</f>
        <v>0</v>
      </c>
      <c r="F3101" s="139" t="str">
        <f>IFERROR(__xludf.DUMMYFUNCTION("""COMPUTED_VALUE"""),"Special")</f>
        <v>Special</v>
      </c>
      <c r="G3101" s="139"/>
      <c r="H3101" s="139"/>
      <c r="I3101" s="139">
        <f>IFERROR(__xludf.DUMMYFUNCTION("""COMPUTED_VALUE"""),120.0)</f>
        <v>120</v>
      </c>
      <c r="J3101" s="139">
        <f>IFERROR(__xludf.DUMMYFUNCTION("""COMPUTED_VALUE"""),0.0)</f>
        <v>0</v>
      </c>
      <c r="K3101" s="139">
        <f>IFERROR(__xludf.DUMMYFUNCTION("""COMPUTED_VALUE"""),0.0)</f>
        <v>0</v>
      </c>
      <c r="L3101" s="139"/>
      <c r="M3101" s="139"/>
      <c r="N3101" s="139"/>
    </row>
    <row r="3102">
      <c r="A3102" s="139" t="str">
        <f>IFERROR(__xludf.DUMMYFUNCTION("""COMPUTED_VALUE"""),"e")</f>
        <v>e</v>
      </c>
      <c r="B3102" s="139">
        <f>IFERROR(__xludf.DUMMYFUNCTION("""COMPUTED_VALUE"""),2.02603025E8)</f>
        <v>202603025</v>
      </c>
      <c r="C3102" s="139" t="str">
        <f>IFERROR(__xludf.DUMMYFUNCTION("""COMPUTED_VALUE"""),"c_kai_00002_l05anniv_advent_Boss_Colorless_Appearance_00002")</f>
        <v>c_kai_00002_l05anniv_advent_Boss_Colorless_Appearance_00002</v>
      </c>
      <c r="D3102" s="139" t="str">
        <f>IFERROR(__xludf.DUMMYFUNCTION("""COMPUTED_VALUE"""),"c_kai_00002_l05anniv_advent_Boss_Colorless")</f>
        <v>c_kai_00002_l05anniv_advent_Boss_Colorless</v>
      </c>
      <c r="E3102" s="139">
        <f>IFERROR(__xludf.DUMMYFUNCTION("""COMPUTED_VALUE"""),0.0)</f>
        <v>0</v>
      </c>
      <c r="F3102" s="139" t="str">
        <f>IFERROR(__xludf.DUMMYFUNCTION("""COMPUTED_VALUE"""),"Appearance")</f>
        <v>Appearance</v>
      </c>
      <c r="G3102" s="139"/>
      <c r="H3102" s="139"/>
      <c r="I3102" s="139">
        <f>IFERROR(__xludf.DUMMYFUNCTION("""COMPUTED_VALUE"""),50.0)</f>
        <v>50</v>
      </c>
      <c r="J3102" s="139">
        <f>IFERROR(__xludf.DUMMYFUNCTION("""COMPUTED_VALUE"""),0.0)</f>
        <v>0</v>
      </c>
      <c r="K3102" s="139">
        <f>IFERROR(__xludf.DUMMYFUNCTION("""COMPUTED_VALUE"""),0.0)</f>
        <v>0</v>
      </c>
      <c r="L3102" s="139"/>
      <c r="M3102" s="139"/>
      <c r="N3102" s="139"/>
    </row>
    <row r="3103">
      <c r="A3103" s="139" t="str">
        <f>IFERROR(__xludf.DUMMYFUNCTION("""COMPUTED_VALUE"""),"e")</f>
        <v>e</v>
      </c>
      <c r="B3103" s="139">
        <f>IFERROR(__xludf.DUMMYFUNCTION("""COMPUTED_VALUE"""),2.02603025E8)</f>
        <v>202603025</v>
      </c>
      <c r="C3103" s="139" t="str">
        <f>IFERROR(__xludf.DUMMYFUNCTION("""COMPUTED_VALUE"""),"c_kai_00701_l05anniv_advent_Boss_Blue_Normal_00000")</f>
        <v>c_kai_00701_l05anniv_advent_Boss_Blue_Normal_00000</v>
      </c>
      <c r="D3103" s="139" t="str">
        <f>IFERROR(__xludf.DUMMYFUNCTION("""COMPUTED_VALUE"""),"c_kai_00701_l05anniv_advent_Boss_Blue")</f>
        <v>c_kai_00701_l05anniv_advent_Boss_Blue</v>
      </c>
      <c r="E3103" s="139">
        <f>IFERROR(__xludf.DUMMYFUNCTION("""COMPUTED_VALUE"""),0.0)</f>
        <v>0</v>
      </c>
      <c r="F3103" s="139" t="str">
        <f>IFERROR(__xludf.DUMMYFUNCTION("""COMPUTED_VALUE"""),"Normal")</f>
        <v>Normal</v>
      </c>
      <c r="G3103" s="139"/>
      <c r="H3103" s="139"/>
      <c r="I3103" s="139">
        <f>IFERROR(__xludf.DUMMYFUNCTION("""COMPUTED_VALUE"""),65.0)</f>
        <v>65</v>
      </c>
      <c r="J3103" s="139">
        <f>IFERROR(__xludf.DUMMYFUNCTION("""COMPUTED_VALUE"""),7.0)</f>
        <v>7</v>
      </c>
      <c r="K3103" s="139">
        <f>IFERROR(__xludf.DUMMYFUNCTION("""COMPUTED_VALUE"""),60.0)</f>
        <v>60</v>
      </c>
      <c r="L3103" s="139"/>
      <c r="M3103" s="139"/>
      <c r="N3103" s="139"/>
    </row>
    <row r="3104">
      <c r="A3104" s="139" t="str">
        <f>IFERROR(__xludf.DUMMYFUNCTION("""COMPUTED_VALUE"""),"e")</f>
        <v>e</v>
      </c>
      <c r="B3104" s="139">
        <f>IFERROR(__xludf.DUMMYFUNCTION("""COMPUTED_VALUE"""),2.02603025E8)</f>
        <v>202603025</v>
      </c>
      <c r="C3104" s="139" t="str">
        <f>IFERROR(__xludf.DUMMYFUNCTION("""COMPUTED_VALUE"""),"c_kai_00701_l05anniv_advent_Boss_Blue_Special_00001")</f>
        <v>c_kai_00701_l05anniv_advent_Boss_Blue_Special_00001</v>
      </c>
      <c r="D3104" s="139" t="str">
        <f>IFERROR(__xludf.DUMMYFUNCTION("""COMPUTED_VALUE"""),"c_kai_00701_l05anniv_advent_Boss_Blue")</f>
        <v>c_kai_00701_l05anniv_advent_Boss_Blue</v>
      </c>
      <c r="E3104" s="139">
        <f>IFERROR(__xludf.DUMMYFUNCTION("""COMPUTED_VALUE"""),0.0)</f>
        <v>0</v>
      </c>
      <c r="F3104" s="139" t="str">
        <f>IFERROR(__xludf.DUMMYFUNCTION("""COMPUTED_VALUE"""),"Special")</f>
        <v>Special</v>
      </c>
      <c r="G3104" s="139"/>
      <c r="H3104" s="139"/>
      <c r="I3104" s="139">
        <f>IFERROR(__xludf.DUMMYFUNCTION("""COMPUTED_VALUE"""),144.0)</f>
        <v>144</v>
      </c>
      <c r="J3104" s="139">
        <f>IFERROR(__xludf.DUMMYFUNCTION("""COMPUTED_VALUE"""),60.0)</f>
        <v>60</v>
      </c>
      <c r="K3104" s="139">
        <f>IFERROR(__xludf.DUMMYFUNCTION("""COMPUTED_VALUE"""),0.0)</f>
        <v>0</v>
      </c>
      <c r="L3104" s="139"/>
      <c r="M3104" s="139"/>
      <c r="N3104" s="139"/>
    </row>
    <row r="3105">
      <c r="A3105" s="139" t="str">
        <f>IFERROR(__xludf.DUMMYFUNCTION("""COMPUTED_VALUE"""),"e")</f>
        <v>e</v>
      </c>
      <c r="B3105" s="139">
        <f>IFERROR(__xludf.DUMMYFUNCTION("""COMPUTED_VALUE"""),2.02603025E8)</f>
        <v>202603025</v>
      </c>
      <c r="C3105" s="139" t="str">
        <f>IFERROR(__xludf.DUMMYFUNCTION("""COMPUTED_VALUE"""),"c_kai_00701_l05anniv_advent_Boss_Blue_Appearance_00002")</f>
        <v>c_kai_00701_l05anniv_advent_Boss_Blue_Appearance_00002</v>
      </c>
      <c r="D3105" s="139" t="str">
        <f>IFERROR(__xludf.DUMMYFUNCTION("""COMPUTED_VALUE"""),"c_kai_00701_l05anniv_advent_Boss_Blue")</f>
        <v>c_kai_00701_l05anniv_advent_Boss_Blue</v>
      </c>
      <c r="E3105" s="139">
        <f>IFERROR(__xludf.DUMMYFUNCTION("""COMPUTED_VALUE"""),0.0)</f>
        <v>0</v>
      </c>
      <c r="F3105" s="139" t="str">
        <f>IFERROR(__xludf.DUMMYFUNCTION("""COMPUTED_VALUE"""),"Appearance")</f>
        <v>Appearance</v>
      </c>
      <c r="G3105" s="139"/>
      <c r="H3105" s="139"/>
      <c r="I3105" s="139">
        <f>IFERROR(__xludf.DUMMYFUNCTION("""COMPUTED_VALUE"""),50.0)</f>
        <v>50</v>
      </c>
      <c r="J3105" s="139">
        <f>IFERROR(__xludf.DUMMYFUNCTION("""COMPUTED_VALUE"""),0.0)</f>
        <v>0</v>
      </c>
      <c r="K3105" s="139">
        <f>IFERROR(__xludf.DUMMYFUNCTION("""COMPUTED_VALUE"""),0.0)</f>
        <v>0</v>
      </c>
      <c r="L3105" s="139"/>
      <c r="M3105" s="139"/>
      <c r="N3105" s="139"/>
    </row>
    <row r="3106">
      <c r="A3106" s="139" t="str">
        <f>IFERROR(__xludf.DUMMYFUNCTION("""COMPUTED_VALUE"""),"e")</f>
        <v>e</v>
      </c>
      <c r="B3106" s="139">
        <f>IFERROR(__xludf.DUMMYFUNCTION("""COMPUTED_VALUE"""),2.02603025E8)</f>
        <v>202603025</v>
      </c>
      <c r="C3106" s="139" t="str">
        <f>IFERROR(__xludf.DUMMYFUNCTION("""COMPUTED_VALUE"""),"e_kai_00301_l05anniv_advent_Normal_Blue_Normal_00000")</f>
        <v>e_kai_00301_l05anniv_advent_Normal_Blue_Normal_00000</v>
      </c>
      <c r="D3106" s="139" t="str">
        <f>IFERROR(__xludf.DUMMYFUNCTION("""COMPUTED_VALUE"""),"e_kai_00301_l05anniv_advent_Normal_Blue")</f>
        <v>e_kai_00301_l05anniv_advent_Normal_Blue</v>
      </c>
      <c r="E3106" s="139">
        <f>IFERROR(__xludf.DUMMYFUNCTION("""COMPUTED_VALUE"""),0.0)</f>
        <v>0</v>
      </c>
      <c r="F3106" s="139" t="str">
        <f>IFERROR(__xludf.DUMMYFUNCTION("""COMPUTED_VALUE"""),"Normal")</f>
        <v>Normal</v>
      </c>
      <c r="G3106" s="139"/>
      <c r="H3106" s="139"/>
      <c r="I3106" s="139">
        <f>IFERROR(__xludf.DUMMYFUNCTION("""COMPUTED_VALUE"""),120.0)</f>
        <v>120</v>
      </c>
      <c r="J3106" s="139">
        <f>IFERROR(__xludf.DUMMYFUNCTION("""COMPUTED_VALUE"""),35.0)</f>
        <v>35</v>
      </c>
      <c r="K3106" s="139">
        <f>IFERROR(__xludf.DUMMYFUNCTION("""COMPUTED_VALUE"""),100.0)</f>
        <v>100</v>
      </c>
      <c r="L3106" s="139"/>
      <c r="M3106" s="139"/>
      <c r="N3106" s="139"/>
    </row>
    <row r="3107">
      <c r="A3107" s="139" t="str">
        <f>IFERROR(__xludf.DUMMYFUNCTION("""COMPUTED_VALUE"""),"e")</f>
        <v>e</v>
      </c>
      <c r="B3107" s="139">
        <f>IFERROR(__xludf.DUMMYFUNCTION("""COMPUTED_VALUE"""),2.02603025E8)</f>
        <v>202603025</v>
      </c>
      <c r="C3107" s="139" t="str">
        <f>IFERROR(__xludf.DUMMYFUNCTION("""COMPUTED_VALUE"""),"e_kai_00201_l05anniv_advent_Boss_Blue_Normal_00000")</f>
        <v>e_kai_00201_l05anniv_advent_Boss_Blue_Normal_00000</v>
      </c>
      <c r="D3107" s="139" t="str">
        <f>IFERROR(__xludf.DUMMYFUNCTION("""COMPUTED_VALUE"""),"e_kai_00201_l05anniv_advent_Boss_Blue")</f>
        <v>e_kai_00201_l05anniv_advent_Boss_Blue</v>
      </c>
      <c r="E3107" s="139">
        <f>IFERROR(__xludf.DUMMYFUNCTION("""COMPUTED_VALUE"""),0.0)</f>
        <v>0</v>
      </c>
      <c r="F3107" s="139" t="str">
        <f>IFERROR(__xludf.DUMMYFUNCTION("""COMPUTED_VALUE"""),"Normal")</f>
        <v>Normal</v>
      </c>
      <c r="G3107" s="139"/>
      <c r="H3107" s="139"/>
      <c r="I3107" s="139">
        <f>IFERROR(__xludf.DUMMYFUNCTION("""COMPUTED_VALUE"""),124.0)</f>
        <v>124</v>
      </c>
      <c r="J3107" s="139">
        <f>IFERROR(__xludf.DUMMYFUNCTION("""COMPUTED_VALUE"""),63.0)</f>
        <v>63</v>
      </c>
      <c r="K3107" s="139">
        <f>IFERROR(__xludf.DUMMYFUNCTION("""COMPUTED_VALUE"""),125.0)</f>
        <v>125</v>
      </c>
      <c r="L3107" s="139"/>
      <c r="M3107" s="139"/>
      <c r="N3107" s="139"/>
    </row>
    <row r="3108">
      <c r="A3108" s="139" t="str">
        <f>IFERROR(__xludf.DUMMYFUNCTION("""COMPUTED_VALUE"""),"e")</f>
        <v>e</v>
      </c>
      <c r="B3108" s="139">
        <f>IFERROR(__xludf.DUMMYFUNCTION("""COMPUTED_VALUE"""),2.02603025E8)</f>
        <v>202603025</v>
      </c>
      <c r="C3108" s="139" t="str">
        <f>IFERROR(__xludf.DUMMYFUNCTION("""COMPUTED_VALUE"""),"e_kai_00201_l05anniv_advent_Boss_Blue_Appearance_00001")</f>
        <v>e_kai_00201_l05anniv_advent_Boss_Blue_Appearance_00001</v>
      </c>
      <c r="D3108" s="139" t="str">
        <f>IFERROR(__xludf.DUMMYFUNCTION("""COMPUTED_VALUE"""),"e_kai_00201_l05anniv_advent_Boss_Blue")</f>
        <v>e_kai_00201_l05anniv_advent_Boss_Blue</v>
      </c>
      <c r="E3108" s="139">
        <f>IFERROR(__xludf.DUMMYFUNCTION("""COMPUTED_VALUE"""),0.0)</f>
        <v>0</v>
      </c>
      <c r="F3108" s="139" t="str">
        <f>IFERROR(__xludf.DUMMYFUNCTION("""COMPUTED_VALUE"""),"Appearance")</f>
        <v>Appearance</v>
      </c>
      <c r="G3108" s="139"/>
      <c r="H3108" s="139"/>
      <c r="I3108" s="139">
        <f>IFERROR(__xludf.DUMMYFUNCTION("""COMPUTED_VALUE"""),50.0)</f>
        <v>50</v>
      </c>
      <c r="J3108" s="139">
        <f>IFERROR(__xludf.DUMMYFUNCTION("""COMPUTED_VALUE"""),0.0)</f>
        <v>0</v>
      </c>
      <c r="K3108" s="139">
        <f>IFERROR(__xludf.DUMMYFUNCTION("""COMPUTED_VALUE"""),0.0)</f>
        <v>0</v>
      </c>
      <c r="L3108" s="139"/>
      <c r="M3108" s="139"/>
      <c r="N3108" s="139"/>
    </row>
    <row r="3109">
      <c r="A3109" s="139" t="str">
        <f>IFERROR(__xludf.DUMMYFUNCTION("""COMPUTED_VALUE"""),"e")</f>
        <v>e</v>
      </c>
      <c r="B3109" s="139">
        <f>IFERROR(__xludf.DUMMYFUNCTION("""COMPUTED_VALUE"""),2.02603025E8)</f>
        <v>202603025</v>
      </c>
      <c r="C3109" s="139" t="str">
        <f>IFERROR(__xludf.DUMMYFUNCTION("""COMPUTED_VALUE"""),"c_kai_00201_l05anniv_advent_Boss_Blue_Normal_00000")</f>
        <v>c_kai_00201_l05anniv_advent_Boss_Blue_Normal_00000</v>
      </c>
      <c r="D3109" s="139" t="str">
        <f>IFERROR(__xludf.DUMMYFUNCTION("""COMPUTED_VALUE"""),"c_kai_00201_l05anniv_advent_Boss_Blue")</f>
        <v>c_kai_00201_l05anniv_advent_Boss_Blue</v>
      </c>
      <c r="E3109" s="139">
        <f>IFERROR(__xludf.DUMMYFUNCTION("""COMPUTED_VALUE"""),0.0)</f>
        <v>0</v>
      </c>
      <c r="F3109" s="139" t="str">
        <f>IFERROR(__xludf.DUMMYFUNCTION("""COMPUTED_VALUE"""),"Normal")</f>
        <v>Normal</v>
      </c>
      <c r="G3109" s="139"/>
      <c r="H3109" s="139"/>
      <c r="I3109" s="139">
        <f>IFERROR(__xludf.DUMMYFUNCTION("""COMPUTED_VALUE"""),75.0)</f>
        <v>75</v>
      </c>
      <c r="J3109" s="139">
        <f>IFERROR(__xludf.DUMMYFUNCTION("""COMPUTED_VALUE"""),38.0)</f>
        <v>38</v>
      </c>
      <c r="K3109" s="139">
        <f>IFERROR(__xludf.DUMMYFUNCTION("""COMPUTED_VALUE"""),100.0)</f>
        <v>100</v>
      </c>
      <c r="L3109" s="139"/>
      <c r="M3109" s="139"/>
      <c r="N3109" s="139"/>
    </row>
    <row r="3110">
      <c r="A3110" s="139" t="str">
        <f>IFERROR(__xludf.DUMMYFUNCTION("""COMPUTED_VALUE"""),"e")</f>
        <v>e</v>
      </c>
      <c r="B3110" s="139">
        <f>IFERROR(__xludf.DUMMYFUNCTION("""COMPUTED_VALUE"""),2.02603025E8)</f>
        <v>202603025</v>
      </c>
      <c r="C3110" s="139" t="str">
        <f>IFERROR(__xludf.DUMMYFUNCTION("""COMPUTED_VALUE"""),"c_kai_00201_l05anniv_advent_Boss_Blue_Special_00001")</f>
        <v>c_kai_00201_l05anniv_advent_Boss_Blue_Special_00001</v>
      </c>
      <c r="D3110" s="139" t="str">
        <f>IFERROR(__xludf.DUMMYFUNCTION("""COMPUTED_VALUE"""),"c_kai_00201_l05anniv_advent_Boss_Blue")</f>
        <v>c_kai_00201_l05anniv_advent_Boss_Blue</v>
      </c>
      <c r="E3110" s="139">
        <f>IFERROR(__xludf.DUMMYFUNCTION("""COMPUTED_VALUE"""),0.0)</f>
        <v>0</v>
      </c>
      <c r="F3110" s="139" t="str">
        <f>IFERROR(__xludf.DUMMYFUNCTION("""COMPUTED_VALUE"""),"Special")</f>
        <v>Special</v>
      </c>
      <c r="G3110" s="139"/>
      <c r="H3110" s="139"/>
      <c r="I3110" s="139">
        <f>IFERROR(__xludf.DUMMYFUNCTION("""COMPUTED_VALUE"""),221.0)</f>
        <v>221</v>
      </c>
      <c r="J3110" s="139">
        <f>IFERROR(__xludf.DUMMYFUNCTION("""COMPUTED_VALUE"""),0.0)</f>
        <v>0</v>
      </c>
      <c r="K3110" s="139">
        <f>IFERROR(__xludf.DUMMYFUNCTION("""COMPUTED_VALUE"""),0.0)</f>
        <v>0</v>
      </c>
      <c r="L3110" s="139"/>
      <c r="M3110" s="139"/>
      <c r="N3110" s="139"/>
    </row>
    <row r="3111">
      <c r="A3111" s="139" t="str">
        <f>IFERROR(__xludf.DUMMYFUNCTION("""COMPUTED_VALUE"""),"e")</f>
        <v>e</v>
      </c>
      <c r="B3111" s="139">
        <f>IFERROR(__xludf.DUMMYFUNCTION("""COMPUTED_VALUE"""),2.02603025E8)</f>
        <v>202603025</v>
      </c>
      <c r="C3111" s="139" t="str">
        <f>IFERROR(__xludf.DUMMYFUNCTION("""COMPUTED_VALUE"""),"c_kai_00201_l05anniv_advent_Boss_Blue_Appearance_00002")</f>
        <v>c_kai_00201_l05anniv_advent_Boss_Blue_Appearance_00002</v>
      </c>
      <c r="D3111" s="139" t="str">
        <f>IFERROR(__xludf.DUMMYFUNCTION("""COMPUTED_VALUE"""),"c_kai_00201_l05anniv_advent_Boss_Blue")</f>
        <v>c_kai_00201_l05anniv_advent_Boss_Blue</v>
      </c>
      <c r="E3111" s="139">
        <f>IFERROR(__xludf.DUMMYFUNCTION("""COMPUTED_VALUE"""),0.0)</f>
        <v>0</v>
      </c>
      <c r="F3111" s="139" t="str">
        <f>IFERROR(__xludf.DUMMYFUNCTION("""COMPUTED_VALUE"""),"Appearance")</f>
        <v>Appearance</v>
      </c>
      <c r="G3111" s="139"/>
      <c r="H3111" s="139"/>
      <c r="I3111" s="139">
        <f>IFERROR(__xludf.DUMMYFUNCTION("""COMPUTED_VALUE"""),50.0)</f>
        <v>50</v>
      </c>
      <c r="J3111" s="139">
        <f>IFERROR(__xludf.DUMMYFUNCTION("""COMPUTED_VALUE"""),0.0)</f>
        <v>0</v>
      </c>
      <c r="K3111" s="139">
        <f>IFERROR(__xludf.DUMMYFUNCTION("""COMPUTED_VALUE"""),0.0)</f>
        <v>0</v>
      </c>
      <c r="L3111" s="139"/>
      <c r="M3111" s="139"/>
      <c r="N3111" s="139"/>
    </row>
    <row r="3112">
      <c r="A3112" s="139" t="str">
        <f>IFERROR(__xludf.DUMMYFUNCTION("""COMPUTED_VALUE"""),"e")</f>
        <v>e</v>
      </c>
      <c r="B3112" s="139">
        <f>IFERROR(__xludf.DUMMYFUNCTION("""COMPUTED_VALUE"""),2.02603025E8)</f>
        <v>202603025</v>
      </c>
      <c r="C3112" s="139" t="str">
        <f>IFERROR(__xludf.DUMMYFUNCTION("""COMPUTED_VALUE"""),"c_gom_00701_l05anniv_advent_Normal_Blue_Normal_00000")</f>
        <v>c_gom_00701_l05anniv_advent_Normal_Blue_Normal_00000</v>
      </c>
      <c r="D3112" s="139" t="str">
        <f>IFERROR(__xludf.DUMMYFUNCTION("""COMPUTED_VALUE"""),"c_gom_00701_l05anniv_advent_Normal_Blue")</f>
        <v>c_gom_00701_l05anniv_advent_Normal_Blue</v>
      </c>
      <c r="E3112" s="139">
        <f>IFERROR(__xludf.DUMMYFUNCTION("""COMPUTED_VALUE"""),0.0)</f>
        <v>0</v>
      </c>
      <c r="F3112" s="139" t="str">
        <f>IFERROR(__xludf.DUMMYFUNCTION("""COMPUTED_VALUE"""),"Normal")</f>
        <v>Normal</v>
      </c>
      <c r="G3112" s="139"/>
      <c r="H3112" s="139"/>
      <c r="I3112" s="139">
        <f>IFERROR(__xludf.DUMMYFUNCTION("""COMPUTED_VALUE"""),79.0)</f>
        <v>79</v>
      </c>
      <c r="J3112" s="139">
        <f>IFERROR(__xludf.DUMMYFUNCTION("""COMPUTED_VALUE"""),21.0)</f>
        <v>21</v>
      </c>
      <c r="K3112" s="139">
        <f>IFERROR(__xludf.DUMMYFUNCTION("""COMPUTED_VALUE"""),70.0)</f>
        <v>70</v>
      </c>
      <c r="L3112" s="139"/>
      <c r="M3112" s="139"/>
      <c r="N3112" s="139"/>
    </row>
    <row r="3113">
      <c r="A3113" s="139" t="str">
        <f>IFERROR(__xludf.DUMMYFUNCTION("""COMPUTED_VALUE"""),"e")</f>
        <v>e</v>
      </c>
      <c r="B3113" s="139">
        <f>IFERROR(__xludf.DUMMYFUNCTION("""COMPUTED_VALUE"""),2.02603025E8)</f>
        <v>202603025</v>
      </c>
      <c r="C3113" s="139" t="str">
        <f>IFERROR(__xludf.DUMMYFUNCTION("""COMPUTED_VALUE"""),"c_gom_00701_l05anniv_advent_Normal_Blue_Special_00001")</f>
        <v>c_gom_00701_l05anniv_advent_Normal_Blue_Special_00001</v>
      </c>
      <c r="D3113" s="139" t="str">
        <f>IFERROR(__xludf.DUMMYFUNCTION("""COMPUTED_VALUE"""),"c_gom_00701_l05anniv_advent_Normal_Blue")</f>
        <v>c_gom_00701_l05anniv_advent_Normal_Blue</v>
      </c>
      <c r="E3113" s="139">
        <f>IFERROR(__xludf.DUMMYFUNCTION("""COMPUTED_VALUE"""),0.0)</f>
        <v>0</v>
      </c>
      <c r="F3113" s="139" t="str">
        <f>IFERROR(__xludf.DUMMYFUNCTION("""COMPUTED_VALUE"""),"Special")</f>
        <v>Special</v>
      </c>
      <c r="G3113" s="139"/>
      <c r="H3113" s="139"/>
      <c r="I3113" s="139">
        <f>IFERROR(__xludf.DUMMYFUNCTION("""COMPUTED_VALUE"""),114.0)</f>
        <v>114</v>
      </c>
      <c r="J3113" s="139">
        <f>IFERROR(__xludf.DUMMYFUNCTION("""COMPUTED_VALUE"""),46.0)</f>
        <v>46</v>
      </c>
      <c r="K3113" s="139">
        <f>IFERROR(__xludf.DUMMYFUNCTION("""COMPUTED_VALUE"""),0.0)</f>
        <v>0</v>
      </c>
      <c r="L3113" s="139"/>
      <c r="M3113" s="139"/>
      <c r="N3113" s="139"/>
    </row>
    <row r="3114">
      <c r="A3114" s="139"/>
      <c r="B3114" s="139"/>
      <c r="C3114" s="139"/>
      <c r="D3114" s="139"/>
      <c r="E3114" s="139"/>
      <c r="F3114" s="139"/>
      <c r="G3114" s="139"/>
      <c r="H3114" s="139"/>
      <c r="I3114" s="139"/>
      <c r="J3114" s="139"/>
      <c r="K3114" s="139"/>
      <c r="L3114" s="139"/>
      <c r="M3114" s="139"/>
      <c r="N3114" s="139"/>
    </row>
    <row r="3115">
      <c r="A3115" s="139" t="str">
        <f>IFERROR(__xludf.DUMMYFUNCTION("""COMPUTED_VALUE"""),"e")</f>
        <v>e</v>
      </c>
      <c r="B3115" s="139">
        <f>IFERROR(__xludf.DUMMYFUNCTION("""COMPUTED_VALUE"""),2.0260302E8)</f>
        <v>202603020</v>
      </c>
      <c r="C3115" s="139" t="str">
        <f>IFERROR(__xludf.DUMMYFUNCTION("""COMPUTED_VALUE"""),"c_sur_00901_glo2_advent_Boss_Red_Normal_00000")</f>
        <v>c_sur_00901_glo2_advent_Boss_Red_Normal_00000</v>
      </c>
      <c r="D3115" s="139" t="str">
        <f>IFERROR(__xludf.DUMMYFUNCTION("""COMPUTED_VALUE"""),"c_sur_00901_glo2_advent_Boss_Red")</f>
        <v>c_sur_00901_glo2_advent_Boss_Red</v>
      </c>
      <c r="E3115" s="139">
        <f>IFERROR(__xludf.DUMMYFUNCTION("""COMPUTED_VALUE"""),0.0)</f>
        <v>0</v>
      </c>
      <c r="F3115" s="139" t="str">
        <f>IFERROR(__xludf.DUMMYFUNCTION("""COMPUTED_VALUE"""),"Normal")</f>
        <v>Normal</v>
      </c>
      <c r="G3115" s="139"/>
      <c r="H3115" s="139"/>
      <c r="I3115" s="139">
        <f>IFERROR(__xludf.DUMMYFUNCTION("""COMPUTED_VALUE"""),59.0)</f>
        <v>59</v>
      </c>
      <c r="J3115" s="139">
        <f>IFERROR(__xludf.DUMMYFUNCTION("""COMPUTED_VALUE"""),22.0)</f>
        <v>22</v>
      </c>
      <c r="K3115" s="139">
        <f>IFERROR(__xludf.DUMMYFUNCTION("""COMPUTED_VALUE"""),50.0)</f>
        <v>50</v>
      </c>
      <c r="L3115" s="139"/>
      <c r="M3115" s="139"/>
      <c r="N3115" s="139"/>
    </row>
    <row r="3116">
      <c r="A3116" s="139" t="str">
        <f>IFERROR(__xludf.DUMMYFUNCTION("""COMPUTED_VALUE"""),"e")</f>
        <v>e</v>
      </c>
      <c r="B3116" s="139">
        <f>IFERROR(__xludf.DUMMYFUNCTION("""COMPUTED_VALUE"""),2.0260302E8)</f>
        <v>202603020</v>
      </c>
      <c r="C3116" s="139" t="str">
        <f>IFERROR(__xludf.DUMMYFUNCTION("""COMPUTED_VALUE"""),"c_sur_00901_glo2_advent_Boss_Red_Special_00001")</f>
        <v>c_sur_00901_glo2_advent_Boss_Red_Special_00001</v>
      </c>
      <c r="D3116" s="139" t="str">
        <f>IFERROR(__xludf.DUMMYFUNCTION("""COMPUTED_VALUE"""),"c_sur_00901_glo2_advent_Boss_Red")</f>
        <v>c_sur_00901_glo2_advent_Boss_Red</v>
      </c>
      <c r="E3116" s="139">
        <f>IFERROR(__xludf.DUMMYFUNCTION("""COMPUTED_VALUE"""),0.0)</f>
        <v>0</v>
      </c>
      <c r="F3116" s="139" t="str">
        <f>IFERROR(__xludf.DUMMYFUNCTION("""COMPUTED_VALUE"""),"Special")</f>
        <v>Special</v>
      </c>
      <c r="G3116" s="139"/>
      <c r="H3116" s="139"/>
      <c r="I3116" s="139">
        <f>IFERROR(__xludf.DUMMYFUNCTION("""COMPUTED_VALUE"""),146.0)</f>
        <v>146</v>
      </c>
      <c r="J3116" s="139">
        <f>IFERROR(__xludf.DUMMYFUNCTION("""COMPUTED_VALUE"""),66.0)</f>
        <v>66</v>
      </c>
      <c r="K3116" s="139">
        <f>IFERROR(__xludf.DUMMYFUNCTION("""COMPUTED_VALUE"""),0.0)</f>
        <v>0</v>
      </c>
      <c r="L3116" s="139"/>
      <c r="M3116" s="139"/>
      <c r="N3116" s="139"/>
    </row>
    <row r="3117">
      <c r="A3117" s="139" t="str">
        <f>IFERROR(__xludf.DUMMYFUNCTION("""COMPUTED_VALUE"""),"e")</f>
        <v>e</v>
      </c>
      <c r="B3117" s="139">
        <f>IFERROR(__xludf.DUMMYFUNCTION("""COMPUTED_VALUE"""),2.0260302E8)</f>
        <v>202603020</v>
      </c>
      <c r="C3117" s="139" t="str">
        <f>IFERROR(__xludf.DUMMYFUNCTION("""COMPUTED_VALUE"""),"c_sur_00901_glo2_advent_Boss_Red_Appearance_00002")</f>
        <v>c_sur_00901_glo2_advent_Boss_Red_Appearance_00002</v>
      </c>
      <c r="D3117" s="139" t="str">
        <f>IFERROR(__xludf.DUMMYFUNCTION("""COMPUTED_VALUE"""),"c_sur_00901_glo2_advent_Boss_Red")</f>
        <v>c_sur_00901_glo2_advent_Boss_Red</v>
      </c>
      <c r="E3117" s="139">
        <f>IFERROR(__xludf.DUMMYFUNCTION("""COMPUTED_VALUE"""),0.0)</f>
        <v>0</v>
      </c>
      <c r="F3117" s="139" t="str">
        <f>IFERROR(__xludf.DUMMYFUNCTION("""COMPUTED_VALUE"""),"Appearance")</f>
        <v>Appearance</v>
      </c>
      <c r="G3117" s="139"/>
      <c r="H3117" s="139"/>
      <c r="I3117" s="139">
        <f>IFERROR(__xludf.DUMMYFUNCTION("""COMPUTED_VALUE"""),50.0)</f>
        <v>50</v>
      </c>
      <c r="J3117" s="139">
        <f>IFERROR(__xludf.DUMMYFUNCTION("""COMPUTED_VALUE"""),0.0)</f>
        <v>0</v>
      </c>
      <c r="K3117" s="139">
        <f>IFERROR(__xludf.DUMMYFUNCTION("""COMPUTED_VALUE"""),0.0)</f>
        <v>0</v>
      </c>
      <c r="L3117" s="139"/>
      <c r="M3117" s="139"/>
      <c r="N3117" s="139"/>
    </row>
    <row r="3118">
      <c r="A3118" s="139" t="str">
        <f>IFERROR(__xludf.DUMMYFUNCTION("""COMPUTED_VALUE"""),"e")</f>
        <v>e</v>
      </c>
      <c r="B3118" s="139">
        <f>IFERROR(__xludf.DUMMYFUNCTION("""COMPUTED_VALUE"""),2.0260302E8)</f>
        <v>202603020</v>
      </c>
      <c r="C3118" s="139" t="str">
        <f>IFERROR(__xludf.DUMMYFUNCTION("""COMPUTED_VALUE"""),"c_sur_00901_glo2_advent_Boss_Colorless_Normal_00000")</f>
        <v>c_sur_00901_glo2_advent_Boss_Colorless_Normal_00000</v>
      </c>
      <c r="D3118" s="139" t="str">
        <f>IFERROR(__xludf.DUMMYFUNCTION("""COMPUTED_VALUE"""),"c_sur_00901_glo2_advent_Boss_Colorless")</f>
        <v>c_sur_00901_glo2_advent_Boss_Colorless</v>
      </c>
      <c r="E3118" s="139">
        <f>IFERROR(__xludf.DUMMYFUNCTION("""COMPUTED_VALUE"""),0.0)</f>
        <v>0</v>
      </c>
      <c r="F3118" s="139" t="str">
        <f>IFERROR(__xludf.DUMMYFUNCTION("""COMPUTED_VALUE"""),"Normal")</f>
        <v>Normal</v>
      </c>
      <c r="G3118" s="139"/>
      <c r="H3118" s="139"/>
      <c r="I3118" s="139">
        <f>IFERROR(__xludf.DUMMYFUNCTION("""COMPUTED_VALUE"""),59.0)</f>
        <v>59</v>
      </c>
      <c r="J3118" s="139">
        <f>IFERROR(__xludf.DUMMYFUNCTION("""COMPUTED_VALUE"""),22.0)</f>
        <v>22</v>
      </c>
      <c r="K3118" s="139">
        <f>IFERROR(__xludf.DUMMYFUNCTION("""COMPUTED_VALUE"""),50.0)</f>
        <v>50</v>
      </c>
      <c r="L3118" s="139"/>
      <c r="M3118" s="139"/>
      <c r="N3118" s="139"/>
    </row>
    <row r="3119">
      <c r="A3119" s="139" t="str">
        <f>IFERROR(__xludf.DUMMYFUNCTION("""COMPUTED_VALUE"""),"e")</f>
        <v>e</v>
      </c>
      <c r="B3119" s="139">
        <f>IFERROR(__xludf.DUMMYFUNCTION("""COMPUTED_VALUE"""),2.0260302E8)</f>
        <v>202603020</v>
      </c>
      <c r="C3119" s="139" t="str">
        <f>IFERROR(__xludf.DUMMYFUNCTION("""COMPUTED_VALUE"""),"c_sur_00901_glo2_advent_Boss_Colorless_Special_00001")</f>
        <v>c_sur_00901_glo2_advent_Boss_Colorless_Special_00001</v>
      </c>
      <c r="D3119" s="139" t="str">
        <f>IFERROR(__xludf.DUMMYFUNCTION("""COMPUTED_VALUE"""),"c_sur_00901_glo2_advent_Boss_Colorless")</f>
        <v>c_sur_00901_glo2_advent_Boss_Colorless</v>
      </c>
      <c r="E3119" s="139">
        <f>IFERROR(__xludf.DUMMYFUNCTION("""COMPUTED_VALUE"""),0.0)</f>
        <v>0</v>
      </c>
      <c r="F3119" s="139" t="str">
        <f>IFERROR(__xludf.DUMMYFUNCTION("""COMPUTED_VALUE"""),"Special")</f>
        <v>Special</v>
      </c>
      <c r="G3119" s="139"/>
      <c r="H3119" s="139"/>
      <c r="I3119" s="139">
        <f>IFERROR(__xludf.DUMMYFUNCTION("""COMPUTED_VALUE"""),146.0)</f>
        <v>146</v>
      </c>
      <c r="J3119" s="139">
        <f>IFERROR(__xludf.DUMMYFUNCTION("""COMPUTED_VALUE"""),66.0)</f>
        <v>66</v>
      </c>
      <c r="K3119" s="139">
        <f>IFERROR(__xludf.DUMMYFUNCTION("""COMPUTED_VALUE"""),0.0)</f>
        <v>0</v>
      </c>
      <c r="L3119" s="139"/>
      <c r="M3119" s="139"/>
      <c r="N3119" s="139"/>
    </row>
    <row r="3120">
      <c r="A3120" s="139" t="str">
        <f>IFERROR(__xludf.DUMMYFUNCTION("""COMPUTED_VALUE"""),"e")</f>
        <v>e</v>
      </c>
      <c r="B3120" s="139">
        <f>IFERROR(__xludf.DUMMYFUNCTION("""COMPUTED_VALUE"""),2.0260302E8)</f>
        <v>202603020</v>
      </c>
      <c r="C3120" s="139" t="str">
        <f>IFERROR(__xludf.DUMMYFUNCTION("""COMPUTED_VALUE"""),"c_sur_00901_glo2_advent_Boss_Colorless_Appearance_00002")</f>
        <v>c_sur_00901_glo2_advent_Boss_Colorless_Appearance_00002</v>
      </c>
      <c r="D3120" s="139" t="str">
        <f>IFERROR(__xludf.DUMMYFUNCTION("""COMPUTED_VALUE"""),"c_sur_00901_glo2_advent_Boss_Colorless")</f>
        <v>c_sur_00901_glo2_advent_Boss_Colorless</v>
      </c>
      <c r="E3120" s="139">
        <f>IFERROR(__xludf.DUMMYFUNCTION("""COMPUTED_VALUE"""),0.0)</f>
        <v>0</v>
      </c>
      <c r="F3120" s="139" t="str">
        <f>IFERROR(__xludf.DUMMYFUNCTION("""COMPUTED_VALUE"""),"Appearance")</f>
        <v>Appearance</v>
      </c>
      <c r="G3120" s="139"/>
      <c r="H3120" s="139"/>
      <c r="I3120" s="139">
        <f>IFERROR(__xludf.DUMMYFUNCTION("""COMPUTED_VALUE"""),50.0)</f>
        <v>50</v>
      </c>
      <c r="J3120" s="139">
        <f>IFERROR(__xludf.DUMMYFUNCTION("""COMPUTED_VALUE"""),0.0)</f>
        <v>0</v>
      </c>
      <c r="K3120" s="139">
        <f>IFERROR(__xludf.DUMMYFUNCTION("""COMPUTED_VALUE"""),0.0)</f>
        <v>0</v>
      </c>
      <c r="L3120" s="139"/>
      <c r="M3120" s="139"/>
      <c r="N3120" s="139"/>
    </row>
    <row r="3121">
      <c r="A3121" s="139" t="str">
        <f>IFERROR(__xludf.DUMMYFUNCTION("""COMPUTED_VALUE"""),"e")</f>
        <v>e</v>
      </c>
      <c r="B3121" s="139">
        <f>IFERROR(__xludf.DUMMYFUNCTION("""COMPUTED_VALUE"""),2.0260302E8)</f>
        <v>202603020</v>
      </c>
      <c r="C3121" s="139" t="str">
        <f>IFERROR(__xludf.DUMMYFUNCTION("""COMPUTED_VALUE"""),"c_kai_00102_glo2_advent_Boss_Colorless_Normal_00000")</f>
        <v>c_kai_00102_glo2_advent_Boss_Colorless_Normal_00000</v>
      </c>
      <c r="D3121" s="139" t="str">
        <f>IFERROR(__xludf.DUMMYFUNCTION("""COMPUTED_VALUE"""),"c_kai_00102_glo2_advent_Boss_Colorless")</f>
        <v>c_kai_00102_glo2_advent_Boss_Colorless</v>
      </c>
      <c r="E3121" s="139">
        <f>IFERROR(__xludf.DUMMYFUNCTION("""COMPUTED_VALUE"""),0.0)</f>
        <v>0</v>
      </c>
      <c r="F3121" s="139" t="str">
        <f>IFERROR(__xludf.DUMMYFUNCTION("""COMPUTED_VALUE"""),"Normal")</f>
        <v>Normal</v>
      </c>
      <c r="G3121" s="139"/>
      <c r="H3121" s="139"/>
      <c r="I3121" s="139">
        <f>IFERROR(__xludf.DUMMYFUNCTION("""COMPUTED_VALUE"""),89.0)</f>
        <v>89</v>
      </c>
      <c r="J3121" s="139">
        <f>IFERROR(__xludf.DUMMYFUNCTION("""COMPUTED_VALUE"""),0.0)</f>
        <v>0</v>
      </c>
      <c r="K3121" s="139">
        <f>IFERROR(__xludf.DUMMYFUNCTION("""COMPUTED_VALUE"""),150.0)</f>
        <v>150</v>
      </c>
      <c r="L3121" s="139"/>
      <c r="M3121" s="139"/>
      <c r="N3121" s="139"/>
    </row>
    <row r="3122">
      <c r="A3122" s="139" t="str">
        <f>IFERROR(__xludf.DUMMYFUNCTION("""COMPUTED_VALUE"""),"e")</f>
        <v>e</v>
      </c>
      <c r="B3122" s="139">
        <f>IFERROR(__xludf.DUMMYFUNCTION("""COMPUTED_VALUE"""),2.0260302E8)</f>
        <v>202603020</v>
      </c>
      <c r="C3122" s="139" t="str">
        <f>IFERROR(__xludf.DUMMYFUNCTION("""COMPUTED_VALUE"""),"c_kai_00102_glo2_advent_Boss_Colorless_Special_00001")</f>
        <v>c_kai_00102_glo2_advent_Boss_Colorless_Special_00001</v>
      </c>
      <c r="D3122" s="139" t="str">
        <f>IFERROR(__xludf.DUMMYFUNCTION("""COMPUTED_VALUE"""),"c_kai_00102_glo2_advent_Boss_Colorless")</f>
        <v>c_kai_00102_glo2_advent_Boss_Colorless</v>
      </c>
      <c r="E3122" s="139">
        <f>IFERROR(__xludf.DUMMYFUNCTION("""COMPUTED_VALUE"""),0.0)</f>
        <v>0</v>
      </c>
      <c r="F3122" s="139" t="str">
        <f>IFERROR(__xludf.DUMMYFUNCTION("""COMPUTED_VALUE"""),"Special")</f>
        <v>Special</v>
      </c>
      <c r="G3122" s="139"/>
      <c r="H3122" s="139"/>
      <c r="I3122" s="139">
        <f>IFERROR(__xludf.DUMMYFUNCTION("""COMPUTED_VALUE"""),159.0)</f>
        <v>159</v>
      </c>
      <c r="J3122" s="139">
        <f>IFERROR(__xludf.DUMMYFUNCTION("""COMPUTED_VALUE"""),77.0)</f>
        <v>77</v>
      </c>
      <c r="K3122" s="139">
        <f>IFERROR(__xludf.DUMMYFUNCTION("""COMPUTED_VALUE"""),0.0)</f>
        <v>0</v>
      </c>
      <c r="L3122" s="139"/>
      <c r="M3122" s="139"/>
      <c r="N3122" s="139"/>
    </row>
    <row r="3123">
      <c r="A3123" s="139" t="str">
        <f>IFERROR(__xludf.DUMMYFUNCTION("""COMPUTED_VALUE"""),"e")</f>
        <v>e</v>
      </c>
      <c r="B3123" s="139">
        <f>IFERROR(__xludf.DUMMYFUNCTION("""COMPUTED_VALUE"""),2.0260302E8)</f>
        <v>202603020</v>
      </c>
      <c r="C3123" s="139" t="str">
        <f>IFERROR(__xludf.DUMMYFUNCTION("""COMPUTED_VALUE"""),"c_kai_00102_glo2_advent_Boss_Colorless_Appearance_00002")</f>
        <v>c_kai_00102_glo2_advent_Boss_Colorless_Appearance_00002</v>
      </c>
      <c r="D3123" s="139" t="str">
        <f>IFERROR(__xludf.DUMMYFUNCTION("""COMPUTED_VALUE"""),"c_kai_00102_glo2_advent_Boss_Colorless")</f>
        <v>c_kai_00102_glo2_advent_Boss_Colorless</v>
      </c>
      <c r="E3123" s="139">
        <f>IFERROR(__xludf.DUMMYFUNCTION("""COMPUTED_VALUE"""),0.0)</f>
        <v>0</v>
      </c>
      <c r="F3123" s="139" t="str">
        <f>IFERROR(__xludf.DUMMYFUNCTION("""COMPUTED_VALUE"""),"Appearance")</f>
        <v>Appearance</v>
      </c>
      <c r="G3123" s="139"/>
      <c r="H3123" s="139"/>
      <c r="I3123" s="139">
        <f>IFERROR(__xludf.DUMMYFUNCTION("""COMPUTED_VALUE"""),50.0)</f>
        <v>50</v>
      </c>
      <c r="J3123" s="139">
        <f>IFERROR(__xludf.DUMMYFUNCTION("""COMPUTED_VALUE"""),0.0)</f>
        <v>0</v>
      </c>
      <c r="K3123" s="139">
        <f>IFERROR(__xludf.DUMMYFUNCTION("""COMPUTED_VALUE"""),0.0)</f>
        <v>0</v>
      </c>
      <c r="L3123" s="139"/>
      <c r="M3123" s="139"/>
      <c r="N3123" s="139"/>
    </row>
    <row r="3124">
      <c r="A3124" s="139" t="str">
        <f>IFERROR(__xludf.DUMMYFUNCTION("""COMPUTED_VALUE"""),"e")</f>
        <v>e</v>
      </c>
      <c r="B3124" s="139">
        <f>IFERROR(__xludf.DUMMYFUNCTION("""COMPUTED_VALUE"""),2.0260302E8)</f>
        <v>202603020</v>
      </c>
      <c r="C3124" s="139" t="str">
        <f>IFERROR(__xludf.DUMMYFUNCTION("""COMPUTED_VALUE"""),"c_gam_00001_glo2_advent_Normal_Colorless_Normal_00000")</f>
        <v>c_gam_00001_glo2_advent_Normal_Colorless_Normal_00000</v>
      </c>
      <c r="D3124" s="139" t="str">
        <f>IFERROR(__xludf.DUMMYFUNCTION("""COMPUTED_VALUE"""),"c_gam_00001_glo2_advent_Normal_Colorless")</f>
        <v>c_gam_00001_glo2_advent_Normal_Colorless</v>
      </c>
      <c r="E3124" s="139">
        <f>IFERROR(__xludf.DUMMYFUNCTION("""COMPUTED_VALUE"""),0.0)</f>
        <v>0</v>
      </c>
      <c r="F3124" s="139" t="str">
        <f>IFERROR(__xludf.DUMMYFUNCTION("""COMPUTED_VALUE"""),"Normal")</f>
        <v>Normal</v>
      </c>
      <c r="G3124" s="139"/>
      <c r="H3124" s="139"/>
      <c r="I3124" s="139">
        <f>IFERROR(__xludf.DUMMYFUNCTION("""COMPUTED_VALUE"""),50.0)</f>
        <v>50</v>
      </c>
      <c r="J3124" s="139">
        <f>IFERROR(__xludf.DUMMYFUNCTION("""COMPUTED_VALUE"""),30.0)</f>
        <v>30</v>
      </c>
      <c r="K3124" s="139">
        <f>IFERROR(__xludf.DUMMYFUNCTION("""COMPUTED_VALUE"""),40.0)</f>
        <v>40</v>
      </c>
      <c r="L3124" s="139"/>
      <c r="M3124" s="139"/>
      <c r="N3124" s="139"/>
    </row>
    <row r="3125">
      <c r="A3125" s="139" t="str">
        <f>IFERROR(__xludf.DUMMYFUNCTION("""COMPUTED_VALUE"""),"e")</f>
        <v>e</v>
      </c>
      <c r="B3125" s="139">
        <f>IFERROR(__xludf.DUMMYFUNCTION("""COMPUTED_VALUE"""),2.0260302E8)</f>
        <v>202603020</v>
      </c>
      <c r="C3125" s="139" t="str">
        <f>IFERROR(__xludf.DUMMYFUNCTION("""COMPUTED_VALUE"""),"c_gam_00001_glo2_advent_Normal_Colorless_Special_00001")</f>
        <v>c_gam_00001_glo2_advent_Normal_Colorless_Special_00001</v>
      </c>
      <c r="D3125" s="139" t="str">
        <f>IFERROR(__xludf.DUMMYFUNCTION("""COMPUTED_VALUE"""),"c_gam_00001_glo2_advent_Normal_Colorless")</f>
        <v>c_gam_00001_glo2_advent_Normal_Colorless</v>
      </c>
      <c r="E3125" s="139">
        <f>IFERROR(__xludf.DUMMYFUNCTION("""COMPUTED_VALUE"""),0.0)</f>
        <v>0</v>
      </c>
      <c r="F3125" s="139" t="str">
        <f>IFERROR(__xludf.DUMMYFUNCTION("""COMPUTED_VALUE"""),"Special")</f>
        <v>Special</v>
      </c>
      <c r="G3125" s="139"/>
      <c r="H3125" s="139"/>
      <c r="I3125" s="139">
        <f>IFERROR(__xludf.DUMMYFUNCTION("""COMPUTED_VALUE"""),173.0)</f>
        <v>173</v>
      </c>
      <c r="J3125" s="139">
        <f>IFERROR(__xludf.DUMMYFUNCTION("""COMPUTED_VALUE"""),37.0)</f>
        <v>37</v>
      </c>
      <c r="K3125" s="139">
        <f>IFERROR(__xludf.DUMMYFUNCTION("""COMPUTED_VALUE"""),0.0)</f>
        <v>0</v>
      </c>
      <c r="L3125" s="139"/>
      <c r="M3125" s="139"/>
      <c r="N3125" s="139"/>
    </row>
    <row r="3126">
      <c r="A3126" s="139" t="str">
        <f>IFERROR(__xludf.DUMMYFUNCTION("""COMPUTED_VALUE"""),"e")</f>
        <v>e</v>
      </c>
      <c r="B3126" s="139">
        <f>IFERROR(__xludf.DUMMYFUNCTION("""COMPUTED_VALUE"""),2.0260302E8)</f>
        <v>202603020</v>
      </c>
      <c r="C3126" s="139" t="str">
        <f>IFERROR(__xludf.DUMMYFUNCTION("""COMPUTED_VALUE"""),"c_gam_00001_glo2_advent_Normal_Colorless_Appearance_00002")</f>
        <v>c_gam_00001_glo2_advent_Normal_Colorless_Appearance_00002</v>
      </c>
      <c r="D3126" s="139" t="str">
        <f>IFERROR(__xludf.DUMMYFUNCTION("""COMPUTED_VALUE"""),"c_gam_00001_glo2_advent_Normal_Colorless")</f>
        <v>c_gam_00001_glo2_advent_Normal_Colorless</v>
      </c>
      <c r="E3126" s="139">
        <f>IFERROR(__xludf.DUMMYFUNCTION("""COMPUTED_VALUE"""),0.0)</f>
        <v>0</v>
      </c>
      <c r="F3126" s="139" t="str">
        <f>IFERROR(__xludf.DUMMYFUNCTION("""COMPUTED_VALUE"""),"Appearance")</f>
        <v>Appearance</v>
      </c>
      <c r="G3126" s="139"/>
      <c r="H3126" s="139"/>
      <c r="I3126" s="139">
        <f>IFERROR(__xludf.DUMMYFUNCTION("""COMPUTED_VALUE"""),50.0)</f>
        <v>50</v>
      </c>
      <c r="J3126" s="139">
        <f>IFERROR(__xludf.DUMMYFUNCTION("""COMPUTED_VALUE"""),0.0)</f>
        <v>0</v>
      </c>
      <c r="K3126" s="139">
        <f>IFERROR(__xludf.DUMMYFUNCTION("""COMPUTED_VALUE"""),0.0)</f>
        <v>0</v>
      </c>
      <c r="L3126" s="139"/>
      <c r="M3126" s="139"/>
      <c r="N3126" s="139"/>
    </row>
    <row r="3127">
      <c r="A3127" s="139" t="str">
        <f>IFERROR(__xludf.DUMMYFUNCTION("""COMPUTED_VALUE"""),"e")</f>
        <v>e</v>
      </c>
      <c r="B3127" s="139">
        <f>IFERROR(__xludf.DUMMYFUNCTION("""COMPUTED_VALUE"""),2.0260302E8)</f>
        <v>202603020</v>
      </c>
      <c r="C3127" s="139" t="str">
        <f>IFERROR(__xludf.DUMMYFUNCTION("""COMPUTED_VALUE"""),"c_hyp_00001_glo2_advent_Normal_Red_Normal_00000")</f>
        <v>c_hyp_00001_glo2_advent_Normal_Red_Normal_00000</v>
      </c>
      <c r="D3127" s="139" t="str">
        <f>IFERROR(__xludf.DUMMYFUNCTION("""COMPUTED_VALUE"""),"c_hyp_00001_glo2_advent_Normal_Red")</f>
        <v>c_hyp_00001_glo2_advent_Normal_Red</v>
      </c>
      <c r="E3127" s="139">
        <f>IFERROR(__xludf.DUMMYFUNCTION("""COMPUTED_VALUE"""),0.0)</f>
        <v>0</v>
      </c>
      <c r="F3127" s="139" t="str">
        <f>IFERROR(__xludf.DUMMYFUNCTION("""COMPUTED_VALUE"""),"Normal")</f>
        <v>Normal</v>
      </c>
      <c r="G3127" s="139"/>
      <c r="H3127" s="139"/>
      <c r="I3127" s="139">
        <f>IFERROR(__xludf.DUMMYFUNCTION("""COMPUTED_VALUE"""),79.0)</f>
        <v>79</v>
      </c>
      <c r="J3127" s="139">
        <f>IFERROR(__xludf.DUMMYFUNCTION("""COMPUTED_VALUE"""),23.0)</f>
        <v>23</v>
      </c>
      <c r="K3127" s="139">
        <f>IFERROR(__xludf.DUMMYFUNCTION("""COMPUTED_VALUE"""),75.0)</f>
        <v>75</v>
      </c>
      <c r="L3127" s="139"/>
      <c r="M3127" s="139"/>
      <c r="N3127" s="139"/>
    </row>
    <row r="3128">
      <c r="A3128" s="139" t="str">
        <f>IFERROR(__xludf.DUMMYFUNCTION("""COMPUTED_VALUE"""),"e")</f>
        <v>e</v>
      </c>
      <c r="B3128" s="139">
        <f>IFERROR(__xludf.DUMMYFUNCTION("""COMPUTED_VALUE"""),2.0260302E8)</f>
        <v>202603020</v>
      </c>
      <c r="C3128" s="139" t="str">
        <f>IFERROR(__xludf.DUMMYFUNCTION("""COMPUTED_VALUE"""),"c_hyp_00001_glo2_advent_Normal_Red_Special_00001")</f>
        <v>c_hyp_00001_glo2_advent_Normal_Red_Special_00001</v>
      </c>
      <c r="D3128" s="139" t="str">
        <f>IFERROR(__xludf.DUMMYFUNCTION("""COMPUTED_VALUE"""),"c_hyp_00001_glo2_advent_Normal_Red")</f>
        <v>c_hyp_00001_glo2_advent_Normal_Red</v>
      </c>
      <c r="E3128" s="139">
        <f>IFERROR(__xludf.DUMMYFUNCTION("""COMPUTED_VALUE"""),0.0)</f>
        <v>0</v>
      </c>
      <c r="F3128" s="139" t="str">
        <f>IFERROR(__xludf.DUMMYFUNCTION("""COMPUTED_VALUE"""),"Special")</f>
        <v>Special</v>
      </c>
      <c r="G3128" s="139"/>
      <c r="H3128" s="139"/>
      <c r="I3128" s="139">
        <f>IFERROR(__xludf.DUMMYFUNCTION("""COMPUTED_VALUE"""),123.0)</f>
        <v>123</v>
      </c>
      <c r="J3128" s="139">
        <f>IFERROR(__xludf.DUMMYFUNCTION("""COMPUTED_VALUE"""),43.0)</f>
        <v>43</v>
      </c>
      <c r="K3128" s="139">
        <f>IFERROR(__xludf.DUMMYFUNCTION("""COMPUTED_VALUE"""),0.0)</f>
        <v>0</v>
      </c>
      <c r="L3128" s="139"/>
      <c r="M3128" s="139"/>
      <c r="N3128" s="139"/>
    </row>
    <row r="3129">
      <c r="A3129" s="139" t="str">
        <f>IFERROR(__xludf.DUMMYFUNCTION("""COMPUTED_VALUE"""),"e")</f>
        <v>e</v>
      </c>
      <c r="B3129" s="139">
        <f>IFERROR(__xludf.DUMMYFUNCTION("""COMPUTED_VALUE"""),2.0260302E8)</f>
        <v>202603020</v>
      </c>
      <c r="C3129" s="139" t="str">
        <f>IFERROR(__xludf.DUMMYFUNCTION("""COMPUTED_VALUE"""),"c_hyp_00001_glo2_advent_Normal_Red_Appearance_00002")</f>
        <v>c_hyp_00001_glo2_advent_Normal_Red_Appearance_00002</v>
      </c>
      <c r="D3129" s="139" t="str">
        <f>IFERROR(__xludf.DUMMYFUNCTION("""COMPUTED_VALUE"""),"c_hyp_00001_glo2_advent_Normal_Red")</f>
        <v>c_hyp_00001_glo2_advent_Normal_Red</v>
      </c>
      <c r="E3129" s="139">
        <f>IFERROR(__xludf.DUMMYFUNCTION("""COMPUTED_VALUE"""),0.0)</f>
        <v>0</v>
      </c>
      <c r="F3129" s="139" t="str">
        <f>IFERROR(__xludf.DUMMYFUNCTION("""COMPUTED_VALUE"""),"Appearance")</f>
        <v>Appearance</v>
      </c>
      <c r="G3129" s="139"/>
      <c r="H3129" s="139"/>
      <c r="I3129" s="139">
        <f>IFERROR(__xludf.DUMMYFUNCTION("""COMPUTED_VALUE"""),50.0)</f>
        <v>50</v>
      </c>
      <c r="J3129" s="139">
        <f>IFERROR(__xludf.DUMMYFUNCTION("""COMPUTED_VALUE"""),0.0)</f>
        <v>0</v>
      </c>
      <c r="K3129" s="139">
        <f>IFERROR(__xludf.DUMMYFUNCTION("""COMPUTED_VALUE"""),0.0)</f>
        <v>0</v>
      </c>
      <c r="L3129" s="139"/>
      <c r="M3129" s="139"/>
      <c r="N3129" s="139"/>
    </row>
    <row r="3130">
      <c r="A3130" s="139" t="str">
        <f>IFERROR(__xludf.DUMMYFUNCTION("""COMPUTED_VALUE"""),"e")</f>
        <v>e</v>
      </c>
      <c r="B3130" s="139">
        <f>IFERROR(__xludf.DUMMYFUNCTION("""COMPUTED_VALUE"""),2.0260302E8)</f>
        <v>202603020</v>
      </c>
      <c r="C3130" s="139" t="str">
        <f>IFERROR(__xludf.DUMMYFUNCTION("""COMPUTED_VALUE"""),"c_ara_00001_glo2_advent_Normal_Red_Normal_00000")</f>
        <v>c_ara_00001_glo2_advent_Normal_Red_Normal_00000</v>
      </c>
      <c r="D3130" s="139" t="str">
        <f>IFERROR(__xludf.DUMMYFUNCTION("""COMPUTED_VALUE"""),"c_ara_00001_glo2_advent_Normal_Red")</f>
        <v>c_ara_00001_glo2_advent_Normal_Red</v>
      </c>
      <c r="E3130" s="139">
        <f>IFERROR(__xludf.DUMMYFUNCTION("""COMPUTED_VALUE"""),0.0)</f>
        <v>0</v>
      </c>
      <c r="F3130" s="139" t="str">
        <f>IFERROR(__xludf.DUMMYFUNCTION("""COMPUTED_VALUE"""),"Normal")</f>
        <v>Normal</v>
      </c>
      <c r="G3130" s="139"/>
      <c r="H3130" s="139"/>
      <c r="I3130" s="139">
        <f>IFERROR(__xludf.DUMMYFUNCTION("""COMPUTED_VALUE"""),69.0)</f>
        <v>69</v>
      </c>
      <c r="J3130" s="139">
        <f>IFERROR(__xludf.DUMMYFUNCTION("""COMPUTED_VALUE"""),15.0)</f>
        <v>15</v>
      </c>
      <c r="K3130" s="139">
        <f>IFERROR(__xludf.DUMMYFUNCTION("""COMPUTED_VALUE"""),60.0)</f>
        <v>60</v>
      </c>
      <c r="L3130" s="139"/>
      <c r="M3130" s="139"/>
      <c r="N3130" s="139"/>
    </row>
    <row r="3131">
      <c r="A3131" s="139" t="str">
        <f>IFERROR(__xludf.DUMMYFUNCTION("""COMPUTED_VALUE"""),"e")</f>
        <v>e</v>
      </c>
      <c r="B3131" s="139">
        <f>IFERROR(__xludf.DUMMYFUNCTION("""COMPUTED_VALUE"""),2.0260302E8)</f>
        <v>202603020</v>
      </c>
      <c r="C3131" s="139" t="str">
        <f>IFERROR(__xludf.DUMMYFUNCTION("""COMPUTED_VALUE"""),"c_ara_00001_glo2_advent_Normal_Red_Special_00001")</f>
        <v>c_ara_00001_glo2_advent_Normal_Red_Special_00001</v>
      </c>
      <c r="D3131" s="139" t="str">
        <f>IFERROR(__xludf.DUMMYFUNCTION("""COMPUTED_VALUE"""),"c_ara_00001_glo2_advent_Normal_Red")</f>
        <v>c_ara_00001_glo2_advent_Normal_Red</v>
      </c>
      <c r="E3131" s="139">
        <f>IFERROR(__xludf.DUMMYFUNCTION("""COMPUTED_VALUE"""),0.0)</f>
        <v>0</v>
      </c>
      <c r="F3131" s="139" t="str">
        <f>IFERROR(__xludf.DUMMYFUNCTION("""COMPUTED_VALUE"""),"Special")</f>
        <v>Special</v>
      </c>
      <c r="G3131" s="139"/>
      <c r="H3131" s="139"/>
      <c r="I3131" s="139">
        <f>IFERROR(__xludf.DUMMYFUNCTION("""COMPUTED_VALUE"""),134.0)</f>
        <v>134</v>
      </c>
      <c r="J3131" s="139">
        <f>IFERROR(__xludf.DUMMYFUNCTION("""COMPUTED_VALUE"""),35.0)</f>
        <v>35</v>
      </c>
      <c r="K3131" s="139">
        <f>IFERROR(__xludf.DUMMYFUNCTION("""COMPUTED_VALUE"""),0.0)</f>
        <v>0</v>
      </c>
      <c r="L3131" s="139"/>
      <c r="M3131" s="139"/>
      <c r="N3131" s="139"/>
    </row>
    <row r="3132">
      <c r="A3132" s="139" t="str">
        <f>IFERROR(__xludf.DUMMYFUNCTION("""COMPUTED_VALUE"""),"e")</f>
        <v>e</v>
      </c>
      <c r="B3132" s="139">
        <f>IFERROR(__xludf.DUMMYFUNCTION("""COMPUTED_VALUE"""),2.0260302E8)</f>
        <v>202603020</v>
      </c>
      <c r="C3132" s="139" t="str">
        <f>IFERROR(__xludf.DUMMYFUNCTION("""COMPUTED_VALUE"""),"c_ara_00001_glo2_advent_Normal_Red_Appearance_00002")</f>
        <v>c_ara_00001_glo2_advent_Normal_Red_Appearance_00002</v>
      </c>
      <c r="D3132" s="139" t="str">
        <f>IFERROR(__xludf.DUMMYFUNCTION("""COMPUTED_VALUE"""),"c_ara_00001_glo2_advent_Normal_Red")</f>
        <v>c_ara_00001_glo2_advent_Normal_Red</v>
      </c>
      <c r="E3132" s="139">
        <f>IFERROR(__xludf.DUMMYFUNCTION("""COMPUTED_VALUE"""),0.0)</f>
        <v>0</v>
      </c>
      <c r="F3132" s="139" t="str">
        <f>IFERROR(__xludf.DUMMYFUNCTION("""COMPUTED_VALUE"""),"Appearance")</f>
        <v>Appearance</v>
      </c>
      <c r="G3132" s="139"/>
      <c r="H3132" s="139"/>
      <c r="I3132" s="139">
        <f>IFERROR(__xludf.DUMMYFUNCTION("""COMPUTED_VALUE"""),50.0)</f>
        <v>50</v>
      </c>
      <c r="J3132" s="139">
        <f>IFERROR(__xludf.DUMMYFUNCTION("""COMPUTED_VALUE"""),0.0)</f>
        <v>0</v>
      </c>
      <c r="K3132" s="139">
        <f>IFERROR(__xludf.DUMMYFUNCTION("""COMPUTED_VALUE"""),0.0)</f>
        <v>0</v>
      </c>
      <c r="L3132" s="139"/>
      <c r="M3132" s="139"/>
      <c r="N3132" s="139"/>
    </row>
    <row r="3133">
      <c r="A3133" s="139" t="str">
        <f>IFERROR(__xludf.DUMMYFUNCTION("""COMPUTED_VALUE"""),"e")</f>
        <v>e</v>
      </c>
      <c r="B3133" s="139">
        <f>IFERROR(__xludf.DUMMYFUNCTION("""COMPUTED_VALUE"""),2.0260302E8)</f>
        <v>202603020</v>
      </c>
      <c r="C3133" s="139" t="str">
        <f>IFERROR(__xludf.DUMMYFUNCTION("""COMPUTED_VALUE"""),"c_sur_00501_glo2_advent_Boss_Red_Normal_00000")</f>
        <v>c_sur_00501_glo2_advent_Boss_Red_Normal_00000</v>
      </c>
      <c r="D3133" s="139" t="str">
        <f>IFERROR(__xludf.DUMMYFUNCTION("""COMPUTED_VALUE"""),"c_sur_00501_glo2_advent_Boss_Red")</f>
        <v>c_sur_00501_glo2_advent_Boss_Red</v>
      </c>
      <c r="E3133" s="139">
        <f>IFERROR(__xludf.DUMMYFUNCTION("""COMPUTED_VALUE"""),0.0)</f>
        <v>0</v>
      </c>
      <c r="F3133" s="139" t="str">
        <f>IFERROR(__xludf.DUMMYFUNCTION("""COMPUTED_VALUE"""),"Normal")</f>
        <v>Normal</v>
      </c>
      <c r="G3133" s="139"/>
      <c r="H3133" s="139"/>
      <c r="I3133" s="139">
        <f>IFERROR(__xludf.DUMMYFUNCTION("""COMPUTED_VALUE"""),86.0)</f>
        <v>86</v>
      </c>
      <c r="J3133" s="139">
        <f>IFERROR(__xludf.DUMMYFUNCTION("""COMPUTED_VALUE"""),47.0)</f>
        <v>47</v>
      </c>
      <c r="K3133" s="139">
        <f>IFERROR(__xludf.DUMMYFUNCTION("""COMPUTED_VALUE"""),100.0)</f>
        <v>100</v>
      </c>
      <c r="L3133" s="139"/>
      <c r="M3133" s="139"/>
      <c r="N3133" s="139"/>
    </row>
    <row r="3134">
      <c r="A3134" s="139" t="str">
        <f>IFERROR(__xludf.DUMMYFUNCTION("""COMPUTED_VALUE"""),"e")</f>
        <v>e</v>
      </c>
      <c r="B3134" s="139">
        <f>IFERROR(__xludf.DUMMYFUNCTION("""COMPUTED_VALUE"""),2.0260302E8)</f>
        <v>202603020</v>
      </c>
      <c r="C3134" s="139" t="str">
        <f>IFERROR(__xludf.DUMMYFUNCTION("""COMPUTED_VALUE"""),"c_sur_00501_glo2_advent_Boss_Red_Special_00001")</f>
        <v>c_sur_00501_glo2_advent_Boss_Red_Special_00001</v>
      </c>
      <c r="D3134" s="139" t="str">
        <f>IFERROR(__xludf.DUMMYFUNCTION("""COMPUTED_VALUE"""),"c_sur_00501_glo2_advent_Boss_Red")</f>
        <v>c_sur_00501_glo2_advent_Boss_Red</v>
      </c>
      <c r="E3134" s="139">
        <f>IFERROR(__xludf.DUMMYFUNCTION("""COMPUTED_VALUE"""),0.0)</f>
        <v>0</v>
      </c>
      <c r="F3134" s="139" t="str">
        <f>IFERROR(__xludf.DUMMYFUNCTION("""COMPUTED_VALUE"""),"Special")</f>
        <v>Special</v>
      </c>
      <c r="G3134" s="139"/>
      <c r="H3134" s="139"/>
      <c r="I3134" s="139">
        <f>IFERROR(__xludf.DUMMYFUNCTION("""COMPUTED_VALUE"""),134.0)</f>
        <v>134</v>
      </c>
      <c r="J3134" s="139">
        <f>IFERROR(__xludf.DUMMYFUNCTION("""COMPUTED_VALUE"""),77.0)</f>
        <v>77</v>
      </c>
      <c r="K3134" s="139">
        <f>IFERROR(__xludf.DUMMYFUNCTION("""COMPUTED_VALUE"""),0.0)</f>
        <v>0</v>
      </c>
      <c r="L3134" s="139"/>
      <c r="M3134" s="139"/>
      <c r="N3134" s="139"/>
    </row>
    <row r="3135">
      <c r="A3135" s="139" t="str">
        <f>IFERROR(__xludf.DUMMYFUNCTION("""COMPUTED_VALUE"""),"e")</f>
        <v>e</v>
      </c>
      <c r="B3135" s="139">
        <f>IFERROR(__xludf.DUMMYFUNCTION("""COMPUTED_VALUE"""),2.0260302E8)</f>
        <v>202603020</v>
      </c>
      <c r="C3135" s="139" t="str">
        <f>IFERROR(__xludf.DUMMYFUNCTION("""COMPUTED_VALUE"""),"c_sur_00101_glo2_advent_Boss_Colorless_Normal_00000")</f>
        <v>c_sur_00101_glo2_advent_Boss_Colorless_Normal_00000</v>
      </c>
      <c r="D3135" s="139" t="str">
        <f>IFERROR(__xludf.DUMMYFUNCTION("""COMPUTED_VALUE"""),"c_sur_00101_glo2_advent_Boss_Colorless")</f>
        <v>c_sur_00101_glo2_advent_Boss_Colorless</v>
      </c>
      <c r="E3135" s="139">
        <f>IFERROR(__xludf.DUMMYFUNCTION("""COMPUTED_VALUE"""),0.0)</f>
        <v>0</v>
      </c>
      <c r="F3135" s="139" t="str">
        <f>IFERROR(__xludf.DUMMYFUNCTION("""COMPUTED_VALUE"""),"Normal")</f>
        <v>Normal</v>
      </c>
      <c r="G3135" s="139"/>
      <c r="H3135" s="139"/>
      <c r="I3135" s="139">
        <f>IFERROR(__xludf.DUMMYFUNCTION("""COMPUTED_VALUE"""),70.0)</f>
        <v>70</v>
      </c>
      <c r="J3135" s="139">
        <f>IFERROR(__xludf.DUMMYFUNCTION("""COMPUTED_VALUE"""),17.0)</f>
        <v>17</v>
      </c>
      <c r="K3135" s="139">
        <f>IFERROR(__xludf.DUMMYFUNCTION("""COMPUTED_VALUE"""),70.0)</f>
        <v>70</v>
      </c>
      <c r="L3135" s="139"/>
      <c r="M3135" s="139"/>
      <c r="N3135" s="139"/>
    </row>
    <row r="3136">
      <c r="A3136" s="139" t="str">
        <f>IFERROR(__xludf.DUMMYFUNCTION("""COMPUTED_VALUE"""),"e")</f>
        <v>e</v>
      </c>
      <c r="B3136" s="139">
        <f>IFERROR(__xludf.DUMMYFUNCTION("""COMPUTED_VALUE"""),2.0260302E8)</f>
        <v>202603020</v>
      </c>
      <c r="C3136" s="139" t="str">
        <f>IFERROR(__xludf.DUMMYFUNCTION("""COMPUTED_VALUE"""),"c_sur_00101_glo2_advent_Boss_Colorless_Special_00001")</f>
        <v>c_sur_00101_glo2_advent_Boss_Colorless_Special_00001</v>
      </c>
      <c r="D3136" s="139" t="str">
        <f>IFERROR(__xludf.DUMMYFUNCTION("""COMPUTED_VALUE"""),"c_sur_00101_glo2_advent_Boss_Colorless")</f>
        <v>c_sur_00101_glo2_advent_Boss_Colorless</v>
      </c>
      <c r="E3136" s="139">
        <f>IFERROR(__xludf.DUMMYFUNCTION("""COMPUTED_VALUE"""),0.0)</f>
        <v>0</v>
      </c>
      <c r="F3136" s="139" t="str">
        <f>IFERROR(__xludf.DUMMYFUNCTION("""COMPUTED_VALUE"""),"Special")</f>
        <v>Special</v>
      </c>
      <c r="G3136" s="139"/>
      <c r="H3136" s="139"/>
      <c r="I3136" s="139">
        <f>IFERROR(__xludf.DUMMYFUNCTION("""COMPUTED_VALUE"""),134.0)</f>
        <v>134</v>
      </c>
      <c r="J3136" s="139">
        <f>IFERROR(__xludf.DUMMYFUNCTION("""COMPUTED_VALUE"""),0.0)</f>
        <v>0</v>
      </c>
      <c r="K3136" s="139">
        <f>IFERROR(__xludf.DUMMYFUNCTION("""COMPUTED_VALUE"""),0.0)</f>
        <v>0</v>
      </c>
      <c r="L3136" s="139"/>
      <c r="M3136" s="139"/>
      <c r="N3136" s="139"/>
    </row>
    <row r="3137">
      <c r="A3137" s="139" t="str">
        <f>IFERROR(__xludf.DUMMYFUNCTION("""COMPUTED_VALUE"""),"e")</f>
        <v>e</v>
      </c>
      <c r="B3137" s="139">
        <f>IFERROR(__xludf.DUMMYFUNCTION("""COMPUTED_VALUE"""),2.0260302E8)</f>
        <v>202603020</v>
      </c>
      <c r="C3137" s="139" t="str">
        <f>IFERROR(__xludf.DUMMYFUNCTION("""COMPUTED_VALUE"""),"e_sur_00101_glo2_advent_Normal_Red_Normal_00000")</f>
        <v>e_sur_00101_glo2_advent_Normal_Red_Normal_00000</v>
      </c>
      <c r="D3137" s="139" t="str">
        <f>IFERROR(__xludf.DUMMYFUNCTION("""COMPUTED_VALUE"""),"e_sur_00101_glo2_advent_Normal_Red")</f>
        <v>e_sur_00101_glo2_advent_Normal_Red</v>
      </c>
      <c r="E3137" s="139">
        <f>IFERROR(__xludf.DUMMYFUNCTION("""COMPUTED_VALUE"""),0.0)</f>
        <v>0</v>
      </c>
      <c r="F3137" s="139" t="str">
        <f>IFERROR(__xludf.DUMMYFUNCTION("""COMPUTED_VALUE"""),"Normal")</f>
        <v>Normal</v>
      </c>
      <c r="G3137" s="139"/>
      <c r="H3137" s="139"/>
      <c r="I3137" s="139">
        <f>IFERROR(__xludf.DUMMYFUNCTION("""COMPUTED_VALUE"""),40.0)</f>
        <v>40</v>
      </c>
      <c r="J3137" s="139">
        <f>IFERROR(__xludf.DUMMYFUNCTION("""COMPUTED_VALUE"""),15.0)</f>
        <v>15</v>
      </c>
      <c r="K3137" s="139">
        <f>IFERROR(__xludf.DUMMYFUNCTION("""COMPUTED_VALUE"""),35.0)</f>
        <v>35</v>
      </c>
      <c r="L3137" s="139"/>
      <c r="M3137" s="139"/>
      <c r="N3137" s="139"/>
    </row>
    <row r="3138">
      <c r="A3138" s="139" t="str">
        <f>IFERROR(__xludf.DUMMYFUNCTION("""COMPUTED_VALUE"""),"e")</f>
        <v>e</v>
      </c>
      <c r="B3138" s="139">
        <f>IFERROR(__xludf.DUMMYFUNCTION("""COMPUTED_VALUE"""),2.0260302E8)</f>
        <v>202603020</v>
      </c>
      <c r="C3138" s="139" t="str">
        <f>IFERROR(__xludf.DUMMYFUNCTION("""COMPUTED_VALUE"""),"e_glo_00001_glo2_advent_Normal_Colorless_Normal_00000")</f>
        <v>e_glo_00001_glo2_advent_Normal_Colorless_Normal_00000</v>
      </c>
      <c r="D3138" s="139" t="str">
        <f>IFERROR(__xludf.DUMMYFUNCTION("""COMPUTED_VALUE"""),"e_glo_00001_glo2_advent_Normal_Colorless")</f>
        <v>e_glo_00001_glo2_advent_Normal_Colorless</v>
      </c>
      <c r="E3138" s="139">
        <f>IFERROR(__xludf.DUMMYFUNCTION("""COMPUTED_VALUE"""),0.0)</f>
        <v>0</v>
      </c>
      <c r="F3138" s="139" t="str">
        <f>IFERROR(__xludf.DUMMYFUNCTION("""COMPUTED_VALUE"""),"Normal")</f>
        <v>Normal</v>
      </c>
      <c r="G3138" s="139"/>
      <c r="H3138" s="139"/>
      <c r="I3138" s="139">
        <f>IFERROR(__xludf.DUMMYFUNCTION("""COMPUTED_VALUE"""),50.0)</f>
        <v>50</v>
      </c>
      <c r="J3138" s="139">
        <f>IFERROR(__xludf.DUMMYFUNCTION("""COMPUTED_VALUE"""),25.0)</f>
        <v>25</v>
      </c>
      <c r="K3138" s="139">
        <f>IFERROR(__xludf.DUMMYFUNCTION("""COMPUTED_VALUE"""),40.0)</f>
        <v>40</v>
      </c>
      <c r="L3138" s="139"/>
      <c r="M3138" s="139"/>
      <c r="N3138" s="139"/>
    </row>
    <row r="3139">
      <c r="A3139" s="139" t="str">
        <f>IFERROR(__xludf.DUMMYFUNCTION("""COMPUTED_VALUE"""),"e")</f>
        <v>e</v>
      </c>
      <c r="B3139" s="139">
        <f>IFERROR(__xludf.DUMMYFUNCTION("""COMPUTED_VALUE"""),2.0260302E8)</f>
        <v>202603020</v>
      </c>
      <c r="C3139" s="139" t="str">
        <f>IFERROR(__xludf.DUMMYFUNCTION("""COMPUTED_VALUE"""),"e_glo_00002_glo2_advent_Normal_Red_Normal_00000")</f>
        <v>e_glo_00002_glo2_advent_Normal_Red_Normal_00000</v>
      </c>
      <c r="D3139" s="139" t="str">
        <f>IFERROR(__xludf.DUMMYFUNCTION("""COMPUTED_VALUE"""),"e_glo_00002_glo2_advent_Normal_Red")</f>
        <v>e_glo_00002_glo2_advent_Normal_Red</v>
      </c>
      <c r="E3139" s="139">
        <f>IFERROR(__xludf.DUMMYFUNCTION("""COMPUTED_VALUE"""),0.0)</f>
        <v>0</v>
      </c>
      <c r="F3139" s="139" t="str">
        <f>IFERROR(__xludf.DUMMYFUNCTION("""COMPUTED_VALUE"""),"Normal")</f>
        <v>Normal</v>
      </c>
      <c r="G3139" s="139"/>
      <c r="H3139" s="139"/>
      <c r="I3139" s="139">
        <f>IFERROR(__xludf.DUMMYFUNCTION("""COMPUTED_VALUE"""),59.0)</f>
        <v>59</v>
      </c>
      <c r="J3139" s="139">
        <f>IFERROR(__xludf.DUMMYFUNCTION("""COMPUTED_VALUE"""),30.0)</f>
        <v>30</v>
      </c>
      <c r="K3139" s="139">
        <f>IFERROR(__xludf.DUMMYFUNCTION("""COMPUTED_VALUE"""),65.0)</f>
        <v>65</v>
      </c>
      <c r="L3139" s="139"/>
      <c r="M3139" s="139"/>
      <c r="N3139" s="139"/>
    </row>
    <row r="3140">
      <c r="A3140" s="139" t="str">
        <f>IFERROR(__xludf.DUMMYFUNCTION("""COMPUTED_VALUE"""),"e")</f>
        <v>e</v>
      </c>
      <c r="B3140" s="139">
        <f>IFERROR(__xludf.DUMMYFUNCTION("""COMPUTED_VALUE"""),2.0260302E8)</f>
        <v>202603020</v>
      </c>
      <c r="C3140" s="139" t="str">
        <f>IFERROR(__xludf.DUMMYFUNCTION("""COMPUTED_VALUE"""),"e_kai_00101_glo2_advent_Normal_Red_Normal_00000")</f>
        <v>e_kai_00101_glo2_advent_Normal_Red_Normal_00000</v>
      </c>
      <c r="D3140" s="139" t="str">
        <f>IFERROR(__xludf.DUMMYFUNCTION("""COMPUTED_VALUE"""),"e_kai_00101_glo2_advent_Normal_Red")</f>
        <v>e_kai_00101_glo2_advent_Normal_Red</v>
      </c>
      <c r="E3140" s="139">
        <f>IFERROR(__xludf.DUMMYFUNCTION("""COMPUTED_VALUE"""),0.0)</f>
        <v>0</v>
      </c>
      <c r="F3140" s="139" t="str">
        <f>IFERROR(__xludf.DUMMYFUNCTION("""COMPUTED_VALUE"""),"Normal")</f>
        <v>Normal</v>
      </c>
      <c r="G3140" s="139"/>
      <c r="H3140" s="139"/>
      <c r="I3140" s="139">
        <f>IFERROR(__xludf.DUMMYFUNCTION("""COMPUTED_VALUE"""),62.0)</f>
        <v>62</v>
      </c>
      <c r="J3140" s="139">
        <f>IFERROR(__xludf.DUMMYFUNCTION("""COMPUTED_VALUE"""),28.0)</f>
        <v>28</v>
      </c>
      <c r="K3140" s="139">
        <f>IFERROR(__xludf.DUMMYFUNCTION("""COMPUTED_VALUE"""),50.0)</f>
        <v>50</v>
      </c>
      <c r="L3140" s="139"/>
      <c r="M3140" s="139"/>
      <c r="N3140" s="139"/>
    </row>
    <row r="3141">
      <c r="A3141" s="139" t="str">
        <f>IFERROR(__xludf.DUMMYFUNCTION("""COMPUTED_VALUE"""),"e")</f>
        <v>e</v>
      </c>
      <c r="B3141" s="139">
        <f>IFERROR(__xludf.DUMMYFUNCTION("""COMPUTED_VALUE"""),2.0260302E8)</f>
        <v>202603020</v>
      </c>
      <c r="C3141" s="139" t="str">
        <f>IFERROR(__xludf.DUMMYFUNCTION("""COMPUTED_VALUE"""),"e_kai_00001_glo2_advent_Boss_Colorless_Normal_00000")</f>
        <v>e_kai_00001_glo2_advent_Boss_Colorless_Normal_00000</v>
      </c>
      <c r="D3141" s="139" t="str">
        <f>IFERROR(__xludf.DUMMYFUNCTION("""COMPUTED_VALUE"""),"e_kai_00001_glo2_advent_Boss_Colorless")</f>
        <v>e_kai_00001_glo2_advent_Boss_Colorless</v>
      </c>
      <c r="E3141" s="139">
        <f>IFERROR(__xludf.DUMMYFUNCTION("""COMPUTED_VALUE"""),0.0)</f>
        <v>0</v>
      </c>
      <c r="F3141" s="139" t="str">
        <f>IFERROR(__xludf.DUMMYFUNCTION("""COMPUTED_VALUE"""),"Normal")</f>
        <v>Normal</v>
      </c>
      <c r="G3141" s="139"/>
      <c r="H3141" s="139"/>
      <c r="I3141" s="139">
        <f>IFERROR(__xludf.DUMMYFUNCTION("""COMPUTED_VALUE"""),117.0)</f>
        <v>117</v>
      </c>
      <c r="J3141" s="139">
        <f>IFERROR(__xludf.DUMMYFUNCTION("""COMPUTED_VALUE"""),50.0)</f>
        <v>50</v>
      </c>
      <c r="K3141" s="139">
        <f>IFERROR(__xludf.DUMMYFUNCTION("""COMPUTED_VALUE"""),100.0)</f>
        <v>100</v>
      </c>
      <c r="L3141" s="139"/>
      <c r="M3141" s="139"/>
      <c r="N3141" s="139"/>
    </row>
    <row r="3142">
      <c r="A3142" s="139"/>
      <c r="B3142" s="139"/>
      <c r="C3142" s="139"/>
      <c r="D3142" s="139"/>
      <c r="E3142" s="139"/>
      <c r="F3142" s="139"/>
      <c r="G3142" s="139"/>
      <c r="H3142" s="139"/>
      <c r="I3142" s="139"/>
      <c r="J3142" s="139"/>
      <c r="K3142" s="139"/>
      <c r="L3142" s="139"/>
      <c r="M3142" s="139"/>
      <c r="N3142" s="139"/>
    </row>
    <row r="3143">
      <c r="A3143" s="139" t="str">
        <f>IFERROR(__xludf.DUMMYFUNCTION("""COMPUTED_VALUE"""),"e")</f>
        <v>e</v>
      </c>
      <c r="B3143" s="139">
        <f>IFERROR(__xludf.DUMMYFUNCTION("""COMPUTED_VALUE"""),2.02603025E8)</f>
        <v>202603025</v>
      </c>
      <c r="C3143" s="139" t="str">
        <f>IFERROR(__xludf.DUMMYFUNCTION("""COMPUTED_VALUE"""),"c_osh_00001_l05anniv_charaget01_Boss_Blue_Normal_00000")</f>
        <v>c_osh_00001_l05anniv_charaget01_Boss_Blue_Normal_00000</v>
      </c>
      <c r="D3143" s="139" t="str">
        <f>IFERROR(__xludf.DUMMYFUNCTION("""COMPUTED_VALUE"""),"c_osh_00001_l05anniv_charaget01_Boss_Blue")</f>
        <v>c_osh_00001_l05anniv_charaget01_Boss_Blue</v>
      </c>
      <c r="E3143" s="139">
        <f>IFERROR(__xludf.DUMMYFUNCTION("""COMPUTED_VALUE"""),0.0)</f>
        <v>0</v>
      </c>
      <c r="F3143" s="139" t="str">
        <f>IFERROR(__xludf.DUMMYFUNCTION("""COMPUTED_VALUE"""),"Normal")</f>
        <v>Normal</v>
      </c>
      <c r="G3143" s="139"/>
      <c r="H3143" s="139"/>
      <c r="I3143" s="139">
        <f>IFERROR(__xludf.DUMMYFUNCTION("""COMPUTED_VALUE"""),80.0)</f>
        <v>80</v>
      </c>
      <c r="J3143" s="139">
        <f>IFERROR(__xludf.DUMMYFUNCTION("""COMPUTED_VALUE"""),22.0)</f>
        <v>22</v>
      </c>
      <c r="K3143" s="139">
        <f>IFERROR(__xludf.DUMMYFUNCTION("""COMPUTED_VALUE"""),30.0)</f>
        <v>30</v>
      </c>
      <c r="L3143" s="139"/>
      <c r="M3143" s="139"/>
      <c r="N3143" s="139"/>
    </row>
    <row r="3144">
      <c r="A3144" s="139" t="str">
        <f>IFERROR(__xludf.DUMMYFUNCTION("""COMPUTED_VALUE"""),"e")</f>
        <v>e</v>
      </c>
      <c r="B3144" s="139">
        <f>IFERROR(__xludf.DUMMYFUNCTION("""COMPUTED_VALUE"""),2.02603025E8)</f>
        <v>202603025</v>
      </c>
      <c r="C3144" s="139" t="str">
        <f>IFERROR(__xludf.DUMMYFUNCTION("""COMPUTED_VALUE"""),"c_osh_00001_l05anniv_charaget01_Boss_Blue_Special_00001")</f>
        <v>c_osh_00001_l05anniv_charaget01_Boss_Blue_Special_00001</v>
      </c>
      <c r="D3144" s="139" t="str">
        <f>IFERROR(__xludf.DUMMYFUNCTION("""COMPUTED_VALUE"""),"c_osh_00001_l05anniv_charaget01_Boss_Blue")</f>
        <v>c_osh_00001_l05anniv_charaget01_Boss_Blue</v>
      </c>
      <c r="E3144" s="139">
        <f>IFERROR(__xludf.DUMMYFUNCTION("""COMPUTED_VALUE"""),0.0)</f>
        <v>0</v>
      </c>
      <c r="F3144" s="139" t="str">
        <f>IFERROR(__xludf.DUMMYFUNCTION("""COMPUTED_VALUE"""),"Special")</f>
        <v>Special</v>
      </c>
      <c r="G3144" s="139"/>
      <c r="H3144" s="139"/>
      <c r="I3144" s="139">
        <f>IFERROR(__xludf.DUMMYFUNCTION("""COMPUTED_VALUE"""),162.0)</f>
        <v>162</v>
      </c>
      <c r="J3144" s="139">
        <f>IFERROR(__xludf.DUMMYFUNCTION("""COMPUTED_VALUE"""),92.0)</f>
        <v>92</v>
      </c>
      <c r="K3144" s="139">
        <f>IFERROR(__xludf.DUMMYFUNCTION("""COMPUTED_VALUE"""),0.0)</f>
        <v>0</v>
      </c>
      <c r="L3144" s="139"/>
      <c r="M3144" s="139"/>
      <c r="N3144" s="139"/>
    </row>
    <row r="3145">
      <c r="A3145" s="139" t="str">
        <f>IFERROR(__xludf.DUMMYFUNCTION("""COMPUTED_VALUE"""),"e")</f>
        <v>e</v>
      </c>
      <c r="B3145" s="139">
        <f>IFERROR(__xludf.DUMMYFUNCTION("""COMPUTED_VALUE"""),2.02603025E8)</f>
        <v>202603025</v>
      </c>
      <c r="C3145" s="139" t="str">
        <f>IFERROR(__xludf.DUMMYFUNCTION("""COMPUTED_VALUE"""),"c_osh_00001_l05anniv_charaget01_Boss_Blue_Appearance_00002")</f>
        <v>c_osh_00001_l05anniv_charaget01_Boss_Blue_Appearance_00002</v>
      </c>
      <c r="D3145" s="139" t="str">
        <f>IFERROR(__xludf.DUMMYFUNCTION("""COMPUTED_VALUE"""),"c_osh_00001_l05anniv_charaget01_Boss_Blue")</f>
        <v>c_osh_00001_l05anniv_charaget01_Boss_Blue</v>
      </c>
      <c r="E3145" s="139">
        <f>IFERROR(__xludf.DUMMYFUNCTION("""COMPUTED_VALUE"""),0.0)</f>
        <v>0</v>
      </c>
      <c r="F3145" s="139" t="str">
        <f>IFERROR(__xludf.DUMMYFUNCTION("""COMPUTED_VALUE"""),"Appearance")</f>
        <v>Appearance</v>
      </c>
      <c r="G3145" s="139"/>
      <c r="H3145" s="139"/>
      <c r="I3145" s="139">
        <f>IFERROR(__xludf.DUMMYFUNCTION("""COMPUTED_VALUE"""),50.0)</f>
        <v>50</v>
      </c>
      <c r="J3145" s="139">
        <f>IFERROR(__xludf.DUMMYFUNCTION("""COMPUTED_VALUE"""),0.0)</f>
        <v>0</v>
      </c>
      <c r="K3145" s="139">
        <f>IFERROR(__xludf.DUMMYFUNCTION("""COMPUTED_VALUE"""),0.0)</f>
        <v>0</v>
      </c>
      <c r="L3145" s="139"/>
      <c r="M3145" s="139"/>
      <c r="N3145" s="139"/>
    </row>
    <row r="3146">
      <c r="A3146" s="139" t="str">
        <f>IFERROR(__xludf.DUMMYFUNCTION("""COMPUTED_VALUE"""),"e")</f>
        <v>e</v>
      </c>
      <c r="B3146" s="139">
        <f>IFERROR(__xludf.DUMMYFUNCTION("""COMPUTED_VALUE"""),2.02603025E8)</f>
        <v>202603025</v>
      </c>
      <c r="C3146" s="139" t="str">
        <f>IFERROR(__xludf.DUMMYFUNCTION("""COMPUTED_VALUE"""),"e_glo_00002_l05anniv_charaget01_Normal_Blue_Normal_00000")</f>
        <v>e_glo_00002_l05anniv_charaget01_Normal_Blue_Normal_00000</v>
      </c>
      <c r="D3146" s="139" t="str">
        <f>IFERROR(__xludf.DUMMYFUNCTION("""COMPUTED_VALUE"""),"e_glo_00002_l05anniv_charaget01_Normal_Blue")</f>
        <v>e_glo_00002_l05anniv_charaget01_Normal_Blue</v>
      </c>
      <c r="E3146" s="139">
        <f>IFERROR(__xludf.DUMMYFUNCTION("""COMPUTED_VALUE"""),0.0)</f>
        <v>0</v>
      </c>
      <c r="F3146" s="139" t="str">
        <f>IFERROR(__xludf.DUMMYFUNCTION("""COMPUTED_VALUE"""),"Normal")</f>
        <v>Normal</v>
      </c>
      <c r="G3146" s="139"/>
      <c r="H3146" s="139"/>
      <c r="I3146" s="139">
        <f>IFERROR(__xludf.DUMMYFUNCTION("""COMPUTED_VALUE"""),71.0)</f>
        <v>71</v>
      </c>
      <c r="J3146" s="139">
        <f>IFERROR(__xludf.DUMMYFUNCTION("""COMPUTED_VALUE"""),30.0)</f>
        <v>30</v>
      </c>
      <c r="K3146" s="139">
        <f>IFERROR(__xludf.DUMMYFUNCTION("""COMPUTED_VALUE"""),50.0)</f>
        <v>50</v>
      </c>
      <c r="L3146" s="139"/>
      <c r="M3146" s="139"/>
      <c r="N3146" s="139"/>
    </row>
    <row r="3147">
      <c r="A3147" s="139" t="str">
        <f>IFERROR(__xludf.DUMMYFUNCTION("""COMPUTED_VALUE"""),"e")</f>
        <v>e</v>
      </c>
      <c r="B3147" s="139">
        <f>IFERROR(__xludf.DUMMYFUNCTION("""COMPUTED_VALUE"""),2.02603025E8)</f>
        <v>202603025</v>
      </c>
      <c r="C3147" s="139" t="str">
        <f>IFERROR(__xludf.DUMMYFUNCTION("""COMPUTED_VALUE"""),"c_osh_00201_l05anniv_charaget01_Normal_Blue_Normal_00000")</f>
        <v>c_osh_00201_l05anniv_charaget01_Normal_Blue_Normal_00000</v>
      </c>
      <c r="D3147" s="139" t="str">
        <f>IFERROR(__xludf.DUMMYFUNCTION("""COMPUTED_VALUE"""),"c_osh_00201_l05anniv_charaget01_Normal_Blue")</f>
        <v>c_osh_00201_l05anniv_charaget01_Normal_Blue</v>
      </c>
      <c r="E3147" s="139">
        <f>IFERROR(__xludf.DUMMYFUNCTION("""COMPUTED_VALUE"""),0.0)</f>
        <v>0</v>
      </c>
      <c r="F3147" s="139" t="str">
        <f>IFERROR(__xludf.DUMMYFUNCTION("""COMPUTED_VALUE"""),"Normal")</f>
        <v>Normal</v>
      </c>
      <c r="G3147" s="139"/>
      <c r="H3147" s="139"/>
      <c r="I3147" s="139">
        <f>IFERROR(__xludf.DUMMYFUNCTION("""COMPUTED_VALUE"""),69.0)</f>
        <v>69</v>
      </c>
      <c r="J3147" s="139">
        <f>IFERROR(__xludf.DUMMYFUNCTION("""COMPUTED_VALUE"""),0.0)</f>
        <v>0</v>
      </c>
      <c r="K3147" s="139">
        <f>IFERROR(__xludf.DUMMYFUNCTION("""COMPUTED_VALUE"""),75.0)</f>
        <v>75</v>
      </c>
      <c r="L3147" s="139"/>
      <c r="M3147" s="139"/>
      <c r="N3147" s="139"/>
    </row>
    <row r="3148">
      <c r="A3148" s="139" t="str">
        <f>IFERROR(__xludf.DUMMYFUNCTION("""COMPUTED_VALUE"""),"e")</f>
        <v>e</v>
      </c>
      <c r="B3148" s="139">
        <f>IFERROR(__xludf.DUMMYFUNCTION("""COMPUTED_VALUE"""),2.02603025E8)</f>
        <v>202603025</v>
      </c>
      <c r="C3148" s="139" t="str">
        <f>IFERROR(__xludf.DUMMYFUNCTION("""COMPUTED_VALUE"""),"c_osh_00201_l05anniv_charaget01_Normal_Blue_Special_00001")</f>
        <v>c_osh_00201_l05anniv_charaget01_Normal_Blue_Special_00001</v>
      </c>
      <c r="D3148" s="139" t="str">
        <f>IFERROR(__xludf.DUMMYFUNCTION("""COMPUTED_VALUE"""),"c_osh_00201_l05anniv_charaget01_Normal_Blue")</f>
        <v>c_osh_00201_l05anniv_charaget01_Normal_Blue</v>
      </c>
      <c r="E3148" s="139">
        <f>IFERROR(__xludf.DUMMYFUNCTION("""COMPUTED_VALUE"""),0.0)</f>
        <v>0</v>
      </c>
      <c r="F3148" s="139" t="str">
        <f>IFERROR(__xludf.DUMMYFUNCTION("""COMPUTED_VALUE"""),"Special")</f>
        <v>Special</v>
      </c>
      <c r="G3148" s="139"/>
      <c r="H3148" s="139"/>
      <c r="I3148" s="139">
        <f>IFERROR(__xludf.DUMMYFUNCTION("""COMPUTED_VALUE"""),150.0)</f>
        <v>150</v>
      </c>
      <c r="J3148" s="139">
        <f>IFERROR(__xludf.DUMMYFUNCTION("""COMPUTED_VALUE"""),83.0)</f>
        <v>83</v>
      </c>
      <c r="K3148" s="139">
        <f>IFERROR(__xludf.DUMMYFUNCTION("""COMPUTED_VALUE"""),0.0)</f>
        <v>0</v>
      </c>
      <c r="L3148" s="139"/>
      <c r="M3148" s="139"/>
      <c r="N3148" s="139"/>
    </row>
    <row r="3149">
      <c r="A3149" s="139" t="str">
        <f>IFERROR(__xludf.DUMMYFUNCTION("""COMPUTED_VALUE"""),"e")</f>
        <v>e</v>
      </c>
      <c r="B3149" s="139">
        <f>IFERROR(__xludf.DUMMYFUNCTION("""COMPUTED_VALUE"""),2.02603025E8)</f>
        <v>202603025</v>
      </c>
      <c r="C3149" s="139" t="str">
        <f>IFERROR(__xludf.DUMMYFUNCTION("""COMPUTED_VALUE"""),"c_osh_00201_l05anniv_charaget01_Boss_Blue_Normal_00000")</f>
        <v>c_osh_00201_l05anniv_charaget01_Boss_Blue_Normal_00000</v>
      </c>
      <c r="D3149" s="139" t="str">
        <f>IFERROR(__xludf.DUMMYFUNCTION("""COMPUTED_VALUE"""),"c_osh_00201_l05anniv_charaget01_Boss_Blue")</f>
        <v>c_osh_00201_l05anniv_charaget01_Boss_Blue</v>
      </c>
      <c r="E3149" s="139">
        <f>IFERROR(__xludf.DUMMYFUNCTION("""COMPUTED_VALUE"""),0.0)</f>
        <v>0</v>
      </c>
      <c r="F3149" s="139" t="str">
        <f>IFERROR(__xludf.DUMMYFUNCTION("""COMPUTED_VALUE"""),"Normal")</f>
        <v>Normal</v>
      </c>
      <c r="G3149" s="139"/>
      <c r="H3149" s="139"/>
      <c r="I3149" s="139">
        <f>IFERROR(__xludf.DUMMYFUNCTION("""COMPUTED_VALUE"""),69.0)</f>
        <v>69</v>
      </c>
      <c r="J3149" s="139">
        <f>IFERROR(__xludf.DUMMYFUNCTION("""COMPUTED_VALUE"""),0.0)</f>
        <v>0</v>
      </c>
      <c r="K3149" s="139">
        <f>IFERROR(__xludf.DUMMYFUNCTION("""COMPUTED_VALUE"""),75.0)</f>
        <v>75</v>
      </c>
      <c r="L3149" s="139"/>
      <c r="M3149" s="139"/>
      <c r="N3149" s="139"/>
    </row>
    <row r="3150">
      <c r="A3150" s="139" t="str">
        <f>IFERROR(__xludf.DUMMYFUNCTION("""COMPUTED_VALUE"""),"e")</f>
        <v>e</v>
      </c>
      <c r="B3150" s="139">
        <f>IFERROR(__xludf.DUMMYFUNCTION("""COMPUTED_VALUE"""),2.02603025E8)</f>
        <v>202603025</v>
      </c>
      <c r="C3150" s="139" t="str">
        <f>IFERROR(__xludf.DUMMYFUNCTION("""COMPUTED_VALUE"""),"c_osh_00201_l05anniv_charaget01_Boss_Blue_Special_00001")</f>
        <v>c_osh_00201_l05anniv_charaget01_Boss_Blue_Special_00001</v>
      </c>
      <c r="D3150" s="139" t="str">
        <f>IFERROR(__xludf.DUMMYFUNCTION("""COMPUTED_VALUE"""),"c_osh_00201_l05anniv_charaget01_Boss_Blue")</f>
        <v>c_osh_00201_l05anniv_charaget01_Boss_Blue</v>
      </c>
      <c r="E3150" s="139">
        <f>IFERROR(__xludf.DUMMYFUNCTION("""COMPUTED_VALUE"""),0.0)</f>
        <v>0</v>
      </c>
      <c r="F3150" s="139" t="str">
        <f>IFERROR(__xludf.DUMMYFUNCTION("""COMPUTED_VALUE"""),"Special")</f>
        <v>Special</v>
      </c>
      <c r="G3150" s="139"/>
      <c r="H3150" s="139"/>
      <c r="I3150" s="139">
        <f>IFERROR(__xludf.DUMMYFUNCTION("""COMPUTED_VALUE"""),150.0)</f>
        <v>150</v>
      </c>
      <c r="J3150" s="139">
        <f>IFERROR(__xludf.DUMMYFUNCTION("""COMPUTED_VALUE"""),83.0)</f>
        <v>83</v>
      </c>
      <c r="K3150" s="139">
        <f>IFERROR(__xludf.DUMMYFUNCTION("""COMPUTED_VALUE"""),0.0)</f>
        <v>0</v>
      </c>
      <c r="L3150" s="139"/>
      <c r="M3150" s="139"/>
      <c r="N3150" s="139"/>
    </row>
    <row r="3151">
      <c r="A3151" s="139" t="str">
        <f>IFERROR(__xludf.DUMMYFUNCTION("""COMPUTED_VALUE"""),"e")</f>
        <v>e</v>
      </c>
      <c r="B3151" s="139">
        <f>IFERROR(__xludf.DUMMYFUNCTION("""COMPUTED_VALUE"""),2.02603025E8)</f>
        <v>202603025</v>
      </c>
      <c r="C3151" s="139" t="str">
        <f>IFERROR(__xludf.DUMMYFUNCTION("""COMPUTED_VALUE"""),"c_osh_00201_l05anniv_charaget01_Boss_Blue_Appearance_00002")</f>
        <v>c_osh_00201_l05anniv_charaget01_Boss_Blue_Appearance_00002</v>
      </c>
      <c r="D3151" s="139" t="str">
        <f>IFERROR(__xludf.DUMMYFUNCTION("""COMPUTED_VALUE"""),"c_osh_00201_l05anniv_charaget01_Boss_Blue")</f>
        <v>c_osh_00201_l05anniv_charaget01_Boss_Blue</v>
      </c>
      <c r="E3151" s="139">
        <f>IFERROR(__xludf.DUMMYFUNCTION("""COMPUTED_VALUE"""),0.0)</f>
        <v>0</v>
      </c>
      <c r="F3151" s="139" t="str">
        <f>IFERROR(__xludf.DUMMYFUNCTION("""COMPUTED_VALUE"""),"Appearance")</f>
        <v>Appearance</v>
      </c>
      <c r="G3151" s="139"/>
      <c r="H3151" s="139"/>
      <c r="I3151" s="139">
        <f>IFERROR(__xludf.DUMMYFUNCTION("""COMPUTED_VALUE"""),50.0)</f>
        <v>50</v>
      </c>
      <c r="J3151" s="139">
        <f>IFERROR(__xludf.DUMMYFUNCTION("""COMPUTED_VALUE"""),0.0)</f>
        <v>0</v>
      </c>
      <c r="K3151" s="139">
        <f>IFERROR(__xludf.DUMMYFUNCTION("""COMPUTED_VALUE"""),0.0)</f>
        <v>0</v>
      </c>
      <c r="L3151" s="139"/>
      <c r="M3151" s="139"/>
      <c r="N3151" s="139"/>
    </row>
    <row r="3152">
      <c r="A3152" s="139" t="str">
        <f>IFERROR(__xludf.DUMMYFUNCTION("""COMPUTED_VALUE"""),"e")</f>
        <v>e</v>
      </c>
      <c r="B3152" s="139">
        <f>IFERROR(__xludf.DUMMYFUNCTION("""COMPUTED_VALUE"""),2.02603025E8)</f>
        <v>202603025</v>
      </c>
      <c r="C3152" s="139" t="str">
        <f>IFERROR(__xludf.DUMMYFUNCTION("""COMPUTED_VALUE"""),"c_gom_00001_l05anniv_challenge01_Boss_Colorless_Normal_00000")</f>
        <v>c_gom_00001_l05anniv_challenge01_Boss_Colorless_Normal_00000</v>
      </c>
      <c r="D3152" s="139" t="str">
        <f>IFERROR(__xludf.DUMMYFUNCTION("""COMPUTED_VALUE"""),"c_gom_00001_l05anniv_challenge01_Boss_Colorless")</f>
        <v>c_gom_00001_l05anniv_challenge01_Boss_Colorless</v>
      </c>
      <c r="E3152" s="139">
        <f>IFERROR(__xludf.DUMMYFUNCTION("""COMPUTED_VALUE"""),0.0)</f>
        <v>0</v>
      </c>
      <c r="F3152" s="139" t="str">
        <f>IFERROR(__xludf.DUMMYFUNCTION("""COMPUTED_VALUE"""),"Normal")</f>
        <v>Normal</v>
      </c>
      <c r="G3152" s="139"/>
      <c r="H3152" s="139"/>
      <c r="I3152" s="139">
        <f>IFERROR(__xludf.DUMMYFUNCTION("""COMPUTED_VALUE"""),65.0)</f>
        <v>65</v>
      </c>
      <c r="J3152" s="139">
        <f>IFERROR(__xludf.DUMMYFUNCTION("""COMPUTED_VALUE"""),25.0)</f>
        <v>25</v>
      </c>
      <c r="K3152" s="139">
        <f>IFERROR(__xludf.DUMMYFUNCTION("""COMPUTED_VALUE"""),40.0)</f>
        <v>40</v>
      </c>
      <c r="L3152" s="139"/>
      <c r="M3152" s="139"/>
      <c r="N3152" s="139"/>
    </row>
    <row r="3153">
      <c r="A3153" s="139" t="str">
        <f>IFERROR(__xludf.DUMMYFUNCTION("""COMPUTED_VALUE"""),"e")</f>
        <v>e</v>
      </c>
      <c r="B3153" s="139">
        <f>IFERROR(__xludf.DUMMYFUNCTION("""COMPUTED_VALUE"""),2.02603025E8)</f>
        <v>202603025</v>
      </c>
      <c r="C3153" s="139" t="str">
        <f>IFERROR(__xludf.DUMMYFUNCTION("""COMPUTED_VALUE"""),"c_gom_00101_l05anniv_challenge01_Boss_Colorless_Normal_00000")</f>
        <v>c_gom_00101_l05anniv_challenge01_Boss_Colorless_Normal_00000</v>
      </c>
      <c r="D3153" s="139" t="str">
        <f>IFERROR(__xludf.DUMMYFUNCTION("""COMPUTED_VALUE"""),"c_gom_00101_l05anniv_challenge01_Boss_Colorless")</f>
        <v>c_gom_00101_l05anniv_challenge01_Boss_Colorless</v>
      </c>
      <c r="E3153" s="139">
        <f>IFERROR(__xludf.DUMMYFUNCTION("""COMPUTED_VALUE"""),0.0)</f>
        <v>0</v>
      </c>
      <c r="F3153" s="139" t="str">
        <f>IFERROR(__xludf.DUMMYFUNCTION("""COMPUTED_VALUE"""),"Normal")</f>
        <v>Normal</v>
      </c>
      <c r="G3153" s="139"/>
      <c r="H3153" s="139"/>
      <c r="I3153" s="139">
        <f>IFERROR(__xludf.DUMMYFUNCTION("""COMPUTED_VALUE"""),67.0)</f>
        <v>67</v>
      </c>
      <c r="J3153" s="139">
        <f>IFERROR(__xludf.DUMMYFUNCTION("""COMPUTED_VALUE"""),22.0)</f>
        <v>22</v>
      </c>
      <c r="K3153" s="139">
        <f>IFERROR(__xludf.DUMMYFUNCTION("""COMPUTED_VALUE"""),15.0)</f>
        <v>15</v>
      </c>
      <c r="L3153" s="139"/>
      <c r="M3153" s="139"/>
      <c r="N3153" s="139"/>
    </row>
    <row r="3154">
      <c r="A3154" s="139" t="str">
        <f>IFERROR(__xludf.DUMMYFUNCTION("""COMPUTED_VALUE"""),"e")</f>
        <v>e</v>
      </c>
      <c r="B3154" s="139">
        <f>IFERROR(__xludf.DUMMYFUNCTION("""COMPUTED_VALUE"""),2.02603025E8)</f>
        <v>202603025</v>
      </c>
      <c r="C3154" s="139" t="str">
        <f>IFERROR(__xludf.DUMMYFUNCTION("""COMPUTED_VALUE"""),"c_gom_00201_l05anniv_challenge01_Boss_Colorless_Normal_00000")</f>
        <v>c_gom_00201_l05anniv_challenge01_Boss_Colorless_Normal_00000</v>
      </c>
      <c r="D3154" s="139" t="str">
        <f>IFERROR(__xludf.DUMMYFUNCTION("""COMPUTED_VALUE"""),"c_gom_00201_l05anniv_challenge01_Boss_Colorless")</f>
        <v>c_gom_00201_l05anniv_challenge01_Boss_Colorless</v>
      </c>
      <c r="E3154" s="139">
        <f>IFERROR(__xludf.DUMMYFUNCTION("""COMPUTED_VALUE"""),0.0)</f>
        <v>0</v>
      </c>
      <c r="F3154" s="139" t="str">
        <f>IFERROR(__xludf.DUMMYFUNCTION("""COMPUTED_VALUE"""),"Normal")</f>
        <v>Normal</v>
      </c>
      <c r="G3154" s="139"/>
      <c r="H3154" s="139"/>
      <c r="I3154" s="139">
        <f>IFERROR(__xludf.DUMMYFUNCTION("""COMPUTED_VALUE"""),72.0)</f>
        <v>72</v>
      </c>
      <c r="J3154" s="139">
        <f>IFERROR(__xludf.DUMMYFUNCTION("""COMPUTED_VALUE"""),0.0)</f>
        <v>0</v>
      </c>
      <c r="K3154" s="139">
        <f>IFERROR(__xludf.DUMMYFUNCTION("""COMPUTED_VALUE"""),100.0)</f>
        <v>100</v>
      </c>
      <c r="L3154" s="139"/>
      <c r="M3154" s="139"/>
      <c r="N3154" s="139"/>
    </row>
    <row r="3155">
      <c r="A3155" s="139" t="str">
        <f>IFERROR(__xludf.DUMMYFUNCTION("""COMPUTED_VALUE"""),"e")</f>
        <v>e</v>
      </c>
      <c r="B3155" s="139">
        <f>IFERROR(__xludf.DUMMYFUNCTION("""COMPUTED_VALUE"""),2.02603025E8)</f>
        <v>202603025</v>
      </c>
      <c r="C3155" s="139" t="str">
        <f>IFERROR(__xludf.DUMMYFUNCTION("""COMPUTED_VALUE"""),"e_gom_00502_l05anniv_challenge01_Boss_Colorless_Normal_00000")</f>
        <v>e_gom_00502_l05anniv_challenge01_Boss_Colorless_Normal_00000</v>
      </c>
      <c r="D3155" s="139" t="str">
        <f>IFERROR(__xludf.DUMMYFUNCTION("""COMPUTED_VALUE"""),"e_gom_00502_l05anniv_challenge01_Boss_Colorless")</f>
        <v>e_gom_00502_l05anniv_challenge01_Boss_Colorless</v>
      </c>
      <c r="E3155" s="139">
        <f>IFERROR(__xludf.DUMMYFUNCTION("""COMPUTED_VALUE"""),0.0)</f>
        <v>0</v>
      </c>
      <c r="F3155" s="139" t="str">
        <f>IFERROR(__xludf.DUMMYFUNCTION("""COMPUTED_VALUE"""),"Normal")</f>
        <v>Normal</v>
      </c>
      <c r="G3155" s="139"/>
      <c r="H3155" s="139"/>
      <c r="I3155" s="139">
        <f>IFERROR(__xludf.DUMMYFUNCTION("""COMPUTED_VALUE"""),50.0)</f>
        <v>50</v>
      </c>
      <c r="J3155" s="139">
        <f>IFERROR(__xludf.DUMMYFUNCTION("""COMPUTED_VALUE"""),42.0)</f>
        <v>42</v>
      </c>
      <c r="K3155" s="139">
        <f>IFERROR(__xludf.DUMMYFUNCTION("""COMPUTED_VALUE"""),100.0)</f>
        <v>100</v>
      </c>
      <c r="L3155" s="139"/>
      <c r="M3155" s="139"/>
      <c r="N3155" s="139"/>
    </row>
    <row r="3156">
      <c r="A3156" s="139" t="str">
        <f>IFERROR(__xludf.DUMMYFUNCTION("""COMPUTED_VALUE"""),"e")</f>
        <v>e</v>
      </c>
      <c r="B3156" s="139">
        <f>IFERROR(__xludf.DUMMYFUNCTION("""COMPUTED_VALUE"""),2.02603025E8)</f>
        <v>202603025</v>
      </c>
      <c r="C3156" s="139" t="str">
        <f>IFERROR(__xludf.DUMMYFUNCTION("""COMPUTED_VALUE"""),"e_gom_01001_l05anniv_challenge01_Boss_Colorless_Normal_00000")</f>
        <v>e_gom_01001_l05anniv_challenge01_Boss_Colorless_Normal_00000</v>
      </c>
      <c r="D3156" s="139" t="str">
        <f>IFERROR(__xludf.DUMMYFUNCTION("""COMPUTED_VALUE"""),"e_gom_01001_l05anniv_challenge01_Boss_Colorless")</f>
        <v>e_gom_01001_l05anniv_challenge01_Boss_Colorless</v>
      </c>
      <c r="E3156" s="139">
        <f>IFERROR(__xludf.DUMMYFUNCTION("""COMPUTED_VALUE"""),0.0)</f>
        <v>0</v>
      </c>
      <c r="F3156" s="139" t="str">
        <f>IFERROR(__xludf.DUMMYFUNCTION("""COMPUTED_VALUE"""),"Normal")</f>
        <v>Normal</v>
      </c>
      <c r="G3156" s="139"/>
      <c r="H3156" s="139"/>
      <c r="I3156" s="139">
        <f>IFERROR(__xludf.DUMMYFUNCTION("""COMPUTED_VALUE"""),50.0)</f>
        <v>50</v>
      </c>
      <c r="J3156" s="139">
        <f>IFERROR(__xludf.DUMMYFUNCTION("""COMPUTED_VALUE"""),42.0)</f>
        <v>42</v>
      </c>
      <c r="K3156" s="139">
        <f>IFERROR(__xludf.DUMMYFUNCTION("""COMPUTED_VALUE"""),100.0)</f>
        <v>100</v>
      </c>
      <c r="L3156" s="139"/>
      <c r="M3156" s="139"/>
      <c r="N3156" s="139"/>
    </row>
    <row r="3157">
      <c r="A3157" s="139" t="str">
        <f>IFERROR(__xludf.DUMMYFUNCTION("""COMPUTED_VALUE"""),"e")</f>
        <v>e</v>
      </c>
      <c r="B3157" s="139">
        <f>IFERROR(__xludf.DUMMYFUNCTION("""COMPUTED_VALUE"""),2.02603025E8)</f>
        <v>202603025</v>
      </c>
      <c r="C3157" s="139" t="str">
        <f>IFERROR(__xludf.DUMMYFUNCTION("""COMPUTED_VALUE"""),"e_gom_00501_l05anniv_challenge01_Boss_Colorless_Normal_00000")</f>
        <v>e_gom_00501_l05anniv_challenge01_Boss_Colorless_Normal_00000</v>
      </c>
      <c r="D3157" s="139" t="str">
        <f>IFERROR(__xludf.DUMMYFUNCTION("""COMPUTED_VALUE"""),"e_gom_00501_l05anniv_challenge01_Boss_Colorless")</f>
        <v>e_gom_00501_l05anniv_challenge01_Boss_Colorless</v>
      </c>
      <c r="E3157" s="139">
        <f>IFERROR(__xludf.DUMMYFUNCTION("""COMPUTED_VALUE"""),0.0)</f>
        <v>0</v>
      </c>
      <c r="F3157" s="139" t="str">
        <f>IFERROR(__xludf.DUMMYFUNCTION("""COMPUTED_VALUE"""),"Normal")</f>
        <v>Normal</v>
      </c>
      <c r="G3157" s="139"/>
      <c r="H3157" s="139"/>
      <c r="I3157" s="139">
        <f>IFERROR(__xludf.DUMMYFUNCTION("""COMPUTED_VALUE"""),50.0)</f>
        <v>50</v>
      </c>
      <c r="J3157" s="139">
        <f>IFERROR(__xludf.DUMMYFUNCTION("""COMPUTED_VALUE"""),42.0)</f>
        <v>42</v>
      </c>
      <c r="K3157" s="139">
        <f>IFERROR(__xludf.DUMMYFUNCTION("""COMPUTED_VALUE"""),80.0)</f>
        <v>80</v>
      </c>
      <c r="L3157" s="139"/>
      <c r="M3157" s="139"/>
      <c r="N3157" s="139"/>
    </row>
    <row r="3158">
      <c r="A3158" s="139" t="str">
        <f>IFERROR(__xludf.DUMMYFUNCTION("""COMPUTED_VALUE"""),"e")</f>
        <v>e</v>
      </c>
      <c r="B3158" s="139">
        <f>IFERROR(__xludf.DUMMYFUNCTION("""COMPUTED_VALUE"""),2.02603025E8)</f>
        <v>202603025</v>
      </c>
      <c r="C3158" s="139" t="str">
        <f>IFERROR(__xludf.DUMMYFUNCTION("""COMPUTED_VALUE"""),"e_gom_01002_l05anniv_challenge01_Boss_Colorless_Normal_00000")</f>
        <v>e_gom_01002_l05anniv_challenge01_Boss_Colorless_Normal_00000</v>
      </c>
      <c r="D3158" s="139" t="str">
        <f>IFERROR(__xludf.DUMMYFUNCTION("""COMPUTED_VALUE"""),"e_gom_01002_l05anniv_challenge01_Boss_Colorless")</f>
        <v>e_gom_01002_l05anniv_challenge01_Boss_Colorless</v>
      </c>
      <c r="E3158" s="139">
        <f>IFERROR(__xludf.DUMMYFUNCTION("""COMPUTED_VALUE"""),0.0)</f>
        <v>0</v>
      </c>
      <c r="F3158" s="139" t="str">
        <f>IFERROR(__xludf.DUMMYFUNCTION("""COMPUTED_VALUE"""),"Normal")</f>
        <v>Normal</v>
      </c>
      <c r="G3158" s="139"/>
      <c r="H3158" s="139"/>
      <c r="I3158" s="139">
        <f>IFERROR(__xludf.DUMMYFUNCTION("""COMPUTED_VALUE"""),50.0)</f>
        <v>50</v>
      </c>
      <c r="J3158" s="139">
        <f>IFERROR(__xludf.DUMMYFUNCTION("""COMPUTED_VALUE"""),42.0)</f>
        <v>42</v>
      </c>
      <c r="K3158" s="139">
        <f>IFERROR(__xludf.DUMMYFUNCTION("""COMPUTED_VALUE"""),80.0)</f>
        <v>80</v>
      </c>
      <c r="L3158" s="139"/>
      <c r="M3158" s="139"/>
      <c r="N3158" s="139"/>
    </row>
    <row r="3159">
      <c r="A3159" s="139" t="str">
        <f>IFERROR(__xludf.DUMMYFUNCTION("""COMPUTED_VALUE"""),"e")</f>
        <v>e</v>
      </c>
      <c r="B3159" s="139">
        <f>IFERROR(__xludf.DUMMYFUNCTION("""COMPUTED_VALUE"""),2.02603025E8)</f>
        <v>202603025</v>
      </c>
      <c r="C3159" s="139" t="str">
        <f>IFERROR(__xludf.DUMMYFUNCTION("""COMPUTED_VALUE"""),"e_gom_00701_l05anniv_challenge01_Boss_Colorless_Normal_00000")</f>
        <v>e_gom_00701_l05anniv_challenge01_Boss_Colorless_Normal_00000</v>
      </c>
      <c r="D3159" s="139" t="str">
        <f>IFERROR(__xludf.DUMMYFUNCTION("""COMPUTED_VALUE"""),"e_gom_00701_l05anniv_challenge01_Boss_Colorless")</f>
        <v>e_gom_00701_l05anniv_challenge01_Boss_Colorless</v>
      </c>
      <c r="E3159" s="139">
        <f>IFERROR(__xludf.DUMMYFUNCTION("""COMPUTED_VALUE"""),0.0)</f>
        <v>0</v>
      </c>
      <c r="F3159" s="139" t="str">
        <f>IFERROR(__xludf.DUMMYFUNCTION("""COMPUTED_VALUE"""),"Normal")</f>
        <v>Normal</v>
      </c>
      <c r="G3159" s="139"/>
      <c r="H3159" s="139"/>
      <c r="I3159" s="139">
        <f>IFERROR(__xludf.DUMMYFUNCTION("""COMPUTED_VALUE"""),50.0)</f>
        <v>50</v>
      </c>
      <c r="J3159" s="139">
        <f>IFERROR(__xludf.DUMMYFUNCTION("""COMPUTED_VALUE"""),42.0)</f>
        <v>42</v>
      </c>
      <c r="K3159" s="139">
        <f>IFERROR(__xludf.DUMMYFUNCTION("""COMPUTED_VALUE"""),15.0)</f>
        <v>15</v>
      </c>
      <c r="L3159" s="139"/>
      <c r="M3159" s="139"/>
      <c r="N3159" s="139"/>
    </row>
    <row r="3160">
      <c r="A3160" s="139" t="str">
        <f>IFERROR(__xludf.DUMMYFUNCTION("""COMPUTED_VALUE"""),"e")</f>
        <v>e</v>
      </c>
      <c r="B3160" s="139">
        <f>IFERROR(__xludf.DUMMYFUNCTION("""COMPUTED_VALUE"""),2.02603025E8)</f>
        <v>202603025</v>
      </c>
      <c r="C3160" s="139" t="str">
        <f>IFERROR(__xludf.DUMMYFUNCTION("""COMPUTED_VALUE"""),"e_gom_00901_l05anniv_challenge01_Boss_Colorless_Normal_00000")</f>
        <v>e_gom_00901_l05anniv_challenge01_Boss_Colorless_Normal_00000</v>
      </c>
      <c r="D3160" s="139" t="str">
        <f>IFERROR(__xludf.DUMMYFUNCTION("""COMPUTED_VALUE"""),"e_gom_00901_l05anniv_challenge01_Boss_Colorless")</f>
        <v>e_gom_00901_l05anniv_challenge01_Boss_Colorless</v>
      </c>
      <c r="E3160" s="139">
        <f>IFERROR(__xludf.DUMMYFUNCTION("""COMPUTED_VALUE"""),0.0)</f>
        <v>0</v>
      </c>
      <c r="F3160" s="139" t="str">
        <f>IFERROR(__xludf.DUMMYFUNCTION("""COMPUTED_VALUE"""),"Normal")</f>
        <v>Normal</v>
      </c>
      <c r="G3160" s="139"/>
      <c r="H3160" s="139"/>
      <c r="I3160" s="139">
        <f>IFERROR(__xludf.DUMMYFUNCTION("""COMPUTED_VALUE"""),50.0)</f>
        <v>50</v>
      </c>
      <c r="J3160" s="139">
        <f>IFERROR(__xludf.DUMMYFUNCTION("""COMPUTED_VALUE"""),42.0)</f>
        <v>42</v>
      </c>
      <c r="K3160" s="139">
        <f>IFERROR(__xludf.DUMMYFUNCTION("""COMPUTED_VALUE"""),15.0)</f>
        <v>15</v>
      </c>
      <c r="L3160" s="139"/>
      <c r="M3160" s="139"/>
      <c r="N3160" s="139"/>
    </row>
    <row r="3161">
      <c r="A3161" s="139" t="str">
        <f>IFERROR(__xludf.DUMMYFUNCTION("""COMPUTED_VALUE"""),"e")</f>
        <v>e</v>
      </c>
      <c r="B3161" s="139">
        <f>IFERROR(__xludf.DUMMYFUNCTION("""COMPUTED_VALUE"""),2.02603025E8)</f>
        <v>202603025</v>
      </c>
      <c r="C3161" s="139" t="str">
        <f>IFERROR(__xludf.DUMMYFUNCTION("""COMPUTED_VALUE"""),"e_gom_00402_l05anniv_challenge01_Boss_Colorless_Normal_00000")</f>
        <v>e_gom_00402_l05anniv_challenge01_Boss_Colorless_Normal_00000</v>
      </c>
      <c r="D3161" s="139" t="str">
        <f>IFERROR(__xludf.DUMMYFUNCTION("""COMPUTED_VALUE"""),"e_gom_00402_l05anniv_challenge01_Boss_Colorless")</f>
        <v>e_gom_00402_l05anniv_challenge01_Boss_Colorless</v>
      </c>
      <c r="E3161" s="139">
        <f>IFERROR(__xludf.DUMMYFUNCTION("""COMPUTED_VALUE"""),0.0)</f>
        <v>0</v>
      </c>
      <c r="F3161" s="139" t="str">
        <f>IFERROR(__xludf.DUMMYFUNCTION("""COMPUTED_VALUE"""),"Normal")</f>
        <v>Normal</v>
      </c>
      <c r="G3161" s="139"/>
      <c r="H3161" s="139"/>
      <c r="I3161" s="139">
        <f>IFERROR(__xludf.DUMMYFUNCTION("""COMPUTED_VALUE"""),50.0)</f>
        <v>50</v>
      </c>
      <c r="J3161" s="139">
        <f>IFERROR(__xludf.DUMMYFUNCTION("""COMPUTED_VALUE"""),42.0)</f>
        <v>42</v>
      </c>
      <c r="K3161" s="139">
        <f>IFERROR(__xludf.DUMMYFUNCTION("""COMPUTED_VALUE"""),15.0)</f>
        <v>15</v>
      </c>
      <c r="L3161" s="139"/>
      <c r="M3161" s="139"/>
      <c r="N3161" s="139"/>
    </row>
    <row r="3162">
      <c r="A3162" s="139" t="str">
        <f>IFERROR(__xludf.DUMMYFUNCTION("""COMPUTED_VALUE"""),"e")</f>
        <v>e</v>
      </c>
      <c r="B3162" s="139">
        <f>IFERROR(__xludf.DUMMYFUNCTION("""COMPUTED_VALUE"""),2.02603025E8)</f>
        <v>202603025</v>
      </c>
      <c r="C3162" s="139" t="str">
        <f>IFERROR(__xludf.DUMMYFUNCTION("""COMPUTED_VALUE"""),"e_glo_00001_l05anniv_challenge01_Normal_Colorless_Normal_00000")</f>
        <v>e_glo_00001_l05anniv_challenge01_Normal_Colorless_Normal_00000</v>
      </c>
      <c r="D3162" s="139" t="str">
        <f>IFERROR(__xludf.DUMMYFUNCTION("""COMPUTED_VALUE"""),"e_glo_00001_l05anniv_challenge01_Normal_Colorless")</f>
        <v>e_glo_00001_l05anniv_challenge01_Normal_Colorless</v>
      </c>
      <c r="E3162" s="139">
        <f>IFERROR(__xludf.DUMMYFUNCTION("""COMPUTED_VALUE"""),0.0)</f>
        <v>0</v>
      </c>
      <c r="F3162" s="139" t="str">
        <f>IFERROR(__xludf.DUMMYFUNCTION("""COMPUTED_VALUE"""),"Normal")</f>
        <v>Normal</v>
      </c>
      <c r="G3162" s="139"/>
      <c r="H3162" s="139"/>
      <c r="I3162" s="139">
        <f>IFERROR(__xludf.DUMMYFUNCTION("""COMPUTED_VALUE"""),50.0)</f>
        <v>50</v>
      </c>
      <c r="J3162" s="139">
        <f>IFERROR(__xludf.DUMMYFUNCTION("""COMPUTED_VALUE"""),25.0)</f>
        <v>25</v>
      </c>
      <c r="K3162" s="139">
        <f>IFERROR(__xludf.DUMMYFUNCTION("""COMPUTED_VALUE"""),70.0)</f>
        <v>70</v>
      </c>
      <c r="L3162" s="139"/>
      <c r="M3162" s="139"/>
      <c r="N3162" s="139"/>
    </row>
    <row r="3163">
      <c r="A3163" s="139" t="str">
        <f>IFERROR(__xludf.DUMMYFUNCTION("""COMPUTED_VALUE"""),"e")</f>
        <v>e</v>
      </c>
      <c r="B3163" s="139">
        <f>IFERROR(__xludf.DUMMYFUNCTION("""COMPUTED_VALUE"""),2.02603025E8)</f>
        <v>202603025</v>
      </c>
      <c r="C3163" s="139" t="str">
        <f>IFERROR(__xludf.DUMMYFUNCTION("""COMPUTED_VALUE"""),"c_gom_00001_l05anniv_challenge01_Boss_Colorless_Appearance_00001")</f>
        <v>c_gom_00001_l05anniv_challenge01_Boss_Colorless_Appearance_00001</v>
      </c>
      <c r="D3163" s="139" t="str">
        <f>IFERROR(__xludf.DUMMYFUNCTION("""COMPUTED_VALUE"""),"c_gom_00001_l05anniv_challenge01_Boss_Colorless")</f>
        <v>c_gom_00001_l05anniv_challenge01_Boss_Colorless</v>
      </c>
      <c r="E3163" s="139">
        <f>IFERROR(__xludf.DUMMYFUNCTION("""COMPUTED_VALUE"""),0.0)</f>
        <v>0</v>
      </c>
      <c r="F3163" s="139" t="str">
        <f>IFERROR(__xludf.DUMMYFUNCTION("""COMPUTED_VALUE"""),"Appearance")</f>
        <v>Appearance</v>
      </c>
      <c r="G3163" s="139"/>
      <c r="H3163" s="139"/>
      <c r="I3163" s="139">
        <f>IFERROR(__xludf.DUMMYFUNCTION("""COMPUTED_VALUE"""),50.0)</f>
        <v>50</v>
      </c>
      <c r="J3163" s="139">
        <f>IFERROR(__xludf.DUMMYFUNCTION("""COMPUTED_VALUE"""),0.0)</f>
        <v>0</v>
      </c>
      <c r="K3163" s="139">
        <f>IFERROR(__xludf.DUMMYFUNCTION("""COMPUTED_VALUE"""),0.0)</f>
        <v>0</v>
      </c>
      <c r="L3163" s="139"/>
      <c r="M3163" s="139"/>
      <c r="N3163" s="139"/>
    </row>
    <row r="3164">
      <c r="A3164" s="139" t="str">
        <f>IFERROR(__xludf.DUMMYFUNCTION("""COMPUTED_VALUE"""),"e")</f>
        <v>e</v>
      </c>
      <c r="B3164" s="139">
        <f>IFERROR(__xludf.DUMMYFUNCTION("""COMPUTED_VALUE"""),2.02603025E8)</f>
        <v>202603025</v>
      </c>
      <c r="C3164" s="139" t="str">
        <f>IFERROR(__xludf.DUMMYFUNCTION("""COMPUTED_VALUE"""),"c_gom_00101_l05anniv_challenge01_Boss_Colorless_Appearance_00001")</f>
        <v>c_gom_00101_l05anniv_challenge01_Boss_Colorless_Appearance_00001</v>
      </c>
      <c r="D3164" s="139" t="str">
        <f>IFERROR(__xludf.DUMMYFUNCTION("""COMPUTED_VALUE"""),"c_gom_00101_l05anniv_challenge01_Boss_Colorless")</f>
        <v>c_gom_00101_l05anniv_challenge01_Boss_Colorless</v>
      </c>
      <c r="E3164" s="139">
        <f>IFERROR(__xludf.DUMMYFUNCTION("""COMPUTED_VALUE"""),0.0)</f>
        <v>0</v>
      </c>
      <c r="F3164" s="139" t="str">
        <f>IFERROR(__xludf.DUMMYFUNCTION("""COMPUTED_VALUE"""),"Appearance")</f>
        <v>Appearance</v>
      </c>
      <c r="G3164" s="139"/>
      <c r="H3164" s="139"/>
      <c r="I3164" s="139">
        <f>IFERROR(__xludf.DUMMYFUNCTION("""COMPUTED_VALUE"""),50.0)</f>
        <v>50</v>
      </c>
      <c r="J3164" s="139">
        <f>IFERROR(__xludf.DUMMYFUNCTION("""COMPUTED_VALUE"""),0.0)</f>
        <v>0</v>
      </c>
      <c r="K3164" s="139">
        <f>IFERROR(__xludf.DUMMYFUNCTION("""COMPUTED_VALUE"""),0.0)</f>
        <v>0</v>
      </c>
      <c r="L3164" s="139"/>
      <c r="M3164" s="139"/>
      <c r="N3164" s="139"/>
    </row>
    <row r="3165">
      <c r="A3165" s="139" t="str">
        <f>IFERROR(__xludf.DUMMYFUNCTION("""COMPUTED_VALUE"""),"e")</f>
        <v>e</v>
      </c>
      <c r="B3165" s="139">
        <f>IFERROR(__xludf.DUMMYFUNCTION("""COMPUTED_VALUE"""),2.02603025E8)</f>
        <v>202603025</v>
      </c>
      <c r="C3165" s="139" t="str">
        <f>IFERROR(__xludf.DUMMYFUNCTION("""COMPUTED_VALUE"""),"c_gom_00201_l05anniv_challenge01_Boss_Colorless_Appearance_00001")</f>
        <v>c_gom_00201_l05anniv_challenge01_Boss_Colorless_Appearance_00001</v>
      </c>
      <c r="D3165" s="139" t="str">
        <f>IFERROR(__xludf.DUMMYFUNCTION("""COMPUTED_VALUE"""),"c_gom_00201_l05anniv_challenge01_Boss_Colorless")</f>
        <v>c_gom_00201_l05anniv_challenge01_Boss_Colorless</v>
      </c>
      <c r="E3165" s="139">
        <f>IFERROR(__xludf.DUMMYFUNCTION("""COMPUTED_VALUE"""),0.0)</f>
        <v>0</v>
      </c>
      <c r="F3165" s="139" t="str">
        <f>IFERROR(__xludf.DUMMYFUNCTION("""COMPUTED_VALUE"""),"Appearance")</f>
        <v>Appearance</v>
      </c>
      <c r="G3165" s="139"/>
      <c r="H3165" s="139"/>
      <c r="I3165" s="139">
        <f>IFERROR(__xludf.DUMMYFUNCTION("""COMPUTED_VALUE"""),50.0)</f>
        <v>50</v>
      </c>
      <c r="J3165" s="139">
        <f>IFERROR(__xludf.DUMMYFUNCTION("""COMPUTED_VALUE"""),0.0)</f>
        <v>0</v>
      </c>
      <c r="K3165" s="139">
        <f>IFERROR(__xludf.DUMMYFUNCTION("""COMPUTED_VALUE"""),0.0)</f>
        <v>0</v>
      </c>
      <c r="L3165" s="139"/>
      <c r="M3165" s="139"/>
      <c r="N3165" s="139"/>
    </row>
    <row r="3166">
      <c r="A3166" s="139" t="str">
        <f>IFERROR(__xludf.DUMMYFUNCTION("""COMPUTED_VALUE"""),"e")</f>
        <v>e</v>
      </c>
      <c r="B3166" s="139">
        <f>IFERROR(__xludf.DUMMYFUNCTION("""COMPUTED_VALUE"""),2.02603025E8)</f>
        <v>202603025</v>
      </c>
      <c r="C3166" s="139" t="str">
        <f>IFERROR(__xludf.DUMMYFUNCTION("""COMPUTED_VALUE"""),"e_gom_00502_l05anniv_challenge01_Boss_Colorless_Appearance_00001")</f>
        <v>e_gom_00502_l05anniv_challenge01_Boss_Colorless_Appearance_00001</v>
      </c>
      <c r="D3166" s="139" t="str">
        <f>IFERROR(__xludf.DUMMYFUNCTION("""COMPUTED_VALUE"""),"e_gom_00502_l05anniv_challenge01_Boss_Colorless")</f>
        <v>e_gom_00502_l05anniv_challenge01_Boss_Colorless</v>
      </c>
      <c r="E3166" s="139">
        <f>IFERROR(__xludf.DUMMYFUNCTION("""COMPUTED_VALUE"""),0.0)</f>
        <v>0</v>
      </c>
      <c r="F3166" s="139" t="str">
        <f>IFERROR(__xludf.DUMMYFUNCTION("""COMPUTED_VALUE"""),"Appearance")</f>
        <v>Appearance</v>
      </c>
      <c r="G3166" s="139"/>
      <c r="H3166" s="139"/>
      <c r="I3166" s="139">
        <f>IFERROR(__xludf.DUMMYFUNCTION("""COMPUTED_VALUE"""),50.0)</f>
        <v>50</v>
      </c>
      <c r="J3166" s="139">
        <f>IFERROR(__xludf.DUMMYFUNCTION("""COMPUTED_VALUE"""),0.0)</f>
        <v>0</v>
      </c>
      <c r="K3166" s="139">
        <f>IFERROR(__xludf.DUMMYFUNCTION("""COMPUTED_VALUE"""),0.0)</f>
        <v>0</v>
      </c>
      <c r="L3166" s="139"/>
      <c r="M3166" s="139"/>
      <c r="N3166" s="139"/>
    </row>
    <row r="3167">
      <c r="A3167" s="139" t="str">
        <f>IFERROR(__xludf.DUMMYFUNCTION("""COMPUTED_VALUE"""),"e")</f>
        <v>e</v>
      </c>
      <c r="B3167" s="139">
        <f>IFERROR(__xludf.DUMMYFUNCTION("""COMPUTED_VALUE"""),2.02603025E8)</f>
        <v>202603025</v>
      </c>
      <c r="C3167" s="139" t="str">
        <f>IFERROR(__xludf.DUMMYFUNCTION("""COMPUTED_VALUE"""),"e_gom_01001_l05anniv_challenge01_Boss_Colorless_Appearance_00001")</f>
        <v>e_gom_01001_l05anniv_challenge01_Boss_Colorless_Appearance_00001</v>
      </c>
      <c r="D3167" s="139" t="str">
        <f>IFERROR(__xludf.DUMMYFUNCTION("""COMPUTED_VALUE"""),"e_gom_01001_l05anniv_challenge01_Boss_Colorless")</f>
        <v>e_gom_01001_l05anniv_challenge01_Boss_Colorless</v>
      </c>
      <c r="E3167" s="139">
        <f>IFERROR(__xludf.DUMMYFUNCTION("""COMPUTED_VALUE"""),0.0)</f>
        <v>0</v>
      </c>
      <c r="F3167" s="139" t="str">
        <f>IFERROR(__xludf.DUMMYFUNCTION("""COMPUTED_VALUE"""),"Appearance")</f>
        <v>Appearance</v>
      </c>
      <c r="G3167" s="139"/>
      <c r="H3167" s="139"/>
      <c r="I3167" s="139">
        <f>IFERROR(__xludf.DUMMYFUNCTION("""COMPUTED_VALUE"""),50.0)</f>
        <v>50</v>
      </c>
      <c r="J3167" s="139">
        <f>IFERROR(__xludf.DUMMYFUNCTION("""COMPUTED_VALUE"""),0.0)</f>
        <v>0</v>
      </c>
      <c r="K3167" s="139">
        <f>IFERROR(__xludf.DUMMYFUNCTION("""COMPUTED_VALUE"""),0.0)</f>
        <v>0</v>
      </c>
      <c r="L3167" s="139"/>
      <c r="M3167" s="139"/>
      <c r="N3167" s="139"/>
    </row>
    <row r="3168">
      <c r="A3168" s="139" t="str">
        <f>IFERROR(__xludf.DUMMYFUNCTION("""COMPUTED_VALUE"""),"e")</f>
        <v>e</v>
      </c>
      <c r="B3168" s="139">
        <f>IFERROR(__xludf.DUMMYFUNCTION("""COMPUTED_VALUE"""),2.02603025E8)</f>
        <v>202603025</v>
      </c>
      <c r="C3168" s="139" t="str">
        <f>IFERROR(__xludf.DUMMYFUNCTION("""COMPUTED_VALUE"""),"e_gom_00501_l05anniv_challenge01_Boss_Colorless_Appearance_00001")</f>
        <v>e_gom_00501_l05anniv_challenge01_Boss_Colorless_Appearance_00001</v>
      </c>
      <c r="D3168" s="139" t="str">
        <f>IFERROR(__xludf.DUMMYFUNCTION("""COMPUTED_VALUE"""),"e_gom_00501_l05anniv_challenge01_Boss_Colorless")</f>
        <v>e_gom_00501_l05anniv_challenge01_Boss_Colorless</v>
      </c>
      <c r="E3168" s="139">
        <f>IFERROR(__xludf.DUMMYFUNCTION("""COMPUTED_VALUE"""),0.0)</f>
        <v>0</v>
      </c>
      <c r="F3168" s="139" t="str">
        <f>IFERROR(__xludf.DUMMYFUNCTION("""COMPUTED_VALUE"""),"Appearance")</f>
        <v>Appearance</v>
      </c>
      <c r="G3168" s="139"/>
      <c r="H3168" s="139"/>
      <c r="I3168" s="139">
        <f>IFERROR(__xludf.DUMMYFUNCTION("""COMPUTED_VALUE"""),50.0)</f>
        <v>50</v>
      </c>
      <c r="J3168" s="139">
        <f>IFERROR(__xludf.DUMMYFUNCTION("""COMPUTED_VALUE"""),0.0)</f>
        <v>0</v>
      </c>
      <c r="K3168" s="139">
        <f>IFERROR(__xludf.DUMMYFUNCTION("""COMPUTED_VALUE"""),0.0)</f>
        <v>0</v>
      </c>
      <c r="L3168" s="139"/>
      <c r="M3168" s="139"/>
      <c r="N3168" s="139"/>
    </row>
    <row r="3169">
      <c r="A3169" s="139" t="str">
        <f>IFERROR(__xludf.DUMMYFUNCTION("""COMPUTED_VALUE"""),"e")</f>
        <v>e</v>
      </c>
      <c r="B3169" s="139">
        <f>IFERROR(__xludf.DUMMYFUNCTION("""COMPUTED_VALUE"""),2.02603025E8)</f>
        <v>202603025</v>
      </c>
      <c r="C3169" s="139" t="str">
        <f>IFERROR(__xludf.DUMMYFUNCTION("""COMPUTED_VALUE"""),"e_gom_01002_l05anniv_challenge01_Boss_Colorless_Appearance_00001")</f>
        <v>e_gom_01002_l05anniv_challenge01_Boss_Colorless_Appearance_00001</v>
      </c>
      <c r="D3169" s="139" t="str">
        <f>IFERROR(__xludf.DUMMYFUNCTION("""COMPUTED_VALUE"""),"e_gom_01002_l05anniv_challenge01_Boss_Colorless")</f>
        <v>e_gom_01002_l05anniv_challenge01_Boss_Colorless</v>
      </c>
      <c r="E3169" s="139">
        <f>IFERROR(__xludf.DUMMYFUNCTION("""COMPUTED_VALUE"""),0.0)</f>
        <v>0</v>
      </c>
      <c r="F3169" s="139" t="str">
        <f>IFERROR(__xludf.DUMMYFUNCTION("""COMPUTED_VALUE"""),"Appearance")</f>
        <v>Appearance</v>
      </c>
      <c r="G3169" s="139"/>
      <c r="H3169" s="139"/>
      <c r="I3169" s="139">
        <f>IFERROR(__xludf.DUMMYFUNCTION("""COMPUTED_VALUE"""),50.0)</f>
        <v>50</v>
      </c>
      <c r="J3169" s="139">
        <f>IFERROR(__xludf.DUMMYFUNCTION("""COMPUTED_VALUE"""),0.0)</f>
        <v>0</v>
      </c>
      <c r="K3169" s="139">
        <f>IFERROR(__xludf.DUMMYFUNCTION("""COMPUTED_VALUE"""),0.0)</f>
        <v>0</v>
      </c>
      <c r="L3169" s="139"/>
      <c r="M3169" s="139"/>
      <c r="N3169" s="139"/>
    </row>
    <row r="3170">
      <c r="A3170" s="139" t="str">
        <f>IFERROR(__xludf.DUMMYFUNCTION("""COMPUTED_VALUE"""),"e")</f>
        <v>e</v>
      </c>
      <c r="B3170" s="139">
        <f>IFERROR(__xludf.DUMMYFUNCTION("""COMPUTED_VALUE"""),2.02603025E8)</f>
        <v>202603025</v>
      </c>
      <c r="C3170" s="139" t="str">
        <f>IFERROR(__xludf.DUMMYFUNCTION("""COMPUTED_VALUE"""),"e_gom_00901_l05anniv_challenge01_Boss_Colorless_Appearance_00001")</f>
        <v>e_gom_00901_l05anniv_challenge01_Boss_Colorless_Appearance_00001</v>
      </c>
      <c r="D3170" s="139" t="str">
        <f>IFERROR(__xludf.DUMMYFUNCTION("""COMPUTED_VALUE"""),"e_gom_00901_l05anniv_challenge01_Boss_Colorless")</f>
        <v>e_gom_00901_l05anniv_challenge01_Boss_Colorless</v>
      </c>
      <c r="E3170" s="139">
        <f>IFERROR(__xludf.DUMMYFUNCTION("""COMPUTED_VALUE"""),0.0)</f>
        <v>0</v>
      </c>
      <c r="F3170" s="139" t="str">
        <f>IFERROR(__xludf.DUMMYFUNCTION("""COMPUTED_VALUE"""),"Appearance")</f>
        <v>Appearance</v>
      </c>
      <c r="G3170" s="139"/>
      <c r="H3170" s="139"/>
      <c r="I3170" s="139">
        <f>IFERROR(__xludf.DUMMYFUNCTION("""COMPUTED_VALUE"""),50.0)</f>
        <v>50</v>
      </c>
      <c r="J3170" s="139">
        <f>IFERROR(__xludf.DUMMYFUNCTION("""COMPUTED_VALUE"""),0.0)</f>
        <v>0</v>
      </c>
      <c r="K3170" s="139">
        <f>IFERROR(__xludf.DUMMYFUNCTION("""COMPUTED_VALUE"""),0.0)</f>
        <v>0</v>
      </c>
      <c r="L3170" s="139"/>
      <c r="M3170" s="139"/>
      <c r="N3170" s="139"/>
    </row>
    <row r="3171">
      <c r="A3171" s="139"/>
      <c r="B3171" s="139"/>
      <c r="C3171" s="139"/>
      <c r="D3171" s="139"/>
      <c r="E3171" s="139"/>
      <c r="F3171" s="139"/>
      <c r="G3171" s="139"/>
      <c r="H3171" s="139"/>
      <c r="I3171" s="139"/>
      <c r="J3171" s="139"/>
      <c r="K3171" s="139"/>
      <c r="L3171" s="139"/>
      <c r="M3171" s="139"/>
      <c r="N3171" s="139"/>
    </row>
    <row r="3172">
      <c r="A3172" s="139" t="str">
        <f>IFERROR(__xludf.DUMMYFUNCTION("""COMPUTED_VALUE"""),"e")</f>
        <v>e</v>
      </c>
      <c r="B3172" s="139">
        <f>IFERROR(__xludf.DUMMYFUNCTION("""COMPUTED_VALUE"""),2.0260401E8)</f>
        <v>202604010</v>
      </c>
      <c r="C3172" s="139" t="str">
        <f>IFERROR(__xludf.DUMMYFUNCTION("""COMPUTED_VALUE"""),"e_aya_00001_aya1_1d1c_Boss_Colorless_Normal_00000")</f>
        <v>e_aya_00001_aya1_1d1c_Boss_Colorless_Normal_00000</v>
      </c>
      <c r="D3172" s="139" t="str">
        <f>IFERROR(__xludf.DUMMYFUNCTION("""COMPUTED_VALUE"""),"e_aya_00001_aya1_1d1c_Boss_Colorless")</f>
        <v>e_aya_00001_aya1_1d1c_Boss_Colorless</v>
      </c>
      <c r="E3172" s="139">
        <f>IFERROR(__xludf.DUMMYFUNCTION("""COMPUTED_VALUE"""),0.0)</f>
        <v>0</v>
      </c>
      <c r="F3172" s="139" t="str">
        <f>IFERROR(__xludf.DUMMYFUNCTION("""COMPUTED_VALUE"""),"Normal")</f>
        <v>Normal</v>
      </c>
      <c r="G3172" s="139"/>
      <c r="H3172" s="139"/>
      <c r="I3172" s="139">
        <f>IFERROR(__xludf.DUMMYFUNCTION("""COMPUTED_VALUE"""),80.0)</f>
        <v>80</v>
      </c>
      <c r="J3172" s="139">
        <f>IFERROR(__xludf.DUMMYFUNCTION("""COMPUTED_VALUE"""),38.0)</f>
        <v>38</v>
      </c>
      <c r="K3172" s="139">
        <f>IFERROR(__xludf.DUMMYFUNCTION("""COMPUTED_VALUE"""),50.0)</f>
        <v>50</v>
      </c>
      <c r="L3172" s="139"/>
      <c r="M3172" s="139"/>
      <c r="N3172" s="139"/>
    </row>
    <row r="3173">
      <c r="A3173" s="139" t="str">
        <f>IFERROR(__xludf.DUMMYFUNCTION("""COMPUTED_VALUE"""),"e")</f>
        <v>e</v>
      </c>
      <c r="B3173" s="139">
        <f>IFERROR(__xludf.DUMMYFUNCTION("""COMPUTED_VALUE"""),2.0260401E8)</f>
        <v>202604010</v>
      </c>
      <c r="C3173" s="139" t="str">
        <f>IFERROR(__xludf.DUMMYFUNCTION("""COMPUTED_VALUE"""),"e_aya_00001_aya1_1d1c_Boss_Colorless_Appearance_00001")</f>
        <v>e_aya_00001_aya1_1d1c_Boss_Colorless_Appearance_00001</v>
      </c>
      <c r="D3173" s="139" t="str">
        <f>IFERROR(__xludf.DUMMYFUNCTION("""COMPUTED_VALUE"""),"e_aya_00001_aya1_1d1c_Boss_Colorless")</f>
        <v>e_aya_00001_aya1_1d1c_Boss_Colorless</v>
      </c>
      <c r="E3173" s="139">
        <f>IFERROR(__xludf.DUMMYFUNCTION("""COMPUTED_VALUE"""),0.0)</f>
        <v>0</v>
      </c>
      <c r="F3173" s="139" t="str">
        <f>IFERROR(__xludf.DUMMYFUNCTION("""COMPUTED_VALUE"""),"Appearance")</f>
        <v>Appearance</v>
      </c>
      <c r="G3173" s="139"/>
      <c r="H3173" s="139"/>
      <c r="I3173" s="139">
        <f>IFERROR(__xludf.DUMMYFUNCTION("""COMPUTED_VALUE"""),50.0)</f>
        <v>50</v>
      </c>
      <c r="J3173" s="139">
        <f>IFERROR(__xludf.DUMMYFUNCTION("""COMPUTED_VALUE"""),0.0)</f>
        <v>0</v>
      </c>
      <c r="K3173" s="139">
        <f>IFERROR(__xludf.DUMMYFUNCTION("""COMPUTED_VALUE"""),0.0)</f>
        <v>0</v>
      </c>
      <c r="L3173" s="139"/>
      <c r="M3173" s="139"/>
      <c r="N3173" s="139"/>
    </row>
    <row r="3174">
      <c r="A3174" s="139" t="str">
        <f>IFERROR(__xludf.DUMMYFUNCTION("""COMPUTED_VALUE"""),"e")</f>
        <v>e</v>
      </c>
      <c r="B3174" s="139">
        <f>IFERROR(__xludf.DUMMYFUNCTION("""COMPUTED_VALUE"""),2.0260401E8)</f>
        <v>202604010</v>
      </c>
      <c r="C3174" s="139" t="str">
        <f>IFERROR(__xludf.DUMMYFUNCTION("""COMPUTED_VALUE"""),"e_glo_00001_aya1_1d1c_Normal_Colorless_Normal_00000")</f>
        <v>e_glo_00001_aya1_1d1c_Normal_Colorless_Normal_00000</v>
      </c>
      <c r="D3174" s="139" t="str">
        <f>IFERROR(__xludf.DUMMYFUNCTION("""COMPUTED_VALUE"""),"e_glo_00001_aya1_1d1c_Normal_Colorless")</f>
        <v>e_glo_00001_aya1_1d1c_Normal_Colorless</v>
      </c>
      <c r="E3174" s="139">
        <f>IFERROR(__xludf.DUMMYFUNCTION("""COMPUTED_VALUE"""),0.0)</f>
        <v>0</v>
      </c>
      <c r="F3174" s="139" t="str">
        <f>IFERROR(__xludf.DUMMYFUNCTION("""COMPUTED_VALUE"""),"Normal")</f>
        <v>Normal</v>
      </c>
      <c r="G3174" s="139"/>
      <c r="H3174" s="139"/>
      <c r="I3174" s="139">
        <f>IFERROR(__xludf.DUMMYFUNCTION("""COMPUTED_VALUE"""),50.0)</f>
        <v>50</v>
      </c>
      <c r="J3174" s="139">
        <f>IFERROR(__xludf.DUMMYFUNCTION("""COMPUTED_VALUE"""),25.0)</f>
        <v>25</v>
      </c>
      <c r="K3174" s="139">
        <f>IFERROR(__xludf.DUMMYFUNCTION("""COMPUTED_VALUE"""),40.0)</f>
        <v>40</v>
      </c>
      <c r="L3174" s="139"/>
      <c r="M3174" s="139"/>
      <c r="N3174" s="139"/>
    </row>
    <row r="3175">
      <c r="A3175" s="139" t="str">
        <f>IFERROR(__xludf.DUMMYFUNCTION("""COMPUTED_VALUE"""),"e")</f>
        <v>e</v>
      </c>
      <c r="B3175" s="139">
        <f>IFERROR(__xludf.DUMMYFUNCTION("""COMPUTED_VALUE"""),2.0260401E8)</f>
        <v>202604010</v>
      </c>
      <c r="C3175" s="139" t="str">
        <f>IFERROR(__xludf.DUMMYFUNCTION("""COMPUTED_VALUE"""),"c_aya_00001_aya1_charaget02_Normal_Green_Normal_00000")</f>
        <v>c_aya_00001_aya1_charaget02_Normal_Green_Normal_00000</v>
      </c>
      <c r="D3175" s="139" t="str">
        <f>IFERROR(__xludf.DUMMYFUNCTION("""COMPUTED_VALUE"""),"c_aya_00001_aya1_charaget02_Normal_Green")</f>
        <v>c_aya_00001_aya1_charaget02_Normal_Green</v>
      </c>
      <c r="E3175" s="139">
        <f>IFERROR(__xludf.DUMMYFUNCTION("""COMPUTED_VALUE"""),0.0)</f>
        <v>0</v>
      </c>
      <c r="F3175" s="139" t="str">
        <f>IFERROR(__xludf.DUMMYFUNCTION("""COMPUTED_VALUE"""),"Normal")</f>
        <v>Normal</v>
      </c>
      <c r="G3175" s="139"/>
      <c r="H3175" s="139"/>
      <c r="I3175" s="139">
        <f>IFERROR(__xludf.DUMMYFUNCTION("""COMPUTED_VALUE"""),83.0)</f>
        <v>83</v>
      </c>
      <c r="J3175" s="139">
        <f>IFERROR(__xludf.DUMMYFUNCTION("""COMPUTED_VALUE"""),33.0)</f>
        <v>33</v>
      </c>
      <c r="K3175" s="139">
        <f>IFERROR(__xludf.DUMMYFUNCTION("""COMPUTED_VALUE"""),50.0)</f>
        <v>50</v>
      </c>
      <c r="L3175" s="139"/>
      <c r="M3175" s="139"/>
      <c r="N3175" s="139"/>
    </row>
    <row r="3176">
      <c r="A3176" s="139" t="str">
        <f>IFERROR(__xludf.DUMMYFUNCTION("""COMPUTED_VALUE"""),"e")</f>
        <v>e</v>
      </c>
      <c r="B3176" s="139">
        <f>IFERROR(__xludf.DUMMYFUNCTION("""COMPUTED_VALUE"""),2.0260401E8)</f>
        <v>202604010</v>
      </c>
      <c r="C3176" s="139" t="str">
        <f>IFERROR(__xludf.DUMMYFUNCTION("""COMPUTED_VALUE"""),"c_aya_00001_aya1_charaget02_Normal_Green_Special_00001")</f>
        <v>c_aya_00001_aya1_charaget02_Normal_Green_Special_00001</v>
      </c>
      <c r="D3176" s="139" t="str">
        <f>IFERROR(__xludf.DUMMYFUNCTION("""COMPUTED_VALUE"""),"c_aya_00001_aya1_charaget02_Normal_Green")</f>
        <v>c_aya_00001_aya1_charaget02_Normal_Green</v>
      </c>
      <c r="E3176" s="139">
        <f>IFERROR(__xludf.DUMMYFUNCTION("""COMPUTED_VALUE"""),0.0)</f>
        <v>0</v>
      </c>
      <c r="F3176" s="139" t="str">
        <f>IFERROR(__xludf.DUMMYFUNCTION("""COMPUTED_VALUE"""),"Special")</f>
        <v>Special</v>
      </c>
      <c r="G3176" s="139"/>
      <c r="H3176" s="139"/>
      <c r="I3176" s="139">
        <f>IFERROR(__xludf.DUMMYFUNCTION("""COMPUTED_VALUE"""),165.0)</f>
        <v>165</v>
      </c>
      <c r="J3176" s="139">
        <f>IFERROR(__xludf.DUMMYFUNCTION("""COMPUTED_VALUE"""),0.0)</f>
        <v>0</v>
      </c>
      <c r="K3176" s="139">
        <f>IFERROR(__xludf.DUMMYFUNCTION("""COMPUTED_VALUE"""),0.0)</f>
        <v>0</v>
      </c>
      <c r="L3176" s="139"/>
      <c r="M3176" s="139"/>
      <c r="N3176" s="139"/>
    </row>
    <row r="3177">
      <c r="A3177" s="139" t="str">
        <f>IFERROR(__xludf.DUMMYFUNCTION("""COMPUTED_VALUE"""),"e")</f>
        <v>e</v>
      </c>
      <c r="B3177" s="139">
        <f>IFERROR(__xludf.DUMMYFUNCTION("""COMPUTED_VALUE"""),2.0260401E8)</f>
        <v>202604010</v>
      </c>
      <c r="C3177" s="139" t="str">
        <f>IFERROR(__xludf.DUMMYFUNCTION("""COMPUTED_VALUE"""),"c_aya_00101_aya1_charaget02_Boss_Green_Normal_00000")</f>
        <v>c_aya_00101_aya1_charaget02_Boss_Green_Normal_00000</v>
      </c>
      <c r="D3177" s="139" t="str">
        <f>IFERROR(__xludf.DUMMYFUNCTION("""COMPUTED_VALUE"""),"c_aya_00101_aya1_charaget02_Boss_Green")</f>
        <v>c_aya_00101_aya1_charaget02_Boss_Green</v>
      </c>
      <c r="E3177" s="139">
        <f>IFERROR(__xludf.DUMMYFUNCTION("""COMPUTED_VALUE"""),0.0)</f>
        <v>0</v>
      </c>
      <c r="F3177" s="139" t="str">
        <f>IFERROR(__xludf.DUMMYFUNCTION("""COMPUTED_VALUE"""),"Normal")</f>
        <v>Normal</v>
      </c>
      <c r="G3177" s="139"/>
      <c r="H3177" s="139"/>
      <c r="I3177" s="139">
        <f>IFERROR(__xludf.DUMMYFUNCTION("""COMPUTED_VALUE"""),83.0)</f>
        <v>83</v>
      </c>
      <c r="J3177" s="139">
        <f>IFERROR(__xludf.DUMMYFUNCTION("""COMPUTED_VALUE"""),36.0)</f>
        <v>36</v>
      </c>
      <c r="K3177" s="139">
        <f>IFERROR(__xludf.DUMMYFUNCTION("""COMPUTED_VALUE"""),50.0)</f>
        <v>50</v>
      </c>
      <c r="L3177" s="139"/>
      <c r="M3177" s="139"/>
      <c r="N3177" s="139"/>
    </row>
    <row r="3178">
      <c r="A3178" s="139" t="str">
        <f>IFERROR(__xludf.DUMMYFUNCTION("""COMPUTED_VALUE"""),"e")</f>
        <v>e</v>
      </c>
      <c r="B3178" s="139">
        <f>IFERROR(__xludf.DUMMYFUNCTION("""COMPUTED_VALUE"""),2.0260401E8)</f>
        <v>202604010</v>
      </c>
      <c r="C3178" s="139" t="str">
        <f>IFERROR(__xludf.DUMMYFUNCTION("""COMPUTED_VALUE"""),"c_aya_00101_aya1_charaget02_Boss_Green_Special_00001")</f>
        <v>c_aya_00101_aya1_charaget02_Boss_Green_Special_00001</v>
      </c>
      <c r="D3178" s="139" t="str">
        <f>IFERROR(__xludf.DUMMYFUNCTION("""COMPUTED_VALUE"""),"c_aya_00101_aya1_charaget02_Boss_Green")</f>
        <v>c_aya_00101_aya1_charaget02_Boss_Green</v>
      </c>
      <c r="E3178" s="139">
        <f>IFERROR(__xludf.DUMMYFUNCTION("""COMPUTED_VALUE"""),0.0)</f>
        <v>0</v>
      </c>
      <c r="F3178" s="139" t="str">
        <f>IFERROR(__xludf.DUMMYFUNCTION("""COMPUTED_VALUE"""),"Special")</f>
        <v>Special</v>
      </c>
      <c r="G3178" s="139"/>
      <c r="H3178" s="139"/>
      <c r="I3178" s="139">
        <f>IFERROR(__xludf.DUMMYFUNCTION("""COMPUTED_VALUE"""),155.0)</f>
        <v>155</v>
      </c>
      <c r="J3178" s="139">
        <f>IFERROR(__xludf.DUMMYFUNCTION("""COMPUTED_VALUE"""),68.0)</f>
        <v>68</v>
      </c>
      <c r="K3178" s="139">
        <f>IFERROR(__xludf.DUMMYFUNCTION("""COMPUTED_VALUE"""),0.0)</f>
        <v>0</v>
      </c>
      <c r="L3178" s="139"/>
      <c r="M3178" s="139"/>
      <c r="N3178" s="139"/>
    </row>
    <row r="3179">
      <c r="A3179" s="139" t="str">
        <f>IFERROR(__xludf.DUMMYFUNCTION("""COMPUTED_VALUE"""),"e")</f>
        <v>e</v>
      </c>
      <c r="B3179" s="139">
        <f>IFERROR(__xludf.DUMMYFUNCTION("""COMPUTED_VALUE"""),2.0260401E8)</f>
        <v>202604010</v>
      </c>
      <c r="C3179" s="139" t="str">
        <f>IFERROR(__xludf.DUMMYFUNCTION("""COMPUTED_VALUE"""),"c_aya_00101_aya1_charaget02_Boss_Green_Appearance_00002")</f>
        <v>c_aya_00101_aya1_charaget02_Boss_Green_Appearance_00002</v>
      </c>
      <c r="D3179" s="139" t="str">
        <f>IFERROR(__xludf.DUMMYFUNCTION("""COMPUTED_VALUE"""),"c_aya_00101_aya1_charaget02_Boss_Green")</f>
        <v>c_aya_00101_aya1_charaget02_Boss_Green</v>
      </c>
      <c r="E3179" s="139">
        <f>IFERROR(__xludf.DUMMYFUNCTION("""COMPUTED_VALUE"""),0.0)</f>
        <v>0</v>
      </c>
      <c r="F3179" s="139" t="str">
        <f>IFERROR(__xludf.DUMMYFUNCTION("""COMPUTED_VALUE"""),"Appearance")</f>
        <v>Appearance</v>
      </c>
      <c r="G3179" s="139"/>
      <c r="H3179" s="139"/>
      <c r="I3179" s="139">
        <f>IFERROR(__xludf.DUMMYFUNCTION("""COMPUTED_VALUE"""),50.0)</f>
        <v>50</v>
      </c>
      <c r="J3179" s="139">
        <f>IFERROR(__xludf.DUMMYFUNCTION("""COMPUTED_VALUE"""),0.0)</f>
        <v>0</v>
      </c>
      <c r="K3179" s="139">
        <f>IFERROR(__xludf.DUMMYFUNCTION("""COMPUTED_VALUE"""),0.0)</f>
        <v>0</v>
      </c>
      <c r="L3179" s="139"/>
      <c r="M3179" s="139"/>
      <c r="N3179" s="139"/>
    </row>
    <row r="3180">
      <c r="A3180" s="139" t="str">
        <f>IFERROR(__xludf.DUMMYFUNCTION("""COMPUTED_VALUE"""),"e")</f>
        <v>e</v>
      </c>
      <c r="B3180" s="139">
        <f>IFERROR(__xludf.DUMMYFUNCTION("""COMPUTED_VALUE"""),2.0260401E8)</f>
        <v>202604010</v>
      </c>
      <c r="C3180" s="139" t="str">
        <f>IFERROR(__xludf.DUMMYFUNCTION("""COMPUTED_VALUE"""),"c_aya_00101_aya1_charaget02_Normal_Green_Normal_00000")</f>
        <v>c_aya_00101_aya1_charaget02_Normal_Green_Normal_00000</v>
      </c>
      <c r="D3180" s="139" t="str">
        <f>IFERROR(__xludf.DUMMYFUNCTION("""COMPUTED_VALUE"""),"c_aya_00101_aya1_charaget02_Normal_Green")</f>
        <v>c_aya_00101_aya1_charaget02_Normal_Green</v>
      </c>
      <c r="E3180" s="139">
        <f>IFERROR(__xludf.DUMMYFUNCTION("""COMPUTED_VALUE"""),0.0)</f>
        <v>0</v>
      </c>
      <c r="F3180" s="139" t="str">
        <f>IFERROR(__xludf.DUMMYFUNCTION("""COMPUTED_VALUE"""),"Normal")</f>
        <v>Normal</v>
      </c>
      <c r="G3180" s="139"/>
      <c r="H3180" s="139"/>
      <c r="I3180" s="139">
        <f>IFERROR(__xludf.DUMMYFUNCTION("""COMPUTED_VALUE"""),83.0)</f>
        <v>83</v>
      </c>
      <c r="J3180" s="139">
        <f>IFERROR(__xludf.DUMMYFUNCTION("""COMPUTED_VALUE"""),36.0)</f>
        <v>36</v>
      </c>
      <c r="K3180" s="139">
        <f>IFERROR(__xludf.DUMMYFUNCTION("""COMPUTED_VALUE"""),50.0)</f>
        <v>50</v>
      </c>
      <c r="L3180" s="139"/>
      <c r="M3180" s="139"/>
      <c r="N3180" s="139"/>
    </row>
    <row r="3181">
      <c r="A3181" s="139" t="str">
        <f>IFERROR(__xludf.DUMMYFUNCTION("""COMPUTED_VALUE"""),"e")</f>
        <v>e</v>
      </c>
      <c r="B3181" s="139">
        <f>IFERROR(__xludf.DUMMYFUNCTION("""COMPUTED_VALUE"""),2.0260401E8)</f>
        <v>202604010</v>
      </c>
      <c r="C3181" s="139" t="str">
        <f>IFERROR(__xludf.DUMMYFUNCTION("""COMPUTED_VALUE"""),"c_aya_00101_aya1_charaget02_Normal_Green_Special_00001")</f>
        <v>c_aya_00101_aya1_charaget02_Normal_Green_Special_00001</v>
      </c>
      <c r="D3181" s="139" t="str">
        <f>IFERROR(__xludf.DUMMYFUNCTION("""COMPUTED_VALUE"""),"c_aya_00101_aya1_charaget02_Normal_Green")</f>
        <v>c_aya_00101_aya1_charaget02_Normal_Green</v>
      </c>
      <c r="E3181" s="139">
        <f>IFERROR(__xludf.DUMMYFUNCTION("""COMPUTED_VALUE"""),0.0)</f>
        <v>0</v>
      </c>
      <c r="F3181" s="139" t="str">
        <f>IFERROR(__xludf.DUMMYFUNCTION("""COMPUTED_VALUE"""),"Special")</f>
        <v>Special</v>
      </c>
      <c r="G3181" s="139"/>
      <c r="H3181" s="139"/>
      <c r="I3181" s="139">
        <f>IFERROR(__xludf.DUMMYFUNCTION("""COMPUTED_VALUE"""),155.0)</f>
        <v>155</v>
      </c>
      <c r="J3181" s="139">
        <f>IFERROR(__xludf.DUMMYFUNCTION("""COMPUTED_VALUE"""),68.0)</f>
        <v>68</v>
      </c>
      <c r="K3181" s="139">
        <f>IFERROR(__xludf.DUMMYFUNCTION("""COMPUTED_VALUE"""),0.0)</f>
        <v>0</v>
      </c>
      <c r="L3181" s="139"/>
      <c r="M3181" s="139"/>
      <c r="N3181" s="139"/>
    </row>
    <row r="3182">
      <c r="A3182" s="139" t="str">
        <f>IFERROR(__xludf.DUMMYFUNCTION("""COMPUTED_VALUE"""),"e")</f>
        <v>e</v>
      </c>
      <c r="B3182" s="139">
        <f>IFERROR(__xludf.DUMMYFUNCTION("""COMPUTED_VALUE"""),2.0260401E8)</f>
        <v>202604010</v>
      </c>
      <c r="C3182" s="139" t="str">
        <f>IFERROR(__xludf.DUMMYFUNCTION("""COMPUTED_VALUE"""),"c_aya_00201_aya1_charaget02_Boss_Green_Normal_00000")</f>
        <v>c_aya_00201_aya1_charaget02_Boss_Green_Normal_00000</v>
      </c>
      <c r="D3182" s="139" t="str">
        <f>IFERROR(__xludf.DUMMYFUNCTION("""COMPUTED_VALUE"""),"c_aya_00201_aya1_charaget02_Boss_Green")</f>
        <v>c_aya_00201_aya1_charaget02_Boss_Green</v>
      </c>
      <c r="E3182" s="139">
        <f>IFERROR(__xludf.DUMMYFUNCTION("""COMPUTED_VALUE"""),0.0)</f>
        <v>0</v>
      </c>
      <c r="F3182" s="139" t="str">
        <f>IFERROR(__xludf.DUMMYFUNCTION("""COMPUTED_VALUE"""),"Normal")</f>
        <v>Normal</v>
      </c>
      <c r="G3182" s="139"/>
      <c r="H3182" s="139"/>
      <c r="I3182" s="139">
        <f>IFERROR(__xludf.DUMMYFUNCTION("""COMPUTED_VALUE"""),80.0)</f>
        <v>80</v>
      </c>
      <c r="J3182" s="139">
        <f>IFERROR(__xludf.DUMMYFUNCTION("""COMPUTED_VALUE"""),35.0)</f>
        <v>35</v>
      </c>
      <c r="K3182" s="139">
        <f>IFERROR(__xludf.DUMMYFUNCTION("""COMPUTED_VALUE"""),50.0)</f>
        <v>50</v>
      </c>
      <c r="L3182" s="139"/>
      <c r="M3182" s="139"/>
      <c r="N3182" s="139"/>
    </row>
    <row r="3183">
      <c r="A3183" s="139" t="str">
        <f>IFERROR(__xludf.DUMMYFUNCTION("""COMPUTED_VALUE"""),"e")</f>
        <v>e</v>
      </c>
      <c r="B3183" s="139">
        <f>IFERROR(__xludf.DUMMYFUNCTION("""COMPUTED_VALUE"""),2.0260401E8)</f>
        <v>202604010</v>
      </c>
      <c r="C3183" s="139" t="str">
        <f>IFERROR(__xludf.DUMMYFUNCTION("""COMPUTED_VALUE"""),"c_aya_00201_aya1_charaget02_Boss_Green_Special_00001")</f>
        <v>c_aya_00201_aya1_charaget02_Boss_Green_Special_00001</v>
      </c>
      <c r="D3183" s="139" t="str">
        <f>IFERROR(__xludf.DUMMYFUNCTION("""COMPUTED_VALUE"""),"c_aya_00201_aya1_charaget02_Boss_Green")</f>
        <v>c_aya_00201_aya1_charaget02_Boss_Green</v>
      </c>
      <c r="E3183" s="139">
        <f>IFERROR(__xludf.DUMMYFUNCTION("""COMPUTED_VALUE"""),0.0)</f>
        <v>0</v>
      </c>
      <c r="F3183" s="139" t="str">
        <f>IFERROR(__xludf.DUMMYFUNCTION("""COMPUTED_VALUE"""),"Special")</f>
        <v>Special</v>
      </c>
      <c r="G3183" s="139"/>
      <c r="H3183" s="139"/>
      <c r="I3183" s="139">
        <f>IFERROR(__xludf.DUMMYFUNCTION("""COMPUTED_VALUE"""),140.0)</f>
        <v>140</v>
      </c>
      <c r="J3183" s="139">
        <f>IFERROR(__xludf.DUMMYFUNCTION("""COMPUTED_VALUE"""),80.0)</f>
        <v>80</v>
      </c>
      <c r="K3183" s="139">
        <f>IFERROR(__xludf.DUMMYFUNCTION("""COMPUTED_VALUE"""),0.0)</f>
        <v>0</v>
      </c>
      <c r="L3183" s="139"/>
      <c r="M3183" s="139"/>
      <c r="N3183" s="139"/>
    </row>
    <row r="3184">
      <c r="A3184" s="139" t="str">
        <f>IFERROR(__xludf.DUMMYFUNCTION("""COMPUTED_VALUE"""),"e")</f>
        <v>e</v>
      </c>
      <c r="B3184" s="139">
        <f>IFERROR(__xludf.DUMMYFUNCTION("""COMPUTED_VALUE"""),2.0260401E8)</f>
        <v>202604010</v>
      </c>
      <c r="C3184" s="139" t="str">
        <f>IFERROR(__xludf.DUMMYFUNCTION("""COMPUTED_VALUE"""),"c_aya_00201_aya1_charaget02_Boss_Green_Appearance_00002")</f>
        <v>c_aya_00201_aya1_charaget02_Boss_Green_Appearance_00002</v>
      </c>
      <c r="D3184" s="139" t="str">
        <f>IFERROR(__xludf.DUMMYFUNCTION("""COMPUTED_VALUE"""),"c_aya_00201_aya1_charaget02_Boss_Green")</f>
        <v>c_aya_00201_aya1_charaget02_Boss_Green</v>
      </c>
      <c r="E3184" s="139">
        <f>IFERROR(__xludf.DUMMYFUNCTION("""COMPUTED_VALUE"""),0.0)</f>
        <v>0</v>
      </c>
      <c r="F3184" s="139" t="str">
        <f>IFERROR(__xludf.DUMMYFUNCTION("""COMPUTED_VALUE"""),"Appearance")</f>
        <v>Appearance</v>
      </c>
      <c r="G3184" s="139"/>
      <c r="H3184" s="139"/>
      <c r="I3184" s="139">
        <f>IFERROR(__xludf.DUMMYFUNCTION("""COMPUTED_VALUE"""),50.0)</f>
        <v>50</v>
      </c>
      <c r="J3184" s="139">
        <f>IFERROR(__xludf.DUMMYFUNCTION("""COMPUTED_VALUE"""),0.0)</f>
        <v>0</v>
      </c>
      <c r="K3184" s="139">
        <f>IFERROR(__xludf.DUMMYFUNCTION("""COMPUTED_VALUE"""),0.0)</f>
        <v>0</v>
      </c>
      <c r="L3184" s="139"/>
      <c r="M3184" s="139"/>
      <c r="N3184" s="139"/>
    </row>
    <row r="3185">
      <c r="A3185" s="139" t="str">
        <f>IFERROR(__xludf.DUMMYFUNCTION("""COMPUTED_VALUE"""),"e")</f>
        <v>e</v>
      </c>
      <c r="B3185" s="139">
        <f>IFERROR(__xludf.DUMMYFUNCTION("""COMPUTED_VALUE"""),2.0260401E8)</f>
        <v>202604010</v>
      </c>
      <c r="C3185" s="139" t="str">
        <f>IFERROR(__xludf.DUMMYFUNCTION("""COMPUTED_VALUE"""),"c_aya_00201_aya1_charaget02_Normal_Green_Normal_00000")</f>
        <v>c_aya_00201_aya1_charaget02_Normal_Green_Normal_00000</v>
      </c>
      <c r="D3185" s="139" t="str">
        <f>IFERROR(__xludf.DUMMYFUNCTION("""COMPUTED_VALUE"""),"c_aya_00201_aya1_charaget02_Normal_Green")</f>
        <v>c_aya_00201_aya1_charaget02_Normal_Green</v>
      </c>
      <c r="E3185" s="139">
        <f>IFERROR(__xludf.DUMMYFUNCTION("""COMPUTED_VALUE"""),0.0)</f>
        <v>0</v>
      </c>
      <c r="F3185" s="139" t="str">
        <f>IFERROR(__xludf.DUMMYFUNCTION("""COMPUTED_VALUE"""),"Normal")</f>
        <v>Normal</v>
      </c>
      <c r="G3185" s="139"/>
      <c r="H3185" s="139"/>
      <c r="I3185" s="139">
        <f>IFERROR(__xludf.DUMMYFUNCTION("""COMPUTED_VALUE"""),80.0)</f>
        <v>80</v>
      </c>
      <c r="J3185" s="139">
        <f>IFERROR(__xludf.DUMMYFUNCTION("""COMPUTED_VALUE"""),35.0)</f>
        <v>35</v>
      </c>
      <c r="K3185" s="139">
        <f>IFERROR(__xludf.DUMMYFUNCTION("""COMPUTED_VALUE"""),50.0)</f>
        <v>50</v>
      </c>
      <c r="L3185" s="139"/>
      <c r="M3185" s="139"/>
      <c r="N3185" s="139"/>
    </row>
    <row r="3186">
      <c r="A3186" s="139" t="str">
        <f>IFERROR(__xludf.DUMMYFUNCTION("""COMPUTED_VALUE"""),"e")</f>
        <v>e</v>
      </c>
      <c r="B3186" s="139">
        <f>IFERROR(__xludf.DUMMYFUNCTION("""COMPUTED_VALUE"""),2.0260401E8)</f>
        <v>202604010</v>
      </c>
      <c r="C3186" s="139" t="str">
        <f>IFERROR(__xludf.DUMMYFUNCTION("""COMPUTED_VALUE"""),"c_aya_00201_aya1_charaget02_Normal_Green_Special_00001")</f>
        <v>c_aya_00201_aya1_charaget02_Normal_Green_Special_00001</v>
      </c>
      <c r="D3186" s="139" t="str">
        <f>IFERROR(__xludf.DUMMYFUNCTION("""COMPUTED_VALUE"""),"c_aya_00201_aya1_charaget02_Normal_Green")</f>
        <v>c_aya_00201_aya1_charaget02_Normal_Green</v>
      </c>
      <c r="E3186" s="139">
        <f>IFERROR(__xludf.DUMMYFUNCTION("""COMPUTED_VALUE"""),0.0)</f>
        <v>0</v>
      </c>
      <c r="F3186" s="139" t="str">
        <f>IFERROR(__xludf.DUMMYFUNCTION("""COMPUTED_VALUE"""),"Special")</f>
        <v>Special</v>
      </c>
      <c r="G3186" s="139"/>
      <c r="H3186" s="139"/>
      <c r="I3186" s="139">
        <f>IFERROR(__xludf.DUMMYFUNCTION("""COMPUTED_VALUE"""),140.0)</f>
        <v>140</v>
      </c>
      <c r="J3186" s="139">
        <f>IFERROR(__xludf.DUMMYFUNCTION("""COMPUTED_VALUE"""),80.0)</f>
        <v>80</v>
      </c>
      <c r="K3186" s="139">
        <f>IFERROR(__xludf.DUMMYFUNCTION("""COMPUTED_VALUE"""),0.0)</f>
        <v>0</v>
      </c>
      <c r="L3186" s="139"/>
      <c r="M3186" s="139"/>
      <c r="N3186" s="139"/>
    </row>
    <row r="3187">
      <c r="A3187" s="139" t="str">
        <f>IFERROR(__xludf.DUMMYFUNCTION("""COMPUTED_VALUE"""),"e")</f>
        <v>e</v>
      </c>
      <c r="B3187" s="139">
        <f>IFERROR(__xludf.DUMMYFUNCTION("""COMPUTED_VALUE"""),2.0260401E8)</f>
        <v>202604010</v>
      </c>
      <c r="C3187" s="139" t="str">
        <f>IFERROR(__xludf.DUMMYFUNCTION("""COMPUTED_VALUE"""),"c_aya_00301_aya1_charaget02_Normal_Green_Normal_00000")</f>
        <v>c_aya_00301_aya1_charaget02_Normal_Green_Normal_00000</v>
      </c>
      <c r="D3187" s="139" t="str">
        <f>IFERROR(__xludf.DUMMYFUNCTION("""COMPUTED_VALUE"""),"c_aya_00301_aya1_charaget02_Normal_Green")</f>
        <v>c_aya_00301_aya1_charaget02_Normal_Green</v>
      </c>
      <c r="E3187" s="139">
        <f>IFERROR(__xludf.DUMMYFUNCTION("""COMPUTED_VALUE"""),0.0)</f>
        <v>0</v>
      </c>
      <c r="F3187" s="139" t="str">
        <f>IFERROR(__xludf.DUMMYFUNCTION("""COMPUTED_VALUE"""),"Normal")</f>
        <v>Normal</v>
      </c>
      <c r="G3187" s="139"/>
      <c r="H3187" s="139"/>
      <c r="I3187" s="139">
        <f>IFERROR(__xludf.DUMMYFUNCTION("""COMPUTED_VALUE"""),79.0)</f>
        <v>79</v>
      </c>
      <c r="J3187" s="139">
        <f>IFERROR(__xludf.DUMMYFUNCTION("""COMPUTED_VALUE"""),30.0)</f>
        <v>30</v>
      </c>
      <c r="K3187" s="139">
        <f>IFERROR(__xludf.DUMMYFUNCTION("""COMPUTED_VALUE"""),50.0)</f>
        <v>50</v>
      </c>
      <c r="L3187" s="139"/>
      <c r="M3187" s="139"/>
      <c r="N3187" s="139"/>
    </row>
    <row r="3188">
      <c r="A3188" s="139" t="str">
        <f>IFERROR(__xludf.DUMMYFUNCTION("""COMPUTED_VALUE"""),"e")</f>
        <v>e</v>
      </c>
      <c r="B3188" s="139">
        <f>IFERROR(__xludf.DUMMYFUNCTION("""COMPUTED_VALUE"""),2.0260401E8)</f>
        <v>202604010</v>
      </c>
      <c r="C3188" s="139" t="str">
        <f>IFERROR(__xludf.DUMMYFUNCTION("""COMPUTED_VALUE"""),"c_aya_00301_aya1_charaget02_Normal_Green_Special_00001")</f>
        <v>c_aya_00301_aya1_charaget02_Normal_Green_Special_00001</v>
      </c>
      <c r="D3188" s="139" t="str">
        <f>IFERROR(__xludf.DUMMYFUNCTION("""COMPUTED_VALUE"""),"c_aya_00301_aya1_charaget02_Normal_Green")</f>
        <v>c_aya_00301_aya1_charaget02_Normal_Green</v>
      </c>
      <c r="E3188" s="139">
        <f>IFERROR(__xludf.DUMMYFUNCTION("""COMPUTED_VALUE"""),0.0)</f>
        <v>0</v>
      </c>
      <c r="F3188" s="139" t="str">
        <f>IFERROR(__xludf.DUMMYFUNCTION("""COMPUTED_VALUE"""),"Special")</f>
        <v>Special</v>
      </c>
      <c r="G3188" s="139"/>
      <c r="H3188" s="139"/>
      <c r="I3188" s="139">
        <f>IFERROR(__xludf.DUMMYFUNCTION("""COMPUTED_VALUE"""),83.0)</f>
        <v>83</v>
      </c>
      <c r="J3188" s="139">
        <f>IFERROR(__xludf.DUMMYFUNCTION("""COMPUTED_VALUE"""),0.0)</f>
        <v>0</v>
      </c>
      <c r="K3188" s="139">
        <f>IFERROR(__xludf.DUMMYFUNCTION("""COMPUTED_VALUE"""),0.0)</f>
        <v>0</v>
      </c>
      <c r="L3188" s="139"/>
      <c r="M3188" s="139"/>
      <c r="N3188" s="139"/>
    </row>
    <row r="3189">
      <c r="A3189" s="139" t="str">
        <f>IFERROR(__xludf.DUMMYFUNCTION("""COMPUTED_VALUE"""),"e")</f>
        <v>e</v>
      </c>
      <c r="B3189" s="139">
        <f>IFERROR(__xludf.DUMMYFUNCTION("""COMPUTED_VALUE"""),2.0260401E8)</f>
        <v>202604010</v>
      </c>
      <c r="C3189" s="139" t="str">
        <f>IFERROR(__xludf.DUMMYFUNCTION("""COMPUTED_VALUE"""),"e_aya_00001_aya1_charaget02_Boss_Green_Normal_00000")</f>
        <v>e_aya_00001_aya1_charaget02_Boss_Green_Normal_00000</v>
      </c>
      <c r="D3189" s="139" t="str">
        <f>IFERROR(__xludf.DUMMYFUNCTION("""COMPUTED_VALUE"""),"e_aya_00001_aya1_charaget02_Boss_Green")</f>
        <v>e_aya_00001_aya1_charaget02_Boss_Green</v>
      </c>
      <c r="E3189" s="139">
        <f>IFERROR(__xludf.DUMMYFUNCTION("""COMPUTED_VALUE"""),0.0)</f>
        <v>0</v>
      </c>
      <c r="F3189" s="139" t="str">
        <f>IFERROR(__xludf.DUMMYFUNCTION("""COMPUTED_VALUE"""),"Normal")</f>
        <v>Normal</v>
      </c>
      <c r="G3189" s="139"/>
      <c r="H3189" s="139"/>
      <c r="I3189" s="139">
        <f>IFERROR(__xludf.DUMMYFUNCTION("""COMPUTED_VALUE"""),80.0)</f>
        <v>80</v>
      </c>
      <c r="J3189" s="139">
        <f>IFERROR(__xludf.DUMMYFUNCTION("""COMPUTED_VALUE"""),38.0)</f>
        <v>38</v>
      </c>
      <c r="K3189" s="139">
        <f>IFERROR(__xludf.DUMMYFUNCTION("""COMPUTED_VALUE"""),50.0)</f>
        <v>50</v>
      </c>
      <c r="L3189" s="139"/>
      <c r="M3189" s="139"/>
      <c r="N3189" s="139"/>
    </row>
    <row r="3190">
      <c r="A3190" s="139" t="str">
        <f>IFERROR(__xludf.DUMMYFUNCTION("""COMPUTED_VALUE"""),"e")</f>
        <v>e</v>
      </c>
      <c r="B3190" s="139">
        <f>IFERROR(__xludf.DUMMYFUNCTION("""COMPUTED_VALUE"""),2.0260401E8)</f>
        <v>202604010</v>
      </c>
      <c r="C3190" s="139" t="str">
        <f>IFERROR(__xludf.DUMMYFUNCTION("""COMPUTED_VALUE"""),"e_aya_00001_aya1_charaget02_Boss_Green_Appearance_00001")</f>
        <v>e_aya_00001_aya1_charaget02_Boss_Green_Appearance_00001</v>
      </c>
      <c r="D3190" s="139" t="str">
        <f>IFERROR(__xludf.DUMMYFUNCTION("""COMPUTED_VALUE"""),"e_aya_00001_aya1_charaget02_Boss_Green")</f>
        <v>e_aya_00001_aya1_charaget02_Boss_Green</v>
      </c>
      <c r="E3190" s="139">
        <f>IFERROR(__xludf.DUMMYFUNCTION("""COMPUTED_VALUE"""),0.0)</f>
        <v>0</v>
      </c>
      <c r="F3190" s="139" t="str">
        <f>IFERROR(__xludf.DUMMYFUNCTION("""COMPUTED_VALUE"""),"Appearance")</f>
        <v>Appearance</v>
      </c>
      <c r="G3190" s="139"/>
      <c r="H3190" s="139"/>
      <c r="I3190" s="139">
        <f>IFERROR(__xludf.DUMMYFUNCTION("""COMPUTED_VALUE"""),50.0)</f>
        <v>50</v>
      </c>
      <c r="J3190" s="139">
        <f>IFERROR(__xludf.DUMMYFUNCTION("""COMPUTED_VALUE"""),0.0)</f>
        <v>0</v>
      </c>
      <c r="K3190" s="139">
        <f>IFERROR(__xludf.DUMMYFUNCTION("""COMPUTED_VALUE"""),0.0)</f>
        <v>0</v>
      </c>
      <c r="L3190" s="139"/>
      <c r="M3190" s="139"/>
      <c r="N3190" s="139"/>
    </row>
    <row r="3191">
      <c r="A3191" s="139" t="str">
        <f>IFERROR(__xludf.DUMMYFUNCTION("""COMPUTED_VALUE"""),"e")</f>
        <v>e</v>
      </c>
      <c r="B3191" s="139">
        <f>IFERROR(__xludf.DUMMYFUNCTION("""COMPUTED_VALUE"""),2.0260401E8)</f>
        <v>202604010</v>
      </c>
      <c r="C3191" s="139" t="str">
        <f>IFERROR(__xludf.DUMMYFUNCTION("""COMPUTED_VALUE"""),"e_glo_00001_aya1_charaget02_Normal_Colorless_Normal_00000")</f>
        <v>e_glo_00001_aya1_charaget02_Normal_Colorless_Normal_00000</v>
      </c>
      <c r="D3191" s="139" t="str">
        <f>IFERROR(__xludf.DUMMYFUNCTION("""COMPUTED_VALUE"""),"e_glo_00001_aya1_charaget02_Normal_Colorless")</f>
        <v>e_glo_00001_aya1_charaget02_Normal_Colorless</v>
      </c>
      <c r="E3191" s="139">
        <f>IFERROR(__xludf.DUMMYFUNCTION("""COMPUTED_VALUE"""),0.0)</f>
        <v>0</v>
      </c>
      <c r="F3191" s="139" t="str">
        <f>IFERROR(__xludf.DUMMYFUNCTION("""COMPUTED_VALUE"""),"Normal")</f>
        <v>Normal</v>
      </c>
      <c r="G3191" s="139"/>
      <c r="H3191" s="139"/>
      <c r="I3191" s="139">
        <f>IFERROR(__xludf.DUMMYFUNCTION("""COMPUTED_VALUE"""),50.0)</f>
        <v>50</v>
      </c>
      <c r="J3191" s="139">
        <f>IFERROR(__xludf.DUMMYFUNCTION("""COMPUTED_VALUE"""),25.0)</f>
        <v>25</v>
      </c>
      <c r="K3191" s="139">
        <f>IFERROR(__xludf.DUMMYFUNCTION("""COMPUTED_VALUE"""),40.0)</f>
        <v>40</v>
      </c>
      <c r="L3191" s="139"/>
      <c r="M3191" s="139"/>
      <c r="N3191" s="139"/>
    </row>
    <row r="3192">
      <c r="A3192" s="139" t="str">
        <f>IFERROR(__xludf.DUMMYFUNCTION("""COMPUTED_VALUE"""),"e")</f>
        <v>e</v>
      </c>
      <c r="B3192" s="139">
        <f>IFERROR(__xludf.DUMMYFUNCTION("""COMPUTED_VALUE"""),2.0260401E8)</f>
        <v>202604010</v>
      </c>
      <c r="C3192" s="139" t="str">
        <f>IFERROR(__xludf.DUMMYFUNCTION("""COMPUTED_VALUE"""),"c_aya_00001_aya1_charaget01_Normal_Green_Normal_00000")</f>
        <v>c_aya_00001_aya1_charaget01_Normal_Green_Normal_00000</v>
      </c>
      <c r="D3192" s="139" t="str">
        <f>IFERROR(__xludf.DUMMYFUNCTION("""COMPUTED_VALUE"""),"c_aya_00001_aya1_charaget01_Normal_Green")</f>
        <v>c_aya_00001_aya1_charaget01_Normal_Green</v>
      </c>
      <c r="E3192" s="139">
        <f>IFERROR(__xludf.DUMMYFUNCTION("""COMPUTED_VALUE"""),0.0)</f>
        <v>0</v>
      </c>
      <c r="F3192" s="139" t="str">
        <f>IFERROR(__xludf.DUMMYFUNCTION("""COMPUTED_VALUE"""),"Normal")</f>
        <v>Normal</v>
      </c>
      <c r="G3192" s="139"/>
      <c r="H3192" s="139"/>
      <c r="I3192" s="139">
        <f>IFERROR(__xludf.DUMMYFUNCTION("""COMPUTED_VALUE"""),83.0)</f>
        <v>83</v>
      </c>
      <c r="J3192" s="139">
        <f>IFERROR(__xludf.DUMMYFUNCTION("""COMPUTED_VALUE"""),33.0)</f>
        <v>33</v>
      </c>
      <c r="K3192" s="139">
        <f>IFERROR(__xludf.DUMMYFUNCTION("""COMPUTED_VALUE"""),50.0)</f>
        <v>50</v>
      </c>
      <c r="L3192" s="139"/>
      <c r="M3192" s="139"/>
      <c r="N3192" s="139"/>
    </row>
    <row r="3193">
      <c r="A3193" s="139" t="str">
        <f>IFERROR(__xludf.DUMMYFUNCTION("""COMPUTED_VALUE"""),"e")</f>
        <v>e</v>
      </c>
      <c r="B3193" s="139">
        <f>IFERROR(__xludf.DUMMYFUNCTION("""COMPUTED_VALUE"""),2.0260401E8)</f>
        <v>202604010</v>
      </c>
      <c r="C3193" s="139" t="str">
        <f>IFERROR(__xludf.DUMMYFUNCTION("""COMPUTED_VALUE"""),"c_aya_00001_aya1_charaget01_Normal_Green_Special_00001")</f>
        <v>c_aya_00001_aya1_charaget01_Normal_Green_Special_00001</v>
      </c>
      <c r="D3193" s="139" t="str">
        <f>IFERROR(__xludf.DUMMYFUNCTION("""COMPUTED_VALUE"""),"c_aya_00001_aya1_charaget01_Normal_Green")</f>
        <v>c_aya_00001_aya1_charaget01_Normal_Green</v>
      </c>
      <c r="E3193" s="139">
        <f>IFERROR(__xludf.DUMMYFUNCTION("""COMPUTED_VALUE"""),0.0)</f>
        <v>0</v>
      </c>
      <c r="F3193" s="139" t="str">
        <f>IFERROR(__xludf.DUMMYFUNCTION("""COMPUTED_VALUE"""),"Special")</f>
        <v>Special</v>
      </c>
      <c r="G3193" s="139"/>
      <c r="H3193" s="139"/>
      <c r="I3193" s="139">
        <f>IFERROR(__xludf.DUMMYFUNCTION("""COMPUTED_VALUE"""),165.0)</f>
        <v>165</v>
      </c>
      <c r="J3193" s="139">
        <f>IFERROR(__xludf.DUMMYFUNCTION("""COMPUTED_VALUE"""),0.0)</f>
        <v>0</v>
      </c>
      <c r="K3193" s="139">
        <f>IFERROR(__xludf.DUMMYFUNCTION("""COMPUTED_VALUE"""),0.0)</f>
        <v>0</v>
      </c>
      <c r="L3193" s="139"/>
      <c r="M3193" s="139"/>
      <c r="N3193" s="139"/>
    </row>
    <row r="3194">
      <c r="A3194" s="139" t="str">
        <f>IFERROR(__xludf.DUMMYFUNCTION("""COMPUTED_VALUE"""),"e")</f>
        <v>e</v>
      </c>
      <c r="B3194" s="139">
        <f>IFERROR(__xludf.DUMMYFUNCTION("""COMPUTED_VALUE"""),2.0260401E8)</f>
        <v>202604010</v>
      </c>
      <c r="C3194" s="139" t="str">
        <f>IFERROR(__xludf.DUMMYFUNCTION("""COMPUTED_VALUE"""),"e_aya_00001_aya1_charaget01_Normal_Green_Normal_00000")</f>
        <v>e_aya_00001_aya1_charaget01_Normal_Green_Normal_00000</v>
      </c>
      <c r="D3194" s="139" t="str">
        <f>IFERROR(__xludf.DUMMYFUNCTION("""COMPUTED_VALUE"""),"e_aya_00001_aya1_charaget01_Normal_Green")</f>
        <v>e_aya_00001_aya1_charaget01_Normal_Green</v>
      </c>
      <c r="E3194" s="139">
        <f>IFERROR(__xludf.DUMMYFUNCTION("""COMPUTED_VALUE"""),0.0)</f>
        <v>0</v>
      </c>
      <c r="F3194" s="139" t="str">
        <f>IFERROR(__xludf.DUMMYFUNCTION("""COMPUTED_VALUE"""),"Normal")</f>
        <v>Normal</v>
      </c>
      <c r="G3194" s="139"/>
      <c r="H3194" s="139"/>
      <c r="I3194" s="139">
        <f>IFERROR(__xludf.DUMMYFUNCTION("""COMPUTED_VALUE"""),80.0)</f>
        <v>80</v>
      </c>
      <c r="J3194" s="139">
        <f>IFERROR(__xludf.DUMMYFUNCTION("""COMPUTED_VALUE"""),38.0)</f>
        <v>38</v>
      </c>
      <c r="K3194" s="139">
        <f>IFERROR(__xludf.DUMMYFUNCTION("""COMPUTED_VALUE"""),50.0)</f>
        <v>50</v>
      </c>
      <c r="L3194" s="139"/>
      <c r="M3194" s="139"/>
      <c r="N3194" s="139"/>
    </row>
    <row r="3195">
      <c r="A3195" s="139" t="str">
        <f>IFERROR(__xludf.DUMMYFUNCTION("""COMPUTED_VALUE"""),"e")</f>
        <v>e</v>
      </c>
      <c r="B3195" s="139">
        <f>IFERROR(__xludf.DUMMYFUNCTION("""COMPUTED_VALUE"""),2.0260401E8)</f>
        <v>202604010</v>
      </c>
      <c r="C3195" s="139" t="str">
        <f>IFERROR(__xludf.DUMMYFUNCTION("""COMPUTED_VALUE"""),"e_aya_00001_aya1_charaget01_Boss_Green_Normal_00000")</f>
        <v>e_aya_00001_aya1_charaget01_Boss_Green_Normal_00000</v>
      </c>
      <c r="D3195" s="139" t="str">
        <f>IFERROR(__xludf.DUMMYFUNCTION("""COMPUTED_VALUE"""),"e_aya_00001_aya1_charaget01_Boss_Green")</f>
        <v>e_aya_00001_aya1_charaget01_Boss_Green</v>
      </c>
      <c r="E3195" s="139">
        <f>IFERROR(__xludf.DUMMYFUNCTION("""COMPUTED_VALUE"""),0.0)</f>
        <v>0</v>
      </c>
      <c r="F3195" s="139" t="str">
        <f>IFERROR(__xludf.DUMMYFUNCTION("""COMPUTED_VALUE"""),"Normal")</f>
        <v>Normal</v>
      </c>
      <c r="G3195" s="139"/>
      <c r="H3195" s="139"/>
      <c r="I3195" s="139">
        <f>IFERROR(__xludf.DUMMYFUNCTION("""COMPUTED_VALUE"""),80.0)</f>
        <v>80</v>
      </c>
      <c r="J3195" s="139">
        <f>IFERROR(__xludf.DUMMYFUNCTION("""COMPUTED_VALUE"""),38.0)</f>
        <v>38</v>
      </c>
      <c r="K3195" s="139">
        <f>IFERROR(__xludf.DUMMYFUNCTION("""COMPUTED_VALUE"""),50.0)</f>
        <v>50</v>
      </c>
      <c r="L3195" s="139"/>
      <c r="M3195" s="139"/>
      <c r="N3195" s="139"/>
    </row>
    <row r="3196">
      <c r="A3196" s="139" t="str">
        <f>IFERROR(__xludf.DUMMYFUNCTION("""COMPUTED_VALUE"""),"e")</f>
        <v>e</v>
      </c>
      <c r="B3196" s="139">
        <f>IFERROR(__xludf.DUMMYFUNCTION("""COMPUTED_VALUE"""),2.0260401E8)</f>
        <v>202604010</v>
      </c>
      <c r="C3196" s="139" t="str">
        <f>IFERROR(__xludf.DUMMYFUNCTION("""COMPUTED_VALUE"""),"e_aya_00001_aya1_charaget01_Boss_Green_Appearance_00001")</f>
        <v>e_aya_00001_aya1_charaget01_Boss_Green_Appearance_00001</v>
      </c>
      <c r="D3196" s="139" t="str">
        <f>IFERROR(__xludf.DUMMYFUNCTION("""COMPUTED_VALUE"""),"e_aya_00001_aya1_charaget01_Boss_Green")</f>
        <v>e_aya_00001_aya1_charaget01_Boss_Green</v>
      </c>
      <c r="E3196" s="139">
        <f>IFERROR(__xludf.DUMMYFUNCTION("""COMPUTED_VALUE"""),0.0)</f>
        <v>0</v>
      </c>
      <c r="F3196" s="139" t="str">
        <f>IFERROR(__xludf.DUMMYFUNCTION("""COMPUTED_VALUE"""),"Appearance")</f>
        <v>Appearance</v>
      </c>
      <c r="G3196" s="139"/>
      <c r="H3196" s="139"/>
      <c r="I3196" s="139">
        <f>IFERROR(__xludf.DUMMYFUNCTION("""COMPUTED_VALUE"""),50.0)</f>
        <v>50</v>
      </c>
      <c r="J3196" s="139">
        <f>IFERROR(__xludf.DUMMYFUNCTION("""COMPUTED_VALUE"""),0.0)</f>
        <v>0</v>
      </c>
      <c r="K3196" s="139">
        <f>IFERROR(__xludf.DUMMYFUNCTION("""COMPUTED_VALUE"""),0.0)</f>
        <v>0</v>
      </c>
      <c r="L3196" s="139"/>
      <c r="M3196" s="139"/>
      <c r="N3196" s="139"/>
    </row>
    <row r="3197">
      <c r="A3197" s="139" t="str">
        <f>IFERROR(__xludf.DUMMYFUNCTION("""COMPUTED_VALUE"""),"e")</f>
        <v>e</v>
      </c>
      <c r="B3197" s="139">
        <f>IFERROR(__xludf.DUMMYFUNCTION("""COMPUTED_VALUE"""),2.0260401E8)</f>
        <v>202604010</v>
      </c>
      <c r="C3197" s="139" t="str">
        <f>IFERROR(__xludf.DUMMYFUNCTION("""COMPUTED_VALUE"""),"c_aya_00101_aya1_charaget01_Normal_Green_Normal_00000")</f>
        <v>c_aya_00101_aya1_charaget01_Normal_Green_Normal_00000</v>
      </c>
      <c r="D3197" s="139" t="str">
        <f>IFERROR(__xludf.DUMMYFUNCTION("""COMPUTED_VALUE"""),"c_aya_00101_aya1_charaget01_Normal_Green")</f>
        <v>c_aya_00101_aya1_charaget01_Normal_Green</v>
      </c>
      <c r="E3197" s="139">
        <f>IFERROR(__xludf.DUMMYFUNCTION("""COMPUTED_VALUE"""),0.0)</f>
        <v>0</v>
      </c>
      <c r="F3197" s="139" t="str">
        <f>IFERROR(__xludf.DUMMYFUNCTION("""COMPUTED_VALUE"""),"Normal")</f>
        <v>Normal</v>
      </c>
      <c r="G3197" s="139"/>
      <c r="H3197" s="139"/>
      <c r="I3197" s="139">
        <f>IFERROR(__xludf.DUMMYFUNCTION("""COMPUTED_VALUE"""),83.0)</f>
        <v>83</v>
      </c>
      <c r="J3197" s="139">
        <f>IFERROR(__xludf.DUMMYFUNCTION("""COMPUTED_VALUE"""),36.0)</f>
        <v>36</v>
      </c>
      <c r="K3197" s="139">
        <f>IFERROR(__xludf.DUMMYFUNCTION("""COMPUTED_VALUE"""),50.0)</f>
        <v>50</v>
      </c>
      <c r="L3197" s="139"/>
      <c r="M3197" s="139"/>
      <c r="N3197" s="139"/>
    </row>
    <row r="3198">
      <c r="A3198" s="139" t="str">
        <f>IFERROR(__xludf.DUMMYFUNCTION("""COMPUTED_VALUE"""),"e")</f>
        <v>e</v>
      </c>
      <c r="B3198" s="139">
        <f>IFERROR(__xludf.DUMMYFUNCTION("""COMPUTED_VALUE"""),2.0260401E8)</f>
        <v>202604010</v>
      </c>
      <c r="C3198" s="139" t="str">
        <f>IFERROR(__xludf.DUMMYFUNCTION("""COMPUTED_VALUE"""),"c_aya_00101_aya1_charaget01_Normal_Green_Special_00001")</f>
        <v>c_aya_00101_aya1_charaget01_Normal_Green_Special_00001</v>
      </c>
      <c r="D3198" s="139" t="str">
        <f>IFERROR(__xludf.DUMMYFUNCTION("""COMPUTED_VALUE"""),"c_aya_00101_aya1_charaget01_Normal_Green")</f>
        <v>c_aya_00101_aya1_charaget01_Normal_Green</v>
      </c>
      <c r="E3198" s="139">
        <f>IFERROR(__xludf.DUMMYFUNCTION("""COMPUTED_VALUE"""),0.0)</f>
        <v>0</v>
      </c>
      <c r="F3198" s="139" t="str">
        <f>IFERROR(__xludf.DUMMYFUNCTION("""COMPUTED_VALUE"""),"Special")</f>
        <v>Special</v>
      </c>
      <c r="G3198" s="139"/>
      <c r="H3198" s="139"/>
      <c r="I3198" s="139">
        <f>IFERROR(__xludf.DUMMYFUNCTION("""COMPUTED_VALUE"""),155.0)</f>
        <v>155</v>
      </c>
      <c r="J3198" s="139">
        <f>IFERROR(__xludf.DUMMYFUNCTION("""COMPUTED_VALUE"""),68.0)</f>
        <v>68</v>
      </c>
      <c r="K3198" s="139">
        <f>IFERROR(__xludf.DUMMYFUNCTION("""COMPUTED_VALUE"""),0.0)</f>
        <v>0</v>
      </c>
      <c r="L3198" s="139"/>
      <c r="M3198" s="139"/>
      <c r="N3198" s="139"/>
    </row>
    <row r="3199">
      <c r="A3199" s="139" t="str">
        <f>IFERROR(__xludf.DUMMYFUNCTION("""COMPUTED_VALUE"""),"e")</f>
        <v>e</v>
      </c>
      <c r="B3199" s="139">
        <f>IFERROR(__xludf.DUMMYFUNCTION("""COMPUTED_VALUE"""),2.0260401E8)</f>
        <v>202604010</v>
      </c>
      <c r="C3199" s="139" t="str">
        <f>IFERROR(__xludf.DUMMYFUNCTION("""COMPUTED_VALUE"""),"e_glo_00001_aya1_charaget01_Normal_Colorless_Normal_00000")</f>
        <v>e_glo_00001_aya1_charaget01_Normal_Colorless_Normal_00000</v>
      </c>
      <c r="D3199" s="139" t="str">
        <f>IFERROR(__xludf.DUMMYFUNCTION("""COMPUTED_VALUE"""),"e_glo_00001_aya1_charaget01_Normal_Colorless")</f>
        <v>e_glo_00001_aya1_charaget01_Normal_Colorless</v>
      </c>
      <c r="E3199" s="139">
        <f>IFERROR(__xludf.DUMMYFUNCTION("""COMPUTED_VALUE"""),0.0)</f>
        <v>0</v>
      </c>
      <c r="F3199" s="139" t="str">
        <f>IFERROR(__xludf.DUMMYFUNCTION("""COMPUTED_VALUE"""),"Normal")</f>
        <v>Normal</v>
      </c>
      <c r="G3199" s="139"/>
      <c r="H3199" s="139"/>
      <c r="I3199" s="139">
        <f>IFERROR(__xludf.DUMMYFUNCTION("""COMPUTED_VALUE"""),50.0)</f>
        <v>50</v>
      </c>
      <c r="J3199" s="139">
        <f>IFERROR(__xludf.DUMMYFUNCTION("""COMPUTED_VALUE"""),25.0)</f>
        <v>25</v>
      </c>
      <c r="K3199" s="139">
        <f>IFERROR(__xludf.DUMMYFUNCTION("""COMPUTED_VALUE"""),40.0)</f>
        <v>40</v>
      </c>
      <c r="L3199" s="139"/>
      <c r="M3199" s="139"/>
      <c r="N3199" s="139"/>
    </row>
    <row r="3200">
      <c r="A3200" s="139"/>
      <c r="B3200" s="139"/>
      <c r="C3200" s="139"/>
      <c r="D3200" s="139"/>
      <c r="E3200" s="139"/>
      <c r="F3200" s="139"/>
      <c r="G3200" s="139"/>
      <c r="H3200" s="139"/>
      <c r="I3200" s="139"/>
      <c r="J3200" s="139"/>
      <c r="K3200" s="139"/>
      <c r="L3200" s="139"/>
      <c r="M3200" s="139"/>
      <c r="N3200" s="139"/>
    </row>
    <row r="3201">
      <c r="A3201" s="139"/>
      <c r="B3201" s="139"/>
      <c r="C3201" s="139"/>
      <c r="D3201" s="139"/>
      <c r="E3201" s="139"/>
      <c r="F3201" s="139"/>
      <c r="G3201" s="139"/>
      <c r="H3201" s="139"/>
      <c r="I3201" s="139"/>
      <c r="J3201" s="139"/>
      <c r="K3201" s="139"/>
      <c r="L3201" s="139"/>
      <c r="M3201" s="139"/>
      <c r="N3201" s="139"/>
    </row>
    <row r="3202">
      <c r="A3202" s="139"/>
      <c r="B3202" s="139"/>
      <c r="C3202" s="139"/>
      <c r="D3202" s="139"/>
      <c r="E3202" s="139"/>
      <c r="F3202" s="139"/>
      <c r="G3202" s="139"/>
      <c r="H3202" s="139"/>
      <c r="I3202" s="139"/>
      <c r="J3202" s="139"/>
      <c r="K3202" s="139"/>
      <c r="L3202" s="139"/>
      <c r="M3202" s="139"/>
      <c r="N3202" s="139"/>
    </row>
    <row r="3203">
      <c r="A3203" s="139"/>
      <c r="B3203" s="139"/>
      <c r="C3203" s="139"/>
      <c r="D3203" s="139"/>
      <c r="E3203" s="139"/>
      <c r="F3203" s="139"/>
      <c r="G3203" s="139"/>
      <c r="H3203" s="139"/>
      <c r="I3203" s="139"/>
      <c r="J3203" s="139"/>
      <c r="K3203" s="139"/>
      <c r="L3203" s="139"/>
      <c r="M3203" s="139"/>
      <c r="N3203" s="139"/>
    </row>
    <row r="3204">
      <c r="A3204" s="139"/>
      <c r="B3204" s="139"/>
      <c r="C3204" s="139"/>
      <c r="D3204" s="139"/>
      <c r="E3204" s="139"/>
      <c r="F3204" s="139"/>
      <c r="G3204" s="139"/>
      <c r="H3204" s="139"/>
      <c r="I3204" s="139"/>
      <c r="J3204" s="139"/>
      <c r="K3204" s="139"/>
      <c r="L3204" s="139"/>
      <c r="M3204" s="139"/>
      <c r="N3204" s="139"/>
    </row>
    <row r="3205">
      <c r="A3205" s="139"/>
      <c r="B3205" s="139"/>
      <c r="C3205" s="139"/>
      <c r="D3205" s="139"/>
      <c r="E3205" s="139"/>
      <c r="F3205" s="139"/>
      <c r="G3205" s="139"/>
      <c r="H3205" s="139"/>
      <c r="I3205" s="139"/>
      <c r="J3205" s="139"/>
      <c r="K3205" s="139"/>
      <c r="L3205" s="139"/>
      <c r="M3205" s="139"/>
      <c r="N3205" s="139"/>
    </row>
    <row r="3206">
      <c r="A3206" s="139"/>
      <c r="B3206" s="139"/>
      <c r="C3206" s="139"/>
      <c r="D3206" s="139"/>
      <c r="E3206" s="139"/>
      <c r="F3206" s="139"/>
      <c r="G3206" s="139"/>
      <c r="H3206" s="139"/>
      <c r="I3206" s="139"/>
      <c r="J3206" s="139"/>
      <c r="K3206" s="139"/>
      <c r="L3206" s="139"/>
      <c r="M3206" s="139"/>
      <c r="N3206" s="139"/>
    </row>
    <row r="3207">
      <c r="A3207" s="139"/>
      <c r="B3207" s="139"/>
      <c r="C3207" s="139"/>
      <c r="D3207" s="139"/>
      <c r="E3207" s="139"/>
      <c r="F3207" s="139"/>
      <c r="G3207" s="139"/>
      <c r="H3207" s="139"/>
      <c r="I3207" s="139"/>
      <c r="J3207" s="139"/>
      <c r="K3207" s="139"/>
      <c r="L3207" s="139"/>
      <c r="M3207" s="139"/>
      <c r="N3207" s="139"/>
    </row>
    <row r="3208">
      <c r="A3208" s="139"/>
      <c r="B3208" s="139"/>
      <c r="C3208" s="139"/>
      <c r="D3208" s="139"/>
      <c r="E3208" s="139"/>
      <c r="F3208" s="139"/>
      <c r="G3208" s="139"/>
      <c r="H3208" s="139"/>
      <c r="I3208" s="139"/>
      <c r="J3208" s="139"/>
      <c r="K3208" s="139"/>
      <c r="L3208" s="139"/>
      <c r="M3208" s="139"/>
      <c r="N3208" s="139"/>
    </row>
    <row r="3209">
      <c r="A3209" s="139"/>
      <c r="B3209" s="139"/>
      <c r="C3209" s="139"/>
      <c r="D3209" s="139"/>
      <c r="E3209" s="139"/>
      <c r="F3209" s="139"/>
      <c r="G3209" s="139"/>
      <c r="H3209" s="139"/>
      <c r="I3209" s="139"/>
      <c r="J3209" s="139"/>
      <c r="K3209" s="139"/>
      <c r="L3209" s="139"/>
      <c r="M3209" s="139"/>
      <c r="N3209" s="139"/>
    </row>
    <row r="3210">
      <c r="A3210" s="139"/>
      <c r="B3210" s="139"/>
      <c r="C3210" s="139"/>
      <c r="D3210" s="139"/>
      <c r="E3210" s="139"/>
      <c r="F3210" s="139"/>
      <c r="G3210" s="139"/>
      <c r="H3210" s="139"/>
      <c r="I3210" s="139"/>
      <c r="J3210" s="139"/>
      <c r="K3210" s="139"/>
      <c r="L3210" s="139"/>
      <c r="M3210" s="139"/>
      <c r="N3210" s="139"/>
    </row>
    <row r="3211">
      <c r="A3211" s="139"/>
      <c r="B3211" s="139"/>
      <c r="C3211" s="139"/>
      <c r="D3211" s="139"/>
      <c r="E3211" s="139"/>
      <c r="F3211" s="139"/>
      <c r="G3211" s="139"/>
      <c r="H3211" s="139"/>
      <c r="I3211" s="139"/>
      <c r="J3211" s="139"/>
      <c r="K3211" s="139"/>
      <c r="L3211" s="139"/>
      <c r="M3211" s="139"/>
      <c r="N3211" s="139"/>
    </row>
    <row r="3212">
      <c r="A3212" s="139"/>
      <c r="B3212" s="139"/>
      <c r="C3212" s="139"/>
      <c r="D3212" s="139"/>
      <c r="E3212" s="139"/>
      <c r="F3212" s="139"/>
      <c r="G3212" s="139"/>
      <c r="H3212" s="139"/>
      <c r="I3212" s="139"/>
      <c r="J3212" s="139"/>
      <c r="K3212" s="139"/>
      <c r="L3212" s="139"/>
      <c r="M3212" s="139"/>
      <c r="N3212" s="139"/>
    </row>
    <row r="3213">
      <c r="A3213" s="139"/>
      <c r="B3213" s="139"/>
      <c r="C3213" s="139"/>
      <c r="D3213" s="139"/>
      <c r="E3213" s="139"/>
      <c r="F3213" s="139"/>
      <c r="G3213" s="139"/>
      <c r="H3213" s="139"/>
      <c r="I3213" s="139"/>
      <c r="J3213" s="139"/>
      <c r="K3213" s="139"/>
      <c r="L3213" s="139"/>
      <c r="M3213" s="139"/>
      <c r="N3213" s="139"/>
    </row>
    <row r="3214">
      <c r="A3214" s="139"/>
      <c r="B3214" s="139"/>
      <c r="C3214" s="139"/>
      <c r="D3214" s="139"/>
      <c r="E3214" s="139"/>
      <c r="F3214" s="139"/>
      <c r="G3214" s="139"/>
      <c r="H3214" s="139"/>
      <c r="I3214" s="139"/>
      <c r="J3214" s="139"/>
      <c r="K3214" s="139"/>
      <c r="L3214" s="139"/>
      <c r="M3214" s="139"/>
      <c r="N3214" s="139"/>
    </row>
    <row r="3215">
      <c r="A3215" s="139"/>
      <c r="B3215" s="139"/>
      <c r="C3215" s="139"/>
      <c r="D3215" s="139"/>
      <c r="E3215" s="139"/>
      <c r="F3215" s="139"/>
      <c r="G3215" s="139"/>
      <c r="H3215" s="139"/>
      <c r="I3215" s="139"/>
      <c r="J3215" s="139"/>
      <c r="K3215" s="139"/>
      <c r="L3215" s="139"/>
      <c r="M3215" s="139"/>
      <c r="N3215" s="139"/>
    </row>
    <row r="3216">
      <c r="A3216" s="139"/>
      <c r="B3216" s="139"/>
      <c r="C3216" s="139"/>
      <c r="D3216" s="139"/>
      <c r="E3216" s="139"/>
      <c r="F3216" s="139"/>
      <c r="G3216" s="139"/>
      <c r="H3216" s="139"/>
      <c r="I3216" s="139"/>
      <c r="J3216" s="139"/>
      <c r="K3216" s="139"/>
      <c r="L3216" s="139"/>
      <c r="M3216" s="139"/>
      <c r="N3216" s="139"/>
    </row>
    <row r="3217">
      <c r="A3217" s="139"/>
      <c r="B3217" s="139"/>
      <c r="C3217" s="139"/>
      <c r="D3217" s="139"/>
      <c r="E3217" s="139"/>
      <c r="F3217" s="139"/>
      <c r="G3217" s="139"/>
      <c r="H3217" s="139"/>
      <c r="I3217" s="139"/>
      <c r="J3217" s="139"/>
      <c r="K3217" s="139"/>
      <c r="L3217" s="139"/>
      <c r="M3217" s="139"/>
      <c r="N3217" s="139"/>
    </row>
    <row r="3218">
      <c r="A3218" s="139"/>
      <c r="B3218" s="139"/>
      <c r="C3218" s="139"/>
      <c r="D3218" s="139"/>
      <c r="E3218" s="139"/>
      <c r="F3218" s="139"/>
      <c r="G3218" s="139"/>
      <c r="H3218" s="139"/>
      <c r="I3218" s="139"/>
      <c r="J3218" s="139"/>
      <c r="K3218" s="139"/>
      <c r="L3218" s="139"/>
      <c r="M3218" s="139"/>
      <c r="N3218" s="139"/>
    </row>
    <row r="3219">
      <c r="A3219" s="139"/>
      <c r="B3219" s="139"/>
      <c r="C3219" s="139"/>
      <c r="D3219" s="139"/>
      <c r="E3219" s="139"/>
      <c r="F3219" s="139"/>
      <c r="G3219" s="139"/>
      <c r="H3219" s="139"/>
      <c r="I3219" s="139"/>
      <c r="J3219" s="139"/>
      <c r="K3219" s="139"/>
      <c r="L3219" s="139"/>
      <c r="M3219" s="139"/>
      <c r="N3219" s="139"/>
    </row>
    <row r="3220">
      <c r="A3220" s="139"/>
      <c r="B3220" s="139"/>
      <c r="C3220" s="139"/>
      <c r="D3220" s="139"/>
      <c r="E3220" s="139"/>
      <c r="F3220" s="139"/>
      <c r="G3220" s="139"/>
      <c r="H3220" s="139"/>
      <c r="I3220" s="139"/>
      <c r="J3220" s="139"/>
      <c r="K3220" s="139"/>
      <c r="L3220" s="139"/>
      <c r="M3220" s="139"/>
      <c r="N3220" s="139"/>
    </row>
    <row r="3221">
      <c r="A3221" s="139"/>
      <c r="B3221" s="139"/>
      <c r="C3221" s="139"/>
      <c r="D3221" s="139"/>
      <c r="E3221" s="139"/>
      <c r="F3221" s="139"/>
      <c r="G3221" s="139"/>
      <c r="H3221" s="139"/>
      <c r="I3221" s="139"/>
      <c r="J3221" s="139"/>
      <c r="K3221" s="139"/>
      <c r="L3221" s="139"/>
      <c r="M3221" s="139"/>
      <c r="N3221" s="139"/>
    </row>
    <row r="3222">
      <c r="A3222" s="139"/>
      <c r="B3222" s="139"/>
      <c r="C3222" s="139"/>
      <c r="D3222" s="139"/>
      <c r="E3222" s="139"/>
      <c r="F3222" s="139"/>
      <c r="G3222" s="139"/>
      <c r="H3222" s="139"/>
      <c r="I3222" s="139"/>
      <c r="J3222" s="139"/>
      <c r="K3222" s="139"/>
      <c r="L3222" s="139"/>
      <c r="M3222" s="139"/>
      <c r="N3222" s="139"/>
    </row>
    <row r="3223">
      <c r="A3223" s="139"/>
      <c r="B3223" s="139"/>
      <c r="C3223" s="139"/>
      <c r="D3223" s="139"/>
      <c r="E3223" s="139"/>
      <c r="F3223" s="139"/>
      <c r="G3223" s="139"/>
      <c r="H3223" s="139"/>
      <c r="I3223" s="139"/>
      <c r="J3223" s="139"/>
      <c r="K3223" s="139"/>
      <c r="L3223" s="139"/>
      <c r="M3223" s="139"/>
      <c r="N3223" s="139"/>
    </row>
    <row r="3224">
      <c r="A3224" s="139"/>
      <c r="B3224" s="139"/>
      <c r="C3224" s="139"/>
      <c r="D3224" s="139"/>
      <c r="E3224" s="139"/>
      <c r="F3224" s="139"/>
      <c r="G3224" s="139"/>
      <c r="H3224" s="139"/>
      <c r="I3224" s="139"/>
      <c r="J3224" s="139"/>
      <c r="K3224" s="139"/>
      <c r="L3224" s="139"/>
      <c r="M3224" s="139"/>
      <c r="N3224" s="139"/>
    </row>
    <row r="3225">
      <c r="A3225" s="139"/>
      <c r="B3225" s="139"/>
      <c r="C3225" s="139"/>
      <c r="D3225" s="139"/>
      <c r="E3225" s="139"/>
      <c r="F3225" s="139"/>
      <c r="G3225" s="139"/>
      <c r="H3225" s="139"/>
      <c r="I3225" s="139"/>
      <c r="J3225" s="139"/>
      <c r="K3225" s="139"/>
      <c r="L3225" s="139"/>
      <c r="M3225" s="139"/>
      <c r="N3225" s="139"/>
    </row>
    <row r="3226">
      <c r="A3226" s="139"/>
      <c r="B3226" s="139"/>
      <c r="C3226" s="139"/>
      <c r="D3226" s="139"/>
      <c r="E3226" s="139"/>
      <c r="F3226" s="139"/>
      <c r="G3226" s="139"/>
      <c r="H3226" s="139"/>
      <c r="I3226" s="139"/>
      <c r="J3226" s="139"/>
      <c r="K3226" s="139"/>
      <c r="L3226" s="139"/>
      <c r="M3226" s="139"/>
      <c r="N3226" s="139"/>
    </row>
    <row r="3227">
      <c r="A3227" s="139"/>
      <c r="B3227" s="139"/>
      <c r="C3227" s="139"/>
      <c r="D3227" s="139"/>
      <c r="E3227" s="139"/>
      <c r="F3227" s="139"/>
      <c r="G3227" s="139"/>
      <c r="H3227" s="139"/>
      <c r="I3227" s="139"/>
      <c r="J3227" s="139"/>
      <c r="K3227" s="139"/>
      <c r="L3227" s="139"/>
      <c r="M3227" s="139"/>
      <c r="N3227" s="139"/>
    </row>
    <row r="3228">
      <c r="A3228" s="139"/>
      <c r="B3228" s="139"/>
      <c r="C3228" s="139"/>
      <c r="D3228" s="139"/>
      <c r="E3228" s="139"/>
      <c r="F3228" s="139"/>
      <c r="G3228" s="139"/>
      <c r="H3228" s="139"/>
      <c r="I3228" s="139"/>
      <c r="J3228" s="139"/>
      <c r="K3228" s="139"/>
      <c r="L3228" s="139"/>
      <c r="M3228" s="139"/>
      <c r="N3228" s="139"/>
    </row>
    <row r="3229">
      <c r="A3229" s="139"/>
      <c r="B3229" s="139"/>
      <c r="C3229" s="139"/>
      <c r="D3229" s="139"/>
      <c r="E3229" s="139"/>
      <c r="F3229" s="139"/>
      <c r="G3229" s="139"/>
      <c r="H3229" s="139"/>
      <c r="I3229" s="139"/>
      <c r="J3229" s="139"/>
      <c r="K3229" s="139"/>
      <c r="L3229" s="139"/>
      <c r="M3229" s="139"/>
      <c r="N3229" s="139"/>
    </row>
    <row r="3230">
      <c r="A3230" s="139"/>
      <c r="B3230" s="139"/>
      <c r="C3230" s="139"/>
      <c r="D3230" s="139"/>
      <c r="E3230" s="139"/>
      <c r="F3230" s="139"/>
      <c r="G3230" s="139"/>
      <c r="H3230" s="139"/>
      <c r="I3230" s="139"/>
      <c r="J3230" s="139"/>
      <c r="K3230" s="139"/>
      <c r="L3230" s="139"/>
      <c r="M3230" s="139"/>
      <c r="N3230" s="139"/>
    </row>
    <row r="3231">
      <c r="A3231" s="139"/>
      <c r="B3231" s="139"/>
      <c r="C3231" s="139"/>
      <c r="D3231" s="139"/>
      <c r="E3231" s="139"/>
      <c r="F3231" s="139"/>
      <c r="G3231" s="139"/>
      <c r="H3231" s="139"/>
      <c r="I3231" s="139"/>
      <c r="J3231" s="139"/>
      <c r="K3231" s="139"/>
      <c r="L3231" s="139"/>
      <c r="M3231" s="139"/>
      <c r="N3231" s="139"/>
    </row>
    <row r="3232">
      <c r="A3232" s="139"/>
      <c r="B3232" s="139"/>
      <c r="C3232" s="139"/>
      <c r="D3232" s="139"/>
      <c r="E3232" s="139"/>
      <c r="F3232" s="139"/>
      <c r="G3232" s="139"/>
      <c r="H3232" s="139"/>
      <c r="I3232" s="139"/>
      <c r="J3232" s="139"/>
      <c r="K3232" s="139"/>
      <c r="L3232" s="139"/>
      <c r="M3232" s="139"/>
      <c r="N3232" s="139"/>
    </row>
    <row r="3233">
      <c r="A3233" s="139"/>
      <c r="B3233" s="139"/>
      <c r="C3233" s="139"/>
      <c r="D3233" s="139"/>
      <c r="E3233" s="139"/>
      <c r="F3233" s="139"/>
      <c r="G3233" s="139"/>
      <c r="H3233" s="139"/>
      <c r="I3233" s="139"/>
      <c r="J3233" s="139"/>
      <c r="K3233" s="139"/>
      <c r="L3233" s="139"/>
      <c r="M3233" s="139"/>
      <c r="N3233" s="139"/>
    </row>
    <row r="3234">
      <c r="A3234" s="139"/>
      <c r="B3234" s="139"/>
      <c r="C3234" s="139"/>
      <c r="D3234" s="139"/>
      <c r="E3234" s="139"/>
      <c r="F3234" s="139"/>
      <c r="G3234" s="139"/>
      <c r="H3234" s="139"/>
      <c r="I3234" s="139"/>
      <c r="J3234" s="139"/>
      <c r="K3234" s="139"/>
      <c r="L3234" s="139"/>
      <c r="M3234" s="139"/>
      <c r="N3234" s="139"/>
    </row>
    <row r="3235">
      <c r="A3235" s="139"/>
      <c r="B3235" s="139"/>
      <c r="C3235" s="139"/>
      <c r="D3235" s="139"/>
      <c r="E3235" s="139"/>
      <c r="F3235" s="139"/>
      <c r="G3235" s="139"/>
      <c r="H3235" s="139"/>
      <c r="I3235" s="139"/>
      <c r="J3235" s="139"/>
      <c r="K3235" s="139"/>
      <c r="L3235" s="139"/>
      <c r="M3235" s="139"/>
      <c r="N3235" s="139"/>
    </row>
    <row r="3236">
      <c r="A3236" s="139"/>
      <c r="B3236" s="139"/>
      <c r="C3236" s="139"/>
      <c r="D3236" s="139"/>
      <c r="E3236" s="139"/>
      <c r="F3236" s="139"/>
      <c r="G3236" s="139"/>
      <c r="H3236" s="139"/>
      <c r="I3236" s="139"/>
      <c r="J3236" s="139"/>
      <c r="K3236" s="139"/>
      <c r="L3236" s="139"/>
      <c r="M3236" s="139"/>
      <c r="N3236" s="139"/>
    </row>
    <row r="3237">
      <c r="A3237" s="139"/>
      <c r="B3237" s="139"/>
      <c r="C3237" s="139"/>
      <c r="D3237" s="139"/>
      <c r="E3237" s="139"/>
      <c r="F3237" s="139"/>
      <c r="G3237" s="139"/>
      <c r="H3237" s="139"/>
      <c r="I3237" s="139"/>
      <c r="J3237" s="139"/>
      <c r="K3237" s="139"/>
      <c r="L3237" s="139"/>
      <c r="M3237" s="139"/>
      <c r="N3237" s="139"/>
    </row>
    <row r="3238">
      <c r="A3238" s="139"/>
      <c r="B3238" s="139"/>
      <c r="C3238" s="139"/>
      <c r="D3238" s="139"/>
      <c r="E3238" s="139"/>
      <c r="F3238" s="139"/>
      <c r="G3238" s="139"/>
      <c r="H3238" s="139"/>
      <c r="I3238" s="139"/>
      <c r="J3238" s="139"/>
      <c r="K3238" s="139"/>
      <c r="L3238" s="139"/>
      <c r="M3238" s="139"/>
      <c r="N3238" s="139"/>
    </row>
    <row r="3239">
      <c r="A3239" s="139"/>
      <c r="B3239" s="139"/>
      <c r="C3239" s="139"/>
      <c r="D3239" s="139"/>
      <c r="E3239" s="139"/>
      <c r="F3239" s="139"/>
      <c r="G3239" s="139"/>
      <c r="H3239" s="139"/>
      <c r="I3239" s="139"/>
      <c r="J3239" s="139"/>
      <c r="K3239" s="139"/>
      <c r="L3239" s="139"/>
      <c r="M3239" s="139"/>
      <c r="N3239" s="139"/>
    </row>
    <row r="3240">
      <c r="A3240" s="139"/>
      <c r="B3240" s="139"/>
      <c r="C3240" s="139"/>
      <c r="D3240" s="139"/>
      <c r="E3240" s="139"/>
      <c r="F3240" s="139"/>
      <c r="G3240" s="139"/>
      <c r="H3240" s="139"/>
      <c r="I3240" s="139"/>
      <c r="J3240" s="139"/>
      <c r="K3240" s="139"/>
      <c r="L3240" s="139"/>
      <c r="M3240" s="139"/>
      <c r="N3240" s="139"/>
    </row>
    <row r="3241">
      <c r="A3241" s="139"/>
      <c r="B3241" s="139"/>
      <c r="C3241" s="139"/>
      <c r="D3241" s="139"/>
      <c r="E3241" s="139"/>
      <c r="F3241" s="139"/>
      <c r="G3241" s="139"/>
      <c r="H3241" s="139"/>
      <c r="I3241" s="139"/>
      <c r="J3241" s="139"/>
      <c r="K3241" s="139"/>
      <c r="L3241" s="139"/>
      <c r="M3241" s="139"/>
      <c r="N3241" s="139"/>
    </row>
    <row r="3242">
      <c r="A3242" s="139"/>
      <c r="B3242" s="139"/>
      <c r="C3242" s="139"/>
      <c r="D3242" s="139"/>
      <c r="E3242" s="139"/>
      <c r="F3242" s="139"/>
      <c r="G3242" s="139"/>
      <c r="H3242" s="139"/>
      <c r="I3242" s="139"/>
      <c r="J3242" s="139"/>
      <c r="K3242" s="139"/>
      <c r="L3242" s="139"/>
      <c r="M3242" s="139"/>
      <c r="N3242" s="139"/>
    </row>
    <row r="3243">
      <c r="A3243" s="139"/>
      <c r="B3243" s="139"/>
      <c r="C3243" s="139"/>
      <c r="D3243" s="139"/>
      <c r="E3243" s="139"/>
      <c r="F3243" s="139"/>
      <c r="G3243" s="139"/>
      <c r="H3243" s="139"/>
      <c r="I3243" s="139"/>
      <c r="J3243" s="139"/>
      <c r="K3243" s="139"/>
      <c r="L3243" s="139"/>
      <c r="M3243" s="139"/>
      <c r="N3243" s="139"/>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9" t="str">
        <f>IFERROR(__xludf.DUMMYFUNCTION("IMPORTRANGE(""https://docs.google.com/spreadsheets/d/1tAaChe98Zh7vhMfGMK5Y4_ijmNb40fr519GtdZkkDUY/edit?gid=1369914306#gid=1369914306"", ""キャラ基礎数値!A:DJ"")"),"キャラ詳細数値
※【注意事項】
設計作業時は「設計対象キャラ」の「施策」が切り替わる毎に、各個人のローカルのスプシにコピーしてから作業!!
特定の「施策」以降、新ワザ・新特性追加などにより、「数式」が更新されている可能性があるため、
意図せず「ぶっこわれキャラ」が生まれてしまうので注意。
つまり、過去の類似キャラの「行」からコピーも御法度作業。(最新の数式が組まれていないキャラにあたる)")</f>
        <v>キャラ詳細数値
※【注意事項】
設計作業時は「設計対象キャラ」の「施策」が切り替わる毎に、各個人のローカルのスプシにコピーしてから作業!!
特定の「施策」以降、新ワザ・新特性追加などにより、「数式」が更新されている可能性があるため、
意図せず「ぶっこわれキャラ」が生まれてしまうので注意。
つまり、過去の類似キャラの「行」からコピーも御法度作業。(最新の数式が組まれていないキャラにあたる)</v>
      </c>
      <c r="B1" s="139"/>
      <c r="C1" s="139"/>
      <c r="D1" s="139"/>
      <c r="E1" s="139"/>
      <c r="F1" s="139"/>
      <c r="G1" s="139"/>
      <c r="H1" s="139"/>
      <c r="I1" s="139"/>
      <c r="J1" s="139" t="str">
        <f>IFERROR(__xludf.DUMMYFUNCTION("""COMPUTED_VALUE"""),"※A列(A列)〜K列、「監修・企画」ID管理更新待ち。
↓↓↓(D列〜J列は作品表示順、自動出力数値etcに影響)")</f>
        <v>※A列(A列)〜K列、「監修・企画」ID管理更新待ち。
↓↓↓(D列〜J列は作品表示順、自動出力数値etcに影響)</v>
      </c>
      <c r="K1" s="139"/>
      <c r="L1" s="139"/>
      <c r="M1" s="139"/>
      <c r="N1" s="675">
        <f>IFERROR(__xludf.DUMMYFUNCTION("""COMPUTED_VALUE"""),0.0)</f>
        <v>0</v>
      </c>
      <c r="O1" s="139" t="str">
        <f>IFERROR(__xludf.DUMMYFUNCTION("""COMPUTED_VALUE"""),"※↓手動")</f>
        <v>※↓手動</v>
      </c>
      <c r="P1" s="139" t="str">
        <f>IFERROR(__xludf.DUMMYFUNCTION("""COMPUTED_VALUE"""),"※↓手動")</f>
        <v>※↓手動</v>
      </c>
      <c r="Q1" s="139" t="str">
        <f>IFERROR(__xludf.DUMMYFUNCTION("""COMPUTED_VALUE"""),"※新ワザ
追加時
メンテ必要")</f>
        <v>※新ワザ
追加時
メンテ必要</v>
      </c>
      <c r="R1" s="139" t="str">
        <f>IFERROR(__xludf.DUMMYFUNCTION("""COMPUTED_VALUE"""),"※新特性
追加時
メンテ必要")</f>
        <v>※新特性
追加時
メンテ必要</v>
      </c>
      <c r="S1" s="139"/>
      <c r="T1" s="139"/>
      <c r="U1" s="139"/>
      <c r="V1" s="139" t="str">
        <f>IFERROR(__xludf.DUMMYFUNCTION("""COMPUTED_VALUE"""),"※↓手動")</f>
        <v>※↓手動</v>
      </c>
      <c r="W1" s="139"/>
      <c r="X1" s="139" t="str">
        <f>IFERROR(__xludf.DUMMYFUNCTION("""COMPUTED_VALUE"""),"※↓手動")</f>
        <v>※↓手動</v>
      </c>
      <c r="Y1" s="139"/>
      <c r="Z1" s="139"/>
      <c r="AA1" s="139" t="str">
        <f>IFERROR(__xludf.DUMMYFUNCTION("""COMPUTED_VALUE"""),"※↓手動")</f>
        <v>※↓手動</v>
      </c>
      <c r="AB1" s="139"/>
      <c r="AC1" s="139" t="str">
        <f>IFERROR(__xludf.DUMMYFUNCTION("""COMPUTED_VALUE"""),"※↓手動")</f>
        <v>※↓手動</v>
      </c>
      <c r="AD1" s="139"/>
      <c r="AE1" s="139"/>
      <c r="AF1" s="139" t="str">
        <f>IFERROR(__xludf.DUMMYFUNCTION("""COMPUTED_VALUE"""),"※↓手動")</f>
        <v>※↓手動</v>
      </c>
      <c r="AG1" s="139" t="str">
        <f>IFERROR(__xludf.DUMMYFUNCTION("""COMPUTED_VALUE"""),"※新ワザ
追加時
メンテ必要")</f>
        <v>※新ワザ
追加時
メンテ必要</v>
      </c>
      <c r="AH1" s="139"/>
      <c r="AI1" s="139"/>
      <c r="AJ1" s="139"/>
      <c r="AK1" s="139"/>
      <c r="AL1" s="139"/>
      <c r="AM1" s="139"/>
      <c r="AN1" s="139"/>
      <c r="AO1" s="139"/>
      <c r="AP1" s="139"/>
      <c r="AQ1" s="139"/>
      <c r="AR1" s="139" t="str">
        <f>IFERROR(__xludf.DUMMYFUNCTION("""COMPUTED_VALUE"""),"※↓手動")</f>
        <v>※↓手動</v>
      </c>
      <c r="AS1" s="139"/>
      <c r="AT1" s="139"/>
      <c r="AU1" s="139"/>
      <c r="AV1" s="673" t="str">
        <f>IFERROR(__xludf.DUMMYFUNCTION("""COMPUTED_VALUE"""),"手動
※攻撃力との差し引きなし")</f>
        <v>手動
※攻撃力との差し引きなし</v>
      </c>
      <c r="AW1" s="139"/>
      <c r="AX1" s="139"/>
      <c r="AY1" s="139"/>
      <c r="AZ1" s="139"/>
      <c r="BA1" s="139"/>
      <c r="BB1" s="139"/>
      <c r="BC1" s="139" t="str">
        <f>IFERROR(__xludf.DUMMYFUNCTION("""COMPUTED_VALUE"""),"※メンテ中")</f>
        <v>※メンテ中</v>
      </c>
      <c r="BD1" s="139" t="str">
        <f>IFERROR(__xludf.DUMMYFUNCTION("""COMPUTED_VALUE"""),"※メンテ中")</f>
        <v>※メンテ中</v>
      </c>
      <c r="BE1" s="139"/>
      <c r="BF1" s="139"/>
      <c r="BG1" s="139" t="str">
        <f>IFERROR(__xludf.DUMMYFUNCTION("""COMPUTED_VALUE"""),"※↓手動")</f>
        <v>※↓手動</v>
      </c>
      <c r="BH1" s="139"/>
      <c r="BI1" s="139"/>
      <c r="BJ1" s="139" t="str">
        <f>IFERROR(__xludf.DUMMYFUNCTION("""COMPUTED_VALUE"""),"手動
※体力との差し引きなし")</f>
        <v>手動
※体力との差し引きなし</v>
      </c>
      <c r="BK1" s="139"/>
      <c r="BL1" s="139"/>
      <c r="BM1" s="139"/>
      <c r="BN1" s="139"/>
      <c r="BO1" s="139" t="str">
        <f>IFERROR(__xludf.DUMMYFUNCTION("""COMPUTED_VALUE"""),"※↓手動")</f>
        <v>※↓手動</v>
      </c>
      <c r="BP1" s="139"/>
      <c r="BQ1" s="687" t="str">
        <f>IFERROR(__xludf.DUMMYFUNCTION("""COMPUTED_VALUE"""),"※↓手動(レギュ参照)")</f>
        <v>※↓手動(レギュ参照)</v>
      </c>
      <c r="BR1" s="139" t="str">
        <f>IFERROR(__xludf.DUMMYFUNCTION("""COMPUTED_VALUE"""),"※↓半自動")</f>
        <v>※↓半自動</v>
      </c>
      <c r="BS1" s="139" t="str">
        <f>IFERROR(__xludf.DUMMYFUNCTION("""COMPUTED_VALUE"""),"※↓半自動")</f>
        <v>※↓半自動</v>
      </c>
      <c r="BT1" s="139" t="str">
        <f>IFERROR(__xludf.DUMMYFUNCTION("""COMPUTED_VALUE"""),"※↓半手動")</f>
        <v>※↓半手動</v>
      </c>
      <c r="BU1" s="139" t="str">
        <f>IFERROR(__xludf.DUMMYFUNCTION("""COMPUTED_VALUE"""),"※↓手動")</f>
        <v>※↓手動</v>
      </c>
      <c r="BV1" s="139" t="str">
        <f>IFERROR(__xludf.DUMMYFUNCTION("""COMPUTED_VALUE"""),"※手動(指示書)")</f>
        <v>※手動(指示書)</v>
      </c>
      <c r="BW1" s="139" t="str">
        <f>IFERROR(__xludf.DUMMYFUNCTION("""COMPUTED_VALUE"""),"※↓手動")</f>
        <v>※↓手動</v>
      </c>
      <c r="BX1" s="139" t="str">
        <f>IFERROR(__xludf.DUMMYFUNCTION("""COMPUTED_VALUE"""),"※↓半手動")</f>
        <v>※↓半手動</v>
      </c>
      <c r="BY1" s="139"/>
      <c r="BZ1" s="139" t="str">
        <f>IFERROR(__xludf.DUMMYFUNCTION("""COMPUTED_VALUE"""),"※↓手動
※UR以上は特性2つ")</f>
        <v>※↓手動
※UR以上は特性2つ</v>
      </c>
      <c r="CA1" s="139" t="str">
        <f>IFERROR(__xludf.DUMMYFUNCTION("""COMPUTED_VALUE"""),"※↓半手動")</f>
        <v>※↓半手動</v>
      </c>
      <c r="CB1" s="139"/>
      <c r="CC1" s="139" t="str">
        <f>IFERROR(__xludf.DUMMYFUNCTION("""COMPUTED_VALUE"""),"※半自動")</f>
        <v>※半自動</v>
      </c>
      <c r="CD1" s="139" t="str">
        <f>IFERROR(__xludf.DUMMYFUNCTION("""COMPUTED_VALUE"""),"※指示書
※↓範囲指定手動")</f>
        <v>※指示書
※↓範囲指定手動</v>
      </c>
      <c r="CE1" s="139"/>
      <c r="CF1" s="139"/>
      <c r="CG1" s="139" t="str">
        <f>IFERROR(__xludf.DUMMYFUNCTION("""COMPUTED_VALUE"""),"※指示書
※↓範囲指定手動")</f>
        <v>※指示書
※↓範囲指定手動</v>
      </c>
      <c r="CH1" s="139" t="str">
        <f>IFERROR(__xludf.DUMMYFUNCTION("""COMPUTED_VALUE"""),"※指示書
※↓範囲指定手動")</f>
        <v>※指示書
※↓範囲指定手動</v>
      </c>
      <c r="CI1" s="139"/>
      <c r="CJ1" s="139" t="str">
        <f>IFERROR(__xludf.DUMMYFUNCTION("""COMPUTED_VALUE"""),"※SPキャラは手動")</f>
        <v>※SPキャラは手動</v>
      </c>
      <c r="CK1" s="139" t="str">
        <f>IFERROR(__xludf.DUMMYFUNCTION("""COMPUTED_VALUE"""),"封印
推しの子までのキャラ設計書の対象箇所が参照元になっているため。
キャラ設計書に全て値のみ貼り付けたら削除可能。")</f>
        <v>封印
推しの子までのキャラ設計書の対象箇所が参照元になっているため。
キャラ設計書に全て値のみ貼り付けたら削除可能。</v>
      </c>
      <c r="CL1" s="139"/>
      <c r="CM1" s="139"/>
      <c r="CN1" s="139"/>
      <c r="CO1" s="139" t="str">
        <f>IFERROR(__xludf.DUMMYFUNCTION("""COMPUTED_VALUE"""),"※↓手動
※Fes_UR以上は特性3つ")</f>
        <v>※↓手動
※Fes_UR以上は特性3つ</v>
      </c>
      <c r="CP1" s="139" t="str">
        <f>IFERROR(__xludf.DUMMYFUNCTION("""COMPUTED_VALUE"""),"※↓半手動")</f>
        <v>※↓半手動</v>
      </c>
      <c r="CQ1" s="139"/>
      <c r="CR1" s="139" t="str">
        <f>IFERROR(__xludf.DUMMYFUNCTION("""COMPUTED_VALUE"""),"封印
推しの子までのキャラ設計書の対象箇所が参照元になっているため。
キャラ設計書に全て値のみ貼り付けたら削除可能。")</f>
        <v>封印
推しの子までのキャラ設計書の対象箇所が参照元になっているため。
キャラ設計書に全て値のみ貼り付けたら削除可能。</v>
      </c>
      <c r="CS1" s="139" t="str">
        <f>IFERROR(__xludf.DUMMYFUNCTION("""COMPUTED_VALUE"""),"※↓手動")</f>
        <v>※↓手動</v>
      </c>
      <c r="CT1" s="139" t="str">
        <f>IFERROR(__xludf.DUMMYFUNCTION("""COMPUTED_VALUE"""),"※↓手動")</f>
        <v>※↓手動</v>
      </c>
      <c r="CU1" s="139" t="str">
        <f>IFERROR(__xludf.DUMMYFUNCTION("""COMPUTED_VALUE"""),"※↓手動")</f>
        <v>※↓手動</v>
      </c>
      <c r="CV1" s="139" t="str">
        <f>IFERROR(__xludf.DUMMYFUNCTION("""COMPUTED_VALUE"""),"※↓手動")</f>
        <v>※↓手動</v>
      </c>
      <c r="CW1" s="139" t="str">
        <f>IFERROR(__xludf.DUMMYFUNCTION("""COMPUTED_VALUE"""),"※↓手動")</f>
        <v>※↓手動</v>
      </c>
      <c r="CX1" s="139" t="str">
        <f>IFERROR(__xludf.DUMMYFUNCTION("""COMPUTED_VALUE"""),"※↓半手動
攻撃系倍率のみ自動")</f>
        <v>※↓半手動
攻撃系倍率のみ自動</v>
      </c>
      <c r="CY1" s="139" t="str">
        <f>IFERROR(__xludf.DUMMYFUNCTION("""COMPUTED_VALUE"""),"※効果時間がある必殺ワザの場合は、完凸時の効果時間を入力必須(CT計算に影響)")</f>
        <v>※効果時間がある必殺ワザの場合は、完凸時の効果時間を入力必須(CT計算に影響)</v>
      </c>
      <c r="CZ1" s="139"/>
      <c r="DA1" s="674" t="str">
        <f>IFERROR(__xludf.DUMMYFUNCTION("""COMPUTED_VALUE"""),"範囲対象数→")</f>
        <v>範囲対象数→</v>
      </c>
      <c r="DB1" s="674">
        <f>IFERROR(__xludf.DUMMYFUNCTION("""COMPUTED_VALUE"""),5.0)</f>
        <v>5</v>
      </c>
      <c r="DC1" s="139" t="str">
        <f>IFERROR(__xludf.DUMMYFUNCTION("""COMPUTED_VALUE"""),"※↓手動")</f>
        <v>※↓手動</v>
      </c>
      <c r="DD1" s="139" t="str">
        <f>IFERROR(__xludf.DUMMYFUNCTION("""COMPUTED_VALUE"""),"※↓半手動
攻撃系倍率のみ自動")</f>
        <v>※↓半手動
攻撃系倍率のみ自動</v>
      </c>
      <c r="DE1" s="139" t="str">
        <f>IFERROR(__xludf.DUMMYFUNCTION("""COMPUTED_VALUE"""),"※効果時間がある必殺ワザの場合は、完凸時の効果時間を入力必須(CT計算に影響)")</f>
        <v>※効果時間がある必殺ワザの場合は、完凸時の効果時間を入力必須(CT計算に影響)</v>
      </c>
      <c r="DF1" s="139"/>
      <c r="DG1" s="139" t="str">
        <f>IFERROR(__xludf.DUMMYFUNCTION("""COMPUTED_VALUE"""),"※
必殺ワザ1、その他ワザと
差分ある時のみ指定
【対象範囲：DF列〜DK列】")</f>
        <v>※
必殺ワザ1、その他ワザと
差分ある時のみ指定
【対象範囲：DF列〜DK列】</v>
      </c>
      <c r="DH1" s="139"/>
      <c r="DI1" s="139"/>
      <c r="DJ1" s="139"/>
    </row>
    <row r="2">
      <c r="A2" s="139" t="str">
        <f>IFERROR(__xludf.DUMMYFUNCTION("""COMPUTED_VALUE"""),"作品名
※ID管理")</f>
        <v>作品名
※ID管理</v>
      </c>
      <c r="B2" s="139" t="str">
        <f>IFERROR(__xludf.DUMMYFUNCTION("""COMPUTED_VALUE"""),"キャラクター名
※ID管理")</f>
        <v>キャラクター名
※ID管理</v>
      </c>
      <c r="C2" s="139" t="str">
        <f>IFERROR(__xludf.DUMMYFUNCTION("""COMPUTED_VALUE"""),"ID
※ID管理")</f>
        <v>ID
※ID管理</v>
      </c>
      <c r="D2" s="139" t="str">
        <f>IFERROR(__xludf.DUMMYFUNCTION("""COMPUTED_VALUE"""),"レアリティ
※ID管理")</f>
        <v>レアリティ
※ID管理</v>
      </c>
      <c r="E2" s="139" t="str">
        <f>IFERROR(__xludf.DUMMYFUNCTION("""COMPUTED_VALUE"""),"属性")</f>
        <v>属性</v>
      </c>
      <c r="F2" s="139" t="str">
        <f>IFERROR(__xludf.DUMMYFUNCTION("""COMPUTED_VALUE"""),"ロール
※ID管理")</f>
        <v>ロール
※ID管理</v>
      </c>
      <c r="G2" s="139" t="str">
        <f>IFERROR(__xludf.DUMMYFUNCTION("""COMPUTED_VALUE"""),"間合い
※ID管理")</f>
        <v>間合い
※ID管理</v>
      </c>
      <c r="H2" s="139" t="str">
        <f>IFERROR(__xludf.DUMMYFUNCTION("""COMPUTED_VALUE"""),"通常攻撃_
オノマトペ")</f>
        <v>通常攻撃_
オノマトペ</v>
      </c>
      <c r="I2" s="139" t="str">
        <f>IFERROR(__xludf.DUMMYFUNCTION("""COMPUTED_VALUE"""),"必殺攻撃_
オノマトペ")</f>
        <v>必殺攻撃_
オノマトペ</v>
      </c>
      <c r="J2" s="139" t="str">
        <f>IFERROR(__xludf.DUMMYFUNCTION("""COMPUTED_VALUE"""),"リリースキー
※ID管理")</f>
        <v>リリースキー
※ID管理</v>
      </c>
      <c r="K2" s="139" t="str">
        <f>IFERROR(__xludf.DUMMYFUNCTION("""COMPUTED_VALUE"""),"施策名
※ID管理")</f>
        <v>施策名
※ID管理</v>
      </c>
      <c r="L2" s="139" t="str">
        <f>IFERROR(__xludf.DUMMYFUNCTION("""COMPUTED_VALUE"""),"※指示書")</f>
        <v>※指示書</v>
      </c>
      <c r="M2" s="139" t="str">
        <f>IFERROR(__xludf.DUMMYFUNCTION("""COMPUTED_VALUE"""),"召喚
コスト")</f>
        <v>召喚
コスト</v>
      </c>
      <c r="N2" s="139" t="str">
        <f>IFERROR(__xludf.DUMMYFUNCTION("""COMPUTED_VALUE"""),"基礎
コスト")</f>
        <v>基礎
コスト</v>
      </c>
      <c r="O2" s="139" t="str">
        <f>IFERROR(__xludf.DUMMYFUNCTION("""COMPUTED_VALUE"""),"コスト帯")</f>
        <v>コスト帯</v>
      </c>
      <c r="P2" s="139" t="str">
        <f>IFERROR(__xludf.DUMMYFUNCTION("""COMPUTED_VALUE"""),"キャラ
補正値")</f>
        <v>キャラ
補正値</v>
      </c>
      <c r="Q2" s="139" t="str">
        <f>IFERROR(__xludf.DUMMYFUNCTION("""COMPUTED_VALUE"""),"必殺ワザ
補正値")</f>
        <v>必殺ワザ
補正値</v>
      </c>
      <c r="R2" s="139" t="str">
        <f>IFERROR(__xludf.DUMMYFUNCTION("""COMPUTED_VALUE"""),"特性
補正値")</f>
        <v>特性
補正値</v>
      </c>
      <c r="S2" s="139" t="str">
        <f>IFERROR(__xludf.DUMMYFUNCTION("""COMPUTED_VALUE"""),"召喚
時間(s)")</f>
        <v>召喚
時間(s)</v>
      </c>
      <c r="T2" s="139" t="str">
        <f>IFERROR(__xludf.DUMMYFUNCTION("""COMPUTED_VALUE"""),"再召喚時間F
※")</f>
        <v>再召喚時間F
※</v>
      </c>
      <c r="U2" s="139" t="str">
        <f>IFERROR(__xludf.DUMMYFUNCTION("""COMPUTED_VALUE"""),"再召喚時間(s)")</f>
        <v>再召喚時間(s)</v>
      </c>
      <c r="V2" s="139" t="str">
        <f>IFERROR(__xludf.DUMMYFUNCTION("""COMPUTED_VALUE"""),"キャラ
補正値")</f>
        <v>キャラ
補正値</v>
      </c>
      <c r="W2" s="139" t="str">
        <f>IFERROR(__xludf.DUMMYFUNCTION("""COMPUTED_VALUE"""),"再召喚時間
属性&amp;ロール
補正値(s)")</f>
        <v>再召喚時間
属性&amp;ロール
補正値(s)</v>
      </c>
      <c r="X2" s="139" t="str">
        <f>IFERROR(__xludf.DUMMYFUNCTION("""COMPUTED_VALUE"""),"※
(予備調整枠)")</f>
        <v>※
(予備調整枠)</v>
      </c>
      <c r="Y2" s="139" t="str">
        <f>IFERROR(__xludf.DUMMYFUNCTION("""COMPUTED_VALUE"""),"初回必殺CDF
※")</f>
        <v>初回必殺CDF
※</v>
      </c>
      <c r="Z2" s="139" t="str">
        <f>IFERROR(__xludf.DUMMYFUNCTION("""COMPUTED_VALUE"""),"初回
必殺ワザ
CDT")</f>
        <v>初回
必殺ワザ
CDT</v>
      </c>
      <c r="AA2" s="675" t="str">
        <f>IFERROR(__xludf.DUMMYFUNCTION("""COMPUTED_VALUE"""),"キャラ
補正値")</f>
        <v>キャラ
補正値</v>
      </c>
      <c r="AB2" s="139" t="str">
        <f>IFERROR(__xludf.DUMMYFUNCTION("""COMPUTED_VALUE"""),"CDT
属性&amp;ロール
補正値")</f>
        <v>CDT
属性&amp;ロール
補正値</v>
      </c>
      <c r="AC2" s="139" t="str">
        <f>IFERROR(__xludf.DUMMYFUNCTION("""COMPUTED_VALUE"""),"※
(予備調整枠)")</f>
        <v>※
(予備調整枠)</v>
      </c>
      <c r="AD2" s="139" t="str">
        <f>IFERROR(__xludf.DUMMYFUNCTION("""COMPUTED_VALUE"""),"2回目以降必殺
CDF
※")</f>
        <v>2回目以降必殺
CDF
※</v>
      </c>
      <c r="AE2" s="139" t="str">
        <f>IFERROR(__xludf.DUMMYFUNCTION("""COMPUTED_VALUE"""),"2回目以降
必殺ワザ
CDT")</f>
        <v>2回目以降
必殺ワザ
CDT</v>
      </c>
      <c r="AF2" s="139" t="str">
        <f>IFERROR(__xludf.DUMMYFUNCTION("""COMPUTED_VALUE"""),"キャラ
補正値")</f>
        <v>キャラ
補正値</v>
      </c>
      <c r="AG2" s="139" t="str">
        <f>IFERROR(__xludf.DUMMYFUNCTION("""COMPUTED_VALUE"""),"必殺ワザ
補正値")</f>
        <v>必殺ワザ
補正値</v>
      </c>
      <c r="AH2" s="139" t="str">
        <f>IFERROR(__xludf.DUMMYFUNCTION("""COMPUTED_VALUE"""),"CDT
属性&amp;ロール
補正値")</f>
        <v>CDT
属性&amp;ロール
補正値</v>
      </c>
      <c r="AI2" s="139" t="str">
        <f>IFERROR(__xludf.DUMMYFUNCTION("""COMPUTED_VALUE"""),"※
ワザ効果時間")</f>
        <v>※
ワザ効果時間</v>
      </c>
      <c r="AJ2" s="139" t="str">
        <f>IFERROR(__xludf.DUMMYFUNCTION("""COMPUTED_VALUE"""),"※
ワザ間隔
(確認用)")</f>
        <v>※
ワザ間隔
(確認用)</v>
      </c>
      <c r="AK2" s="139" t="str">
        <f>IFERROR(__xludf.DUMMYFUNCTION("""COMPUTED_VALUE"""),"必殺ワザ発動可能回数(最低値)")</f>
        <v>必殺ワザ発動可能回数(最低値)</v>
      </c>
      <c r="AL2" s="139" t="str">
        <f>IFERROR(__xludf.DUMMYFUNCTION("""COMPUTED_VALUE"""),"体力Lv1")</f>
        <v>体力Lv1</v>
      </c>
      <c r="AM2" s="139" t="str">
        <f>IFERROR(__xludf.DUMMYFUNCTION("""COMPUTED_VALUE"""),"体力
Lv80
最大凸")</f>
        <v>体力
Lv80
最大凸</v>
      </c>
      <c r="AN2" s="139" t="str">
        <f>IFERROR(__xludf.DUMMYFUNCTION("""COMPUTED_VALUE"""),"体力
Lv80
最大凸
生存時間(s)
(敵1体)")</f>
        <v>体力
Lv80
最大凸
生存時間(s)
(敵1体)</v>
      </c>
      <c r="AO2" s="139" t="str">
        <f>IFERROR(__xludf.DUMMYFUNCTION("""COMPUTED_VALUE"""),"体力
Lv80
最大凸
生存時間(s)
(敵2体)")</f>
        <v>体力
Lv80
最大凸
生存時間(s)
(敵2体)</v>
      </c>
      <c r="AP2" s="139" t="str">
        <f>IFERROR(__xludf.DUMMYFUNCTION("""COMPUTED_VALUE"""),"基礎
体力")</f>
        <v>基礎
体力</v>
      </c>
      <c r="AQ2" s="139" t="str">
        <f>IFERROR(__xludf.DUMMYFUNCTION("""COMPUTED_VALUE"""),"ロール
補正値")</f>
        <v>ロール
補正値</v>
      </c>
      <c r="AR2" s="673" t="str">
        <f>IFERROR(__xludf.DUMMYFUNCTION("""COMPUTED_VALUE"""),"キャラ
補正値1")</f>
        <v>キャラ
補正値1</v>
      </c>
      <c r="AS2" s="139" t="str">
        <f>IFERROR(__xludf.DUMMYFUNCTION("""COMPUTED_VALUE"""),"キャラ
補正値2
※距離補正")</f>
        <v>キャラ
補正値2
※距離補正</v>
      </c>
      <c r="AT2" s="139" t="str">
        <f>IFERROR(__xludf.DUMMYFUNCTION("""COMPUTED_VALUE"""),"キャラ
補正値3
※攻撃値分")</f>
        <v>キャラ
補正値3
※攻撃値分</v>
      </c>
      <c r="AU2" s="673" t="str">
        <f>IFERROR(__xludf.DUMMYFUNCTION("""COMPUTED_VALUE"""),"属性&amp;ロール
補正値")</f>
        <v>属性&amp;ロール
補正値</v>
      </c>
      <c r="AV2" s="673" t="str">
        <f>IFERROR(__xludf.DUMMYFUNCTION("""COMPUTED_VALUE"""),"※
特殊
調整値")</f>
        <v>※
特殊
調整値</v>
      </c>
      <c r="AW2" s="139" t="str">
        <f>IFERROR(__xludf.DUMMYFUNCTION("""COMPUTED_VALUE"""),"※
(予備調整枠)")</f>
        <v>※
(予備調整枠)</v>
      </c>
      <c r="AX2" s="139" t="str">
        <f>IFERROR(__xludf.DUMMYFUNCTION("""COMPUTED_VALUE"""),"攻撃力Lv1")</f>
        <v>攻撃力Lv1</v>
      </c>
      <c r="AY2" s="139" t="str">
        <f>IFERROR(__xludf.DUMMYFUNCTION("""COMPUTED_VALUE"""),"攻撃
Lv80
最大凸")</f>
        <v>攻撃
Lv80
最大凸</v>
      </c>
      <c r="AZ2" s="139" t="str">
        <f>IFERROR(__xludf.DUMMYFUNCTION("""COMPUTED_VALUE"""),"DPS
通常攻撃Lv1
単体")</f>
        <v>DPS
通常攻撃Lv1
単体</v>
      </c>
      <c r="BA2" s="139" t="str">
        <f>IFERROR(__xludf.DUMMYFUNCTION("""COMPUTED_VALUE"""),"DPS
Lv80
最大凸
単体")</f>
        <v>DPS
Lv80
最大凸
単体</v>
      </c>
      <c r="BB2" s="139" t="str">
        <f>IFERROR(__xludf.DUMMYFUNCTION("""COMPUTED_VALUE"""),"DPS
Lv80
最大凸
単体
(自己バフ時)")</f>
        <v>DPS
Lv80
最大凸
単体
(自己バフ時)</v>
      </c>
      <c r="BC2" s="139" t="str">
        <f>IFERROR(__xludf.DUMMYFUNCTION("""COMPUTED_VALUE"""),"DPS
通常攻撃&amp;ワザLv1
単体(合算)")</f>
        <v>DPS
通常攻撃&amp;ワザLv1
単体(合算)</v>
      </c>
      <c r="BD2" s="139" t="str">
        <f>IFERROR(__xludf.DUMMYFUNCTION("""COMPUTED_VALUE"""),"DPS
通常攻撃&amp;ワザLv80
単体(合算)")</f>
        <v>DPS
通常攻撃&amp;ワザLv80
単体(合算)</v>
      </c>
      <c r="BE2" s="139" t="str">
        <f>IFERROR(__xludf.DUMMYFUNCTION("""COMPUTED_VALUE"""),"通常攻撃
基礎値
(補正値合算)
※範囲補正値込み")</f>
        <v>通常攻撃
基礎値
(補正値合算)
※範囲補正値込み</v>
      </c>
      <c r="BF2" s="139" t="str">
        <f>IFERROR(__xludf.DUMMYFUNCTION("""COMPUTED_VALUE"""),"通常攻撃
基礎値")</f>
        <v>通常攻撃
基礎値</v>
      </c>
      <c r="BG2" s="139" t="str">
        <f>IFERROR(__xludf.DUMMYFUNCTION("""COMPUTED_VALUE"""),"キャラ
補正値")</f>
        <v>キャラ
補正値</v>
      </c>
      <c r="BH2" s="139" t="str">
        <f>IFERROR(__xludf.DUMMYFUNCTION("""COMPUTED_VALUE"""),"ロール
基礎補正値")</f>
        <v>ロール
基礎補正値</v>
      </c>
      <c r="BI2" s="139" t="str">
        <f>IFERROR(__xludf.DUMMYFUNCTION("""COMPUTED_VALUE"""),"属性&amp;ロール
補正値")</f>
        <v>属性&amp;ロール
補正値</v>
      </c>
      <c r="BJ2" s="139" t="str">
        <f>IFERROR(__xludf.DUMMYFUNCTION("""COMPUTED_VALUE"""),"※
特殊
調整値")</f>
        <v>※
特殊
調整値</v>
      </c>
      <c r="BK2" s="139" t="str">
        <f>IFERROR(__xludf.DUMMYFUNCTION("""COMPUTED_VALUE"""),"キャラ
補正値3
※体力値分")</f>
        <v>キャラ
補正値3
※体力値分</v>
      </c>
      <c r="BL2" s="139" t="str">
        <f>IFERROR(__xludf.DUMMYFUNCTION("""COMPUTED_VALUE"""),"キャラ
補正値
※距離補正")</f>
        <v>キャラ
補正値
※距離補正</v>
      </c>
      <c r="BM2" s="139" t="str">
        <f>IFERROR(__xludf.DUMMYFUNCTION("""COMPUTED_VALUE"""),"攻撃CDF")</f>
        <v>攻撃CDF</v>
      </c>
      <c r="BN2" s="139" t="str">
        <f>IFERROR(__xludf.DUMMYFUNCTION("""COMPUTED_VALUE"""),"基礎攻撃
CDF")</f>
        <v>基礎攻撃
CDF</v>
      </c>
      <c r="BO2" s="139" t="str">
        <f>IFERROR(__xludf.DUMMYFUNCTION("""COMPUTED_VALUE"""),"キャラ
補正値")</f>
        <v>キャラ
補正値</v>
      </c>
      <c r="BP2" s="139" t="str">
        <f>IFERROR(__xludf.DUMMYFUNCTION("""COMPUTED_VALUE"""),"攻撃
CDT
(確認用)")</f>
        <v>攻撃
CDT
(確認用)</v>
      </c>
      <c r="BQ2" s="139" t="str">
        <f>IFERROR(__xludf.DUMMYFUNCTION("""COMPUTED_VALUE"""),"攻撃手段")</f>
        <v>攻撃手段</v>
      </c>
      <c r="BR2" s="139" t="str">
        <f>IFERROR(__xludf.DUMMYFUNCTION("""COMPUTED_VALUE"""),"KB回数")</f>
        <v>KB回数</v>
      </c>
      <c r="BS2" s="139" t="str">
        <f>IFERROR(__xludf.DUMMYFUNCTION("""COMPUTED_VALUE"""),"move_speed")</f>
        <v>move_speed</v>
      </c>
      <c r="BT2" s="139" t="str">
        <f>IFERROR(__xludf.DUMMYFUNCTION("""COMPUTED_VALUE"""),"well_distance")</f>
        <v>well_distance</v>
      </c>
      <c r="BU2" s="139" t="str">
        <f>IFERROR(__xludf.DUMMYFUNCTION("""COMPUTED_VALUE"""),"well_distance
※調整値")</f>
        <v>well_distance
※調整値</v>
      </c>
      <c r="BV2" s="139" t="str">
        <f>IFERROR(__xludf.DUMMYFUNCTION("""COMPUTED_VALUE"""),"移動")</f>
        <v>移動</v>
      </c>
      <c r="BW2" s="139" t="str">
        <f>IFERROR(__xludf.DUMMYFUNCTION("""COMPUTED_VALUE"""),"特性1")</f>
        <v>特性1</v>
      </c>
      <c r="BX2" s="139" t="str">
        <f>IFERROR(__xludf.DUMMYFUNCTION("""COMPUTED_VALUE"""),"効果値")</f>
        <v>効果値</v>
      </c>
      <c r="BY2" s="139" t="str">
        <f>IFERROR(__xludf.DUMMYFUNCTION("""COMPUTED_VALUE"""),"解放ランク")</f>
        <v>解放ランク</v>
      </c>
      <c r="BZ2" s="139" t="str">
        <f>IFERROR(__xludf.DUMMYFUNCTION("""COMPUTED_VALUE"""),"特性2")</f>
        <v>特性2</v>
      </c>
      <c r="CA2" s="139" t="str">
        <f>IFERROR(__xludf.DUMMYFUNCTION("""COMPUTED_VALUE"""),"効果値")</f>
        <v>効果値</v>
      </c>
      <c r="CB2" s="139" t="str">
        <f>IFERROR(__xludf.DUMMYFUNCTION("""COMPUTED_VALUE"""),"解放ランク")</f>
        <v>解放ランク</v>
      </c>
      <c r="CC2" s="139" t="str">
        <f>IFERROR(__xludf.DUMMYFUNCTION("""COMPUTED_VALUE"""),"通常
攻撃距離")</f>
        <v>通常
攻撃距離</v>
      </c>
      <c r="CD2" s="139" t="str">
        <f>IFERROR(__xludf.DUMMYFUNCTION("""COMPUTED_VALUE"""),"通常
攻撃範囲")</f>
        <v>通常
攻撃範囲</v>
      </c>
      <c r="CE2" s="139" t="str">
        <f>IFERROR(__xludf.DUMMYFUNCTION("""COMPUTED_VALUE"""),"※攻撃倍率
(範囲_
補正値)")</f>
        <v>※攻撃倍率
(範囲_
補正値)</v>
      </c>
      <c r="CF2" s="139" t="str">
        <f>IFERROR(__xludf.DUMMYFUNCTION("""COMPUTED_VALUE"""),"通常攻撃
射程数値")</f>
        <v>通常攻撃
射程数値</v>
      </c>
      <c r="CG2" s="139" t="str">
        <f>IFERROR(__xludf.DUMMYFUNCTION("""COMPUTED_VALUE"""),"必殺ワザ
距離")</f>
        <v>必殺ワザ
距離</v>
      </c>
      <c r="CH2" s="139" t="str">
        <f>IFERROR(__xludf.DUMMYFUNCTION("""COMPUTED_VALUE"""),"必殺ワザ
範囲")</f>
        <v>必殺ワザ
範囲</v>
      </c>
      <c r="CI2" s="139" t="str">
        <f>IFERROR(__xludf.DUMMYFUNCTION("""COMPUTED_VALUE"""),"※攻撃倍率
(範囲_
補正値)")</f>
        <v>※攻撃倍率
(範囲_
補正値)</v>
      </c>
      <c r="CJ2" s="139" t="str">
        <f>IFERROR(__xludf.DUMMYFUNCTION("""COMPUTED_VALUE"""),"必殺ワザ
射程数値")</f>
        <v>必殺ワザ
射程数値</v>
      </c>
      <c r="CK2" s="139" t="str">
        <f>IFERROR(__xludf.DUMMYFUNCTION("""COMPUTED_VALUE"""),"必殺ワザ_
対象")</f>
        <v>必殺ワザ_
対象</v>
      </c>
      <c r="CL2" s="139" t="str">
        <f>IFERROR(__xludf.DUMMYFUNCTION("""COMPUTED_VALUE"""),"
ワザ_対象属性")</f>
        <v>
ワザ_対象属性</v>
      </c>
      <c r="CM2" s="139" t="str">
        <f>IFERROR(__xludf.DUMMYFUNCTION("""COMPUTED_VALUE"""),"ワザ_対象ロール")</f>
        <v>ワザ_対象ロール</v>
      </c>
      <c r="CN2" s="139" t="str">
        <f>IFERROR(__xludf.DUMMYFUNCTION("""COMPUTED_VALUE"""),"※
CDT
(確認用)")</f>
        <v>※
CDT
(確認用)</v>
      </c>
      <c r="CO2" s="139" t="str">
        <f>IFERROR(__xludf.DUMMYFUNCTION("""COMPUTED_VALUE"""),"特性3")</f>
        <v>特性3</v>
      </c>
      <c r="CP2" s="139" t="str">
        <f>IFERROR(__xludf.DUMMYFUNCTION("""COMPUTED_VALUE"""),"効果値")</f>
        <v>効果値</v>
      </c>
      <c r="CQ2" s="139" t="str">
        <f>IFERROR(__xludf.DUMMYFUNCTION("""COMPUTED_VALUE"""),"解放ランク")</f>
        <v>解放ランク</v>
      </c>
      <c r="CR2" s="139" t="str">
        <f>IFERROR(__xludf.DUMMYFUNCTION("""COMPUTED_VALUE"""),"※
バフ・デバフ
効果型")</f>
        <v>※
バフ・デバフ
効果型</v>
      </c>
      <c r="CS2" s="139" t="str">
        <f>IFERROR(__xludf.DUMMYFUNCTION("""COMPUTED_VALUE"""),"必殺ワザ1")</f>
        <v>必殺ワザ1</v>
      </c>
      <c r="CT2" s="139" t="str">
        <f>IFERROR(__xludf.DUMMYFUNCTION("""COMPUTED_VALUE"""),"バフ・デバフ
効果型")</f>
        <v>バフ・デバフ
効果型</v>
      </c>
      <c r="CU2" s="139" t="str">
        <f>IFERROR(__xludf.DUMMYFUNCTION("""COMPUTED_VALUE"""),"必殺ワザ_
対象")</f>
        <v>必殺ワザ_
対象</v>
      </c>
      <c r="CV2" s="139" t="str">
        <f>IFERROR(__xludf.DUMMYFUNCTION("""COMPUTED_VALUE"""),"
ワザ_
対象属性")</f>
        <v>
ワザ_
対象属性</v>
      </c>
      <c r="CW2" s="139" t="str">
        <f>IFERROR(__xludf.DUMMYFUNCTION("""COMPUTED_VALUE"""),"ワザ_対象ロール")</f>
        <v>ワザ_対象ロール</v>
      </c>
      <c r="CX2" s="674" t="str">
        <f>IFERROR(__xludf.DUMMYFUNCTION("""COMPUTED_VALUE"""),"効果値1
※倍率
(完凸)")</f>
        <v>効果値1
※倍率
(完凸)</v>
      </c>
      <c r="CY2" s="139" t="str">
        <f>IFERROR(__xludf.DUMMYFUNCTION("""COMPUTED_VALUE"""),"効果値2
※効果時間(s)
(完凸)")</f>
        <v>効果値2
※効果時間(s)
(完凸)</v>
      </c>
      <c r="CZ2" s="139" t="str">
        <f>IFERROR(__xludf.DUMMYFUNCTION("""COMPUTED_VALUE"""),"必殺ワザ1
攻撃値
※Lv80完凸")</f>
        <v>必殺ワザ1
攻撃値
※Lv80完凸</v>
      </c>
      <c r="DA2" s="139" t="str">
        <f>IFERROR(__xludf.DUMMYFUNCTION("""COMPUTED_VALUE"""),"※
必殺ワザDPS
(単体)")</f>
        <v>※
必殺ワザDPS
(単体)</v>
      </c>
      <c r="DB2" s="139" t="str">
        <f>IFERROR(__xludf.DUMMYFUNCTION("""COMPUTED_VALUE"""),"※
必殺ワザDPS
(範囲CD1 x n体)")</f>
        <v>※
必殺ワザDPS
(範囲CD1 x n体)</v>
      </c>
      <c r="DC2" s="139" t="str">
        <f>IFERROR(__xludf.DUMMYFUNCTION("""COMPUTED_VALUE"""),"必殺ワザ2")</f>
        <v>必殺ワザ2</v>
      </c>
      <c r="DD2" s="673" t="str">
        <f>IFERROR(__xludf.DUMMYFUNCTION("""COMPUTED_VALUE"""),"効果値1
※倍率
(完凸)")</f>
        <v>効果値1
※倍率
(完凸)</v>
      </c>
      <c r="DE2" s="139" t="str">
        <f>IFERROR(__xludf.DUMMYFUNCTION("""COMPUTED_VALUE"""),"効果値2
※効果時間(s)
(完凸)")</f>
        <v>効果値2
※効果時間(s)
(完凸)</v>
      </c>
      <c r="DF2" s="139" t="str">
        <f>IFERROR(__xludf.DUMMYFUNCTION("""COMPUTED_VALUE"""),"※
バフ・デバフ
効果型")</f>
        <v>※
バフ・デバフ
効果型</v>
      </c>
      <c r="DG2" s="139" t="str">
        <f>IFERROR(__xludf.DUMMYFUNCTION("""COMPUTED_VALUE"""),"※
必殺ワザ2
範囲")</f>
        <v>※
必殺ワザ2
範囲</v>
      </c>
      <c r="DH2" s="139" t="str">
        <f>IFERROR(__xludf.DUMMYFUNCTION("""COMPUTED_VALUE"""),"※
必殺ワザ
射程数値
(自動)")</f>
        <v>※
必殺ワザ
射程数値
(自動)</v>
      </c>
      <c r="DI2" s="139" t="str">
        <f>IFERROR(__xludf.DUMMYFUNCTION("""COMPUTED_VALUE"""),"※
必殺ワザ_
対象")</f>
        <v>※
必殺ワザ_
対象</v>
      </c>
      <c r="DJ2" s="139" t="str">
        <f>IFERROR(__xludf.DUMMYFUNCTION("""COMPUTED_VALUE"""),"※
ワザ_
対象属性")</f>
        <v>※
ワザ_
対象属性</v>
      </c>
    </row>
    <row r="3">
      <c r="A3" s="139" t="str">
        <f>IFERROR(__xludf.DUMMYFUNCTION("""COMPUTED_VALUE"""),"チェンソーマン")</f>
        <v>チェンソーマン</v>
      </c>
      <c r="B3" s="139" t="str">
        <f>IFERROR(__xludf.DUMMYFUNCTION("""COMPUTED_VALUE"""),"(仮)レゼ")</f>
        <v>(仮)レゼ</v>
      </c>
      <c r="C3" s="139" t="str">
        <f>IFERROR(__xludf.DUMMYFUNCTION("""COMPUTED_VALUE"""),"chara_chi_00901")</f>
        <v>chara_chi_00901</v>
      </c>
      <c r="D3" s="139" t="str">
        <f>IFERROR(__xludf.DUMMYFUNCTION("""COMPUTED_VALUE"""),"※ID管理未記入")</f>
        <v>※ID管理未記入</v>
      </c>
      <c r="E3" s="139" t="str">
        <f>IFERROR(__xludf.DUMMYFUNCTION("""COMPUTED_VALUE"""),"※未記入")</f>
        <v>※未記入</v>
      </c>
      <c r="F3" s="139" t="str">
        <f>IFERROR(__xludf.DUMMYFUNCTION("""COMPUTED_VALUE"""),"※ID管理未記入")</f>
        <v>※ID管理未記入</v>
      </c>
      <c r="G3" s="139" t="str">
        <f>IFERROR(__xludf.DUMMYFUNCTION("""COMPUTED_VALUE"""),"※ID管理未記入")</f>
        <v>※ID管理未記入</v>
      </c>
      <c r="H3" s="139" t="str">
        <f>IFERROR(__xludf.DUMMYFUNCTION("""COMPUTED_VALUE"""),"※ID管理未記入")</f>
        <v>※ID管理未記入</v>
      </c>
      <c r="I3" s="139" t="str">
        <f>IFERROR(__xludf.DUMMYFUNCTION("""COMPUTED_VALUE"""),"※ID管理未記入")</f>
        <v>※ID管理未記入</v>
      </c>
      <c r="J3" s="139" t="str">
        <f>IFERROR(__xludf.DUMMYFUNCTION("""COMPUTED_VALUE"""),"※ID管理未記入")</f>
        <v>※ID管理未記入</v>
      </c>
      <c r="K3" s="139" t="str">
        <f>IFERROR(__xludf.DUMMYFUNCTION("""COMPUTED_VALUE"""),"※ID管理未記入")</f>
        <v>※ID管理未記入</v>
      </c>
      <c r="L3" s="139" t="str">
        <f>IFERROR(__xludf.DUMMYFUNCTION("""COMPUTED_VALUE"""),"※")</f>
        <v>※</v>
      </c>
      <c r="M3" s="674">
        <f>IFERROR(__xludf.DUMMYFUNCTION("""COMPUTED_VALUE"""),0.0)</f>
        <v>0</v>
      </c>
      <c r="N3" s="139">
        <f>IFERROR(__xludf.DUMMYFUNCTION("""COMPUTED_VALUE"""),0.0)</f>
        <v>0</v>
      </c>
      <c r="O3" s="139"/>
      <c r="P3" s="139">
        <f>IFERROR(__xludf.DUMMYFUNCTION("""COMPUTED_VALUE"""),0.0)</f>
        <v>0</v>
      </c>
      <c r="Q3" s="675">
        <f>IFERROR(__xludf.DUMMYFUNCTION("""COMPUTED_VALUE"""),0.0)</f>
        <v>0</v>
      </c>
      <c r="R3" s="675">
        <f>IFERROR(__xludf.DUMMYFUNCTION("""COMPUTED_VALUE"""),0.0)</f>
        <v>0</v>
      </c>
      <c r="S3" s="675">
        <f>IFERROR(__xludf.DUMMYFUNCTION("""COMPUTED_VALUE"""),-2.5)</f>
        <v>-2.5</v>
      </c>
      <c r="T3" s="674">
        <f>IFERROR(__xludf.DUMMYFUNCTION("""COMPUTED_VALUE"""),225.0)</f>
        <v>225</v>
      </c>
      <c r="U3" s="675">
        <f>IFERROR(__xludf.DUMMYFUNCTION("""COMPUTED_VALUE"""),4.5)</f>
        <v>4.5</v>
      </c>
      <c r="V3" s="675">
        <f>IFERROR(__xludf.DUMMYFUNCTION("""COMPUTED_VALUE"""),0.0)</f>
        <v>0</v>
      </c>
      <c r="W3" s="675">
        <f>IFERROR(__xludf.DUMMYFUNCTION("""COMPUTED_VALUE"""),0.0)</f>
        <v>0</v>
      </c>
      <c r="X3" s="675">
        <f>IFERROR(__xludf.DUMMYFUNCTION("""COMPUTED_VALUE"""),0.0)</f>
        <v>0</v>
      </c>
      <c r="Y3" s="674">
        <f>IFERROR(__xludf.DUMMYFUNCTION("""COMPUTED_VALUE"""),100.0)</f>
        <v>100</v>
      </c>
      <c r="Z3" s="675">
        <f>IFERROR(__xludf.DUMMYFUNCTION("""COMPUTED_VALUE"""),2.0)</f>
        <v>2</v>
      </c>
      <c r="AA3" s="675">
        <f>IFERROR(__xludf.DUMMYFUNCTION("""COMPUTED_VALUE"""),0.0)</f>
        <v>0</v>
      </c>
      <c r="AB3" s="673">
        <f>IFERROR(__xludf.DUMMYFUNCTION("""COMPUTED_VALUE"""),0.0)</f>
        <v>0</v>
      </c>
      <c r="AC3" s="675">
        <f>IFERROR(__xludf.DUMMYFUNCTION("""COMPUTED_VALUE"""),0.0)</f>
        <v>0</v>
      </c>
      <c r="AD3" s="674">
        <f>IFERROR(__xludf.DUMMYFUNCTION("""COMPUTED_VALUE"""),250.0)</f>
        <v>250</v>
      </c>
      <c r="AE3" s="675">
        <f>IFERROR(__xludf.DUMMYFUNCTION("""COMPUTED_VALUE"""),5.0)</f>
        <v>5</v>
      </c>
      <c r="AF3" s="675">
        <f>IFERROR(__xludf.DUMMYFUNCTION("""COMPUTED_VALUE"""),0.0)</f>
        <v>0</v>
      </c>
      <c r="AG3" s="673">
        <f>IFERROR(__xludf.DUMMYFUNCTION("""COMPUTED_VALUE"""),0.0)</f>
        <v>0</v>
      </c>
      <c r="AH3" s="675">
        <f>IFERROR(__xludf.DUMMYFUNCTION("""COMPUTED_VALUE"""),0.0)</f>
        <v>0</v>
      </c>
      <c r="AI3" s="139" t="str">
        <f>IFERROR(__xludf.DUMMYFUNCTION("""COMPUTED_VALUE"""),"-")</f>
        <v>-</v>
      </c>
      <c r="AJ3" s="675" t="str">
        <f>IFERROR(__xludf.DUMMYFUNCTION("""COMPUTED_VALUE"""),"-")</f>
        <v>-</v>
      </c>
      <c r="AK3" s="139">
        <f>IFERROR(__xludf.DUMMYFUNCTION("""COMPUTED_VALUE"""),0.0)</f>
        <v>0</v>
      </c>
      <c r="AL3" s="674">
        <f>IFERROR(__xludf.DUMMYFUNCTION("""COMPUTED_VALUE"""),0.0)</f>
        <v>0</v>
      </c>
      <c r="AM3" s="688">
        <f>IFERROR(__xludf.DUMMYFUNCTION("""COMPUTED_VALUE"""),0.0)</f>
        <v>0</v>
      </c>
      <c r="AN3" s="675">
        <f>IFERROR(__xludf.DUMMYFUNCTION("""COMPUTED_VALUE"""),0.0)</f>
        <v>0</v>
      </c>
      <c r="AO3" s="675">
        <f>IFERROR(__xludf.DUMMYFUNCTION("""COMPUTED_VALUE"""),0.0)</f>
        <v>0</v>
      </c>
      <c r="AP3" s="674">
        <f>IFERROR(__xludf.DUMMYFUNCTION("""COMPUTED_VALUE"""),0.0)</f>
        <v>0</v>
      </c>
      <c r="AQ3" s="673">
        <f>IFERROR(__xludf.DUMMYFUNCTION("""COMPUTED_VALUE"""),0.0)</f>
        <v>0</v>
      </c>
      <c r="AR3" s="673">
        <f>IFERROR(__xludf.DUMMYFUNCTION("""COMPUTED_VALUE"""),0.0)</f>
        <v>0</v>
      </c>
      <c r="AS3" s="673">
        <f>IFERROR(__xludf.DUMMYFUNCTION("""COMPUTED_VALUE"""),0.0)</f>
        <v>0</v>
      </c>
      <c r="AT3" s="673">
        <f>IFERROR(__xludf.DUMMYFUNCTION("""COMPUTED_VALUE"""),0.0)</f>
        <v>0</v>
      </c>
      <c r="AU3" s="675">
        <f>IFERROR(__xludf.DUMMYFUNCTION("""COMPUTED_VALUE"""),0.0)</f>
        <v>0</v>
      </c>
      <c r="AV3" s="675">
        <f>IFERROR(__xludf.DUMMYFUNCTION("""COMPUTED_VALUE"""),0.0)</f>
        <v>0</v>
      </c>
      <c r="AW3" s="139"/>
      <c r="AX3" s="674" t="str">
        <f>IFERROR(__xludf.DUMMYFUNCTION("""COMPUTED_VALUE"""),"※通常攻撃範囲を入力！(CD列)")</f>
        <v>※通常攻撃範囲を入力！(CD列)</v>
      </c>
      <c r="AY3" s="688" t="str">
        <f>IFERROR(__xludf.DUMMYFUNCTION("""COMPUTED_VALUE"""),"#VALUE!")</f>
        <v>#VALUE!</v>
      </c>
      <c r="AZ3" s="674" t="str">
        <f>IFERROR(__xludf.DUMMYFUNCTION("""COMPUTED_VALUE"""),"#VALUE!")</f>
        <v>#VALUE!</v>
      </c>
      <c r="BA3" s="688" t="str">
        <f>IFERROR(__xludf.DUMMYFUNCTION("""COMPUTED_VALUE"""),"#VALUE!")</f>
        <v>#VALUE!</v>
      </c>
      <c r="BB3" s="688" t="str">
        <f>IFERROR(__xludf.DUMMYFUNCTION("""COMPUTED_VALUE"""),"-")</f>
        <v>-</v>
      </c>
      <c r="BC3" s="688" t="str">
        <f>IFERROR(__xludf.DUMMYFUNCTION("""COMPUTED_VALUE"""),"#VALUE!")</f>
        <v>#VALUE!</v>
      </c>
      <c r="BD3" s="688" t="str">
        <f>IFERROR(__xludf.DUMMYFUNCTION("""COMPUTED_VALUE"""),"#VALUE!")</f>
        <v>#VALUE!</v>
      </c>
      <c r="BE3" s="674" t="str">
        <f>IFERROR(__xludf.DUMMYFUNCTION("""COMPUTED_VALUE"""),"#VALUE!")</f>
        <v>#VALUE!</v>
      </c>
      <c r="BF3" s="674">
        <f>IFERROR(__xludf.DUMMYFUNCTION("""COMPUTED_VALUE"""),0.0)</f>
        <v>0</v>
      </c>
      <c r="BG3" s="673">
        <f>IFERROR(__xludf.DUMMYFUNCTION("""COMPUTED_VALUE"""),0.0)</f>
        <v>0</v>
      </c>
      <c r="BH3" s="673">
        <f>IFERROR(__xludf.DUMMYFUNCTION("""COMPUTED_VALUE"""),0.0)</f>
        <v>0</v>
      </c>
      <c r="BI3" s="673">
        <f>IFERROR(__xludf.DUMMYFUNCTION("""COMPUTED_VALUE"""),0.0)</f>
        <v>0</v>
      </c>
      <c r="BJ3" s="673">
        <f>IFERROR(__xludf.DUMMYFUNCTION("""COMPUTED_VALUE"""),0.0)</f>
        <v>0</v>
      </c>
      <c r="BK3" s="673">
        <f>IFERROR(__xludf.DUMMYFUNCTION("""COMPUTED_VALUE"""),0.0)</f>
        <v>0</v>
      </c>
      <c r="BL3" s="673">
        <f>IFERROR(__xludf.DUMMYFUNCTION("""COMPUTED_VALUE"""),0.0)</f>
        <v>0</v>
      </c>
      <c r="BM3" s="674">
        <f>IFERROR(__xludf.DUMMYFUNCTION("""COMPUTED_VALUE"""),0.0)</f>
        <v>0</v>
      </c>
      <c r="BN3" s="674">
        <f>IFERROR(__xludf.DUMMYFUNCTION("""COMPUTED_VALUE"""),0.0)</f>
        <v>0</v>
      </c>
      <c r="BO3" s="675">
        <f>IFERROR(__xludf.DUMMYFUNCTION("""COMPUTED_VALUE"""),0.0)</f>
        <v>0</v>
      </c>
      <c r="BP3" s="675">
        <f>IFERROR(__xludf.DUMMYFUNCTION("""COMPUTED_VALUE"""),0.0)</f>
        <v>0</v>
      </c>
      <c r="BQ3" s="139"/>
      <c r="BR3" s="139" t="str">
        <f>IFERROR(__xludf.DUMMYFUNCTION("""COMPUTED_VALUE"""),"該当なし")</f>
        <v>該当なし</v>
      </c>
      <c r="BS3" s="139" t="str">
        <f>IFERROR(__xludf.DUMMYFUNCTION("""COMPUTED_VALUE"""),"※移動を入力！(BV列)")</f>
        <v>※移動を入力！(BV列)</v>
      </c>
      <c r="BT3" s="139" t="str">
        <f>IFERROR(__xludf.DUMMYFUNCTION("""COMPUTED_VALUE"""),"※攻撃手段を入力(BQ列)")</f>
        <v>※攻撃手段を入力(BQ列)</v>
      </c>
      <c r="BU3" s="139">
        <f>IFERROR(__xludf.DUMMYFUNCTION("""COMPUTED_VALUE"""),0.0)</f>
        <v>0</v>
      </c>
      <c r="BV3" s="139"/>
      <c r="BW3" s="139"/>
      <c r="BX3" s="139" t="str">
        <f>IFERROR(__xludf.DUMMYFUNCTION("""COMPUTED_VALUE"""),"※特性を選択!!(BW列)")</f>
        <v>※特性を選択!!(BW列)</v>
      </c>
      <c r="BY3" s="139" t="str">
        <f>IFERROR(__xludf.DUMMYFUNCTION("""COMPUTED_VALUE"""),"-")</f>
        <v>-</v>
      </c>
      <c r="BZ3" s="139"/>
      <c r="CA3" s="139" t="str">
        <f>IFERROR(__xludf.DUMMYFUNCTION("""COMPUTED_VALUE"""),"※特性を選択!!(BW列)")</f>
        <v>※特性を選択!!(BW列)</v>
      </c>
      <c r="CB3" s="139" t="str">
        <f>IFERROR(__xludf.DUMMYFUNCTION("""COMPUTED_VALUE"""),"-")</f>
        <v>-</v>
      </c>
      <c r="CC3" s="139" t="str">
        <f>IFERROR(__xludf.DUMMYFUNCTION("""COMPUTED_VALUE"""),"※ID管理未記入")</f>
        <v>※ID管理未記入</v>
      </c>
      <c r="CD3" s="139"/>
      <c r="CE3" s="139" t="str">
        <f>IFERROR(__xludf.DUMMYFUNCTION("""COMPUTED_VALUE"""),"該当なし")</f>
        <v>該当なし</v>
      </c>
      <c r="CF3" s="139" t="str">
        <f>IFERROR(__xludf.DUMMYFUNCTION("""COMPUTED_VALUE"""),"#VALUE!")</f>
        <v>#VALUE!</v>
      </c>
      <c r="CG3" s="139"/>
      <c r="CH3" s="139"/>
      <c r="CI3" s="139" t="str">
        <f>IFERROR(__xludf.DUMMYFUNCTION("""COMPUTED_VALUE"""),"該当なし")</f>
        <v>該当なし</v>
      </c>
      <c r="CJ3" s="139" t="str">
        <f>IFERROR(__xludf.DUMMYFUNCTION("""COMPUTED_VALUE"""),"#VALUE!")</f>
        <v>#VALUE!</v>
      </c>
      <c r="CK3" s="139"/>
      <c r="CL3" s="139"/>
      <c r="CM3" s="139"/>
      <c r="CN3" s="675">
        <f>IFERROR(__xludf.DUMMYFUNCTION("""COMPUTED_VALUE"""),5.0)</f>
        <v>5</v>
      </c>
      <c r="CO3" s="139" t="str">
        <f>IFERROR(__xludf.DUMMYFUNCTION("""COMPUTED_VALUE"""),"-")</f>
        <v>-</v>
      </c>
      <c r="CP3" s="139" t="str">
        <f>IFERROR(__xludf.DUMMYFUNCTION("""COMPUTED_VALUE"""),"-")</f>
        <v>-</v>
      </c>
      <c r="CQ3" s="139" t="str">
        <f>IFERROR(__xludf.DUMMYFUNCTION("""COMPUTED_VALUE"""),"-")</f>
        <v>-</v>
      </c>
      <c r="CR3" s="139"/>
      <c r="CS3" s="139"/>
      <c r="CT3" s="139"/>
      <c r="CU3" s="139"/>
      <c r="CV3" s="139"/>
      <c r="CW3" s="139"/>
      <c r="CX3" s="674" t="str">
        <f>IFERROR(__xludf.DUMMYFUNCTION("""COMPUTED_VALUE"""),"")</f>
        <v/>
      </c>
      <c r="CY3" s="675" t="str">
        <f>IFERROR(__xludf.DUMMYFUNCTION("""COMPUTED_VALUE"""),"")</f>
        <v/>
      </c>
      <c r="CZ3" s="688" t="str">
        <f>IFERROR(__xludf.DUMMYFUNCTION("""COMPUTED_VALUE"""),"-")</f>
        <v>-</v>
      </c>
      <c r="DA3" s="688">
        <f>IFERROR(__xludf.DUMMYFUNCTION("""COMPUTED_VALUE"""),0.0)</f>
        <v>0</v>
      </c>
      <c r="DB3" s="688">
        <f>IFERROR(__xludf.DUMMYFUNCTION("""COMPUTED_VALUE"""),0.0)</f>
        <v>0</v>
      </c>
      <c r="DC3" s="673" t="str">
        <f>IFERROR(__xludf.DUMMYFUNCTION("""COMPUTED_VALUE"""),"-")</f>
        <v>-</v>
      </c>
      <c r="DD3" s="673" t="str">
        <f>IFERROR(__xludf.DUMMYFUNCTION("""COMPUTED_VALUE"""),"-")</f>
        <v>-</v>
      </c>
      <c r="DE3" s="139" t="str">
        <f>IFERROR(__xludf.DUMMYFUNCTION("""COMPUTED_VALUE"""),"-")</f>
        <v>-</v>
      </c>
      <c r="DF3" s="139" t="str">
        <f>IFERROR(__xludf.DUMMYFUNCTION("""COMPUTED_VALUE"""),"-")</f>
        <v>-</v>
      </c>
      <c r="DG3" s="139" t="str">
        <f>IFERROR(__xludf.DUMMYFUNCTION("""COMPUTED_VALUE"""),"-")</f>
        <v>-</v>
      </c>
      <c r="DH3" s="139" t="str">
        <f>IFERROR(__xludf.DUMMYFUNCTION("""COMPUTED_VALUE"""),"-")</f>
        <v>-</v>
      </c>
      <c r="DI3" s="139" t="str">
        <f>IFERROR(__xludf.DUMMYFUNCTION("""COMPUTED_VALUE"""),"-")</f>
        <v>-</v>
      </c>
      <c r="DJ3" s="139" t="str">
        <f>IFERROR(__xludf.DUMMYFUNCTION("""COMPUTED_VALUE"""),"-")</f>
        <v>-</v>
      </c>
    </row>
    <row r="4">
      <c r="A4" s="139" t="str">
        <f>IFERROR(__xludf.DUMMYFUNCTION("""COMPUTED_VALUE"""),"怪獣８号")</f>
        <v>怪獣８号</v>
      </c>
      <c r="B4" s="139" t="str">
        <f>IFERROR(__xludf.DUMMYFUNCTION("""COMPUTED_VALUE"""),"(仮)ドレスアップ怪獣８号")</f>
        <v>(仮)ドレスアップ怪獣８号</v>
      </c>
      <c r="C4" s="139" t="str">
        <f>IFERROR(__xludf.DUMMYFUNCTION("""COMPUTED_VALUE"""),"chara_kai_00003")</f>
        <v>chara_kai_00003</v>
      </c>
      <c r="D4" s="139" t="str">
        <f>IFERROR(__xludf.DUMMYFUNCTION("""COMPUTED_VALUE"""),"PremiumUR")</f>
        <v>PremiumUR</v>
      </c>
      <c r="E4" s="139" t="str">
        <f>IFERROR(__xludf.DUMMYFUNCTION("""COMPUTED_VALUE"""),"※未記入")</f>
        <v>※未記入</v>
      </c>
      <c r="F4" s="139" t="str">
        <f>IFERROR(__xludf.DUMMYFUNCTION("""COMPUTED_VALUE"""),"※ID管理未記入")</f>
        <v>※ID管理未記入</v>
      </c>
      <c r="G4" s="139" t="str">
        <f>IFERROR(__xludf.DUMMYFUNCTION("""COMPUTED_VALUE"""),"※ID管理未記入")</f>
        <v>※ID管理未記入</v>
      </c>
      <c r="H4" s="139" t="str">
        <f>IFERROR(__xludf.DUMMYFUNCTION("""COMPUTED_VALUE"""),"※ID管理未記入")</f>
        <v>※ID管理未記入</v>
      </c>
      <c r="I4" s="139" t="str">
        <f>IFERROR(__xludf.DUMMYFUNCTION("""COMPUTED_VALUE"""),"※ID管理未記入")</f>
        <v>※ID管理未記入</v>
      </c>
      <c r="J4" s="139" t="str">
        <f>IFERROR(__xludf.DUMMYFUNCTION("""COMPUTED_VALUE"""),"※ID管理未記入")</f>
        <v>※ID管理未記入</v>
      </c>
      <c r="K4" s="139" t="str">
        <f>IFERROR(__xludf.DUMMYFUNCTION("""COMPUTED_VALUE"""),"※ID管理未記入")</f>
        <v>※ID管理未記入</v>
      </c>
      <c r="L4" s="139" t="str">
        <f>IFERROR(__xludf.DUMMYFUNCTION("""COMPUTED_VALUE"""),"※")</f>
        <v>※</v>
      </c>
      <c r="M4" s="674">
        <f>IFERROR(__xludf.DUMMYFUNCTION("""COMPUTED_VALUE"""),0.0)</f>
        <v>0</v>
      </c>
      <c r="N4" s="139">
        <f>IFERROR(__xludf.DUMMYFUNCTION("""COMPUTED_VALUE"""),0.0)</f>
        <v>0</v>
      </c>
      <c r="O4" s="139"/>
      <c r="P4" s="139">
        <f>IFERROR(__xludf.DUMMYFUNCTION("""COMPUTED_VALUE"""),0.0)</f>
        <v>0</v>
      </c>
      <c r="Q4" s="675">
        <f>IFERROR(__xludf.DUMMYFUNCTION("""COMPUTED_VALUE"""),0.0)</f>
        <v>0</v>
      </c>
      <c r="R4" s="675">
        <f>IFERROR(__xludf.DUMMYFUNCTION("""COMPUTED_VALUE"""),0.0)</f>
        <v>0</v>
      </c>
      <c r="S4" s="675">
        <f>IFERROR(__xludf.DUMMYFUNCTION("""COMPUTED_VALUE"""),-2.5)</f>
        <v>-2.5</v>
      </c>
      <c r="T4" s="674">
        <f>IFERROR(__xludf.DUMMYFUNCTION("""COMPUTED_VALUE"""),225.0)</f>
        <v>225</v>
      </c>
      <c r="U4" s="675">
        <f>IFERROR(__xludf.DUMMYFUNCTION("""COMPUTED_VALUE"""),4.5)</f>
        <v>4.5</v>
      </c>
      <c r="V4" s="675">
        <f>IFERROR(__xludf.DUMMYFUNCTION("""COMPUTED_VALUE"""),0.0)</f>
        <v>0</v>
      </c>
      <c r="W4" s="675">
        <f>IFERROR(__xludf.DUMMYFUNCTION("""COMPUTED_VALUE"""),0.0)</f>
        <v>0</v>
      </c>
      <c r="X4" s="675">
        <f>IFERROR(__xludf.DUMMYFUNCTION("""COMPUTED_VALUE"""),0.0)</f>
        <v>0</v>
      </c>
      <c r="Y4" s="674">
        <f>IFERROR(__xludf.DUMMYFUNCTION("""COMPUTED_VALUE"""),100.0)</f>
        <v>100</v>
      </c>
      <c r="Z4" s="675">
        <f>IFERROR(__xludf.DUMMYFUNCTION("""COMPUTED_VALUE"""),2.0)</f>
        <v>2</v>
      </c>
      <c r="AA4" s="675">
        <f>IFERROR(__xludf.DUMMYFUNCTION("""COMPUTED_VALUE"""),0.0)</f>
        <v>0</v>
      </c>
      <c r="AB4" s="673">
        <f>IFERROR(__xludf.DUMMYFUNCTION("""COMPUTED_VALUE"""),0.0)</f>
        <v>0</v>
      </c>
      <c r="AC4" s="675">
        <f>IFERROR(__xludf.DUMMYFUNCTION("""COMPUTED_VALUE"""),0.0)</f>
        <v>0</v>
      </c>
      <c r="AD4" s="674">
        <f>IFERROR(__xludf.DUMMYFUNCTION("""COMPUTED_VALUE"""),250.0)</f>
        <v>250</v>
      </c>
      <c r="AE4" s="675">
        <f>IFERROR(__xludf.DUMMYFUNCTION("""COMPUTED_VALUE"""),5.0)</f>
        <v>5</v>
      </c>
      <c r="AF4" s="675">
        <f>IFERROR(__xludf.DUMMYFUNCTION("""COMPUTED_VALUE"""),0.0)</f>
        <v>0</v>
      </c>
      <c r="AG4" s="673">
        <f>IFERROR(__xludf.DUMMYFUNCTION("""COMPUTED_VALUE"""),0.0)</f>
        <v>0</v>
      </c>
      <c r="AH4" s="675">
        <f>IFERROR(__xludf.DUMMYFUNCTION("""COMPUTED_VALUE"""),0.0)</f>
        <v>0</v>
      </c>
      <c r="AI4" s="139" t="str">
        <f>IFERROR(__xludf.DUMMYFUNCTION("""COMPUTED_VALUE"""),"-")</f>
        <v>-</v>
      </c>
      <c r="AJ4" s="675" t="str">
        <f>IFERROR(__xludf.DUMMYFUNCTION("""COMPUTED_VALUE"""),"-")</f>
        <v>-</v>
      </c>
      <c r="AK4" s="139">
        <f>IFERROR(__xludf.DUMMYFUNCTION("""COMPUTED_VALUE"""),0.0)</f>
        <v>0</v>
      </c>
      <c r="AL4" s="674">
        <f>IFERROR(__xludf.DUMMYFUNCTION("""COMPUTED_VALUE"""),0.0)</f>
        <v>0</v>
      </c>
      <c r="AM4" s="688">
        <f>IFERROR(__xludf.DUMMYFUNCTION("""COMPUTED_VALUE"""),0.0)</f>
        <v>0</v>
      </c>
      <c r="AN4" s="675">
        <f>IFERROR(__xludf.DUMMYFUNCTION("""COMPUTED_VALUE"""),0.0)</f>
        <v>0</v>
      </c>
      <c r="AO4" s="675">
        <f>IFERROR(__xludf.DUMMYFUNCTION("""COMPUTED_VALUE"""),0.0)</f>
        <v>0</v>
      </c>
      <c r="AP4" s="674">
        <f>IFERROR(__xludf.DUMMYFUNCTION("""COMPUTED_VALUE"""),0.0)</f>
        <v>0</v>
      </c>
      <c r="AQ4" s="673">
        <f>IFERROR(__xludf.DUMMYFUNCTION("""COMPUTED_VALUE"""),0.0)</f>
        <v>0</v>
      </c>
      <c r="AR4" s="673">
        <f>IFERROR(__xludf.DUMMYFUNCTION("""COMPUTED_VALUE"""),0.0)</f>
        <v>0</v>
      </c>
      <c r="AS4" s="673">
        <f>IFERROR(__xludf.DUMMYFUNCTION("""COMPUTED_VALUE"""),0.0)</f>
        <v>0</v>
      </c>
      <c r="AT4" s="673">
        <f>IFERROR(__xludf.DUMMYFUNCTION("""COMPUTED_VALUE"""),0.0)</f>
        <v>0</v>
      </c>
      <c r="AU4" s="675">
        <f>IFERROR(__xludf.DUMMYFUNCTION("""COMPUTED_VALUE"""),0.0)</f>
        <v>0</v>
      </c>
      <c r="AV4" s="675">
        <f>IFERROR(__xludf.DUMMYFUNCTION("""COMPUTED_VALUE"""),0.0)</f>
        <v>0</v>
      </c>
      <c r="AW4" s="139"/>
      <c r="AX4" s="674" t="str">
        <f>IFERROR(__xludf.DUMMYFUNCTION("""COMPUTED_VALUE"""),"※通常攻撃範囲を入力！(CD列)")</f>
        <v>※通常攻撃範囲を入力！(CD列)</v>
      </c>
      <c r="AY4" s="688" t="str">
        <f>IFERROR(__xludf.DUMMYFUNCTION("""COMPUTED_VALUE"""),"#VALUE!")</f>
        <v>#VALUE!</v>
      </c>
      <c r="AZ4" s="674" t="str">
        <f>IFERROR(__xludf.DUMMYFUNCTION("""COMPUTED_VALUE"""),"#VALUE!")</f>
        <v>#VALUE!</v>
      </c>
      <c r="BA4" s="688" t="str">
        <f>IFERROR(__xludf.DUMMYFUNCTION("""COMPUTED_VALUE"""),"#VALUE!")</f>
        <v>#VALUE!</v>
      </c>
      <c r="BB4" s="688" t="str">
        <f>IFERROR(__xludf.DUMMYFUNCTION("""COMPUTED_VALUE"""),"-")</f>
        <v>-</v>
      </c>
      <c r="BC4" s="688" t="str">
        <f>IFERROR(__xludf.DUMMYFUNCTION("""COMPUTED_VALUE"""),"#VALUE!")</f>
        <v>#VALUE!</v>
      </c>
      <c r="BD4" s="688" t="str">
        <f>IFERROR(__xludf.DUMMYFUNCTION("""COMPUTED_VALUE"""),"#VALUE!")</f>
        <v>#VALUE!</v>
      </c>
      <c r="BE4" s="674" t="str">
        <f>IFERROR(__xludf.DUMMYFUNCTION("""COMPUTED_VALUE"""),"#VALUE!")</f>
        <v>#VALUE!</v>
      </c>
      <c r="BF4" s="674">
        <f>IFERROR(__xludf.DUMMYFUNCTION("""COMPUTED_VALUE"""),0.0)</f>
        <v>0</v>
      </c>
      <c r="BG4" s="673">
        <f>IFERROR(__xludf.DUMMYFUNCTION("""COMPUTED_VALUE"""),0.0)</f>
        <v>0</v>
      </c>
      <c r="BH4" s="673">
        <f>IFERROR(__xludf.DUMMYFUNCTION("""COMPUTED_VALUE"""),0.0)</f>
        <v>0</v>
      </c>
      <c r="BI4" s="673">
        <f>IFERROR(__xludf.DUMMYFUNCTION("""COMPUTED_VALUE"""),0.0)</f>
        <v>0</v>
      </c>
      <c r="BJ4" s="673">
        <f>IFERROR(__xludf.DUMMYFUNCTION("""COMPUTED_VALUE"""),0.0)</f>
        <v>0</v>
      </c>
      <c r="BK4" s="673">
        <f>IFERROR(__xludf.DUMMYFUNCTION("""COMPUTED_VALUE"""),0.0)</f>
        <v>0</v>
      </c>
      <c r="BL4" s="673">
        <f>IFERROR(__xludf.DUMMYFUNCTION("""COMPUTED_VALUE"""),0.0)</f>
        <v>0</v>
      </c>
      <c r="BM4" s="674">
        <f>IFERROR(__xludf.DUMMYFUNCTION("""COMPUTED_VALUE"""),0.0)</f>
        <v>0</v>
      </c>
      <c r="BN4" s="674">
        <f>IFERROR(__xludf.DUMMYFUNCTION("""COMPUTED_VALUE"""),0.0)</f>
        <v>0</v>
      </c>
      <c r="BO4" s="675">
        <f>IFERROR(__xludf.DUMMYFUNCTION("""COMPUTED_VALUE"""),0.0)</f>
        <v>0</v>
      </c>
      <c r="BP4" s="675">
        <f>IFERROR(__xludf.DUMMYFUNCTION("""COMPUTED_VALUE"""),0.0)</f>
        <v>0</v>
      </c>
      <c r="BQ4" s="139"/>
      <c r="BR4" s="139" t="str">
        <f>IFERROR(__xludf.DUMMYFUNCTION("""COMPUTED_VALUE"""),"該当なし")</f>
        <v>該当なし</v>
      </c>
      <c r="BS4" s="139" t="str">
        <f>IFERROR(__xludf.DUMMYFUNCTION("""COMPUTED_VALUE"""),"※移動を入力！(BV列)")</f>
        <v>※移動を入力！(BV列)</v>
      </c>
      <c r="BT4" s="139" t="str">
        <f>IFERROR(__xludf.DUMMYFUNCTION("""COMPUTED_VALUE"""),"※攻撃手段を入力(BQ列)")</f>
        <v>※攻撃手段を入力(BQ列)</v>
      </c>
      <c r="BU4" s="139">
        <f>IFERROR(__xludf.DUMMYFUNCTION("""COMPUTED_VALUE"""),0.0)</f>
        <v>0</v>
      </c>
      <c r="BV4" s="139"/>
      <c r="BW4" s="139"/>
      <c r="BX4" s="139" t="str">
        <f>IFERROR(__xludf.DUMMYFUNCTION("""COMPUTED_VALUE"""),"※特性を選択!!(BW列)")</f>
        <v>※特性を選択!!(BW列)</v>
      </c>
      <c r="BY4" s="139">
        <f>IFERROR(__xludf.DUMMYFUNCTION("""COMPUTED_VALUE"""),0.0)</f>
        <v>0</v>
      </c>
      <c r="BZ4" s="139"/>
      <c r="CA4" s="139" t="str">
        <f>IFERROR(__xludf.DUMMYFUNCTION("""COMPUTED_VALUE"""),"※特性を選択!!(BW列)")</f>
        <v>※特性を選択!!(BW列)</v>
      </c>
      <c r="CB4" s="139">
        <f>IFERROR(__xludf.DUMMYFUNCTION("""COMPUTED_VALUE"""),4.0)</f>
        <v>4</v>
      </c>
      <c r="CC4" s="139" t="str">
        <f>IFERROR(__xludf.DUMMYFUNCTION("""COMPUTED_VALUE"""),"※ID管理未記入")</f>
        <v>※ID管理未記入</v>
      </c>
      <c r="CD4" s="139"/>
      <c r="CE4" s="139" t="str">
        <f>IFERROR(__xludf.DUMMYFUNCTION("""COMPUTED_VALUE"""),"該当なし")</f>
        <v>該当なし</v>
      </c>
      <c r="CF4" s="139" t="str">
        <f>IFERROR(__xludf.DUMMYFUNCTION("""COMPUTED_VALUE"""),"#VALUE!")</f>
        <v>#VALUE!</v>
      </c>
      <c r="CG4" s="139"/>
      <c r="CH4" s="139"/>
      <c r="CI4" s="139" t="str">
        <f>IFERROR(__xludf.DUMMYFUNCTION("""COMPUTED_VALUE"""),"該当なし")</f>
        <v>該当なし</v>
      </c>
      <c r="CJ4" s="139" t="str">
        <f>IFERROR(__xludf.DUMMYFUNCTION("""COMPUTED_VALUE"""),"#VALUE!")</f>
        <v>#VALUE!</v>
      </c>
      <c r="CK4" s="139"/>
      <c r="CL4" s="139"/>
      <c r="CM4" s="139"/>
      <c r="CN4" s="675">
        <f>IFERROR(__xludf.DUMMYFUNCTION("""COMPUTED_VALUE"""),5.0)</f>
        <v>5</v>
      </c>
      <c r="CO4" s="139" t="str">
        <f>IFERROR(__xludf.DUMMYFUNCTION("""COMPUTED_VALUE"""),"-")</f>
        <v>-</v>
      </c>
      <c r="CP4" s="139" t="str">
        <f>IFERROR(__xludf.DUMMYFUNCTION("""COMPUTED_VALUE"""),"-")</f>
        <v>-</v>
      </c>
      <c r="CQ4" s="139" t="str">
        <f>IFERROR(__xludf.DUMMYFUNCTION("""COMPUTED_VALUE"""),"-")</f>
        <v>-</v>
      </c>
      <c r="CR4" s="139"/>
      <c r="CS4" s="139"/>
      <c r="CT4" s="139"/>
      <c r="CU4" s="139"/>
      <c r="CV4" s="139"/>
      <c r="CW4" s="139"/>
      <c r="CX4" s="674" t="str">
        <f>IFERROR(__xludf.DUMMYFUNCTION("""COMPUTED_VALUE"""),"")</f>
        <v/>
      </c>
      <c r="CY4" s="675" t="str">
        <f>IFERROR(__xludf.DUMMYFUNCTION("""COMPUTED_VALUE"""),"")</f>
        <v/>
      </c>
      <c r="CZ4" s="688" t="str">
        <f>IFERROR(__xludf.DUMMYFUNCTION("""COMPUTED_VALUE"""),"-")</f>
        <v>-</v>
      </c>
      <c r="DA4" s="688">
        <f>IFERROR(__xludf.DUMMYFUNCTION("""COMPUTED_VALUE"""),0.0)</f>
        <v>0</v>
      </c>
      <c r="DB4" s="688">
        <f>IFERROR(__xludf.DUMMYFUNCTION("""COMPUTED_VALUE"""),0.0)</f>
        <v>0</v>
      </c>
      <c r="DC4" s="673" t="str">
        <f>IFERROR(__xludf.DUMMYFUNCTION("""COMPUTED_VALUE"""),"-")</f>
        <v>-</v>
      </c>
      <c r="DD4" s="673" t="str">
        <f>IFERROR(__xludf.DUMMYFUNCTION("""COMPUTED_VALUE"""),"-")</f>
        <v>-</v>
      </c>
      <c r="DE4" s="139" t="str">
        <f>IFERROR(__xludf.DUMMYFUNCTION("""COMPUTED_VALUE"""),"-")</f>
        <v>-</v>
      </c>
      <c r="DF4" s="139" t="str">
        <f>IFERROR(__xludf.DUMMYFUNCTION("""COMPUTED_VALUE"""),"-")</f>
        <v>-</v>
      </c>
      <c r="DG4" s="139" t="str">
        <f>IFERROR(__xludf.DUMMYFUNCTION("""COMPUTED_VALUE"""),"-")</f>
        <v>-</v>
      </c>
      <c r="DH4" s="139" t="str">
        <f>IFERROR(__xludf.DUMMYFUNCTION("""COMPUTED_VALUE"""),"-")</f>
        <v>-</v>
      </c>
      <c r="DI4" s="139" t="str">
        <f>IFERROR(__xludf.DUMMYFUNCTION("""COMPUTED_VALUE"""),"-")</f>
        <v>-</v>
      </c>
      <c r="DJ4" s="139" t="str">
        <f>IFERROR(__xludf.DUMMYFUNCTION("""COMPUTED_VALUE"""),"-")</f>
        <v>-</v>
      </c>
    </row>
    <row r="5">
      <c r="A5" s="139" t="str">
        <f>IFERROR(__xludf.DUMMYFUNCTION("""COMPUTED_VALUE"""),"怪獣８号")</f>
        <v>怪獣８号</v>
      </c>
      <c r="B5" s="139" t="str">
        <f>IFERROR(__xludf.DUMMYFUNCTION("""COMPUTED_VALUE"""),"(仮)超大型キラー 亜白 ミナ")</f>
        <v>(仮)超大型キラー 亜白 ミナ</v>
      </c>
      <c r="C5" s="139" t="str">
        <f>IFERROR(__xludf.DUMMYFUNCTION("""COMPUTED_VALUE"""),"chara_kai_00202")</f>
        <v>chara_kai_00202</v>
      </c>
      <c r="D5" s="139" t="str">
        <f>IFERROR(__xludf.DUMMYFUNCTION("""COMPUTED_VALUE"""),"FestivalUR")</f>
        <v>FestivalUR</v>
      </c>
      <c r="E5" s="139" t="str">
        <f>IFERROR(__xludf.DUMMYFUNCTION("""COMPUTED_VALUE"""),"無")</f>
        <v>無</v>
      </c>
      <c r="F5" s="139" t="str">
        <f>IFERROR(__xludf.DUMMYFUNCTION("""COMPUTED_VALUE"""),"スペシャル")</f>
        <v>スペシャル</v>
      </c>
      <c r="G5" s="139" t="str">
        <f>IFERROR(__xludf.DUMMYFUNCTION("""COMPUTED_VALUE"""),"※ID管理未記入")</f>
        <v>※ID管理未記入</v>
      </c>
      <c r="H5" s="139" t="str">
        <f>IFERROR(__xludf.DUMMYFUNCTION("""COMPUTED_VALUE"""),"※ID管理未記入")</f>
        <v>※ID管理未記入</v>
      </c>
      <c r="I5" s="139" t="str">
        <f>IFERROR(__xludf.DUMMYFUNCTION("""COMPUTED_VALUE"""),"※ID管理未記入")</f>
        <v>※ID管理未記入</v>
      </c>
      <c r="J5" s="139" t="str">
        <f>IFERROR(__xludf.DUMMYFUNCTION("""COMPUTED_VALUE"""),"※ID管理未記入")</f>
        <v>※ID管理未記入</v>
      </c>
      <c r="K5" s="139" t="str">
        <f>IFERROR(__xludf.DUMMYFUNCTION("""COMPUTED_VALUE"""),"※ID管理未記入")</f>
        <v>※ID管理未記入</v>
      </c>
      <c r="L5" s="139" t="str">
        <f>IFERROR(__xludf.DUMMYFUNCTION("""COMPUTED_VALUE"""),"※")</f>
        <v>※</v>
      </c>
      <c r="M5" s="674">
        <f>IFERROR(__xludf.DUMMYFUNCTION("""COMPUTED_VALUE"""),0.0)</f>
        <v>0</v>
      </c>
      <c r="N5" s="139">
        <f>IFERROR(__xludf.DUMMYFUNCTION("""COMPUTED_VALUE"""),0.0)</f>
        <v>0</v>
      </c>
      <c r="O5" s="139"/>
      <c r="P5" s="139">
        <f>IFERROR(__xludf.DUMMYFUNCTION("""COMPUTED_VALUE"""),0.0)</f>
        <v>0</v>
      </c>
      <c r="Q5" s="675">
        <f>IFERROR(__xludf.DUMMYFUNCTION("""COMPUTED_VALUE"""),0.0)</f>
        <v>0</v>
      </c>
      <c r="R5" s="675">
        <f>IFERROR(__xludf.DUMMYFUNCTION("""COMPUTED_VALUE"""),0.0)</f>
        <v>0</v>
      </c>
      <c r="S5" s="675">
        <f>IFERROR(__xludf.DUMMYFUNCTION("""COMPUTED_VALUE"""),-2.5)</f>
        <v>-2.5</v>
      </c>
      <c r="T5" s="674">
        <f>IFERROR(__xludf.DUMMYFUNCTION("""COMPUTED_VALUE"""),225.0)</f>
        <v>225</v>
      </c>
      <c r="U5" s="675">
        <f>IFERROR(__xludf.DUMMYFUNCTION("""COMPUTED_VALUE"""),4.5)</f>
        <v>4.5</v>
      </c>
      <c r="V5" s="675">
        <f>IFERROR(__xludf.DUMMYFUNCTION("""COMPUTED_VALUE"""),0.0)</f>
        <v>0</v>
      </c>
      <c r="W5" s="675">
        <f>IFERROR(__xludf.DUMMYFUNCTION("""COMPUTED_VALUE"""),0.0)</f>
        <v>0</v>
      </c>
      <c r="X5" s="675">
        <f>IFERROR(__xludf.DUMMYFUNCTION("""COMPUTED_VALUE"""),0.0)</f>
        <v>0</v>
      </c>
      <c r="Y5" s="674">
        <f>IFERROR(__xludf.DUMMYFUNCTION("""COMPUTED_VALUE"""),100.0)</f>
        <v>100</v>
      </c>
      <c r="Z5" s="675">
        <f>IFERROR(__xludf.DUMMYFUNCTION("""COMPUTED_VALUE"""),2.0)</f>
        <v>2</v>
      </c>
      <c r="AA5" s="675">
        <f>IFERROR(__xludf.DUMMYFUNCTION("""COMPUTED_VALUE"""),0.0)</f>
        <v>0</v>
      </c>
      <c r="AB5" s="673">
        <f>IFERROR(__xludf.DUMMYFUNCTION("""COMPUTED_VALUE"""),0.0)</f>
        <v>0</v>
      </c>
      <c r="AC5" s="675">
        <f>IFERROR(__xludf.DUMMYFUNCTION("""COMPUTED_VALUE"""),0.0)</f>
        <v>0</v>
      </c>
      <c r="AD5" s="674">
        <f>IFERROR(__xludf.DUMMYFUNCTION("""COMPUTED_VALUE"""),250.0)</f>
        <v>250</v>
      </c>
      <c r="AE5" s="675">
        <f>IFERROR(__xludf.DUMMYFUNCTION("""COMPUTED_VALUE"""),5.0)</f>
        <v>5</v>
      </c>
      <c r="AF5" s="675">
        <f>IFERROR(__xludf.DUMMYFUNCTION("""COMPUTED_VALUE"""),0.0)</f>
        <v>0</v>
      </c>
      <c r="AG5" s="673">
        <f>IFERROR(__xludf.DUMMYFUNCTION("""COMPUTED_VALUE"""),0.0)</f>
        <v>0</v>
      </c>
      <c r="AH5" s="675">
        <f>IFERROR(__xludf.DUMMYFUNCTION("""COMPUTED_VALUE"""),0.0)</f>
        <v>0</v>
      </c>
      <c r="AI5" s="675">
        <f>IFERROR(__xludf.DUMMYFUNCTION("""COMPUTED_VALUE"""),5.0)</f>
        <v>5</v>
      </c>
      <c r="AJ5" s="675">
        <f>IFERROR(__xludf.DUMMYFUNCTION("""COMPUTED_VALUE"""),0.0)</f>
        <v>0</v>
      </c>
      <c r="AK5" s="139">
        <f>IFERROR(__xludf.DUMMYFUNCTION("""COMPUTED_VALUE"""),1.0)</f>
        <v>1</v>
      </c>
      <c r="AL5" s="674">
        <f>IFERROR(__xludf.DUMMYFUNCTION("""COMPUTED_VALUE"""),0.0)</f>
        <v>0</v>
      </c>
      <c r="AM5" s="688">
        <f>IFERROR(__xludf.DUMMYFUNCTION("""COMPUTED_VALUE"""),0.0)</f>
        <v>0</v>
      </c>
      <c r="AN5" s="675">
        <f>IFERROR(__xludf.DUMMYFUNCTION("""COMPUTED_VALUE"""),0.0)</f>
        <v>0</v>
      </c>
      <c r="AO5" s="675">
        <f>IFERROR(__xludf.DUMMYFUNCTION("""COMPUTED_VALUE"""),0.0)</f>
        <v>0</v>
      </c>
      <c r="AP5" s="674">
        <f>IFERROR(__xludf.DUMMYFUNCTION("""COMPUTED_VALUE"""),0.0)</f>
        <v>0</v>
      </c>
      <c r="AQ5" s="673">
        <f>IFERROR(__xludf.DUMMYFUNCTION("""COMPUTED_VALUE"""),0.0)</f>
        <v>0</v>
      </c>
      <c r="AR5" s="673">
        <f>IFERROR(__xludf.DUMMYFUNCTION("""COMPUTED_VALUE"""),0.0)</f>
        <v>0</v>
      </c>
      <c r="AS5" s="673">
        <f>IFERROR(__xludf.DUMMYFUNCTION("""COMPUTED_VALUE"""),0.0)</f>
        <v>0</v>
      </c>
      <c r="AT5" s="673">
        <f>IFERROR(__xludf.DUMMYFUNCTION("""COMPUTED_VALUE"""),0.0)</f>
        <v>0</v>
      </c>
      <c r="AU5" s="675">
        <f>IFERROR(__xludf.DUMMYFUNCTION("""COMPUTED_VALUE"""),0.0)</f>
        <v>0</v>
      </c>
      <c r="AV5" s="675">
        <f>IFERROR(__xludf.DUMMYFUNCTION("""COMPUTED_VALUE"""),0.0)</f>
        <v>0</v>
      </c>
      <c r="AW5" s="139"/>
      <c r="AX5" s="674" t="str">
        <f>IFERROR(__xludf.DUMMYFUNCTION("""COMPUTED_VALUE"""),"※通常攻撃範囲を入力！(CD列)")</f>
        <v>※通常攻撃範囲を入力！(CD列)</v>
      </c>
      <c r="AY5" s="688" t="str">
        <f>IFERROR(__xludf.DUMMYFUNCTION("""COMPUTED_VALUE"""),"#VALUE!")</f>
        <v>#VALUE!</v>
      </c>
      <c r="AZ5" s="674" t="str">
        <f>IFERROR(__xludf.DUMMYFUNCTION("""COMPUTED_VALUE"""),"#VALUE!")</f>
        <v>#VALUE!</v>
      </c>
      <c r="BA5" s="688" t="str">
        <f>IFERROR(__xludf.DUMMYFUNCTION("""COMPUTED_VALUE"""),"#VALUE!")</f>
        <v>#VALUE!</v>
      </c>
      <c r="BB5" s="688" t="str">
        <f>IFERROR(__xludf.DUMMYFUNCTION("""COMPUTED_VALUE"""),"-")</f>
        <v>-</v>
      </c>
      <c r="BC5" s="688" t="str">
        <f>IFERROR(__xludf.DUMMYFUNCTION("""COMPUTED_VALUE"""),"#VALUE!")</f>
        <v>#VALUE!</v>
      </c>
      <c r="BD5" s="688" t="str">
        <f>IFERROR(__xludf.DUMMYFUNCTION("""COMPUTED_VALUE"""),"#VALUE!")</f>
        <v>#VALUE!</v>
      </c>
      <c r="BE5" s="674" t="str">
        <f>IFERROR(__xludf.DUMMYFUNCTION("""COMPUTED_VALUE"""),"#VALUE!")</f>
        <v>#VALUE!</v>
      </c>
      <c r="BF5" s="674">
        <f>IFERROR(__xludf.DUMMYFUNCTION("""COMPUTED_VALUE"""),0.0)</f>
        <v>0</v>
      </c>
      <c r="BG5" s="673">
        <f>IFERROR(__xludf.DUMMYFUNCTION("""COMPUTED_VALUE"""),0.0)</f>
        <v>0</v>
      </c>
      <c r="BH5" s="673">
        <f>IFERROR(__xludf.DUMMYFUNCTION("""COMPUTED_VALUE"""),0.0)</f>
        <v>0</v>
      </c>
      <c r="BI5" s="673">
        <f>IFERROR(__xludf.DUMMYFUNCTION("""COMPUTED_VALUE"""),0.0)</f>
        <v>0</v>
      </c>
      <c r="BJ5" s="673">
        <f>IFERROR(__xludf.DUMMYFUNCTION("""COMPUTED_VALUE"""),0.0)</f>
        <v>0</v>
      </c>
      <c r="BK5" s="673">
        <f>IFERROR(__xludf.DUMMYFUNCTION("""COMPUTED_VALUE"""),0.0)</f>
        <v>0</v>
      </c>
      <c r="BL5" s="673">
        <f>IFERROR(__xludf.DUMMYFUNCTION("""COMPUTED_VALUE"""),0.0)</f>
        <v>0</v>
      </c>
      <c r="BM5" s="674">
        <f>IFERROR(__xludf.DUMMYFUNCTION("""COMPUTED_VALUE"""),0.0)</f>
        <v>0</v>
      </c>
      <c r="BN5" s="674">
        <f>IFERROR(__xludf.DUMMYFUNCTION("""COMPUTED_VALUE"""),0.0)</f>
        <v>0</v>
      </c>
      <c r="BO5" s="675">
        <f>IFERROR(__xludf.DUMMYFUNCTION("""COMPUTED_VALUE"""),0.0)</f>
        <v>0</v>
      </c>
      <c r="BP5" s="675">
        <f>IFERROR(__xludf.DUMMYFUNCTION("""COMPUTED_VALUE"""),0.0)</f>
        <v>0</v>
      </c>
      <c r="BQ5" s="139"/>
      <c r="BR5" s="139" t="str">
        <f>IFERROR(__xludf.DUMMYFUNCTION("""COMPUTED_VALUE"""),"該当なし")</f>
        <v>該当なし</v>
      </c>
      <c r="BS5" s="139" t="str">
        <f>IFERROR(__xludf.DUMMYFUNCTION("""COMPUTED_VALUE"""),"※移動を入力！(BV列)")</f>
        <v>※移動を入力！(BV列)</v>
      </c>
      <c r="BT5" s="139" t="str">
        <f>IFERROR(__xludf.DUMMYFUNCTION("""COMPUTED_VALUE"""),"※攻撃手段を入力(BQ列)")</f>
        <v>※攻撃手段を入力(BQ列)</v>
      </c>
      <c r="BU5" s="139">
        <f>IFERROR(__xludf.DUMMYFUNCTION("""COMPUTED_VALUE"""),0.0)</f>
        <v>0</v>
      </c>
      <c r="BV5" s="139"/>
      <c r="BW5" s="139"/>
      <c r="BX5" s="139" t="str">
        <f>IFERROR(__xludf.DUMMYFUNCTION("""COMPUTED_VALUE"""),"※特性を選択!!(BW列)")</f>
        <v>※特性を選択!!(BW列)</v>
      </c>
      <c r="BY5" s="139" t="str">
        <f>IFERROR(__xludf.DUMMYFUNCTION("""COMPUTED_VALUE"""),"-")</f>
        <v>-</v>
      </c>
      <c r="BZ5" s="139"/>
      <c r="CA5" s="139" t="str">
        <f>IFERROR(__xludf.DUMMYFUNCTION("""COMPUTED_VALUE"""),"※特性を選択!!(BW列)")</f>
        <v>※特性を選択!!(BW列)</v>
      </c>
      <c r="CB5" s="139" t="str">
        <f>IFERROR(__xludf.DUMMYFUNCTION("""COMPUTED_VALUE"""),"-")</f>
        <v>-</v>
      </c>
      <c r="CC5" s="139" t="str">
        <f>IFERROR(__xludf.DUMMYFUNCTION("""COMPUTED_VALUE"""),"※ID管理未記入")</f>
        <v>※ID管理未記入</v>
      </c>
      <c r="CD5" s="139"/>
      <c r="CE5" s="139" t="str">
        <f>IFERROR(__xludf.DUMMYFUNCTION("""COMPUTED_VALUE"""),"-")</f>
        <v>-</v>
      </c>
      <c r="CF5" s="139" t="str">
        <f>IFERROR(__xludf.DUMMYFUNCTION("""COMPUTED_VALUE"""),"#VALUE!")</f>
        <v>#VALUE!</v>
      </c>
      <c r="CG5" s="139"/>
      <c r="CH5" s="139"/>
      <c r="CI5" s="139" t="str">
        <f>IFERROR(__xludf.DUMMYFUNCTION("""COMPUTED_VALUE"""),"-")</f>
        <v>-</v>
      </c>
      <c r="CJ5" s="139" t="str">
        <f>IFERROR(__xludf.DUMMYFUNCTION("""COMPUTED_VALUE"""),"#VALUE!")</f>
        <v>#VALUE!</v>
      </c>
      <c r="CK5" s="139"/>
      <c r="CL5" s="139"/>
      <c r="CM5" s="139"/>
      <c r="CN5" s="675" t="str">
        <f>IFERROR(__xludf.DUMMYFUNCTION("""COMPUTED_VALUE"""),"-")</f>
        <v>-</v>
      </c>
      <c r="CO5" s="139" t="str">
        <f>IFERROR(__xludf.DUMMYFUNCTION("""COMPUTED_VALUE"""),"-")</f>
        <v>-</v>
      </c>
      <c r="CP5" s="139" t="str">
        <f>IFERROR(__xludf.DUMMYFUNCTION("""COMPUTED_VALUE"""),"-")</f>
        <v>-</v>
      </c>
      <c r="CQ5" s="139" t="str">
        <f>IFERROR(__xludf.DUMMYFUNCTION("""COMPUTED_VALUE"""),"-")</f>
        <v>-</v>
      </c>
      <c r="CR5" s="139"/>
      <c r="CS5" s="139"/>
      <c r="CT5" s="139"/>
      <c r="CU5" s="139"/>
      <c r="CV5" s="139"/>
      <c r="CW5" s="139"/>
      <c r="CX5" s="674" t="str">
        <f>IFERROR(__xludf.DUMMYFUNCTION("""COMPUTED_VALUE"""),"")</f>
        <v/>
      </c>
      <c r="CY5" s="675" t="str">
        <f>IFERROR(__xludf.DUMMYFUNCTION("""COMPUTED_VALUE"""),"")</f>
        <v/>
      </c>
      <c r="CZ5" s="688" t="str">
        <f>IFERROR(__xludf.DUMMYFUNCTION("""COMPUTED_VALUE"""),"-")</f>
        <v>-</v>
      </c>
      <c r="DA5" s="688">
        <f>IFERROR(__xludf.DUMMYFUNCTION("""COMPUTED_VALUE"""),0.0)</f>
        <v>0</v>
      </c>
      <c r="DB5" s="688">
        <f>IFERROR(__xludf.DUMMYFUNCTION("""COMPUTED_VALUE"""),0.0)</f>
        <v>0</v>
      </c>
      <c r="DC5" s="673" t="str">
        <f>IFERROR(__xludf.DUMMYFUNCTION("""COMPUTED_VALUE"""),"-")</f>
        <v>-</v>
      </c>
      <c r="DD5" s="673" t="str">
        <f>IFERROR(__xludf.DUMMYFUNCTION("""COMPUTED_VALUE"""),"-")</f>
        <v>-</v>
      </c>
      <c r="DE5" s="139" t="str">
        <f>IFERROR(__xludf.DUMMYFUNCTION("""COMPUTED_VALUE"""),"-")</f>
        <v>-</v>
      </c>
      <c r="DF5" s="139" t="str">
        <f>IFERROR(__xludf.DUMMYFUNCTION("""COMPUTED_VALUE"""),"-")</f>
        <v>-</v>
      </c>
      <c r="DG5" s="139" t="str">
        <f>IFERROR(__xludf.DUMMYFUNCTION("""COMPUTED_VALUE"""),"-")</f>
        <v>-</v>
      </c>
      <c r="DH5" s="139" t="str">
        <f>IFERROR(__xludf.DUMMYFUNCTION("""COMPUTED_VALUE"""),"-")</f>
        <v>-</v>
      </c>
      <c r="DI5" s="139" t="str">
        <f>IFERROR(__xludf.DUMMYFUNCTION("""COMPUTED_VALUE"""),"-")</f>
        <v>-</v>
      </c>
      <c r="DJ5" s="139" t="str">
        <f>IFERROR(__xludf.DUMMYFUNCTION("""COMPUTED_VALUE"""),"-")</f>
        <v>-</v>
      </c>
    </row>
    <row r="6">
      <c r="A6" s="139" t="str">
        <f>IFERROR(__xludf.DUMMYFUNCTION("""COMPUTED_VALUE"""),"怪獣８号")</f>
        <v>怪獣８号</v>
      </c>
      <c r="B6" s="139" t="str">
        <f>IFERROR(__xludf.DUMMYFUNCTION("""COMPUTED_VALUE"""),"(仮)識別怪獣兵器4 四ノ宮 キコル")</f>
        <v>(仮)識別怪獣兵器4 四ノ宮 キコル</v>
      </c>
      <c r="C6" s="139" t="str">
        <f>IFERROR(__xludf.DUMMYFUNCTION("""COMPUTED_VALUE"""),"chara_kai_00302")</f>
        <v>chara_kai_00302</v>
      </c>
      <c r="D6" s="139" t="str">
        <f>IFERROR(__xludf.DUMMYFUNCTION("""COMPUTED_VALUE"""),"PremiumUR")</f>
        <v>PremiumUR</v>
      </c>
      <c r="E6" s="139" t="str">
        <f>IFERROR(__xludf.DUMMYFUNCTION("""COMPUTED_VALUE"""),"赤")</f>
        <v>赤</v>
      </c>
      <c r="F6" s="139" t="str">
        <f>IFERROR(__xludf.DUMMYFUNCTION("""COMPUTED_VALUE"""),"アタック")</f>
        <v>アタック</v>
      </c>
      <c r="G6" s="139" t="str">
        <f>IFERROR(__xludf.DUMMYFUNCTION("""COMPUTED_VALUE"""),"※ID管理未記入")</f>
        <v>※ID管理未記入</v>
      </c>
      <c r="H6" s="139" t="str">
        <f>IFERROR(__xludf.DUMMYFUNCTION("""COMPUTED_VALUE"""),"※ID管理未記入")</f>
        <v>※ID管理未記入</v>
      </c>
      <c r="I6" s="139" t="str">
        <f>IFERROR(__xludf.DUMMYFUNCTION("""COMPUTED_VALUE"""),"※ID管理未記入")</f>
        <v>※ID管理未記入</v>
      </c>
      <c r="J6" s="139" t="str">
        <f>IFERROR(__xludf.DUMMYFUNCTION("""COMPUTED_VALUE"""),"※ID管理未記入")</f>
        <v>※ID管理未記入</v>
      </c>
      <c r="K6" s="139" t="str">
        <f>IFERROR(__xludf.DUMMYFUNCTION("""COMPUTED_VALUE"""),"※ID管理未記入")</f>
        <v>※ID管理未記入</v>
      </c>
      <c r="L6" s="139" t="str">
        <f>IFERROR(__xludf.DUMMYFUNCTION("""COMPUTED_VALUE"""),"※")</f>
        <v>※</v>
      </c>
      <c r="M6" s="674">
        <f>IFERROR(__xludf.DUMMYFUNCTION("""COMPUTED_VALUE"""),0.0)</f>
        <v>0</v>
      </c>
      <c r="N6" s="139">
        <f>IFERROR(__xludf.DUMMYFUNCTION("""COMPUTED_VALUE"""),0.0)</f>
        <v>0</v>
      </c>
      <c r="O6" s="139"/>
      <c r="P6" s="139">
        <f>IFERROR(__xludf.DUMMYFUNCTION("""COMPUTED_VALUE"""),0.0)</f>
        <v>0</v>
      </c>
      <c r="Q6" s="675">
        <f>IFERROR(__xludf.DUMMYFUNCTION("""COMPUTED_VALUE"""),0.0)</f>
        <v>0</v>
      </c>
      <c r="R6" s="675">
        <f>IFERROR(__xludf.DUMMYFUNCTION("""COMPUTED_VALUE"""),0.0)</f>
        <v>0</v>
      </c>
      <c r="S6" s="675">
        <f>IFERROR(__xludf.DUMMYFUNCTION("""COMPUTED_VALUE"""),-2.5)</f>
        <v>-2.5</v>
      </c>
      <c r="T6" s="674">
        <f>IFERROR(__xludf.DUMMYFUNCTION("""COMPUTED_VALUE"""),225.0)</f>
        <v>225</v>
      </c>
      <c r="U6" s="675">
        <f>IFERROR(__xludf.DUMMYFUNCTION("""COMPUTED_VALUE"""),4.5)</f>
        <v>4.5</v>
      </c>
      <c r="V6" s="675">
        <f>IFERROR(__xludf.DUMMYFUNCTION("""COMPUTED_VALUE"""),0.0)</f>
        <v>0</v>
      </c>
      <c r="W6" s="675">
        <f>IFERROR(__xludf.DUMMYFUNCTION("""COMPUTED_VALUE"""),0.0)</f>
        <v>0</v>
      </c>
      <c r="X6" s="675">
        <f>IFERROR(__xludf.DUMMYFUNCTION("""COMPUTED_VALUE"""),0.0)</f>
        <v>0</v>
      </c>
      <c r="Y6" s="674">
        <f>IFERROR(__xludf.DUMMYFUNCTION("""COMPUTED_VALUE"""),100.0)</f>
        <v>100</v>
      </c>
      <c r="Z6" s="675">
        <f>IFERROR(__xludf.DUMMYFUNCTION("""COMPUTED_VALUE"""),2.0)</f>
        <v>2</v>
      </c>
      <c r="AA6" s="675">
        <f>IFERROR(__xludf.DUMMYFUNCTION("""COMPUTED_VALUE"""),0.0)</f>
        <v>0</v>
      </c>
      <c r="AB6" s="673">
        <f>IFERROR(__xludf.DUMMYFUNCTION("""COMPUTED_VALUE"""),0.0)</f>
        <v>0</v>
      </c>
      <c r="AC6" s="675">
        <f>IFERROR(__xludf.DUMMYFUNCTION("""COMPUTED_VALUE"""),0.0)</f>
        <v>0</v>
      </c>
      <c r="AD6" s="674">
        <f>IFERROR(__xludf.DUMMYFUNCTION("""COMPUTED_VALUE"""),250.0)</f>
        <v>250</v>
      </c>
      <c r="AE6" s="675">
        <f>IFERROR(__xludf.DUMMYFUNCTION("""COMPUTED_VALUE"""),5.0)</f>
        <v>5</v>
      </c>
      <c r="AF6" s="675">
        <f>IFERROR(__xludf.DUMMYFUNCTION("""COMPUTED_VALUE"""),0.0)</f>
        <v>0</v>
      </c>
      <c r="AG6" s="673">
        <f>IFERROR(__xludf.DUMMYFUNCTION("""COMPUTED_VALUE"""),0.0)</f>
        <v>0</v>
      </c>
      <c r="AH6" s="675">
        <f>IFERROR(__xludf.DUMMYFUNCTION("""COMPUTED_VALUE"""),0.0)</f>
        <v>0</v>
      </c>
      <c r="AI6" s="139" t="str">
        <f>IFERROR(__xludf.DUMMYFUNCTION("""COMPUTED_VALUE"""),"-")</f>
        <v>-</v>
      </c>
      <c r="AJ6" s="675" t="str">
        <f>IFERROR(__xludf.DUMMYFUNCTION("""COMPUTED_VALUE"""),"-")</f>
        <v>-</v>
      </c>
      <c r="AK6" s="139">
        <f>IFERROR(__xludf.DUMMYFUNCTION("""COMPUTED_VALUE"""),0.0)</f>
        <v>0</v>
      </c>
      <c r="AL6" s="674">
        <f>IFERROR(__xludf.DUMMYFUNCTION("""COMPUTED_VALUE"""),0.0)</f>
        <v>0</v>
      </c>
      <c r="AM6" s="688">
        <f>IFERROR(__xludf.DUMMYFUNCTION("""COMPUTED_VALUE"""),0.0)</f>
        <v>0</v>
      </c>
      <c r="AN6" s="675">
        <f>IFERROR(__xludf.DUMMYFUNCTION("""COMPUTED_VALUE"""),0.0)</f>
        <v>0</v>
      </c>
      <c r="AO6" s="675">
        <f>IFERROR(__xludf.DUMMYFUNCTION("""COMPUTED_VALUE"""),0.0)</f>
        <v>0</v>
      </c>
      <c r="AP6" s="674">
        <f>IFERROR(__xludf.DUMMYFUNCTION("""COMPUTED_VALUE"""),0.0)</f>
        <v>0</v>
      </c>
      <c r="AQ6" s="673">
        <f>IFERROR(__xludf.DUMMYFUNCTION("""COMPUTED_VALUE"""),-0.2)</f>
        <v>-0.2</v>
      </c>
      <c r="AR6" s="673">
        <f>IFERROR(__xludf.DUMMYFUNCTION("""COMPUTED_VALUE"""),0.0)</f>
        <v>0</v>
      </c>
      <c r="AS6" s="673">
        <f>IFERROR(__xludf.DUMMYFUNCTION("""COMPUTED_VALUE"""),0.0)</f>
        <v>0</v>
      </c>
      <c r="AT6" s="673">
        <f>IFERROR(__xludf.DUMMYFUNCTION("""COMPUTED_VALUE"""),0.0)</f>
        <v>0</v>
      </c>
      <c r="AU6" s="675">
        <f>IFERROR(__xludf.DUMMYFUNCTION("""COMPUTED_VALUE"""),0.0)</f>
        <v>0</v>
      </c>
      <c r="AV6" s="675">
        <f>IFERROR(__xludf.DUMMYFUNCTION("""COMPUTED_VALUE"""),0.0)</f>
        <v>0</v>
      </c>
      <c r="AW6" s="139"/>
      <c r="AX6" s="674" t="str">
        <f>IFERROR(__xludf.DUMMYFUNCTION("""COMPUTED_VALUE"""),"※通常攻撃範囲を入力！(CD列)")</f>
        <v>※通常攻撃範囲を入力！(CD列)</v>
      </c>
      <c r="AY6" s="688" t="str">
        <f>IFERROR(__xludf.DUMMYFUNCTION("""COMPUTED_VALUE"""),"#VALUE!")</f>
        <v>#VALUE!</v>
      </c>
      <c r="AZ6" s="674" t="str">
        <f>IFERROR(__xludf.DUMMYFUNCTION("""COMPUTED_VALUE"""),"#VALUE!")</f>
        <v>#VALUE!</v>
      </c>
      <c r="BA6" s="688" t="str">
        <f>IFERROR(__xludf.DUMMYFUNCTION("""COMPUTED_VALUE"""),"#VALUE!")</f>
        <v>#VALUE!</v>
      </c>
      <c r="BB6" s="688" t="str">
        <f>IFERROR(__xludf.DUMMYFUNCTION("""COMPUTED_VALUE"""),"-")</f>
        <v>-</v>
      </c>
      <c r="BC6" s="688" t="str">
        <f>IFERROR(__xludf.DUMMYFUNCTION("""COMPUTED_VALUE"""),"#VALUE!")</f>
        <v>#VALUE!</v>
      </c>
      <c r="BD6" s="688" t="str">
        <f>IFERROR(__xludf.DUMMYFUNCTION("""COMPUTED_VALUE"""),"#VALUE!")</f>
        <v>#VALUE!</v>
      </c>
      <c r="BE6" s="674" t="str">
        <f>IFERROR(__xludf.DUMMYFUNCTION("""COMPUTED_VALUE"""),"#VALUE!")</f>
        <v>#VALUE!</v>
      </c>
      <c r="BF6" s="674">
        <f>IFERROR(__xludf.DUMMYFUNCTION("""COMPUTED_VALUE"""),0.0)</f>
        <v>0</v>
      </c>
      <c r="BG6" s="673">
        <f>IFERROR(__xludf.DUMMYFUNCTION("""COMPUTED_VALUE"""),0.0)</f>
        <v>0</v>
      </c>
      <c r="BH6" s="673">
        <f>IFERROR(__xludf.DUMMYFUNCTION("""COMPUTED_VALUE"""),0.3)</f>
        <v>0.3</v>
      </c>
      <c r="BI6" s="673">
        <f>IFERROR(__xludf.DUMMYFUNCTION("""COMPUTED_VALUE"""),0.1)</f>
        <v>0.1</v>
      </c>
      <c r="BJ6" s="673">
        <f>IFERROR(__xludf.DUMMYFUNCTION("""COMPUTED_VALUE"""),0.0)</f>
        <v>0</v>
      </c>
      <c r="BK6" s="673">
        <f>IFERROR(__xludf.DUMMYFUNCTION("""COMPUTED_VALUE"""),0.0)</f>
        <v>0</v>
      </c>
      <c r="BL6" s="673">
        <f>IFERROR(__xludf.DUMMYFUNCTION("""COMPUTED_VALUE"""),0.0)</f>
        <v>0</v>
      </c>
      <c r="BM6" s="674">
        <f>IFERROR(__xludf.DUMMYFUNCTION("""COMPUTED_VALUE"""),0.0)</f>
        <v>0</v>
      </c>
      <c r="BN6" s="674">
        <f>IFERROR(__xludf.DUMMYFUNCTION("""COMPUTED_VALUE"""),0.0)</f>
        <v>0</v>
      </c>
      <c r="BO6" s="675">
        <f>IFERROR(__xludf.DUMMYFUNCTION("""COMPUTED_VALUE"""),0.0)</f>
        <v>0</v>
      </c>
      <c r="BP6" s="675">
        <f>IFERROR(__xludf.DUMMYFUNCTION("""COMPUTED_VALUE"""),0.0)</f>
        <v>0</v>
      </c>
      <c r="BQ6" s="139"/>
      <c r="BR6" s="139">
        <f>IFERROR(__xludf.DUMMYFUNCTION("""COMPUTED_VALUE"""),2.0)</f>
        <v>2</v>
      </c>
      <c r="BS6" s="139" t="str">
        <f>IFERROR(__xludf.DUMMYFUNCTION("""COMPUTED_VALUE"""),"※移動を入力！(BV列)")</f>
        <v>※移動を入力！(BV列)</v>
      </c>
      <c r="BT6" s="139" t="str">
        <f>IFERROR(__xludf.DUMMYFUNCTION("""COMPUTED_VALUE"""),"※攻撃手段を入力(BQ列)")</f>
        <v>※攻撃手段を入力(BQ列)</v>
      </c>
      <c r="BU6" s="139">
        <f>IFERROR(__xludf.DUMMYFUNCTION("""COMPUTED_VALUE"""),0.0)</f>
        <v>0</v>
      </c>
      <c r="BV6" s="139"/>
      <c r="BW6" s="139"/>
      <c r="BX6" s="139" t="str">
        <f>IFERROR(__xludf.DUMMYFUNCTION("""COMPUTED_VALUE"""),"※特性を選択!!(BW列)")</f>
        <v>※特性を選択!!(BW列)</v>
      </c>
      <c r="BY6" s="139">
        <f>IFERROR(__xludf.DUMMYFUNCTION("""COMPUTED_VALUE"""),0.0)</f>
        <v>0</v>
      </c>
      <c r="BZ6" s="139"/>
      <c r="CA6" s="139" t="str">
        <f>IFERROR(__xludf.DUMMYFUNCTION("""COMPUTED_VALUE"""),"※特性を選択!!(BW列)")</f>
        <v>※特性を選択!!(BW列)</v>
      </c>
      <c r="CB6" s="139">
        <f>IFERROR(__xludf.DUMMYFUNCTION("""COMPUTED_VALUE"""),4.0)</f>
        <v>4</v>
      </c>
      <c r="CC6" s="139" t="str">
        <f>IFERROR(__xludf.DUMMYFUNCTION("""COMPUTED_VALUE"""),"※ID管理未記入")</f>
        <v>※ID管理未記入</v>
      </c>
      <c r="CD6" s="139"/>
      <c r="CE6" s="139" t="str">
        <f>IFERROR(__xludf.DUMMYFUNCTION("""COMPUTED_VALUE"""),"該当なし")</f>
        <v>該当なし</v>
      </c>
      <c r="CF6" s="139" t="str">
        <f>IFERROR(__xludf.DUMMYFUNCTION("""COMPUTED_VALUE"""),"#VALUE!")</f>
        <v>#VALUE!</v>
      </c>
      <c r="CG6" s="139"/>
      <c r="CH6" s="139"/>
      <c r="CI6" s="139" t="str">
        <f>IFERROR(__xludf.DUMMYFUNCTION("""COMPUTED_VALUE"""),"該当なし")</f>
        <v>該当なし</v>
      </c>
      <c r="CJ6" s="139" t="str">
        <f>IFERROR(__xludf.DUMMYFUNCTION("""COMPUTED_VALUE"""),"#VALUE!")</f>
        <v>#VALUE!</v>
      </c>
      <c r="CK6" s="139"/>
      <c r="CL6" s="139"/>
      <c r="CM6" s="139"/>
      <c r="CN6" s="675">
        <f>IFERROR(__xludf.DUMMYFUNCTION("""COMPUTED_VALUE"""),5.0)</f>
        <v>5</v>
      </c>
      <c r="CO6" s="139" t="str">
        <f>IFERROR(__xludf.DUMMYFUNCTION("""COMPUTED_VALUE"""),"-")</f>
        <v>-</v>
      </c>
      <c r="CP6" s="139" t="str">
        <f>IFERROR(__xludf.DUMMYFUNCTION("""COMPUTED_VALUE"""),"-")</f>
        <v>-</v>
      </c>
      <c r="CQ6" s="139" t="str">
        <f>IFERROR(__xludf.DUMMYFUNCTION("""COMPUTED_VALUE"""),"-")</f>
        <v>-</v>
      </c>
      <c r="CR6" s="139"/>
      <c r="CS6" s="139"/>
      <c r="CT6" s="139"/>
      <c r="CU6" s="139"/>
      <c r="CV6" s="139"/>
      <c r="CW6" s="139"/>
      <c r="CX6" s="674" t="str">
        <f>IFERROR(__xludf.DUMMYFUNCTION("""COMPUTED_VALUE"""),"")</f>
        <v/>
      </c>
      <c r="CY6" s="675" t="str">
        <f>IFERROR(__xludf.DUMMYFUNCTION("""COMPUTED_VALUE"""),"")</f>
        <v/>
      </c>
      <c r="CZ6" s="688" t="str">
        <f>IFERROR(__xludf.DUMMYFUNCTION("""COMPUTED_VALUE"""),"-")</f>
        <v>-</v>
      </c>
      <c r="DA6" s="688">
        <f>IFERROR(__xludf.DUMMYFUNCTION("""COMPUTED_VALUE"""),0.0)</f>
        <v>0</v>
      </c>
      <c r="DB6" s="688">
        <f>IFERROR(__xludf.DUMMYFUNCTION("""COMPUTED_VALUE"""),0.0)</f>
        <v>0</v>
      </c>
      <c r="DC6" s="673" t="str">
        <f>IFERROR(__xludf.DUMMYFUNCTION("""COMPUTED_VALUE"""),"-")</f>
        <v>-</v>
      </c>
      <c r="DD6" s="673" t="str">
        <f>IFERROR(__xludf.DUMMYFUNCTION("""COMPUTED_VALUE"""),"-")</f>
        <v>-</v>
      </c>
      <c r="DE6" s="139" t="str">
        <f>IFERROR(__xludf.DUMMYFUNCTION("""COMPUTED_VALUE"""),"-")</f>
        <v>-</v>
      </c>
      <c r="DF6" s="139" t="str">
        <f>IFERROR(__xludf.DUMMYFUNCTION("""COMPUTED_VALUE"""),"-")</f>
        <v>-</v>
      </c>
      <c r="DG6" s="139" t="str">
        <f>IFERROR(__xludf.DUMMYFUNCTION("""COMPUTED_VALUE"""),"-")</f>
        <v>-</v>
      </c>
      <c r="DH6" s="139" t="str">
        <f>IFERROR(__xludf.DUMMYFUNCTION("""COMPUTED_VALUE"""),"-")</f>
        <v>-</v>
      </c>
      <c r="DI6" s="139" t="str">
        <f>IFERROR(__xludf.DUMMYFUNCTION("""COMPUTED_VALUE"""),"-")</f>
        <v>-</v>
      </c>
      <c r="DJ6" s="139" t="str">
        <f>IFERROR(__xludf.DUMMYFUNCTION("""COMPUTED_VALUE"""),"-")</f>
        <v>-</v>
      </c>
    </row>
    <row r="7">
      <c r="A7" s="139" t="str">
        <f>IFERROR(__xludf.DUMMYFUNCTION("""COMPUTED_VALUE"""),"怪獣８号")</f>
        <v>怪獣８号</v>
      </c>
      <c r="B7" s="139" t="str">
        <f>IFERROR(__xludf.DUMMYFUNCTION("""COMPUTED_VALUE"""),"(仮)怪獣15号")</f>
        <v>(仮)怪獣15号</v>
      </c>
      <c r="C7" s="139" t="str">
        <f>IFERROR(__xludf.DUMMYFUNCTION("""COMPUTED_VALUE"""),"chara_kai_01001")</f>
        <v>chara_kai_01001</v>
      </c>
      <c r="D7" s="139" t="str">
        <f>IFERROR(__xludf.DUMMYFUNCTION("""COMPUTED_VALUE"""),"DropSR")</f>
        <v>DropSR</v>
      </c>
      <c r="E7" s="139" t="str">
        <f>IFERROR(__xludf.DUMMYFUNCTION("""COMPUTED_VALUE"""),"青")</f>
        <v>青</v>
      </c>
      <c r="F7" s="139" t="str">
        <f>IFERROR(__xludf.DUMMYFUNCTION("""COMPUTED_VALUE"""),"※ID管理未記入")</f>
        <v>※ID管理未記入</v>
      </c>
      <c r="G7" s="139" t="str">
        <f>IFERROR(__xludf.DUMMYFUNCTION("""COMPUTED_VALUE"""),"※ID管理未記入")</f>
        <v>※ID管理未記入</v>
      </c>
      <c r="H7" s="139" t="str">
        <f>IFERROR(__xludf.DUMMYFUNCTION("""COMPUTED_VALUE"""),"※ID管理未記入")</f>
        <v>※ID管理未記入</v>
      </c>
      <c r="I7" s="139" t="str">
        <f>IFERROR(__xludf.DUMMYFUNCTION("""COMPUTED_VALUE"""),"※ID管理未記入")</f>
        <v>※ID管理未記入</v>
      </c>
      <c r="J7" s="139" t="str">
        <f>IFERROR(__xludf.DUMMYFUNCTION("""COMPUTED_VALUE"""),"※ID管理未記入")</f>
        <v>※ID管理未記入</v>
      </c>
      <c r="K7" s="139" t="str">
        <f>IFERROR(__xludf.DUMMYFUNCTION("""COMPUTED_VALUE"""),"※ID管理未記入")</f>
        <v>※ID管理未記入</v>
      </c>
      <c r="L7" s="139" t="str">
        <f>IFERROR(__xludf.DUMMYFUNCTION("""COMPUTED_VALUE"""),"※")</f>
        <v>※</v>
      </c>
      <c r="M7" s="674">
        <f>IFERROR(__xludf.DUMMYFUNCTION("""COMPUTED_VALUE"""),0.0)</f>
        <v>0</v>
      </c>
      <c r="N7" s="139">
        <f>IFERROR(__xludf.DUMMYFUNCTION("""COMPUTED_VALUE"""),0.0)</f>
        <v>0</v>
      </c>
      <c r="O7" s="139"/>
      <c r="P7" s="139">
        <f>IFERROR(__xludf.DUMMYFUNCTION("""COMPUTED_VALUE"""),0.0)</f>
        <v>0</v>
      </c>
      <c r="Q7" s="675">
        <f>IFERROR(__xludf.DUMMYFUNCTION("""COMPUTED_VALUE"""),0.0)</f>
        <v>0</v>
      </c>
      <c r="R7" s="675">
        <f>IFERROR(__xludf.DUMMYFUNCTION("""COMPUTED_VALUE"""),0.0)</f>
        <v>0</v>
      </c>
      <c r="S7" s="675">
        <f>IFERROR(__xludf.DUMMYFUNCTION("""COMPUTED_VALUE"""),-2.5)</f>
        <v>-2.5</v>
      </c>
      <c r="T7" s="674">
        <f>IFERROR(__xludf.DUMMYFUNCTION("""COMPUTED_VALUE"""),225.0)</f>
        <v>225</v>
      </c>
      <c r="U7" s="675">
        <f>IFERROR(__xludf.DUMMYFUNCTION("""COMPUTED_VALUE"""),4.5)</f>
        <v>4.5</v>
      </c>
      <c r="V7" s="675">
        <f>IFERROR(__xludf.DUMMYFUNCTION("""COMPUTED_VALUE"""),0.0)</f>
        <v>0</v>
      </c>
      <c r="W7" s="675">
        <f>IFERROR(__xludf.DUMMYFUNCTION("""COMPUTED_VALUE"""),0.0)</f>
        <v>0</v>
      </c>
      <c r="X7" s="675">
        <f>IFERROR(__xludf.DUMMYFUNCTION("""COMPUTED_VALUE"""),0.0)</f>
        <v>0</v>
      </c>
      <c r="Y7" s="674">
        <f>IFERROR(__xludf.DUMMYFUNCTION("""COMPUTED_VALUE"""),100.0)</f>
        <v>100</v>
      </c>
      <c r="Z7" s="675">
        <f>IFERROR(__xludf.DUMMYFUNCTION("""COMPUTED_VALUE"""),2.0)</f>
        <v>2</v>
      </c>
      <c r="AA7" s="675">
        <f>IFERROR(__xludf.DUMMYFUNCTION("""COMPUTED_VALUE"""),0.0)</f>
        <v>0</v>
      </c>
      <c r="AB7" s="673">
        <f>IFERROR(__xludf.DUMMYFUNCTION("""COMPUTED_VALUE"""),0.0)</f>
        <v>0</v>
      </c>
      <c r="AC7" s="675">
        <f>IFERROR(__xludf.DUMMYFUNCTION("""COMPUTED_VALUE"""),0.0)</f>
        <v>0</v>
      </c>
      <c r="AD7" s="674">
        <f>IFERROR(__xludf.DUMMYFUNCTION("""COMPUTED_VALUE"""),250.0)</f>
        <v>250</v>
      </c>
      <c r="AE7" s="675">
        <f>IFERROR(__xludf.DUMMYFUNCTION("""COMPUTED_VALUE"""),5.0)</f>
        <v>5</v>
      </c>
      <c r="AF7" s="675">
        <f>IFERROR(__xludf.DUMMYFUNCTION("""COMPUTED_VALUE"""),0.0)</f>
        <v>0</v>
      </c>
      <c r="AG7" s="673">
        <f>IFERROR(__xludf.DUMMYFUNCTION("""COMPUTED_VALUE"""),0.0)</f>
        <v>0</v>
      </c>
      <c r="AH7" s="675">
        <f>IFERROR(__xludf.DUMMYFUNCTION("""COMPUTED_VALUE"""),0.0)</f>
        <v>0</v>
      </c>
      <c r="AI7" s="139" t="str">
        <f>IFERROR(__xludf.DUMMYFUNCTION("""COMPUTED_VALUE"""),"-")</f>
        <v>-</v>
      </c>
      <c r="AJ7" s="675" t="str">
        <f>IFERROR(__xludf.DUMMYFUNCTION("""COMPUTED_VALUE"""),"-")</f>
        <v>-</v>
      </c>
      <c r="AK7" s="139">
        <f>IFERROR(__xludf.DUMMYFUNCTION("""COMPUTED_VALUE"""),0.0)</f>
        <v>0</v>
      </c>
      <c r="AL7" s="674">
        <f>IFERROR(__xludf.DUMMYFUNCTION("""COMPUTED_VALUE"""),0.0)</f>
        <v>0</v>
      </c>
      <c r="AM7" s="688">
        <f>IFERROR(__xludf.DUMMYFUNCTION("""COMPUTED_VALUE"""),0.0)</f>
        <v>0</v>
      </c>
      <c r="AN7" s="675">
        <f>IFERROR(__xludf.DUMMYFUNCTION("""COMPUTED_VALUE"""),0.0)</f>
        <v>0</v>
      </c>
      <c r="AO7" s="675">
        <f>IFERROR(__xludf.DUMMYFUNCTION("""COMPUTED_VALUE"""),0.0)</f>
        <v>0</v>
      </c>
      <c r="AP7" s="674">
        <f>IFERROR(__xludf.DUMMYFUNCTION("""COMPUTED_VALUE"""),0.0)</f>
        <v>0</v>
      </c>
      <c r="AQ7" s="673">
        <f>IFERROR(__xludf.DUMMYFUNCTION("""COMPUTED_VALUE"""),0.0)</f>
        <v>0</v>
      </c>
      <c r="AR7" s="673">
        <f>IFERROR(__xludf.DUMMYFUNCTION("""COMPUTED_VALUE"""),0.0)</f>
        <v>0</v>
      </c>
      <c r="AS7" s="673">
        <f>IFERROR(__xludf.DUMMYFUNCTION("""COMPUTED_VALUE"""),0.0)</f>
        <v>0</v>
      </c>
      <c r="AT7" s="673">
        <f>IFERROR(__xludf.DUMMYFUNCTION("""COMPUTED_VALUE"""),0.0)</f>
        <v>0</v>
      </c>
      <c r="AU7" s="675">
        <f>IFERROR(__xludf.DUMMYFUNCTION("""COMPUTED_VALUE"""),0.0)</f>
        <v>0</v>
      </c>
      <c r="AV7" s="675">
        <f>IFERROR(__xludf.DUMMYFUNCTION("""COMPUTED_VALUE"""),0.0)</f>
        <v>0</v>
      </c>
      <c r="AW7" s="139"/>
      <c r="AX7" s="674" t="str">
        <f>IFERROR(__xludf.DUMMYFUNCTION("""COMPUTED_VALUE"""),"※通常攻撃範囲を入力！(CD列)")</f>
        <v>※通常攻撃範囲を入力！(CD列)</v>
      </c>
      <c r="AY7" s="688" t="str">
        <f>IFERROR(__xludf.DUMMYFUNCTION("""COMPUTED_VALUE"""),"#VALUE!")</f>
        <v>#VALUE!</v>
      </c>
      <c r="AZ7" s="674" t="str">
        <f>IFERROR(__xludf.DUMMYFUNCTION("""COMPUTED_VALUE"""),"#VALUE!")</f>
        <v>#VALUE!</v>
      </c>
      <c r="BA7" s="688" t="str">
        <f>IFERROR(__xludf.DUMMYFUNCTION("""COMPUTED_VALUE"""),"#VALUE!")</f>
        <v>#VALUE!</v>
      </c>
      <c r="BB7" s="688" t="str">
        <f>IFERROR(__xludf.DUMMYFUNCTION("""COMPUTED_VALUE"""),"-")</f>
        <v>-</v>
      </c>
      <c r="BC7" s="688" t="str">
        <f>IFERROR(__xludf.DUMMYFUNCTION("""COMPUTED_VALUE"""),"#VALUE!")</f>
        <v>#VALUE!</v>
      </c>
      <c r="BD7" s="688" t="str">
        <f>IFERROR(__xludf.DUMMYFUNCTION("""COMPUTED_VALUE"""),"#VALUE!")</f>
        <v>#VALUE!</v>
      </c>
      <c r="BE7" s="674" t="str">
        <f>IFERROR(__xludf.DUMMYFUNCTION("""COMPUTED_VALUE"""),"#VALUE!")</f>
        <v>#VALUE!</v>
      </c>
      <c r="BF7" s="674">
        <f>IFERROR(__xludf.DUMMYFUNCTION("""COMPUTED_VALUE"""),0.0)</f>
        <v>0</v>
      </c>
      <c r="BG7" s="673">
        <f>IFERROR(__xludf.DUMMYFUNCTION("""COMPUTED_VALUE"""),0.0)</f>
        <v>0</v>
      </c>
      <c r="BH7" s="673">
        <f>IFERROR(__xludf.DUMMYFUNCTION("""COMPUTED_VALUE"""),0.0)</f>
        <v>0</v>
      </c>
      <c r="BI7" s="673">
        <f>IFERROR(__xludf.DUMMYFUNCTION("""COMPUTED_VALUE"""),0.0)</f>
        <v>0</v>
      </c>
      <c r="BJ7" s="673">
        <f>IFERROR(__xludf.DUMMYFUNCTION("""COMPUTED_VALUE"""),0.0)</f>
        <v>0</v>
      </c>
      <c r="BK7" s="673">
        <f>IFERROR(__xludf.DUMMYFUNCTION("""COMPUTED_VALUE"""),0.0)</f>
        <v>0</v>
      </c>
      <c r="BL7" s="673">
        <f>IFERROR(__xludf.DUMMYFUNCTION("""COMPUTED_VALUE"""),0.0)</f>
        <v>0</v>
      </c>
      <c r="BM7" s="674">
        <f>IFERROR(__xludf.DUMMYFUNCTION("""COMPUTED_VALUE"""),0.0)</f>
        <v>0</v>
      </c>
      <c r="BN7" s="674">
        <f>IFERROR(__xludf.DUMMYFUNCTION("""COMPUTED_VALUE"""),0.0)</f>
        <v>0</v>
      </c>
      <c r="BO7" s="675">
        <f>IFERROR(__xludf.DUMMYFUNCTION("""COMPUTED_VALUE"""),0.0)</f>
        <v>0</v>
      </c>
      <c r="BP7" s="675">
        <f>IFERROR(__xludf.DUMMYFUNCTION("""COMPUTED_VALUE"""),0.0)</f>
        <v>0</v>
      </c>
      <c r="BQ7" s="139"/>
      <c r="BR7" s="139" t="str">
        <f>IFERROR(__xludf.DUMMYFUNCTION("""COMPUTED_VALUE"""),"該当なし")</f>
        <v>該当なし</v>
      </c>
      <c r="BS7" s="139" t="str">
        <f>IFERROR(__xludf.DUMMYFUNCTION("""COMPUTED_VALUE"""),"※移動を入力！(BV列)")</f>
        <v>※移動を入力！(BV列)</v>
      </c>
      <c r="BT7" s="139" t="str">
        <f>IFERROR(__xludf.DUMMYFUNCTION("""COMPUTED_VALUE"""),"※攻撃手段を入力(BQ列)")</f>
        <v>※攻撃手段を入力(BQ列)</v>
      </c>
      <c r="BU7" s="139">
        <f>IFERROR(__xludf.DUMMYFUNCTION("""COMPUTED_VALUE"""),0.0)</f>
        <v>0</v>
      </c>
      <c r="BV7" s="139"/>
      <c r="BW7" s="139"/>
      <c r="BX7" s="139" t="str">
        <f>IFERROR(__xludf.DUMMYFUNCTION("""COMPUTED_VALUE"""),"※特性を選択!!(BW列)")</f>
        <v>※特性を選択!!(BW列)</v>
      </c>
      <c r="BY7" s="139">
        <f>IFERROR(__xludf.DUMMYFUNCTION("""COMPUTED_VALUE"""),2.0)</f>
        <v>2</v>
      </c>
      <c r="BZ7" s="139"/>
      <c r="CA7" s="139" t="str">
        <f>IFERROR(__xludf.DUMMYFUNCTION("""COMPUTED_VALUE"""),"※特性を選択!!(BW列)")</f>
        <v>※特性を選択!!(BW列)</v>
      </c>
      <c r="CB7" s="139" t="str">
        <f>IFERROR(__xludf.DUMMYFUNCTION("""COMPUTED_VALUE"""),"-")</f>
        <v>-</v>
      </c>
      <c r="CC7" s="139" t="str">
        <f>IFERROR(__xludf.DUMMYFUNCTION("""COMPUTED_VALUE"""),"※ID管理未記入")</f>
        <v>※ID管理未記入</v>
      </c>
      <c r="CD7" s="139"/>
      <c r="CE7" s="139" t="str">
        <f>IFERROR(__xludf.DUMMYFUNCTION("""COMPUTED_VALUE"""),"該当なし")</f>
        <v>該当なし</v>
      </c>
      <c r="CF7" s="139" t="str">
        <f>IFERROR(__xludf.DUMMYFUNCTION("""COMPUTED_VALUE"""),"#VALUE!")</f>
        <v>#VALUE!</v>
      </c>
      <c r="CG7" s="139"/>
      <c r="CH7" s="139"/>
      <c r="CI7" s="139" t="str">
        <f>IFERROR(__xludf.DUMMYFUNCTION("""COMPUTED_VALUE"""),"該当なし")</f>
        <v>該当なし</v>
      </c>
      <c r="CJ7" s="139" t="str">
        <f>IFERROR(__xludf.DUMMYFUNCTION("""COMPUTED_VALUE"""),"#VALUE!")</f>
        <v>#VALUE!</v>
      </c>
      <c r="CK7" s="139"/>
      <c r="CL7" s="139"/>
      <c r="CM7" s="139"/>
      <c r="CN7" s="675">
        <f>IFERROR(__xludf.DUMMYFUNCTION("""COMPUTED_VALUE"""),5.0)</f>
        <v>5</v>
      </c>
      <c r="CO7" s="139" t="str">
        <f>IFERROR(__xludf.DUMMYFUNCTION("""COMPUTED_VALUE"""),"-")</f>
        <v>-</v>
      </c>
      <c r="CP7" s="139" t="str">
        <f>IFERROR(__xludf.DUMMYFUNCTION("""COMPUTED_VALUE"""),"-")</f>
        <v>-</v>
      </c>
      <c r="CQ7" s="139" t="str">
        <f>IFERROR(__xludf.DUMMYFUNCTION("""COMPUTED_VALUE"""),"-")</f>
        <v>-</v>
      </c>
      <c r="CR7" s="139"/>
      <c r="CS7" s="139"/>
      <c r="CT7" s="139"/>
      <c r="CU7" s="139"/>
      <c r="CV7" s="139"/>
      <c r="CW7" s="139"/>
      <c r="CX7" s="674" t="str">
        <f>IFERROR(__xludf.DUMMYFUNCTION("""COMPUTED_VALUE"""),"")</f>
        <v/>
      </c>
      <c r="CY7" s="675" t="str">
        <f>IFERROR(__xludf.DUMMYFUNCTION("""COMPUTED_VALUE"""),"")</f>
        <v/>
      </c>
      <c r="CZ7" s="688" t="str">
        <f>IFERROR(__xludf.DUMMYFUNCTION("""COMPUTED_VALUE"""),"-")</f>
        <v>-</v>
      </c>
      <c r="DA7" s="688">
        <f>IFERROR(__xludf.DUMMYFUNCTION("""COMPUTED_VALUE"""),0.0)</f>
        <v>0</v>
      </c>
      <c r="DB7" s="688">
        <f>IFERROR(__xludf.DUMMYFUNCTION("""COMPUTED_VALUE"""),0.0)</f>
        <v>0</v>
      </c>
      <c r="DC7" s="673" t="str">
        <f>IFERROR(__xludf.DUMMYFUNCTION("""COMPUTED_VALUE"""),"-")</f>
        <v>-</v>
      </c>
      <c r="DD7" s="673" t="str">
        <f>IFERROR(__xludf.DUMMYFUNCTION("""COMPUTED_VALUE"""),"-")</f>
        <v>-</v>
      </c>
      <c r="DE7" s="139" t="str">
        <f>IFERROR(__xludf.DUMMYFUNCTION("""COMPUTED_VALUE"""),"-")</f>
        <v>-</v>
      </c>
      <c r="DF7" s="139" t="str">
        <f>IFERROR(__xludf.DUMMYFUNCTION("""COMPUTED_VALUE"""),"-")</f>
        <v>-</v>
      </c>
      <c r="DG7" s="139" t="str">
        <f>IFERROR(__xludf.DUMMYFUNCTION("""COMPUTED_VALUE"""),"-")</f>
        <v>-</v>
      </c>
      <c r="DH7" s="139" t="str">
        <f>IFERROR(__xludf.DUMMYFUNCTION("""COMPUTED_VALUE"""),"-")</f>
        <v>-</v>
      </c>
      <c r="DI7" s="139" t="str">
        <f>IFERROR(__xludf.DUMMYFUNCTION("""COMPUTED_VALUE"""),"-")</f>
        <v>-</v>
      </c>
      <c r="DJ7" s="139" t="str">
        <f>IFERROR(__xludf.DUMMYFUNCTION("""COMPUTED_VALUE"""),"-")</f>
        <v>-</v>
      </c>
    </row>
    <row r="8">
      <c r="A8" s="139" t="str">
        <f>IFERROR(__xludf.DUMMYFUNCTION("""COMPUTED_VALUE"""),"タコピーの原罪")</f>
        <v>タコピーの原罪</v>
      </c>
      <c r="B8" s="139" t="str">
        <f>IFERROR(__xludf.DUMMYFUNCTION("""COMPUTED_VALUE"""),"(仮)久世 しずか＆タコピー")</f>
        <v>(仮)久世 しずか＆タコピー</v>
      </c>
      <c r="C8" s="139" t="str">
        <f>IFERROR(__xludf.DUMMYFUNCTION("""COMPUTED_VALUE"""),"chara_tak_00101")</f>
        <v>chara_tak_00101</v>
      </c>
      <c r="D8" s="139" t="str">
        <f>IFERROR(__xludf.DUMMYFUNCTION("""COMPUTED_VALUE"""),"PremiumUR")</f>
        <v>PremiumUR</v>
      </c>
      <c r="E8" s="139" t="str">
        <f>IFERROR(__xludf.DUMMYFUNCTION("""COMPUTED_VALUE"""),"無")</f>
        <v>無</v>
      </c>
      <c r="F8" s="139" t="str">
        <f>IFERROR(__xludf.DUMMYFUNCTION("""COMPUTED_VALUE"""),"※ID管理未記入")</f>
        <v>※ID管理未記入</v>
      </c>
      <c r="G8" s="139" t="str">
        <f>IFERROR(__xludf.DUMMYFUNCTION("""COMPUTED_VALUE"""),"※ID管理未記入")</f>
        <v>※ID管理未記入</v>
      </c>
      <c r="H8" s="139" t="str">
        <f>IFERROR(__xludf.DUMMYFUNCTION("""COMPUTED_VALUE"""),"※ID管理未記入")</f>
        <v>※ID管理未記入</v>
      </c>
      <c r="I8" s="139" t="str">
        <f>IFERROR(__xludf.DUMMYFUNCTION("""COMPUTED_VALUE"""),"※ID管理未記入")</f>
        <v>※ID管理未記入</v>
      </c>
      <c r="J8" s="139" t="str">
        <f>IFERROR(__xludf.DUMMYFUNCTION("""COMPUTED_VALUE"""),"※ID管理未記入")</f>
        <v>※ID管理未記入</v>
      </c>
      <c r="K8" s="139" t="str">
        <f>IFERROR(__xludf.DUMMYFUNCTION("""COMPUTED_VALUE"""),"※ID管理未記入")</f>
        <v>※ID管理未記入</v>
      </c>
      <c r="L8" s="139" t="str">
        <f>IFERROR(__xludf.DUMMYFUNCTION("""COMPUTED_VALUE"""),"※")</f>
        <v>※</v>
      </c>
      <c r="M8" s="674">
        <f>IFERROR(__xludf.DUMMYFUNCTION("""COMPUTED_VALUE"""),0.0)</f>
        <v>0</v>
      </c>
      <c r="N8" s="139">
        <f>IFERROR(__xludf.DUMMYFUNCTION("""COMPUTED_VALUE"""),0.0)</f>
        <v>0</v>
      </c>
      <c r="O8" s="139"/>
      <c r="P8" s="139">
        <f>IFERROR(__xludf.DUMMYFUNCTION("""COMPUTED_VALUE"""),0.0)</f>
        <v>0</v>
      </c>
      <c r="Q8" s="675">
        <f>IFERROR(__xludf.DUMMYFUNCTION("""COMPUTED_VALUE"""),0.0)</f>
        <v>0</v>
      </c>
      <c r="R8" s="675">
        <f>IFERROR(__xludf.DUMMYFUNCTION("""COMPUTED_VALUE"""),0.0)</f>
        <v>0</v>
      </c>
      <c r="S8" s="675">
        <f>IFERROR(__xludf.DUMMYFUNCTION("""COMPUTED_VALUE"""),-2.5)</f>
        <v>-2.5</v>
      </c>
      <c r="T8" s="674">
        <f>IFERROR(__xludf.DUMMYFUNCTION("""COMPUTED_VALUE"""),225.0)</f>
        <v>225</v>
      </c>
      <c r="U8" s="675">
        <f>IFERROR(__xludf.DUMMYFUNCTION("""COMPUTED_VALUE"""),4.5)</f>
        <v>4.5</v>
      </c>
      <c r="V8" s="675">
        <f>IFERROR(__xludf.DUMMYFUNCTION("""COMPUTED_VALUE"""),0.0)</f>
        <v>0</v>
      </c>
      <c r="W8" s="675">
        <f>IFERROR(__xludf.DUMMYFUNCTION("""COMPUTED_VALUE"""),0.0)</f>
        <v>0</v>
      </c>
      <c r="X8" s="675">
        <f>IFERROR(__xludf.DUMMYFUNCTION("""COMPUTED_VALUE"""),0.0)</f>
        <v>0</v>
      </c>
      <c r="Y8" s="674">
        <f>IFERROR(__xludf.DUMMYFUNCTION("""COMPUTED_VALUE"""),100.0)</f>
        <v>100</v>
      </c>
      <c r="Z8" s="675">
        <f>IFERROR(__xludf.DUMMYFUNCTION("""COMPUTED_VALUE"""),2.0)</f>
        <v>2</v>
      </c>
      <c r="AA8" s="675">
        <f>IFERROR(__xludf.DUMMYFUNCTION("""COMPUTED_VALUE"""),0.0)</f>
        <v>0</v>
      </c>
      <c r="AB8" s="673">
        <f>IFERROR(__xludf.DUMMYFUNCTION("""COMPUTED_VALUE"""),0.0)</f>
        <v>0</v>
      </c>
      <c r="AC8" s="675">
        <f>IFERROR(__xludf.DUMMYFUNCTION("""COMPUTED_VALUE"""),0.0)</f>
        <v>0</v>
      </c>
      <c r="AD8" s="674">
        <f>IFERROR(__xludf.DUMMYFUNCTION("""COMPUTED_VALUE"""),250.0)</f>
        <v>250</v>
      </c>
      <c r="AE8" s="675">
        <f>IFERROR(__xludf.DUMMYFUNCTION("""COMPUTED_VALUE"""),5.0)</f>
        <v>5</v>
      </c>
      <c r="AF8" s="675">
        <f>IFERROR(__xludf.DUMMYFUNCTION("""COMPUTED_VALUE"""),0.0)</f>
        <v>0</v>
      </c>
      <c r="AG8" s="673">
        <f>IFERROR(__xludf.DUMMYFUNCTION("""COMPUTED_VALUE"""),0.0)</f>
        <v>0</v>
      </c>
      <c r="AH8" s="675">
        <f>IFERROR(__xludf.DUMMYFUNCTION("""COMPUTED_VALUE"""),0.0)</f>
        <v>0</v>
      </c>
      <c r="AI8" s="139" t="str">
        <f>IFERROR(__xludf.DUMMYFUNCTION("""COMPUTED_VALUE"""),"-")</f>
        <v>-</v>
      </c>
      <c r="AJ8" s="675" t="str">
        <f>IFERROR(__xludf.DUMMYFUNCTION("""COMPUTED_VALUE"""),"-")</f>
        <v>-</v>
      </c>
      <c r="AK8" s="139">
        <f>IFERROR(__xludf.DUMMYFUNCTION("""COMPUTED_VALUE"""),0.0)</f>
        <v>0</v>
      </c>
      <c r="AL8" s="674">
        <f>IFERROR(__xludf.DUMMYFUNCTION("""COMPUTED_VALUE"""),0.0)</f>
        <v>0</v>
      </c>
      <c r="AM8" s="688">
        <f>IFERROR(__xludf.DUMMYFUNCTION("""COMPUTED_VALUE"""),0.0)</f>
        <v>0</v>
      </c>
      <c r="AN8" s="675">
        <f>IFERROR(__xludf.DUMMYFUNCTION("""COMPUTED_VALUE"""),0.0)</f>
        <v>0</v>
      </c>
      <c r="AO8" s="675">
        <f>IFERROR(__xludf.DUMMYFUNCTION("""COMPUTED_VALUE"""),0.0)</f>
        <v>0</v>
      </c>
      <c r="AP8" s="674">
        <f>IFERROR(__xludf.DUMMYFUNCTION("""COMPUTED_VALUE"""),0.0)</f>
        <v>0</v>
      </c>
      <c r="AQ8" s="673">
        <f>IFERROR(__xludf.DUMMYFUNCTION("""COMPUTED_VALUE"""),0.0)</f>
        <v>0</v>
      </c>
      <c r="AR8" s="673">
        <f>IFERROR(__xludf.DUMMYFUNCTION("""COMPUTED_VALUE"""),0.0)</f>
        <v>0</v>
      </c>
      <c r="AS8" s="673">
        <f>IFERROR(__xludf.DUMMYFUNCTION("""COMPUTED_VALUE"""),0.0)</f>
        <v>0</v>
      </c>
      <c r="AT8" s="673">
        <f>IFERROR(__xludf.DUMMYFUNCTION("""COMPUTED_VALUE"""),0.0)</f>
        <v>0</v>
      </c>
      <c r="AU8" s="675">
        <f>IFERROR(__xludf.DUMMYFUNCTION("""COMPUTED_VALUE"""),0.0)</f>
        <v>0</v>
      </c>
      <c r="AV8" s="675">
        <f>IFERROR(__xludf.DUMMYFUNCTION("""COMPUTED_VALUE"""),0.0)</f>
        <v>0</v>
      </c>
      <c r="AW8" s="139"/>
      <c r="AX8" s="674" t="str">
        <f>IFERROR(__xludf.DUMMYFUNCTION("""COMPUTED_VALUE"""),"※通常攻撃範囲を入力！(CD列)")</f>
        <v>※通常攻撃範囲を入力！(CD列)</v>
      </c>
      <c r="AY8" s="688" t="str">
        <f>IFERROR(__xludf.DUMMYFUNCTION("""COMPUTED_VALUE"""),"#VALUE!")</f>
        <v>#VALUE!</v>
      </c>
      <c r="AZ8" s="674" t="str">
        <f>IFERROR(__xludf.DUMMYFUNCTION("""COMPUTED_VALUE"""),"#VALUE!")</f>
        <v>#VALUE!</v>
      </c>
      <c r="BA8" s="688" t="str">
        <f>IFERROR(__xludf.DUMMYFUNCTION("""COMPUTED_VALUE"""),"#VALUE!")</f>
        <v>#VALUE!</v>
      </c>
      <c r="BB8" s="688" t="str">
        <f>IFERROR(__xludf.DUMMYFUNCTION("""COMPUTED_VALUE"""),"-")</f>
        <v>-</v>
      </c>
      <c r="BC8" s="688" t="str">
        <f>IFERROR(__xludf.DUMMYFUNCTION("""COMPUTED_VALUE"""),"#VALUE!")</f>
        <v>#VALUE!</v>
      </c>
      <c r="BD8" s="688" t="str">
        <f>IFERROR(__xludf.DUMMYFUNCTION("""COMPUTED_VALUE"""),"#VALUE!")</f>
        <v>#VALUE!</v>
      </c>
      <c r="BE8" s="674" t="str">
        <f>IFERROR(__xludf.DUMMYFUNCTION("""COMPUTED_VALUE"""),"#VALUE!")</f>
        <v>#VALUE!</v>
      </c>
      <c r="BF8" s="674">
        <f>IFERROR(__xludf.DUMMYFUNCTION("""COMPUTED_VALUE"""),0.0)</f>
        <v>0</v>
      </c>
      <c r="BG8" s="673">
        <f>IFERROR(__xludf.DUMMYFUNCTION("""COMPUTED_VALUE"""),0.0)</f>
        <v>0</v>
      </c>
      <c r="BH8" s="673">
        <f>IFERROR(__xludf.DUMMYFUNCTION("""COMPUTED_VALUE"""),0.0)</f>
        <v>0</v>
      </c>
      <c r="BI8" s="673">
        <f>IFERROR(__xludf.DUMMYFUNCTION("""COMPUTED_VALUE"""),0.0)</f>
        <v>0</v>
      </c>
      <c r="BJ8" s="673">
        <f>IFERROR(__xludf.DUMMYFUNCTION("""COMPUTED_VALUE"""),0.0)</f>
        <v>0</v>
      </c>
      <c r="BK8" s="673">
        <f>IFERROR(__xludf.DUMMYFUNCTION("""COMPUTED_VALUE"""),0.0)</f>
        <v>0</v>
      </c>
      <c r="BL8" s="673">
        <f>IFERROR(__xludf.DUMMYFUNCTION("""COMPUTED_VALUE"""),0.0)</f>
        <v>0</v>
      </c>
      <c r="BM8" s="674">
        <f>IFERROR(__xludf.DUMMYFUNCTION("""COMPUTED_VALUE"""),0.0)</f>
        <v>0</v>
      </c>
      <c r="BN8" s="674">
        <f>IFERROR(__xludf.DUMMYFUNCTION("""COMPUTED_VALUE"""),0.0)</f>
        <v>0</v>
      </c>
      <c r="BO8" s="675">
        <f>IFERROR(__xludf.DUMMYFUNCTION("""COMPUTED_VALUE"""),0.0)</f>
        <v>0</v>
      </c>
      <c r="BP8" s="675">
        <f>IFERROR(__xludf.DUMMYFUNCTION("""COMPUTED_VALUE"""),0.0)</f>
        <v>0</v>
      </c>
      <c r="BQ8" s="139"/>
      <c r="BR8" s="139" t="str">
        <f>IFERROR(__xludf.DUMMYFUNCTION("""COMPUTED_VALUE"""),"該当なし")</f>
        <v>該当なし</v>
      </c>
      <c r="BS8" s="139" t="str">
        <f>IFERROR(__xludf.DUMMYFUNCTION("""COMPUTED_VALUE"""),"※移動を入力！(BV列)")</f>
        <v>※移動を入力！(BV列)</v>
      </c>
      <c r="BT8" s="139" t="str">
        <f>IFERROR(__xludf.DUMMYFUNCTION("""COMPUTED_VALUE"""),"※攻撃手段を入力(BQ列)")</f>
        <v>※攻撃手段を入力(BQ列)</v>
      </c>
      <c r="BU8" s="139">
        <f>IFERROR(__xludf.DUMMYFUNCTION("""COMPUTED_VALUE"""),0.0)</f>
        <v>0</v>
      </c>
      <c r="BV8" s="139"/>
      <c r="BW8" s="139"/>
      <c r="BX8" s="139" t="str">
        <f>IFERROR(__xludf.DUMMYFUNCTION("""COMPUTED_VALUE"""),"※特性を選択!!(BW列)")</f>
        <v>※特性を選択!!(BW列)</v>
      </c>
      <c r="BY8" s="139">
        <f>IFERROR(__xludf.DUMMYFUNCTION("""COMPUTED_VALUE"""),0.0)</f>
        <v>0</v>
      </c>
      <c r="BZ8" s="139"/>
      <c r="CA8" s="139" t="str">
        <f>IFERROR(__xludf.DUMMYFUNCTION("""COMPUTED_VALUE"""),"※特性を選択!!(BW列)")</f>
        <v>※特性を選択!!(BW列)</v>
      </c>
      <c r="CB8" s="139">
        <f>IFERROR(__xludf.DUMMYFUNCTION("""COMPUTED_VALUE"""),4.0)</f>
        <v>4</v>
      </c>
      <c r="CC8" s="139" t="str">
        <f>IFERROR(__xludf.DUMMYFUNCTION("""COMPUTED_VALUE"""),"※ID管理未記入")</f>
        <v>※ID管理未記入</v>
      </c>
      <c r="CD8" s="139"/>
      <c r="CE8" s="139" t="str">
        <f>IFERROR(__xludf.DUMMYFUNCTION("""COMPUTED_VALUE"""),"該当なし")</f>
        <v>該当なし</v>
      </c>
      <c r="CF8" s="139" t="str">
        <f>IFERROR(__xludf.DUMMYFUNCTION("""COMPUTED_VALUE"""),"#VALUE!")</f>
        <v>#VALUE!</v>
      </c>
      <c r="CG8" s="139"/>
      <c r="CH8" s="139"/>
      <c r="CI8" s="139" t="str">
        <f>IFERROR(__xludf.DUMMYFUNCTION("""COMPUTED_VALUE"""),"該当なし")</f>
        <v>該当なし</v>
      </c>
      <c r="CJ8" s="139" t="str">
        <f>IFERROR(__xludf.DUMMYFUNCTION("""COMPUTED_VALUE"""),"#VALUE!")</f>
        <v>#VALUE!</v>
      </c>
      <c r="CK8" s="139"/>
      <c r="CL8" s="139"/>
      <c r="CM8" s="139"/>
      <c r="CN8" s="675">
        <f>IFERROR(__xludf.DUMMYFUNCTION("""COMPUTED_VALUE"""),5.0)</f>
        <v>5</v>
      </c>
      <c r="CO8" s="139" t="str">
        <f>IFERROR(__xludf.DUMMYFUNCTION("""COMPUTED_VALUE"""),"-")</f>
        <v>-</v>
      </c>
      <c r="CP8" s="139" t="str">
        <f>IFERROR(__xludf.DUMMYFUNCTION("""COMPUTED_VALUE"""),"-")</f>
        <v>-</v>
      </c>
      <c r="CQ8" s="139" t="str">
        <f>IFERROR(__xludf.DUMMYFUNCTION("""COMPUTED_VALUE"""),"-")</f>
        <v>-</v>
      </c>
      <c r="CR8" s="139"/>
      <c r="CS8" s="139"/>
      <c r="CT8" s="139"/>
      <c r="CU8" s="139"/>
      <c r="CV8" s="139"/>
      <c r="CW8" s="139"/>
      <c r="CX8" s="674" t="str">
        <f>IFERROR(__xludf.DUMMYFUNCTION("""COMPUTED_VALUE"""),"")</f>
        <v/>
      </c>
      <c r="CY8" s="675" t="str">
        <f>IFERROR(__xludf.DUMMYFUNCTION("""COMPUTED_VALUE"""),"")</f>
        <v/>
      </c>
      <c r="CZ8" s="688" t="str">
        <f>IFERROR(__xludf.DUMMYFUNCTION("""COMPUTED_VALUE"""),"-")</f>
        <v>-</v>
      </c>
      <c r="DA8" s="688">
        <f>IFERROR(__xludf.DUMMYFUNCTION("""COMPUTED_VALUE"""),0.0)</f>
        <v>0</v>
      </c>
      <c r="DB8" s="688">
        <f>IFERROR(__xludf.DUMMYFUNCTION("""COMPUTED_VALUE"""),0.0)</f>
        <v>0</v>
      </c>
      <c r="DC8" s="673" t="str">
        <f>IFERROR(__xludf.DUMMYFUNCTION("""COMPUTED_VALUE"""),"-")</f>
        <v>-</v>
      </c>
      <c r="DD8" s="673" t="str">
        <f>IFERROR(__xludf.DUMMYFUNCTION("""COMPUTED_VALUE"""),"-")</f>
        <v>-</v>
      </c>
      <c r="DE8" s="139" t="str">
        <f>IFERROR(__xludf.DUMMYFUNCTION("""COMPUTED_VALUE"""),"-")</f>
        <v>-</v>
      </c>
      <c r="DF8" s="139" t="str">
        <f>IFERROR(__xludf.DUMMYFUNCTION("""COMPUTED_VALUE"""),"-")</f>
        <v>-</v>
      </c>
      <c r="DG8" s="139" t="str">
        <f>IFERROR(__xludf.DUMMYFUNCTION("""COMPUTED_VALUE"""),"-")</f>
        <v>-</v>
      </c>
      <c r="DH8" s="139" t="str">
        <f>IFERROR(__xludf.DUMMYFUNCTION("""COMPUTED_VALUE"""),"-")</f>
        <v>-</v>
      </c>
      <c r="DI8" s="139" t="str">
        <f>IFERROR(__xludf.DUMMYFUNCTION("""COMPUTED_VALUE"""),"-")</f>
        <v>-</v>
      </c>
      <c r="DJ8" s="139" t="str">
        <f>IFERROR(__xludf.DUMMYFUNCTION("""COMPUTED_VALUE"""),"-")</f>
        <v>-</v>
      </c>
    </row>
    <row r="9">
      <c r="A9" s="139" t="str">
        <f>IFERROR(__xludf.DUMMYFUNCTION("""COMPUTED_VALUE"""),"タコピーの原罪")</f>
        <v>タコピーの原罪</v>
      </c>
      <c r="B9" s="139" t="str">
        <f>IFERROR(__xludf.DUMMYFUNCTION("""COMPUTED_VALUE"""),"(仮)雲母坂 まりな")</f>
        <v>(仮)雲母坂 まりな</v>
      </c>
      <c r="C9" s="139" t="str">
        <f>IFERROR(__xludf.DUMMYFUNCTION("""COMPUTED_VALUE"""),"chara_tak_00201")</f>
        <v>chara_tak_00201</v>
      </c>
      <c r="D9" s="139" t="str">
        <f>IFERROR(__xludf.DUMMYFUNCTION("""COMPUTED_VALUE"""),"DropSR")</f>
        <v>DropSR</v>
      </c>
      <c r="E9" s="139" t="str">
        <f>IFERROR(__xludf.DUMMYFUNCTION("""COMPUTED_VALUE"""),"緑")</f>
        <v>緑</v>
      </c>
      <c r="F9" s="139" t="str">
        <f>IFERROR(__xludf.DUMMYFUNCTION("""COMPUTED_VALUE"""),"※ID管理未記入")</f>
        <v>※ID管理未記入</v>
      </c>
      <c r="G9" s="139" t="str">
        <f>IFERROR(__xludf.DUMMYFUNCTION("""COMPUTED_VALUE"""),"※ID管理未記入")</f>
        <v>※ID管理未記入</v>
      </c>
      <c r="H9" s="139" t="str">
        <f>IFERROR(__xludf.DUMMYFUNCTION("""COMPUTED_VALUE"""),"※ID管理未記入")</f>
        <v>※ID管理未記入</v>
      </c>
      <c r="I9" s="139" t="str">
        <f>IFERROR(__xludf.DUMMYFUNCTION("""COMPUTED_VALUE"""),"※ID管理未記入")</f>
        <v>※ID管理未記入</v>
      </c>
      <c r="J9" s="139" t="str">
        <f>IFERROR(__xludf.DUMMYFUNCTION("""COMPUTED_VALUE"""),"※ID管理未記入")</f>
        <v>※ID管理未記入</v>
      </c>
      <c r="K9" s="139" t="str">
        <f>IFERROR(__xludf.DUMMYFUNCTION("""COMPUTED_VALUE"""),"※ID管理未記入")</f>
        <v>※ID管理未記入</v>
      </c>
      <c r="L9" s="139" t="str">
        <f>IFERROR(__xludf.DUMMYFUNCTION("""COMPUTED_VALUE"""),"※")</f>
        <v>※</v>
      </c>
      <c r="M9" s="674">
        <f>IFERROR(__xludf.DUMMYFUNCTION("""COMPUTED_VALUE"""),0.0)</f>
        <v>0</v>
      </c>
      <c r="N9" s="139">
        <f>IFERROR(__xludf.DUMMYFUNCTION("""COMPUTED_VALUE"""),0.0)</f>
        <v>0</v>
      </c>
      <c r="O9" s="139"/>
      <c r="P9" s="139">
        <f>IFERROR(__xludf.DUMMYFUNCTION("""COMPUTED_VALUE"""),0.0)</f>
        <v>0</v>
      </c>
      <c r="Q9" s="675">
        <f>IFERROR(__xludf.DUMMYFUNCTION("""COMPUTED_VALUE"""),0.0)</f>
        <v>0</v>
      </c>
      <c r="R9" s="675">
        <f>IFERROR(__xludf.DUMMYFUNCTION("""COMPUTED_VALUE"""),0.0)</f>
        <v>0</v>
      </c>
      <c r="S9" s="675">
        <f>IFERROR(__xludf.DUMMYFUNCTION("""COMPUTED_VALUE"""),-2.5)</f>
        <v>-2.5</v>
      </c>
      <c r="T9" s="674">
        <f>IFERROR(__xludf.DUMMYFUNCTION("""COMPUTED_VALUE"""),225.0)</f>
        <v>225</v>
      </c>
      <c r="U9" s="675">
        <f>IFERROR(__xludf.DUMMYFUNCTION("""COMPUTED_VALUE"""),4.5)</f>
        <v>4.5</v>
      </c>
      <c r="V9" s="675">
        <f>IFERROR(__xludf.DUMMYFUNCTION("""COMPUTED_VALUE"""),0.0)</f>
        <v>0</v>
      </c>
      <c r="W9" s="675">
        <f>IFERROR(__xludf.DUMMYFUNCTION("""COMPUTED_VALUE"""),0.0)</f>
        <v>0</v>
      </c>
      <c r="X9" s="675">
        <f>IFERROR(__xludf.DUMMYFUNCTION("""COMPUTED_VALUE"""),0.0)</f>
        <v>0</v>
      </c>
      <c r="Y9" s="674">
        <f>IFERROR(__xludf.DUMMYFUNCTION("""COMPUTED_VALUE"""),100.0)</f>
        <v>100</v>
      </c>
      <c r="Z9" s="675">
        <f>IFERROR(__xludf.DUMMYFUNCTION("""COMPUTED_VALUE"""),2.0)</f>
        <v>2</v>
      </c>
      <c r="AA9" s="675">
        <f>IFERROR(__xludf.DUMMYFUNCTION("""COMPUTED_VALUE"""),0.0)</f>
        <v>0</v>
      </c>
      <c r="AB9" s="673">
        <f>IFERROR(__xludf.DUMMYFUNCTION("""COMPUTED_VALUE"""),0.0)</f>
        <v>0</v>
      </c>
      <c r="AC9" s="675">
        <f>IFERROR(__xludf.DUMMYFUNCTION("""COMPUTED_VALUE"""),0.0)</f>
        <v>0</v>
      </c>
      <c r="AD9" s="674">
        <f>IFERROR(__xludf.DUMMYFUNCTION("""COMPUTED_VALUE"""),250.0)</f>
        <v>250</v>
      </c>
      <c r="AE9" s="675">
        <f>IFERROR(__xludf.DUMMYFUNCTION("""COMPUTED_VALUE"""),5.0)</f>
        <v>5</v>
      </c>
      <c r="AF9" s="675">
        <f>IFERROR(__xludf.DUMMYFUNCTION("""COMPUTED_VALUE"""),0.0)</f>
        <v>0</v>
      </c>
      <c r="AG9" s="673">
        <f>IFERROR(__xludf.DUMMYFUNCTION("""COMPUTED_VALUE"""),0.0)</f>
        <v>0</v>
      </c>
      <c r="AH9" s="675">
        <f>IFERROR(__xludf.DUMMYFUNCTION("""COMPUTED_VALUE"""),0.0)</f>
        <v>0</v>
      </c>
      <c r="AI9" s="139" t="str">
        <f>IFERROR(__xludf.DUMMYFUNCTION("""COMPUTED_VALUE"""),"-")</f>
        <v>-</v>
      </c>
      <c r="AJ9" s="675" t="str">
        <f>IFERROR(__xludf.DUMMYFUNCTION("""COMPUTED_VALUE"""),"-")</f>
        <v>-</v>
      </c>
      <c r="AK9" s="139">
        <f>IFERROR(__xludf.DUMMYFUNCTION("""COMPUTED_VALUE"""),0.0)</f>
        <v>0</v>
      </c>
      <c r="AL9" s="674">
        <f>IFERROR(__xludf.DUMMYFUNCTION("""COMPUTED_VALUE"""),0.0)</f>
        <v>0</v>
      </c>
      <c r="AM9" s="688">
        <f>IFERROR(__xludf.DUMMYFUNCTION("""COMPUTED_VALUE"""),0.0)</f>
        <v>0</v>
      </c>
      <c r="AN9" s="675">
        <f>IFERROR(__xludf.DUMMYFUNCTION("""COMPUTED_VALUE"""),0.0)</f>
        <v>0</v>
      </c>
      <c r="AO9" s="675">
        <f>IFERROR(__xludf.DUMMYFUNCTION("""COMPUTED_VALUE"""),0.0)</f>
        <v>0</v>
      </c>
      <c r="AP9" s="674">
        <f>IFERROR(__xludf.DUMMYFUNCTION("""COMPUTED_VALUE"""),0.0)</f>
        <v>0</v>
      </c>
      <c r="AQ9" s="673">
        <f>IFERROR(__xludf.DUMMYFUNCTION("""COMPUTED_VALUE"""),0.0)</f>
        <v>0</v>
      </c>
      <c r="AR9" s="673">
        <f>IFERROR(__xludf.DUMMYFUNCTION("""COMPUTED_VALUE"""),0.0)</f>
        <v>0</v>
      </c>
      <c r="AS9" s="673">
        <f>IFERROR(__xludf.DUMMYFUNCTION("""COMPUTED_VALUE"""),0.0)</f>
        <v>0</v>
      </c>
      <c r="AT9" s="673">
        <f>IFERROR(__xludf.DUMMYFUNCTION("""COMPUTED_VALUE"""),0.0)</f>
        <v>0</v>
      </c>
      <c r="AU9" s="675">
        <f>IFERROR(__xludf.DUMMYFUNCTION("""COMPUTED_VALUE"""),0.0)</f>
        <v>0</v>
      </c>
      <c r="AV9" s="675">
        <f>IFERROR(__xludf.DUMMYFUNCTION("""COMPUTED_VALUE"""),0.0)</f>
        <v>0</v>
      </c>
      <c r="AW9" s="139"/>
      <c r="AX9" s="674" t="str">
        <f>IFERROR(__xludf.DUMMYFUNCTION("""COMPUTED_VALUE"""),"※通常攻撃範囲を入力！(CD列)")</f>
        <v>※通常攻撃範囲を入力！(CD列)</v>
      </c>
      <c r="AY9" s="688" t="str">
        <f>IFERROR(__xludf.DUMMYFUNCTION("""COMPUTED_VALUE"""),"#VALUE!")</f>
        <v>#VALUE!</v>
      </c>
      <c r="AZ9" s="674" t="str">
        <f>IFERROR(__xludf.DUMMYFUNCTION("""COMPUTED_VALUE"""),"#VALUE!")</f>
        <v>#VALUE!</v>
      </c>
      <c r="BA9" s="688" t="str">
        <f>IFERROR(__xludf.DUMMYFUNCTION("""COMPUTED_VALUE"""),"#VALUE!")</f>
        <v>#VALUE!</v>
      </c>
      <c r="BB9" s="688" t="str">
        <f>IFERROR(__xludf.DUMMYFUNCTION("""COMPUTED_VALUE"""),"-")</f>
        <v>-</v>
      </c>
      <c r="BC9" s="688" t="str">
        <f>IFERROR(__xludf.DUMMYFUNCTION("""COMPUTED_VALUE"""),"#VALUE!")</f>
        <v>#VALUE!</v>
      </c>
      <c r="BD9" s="688" t="str">
        <f>IFERROR(__xludf.DUMMYFUNCTION("""COMPUTED_VALUE"""),"#VALUE!")</f>
        <v>#VALUE!</v>
      </c>
      <c r="BE9" s="674" t="str">
        <f>IFERROR(__xludf.DUMMYFUNCTION("""COMPUTED_VALUE"""),"#VALUE!")</f>
        <v>#VALUE!</v>
      </c>
      <c r="BF9" s="674">
        <f>IFERROR(__xludf.DUMMYFUNCTION("""COMPUTED_VALUE"""),0.0)</f>
        <v>0</v>
      </c>
      <c r="BG9" s="673">
        <f>IFERROR(__xludf.DUMMYFUNCTION("""COMPUTED_VALUE"""),0.0)</f>
        <v>0</v>
      </c>
      <c r="BH9" s="673">
        <f>IFERROR(__xludf.DUMMYFUNCTION("""COMPUTED_VALUE"""),0.0)</f>
        <v>0</v>
      </c>
      <c r="BI9" s="673">
        <f>IFERROR(__xludf.DUMMYFUNCTION("""COMPUTED_VALUE"""),0.0)</f>
        <v>0</v>
      </c>
      <c r="BJ9" s="673">
        <f>IFERROR(__xludf.DUMMYFUNCTION("""COMPUTED_VALUE"""),0.0)</f>
        <v>0</v>
      </c>
      <c r="BK9" s="673">
        <f>IFERROR(__xludf.DUMMYFUNCTION("""COMPUTED_VALUE"""),0.0)</f>
        <v>0</v>
      </c>
      <c r="BL9" s="673">
        <f>IFERROR(__xludf.DUMMYFUNCTION("""COMPUTED_VALUE"""),0.0)</f>
        <v>0</v>
      </c>
      <c r="BM9" s="674">
        <f>IFERROR(__xludf.DUMMYFUNCTION("""COMPUTED_VALUE"""),0.0)</f>
        <v>0</v>
      </c>
      <c r="BN9" s="674">
        <f>IFERROR(__xludf.DUMMYFUNCTION("""COMPUTED_VALUE"""),0.0)</f>
        <v>0</v>
      </c>
      <c r="BO9" s="675">
        <f>IFERROR(__xludf.DUMMYFUNCTION("""COMPUTED_VALUE"""),0.0)</f>
        <v>0</v>
      </c>
      <c r="BP9" s="675">
        <f>IFERROR(__xludf.DUMMYFUNCTION("""COMPUTED_VALUE"""),0.0)</f>
        <v>0</v>
      </c>
      <c r="BQ9" s="139"/>
      <c r="BR9" s="139" t="str">
        <f>IFERROR(__xludf.DUMMYFUNCTION("""COMPUTED_VALUE"""),"該当なし")</f>
        <v>該当なし</v>
      </c>
      <c r="BS9" s="139" t="str">
        <f>IFERROR(__xludf.DUMMYFUNCTION("""COMPUTED_VALUE"""),"※移動を入力！(BV列)")</f>
        <v>※移動を入力！(BV列)</v>
      </c>
      <c r="BT9" s="139" t="str">
        <f>IFERROR(__xludf.DUMMYFUNCTION("""COMPUTED_VALUE"""),"※攻撃手段を入力(BQ列)")</f>
        <v>※攻撃手段を入力(BQ列)</v>
      </c>
      <c r="BU9" s="139">
        <f>IFERROR(__xludf.DUMMYFUNCTION("""COMPUTED_VALUE"""),0.0)</f>
        <v>0</v>
      </c>
      <c r="BV9" s="139"/>
      <c r="BW9" s="139"/>
      <c r="BX9" s="139" t="str">
        <f>IFERROR(__xludf.DUMMYFUNCTION("""COMPUTED_VALUE"""),"※特性を選択!!(BW列)")</f>
        <v>※特性を選択!!(BW列)</v>
      </c>
      <c r="BY9" s="139">
        <f>IFERROR(__xludf.DUMMYFUNCTION("""COMPUTED_VALUE"""),2.0)</f>
        <v>2</v>
      </c>
      <c r="BZ9" s="139"/>
      <c r="CA9" s="139" t="str">
        <f>IFERROR(__xludf.DUMMYFUNCTION("""COMPUTED_VALUE"""),"※特性を選択!!(BW列)")</f>
        <v>※特性を選択!!(BW列)</v>
      </c>
      <c r="CB9" s="139" t="str">
        <f>IFERROR(__xludf.DUMMYFUNCTION("""COMPUTED_VALUE"""),"-")</f>
        <v>-</v>
      </c>
      <c r="CC9" s="139" t="str">
        <f>IFERROR(__xludf.DUMMYFUNCTION("""COMPUTED_VALUE"""),"※ID管理未記入")</f>
        <v>※ID管理未記入</v>
      </c>
      <c r="CD9" s="139"/>
      <c r="CE9" s="139" t="str">
        <f>IFERROR(__xludf.DUMMYFUNCTION("""COMPUTED_VALUE"""),"該当なし")</f>
        <v>該当なし</v>
      </c>
      <c r="CF9" s="139" t="str">
        <f>IFERROR(__xludf.DUMMYFUNCTION("""COMPUTED_VALUE"""),"#VALUE!")</f>
        <v>#VALUE!</v>
      </c>
      <c r="CG9" s="139"/>
      <c r="CH9" s="139"/>
      <c r="CI9" s="139" t="str">
        <f>IFERROR(__xludf.DUMMYFUNCTION("""COMPUTED_VALUE"""),"該当なし")</f>
        <v>該当なし</v>
      </c>
      <c r="CJ9" s="139" t="str">
        <f>IFERROR(__xludf.DUMMYFUNCTION("""COMPUTED_VALUE"""),"#VALUE!")</f>
        <v>#VALUE!</v>
      </c>
      <c r="CK9" s="139"/>
      <c r="CL9" s="139"/>
      <c r="CM9" s="139"/>
      <c r="CN9" s="675">
        <f>IFERROR(__xludf.DUMMYFUNCTION("""COMPUTED_VALUE"""),5.0)</f>
        <v>5</v>
      </c>
      <c r="CO9" s="139" t="str">
        <f>IFERROR(__xludf.DUMMYFUNCTION("""COMPUTED_VALUE"""),"-")</f>
        <v>-</v>
      </c>
      <c r="CP9" s="139" t="str">
        <f>IFERROR(__xludf.DUMMYFUNCTION("""COMPUTED_VALUE"""),"-")</f>
        <v>-</v>
      </c>
      <c r="CQ9" s="139" t="str">
        <f>IFERROR(__xludf.DUMMYFUNCTION("""COMPUTED_VALUE"""),"-")</f>
        <v>-</v>
      </c>
      <c r="CR9" s="139"/>
      <c r="CS9" s="139"/>
      <c r="CT9" s="139"/>
      <c r="CU9" s="139"/>
      <c r="CV9" s="139"/>
      <c r="CW9" s="139"/>
      <c r="CX9" s="674" t="str">
        <f>IFERROR(__xludf.DUMMYFUNCTION("""COMPUTED_VALUE"""),"")</f>
        <v/>
      </c>
      <c r="CY9" s="675" t="str">
        <f>IFERROR(__xludf.DUMMYFUNCTION("""COMPUTED_VALUE"""),"")</f>
        <v/>
      </c>
      <c r="CZ9" s="688" t="str">
        <f>IFERROR(__xludf.DUMMYFUNCTION("""COMPUTED_VALUE"""),"-")</f>
        <v>-</v>
      </c>
      <c r="DA9" s="688">
        <f>IFERROR(__xludf.DUMMYFUNCTION("""COMPUTED_VALUE"""),0.0)</f>
        <v>0</v>
      </c>
      <c r="DB9" s="688">
        <f>IFERROR(__xludf.DUMMYFUNCTION("""COMPUTED_VALUE"""),0.0)</f>
        <v>0</v>
      </c>
      <c r="DC9" s="673" t="str">
        <f>IFERROR(__xludf.DUMMYFUNCTION("""COMPUTED_VALUE"""),"-")</f>
        <v>-</v>
      </c>
      <c r="DD9" s="673" t="str">
        <f>IFERROR(__xludf.DUMMYFUNCTION("""COMPUTED_VALUE"""),"-")</f>
        <v>-</v>
      </c>
      <c r="DE9" s="139" t="str">
        <f>IFERROR(__xludf.DUMMYFUNCTION("""COMPUTED_VALUE"""),"-")</f>
        <v>-</v>
      </c>
      <c r="DF9" s="139" t="str">
        <f>IFERROR(__xludf.DUMMYFUNCTION("""COMPUTED_VALUE"""),"-")</f>
        <v>-</v>
      </c>
      <c r="DG9" s="139" t="str">
        <f>IFERROR(__xludf.DUMMYFUNCTION("""COMPUTED_VALUE"""),"-")</f>
        <v>-</v>
      </c>
      <c r="DH9" s="139" t="str">
        <f>IFERROR(__xludf.DUMMYFUNCTION("""COMPUTED_VALUE"""),"-")</f>
        <v>-</v>
      </c>
      <c r="DI9" s="139" t="str">
        <f>IFERROR(__xludf.DUMMYFUNCTION("""COMPUTED_VALUE"""),"-")</f>
        <v>-</v>
      </c>
      <c r="DJ9" s="139" t="str">
        <f>IFERROR(__xludf.DUMMYFUNCTION("""COMPUTED_VALUE"""),"-")</f>
        <v>-</v>
      </c>
    </row>
    <row r="10">
      <c r="A10" s="139" t="str">
        <f>IFERROR(__xludf.DUMMYFUNCTION("""COMPUTED_VALUE"""),"サマータイムレンダ")</f>
        <v>サマータイムレンダ</v>
      </c>
      <c r="B10" s="139" t="str">
        <f>IFERROR(__xludf.DUMMYFUNCTION("""COMPUTED_VALUE"""),"(仮)小舟 澪の影")</f>
        <v>(仮)小舟 澪の影</v>
      </c>
      <c r="C10" s="139" t="str">
        <f>IFERROR(__xludf.DUMMYFUNCTION("""COMPUTED_VALUE"""),"chara_sum_00401")</f>
        <v>chara_sum_00401</v>
      </c>
      <c r="D10" s="139" t="str">
        <f>IFERROR(__xludf.DUMMYFUNCTION("""COMPUTED_VALUE"""),"DropSSR")</f>
        <v>DropSSR</v>
      </c>
      <c r="E10" s="139" t="str">
        <f>IFERROR(__xludf.DUMMYFUNCTION("""COMPUTED_VALUE"""),"黄")</f>
        <v>黄</v>
      </c>
      <c r="F10" s="139" t="str">
        <f>IFERROR(__xludf.DUMMYFUNCTION("""COMPUTED_VALUE"""),"※ID管理未記入")</f>
        <v>※ID管理未記入</v>
      </c>
      <c r="G10" s="139" t="str">
        <f>IFERROR(__xludf.DUMMYFUNCTION("""COMPUTED_VALUE"""),"※ID管理未記入")</f>
        <v>※ID管理未記入</v>
      </c>
      <c r="H10" s="139" t="str">
        <f>IFERROR(__xludf.DUMMYFUNCTION("""COMPUTED_VALUE"""),"※ID管理未記入")</f>
        <v>※ID管理未記入</v>
      </c>
      <c r="I10" s="139" t="str">
        <f>IFERROR(__xludf.DUMMYFUNCTION("""COMPUTED_VALUE"""),"※ID管理未記入")</f>
        <v>※ID管理未記入</v>
      </c>
      <c r="J10" s="139" t="str">
        <f>IFERROR(__xludf.DUMMYFUNCTION("""COMPUTED_VALUE"""),"※ID管理未記入")</f>
        <v>※ID管理未記入</v>
      </c>
      <c r="K10" s="139" t="str">
        <f>IFERROR(__xludf.DUMMYFUNCTION("""COMPUTED_VALUE"""),"※ID管理未記入")</f>
        <v>※ID管理未記入</v>
      </c>
      <c r="L10" s="139" t="str">
        <f>IFERROR(__xludf.DUMMYFUNCTION("""COMPUTED_VALUE"""),"※")</f>
        <v>※</v>
      </c>
      <c r="M10" s="674">
        <f>IFERROR(__xludf.DUMMYFUNCTION("""COMPUTED_VALUE"""),0.0)</f>
        <v>0</v>
      </c>
      <c r="N10" s="139">
        <f>IFERROR(__xludf.DUMMYFUNCTION("""COMPUTED_VALUE"""),0.0)</f>
        <v>0</v>
      </c>
      <c r="O10" s="139"/>
      <c r="P10" s="139">
        <f>IFERROR(__xludf.DUMMYFUNCTION("""COMPUTED_VALUE"""),0.0)</f>
        <v>0</v>
      </c>
      <c r="Q10" s="675">
        <f>IFERROR(__xludf.DUMMYFUNCTION("""COMPUTED_VALUE"""),0.0)</f>
        <v>0</v>
      </c>
      <c r="R10" s="675">
        <f>IFERROR(__xludf.DUMMYFUNCTION("""COMPUTED_VALUE"""),0.0)</f>
        <v>0</v>
      </c>
      <c r="S10" s="675">
        <f>IFERROR(__xludf.DUMMYFUNCTION("""COMPUTED_VALUE"""),-2.5)</f>
        <v>-2.5</v>
      </c>
      <c r="T10" s="674">
        <f>IFERROR(__xludf.DUMMYFUNCTION("""COMPUTED_VALUE"""),225.0)</f>
        <v>225</v>
      </c>
      <c r="U10" s="675">
        <f>IFERROR(__xludf.DUMMYFUNCTION("""COMPUTED_VALUE"""),4.5)</f>
        <v>4.5</v>
      </c>
      <c r="V10" s="675">
        <f>IFERROR(__xludf.DUMMYFUNCTION("""COMPUTED_VALUE"""),0.0)</f>
        <v>0</v>
      </c>
      <c r="W10" s="675">
        <f>IFERROR(__xludf.DUMMYFUNCTION("""COMPUTED_VALUE"""),0.0)</f>
        <v>0</v>
      </c>
      <c r="X10" s="675">
        <f>IFERROR(__xludf.DUMMYFUNCTION("""COMPUTED_VALUE"""),0.0)</f>
        <v>0</v>
      </c>
      <c r="Y10" s="674">
        <f>IFERROR(__xludf.DUMMYFUNCTION("""COMPUTED_VALUE"""),100.0)</f>
        <v>100</v>
      </c>
      <c r="Z10" s="675">
        <f>IFERROR(__xludf.DUMMYFUNCTION("""COMPUTED_VALUE"""),2.0)</f>
        <v>2</v>
      </c>
      <c r="AA10" s="675">
        <f>IFERROR(__xludf.DUMMYFUNCTION("""COMPUTED_VALUE"""),0.0)</f>
        <v>0</v>
      </c>
      <c r="AB10" s="673">
        <f>IFERROR(__xludf.DUMMYFUNCTION("""COMPUTED_VALUE"""),0.0)</f>
        <v>0</v>
      </c>
      <c r="AC10" s="675">
        <f>IFERROR(__xludf.DUMMYFUNCTION("""COMPUTED_VALUE"""),0.0)</f>
        <v>0</v>
      </c>
      <c r="AD10" s="674">
        <f>IFERROR(__xludf.DUMMYFUNCTION("""COMPUTED_VALUE"""),250.0)</f>
        <v>250</v>
      </c>
      <c r="AE10" s="675">
        <f>IFERROR(__xludf.DUMMYFUNCTION("""COMPUTED_VALUE"""),5.0)</f>
        <v>5</v>
      </c>
      <c r="AF10" s="675">
        <f>IFERROR(__xludf.DUMMYFUNCTION("""COMPUTED_VALUE"""),0.0)</f>
        <v>0</v>
      </c>
      <c r="AG10" s="673">
        <f>IFERROR(__xludf.DUMMYFUNCTION("""COMPUTED_VALUE"""),0.0)</f>
        <v>0</v>
      </c>
      <c r="AH10" s="675">
        <f>IFERROR(__xludf.DUMMYFUNCTION("""COMPUTED_VALUE"""),0.0)</f>
        <v>0</v>
      </c>
      <c r="AI10" s="139" t="str">
        <f>IFERROR(__xludf.DUMMYFUNCTION("""COMPUTED_VALUE"""),"-")</f>
        <v>-</v>
      </c>
      <c r="AJ10" s="675" t="str">
        <f>IFERROR(__xludf.DUMMYFUNCTION("""COMPUTED_VALUE"""),"-")</f>
        <v>-</v>
      </c>
      <c r="AK10" s="139">
        <f>IFERROR(__xludf.DUMMYFUNCTION("""COMPUTED_VALUE"""),0.0)</f>
        <v>0</v>
      </c>
      <c r="AL10" s="674">
        <f>IFERROR(__xludf.DUMMYFUNCTION("""COMPUTED_VALUE"""),0.0)</f>
        <v>0</v>
      </c>
      <c r="AM10" s="688">
        <f>IFERROR(__xludf.DUMMYFUNCTION("""COMPUTED_VALUE"""),0.0)</f>
        <v>0</v>
      </c>
      <c r="AN10" s="675">
        <f>IFERROR(__xludf.DUMMYFUNCTION("""COMPUTED_VALUE"""),0.0)</f>
        <v>0</v>
      </c>
      <c r="AO10" s="675">
        <f>IFERROR(__xludf.DUMMYFUNCTION("""COMPUTED_VALUE"""),0.0)</f>
        <v>0</v>
      </c>
      <c r="AP10" s="674">
        <f>IFERROR(__xludf.DUMMYFUNCTION("""COMPUTED_VALUE"""),0.0)</f>
        <v>0</v>
      </c>
      <c r="AQ10" s="673">
        <f>IFERROR(__xludf.DUMMYFUNCTION("""COMPUTED_VALUE"""),0.0)</f>
        <v>0</v>
      </c>
      <c r="AR10" s="673">
        <f>IFERROR(__xludf.DUMMYFUNCTION("""COMPUTED_VALUE"""),0.0)</f>
        <v>0</v>
      </c>
      <c r="AS10" s="673">
        <f>IFERROR(__xludf.DUMMYFUNCTION("""COMPUTED_VALUE"""),0.0)</f>
        <v>0</v>
      </c>
      <c r="AT10" s="673">
        <f>IFERROR(__xludf.DUMMYFUNCTION("""COMPUTED_VALUE"""),0.0)</f>
        <v>0</v>
      </c>
      <c r="AU10" s="675">
        <f>IFERROR(__xludf.DUMMYFUNCTION("""COMPUTED_VALUE"""),0.0)</f>
        <v>0</v>
      </c>
      <c r="AV10" s="675">
        <f>IFERROR(__xludf.DUMMYFUNCTION("""COMPUTED_VALUE"""),0.0)</f>
        <v>0</v>
      </c>
      <c r="AW10" s="139"/>
      <c r="AX10" s="674" t="str">
        <f>IFERROR(__xludf.DUMMYFUNCTION("""COMPUTED_VALUE"""),"※通常攻撃範囲を入力！(CD列)")</f>
        <v>※通常攻撃範囲を入力！(CD列)</v>
      </c>
      <c r="AY10" s="688" t="str">
        <f>IFERROR(__xludf.DUMMYFUNCTION("""COMPUTED_VALUE"""),"#VALUE!")</f>
        <v>#VALUE!</v>
      </c>
      <c r="AZ10" s="674" t="str">
        <f>IFERROR(__xludf.DUMMYFUNCTION("""COMPUTED_VALUE"""),"#VALUE!")</f>
        <v>#VALUE!</v>
      </c>
      <c r="BA10" s="688" t="str">
        <f>IFERROR(__xludf.DUMMYFUNCTION("""COMPUTED_VALUE"""),"#VALUE!")</f>
        <v>#VALUE!</v>
      </c>
      <c r="BB10" s="688" t="str">
        <f>IFERROR(__xludf.DUMMYFUNCTION("""COMPUTED_VALUE"""),"-")</f>
        <v>-</v>
      </c>
      <c r="BC10" s="688" t="str">
        <f>IFERROR(__xludf.DUMMYFUNCTION("""COMPUTED_VALUE"""),"#VALUE!")</f>
        <v>#VALUE!</v>
      </c>
      <c r="BD10" s="688" t="str">
        <f>IFERROR(__xludf.DUMMYFUNCTION("""COMPUTED_VALUE"""),"#VALUE!")</f>
        <v>#VALUE!</v>
      </c>
      <c r="BE10" s="674" t="str">
        <f>IFERROR(__xludf.DUMMYFUNCTION("""COMPUTED_VALUE"""),"#VALUE!")</f>
        <v>#VALUE!</v>
      </c>
      <c r="BF10" s="674">
        <f>IFERROR(__xludf.DUMMYFUNCTION("""COMPUTED_VALUE"""),0.0)</f>
        <v>0</v>
      </c>
      <c r="BG10" s="673">
        <f>IFERROR(__xludf.DUMMYFUNCTION("""COMPUTED_VALUE"""),0.0)</f>
        <v>0</v>
      </c>
      <c r="BH10" s="673">
        <f>IFERROR(__xludf.DUMMYFUNCTION("""COMPUTED_VALUE"""),0.0)</f>
        <v>0</v>
      </c>
      <c r="BI10" s="673">
        <f>IFERROR(__xludf.DUMMYFUNCTION("""COMPUTED_VALUE"""),0.0)</f>
        <v>0</v>
      </c>
      <c r="BJ10" s="673">
        <f>IFERROR(__xludf.DUMMYFUNCTION("""COMPUTED_VALUE"""),0.0)</f>
        <v>0</v>
      </c>
      <c r="BK10" s="673">
        <f>IFERROR(__xludf.DUMMYFUNCTION("""COMPUTED_VALUE"""),0.0)</f>
        <v>0</v>
      </c>
      <c r="BL10" s="673">
        <f>IFERROR(__xludf.DUMMYFUNCTION("""COMPUTED_VALUE"""),0.0)</f>
        <v>0</v>
      </c>
      <c r="BM10" s="674">
        <f>IFERROR(__xludf.DUMMYFUNCTION("""COMPUTED_VALUE"""),0.0)</f>
        <v>0</v>
      </c>
      <c r="BN10" s="674">
        <f>IFERROR(__xludf.DUMMYFUNCTION("""COMPUTED_VALUE"""),0.0)</f>
        <v>0</v>
      </c>
      <c r="BO10" s="675">
        <f>IFERROR(__xludf.DUMMYFUNCTION("""COMPUTED_VALUE"""),0.0)</f>
        <v>0</v>
      </c>
      <c r="BP10" s="675">
        <f>IFERROR(__xludf.DUMMYFUNCTION("""COMPUTED_VALUE"""),0.0)</f>
        <v>0</v>
      </c>
      <c r="BQ10" s="139"/>
      <c r="BR10" s="139" t="str">
        <f>IFERROR(__xludf.DUMMYFUNCTION("""COMPUTED_VALUE"""),"該当なし")</f>
        <v>該当なし</v>
      </c>
      <c r="BS10" s="139" t="str">
        <f>IFERROR(__xludf.DUMMYFUNCTION("""COMPUTED_VALUE"""),"※移動を入力！(BV列)")</f>
        <v>※移動を入力！(BV列)</v>
      </c>
      <c r="BT10" s="139" t="str">
        <f>IFERROR(__xludf.DUMMYFUNCTION("""COMPUTED_VALUE"""),"※攻撃手段を入力(BQ列)")</f>
        <v>※攻撃手段を入力(BQ列)</v>
      </c>
      <c r="BU10" s="139">
        <f>IFERROR(__xludf.DUMMYFUNCTION("""COMPUTED_VALUE"""),0.0)</f>
        <v>0</v>
      </c>
      <c r="BV10" s="139"/>
      <c r="BW10" s="139"/>
      <c r="BX10" s="139" t="str">
        <f>IFERROR(__xludf.DUMMYFUNCTION("""COMPUTED_VALUE"""),"※特性を選択!!(BW列)")</f>
        <v>※特性を選択!!(BW列)</v>
      </c>
      <c r="BY10" s="139">
        <f>IFERROR(__xludf.DUMMYFUNCTION("""COMPUTED_VALUE"""),0.0)</f>
        <v>0</v>
      </c>
      <c r="BZ10" s="139"/>
      <c r="CA10" s="139" t="str">
        <f>IFERROR(__xludf.DUMMYFUNCTION("""COMPUTED_VALUE"""),"※特性を選択!!(BW列)")</f>
        <v>※特性を選択!!(BW列)</v>
      </c>
      <c r="CB10" s="139" t="str">
        <f>IFERROR(__xludf.DUMMYFUNCTION("""COMPUTED_VALUE"""),"-")</f>
        <v>-</v>
      </c>
      <c r="CC10" s="139" t="str">
        <f>IFERROR(__xludf.DUMMYFUNCTION("""COMPUTED_VALUE"""),"※ID管理未記入")</f>
        <v>※ID管理未記入</v>
      </c>
      <c r="CD10" s="139"/>
      <c r="CE10" s="139" t="str">
        <f>IFERROR(__xludf.DUMMYFUNCTION("""COMPUTED_VALUE"""),"該当なし")</f>
        <v>該当なし</v>
      </c>
      <c r="CF10" s="139" t="str">
        <f>IFERROR(__xludf.DUMMYFUNCTION("""COMPUTED_VALUE"""),"#VALUE!")</f>
        <v>#VALUE!</v>
      </c>
      <c r="CG10" s="139"/>
      <c r="CH10" s="139"/>
      <c r="CI10" s="139" t="str">
        <f>IFERROR(__xludf.DUMMYFUNCTION("""COMPUTED_VALUE"""),"該当なし")</f>
        <v>該当なし</v>
      </c>
      <c r="CJ10" s="139" t="str">
        <f>IFERROR(__xludf.DUMMYFUNCTION("""COMPUTED_VALUE"""),"#VALUE!")</f>
        <v>#VALUE!</v>
      </c>
      <c r="CK10" s="139"/>
      <c r="CL10" s="139"/>
      <c r="CM10" s="139"/>
      <c r="CN10" s="675">
        <f>IFERROR(__xludf.DUMMYFUNCTION("""COMPUTED_VALUE"""),5.0)</f>
        <v>5</v>
      </c>
      <c r="CO10" s="139" t="str">
        <f>IFERROR(__xludf.DUMMYFUNCTION("""COMPUTED_VALUE"""),"-")</f>
        <v>-</v>
      </c>
      <c r="CP10" s="139" t="str">
        <f>IFERROR(__xludf.DUMMYFUNCTION("""COMPUTED_VALUE"""),"-")</f>
        <v>-</v>
      </c>
      <c r="CQ10" s="139" t="str">
        <f>IFERROR(__xludf.DUMMYFUNCTION("""COMPUTED_VALUE"""),"-")</f>
        <v>-</v>
      </c>
      <c r="CR10" s="139"/>
      <c r="CS10" s="139"/>
      <c r="CT10" s="139"/>
      <c r="CU10" s="139"/>
      <c r="CV10" s="139"/>
      <c r="CW10" s="139"/>
      <c r="CX10" s="674" t="str">
        <f>IFERROR(__xludf.DUMMYFUNCTION("""COMPUTED_VALUE"""),"")</f>
        <v/>
      </c>
      <c r="CY10" s="675" t="str">
        <f>IFERROR(__xludf.DUMMYFUNCTION("""COMPUTED_VALUE"""),"")</f>
        <v/>
      </c>
      <c r="CZ10" s="688" t="str">
        <f>IFERROR(__xludf.DUMMYFUNCTION("""COMPUTED_VALUE"""),"-")</f>
        <v>-</v>
      </c>
      <c r="DA10" s="688">
        <f>IFERROR(__xludf.DUMMYFUNCTION("""COMPUTED_VALUE"""),0.0)</f>
        <v>0</v>
      </c>
      <c r="DB10" s="688">
        <f>IFERROR(__xludf.DUMMYFUNCTION("""COMPUTED_VALUE"""),0.0)</f>
        <v>0</v>
      </c>
      <c r="DC10" s="673" t="str">
        <f>IFERROR(__xludf.DUMMYFUNCTION("""COMPUTED_VALUE"""),"-")</f>
        <v>-</v>
      </c>
      <c r="DD10" s="673" t="str">
        <f>IFERROR(__xludf.DUMMYFUNCTION("""COMPUTED_VALUE"""),"-")</f>
        <v>-</v>
      </c>
      <c r="DE10" s="139" t="str">
        <f>IFERROR(__xludf.DUMMYFUNCTION("""COMPUTED_VALUE"""),"-")</f>
        <v>-</v>
      </c>
      <c r="DF10" s="139" t="str">
        <f>IFERROR(__xludf.DUMMYFUNCTION("""COMPUTED_VALUE"""),"-")</f>
        <v>-</v>
      </c>
      <c r="DG10" s="139" t="str">
        <f>IFERROR(__xludf.DUMMYFUNCTION("""COMPUTED_VALUE"""),"-")</f>
        <v>-</v>
      </c>
      <c r="DH10" s="139" t="str">
        <f>IFERROR(__xludf.DUMMYFUNCTION("""COMPUTED_VALUE"""),"-")</f>
        <v>-</v>
      </c>
      <c r="DI10" s="139" t="str">
        <f>IFERROR(__xludf.DUMMYFUNCTION("""COMPUTED_VALUE"""),"-")</f>
        <v>-</v>
      </c>
      <c r="DJ10" s="139" t="str">
        <f>IFERROR(__xludf.DUMMYFUNCTION("""COMPUTED_VALUE"""),"-")</f>
        <v>-</v>
      </c>
    </row>
    <row r="11">
      <c r="A11" s="139" t="str">
        <f>IFERROR(__xludf.DUMMYFUNCTION("""COMPUTED_VALUE"""),"サマータイムレンダ")</f>
        <v>サマータイムレンダ</v>
      </c>
      <c r="B11" s="139" t="str">
        <f>IFERROR(__xludf.DUMMYFUNCTION("""COMPUTED_VALUE"""),"(仮)ハイネ＆シデ")</f>
        <v>(仮)ハイネ＆シデ</v>
      </c>
      <c r="C11" s="139" t="str">
        <f>IFERROR(__xludf.DUMMYFUNCTION("""COMPUTED_VALUE"""),"chara_sum_00501")</f>
        <v>chara_sum_00501</v>
      </c>
      <c r="D11" s="139" t="str">
        <f>IFERROR(__xludf.DUMMYFUNCTION("""COMPUTED_VALUE"""),"FestivalUR")</f>
        <v>FestivalUR</v>
      </c>
      <c r="E11" s="139" t="str">
        <f>IFERROR(__xludf.DUMMYFUNCTION("""COMPUTED_VALUE"""),"緑")</f>
        <v>緑</v>
      </c>
      <c r="F11" s="139" t="str">
        <f>IFERROR(__xludf.DUMMYFUNCTION("""COMPUTED_VALUE"""),"※ID管理未記入")</f>
        <v>※ID管理未記入</v>
      </c>
      <c r="G11" s="139" t="str">
        <f>IFERROR(__xludf.DUMMYFUNCTION("""COMPUTED_VALUE"""),"※ID管理未記入")</f>
        <v>※ID管理未記入</v>
      </c>
      <c r="H11" s="139" t="str">
        <f>IFERROR(__xludf.DUMMYFUNCTION("""COMPUTED_VALUE"""),"※ID管理未記入")</f>
        <v>※ID管理未記入</v>
      </c>
      <c r="I11" s="139" t="str">
        <f>IFERROR(__xludf.DUMMYFUNCTION("""COMPUTED_VALUE"""),"※ID管理未記入")</f>
        <v>※ID管理未記入</v>
      </c>
      <c r="J11" s="139" t="str">
        <f>IFERROR(__xludf.DUMMYFUNCTION("""COMPUTED_VALUE"""),"※ID管理未記入")</f>
        <v>※ID管理未記入</v>
      </c>
      <c r="K11" s="139" t="str">
        <f>IFERROR(__xludf.DUMMYFUNCTION("""COMPUTED_VALUE"""),"※ID管理未記入")</f>
        <v>※ID管理未記入</v>
      </c>
      <c r="L11" s="139" t="str">
        <f>IFERROR(__xludf.DUMMYFUNCTION("""COMPUTED_VALUE"""),"※")</f>
        <v>※</v>
      </c>
      <c r="M11" s="674">
        <f>IFERROR(__xludf.DUMMYFUNCTION("""COMPUTED_VALUE"""),0.0)</f>
        <v>0</v>
      </c>
      <c r="N11" s="139">
        <f>IFERROR(__xludf.DUMMYFUNCTION("""COMPUTED_VALUE"""),0.0)</f>
        <v>0</v>
      </c>
      <c r="O11" s="139"/>
      <c r="P11" s="139">
        <f>IFERROR(__xludf.DUMMYFUNCTION("""COMPUTED_VALUE"""),0.0)</f>
        <v>0</v>
      </c>
      <c r="Q11" s="675">
        <f>IFERROR(__xludf.DUMMYFUNCTION("""COMPUTED_VALUE"""),0.0)</f>
        <v>0</v>
      </c>
      <c r="R11" s="675">
        <f>IFERROR(__xludf.DUMMYFUNCTION("""COMPUTED_VALUE"""),0.0)</f>
        <v>0</v>
      </c>
      <c r="S11" s="675">
        <f>IFERROR(__xludf.DUMMYFUNCTION("""COMPUTED_VALUE"""),-2.5)</f>
        <v>-2.5</v>
      </c>
      <c r="T11" s="674">
        <f>IFERROR(__xludf.DUMMYFUNCTION("""COMPUTED_VALUE"""),225.0)</f>
        <v>225</v>
      </c>
      <c r="U11" s="675">
        <f>IFERROR(__xludf.DUMMYFUNCTION("""COMPUTED_VALUE"""),4.5)</f>
        <v>4.5</v>
      </c>
      <c r="V11" s="675">
        <f>IFERROR(__xludf.DUMMYFUNCTION("""COMPUTED_VALUE"""),0.0)</f>
        <v>0</v>
      </c>
      <c r="W11" s="675">
        <f>IFERROR(__xludf.DUMMYFUNCTION("""COMPUTED_VALUE"""),0.0)</f>
        <v>0</v>
      </c>
      <c r="X11" s="675">
        <f>IFERROR(__xludf.DUMMYFUNCTION("""COMPUTED_VALUE"""),0.0)</f>
        <v>0</v>
      </c>
      <c r="Y11" s="674">
        <f>IFERROR(__xludf.DUMMYFUNCTION("""COMPUTED_VALUE"""),100.0)</f>
        <v>100</v>
      </c>
      <c r="Z11" s="675">
        <f>IFERROR(__xludf.DUMMYFUNCTION("""COMPUTED_VALUE"""),2.0)</f>
        <v>2</v>
      </c>
      <c r="AA11" s="675">
        <f>IFERROR(__xludf.DUMMYFUNCTION("""COMPUTED_VALUE"""),0.0)</f>
        <v>0</v>
      </c>
      <c r="AB11" s="673">
        <f>IFERROR(__xludf.DUMMYFUNCTION("""COMPUTED_VALUE"""),0.0)</f>
        <v>0</v>
      </c>
      <c r="AC11" s="675">
        <f>IFERROR(__xludf.DUMMYFUNCTION("""COMPUTED_VALUE"""),0.0)</f>
        <v>0</v>
      </c>
      <c r="AD11" s="674">
        <f>IFERROR(__xludf.DUMMYFUNCTION("""COMPUTED_VALUE"""),250.0)</f>
        <v>250</v>
      </c>
      <c r="AE11" s="675">
        <f>IFERROR(__xludf.DUMMYFUNCTION("""COMPUTED_VALUE"""),5.0)</f>
        <v>5</v>
      </c>
      <c r="AF11" s="675">
        <f>IFERROR(__xludf.DUMMYFUNCTION("""COMPUTED_VALUE"""),0.0)</f>
        <v>0</v>
      </c>
      <c r="AG11" s="673">
        <f>IFERROR(__xludf.DUMMYFUNCTION("""COMPUTED_VALUE"""),0.0)</f>
        <v>0</v>
      </c>
      <c r="AH11" s="675">
        <f>IFERROR(__xludf.DUMMYFUNCTION("""COMPUTED_VALUE"""),0.0)</f>
        <v>0</v>
      </c>
      <c r="AI11" s="139" t="str">
        <f>IFERROR(__xludf.DUMMYFUNCTION("""COMPUTED_VALUE"""),"-")</f>
        <v>-</v>
      </c>
      <c r="AJ11" s="675" t="str">
        <f>IFERROR(__xludf.DUMMYFUNCTION("""COMPUTED_VALUE"""),"-")</f>
        <v>-</v>
      </c>
      <c r="AK11" s="139">
        <f>IFERROR(__xludf.DUMMYFUNCTION("""COMPUTED_VALUE"""),0.0)</f>
        <v>0</v>
      </c>
      <c r="AL11" s="674">
        <f>IFERROR(__xludf.DUMMYFUNCTION("""COMPUTED_VALUE"""),0.0)</f>
        <v>0</v>
      </c>
      <c r="AM11" s="688">
        <f>IFERROR(__xludf.DUMMYFUNCTION("""COMPUTED_VALUE"""),0.0)</f>
        <v>0</v>
      </c>
      <c r="AN11" s="675">
        <f>IFERROR(__xludf.DUMMYFUNCTION("""COMPUTED_VALUE"""),0.0)</f>
        <v>0</v>
      </c>
      <c r="AO11" s="675">
        <f>IFERROR(__xludf.DUMMYFUNCTION("""COMPUTED_VALUE"""),0.0)</f>
        <v>0</v>
      </c>
      <c r="AP11" s="674">
        <f>IFERROR(__xludf.DUMMYFUNCTION("""COMPUTED_VALUE"""),0.0)</f>
        <v>0</v>
      </c>
      <c r="AQ11" s="673">
        <f>IFERROR(__xludf.DUMMYFUNCTION("""COMPUTED_VALUE"""),0.0)</f>
        <v>0</v>
      </c>
      <c r="AR11" s="673">
        <f>IFERROR(__xludf.DUMMYFUNCTION("""COMPUTED_VALUE"""),0.0)</f>
        <v>0</v>
      </c>
      <c r="AS11" s="673">
        <f>IFERROR(__xludf.DUMMYFUNCTION("""COMPUTED_VALUE"""),0.0)</f>
        <v>0</v>
      </c>
      <c r="AT11" s="673">
        <f>IFERROR(__xludf.DUMMYFUNCTION("""COMPUTED_VALUE"""),0.0)</f>
        <v>0</v>
      </c>
      <c r="AU11" s="675">
        <f>IFERROR(__xludf.DUMMYFUNCTION("""COMPUTED_VALUE"""),0.0)</f>
        <v>0</v>
      </c>
      <c r="AV11" s="675">
        <f>IFERROR(__xludf.DUMMYFUNCTION("""COMPUTED_VALUE"""),0.0)</f>
        <v>0</v>
      </c>
      <c r="AW11" s="139"/>
      <c r="AX11" s="674" t="str">
        <f>IFERROR(__xludf.DUMMYFUNCTION("""COMPUTED_VALUE"""),"※通常攻撃範囲を入力！(CD列)")</f>
        <v>※通常攻撃範囲を入力！(CD列)</v>
      </c>
      <c r="AY11" s="688" t="str">
        <f>IFERROR(__xludf.DUMMYFUNCTION("""COMPUTED_VALUE"""),"#VALUE!")</f>
        <v>#VALUE!</v>
      </c>
      <c r="AZ11" s="674" t="str">
        <f>IFERROR(__xludf.DUMMYFUNCTION("""COMPUTED_VALUE"""),"#VALUE!")</f>
        <v>#VALUE!</v>
      </c>
      <c r="BA11" s="688" t="str">
        <f>IFERROR(__xludf.DUMMYFUNCTION("""COMPUTED_VALUE"""),"#VALUE!")</f>
        <v>#VALUE!</v>
      </c>
      <c r="BB11" s="688" t="str">
        <f>IFERROR(__xludf.DUMMYFUNCTION("""COMPUTED_VALUE"""),"-")</f>
        <v>-</v>
      </c>
      <c r="BC11" s="688" t="str">
        <f>IFERROR(__xludf.DUMMYFUNCTION("""COMPUTED_VALUE"""),"#VALUE!")</f>
        <v>#VALUE!</v>
      </c>
      <c r="BD11" s="688" t="str">
        <f>IFERROR(__xludf.DUMMYFUNCTION("""COMPUTED_VALUE"""),"#VALUE!")</f>
        <v>#VALUE!</v>
      </c>
      <c r="BE11" s="674" t="str">
        <f>IFERROR(__xludf.DUMMYFUNCTION("""COMPUTED_VALUE"""),"#VALUE!")</f>
        <v>#VALUE!</v>
      </c>
      <c r="BF11" s="674">
        <f>IFERROR(__xludf.DUMMYFUNCTION("""COMPUTED_VALUE"""),0.0)</f>
        <v>0</v>
      </c>
      <c r="BG11" s="673">
        <f>IFERROR(__xludf.DUMMYFUNCTION("""COMPUTED_VALUE"""),0.0)</f>
        <v>0</v>
      </c>
      <c r="BH11" s="673">
        <f>IFERROR(__xludf.DUMMYFUNCTION("""COMPUTED_VALUE"""),0.0)</f>
        <v>0</v>
      </c>
      <c r="BI11" s="673">
        <f>IFERROR(__xludf.DUMMYFUNCTION("""COMPUTED_VALUE"""),0.0)</f>
        <v>0</v>
      </c>
      <c r="BJ11" s="673">
        <f>IFERROR(__xludf.DUMMYFUNCTION("""COMPUTED_VALUE"""),0.0)</f>
        <v>0</v>
      </c>
      <c r="BK11" s="673">
        <f>IFERROR(__xludf.DUMMYFUNCTION("""COMPUTED_VALUE"""),0.0)</f>
        <v>0</v>
      </c>
      <c r="BL11" s="673">
        <f>IFERROR(__xludf.DUMMYFUNCTION("""COMPUTED_VALUE"""),0.0)</f>
        <v>0</v>
      </c>
      <c r="BM11" s="674">
        <f>IFERROR(__xludf.DUMMYFUNCTION("""COMPUTED_VALUE"""),0.0)</f>
        <v>0</v>
      </c>
      <c r="BN11" s="674">
        <f>IFERROR(__xludf.DUMMYFUNCTION("""COMPUTED_VALUE"""),0.0)</f>
        <v>0</v>
      </c>
      <c r="BO11" s="675">
        <f>IFERROR(__xludf.DUMMYFUNCTION("""COMPUTED_VALUE"""),0.0)</f>
        <v>0</v>
      </c>
      <c r="BP11" s="675">
        <f>IFERROR(__xludf.DUMMYFUNCTION("""COMPUTED_VALUE"""),0.0)</f>
        <v>0</v>
      </c>
      <c r="BQ11" s="139"/>
      <c r="BR11" s="139" t="str">
        <f>IFERROR(__xludf.DUMMYFUNCTION("""COMPUTED_VALUE"""),"該当なし")</f>
        <v>該当なし</v>
      </c>
      <c r="BS11" s="139" t="str">
        <f>IFERROR(__xludf.DUMMYFUNCTION("""COMPUTED_VALUE"""),"※移動を入力！(BV列)")</f>
        <v>※移動を入力！(BV列)</v>
      </c>
      <c r="BT11" s="139" t="str">
        <f>IFERROR(__xludf.DUMMYFUNCTION("""COMPUTED_VALUE"""),"※攻撃手段を入力(BQ列)")</f>
        <v>※攻撃手段を入力(BQ列)</v>
      </c>
      <c r="BU11" s="139">
        <f>IFERROR(__xludf.DUMMYFUNCTION("""COMPUTED_VALUE"""),0.0)</f>
        <v>0</v>
      </c>
      <c r="BV11" s="139"/>
      <c r="BW11" s="139"/>
      <c r="BX11" s="139" t="str">
        <f>IFERROR(__xludf.DUMMYFUNCTION("""COMPUTED_VALUE"""),"※特性を選択!!(BW列)")</f>
        <v>※特性を選択!!(BW列)</v>
      </c>
      <c r="BY11" s="139">
        <f>IFERROR(__xludf.DUMMYFUNCTION("""COMPUTED_VALUE"""),0.0)</f>
        <v>0</v>
      </c>
      <c r="BZ11" s="139"/>
      <c r="CA11" s="139" t="str">
        <f>IFERROR(__xludf.DUMMYFUNCTION("""COMPUTED_VALUE"""),"※特性を選択!!(BW列)")</f>
        <v>※特性を選択!!(BW列)</v>
      </c>
      <c r="CB11" s="139">
        <f>IFERROR(__xludf.DUMMYFUNCTION("""COMPUTED_VALUE"""),4.0)</f>
        <v>4</v>
      </c>
      <c r="CC11" s="139" t="str">
        <f>IFERROR(__xludf.DUMMYFUNCTION("""COMPUTED_VALUE"""),"※ID管理未記入")</f>
        <v>※ID管理未記入</v>
      </c>
      <c r="CD11" s="139"/>
      <c r="CE11" s="139" t="str">
        <f>IFERROR(__xludf.DUMMYFUNCTION("""COMPUTED_VALUE"""),"該当なし")</f>
        <v>該当なし</v>
      </c>
      <c r="CF11" s="139" t="str">
        <f>IFERROR(__xludf.DUMMYFUNCTION("""COMPUTED_VALUE"""),"#VALUE!")</f>
        <v>#VALUE!</v>
      </c>
      <c r="CG11" s="139"/>
      <c r="CH11" s="139"/>
      <c r="CI11" s="139" t="str">
        <f>IFERROR(__xludf.DUMMYFUNCTION("""COMPUTED_VALUE"""),"該当なし")</f>
        <v>該当なし</v>
      </c>
      <c r="CJ11" s="139" t="str">
        <f>IFERROR(__xludf.DUMMYFUNCTION("""COMPUTED_VALUE"""),"#VALUE!")</f>
        <v>#VALUE!</v>
      </c>
      <c r="CK11" s="139"/>
      <c r="CL11" s="139"/>
      <c r="CM11" s="139"/>
      <c r="CN11" s="675">
        <f>IFERROR(__xludf.DUMMYFUNCTION("""COMPUTED_VALUE"""),5.0)</f>
        <v>5</v>
      </c>
      <c r="CO11" s="139" t="str">
        <f>IFERROR(__xludf.DUMMYFUNCTION("""COMPUTED_VALUE"""),"-")</f>
        <v>-</v>
      </c>
      <c r="CP11" s="139" t="str">
        <f>IFERROR(__xludf.DUMMYFUNCTION("""COMPUTED_VALUE"""),"-")</f>
        <v>-</v>
      </c>
      <c r="CQ11" s="139">
        <f>IFERROR(__xludf.DUMMYFUNCTION("""COMPUTED_VALUE"""),6.0)</f>
        <v>6</v>
      </c>
      <c r="CR11" s="139"/>
      <c r="CS11" s="139"/>
      <c r="CT11" s="139"/>
      <c r="CU11" s="139"/>
      <c r="CV11" s="139"/>
      <c r="CW11" s="139"/>
      <c r="CX11" s="674" t="str">
        <f>IFERROR(__xludf.DUMMYFUNCTION("""COMPUTED_VALUE"""),"")</f>
        <v/>
      </c>
      <c r="CY11" s="675" t="str">
        <f>IFERROR(__xludf.DUMMYFUNCTION("""COMPUTED_VALUE"""),"")</f>
        <v/>
      </c>
      <c r="CZ11" s="688" t="str">
        <f>IFERROR(__xludf.DUMMYFUNCTION("""COMPUTED_VALUE"""),"-")</f>
        <v>-</v>
      </c>
      <c r="DA11" s="688">
        <f>IFERROR(__xludf.DUMMYFUNCTION("""COMPUTED_VALUE"""),0.0)</f>
        <v>0</v>
      </c>
      <c r="DB11" s="688">
        <f>IFERROR(__xludf.DUMMYFUNCTION("""COMPUTED_VALUE"""),0.0)</f>
        <v>0</v>
      </c>
      <c r="DC11" s="673" t="str">
        <f>IFERROR(__xludf.DUMMYFUNCTION("""COMPUTED_VALUE"""),"-")</f>
        <v>-</v>
      </c>
      <c r="DD11" s="673" t="str">
        <f>IFERROR(__xludf.DUMMYFUNCTION("""COMPUTED_VALUE"""),"-")</f>
        <v>-</v>
      </c>
      <c r="DE11" s="139" t="str">
        <f>IFERROR(__xludf.DUMMYFUNCTION("""COMPUTED_VALUE"""),"-")</f>
        <v>-</v>
      </c>
      <c r="DF11" s="139" t="str">
        <f>IFERROR(__xludf.DUMMYFUNCTION("""COMPUTED_VALUE"""),"-")</f>
        <v>-</v>
      </c>
      <c r="DG11" s="139" t="str">
        <f>IFERROR(__xludf.DUMMYFUNCTION("""COMPUTED_VALUE"""),"-")</f>
        <v>-</v>
      </c>
      <c r="DH11" s="139" t="str">
        <f>IFERROR(__xludf.DUMMYFUNCTION("""COMPUTED_VALUE"""),"-")</f>
        <v>-</v>
      </c>
      <c r="DI11" s="139" t="str">
        <f>IFERROR(__xludf.DUMMYFUNCTION("""COMPUTED_VALUE"""),"-")</f>
        <v>-</v>
      </c>
      <c r="DJ11" s="139" t="str">
        <f>IFERROR(__xludf.DUMMYFUNCTION("""COMPUTED_VALUE"""),"-")</f>
        <v>-</v>
      </c>
    </row>
    <row r="12">
      <c r="A12" s="139" t="str">
        <f>IFERROR(__xludf.DUMMYFUNCTION("""COMPUTED_VALUE"""),"【推しの子】")</f>
        <v>【推しの子】</v>
      </c>
      <c r="B12" s="139" t="str">
        <f>IFERROR(__xludf.DUMMYFUNCTION("""COMPUTED_VALUE"""),"(仮)星野 アクア (東京ブレイド編ver.)")</f>
        <v>(仮)星野 アクア (東京ブレイド編ver.)</v>
      </c>
      <c r="C12" s="139" t="str">
        <f>IFERROR(__xludf.DUMMYFUNCTION("""COMPUTED_VALUE"""),"chara_osh_00102")</f>
        <v>chara_osh_00102</v>
      </c>
      <c r="D12" s="139" t="str">
        <f>IFERROR(__xludf.DUMMYFUNCTION("""COMPUTED_VALUE"""),"DropSR")</f>
        <v>DropSR</v>
      </c>
      <c r="E12" s="139" t="str">
        <f>IFERROR(__xludf.DUMMYFUNCTION("""COMPUTED_VALUE"""),"青")</f>
        <v>青</v>
      </c>
      <c r="F12" s="139" t="str">
        <f>IFERROR(__xludf.DUMMYFUNCTION("""COMPUTED_VALUE"""),"ディフェンス")</f>
        <v>ディフェンス</v>
      </c>
      <c r="G12" s="139" t="str">
        <f>IFERROR(__xludf.DUMMYFUNCTION("""COMPUTED_VALUE"""),"※ID管理未記入")</f>
        <v>※ID管理未記入</v>
      </c>
      <c r="H12" s="139" t="str">
        <f>IFERROR(__xludf.DUMMYFUNCTION("""COMPUTED_VALUE"""),"※ID管理未記入")</f>
        <v>※ID管理未記入</v>
      </c>
      <c r="I12" s="139" t="str">
        <f>IFERROR(__xludf.DUMMYFUNCTION("""COMPUTED_VALUE"""),"※ID管理未記入")</f>
        <v>※ID管理未記入</v>
      </c>
      <c r="J12" s="139" t="str">
        <f>IFERROR(__xludf.DUMMYFUNCTION("""COMPUTED_VALUE"""),"※ID管理未記入")</f>
        <v>※ID管理未記入</v>
      </c>
      <c r="K12" s="139" t="str">
        <f>IFERROR(__xludf.DUMMYFUNCTION("""COMPUTED_VALUE"""),"※ID管理未記入")</f>
        <v>※ID管理未記入</v>
      </c>
      <c r="L12" s="139" t="str">
        <f>IFERROR(__xludf.DUMMYFUNCTION("""COMPUTED_VALUE"""),"※")</f>
        <v>※</v>
      </c>
      <c r="M12" s="674">
        <f>IFERROR(__xludf.DUMMYFUNCTION("""COMPUTED_VALUE"""),0.0)</f>
        <v>0</v>
      </c>
      <c r="N12" s="139">
        <f>IFERROR(__xludf.DUMMYFUNCTION("""COMPUTED_VALUE"""),0.0)</f>
        <v>0</v>
      </c>
      <c r="O12" s="139"/>
      <c r="P12" s="139">
        <f>IFERROR(__xludf.DUMMYFUNCTION("""COMPUTED_VALUE"""),0.0)</f>
        <v>0</v>
      </c>
      <c r="Q12" s="675">
        <f>IFERROR(__xludf.DUMMYFUNCTION("""COMPUTED_VALUE"""),0.0)</f>
        <v>0</v>
      </c>
      <c r="R12" s="675">
        <f>IFERROR(__xludf.DUMMYFUNCTION("""COMPUTED_VALUE"""),0.0)</f>
        <v>0</v>
      </c>
      <c r="S12" s="675">
        <f>IFERROR(__xludf.DUMMYFUNCTION("""COMPUTED_VALUE"""),-2.5)</f>
        <v>-2.5</v>
      </c>
      <c r="T12" s="674">
        <f>IFERROR(__xludf.DUMMYFUNCTION("""COMPUTED_VALUE"""),225.0)</f>
        <v>225</v>
      </c>
      <c r="U12" s="675">
        <f>IFERROR(__xludf.DUMMYFUNCTION("""COMPUTED_VALUE"""),4.5)</f>
        <v>4.5</v>
      </c>
      <c r="V12" s="675">
        <f>IFERROR(__xludf.DUMMYFUNCTION("""COMPUTED_VALUE"""),0.0)</f>
        <v>0</v>
      </c>
      <c r="W12" s="675">
        <f>IFERROR(__xludf.DUMMYFUNCTION("""COMPUTED_VALUE"""),0.0)</f>
        <v>0</v>
      </c>
      <c r="X12" s="675">
        <f>IFERROR(__xludf.DUMMYFUNCTION("""COMPUTED_VALUE"""),0.0)</f>
        <v>0</v>
      </c>
      <c r="Y12" s="674">
        <f>IFERROR(__xludf.DUMMYFUNCTION("""COMPUTED_VALUE"""),100.0)</f>
        <v>100</v>
      </c>
      <c r="Z12" s="675">
        <f>IFERROR(__xludf.DUMMYFUNCTION("""COMPUTED_VALUE"""),2.0)</f>
        <v>2</v>
      </c>
      <c r="AA12" s="675">
        <f>IFERROR(__xludf.DUMMYFUNCTION("""COMPUTED_VALUE"""),0.0)</f>
        <v>0</v>
      </c>
      <c r="AB12" s="673">
        <f>IFERROR(__xludf.DUMMYFUNCTION("""COMPUTED_VALUE"""),0.0)</f>
        <v>0</v>
      </c>
      <c r="AC12" s="675">
        <f>IFERROR(__xludf.DUMMYFUNCTION("""COMPUTED_VALUE"""),0.0)</f>
        <v>0</v>
      </c>
      <c r="AD12" s="674">
        <f>IFERROR(__xludf.DUMMYFUNCTION("""COMPUTED_VALUE"""),250.0)</f>
        <v>250</v>
      </c>
      <c r="AE12" s="675">
        <f>IFERROR(__xludf.DUMMYFUNCTION("""COMPUTED_VALUE"""),5.0)</f>
        <v>5</v>
      </c>
      <c r="AF12" s="675">
        <f>IFERROR(__xludf.DUMMYFUNCTION("""COMPUTED_VALUE"""),0.0)</f>
        <v>0</v>
      </c>
      <c r="AG12" s="673">
        <f>IFERROR(__xludf.DUMMYFUNCTION("""COMPUTED_VALUE"""),0.0)</f>
        <v>0</v>
      </c>
      <c r="AH12" s="675">
        <f>IFERROR(__xludf.DUMMYFUNCTION("""COMPUTED_VALUE"""),0.0)</f>
        <v>0</v>
      </c>
      <c r="AI12" s="139" t="str">
        <f>IFERROR(__xludf.DUMMYFUNCTION("""COMPUTED_VALUE"""),"-")</f>
        <v>-</v>
      </c>
      <c r="AJ12" s="675" t="str">
        <f>IFERROR(__xludf.DUMMYFUNCTION("""COMPUTED_VALUE"""),"-")</f>
        <v>-</v>
      </c>
      <c r="AK12" s="139">
        <f>IFERROR(__xludf.DUMMYFUNCTION("""COMPUTED_VALUE"""),0.0)</f>
        <v>0</v>
      </c>
      <c r="AL12" s="674">
        <f>IFERROR(__xludf.DUMMYFUNCTION("""COMPUTED_VALUE"""),0.0)</f>
        <v>0</v>
      </c>
      <c r="AM12" s="688">
        <f>IFERROR(__xludf.DUMMYFUNCTION("""COMPUTED_VALUE"""),0.0)</f>
        <v>0</v>
      </c>
      <c r="AN12" s="675">
        <f>IFERROR(__xludf.DUMMYFUNCTION("""COMPUTED_VALUE"""),0.0)</f>
        <v>0</v>
      </c>
      <c r="AO12" s="675">
        <f>IFERROR(__xludf.DUMMYFUNCTION("""COMPUTED_VALUE"""),0.0)</f>
        <v>0</v>
      </c>
      <c r="AP12" s="674">
        <f>IFERROR(__xludf.DUMMYFUNCTION("""COMPUTED_VALUE"""),0.0)</f>
        <v>0</v>
      </c>
      <c r="AQ12" s="673">
        <f>IFERROR(__xludf.DUMMYFUNCTION("""COMPUTED_VALUE"""),0.9)</f>
        <v>0.9</v>
      </c>
      <c r="AR12" s="673">
        <f>IFERROR(__xludf.DUMMYFUNCTION("""COMPUTED_VALUE"""),0.0)</f>
        <v>0</v>
      </c>
      <c r="AS12" s="673">
        <f>IFERROR(__xludf.DUMMYFUNCTION("""COMPUTED_VALUE"""),0.0)</f>
        <v>0</v>
      </c>
      <c r="AT12" s="673">
        <f>IFERROR(__xludf.DUMMYFUNCTION("""COMPUTED_VALUE"""),0.0)</f>
        <v>0</v>
      </c>
      <c r="AU12" s="675">
        <f>IFERROR(__xludf.DUMMYFUNCTION("""COMPUTED_VALUE"""),0.0)</f>
        <v>0</v>
      </c>
      <c r="AV12" s="675">
        <f>IFERROR(__xludf.DUMMYFUNCTION("""COMPUTED_VALUE"""),0.0)</f>
        <v>0</v>
      </c>
      <c r="AW12" s="139"/>
      <c r="AX12" s="674" t="str">
        <f>IFERROR(__xludf.DUMMYFUNCTION("""COMPUTED_VALUE"""),"※通常攻撃範囲を入力！(CD列)")</f>
        <v>※通常攻撃範囲を入力！(CD列)</v>
      </c>
      <c r="AY12" s="688" t="str">
        <f>IFERROR(__xludf.DUMMYFUNCTION("""COMPUTED_VALUE"""),"#VALUE!")</f>
        <v>#VALUE!</v>
      </c>
      <c r="AZ12" s="674" t="str">
        <f>IFERROR(__xludf.DUMMYFUNCTION("""COMPUTED_VALUE"""),"#VALUE!")</f>
        <v>#VALUE!</v>
      </c>
      <c r="BA12" s="688" t="str">
        <f>IFERROR(__xludf.DUMMYFUNCTION("""COMPUTED_VALUE"""),"#VALUE!")</f>
        <v>#VALUE!</v>
      </c>
      <c r="BB12" s="688" t="str">
        <f>IFERROR(__xludf.DUMMYFUNCTION("""COMPUTED_VALUE"""),"-")</f>
        <v>-</v>
      </c>
      <c r="BC12" s="688" t="str">
        <f>IFERROR(__xludf.DUMMYFUNCTION("""COMPUTED_VALUE"""),"#VALUE!")</f>
        <v>#VALUE!</v>
      </c>
      <c r="BD12" s="688" t="str">
        <f>IFERROR(__xludf.DUMMYFUNCTION("""COMPUTED_VALUE"""),"#VALUE!")</f>
        <v>#VALUE!</v>
      </c>
      <c r="BE12" s="674" t="str">
        <f>IFERROR(__xludf.DUMMYFUNCTION("""COMPUTED_VALUE"""),"#VALUE!")</f>
        <v>#VALUE!</v>
      </c>
      <c r="BF12" s="674">
        <f>IFERROR(__xludf.DUMMYFUNCTION("""COMPUTED_VALUE"""),0.0)</f>
        <v>0</v>
      </c>
      <c r="BG12" s="673">
        <f>IFERROR(__xludf.DUMMYFUNCTION("""COMPUTED_VALUE"""),0.0)</f>
        <v>0</v>
      </c>
      <c r="BH12" s="673">
        <f>IFERROR(__xludf.DUMMYFUNCTION("""COMPUTED_VALUE"""),-0.5)</f>
        <v>-0.5</v>
      </c>
      <c r="BI12" s="673">
        <f>IFERROR(__xludf.DUMMYFUNCTION("""COMPUTED_VALUE"""),0.0)</f>
        <v>0</v>
      </c>
      <c r="BJ12" s="673">
        <f>IFERROR(__xludf.DUMMYFUNCTION("""COMPUTED_VALUE"""),0.0)</f>
        <v>0</v>
      </c>
      <c r="BK12" s="673">
        <f>IFERROR(__xludf.DUMMYFUNCTION("""COMPUTED_VALUE"""),0.0)</f>
        <v>0</v>
      </c>
      <c r="BL12" s="673">
        <f>IFERROR(__xludf.DUMMYFUNCTION("""COMPUTED_VALUE"""),0.0)</f>
        <v>0</v>
      </c>
      <c r="BM12" s="674">
        <f>IFERROR(__xludf.DUMMYFUNCTION("""COMPUTED_VALUE"""),0.0)</f>
        <v>0</v>
      </c>
      <c r="BN12" s="674">
        <f>IFERROR(__xludf.DUMMYFUNCTION("""COMPUTED_VALUE"""),0.0)</f>
        <v>0</v>
      </c>
      <c r="BO12" s="675">
        <f>IFERROR(__xludf.DUMMYFUNCTION("""COMPUTED_VALUE"""),0.0)</f>
        <v>0</v>
      </c>
      <c r="BP12" s="675">
        <f>IFERROR(__xludf.DUMMYFUNCTION("""COMPUTED_VALUE"""),0.0)</f>
        <v>0</v>
      </c>
      <c r="BQ12" s="139"/>
      <c r="BR12" s="139">
        <f>IFERROR(__xludf.DUMMYFUNCTION("""COMPUTED_VALUE"""),1.0)</f>
        <v>1</v>
      </c>
      <c r="BS12" s="139" t="str">
        <f>IFERROR(__xludf.DUMMYFUNCTION("""COMPUTED_VALUE"""),"※移動を入力！(BV列)")</f>
        <v>※移動を入力！(BV列)</v>
      </c>
      <c r="BT12" s="139" t="str">
        <f>IFERROR(__xludf.DUMMYFUNCTION("""COMPUTED_VALUE"""),"※攻撃手段を入力(BQ列)")</f>
        <v>※攻撃手段を入力(BQ列)</v>
      </c>
      <c r="BU12" s="139">
        <f>IFERROR(__xludf.DUMMYFUNCTION("""COMPUTED_VALUE"""),0.0)</f>
        <v>0</v>
      </c>
      <c r="BV12" s="139"/>
      <c r="BW12" s="139"/>
      <c r="BX12" s="139" t="str">
        <f>IFERROR(__xludf.DUMMYFUNCTION("""COMPUTED_VALUE"""),"※特性を選択!!(BW列)")</f>
        <v>※特性を選択!!(BW列)</v>
      </c>
      <c r="BY12" s="139">
        <f>IFERROR(__xludf.DUMMYFUNCTION("""COMPUTED_VALUE"""),2.0)</f>
        <v>2</v>
      </c>
      <c r="BZ12" s="139"/>
      <c r="CA12" s="139" t="str">
        <f>IFERROR(__xludf.DUMMYFUNCTION("""COMPUTED_VALUE"""),"※特性を選択!!(BW列)")</f>
        <v>※特性を選択!!(BW列)</v>
      </c>
      <c r="CB12" s="139" t="str">
        <f>IFERROR(__xludf.DUMMYFUNCTION("""COMPUTED_VALUE"""),"-")</f>
        <v>-</v>
      </c>
      <c r="CC12" s="139" t="str">
        <f>IFERROR(__xludf.DUMMYFUNCTION("""COMPUTED_VALUE"""),"※ID管理未記入")</f>
        <v>※ID管理未記入</v>
      </c>
      <c r="CD12" s="139"/>
      <c r="CE12" s="139" t="str">
        <f>IFERROR(__xludf.DUMMYFUNCTION("""COMPUTED_VALUE"""),"該当なし")</f>
        <v>該当なし</v>
      </c>
      <c r="CF12" s="139" t="str">
        <f>IFERROR(__xludf.DUMMYFUNCTION("""COMPUTED_VALUE"""),"#VALUE!")</f>
        <v>#VALUE!</v>
      </c>
      <c r="CG12" s="139"/>
      <c r="CH12" s="139"/>
      <c r="CI12" s="139" t="str">
        <f>IFERROR(__xludf.DUMMYFUNCTION("""COMPUTED_VALUE"""),"該当なし")</f>
        <v>該当なし</v>
      </c>
      <c r="CJ12" s="139" t="str">
        <f>IFERROR(__xludf.DUMMYFUNCTION("""COMPUTED_VALUE"""),"#VALUE!")</f>
        <v>#VALUE!</v>
      </c>
      <c r="CK12" s="139"/>
      <c r="CL12" s="139"/>
      <c r="CM12" s="139"/>
      <c r="CN12" s="675">
        <f>IFERROR(__xludf.DUMMYFUNCTION("""COMPUTED_VALUE"""),5.0)</f>
        <v>5</v>
      </c>
      <c r="CO12" s="139" t="str">
        <f>IFERROR(__xludf.DUMMYFUNCTION("""COMPUTED_VALUE"""),"-")</f>
        <v>-</v>
      </c>
      <c r="CP12" s="139" t="str">
        <f>IFERROR(__xludf.DUMMYFUNCTION("""COMPUTED_VALUE"""),"-")</f>
        <v>-</v>
      </c>
      <c r="CQ12" s="139" t="str">
        <f>IFERROR(__xludf.DUMMYFUNCTION("""COMPUTED_VALUE"""),"-")</f>
        <v>-</v>
      </c>
      <c r="CR12" s="139"/>
      <c r="CS12" s="139"/>
      <c r="CT12" s="139"/>
      <c r="CU12" s="139"/>
      <c r="CV12" s="139"/>
      <c r="CW12" s="139"/>
      <c r="CX12" s="674" t="str">
        <f>IFERROR(__xludf.DUMMYFUNCTION("""COMPUTED_VALUE"""),"")</f>
        <v/>
      </c>
      <c r="CY12" s="675" t="str">
        <f>IFERROR(__xludf.DUMMYFUNCTION("""COMPUTED_VALUE"""),"")</f>
        <v/>
      </c>
      <c r="CZ12" s="688" t="str">
        <f>IFERROR(__xludf.DUMMYFUNCTION("""COMPUTED_VALUE"""),"-")</f>
        <v>-</v>
      </c>
      <c r="DA12" s="688">
        <f>IFERROR(__xludf.DUMMYFUNCTION("""COMPUTED_VALUE"""),0.0)</f>
        <v>0</v>
      </c>
      <c r="DB12" s="688">
        <f>IFERROR(__xludf.DUMMYFUNCTION("""COMPUTED_VALUE"""),0.0)</f>
        <v>0</v>
      </c>
      <c r="DC12" s="673" t="str">
        <f>IFERROR(__xludf.DUMMYFUNCTION("""COMPUTED_VALUE"""),"-")</f>
        <v>-</v>
      </c>
      <c r="DD12" s="673" t="str">
        <f>IFERROR(__xludf.DUMMYFUNCTION("""COMPUTED_VALUE"""),"-")</f>
        <v>-</v>
      </c>
      <c r="DE12" s="139" t="str">
        <f>IFERROR(__xludf.DUMMYFUNCTION("""COMPUTED_VALUE"""),"-")</f>
        <v>-</v>
      </c>
      <c r="DF12" s="139" t="str">
        <f>IFERROR(__xludf.DUMMYFUNCTION("""COMPUTED_VALUE"""),"-")</f>
        <v>-</v>
      </c>
      <c r="DG12" s="139" t="str">
        <f>IFERROR(__xludf.DUMMYFUNCTION("""COMPUTED_VALUE"""),"-")</f>
        <v>-</v>
      </c>
      <c r="DH12" s="139" t="str">
        <f>IFERROR(__xludf.DUMMYFUNCTION("""COMPUTED_VALUE"""),"-")</f>
        <v>-</v>
      </c>
      <c r="DI12" s="139" t="str">
        <f>IFERROR(__xludf.DUMMYFUNCTION("""COMPUTED_VALUE"""),"-")</f>
        <v>-</v>
      </c>
      <c r="DJ12" s="139" t="str">
        <f>IFERROR(__xludf.DUMMYFUNCTION("""COMPUTED_VALUE"""),"-")</f>
        <v>-</v>
      </c>
    </row>
    <row r="13">
      <c r="A13" s="139" t="str">
        <f>IFERROR(__xludf.DUMMYFUNCTION("""COMPUTED_VALUE"""),"【推しの子】")</f>
        <v>【推しの子】</v>
      </c>
      <c r="B13" s="139" t="str">
        <f>IFERROR(__xludf.DUMMYFUNCTION("""COMPUTED_VALUE"""),"(仮)星野 ルビー（闇堕ち演技ver）")</f>
        <v>(仮)星野 ルビー（闇堕ち演技ver）</v>
      </c>
      <c r="C13" s="139" t="str">
        <f>IFERROR(__xludf.DUMMYFUNCTION("""COMPUTED_VALUE"""),"chara_osh_00202")</f>
        <v>chara_osh_00202</v>
      </c>
      <c r="D13" s="139" t="str">
        <f>IFERROR(__xludf.DUMMYFUNCTION("""COMPUTED_VALUE"""),"DropSR")</f>
        <v>DropSR</v>
      </c>
      <c r="E13" s="139" t="str">
        <f>IFERROR(__xludf.DUMMYFUNCTION("""COMPUTED_VALUE"""),"無")</f>
        <v>無</v>
      </c>
      <c r="F13" s="139" t="str">
        <f>IFERROR(__xludf.DUMMYFUNCTION("""COMPUTED_VALUE"""),"スペシャル")</f>
        <v>スペシャル</v>
      </c>
      <c r="G13" s="139" t="str">
        <f>IFERROR(__xludf.DUMMYFUNCTION("""COMPUTED_VALUE"""),"※ID管理未記入")</f>
        <v>※ID管理未記入</v>
      </c>
      <c r="H13" s="139" t="str">
        <f>IFERROR(__xludf.DUMMYFUNCTION("""COMPUTED_VALUE"""),"※ID管理未記入")</f>
        <v>※ID管理未記入</v>
      </c>
      <c r="I13" s="139" t="str">
        <f>IFERROR(__xludf.DUMMYFUNCTION("""COMPUTED_VALUE"""),"※ID管理未記入")</f>
        <v>※ID管理未記入</v>
      </c>
      <c r="J13" s="139" t="str">
        <f>IFERROR(__xludf.DUMMYFUNCTION("""COMPUTED_VALUE"""),"※ID管理未記入")</f>
        <v>※ID管理未記入</v>
      </c>
      <c r="K13" s="139" t="str">
        <f>IFERROR(__xludf.DUMMYFUNCTION("""COMPUTED_VALUE"""),"※ID管理未記入")</f>
        <v>※ID管理未記入</v>
      </c>
      <c r="L13" s="139" t="str">
        <f>IFERROR(__xludf.DUMMYFUNCTION("""COMPUTED_VALUE"""),"※")</f>
        <v>※</v>
      </c>
      <c r="M13" s="674">
        <f>IFERROR(__xludf.DUMMYFUNCTION("""COMPUTED_VALUE"""),0.0)</f>
        <v>0</v>
      </c>
      <c r="N13" s="139">
        <f>IFERROR(__xludf.DUMMYFUNCTION("""COMPUTED_VALUE"""),0.0)</f>
        <v>0</v>
      </c>
      <c r="O13" s="139"/>
      <c r="P13" s="139">
        <f>IFERROR(__xludf.DUMMYFUNCTION("""COMPUTED_VALUE"""),0.0)</f>
        <v>0</v>
      </c>
      <c r="Q13" s="675">
        <f>IFERROR(__xludf.DUMMYFUNCTION("""COMPUTED_VALUE"""),0.0)</f>
        <v>0</v>
      </c>
      <c r="R13" s="675">
        <f>IFERROR(__xludf.DUMMYFUNCTION("""COMPUTED_VALUE"""),0.0)</f>
        <v>0</v>
      </c>
      <c r="S13" s="675">
        <f>IFERROR(__xludf.DUMMYFUNCTION("""COMPUTED_VALUE"""),-2.5)</f>
        <v>-2.5</v>
      </c>
      <c r="T13" s="674">
        <f>IFERROR(__xludf.DUMMYFUNCTION("""COMPUTED_VALUE"""),225.0)</f>
        <v>225</v>
      </c>
      <c r="U13" s="675">
        <f>IFERROR(__xludf.DUMMYFUNCTION("""COMPUTED_VALUE"""),4.5)</f>
        <v>4.5</v>
      </c>
      <c r="V13" s="675">
        <f>IFERROR(__xludf.DUMMYFUNCTION("""COMPUTED_VALUE"""),0.0)</f>
        <v>0</v>
      </c>
      <c r="W13" s="675">
        <f>IFERROR(__xludf.DUMMYFUNCTION("""COMPUTED_VALUE"""),0.0)</f>
        <v>0</v>
      </c>
      <c r="X13" s="675">
        <f>IFERROR(__xludf.DUMMYFUNCTION("""COMPUTED_VALUE"""),0.0)</f>
        <v>0</v>
      </c>
      <c r="Y13" s="674">
        <f>IFERROR(__xludf.DUMMYFUNCTION("""COMPUTED_VALUE"""),100.0)</f>
        <v>100</v>
      </c>
      <c r="Z13" s="675">
        <f>IFERROR(__xludf.DUMMYFUNCTION("""COMPUTED_VALUE"""),2.0)</f>
        <v>2</v>
      </c>
      <c r="AA13" s="675">
        <f>IFERROR(__xludf.DUMMYFUNCTION("""COMPUTED_VALUE"""),0.0)</f>
        <v>0</v>
      </c>
      <c r="AB13" s="673">
        <f>IFERROR(__xludf.DUMMYFUNCTION("""COMPUTED_VALUE"""),0.0)</f>
        <v>0</v>
      </c>
      <c r="AC13" s="675">
        <f>IFERROR(__xludf.DUMMYFUNCTION("""COMPUTED_VALUE"""),0.0)</f>
        <v>0</v>
      </c>
      <c r="AD13" s="674">
        <f>IFERROR(__xludf.DUMMYFUNCTION("""COMPUTED_VALUE"""),250.0)</f>
        <v>250</v>
      </c>
      <c r="AE13" s="675">
        <f>IFERROR(__xludf.DUMMYFUNCTION("""COMPUTED_VALUE"""),5.0)</f>
        <v>5</v>
      </c>
      <c r="AF13" s="675">
        <f>IFERROR(__xludf.DUMMYFUNCTION("""COMPUTED_VALUE"""),0.0)</f>
        <v>0</v>
      </c>
      <c r="AG13" s="673">
        <f>IFERROR(__xludf.DUMMYFUNCTION("""COMPUTED_VALUE"""),0.0)</f>
        <v>0</v>
      </c>
      <c r="AH13" s="675">
        <f>IFERROR(__xludf.DUMMYFUNCTION("""COMPUTED_VALUE"""),0.0)</f>
        <v>0</v>
      </c>
      <c r="AI13" s="675">
        <f>IFERROR(__xludf.DUMMYFUNCTION("""COMPUTED_VALUE"""),5.0)</f>
        <v>5</v>
      </c>
      <c r="AJ13" s="675">
        <f>IFERROR(__xludf.DUMMYFUNCTION("""COMPUTED_VALUE"""),0.0)</f>
        <v>0</v>
      </c>
      <c r="AK13" s="139">
        <f>IFERROR(__xludf.DUMMYFUNCTION("""COMPUTED_VALUE"""),1.0)</f>
        <v>1</v>
      </c>
      <c r="AL13" s="674">
        <f>IFERROR(__xludf.DUMMYFUNCTION("""COMPUTED_VALUE"""),0.0)</f>
        <v>0</v>
      </c>
      <c r="AM13" s="688">
        <f>IFERROR(__xludf.DUMMYFUNCTION("""COMPUTED_VALUE"""),0.0)</f>
        <v>0</v>
      </c>
      <c r="AN13" s="675">
        <f>IFERROR(__xludf.DUMMYFUNCTION("""COMPUTED_VALUE"""),0.0)</f>
        <v>0</v>
      </c>
      <c r="AO13" s="675">
        <f>IFERROR(__xludf.DUMMYFUNCTION("""COMPUTED_VALUE"""),0.0)</f>
        <v>0</v>
      </c>
      <c r="AP13" s="674">
        <f>IFERROR(__xludf.DUMMYFUNCTION("""COMPUTED_VALUE"""),0.0)</f>
        <v>0</v>
      </c>
      <c r="AQ13" s="673">
        <f>IFERROR(__xludf.DUMMYFUNCTION("""COMPUTED_VALUE"""),0.0)</f>
        <v>0</v>
      </c>
      <c r="AR13" s="673">
        <f>IFERROR(__xludf.DUMMYFUNCTION("""COMPUTED_VALUE"""),0.0)</f>
        <v>0</v>
      </c>
      <c r="AS13" s="673">
        <f>IFERROR(__xludf.DUMMYFUNCTION("""COMPUTED_VALUE"""),0.0)</f>
        <v>0</v>
      </c>
      <c r="AT13" s="673">
        <f>IFERROR(__xludf.DUMMYFUNCTION("""COMPUTED_VALUE"""),0.0)</f>
        <v>0</v>
      </c>
      <c r="AU13" s="675">
        <f>IFERROR(__xludf.DUMMYFUNCTION("""COMPUTED_VALUE"""),0.0)</f>
        <v>0</v>
      </c>
      <c r="AV13" s="675">
        <f>IFERROR(__xludf.DUMMYFUNCTION("""COMPUTED_VALUE"""),0.0)</f>
        <v>0</v>
      </c>
      <c r="AW13" s="139"/>
      <c r="AX13" s="674" t="str">
        <f>IFERROR(__xludf.DUMMYFUNCTION("""COMPUTED_VALUE"""),"※通常攻撃範囲を入力！(CD列)")</f>
        <v>※通常攻撃範囲を入力！(CD列)</v>
      </c>
      <c r="AY13" s="688" t="str">
        <f>IFERROR(__xludf.DUMMYFUNCTION("""COMPUTED_VALUE"""),"#VALUE!")</f>
        <v>#VALUE!</v>
      </c>
      <c r="AZ13" s="674" t="str">
        <f>IFERROR(__xludf.DUMMYFUNCTION("""COMPUTED_VALUE"""),"#VALUE!")</f>
        <v>#VALUE!</v>
      </c>
      <c r="BA13" s="688" t="str">
        <f>IFERROR(__xludf.DUMMYFUNCTION("""COMPUTED_VALUE"""),"#VALUE!")</f>
        <v>#VALUE!</v>
      </c>
      <c r="BB13" s="688" t="str">
        <f>IFERROR(__xludf.DUMMYFUNCTION("""COMPUTED_VALUE"""),"-")</f>
        <v>-</v>
      </c>
      <c r="BC13" s="688" t="str">
        <f>IFERROR(__xludf.DUMMYFUNCTION("""COMPUTED_VALUE"""),"#VALUE!")</f>
        <v>#VALUE!</v>
      </c>
      <c r="BD13" s="688" t="str">
        <f>IFERROR(__xludf.DUMMYFUNCTION("""COMPUTED_VALUE"""),"#VALUE!")</f>
        <v>#VALUE!</v>
      </c>
      <c r="BE13" s="674" t="str">
        <f>IFERROR(__xludf.DUMMYFUNCTION("""COMPUTED_VALUE"""),"#VALUE!")</f>
        <v>#VALUE!</v>
      </c>
      <c r="BF13" s="674">
        <f>IFERROR(__xludf.DUMMYFUNCTION("""COMPUTED_VALUE"""),0.0)</f>
        <v>0</v>
      </c>
      <c r="BG13" s="673">
        <f>IFERROR(__xludf.DUMMYFUNCTION("""COMPUTED_VALUE"""),0.0)</f>
        <v>0</v>
      </c>
      <c r="BH13" s="673">
        <f>IFERROR(__xludf.DUMMYFUNCTION("""COMPUTED_VALUE"""),0.0)</f>
        <v>0</v>
      </c>
      <c r="BI13" s="673">
        <f>IFERROR(__xludf.DUMMYFUNCTION("""COMPUTED_VALUE"""),0.0)</f>
        <v>0</v>
      </c>
      <c r="BJ13" s="673">
        <f>IFERROR(__xludf.DUMMYFUNCTION("""COMPUTED_VALUE"""),0.0)</f>
        <v>0</v>
      </c>
      <c r="BK13" s="673">
        <f>IFERROR(__xludf.DUMMYFUNCTION("""COMPUTED_VALUE"""),0.0)</f>
        <v>0</v>
      </c>
      <c r="BL13" s="673">
        <f>IFERROR(__xludf.DUMMYFUNCTION("""COMPUTED_VALUE"""),0.0)</f>
        <v>0</v>
      </c>
      <c r="BM13" s="674">
        <f>IFERROR(__xludf.DUMMYFUNCTION("""COMPUTED_VALUE"""),0.0)</f>
        <v>0</v>
      </c>
      <c r="BN13" s="674">
        <f>IFERROR(__xludf.DUMMYFUNCTION("""COMPUTED_VALUE"""),0.0)</f>
        <v>0</v>
      </c>
      <c r="BO13" s="675">
        <f>IFERROR(__xludf.DUMMYFUNCTION("""COMPUTED_VALUE"""),0.0)</f>
        <v>0</v>
      </c>
      <c r="BP13" s="675">
        <f>IFERROR(__xludf.DUMMYFUNCTION("""COMPUTED_VALUE"""),0.0)</f>
        <v>0</v>
      </c>
      <c r="BQ13" s="139"/>
      <c r="BR13" s="139" t="str">
        <f>IFERROR(__xludf.DUMMYFUNCTION("""COMPUTED_VALUE"""),"該当なし")</f>
        <v>該当なし</v>
      </c>
      <c r="BS13" s="139" t="str">
        <f>IFERROR(__xludf.DUMMYFUNCTION("""COMPUTED_VALUE"""),"※移動を入力！(BV列)")</f>
        <v>※移動を入力！(BV列)</v>
      </c>
      <c r="BT13" s="139" t="str">
        <f>IFERROR(__xludf.DUMMYFUNCTION("""COMPUTED_VALUE"""),"※攻撃手段を入力(BQ列)")</f>
        <v>※攻撃手段を入力(BQ列)</v>
      </c>
      <c r="BU13" s="139">
        <f>IFERROR(__xludf.DUMMYFUNCTION("""COMPUTED_VALUE"""),0.0)</f>
        <v>0</v>
      </c>
      <c r="BV13" s="139"/>
      <c r="BW13" s="139"/>
      <c r="BX13" s="139" t="str">
        <f>IFERROR(__xludf.DUMMYFUNCTION("""COMPUTED_VALUE"""),"※特性を選択!!(BW列)")</f>
        <v>※特性を選択!!(BW列)</v>
      </c>
      <c r="BY13" s="139" t="str">
        <f>IFERROR(__xludf.DUMMYFUNCTION("""COMPUTED_VALUE"""),"-")</f>
        <v>-</v>
      </c>
      <c r="BZ13" s="139"/>
      <c r="CA13" s="139" t="str">
        <f>IFERROR(__xludf.DUMMYFUNCTION("""COMPUTED_VALUE"""),"※特性を選択!!(BW列)")</f>
        <v>※特性を選択!!(BW列)</v>
      </c>
      <c r="CB13" s="139" t="str">
        <f>IFERROR(__xludf.DUMMYFUNCTION("""COMPUTED_VALUE"""),"-")</f>
        <v>-</v>
      </c>
      <c r="CC13" s="139" t="str">
        <f>IFERROR(__xludf.DUMMYFUNCTION("""COMPUTED_VALUE"""),"※ID管理未記入")</f>
        <v>※ID管理未記入</v>
      </c>
      <c r="CD13" s="139"/>
      <c r="CE13" s="139" t="str">
        <f>IFERROR(__xludf.DUMMYFUNCTION("""COMPUTED_VALUE"""),"-")</f>
        <v>-</v>
      </c>
      <c r="CF13" s="139" t="str">
        <f>IFERROR(__xludf.DUMMYFUNCTION("""COMPUTED_VALUE"""),"#VALUE!")</f>
        <v>#VALUE!</v>
      </c>
      <c r="CG13" s="139"/>
      <c r="CH13" s="139"/>
      <c r="CI13" s="139" t="str">
        <f>IFERROR(__xludf.DUMMYFUNCTION("""COMPUTED_VALUE"""),"-")</f>
        <v>-</v>
      </c>
      <c r="CJ13" s="139" t="str">
        <f>IFERROR(__xludf.DUMMYFUNCTION("""COMPUTED_VALUE"""),"#VALUE!")</f>
        <v>#VALUE!</v>
      </c>
      <c r="CK13" s="139"/>
      <c r="CL13" s="139"/>
      <c r="CM13" s="139"/>
      <c r="CN13" s="675" t="str">
        <f>IFERROR(__xludf.DUMMYFUNCTION("""COMPUTED_VALUE"""),"-")</f>
        <v>-</v>
      </c>
      <c r="CO13" s="139" t="str">
        <f>IFERROR(__xludf.DUMMYFUNCTION("""COMPUTED_VALUE"""),"-")</f>
        <v>-</v>
      </c>
      <c r="CP13" s="139" t="str">
        <f>IFERROR(__xludf.DUMMYFUNCTION("""COMPUTED_VALUE"""),"-")</f>
        <v>-</v>
      </c>
      <c r="CQ13" s="139" t="str">
        <f>IFERROR(__xludf.DUMMYFUNCTION("""COMPUTED_VALUE"""),"-")</f>
        <v>-</v>
      </c>
      <c r="CR13" s="139"/>
      <c r="CS13" s="139"/>
      <c r="CT13" s="139"/>
      <c r="CU13" s="139"/>
      <c r="CV13" s="139"/>
      <c r="CW13" s="139"/>
      <c r="CX13" s="674" t="str">
        <f>IFERROR(__xludf.DUMMYFUNCTION("""COMPUTED_VALUE"""),"")</f>
        <v/>
      </c>
      <c r="CY13" s="675" t="str">
        <f>IFERROR(__xludf.DUMMYFUNCTION("""COMPUTED_VALUE"""),"")</f>
        <v/>
      </c>
      <c r="CZ13" s="688" t="str">
        <f>IFERROR(__xludf.DUMMYFUNCTION("""COMPUTED_VALUE"""),"-")</f>
        <v>-</v>
      </c>
      <c r="DA13" s="688">
        <f>IFERROR(__xludf.DUMMYFUNCTION("""COMPUTED_VALUE"""),0.0)</f>
        <v>0</v>
      </c>
      <c r="DB13" s="688">
        <f>IFERROR(__xludf.DUMMYFUNCTION("""COMPUTED_VALUE"""),0.0)</f>
        <v>0</v>
      </c>
      <c r="DC13" s="673" t="str">
        <f>IFERROR(__xludf.DUMMYFUNCTION("""COMPUTED_VALUE"""),"-")</f>
        <v>-</v>
      </c>
      <c r="DD13" s="673" t="str">
        <f>IFERROR(__xludf.DUMMYFUNCTION("""COMPUTED_VALUE"""),"-")</f>
        <v>-</v>
      </c>
      <c r="DE13" s="139" t="str">
        <f>IFERROR(__xludf.DUMMYFUNCTION("""COMPUTED_VALUE"""),"-")</f>
        <v>-</v>
      </c>
      <c r="DF13" s="139" t="str">
        <f>IFERROR(__xludf.DUMMYFUNCTION("""COMPUTED_VALUE"""),"-")</f>
        <v>-</v>
      </c>
      <c r="DG13" s="139" t="str">
        <f>IFERROR(__xludf.DUMMYFUNCTION("""COMPUTED_VALUE"""),"-")</f>
        <v>-</v>
      </c>
      <c r="DH13" s="139" t="str">
        <f>IFERROR(__xludf.DUMMYFUNCTION("""COMPUTED_VALUE"""),"-")</f>
        <v>-</v>
      </c>
      <c r="DI13" s="139" t="str">
        <f>IFERROR(__xludf.DUMMYFUNCTION("""COMPUTED_VALUE"""),"-")</f>
        <v>-</v>
      </c>
      <c r="DJ13" s="139" t="str">
        <f>IFERROR(__xludf.DUMMYFUNCTION("""COMPUTED_VALUE"""),"-")</f>
        <v>-</v>
      </c>
    </row>
    <row r="14">
      <c r="A14" s="139" t="str">
        <f>IFERROR(__xludf.DUMMYFUNCTION("""COMPUTED_VALUE"""),"【推しの子】")</f>
        <v>【推しの子】</v>
      </c>
      <c r="B14" s="139" t="str">
        <f>IFERROR(__xludf.DUMMYFUNCTION("""COMPUTED_VALUE"""),"(仮)有馬 かな (東京ブレイド編ver.)")</f>
        <v>(仮)有馬 かな (東京ブレイド編ver.)</v>
      </c>
      <c r="C14" s="139" t="str">
        <f>IFERROR(__xludf.DUMMYFUNCTION("""COMPUTED_VALUE"""),"chara_osh_00402")</f>
        <v>chara_osh_00402</v>
      </c>
      <c r="D14" s="139" t="str">
        <f>IFERROR(__xludf.DUMMYFUNCTION("""COMPUTED_VALUE"""),"PremiumUR")</f>
        <v>PremiumUR</v>
      </c>
      <c r="E14" s="139" t="str">
        <f>IFERROR(__xludf.DUMMYFUNCTION("""COMPUTED_VALUE"""),"青")</f>
        <v>青</v>
      </c>
      <c r="F14" s="139" t="str">
        <f>IFERROR(__xludf.DUMMYFUNCTION("""COMPUTED_VALUE"""),"アタック")</f>
        <v>アタック</v>
      </c>
      <c r="G14" s="139" t="str">
        <f>IFERROR(__xludf.DUMMYFUNCTION("""COMPUTED_VALUE"""),"※ID管理未記入")</f>
        <v>※ID管理未記入</v>
      </c>
      <c r="H14" s="139" t="str">
        <f>IFERROR(__xludf.DUMMYFUNCTION("""COMPUTED_VALUE"""),"※ID管理未記入")</f>
        <v>※ID管理未記入</v>
      </c>
      <c r="I14" s="139" t="str">
        <f>IFERROR(__xludf.DUMMYFUNCTION("""COMPUTED_VALUE"""),"※ID管理未記入")</f>
        <v>※ID管理未記入</v>
      </c>
      <c r="J14" s="139" t="str">
        <f>IFERROR(__xludf.DUMMYFUNCTION("""COMPUTED_VALUE"""),"※ID管理未記入")</f>
        <v>※ID管理未記入</v>
      </c>
      <c r="K14" s="139" t="str">
        <f>IFERROR(__xludf.DUMMYFUNCTION("""COMPUTED_VALUE"""),"※ID管理未記入")</f>
        <v>※ID管理未記入</v>
      </c>
      <c r="L14" s="139" t="str">
        <f>IFERROR(__xludf.DUMMYFUNCTION("""COMPUTED_VALUE"""),"※")</f>
        <v>※</v>
      </c>
      <c r="M14" s="674">
        <f>IFERROR(__xludf.DUMMYFUNCTION("""COMPUTED_VALUE"""),0.0)</f>
        <v>0</v>
      </c>
      <c r="N14" s="139">
        <f>IFERROR(__xludf.DUMMYFUNCTION("""COMPUTED_VALUE"""),0.0)</f>
        <v>0</v>
      </c>
      <c r="O14" s="139"/>
      <c r="P14" s="139">
        <f>IFERROR(__xludf.DUMMYFUNCTION("""COMPUTED_VALUE"""),0.0)</f>
        <v>0</v>
      </c>
      <c r="Q14" s="675">
        <f>IFERROR(__xludf.DUMMYFUNCTION("""COMPUTED_VALUE"""),0.0)</f>
        <v>0</v>
      </c>
      <c r="R14" s="675">
        <f>IFERROR(__xludf.DUMMYFUNCTION("""COMPUTED_VALUE"""),0.0)</f>
        <v>0</v>
      </c>
      <c r="S14" s="675">
        <f>IFERROR(__xludf.DUMMYFUNCTION("""COMPUTED_VALUE"""),-2.5)</f>
        <v>-2.5</v>
      </c>
      <c r="T14" s="674">
        <f>IFERROR(__xludf.DUMMYFUNCTION("""COMPUTED_VALUE"""),225.0)</f>
        <v>225</v>
      </c>
      <c r="U14" s="675">
        <f>IFERROR(__xludf.DUMMYFUNCTION("""COMPUTED_VALUE"""),4.5)</f>
        <v>4.5</v>
      </c>
      <c r="V14" s="675">
        <f>IFERROR(__xludf.DUMMYFUNCTION("""COMPUTED_VALUE"""),0.0)</f>
        <v>0</v>
      </c>
      <c r="W14" s="675">
        <f>IFERROR(__xludf.DUMMYFUNCTION("""COMPUTED_VALUE"""),0.0)</f>
        <v>0</v>
      </c>
      <c r="X14" s="675">
        <f>IFERROR(__xludf.DUMMYFUNCTION("""COMPUTED_VALUE"""),0.0)</f>
        <v>0</v>
      </c>
      <c r="Y14" s="674">
        <f>IFERROR(__xludf.DUMMYFUNCTION("""COMPUTED_VALUE"""),100.0)</f>
        <v>100</v>
      </c>
      <c r="Z14" s="675">
        <f>IFERROR(__xludf.DUMMYFUNCTION("""COMPUTED_VALUE"""),2.0)</f>
        <v>2</v>
      </c>
      <c r="AA14" s="675">
        <f>IFERROR(__xludf.DUMMYFUNCTION("""COMPUTED_VALUE"""),0.0)</f>
        <v>0</v>
      </c>
      <c r="AB14" s="673">
        <f>IFERROR(__xludf.DUMMYFUNCTION("""COMPUTED_VALUE"""),0.0)</f>
        <v>0</v>
      </c>
      <c r="AC14" s="675">
        <f>IFERROR(__xludf.DUMMYFUNCTION("""COMPUTED_VALUE"""),0.0)</f>
        <v>0</v>
      </c>
      <c r="AD14" s="674">
        <f>IFERROR(__xludf.DUMMYFUNCTION("""COMPUTED_VALUE"""),250.0)</f>
        <v>250</v>
      </c>
      <c r="AE14" s="675">
        <f>IFERROR(__xludf.DUMMYFUNCTION("""COMPUTED_VALUE"""),5.0)</f>
        <v>5</v>
      </c>
      <c r="AF14" s="675">
        <f>IFERROR(__xludf.DUMMYFUNCTION("""COMPUTED_VALUE"""),0.0)</f>
        <v>0</v>
      </c>
      <c r="AG14" s="673">
        <f>IFERROR(__xludf.DUMMYFUNCTION("""COMPUTED_VALUE"""),0.0)</f>
        <v>0</v>
      </c>
      <c r="AH14" s="675">
        <f>IFERROR(__xludf.DUMMYFUNCTION("""COMPUTED_VALUE"""),0.0)</f>
        <v>0</v>
      </c>
      <c r="AI14" s="139" t="str">
        <f>IFERROR(__xludf.DUMMYFUNCTION("""COMPUTED_VALUE"""),"-")</f>
        <v>-</v>
      </c>
      <c r="AJ14" s="675" t="str">
        <f>IFERROR(__xludf.DUMMYFUNCTION("""COMPUTED_VALUE"""),"-")</f>
        <v>-</v>
      </c>
      <c r="AK14" s="139">
        <f>IFERROR(__xludf.DUMMYFUNCTION("""COMPUTED_VALUE"""),0.0)</f>
        <v>0</v>
      </c>
      <c r="AL14" s="674">
        <f>IFERROR(__xludf.DUMMYFUNCTION("""COMPUTED_VALUE"""),0.0)</f>
        <v>0</v>
      </c>
      <c r="AM14" s="688">
        <f>IFERROR(__xludf.DUMMYFUNCTION("""COMPUTED_VALUE"""),0.0)</f>
        <v>0</v>
      </c>
      <c r="AN14" s="675">
        <f>IFERROR(__xludf.DUMMYFUNCTION("""COMPUTED_VALUE"""),0.0)</f>
        <v>0</v>
      </c>
      <c r="AO14" s="675">
        <f>IFERROR(__xludf.DUMMYFUNCTION("""COMPUTED_VALUE"""),0.0)</f>
        <v>0</v>
      </c>
      <c r="AP14" s="674">
        <f>IFERROR(__xludf.DUMMYFUNCTION("""COMPUTED_VALUE"""),0.0)</f>
        <v>0</v>
      </c>
      <c r="AQ14" s="673">
        <f>IFERROR(__xludf.DUMMYFUNCTION("""COMPUTED_VALUE"""),-0.2)</f>
        <v>-0.2</v>
      </c>
      <c r="AR14" s="673">
        <f>IFERROR(__xludf.DUMMYFUNCTION("""COMPUTED_VALUE"""),0.0)</f>
        <v>0</v>
      </c>
      <c r="AS14" s="673">
        <f>IFERROR(__xludf.DUMMYFUNCTION("""COMPUTED_VALUE"""),0.0)</f>
        <v>0</v>
      </c>
      <c r="AT14" s="673">
        <f>IFERROR(__xludf.DUMMYFUNCTION("""COMPUTED_VALUE"""),0.0)</f>
        <v>0</v>
      </c>
      <c r="AU14" s="675">
        <f>IFERROR(__xludf.DUMMYFUNCTION("""COMPUTED_VALUE"""),0.0)</f>
        <v>0</v>
      </c>
      <c r="AV14" s="675">
        <f>IFERROR(__xludf.DUMMYFUNCTION("""COMPUTED_VALUE"""),0.0)</f>
        <v>0</v>
      </c>
      <c r="AW14" s="139"/>
      <c r="AX14" s="674" t="str">
        <f>IFERROR(__xludf.DUMMYFUNCTION("""COMPUTED_VALUE"""),"※通常攻撃範囲を入力！(CD列)")</f>
        <v>※通常攻撃範囲を入力！(CD列)</v>
      </c>
      <c r="AY14" s="688" t="str">
        <f>IFERROR(__xludf.DUMMYFUNCTION("""COMPUTED_VALUE"""),"#VALUE!")</f>
        <v>#VALUE!</v>
      </c>
      <c r="AZ14" s="674" t="str">
        <f>IFERROR(__xludf.DUMMYFUNCTION("""COMPUTED_VALUE"""),"#VALUE!")</f>
        <v>#VALUE!</v>
      </c>
      <c r="BA14" s="688" t="str">
        <f>IFERROR(__xludf.DUMMYFUNCTION("""COMPUTED_VALUE"""),"#VALUE!")</f>
        <v>#VALUE!</v>
      </c>
      <c r="BB14" s="688" t="str">
        <f>IFERROR(__xludf.DUMMYFUNCTION("""COMPUTED_VALUE"""),"-")</f>
        <v>-</v>
      </c>
      <c r="BC14" s="688" t="str">
        <f>IFERROR(__xludf.DUMMYFUNCTION("""COMPUTED_VALUE"""),"#VALUE!")</f>
        <v>#VALUE!</v>
      </c>
      <c r="BD14" s="688" t="str">
        <f>IFERROR(__xludf.DUMMYFUNCTION("""COMPUTED_VALUE"""),"#VALUE!")</f>
        <v>#VALUE!</v>
      </c>
      <c r="BE14" s="674" t="str">
        <f>IFERROR(__xludf.DUMMYFUNCTION("""COMPUTED_VALUE"""),"#VALUE!")</f>
        <v>#VALUE!</v>
      </c>
      <c r="BF14" s="674">
        <f>IFERROR(__xludf.DUMMYFUNCTION("""COMPUTED_VALUE"""),0.0)</f>
        <v>0</v>
      </c>
      <c r="BG14" s="673">
        <f>IFERROR(__xludf.DUMMYFUNCTION("""COMPUTED_VALUE"""),0.0)</f>
        <v>0</v>
      </c>
      <c r="BH14" s="673">
        <f>IFERROR(__xludf.DUMMYFUNCTION("""COMPUTED_VALUE"""),0.3)</f>
        <v>0.3</v>
      </c>
      <c r="BI14" s="673">
        <f>IFERROR(__xludf.DUMMYFUNCTION("""COMPUTED_VALUE"""),0.0)</f>
        <v>0</v>
      </c>
      <c r="BJ14" s="673">
        <f>IFERROR(__xludf.DUMMYFUNCTION("""COMPUTED_VALUE"""),0.0)</f>
        <v>0</v>
      </c>
      <c r="BK14" s="673">
        <f>IFERROR(__xludf.DUMMYFUNCTION("""COMPUTED_VALUE"""),0.0)</f>
        <v>0</v>
      </c>
      <c r="BL14" s="673">
        <f>IFERROR(__xludf.DUMMYFUNCTION("""COMPUTED_VALUE"""),0.0)</f>
        <v>0</v>
      </c>
      <c r="BM14" s="674">
        <f>IFERROR(__xludf.DUMMYFUNCTION("""COMPUTED_VALUE"""),0.0)</f>
        <v>0</v>
      </c>
      <c r="BN14" s="674">
        <f>IFERROR(__xludf.DUMMYFUNCTION("""COMPUTED_VALUE"""),0.0)</f>
        <v>0</v>
      </c>
      <c r="BO14" s="675">
        <f>IFERROR(__xludf.DUMMYFUNCTION("""COMPUTED_VALUE"""),0.0)</f>
        <v>0</v>
      </c>
      <c r="BP14" s="675">
        <f>IFERROR(__xludf.DUMMYFUNCTION("""COMPUTED_VALUE"""),0.0)</f>
        <v>0</v>
      </c>
      <c r="BQ14" s="139"/>
      <c r="BR14" s="139">
        <f>IFERROR(__xludf.DUMMYFUNCTION("""COMPUTED_VALUE"""),2.0)</f>
        <v>2</v>
      </c>
      <c r="BS14" s="139" t="str">
        <f>IFERROR(__xludf.DUMMYFUNCTION("""COMPUTED_VALUE"""),"※移動を入力！(BV列)")</f>
        <v>※移動を入力！(BV列)</v>
      </c>
      <c r="BT14" s="139" t="str">
        <f>IFERROR(__xludf.DUMMYFUNCTION("""COMPUTED_VALUE"""),"※攻撃手段を入力(BQ列)")</f>
        <v>※攻撃手段を入力(BQ列)</v>
      </c>
      <c r="BU14" s="139">
        <f>IFERROR(__xludf.DUMMYFUNCTION("""COMPUTED_VALUE"""),0.0)</f>
        <v>0</v>
      </c>
      <c r="BV14" s="139"/>
      <c r="BW14" s="139"/>
      <c r="BX14" s="139" t="str">
        <f>IFERROR(__xludf.DUMMYFUNCTION("""COMPUTED_VALUE"""),"※特性を選択!!(BW列)")</f>
        <v>※特性を選択!!(BW列)</v>
      </c>
      <c r="BY14" s="139">
        <f>IFERROR(__xludf.DUMMYFUNCTION("""COMPUTED_VALUE"""),0.0)</f>
        <v>0</v>
      </c>
      <c r="BZ14" s="139"/>
      <c r="CA14" s="139" t="str">
        <f>IFERROR(__xludf.DUMMYFUNCTION("""COMPUTED_VALUE"""),"※特性を選択!!(BW列)")</f>
        <v>※特性を選択!!(BW列)</v>
      </c>
      <c r="CB14" s="139">
        <f>IFERROR(__xludf.DUMMYFUNCTION("""COMPUTED_VALUE"""),4.0)</f>
        <v>4</v>
      </c>
      <c r="CC14" s="139" t="str">
        <f>IFERROR(__xludf.DUMMYFUNCTION("""COMPUTED_VALUE"""),"※ID管理未記入")</f>
        <v>※ID管理未記入</v>
      </c>
      <c r="CD14" s="139"/>
      <c r="CE14" s="139" t="str">
        <f>IFERROR(__xludf.DUMMYFUNCTION("""COMPUTED_VALUE"""),"該当なし")</f>
        <v>該当なし</v>
      </c>
      <c r="CF14" s="139" t="str">
        <f>IFERROR(__xludf.DUMMYFUNCTION("""COMPUTED_VALUE"""),"#VALUE!")</f>
        <v>#VALUE!</v>
      </c>
      <c r="CG14" s="139"/>
      <c r="CH14" s="139"/>
      <c r="CI14" s="139" t="str">
        <f>IFERROR(__xludf.DUMMYFUNCTION("""COMPUTED_VALUE"""),"該当なし")</f>
        <v>該当なし</v>
      </c>
      <c r="CJ14" s="139" t="str">
        <f>IFERROR(__xludf.DUMMYFUNCTION("""COMPUTED_VALUE"""),"#VALUE!")</f>
        <v>#VALUE!</v>
      </c>
      <c r="CK14" s="139"/>
      <c r="CL14" s="139"/>
      <c r="CM14" s="139"/>
      <c r="CN14" s="675">
        <f>IFERROR(__xludf.DUMMYFUNCTION("""COMPUTED_VALUE"""),5.0)</f>
        <v>5</v>
      </c>
      <c r="CO14" s="139" t="str">
        <f>IFERROR(__xludf.DUMMYFUNCTION("""COMPUTED_VALUE"""),"-")</f>
        <v>-</v>
      </c>
      <c r="CP14" s="139" t="str">
        <f>IFERROR(__xludf.DUMMYFUNCTION("""COMPUTED_VALUE"""),"-")</f>
        <v>-</v>
      </c>
      <c r="CQ14" s="139" t="str">
        <f>IFERROR(__xludf.DUMMYFUNCTION("""COMPUTED_VALUE"""),"-")</f>
        <v>-</v>
      </c>
      <c r="CR14" s="139"/>
      <c r="CS14" s="139"/>
      <c r="CT14" s="139"/>
      <c r="CU14" s="139"/>
      <c r="CV14" s="139"/>
      <c r="CW14" s="139"/>
      <c r="CX14" s="674" t="str">
        <f>IFERROR(__xludf.DUMMYFUNCTION("""COMPUTED_VALUE"""),"")</f>
        <v/>
      </c>
      <c r="CY14" s="675" t="str">
        <f>IFERROR(__xludf.DUMMYFUNCTION("""COMPUTED_VALUE"""),"")</f>
        <v/>
      </c>
      <c r="CZ14" s="688" t="str">
        <f>IFERROR(__xludf.DUMMYFUNCTION("""COMPUTED_VALUE"""),"-")</f>
        <v>-</v>
      </c>
      <c r="DA14" s="688">
        <f>IFERROR(__xludf.DUMMYFUNCTION("""COMPUTED_VALUE"""),0.0)</f>
        <v>0</v>
      </c>
      <c r="DB14" s="688">
        <f>IFERROR(__xludf.DUMMYFUNCTION("""COMPUTED_VALUE"""),0.0)</f>
        <v>0</v>
      </c>
      <c r="DC14" s="673" t="str">
        <f>IFERROR(__xludf.DUMMYFUNCTION("""COMPUTED_VALUE"""),"-")</f>
        <v>-</v>
      </c>
      <c r="DD14" s="673" t="str">
        <f>IFERROR(__xludf.DUMMYFUNCTION("""COMPUTED_VALUE"""),"-")</f>
        <v>-</v>
      </c>
      <c r="DE14" s="139" t="str">
        <f>IFERROR(__xludf.DUMMYFUNCTION("""COMPUTED_VALUE"""),"-")</f>
        <v>-</v>
      </c>
      <c r="DF14" s="139" t="str">
        <f>IFERROR(__xludf.DUMMYFUNCTION("""COMPUTED_VALUE"""),"-")</f>
        <v>-</v>
      </c>
      <c r="DG14" s="139" t="str">
        <f>IFERROR(__xludf.DUMMYFUNCTION("""COMPUTED_VALUE"""),"-")</f>
        <v>-</v>
      </c>
      <c r="DH14" s="139" t="str">
        <f>IFERROR(__xludf.DUMMYFUNCTION("""COMPUTED_VALUE"""),"-")</f>
        <v>-</v>
      </c>
      <c r="DI14" s="139" t="str">
        <f>IFERROR(__xludf.DUMMYFUNCTION("""COMPUTED_VALUE"""),"-")</f>
        <v>-</v>
      </c>
      <c r="DJ14" s="139" t="str">
        <f>IFERROR(__xludf.DUMMYFUNCTION("""COMPUTED_VALUE"""),"-")</f>
        <v>-</v>
      </c>
    </row>
    <row r="15">
      <c r="A15" s="139" t="str">
        <f>IFERROR(__xludf.DUMMYFUNCTION("""COMPUTED_VALUE"""),"【推しの子】")</f>
        <v>【推しの子】</v>
      </c>
      <c r="B15" s="139" t="str">
        <f>IFERROR(__xludf.DUMMYFUNCTION("""COMPUTED_VALUE"""),"(仮)黒川 あかね (東京ブレイド編ver.)")</f>
        <v>(仮)黒川 あかね (東京ブレイド編ver.)</v>
      </c>
      <c r="C15" s="139" t="str">
        <f>IFERROR(__xludf.DUMMYFUNCTION("""COMPUTED_VALUE"""),"chara_osh_00502")</f>
        <v>chara_osh_00502</v>
      </c>
      <c r="D15" s="139" t="str">
        <f>IFERROR(__xludf.DUMMYFUNCTION("""COMPUTED_VALUE"""),"PremiumUR")</f>
        <v>PremiumUR</v>
      </c>
      <c r="E15" s="139" t="str">
        <f>IFERROR(__xludf.DUMMYFUNCTION("""COMPUTED_VALUE"""),"黄")</f>
        <v>黄</v>
      </c>
      <c r="F15" s="139" t="str">
        <f>IFERROR(__xludf.DUMMYFUNCTION("""COMPUTED_VALUE"""),"サポート")</f>
        <v>サポート</v>
      </c>
      <c r="G15" s="139" t="str">
        <f>IFERROR(__xludf.DUMMYFUNCTION("""COMPUTED_VALUE"""),"※ID管理未記入")</f>
        <v>※ID管理未記入</v>
      </c>
      <c r="H15" s="139" t="str">
        <f>IFERROR(__xludf.DUMMYFUNCTION("""COMPUTED_VALUE"""),"※ID管理未記入")</f>
        <v>※ID管理未記入</v>
      </c>
      <c r="I15" s="139" t="str">
        <f>IFERROR(__xludf.DUMMYFUNCTION("""COMPUTED_VALUE"""),"※ID管理未記入")</f>
        <v>※ID管理未記入</v>
      </c>
      <c r="J15" s="139" t="str">
        <f>IFERROR(__xludf.DUMMYFUNCTION("""COMPUTED_VALUE"""),"※ID管理未記入")</f>
        <v>※ID管理未記入</v>
      </c>
      <c r="K15" s="139" t="str">
        <f>IFERROR(__xludf.DUMMYFUNCTION("""COMPUTED_VALUE"""),"※ID管理未記入")</f>
        <v>※ID管理未記入</v>
      </c>
      <c r="L15" s="139" t="str">
        <f>IFERROR(__xludf.DUMMYFUNCTION("""COMPUTED_VALUE"""),"※")</f>
        <v>※</v>
      </c>
      <c r="M15" s="674">
        <f>IFERROR(__xludf.DUMMYFUNCTION("""COMPUTED_VALUE"""),0.0)</f>
        <v>0</v>
      </c>
      <c r="N15" s="139">
        <f>IFERROR(__xludf.DUMMYFUNCTION("""COMPUTED_VALUE"""),0.0)</f>
        <v>0</v>
      </c>
      <c r="O15" s="139"/>
      <c r="P15" s="139">
        <f>IFERROR(__xludf.DUMMYFUNCTION("""COMPUTED_VALUE"""),0.0)</f>
        <v>0</v>
      </c>
      <c r="Q15" s="675">
        <f>IFERROR(__xludf.DUMMYFUNCTION("""COMPUTED_VALUE"""),0.0)</f>
        <v>0</v>
      </c>
      <c r="R15" s="675">
        <f>IFERROR(__xludf.DUMMYFUNCTION("""COMPUTED_VALUE"""),0.0)</f>
        <v>0</v>
      </c>
      <c r="S15" s="675">
        <f>IFERROR(__xludf.DUMMYFUNCTION("""COMPUTED_VALUE"""),-2.5)</f>
        <v>-2.5</v>
      </c>
      <c r="T15" s="674">
        <f>IFERROR(__xludf.DUMMYFUNCTION("""COMPUTED_VALUE"""),225.0)</f>
        <v>225</v>
      </c>
      <c r="U15" s="675">
        <f>IFERROR(__xludf.DUMMYFUNCTION("""COMPUTED_VALUE"""),4.5)</f>
        <v>4.5</v>
      </c>
      <c r="V15" s="675">
        <f>IFERROR(__xludf.DUMMYFUNCTION("""COMPUTED_VALUE"""),0.0)</f>
        <v>0</v>
      </c>
      <c r="W15" s="675">
        <f>IFERROR(__xludf.DUMMYFUNCTION("""COMPUTED_VALUE"""),0.0)</f>
        <v>0</v>
      </c>
      <c r="X15" s="675">
        <f>IFERROR(__xludf.DUMMYFUNCTION("""COMPUTED_VALUE"""),0.0)</f>
        <v>0</v>
      </c>
      <c r="Y15" s="674">
        <f>IFERROR(__xludf.DUMMYFUNCTION("""COMPUTED_VALUE"""),100.0)</f>
        <v>100</v>
      </c>
      <c r="Z15" s="675">
        <f>IFERROR(__xludf.DUMMYFUNCTION("""COMPUTED_VALUE"""),2.0)</f>
        <v>2</v>
      </c>
      <c r="AA15" s="675">
        <f>IFERROR(__xludf.DUMMYFUNCTION("""COMPUTED_VALUE"""),0.0)</f>
        <v>0</v>
      </c>
      <c r="AB15" s="673">
        <f>IFERROR(__xludf.DUMMYFUNCTION("""COMPUTED_VALUE"""),0.0)</f>
        <v>0</v>
      </c>
      <c r="AC15" s="675">
        <f>IFERROR(__xludf.DUMMYFUNCTION("""COMPUTED_VALUE"""),0.0)</f>
        <v>0</v>
      </c>
      <c r="AD15" s="674">
        <f>IFERROR(__xludf.DUMMYFUNCTION("""COMPUTED_VALUE"""),250.0)</f>
        <v>250</v>
      </c>
      <c r="AE15" s="675">
        <f>IFERROR(__xludf.DUMMYFUNCTION("""COMPUTED_VALUE"""),5.0)</f>
        <v>5</v>
      </c>
      <c r="AF15" s="675">
        <f>IFERROR(__xludf.DUMMYFUNCTION("""COMPUTED_VALUE"""),0.0)</f>
        <v>0</v>
      </c>
      <c r="AG15" s="673">
        <f>IFERROR(__xludf.DUMMYFUNCTION("""COMPUTED_VALUE"""),0.0)</f>
        <v>0</v>
      </c>
      <c r="AH15" s="675">
        <f>IFERROR(__xludf.DUMMYFUNCTION("""COMPUTED_VALUE"""),0.0)</f>
        <v>0</v>
      </c>
      <c r="AI15" s="139" t="str">
        <f>IFERROR(__xludf.DUMMYFUNCTION("""COMPUTED_VALUE"""),"-")</f>
        <v>-</v>
      </c>
      <c r="AJ15" s="675" t="str">
        <f>IFERROR(__xludf.DUMMYFUNCTION("""COMPUTED_VALUE"""),"-")</f>
        <v>-</v>
      </c>
      <c r="AK15" s="139">
        <f>IFERROR(__xludf.DUMMYFUNCTION("""COMPUTED_VALUE"""),0.0)</f>
        <v>0</v>
      </c>
      <c r="AL15" s="674">
        <f>IFERROR(__xludf.DUMMYFUNCTION("""COMPUTED_VALUE"""),0.0)</f>
        <v>0</v>
      </c>
      <c r="AM15" s="688">
        <f>IFERROR(__xludf.DUMMYFUNCTION("""COMPUTED_VALUE"""),0.0)</f>
        <v>0</v>
      </c>
      <c r="AN15" s="675">
        <f>IFERROR(__xludf.DUMMYFUNCTION("""COMPUTED_VALUE"""),0.0)</f>
        <v>0</v>
      </c>
      <c r="AO15" s="675">
        <f>IFERROR(__xludf.DUMMYFUNCTION("""COMPUTED_VALUE"""),0.0)</f>
        <v>0</v>
      </c>
      <c r="AP15" s="674">
        <f>IFERROR(__xludf.DUMMYFUNCTION("""COMPUTED_VALUE"""),0.0)</f>
        <v>0</v>
      </c>
      <c r="AQ15" s="673">
        <f>IFERROR(__xludf.DUMMYFUNCTION("""COMPUTED_VALUE"""),-0.4)</f>
        <v>-0.4</v>
      </c>
      <c r="AR15" s="673">
        <f>IFERROR(__xludf.DUMMYFUNCTION("""COMPUTED_VALUE"""),0.0)</f>
        <v>0</v>
      </c>
      <c r="AS15" s="673">
        <f>IFERROR(__xludf.DUMMYFUNCTION("""COMPUTED_VALUE"""),0.0)</f>
        <v>0</v>
      </c>
      <c r="AT15" s="673">
        <f>IFERROR(__xludf.DUMMYFUNCTION("""COMPUTED_VALUE"""),0.0)</f>
        <v>0</v>
      </c>
      <c r="AU15" s="675">
        <f>IFERROR(__xludf.DUMMYFUNCTION("""COMPUTED_VALUE"""),0.0)</f>
        <v>0</v>
      </c>
      <c r="AV15" s="675">
        <f>IFERROR(__xludf.DUMMYFUNCTION("""COMPUTED_VALUE"""),0.0)</f>
        <v>0</v>
      </c>
      <c r="AW15" s="139"/>
      <c r="AX15" s="674" t="str">
        <f>IFERROR(__xludf.DUMMYFUNCTION("""COMPUTED_VALUE"""),"※通常攻撃範囲を入力！(CD列)")</f>
        <v>※通常攻撃範囲を入力！(CD列)</v>
      </c>
      <c r="AY15" s="688" t="str">
        <f>IFERROR(__xludf.DUMMYFUNCTION("""COMPUTED_VALUE"""),"#VALUE!")</f>
        <v>#VALUE!</v>
      </c>
      <c r="AZ15" s="674" t="str">
        <f>IFERROR(__xludf.DUMMYFUNCTION("""COMPUTED_VALUE"""),"#VALUE!")</f>
        <v>#VALUE!</v>
      </c>
      <c r="BA15" s="688" t="str">
        <f>IFERROR(__xludf.DUMMYFUNCTION("""COMPUTED_VALUE"""),"#VALUE!")</f>
        <v>#VALUE!</v>
      </c>
      <c r="BB15" s="688" t="str">
        <f>IFERROR(__xludf.DUMMYFUNCTION("""COMPUTED_VALUE"""),"-")</f>
        <v>-</v>
      </c>
      <c r="BC15" s="688" t="str">
        <f>IFERROR(__xludf.DUMMYFUNCTION("""COMPUTED_VALUE"""),"#VALUE!")</f>
        <v>#VALUE!</v>
      </c>
      <c r="BD15" s="688" t="str">
        <f>IFERROR(__xludf.DUMMYFUNCTION("""COMPUTED_VALUE"""),"#VALUE!")</f>
        <v>#VALUE!</v>
      </c>
      <c r="BE15" s="674" t="str">
        <f>IFERROR(__xludf.DUMMYFUNCTION("""COMPUTED_VALUE"""),"#VALUE!")</f>
        <v>#VALUE!</v>
      </c>
      <c r="BF15" s="674">
        <f>IFERROR(__xludf.DUMMYFUNCTION("""COMPUTED_VALUE"""),0.0)</f>
        <v>0</v>
      </c>
      <c r="BG15" s="673">
        <f>IFERROR(__xludf.DUMMYFUNCTION("""COMPUTED_VALUE"""),0.0)</f>
        <v>0</v>
      </c>
      <c r="BH15" s="673">
        <f>IFERROR(__xludf.DUMMYFUNCTION("""COMPUTED_VALUE"""),-0.3)</f>
        <v>-0.3</v>
      </c>
      <c r="BI15" s="673">
        <f>IFERROR(__xludf.DUMMYFUNCTION("""COMPUTED_VALUE"""),0.0)</f>
        <v>0</v>
      </c>
      <c r="BJ15" s="673">
        <f>IFERROR(__xludf.DUMMYFUNCTION("""COMPUTED_VALUE"""),0.0)</f>
        <v>0</v>
      </c>
      <c r="BK15" s="673">
        <f>IFERROR(__xludf.DUMMYFUNCTION("""COMPUTED_VALUE"""),0.0)</f>
        <v>0</v>
      </c>
      <c r="BL15" s="673">
        <f>IFERROR(__xludf.DUMMYFUNCTION("""COMPUTED_VALUE"""),0.0)</f>
        <v>0</v>
      </c>
      <c r="BM15" s="674">
        <f>IFERROR(__xludf.DUMMYFUNCTION("""COMPUTED_VALUE"""),0.0)</f>
        <v>0</v>
      </c>
      <c r="BN15" s="674">
        <f>IFERROR(__xludf.DUMMYFUNCTION("""COMPUTED_VALUE"""),0.0)</f>
        <v>0</v>
      </c>
      <c r="BO15" s="675">
        <f>IFERROR(__xludf.DUMMYFUNCTION("""COMPUTED_VALUE"""),0.0)</f>
        <v>0</v>
      </c>
      <c r="BP15" s="675">
        <f>IFERROR(__xludf.DUMMYFUNCTION("""COMPUTED_VALUE"""),0.0)</f>
        <v>0</v>
      </c>
      <c r="BQ15" s="139"/>
      <c r="BR15" s="139">
        <f>IFERROR(__xludf.DUMMYFUNCTION("""COMPUTED_VALUE"""),2.0)</f>
        <v>2</v>
      </c>
      <c r="BS15" s="139" t="str">
        <f>IFERROR(__xludf.DUMMYFUNCTION("""COMPUTED_VALUE"""),"※移動を入力！(BV列)")</f>
        <v>※移動を入力！(BV列)</v>
      </c>
      <c r="BT15" s="139" t="str">
        <f>IFERROR(__xludf.DUMMYFUNCTION("""COMPUTED_VALUE"""),"※攻撃手段を入力(BQ列)")</f>
        <v>※攻撃手段を入力(BQ列)</v>
      </c>
      <c r="BU15" s="139">
        <f>IFERROR(__xludf.DUMMYFUNCTION("""COMPUTED_VALUE"""),0.0)</f>
        <v>0</v>
      </c>
      <c r="BV15" s="139"/>
      <c r="BW15" s="139"/>
      <c r="BX15" s="139" t="str">
        <f>IFERROR(__xludf.DUMMYFUNCTION("""COMPUTED_VALUE"""),"※特性を選択!!(BW列)")</f>
        <v>※特性を選択!!(BW列)</v>
      </c>
      <c r="BY15" s="139">
        <f>IFERROR(__xludf.DUMMYFUNCTION("""COMPUTED_VALUE"""),0.0)</f>
        <v>0</v>
      </c>
      <c r="BZ15" s="139"/>
      <c r="CA15" s="139" t="str">
        <f>IFERROR(__xludf.DUMMYFUNCTION("""COMPUTED_VALUE"""),"※特性を選択!!(BW列)")</f>
        <v>※特性を選択!!(BW列)</v>
      </c>
      <c r="CB15" s="139">
        <f>IFERROR(__xludf.DUMMYFUNCTION("""COMPUTED_VALUE"""),4.0)</f>
        <v>4</v>
      </c>
      <c r="CC15" s="139" t="str">
        <f>IFERROR(__xludf.DUMMYFUNCTION("""COMPUTED_VALUE"""),"※ID管理未記入")</f>
        <v>※ID管理未記入</v>
      </c>
      <c r="CD15" s="139"/>
      <c r="CE15" s="139" t="str">
        <f>IFERROR(__xludf.DUMMYFUNCTION("""COMPUTED_VALUE"""),"該当なし")</f>
        <v>該当なし</v>
      </c>
      <c r="CF15" s="139" t="str">
        <f>IFERROR(__xludf.DUMMYFUNCTION("""COMPUTED_VALUE"""),"#VALUE!")</f>
        <v>#VALUE!</v>
      </c>
      <c r="CG15" s="139"/>
      <c r="CH15" s="139"/>
      <c r="CI15" s="139" t="str">
        <f>IFERROR(__xludf.DUMMYFUNCTION("""COMPUTED_VALUE"""),"該当なし")</f>
        <v>該当なし</v>
      </c>
      <c r="CJ15" s="139" t="str">
        <f>IFERROR(__xludf.DUMMYFUNCTION("""COMPUTED_VALUE"""),"#VALUE!")</f>
        <v>#VALUE!</v>
      </c>
      <c r="CK15" s="139"/>
      <c r="CL15" s="139"/>
      <c r="CM15" s="139"/>
      <c r="CN15" s="675">
        <f>IFERROR(__xludf.DUMMYFUNCTION("""COMPUTED_VALUE"""),5.0)</f>
        <v>5</v>
      </c>
      <c r="CO15" s="139" t="str">
        <f>IFERROR(__xludf.DUMMYFUNCTION("""COMPUTED_VALUE"""),"-")</f>
        <v>-</v>
      </c>
      <c r="CP15" s="139" t="str">
        <f>IFERROR(__xludf.DUMMYFUNCTION("""COMPUTED_VALUE"""),"-")</f>
        <v>-</v>
      </c>
      <c r="CQ15" s="139" t="str">
        <f>IFERROR(__xludf.DUMMYFUNCTION("""COMPUTED_VALUE"""),"-")</f>
        <v>-</v>
      </c>
      <c r="CR15" s="139"/>
      <c r="CS15" s="139"/>
      <c r="CT15" s="139"/>
      <c r="CU15" s="139"/>
      <c r="CV15" s="139"/>
      <c r="CW15" s="139"/>
      <c r="CX15" s="674" t="str">
        <f>IFERROR(__xludf.DUMMYFUNCTION("""COMPUTED_VALUE"""),"")</f>
        <v/>
      </c>
      <c r="CY15" s="675" t="str">
        <f>IFERROR(__xludf.DUMMYFUNCTION("""COMPUTED_VALUE"""),"")</f>
        <v/>
      </c>
      <c r="CZ15" s="688" t="str">
        <f>IFERROR(__xludf.DUMMYFUNCTION("""COMPUTED_VALUE"""),"-")</f>
        <v>-</v>
      </c>
      <c r="DA15" s="688">
        <f>IFERROR(__xludf.DUMMYFUNCTION("""COMPUTED_VALUE"""),0.0)</f>
        <v>0</v>
      </c>
      <c r="DB15" s="688">
        <f>IFERROR(__xludf.DUMMYFUNCTION("""COMPUTED_VALUE"""),0.0)</f>
        <v>0</v>
      </c>
      <c r="DC15" s="673" t="str">
        <f>IFERROR(__xludf.DUMMYFUNCTION("""COMPUTED_VALUE"""),"-")</f>
        <v>-</v>
      </c>
      <c r="DD15" s="673" t="str">
        <f>IFERROR(__xludf.DUMMYFUNCTION("""COMPUTED_VALUE"""),"-")</f>
        <v>-</v>
      </c>
      <c r="DE15" s="139" t="str">
        <f>IFERROR(__xludf.DUMMYFUNCTION("""COMPUTED_VALUE"""),"-")</f>
        <v>-</v>
      </c>
      <c r="DF15" s="139" t="str">
        <f>IFERROR(__xludf.DUMMYFUNCTION("""COMPUTED_VALUE"""),"-")</f>
        <v>-</v>
      </c>
      <c r="DG15" s="139" t="str">
        <f>IFERROR(__xludf.DUMMYFUNCTION("""COMPUTED_VALUE"""),"-")</f>
        <v>-</v>
      </c>
      <c r="DH15" s="139" t="str">
        <f>IFERROR(__xludf.DUMMYFUNCTION("""COMPUTED_VALUE"""),"-")</f>
        <v>-</v>
      </c>
      <c r="DI15" s="139" t="str">
        <f>IFERROR(__xludf.DUMMYFUNCTION("""COMPUTED_VALUE"""),"-")</f>
        <v>-</v>
      </c>
      <c r="DJ15" s="139" t="str">
        <f>IFERROR(__xludf.DUMMYFUNCTION("""COMPUTED_VALUE"""),"-")</f>
        <v>-</v>
      </c>
    </row>
    <row r="16">
      <c r="A16" s="139" t="str">
        <f>IFERROR(__xludf.DUMMYFUNCTION("""COMPUTED_VALUE"""),"怪獣８号")</f>
        <v>怪獣８号</v>
      </c>
      <c r="B16" s="139" t="str">
        <f>IFERROR(__xludf.DUMMYFUNCTION("""COMPUTED_VALUE"""),"隠された英雄の姿 怪獣８号")</f>
        <v>隠された英雄の姿 怪獣８号</v>
      </c>
      <c r="C16" s="139" t="str">
        <f>IFERROR(__xludf.DUMMYFUNCTION("""COMPUTED_VALUE"""),"chara_kai_00002")</f>
        <v>chara_kai_00002</v>
      </c>
      <c r="D16" s="139" t="str">
        <f>IFERROR(__xludf.DUMMYFUNCTION("""COMPUTED_VALUE"""),"PremiumUR")</f>
        <v>PremiumUR</v>
      </c>
      <c r="E16" s="139" t="str">
        <f>IFERROR(__xludf.DUMMYFUNCTION("""COMPUTED_VALUE"""),"緑")</f>
        <v>緑</v>
      </c>
      <c r="F16" s="139" t="str">
        <f>IFERROR(__xludf.DUMMYFUNCTION("""COMPUTED_VALUE"""),"アタック")</f>
        <v>アタック</v>
      </c>
      <c r="G16" s="139" t="str">
        <f>IFERROR(__xludf.DUMMYFUNCTION("""COMPUTED_VALUE"""),"近距離")</f>
        <v>近距離</v>
      </c>
      <c r="H16" s="139" t="str">
        <f>IFERROR(__xludf.DUMMYFUNCTION("""COMPUTED_VALUE"""),"dageki_1")</f>
        <v>dageki_1</v>
      </c>
      <c r="I16" s="139" t="str">
        <f>IFERROR(__xludf.DUMMYFUNCTION("""COMPUTED_VALUE"""),"dageki_2")</f>
        <v>dageki_2</v>
      </c>
      <c r="J16" s="139" t="str">
        <f>IFERROR(__xludf.DUMMYFUNCTION("""COMPUTED_VALUE"""),"202509010_リリース")</f>
        <v>202509010_リリース</v>
      </c>
      <c r="K16" s="139" t="str">
        <f>IFERROR(__xludf.DUMMYFUNCTION("""COMPUTED_VALUE"""),"リリース時")</f>
        <v>リリース時</v>
      </c>
      <c r="L16" s="139" t="str">
        <f>IFERROR(__xludf.DUMMYFUNCTION("""COMPUTED_VALUE"""),"※")</f>
        <v>※</v>
      </c>
      <c r="M16" s="674">
        <f>IFERROR(__xludf.DUMMYFUNCTION("""COMPUTED_VALUE"""),1000.0)</f>
        <v>1000</v>
      </c>
      <c r="N16" s="139">
        <f>IFERROR(__xludf.DUMMYFUNCTION("""COMPUTED_VALUE"""),1000.0)</f>
        <v>1000</v>
      </c>
      <c r="O16" s="139" t="str">
        <f>IFERROR(__xludf.DUMMYFUNCTION("""COMPUTED_VALUE"""),"高コスト")</f>
        <v>高コスト</v>
      </c>
      <c r="P16" s="139">
        <f>IFERROR(__xludf.DUMMYFUNCTION("""COMPUTED_VALUE"""),-40.0)</f>
        <v>-40</v>
      </c>
      <c r="Q16" s="675">
        <f>IFERROR(__xludf.DUMMYFUNCTION("""COMPUTED_VALUE"""),15.0)</f>
        <v>15</v>
      </c>
      <c r="R16" s="675">
        <f>IFERROR(__xludf.DUMMYFUNCTION("""COMPUTED_VALUE"""),25.0)</f>
        <v>25</v>
      </c>
      <c r="S16" s="675">
        <f>IFERROR(__xludf.DUMMYFUNCTION("""COMPUTED_VALUE"""),22.5)</f>
        <v>22.5</v>
      </c>
      <c r="T16" s="674">
        <f>IFERROR(__xludf.DUMMYFUNCTION("""COMPUTED_VALUE"""),1025.0)</f>
        <v>1025</v>
      </c>
      <c r="U16" s="675">
        <f>IFERROR(__xludf.DUMMYFUNCTION("""COMPUTED_VALUE"""),20.533333333333335)</f>
        <v>20.53333333</v>
      </c>
      <c r="V16" s="675">
        <f>IFERROR(__xludf.DUMMYFUNCTION("""COMPUTED_VALUE"""),0.0)</f>
        <v>0</v>
      </c>
      <c r="W16" s="675">
        <f>IFERROR(__xludf.DUMMYFUNCTION("""COMPUTED_VALUE"""),0.0)</f>
        <v>0</v>
      </c>
      <c r="X16" s="675">
        <f>IFERROR(__xludf.DUMMYFUNCTION("""COMPUTED_VALUE"""),0.0)</f>
        <v>0</v>
      </c>
      <c r="Y16" s="674">
        <f>IFERROR(__xludf.DUMMYFUNCTION("""COMPUTED_VALUE"""),535.0)</f>
        <v>535</v>
      </c>
      <c r="Z16" s="675">
        <f>IFERROR(__xludf.DUMMYFUNCTION("""COMPUTED_VALUE"""),10.733333333333333)</f>
        <v>10.73333333</v>
      </c>
      <c r="AA16" s="675">
        <f>IFERROR(__xludf.DUMMYFUNCTION("""COMPUTED_VALUE"""),0.0)</f>
        <v>0</v>
      </c>
      <c r="AB16" s="673">
        <f>IFERROR(__xludf.DUMMYFUNCTION("""COMPUTED_VALUE"""),0.0)</f>
        <v>0</v>
      </c>
      <c r="AC16" s="675">
        <f>IFERROR(__xludf.DUMMYFUNCTION("""COMPUTED_VALUE"""),0.0)</f>
        <v>0</v>
      </c>
      <c r="AD16" s="674">
        <f>IFERROR(__xludf.DUMMYFUNCTION("""COMPUTED_VALUE"""),880.0)</f>
        <v>880</v>
      </c>
      <c r="AE16" s="675">
        <f>IFERROR(__xludf.DUMMYFUNCTION("""COMPUTED_VALUE"""),17.642916425579983)</f>
        <v>17.64291643</v>
      </c>
      <c r="AF16" s="675">
        <f>IFERROR(__xludf.DUMMYFUNCTION("""COMPUTED_VALUE"""),0.0)</f>
        <v>0</v>
      </c>
      <c r="AG16" s="675">
        <f>IFERROR(__xludf.DUMMYFUNCTION("""COMPUTED_VALUE"""),0.8401388774085707)</f>
        <v>0.8401388774</v>
      </c>
      <c r="AH16" s="675">
        <f>IFERROR(__xludf.DUMMYFUNCTION("""COMPUTED_VALUE"""),0.0)</f>
        <v>0</v>
      </c>
      <c r="AI16" s="139">
        <f>IFERROR(__xludf.DUMMYFUNCTION("""COMPUTED_VALUE"""),4.0)</f>
        <v>4</v>
      </c>
      <c r="AJ16" s="139" t="str">
        <f>IFERROR(__xludf.DUMMYFUNCTION("""COMPUTED_VALUE"""),"-")</f>
        <v>-</v>
      </c>
      <c r="AK16" s="139">
        <f>IFERROR(__xludf.DUMMYFUNCTION("""COMPUTED_VALUE"""),1.0)</f>
        <v>1</v>
      </c>
      <c r="AL16" s="674">
        <f>IFERROR(__xludf.DUMMYFUNCTION("""COMPUTED_VALUE"""),2800.0)</f>
        <v>2800</v>
      </c>
      <c r="AM16" s="688">
        <f>IFERROR(__xludf.DUMMYFUNCTION("""COMPUTED_VALUE"""),22884.678733988643)</f>
        <v>22884.67873</v>
      </c>
      <c r="AN16" s="675">
        <f>IFERROR(__xludf.DUMMYFUNCTION("""COMPUTED_VALUE"""),18.666666666666668)</f>
        <v>18.66666667</v>
      </c>
      <c r="AO16" s="675">
        <f>IFERROR(__xludf.DUMMYFUNCTION("""COMPUTED_VALUE"""),9.333333333333334)</f>
        <v>9.333333333</v>
      </c>
      <c r="AP16" s="674">
        <f>IFERROR(__xludf.DUMMYFUNCTION("""COMPUTED_VALUE"""),4000.0)</f>
        <v>4000</v>
      </c>
      <c r="AQ16" s="673">
        <f>IFERROR(__xludf.DUMMYFUNCTION("""COMPUTED_VALUE"""),-0.2)</f>
        <v>-0.2</v>
      </c>
      <c r="AR16" s="673">
        <f>IFERROR(__xludf.DUMMYFUNCTION("""COMPUTED_VALUE"""),0.0)</f>
        <v>0</v>
      </c>
      <c r="AS16" s="673">
        <f>IFERROR(__xludf.DUMMYFUNCTION("""COMPUTED_VALUE"""),0.0)</f>
        <v>0</v>
      </c>
      <c r="AT16" s="673">
        <f>IFERROR(__xludf.DUMMYFUNCTION("""COMPUTED_VALUE"""),-0.1)</f>
        <v>-0.1</v>
      </c>
      <c r="AU16" s="673">
        <f>IFERROR(__xludf.DUMMYFUNCTION("""COMPUTED_VALUE"""),0.0)</f>
        <v>0</v>
      </c>
      <c r="AV16" s="673">
        <f>IFERROR(__xludf.DUMMYFUNCTION("""COMPUTED_VALUE"""),0.0)</f>
        <v>0</v>
      </c>
      <c r="AW16" s="139"/>
      <c r="AX16" s="674">
        <f>IFERROR(__xludf.DUMMYFUNCTION("""COMPUTED_VALUE"""),3850.0)</f>
        <v>3850</v>
      </c>
      <c r="AY16" s="688">
        <f>IFERROR(__xludf.DUMMYFUNCTION("""COMPUTED_VALUE"""),31467.078259234386)</f>
        <v>31467.07826</v>
      </c>
      <c r="AZ16" s="674">
        <f>IFERROR(__xludf.DUMMYFUNCTION("""COMPUTED_VALUE"""),3500.0)</f>
        <v>3500</v>
      </c>
      <c r="BA16" s="688">
        <f>IFERROR(__xludf.DUMMYFUNCTION("""COMPUTED_VALUE"""),28606.434781122167)</f>
        <v>28606.43478</v>
      </c>
      <c r="BB16" s="688" t="str">
        <f>IFERROR(__xludf.DUMMYFUNCTION("""COMPUTED_VALUE"""),"-")</f>
        <v>-</v>
      </c>
      <c r="BC16" s="688" t="str">
        <f>IFERROR(__xludf.DUMMYFUNCTION("""COMPUTED_VALUE"""),"#VALUE!")</f>
        <v>#VALUE!</v>
      </c>
      <c r="BD16" s="688" t="str">
        <f>IFERROR(__xludf.DUMMYFUNCTION("""COMPUTED_VALUE"""),"#VALUE!")</f>
        <v>#VALUE!</v>
      </c>
      <c r="BE16" s="674">
        <f>IFERROR(__xludf.DUMMYFUNCTION("""COMPUTED_VALUE"""),3500.0)</f>
        <v>3500</v>
      </c>
      <c r="BF16" s="674">
        <f>IFERROR(__xludf.DUMMYFUNCTION("""COMPUTED_VALUE"""),2500.0)</f>
        <v>2500</v>
      </c>
      <c r="BG16" s="673">
        <f>IFERROR(__xludf.DUMMYFUNCTION("""COMPUTED_VALUE"""),0.1)</f>
        <v>0.1</v>
      </c>
      <c r="BH16" s="673">
        <f>IFERROR(__xludf.DUMMYFUNCTION("""COMPUTED_VALUE"""),0.3)</f>
        <v>0.3</v>
      </c>
      <c r="BI16" s="673">
        <f>IFERROR(__xludf.DUMMYFUNCTION("""COMPUTED_VALUE"""),0.0)</f>
        <v>0</v>
      </c>
      <c r="BJ16" s="673">
        <f>IFERROR(__xludf.DUMMYFUNCTION("""COMPUTED_VALUE"""),0.0)</f>
        <v>0</v>
      </c>
      <c r="BK16" s="673">
        <f>IFERROR(__xludf.DUMMYFUNCTION("""COMPUTED_VALUE"""),0.0)</f>
        <v>0</v>
      </c>
      <c r="BL16" s="673">
        <f>IFERROR(__xludf.DUMMYFUNCTION("""COMPUTED_VALUE"""),0.0)</f>
        <v>0</v>
      </c>
      <c r="BM16" s="674">
        <f>IFERROR(__xludf.DUMMYFUNCTION("""COMPUTED_VALUE"""),55.0)</f>
        <v>55</v>
      </c>
      <c r="BN16" s="674">
        <f>IFERROR(__xludf.DUMMYFUNCTION("""COMPUTED_VALUE"""),50.0)</f>
        <v>50</v>
      </c>
      <c r="BO16" s="675">
        <f>IFERROR(__xludf.DUMMYFUNCTION("""COMPUTED_VALUE"""),5.0)</f>
        <v>5</v>
      </c>
      <c r="BP16" s="675">
        <f>IFERROR(__xludf.DUMMYFUNCTION("""COMPUTED_VALUE"""),1.1)</f>
        <v>1.1</v>
      </c>
      <c r="BQ16" s="675" t="str">
        <f>IFERROR(__xludf.DUMMYFUNCTION("""COMPUTED_VALUE"""),"※")</f>
        <v>※</v>
      </c>
      <c r="BR16" s="139">
        <f>IFERROR(__xludf.DUMMYFUNCTION("""COMPUTED_VALUE"""),2.0)</f>
        <v>2</v>
      </c>
      <c r="BS16" s="139">
        <f>IFERROR(__xludf.DUMMYFUNCTION("""COMPUTED_VALUE"""),50.0)</f>
        <v>50</v>
      </c>
      <c r="BT16" s="139">
        <f>IFERROR(__xludf.DUMMYFUNCTION("""COMPUTED_VALUE"""),0.24)</f>
        <v>0.24</v>
      </c>
      <c r="BU16" s="139">
        <f>IFERROR(__xludf.DUMMYFUNCTION("""COMPUTED_VALUE"""),0.0)</f>
        <v>0</v>
      </c>
      <c r="BV16" s="139" t="str">
        <f>IFERROR(__xludf.DUMMYFUNCTION("""COMPUTED_VALUE"""),"普通-速")</f>
        <v>普通-速</v>
      </c>
      <c r="BW16" s="139" t="str">
        <f>IFERROR(__xludf.DUMMYFUNCTION("""COMPUTED_VALUE"""),"スタン攻撃無効化")</f>
        <v>スタン攻撃無効化</v>
      </c>
      <c r="BX16" s="139">
        <f>IFERROR(__xludf.DUMMYFUNCTION("""COMPUTED_VALUE"""),50.0)</f>
        <v>50</v>
      </c>
      <c r="BY16" s="139">
        <f>IFERROR(__xludf.DUMMYFUNCTION("""COMPUTED_VALUE"""),0.0)</f>
        <v>0</v>
      </c>
      <c r="BZ16" s="139" t="str">
        <f>IFERROR(__xludf.DUMMYFUNCTION("""COMPUTED_VALUE"""),"攻撃UPコマ効果UP")</f>
        <v>攻撃UPコマ効果UP</v>
      </c>
      <c r="CA16" s="139">
        <f>IFERROR(__xludf.DUMMYFUNCTION("""COMPUTED_VALUE"""),25.0)</f>
        <v>25</v>
      </c>
      <c r="CB16" s="139">
        <f>IFERROR(__xludf.DUMMYFUNCTION("""COMPUTED_VALUE"""),4.0)</f>
        <v>4</v>
      </c>
      <c r="CC16" s="139" t="str">
        <f>IFERROR(__xludf.DUMMYFUNCTION("""COMPUTED_VALUE"""),"近距離")</f>
        <v>近距離</v>
      </c>
      <c r="CD16" s="139" t="str">
        <f>IFERROR(__xludf.DUMMYFUNCTION("""COMPUTED_VALUE"""),"単体")</f>
        <v>単体</v>
      </c>
      <c r="CE16" s="139">
        <f>IFERROR(__xludf.DUMMYFUNCTION("""COMPUTED_VALUE"""),1.0)</f>
        <v>1</v>
      </c>
      <c r="CF16" s="139">
        <f>IFERROR(__xludf.DUMMYFUNCTION("""COMPUTED_VALUE"""),0.25)</f>
        <v>0.25</v>
      </c>
      <c r="CG16" s="139" t="str">
        <f>IFERROR(__xludf.DUMMYFUNCTION("""COMPUTED_VALUE"""),"近距離")</f>
        <v>近距離</v>
      </c>
      <c r="CH16" s="139" t="str">
        <f>IFERROR(__xludf.DUMMYFUNCTION("""COMPUTED_VALUE"""),"範囲(小)")</f>
        <v>範囲(小)</v>
      </c>
      <c r="CI16" s="139">
        <f>IFERROR(__xludf.DUMMYFUNCTION("""COMPUTED_VALUE"""),0.75)</f>
        <v>0.75</v>
      </c>
      <c r="CJ16" s="139">
        <f>IFERROR(__xludf.DUMMYFUNCTION("""COMPUTED_VALUE"""),0.35)</f>
        <v>0.35</v>
      </c>
      <c r="CK16" s="139" t="str">
        <f>IFERROR(__xludf.DUMMYFUNCTION("""COMPUTED_VALUE"""),"敵")</f>
        <v>敵</v>
      </c>
      <c r="CL16" s="139" t="str">
        <f>IFERROR(__xludf.DUMMYFUNCTION("""COMPUTED_VALUE"""),"All")</f>
        <v>All</v>
      </c>
      <c r="CM16" s="139" t="str">
        <f>IFERROR(__xludf.DUMMYFUNCTION("""COMPUTED_VALUE"""),"All")</f>
        <v>All</v>
      </c>
      <c r="CN16" s="675">
        <f>IFERROR(__xludf.DUMMYFUNCTION("""COMPUTED_VALUE"""),17.642916425579983)</f>
        <v>17.64291643</v>
      </c>
      <c r="CO16" s="139" t="str">
        <f>IFERROR(__xludf.DUMMYFUNCTION("""COMPUTED_VALUE"""),"-")</f>
        <v>-</v>
      </c>
      <c r="CP16" s="139" t="str">
        <f>IFERROR(__xludf.DUMMYFUNCTION("""COMPUTED_VALUE"""),"-")</f>
        <v>-</v>
      </c>
      <c r="CQ16" s="139" t="str">
        <f>IFERROR(__xludf.DUMMYFUNCTION("""COMPUTED_VALUE"""),"-")</f>
        <v>-</v>
      </c>
      <c r="CR16" s="139" t="str">
        <f>IFERROR(__xludf.DUMMYFUNCTION("""COMPUTED_VALUE"""),"-")</f>
        <v>-</v>
      </c>
      <c r="CS16" s="673" t="str">
        <f>IFERROR(__xludf.DUMMYFUNCTION("""COMPUTED_VALUE"""),"連続攻撃")</f>
        <v>連続攻撃</v>
      </c>
      <c r="CT16" s="139" t="str">
        <f>IFERROR(__xludf.DUMMYFUNCTION("""COMPUTED_VALUE"""),"-")</f>
        <v>-</v>
      </c>
      <c r="CU16" s="139" t="str">
        <f>IFERROR(__xludf.DUMMYFUNCTION("""COMPUTED_VALUE"""),"敵")</f>
        <v>敵</v>
      </c>
      <c r="CV16" s="139" t="str">
        <f>IFERROR(__xludf.DUMMYFUNCTION("""COMPUTED_VALUE"""),"All")</f>
        <v>All</v>
      </c>
      <c r="CW16" s="139" t="str">
        <f>IFERROR(__xludf.DUMMYFUNCTION("""COMPUTED_VALUE"""),"All")</f>
        <v>All</v>
      </c>
      <c r="CX16" s="674">
        <f>IFERROR(__xludf.DUMMYFUNCTION("""COMPUTED_VALUE"""),169.0)</f>
        <v>169</v>
      </c>
      <c r="CY16" s="139" t="str">
        <f>IFERROR(__xludf.DUMMYFUNCTION("""COMPUTED_VALUE"""),"-")</f>
        <v>-</v>
      </c>
      <c r="CZ16" s="688">
        <f>IFERROR(__xludf.DUMMYFUNCTION("""COMPUTED_VALUE"""),53179.0)</f>
        <v>53179</v>
      </c>
      <c r="DA16" s="688">
        <f>IFERROR(__xludf.DUMMYFUNCTION("""COMPUTED_VALUE"""),3137.0417290432474)</f>
        <v>3137.041729</v>
      </c>
      <c r="DB16" s="688">
        <f>IFERROR(__xludf.DUMMYFUNCTION("""COMPUTED_VALUE"""),15685.208645216237)</f>
        <v>15685.20865</v>
      </c>
      <c r="DC16" s="673" t="str">
        <f>IFERROR(__xludf.DUMMYFUNCTION("""COMPUTED_VALUE"""),"ノックバック")</f>
        <v>ノックバック</v>
      </c>
      <c r="DD16" s="673">
        <f>IFERROR(__xludf.DUMMYFUNCTION("""COMPUTED_VALUE"""),3.0)</f>
        <v>3</v>
      </c>
      <c r="DE16" s="139" t="str">
        <f>IFERROR(__xludf.DUMMYFUNCTION("""COMPUTED_VALUE"""),"-")</f>
        <v>-</v>
      </c>
      <c r="DF16" s="139" t="str">
        <f>IFERROR(__xludf.DUMMYFUNCTION("""COMPUTED_VALUE"""),"-")</f>
        <v>-</v>
      </c>
      <c r="DG16" s="139" t="str">
        <f>IFERROR(__xludf.DUMMYFUNCTION("""COMPUTED_VALUE"""),"-")</f>
        <v>-</v>
      </c>
      <c r="DH16" s="139" t="str">
        <f>IFERROR(__xludf.DUMMYFUNCTION("""COMPUTED_VALUE"""),"-")</f>
        <v>-</v>
      </c>
      <c r="DI16" s="139" t="str">
        <f>IFERROR(__xludf.DUMMYFUNCTION("""COMPUTED_VALUE"""),"-")</f>
        <v>-</v>
      </c>
      <c r="DJ16" s="139" t="str">
        <f>IFERROR(__xludf.DUMMYFUNCTION("""COMPUTED_VALUE"""),"-")</f>
        <v>-</v>
      </c>
    </row>
    <row r="17">
      <c r="A17" s="139" t="str">
        <f>IFERROR(__xludf.DUMMYFUNCTION("""COMPUTED_VALUE"""),"ダンダダン")</f>
        <v>ダンダダン</v>
      </c>
      <c r="B17" s="139" t="str">
        <f>IFERROR(__xludf.DUMMYFUNCTION("""COMPUTED_VALUE"""),"ターボババアの霊力 オカルン")</f>
        <v>ターボババアの霊力 オカルン</v>
      </c>
      <c r="C17" s="139" t="str">
        <f>IFERROR(__xludf.DUMMYFUNCTION("""COMPUTED_VALUE"""),"chara_dan_00002")</f>
        <v>chara_dan_00002</v>
      </c>
      <c r="D17" s="139" t="str">
        <f>IFERROR(__xludf.DUMMYFUNCTION("""COMPUTED_VALUE"""),"PremiumUR")</f>
        <v>PremiumUR</v>
      </c>
      <c r="E17" s="139" t="str">
        <f>IFERROR(__xludf.DUMMYFUNCTION("""COMPUTED_VALUE"""),"青")</f>
        <v>青</v>
      </c>
      <c r="F17" s="139" t="str">
        <f>IFERROR(__xludf.DUMMYFUNCTION("""COMPUTED_VALUE"""),"アタック")</f>
        <v>アタック</v>
      </c>
      <c r="G17" s="139" t="str">
        <f>IFERROR(__xludf.DUMMYFUNCTION("""COMPUTED_VALUE"""),"中距離")</f>
        <v>中距離</v>
      </c>
      <c r="H17" s="139" t="str">
        <f>IFERROR(__xludf.DUMMYFUNCTION("""COMPUTED_VALUE"""),"dageki_1")</f>
        <v>dageki_1</v>
      </c>
      <c r="I17" s="139" t="str">
        <f>IFERROR(__xludf.DUMMYFUNCTION("""COMPUTED_VALUE"""),"dageki_1")</f>
        <v>dageki_1</v>
      </c>
      <c r="J17" s="139" t="str">
        <f>IFERROR(__xludf.DUMMYFUNCTION("""COMPUTED_VALUE"""),"202509010_リリース")</f>
        <v>202509010_リリース</v>
      </c>
      <c r="K17" s="139" t="str">
        <f>IFERROR(__xludf.DUMMYFUNCTION("""COMPUTED_VALUE"""),"リリース時")</f>
        <v>リリース時</v>
      </c>
      <c r="L17" s="139" t="str">
        <f>IFERROR(__xludf.DUMMYFUNCTION("""COMPUTED_VALUE"""),"※")</f>
        <v>※</v>
      </c>
      <c r="M17" s="674">
        <f>IFERROR(__xludf.DUMMYFUNCTION("""COMPUTED_VALUE"""),985.0)</f>
        <v>985</v>
      </c>
      <c r="N17" s="139">
        <f>IFERROR(__xludf.DUMMYFUNCTION("""COMPUTED_VALUE"""),1000.0)</f>
        <v>1000</v>
      </c>
      <c r="O17" s="139" t="str">
        <f>IFERROR(__xludf.DUMMYFUNCTION("""COMPUTED_VALUE"""),"高コスト")</f>
        <v>高コスト</v>
      </c>
      <c r="P17" s="139">
        <f>IFERROR(__xludf.DUMMYFUNCTION("""COMPUTED_VALUE"""),-50.0)</f>
        <v>-50</v>
      </c>
      <c r="Q17" s="675">
        <f>IFERROR(__xludf.DUMMYFUNCTION("""COMPUTED_VALUE"""),5.0)</f>
        <v>5</v>
      </c>
      <c r="R17" s="675">
        <f>IFERROR(__xludf.DUMMYFUNCTION("""COMPUTED_VALUE"""),30.0)</f>
        <v>30</v>
      </c>
      <c r="S17" s="675">
        <f>IFERROR(__xludf.DUMMYFUNCTION("""COMPUTED_VALUE"""),22.125)</f>
        <v>22.125</v>
      </c>
      <c r="T17" s="674">
        <f>IFERROR(__xludf.DUMMYFUNCTION("""COMPUTED_VALUE"""),1010.0)</f>
        <v>1010</v>
      </c>
      <c r="U17" s="675">
        <f>IFERROR(__xludf.DUMMYFUNCTION("""COMPUTED_VALUE"""),20.24)</f>
        <v>20.24</v>
      </c>
      <c r="V17" s="675">
        <f>IFERROR(__xludf.DUMMYFUNCTION("""COMPUTED_VALUE"""),0.0)</f>
        <v>0</v>
      </c>
      <c r="W17" s="675">
        <f>IFERROR(__xludf.DUMMYFUNCTION("""COMPUTED_VALUE"""),0.0)</f>
        <v>0</v>
      </c>
      <c r="X17" s="675">
        <f>IFERROR(__xludf.DUMMYFUNCTION("""COMPUTED_VALUE"""),0.0)</f>
        <v>0</v>
      </c>
      <c r="Y17" s="674">
        <f>IFERROR(__xludf.DUMMYFUNCTION("""COMPUTED_VALUE"""),530.0)</f>
        <v>530</v>
      </c>
      <c r="Z17" s="675">
        <f>IFERROR(__xludf.DUMMYFUNCTION("""COMPUTED_VALUE"""),10.579999999999998)</f>
        <v>10.58</v>
      </c>
      <c r="AA17" s="675">
        <f>IFERROR(__xludf.DUMMYFUNCTION("""COMPUTED_VALUE"""),0.0)</f>
        <v>0</v>
      </c>
      <c r="AB17" s="673">
        <f>IFERROR(__xludf.DUMMYFUNCTION("""COMPUTED_VALUE"""),0.0)</f>
        <v>0</v>
      </c>
      <c r="AC17" s="675">
        <f>IFERROR(__xludf.DUMMYFUNCTION("""COMPUTED_VALUE"""),0.0)</f>
        <v>0</v>
      </c>
      <c r="AD17" s="674">
        <f>IFERROR(__xludf.DUMMYFUNCTION("""COMPUTED_VALUE"""),1045.0)</f>
        <v>1045</v>
      </c>
      <c r="AE17" s="675">
        <f>IFERROR(__xludf.DUMMYFUNCTION("""COMPUTED_VALUE"""),20.852907471141762)</f>
        <v>20.85290747</v>
      </c>
      <c r="AF17" s="675">
        <f>IFERROR(__xludf.DUMMYFUNCTION("""COMPUTED_VALUE"""),0.0)</f>
        <v>0</v>
      </c>
      <c r="AG17" s="675">
        <f>IFERROR(__xludf.DUMMYFUNCTION("""COMPUTED_VALUE"""),4.170581494228353)</f>
        <v>4.170581494</v>
      </c>
      <c r="AH17" s="675">
        <f>IFERROR(__xludf.DUMMYFUNCTION("""COMPUTED_VALUE"""),0.0)</f>
        <v>0</v>
      </c>
      <c r="AI17" s="139">
        <f>IFERROR(__xludf.DUMMYFUNCTION("""COMPUTED_VALUE"""),4.0)</f>
        <v>4</v>
      </c>
      <c r="AJ17" s="139" t="str">
        <f>IFERROR(__xludf.DUMMYFUNCTION("""COMPUTED_VALUE"""),"-")</f>
        <v>-</v>
      </c>
      <c r="AK17" s="139">
        <f>IFERROR(__xludf.DUMMYFUNCTION("""COMPUTED_VALUE"""),1.0)</f>
        <v>1</v>
      </c>
      <c r="AL17" s="674">
        <f>IFERROR(__xludf.DUMMYFUNCTION("""COMPUTED_VALUE"""),2760.0)</f>
        <v>2760</v>
      </c>
      <c r="AM17" s="688">
        <f>IFERROR(__xludf.DUMMYFUNCTION("""COMPUTED_VALUE"""),22556.837609217375)</f>
        <v>22556.83761</v>
      </c>
      <c r="AN17" s="675">
        <f>IFERROR(__xludf.DUMMYFUNCTION("""COMPUTED_VALUE"""),18.4)</f>
        <v>18.4</v>
      </c>
      <c r="AO17" s="675">
        <f>IFERROR(__xludf.DUMMYFUNCTION("""COMPUTED_VALUE"""),9.2)</f>
        <v>9.2</v>
      </c>
      <c r="AP17" s="674">
        <f>IFERROR(__xludf.DUMMYFUNCTION("""COMPUTED_VALUE"""),3940.0)</f>
        <v>3940</v>
      </c>
      <c r="AQ17" s="673">
        <f>IFERROR(__xludf.DUMMYFUNCTION("""COMPUTED_VALUE"""),-0.2)</f>
        <v>-0.2</v>
      </c>
      <c r="AR17" s="673">
        <f>IFERROR(__xludf.DUMMYFUNCTION("""COMPUTED_VALUE"""),0.0)</f>
        <v>0</v>
      </c>
      <c r="AS17" s="673">
        <f>IFERROR(__xludf.DUMMYFUNCTION("""COMPUTED_VALUE"""),-0.1)</f>
        <v>-0.1</v>
      </c>
      <c r="AT17" s="673">
        <f>IFERROR(__xludf.DUMMYFUNCTION("""COMPUTED_VALUE"""),0.0)</f>
        <v>0</v>
      </c>
      <c r="AU17" s="673">
        <f>IFERROR(__xludf.DUMMYFUNCTION("""COMPUTED_VALUE"""),0.0)</f>
        <v>0</v>
      </c>
      <c r="AV17" s="673">
        <f>IFERROR(__xludf.DUMMYFUNCTION("""COMPUTED_VALUE"""),0.0)</f>
        <v>0</v>
      </c>
      <c r="AW17" s="139"/>
      <c r="AX17" s="674">
        <f>IFERROR(__xludf.DUMMYFUNCTION("""COMPUTED_VALUE"""),4800.0)</f>
        <v>4800</v>
      </c>
      <c r="AY17" s="688">
        <f>IFERROR(__xludf.DUMMYFUNCTION("""COMPUTED_VALUE"""),39231.61497255196)</f>
        <v>39231.61497</v>
      </c>
      <c r="AZ17" s="674">
        <f>IFERROR(__xludf.DUMMYFUNCTION("""COMPUTED_VALUE"""),3200.0)</f>
        <v>3200</v>
      </c>
      <c r="BA17" s="688">
        <f>IFERROR(__xludf.DUMMYFUNCTION("""COMPUTED_VALUE"""),26154.409981701305)</f>
        <v>26154.40998</v>
      </c>
      <c r="BB17" s="688" t="str">
        <f>IFERROR(__xludf.DUMMYFUNCTION("""COMPUTED_VALUE"""),"-")</f>
        <v>-</v>
      </c>
      <c r="BC17" s="688" t="str">
        <f>IFERROR(__xludf.DUMMYFUNCTION("""COMPUTED_VALUE"""),"#VALUE!")</f>
        <v>#VALUE!</v>
      </c>
      <c r="BD17" s="688" t="str">
        <f>IFERROR(__xludf.DUMMYFUNCTION("""COMPUTED_VALUE"""),"#VALUE!")</f>
        <v>#VALUE!</v>
      </c>
      <c r="BE17" s="674">
        <f>IFERROR(__xludf.DUMMYFUNCTION("""COMPUTED_VALUE"""),3200.0)</f>
        <v>3200</v>
      </c>
      <c r="BF17" s="674">
        <f>IFERROR(__xludf.DUMMYFUNCTION("""COMPUTED_VALUE"""),2462.5)</f>
        <v>2462.5</v>
      </c>
      <c r="BG17" s="673">
        <f>IFERROR(__xludf.DUMMYFUNCTION("""COMPUTED_VALUE"""),0.0)</f>
        <v>0</v>
      </c>
      <c r="BH17" s="673">
        <f>IFERROR(__xludf.DUMMYFUNCTION("""COMPUTED_VALUE"""),0.3)</f>
        <v>0.3</v>
      </c>
      <c r="BI17" s="673">
        <f>IFERROR(__xludf.DUMMYFUNCTION("""COMPUTED_VALUE"""),0.0)</f>
        <v>0</v>
      </c>
      <c r="BJ17" s="673">
        <f>IFERROR(__xludf.DUMMYFUNCTION("""COMPUTED_VALUE"""),0.0)</f>
        <v>0</v>
      </c>
      <c r="BK17" s="673">
        <f>IFERROR(__xludf.DUMMYFUNCTION("""COMPUTED_VALUE"""),0.0)</f>
        <v>0</v>
      </c>
      <c r="BL17" s="673">
        <f>IFERROR(__xludf.DUMMYFUNCTION("""COMPUTED_VALUE"""),0.0)</f>
        <v>0</v>
      </c>
      <c r="BM17" s="674">
        <f>IFERROR(__xludf.DUMMYFUNCTION("""COMPUTED_VALUE"""),75.0)</f>
        <v>75</v>
      </c>
      <c r="BN17" s="674">
        <f>IFERROR(__xludf.DUMMYFUNCTION("""COMPUTED_VALUE"""),75.0)</f>
        <v>75</v>
      </c>
      <c r="BO17" s="675">
        <f>IFERROR(__xludf.DUMMYFUNCTION("""COMPUTED_VALUE"""),0.0)</f>
        <v>0</v>
      </c>
      <c r="BP17" s="675">
        <f>IFERROR(__xludf.DUMMYFUNCTION("""COMPUTED_VALUE"""),1.5)</f>
        <v>1.5</v>
      </c>
      <c r="BQ17" s="675" t="str">
        <f>IFERROR(__xludf.DUMMYFUNCTION("""COMPUTED_VALUE"""),"※")</f>
        <v>※</v>
      </c>
      <c r="BR17" s="139">
        <f>IFERROR(__xludf.DUMMYFUNCTION("""COMPUTED_VALUE"""),2.0)</f>
        <v>2</v>
      </c>
      <c r="BS17" s="139">
        <f>IFERROR(__xludf.DUMMYFUNCTION("""COMPUTED_VALUE"""),75.0)</f>
        <v>75</v>
      </c>
      <c r="BT17" s="139">
        <f>IFERROR(__xludf.DUMMYFUNCTION("""COMPUTED_VALUE"""),0.33999999999999997)</f>
        <v>0.34</v>
      </c>
      <c r="BU17" s="139">
        <f>IFERROR(__xludf.DUMMYFUNCTION("""COMPUTED_VALUE"""),0.0)</f>
        <v>0</v>
      </c>
      <c r="BV17" s="139" t="str">
        <f>IFERROR(__xludf.DUMMYFUNCTION("""COMPUTED_VALUE"""),"速-速")</f>
        <v>速-速</v>
      </c>
      <c r="BW17" s="139" t="str">
        <f>IFERROR(__xludf.DUMMYFUNCTION("""COMPUTED_VALUE"""),"ノックバック無効化")</f>
        <v>ノックバック無効化</v>
      </c>
      <c r="BX17" s="139" t="str">
        <f>IFERROR(__xludf.DUMMYFUNCTION("""COMPUTED_VALUE"""),"-")</f>
        <v>-</v>
      </c>
      <c r="BY17" s="139">
        <f>IFERROR(__xludf.DUMMYFUNCTION("""COMPUTED_VALUE"""),0.0)</f>
        <v>0</v>
      </c>
      <c r="BZ17" s="139" t="str">
        <f>IFERROR(__xludf.DUMMYFUNCTION("""COMPUTED_VALUE"""),"突風コマ無効化")</f>
        <v>突風コマ無効化</v>
      </c>
      <c r="CA17" s="139" t="str">
        <f>IFERROR(__xludf.DUMMYFUNCTION("""COMPUTED_VALUE"""),"-")</f>
        <v>-</v>
      </c>
      <c r="CB17" s="139">
        <f>IFERROR(__xludf.DUMMYFUNCTION("""COMPUTED_VALUE"""),4.0)</f>
        <v>4</v>
      </c>
      <c r="CC17" s="139" t="str">
        <f>IFERROR(__xludf.DUMMYFUNCTION("""COMPUTED_VALUE"""),"中距離")</f>
        <v>中距離</v>
      </c>
      <c r="CD17" s="139" t="str">
        <f>IFERROR(__xludf.DUMMYFUNCTION("""COMPUTED_VALUE"""),"単体")</f>
        <v>単体</v>
      </c>
      <c r="CE17" s="139">
        <f>IFERROR(__xludf.DUMMYFUNCTION("""COMPUTED_VALUE"""),1.0)</f>
        <v>1</v>
      </c>
      <c r="CF17" s="139">
        <f>IFERROR(__xludf.DUMMYFUNCTION("""COMPUTED_VALUE"""),0.35)</f>
        <v>0.35</v>
      </c>
      <c r="CG17" s="139" t="str">
        <f>IFERROR(__xludf.DUMMYFUNCTION("""COMPUTED_VALUE"""),"中距離")</f>
        <v>中距離</v>
      </c>
      <c r="CH17" s="139" t="str">
        <f>IFERROR(__xludf.DUMMYFUNCTION("""COMPUTED_VALUE"""),"範囲(中)")</f>
        <v>範囲(中)</v>
      </c>
      <c r="CI17" s="139">
        <f>IFERROR(__xludf.DUMMYFUNCTION("""COMPUTED_VALUE"""),0.65)</f>
        <v>0.65</v>
      </c>
      <c r="CJ17" s="139">
        <f>IFERROR(__xludf.DUMMYFUNCTION("""COMPUTED_VALUE"""),0.5499999999999999)</f>
        <v>0.55</v>
      </c>
      <c r="CK17" s="139" t="str">
        <f>IFERROR(__xludf.DUMMYFUNCTION("""COMPUTED_VALUE"""),"敵")</f>
        <v>敵</v>
      </c>
      <c r="CL17" s="139" t="str">
        <f>IFERROR(__xludf.DUMMYFUNCTION("""COMPUTED_VALUE"""),"All")</f>
        <v>All</v>
      </c>
      <c r="CM17" s="139" t="str">
        <f>IFERROR(__xludf.DUMMYFUNCTION("""COMPUTED_VALUE"""),"All")</f>
        <v>All</v>
      </c>
      <c r="CN17" s="675">
        <f>IFERROR(__xludf.DUMMYFUNCTION("""COMPUTED_VALUE"""),20.852907471141762)</f>
        <v>20.85290747</v>
      </c>
      <c r="CO17" s="139" t="str">
        <f>IFERROR(__xludf.DUMMYFUNCTION("""COMPUTED_VALUE"""),"-")</f>
        <v>-</v>
      </c>
      <c r="CP17" s="139" t="str">
        <f>IFERROR(__xludf.DUMMYFUNCTION("""COMPUTED_VALUE"""),"-")</f>
        <v>-</v>
      </c>
      <c r="CQ17" s="139" t="str">
        <f>IFERROR(__xludf.DUMMYFUNCTION("""COMPUTED_VALUE"""),"-")</f>
        <v>-</v>
      </c>
      <c r="CR17" s="139" t="str">
        <f>IFERROR(__xludf.DUMMYFUNCTION("""COMPUTED_VALUE"""),"-")</f>
        <v>-</v>
      </c>
      <c r="CS17" s="673" t="str">
        <f>IFERROR(__xludf.DUMMYFUNCTION("""COMPUTED_VALUE"""),"連続攻撃")</f>
        <v>連続攻撃</v>
      </c>
      <c r="CT17" s="139" t="str">
        <f>IFERROR(__xludf.DUMMYFUNCTION("""COMPUTED_VALUE"""),"-")</f>
        <v>-</v>
      </c>
      <c r="CU17" s="139" t="str">
        <f>IFERROR(__xludf.DUMMYFUNCTION("""COMPUTED_VALUE"""),"敵")</f>
        <v>敵</v>
      </c>
      <c r="CV17" s="139" t="str">
        <f>IFERROR(__xludf.DUMMYFUNCTION("""COMPUTED_VALUE"""),"All")</f>
        <v>All</v>
      </c>
      <c r="CW17" s="139" t="str">
        <f>IFERROR(__xludf.DUMMYFUNCTION("""COMPUTED_VALUE"""),"All")</f>
        <v>All</v>
      </c>
      <c r="CX17" s="674">
        <f>IFERROR(__xludf.DUMMYFUNCTION("""COMPUTED_VALUE"""),146.0)</f>
        <v>146</v>
      </c>
      <c r="CY17" s="139" t="str">
        <f>IFERROR(__xludf.DUMMYFUNCTION("""COMPUTED_VALUE"""),"-")</f>
        <v>-</v>
      </c>
      <c r="CZ17" s="688">
        <f>IFERROR(__xludf.DUMMYFUNCTION("""COMPUTED_VALUE"""),57278.0)</f>
        <v>57278</v>
      </c>
      <c r="DA17" s="688">
        <f>IFERROR(__xludf.DUMMYFUNCTION("""COMPUTED_VALUE"""),2889.09045288776)</f>
        <v>2889.090453</v>
      </c>
      <c r="DB17" s="688">
        <f>IFERROR(__xludf.DUMMYFUNCTION("""COMPUTED_VALUE"""),14445.4522644388)</f>
        <v>14445.45226</v>
      </c>
      <c r="DC17" s="139" t="str">
        <f>IFERROR(__xludf.DUMMYFUNCTION("""COMPUTED_VALUE"""),"-")</f>
        <v>-</v>
      </c>
      <c r="DD17" s="673" t="str">
        <f>IFERROR(__xludf.DUMMYFUNCTION("""COMPUTED_VALUE"""),"-")</f>
        <v>-</v>
      </c>
      <c r="DE17" s="139" t="str">
        <f>IFERROR(__xludf.DUMMYFUNCTION("""COMPUTED_VALUE"""),"-")</f>
        <v>-</v>
      </c>
      <c r="DF17" s="139" t="str">
        <f>IFERROR(__xludf.DUMMYFUNCTION("""COMPUTED_VALUE"""),"-")</f>
        <v>-</v>
      </c>
      <c r="DG17" s="139" t="str">
        <f>IFERROR(__xludf.DUMMYFUNCTION("""COMPUTED_VALUE"""),"-")</f>
        <v>-</v>
      </c>
      <c r="DH17" s="139" t="str">
        <f>IFERROR(__xludf.DUMMYFUNCTION("""COMPUTED_VALUE"""),"-")</f>
        <v>-</v>
      </c>
      <c r="DI17" s="139" t="str">
        <f>IFERROR(__xludf.DUMMYFUNCTION("""COMPUTED_VALUE"""),"-")</f>
        <v>-</v>
      </c>
      <c r="DJ17" s="139" t="str">
        <f>IFERROR(__xludf.DUMMYFUNCTION("""COMPUTED_VALUE"""),"-")</f>
        <v>-</v>
      </c>
    </row>
    <row r="18">
      <c r="A18" s="139" t="str">
        <f>IFERROR(__xludf.DUMMYFUNCTION("""COMPUTED_VALUE"""),"地獄楽")</f>
        <v>地獄楽</v>
      </c>
      <c r="B18" s="139" t="str">
        <f>IFERROR(__xludf.DUMMYFUNCTION("""COMPUTED_VALUE"""),"がらんの画眉丸")</f>
        <v>がらんの画眉丸</v>
      </c>
      <c r="C18" s="139" t="str">
        <f>IFERROR(__xludf.DUMMYFUNCTION("""COMPUTED_VALUE"""),"chara_jig_00001")</f>
        <v>chara_jig_00001</v>
      </c>
      <c r="D18" s="139" t="str">
        <f>IFERROR(__xludf.DUMMYFUNCTION("""COMPUTED_VALUE"""),"PremiumUR")</f>
        <v>PremiumUR</v>
      </c>
      <c r="E18" s="139" t="str">
        <f>IFERROR(__xludf.DUMMYFUNCTION("""COMPUTED_VALUE"""),"赤")</f>
        <v>赤</v>
      </c>
      <c r="F18" s="139" t="str">
        <f>IFERROR(__xludf.DUMMYFUNCTION("""COMPUTED_VALUE"""),"テクニカル")</f>
        <v>テクニカル</v>
      </c>
      <c r="G18" s="139" t="str">
        <f>IFERROR(__xludf.DUMMYFUNCTION("""COMPUTED_VALUE"""),"近距離")</f>
        <v>近距離</v>
      </c>
      <c r="H18" s="139" t="str">
        <f>IFERROR(__xludf.DUMMYFUNCTION("""COMPUTED_VALUE"""),"dageki_1")</f>
        <v>dageki_1</v>
      </c>
      <c r="I18" s="139" t="str">
        <f>IFERROR(__xludf.DUMMYFUNCTION("""COMPUTED_VALUE"""),"dageki_1")</f>
        <v>dageki_1</v>
      </c>
      <c r="J18" s="139" t="str">
        <f>IFERROR(__xludf.DUMMYFUNCTION("""COMPUTED_VALUE"""),"202509010_リリース")</f>
        <v>202509010_リリース</v>
      </c>
      <c r="K18" s="139" t="str">
        <f>IFERROR(__xludf.DUMMYFUNCTION("""COMPUTED_VALUE"""),"リリース時")</f>
        <v>リリース時</v>
      </c>
      <c r="L18" s="139" t="str">
        <f>IFERROR(__xludf.DUMMYFUNCTION("""COMPUTED_VALUE"""),"※")</f>
        <v>※</v>
      </c>
      <c r="M18" s="674">
        <f>IFERROR(__xludf.DUMMYFUNCTION("""COMPUTED_VALUE"""),985.0)</f>
        <v>985</v>
      </c>
      <c r="N18" s="139">
        <f>IFERROR(__xludf.DUMMYFUNCTION("""COMPUTED_VALUE"""),1000.0)</f>
        <v>1000</v>
      </c>
      <c r="O18" s="139" t="str">
        <f>IFERROR(__xludf.DUMMYFUNCTION("""COMPUTED_VALUE"""),"高コスト")</f>
        <v>高コスト</v>
      </c>
      <c r="P18" s="139">
        <f>IFERROR(__xludf.DUMMYFUNCTION("""COMPUTED_VALUE"""),-70.0)</f>
        <v>-70</v>
      </c>
      <c r="Q18" s="675">
        <f>IFERROR(__xludf.DUMMYFUNCTION("""COMPUTED_VALUE"""),25.0)</f>
        <v>25</v>
      </c>
      <c r="R18" s="675">
        <f>IFERROR(__xludf.DUMMYFUNCTION("""COMPUTED_VALUE"""),30.0)</f>
        <v>30</v>
      </c>
      <c r="S18" s="675">
        <f>IFERROR(__xludf.DUMMYFUNCTION("""COMPUTED_VALUE"""),22.125)</f>
        <v>22.125</v>
      </c>
      <c r="T18" s="674">
        <f>IFERROR(__xludf.DUMMYFUNCTION("""COMPUTED_VALUE"""),1010.0)</f>
        <v>1010</v>
      </c>
      <c r="U18" s="675">
        <f>IFERROR(__xludf.DUMMYFUNCTION("""COMPUTED_VALUE"""),20.24)</f>
        <v>20.24</v>
      </c>
      <c r="V18" s="675">
        <f>IFERROR(__xludf.DUMMYFUNCTION("""COMPUTED_VALUE"""),0.0)</f>
        <v>0</v>
      </c>
      <c r="W18" s="675">
        <f>IFERROR(__xludf.DUMMYFUNCTION("""COMPUTED_VALUE"""),0.0)</f>
        <v>0</v>
      </c>
      <c r="X18" s="675">
        <f>IFERROR(__xludf.DUMMYFUNCTION("""COMPUTED_VALUE"""),0.0)</f>
        <v>0</v>
      </c>
      <c r="Y18" s="674">
        <f>IFERROR(__xludf.DUMMYFUNCTION("""COMPUTED_VALUE"""),530.0)</f>
        <v>530</v>
      </c>
      <c r="Z18" s="675">
        <f>IFERROR(__xludf.DUMMYFUNCTION("""COMPUTED_VALUE"""),10.579999999999998)</f>
        <v>10.58</v>
      </c>
      <c r="AA18" s="675">
        <f>IFERROR(__xludf.DUMMYFUNCTION("""COMPUTED_VALUE"""),0.0)</f>
        <v>0</v>
      </c>
      <c r="AB18" s="673">
        <f>IFERROR(__xludf.DUMMYFUNCTION("""COMPUTED_VALUE"""),0.0)</f>
        <v>0</v>
      </c>
      <c r="AC18" s="675">
        <f>IFERROR(__xludf.DUMMYFUNCTION("""COMPUTED_VALUE"""),0.0)</f>
        <v>0</v>
      </c>
      <c r="AD18" s="674">
        <f>IFERROR(__xludf.DUMMYFUNCTION("""COMPUTED_VALUE"""),1510.0)</f>
        <v>1510</v>
      </c>
      <c r="AE18" s="675">
        <f>IFERROR(__xludf.DUMMYFUNCTION("""COMPUTED_VALUE"""),30.18232597691341)</f>
        <v>30.18232598</v>
      </c>
      <c r="AF18" s="675">
        <f>IFERROR(__xludf.DUMMYFUNCTION("""COMPUTED_VALUE"""),0.0)</f>
        <v>0</v>
      </c>
      <c r="AG18" s="675">
        <f>IFERROR(__xludf.DUMMYFUNCTION("""COMPUTED_VALUE"""),13.5)</f>
        <v>13.5</v>
      </c>
      <c r="AH18" s="675">
        <f>IFERROR(__xludf.DUMMYFUNCTION("""COMPUTED_VALUE"""),0.0)</f>
        <v>0</v>
      </c>
      <c r="AI18" s="675">
        <f>IFERROR(__xludf.DUMMYFUNCTION("""COMPUTED_VALUE"""),9.0)</f>
        <v>9</v>
      </c>
      <c r="AJ18" s="675">
        <f>IFERROR(__xludf.DUMMYFUNCTION("""COMPUTED_VALUE"""),21.18232597691341)</f>
        <v>21.18232598</v>
      </c>
      <c r="AK18" s="139">
        <f>IFERROR(__xludf.DUMMYFUNCTION("""COMPUTED_VALUE"""),1.0)</f>
        <v>1</v>
      </c>
      <c r="AL18" s="674">
        <f>IFERROR(__xludf.DUMMYFUNCTION("""COMPUTED_VALUE"""),2760.0)</f>
        <v>2760</v>
      </c>
      <c r="AM18" s="688">
        <f>IFERROR(__xludf.DUMMYFUNCTION("""COMPUTED_VALUE"""),22556.837609217375)</f>
        <v>22556.83761</v>
      </c>
      <c r="AN18" s="675">
        <f>IFERROR(__xludf.DUMMYFUNCTION("""COMPUTED_VALUE"""),18.4)</f>
        <v>18.4</v>
      </c>
      <c r="AO18" s="675">
        <f>IFERROR(__xludf.DUMMYFUNCTION("""COMPUTED_VALUE"""),9.2)</f>
        <v>9.2</v>
      </c>
      <c r="AP18" s="674">
        <f>IFERROR(__xludf.DUMMYFUNCTION("""COMPUTED_VALUE"""),3940.0)</f>
        <v>3940</v>
      </c>
      <c r="AQ18" s="673">
        <f>IFERROR(__xludf.DUMMYFUNCTION("""COMPUTED_VALUE"""),-0.3)</f>
        <v>-0.3</v>
      </c>
      <c r="AR18" s="673">
        <f>IFERROR(__xludf.DUMMYFUNCTION("""COMPUTED_VALUE"""),0.0)</f>
        <v>0</v>
      </c>
      <c r="AS18" s="673">
        <f>IFERROR(__xludf.DUMMYFUNCTION("""COMPUTED_VALUE"""),0.0)</f>
        <v>0</v>
      </c>
      <c r="AT18" s="673">
        <f>IFERROR(__xludf.DUMMYFUNCTION("""COMPUTED_VALUE"""),0.0)</f>
        <v>0</v>
      </c>
      <c r="AU18" s="673">
        <f>IFERROR(__xludf.DUMMYFUNCTION("""COMPUTED_VALUE"""),0.0)</f>
        <v>0</v>
      </c>
      <c r="AV18" s="673">
        <f>IFERROR(__xludf.DUMMYFUNCTION("""COMPUTED_VALUE"""),0.0)</f>
        <v>0</v>
      </c>
      <c r="AW18" s="139"/>
      <c r="AX18" s="674">
        <f>IFERROR(__xludf.DUMMYFUNCTION("""COMPUTED_VALUE"""),2710.0)</f>
        <v>2710</v>
      </c>
      <c r="AY18" s="688">
        <f>IFERROR(__xludf.DUMMYFUNCTION("""COMPUTED_VALUE"""),22147.906203253293)</f>
        <v>22147.9062</v>
      </c>
      <c r="AZ18" s="674">
        <f>IFERROR(__xludf.DUMMYFUNCTION("""COMPUTED_VALUE"""),2710.0)</f>
        <v>2710</v>
      </c>
      <c r="BA18" s="688">
        <f>IFERROR(__xludf.DUMMYFUNCTION("""COMPUTED_VALUE"""),22147.906203253293)</f>
        <v>22147.9062</v>
      </c>
      <c r="BB18" s="688" t="str">
        <f>IFERROR(__xludf.DUMMYFUNCTION("""COMPUTED_VALUE"""),"-")</f>
        <v>-</v>
      </c>
      <c r="BC18" s="688" t="str">
        <f>IFERROR(__xludf.DUMMYFUNCTION("""COMPUTED_VALUE"""),"#VALUE!")</f>
        <v>#VALUE!</v>
      </c>
      <c r="BD18" s="688" t="str">
        <f>IFERROR(__xludf.DUMMYFUNCTION("""COMPUTED_VALUE"""),"#VALUE!")</f>
        <v>#VALUE!</v>
      </c>
      <c r="BE18" s="674">
        <f>IFERROR(__xludf.DUMMYFUNCTION("""COMPUTED_VALUE"""),2710.0)</f>
        <v>2710</v>
      </c>
      <c r="BF18" s="674">
        <f>IFERROR(__xludf.DUMMYFUNCTION("""COMPUTED_VALUE"""),2462.5)</f>
        <v>2462.5</v>
      </c>
      <c r="BG18" s="673">
        <f>IFERROR(__xludf.DUMMYFUNCTION("""COMPUTED_VALUE"""),0.0)</f>
        <v>0</v>
      </c>
      <c r="BH18" s="673">
        <f>IFERROR(__xludf.DUMMYFUNCTION("""COMPUTED_VALUE"""),0.1)</f>
        <v>0.1</v>
      </c>
      <c r="BI18" s="673">
        <f>IFERROR(__xludf.DUMMYFUNCTION("""COMPUTED_VALUE"""),0.0)</f>
        <v>0</v>
      </c>
      <c r="BJ18" s="673">
        <f>IFERROR(__xludf.DUMMYFUNCTION("""COMPUTED_VALUE"""),0.0)</f>
        <v>0</v>
      </c>
      <c r="BK18" s="673">
        <f>IFERROR(__xludf.DUMMYFUNCTION("""COMPUTED_VALUE"""),0.0)</f>
        <v>0</v>
      </c>
      <c r="BL18" s="673">
        <f>IFERROR(__xludf.DUMMYFUNCTION("""COMPUTED_VALUE"""),0.0)</f>
        <v>0</v>
      </c>
      <c r="BM18" s="674">
        <f>IFERROR(__xludf.DUMMYFUNCTION("""COMPUTED_VALUE"""),50.0)</f>
        <v>50</v>
      </c>
      <c r="BN18" s="674">
        <f>IFERROR(__xludf.DUMMYFUNCTION("""COMPUTED_VALUE"""),50.0)</f>
        <v>50</v>
      </c>
      <c r="BO18" s="675">
        <f>IFERROR(__xludf.DUMMYFUNCTION("""COMPUTED_VALUE"""),0.0)</f>
        <v>0</v>
      </c>
      <c r="BP18" s="675">
        <f>IFERROR(__xludf.DUMMYFUNCTION("""COMPUTED_VALUE"""),1.0)</f>
        <v>1</v>
      </c>
      <c r="BQ18" s="675" t="str">
        <f>IFERROR(__xludf.DUMMYFUNCTION("""COMPUTED_VALUE"""),"※")</f>
        <v>※</v>
      </c>
      <c r="BR18" s="139">
        <f>IFERROR(__xludf.DUMMYFUNCTION("""COMPUTED_VALUE"""),3.0)</f>
        <v>3</v>
      </c>
      <c r="BS18" s="139">
        <f>IFERROR(__xludf.DUMMYFUNCTION("""COMPUTED_VALUE"""),50.0)</f>
        <v>50</v>
      </c>
      <c r="BT18" s="139">
        <f>IFERROR(__xludf.DUMMYFUNCTION("""COMPUTED_VALUE"""),0.26)</f>
        <v>0.26</v>
      </c>
      <c r="BU18" s="139">
        <f>IFERROR(__xludf.DUMMYFUNCTION("""COMPUTED_VALUE"""),0.0)</f>
        <v>0</v>
      </c>
      <c r="BV18" s="139" t="str">
        <f>IFERROR(__xludf.DUMMYFUNCTION("""COMPUTED_VALUE"""),"速")</f>
        <v>速</v>
      </c>
      <c r="BW18" s="139" t="str">
        <f>IFERROR(__xludf.DUMMYFUNCTION("""COMPUTED_VALUE"""),"火傷ダメージ軽減")</f>
        <v>火傷ダメージ軽減</v>
      </c>
      <c r="BX18" s="139">
        <f>IFERROR(__xludf.DUMMYFUNCTION("""COMPUTED_VALUE"""),15.0)</f>
        <v>15</v>
      </c>
      <c r="BY18" s="139">
        <f>IFERROR(__xludf.DUMMYFUNCTION("""COMPUTED_VALUE"""),0.0)</f>
        <v>0</v>
      </c>
      <c r="BZ18" s="139" t="str">
        <f>IFERROR(__xludf.DUMMYFUNCTION("""COMPUTED_VALUE"""),"毒ダメージ軽減")</f>
        <v>毒ダメージ軽減</v>
      </c>
      <c r="CA18" s="139">
        <f>IFERROR(__xludf.DUMMYFUNCTION("""COMPUTED_VALUE"""),15.0)</f>
        <v>15</v>
      </c>
      <c r="CB18" s="139">
        <f>IFERROR(__xludf.DUMMYFUNCTION("""COMPUTED_VALUE"""),4.0)</f>
        <v>4</v>
      </c>
      <c r="CC18" s="139" t="str">
        <f>IFERROR(__xludf.DUMMYFUNCTION("""COMPUTED_VALUE"""),"近距離")</f>
        <v>近距離</v>
      </c>
      <c r="CD18" s="139" t="str">
        <f>IFERROR(__xludf.DUMMYFUNCTION("""COMPUTED_VALUE"""),"単体")</f>
        <v>単体</v>
      </c>
      <c r="CE18" s="139">
        <f>IFERROR(__xludf.DUMMYFUNCTION("""COMPUTED_VALUE"""),1.0)</f>
        <v>1</v>
      </c>
      <c r="CF18" s="139">
        <f>IFERROR(__xludf.DUMMYFUNCTION("""COMPUTED_VALUE"""),0.27)</f>
        <v>0.27</v>
      </c>
      <c r="CG18" s="139" t="str">
        <f>IFERROR(__xludf.DUMMYFUNCTION("""COMPUTED_VALUE"""),"近距離")</f>
        <v>近距離</v>
      </c>
      <c r="CH18" s="139" t="str">
        <f>IFERROR(__xludf.DUMMYFUNCTION("""COMPUTED_VALUE"""),"単体")</f>
        <v>単体</v>
      </c>
      <c r="CI18" s="139">
        <f>IFERROR(__xludf.DUMMYFUNCTION("""COMPUTED_VALUE"""),1.0)</f>
        <v>1</v>
      </c>
      <c r="CJ18" s="139">
        <f>IFERROR(__xludf.DUMMYFUNCTION("""COMPUTED_VALUE"""),0.27)</f>
        <v>0.27</v>
      </c>
      <c r="CK18" s="139" t="str">
        <f>IFERROR(__xludf.DUMMYFUNCTION("""COMPUTED_VALUE"""),"敵")</f>
        <v>敵</v>
      </c>
      <c r="CL18" s="139" t="str">
        <f>IFERROR(__xludf.DUMMYFUNCTION("""COMPUTED_VALUE"""),"All")</f>
        <v>All</v>
      </c>
      <c r="CM18" s="139" t="str">
        <f>IFERROR(__xludf.DUMMYFUNCTION("""COMPUTED_VALUE"""),"All")</f>
        <v>All</v>
      </c>
      <c r="CN18" s="675">
        <f>IFERROR(__xludf.DUMMYFUNCTION("""COMPUTED_VALUE"""),30.18232597691341)</f>
        <v>30.18232598</v>
      </c>
      <c r="CO18" s="139" t="str">
        <f>IFERROR(__xludf.DUMMYFUNCTION("""COMPUTED_VALUE"""),"-")</f>
        <v>-</v>
      </c>
      <c r="CP18" s="139" t="str">
        <f>IFERROR(__xludf.DUMMYFUNCTION("""COMPUTED_VALUE"""),"-")</f>
        <v>-</v>
      </c>
      <c r="CQ18" s="139" t="str">
        <f>IFERROR(__xludf.DUMMYFUNCTION("""COMPUTED_VALUE"""),"-")</f>
        <v>-</v>
      </c>
      <c r="CR18" s="139" t="str">
        <f>IFERROR(__xludf.DUMMYFUNCTION("""COMPUTED_VALUE"""),"-")</f>
        <v>-</v>
      </c>
      <c r="CS18" s="673" t="str">
        <f>IFERROR(__xludf.DUMMYFUNCTION("""COMPUTED_VALUE"""),"連続攻撃")</f>
        <v>連続攻撃</v>
      </c>
      <c r="CT18" s="139" t="str">
        <f>IFERROR(__xludf.DUMMYFUNCTION("""COMPUTED_VALUE"""),"-")</f>
        <v>-</v>
      </c>
      <c r="CU18" s="139" t="str">
        <f>IFERROR(__xludf.DUMMYFUNCTION("""COMPUTED_VALUE"""),"敵")</f>
        <v>敵</v>
      </c>
      <c r="CV18" s="139" t="str">
        <f>IFERROR(__xludf.DUMMYFUNCTION("""COMPUTED_VALUE"""),"All")</f>
        <v>All</v>
      </c>
      <c r="CW18" s="139" t="str">
        <f>IFERROR(__xludf.DUMMYFUNCTION("""COMPUTED_VALUE"""),"All")</f>
        <v>All</v>
      </c>
      <c r="CX18" s="674">
        <f>IFERROR(__xludf.DUMMYFUNCTION("""COMPUTED_VALUE"""),225.0)</f>
        <v>225</v>
      </c>
      <c r="CY18" s="139" t="str">
        <f>IFERROR(__xludf.DUMMYFUNCTION("""COMPUTED_VALUE"""),"-")</f>
        <v>-</v>
      </c>
      <c r="CZ18" s="688">
        <f>IFERROR(__xludf.DUMMYFUNCTION("""COMPUTED_VALUE"""),49833.0)</f>
        <v>49833</v>
      </c>
      <c r="DA18" s="688">
        <f>IFERROR(__xludf.DUMMYFUNCTION("""COMPUTED_VALUE"""),1765.7442816303808)</f>
        <v>1765.744282</v>
      </c>
      <c r="DB18" s="688">
        <f>IFERROR(__xludf.DUMMYFUNCTION("""COMPUTED_VALUE"""),0.0)</f>
        <v>0</v>
      </c>
      <c r="DC18" s="673" t="str">
        <f>IFERROR(__xludf.DUMMYFUNCTION("""COMPUTED_VALUE"""),"火傷")</f>
        <v>火傷</v>
      </c>
      <c r="DD18" s="673">
        <f>IFERROR(__xludf.DUMMYFUNCTION("""COMPUTED_VALUE"""),12000.0)</f>
        <v>12000</v>
      </c>
      <c r="DE18" s="139">
        <f>IFERROR(__xludf.DUMMYFUNCTION("""COMPUTED_VALUE"""),9.0)</f>
        <v>9</v>
      </c>
      <c r="DF18" s="139" t="str">
        <f>IFERROR(__xludf.DUMMYFUNCTION("""COMPUTED_VALUE"""),"-")</f>
        <v>-</v>
      </c>
      <c r="DG18" s="139" t="str">
        <f>IFERROR(__xludf.DUMMYFUNCTION("""COMPUTED_VALUE"""),"-")</f>
        <v>-</v>
      </c>
      <c r="DH18" s="139" t="str">
        <f>IFERROR(__xludf.DUMMYFUNCTION("""COMPUTED_VALUE"""),"-")</f>
        <v>-</v>
      </c>
      <c r="DI18" s="139" t="str">
        <f>IFERROR(__xludf.DUMMYFUNCTION("""COMPUTED_VALUE"""),"-")</f>
        <v>-</v>
      </c>
      <c r="DJ18" s="139" t="str">
        <f>IFERROR(__xludf.DUMMYFUNCTION("""COMPUTED_VALUE"""),"-")</f>
        <v>-</v>
      </c>
    </row>
    <row r="19">
      <c r="A19" s="139" t="str">
        <f>IFERROR(__xludf.DUMMYFUNCTION("""COMPUTED_VALUE"""),"SPY×FAMILY")</f>
        <v>SPY×FAMILY</v>
      </c>
      <c r="B19" s="139" t="str">
        <f>IFERROR(__xludf.DUMMYFUNCTION("""COMPUTED_VALUE"""),"&lt;黄昏&gt; ロイド")</f>
        <v>&lt;黄昏&gt; ロイド</v>
      </c>
      <c r="C19" s="139" t="str">
        <f>IFERROR(__xludf.DUMMYFUNCTION("""COMPUTED_VALUE"""),"chara_spy_00101")</f>
        <v>chara_spy_00101</v>
      </c>
      <c r="D19" s="139" t="str">
        <f>IFERROR(__xludf.DUMMYFUNCTION("""COMPUTED_VALUE"""),"PremiumUR")</f>
        <v>PremiumUR</v>
      </c>
      <c r="E19" s="139" t="str">
        <f>IFERROR(__xludf.DUMMYFUNCTION("""COMPUTED_VALUE"""),"黄")</f>
        <v>黄</v>
      </c>
      <c r="F19" s="139" t="str">
        <f>IFERROR(__xludf.DUMMYFUNCTION("""COMPUTED_VALUE"""),"アタック")</f>
        <v>アタック</v>
      </c>
      <c r="G19" s="139" t="str">
        <f>IFERROR(__xludf.DUMMYFUNCTION("""COMPUTED_VALUE"""),"遠距離")</f>
        <v>遠距離</v>
      </c>
      <c r="H19" s="139" t="str">
        <f>IFERROR(__xludf.DUMMYFUNCTION("""COMPUTED_VALUE"""),"shageki_1")</f>
        <v>shageki_1</v>
      </c>
      <c r="I19" s="139" t="str">
        <f>IFERROR(__xludf.DUMMYFUNCTION("""COMPUTED_VALUE"""),"shageki_1")</f>
        <v>shageki_1</v>
      </c>
      <c r="J19" s="139" t="str">
        <f>IFERROR(__xludf.DUMMYFUNCTION("""COMPUTED_VALUE"""),"202509010_リリース")</f>
        <v>202509010_リリース</v>
      </c>
      <c r="K19" s="139" t="str">
        <f>IFERROR(__xludf.DUMMYFUNCTION("""COMPUTED_VALUE"""),"リリース時")</f>
        <v>リリース時</v>
      </c>
      <c r="L19" s="139" t="str">
        <f>IFERROR(__xludf.DUMMYFUNCTION("""COMPUTED_VALUE"""),"※")</f>
        <v>※</v>
      </c>
      <c r="M19" s="674">
        <f>IFERROR(__xludf.DUMMYFUNCTION("""COMPUTED_VALUE"""),985.0)</f>
        <v>985</v>
      </c>
      <c r="N19" s="139">
        <f>IFERROR(__xludf.DUMMYFUNCTION("""COMPUTED_VALUE"""),1000.0)</f>
        <v>1000</v>
      </c>
      <c r="O19" s="139" t="str">
        <f>IFERROR(__xludf.DUMMYFUNCTION("""COMPUTED_VALUE"""),"高コスト")</f>
        <v>高コスト</v>
      </c>
      <c r="P19" s="139">
        <f>IFERROR(__xludf.DUMMYFUNCTION("""COMPUTED_VALUE"""),-50.0)</f>
        <v>-50</v>
      </c>
      <c r="Q19" s="675">
        <f>IFERROR(__xludf.DUMMYFUNCTION("""COMPUTED_VALUE"""),10.0)</f>
        <v>10</v>
      </c>
      <c r="R19" s="675">
        <f>IFERROR(__xludf.DUMMYFUNCTION("""COMPUTED_VALUE"""),25.0)</f>
        <v>25</v>
      </c>
      <c r="S19" s="675">
        <f>IFERROR(__xludf.DUMMYFUNCTION("""COMPUTED_VALUE"""),22.125)</f>
        <v>22.125</v>
      </c>
      <c r="T19" s="674">
        <f>IFERROR(__xludf.DUMMYFUNCTION("""COMPUTED_VALUE"""),720.0)</f>
        <v>720</v>
      </c>
      <c r="U19" s="675">
        <f>IFERROR(__xludf.DUMMYFUNCTION("""COMPUTED_VALUE"""),14.446666666666667)</f>
        <v>14.44666667</v>
      </c>
      <c r="V19" s="675">
        <f>IFERROR(__xludf.DUMMYFUNCTION("""COMPUTED_VALUE"""),0.0)</f>
        <v>0</v>
      </c>
      <c r="W19" s="675">
        <f>IFERROR(__xludf.DUMMYFUNCTION("""COMPUTED_VALUE"""),0.0)</f>
        <v>0</v>
      </c>
      <c r="X19" s="675">
        <f>IFERROR(__xludf.DUMMYFUNCTION("""COMPUTED_VALUE"""),0.0)</f>
        <v>0</v>
      </c>
      <c r="Y19" s="674">
        <f>IFERROR(__xludf.DUMMYFUNCTION("""COMPUTED_VALUE"""),380.0)</f>
        <v>380</v>
      </c>
      <c r="Z19" s="675">
        <f>IFERROR(__xludf.DUMMYFUNCTION("""COMPUTED_VALUE"""),7.551666666666666)</f>
        <v>7.551666667</v>
      </c>
      <c r="AA19" s="675">
        <f>IFERROR(__xludf.DUMMYFUNCTION("""COMPUTED_VALUE"""),0.0)</f>
        <v>0</v>
      </c>
      <c r="AB19" s="673">
        <f>IFERROR(__xludf.DUMMYFUNCTION("""COMPUTED_VALUE"""),0.0)</f>
        <v>0</v>
      </c>
      <c r="AC19" s="675">
        <f>IFERROR(__xludf.DUMMYFUNCTION("""COMPUTED_VALUE"""),0.0)</f>
        <v>0</v>
      </c>
      <c r="AD19" s="674">
        <f>IFERROR(__xludf.DUMMYFUNCTION("""COMPUTED_VALUE"""),1410.0)</f>
        <v>1410</v>
      </c>
      <c r="AE19" s="675">
        <f>IFERROR(__xludf.DUMMYFUNCTION("""COMPUTED_VALUE"""),28.188058937547773)</f>
        <v>28.18805894</v>
      </c>
      <c r="AF19" s="675">
        <f>IFERROR(__xludf.DUMMYFUNCTION("""COMPUTED_VALUE"""),0.0)</f>
        <v>0</v>
      </c>
      <c r="AG19" s="675">
        <f>IFERROR(__xludf.DUMMYFUNCTION("""COMPUTED_VALUE"""),14.094029468773886)</f>
        <v>14.09402947</v>
      </c>
      <c r="AH19" s="675">
        <f>IFERROR(__xludf.DUMMYFUNCTION("""COMPUTED_VALUE"""),0.0)</f>
        <v>0</v>
      </c>
      <c r="AI19" s="139">
        <f>IFERROR(__xludf.DUMMYFUNCTION("""COMPUTED_VALUE"""),6.0)</f>
        <v>6</v>
      </c>
      <c r="AJ19" s="139" t="str">
        <f>IFERROR(__xludf.DUMMYFUNCTION("""COMPUTED_VALUE"""),"-")</f>
        <v>-</v>
      </c>
      <c r="AK19" s="139">
        <f>IFERROR(__xludf.DUMMYFUNCTION("""COMPUTED_VALUE"""),1.0)</f>
        <v>1</v>
      </c>
      <c r="AL19" s="674">
        <f>IFERROR(__xludf.DUMMYFUNCTION("""COMPUTED_VALUE"""),1970.0)</f>
        <v>1970</v>
      </c>
      <c r="AM19" s="688">
        <f>IFERROR(__xludf.DUMMYFUNCTION("""COMPUTED_VALUE"""),16100.345394984864)</f>
        <v>16100.34539</v>
      </c>
      <c r="AN19" s="675">
        <f>IFERROR(__xludf.DUMMYFUNCTION("""COMPUTED_VALUE"""),13.133333333333333)</f>
        <v>13.13333333</v>
      </c>
      <c r="AO19" s="675">
        <f>IFERROR(__xludf.DUMMYFUNCTION("""COMPUTED_VALUE"""),6.566666666666666)</f>
        <v>6.566666667</v>
      </c>
      <c r="AP19" s="674">
        <f>IFERROR(__xludf.DUMMYFUNCTION("""COMPUTED_VALUE"""),3940.0)</f>
        <v>3940</v>
      </c>
      <c r="AQ19" s="673">
        <f>IFERROR(__xludf.DUMMYFUNCTION("""COMPUTED_VALUE"""),-0.2)</f>
        <v>-0.2</v>
      </c>
      <c r="AR19" s="673">
        <f>IFERROR(__xludf.DUMMYFUNCTION("""COMPUTED_VALUE"""),0.0)</f>
        <v>0</v>
      </c>
      <c r="AS19" s="673">
        <f>IFERROR(__xludf.DUMMYFUNCTION("""COMPUTED_VALUE"""),-0.3)</f>
        <v>-0.3</v>
      </c>
      <c r="AT19" s="673">
        <f>IFERROR(__xludf.DUMMYFUNCTION("""COMPUTED_VALUE"""),0.0)</f>
        <v>0</v>
      </c>
      <c r="AU19" s="673">
        <f>IFERROR(__xludf.DUMMYFUNCTION("""COMPUTED_VALUE"""),0.0)</f>
        <v>0</v>
      </c>
      <c r="AV19" s="673">
        <f>IFERROR(__xludf.DUMMYFUNCTION("""COMPUTED_VALUE"""),0.0)</f>
        <v>0</v>
      </c>
      <c r="AW19" s="139"/>
      <c r="AX19" s="674">
        <f>IFERROR(__xludf.DUMMYFUNCTION("""COMPUTED_VALUE"""),9600.0)</f>
        <v>9600</v>
      </c>
      <c r="AY19" s="688">
        <f>IFERROR(__xludf.DUMMYFUNCTION("""COMPUTED_VALUE"""),78463.22994510391)</f>
        <v>78463.22995</v>
      </c>
      <c r="AZ19" s="674">
        <f>IFERROR(__xludf.DUMMYFUNCTION("""COMPUTED_VALUE"""),3200.0)</f>
        <v>3200</v>
      </c>
      <c r="BA19" s="688">
        <f>IFERROR(__xludf.DUMMYFUNCTION("""COMPUTED_VALUE"""),26154.409981701305)</f>
        <v>26154.40998</v>
      </c>
      <c r="BB19" s="688" t="str">
        <f>IFERROR(__xludf.DUMMYFUNCTION("""COMPUTED_VALUE"""),"-")</f>
        <v>-</v>
      </c>
      <c r="BC19" s="688" t="str">
        <f>IFERROR(__xludf.DUMMYFUNCTION("""COMPUTED_VALUE"""),"#VALUE!")</f>
        <v>#VALUE!</v>
      </c>
      <c r="BD19" s="688" t="str">
        <f>IFERROR(__xludf.DUMMYFUNCTION("""COMPUTED_VALUE"""),"#VALUE!")</f>
        <v>#VALUE!</v>
      </c>
      <c r="BE19" s="674">
        <f>IFERROR(__xludf.DUMMYFUNCTION("""COMPUTED_VALUE"""),3200.0)</f>
        <v>3200</v>
      </c>
      <c r="BF19" s="674">
        <f>IFERROR(__xludf.DUMMYFUNCTION("""COMPUTED_VALUE"""),2462.5)</f>
        <v>2462.5</v>
      </c>
      <c r="BG19" s="673">
        <f>IFERROR(__xludf.DUMMYFUNCTION("""COMPUTED_VALUE"""),0.0)</f>
        <v>0</v>
      </c>
      <c r="BH19" s="673">
        <f>IFERROR(__xludf.DUMMYFUNCTION("""COMPUTED_VALUE"""),0.3)</f>
        <v>0.3</v>
      </c>
      <c r="BI19" s="673">
        <f>IFERROR(__xludf.DUMMYFUNCTION("""COMPUTED_VALUE"""),0.0)</f>
        <v>0</v>
      </c>
      <c r="BJ19" s="673">
        <f>IFERROR(__xludf.DUMMYFUNCTION("""COMPUTED_VALUE"""),0.0)</f>
        <v>0</v>
      </c>
      <c r="BK19" s="673">
        <f>IFERROR(__xludf.DUMMYFUNCTION("""COMPUTED_VALUE"""),0.0)</f>
        <v>0</v>
      </c>
      <c r="BL19" s="673">
        <f>IFERROR(__xludf.DUMMYFUNCTION("""COMPUTED_VALUE"""),0.0)</f>
        <v>0</v>
      </c>
      <c r="BM19" s="674">
        <f>IFERROR(__xludf.DUMMYFUNCTION("""COMPUTED_VALUE"""),150.0)</f>
        <v>150</v>
      </c>
      <c r="BN19" s="674">
        <f>IFERROR(__xludf.DUMMYFUNCTION("""COMPUTED_VALUE"""),150.0)</f>
        <v>150</v>
      </c>
      <c r="BO19" s="675">
        <f>IFERROR(__xludf.DUMMYFUNCTION("""COMPUTED_VALUE"""),0.0)</f>
        <v>0</v>
      </c>
      <c r="BP19" s="675">
        <f>IFERROR(__xludf.DUMMYFUNCTION("""COMPUTED_VALUE"""),3.0)</f>
        <v>3</v>
      </c>
      <c r="BQ19" s="675" t="str">
        <f>IFERROR(__xludf.DUMMYFUNCTION("""COMPUTED_VALUE"""),"※")</f>
        <v>※</v>
      </c>
      <c r="BR19" s="139">
        <f>IFERROR(__xludf.DUMMYFUNCTION("""COMPUTED_VALUE"""),3.0)</f>
        <v>3</v>
      </c>
      <c r="BS19" s="139">
        <f>IFERROR(__xludf.DUMMYFUNCTION("""COMPUTED_VALUE"""),40.0)</f>
        <v>40</v>
      </c>
      <c r="BT19" s="139">
        <f>IFERROR(__xludf.DUMMYFUNCTION("""COMPUTED_VALUE"""),0.59)</f>
        <v>0.59</v>
      </c>
      <c r="BU19" s="139">
        <f>IFERROR(__xludf.DUMMYFUNCTION("""COMPUTED_VALUE"""),0.0)</f>
        <v>0</v>
      </c>
      <c r="BV19" s="139" t="str">
        <f>IFERROR(__xludf.DUMMYFUNCTION("""COMPUTED_VALUE"""),"速-普通")</f>
        <v>速-普通</v>
      </c>
      <c r="BW19" s="139" t="str">
        <f>IFERROR(__xludf.DUMMYFUNCTION("""COMPUTED_VALUE"""),"毒ダメージ軽減")</f>
        <v>毒ダメージ軽減</v>
      </c>
      <c r="BX19" s="139">
        <f>IFERROR(__xludf.DUMMYFUNCTION("""COMPUTED_VALUE"""),20.0)</f>
        <v>20</v>
      </c>
      <c r="BY19" s="139">
        <f>IFERROR(__xludf.DUMMYFUNCTION("""COMPUTED_VALUE"""),0.0)</f>
        <v>0</v>
      </c>
      <c r="BZ19" s="139" t="str">
        <f>IFERROR(__xludf.DUMMYFUNCTION("""COMPUTED_VALUE"""),"攻撃UPコマ効果UP")</f>
        <v>攻撃UPコマ効果UP</v>
      </c>
      <c r="CA19" s="139">
        <f>IFERROR(__xludf.DUMMYFUNCTION("""COMPUTED_VALUE"""),25.0)</f>
        <v>25</v>
      </c>
      <c r="CB19" s="139">
        <f>IFERROR(__xludf.DUMMYFUNCTION("""COMPUTED_VALUE"""),4.0)</f>
        <v>4</v>
      </c>
      <c r="CC19" s="139" t="str">
        <f>IFERROR(__xludf.DUMMYFUNCTION("""COMPUTED_VALUE"""),"遠距離")</f>
        <v>遠距離</v>
      </c>
      <c r="CD19" s="139" t="str">
        <f>IFERROR(__xludf.DUMMYFUNCTION("""COMPUTED_VALUE"""),"単体")</f>
        <v>単体</v>
      </c>
      <c r="CE19" s="139">
        <f>IFERROR(__xludf.DUMMYFUNCTION("""COMPUTED_VALUE"""),1.0)</f>
        <v>1</v>
      </c>
      <c r="CF19" s="139">
        <f>IFERROR(__xludf.DUMMYFUNCTION("""COMPUTED_VALUE"""),0.6)</f>
        <v>0.6</v>
      </c>
      <c r="CG19" s="139" t="str">
        <f>IFERROR(__xludf.DUMMYFUNCTION("""COMPUTED_VALUE"""),"遠距離")</f>
        <v>遠距離</v>
      </c>
      <c r="CH19" s="139" t="str">
        <f>IFERROR(__xludf.DUMMYFUNCTION("""COMPUTED_VALUE"""),"単体")</f>
        <v>単体</v>
      </c>
      <c r="CI19" s="139">
        <f>IFERROR(__xludf.DUMMYFUNCTION("""COMPUTED_VALUE"""),1.0)</f>
        <v>1</v>
      </c>
      <c r="CJ19" s="139">
        <f>IFERROR(__xludf.DUMMYFUNCTION("""COMPUTED_VALUE"""),0.6)</f>
        <v>0.6</v>
      </c>
      <c r="CK19" s="139" t="str">
        <f>IFERROR(__xludf.DUMMYFUNCTION("""COMPUTED_VALUE"""),"敵")</f>
        <v>敵</v>
      </c>
      <c r="CL19" s="139" t="str">
        <f>IFERROR(__xludf.DUMMYFUNCTION("""COMPUTED_VALUE"""),"青")</f>
        <v>青</v>
      </c>
      <c r="CM19" s="139" t="str">
        <f>IFERROR(__xludf.DUMMYFUNCTION("""COMPUTED_VALUE"""),"All")</f>
        <v>All</v>
      </c>
      <c r="CN19" s="675">
        <f>IFERROR(__xludf.DUMMYFUNCTION("""COMPUTED_VALUE"""),28.188058937547773)</f>
        <v>28.18805894</v>
      </c>
      <c r="CO19" s="139" t="str">
        <f>IFERROR(__xludf.DUMMYFUNCTION("""COMPUTED_VALUE"""),"-")</f>
        <v>-</v>
      </c>
      <c r="CP19" s="139" t="str">
        <f>IFERROR(__xludf.DUMMYFUNCTION("""COMPUTED_VALUE"""),"-")</f>
        <v>-</v>
      </c>
      <c r="CQ19" s="139" t="str">
        <f>IFERROR(__xludf.DUMMYFUNCTION("""COMPUTED_VALUE"""),"-")</f>
        <v>-</v>
      </c>
      <c r="CR19" s="139" t="str">
        <f>IFERROR(__xludf.DUMMYFUNCTION("""COMPUTED_VALUE"""),"-")</f>
        <v>-</v>
      </c>
      <c r="CS19" s="673" t="str">
        <f>IFERROR(__xludf.DUMMYFUNCTION("""COMPUTED_VALUE"""),"キラー攻撃(青)")</f>
        <v>キラー攻撃(青)</v>
      </c>
      <c r="CT19" s="139" t="str">
        <f>IFERROR(__xludf.DUMMYFUNCTION("""COMPUTED_VALUE"""),"-")</f>
        <v>-</v>
      </c>
      <c r="CU19" s="139" t="str">
        <f>IFERROR(__xludf.DUMMYFUNCTION("""COMPUTED_VALUE"""),"敵")</f>
        <v>敵</v>
      </c>
      <c r="CV19" s="139" t="str">
        <f>IFERROR(__xludf.DUMMYFUNCTION("""COMPUTED_VALUE"""),"青")</f>
        <v>青</v>
      </c>
      <c r="CW19" s="139" t="str">
        <f>IFERROR(__xludf.DUMMYFUNCTION("""COMPUTED_VALUE"""),"All")</f>
        <v>All</v>
      </c>
      <c r="CX19" s="674">
        <f>IFERROR(__xludf.DUMMYFUNCTION("""COMPUTED_VALUE"""),170.0)</f>
        <v>170</v>
      </c>
      <c r="CY19" s="139" t="str">
        <f>IFERROR(__xludf.DUMMYFUNCTION("""COMPUTED_VALUE"""),"-")</f>
        <v>-</v>
      </c>
      <c r="CZ19" s="688">
        <f>IFERROR(__xludf.DUMMYFUNCTION("""COMPUTED_VALUE"""),200081.0)</f>
        <v>200081</v>
      </c>
      <c r="DA19" s="688">
        <f>IFERROR(__xludf.DUMMYFUNCTION("""COMPUTED_VALUE"""),7658.7729877839865)</f>
        <v>7658.772988</v>
      </c>
      <c r="DB19" s="688">
        <f>IFERROR(__xludf.DUMMYFUNCTION("""COMPUTED_VALUE"""),0.0)</f>
        <v>0</v>
      </c>
      <c r="DC19" s="139" t="str">
        <f>IFERROR(__xludf.DUMMYFUNCTION("""COMPUTED_VALUE"""),"-")</f>
        <v>-</v>
      </c>
      <c r="DD19" s="673" t="str">
        <f>IFERROR(__xludf.DUMMYFUNCTION("""COMPUTED_VALUE"""),"-")</f>
        <v>-</v>
      </c>
      <c r="DE19" s="139" t="str">
        <f>IFERROR(__xludf.DUMMYFUNCTION("""COMPUTED_VALUE"""),"-")</f>
        <v>-</v>
      </c>
      <c r="DF19" s="139" t="str">
        <f>IFERROR(__xludf.DUMMYFUNCTION("""COMPUTED_VALUE"""),"-")</f>
        <v>-</v>
      </c>
      <c r="DG19" s="139" t="str">
        <f>IFERROR(__xludf.DUMMYFUNCTION("""COMPUTED_VALUE"""),"-")</f>
        <v>-</v>
      </c>
      <c r="DH19" s="139" t="str">
        <f>IFERROR(__xludf.DUMMYFUNCTION("""COMPUTED_VALUE"""),"-")</f>
        <v>-</v>
      </c>
      <c r="DI19" s="139" t="str">
        <f>IFERROR(__xludf.DUMMYFUNCTION("""COMPUTED_VALUE"""),"-")</f>
        <v>-</v>
      </c>
      <c r="DJ19" s="139" t="str">
        <f>IFERROR(__xludf.DUMMYFUNCTION("""COMPUTED_VALUE"""),"-")</f>
        <v>-</v>
      </c>
    </row>
    <row r="20">
      <c r="A20" s="139" t="str">
        <f>IFERROR(__xludf.DUMMYFUNCTION("""COMPUTED_VALUE"""),"該当なし")</f>
        <v>該当なし</v>
      </c>
      <c r="B20" s="139" t="str">
        <f>IFERROR(__xludf.DUMMYFUNCTION("""COMPUTED_VALUE"""),"該当なし")</f>
        <v>該当なし</v>
      </c>
      <c r="C20" s="139"/>
      <c r="D20" s="139" t="str">
        <f>IFERROR(__xludf.DUMMYFUNCTION("""COMPUTED_VALUE"""),"#N/A")</f>
        <v>#N/A</v>
      </c>
      <c r="E20" s="139" t="str">
        <f>IFERROR(__xludf.DUMMYFUNCTION("""COMPUTED_VALUE"""),"#N/A")</f>
        <v>#N/A</v>
      </c>
      <c r="F20" s="139" t="str">
        <f>IFERROR(__xludf.DUMMYFUNCTION("""COMPUTED_VALUE"""),"#N/A")</f>
        <v>#N/A</v>
      </c>
      <c r="G20" s="139" t="str">
        <f>IFERROR(__xludf.DUMMYFUNCTION("""COMPUTED_VALUE"""),"該当なし")</f>
        <v>該当なし</v>
      </c>
      <c r="H20" s="139" t="str">
        <f>IFERROR(__xludf.DUMMYFUNCTION("""COMPUTED_VALUE"""),"#N/A")</f>
        <v>#N/A</v>
      </c>
      <c r="I20" s="139" t="str">
        <f>IFERROR(__xludf.DUMMYFUNCTION("""COMPUTED_VALUE"""),"#N/A")</f>
        <v>#N/A</v>
      </c>
      <c r="J20" s="139" t="str">
        <f>IFERROR(__xludf.DUMMYFUNCTION("""COMPUTED_VALUE"""),"#N/A")</f>
        <v>#N/A</v>
      </c>
      <c r="K20" s="139" t="str">
        <f>IFERROR(__xludf.DUMMYFUNCTION("""COMPUTED_VALUE"""),"#N/A")</f>
        <v>#N/A</v>
      </c>
      <c r="L20" s="139" t="str">
        <f>IFERROR(__xludf.DUMMYFUNCTION("""COMPUTED_VALUE"""),"※")</f>
        <v>※</v>
      </c>
      <c r="M20" s="674">
        <f>IFERROR(__xludf.DUMMYFUNCTION("""COMPUTED_VALUE"""),0.0)</f>
        <v>0</v>
      </c>
      <c r="N20" s="139">
        <f>IFERROR(__xludf.DUMMYFUNCTION("""COMPUTED_VALUE"""),0.0)</f>
        <v>0</v>
      </c>
      <c r="O20" s="139"/>
      <c r="P20" s="139">
        <f>IFERROR(__xludf.DUMMYFUNCTION("""COMPUTED_VALUE"""),0.0)</f>
        <v>0</v>
      </c>
      <c r="Q20" s="675">
        <f>IFERROR(__xludf.DUMMYFUNCTION("""COMPUTED_VALUE"""),0.0)</f>
        <v>0</v>
      </c>
      <c r="R20" s="675">
        <f>IFERROR(__xludf.DUMMYFUNCTION("""COMPUTED_VALUE"""),0.0)</f>
        <v>0</v>
      </c>
      <c r="S20" s="675">
        <f>IFERROR(__xludf.DUMMYFUNCTION("""COMPUTED_VALUE"""),-2.5)</f>
        <v>-2.5</v>
      </c>
      <c r="T20" s="674" t="str">
        <f>IFERROR(__xludf.DUMMYFUNCTION("""COMPUTED_VALUE"""),"#N/A")</f>
        <v>#N/A</v>
      </c>
      <c r="U20" s="675" t="str">
        <f>IFERROR(__xludf.DUMMYFUNCTION("""COMPUTED_VALUE"""),"#N/A")</f>
        <v>#N/A</v>
      </c>
      <c r="V20" s="675">
        <f>IFERROR(__xludf.DUMMYFUNCTION("""COMPUTED_VALUE"""),0.0)</f>
        <v>0</v>
      </c>
      <c r="W20" s="675" t="str">
        <f>IFERROR(__xludf.DUMMYFUNCTION("""COMPUTED_VALUE"""),"#N/A")</f>
        <v>#N/A</v>
      </c>
      <c r="X20" s="675">
        <f>IFERROR(__xludf.DUMMYFUNCTION("""COMPUTED_VALUE"""),0.0)</f>
        <v>0</v>
      </c>
      <c r="Y20" s="674" t="str">
        <f>IFERROR(__xludf.DUMMYFUNCTION("""COMPUTED_VALUE"""),"#N/A")</f>
        <v>#N/A</v>
      </c>
      <c r="Z20" s="675" t="str">
        <f>IFERROR(__xludf.DUMMYFUNCTION("""COMPUTED_VALUE"""),"#N/A")</f>
        <v>#N/A</v>
      </c>
      <c r="AA20" s="675">
        <f>IFERROR(__xludf.DUMMYFUNCTION("""COMPUTED_VALUE"""),0.0)</f>
        <v>0</v>
      </c>
      <c r="AB20" s="673" t="str">
        <f>IFERROR(__xludf.DUMMYFUNCTION("""COMPUTED_VALUE"""),"#N/A")</f>
        <v>#N/A</v>
      </c>
      <c r="AC20" s="675">
        <f>IFERROR(__xludf.DUMMYFUNCTION("""COMPUTED_VALUE"""),0.0)</f>
        <v>0</v>
      </c>
      <c r="AD20" s="674" t="str">
        <f>IFERROR(__xludf.DUMMYFUNCTION("""COMPUTED_VALUE"""),"#N/A")</f>
        <v>#N/A</v>
      </c>
      <c r="AE20" s="675" t="str">
        <f>IFERROR(__xludf.DUMMYFUNCTION("""COMPUTED_VALUE"""),"#N/A")</f>
        <v>#N/A</v>
      </c>
      <c r="AF20" s="675">
        <f>IFERROR(__xludf.DUMMYFUNCTION("""COMPUTED_VALUE"""),0.0)</f>
        <v>0</v>
      </c>
      <c r="AG20" s="673">
        <f>IFERROR(__xludf.DUMMYFUNCTION("""COMPUTED_VALUE"""),0.0)</f>
        <v>0</v>
      </c>
      <c r="AH20" s="675" t="str">
        <f>IFERROR(__xludf.DUMMYFUNCTION("""COMPUTED_VALUE"""),"#N/A")</f>
        <v>#N/A</v>
      </c>
      <c r="AI20" s="139" t="str">
        <f>IFERROR(__xludf.DUMMYFUNCTION("""COMPUTED_VALUE"""),"#N/A")</f>
        <v>#N/A</v>
      </c>
      <c r="AJ20" s="675" t="str">
        <f>IFERROR(__xludf.DUMMYFUNCTION("""COMPUTED_VALUE"""),"#N/A")</f>
        <v>#N/A</v>
      </c>
      <c r="AK20" s="139" t="str">
        <f>IFERROR(__xludf.DUMMYFUNCTION("""COMPUTED_VALUE"""),"#N/A")</f>
        <v>#N/A</v>
      </c>
      <c r="AL20" s="674" t="str">
        <f>IFERROR(__xludf.DUMMYFUNCTION("""COMPUTED_VALUE"""),"#N/A")</f>
        <v>#N/A</v>
      </c>
      <c r="AM20" s="688" t="str">
        <f>IFERROR(__xludf.DUMMYFUNCTION("""COMPUTED_VALUE"""),"#N/A")</f>
        <v>#N/A</v>
      </c>
      <c r="AN20" s="675" t="str">
        <f>IFERROR(__xludf.DUMMYFUNCTION("""COMPUTED_VALUE"""),"#N/A")</f>
        <v>#N/A</v>
      </c>
      <c r="AO20" s="675" t="str">
        <f>IFERROR(__xludf.DUMMYFUNCTION("""COMPUTED_VALUE"""),"#N/A")</f>
        <v>#N/A</v>
      </c>
      <c r="AP20" s="674">
        <f>IFERROR(__xludf.DUMMYFUNCTION("""COMPUTED_VALUE"""),0.0)</f>
        <v>0</v>
      </c>
      <c r="AQ20" s="673" t="str">
        <f>IFERROR(__xludf.DUMMYFUNCTION("""COMPUTED_VALUE"""),"#N/A")</f>
        <v>#N/A</v>
      </c>
      <c r="AR20" s="673">
        <f>IFERROR(__xludf.DUMMYFUNCTION("""COMPUTED_VALUE"""),0.0)</f>
        <v>0</v>
      </c>
      <c r="AS20" s="673">
        <f>IFERROR(__xludf.DUMMYFUNCTION("""COMPUTED_VALUE"""),0.0)</f>
        <v>0</v>
      </c>
      <c r="AT20" s="673">
        <f>IFERROR(__xludf.DUMMYFUNCTION("""COMPUTED_VALUE"""),0.0)</f>
        <v>0</v>
      </c>
      <c r="AU20" s="675" t="str">
        <f>IFERROR(__xludf.DUMMYFUNCTION("""COMPUTED_VALUE"""),"#N/A")</f>
        <v>#N/A</v>
      </c>
      <c r="AV20" s="675">
        <f>IFERROR(__xludf.DUMMYFUNCTION("""COMPUTED_VALUE"""),0.0)</f>
        <v>0</v>
      </c>
      <c r="AW20" s="139"/>
      <c r="AX20" s="674" t="str">
        <f>IFERROR(__xludf.DUMMYFUNCTION("""COMPUTED_VALUE"""),"※通常攻撃範囲を入力！(CD列)")</f>
        <v>※通常攻撃範囲を入力！(CD列)</v>
      </c>
      <c r="AY20" s="688" t="str">
        <f>IFERROR(__xludf.DUMMYFUNCTION("""COMPUTED_VALUE"""),"#VALUE!")</f>
        <v>#VALUE!</v>
      </c>
      <c r="AZ20" s="674" t="str">
        <f>IFERROR(__xludf.DUMMYFUNCTION("""COMPUTED_VALUE"""),"#N/A")</f>
        <v>#N/A</v>
      </c>
      <c r="BA20" s="688" t="str">
        <f>IFERROR(__xludf.DUMMYFUNCTION("""COMPUTED_VALUE"""),"#VALUE!")</f>
        <v>#VALUE!</v>
      </c>
      <c r="BB20" s="688" t="str">
        <f>IFERROR(__xludf.DUMMYFUNCTION("""COMPUTED_VALUE"""),"-")</f>
        <v>-</v>
      </c>
      <c r="BC20" s="688" t="str">
        <f>IFERROR(__xludf.DUMMYFUNCTION("""COMPUTED_VALUE"""),"#N/A")</f>
        <v>#N/A</v>
      </c>
      <c r="BD20" s="688" t="str">
        <f>IFERROR(__xludf.DUMMYFUNCTION("""COMPUTED_VALUE"""),"#VALUE!")</f>
        <v>#VALUE!</v>
      </c>
      <c r="BE20" s="674" t="str">
        <f>IFERROR(__xludf.DUMMYFUNCTION("""COMPUTED_VALUE"""),"#N/A")</f>
        <v>#N/A</v>
      </c>
      <c r="BF20" s="674">
        <f>IFERROR(__xludf.DUMMYFUNCTION("""COMPUTED_VALUE"""),0.0)</f>
        <v>0</v>
      </c>
      <c r="BG20" s="673">
        <f>IFERROR(__xludf.DUMMYFUNCTION("""COMPUTED_VALUE"""),0.0)</f>
        <v>0</v>
      </c>
      <c r="BH20" s="673" t="str">
        <f>IFERROR(__xludf.DUMMYFUNCTION("""COMPUTED_VALUE"""),"#N/A")</f>
        <v>#N/A</v>
      </c>
      <c r="BI20" s="673" t="str">
        <f>IFERROR(__xludf.DUMMYFUNCTION("""COMPUTED_VALUE"""),"#N/A")</f>
        <v>#N/A</v>
      </c>
      <c r="BJ20" s="673">
        <f>IFERROR(__xludf.DUMMYFUNCTION("""COMPUTED_VALUE"""),0.0)</f>
        <v>0</v>
      </c>
      <c r="BK20" s="673">
        <f>IFERROR(__xludf.DUMMYFUNCTION("""COMPUTED_VALUE"""),0.0)</f>
        <v>0</v>
      </c>
      <c r="BL20" s="673" t="str">
        <f>IFERROR(__xludf.DUMMYFUNCTION("""COMPUTED_VALUE"""),"#N/A")</f>
        <v>#N/A</v>
      </c>
      <c r="BM20" s="674" t="str">
        <f>IFERROR(__xludf.DUMMYFUNCTION("""COMPUTED_VALUE"""),"#N/A")</f>
        <v>#N/A</v>
      </c>
      <c r="BN20" s="674" t="str">
        <f>IFERROR(__xludf.DUMMYFUNCTION("""COMPUTED_VALUE"""),"#N/A")</f>
        <v>#N/A</v>
      </c>
      <c r="BO20" s="675">
        <f>IFERROR(__xludf.DUMMYFUNCTION("""COMPUTED_VALUE"""),0.0)</f>
        <v>0</v>
      </c>
      <c r="BP20" s="675" t="str">
        <f>IFERROR(__xludf.DUMMYFUNCTION("""COMPUTED_VALUE"""),"#N/A")</f>
        <v>#N/A</v>
      </c>
      <c r="BQ20" s="139"/>
      <c r="BR20" s="139" t="str">
        <f>IFERROR(__xludf.DUMMYFUNCTION("""COMPUTED_VALUE"""),"#N/A")</f>
        <v>#N/A</v>
      </c>
      <c r="BS20" s="139" t="str">
        <f>IFERROR(__xludf.DUMMYFUNCTION("""COMPUTED_VALUE"""),"※移動を入力！(BV列)")</f>
        <v>※移動を入力！(BV列)</v>
      </c>
      <c r="BT20" s="139" t="str">
        <f>IFERROR(__xludf.DUMMYFUNCTION("""COMPUTED_VALUE"""),"※攻撃手段を入力(BQ列)")</f>
        <v>※攻撃手段を入力(BQ列)</v>
      </c>
      <c r="BU20" s="139">
        <f>IFERROR(__xludf.DUMMYFUNCTION("""COMPUTED_VALUE"""),0.0)</f>
        <v>0</v>
      </c>
      <c r="BV20" s="139"/>
      <c r="BW20" s="139"/>
      <c r="BX20" s="139" t="str">
        <f>IFERROR(__xludf.DUMMYFUNCTION("""COMPUTED_VALUE"""),"※特性を選択!!(BW列)")</f>
        <v>※特性を選択!!(BW列)</v>
      </c>
      <c r="BY20" s="139" t="str">
        <f>IFERROR(__xludf.DUMMYFUNCTION("""COMPUTED_VALUE"""),"#N/A")</f>
        <v>#N/A</v>
      </c>
      <c r="BZ20" s="139"/>
      <c r="CA20" s="139" t="str">
        <f>IFERROR(__xludf.DUMMYFUNCTION("""COMPUTED_VALUE"""),"※特性を選択!!(BW列)")</f>
        <v>※特性を選択!!(BW列)</v>
      </c>
      <c r="CB20" s="139" t="str">
        <f>IFERROR(__xludf.DUMMYFUNCTION("""COMPUTED_VALUE"""),"#N/A")</f>
        <v>#N/A</v>
      </c>
      <c r="CC20" s="139" t="str">
        <f>IFERROR(__xludf.DUMMYFUNCTION("""COMPUTED_VALUE"""),"該当なし")</f>
        <v>該当なし</v>
      </c>
      <c r="CD20" s="139"/>
      <c r="CE20" s="139" t="str">
        <f>IFERROR(__xludf.DUMMYFUNCTION("""COMPUTED_VALUE"""),"#N/A")</f>
        <v>#N/A</v>
      </c>
      <c r="CF20" s="139" t="str">
        <f>IFERROR(__xludf.DUMMYFUNCTION("""COMPUTED_VALUE"""),"#VALUE!")</f>
        <v>#VALUE!</v>
      </c>
      <c r="CG20" s="139"/>
      <c r="CH20" s="139"/>
      <c r="CI20" s="139" t="str">
        <f>IFERROR(__xludf.DUMMYFUNCTION("""COMPUTED_VALUE"""),"#N/A")</f>
        <v>#N/A</v>
      </c>
      <c r="CJ20" s="139" t="str">
        <f>IFERROR(__xludf.DUMMYFUNCTION("""COMPUTED_VALUE"""),"#VALUE!")</f>
        <v>#VALUE!</v>
      </c>
      <c r="CK20" s="139"/>
      <c r="CL20" s="139"/>
      <c r="CM20" s="139"/>
      <c r="CN20" s="675" t="str">
        <f>IFERROR(__xludf.DUMMYFUNCTION("""COMPUTED_VALUE"""),"#N/A")</f>
        <v>#N/A</v>
      </c>
      <c r="CO20" s="139" t="str">
        <f>IFERROR(__xludf.DUMMYFUNCTION("""COMPUTED_VALUE"""),"-")</f>
        <v>-</v>
      </c>
      <c r="CP20" s="139" t="str">
        <f>IFERROR(__xludf.DUMMYFUNCTION("""COMPUTED_VALUE"""),"-")</f>
        <v>-</v>
      </c>
      <c r="CQ20" s="139" t="str">
        <f>IFERROR(__xludf.DUMMYFUNCTION("""COMPUTED_VALUE"""),"#N/A")</f>
        <v>#N/A</v>
      </c>
      <c r="CR20" s="139"/>
      <c r="CS20" s="139"/>
      <c r="CT20" s="139"/>
      <c r="CU20" s="139"/>
      <c r="CV20" s="139"/>
      <c r="CW20" s="139"/>
      <c r="CX20" s="674" t="str">
        <f>IFERROR(__xludf.DUMMYFUNCTION("""COMPUTED_VALUE"""),"")</f>
        <v/>
      </c>
      <c r="CY20" s="675" t="str">
        <f>IFERROR(__xludf.DUMMYFUNCTION("""COMPUTED_VALUE"""),"")</f>
        <v/>
      </c>
      <c r="CZ20" s="688" t="str">
        <f>IFERROR(__xludf.DUMMYFUNCTION("""COMPUTED_VALUE"""),"-")</f>
        <v>-</v>
      </c>
      <c r="DA20" s="688">
        <f>IFERROR(__xludf.DUMMYFUNCTION("""COMPUTED_VALUE"""),0.0)</f>
        <v>0</v>
      </c>
      <c r="DB20" s="688">
        <f>IFERROR(__xludf.DUMMYFUNCTION("""COMPUTED_VALUE"""),0.0)</f>
        <v>0</v>
      </c>
      <c r="DC20" s="673" t="str">
        <f>IFERROR(__xludf.DUMMYFUNCTION("""COMPUTED_VALUE"""),"-")</f>
        <v>-</v>
      </c>
      <c r="DD20" s="673" t="str">
        <f>IFERROR(__xludf.DUMMYFUNCTION("""COMPUTED_VALUE"""),"-")</f>
        <v>-</v>
      </c>
      <c r="DE20" s="139" t="str">
        <f>IFERROR(__xludf.DUMMYFUNCTION("""COMPUTED_VALUE"""),"-")</f>
        <v>-</v>
      </c>
      <c r="DF20" s="139" t="str">
        <f>IFERROR(__xludf.DUMMYFUNCTION("""COMPUTED_VALUE"""),"-")</f>
        <v>-</v>
      </c>
      <c r="DG20" s="139" t="str">
        <f>IFERROR(__xludf.DUMMYFUNCTION("""COMPUTED_VALUE"""),"-")</f>
        <v>-</v>
      </c>
      <c r="DH20" s="139" t="str">
        <f>IFERROR(__xludf.DUMMYFUNCTION("""COMPUTED_VALUE"""),"-")</f>
        <v>-</v>
      </c>
      <c r="DI20" s="139" t="str">
        <f>IFERROR(__xludf.DUMMYFUNCTION("""COMPUTED_VALUE"""),"-")</f>
        <v>-</v>
      </c>
      <c r="DJ20" s="139" t="str">
        <f>IFERROR(__xludf.DUMMYFUNCTION("""COMPUTED_VALUE"""),"-")</f>
        <v>-</v>
      </c>
    </row>
    <row r="21">
      <c r="A21" s="139" t="str">
        <f>IFERROR(__xludf.DUMMYFUNCTION("""COMPUTED_VALUE"""),"該当なし")</f>
        <v>該当なし</v>
      </c>
      <c r="B21" s="139" t="str">
        <f>IFERROR(__xludf.DUMMYFUNCTION("""COMPUTED_VALUE"""),"該当なし")</f>
        <v>該当なし</v>
      </c>
      <c r="C21" s="139"/>
      <c r="D21" s="139" t="str">
        <f>IFERROR(__xludf.DUMMYFUNCTION("""COMPUTED_VALUE"""),"#N/A")</f>
        <v>#N/A</v>
      </c>
      <c r="E21" s="139" t="str">
        <f>IFERROR(__xludf.DUMMYFUNCTION("""COMPUTED_VALUE"""),"#N/A")</f>
        <v>#N/A</v>
      </c>
      <c r="F21" s="139" t="str">
        <f>IFERROR(__xludf.DUMMYFUNCTION("""COMPUTED_VALUE"""),"#N/A")</f>
        <v>#N/A</v>
      </c>
      <c r="G21" s="139" t="str">
        <f>IFERROR(__xludf.DUMMYFUNCTION("""COMPUTED_VALUE"""),"該当なし")</f>
        <v>該当なし</v>
      </c>
      <c r="H21" s="139" t="str">
        <f>IFERROR(__xludf.DUMMYFUNCTION("""COMPUTED_VALUE"""),"#N/A")</f>
        <v>#N/A</v>
      </c>
      <c r="I21" s="139" t="str">
        <f>IFERROR(__xludf.DUMMYFUNCTION("""COMPUTED_VALUE"""),"#N/A")</f>
        <v>#N/A</v>
      </c>
      <c r="J21" s="139" t="str">
        <f>IFERROR(__xludf.DUMMYFUNCTION("""COMPUTED_VALUE"""),"#N/A")</f>
        <v>#N/A</v>
      </c>
      <c r="K21" s="139" t="str">
        <f>IFERROR(__xludf.DUMMYFUNCTION("""COMPUTED_VALUE"""),"#N/A")</f>
        <v>#N/A</v>
      </c>
      <c r="L21" s="139" t="str">
        <f>IFERROR(__xludf.DUMMYFUNCTION("""COMPUTED_VALUE"""),"※")</f>
        <v>※</v>
      </c>
      <c r="M21" s="674">
        <f>IFERROR(__xludf.DUMMYFUNCTION("""COMPUTED_VALUE"""),0.0)</f>
        <v>0</v>
      </c>
      <c r="N21" s="139">
        <f>IFERROR(__xludf.DUMMYFUNCTION("""COMPUTED_VALUE"""),0.0)</f>
        <v>0</v>
      </c>
      <c r="O21" s="139"/>
      <c r="P21" s="139">
        <f>IFERROR(__xludf.DUMMYFUNCTION("""COMPUTED_VALUE"""),0.0)</f>
        <v>0</v>
      </c>
      <c r="Q21" s="675">
        <f>IFERROR(__xludf.DUMMYFUNCTION("""COMPUTED_VALUE"""),0.0)</f>
        <v>0</v>
      </c>
      <c r="R21" s="675">
        <f>IFERROR(__xludf.DUMMYFUNCTION("""COMPUTED_VALUE"""),0.0)</f>
        <v>0</v>
      </c>
      <c r="S21" s="675">
        <f>IFERROR(__xludf.DUMMYFUNCTION("""COMPUTED_VALUE"""),-2.5)</f>
        <v>-2.5</v>
      </c>
      <c r="T21" s="674" t="str">
        <f>IFERROR(__xludf.DUMMYFUNCTION("""COMPUTED_VALUE"""),"#N/A")</f>
        <v>#N/A</v>
      </c>
      <c r="U21" s="675" t="str">
        <f>IFERROR(__xludf.DUMMYFUNCTION("""COMPUTED_VALUE"""),"#N/A")</f>
        <v>#N/A</v>
      </c>
      <c r="V21" s="675">
        <f>IFERROR(__xludf.DUMMYFUNCTION("""COMPUTED_VALUE"""),0.0)</f>
        <v>0</v>
      </c>
      <c r="W21" s="675" t="str">
        <f>IFERROR(__xludf.DUMMYFUNCTION("""COMPUTED_VALUE"""),"#N/A")</f>
        <v>#N/A</v>
      </c>
      <c r="X21" s="675">
        <f>IFERROR(__xludf.DUMMYFUNCTION("""COMPUTED_VALUE"""),0.0)</f>
        <v>0</v>
      </c>
      <c r="Y21" s="674" t="str">
        <f>IFERROR(__xludf.DUMMYFUNCTION("""COMPUTED_VALUE"""),"#N/A")</f>
        <v>#N/A</v>
      </c>
      <c r="Z21" s="675" t="str">
        <f>IFERROR(__xludf.DUMMYFUNCTION("""COMPUTED_VALUE"""),"#N/A")</f>
        <v>#N/A</v>
      </c>
      <c r="AA21" s="675">
        <f>IFERROR(__xludf.DUMMYFUNCTION("""COMPUTED_VALUE"""),0.0)</f>
        <v>0</v>
      </c>
      <c r="AB21" s="673" t="str">
        <f>IFERROR(__xludf.DUMMYFUNCTION("""COMPUTED_VALUE"""),"#N/A")</f>
        <v>#N/A</v>
      </c>
      <c r="AC21" s="675">
        <f>IFERROR(__xludf.DUMMYFUNCTION("""COMPUTED_VALUE"""),0.0)</f>
        <v>0</v>
      </c>
      <c r="AD21" s="674" t="str">
        <f>IFERROR(__xludf.DUMMYFUNCTION("""COMPUTED_VALUE"""),"#N/A")</f>
        <v>#N/A</v>
      </c>
      <c r="AE21" s="675" t="str">
        <f>IFERROR(__xludf.DUMMYFUNCTION("""COMPUTED_VALUE"""),"#N/A")</f>
        <v>#N/A</v>
      </c>
      <c r="AF21" s="675">
        <f>IFERROR(__xludf.DUMMYFUNCTION("""COMPUTED_VALUE"""),0.0)</f>
        <v>0</v>
      </c>
      <c r="AG21" s="673">
        <f>IFERROR(__xludf.DUMMYFUNCTION("""COMPUTED_VALUE"""),0.0)</f>
        <v>0</v>
      </c>
      <c r="AH21" s="675" t="str">
        <f>IFERROR(__xludf.DUMMYFUNCTION("""COMPUTED_VALUE"""),"#N/A")</f>
        <v>#N/A</v>
      </c>
      <c r="AI21" s="139" t="str">
        <f>IFERROR(__xludf.DUMMYFUNCTION("""COMPUTED_VALUE"""),"#N/A")</f>
        <v>#N/A</v>
      </c>
      <c r="AJ21" s="675" t="str">
        <f>IFERROR(__xludf.DUMMYFUNCTION("""COMPUTED_VALUE"""),"#N/A")</f>
        <v>#N/A</v>
      </c>
      <c r="AK21" s="139" t="str">
        <f>IFERROR(__xludf.DUMMYFUNCTION("""COMPUTED_VALUE"""),"#N/A")</f>
        <v>#N/A</v>
      </c>
      <c r="AL21" s="674" t="str">
        <f>IFERROR(__xludf.DUMMYFUNCTION("""COMPUTED_VALUE"""),"#N/A")</f>
        <v>#N/A</v>
      </c>
      <c r="AM21" s="688" t="str">
        <f>IFERROR(__xludf.DUMMYFUNCTION("""COMPUTED_VALUE"""),"#N/A")</f>
        <v>#N/A</v>
      </c>
      <c r="AN21" s="675" t="str">
        <f>IFERROR(__xludf.DUMMYFUNCTION("""COMPUTED_VALUE"""),"#N/A")</f>
        <v>#N/A</v>
      </c>
      <c r="AO21" s="675" t="str">
        <f>IFERROR(__xludf.DUMMYFUNCTION("""COMPUTED_VALUE"""),"#N/A")</f>
        <v>#N/A</v>
      </c>
      <c r="AP21" s="674">
        <f>IFERROR(__xludf.DUMMYFUNCTION("""COMPUTED_VALUE"""),0.0)</f>
        <v>0</v>
      </c>
      <c r="AQ21" s="673" t="str">
        <f>IFERROR(__xludf.DUMMYFUNCTION("""COMPUTED_VALUE"""),"#N/A")</f>
        <v>#N/A</v>
      </c>
      <c r="AR21" s="673">
        <f>IFERROR(__xludf.DUMMYFUNCTION("""COMPUTED_VALUE"""),0.0)</f>
        <v>0</v>
      </c>
      <c r="AS21" s="673">
        <f>IFERROR(__xludf.DUMMYFUNCTION("""COMPUTED_VALUE"""),0.0)</f>
        <v>0</v>
      </c>
      <c r="AT21" s="673">
        <f>IFERROR(__xludf.DUMMYFUNCTION("""COMPUTED_VALUE"""),0.0)</f>
        <v>0</v>
      </c>
      <c r="AU21" s="675" t="str">
        <f>IFERROR(__xludf.DUMMYFUNCTION("""COMPUTED_VALUE"""),"#N/A")</f>
        <v>#N/A</v>
      </c>
      <c r="AV21" s="675">
        <f>IFERROR(__xludf.DUMMYFUNCTION("""COMPUTED_VALUE"""),0.0)</f>
        <v>0</v>
      </c>
      <c r="AW21" s="139"/>
      <c r="AX21" s="674" t="str">
        <f>IFERROR(__xludf.DUMMYFUNCTION("""COMPUTED_VALUE"""),"※通常攻撃範囲を入力！(CD列)")</f>
        <v>※通常攻撃範囲を入力！(CD列)</v>
      </c>
      <c r="AY21" s="688" t="str">
        <f>IFERROR(__xludf.DUMMYFUNCTION("""COMPUTED_VALUE"""),"#VALUE!")</f>
        <v>#VALUE!</v>
      </c>
      <c r="AZ21" s="674" t="str">
        <f>IFERROR(__xludf.DUMMYFUNCTION("""COMPUTED_VALUE"""),"#N/A")</f>
        <v>#N/A</v>
      </c>
      <c r="BA21" s="688" t="str">
        <f>IFERROR(__xludf.DUMMYFUNCTION("""COMPUTED_VALUE"""),"#VALUE!")</f>
        <v>#VALUE!</v>
      </c>
      <c r="BB21" s="688" t="str">
        <f>IFERROR(__xludf.DUMMYFUNCTION("""COMPUTED_VALUE"""),"-")</f>
        <v>-</v>
      </c>
      <c r="BC21" s="688" t="str">
        <f>IFERROR(__xludf.DUMMYFUNCTION("""COMPUTED_VALUE"""),"#N/A")</f>
        <v>#N/A</v>
      </c>
      <c r="BD21" s="688" t="str">
        <f>IFERROR(__xludf.DUMMYFUNCTION("""COMPUTED_VALUE"""),"#VALUE!")</f>
        <v>#VALUE!</v>
      </c>
      <c r="BE21" s="674" t="str">
        <f>IFERROR(__xludf.DUMMYFUNCTION("""COMPUTED_VALUE"""),"#N/A")</f>
        <v>#N/A</v>
      </c>
      <c r="BF21" s="674">
        <f>IFERROR(__xludf.DUMMYFUNCTION("""COMPUTED_VALUE"""),0.0)</f>
        <v>0</v>
      </c>
      <c r="BG21" s="673">
        <f>IFERROR(__xludf.DUMMYFUNCTION("""COMPUTED_VALUE"""),0.0)</f>
        <v>0</v>
      </c>
      <c r="BH21" s="673" t="str">
        <f>IFERROR(__xludf.DUMMYFUNCTION("""COMPUTED_VALUE"""),"#N/A")</f>
        <v>#N/A</v>
      </c>
      <c r="BI21" s="673" t="str">
        <f>IFERROR(__xludf.DUMMYFUNCTION("""COMPUTED_VALUE"""),"#N/A")</f>
        <v>#N/A</v>
      </c>
      <c r="BJ21" s="673">
        <f>IFERROR(__xludf.DUMMYFUNCTION("""COMPUTED_VALUE"""),0.0)</f>
        <v>0</v>
      </c>
      <c r="BK21" s="673">
        <f>IFERROR(__xludf.DUMMYFUNCTION("""COMPUTED_VALUE"""),0.0)</f>
        <v>0</v>
      </c>
      <c r="BL21" s="673" t="str">
        <f>IFERROR(__xludf.DUMMYFUNCTION("""COMPUTED_VALUE"""),"#N/A")</f>
        <v>#N/A</v>
      </c>
      <c r="BM21" s="674" t="str">
        <f>IFERROR(__xludf.DUMMYFUNCTION("""COMPUTED_VALUE"""),"#N/A")</f>
        <v>#N/A</v>
      </c>
      <c r="BN21" s="674" t="str">
        <f>IFERROR(__xludf.DUMMYFUNCTION("""COMPUTED_VALUE"""),"#N/A")</f>
        <v>#N/A</v>
      </c>
      <c r="BO21" s="675">
        <f>IFERROR(__xludf.DUMMYFUNCTION("""COMPUTED_VALUE"""),0.0)</f>
        <v>0</v>
      </c>
      <c r="BP21" s="675" t="str">
        <f>IFERROR(__xludf.DUMMYFUNCTION("""COMPUTED_VALUE"""),"#N/A")</f>
        <v>#N/A</v>
      </c>
      <c r="BQ21" s="139"/>
      <c r="BR21" s="139" t="str">
        <f>IFERROR(__xludf.DUMMYFUNCTION("""COMPUTED_VALUE"""),"#N/A")</f>
        <v>#N/A</v>
      </c>
      <c r="BS21" s="139" t="str">
        <f>IFERROR(__xludf.DUMMYFUNCTION("""COMPUTED_VALUE"""),"※移動を入力！(BV列)")</f>
        <v>※移動を入力！(BV列)</v>
      </c>
      <c r="BT21" s="139" t="str">
        <f>IFERROR(__xludf.DUMMYFUNCTION("""COMPUTED_VALUE"""),"※攻撃手段を入力(BQ列)")</f>
        <v>※攻撃手段を入力(BQ列)</v>
      </c>
      <c r="BU21" s="139">
        <f>IFERROR(__xludf.DUMMYFUNCTION("""COMPUTED_VALUE"""),0.0)</f>
        <v>0</v>
      </c>
      <c r="BV21" s="139"/>
      <c r="BW21" s="139"/>
      <c r="BX21" s="139" t="str">
        <f>IFERROR(__xludf.DUMMYFUNCTION("""COMPUTED_VALUE"""),"※特性を選択!!(BW列)")</f>
        <v>※特性を選択!!(BW列)</v>
      </c>
      <c r="BY21" s="139" t="str">
        <f>IFERROR(__xludf.DUMMYFUNCTION("""COMPUTED_VALUE"""),"#N/A")</f>
        <v>#N/A</v>
      </c>
      <c r="BZ21" s="139"/>
      <c r="CA21" s="139" t="str">
        <f>IFERROR(__xludf.DUMMYFUNCTION("""COMPUTED_VALUE"""),"※特性を選択!!(BW列)")</f>
        <v>※特性を選択!!(BW列)</v>
      </c>
      <c r="CB21" s="139" t="str">
        <f>IFERROR(__xludf.DUMMYFUNCTION("""COMPUTED_VALUE"""),"#N/A")</f>
        <v>#N/A</v>
      </c>
      <c r="CC21" s="139" t="str">
        <f>IFERROR(__xludf.DUMMYFUNCTION("""COMPUTED_VALUE"""),"該当なし")</f>
        <v>該当なし</v>
      </c>
      <c r="CD21" s="139"/>
      <c r="CE21" s="139" t="str">
        <f>IFERROR(__xludf.DUMMYFUNCTION("""COMPUTED_VALUE"""),"#N/A")</f>
        <v>#N/A</v>
      </c>
      <c r="CF21" s="139" t="str">
        <f>IFERROR(__xludf.DUMMYFUNCTION("""COMPUTED_VALUE"""),"#VALUE!")</f>
        <v>#VALUE!</v>
      </c>
      <c r="CG21" s="139"/>
      <c r="CH21" s="139"/>
      <c r="CI21" s="139" t="str">
        <f>IFERROR(__xludf.DUMMYFUNCTION("""COMPUTED_VALUE"""),"#N/A")</f>
        <v>#N/A</v>
      </c>
      <c r="CJ21" s="139" t="str">
        <f>IFERROR(__xludf.DUMMYFUNCTION("""COMPUTED_VALUE"""),"#VALUE!")</f>
        <v>#VALUE!</v>
      </c>
      <c r="CK21" s="139"/>
      <c r="CL21" s="139"/>
      <c r="CM21" s="139"/>
      <c r="CN21" s="675" t="str">
        <f>IFERROR(__xludf.DUMMYFUNCTION("""COMPUTED_VALUE"""),"#N/A")</f>
        <v>#N/A</v>
      </c>
      <c r="CO21" s="139" t="str">
        <f>IFERROR(__xludf.DUMMYFUNCTION("""COMPUTED_VALUE"""),"-")</f>
        <v>-</v>
      </c>
      <c r="CP21" s="139" t="str">
        <f>IFERROR(__xludf.DUMMYFUNCTION("""COMPUTED_VALUE"""),"-")</f>
        <v>-</v>
      </c>
      <c r="CQ21" s="139" t="str">
        <f>IFERROR(__xludf.DUMMYFUNCTION("""COMPUTED_VALUE"""),"#N/A")</f>
        <v>#N/A</v>
      </c>
      <c r="CR21" s="139"/>
      <c r="CS21" s="139"/>
      <c r="CT21" s="139"/>
      <c r="CU21" s="139"/>
      <c r="CV21" s="139"/>
      <c r="CW21" s="139"/>
      <c r="CX21" s="674" t="str">
        <f>IFERROR(__xludf.DUMMYFUNCTION("""COMPUTED_VALUE"""),"")</f>
        <v/>
      </c>
      <c r="CY21" s="675" t="str">
        <f>IFERROR(__xludf.DUMMYFUNCTION("""COMPUTED_VALUE"""),"")</f>
        <v/>
      </c>
      <c r="CZ21" s="688" t="str">
        <f>IFERROR(__xludf.DUMMYFUNCTION("""COMPUTED_VALUE"""),"-")</f>
        <v>-</v>
      </c>
      <c r="DA21" s="688">
        <f>IFERROR(__xludf.DUMMYFUNCTION("""COMPUTED_VALUE"""),0.0)</f>
        <v>0</v>
      </c>
      <c r="DB21" s="688">
        <f>IFERROR(__xludf.DUMMYFUNCTION("""COMPUTED_VALUE"""),0.0)</f>
        <v>0</v>
      </c>
      <c r="DC21" s="673" t="str">
        <f>IFERROR(__xludf.DUMMYFUNCTION("""COMPUTED_VALUE"""),"-")</f>
        <v>-</v>
      </c>
      <c r="DD21" s="673" t="str">
        <f>IFERROR(__xludf.DUMMYFUNCTION("""COMPUTED_VALUE"""),"-")</f>
        <v>-</v>
      </c>
      <c r="DE21" s="139" t="str">
        <f>IFERROR(__xludf.DUMMYFUNCTION("""COMPUTED_VALUE"""),"-")</f>
        <v>-</v>
      </c>
      <c r="DF21" s="139" t="str">
        <f>IFERROR(__xludf.DUMMYFUNCTION("""COMPUTED_VALUE"""),"-")</f>
        <v>-</v>
      </c>
      <c r="DG21" s="139" t="str">
        <f>IFERROR(__xludf.DUMMYFUNCTION("""COMPUTED_VALUE"""),"-")</f>
        <v>-</v>
      </c>
      <c r="DH21" s="139" t="str">
        <f>IFERROR(__xludf.DUMMYFUNCTION("""COMPUTED_VALUE"""),"-")</f>
        <v>-</v>
      </c>
      <c r="DI21" s="139" t="str">
        <f>IFERROR(__xludf.DUMMYFUNCTION("""COMPUTED_VALUE"""),"-")</f>
        <v>-</v>
      </c>
      <c r="DJ21" s="139" t="str">
        <f>IFERROR(__xludf.DUMMYFUNCTION("""COMPUTED_VALUE"""),"-")</f>
        <v>-</v>
      </c>
    </row>
    <row r="22">
      <c r="A22" s="139" t="str">
        <f>IFERROR(__xludf.DUMMYFUNCTION("""COMPUTED_VALUE"""),"該当なし")</f>
        <v>該当なし</v>
      </c>
      <c r="B22" s="139" t="str">
        <f>IFERROR(__xludf.DUMMYFUNCTION("""COMPUTED_VALUE"""),"該当なし")</f>
        <v>該当なし</v>
      </c>
      <c r="C22" s="139"/>
      <c r="D22" s="139" t="str">
        <f>IFERROR(__xludf.DUMMYFUNCTION("""COMPUTED_VALUE"""),"#N/A")</f>
        <v>#N/A</v>
      </c>
      <c r="E22" s="139" t="str">
        <f>IFERROR(__xludf.DUMMYFUNCTION("""COMPUTED_VALUE"""),"#N/A")</f>
        <v>#N/A</v>
      </c>
      <c r="F22" s="139" t="str">
        <f>IFERROR(__xludf.DUMMYFUNCTION("""COMPUTED_VALUE"""),"#N/A")</f>
        <v>#N/A</v>
      </c>
      <c r="G22" s="139" t="str">
        <f>IFERROR(__xludf.DUMMYFUNCTION("""COMPUTED_VALUE"""),"該当なし")</f>
        <v>該当なし</v>
      </c>
      <c r="H22" s="139" t="str">
        <f>IFERROR(__xludf.DUMMYFUNCTION("""COMPUTED_VALUE"""),"#N/A")</f>
        <v>#N/A</v>
      </c>
      <c r="I22" s="139" t="str">
        <f>IFERROR(__xludf.DUMMYFUNCTION("""COMPUTED_VALUE"""),"#N/A")</f>
        <v>#N/A</v>
      </c>
      <c r="J22" s="139" t="str">
        <f>IFERROR(__xludf.DUMMYFUNCTION("""COMPUTED_VALUE"""),"#N/A")</f>
        <v>#N/A</v>
      </c>
      <c r="K22" s="139" t="str">
        <f>IFERROR(__xludf.DUMMYFUNCTION("""COMPUTED_VALUE"""),"#N/A")</f>
        <v>#N/A</v>
      </c>
      <c r="L22" s="139" t="str">
        <f>IFERROR(__xludf.DUMMYFUNCTION("""COMPUTED_VALUE"""),"※")</f>
        <v>※</v>
      </c>
      <c r="M22" s="674">
        <f>IFERROR(__xludf.DUMMYFUNCTION("""COMPUTED_VALUE"""),0.0)</f>
        <v>0</v>
      </c>
      <c r="N22" s="139">
        <f>IFERROR(__xludf.DUMMYFUNCTION("""COMPUTED_VALUE"""),0.0)</f>
        <v>0</v>
      </c>
      <c r="O22" s="139"/>
      <c r="P22" s="139">
        <f>IFERROR(__xludf.DUMMYFUNCTION("""COMPUTED_VALUE"""),0.0)</f>
        <v>0</v>
      </c>
      <c r="Q22" s="675">
        <f>IFERROR(__xludf.DUMMYFUNCTION("""COMPUTED_VALUE"""),0.0)</f>
        <v>0</v>
      </c>
      <c r="R22" s="675">
        <f>IFERROR(__xludf.DUMMYFUNCTION("""COMPUTED_VALUE"""),0.0)</f>
        <v>0</v>
      </c>
      <c r="S22" s="675">
        <f>IFERROR(__xludf.DUMMYFUNCTION("""COMPUTED_VALUE"""),-2.5)</f>
        <v>-2.5</v>
      </c>
      <c r="T22" s="674" t="str">
        <f>IFERROR(__xludf.DUMMYFUNCTION("""COMPUTED_VALUE"""),"#N/A")</f>
        <v>#N/A</v>
      </c>
      <c r="U22" s="675" t="str">
        <f>IFERROR(__xludf.DUMMYFUNCTION("""COMPUTED_VALUE"""),"#N/A")</f>
        <v>#N/A</v>
      </c>
      <c r="V22" s="675">
        <f>IFERROR(__xludf.DUMMYFUNCTION("""COMPUTED_VALUE"""),0.0)</f>
        <v>0</v>
      </c>
      <c r="W22" s="675" t="str">
        <f>IFERROR(__xludf.DUMMYFUNCTION("""COMPUTED_VALUE"""),"#N/A")</f>
        <v>#N/A</v>
      </c>
      <c r="X22" s="675">
        <f>IFERROR(__xludf.DUMMYFUNCTION("""COMPUTED_VALUE"""),0.0)</f>
        <v>0</v>
      </c>
      <c r="Y22" s="674" t="str">
        <f>IFERROR(__xludf.DUMMYFUNCTION("""COMPUTED_VALUE"""),"#N/A")</f>
        <v>#N/A</v>
      </c>
      <c r="Z22" s="675" t="str">
        <f>IFERROR(__xludf.DUMMYFUNCTION("""COMPUTED_VALUE"""),"#N/A")</f>
        <v>#N/A</v>
      </c>
      <c r="AA22" s="675">
        <f>IFERROR(__xludf.DUMMYFUNCTION("""COMPUTED_VALUE"""),0.0)</f>
        <v>0</v>
      </c>
      <c r="AB22" s="673" t="str">
        <f>IFERROR(__xludf.DUMMYFUNCTION("""COMPUTED_VALUE"""),"#N/A")</f>
        <v>#N/A</v>
      </c>
      <c r="AC22" s="675">
        <f>IFERROR(__xludf.DUMMYFUNCTION("""COMPUTED_VALUE"""),0.0)</f>
        <v>0</v>
      </c>
      <c r="AD22" s="674" t="str">
        <f>IFERROR(__xludf.DUMMYFUNCTION("""COMPUTED_VALUE"""),"#N/A")</f>
        <v>#N/A</v>
      </c>
      <c r="AE22" s="675" t="str">
        <f>IFERROR(__xludf.DUMMYFUNCTION("""COMPUTED_VALUE"""),"#N/A")</f>
        <v>#N/A</v>
      </c>
      <c r="AF22" s="675">
        <f>IFERROR(__xludf.DUMMYFUNCTION("""COMPUTED_VALUE"""),0.0)</f>
        <v>0</v>
      </c>
      <c r="AG22" s="675">
        <f>IFERROR(__xludf.DUMMYFUNCTION("""COMPUTED_VALUE"""),0.0)</f>
        <v>0</v>
      </c>
      <c r="AH22" s="675" t="str">
        <f>IFERROR(__xludf.DUMMYFUNCTION("""COMPUTED_VALUE"""),"#N/A")</f>
        <v>#N/A</v>
      </c>
      <c r="AI22" s="139" t="str">
        <f>IFERROR(__xludf.DUMMYFUNCTION("""COMPUTED_VALUE"""),"#N/A")</f>
        <v>#N/A</v>
      </c>
      <c r="AJ22" s="675" t="str">
        <f>IFERROR(__xludf.DUMMYFUNCTION("""COMPUTED_VALUE"""),"#N/A")</f>
        <v>#N/A</v>
      </c>
      <c r="AK22" s="139" t="str">
        <f>IFERROR(__xludf.DUMMYFUNCTION("""COMPUTED_VALUE"""),"#N/A")</f>
        <v>#N/A</v>
      </c>
      <c r="AL22" s="674" t="str">
        <f>IFERROR(__xludf.DUMMYFUNCTION("""COMPUTED_VALUE"""),"#N/A")</f>
        <v>#N/A</v>
      </c>
      <c r="AM22" s="688" t="str">
        <f>IFERROR(__xludf.DUMMYFUNCTION("""COMPUTED_VALUE"""),"#N/A")</f>
        <v>#N/A</v>
      </c>
      <c r="AN22" s="675" t="str">
        <f>IFERROR(__xludf.DUMMYFUNCTION("""COMPUTED_VALUE"""),"#N/A")</f>
        <v>#N/A</v>
      </c>
      <c r="AO22" s="675" t="str">
        <f>IFERROR(__xludf.DUMMYFUNCTION("""COMPUTED_VALUE"""),"#N/A")</f>
        <v>#N/A</v>
      </c>
      <c r="AP22" s="674">
        <f>IFERROR(__xludf.DUMMYFUNCTION("""COMPUTED_VALUE"""),0.0)</f>
        <v>0</v>
      </c>
      <c r="AQ22" s="673" t="str">
        <f>IFERROR(__xludf.DUMMYFUNCTION("""COMPUTED_VALUE"""),"#N/A")</f>
        <v>#N/A</v>
      </c>
      <c r="AR22" s="673">
        <f>IFERROR(__xludf.DUMMYFUNCTION("""COMPUTED_VALUE"""),0.0)</f>
        <v>0</v>
      </c>
      <c r="AS22" s="673">
        <f>IFERROR(__xludf.DUMMYFUNCTION("""COMPUTED_VALUE"""),0.0)</f>
        <v>0</v>
      </c>
      <c r="AT22" s="673">
        <f>IFERROR(__xludf.DUMMYFUNCTION("""COMPUTED_VALUE"""),0.0)</f>
        <v>0</v>
      </c>
      <c r="AU22" s="675" t="str">
        <f>IFERROR(__xludf.DUMMYFUNCTION("""COMPUTED_VALUE"""),"#N/A")</f>
        <v>#N/A</v>
      </c>
      <c r="AV22" s="675">
        <f>IFERROR(__xludf.DUMMYFUNCTION("""COMPUTED_VALUE"""),0.0)</f>
        <v>0</v>
      </c>
      <c r="AW22" s="139"/>
      <c r="AX22" s="674" t="str">
        <f>IFERROR(__xludf.DUMMYFUNCTION("""COMPUTED_VALUE"""),"※通常攻撃範囲を入力！(CD列)")</f>
        <v>※通常攻撃範囲を入力！(CD列)</v>
      </c>
      <c r="AY22" s="688" t="str">
        <f>IFERROR(__xludf.DUMMYFUNCTION("""COMPUTED_VALUE"""),"#VALUE!")</f>
        <v>#VALUE!</v>
      </c>
      <c r="AZ22" s="674" t="str">
        <f>IFERROR(__xludf.DUMMYFUNCTION("""COMPUTED_VALUE"""),"#N/A")</f>
        <v>#N/A</v>
      </c>
      <c r="BA22" s="688" t="str">
        <f>IFERROR(__xludf.DUMMYFUNCTION("""COMPUTED_VALUE"""),"#VALUE!")</f>
        <v>#VALUE!</v>
      </c>
      <c r="BB22" s="688" t="str">
        <f>IFERROR(__xludf.DUMMYFUNCTION("""COMPUTED_VALUE"""),"-")</f>
        <v>-</v>
      </c>
      <c r="BC22" s="688" t="str">
        <f>IFERROR(__xludf.DUMMYFUNCTION("""COMPUTED_VALUE"""),"#N/A")</f>
        <v>#N/A</v>
      </c>
      <c r="BD22" s="688" t="str">
        <f>IFERROR(__xludf.DUMMYFUNCTION("""COMPUTED_VALUE"""),"#VALUE!")</f>
        <v>#VALUE!</v>
      </c>
      <c r="BE22" s="674" t="str">
        <f>IFERROR(__xludf.DUMMYFUNCTION("""COMPUTED_VALUE"""),"#N/A")</f>
        <v>#N/A</v>
      </c>
      <c r="BF22" s="674">
        <f>IFERROR(__xludf.DUMMYFUNCTION("""COMPUTED_VALUE"""),0.0)</f>
        <v>0</v>
      </c>
      <c r="BG22" s="673">
        <f>IFERROR(__xludf.DUMMYFUNCTION("""COMPUTED_VALUE"""),0.0)</f>
        <v>0</v>
      </c>
      <c r="BH22" s="673" t="str">
        <f>IFERROR(__xludf.DUMMYFUNCTION("""COMPUTED_VALUE"""),"#N/A")</f>
        <v>#N/A</v>
      </c>
      <c r="BI22" s="673" t="str">
        <f>IFERROR(__xludf.DUMMYFUNCTION("""COMPUTED_VALUE"""),"#N/A")</f>
        <v>#N/A</v>
      </c>
      <c r="BJ22" s="673">
        <f>IFERROR(__xludf.DUMMYFUNCTION("""COMPUTED_VALUE"""),0.0)</f>
        <v>0</v>
      </c>
      <c r="BK22" s="673">
        <f>IFERROR(__xludf.DUMMYFUNCTION("""COMPUTED_VALUE"""),0.0)</f>
        <v>0</v>
      </c>
      <c r="BL22" s="673" t="str">
        <f>IFERROR(__xludf.DUMMYFUNCTION("""COMPUTED_VALUE"""),"#N/A")</f>
        <v>#N/A</v>
      </c>
      <c r="BM22" s="674" t="str">
        <f>IFERROR(__xludf.DUMMYFUNCTION("""COMPUTED_VALUE"""),"#N/A")</f>
        <v>#N/A</v>
      </c>
      <c r="BN22" s="674" t="str">
        <f>IFERROR(__xludf.DUMMYFUNCTION("""COMPUTED_VALUE"""),"#N/A")</f>
        <v>#N/A</v>
      </c>
      <c r="BO22" s="675">
        <f>IFERROR(__xludf.DUMMYFUNCTION("""COMPUTED_VALUE"""),0.0)</f>
        <v>0</v>
      </c>
      <c r="BP22" s="675" t="str">
        <f>IFERROR(__xludf.DUMMYFUNCTION("""COMPUTED_VALUE"""),"#N/A")</f>
        <v>#N/A</v>
      </c>
      <c r="BQ22" s="139"/>
      <c r="BR22" s="139" t="str">
        <f>IFERROR(__xludf.DUMMYFUNCTION("""COMPUTED_VALUE"""),"#N/A")</f>
        <v>#N/A</v>
      </c>
      <c r="BS22" s="139" t="str">
        <f>IFERROR(__xludf.DUMMYFUNCTION("""COMPUTED_VALUE"""),"※移動を入力！(BV列)")</f>
        <v>※移動を入力！(BV列)</v>
      </c>
      <c r="BT22" s="139" t="str">
        <f>IFERROR(__xludf.DUMMYFUNCTION("""COMPUTED_VALUE"""),"※攻撃手段を入力(BQ列)")</f>
        <v>※攻撃手段を入力(BQ列)</v>
      </c>
      <c r="BU22" s="139">
        <f>IFERROR(__xludf.DUMMYFUNCTION("""COMPUTED_VALUE"""),0.0)</f>
        <v>0</v>
      </c>
      <c r="BV22" s="139"/>
      <c r="BW22" s="139"/>
      <c r="BX22" s="139" t="str">
        <f>IFERROR(__xludf.DUMMYFUNCTION("""COMPUTED_VALUE"""),"※特性を選択!!(BW列)")</f>
        <v>※特性を選択!!(BW列)</v>
      </c>
      <c r="BY22" s="139" t="str">
        <f>IFERROR(__xludf.DUMMYFUNCTION("""COMPUTED_VALUE"""),"#N/A")</f>
        <v>#N/A</v>
      </c>
      <c r="BZ22" s="139"/>
      <c r="CA22" s="139" t="str">
        <f>IFERROR(__xludf.DUMMYFUNCTION("""COMPUTED_VALUE"""),"※特性を選択!!(BW列)")</f>
        <v>※特性を選択!!(BW列)</v>
      </c>
      <c r="CB22" s="139" t="str">
        <f>IFERROR(__xludf.DUMMYFUNCTION("""COMPUTED_VALUE"""),"#N/A")</f>
        <v>#N/A</v>
      </c>
      <c r="CC22" s="139" t="str">
        <f>IFERROR(__xludf.DUMMYFUNCTION("""COMPUTED_VALUE"""),"該当なし")</f>
        <v>該当なし</v>
      </c>
      <c r="CD22" s="139"/>
      <c r="CE22" s="139" t="str">
        <f>IFERROR(__xludf.DUMMYFUNCTION("""COMPUTED_VALUE"""),"#N/A")</f>
        <v>#N/A</v>
      </c>
      <c r="CF22" s="139" t="str">
        <f>IFERROR(__xludf.DUMMYFUNCTION("""COMPUTED_VALUE"""),"#VALUE!")</f>
        <v>#VALUE!</v>
      </c>
      <c r="CG22" s="139"/>
      <c r="CH22" s="139"/>
      <c r="CI22" s="139" t="str">
        <f>IFERROR(__xludf.DUMMYFUNCTION("""COMPUTED_VALUE"""),"#N/A")</f>
        <v>#N/A</v>
      </c>
      <c r="CJ22" s="139" t="str">
        <f>IFERROR(__xludf.DUMMYFUNCTION("""COMPUTED_VALUE"""),"#VALUE!")</f>
        <v>#VALUE!</v>
      </c>
      <c r="CK22" s="139"/>
      <c r="CL22" s="139"/>
      <c r="CM22" s="139"/>
      <c r="CN22" s="675" t="str">
        <f>IFERROR(__xludf.DUMMYFUNCTION("""COMPUTED_VALUE"""),"#N/A")</f>
        <v>#N/A</v>
      </c>
      <c r="CO22" s="139" t="str">
        <f>IFERROR(__xludf.DUMMYFUNCTION("""COMPUTED_VALUE"""),"-")</f>
        <v>-</v>
      </c>
      <c r="CP22" s="139" t="str">
        <f>IFERROR(__xludf.DUMMYFUNCTION("""COMPUTED_VALUE"""),"-")</f>
        <v>-</v>
      </c>
      <c r="CQ22" s="139" t="str">
        <f>IFERROR(__xludf.DUMMYFUNCTION("""COMPUTED_VALUE"""),"#N/A")</f>
        <v>#N/A</v>
      </c>
      <c r="CR22" s="139"/>
      <c r="CS22" s="139"/>
      <c r="CT22" s="139"/>
      <c r="CU22" s="139"/>
      <c r="CV22" s="139"/>
      <c r="CW22" s="139"/>
      <c r="CX22" s="674" t="str">
        <f>IFERROR(__xludf.DUMMYFUNCTION("""COMPUTED_VALUE"""),"")</f>
        <v/>
      </c>
      <c r="CY22" s="675" t="str">
        <f>IFERROR(__xludf.DUMMYFUNCTION("""COMPUTED_VALUE"""),"")</f>
        <v/>
      </c>
      <c r="CZ22" s="688" t="str">
        <f>IFERROR(__xludf.DUMMYFUNCTION("""COMPUTED_VALUE"""),"-")</f>
        <v>-</v>
      </c>
      <c r="DA22" s="688">
        <f>IFERROR(__xludf.DUMMYFUNCTION("""COMPUTED_VALUE"""),0.0)</f>
        <v>0</v>
      </c>
      <c r="DB22" s="688">
        <f>IFERROR(__xludf.DUMMYFUNCTION("""COMPUTED_VALUE"""),0.0)</f>
        <v>0</v>
      </c>
      <c r="DC22" s="673" t="str">
        <f>IFERROR(__xludf.DUMMYFUNCTION("""COMPUTED_VALUE"""),"-")</f>
        <v>-</v>
      </c>
      <c r="DD22" s="673" t="str">
        <f>IFERROR(__xludf.DUMMYFUNCTION("""COMPUTED_VALUE"""),"-")</f>
        <v>-</v>
      </c>
      <c r="DE22" s="139" t="str">
        <f>IFERROR(__xludf.DUMMYFUNCTION("""COMPUTED_VALUE"""),"-")</f>
        <v>-</v>
      </c>
      <c r="DF22" s="139" t="str">
        <f>IFERROR(__xludf.DUMMYFUNCTION("""COMPUTED_VALUE"""),"-")</f>
        <v>-</v>
      </c>
      <c r="DG22" s="139" t="str">
        <f>IFERROR(__xludf.DUMMYFUNCTION("""COMPUTED_VALUE"""),"-")</f>
        <v>-</v>
      </c>
      <c r="DH22" s="139" t="str">
        <f>IFERROR(__xludf.DUMMYFUNCTION("""COMPUTED_VALUE"""),"-")</f>
        <v>-</v>
      </c>
      <c r="DI22" s="139" t="str">
        <f>IFERROR(__xludf.DUMMYFUNCTION("""COMPUTED_VALUE"""),"-")</f>
        <v>-</v>
      </c>
      <c r="DJ22" s="139" t="str">
        <f>IFERROR(__xludf.DUMMYFUNCTION("""COMPUTED_VALUE"""),"-")</f>
        <v>-</v>
      </c>
    </row>
    <row r="23">
      <c r="A23" s="139" t="str">
        <f>IFERROR(__xludf.DUMMYFUNCTION("""COMPUTED_VALUE"""),"株式会社マジルミエ")</f>
        <v>株式会社マジルミエ</v>
      </c>
      <c r="B23" s="139" t="str">
        <f>IFERROR(__xludf.DUMMYFUNCTION("""COMPUTED_VALUE"""),"新人魔法少女 桜木 カナ")</f>
        <v>新人魔法少女 桜木 カナ</v>
      </c>
      <c r="C23" s="139" t="str">
        <f>IFERROR(__xludf.DUMMYFUNCTION("""COMPUTED_VALUE"""),"chara_mag_00001")</f>
        <v>chara_mag_00001</v>
      </c>
      <c r="D23" s="139" t="str">
        <f>IFERROR(__xludf.DUMMYFUNCTION("""COMPUTED_VALUE"""),"PremiumUR")</f>
        <v>PremiumUR</v>
      </c>
      <c r="E23" s="139" t="str">
        <f>IFERROR(__xludf.DUMMYFUNCTION("""COMPUTED_VALUE"""),"青")</f>
        <v>青</v>
      </c>
      <c r="F23" s="139" t="str">
        <f>IFERROR(__xludf.DUMMYFUNCTION("""COMPUTED_VALUE"""),"アタック")</f>
        <v>アタック</v>
      </c>
      <c r="G23" s="139" t="str">
        <f>IFERROR(__xludf.DUMMYFUNCTION("""COMPUTED_VALUE"""),"遠距離")</f>
        <v>遠距離</v>
      </c>
      <c r="H23" s="139" t="str">
        <f>IFERROR(__xludf.DUMMYFUNCTION("""COMPUTED_VALUE"""),"shageki_1")</f>
        <v>shageki_1</v>
      </c>
      <c r="I23" s="139" t="str">
        <f>IFERROR(__xludf.DUMMYFUNCTION("""COMPUTED_VALUE"""),"shageki_1")</f>
        <v>shageki_1</v>
      </c>
      <c r="J23" s="139" t="str">
        <f>IFERROR(__xludf.DUMMYFUNCTION("""COMPUTED_VALUE"""),"202509010_リリース")</f>
        <v>202509010_リリース</v>
      </c>
      <c r="K23" s="139" t="str">
        <f>IFERROR(__xludf.DUMMYFUNCTION("""COMPUTED_VALUE"""),"リリース時")</f>
        <v>リリース時</v>
      </c>
      <c r="L23" s="687" t="str">
        <f>IFERROR(__xludf.DUMMYFUNCTION("""COMPUTED_VALUE"""),"※")</f>
        <v>※</v>
      </c>
      <c r="M23" s="674">
        <f>IFERROR(__xludf.DUMMYFUNCTION("""COMPUTED_VALUE"""),980.0)</f>
        <v>980</v>
      </c>
      <c r="N23" s="139">
        <f>IFERROR(__xludf.DUMMYFUNCTION("""COMPUTED_VALUE"""),1000.0)</f>
        <v>1000</v>
      </c>
      <c r="O23" s="139" t="str">
        <f>IFERROR(__xludf.DUMMYFUNCTION("""COMPUTED_VALUE"""),"高コスト")</f>
        <v>高コスト</v>
      </c>
      <c r="P23" s="139">
        <f>IFERROR(__xludf.DUMMYFUNCTION("""COMPUTED_VALUE"""),-50.0)</f>
        <v>-50</v>
      </c>
      <c r="Q23" s="675">
        <f>IFERROR(__xludf.DUMMYFUNCTION("""COMPUTED_VALUE"""),5.0)</f>
        <v>5</v>
      </c>
      <c r="R23" s="675">
        <f>IFERROR(__xludf.DUMMYFUNCTION("""COMPUTED_VALUE"""),25.0)</f>
        <v>25</v>
      </c>
      <c r="S23" s="675">
        <f>IFERROR(__xludf.DUMMYFUNCTION("""COMPUTED_VALUE"""),22.0)</f>
        <v>22</v>
      </c>
      <c r="T23" s="674">
        <f>IFERROR(__xludf.DUMMYFUNCTION("""COMPUTED_VALUE"""),720.0)</f>
        <v>720</v>
      </c>
      <c r="U23" s="675">
        <f>IFERROR(__xludf.DUMMYFUNCTION("""COMPUTED_VALUE"""),14.373333333333335)</f>
        <v>14.37333333</v>
      </c>
      <c r="V23" s="675">
        <f>IFERROR(__xludf.DUMMYFUNCTION("""COMPUTED_VALUE"""),0.0)</f>
        <v>0</v>
      </c>
      <c r="W23" s="675">
        <f>IFERROR(__xludf.DUMMYFUNCTION("""COMPUTED_VALUE"""),0.0)</f>
        <v>0</v>
      </c>
      <c r="X23" s="675">
        <f>IFERROR(__xludf.DUMMYFUNCTION("""COMPUTED_VALUE"""),0.0)</f>
        <v>0</v>
      </c>
      <c r="Y23" s="674">
        <f>IFERROR(__xludf.DUMMYFUNCTION("""COMPUTED_VALUE"""),375.0)</f>
        <v>375</v>
      </c>
      <c r="Z23" s="675">
        <f>IFERROR(__xludf.DUMMYFUNCTION("""COMPUTED_VALUE"""),7.513333333333333)</f>
        <v>7.513333333</v>
      </c>
      <c r="AA23" s="675">
        <f>IFERROR(__xludf.DUMMYFUNCTION("""COMPUTED_VALUE"""),0.0)</f>
        <v>0</v>
      </c>
      <c r="AB23" s="673">
        <f>IFERROR(__xludf.DUMMYFUNCTION("""COMPUTED_VALUE"""),0.0)</f>
        <v>0</v>
      </c>
      <c r="AC23" s="675">
        <f>IFERROR(__xludf.DUMMYFUNCTION("""COMPUTED_VALUE"""),0.0)</f>
        <v>0</v>
      </c>
      <c r="AD23" s="674">
        <f>IFERROR(__xludf.DUMMYFUNCTION("""COMPUTED_VALUE"""),1405.0)</f>
        <v>1405</v>
      </c>
      <c r="AE23" s="675">
        <f>IFERROR(__xludf.DUMMYFUNCTION("""COMPUTED_VALUE"""),28.116424618598526)</f>
        <v>28.11642462</v>
      </c>
      <c r="AF23" s="675">
        <f>IFERROR(__xludf.DUMMYFUNCTION("""COMPUTED_VALUE"""),0.0)</f>
        <v>0</v>
      </c>
      <c r="AG23" s="675">
        <f>IFERROR(__xludf.DUMMYFUNCTION("""COMPUTED_VALUE"""),14.058212309299263)</f>
        <v>14.05821231</v>
      </c>
      <c r="AH23" s="675">
        <f>IFERROR(__xludf.DUMMYFUNCTION("""COMPUTED_VALUE"""),0.0)</f>
        <v>0</v>
      </c>
      <c r="AI23" s="139">
        <f>IFERROR(__xludf.DUMMYFUNCTION("""COMPUTED_VALUE"""),6.0)</f>
        <v>6</v>
      </c>
      <c r="AJ23" s="139" t="str">
        <f>IFERROR(__xludf.DUMMYFUNCTION("""COMPUTED_VALUE"""),"-")</f>
        <v>-</v>
      </c>
      <c r="AK23" s="139">
        <f>IFERROR(__xludf.DUMMYFUNCTION("""COMPUTED_VALUE"""),1.0)</f>
        <v>1</v>
      </c>
      <c r="AL23" s="674">
        <f>IFERROR(__xludf.DUMMYFUNCTION("""COMPUTED_VALUE"""),1960.0)</f>
        <v>1960</v>
      </c>
      <c r="AM23" s="688">
        <f>IFERROR(__xludf.DUMMYFUNCTION("""COMPUTED_VALUE"""),16018.095113792047)</f>
        <v>16018.09511</v>
      </c>
      <c r="AN23" s="675">
        <f>IFERROR(__xludf.DUMMYFUNCTION("""COMPUTED_VALUE"""),13.066666666666666)</f>
        <v>13.06666667</v>
      </c>
      <c r="AO23" s="675">
        <f>IFERROR(__xludf.DUMMYFUNCTION("""COMPUTED_VALUE"""),6.533333333333333)</f>
        <v>6.533333333</v>
      </c>
      <c r="AP23" s="674">
        <f>IFERROR(__xludf.DUMMYFUNCTION("""COMPUTED_VALUE"""),3920.0)</f>
        <v>3920</v>
      </c>
      <c r="AQ23" s="673">
        <f>IFERROR(__xludf.DUMMYFUNCTION("""COMPUTED_VALUE"""),-0.2)</f>
        <v>-0.2</v>
      </c>
      <c r="AR23" s="673">
        <f>IFERROR(__xludf.DUMMYFUNCTION("""COMPUTED_VALUE"""),0.0)</f>
        <v>0</v>
      </c>
      <c r="AS23" s="673">
        <f>IFERROR(__xludf.DUMMYFUNCTION("""COMPUTED_VALUE"""),-0.3)</f>
        <v>-0.3</v>
      </c>
      <c r="AT23" s="673">
        <f>IFERROR(__xludf.DUMMYFUNCTION("""COMPUTED_VALUE"""),0.0)</f>
        <v>0</v>
      </c>
      <c r="AU23" s="673">
        <f>IFERROR(__xludf.DUMMYFUNCTION("""COMPUTED_VALUE"""),0.0)</f>
        <v>0</v>
      </c>
      <c r="AV23" s="673">
        <f>IFERROR(__xludf.DUMMYFUNCTION("""COMPUTED_VALUE"""),0.0)</f>
        <v>0</v>
      </c>
      <c r="AW23" s="139"/>
      <c r="AX23" s="674">
        <f>IFERROR(__xludf.DUMMYFUNCTION("""COMPUTED_VALUE"""),9570.0)</f>
        <v>9570</v>
      </c>
      <c r="AY23" s="688">
        <f>IFERROR(__xludf.DUMMYFUNCTION("""COMPUTED_VALUE"""),78217.63910152546)</f>
        <v>78217.6391</v>
      </c>
      <c r="AZ23" s="674">
        <f>IFERROR(__xludf.DUMMYFUNCTION("""COMPUTED_VALUE"""),3190.0)</f>
        <v>3190</v>
      </c>
      <c r="BA23" s="688">
        <f>IFERROR(__xludf.DUMMYFUNCTION("""COMPUTED_VALUE"""),26072.546367175153)</f>
        <v>26072.54637</v>
      </c>
      <c r="BB23" s="688" t="str">
        <f>IFERROR(__xludf.DUMMYFUNCTION("""COMPUTED_VALUE"""),"-")</f>
        <v>-</v>
      </c>
      <c r="BC23" s="688" t="str">
        <f>IFERROR(__xludf.DUMMYFUNCTION("""COMPUTED_VALUE"""),"#VALUE!")</f>
        <v>#VALUE!</v>
      </c>
      <c r="BD23" s="688" t="str">
        <f>IFERROR(__xludf.DUMMYFUNCTION("""COMPUTED_VALUE"""),"#VALUE!")</f>
        <v>#VALUE!</v>
      </c>
      <c r="BE23" s="674">
        <f>IFERROR(__xludf.DUMMYFUNCTION("""COMPUTED_VALUE"""),3190.0)</f>
        <v>3190</v>
      </c>
      <c r="BF23" s="674">
        <f>IFERROR(__xludf.DUMMYFUNCTION("""COMPUTED_VALUE"""),2450.0)</f>
        <v>2450</v>
      </c>
      <c r="BG23" s="673">
        <f>IFERROR(__xludf.DUMMYFUNCTION("""COMPUTED_VALUE"""),0.0)</f>
        <v>0</v>
      </c>
      <c r="BH23" s="673">
        <f>IFERROR(__xludf.DUMMYFUNCTION("""COMPUTED_VALUE"""),0.3)</f>
        <v>0.3</v>
      </c>
      <c r="BI23" s="673">
        <f>IFERROR(__xludf.DUMMYFUNCTION("""COMPUTED_VALUE"""),0.0)</f>
        <v>0</v>
      </c>
      <c r="BJ23" s="673">
        <f>IFERROR(__xludf.DUMMYFUNCTION("""COMPUTED_VALUE"""),0.0)</f>
        <v>0</v>
      </c>
      <c r="BK23" s="673">
        <f>IFERROR(__xludf.DUMMYFUNCTION("""COMPUTED_VALUE"""),0.0)</f>
        <v>0</v>
      </c>
      <c r="BL23" s="673">
        <f>IFERROR(__xludf.DUMMYFUNCTION("""COMPUTED_VALUE"""),0.0)</f>
        <v>0</v>
      </c>
      <c r="BM23" s="674">
        <f>IFERROR(__xludf.DUMMYFUNCTION("""COMPUTED_VALUE"""),150.0)</f>
        <v>150</v>
      </c>
      <c r="BN23" s="674">
        <f>IFERROR(__xludf.DUMMYFUNCTION("""COMPUTED_VALUE"""),150.0)</f>
        <v>150</v>
      </c>
      <c r="BO23" s="675">
        <f>IFERROR(__xludf.DUMMYFUNCTION("""COMPUTED_VALUE"""),0.0)</f>
        <v>0</v>
      </c>
      <c r="BP23" s="675">
        <f>IFERROR(__xludf.DUMMYFUNCTION("""COMPUTED_VALUE"""),3.0)</f>
        <v>3</v>
      </c>
      <c r="BQ23" s="675" t="str">
        <f>IFERROR(__xludf.DUMMYFUNCTION("""COMPUTED_VALUE"""),"※")</f>
        <v>※</v>
      </c>
      <c r="BR23" s="139">
        <f>IFERROR(__xludf.DUMMYFUNCTION("""COMPUTED_VALUE"""),3.0)</f>
        <v>3</v>
      </c>
      <c r="BS23" s="139">
        <f>IFERROR(__xludf.DUMMYFUNCTION("""COMPUTED_VALUE"""),45.0)</f>
        <v>45</v>
      </c>
      <c r="BT23" s="139">
        <f>IFERROR(__xludf.DUMMYFUNCTION("""COMPUTED_VALUE"""),0.59)</f>
        <v>0.59</v>
      </c>
      <c r="BU23" s="139">
        <f>IFERROR(__xludf.DUMMYFUNCTION("""COMPUTED_VALUE"""),0.0)</f>
        <v>0</v>
      </c>
      <c r="BV23" s="139" t="str">
        <f>IFERROR(__xludf.DUMMYFUNCTION("""COMPUTED_VALUE"""),"速い-普通")</f>
        <v>速い-普通</v>
      </c>
      <c r="BW23" s="139" t="str">
        <f>IFERROR(__xludf.DUMMYFUNCTION("""COMPUTED_VALUE"""),"氷結攻撃無効化")</f>
        <v>氷結攻撃無効化</v>
      </c>
      <c r="BX23" s="139">
        <f>IFERROR(__xludf.DUMMYFUNCTION("""COMPUTED_VALUE"""),50.0)</f>
        <v>50</v>
      </c>
      <c r="BY23" s="139">
        <f>IFERROR(__xludf.DUMMYFUNCTION("""COMPUTED_VALUE"""),0.0)</f>
        <v>0</v>
      </c>
      <c r="BZ23" s="139" t="str">
        <f>IFERROR(__xludf.DUMMYFUNCTION("""COMPUTED_VALUE"""),"攻撃UPコマ効果UP")</f>
        <v>攻撃UPコマ効果UP</v>
      </c>
      <c r="CA23" s="139">
        <f>IFERROR(__xludf.DUMMYFUNCTION("""COMPUTED_VALUE"""),25.0)</f>
        <v>25</v>
      </c>
      <c r="CB23" s="139">
        <f>IFERROR(__xludf.DUMMYFUNCTION("""COMPUTED_VALUE"""),4.0)</f>
        <v>4</v>
      </c>
      <c r="CC23" s="139" t="str">
        <f>IFERROR(__xludf.DUMMYFUNCTION("""COMPUTED_VALUE"""),"遠距離")</f>
        <v>遠距離</v>
      </c>
      <c r="CD23" s="139" t="str">
        <f>IFERROR(__xludf.DUMMYFUNCTION("""COMPUTED_VALUE"""),"単体")</f>
        <v>単体</v>
      </c>
      <c r="CE23" s="139">
        <f>IFERROR(__xludf.DUMMYFUNCTION("""COMPUTED_VALUE"""),1.0)</f>
        <v>1</v>
      </c>
      <c r="CF23" s="139">
        <f>IFERROR(__xludf.DUMMYFUNCTION("""COMPUTED_VALUE"""),0.6)</f>
        <v>0.6</v>
      </c>
      <c r="CG23" s="139" t="str">
        <f>IFERROR(__xludf.DUMMYFUNCTION("""COMPUTED_VALUE"""),"遠距離")</f>
        <v>遠距離</v>
      </c>
      <c r="CH23" s="139" t="str">
        <f>IFERROR(__xludf.DUMMYFUNCTION("""COMPUTED_VALUE"""),"範囲(小：威力減)")</f>
        <v>範囲(小：威力減)</v>
      </c>
      <c r="CI23" s="139">
        <f>IFERROR(__xludf.DUMMYFUNCTION("""COMPUTED_VALUE"""),0.5)</f>
        <v>0.5</v>
      </c>
      <c r="CJ23" s="139">
        <f>IFERROR(__xludf.DUMMYFUNCTION("""COMPUTED_VALUE"""),0.7)</f>
        <v>0.7</v>
      </c>
      <c r="CK23" s="139" t="str">
        <f>IFERROR(__xludf.DUMMYFUNCTION("""COMPUTED_VALUE"""),"敵")</f>
        <v>敵</v>
      </c>
      <c r="CL23" s="139" t="str">
        <f>IFERROR(__xludf.DUMMYFUNCTION("""COMPUTED_VALUE"""),"All")</f>
        <v>All</v>
      </c>
      <c r="CM23" s="139" t="str">
        <f>IFERROR(__xludf.DUMMYFUNCTION("""COMPUTED_VALUE"""),"All")</f>
        <v>All</v>
      </c>
      <c r="CN23" s="675">
        <f>IFERROR(__xludf.DUMMYFUNCTION("""COMPUTED_VALUE"""),28.116424618598526)</f>
        <v>28.11642462</v>
      </c>
      <c r="CO23" s="139" t="str">
        <f>IFERROR(__xludf.DUMMYFUNCTION("""COMPUTED_VALUE"""),"-")</f>
        <v>-</v>
      </c>
      <c r="CP23" s="139" t="str">
        <f>IFERROR(__xludf.DUMMYFUNCTION("""COMPUTED_VALUE"""),"-")</f>
        <v>-</v>
      </c>
      <c r="CQ23" s="139" t="str">
        <f>IFERROR(__xludf.DUMMYFUNCTION("""COMPUTED_VALUE"""),"-")</f>
        <v>-</v>
      </c>
      <c r="CR23" s="139" t="str">
        <f>IFERROR(__xludf.DUMMYFUNCTION("""COMPUTED_VALUE"""),"-")</f>
        <v>-</v>
      </c>
      <c r="CS23" s="673" t="str">
        <f>IFERROR(__xludf.DUMMYFUNCTION("""COMPUTED_VALUE"""),"連続攻撃")</f>
        <v>連続攻撃</v>
      </c>
      <c r="CT23" s="139" t="str">
        <f>IFERROR(__xludf.DUMMYFUNCTION("""COMPUTED_VALUE"""),"-")</f>
        <v>-</v>
      </c>
      <c r="CU23" s="139" t="str">
        <f>IFERROR(__xludf.DUMMYFUNCTION("""COMPUTED_VALUE"""),"敵")</f>
        <v>敵</v>
      </c>
      <c r="CV23" s="139" t="str">
        <f>IFERROR(__xludf.DUMMYFUNCTION("""COMPUTED_VALUE"""),"All")</f>
        <v>All</v>
      </c>
      <c r="CW23" s="139" t="str">
        <f>IFERROR(__xludf.DUMMYFUNCTION("""COMPUTED_VALUE"""),"All")</f>
        <v>All</v>
      </c>
      <c r="CX23" s="674">
        <f>IFERROR(__xludf.DUMMYFUNCTION("""COMPUTED_VALUE"""),113.0)</f>
        <v>113</v>
      </c>
      <c r="CY23" s="139" t="str">
        <f>IFERROR(__xludf.DUMMYFUNCTION("""COMPUTED_VALUE"""),"-")</f>
        <v>-</v>
      </c>
      <c r="CZ23" s="688">
        <f>IFERROR(__xludf.DUMMYFUNCTION("""COMPUTED_VALUE"""),88386.0)</f>
        <v>88386</v>
      </c>
      <c r="DA23" s="688">
        <f>IFERROR(__xludf.DUMMYFUNCTION("""COMPUTED_VALUE"""),3392.140322438974)</f>
        <v>3392.140322</v>
      </c>
      <c r="DB23" s="688">
        <f>IFERROR(__xludf.DUMMYFUNCTION("""COMPUTED_VALUE"""),16960.70161219487)</f>
        <v>16960.70161</v>
      </c>
      <c r="DC23" s="139" t="str">
        <f>IFERROR(__xludf.DUMMYFUNCTION("""COMPUTED_VALUE"""),"-")</f>
        <v>-</v>
      </c>
      <c r="DD23" s="673" t="str">
        <f>IFERROR(__xludf.DUMMYFUNCTION("""COMPUTED_VALUE"""),"-")</f>
        <v>-</v>
      </c>
      <c r="DE23" s="139" t="str">
        <f>IFERROR(__xludf.DUMMYFUNCTION("""COMPUTED_VALUE"""),"-")</f>
        <v>-</v>
      </c>
      <c r="DF23" s="139" t="str">
        <f>IFERROR(__xludf.DUMMYFUNCTION("""COMPUTED_VALUE"""),"-")</f>
        <v>-</v>
      </c>
      <c r="DG23" s="139" t="str">
        <f>IFERROR(__xludf.DUMMYFUNCTION("""COMPUTED_VALUE"""),"-")</f>
        <v>-</v>
      </c>
      <c r="DH23" s="139" t="str">
        <f>IFERROR(__xludf.DUMMYFUNCTION("""COMPUTED_VALUE"""),"-")</f>
        <v>-</v>
      </c>
      <c r="DI23" s="139" t="str">
        <f>IFERROR(__xludf.DUMMYFUNCTION("""COMPUTED_VALUE"""),"-")</f>
        <v>-</v>
      </c>
      <c r="DJ23" s="139" t="str">
        <f>IFERROR(__xludf.DUMMYFUNCTION("""COMPUTED_VALUE"""),"-")</f>
        <v>-</v>
      </c>
    </row>
    <row r="24">
      <c r="A24" s="139" t="str">
        <f>IFERROR(__xludf.DUMMYFUNCTION("""COMPUTED_VALUE"""),"チェンソーマン")</f>
        <v>チェンソーマン</v>
      </c>
      <c r="B24" s="139" t="str">
        <f>IFERROR(__xludf.DUMMYFUNCTION("""COMPUTED_VALUE"""),"早川 アキ")</f>
        <v>早川 アキ</v>
      </c>
      <c r="C24" s="139" t="str">
        <f>IFERROR(__xludf.DUMMYFUNCTION("""COMPUTED_VALUE"""),"chara_chi_00201")</f>
        <v>chara_chi_00201</v>
      </c>
      <c r="D24" s="139" t="str">
        <f>IFERROR(__xludf.DUMMYFUNCTION("""COMPUTED_VALUE"""),"PremiumSSR")</f>
        <v>PremiumSSR</v>
      </c>
      <c r="E24" s="139" t="str">
        <f>IFERROR(__xludf.DUMMYFUNCTION("""COMPUTED_VALUE"""),"緑")</f>
        <v>緑</v>
      </c>
      <c r="F24" s="139" t="str">
        <f>IFERROR(__xludf.DUMMYFUNCTION("""COMPUTED_VALUE"""),"アタック")</f>
        <v>アタック</v>
      </c>
      <c r="G24" s="139" t="str">
        <f>IFERROR(__xludf.DUMMYFUNCTION("""COMPUTED_VALUE"""),"近距離")</f>
        <v>近距離</v>
      </c>
      <c r="H24" s="139" t="str">
        <f>IFERROR(__xludf.DUMMYFUNCTION("""COMPUTED_VALUE"""),"dageki_1")</f>
        <v>dageki_1</v>
      </c>
      <c r="I24" s="139" t="str">
        <f>IFERROR(__xludf.DUMMYFUNCTION("""COMPUTED_VALUE"""),"dageki_2")</f>
        <v>dageki_2</v>
      </c>
      <c r="J24" s="139" t="str">
        <f>IFERROR(__xludf.DUMMYFUNCTION("""COMPUTED_VALUE"""),"202509010_リリース")</f>
        <v>202509010_リリース</v>
      </c>
      <c r="K24" s="139" t="str">
        <f>IFERROR(__xludf.DUMMYFUNCTION("""COMPUTED_VALUE"""),"リリース時")</f>
        <v>リリース時</v>
      </c>
      <c r="L24" s="139" t="str">
        <f>IFERROR(__xludf.DUMMYFUNCTION("""COMPUTED_VALUE"""),"※")</f>
        <v>※</v>
      </c>
      <c r="M24" s="674">
        <f>IFERROR(__xludf.DUMMYFUNCTION("""COMPUTED_VALUE"""),870.0)</f>
        <v>870</v>
      </c>
      <c r="N24" s="139">
        <f>IFERROR(__xludf.DUMMYFUNCTION("""COMPUTED_VALUE"""),1000.0)</f>
        <v>1000</v>
      </c>
      <c r="O24" s="139" t="str">
        <f>IFERROR(__xludf.DUMMYFUNCTION("""COMPUTED_VALUE"""),"高コスト")</f>
        <v>高コスト</v>
      </c>
      <c r="P24" s="139">
        <f>IFERROR(__xludf.DUMMYFUNCTION("""COMPUTED_VALUE"""),-150.0)</f>
        <v>-150</v>
      </c>
      <c r="Q24" s="675">
        <f>IFERROR(__xludf.DUMMYFUNCTION("""COMPUTED_VALUE"""),10.0)</f>
        <v>10</v>
      </c>
      <c r="R24" s="675">
        <f>IFERROR(__xludf.DUMMYFUNCTION("""COMPUTED_VALUE"""),10.0)</f>
        <v>10</v>
      </c>
      <c r="S24" s="675">
        <f>IFERROR(__xludf.DUMMYFUNCTION("""COMPUTED_VALUE"""),19.25)</f>
        <v>19.25</v>
      </c>
      <c r="T24" s="674">
        <f>IFERROR(__xludf.DUMMYFUNCTION("""COMPUTED_VALUE"""),765.0)</f>
        <v>765</v>
      </c>
      <c r="U24" s="675">
        <f>IFERROR(__xludf.DUMMYFUNCTION("""COMPUTED_VALUE"""),15.326666666666668)</f>
        <v>15.32666667</v>
      </c>
      <c r="V24" s="675">
        <f>IFERROR(__xludf.DUMMYFUNCTION("""COMPUTED_VALUE"""),0.0)</f>
        <v>0</v>
      </c>
      <c r="W24" s="675">
        <f>IFERROR(__xludf.DUMMYFUNCTION("""COMPUTED_VALUE"""),0.0)</f>
        <v>0</v>
      </c>
      <c r="X24" s="675">
        <f>IFERROR(__xludf.DUMMYFUNCTION("""COMPUTED_VALUE"""),0.0)</f>
        <v>0</v>
      </c>
      <c r="Y24" s="674">
        <f>IFERROR(__xludf.DUMMYFUNCTION("""COMPUTED_VALUE"""),400.0)</f>
        <v>400</v>
      </c>
      <c r="Z24" s="675">
        <f>IFERROR(__xludf.DUMMYFUNCTION("""COMPUTED_VALUE"""),8.011666666666667)</f>
        <v>8.011666667</v>
      </c>
      <c r="AA24" s="675">
        <f>IFERROR(__xludf.DUMMYFUNCTION("""COMPUTED_VALUE"""),0.0)</f>
        <v>0</v>
      </c>
      <c r="AB24" s="673">
        <f>IFERROR(__xludf.DUMMYFUNCTION("""COMPUTED_VALUE"""),0.0)</f>
        <v>0</v>
      </c>
      <c r="AC24" s="675">
        <f>IFERROR(__xludf.DUMMYFUNCTION("""COMPUTED_VALUE"""),0.0)</f>
        <v>0</v>
      </c>
      <c r="AD24" s="674">
        <f>IFERROR(__xludf.DUMMYFUNCTION("""COMPUTED_VALUE"""),725.0)</f>
        <v>725</v>
      </c>
      <c r="AE24" s="675">
        <f>IFERROR(__xludf.DUMMYFUNCTION("""COMPUTED_VALUE"""),14.516944122874714)</f>
        <v>14.51694412</v>
      </c>
      <c r="AF24" s="675">
        <f>IFERROR(__xludf.DUMMYFUNCTION("""COMPUTED_VALUE"""),0.0)</f>
        <v>0</v>
      </c>
      <c r="AG24" s="675">
        <f>IFERROR(__xludf.DUMMYFUNCTION("""COMPUTED_VALUE"""),0.0)</f>
        <v>0</v>
      </c>
      <c r="AH24" s="675">
        <f>IFERROR(__xludf.DUMMYFUNCTION("""COMPUTED_VALUE"""),0.0)</f>
        <v>0</v>
      </c>
      <c r="AI24" s="139">
        <f>IFERROR(__xludf.DUMMYFUNCTION("""COMPUTED_VALUE"""),6.0)</f>
        <v>6</v>
      </c>
      <c r="AJ24" s="139" t="str">
        <f>IFERROR(__xludf.DUMMYFUNCTION("""COMPUTED_VALUE"""),"-")</f>
        <v>-</v>
      </c>
      <c r="AK24" s="139">
        <f>IFERROR(__xludf.DUMMYFUNCTION("""COMPUTED_VALUE"""),1.0)</f>
        <v>1</v>
      </c>
      <c r="AL24" s="674">
        <f>IFERROR(__xludf.DUMMYFUNCTION("""COMPUTED_VALUE"""),2090.0)</f>
        <v>2090</v>
      </c>
      <c r="AM24" s="688">
        <f>IFERROR(__xludf.DUMMYFUNCTION("""COMPUTED_VALUE"""),15936.548769298664)</f>
        <v>15936.54877</v>
      </c>
      <c r="AN24" s="675">
        <f>IFERROR(__xludf.DUMMYFUNCTION("""COMPUTED_VALUE"""),13.933333333333334)</f>
        <v>13.93333333</v>
      </c>
      <c r="AO24" s="675">
        <f>IFERROR(__xludf.DUMMYFUNCTION("""COMPUTED_VALUE"""),6.966666666666667)</f>
        <v>6.966666667</v>
      </c>
      <c r="AP24" s="674">
        <f>IFERROR(__xludf.DUMMYFUNCTION("""COMPUTED_VALUE"""),2610.0)</f>
        <v>2610</v>
      </c>
      <c r="AQ24" s="673">
        <f>IFERROR(__xludf.DUMMYFUNCTION("""COMPUTED_VALUE"""),-0.2)</f>
        <v>-0.2</v>
      </c>
      <c r="AR24" s="673">
        <f>IFERROR(__xludf.DUMMYFUNCTION("""COMPUTED_VALUE"""),0.0)</f>
        <v>0</v>
      </c>
      <c r="AS24" s="673">
        <f>IFERROR(__xludf.DUMMYFUNCTION("""COMPUTED_VALUE"""),0.0)</f>
        <v>0</v>
      </c>
      <c r="AT24" s="673">
        <f>IFERROR(__xludf.DUMMYFUNCTION("""COMPUTED_VALUE"""),0.0)</f>
        <v>0</v>
      </c>
      <c r="AU24" s="673">
        <f>IFERROR(__xludf.DUMMYFUNCTION("""COMPUTED_VALUE"""),0.0)</f>
        <v>0</v>
      </c>
      <c r="AV24" s="673">
        <f>IFERROR(__xludf.DUMMYFUNCTION("""COMPUTED_VALUE"""),0.0)</f>
        <v>0</v>
      </c>
      <c r="AW24" s="139"/>
      <c r="AX24" s="674">
        <f>IFERROR(__xludf.DUMMYFUNCTION("""COMPUTED_VALUE"""),2260.0)</f>
        <v>2260</v>
      </c>
      <c r="AY24" s="688">
        <f>IFERROR(__xludf.DUMMYFUNCTION("""COMPUTED_VALUE"""),17232.683549576548)</f>
        <v>17232.68355</v>
      </c>
      <c r="AZ24" s="674">
        <f>IFERROR(__xludf.DUMMYFUNCTION("""COMPUTED_VALUE"""),2260.0)</f>
        <v>2260</v>
      </c>
      <c r="BA24" s="688">
        <f>IFERROR(__xludf.DUMMYFUNCTION("""COMPUTED_VALUE"""),17232.683549576548)</f>
        <v>17232.68355</v>
      </c>
      <c r="BB24" s="688" t="str">
        <f>IFERROR(__xludf.DUMMYFUNCTION("""COMPUTED_VALUE"""),"-")</f>
        <v>-</v>
      </c>
      <c r="BC24" s="688" t="str">
        <f>IFERROR(__xludf.DUMMYFUNCTION("""COMPUTED_VALUE"""),"#VALUE!")</f>
        <v>#VALUE!</v>
      </c>
      <c r="BD24" s="688" t="str">
        <f>IFERROR(__xludf.DUMMYFUNCTION("""COMPUTED_VALUE"""),"#VALUE!")</f>
        <v>#VALUE!</v>
      </c>
      <c r="BE24" s="674">
        <f>IFERROR(__xludf.DUMMYFUNCTION("""COMPUTED_VALUE"""),2260.0)</f>
        <v>2260</v>
      </c>
      <c r="BF24" s="674">
        <f>IFERROR(__xludf.DUMMYFUNCTION("""COMPUTED_VALUE"""),1740.0)</f>
        <v>1740</v>
      </c>
      <c r="BG24" s="673">
        <f>IFERROR(__xludf.DUMMYFUNCTION("""COMPUTED_VALUE"""),0.0)</f>
        <v>0</v>
      </c>
      <c r="BH24" s="673">
        <f>IFERROR(__xludf.DUMMYFUNCTION("""COMPUTED_VALUE"""),0.3)</f>
        <v>0.3</v>
      </c>
      <c r="BI24" s="673">
        <f>IFERROR(__xludf.DUMMYFUNCTION("""COMPUTED_VALUE"""),0.0)</f>
        <v>0</v>
      </c>
      <c r="BJ24" s="673">
        <f>IFERROR(__xludf.DUMMYFUNCTION("""COMPUTED_VALUE"""),0.0)</f>
        <v>0</v>
      </c>
      <c r="BK24" s="673">
        <f>IFERROR(__xludf.DUMMYFUNCTION("""COMPUTED_VALUE"""),0.0)</f>
        <v>0</v>
      </c>
      <c r="BL24" s="673">
        <f>IFERROR(__xludf.DUMMYFUNCTION("""COMPUTED_VALUE"""),0.0)</f>
        <v>0</v>
      </c>
      <c r="BM24" s="674">
        <f>IFERROR(__xludf.DUMMYFUNCTION("""COMPUTED_VALUE"""),50.0)</f>
        <v>50</v>
      </c>
      <c r="BN24" s="674">
        <f>IFERROR(__xludf.DUMMYFUNCTION("""COMPUTED_VALUE"""),50.0)</f>
        <v>50</v>
      </c>
      <c r="BO24" s="675">
        <f>IFERROR(__xludf.DUMMYFUNCTION("""COMPUTED_VALUE"""),0.0)</f>
        <v>0</v>
      </c>
      <c r="BP24" s="675">
        <f>IFERROR(__xludf.DUMMYFUNCTION("""COMPUTED_VALUE"""),1.0)</f>
        <v>1</v>
      </c>
      <c r="BQ24" s="675" t="str">
        <f>IFERROR(__xludf.DUMMYFUNCTION("""COMPUTED_VALUE"""),"※")</f>
        <v>※</v>
      </c>
      <c r="BR24" s="139">
        <f>IFERROR(__xludf.DUMMYFUNCTION("""COMPUTED_VALUE"""),2.0)</f>
        <v>2</v>
      </c>
      <c r="BS24" s="139">
        <f>IFERROR(__xludf.DUMMYFUNCTION("""COMPUTED_VALUE"""),35.0)</f>
        <v>35</v>
      </c>
      <c r="BT24" s="139">
        <f>IFERROR(__xludf.DUMMYFUNCTION("""COMPUTED_VALUE"""),0.24)</f>
        <v>0.24</v>
      </c>
      <c r="BU24" s="139">
        <f>IFERROR(__xludf.DUMMYFUNCTION("""COMPUTED_VALUE"""),0.0)</f>
        <v>0</v>
      </c>
      <c r="BV24" s="139" t="str">
        <f>IFERROR(__xludf.DUMMYFUNCTION("""COMPUTED_VALUE"""),"普通")</f>
        <v>普通</v>
      </c>
      <c r="BW24" s="139" t="str">
        <f>IFERROR(__xludf.DUMMYFUNCTION("""COMPUTED_VALUE"""),"攻撃UPコマ効果UP")</f>
        <v>攻撃UPコマ効果UP</v>
      </c>
      <c r="BX24" s="139">
        <f>IFERROR(__xludf.DUMMYFUNCTION("""COMPUTED_VALUE"""),20.0)</f>
        <v>20</v>
      </c>
      <c r="BY24" s="139">
        <f>IFERROR(__xludf.DUMMYFUNCTION("""COMPUTED_VALUE"""),0.0)</f>
        <v>0</v>
      </c>
      <c r="BZ24" s="139" t="str">
        <f>IFERROR(__xludf.DUMMYFUNCTION("""COMPUTED_VALUE"""),"-")</f>
        <v>-</v>
      </c>
      <c r="CA24" s="139" t="str">
        <f>IFERROR(__xludf.DUMMYFUNCTION("""COMPUTED_VALUE"""),"-")</f>
        <v>-</v>
      </c>
      <c r="CB24" s="139" t="str">
        <f>IFERROR(__xludf.DUMMYFUNCTION("""COMPUTED_VALUE"""),"-")</f>
        <v>-</v>
      </c>
      <c r="CC24" s="139" t="str">
        <f>IFERROR(__xludf.DUMMYFUNCTION("""COMPUTED_VALUE"""),"近距離")</f>
        <v>近距離</v>
      </c>
      <c r="CD24" s="139" t="str">
        <f>IFERROR(__xludf.DUMMYFUNCTION("""COMPUTED_VALUE"""),"単体")</f>
        <v>単体</v>
      </c>
      <c r="CE24" s="139">
        <f>IFERROR(__xludf.DUMMYFUNCTION("""COMPUTED_VALUE"""),1.0)</f>
        <v>1</v>
      </c>
      <c r="CF24" s="139">
        <f>IFERROR(__xludf.DUMMYFUNCTION("""COMPUTED_VALUE"""),0.25)</f>
        <v>0.25</v>
      </c>
      <c r="CG24" s="139" t="str">
        <f>IFERROR(__xludf.DUMMYFUNCTION("""COMPUTED_VALUE"""),"近距離")</f>
        <v>近距離</v>
      </c>
      <c r="CH24" s="139" t="str">
        <f>IFERROR(__xludf.DUMMYFUNCTION("""COMPUTED_VALUE"""),"範囲(大)")</f>
        <v>範囲(大)</v>
      </c>
      <c r="CI24" s="139">
        <f>IFERROR(__xludf.DUMMYFUNCTION("""COMPUTED_VALUE"""),0.55)</f>
        <v>0.55</v>
      </c>
      <c r="CJ24" s="139">
        <f>IFERROR(__xludf.DUMMYFUNCTION("""COMPUTED_VALUE"""),0.55)</f>
        <v>0.55</v>
      </c>
      <c r="CK24" s="139" t="str">
        <f>IFERROR(__xludf.DUMMYFUNCTION("""COMPUTED_VALUE"""),"敵")</f>
        <v>敵</v>
      </c>
      <c r="CL24" s="139" t="str">
        <f>IFERROR(__xludf.DUMMYFUNCTION("""COMPUTED_VALUE"""),"All")</f>
        <v>All</v>
      </c>
      <c r="CM24" s="139" t="str">
        <f>IFERROR(__xludf.DUMMYFUNCTION("""COMPUTED_VALUE"""),"All")</f>
        <v>All</v>
      </c>
      <c r="CN24" s="675">
        <f>IFERROR(__xludf.DUMMYFUNCTION("""COMPUTED_VALUE"""),14.516944122874714)</f>
        <v>14.51694412</v>
      </c>
      <c r="CO24" s="139" t="str">
        <f>IFERROR(__xludf.DUMMYFUNCTION("""COMPUTED_VALUE"""),"-")</f>
        <v>-</v>
      </c>
      <c r="CP24" s="139" t="str">
        <f>IFERROR(__xludf.DUMMYFUNCTION("""COMPUTED_VALUE"""),"-")</f>
        <v>-</v>
      </c>
      <c r="CQ24" s="139" t="str">
        <f>IFERROR(__xludf.DUMMYFUNCTION("""COMPUTED_VALUE"""),"-")</f>
        <v>-</v>
      </c>
      <c r="CR24" s="139" t="str">
        <f>IFERROR(__xludf.DUMMYFUNCTION("""COMPUTED_VALUE"""),"-")</f>
        <v>-</v>
      </c>
      <c r="CS24" s="673" t="str">
        <f>IFERROR(__xludf.DUMMYFUNCTION("""COMPUTED_VALUE"""),"攻撃(必殺)")</f>
        <v>攻撃(必殺)</v>
      </c>
      <c r="CT24" s="139" t="str">
        <f>IFERROR(__xludf.DUMMYFUNCTION("""COMPUTED_VALUE"""),"-")</f>
        <v>-</v>
      </c>
      <c r="CU24" s="139" t="str">
        <f>IFERROR(__xludf.DUMMYFUNCTION("""COMPUTED_VALUE"""),"敵")</f>
        <v>敵</v>
      </c>
      <c r="CV24" s="139" t="str">
        <f>IFERROR(__xludf.DUMMYFUNCTION("""COMPUTED_VALUE"""),"All")</f>
        <v>All</v>
      </c>
      <c r="CW24" s="139" t="str">
        <f>IFERROR(__xludf.DUMMYFUNCTION("""COMPUTED_VALUE"""),"All")</f>
        <v>All</v>
      </c>
      <c r="CX24" s="674">
        <f>IFERROR(__xludf.DUMMYFUNCTION("""COMPUTED_VALUE"""),99.0)</f>
        <v>99</v>
      </c>
      <c r="CY24" s="139" t="str">
        <f>IFERROR(__xludf.DUMMYFUNCTION("""COMPUTED_VALUE"""),"-")</f>
        <v>-</v>
      </c>
      <c r="CZ24" s="688">
        <f>IFERROR(__xludf.DUMMYFUNCTION("""COMPUTED_VALUE"""),17060.0)</f>
        <v>17060</v>
      </c>
      <c r="DA24" s="688">
        <f>IFERROR(__xludf.DUMMYFUNCTION("""COMPUTED_VALUE"""),1230.310668298174)</f>
        <v>1230.310668</v>
      </c>
      <c r="DB24" s="688">
        <f>IFERROR(__xludf.DUMMYFUNCTION("""COMPUTED_VALUE"""),6151.5533414908705)</f>
        <v>6151.553341</v>
      </c>
      <c r="DC24" s="139" t="str">
        <f>IFERROR(__xludf.DUMMYFUNCTION("""COMPUTED_VALUE"""),"-")</f>
        <v>-</v>
      </c>
      <c r="DD24" s="673" t="str">
        <f>IFERROR(__xludf.DUMMYFUNCTION("""COMPUTED_VALUE"""),"-")</f>
        <v>-</v>
      </c>
      <c r="DE24" s="139" t="str">
        <f>IFERROR(__xludf.DUMMYFUNCTION("""COMPUTED_VALUE"""),"-")</f>
        <v>-</v>
      </c>
      <c r="DF24" s="139" t="str">
        <f>IFERROR(__xludf.DUMMYFUNCTION("""COMPUTED_VALUE"""),"-")</f>
        <v>-</v>
      </c>
      <c r="DG24" s="139" t="str">
        <f>IFERROR(__xludf.DUMMYFUNCTION("""COMPUTED_VALUE"""),"-")</f>
        <v>-</v>
      </c>
      <c r="DH24" s="139" t="str">
        <f>IFERROR(__xludf.DUMMYFUNCTION("""COMPUTED_VALUE"""),"-")</f>
        <v>-</v>
      </c>
      <c r="DI24" s="139" t="str">
        <f>IFERROR(__xludf.DUMMYFUNCTION("""COMPUTED_VALUE"""),"-")</f>
        <v>-</v>
      </c>
      <c r="DJ24" s="139" t="str">
        <f>IFERROR(__xludf.DUMMYFUNCTION("""COMPUTED_VALUE"""),"-")</f>
        <v>-</v>
      </c>
    </row>
    <row r="25">
      <c r="A25" s="139" t="str">
        <f>IFERROR(__xludf.DUMMYFUNCTION("""COMPUTED_VALUE"""),"チェンソーマン")</f>
        <v>チェンソーマン</v>
      </c>
      <c r="B25" s="139" t="str">
        <f>IFERROR(__xludf.DUMMYFUNCTION("""COMPUTED_VALUE"""),"悪魔が恐れる悪魔 チェンソーマン")</f>
        <v>悪魔が恐れる悪魔 チェンソーマン</v>
      </c>
      <c r="C25" s="139" t="str">
        <f>IFERROR(__xludf.DUMMYFUNCTION("""COMPUTED_VALUE"""),"chara_chi_00002")</f>
        <v>chara_chi_00002</v>
      </c>
      <c r="D25" s="139" t="str">
        <f>IFERROR(__xludf.DUMMYFUNCTION("""COMPUTED_VALUE"""),"PremiumUR")</f>
        <v>PremiumUR</v>
      </c>
      <c r="E25" s="139" t="str">
        <f>IFERROR(__xludf.DUMMYFUNCTION("""COMPUTED_VALUE"""),"黄")</f>
        <v>黄</v>
      </c>
      <c r="F25" s="139" t="str">
        <f>IFERROR(__xludf.DUMMYFUNCTION("""COMPUTED_VALUE"""),"テクニカル")</f>
        <v>テクニカル</v>
      </c>
      <c r="G25" s="139" t="str">
        <f>IFERROR(__xludf.DUMMYFUNCTION("""COMPUTED_VALUE"""),"近距離")</f>
        <v>近距離</v>
      </c>
      <c r="H25" s="139" t="str">
        <f>IFERROR(__xludf.DUMMYFUNCTION("""COMPUTED_VALUE"""),"zangeki_1")</f>
        <v>zangeki_1</v>
      </c>
      <c r="I25" s="139" t="str">
        <f>IFERROR(__xludf.DUMMYFUNCTION("""COMPUTED_VALUE"""),"zangeki_1")</f>
        <v>zangeki_1</v>
      </c>
      <c r="J25" s="139" t="str">
        <f>IFERROR(__xludf.DUMMYFUNCTION("""COMPUTED_VALUE"""),"202509010_リリース")</f>
        <v>202509010_リリース</v>
      </c>
      <c r="K25" s="139" t="str">
        <f>IFERROR(__xludf.DUMMYFUNCTION("""COMPUTED_VALUE"""),"リリース時")</f>
        <v>リリース時</v>
      </c>
      <c r="L25" s="139" t="str">
        <f>IFERROR(__xludf.DUMMYFUNCTION("""COMPUTED_VALUE"""),"※")</f>
        <v>※</v>
      </c>
      <c r="M25" s="674">
        <f>IFERROR(__xludf.DUMMYFUNCTION("""COMPUTED_VALUE"""),850.0)</f>
        <v>850</v>
      </c>
      <c r="N25" s="139">
        <f>IFERROR(__xludf.DUMMYFUNCTION("""COMPUTED_VALUE"""),1000.0)</f>
        <v>1000</v>
      </c>
      <c r="O25" s="139" t="str">
        <f>IFERROR(__xludf.DUMMYFUNCTION("""COMPUTED_VALUE"""),"高コスト")</f>
        <v>高コスト</v>
      </c>
      <c r="P25" s="139">
        <f>IFERROR(__xludf.DUMMYFUNCTION("""COMPUTED_VALUE"""),-200.0)</f>
        <v>-200</v>
      </c>
      <c r="Q25" s="675">
        <f>IFERROR(__xludf.DUMMYFUNCTION("""COMPUTED_VALUE"""),25.0)</f>
        <v>25</v>
      </c>
      <c r="R25" s="675">
        <f>IFERROR(__xludf.DUMMYFUNCTION("""COMPUTED_VALUE"""),25.0)</f>
        <v>25</v>
      </c>
      <c r="S25" s="675">
        <f>IFERROR(__xludf.DUMMYFUNCTION("""COMPUTED_VALUE"""),18.75)</f>
        <v>18.75</v>
      </c>
      <c r="T25" s="674">
        <f>IFERROR(__xludf.DUMMYFUNCTION("""COMPUTED_VALUE"""),560.0)</f>
        <v>560</v>
      </c>
      <c r="U25" s="675">
        <f>IFERROR(__xludf.DUMMYFUNCTION("""COMPUTED_VALUE"""),11.22)</f>
        <v>11.22</v>
      </c>
      <c r="V25" s="675">
        <f>IFERROR(__xludf.DUMMYFUNCTION("""COMPUTED_VALUE"""),0.0)</f>
        <v>0</v>
      </c>
      <c r="W25" s="675">
        <f>IFERROR(__xludf.DUMMYFUNCTION("""COMPUTED_VALUE"""),0.0)</f>
        <v>0</v>
      </c>
      <c r="X25" s="675">
        <f>IFERROR(__xludf.DUMMYFUNCTION("""COMPUTED_VALUE"""),0.0)</f>
        <v>0</v>
      </c>
      <c r="Y25" s="674">
        <f>IFERROR(__xludf.DUMMYFUNCTION("""COMPUTED_VALUE"""),295.0)</f>
        <v>295</v>
      </c>
      <c r="Z25" s="675">
        <f>IFERROR(__xludf.DUMMYFUNCTION("""COMPUTED_VALUE"""),5.864999999999999)</f>
        <v>5.865</v>
      </c>
      <c r="AA25" s="675">
        <f>IFERROR(__xludf.DUMMYFUNCTION("""COMPUTED_VALUE"""),0.0)</f>
        <v>0</v>
      </c>
      <c r="AB25" s="673">
        <f>IFERROR(__xludf.DUMMYFUNCTION("""COMPUTED_VALUE"""),0.0)</f>
        <v>0</v>
      </c>
      <c r="AC25" s="675">
        <f>IFERROR(__xludf.DUMMYFUNCTION("""COMPUTED_VALUE"""),0.0)</f>
        <v>0</v>
      </c>
      <c r="AD25" s="674">
        <f>IFERROR(__xludf.DUMMYFUNCTION("""COMPUTED_VALUE"""),545.0)</f>
        <v>545</v>
      </c>
      <c r="AE25" s="675">
        <f>IFERROR(__xludf.DUMMYFUNCTION("""COMPUTED_VALUE"""),10.93659901575987)</f>
        <v>10.93659902</v>
      </c>
      <c r="AF25" s="675">
        <f>IFERROR(__xludf.DUMMYFUNCTION("""COMPUTED_VALUE"""),1.0)</f>
        <v>1</v>
      </c>
      <c r="AG25" s="675">
        <f>IFERROR(__xludf.DUMMYFUNCTION("""COMPUTED_VALUE"""),0.0)</f>
        <v>0</v>
      </c>
      <c r="AH25" s="675">
        <f>IFERROR(__xludf.DUMMYFUNCTION("""COMPUTED_VALUE"""),-2.4841497539399673)</f>
        <v>-2.484149754</v>
      </c>
      <c r="AI25" s="139" t="str">
        <f>IFERROR(__xludf.DUMMYFUNCTION("""COMPUTED_VALUE"""),"-")</f>
        <v>-</v>
      </c>
      <c r="AJ25" s="139" t="str">
        <f>IFERROR(__xludf.DUMMYFUNCTION("""COMPUTED_VALUE"""),"-")</f>
        <v>-</v>
      </c>
      <c r="AK25" s="139">
        <f>IFERROR(__xludf.DUMMYFUNCTION("""COMPUTED_VALUE"""),1.0)</f>
        <v>1</v>
      </c>
      <c r="AL25" s="674">
        <f>IFERROR(__xludf.DUMMYFUNCTION("""COMPUTED_VALUE"""),1530.0)</f>
        <v>1530</v>
      </c>
      <c r="AM25" s="688">
        <f>IFERROR(__xludf.DUMMYFUNCTION("""COMPUTED_VALUE"""),12504.213022500935)</f>
        <v>12504.21302</v>
      </c>
      <c r="AN25" s="675">
        <f>IFERROR(__xludf.DUMMYFUNCTION("""COMPUTED_VALUE"""),10.2)</f>
        <v>10.2</v>
      </c>
      <c r="AO25" s="675">
        <f>IFERROR(__xludf.DUMMYFUNCTION("""COMPUTED_VALUE"""),5.1)</f>
        <v>5.1</v>
      </c>
      <c r="AP25" s="674">
        <f>IFERROR(__xludf.DUMMYFUNCTION("""COMPUTED_VALUE"""),2550.0)</f>
        <v>2550</v>
      </c>
      <c r="AQ25" s="673">
        <f>IFERROR(__xludf.DUMMYFUNCTION("""COMPUTED_VALUE"""),-0.3)</f>
        <v>-0.3</v>
      </c>
      <c r="AR25" s="673">
        <f>IFERROR(__xludf.DUMMYFUNCTION("""COMPUTED_VALUE"""),0.0)</f>
        <v>0</v>
      </c>
      <c r="AS25" s="673">
        <f>IFERROR(__xludf.DUMMYFUNCTION("""COMPUTED_VALUE"""),0.0)</f>
        <v>0</v>
      </c>
      <c r="AT25" s="673">
        <f>IFERROR(__xludf.DUMMYFUNCTION("""COMPUTED_VALUE"""),-0.1)</f>
        <v>-0.1</v>
      </c>
      <c r="AU25" s="673">
        <f>IFERROR(__xludf.DUMMYFUNCTION("""COMPUTED_VALUE"""),0.0)</f>
        <v>0</v>
      </c>
      <c r="AV25" s="673">
        <f>IFERROR(__xludf.DUMMYFUNCTION("""COMPUTED_VALUE"""),0.0)</f>
        <v>0</v>
      </c>
      <c r="AW25" s="139"/>
      <c r="AX25" s="674">
        <f>IFERROR(__xludf.DUMMYFUNCTION("""COMPUTED_VALUE"""),1840.0)</f>
        <v>1840</v>
      </c>
      <c r="AY25" s="688">
        <f>IFERROR(__xludf.DUMMYFUNCTION("""COMPUTED_VALUE"""),15037.891739478251)</f>
        <v>15037.89174</v>
      </c>
      <c r="AZ25" s="674">
        <f>IFERROR(__xludf.DUMMYFUNCTION("""COMPUTED_VALUE"""),2040.0)</f>
        <v>2040</v>
      </c>
      <c r="BA25" s="688">
        <f>IFERROR(__xludf.DUMMYFUNCTION("""COMPUTED_VALUE"""),16708.76859942028)</f>
        <v>16708.7686</v>
      </c>
      <c r="BB25" s="688" t="str">
        <f>IFERROR(__xludf.DUMMYFUNCTION("""COMPUTED_VALUE"""),"-")</f>
        <v>-</v>
      </c>
      <c r="BC25" s="688" t="str">
        <f>IFERROR(__xludf.DUMMYFUNCTION("""COMPUTED_VALUE"""),"#VALUE!")</f>
        <v>#VALUE!</v>
      </c>
      <c r="BD25" s="688" t="str">
        <f>IFERROR(__xludf.DUMMYFUNCTION("""COMPUTED_VALUE"""),"#VALUE!")</f>
        <v>#VALUE!</v>
      </c>
      <c r="BE25" s="674">
        <f>IFERROR(__xludf.DUMMYFUNCTION("""COMPUTED_VALUE"""),2040.0)</f>
        <v>2040</v>
      </c>
      <c r="BF25" s="674">
        <f>IFERROR(__xludf.DUMMYFUNCTION("""COMPUTED_VALUE"""),1700.0)</f>
        <v>1700</v>
      </c>
      <c r="BG25" s="673">
        <f>IFERROR(__xludf.DUMMYFUNCTION("""COMPUTED_VALUE"""),0.1)</f>
        <v>0.1</v>
      </c>
      <c r="BH25" s="673">
        <f>IFERROR(__xludf.DUMMYFUNCTION("""COMPUTED_VALUE"""),0.1)</f>
        <v>0.1</v>
      </c>
      <c r="BI25" s="673">
        <f>IFERROR(__xludf.DUMMYFUNCTION("""COMPUTED_VALUE"""),0.0)</f>
        <v>0</v>
      </c>
      <c r="BJ25" s="673">
        <f>IFERROR(__xludf.DUMMYFUNCTION("""COMPUTED_VALUE"""),0.0)</f>
        <v>0</v>
      </c>
      <c r="BK25" s="673">
        <f>IFERROR(__xludf.DUMMYFUNCTION("""COMPUTED_VALUE"""),0.0)</f>
        <v>0</v>
      </c>
      <c r="BL25" s="673">
        <f>IFERROR(__xludf.DUMMYFUNCTION("""COMPUTED_VALUE"""),0.0)</f>
        <v>0</v>
      </c>
      <c r="BM25" s="674">
        <f>IFERROR(__xludf.DUMMYFUNCTION("""COMPUTED_VALUE"""),45.0)</f>
        <v>45</v>
      </c>
      <c r="BN25" s="674">
        <f>IFERROR(__xludf.DUMMYFUNCTION("""COMPUTED_VALUE"""),50.0)</f>
        <v>50</v>
      </c>
      <c r="BO25" s="675">
        <f>IFERROR(__xludf.DUMMYFUNCTION("""COMPUTED_VALUE"""),-5.0)</f>
        <v>-5</v>
      </c>
      <c r="BP25" s="675">
        <f>IFERROR(__xludf.DUMMYFUNCTION("""COMPUTED_VALUE"""),0.9)</f>
        <v>0.9</v>
      </c>
      <c r="BQ25" s="675" t="str">
        <f>IFERROR(__xludf.DUMMYFUNCTION("""COMPUTED_VALUE"""),"※")</f>
        <v>※</v>
      </c>
      <c r="BR25" s="139">
        <f>IFERROR(__xludf.DUMMYFUNCTION("""COMPUTED_VALUE"""),3.0)</f>
        <v>3</v>
      </c>
      <c r="BS25" s="139">
        <f>IFERROR(__xludf.DUMMYFUNCTION("""COMPUTED_VALUE"""),40.0)</f>
        <v>40</v>
      </c>
      <c r="BT25" s="139">
        <f>IFERROR(__xludf.DUMMYFUNCTION("""COMPUTED_VALUE"""),0.31)</f>
        <v>0.31</v>
      </c>
      <c r="BU25" s="139">
        <f>IFERROR(__xludf.DUMMYFUNCTION("""COMPUTED_VALUE"""),0.0)</f>
        <v>0</v>
      </c>
      <c r="BV25" s="139" t="str">
        <f>IFERROR(__xludf.DUMMYFUNCTION("""COMPUTED_VALUE"""),"普通")</f>
        <v>普通</v>
      </c>
      <c r="BW25" s="139" t="str">
        <f>IFERROR(__xludf.DUMMYFUNCTION("""COMPUTED_VALUE"""),"毒ダメージ軽減")</f>
        <v>毒ダメージ軽減</v>
      </c>
      <c r="BX25" s="139">
        <f>IFERROR(__xludf.DUMMYFUNCTION("""COMPUTED_VALUE"""),15.0)</f>
        <v>15</v>
      </c>
      <c r="BY25" s="139">
        <f>IFERROR(__xludf.DUMMYFUNCTION("""COMPUTED_VALUE"""),0.0)</f>
        <v>0</v>
      </c>
      <c r="BZ25" s="139" t="str">
        <f>IFERROR(__xludf.DUMMYFUNCTION("""COMPUTED_VALUE"""),"攻撃DOWNコマ無効化")</f>
        <v>攻撃DOWNコマ無効化</v>
      </c>
      <c r="CA25" s="139" t="str">
        <f>IFERROR(__xludf.DUMMYFUNCTION("""COMPUTED_VALUE"""),"-")</f>
        <v>-</v>
      </c>
      <c r="CB25" s="139">
        <f>IFERROR(__xludf.DUMMYFUNCTION("""COMPUTED_VALUE"""),4.0)</f>
        <v>4</v>
      </c>
      <c r="CC25" s="139" t="str">
        <f>IFERROR(__xludf.DUMMYFUNCTION("""COMPUTED_VALUE"""),"近距離")</f>
        <v>近距離</v>
      </c>
      <c r="CD25" s="139" t="str">
        <f>IFERROR(__xludf.DUMMYFUNCTION("""COMPUTED_VALUE"""),"単体")</f>
        <v>単体</v>
      </c>
      <c r="CE25" s="139">
        <f>IFERROR(__xludf.DUMMYFUNCTION("""COMPUTED_VALUE"""),1.0)</f>
        <v>1</v>
      </c>
      <c r="CF25" s="139">
        <f>IFERROR(__xludf.DUMMYFUNCTION("""COMPUTED_VALUE"""),0.32)</f>
        <v>0.32</v>
      </c>
      <c r="CG25" s="139" t="str">
        <f>IFERROR(__xludf.DUMMYFUNCTION("""COMPUTED_VALUE"""),"近距離")</f>
        <v>近距離</v>
      </c>
      <c r="CH25" s="139" t="str">
        <f>IFERROR(__xludf.DUMMYFUNCTION("""COMPUTED_VALUE"""),"単体")</f>
        <v>単体</v>
      </c>
      <c r="CI25" s="139">
        <f>IFERROR(__xludf.DUMMYFUNCTION("""COMPUTED_VALUE"""),1.0)</f>
        <v>1</v>
      </c>
      <c r="CJ25" s="139">
        <f>IFERROR(__xludf.DUMMYFUNCTION("""COMPUTED_VALUE"""),0.32)</f>
        <v>0.32</v>
      </c>
      <c r="CK25" s="139" t="str">
        <f>IFERROR(__xludf.DUMMYFUNCTION("""COMPUTED_VALUE"""),"敵")</f>
        <v>敵</v>
      </c>
      <c r="CL25" s="139" t="str">
        <f>IFERROR(__xludf.DUMMYFUNCTION("""COMPUTED_VALUE"""),"All")</f>
        <v>All</v>
      </c>
      <c r="CM25" s="139" t="str">
        <f>IFERROR(__xludf.DUMMYFUNCTION("""COMPUTED_VALUE"""),"All")</f>
        <v>All</v>
      </c>
      <c r="CN25" s="675">
        <f>IFERROR(__xludf.DUMMYFUNCTION("""COMPUTED_VALUE"""),10.93659901575987)</f>
        <v>10.93659902</v>
      </c>
      <c r="CO25" s="139" t="str">
        <f>IFERROR(__xludf.DUMMYFUNCTION("""COMPUTED_VALUE"""),"-")</f>
        <v>-</v>
      </c>
      <c r="CP25" s="139" t="str">
        <f>IFERROR(__xludf.DUMMYFUNCTION("""COMPUTED_VALUE"""),"-")</f>
        <v>-</v>
      </c>
      <c r="CQ25" s="139" t="str">
        <f>IFERROR(__xludf.DUMMYFUNCTION("""COMPUTED_VALUE"""),"-")</f>
        <v>-</v>
      </c>
      <c r="CR25" s="139" t="str">
        <f>IFERROR(__xludf.DUMMYFUNCTION("""COMPUTED_VALUE"""),"-")</f>
        <v>-</v>
      </c>
      <c r="CS25" s="673" t="str">
        <f>IFERROR(__xludf.DUMMYFUNCTION("""COMPUTED_VALUE"""),"連続攻撃")</f>
        <v>連続攻撃</v>
      </c>
      <c r="CT25" s="139" t="str">
        <f>IFERROR(__xludf.DUMMYFUNCTION("""COMPUTED_VALUE"""),"-")</f>
        <v>-</v>
      </c>
      <c r="CU25" s="139" t="str">
        <f>IFERROR(__xludf.DUMMYFUNCTION("""COMPUTED_VALUE"""),"敵")</f>
        <v>敵</v>
      </c>
      <c r="CV25" s="139" t="str">
        <f>IFERROR(__xludf.DUMMYFUNCTION("""COMPUTED_VALUE"""),"All")</f>
        <v>All</v>
      </c>
      <c r="CW25" s="139" t="str">
        <f>IFERROR(__xludf.DUMMYFUNCTION("""COMPUTED_VALUE"""),"All")</f>
        <v>All</v>
      </c>
      <c r="CX25" s="674">
        <f>IFERROR(__xludf.DUMMYFUNCTION("""COMPUTED_VALUE"""),225.0)</f>
        <v>225</v>
      </c>
      <c r="CY25" s="139" t="str">
        <f>IFERROR(__xludf.DUMMYFUNCTION("""COMPUTED_VALUE"""),"-")</f>
        <v>-</v>
      </c>
      <c r="CZ25" s="688">
        <f>IFERROR(__xludf.DUMMYFUNCTION("""COMPUTED_VALUE"""),33835.0)</f>
        <v>33835</v>
      </c>
      <c r="DA25" s="688">
        <f>IFERROR(__xludf.DUMMYFUNCTION("""COMPUTED_VALUE"""),3244.1821299848143)</f>
        <v>3244.18213</v>
      </c>
      <c r="DB25" s="688">
        <f>IFERROR(__xludf.DUMMYFUNCTION("""COMPUTED_VALUE"""),0.0)</f>
        <v>0</v>
      </c>
      <c r="DC25" s="139" t="str">
        <f>IFERROR(__xludf.DUMMYFUNCTION("""COMPUTED_VALUE"""),"HP吸収攻撃")</f>
        <v>HP吸収攻撃</v>
      </c>
      <c r="DD25" s="673">
        <f>IFERROR(__xludf.DUMMYFUNCTION("""COMPUTED_VALUE"""),45.0)</f>
        <v>45</v>
      </c>
      <c r="DE25" s="139" t="str">
        <f>IFERROR(__xludf.DUMMYFUNCTION("""COMPUTED_VALUE"""),"-")</f>
        <v>-</v>
      </c>
      <c r="DF25" s="139" t="str">
        <f>IFERROR(__xludf.DUMMYFUNCTION("""COMPUTED_VALUE"""),"-")</f>
        <v>-</v>
      </c>
      <c r="DG25" s="139" t="str">
        <f>IFERROR(__xludf.DUMMYFUNCTION("""COMPUTED_VALUE"""),"-")</f>
        <v>-</v>
      </c>
      <c r="DH25" s="139" t="str">
        <f>IFERROR(__xludf.DUMMYFUNCTION("""COMPUTED_VALUE"""),"-")</f>
        <v>-</v>
      </c>
      <c r="DI25" s="139" t="str">
        <f>IFERROR(__xludf.DUMMYFUNCTION("""COMPUTED_VALUE"""),"-")</f>
        <v>-</v>
      </c>
      <c r="DJ25" s="139" t="str">
        <f>IFERROR(__xludf.DUMMYFUNCTION("""COMPUTED_VALUE"""),"-")</f>
        <v>-</v>
      </c>
    </row>
    <row r="26">
      <c r="A26" s="139" t="str">
        <f>IFERROR(__xludf.DUMMYFUNCTION("""COMPUTED_VALUE"""),"怪獣８号")</f>
        <v>怪獣８号</v>
      </c>
      <c r="B26" s="139" t="str">
        <f>IFERROR(__xludf.DUMMYFUNCTION("""COMPUTED_VALUE"""),"市川 レノ")</f>
        <v>市川 レノ</v>
      </c>
      <c r="C26" s="139" t="str">
        <f>IFERROR(__xludf.DUMMYFUNCTION("""COMPUTED_VALUE"""),"chara_kai_00101")</f>
        <v>chara_kai_00101</v>
      </c>
      <c r="D26" s="139" t="str">
        <f>IFERROR(__xludf.DUMMYFUNCTION("""COMPUTED_VALUE"""),"PremiumSR")</f>
        <v>PremiumSR</v>
      </c>
      <c r="E26" s="139" t="str">
        <f>IFERROR(__xludf.DUMMYFUNCTION("""COMPUTED_VALUE"""),"青")</f>
        <v>青</v>
      </c>
      <c r="F26" s="139" t="str">
        <f>IFERROR(__xludf.DUMMYFUNCTION("""COMPUTED_VALUE"""),"テクニカル")</f>
        <v>テクニカル</v>
      </c>
      <c r="G26" s="139" t="str">
        <f>IFERROR(__xludf.DUMMYFUNCTION("""COMPUTED_VALUE"""),"遠距離")</f>
        <v>遠距離</v>
      </c>
      <c r="H26" s="139" t="str">
        <f>IFERROR(__xludf.DUMMYFUNCTION("""COMPUTED_VALUE"""),"shageki_1")</f>
        <v>shageki_1</v>
      </c>
      <c r="I26" s="139" t="str">
        <f>IFERROR(__xludf.DUMMYFUNCTION("""COMPUTED_VALUE"""),"shageki_1")</f>
        <v>shageki_1</v>
      </c>
      <c r="J26" s="139" t="str">
        <f>IFERROR(__xludf.DUMMYFUNCTION("""COMPUTED_VALUE"""),"202509010_リリース")</f>
        <v>202509010_リリース</v>
      </c>
      <c r="K26" s="139" t="str">
        <f>IFERROR(__xludf.DUMMYFUNCTION("""COMPUTED_VALUE"""),"リリース時")</f>
        <v>リリース時</v>
      </c>
      <c r="L26" s="139" t="str">
        <f>IFERROR(__xludf.DUMMYFUNCTION("""COMPUTED_VALUE"""),"※")</f>
        <v>※</v>
      </c>
      <c r="M26" s="674">
        <f>IFERROR(__xludf.DUMMYFUNCTION("""COMPUTED_VALUE"""),845.0)</f>
        <v>845</v>
      </c>
      <c r="N26" s="139">
        <f>IFERROR(__xludf.DUMMYFUNCTION("""COMPUTED_VALUE"""),1000.0)</f>
        <v>1000</v>
      </c>
      <c r="O26" s="139" t="str">
        <f>IFERROR(__xludf.DUMMYFUNCTION("""COMPUTED_VALUE"""),"高コスト")</f>
        <v>高コスト</v>
      </c>
      <c r="P26" s="139">
        <f>IFERROR(__xludf.DUMMYFUNCTION("""COMPUTED_VALUE"""),-200.0)</f>
        <v>-200</v>
      </c>
      <c r="Q26" s="675">
        <f>IFERROR(__xludf.DUMMYFUNCTION("""COMPUTED_VALUE"""),30.0)</f>
        <v>30</v>
      </c>
      <c r="R26" s="675">
        <f>IFERROR(__xludf.DUMMYFUNCTION("""COMPUTED_VALUE"""),15.0)</f>
        <v>15</v>
      </c>
      <c r="S26" s="675">
        <f>IFERROR(__xludf.DUMMYFUNCTION("""COMPUTED_VALUE"""),18.625)</f>
        <v>18.625</v>
      </c>
      <c r="T26" s="674">
        <f>IFERROR(__xludf.DUMMYFUNCTION("""COMPUTED_VALUE"""),375.0)</f>
        <v>375</v>
      </c>
      <c r="U26" s="675">
        <f>IFERROR(__xludf.DUMMYFUNCTION("""COMPUTED_VALUE"""),7.48)</f>
        <v>7.48</v>
      </c>
      <c r="V26" s="675">
        <f>IFERROR(__xludf.DUMMYFUNCTION("""COMPUTED_VALUE"""),0.0)</f>
        <v>0</v>
      </c>
      <c r="W26" s="675">
        <f>IFERROR(__xludf.DUMMYFUNCTION("""COMPUTED_VALUE"""),0.0)</f>
        <v>0</v>
      </c>
      <c r="X26" s="675">
        <f>IFERROR(__xludf.DUMMYFUNCTION("""COMPUTED_VALUE"""),0.0)</f>
        <v>0</v>
      </c>
      <c r="Y26" s="674">
        <f>IFERROR(__xludf.DUMMYFUNCTION("""COMPUTED_VALUE"""),195.0)</f>
        <v>195</v>
      </c>
      <c r="Z26" s="675">
        <f>IFERROR(__xludf.DUMMYFUNCTION("""COMPUTED_VALUE"""),3.9099999999999997)</f>
        <v>3.91</v>
      </c>
      <c r="AA26" s="675">
        <f>IFERROR(__xludf.DUMMYFUNCTION("""COMPUTED_VALUE"""),0.0)</f>
        <v>0</v>
      </c>
      <c r="AB26" s="673">
        <f>IFERROR(__xludf.DUMMYFUNCTION("""COMPUTED_VALUE"""),0.0)</f>
        <v>0</v>
      </c>
      <c r="AC26" s="675">
        <f>IFERROR(__xludf.DUMMYFUNCTION("""COMPUTED_VALUE"""),0.0)</f>
        <v>0</v>
      </c>
      <c r="AD26" s="674">
        <f>IFERROR(__xludf.DUMMYFUNCTION("""COMPUTED_VALUE"""),1010.0)</f>
        <v>1010</v>
      </c>
      <c r="AE26" s="675">
        <f>IFERROR(__xludf.DUMMYFUNCTION("""COMPUTED_VALUE"""),20.204698025439917)</f>
        <v>20.20469803</v>
      </c>
      <c r="AF26" s="675">
        <f>IFERROR(__xludf.DUMMYFUNCTION("""COMPUTED_VALUE"""),0.0)</f>
        <v>0</v>
      </c>
      <c r="AG26" s="675">
        <f>IFERROR(__xludf.DUMMYFUNCTION("""COMPUTED_VALUE"""),10.063199122417743)</f>
        <v>10.06319912</v>
      </c>
      <c r="AH26" s="675">
        <f>IFERROR(__xludf.DUMMYFUNCTION("""COMPUTED_VALUE"""),0.0)</f>
        <v>0</v>
      </c>
      <c r="AI26" s="675">
        <f>IFERROR(__xludf.DUMMYFUNCTION("""COMPUTED_VALUE"""),1.3000000000000007)</f>
        <v>1.3</v>
      </c>
      <c r="AJ26" s="675">
        <f>IFERROR(__xludf.DUMMYFUNCTION("""COMPUTED_VALUE"""),18.904698025439917)</f>
        <v>18.90469803</v>
      </c>
      <c r="AK26" s="139">
        <f>IFERROR(__xludf.DUMMYFUNCTION("""COMPUTED_VALUE"""),1.0)</f>
        <v>1</v>
      </c>
      <c r="AL26" s="674">
        <f>IFERROR(__xludf.DUMMYFUNCTION("""COMPUTED_VALUE"""),1020.0)</f>
        <v>1020</v>
      </c>
      <c r="AM26" s="688">
        <f>IFERROR(__xludf.DUMMYFUNCTION("""COMPUTED_VALUE"""),7441.808681667292)</f>
        <v>7441.808682</v>
      </c>
      <c r="AN26" s="675">
        <f>IFERROR(__xludf.DUMMYFUNCTION("""COMPUTED_VALUE"""),6.8)</f>
        <v>6.8</v>
      </c>
      <c r="AO26" s="675">
        <f>IFERROR(__xludf.DUMMYFUNCTION("""COMPUTED_VALUE"""),3.4)</f>
        <v>3.4</v>
      </c>
      <c r="AP26" s="674">
        <f>IFERROR(__xludf.DUMMYFUNCTION("""COMPUTED_VALUE"""),2540.0)</f>
        <v>2540</v>
      </c>
      <c r="AQ26" s="673">
        <f>IFERROR(__xludf.DUMMYFUNCTION("""COMPUTED_VALUE"""),-0.3)</f>
        <v>-0.3</v>
      </c>
      <c r="AR26" s="673">
        <f>IFERROR(__xludf.DUMMYFUNCTION("""COMPUTED_VALUE"""),0.0)</f>
        <v>0</v>
      </c>
      <c r="AS26" s="673">
        <f>IFERROR(__xludf.DUMMYFUNCTION("""COMPUTED_VALUE"""),-0.3)</f>
        <v>-0.3</v>
      </c>
      <c r="AT26" s="673">
        <f>IFERROR(__xludf.DUMMYFUNCTION("""COMPUTED_VALUE"""),0.0)</f>
        <v>0</v>
      </c>
      <c r="AU26" s="673">
        <f>IFERROR(__xludf.DUMMYFUNCTION("""COMPUTED_VALUE"""),0.0)</f>
        <v>0</v>
      </c>
      <c r="AV26" s="673">
        <f>IFERROR(__xludf.DUMMYFUNCTION("""COMPUTED_VALUE"""),0.0)</f>
        <v>0</v>
      </c>
      <c r="AW26" s="139"/>
      <c r="AX26" s="674">
        <f>IFERROR(__xludf.DUMMYFUNCTION("""COMPUTED_VALUE"""),4840.0)</f>
        <v>4840</v>
      </c>
      <c r="AY26" s="688">
        <f>IFERROR(__xludf.DUMMYFUNCTION("""COMPUTED_VALUE"""),35315.296097323226)</f>
        <v>35315.2961</v>
      </c>
      <c r="AZ26" s="674">
        <f>IFERROR(__xludf.DUMMYFUNCTION("""COMPUTED_VALUE"""),1860.0)</f>
        <v>1860</v>
      </c>
      <c r="BA26" s="688">
        <f>IFERROR(__xludf.DUMMYFUNCTION("""COMPUTED_VALUE"""),13582.806191278163)</f>
        <v>13582.80619</v>
      </c>
      <c r="BB26" s="688" t="str">
        <f>IFERROR(__xludf.DUMMYFUNCTION("""COMPUTED_VALUE"""),"-")</f>
        <v>-</v>
      </c>
      <c r="BC26" s="688" t="str">
        <f>IFERROR(__xludf.DUMMYFUNCTION("""COMPUTED_VALUE"""),"#VALUE!")</f>
        <v>#VALUE!</v>
      </c>
      <c r="BD26" s="688" t="str">
        <f>IFERROR(__xludf.DUMMYFUNCTION("""COMPUTED_VALUE"""),"#VALUE!")</f>
        <v>#VALUE!</v>
      </c>
      <c r="BE26" s="674">
        <f>IFERROR(__xludf.DUMMYFUNCTION("""COMPUTED_VALUE"""),1860.0)</f>
        <v>1860</v>
      </c>
      <c r="BF26" s="674">
        <f>IFERROR(__xludf.DUMMYFUNCTION("""COMPUTED_VALUE"""),1690.0)</f>
        <v>1690</v>
      </c>
      <c r="BG26" s="673">
        <f>IFERROR(__xludf.DUMMYFUNCTION("""COMPUTED_VALUE"""),0.0)</f>
        <v>0</v>
      </c>
      <c r="BH26" s="673">
        <f>IFERROR(__xludf.DUMMYFUNCTION("""COMPUTED_VALUE"""),0.1)</f>
        <v>0.1</v>
      </c>
      <c r="BI26" s="673">
        <f>IFERROR(__xludf.DUMMYFUNCTION("""COMPUTED_VALUE"""),0.0)</f>
        <v>0</v>
      </c>
      <c r="BJ26" s="673">
        <f>IFERROR(__xludf.DUMMYFUNCTION("""COMPUTED_VALUE"""),0.0)</f>
        <v>0</v>
      </c>
      <c r="BK26" s="673">
        <f>IFERROR(__xludf.DUMMYFUNCTION("""COMPUTED_VALUE"""),0.0)</f>
        <v>0</v>
      </c>
      <c r="BL26" s="673">
        <f>IFERROR(__xludf.DUMMYFUNCTION("""COMPUTED_VALUE"""),0.0)</f>
        <v>0</v>
      </c>
      <c r="BM26" s="674">
        <f>IFERROR(__xludf.DUMMYFUNCTION("""COMPUTED_VALUE"""),130.0)</f>
        <v>130</v>
      </c>
      <c r="BN26" s="674">
        <f>IFERROR(__xludf.DUMMYFUNCTION("""COMPUTED_VALUE"""),150.0)</f>
        <v>150</v>
      </c>
      <c r="BO26" s="675">
        <f>IFERROR(__xludf.DUMMYFUNCTION("""COMPUTED_VALUE"""),-20.0)</f>
        <v>-20</v>
      </c>
      <c r="BP26" s="675">
        <f>IFERROR(__xludf.DUMMYFUNCTION("""COMPUTED_VALUE"""),2.6)</f>
        <v>2.6</v>
      </c>
      <c r="BQ26" s="675" t="str">
        <f>IFERROR(__xludf.DUMMYFUNCTION("""COMPUTED_VALUE"""),"※")</f>
        <v>※</v>
      </c>
      <c r="BR26" s="139">
        <f>IFERROR(__xludf.DUMMYFUNCTION("""COMPUTED_VALUE"""),3.0)</f>
        <v>3</v>
      </c>
      <c r="BS26" s="139">
        <f>IFERROR(__xludf.DUMMYFUNCTION("""COMPUTED_VALUE"""),30.0)</f>
        <v>30</v>
      </c>
      <c r="BT26" s="139">
        <f>IFERROR(__xludf.DUMMYFUNCTION("""COMPUTED_VALUE"""),0.61)</f>
        <v>0.61</v>
      </c>
      <c r="BU26" s="139">
        <f>IFERROR(__xludf.DUMMYFUNCTION("""COMPUTED_VALUE"""),0.0)</f>
        <v>0</v>
      </c>
      <c r="BV26" s="139" t="str">
        <f>IFERROR(__xludf.DUMMYFUNCTION("""COMPUTED_VALUE"""),"速-普通")</f>
        <v>速-普通</v>
      </c>
      <c r="BW26" s="139" t="str">
        <f>IFERROR(__xludf.DUMMYFUNCTION("""COMPUTED_VALUE"""),"氷結攻撃無効化")</f>
        <v>氷結攻撃無効化</v>
      </c>
      <c r="BX26" s="139">
        <f>IFERROR(__xludf.DUMMYFUNCTION("""COMPUTED_VALUE"""),20.0)</f>
        <v>20</v>
      </c>
      <c r="BY26" s="139">
        <f>IFERROR(__xludf.DUMMYFUNCTION("""COMPUTED_VALUE"""),2.0)</f>
        <v>2</v>
      </c>
      <c r="BZ26" s="139" t="str">
        <f>IFERROR(__xludf.DUMMYFUNCTION("""COMPUTED_VALUE"""),"-")</f>
        <v>-</v>
      </c>
      <c r="CA26" s="139" t="str">
        <f>IFERROR(__xludf.DUMMYFUNCTION("""COMPUTED_VALUE"""),"-")</f>
        <v>-</v>
      </c>
      <c r="CB26" s="139" t="str">
        <f>IFERROR(__xludf.DUMMYFUNCTION("""COMPUTED_VALUE"""),"-")</f>
        <v>-</v>
      </c>
      <c r="CC26" s="139" t="str">
        <f>IFERROR(__xludf.DUMMYFUNCTION("""COMPUTED_VALUE"""),"遠距離")</f>
        <v>遠距離</v>
      </c>
      <c r="CD26" s="139" t="str">
        <f>IFERROR(__xludf.DUMMYFUNCTION("""COMPUTED_VALUE"""),"単体")</f>
        <v>単体</v>
      </c>
      <c r="CE26" s="139">
        <f>IFERROR(__xludf.DUMMYFUNCTION("""COMPUTED_VALUE"""),1.0)</f>
        <v>1</v>
      </c>
      <c r="CF26" s="139">
        <f>IFERROR(__xludf.DUMMYFUNCTION("""COMPUTED_VALUE"""),0.62)</f>
        <v>0.62</v>
      </c>
      <c r="CG26" s="139" t="str">
        <f>IFERROR(__xludf.DUMMYFUNCTION("""COMPUTED_VALUE"""),"遠距離")</f>
        <v>遠距離</v>
      </c>
      <c r="CH26" s="139" t="str">
        <f>IFERROR(__xludf.DUMMYFUNCTION("""COMPUTED_VALUE"""),"単体")</f>
        <v>単体</v>
      </c>
      <c r="CI26" s="139">
        <f>IFERROR(__xludf.DUMMYFUNCTION("""COMPUTED_VALUE"""),1.0)</f>
        <v>1</v>
      </c>
      <c r="CJ26" s="139">
        <f>IFERROR(__xludf.DUMMYFUNCTION("""COMPUTED_VALUE"""),0.62)</f>
        <v>0.62</v>
      </c>
      <c r="CK26" s="139" t="str">
        <f>IFERROR(__xludf.DUMMYFUNCTION("""COMPUTED_VALUE"""),"敵")</f>
        <v>敵</v>
      </c>
      <c r="CL26" s="139" t="str">
        <f>IFERROR(__xludf.DUMMYFUNCTION("""COMPUTED_VALUE"""),"All")</f>
        <v>All</v>
      </c>
      <c r="CM26" s="139" t="str">
        <f>IFERROR(__xludf.DUMMYFUNCTION("""COMPUTED_VALUE"""),"All")</f>
        <v>All</v>
      </c>
      <c r="CN26" s="675">
        <f>IFERROR(__xludf.DUMMYFUNCTION("""COMPUTED_VALUE"""),20.204698025439917)</f>
        <v>20.20469803</v>
      </c>
      <c r="CO26" s="139" t="str">
        <f>IFERROR(__xludf.DUMMYFUNCTION("""COMPUTED_VALUE"""),"-")</f>
        <v>-</v>
      </c>
      <c r="CP26" s="139" t="str">
        <f>IFERROR(__xludf.DUMMYFUNCTION("""COMPUTED_VALUE"""),"-")</f>
        <v>-</v>
      </c>
      <c r="CQ26" s="139" t="str">
        <f>IFERROR(__xludf.DUMMYFUNCTION("""COMPUTED_VALUE"""),"-")</f>
        <v>-</v>
      </c>
      <c r="CR26" s="139" t="str">
        <f>IFERROR(__xludf.DUMMYFUNCTION("""COMPUTED_VALUE"""),"-")</f>
        <v>-</v>
      </c>
      <c r="CS26" s="673" t="str">
        <f>IFERROR(__xludf.DUMMYFUNCTION("""COMPUTED_VALUE"""),"連続攻撃")</f>
        <v>連続攻撃</v>
      </c>
      <c r="CT26" s="139" t="str">
        <f>IFERROR(__xludf.DUMMYFUNCTION("""COMPUTED_VALUE"""),"-")</f>
        <v>-</v>
      </c>
      <c r="CU26" s="139" t="str">
        <f>IFERROR(__xludf.DUMMYFUNCTION("""COMPUTED_VALUE"""),"敵")</f>
        <v>敵</v>
      </c>
      <c r="CV26" s="139" t="str">
        <f>IFERROR(__xludf.DUMMYFUNCTION("""COMPUTED_VALUE"""),"All")</f>
        <v>All</v>
      </c>
      <c r="CW26" s="139" t="str">
        <f>IFERROR(__xludf.DUMMYFUNCTION("""COMPUTED_VALUE"""),"All")</f>
        <v>All</v>
      </c>
      <c r="CX26" s="674">
        <f>IFERROR(__xludf.DUMMYFUNCTION("""COMPUTED_VALUE"""),180.0)</f>
        <v>180</v>
      </c>
      <c r="CY26" s="139" t="str">
        <f>IFERROR(__xludf.DUMMYFUNCTION("""COMPUTED_VALUE"""),"-")</f>
        <v>-</v>
      </c>
      <c r="CZ26" s="688">
        <f>IFERROR(__xludf.DUMMYFUNCTION("""COMPUTED_VALUE"""),63568.0)</f>
        <v>63568</v>
      </c>
      <c r="DA26" s="688">
        <f>IFERROR(__xludf.DUMMYFUNCTION("""COMPUTED_VALUE"""),3422.192138756376)</f>
        <v>3422.192139</v>
      </c>
      <c r="DB26" s="688">
        <f>IFERROR(__xludf.DUMMYFUNCTION("""COMPUTED_VALUE"""),0.0)</f>
        <v>0</v>
      </c>
      <c r="DC26" s="673" t="str">
        <f>IFERROR(__xludf.DUMMYFUNCTION("""COMPUTED_VALUE"""),"氷結")</f>
        <v>氷結</v>
      </c>
      <c r="DD26" s="673">
        <f>IFERROR(__xludf.DUMMYFUNCTION("""COMPUTED_VALUE"""),20.0)</f>
        <v>20</v>
      </c>
      <c r="DE26" s="139">
        <f>IFERROR(__xludf.DUMMYFUNCTION("""COMPUTED_VALUE"""),1.3)</f>
        <v>1.3</v>
      </c>
      <c r="DF26" s="139" t="str">
        <f>IFERROR(__xludf.DUMMYFUNCTION("""COMPUTED_VALUE"""),"-")</f>
        <v>-</v>
      </c>
      <c r="DG26" s="139" t="str">
        <f>IFERROR(__xludf.DUMMYFUNCTION("""COMPUTED_VALUE"""),"-")</f>
        <v>-</v>
      </c>
      <c r="DH26" s="139" t="str">
        <f>IFERROR(__xludf.DUMMYFUNCTION("""COMPUTED_VALUE"""),"-")</f>
        <v>-</v>
      </c>
      <c r="DI26" s="139" t="str">
        <f>IFERROR(__xludf.DUMMYFUNCTION("""COMPUTED_VALUE"""),"-")</f>
        <v>-</v>
      </c>
      <c r="DJ26" s="139" t="str">
        <f>IFERROR(__xludf.DUMMYFUNCTION("""COMPUTED_VALUE"""),"-")</f>
        <v>-</v>
      </c>
    </row>
    <row r="27">
      <c r="A27" s="139" t="str">
        <f>IFERROR(__xludf.DUMMYFUNCTION("""COMPUTED_VALUE"""),"2.5次元の誘惑")</f>
        <v>2.5次元の誘惑</v>
      </c>
      <c r="B27" s="139" t="str">
        <f>IFERROR(__xludf.DUMMYFUNCTION("""COMPUTED_VALUE"""),"リリエルに捧ぐ愛 天乃 リリサ")</f>
        <v>リリエルに捧ぐ愛 天乃 リリサ</v>
      </c>
      <c r="C27" s="139" t="str">
        <f>IFERROR(__xludf.DUMMYFUNCTION("""COMPUTED_VALUE"""),"chara_yuw_00001")</f>
        <v>chara_yuw_00001</v>
      </c>
      <c r="D27" s="139" t="str">
        <f>IFERROR(__xludf.DUMMYFUNCTION("""COMPUTED_VALUE"""),"PremiumUR")</f>
        <v>PremiumUR</v>
      </c>
      <c r="E27" s="139" t="str">
        <f>IFERROR(__xludf.DUMMYFUNCTION("""COMPUTED_VALUE"""),"黄")</f>
        <v>黄</v>
      </c>
      <c r="F27" s="139" t="str">
        <f>IFERROR(__xludf.DUMMYFUNCTION("""COMPUTED_VALUE"""),"アタック")</f>
        <v>アタック</v>
      </c>
      <c r="G27" s="139" t="str">
        <f>IFERROR(__xludf.DUMMYFUNCTION("""COMPUTED_VALUE"""),"中距離")</f>
        <v>中距離</v>
      </c>
      <c r="H27" s="139" t="str">
        <f>IFERROR(__xludf.DUMMYFUNCTION("""COMPUTED_VALUE"""),"dageki_2")</f>
        <v>dageki_2</v>
      </c>
      <c r="I27" s="139" t="str">
        <f>IFERROR(__xludf.DUMMYFUNCTION("""COMPUTED_VALUE"""),"-")</f>
        <v>-</v>
      </c>
      <c r="J27" s="139" t="str">
        <f>IFERROR(__xludf.DUMMYFUNCTION("""COMPUTED_VALUE"""),"202509010_リリース")</f>
        <v>202509010_リリース</v>
      </c>
      <c r="K27" s="139" t="str">
        <f>IFERROR(__xludf.DUMMYFUNCTION("""COMPUTED_VALUE"""),"リリース時")</f>
        <v>リリース時</v>
      </c>
      <c r="L27" s="687" t="str">
        <f>IFERROR(__xludf.DUMMYFUNCTION("""COMPUTED_VALUE"""),"※")</f>
        <v>※</v>
      </c>
      <c r="M27" s="674">
        <f>IFERROR(__xludf.DUMMYFUNCTION("""COMPUTED_VALUE"""),785.0)</f>
        <v>785</v>
      </c>
      <c r="N27" s="139">
        <f>IFERROR(__xludf.DUMMYFUNCTION("""COMPUTED_VALUE"""),600.0)</f>
        <v>600</v>
      </c>
      <c r="O27" s="139" t="str">
        <f>IFERROR(__xludf.DUMMYFUNCTION("""COMPUTED_VALUE"""),"中コスト")</f>
        <v>中コスト</v>
      </c>
      <c r="P27" s="139">
        <f>IFERROR(__xludf.DUMMYFUNCTION("""COMPUTED_VALUE"""),150.0)</f>
        <v>150</v>
      </c>
      <c r="Q27" s="675">
        <f>IFERROR(__xludf.DUMMYFUNCTION("""COMPUTED_VALUE"""),10.0)</f>
        <v>10</v>
      </c>
      <c r="R27" s="675">
        <f>IFERROR(__xludf.DUMMYFUNCTION("""COMPUTED_VALUE"""),25.0)</f>
        <v>25</v>
      </c>
      <c r="S27" s="675">
        <f>IFERROR(__xludf.DUMMYFUNCTION("""COMPUTED_VALUE"""),17.125)</f>
        <v>17.125</v>
      </c>
      <c r="T27" s="674">
        <f>IFERROR(__xludf.DUMMYFUNCTION("""COMPUTED_VALUE"""),475.0)</f>
        <v>475</v>
      </c>
      <c r="U27" s="675">
        <f>IFERROR(__xludf.DUMMYFUNCTION("""COMPUTED_VALUE"""),9.533333333333333)</f>
        <v>9.533333333</v>
      </c>
      <c r="V27" s="675">
        <f>IFERROR(__xludf.DUMMYFUNCTION("""COMPUTED_VALUE"""),0.0)</f>
        <v>0</v>
      </c>
      <c r="W27" s="675">
        <f>IFERROR(__xludf.DUMMYFUNCTION("""COMPUTED_VALUE"""),0.0)</f>
        <v>0</v>
      </c>
      <c r="X27" s="675">
        <f>IFERROR(__xludf.DUMMYFUNCTION("""COMPUTED_VALUE"""),0.0)</f>
        <v>0</v>
      </c>
      <c r="Y27" s="674">
        <f>IFERROR(__xludf.DUMMYFUNCTION("""COMPUTED_VALUE"""),250.0)</f>
        <v>250</v>
      </c>
      <c r="Z27" s="675">
        <f>IFERROR(__xludf.DUMMYFUNCTION("""COMPUTED_VALUE"""),4.9833333333333325)</f>
        <v>4.983333333</v>
      </c>
      <c r="AA27" s="675">
        <f>IFERROR(__xludf.DUMMYFUNCTION("""COMPUTED_VALUE"""),0.0)</f>
        <v>0</v>
      </c>
      <c r="AB27" s="673">
        <f>IFERROR(__xludf.DUMMYFUNCTION("""COMPUTED_VALUE"""),0.0)</f>
        <v>0</v>
      </c>
      <c r="AC27" s="675">
        <f>IFERROR(__xludf.DUMMYFUNCTION("""COMPUTED_VALUE"""),0.0)</f>
        <v>0</v>
      </c>
      <c r="AD27" s="674">
        <f>IFERROR(__xludf.DUMMYFUNCTION("""COMPUTED_VALUE"""),715.0)</f>
        <v>715</v>
      </c>
      <c r="AE27" s="675">
        <f>IFERROR(__xludf.DUMMYFUNCTION("""COMPUTED_VALUE"""),14.311453746329661)</f>
        <v>14.31145375</v>
      </c>
      <c r="AF27" s="675">
        <f>IFERROR(__xludf.DUMMYFUNCTION("""COMPUTED_VALUE"""),0.0)</f>
        <v>0</v>
      </c>
      <c r="AG27" s="675">
        <f>IFERROR(__xludf.DUMMYFUNCTION("""COMPUTED_VALUE"""),2.862290749265932)</f>
        <v>2.862290749</v>
      </c>
      <c r="AH27" s="675">
        <f>IFERROR(__xludf.DUMMYFUNCTION("""COMPUTED_VALUE"""),0.0)</f>
        <v>0</v>
      </c>
      <c r="AI27" s="139">
        <f>IFERROR(__xludf.DUMMYFUNCTION("""COMPUTED_VALUE"""),9.0)</f>
        <v>9</v>
      </c>
      <c r="AJ27" s="139" t="str">
        <f>IFERROR(__xludf.DUMMYFUNCTION("""COMPUTED_VALUE"""),"-")</f>
        <v>-</v>
      </c>
      <c r="AK27" s="139">
        <f>IFERROR(__xludf.DUMMYFUNCTION("""COMPUTED_VALUE"""),1.0)</f>
        <v>1</v>
      </c>
      <c r="AL27" s="674">
        <f>IFERROR(__xludf.DUMMYFUNCTION("""COMPUTED_VALUE"""),1300.0)</f>
        <v>1300</v>
      </c>
      <c r="AM27" s="688">
        <f>IFERROR(__xludf.DUMMYFUNCTION("""COMPUTED_VALUE"""),10623.896555066156)</f>
        <v>10623.89656</v>
      </c>
      <c r="AN27" s="675">
        <f>IFERROR(__xludf.DUMMYFUNCTION("""COMPUTED_VALUE"""),8.666666666666666)</f>
        <v>8.666666667</v>
      </c>
      <c r="AO27" s="675">
        <f>IFERROR(__xludf.DUMMYFUNCTION("""COMPUTED_VALUE"""),4.333333333333333)</f>
        <v>4.333333333</v>
      </c>
      <c r="AP27" s="674">
        <f>IFERROR(__xludf.DUMMYFUNCTION("""COMPUTED_VALUE"""),2360.0)</f>
        <v>2360</v>
      </c>
      <c r="AQ27" s="673">
        <f>IFERROR(__xludf.DUMMYFUNCTION("""COMPUTED_VALUE"""),-0.2)</f>
        <v>-0.2</v>
      </c>
      <c r="AR27" s="673">
        <f>IFERROR(__xludf.DUMMYFUNCTION("""COMPUTED_VALUE"""),0.0)</f>
        <v>0</v>
      </c>
      <c r="AS27" s="673">
        <f>IFERROR(__xludf.DUMMYFUNCTION("""COMPUTED_VALUE"""),-0.1)</f>
        <v>-0.1</v>
      </c>
      <c r="AT27" s="673">
        <f>IFERROR(__xludf.DUMMYFUNCTION("""COMPUTED_VALUE"""),-0.15)</f>
        <v>-0.15</v>
      </c>
      <c r="AU27" s="673">
        <f>IFERROR(__xludf.DUMMYFUNCTION("""COMPUTED_VALUE"""),0.0)</f>
        <v>0</v>
      </c>
      <c r="AV27" s="673">
        <f>IFERROR(__xludf.DUMMYFUNCTION("""COMPUTED_VALUE"""),0.0)</f>
        <v>0</v>
      </c>
      <c r="AW27" s="139"/>
      <c r="AX27" s="674">
        <f>IFERROR(__xludf.DUMMYFUNCTION("""COMPUTED_VALUE"""),3420.0)</f>
        <v>3420</v>
      </c>
      <c r="AY27" s="688">
        <f>IFERROR(__xludf.DUMMYFUNCTION("""COMPUTED_VALUE"""),27951.036167943268)</f>
        <v>27951.03617</v>
      </c>
      <c r="AZ27" s="674">
        <f>IFERROR(__xludf.DUMMYFUNCTION("""COMPUTED_VALUE"""),2280.0)</f>
        <v>2280</v>
      </c>
      <c r="BA27" s="688">
        <f>IFERROR(__xludf.DUMMYFUNCTION("""COMPUTED_VALUE"""),18634.02411196218)</f>
        <v>18634.02411</v>
      </c>
      <c r="BB27" s="688" t="str">
        <f>IFERROR(__xludf.DUMMYFUNCTION("""COMPUTED_VALUE"""),"-")</f>
        <v>-</v>
      </c>
      <c r="BC27" s="688" t="str">
        <f>IFERROR(__xludf.DUMMYFUNCTION("""COMPUTED_VALUE"""),"#VALUE!")</f>
        <v>#VALUE!</v>
      </c>
      <c r="BD27" s="688" t="str">
        <f>IFERROR(__xludf.DUMMYFUNCTION("""COMPUTED_VALUE"""),"#VALUE!")</f>
        <v>#VALUE!</v>
      </c>
      <c r="BE27" s="674">
        <f>IFERROR(__xludf.DUMMYFUNCTION("""COMPUTED_VALUE"""),2280.0)</f>
        <v>2280</v>
      </c>
      <c r="BF27" s="674">
        <f>IFERROR(__xludf.DUMMYFUNCTION("""COMPUTED_VALUE"""),1570.0)</f>
        <v>1570</v>
      </c>
      <c r="BG27" s="673">
        <f>IFERROR(__xludf.DUMMYFUNCTION("""COMPUTED_VALUE"""),0.15)</f>
        <v>0.15</v>
      </c>
      <c r="BH27" s="673">
        <f>IFERROR(__xludf.DUMMYFUNCTION("""COMPUTED_VALUE"""),0.3)</f>
        <v>0.3</v>
      </c>
      <c r="BI27" s="673">
        <f>IFERROR(__xludf.DUMMYFUNCTION("""COMPUTED_VALUE"""),0.0)</f>
        <v>0</v>
      </c>
      <c r="BJ27" s="673">
        <f>IFERROR(__xludf.DUMMYFUNCTION("""COMPUTED_VALUE"""),0.0)</f>
        <v>0</v>
      </c>
      <c r="BK27" s="673">
        <f>IFERROR(__xludf.DUMMYFUNCTION("""COMPUTED_VALUE"""),0.0)</f>
        <v>0</v>
      </c>
      <c r="BL27" s="673">
        <f>IFERROR(__xludf.DUMMYFUNCTION("""COMPUTED_VALUE"""),0.0)</f>
        <v>0</v>
      </c>
      <c r="BM27" s="674">
        <f>IFERROR(__xludf.DUMMYFUNCTION("""COMPUTED_VALUE"""),75.0)</f>
        <v>75</v>
      </c>
      <c r="BN27" s="674">
        <f>IFERROR(__xludf.DUMMYFUNCTION("""COMPUTED_VALUE"""),75.0)</f>
        <v>75</v>
      </c>
      <c r="BO27" s="675">
        <f>IFERROR(__xludf.DUMMYFUNCTION("""COMPUTED_VALUE"""),0.0)</f>
        <v>0</v>
      </c>
      <c r="BP27" s="675">
        <f>IFERROR(__xludf.DUMMYFUNCTION("""COMPUTED_VALUE"""),1.5)</f>
        <v>1.5</v>
      </c>
      <c r="BQ27" s="675" t="str">
        <f>IFERROR(__xludf.DUMMYFUNCTION("""COMPUTED_VALUE"""),"※")</f>
        <v>※</v>
      </c>
      <c r="BR27" s="139">
        <f>IFERROR(__xludf.DUMMYFUNCTION("""COMPUTED_VALUE"""),2.0)</f>
        <v>2</v>
      </c>
      <c r="BS27" s="139">
        <f>IFERROR(__xludf.DUMMYFUNCTION("""COMPUTED_VALUE"""),35.0)</f>
        <v>35</v>
      </c>
      <c r="BT27" s="139">
        <f>IFERROR(__xludf.DUMMYFUNCTION("""COMPUTED_VALUE"""),0.39)</f>
        <v>0.39</v>
      </c>
      <c r="BU27" s="139">
        <f>IFERROR(__xludf.DUMMYFUNCTION("""COMPUTED_VALUE"""),0.0)</f>
        <v>0</v>
      </c>
      <c r="BV27" s="139" t="str">
        <f>IFERROR(__xludf.DUMMYFUNCTION("""COMPUTED_VALUE"""),"普通")</f>
        <v>普通</v>
      </c>
      <c r="BW27" s="139" t="str">
        <f>IFERROR(__xludf.DUMMYFUNCTION("""COMPUTED_VALUE"""),"火傷ダメージ軽減")</f>
        <v>火傷ダメージ軽減</v>
      </c>
      <c r="BX27" s="139">
        <f>IFERROR(__xludf.DUMMYFUNCTION("""COMPUTED_VALUE"""),20.0)</f>
        <v>20</v>
      </c>
      <c r="BY27" s="139">
        <f>IFERROR(__xludf.DUMMYFUNCTION("""COMPUTED_VALUE"""),0.0)</f>
        <v>0</v>
      </c>
      <c r="BZ27" s="139" t="str">
        <f>IFERROR(__xludf.DUMMYFUNCTION("""COMPUTED_VALUE"""),"攻撃UPコマ効果UP")</f>
        <v>攻撃UPコマ効果UP</v>
      </c>
      <c r="CA27" s="139">
        <f>IFERROR(__xludf.DUMMYFUNCTION("""COMPUTED_VALUE"""),25.0)</f>
        <v>25</v>
      </c>
      <c r="CB27" s="139">
        <f>IFERROR(__xludf.DUMMYFUNCTION("""COMPUTED_VALUE"""),4.0)</f>
        <v>4</v>
      </c>
      <c r="CC27" s="139" t="str">
        <f>IFERROR(__xludf.DUMMYFUNCTION("""COMPUTED_VALUE"""),"中距離")</f>
        <v>中距離</v>
      </c>
      <c r="CD27" s="139" t="str">
        <f>IFERROR(__xludf.DUMMYFUNCTION("""COMPUTED_VALUE"""),"単体")</f>
        <v>単体</v>
      </c>
      <c r="CE27" s="139">
        <f>IFERROR(__xludf.DUMMYFUNCTION("""COMPUTED_VALUE"""),1.0)</f>
        <v>1</v>
      </c>
      <c r="CF27" s="139">
        <f>IFERROR(__xludf.DUMMYFUNCTION("""COMPUTED_VALUE"""),0.4)</f>
        <v>0.4</v>
      </c>
      <c r="CG27" s="139" t="str">
        <f>IFERROR(__xludf.DUMMYFUNCTION("""COMPUTED_VALUE"""),"遠距離")</f>
        <v>遠距離</v>
      </c>
      <c r="CH27" s="139" t="str">
        <f>IFERROR(__xludf.DUMMYFUNCTION("""COMPUTED_VALUE"""),"範囲(特大)")</f>
        <v>範囲(特大)</v>
      </c>
      <c r="CI27" s="139">
        <f>IFERROR(__xludf.DUMMYFUNCTION("""COMPUTED_VALUE"""),0.5)</f>
        <v>0.5</v>
      </c>
      <c r="CJ27" s="139">
        <f>IFERROR(__xludf.DUMMYFUNCTION("""COMPUTED_VALUE"""),0.8)</f>
        <v>0.8</v>
      </c>
      <c r="CK27" s="139" t="str">
        <f>IFERROR(__xludf.DUMMYFUNCTION("""COMPUTED_VALUE"""),"敵")</f>
        <v>敵</v>
      </c>
      <c r="CL27" s="139" t="str">
        <f>IFERROR(__xludf.DUMMYFUNCTION("""COMPUTED_VALUE"""),"青")</f>
        <v>青</v>
      </c>
      <c r="CM27" s="139" t="str">
        <f>IFERROR(__xludf.DUMMYFUNCTION("""COMPUTED_VALUE"""),"All")</f>
        <v>All</v>
      </c>
      <c r="CN27" s="675">
        <f>IFERROR(__xludf.DUMMYFUNCTION("""COMPUTED_VALUE"""),14.311453746329661)</f>
        <v>14.31145375</v>
      </c>
      <c r="CO27" s="139" t="str">
        <f>IFERROR(__xludf.DUMMYFUNCTION("""COMPUTED_VALUE"""),"-")</f>
        <v>-</v>
      </c>
      <c r="CP27" s="139" t="str">
        <f>IFERROR(__xludf.DUMMYFUNCTION("""COMPUTED_VALUE"""),"-")</f>
        <v>-</v>
      </c>
      <c r="CQ27" s="139" t="str">
        <f>IFERROR(__xludf.DUMMYFUNCTION("""COMPUTED_VALUE"""),"-")</f>
        <v>-</v>
      </c>
      <c r="CR27" s="139" t="str">
        <f>IFERROR(__xludf.DUMMYFUNCTION("""COMPUTED_VALUE"""),"-")</f>
        <v>-</v>
      </c>
      <c r="CS27" s="673" t="str">
        <f>IFERROR(__xludf.DUMMYFUNCTION("""COMPUTED_VALUE"""),"キラー攻撃(青)")</f>
        <v>キラー攻撃(青)</v>
      </c>
      <c r="CT27" s="139" t="str">
        <f>IFERROR(__xludf.DUMMYFUNCTION("""COMPUTED_VALUE"""),"-")</f>
        <v>-</v>
      </c>
      <c r="CU27" s="139" t="str">
        <f>IFERROR(__xludf.DUMMYFUNCTION("""COMPUTED_VALUE"""),"敵")</f>
        <v>敵</v>
      </c>
      <c r="CV27" s="139" t="str">
        <f>IFERROR(__xludf.DUMMYFUNCTION("""COMPUTED_VALUE"""),"青")</f>
        <v>青</v>
      </c>
      <c r="CW27" s="139" t="str">
        <f>IFERROR(__xludf.DUMMYFUNCTION("""COMPUTED_VALUE"""),"All")</f>
        <v>All</v>
      </c>
      <c r="CX27" s="674">
        <f>IFERROR(__xludf.DUMMYFUNCTION("""COMPUTED_VALUE"""),170.0)</f>
        <v>170</v>
      </c>
      <c r="CY27" s="139" t="str">
        <f>IFERROR(__xludf.DUMMYFUNCTION("""COMPUTED_VALUE"""),"-")</f>
        <v>-</v>
      </c>
      <c r="CZ27" s="688">
        <f>IFERROR(__xludf.DUMMYFUNCTION("""COMPUTED_VALUE"""),35638.0)</f>
        <v>35638</v>
      </c>
      <c r="DA27" s="688">
        <f>IFERROR(__xludf.DUMMYFUNCTION("""COMPUTED_VALUE"""),2663.798073507045)</f>
        <v>2663.798074</v>
      </c>
      <c r="DB27" s="688">
        <f>IFERROR(__xludf.DUMMYFUNCTION("""COMPUTED_VALUE"""),13318.990367535225)</f>
        <v>13318.99037</v>
      </c>
      <c r="DC27" s="139" t="str">
        <f>IFERROR(__xludf.DUMMYFUNCTION("""COMPUTED_VALUE"""),"-")</f>
        <v>-</v>
      </c>
      <c r="DD27" s="673" t="str">
        <f>IFERROR(__xludf.DUMMYFUNCTION("""COMPUTED_VALUE"""),"-")</f>
        <v>-</v>
      </c>
      <c r="DE27" s="139" t="str">
        <f>IFERROR(__xludf.DUMMYFUNCTION("""COMPUTED_VALUE"""),"-")</f>
        <v>-</v>
      </c>
      <c r="DF27" s="139" t="str">
        <f>IFERROR(__xludf.DUMMYFUNCTION("""COMPUTED_VALUE"""),"-")</f>
        <v>-</v>
      </c>
      <c r="DG27" s="139" t="str">
        <f>IFERROR(__xludf.DUMMYFUNCTION("""COMPUTED_VALUE"""),"-")</f>
        <v>-</v>
      </c>
      <c r="DH27" s="139" t="str">
        <f>IFERROR(__xludf.DUMMYFUNCTION("""COMPUTED_VALUE"""),"-")</f>
        <v>-</v>
      </c>
      <c r="DI27" s="139" t="str">
        <f>IFERROR(__xludf.DUMMYFUNCTION("""COMPUTED_VALUE"""),"-")</f>
        <v>-</v>
      </c>
      <c r="DJ27" s="139" t="str">
        <f>IFERROR(__xludf.DUMMYFUNCTION("""COMPUTED_VALUE"""),"-")</f>
        <v>-</v>
      </c>
    </row>
    <row r="28">
      <c r="A28" s="139" t="str">
        <f>IFERROR(__xludf.DUMMYFUNCTION("""COMPUTED_VALUE"""),"2.5次元の誘惑")</f>
        <v>2.5次元の誘惑</v>
      </c>
      <c r="B28" s="139" t="str">
        <f>IFERROR(__xludf.DUMMYFUNCTION("""COMPUTED_VALUE"""),"コスプレに託す乙女心 橘 美花莉")</f>
        <v>コスプレに託す乙女心 橘 美花莉</v>
      </c>
      <c r="C28" s="139" t="str">
        <f>IFERROR(__xludf.DUMMYFUNCTION("""COMPUTED_VALUE"""),"chara_yuw_00101")</f>
        <v>chara_yuw_00101</v>
      </c>
      <c r="D28" s="139" t="str">
        <f>IFERROR(__xludf.DUMMYFUNCTION("""COMPUTED_VALUE"""),"PremiumUR")</f>
        <v>PremiumUR</v>
      </c>
      <c r="E28" s="139" t="str">
        <f>IFERROR(__xludf.DUMMYFUNCTION("""COMPUTED_VALUE"""),"緑")</f>
        <v>緑</v>
      </c>
      <c r="F28" s="139" t="str">
        <f>IFERROR(__xludf.DUMMYFUNCTION("""COMPUTED_VALUE"""),"テクニカル")</f>
        <v>テクニカル</v>
      </c>
      <c r="G28" s="139" t="str">
        <f>IFERROR(__xludf.DUMMYFUNCTION("""COMPUTED_VALUE"""),"近距離")</f>
        <v>近距離</v>
      </c>
      <c r="H28" s="139" t="str">
        <f>IFERROR(__xludf.DUMMYFUNCTION("""COMPUTED_VALUE"""),"dageki_1")</f>
        <v>dageki_1</v>
      </c>
      <c r="I28" s="139" t="str">
        <f>IFERROR(__xludf.DUMMYFUNCTION("""COMPUTED_VALUE"""),"-")</f>
        <v>-</v>
      </c>
      <c r="J28" s="139" t="str">
        <f>IFERROR(__xludf.DUMMYFUNCTION("""COMPUTED_VALUE"""),"202509010_リリース")</f>
        <v>202509010_リリース</v>
      </c>
      <c r="K28" s="139" t="str">
        <f>IFERROR(__xludf.DUMMYFUNCTION("""COMPUTED_VALUE"""),"リリース時")</f>
        <v>リリース時</v>
      </c>
      <c r="L28" s="687" t="str">
        <f>IFERROR(__xludf.DUMMYFUNCTION("""COMPUTED_VALUE"""),"※")</f>
        <v>※</v>
      </c>
      <c r="M28" s="674">
        <f>IFERROR(__xludf.DUMMYFUNCTION("""COMPUTED_VALUE"""),740.0)</f>
        <v>740</v>
      </c>
      <c r="N28" s="139">
        <f>IFERROR(__xludf.DUMMYFUNCTION("""COMPUTED_VALUE"""),600.0)</f>
        <v>600</v>
      </c>
      <c r="O28" s="139" t="str">
        <f>IFERROR(__xludf.DUMMYFUNCTION("""COMPUTED_VALUE"""),"中コスト")</f>
        <v>中コスト</v>
      </c>
      <c r="P28" s="139">
        <f>IFERROR(__xludf.DUMMYFUNCTION("""COMPUTED_VALUE"""),100.0)</f>
        <v>100</v>
      </c>
      <c r="Q28" s="675">
        <f>IFERROR(__xludf.DUMMYFUNCTION("""COMPUTED_VALUE"""),10.0)</f>
        <v>10</v>
      </c>
      <c r="R28" s="675">
        <f>IFERROR(__xludf.DUMMYFUNCTION("""COMPUTED_VALUE"""),30.0)</f>
        <v>30</v>
      </c>
      <c r="S28" s="675">
        <f>IFERROR(__xludf.DUMMYFUNCTION("""COMPUTED_VALUE"""),16.0)</f>
        <v>16</v>
      </c>
      <c r="T28" s="674">
        <f>IFERROR(__xludf.DUMMYFUNCTION("""COMPUTED_VALUE"""),570.0)</f>
        <v>570</v>
      </c>
      <c r="U28" s="675">
        <f>IFERROR(__xludf.DUMMYFUNCTION("""COMPUTED_VALUE"""),11.366666666666669)</f>
        <v>11.36666667</v>
      </c>
      <c r="V28" s="675">
        <f>IFERROR(__xludf.DUMMYFUNCTION("""COMPUTED_VALUE"""),0.0)</f>
        <v>0</v>
      </c>
      <c r="W28" s="675">
        <f>IFERROR(__xludf.DUMMYFUNCTION("""COMPUTED_VALUE"""),0.0)</f>
        <v>0</v>
      </c>
      <c r="X28" s="675">
        <f>IFERROR(__xludf.DUMMYFUNCTION("""COMPUTED_VALUE"""),0.0)</f>
        <v>0</v>
      </c>
      <c r="Y28" s="674">
        <f>IFERROR(__xludf.DUMMYFUNCTION("""COMPUTED_VALUE"""),295.0)</f>
        <v>295</v>
      </c>
      <c r="Z28" s="675">
        <f>IFERROR(__xludf.DUMMYFUNCTION("""COMPUTED_VALUE"""),5.941666666666666)</f>
        <v>5.941666667</v>
      </c>
      <c r="AA28" s="675">
        <f>IFERROR(__xludf.DUMMYFUNCTION("""COMPUTED_VALUE"""),0.0)</f>
        <v>0</v>
      </c>
      <c r="AB28" s="673">
        <f>IFERROR(__xludf.DUMMYFUNCTION("""COMPUTED_VALUE"""),0.0)</f>
        <v>0</v>
      </c>
      <c r="AC28" s="675">
        <f>IFERROR(__xludf.DUMMYFUNCTION("""COMPUTED_VALUE"""),0.0)</f>
        <v>0</v>
      </c>
      <c r="AD28" s="674">
        <f>IFERROR(__xludf.DUMMYFUNCTION("""COMPUTED_VALUE"""),1750.0)</f>
        <v>1750</v>
      </c>
      <c r="AE28" s="675">
        <f>IFERROR(__xludf.DUMMYFUNCTION("""COMPUTED_VALUE"""),35.00166655557037)</f>
        <v>35.00166656</v>
      </c>
      <c r="AF28" s="675">
        <f>IFERROR(__xludf.DUMMYFUNCTION("""COMPUTED_VALUE"""),0.0)</f>
        <v>0</v>
      </c>
      <c r="AG28" s="675">
        <f>IFERROR(__xludf.DUMMYFUNCTION("""COMPUTED_VALUE"""),22.5)</f>
        <v>22.5</v>
      </c>
      <c r="AH28" s="675">
        <f>IFERROR(__xludf.DUMMYFUNCTION("""COMPUTED_VALUE"""),0.0)</f>
        <v>0</v>
      </c>
      <c r="AI28" s="675">
        <f>IFERROR(__xludf.DUMMYFUNCTION("""COMPUTED_VALUE"""),15.0)</f>
        <v>15</v>
      </c>
      <c r="AJ28" s="675">
        <f>IFERROR(__xludf.DUMMYFUNCTION("""COMPUTED_VALUE"""),20.001666555570367)</f>
        <v>20.00166656</v>
      </c>
      <c r="AK28" s="139">
        <f>IFERROR(__xludf.DUMMYFUNCTION("""COMPUTED_VALUE"""),1.0)</f>
        <v>1</v>
      </c>
      <c r="AL28" s="674">
        <f>IFERROR(__xludf.DUMMYFUNCTION("""COMPUTED_VALUE"""),1550.0)</f>
        <v>1550</v>
      </c>
      <c r="AM28" s="688">
        <f>IFERROR(__xludf.DUMMYFUNCTION("""COMPUTED_VALUE"""),12667.55358488657)</f>
        <v>12667.55358</v>
      </c>
      <c r="AN28" s="675">
        <f>IFERROR(__xludf.DUMMYFUNCTION("""COMPUTED_VALUE"""),10.333333333333334)</f>
        <v>10.33333333</v>
      </c>
      <c r="AO28" s="675">
        <f>IFERROR(__xludf.DUMMYFUNCTION("""COMPUTED_VALUE"""),5.166666666666667)</f>
        <v>5.166666667</v>
      </c>
      <c r="AP28" s="674">
        <f>IFERROR(__xludf.DUMMYFUNCTION("""COMPUTED_VALUE"""),2220.0)</f>
        <v>2220</v>
      </c>
      <c r="AQ28" s="673">
        <f>IFERROR(__xludf.DUMMYFUNCTION("""COMPUTED_VALUE"""),-0.3)</f>
        <v>-0.3</v>
      </c>
      <c r="AR28" s="673">
        <f>IFERROR(__xludf.DUMMYFUNCTION("""COMPUTED_VALUE"""),0.0)</f>
        <v>0</v>
      </c>
      <c r="AS28" s="673">
        <f>IFERROR(__xludf.DUMMYFUNCTION("""COMPUTED_VALUE"""),0.0)</f>
        <v>0</v>
      </c>
      <c r="AT28" s="673">
        <f>IFERROR(__xludf.DUMMYFUNCTION("""COMPUTED_VALUE"""),0.0)</f>
        <v>0</v>
      </c>
      <c r="AU28" s="673">
        <f>IFERROR(__xludf.DUMMYFUNCTION("""COMPUTED_VALUE"""),0.0)</f>
        <v>0</v>
      </c>
      <c r="AV28" s="673">
        <f>IFERROR(__xludf.DUMMYFUNCTION("""COMPUTED_VALUE"""),0.0)</f>
        <v>0</v>
      </c>
      <c r="AW28" s="139"/>
      <c r="AX28" s="674">
        <f>IFERROR(__xludf.DUMMYFUNCTION("""COMPUTED_VALUE"""),1630.0)</f>
        <v>1630</v>
      </c>
      <c r="AY28" s="688">
        <f>IFERROR(__xludf.DUMMYFUNCTION("""COMPUTED_VALUE"""),13322.075834429103)</f>
        <v>13322.07583</v>
      </c>
      <c r="AZ28" s="674">
        <f>IFERROR(__xludf.DUMMYFUNCTION("""COMPUTED_VALUE"""),1630.0)</f>
        <v>1630</v>
      </c>
      <c r="BA28" s="688">
        <f>IFERROR(__xludf.DUMMYFUNCTION("""COMPUTED_VALUE"""),13322.075834429103)</f>
        <v>13322.07583</v>
      </c>
      <c r="BB28" s="688" t="str">
        <f>IFERROR(__xludf.DUMMYFUNCTION("""COMPUTED_VALUE"""),"-")</f>
        <v>-</v>
      </c>
      <c r="BC28" s="688" t="str">
        <f>IFERROR(__xludf.DUMMYFUNCTION("""COMPUTED_VALUE"""),"#VALUE!")</f>
        <v>#VALUE!</v>
      </c>
      <c r="BD28" s="688" t="str">
        <f>IFERROR(__xludf.DUMMYFUNCTION("""COMPUTED_VALUE"""),"#VALUE!")</f>
        <v>#VALUE!</v>
      </c>
      <c r="BE28" s="674">
        <f>IFERROR(__xludf.DUMMYFUNCTION("""COMPUTED_VALUE"""),1630.0)</f>
        <v>1630</v>
      </c>
      <c r="BF28" s="674">
        <f>IFERROR(__xludf.DUMMYFUNCTION("""COMPUTED_VALUE"""),1480.0)</f>
        <v>1480</v>
      </c>
      <c r="BG28" s="673">
        <f>IFERROR(__xludf.DUMMYFUNCTION("""COMPUTED_VALUE"""),0.0)</f>
        <v>0</v>
      </c>
      <c r="BH28" s="673">
        <f>IFERROR(__xludf.DUMMYFUNCTION("""COMPUTED_VALUE"""),0.1)</f>
        <v>0.1</v>
      </c>
      <c r="BI28" s="673">
        <f>IFERROR(__xludf.DUMMYFUNCTION("""COMPUTED_VALUE"""),0.0)</f>
        <v>0</v>
      </c>
      <c r="BJ28" s="673">
        <f>IFERROR(__xludf.DUMMYFUNCTION("""COMPUTED_VALUE"""),0.0)</f>
        <v>0</v>
      </c>
      <c r="BK28" s="673">
        <f>IFERROR(__xludf.DUMMYFUNCTION("""COMPUTED_VALUE"""),0.0)</f>
        <v>0</v>
      </c>
      <c r="BL28" s="673">
        <f>IFERROR(__xludf.DUMMYFUNCTION("""COMPUTED_VALUE"""),0.0)</f>
        <v>0</v>
      </c>
      <c r="BM28" s="674">
        <f>IFERROR(__xludf.DUMMYFUNCTION("""COMPUTED_VALUE"""),50.0)</f>
        <v>50</v>
      </c>
      <c r="BN28" s="674">
        <f>IFERROR(__xludf.DUMMYFUNCTION("""COMPUTED_VALUE"""),50.0)</f>
        <v>50</v>
      </c>
      <c r="BO28" s="675">
        <f>IFERROR(__xludf.DUMMYFUNCTION("""COMPUTED_VALUE"""),0.0)</f>
        <v>0</v>
      </c>
      <c r="BP28" s="675">
        <f>IFERROR(__xludf.DUMMYFUNCTION("""COMPUTED_VALUE"""),1.0)</f>
        <v>1</v>
      </c>
      <c r="BQ28" s="675" t="str">
        <f>IFERROR(__xludf.DUMMYFUNCTION("""COMPUTED_VALUE"""),"※")</f>
        <v>※</v>
      </c>
      <c r="BR28" s="139">
        <f>IFERROR(__xludf.DUMMYFUNCTION("""COMPUTED_VALUE"""),3.0)</f>
        <v>3</v>
      </c>
      <c r="BS28" s="139">
        <f>IFERROR(__xludf.DUMMYFUNCTION("""COMPUTED_VALUE"""),35.0)</f>
        <v>35</v>
      </c>
      <c r="BT28" s="139">
        <f>IFERROR(__xludf.DUMMYFUNCTION("""COMPUTED_VALUE"""),0.26)</f>
        <v>0.26</v>
      </c>
      <c r="BU28" s="139">
        <f>IFERROR(__xludf.DUMMYFUNCTION("""COMPUTED_VALUE"""),0.0)</f>
        <v>0</v>
      </c>
      <c r="BV28" s="139" t="str">
        <f>IFERROR(__xludf.DUMMYFUNCTION("""COMPUTED_VALUE"""),"普通")</f>
        <v>普通</v>
      </c>
      <c r="BW28" s="139" t="str">
        <f>IFERROR(__xludf.DUMMYFUNCTION("""COMPUTED_VALUE"""),"ノックバック無効化")</f>
        <v>ノックバック無効化</v>
      </c>
      <c r="BX28" s="139" t="str">
        <f>IFERROR(__xludf.DUMMYFUNCTION("""COMPUTED_VALUE"""),"-")</f>
        <v>-</v>
      </c>
      <c r="BY28" s="139">
        <f>IFERROR(__xludf.DUMMYFUNCTION("""COMPUTED_VALUE"""),0.0)</f>
        <v>0</v>
      </c>
      <c r="BZ28" s="139" t="str">
        <f>IFERROR(__xludf.DUMMYFUNCTION("""COMPUTED_VALUE"""),"攻撃DOWNコマ無効化")</f>
        <v>攻撃DOWNコマ無効化</v>
      </c>
      <c r="CA28" s="139" t="str">
        <f>IFERROR(__xludf.DUMMYFUNCTION("""COMPUTED_VALUE"""),"-")</f>
        <v>-</v>
      </c>
      <c r="CB28" s="139">
        <f>IFERROR(__xludf.DUMMYFUNCTION("""COMPUTED_VALUE"""),4.0)</f>
        <v>4</v>
      </c>
      <c r="CC28" s="139" t="str">
        <f>IFERROR(__xludf.DUMMYFUNCTION("""COMPUTED_VALUE"""),"近距離")</f>
        <v>近距離</v>
      </c>
      <c r="CD28" s="139" t="str">
        <f>IFERROR(__xludf.DUMMYFUNCTION("""COMPUTED_VALUE"""),"単体")</f>
        <v>単体</v>
      </c>
      <c r="CE28" s="139">
        <f>IFERROR(__xludf.DUMMYFUNCTION("""COMPUTED_VALUE"""),1.0)</f>
        <v>1</v>
      </c>
      <c r="CF28" s="139">
        <f>IFERROR(__xludf.DUMMYFUNCTION("""COMPUTED_VALUE"""),0.27)</f>
        <v>0.27</v>
      </c>
      <c r="CG28" s="139" t="str">
        <f>IFERROR(__xludf.DUMMYFUNCTION("""COMPUTED_VALUE"""),"中距離")</f>
        <v>中距離</v>
      </c>
      <c r="CH28" s="139" t="str">
        <f>IFERROR(__xludf.DUMMYFUNCTION("""COMPUTED_VALUE"""),"範囲(中)")</f>
        <v>範囲(中)</v>
      </c>
      <c r="CI28" s="139">
        <f>IFERROR(__xludf.DUMMYFUNCTION("""COMPUTED_VALUE"""),0.65)</f>
        <v>0.65</v>
      </c>
      <c r="CJ28" s="139">
        <f>IFERROR(__xludf.DUMMYFUNCTION("""COMPUTED_VALUE"""),0.47)</f>
        <v>0.47</v>
      </c>
      <c r="CK28" s="139" t="str">
        <f>IFERROR(__xludf.DUMMYFUNCTION("""COMPUTED_VALUE"""),"敵")</f>
        <v>敵</v>
      </c>
      <c r="CL28" s="139" t="str">
        <f>IFERROR(__xludf.DUMMYFUNCTION("""COMPUTED_VALUE"""),"All")</f>
        <v>All</v>
      </c>
      <c r="CM28" s="139" t="str">
        <f>IFERROR(__xludf.DUMMYFUNCTION("""COMPUTED_VALUE"""),"All")</f>
        <v>All</v>
      </c>
      <c r="CN28" s="675">
        <f>IFERROR(__xludf.DUMMYFUNCTION("""COMPUTED_VALUE"""),35.00166655557037)</f>
        <v>35.00166656</v>
      </c>
      <c r="CO28" s="139" t="str">
        <f>IFERROR(__xludf.DUMMYFUNCTION("""COMPUTED_VALUE"""),"-")</f>
        <v>-</v>
      </c>
      <c r="CP28" s="139" t="str">
        <f>IFERROR(__xludf.DUMMYFUNCTION("""COMPUTED_VALUE"""),"-")</f>
        <v>-</v>
      </c>
      <c r="CQ28" s="139" t="str">
        <f>IFERROR(__xludf.DUMMYFUNCTION("""COMPUTED_VALUE"""),"-")</f>
        <v>-</v>
      </c>
      <c r="CR28" s="139" t="str">
        <f>IFERROR(__xludf.DUMMYFUNCTION("""COMPUTED_VALUE"""),"超持続型")</f>
        <v>超持続型</v>
      </c>
      <c r="CS28" s="673" t="str">
        <f>IFERROR(__xludf.DUMMYFUNCTION("""COMPUTED_VALUE"""),"攻撃力Down")</f>
        <v>攻撃力Down</v>
      </c>
      <c r="CT28" s="139" t="str">
        <f>IFERROR(__xludf.DUMMYFUNCTION("""COMPUTED_VALUE"""),"超持続型")</f>
        <v>超持続型</v>
      </c>
      <c r="CU28" s="139" t="str">
        <f>IFERROR(__xludf.DUMMYFUNCTION("""COMPUTED_VALUE"""),"敵")</f>
        <v>敵</v>
      </c>
      <c r="CV28" s="139" t="str">
        <f>IFERROR(__xludf.DUMMYFUNCTION("""COMPUTED_VALUE"""),"All")</f>
        <v>All</v>
      </c>
      <c r="CW28" s="139" t="str">
        <f>IFERROR(__xludf.DUMMYFUNCTION("""COMPUTED_VALUE"""),"All")</f>
        <v>All</v>
      </c>
      <c r="CX28" s="674">
        <f>IFERROR(__xludf.DUMMYFUNCTION("""COMPUTED_VALUE"""),12.0)</f>
        <v>12</v>
      </c>
      <c r="CY28" s="675">
        <f>IFERROR(__xludf.DUMMYFUNCTION("""COMPUTED_VALUE"""),15.0)</f>
        <v>15</v>
      </c>
      <c r="CZ28" s="688" t="str">
        <f>IFERROR(__xludf.DUMMYFUNCTION("""COMPUTED_VALUE"""),"-")</f>
        <v>-</v>
      </c>
      <c r="DA28" s="688">
        <f>IFERROR(__xludf.DUMMYFUNCTION("""COMPUTED_VALUE"""),33.01068690375529)</f>
        <v>33.0106869</v>
      </c>
      <c r="DB28" s="688">
        <f>IFERROR(__xludf.DUMMYFUNCTION("""COMPUTED_VALUE"""),165.05343451877647)</f>
        <v>165.0534345</v>
      </c>
      <c r="DC28" s="139" t="str">
        <f>IFERROR(__xludf.DUMMYFUNCTION("""COMPUTED_VALUE"""),"-")</f>
        <v>-</v>
      </c>
      <c r="DD28" s="673" t="str">
        <f>IFERROR(__xludf.DUMMYFUNCTION("""COMPUTED_VALUE"""),"-")</f>
        <v>-</v>
      </c>
      <c r="DE28" s="139" t="str">
        <f>IFERROR(__xludf.DUMMYFUNCTION("""COMPUTED_VALUE"""),"-")</f>
        <v>-</v>
      </c>
      <c r="DF28" s="139" t="str">
        <f>IFERROR(__xludf.DUMMYFUNCTION("""COMPUTED_VALUE"""),"-")</f>
        <v>-</v>
      </c>
      <c r="DG28" s="139" t="str">
        <f>IFERROR(__xludf.DUMMYFUNCTION("""COMPUTED_VALUE"""),"-")</f>
        <v>-</v>
      </c>
      <c r="DH28" s="139" t="str">
        <f>IFERROR(__xludf.DUMMYFUNCTION("""COMPUTED_VALUE"""),"-")</f>
        <v>-</v>
      </c>
      <c r="DI28" s="139" t="str">
        <f>IFERROR(__xludf.DUMMYFUNCTION("""COMPUTED_VALUE"""),"-")</f>
        <v>-</v>
      </c>
      <c r="DJ28" s="139" t="str">
        <f>IFERROR(__xludf.DUMMYFUNCTION("""COMPUTED_VALUE"""),"-")</f>
        <v>-</v>
      </c>
    </row>
    <row r="29">
      <c r="A29" s="139" t="str">
        <f>IFERROR(__xludf.DUMMYFUNCTION("""COMPUTED_VALUE"""),"株式会社マジルミエ")</f>
        <v>株式会社マジルミエ</v>
      </c>
      <c r="B29" s="139" t="str">
        <f>IFERROR(__xludf.DUMMYFUNCTION("""COMPUTED_VALUE"""),"越谷 仁美")</f>
        <v>越谷 仁美</v>
      </c>
      <c r="C29" s="139" t="str">
        <f>IFERROR(__xludf.DUMMYFUNCTION("""COMPUTED_VALUE"""),"chara_mag_00101")</f>
        <v>chara_mag_00101</v>
      </c>
      <c r="D29" s="139" t="str">
        <f>IFERROR(__xludf.DUMMYFUNCTION("""COMPUTED_VALUE"""),"PremiumSR")</f>
        <v>PremiumSR</v>
      </c>
      <c r="E29" s="139" t="str">
        <f>IFERROR(__xludf.DUMMYFUNCTION("""COMPUTED_VALUE"""),"黄")</f>
        <v>黄</v>
      </c>
      <c r="F29" s="139" t="str">
        <f>IFERROR(__xludf.DUMMYFUNCTION("""COMPUTED_VALUE"""),"アタック")</f>
        <v>アタック</v>
      </c>
      <c r="G29" s="139" t="str">
        <f>IFERROR(__xludf.DUMMYFUNCTION("""COMPUTED_VALUE"""),"中距離")</f>
        <v>中距離</v>
      </c>
      <c r="H29" s="139" t="str">
        <f>IFERROR(__xludf.DUMMYFUNCTION("""COMPUTED_VALUE"""),"shageki_1")</f>
        <v>shageki_1</v>
      </c>
      <c r="I29" s="139" t="str">
        <f>IFERROR(__xludf.DUMMYFUNCTION("""COMPUTED_VALUE"""),"shageki_1")</f>
        <v>shageki_1</v>
      </c>
      <c r="J29" s="139" t="str">
        <f>IFERROR(__xludf.DUMMYFUNCTION("""COMPUTED_VALUE"""),"202509010_リリース")</f>
        <v>202509010_リリース</v>
      </c>
      <c r="K29" s="139" t="str">
        <f>IFERROR(__xludf.DUMMYFUNCTION("""COMPUTED_VALUE"""),"リリース時")</f>
        <v>リリース時</v>
      </c>
      <c r="L29" s="687" t="str">
        <f>IFERROR(__xludf.DUMMYFUNCTION("""COMPUTED_VALUE"""),"※")</f>
        <v>※</v>
      </c>
      <c r="M29" s="674">
        <f>IFERROR(__xludf.DUMMYFUNCTION("""COMPUTED_VALUE"""),725.0)</f>
        <v>725</v>
      </c>
      <c r="N29" s="139">
        <f>IFERROR(__xludf.DUMMYFUNCTION("""COMPUTED_VALUE"""),600.0)</f>
        <v>600</v>
      </c>
      <c r="O29" s="139" t="str">
        <f>IFERROR(__xludf.DUMMYFUNCTION("""COMPUTED_VALUE"""),"中コスト")</f>
        <v>中コスト</v>
      </c>
      <c r="P29" s="139">
        <f>IFERROR(__xludf.DUMMYFUNCTION("""COMPUTED_VALUE"""),100.0)</f>
        <v>100</v>
      </c>
      <c r="Q29" s="675">
        <f>IFERROR(__xludf.DUMMYFUNCTION("""COMPUTED_VALUE"""),10.0)</f>
        <v>10</v>
      </c>
      <c r="R29" s="675">
        <f>IFERROR(__xludf.DUMMYFUNCTION("""COMPUTED_VALUE"""),15.0)</f>
        <v>15</v>
      </c>
      <c r="S29" s="675">
        <f>IFERROR(__xludf.DUMMYFUNCTION("""COMPUTED_VALUE"""),15.625)</f>
        <v>15.625</v>
      </c>
      <c r="T29" s="674">
        <f>IFERROR(__xludf.DUMMYFUNCTION("""COMPUTED_VALUE"""),560.0)</f>
        <v>560</v>
      </c>
      <c r="U29" s="675">
        <f>IFERROR(__xludf.DUMMYFUNCTION("""COMPUTED_VALUE"""),11.22)</f>
        <v>11.22</v>
      </c>
      <c r="V29" s="675">
        <f>IFERROR(__xludf.DUMMYFUNCTION("""COMPUTED_VALUE"""),0.0)</f>
        <v>0</v>
      </c>
      <c r="W29" s="675">
        <f>IFERROR(__xludf.DUMMYFUNCTION("""COMPUTED_VALUE"""),0.0)</f>
        <v>0</v>
      </c>
      <c r="X29" s="675">
        <f>IFERROR(__xludf.DUMMYFUNCTION("""COMPUTED_VALUE"""),0.0)</f>
        <v>0</v>
      </c>
      <c r="Y29" s="674">
        <f>IFERROR(__xludf.DUMMYFUNCTION("""COMPUTED_VALUE"""),295.0)</f>
        <v>295</v>
      </c>
      <c r="Z29" s="675">
        <f>IFERROR(__xludf.DUMMYFUNCTION("""COMPUTED_VALUE"""),5.864999999999999)</f>
        <v>5.865</v>
      </c>
      <c r="AA29" s="675">
        <f>IFERROR(__xludf.DUMMYFUNCTION("""COMPUTED_VALUE"""),0.0)</f>
        <v>0</v>
      </c>
      <c r="AB29" s="673">
        <f>IFERROR(__xludf.DUMMYFUNCTION("""COMPUTED_VALUE"""),0.0)</f>
        <v>0</v>
      </c>
      <c r="AC29" s="675">
        <f>IFERROR(__xludf.DUMMYFUNCTION("""COMPUTED_VALUE"""),0.0)</f>
        <v>0</v>
      </c>
      <c r="AD29" s="674">
        <f>IFERROR(__xludf.DUMMYFUNCTION("""COMPUTED_VALUE"""),775.0)</f>
        <v>775</v>
      </c>
      <c r="AE29" s="675">
        <f>IFERROR(__xludf.DUMMYFUNCTION("""COMPUTED_VALUE"""),15.525935962124795)</f>
        <v>15.52593596</v>
      </c>
      <c r="AF29" s="675">
        <f>IFERROR(__xludf.DUMMYFUNCTION("""COMPUTED_VALUE"""),0.0)</f>
        <v>0</v>
      </c>
      <c r="AG29" s="675">
        <f>IFERROR(__xludf.DUMMYFUNCTION("""COMPUTED_VALUE"""),3.105187192424959)</f>
        <v>3.105187192</v>
      </c>
      <c r="AH29" s="675">
        <f>IFERROR(__xludf.DUMMYFUNCTION("""COMPUTED_VALUE"""),0.0)</f>
        <v>0</v>
      </c>
      <c r="AI29" s="139">
        <f>IFERROR(__xludf.DUMMYFUNCTION("""COMPUTED_VALUE"""),8.0)</f>
        <v>8</v>
      </c>
      <c r="AJ29" s="139" t="str">
        <f>IFERROR(__xludf.DUMMYFUNCTION("""COMPUTED_VALUE"""),"-")</f>
        <v>-</v>
      </c>
      <c r="AK29" s="139">
        <f>IFERROR(__xludf.DUMMYFUNCTION("""COMPUTED_VALUE"""),1.0)</f>
        <v>1</v>
      </c>
      <c r="AL29" s="674">
        <f>IFERROR(__xludf.DUMMYFUNCTION("""COMPUTED_VALUE"""),1530.0)</f>
        <v>1530</v>
      </c>
      <c r="AM29" s="688">
        <f>IFERROR(__xludf.DUMMYFUNCTION("""COMPUTED_VALUE"""),11163.213022500935)</f>
        <v>11163.21302</v>
      </c>
      <c r="AN29" s="675">
        <f>IFERROR(__xludf.DUMMYFUNCTION("""COMPUTED_VALUE"""),10.2)</f>
        <v>10.2</v>
      </c>
      <c r="AO29" s="675">
        <f>IFERROR(__xludf.DUMMYFUNCTION("""COMPUTED_VALUE"""),5.1)</f>
        <v>5.1</v>
      </c>
      <c r="AP29" s="674">
        <f>IFERROR(__xludf.DUMMYFUNCTION("""COMPUTED_VALUE"""),2180.0)</f>
        <v>2180</v>
      </c>
      <c r="AQ29" s="673">
        <f>IFERROR(__xludf.DUMMYFUNCTION("""COMPUTED_VALUE"""),-0.2)</f>
        <v>-0.2</v>
      </c>
      <c r="AR29" s="673">
        <f>IFERROR(__xludf.DUMMYFUNCTION("""COMPUTED_VALUE"""),0.0)</f>
        <v>0</v>
      </c>
      <c r="AS29" s="673">
        <f>IFERROR(__xludf.DUMMYFUNCTION("""COMPUTED_VALUE"""),-0.1)</f>
        <v>-0.1</v>
      </c>
      <c r="AT29" s="673">
        <f>IFERROR(__xludf.DUMMYFUNCTION("""COMPUTED_VALUE"""),0.0)</f>
        <v>0</v>
      </c>
      <c r="AU29" s="673">
        <f>IFERROR(__xludf.DUMMYFUNCTION("""COMPUTED_VALUE"""),0.0)</f>
        <v>0</v>
      </c>
      <c r="AV29" s="673">
        <f>IFERROR(__xludf.DUMMYFUNCTION("""COMPUTED_VALUE"""),0.0)</f>
        <v>0</v>
      </c>
      <c r="AW29" s="139"/>
      <c r="AX29" s="674">
        <f>IFERROR(__xludf.DUMMYFUNCTION("""COMPUTED_VALUE"""),2840.0)</f>
        <v>2840</v>
      </c>
      <c r="AY29" s="688">
        <f>IFERROR(__xludf.DUMMYFUNCTION("""COMPUTED_VALUE"""),20721.359858759908)</f>
        <v>20721.35986</v>
      </c>
      <c r="AZ29" s="674">
        <f>IFERROR(__xludf.DUMMYFUNCTION("""COMPUTED_VALUE"""),1890.0)</f>
        <v>1890</v>
      </c>
      <c r="BA29" s="688">
        <f>IFERROR(__xludf.DUMMYFUNCTION("""COMPUTED_VALUE"""),13814.239905839939)</f>
        <v>13814.23991</v>
      </c>
      <c r="BB29" s="688" t="str">
        <f>IFERROR(__xludf.DUMMYFUNCTION("""COMPUTED_VALUE"""),"-")</f>
        <v>-</v>
      </c>
      <c r="BC29" s="688" t="str">
        <f>IFERROR(__xludf.DUMMYFUNCTION("""COMPUTED_VALUE"""),"#VALUE!")</f>
        <v>#VALUE!</v>
      </c>
      <c r="BD29" s="688" t="str">
        <f>IFERROR(__xludf.DUMMYFUNCTION("""COMPUTED_VALUE"""),"#VALUE!")</f>
        <v>#VALUE!</v>
      </c>
      <c r="BE29" s="674">
        <f>IFERROR(__xludf.DUMMYFUNCTION("""COMPUTED_VALUE"""),1890.0)</f>
        <v>1890</v>
      </c>
      <c r="BF29" s="674">
        <f>IFERROR(__xludf.DUMMYFUNCTION("""COMPUTED_VALUE"""),1450.0)</f>
        <v>1450</v>
      </c>
      <c r="BG29" s="673">
        <f>IFERROR(__xludf.DUMMYFUNCTION("""COMPUTED_VALUE"""),0.0)</f>
        <v>0</v>
      </c>
      <c r="BH29" s="673">
        <f>IFERROR(__xludf.DUMMYFUNCTION("""COMPUTED_VALUE"""),0.3)</f>
        <v>0.3</v>
      </c>
      <c r="BI29" s="673">
        <f>IFERROR(__xludf.DUMMYFUNCTION("""COMPUTED_VALUE"""),0.0)</f>
        <v>0</v>
      </c>
      <c r="BJ29" s="673">
        <f>IFERROR(__xludf.DUMMYFUNCTION("""COMPUTED_VALUE"""),0.0)</f>
        <v>0</v>
      </c>
      <c r="BK29" s="673">
        <f>IFERROR(__xludf.DUMMYFUNCTION("""COMPUTED_VALUE"""),0.0)</f>
        <v>0</v>
      </c>
      <c r="BL29" s="673">
        <f>IFERROR(__xludf.DUMMYFUNCTION("""COMPUTED_VALUE"""),0.0)</f>
        <v>0</v>
      </c>
      <c r="BM29" s="674">
        <f>IFERROR(__xludf.DUMMYFUNCTION("""COMPUTED_VALUE"""),75.0)</f>
        <v>75</v>
      </c>
      <c r="BN29" s="674">
        <f>IFERROR(__xludf.DUMMYFUNCTION("""COMPUTED_VALUE"""),75.0)</f>
        <v>75</v>
      </c>
      <c r="BO29" s="675">
        <f>IFERROR(__xludf.DUMMYFUNCTION("""COMPUTED_VALUE"""),0.0)</f>
        <v>0</v>
      </c>
      <c r="BP29" s="675">
        <f>IFERROR(__xludf.DUMMYFUNCTION("""COMPUTED_VALUE"""),1.5)</f>
        <v>1.5</v>
      </c>
      <c r="BQ29" s="675" t="str">
        <f>IFERROR(__xludf.DUMMYFUNCTION("""COMPUTED_VALUE"""),"※")</f>
        <v>※</v>
      </c>
      <c r="BR29" s="139">
        <f>IFERROR(__xludf.DUMMYFUNCTION("""COMPUTED_VALUE"""),2.0)</f>
        <v>2</v>
      </c>
      <c r="BS29" s="139">
        <f>IFERROR(__xludf.DUMMYFUNCTION("""COMPUTED_VALUE"""),50.0)</f>
        <v>50</v>
      </c>
      <c r="BT29" s="139">
        <f>IFERROR(__xludf.DUMMYFUNCTION("""COMPUTED_VALUE"""),0.39)</f>
        <v>0.39</v>
      </c>
      <c r="BU29" s="139">
        <f>IFERROR(__xludf.DUMMYFUNCTION("""COMPUTED_VALUE"""),0.0)</f>
        <v>0</v>
      </c>
      <c r="BV29" s="139" t="str">
        <f>IFERROR(__xludf.DUMMYFUNCTION("""COMPUTED_VALUE"""),"速い-普通")</f>
        <v>速い-普通</v>
      </c>
      <c r="BW29" s="139" t="str">
        <f>IFERROR(__xludf.DUMMYFUNCTION("""COMPUTED_VALUE"""),"氷結攻撃無効化")</f>
        <v>氷結攻撃無効化</v>
      </c>
      <c r="BX29" s="674">
        <f>IFERROR(__xludf.DUMMYFUNCTION("""COMPUTED_VALUE"""),25.0)</f>
        <v>25</v>
      </c>
      <c r="BY29" s="139">
        <f>IFERROR(__xludf.DUMMYFUNCTION("""COMPUTED_VALUE"""),2.0)</f>
        <v>2</v>
      </c>
      <c r="BZ29" s="139" t="str">
        <f>IFERROR(__xludf.DUMMYFUNCTION("""COMPUTED_VALUE"""),"-")</f>
        <v>-</v>
      </c>
      <c r="CA29" s="139" t="str">
        <f>IFERROR(__xludf.DUMMYFUNCTION("""COMPUTED_VALUE"""),"-")</f>
        <v>-</v>
      </c>
      <c r="CB29" s="139" t="str">
        <f>IFERROR(__xludf.DUMMYFUNCTION("""COMPUTED_VALUE"""),"-")</f>
        <v>-</v>
      </c>
      <c r="CC29" s="139" t="str">
        <f>IFERROR(__xludf.DUMMYFUNCTION("""COMPUTED_VALUE"""),"中距離")</f>
        <v>中距離</v>
      </c>
      <c r="CD29" s="139" t="str">
        <f>IFERROR(__xludf.DUMMYFUNCTION("""COMPUTED_VALUE"""),"単体")</f>
        <v>単体</v>
      </c>
      <c r="CE29" s="139">
        <f>IFERROR(__xludf.DUMMYFUNCTION("""COMPUTED_VALUE"""),1.0)</f>
        <v>1</v>
      </c>
      <c r="CF29" s="139">
        <f>IFERROR(__xludf.DUMMYFUNCTION("""COMPUTED_VALUE"""),0.4)</f>
        <v>0.4</v>
      </c>
      <c r="CG29" s="139" t="str">
        <f>IFERROR(__xludf.DUMMYFUNCTION("""COMPUTED_VALUE"""),"中距離")</f>
        <v>中距離</v>
      </c>
      <c r="CH29" s="139" t="str">
        <f>IFERROR(__xludf.DUMMYFUNCTION("""COMPUTED_VALUE"""),"範囲(小)")</f>
        <v>範囲(小)</v>
      </c>
      <c r="CI29" s="139">
        <f>IFERROR(__xludf.DUMMYFUNCTION("""COMPUTED_VALUE"""),0.75)</f>
        <v>0.75</v>
      </c>
      <c r="CJ29" s="139">
        <f>IFERROR(__xludf.DUMMYFUNCTION("""COMPUTED_VALUE"""),0.5)</f>
        <v>0.5</v>
      </c>
      <c r="CK29" s="139" t="str">
        <f>IFERROR(__xludf.DUMMYFUNCTION("""COMPUTED_VALUE"""),"敵")</f>
        <v>敵</v>
      </c>
      <c r="CL29" s="139" t="str">
        <f>IFERROR(__xludf.DUMMYFUNCTION("""COMPUTED_VALUE"""),"All")</f>
        <v>All</v>
      </c>
      <c r="CM29" s="139" t="str">
        <f>IFERROR(__xludf.DUMMYFUNCTION("""COMPUTED_VALUE"""),"All")</f>
        <v>All</v>
      </c>
      <c r="CN29" s="675">
        <f>IFERROR(__xludf.DUMMYFUNCTION("""COMPUTED_VALUE"""),15.525935962124795)</f>
        <v>15.52593596</v>
      </c>
      <c r="CO29" s="139" t="str">
        <f>IFERROR(__xludf.DUMMYFUNCTION("""COMPUTED_VALUE"""),"-")</f>
        <v>-</v>
      </c>
      <c r="CP29" s="139" t="str">
        <f>IFERROR(__xludf.DUMMYFUNCTION("""COMPUTED_VALUE"""),"-")</f>
        <v>-</v>
      </c>
      <c r="CQ29" s="139" t="str">
        <f>IFERROR(__xludf.DUMMYFUNCTION("""COMPUTED_VALUE"""),"-")</f>
        <v>-</v>
      </c>
      <c r="CR29" s="139" t="str">
        <f>IFERROR(__xludf.DUMMYFUNCTION("""COMPUTED_VALUE"""),"-")</f>
        <v>-</v>
      </c>
      <c r="CS29" s="673" t="str">
        <f>IFERROR(__xludf.DUMMYFUNCTION("""COMPUTED_VALUE"""),"攻撃(必殺)")</f>
        <v>攻撃(必殺)</v>
      </c>
      <c r="CT29" s="139" t="str">
        <f>IFERROR(__xludf.DUMMYFUNCTION("""COMPUTED_VALUE"""),"-")</f>
        <v>-</v>
      </c>
      <c r="CU29" s="139" t="str">
        <f>IFERROR(__xludf.DUMMYFUNCTION("""COMPUTED_VALUE"""),"敵")</f>
        <v>敵</v>
      </c>
      <c r="CV29" s="139" t="str">
        <f>IFERROR(__xludf.DUMMYFUNCTION("""COMPUTED_VALUE"""),"All")</f>
        <v>All</v>
      </c>
      <c r="CW29" s="139" t="str">
        <f>IFERROR(__xludf.DUMMYFUNCTION("""COMPUTED_VALUE"""),"All")</f>
        <v>All</v>
      </c>
      <c r="CX29" s="674">
        <f>IFERROR(__xludf.DUMMYFUNCTION("""COMPUTED_VALUE"""),120.0)</f>
        <v>120</v>
      </c>
      <c r="CY29" s="139" t="str">
        <f>IFERROR(__xludf.DUMMYFUNCTION("""COMPUTED_VALUE"""),"-")</f>
        <v>-</v>
      </c>
      <c r="CZ29" s="688">
        <f>IFERROR(__xludf.DUMMYFUNCTION("""COMPUTED_VALUE"""),24866.0)</f>
        <v>24866</v>
      </c>
      <c r="DA29" s="688">
        <f>IFERROR(__xludf.DUMMYFUNCTION("""COMPUTED_VALUE"""),1707.8481603768312)</f>
        <v>1707.84816</v>
      </c>
      <c r="DB29" s="688">
        <f>IFERROR(__xludf.DUMMYFUNCTION("""COMPUTED_VALUE"""),8539.240801884156)</f>
        <v>8539.240802</v>
      </c>
      <c r="DC29" s="139" t="str">
        <f>IFERROR(__xludf.DUMMYFUNCTION("""COMPUTED_VALUE"""),"-")</f>
        <v>-</v>
      </c>
      <c r="DD29" s="673" t="str">
        <f>IFERROR(__xludf.DUMMYFUNCTION("""COMPUTED_VALUE"""),"-")</f>
        <v>-</v>
      </c>
      <c r="DE29" s="139" t="str">
        <f>IFERROR(__xludf.DUMMYFUNCTION("""COMPUTED_VALUE"""),"-")</f>
        <v>-</v>
      </c>
      <c r="DF29" s="139" t="str">
        <f>IFERROR(__xludf.DUMMYFUNCTION("""COMPUTED_VALUE"""),"-")</f>
        <v>-</v>
      </c>
      <c r="DG29" s="139" t="str">
        <f>IFERROR(__xludf.DUMMYFUNCTION("""COMPUTED_VALUE"""),"-")</f>
        <v>-</v>
      </c>
      <c r="DH29" s="139" t="str">
        <f>IFERROR(__xludf.DUMMYFUNCTION("""COMPUTED_VALUE"""),"-")</f>
        <v>-</v>
      </c>
      <c r="DI29" s="139" t="str">
        <f>IFERROR(__xludf.DUMMYFUNCTION("""COMPUTED_VALUE"""),"-")</f>
        <v>-</v>
      </c>
      <c r="DJ29" s="139" t="str">
        <f>IFERROR(__xludf.DUMMYFUNCTION("""COMPUTED_VALUE"""),"-")</f>
        <v>-</v>
      </c>
    </row>
    <row r="30">
      <c r="A30" s="139" t="str">
        <f>IFERROR(__xludf.DUMMYFUNCTION("""COMPUTED_VALUE"""),"トマトイプーのリコピン")</f>
        <v>トマトイプーのリコピン</v>
      </c>
      <c r="B30" s="139" t="str">
        <f>IFERROR(__xludf.DUMMYFUNCTION("""COMPUTED_VALUE"""),"リコピン")</f>
        <v>リコピン</v>
      </c>
      <c r="C30" s="139" t="str">
        <f>IFERROR(__xludf.DUMMYFUNCTION("""COMPUTED_VALUE"""),"chara_rik_00001")</f>
        <v>chara_rik_00001</v>
      </c>
      <c r="D30" s="139" t="str">
        <f>IFERROR(__xludf.DUMMYFUNCTION("""COMPUTED_VALUE"""),"PremiumR")</f>
        <v>PremiumR</v>
      </c>
      <c r="E30" s="139" t="str">
        <f>IFERROR(__xludf.DUMMYFUNCTION("""COMPUTED_VALUE"""),"赤")</f>
        <v>赤</v>
      </c>
      <c r="F30" s="139" t="str">
        <f>IFERROR(__xludf.DUMMYFUNCTION("""COMPUTED_VALUE"""),"アタック")</f>
        <v>アタック</v>
      </c>
      <c r="G30" s="139" t="str">
        <f>IFERROR(__xludf.DUMMYFUNCTION("""COMPUTED_VALUE"""),"近距離")</f>
        <v>近距離</v>
      </c>
      <c r="H30" s="139" t="str">
        <f>IFERROR(__xludf.DUMMYFUNCTION("""COMPUTED_VALUE"""),"dageki_2")</f>
        <v>dageki_2</v>
      </c>
      <c r="I30" s="139" t="str">
        <f>IFERROR(__xludf.DUMMYFUNCTION("""COMPUTED_VALUE"""),"dageki_2")</f>
        <v>dageki_2</v>
      </c>
      <c r="J30" s="139" t="str">
        <f>IFERROR(__xludf.DUMMYFUNCTION("""COMPUTED_VALUE"""),"202509010_リリース")</f>
        <v>202509010_リリース</v>
      </c>
      <c r="K30" s="139" t="str">
        <f>IFERROR(__xludf.DUMMYFUNCTION("""COMPUTED_VALUE"""),"リリース時")</f>
        <v>リリース時</v>
      </c>
      <c r="L30" s="139" t="str">
        <f>IFERROR(__xludf.DUMMYFUNCTION("""COMPUTED_VALUE"""),"※")</f>
        <v>※</v>
      </c>
      <c r="M30" s="674">
        <f>IFERROR(__xludf.DUMMYFUNCTION("""COMPUTED_VALUE"""),705.0)</f>
        <v>705</v>
      </c>
      <c r="N30" s="139">
        <f>IFERROR(__xludf.DUMMYFUNCTION("""COMPUTED_VALUE"""),600.0)</f>
        <v>600</v>
      </c>
      <c r="O30" s="139" t="str">
        <f>IFERROR(__xludf.DUMMYFUNCTION("""COMPUTED_VALUE"""),"中コスト")</f>
        <v>中コスト</v>
      </c>
      <c r="P30" s="139">
        <f>IFERROR(__xludf.DUMMYFUNCTION("""COMPUTED_VALUE"""),100.0)</f>
        <v>100</v>
      </c>
      <c r="Q30" s="675">
        <f>IFERROR(__xludf.DUMMYFUNCTION("""COMPUTED_VALUE"""),5.0)</f>
        <v>5</v>
      </c>
      <c r="R30" s="675">
        <f>IFERROR(__xludf.DUMMYFUNCTION("""COMPUTED_VALUE"""),0.0)</f>
        <v>0</v>
      </c>
      <c r="S30" s="675">
        <f>IFERROR(__xludf.DUMMYFUNCTION("""COMPUTED_VALUE"""),15.125)</f>
        <v>15.125</v>
      </c>
      <c r="T30" s="674">
        <f>IFERROR(__xludf.DUMMYFUNCTION("""COMPUTED_VALUE"""),625.0)</f>
        <v>625</v>
      </c>
      <c r="U30" s="675">
        <f>IFERROR(__xludf.DUMMYFUNCTION("""COMPUTED_VALUE"""),12.466666666666669)</f>
        <v>12.46666667</v>
      </c>
      <c r="V30" s="675">
        <f>IFERROR(__xludf.DUMMYFUNCTION("""COMPUTED_VALUE"""),0.0)</f>
        <v>0</v>
      </c>
      <c r="W30" s="675">
        <f>IFERROR(__xludf.DUMMYFUNCTION("""COMPUTED_VALUE"""),0.0)</f>
        <v>0</v>
      </c>
      <c r="X30" s="675">
        <f>IFERROR(__xludf.DUMMYFUNCTION("""COMPUTED_VALUE"""),0.0)</f>
        <v>0</v>
      </c>
      <c r="Y30" s="674">
        <f>IFERROR(__xludf.DUMMYFUNCTION("""COMPUTED_VALUE"""),300.0)</f>
        <v>300</v>
      </c>
      <c r="Z30" s="675">
        <f>IFERROR(__xludf.DUMMYFUNCTION("""COMPUTED_VALUE"""),5.95)</f>
        <v>5.95</v>
      </c>
      <c r="AA30" s="675">
        <f>IFERROR(__xludf.DUMMYFUNCTION("""COMPUTED_VALUE"""),0.0)</f>
        <v>0</v>
      </c>
      <c r="AB30" s="673">
        <f>IFERROR(__xludf.DUMMYFUNCTION("""COMPUTED_VALUE"""),-0.5666666666666668)</f>
        <v>-0.5666666667</v>
      </c>
      <c r="AC30" s="675">
        <f>IFERROR(__xludf.DUMMYFUNCTION("""COMPUTED_VALUE"""),0.0)</f>
        <v>0</v>
      </c>
      <c r="AD30" s="674">
        <f>IFERROR(__xludf.DUMMYFUNCTION("""COMPUTED_VALUE"""),655.0)</f>
        <v>655</v>
      </c>
      <c r="AE30" s="675">
        <f>IFERROR(__xludf.DUMMYFUNCTION("""COMPUTED_VALUE"""),13.092618785661891)</f>
        <v>13.09261879</v>
      </c>
      <c r="AF30" s="675">
        <f>IFERROR(__xludf.DUMMYFUNCTION("""COMPUTED_VALUE"""),0.0)</f>
        <v>0</v>
      </c>
      <c r="AG30" s="675">
        <f>IFERROR(__xludf.DUMMYFUNCTION("""COMPUTED_VALUE"""),0.0)</f>
        <v>0</v>
      </c>
      <c r="AH30" s="675">
        <f>IFERROR(__xludf.DUMMYFUNCTION("""COMPUTED_VALUE"""),0.0)</f>
        <v>0</v>
      </c>
      <c r="AI30" s="139">
        <f>IFERROR(__xludf.DUMMYFUNCTION("""COMPUTED_VALUE"""),7.0)</f>
        <v>7</v>
      </c>
      <c r="AJ30" s="139" t="str">
        <f>IFERROR(__xludf.DUMMYFUNCTION("""COMPUTED_VALUE"""),"-")</f>
        <v>-</v>
      </c>
      <c r="AK30" s="139">
        <f>IFERROR(__xludf.DUMMYFUNCTION("""COMPUTED_VALUE"""),1.0)</f>
        <v>1</v>
      </c>
      <c r="AL30" s="674">
        <f>IFERROR(__xludf.DUMMYFUNCTION("""COMPUTED_VALUE"""),1700.0)</f>
        <v>1700</v>
      </c>
      <c r="AM30" s="688">
        <f>IFERROR(__xludf.DUMMYFUNCTION("""COMPUTED_VALUE"""),12124.347802778819)</f>
        <v>12124.3478</v>
      </c>
      <c r="AN30" s="675">
        <f>IFERROR(__xludf.DUMMYFUNCTION("""COMPUTED_VALUE"""),11.333333333333334)</f>
        <v>11.33333333</v>
      </c>
      <c r="AO30" s="675">
        <f>IFERROR(__xludf.DUMMYFUNCTION("""COMPUTED_VALUE"""),5.666666666666667)</f>
        <v>5.666666667</v>
      </c>
      <c r="AP30" s="674">
        <f>IFERROR(__xludf.DUMMYFUNCTION("""COMPUTED_VALUE"""),2120.0)</f>
        <v>2120</v>
      </c>
      <c r="AQ30" s="673">
        <f>IFERROR(__xludf.DUMMYFUNCTION("""COMPUTED_VALUE"""),-0.2)</f>
        <v>-0.2</v>
      </c>
      <c r="AR30" s="673">
        <f>IFERROR(__xludf.DUMMYFUNCTION("""COMPUTED_VALUE"""),0.0)</f>
        <v>0</v>
      </c>
      <c r="AS30" s="673">
        <f>IFERROR(__xludf.DUMMYFUNCTION("""COMPUTED_VALUE"""),0.0)</f>
        <v>0</v>
      </c>
      <c r="AT30" s="673">
        <f>IFERROR(__xludf.DUMMYFUNCTION("""COMPUTED_VALUE"""),0.0)</f>
        <v>0</v>
      </c>
      <c r="AU30" s="673">
        <f>IFERROR(__xludf.DUMMYFUNCTION("""COMPUTED_VALUE"""),0.0)</f>
        <v>0</v>
      </c>
      <c r="AV30" s="673">
        <f>IFERROR(__xludf.DUMMYFUNCTION("""COMPUTED_VALUE"""),0.0)</f>
        <v>0</v>
      </c>
      <c r="AW30" s="139"/>
      <c r="AX30" s="674">
        <f>IFERROR(__xludf.DUMMYFUNCTION("""COMPUTED_VALUE"""),1970.0)</f>
        <v>1970</v>
      </c>
      <c r="AY30" s="688">
        <f>IFERROR(__xludf.DUMMYFUNCTION("""COMPUTED_VALUE"""),14050.345394984864)</f>
        <v>14050.34539</v>
      </c>
      <c r="AZ30" s="674">
        <f>IFERROR(__xludf.DUMMYFUNCTION("""COMPUTED_VALUE"""),1970.0)</f>
        <v>1970</v>
      </c>
      <c r="BA30" s="688">
        <f>IFERROR(__xludf.DUMMYFUNCTION("""COMPUTED_VALUE"""),14050.345394984864)</f>
        <v>14050.34539</v>
      </c>
      <c r="BB30" s="688" t="str">
        <f>IFERROR(__xludf.DUMMYFUNCTION("""COMPUTED_VALUE"""),"-")</f>
        <v>-</v>
      </c>
      <c r="BC30" s="688" t="str">
        <f>IFERROR(__xludf.DUMMYFUNCTION("""COMPUTED_VALUE"""),"#VALUE!")</f>
        <v>#VALUE!</v>
      </c>
      <c r="BD30" s="688" t="str">
        <f>IFERROR(__xludf.DUMMYFUNCTION("""COMPUTED_VALUE"""),"#VALUE!")</f>
        <v>#VALUE!</v>
      </c>
      <c r="BE30" s="674">
        <f>IFERROR(__xludf.DUMMYFUNCTION("""COMPUTED_VALUE"""),1970.0)</f>
        <v>1970</v>
      </c>
      <c r="BF30" s="674">
        <f>IFERROR(__xludf.DUMMYFUNCTION("""COMPUTED_VALUE"""),1410.0)</f>
        <v>1410</v>
      </c>
      <c r="BG30" s="673">
        <f>IFERROR(__xludf.DUMMYFUNCTION("""COMPUTED_VALUE"""),0.0)</f>
        <v>0</v>
      </c>
      <c r="BH30" s="673">
        <f>IFERROR(__xludf.DUMMYFUNCTION("""COMPUTED_VALUE"""),0.3)</f>
        <v>0.3</v>
      </c>
      <c r="BI30" s="673">
        <f>IFERROR(__xludf.DUMMYFUNCTION("""COMPUTED_VALUE"""),0.1)</f>
        <v>0.1</v>
      </c>
      <c r="BJ30" s="673">
        <f>IFERROR(__xludf.DUMMYFUNCTION("""COMPUTED_VALUE"""),0.0)</f>
        <v>0</v>
      </c>
      <c r="BK30" s="673">
        <f>IFERROR(__xludf.DUMMYFUNCTION("""COMPUTED_VALUE"""),0.0)</f>
        <v>0</v>
      </c>
      <c r="BL30" s="673">
        <f>IFERROR(__xludf.DUMMYFUNCTION("""COMPUTED_VALUE"""),0.0)</f>
        <v>0</v>
      </c>
      <c r="BM30" s="674">
        <f>IFERROR(__xludf.DUMMYFUNCTION("""COMPUTED_VALUE"""),50.0)</f>
        <v>50</v>
      </c>
      <c r="BN30" s="674">
        <f>IFERROR(__xludf.DUMMYFUNCTION("""COMPUTED_VALUE"""),50.0)</f>
        <v>50</v>
      </c>
      <c r="BO30" s="675">
        <f>IFERROR(__xludf.DUMMYFUNCTION("""COMPUTED_VALUE"""),0.0)</f>
        <v>0</v>
      </c>
      <c r="BP30" s="675">
        <f>IFERROR(__xludf.DUMMYFUNCTION("""COMPUTED_VALUE"""),1.0)</f>
        <v>1</v>
      </c>
      <c r="BQ30" s="675" t="str">
        <f>IFERROR(__xludf.DUMMYFUNCTION("""COMPUTED_VALUE"""),"※")</f>
        <v>※</v>
      </c>
      <c r="BR30" s="139">
        <f>IFERROR(__xludf.DUMMYFUNCTION("""COMPUTED_VALUE"""),2.0)</f>
        <v>2</v>
      </c>
      <c r="BS30" s="139">
        <f>IFERROR(__xludf.DUMMYFUNCTION("""COMPUTED_VALUE"""),45.0)</f>
        <v>45</v>
      </c>
      <c r="BT30" s="139">
        <f>IFERROR(__xludf.DUMMYFUNCTION("""COMPUTED_VALUE"""),0.24)</f>
        <v>0.24</v>
      </c>
      <c r="BU30" s="139">
        <f>IFERROR(__xludf.DUMMYFUNCTION("""COMPUTED_VALUE"""),0.0)</f>
        <v>0</v>
      </c>
      <c r="BV30" s="139" t="str">
        <f>IFERROR(__xludf.DUMMYFUNCTION("""COMPUTED_VALUE"""),"速い")</f>
        <v>速い</v>
      </c>
      <c r="BW30" s="139" t="str">
        <f>IFERROR(__xludf.DUMMYFUNCTION("""COMPUTED_VALUE"""),"-")</f>
        <v>-</v>
      </c>
      <c r="BX30" s="139" t="str">
        <f>IFERROR(__xludf.DUMMYFUNCTION("""COMPUTED_VALUE"""),"-")</f>
        <v>-</v>
      </c>
      <c r="BY30" s="139" t="str">
        <f>IFERROR(__xludf.DUMMYFUNCTION("""COMPUTED_VALUE"""),"-")</f>
        <v>-</v>
      </c>
      <c r="BZ30" s="139" t="str">
        <f>IFERROR(__xludf.DUMMYFUNCTION("""COMPUTED_VALUE"""),"-")</f>
        <v>-</v>
      </c>
      <c r="CA30" s="139" t="str">
        <f>IFERROR(__xludf.DUMMYFUNCTION("""COMPUTED_VALUE"""),"-")</f>
        <v>-</v>
      </c>
      <c r="CB30" s="139" t="str">
        <f>IFERROR(__xludf.DUMMYFUNCTION("""COMPUTED_VALUE"""),"-")</f>
        <v>-</v>
      </c>
      <c r="CC30" s="139" t="str">
        <f>IFERROR(__xludf.DUMMYFUNCTION("""COMPUTED_VALUE"""),"近距離")</f>
        <v>近距離</v>
      </c>
      <c r="CD30" s="139" t="str">
        <f>IFERROR(__xludf.DUMMYFUNCTION("""COMPUTED_VALUE"""),"単体")</f>
        <v>単体</v>
      </c>
      <c r="CE30" s="139">
        <f>IFERROR(__xludf.DUMMYFUNCTION("""COMPUTED_VALUE"""),1.0)</f>
        <v>1</v>
      </c>
      <c r="CF30" s="139">
        <f>IFERROR(__xludf.DUMMYFUNCTION("""COMPUTED_VALUE"""),0.25)</f>
        <v>0.25</v>
      </c>
      <c r="CG30" s="139" t="str">
        <f>IFERROR(__xludf.DUMMYFUNCTION("""COMPUTED_VALUE"""),"近距離")</f>
        <v>近距離</v>
      </c>
      <c r="CH30" s="139" t="str">
        <f>IFERROR(__xludf.DUMMYFUNCTION("""COMPUTED_VALUE"""),"単体")</f>
        <v>単体</v>
      </c>
      <c r="CI30" s="139">
        <f>IFERROR(__xludf.DUMMYFUNCTION("""COMPUTED_VALUE"""),1.0)</f>
        <v>1</v>
      </c>
      <c r="CJ30" s="139">
        <f>IFERROR(__xludf.DUMMYFUNCTION("""COMPUTED_VALUE"""),0.25)</f>
        <v>0.25</v>
      </c>
      <c r="CK30" s="139" t="str">
        <f>IFERROR(__xludf.DUMMYFUNCTION("""COMPUTED_VALUE"""),"敵")</f>
        <v>敵</v>
      </c>
      <c r="CL30" s="139" t="str">
        <f>IFERROR(__xludf.DUMMYFUNCTION("""COMPUTED_VALUE"""),"All")</f>
        <v>All</v>
      </c>
      <c r="CM30" s="139" t="str">
        <f>IFERROR(__xludf.DUMMYFUNCTION("""COMPUTED_VALUE"""),"All")</f>
        <v>All</v>
      </c>
      <c r="CN30" s="675">
        <f>IFERROR(__xludf.DUMMYFUNCTION("""COMPUTED_VALUE"""),13.092618785661891)</f>
        <v>13.09261879</v>
      </c>
      <c r="CO30" s="139" t="str">
        <f>IFERROR(__xludf.DUMMYFUNCTION("""COMPUTED_VALUE"""),"-")</f>
        <v>-</v>
      </c>
      <c r="CP30" s="139" t="str">
        <f>IFERROR(__xludf.DUMMYFUNCTION("""COMPUTED_VALUE"""),"-")</f>
        <v>-</v>
      </c>
      <c r="CQ30" s="139" t="str">
        <f>IFERROR(__xludf.DUMMYFUNCTION("""COMPUTED_VALUE"""),"-")</f>
        <v>-</v>
      </c>
      <c r="CR30" s="139" t="str">
        <f>IFERROR(__xludf.DUMMYFUNCTION("""COMPUTED_VALUE"""),"-")</f>
        <v>-</v>
      </c>
      <c r="CS30" s="673" t="str">
        <f>IFERROR(__xludf.DUMMYFUNCTION("""COMPUTED_VALUE"""),"連続攻撃")</f>
        <v>連続攻撃</v>
      </c>
      <c r="CT30" s="139" t="str">
        <f>IFERROR(__xludf.DUMMYFUNCTION("""COMPUTED_VALUE"""),"-")</f>
        <v>-</v>
      </c>
      <c r="CU30" s="139" t="str">
        <f>IFERROR(__xludf.DUMMYFUNCTION("""COMPUTED_VALUE"""),"敵")</f>
        <v>敵</v>
      </c>
      <c r="CV30" s="139" t="str">
        <f>IFERROR(__xludf.DUMMYFUNCTION("""COMPUTED_VALUE"""),"All")</f>
        <v>All</v>
      </c>
      <c r="CW30" s="139" t="str">
        <f>IFERROR(__xludf.DUMMYFUNCTION("""COMPUTED_VALUE"""),"All")</f>
        <v>All</v>
      </c>
      <c r="CX30" s="674">
        <f>IFERROR(__xludf.DUMMYFUNCTION("""COMPUTED_VALUE"""),178.0)</f>
        <v>178</v>
      </c>
      <c r="CY30" s="139" t="str">
        <f>IFERROR(__xludf.DUMMYFUNCTION("""COMPUTED_VALUE"""),"-")</f>
        <v>-</v>
      </c>
      <c r="CZ30" s="688">
        <f>IFERROR(__xludf.DUMMYFUNCTION("""COMPUTED_VALUE"""),25010.0)</f>
        <v>25010</v>
      </c>
      <c r="DA30" s="688">
        <f>IFERROR(__xludf.DUMMYFUNCTION("""COMPUTED_VALUE"""),2020.4620199360547)</f>
        <v>2020.46202</v>
      </c>
      <c r="DB30" s="688">
        <f>IFERROR(__xludf.DUMMYFUNCTION("""COMPUTED_VALUE"""),0.0)</f>
        <v>0</v>
      </c>
      <c r="DC30" s="139" t="str">
        <f>IFERROR(__xludf.DUMMYFUNCTION("""COMPUTED_VALUE"""),"-")</f>
        <v>-</v>
      </c>
      <c r="DD30" s="673" t="str">
        <f>IFERROR(__xludf.DUMMYFUNCTION("""COMPUTED_VALUE"""),"-")</f>
        <v>-</v>
      </c>
      <c r="DE30" s="139" t="str">
        <f>IFERROR(__xludf.DUMMYFUNCTION("""COMPUTED_VALUE"""),"-")</f>
        <v>-</v>
      </c>
      <c r="DF30" s="139" t="str">
        <f>IFERROR(__xludf.DUMMYFUNCTION("""COMPUTED_VALUE"""),"-")</f>
        <v>-</v>
      </c>
      <c r="DG30" s="139" t="str">
        <f>IFERROR(__xludf.DUMMYFUNCTION("""COMPUTED_VALUE"""),"-")</f>
        <v>-</v>
      </c>
      <c r="DH30" s="139" t="str">
        <f>IFERROR(__xludf.DUMMYFUNCTION("""COMPUTED_VALUE"""),"-")</f>
        <v>-</v>
      </c>
      <c r="DI30" s="139" t="str">
        <f>IFERROR(__xludf.DUMMYFUNCTION("""COMPUTED_VALUE"""),"-")</f>
        <v>-</v>
      </c>
      <c r="DJ30" s="139" t="str">
        <f>IFERROR(__xludf.DUMMYFUNCTION("""COMPUTED_VALUE"""),"-")</f>
        <v>-</v>
      </c>
    </row>
    <row r="31">
      <c r="A31" s="139" t="str">
        <f>IFERROR(__xludf.DUMMYFUNCTION("""COMPUTED_VALUE"""),"地獄楽")</f>
        <v>地獄楽</v>
      </c>
      <c r="B31" s="139" t="str">
        <f>IFERROR(__xludf.DUMMYFUNCTION("""COMPUTED_VALUE"""),"杠")</f>
        <v>杠</v>
      </c>
      <c r="C31" s="139" t="str">
        <f>IFERROR(__xludf.DUMMYFUNCTION("""COMPUTED_VALUE"""),"chara_jig_00201")</f>
        <v>chara_jig_00201</v>
      </c>
      <c r="D31" s="139" t="str">
        <f>IFERROR(__xludf.DUMMYFUNCTION("""COMPUTED_VALUE"""),"DropSSR")</f>
        <v>DropSSR</v>
      </c>
      <c r="E31" s="139" t="str">
        <f>IFERROR(__xludf.DUMMYFUNCTION("""COMPUTED_VALUE"""),"緑")</f>
        <v>緑</v>
      </c>
      <c r="F31" s="139" t="str">
        <f>IFERROR(__xludf.DUMMYFUNCTION("""COMPUTED_VALUE"""),"テクニカル")</f>
        <v>テクニカル</v>
      </c>
      <c r="G31" s="139" t="str">
        <f>IFERROR(__xludf.DUMMYFUNCTION("""COMPUTED_VALUE"""),"中距離")</f>
        <v>中距離</v>
      </c>
      <c r="H31" s="139" t="str">
        <f>IFERROR(__xludf.DUMMYFUNCTION("""COMPUTED_VALUE"""),"shageki_1")</f>
        <v>shageki_1</v>
      </c>
      <c r="I31" s="139" t="str">
        <f>IFERROR(__xludf.DUMMYFUNCTION("""COMPUTED_VALUE"""),"shageki_1")</f>
        <v>shageki_1</v>
      </c>
      <c r="J31" s="139" t="str">
        <f>IFERROR(__xludf.DUMMYFUNCTION("""COMPUTED_VALUE"""),"202509010_リリース")</f>
        <v>202509010_リリース</v>
      </c>
      <c r="K31" s="139" t="str">
        <f>IFERROR(__xludf.DUMMYFUNCTION("""COMPUTED_VALUE"""),"リリース時")</f>
        <v>リリース時</v>
      </c>
      <c r="L31" s="139" t="str">
        <f>IFERROR(__xludf.DUMMYFUNCTION("""COMPUTED_VALUE"""),"※")</f>
        <v>※</v>
      </c>
      <c r="M31" s="674">
        <f>IFERROR(__xludf.DUMMYFUNCTION("""COMPUTED_VALUE"""),685.0)</f>
        <v>685</v>
      </c>
      <c r="N31" s="139">
        <f>IFERROR(__xludf.DUMMYFUNCTION("""COMPUTED_VALUE"""),600.0)</f>
        <v>600</v>
      </c>
      <c r="O31" s="139" t="str">
        <f>IFERROR(__xludf.DUMMYFUNCTION("""COMPUTED_VALUE"""),"中コスト")</f>
        <v>中コスト</v>
      </c>
      <c r="P31" s="139">
        <f>IFERROR(__xludf.DUMMYFUNCTION("""COMPUTED_VALUE"""),50.0)</f>
        <v>50</v>
      </c>
      <c r="Q31" s="675">
        <f>IFERROR(__xludf.DUMMYFUNCTION("""COMPUTED_VALUE"""),20.0)</f>
        <v>20</v>
      </c>
      <c r="R31" s="675">
        <f>IFERROR(__xludf.DUMMYFUNCTION("""COMPUTED_VALUE"""),15.0)</f>
        <v>15</v>
      </c>
      <c r="S31" s="675">
        <f>IFERROR(__xludf.DUMMYFUNCTION("""COMPUTED_VALUE"""),14.625)</f>
        <v>14.625</v>
      </c>
      <c r="T31" s="674">
        <f>IFERROR(__xludf.DUMMYFUNCTION("""COMPUTED_VALUE"""),455.0)</f>
        <v>455</v>
      </c>
      <c r="U31" s="675">
        <f>IFERROR(__xludf.DUMMYFUNCTION("""COMPUTED_VALUE"""),9.093333333333335)</f>
        <v>9.093333333</v>
      </c>
      <c r="V31" s="675">
        <f>IFERROR(__xludf.DUMMYFUNCTION("""COMPUTED_VALUE"""),0.0)</f>
        <v>0</v>
      </c>
      <c r="W31" s="675">
        <f>IFERROR(__xludf.DUMMYFUNCTION("""COMPUTED_VALUE"""),0.0)</f>
        <v>0</v>
      </c>
      <c r="X31" s="675">
        <f>IFERROR(__xludf.DUMMYFUNCTION("""COMPUTED_VALUE"""),0.0)</f>
        <v>0</v>
      </c>
      <c r="Y31" s="674">
        <f>IFERROR(__xludf.DUMMYFUNCTION("""COMPUTED_VALUE"""),240.0)</f>
        <v>240</v>
      </c>
      <c r="Z31" s="675">
        <f>IFERROR(__xludf.DUMMYFUNCTION("""COMPUTED_VALUE"""),4.753333333333334)</f>
        <v>4.753333333</v>
      </c>
      <c r="AA31" s="675">
        <f>IFERROR(__xludf.DUMMYFUNCTION("""COMPUTED_VALUE"""),0.0)</f>
        <v>0</v>
      </c>
      <c r="AB31" s="673">
        <f>IFERROR(__xludf.DUMMYFUNCTION("""COMPUTED_VALUE"""),0.0)</f>
        <v>0</v>
      </c>
      <c r="AC31" s="675">
        <f>IFERROR(__xludf.DUMMYFUNCTION("""COMPUTED_VALUE"""),0.0)</f>
        <v>0</v>
      </c>
      <c r="AD31" s="674">
        <f>IFERROR(__xludf.DUMMYFUNCTION("""COMPUTED_VALUE"""),1235.0)</f>
        <v>1235</v>
      </c>
      <c r="AE31" s="675">
        <f>IFERROR(__xludf.DUMMYFUNCTION("""COMPUTED_VALUE"""),24.681830500116398)</f>
        <v>24.6818305</v>
      </c>
      <c r="AF31" s="675">
        <f>IFERROR(__xludf.DUMMYFUNCTION("""COMPUTED_VALUE"""),0.0)</f>
        <v>0</v>
      </c>
      <c r="AG31" s="675">
        <f>IFERROR(__xludf.DUMMYFUNCTION("""COMPUTED_VALUE"""),13.5)</f>
        <v>13.5</v>
      </c>
      <c r="AH31" s="675">
        <f>IFERROR(__xludf.DUMMYFUNCTION("""COMPUTED_VALUE"""),0.0)</f>
        <v>0</v>
      </c>
      <c r="AI31" s="139" t="str">
        <f>IFERROR(__xludf.DUMMYFUNCTION("""COMPUTED_VALUE"""),"-")</f>
        <v>-</v>
      </c>
      <c r="AJ31" s="139" t="str">
        <f>IFERROR(__xludf.DUMMYFUNCTION("""COMPUTED_VALUE"""),"-")</f>
        <v>-</v>
      </c>
      <c r="AK31" s="139">
        <f>IFERROR(__xludf.DUMMYFUNCTION("""COMPUTED_VALUE"""),1.0)</f>
        <v>1</v>
      </c>
      <c r="AL31" s="674">
        <f>IFERROR(__xludf.DUMMYFUNCTION("""COMPUTED_VALUE"""),1240.0)</f>
        <v>1240</v>
      </c>
      <c r="AM31" s="688">
        <f>IFERROR(__xludf.DUMMYFUNCTION("""COMPUTED_VALUE"""),8707.874867909255)</f>
        <v>8707.874868</v>
      </c>
      <c r="AN31" s="675">
        <f>IFERROR(__xludf.DUMMYFUNCTION("""COMPUTED_VALUE"""),8.266666666666667)</f>
        <v>8.266666667</v>
      </c>
      <c r="AO31" s="675">
        <f>IFERROR(__xludf.DUMMYFUNCTION("""COMPUTED_VALUE"""),4.133333333333334)</f>
        <v>4.133333333</v>
      </c>
      <c r="AP31" s="674">
        <f>IFERROR(__xludf.DUMMYFUNCTION("""COMPUTED_VALUE"""),2060.0)</f>
        <v>2060</v>
      </c>
      <c r="AQ31" s="673">
        <f>IFERROR(__xludf.DUMMYFUNCTION("""COMPUTED_VALUE"""),-0.3)</f>
        <v>-0.3</v>
      </c>
      <c r="AR31" s="673">
        <f>IFERROR(__xludf.DUMMYFUNCTION("""COMPUTED_VALUE"""),0.0)</f>
        <v>0</v>
      </c>
      <c r="AS31" s="673">
        <f>IFERROR(__xludf.DUMMYFUNCTION("""COMPUTED_VALUE"""),-0.1)</f>
        <v>-0.1</v>
      </c>
      <c r="AT31" s="673">
        <f>IFERROR(__xludf.DUMMYFUNCTION("""COMPUTED_VALUE"""),0.0)</f>
        <v>0</v>
      </c>
      <c r="AU31" s="673">
        <f>IFERROR(__xludf.DUMMYFUNCTION("""COMPUTED_VALUE"""),0.0)</f>
        <v>0</v>
      </c>
      <c r="AV31" s="673">
        <f>IFERROR(__xludf.DUMMYFUNCTION("""COMPUTED_VALUE"""),0.0)</f>
        <v>0</v>
      </c>
      <c r="AW31" s="139"/>
      <c r="AX31" s="674">
        <f>IFERROR(__xludf.DUMMYFUNCTION("""COMPUTED_VALUE"""),2270.0)</f>
        <v>2270</v>
      </c>
      <c r="AY31" s="688">
        <f>IFERROR(__xludf.DUMMYFUNCTION("""COMPUTED_VALUE"""),15940.773830769363)</f>
        <v>15940.77383</v>
      </c>
      <c r="AZ31" s="674">
        <f>IFERROR(__xludf.DUMMYFUNCTION("""COMPUTED_VALUE"""),1510.0)</f>
        <v>1510</v>
      </c>
      <c r="BA31" s="688">
        <f>IFERROR(__xludf.DUMMYFUNCTION("""COMPUTED_VALUE"""),10627.182553846242)</f>
        <v>10627.18255</v>
      </c>
      <c r="BB31" s="688" t="str">
        <f>IFERROR(__xludf.DUMMYFUNCTION("""COMPUTED_VALUE"""),"-")</f>
        <v>-</v>
      </c>
      <c r="BC31" s="688" t="str">
        <f>IFERROR(__xludf.DUMMYFUNCTION("""COMPUTED_VALUE"""),"#VALUE!")</f>
        <v>#VALUE!</v>
      </c>
      <c r="BD31" s="688" t="str">
        <f>IFERROR(__xludf.DUMMYFUNCTION("""COMPUTED_VALUE"""),"#VALUE!")</f>
        <v>#VALUE!</v>
      </c>
      <c r="BE31" s="674">
        <f>IFERROR(__xludf.DUMMYFUNCTION("""COMPUTED_VALUE"""),1510.0)</f>
        <v>1510</v>
      </c>
      <c r="BF31" s="674">
        <f>IFERROR(__xludf.DUMMYFUNCTION("""COMPUTED_VALUE"""),1370.0)</f>
        <v>1370</v>
      </c>
      <c r="BG31" s="673">
        <f>IFERROR(__xludf.DUMMYFUNCTION("""COMPUTED_VALUE"""),0.0)</f>
        <v>0</v>
      </c>
      <c r="BH31" s="673">
        <f>IFERROR(__xludf.DUMMYFUNCTION("""COMPUTED_VALUE"""),0.1)</f>
        <v>0.1</v>
      </c>
      <c r="BI31" s="673">
        <f>IFERROR(__xludf.DUMMYFUNCTION("""COMPUTED_VALUE"""),0.0)</f>
        <v>0</v>
      </c>
      <c r="BJ31" s="673">
        <f>IFERROR(__xludf.DUMMYFUNCTION("""COMPUTED_VALUE"""),0.0)</f>
        <v>0</v>
      </c>
      <c r="BK31" s="673">
        <f>IFERROR(__xludf.DUMMYFUNCTION("""COMPUTED_VALUE"""),0.0)</f>
        <v>0</v>
      </c>
      <c r="BL31" s="673">
        <f>IFERROR(__xludf.DUMMYFUNCTION("""COMPUTED_VALUE"""),0.0)</f>
        <v>0</v>
      </c>
      <c r="BM31" s="674">
        <f>IFERROR(__xludf.DUMMYFUNCTION("""COMPUTED_VALUE"""),75.0)</f>
        <v>75</v>
      </c>
      <c r="BN31" s="674">
        <f>IFERROR(__xludf.DUMMYFUNCTION("""COMPUTED_VALUE"""),75.0)</f>
        <v>75</v>
      </c>
      <c r="BO31" s="675">
        <f>IFERROR(__xludf.DUMMYFUNCTION("""COMPUTED_VALUE"""),0.0)</f>
        <v>0</v>
      </c>
      <c r="BP31" s="675">
        <f>IFERROR(__xludf.DUMMYFUNCTION("""COMPUTED_VALUE"""),1.5)</f>
        <v>1.5</v>
      </c>
      <c r="BQ31" s="675" t="str">
        <f>IFERROR(__xludf.DUMMYFUNCTION("""COMPUTED_VALUE"""),"※")</f>
        <v>※</v>
      </c>
      <c r="BR31" s="139">
        <f>IFERROR(__xludf.DUMMYFUNCTION("""COMPUTED_VALUE"""),3.0)</f>
        <v>3</v>
      </c>
      <c r="BS31" s="139">
        <f>IFERROR(__xludf.DUMMYFUNCTION("""COMPUTED_VALUE"""),40.0)</f>
        <v>40</v>
      </c>
      <c r="BT31" s="139">
        <f>IFERROR(__xludf.DUMMYFUNCTION("""COMPUTED_VALUE"""),0.41)</f>
        <v>0.41</v>
      </c>
      <c r="BU31" s="139">
        <f>IFERROR(__xludf.DUMMYFUNCTION("""COMPUTED_VALUE"""),0.0)</f>
        <v>0</v>
      </c>
      <c r="BV31" s="139" t="str">
        <f>IFERROR(__xludf.DUMMYFUNCTION("""COMPUTED_VALUE"""),"普通")</f>
        <v>普通</v>
      </c>
      <c r="BW31" s="139" t="str">
        <f>IFERROR(__xludf.DUMMYFUNCTION("""COMPUTED_VALUE"""),"毒ダメージ軽減")</f>
        <v>毒ダメージ軽減</v>
      </c>
      <c r="BX31" s="139">
        <f>IFERROR(__xludf.DUMMYFUNCTION("""COMPUTED_VALUE"""),10.0)</f>
        <v>10</v>
      </c>
      <c r="BY31" s="139">
        <f>IFERROR(__xludf.DUMMYFUNCTION("""COMPUTED_VALUE"""),0.0)</f>
        <v>0</v>
      </c>
      <c r="BZ31" s="139" t="str">
        <f>IFERROR(__xludf.DUMMYFUNCTION("""COMPUTED_VALUE"""),"-")</f>
        <v>-</v>
      </c>
      <c r="CA31" s="139" t="str">
        <f>IFERROR(__xludf.DUMMYFUNCTION("""COMPUTED_VALUE"""),"-")</f>
        <v>-</v>
      </c>
      <c r="CB31" s="139" t="str">
        <f>IFERROR(__xludf.DUMMYFUNCTION("""COMPUTED_VALUE"""),"-")</f>
        <v>-</v>
      </c>
      <c r="CC31" s="139" t="str">
        <f>IFERROR(__xludf.DUMMYFUNCTION("""COMPUTED_VALUE"""),"中距離")</f>
        <v>中距離</v>
      </c>
      <c r="CD31" s="139" t="str">
        <f>IFERROR(__xludf.DUMMYFUNCTION("""COMPUTED_VALUE"""),"単体")</f>
        <v>単体</v>
      </c>
      <c r="CE31" s="139">
        <f>IFERROR(__xludf.DUMMYFUNCTION("""COMPUTED_VALUE"""),1.0)</f>
        <v>1</v>
      </c>
      <c r="CF31" s="139">
        <f>IFERROR(__xludf.DUMMYFUNCTION("""COMPUTED_VALUE"""),0.42)</f>
        <v>0.42</v>
      </c>
      <c r="CG31" s="139" t="str">
        <f>IFERROR(__xludf.DUMMYFUNCTION("""COMPUTED_VALUE"""),"中距離")</f>
        <v>中距離</v>
      </c>
      <c r="CH31" s="139" t="str">
        <f>IFERROR(__xludf.DUMMYFUNCTION("""COMPUTED_VALUE"""),"範囲(小)")</f>
        <v>範囲(小)</v>
      </c>
      <c r="CI31" s="139">
        <f>IFERROR(__xludf.DUMMYFUNCTION("""COMPUTED_VALUE"""),0.75)</f>
        <v>0.75</v>
      </c>
      <c r="CJ31" s="139">
        <f>IFERROR(__xludf.DUMMYFUNCTION("""COMPUTED_VALUE"""),0.52)</f>
        <v>0.52</v>
      </c>
      <c r="CK31" s="139" t="str">
        <f>IFERROR(__xludf.DUMMYFUNCTION("""COMPUTED_VALUE"""),"敵")</f>
        <v>敵</v>
      </c>
      <c r="CL31" s="139" t="str">
        <f>IFERROR(__xludf.DUMMYFUNCTION("""COMPUTED_VALUE"""),"All")</f>
        <v>All</v>
      </c>
      <c r="CM31" s="139" t="str">
        <f>IFERROR(__xludf.DUMMYFUNCTION("""COMPUTED_VALUE"""),"All")</f>
        <v>All</v>
      </c>
      <c r="CN31" s="675">
        <f>IFERROR(__xludf.DUMMYFUNCTION("""COMPUTED_VALUE"""),24.681830500116398)</f>
        <v>24.6818305</v>
      </c>
      <c r="CO31" s="139" t="str">
        <f>IFERROR(__xludf.DUMMYFUNCTION("""COMPUTED_VALUE"""),"-")</f>
        <v>-</v>
      </c>
      <c r="CP31" s="139" t="str">
        <f>IFERROR(__xludf.DUMMYFUNCTION("""COMPUTED_VALUE"""),"-")</f>
        <v>-</v>
      </c>
      <c r="CQ31" s="139" t="str">
        <f>IFERROR(__xludf.DUMMYFUNCTION("""COMPUTED_VALUE"""),"-")</f>
        <v>-</v>
      </c>
      <c r="CR31" s="139" t="str">
        <f>IFERROR(__xludf.DUMMYFUNCTION("""COMPUTED_VALUE"""),"-")</f>
        <v>-</v>
      </c>
      <c r="CS31" s="673" t="str">
        <f>IFERROR(__xludf.DUMMYFUNCTION("""COMPUTED_VALUE"""),"毒")</f>
        <v>毒</v>
      </c>
      <c r="CT31" s="139" t="str">
        <f>IFERROR(__xludf.DUMMYFUNCTION("""COMPUTED_VALUE"""),"-")</f>
        <v>-</v>
      </c>
      <c r="CU31" s="139" t="str">
        <f>IFERROR(__xludf.DUMMYFUNCTION("""COMPUTED_VALUE"""),"敵")</f>
        <v>敵</v>
      </c>
      <c r="CV31" s="139" t="str">
        <f>IFERROR(__xludf.DUMMYFUNCTION("""COMPUTED_VALUE"""),"All")</f>
        <v>All</v>
      </c>
      <c r="CW31" s="139" t="str">
        <f>IFERROR(__xludf.DUMMYFUNCTION("""COMPUTED_VALUE"""),"All")</f>
        <v>All</v>
      </c>
      <c r="CX31" s="674">
        <f>IFERROR(__xludf.DUMMYFUNCTION("""COMPUTED_VALUE"""),2.0)</f>
        <v>2</v>
      </c>
      <c r="CY31" s="139">
        <f>IFERROR(__xludf.DUMMYFUNCTION("""COMPUTED_VALUE"""),9.0)</f>
        <v>9</v>
      </c>
      <c r="CZ31" s="688" t="str">
        <f>IFERROR(__xludf.DUMMYFUNCTION("""COMPUTED_VALUE"""),"-")</f>
        <v>-</v>
      </c>
      <c r="DA31" s="688">
        <f>IFERROR(__xludf.DUMMYFUNCTION("""COMPUTED_VALUE"""),0.0)</f>
        <v>0</v>
      </c>
      <c r="DB31" s="688">
        <f>IFERROR(__xludf.DUMMYFUNCTION("""COMPUTED_VALUE"""),0.0)</f>
        <v>0</v>
      </c>
      <c r="DC31" s="139" t="str">
        <f>IFERROR(__xludf.DUMMYFUNCTION("""COMPUTED_VALUE"""),"-")</f>
        <v>-</v>
      </c>
      <c r="DD31" s="673" t="str">
        <f>IFERROR(__xludf.DUMMYFUNCTION("""COMPUTED_VALUE"""),"-")</f>
        <v>-</v>
      </c>
      <c r="DE31" s="139" t="str">
        <f>IFERROR(__xludf.DUMMYFUNCTION("""COMPUTED_VALUE"""),"-")</f>
        <v>-</v>
      </c>
      <c r="DF31" s="139" t="str">
        <f>IFERROR(__xludf.DUMMYFUNCTION("""COMPUTED_VALUE"""),"-")</f>
        <v>-</v>
      </c>
      <c r="DG31" s="139" t="str">
        <f>IFERROR(__xludf.DUMMYFUNCTION("""COMPUTED_VALUE"""),"-")</f>
        <v>-</v>
      </c>
      <c r="DH31" s="139" t="str">
        <f>IFERROR(__xludf.DUMMYFUNCTION("""COMPUTED_VALUE"""),"-")</f>
        <v>-</v>
      </c>
      <c r="DI31" s="139" t="str">
        <f>IFERROR(__xludf.DUMMYFUNCTION("""COMPUTED_VALUE"""),"-")</f>
        <v>-</v>
      </c>
      <c r="DJ31" s="139" t="str">
        <f>IFERROR(__xludf.DUMMYFUNCTION("""COMPUTED_VALUE"""),"-")</f>
        <v>-</v>
      </c>
    </row>
    <row r="32">
      <c r="A32" s="139" t="str">
        <f>IFERROR(__xludf.DUMMYFUNCTION("""COMPUTED_VALUE"""),"姫様“拷問”の時間です")</f>
        <v>姫様“拷問”の時間です</v>
      </c>
      <c r="B32" s="139" t="str">
        <f>IFERROR(__xludf.DUMMYFUNCTION("""COMPUTED_VALUE"""),"囚われの王女 姫様")</f>
        <v>囚われの王女 姫様</v>
      </c>
      <c r="C32" s="139" t="str">
        <f>IFERROR(__xludf.DUMMYFUNCTION("""COMPUTED_VALUE"""),"chara_gom_00001")</f>
        <v>chara_gom_00001</v>
      </c>
      <c r="D32" s="139" t="str">
        <f>IFERROR(__xludf.DUMMYFUNCTION("""COMPUTED_VALUE"""),"PremiumUR")</f>
        <v>PremiumUR</v>
      </c>
      <c r="E32" s="139" t="str">
        <f>IFERROR(__xludf.DUMMYFUNCTION("""COMPUTED_VALUE"""),"緑")</f>
        <v>緑</v>
      </c>
      <c r="F32" s="139" t="str">
        <f>IFERROR(__xludf.DUMMYFUNCTION("""COMPUTED_VALUE"""),"ディフェンス")</f>
        <v>ディフェンス</v>
      </c>
      <c r="G32" s="139" t="str">
        <f>IFERROR(__xludf.DUMMYFUNCTION("""COMPUTED_VALUE"""),"近距離")</f>
        <v>近距離</v>
      </c>
      <c r="H32" s="139" t="str">
        <f>IFERROR(__xludf.DUMMYFUNCTION("""COMPUTED_VALUE"""),"dageki_1")</f>
        <v>dageki_1</v>
      </c>
      <c r="I32" s="139" t="str">
        <f>IFERROR(__xludf.DUMMYFUNCTION("""COMPUTED_VALUE"""),"-")</f>
        <v>-</v>
      </c>
      <c r="J32" s="139" t="str">
        <f>IFERROR(__xludf.DUMMYFUNCTION("""COMPUTED_VALUE"""),"202509010_リリース")</f>
        <v>202509010_リリース</v>
      </c>
      <c r="K32" s="139" t="str">
        <f>IFERROR(__xludf.DUMMYFUNCTION("""COMPUTED_VALUE"""),"リリース時")</f>
        <v>リリース時</v>
      </c>
      <c r="L32" s="139" t="str">
        <f>IFERROR(__xludf.DUMMYFUNCTION("""COMPUTED_VALUE"""),"※")</f>
        <v>※</v>
      </c>
      <c r="M32" s="674">
        <f>IFERROR(__xludf.DUMMYFUNCTION("""COMPUTED_VALUE"""),650.0)</f>
        <v>650</v>
      </c>
      <c r="N32" s="139">
        <f>IFERROR(__xludf.DUMMYFUNCTION("""COMPUTED_VALUE"""),600.0)</f>
        <v>600</v>
      </c>
      <c r="O32" s="139" t="str">
        <f>IFERROR(__xludf.DUMMYFUNCTION("""COMPUTED_VALUE"""),"中コスト")</f>
        <v>中コスト</v>
      </c>
      <c r="P32" s="139">
        <f>IFERROR(__xludf.DUMMYFUNCTION("""COMPUTED_VALUE"""),150.0)</f>
        <v>150</v>
      </c>
      <c r="Q32" s="675">
        <f>IFERROR(__xludf.DUMMYFUNCTION("""COMPUTED_VALUE"""),10.0)</f>
        <v>10</v>
      </c>
      <c r="R32" s="675">
        <f>IFERROR(__xludf.DUMMYFUNCTION("""COMPUTED_VALUE"""),30.0)</f>
        <v>30</v>
      </c>
      <c r="S32" s="675">
        <f>IFERROR(__xludf.DUMMYFUNCTION("""COMPUTED_VALUE"""),17.25)</f>
        <v>17.25</v>
      </c>
      <c r="T32" s="674">
        <f>IFERROR(__xludf.DUMMYFUNCTION("""COMPUTED_VALUE"""),1750.0)</f>
        <v>1750</v>
      </c>
      <c r="U32" s="675">
        <f>IFERROR(__xludf.DUMMYFUNCTION("""COMPUTED_VALUE"""),34.983333333333334)</f>
        <v>34.98333333</v>
      </c>
      <c r="V32" s="675">
        <f>IFERROR(__xludf.DUMMYFUNCTION("""COMPUTED_VALUE"""),0.0)</f>
        <v>0</v>
      </c>
      <c r="W32" s="675">
        <f>IFERROR(__xludf.DUMMYFUNCTION("""COMPUTED_VALUE"""),0.0)</f>
        <v>0</v>
      </c>
      <c r="X32" s="675">
        <f>IFERROR(__xludf.DUMMYFUNCTION("""COMPUTED_VALUE"""),0.0)</f>
        <v>0</v>
      </c>
      <c r="Y32" s="674">
        <f>IFERROR(__xludf.DUMMYFUNCTION("""COMPUTED_VALUE"""),750.0)</f>
        <v>750</v>
      </c>
      <c r="Z32" s="675">
        <f>IFERROR(__xludf.DUMMYFUNCTION("""COMPUTED_VALUE"""),15.0)</f>
        <v>15</v>
      </c>
      <c r="AA32" s="675">
        <f>IFERROR(__xludf.DUMMYFUNCTION("""COMPUTED_VALUE"""),0.0)</f>
        <v>0</v>
      </c>
      <c r="AB32" s="673">
        <f>IFERROR(__xludf.DUMMYFUNCTION("""COMPUTED_VALUE"""),0.0)</f>
        <v>0</v>
      </c>
      <c r="AC32" s="675">
        <f>IFERROR(__xludf.DUMMYFUNCTION("""COMPUTED_VALUE"""),0.0)</f>
        <v>0</v>
      </c>
      <c r="AD32" s="674">
        <f>IFERROR(__xludf.DUMMYFUNCTION("""COMPUTED_VALUE"""),1505.0)</f>
        <v>1505</v>
      </c>
      <c r="AE32" s="675">
        <f>IFERROR(__xludf.DUMMYFUNCTION("""COMPUTED_VALUE"""),30.098074556698293)</f>
        <v>30.09807456</v>
      </c>
      <c r="AF32" s="675">
        <f>IFERROR(__xludf.DUMMYFUNCTION("""COMPUTED_VALUE"""),0.0)</f>
        <v>0</v>
      </c>
      <c r="AG32" s="675">
        <f>IFERROR(__xludf.DUMMYFUNCTION("""COMPUTED_VALUE"""),9.0)</f>
        <v>9</v>
      </c>
      <c r="AH32" s="675">
        <f>IFERROR(__xludf.DUMMYFUNCTION("""COMPUTED_VALUE"""),-2.3442305062998106)</f>
        <v>-2.344230506</v>
      </c>
      <c r="AI32" s="675">
        <f>IFERROR(__xludf.DUMMYFUNCTION("""COMPUTED_VALUE"""),6.0)</f>
        <v>6</v>
      </c>
      <c r="AJ32" s="675">
        <f>IFERROR(__xludf.DUMMYFUNCTION("""COMPUTED_VALUE"""),24.098074556698293)</f>
        <v>24.09807456</v>
      </c>
      <c r="AK32" s="139">
        <f>IFERROR(__xludf.DUMMYFUNCTION("""COMPUTED_VALUE"""),1.0)</f>
        <v>1</v>
      </c>
      <c r="AL32" s="674">
        <f>IFERROR(__xludf.DUMMYFUNCTION("""COMPUTED_VALUE"""),5450.0)</f>
        <v>5450</v>
      </c>
      <c r="AM32" s="688">
        <f>IFERROR(__xludf.DUMMYFUNCTION("""COMPUTED_VALUE"""),44543.56325008503)</f>
        <v>44543.56325</v>
      </c>
      <c r="AN32" s="675">
        <f>IFERROR(__xludf.DUMMYFUNCTION("""COMPUTED_VALUE"""),36.333333333333336)</f>
        <v>36.33333333</v>
      </c>
      <c r="AO32" s="675">
        <f>IFERROR(__xludf.DUMMYFUNCTION("""COMPUTED_VALUE"""),18.166666666666668)</f>
        <v>18.16666667</v>
      </c>
      <c r="AP32" s="674">
        <f>IFERROR(__xludf.DUMMYFUNCTION("""COMPUTED_VALUE"""),2370.0)</f>
        <v>2370</v>
      </c>
      <c r="AQ32" s="673">
        <f>IFERROR(__xludf.DUMMYFUNCTION("""COMPUTED_VALUE"""),0.9)</f>
        <v>0.9</v>
      </c>
      <c r="AR32" s="673">
        <f>IFERROR(__xludf.DUMMYFUNCTION("""COMPUTED_VALUE"""),0.0)</f>
        <v>0</v>
      </c>
      <c r="AS32" s="673">
        <f>IFERROR(__xludf.DUMMYFUNCTION("""COMPUTED_VALUE"""),0.0)</f>
        <v>0</v>
      </c>
      <c r="AT32" s="673">
        <f>IFERROR(__xludf.DUMMYFUNCTION("""COMPUTED_VALUE"""),0.3)</f>
        <v>0.3</v>
      </c>
      <c r="AU32" s="673">
        <f>IFERROR(__xludf.DUMMYFUNCTION("""COMPUTED_VALUE"""),0.1)</f>
        <v>0.1</v>
      </c>
      <c r="AV32" s="673">
        <f>IFERROR(__xludf.DUMMYFUNCTION("""COMPUTED_VALUE"""),0.0)</f>
        <v>0</v>
      </c>
      <c r="AW32" s="139"/>
      <c r="AX32" s="674">
        <f>IFERROR(__xludf.DUMMYFUNCTION("""COMPUTED_VALUE"""),640.0)</f>
        <v>640</v>
      </c>
      <c r="AY32" s="688">
        <f>IFERROR(__xludf.DUMMYFUNCTION("""COMPUTED_VALUE"""),5229.697996340261)</f>
        <v>5229.697996</v>
      </c>
      <c r="AZ32" s="674">
        <f>IFERROR(__xludf.DUMMYFUNCTION("""COMPUTED_VALUE"""),320.0)</f>
        <v>320</v>
      </c>
      <c r="BA32" s="688">
        <f>IFERROR(__xludf.DUMMYFUNCTION("""COMPUTED_VALUE"""),2614.8489981701305)</f>
        <v>2614.848998</v>
      </c>
      <c r="BB32" s="688" t="str">
        <f>IFERROR(__xludf.DUMMYFUNCTION("""COMPUTED_VALUE"""),"-")</f>
        <v>-</v>
      </c>
      <c r="BC32" s="688">
        <f>IFERROR(__xludf.DUMMYFUNCTION("""COMPUTED_VALUE"""),320.0)</f>
        <v>320</v>
      </c>
      <c r="BD32" s="688">
        <f>IFERROR(__xludf.DUMMYFUNCTION("""COMPUTED_VALUE"""),5616.0)</f>
        <v>5616</v>
      </c>
      <c r="BE32" s="674">
        <f>IFERROR(__xludf.DUMMYFUNCTION("""COMPUTED_VALUE"""),320.0)</f>
        <v>320</v>
      </c>
      <c r="BF32" s="674">
        <f>IFERROR(__xludf.DUMMYFUNCTION("""COMPUTED_VALUE"""),1580.0)</f>
        <v>1580</v>
      </c>
      <c r="BG32" s="673">
        <f>IFERROR(__xludf.DUMMYFUNCTION("""COMPUTED_VALUE"""),-0.3)</f>
        <v>-0.3</v>
      </c>
      <c r="BH32" s="673">
        <f>IFERROR(__xludf.DUMMYFUNCTION("""COMPUTED_VALUE"""),-0.5)</f>
        <v>-0.5</v>
      </c>
      <c r="BI32" s="673">
        <f>IFERROR(__xludf.DUMMYFUNCTION("""COMPUTED_VALUE"""),0.0)</f>
        <v>0</v>
      </c>
      <c r="BJ32" s="673">
        <f>IFERROR(__xludf.DUMMYFUNCTION("""COMPUTED_VALUE"""),0.0)</f>
        <v>0</v>
      </c>
      <c r="BK32" s="673">
        <f>IFERROR(__xludf.DUMMYFUNCTION("""COMPUTED_VALUE"""),0.0)</f>
        <v>0</v>
      </c>
      <c r="BL32" s="673">
        <f>IFERROR(__xludf.DUMMYFUNCTION("""COMPUTED_VALUE"""),0.0)</f>
        <v>0</v>
      </c>
      <c r="BM32" s="674">
        <f>IFERROR(__xludf.DUMMYFUNCTION("""COMPUTED_VALUE"""),100.0)</f>
        <v>100</v>
      </c>
      <c r="BN32" s="674">
        <f>IFERROR(__xludf.DUMMYFUNCTION("""COMPUTED_VALUE"""),100.0)</f>
        <v>100</v>
      </c>
      <c r="BO32" s="675">
        <f>IFERROR(__xludf.DUMMYFUNCTION("""COMPUTED_VALUE"""),0.0)</f>
        <v>0</v>
      </c>
      <c r="BP32" s="675">
        <f>IFERROR(__xludf.DUMMYFUNCTION("""COMPUTED_VALUE"""),2.0)</f>
        <v>2</v>
      </c>
      <c r="BQ32" s="675" t="str">
        <f>IFERROR(__xludf.DUMMYFUNCTION("""COMPUTED_VALUE"""),"※")</f>
        <v>※</v>
      </c>
      <c r="BR32" s="139">
        <f>IFERROR(__xludf.DUMMYFUNCTION("""COMPUTED_VALUE"""),1.0)</f>
        <v>1</v>
      </c>
      <c r="BS32" s="139">
        <f>IFERROR(__xludf.DUMMYFUNCTION("""COMPUTED_VALUE"""),20.0)</f>
        <v>20</v>
      </c>
      <c r="BT32" s="139">
        <f>IFERROR(__xludf.DUMMYFUNCTION("""COMPUTED_VALUE"""),0.16)</f>
        <v>0.16</v>
      </c>
      <c r="BU32" s="139">
        <f>IFERROR(__xludf.DUMMYFUNCTION("""COMPUTED_VALUE"""),0.0)</f>
        <v>0</v>
      </c>
      <c r="BV32" s="139" t="str">
        <f>IFERROR(__xludf.DUMMYFUNCTION("""COMPUTED_VALUE"""),"とても遅い")</f>
        <v>とても遅い</v>
      </c>
      <c r="BW32" s="139" t="str">
        <f>IFERROR(__xludf.DUMMYFUNCTION("""COMPUTED_VALUE"""),"根性")</f>
        <v>根性</v>
      </c>
      <c r="BX32" s="139">
        <f>IFERROR(__xludf.DUMMYFUNCTION("""COMPUTED_VALUE"""),1.0)</f>
        <v>1</v>
      </c>
      <c r="BY32" s="139">
        <f>IFERROR(__xludf.DUMMYFUNCTION("""COMPUTED_VALUE"""),0.0)</f>
        <v>0</v>
      </c>
      <c r="BZ32" s="139" t="str">
        <f>IFERROR(__xludf.DUMMYFUNCTION("""COMPUTED_VALUE"""),"ダメージコマ無効化")</f>
        <v>ダメージコマ無効化</v>
      </c>
      <c r="CA32" s="139" t="str">
        <f>IFERROR(__xludf.DUMMYFUNCTION("""COMPUTED_VALUE"""),"-")</f>
        <v>-</v>
      </c>
      <c r="CB32" s="139">
        <f>IFERROR(__xludf.DUMMYFUNCTION("""COMPUTED_VALUE"""),4.0)</f>
        <v>4</v>
      </c>
      <c r="CC32" s="139" t="str">
        <f>IFERROR(__xludf.DUMMYFUNCTION("""COMPUTED_VALUE"""),"近距離")</f>
        <v>近距離</v>
      </c>
      <c r="CD32" s="139" t="str">
        <f>IFERROR(__xludf.DUMMYFUNCTION("""COMPUTED_VALUE"""),"単体")</f>
        <v>単体</v>
      </c>
      <c r="CE32" s="139">
        <f>IFERROR(__xludf.DUMMYFUNCTION("""COMPUTED_VALUE"""),1.0)</f>
        <v>1</v>
      </c>
      <c r="CF32" s="139">
        <f>IFERROR(__xludf.DUMMYFUNCTION("""COMPUTED_VALUE"""),0.17)</f>
        <v>0.17</v>
      </c>
      <c r="CG32" s="139" t="str">
        <f>IFERROR(__xludf.DUMMYFUNCTION("""COMPUTED_VALUE"""),"自身")</f>
        <v>自身</v>
      </c>
      <c r="CH32" s="139" t="str">
        <f>IFERROR(__xludf.DUMMYFUNCTION("""COMPUTED_VALUE"""),"自身")</f>
        <v>自身</v>
      </c>
      <c r="CI32" s="139" t="str">
        <f>IFERROR(__xludf.DUMMYFUNCTION("""COMPUTED_VALUE"""),"該当なし")</f>
        <v>該当なし</v>
      </c>
      <c r="CJ32" s="139" t="str">
        <f>IFERROR(__xludf.DUMMYFUNCTION("""COMPUTED_VALUE"""),"自身")</f>
        <v>自身</v>
      </c>
      <c r="CK32" s="139" t="str">
        <f>IFERROR(__xludf.DUMMYFUNCTION("""COMPUTED_VALUE"""),"自身")</f>
        <v>自身</v>
      </c>
      <c r="CL32" s="139" t="str">
        <f>IFERROR(__xludf.DUMMYFUNCTION("""COMPUTED_VALUE"""),"All")</f>
        <v>All</v>
      </c>
      <c r="CM32" s="139" t="str">
        <f>IFERROR(__xludf.DUMMYFUNCTION("""COMPUTED_VALUE"""),"All")</f>
        <v>All</v>
      </c>
      <c r="CN32" s="675">
        <f>IFERROR(__xludf.DUMMYFUNCTION("""COMPUTED_VALUE"""),30.098074556698293)</f>
        <v>30.09807456</v>
      </c>
      <c r="CO32" s="139" t="str">
        <f>IFERROR(__xludf.DUMMYFUNCTION("""COMPUTED_VALUE"""),"-")</f>
        <v>-</v>
      </c>
      <c r="CP32" s="139" t="str">
        <f>IFERROR(__xludf.DUMMYFUNCTION("""COMPUTED_VALUE"""),"-")</f>
        <v>-</v>
      </c>
      <c r="CQ32" s="139" t="str">
        <f>IFERROR(__xludf.DUMMYFUNCTION("""COMPUTED_VALUE"""),"-")</f>
        <v>-</v>
      </c>
      <c r="CR32" s="139" t="str">
        <f>IFERROR(__xludf.DUMMYFUNCTION("""COMPUTED_VALUE"""),"瞬間型")</f>
        <v>瞬間型</v>
      </c>
      <c r="CS32" s="673" t="str">
        <f>IFERROR(__xludf.DUMMYFUNCTION("""COMPUTED_VALUE"""),"ダメージカット(自身)")</f>
        <v>ダメージカット(自身)</v>
      </c>
      <c r="CT32" s="139" t="str">
        <f>IFERROR(__xludf.DUMMYFUNCTION("""COMPUTED_VALUE"""),"瞬間型")</f>
        <v>瞬間型</v>
      </c>
      <c r="CU32" s="139" t="str">
        <f>IFERROR(__xludf.DUMMYFUNCTION("""COMPUTED_VALUE"""),"自身")</f>
        <v>自身</v>
      </c>
      <c r="CV32" s="139" t="str">
        <f>IFERROR(__xludf.DUMMYFUNCTION("""COMPUTED_VALUE"""),"All")</f>
        <v>All</v>
      </c>
      <c r="CW32" s="139" t="str">
        <f>IFERROR(__xludf.DUMMYFUNCTION("""COMPUTED_VALUE"""),"All")</f>
        <v>All</v>
      </c>
      <c r="CX32" s="674">
        <f>IFERROR(__xludf.DUMMYFUNCTION("""COMPUTED_VALUE"""),35.0)</f>
        <v>35</v>
      </c>
      <c r="CY32" s="675">
        <f>IFERROR(__xludf.DUMMYFUNCTION("""COMPUTED_VALUE"""),6.0)</f>
        <v>6</v>
      </c>
      <c r="CZ32" s="688" t="str">
        <f>IFERROR(__xludf.DUMMYFUNCTION("""COMPUTED_VALUE"""),"-")</f>
        <v>-</v>
      </c>
      <c r="DA32" s="688">
        <f>IFERROR(__xludf.DUMMYFUNCTION("""COMPUTED_VALUE"""),0.0)</f>
        <v>0</v>
      </c>
      <c r="DB32" s="688">
        <f>IFERROR(__xludf.DUMMYFUNCTION("""COMPUTED_VALUE"""),0.0)</f>
        <v>0</v>
      </c>
      <c r="DC32" s="139" t="str">
        <f>IFERROR(__xludf.DUMMYFUNCTION("""COMPUTED_VALUE"""),"-")</f>
        <v>-</v>
      </c>
      <c r="DD32" s="673" t="str">
        <f>IFERROR(__xludf.DUMMYFUNCTION("""COMPUTED_VALUE"""),"-")</f>
        <v>-</v>
      </c>
      <c r="DE32" s="139" t="str">
        <f>IFERROR(__xludf.DUMMYFUNCTION("""COMPUTED_VALUE"""),"-")</f>
        <v>-</v>
      </c>
      <c r="DF32" s="139" t="str">
        <f>IFERROR(__xludf.DUMMYFUNCTION("""COMPUTED_VALUE"""),"-")</f>
        <v>-</v>
      </c>
      <c r="DG32" s="139" t="str">
        <f>IFERROR(__xludf.DUMMYFUNCTION("""COMPUTED_VALUE"""),"-")</f>
        <v>-</v>
      </c>
      <c r="DH32" s="139" t="str">
        <f>IFERROR(__xludf.DUMMYFUNCTION("""COMPUTED_VALUE"""),"-")</f>
        <v>-</v>
      </c>
      <c r="DI32" s="139" t="str">
        <f>IFERROR(__xludf.DUMMYFUNCTION("""COMPUTED_VALUE"""),"-")</f>
        <v>-</v>
      </c>
      <c r="DJ32" s="139" t="str">
        <f>IFERROR(__xludf.DUMMYFUNCTION("""COMPUTED_VALUE"""),"-")</f>
        <v>-</v>
      </c>
    </row>
    <row r="33">
      <c r="A33" s="139" t="str">
        <f>IFERROR(__xludf.DUMMYFUNCTION("""COMPUTED_VALUE"""),"SPY×FAMILY")</f>
        <v>SPY×FAMILY</v>
      </c>
      <c r="B33" s="139" t="str">
        <f>IFERROR(__xludf.DUMMYFUNCTION("""COMPUTED_VALUE"""),"&lt;いばら姫&gt; ヨル")</f>
        <v>&lt;いばら姫&gt; ヨル</v>
      </c>
      <c r="C33" s="139" t="str">
        <f>IFERROR(__xludf.DUMMYFUNCTION("""COMPUTED_VALUE"""),"chara_spy_00201")</f>
        <v>chara_spy_00201</v>
      </c>
      <c r="D33" s="139" t="str">
        <f>IFERROR(__xludf.DUMMYFUNCTION("""COMPUTED_VALUE"""),"PremiumUR")</f>
        <v>PremiumUR</v>
      </c>
      <c r="E33" s="139" t="str">
        <f>IFERROR(__xludf.DUMMYFUNCTION("""COMPUTED_VALUE"""),"赤")</f>
        <v>赤</v>
      </c>
      <c r="F33" s="139" t="str">
        <f>IFERROR(__xludf.DUMMYFUNCTION("""COMPUTED_VALUE"""),"アタック")</f>
        <v>アタック</v>
      </c>
      <c r="G33" s="139" t="str">
        <f>IFERROR(__xludf.DUMMYFUNCTION("""COMPUTED_VALUE"""),"中距離")</f>
        <v>中距離</v>
      </c>
      <c r="H33" s="139" t="str">
        <f>IFERROR(__xludf.DUMMYFUNCTION("""COMPUTED_VALUE"""),"zangeki_1")</f>
        <v>zangeki_1</v>
      </c>
      <c r="I33" s="139" t="str">
        <f>IFERROR(__xludf.DUMMYFUNCTION("""COMPUTED_VALUE"""),"dageki_1")</f>
        <v>dageki_1</v>
      </c>
      <c r="J33" s="139" t="str">
        <f>IFERROR(__xludf.DUMMYFUNCTION("""COMPUTED_VALUE"""),"202509010_リリース")</f>
        <v>202509010_リリース</v>
      </c>
      <c r="K33" s="139" t="str">
        <f>IFERROR(__xludf.DUMMYFUNCTION("""COMPUTED_VALUE"""),"リリース時")</f>
        <v>リリース時</v>
      </c>
      <c r="L33" s="687" t="str">
        <f>IFERROR(__xludf.DUMMYFUNCTION("""COMPUTED_VALUE"""),"※")</f>
        <v>※</v>
      </c>
      <c r="M33" s="674">
        <f>IFERROR(__xludf.DUMMYFUNCTION("""COMPUTED_VALUE"""),650.0)</f>
        <v>650</v>
      </c>
      <c r="N33" s="139">
        <f>IFERROR(__xludf.DUMMYFUNCTION("""COMPUTED_VALUE"""),600.0)</f>
        <v>600</v>
      </c>
      <c r="O33" s="139" t="str">
        <f>IFERROR(__xludf.DUMMYFUNCTION("""COMPUTED_VALUE"""),"中コスト")</f>
        <v>中コスト</v>
      </c>
      <c r="P33" s="139">
        <f>IFERROR(__xludf.DUMMYFUNCTION("""COMPUTED_VALUE"""),0.0)</f>
        <v>0</v>
      </c>
      <c r="Q33" s="675">
        <f>IFERROR(__xludf.DUMMYFUNCTION("""COMPUTED_VALUE"""),20.0)</f>
        <v>20</v>
      </c>
      <c r="R33" s="675">
        <f>IFERROR(__xludf.DUMMYFUNCTION("""COMPUTED_VALUE"""),30.0)</f>
        <v>30</v>
      </c>
      <c r="S33" s="675">
        <f>IFERROR(__xludf.DUMMYFUNCTION("""COMPUTED_VALUE"""),13.75)</f>
        <v>13.75</v>
      </c>
      <c r="T33" s="674">
        <f>IFERROR(__xludf.DUMMYFUNCTION("""COMPUTED_VALUE"""),570.0)</f>
        <v>570</v>
      </c>
      <c r="U33" s="675">
        <f>IFERROR(__xludf.DUMMYFUNCTION("""COMPUTED_VALUE"""),11.440000000000001)</f>
        <v>11.44</v>
      </c>
      <c r="V33" s="675">
        <f>IFERROR(__xludf.DUMMYFUNCTION("""COMPUTED_VALUE"""),0.0)</f>
        <v>0</v>
      </c>
      <c r="W33" s="675">
        <f>IFERROR(__xludf.DUMMYFUNCTION("""COMPUTED_VALUE"""),0.0)</f>
        <v>0</v>
      </c>
      <c r="X33" s="675">
        <f>IFERROR(__xludf.DUMMYFUNCTION("""COMPUTED_VALUE"""),0.0)</f>
        <v>0</v>
      </c>
      <c r="Y33" s="674">
        <f>IFERROR(__xludf.DUMMYFUNCTION("""COMPUTED_VALUE"""),275.0)</f>
        <v>275</v>
      </c>
      <c r="Z33" s="675">
        <f>IFERROR(__xludf.DUMMYFUNCTION("""COMPUTED_VALUE"""),5.459999999999999)</f>
        <v>5.46</v>
      </c>
      <c r="AA33" s="675">
        <f>IFERROR(__xludf.DUMMYFUNCTION("""COMPUTED_VALUE"""),0.0)</f>
        <v>0</v>
      </c>
      <c r="AB33" s="673">
        <f>IFERROR(__xludf.DUMMYFUNCTION("""COMPUTED_VALUE"""),-0.52)</f>
        <v>-0.52</v>
      </c>
      <c r="AC33" s="675">
        <f>IFERROR(__xludf.DUMMYFUNCTION("""COMPUTED_VALUE"""),0.0)</f>
        <v>0</v>
      </c>
      <c r="AD33" s="674">
        <f>IFERROR(__xludf.DUMMYFUNCTION("""COMPUTED_VALUE"""),1470.0)</f>
        <v>1470</v>
      </c>
      <c r="AE33" s="675">
        <f>IFERROR(__xludf.DUMMYFUNCTION("""COMPUTED_VALUE"""),29.423219127504098)</f>
        <v>29.42321913</v>
      </c>
      <c r="AF33" s="675">
        <f>IFERROR(__xludf.DUMMYFUNCTION("""COMPUTED_VALUE"""),0.0)</f>
        <v>0</v>
      </c>
      <c r="AG33" s="675">
        <f>IFERROR(__xludf.DUMMYFUNCTION("""COMPUTED_VALUE"""),16.88128945141358)</f>
        <v>16.88128945</v>
      </c>
      <c r="AH33" s="675">
        <f>IFERROR(__xludf.DUMMYFUNCTION("""COMPUTED_VALUE"""),0.0)</f>
        <v>0</v>
      </c>
      <c r="AI33" s="139">
        <f>IFERROR(__xludf.DUMMYFUNCTION("""COMPUTED_VALUE"""),8.0)</f>
        <v>8</v>
      </c>
      <c r="AJ33" s="675">
        <f>IFERROR(__xludf.DUMMYFUNCTION("""COMPUTED_VALUE"""),19.423219127504098)</f>
        <v>19.42321913</v>
      </c>
      <c r="AK33" s="139">
        <f>IFERROR(__xludf.DUMMYFUNCTION("""COMPUTED_VALUE"""),1.0)</f>
        <v>1</v>
      </c>
      <c r="AL33" s="674">
        <f>IFERROR(__xludf.DUMMYFUNCTION("""COMPUTED_VALUE"""),1560.0)</f>
        <v>1560</v>
      </c>
      <c r="AM33" s="688">
        <f>IFERROR(__xludf.DUMMYFUNCTION("""COMPUTED_VALUE"""),12748.643866079386)</f>
        <v>12748.64387</v>
      </c>
      <c r="AN33" s="675">
        <f>IFERROR(__xludf.DUMMYFUNCTION("""COMPUTED_VALUE"""),10.4)</f>
        <v>10.4</v>
      </c>
      <c r="AO33" s="675">
        <f>IFERROR(__xludf.DUMMYFUNCTION("""COMPUTED_VALUE"""),5.2)</f>
        <v>5.2</v>
      </c>
      <c r="AP33" s="674">
        <f>IFERROR(__xludf.DUMMYFUNCTION("""COMPUTED_VALUE"""),2600.0)</f>
        <v>2600</v>
      </c>
      <c r="AQ33" s="673">
        <f>IFERROR(__xludf.DUMMYFUNCTION("""COMPUTED_VALUE"""),-0.2)</f>
        <v>-0.2</v>
      </c>
      <c r="AR33" s="673">
        <f>IFERROR(__xludf.DUMMYFUNCTION("""COMPUTED_VALUE"""),0.0)</f>
        <v>0</v>
      </c>
      <c r="AS33" s="673">
        <f>IFERROR(__xludf.DUMMYFUNCTION("""COMPUTED_VALUE"""),-0.1)</f>
        <v>-0.1</v>
      </c>
      <c r="AT33" s="673">
        <f>IFERROR(__xludf.DUMMYFUNCTION("""COMPUTED_VALUE"""),-0.1)</f>
        <v>-0.1</v>
      </c>
      <c r="AU33" s="673">
        <f>IFERROR(__xludf.DUMMYFUNCTION("""COMPUTED_VALUE"""),0.0)</f>
        <v>0</v>
      </c>
      <c r="AV33" s="673">
        <f>IFERROR(__xludf.DUMMYFUNCTION("""COMPUTED_VALUE"""),0.0)</f>
        <v>0</v>
      </c>
      <c r="AW33" s="139"/>
      <c r="AX33" s="674">
        <f>IFERROR(__xludf.DUMMYFUNCTION("""COMPUTED_VALUE"""),3170.0)</f>
        <v>3170</v>
      </c>
      <c r="AY33" s="688">
        <f>IFERROR(__xludf.DUMMYFUNCTION("""COMPUTED_VALUE"""),25908.37913812286)</f>
        <v>25908.37914</v>
      </c>
      <c r="AZ33" s="674">
        <f>IFERROR(__xludf.DUMMYFUNCTION("""COMPUTED_VALUE"""),2440.0)</f>
        <v>2440</v>
      </c>
      <c r="BA33" s="688">
        <f>IFERROR(__xludf.DUMMYFUNCTION("""COMPUTED_VALUE"""),19929.52241394066)</f>
        <v>19929.52241</v>
      </c>
      <c r="BB33" s="688">
        <f>IFERROR(__xludf.DUMMYFUNCTION("""COMPUTED_VALUE"""),24911.903017425826)</f>
        <v>24911.90302</v>
      </c>
      <c r="BC33" s="688" t="str">
        <f>IFERROR(__xludf.DUMMYFUNCTION("""COMPUTED_VALUE"""),"#VALUE!")</f>
        <v>#VALUE!</v>
      </c>
      <c r="BD33" s="688" t="str">
        <f>IFERROR(__xludf.DUMMYFUNCTION("""COMPUTED_VALUE"""),"#VALUE!")</f>
        <v>#VALUE!</v>
      </c>
      <c r="BE33" s="674">
        <f>IFERROR(__xludf.DUMMYFUNCTION("""COMPUTED_VALUE"""),2440.0)</f>
        <v>2440</v>
      </c>
      <c r="BF33" s="674">
        <f>IFERROR(__xludf.DUMMYFUNCTION("""COMPUTED_VALUE"""),1625.0)</f>
        <v>1625</v>
      </c>
      <c r="BG33" s="673">
        <f>IFERROR(__xludf.DUMMYFUNCTION("""COMPUTED_VALUE"""),0.1)</f>
        <v>0.1</v>
      </c>
      <c r="BH33" s="673">
        <f>IFERROR(__xludf.DUMMYFUNCTION("""COMPUTED_VALUE"""),0.3)</f>
        <v>0.3</v>
      </c>
      <c r="BI33" s="673">
        <f>IFERROR(__xludf.DUMMYFUNCTION("""COMPUTED_VALUE"""),0.1)</f>
        <v>0.1</v>
      </c>
      <c r="BJ33" s="673">
        <f>IFERROR(__xludf.DUMMYFUNCTION("""COMPUTED_VALUE"""),0.0)</f>
        <v>0</v>
      </c>
      <c r="BK33" s="673">
        <f>IFERROR(__xludf.DUMMYFUNCTION("""COMPUTED_VALUE"""),0.0)</f>
        <v>0</v>
      </c>
      <c r="BL33" s="673">
        <f>IFERROR(__xludf.DUMMYFUNCTION("""COMPUTED_VALUE"""),0.0)</f>
        <v>0</v>
      </c>
      <c r="BM33" s="674">
        <f>IFERROR(__xludf.DUMMYFUNCTION("""COMPUTED_VALUE"""),65.0)</f>
        <v>65</v>
      </c>
      <c r="BN33" s="674">
        <f>IFERROR(__xludf.DUMMYFUNCTION("""COMPUTED_VALUE"""),75.0)</f>
        <v>75</v>
      </c>
      <c r="BO33" s="675">
        <f>IFERROR(__xludf.DUMMYFUNCTION("""COMPUTED_VALUE"""),-10.0)</f>
        <v>-10</v>
      </c>
      <c r="BP33" s="675">
        <f>IFERROR(__xludf.DUMMYFUNCTION("""COMPUTED_VALUE"""),1.3)</f>
        <v>1.3</v>
      </c>
      <c r="BQ33" s="675" t="str">
        <f>IFERROR(__xludf.DUMMYFUNCTION("""COMPUTED_VALUE"""),"※")</f>
        <v>※</v>
      </c>
      <c r="BR33" s="139">
        <f>IFERROR(__xludf.DUMMYFUNCTION("""COMPUTED_VALUE"""),2.0)</f>
        <v>2</v>
      </c>
      <c r="BS33" s="139">
        <f>IFERROR(__xludf.DUMMYFUNCTION("""COMPUTED_VALUE"""),45.0)</f>
        <v>45</v>
      </c>
      <c r="BT33" s="139">
        <f>IFERROR(__xludf.DUMMYFUNCTION("""COMPUTED_VALUE"""),0.33999999999999997)</f>
        <v>0.34</v>
      </c>
      <c r="BU33" s="139">
        <f>IFERROR(__xludf.DUMMYFUNCTION("""COMPUTED_VALUE"""),0.0)</f>
        <v>0</v>
      </c>
      <c r="BV33" s="139" t="str">
        <f>IFERROR(__xludf.DUMMYFUNCTION("""COMPUTED_VALUE"""),"速い-普通")</f>
        <v>速い-普通</v>
      </c>
      <c r="BW33" s="139" t="str">
        <f>IFERROR(__xludf.DUMMYFUNCTION("""COMPUTED_VALUE"""),"根性")</f>
        <v>根性</v>
      </c>
      <c r="BX33" s="139">
        <f>IFERROR(__xludf.DUMMYFUNCTION("""COMPUTED_VALUE"""),1.0)</f>
        <v>1</v>
      </c>
      <c r="BY33" s="139">
        <f>IFERROR(__xludf.DUMMYFUNCTION("""COMPUTED_VALUE"""),0.0)</f>
        <v>0</v>
      </c>
      <c r="BZ33" s="139" t="str">
        <f>IFERROR(__xludf.DUMMYFUNCTION("""COMPUTED_VALUE"""),"攻撃UPコマ効果UP")</f>
        <v>攻撃UPコマ効果UP</v>
      </c>
      <c r="CA33" s="139">
        <f>IFERROR(__xludf.DUMMYFUNCTION("""COMPUTED_VALUE"""),25.0)</f>
        <v>25</v>
      </c>
      <c r="CB33" s="139">
        <f>IFERROR(__xludf.DUMMYFUNCTION("""COMPUTED_VALUE"""),4.0)</f>
        <v>4</v>
      </c>
      <c r="CC33" s="139" t="str">
        <f>IFERROR(__xludf.DUMMYFUNCTION("""COMPUTED_VALUE"""),"中距離")</f>
        <v>中距離</v>
      </c>
      <c r="CD33" s="139" t="str">
        <f>IFERROR(__xludf.DUMMYFUNCTION("""COMPUTED_VALUE"""),"単体")</f>
        <v>単体</v>
      </c>
      <c r="CE33" s="139">
        <f>IFERROR(__xludf.DUMMYFUNCTION("""COMPUTED_VALUE"""),1.0)</f>
        <v>1</v>
      </c>
      <c r="CF33" s="139">
        <f>IFERROR(__xludf.DUMMYFUNCTION("""COMPUTED_VALUE"""),0.35)</f>
        <v>0.35</v>
      </c>
      <c r="CG33" s="139" t="str">
        <f>IFERROR(__xludf.DUMMYFUNCTION("""COMPUTED_VALUE"""),"中距離")</f>
        <v>中距離</v>
      </c>
      <c r="CH33" s="139" t="str">
        <f>IFERROR(__xludf.DUMMYFUNCTION("""COMPUTED_VALUE"""),"範囲(中)")</f>
        <v>範囲(中)</v>
      </c>
      <c r="CI33" s="139">
        <f>IFERROR(__xludf.DUMMYFUNCTION("""COMPUTED_VALUE"""),0.65)</f>
        <v>0.65</v>
      </c>
      <c r="CJ33" s="139">
        <f>IFERROR(__xludf.DUMMYFUNCTION("""COMPUTED_VALUE"""),0.5499999999999999)</f>
        <v>0.55</v>
      </c>
      <c r="CK33" s="139" t="str">
        <f>IFERROR(__xludf.DUMMYFUNCTION("""COMPUTED_VALUE"""),"敵")</f>
        <v>敵</v>
      </c>
      <c r="CL33" s="139" t="str">
        <f>IFERROR(__xludf.DUMMYFUNCTION("""COMPUTED_VALUE"""),"All")</f>
        <v>All</v>
      </c>
      <c r="CM33" s="139" t="str">
        <f>IFERROR(__xludf.DUMMYFUNCTION("""COMPUTED_VALUE"""),"All")</f>
        <v>All</v>
      </c>
      <c r="CN33" s="675">
        <f>IFERROR(__xludf.DUMMYFUNCTION("""COMPUTED_VALUE"""),29.423219127504098)</f>
        <v>29.42321913</v>
      </c>
      <c r="CO33" s="139" t="str">
        <f>IFERROR(__xludf.DUMMYFUNCTION("""COMPUTED_VALUE"""),"-")</f>
        <v>-</v>
      </c>
      <c r="CP33" s="139" t="str">
        <f>IFERROR(__xludf.DUMMYFUNCTION("""COMPUTED_VALUE"""),"-")</f>
        <v>-</v>
      </c>
      <c r="CQ33" s="139" t="str">
        <f>IFERROR(__xludf.DUMMYFUNCTION("""COMPUTED_VALUE"""),"-")</f>
        <v>-</v>
      </c>
      <c r="CR33" s="139" t="str">
        <f>IFERROR(__xludf.DUMMYFUNCTION("""COMPUTED_VALUE"""),"ハイブリッド型")</f>
        <v>ハイブリッド型</v>
      </c>
      <c r="CS33" s="673" t="str">
        <f>IFERROR(__xludf.DUMMYFUNCTION("""COMPUTED_VALUE"""),"攻撃(必殺)")</f>
        <v>攻撃(必殺)</v>
      </c>
      <c r="CT33" s="139" t="str">
        <f>IFERROR(__xludf.DUMMYFUNCTION("""COMPUTED_VALUE"""),"ハイブリッド型")</f>
        <v>ハイブリッド型</v>
      </c>
      <c r="CU33" s="139" t="str">
        <f>IFERROR(__xludf.DUMMYFUNCTION("""COMPUTED_VALUE"""),"敵")</f>
        <v>敵</v>
      </c>
      <c r="CV33" s="139" t="str">
        <f>IFERROR(__xludf.DUMMYFUNCTION("""COMPUTED_VALUE"""),"All")</f>
        <v>All</v>
      </c>
      <c r="CW33" s="139" t="str">
        <f>IFERROR(__xludf.DUMMYFUNCTION("""COMPUTED_VALUE"""),"All")</f>
        <v>All</v>
      </c>
      <c r="CX33" s="674">
        <f>IFERROR(__xludf.DUMMYFUNCTION("""COMPUTED_VALUE"""),130.0)</f>
        <v>130</v>
      </c>
      <c r="CY33" s="139" t="str">
        <f>IFERROR(__xludf.DUMMYFUNCTION("""COMPUTED_VALUE"""),"-")</f>
        <v>-</v>
      </c>
      <c r="CZ33" s="688">
        <f>IFERROR(__xludf.DUMMYFUNCTION("""COMPUTED_VALUE"""),33681.0)</f>
        <v>33681</v>
      </c>
      <c r="DA33" s="688">
        <f>IFERROR(__xludf.DUMMYFUNCTION("""COMPUTED_VALUE"""),1246.2029855803762)</f>
        <v>1246.202986</v>
      </c>
      <c r="DB33" s="688">
        <f>IFERROR(__xludf.DUMMYFUNCTION("""COMPUTED_VALUE"""),6231.014927901881)</f>
        <v>6231.014928</v>
      </c>
      <c r="DC33" s="139" t="str">
        <f>IFERROR(__xludf.DUMMYFUNCTION("""COMPUTED_VALUE"""),"攻撃力UP(自身)")</f>
        <v>攻撃力UP(自身)</v>
      </c>
      <c r="DD33" s="673">
        <f>IFERROR(__xludf.DUMMYFUNCTION("""COMPUTED_VALUE"""),25.0)</f>
        <v>25</v>
      </c>
      <c r="DE33" s="675">
        <f>IFERROR(__xludf.DUMMYFUNCTION("""COMPUTED_VALUE"""),10.0)</f>
        <v>10</v>
      </c>
      <c r="DF33" s="139" t="str">
        <f>IFERROR(__xludf.DUMMYFUNCTION("""COMPUTED_VALUE"""),"-")</f>
        <v>-</v>
      </c>
      <c r="DG33" s="139" t="str">
        <f>IFERROR(__xludf.DUMMYFUNCTION("""COMPUTED_VALUE"""),"-")</f>
        <v>-</v>
      </c>
      <c r="DH33" s="139" t="str">
        <f>IFERROR(__xludf.DUMMYFUNCTION("""COMPUTED_VALUE"""),"-")</f>
        <v>-</v>
      </c>
      <c r="DI33" s="139" t="str">
        <f>IFERROR(__xludf.DUMMYFUNCTION("""COMPUTED_VALUE"""),"-")</f>
        <v>-</v>
      </c>
      <c r="DJ33" s="139" t="str">
        <f>IFERROR(__xludf.DUMMYFUNCTION("""COMPUTED_VALUE"""),"-")</f>
        <v>-</v>
      </c>
    </row>
    <row r="34">
      <c r="A34" s="139" t="str">
        <f>IFERROR(__xludf.DUMMYFUNCTION("""COMPUTED_VALUE"""),"忘却バッテリー")</f>
        <v>忘却バッテリー</v>
      </c>
      <c r="B34" s="139" t="str">
        <f>IFERROR(__xludf.DUMMYFUNCTION("""COMPUTED_VALUE"""),"要 圭")</f>
        <v>要 圭</v>
      </c>
      <c r="C34" s="139" t="str">
        <f>IFERROR(__xludf.DUMMYFUNCTION("""COMPUTED_VALUE"""),"chara_bat_00101")</f>
        <v>chara_bat_00101</v>
      </c>
      <c r="D34" s="139" t="str">
        <f>IFERROR(__xludf.DUMMYFUNCTION("""COMPUTED_VALUE"""),"PremiumSR")</f>
        <v>PremiumSR</v>
      </c>
      <c r="E34" s="139" t="str">
        <f>IFERROR(__xludf.DUMMYFUNCTION("""COMPUTED_VALUE"""),"赤")</f>
        <v>赤</v>
      </c>
      <c r="F34" s="139" t="str">
        <f>IFERROR(__xludf.DUMMYFUNCTION("""COMPUTED_VALUE"""),"ディフェンス")</f>
        <v>ディフェンス</v>
      </c>
      <c r="G34" s="139" t="str">
        <f>IFERROR(__xludf.DUMMYFUNCTION("""COMPUTED_VALUE"""),"中距離")</f>
        <v>中距離</v>
      </c>
      <c r="H34" s="139" t="str">
        <f>IFERROR(__xludf.DUMMYFUNCTION("""COMPUTED_VALUE"""),"dageki_1")</f>
        <v>dageki_1</v>
      </c>
      <c r="I34" s="139" t="str">
        <f>IFERROR(__xludf.DUMMYFUNCTION("""COMPUTED_VALUE"""),"-")</f>
        <v>-</v>
      </c>
      <c r="J34" s="139" t="str">
        <f>IFERROR(__xludf.DUMMYFUNCTION("""COMPUTED_VALUE"""),"202509010_リリース")</f>
        <v>202509010_リリース</v>
      </c>
      <c r="K34" s="139" t="str">
        <f>IFERROR(__xludf.DUMMYFUNCTION("""COMPUTED_VALUE"""),"リリース時")</f>
        <v>リリース時</v>
      </c>
      <c r="L34" s="687" t="str">
        <f>IFERROR(__xludf.DUMMYFUNCTION("""COMPUTED_VALUE"""),"※")</f>
        <v>※</v>
      </c>
      <c r="M34" s="674">
        <f>IFERROR(__xludf.DUMMYFUNCTION("""COMPUTED_VALUE"""),625.0)</f>
        <v>625</v>
      </c>
      <c r="N34" s="139">
        <f>IFERROR(__xludf.DUMMYFUNCTION("""COMPUTED_VALUE"""),600.0)</f>
        <v>600</v>
      </c>
      <c r="O34" s="139" t="str">
        <f>IFERROR(__xludf.DUMMYFUNCTION("""COMPUTED_VALUE"""),"中コスト")</f>
        <v>中コスト</v>
      </c>
      <c r="P34" s="139">
        <f>IFERROR(__xludf.DUMMYFUNCTION("""COMPUTED_VALUE"""),0.0)</f>
        <v>0</v>
      </c>
      <c r="Q34" s="675">
        <f>IFERROR(__xludf.DUMMYFUNCTION("""COMPUTED_VALUE"""),10.0)</f>
        <v>10</v>
      </c>
      <c r="R34" s="675">
        <f>IFERROR(__xludf.DUMMYFUNCTION("""COMPUTED_VALUE"""),15.0)</f>
        <v>15</v>
      </c>
      <c r="S34" s="675">
        <f>IFERROR(__xludf.DUMMYFUNCTION("""COMPUTED_VALUE"""),13.125)</f>
        <v>13.125</v>
      </c>
      <c r="T34" s="674">
        <f>IFERROR(__xludf.DUMMYFUNCTION("""COMPUTED_VALUE"""),1240.0)</f>
        <v>1240</v>
      </c>
      <c r="U34" s="675">
        <f>IFERROR(__xludf.DUMMYFUNCTION("""COMPUTED_VALUE"""),24.78666666666667)</f>
        <v>24.78666667</v>
      </c>
      <c r="V34" s="675">
        <f>IFERROR(__xludf.DUMMYFUNCTION("""COMPUTED_VALUE"""),0.0)</f>
        <v>0</v>
      </c>
      <c r="W34" s="675">
        <f>IFERROR(__xludf.DUMMYFUNCTION("""COMPUTED_VALUE"""),0.0)</f>
        <v>0</v>
      </c>
      <c r="X34" s="675">
        <f>IFERROR(__xludf.DUMMYFUNCTION("""COMPUTED_VALUE"""),0.0)</f>
        <v>0</v>
      </c>
      <c r="Y34" s="674">
        <f>IFERROR(__xludf.DUMMYFUNCTION("""COMPUTED_VALUE"""),650.0)</f>
        <v>650</v>
      </c>
      <c r="Z34" s="675">
        <f>IFERROR(__xludf.DUMMYFUNCTION("""COMPUTED_VALUE"""),12.956666666666667)</f>
        <v>12.95666667</v>
      </c>
      <c r="AA34" s="675">
        <f>IFERROR(__xludf.DUMMYFUNCTION("""COMPUTED_VALUE"""),0.0)</f>
        <v>0</v>
      </c>
      <c r="AB34" s="673">
        <f>IFERROR(__xludf.DUMMYFUNCTION("""COMPUTED_VALUE"""),0.0)</f>
        <v>0</v>
      </c>
      <c r="AC34" s="675">
        <f>IFERROR(__xludf.DUMMYFUNCTION("""COMPUTED_VALUE"""),0.0)</f>
        <v>0</v>
      </c>
      <c r="AD34" s="674">
        <f>IFERROR(__xludf.DUMMYFUNCTION("""COMPUTED_VALUE"""),1450.0)</f>
        <v>1450</v>
      </c>
      <c r="AE34" s="675">
        <f>IFERROR(__xludf.DUMMYFUNCTION("""COMPUTED_VALUE"""),28.96122061692202)</f>
        <v>28.96122062</v>
      </c>
      <c r="AF34" s="675">
        <f>IFERROR(__xludf.DUMMYFUNCTION("""COMPUTED_VALUE"""),0.0)</f>
        <v>0</v>
      </c>
      <c r="AG34" s="675">
        <f>IFERROR(__xludf.DUMMYFUNCTION("""COMPUTED_VALUE"""),10.5)</f>
        <v>10.5</v>
      </c>
      <c r="AH34" s="675">
        <f>IFERROR(__xludf.DUMMYFUNCTION("""COMPUTED_VALUE"""),0.0)</f>
        <v>0</v>
      </c>
      <c r="AI34" s="675">
        <f>IFERROR(__xludf.DUMMYFUNCTION("""COMPUTED_VALUE"""),7.0)</f>
        <v>7</v>
      </c>
      <c r="AJ34" s="675">
        <f>IFERROR(__xludf.DUMMYFUNCTION("""COMPUTED_VALUE"""),21.96122061692202)</f>
        <v>21.96122062</v>
      </c>
      <c r="AK34" s="139">
        <f>IFERROR(__xludf.DUMMYFUNCTION("""COMPUTED_VALUE"""),1.0)</f>
        <v>1</v>
      </c>
      <c r="AL34" s="674">
        <f>IFERROR(__xludf.DUMMYFUNCTION("""COMPUTED_VALUE"""),3380.0)</f>
        <v>3380</v>
      </c>
      <c r="AM34" s="688">
        <f>IFERROR(__xludf.DUMMYFUNCTION("""COMPUTED_VALUE"""),24662.355043172007)</f>
        <v>24662.35504</v>
      </c>
      <c r="AN34" s="675">
        <f>IFERROR(__xludf.DUMMYFUNCTION("""COMPUTED_VALUE"""),22.533333333333335)</f>
        <v>22.53333333</v>
      </c>
      <c r="AO34" s="675">
        <f>IFERROR(__xludf.DUMMYFUNCTION("""COMPUTED_VALUE"""),11.266666666666667)</f>
        <v>11.26666667</v>
      </c>
      <c r="AP34" s="674">
        <f>IFERROR(__xludf.DUMMYFUNCTION("""COMPUTED_VALUE"""),1880.0)</f>
        <v>1880</v>
      </c>
      <c r="AQ34" s="673">
        <f>IFERROR(__xludf.DUMMYFUNCTION("""COMPUTED_VALUE"""),0.9)</f>
        <v>0.9</v>
      </c>
      <c r="AR34" s="673">
        <f>IFERROR(__xludf.DUMMYFUNCTION("""COMPUTED_VALUE"""),0.0)</f>
        <v>0</v>
      </c>
      <c r="AS34" s="673">
        <f>IFERROR(__xludf.DUMMYFUNCTION("""COMPUTED_VALUE"""),-0.1)</f>
        <v>-0.1</v>
      </c>
      <c r="AT34" s="673">
        <f>IFERROR(__xludf.DUMMYFUNCTION("""COMPUTED_VALUE"""),0.0)</f>
        <v>0</v>
      </c>
      <c r="AU34" s="673">
        <f>IFERROR(__xludf.DUMMYFUNCTION("""COMPUTED_VALUE"""),0.0)</f>
        <v>0</v>
      </c>
      <c r="AV34" s="673">
        <f>IFERROR(__xludf.DUMMYFUNCTION("""COMPUTED_VALUE"""),0.0)</f>
        <v>0</v>
      </c>
      <c r="AW34" s="139"/>
      <c r="AX34" s="674">
        <f>IFERROR(__xludf.DUMMYFUNCTION("""COMPUTED_VALUE"""),1260.0)</f>
        <v>1260</v>
      </c>
      <c r="AY34" s="688">
        <f>IFERROR(__xludf.DUMMYFUNCTION("""COMPUTED_VALUE"""),9193.21543029489)</f>
        <v>9193.21543</v>
      </c>
      <c r="AZ34" s="674">
        <f>IFERROR(__xludf.DUMMYFUNCTION("""COMPUTED_VALUE"""),630.0)</f>
        <v>630</v>
      </c>
      <c r="BA34" s="688">
        <f>IFERROR(__xludf.DUMMYFUNCTION("""COMPUTED_VALUE"""),4596.607715147445)</f>
        <v>4596.607715</v>
      </c>
      <c r="BB34" s="688" t="str">
        <f>IFERROR(__xludf.DUMMYFUNCTION("""COMPUTED_VALUE"""),"-")</f>
        <v>-</v>
      </c>
      <c r="BC34" s="688" t="str">
        <f>IFERROR(__xludf.DUMMYFUNCTION("""COMPUTED_VALUE"""),"#VALUE!")</f>
        <v>#VALUE!</v>
      </c>
      <c r="BD34" s="688" t="str">
        <f>IFERROR(__xludf.DUMMYFUNCTION("""COMPUTED_VALUE"""),"#VALUE!")</f>
        <v>#VALUE!</v>
      </c>
      <c r="BE34" s="674">
        <f>IFERROR(__xludf.DUMMYFUNCTION("""COMPUTED_VALUE"""),630.0)</f>
        <v>630</v>
      </c>
      <c r="BF34" s="674">
        <f>IFERROR(__xludf.DUMMYFUNCTION("""COMPUTED_VALUE"""),1250.0)</f>
        <v>1250</v>
      </c>
      <c r="BG34" s="673">
        <f>IFERROR(__xludf.DUMMYFUNCTION("""COMPUTED_VALUE"""),0.0)</f>
        <v>0</v>
      </c>
      <c r="BH34" s="673">
        <f>IFERROR(__xludf.DUMMYFUNCTION("""COMPUTED_VALUE"""),-0.5)</f>
        <v>-0.5</v>
      </c>
      <c r="BI34" s="673">
        <f>IFERROR(__xludf.DUMMYFUNCTION("""COMPUTED_VALUE"""),0.0)</f>
        <v>0</v>
      </c>
      <c r="BJ34" s="673">
        <f>IFERROR(__xludf.DUMMYFUNCTION("""COMPUTED_VALUE"""),0.0)</f>
        <v>0</v>
      </c>
      <c r="BK34" s="673">
        <f>IFERROR(__xludf.DUMMYFUNCTION("""COMPUTED_VALUE"""),0.0)</f>
        <v>0</v>
      </c>
      <c r="BL34" s="673">
        <f>IFERROR(__xludf.DUMMYFUNCTION("""COMPUTED_VALUE"""),0.0)</f>
        <v>0</v>
      </c>
      <c r="BM34" s="674">
        <f>IFERROR(__xludf.DUMMYFUNCTION("""COMPUTED_VALUE"""),100.0)</f>
        <v>100</v>
      </c>
      <c r="BN34" s="674">
        <f>IFERROR(__xludf.DUMMYFUNCTION("""COMPUTED_VALUE"""),100.0)</f>
        <v>100</v>
      </c>
      <c r="BO34" s="675">
        <f>IFERROR(__xludf.DUMMYFUNCTION("""COMPUTED_VALUE"""),0.0)</f>
        <v>0</v>
      </c>
      <c r="BP34" s="675">
        <f>IFERROR(__xludf.DUMMYFUNCTION("""COMPUTED_VALUE"""),2.0)</f>
        <v>2</v>
      </c>
      <c r="BQ34" s="675" t="str">
        <f>IFERROR(__xludf.DUMMYFUNCTION("""COMPUTED_VALUE"""),"※")</f>
        <v>※</v>
      </c>
      <c r="BR34" s="139">
        <f>IFERROR(__xludf.DUMMYFUNCTION("""COMPUTED_VALUE"""),1.0)</f>
        <v>1</v>
      </c>
      <c r="BS34" s="139">
        <f>IFERROR(__xludf.DUMMYFUNCTION("""COMPUTED_VALUE"""),45.0)</f>
        <v>45</v>
      </c>
      <c r="BT34" s="139">
        <f>IFERROR(__xludf.DUMMYFUNCTION("""COMPUTED_VALUE"""),0.33999999999999997)</f>
        <v>0.34</v>
      </c>
      <c r="BU34" s="139">
        <f>IFERROR(__xludf.DUMMYFUNCTION("""COMPUTED_VALUE"""),0.0)</f>
        <v>0</v>
      </c>
      <c r="BV34" s="139" t="str">
        <f>IFERROR(__xludf.DUMMYFUNCTION("""COMPUTED_VALUE"""),"速い-普通")</f>
        <v>速い-普通</v>
      </c>
      <c r="BW34" s="139" t="str">
        <f>IFERROR(__xludf.DUMMYFUNCTION("""COMPUTED_VALUE"""),"火傷ダメージ軽減")</f>
        <v>火傷ダメージ軽減</v>
      </c>
      <c r="BX34" s="139">
        <f>IFERROR(__xludf.DUMMYFUNCTION("""COMPUTED_VALUE"""),10.0)</f>
        <v>10</v>
      </c>
      <c r="BY34" s="139">
        <f>IFERROR(__xludf.DUMMYFUNCTION("""COMPUTED_VALUE"""),2.0)</f>
        <v>2</v>
      </c>
      <c r="BZ34" s="139" t="str">
        <f>IFERROR(__xludf.DUMMYFUNCTION("""COMPUTED_VALUE"""),"-")</f>
        <v>-</v>
      </c>
      <c r="CA34" s="139" t="str">
        <f>IFERROR(__xludf.DUMMYFUNCTION("""COMPUTED_VALUE"""),"-")</f>
        <v>-</v>
      </c>
      <c r="CB34" s="139" t="str">
        <f>IFERROR(__xludf.DUMMYFUNCTION("""COMPUTED_VALUE"""),"-")</f>
        <v>-</v>
      </c>
      <c r="CC34" s="139" t="str">
        <f>IFERROR(__xludf.DUMMYFUNCTION("""COMPUTED_VALUE"""),"中距離")</f>
        <v>中距離</v>
      </c>
      <c r="CD34" s="139" t="str">
        <f>IFERROR(__xludf.DUMMYFUNCTION("""COMPUTED_VALUE"""),"単体")</f>
        <v>単体</v>
      </c>
      <c r="CE34" s="139">
        <f>IFERROR(__xludf.DUMMYFUNCTION("""COMPUTED_VALUE"""),1.0)</f>
        <v>1</v>
      </c>
      <c r="CF34" s="139">
        <f>IFERROR(__xludf.DUMMYFUNCTION("""COMPUTED_VALUE"""),0.35)</f>
        <v>0.35</v>
      </c>
      <c r="CG34" s="139" t="str">
        <f>IFERROR(__xludf.DUMMYFUNCTION("""COMPUTED_VALUE"""),"自身")</f>
        <v>自身</v>
      </c>
      <c r="CH34" s="139" t="str">
        <f>IFERROR(__xludf.DUMMYFUNCTION("""COMPUTED_VALUE"""),"自身")</f>
        <v>自身</v>
      </c>
      <c r="CI34" s="139" t="str">
        <f>IFERROR(__xludf.DUMMYFUNCTION("""COMPUTED_VALUE"""),"該当なし")</f>
        <v>該当なし</v>
      </c>
      <c r="CJ34" s="139" t="str">
        <f>IFERROR(__xludf.DUMMYFUNCTION("""COMPUTED_VALUE"""),"自身")</f>
        <v>自身</v>
      </c>
      <c r="CK34" s="139" t="str">
        <f>IFERROR(__xludf.DUMMYFUNCTION("""COMPUTED_VALUE"""),"自身")</f>
        <v>自身</v>
      </c>
      <c r="CL34" s="139" t="str">
        <f>IFERROR(__xludf.DUMMYFUNCTION("""COMPUTED_VALUE"""),"All")</f>
        <v>All</v>
      </c>
      <c r="CM34" s="139" t="str">
        <f>IFERROR(__xludf.DUMMYFUNCTION("""COMPUTED_VALUE"""),"All")</f>
        <v>All</v>
      </c>
      <c r="CN34" s="675">
        <f>IFERROR(__xludf.DUMMYFUNCTION("""COMPUTED_VALUE"""),28.96122061692202)</f>
        <v>28.96122062</v>
      </c>
      <c r="CO34" s="139" t="str">
        <f>IFERROR(__xludf.DUMMYFUNCTION("""COMPUTED_VALUE"""),"-")</f>
        <v>-</v>
      </c>
      <c r="CP34" s="139" t="str">
        <f>IFERROR(__xludf.DUMMYFUNCTION("""COMPUTED_VALUE"""),"-")</f>
        <v>-</v>
      </c>
      <c r="CQ34" s="139" t="str">
        <f>IFERROR(__xludf.DUMMYFUNCTION("""COMPUTED_VALUE"""),"-")</f>
        <v>-</v>
      </c>
      <c r="CR34" s="139" t="str">
        <f>IFERROR(__xludf.DUMMYFUNCTION("""COMPUTED_VALUE"""),"安定型")</f>
        <v>安定型</v>
      </c>
      <c r="CS34" s="673" t="str">
        <f>IFERROR(__xludf.DUMMYFUNCTION("""COMPUTED_VALUE"""),"ダメージカット(自身)")</f>
        <v>ダメージカット(自身)</v>
      </c>
      <c r="CT34" s="139" t="str">
        <f>IFERROR(__xludf.DUMMYFUNCTION("""COMPUTED_VALUE"""),"安定型")</f>
        <v>安定型</v>
      </c>
      <c r="CU34" s="139" t="str">
        <f>IFERROR(__xludf.DUMMYFUNCTION("""COMPUTED_VALUE"""),"自身")</f>
        <v>自身</v>
      </c>
      <c r="CV34" s="139" t="str">
        <f>IFERROR(__xludf.DUMMYFUNCTION("""COMPUTED_VALUE"""),"All")</f>
        <v>All</v>
      </c>
      <c r="CW34" s="139" t="str">
        <f>IFERROR(__xludf.DUMMYFUNCTION("""COMPUTED_VALUE"""),"All")</f>
        <v>All</v>
      </c>
      <c r="CX34" s="674">
        <f>IFERROR(__xludf.DUMMYFUNCTION("""COMPUTED_VALUE"""),14.0)</f>
        <v>14</v>
      </c>
      <c r="CY34" s="675">
        <f>IFERROR(__xludf.DUMMYFUNCTION("""COMPUTED_VALUE"""),7.0)</f>
        <v>7</v>
      </c>
      <c r="CZ34" s="688" t="str">
        <f>IFERROR(__xludf.DUMMYFUNCTION("""COMPUTED_VALUE"""),"-")</f>
        <v>-</v>
      </c>
      <c r="DA34" s="688">
        <f>IFERROR(__xludf.DUMMYFUNCTION("""COMPUTED_VALUE"""),0.0)</f>
        <v>0</v>
      </c>
      <c r="DB34" s="688">
        <f>IFERROR(__xludf.DUMMYFUNCTION("""COMPUTED_VALUE"""),0.0)</f>
        <v>0</v>
      </c>
      <c r="DC34" s="139" t="str">
        <f>IFERROR(__xludf.DUMMYFUNCTION("""COMPUTED_VALUE"""),"-")</f>
        <v>-</v>
      </c>
      <c r="DD34" s="673" t="str">
        <f>IFERROR(__xludf.DUMMYFUNCTION("""COMPUTED_VALUE"""),"-")</f>
        <v>-</v>
      </c>
      <c r="DE34" s="139" t="str">
        <f>IFERROR(__xludf.DUMMYFUNCTION("""COMPUTED_VALUE"""),"-")</f>
        <v>-</v>
      </c>
      <c r="DF34" s="139" t="str">
        <f>IFERROR(__xludf.DUMMYFUNCTION("""COMPUTED_VALUE"""),"-")</f>
        <v>-</v>
      </c>
      <c r="DG34" s="139" t="str">
        <f>IFERROR(__xludf.DUMMYFUNCTION("""COMPUTED_VALUE"""),"-")</f>
        <v>-</v>
      </c>
      <c r="DH34" s="139" t="str">
        <f>IFERROR(__xludf.DUMMYFUNCTION("""COMPUTED_VALUE"""),"-")</f>
        <v>-</v>
      </c>
      <c r="DI34" s="139" t="str">
        <f>IFERROR(__xludf.DUMMYFUNCTION("""COMPUTED_VALUE"""),"-")</f>
        <v>-</v>
      </c>
      <c r="DJ34" s="139" t="str">
        <f>IFERROR(__xludf.DUMMYFUNCTION("""COMPUTED_VALUE"""),"-")</f>
        <v>-</v>
      </c>
    </row>
    <row r="35">
      <c r="A35" s="139" t="str">
        <f>IFERROR(__xludf.DUMMYFUNCTION("""COMPUTED_VALUE"""),"地獄楽")</f>
        <v>地獄楽</v>
      </c>
      <c r="B35" s="139" t="str">
        <f>IFERROR(__xludf.DUMMYFUNCTION("""COMPUTED_VALUE"""),"山田浅ェ門 佐切")</f>
        <v>山田浅ェ門 佐切</v>
      </c>
      <c r="C35" s="139" t="str">
        <f>IFERROR(__xludf.DUMMYFUNCTION("""COMPUTED_VALUE"""),"chara_jig_00101")</f>
        <v>chara_jig_00101</v>
      </c>
      <c r="D35" s="139" t="str">
        <f>IFERROR(__xludf.DUMMYFUNCTION("""COMPUTED_VALUE"""),"PremiumSSR")</f>
        <v>PremiumSSR</v>
      </c>
      <c r="E35" s="139" t="str">
        <f>IFERROR(__xludf.DUMMYFUNCTION("""COMPUTED_VALUE"""),"赤")</f>
        <v>赤</v>
      </c>
      <c r="F35" s="139" t="str">
        <f>IFERROR(__xludf.DUMMYFUNCTION("""COMPUTED_VALUE"""),"アタック")</f>
        <v>アタック</v>
      </c>
      <c r="G35" s="139" t="str">
        <f>IFERROR(__xludf.DUMMYFUNCTION("""COMPUTED_VALUE"""),"近距離")</f>
        <v>近距離</v>
      </c>
      <c r="H35" s="139" t="str">
        <f>IFERROR(__xludf.DUMMYFUNCTION("""COMPUTED_VALUE"""),"zangeki_1")</f>
        <v>zangeki_1</v>
      </c>
      <c r="I35" s="139" t="str">
        <f>IFERROR(__xludf.DUMMYFUNCTION("""COMPUTED_VALUE"""),"zangeki_1")</f>
        <v>zangeki_1</v>
      </c>
      <c r="J35" s="139" t="str">
        <f>IFERROR(__xludf.DUMMYFUNCTION("""COMPUTED_VALUE"""),"202509010_リリース")</f>
        <v>202509010_リリース</v>
      </c>
      <c r="K35" s="139" t="str">
        <f>IFERROR(__xludf.DUMMYFUNCTION("""COMPUTED_VALUE"""),"リリース時")</f>
        <v>リリース時</v>
      </c>
      <c r="L35" s="139" t="str">
        <f>IFERROR(__xludf.DUMMYFUNCTION("""COMPUTED_VALUE"""),"※")</f>
        <v>※</v>
      </c>
      <c r="M35" s="674">
        <f>IFERROR(__xludf.DUMMYFUNCTION("""COMPUTED_VALUE"""),620.0)</f>
        <v>620</v>
      </c>
      <c r="N35" s="139">
        <f>IFERROR(__xludf.DUMMYFUNCTION("""COMPUTED_VALUE"""),600.0)</f>
        <v>600</v>
      </c>
      <c r="O35" s="139" t="str">
        <f>IFERROR(__xludf.DUMMYFUNCTION("""COMPUTED_VALUE"""),"中コスト")</f>
        <v>中コスト</v>
      </c>
      <c r="P35" s="139">
        <f>IFERROR(__xludf.DUMMYFUNCTION("""COMPUTED_VALUE"""),0.0)</f>
        <v>0</v>
      </c>
      <c r="Q35" s="675">
        <f>IFERROR(__xludf.DUMMYFUNCTION("""COMPUTED_VALUE"""),10.0)</f>
        <v>10</v>
      </c>
      <c r="R35" s="675">
        <f>IFERROR(__xludf.DUMMYFUNCTION("""COMPUTED_VALUE"""),10.0)</f>
        <v>10</v>
      </c>
      <c r="S35" s="675">
        <f>IFERROR(__xludf.DUMMYFUNCTION("""COMPUTED_VALUE"""),13.0)</f>
        <v>13</v>
      </c>
      <c r="T35" s="674">
        <f>IFERROR(__xludf.DUMMYFUNCTION("""COMPUTED_VALUE"""),545.0)</f>
        <v>545</v>
      </c>
      <c r="U35" s="675">
        <f>IFERROR(__xludf.DUMMYFUNCTION("""COMPUTED_VALUE"""),10.926666666666668)</f>
        <v>10.92666667</v>
      </c>
      <c r="V35" s="675">
        <f>IFERROR(__xludf.DUMMYFUNCTION("""COMPUTED_VALUE"""),0.0)</f>
        <v>0</v>
      </c>
      <c r="W35" s="675">
        <f>IFERROR(__xludf.DUMMYFUNCTION("""COMPUTED_VALUE"""),0.0)</f>
        <v>0</v>
      </c>
      <c r="X35" s="675">
        <f>IFERROR(__xludf.DUMMYFUNCTION("""COMPUTED_VALUE"""),0.0)</f>
        <v>0</v>
      </c>
      <c r="Y35" s="674">
        <f>IFERROR(__xludf.DUMMYFUNCTION("""COMPUTED_VALUE"""),260.0)</f>
        <v>260</v>
      </c>
      <c r="Z35" s="675">
        <f>IFERROR(__xludf.DUMMYFUNCTION("""COMPUTED_VALUE"""),5.214999999999999)</f>
        <v>5.215</v>
      </c>
      <c r="AA35" s="675">
        <f>IFERROR(__xludf.DUMMYFUNCTION("""COMPUTED_VALUE"""),0.0)</f>
        <v>0</v>
      </c>
      <c r="AB35" s="673">
        <f>IFERROR(__xludf.DUMMYFUNCTION("""COMPUTED_VALUE"""),-0.4966666666666667)</f>
        <v>-0.4966666667</v>
      </c>
      <c r="AC35" s="675">
        <f>IFERROR(__xludf.DUMMYFUNCTION("""COMPUTED_VALUE"""),0.0)</f>
        <v>0</v>
      </c>
      <c r="AD35" s="674">
        <f>IFERROR(__xludf.DUMMYFUNCTION("""COMPUTED_VALUE"""),615.0)</f>
        <v>615</v>
      </c>
      <c r="AE35" s="675">
        <f>IFERROR(__xludf.DUMMYFUNCTION("""COMPUTED_VALUE"""),12.257310743660971)</f>
        <v>12.25731074</v>
      </c>
      <c r="AF35" s="675">
        <f>IFERROR(__xludf.DUMMYFUNCTION("""COMPUTED_VALUE"""),0.0)</f>
        <v>0</v>
      </c>
      <c r="AG35" s="675">
        <f>IFERROR(__xludf.DUMMYFUNCTION("""COMPUTED_VALUE"""),0.0)</f>
        <v>0</v>
      </c>
      <c r="AH35" s="675">
        <f>IFERROR(__xludf.DUMMYFUNCTION("""COMPUTED_VALUE"""),0.0)</f>
        <v>0</v>
      </c>
      <c r="AI35" s="139">
        <f>IFERROR(__xludf.DUMMYFUNCTION("""COMPUTED_VALUE"""),8.0)</f>
        <v>8</v>
      </c>
      <c r="AJ35" s="139" t="str">
        <f>IFERROR(__xludf.DUMMYFUNCTION("""COMPUTED_VALUE"""),"-")</f>
        <v>-</v>
      </c>
      <c r="AK35" s="139">
        <f>IFERROR(__xludf.DUMMYFUNCTION("""COMPUTED_VALUE"""),1.0)</f>
        <v>1</v>
      </c>
      <c r="AL35" s="674">
        <f>IFERROR(__xludf.DUMMYFUNCTION("""COMPUTED_VALUE"""),1490.0)</f>
        <v>1490</v>
      </c>
      <c r="AM35" s="688">
        <f>IFERROR(__xludf.DUMMYFUNCTION("""COMPUTED_VALUE"""),11360.37189772967)</f>
        <v>11360.3719</v>
      </c>
      <c r="AN35" s="675">
        <f>IFERROR(__xludf.DUMMYFUNCTION("""COMPUTED_VALUE"""),9.933333333333334)</f>
        <v>9.933333333</v>
      </c>
      <c r="AO35" s="675">
        <f>IFERROR(__xludf.DUMMYFUNCTION("""COMPUTED_VALUE"""),4.966666666666667)</f>
        <v>4.966666667</v>
      </c>
      <c r="AP35" s="674">
        <f>IFERROR(__xludf.DUMMYFUNCTION("""COMPUTED_VALUE"""),1860.0)</f>
        <v>1860</v>
      </c>
      <c r="AQ35" s="673">
        <f>IFERROR(__xludf.DUMMYFUNCTION("""COMPUTED_VALUE"""),-0.2)</f>
        <v>-0.2</v>
      </c>
      <c r="AR35" s="673">
        <f>IFERROR(__xludf.DUMMYFUNCTION("""COMPUTED_VALUE"""),0.0)</f>
        <v>0</v>
      </c>
      <c r="AS35" s="673">
        <f>IFERROR(__xludf.DUMMYFUNCTION("""COMPUTED_VALUE"""),0.0)</f>
        <v>0</v>
      </c>
      <c r="AT35" s="673">
        <f>IFERROR(__xludf.DUMMYFUNCTION("""COMPUTED_VALUE"""),0.0)</f>
        <v>0</v>
      </c>
      <c r="AU35" s="673">
        <f>IFERROR(__xludf.DUMMYFUNCTION("""COMPUTED_VALUE"""),0.0)</f>
        <v>0</v>
      </c>
      <c r="AV35" s="673">
        <f>IFERROR(__xludf.DUMMYFUNCTION("""COMPUTED_VALUE"""),0.0)</f>
        <v>0</v>
      </c>
      <c r="AW35" s="139"/>
      <c r="AX35" s="674">
        <f>IFERROR(__xludf.DUMMYFUNCTION("""COMPUTED_VALUE"""),1740.0)</f>
        <v>1740</v>
      </c>
      <c r="AY35" s="688">
        <f>IFERROR(__xludf.DUMMYFUNCTION("""COMPUTED_VALUE"""),13267.028927550084)</f>
        <v>13267.02893</v>
      </c>
      <c r="AZ35" s="674">
        <f>IFERROR(__xludf.DUMMYFUNCTION("""COMPUTED_VALUE"""),1740.0)</f>
        <v>1740</v>
      </c>
      <c r="BA35" s="688">
        <f>IFERROR(__xludf.DUMMYFUNCTION("""COMPUTED_VALUE"""),13267.028927550084)</f>
        <v>13267.02893</v>
      </c>
      <c r="BB35" s="688" t="str">
        <f>IFERROR(__xludf.DUMMYFUNCTION("""COMPUTED_VALUE"""),"-")</f>
        <v>-</v>
      </c>
      <c r="BC35" s="688" t="str">
        <f>IFERROR(__xludf.DUMMYFUNCTION("""COMPUTED_VALUE"""),"#VALUE!")</f>
        <v>#VALUE!</v>
      </c>
      <c r="BD35" s="688" t="str">
        <f>IFERROR(__xludf.DUMMYFUNCTION("""COMPUTED_VALUE"""),"#VALUE!")</f>
        <v>#VALUE!</v>
      </c>
      <c r="BE35" s="674">
        <f>IFERROR(__xludf.DUMMYFUNCTION("""COMPUTED_VALUE"""),1740.0)</f>
        <v>1740</v>
      </c>
      <c r="BF35" s="674">
        <f>IFERROR(__xludf.DUMMYFUNCTION("""COMPUTED_VALUE"""),1240.0)</f>
        <v>1240</v>
      </c>
      <c r="BG35" s="673">
        <f>IFERROR(__xludf.DUMMYFUNCTION("""COMPUTED_VALUE"""),0.0)</f>
        <v>0</v>
      </c>
      <c r="BH35" s="673">
        <f>IFERROR(__xludf.DUMMYFUNCTION("""COMPUTED_VALUE"""),0.3)</f>
        <v>0.3</v>
      </c>
      <c r="BI35" s="673">
        <f>IFERROR(__xludf.DUMMYFUNCTION("""COMPUTED_VALUE"""),0.1)</f>
        <v>0.1</v>
      </c>
      <c r="BJ35" s="673">
        <f>IFERROR(__xludf.DUMMYFUNCTION("""COMPUTED_VALUE"""),0.0)</f>
        <v>0</v>
      </c>
      <c r="BK35" s="673">
        <f>IFERROR(__xludf.DUMMYFUNCTION("""COMPUTED_VALUE"""),0.0)</f>
        <v>0</v>
      </c>
      <c r="BL35" s="673">
        <f>IFERROR(__xludf.DUMMYFUNCTION("""COMPUTED_VALUE"""),0.0)</f>
        <v>0</v>
      </c>
      <c r="BM35" s="674">
        <f>IFERROR(__xludf.DUMMYFUNCTION("""COMPUTED_VALUE"""),50.0)</f>
        <v>50</v>
      </c>
      <c r="BN35" s="674">
        <f>IFERROR(__xludf.DUMMYFUNCTION("""COMPUTED_VALUE"""),50.0)</f>
        <v>50</v>
      </c>
      <c r="BO35" s="675">
        <f>IFERROR(__xludf.DUMMYFUNCTION("""COMPUTED_VALUE"""),0.0)</f>
        <v>0</v>
      </c>
      <c r="BP35" s="675">
        <f>IFERROR(__xludf.DUMMYFUNCTION("""COMPUTED_VALUE"""),1.0)</f>
        <v>1</v>
      </c>
      <c r="BQ35" s="675" t="str">
        <f>IFERROR(__xludf.DUMMYFUNCTION("""COMPUTED_VALUE"""),"※")</f>
        <v>※</v>
      </c>
      <c r="BR35" s="139">
        <f>IFERROR(__xludf.DUMMYFUNCTION("""COMPUTED_VALUE"""),2.0)</f>
        <v>2</v>
      </c>
      <c r="BS35" s="139">
        <f>IFERROR(__xludf.DUMMYFUNCTION("""COMPUTED_VALUE"""),40.0)</f>
        <v>40</v>
      </c>
      <c r="BT35" s="139">
        <f>IFERROR(__xludf.DUMMYFUNCTION("""COMPUTED_VALUE"""),0.29)</f>
        <v>0.29</v>
      </c>
      <c r="BU35" s="139">
        <f>IFERROR(__xludf.DUMMYFUNCTION("""COMPUTED_VALUE"""),0.0)</f>
        <v>0</v>
      </c>
      <c r="BV35" s="139" t="str">
        <f>IFERROR(__xludf.DUMMYFUNCTION("""COMPUTED_VALUE"""),"速")</f>
        <v>速</v>
      </c>
      <c r="BW35" s="139" t="str">
        <f>IFERROR(__xludf.DUMMYFUNCTION("""COMPUTED_VALUE"""),"攻撃UPコマ効果UP")</f>
        <v>攻撃UPコマ効果UP</v>
      </c>
      <c r="BX35" s="139">
        <f>IFERROR(__xludf.DUMMYFUNCTION("""COMPUTED_VALUE"""),20.0)</f>
        <v>20</v>
      </c>
      <c r="BY35" s="139">
        <f>IFERROR(__xludf.DUMMYFUNCTION("""COMPUTED_VALUE"""),0.0)</f>
        <v>0</v>
      </c>
      <c r="BZ35" s="139" t="str">
        <f>IFERROR(__xludf.DUMMYFUNCTION("""COMPUTED_VALUE"""),"-")</f>
        <v>-</v>
      </c>
      <c r="CA35" s="139" t="str">
        <f>IFERROR(__xludf.DUMMYFUNCTION("""COMPUTED_VALUE"""),"-")</f>
        <v>-</v>
      </c>
      <c r="CB35" s="139" t="str">
        <f>IFERROR(__xludf.DUMMYFUNCTION("""COMPUTED_VALUE"""),"-")</f>
        <v>-</v>
      </c>
      <c r="CC35" s="139" t="str">
        <f>IFERROR(__xludf.DUMMYFUNCTION("""COMPUTED_VALUE"""),"近距離")</f>
        <v>近距離</v>
      </c>
      <c r="CD35" s="139" t="str">
        <f>IFERROR(__xludf.DUMMYFUNCTION("""COMPUTED_VALUE"""),"単体")</f>
        <v>単体</v>
      </c>
      <c r="CE35" s="139">
        <f>IFERROR(__xludf.DUMMYFUNCTION("""COMPUTED_VALUE"""),1.0)</f>
        <v>1</v>
      </c>
      <c r="CF35" s="139">
        <f>IFERROR(__xludf.DUMMYFUNCTION("""COMPUTED_VALUE"""),0.4)</f>
        <v>0.4</v>
      </c>
      <c r="CG35" s="139" t="str">
        <f>IFERROR(__xludf.DUMMYFUNCTION("""COMPUTED_VALUE"""),"中距離")</f>
        <v>中距離</v>
      </c>
      <c r="CH35" s="139" t="str">
        <f>IFERROR(__xludf.DUMMYFUNCTION("""COMPUTED_VALUE"""),"単体")</f>
        <v>単体</v>
      </c>
      <c r="CI35" s="139">
        <f>IFERROR(__xludf.DUMMYFUNCTION("""COMPUTED_VALUE"""),1.0)</f>
        <v>1</v>
      </c>
      <c r="CJ35" s="139">
        <f>IFERROR(__xludf.DUMMYFUNCTION("""COMPUTED_VALUE"""),0.3)</f>
        <v>0.3</v>
      </c>
      <c r="CK35" s="139" t="str">
        <f>IFERROR(__xludf.DUMMYFUNCTION("""COMPUTED_VALUE"""),"敵")</f>
        <v>敵</v>
      </c>
      <c r="CL35" s="139" t="str">
        <f>IFERROR(__xludf.DUMMYFUNCTION("""COMPUTED_VALUE"""),"緑")</f>
        <v>緑</v>
      </c>
      <c r="CM35" s="139" t="str">
        <f>IFERROR(__xludf.DUMMYFUNCTION("""COMPUTED_VALUE"""),"All")</f>
        <v>All</v>
      </c>
      <c r="CN35" s="675">
        <f>IFERROR(__xludf.DUMMYFUNCTION("""COMPUTED_VALUE"""),12.257310743660971)</f>
        <v>12.25731074</v>
      </c>
      <c r="CO35" s="139" t="str">
        <f>IFERROR(__xludf.DUMMYFUNCTION("""COMPUTED_VALUE"""),"-")</f>
        <v>-</v>
      </c>
      <c r="CP35" s="139" t="str">
        <f>IFERROR(__xludf.DUMMYFUNCTION("""COMPUTED_VALUE"""),"-")</f>
        <v>-</v>
      </c>
      <c r="CQ35" s="139" t="str">
        <f>IFERROR(__xludf.DUMMYFUNCTION("""COMPUTED_VALUE"""),"-")</f>
        <v>-</v>
      </c>
      <c r="CR35" s="139" t="str">
        <f>IFERROR(__xludf.DUMMYFUNCTION("""COMPUTED_VALUE"""),"-")</f>
        <v>-</v>
      </c>
      <c r="CS35" s="673" t="str">
        <f>IFERROR(__xludf.DUMMYFUNCTION("""COMPUTED_VALUE"""),"キラー攻撃(緑)")</f>
        <v>キラー攻撃(緑)</v>
      </c>
      <c r="CT35" s="139" t="str">
        <f>IFERROR(__xludf.DUMMYFUNCTION("""COMPUTED_VALUE"""),"-")</f>
        <v>-</v>
      </c>
      <c r="CU35" s="139" t="str">
        <f>IFERROR(__xludf.DUMMYFUNCTION("""COMPUTED_VALUE"""),"敵")</f>
        <v>敵</v>
      </c>
      <c r="CV35" s="139" t="str">
        <f>IFERROR(__xludf.DUMMYFUNCTION("""COMPUTED_VALUE"""),"緑")</f>
        <v>緑</v>
      </c>
      <c r="CW35" s="139" t="str">
        <f>IFERROR(__xludf.DUMMYFUNCTION("""COMPUTED_VALUE"""),"All")</f>
        <v>All</v>
      </c>
      <c r="CX35" s="674">
        <f>IFERROR(__xludf.DUMMYFUNCTION("""COMPUTED_VALUE"""),150.0)</f>
        <v>150</v>
      </c>
      <c r="CY35" s="139" t="str">
        <f>IFERROR(__xludf.DUMMYFUNCTION("""COMPUTED_VALUE"""),"-")</f>
        <v>-</v>
      </c>
      <c r="CZ35" s="688">
        <f>IFERROR(__xludf.DUMMYFUNCTION("""COMPUTED_VALUE"""),29851.0)</f>
        <v>29851</v>
      </c>
      <c r="DA35" s="688">
        <f>IFERROR(__xludf.DUMMYFUNCTION("""COMPUTED_VALUE"""),2583.813221624041)</f>
        <v>2583.813222</v>
      </c>
      <c r="DB35" s="688">
        <f>IFERROR(__xludf.DUMMYFUNCTION("""COMPUTED_VALUE"""),0.0)</f>
        <v>0</v>
      </c>
      <c r="DC35" s="139" t="str">
        <f>IFERROR(__xludf.DUMMYFUNCTION("""COMPUTED_VALUE"""),"-")</f>
        <v>-</v>
      </c>
      <c r="DD35" s="673" t="str">
        <f>IFERROR(__xludf.DUMMYFUNCTION("""COMPUTED_VALUE"""),"-")</f>
        <v>-</v>
      </c>
      <c r="DE35" s="139" t="str">
        <f>IFERROR(__xludf.DUMMYFUNCTION("""COMPUTED_VALUE"""),"-")</f>
        <v>-</v>
      </c>
      <c r="DF35" s="139" t="str">
        <f>IFERROR(__xludf.DUMMYFUNCTION("""COMPUTED_VALUE"""),"-")</f>
        <v>-</v>
      </c>
      <c r="DG35" s="139" t="str">
        <f>IFERROR(__xludf.DUMMYFUNCTION("""COMPUTED_VALUE"""),"-")</f>
        <v>-</v>
      </c>
      <c r="DH35" s="139" t="str">
        <f>IFERROR(__xludf.DUMMYFUNCTION("""COMPUTED_VALUE"""),"-")</f>
        <v>-</v>
      </c>
      <c r="DI35" s="139" t="str">
        <f>IFERROR(__xludf.DUMMYFUNCTION("""COMPUTED_VALUE"""),"-")</f>
        <v>-</v>
      </c>
      <c r="DJ35" s="139" t="str">
        <f>IFERROR(__xludf.DUMMYFUNCTION("""COMPUTED_VALUE"""),"-")</f>
        <v>-</v>
      </c>
    </row>
    <row r="36">
      <c r="A36" s="139" t="str">
        <f>IFERROR(__xludf.DUMMYFUNCTION("""COMPUTED_VALUE"""),"阿波連さんははかれない")</f>
        <v>阿波連さんははかれない</v>
      </c>
      <c r="B36" s="139" t="str">
        <f>IFERROR(__xludf.DUMMYFUNCTION("""COMPUTED_VALUE"""),"阿波連 れいな")</f>
        <v>阿波連 れいな</v>
      </c>
      <c r="C36" s="139" t="str">
        <f>IFERROR(__xludf.DUMMYFUNCTION("""COMPUTED_VALUE"""),"chara_aha_00101")</f>
        <v>chara_aha_00101</v>
      </c>
      <c r="D36" s="139" t="str">
        <f>IFERROR(__xludf.DUMMYFUNCTION("""COMPUTED_VALUE"""),"PremiumSSR")</f>
        <v>PremiumSSR</v>
      </c>
      <c r="E36" s="139" t="str">
        <f>IFERROR(__xludf.DUMMYFUNCTION("""COMPUTED_VALUE"""),"黄")</f>
        <v>黄</v>
      </c>
      <c r="F36" s="139" t="str">
        <f>IFERROR(__xludf.DUMMYFUNCTION("""COMPUTED_VALUE"""),"サポート")</f>
        <v>サポート</v>
      </c>
      <c r="G36" s="139" t="str">
        <f>IFERROR(__xludf.DUMMYFUNCTION("""COMPUTED_VALUE"""),"近距離")</f>
        <v>近距離</v>
      </c>
      <c r="H36" s="139" t="str">
        <f>IFERROR(__xludf.DUMMYFUNCTION("""COMPUTED_VALUE"""),"dageki_1")</f>
        <v>dageki_1</v>
      </c>
      <c r="I36" s="139" t="str">
        <f>IFERROR(__xludf.DUMMYFUNCTION("""COMPUTED_VALUE"""),"-")</f>
        <v>-</v>
      </c>
      <c r="J36" s="139" t="str">
        <f>IFERROR(__xludf.DUMMYFUNCTION("""COMPUTED_VALUE"""),"202509010_リリース")</f>
        <v>202509010_リリース</v>
      </c>
      <c r="K36" s="139" t="str">
        <f>IFERROR(__xludf.DUMMYFUNCTION("""COMPUTED_VALUE"""),"リリース時")</f>
        <v>リリース時</v>
      </c>
      <c r="L36" s="687" t="str">
        <f>IFERROR(__xludf.DUMMYFUNCTION("""COMPUTED_VALUE"""),"※")</f>
        <v>※</v>
      </c>
      <c r="M36" s="674">
        <f>IFERROR(__xludf.DUMMYFUNCTION("""COMPUTED_VALUE"""),620.0)</f>
        <v>620</v>
      </c>
      <c r="N36" s="139">
        <f>IFERROR(__xludf.DUMMYFUNCTION("""COMPUTED_VALUE"""),600.0)</f>
        <v>600</v>
      </c>
      <c r="O36" s="139" t="str">
        <f>IFERROR(__xludf.DUMMYFUNCTION("""COMPUTED_VALUE"""),"中コスト")</f>
        <v>中コスト</v>
      </c>
      <c r="P36" s="139">
        <f>IFERROR(__xludf.DUMMYFUNCTION("""COMPUTED_VALUE"""),0.0)</f>
        <v>0</v>
      </c>
      <c r="Q36" s="675">
        <f>IFERROR(__xludf.DUMMYFUNCTION("""COMPUTED_VALUE"""),10.0)</f>
        <v>10</v>
      </c>
      <c r="R36" s="675">
        <f>IFERROR(__xludf.DUMMYFUNCTION("""COMPUTED_VALUE"""),10.0)</f>
        <v>10</v>
      </c>
      <c r="S36" s="675">
        <f>IFERROR(__xludf.DUMMYFUNCTION("""COMPUTED_VALUE"""),13.0)</f>
        <v>13</v>
      </c>
      <c r="T36" s="674">
        <f>IFERROR(__xludf.DUMMYFUNCTION("""COMPUTED_VALUE"""),410.0)</f>
        <v>410</v>
      </c>
      <c r="U36" s="675">
        <f>IFERROR(__xludf.DUMMYFUNCTION("""COMPUTED_VALUE"""),8.213333333333335)</f>
        <v>8.213333333</v>
      </c>
      <c r="V36" s="675">
        <f>IFERROR(__xludf.DUMMYFUNCTION("""COMPUTED_VALUE"""),0.0)</f>
        <v>0</v>
      </c>
      <c r="W36" s="675">
        <f>IFERROR(__xludf.DUMMYFUNCTION("""COMPUTED_VALUE"""),0.0)</f>
        <v>0</v>
      </c>
      <c r="X36" s="675">
        <f>IFERROR(__xludf.DUMMYFUNCTION("""COMPUTED_VALUE"""),0.0)</f>
        <v>0</v>
      </c>
      <c r="Y36" s="674">
        <f>IFERROR(__xludf.DUMMYFUNCTION("""COMPUTED_VALUE"""),215.0)</f>
        <v>215</v>
      </c>
      <c r="Z36" s="675">
        <f>IFERROR(__xludf.DUMMYFUNCTION("""COMPUTED_VALUE"""),4.293333333333333)</f>
        <v>4.293333333</v>
      </c>
      <c r="AA36" s="675">
        <f>IFERROR(__xludf.DUMMYFUNCTION("""COMPUTED_VALUE"""),0.0)</f>
        <v>0</v>
      </c>
      <c r="AB36" s="673">
        <f>IFERROR(__xludf.DUMMYFUNCTION("""COMPUTED_VALUE"""),0.0)</f>
        <v>0</v>
      </c>
      <c r="AC36" s="675">
        <f>IFERROR(__xludf.DUMMYFUNCTION("""COMPUTED_VALUE"""),0.0)</f>
        <v>0</v>
      </c>
      <c r="AD36" s="674">
        <f>IFERROR(__xludf.DUMMYFUNCTION("""COMPUTED_VALUE"""),1130.0)</f>
        <v>1130</v>
      </c>
      <c r="AE36" s="675">
        <f>IFERROR(__xludf.DUMMYFUNCTION("""COMPUTED_VALUE"""),22.627009613872254)</f>
        <v>22.62700961</v>
      </c>
      <c r="AF36" s="675">
        <f>IFERROR(__xludf.DUMMYFUNCTION("""COMPUTED_VALUE"""),0.0)</f>
        <v>0</v>
      </c>
      <c r="AG36" s="675">
        <f>IFERROR(__xludf.DUMMYFUNCTION("""COMPUTED_VALUE"""),12.0)</f>
        <v>12</v>
      </c>
      <c r="AH36" s="675">
        <f>IFERROR(__xludf.DUMMYFUNCTION("""COMPUTED_VALUE"""),0.0)</f>
        <v>0</v>
      </c>
      <c r="AI36" s="675">
        <f>IFERROR(__xludf.DUMMYFUNCTION("""COMPUTED_VALUE"""),8.0)</f>
        <v>8</v>
      </c>
      <c r="AJ36" s="675">
        <f>IFERROR(__xludf.DUMMYFUNCTION("""COMPUTED_VALUE"""),14.627009613872254)</f>
        <v>14.62700961</v>
      </c>
      <c r="AK36" s="139">
        <f>IFERROR(__xludf.DUMMYFUNCTION("""COMPUTED_VALUE"""),1.0)</f>
        <v>1</v>
      </c>
      <c r="AL36" s="674">
        <f>IFERROR(__xludf.DUMMYFUNCTION("""COMPUTED_VALUE"""),1120.0)</f>
        <v>1120</v>
      </c>
      <c r="AM36" s="688">
        <f>IFERROR(__xludf.DUMMYFUNCTION("""COMPUTED_VALUE"""),8539.671493595457)</f>
        <v>8539.671494</v>
      </c>
      <c r="AN36" s="675">
        <f>IFERROR(__xludf.DUMMYFUNCTION("""COMPUTED_VALUE"""),7.466666666666667)</f>
        <v>7.466666667</v>
      </c>
      <c r="AO36" s="675">
        <f>IFERROR(__xludf.DUMMYFUNCTION("""COMPUTED_VALUE"""),3.7333333333333334)</f>
        <v>3.733333333</v>
      </c>
      <c r="AP36" s="674">
        <f>IFERROR(__xludf.DUMMYFUNCTION("""COMPUTED_VALUE"""),1860.0)</f>
        <v>1860</v>
      </c>
      <c r="AQ36" s="673">
        <f>IFERROR(__xludf.DUMMYFUNCTION("""COMPUTED_VALUE"""),-0.4)</f>
        <v>-0.4</v>
      </c>
      <c r="AR36" s="673">
        <f>IFERROR(__xludf.DUMMYFUNCTION("""COMPUTED_VALUE"""),0.0)</f>
        <v>0</v>
      </c>
      <c r="AS36" s="673">
        <f>IFERROR(__xludf.DUMMYFUNCTION("""COMPUTED_VALUE"""),0.0)</f>
        <v>0</v>
      </c>
      <c r="AT36" s="673">
        <f>IFERROR(__xludf.DUMMYFUNCTION("""COMPUTED_VALUE"""),0.0)</f>
        <v>0</v>
      </c>
      <c r="AU36" s="673">
        <f>IFERROR(__xludf.DUMMYFUNCTION("""COMPUTED_VALUE"""),0.0)</f>
        <v>0</v>
      </c>
      <c r="AV36" s="673">
        <f>IFERROR(__xludf.DUMMYFUNCTION("""COMPUTED_VALUE"""),0.0)</f>
        <v>0</v>
      </c>
      <c r="AW36" s="139"/>
      <c r="AX36" s="674">
        <f>IFERROR(__xludf.DUMMYFUNCTION("""COMPUTED_VALUE"""),1310.0)</f>
        <v>1310</v>
      </c>
      <c r="AY36" s="688">
        <f>IFERROR(__xludf.DUMMYFUNCTION("""COMPUTED_VALUE"""),9988.146836258973)</f>
        <v>9988.146836</v>
      </c>
      <c r="AZ36" s="674">
        <f>IFERROR(__xludf.DUMMYFUNCTION("""COMPUTED_VALUE"""),870.0)</f>
        <v>870</v>
      </c>
      <c r="BA36" s="688">
        <f>IFERROR(__xludf.DUMMYFUNCTION("""COMPUTED_VALUE"""),6658.764557505982)</f>
        <v>6658.764558</v>
      </c>
      <c r="BB36" s="688">
        <f>IFERROR(__xludf.DUMMYFUNCTION("""COMPUTED_VALUE"""),7657.579241131879)</f>
        <v>7657.579241</v>
      </c>
      <c r="BC36" s="688" t="str">
        <f>IFERROR(__xludf.DUMMYFUNCTION("""COMPUTED_VALUE"""),"#VALUE!")</f>
        <v>#VALUE!</v>
      </c>
      <c r="BD36" s="688" t="str">
        <f>IFERROR(__xludf.DUMMYFUNCTION("""COMPUTED_VALUE"""),"#VALUE!")</f>
        <v>#VALUE!</v>
      </c>
      <c r="BE36" s="674">
        <f>IFERROR(__xludf.DUMMYFUNCTION("""COMPUTED_VALUE"""),870.0)</f>
        <v>870</v>
      </c>
      <c r="BF36" s="674">
        <f>IFERROR(__xludf.DUMMYFUNCTION("""COMPUTED_VALUE"""),1240.0)</f>
        <v>1240</v>
      </c>
      <c r="BG36" s="673">
        <f>IFERROR(__xludf.DUMMYFUNCTION("""COMPUTED_VALUE"""),0.0)</f>
        <v>0</v>
      </c>
      <c r="BH36" s="673">
        <f>IFERROR(__xludf.DUMMYFUNCTION("""COMPUTED_VALUE"""),-0.3)</f>
        <v>-0.3</v>
      </c>
      <c r="BI36" s="673">
        <f>IFERROR(__xludf.DUMMYFUNCTION("""COMPUTED_VALUE"""),0.0)</f>
        <v>0</v>
      </c>
      <c r="BJ36" s="673">
        <f>IFERROR(__xludf.DUMMYFUNCTION("""COMPUTED_VALUE"""),0.0)</f>
        <v>0</v>
      </c>
      <c r="BK36" s="673">
        <f>IFERROR(__xludf.DUMMYFUNCTION("""COMPUTED_VALUE"""),0.0)</f>
        <v>0</v>
      </c>
      <c r="BL36" s="673">
        <f>IFERROR(__xludf.DUMMYFUNCTION("""COMPUTED_VALUE"""),0.0)</f>
        <v>0</v>
      </c>
      <c r="BM36" s="674">
        <f>IFERROR(__xludf.DUMMYFUNCTION("""COMPUTED_VALUE"""),75.0)</f>
        <v>75</v>
      </c>
      <c r="BN36" s="674">
        <f>IFERROR(__xludf.DUMMYFUNCTION("""COMPUTED_VALUE"""),75.0)</f>
        <v>75</v>
      </c>
      <c r="BO36" s="675">
        <f>IFERROR(__xludf.DUMMYFUNCTION("""COMPUTED_VALUE"""),0.0)</f>
        <v>0</v>
      </c>
      <c r="BP36" s="675">
        <f>IFERROR(__xludf.DUMMYFUNCTION("""COMPUTED_VALUE"""),1.5)</f>
        <v>1.5</v>
      </c>
      <c r="BQ36" s="675" t="str">
        <f>IFERROR(__xludf.DUMMYFUNCTION("""COMPUTED_VALUE"""),"※")</f>
        <v>※</v>
      </c>
      <c r="BR36" s="139">
        <f>IFERROR(__xludf.DUMMYFUNCTION("""COMPUTED_VALUE"""),2.0)</f>
        <v>2</v>
      </c>
      <c r="BS36" s="139">
        <f>IFERROR(__xludf.DUMMYFUNCTION("""COMPUTED_VALUE"""),35.0)</f>
        <v>35</v>
      </c>
      <c r="BT36" s="139">
        <f>IFERROR(__xludf.DUMMYFUNCTION("""COMPUTED_VALUE"""),0.27)</f>
        <v>0.27</v>
      </c>
      <c r="BU36" s="139">
        <f>IFERROR(__xludf.DUMMYFUNCTION("""COMPUTED_VALUE"""),0.0)</f>
        <v>0</v>
      </c>
      <c r="BV36" s="139" t="str">
        <f>IFERROR(__xludf.DUMMYFUNCTION("""COMPUTED_VALUE"""),"普通")</f>
        <v>普通</v>
      </c>
      <c r="BW36" s="139" t="str">
        <f>IFERROR(__xludf.DUMMYFUNCTION("""COMPUTED_VALUE"""),"ダメージコマ無効化")</f>
        <v>ダメージコマ無効化</v>
      </c>
      <c r="BX36" s="139" t="str">
        <f>IFERROR(__xludf.DUMMYFUNCTION("""COMPUTED_VALUE"""),"-")</f>
        <v>-</v>
      </c>
      <c r="BY36" s="139">
        <f>IFERROR(__xludf.DUMMYFUNCTION("""COMPUTED_VALUE"""),0.0)</f>
        <v>0</v>
      </c>
      <c r="BZ36" s="139" t="str">
        <f>IFERROR(__xludf.DUMMYFUNCTION("""COMPUTED_VALUE"""),"-")</f>
        <v>-</v>
      </c>
      <c r="CA36" s="139" t="str">
        <f>IFERROR(__xludf.DUMMYFUNCTION("""COMPUTED_VALUE"""),"-")</f>
        <v>-</v>
      </c>
      <c r="CB36" s="139" t="str">
        <f>IFERROR(__xludf.DUMMYFUNCTION("""COMPUTED_VALUE"""),"-")</f>
        <v>-</v>
      </c>
      <c r="CC36" s="139" t="str">
        <f>IFERROR(__xludf.DUMMYFUNCTION("""COMPUTED_VALUE"""),"近距離")</f>
        <v>近距離</v>
      </c>
      <c r="CD36" s="139" t="str">
        <f>IFERROR(__xludf.DUMMYFUNCTION("""COMPUTED_VALUE"""),"単体")</f>
        <v>単体</v>
      </c>
      <c r="CE36" s="139">
        <f>IFERROR(__xludf.DUMMYFUNCTION("""COMPUTED_VALUE"""),1.0)</f>
        <v>1</v>
      </c>
      <c r="CF36" s="139">
        <f>IFERROR(__xludf.DUMMYFUNCTION("""COMPUTED_VALUE"""),0.28)</f>
        <v>0.28</v>
      </c>
      <c r="CG36" s="139" t="str">
        <f>IFERROR(__xludf.DUMMYFUNCTION("""COMPUTED_VALUE"""),"自身と同じコマにいる味方")</f>
        <v>自身と同じコマにいる味方</v>
      </c>
      <c r="CH36" s="139" t="str">
        <f>IFERROR(__xludf.DUMMYFUNCTION("""COMPUTED_VALUE"""),"範囲(コマ)0")</f>
        <v>範囲(コマ)0</v>
      </c>
      <c r="CI36" s="139" t="str">
        <f>IFERROR(__xludf.DUMMYFUNCTION("""COMPUTED_VALUE"""),"-")</f>
        <v>-</v>
      </c>
      <c r="CJ36" s="139" t="str">
        <f>IFERROR(__xludf.DUMMYFUNCTION("""COMPUTED_VALUE"""),"(コマ)0")</f>
        <v>(コマ)0</v>
      </c>
      <c r="CK36" s="139" t="str">
        <f>IFERROR(__xludf.DUMMYFUNCTION("""COMPUTED_VALUE"""),"味方")</f>
        <v>味方</v>
      </c>
      <c r="CL36" s="139" t="str">
        <f>IFERROR(__xludf.DUMMYFUNCTION("""COMPUTED_VALUE"""),"黄")</f>
        <v>黄</v>
      </c>
      <c r="CM36" s="139" t="str">
        <f>IFERROR(__xludf.DUMMYFUNCTION("""COMPUTED_VALUE"""),"All")</f>
        <v>All</v>
      </c>
      <c r="CN36" s="675">
        <f>IFERROR(__xludf.DUMMYFUNCTION("""COMPUTED_VALUE"""),22.627009613872254)</f>
        <v>22.62700961</v>
      </c>
      <c r="CO36" s="139" t="str">
        <f>IFERROR(__xludf.DUMMYFUNCTION("""COMPUTED_VALUE"""),"-")</f>
        <v>-</v>
      </c>
      <c r="CP36" s="139" t="str">
        <f>IFERROR(__xludf.DUMMYFUNCTION("""COMPUTED_VALUE"""),"-")</f>
        <v>-</v>
      </c>
      <c r="CQ36" s="139" t="str">
        <f>IFERROR(__xludf.DUMMYFUNCTION("""COMPUTED_VALUE"""),"-")</f>
        <v>-</v>
      </c>
      <c r="CR36" s="139" t="str">
        <f>IFERROR(__xludf.DUMMYFUNCTION("""COMPUTED_VALUE"""),"安定型")</f>
        <v>安定型</v>
      </c>
      <c r="CS36" s="673" t="str">
        <f>IFERROR(__xludf.DUMMYFUNCTION("""COMPUTED_VALUE"""),"攻撃力UP(黄)")</f>
        <v>攻撃力UP(黄)</v>
      </c>
      <c r="CT36" s="139" t="str">
        <f>IFERROR(__xludf.DUMMYFUNCTION("""COMPUTED_VALUE"""),"安定型")</f>
        <v>安定型</v>
      </c>
      <c r="CU36" s="139" t="str">
        <f>IFERROR(__xludf.DUMMYFUNCTION("""COMPUTED_VALUE"""),"味方")</f>
        <v>味方</v>
      </c>
      <c r="CV36" s="139" t="str">
        <f>IFERROR(__xludf.DUMMYFUNCTION("""COMPUTED_VALUE"""),"黄")</f>
        <v>黄</v>
      </c>
      <c r="CW36" s="139" t="str">
        <f>IFERROR(__xludf.DUMMYFUNCTION("""COMPUTED_VALUE"""),"All")</f>
        <v>All</v>
      </c>
      <c r="CX36" s="674">
        <f>IFERROR(__xludf.DUMMYFUNCTION("""COMPUTED_VALUE"""),15.0)</f>
        <v>15</v>
      </c>
      <c r="CY36" s="675">
        <f>IFERROR(__xludf.DUMMYFUNCTION("""COMPUTED_VALUE"""),8.0)</f>
        <v>8</v>
      </c>
      <c r="CZ36" s="688" t="str">
        <f>IFERROR(__xludf.DUMMYFUNCTION("""COMPUTED_VALUE"""),"-")</f>
        <v>-</v>
      </c>
      <c r="DA36" s="688">
        <f>IFERROR(__xludf.DUMMYFUNCTION("""COMPUTED_VALUE"""),0.0)</f>
        <v>0</v>
      </c>
      <c r="DB36" s="688">
        <f>IFERROR(__xludf.DUMMYFUNCTION("""COMPUTED_VALUE"""),0.0)</f>
        <v>0</v>
      </c>
      <c r="DC36" s="139" t="str">
        <f>IFERROR(__xludf.DUMMYFUNCTION("""COMPUTED_VALUE"""),"-")</f>
        <v>-</v>
      </c>
      <c r="DD36" s="673" t="str">
        <f>IFERROR(__xludf.DUMMYFUNCTION("""COMPUTED_VALUE"""),"-")</f>
        <v>-</v>
      </c>
      <c r="DE36" s="139" t="str">
        <f>IFERROR(__xludf.DUMMYFUNCTION("""COMPUTED_VALUE"""),"-")</f>
        <v>-</v>
      </c>
      <c r="DF36" s="139" t="str">
        <f>IFERROR(__xludf.DUMMYFUNCTION("""COMPUTED_VALUE"""),"-")</f>
        <v>-</v>
      </c>
      <c r="DG36" s="139" t="str">
        <f>IFERROR(__xludf.DUMMYFUNCTION("""COMPUTED_VALUE"""),"-")</f>
        <v>-</v>
      </c>
      <c r="DH36" s="139" t="str">
        <f>IFERROR(__xludf.DUMMYFUNCTION("""COMPUTED_VALUE"""),"-")</f>
        <v>-</v>
      </c>
      <c r="DI36" s="139" t="str">
        <f>IFERROR(__xludf.DUMMYFUNCTION("""COMPUTED_VALUE"""),"-")</f>
        <v>-</v>
      </c>
      <c r="DJ36" s="139" t="str">
        <f>IFERROR(__xludf.DUMMYFUNCTION("""COMPUTED_VALUE"""),"-")</f>
        <v>-</v>
      </c>
    </row>
    <row r="37">
      <c r="A37" s="139" t="str">
        <f>IFERROR(__xludf.DUMMYFUNCTION("""COMPUTED_VALUE"""),"サマータイムレンダ")</f>
        <v>サマータイムレンダ</v>
      </c>
      <c r="B37" s="139" t="str">
        <f>IFERROR(__xludf.DUMMYFUNCTION("""COMPUTED_VALUE"""),"影のウシオ 小舟 潮")</f>
        <v>影のウシオ 小舟 潮</v>
      </c>
      <c r="C37" s="139" t="str">
        <f>IFERROR(__xludf.DUMMYFUNCTION("""COMPUTED_VALUE"""),"chara_sum_00101")</f>
        <v>chara_sum_00101</v>
      </c>
      <c r="D37" s="139" t="str">
        <f>IFERROR(__xludf.DUMMYFUNCTION("""COMPUTED_VALUE"""),"PremiumUR")</f>
        <v>PremiumUR</v>
      </c>
      <c r="E37" s="139" t="str">
        <f>IFERROR(__xludf.DUMMYFUNCTION("""COMPUTED_VALUE"""),"青")</f>
        <v>青</v>
      </c>
      <c r="F37" s="139" t="str">
        <f>IFERROR(__xludf.DUMMYFUNCTION("""COMPUTED_VALUE"""),"サポート")</f>
        <v>サポート</v>
      </c>
      <c r="G37" s="139" t="str">
        <f>IFERROR(__xludf.DUMMYFUNCTION("""COMPUTED_VALUE"""),"中距離")</f>
        <v>中距離</v>
      </c>
      <c r="H37" s="139" t="str">
        <f>IFERROR(__xludf.DUMMYFUNCTION("""COMPUTED_VALUE"""),"zangeki_1")</f>
        <v>zangeki_1</v>
      </c>
      <c r="I37" s="139" t="str">
        <f>IFERROR(__xludf.DUMMYFUNCTION("""COMPUTED_VALUE"""),"-")</f>
        <v>-</v>
      </c>
      <c r="J37" s="139" t="str">
        <f>IFERROR(__xludf.DUMMYFUNCTION("""COMPUTED_VALUE"""),"202509010_リリース")</f>
        <v>202509010_リリース</v>
      </c>
      <c r="K37" s="139" t="str">
        <f>IFERROR(__xludf.DUMMYFUNCTION("""COMPUTED_VALUE"""),"リリース時")</f>
        <v>リリース時</v>
      </c>
      <c r="L37" s="139" t="str">
        <f>IFERROR(__xludf.DUMMYFUNCTION("""COMPUTED_VALUE"""),"※")</f>
        <v>※</v>
      </c>
      <c r="M37" s="674">
        <f>IFERROR(__xludf.DUMMYFUNCTION("""COMPUTED_VALUE"""),620.0)</f>
        <v>620</v>
      </c>
      <c r="N37" s="139">
        <f>IFERROR(__xludf.DUMMYFUNCTION("""COMPUTED_VALUE"""),600.0)</f>
        <v>600</v>
      </c>
      <c r="O37" s="139" t="str">
        <f>IFERROR(__xludf.DUMMYFUNCTION("""COMPUTED_VALUE"""),"中コスト")</f>
        <v>中コスト</v>
      </c>
      <c r="P37" s="139">
        <f>IFERROR(__xludf.DUMMYFUNCTION("""COMPUTED_VALUE"""),-10.0)</f>
        <v>-10</v>
      </c>
      <c r="Q37" s="675">
        <f>IFERROR(__xludf.DUMMYFUNCTION("""COMPUTED_VALUE"""),10.0)</f>
        <v>10</v>
      </c>
      <c r="R37" s="675">
        <f>IFERROR(__xludf.DUMMYFUNCTION("""COMPUTED_VALUE"""),20.0)</f>
        <v>20</v>
      </c>
      <c r="S37" s="675">
        <f>IFERROR(__xludf.DUMMYFUNCTION("""COMPUTED_VALUE"""),13.0)</f>
        <v>13</v>
      </c>
      <c r="T37" s="674">
        <f>IFERROR(__xludf.DUMMYFUNCTION("""COMPUTED_VALUE"""),310.0)</f>
        <v>310</v>
      </c>
      <c r="U37" s="675">
        <f>IFERROR(__xludf.DUMMYFUNCTION("""COMPUTED_VALUE"""),6.200000000000001)</f>
        <v>6.2</v>
      </c>
      <c r="V37" s="675">
        <f>IFERROR(__xludf.DUMMYFUNCTION("""COMPUTED_VALUE"""),0.0)</f>
        <v>0</v>
      </c>
      <c r="W37" s="675">
        <f>IFERROR(__xludf.DUMMYFUNCTION("""COMPUTED_VALUE"""),-0.6200000000000001)</f>
        <v>-0.62</v>
      </c>
      <c r="X37" s="675">
        <f>IFERROR(__xludf.DUMMYFUNCTION("""COMPUTED_VALUE"""),0.0)</f>
        <v>0</v>
      </c>
      <c r="Y37" s="674">
        <f>IFERROR(__xludf.DUMMYFUNCTION("""COMPUTED_VALUE"""),165.0)</f>
        <v>165</v>
      </c>
      <c r="Z37" s="675">
        <f>IFERROR(__xludf.DUMMYFUNCTION("""COMPUTED_VALUE"""),3.255)</f>
        <v>3.255</v>
      </c>
      <c r="AA37" s="675">
        <f>IFERROR(__xludf.DUMMYFUNCTION("""COMPUTED_VALUE"""),0.0)</f>
        <v>0</v>
      </c>
      <c r="AB37" s="673">
        <f>IFERROR(__xludf.DUMMYFUNCTION("""COMPUTED_VALUE"""),-0.31000000000000005)</f>
        <v>-0.31</v>
      </c>
      <c r="AC37" s="675">
        <f>IFERROR(__xludf.DUMMYFUNCTION("""COMPUTED_VALUE"""),0.0)</f>
        <v>0</v>
      </c>
      <c r="AD37" s="674">
        <f>IFERROR(__xludf.DUMMYFUNCTION("""COMPUTED_VALUE"""),1610.0)</f>
        <v>1610</v>
      </c>
      <c r="AE37" s="675">
        <f>IFERROR(__xludf.DUMMYFUNCTION("""COMPUTED_VALUE"""),32.183749273912454)</f>
        <v>32.18374927</v>
      </c>
      <c r="AF37" s="675">
        <f>IFERROR(__xludf.DUMMYFUNCTION("""COMPUTED_VALUE"""),0.0)</f>
        <v>0</v>
      </c>
      <c r="AG37" s="675">
        <f>IFERROR(__xludf.DUMMYFUNCTION("""COMPUTED_VALUE"""),22.5)</f>
        <v>22.5</v>
      </c>
      <c r="AH37" s="675">
        <f>IFERROR(__xludf.DUMMYFUNCTION("""COMPUTED_VALUE"""),0.0)</f>
        <v>0</v>
      </c>
      <c r="AI37" s="675">
        <f>IFERROR(__xludf.DUMMYFUNCTION("""COMPUTED_VALUE"""),15.0)</f>
        <v>15</v>
      </c>
      <c r="AJ37" s="675">
        <f>IFERROR(__xludf.DUMMYFUNCTION("""COMPUTED_VALUE"""),17.183749273912454)</f>
        <v>17.18374927</v>
      </c>
      <c r="AK37" s="139">
        <f>IFERROR(__xludf.DUMMYFUNCTION("""COMPUTED_VALUE"""),1.0)</f>
        <v>1</v>
      </c>
      <c r="AL37" s="674">
        <f>IFERROR(__xludf.DUMMYFUNCTION("""COMPUTED_VALUE"""),930.0)</f>
        <v>930</v>
      </c>
      <c r="AM37" s="688">
        <f>IFERROR(__xludf.DUMMYFUNCTION("""COMPUTED_VALUE"""),7600.036150931941)</f>
        <v>7600.036151</v>
      </c>
      <c r="AN37" s="675">
        <f>IFERROR(__xludf.DUMMYFUNCTION("""COMPUTED_VALUE"""),6.2)</f>
        <v>6.2</v>
      </c>
      <c r="AO37" s="675">
        <f>IFERROR(__xludf.DUMMYFUNCTION("""COMPUTED_VALUE"""),3.1)</f>
        <v>3.1</v>
      </c>
      <c r="AP37" s="674">
        <f>IFERROR(__xludf.DUMMYFUNCTION("""COMPUTED_VALUE"""),1860.0)</f>
        <v>1860</v>
      </c>
      <c r="AQ37" s="673">
        <f>IFERROR(__xludf.DUMMYFUNCTION("""COMPUTED_VALUE"""),-0.4)</f>
        <v>-0.4</v>
      </c>
      <c r="AR37" s="673">
        <f>IFERROR(__xludf.DUMMYFUNCTION("""COMPUTED_VALUE"""),0.0)</f>
        <v>0</v>
      </c>
      <c r="AS37" s="673">
        <f>IFERROR(__xludf.DUMMYFUNCTION("""COMPUTED_VALUE"""),-0.1)</f>
        <v>-0.1</v>
      </c>
      <c r="AT37" s="673">
        <f>IFERROR(__xludf.DUMMYFUNCTION("""COMPUTED_VALUE"""),0.0)</f>
        <v>0</v>
      </c>
      <c r="AU37" s="673">
        <f>IFERROR(__xludf.DUMMYFUNCTION("""COMPUTED_VALUE"""),0.0)</f>
        <v>0</v>
      </c>
      <c r="AV37" s="673">
        <f>IFERROR(__xludf.DUMMYFUNCTION("""COMPUTED_VALUE"""),0.0)</f>
        <v>0</v>
      </c>
      <c r="AW37" s="139"/>
      <c r="AX37" s="674">
        <f>IFERROR(__xludf.DUMMYFUNCTION("""COMPUTED_VALUE"""),1570.0)</f>
        <v>1570</v>
      </c>
      <c r="AY37" s="688">
        <f>IFERROR(__xludf.DUMMYFUNCTION("""COMPUTED_VALUE"""),12830.894147272204)</f>
        <v>12830.89415</v>
      </c>
      <c r="AZ37" s="674">
        <f>IFERROR(__xludf.DUMMYFUNCTION("""COMPUTED_VALUE"""),870.0)</f>
        <v>870</v>
      </c>
      <c r="BA37" s="688">
        <f>IFERROR(__xludf.DUMMYFUNCTION("""COMPUTED_VALUE"""),7128.274526262335)</f>
        <v>7128.274526</v>
      </c>
      <c r="BB37" s="688" t="str">
        <f>IFERROR(__xludf.DUMMYFUNCTION("""COMPUTED_VALUE"""),"-")</f>
        <v>-</v>
      </c>
      <c r="BC37" s="688" t="str">
        <f>IFERROR(__xludf.DUMMYFUNCTION("""COMPUTED_VALUE"""),"#VALUE!")</f>
        <v>#VALUE!</v>
      </c>
      <c r="BD37" s="688" t="str">
        <f>IFERROR(__xludf.DUMMYFUNCTION("""COMPUTED_VALUE"""),"#VALUE!")</f>
        <v>#VALUE!</v>
      </c>
      <c r="BE37" s="674">
        <f>IFERROR(__xludf.DUMMYFUNCTION("""COMPUTED_VALUE"""),870.0)</f>
        <v>870</v>
      </c>
      <c r="BF37" s="674">
        <f>IFERROR(__xludf.DUMMYFUNCTION("""COMPUTED_VALUE"""),1240.0)</f>
        <v>1240</v>
      </c>
      <c r="BG37" s="673">
        <f>IFERROR(__xludf.DUMMYFUNCTION("""COMPUTED_VALUE"""),0.0)</f>
        <v>0</v>
      </c>
      <c r="BH37" s="673">
        <f>IFERROR(__xludf.DUMMYFUNCTION("""COMPUTED_VALUE"""),-0.3)</f>
        <v>-0.3</v>
      </c>
      <c r="BI37" s="673">
        <f>IFERROR(__xludf.DUMMYFUNCTION("""COMPUTED_VALUE"""),0.0)</f>
        <v>0</v>
      </c>
      <c r="BJ37" s="673">
        <f>IFERROR(__xludf.DUMMYFUNCTION("""COMPUTED_VALUE"""),0.0)</f>
        <v>0</v>
      </c>
      <c r="BK37" s="673">
        <f>IFERROR(__xludf.DUMMYFUNCTION("""COMPUTED_VALUE"""),0.0)</f>
        <v>0</v>
      </c>
      <c r="BL37" s="673">
        <f>IFERROR(__xludf.DUMMYFUNCTION("""COMPUTED_VALUE"""),0.0)</f>
        <v>0</v>
      </c>
      <c r="BM37" s="674">
        <f>IFERROR(__xludf.DUMMYFUNCTION("""COMPUTED_VALUE"""),90.0)</f>
        <v>90</v>
      </c>
      <c r="BN37" s="674">
        <f>IFERROR(__xludf.DUMMYFUNCTION("""COMPUTED_VALUE"""),90.0)</f>
        <v>90</v>
      </c>
      <c r="BO37" s="675">
        <f>IFERROR(__xludf.DUMMYFUNCTION("""COMPUTED_VALUE"""),0.0)</f>
        <v>0</v>
      </c>
      <c r="BP37" s="675">
        <f>IFERROR(__xludf.DUMMYFUNCTION("""COMPUTED_VALUE"""),1.8)</f>
        <v>1.8</v>
      </c>
      <c r="BQ37" s="675" t="str">
        <f>IFERROR(__xludf.DUMMYFUNCTION("""COMPUTED_VALUE"""),"※")</f>
        <v>※</v>
      </c>
      <c r="BR37" s="139">
        <f>IFERROR(__xludf.DUMMYFUNCTION("""COMPUTED_VALUE"""),2.0)</f>
        <v>2</v>
      </c>
      <c r="BS37" s="139">
        <f>IFERROR(__xludf.DUMMYFUNCTION("""COMPUTED_VALUE"""),60.0)</f>
        <v>60</v>
      </c>
      <c r="BT37" s="139">
        <f>IFERROR(__xludf.DUMMYFUNCTION("""COMPUTED_VALUE"""),0.42)</f>
        <v>0.42</v>
      </c>
      <c r="BU37" s="139">
        <f>IFERROR(__xludf.DUMMYFUNCTION("""COMPUTED_VALUE"""),0.0)</f>
        <v>0</v>
      </c>
      <c r="BV37" s="139" t="str">
        <f>IFERROR(__xludf.DUMMYFUNCTION("""COMPUTED_VALUE"""),"速")</f>
        <v>速</v>
      </c>
      <c r="BW37" s="139" t="str">
        <f>IFERROR(__xludf.DUMMYFUNCTION("""COMPUTED_VALUE"""),"ダメージコマ無効化")</f>
        <v>ダメージコマ無効化</v>
      </c>
      <c r="BX37" s="139" t="str">
        <f>IFERROR(__xludf.DUMMYFUNCTION("""COMPUTED_VALUE"""),"-")</f>
        <v>-</v>
      </c>
      <c r="BY37" s="139">
        <f>IFERROR(__xludf.DUMMYFUNCTION("""COMPUTED_VALUE"""),0.0)</f>
        <v>0</v>
      </c>
      <c r="BZ37" s="139" t="str">
        <f>IFERROR(__xludf.DUMMYFUNCTION("""COMPUTED_VALUE"""),"突風コマ無効化")</f>
        <v>突風コマ無効化</v>
      </c>
      <c r="CA37" s="139" t="str">
        <f>IFERROR(__xludf.DUMMYFUNCTION("""COMPUTED_VALUE"""),"-")</f>
        <v>-</v>
      </c>
      <c r="CB37" s="139">
        <f>IFERROR(__xludf.DUMMYFUNCTION("""COMPUTED_VALUE"""),4.0)</f>
        <v>4</v>
      </c>
      <c r="CC37" s="139" t="str">
        <f>IFERROR(__xludf.DUMMYFUNCTION("""COMPUTED_VALUE"""),"中距離")</f>
        <v>中距離</v>
      </c>
      <c r="CD37" s="139" t="str">
        <f>IFERROR(__xludf.DUMMYFUNCTION("""COMPUTED_VALUE"""),"単体")</f>
        <v>単体</v>
      </c>
      <c r="CE37" s="139">
        <f>IFERROR(__xludf.DUMMYFUNCTION("""COMPUTED_VALUE"""),1.0)</f>
        <v>1</v>
      </c>
      <c r="CF37" s="139">
        <f>IFERROR(__xludf.DUMMYFUNCTION("""COMPUTED_VALUE"""),0.43)</f>
        <v>0.43</v>
      </c>
      <c r="CG37" s="139" t="str">
        <f>IFERROR(__xludf.DUMMYFUNCTION("""COMPUTED_VALUE"""),"自身と同じコマにいる味方")</f>
        <v>自身と同じコマにいる味方</v>
      </c>
      <c r="CH37" s="139" t="str">
        <f>IFERROR(__xludf.DUMMYFUNCTION("""COMPUTED_VALUE"""),"範囲(コマ)0")</f>
        <v>範囲(コマ)0</v>
      </c>
      <c r="CI37" s="139" t="str">
        <f>IFERROR(__xludf.DUMMYFUNCTION("""COMPUTED_VALUE"""),"-")</f>
        <v>-</v>
      </c>
      <c r="CJ37" s="139" t="str">
        <f>IFERROR(__xludf.DUMMYFUNCTION("""COMPUTED_VALUE"""),"(コマ)0")</f>
        <v>(コマ)0</v>
      </c>
      <c r="CK37" s="139" t="str">
        <f>IFERROR(__xludf.DUMMYFUNCTION("""COMPUTED_VALUE"""),"味方")</f>
        <v>味方</v>
      </c>
      <c r="CL37" s="139" t="str">
        <f>IFERROR(__xludf.DUMMYFUNCTION("""COMPUTED_VALUE"""),"青")</f>
        <v>青</v>
      </c>
      <c r="CM37" s="139" t="str">
        <f>IFERROR(__xludf.DUMMYFUNCTION("""COMPUTED_VALUE"""),"All")</f>
        <v>All</v>
      </c>
      <c r="CN37" s="675">
        <f>IFERROR(__xludf.DUMMYFUNCTION("""COMPUTED_VALUE"""),32.183749273912454)</f>
        <v>32.18374927</v>
      </c>
      <c r="CO37" s="139" t="str">
        <f>IFERROR(__xludf.DUMMYFUNCTION("""COMPUTED_VALUE"""),"-")</f>
        <v>-</v>
      </c>
      <c r="CP37" s="139" t="str">
        <f>IFERROR(__xludf.DUMMYFUNCTION("""COMPUTED_VALUE"""),"-")</f>
        <v>-</v>
      </c>
      <c r="CQ37" s="139" t="str">
        <f>IFERROR(__xludf.DUMMYFUNCTION("""COMPUTED_VALUE"""),"-")</f>
        <v>-</v>
      </c>
      <c r="CR37" s="139" t="str">
        <f>IFERROR(__xludf.DUMMYFUNCTION("""COMPUTED_VALUE"""),"超持続型")</f>
        <v>超持続型</v>
      </c>
      <c r="CS37" s="673" t="str">
        <f>IFERROR(__xludf.DUMMYFUNCTION("""COMPUTED_VALUE"""),"ダメージカット(青)")</f>
        <v>ダメージカット(青)</v>
      </c>
      <c r="CT37" s="139" t="str">
        <f>IFERROR(__xludf.DUMMYFUNCTION("""COMPUTED_VALUE"""),"超持続型")</f>
        <v>超持続型</v>
      </c>
      <c r="CU37" s="139" t="str">
        <f>IFERROR(__xludf.DUMMYFUNCTION("""COMPUTED_VALUE"""),"味方")</f>
        <v>味方</v>
      </c>
      <c r="CV37" s="139" t="str">
        <f>IFERROR(__xludf.DUMMYFUNCTION("""COMPUTED_VALUE"""),"青")</f>
        <v>青</v>
      </c>
      <c r="CW37" s="139" t="str">
        <f>IFERROR(__xludf.DUMMYFUNCTION("""COMPUTED_VALUE"""),"All")</f>
        <v>All</v>
      </c>
      <c r="CX37" s="674">
        <f>IFERROR(__xludf.DUMMYFUNCTION("""COMPUTED_VALUE"""),12.0)</f>
        <v>12</v>
      </c>
      <c r="CY37" s="675">
        <f>IFERROR(__xludf.DUMMYFUNCTION("""COMPUTED_VALUE"""),15.0)</f>
        <v>15</v>
      </c>
      <c r="CZ37" s="688" t="str">
        <f>IFERROR(__xludf.DUMMYFUNCTION("""COMPUTED_VALUE"""),"-")</f>
        <v>-</v>
      </c>
      <c r="DA37" s="688">
        <f>IFERROR(__xludf.DUMMYFUNCTION("""COMPUTED_VALUE"""),0.0)</f>
        <v>0</v>
      </c>
      <c r="DB37" s="688">
        <f>IFERROR(__xludf.DUMMYFUNCTION("""COMPUTED_VALUE"""),0.0)</f>
        <v>0</v>
      </c>
      <c r="DC37" s="139" t="str">
        <f>IFERROR(__xludf.DUMMYFUNCTION("""COMPUTED_VALUE"""),"-")</f>
        <v>-</v>
      </c>
      <c r="DD37" s="673" t="str">
        <f>IFERROR(__xludf.DUMMYFUNCTION("""COMPUTED_VALUE"""),"-")</f>
        <v>-</v>
      </c>
      <c r="DE37" s="139" t="str">
        <f>IFERROR(__xludf.DUMMYFUNCTION("""COMPUTED_VALUE"""),"-")</f>
        <v>-</v>
      </c>
      <c r="DF37" s="139" t="str">
        <f>IFERROR(__xludf.DUMMYFUNCTION("""COMPUTED_VALUE"""),"-")</f>
        <v>-</v>
      </c>
      <c r="DG37" s="139" t="str">
        <f>IFERROR(__xludf.DUMMYFUNCTION("""COMPUTED_VALUE"""),"-")</f>
        <v>-</v>
      </c>
      <c r="DH37" s="139" t="str">
        <f>IFERROR(__xludf.DUMMYFUNCTION("""COMPUTED_VALUE"""),"-")</f>
        <v>-</v>
      </c>
      <c r="DI37" s="139" t="str">
        <f>IFERROR(__xludf.DUMMYFUNCTION("""COMPUTED_VALUE"""),"-")</f>
        <v>-</v>
      </c>
      <c r="DJ37" s="139" t="str">
        <f>IFERROR(__xludf.DUMMYFUNCTION("""COMPUTED_VALUE"""),"-")</f>
        <v>-</v>
      </c>
    </row>
    <row r="38">
      <c r="A38" s="139" t="str">
        <f>IFERROR(__xludf.DUMMYFUNCTION("""COMPUTED_VALUE"""),"トマトイプーのリコピン")</f>
        <v>トマトイプーのリコピン</v>
      </c>
      <c r="B38" s="139" t="str">
        <f>IFERROR(__xludf.DUMMYFUNCTION("""COMPUTED_VALUE"""),"甘戸 めめ")</f>
        <v>甘戸 めめ</v>
      </c>
      <c r="C38" s="139" t="str">
        <f>IFERROR(__xludf.DUMMYFUNCTION("""COMPUTED_VALUE"""),"chara_rik_00101")</f>
        <v>chara_rik_00101</v>
      </c>
      <c r="D38" s="139" t="str">
        <f>IFERROR(__xludf.DUMMYFUNCTION("""COMPUTED_VALUE"""),"DropR")</f>
        <v>DropR</v>
      </c>
      <c r="E38" s="139" t="str">
        <f>IFERROR(__xludf.DUMMYFUNCTION("""COMPUTED_VALUE"""),"赤")</f>
        <v>赤</v>
      </c>
      <c r="F38" s="139" t="str">
        <f>IFERROR(__xludf.DUMMYFUNCTION("""COMPUTED_VALUE"""),"サポート")</f>
        <v>サポート</v>
      </c>
      <c r="G38" s="139" t="str">
        <f>IFERROR(__xludf.DUMMYFUNCTION("""COMPUTED_VALUE"""),"中距離")</f>
        <v>中距離</v>
      </c>
      <c r="H38" s="139" t="str">
        <f>IFERROR(__xludf.DUMMYFUNCTION("""COMPUTED_VALUE"""),"dageki_2")</f>
        <v>dageki_2</v>
      </c>
      <c r="I38" s="139" t="str">
        <f>IFERROR(__xludf.DUMMYFUNCTION("""COMPUTED_VALUE"""),"-")</f>
        <v>-</v>
      </c>
      <c r="J38" s="139" t="str">
        <f>IFERROR(__xludf.DUMMYFUNCTION("""COMPUTED_VALUE"""),"202509010_リリース")</f>
        <v>202509010_リリース</v>
      </c>
      <c r="K38" s="139" t="str">
        <f>IFERROR(__xludf.DUMMYFUNCTION("""COMPUTED_VALUE"""),"リリース時")</f>
        <v>リリース時</v>
      </c>
      <c r="L38" s="687" t="str">
        <f>IFERROR(__xludf.DUMMYFUNCTION("""COMPUTED_VALUE"""),"※")</f>
        <v>※</v>
      </c>
      <c r="M38" s="674">
        <f>IFERROR(__xludf.DUMMYFUNCTION("""COMPUTED_VALUE"""),610.0)</f>
        <v>610</v>
      </c>
      <c r="N38" s="139">
        <f>IFERROR(__xludf.DUMMYFUNCTION("""COMPUTED_VALUE"""),600.0)</f>
        <v>600</v>
      </c>
      <c r="O38" s="139" t="str">
        <f>IFERROR(__xludf.DUMMYFUNCTION("""COMPUTED_VALUE"""),"中コスト")</f>
        <v>中コスト</v>
      </c>
      <c r="P38" s="139">
        <f>IFERROR(__xludf.DUMMYFUNCTION("""COMPUTED_VALUE"""),0.0)</f>
        <v>0</v>
      </c>
      <c r="Q38" s="675">
        <f>IFERROR(__xludf.DUMMYFUNCTION("""COMPUTED_VALUE"""),10.0)</f>
        <v>10</v>
      </c>
      <c r="R38" s="675">
        <f>IFERROR(__xludf.DUMMYFUNCTION("""COMPUTED_VALUE"""),0.0)</f>
        <v>0</v>
      </c>
      <c r="S38" s="675">
        <f>IFERROR(__xludf.DUMMYFUNCTION("""COMPUTED_VALUE"""),12.75)</f>
        <v>12.75</v>
      </c>
      <c r="T38" s="674">
        <f>IFERROR(__xludf.DUMMYFUNCTION("""COMPUTED_VALUE"""),335.0)</f>
        <v>335</v>
      </c>
      <c r="U38" s="675">
        <f>IFERROR(__xludf.DUMMYFUNCTION("""COMPUTED_VALUE"""),6.746666666666668)</f>
        <v>6.746666667</v>
      </c>
      <c r="V38" s="675">
        <f>IFERROR(__xludf.DUMMYFUNCTION("""COMPUTED_VALUE"""),0.0)</f>
        <v>0</v>
      </c>
      <c r="W38" s="675">
        <f>IFERROR(__xludf.DUMMYFUNCTION("""COMPUTED_VALUE"""),0.0)</f>
        <v>0</v>
      </c>
      <c r="X38" s="675">
        <f>IFERROR(__xludf.DUMMYFUNCTION("""COMPUTED_VALUE"""),0.0)</f>
        <v>0</v>
      </c>
      <c r="Y38" s="674">
        <f>IFERROR(__xludf.DUMMYFUNCTION("""COMPUTED_VALUE"""),175.0)</f>
        <v>175</v>
      </c>
      <c r="Z38" s="675">
        <f>IFERROR(__xludf.DUMMYFUNCTION("""COMPUTED_VALUE"""),3.526666666666667)</f>
        <v>3.526666667</v>
      </c>
      <c r="AA38" s="675">
        <f>IFERROR(__xludf.DUMMYFUNCTION("""COMPUTED_VALUE"""),0.0)</f>
        <v>0</v>
      </c>
      <c r="AB38" s="673">
        <f>IFERROR(__xludf.DUMMYFUNCTION("""COMPUTED_VALUE"""),0.0)</f>
        <v>0</v>
      </c>
      <c r="AC38" s="675">
        <f>IFERROR(__xludf.DUMMYFUNCTION("""COMPUTED_VALUE"""),0.0)</f>
        <v>0</v>
      </c>
      <c r="AD38" s="674">
        <f>IFERROR(__xludf.DUMMYFUNCTION("""COMPUTED_VALUE"""),1000.0)</f>
        <v>1000</v>
      </c>
      <c r="AE38" s="675">
        <f>IFERROR(__xludf.DUMMYFUNCTION("""COMPUTED_VALUE"""),19.981545393480047)</f>
        <v>19.98154539</v>
      </c>
      <c r="AF38" s="675">
        <f>IFERROR(__xludf.DUMMYFUNCTION("""COMPUTED_VALUE"""),0.0)</f>
        <v>0</v>
      </c>
      <c r="AG38" s="675">
        <f>IFERROR(__xludf.DUMMYFUNCTION("""COMPUTED_VALUE"""),10.350000000000001)</f>
        <v>10.35</v>
      </c>
      <c r="AH38" s="675">
        <f>IFERROR(__xludf.DUMMYFUNCTION("""COMPUTED_VALUE"""),0.0)</f>
        <v>0</v>
      </c>
      <c r="AI38" s="675">
        <f>IFERROR(__xludf.DUMMYFUNCTION("""COMPUTED_VALUE"""),6.9)</f>
        <v>6.9</v>
      </c>
      <c r="AJ38" s="675">
        <f>IFERROR(__xludf.DUMMYFUNCTION("""COMPUTED_VALUE"""),13.081545393480047)</f>
        <v>13.08154539</v>
      </c>
      <c r="AK38" s="139">
        <f>IFERROR(__xludf.DUMMYFUNCTION("""COMPUTED_VALUE"""),1.0)</f>
        <v>1</v>
      </c>
      <c r="AL38" s="674">
        <f>IFERROR(__xludf.DUMMYFUNCTION("""COMPUTED_VALUE"""),920.0)</f>
        <v>920</v>
      </c>
      <c r="AM38" s="688">
        <f>IFERROR(__xludf.DUMMYFUNCTION("""COMPUTED_VALUE"""),6258.945869739126)</f>
        <v>6258.94587</v>
      </c>
      <c r="AN38" s="675">
        <f>IFERROR(__xludf.DUMMYFUNCTION("""COMPUTED_VALUE"""),6.133333333333334)</f>
        <v>6.133333333</v>
      </c>
      <c r="AO38" s="675">
        <f>IFERROR(__xludf.DUMMYFUNCTION("""COMPUTED_VALUE"""),3.066666666666667)</f>
        <v>3.066666667</v>
      </c>
      <c r="AP38" s="674">
        <f>IFERROR(__xludf.DUMMYFUNCTION("""COMPUTED_VALUE"""),1830.0)</f>
        <v>1830</v>
      </c>
      <c r="AQ38" s="673">
        <f>IFERROR(__xludf.DUMMYFUNCTION("""COMPUTED_VALUE"""),-0.4)</f>
        <v>-0.4</v>
      </c>
      <c r="AR38" s="673">
        <f>IFERROR(__xludf.DUMMYFUNCTION("""COMPUTED_VALUE"""),0.0)</f>
        <v>0</v>
      </c>
      <c r="AS38" s="673">
        <f>IFERROR(__xludf.DUMMYFUNCTION("""COMPUTED_VALUE"""),-0.1)</f>
        <v>-0.1</v>
      </c>
      <c r="AT38" s="673">
        <f>IFERROR(__xludf.DUMMYFUNCTION("""COMPUTED_VALUE"""),0.0)</f>
        <v>0</v>
      </c>
      <c r="AU38" s="673">
        <f>IFERROR(__xludf.DUMMYFUNCTION("""COMPUTED_VALUE"""),0.0)</f>
        <v>0</v>
      </c>
      <c r="AV38" s="673">
        <f>IFERROR(__xludf.DUMMYFUNCTION("""COMPUTED_VALUE"""),0.0)</f>
        <v>0</v>
      </c>
      <c r="AW38" s="139"/>
      <c r="AX38" s="674">
        <f>IFERROR(__xludf.DUMMYFUNCTION("""COMPUTED_VALUE"""),1530.0)</f>
        <v>1530</v>
      </c>
      <c r="AY38" s="688">
        <f>IFERROR(__xludf.DUMMYFUNCTION("""COMPUTED_VALUE"""),10409.213022500935)</f>
        <v>10409.21302</v>
      </c>
      <c r="AZ38" s="674">
        <f>IFERROR(__xludf.DUMMYFUNCTION("""COMPUTED_VALUE"""),850.0)</f>
        <v>850</v>
      </c>
      <c r="BA38" s="688">
        <f>IFERROR(__xludf.DUMMYFUNCTION("""COMPUTED_VALUE"""),5782.89612361163)</f>
        <v>5782.896124</v>
      </c>
      <c r="BB38" s="688">
        <f>IFERROR(__xludf.DUMMYFUNCTION("""COMPUTED_VALUE"""),6592.501580917259)</f>
        <v>6592.501581</v>
      </c>
      <c r="BC38" s="688" t="str">
        <f>IFERROR(__xludf.DUMMYFUNCTION("""COMPUTED_VALUE"""),"#VALUE!")</f>
        <v>#VALUE!</v>
      </c>
      <c r="BD38" s="688" t="str">
        <f>IFERROR(__xludf.DUMMYFUNCTION("""COMPUTED_VALUE"""),"#VALUE!")</f>
        <v>#VALUE!</v>
      </c>
      <c r="BE38" s="674">
        <f>IFERROR(__xludf.DUMMYFUNCTION("""COMPUTED_VALUE"""),850.0)</f>
        <v>850</v>
      </c>
      <c r="BF38" s="674">
        <f>IFERROR(__xludf.DUMMYFUNCTION("""COMPUTED_VALUE"""),1220.0)</f>
        <v>1220</v>
      </c>
      <c r="BG38" s="673">
        <f>IFERROR(__xludf.DUMMYFUNCTION("""COMPUTED_VALUE"""),0.0)</f>
        <v>0</v>
      </c>
      <c r="BH38" s="673">
        <f>IFERROR(__xludf.DUMMYFUNCTION("""COMPUTED_VALUE"""),-0.3)</f>
        <v>-0.3</v>
      </c>
      <c r="BI38" s="673">
        <f>IFERROR(__xludf.DUMMYFUNCTION("""COMPUTED_VALUE"""),0.0)</f>
        <v>0</v>
      </c>
      <c r="BJ38" s="673">
        <f>IFERROR(__xludf.DUMMYFUNCTION("""COMPUTED_VALUE"""),0.0)</f>
        <v>0</v>
      </c>
      <c r="BK38" s="673">
        <f>IFERROR(__xludf.DUMMYFUNCTION("""COMPUTED_VALUE"""),0.0)</f>
        <v>0</v>
      </c>
      <c r="BL38" s="673">
        <f>IFERROR(__xludf.DUMMYFUNCTION("""COMPUTED_VALUE"""),0.0)</f>
        <v>0</v>
      </c>
      <c r="BM38" s="674">
        <f>IFERROR(__xludf.DUMMYFUNCTION("""COMPUTED_VALUE"""),90.0)</f>
        <v>90</v>
      </c>
      <c r="BN38" s="674">
        <f>IFERROR(__xludf.DUMMYFUNCTION("""COMPUTED_VALUE"""),90.0)</f>
        <v>90</v>
      </c>
      <c r="BO38" s="675">
        <f>IFERROR(__xludf.DUMMYFUNCTION("""COMPUTED_VALUE"""),0.0)</f>
        <v>0</v>
      </c>
      <c r="BP38" s="675">
        <f>IFERROR(__xludf.DUMMYFUNCTION("""COMPUTED_VALUE"""),1.8)</f>
        <v>1.8</v>
      </c>
      <c r="BQ38" s="675" t="str">
        <f>IFERROR(__xludf.DUMMYFUNCTION("""COMPUTED_VALUE"""),"※")</f>
        <v>※</v>
      </c>
      <c r="BR38" s="139">
        <f>IFERROR(__xludf.DUMMYFUNCTION("""COMPUTED_VALUE"""),2.0)</f>
        <v>2</v>
      </c>
      <c r="BS38" s="139">
        <f>IFERROR(__xludf.DUMMYFUNCTION("""COMPUTED_VALUE"""),35.0)</f>
        <v>35</v>
      </c>
      <c r="BT38" s="139">
        <f>IFERROR(__xludf.DUMMYFUNCTION("""COMPUTED_VALUE"""),0.42)</f>
        <v>0.42</v>
      </c>
      <c r="BU38" s="139">
        <f>IFERROR(__xludf.DUMMYFUNCTION("""COMPUTED_VALUE"""),0.0)</f>
        <v>0</v>
      </c>
      <c r="BV38" s="139" t="str">
        <f>IFERROR(__xludf.DUMMYFUNCTION("""COMPUTED_VALUE"""),"普通")</f>
        <v>普通</v>
      </c>
      <c r="BW38" s="139" t="str">
        <f>IFERROR(__xludf.DUMMYFUNCTION("""COMPUTED_VALUE"""),"-")</f>
        <v>-</v>
      </c>
      <c r="BX38" s="139" t="str">
        <f>IFERROR(__xludf.DUMMYFUNCTION("""COMPUTED_VALUE"""),"-")</f>
        <v>-</v>
      </c>
      <c r="BY38" s="139" t="str">
        <f>IFERROR(__xludf.DUMMYFUNCTION("""COMPUTED_VALUE"""),"-")</f>
        <v>-</v>
      </c>
      <c r="BZ38" s="139" t="str">
        <f>IFERROR(__xludf.DUMMYFUNCTION("""COMPUTED_VALUE"""),"-")</f>
        <v>-</v>
      </c>
      <c r="CA38" s="139" t="str">
        <f>IFERROR(__xludf.DUMMYFUNCTION("""COMPUTED_VALUE"""),"-")</f>
        <v>-</v>
      </c>
      <c r="CB38" s="139" t="str">
        <f>IFERROR(__xludf.DUMMYFUNCTION("""COMPUTED_VALUE"""),"-")</f>
        <v>-</v>
      </c>
      <c r="CC38" s="139" t="str">
        <f>IFERROR(__xludf.DUMMYFUNCTION("""COMPUTED_VALUE"""),"中距離")</f>
        <v>中距離</v>
      </c>
      <c r="CD38" s="139" t="str">
        <f>IFERROR(__xludf.DUMMYFUNCTION("""COMPUTED_VALUE"""),"単体")</f>
        <v>単体</v>
      </c>
      <c r="CE38" s="139">
        <f>IFERROR(__xludf.DUMMYFUNCTION("""COMPUTED_VALUE"""),1.0)</f>
        <v>1</v>
      </c>
      <c r="CF38" s="139">
        <f>IFERROR(__xludf.DUMMYFUNCTION("""COMPUTED_VALUE"""),0.43)</f>
        <v>0.43</v>
      </c>
      <c r="CG38" s="139" t="str">
        <f>IFERROR(__xludf.DUMMYFUNCTION("""COMPUTED_VALUE"""),"自身と同じコマにいる味方")</f>
        <v>自身と同じコマにいる味方</v>
      </c>
      <c r="CH38" s="139" t="str">
        <f>IFERROR(__xludf.DUMMYFUNCTION("""COMPUTED_VALUE"""),"範囲(コマ)0")</f>
        <v>範囲(コマ)0</v>
      </c>
      <c r="CI38" s="139" t="str">
        <f>IFERROR(__xludf.DUMMYFUNCTION("""COMPUTED_VALUE"""),"-")</f>
        <v>-</v>
      </c>
      <c r="CJ38" s="139" t="str">
        <f>IFERROR(__xludf.DUMMYFUNCTION("""COMPUTED_VALUE"""),"(コマ)0")</f>
        <v>(コマ)0</v>
      </c>
      <c r="CK38" s="139" t="str">
        <f>IFERROR(__xludf.DUMMYFUNCTION("""COMPUTED_VALUE"""),"味方")</f>
        <v>味方</v>
      </c>
      <c r="CL38" s="139" t="str">
        <f>IFERROR(__xludf.DUMMYFUNCTION("""COMPUTED_VALUE"""),"赤")</f>
        <v>赤</v>
      </c>
      <c r="CM38" s="139" t="str">
        <f>IFERROR(__xludf.DUMMYFUNCTION("""COMPUTED_VALUE"""),"All")</f>
        <v>All</v>
      </c>
      <c r="CN38" s="675">
        <f>IFERROR(__xludf.DUMMYFUNCTION("""COMPUTED_VALUE"""),19.981545393480047)</f>
        <v>19.98154539</v>
      </c>
      <c r="CO38" s="139" t="str">
        <f>IFERROR(__xludf.DUMMYFUNCTION("""COMPUTED_VALUE"""),"-")</f>
        <v>-</v>
      </c>
      <c r="CP38" s="139" t="str">
        <f>IFERROR(__xludf.DUMMYFUNCTION("""COMPUTED_VALUE"""),"-")</f>
        <v>-</v>
      </c>
      <c r="CQ38" s="139" t="str">
        <f>IFERROR(__xludf.DUMMYFUNCTION("""COMPUTED_VALUE"""),"-")</f>
        <v>-</v>
      </c>
      <c r="CR38" s="139" t="str">
        <f>IFERROR(__xludf.DUMMYFUNCTION("""COMPUTED_VALUE"""),"安定型")</f>
        <v>安定型</v>
      </c>
      <c r="CS38" s="673" t="str">
        <f>IFERROR(__xludf.DUMMYFUNCTION("""COMPUTED_VALUE"""),"攻撃力UP(赤)")</f>
        <v>攻撃力UP(赤)</v>
      </c>
      <c r="CT38" s="139" t="str">
        <f>IFERROR(__xludf.DUMMYFUNCTION("""COMPUTED_VALUE"""),"安定型")</f>
        <v>安定型</v>
      </c>
      <c r="CU38" s="139" t="str">
        <f>IFERROR(__xludf.DUMMYFUNCTION("""COMPUTED_VALUE"""),"味方")</f>
        <v>味方</v>
      </c>
      <c r="CV38" s="139" t="str">
        <f>IFERROR(__xludf.DUMMYFUNCTION("""COMPUTED_VALUE"""),"赤")</f>
        <v>赤</v>
      </c>
      <c r="CW38" s="139" t="str">
        <f>IFERROR(__xludf.DUMMYFUNCTION("""COMPUTED_VALUE"""),"All")</f>
        <v>All</v>
      </c>
      <c r="CX38" s="674">
        <f>IFERROR(__xludf.DUMMYFUNCTION("""COMPUTED_VALUE"""),14.0)</f>
        <v>14</v>
      </c>
      <c r="CY38" s="675">
        <f>IFERROR(__xludf.DUMMYFUNCTION("""COMPUTED_VALUE"""),6.9)</f>
        <v>6.9</v>
      </c>
      <c r="CZ38" s="688" t="str">
        <f>IFERROR(__xludf.DUMMYFUNCTION("""COMPUTED_VALUE"""),"-")</f>
        <v>-</v>
      </c>
      <c r="DA38" s="688">
        <f>IFERROR(__xludf.DUMMYFUNCTION("""COMPUTED_VALUE"""),0.0)</f>
        <v>0</v>
      </c>
      <c r="DB38" s="688">
        <f>IFERROR(__xludf.DUMMYFUNCTION("""COMPUTED_VALUE"""),0.0)</f>
        <v>0</v>
      </c>
      <c r="DC38" s="139" t="str">
        <f>IFERROR(__xludf.DUMMYFUNCTION("""COMPUTED_VALUE"""),"-")</f>
        <v>-</v>
      </c>
      <c r="DD38" s="673" t="str">
        <f>IFERROR(__xludf.DUMMYFUNCTION("""COMPUTED_VALUE"""),"-")</f>
        <v>-</v>
      </c>
      <c r="DE38" s="139" t="str">
        <f>IFERROR(__xludf.DUMMYFUNCTION("""COMPUTED_VALUE"""),"-")</f>
        <v>-</v>
      </c>
      <c r="DF38" s="139" t="str">
        <f>IFERROR(__xludf.DUMMYFUNCTION("""COMPUTED_VALUE"""),"-")</f>
        <v>-</v>
      </c>
      <c r="DG38" s="139" t="str">
        <f>IFERROR(__xludf.DUMMYFUNCTION("""COMPUTED_VALUE"""),"-")</f>
        <v>-</v>
      </c>
      <c r="DH38" s="139" t="str">
        <f>IFERROR(__xludf.DUMMYFUNCTION("""COMPUTED_VALUE"""),"-")</f>
        <v>-</v>
      </c>
      <c r="DI38" s="139" t="str">
        <f>IFERROR(__xludf.DUMMYFUNCTION("""COMPUTED_VALUE"""),"-")</f>
        <v>-</v>
      </c>
      <c r="DJ38" s="139" t="str">
        <f>IFERROR(__xludf.DUMMYFUNCTION("""COMPUTED_VALUE"""),"-")</f>
        <v>-</v>
      </c>
    </row>
    <row r="39">
      <c r="A39" s="139" t="str">
        <f>IFERROR(__xludf.DUMMYFUNCTION("""COMPUTED_VALUE"""),"ラーメン赤猫")</f>
        <v>ラーメン赤猫</v>
      </c>
      <c r="B39" s="139" t="str">
        <f>IFERROR(__xludf.DUMMYFUNCTION("""COMPUTED_VALUE"""),"佐々木")</f>
        <v>佐々木</v>
      </c>
      <c r="C39" s="139" t="str">
        <f>IFERROR(__xludf.DUMMYFUNCTION("""COMPUTED_VALUE"""),"chara_aka_00001")</f>
        <v>chara_aka_00001</v>
      </c>
      <c r="D39" s="139" t="str">
        <f>IFERROR(__xludf.DUMMYFUNCTION("""COMPUTED_VALUE"""),"PremiumR")</f>
        <v>PremiumR</v>
      </c>
      <c r="E39" s="139" t="str">
        <f>IFERROR(__xludf.DUMMYFUNCTION("""COMPUTED_VALUE"""),"赤")</f>
        <v>赤</v>
      </c>
      <c r="F39" s="139" t="str">
        <f>IFERROR(__xludf.DUMMYFUNCTION("""COMPUTED_VALUE"""),"ディフェンス")</f>
        <v>ディフェンス</v>
      </c>
      <c r="G39" s="139" t="str">
        <f>IFERROR(__xludf.DUMMYFUNCTION("""COMPUTED_VALUE"""),"近距離")</f>
        <v>近距離</v>
      </c>
      <c r="H39" s="139" t="str">
        <f>IFERROR(__xludf.DUMMYFUNCTION("""COMPUTED_VALUE"""),"dageki_1")</f>
        <v>dageki_1</v>
      </c>
      <c r="I39" s="139" t="str">
        <f>IFERROR(__xludf.DUMMYFUNCTION("""COMPUTED_VALUE"""),"zangeki_1")</f>
        <v>zangeki_1</v>
      </c>
      <c r="J39" s="139" t="str">
        <f>IFERROR(__xludf.DUMMYFUNCTION("""COMPUTED_VALUE"""),"202509010_リリース")</f>
        <v>202509010_リリース</v>
      </c>
      <c r="K39" s="139" t="str">
        <f>IFERROR(__xludf.DUMMYFUNCTION("""COMPUTED_VALUE"""),"リリース時")</f>
        <v>リリース時</v>
      </c>
      <c r="L39" s="139" t="str">
        <f>IFERROR(__xludf.DUMMYFUNCTION("""COMPUTED_VALUE"""),"※")</f>
        <v>※</v>
      </c>
      <c r="M39" s="674">
        <f>IFERROR(__xludf.DUMMYFUNCTION("""COMPUTED_VALUE"""),560.0)</f>
        <v>560</v>
      </c>
      <c r="N39" s="139">
        <f>IFERROR(__xludf.DUMMYFUNCTION("""COMPUTED_VALUE"""),600.0)</f>
        <v>600</v>
      </c>
      <c r="O39" s="139" t="str">
        <f>IFERROR(__xludf.DUMMYFUNCTION("""COMPUTED_VALUE"""),"中コスト")</f>
        <v>中コスト</v>
      </c>
      <c r="P39" s="139">
        <f>IFERROR(__xludf.DUMMYFUNCTION("""COMPUTED_VALUE"""),-50.0)</f>
        <v>-50</v>
      </c>
      <c r="Q39" s="675">
        <f>IFERROR(__xludf.DUMMYFUNCTION("""COMPUTED_VALUE"""),10.0)</f>
        <v>10</v>
      </c>
      <c r="R39" s="675">
        <f>IFERROR(__xludf.DUMMYFUNCTION("""COMPUTED_VALUE"""),0.0)</f>
        <v>0</v>
      </c>
      <c r="S39" s="675">
        <f>IFERROR(__xludf.DUMMYFUNCTION("""COMPUTED_VALUE"""),11.5)</f>
        <v>11.5</v>
      </c>
      <c r="T39" s="674">
        <f>IFERROR(__xludf.DUMMYFUNCTION("""COMPUTED_VALUE"""),1170.0)</f>
        <v>1170</v>
      </c>
      <c r="U39" s="675">
        <f>IFERROR(__xludf.DUMMYFUNCTION("""COMPUTED_VALUE"""),23.393333333333334)</f>
        <v>23.39333333</v>
      </c>
      <c r="V39" s="675">
        <f>IFERROR(__xludf.DUMMYFUNCTION("""COMPUTED_VALUE"""),0.0)</f>
        <v>0</v>
      </c>
      <c r="W39" s="675">
        <f>IFERROR(__xludf.DUMMYFUNCTION("""COMPUTED_VALUE"""),0.0)</f>
        <v>0</v>
      </c>
      <c r="X39" s="675">
        <f>IFERROR(__xludf.DUMMYFUNCTION("""COMPUTED_VALUE"""),0.0)</f>
        <v>0</v>
      </c>
      <c r="Y39" s="674">
        <f>IFERROR(__xludf.DUMMYFUNCTION("""COMPUTED_VALUE"""),610.0)</f>
        <v>610</v>
      </c>
      <c r="Z39" s="675">
        <f>IFERROR(__xludf.DUMMYFUNCTION("""COMPUTED_VALUE"""),12.228333333333332)</f>
        <v>12.22833333</v>
      </c>
      <c r="AA39" s="675">
        <f>IFERROR(__xludf.DUMMYFUNCTION("""COMPUTED_VALUE"""),0.0)</f>
        <v>0</v>
      </c>
      <c r="AB39" s="673">
        <f>IFERROR(__xludf.DUMMYFUNCTION("""COMPUTED_VALUE"""),0.0)</f>
        <v>0</v>
      </c>
      <c r="AC39" s="675">
        <f>IFERROR(__xludf.DUMMYFUNCTION("""COMPUTED_VALUE"""),0.0)</f>
        <v>0</v>
      </c>
      <c r="AD39" s="674">
        <f>IFERROR(__xludf.DUMMYFUNCTION("""COMPUTED_VALUE"""),1345.0)</f>
        <v>1345</v>
      </c>
      <c r="AE39" s="675">
        <f>IFERROR(__xludf.DUMMYFUNCTION("""COMPUTED_VALUE"""),26.902253623070315)</f>
        <v>26.90225362</v>
      </c>
      <c r="AF39" s="675">
        <f>IFERROR(__xludf.DUMMYFUNCTION("""COMPUTED_VALUE"""),0.0)</f>
        <v>0</v>
      </c>
      <c r="AG39" s="675">
        <f>IFERROR(__xludf.DUMMYFUNCTION("""COMPUTED_VALUE"""),8.967417874356771)</f>
        <v>8.967417874</v>
      </c>
      <c r="AH39" s="675">
        <f>IFERROR(__xludf.DUMMYFUNCTION("""COMPUTED_VALUE"""),0.0)</f>
        <v>0</v>
      </c>
      <c r="AI39" s="139" t="str">
        <f>IFERROR(__xludf.DUMMYFUNCTION("""COMPUTED_VALUE"""),"-")</f>
        <v>-</v>
      </c>
      <c r="AJ39" s="139" t="str">
        <f>IFERROR(__xludf.DUMMYFUNCTION("""COMPUTED_VALUE"""),"-")</f>
        <v>-</v>
      </c>
      <c r="AK39" s="139">
        <f>IFERROR(__xludf.DUMMYFUNCTION("""COMPUTED_VALUE"""),1.0)</f>
        <v>1</v>
      </c>
      <c r="AL39" s="674">
        <f>IFERROR(__xludf.DUMMYFUNCTION("""COMPUTED_VALUE"""),3190.0)</f>
        <v>3190</v>
      </c>
      <c r="AM39" s="688">
        <f>IFERROR(__xludf.DUMMYFUNCTION("""COMPUTED_VALUE"""),22751.879700508493)</f>
        <v>22751.8797</v>
      </c>
      <c r="AN39" s="675">
        <f>IFERROR(__xludf.DUMMYFUNCTION("""COMPUTED_VALUE"""),21.266666666666666)</f>
        <v>21.26666667</v>
      </c>
      <c r="AO39" s="675">
        <f>IFERROR(__xludf.DUMMYFUNCTION("""COMPUTED_VALUE"""),10.633333333333333)</f>
        <v>10.63333333</v>
      </c>
      <c r="AP39" s="674">
        <f>IFERROR(__xludf.DUMMYFUNCTION("""COMPUTED_VALUE"""),1680.0)</f>
        <v>1680</v>
      </c>
      <c r="AQ39" s="673">
        <f>IFERROR(__xludf.DUMMYFUNCTION("""COMPUTED_VALUE"""),0.9)</f>
        <v>0.9</v>
      </c>
      <c r="AR39" s="673">
        <f>IFERROR(__xludf.DUMMYFUNCTION("""COMPUTED_VALUE"""),0.0)</f>
        <v>0</v>
      </c>
      <c r="AS39" s="673">
        <f>IFERROR(__xludf.DUMMYFUNCTION("""COMPUTED_VALUE"""),0.0)</f>
        <v>0</v>
      </c>
      <c r="AT39" s="673">
        <f>IFERROR(__xludf.DUMMYFUNCTION("""COMPUTED_VALUE"""),0.0)</f>
        <v>0</v>
      </c>
      <c r="AU39" s="673">
        <f>IFERROR(__xludf.DUMMYFUNCTION("""COMPUTED_VALUE"""),0.0)</f>
        <v>0</v>
      </c>
      <c r="AV39" s="673">
        <f>IFERROR(__xludf.DUMMYFUNCTION("""COMPUTED_VALUE"""),0.0)</f>
        <v>0</v>
      </c>
      <c r="AW39" s="139"/>
      <c r="AX39" s="674">
        <f>IFERROR(__xludf.DUMMYFUNCTION("""COMPUTED_VALUE"""),1120.0)</f>
        <v>1120</v>
      </c>
      <c r="AY39" s="688">
        <f>IFERROR(__xludf.DUMMYFUNCTION("""COMPUTED_VALUE"""),7987.671493595457)</f>
        <v>7987.671494</v>
      </c>
      <c r="AZ39" s="674">
        <f>IFERROR(__xludf.DUMMYFUNCTION("""COMPUTED_VALUE"""),560.0)</f>
        <v>560</v>
      </c>
      <c r="BA39" s="688">
        <f>IFERROR(__xludf.DUMMYFUNCTION("""COMPUTED_VALUE"""),3993.8357467977285)</f>
        <v>3993.835747</v>
      </c>
      <c r="BB39" s="688" t="str">
        <f>IFERROR(__xludf.DUMMYFUNCTION("""COMPUTED_VALUE"""),"-")</f>
        <v>-</v>
      </c>
      <c r="BC39" s="688" t="str">
        <f>IFERROR(__xludf.DUMMYFUNCTION("""COMPUTED_VALUE"""),"#VALUE!")</f>
        <v>#VALUE!</v>
      </c>
      <c r="BD39" s="688" t="str">
        <f>IFERROR(__xludf.DUMMYFUNCTION("""COMPUTED_VALUE"""),"#VALUE!")</f>
        <v>#VALUE!</v>
      </c>
      <c r="BE39" s="674">
        <f>IFERROR(__xludf.DUMMYFUNCTION("""COMPUTED_VALUE"""),560.0)</f>
        <v>560</v>
      </c>
      <c r="BF39" s="674">
        <f>IFERROR(__xludf.DUMMYFUNCTION("""COMPUTED_VALUE"""),1120.0)</f>
        <v>1120</v>
      </c>
      <c r="BG39" s="673">
        <f>IFERROR(__xludf.DUMMYFUNCTION("""COMPUTED_VALUE"""),0.0)</f>
        <v>0</v>
      </c>
      <c r="BH39" s="673">
        <f>IFERROR(__xludf.DUMMYFUNCTION("""COMPUTED_VALUE"""),-0.5)</f>
        <v>-0.5</v>
      </c>
      <c r="BI39" s="673">
        <f>IFERROR(__xludf.DUMMYFUNCTION("""COMPUTED_VALUE"""),0.0)</f>
        <v>0</v>
      </c>
      <c r="BJ39" s="673">
        <f>IFERROR(__xludf.DUMMYFUNCTION("""COMPUTED_VALUE"""),0.0)</f>
        <v>0</v>
      </c>
      <c r="BK39" s="673">
        <f>IFERROR(__xludf.DUMMYFUNCTION("""COMPUTED_VALUE"""),0.0)</f>
        <v>0</v>
      </c>
      <c r="BL39" s="673">
        <f>IFERROR(__xludf.DUMMYFUNCTION("""COMPUTED_VALUE"""),0.0)</f>
        <v>0</v>
      </c>
      <c r="BM39" s="674">
        <f>IFERROR(__xludf.DUMMYFUNCTION("""COMPUTED_VALUE"""),100.0)</f>
        <v>100</v>
      </c>
      <c r="BN39" s="674">
        <f>IFERROR(__xludf.DUMMYFUNCTION("""COMPUTED_VALUE"""),100.0)</f>
        <v>100</v>
      </c>
      <c r="BO39" s="675">
        <f>IFERROR(__xludf.DUMMYFUNCTION("""COMPUTED_VALUE"""),0.0)</f>
        <v>0</v>
      </c>
      <c r="BP39" s="675">
        <f>IFERROR(__xludf.DUMMYFUNCTION("""COMPUTED_VALUE"""),2.0)</f>
        <v>2</v>
      </c>
      <c r="BQ39" s="675" t="str">
        <f>IFERROR(__xludf.DUMMYFUNCTION("""COMPUTED_VALUE"""),"※")</f>
        <v>※</v>
      </c>
      <c r="BR39" s="139">
        <f>IFERROR(__xludf.DUMMYFUNCTION("""COMPUTED_VALUE"""),1.0)</f>
        <v>1</v>
      </c>
      <c r="BS39" s="139">
        <f>IFERROR(__xludf.DUMMYFUNCTION("""COMPUTED_VALUE"""),30.0)</f>
        <v>30</v>
      </c>
      <c r="BT39" s="139">
        <f>IFERROR(__xludf.DUMMYFUNCTION("""COMPUTED_VALUE"""),0.16)</f>
        <v>0.16</v>
      </c>
      <c r="BU39" s="139">
        <f>IFERROR(__xludf.DUMMYFUNCTION("""COMPUTED_VALUE"""),0.0)</f>
        <v>0</v>
      </c>
      <c r="BV39" s="139" t="str">
        <f>IFERROR(__xludf.DUMMYFUNCTION("""COMPUTED_VALUE"""),"普通")</f>
        <v>普通</v>
      </c>
      <c r="BW39" s="139" t="str">
        <f>IFERROR(__xludf.DUMMYFUNCTION("""COMPUTED_VALUE"""),"-")</f>
        <v>-</v>
      </c>
      <c r="BX39" s="139" t="str">
        <f>IFERROR(__xludf.DUMMYFUNCTION("""COMPUTED_VALUE"""),"-")</f>
        <v>-</v>
      </c>
      <c r="BY39" s="139" t="str">
        <f>IFERROR(__xludf.DUMMYFUNCTION("""COMPUTED_VALUE"""),"-")</f>
        <v>-</v>
      </c>
      <c r="BZ39" s="139" t="str">
        <f>IFERROR(__xludf.DUMMYFUNCTION("""COMPUTED_VALUE"""),"-")</f>
        <v>-</v>
      </c>
      <c r="CA39" s="139" t="str">
        <f>IFERROR(__xludf.DUMMYFUNCTION("""COMPUTED_VALUE"""),"-")</f>
        <v>-</v>
      </c>
      <c r="CB39" s="139" t="str">
        <f>IFERROR(__xludf.DUMMYFUNCTION("""COMPUTED_VALUE"""),"-")</f>
        <v>-</v>
      </c>
      <c r="CC39" s="139" t="str">
        <f>IFERROR(__xludf.DUMMYFUNCTION("""COMPUTED_VALUE"""),"近距離")</f>
        <v>近距離</v>
      </c>
      <c r="CD39" s="139" t="str">
        <f>IFERROR(__xludf.DUMMYFUNCTION("""COMPUTED_VALUE"""),"単体")</f>
        <v>単体</v>
      </c>
      <c r="CE39" s="139">
        <f>IFERROR(__xludf.DUMMYFUNCTION("""COMPUTED_VALUE"""),1.0)</f>
        <v>1</v>
      </c>
      <c r="CF39" s="139">
        <f>IFERROR(__xludf.DUMMYFUNCTION("""COMPUTED_VALUE"""),0.17)</f>
        <v>0.17</v>
      </c>
      <c r="CG39" s="139" t="str">
        <f>IFERROR(__xludf.DUMMYFUNCTION("""COMPUTED_VALUE"""),"近距離")</f>
        <v>近距離</v>
      </c>
      <c r="CH39" s="139" t="str">
        <f>IFERROR(__xludf.DUMMYFUNCTION("""COMPUTED_VALUE"""),"範囲(小)")</f>
        <v>範囲(小)</v>
      </c>
      <c r="CI39" s="139">
        <f>IFERROR(__xludf.DUMMYFUNCTION("""COMPUTED_VALUE"""),0.75)</f>
        <v>0.75</v>
      </c>
      <c r="CJ39" s="139">
        <f>IFERROR(__xludf.DUMMYFUNCTION("""COMPUTED_VALUE"""),0.27)</f>
        <v>0.27</v>
      </c>
      <c r="CK39" s="139" t="str">
        <f>IFERROR(__xludf.DUMMYFUNCTION("""COMPUTED_VALUE"""),"敵")</f>
        <v>敵</v>
      </c>
      <c r="CL39" s="139" t="str">
        <f>IFERROR(__xludf.DUMMYFUNCTION("""COMPUTED_VALUE"""),"All")</f>
        <v>All</v>
      </c>
      <c r="CM39" s="139" t="str">
        <f>IFERROR(__xludf.DUMMYFUNCTION("""COMPUTED_VALUE"""),"All")</f>
        <v>All</v>
      </c>
      <c r="CN39" s="675">
        <f>IFERROR(__xludf.DUMMYFUNCTION("""COMPUTED_VALUE"""),26.902253623070315)</f>
        <v>26.90225362</v>
      </c>
      <c r="CO39" s="139" t="str">
        <f>IFERROR(__xludf.DUMMYFUNCTION("""COMPUTED_VALUE"""),"-")</f>
        <v>-</v>
      </c>
      <c r="CP39" s="139" t="str">
        <f>IFERROR(__xludf.DUMMYFUNCTION("""COMPUTED_VALUE"""),"-")</f>
        <v>-</v>
      </c>
      <c r="CQ39" s="139" t="str">
        <f>IFERROR(__xludf.DUMMYFUNCTION("""COMPUTED_VALUE"""),"-")</f>
        <v>-</v>
      </c>
      <c r="CR39" s="139" t="str">
        <f>IFERROR(__xludf.DUMMYFUNCTION("""COMPUTED_VALUE"""),"-")</f>
        <v>-</v>
      </c>
      <c r="CS39" s="673" t="str">
        <f>IFERROR(__xludf.DUMMYFUNCTION("""COMPUTED_VALUE"""),"攻撃(必殺)")</f>
        <v>攻撃(必殺)</v>
      </c>
      <c r="CT39" s="139" t="str">
        <f>IFERROR(__xludf.DUMMYFUNCTION("""COMPUTED_VALUE"""),"-")</f>
        <v>-</v>
      </c>
      <c r="CU39" s="139" t="str">
        <f>IFERROR(__xludf.DUMMYFUNCTION("""COMPUTED_VALUE"""),"敵")</f>
        <v>敵</v>
      </c>
      <c r="CV39" s="139" t="str">
        <f>IFERROR(__xludf.DUMMYFUNCTION("""COMPUTED_VALUE"""),"All")</f>
        <v>All</v>
      </c>
      <c r="CW39" s="139" t="str">
        <f>IFERROR(__xludf.DUMMYFUNCTION("""COMPUTED_VALUE"""),"All")</f>
        <v>All</v>
      </c>
      <c r="CX39" s="674">
        <f>IFERROR(__xludf.DUMMYFUNCTION("""COMPUTED_VALUE"""),119.0)</f>
        <v>119</v>
      </c>
      <c r="CY39" s="139" t="str">
        <f>IFERROR(__xludf.DUMMYFUNCTION("""COMPUTED_VALUE"""),"-")</f>
        <v>-</v>
      </c>
      <c r="CZ39" s="688">
        <f>IFERROR(__xludf.DUMMYFUNCTION("""COMPUTED_VALUE"""),9505.0)</f>
        <v>9505</v>
      </c>
      <c r="DA39" s="688">
        <f>IFERROR(__xludf.DUMMYFUNCTION("""COMPUTED_VALUE"""),373.69969421048836)</f>
        <v>373.6996942</v>
      </c>
      <c r="DB39" s="688">
        <f>IFERROR(__xludf.DUMMYFUNCTION("""COMPUTED_VALUE"""),1868.4984710524418)</f>
        <v>1868.498471</v>
      </c>
      <c r="DC39" s="139" t="str">
        <f>IFERROR(__xludf.DUMMYFUNCTION("""COMPUTED_VALUE"""),"-")</f>
        <v>-</v>
      </c>
      <c r="DD39" s="673" t="str">
        <f>IFERROR(__xludf.DUMMYFUNCTION("""COMPUTED_VALUE"""),"-")</f>
        <v>-</v>
      </c>
      <c r="DE39" s="139" t="str">
        <f>IFERROR(__xludf.DUMMYFUNCTION("""COMPUTED_VALUE"""),"-")</f>
        <v>-</v>
      </c>
      <c r="DF39" s="139" t="str">
        <f>IFERROR(__xludf.DUMMYFUNCTION("""COMPUTED_VALUE"""),"-")</f>
        <v>-</v>
      </c>
      <c r="DG39" s="139" t="str">
        <f>IFERROR(__xludf.DUMMYFUNCTION("""COMPUTED_VALUE"""),"-")</f>
        <v>-</v>
      </c>
      <c r="DH39" s="139" t="str">
        <f>IFERROR(__xludf.DUMMYFUNCTION("""COMPUTED_VALUE"""),"-")</f>
        <v>-</v>
      </c>
      <c r="DI39" s="139" t="str">
        <f>IFERROR(__xludf.DUMMYFUNCTION("""COMPUTED_VALUE"""),"-")</f>
        <v>-</v>
      </c>
      <c r="DJ39" s="139" t="str">
        <f>IFERROR(__xludf.DUMMYFUNCTION("""COMPUTED_VALUE"""),"-")</f>
        <v>-</v>
      </c>
    </row>
    <row r="40">
      <c r="A40" s="139" t="str">
        <f>IFERROR(__xludf.DUMMYFUNCTION("""COMPUTED_VALUE"""),"姫様“拷問”の時間です")</f>
        <v>姫様“拷問”の時間です</v>
      </c>
      <c r="B40" s="139" t="str">
        <f>IFERROR(__xludf.DUMMYFUNCTION("""COMPUTED_VALUE"""),"クロル")</f>
        <v>クロル</v>
      </c>
      <c r="C40" s="139" t="str">
        <f>IFERROR(__xludf.DUMMYFUNCTION("""COMPUTED_VALUE"""),"chara_gom_00201")</f>
        <v>chara_gom_00201</v>
      </c>
      <c r="D40" s="139" t="str">
        <f>IFERROR(__xludf.DUMMYFUNCTION("""COMPUTED_VALUE"""),"DropR")</f>
        <v>DropR</v>
      </c>
      <c r="E40" s="139" t="str">
        <f>IFERROR(__xludf.DUMMYFUNCTION("""COMPUTED_VALUE"""),"黄")</f>
        <v>黄</v>
      </c>
      <c r="F40" s="139" t="str">
        <f>IFERROR(__xludf.DUMMYFUNCTION("""COMPUTED_VALUE"""),"アタック")</f>
        <v>アタック</v>
      </c>
      <c r="G40" s="139" t="str">
        <f>IFERROR(__xludf.DUMMYFUNCTION("""COMPUTED_VALUE"""),"遠距離")</f>
        <v>遠距離</v>
      </c>
      <c r="H40" s="139" t="str">
        <f>IFERROR(__xludf.DUMMYFUNCTION("""COMPUTED_VALUE"""),"dageki_1")</f>
        <v>dageki_1</v>
      </c>
      <c r="I40" s="139" t="str">
        <f>IFERROR(__xludf.DUMMYFUNCTION("""COMPUTED_VALUE"""),"dageki_1")</f>
        <v>dageki_1</v>
      </c>
      <c r="J40" s="139" t="str">
        <f>IFERROR(__xludf.DUMMYFUNCTION("""COMPUTED_VALUE"""),"202509010_リリース")</f>
        <v>202509010_リリース</v>
      </c>
      <c r="K40" s="139" t="str">
        <f>IFERROR(__xludf.DUMMYFUNCTION("""COMPUTED_VALUE"""),"リリース時")</f>
        <v>リリース時</v>
      </c>
      <c r="L40" s="139" t="str">
        <f>IFERROR(__xludf.DUMMYFUNCTION("""COMPUTED_VALUE"""),"※")</f>
        <v>※</v>
      </c>
      <c r="M40" s="674">
        <f>IFERROR(__xludf.DUMMYFUNCTION("""COMPUTED_VALUE"""),555.0)</f>
        <v>555</v>
      </c>
      <c r="N40" s="139">
        <f>IFERROR(__xludf.DUMMYFUNCTION("""COMPUTED_VALUE"""),600.0)</f>
        <v>600</v>
      </c>
      <c r="O40" s="139" t="str">
        <f>IFERROR(__xludf.DUMMYFUNCTION("""COMPUTED_VALUE"""),"中コスト")</f>
        <v>中コスト</v>
      </c>
      <c r="P40" s="139">
        <f>IFERROR(__xludf.DUMMYFUNCTION("""COMPUTED_VALUE"""),-50.0)</f>
        <v>-50</v>
      </c>
      <c r="Q40" s="675">
        <f>IFERROR(__xludf.DUMMYFUNCTION("""COMPUTED_VALUE"""),5.0)</f>
        <v>5</v>
      </c>
      <c r="R40" s="675">
        <f>IFERROR(__xludf.DUMMYFUNCTION("""COMPUTED_VALUE"""),0.0)</f>
        <v>0</v>
      </c>
      <c r="S40" s="675">
        <f>IFERROR(__xludf.DUMMYFUNCTION("""COMPUTED_VALUE"""),11.375)</f>
        <v>11.375</v>
      </c>
      <c r="T40" s="674">
        <f>IFERROR(__xludf.DUMMYFUNCTION("""COMPUTED_VALUE"""),365.0)</f>
        <v>365</v>
      </c>
      <c r="U40" s="675">
        <f>IFERROR(__xludf.DUMMYFUNCTION("""COMPUTED_VALUE"""),7.333333333333334)</f>
        <v>7.333333333</v>
      </c>
      <c r="V40" s="675">
        <f>IFERROR(__xludf.DUMMYFUNCTION("""COMPUTED_VALUE"""),0.0)</f>
        <v>0</v>
      </c>
      <c r="W40" s="675">
        <f>IFERROR(__xludf.DUMMYFUNCTION("""COMPUTED_VALUE"""),0.0)</f>
        <v>0</v>
      </c>
      <c r="X40" s="675">
        <f>IFERROR(__xludf.DUMMYFUNCTION("""COMPUTED_VALUE"""),0.0)</f>
        <v>0</v>
      </c>
      <c r="Y40" s="674">
        <f>IFERROR(__xludf.DUMMYFUNCTION("""COMPUTED_VALUE"""),190.0)</f>
        <v>190</v>
      </c>
      <c r="Z40" s="675">
        <f>IFERROR(__xludf.DUMMYFUNCTION("""COMPUTED_VALUE"""),3.833333333333333)</f>
        <v>3.833333333</v>
      </c>
      <c r="AA40" s="675">
        <f>IFERROR(__xludf.DUMMYFUNCTION("""COMPUTED_VALUE"""),0.0)</f>
        <v>0</v>
      </c>
      <c r="AB40" s="673">
        <f>IFERROR(__xludf.DUMMYFUNCTION("""COMPUTED_VALUE"""),0.0)</f>
        <v>0</v>
      </c>
      <c r="AC40" s="675">
        <f>IFERROR(__xludf.DUMMYFUNCTION("""COMPUTED_VALUE"""),0.0)</f>
        <v>0</v>
      </c>
      <c r="AD40" s="674">
        <f>IFERROR(__xludf.DUMMYFUNCTION("""COMPUTED_VALUE"""),955.0)</f>
        <v>955</v>
      </c>
      <c r="AE40" s="675">
        <f>IFERROR(__xludf.DUMMYFUNCTION("""COMPUTED_VALUE"""),19.079002419763285)</f>
        <v>19.07900242</v>
      </c>
      <c r="AF40" s="675">
        <f>IFERROR(__xludf.DUMMYFUNCTION("""COMPUTED_VALUE"""),0.0)</f>
        <v>0</v>
      </c>
      <c r="AG40" s="675">
        <f>IFERROR(__xludf.DUMMYFUNCTION("""COMPUTED_VALUE"""),9.037422198835241)</f>
        <v>9.037422199</v>
      </c>
      <c r="AH40" s="675">
        <f>IFERROR(__xludf.DUMMYFUNCTION("""COMPUTED_VALUE"""),0.0)</f>
        <v>0</v>
      </c>
      <c r="AI40" s="139">
        <f>IFERROR(__xludf.DUMMYFUNCTION("""COMPUTED_VALUE"""),12.0)</f>
        <v>12</v>
      </c>
      <c r="AJ40" s="139" t="str">
        <f>IFERROR(__xludf.DUMMYFUNCTION("""COMPUTED_VALUE"""),"-")</f>
        <v>-</v>
      </c>
      <c r="AK40" s="139">
        <f>IFERROR(__xludf.DUMMYFUNCTION("""COMPUTED_VALUE"""),1.0)</f>
        <v>1</v>
      </c>
      <c r="AL40" s="674">
        <f>IFERROR(__xludf.DUMMYFUNCTION("""COMPUTED_VALUE"""),1000.0)</f>
        <v>1000</v>
      </c>
      <c r="AM40" s="688">
        <f>IFERROR(__xludf.DUMMYFUNCTION("""COMPUTED_VALUE"""),6802.308119281658)</f>
        <v>6802.308119</v>
      </c>
      <c r="AN40" s="675">
        <f>IFERROR(__xludf.DUMMYFUNCTION("""COMPUTED_VALUE"""),6.666666666666667)</f>
        <v>6.666666667</v>
      </c>
      <c r="AO40" s="675">
        <f>IFERROR(__xludf.DUMMYFUNCTION("""COMPUTED_VALUE"""),3.3333333333333335)</f>
        <v>3.333333333</v>
      </c>
      <c r="AP40" s="674">
        <f>IFERROR(__xludf.DUMMYFUNCTION("""COMPUTED_VALUE"""),1670.0)</f>
        <v>1670</v>
      </c>
      <c r="AQ40" s="673">
        <f>IFERROR(__xludf.DUMMYFUNCTION("""COMPUTED_VALUE"""),-0.2)</f>
        <v>-0.2</v>
      </c>
      <c r="AR40" s="673">
        <f>IFERROR(__xludf.DUMMYFUNCTION("""COMPUTED_VALUE"""),0.0)</f>
        <v>0</v>
      </c>
      <c r="AS40" s="673">
        <f>IFERROR(__xludf.DUMMYFUNCTION("""COMPUTED_VALUE"""),-0.3)</f>
        <v>-0.3</v>
      </c>
      <c r="AT40" s="673">
        <f>IFERROR(__xludf.DUMMYFUNCTION("""COMPUTED_VALUE"""),0.1)</f>
        <v>0.1</v>
      </c>
      <c r="AU40" s="673">
        <f>IFERROR(__xludf.DUMMYFUNCTION("""COMPUTED_VALUE"""),0.0)</f>
        <v>0</v>
      </c>
      <c r="AV40" s="673">
        <f>IFERROR(__xludf.DUMMYFUNCTION("""COMPUTED_VALUE"""),0.0)</f>
        <v>0</v>
      </c>
      <c r="AW40" s="139"/>
      <c r="AX40" s="674">
        <f>IFERROR(__xludf.DUMMYFUNCTION("""COMPUTED_VALUE"""),3720.0)</f>
        <v>3720</v>
      </c>
      <c r="AY40" s="688">
        <f>IFERROR(__xludf.DUMMYFUNCTION("""COMPUTED_VALUE"""),25308.624603727767)</f>
        <v>25308.6246</v>
      </c>
      <c r="AZ40" s="674">
        <f>IFERROR(__xludf.DUMMYFUNCTION("""COMPUTED_VALUE"""),1330.0)</f>
        <v>1330</v>
      </c>
      <c r="BA40" s="688">
        <f>IFERROR(__xludf.DUMMYFUNCTION("""COMPUTED_VALUE"""),9038.794501331346)</f>
        <v>9038.794501</v>
      </c>
      <c r="BB40" s="688" t="str">
        <f>IFERROR(__xludf.DUMMYFUNCTION("""COMPUTED_VALUE"""),"-")</f>
        <v>-</v>
      </c>
      <c r="BC40" s="688" t="str">
        <f>IFERROR(__xludf.DUMMYFUNCTION("""COMPUTED_VALUE"""),"#VALUE!")</f>
        <v>#VALUE!</v>
      </c>
      <c r="BD40" s="688" t="str">
        <f>IFERROR(__xludf.DUMMYFUNCTION("""COMPUTED_VALUE"""),"#VALUE!")</f>
        <v>#VALUE!</v>
      </c>
      <c r="BE40" s="674">
        <f>IFERROR(__xludf.DUMMYFUNCTION("""COMPUTED_VALUE"""),1330.0)</f>
        <v>1330</v>
      </c>
      <c r="BF40" s="674">
        <f>IFERROR(__xludf.DUMMYFUNCTION("""COMPUTED_VALUE"""),1110.0)</f>
        <v>1110</v>
      </c>
      <c r="BG40" s="673">
        <f>IFERROR(__xludf.DUMMYFUNCTION("""COMPUTED_VALUE"""),-0.1)</f>
        <v>-0.1</v>
      </c>
      <c r="BH40" s="673">
        <f>IFERROR(__xludf.DUMMYFUNCTION("""COMPUTED_VALUE"""),0.3)</f>
        <v>0.3</v>
      </c>
      <c r="BI40" s="673">
        <f>IFERROR(__xludf.DUMMYFUNCTION("""COMPUTED_VALUE"""),0.0)</f>
        <v>0</v>
      </c>
      <c r="BJ40" s="673">
        <f>IFERROR(__xludf.DUMMYFUNCTION("""COMPUTED_VALUE"""),0.0)</f>
        <v>0</v>
      </c>
      <c r="BK40" s="673">
        <f>IFERROR(__xludf.DUMMYFUNCTION("""COMPUTED_VALUE"""),0.0)</f>
        <v>0</v>
      </c>
      <c r="BL40" s="673">
        <f>IFERROR(__xludf.DUMMYFUNCTION("""COMPUTED_VALUE"""),0.0)</f>
        <v>0</v>
      </c>
      <c r="BM40" s="674">
        <f>IFERROR(__xludf.DUMMYFUNCTION("""COMPUTED_VALUE"""),140.0)</f>
        <v>140</v>
      </c>
      <c r="BN40" s="674">
        <f>IFERROR(__xludf.DUMMYFUNCTION("""COMPUTED_VALUE"""),150.0)</f>
        <v>150</v>
      </c>
      <c r="BO40" s="675">
        <f>IFERROR(__xludf.DUMMYFUNCTION("""COMPUTED_VALUE"""),-10.0)</f>
        <v>-10</v>
      </c>
      <c r="BP40" s="675">
        <f>IFERROR(__xludf.DUMMYFUNCTION("""COMPUTED_VALUE"""),2.8)</f>
        <v>2.8</v>
      </c>
      <c r="BQ40" s="675" t="str">
        <f>IFERROR(__xludf.DUMMYFUNCTION("""COMPUTED_VALUE"""),"※")</f>
        <v>※</v>
      </c>
      <c r="BR40" s="139">
        <f>IFERROR(__xludf.DUMMYFUNCTION("""COMPUTED_VALUE"""),2.0)</f>
        <v>2</v>
      </c>
      <c r="BS40" s="139">
        <f>IFERROR(__xludf.DUMMYFUNCTION("""COMPUTED_VALUE"""),30.0)</f>
        <v>30</v>
      </c>
      <c r="BT40" s="139">
        <f>IFERROR(__xludf.DUMMYFUNCTION("""COMPUTED_VALUE"""),0.52)</f>
        <v>0.52</v>
      </c>
      <c r="BU40" s="139">
        <f>IFERROR(__xludf.DUMMYFUNCTION("""COMPUTED_VALUE"""),0.0)</f>
        <v>0</v>
      </c>
      <c r="BV40" s="139" t="str">
        <f>IFERROR(__xludf.DUMMYFUNCTION("""COMPUTED_VALUE"""),"普通")</f>
        <v>普通</v>
      </c>
      <c r="BW40" s="139" t="str">
        <f>IFERROR(__xludf.DUMMYFUNCTION("""COMPUTED_VALUE"""),"-")</f>
        <v>-</v>
      </c>
      <c r="BX40" s="139" t="str">
        <f>IFERROR(__xludf.DUMMYFUNCTION("""COMPUTED_VALUE"""),"-")</f>
        <v>-</v>
      </c>
      <c r="BY40" s="139" t="str">
        <f>IFERROR(__xludf.DUMMYFUNCTION("""COMPUTED_VALUE"""),"-")</f>
        <v>-</v>
      </c>
      <c r="BZ40" s="139" t="str">
        <f>IFERROR(__xludf.DUMMYFUNCTION("""COMPUTED_VALUE"""),"-")</f>
        <v>-</v>
      </c>
      <c r="CA40" s="139" t="str">
        <f>IFERROR(__xludf.DUMMYFUNCTION("""COMPUTED_VALUE"""),"-")</f>
        <v>-</v>
      </c>
      <c r="CB40" s="139" t="str">
        <f>IFERROR(__xludf.DUMMYFUNCTION("""COMPUTED_VALUE"""),"-")</f>
        <v>-</v>
      </c>
      <c r="CC40" s="139" t="str">
        <f>IFERROR(__xludf.DUMMYFUNCTION("""COMPUTED_VALUE"""),"遠距離")</f>
        <v>遠距離</v>
      </c>
      <c r="CD40" s="139" t="str">
        <f>IFERROR(__xludf.DUMMYFUNCTION("""COMPUTED_VALUE"""),"単体")</f>
        <v>単体</v>
      </c>
      <c r="CE40" s="139">
        <f>IFERROR(__xludf.DUMMYFUNCTION("""COMPUTED_VALUE"""),1.0)</f>
        <v>1</v>
      </c>
      <c r="CF40" s="139">
        <f>IFERROR(__xludf.DUMMYFUNCTION("""COMPUTED_VALUE"""),0.53)</f>
        <v>0.53</v>
      </c>
      <c r="CG40" s="139" t="str">
        <f>IFERROR(__xludf.DUMMYFUNCTION("""COMPUTED_VALUE"""),"遠距離")</f>
        <v>遠距離</v>
      </c>
      <c r="CH40" s="139" t="str">
        <f>IFERROR(__xludf.DUMMYFUNCTION("""COMPUTED_VALUE"""),"範囲(小：威力減)")</f>
        <v>範囲(小：威力減)</v>
      </c>
      <c r="CI40" s="139">
        <f>IFERROR(__xludf.DUMMYFUNCTION("""COMPUTED_VALUE"""),0.5)</f>
        <v>0.5</v>
      </c>
      <c r="CJ40" s="139">
        <f>IFERROR(__xludf.DUMMYFUNCTION("""COMPUTED_VALUE"""),0.63)</f>
        <v>0.63</v>
      </c>
      <c r="CK40" s="139" t="str">
        <f>IFERROR(__xludf.DUMMYFUNCTION("""COMPUTED_VALUE"""),"敵")</f>
        <v>敵</v>
      </c>
      <c r="CL40" s="139" t="str">
        <f>IFERROR(__xludf.DUMMYFUNCTION("""COMPUTED_VALUE"""),"All")</f>
        <v>All</v>
      </c>
      <c r="CM40" s="139" t="str">
        <f>IFERROR(__xludf.DUMMYFUNCTION("""COMPUTED_VALUE"""),"All")</f>
        <v>All</v>
      </c>
      <c r="CN40" s="675">
        <f>IFERROR(__xludf.DUMMYFUNCTION("""COMPUTED_VALUE"""),19.079002419763285)</f>
        <v>19.07900242</v>
      </c>
      <c r="CO40" s="139" t="str">
        <f>IFERROR(__xludf.DUMMYFUNCTION("""COMPUTED_VALUE"""),"-")</f>
        <v>-</v>
      </c>
      <c r="CP40" s="139" t="str">
        <f>IFERROR(__xludf.DUMMYFUNCTION("""COMPUTED_VALUE"""),"-")</f>
        <v>-</v>
      </c>
      <c r="CQ40" s="139" t="str">
        <f>IFERROR(__xludf.DUMMYFUNCTION("""COMPUTED_VALUE"""),"-")</f>
        <v>-</v>
      </c>
      <c r="CR40" s="139" t="str">
        <f>IFERROR(__xludf.DUMMYFUNCTION("""COMPUTED_VALUE"""),"-")</f>
        <v>-</v>
      </c>
      <c r="CS40" s="673" t="str">
        <f>IFERROR(__xludf.DUMMYFUNCTION("""COMPUTED_VALUE"""),"連続攻撃")</f>
        <v>連続攻撃</v>
      </c>
      <c r="CT40" s="139" t="str">
        <f>IFERROR(__xludf.DUMMYFUNCTION("""COMPUTED_VALUE"""),"-")</f>
        <v>-</v>
      </c>
      <c r="CU40" s="139" t="str">
        <f>IFERROR(__xludf.DUMMYFUNCTION("""COMPUTED_VALUE"""),"敵")</f>
        <v>敵</v>
      </c>
      <c r="CV40" s="139" t="str">
        <f>IFERROR(__xludf.DUMMYFUNCTION("""COMPUTED_VALUE"""),"All")</f>
        <v>All</v>
      </c>
      <c r="CW40" s="139" t="str">
        <f>IFERROR(__xludf.DUMMYFUNCTION("""COMPUTED_VALUE"""),"All")</f>
        <v>All</v>
      </c>
      <c r="CX40" s="674">
        <f>IFERROR(__xludf.DUMMYFUNCTION("""COMPUTED_VALUE"""),85.0)</f>
        <v>85</v>
      </c>
      <c r="CY40" s="139" t="str">
        <f>IFERROR(__xludf.DUMMYFUNCTION("""COMPUTED_VALUE"""),"-")</f>
        <v>-</v>
      </c>
      <c r="CZ40" s="688">
        <f>IFERROR(__xludf.DUMMYFUNCTION("""COMPUTED_VALUE"""),21512.0)</f>
        <v>21512</v>
      </c>
      <c r="DA40" s="688">
        <f>IFERROR(__xludf.DUMMYFUNCTION("""COMPUTED_VALUE"""),1225.4452720153085)</f>
        <v>1225.445272</v>
      </c>
      <c r="DB40" s="688">
        <f>IFERROR(__xludf.DUMMYFUNCTION("""COMPUTED_VALUE"""),6127.226360076543)</f>
        <v>6127.22636</v>
      </c>
      <c r="DC40" s="139" t="str">
        <f>IFERROR(__xludf.DUMMYFUNCTION("""COMPUTED_VALUE"""),"-")</f>
        <v>-</v>
      </c>
      <c r="DD40" s="673" t="str">
        <f>IFERROR(__xludf.DUMMYFUNCTION("""COMPUTED_VALUE"""),"-")</f>
        <v>-</v>
      </c>
      <c r="DE40" s="139" t="str">
        <f>IFERROR(__xludf.DUMMYFUNCTION("""COMPUTED_VALUE"""),"-")</f>
        <v>-</v>
      </c>
      <c r="DF40" s="139" t="str">
        <f>IFERROR(__xludf.DUMMYFUNCTION("""COMPUTED_VALUE"""),"-")</f>
        <v>-</v>
      </c>
      <c r="DG40" s="139" t="str">
        <f>IFERROR(__xludf.DUMMYFUNCTION("""COMPUTED_VALUE"""),"-")</f>
        <v>-</v>
      </c>
      <c r="DH40" s="139" t="str">
        <f>IFERROR(__xludf.DUMMYFUNCTION("""COMPUTED_VALUE"""),"-")</f>
        <v>-</v>
      </c>
      <c r="DI40" s="139" t="str">
        <f>IFERROR(__xludf.DUMMYFUNCTION("""COMPUTED_VALUE"""),"-")</f>
        <v>-</v>
      </c>
      <c r="DJ40" s="139" t="str">
        <f>IFERROR(__xludf.DUMMYFUNCTION("""COMPUTED_VALUE"""),"-")</f>
        <v>-</v>
      </c>
    </row>
    <row r="41">
      <c r="A41" s="139" t="str">
        <f>IFERROR(__xludf.DUMMYFUNCTION("""COMPUTED_VALUE"""),"怪獣８号")</f>
        <v>怪獣８号</v>
      </c>
      <c r="B41" s="139" t="str">
        <f>IFERROR(__xludf.DUMMYFUNCTION("""COMPUTED_VALUE"""),"四ノ宮 キコル")</f>
        <v>四ノ宮 キコル</v>
      </c>
      <c r="C41" s="139" t="str">
        <f>IFERROR(__xludf.DUMMYFUNCTION("""COMPUTED_VALUE"""),"chara_kai_00301")</f>
        <v>chara_kai_00301</v>
      </c>
      <c r="D41" s="139" t="str">
        <f>IFERROR(__xludf.DUMMYFUNCTION("""COMPUTED_VALUE"""),"PremiumSSR")</f>
        <v>PremiumSSR</v>
      </c>
      <c r="E41" s="139" t="str">
        <f>IFERROR(__xludf.DUMMYFUNCTION("""COMPUTED_VALUE"""),"黄")</f>
        <v>黄</v>
      </c>
      <c r="F41" s="139" t="str">
        <f>IFERROR(__xludf.DUMMYFUNCTION("""COMPUTED_VALUE"""),"ディフェンス")</f>
        <v>ディフェンス</v>
      </c>
      <c r="G41" s="139" t="str">
        <f>IFERROR(__xludf.DUMMYFUNCTION("""COMPUTED_VALUE"""),"近距離")</f>
        <v>近距離</v>
      </c>
      <c r="H41" s="139" t="str">
        <f>IFERROR(__xludf.DUMMYFUNCTION("""COMPUTED_VALUE"""),"zangeki_1")</f>
        <v>zangeki_1</v>
      </c>
      <c r="I41" s="139" t="str">
        <f>IFERROR(__xludf.DUMMYFUNCTION("""COMPUTED_VALUE"""),"zangeki_1")</f>
        <v>zangeki_1</v>
      </c>
      <c r="J41" s="139" t="str">
        <f>IFERROR(__xludf.DUMMYFUNCTION("""COMPUTED_VALUE"""),"202509010_リリース")</f>
        <v>202509010_リリース</v>
      </c>
      <c r="K41" s="139" t="str">
        <f>IFERROR(__xludf.DUMMYFUNCTION("""COMPUTED_VALUE"""),"リリース時")</f>
        <v>リリース時</v>
      </c>
      <c r="L41" s="139" t="str">
        <f>IFERROR(__xludf.DUMMYFUNCTION("""COMPUTED_VALUE"""),"※")</f>
        <v>※</v>
      </c>
      <c r="M41" s="674">
        <f>IFERROR(__xludf.DUMMYFUNCTION("""COMPUTED_VALUE"""),535.0)</f>
        <v>535</v>
      </c>
      <c r="N41" s="139">
        <f>IFERROR(__xludf.DUMMYFUNCTION("""COMPUTED_VALUE"""),600.0)</f>
        <v>600</v>
      </c>
      <c r="O41" s="139" t="str">
        <f>IFERROR(__xludf.DUMMYFUNCTION("""COMPUTED_VALUE"""),"中コスト")</f>
        <v>中コスト</v>
      </c>
      <c r="P41" s="139">
        <f>IFERROR(__xludf.DUMMYFUNCTION("""COMPUTED_VALUE"""),-100.0)</f>
        <v>-100</v>
      </c>
      <c r="Q41" s="675">
        <f>IFERROR(__xludf.DUMMYFUNCTION("""COMPUTED_VALUE"""),20.0)</f>
        <v>20</v>
      </c>
      <c r="R41" s="675">
        <f>IFERROR(__xludf.DUMMYFUNCTION("""COMPUTED_VALUE"""),15.0)</f>
        <v>15</v>
      </c>
      <c r="S41" s="675">
        <f>IFERROR(__xludf.DUMMYFUNCTION("""COMPUTED_VALUE"""),10.875)</f>
        <v>10.875</v>
      </c>
      <c r="T41" s="674">
        <f>IFERROR(__xludf.DUMMYFUNCTION("""COMPUTED_VALUE"""),1005.0)</f>
        <v>1005</v>
      </c>
      <c r="U41" s="675">
        <f>IFERROR(__xludf.DUMMYFUNCTION("""COMPUTED_VALUE"""),20.093333333333334)</f>
        <v>20.09333333</v>
      </c>
      <c r="V41" s="675">
        <f>IFERROR(__xludf.DUMMYFUNCTION("""COMPUTED_VALUE"""),0.0)</f>
        <v>0</v>
      </c>
      <c r="W41" s="675">
        <f>IFERROR(__xludf.DUMMYFUNCTION("""COMPUTED_VALUE"""),0.0)</f>
        <v>0</v>
      </c>
      <c r="X41" s="675">
        <f>IFERROR(__xludf.DUMMYFUNCTION("""COMPUTED_VALUE"""),0.0)</f>
        <v>0</v>
      </c>
      <c r="Y41" s="674">
        <f>IFERROR(__xludf.DUMMYFUNCTION("""COMPUTED_VALUE"""),525.0)</f>
        <v>525</v>
      </c>
      <c r="Z41" s="675">
        <f>IFERROR(__xludf.DUMMYFUNCTION("""COMPUTED_VALUE"""),10.503333333333332)</f>
        <v>10.50333333</v>
      </c>
      <c r="AA41" s="675">
        <f>IFERROR(__xludf.DUMMYFUNCTION("""COMPUTED_VALUE"""),0.0)</f>
        <v>0</v>
      </c>
      <c r="AB41" s="673">
        <f>IFERROR(__xludf.DUMMYFUNCTION("""COMPUTED_VALUE"""),0.0)</f>
        <v>0</v>
      </c>
      <c r="AC41" s="675">
        <f>IFERROR(__xludf.DUMMYFUNCTION("""COMPUTED_VALUE"""),0.0)</f>
        <v>0</v>
      </c>
      <c r="AD41" s="674">
        <f>IFERROR(__xludf.DUMMYFUNCTION("""COMPUTED_VALUE"""),920.0)</f>
        <v>920</v>
      </c>
      <c r="AE41" s="675">
        <f>IFERROR(__xludf.DUMMYFUNCTION("""COMPUTED_VALUE"""),18.42177286974327)</f>
        <v>18.42177287</v>
      </c>
      <c r="AF41" s="675">
        <f>IFERROR(__xludf.DUMMYFUNCTION("""COMPUTED_VALUE"""),0.0)</f>
        <v>0</v>
      </c>
      <c r="AG41" s="675">
        <f>IFERROR(__xludf.DUMMYFUNCTION("""COMPUTED_VALUE"""),1.7999999999999998)</f>
        <v>1.8</v>
      </c>
      <c r="AH41" s="675">
        <f>IFERROR(__xludf.DUMMYFUNCTION("""COMPUTED_VALUE"""),0.0)</f>
        <v>0</v>
      </c>
      <c r="AI41" s="675">
        <f>IFERROR(__xludf.DUMMYFUNCTION("""COMPUTED_VALUE"""),1.1999999999999993)</f>
        <v>1.2</v>
      </c>
      <c r="AJ41" s="675">
        <f>IFERROR(__xludf.DUMMYFUNCTION("""COMPUTED_VALUE"""),17.22177286974327)</f>
        <v>17.22177287</v>
      </c>
      <c r="AK41" s="139">
        <f>IFERROR(__xludf.DUMMYFUNCTION("""COMPUTED_VALUE"""),1.0)</f>
        <v>1</v>
      </c>
      <c r="AL41" s="674">
        <f>IFERROR(__xludf.DUMMYFUNCTION("""COMPUTED_VALUE"""),2740.0)</f>
        <v>2740</v>
      </c>
      <c r="AM41" s="688">
        <f>IFERROR(__xludf.DUMMYFUNCTION("""COMPUTED_VALUE"""),20892.49704683174)</f>
        <v>20892.49705</v>
      </c>
      <c r="AN41" s="675">
        <f>IFERROR(__xludf.DUMMYFUNCTION("""COMPUTED_VALUE"""),18.266666666666666)</f>
        <v>18.26666667</v>
      </c>
      <c r="AO41" s="675">
        <f>IFERROR(__xludf.DUMMYFUNCTION("""COMPUTED_VALUE"""),9.133333333333333)</f>
        <v>9.133333333</v>
      </c>
      <c r="AP41" s="674">
        <f>IFERROR(__xludf.DUMMYFUNCTION("""COMPUTED_VALUE"""),1610.0)</f>
        <v>1610</v>
      </c>
      <c r="AQ41" s="673">
        <f>IFERROR(__xludf.DUMMYFUNCTION("""COMPUTED_VALUE"""),0.9)</f>
        <v>0.9</v>
      </c>
      <c r="AR41" s="673">
        <f>IFERROR(__xludf.DUMMYFUNCTION("""COMPUTED_VALUE"""),0.0)</f>
        <v>0</v>
      </c>
      <c r="AS41" s="673">
        <f>IFERROR(__xludf.DUMMYFUNCTION("""COMPUTED_VALUE"""),0.0)</f>
        <v>0</v>
      </c>
      <c r="AT41" s="673">
        <f>IFERROR(__xludf.DUMMYFUNCTION("""COMPUTED_VALUE"""),-0.2)</f>
        <v>-0.2</v>
      </c>
      <c r="AU41" s="673">
        <f>IFERROR(__xludf.DUMMYFUNCTION("""COMPUTED_VALUE"""),0.0)</f>
        <v>0</v>
      </c>
      <c r="AV41" s="673">
        <f>IFERROR(__xludf.DUMMYFUNCTION("""COMPUTED_VALUE"""),0.0)</f>
        <v>0</v>
      </c>
      <c r="AW41" s="139"/>
      <c r="AX41" s="674">
        <f>IFERROR(__xludf.DUMMYFUNCTION("""COMPUTED_VALUE"""),1430.0)</f>
        <v>1430</v>
      </c>
      <c r="AY41" s="688">
        <f>IFERROR(__xludf.DUMMYFUNCTION("""COMPUTED_VALUE"""),10903.350210572771)</f>
        <v>10903.35021</v>
      </c>
      <c r="AZ41" s="674">
        <f>IFERROR(__xludf.DUMMYFUNCTION("""COMPUTED_VALUE"""),750.0)</f>
        <v>750</v>
      </c>
      <c r="BA41" s="688">
        <f>IFERROR(__xludf.DUMMYFUNCTION("""COMPUTED_VALUE"""),5738.60537398567)</f>
        <v>5738.605374</v>
      </c>
      <c r="BB41" s="688" t="str">
        <f>IFERROR(__xludf.DUMMYFUNCTION("""COMPUTED_VALUE"""),"-")</f>
        <v>-</v>
      </c>
      <c r="BC41" s="688" t="str">
        <f>IFERROR(__xludf.DUMMYFUNCTION("""COMPUTED_VALUE"""),"#VALUE!")</f>
        <v>#VALUE!</v>
      </c>
      <c r="BD41" s="688" t="str">
        <f>IFERROR(__xludf.DUMMYFUNCTION("""COMPUTED_VALUE"""),"#VALUE!")</f>
        <v>#VALUE!</v>
      </c>
      <c r="BE41" s="674">
        <f>IFERROR(__xludf.DUMMYFUNCTION("""COMPUTED_VALUE"""),750.0)</f>
        <v>750</v>
      </c>
      <c r="BF41" s="674">
        <f>IFERROR(__xludf.DUMMYFUNCTION("""COMPUTED_VALUE"""),1070.0)</f>
        <v>1070</v>
      </c>
      <c r="BG41" s="673">
        <f>IFERROR(__xludf.DUMMYFUNCTION("""COMPUTED_VALUE"""),0.2)</f>
        <v>0.2</v>
      </c>
      <c r="BH41" s="673">
        <f>IFERROR(__xludf.DUMMYFUNCTION("""COMPUTED_VALUE"""),-0.5)</f>
        <v>-0.5</v>
      </c>
      <c r="BI41" s="673">
        <f>IFERROR(__xludf.DUMMYFUNCTION("""COMPUTED_VALUE"""),0.0)</f>
        <v>0</v>
      </c>
      <c r="BJ41" s="673">
        <f>IFERROR(__xludf.DUMMYFUNCTION("""COMPUTED_VALUE"""),0.0)</f>
        <v>0</v>
      </c>
      <c r="BK41" s="673">
        <f>IFERROR(__xludf.DUMMYFUNCTION("""COMPUTED_VALUE"""),0.0)</f>
        <v>0</v>
      </c>
      <c r="BL41" s="673">
        <f>IFERROR(__xludf.DUMMYFUNCTION("""COMPUTED_VALUE"""),0.0)</f>
        <v>0</v>
      </c>
      <c r="BM41" s="674">
        <f>IFERROR(__xludf.DUMMYFUNCTION("""COMPUTED_VALUE"""),95.0)</f>
        <v>95</v>
      </c>
      <c r="BN41" s="674">
        <f>IFERROR(__xludf.DUMMYFUNCTION("""COMPUTED_VALUE"""),100.0)</f>
        <v>100</v>
      </c>
      <c r="BO41" s="675">
        <f>IFERROR(__xludf.DUMMYFUNCTION("""COMPUTED_VALUE"""),-5.0)</f>
        <v>-5</v>
      </c>
      <c r="BP41" s="675">
        <f>IFERROR(__xludf.DUMMYFUNCTION("""COMPUTED_VALUE"""),1.9)</f>
        <v>1.9</v>
      </c>
      <c r="BQ41" s="675" t="str">
        <f>IFERROR(__xludf.DUMMYFUNCTION("""COMPUTED_VALUE"""),"※")</f>
        <v>※</v>
      </c>
      <c r="BR41" s="139">
        <f>IFERROR(__xludf.DUMMYFUNCTION("""COMPUTED_VALUE"""),1.0)</f>
        <v>1</v>
      </c>
      <c r="BS41" s="139">
        <f>IFERROR(__xludf.DUMMYFUNCTION("""COMPUTED_VALUE"""),40.0)</f>
        <v>40</v>
      </c>
      <c r="BT41" s="139">
        <f>IFERROR(__xludf.DUMMYFUNCTION("""COMPUTED_VALUE"""),0.21)</f>
        <v>0.21</v>
      </c>
      <c r="BU41" s="139">
        <f>IFERROR(__xludf.DUMMYFUNCTION("""COMPUTED_VALUE"""),0.0)</f>
        <v>0</v>
      </c>
      <c r="BV41" s="139" t="str">
        <f>IFERROR(__xludf.DUMMYFUNCTION("""COMPUTED_VALUE"""),"普通-速")</f>
        <v>普通-速</v>
      </c>
      <c r="BW41" s="139" t="str">
        <f>IFERROR(__xludf.DUMMYFUNCTION("""COMPUTED_VALUE"""),"スタン攻撃無効化")</f>
        <v>スタン攻撃無効化</v>
      </c>
      <c r="BX41" s="139">
        <f>IFERROR(__xludf.DUMMYFUNCTION("""COMPUTED_VALUE"""),60.0)</f>
        <v>60</v>
      </c>
      <c r="BY41" s="139">
        <f>IFERROR(__xludf.DUMMYFUNCTION("""COMPUTED_VALUE"""),0.0)</f>
        <v>0</v>
      </c>
      <c r="BZ41" s="139" t="str">
        <f>IFERROR(__xludf.DUMMYFUNCTION("""COMPUTED_VALUE"""),"-")</f>
        <v>-</v>
      </c>
      <c r="CA41" s="139" t="str">
        <f>IFERROR(__xludf.DUMMYFUNCTION("""COMPUTED_VALUE"""),"-")</f>
        <v>-</v>
      </c>
      <c r="CB41" s="139" t="str">
        <f>IFERROR(__xludf.DUMMYFUNCTION("""COMPUTED_VALUE"""),"-")</f>
        <v>-</v>
      </c>
      <c r="CC41" s="139" t="str">
        <f>IFERROR(__xludf.DUMMYFUNCTION("""COMPUTED_VALUE"""),"近距離")</f>
        <v>近距離</v>
      </c>
      <c r="CD41" s="139" t="str">
        <f>IFERROR(__xludf.DUMMYFUNCTION("""COMPUTED_VALUE"""),"単体")</f>
        <v>単体</v>
      </c>
      <c r="CE41" s="139">
        <f>IFERROR(__xludf.DUMMYFUNCTION("""COMPUTED_VALUE"""),1.0)</f>
        <v>1</v>
      </c>
      <c r="CF41" s="139">
        <f>IFERROR(__xludf.DUMMYFUNCTION("""COMPUTED_VALUE"""),0.22)</f>
        <v>0.22</v>
      </c>
      <c r="CG41" s="139" t="str">
        <f>IFERROR(__xludf.DUMMYFUNCTION("""COMPUTED_VALUE"""),"近距離")</f>
        <v>近距離</v>
      </c>
      <c r="CH41" s="139" t="str">
        <f>IFERROR(__xludf.DUMMYFUNCTION("""COMPUTED_VALUE"""),"範囲(小)")</f>
        <v>範囲(小)</v>
      </c>
      <c r="CI41" s="139">
        <f>IFERROR(__xludf.DUMMYFUNCTION("""COMPUTED_VALUE"""),0.75)</f>
        <v>0.75</v>
      </c>
      <c r="CJ41" s="139">
        <f>IFERROR(__xludf.DUMMYFUNCTION("""COMPUTED_VALUE"""),0.32)</f>
        <v>0.32</v>
      </c>
      <c r="CK41" s="139" t="str">
        <f>IFERROR(__xludf.DUMMYFUNCTION("""COMPUTED_VALUE"""),"敵")</f>
        <v>敵</v>
      </c>
      <c r="CL41" s="139" t="str">
        <f>IFERROR(__xludf.DUMMYFUNCTION("""COMPUTED_VALUE"""),"All")</f>
        <v>All</v>
      </c>
      <c r="CM41" s="139" t="str">
        <f>IFERROR(__xludf.DUMMYFUNCTION("""COMPUTED_VALUE"""),"All")</f>
        <v>All</v>
      </c>
      <c r="CN41" s="675">
        <f>IFERROR(__xludf.DUMMYFUNCTION("""COMPUTED_VALUE"""),18.42177286974327)</f>
        <v>18.42177287</v>
      </c>
      <c r="CO41" s="139" t="str">
        <f>IFERROR(__xludf.DUMMYFUNCTION("""COMPUTED_VALUE"""),"-")</f>
        <v>-</v>
      </c>
      <c r="CP41" s="139" t="str">
        <f>IFERROR(__xludf.DUMMYFUNCTION("""COMPUTED_VALUE"""),"-")</f>
        <v>-</v>
      </c>
      <c r="CQ41" s="139" t="str">
        <f>IFERROR(__xludf.DUMMYFUNCTION("""COMPUTED_VALUE"""),"-")</f>
        <v>-</v>
      </c>
      <c r="CR41" s="139" t="str">
        <f>IFERROR(__xludf.DUMMYFUNCTION("""COMPUTED_VALUE"""),"-")</f>
        <v>-</v>
      </c>
      <c r="CS41" s="673" t="str">
        <f>IFERROR(__xludf.DUMMYFUNCTION("""COMPUTED_VALUE"""),"スタン")</f>
        <v>スタン</v>
      </c>
      <c r="CT41" s="139" t="str">
        <f>IFERROR(__xludf.DUMMYFUNCTION("""COMPUTED_VALUE"""),"-")</f>
        <v>-</v>
      </c>
      <c r="CU41" s="139" t="str">
        <f>IFERROR(__xludf.DUMMYFUNCTION("""COMPUTED_VALUE"""),"敵")</f>
        <v>敵</v>
      </c>
      <c r="CV41" s="139" t="str">
        <f>IFERROR(__xludf.DUMMYFUNCTION("""COMPUTED_VALUE"""),"All")</f>
        <v>All</v>
      </c>
      <c r="CW41" s="139" t="str">
        <f>IFERROR(__xludf.DUMMYFUNCTION("""COMPUTED_VALUE"""),"All")</f>
        <v>All</v>
      </c>
      <c r="CX41" s="674" t="str">
        <f>IFERROR(__xludf.DUMMYFUNCTION("""COMPUTED_VALUE"""),"-")</f>
        <v>-</v>
      </c>
      <c r="CY41" s="675">
        <f>IFERROR(__xludf.DUMMYFUNCTION("""COMPUTED_VALUE"""),1.2)</f>
        <v>1.2</v>
      </c>
      <c r="CZ41" s="688" t="str">
        <f>IFERROR(__xludf.DUMMYFUNCTION("""COMPUTED_VALUE"""),"-")</f>
        <v>-</v>
      </c>
      <c r="DA41" s="688">
        <f>IFERROR(__xludf.DUMMYFUNCTION("""COMPUTED_VALUE"""),60.83405129446854)</f>
        <v>60.83405129</v>
      </c>
      <c r="DB41" s="688">
        <f>IFERROR(__xludf.DUMMYFUNCTION("""COMPUTED_VALUE"""),304.17025647234266)</f>
        <v>304.1702565</v>
      </c>
      <c r="DC41" s="139" t="str">
        <f>IFERROR(__xludf.DUMMYFUNCTION("""COMPUTED_VALUE"""),"-")</f>
        <v>-</v>
      </c>
      <c r="DD41" s="673" t="str">
        <f>IFERROR(__xludf.DUMMYFUNCTION("""COMPUTED_VALUE"""),"-")</f>
        <v>-</v>
      </c>
      <c r="DE41" s="139" t="str">
        <f>IFERROR(__xludf.DUMMYFUNCTION("""COMPUTED_VALUE"""),"-")</f>
        <v>-</v>
      </c>
      <c r="DF41" s="139" t="str">
        <f>IFERROR(__xludf.DUMMYFUNCTION("""COMPUTED_VALUE"""),"-")</f>
        <v>-</v>
      </c>
      <c r="DG41" s="139" t="str">
        <f>IFERROR(__xludf.DUMMYFUNCTION("""COMPUTED_VALUE"""),"-")</f>
        <v>-</v>
      </c>
      <c r="DH41" s="139" t="str">
        <f>IFERROR(__xludf.DUMMYFUNCTION("""COMPUTED_VALUE"""),"-")</f>
        <v>-</v>
      </c>
      <c r="DI41" s="139" t="str">
        <f>IFERROR(__xludf.DUMMYFUNCTION("""COMPUTED_VALUE"""),"-")</f>
        <v>-</v>
      </c>
      <c r="DJ41" s="139" t="str">
        <f>IFERROR(__xludf.DUMMYFUNCTION("""COMPUTED_VALUE"""),"-")</f>
        <v>-</v>
      </c>
    </row>
    <row r="42">
      <c r="A42" s="139" t="str">
        <f>IFERROR(__xludf.DUMMYFUNCTION("""COMPUTED_VALUE"""),"魔都精兵のスレイブ")</f>
        <v>魔都精兵のスレイブ</v>
      </c>
      <c r="B42" s="139" t="str">
        <f>IFERROR(__xludf.DUMMYFUNCTION("""COMPUTED_VALUE"""),"誇り高き魔都の剣姫 羽前 京香")</f>
        <v>誇り高き魔都の剣姫 羽前 京香</v>
      </c>
      <c r="C42" s="139" t="str">
        <f>IFERROR(__xludf.DUMMYFUNCTION("""COMPUTED_VALUE"""),"chara_sur_00101")</f>
        <v>chara_sur_00101</v>
      </c>
      <c r="D42" s="139" t="str">
        <f>IFERROR(__xludf.DUMMYFUNCTION("""COMPUTED_VALUE"""),"PremiumUR")</f>
        <v>PremiumUR</v>
      </c>
      <c r="E42" s="139" t="str">
        <f>IFERROR(__xludf.DUMMYFUNCTION("""COMPUTED_VALUE"""),"緑")</f>
        <v>緑</v>
      </c>
      <c r="F42" s="139" t="str">
        <f>IFERROR(__xludf.DUMMYFUNCTION("""COMPUTED_VALUE"""),"アタック")</f>
        <v>アタック</v>
      </c>
      <c r="G42" s="139" t="str">
        <f>IFERROR(__xludf.DUMMYFUNCTION("""COMPUTED_VALUE"""),"中距離")</f>
        <v>中距離</v>
      </c>
      <c r="H42" s="139" t="str">
        <f>IFERROR(__xludf.DUMMYFUNCTION("""COMPUTED_VALUE"""),"zangeki_1")</f>
        <v>zangeki_1</v>
      </c>
      <c r="I42" s="139" t="str">
        <f>IFERROR(__xludf.DUMMYFUNCTION("""COMPUTED_VALUE"""),"zangeki_1")</f>
        <v>zangeki_1</v>
      </c>
      <c r="J42" s="139" t="str">
        <f>IFERROR(__xludf.DUMMYFUNCTION("""COMPUTED_VALUE"""),"202509010_リリース")</f>
        <v>202509010_リリース</v>
      </c>
      <c r="K42" s="139" t="str">
        <f>IFERROR(__xludf.DUMMYFUNCTION("""COMPUTED_VALUE"""),"リリース時")</f>
        <v>リリース時</v>
      </c>
      <c r="L42" s="139" t="str">
        <f>IFERROR(__xludf.DUMMYFUNCTION("""COMPUTED_VALUE"""),"※")</f>
        <v>※</v>
      </c>
      <c r="M42" s="674">
        <f>IFERROR(__xludf.DUMMYFUNCTION("""COMPUTED_VALUE"""),530.0)</f>
        <v>530</v>
      </c>
      <c r="N42" s="139">
        <f>IFERROR(__xludf.DUMMYFUNCTION("""COMPUTED_VALUE"""),600.0)</f>
        <v>600</v>
      </c>
      <c r="O42" s="139" t="str">
        <f>IFERROR(__xludf.DUMMYFUNCTION("""COMPUTED_VALUE"""),"中コスト")</f>
        <v>中コスト</v>
      </c>
      <c r="P42" s="139">
        <f>IFERROR(__xludf.DUMMYFUNCTION("""COMPUTED_VALUE"""),-100.0)</f>
        <v>-100</v>
      </c>
      <c r="Q42" s="675">
        <f>IFERROR(__xludf.DUMMYFUNCTION("""COMPUTED_VALUE"""),5.0)</f>
        <v>5</v>
      </c>
      <c r="R42" s="675">
        <f>IFERROR(__xludf.DUMMYFUNCTION("""COMPUTED_VALUE"""),25.0)</f>
        <v>25</v>
      </c>
      <c r="S42" s="675">
        <f>IFERROR(__xludf.DUMMYFUNCTION("""COMPUTED_VALUE"""),10.75)</f>
        <v>10.75</v>
      </c>
      <c r="T42" s="674">
        <f>IFERROR(__xludf.DUMMYFUNCTION("""COMPUTED_VALUE"""),405.0)</f>
        <v>405</v>
      </c>
      <c r="U42" s="675">
        <f>IFERROR(__xludf.DUMMYFUNCTION("""COMPUTED_VALUE"""),8.14)</f>
        <v>8.14</v>
      </c>
      <c r="V42" s="675">
        <f>IFERROR(__xludf.DUMMYFUNCTION("""COMPUTED_VALUE"""),0.0)</f>
        <v>0</v>
      </c>
      <c r="W42" s="675">
        <f>IFERROR(__xludf.DUMMYFUNCTION("""COMPUTED_VALUE"""),0.0)</f>
        <v>0</v>
      </c>
      <c r="X42" s="675">
        <f>IFERROR(__xludf.DUMMYFUNCTION("""COMPUTED_VALUE"""),0.0)</f>
        <v>0</v>
      </c>
      <c r="Y42" s="674">
        <f>IFERROR(__xludf.DUMMYFUNCTION("""COMPUTED_VALUE"""),215.0)</f>
        <v>215</v>
      </c>
      <c r="Z42" s="675">
        <f>IFERROR(__xludf.DUMMYFUNCTION("""COMPUTED_VALUE"""),4.255)</f>
        <v>4.255</v>
      </c>
      <c r="AA42" s="675">
        <f>IFERROR(__xludf.DUMMYFUNCTION("""COMPUTED_VALUE"""),0.0)</f>
        <v>0</v>
      </c>
      <c r="AB42" s="673">
        <f>IFERROR(__xludf.DUMMYFUNCTION("""COMPUTED_VALUE"""),0.0)</f>
        <v>0</v>
      </c>
      <c r="AC42" s="675">
        <f>IFERROR(__xludf.DUMMYFUNCTION("""COMPUTED_VALUE"""),0.0)</f>
        <v>0</v>
      </c>
      <c r="AD42" s="674">
        <f>IFERROR(__xludf.DUMMYFUNCTION("""COMPUTED_VALUE"""),660.0)</f>
        <v>660</v>
      </c>
      <c r="AE42" s="675">
        <f>IFERROR(__xludf.DUMMYFUNCTION("""COMPUTED_VALUE"""),13.22432654239905)</f>
        <v>13.22432654</v>
      </c>
      <c r="AF42" s="675">
        <f>IFERROR(__xludf.DUMMYFUNCTION("""COMPUTED_VALUE"""),0.0)</f>
        <v>0</v>
      </c>
      <c r="AG42" s="675">
        <f>IFERROR(__xludf.DUMMYFUNCTION("""COMPUTED_VALUE"""),2.64486530847981)</f>
        <v>2.644865308</v>
      </c>
      <c r="AH42" s="675">
        <f>IFERROR(__xludf.DUMMYFUNCTION("""COMPUTED_VALUE"""),0.0)</f>
        <v>0</v>
      </c>
      <c r="AI42" s="139">
        <f>IFERROR(__xludf.DUMMYFUNCTION("""COMPUTED_VALUE"""),11.0)</f>
        <v>11</v>
      </c>
      <c r="AJ42" s="139" t="str">
        <f>IFERROR(__xludf.DUMMYFUNCTION("""COMPUTED_VALUE"""),"-")</f>
        <v>-</v>
      </c>
      <c r="AK42" s="139">
        <f>IFERROR(__xludf.DUMMYFUNCTION("""COMPUTED_VALUE"""),1.0)</f>
        <v>1</v>
      </c>
      <c r="AL42" s="674">
        <f>IFERROR(__xludf.DUMMYFUNCTION("""COMPUTED_VALUE"""),1110.0)</f>
        <v>1110</v>
      </c>
      <c r="AM42" s="688">
        <f>IFERROR(__xludf.DUMMYFUNCTION("""COMPUTED_VALUE"""),9071.42121240264)</f>
        <v>9071.421212</v>
      </c>
      <c r="AN42" s="675">
        <f>IFERROR(__xludf.DUMMYFUNCTION("""COMPUTED_VALUE"""),7.4)</f>
        <v>7.4</v>
      </c>
      <c r="AO42" s="675">
        <f>IFERROR(__xludf.DUMMYFUNCTION("""COMPUTED_VALUE"""),3.7)</f>
        <v>3.7</v>
      </c>
      <c r="AP42" s="674">
        <f>IFERROR(__xludf.DUMMYFUNCTION("""COMPUTED_VALUE"""),1590.0)</f>
        <v>1590</v>
      </c>
      <c r="AQ42" s="673">
        <f>IFERROR(__xludf.DUMMYFUNCTION("""COMPUTED_VALUE"""),-0.2)</f>
        <v>-0.2</v>
      </c>
      <c r="AR42" s="673">
        <f>IFERROR(__xludf.DUMMYFUNCTION("""COMPUTED_VALUE"""),0.0)</f>
        <v>0</v>
      </c>
      <c r="AS42" s="673">
        <f>IFERROR(__xludf.DUMMYFUNCTION("""COMPUTED_VALUE"""),-0.1)</f>
        <v>-0.1</v>
      </c>
      <c r="AT42" s="673">
        <f>IFERROR(__xludf.DUMMYFUNCTION("""COMPUTED_VALUE"""),0.0)</f>
        <v>0</v>
      </c>
      <c r="AU42" s="673">
        <f>IFERROR(__xludf.DUMMYFUNCTION("""COMPUTED_VALUE"""),0.0)</f>
        <v>0</v>
      </c>
      <c r="AV42" s="673">
        <f>IFERROR(__xludf.DUMMYFUNCTION("""COMPUTED_VALUE"""),0.0)</f>
        <v>0</v>
      </c>
      <c r="AW42" s="139"/>
      <c r="AX42" s="674">
        <f>IFERROR(__xludf.DUMMYFUNCTION("""COMPUTED_VALUE"""),2070.0)</f>
        <v>2070</v>
      </c>
      <c r="AY42" s="688">
        <f>IFERROR(__xludf.DUMMYFUNCTION("""COMPUTED_VALUE"""),16918.208206913034)</f>
        <v>16918.20821</v>
      </c>
      <c r="AZ42" s="674">
        <f>IFERROR(__xludf.DUMMYFUNCTION("""COMPUTED_VALUE"""),1380.0)</f>
        <v>1380</v>
      </c>
      <c r="BA42" s="688">
        <f>IFERROR(__xludf.DUMMYFUNCTION("""COMPUTED_VALUE"""),11278.805471275356)</f>
        <v>11278.80547</v>
      </c>
      <c r="BB42" s="688" t="str">
        <f>IFERROR(__xludf.DUMMYFUNCTION("""COMPUTED_VALUE"""),"-")</f>
        <v>-</v>
      </c>
      <c r="BC42" s="688" t="str">
        <f>IFERROR(__xludf.DUMMYFUNCTION("""COMPUTED_VALUE"""),"#VALUE!")</f>
        <v>#VALUE!</v>
      </c>
      <c r="BD42" s="688" t="str">
        <f>IFERROR(__xludf.DUMMYFUNCTION("""COMPUTED_VALUE"""),"#VALUE!")</f>
        <v>#VALUE!</v>
      </c>
      <c r="BE42" s="674">
        <f>IFERROR(__xludf.DUMMYFUNCTION("""COMPUTED_VALUE"""),1380.0)</f>
        <v>1380</v>
      </c>
      <c r="BF42" s="674">
        <f>IFERROR(__xludf.DUMMYFUNCTION("""COMPUTED_VALUE"""),1060.0)</f>
        <v>1060</v>
      </c>
      <c r="BG42" s="673">
        <f>IFERROR(__xludf.DUMMYFUNCTION("""COMPUTED_VALUE"""),0.0)</f>
        <v>0</v>
      </c>
      <c r="BH42" s="673">
        <f>IFERROR(__xludf.DUMMYFUNCTION("""COMPUTED_VALUE"""),0.3)</f>
        <v>0.3</v>
      </c>
      <c r="BI42" s="673">
        <f>IFERROR(__xludf.DUMMYFUNCTION("""COMPUTED_VALUE"""),0.0)</f>
        <v>0</v>
      </c>
      <c r="BJ42" s="673">
        <f>IFERROR(__xludf.DUMMYFUNCTION("""COMPUTED_VALUE"""),0.0)</f>
        <v>0</v>
      </c>
      <c r="BK42" s="673">
        <f>IFERROR(__xludf.DUMMYFUNCTION("""COMPUTED_VALUE"""),0.0)</f>
        <v>0</v>
      </c>
      <c r="BL42" s="673">
        <f>IFERROR(__xludf.DUMMYFUNCTION("""COMPUTED_VALUE"""),0.0)</f>
        <v>0</v>
      </c>
      <c r="BM42" s="674">
        <f>IFERROR(__xludf.DUMMYFUNCTION("""COMPUTED_VALUE"""),75.0)</f>
        <v>75</v>
      </c>
      <c r="BN42" s="674">
        <f>IFERROR(__xludf.DUMMYFUNCTION("""COMPUTED_VALUE"""),75.0)</f>
        <v>75</v>
      </c>
      <c r="BO42" s="675">
        <f>IFERROR(__xludf.DUMMYFUNCTION("""COMPUTED_VALUE"""),0.0)</f>
        <v>0</v>
      </c>
      <c r="BP42" s="675">
        <f>IFERROR(__xludf.DUMMYFUNCTION("""COMPUTED_VALUE"""),1.5)</f>
        <v>1.5</v>
      </c>
      <c r="BQ42" s="675" t="str">
        <f>IFERROR(__xludf.DUMMYFUNCTION("""COMPUTED_VALUE"""),"※")</f>
        <v>※</v>
      </c>
      <c r="BR42" s="139">
        <f>IFERROR(__xludf.DUMMYFUNCTION("""COMPUTED_VALUE"""),2.0)</f>
        <v>2</v>
      </c>
      <c r="BS42" s="139">
        <f>IFERROR(__xludf.DUMMYFUNCTION("""COMPUTED_VALUE"""),40.0)</f>
        <v>40</v>
      </c>
      <c r="BT42" s="139">
        <f>IFERROR(__xludf.DUMMYFUNCTION("""COMPUTED_VALUE"""),0.33999999999999997)</f>
        <v>0.34</v>
      </c>
      <c r="BU42" s="139">
        <f>IFERROR(__xludf.DUMMYFUNCTION("""COMPUTED_VALUE"""),0.0)</f>
        <v>0</v>
      </c>
      <c r="BV42" s="139" t="str">
        <f>IFERROR(__xludf.DUMMYFUNCTION("""COMPUTED_VALUE"""),"普通-速")</f>
        <v>普通-速</v>
      </c>
      <c r="BW42" s="139" t="str">
        <f>IFERROR(__xludf.DUMMYFUNCTION("""COMPUTED_VALUE"""),"氷結攻撃無効化")</f>
        <v>氷結攻撃無効化</v>
      </c>
      <c r="BX42" s="139">
        <f>IFERROR(__xludf.DUMMYFUNCTION("""COMPUTED_VALUE"""),50.0)</f>
        <v>50</v>
      </c>
      <c r="BY42" s="139">
        <f>IFERROR(__xludf.DUMMYFUNCTION("""COMPUTED_VALUE"""),0.0)</f>
        <v>0</v>
      </c>
      <c r="BZ42" s="139" t="str">
        <f>IFERROR(__xludf.DUMMYFUNCTION("""COMPUTED_VALUE"""),"攻撃DOWNコマ無効化")</f>
        <v>攻撃DOWNコマ無効化</v>
      </c>
      <c r="CA42" s="139" t="str">
        <f>IFERROR(__xludf.DUMMYFUNCTION("""COMPUTED_VALUE"""),"-")</f>
        <v>-</v>
      </c>
      <c r="CB42" s="139">
        <f>IFERROR(__xludf.DUMMYFUNCTION("""COMPUTED_VALUE"""),4.0)</f>
        <v>4</v>
      </c>
      <c r="CC42" s="139" t="str">
        <f>IFERROR(__xludf.DUMMYFUNCTION("""COMPUTED_VALUE"""),"中距離")</f>
        <v>中距離</v>
      </c>
      <c r="CD42" s="139" t="str">
        <f>IFERROR(__xludf.DUMMYFUNCTION("""COMPUTED_VALUE"""),"単体")</f>
        <v>単体</v>
      </c>
      <c r="CE42" s="139">
        <f>IFERROR(__xludf.DUMMYFUNCTION("""COMPUTED_VALUE"""),1.0)</f>
        <v>1</v>
      </c>
      <c r="CF42" s="139">
        <f>IFERROR(__xludf.DUMMYFUNCTION("""COMPUTED_VALUE"""),0.35)</f>
        <v>0.35</v>
      </c>
      <c r="CG42" s="139" t="str">
        <f>IFERROR(__xludf.DUMMYFUNCTION("""COMPUTED_VALUE"""),"中距離")</f>
        <v>中距離</v>
      </c>
      <c r="CH42" s="139" t="str">
        <f>IFERROR(__xludf.DUMMYFUNCTION("""COMPUTED_VALUE"""),"範囲(小)")</f>
        <v>範囲(小)</v>
      </c>
      <c r="CI42" s="139">
        <f>IFERROR(__xludf.DUMMYFUNCTION("""COMPUTED_VALUE"""),0.75)</f>
        <v>0.75</v>
      </c>
      <c r="CJ42" s="139">
        <f>IFERROR(__xludf.DUMMYFUNCTION("""COMPUTED_VALUE"""),0.44999999999999996)</f>
        <v>0.45</v>
      </c>
      <c r="CK42" s="139" t="str">
        <f>IFERROR(__xludf.DUMMYFUNCTION("""COMPUTED_VALUE"""),"敵")</f>
        <v>敵</v>
      </c>
      <c r="CL42" s="139" t="str">
        <f>IFERROR(__xludf.DUMMYFUNCTION("""COMPUTED_VALUE"""),"All")</f>
        <v>All</v>
      </c>
      <c r="CM42" s="139" t="str">
        <f>IFERROR(__xludf.DUMMYFUNCTION("""COMPUTED_VALUE"""),"All")</f>
        <v>All</v>
      </c>
      <c r="CN42" s="675">
        <f>IFERROR(__xludf.DUMMYFUNCTION("""COMPUTED_VALUE"""),13.22432654239905)</f>
        <v>13.22432654</v>
      </c>
      <c r="CO42" s="139" t="str">
        <f>IFERROR(__xludf.DUMMYFUNCTION("""COMPUTED_VALUE"""),"-")</f>
        <v>-</v>
      </c>
      <c r="CP42" s="139" t="str">
        <f>IFERROR(__xludf.DUMMYFUNCTION("""COMPUTED_VALUE"""),"-")</f>
        <v>-</v>
      </c>
      <c r="CQ42" s="139" t="str">
        <f>IFERROR(__xludf.DUMMYFUNCTION("""COMPUTED_VALUE"""),"-")</f>
        <v>-</v>
      </c>
      <c r="CR42" s="139" t="str">
        <f>IFERROR(__xludf.DUMMYFUNCTION("""COMPUTED_VALUE"""),"-")</f>
        <v>-</v>
      </c>
      <c r="CS42" s="673" t="str">
        <f>IFERROR(__xludf.DUMMYFUNCTION("""COMPUTED_VALUE"""),"連続攻撃")</f>
        <v>連続攻撃</v>
      </c>
      <c r="CT42" s="139" t="str">
        <f>IFERROR(__xludf.DUMMYFUNCTION("""COMPUTED_VALUE"""),"-")</f>
        <v>-</v>
      </c>
      <c r="CU42" s="139" t="str">
        <f>IFERROR(__xludf.DUMMYFUNCTION("""COMPUTED_VALUE"""),"敵")</f>
        <v>敵</v>
      </c>
      <c r="CV42" s="139" t="str">
        <f>IFERROR(__xludf.DUMMYFUNCTION("""COMPUTED_VALUE"""),"All")</f>
        <v>All</v>
      </c>
      <c r="CW42" s="139" t="str">
        <f>IFERROR(__xludf.DUMMYFUNCTION("""COMPUTED_VALUE"""),"All")</f>
        <v>All</v>
      </c>
      <c r="CX42" s="674">
        <f>IFERROR(__xludf.DUMMYFUNCTION("""COMPUTED_VALUE"""),169.0)</f>
        <v>169</v>
      </c>
      <c r="CY42" s="139" t="str">
        <f>IFERROR(__xludf.DUMMYFUNCTION("""COMPUTED_VALUE"""),"-")</f>
        <v>-</v>
      </c>
      <c r="CZ42" s="688">
        <f>IFERROR(__xludf.DUMMYFUNCTION("""COMPUTED_VALUE"""),28592.0)</f>
        <v>28592</v>
      </c>
      <c r="DA42" s="688">
        <f>IFERROR(__xludf.DUMMYFUNCTION("""COMPUTED_VALUE"""),2319.3872329709143)</f>
        <v>2319.387233</v>
      </c>
      <c r="DB42" s="688">
        <f>IFERROR(__xludf.DUMMYFUNCTION("""COMPUTED_VALUE"""),11596.936164854571)</f>
        <v>11596.93616</v>
      </c>
      <c r="DC42" s="139" t="str">
        <f>IFERROR(__xludf.DUMMYFUNCTION("""COMPUTED_VALUE"""),"-")</f>
        <v>-</v>
      </c>
      <c r="DD42" s="673" t="str">
        <f>IFERROR(__xludf.DUMMYFUNCTION("""COMPUTED_VALUE"""),"-")</f>
        <v>-</v>
      </c>
      <c r="DE42" s="139" t="str">
        <f>IFERROR(__xludf.DUMMYFUNCTION("""COMPUTED_VALUE"""),"-")</f>
        <v>-</v>
      </c>
      <c r="DF42" s="139" t="str">
        <f>IFERROR(__xludf.DUMMYFUNCTION("""COMPUTED_VALUE"""),"-")</f>
        <v>-</v>
      </c>
      <c r="DG42" s="139" t="str">
        <f>IFERROR(__xludf.DUMMYFUNCTION("""COMPUTED_VALUE"""),"-")</f>
        <v>-</v>
      </c>
      <c r="DH42" s="139" t="str">
        <f>IFERROR(__xludf.DUMMYFUNCTION("""COMPUTED_VALUE"""),"-")</f>
        <v>-</v>
      </c>
      <c r="DI42" s="139" t="str">
        <f>IFERROR(__xludf.DUMMYFUNCTION("""COMPUTED_VALUE"""),"-")</f>
        <v>-</v>
      </c>
      <c r="DJ42" s="139" t="str">
        <f>IFERROR(__xludf.DUMMYFUNCTION("""COMPUTED_VALUE"""),"-")</f>
        <v>-</v>
      </c>
    </row>
    <row r="43">
      <c r="A43" s="139" t="str">
        <f>IFERROR(__xludf.DUMMYFUNCTION("""COMPUTED_VALUE"""),"サマータイムレンダ")</f>
        <v>サマータイムレンダ</v>
      </c>
      <c r="B43" s="139" t="str">
        <f>IFERROR(__xludf.DUMMYFUNCTION("""COMPUTED_VALUE"""),"網代 慎平")</f>
        <v>網代 慎平</v>
      </c>
      <c r="C43" s="139" t="str">
        <f>IFERROR(__xludf.DUMMYFUNCTION("""COMPUTED_VALUE"""),"chara_sum_00001")</f>
        <v>chara_sum_00001</v>
      </c>
      <c r="D43" s="139" t="str">
        <f>IFERROR(__xludf.DUMMYFUNCTION("""COMPUTED_VALUE"""),"PremiumR")</f>
        <v>PremiumR</v>
      </c>
      <c r="E43" s="139" t="str">
        <f>IFERROR(__xludf.DUMMYFUNCTION("""COMPUTED_VALUE"""),"青")</f>
        <v>青</v>
      </c>
      <c r="F43" s="139" t="str">
        <f>IFERROR(__xludf.DUMMYFUNCTION("""COMPUTED_VALUE"""),"テクニカル")</f>
        <v>テクニカル</v>
      </c>
      <c r="G43" s="139" t="str">
        <f>IFERROR(__xludf.DUMMYFUNCTION("""COMPUTED_VALUE"""),"遠距離")</f>
        <v>遠距離</v>
      </c>
      <c r="H43" s="139" t="str">
        <f>IFERROR(__xludf.DUMMYFUNCTION("""COMPUTED_VALUE"""),"shageki_1")</f>
        <v>shageki_1</v>
      </c>
      <c r="I43" s="139" t="str">
        <f>IFERROR(__xludf.DUMMYFUNCTION("""COMPUTED_VALUE"""),"shageki_1")</f>
        <v>shageki_1</v>
      </c>
      <c r="J43" s="139" t="str">
        <f>IFERROR(__xludf.DUMMYFUNCTION("""COMPUTED_VALUE"""),"202509010_リリース")</f>
        <v>202509010_リリース</v>
      </c>
      <c r="K43" s="139" t="str">
        <f>IFERROR(__xludf.DUMMYFUNCTION("""COMPUTED_VALUE"""),"リリース時")</f>
        <v>リリース時</v>
      </c>
      <c r="L43" s="139" t="str">
        <f>IFERROR(__xludf.DUMMYFUNCTION("""COMPUTED_VALUE"""),"※")</f>
        <v>※</v>
      </c>
      <c r="M43" s="674">
        <f>IFERROR(__xludf.DUMMYFUNCTION("""COMPUTED_VALUE"""),515.0)</f>
        <v>515</v>
      </c>
      <c r="N43" s="139">
        <f>IFERROR(__xludf.DUMMYFUNCTION("""COMPUTED_VALUE"""),600.0)</f>
        <v>600</v>
      </c>
      <c r="O43" s="139" t="str">
        <f>IFERROR(__xludf.DUMMYFUNCTION("""COMPUTED_VALUE"""),"中コスト")</f>
        <v>中コスト</v>
      </c>
      <c r="P43" s="139">
        <f>IFERROR(__xludf.DUMMYFUNCTION("""COMPUTED_VALUE"""),-100.0)</f>
        <v>-100</v>
      </c>
      <c r="Q43" s="675">
        <f>IFERROR(__xludf.DUMMYFUNCTION("""COMPUTED_VALUE"""),15.0)</f>
        <v>15</v>
      </c>
      <c r="R43" s="675">
        <f>IFERROR(__xludf.DUMMYFUNCTION("""COMPUTED_VALUE"""),0.0)</f>
        <v>0</v>
      </c>
      <c r="S43" s="675">
        <f>IFERROR(__xludf.DUMMYFUNCTION("""COMPUTED_VALUE"""),10.375)</f>
        <v>10.375</v>
      </c>
      <c r="T43" s="674">
        <f>IFERROR(__xludf.DUMMYFUNCTION("""COMPUTED_VALUE"""),225.0)</f>
        <v>225</v>
      </c>
      <c r="U43" s="675">
        <f>IFERROR(__xludf.DUMMYFUNCTION("""COMPUTED_VALUE"""),4.546666666666668)</f>
        <v>4.546666667</v>
      </c>
      <c r="V43" s="675">
        <f>IFERROR(__xludf.DUMMYFUNCTION("""COMPUTED_VALUE"""),0.0)</f>
        <v>0</v>
      </c>
      <c r="W43" s="675">
        <f>IFERROR(__xludf.DUMMYFUNCTION("""COMPUTED_VALUE"""),0.0)</f>
        <v>0</v>
      </c>
      <c r="X43" s="675">
        <f>IFERROR(__xludf.DUMMYFUNCTION("""COMPUTED_VALUE"""),0.0)</f>
        <v>0</v>
      </c>
      <c r="Y43" s="674">
        <f>IFERROR(__xludf.DUMMYFUNCTION("""COMPUTED_VALUE"""),120.0)</f>
        <v>120</v>
      </c>
      <c r="Z43" s="675">
        <f>IFERROR(__xludf.DUMMYFUNCTION("""COMPUTED_VALUE"""),2.376666666666667)</f>
        <v>2.376666667</v>
      </c>
      <c r="AA43" s="675">
        <f>IFERROR(__xludf.DUMMYFUNCTION("""COMPUTED_VALUE"""),0.0)</f>
        <v>0</v>
      </c>
      <c r="AB43" s="673">
        <f>IFERROR(__xludf.DUMMYFUNCTION("""COMPUTED_VALUE"""),0.0)</f>
        <v>0</v>
      </c>
      <c r="AC43" s="675">
        <f>IFERROR(__xludf.DUMMYFUNCTION("""COMPUTED_VALUE"""),0.0)</f>
        <v>0</v>
      </c>
      <c r="AD43" s="674">
        <f>IFERROR(__xludf.DUMMYFUNCTION("""COMPUTED_VALUE"""),1190.0)</f>
        <v>1190</v>
      </c>
      <c r="AE43" s="675">
        <f>IFERROR(__xludf.DUMMYFUNCTION("""COMPUTED_VALUE"""),23.79147189360848)</f>
        <v>23.79147189</v>
      </c>
      <c r="AF43" s="675">
        <f>IFERROR(__xludf.DUMMYFUNCTION("""COMPUTED_VALUE"""),0.0)</f>
        <v>0</v>
      </c>
      <c r="AG43" s="675">
        <f>IFERROR(__xludf.DUMMYFUNCTION("""COMPUTED_VALUE"""),15.884723720897611)</f>
        <v>15.88472372</v>
      </c>
      <c r="AH43" s="675">
        <f>IFERROR(__xludf.DUMMYFUNCTION("""COMPUTED_VALUE"""),0.0)</f>
        <v>0</v>
      </c>
      <c r="AI43" s="675">
        <f>IFERROR(__xludf.DUMMYFUNCTION("""COMPUTED_VALUE"""),6.899999999999999)</f>
        <v>6.9</v>
      </c>
      <c r="AJ43" s="675">
        <f>IFERROR(__xludf.DUMMYFUNCTION("""COMPUTED_VALUE"""),16.891471893608482)</f>
        <v>16.89147189</v>
      </c>
      <c r="AK43" s="139">
        <f>IFERROR(__xludf.DUMMYFUNCTION("""COMPUTED_VALUE"""),1.0)</f>
        <v>1</v>
      </c>
      <c r="AL43" s="674">
        <f>IFERROR(__xludf.DUMMYFUNCTION("""COMPUTED_VALUE"""),620.0)</f>
        <v>620</v>
      </c>
      <c r="AM43" s="688">
        <f>IFERROR(__xludf.DUMMYFUNCTION("""COMPUTED_VALUE"""),4421.357433954628)</f>
        <v>4421.357434</v>
      </c>
      <c r="AN43" s="675">
        <f>IFERROR(__xludf.DUMMYFUNCTION("""COMPUTED_VALUE"""),4.133333333333334)</f>
        <v>4.133333333</v>
      </c>
      <c r="AO43" s="675">
        <f>IFERROR(__xludf.DUMMYFUNCTION("""COMPUTED_VALUE"""),2.066666666666667)</f>
        <v>2.066666667</v>
      </c>
      <c r="AP43" s="674">
        <f>IFERROR(__xludf.DUMMYFUNCTION("""COMPUTED_VALUE"""),1550.0)</f>
        <v>1550</v>
      </c>
      <c r="AQ43" s="673">
        <f>IFERROR(__xludf.DUMMYFUNCTION("""COMPUTED_VALUE"""),-0.3)</f>
        <v>-0.3</v>
      </c>
      <c r="AR43" s="673">
        <f>IFERROR(__xludf.DUMMYFUNCTION("""COMPUTED_VALUE"""),0.0)</f>
        <v>0</v>
      </c>
      <c r="AS43" s="673">
        <f>IFERROR(__xludf.DUMMYFUNCTION("""COMPUTED_VALUE"""),-0.3)</f>
        <v>-0.3</v>
      </c>
      <c r="AT43" s="673">
        <f>IFERROR(__xludf.DUMMYFUNCTION("""COMPUTED_VALUE"""),0.0)</f>
        <v>0</v>
      </c>
      <c r="AU43" s="673">
        <f>IFERROR(__xludf.DUMMYFUNCTION("""COMPUTED_VALUE"""),0.0)</f>
        <v>0</v>
      </c>
      <c r="AV43" s="673">
        <f>IFERROR(__xludf.DUMMYFUNCTION("""COMPUTED_VALUE"""),0.0)</f>
        <v>0</v>
      </c>
      <c r="AW43" s="139"/>
      <c r="AX43" s="674">
        <f>IFERROR(__xludf.DUMMYFUNCTION("""COMPUTED_VALUE"""),2710.0)</f>
        <v>2710</v>
      </c>
      <c r="AY43" s="688">
        <f>IFERROR(__xludf.DUMMYFUNCTION("""COMPUTED_VALUE"""),19327.906203253293)</f>
        <v>19327.9062</v>
      </c>
      <c r="AZ43" s="674">
        <f>IFERROR(__xludf.DUMMYFUNCTION("""COMPUTED_VALUE"""),1130.0)</f>
        <v>1130</v>
      </c>
      <c r="BA43" s="688">
        <f>IFERROR(__xludf.DUMMYFUNCTION("""COMPUTED_VALUE"""),8053.294251355539)</f>
        <v>8053.294251</v>
      </c>
      <c r="BB43" s="688" t="str">
        <f>IFERROR(__xludf.DUMMYFUNCTION("""COMPUTED_VALUE"""),"-")</f>
        <v>-</v>
      </c>
      <c r="BC43" s="688" t="str">
        <f>IFERROR(__xludf.DUMMYFUNCTION("""COMPUTED_VALUE"""),"#VALUE!")</f>
        <v>#VALUE!</v>
      </c>
      <c r="BD43" s="688" t="str">
        <f>IFERROR(__xludf.DUMMYFUNCTION("""COMPUTED_VALUE"""),"#VALUE!")</f>
        <v>#VALUE!</v>
      </c>
      <c r="BE43" s="674">
        <f>IFERROR(__xludf.DUMMYFUNCTION("""COMPUTED_VALUE"""),1130.0)</f>
        <v>1130</v>
      </c>
      <c r="BF43" s="674">
        <f>IFERROR(__xludf.DUMMYFUNCTION("""COMPUTED_VALUE"""),1030.0)</f>
        <v>1030</v>
      </c>
      <c r="BG43" s="673">
        <f>IFERROR(__xludf.DUMMYFUNCTION("""COMPUTED_VALUE"""),0.0)</f>
        <v>0</v>
      </c>
      <c r="BH43" s="673">
        <f>IFERROR(__xludf.DUMMYFUNCTION("""COMPUTED_VALUE"""),0.1)</f>
        <v>0.1</v>
      </c>
      <c r="BI43" s="673">
        <f>IFERROR(__xludf.DUMMYFUNCTION("""COMPUTED_VALUE"""),0.0)</f>
        <v>0</v>
      </c>
      <c r="BJ43" s="673">
        <f>IFERROR(__xludf.DUMMYFUNCTION("""COMPUTED_VALUE"""),0.0)</f>
        <v>0</v>
      </c>
      <c r="BK43" s="673">
        <f>IFERROR(__xludf.DUMMYFUNCTION("""COMPUTED_VALUE"""),0.0)</f>
        <v>0</v>
      </c>
      <c r="BL43" s="673">
        <f>IFERROR(__xludf.DUMMYFUNCTION("""COMPUTED_VALUE"""),0.0)</f>
        <v>0</v>
      </c>
      <c r="BM43" s="674">
        <f>IFERROR(__xludf.DUMMYFUNCTION("""COMPUTED_VALUE"""),120.0)</f>
        <v>120</v>
      </c>
      <c r="BN43" s="674">
        <f>IFERROR(__xludf.DUMMYFUNCTION("""COMPUTED_VALUE"""),150.0)</f>
        <v>150</v>
      </c>
      <c r="BO43" s="675">
        <f>IFERROR(__xludf.DUMMYFUNCTION("""COMPUTED_VALUE"""),-30.0)</f>
        <v>-30</v>
      </c>
      <c r="BP43" s="675">
        <f>IFERROR(__xludf.DUMMYFUNCTION("""COMPUTED_VALUE"""),2.4)</f>
        <v>2.4</v>
      </c>
      <c r="BQ43" s="675" t="str">
        <f>IFERROR(__xludf.DUMMYFUNCTION("""COMPUTED_VALUE"""),"※")</f>
        <v>※</v>
      </c>
      <c r="BR43" s="139">
        <f>IFERROR(__xludf.DUMMYFUNCTION("""COMPUTED_VALUE"""),3.0)</f>
        <v>3</v>
      </c>
      <c r="BS43" s="139">
        <f>IFERROR(__xludf.DUMMYFUNCTION("""COMPUTED_VALUE"""),30.0)</f>
        <v>30</v>
      </c>
      <c r="BT43" s="139">
        <f>IFERROR(__xludf.DUMMYFUNCTION("""COMPUTED_VALUE"""),0.61)</f>
        <v>0.61</v>
      </c>
      <c r="BU43" s="139">
        <f>IFERROR(__xludf.DUMMYFUNCTION("""COMPUTED_VALUE"""),0.0)</f>
        <v>0</v>
      </c>
      <c r="BV43" s="139" t="str">
        <f>IFERROR(__xludf.DUMMYFUNCTION("""COMPUTED_VALUE"""),"普通-速")</f>
        <v>普通-速</v>
      </c>
      <c r="BW43" s="139" t="str">
        <f>IFERROR(__xludf.DUMMYFUNCTION("""COMPUTED_VALUE"""),"-")</f>
        <v>-</v>
      </c>
      <c r="BX43" s="139" t="str">
        <f>IFERROR(__xludf.DUMMYFUNCTION("""COMPUTED_VALUE"""),"-")</f>
        <v>-</v>
      </c>
      <c r="BY43" s="139" t="str">
        <f>IFERROR(__xludf.DUMMYFUNCTION("""COMPUTED_VALUE"""),"-")</f>
        <v>-</v>
      </c>
      <c r="BZ43" s="139" t="str">
        <f>IFERROR(__xludf.DUMMYFUNCTION("""COMPUTED_VALUE"""),"-")</f>
        <v>-</v>
      </c>
      <c r="CA43" s="139" t="str">
        <f>IFERROR(__xludf.DUMMYFUNCTION("""COMPUTED_VALUE"""),"-")</f>
        <v>-</v>
      </c>
      <c r="CB43" s="139" t="str">
        <f>IFERROR(__xludf.DUMMYFUNCTION("""COMPUTED_VALUE"""),"-")</f>
        <v>-</v>
      </c>
      <c r="CC43" s="139" t="str">
        <f>IFERROR(__xludf.DUMMYFUNCTION("""COMPUTED_VALUE"""),"遠距離")</f>
        <v>遠距離</v>
      </c>
      <c r="CD43" s="139" t="str">
        <f>IFERROR(__xludf.DUMMYFUNCTION("""COMPUTED_VALUE"""),"単体")</f>
        <v>単体</v>
      </c>
      <c r="CE43" s="139">
        <f>IFERROR(__xludf.DUMMYFUNCTION("""COMPUTED_VALUE"""),1.0)</f>
        <v>1</v>
      </c>
      <c r="CF43" s="139">
        <f>IFERROR(__xludf.DUMMYFUNCTION("""COMPUTED_VALUE"""),0.62)</f>
        <v>0.62</v>
      </c>
      <c r="CG43" s="139" t="str">
        <f>IFERROR(__xludf.DUMMYFUNCTION("""COMPUTED_VALUE"""),"遠距離")</f>
        <v>遠距離</v>
      </c>
      <c r="CH43" s="139" t="str">
        <f>IFERROR(__xludf.DUMMYFUNCTION("""COMPUTED_VALUE"""),"単体")</f>
        <v>単体</v>
      </c>
      <c r="CI43" s="139">
        <f>IFERROR(__xludf.DUMMYFUNCTION("""COMPUTED_VALUE"""),1.0)</f>
        <v>1</v>
      </c>
      <c r="CJ43" s="139">
        <f>IFERROR(__xludf.DUMMYFUNCTION("""COMPUTED_VALUE"""),0.62)</f>
        <v>0.62</v>
      </c>
      <c r="CK43" s="139" t="str">
        <f>IFERROR(__xludf.DUMMYFUNCTION("""COMPUTED_VALUE"""),"敵")</f>
        <v>敵</v>
      </c>
      <c r="CL43" s="139" t="str">
        <f>IFERROR(__xludf.DUMMYFUNCTION("""COMPUTED_VALUE"""),"All")</f>
        <v>All</v>
      </c>
      <c r="CM43" s="139" t="str">
        <f>IFERROR(__xludf.DUMMYFUNCTION("""COMPUTED_VALUE"""),"All")</f>
        <v>All</v>
      </c>
      <c r="CN43" s="675">
        <f>IFERROR(__xludf.DUMMYFUNCTION("""COMPUTED_VALUE"""),23.79147189360848)</f>
        <v>23.79147189</v>
      </c>
      <c r="CO43" s="139" t="str">
        <f>IFERROR(__xludf.DUMMYFUNCTION("""COMPUTED_VALUE"""),"-")</f>
        <v>-</v>
      </c>
      <c r="CP43" s="139" t="str">
        <f>IFERROR(__xludf.DUMMYFUNCTION("""COMPUTED_VALUE"""),"-")</f>
        <v>-</v>
      </c>
      <c r="CQ43" s="139" t="str">
        <f>IFERROR(__xludf.DUMMYFUNCTION("""COMPUTED_VALUE"""),"-")</f>
        <v>-</v>
      </c>
      <c r="CR43" s="139" t="str">
        <f>IFERROR(__xludf.DUMMYFUNCTION("""COMPUTED_VALUE"""),"安定型")</f>
        <v>安定型</v>
      </c>
      <c r="CS43" s="673" t="str">
        <f>IFERROR(__xludf.DUMMYFUNCTION("""COMPUTED_VALUE"""),"連続攻撃")</f>
        <v>連続攻撃</v>
      </c>
      <c r="CT43" s="139" t="str">
        <f>IFERROR(__xludf.DUMMYFUNCTION("""COMPUTED_VALUE"""),"安定型")</f>
        <v>安定型</v>
      </c>
      <c r="CU43" s="139" t="str">
        <f>IFERROR(__xludf.DUMMYFUNCTION("""COMPUTED_VALUE"""),"敵")</f>
        <v>敵</v>
      </c>
      <c r="CV43" s="139" t="str">
        <f>IFERROR(__xludf.DUMMYFUNCTION("""COMPUTED_VALUE"""),"All")</f>
        <v>All</v>
      </c>
      <c r="CW43" s="139" t="str">
        <f>IFERROR(__xludf.DUMMYFUNCTION("""COMPUTED_VALUE"""),"All")</f>
        <v>All</v>
      </c>
      <c r="CX43" s="674">
        <f>IFERROR(__xludf.DUMMYFUNCTION("""COMPUTED_VALUE"""),178.0)</f>
        <v>178</v>
      </c>
      <c r="CY43" s="139" t="str">
        <f>IFERROR(__xludf.DUMMYFUNCTION("""COMPUTED_VALUE"""),"-")</f>
        <v>-</v>
      </c>
      <c r="CZ43" s="688">
        <f>IFERROR(__xludf.DUMMYFUNCTION("""COMPUTED_VALUE"""),34404.0)</f>
        <v>34404</v>
      </c>
      <c r="DA43" s="688">
        <f>IFERROR(__xludf.DUMMYFUNCTION("""COMPUTED_VALUE"""),1589.0999405302343)</f>
        <v>1589.099941</v>
      </c>
      <c r="DB43" s="688">
        <f>IFERROR(__xludf.DUMMYFUNCTION("""COMPUTED_VALUE"""),0.0)</f>
        <v>0</v>
      </c>
      <c r="DC43" s="673" t="str">
        <f>IFERROR(__xludf.DUMMYFUNCTION("""COMPUTED_VALUE"""),"攻撃力Down")</f>
        <v>攻撃力Down</v>
      </c>
      <c r="DD43" s="673">
        <f>IFERROR(__xludf.DUMMYFUNCTION("""COMPUTED_VALUE"""),14.0)</f>
        <v>14</v>
      </c>
      <c r="DE43" s="139">
        <f>IFERROR(__xludf.DUMMYFUNCTION("""COMPUTED_VALUE"""),6.9)</f>
        <v>6.9</v>
      </c>
      <c r="DF43" s="139" t="str">
        <f>IFERROR(__xludf.DUMMYFUNCTION("""COMPUTED_VALUE"""),"-")</f>
        <v>-</v>
      </c>
      <c r="DG43" s="139" t="str">
        <f>IFERROR(__xludf.DUMMYFUNCTION("""COMPUTED_VALUE"""),"-")</f>
        <v>-</v>
      </c>
      <c r="DH43" s="139" t="str">
        <f>IFERROR(__xludf.DUMMYFUNCTION("""COMPUTED_VALUE"""),"-")</f>
        <v>-</v>
      </c>
      <c r="DI43" s="139" t="str">
        <f>IFERROR(__xludf.DUMMYFUNCTION("""COMPUTED_VALUE"""),"-")</f>
        <v>-</v>
      </c>
      <c r="DJ43" s="139" t="str">
        <f>IFERROR(__xludf.DUMMYFUNCTION("""COMPUTED_VALUE"""),"-")</f>
        <v>-</v>
      </c>
    </row>
    <row r="44">
      <c r="A44" s="139" t="str">
        <f>IFERROR(__xludf.DUMMYFUNCTION("""COMPUTED_VALUE"""),"SPY×FAMILY")</f>
        <v>SPY×FAMILY</v>
      </c>
      <c r="B44" s="139" t="str">
        <f>IFERROR(__xludf.DUMMYFUNCTION("""COMPUTED_VALUE"""),"わくわく アーニャ")</f>
        <v>わくわく アーニャ</v>
      </c>
      <c r="C44" s="139" t="str">
        <f>IFERROR(__xludf.DUMMYFUNCTION("""COMPUTED_VALUE"""),"chara_spy_00001")</f>
        <v>chara_spy_00001</v>
      </c>
      <c r="D44" s="139" t="str">
        <f>IFERROR(__xludf.DUMMYFUNCTION("""COMPUTED_VALUE"""),"PremiumUR")</f>
        <v>PremiumUR</v>
      </c>
      <c r="E44" s="139" t="str">
        <f>IFERROR(__xludf.DUMMYFUNCTION("""COMPUTED_VALUE"""),"無")</f>
        <v>無</v>
      </c>
      <c r="F44" s="139" t="str">
        <f>IFERROR(__xludf.DUMMYFUNCTION("""COMPUTED_VALUE"""),"スペシャル")</f>
        <v>スペシャル</v>
      </c>
      <c r="G44" s="139" t="str">
        <f>IFERROR(__xludf.DUMMYFUNCTION("""COMPUTED_VALUE"""),"該当なし")</f>
        <v>該当なし</v>
      </c>
      <c r="H44" s="139" t="str">
        <f>IFERROR(__xludf.DUMMYFUNCTION("""COMPUTED_VALUE"""),"-")</f>
        <v>-</v>
      </c>
      <c r="I44" s="139" t="str">
        <f>IFERROR(__xludf.DUMMYFUNCTION("""COMPUTED_VALUE"""),"-")</f>
        <v>-</v>
      </c>
      <c r="J44" s="139" t="str">
        <f>IFERROR(__xludf.DUMMYFUNCTION("""COMPUTED_VALUE"""),"202509010_リリース")</f>
        <v>202509010_リリース</v>
      </c>
      <c r="K44" s="139" t="str">
        <f>IFERROR(__xludf.DUMMYFUNCTION("""COMPUTED_VALUE"""),"リリース時")</f>
        <v>リリース時</v>
      </c>
      <c r="L44" s="687" t="str">
        <f>IFERROR(__xludf.DUMMYFUNCTION("""COMPUTED_VALUE"""),"※")</f>
        <v>※</v>
      </c>
      <c r="M44" s="674">
        <f>IFERROR(__xludf.DUMMYFUNCTION("""COMPUTED_VALUE"""),500.0)</f>
        <v>500</v>
      </c>
      <c r="N44" s="139">
        <f>IFERROR(__xludf.DUMMYFUNCTION("""COMPUTED_VALUE"""),600.0)</f>
        <v>600</v>
      </c>
      <c r="O44" s="139" t="str">
        <f>IFERROR(__xludf.DUMMYFUNCTION("""COMPUTED_VALUE"""),"中コスト")</f>
        <v>中コスト</v>
      </c>
      <c r="P44" s="139">
        <f>IFERROR(__xludf.DUMMYFUNCTION("""COMPUTED_VALUE"""),-130.0)</f>
        <v>-130</v>
      </c>
      <c r="Q44" s="675">
        <f>IFERROR(__xludf.DUMMYFUNCTION("""COMPUTED_VALUE"""),30.0)</f>
        <v>30</v>
      </c>
      <c r="R44" s="675">
        <f>IFERROR(__xludf.DUMMYFUNCTION("""COMPUTED_VALUE"""),0.0)</f>
        <v>0</v>
      </c>
      <c r="S44" s="675">
        <f>IFERROR(__xludf.DUMMYFUNCTION("""COMPUTED_VALUE"""),10.0)</f>
        <v>10</v>
      </c>
      <c r="T44" s="674" t="str">
        <f>IFERROR(__xludf.DUMMYFUNCTION("""COMPUTED_VALUE"""),"-")</f>
        <v>-</v>
      </c>
      <c r="U44" s="674" t="str">
        <f>IFERROR(__xludf.DUMMYFUNCTION("""COMPUTED_VALUE"""),"-")</f>
        <v>-</v>
      </c>
      <c r="V44" s="674" t="str">
        <f>IFERROR(__xludf.DUMMYFUNCTION("""COMPUTED_VALUE"""),"-")</f>
        <v>-</v>
      </c>
      <c r="W44" s="674" t="str">
        <f>IFERROR(__xludf.DUMMYFUNCTION("""COMPUTED_VALUE"""),"-")</f>
        <v>-</v>
      </c>
      <c r="X44" s="674" t="str">
        <f>IFERROR(__xludf.DUMMYFUNCTION("""COMPUTED_VALUE"""),"-")</f>
        <v>-</v>
      </c>
      <c r="Y44" s="674" t="str">
        <f>IFERROR(__xludf.DUMMYFUNCTION("""COMPUTED_VALUE"""),"-")</f>
        <v>-</v>
      </c>
      <c r="Z44" s="675" t="str">
        <f>IFERROR(__xludf.DUMMYFUNCTION("""COMPUTED_VALUE"""),"#VALUE!")</f>
        <v>#VALUE!</v>
      </c>
      <c r="AA44" s="675" t="str">
        <f>IFERROR(__xludf.DUMMYFUNCTION("""COMPUTED_VALUE"""),"-")</f>
        <v>-</v>
      </c>
      <c r="AB44" s="674" t="str">
        <f>IFERROR(__xludf.DUMMYFUNCTION("""COMPUTED_VALUE"""),"-")</f>
        <v>-</v>
      </c>
      <c r="AC44" s="674" t="str">
        <f>IFERROR(__xludf.DUMMYFUNCTION("""COMPUTED_VALUE"""),"-")</f>
        <v>-</v>
      </c>
      <c r="AD44" s="674" t="str">
        <f>IFERROR(__xludf.DUMMYFUNCTION("""COMPUTED_VALUE"""),"-")</f>
        <v>-</v>
      </c>
      <c r="AE44" s="674" t="str">
        <f>IFERROR(__xludf.DUMMYFUNCTION("""COMPUTED_VALUE"""),"-")</f>
        <v>-</v>
      </c>
      <c r="AF44" s="674" t="str">
        <f>IFERROR(__xludf.DUMMYFUNCTION("""COMPUTED_VALUE"""),"-")</f>
        <v>-</v>
      </c>
      <c r="AG44" s="674" t="str">
        <f>IFERROR(__xludf.DUMMYFUNCTION("""COMPUTED_VALUE"""),"-")</f>
        <v>-</v>
      </c>
      <c r="AH44" s="674" t="str">
        <f>IFERROR(__xludf.DUMMYFUNCTION("""COMPUTED_VALUE"""),"-")</f>
        <v>-</v>
      </c>
      <c r="AI44" s="674" t="str">
        <f>IFERROR(__xludf.DUMMYFUNCTION("""COMPUTED_VALUE"""),"-")</f>
        <v>-</v>
      </c>
      <c r="AJ44" s="139" t="str">
        <f>IFERROR(__xludf.DUMMYFUNCTION("""COMPUTED_VALUE"""),"#VALUE!")</f>
        <v>#VALUE!</v>
      </c>
      <c r="AK44" s="674" t="str">
        <f>IFERROR(__xludf.DUMMYFUNCTION("""COMPUTED_VALUE"""),"-")</f>
        <v>-</v>
      </c>
      <c r="AL44" s="674" t="str">
        <f>IFERROR(__xludf.DUMMYFUNCTION("""COMPUTED_VALUE"""),"#VALUE!")</f>
        <v>#VALUE!</v>
      </c>
      <c r="AM44" s="674" t="str">
        <f>IFERROR(__xludf.DUMMYFUNCTION("""COMPUTED_VALUE"""),"-")</f>
        <v>-</v>
      </c>
      <c r="AN44" s="674" t="str">
        <f>IFERROR(__xludf.DUMMYFUNCTION("""COMPUTED_VALUE"""),"-")</f>
        <v>-</v>
      </c>
      <c r="AO44" s="674" t="str">
        <f>IFERROR(__xludf.DUMMYFUNCTION("""COMPUTED_VALUE"""),"-")</f>
        <v>-</v>
      </c>
      <c r="AP44" s="674">
        <f>IFERROR(__xludf.DUMMYFUNCTION("""COMPUTED_VALUE"""),1500.0)</f>
        <v>1500</v>
      </c>
      <c r="AQ44" s="674" t="str">
        <f>IFERROR(__xludf.DUMMYFUNCTION("""COMPUTED_VALUE"""),"-")</f>
        <v>-</v>
      </c>
      <c r="AR44" s="673" t="str">
        <f>IFERROR(__xludf.DUMMYFUNCTION("""COMPUTED_VALUE"""),"-")</f>
        <v>-</v>
      </c>
      <c r="AS44" s="674" t="str">
        <f>IFERROR(__xludf.DUMMYFUNCTION("""COMPUTED_VALUE"""),"-")</f>
        <v>-</v>
      </c>
      <c r="AT44" s="674" t="str">
        <f>IFERROR(__xludf.DUMMYFUNCTION("""COMPUTED_VALUE"""),"-")</f>
        <v>-</v>
      </c>
      <c r="AU44" s="673" t="str">
        <f>IFERROR(__xludf.DUMMYFUNCTION("""COMPUTED_VALUE"""),"-")</f>
        <v>-</v>
      </c>
      <c r="AV44" s="673">
        <f>IFERROR(__xludf.DUMMYFUNCTION("""COMPUTED_VALUE"""),0.0)</f>
        <v>0</v>
      </c>
      <c r="AW44" s="139"/>
      <c r="AX44" s="674" t="str">
        <f>IFERROR(__xludf.DUMMYFUNCTION("""COMPUTED_VALUE"""),"-")</f>
        <v>-</v>
      </c>
      <c r="AY44" s="674" t="str">
        <f>IFERROR(__xludf.DUMMYFUNCTION("""COMPUTED_VALUE"""),"-")</f>
        <v>-</v>
      </c>
      <c r="AZ44" s="674" t="str">
        <f>IFERROR(__xludf.DUMMYFUNCTION("""COMPUTED_VALUE"""),"-")</f>
        <v>-</v>
      </c>
      <c r="BA44" s="674" t="str">
        <f>IFERROR(__xludf.DUMMYFUNCTION("""COMPUTED_VALUE"""),"-")</f>
        <v>-</v>
      </c>
      <c r="BB44" s="688" t="str">
        <f>IFERROR(__xludf.DUMMYFUNCTION("""COMPUTED_VALUE"""),"#VALUE!")</f>
        <v>#VALUE!</v>
      </c>
      <c r="BC44" s="674" t="str">
        <f>IFERROR(__xludf.DUMMYFUNCTION("""COMPUTED_VALUE"""),"-")</f>
        <v>-</v>
      </c>
      <c r="BD44" s="674" t="str">
        <f>IFERROR(__xludf.DUMMYFUNCTION("""COMPUTED_VALUE"""),"-")</f>
        <v>-</v>
      </c>
      <c r="BE44" s="674" t="str">
        <f>IFERROR(__xludf.DUMMYFUNCTION("""COMPUTED_VALUE"""),"#VALUE!")</f>
        <v>#VALUE!</v>
      </c>
      <c r="BF44" s="674">
        <f>IFERROR(__xludf.DUMMYFUNCTION("""COMPUTED_VALUE"""),1000.0)</f>
        <v>1000</v>
      </c>
      <c r="BG44" s="674" t="str">
        <f>IFERROR(__xludf.DUMMYFUNCTION("""COMPUTED_VALUE"""),"-")</f>
        <v>-</v>
      </c>
      <c r="BH44" s="674" t="str">
        <f>IFERROR(__xludf.DUMMYFUNCTION("""COMPUTED_VALUE"""),"-")</f>
        <v>-</v>
      </c>
      <c r="BI44" s="674" t="str">
        <f>IFERROR(__xludf.DUMMYFUNCTION("""COMPUTED_VALUE"""),"-")</f>
        <v>-</v>
      </c>
      <c r="BJ44" s="673">
        <f>IFERROR(__xludf.DUMMYFUNCTION("""COMPUTED_VALUE"""),0.0)</f>
        <v>0</v>
      </c>
      <c r="BK44" s="673">
        <f>IFERROR(__xludf.DUMMYFUNCTION("""COMPUTED_VALUE"""),0.0)</f>
        <v>0</v>
      </c>
      <c r="BL44" s="673">
        <f>IFERROR(__xludf.DUMMYFUNCTION("""COMPUTED_VALUE"""),0.0)</f>
        <v>0</v>
      </c>
      <c r="BM44" s="674" t="str">
        <f>IFERROR(__xludf.DUMMYFUNCTION("""COMPUTED_VALUE"""),"-")</f>
        <v>-</v>
      </c>
      <c r="BN44" s="674" t="str">
        <f>IFERROR(__xludf.DUMMYFUNCTION("""COMPUTED_VALUE"""),"-")</f>
        <v>-</v>
      </c>
      <c r="BO44" s="674" t="str">
        <f>IFERROR(__xludf.DUMMYFUNCTION("""COMPUTED_VALUE"""),"-")</f>
        <v>-</v>
      </c>
      <c r="BP44" s="674" t="str">
        <f>IFERROR(__xludf.DUMMYFUNCTION("""COMPUTED_VALUE"""),"-")</f>
        <v>-</v>
      </c>
      <c r="BQ44" s="675" t="str">
        <f>IFERROR(__xludf.DUMMYFUNCTION("""COMPUTED_VALUE"""),"※")</f>
        <v>※</v>
      </c>
      <c r="BR44" s="674" t="str">
        <f>IFERROR(__xludf.DUMMYFUNCTION("""COMPUTED_VALUE"""),"-")</f>
        <v>-</v>
      </c>
      <c r="BS44" s="674" t="str">
        <f>IFERROR(__xludf.DUMMYFUNCTION("""COMPUTED_VALUE"""),"-")</f>
        <v>-</v>
      </c>
      <c r="BT44" s="674" t="str">
        <f>IFERROR(__xludf.DUMMYFUNCTION("""COMPUTED_VALUE"""),"-")</f>
        <v>-</v>
      </c>
      <c r="BU44" s="139">
        <f>IFERROR(__xludf.DUMMYFUNCTION("""COMPUTED_VALUE"""),0.0)</f>
        <v>0</v>
      </c>
      <c r="BV44" s="674" t="str">
        <f>IFERROR(__xludf.DUMMYFUNCTION("""COMPUTED_VALUE"""),"-")</f>
        <v>-</v>
      </c>
      <c r="BW44" s="674" t="str">
        <f>IFERROR(__xludf.DUMMYFUNCTION("""COMPUTED_VALUE"""),"-")</f>
        <v>-</v>
      </c>
      <c r="BX44" s="674" t="str">
        <f>IFERROR(__xludf.DUMMYFUNCTION("""COMPUTED_VALUE"""),"-")</f>
        <v>-</v>
      </c>
      <c r="BY44" s="139" t="str">
        <f>IFERROR(__xludf.DUMMYFUNCTION("""COMPUTED_VALUE"""),"-")</f>
        <v>-</v>
      </c>
      <c r="BZ44" s="674" t="str">
        <f>IFERROR(__xludf.DUMMYFUNCTION("""COMPUTED_VALUE"""),"-")</f>
        <v>-</v>
      </c>
      <c r="CA44" s="674" t="str">
        <f>IFERROR(__xludf.DUMMYFUNCTION("""COMPUTED_VALUE"""),"-")</f>
        <v>-</v>
      </c>
      <c r="CB44" s="674" t="str">
        <f>IFERROR(__xludf.DUMMYFUNCTION("""COMPUTED_VALUE"""),"-")</f>
        <v>-</v>
      </c>
      <c r="CC44" s="674" t="str">
        <f>IFERROR(__xludf.DUMMYFUNCTION("""COMPUTED_VALUE"""),"-")</f>
        <v>-</v>
      </c>
      <c r="CD44" s="674" t="str">
        <f>IFERROR(__xludf.DUMMYFUNCTION("""COMPUTED_VALUE"""),"-")</f>
        <v>-</v>
      </c>
      <c r="CE44" s="139" t="str">
        <f>IFERROR(__xludf.DUMMYFUNCTION("""COMPUTED_VALUE"""),"-")</f>
        <v>-</v>
      </c>
      <c r="CF44" s="139" t="str">
        <f>IFERROR(__xludf.DUMMYFUNCTION("""COMPUTED_VALUE"""),"#VALUE!")</f>
        <v>#VALUE!</v>
      </c>
      <c r="CG44" s="139" t="str">
        <f>IFERROR(__xludf.DUMMYFUNCTION("""COMPUTED_VALUE"""),"タップしたコマとその前後のコマ")</f>
        <v>タップしたコマとその前後のコマ</v>
      </c>
      <c r="CH44" s="139" t="str">
        <f>IFERROR(__xludf.DUMMYFUNCTION("""COMPUTED_VALUE"""),"タップしたコマとその前後のコマ")</f>
        <v>タップしたコマとその前後のコマ</v>
      </c>
      <c r="CI44" s="139" t="str">
        <f>IFERROR(__xludf.DUMMYFUNCTION("""COMPUTED_VALUE"""),"-")</f>
        <v>-</v>
      </c>
      <c r="CJ44" s="139" t="str">
        <f>IFERROR(__xludf.DUMMYFUNCTION("""COMPUTED_VALUE"""),"タップしたコマとその前後のコマ")</f>
        <v>タップしたコマとその前後のコマ</v>
      </c>
      <c r="CK44" s="139" t="str">
        <f>IFERROR(__xludf.DUMMYFUNCTION("""COMPUTED_VALUE"""),"味方")</f>
        <v>味方</v>
      </c>
      <c r="CL44" s="139" t="str">
        <f>IFERROR(__xludf.DUMMYFUNCTION("""COMPUTED_VALUE"""),"All")</f>
        <v>All</v>
      </c>
      <c r="CM44" s="139" t="str">
        <f>IFERROR(__xludf.DUMMYFUNCTION("""COMPUTED_VALUE"""),"All")</f>
        <v>All</v>
      </c>
      <c r="CN44" s="675" t="str">
        <f>IFERROR(__xludf.DUMMYFUNCTION("""COMPUTED_VALUE"""),"-")</f>
        <v>-</v>
      </c>
      <c r="CO44" s="675" t="str">
        <f>IFERROR(__xludf.DUMMYFUNCTION("""COMPUTED_VALUE"""),"#VALUE!")</f>
        <v>#VALUE!</v>
      </c>
      <c r="CP44" s="674" t="str">
        <f>IFERROR(__xludf.DUMMYFUNCTION("""COMPUTED_VALUE"""),"#REF!")</f>
        <v>#REF!</v>
      </c>
      <c r="CQ44" s="674" t="str">
        <f>IFERROR(__xludf.DUMMYFUNCTION("""COMPUTED_VALUE"""),"#REF!")</f>
        <v>#REF!</v>
      </c>
      <c r="CR44" s="139" t="str">
        <f>IFERROR(__xludf.DUMMYFUNCTION("""COMPUTED_VALUE"""),"SP専用")</f>
        <v>SP専用</v>
      </c>
      <c r="CS44" s="673" t="str">
        <f>IFERROR(__xludf.DUMMYFUNCTION("""COMPUTED_VALUE"""),"HP回復(割合)")</f>
        <v>HP回復(割合)</v>
      </c>
      <c r="CT44" s="139" t="str">
        <f>IFERROR(__xludf.DUMMYFUNCTION("""COMPUTED_VALUE"""),"SP専用")</f>
        <v>SP専用</v>
      </c>
      <c r="CU44" s="139" t="str">
        <f>IFERROR(__xludf.DUMMYFUNCTION("""COMPUTED_VALUE"""),"味方")</f>
        <v>味方</v>
      </c>
      <c r="CV44" s="139" t="str">
        <f>IFERROR(__xludf.DUMMYFUNCTION("""COMPUTED_VALUE"""),"All")</f>
        <v>All</v>
      </c>
      <c r="CW44" s="139" t="str">
        <f>IFERROR(__xludf.DUMMYFUNCTION("""COMPUTED_VALUE"""),"All")</f>
        <v>All</v>
      </c>
      <c r="CX44" s="674">
        <f>IFERROR(__xludf.DUMMYFUNCTION("""COMPUTED_VALUE"""),100.0)</f>
        <v>100</v>
      </c>
      <c r="CY44" s="139">
        <f>IFERROR(__xludf.DUMMYFUNCTION("""COMPUTED_VALUE"""),12.0)</f>
        <v>12</v>
      </c>
      <c r="CZ44" s="688" t="str">
        <f>IFERROR(__xludf.DUMMYFUNCTION("""COMPUTED_VALUE"""),"-")</f>
        <v>-</v>
      </c>
      <c r="DA44" s="688">
        <f>IFERROR(__xludf.DUMMYFUNCTION("""COMPUTED_VALUE"""),0.0)</f>
        <v>0</v>
      </c>
      <c r="DB44" s="688">
        <f>IFERROR(__xludf.DUMMYFUNCTION("""COMPUTED_VALUE"""),0.0)</f>
        <v>0</v>
      </c>
      <c r="DC44" s="139" t="str">
        <f>IFERROR(__xludf.DUMMYFUNCTION("""COMPUTED_VALUE"""),"攻撃力UP")</f>
        <v>攻撃力UP</v>
      </c>
      <c r="DD44" s="673">
        <f>IFERROR(__xludf.DUMMYFUNCTION("""COMPUTED_VALUE"""),50.0)</f>
        <v>50</v>
      </c>
      <c r="DE44" s="139">
        <f>IFERROR(__xludf.DUMMYFUNCTION("""COMPUTED_VALUE"""),12.0)</f>
        <v>12</v>
      </c>
      <c r="DF44" s="139" t="str">
        <f>IFERROR(__xludf.DUMMYFUNCTION("""COMPUTED_VALUE"""),"-")</f>
        <v>-</v>
      </c>
      <c r="DG44" s="139" t="str">
        <f>IFERROR(__xludf.DUMMYFUNCTION("""COMPUTED_VALUE"""),"-")</f>
        <v>-</v>
      </c>
      <c r="DH44" s="139" t="str">
        <f>IFERROR(__xludf.DUMMYFUNCTION("""COMPUTED_VALUE"""),"-")</f>
        <v>-</v>
      </c>
      <c r="DI44" s="139" t="str">
        <f>IFERROR(__xludf.DUMMYFUNCTION("""COMPUTED_VALUE"""),"-")</f>
        <v>-</v>
      </c>
      <c r="DJ44" s="139" t="str">
        <f>IFERROR(__xludf.DUMMYFUNCTION("""COMPUTED_VALUE"""),"-")</f>
        <v>-</v>
      </c>
    </row>
    <row r="45">
      <c r="A45" s="139" t="str">
        <f>IFERROR(__xludf.DUMMYFUNCTION("""COMPUTED_VALUE"""),"サマータイムレンダ")</f>
        <v>サマータイムレンダ</v>
      </c>
      <c r="B45" s="139" t="str">
        <f>IFERROR(__xludf.DUMMYFUNCTION("""COMPUTED_VALUE"""),"小舟 澪")</f>
        <v>小舟 澪</v>
      </c>
      <c r="C45" s="139" t="str">
        <f>IFERROR(__xludf.DUMMYFUNCTION("""COMPUTED_VALUE"""),"chara_sum_00201")</f>
        <v>chara_sum_00201</v>
      </c>
      <c r="D45" s="139" t="str">
        <f>IFERROR(__xludf.DUMMYFUNCTION("""COMPUTED_VALUE"""),"PremiumSR")</f>
        <v>PremiumSR</v>
      </c>
      <c r="E45" s="139" t="str">
        <f>IFERROR(__xludf.DUMMYFUNCTION("""COMPUTED_VALUE"""),"青")</f>
        <v>青</v>
      </c>
      <c r="F45" s="139" t="str">
        <f>IFERROR(__xludf.DUMMYFUNCTION("""COMPUTED_VALUE"""),"アタック")</f>
        <v>アタック</v>
      </c>
      <c r="G45" s="139" t="str">
        <f>IFERROR(__xludf.DUMMYFUNCTION("""COMPUTED_VALUE"""),"近距離")</f>
        <v>近距離</v>
      </c>
      <c r="H45" s="139" t="str">
        <f>IFERROR(__xludf.DUMMYFUNCTION("""COMPUTED_VALUE"""),"dageki_1")</f>
        <v>dageki_1</v>
      </c>
      <c r="I45" s="139" t="str">
        <f>IFERROR(__xludf.DUMMYFUNCTION("""COMPUTED_VALUE"""),"shageki_1")</f>
        <v>shageki_1</v>
      </c>
      <c r="J45" s="139" t="str">
        <f>IFERROR(__xludf.DUMMYFUNCTION("""COMPUTED_VALUE"""),"202509010_リリース")</f>
        <v>202509010_リリース</v>
      </c>
      <c r="K45" s="139" t="str">
        <f>IFERROR(__xludf.DUMMYFUNCTION("""COMPUTED_VALUE"""),"リリース時")</f>
        <v>リリース時</v>
      </c>
      <c r="L45" s="139" t="str">
        <f>IFERROR(__xludf.DUMMYFUNCTION("""COMPUTED_VALUE"""),"※")</f>
        <v>※</v>
      </c>
      <c r="M45" s="674">
        <f>IFERROR(__xludf.DUMMYFUNCTION("""COMPUTED_VALUE"""),485.0)</f>
        <v>485</v>
      </c>
      <c r="N45" s="139">
        <f>IFERROR(__xludf.DUMMYFUNCTION("""COMPUTED_VALUE"""),600.0)</f>
        <v>600</v>
      </c>
      <c r="O45" s="139" t="str">
        <f>IFERROR(__xludf.DUMMYFUNCTION("""COMPUTED_VALUE"""),"中コスト")</f>
        <v>中コスト</v>
      </c>
      <c r="P45" s="139">
        <f>IFERROR(__xludf.DUMMYFUNCTION("""COMPUTED_VALUE"""),-150.0)</f>
        <v>-150</v>
      </c>
      <c r="Q45" s="675">
        <f>IFERROR(__xludf.DUMMYFUNCTION("""COMPUTED_VALUE"""),20.0)</f>
        <v>20</v>
      </c>
      <c r="R45" s="675">
        <f>IFERROR(__xludf.DUMMYFUNCTION("""COMPUTED_VALUE"""),15.0)</f>
        <v>15</v>
      </c>
      <c r="S45" s="675">
        <f>IFERROR(__xludf.DUMMYFUNCTION("""COMPUTED_VALUE"""),9.625)</f>
        <v>9.625</v>
      </c>
      <c r="T45" s="674">
        <f>IFERROR(__xludf.DUMMYFUNCTION("""COMPUTED_VALUE"""),430.0)</f>
        <v>430</v>
      </c>
      <c r="U45" s="675">
        <f>IFERROR(__xludf.DUMMYFUNCTION("""COMPUTED_VALUE"""),8.58)</f>
        <v>8.58</v>
      </c>
      <c r="V45" s="675">
        <f>IFERROR(__xludf.DUMMYFUNCTION("""COMPUTED_VALUE"""),0.0)</f>
        <v>0</v>
      </c>
      <c r="W45" s="675">
        <f>IFERROR(__xludf.DUMMYFUNCTION("""COMPUTED_VALUE"""),0.0)</f>
        <v>0</v>
      </c>
      <c r="X45" s="675">
        <f>IFERROR(__xludf.DUMMYFUNCTION("""COMPUTED_VALUE"""),0.0)</f>
        <v>0</v>
      </c>
      <c r="Y45" s="674">
        <f>IFERROR(__xludf.DUMMYFUNCTION("""COMPUTED_VALUE"""),225.0)</f>
        <v>225</v>
      </c>
      <c r="Z45" s="675">
        <f>IFERROR(__xludf.DUMMYFUNCTION("""COMPUTED_VALUE"""),4.484999999999999)</f>
        <v>4.485</v>
      </c>
      <c r="AA45" s="675">
        <f>IFERROR(__xludf.DUMMYFUNCTION("""COMPUTED_VALUE"""),0.0)</f>
        <v>0</v>
      </c>
      <c r="AB45" s="673">
        <f>IFERROR(__xludf.DUMMYFUNCTION("""COMPUTED_VALUE"""),0.0)</f>
        <v>0</v>
      </c>
      <c r="AC45" s="675">
        <f>IFERROR(__xludf.DUMMYFUNCTION("""COMPUTED_VALUE"""),0.0)</f>
        <v>0</v>
      </c>
      <c r="AD45" s="674">
        <f>IFERROR(__xludf.DUMMYFUNCTION("""COMPUTED_VALUE"""),545.0)</f>
        <v>545</v>
      </c>
      <c r="AE45" s="675">
        <f>IFERROR(__xludf.DUMMYFUNCTION("""COMPUTED_VALUE"""),10.861629711972324)</f>
        <v>10.86162971</v>
      </c>
      <c r="AF45" s="675">
        <f>IFERROR(__xludf.DUMMYFUNCTION("""COMPUTED_VALUE"""),0.0)</f>
        <v>0</v>
      </c>
      <c r="AG45" s="675">
        <f>IFERROR(__xludf.DUMMYFUNCTION("""COMPUTED_VALUE"""),0.0)</f>
        <v>0</v>
      </c>
      <c r="AH45" s="675">
        <f>IFERROR(__xludf.DUMMYFUNCTION("""COMPUTED_VALUE"""),0.0)</f>
        <v>0</v>
      </c>
      <c r="AI45" s="139">
        <f>IFERROR(__xludf.DUMMYFUNCTION("""COMPUTED_VALUE"""),10.0)</f>
        <v>10</v>
      </c>
      <c r="AJ45" s="139" t="str">
        <f>IFERROR(__xludf.DUMMYFUNCTION("""COMPUTED_VALUE"""),"-")</f>
        <v>-</v>
      </c>
      <c r="AK45" s="139">
        <f>IFERROR(__xludf.DUMMYFUNCTION("""COMPUTED_VALUE"""),1.0)</f>
        <v>1</v>
      </c>
      <c r="AL45" s="674">
        <f>IFERROR(__xludf.DUMMYFUNCTION("""COMPUTED_VALUE"""),1170.0)</f>
        <v>1170</v>
      </c>
      <c r="AM45" s="688">
        <f>IFERROR(__xludf.DUMMYFUNCTION("""COMPUTED_VALUE"""),8535.44289955954)</f>
        <v>8535.4429</v>
      </c>
      <c r="AN45" s="675">
        <f>IFERROR(__xludf.DUMMYFUNCTION("""COMPUTED_VALUE"""),7.8)</f>
        <v>7.8</v>
      </c>
      <c r="AO45" s="675">
        <f>IFERROR(__xludf.DUMMYFUNCTION("""COMPUTED_VALUE"""),3.9)</f>
        <v>3.9</v>
      </c>
      <c r="AP45" s="674">
        <f>IFERROR(__xludf.DUMMYFUNCTION("""COMPUTED_VALUE"""),1460.0)</f>
        <v>1460</v>
      </c>
      <c r="AQ45" s="673">
        <f>IFERROR(__xludf.DUMMYFUNCTION("""COMPUTED_VALUE"""),-0.2)</f>
        <v>-0.2</v>
      </c>
      <c r="AR45" s="673">
        <f>IFERROR(__xludf.DUMMYFUNCTION("""COMPUTED_VALUE"""),0.0)</f>
        <v>0</v>
      </c>
      <c r="AS45" s="673">
        <f>IFERROR(__xludf.DUMMYFUNCTION("""COMPUTED_VALUE"""),0.0)</f>
        <v>0</v>
      </c>
      <c r="AT45" s="673">
        <f>IFERROR(__xludf.DUMMYFUNCTION("""COMPUTED_VALUE"""),0.0)</f>
        <v>0</v>
      </c>
      <c r="AU45" s="673">
        <f>IFERROR(__xludf.DUMMYFUNCTION("""COMPUTED_VALUE"""),0.0)</f>
        <v>0</v>
      </c>
      <c r="AV45" s="673">
        <f>IFERROR(__xludf.DUMMYFUNCTION("""COMPUTED_VALUE"""),0.0)</f>
        <v>0</v>
      </c>
      <c r="AW45" s="139"/>
      <c r="AX45" s="674">
        <f>IFERROR(__xludf.DUMMYFUNCTION("""COMPUTED_VALUE"""),1260.0)</f>
        <v>1260</v>
      </c>
      <c r="AY45" s="688">
        <f>IFERROR(__xludf.DUMMYFUNCTION("""COMPUTED_VALUE"""),9193.21543029489)</f>
        <v>9193.21543</v>
      </c>
      <c r="AZ45" s="674">
        <f>IFERROR(__xludf.DUMMYFUNCTION("""COMPUTED_VALUE"""),1260.0)</f>
        <v>1260</v>
      </c>
      <c r="BA45" s="688">
        <f>IFERROR(__xludf.DUMMYFUNCTION("""COMPUTED_VALUE"""),9193.21543029489)</f>
        <v>9193.21543</v>
      </c>
      <c r="BB45" s="688" t="str">
        <f>IFERROR(__xludf.DUMMYFUNCTION("""COMPUTED_VALUE"""),"-")</f>
        <v>-</v>
      </c>
      <c r="BC45" s="688" t="str">
        <f>IFERROR(__xludf.DUMMYFUNCTION("""COMPUTED_VALUE"""),"#VALUE!")</f>
        <v>#VALUE!</v>
      </c>
      <c r="BD45" s="688" t="str">
        <f>IFERROR(__xludf.DUMMYFUNCTION("""COMPUTED_VALUE"""),"#VALUE!")</f>
        <v>#VALUE!</v>
      </c>
      <c r="BE45" s="674">
        <f>IFERROR(__xludf.DUMMYFUNCTION("""COMPUTED_VALUE"""),1260.0)</f>
        <v>1260</v>
      </c>
      <c r="BF45" s="674">
        <f>IFERROR(__xludf.DUMMYFUNCTION("""COMPUTED_VALUE"""),970.0)</f>
        <v>970</v>
      </c>
      <c r="BG45" s="673">
        <f>IFERROR(__xludf.DUMMYFUNCTION("""COMPUTED_VALUE"""),0.0)</f>
        <v>0</v>
      </c>
      <c r="BH45" s="673">
        <f>IFERROR(__xludf.DUMMYFUNCTION("""COMPUTED_VALUE"""),0.3)</f>
        <v>0.3</v>
      </c>
      <c r="BI45" s="673">
        <f>IFERROR(__xludf.DUMMYFUNCTION("""COMPUTED_VALUE"""),0.0)</f>
        <v>0</v>
      </c>
      <c r="BJ45" s="673">
        <f>IFERROR(__xludf.DUMMYFUNCTION("""COMPUTED_VALUE"""),0.0)</f>
        <v>0</v>
      </c>
      <c r="BK45" s="673">
        <f>IFERROR(__xludf.DUMMYFUNCTION("""COMPUTED_VALUE"""),0.0)</f>
        <v>0</v>
      </c>
      <c r="BL45" s="673">
        <f>IFERROR(__xludf.DUMMYFUNCTION("""COMPUTED_VALUE"""),0.0)</f>
        <v>0</v>
      </c>
      <c r="BM45" s="674">
        <f>IFERROR(__xludf.DUMMYFUNCTION("""COMPUTED_VALUE"""),50.0)</f>
        <v>50</v>
      </c>
      <c r="BN45" s="674">
        <f>IFERROR(__xludf.DUMMYFUNCTION("""COMPUTED_VALUE"""),50.0)</f>
        <v>50</v>
      </c>
      <c r="BO45" s="675">
        <f>IFERROR(__xludf.DUMMYFUNCTION("""COMPUTED_VALUE"""),0.0)</f>
        <v>0</v>
      </c>
      <c r="BP45" s="675">
        <f>IFERROR(__xludf.DUMMYFUNCTION("""COMPUTED_VALUE"""),1.0)</f>
        <v>1</v>
      </c>
      <c r="BQ45" s="675" t="str">
        <f>IFERROR(__xludf.DUMMYFUNCTION("""COMPUTED_VALUE"""),"※")</f>
        <v>※</v>
      </c>
      <c r="BR45" s="139">
        <f>IFERROR(__xludf.DUMMYFUNCTION("""COMPUTED_VALUE"""),2.0)</f>
        <v>2</v>
      </c>
      <c r="BS45" s="139">
        <f>IFERROR(__xludf.DUMMYFUNCTION("""COMPUTED_VALUE"""),45.0)</f>
        <v>45</v>
      </c>
      <c r="BT45" s="139">
        <f>IFERROR(__xludf.DUMMYFUNCTION("""COMPUTED_VALUE"""),0.24)</f>
        <v>0.24</v>
      </c>
      <c r="BU45" s="139">
        <f>IFERROR(__xludf.DUMMYFUNCTION("""COMPUTED_VALUE"""),0.0)</f>
        <v>0</v>
      </c>
      <c r="BV45" s="139" t="str">
        <f>IFERROR(__xludf.DUMMYFUNCTION("""COMPUTED_VALUE"""),"速")</f>
        <v>速</v>
      </c>
      <c r="BW45" s="139" t="str">
        <f>IFERROR(__xludf.DUMMYFUNCTION("""COMPUTED_VALUE"""),"火傷ダメージ軽減")</f>
        <v>火傷ダメージ軽減</v>
      </c>
      <c r="BX45" s="139">
        <f>IFERROR(__xludf.DUMMYFUNCTION("""COMPUTED_VALUE"""),5.0)</f>
        <v>5</v>
      </c>
      <c r="BY45" s="139">
        <f>IFERROR(__xludf.DUMMYFUNCTION("""COMPUTED_VALUE"""),2.0)</f>
        <v>2</v>
      </c>
      <c r="BZ45" s="139" t="str">
        <f>IFERROR(__xludf.DUMMYFUNCTION("""COMPUTED_VALUE"""),"-")</f>
        <v>-</v>
      </c>
      <c r="CA45" s="139" t="str">
        <f>IFERROR(__xludf.DUMMYFUNCTION("""COMPUTED_VALUE"""),"-")</f>
        <v>-</v>
      </c>
      <c r="CB45" s="139" t="str">
        <f>IFERROR(__xludf.DUMMYFUNCTION("""COMPUTED_VALUE"""),"-")</f>
        <v>-</v>
      </c>
      <c r="CC45" s="139" t="str">
        <f>IFERROR(__xludf.DUMMYFUNCTION("""COMPUTED_VALUE"""),"近距離")</f>
        <v>近距離</v>
      </c>
      <c r="CD45" s="139" t="str">
        <f>IFERROR(__xludf.DUMMYFUNCTION("""COMPUTED_VALUE"""),"単体")</f>
        <v>単体</v>
      </c>
      <c r="CE45" s="139">
        <f>IFERROR(__xludf.DUMMYFUNCTION("""COMPUTED_VALUE"""),1.0)</f>
        <v>1</v>
      </c>
      <c r="CF45" s="139">
        <f>IFERROR(__xludf.DUMMYFUNCTION("""COMPUTED_VALUE"""),0.25)</f>
        <v>0.25</v>
      </c>
      <c r="CG45" s="139" t="str">
        <f>IFERROR(__xludf.DUMMYFUNCTION("""COMPUTED_VALUE"""),"中距離")</f>
        <v>中距離</v>
      </c>
      <c r="CH45" s="139" t="str">
        <f>IFERROR(__xludf.DUMMYFUNCTION("""COMPUTED_VALUE"""),"範囲(小)")</f>
        <v>範囲(小)</v>
      </c>
      <c r="CI45" s="139">
        <f>IFERROR(__xludf.DUMMYFUNCTION("""COMPUTED_VALUE"""),0.75)</f>
        <v>0.75</v>
      </c>
      <c r="CJ45" s="139">
        <f>IFERROR(__xludf.DUMMYFUNCTION("""COMPUTED_VALUE"""),0.35)</f>
        <v>0.35</v>
      </c>
      <c r="CK45" s="139" t="str">
        <f>IFERROR(__xludf.DUMMYFUNCTION("""COMPUTED_VALUE"""),"敵")</f>
        <v>敵</v>
      </c>
      <c r="CL45" s="139" t="str">
        <f>IFERROR(__xludf.DUMMYFUNCTION("""COMPUTED_VALUE"""),"All")</f>
        <v>All</v>
      </c>
      <c r="CM45" s="139" t="str">
        <f>IFERROR(__xludf.DUMMYFUNCTION("""COMPUTED_VALUE"""),"All")</f>
        <v>All</v>
      </c>
      <c r="CN45" s="675">
        <f>IFERROR(__xludf.DUMMYFUNCTION("""COMPUTED_VALUE"""),10.861629711972324)</f>
        <v>10.86162971</v>
      </c>
      <c r="CO45" s="139" t="str">
        <f>IFERROR(__xludf.DUMMYFUNCTION("""COMPUTED_VALUE"""),"-")</f>
        <v>-</v>
      </c>
      <c r="CP45" s="139" t="str">
        <f>IFERROR(__xludf.DUMMYFUNCTION("""COMPUTED_VALUE"""),"-")</f>
        <v>-</v>
      </c>
      <c r="CQ45" s="139" t="str">
        <f>IFERROR(__xludf.DUMMYFUNCTION("""COMPUTED_VALUE"""),"-")</f>
        <v>-</v>
      </c>
      <c r="CR45" s="139" t="str">
        <f>IFERROR(__xludf.DUMMYFUNCTION("""COMPUTED_VALUE"""),"-")</f>
        <v>-</v>
      </c>
      <c r="CS45" s="673" t="str">
        <f>IFERROR(__xludf.DUMMYFUNCTION("""COMPUTED_VALUE"""),"攻撃(必殺)")</f>
        <v>攻撃(必殺)</v>
      </c>
      <c r="CT45" s="139" t="str">
        <f>IFERROR(__xludf.DUMMYFUNCTION("""COMPUTED_VALUE"""),"-")</f>
        <v>-</v>
      </c>
      <c r="CU45" s="139" t="str">
        <f>IFERROR(__xludf.DUMMYFUNCTION("""COMPUTED_VALUE"""),"敵")</f>
        <v>敵</v>
      </c>
      <c r="CV45" s="139" t="str">
        <f>IFERROR(__xludf.DUMMYFUNCTION("""COMPUTED_VALUE"""),"All")</f>
        <v>All</v>
      </c>
      <c r="CW45" s="139" t="str">
        <f>IFERROR(__xludf.DUMMYFUNCTION("""COMPUTED_VALUE"""),"All")</f>
        <v>All</v>
      </c>
      <c r="CX45" s="674">
        <f>IFERROR(__xludf.DUMMYFUNCTION("""COMPUTED_VALUE"""),120.0)</f>
        <v>120</v>
      </c>
      <c r="CY45" s="139" t="str">
        <f>IFERROR(__xludf.DUMMYFUNCTION("""COMPUTED_VALUE"""),"-")</f>
        <v>-</v>
      </c>
      <c r="CZ45" s="688">
        <f>IFERROR(__xludf.DUMMYFUNCTION("""COMPUTED_VALUE"""),11032.0)</f>
        <v>11032</v>
      </c>
      <c r="DA45" s="688">
        <f>IFERROR(__xludf.DUMMYFUNCTION("""COMPUTED_VALUE"""),1079.033244112808)</f>
        <v>1079.033244</v>
      </c>
      <c r="DB45" s="688">
        <f>IFERROR(__xludf.DUMMYFUNCTION("""COMPUTED_VALUE"""),5395.1662205640405)</f>
        <v>5395.166221</v>
      </c>
      <c r="DC45" s="673" t="str">
        <f>IFERROR(__xludf.DUMMYFUNCTION("""COMPUTED_VALUE"""),"ノックバック")</f>
        <v>ノックバック</v>
      </c>
      <c r="DD45" s="673">
        <f>IFERROR(__xludf.DUMMYFUNCTION("""COMPUTED_VALUE"""),1.0)</f>
        <v>1</v>
      </c>
      <c r="DE45" s="139" t="str">
        <f>IFERROR(__xludf.DUMMYFUNCTION("""COMPUTED_VALUE"""),"-")</f>
        <v>-</v>
      </c>
      <c r="DF45" s="139" t="str">
        <f>IFERROR(__xludf.DUMMYFUNCTION("""COMPUTED_VALUE"""),"-")</f>
        <v>-</v>
      </c>
      <c r="DG45" s="139" t="str">
        <f>IFERROR(__xludf.DUMMYFUNCTION("""COMPUTED_VALUE"""),"-")</f>
        <v>-</v>
      </c>
      <c r="DH45" s="139" t="str">
        <f>IFERROR(__xludf.DUMMYFUNCTION("""COMPUTED_VALUE"""),"-")</f>
        <v>-</v>
      </c>
      <c r="DI45" s="139" t="str">
        <f>IFERROR(__xludf.DUMMYFUNCTION("""COMPUTED_VALUE"""),"-")</f>
        <v>-</v>
      </c>
      <c r="DJ45" s="139" t="str">
        <f>IFERROR(__xludf.DUMMYFUNCTION("""COMPUTED_VALUE"""),"-")</f>
        <v>-</v>
      </c>
    </row>
    <row r="46">
      <c r="A46" s="139" t="str">
        <f>IFERROR(__xludf.DUMMYFUNCTION("""COMPUTED_VALUE"""),"魔都精兵のスレイブ")</f>
        <v>魔都精兵のスレイブ</v>
      </c>
      <c r="B46" s="139" t="str">
        <f>IFERROR(__xludf.DUMMYFUNCTION("""COMPUTED_VALUE"""),"駿河 朱々")</f>
        <v>駿河 朱々</v>
      </c>
      <c r="C46" s="139" t="str">
        <f>IFERROR(__xludf.DUMMYFUNCTION("""COMPUTED_VALUE"""),"chara_sur_00301")</f>
        <v>chara_sur_00301</v>
      </c>
      <c r="D46" s="139" t="str">
        <f>IFERROR(__xludf.DUMMYFUNCTION("""COMPUTED_VALUE"""),"PremiumSR")</f>
        <v>PremiumSR</v>
      </c>
      <c r="E46" s="139" t="str">
        <f>IFERROR(__xludf.DUMMYFUNCTION("""COMPUTED_VALUE"""),"黄")</f>
        <v>黄</v>
      </c>
      <c r="F46" s="139" t="str">
        <f>IFERROR(__xludf.DUMMYFUNCTION("""COMPUTED_VALUE"""),"ディフェンス")</f>
        <v>ディフェンス</v>
      </c>
      <c r="G46" s="139" t="str">
        <f>IFERROR(__xludf.DUMMYFUNCTION("""COMPUTED_VALUE"""),"近距離")</f>
        <v>近距離</v>
      </c>
      <c r="H46" s="139" t="str">
        <f>IFERROR(__xludf.DUMMYFUNCTION("""COMPUTED_VALUE"""),"dageki_1")</f>
        <v>dageki_1</v>
      </c>
      <c r="I46" s="139" t="str">
        <f>IFERROR(__xludf.DUMMYFUNCTION("""COMPUTED_VALUE"""),"dageki_2")</f>
        <v>dageki_2</v>
      </c>
      <c r="J46" s="139" t="str">
        <f>IFERROR(__xludf.DUMMYFUNCTION("""COMPUTED_VALUE"""),"202509010_リリース")</f>
        <v>202509010_リリース</v>
      </c>
      <c r="K46" s="139" t="str">
        <f>IFERROR(__xludf.DUMMYFUNCTION("""COMPUTED_VALUE"""),"リリース時")</f>
        <v>リリース時</v>
      </c>
      <c r="L46" s="687" t="str">
        <f>IFERROR(__xludf.DUMMYFUNCTION("""COMPUTED_VALUE"""),"※")</f>
        <v>※</v>
      </c>
      <c r="M46" s="674">
        <f>IFERROR(__xludf.DUMMYFUNCTION("""COMPUTED_VALUE"""),480.0)</f>
        <v>480</v>
      </c>
      <c r="N46" s="139">
        <f>IFERROR(__xludf.DUMMYFUNCTION("""COMPUTED_VALUE"""),600.0)</f>
        <v>600</v>
      </c>
      <c r="O46" s="139" t="str">
        <f>IFERROR(__xludf.DUMMYFUNCTION("""COMPUTED_VALUE"""),"中コスト")</f>
        <v>中コスト</v>
      </c>
      <c r="P46" s="139">
        <f>IFERROR(__xludf.DUMMYFUNCTION("""COMPUTED_VALUE"""),-150.0)</f>
        <v>-150</v>
      </c>
      <c r="Q46" s="675">
        <f>IFERROR(__xludf.DUMMYFUNCTION("""COMPUTED_VALUE"""),10.0)</f>
        <v>10</v>
      </c>
      <c r="R46" s="675">
        <f>IFERROR(__xludf.DUMMYFUNCTION("""COMPUTED_VALUE"""),20.0)</f>
        <v>20</v>
      </c>
      <c r="S46" s="675">
        <f>IFERROR(__xludf.DUMMYFUNCTION("""COMPUTED_VALUE"""),9.5)</f>
        <v>9.5</v>
      </c>
      <c r="T46" s="674">
        <f>IFERROR(__xludf.DUMMYFUNCTION("""COMPUTED_VALUE"""),1005.0)</f>
        <v>1005</v>
      </c>
      <c r="U46" s="675">
        <f>IFERROR(__xludf.DUMMYFUNCTION("""COMPUTED_VALUE"""),20.093333333333334)</f>
        <v>20.09333333</v>
      </c>
      <c r="V46" s="675">
        <f>IFERROR(__xludf.DUMMYFUNCTION("""COMPUTED_VALUE"""),0.0)</f>
        <v>0</v>
      </c>
      <c r="W46" s="675">
        <f>IFERROR(__xludf.DUMMYFUNCTION("""COMPUTED_VALUE"""),0.0)</f>
        <v>0</v>
      </c>
      <c r="X46" s="675">
        <f>IFERROR(__xludf.DUMMYFUNCTION("""COMPUTED_VALUE"""),0.0)</f>
        <v>0</v>
      </c>
      <c r="Y46" s="674">
        <f>IFERROR(__xludf.DUMMYFUNCTION("""COMPUTED_VALUE"""),525.0)</f>
        <v>525</v>
      </c>
      <c r="Z46" s="675">
        <f>IFERROR(__xludf.DUMMYFUNCTION("""COMPUTED_VALUE"""),10.503333333333332)</f>
        <v>10.50333333</v>
      </c>
      <c r="AA46" s="675">
        <f>IFERROR(__xludf.DUMMYFUNCTION("""COMPUTED_VALUE"""),0.0)</f>
        <v>0</v>
      </c>
      <c r="AB46" s="673">
        <f>IFERROR(__xludf.DUMMYFUNCTION("""COMPUTED_VALUE"""),0.0)</f>
        <v>0</v>
      </c>
      <c r="AC46" s="675">
        <f>IFERROR(__xludf.DUMMYFUNCTION("""COMPUTED_VALUE"""),0.0)</f>
        <v>0</v>
      </c>
      <c r="AD46" s="674">
        <f>IFERROR(__xludf.DUMMYFUNCTION("""COMPUTED_VALUE"""),830.0)</f>
        <v>830</v>
      </c>
      <c r="AE46" s="675">
        <f>IFERROR(__xludf.DUMMYFUNCTION("""COMPUTED_VALUE"""),16.621772869743268)</f>
        <v>16.62177287</v>
      </c>
      <c r="AF46" s="675">
        <f>IFERROR(__xludf.DUMMYFUNCTION("""COMPUTED_VALUE"""),0.0)</f>
        <v>0</v>
      </c>
      <c r="AG46" s="675">
        <f>IFERROR(__xludf.DUMMYFUNCTION("""COMPUTED_VALUE"""),0.0)</f>
        <v>0</v>
      </c>
      <c r="AH46" s="675">
        <f>IFERROR(__xludf.DUMMYFUNCTION("""COMPUTED_VALUE"""),0.0)</f>
        <v>0</v>
      </c>
      <c r="AI46" s="139" t="str">
        <f>IFERROR(__xludf.DUMMYFUNCTION("""COMPUTED_VALUE"""),"-")</f>
        <v>-</v>
      </c>
      <c r="AJ46" s="139" t="str">
        <f>IFERROR(__xludf.DUMMYFUNCTION("""COMPUTED_VALUE"""),"-")</f>
        <v>-</v>
      </c>
      <c r="AK46" s="139">
        <f>IFERROR(__xludf.DUMMYFUNCTION("""COMPUTED_VALUE"""),1.0)</f>
        <v>1</v>
      </c>
      <c r="AL46" s="674">
        <f>IFERROR(__xludf.DUMMYFUNCTION("""COMPUTED_VALUE"""),2740.0)</f>
        <v>2740</v>
      </c>
      <c r="AM46" s="688">
        <f>IFERROR(__xludf.DUMMYFUNCTION("""COMPUTED_VALUE"""),19992.49704683174)</f>
        <v>19992.49705</v>
      </c>
      <c r="AN46" s="675">
        <f>IFERROR(__xludf.DUMMYFUNCTION("""COMPUTED_VALUE"""),18.266666666666666)</f>
        <v>18.26666667</v>
      </c>
      <c r="AO46" s="675">
        <f>IFERROR(__xludf.DUMMYFUNCTION("""COMPUTED_VALUE"""),9.133333333333333)</f>
        <v>9.133333333</v>
      </c>
      <c r="AP46" s="674">
        <f>IFERROR(__xludf.DUMMYFUNCTION("""COMPUTED_VALUE"""),1440.0)</f>
        <v>1440</v>
      </c>
      <c r="AQ46" s="673">
        <f>IFERROR(__xludf.DUMMYFUNCTION("""COMPUTED_VALUE"""),0.9)</f>
        <v>0.9</v>
      </c>
      <c r="AR46" s="673">
        <f>IFERROR(__xludf.DUMMYFUNCTION("""COMPUTED_VALUE"""),0.0)</f>
        <v>0</v>
      </c>
      <c r="AS46" s="673">
        <f>IFERROR(__xludf.DUMMYFUNCTION("""COMPUTED_VALUE"""),0.0)</f>
        <v>0</v>
      </c>
      <c r="AT46" s="673">
        <f>IFERROR(__xludf.DUMMYFUNCTION("""COMPUTED_VALUE"""),0.0)</f>
        <v>0</v>
      </c>
      <c r="AU46" s="673">
        <f>IFERROR(__xludf.DUMMYFUNCTION("""COMPUTED_VALUE"""),0.0)</f>
        <v>0</v>
      </c>
      <c r="AV46" s="673">
        <f>IFERROR(__xludf.DUMMYFUNCTION("""COMPUTED_VALUE"""),0.0)</f>
        <v>0</v>
      </c>
      <c r="AW46" s="139"/>
      <c r="AX46" s="674">
        <f>IFERROR(__xludf.DUMMYFUNCTION("""COMPUTED_VALUE"""),960.0)</f>
        <v>960</v>
      </c>
      <c r="AY46" s="688">
        <f>IFERROR(__xludf.DUMMYFUNCTION("""COMPUTED_VALUE"""),7003.626994510392)</f>
        <v>7003.626995</v>
      </c>
      <c r="AZ46" s="674">
        <f>IFERROR(__xludf.DUMMYFUNCTION("""COMPUTED_VALUE"""),480.0)</f>
        <v>480</v>
      </c>
      <c r="BA46" s="688">
        <f>IFERROR(__xludf.DUMMYFUNCTION("""COMPUTED_VALUE"""),3501.813497255196)</f>
        <v>3501.813497</v>
      </c>
      <c r="BB46" s="688" t="str">
        <f>IFERROR(__xludf.DUMMYFUNCTION("""COMPUTED_VALUE"""),"-")</f>
        <v>-</v>
      </c>
      <c r="BC46" s="688" t="str">
        <f>IFERROR(__xludf.DUMMYFUNCTION("""COMPUTED_VALUE"""),"#VALUE!")</f>
        <v>#VALUE!</v>
      </c>
      <c r="BD46" s="688" t="str">
        <f>IFERROR(__xludf.DUMMYFUNCTION("""COMPUTED_VALUE"""),"#VALUE!")</f>
        <v>#VALUE!</v>
      </c>
      <c r="BE46" s="674">
        <f>IFERROR(__xludf.DUMMYFUNCTION("""COMPUTED_VALUE"""),480.0)</f>
        <v>480</v>
      </c>
      <c r="BF46" s="674">
        <f>IFERROR(__xludf.DUMMYFUNCTION("""COMPUTED_VALUE"""),960.0)</f>
        <v>960</v>
      </c>
      <c r="BG46" s="673">
        <f>IFERROR(__xludf.DUMMYFUNCTION("""COMPUTED_VALUE"""),0.0)</f>
        <v>0</v>
      </c>
      <c r="BH46" s="673">
        <f>IFERROR(__xludf.DUMMYFUNCTION("""COMPUTED_VALUE"""),-0.5)</f>
        <v>-0.5</v>
      </c>
      <c r="BI46" s="673">
        <f>IFERROR(__xludf.DUMMYFUNCTION("""COMPUTED_VALUE"""),0.0)</f>
        <v>0</v>
      </c>
      <c r="BJ46" s="673">
        <f>IFERROR(__xludf.DUMMYFUNCTION("""COMPUTED_VALUE"""),0.0)</f>
        <v>0</v>
      </c>
      <c r="BK46" s="673">
        <f>IFERROR(__xludf.DUMMYFUNCTION("""COMPUTED_VALUE"""),0.0)</f>
        <v>0</v>
      </c>
      <c r="BL46" s="673">
        <f>IFERROR(__xludf.DUMMYFUNCTION("""COMPUTED_VALUE"""),0.0)</f>
        <v>0</v>
      </c>
      <c r="BM46" s="674">
        <f>IFERROR(__xludf.DUMMYFUNCTION("""COMPUTED_VALUE"""),100.0)</f>
        <v>100</v>
      </c>
      <c r="BN46" s="674">
        <f>IFERROR(__xludf.DUMMYFUNCTION("""COMPUTED_VALUE"""),100.0)</f>
        <v>100</v>
      </c>
      <c r="BO46" s="675">
        <f>IFERROR(__xludf.DUMMYFUNCTION("""COMPUTED_VALUE"""),0.0)</f>
        <v>0</v>
      </c>
      <c r="BP46" s="675">
        <f>IFERROR(__xludf.DUMMYFUNCTION("""COMPUTED_VALUE"""),2.0)</f>
        <v>2</v>
      </c>
      <c r="BQ46" s="675" t="str">
        <f>IFERROR(__xludf.DUMMYFUNCTION("""COMPUTED_VALUE"""),"※")</f>
        <v>※</v>
      </c>
      <c r="BR46" s="139">
        <f>IFERROR(__xludf.DUMMYFUNCTION("""COMPUTED_VALUE"""),2.0)</f>
        <v>2</v>
      </c>
      <c r="BS46" s="139">
        <f>IFERROR(__xludf.DUMMYFUNCTION("""COMPUTED_VALUE"""),40.0)</f>
        <v>40</v>
      </c>
      <c r="BT46" s="139">
        <f>IFERROR(__xludf.DUMMYFUNCTION("""COMPUTED_VALUE"""),0.16)</f>
        <v>0.16</v>
      </c>
      <c r="BU46" s="139">
        <f>IFERROR(__xludf.DUMMYFUNCTION("""COMPUTED_VALUE"""),0.0)</f>
        <v>0</v>
      </c>
      <c r="BV46" s="139" t="str">
        <f>IFERROR(__xludf.DUMMYFUNCTION("""COMPUTED_VALUE"""),"普通-速")</f>
        <v>普通-速</v>
      </c>
      <c r="BW46" s="139" t="str">
        <f>IFERROR(__xludf.DUMMYFUNCTION("""COMPUTED_VALUE"""),"ノックバック無効化")</f>
        <v>ノックバック無効化</v>
      </c>
      <c r="BX46" s="139" t="str">
        <f>IFERROR(__xludf.DUMMYFUNCTION("""COMPUTED_VALUE"""),"-")</f>
        <v>-</v>
      </c>
      <c r="BY46" s="139">
        <f>IFERROR(__xludf.DUMMYFUNCTION("""COMPUTED_VALUE"""),2.0)</f>
        <v>2</v>
      </c>
      <c r="BZ46" s="139" t="str">
        <f>IFERROR(__xludf.DUMMYFUNCTION("""COMPUTED_VALUE"""),"-")</f>
        <v>-</v>
      </c>
      <c r="CA46" s="139" t="str">
        <f>IFERROR(__xludf.DUMMYFUNCTION("""COMPUTED_VALUE"""),"-")</f>
        <v>-</v>
      </c>
      <c r="CB46" s="139" t="str">
        <f>IFERROR(__xludf.DUMMYFUNCTION("""COMPUTED_VALUE"""),"-")</f>
        <v>-</v>
      </c>
      <c r="CC46" s="139" t="str">
        <f>IFERROR(__xludf.DUMMYFUNCTION("""COMPUTED_VALUE"""),"近距離")</f>
        <v>近距離</v>
      </c>
      <c r="CD46" s="139" t="str">
        <f>IFERROR(__xludf.DUMMYFUNCTION("""COMPUTED_VALUE"""),"単体")</f>
        <v>単体</v>
      </c>
      <c r="CE46" s="139">
        <f>IFERROR(__xludf.DUMMYFUNCTION("""COMPUTED_VALUE"""),1.0)</f>
        <v>1</v>
      </c>
      <c r="CF46" s="139">
        <f>IFERROR(__xludf.DUMMYFUNCTION("""COMPUTED_VALUE"""),0.17)</f>
        <v>0.17</v>
      </c>
      <c r="CG46" s="139" t="str">
        <f>IFERROR(__xludf.DUMMYFUNCTION("""COMPUTED_VALUE"""),"近距離")</f>
        <v>近距離</v>
      </c>
      <c r="CH46" s="139" t="str">
        <f>IFERROR(__xludf.DUMMYFUNCTION("""COMPUTED_VALUE"""),"範囲(小)")</f>
        <v>範囲(小)</v>
      </c>
      <c r="CI46" s="139">
        <f>IFERROR(__xludf.DUMMYFUNCTION("""COMPUTED_VALUE"""),0.75)</f>
        <v>0.75</v>
      </c>
      <c r="CJ46" s="139">
        <f>IFERROR(__xludf.DUMMYFUNCTION("""COMPUTED_VALUE"""),0.27)</f>
        <v>0.27</v>
      </c>
      <c r="CK46" s="139" t="str">
        <f>IFERROR(__xludf.DUMMYFUNCTION("""COMPUTED_VALUE"""),"敵")</f>
        <v>敵</v>
      </c>
      <c r="CL46" s="139" t="str">
        <f>IFERROR(__xludf.DUMMYFUNCTION("""COMPUTED_VALUE"""),"All")</f>
        <v>All</v>
      </c>
      <c r="CM46" s="139" t="str">
        <f>IFERROR(__xludf.DUMMYFUNCTION("""COMPUTED_VALUE"""),"All")</f>
        <v>All</v>
      </c>
      <c r="CN46" s="675">
        <f>IFERROR(__xludf.DUMMYFUNCTION("""COMPUTED_VALUE"""),16.621772869743268)</f>
        <v>16.62177287</v>
      </c>
      <c r="CO46" s="139" t="str">
        <f>IFERROR(__xludf.DUMMYFUNCTION("""COMPUTED_VALUE"""),"-")</f>
        <v>-</v>
      </c>
      <c r="CP46" s="139" t="str">
        <f>IFERROR(__xludf.DUMMYFUNCTION("""COMPUTED_VALUE"""),"-")</f>
        <v>-</v>
      </c>
      <c r="CQ46" s="139" t="str">
        <f>IFERROR(__xludf.DUMMYFUNCTION("""COMPUTED_VALUE"""),"-")</f>
        <v>-</v>
      </c>
      <c r="CR46" s="139" t="str">
        <f>IFERROR(__xludf.DUMMYFUNCTION("""COMPUTED_VALUE"""),"-")</f>
        <v>-</v>
      </c>
      <c r="CS46" s="673" t="str">
        <f>IFERROR(__xludf.DUMMYFUNCTION("""COMPUTED_VALUE"""),"ノックバック")</f>
        <v>ノックバック</v>
      </c>
      <c r="CT46" s="139" t="str">
        <f>IFERROR(__xludf.DUMMYFUNCTION("""COMPUTED_VALUE"""),"-")</f>
        <v>-</v>
      </c>
      <c r="CU46" s="139" t="str">
        <f>IFERROR(__xludf.DUMMYFUNCTION("""COMPUTED_VALUE"""),"敵")</f>
        <v>敵</v>
      </c>
      <c r="CV46" s="139" t="str">
        <f>IFERROR(__xludf.DUMMYFUNCTION("""COMPUTED_VALUE"""),"All")</f>
        <v>All</v>
      </c>
      <c r="CW46" s="139" t="str">
        <f>IFERROR(__xludf.DUMMYFUNCTION("""COMPUTED_VALUE"""),"All")</f>
        <v>All</v>
      </c>
      <c r="CX46" s="674">
        <f>IFERROR(__xludf.DUMMYFUNCTION("""COMPUTED_VALUE"""),1.0)</f>
        <v>1</v>
      </c>
      <c r="CY46" s="139" t="str">
        <f>IFERROR(__xludf.DUMMYFUNCTION("""COMPUTED_VALUE"""),"-")</f>
        <v>-</v>
      </c>
      <c r="CZ46" s="688" t="str">
        <f>IFERROR(__xludf.DUMMYFUNCTION("""COMPUTED_VALUE"""),"-")</f>
        <v>-</v>
      </c>
      <c r="DA46" s="688">
        <f>IFERROR(__xludf.DUMMYFUNCTION("""COMPUTED_VALUE"""),44.9720922418242)</f>
        <v>44.97209224</v>
      </c>
      <c r="DB46" s="688">
        <f>IFERROR(__xludf.DUMMYFUNCTION("""COMPUTED_VALUE"""),224.860461209121)</f>
        <v>224.8604612</v>
      </c>
      <c r="DC46" s="139" t="str">
        <f>IFERROR(__xludf.DUMMYFUNCTION("""COMPUTED_VALUE"""),"-")</f>
        <v>-</v>
      </c>
      <c r="DD46" s="673" t="str">
        <f>IFERROR(__xludf.DUMMYFUNCTION("""COMPUTED_VALUE"""),"-")</f>
        <v>-</v>
      </c>
      <c r="DE46" s="139" t="str">
        <f>IFERROR(__xludf.DUMMYFUNCTION("""COMPUTED_VALUE"""),"-")</f>
        <v>-</v>
      </c>
      <c r="DF46" s="139" t="str">
        <f>IFERROR(__xludf.DUMMYFUNCTION("""COMPUTED_VALUE"""),"-")</f>
        <v>-</v>
      </c>
      <c r="DG46" s="139" t="str">
        <f>IFERROR(__xludf.DUMMYFUNCTION("""COMPUTED_VALUE"""),"-")</f>
        <v>-</v>
      </c>
      <c r="DH46" s="139" t="str">
        <f>IFERROR(__xludf.DUMMYFUNCTION("""COMPUTED_VALUE"""),"-")</f>
        <v>-</v>
      </c>
      <c r="DI46" s="139" t="str">
        <f>IFERROR(__xludf.DUMMYFUNCTION("""COMPUTED_VALUE"""),"-")</f>
        <v>-</v>
      </c>
      <c r="DJ46" s="139" t="str">
        <f>IFERROR(__xludf.DUMMYFUNCTION("""COMPUTED_VALUE"""),"-")</f>
        <v>-</v>
      </c>
    </row>
    <row r="47">
      <c r="A47" s="139" t="str">
        <f>IFERROR(__xludf.DUMMYFUNCTION("""COMPUTED_VALUE"""),"SPY×FAMILY")</f>
        <v>SPY×FAMILY</v>
      </c>
      <c r="B47" s="139" t="str">
        <f>IFERROR(__xludf.DUMMYFUNCTION("""COMPUTED_VALUE"""),"フランキー・フランクリン")</f>
        <v>フランキー・フランクリン</v>
      </c>
      <c r="C47" s="139" t="str">
        <f>IFERROR(__xludf.DUMMYFUNCTION("""COMPUTED_VALUE"""),"chara_spy_00401")</f>
        <v>chara_spy_00401</v>
      </c>
      <c r="D47" s="139" t="str">
        <f>IFERROR(__xludf.DUMMYFUNCTION("""COMPUTED_VALUE"""),"DropSR")</f>
        <v>DropSR</v>
      </c>
      <c r="E47" s="139" t="str">
        <f>IFERROR(__xludf.DUMMYFUNCTION("""COMPUTED_VALUE"""),"緑")</f>
        <v>緑</v>
      </c>
      <c r="F47" s="139" t="str">
        <f>IFERROR(__xludf.DUMMYFUNCTION("""COMPUTED_VALUE"""),"ディフェンス")</f>
        <v>ディフェンス</v>
      </c>
      <c r="G47" s="139" t="str">
        <f>IFERROR(__xludf.DUMMYFUNCTION("""COMPUTED_VALUE"""),"近距離")</f>
        <v>近距離</v>
      </c>
      <c r="H47" s="139" t="str">
        <f>IFERROR(__xludf.DUMMYFUNCTION("""COMPUTED_VALUE"""),"dageki_2")</f>
        <v>dageki_2</v>
      </c>
      <c r="I47" s="139" t="str">
        <f>IFERROR(__xludf.DUMMYFUNCTION("""COMPUTED_VALUE"""),"dageki_2")</f>
        <v>dageki_2</v>
      </c>
      <c r="J47" s="139" t="str">
        <f>IFERROR(__xludf.DUMMYFUNCTION("""COMPUTED_VALUE"""),"202509010_リリース")</f>
        <v>202509010_リリース</v>
      </c>
      <c r="K47" s="139" t="str">
        <f>IFERROR(__xludf.DUMMYFUNCTION("""COMPUTED_VALUE"""),"SPY×FAMILYいいジャン祭")</f>
        <v>SPY×FAMILYいいジャン祭</v>
      </c>
      <c r="L47" s="687" t="str">
        <f>IFERROR(__xludf.DUMMYFUNCTION("""COMPUTED_VALUE"""),"※")</f>
        <v>※</v>
      </c>
      <c r="M47" s="674">
        <f>IFERROR(__xludf.DUMMYFUNCTION("""COMPUTED_VALUE"""),470.0)</f>
        <v>470</v>
      </c>
      <c r="N47" s="139">
        <f>IFERROR(__xludf.DUMMYFUNCTION("""COMPUTED_VALUE"""),600.0)</f>
        <v>600</v>
      </c>
      <c r="O47" s="139" t="str">
        <f>IFERROR(__xludf.DUMMYFUNCTION("""COMPUTED_VALUE"""),"中コスト")</f>
        <v>中コスト</v>
      </c>
      <c r="P47" s="139">
        <f>IFERROR(__xludf.DUMMYFUNCTION("""COMPUTED_VALUE"""),-150.0)</f>
        <v>-150</v>
      </c>
      <c r="Q47" s="675">
        <f>IFERROR(__xludf.DUMMYFUNCTION("""COMPUTED_VALUE"""),10.0)</f>
        <v>10</v>
      </c>
      <c r="R47" s="675">
        <f>IFERROR(__xludf.DUMMYFUNCTION("""COMPUTED_VALUE"""),10.0)</f>
        <v>10</v>
      </c>
      <c r="S47" s="675">
        <f>IFERROR(__xludf.DUMMYFUNCTION("""COMPUTED_VALUE"""),9.25)</f>
        <v>9.25</v>
      </c>
      <c r="T47" s="674">
        <f>IFERROR(__xludf.DUMMYFUNCTION("""COMPUTED_VALUE"""),1035.0)</f>
        <v>1035</v>
      </c>
      <c r="U47" s="675">
        <f>IFERROR(__xludf.DUMMYFUNCTION("""COMPUTED_VALUE"""),20.680000000000003)</f>
        <v>20.68</v>
      </c>
      <c r="V47" s="675">
        <f>IFERROR(__xludf.DUMMYFUNCTION("""COMPUTED_VALUE"""),0.0)</f>
        <v>0</v>
      </c>
      <c r="W47" s="675">
        <f>IFERROR(__xludf.DUMMYFUNCTION("""COMPUTED_VALUE"""),0.0)</f>
        <v>0</v>
      </c>
      <c r="X47" s="675">
        <f>IFERROR(__xludf.DUMMYFUNCTION("""COMPUTED_VALUE"""),0.0)</f>
        <v>0</v>
      </c>
      <c r="Y47" s="674">
        <f>IFERROR(__xludf.DUMMYFUNCTION("""COMPUTED_VALUE"""),540.0)</f>
        <v>540</v>
      </c>
      <c r="Z47" s="675">
        <f>IFERROR(__xludf.DUMMYFUNCTION("""COMPUTED_VALUE"""),10.809999999999999)</f>
        <v>10.81</v>
      </c>
      <c r="AA47" s="675">
        <f>IFERROR(__xludf.DUMMYFUNCTION("""COMPUTED_VALUE"""),0.0)</f>
        <v>0</v>
      </c>
      <c r="AB47" s="673">
        <f>IFERROR(__xludf.DUMMYFUNCTION("""COMPUTED_VALUE"""),0.0)</f>
        <v>0</v>
      </c>
      <c r="AC47" s="675">
        <f>IFERROR(__xludf.DUMMYFUNCTION("""COMPUTED_VALUE"""),0.0)</f>
        <v>0</v>
      </c>
      <c r="AD47" s="674">
        <f>IFERROR(__xludf.DUMMYFUNCTION("""COMPUTED_VALUE"""),1180.0)</f>
        <v>1180</v>
      </c>
      <c r="AE47" s="675">
        <f>IFERROR(__xludf.DUMMYFUNCTION("""COMPUTED_VALUE"""),23.607752963804074)</f>
        <v>23.60775296</v>
      </c>
      <c r="AF47" s="675">
        <f>IFERROR(__xludf.DUMMYFUNCTION("""COMPUTED_VALUE"""),0.0)</f>
        <v>0</v>
      </c>
      <c r="AG47" s="675">
        <f>IFERROR(__xludf.DUMMYFUNCTION("""COMPUTED_VALUE"""),8.43134034421574)</f>
        <v>8.431340344</v>
      </c>
      <c r="AH47" s="675">
        <f>IFERROR(__xludf.DUMMYFUNCTION("""COMPUTED_VALUE"""),-1.6862680688431482)</f>
        <v>-1.686268069</v>
      </c>
      <c r="AI47" s="139" t="str">
        <f>IFERROR(__xludf.DUMMYFUNCTION("""COMPUTED_VALUE"""),"-")</f>
        <v>-</v>
      </c>
      <c r="AJ47" s="139" t="str">
        <f>IFERROR(__xludf.DUMMYFUNCTION("""COMPUTED_VALUE"""),"-")</f>
        <v>-</v>
      </c>
      <c r="AK47" s="139">
        <f>IFERROR(__xludf.DUMMYFUNCTION("""COMPUTED_VALUE"""),1.0)</f>
        <v>1</v>
      </c>
      <c r="AL47" s="674">
        <f>IFERROR(__xludf.DUMMYFUNCTION("""COMPUTED_VALUE"""),2820.0)</f>
        <v>2820</v>
      </c>
      <c r="AM47" s="688">
        <f>IFERROR(__xludf.DUMMYFUNCTION("""COMPUTED_VALUE"""),19495.019296374274)</f>
        <v>19495.0193</v>
      </c>
      <c r="AN47" s="675">
        <f>IFERROR(__xludf.DUMMYFUNCTION("""COMPUTED_VALUE"""),18.8)</f>
        <v>18.8</v>
      </c>
      <c r="AO47" s="675">
        <f>IFERROR(__xludf.DUMMYFUNCTION("""COMPUTED_VALUE"""),9.4)</f>
        <v>9.4</v>
      </c>
      <c r="AP47" s="674">
        <f>IFERROR(__xludf.DUMMYFUNCTION("""COMPUTED_VALUE"""),1410.0)</f>
        <v>1410</v>
      </c>
      <c r="AQ47" s="673">
        <f>IFERROR(__xludf.DUMMYFUNCTION("""COMPUTED_VALUE"""),0.9)</f>
        <v>0.9</v>
      </c>
      <c r="AR47" s="673">
        <f>IFERROR(__xludf.DUMMYFUNCTION("""COMPUTED_VALUE"""),0.0)</f>
        <v>0</v>
      </c>
      <c r="AS47" s="673">
        <f>IFERROR(__xludf.DUMMYFUNCTION("""COMPUTED_VALUE"""),0.0)</f>
        <v>0</v>
      </c>
      <c r="AT47" s="673">
        <f>IFERROR(__xludf.DUMMYFUNCTION("""COMPUTED_VALUE"""),0.0)</f>
        <v>0</v>
      </c>
      <c r="AU47" s="673">
        <f>IFERROR(__xludf.DUMMYFUNCTION("""COMPUTED_VALUE"""),0.1)</f>
        <v>0.1</v>
      </c>
      <c r="AV47" s="673">
        <f>IFERROR(__xludf.DUMMYFUNCTION("""COMPUTED_VALUE"""),0.0)</f>
        <v>0</v>
      </c>
      <c r="AW47" s="139"/>
      <c r="AX47" s="674">
        <f>IFERROR(__xludf.DUMMYFUNCTION("""COMPUTED_VALUE"""),940.0)</f>
        <v>940</v>
      </c>
      <c r="AY47" s="688">
        <f>IFERROR(__xludf.DUMMYFUNCTION("""COMPUTED_VALUE"""),6497.286432124758)</f>
        <v>6497.286432</v>
      </c>
      <c r="AZ47" s="674">
        <f>IFERROR(__xludf.DUMMYFUNCTION("""COMPUTED_VALUE"""),470.0)</f>
        <v>470</v>
      </c>
      <c r="BA47" s="688">
        <f>IFERROR(__xludf.DUMMYFUNCTION("""COMPUTED_VALUE"""),3248.643216062379)</f>
        <v>3248.643216</v>
      </c>
      <c r="BB47" s="688" t="str">
        <f>IFERROR(__xludf.DUMMYFUNCTION("""COMPUTED_VALUE"""),"-")</f>
        <v>-</v>
      </c>
      <c r="BC47" s="688" t="str">
        <f>IFERROR(__xludf.DUMMYFUNCTION("""COMPUTED_VALUE"""),"#VALUE!")</f>
        <v>#VALUE!</v>
      </c>
      <c r="BD47" s="688" t="str">
        <f>IFERROR(__xludf.DUMMYFUNCTION("""COMPUTED_VALUE"""),"#VALUE!")</f>
        <v>#VALUE!</v>
      </c>
      <c r="BE47" s="674">
        <f>IFERROR(__xludf.DUMMYFUNCTION("""COMPUTED_VALUE"""),470.0)</f>
        <v>470</v>
      </c>
      <c r="BF47" s="674">
        <f>IFERROR(__xludf.DUMMYFUNCTION("""COMPUTED_VALUE"""),940.0)</f>
        <v>940</v>
      </c>
      <c r="BG47" s="673">
        <f>IFERROR(__xludf.DUMMYFUNCTION("""COMPUTED_VALUE"""),0.0)</f>
        <v>0</v>
      </c>
      <c r="BH47" s="673">
        <f>IFERROR(__xludf.DUMMYFUNCTION("""COMPUTED_VALUE"""),-0.5)</f>
        <v>-0.5</v>
      </c>
      <c r="BI47" s="673">
        <f>IFERROR(__xludf.DUMMYFUNCTION("""COMPUTED_VALUE"""),0.0)</f>
        <v>0</v>
      </c>
      <c r="BJ47" s="673">
        <f>IFERROR(__xludf.DUMMYFUNCTION("""COMPUTED_VALUE"""),0.0)</f>
        <v>0</v>
      </c>
      <c r="BK47" s="673">
        <f>IFERROR(__xludf.DUMMYFUNCTION("""COMPUTED_VALUE"""),0.0)</f>
        <v>0</v>
      </c>
      <c r="BL47" s="673">
        <f>IFERROR(__xludf.DUMMYFUNCTION("""COMPUTED_VALUE"""),0.0)</f>
        <v>0</v>
      </c>
      <c r="BM47" s="674">
        <f>IFERROR(__xludf.DUMMYFUNCTION("""COMPUTED_VALUE"""),100.0)</f>
        <v>100</v>
      </c>
      <c r="BN47" s="674">
        <f>IFERROR(__xludf.DUMMYFUNCTION("""COMPUTED_VALUE"""),100.0)</f>
        <v>100</v>
      </c>
      <c r="BO47" s="675">
        <f>IFERROR(__xludf.DUMMYFUNCTION("""COMPUTED_VALUE"""),0.0)</f>
        <v>0</v>
      </c>
      <c r="BP47" s="675">
        <f>IFERROR(__xludf.DUMMYFUNCTION("""COMPUTED_VALUE"""),2.0)</f>
        <v>2</v>
      </c>
      <c r="BQ47" s="675" t="str">
        <f>IFERROR(__xludf.DUMMYFUNCTION("""COMPUTED_VALUE"""),"※")</f>
        <v>※</v>
      </c>
      <c r="BR47" s="139">
        <f>IFERROR(__xludf.DUMMYFUNCTION("""COMPUTED_VALUE"""),1.0)</f>
        <v>1</v>
      </c>
      <c r="BS47" s="139">
        <f>IFERROR(__xludf.DUMMYFUNCTION("""COMPUTED_VALUE"""),30.0)</f>
        <v>30</v>
      </c>
      <c r="BT47" s="139">
        <f>IFERROR(__xludf.DUMMYFUNCTION("""COMPUTED_VALUE"""),0.21)</f>
        <v>0.21</v>
      </c>
      <c r="BU47" s="139">
        <f>IFERROR(__xludf.DUMMYFUNCTION("""COMPUTED_VALUE"""),0.0)</f>
        <v>0</v>
      </c>
      <c r="BV47" s="139" t="str">
        <f>IFERROR(__xludf.DUMMYFUNCTION("""COMPUTED_VALUE"""),"普通")</f>
        <v>普通</v>
      </c>
      <c r="BW47" s="139" t="str">
        <f>IFERROR(__xludf.DUMMYFUNCTION("""COMPUTED_VALUE"""),"突風コマ無効化")</f>
        <v>突風コマ無効化</v>
      </c>
      <c r="BX47" s="139" t="str">
        <f>IFERROR(__xludf.DUMMYFUNCTION("""COMPUTED_VALUE"""),"-")</f>
        <v>-</v>
      </c>
      <c r="BY47" s="139">
        <f>IFERROR(__xludf.DUMMYFUNCTION("""COMPUTED_VALUE"""),2.0)</f>
        <v>2</v>
      </c>
      <c r="BZ47" s="139" t="str">
        <f>IFERROR(__xludf.DUMMYFUNCTION("""COMPUTED_VALUE"""),"-")</f>
        <v>-</v>
      </c>
      <c r="CA47" s="139" t="str">
        <f>IFERROR(__xludf.DUMMYFUNCTION("""COMPUTED_VALUE"""),"-")</f>
        <v>-</v>
      </c>
      <c r="CB47" s="139" t="str">
        <f>IFERROR(__xludf.DUMMYFUNCTION("""COMPUTED_VALUE"""),"-")</f>
        <v>-</v>
      </c>
      <c r="CC47" s="139" t="str">
        <f>IFERROR(__xludf.DUMMYFUNCTION("""COMPUTED_VALUE"""),"近距離")</f>
        <v>近距離</v>
      </c>
      <c r="CD47" s="139" t="str">
        <f>IFERROR(__xludf.DUMMYFUNCTION("""COMPUTED_VALUE"""),"単体")</f>
        <v>単体</v>
      </c>
      <c r="CE47" s="139">
        <f>IFERROR(__xludf.DUMMYFUNCTION("""COMPUTED_VALUE"""),1.0)</f>
        <v>1</v>
      </c>
      <c r="CF47" s="139">
        <f>IFERROR(__xludf.DUMMYFUNCTION("""COMPUTED_VALUE"""),0.22)</f>
        <v>0.22</v>
      </c>
      <c r="CG47" s="139" t="str">
        <f>IFERROR(__xludf.DUMMYFUNCTION("""COMPUTED_VALUE"""),"近距離")</f>
        <v>近距離</v>
      </c>
      <c r="CH47" s="139" t="str">
        <f>IFERROR(__xludf.DUMMYFUNCTION("""COMPUTED_VALUE"""),"単体")</f>
        <v>単体</v>
      </c>
      <c r="CI47" s="139">
        <f>IFERROR(__xludf.DUMMYFUNCTION("""COMPUTED_VALUE"""),1.0)</f>
        <v>1</v>
      </c>
      <c r="CJ47" s="139">
        <f>IFERROR(__xludf.DUMMYFUNCTION("""COMPUTED_VALUE"""),0.22)</f>
        <v>0.22</v>
      </c>
      <c r="CK47" s="139" t="str">
        <f>IFERROR(__xludf.DUMMYFUNCTION("""COMPUTED_VALUE"""),"敵")</f>
        <v>敵</v>
      </c>
      <c r="CL47" s="139" t="str">
        <f>IFERROR(__xludf.DUMMYFUNCTION("""COMPUTED_VALUE"""),"All")</f>
        <v>All</v>
      </c>
      <c r="CM47" s="139" t="str">
        <f>IFERROR(__xludf.DUMMYFUNCTION("""COMPUTED_VALUE"""),"All")</f>
        <v>All</v>
      </c>
      <c r="CN47" s="675">
        <f>IFERROR(__xludf.DUMMYFUNCTION("""COMPUTED_VALUE"""),23.607752963804074)</f>
        <v>23.60775296</v>
      </c>
      <c r="CO47" s="139" t="str">
        <f>IFERROR(__xludf.DUMMYFUNCTION("""COMPUTED_VALUE"""),"-")</f>
        <v>-</v>
      </c>
      <c r="CP47" s="139" t="str">
        <f>IFERROR(__xludf.DUMMYFUNCTION("""COMPUTED_VALUE"""),"-")</f>
        <v>-</v>
      </c>
      <c r="CQ47" s="139" t="str">
        <f>IFERROR(__xludf.DUMMYFUNCTION("""COMPUTED_VALUE"""),"-")</f>
        <v>-</v>
      </c>
      <c r="CR47" s="139" t="str">
        <f>IFERROR(__xludf.DUMMYFUNCTION("""COMPUTED_VALUE"""),"-")</f>
        <v>-</v>
      </c>
      <c r="CS47" s="673" t="str">
        <f>IFERROR(__xludf.DUMMYFUNCTION("""COMPUTED_VALUE"""),"攻撃(必殺)")</f>
        <v>攻撃(必殺)</v>
      </c>
      <c r="CT47" s="139" t="str">
        <f>IFERROR(__xludf.DUMMYFUNCTION("""COMPUTED_VALUE"""),"-")</f>
        <v>-</v>
      </c>
      <c r="CU47" s="139" t="str">
        <f>IFERROR(__xludf.DUMMYFUNCTION("""COMPUTED_VALUE"""),"敵")</f>
        <v>敵</v>
      </c>
      <c r="CV47" s="139" t="str">
        <f>IFERROR(__xludf.DUMMYFUNCTION("""COMPUTED_VALUE"""),"All")</f>
        <v>All</v>
      </c>
      <c r="CW47" s="139" t="str">
        <f>IFERROR(__xludf.DUMMYFUNCTION("""COMPUTED_VALUE"""),"All")</f>
        <v>All</v>
      </c>
      <c r="CX47" s="674">
        <f>IFERROR(__xludf.DUMMYFUNCTION("""COMPUTED_VALUE"""),153.0)</f>
        <v>153</v>
      </c>
      <c r="CY47" s="139" t="str">
        <f>IFERROR(__xludf.DUMMYFUNCTION("""COMPUTED_VALUE"""),"-")</f>
        <v>-</v>
      </c>
      <c r="CZ47" s="688">
        <f>IFERROR(__xludf.DUMMYFUNCTION("""COMPUTED_VALUE"""),9941.0)</f>
        <v>9941</v>
      </c>
      <c r="DA47" s="688">
        <f>IFERROR(__xludf.DUMMYFUNCTION("""COMPUTED_VALUE"""),445.22617086382326)</f>
        <v>445.2261709</v>
      </c>
      <c r="DB47" s="688">
        <f>IFERROR(__xludf.DUMMYFUNCTION("""COMPUTED_VALUE"""),0.0)</f>
        <v>0</v>
      </c>
      <c r="DC47" s="673" t="str">
        <f>IFERROR(__xludf.DUMMYFUNCTION("""COMPUTED_VALUE"""),"-")</f>
        <v>-</v>
      </c>
      <c r="DD47" s="673" t="str">
        <f>IFERROR(__xludf.DUMMYFUNCTION("""COMPUTED_VALUE"""),"-")</f>
        <v>-</v>
      </c>
      <c r="DE47" s="139" t="str">
        <f>IFERROR(__xludf.DUMMYFUNCTION("""COMPUTED_VALUE"""),"-")</f>
        <v>-</v>
      </c>
      <c r="DF47" s="139" t="str">
        <f>IFERROR(__xludf.DUMMYFUNCTION("""COMPUTED_VALUE"""),"-")</f>
        <v>-</v>
      </c>
      <c r="DG47" s="139" t="str">
        <f>IFERROR(__xludf.DUMMYFUNCTION("""COMPUTED_VALUE"""),"-")</f>
        <v>-</v>
      </c>
      <c r="DH47" s="139" t="str">
        <f>IFERROR(__xludf.DUMMYFUNCTION("""COMPUTED_VALUE"""),"-")</f>
        <v>-</v>
      </c>
      <c r="DI47" s="139" t="str">
        <f>IFERROR(__xludf.DUMMYFUNCTION("""COMPUTED_VALUE"""),"-")</f>
        <v>-</v>
      </c>
      <c r="DJ47" s="139" t="str">
        <f>IFERROR(__xludf.DUMMYFUNCTION("""COMPUTED_VALUE"""),"-")</f>
        <v>-</v>
      </c>
    </row>
    <row r="48">
      <c r="A48" s="139" t="str">
        <f>IFERROR(__xludf.DUMMYFUNCTION("""COMPUTED_VALUE"""),"チェンソーマン")</f>
        <v>チェンソーマン</v>
      </c>
      <c r="B48" s="139" t="str">
        <f>IFERROR(__xludf.DUMMYFUNCTION("""COMPUTED_VALUE"""),"パワー")</f>
        <v>パワー</v>
      </c>
      <c r="C48" s="139" t="str">
        <f>IFERROR(__xludf.DUMMYFUNCTION("""COMPUTED_VALUE"""),"chara_chi_00301")</f>
        <v>chara_chi_00301</v>
      </c>
      <c r="D48" s="139" t="str">
        <f>IFERROR(__xludf.DUMMYFUNCTION("""COMPUTED_VALUE"""),"PremiumSSR")</f>
        <v>PremiumSSR</v>
      </c>
      <c r="E48" s="139" t="str">
        <f>IFERROR(__xludf.DUMMYFUNCTION("""COMPUTED_VALUE"""),"青")</f>
        <v>青</v>
      </c>
      <c r="F48" s="139" t="str">
        <f>IFERROR(__xludf.DUMMYFUNCTION("""COMPUTED_VALUE"""),"アタック")</f>
        <v>アタック</v>
      </c>
      <c r="G48" s="139" t="str">
        <f>IFERROR(__xludf.DUMMYFUNCTION("""COMPUTED_VALUE"""),"中距離")</f>
        <v>中距離</v>
      </c>
      <c r="H48" s="139" t="str">
        <f>IFERROR(__xludf.DUMMYFUNCTION("""COMPUTED_VALUE"""),"dageki_1")</f>
        <v>dageki_1</v>
      </c>
      <c r="I48" s="139" t="str">
        <f>IFERROR(__xludf.DUMMYFUNCTION("""COMPUTED_VALUE"""),"dageki_1")</f>
        <v>dageki_1</v>
      </c>
      <c r="J48" s="139" t="str">
        <f>IFERROR(__xludf.DUMMYFUNCTION("""COMPUTED_VALUE"""),"202509010_リリース")</f>
        <v>202509010_リリース</v>
      </c>
      <c r="K48" s="139" t="str">
        <f>IFERROR(__xludf.DUMMYFUNCTION("""COMPUTED_VALUE"""),"リリース時")</f>
        <v>リリース時</v>
      </c>
      <c r="L48" s="139" t="str">
        <f>IFERROR(__xludf.DUMMYFUNCTION("""COMPUTED_VALUE"""),"※")</f>
        <v>※</v>
      </c>
      <c r="M48" s="674">
        <f>IFERROR(__xludf.DUMMYFUNCTION("""COMPUTED_VALUE"""),420.0)</f>
        <v>420</v>
      </c>
      <c r="N48" s="139">
        <f>IFERROR(__xludf.DUMMYFUNCTION("""COMPUTED_VALUE"""),600.0)</f>
        <v>600</v>
      </c>
      <c r="O48" s="139" t="str">
        <f>IFERROR(__xludf.DUMMYFUNCTION("""COMPUTED_VALUE"""),"中コスト")</f>
        <v>中コスト</v>
      </c>
      <c r="P48" s="139">
        <f>IFERROR(__xludf.DUMMYFUNCTION("""COMPUTED_VALUE"""),-200.0)</f>
        <v>-200</v>
      </c>
      <c r="Q48" s="675">
        <f>IFERROR(__xludf.DUMMYFUNCTION("""COMPUTED_VALUE"""),10.0)</f>
        <v>10</v>
      </c>
      <c r="R48" s="675">
        <f>IFERROR(__xludf.DUMMYFUNCTION("""COMPUTED_VALUE"""),10.0)</f>
        <v>10</v>
      </c>
      <c r="S48" s="675">
        <f>IFERROR(__xludf.DUMMYFUNCTION("""COMPUTED_VALUE"""),8.0)</f>
        <v>8</v>
      </c>
      <c r="T48" s="674">
        <f>IFERROR(__xludf.DUMMYFUNCTION("""COMPUTED_VALUE"""),325.0)</f>
        <v>325</v>
      </c>
      <c r="U48" s="675">
        <f>IFERROR(__xludf.DUMMYFUNCTION("""COMPUTED_VALUE"""),6.453333333333333)</f>
        <v>6.453333333</v>
      </c>
      <c r="V48" s="675">
        <f>IFERROR(__xludf.DUMMYFUNCTION("""COMPUTED_VALUE"""),0.0)</f>
        <v>0</v>
      </c>
      <c r="W48" s="675">
        <f>IFERROR(__xludf.DUMMYFUNCTION("""COMPUTED_VALUE"""),0.0)</f>
        <v>0</v>
      </c>
      <c r="X48" s="675">
        <f>IFERROR(__xludf.DUMMYFUNCTION("""COMPUTED_VALUE"""),0.0)</f>
        <v>0</v>
      </c>
      <c r="Y48" s="674">
        <f>IFERROR(__xludf.DUMMYFUNCTION("""COMPUTED_VALUE"""),170.0)</f>
        <v>170</v>
      </c>
      <c r="Z48" s="675">
        <f>IFERROR(__xludf.DUMMYFUNCTION("""COMPUTED_VALUE"""),3.3733333333333326)</f>
        <v>3.373333333</v>
      </c>
      <c r="AA48" s="675">
        <f>IFERROR(__xludf.DUMMYFUNCTION("""COMPUTED_VALUE"""),0.0)</f>
        <v>0</v>
      </c>
      <c r="AB48" s="673">
        <f>IFERROR(__xludf.DUMMYFUNCTION("""COMPUTED_VALUE"""),0.0)</f>
        <v>0</v>
      </c>
      <c r="AC48" s="675">
        <f>IFERROR(__xludf.DUMMYFUNCTION("""COMPUTED_VALUE"""),0.0)</f>
        <v>0</v>
      </c>
      <c r="AD48" s="674">
        <f>IFERROR(__xludf.DUMMYFUNCTION("""COMPUTED_VALUE"""),590.0)</f>
        <v>590</v>
      </c>
      <c r="AE48" s="675">
        <f>IFERROR(__xludf.DUMMYFUNCTION("""COMPUTED_VALUE"""),11.774796530443034)</f>
        <v>11.77479653</v>
      </c>
      <c r="AF48" s="675">
        <f>IFERROR(__xludf.DUMMYFUNCTION("""COMPUTED_VALUE"""),0.0)</f>
        <v>0</v>
      </c>
      <c r="AG48" s="675">
        <f>IFERROR(__xludf.DUMMYFUNCTION("""COMPUTED_VALUE"""),2.354959306088607)</f>
        <v>2.354959306</v>
      </c>
      <c r="AH48" s="675">
        <f>IFERROR(__xludf.DUMMYFUNCTION("""COMPUTED_VALUE"""),0.0)</f>
        <v>0</v>
      </c>
      <c r="AI48" s="139">
        <f>IFERROR(__xludf.DUMMYFUNCTION("""COMPUTED_VALUE"""),14.0)</f>
        <v>14</v>
      </c>
      <c r="AJ48" s="139" t="str">
        <f>IFERROR(__xludf.DUMMYFUNCTION("""COMPUTED_VALUE"""),"-")</f>
        <v>-</v>
      </c>
      <c r="AK48" s="139">
        <f>IFERROR(__xludf.DUMMYFUNCTION("""COMPUTED_VALUE"""),1.0)</f>
        <v>1</v>
      </c>
      <c r="AL48" s="674">
        <f>IFERROR(__xludf.DUMMYFUNCTION("""COMPUTED_VALUE"""),880.0)</f>
        <v>880</v>
      </c>
      <c r="AM48" s="688">
        <f>IFERROR(__xludf.DUMMYFUNCTION("""COMPUTED_VALUE"""),6709.104744967859)</f>
        <v>6709.104745</v>
      </c>
      <c r="AN48" s="675">
        <f>IFERROR(__xludf.DUMMYFUNCTION("""COMPUTED_VALUE"""),5.866666666666666)</f>
        <v>5.866666667</v>
      </c>
      <c r="AO48" s="675">
        <f>IFERROR(__xludf.DUMMYFUNCTION("""COMPUTED_VALUE"""),2.933333333333333)</f>
        <v>2.933333333</v>
      </c>
      <c r="AP48" s="674">
        <f>IFERROR(__xludf.DUMMYFUNCTION("""COMPUTED_VALUE"""),1260.0)</f>
        <v>1260</v>
      </c>
      <c r="AQ48" s="673">
        <f>IFERROR(__xludf.DUMMYFUNCTION("""COMPUTED_VALUE"""),-0.2)</f>
        <v>-0.2</v>
      </c>
      <c r="AR48" s="673">
        <f>IFERROR(__xludf.DUMMYFUNCTION("""COMPUTED_VALUE"""),0.0)</f>
        <v>0</v>
      </c>
      <c r="AS48" s="673">
        <f>IFERROR(__xludf.DUMMYFUNCTION("""COMPUTED_VALUE"""),-0.1)</f>
        <v>-0.1</v>
      </c>
      <c r="AT48" s="673">
        <f>IFERROR(__xludf.DUMMYFUNCTION("""COMPUTED_VALUE"""),0.0)</f>
        <v>0</v>
      </c>
      <c r="AU48" s="673">
        <f>IFERROR(__xludf.DUMMYFUNCTION("""COMPUTED_VALUE"""),0.0)</f>
        <v>0</v>
      </c>
      <c r="AV48" s="673">
        <f>IFERROR(__xludf.DUMMYFUNCTION("""COMPUTED_VALUE"""),0.0)</f>
        <v>0</v>
      </c>
      <c r="AW48" s="139"/>
      <c r="AX48" s="674">
        <f>IFERROR(__xludf.DUMMYFUNCTION("""COMPUTED_VALUE"""),1640.0)</f>
        <v>1640</v>
      </c>
      <c r="AY48" s="688">
        <f>IFERROR(__xludf.DUMMYFUNCTION("""COMPUTED_VALUE"""),12504.16611562192)</f>
        <v>12504.16612</v>
      </c>
      <c r="AZ48" s="674">
        <f>IFERROR(__xludf.DUMMYFUNCTION("""COMPUTED_VALUE"""),1090.0)</f>
        <v>1090</v>
      </c>
      <c r="BA48" s="688">
        <f>IFERROR(__xludf.DUMMYFUNCTION("""COMPUTED_VALUE"""),8336.110743747946)</f>
        <v>8336.110744</v>
      </c>
      <c r="BB48" s="688" t="str">
        <f>IFERROR(__xludf.DUMMYFUNCTION("""COMPUTED_VALUE"""),"-")</f>
        <v>-</v>
      </c>
      <c r="BC48" s="688" t="str">
        <f>IFERROR(__xludf.DUMMYFUNCTION("""COMPUTED_VALUE"""),"#VALUE!")</f>
        <v>#VALUE!</v>
      </c>
      <c r="BD48" s="688" t="str">
        <f>IFERROR(__xludf.DUMMYFUNCTION("""COMPUTED_VALUE"""),"#VALUE!")</f>
        <v>#VALUE!</v>
      </c>
      <c r="BE48" s="674">
        <f>IFERROR(__xludf.DUMMYFUNCTION("""COMPUTED_VALUE"""),1090.0)</f>
        <v>1090</v>
      </c>
      <c r="BF48" s="674">
        <f>IFERROR(__xludf.DUMMYFUNCTION("""COMPUTED_VALUE"""),840.0)</f>
        <v>840</v>
      </c>
      <c r="BG48" s="673">
        <f>IFERROR(__xludf.DUMMYFUNCTION("""COMPUTED_VALUE"""),0.0)</f>
        <v>0</v>
      </c>
      <c r="BH48" s="673">
        <f>IFERROR(__xludf.DUMMYFUNCTION("""COMPUTED_VALUE"""),0.3)</f>
        <v>0.3</v>
      </c>
      <c r="BI48" s="673">
        <f>IFERROR(__xludf.DUMMYFUNCTION("""COMPUTED_VALUE"""),0.0)</f>
        <v>0</v>
      </c>
      <c r="BJ48" s="673">
        <f>IFERROR(__xludf.DUMMYFUNCTION("""COMPUTED_VALUE"""),0.0)</f>
        <v>0</v>
      </c>
      <c r="BK48" s="673">
        <f>IFERROR(__xludf.DUMMYFUNCTION("""COMPUTED_VALUE"""),0.0)</f>
        <v>0</v>
      </c>
      <c r="BL48" s="673">
        <f>IFERROR(__xludf.DUMMYFUNCTION("""COMPUTED_VALUE"""),0.0)</f>
        <v>0</v>
      </c>
      <c r="BM48" s="674">
        <f>IFERROR(__xludf.DUMMYFUNCTION("""COMPUTED_VALUE"""),75.0)</f>
        <v>75</v>
      </c>
      <c r="BN48" s="674">
        <f>IFERROR(__xludf.DUMMYFUNCTION("""COMPUTED_VALUE"""),75.0)</f>
        <v>75</v>
      </c>
      <c r="BO48" s="675">
        <f>IFERROR(__xludf.DUMMYFUNCTION("""COMPUTED_VALUE"""),0.0)</f>
        <v>0</v>
      </c>
      <c r="BP48" s="675">
        <f>IFERROR(__xludf.DUMMYFUNCTION("""COMPUTED_VALUE"""),1.5)</f>
        <v>1.5</v>
      </c>
      <c r="BQ48" s="675" t="str">
        <f>IFERROR(__xludf.DUMMYFUNCTION("""COMPUTED_VALUE"""),"※")</f>
        <v>※</v>
      </c>
      <c r="BR48" s="139">
        <f>IFERROR(__xludf.DUMMYFUNCTION("""COMPUTED_VALUE"""),2.0)</f>
        <v>2</v>
      </c>
      <c r="BS48" s="139">
        <f>IFERROR(__xludf.DUMMYFUNCTION("""COMPUTED_VALUE"""),45.0)</f>
        <v>45</v>
      </c>
      <c r="BT48" s="139">
        <f>IFERROR(__xludf.DUMMYFUNCTION("""COMPUTED_VALUE"""),0.33999999999999997)</f>
        <v>0.34</v>
      </c>
      <c r="BU48" s="139">
        <f>IFERROR(__xludf.DUMMYFUNCTION("""COMPUTED_VALUE"""),0.0)</f>
        <v>0</v>
      </c>
      <c r="BV48" s="139" t="str">
        <f>IFERROR(__xludf.DUMMYFUNCTION("""COMPUTED_VALUE"""),"速")</f>
        <v>速</v>
      </c>
      <c r="BW48" s="139" t="str">
        <f>IFERROR(__xludf.DUMMYFUNCTION("""COMPUTED_VALUE"""),"攻撃UPコマ効果UP")</f>
        <v>攻撃UPコマ効果UP</v>
      </c>
      <c r="BX48" s="139">
        <f>IFERROR(__xludf.DUMMYFUNCTION("""COMPUTED_VALUE"""),20.0)</f>
        <v>20</v>
      </c>
      <c r="BY48" s="139">
        <f>IFERROR(__xludf.DUMMYFUNCTION("""COMPUTED_VALUE"""),0.0)</f>
        <v>0</v>
      </c>
      <c r="BZ48" s="139" t="str">
        <f>IFERROR(__xludf.DUMMYFUNCTION("""COMPUTED_VALUE"""),"-")</f>
        <v>-</v>
      </c>
      <c r="CA48" s="139" t="str">
        <f>IFERROR(__xludf.DUMMYFUNCTION("""COMPUTED_VALUE"""),"-")</f>
        <v>-</v>
      </c>
      <c r="CB48" s="139" t="str">
        <f>IFERROR(__xludf.DUMMYFUNCTION("""COMPUTED_VALUE"""),"-")</f>
        <v>-</v>
      </c>
      <c r="CC48" s="139" t="str">
        <f>IFERROR(__xludf.DUMMYFUNCTION("""COMPUTED_VALUE"""),"中距離")</f>
        <v>中距離</v>
      </c>
      <c r="CD48" s="139" t="str">
        <f>IFERROR(__xludf.DUMMYFUNCTION("""COMPUTED_VALUE"""),"単体")</f>
        <v>単体</v>
      </c>
      <c r="CE48" s="139">
        <f>IFERROR(__xludf.DUMMYFUNCTION("""COMPUTED_VALUE"""),1.0)</f>
        <v>1</v>
      </c>
      <c r="CF48" s="139">
        <f>IFERROR(__xludf.DUMMYFUNCTION("""COMPUTED_VALUE"""),0.35)</f>
        <v>0.35</v>
      </c>
      <c r="CG48" s="139" t="str">
        <f>IFERROR(__xludf.DUMMYFUNCTION("""COMPUTED_VALUE"""),"中距離")</f>
        <v>中距離</v>
      </c>
      <c r="CH48" s="139" t="str">
        <f>IFERROR(__xludf.DUMMYFUNCTION("""COMPUTED_VALUE"""),"範囲(小)")</f>
        <v>範囲(小)</v>
      </c>
      <c r="CI48" s="139">
        <f>IFERROR(__xludf.DUMMYFUNCTION("""COMPUTED_VALUE"""),0.75)</f>
        <v>0.75</v>
      </c>
      <c r="CJ48" s="139">
        <f>IFERROR(__xludf.DUMMYFUNCTION("""COMPUTED_VALUE"""),0.44999999999999996)</f>
        <v>0.45</v>
      </c>
      <c r="CK48" s="139" t="str">
        <f>IFERROR(__xludf.DUMMYFUNCTION("""COMPUTED_VALUE"""),"敵")</f>
        <v>敵</v>
      </c>
      <c r="CL48" s="139" t="str">
        <f>IFERROR(__xludf.DUMMYFUNCTION("""COMPUTED_VALUE"""),"赤")</f>
        <v>赤</v>
      </c>
      <c r="CM48" s="139" t="str">
        <f>IFERROR(__xludf.DUMMYFUNCTION("""COMPUTED_VALUE"""),"All")</f>
        <v>All</v>
      </c>
      <c r="CN48" s="675">
        <f>IFERROR(__xludf.DUMMYFUNCTION("""COMPUTED_VALUE"""),11.774796530443034)</f>
        <v>11.77479653</v>
      </c>
      <c r="CO48" s="139" t="str">
        <f>IFERROR(__xludf.DUMMYFUNCTION("""COMPUTED_VALUE"""),"-")</f>
        <v>-</v>
      </c>
      <c r="CP48" s="139" t="str">
        <f>IFERROR(__xludf.DUMMYFUNCTION("""COMPUTED_VALUE"""),"-")</f>
        <v>-</v>
      </c>
      <c r="CQ48" s="139" t="str">
        <f>IFERROR(__xludf.DUMMYFUNCTION("""COMPUTED_VALUE"""),"-")</f>
        <v>-</v>
      </c>
      <c r="CR48" s="139" t="str">
        <f>IFERROR(__xludf.DUMMYFUNCTION("""COMPUTED_VALUE"""),"-")</f>
        <v>-</v>
      </c>
      <c r="CS48" s="673" t="str">
        <f>IFERROR(__xludf.DUMMYFUNCTION("""COMPUTED_VALUE"""),"キラー攻撃(赤)")</f>
        <v>キラー攻撃(赤)</v>
      </c>
      <c r="CT48" s="139" t="str">
        <f>IFERROR(__xludf.DUMMYFUNCTION("""COMPUTED_VALUE"""),"-")</f>
        <v>-</v>
      </c>
      <c r="CU48" s="139" t="str">
        <f>IFERROR(__xludf.DUMMYFUNCTION("""COMPUTED_VALUE"""),"敵")</f>
        <v>敵</v>
      </c>
      <c r="CV48" s="139" t="str">
        <f>IFERROR(__xludf.DUMMYFUNCTION("""COMPUTED_VALUE"""),"赤")</f>
        <v>赤</v>
      </c>
      <c r="CW48" s="139" t="str">
        <f>IFERROR(__xludf.DUMMYFUNCTION("""COMPUTED_VALUE"""),"All")</f>
        <v>All</v>
      </c>
      <c r="CX48" s="674">
        <f>IFERROR(__xludf.DUMMYFUNCTION("""COMPUTED_VALUE"""),150.0)</f>
        <v>150</v>
      </c>
      <c r="CY48" s="139" t="str">
        <f>IFERROR(__xludf.DUMMYFUNCTION("""COMPUTED_VALUE"""),"-")</f>
        <v>-</v>
      </c>
      <c r="CZ48" s="688">
        <f>IFERROR(__xludf.DUMMYFUNCTION("""COMPUTED_VALUE"""),21101.0)</f>
        <v>21101</v>
      </c>
      <c r="DA48" s="688">
        <f>IFERROR(__xludf.DUMMYFUNCTION("""COMPUTED_VALUE"""),1929.7370828826274)</f>
        <v>1929.737083</v>
      </c>
      <c r="DB48" s="688">
        <f>IFERROR(__xludf.DUMMYFUNCTION("""COMPUTED_VALUE"""),9648.685414413138)</f>
        <v>9648.685414</v>
      </c>
      <c r="DC48" s="139" t="str">
        <f>IFERROR(__xludf.DUMMYFUNCTION("""COMPUTED_VALUE"""),"-")</f>
        <v>-</v>
      </c>
      <c r="DD48" s="673" t="str">
        <f>IFERROR(__xludf.DUMMYFUNCTION("""COMPUTED_VALUE"""),"-")</f>
        <v>-</v>
      </c>
      <c r="DE48" s="139" t="str">
        <f>IFERROR(__xludf.DUMMYFUNCTION("""COMPUTED_VALUE"""),"-")</f>
        <v>-</v>
      </c>
      <c r="DF48" s="139" t="str">
        <f>IFERROR(__xludf.DUMMYFUNCTION("""COMPUTED_VALUE"""),"-")</f>
        <v>-</v>
      </c>
      <c r="DG48" s="139" t="str">
        <f>IFERROR(__xludf.DUMMYFUNCTION("""COMPUTED_VALUE"""),"-")</f>
        <v>-</v>
      </c>
      <c r="DH48" s="139" t="str">
        <f>IFERROR(__xludf.DUMMYFUNCTION("""COMPUTED_VALUE"""),"-")</f>
        <v>-</v>
      </c>
      <c r="DI48" s="139" t="str">
        <f>IFERROR(__xludf.DUMMYFUNCTION("""COMPUTED_VALUE"""),"-")</f>
        <v>-</v>
      </c>
      <c r="DJ48" s="139" t="str">
        <f>IFERROR(__xludf.DUMMYFUNCTION("""COMPUTED_VALUE"""),"-")</f>
        <v>-</v>
      </c>
    </row>
    <row r="49">
      <c r="A49" s="139" t="str">
        <f>IFERROR(__xludf.DUMMYFUNCTION("""COMPUTED_VALUE"""),"道産子ギャルはなまらめんこい")</f>
        <v>道産子ギャルはなまらめんこい</v>
      </c>
      <c r="B49" s="139" t="str">
        <f>IFERROR(__xludf.DUMMYFUNCTION("""COMPUTED_VALUE"""),"秋野 沙友理")</f>
        <v>秋野 沙友理</v>
      </c>
      <c r="C49" s="139" t="str">
        <f>IFERROR(__xludf.DUMMYFUNCTION("""COMPUTED_VALUE"""),"chara_dos_00101")</f>
        <v>chara_dos_00101</v>
      </c>
      <c r="D49" s="139" t="str">
        <f>IFERROR(__xludf.DUMMYFUNCTION("""COMPUTED_VALUE"""),"PremiumSSR")</f>
        <v>PremiumSSR</v>
      </c>
      <c r="E49" s="139" t="str">
        <f>IFERROR(__xludf.DUMMYFUNCTION("""COMPUTED_VALUE"""),"無")</f>
        <v>無</v>
      </c>
      <c r="F49" s="139" t="str">
        <f>IFERROR(__xludf.DUMMYFUNCTION("""COMPUTED_VALUE"""),"スペシャル")</f>
        <v>スペシャル</v>
      </c>
      <c r="G49" s="139" t="str">
        <f>IFERROR(__xludf.DUMMYFUNCTION("""COMPUTED_VALUE"""),"該当なし")</f>
        <v>該当なし</v>
      </c>
      <c r="H49" s="139" t="str">
        <f>IFERROR(__xludf.DUMMYFUNCTION("""COMPUTED_VALUE"""),"-")</f>
        <v>-</v>
      </c>
      <c r="I49" s="139" t="str">
        <f>IFERROR(__xludf.DUMMYFUNCTION("""COMPUTED_VALUE"""),"-")</f>
        <v>-</v>
      </c>
      <c r="J49" s="139" t="str">
        <f>IFERROR(__xludf.DUMMYFUNCTION("""COMPUTED_VALUE"""),"202509010_リリース")</f>
        <v>202509010_リリース</v>
      </c>
      <c r="K49" s="139" t="str">
        <f>IFERROR(__xludf.DUMMYFUNCTION("""COMPUTED_VALUE"""),"リリース時")</f>
        <v>リリース時</v>
      </c>
      <c r="L49" s="687" t="str">
        <f>IFERROR(__xludf.DUMMYFUNCTION("""COMPUTED_VALUE"""),"※")</f>
        <v>※</v>
      </c>
      <c r="M49" s="674">
        <f>IFERROR(__xludf.DUMMYFUNCTION("""COMPUTED_VALUE"""),400.0)</f>
        <v>400</v>
      </c>
      <c r="N49" s="139">
        <f>IFERROR(__xludf.DUMMYFUNCTION("""COMPUTED_VALUE"""),600.0)</f>
        <v>600</v>
      </c>
      <c r="O49" s="139" t="str">
        <f>IFERROR(__xludf.DUMMYFUNCTION("""COMPUTED_VALUE"""),"中コスト")</f>
        <v>中コスト</v>
      </c>
      <c r="P49" s="139">
        <f>IFERROR(__xludf.DUMMYFUNCTION("""COMPUTED_VALUE"""),150.0)</f>
        <v>150</v>
      </c>
      <c r="Q49" s="675">
        <f>IFERROR(__xludf.DUMMYFUNCTION("""COMPUTED_VALUE"""),10.0)</f>
        <v>10</v>
      </c>
      <c r="R49" s="675">
        <f>IFERROR(__xludf.DUMMYFUNCTION("""COMPUTED_VALUE"""),0.0)</f>
        <v>0</v>
      </c>
      <c r="S49" s="675">
        <f>IFERROR(__xludf.DUMMYFUNCTION("""COMPUTED_VALUE"""),7.5)</f>
        <v>7.5</v>
      </c>
      <c r="T49" s="674" t="str">
        <f>IFERROR(__xludf.DUMMYFUNCTION("""COMPUTED_VALUE"""),"-")</f>
        <v>-</v>
      </c>
      <c r="U49" s="674" t="str">
        <f>IFERROR(__xludf.DUMMYFUNCTION("""COMPUTED_VALUE"""),"-")</f>
        <v>-</v>
      </c>
      <c r="V49" s="674" t="str">
        <f>IFERROR(__xludf.DUMMYFUNCTION("""COMPUTED_VALUE"""),"-")</f>
        <v>-</v>
      </c>
      <c r="W49" s="674" t="str">
        <f>IFERROR(__xludf.DUMMYFUNCTION("""COMPUTED_VALUE"""),"-")</f>
        <v>-</v>
      </c>
      <c r="X49" s="674" t="str">
        <f>IFERROR(__xludf.DUMMYFUNCTION("""COMPUTED_VALUE"""),"-")</f>
        <v>-</v>
      </c>
      <c r="Y49" s="674" t="str">
        <f>IFERROR(__xludf.DUMMYFUNCTION("""COMPUTED_VALUE"""),"-")</f>
        <v>-</v>
      </c>
      <c r="Z49" s="675" t="str">
        <f>IFERROR(__xludf.DUMMYFUNCTION("""COMPUTED_VALUE"""),"#VALUE!")</f>
        <v>#VALUE!</v>
      </c>
      <c r="AA49" s="675" t="str">
        <f>IFERROR(__xludf.DUMMYFUNCTION("""COMPUTED_VALUE"""),"-")</f>
        <v>-</v>
      </c>
      <c r="AB49" s="674" t="str">
        <f>IFERROR(__xludf.DUMMYFUNCTION("""COMPUTED_VALUE"""),"-")</f>
        <v>-</v>
      </c>
      <c r="AC49" s="674" t="str">
        <f>IFERROR(__xludf.DUMMYFUNCTION("""COMPUTED_VALUE"""),"-")</f>
        <v>-</v>
      </c>
      <c r="AD49" s="674" t="str">
        <f>IFERROR(__xludf.DUMMYFUNCTION("""COMPUTED_VALUE"""),"-")</f>
        <v>-</v>
      </c>
      <c r="AE49" s="674" t="str">
        <f>IFERROR(__xludf.DUMMYFUNCTION("""COMPUTED_VALUE"""),"-")</f>
        <v>-</v>
      </c>
      <c r="AF49" s="674" t="str">
        <f>IFERROR(__xludf.DUMMYFUNCTION("""COMPUTED_VALUE"""),"-")</f>
        <v>-</v>
      </c>
      <c r="AG49" s="674" t="str">
        <f>IFERROR(__xludf.DUMMYFUNCTION("""COMPUTED_VALUE"""),"-")</f>
        <v>-</v>
      </c>
      <c r="AH49" s="674" t="str">
        <f>IFERROR(__xludf.DUMMYFUNCTION("""COMPUTED_VALUE"""),"-")</f>
        <v>-</v>
      </c>
      <c r="AI49" s="674" t="str">
        <f>IFERROR(__xludf.DUMMYFUNCTION("""COMPUTED_VALUE"""),"-")</f>
        <v>-</v>
      </c>
      <c r="AJ49" s="139" t="str">
        <f>IFERROR(__xludf.DUMMYFUNCTION("""COMPUTED_VALUE"""),"#VALUE!")</f>
        <v>#VALUE!</v>
      </c>
      <c r="AK49" s="674" t="str">
        <f>IFERROR(__xludf.DUMMYFUNCTION("""COMPUTED_VALUE"""),"-")</f>
        <v>-</v>
      </c>
      <c r="AL49" s="674" t="str">
        <f>IFERROR(__xludf.DUMMYFUNCTION("""COMPUTED_VALUE"""),"#VALUE!")</f>
        <v>#VALUE!</v>
      </c>
      <c r="AM49" s="674" t="str">
        <f>IFERROR(__xludf.DUMMYFUNCTION("""COMPUTED_VALUE"""),"-")</f>
        <v>-</v>
      </c>
      <c r="AN49" s="674" t="str">
        <f>IFERROR(__xludf.DUMMYFUNCTION("""COMPUTED_VALUE"""),"-")</f>
        <v>-</v>
      </c>
      <c r="AO49" s="674" t="str">
        <f>IFERROR(__xludf.DUMMYFUNCTION("""COMPUTED_VALUE"""),"-")</f>
        <v>-</v>
      </c>
      <c r="AP49" s="674">
        <f>IFERROR(__xludf.DUMMYFUNCTION("""COMPUTED_VALUE"""),1200.0)</f>
        <v>1200</v>
      </c>
      <c r="AQ49" s="674" t="str">
        <f>IFERROR(__xludf.DUMMYFUNCTION("""COMPUTED_VALUE"""),"-")</f>
        <v>-</v>
      </c>
      <c r="AR49" s="673" t="str">
        <f>IFERROR(__xludf.DUMMYFUNCTION("""COMPUTED_VALUE"""),"-")</f>
        <v>-</v>
      </c>
      <c r="AS49" s="674" t="str">
        <f>IFERROR(__xludf.DUMMYFUNCTION("""COMPUTED_VALUE"""),"-")</f>
        <v>-</v>
      </c>
      <c r="AT49" s="674" t="str">
        <f>IFERROR(__xludf.DUMMYFUNCTION("""COMPUTED_VALUE"""),"-")</f>
        <v>-</v>
      </c>
      <c r="AU49" s="673" t="str">
        <f>IFERROR(__xludf.DUMMYFUNCTION("""COMPUTED_VALUE"""),"-")</f>
        <v>-</v>
      </c>
      <c r="AV49" s="673">
        <f>IFERROR(__xludf.DUMMYFUNCTION("""COMPUTED_VALUE"""),0.0)</f>
        <v>0</v>
      </c>
      <c r="AW49" s="139"/>
      <c r="AX49" s="674" t="str">
        <f>IFERROR(__xludf.DUMMYFUNCTION("""COMPUTED_VALUE"""),"-")</f>
        <v>-</v>
      </c>
      <c r="AY49" s="674" t="str">
        <f>IFERROR(__xludf.DUMMYFUNCTION("""COMPUTED_VALUE"""),"-")</f>
        <v>-</v>
      </c>
      <c r="AZ49" s="674" t="str">
        <f>IFERROR(__xludf.DUMMYFUNCTION("""COMPUTED_VALUE"""),"-")</f>
        <v>-</v>
      </c>
      <c r="BA49" s="674" t="str">
        <f>IFERROR(__xludf.DUMMYFUNCTION("""COMPUTED_VALUE"""),"-")</f>
        <v>-</v>
      </c>
      <c r="BB49" s="688" t="str">
        <f>IFERROR(__xludf.DUMMYFUNCTION("""COMPUTED_VALUE"""),"-")</f>
        <v>-</v>
      </c>
      <c r="BC49" s="674" t="str">
        <f>IFERROR(__xludf.DUMMYFUNCTION("""COMPUTED_VALUE"""),"-")</f>
        <v>-</v>
      </c>
      <c r="BD49" s="674" t="str">
        <f>IFERROR(__xludf.DUMMYFUNCTION("""COMPUTED_VALUE"""),"-")</f>
        <v>-</v>
      </c>
      <c r="BE49" s="674" t="str">
        <f>IFERROR(__xludf.DUMMYFUNCTION("""COMPUTED_VALUE"""),"#VALUE!")</f>
        <v>#VALUE!</v>
      </c>
      <c r="BF49" s="674">
        <f>IFERROR(__xludf.DUMMYFUNCTION("""COMPUTED_VALUE"""),800.0)</f>
        <v>800</v>
      </c>
      <c r="BG49" s="674" t="str">
        <f>IFERROR(__xludf.DUMMYFUNCTION("""COMPUTED_VALUE"""),"-")</f>
        <v>-</v>
      </c>
      <c r="BH49" s="674" t="str">
        <f>IFERROR(__xludf.DUMMYFUNCTION("""COMPUTED_VALUE"""),"-")</f>
        <v>-</v>
      </c>
      <c r="BI49" s="674" t="str">
        <f>IFERROR(__xludf.DUMMYFUNCTION("""COMPUTED_VALUE"""),"-")</f>
        <v>-</v>
      </c>
      <c r="BJ49" s="673">
        <f>IFERROR(__xludf.DUMMYFUNCTION("""COMPUTED_VALUE"""),0.0)</f>
        <v>0</v>
      </c>
      <c r="BK49" s="673">
        <f>IFERROR(__xludf.DUMMYFUNCTION("""COMPUTED_VALUE"""),0.0)</f>
        <v>0</v>
      </c>
      <c r="BL49" s="673">
        <f>IFERROR(__xludf.DUMMYFUNCTION("""COMPUTED_VALUE"""),0.0)</f>
        <v>0</v>
      </c>
      <c r="BM49" s="674" t="str">
        <f>IFERROR(__xludf.DUMMYFUNCTION("""COMPUTED_VALUE"""),"-")</f>
        <v>-</v>
      </c>
      <c r="BN49" s="674" t="str">
        <f>IFERROR(__xludf.DUMMYFUNCTION("""COMPUTED_VALUE"""),"-")</f>
        <v>-</v>
      </c>
      <c r="BO49" s="674" t="str">
        <f>IFERROR(__xludf.DUMMYFUNCTION("""COMPUTED_VALUE"""),"-")</f>
        <v>-</v>
      </c>
      <c r="BP49" s="674" t="str">
        <f>IFERROR(__xludf.DUMMYFUNCTION("""COMPUTED_VALUE"""),"-")</f>
        <v>-</v>
      </c>
      <c r="BQ49" s="675" t="str">
        <f>IFERROR(__xludf.DUMMYFUNCTION("""COMPUTED_VALUE"""),"※")</f>
        <v>※</v>
      </c>
      <c r="BR49" s="674" t="str">
        <f>IFERROR(__xludf.DUMMYFUNCTION("""COMPUTED_VALUE"""),"-")</f>
        <v>-</v>
      </c>
      <c r="BS49" s="674" t="str">
        <f>IFERROR(__xludf.DUMMYFUNCTION("""COMPUTED_VALUE"""),"-")</f>
        <v>-</v>
      </c>
      <c r="BT49" s="674" t="str">
        <f>IFERROR(__xludf.DUMMYFUNCTION("""COMPUTED_VALUE"""),"-")</f>
        <v>-</v>
      </c>
      <c r="BU49" s="139">
        <f>IFERROR(__xludf.DUMMYFUNCTION("""COMPUTED_VALUE"""),0.0)</f>
        <v>0</v>
      </c>
      <c r="BV49" s="674" t="str">
        <f>IFERROR(__xludf.DUMMYFUNCTION("""COMPUTED_VALUE"""),"-")</f>
        <v>-</v>
      </c>
      <c r="BW49" s="674" t="str">
        <f>IFERROR(__xludf.DUMMYFUNCTION("""COMPUTED_VALUE"""),"-")</f>
        <v>-</v>
      </c>
      <c r="BX49" s="674" t="str">
        <f>IFERROR(__xludf.DUMMYFUNCTION("""COMPUTED_VALUE"""),"-")</f>
        <v>-</v>
      </c>
      <c r="BY49" s="139" t="str">
        <f>IFERROR(__xludf.DUMMYFUNCTION("""COMPUTED_VALUE"""),"-")</f>
        <v>-</v>
      </c>
      <c r="BZ49" s="674" t="str">
        <f>IFERROR(__xludf.DUMMYFUNCTION("""COMPUTED_VALUE"""),"-")</f>
        <v>-</v>
      </c>
      <c r="CA49" s="674" t="str">
        <f>IFERROR(__xludf.DUMMYFUNCTION("""COMPUTED_VALUE"""),"-")</f>
        <v>-</v>
      </c>
      <c r="CB49" s="674" t="str">
        <f>IFERROR(__xludf.DUMMYFUNCTION("""COMPUTED_VALUE"""),"-")</f>
        <v>-</v>
      </c>
      <c r="CC49" s="674" t="str">
        <f>IFERROR(__xludf.DUMMYFUNCTION("""COMPUTED_VALUE"""),"-")</f>
        <v>-</v>
      </c>
      <c r="CD49" s="674" t="str">
        <f>IFERROR(__xludf.DUMMYFUNCTION("""COMPUTED_VALUE"""),"-")</f>
        <v>-</v>
      </c>
      <c r="CE49" s="139" t="str">
        <f>IFERROR(__xludf.DUMMYFUNCTION("""COMPUTED_VALUE"""),"-")</f>
        <v>-</v>
      </c>
      <c r="CF49" s="139" t="str">
        <f>IFERROR(__xludf.DUMMYFUNCTION("""COMPUTED_VALUE"""),"#VALUE!")</f>
        <v>#VALUE!</v>
      </c>
      <c r="CG49" s="139" t="str">
        <f>IFERROR(__xludf.DUMMYFUNCTION("""COMPUTED_VALUE"""),"タップしたコマ")</f>
        <v>タップしたコマ</v>
      </c>
      <c r="CH49" s="139" t="str">
        <f>IFERROR(__xludf.DUMMYFUNCTION("""COMPUTED_VALUE"""),"タップしたコマ")</f>
        <v>タップしたコマ</v>
      </c>
      <c r="CI49" s="139" t="str">
        <f>IFERROR(__xludf.DUMMYFUNCTION("""COMPUTED_VALUE"""),"-")</f>
        <v>-</v>
      </c>
      <c r="CJ49" s="139" t="str">
        <f>IFERROR(__xludf.DUMMYFUNCTION("""COMPUTED_VALUE"""),"タップしたコマ")</f>
        <v>タップしたコマ</v>
      </c>
      <c r="CK49" s="139" t="str">
        <f>IFERROR(__xludf.DUMMYFUNCTION("""COMPUTED_VALUE"""),"味方")</f>
        <v>味方</v>
      </c>
      <c r="CL49" s="139" t="str">
        <f>IFERROR(__xludf.DUMMYFUNCTION("""COMPUTED_VALUE"""),"All")</f>
        <v>All</v>
      </c>
      <c r="CM49" s="139" t="str">
        <f>IFERROR(__xludf.DUMMYFUNCTION("""COMPUTED_VALUE"""),"ディフェンス")</f>
        <v>ディフェンス</v>
      </c>
      <c r="CN49" s="675" t="str">
        <f>IFERROR(__xludf.DUMMYFUNCTION("""COMPUTED_VALUE"""),"-")</f>
        <v>-</v>
      </c>
      <c r="CO49" s="675" t="str">
        <f>IFERROR(__xludf.DUMMYFUNCTION("""COMPUTED_VALUE"""),"#VALUE!")</f>
        <v>#VALUE!</v>
      </c>
      <c r="CP49" s="674" t="str">
        <f>IFERROR(__xludf.DUMMYFUNCTION("""COMPUTED_VALUE"""),"#REF!")</f>
        <v>#REF!</v>
      </c>
      <c r="CQ49" s="674" t="str">
        <f>IFERROR(__xludf.DUMMYFUNCTION("""COMPUTED_VALUE"""),"#REF!")</f>
        <v>#REF!</v>
      </c>
      <c r="CR49" s="139" t="str">
        <f>IFERROR(__xludf.DUMMYFUNCTION("""COMPUTED_VALUE"""),"ハイブリッド型")</f>
        <v>ハイブリッド型</v>
      </c>
      <c r="CS49" s="673" t="str">
        <f>IFERROR(__xludf.DUMMYFUNCTION("""COMPUTED_VALUE"""),"ダメージカット(ディフェンス)")</f>
        <v>ダメージカット(ディフェンス)</v>
      </c>
      <c r="CT49" s="139" t="str">
        <f>IFERROR(__xludf.DUMMYFUNCTION("""COMPUTED_VALUE"""),"ハイブリッド型")</f>
        <v>ハイブリッド型</v>
      </c>
      <c r="CU49" s="139" t="str">
        <f>IFERROR(__xludf.DUMMYFUNCTION("""COMPUTED_VALUE"""),"味方")</f>
        <v>味方</v>
      </c>
      <c r="CV49" s="139" t="str">
        <f>IFERROR(__xludf.DUMMYFUNCTION("""COMPUTED_VALUE"""),"All")</f>
        <v>All</v>
      </c>
      <c r="CW49" s="139" t="str">
        <f>IFERROR(__xludf.DUMMYFUNCTION("""COMPUTED_VALUE"""),"ディフェンス")</f>
        <v>ディフェンス</v>
      </c>
      <c r="CX49" s="674">
        <f>IFERROR(__xludf.DUMMYFUNCTION("""COMPUTED_VALUE"""),20.0)</f>
        <v>20</v>
      </c>
      <c r="CY49" s="139">
        <f>IFERROR(__xludf.DUMMYFUNCTION("""COMPUTED_VALUE"""),10.0)</f>
        <v>10</v>
      </c>
      <c r="CZ49" s="688" t="str">
        <f>IFERROR(__xludf.DUMMYFUNCTION("""COMPUTED_VALUE"""),"-")</f>
        <v>-</v>
      </c>
      <c r="DA49" s="688">
        <f>IFERROR(__xludf.DUMMYFUNCTION("""COMPUTED_VALUE"""),0.0)</f>
        <v>0</v>
      </c>
      <c r="DB49" s="688">
        <f>IFERROR(__xludf.DUMMYFUNCTION("""COMPUTED_VALUE"""),0.0)</f>
        <v>0</v>
      </c>
      <c r="DC49" s="139" t="str">
        <f>IFERROR(__xludf.DUMMYFUNCTION("""COMPUTED_VALUE"""),"-")</f>
        <v>-</v>
      </c>
      <c r="DD49" s="673" t="str">
        <f>IFERROR(__xludf.DUMMYFUNCTION("""COMPUTED_VALUE"""),"-")</f>
        <v>-</v>
      </c>
      <c r="DE49" s="139" t="str">
        <f>IFERROR(__xludf.DUMMYFUNCTION("""COMPUTED_VALUE"""),"-")</f>
        <v>-</v>
      </c>
      <c r="DF49" s="139" t="str">
        <f>IFERROR(__xludf.DUMMYFUNCTION("""COMPUTED_VALUE"""),"-")</f>
        <v>-</v>
      </c>
      <c r="DG49" s="139" t="str">
        <f>IFERROR(__xludf.DUMMYFUNCTION("""COMPUTED_VALUE"""),"-")</f>
        <v>-</v>
      </c>
      <c r="DH49" s="139" t="str">
        <f>IFERROR(__xludf.DUMMYFUNCTION("""COMPUTED_VALUE"""),"-")</f>
        <v>-</v>
      </c>
      <c r="DI49" s="139" t="str">
        <f>IFERROR(__xludf.DUMMYFUNCTION("""COMPUTED_VALUE"""),"-")</f>
        <v>-</v>
      </c>
      <c r="DJ49" s="139" t="str">
        <f>IFERROR(__xludf.DUMMYFUNCTION("""COMPUTED_VALUE"""),"-")</f>
        <v>-</v>
      </c>
    </row>
    <row r="50">
      <c r="A50" s="139" t="str">
        <f>IFERROR(__xludf.DUMMYFUNCTION("""COMPUTED_VALUE"""),"タコピーの原罪")</f>
        <v>タコピーの原罪</v>
      </c>
      <c r="B50" s="139" t="str">
        <f>IFERROR(__xludf.DUMMYFUNCTION("""COMPUTED_VALUE"""),"ハッピー星からの使者 タコピー")</f>
        <v>ハッピー星からの使者 タコピー</v>
      </c>
      <c r="C50" s="139" t="str">
        <f>IFERROR(__xludf.DUMMYFUNCTION("""COMPUTED_VALUE"""),"chara_tak_00001")</f>
        <v>chara_tak_00001</v>
      </c>
      <c r="D50" s="139" t="str">
        <f>IFERROR(__xludf.DUMMYFUNCTION("""COMPUTED_VALUE"""),"PremiumUR")</f>
        <v>PremiumUR</v>
      </c>
      <c r="E50" s="139" t="str">
        <f>IFERROR(__xludf.DUMMYFUNCTION("""COMPUTED_VALUE"""),"黄")</f>
        <v>黄</v>
      </c>
      <c r="F50" s="139" t="str">
        <f>IFERROR(__xludf.DUMMYFUNCTION("""COMPUTED_VALUE"""),"ディフェンス")</f>
        <v>ディフェンス</v>
      </c>
      <c r="G50" s="139" t="str">
        <f>IFERROR(__xludf.DUMMYFUNCTION("""COMPUTED_VALUE"""),"近距離")</f>
        <v>近距離</v>
      </c>
      <c r="H50" s="139" t="str">
        <f>IFERROR(__xludf.DUMMYFUNCTION("""COMPUTED_VALUE"""),"dageki_1")</f>
        <v>dageki_1</v>
      </c>
      <c r="I50" s="139" t="str">
        <f>IFERROR(__xludf.DUMMYFUNCTION("""COMPUTED_VALUE"""),"-")</f>
        <v>-</v>
      </c>
      <c r="J50" s="139" t="str">
        <f>IFERROR(__xludf.DUMMYFUNCTION("""COMPUTED_VALUE"""),"202509010_リリース")</f>
        <v>202509010_リリース</v>
      </c>
      <c r="K50" s="139" t="str">
        <f>IFERROR(__xludf.DUMMYFUNCTION("""COMPUTED_VALUE"""),"リリース時")</f>
        <v>リリース時</v>
      </c>
      <c r="L50" s="139" t="str">
        <f>IFERROR(__xludf.DUMMYFUNCTION("""COMPUTED_VALUE"""),"※")</f>
        <v>※</v>
      </c>
      <c r="M50" s="674">
        <f>IFERROR(__xludf.DUMMYFUNCTION("""COMPUTED_VALUE"""),390.0)</f>
        <v>390</v>
      </c>
      <c r="N50" s="139">
        <f>IFERROR(__xludf.DUMMYFUNCTION("""COMPUTED_VALUE"""),200.0)</f>
        <v>200</v>
      </c>
      <c r="O50" s="139" t="str">
        <f>IFERROR(__xludf.DUMMYFUNCTION("""COMPUTED_VALUE"""),"低コスト")</f>
        <v>低コスト</v>
      </c>
      <c r="P50" s="139">
        <f>IFERROR(__xludf.DUMMYFUNCTION("""COMPUTED_VALUE"""),150.0)</f>
        <v>150</v>
      </c>
      <c r="Q50" s="675">
        <f>IFERROR(__xludf.DUMMYFUNCTION("""COMPUTED_VALUE"""),10.0)</f>
        <v>10</v>
      </c>
      <c r="R50" s="675">
        <f>IFERROR(__xludf.DUMMYFUNCTION("""COMPUTED_VALUE"""),30.0)</f>
        <v>30</v>
      </c>
      <c r="S50" s="675">
        <f>IFERROR(__xludf.DUMMYFUNCTION("""COMPUTED_VALUE"""),7.25)</f>
        <v>7.25</v>
      </c>
      <c r="T50" s="674">
        <f>IFERROR(__xludf.DUMMYFUNCTION("""COMPUTED_VALUE"""),775.0)</f>
        <v>775</v>
      </c>
      <c r="U50" s="675">
        <f>IFERROR(__xludf.DUMMYFUNCTION("""COMPUTED_VALUE"""),15.473333333333334)</f>
        <v>15.47333333</v>
      </c>
      <c r="V50" s="675">
        <f>IFERROR(__xludf.DUMMYFUNCTION("""COMPUTED_VALUE"""),0.0)</f>
        <v>0</v>
      </c>
      <c r="W50" s="675">
        <f>IFERROR(__xludf.DUMMYFUNCTION("""COMPUTED_VALUE"""),0.0)</f>
        <v>0</v>
      </c>
      <c r="X50" s="675">
        <f>IFERROR(__xludf.DUMMYFUNCTION("""COMPUTED_VALUE"""),0.0)</f>
        <v>0</v>
      </c>
      <c r="Y50" s="674">
        <f>IFERROR(__xludf.DUMMYFUNCTION("""COMPUTED_VALUE"""),405.0)</f>
        <v>405</v>
      </c>
      <c r="Z50" s="675">
        <f>IFERROR(__xludf.DUMMYFUNCTION("""COMPUTED_VALUE"""),8.088333333333333)</f>
        <v>8.088333333</v>
      </c>
      <c r="AA50" s="675">
        <f>IFERROR(__xludf.DUMMYFUNCTION("""COMPUTED_VALUE"""),0.0)</f>
        <v>0</v>
      </c>
      <c r="AB50" s="673">
        <f>IFERROR(__xludf.DUMMYFUNCTION("""COMPUTED_VALUE"""),0.0)</f>
        <v>0</v>
      </c>
      <c r="AC50" s="675">
        <f>IFERROR(__xludf.DUMMYFUNCTION("""COMPUTED_VALUE"""),0.0)</f>
        <v>0</v>
      </c>
      <c r="AD50" s="674">
        <f>IFERROR(__xludf.DUMMYFUNCTION("""COMPUTED_VALUE"""),1405.0)</f>
        <v>1405</v>
      </c>
      <c r="AE50" s="675">
        <f>IFERROR(__xludf.DUMMYFUNCTION("""COMPUTED_VALUE"""),28.08623780600513)</f>
        <v>28.08623781</v>
      </c>
      <c r="AF50" s="675">
        <f>IFERROR(__xludf.DUMMYFUNCTION("""COMPUTED_VALUE"""),0.0)</f>
        <v>0</v>
      </c>
      <c r="AG50" s="675">
        <f>IFERROR(__xludf.DUMMYFUNCTION("""COMPUTED_VALUE"""),13.5)</f>
        <v>13.5</v>
      </c>
      <c r="AH50" s="675">
        <f>IFERROR(__xludf.DUMMYFUNCTION("""COMPUTED_VALUE"""),0.0)</f>
        <v>0</v>
      </c>
      <c r="AI50" s="675">
        <f>IFERROR(__xludf.DUMMYFUNCTION("""COMPUTED_VALUE"""),9.0)</f>
        <v>9</v>
      </c>
      <c r="AJ50" s="675">
        <f>IFERROR(__xludf.DUMMYFUNCTION("""COMPUTED_VALUE"""),19.08623780600513)</f>
        <v>19.08623781</v>
      </c>
      <c r="AK50" s="139">
        <f>IFERROR(__xludf.DUMMYFUNCTION("""COMPUTED_VALUE"""),1.0)</f>
        <v>1</v>
      </c>
      <c r="AL50" s="674">
        <f>IFERROR(__xludf.DUMMYFUNCTION("""COMPUTED_VALUE"""),2110.0)</f>
        <v>2110</v>
      </c>
      <c r="AM50" s="688">
        <f>IFERROR(__xludf.DUMMYFUNCTION("""COMPUTED_VALUE"""),17244.8893316843)</f>
        <v>17244.88933</v>
      </c>
      <c r="AN50" s="675">
        <f>IFERROR(__xludf.DUMMYFUNCTION("""COMPUTED_VALUE"""),14.066666666666666)</f>
        <v>14.06666667</v>
      </c>
      <c r="AO50" s="675">
        <f>IFERROR(__xludf.DUMMYFUNCTION("""COMPUTED_VALUE"""),7.033333333333333)</f>
        <v>7.033333333</v>
      </c>
      <c r="AP50" s="674">
        <f>IFERROR(__xludf.DUMMYFUNCTION("""COMPUTED_VALUE"""),1170.0)</f>
        <v>1170</v>
      </c>
      <c r="AQ50" s="673">
        <f>IFERROR(__xludf.DUMMYFUNCTION("""COMPUTED_VALUE"""),0.9)</f>
        <v>0.9</v>
      </c>
      <c r="AR50" s="673">
        <f>IFERROR(__xludf.DUMMYFUNCTION("""COMPUTED_VALUE"""),-0.4)</f>
        <v>-0.4</v>
      </c>
      <c r="AS50" s="673">
        <f>IFERROR(__xludf.DUMMYFUNCTION("""COMPUTED_VALUE"""),0.0)</f>
        <v>0</v>
      </c>
      <c r="AT50" s="673">
        <f>IFERROR(__xludf.DUMMYFUNCTION("""COMPUTED_VALUE"""),0.3)</f>
        <v>0.3</v>
      </c>
      <c r="AU50" s="673">
        <f>IFERROR(__xludf.DUMMYFUNCTION("""COMPUTED_VALUE"""),0.0)</f>
        <v>0</v>
      </c>
      <c r="AV50" s="673">
        <f>IFERROR(__xludf.DUMMYFUNCTION("""COMPUTED_VALUE"""),0.0)</f>
        <v>0</v>
      </c>
      <c r="AW50" s="139"/>
      <c r="AX50" s="674">
        <f>IFERROR(__xludf.DUMMYFUNCTION("""COMPUTED_VALUE"""),320.0)</f>
        <v>320</v>
      </c>
      <c r="AY50" s="688">
        <f>IFERROR(__xludf.DUMMYFUNCTION("""COMPUTED_VALUE"""),2613.7689981701305)</f>
        <v>2613.768998</v>
      </c>
      <c r="AZ50" s="674">
        <f>IFERROR(__xludf.DUMMYFUNCTION("""COMPUTED_VALUE"""),160.0)</f>
        <v>160</v>
      </c>
      <c r="BA50" s="688">
        <f>IFERROR(__xludf.DUMMYFUNCTION("""COMPUTED_VALUE"""),1306.8844990850653)</f>
        <v>1306.884499</v>
      </c>
      <c r="BB50" s="688" t="str">
        <f>IFERROR(__xludf.DUMMYFUNCTION("""COMPUTED_VALUE"""),"-")</f>
        <v>-</v>
      </c>
      <c r="BC50" s="688" t="str">
        <f>IFERROR(__xludf.DUMMYFUNCTION("""COMPUTED_VALUE"""),"#VALUE!")</f>
        <v>#VALUE!</v>
      </c>
      <c r="BD50" s="688" t="str">
        <f>IFERROR(__xludf.DUMMYFUNCTION("""COMPUTED_VALUE"""),"#VALUE!")</f>
        <v>#VALUE!</v>
      </c>
      <c r="BE50" s="674">
        <f>IFERROR(__xludf.DUMMYFUNCTION("""COMPUTED_VALUE"""),160.0)</f>
        <v>160</v>
      </c>
      <c r="BF50" s="674">
        <f>IFERROR(__xludf.DUMMYFUNCTION("""COMPUTED_VALUE"""),780.0)</f>
        <v>780</v>
      </c>
      <c r="BG50" s="673">
        <f>IFERROR(__xludf.DUMMYFUNCTION("""COMPUTED_VALUE"""),-0.3)</f>
        <v>-0.3</v>
      </c>
      <c r="BH50" s="673">
        <f>IFERROR(__xludf.DUMMYFUNCTION("""COMPUTED_VALUE"""),-0.5)</f>
        <v>-0.5</v>
      </c>
      <c r="BI50" s="673">
        <f>IFERROR(__xludf.DUMMYFUNCTION("""COMPUTED_VALUE"""),0.0)</f>
        <v>0</v>
      </c>
      <c r="BJ50" s="673">
        <f>IFERROR(__xludf.DUMMYFUNCTION("""COMPUTED_VALUE"""),0.0)</f>
        <v>0</v>
      </c>
      <c r="BK50" s="673">
        <f>IFERROR(__xludf.DUMMYFUNCTION("""COMPUTED_VALUE"""),0.0)</f>
        <v>0</v>
      </c>
      <c r="BL50" s="673">
        <f>IFERROR(__xludf.DUMMYFUNCTION("""COMPUTED_VALUE"""),0.0)</f>
        <v>0</v>
      </c>
      <c r="BM50" s="674">
        <f>IFERROR(__xludf.DUMMYFUNCTION("""COMPUTED_VALUE"""),100.0)</f>
        <v>100</v>
      </c>
      <c r="BN50" s="674">
        <f>IFERROR(__xludf.DUMMYFUNCTION("""COMPUTED_VALUE"""),100.0)</f>
        <v>100</v>
      </c>
      <c r="BO50" s="675">
        <f>IFERROR(__xludf.DUMMYFUNCTION("""COMPUTED_VALUE"""),0.0)</f>
        <v>0</v>
      </c>
      <c r="BP50" s="675">
        <f>IFERROR(__xludf.DUMMYFUNCTION("""COMPUTED_VALUE"""),2.0)</f>
        <v>2</v>
      </c>
      <c r="BQ50" s="675" t="str">
        <f>IFERROR(__xludf.DUMMYFUNCTION("""COMPUTED_VALUE"""),"※")</f>
        <v>※</v>
      </c>
      <c r="BR50" s="139">
        <f>IFERROR(__xludf.DUMMYFUNCTION("""COMPUTED_VALUE"""),1.0)</f>
        <v>1</v>
      </c>
      <c r="BS50" s="139">
        <f>IFERROR(__xludf.DUMMYFUNCTION("""COMPUTED_VALUE"""),25.0)</f>
        <v>25</v>
      </c>
      <c r="BT50" s="139">
        <f>IFERROR(__xludf.DUMMYFUNCTION("""COMPUTED_VALUE"""),0.16)</f>
        <v>0.16</v>
      </c>
      <c r="BU50" s="139">
        <f>IFERROR(__xludf.DUMMYFUNCTION("""COMPUTED_VALUE"""),0.0)</f>
        <v>0</v>
      </c>
      <c r="BV50" s="139" t="str">
        <f>IFERROR(__xludf.DUMMYFUNCTION("""COMPUTED_VALUE"""),"遅い")</f>
        <v>遅い</v>
      </c>
      <c r="BW50" s="139" t="str">
        <f>IFERROR(__xludf.DUMMYFUNCTION("""COMPUTED_VALUE"""),"ノックバック無効化")</f>
        <v>ノックバック無効化</v>
      </c>
      <c r="BX50" s="139" t="str">
        <f>IFERROR(__xludf.DUMMYFUNCTION("""COMPUTED_VALUE"""),"-")</f>
        <v>-</v>
      </c>
      <c r="BY50" s="139">
        <f>IFERROR(__xludf.DUMMYFUNCTION("""COMPUTED_VALUE"""),0.0)</f>
        <v>0</v>
      </c>
      <c r="BZ50" s="139" t="str">
        <f>IFERROR(__xludf.DUMMYFUNCTION("""COMPUTED_VALUE"""),"ダメージコマ無効化")</f>
        <v>ダメージコマ無効化</v>
      </c>
      <c r="CA50" s="139" t="str">
        <f>IFERROR(__xludf.DUMMYFUNCTION("""COMPUTED_VALUE"""),"-")</f>
        <v>-</v>
      </c>
      <c r="CB50" s="139">
        <f>IFERROR(__xludf.DUMMYFUNCTION("""COMPUTED_VALUE"""),4.0)</f>
        <v>4</v>
      </c>
      <c r="CC50" s="139" t="str">
        <f>IFERROR(__xludf.DUMMYFUNCTION("""COMPUTED_VALUE"""),"近距離")</f>
        <v>近距離</v>
      </c>
      <c r="CD50" s="139" t="str">
        <f>IFERROR(__xludf.DUMMYFUNCTION("""COMPUTED_VALUE"""),"単体")</f>
        <v>単体</v>
      </c>
      <c r="CE50" s="139">
        <f>IFERROR(__xludf.DUMMYFUNCTION("""COMPUTED_VALUE"""),1.0)</f>
        <v>1</v>
      </c>
      <c r="CF50" s="139">
        <f>IFERROR(__xludf.DUMMYFUNCTION("""COMPUTED_VALUE"""),0.17)</f>
        <v>0.17</v>
      </c>
      <c r="CG50" s="139" t="str">
        <f>IFERROR(__xludf.DUMMYFUNCTION("""COMPUTED_VALUE"""),"自身")</f>
        <v>自身</v>
      </c>
      <c r="CH50" s="139" t="str">
        <f>IFERROR(__xludf.DUMMYFUNCTION("""COMPUTED_VALUE"""),"自身")</f>
        <v>自身</v>
      </c>
      <c r="CI50" s="139" t="str">
        <f>IFERROR(__xludf.DUMMYFUNCTION("""COMPUTED_VALUE"""),"該当なし")</f>
        <v>該当なし</v>
      </c>
      <c r="CJ50" s="139" t="str">
        <f>IFERROR(__xludf.DUMMYFUNCTION("""COMPUTED_VALUE"""),"自身")</f>
        <v>自身</v>
      </c>
      <c r="CK50" s="139" t="str">
        <f>IFERROR(__xludf.DUMMYFUNCTION("""COMPUTED_VALUE"""),"自身")</f>
        <v>自身</v>
      </c>
      <c r="CL50" s="139" t="str">
        <f>IFERROR(__xludf.DUMMYFUNCTION("""COMPUTED_VALUE"""),"All")</f>
        <v>All</v>
      </c>
      <c r="CM50" s="139" t="str">
        <f>IFERROR(__xludf.DUMMYFUNCTION("""COMPUTED_VALUE"""),"All")</f>
        <v>All</v>
      </c>
      <c r="CN50" s="675">
        <f>IFERROR(__xludf.DUMMYFUNCTION("""COMPUTED_VALUE"""),28.08623780600513)</f>
        <v>28.08623781</v>
      </c>
      <c r="CO50" s="139" t="str">
        <f>IFERROR(__xludf.DUMMYFUNCTION("""COMPUTED_VALUE"""),"-")</f>
        <v>-</v>
      </c>
      <c r="CP50" s="139" t="str">
        <f>IFERROR(__xludf.DUMMYFUNCTION("""COMPUTED_VALUE"""),"-")</f>
        <v>-</v>
      </c>
      <c r="CQ50" s="139" t="str">
        <f>IFERROR(__xludf.DUMMYFUNCTION("""COMPUTED_VALUE"""),"-")</f>
        <v>-</v>
      </c>
      <c r="CR50" s="139" t="str">
        <f>IFERROR(__xludf.DUMMYFUNCTION("""COMPUTED_VALUE"""),"安定型")</f>
        <v>安定型</v>
      </c>
      <c r="CS50" s="673" t="str">
        <f>IFERROR(__xludf.DUMMYFUNCTION("""COMPUTED_VALUE"""),"ダメージカット(自身)")</f>
        <v>ダメージカット(自身)</v>
      </c>
      <c r="CT50" s="139" t="str">
        <f>IFERROR(__xludf.DUMMYFUNCTION("""COMPUTED_VALUE"""),"安定型")</f>
        <v>安定型</v>
      </c>
      <c r="CU50" s="139" t="str">
        <f>IFERROR(__xludf.DUMMYFUNCTION("""COMPUTED_VALUE"""),"自身")</f>
        <v>自身</v>
      </c>
      <c r="CV50" s="139" t="str">
        <f>IFERROR(__xludf.DUMMYFUNCTION("""COMPUTED_VALUE"""),"All")</f>
        <v>All</v>
      </c>
      <c r="CW50" s="139" t="str">
        <f>IFERROR(__xludf.DUMMYFUNCTION("""COMPUTED_VALUE"""),"All")</f>
        <v>All</v>
      </c>
      <c r="CX50" s="674">
        <f>IFERROR(__xludf.DUMMYFUNCTION("""COMPUTED_VALUE"""),20.0)</f>
        <v>20</v>
      </c>
      <c r="CY50" s="675">
        <f>IFERROR(__xludf.DUMMYFUNCTION("""COMPUTED_VALUE"""),9.0)</f>
        <v>9</v>
      </c>
      <c r="CZ50" s="688" t="str">
        <f>IFERROR(__xludf.DUMMYFUNCTION("""COMPUTED_VALUE"""),"-")</f>
        <v>-</v>
      </c>
      <c r="DA50" s="688">
        <f>IFERROR(__xludf.DUMMYFUNCTION("""COMPUTED_VALUE"""),0.0)</f>
        <v>0</v>
      </c>
      <c r="DB50" s="688">
        <f>IFERROR(__xludf.DUMMYFUNCTION("""COMPUTED_VALUE"""),0.0)</f>
        <v>0</v>
      </c>
      <c r="DC50" s="139" t="str">
        <f>IFERROR(__xludf.DUMMYFUNCTION("""COMPUTED_VALUE"""),"-")</f>
        <v>-</v>
      </c>
      <c r="DD50" s="673" t="str">
        <f>IFERROR(__xludf.DUMMYFUNCTION("""COMPUTED_VALUE"""),"-")</f>
        <v>-</v>
      </c>
      <c r="DE50" s="139" t="str">
        <f>IFERROR(__xludf.DUMMYFUNCTION("""COMPUTED_VALUE"""),"-")</f>
        <v>-</v>
      </c>
      <c r="DF50" s="139" t="str">
        <f>IFERROR(__xludf.DUMMYFUNCTION("""COMPUTED_VALUE"""),"-")</f>
        <v>-</v>
      </c>
      <c r="DG50" s="139" t="str">
        <f>IFERROR(__xludf.DUMMYFUNCTION("""COMPUTED_VALUE"""),"-")</f>
        <v>-</v>
      </c>
      <c r="DH50" s="139" t="str">
        <f>IFERROR(__xludf.DUMMYFUNCTION("""COMPUTED_VALUE"""),"-")</f>
        <v>-</v>
      </c>
      <c r="DI50" s="139" t="str">
        <f>IFERROR(__xludf.DUMMYFUNCTION("""COMPUTED_VALUE"""),"-")</f>
        <v>-</v>
      </c>
      <c r="DJ50" s="139" t="str">
        <f>IFERROR(__xludf.DUMMYFUNCTION("""COMPUTED_VALUE"""),"-")</f>
        <v>-</v>
      </c>
    </row>
    <row r="51">
      <c r="A51" s="139" t="str">
        <f>IFERROR(__xludf.DUMMYFUNCTION("""COMPUTED_VALUE"""),"道産子ギャルはなまらめんこい")</f>
        <v>道産子ギャルはなまらめんこい</v>
      </c>
      <c r="B51" s="139" t="str">
        <f>IFERROR(__xludf.DUMMYFUNCTION("""COMPUTED_VALUE"""),"冬木 美波")</f>
        <v>冬木 美波</v>
      </c>
      <c r="C51" s="139" t="str">
        <f>IFERROR(__xludf.DUMMYFUNCTION("""COMPUTED_VALUE"""),"chara_dos_00001")</f>
        <v>chara_dos_00001</v>
      </c>
      <c r="D51" s="139" t="str">
        <f>IFERROR(__xludf.DUMMYFUNCTION("""COMPUTED_VALUE"""),"PremiumSSR")</f>
        <v>PremiumSSR</v>
      </c>
      <c r="E51" s="139" t="str">
        <f>IFERROR(__xludf.DUMMYFUNCTION("""COMPUTED_VALUE"""),"青")</f>
        <v>青</v>
      </c>
      <c r="F51" s="139" t="str">
        <f>IFERROR(__xludf.DUMMYFUNCTION("""COMPUTED_VALUE"""),"サポート")</f>
        <v>サポート</v>
      </c>
      <c r="G51" s="139" t="str">
        <f>IFERROR(__xludf.DUMMYFUNCTION("""COMPUTED_VALUE"""),"遠距離")</f>
        <v>遠距離</v>
      </c>
      <c r="H51" s="139" t="str">
        <f>IFERROR(__xludf.DUMMYFUNCTION("""COMPUTED_VALUE"""),"dageki_1")</f>
        <v>dageki_1</v>
      </c>
      <c r="I51" s="139" t="str">
        <f>IFERROR(__xludf.DUMMYFUNCTION("""COMPUTED_VALUE"""),"dageki_1")</f>
        <v>dageki_1</v>
      </c>
      <c r="J51" s="139" t="str">
        <f>IFERROR(__xludf.DUMMYFUNCTION("""COMPUTED_VALUE"""),"202509010_リリース")</f>
        <v>202509010_リリース</v>
      </c>
      <c r="K51" s="139" t="str">
        <f>IFERROR(__xludf.DUMMYFUNCTION("""COMPUTED_VALUE"""),"リリース時")</f>
        <v>リリース時</v>
      </c>
      <c r="L51" s="139" t="str">
        <f>IFERROR(__xludf.DUMMYFUNCTION("""COMPUTED_VALUE"""),"※")</f>
        <v>※</v>
      </c>
      <c r="M51" s="674">
        <f>IFERROR(__xludf.DUMMYFUNCTION("""COMPUTED_VALUE"""),375.0)</f>
        <v>375</v>
      </c>
      <c r="N51" s="139">
        <f>IFERROR(__xludf.DUMMYFUNCTION("""COMPUTED_VALUE"""),200.0)</f>
        <v>200</v>
      </c>
      <c r="O51" s="139" t="str">
        <f>IFERROR(__xludf.DUMMYFUNCTION("""COMPUTED_VALUE"""),"低コスト")</f>
        <v>低コスト</v>
      </c>
      <c r="P51" s="139">
        <f>IFERROR(__xludf.DUMMYFUNCTION("""COMPUTED_VALUE"""),150.0)</f>
        <v>150</v>
      </c>
      <c r="Q51" s="675">
        <f>IFERROR(__xludf.DUMMYFUNCTION("""COMPUTED_VALUE"""),10.0)</f>
        <v>10</v>
      </c>
      <c r="R51" s="675">
        <f>IFERROR(__xludf.DUMMYFUNCTION("""COMPUTED_VALUE"""),15.0)</f>
        <v>15</v>
      </c>
      <c r="S51" s="675">
        <f>IFERROR(__xludf.DUMMYFUNCTION("""COMPUTED_VALUE"""),6.875)</f>
        <v>6.875</v>
      </c>
      <c r="T51" s="674">
        <f>IFERROR(__xludf.DUMMYFUNCTION("""COMPUTED_VALUE"""),125.0)</f>
        <v>125</v>
      </c>
      <c r="U51" s="675">
        <f>IFERROR(__xludf.DUMMYFUNCTION("""COMPUTED_VALUE"""),2.5)</f>
        <v>2.5</v>
      </c>
      <c r="V51" s="675">
        <f>IFERROR(__xludf.DUMMYFUNCTION("""COMPUTED_VALUE"""),0.0)</f>
        <v>0</v>
      </c>
      <c r="W51" s="675">
        <f>IFERROR(__xludf.DUMMYFUNCTION("""COMPUTED_VALUE"""),-0.22666666666666668)</f>
        <v>-0.2266666667</v>
      </c>
      <c r="X51" s="675">
        <f>IFERROR(__xludf.DUMMYFUNCTION("""COMPUTED_VALUE"""),0.0)</f>
        <v>0</v>
      </c>
      <c r="Y51" s="674">
        <f>IFERROR(__xludf.DUMMYFUNCTION("""COMPUTED_VALUE"""),135.0)</f>
        <v>135</v>
      </c>
      <c r="Z51" s="675">
        <f>IFERROR(__xludf.DUMMYFUNCTION("""COMPUTED_VALUE"""),2.69)</f>
        <v>2.69</v>
      </c>
      <c r="AA51" s="675">
        <f>IFERROR(__xludf.DUMMYFUNCTION("""COMPUTED_VALUE"""),1.5)</f>
        <v>1.5</v>
      </c>
      <c r="AB51" s="673">
        <f>IFERROR(__xludf.DUMMYFUNCTION("""COMPUTED_VALUE"""),-0.11333333333333334)</f>
        <v>-0.1133333333</v>
      </c>
      <c r="AC51" s="675">
        <f>IFERROR(__xludf.DUMMYFUNCTION("""COMPUTED_VALUE"""),0.0)</f>
        <v>0</v>
      </c>
      <c r="AD51" s="674">
        <f>IFERROR(__xludf.DUMMYFUNCTION("""COMPUTED_VALUE"""),1120.0)</f>
        <v>1120</v>
      </c>
      <c r="AE51" s="675">
        <f>IFERROR(__xludf.DUMMYFUNCTION("""COMPUTED_VALUE"""),22.35519712164615)</f>
        <v>22.35519712</v>
      </c>
      <c r="AF51" s="675">
        <f>IFERROR(__xludf.DUMMYFUNCTION("""COMPUTED_VALUE"""),0.0)</f>
        <v>0</v>
      </c>
      <c r="AG51" s="675">
        <f>IFERROR(__xludf.DUMMYFUNCTION("""COMPUTED_VALUE"""),16.5)</f>
        <v>16.5</v>
      </c>
      <c r="AH51" s="675">
        <f>IFERROR(__xludf.DUMMYFUNCTION("""COMPUTED_VALUE"""),0.0)</f>
        <v>0</v>
      </c>
      <c r="AI51" s="675">
        <f>IFERROR(__xludf.DUMMYFUNCTION("""COMPUTED_VALUE"""),11.0)</f>
        <v>11</v>
      </c>
      <c r="AJ51" s="675">
        <f>IFERROR(__xludf.DUMMYFUNCTION("""COMPUTED_VALUE"""),11.35519712164615)</f>
        <v>11.35519712</v>
      </c>
      <c r="AK51" s="139">
        <f>IFERROR(__xludf.DUMMYFUNCTION("""COMPUTED_VALUE"""),0.0)</f>
        <v>0</v>
      </c>
      <c r="AL51" s="674">
        <f>IFERROR(__xludf.DUMMYFUNCTION("""COMPUTED_VALUE"""),340.0)</f>
        <v>340</v>
      </c>
      <c r="AM51" s="688">
        <f>IFERROR(__xludf.DUMMYFUNCTION("""COMPUTED_VALUE"""),2592.2695605557637)</f>
        <v>2592.269561</v>
      </c>
      <c r="AN51" s="675">
        <f>IFERROR(__xludf.DUMMYFUNCTION("""COMPUTED_VALUE"""),2.2666666666666666)</f>
        <v>2.266666667</v>
      </c>
      <c r="AO51" s="675">
        <f>IFERROR(__xludf.DUMMYFUNCTION("""COMPUTED_VALUE"""),1.1333333333333333)</f>
        <v>1.133333333</v>
      </c>
      <c r="AP51" s="674">
        <f>IFERROR(__xludf.DUMMYFUNCTION("""COMPUTED_VALUE"""),1130.0)</f>
        <v>1130</v>
      </c>
      <c r="AQ51" s="673">
        <f>IFERROR(__xludf.DUMMYFUNCTION("""COMPUTED_VALUE"""),-0.4)</f>
        <v>-0.4</v>
      </c>
      <c r="AR51" s="673">
        <f>IFERROR(__xludf.DUMMYFUNCTION("""COMPUTED_VALUE"""),0.0)</f>
        <v>0</v>
      </c>
      <c r="AS51" s="673">
        <f>IFERROR(__xludf.DUMMYFUNCTION("""COMPUTED_VALUE"""),-0.3)</f>
        <v>-0.3</v>
      </c>
      <c r="AT51" s="673">
        <f>IFERROR(__xludf.DUMMYFUNCTION("""COMPUTED_VALUE"""),0.0)</f>
        <v>0</v>
      </c>
      <c r="AU51" s="673">
        <f>IFERROR(__xludf.DUMMYFUNCTION("""COMPUTED_VALUE"""),0.0)</f>
        <v>0</v>
      </c>
      <c r="AV51" s="673">
        <f>IFERROR(__xludf.DUMMYFUNCTION("""COMPUTED_VALUE"""),0.0)</f>
        <v>0</v>
      </c>
      <c r="AW51" s="139"/>
      <c r="AX51" s="674">
        <f>IFERROR(__xludf.DUMMYFUNCTION("""COMPUTED_VALUE"""),1480.0)</f>
        <v>1480</v>
      </c>
      <c r="AY51" s="688">
        <f>IFERROR(__xludf.DUMMYFUNCTION("""COMPUTED_VALUE"""),11285.281616536853)</f>
        <v>11285.28162</v>
      </c>
      <c r="AZ51" s="674">
        <f>IFERROR(__xludf.DUMMYFUNCTION("""COMPUTED_VALUE"""),530.0)</f>
        <v>530</v>
      </c>
      <c r="BA51" s="688">
        <f>IFERROR(__xludf.DUMMYFUNCTION("""COMPUTED_VALUE"""),4030.4577201917336)</f>
        <v>4030.45772</v>
      </c>
      <c r="BB51" s="688">
        <f>IFERROR(__xludf.DUMMYFUNCTION("""COMPUTED_VALUE"""),4433.503492210907)</f>
        <v>4433.503492</v>
      </c>
      <c r="BC51" s="688" t="str">
        <f>IFERROR(__xludf.DUMMYFUNCTION("""COMPUTED_VALUE"""),"#VALUE!")</f>
        <v>#VALUE!</v>
      </c>
      <c r="BD51" s="688" t="str">
        <f>IFERROR(__xludf.DUMMYFUNCTION("""COMPUTED_VALUE"""),"#VALUE!")</f>
        <v>#VALUE!</v>
      </c>
      <c r="BE51" s="674">
        <f>IFERROR(__xludf.DUMMYFUNCTION("""COMPUTED_VALUE"""),530.0)</f>
        <v>530</v>
      </c>
      <c r="BF51" s="674">
        <f>IFERROR(__xludf.DUMMYFUNCTION("""COMPUTED_VALUE"""),750.0)</f>
        <v>750</v>
      </c>
      <c r="BG51" s="673">
        <f>IFERROR(__xludf.DUMMYFUNCTION("""COMPUTED_VALUE"""),0.0)</f>
        <v>0</v>
      </c>
      <c r="BH51" s="673">
        <f>IFERROR(__xludf.DUMMYFUNCTION("""COMPUTED_VALUE"""),-0.3)</f>
        <v>-0.3</v>
      </c>
      <c r="BI51" s="673">
        <f>IFERROR(__xludf.DUMMYFUNCTION("""COMPUTED_VALUE"""),0.0)</f>
        <v>0</v>
      </c>
      <c r="BJ51" s="673">
        <f>IFERROR(__xludf.DUMMYFUNCTION("""COMPUTED_VALUE"""),0.0)</f>
        <v>0</v>
      </c>
      <c r="BK51" s="673">
        <f>IFERROR(__xludf.DUMMYFUNCTION("""COMPUTED_VALUE"""),0.0)</f>
        <v>0</v>
      </c>
      <c r="BL51" s="673">
        <f>IFERROR(__xludf.DUMMYFUNCTION("""COMPUTED_VALUE"""),0.0)</f>
        <v>0</v>
      </c>
      <c r="BM51" s="674">
        <f>IFERROR(__xludf.DUMMYFUNCTION("""COMPUTED_VALUE"""),140.0)</f>
        <v>140</v>
      </c>
      <c r="BN51" s="674">
        <f>IFERROR(__xludf.DUMMYFUNCTION("""COMPUTED_VALUE"""),140.0)</f>
        <v>140</v>
      </c>
      <c r="BO51" s="675">
        <f>IFERROR(__xludf.DUMMYFUNCTION("""COMPUTED_VALUE"""),0.0)</f>
        <v>0</v>
      </c>
      <c r="BP51" s="675">
        <f>IFERROR(__xludf.DUMMYFUNCTION("""COMPUTED_VALUE"""),2.8)</f>
        <v>2.8</v>
      </c>
      <c r="BQ51" s="675" t="str">
        <f>IFERROR(__xludf.DUMMYFUNCTION("""COMPUTED_VALUE"""),"※")</f>
        <v>※</v>
      </c>
      <c r="BR51" s="139">
        <f>IFERROR(__xludf.DUMMYFUNCTION("""COMPUTED_VALUE"""),3.0)</f>
        <v>3</v>
      </c>
      <c r="BS51" s="139">
        <f>IFERROR(__xludf.DUMMYFUNCTION("""COMPUTED_VALUE"""),30.0)</f>
        <v>30</v>
      </c>
      <c r="BT51" s="139">
        <f>IFERROR(__xludf.DUMMYFUNCTION("""COMPUTED_VALUE"""),0.62)</f>
        <v>0.62</v>
      </c>
      <c r="BU51" s="139">
        <f>IFERROR(__xludf.DUMMYFUNCTION("""COMPUTED_VALUE"""),0.0)</f>
        <v>0</v>
      </c>
      <c r="BV51" s="139" t="str">
        <f>IFERROR(__xludf.DUMMYFUNCTION("""COMPUTED_VALUE"""),"普通")</f>
        <v>普通</v>
      </c>
      <c r="BW51" s="139" t="str">
        <f>IFERROR(__xludf.DUMMYFUNCTION("""COMPUTED_VALUE"""),"氷結攻撃無効化")</f>
        <v>氷結攻撃無効化</v>
      </c>
      <c r="BX51" s="139">
        <f>IFERROR(__xludf.DUMMYFUNCTION("""COMPUTED_VALUE"""),50.0)</f>
        <v>50</v>
      </c>
      <c r="BY51" s="139">
        <f>IFERROR(__xludf.DUMMYFUNCTION("""COMPUTED_VALUE"""),0.0)</f>
        <v>0</v>
      </c>
      <c r="BZ51" s="139" t="str">
        <f>IFERROR(__xludf.DUMMYFUNCTION("""COMPUTED_VALUE"""),"-")</f>
        <v>-</v>
      </c>
      <c r="CA51" s="139" t="str">
        <f>IFERROR(__xludf.DUMMYFUNCTION("""COMPUTED_VALUE"""),"-")</f>
        <v>-</v>
      </c>
      <c r="CB51" s="139" t="str">
        <f>IFERROR(__xludf.DUMMYFUNCTION("""COMPUTED_VALUE"""),"-")</f>
        <v>-</v>
      </c>
      <c r="CC51" s="139" t="str">
        <f>IFERROR(__xludf.DUMMYFUNCTION("""COMPUTED_VALUE"""),"遠距離")</f>
        <v>遠距離</v>
      </c>
      <c r="CD51" s="139" t="str">
        <f>IFERROR(__xludf.DUMMYFUNCTION("""COMPUTED_VALUE"""),"単体")</f>
        <v>単体</v>
      </c>
      <c r="CE51" s="139">
        <f>IFERROR(__xludf.DUMMYFUNCTION("""COMPUTED_VALUE"""),1.0)</f>
        <v>1</v>
      </c>
      <c r="CF51" s="139">
        <f>IFERROR(__xludf.DUMMYFUNCTION("""COMPUTED_VALUE"""),0.63)</f>
        <v>0.63</v>
      </c>
      <c r="CG51" s="139" t="str">
        <f>IFERROR(__xludf.DUMMYFUNCTION("""COMPUTED_VALUE"""),"自身と１つ先のコマにいる味方")</f>
        <v>自身と１つ先のコマにいる味方</v>
      </c>
      <c r="CH51" s="139" t="str">
        <f>IFERROR(__xludf.DUMMYFUNCTION("""COMPUTED_VALUE"""),"範囲(コマ)0,+1")</f>
        <v>範囲(コマ)0,+1</v>
      </c>
      <c r="CI51" s="139">
        <f>IFERROR(__xludf.DUMMYFUNCTION("""COMPUTED_VALUE"""),0.6)</f>
        <v>0.6</v>
      </c>
      <c r="CJ51" s="139" t="str">
        <f>IFERROR(__xludf.DUMMYFUNCTION("""COMPUTED_VALUE"""),"(コマ)0,+1")</f>
        <v>(コマ)0,+1</v>
      </c>
      <c r="CK51" s="139" t="str">
        <f>IFERROR(__xludf.DUMMYFUNCTION("""COMPUTED_VALUE"""),"味方")</f>
        <v>味方</v>
      </c>
      <c r="CL51" s="139" t="str">
        <f>IFERROR(__xludf.DUMMYFUNCTION("""COMPUTED_VALUE"""),"青")</f>
        <v>青</v>
      </c>
      <c r="CM51" s="139" t="str">
        <f>IFERROR(__xludf.DUMMYFUNCTION("""COMPUTED_VALUE"""),"All")</f>
        <v>All</v>
      </c>
      <c r="CN51" s="675">
        <f>IFERROR(__xludf.DUMMYFUNCTION("""COMPUTED_VALUE"""),22.35519712164615)</f>
        <v>22.35519712</v>
      </c>
      <c r="CO51" s="139" t="str">
        <f>IFERROR(__xludf.DUMMYFUNCTION("""COMPUTED_VALUE"""),"-")</f>
        <v>-</v>
      </c>
      <c r="CP51" s="139" t="str">
        <f>IFERROR(__xludf.DUMMYFUNCTION("""COMPUTED_VALUE"""),"-")</f>
        <v>-</v>
      </c>
      <c r="CQ51" s="139" t="str">
        <f>IFERROR(__xludf.DUMMYFUNCTION("""COMPUTED_VALUE"""),"-")</f>
        <v>-</v>
      </c>
      <c r="CR51" s="139" t="str">
        <f>IFERROR(__xludf.DUMMYFUNCTION("""COMPUTED_VALUE"""),"持続型")</f>
        <v>持続型</v>
      </c>
      <c r="CS51" s="673" t="str">
        <f>IFERROR(__xludf.DUMMYFUNCTION("""COMPUTED_VALUE"""),"攻撃力UP(青)")</f>
        <v>攻撃力UP(青)</v>
      </c>
      <c r="CT51" s="139" t="str">
        <f>IFERROR(__xludf.DUMMYFUNCTION("""COMPUTED_VALUE"""),"持続型")</f>
        <v>持続型</v>
      </c>
      <c r="CU51" s="139" t="str">
        <f>IFERROR(__xludf.DUMMYFUNCTION("""COMPUTED_VALUE"""),"味方")</f>
        <v>味方</v>
      </c>
      <c r="CV51" s="139" t="str">
        <f>IFERROR(__xludf.DUMMYFUNCTION("""COMPUTED_VALUE"""),"青")</f>
        <v>青</v>
      </c>
      <c r="CW51" s="139" t="str">
        <f>IFERROR(__xludf.DUMMYFUNCTION("""COMPUTED_VALUE"""),"All")</f>
        <v>All</v>
      </c>
      <c r="CX51" s="674">
        <f>IFERROR(__xludf.DUMMYFUNCTION("""COMPUTED_VALUE"""),10.0)</f>
        <v>10</v>
      </c>
      <c r="CY51" s="675">
        <f>IFERROR(__xludf.DUMMYFUNCTION("""COMPUTED_VALUE"""),11.0)</f>
        <v>11</v>
      </c>
      <c r="CZ51" s="688" t="str">
        <f>IFERROR(__xludf.DUMMYFUNCTION("""COMPUTED_VALUE"""),"-")</f>
        <v>-</v>
      </c>
      <c r="DA51" s="688">
        <f>IFERROR(__xludf.DUMMYFUNCTION("""COMPUTED_VALUE"""),0.0)</f>
        <v>0</v>
      </c>
      <c r="DB51" s="688">
        <f>IFERROR(__xludf.DUMMYFUNCTION("""COMPUTED_VALUE"""),0.0)</f>
        <v>0</v>
      </c>
      <c r="DC51" s="139" t="str">
        <f>IFERROR(__xludf.DUMMYFUNCTION("""COMPUTED_VALUE"""),"-")</f>
        <v>-</v>
      </c>
      <c r="DD51" s="673" t="str">
        <f>IFERROR(__xludf.DUMMYFUNCTION("""COMPUTED_VALUE"""),"-")</f>
        <v>-</v>
      </c>
      <c r="DE51" s="139" t="str">
        <f>IFERROR(__xludf.DUMMYFUNCTION("""COMPUTED_VALUE"""),"-")</f>
        <v>-</v>
      </c>
      <c r="DF51" s="139" t="str">
        <f>IFERROR(__xludf.DUMMYFUNCTION("""COMPUTED_VALUE"""),"-")</f>
        <v>-</v>
      </c>
      <c r="DG51" s="139" t="str">
        <f>IFERROR(__xludf.DUMMYFUNCTION("""COMPUTED_VALUE"""),"-")</f>
        <v>-</v>
      </c>
      <c r="DH51" s="139" t="str">
        <f>IFERROR(__xludf.DUMMYFUNCTION("""COMPUTED_VALUE"""),"-")</f>
        <v>-</v>
      </c>
      <c r="DI51" s="139" t="str">
        <f>IFERROR(__xludf.DUMMYFUNCTION("""COMPUTED_VALUE"""),"-")</f>
        <v>-</v>
      </c>
      <c r="DJ51" s="139" t="str">
        <f>IFERROR(__xludf.DUMMYFUNCTION("""COMPUTED_VALUE"""),"-")</f>
        <v>-</v>
      </c>
    </row>
    <row r="52">
      <c r="A52" s="139" t="str">
        <f>IFERROR(__xludf.DUMMYFUNCTION("""COMPUTED_VALUE"""),"魔都精兵のスレイブ")</f>
        <v>魔都精兵のスレイブ</v>
      </c>
      <c r="B52" s="139" t="str">
        <f>IFERROR(__xludf.DUMMYFUNCTION("""COMPUTED_VALUE"""),"和倉 優希")</f>
        <v>和倉 優希</v>
      </c>
      <c r="C52" s="139" t="str">
        <f>IFERROR(__xludf.DUMMYFUNCTION("""COMPUTED_VALUE"""),"chara_sur_00001")</f>
        <v>chara_sur_00001</v>
      </c>
      <c r="D52" s="139" t="str">
        <f>IFERROR(__xludf.DUMMYFUNCTION("""COMPUTED_VALUE"""),"PremiumR")</f>
        <v>PremiumR</v>
      </c>
      <c r="E52" s="139" t="str">
        <f>IFERROR(__xludf.DUMMYFUNCTION("""COMPUTED_VALUE"""),"緑")</f>
        <v>緑</v>
      </c>
      <c r="F52" s="139" t="str">
        <f>IFERROR(__xludf.DUMMYFUNCTION("""COMPUTED_VALUE"""),"サポート")</f>
        <v>サポート</v>
      </c>
      <c r="G52" s="139" t="str">
        <f>IFERROR(__xludf.DUMMYFUNCTION("""COMPUTED_VALUE"""),"近距離")</f>
        <v>近距離</v>
      </c>
      <c r="H52" s="139" t="str">
        <f>IFERROR(__xludf.DUMMYFUNCTION("""COMPUTED_VALUE"""),"dageki_2")</f>
        <v>dageki_2</v>
      </c>
      <c r="I52" s="139" t="str">
        <f>IFERROR(__xludf.DUMMYFUNCTION("""COMPUTED_VALUE"""),"-")</f>
        <v>-</v>
      </c>
      <c r="J52" s="139" t="str">
        <f>IFERROR(__xludf.DUMMYFUNCTION("""COMPUTED_VALUE"""),"202509010_リリース")</f>
        <v>202509010_リリース</v>
      </c>
      <c r="K52" s="139" t="str">
        <f>IFERROR(__xludf.DUMMYFUNCTION("""COMPUTED_VALUE"""),"リリース時")</f>
        <v>リリース時</v>
      </c>
      <c r="L52" s="139" t="str">
        <f>IFERROR(__xludf.DUMMYFUNCTION("""COMPUTED_VALUE"""),"※")</f>
        <v>※</v>
      </c>
      <c r="M52" s="674">
        <f>IFERROR(__xludf.DUMMYFUNCTION("""COMPUTED_VALUE"""),360.0)</f>
        <v>360</v>
      </c>
      <c r="N52" s="139">
        <f>IFERROR(__xludf.DUMMYFUNCTION("""COMPUTED_VALUE"""),200.0)</f>
        <v>200</v>
      </c>
      <c r="O52" s="139" t="str">
        <f>IFERROR(__xludf.DUMMYFUNCTION("""COMPUTED_VALUE"""),"低コスト")</f>
        <v>低コスト</v>
      </c>
      <c r="P52" s="139">
        <f>IFERROR(__xludf.DUMMYFUNCTION("""COMPUTED_VALUE"""),150.0)</f>
        <v>150</v>
      </c>
      <c r="Q52" s="675">
        <f>IFERROR(__xludf.DUMMYFUNCTION("""COMPUTED_VALUE"""),10.0)</f>
        <v>10</v>
      </c>
      <c r="R52" s="675">
        <f>IFERROR(__xludf.DUMMYFUNCTION("""COMPUTED_VALUE"""),0.0)</f>
        <v>0</v>
      </c>
      <c r="S52" s="675">
        <f>IFERROR(__xludf.DUMMYFUNCTION("""COMPUTED_VALUE"""),6.5)</f>
        <v>6.5</v>
      </c>
      <c r="T52" s="674">
        <f>IFERROR(__xludf.DUMMYFUNCTION("""COMPUTED_VALUE"""),240.0)</f>
        <v>240</v>
      </c>
      <c r="U52" s="675">
        <f>IFERROR(__xludf.DUMMYFUNCTION("""COMPUTED_VALUE"""),4.766666666666667)</f>
        <v>4.766666667</v>
      </c>
      <c r="V52" s="675">
        <f>IFERROR(__xludf.DUMMYFUNCTION("""COMPUTED_VALUE"""),0.0)</f>
        <v>0</v>
      </c>
      <c r="W52" s="675">
        <f>IFERROR(__xludf.DUMMYFUNCTION("""COMPUTED_VALUE"""),0.0)</f>
        <v>0</v>
      </c>
      <c r="X52" s="675">
        <f>IFERROR(__xludf.DUMMYFUNCTION("""COMPUTED_VALUE"""),0.0)</f>
        <v>0</v>
      </c>
      <c r="Y52" s="674">
        <f>IFERROR(__xludf.DUMMYFUNCTION("""COMPUTED_VALUE"""),125.0)</f>
        <v>125</v>
      </c>
      <c r="Z52" s="675">
        <f>IFERROR(__xludf.DUMMYFUNCTION("""COMPUTED_VALUE"""),2.4916666666666663)</f>
        <v>2.491666667</v>
      </c>
      <c r="AA52" s="675">
        <f>IFERROR(__xludf.DUMMYFUNCTION("""COMPUTED_VALUE"""),0.0)</f>
        <v>0</v>
      </c>
      <c r="AB52" s="673">
        <f>IFERROR(__xludf.DUMMYFUNCTION("""COMPUTED_VALUE"""),0.0)</f>
        <v>0</v>
      </c>
      <c r="AC52" s="675">
        <f>IFERROR(__xludf.DUMMYFUNCTION("""COMPUTED_VALUE"""),0.0)</f>
        <v>0</v>
      </c>
      <c r="AD52" s="674">
        <f>IFERROR(__xludf.DUMMYFUNCTION("""COMPUTED_VALUE"""),695.0)</f>
        <v>695</v>
      </c>
      <c r="AE52" s="675">
        <f>IFERROR(__xludf.DUMMYFUNCTION("""COMPUTED_VALUE"""),13.945780794133858)</f>
        <v>13.94578079</v>
      </c>
      <c r="AF52" s="675">
        <f>IFERROR(__xludf.DUMMYFUNCTION("""COMPUTED_VALUE"""),0.0)</f>
        <v>0</v>
      </c>
      <c r="AG52" s="675">
        <f>IFERROR(__xludf.DUMMYFUNCTION("""COMPUTED_VALUE"""),5.85)</f>
        <v>5.85</v>
      </c>
      <c r="AH52" s="675">
        <f>IFERROR(__xludf.DUMMYFUNCTION("""COMPUTED_VALUE"""),0.0)</f>
        <v>0</v>
      </c>
      <c r="AI52" s="675">
        <f>IFERROR(__xludf.DUMMYFUNCTION("""COMPUTED_VALUE"""),3.9000000000000004)</f>
        <v>3.9</v>
      </c>
      <c r="AJ52" s="675">
        <f>IFERROR(__xludf.DUMMYFUNCTION("""COMPUTED_VALUE"""),10.045780794133858)</f>
        <v>10.04578079</v>
      </c>
      <c r="AK52" s="139">
        <f>IFERROR(__xludf.DUMMYFUNCTION("""COMPUTED_VALUE"""),1.0)</f>
        <v>1</v>
      </c>
      <c r="AL52" s="674">
        <f>IFERROR(__xludf.DUMMYFUNCTION("""COMPUTED_VALUE"""),650.0)</f>
        <v>650</v>
      </c>
      <c r="AM52" s="688">
        <f>IFERROR(__xludf.DUMMYFUNCTION("""COMPUTED_VALUE"""),4634.948277533078)</f>
        <v>4634.948278</v>
      </c>
      <c r="AN52" s="675">
        <f>IFERROR(__xludf.DUMMYFUNCTION("""COMPUTED_VALUE"""),4.333333333333333)</f>
        <v>4.333333333</v>
      </c>
      <c r="AO52" s="675">
        <f>IFERROR(__xludf.DUMMYFUNCTION("""COMPUTED_VALUE"""),2.1666666666666665)</f>
        <v>2.166666667</v>
      </c>
      <c r="AP52" s="674">
        <f>IFERROR(__xludf.DUMMYFUNCTION("""COMPUTED_VALUE"""),1080.0)</f>
        <v>1080</v>
      </c>
      <c r="AQ52" s="673">
        <f>IFERROR(__xludf.DUMMYFUNCTION("""COMPUTED_VALUE"""),-0.4)</f>
        <v>-0.4</v>
      </c>
      <c r="AR52" s="673">
        <f>IFERROR(__xludf.DUMMYFUNCTION("""COMPUTED_VALUE"""),0.0)</f>
        <v>0</v>
      </c>
      <c r="AS52" s="673">
        <f>IFERROR(__xludf.DUMMYFUNCTION("""COMPUTED_VALUE"""),0.0)</f>
        <v>0</v>
      </c>
      <c r="AT52" s="673">
        <f>IFERROR(__xludf.DUMMYFUNCTION("""COMPUTED_VALUE"""),0.0)</f>
        <v>0</v>
      </c>
      <c r="AU52" s="673">
        <f>IFERROR(__xludf.DUMMYFUNCTION("""COMPUTED_VALUE"""),0.0)</f>
        <v>0</v>
      </c>
      <c r="AV52" s="673">
        <f>IFERROR(__xludf.DUMMYFUNCTION("""COMPUTED_VALUE"""),0.0)</f>
        <v>0</v>
      </c>
      <c r="AW52" s="139"/>
      <c r="AX52" s="674">
        <f>IFERROR(__xludf.DUMMYFUNCTION("""COMPUTED_VALUE"""),750.0)</f>
        <v>750</v>
      </c>
      <c r="AY52" s="688">
        <f>IFERROR(__xludf.DUMMYFUNCTION("""COMPUTED_VALUE"""),5348.811089461244)</f>
        <v>5348.811089</v>
      </c>
      <c r="AZ52" s="674">
        <f>IFERROR(__xludf.DUMMYFUNCTION("""COMPUTED_VALUE"""),500.0)</f>
        <v>500</v>
      </c>
      <c r="BA52" s="688">
        <f>IFERROR(__xludf.DUMMYFUNCTION("""COMPUTED_VALUE"""),3565.8740596408293)</f>
        <v>3565.87406</v>
      </c>
      <c r="BB52" s="688">
        <f>IFERROR(__xludf.DUMMYFUNCTION("""COMPUTED_VALUE"""),4421.683833954628)</f>
        <v>4421.683834</v>
      </c>
      <c r="BC52" s="688" t="str">
        <f>IFERROR(__xludf.DUMMYFUNCTION("""COMPUTED_VALUE"""),"#VALUE!")</f>
        <v>#VALUE!</v>
      </c>
      <c r="BD52" s="688" t="str">
        <f>IFERROR(__xludf.DUMMYFUNCTION("""COMPUTED_VALUE"""),"#VALUE!")</f>
        <v>#VALUE!</v>
      </c>
      <c r="BE52" s="674">
        <f>IFERROR(__xludf.DUMMYFUNCTION("""COMPUTED_VALUE"""),500.0)</f>
        <v>500</v>
      </c>
      <c r="BF52" s="674">
        <f>IFERROR(__xludf.DUMMYFUNCTION("""COMPUTED_VALUE"""),720.0)</f>
        <v>720</v>
      </c>
      <c r="BG52" s="673">
        <f>IFERROR(__xludf.DUMMYFUNCTION("""COMPUTED_VALUE"""),0.0)</f>
        <v>0</v>
      </c>
      <c r="BH52" s="673">
        <f>IFERROR(__xludf.DUMMYFUNCTION("""COMPUTED_VALUE"""),-0.3)</f>
        <v>-0.3</v>
      </c>
      <c r="BI52" s="673">
        <f>IFERROR(__xludf.DUMMYFUNCTION("""COMPUTED_VALUE"""),0.0)</f>
        <v>0</v>
      </c>
      <c r="BJ52" s="673">
        <f>IFERROR(__xludf.DUMMYFUNCTION("""COMPUTED_VALUE"""),0.0)</f>
        <v>0</v>
      </c>
      <c r="BK52" s="673">
        <f>IFERROR(__xludf.DUMMYFUNCTION("""COMPUTED_VALUE"""),0.0)</f>
        <v>0</v>
      </c>
      <c r="BL52" s="673">
        <f>IFERROR(__xludf.DUMMYFUNCTION("""COMPUTED_VALUE"""),0.0)</f>
        <v>0</v>
      </c>
      <c r="BM52" s="674">
        <f>IFERROR(__xludf.DUMMYFUNCTION("""COMPUTED_VALUE"""),75.0)</f>
        <v>75</v>
      </c>
      <c r="BN52" s="674">
        <f>IFERROR(__xludf.DUMMYFUNCTION("""COMPUTED_VALUE"""),75.0)</f>
        <v>75</v>
      </c>
      <c r="BO52" s="675">
        <f>IFERROR(__xludf.DUMMYFUNCTION("""COMPUTED_VALUE"""),0.0)</f>
        <v>0</v>
      </c>
      <c r="BP52" s="675">
        <f>IFERROR(__xludf.DUMMYFUNCTION("""COMPUTED_VALUE"""),1.5)</f>
        <v>1.5</v>
      </c>
      <c r="BQ52" s="675" t="str">
        <f>IFERROR(__xludf.DUMMYFUNCTION("""COMPUTED_VALUE"""),"※")</f>
        <v>※</v>
      </c>
      <c r="BR52" s="139">
        <f>IFERROR(__xludf.DUMMYFUNCTION("""COMPUTED_VALUE"""),1.0)</f>
        <v>1</v>
      </c>
      <c r="BS52" s="139">
        <f>IFERROR(__xludf.DUMMYFUNCTION("""COMPUTED_VALUE"""),35.0)</f>
        <v>35</v>
      </c>
      <c r="BT52" s="139">
        <f>IFERROR(__xludf.DUMMYFUNCTION("""COMPUTED_VALUE"""),0.27)</f>
        <v>0.27</v>
      </c>
      <c r="BU52" s="139">
        <f>IFERROR(__xludf.DUMMYFUNCTION("""COMPUTED_VALUE"""),0.0)</f>
        <v>0</v>
      </c>
      <c r="BV52" s="139" t="str">
        <f>IFERROR(__xludf.DUMMYFUNCTION("""COMPUTED_VALUE"""),"速")</f>
        <v>速</v>
      </c>
      <c r="BW52" s="139" t="str">
        <f>IFERROR(__xludf.DUMMYFUNCTION("""COMPUTED_VALUE"""),"-")</f>
        <v>-</v>
      </c>
      <c r="BX52" s="139" t="str">
        <f>IFERROR(__xludf.DUMMYFUNCTION("""COMPUTED_VALUE"""),"-")</f>
        <v>-</v>
      </c>
      <c r="BY52" s="139" t="str">
        <f>IFERROR(__xludf.DUMMYFUNCTION("""COMPUTED_VALUE"""),"-")</f>
        <v>-</v>
      </c>
      <c r="BZ52" s="139" t="str">
        <f>IFERROR(__xludf.DUMMYFUNCTION("""COMPUTED_VALUE"""),"-")</f>
        <v>-</v>
      </c>
      <c r="CA52" s="139" t="str">
        <f>IFERROR(__xludf.DUMMYFUNCTION("""COMPUTED_VALUE"""),"-")</f>
        <v>-</v>
      </c>
      <c r="CB52" s="139" t="str">
        <f>IFERROR(__xludf.DUMMYFUNCTION("""COMPUTED_VALUE"""),"-")</f>
        <v>-</v>
      </c>
      <c r="CC52" s="139" t="str">
        <f>IFERROR(__xludf.DUMMYFUNCTION("""COMPUTED_VALUE"""),"近距離")</f>
        <v>近距離</v>
      </c>
      <c r="CD52" s="139" t="str">
        <f>IFERROR(__xludf.DUMMYFUNCTION("""COMPUTED_VALUE"""),"単体")</f>
        <v>単体</v>
      </c>
      <c r="CE52" s="139">
        <f>IFERROR(__xludf.DUMMYFUNCTION("""COMPUTED_VALUE"""),1.0)</f>
        <v>1</v>
      </c>
      <c r="CF52" s="139">
        <f>IFERROR(__xludf.DUMMYFUNCTION("""COMPUTED_VALUE"""),0.28)</f>
        <v>0.28</v>
      </c>
      <c r="CG52" s="139" t="str">
        <f>IFERROR(__xludf.DUMMYFUNCTION("""COMPUTED_VALUE"""),"自身と同じコマにいる味方")</f>
        <v>自身と同じコマにいる味方</v>
      </c>
      <c r="CH52" s="139" t="str">
        <f>IFERROR(__xludf.DUMMYFUNCTION("""COMPUTED_VALUE"""),"範囲(コマ)0")</f>
        <v>範囲(コマ)0</v>
      </c>
      <c r="CI52" s="139" t="str">
        <f>IFERROR(__xludf.DUMMYFUNCTION("""COMPUTED_VALUE"""),"-")</f>
        <v>-</v>
      </c>
      <c r="CJ52" s="139" t="str">
        <f>IFERROR(__xludf.DUMMYFUNCTION("""COMPUTED_VALUE"""),"(コマ)0")</f>
        <v>(コマ)0</v>
      </c>
      <c r="CK52" s="139" t="str">
        <f>IFERROR(__xludf.DUMMYFUNCTION("""COMPUTED_VALUE"""),"味方")</f>
        <v>味方</v>
      </c>
      <c r="CL52" s="139" t="str">
        <f>IFERROR(__xludf.DUMMYFUNCTION("""COMPUTED_VALUE"""),"緑")</f>
        <v>緑</v>
      </c>
      <c r="CM52" s="139" t="str">
        <f>IFERROR(__xludf.DUMMYFUNCTION("""COMPUTED_VALUE"""),"All")</f>
        <v>All</v>
      </c>
      <c r="CN52" s="675">
        <f>IFERROR(__xludf.DUMMYFUNCTION("""COMPUTED_VALUE"""),13.945780794133858)</f>
        <v>13.94578079</v>
      </c>
      <c r="CO52" s="139" t="str">
        <f>IFERROR(__xludf.DUMMYFUNCTION("""COMPUTED_VALUE"""),"-")</f>
        <v>-</v>
      </c>
      <c r="CP52" s="139" t="str">
        <f>IFERROR(__xludf.DUMMYFUNCTION("""COMPUTED_VALUE"""),"-")</f>
        <v>-</v>
      </c>
      <c r="CQ52" s="139" t="str">
        <f>IFERROR(__xludf.DUMMYFUNCTION("""COMPUTED_VALUE"""),"-")</f>
        <v>-</v>
      </c>
      <c r="CR52" s="139" t="str">
        <f>IFERROR(__xludf.DUMMYFUNCTION("""COMPUTED_VALUE"""),"瞬間型")</f>
        <v>瞬間型</v>
      </c>
      <c r="CS52" s="673" t="str">
        <f>IFERROR(__xludf.DUMMYFUNCTION("""COMPUTED_VALUE"""),"攻撃力UP(緑)")</f>
        <v>攻撃力UP(緑)</v>
      </c>
      <c r="CT52" s="139" t="str">
        <f>IFERROR(__xludf.DUMMYFUNCTION("""COMPUTED_VALUE"""),"瞬間型")</f>
        <v>瞬間型</v>
      </c>
      <c r="CU52" s="139" t="str">
        <f>IFERROR(__xludf.DUMMYFUNCTION("""COMPUTED_VALUE"""),"味方")</f>
        <v>味方</v>
      </c>
      <c r="CV52" s="139" t="str">
        <f>IFERROR(__xludf.DUMMYFUNCTION("""COMPUTED_VALUE"""),"緑")</f>
        <v>緑</v>
      </c>
      <c r="CW52" s="139" t="str">
        <f>IFERROR(__xludf.DUMMYFUNCTION("""COMPUTED_VALUE"""),"All")</f>
        <v>All</v>
      </c>
      <c r="CX52" s="674">
        <f>IFERROR(__xludf.DUMMYFUNCTION("""COMPUTED_VALUE"""),24.0)</f>
        <v>24</v>
      </c>
      <c r="CY52" s="675">
        <f>IFERROR(__xludf.DUMMYFUNCTION("""COMPUTED_VALUE"""),3.9)</f>
        <v>3.9</v>
      </c>
      <c r="CZ52" s="688" t="str">
        <f>IFERROR(__xludf.DUMMYFUNCTION("""COMPUTED_VALUE"""),"-")</f>
        <v>-</v>
      </c>
      <c r="DA52" s="688">
        <f>IFERROR(__xludf.DUMMYFUNCTION("""COMPUTED_VALUE"""),0.0)</f>
        <v>0</v>
      </c>
      <c r="DB52" s="688">
        <f>IFERROR(__xludf.DUMMYFUNCTION("""COMPUTED_VALUE"""),0.0)</f>
        <v>0</v>
      </c>
      <c r="DC52" s="139" t="str">
        <f>IFERROR(__xludf.DUMMYFUNCTION("""COMPUTED_VALUE"""),"-")</f>
        <v>-</v>
      </c>
      <c r="DD52" s="673" t="str">
        <f>IFERROR(__xludf.DUMMYFUNCTION("""COMPUTED_VALUE"""),"-")</f>
        <v>-</v>
      </c>
      <c r="DE52" s="139" t="str">
        <f>IFERROR(__xludf.DUMMYFUNCTION("""COMPUTED_VALUE"""),"-")</f>
        <v>-</v>
      </c>
      <c r="DF52" s="139" t="str">
        <f>IFERROR(__xludf.DUMMYFUNCTION("""COMPUTED_VALUE"""),"-")</f>
        <v>-</v>
      </c>
      <c r="DG52" s="139" t="str">
        <f>IFERROR(__xludf.DUMMYFUNCTION("""COMPUTED_VALUE"""),"-")</f>
        <v>-</v>
      </c>
      <c r="DH52" s="139" t="str">
        <f>IFERROR(__xludf.DUMMYFUNCTION("""COMPUTED_VALUE"""),"-")</f>
        <v>-</v>
      </c>
      <c r="DI52" s="139" t="str">
        <f>IFERROR(__xludf.DUMMYFUNCTION("""COMPUTED_VALUE"""),"-")</f>
        <v>-</v>
      </c>
      <c r="DJ52" s="139" t="str">
        <f>IFERROR(__xludf.DUMMYFUNCTION("""COMPUTED_VALUE"""),"-")</f>
        <v>-</v>
      </c>
    </row>
    <row r="53">
      <c r="A53" s="139" t="str">
        <f>IFERROR(__xludf.DUMMYFUNCTION("""COMPUTED_VALUE"""),"魔都精兵のスレイブ")</f>
        <v>魔都精兵のスレイブ</v>
      </c>
      <c r="B53" s="139" t="str">
        <f>IFERROR(__xludf.DUMMYFUNCTION("""COMPUTED_VALUE"""),"大川村 寧")</f>
        <v>大川村 寧</v>
      </c>
      <c r="C53" s="139" t="str">
        <f>IFERROR(__xludf.DUMMYFUNCTION("""COMPUTED_VALUE"""),"chara_sur_00401")</f>
        <v>chara_sur_00401</v>
      </c>
      <c r="D53" s="139" t="str">
        <f>IFERROR(__xludf.DUMMYFUNCTION("""COMPUTED_VALUE"""),"DropSR")</f>
        <v>DropSR</v>
      </c>
      <c r="E53" s="139" t="str">
        <f>IFERROR(__xludf.DUMMYFUNCTION("""COMPUTED_VALUE"""),"無")</f>
        <v>無</v>
      </c>
      <c r="F53" s="139" t="str">
        <f>IFERROR(__xludf.DUMMYFUNCTION("""COMPUTED_VALUE"""),"スペシャル")</f>
        <v>スペシャル</v>
      </c>
      <c r="G53" s="139" t="str">
        <f>IFERROR(__xludf.DUMMYFUNCTION("""COMPUTED_VALUE"""),"該当なし")</f>
        <v>該当なし</v>
      </c>
      <c r="H53" s="139" t="str">
        <f>IFERROR(__xludf.DUMMYFUNCTION("""COMPUTED_VALUE"""),"-")</f>
        <v>-</v>
      </c>
      <c r="I53" s="139" t="str">
        <f>IFERROR(__xludf.DUMMYFUNCTION("""COMPUTED_VALUE"""),"-")</f>
        <v>-</v>
      </c>
      <c r="J53" s="139" t="str">
        <f>IFERROR(__xludf.DUMMYFUNCTION("""COMPUTED_VALUE"""),"202509010_リリース")</f>
        <v>202509010_リリース</v>
      </c>
      <c r="K53" s="139" t="str">
        <f>IFERROR(__xludf.DUMMYFUNCTION("""COMPUTED_VALUE"""),"リリース時")</f>
        <v>リリース時</v>
      </c>
      <c r="L53" s="687" t="str">
        <f>IFERROR(__xludf.DUMMYFUNCTION("""COMPUTED_VALUE"""),"※")</f>
        <v>※</v>
      </c>
      <c r="M53" s="674">
        <f>IFERROR(__xludf.DUMMYFUNCTION("""COMPUTED_VALUE"""),350.0)</f>
        <v>350</v>
      </c>
      <c r="N53" s="139">
        <f>IFERROR(__xludf.DUMMYFUNCTION("""COMPUTED_VALUE"""),200.0)</f>
        <v>200</v>
      </c>
      <c r="O53" s="139" t="str">
        <f>IFERROR(__xludf.DUMMYFUNCTION("""COMPUTED_VALUE"""),"低コスト")</f>
        <v>低コスト</v>
      </c>
      <c r="P53" s="139">
        <f>IFERROR(__xludf.DUMMYFUNCTION("""COMPUTED_VALUE"""),-30.0)</f>
        <v>-30</v>
      </c>
      <c r="Q53" s="675">
        <f>IFERROR(__xludf.DUMMYFUNCTION("""COMPUTED_VALUE"""),30.0)</f>
        <v>30</v>
      </c>
      <c r="R53" s="675">
        <f>IFERROR(__xludf.DUMMYFUNCTION("""COMPUTED_VALUE"""),0.0)</f>
        <v>0</v>
      </c>
      <c r="S53" s="675">
        <f>IFERROR(__xludf.DUMMYFUNCTION("""COMPUTED_VALUE"""),6.25)</f>
        <v>6.25</v>
      </c>
      <c r="T53" s="674" t="str">
        <f>IFERROR(__xludf.DUMMYFUNCTION("""COMPUTED_VALUE"""),"-")</f>
        <v>-</v>
      </c>
      <c r="U53" s="674" t="str">
        <f>IFERROR(__xludf.DUMMYFUNCTION("""COMPUTED_VALUE"""),"-")</f>
        <v>-</v>
      </c>
      <c r="V53" s="674" t="str">
        <f>IFERROR(__xludf.DUMMYFUNCTION("""COMPUTED_VALUE"""),"-")</f>
        <v>-</v>
      </c>
      <c r="W53" s="674" t="str">
        <f>IFERROR(__xludf.DUMMYFUNCTION("""COMPUTED_VALUE"""),"-")</f>
        <v>-</v>
      </c>
      <c r="X53" s="674" t="str">
        <f>IFERROR(__xludf.DUMMYFUNCTION("""COMPUTED_VALUE"""),"-")</f>
        <v>-</v>
      </c>
      <c r="Y53" s="674" t="str">
        <f>IFERROR(__xludf.DUMMYFUNCTION("""COMPUTED_VALUE"""),"-")</f>
        <v>-</v>
      </c>
      <c r="Z53" s="675" t="str">
        <f>IFERROR(__xludf.DUMMYFUNCTION("""COMPUTED_VALUE"""),"#VALUE!")</f>
        <v>#VALUE!</v>
      </c>
      <c r="AA53" s="675" t="str">
        <f>IFERROR(__xludf.DUMMYFUNCTION("""COMPUTED_VALUE"""),"-")</f>
        <v>-</v>
      </c>
      <c r="AB53" s="674" t="str">
        <f>IFERROR(__xludf.DUMMYFUNCTION("""COMPUTED_VALUE"""),"-")</f>
        <v>-</v>
      </c>
      <c r="AC53" s="674" t="str">
        <f>IFERROR(__xludf.DUMMYFUNCTION("""COMPUTED_VALUE"""),"-")</f>
        <v>-</v>
      </c>
      <c r="AD53" s="674" t="str">
        <f>IFERROR(__xludf.DUMMYFUNCTION("""COMPUTED_VALUE"""),"-")</f>
        <v>-</v>
      </c>
      <c r="AE53" s="674" t="str">
        <f>IFERROR(__xludf.DUMMYFUNCTION("""COMPUTED_VALUE"""),"-")</f>
        <v>-</v>
      </c>
      <c r="AF53" s="674" t="str">
        <f>IFERROR(__xludf.DUMMYFUNCTION("""COMPUTED_VALUE"""),"-")</f>
        <v>-</v>
      </c>
      <c r="AG53" s="674" t="str">
        <f>IFERROR(__xludf.DUMMYFUNCTION("""COMPUTED_VALUE"""),"-")</f>
        <v>-</v>
      </c>
      <c r="AH53" s="674" t="str">
        <f>IFERROR(__xludf.DUMMYFUNCTION("""COMPUTED_VALUE"""),"-")</f>
        <v>-</v>
      </c>
      <c r="AI53" s="674" t="str">
        <f>IFERROR(__xludf.DUMMYFUNCTION("""COMPUTED_VALUE"""),"-")</f>
        <v>-</v>
      </c>
      <c r="AJ53" s="139">
        <f>IFERROR(__xludf.DUMMYFUNCTION("""COMPUTED_VALUE"""),7.0)</f>
        <v>7</v>
      </c>
      <c r="AK53" s="674" t="str">
        <f>IFERROR(__xludf.DUMMYFUNCTION("""COMPUTED_VALUE"""),"-")</f>
        <v>-</v>
      </c>
      <c r="AL53" s="674" t="str">
        <f>IFERROR(__xludf.DUMMYFUNCTION("""COMPUTED_VALUE"""),"#VALUE!")</f>
        <v>#VALUE!</v>
      </c>
      <c r="AM53" s="674" t="str">
        <f>IFERROR(__xludf.DUMMYFUNCTION("""COMPUTED_VALUE"""),"-")</f>
        <v>-</v>
      </c>
      <c r="AN53" s="674" t="str">
        <f>IFERROR(__xludf.DUMMYFUNCTION("""COMPUTED_VALUE"""),"-")</f>
        <v>-</v>
      </c>
      <c r="AO53" s="674" t="str">
        <f>IFERROR(__xludf.DUMMYFUNCTION("""COMPUTED_VALUE"""),"-")</f>
        <v>-</v>
      </c>
      <c r="AP53" s="674">
        <f>IFERROR(__xludf.DUMMYFUNCTION("""COMPUTED_VALUE"""),1050.0)</f>
        <v>1050</v>
      </c>
      <c r="AQ53" s="674" t="str">
        <f>IFERROR(__xludf.DUMMYFUNCTION("""COMPUTED_VALUE"""),"-")</f>
        <v>-</v>
      </c>
      <c r="AR53" s="673" t="str">
        <f>IFERROR(__xludf.DUMMYFUNCTION("""COMPUTED_VALUE"""),"-")</f>
        <v>-</v>
      </c>
      <c r="AS53" s="674" t="str">
        <f>IFERROR(__xludf.DUMMYFUNCTION("""COMPUTED_VALUE"""),"-")</f>
        <v>-</v>
      </c>
      <c r="AT53" s="674" t="str">
        <f>IFERROR(__xludf.DUMMYFUNCTION("""COMPUTED_VALUE"""),"-")</f>
        <v>-</v>
      </c>
      <c r="AU53" s="673" t="str">
        <f>IFERROR(__xludf.DUMMYFUNCTION("""COMPUTED_VALUE"""),"-")</f>
        <v>-</v>
      </c>
      <c r="AV53" s="673">
        <f>IFERROR(__xludf.DUMMYFUNCTION("""COMPUTED_VALUE"""),0.0)</f>
        <v>0</v>
      </c>
      <c r="AW53" s="139"/>
      <c r="AX53" s="674" t="str">
        <f>IFERROR(__xludf.DUMMYFUNCTION("""COMPUTED_VALUE"""),"-")</f>
        <v>-</v>
      </c>
      <c r="AY53" s="674" t="str">
        <f>IFERROR(__xludf.DUMMYFUNCTION("""COMPUTED_VALUE"""),"-")</f>
        <v>-</v>
      </c>
      <c r="AZ53" s="674" t="str">
        <f>IFERROR(__xludf.DUMMYFUNCTION("""COMPUTED_VALUE"""),"-")</f>
        <v>-</v>
      </c>
      <c r="BA53" s="674" t="str">
        <f>IFERROR(__xludf.DUMMYFUNCTION("""COMPUTED_VALUE"""),"-")</f>
        <v>-</v>
      </c>
      <c r="BB53" s="688" t="str">
        <f>IFERROR(__xludf.DUMMYFUNCTION("""COMPUTED_VALUE"""),"-")</f>
        <v>-</v>
      </c>
      <c r="BC53" s="674" t="str">
        <f>IFERROR(__xludf.DUMMYFUNCTION("""COMPUTED_VALUE"""),"-")</f>
        <v>-</v>
      </c>
      <c r="BD53" s="674" t="str">
        <f>IFERROR(__xludf.DUMMYFUNCTION("""COMPUTED_VALUE"""),"-")</f>
        <v>-</v>
      </c>
      <c r="BE53" s="674" t="str">
        <f>IFERROR(__xludf.DUMMYFUNCTION("""COMPUTED_VALUE"""),"#VALUE!")</f>
        <v>#VALUE!</v>
      </c>
      <c r="BF53" s="674">
        <f>IFERROR(__xludf.DUMMYFUNCTION("""COMPUTED_VALUE"""),700.0)</f>
        <v>700</v>
      </c>
      <c r="BG53" s="674" t="str">
        <f>IFERROR(__xludf.DUMMYFUNCTION("""COMPUTED_VALUE"""),"-")</f>
        <v>-</v>
      </c>
      <c r="BH53" s="674" t="str">
        <f>IFERROR(__xludf.DUMMYFUNCTION("""COMPUTED_VALUE"""),"-")</f>
        <v>-</v>
      </c>
      <c r="BI53" s="674" t="str">
        <f>IFERROR(__xludf.DUMMYFUNCTION("""COMPUTED_VALUE"""),"-")</f>
        <v>-</v>
      </c>
      <c r="BJ53" s="673">
        <f>IFERROR(__xludf.DUMMYFUNCTION("""COMPUTED_VALUE"""),0.0)</f>
        <v>0</v>
      </c>
      <c r="BK53" s="673">
        <f>IFERROR(__xludf.DUMMYFUNCTION("""COMPUTED_VALUE"""),0.0)</f>
        <v>0</v>
      </c>
      <c r="BL53" s="673">
        <f>IFERROR(__xludf.DUMMYFUNCTION("""COMPUTED_VALUE"""),0.0)</f>
        <v>0</v>
      </c>
      <c r="BM53" s="674" t="str">
        <f>IFERROR(__xludf.DUMMYFUNCTION("""COMPUTED_VALUE"""),"-")</f>
        <v>-</v>
      </c>
      <c r="BN53" s="674" t="str">
        <f>IFERROR(__xludf.DUMMYFUNCTION("""COMPUTED_VALUE"""),"-")</f>
        <v>-</v>
      </c>
      <c r="BO53" s="674" t="str">
        <f>IFERROR(__xludf.DUMMYFUNCTION("""COMPUTED_VALUE"""),"-")</f>
        <v>-</v>
      </c>
      <c r="BP53" s="674" t="str">
        <f>IFERROR(__xludf.DUMMYFUNCTION("""COMPUTED_VALUE"""),"-")</f>
        <v>-</v>
      </c>
      <c r="BQ53" s="675" t="str">
        <f>IFERROR(__xludf.DUMMYFUNCTION("""COMPUTED_VALUE"""),"※")</f>
        <v>※</v>
      </c>
      <c r="BR53" s="674" t="str">
        <f>IFERROR(__xludf.DUMMYFUNCTION("""COMPUTED_VALUE"""),"-")</f>
        <v>-</v>
      </c>
      <c r="BS53" s="674" t="str">
        <f>IFERROR(__xludf.DUMMYFUNCTION("""COMPUTED_VALUE"""),"-")</f>
        <v>-</v>
      </c>
      <c r="BT53" s="674" t="str">
        <f>IFERROR(__xludf.DUMMYFUNCTION("""COMPUTED_VALUE"""),"-")</f>
        <v>-</v>
      </c>
      <c r="BU53" s="139">
        <f>IFERROR(__xludf.DUMMYFUNCTION("""COMPUTED_VALUE"""),0.0)</f>
        <v>0</v>
      </c>
      <c r="BV53" s="674" t="str">
        <f>IFERROR(__xludf.DUMMYFUNCTION("""COMPUTED_VALUE"""),"-")</f>
        <v>-</v>
      </c>
      <c r="BW53" s="674" t="str">
        <f>IFERROR(__xludf.DUMMYFUNCTION("""COMPUTED_VALUE"""),"-")</f>
        <v>-</v>
      </c>
      <c r="BX53" s="674" t="str">
        <f>IFERROR(__xludf.DUMMYFUNCTION("""COMPUTED_VALUE"""),"-")</f>
        <v>-</v>
      </c>
      <c r="BY53" s="139" t="str">
        <f>IFERROR(__xludf.DUMMYFUNCTION("""COMPUTED_VALUE"""),"-")</f>
        <v>-</v>
      </c>
      <c r="BZ53" s="674" t="str">
        <f>IFERROR(__xludf.DUMMYFUNCTION("""COMPUTED_VALUE"""),"-")</f>
        <v>-</v>
      </c>
      <c r="CA53" s="674" t="str">
        <f>IFERROR(__xludf.DUMMYFUNCTION("""COMPUTED_VALUE"""),"-")</f>
        <v>-</v>
      </c>
      <c r="CB53" s="674" t="str">
        <f>IFERROR(__xludf.DUMMYFUNCTION("""COMPUTED_VALUE"""),"-")</f>
        <v>-</v>
      </c>
      <c r="CC53" s="674" t="str">
        <f>IFERROR(__xludf.DUMMYFUNCTION("""COMPUTED_VALUE"""),"-")</f>
        <v>-</v>
      </c>
      <c r="CD53" s="674" t="str">
        <f>IFERROR(__xludf.DUMMYFUNCTION("""COMPUTED_VALUE"""),"-")</f>
        <v>-</v>
      </c>
      <c r="CE53" s="139" t="str">
        <f>IFERROR(__xludf.DUMMYFUNCTION("""COMPUTED_VALUE"""),"-")</f>
        <v>-</v>
      </c>
      <c r="CF53" s="139" t="str">
        <f>IFERROR(__xludf.DUMMYFUNCTION("""COMPUTED_VALUE"""),"#VALUE!")</f>
        <v>#VALUE!</v>
      </c>
      <c r="CG53" s="139" t="str">
        <f>IFERROR(__xludf.DUMMYFUNCTION("""COMPUTED_VALUE"""),"全体")</f>
        <v>全体</v>
      </c>
      <c r="CH53" s="139" t="str">
        <f>IFERROR(__xludf.DUMMYFUNCTION("""COMPUTED_VALUE"""),"全体")</f>
        <v>全体</v>
      </c>
      <c r="CI53" s="139" t="str">
        <f>IFERROR(__xludf.DUMMYFUNCTION("""COMPUTED_VALUE"""),"-")</f>
        <v>-</v>
      </c>
      <c r="CJ53" s="139" t="str">
        <f>IFERROR(__xludf.DUMMYFUNCTION("""COMPUTED_VALUE"""),"全体")</f>
        <v>全体</v>
      </c>
      <c r="CK53" s="139" t="str">
        <f>IFERROR(__xludf.DUMMYFUNCTION("""COMPUTED_VALUE"""),"味方")</f>
        <v>味方</v>
      </c>
      <c r="CL53" s="139" t="str">
        <f>IFERROR(__xludf.DUMMYFUNCTION("""COMPUTED_VALUE"""),"All")</f>
        <v>All</v>
      </c>
      <c r="CM53" s="139" t="str">
        <f>IFERROR(__xludf.DUMMYFUNCTION("""COMPUTED_VALUE"""),"All")</f>
        <v>All</v>
      </c>
      <c r="CN53" s="675" t="str">
        <f>IFERROR(__xludf.DUMMYFUNCTION("""COMPUTED_VALUE"""),"-")</f>
        <v>-</v>
      </c>
      <c r="CO53" s="675">
        <f>IFERROR(__xludf.DUMMYFUNCTION("""COMPUTED_VALUE"""),7.0)</f>
        <v>7</v>
      </c>
      <c r="CP53" s="674" t="str">
        <f>IFERROR(__xludf.DUMMYFUNCTION("""COMPUTED_VALUE"""),"#REF!")</f>
        <v>#REF!</v>
      </c>
      <c r="CQ53" s="674" t="str">
        <f>IFERROR(__xludf.DUMMYFUNCTION("""COMPUTED_VALUE"""),"#REF!")</f>
        <v>#REF!</v>
      </c>
      <c r="CR53" s="139" t="str">
        <f>IFERROR(__xludf.DUMMYFUNCTION("""COMPUTED_VALUE"""),"SP専用")</f>
        <v>SP専用</v>
      </c>
      <c r="CS53" s="673" t="str">
        <f>IFERROR(__xludf.DUMMYFUNCTION("""COMPUTED_VALUE"""),"総攻撃バフ")</f>
        <v>総攻撃バフ</v>
      </c>
      <c r="CT53" s="139" t="str">
        <f>IFERROR(__xludf.DUMMYFUNCTION("""COMPUTED_VALUE"""),"SP専用")</f>
        <v>SP専用</v>
      </c>
      <c r="CU53" s="139" t="str">
        <f>IFERROR(__xludf.DUMMYFUNCTION("""COMPUTED_VALUE"""),"味方")</f>
        <v>味方</v>
      </c>
      <c r="CV53" s="139" t="str">
        <f>IFERROR(__xludf.DUMMYFUNCTION("""COMPUTED_VALUE"""),"All")</f>
        <v>All</v>
      </c>
      <c r="CW53" s="139" t="str">
        <f>IFERROR(__xludf.DUMMYFUNCTION("""COMPUTED_VALUE"""),"All")</f>
        <v>All</v>
      </c>
      <c r="CX53" s="674">
        <f>IFERROR(__xludf.DUMMYFUNCTION("""COMPUTED_VALUE"""),11.9)</f>
        <v>11.9</v>
      </c>
      <c r="CY53" s="139" t="str">
        <f>IFERROR(__xludf.DUMMYFUNCTION("""COMPUTED_VALUE"""),"-")</f>
        <v>-</v>
      </c>
      <c r="CZ53" s="688" t="str">
        <f>IFERROR(__xludf.DUMMYFUNCTION("""COMPUTED_VALUE"""),"-")</f>
        <v>-</v>
      </c>
      <c r="DA53" s="688">
        <f>IFERROR(__xludf.DUMMYFUNCTION("""COMPUTED_VALUE"""),0.0)</f>
        <v>0</v>
      </c>
      <c r="DB53" s="688">
        <f>IFERROR(__xludf.DUMMYFUNCTION("""COMPUTED_VALUE"""),0.0)</f>
        <v>0</v>
      </c>
      <c r="DC53" s="139" t="str">
        <f>IFERROR(__xludf.DUMMYFUNCTION("""COMPUTED_VALUE"""),"-")</f>
        <v>-</v>
      </c>
      <c r="DD53" s="673" t="str">
        <f>IFERROR(__xludf.DUMMYFUNCTION("""COMPUTED_VALUE"""),"-")</f>
        <v>-</v>
      </c>
      <c r="DE53" s="139" t="str">
        <f>IFERROR(__xludf.DUMMYFUNCTION("""COMPUTED_VALUE"""),"-")</f>
        <v>-</v>
      </c>
      <c r="DF53" s="139" t="str">
        <f>IFERROR(__xludf.DUMMYFUNCTION("""COMPUTED_VALUE"""),"-")</f>
        <v>-</v>
      </c>
      <c r="DG53" s="139" t="str">
        <f>IFERROR(__xludf.DUMMYFUNCTION("""COMPUTED_VALUE"""),"-")</f>
        <v>-</v>
      </c>
      <c r="DH53" s="139" t="str">
        <f>IFERROR(__xludf.DUMMYFUNCTION("""COMPUTED_VALUE"""),"-")</f>
        <v>-</v>
      </c>
      <c r="DI53" s="139" t="str">
        <f>IFERROR(__xludf.DUMMYFUNCTION("""COMPUTED_VALUE"""),"-")</f>
        <v>-</v>
      </c>
      <c r="DJ53" s="139" t="str">
        <f>IFERROR(__xludf.DUMMYFUNCTION("""COMPUTED_VALUE"""),"-")</f>
        <v>-</v>
      </c>
    </row>
    <row r="54">
      <c r="A54" s="139" t="str">
        <f>IFERROR(__xludf.DUMMYFUNCTION("""COMPUTED_VALUE"""),"ダンダダン")</f>
        <v>ダンダダン</v>
      </c>
      <c r="B54" s="139" t="str">
        <f>IFERROR(__xludf.DUMMYFUNCTION("""COMPUTED_VALUE"""),"モモ")</f>
        <v>モモ</v>
      </c>
      <c r="C54" s="139" t="str">
        <f>IFERROR(__xludf.DUMMYFUNCTION("""COMPUTED_VALUE"""),"chara_dan_00101")</f>
        <v>chara_dan_00101</v>
      </c>
      <c r="D54" s="139" t="str">
        <f>IFERROR(__xludf.DUMMYFUNCTION("""COMPUTED_VALUE"""),"PremiumSSR")</f>
        <v>PremiumSSR</v>
      </c>
      <c r="E54" s="139" t="str">
        <f>IFERROR(__xludf.DUMMYFUNCTION("""COMPUTED_VALUE"""),"赤")</f>
        <v>赤</v>
      </c>
      <c r="F54" s="139" t="str">
        <f>IFERROR(__xludf.DUMMYFUNCTION("""COMPUTED_VALUE"""),"アタック")</f>
        <v>アタック</v>
      </c>
      <c r="G54" s="139" t="str">
        <f>IFERROR(__xludf.DUMMYFUNCTION("""COMPUTED_VALUE"""),"中距離")</f>
        <v>中距離</v>
      </c>
      <c r="H54" s="139" t="str">
        <f>IFERROR(__xludf.DUMMYFUNCTION("""COMPUTED_VALUE"""),"dageki_1")</f>
        <v>dageki_1</v>
      </c>
      <c r="I54" s="139" t="str">
        <f>IFERROR(__xludf.DUMMYFUNCTION("""COMPUTED_VALUE"""),"dageki_1")</f>
        <v>dageki_1</v>
      </c>
      <c r="J54" s="139" t="str">
        <f>IFERROR(__xludf.DUMMYFUNCTION("""COMPUTED_VALUE"""),"202509010_リリース")</f>
        <v>202509010_リリース</v>
      </c>
      <c r="K54" s="139" t="str">
        <f>IFERROR(__xludf.DUMMYFUNCTION("""COMPUTED_VALUE"""),"リリース時")</f>
        <v>リリース時</v>
      </c>
      <c r="L54" s="139" t="str">
        <f>IFERROR(__xludf.DUMMYFUNCTION("""COMPUTED_VALUE"""),"※")</f>
        <v>※</v>
      </c>
      <c r="M54" s="674">
        <f>IFERROR(__xludf.DUMMYFUNCTION("""COMPUTED_VALUE"""),330.0)</f>
        <v>330</v>
      </c>
      <c r="N54" s="139">
        <f>IFERROR(__xludf.DUMMYFUNCTION("""COMPUTED_VALUE"""),200.0)</f>
        <v>200</v>
      </c>
      <c r="O54" s="139" t="str">
        <f>IFERROR(__xludf.DUMMYFUNCTION("""COMPUTED_VALUE"""),"低コスト")</f>
        <v>低コスト</v>
      </c>
      <c r="P54" s="139">
        <f>IFERROR(__xludf.DUMMYFUNCTION("""COMPUTED_VALUE"""),100.0)</f>
        <v>100</v>
      </c>
      <c r="Q54" s="675">
        <f>IFERROR(__xludf.DUMMYFUNCTION("""COMPUTED_VALUE"""),20.0)</f>
        <v>20</v>
      </c>
      <c r="R54" s="675">
        <f>IFERROR(__xludf.DUMMYFUNCTION("""COMPUTED_VALUE"""),10.0)</f>
        <v>10</v>
      </c>
      <c r="S54" s="675">
        <f>IFERROR(__xludf.DUMMYFUNCTION("""COMPUTED_VALUE"""),5.75)</f>
        <v>5.75</v>
      </c>
      <c r="T54" s="674">
        <f>IFERROR(__xludf.DUMMYFUNCTION("""COMPUTED_VALUE"""),255.0)</f>
        <v>255</v>
      </c>
      <c r="U54" s="675">
        <f>IFERROR(__xludf.DUMMYFUNCTION("""COMPUTED_VALUE"""),5.06)</f>
        <v>5.06</v>
      </c>
      <c r="V54" s="675">
        <f>IFERROR(__xludf.DUMMYFUNCTION("""COMPUTED_VALUE"""),0.0)</f>
        <v>0</v>
      </c>
      <c r="W54" s="675">
        <f>IFERROR(__xludf.DUMMYFUNCTION("""COMPUTED_VALUE"""),0.0)</f>
        <v>0</v>
      </c>
      <c r="X54" s="675">
        <f>IFERROR(__xludf.DUMMYFUNCTION("""COMPUTED_VALUE"""),0.0)</f>
        <v>0</v>
      </c>
      <c r="Y54" s="674">
        <f>IFERROR(__xludf.DUMMYFUNCTION("""COMPUTED_VALUE"""),120.0)</f>
        <v>120</v>
      </c>
      <c r="Z54" s="675">
        <f>IFERROR(__xludf.DUMMYFUNCTION("""COMPUTED_VALUE"""),2.4149999999999996)</f>
        <v>2.415</v>
      </c>
      <c r="AA54" s="675">
        <f>IFERROR(__xludf.DUMMYFUNCTION("""COMPUTED_VALUE"""),0.0)</f>
        <v>0</v>
      </c>
      <c r="AB54" s="673">
        <f>IFERROR(__xludf.DUMMYFUNCTION("""COMPUTED_VALUE"""),-0.22999999999999998)</f>
        <v>-0.23</v>
      </c>
      <c r="AC54" s="675">
        <f>IFERROR(__xludf.DUMMYFUNCTION("""COMPUTED_VALUE"""),0.0)</f>
        <v>0</v>
      </c>
      <c r="AD54" s="674">
        <f>IFERROR(__xludf.DUMMYFUNCTION("""COMPUTED_VALUE"""),520.0)</f>
        <v>520</v>
      </c>
      <c r="AE54" s="675">
        <f>IFERROR(__xludf.DUMMYFUNCTION("""COMPUTED_VALUE"""),10.426453735570881)</f>
        <v>10.42645374</v>
      </c>
      <c r="AF54" s="675">
        <f>IFERROR(__xludf.DUMMYFUNCTION("""COMPUTED_VALUE"""),0.0)</f>
        <v>0</v>
      </c>
      <c r="AG54" s="675">
        <f>IFERROR(__xludf.DUMMYFUNCTION("""COMPUTED_VALUE"""),2.0852907471141764)</f>
        <v>2.085290747</v>
      </c>
      <c r="AH54" s="675">
        <f>IFERROR(__xludf.DUMMYFUNCTION("""COMPUTED_VALUE"""),0.0)</f>
        <v>0</v>
      </c>
      <c r="AI54" s="139">
        <f>IFERROR(__xludf.DUMMYFUNCTION("""COMPUTED_VALUE"""),18.0)</f>
        <v>18</v>
      </c>
      <c r="AJ54" s="139" t="str">
        <f>IFERROR(__xludf.DUMMYFUNCTION("""COMPUTED_VALUE"""),"-")</f>
        <v>-</v>
      </c>
      <c r="AK54" s="139">
        <f>IFERROR(__xludf.DUMMYFUNCTION("""COMPUTED_VALUE"""),1.0)</f>
        <v>1</v>
      </c>
      <c r="AL54" s="674">
        <f>IFERROR(__xludf.DUMMYFUNCTION("""COMPUTED_VALUE"""),690.0)</f>
        <v>690</v>
      </c>
      <c r="AM54" s="688">
        <f>IFERROR(__xludf.DUMMYFUNCTION("""COMPUTED_VALUE"""),5260.629402304344)</f>
        <v>5260.629402</v>
      </c>
      <c r="AN54" s="675">
        <f>IFERROR(__xludf.DUMMYFUNCTION("""COMPUTED_VALUE"""),4.6)</f>
        <v>4.6</v>
      </c>
      <c r="AO54" s="675">
        <f>IFERROR(__xludf.DUMMYFUNCTION("""COMPUTED_VALUE"""),2.3)</f>
        <v>2.3</v>
      </c>
      <c r="AP54" s="674">
        <f>IFERROR(__xludf.DUMMYFUNCTION("""COMPUTED_VALUE"""),990.0)</f>
        <v>990</v>
      </c>
      <c r="AQ54" s="673">
        <f>IFERROR(__xludf.DUMMYFUNCTION("""COMPUTED_VALUE"""),-0.2)</f>
        <v>-0.2</v>
      </c>
      <c r="AR54" s="673">
        <f>IFERROR(__xludf.DUMMYFUNCTION("""COMPUTED_VALUE"""),0.0)</f>
        <v>0</v>
      </c>
      <c r="AS54" s="673">
        <f>IFERROR(__xludf.DUMMYFUNCTION("""COMPUTED_VALUE"""),-0.1)</f>
        <v>-0.1</v>
      </c>
      <c r="AT54" s="673">
        <f>IFERROR(__xludf.DUMMYFUNCTION("""COMPUTED_VALUE"""),0.0)</f>
        <v>0</v>
      </c>
      <c r="AU54" s="673">
        <f>IFERROR(__xludf.DUMMYFUNCTION("""COMPUTED_VALUE"""),0.0)</f>
        <v>0</v>
      </c>
      <c r="AV54" s="673">
        <f>IFERROR(__xludf.DUMMYFUNCTION("""COMPUTED_VALUE"""),0.0)</f>
        <v>0</v>
      </c>
      <c r="AW54" s="139"/>
      <c r="AX54" s="674">
        <f>IFERROR(__xludf.DUMMYFUNCTION("""COMPUTED_VALUE"""),1040.0)</f>
        <v>1040</v>
      </c>
      <c r="AY54" s="688">
        <f>IFERROR(__xludf.DUMMYFUNCTION("""COMPUTED_VALUE"""),7929.149244052924)</f>
        <v>7929.149244</v>
      </c>
      <c r="AZ54" s="674">
        <f>IFERROR(__xludf.DUMMYFUNCTION("""COMPUTED_VALUE"""),690.0)</f>
        <v>690</v>
      </c>
      <c r="BA54" s="688">
        <f>IFERROR(__xludf.DUMMYFUNCTION("""COMPUTED_VALUE"""),5286.099496035283)</f>
        <v>5286.099496</v>
      </c>
      <c r="BB54" s="688" t="str">
        <f>IFERROR(__xludf.DUMMYFUNCTION("""COMPUTED_VALUE"""),"-")</f>
        <v>-</v>
      </c>
      <c r="BC54" s="688" t="str">
        <f>IFERROR(__xludf.DUMMYFUNCTION("""COMPUTED_VALUE"""),"#VALUE!")</f>
        <v>#VALUE!</v>
      </c>
      <c r="BD54" s="688" t="str">
        <f>IFERROR(__xludf.DUMMYFUNCTION("""COMPUTED_VALUE"""),"#VALUE!")</f>
        <v>#VALUE!</v>
      </c>
      <c r="BE54" s="674">
        <f>IFERROR(__xludf.DUMMYFUNCTION("""COMPUTED_VALUE"""),690.0)</f>
        <v>690</v>
      </c>
      <c r="BF54" s="674">
        <f>IFERROR(__xludf.DUMMYFUNCTION("""COMPUTED_VALUE"""),660.0)</f>
        <v>660</v>
      </c>
      <c r="BG54" s="673">
        <f>IFERROR(__xludf.DUMMYFUNCTION("""COMPUTED_VALUE"""),0.0)</f>
        <v>0</v>
      </c>
      <c r="BH54" s="673">
        <f>IFERROR(__xludf.DUMMYFUNCTION("""COMPUTED_VALUE"""),0.3)</f>
        <v>0.3</v>
      </c>
      <c r="BI54" s="673">
        <f>IFERROR(__xludf.DUMMYFUNCTION("""COMPUTED_VALUE"""),0.1)</f>
        <v>0.1</v>
      </c>
      <c r="BJ54" s="673">
        <f>IFERROR(__xludf.DUMMYFUNCTION("""COMPUTED_VALUE"""),0.0)</f>
        <v>0</v>
      </c>
      <c r="BK54" s="673">
        <f>IFERROR(__xludf.DUMMYFUNCTION("""COMPUTED_VALUE"""),0.0)</f>
        <v>0</v>
      </c>
      <c r="BL54" s="673">
        <f>IFERROR(__xludf.DUMMYFUNCTION("""COMPUTED_VALUE"""),0.0)</f>
        <v>0</v>
      </c>
      <c r="BM54" s="674">
        <f>IFERROR(__xludf.DUMMYFUNCTION("""COMPUTED_VALUE"""),75.0)</f>
        <v>75</v>
      </c>
      <c r="BN54" s="674">
        <f>IFERROR(__xludf.DUMMYFUNCTION("""COMPUTED_VALUE"""),75.0)</f>
        <v>75</v>
      </c>
      <c r="BO54" s="675">
        <f>IFERROR(__xludf.DUMMYFUNCTION("""COMPUTED_VALUE"""),0.0)</f>
        <v>0</v>
      </c>
      <c r="BP54" s="675">
        <f>IFERROR(__xludf.DUMMYFUNCTION("""COMPUTED_VALUE"""),1.5)</f>
        <v>1.5</v>
      </c>
      <c r="BQ54" s="675" t="str">
        <f>IFERROR(__xludf.DUMMYFUNCTION("""COMPUTED_VALUE"""),"※")</f>
        <v>※</v>
      </c>
      <c r="BR54" s="139">
        <f>IFERROR(__xludf.DUMMYFUNCTION("""COMPUTED_VALUE"""),2.0)</f>
        <v>2</v>
      </c>
      <c r="BS54" s="139">
        <f>IFERROR(__xludf.DUMMYFUNCTION("""COMPUTED_VALUE"""),35.0)</f>
        <v>35</v>
      </c>
      <c r="BT54" s="139">
        <f>IFERROR(__xludf.DUMMYFUNCTION("""COMPUTED_VALUE"""),0.39)</f>
        <v>0.39</v>
      </c>
      <c r="BU54" s="139">
        <f>IFERROR(__xludf.DUMMYFUNCTION("""COMPUTED_VALUE"""),0.0)</f>
        <v>0</v>
      </c>
      <c r="BV54" s="139" t="str">
        <f>IFERROR(__xludf.DUMMYFUNCTION("""COMPUTED_VALUE"""),"普通")</f>
        <v>普通</v>
      </c>
      <c r="BW54" s="139" t="str">
        <f>IFERROR(__xludf.DUMMYFUNCTION("""COMPUTED_VALUE"""),"攻撃UPコマ効果UP")</f>
        <v>攻撃UPコマ効果UP</v>
      </c>
      <c r="BX54" s="139">
        <f>IFERROR(__xludf.DUMMYFUNCTION("""COMPUTED_VALUE"""),20.0)</f>
        <v>20</v>
      </c>
      <c r="BY54" s="139">
        <f>IFERROR(__xludf.DUMMYFUNCTION("""COMPUTED_VALUE"""),0.0)</f>
        <v>0</v>
      </c>
      <c r="BZ54" s="139" t="str">
        <f>IFERROR(__xludf.DUMMYFUNCTION("""COMPUTED_VALUE"""),"-")</f>
        <v>-</v>
      </c>
      <c r="CA54" s="139" t="str">
        <f>IFERROR(__xludf.DUMMYFUNCTION("""COMPUTED_VALUE"""),"-")</f>
        <v>-</v>
      </c>
      <c r="CB54" s="139" t="str">
        <f>IFERROR(__xludf.DUMMYFUNCTION("""COMPUTED_VALUE"""),"-")</f>
        <v>-</v>
      </c>
      <c r="CC54" s="139" t="str">
        <f>IFERROR(__xludf.DUMMYFUNCTION("""COMPUTED_VALUE"""),"中距離")</f>
        <v>中距離</v>
      </c>
      <c r="CD54" s="139" t="str">
        <f>IFERROR(__xludf.DUMMYFUNCTION("""COMPUTED_VALUE"""),"範囲(小)")</f>
        <v>範囲(小)</v>
      </c>
      <c r="CE54" s="139">
        <f>IFERROR(__xludf.DUMMYFUNCTION("""COMPUTED_VALUE"""),0.75)</f>
        <v>0.75</v>
      </c>
      <c r="CF54" s="139">
        <f>IFERROR(__xludf.DUMMYFUNCTION("""COMPUTED_VALUE"""),0.5)</f>
        <v>0.5</v>
      </c>
      <c r="CG54" s="139" t="str">
        <f>IFERROR(__xludf.DUMMYFUNCTION("""COMPUTED_VALUE"""),"中距離")</f>
        <v>中距離</v>
      </c>
      <c r="CH54" s="139" t="str">
        <f>IFERROR(__xludf.DUMMYFUNCTION("""COMPUTED_VALUE"""),"範囲(小)")</f>
        <v>範囲(小)</v>
      </c>
      <c r="CI54" s="139">
        <f>IFERROR(__xludf.DUMMYFUNCTION("""COMPUTED_VALUE"""),0.75)</f>
        <v>0.75</v>
      </c>
      <c r="CJ54" s="139">
        <f>IFERROR(__xludf.DUMMYFUNCTION("""COMPUTED_VALUE"""),0.5)</f>
        <v>0.5</v>
      </c>
      <c r="CK54" s="139" t="str">
        <f>IFERROR(__xludf.DUMMYFUNCTION("""COMPUTED_VALUE"""),"敵")</f>
        <v>敵</v>
      </c>
      <c r="CL54" s="139" t="str">
        <f>IFERROR(__xludf.DUMMYFUNCTION("""COMPUTED_VALUE"""),"All")</f>
        <v>All</v>
      </c>
      <c r="CM54" s="139" t="str">
        <f>IFERROR(__xludf.DUMMYFUNCTION("""COMPUTED_VALUE"""),"All")</f>
        <v>All</v>
      </c>
      <c r="CN54" s="675">
        <f>IFERROR(__xludf.DUMMYFUNCTION("""COMPUTED_VALUE"""),10.426453735570881)</f>
        <v>10.42645374</v>
      </c>
      <c r="CO54" s="139" t="str">
        <f>IFERROR(__xludf.DUMMYFUNCTION("""COMPUTED_VALUE"""),"-")</f>
        <v>-</v>
      </c>
      <c r="CP54" s="139" t="str">
        <f>IFERROR(__xludf.DUMMYFUNCTION("""COMPUTED_VALUE"""),"-")</f>
        <v>-</v>
      </c>
      <c r="CQ54" s="139" t="str">
        <f>IFERROR(__xludf.DUMMYFUNCTION("""COMPUTED_VALUE"""),"-")</f>
        <v>-</v>
      </c>
      <c r="CR54" s="139" t="str">
        <f>IFERROR(__xludf.DUMMYFUNCTION("""COMPUTED_VALUE"""),"-")</f>
        <v>-</v>
      </c>
      <c r="CS54" s="673" t="str">
        <f>IFERROR(__xludf.DUMMYFUNCTION("""COMPUTED_VALUE"""),"攻撃(必殺)")</f>
        <v>攻撃(必殺)</v>
      </c>
      <c r="CT54" s="139" t="str">
        <f>IFERROR(__xludf.DUMMYFUNCTION("""COMPUTED_VALUE"""),"-")</f>
        <v>-</v>
      </c>
      <c r="CU54" s="139" t="str">
        <f>IFERROR(__xludf.DUMMYFUNCTION("""COMPUTED_VALUE"""),"敵")</f>
        <v>敵</v>
      </c>
      <c r="CV54" s="139" t="str">
        <f>IFERROR(__xludf.DUMMYFUNCTION("""COMPUTED_VALUE"""),"All")</f>
        <v>All</v>
      </c>
      <c r="CW54" s="139" t="str">
        <f>IFERROR(__xludf.DUMMYFUNCTION("""COMPUTED_VALUE"""),"All")</f>
        <v>All</v>
      </c>
      <c r="CX54" s="674">
        <f>IFERROR(__xludf.DUMMYFUNCTION("""COMPUTED_VALUE"""),135.0)</f>
        <v>135</v>
      </c>
      <c r="CY54" s="139" t="str">
        <f>IFERROR(__xludf.DUMMYFUNCTION("""COMPUTED_VALUE"""),"-")</f>
        <v>-</v>
      </c>
      <c r="CZ54" s="688">
        <f>IFERROR(__xludf.DUMMYFUNCTION("""COMPUTED_VALUE"""),10704.0)</f>
        <v>10704</v>
      </c>
      <c r="DA54" s="688">
        <f>IFERROR(__xludf.DUMMYFUNCTION("""COMPUTED_VALUE"""),1112.0682680924026)</f>
        <v>1112.068268</v>
      </c>
      <c r="DB54" s="688">
        <f>IFERROR(__xludf.DUMMYFUNCTION("""COMPUTED_VALUE"""),5560.341340462013)</f>
        <v>5560.34134</v>
      </c>
      <c r="DC54" s="673" t="str">
        <f>IFERROR(__xludf.DUMMYFUNCTION("""COMPUTED_VALUE"""),"ノックバック")</f>
        <v>ノックバック</v>
      </c>
      <c r="DD54" s="673">
        <f>IFERROR(__xludf.DUMMYFUNCTION("""COMPUTED_VALUE"""),2.0)</f>
        <v>2</v>
      </c>
      <c r="DE54" s="139" t="str">
        <f>IFERROR(__xludf.DUMMYFUNCTION("""COMPUTED_VALUE"""),"-")</f>
        <v>-</v>
      </c>
      <c r="DF54" s="139" t="str">
        <f>IFERROR(__xludf.DUMMYFUNCTION("""COMPUTED_VALUE"""),"-")</f>
        <v>-</v>
      </c>
      <c r="DG54" s="139" t="str">
        <f>IFERROR(__xludf.DUMMYFUNCTION("""COMPUTED_VALUE"""),"-")</f>
        <v>-</v>
      </c>
      <c r="DH54" s="139" t="str">
        <f>IFERROR(__xludf.DUMMYFUNCTION("""COMPUTED_VALUE"""),"-")</f>
        <v>-</v>
      </c>
      <c r="DI54" s="139" t="str">
        <f>IFERROR(__xludf.DUMMYFUNCTION("""COMPUTED_VALUE"""),"-")</f>
        <v>-</v>
      </c>
      <c r="DJ54" s="139" t="str">
        <f>IFERROR(__xludf.DUMMYFUNCTION("""COMPUTED_VALUE"""),"-")</f>
        <v>-</v>
      </c>
    </row>
    <row r="55">
      <c r="A55" s="139" t="str">
        <f>IFERROR(__xludf.DUMMYFUNCTION("""COMPUTED_VALUE"""),"姫様“拷問”の時間です")</f>
        <v>姫様“拷問”の時間です</v>
      </c>
      <c r="B55" s="139" t="str">
        <f>IFERROR(__xludf.DUMMYFUNCTION("""COMPUTED_VALUE"""),"トーチャー・トルチュール")</f>
        <v>トーチャー・トルチュール</v>
      </c>
      <c r="C55" s="139" t="str">
        <f>IFERROR(__xludf.DUMMYFUNCTION("""COMPUTED_VALUE"""),"chara_gom_00101")</f>
        <v>chara_gom_00101</v>
      </c>
      <c r="D55" s="139" t="str">
        <f>IFERROR(__xludf.DUMMYFUNCTION("""COMPUTED_VALUE"""),"PremiumSR")</f>
        <v>PremiumSR</v>
      </c>
      <c r="E55" s="139" t="str">
        <f>IFERROR(__xludf.DUMMYFUNCTION("""COMPUTED_VALUE"""),"黄")</f>
        <v>黄</v>
      </c>
      <c r="F55" s="139" t="str">
        <f>IFERROR(__xludf.DUMMYFUNCTION("""COMPUTED_VALUE"""),"テクニカル")</f>
        <v>テクニカル</v>
      </c>
      <c r="G55" s="139" t="str">
        <f>IFERROR(__xludf.DUMMYFUNCTION("""COMPUTED_VALUE"""),"近距離")</f>
        <v>近距離</v>
      </c>
      <c r="H55" s="139" t="str">
        <f>IFERROR(__xludf.DUMMYFUNCTION("""COMPUTED_VALUE"""),"dageki_2")</f>
        <v>dageki_2</v>
      </c>
      <c r="I55" s="139" t="str">
        <f>IFERROR(__xludf.DUMMYFUNCTION("""COMPUTED_VALUE"""),"dageki_1")</f>
        <v>dageki_1</v>
      </c>
      <c r="J55" s="139" t="str">
        <f>IFERROR(__xludf.DUMMYFUNCTION("""COMPUTED_VALUE"""),"202509010_リリース")</f>
        <v>202509010_リリース</v>
      </c>
      <c r="K55" s="139" t="str">
        <f>IFERROR(__xludf.DUMMYFUNCTION("""COMPUTED_VALUE"""),"リリース時")</f>
        <v>リリース時</v>
      </c>
      <c r="L55" s="139" t="str">
        <f>IFERROR(__xludf.DUMMYFUNCTION("""COMPUTED_VALUE"""),"※")</f>
        <v>※</v>
      </c>
      <c r="M55" s="674">
        <f>IFERROR(__xludf.DUMMYFUNCTION("""COMPUTED_VALUE"""),325.0)</f>
        <v>325</v>
      </c>
      <c r="N55" s="139">
        <f>IFERROR(__xludf.DUMMYFUNCTION("""COMPUTED_VALUE"""),200.0)</f>
        <v>200</v>
      </c>
      <c r="O55" s="139" t="str">
        <f>IFERROR(__xludf.DUMMYFUNCTION("""COMPUTED_VALUE"""),"低コスト")</f>
        <v>低コスト</v>
      </c>
      <c r="P55" s="139">
        <f>IFERROR(__xludf.DUMMYFUNCTION("""COMPUTED_VALUE"""),100.0)</f>
        <v>100</v>
      </c>
      <c r="Q55" s="675">
        <f>IFERROR(__xludf.DUMMYFUNCTION("""COMPUTED_VALUE"""),10.0)</f>
        <v>10</v>
      </c>
      <c r="R55" s="675">
        <f>IFERROR(__xludf.DUMMYFUNCTION("""COMPUTED_VALUE"""),15.0)</f>
        <v>15</v>
      </c>
      <c r="S55" s="675">
        <f>IFERROR(__xludf.DUMMYFUNCTION("""COMPUTED_VALUE"""),5.625)</f>
        <v>5.625</v>
      </c>
      <c r="T55" s="674">
        <f>IFERROR(__xludf.DUMMYFUNCTION("""COMPUTED_VALUE"""),255.0)</f>
        <v>255</v>
      </c>
      <c r="U55" s="675">
        <f>IFERROR(__xludf.DUMMYFUNCTION("""COMPUTED_VALUE"""),5.06)</f>
        <v>5.06</v>
      </c>
      <c r="V55" s="675">
        <f>IFERROR(__xludf.DUMMYFUNCTION("""COMPUTED_VALUE"""),0.0)</f>
        <v>0</v>
      </c>
      <c r="W55" s="675">
        <f>IFERROR(__xludf.DUMMYFUNCTION("""COMPUTED_VALUE"""),0.0)</f>
        <v>0</v>
      </c>
      <c r="X55" s="675">
        <f>IFERROR(__xludf.DUMMYFUNCTION("""COMPUTED_VALUE"""),0.0)</f>
        <v>0</v>
      </c>
      <c r="Y55" s="674">
        <f>IFERROR(__xludf.DUMMYFUNCTION("""COMPUTED_VALUE"""),130.0)</f>
        <v>130</v>
      </c>
      <c r="Z55" s="675">
        <f>IFERROR(__xludf.DUMMYFUNCTION("""COMPUTED_VALUE"""),2.6449999999999996)</f>
        <v>2.645</v>
      </c>
      <c r="AA55" s="675">
        <f>IFERROR(__xludf.DUMMYFUNCTION("""COMPUTED_VALUE"""),0.0)</f>
        <v>0</v>
      </c>
      <c r="AB55" s="673">
        <f>IFERROR(__xludf.DUMMYFUNCTION("""COMPUTED_VALUE"""),0.0)</f>
        <v>0</v>
      </c>
      <c r="AC55" s="675">
        <f>IFERROR(__xludf.DUMMYFUNCTION("""COMPUTED_VALUE"""),0.0)</f>
        <v>0</v>
      </c>
      <c r="AD55" s="674">
        <f>IFERROR(__xludf.DUMMYFUNCTION("""COMPUTED_VALUE"""),860.0)</f>
        <v>860</v>
      </c>
      <c r="AE55" s="675">
        <f>IFERROR(__xludf.DUMMYFUNCTION("""COMPUTED_VALUE"""),17.172930390765366)</f>
        <v>17.17293039</v>
      </c>
      <c r="AF55" s="675">
        <f>IFERROR(__xludf.DUMMYFUNCTION("""COMPUTED_VALUE"""),0.0)</f>
        <v>0</v>
      </c>
      <c r="AG55" s="675">
        <f>IFERROR(__xludf.DUMMYFUNCTION("""COMPUTED_VALUE"""),10.5)</f>
        <v>10.5</v>
      </c>
      <c r="AH55" s="675">
        <f>IFERROR(__xludf.DUMMYFUNCTION("""COMPUTED_VALUE"""),-1.6682325976913412)</f>
        <v>-1.668232598</v>
      </c>
      <c r="AI55" s="675">
        <f>IFERROR(__xludf.DUMMYFUNCTION("""COMPUTED_VALUE"""),7.0)</f>
        <v>7</v>
      </c>
      <c r="AJ55" s="675">
        <f>IFERROR(__xludf.DUMMYFUNCTION("""COMPUTED_VALUE"""),10.172930390765366)</f>
        <v>10.17293039</v>
      </c>
      <c r="AK55" s="139">
        <f>IFERROR(__xludf.DUMMYFUNCTION("""COMPUTED_VALUE"""),1.0)</f>
        <v>1</v>
      </c>
      <c r="AL55" s="674">
        <f>IFERROR(__xludf.DUMMYFUNCTION("""COMPUTED_VALUE"""),690.0)</f>
        <v>690</v>
      </c>
      <c r="AM55" s="688">
        <f>IFERROR(__xludf.DUMMYFUNCTION("""COMPUTED_VALUE"""),5033.629402304344)</f>
        <v>5033.629402</v>
      </c>
      <c r="AN55" s="675">
        <f>IFERROR(__xludf.DUMMYFUNCTION("""COMPUTED_VALUE"""),4.6)</f>
        <v>4.6</v>
      </c>
      <c r="AO55" s="675">
        <f>IFERROR(__xludf.DUMMYFUNCTION("""COMPUTED_VALUE"""),2.3)</f>
        <v>2.3</v>
      </c>
      <c r="AP55" s="674">
        <f>IFERROR(__xludf.DUMMYFUNCTION("""COMPUTED_VALUE"""),980.0)</f>
        <v>980</v>
      </c>
      <c r="AQ55" s="673">
        <f>IFERROR(__xludf.DUMMYFUNCTION("""COMPUTED_VALUE"""),-0.3)</f>
        <v>-0.3</v>
      </c>
      <c r="AR55" s="673">
        <f>IFERROR(__xludf.DUMMYFUNCTION("""COMPUTED_VALUE"""),0.0)</f>
        <v>0</v>
      </c>
      <c r="AS55" s="673">
        <f>IFERROR(__xludf.DUMMYFUNCTION("""COMPUTED_VALUE"""),0.0)</f>
        <v>0</v>
      </c>
      <c r="AT55" s="673">
        <f>IFERROR(__xludf.DUMMYFUNCTION("""COMPUTED_VALUE"""),0.0)</f>
        <v>0</v>
      </c>
      <c r="AU55" s="673">
        <f>IFERROR(__xludf.DUMMYFUNCTION("""COMPUTED_VALUE"""),0.0)</f>
        <v>0</v>
      </c>
      <c r="AV55" s="673">
        <f>IFERROR(__xludf.DUMMYFUNCTION("""COMPUTED_VALUE"""),0.0)</f>
        <v>0</v>
      </c>
      <c r="AW55" s="139"/>
      <c r="AX55" s="674">
        <f>IFERROR(__xludf.DUMMYFUNCTION("""COMPUTED_VALUE"""),720.0)</f>
        <v>720</v>
      </c>
      <c r="AY55" s="688">
        <f>IFERROR(__xludf.DUMMYFUNCTION("""COMPUTED_VALUE"""),5252.220245882794)</f>
        <v>5252.220246</v>
      </c>
      <c r="AZ55" s="674">
        <f>IFERROR(__xludf.DUMMYFUNCTION("""COMPUTED_VALUE"""),720.0)</f>
        <v>720</v>
      </c>
      <c r="BA55" s="688">
        <f>IFERROR(__xludf.DUMMYFUNCTION("""COMPUTED_VALUE"""),5252.220245882794)</f>
        <v>5252.220246</v>
      </c>
      <c r="BB55" s="688" t="str">
        <f>IFERROR(__xludf.DUMMYFUNCTION("""COMPUTED_VALUE"""),"-")</f>
        <v>-</v>
      </c>
      <c r="BC55" s="688" t="str">
        <f>IFERROR(__xludf.DUMMYFUNCTION("""COMPUTED_VALUE"""),"#VALUE!")</f>
        <v>#VALUE!</v>
      </c>
      <c r="BD55" s="688" t="str">
        <f>IFERROR(__xludf.DUMMYFUNCTION("""COMPUTED_VALUE"""),"#VALUE!")</f>
        <v>#VALUE!</v>
      </c>
      <c r="BE55" s="674">
        <f>IFERROR(__xludf.DUMMYFUNCTION("""COMPUTED_VALUE"""),720.0)</f>
        <v>720</v>
      </c>
      <c r="BF55" s="674">
        <f>IFERROR(__xludf.DUMMYFUNCTION("""COMPUTED_VALUE"""),650.0)</f>
        <v>650</v>
      </c>
      <c r="BG55" s="673">
        <f>IFERROR(__xludf.DUMMYFUNCTION("""COMPUTED_VALUE"""),0.0)</f>
        <v>0</v>
      </c>
      <c r="BH55" s="673">
        <f>IFERROR(__xludf.DUMMYFUNCTION("""COMPUTED_VALUE"""),0.1)</f>
        <v>0.1</v>
      </c>
      <c r="BI55" s="673">
        <f>IFERROR(__xludf.DUMMYFUNCTION("""COMPUTED_VALUE"""),0.0)</f>
        <v>0</v>
      </c>
      <c r="BJ55" s="673">
        <f>IFERROR(__xludf.DUMMYFUNCTION("""COMPUTED_VALUE"""),0.0)</f>
        <v>0</v>
      </c>
      <c r="BK55" s="673">
        <f>IFERROR(__xludf.DUMMYFUNCTION("""COMPUTED_VALUE"""),0.0)</f>
        <v>0</v>
      </c>
      <c r="BL55" s="673">
        <f>IFERROR(__xludf.DUMMYFUNCTION("""COMPUTED_VALUE"""),0.0)</f>
        <v>0</v>
      </c>
      <c r="BM55" s="674">
        <f>IFERROR(__xludf.DUMMYFUNCTION("""COMPUTED_VALUE"""),50.0)</f>
        <v>50</v>
      </c>
      <c r="BN55" s="674">
        <f>IFERROR(__xludf.DUMMYFUNCTION("""COMPUTED_VALUE"""),50.0)</f>
        <v>50</v>
      </c>
      <c r="BO55" s="675">
        <f>IFERROR(__xludf.DUMMYFUNCTION("""COMPUTED_VALUE"""),0.0)</f>
        <v>0</v>
      </c>
      <c r="BP55" s="675">
        <f>IFERROR(__xludf.DUMMYFUNCTION("""COMPUTED_VALUE"""),1.0)</f>
        <v>1</v>
      </c>
      <c r="BQ55" s="675" t="str">
        <f>IFERROR(__xludf.DUMMYFUNCTION("""COMPUTED_VALUE"""),"※")</f>
        <v>※</v>
      </c>
      <c r="BR55" s="139">
        <f>IFERROR(__xludf.DUMMYFUNCTION("""COMPUTED_VALUE"""),3.0)</f>
        <v>3</v>
      </c>
      <c r="BS55" s="139">
        <f>IFERROR(__xludf.DUMMYFUNCTION("""COMPUTED_VALUE"""),35.0)</f>
        <v>35</v>
      </c>
      <c r="BT55" s="139">
        <f>IFERROR(__xludf.DUMMYFUNCTION("""COMPUTED_VALUE"""),0.31)</f>
        <v>0.31</v>
      </c>
      <c r="BU55" s="139">
        <f>IFERROR(__xludf.DUMMYFUNCTION("""COMPUTED_VALUE"""),0.0)</f>
        <v>0</v>
      </c>
      <c r="BV55" s="139" t="str">
        <f>IFERROR(__xludf.DUMMYFUNCTION("""COMPUTED_VALUE"""),"普通")</f>
        <v>普通</v>
      </c>
      <c r="BW55" s="139" t="str">
        <f>IFERROR(__xludf.DUMMYFUNCTION("""COMPUTED_VALUE"""),"毒ダメージ軽減")</f>
        <v>毒ダメージ軽減</v>
      </c>
      <c r="BX55" s="139">
        <f>IFERROR(__xludf.DUMMYFUNCTION("""COMPUTED_VALUE"""),5.0)</f>
        <v>5</v>
      </c>
      <c r="BY55" s="139">
        <f>IFERROR(__xludf.DUMMYFUNCTION("""COMPUTED_VALUE"""),2.0)</f>
        <v>2</v>
      </c>
      <c r="BZ55" s="139" t="str">
        <f>IFERROR(__xludf.DUMMYFUNCTION("""COMPUTED_VALUE"""),"-")</f>
        <v>-</v>
      </c>
      <c r="CA55" s="139" t="str">
        <f>IFERROR(__xludf.DUMMYFUNCTION("""COMPUTED_VALUE"""),"-")</f>
        <v>-</v>
      </c>
      <c r="CB55" s="139" t="str">
        <f>IFERROR(__xludf.DUMMYFUNCTION("""COMPUTED_VALUE"""),"-")</f>
        <v>-</v>
      </c>
      <c r="CC55" s="139" t="str">
        <f>IFERROR(__xludf.DUMMYFUNCTION("""COMPUTED_VALUE"""),"近距離")</f>
        <v>近距離</v>
      </c>
      <c r="CD55" s="139" t="str">
        <f>IFERROR(__xludf.DUMMYFUNCTION("""COMPUTED_VALUE"""),"単体")</f>
        <v>単体</v>
      </c>
      <c r="CE55" s="139">
        <f>IFERROR(__xludf.DUMMYFUNCTION("""COMPUTED_VALUE"""),1.0)</f>
        <v>1</v>
      </c>
      <c r="CF55" s="139">
        <f>IFERROR(__xludf.DUMMYFUNCTION("""COMPUTED_VALUE"""),0.32)</f>
        <v>0.32</v>
      </c>
      <c r="CG55" s="139" t="str">
        <f>IFERROR(__xludf.DUMMYFUNCTION("""COMPUTED_VALUE"""),"近距離")</f>
        <v>近距離</v>
      </c>
      <c r="CH55" s="139" t="str">
        <f>IFERROR(__xludf.DUMMYFUNCTION("""COMPUTED_VALUE"""),"単体")</f>
        <v>単体</v>
      </c>
      <c r="CI55" s="139">
        <f>IFERROR(__xludf.DUMMYFUNCTION("""COMPUTED_VALUE"""),1.0)</f>
        <v>1</v>
      </c>
      <c r="CJ55" s="139">
        <f>IFERROR(__xludf.DUMMYFUNCTION("""COMPUTED_VALUE"""),0.32)</f>
        <v>0.32</v>
      </c>
      <c r="CK55" s="139" t="str">
        <f>IFERROR(__xludf.DUMMYFUNCTION("""COMPUTED_VALUE"""),"敵")</f>
        <v>敵</v>
      </c>
      <c r="CL55" s="139" t="str">
        <f>IFERROR(__xludf.DUMMYFUNCTION("""COMPUTED_VALUE"""),"All")</f>
        <v>All</v>
      </c>
      <c r="CM55" s="139" t="str">
        <f>IFERROR(__xludf.DUMMYFUNCTION("""COMPUTED_VALUE"""),"All")</f>
        <v>All</v>
      </c>
      <c r="CN55" s="675">
        <f>IFERROR(__xludf.DUMMYFUNCTION("""COMPUTED_VALUE"""),17.172930390765366)</f>
        <v>17.17293039</v>
      </c>
      <c r="CO55" s="139" t="str">
        <f>IFERROR(__xludf.DUMMYFUNCTION("""COMPUTED_VALUE"""),"-")</f>
        <v>-</v>
      </c>
      <c r="CP55" s="139" t="str">
        <f>IFERROR(__xludf.DUMMYFUNCTION("""COMPUTED_VALUE"""),"-")</f>
        <v>-</v>
      </c>
      <c r="CQ55" s="139" t="str">
        <f>IFERROR(__xludf.DUMMYFUNCTION("""COMPUTED_VALUE"""),"-")</f>
        <v>-</v>
      </c>
      <c r="CR55" s="139" t="str">
        <f>IFERROR(__xludf.DUMMYFUNCTION("""COMPUTED_VALUE"""),"安定型")</f>
        <v>安定型</v>
      </c>
      <c r="CS55" s="673" t="str">
        <f>IFERROR(__xludf.DUMMYFUNCTION("""COMPUTED_VALUE"""),"攻撃力Down")</f>
        <v>攻撃力Down</v>
      </c>
      <c r="CT55" s="139" t="str">
        <f>IFERROR(__xludf.DUMMYFUNCTION("""COMPUTED_VALUE"""),"安定型")</f>
        <v>安定型</v>
      </c>
      <c r="CU55" s="139" t="str">
        <f>IFERROR(__xludf.DUMMYFUNCTION("""COMPUTED_VALUE"""),"敵")</f>
        <v>敵</v>
      </c>
      <c r="CV55" s="139" t="str">
        <f>IFERROR(__xludf.DUMMYFUNCTION("""COMPUTED_VALUE"""),"All")</f>
        <v>All</v>
      </c>
      <c r="CW55" s="139" t="str">
        <f>IFERROR(__xludf.DUMMYFUNCTION("""COMPUTED_VALUE"""),"All")</f>
        <v>All</v>
      </c>
      <c r="CX55" s="674">
        <f>IFERROR(__xludf.DUMMYFUNCTION("""COMPUTED_VALUE"""),14.0)</f>
        <v>14</v>
      </c>
      <c r="CY55" s="675">
        <f>IFERROR(__xludf.DUMMYFUNCTION("""COMPUTED_VALUE"""),7.0)</f>
        <v>7</v>
      </c>
      <c r="CZ55" s="688" t="str">
        <f>IFERROR(__xludf.DUMMYFUNCTION("""COMPUTED_VALUE"""),"-")</f>
        <v>-</v>
      </c>
      <c r="DA55" s="688">
        <f>IFERROR(__xludf.DUMMYFUNCTION("""COMPUTED_VALUE"""),45.80112653549109)</f>
        <v>45.80112654</v>
      </c>
      <c r="DB55" s="688">
        <f>IFERROR(__xludf.DUMMYFUNCTION("""COMPUTED_VALUE"""),0.0)</f>
        <v>0</v>
      </c>
      <c r="DC55" s="139" t="str">
        <f>IFERROR(__xludf.DUMMYFUNCTION("""COMPUTED_VALUE"""),"-")</f>
        <v>-</v>
      </c>
      <c r="DD55" s="673" t="str">
        <f>IFERROR(__xludf.DUMMYFUNCTION("""COMPUTED_VALUE"""),"-")</f>
        <v>-</v>
      </c>
      <c r="DE55" s="139" t="str">
        <f>IFERROR(__xludf.DUMMYFUNCTION("""COMPUTED_VALUE"""),"-")</f>
        <v>-</v>
      </c>
      <c r="DF55" s="139" t="str">
        <f>IFERROR(__xludf.DUMMYFUNCTION("""COMPUTED_VALUE"""),"-")</f>
        <v>-</v>
      </c>
      <c r="DG55" s="139" t="str">
        <f>IFERROR(__xludf.DUMMYFUNCTION("""COMPUTED_VALUE"""),"-")</f>
        <v>-</v>
      </c>
      <c r="DH55" s="139" t="str">
        <f>IFERROR(__xludf.DUMMYFUNCTION("""COMPUTED_VALUE"""),"-")</f>
        <v>-</v>
      </c>
      <c r="DI55" s="139" t="str">
        <f>IFERROR(__xludf.DUMMYFUNCTION("""COMPUTED_VALUE"""),"-")</f>
        <v>-</v>
      </c>
      <c r="DJ55" s="139" t="str">
        <f>IFERROR(__xludf.DUMMYFUNCTION("""COMPUTED_VALUE"""),"-")</f>
        <v>-</v>
      </c>
    </row>
    <row r="56">
      <c r="A56" s="139" t="str">
        <f>IFERROR(__xludf.DUMMYFUNCTION("""COMPUTED_VALUE"""),"ラーメン赤猫")</f>
        <v>ラーメン赤猫</v>
      </c>
      <c r="B56" s="139" t="str">
        <f>IFERROR(__xludf.DUMMYFUNCTION("""COMPUTED_VALUE"""),"文蔵")</f>
        <v>文蔵</v>
      </c>
      <c r="C56" s="139" t="str">
        <f>IFERROR(__xludf.DUMMYFUNCTION("""COMPUTED_VALUE"""),"chara_aka_00101")</f>
        <v>chara_aka_00101</v>
      </c>
      <c r="D56" s="139" t="str">
        <f>IFERROR(__xludf.DUMMYFUNCTION("""COMPUTED_VALUE"""),"PremiumR")</f>
        <v>PremiumR</v>
      </c>
      <c r="E56" s="139" t="str">
        <f>IFERROR(__xludf.DUMMYFUNCTION("""COMPUTED_VALUE"""),"赤")</f>
        <v>赤</v>
      </c>
      <c r="F56" s="139" t="str">
        <f>IFERROR(__xludf.DUMMYFUNCTION("""COMPUTED_VALUE"""),"テクニカル")</f>
        <v>テクニカル</v>
      </c>
      <c r="G56" s="139" t="str">
        <f>IFERROR(__xludf.DUMMYFUNCTION("""COMPUTED_VALUE"""),"近距離")</f>
        <v>近距離</v>
      </c>
      <c r="H56" s="139" t="str">
        <f>IFERROR(__xludf.DUMMYFUNCTION("""COMPUTED_VALUE"""),"dageki_1")</f>
        <v>dageki_1</v>
      </c>
      <c r="I56" s="139" t="str">
        <f>IFERROR(__xludf.DUMMYFUNCTION("""COMPUTED_VALUE"""),"zangeki_1")</f>
        <v>zangeki_1</v>
      </c>
      <c r="J56" s="139" t="str">
        <f>IFERROR(__xludf.DUMMYFUNCTION("""COMPUTED_VALUE"""),"202509010_リリース")</f>
        <v>202509010_リリース</v>
      </c>
      <c r="K56" s="139" t="str">
        <f>IFERROR(__xludf.DUMMYFUNCTION("""COMPUTED_VALUE"""),"リリース時")</f>
        <v>リリース時</v>
      </c>
      <c r="L56" s="139" t="str">
        <f>IFERROR(__xludf.DUMMYFUNCTION("""COMPUTED_VALUE"""),"※")</f>
        <v>※</v>
      </c>
      <c r="M56" s="674">
        <f>IFERROR(__xludf.DUMMYFUNCTION("""COMPUTED_VALUE"""),325.0)</f>
        <v>325</v>
      </c>
      <c r="N56" s="139">
        <f>IFERROR(__xludf.DUMMYFUNCTION("""COMPUTED_VALUE"""),200.0)</f>
        <v>200</v>
      </c>
      <c r="O56" s="139" t="str">
        <f>IFERROR(__xludf.DUMMYFUNCTION("""COMPUTED_VALUE"""),"低コスト")</f>
        <v>低コスト</v>
      </c>
      <c r="P56" s="139">
        <f>IFERROR(__xludf.DUMMYFUNCTION("""COMPUTED_VALUE"""),100.0)</f>
        <v>100</v>
      </c>
      <c r="Q56" s="675">
        <f>IFERROR(__xludf.DUMMYFUNCTION("""COMPUTED_VALUE"""),25.0)</f>
        <v>25</v>
      </c>
      <c r="R56" s="675">
        <f>IFERROR(__xludf.DUMMYFUNCTION("""COMPUTED_VALUE"""),0.0)</f>
        <v>0</v>
      </c>
      <c r="S56" s="675">
        <f>IFERROR(__xludf.DUMMYFUNCTION("""COMPUTED_VALUE"""),5.625)</f>
        <v>5.625</v>
      </c>
      <c r="T56" s="674">
        <f>IFERROR(__xludf.DUMMYFUNCTION("""COMPUTED_VALUE"""),255.0)</f>
        <v>255</v>
      </c>
      <c r="U56" s="675">
        <f>IFERROR(__xludf.DUMMYFUNCTION("""COMPUTED_VALUE"""),5.06)</f>
        <v>5.06</v>
      </c>
      <c r="V56" s="675">
        <f>IFERROR(__xludf.DUMMYFUNCTION("""COMPUTED_VALUE"""),0.0)</f>
        <v>0</v>
      </c>
      <c r="W56" s="675">
        <f>IFERROR(__xludf.DUMMYFUNCTION("""COMPUTED_VALUE"""),0.0)</f>
        <v>0</v>
      </c>
      <c r="X56" s="675">
        <f>IFERROR(__xludf.DUMMYFUNCTION("""COMPUTED_VALUE"""),0.0)</f>
        <v>0</v>
      </c>
      <c r="Y56" s="674">
        <f>IFERROR(__xludf.DUMMYFUNCTION("""COMPUTED_VALUE"""),130.0)</f>
        <v>130</v>
      </c>
      <c r="Z56" s="675">
        <f>IFERROR(__xludf.DUMMYFUNCTION("""COMPUTED_VALUE"""),2.6449999999999996)</f>
        <v>2.645</v>
      </c>
      <c r="AA56" s="675">
        <f>IFERROR(__xludf.DUMMYFUNCTION("""COMPUTED_VALUE"""),0.0)</f>
        <v>0</v>
      </c>
      <c r="AB56" s="673">
        <f>IFERROR(__xludf.DUMMYFUNCTION("""COMPUTED_VALUE"""),0.0)</f>
        <v>0</v>
      </c>
      <c r="AC56" s="675">
        <f>IFERROR(__xludf.DUMMYFUNCTION("""COMPUTED_VALUE"""),0.0)</f>
        <v>0</v>
      </c>
      <c r="AD56" s="674">
        <f>IFERROR(__xludf.DUMMYFUNCTION("""COMPUTED_VALUE"""),640.0)</f>
        <v>640</v>
      </c>
      <c r="AE56" s="675">
        <f>IFERROR(__xludf.DUMMYFUNCTION("""COMPUTED_VALUE"""),12.841162988456706)</f>
        <v>12.84116299</v>
      </c>
      <c r="AF56" s="675">
        <f>IFERROR(__xludf.DUMMYFUNCTION("""COMPUTED_VALUE"""),0.0)</f>
        <v>0</v>
      </c>
      <c r="AG56" s="675">
        <f>IFERROR(__xludf.DUMMYFUNCTION("""COMPUTED_VALUE"""),4.5)</f>
        <v>4.5</v>
      </c>
      <c r="AH56" s="675">
        <f>IFERROR(__xludf.DUMMYFUNCTION("""COMPUTED_VALUE"""),0.0)</f>
        <v>0</v>
      </c>
      <c r="AI56" s="675">
        <f>IFERROR(__xludf.DUMMYFUNCTION("""COMPUTED_VALUE"""),3.0)</f>
        <v>3</v>
      </c>
      <c r="AJ56" s="675">
        <f>IFERROR(__xludf.DUMMYFUNCTION("""COMPUTED_VALUE"""),9.841162988456706)</f>
        <v>9.841162988</v>
      </c>
      <c r="AK56" s="139">
        <f>IFERROR(__xludf.DUMMYFUNCTION("""COMPUTED_VALUE"""),1.0)</f>
        <v>1</v>
      </c>
      <c r="AL56" s="674">
        <f>IFERROR(__xludf.DUMMYFUNCTION("""COMPUTED_VALUE"""),690.0)</f>
        <v>690</v>
      </c>
      <c r="AM56" s="688">
        <f>IFERROR(__xludf.DUMMYFUNCTION("""COMPUTED_VALUE"""),4919.629402304344)</f>
        <v>4919.629402</v>
      </c>
      <c r="AN56" s="675">
        <f>IFERROR(__xludf.DUMMYFUNCTION("""COMPUTED_VALUE"""),4.6)</f>
        <v>4.6</v>
      </c>
      <c r="AO56" s="675">
        <f>IFERROR(__xludf.DUMMYFUNCTION("""COMPUTED_VALUE"""),2.3)</f>
        <v>2.3</v>
      </c>
      <c r="AP56" s="674">
        <f>IFERROR(__xludf.DUMMYFUNCTION("""COMPUTED_VALUE"""),980.0)</f>
        <v>980</v>
      </c>
      <c r="AQ56" s="673">
        <f>IFERROR(__xludf.DUMMYFUNCTION("""COMPUTED_VALUE"""),-0.3)</f>
        <v>-0.3</v>
      </c>
      <c r="AR56" s="673">
        <f>IFERROR(__xludf.DUMMYFUNCTION("""COMPUTED_VALUE"""),0.0)</f>
        <v>0</v>
      </c>
      <c r="AS56" s="673">
        <f>IFERROR(__xludf.DUMMYFUNCTION("""COMPUTED_VALUE"""),0.0)</f>
        <v>0</v>
      </c>
      <c r="AT56" s="673">
        <f>IFERROR(__xludf.DUMMYFUNCTION("""COMPUTED_VALUE"""),0.0)</f>
        <v>0</v>
      </c>
      <c r="AU56" s="673">
        <f>IFERROR(__xludf.DUMMYFUNCTION("""COMPUTED_VALUE"""),0.0)</f>
        <v>0</v>
      </c>
      <c r="AV56" s="673">
        <f>IFERROR(__xludf.DUMMYFUNCTION("""COMPUTED_VALUE"""),0.0)</f>
        <v>0</v>
      </c>
      <c r="AW56" s="139"/>
      <c r="AX56" s="674">
        <f>IFERROR(__xludf.DUMMYFUNCTION("""COMPUTED_VALUE"""),720.0)</f>
        <v>720</v>
      </c>
      <c r="AY56" s="688">
        <f>IFERROR(__xludf.DUMMYFUNCTION("""COMPUTED_VALUE"""),5134.220245882794)</f>
        <v>5134.220246</v>
      </c>
      <c r="AZ56" s="674">
        <f>IFERROR(__xludf.DUMMYFUNCTION("""COMPUTED_VALUE"""),720.0)</f>
        <v>720</v>
      </c>
      <c r="BA56" s="688">
        <f>IFERROR(__xludf.DUMMYFUNCTION("""COMPUTED_VALUE"""),5134.220245882794)</f>
        <v>5134.220246</v>
      </c>
      <c r="BB56" s="688" t="str">
        <f>IFERROR(__xludf.DUMMYFUNCTION("""COMPUTED_VALUE"""),"-")</f>
        <v>-</v>
      </c>
      <c r="BC56" s="688" t="str">
        <f>IFERROR(__xludf.DUMMYFUNCTION("""COMPUTED_VALUE"""),"#VALUE!")</f>
        <v>#VALUE!</v>
      </c>
      <c r="BD56" s="688" t="str">
        <f>IFERROR(__xludf.DUMMYFUNCTION("""COMPUTED_VALUE"""),"#VALUE!")</f>
        <v>#VALUE!</v>
      </c>
      <c r="BE56" s="674">
        <f>IFERROR(__xludf.DUMMYFUNCTION("""COMPUTED_VALUE"""),720.0)</f>
        <v>720</v>
      </c>
      <c r="BF56" s="674">
        <f>IFERROR(__xludf.DUMMYFUNCTION("""COMPUTED_VALUE"""),650.0)</f>
        <v>650</v>
      </c>
      <c r="BG56" s="673">
        <f>IFERROR(__xludf.DUMMYFUNCTION("""COMPUTED_VALUE"""),0.0)</f>
        <v>0</v>
      </c>
      <c r="BH56" s="673">
        <f>IFERROR(__xludf.DUMMYFUNCTION("""COMPUTED_VALUE"""),0.1)</f>
        <v>0.1</v>
      </c>
      <c r="BI56" s="673">
        <f>IFERROR(__xludf.DUMMYFUNCTION("""COMPUTED_VALUE"""),0.0)</f>
        <v>0</v>
      </c>
      <c r="BJ56" s="673">
        <f>IFERROR(__xludf.DUMMYFUNCTION("""COMPUTED_VALUE"""),0.0)</f>
        <v>0</v>
      </c>
      <c r="BK56" s="673">
        <f>IFERROR(__xludf.DUMMYFUNCTION("""COMPUTED_VALUE"""),0.0)</f>
        <v>0</v>
      </c>
      <c r="BL56" s="673">
        <f>IFERROR(__xludf.DUMMYFUNCTION("""COMPUTED_VALUE"""),0.0)</f>
        <v>0</v>
      </c>
      <c r="BM56" s="674">
        <f>IFERROR(__xludf.DUMMYFUNCTION("""COMPUTED_VALUE"""),50.0)</f>
        <v>50</v>
      </c>
      <c r="BN56" s="674">
        <f>IFERROR(__xludf.DUMMYFUNCTION("""COMPUTED_VALUE"""),50.0)</f>
        <v>50</v>
      </c>
      <c r="BO56" s="675">
        <f>IFERROR(__xludf.DUMMYFUNCTION("""COMPUTED_VALUE"""),0.0)</f>
        <v>0</v>
      </c>
      <c r="BP56" s="675">
        <f>IFERROR(__xludf.DUMMYFUNCTION("""COMPUTED_VALUE"""),1.0)</f>
        <v>1</v>
      </c>
      <c r="BQ56" s="675" t="str">
        <f>IFERROR(__xludf.DUMMYFUNCTION("""COMPUTED_VALUE"""),"※")</f>
        <v>※</v>
      </c>
      <c r="BR56" s="139">
        <f>IFERROR(__xludf.DUMMYFUNCTION("""COMPUTED_VALUE"""),3.0)</f>
        <v>3</v>
      </c>
      <c r="BS56" s="139">
        <f>IFERROR(__xludf.DUMMYFUNCTION("""COMPUTED_VALUE"""),30.0)</f>
        <v>30</v>
      </c>
      <c r="BT56" s="139">
        <f>IFERROR(__xludf.DUMMYFUNCTION("""COMPUTED_VALUE"""),0.26)</f>
        <v>0.26</v>
      </c>
      <c r="BU56" s="139">
        <f>IFERROR(__xludf.DUMMYFUNCTION("""COMPUTED_VALUE"""),0.0)</f>
        <v>0</v>
      </c>
      <c r="BV56" s="139" t="str">
        <f>IFERROR(__xludf.DUMMYFUNCTION("""COMPUTED_VALUE"""),"普通")</f>
        <v>普通</v>
      </c>
      <c r="BW56" s="139" t="str">
        <f>IFERROR(__xludf.DUMMYFUNCTION("""COMPUTED_VALUE"""),"-")</f>
        <v>-</v>
      </c>
      <c r="BX56" s="139" t="str">
        <f>IFERROR(__xludf.DUMMYFUNCTION("""COMPUTED_VALUE"""),"-")</f>
        <v>-</v>
      </c>
      <c r="BY56" s="139" t="str">
        <f>IFERROR(__xludf.DUMMYFUNCTION("""COMPUTED_VALUE"""),"-")</f>
        <v>-</v>
      </c>
      <c r="BZ56" s="139" t="str">
        <f>IFERROR(__xludf.DUMMYFUNCTION("""COMPUTED_VALUE"""),"-")</f>
        <v>-</v>
      </c>
      <c r="CA56" s="139" t="str">
        <f>IFERROR(__xludf.DUMMYFUNCTION("""COMPUTED_VALUE"""),"-")</f>
        <v>-</v>
      </c>
      <c r="CB56" s="139" t="str">
        <f>IFERROR(__xludf.DUMMYFUNCTION("""COMPUTED_VALUE"""),"-")</f>
        <v>-</v>
      </c>
      <c r="CC56" s="139" t="str">
        <f>IFERROR(__xludf.DUMMYFUNCTION("""COMPUTED_VALUE"""),"近距離")</f>
        <v>近距離</v>
      </c>
      <c r="CD56" s="139" t="str">
        <f>IFERROR(__xludf.DUMMYFUNCTION("""COMPUTED_VALUE"""),"単体")</f>
        <v>単体</v>
      </c>
      <c r="CE56" s="139">
        <f>IFERROR(__xludf.DUMMYFUNCTION("""COMPUTED_VALUE"""),1.0)</f>
        <v>1</v>
      </c>
      <c r="CF56" s="139">
        <f>IFERROR(__xludf.DUMMYFUNCTION("""COMPUTED_VALUE"""),0.27)</f>
        <v>0.27</v>
      </c>
      <c r="CG56" s="139" t="str">
        <f>IFERROR(__xludf.DUMMYFUNCTION("""COMPUTED_VALUE"""),"近距離")</f>
        <v>近距離</v>
      </c>
      <c r="CH56" s="139" t="str">
        <f>IFERROR(__xludf.DUMMYFUNCTION("""COMPUTED_VALUE"""),"単体")</f>
        <v>単体</v>
      </c>
      <c r="CI56" s="139">
        <f>IFERROR(__xludf.DUMMYFUNCTION("""COMPUTED_VALUE"""),1.0)</f>
        <v>1</v>
      </c>
      <c r="CJ56" s="139">
        <f>IFERROR(__xludf.DUMMYFUNCTION("""COMPUTED_VALUE"""),0.27)</f>
        <v>0.27</v>
      </c>
      <c r="CK56" s="139" t="str">
        <f>IFERROR(__xludf.DUMMYFUNCTION("""COMPUTED_VALUE"""),"敵")</f>
        <v>敵</v>
      </c>
      <c r="CL56" s="139" t="str">
        <f>IFERROR(__xludf.DUMMYFUNCTION("""COMPUTED_VALUE"""),"All")</f>
        <v>All</v>
      </c>
      <c r="CM56" s="139" t="str">
        <f>IFERROR(__xludf.DUMMYFUNCTION("""COMPUTED_VALUE"""),"All")</f>
        <v>All</v>
      </c>
      <c r="CN56" s="675">
        <f>IFERROR(__xludf.DUMMYFUNCTION("""COMPUTED_VALUE"""),12.841162988456706)</f>
        <v>12.84116299</v>
      </c>
      <c r="CO56" s="139" t="str">
        <f>IFERROR(__xludf.DUMMYFUNCTION("""COMPUTED_VALUE"""),"-")</f>
        <v>-</v>
      </c>
      <c r="CP56" s="139" t="str">
        <f>IFERROR(__xludf.DUMMYFUNCTION("""COMPUTED_VALUE"""),"-")</f>
        <v>-</v>
      </c>
      <c r="CQ56" s="139" t="str">
        <f>IFERROR(__xludf.DUMMYFUNCTION("""COMPUTED_VALUE"""),"-")</f>
        <v>-</v>
      </c>
      <c r="CR56" s="139" t="str">
        <f>IFERROR(__xludf.DUMMYFUNCTION("""COMPUTED_VALUE"""),"-")</f>
        <v>-</v>
      </c>
      <c r="CS56" s="673" t="str">
        <f>IFERROR(__xludf.DUMMYFUNCTION("""COMPUTED_VALUE"""),"連続攻撃")</f>
        <v>連続攻撃</v>
      </c>
      <c r="CT56" s="139" t="str">
        <f>IFERROR(__xludf.DUMMYFUNCTION("""COMPUTED_VALUE"""),"-")</f>
        <v>-</v>
      </c>
      <c r="CU56" s="139" t="str">
        <f>IFERROR(__xludf.DUMMYFUNCTION("""COMPUTED_VALUE"""),"敵")</f>
        <v>敵</v>
      </c>
      <c r="CV56" s="139" t="str">
        <f>IFERROR(__xludf.DUMMYFUNCTION("""COMPUTED_VALUE"""),"All")</f>
        <v>All</v>
      </c>
      <c r="CW56" s="139" t="str">
        <f>IFERROR(__xludf.DUMMYFUNCTION("""COMPUTED_VALUE"""),"All")</f>
        <v>All</v>
      </c>
      <c r="CX56" s="674">
        <f>IFERROR(__xludf.DUMMYFUNCTION("""COMPUTED_VALUE"""),178.0)</f>
        <v>178</v>
      </c>
      <c r="CY56" s="139" t="str">
        <f>IFERROR(__xludf.DUMMYFUNCTION("""COMPUTED_VALUE"""),"-")</f>
        <v>-</v>
      </c>
      <c r="CZ56" s="688">
        <f>IFERROR(__xludf.DUMMYFUNCTION("""COMPUTED_VALUE"""),9139.0)</f>
        <v>9139</v>
      </c>
      <c r="DA56" s="688">
        <f>IFERROR(__xludf.DUMMYFUNCTION("""COMPUTED_VALUE"""),773.0798887789784)</f>
        <v>773.0798888</v>
      </c>
      <c r="DB56" s="688">
        <f>IFERROR(__xludf.DUMMYFUNCTION("""COMPUTED_VALUE"""),0.0)</f>
        <v>0</v>
      </c>
      <c r="DC56" s="673" t="str">
        <f>IFERROR(__xludf.DUMMYFUNCTION("""COMPUTED_VALUE"""),"火傷")</f>
        <v>火傷</v>
      </c>
      <c r="DD56" s="673">
        <f>IFERROR(__xludf.DUMMYFUNCTION("""COMPUTED_VALUE"""),6500.0)</f>
        <v>6500</v>
      </c>
      <c r="DE56" s="139">
        <f>IFERROR(__xludf.DUMMYFUNCTION("""COMPUTED_VALUE"""),3.0)</f>
        <v>3</v>
      </c>
      <c r="DF56" s="139" t="str">
        <f>IFERROR(__xludf.DUMMYFUNCTION("""COMPUTED_VALUE"""),"-")</f>
        <v>-</v>
      </c>
      <c r="DG56" s="139" t="str">
        <f>IFERROR(__xludf.DUMMYFUNCTION("""COMPUTED_VALUE"""),"-")</f>
        <v>-</v>
      </c>
      <c r="DH56" s="139" t="str">
        <f>IFERROR(__xludf.DUMMYFUNCTION("""COMPUTED_VALUE"""),"-")</f>
        <v>-</v>
      </c>
      <c r="DI56" s="139" t="str">
        <f>IFERROR(__xludf.DUMMYFUNCTION("""COMPUTED_VALUE"""),"-")</f>
        <v>-</v>
      </c>
      <c r="DJ56" s="139" t="str">
        <f>IFERROR(__xludf.DUMMYFUNCTION("""COMPUTED_VALUE"""),"-")</f>
        <v>-</v>
      </c>
    </row>
    <row r="57">
      <c r="A57" s="139" t="str">
        <f>IFERROR(__xludf.DUMMYFUNCTION("""COMPUTED_VALUE"""),"地獄楽")</f>
        <v>地獄楽</v>
      </c>
      <c r="B57" s="139" t="str">
        <f>IFERROR(__xludf.DUMMYFUNCTION("""COMPUTED_VALUE"""),"山田浅ェ門 仙汰")</f>
        <v>山田浅ェ門 仙汰</v>
      </c>
      <c r="C57" s="139" t="str">
        <f>IFERROR(__xludf.DUMMYFUNCTION("""COMPUTED_VALUE"""),"chara_jig_00301")</f>
        <v>chara_jig_00301</v>
      </c>
      <c r="D57" s="139" t="str">
        <f>IFERROR(__xludf.DUMMYFUNCTION("""COMPUTED_VALUE"""),"PremiumSR")</f>
        <v>PremiumSR</v>
      </c>
      <c r="E57" s="139" t="str">
        <f>IFERROR(__xludf.DUMMYFUNCTION("""COMPUTED_VALUE"""),"緑")</f>
        <v>緑</v>
      </c>
      <c r="F57" s="139" t="str">
        <f>IFERROR(__xludf.DUMMYFUNCTION("""COMPUTED_VALUE"""),"ディフェンス")</f>
        <v>ディフェンス</v>
      </c>
      <c r="G57" s="139" t="str">
        <f>IFERROR(__xludf.DUMMYFUNCTION("""COMPUTED_VALUE"""),"近距離")</f>
        <v>近距離</v>
      </c>
      <c r="H57" s="139" t="str">
        <f>IFERROR(__xludf.DUMMYFUNCTION("""COMPUTED_VALUE"""),"zangeki_1")</f>
        <v>zangeki_1</v>
      </c>
      <c r="I57" s="139" t="str">
        <f>IFERROR(__xludf.DUMMYFUNCTION("""COMPUTED_VALUE"""),"zangeki_1")</f>
        <v>zangeki_1</v>
      </c>
      <c r="J57" s="139" t="str">
        <f>IFERROR(__xludf.DUMMYFUNCTION("""COMPUTED_VALUE"""),"202509010_リリース")</f>
        <v>202509010_リリース</v>
      </c>
      <c r="K57" s="139" t="str">
        <f>IFERROR(__xludf.DUMMYFUNCTION("""COMPUTED_VALUE"""),"リリース時")</f>
        <v>リリース時</v>
      </c>
      <c r="L57" s="139" t="str">
        <f>IFERROR(__xludf.DUMMYFUNCTION("""COMPUTED_VALUE"""),"※")</f>
        <v>※</v>
      </c>
      <c r="M57" s="674">
        <f>IFERROR(__xludf.DUMMYFUNCTION("""COMPUTED_VALUE"""),320.0)</f>
        <v>320</v>
      </c>
      <c r="N57" s="139">
        <f>IFERROR(__xludf.DUMMYFUNCTION("""COMPUTED_VALUE"""),200.0)</f>
        <v>200</v>
      </c>
      <c r="O57" s="139" t="str">
        <f>IFERROR(__xludf.DUMMYFUNCTION("""COMPUTED_VALUE"""),"低コスト")</f>
        <v>低コスト</v>
      </c>
      <c r="P57" s="139">
        <f>IFERROR(__xludf.DUMMYFUNCTION("""COMPUTED_VALUE"""),100.0)</f>
        <v>100</v>
      </c>
      <c r="Q57" s="675">
        <f>IFERROR(__xludf.DUMMYFUNCTION("""COMPUTED_VALUE"""),5.0)</f>
        <v>5</v>
      </c>
      <c r="R57" s="675">
        <f>IFERROR(__xludf.DUMMYFUNCTION("""COMPUTED_VALUE"""),15.0)</f>
        <v>15</v>
      </c>
      <c r="S57" s="675">
        <f>IFERROR(__xludf.DUMMYFUNCTION("""COMPUTED_VALUE"""),5.5)</f>
        <v>5.5</v>
      </c>
      <c r="T57" s="674">
        <f>IFERROR(__xludf.DUMMYFUNCTION("""COMPUTED_VALUE"""),705.0)</f>
        <v>705</v>
      </c>
      <c r="U57" s="675">
        <f>IFERROR(__xludf.DUMMYFUNCTION("""COMPUTED_VALUE"""),14.080000000000002)</f>
        <v>14.08</v>
      </c>
      <c r="V57" s="675">
        <f>IFERROR(__xludf.DUMMYFUNCTION("""COMPUTED_VALUE"""),0.0)</f>
        <v>0</v>
      </c>
      <c r="W57" s="675">
        <f>IFERROR(__xludf.DUMMYFUNCTION("""COMPUTED_VALUE"""),0.0)</f>
        <v>0</v>
      </c>
      <c r="X57" s="675">
        <f>IFERROR(__xludf.DUMMYFUNCTION("""COMPUTED_VALUE"""),0.0)</f>
        <v>0</v>
      </c>
      <c r="Y57" s="674">
        <f>IFERROR(__xludf.DUMMYFUNCTION("""COMPUTED_VALUE"""),370.0)</f>
        <v>370</v>
      </c>
      <c r="Z57" s="675">
        <f>IFERROR(__xludf.DUMMYFUNCTION("""COMPUTED_VALUE"""),7.359999999999999)</f>
        <v>7.36</v>
      </c>
      <c r="AA57" s="675">
        <f>IFERROR(__xludf.DUMMYFUNCTION("""COMPUTED_VALUE"""),0.0)</f>
        <v>0</v>
      </c>
      <c r="AB57" s="673">
        <f>IFERROR(__xludf.DUMMYFUNCTION("""COMPUTED_VALUE"""),0.0)</f>
        <v>0</v>
      </c>
      <c r="AC57" s="675">
        <f>IFERROR(__xludf.DUMMYFUNCTION("""COMPUTED_VALUE"""),0.0)</f>
        <v>0</v>
      </c>
      <c r="AD57" s="674">
        <f>IFERROR(__xludf.DUMMYFUNCTION("""COMPUTED_VALUE"""),940.0)</f>
        <v>940</v>
      </c>
      <c r="AE57" s="675">
        <f>IFERROR(__xludf.DUMMYFUNCTION("""COMPUTED_VALUE"""),18.783929301400175)</f>
        <v>18.7839293</v>
      </c>
      <c r="AF57" s="675">
        <f>IFERROR(__xludf.DUMMYFUNCTION("""COMPUTED_VALUE"""),0.0)</f>
        <v>0</v>
      </c>
      <c r="AG57" s="675">
        <f>IFERROR(__xludf.DUMMYFUNCTION("""COMPUTED_VALUE"""),6.261309767133391)</f>
        <v>6.261309767</v>
      </c>
      <c r="AH57" s="675">
        <f>IFERROR(__xludf.DUMMYFUNCTION("""COMPUTED_VALUE"""),-1.391402170474087)</f>
        <v>-1.39140217</v>
      </c>
      <c r="AI57" s="139" t="str">
        <f>IFERROR(__xludf.DUMMYFUNCTION("""COMPUTED_VALUE"""),"-")</f>
        <v>-</v>
      </c>
      <c r="AJ57" s="139" t="str">
        <f>IFERROR(__xludf.DUMMYFUNCTION("""COMPUTED_VALUE"""),"-")</f>
        <v>-</v>
      </c>
      <c r="AK57" s="139">
        <f>IFERROR(__xludf.DUMMYFUNCTION("""COMPUTED_VALUE"""),1.0)</f>
        <v>1</v>
      </c>
      <c r="AL57" s="674">
        <f>IFERROR(__xludf.DUMMYFUNCTION("""COMPUTED_VALUE"""),1920.0)</f>
        <v>1920</v>
      </c>
      <c r="AM57" s="688">
        <f>IFERROR(__xludf.DUMMYFUNCTION("""COMPUTED_VALUE"""),14009.413989020784)</f>
        <v>14009.41399</v>
      </c>
      <c r="AN57" s="675">
        <f>IFERROR(__xludf.DUMMYFUNCTION("""COMPUTED_VALUE"""),12.8)</f>
        <v>12.8</v>
      </c>
      <c r="AO57" s="675">
        <f>IFERROR(__xludf.DUMMYFUNCTION("""COMPUTED_VALUE"""),6.4)</f>
        <v>6.4</v>
      </c>
      <c r="AP57" s="674">
        <f>IFERROR(__xludf.DUMMYFUNCTION("""COMPUTED_VALUE"""),960.0)</f>
        <v>960</v>
      </c>
      <c r="AQ57" s="673">
        <f>IFERROR(__xludf.DUMMYFUNCTION("""COMPUTED_VALUE"""),0.9)</f>
        <v>0.9</v>
      </c>
      <c r="AR57" s="673">
        <f>IFERROR(__xludf.DUMMYFUNCTION("""COMPUTED_VALUE"""),0.0)</f>
        <v>0</v>
      </c>
      <c r="AS57" s="673">
        <f>IFERROR(__xludf.DUMMYFUNCTION("""COMPUTED_VALUE"""),0.0)</f>
        <v>0</v>
      </c>
      <c r="AT57" s="673">
        <f>IFERROR(__xludf.DUMMYFUNCTION("""COMPUTED_VALUE"""),0.0)</f>
        <v>0</v>
      </c>
      <c r="AU57" s="673">
        <f>IFERROR(__xludf.DUMMYFUNCTION("""COMPUTED_VALUE"""),0.1)</f>
        <v>0.1</v>
      </c>
      <c r="AV57" s="673">
        <f>IFERROR(__xludf.DUMMYFUNCTION("""COMPUTED_VALUE"""),0.0)</f>
        <v>0</v>
      </c>
      <c r="AW57" s="139"/>
      <c r="AX57" s="674">
        <f>IFERROR(__xludf.DUMMYFUNCTION("""COMPUTED_VALUE"""),610.0)</f>
        <v>610</v>
      </c>
      <c r="AY57" s="688">
        <f>IFERROR(__xludf.DUMMYFUNCTION("""COMPUTED_VALUE"""),4449.107152761811)</f>
        <v>4449.107153</v>
      </c>
      <c r="AZ57" s="674">
        <f>IFERROR(__xludf.DUMMYFUNCTION("""COMPUTED_VALUE"""),320.0)</f>
        <v>320</v>
      </c>
      <c r="BA57" s="688">
        <f>IFERROR(__xludf.DUMMYFUNCTION("""COMPUTED_VALUE"""),2341.635343558848)</f>
        <v>2341.635344</v>
      </c>
      <c r="BB57" s="688" t="str">
        <f>IFERROR(__xludf.DUMMYFUNCTION("""COMPUTED_VALUE"""),"-")</f>
        <v>-</v>
      </c>
      <c r="BC57" s="688" t="str">
        <f>IFERROR(__xludf.DUMMYFUNCTION("""COMPUTED_VALUE"""),"#VALUE!")</f>
        <v>#VALUE!</v>
      </c>
      <c r="BD57" s="688" t="str">
        <f>IFERROR(__xludf.DUMMYFUNCTION("""COMPUTED_VALUE"""),"#VALUE!")</f>
        <v>#VALUE!</v>
      </c>
      <c r="BE57" s="674">
        <f>IFERROR(__xludf.DUMMYFUNCTION("""COMPUTED_VALUE"""),320.0)</f>
        <v>320</v>
      </c>
      <c r="BF57" s="674">
        <f>IFERROR(__xludf.DUMMYFUNCTION("""COMPUTED_VALUE"""),640.0)</f>
        <v>640</v>
      </c>
      <c r="BG57" s="673">
        <f>IFERROR(__xludf.DUMMYFUNCTION("""COMPUTED_VALUE"""),0.0)</f>
        <v>0</v>
      </c>
      <c r="BH57" s="673">
        <f>IFERROR(__xludf.DUMMYFUNCTION("""COMPUTED_VALUE"""),-0.5)</f>
        <v>-0.5</v>
      </c>
      <c r="BI57" s="673">
        <f>IFERROR(__xludf.DUMMYFUNCTION("""COMPUTED_VALUE"""),0.0)</f>
        <v>0</v>
      </c>
      <c r="BJ57" s="673">
        <f>IFERROR(__xludf.DUMMYFUNCTION("""COMPUTED_VALUE"""),0.0)</f>
        <v>0</v>
      </c>
      <c r="BK57" s="673">
        <f>IFERROR(__xludf.DUMMYFUNCTION("""COMPUTED_VALUE"""),0.0)</f>
        <v>0</v>
      </c>
      <c r="BL57" s="673">
        <f>IFERROR(__xludf.DUMMYFUNCTION("""COMPUTED_VALUE"""),0.0)</f>
        <v>0</v>
      </c>
      <c r="BM57" s="674">
        <f>IFERROR(__xludf.DUMMYFUNCTION("""COMPUTED_VALUE"""),95.0)</f>
        <v>95</v>
      </c>
      <c r="BN57" s="674">
        <f>IFERROR(__xludf.DUMMYFUNCTION("""COMPUTED_VALUE"""),100.0)</f>
        <v>100</v>
      </c>
      <c r="BO57" s="675">
        <f>IFERROR(__xludf.DUMMYFUNCTION("""COMPUTED_VALUE"""),-5.0)</f>
        <v>-5</v>
      </c>
      <c r="BP57" s="675">
        <f>IFERROR(__xludf.DUMMYFUNCTION("""COMPUTED_VALUE"""),1.9)</f>
        <v>1.9</v>
      </c>
      <c r="BQ57" s="675" t="str">
        <f>IFERROR(__xludf.DUMMYFUNCTION("""COMPUTED_VALUE"""),"※")</f>
        <v>※</v>
      </c>
      <c r="BR57" s="139">
        <f>IFERROR(__xludf.DUMMYFUNCTION("""COMPUTED_VALUE"""),1.0)</f>
        <v>1</v>
      </c>
      <c r="BS57" s="139">
        <f>IFERROR(__xludf.DUMMYFUNCTION("""COMPUTED_VALUE"""),30.0)</f>
        <v>30</v>
      </c>
      <c r="BT57" s="139">
        <f>IFERROR(__xludf.DUMMYFUNCTION("""COMPUTED_VALUE"""),0.21)</f>
        <v>0.21</v>
      </c>
      <c r="BU57" s="139">
        <f>IFERROR(__xludf.DUMMYFUNCTION("""COMPUTED_VALUE"""),0.0)</f>
        <v>0</v>
      </c>
      <c r="BV57" s="139" t="str">
        <f>IFERROR(__xludf.DUMMYFUNCTION("""COMPUTED_VALUE"""),"普通")</f>
        <v>普通</v>
      </c>
      <c r="BW57" s="139" t="str">
        <f>IFERROR(__xludf.DUMMYFUNCTION("""COMPUTED_VALUE"""),"毒ダメージ軽減")</f>
        <v>毒ダメージ軽減</v>
      </c>
      <c r="BX57" s="139">
        <f>IFERROR(__xludf.DUMMYFUNCTION("""COMPUTED_VALUE"""),10.0)</f>
        <v>10</v>
      </c>
      <c r="BY57" s="139">
        <f>IFERROR(__xludf.DUMMYFUNCTION("""COMPUTED_VALUE"""),2.0)</f>
        <v>2</v>
      </c>
      <c r="BZ57" s="139" t="str">
        <f>IFERROR(__xludf.DUMMYFUNCTION("""COMPUTED_VALUE"""),"-")</f>
        <v>-</v>
      </c>
      <c r="CA57" s="139" t="str">
        <f>IFERROR(__xludf.DUMMYFUNCTION("""COMPUTED_VALUE"""),"-")</f>
        <v>-</v>
      </c>
      <c r="CB57" s="139" t="str">
        <f>IFERROR(__xludf.DUMMYFUNCTION("""COMPUTED_VALUE"""),"-")</f>
        <v>-</v>
      </c>
      <c r="CC57" s="139" t="str">
        <f>IFERROR(__xludf.DUMMYFUNCTION("""COMPUTED_VALUE"""),"近距離")</f>
        <v>近距離</v>
      </c>
      <c r="CD57" s="139" t="str">
        <f>IFERROR(__xludf.DUMMYFUNCTION("""COMPUTED_VALUE"""),"単体")</f>
        <v>単体</v>
      </c>
      <c r="CE57" s="139">
        <f>IFERROR(__xludf.DUMMYFUNCTION("""COMPUTED_VALUE"""),1.0)</f>
        <v>1</v>
      </c>
      <c r="CF57" s="139">
        <f>IFERROR(__xludf.DUMMYFUNCTION("""COMPUTED_VALUE"""),0.22)</f>
        <v>0.22</v>
      </c>
      <c r="CG57" s="139" t="str">
        <f>IFERROR(__xludf.DUMMYFUNCTION("""COMPUTED_VALUE"""),"近距離")</f>
        <v>近距離</v>
      </c>
      <c r="CH57" s="139" t="str">
        <f>IFERROR(__xludf.DUMMYFUNCTION("""COMPUTED_VALUE"""),"単体")</f>
        <v>単体</v>
      </c>
      <c r="CI57" s="139">
        <f>IFERROR(__xludf.DUMMYFUNCTION("""COMPUTED_VALUE"""),1.0)</f>
        <v>1</v>
      </c>
      <c r="CJ57" s="139">
        <f>IFERROR(__xludf.DUMMYFUNCTION("""COMPUTED_VALUE"""),0.22)</f>
        <v>0.22</v>
      </c>
      <c r="CK57" s="139" t="str">
        <f>IFERROR(__xludf.DUMMYFUNCTION("""COMPUTED_VALUE"""),"敵")</f>
        <v>敵</v>
      </c>
      <c r="CL57" s="139" t="str">
        <f>IFERROR(__xludf.DUMMYFUNCTION("""COMPUTED_VALUE"""),"All")</f>
        <v>All</v>
      </c>
      <c r="CM57" s="139" t="str">
        <f>IFERROR(__xludf.DUMMYFUNCTION("""COMPUTED_VALUE"""),"All")</f>
        <v>All</v>
      </c>
      <c r="CN57" s="675">
        <f>IFERROR(__xludf.DUMMYFUNCTION("""COMPUTED_VALUE"""),18.783929301400175)</f>
        <v>18.7839293</v>
      </c>
      <c r="CO57" s="139" t="str">
        <f>IFERROR(__xludf.DUMMYFUNCTION("""COMPUTED_VALUE"""),"-")</f>
        <v>-</v>
      </c>
      <c r="CP57" s="139" t="str">
        <f>IFERROR(__xludf.DUMMYFUNCTION("""COMPUTED_VALUE"""),"-")</f>
        <v>-</v>
      </c>
      <c r="CQ57" s="139" t="str">
        <f>IFERROR(__xludf.DUMMYFUNCTION("""COMPUTED_VALUE"""),"-")</f>
        <v>-</v>
      </c>
      <c r="CR57" s="139" t="str">
        <f>IFERROR(__xludf.DUMMYFUNCTION("""COMPUTED_VALUE"""),"-")</f>
        <v>-</v>
      </c>
      <c r="CS57" s="673" t="str">
        <f>IFERROR(__xludf.DUMMYFUNCTION("""COMPUTED_VALUE"""),"連続攻撃")</f>
        <v>連続攻撃</v>
      </c>
      <c r="CT57" s="139" t="str">
        <f>IFERROR(__xludf.DUMMYFUNCTION("""COMPUTED_VALUE"""),"-")</f>
        <v>-</v>
      </c>
      <c r="CU57" s="139" t="str">
        <f>IFERROR(__xludf.DUMMYFUNCTION("""COMPUTED_VALUE"""),"敵")</f>
        <v>敵</v>
      </c>
      <c r="CV57" s="139" t="str">
        <f>IFERROR(__xludf.DUMMYFUNCTION("""COMPUTED_VALUE"""),"All")</f>
        <v>All</v>
      </c>
      <c r="CW57" s="139" t="str">
        <f>IFERROR(__xludf.DUMMYFUNCTION("""COMPUTED_VALUE"""),"All")</f>
        <v>All</v>
      </c>
      <c r="CX57" s="674">
        <f>IFERROR(__xludf.DUMMYFUNCTION("""COMPUTED_VALUE"""),180.0)</f>
        <v>180</v>
      </c>
      <c r="CY57" s="139" t="str">
        <f>IFERROR(__xludf.DUMMYFUNCTION("""COMPUTED_VALUE"""),"-")</f>
        <v>-</v>
      </c>
      <c r="CZ57" s="688">
        <f>IFERROR(__xludf.DUMMYFUNCTION("""COMPUTED_VALUE"""),8008.0)</f>
        <v>8008</v>
      </c>
      <c r="DA57" s="688">
        <f>IFERROR(__xludf.DUMMYFUNCTION("""COMPUTED_VALUE"""),453.92871864866834)</f>
        <v>453.9287186</v>
      </c>
      <c r="DB57" s="688">
        <f>IFERROR(__xludf.DUMMYFUNCTION("""COMPUTED_VALUE"""),0.0)</f>
        <v>0</v>
      </c>
      <c r="DC57" s="139" t="str">
        <f>IFERROR(__xludf.DUMMYFUNCTION("""COMPUTED_VALUE"""),"-")</f>
        <v>-</v>
      </c>
      <c r="DD57" s="673" t="str">
        <f>IFERROR(__xludf.DUMMYFUNCTION("""COMPUTED_VALUE"""),"-")</f>
        <v>-</v>
      </c>
      <c r="DE57" s="139" t="str">
        <f>IFERROR(__xludf.DUMMYFUNCTION("""COMPUTED_VALUE"""),"-")</f>
        <v>-</v>
      </c>
      <c r="DF57" s="139" t="str">
        <f>IFERROR(__xludf.DUMMYFUNCTION("""COMPUTED_VALUE"""),"-")</f>
        <v>-</v>
      </c>
      <c r="DG57" s="139" t="str">
        <f>IFERROR(__xludf.DUMMYFUNCTION("""COMPUTED_VALUE"""),"-")</f>
        <v>-</v>
      </c>
      <c r="DH57" s="139" t="str">
        <f>IFERROR(__xludf.DUMMYFUNCTION("""COMPUTED_VALUE"""),"-")</f>
        <v>-</v>
      </c>
      <c r="DI57" s="139" t="str">
        <f>IFERROR(__xludf.DUMMYFUNCTION("""COMPUTED_VALUE"""),"-")</f>
        <v>-</v>
      </c>
      <c r="DJ57" s="139" t="str">
        <f>IFERROR(__xludf.DUMMYFUNCTION("""COMPUTED_VALUE"""),"-")</f>
        <v>-</v>
      </c>
    </row>
    <row r="58">
      <c r="A58" s="139" t="str">
        <f>IFERROR(__xludf.DUMMYFUNCTION("""COMPUTED_VALUE"""),"魔都精兵のスレイブ")</f>
        <v>魔都精兵のスレイブ</v>
      </c>
      <c r="B58" s="139" t="str">
        <f>IFERROR(__xludf.DUMMYFUNCTION("""COMPUTED_VALUE"""),"東 日万凛")</f>
        <v>東 日万凛</v>
      </c>
      <c r="C58" s="139" t="str">
        <f>IFERROR(__xludf.DUMMYFUNCTION("""COMPUTED_VALUE"""),"chara_sur_00201")</f>
        <v>chara_sur_00201</v>
      </c>
      <c r="D58" s="139" t="str">
        <f>IFERROR(__xludf.DUMMYFUNCTION("""COMPUTED_VALUE"""),"PremiumSR")</f>
        <v>PremiumSR</v>
      </c>
      <c r="E58" s="139" t="str">
        <f>IFERROR(__xludf.DUMMYFUNCTION("""COMPUTED_VALUE"""),"青")</f>
        <v>青</v>
      </c>
      <c r="F58" s="139" t="str">
        <f>IFERROR(__xludf.DUMMYFUNCTION("""COMPUTED_VALUE"""),"アタック")</f>
        <v>アタック</v>
      </c>
      <c r="G58" s="139" t="str">
        <f>IFERROR(__xludf.DUMMYFUNCTION("""COMPUTED_VALUE"""),"近距離")</f>
        <v>近距離</v>
      </c>
      <c r="H58" s="139" t="str">
        <f>IFERROR(__xludf.DUMMYFUNCTION("""COMPUTED_VALUE"""),"shageki_1")</f>
        <v>shageki_1</v>
      </c>
      <c r="I58" s="139" t="str">
        <f>IFERROR(__xludf.DUMMYFUNCTION("""COMPUTED_VALUE"""),"shageki_1")</f>
        <v>shageki_1</v>
      </c>
      <c r="J58" s="139" t="str">
        <f>IFERROR(__xludf.DUMMYFUNCTION("""COMPUTED_VALUE"""),"202509010_リリース")</f>
        <v>202509010_リリース</v>
      </c>
      <c r="K58" s="139" t="str">
        <f>IFERROR(__xludf.DUMMYFUNCTION("""COMPUTED_VALUE"""),"リリース時")</f>
        <v>リリース時</v>
      </c>
      <c r="L58" s="139" t="str">
        <f>IFERROR(__xludf.DUMMYFUNCTION("""COMPUTED_VALUE"""),"※")</f>
        <v>※</v>
      </c>
      <c r="M58" s="674">
        <f>IFERROR(__xludf.DUMMYFUNCTION("""COMPUTED_VALUE"""),315.0)</f>
        <v>315</v>
      </c>
      <c r="N58" s="139">
        <f>IFERROR(__xludf.DUMMYFUNCTION("""COMPUTED_VALUE"""),200.0)</f>
        <v>200</v>
      </c>
      <c r="O58" s="139" t="str">
        <f>IFERROR(__xludf.DUMMYFUNCTION("""COMPUTED_VALUE"""),"低コスト")</f>
        <v>低コスト</v>
      </c>
      <c r="P58" s="139">
        <f>IFERROR(__xludf.DUMMYFUNCTION("""COMPUTED_VALUE"""),100.0)</f>
        <v>100</v>
      </c>
      <c r="Q58" s="675">
        <f>IFERROR(__xludf.DUMMYFUNCTION("""COMPUTED_VALUE"""),5.0)</f>
        <v>5</v>
      </c>
      <c r="R58" s="675">
        <f>IFERROR(__xludf.DUMMYFUNCTION("""COMPUTED_VALUE"""),10.0)</f>
        <v>10</v>
      </c>
      <c r="S58" s="675">
        <f>IFERROR(__xludf.DUMMYFUNCTION("""COMPUTED_VALUE"""),5.375)</f>
        <v>5.375</v>
      </c>
      <c r="T58" s="674">
        <f>IFERROR(__xludf.DUMMYFUNCTION("""COMPUTED_VALUE"""),280.0)</f>
        <v>280</v>
      </c>
      <c r="U58" s="675">
        <f>IFERROR(__xludf.DUMMYFUNCTION("""COMPUTED_VALUE"""),5.573333333333333)</f>
        <v>5.573333333</v>
      </c>
      <c r="V58" s="675">
        <f>IFERROR(__xludf.DUMMYFUNCTION("""COMPUTED_VALUE"""),0.0)</f>
        <v>0</v>
      </c>
      <c r="W58" s="675">
        <f>IFERROR(__xludf.DUMMYFUNCTION("""COMPUTED_VALUE"""),0.0)</f>
        <v>0</v>
      </c>
      <c r="X58" s="675">
        <f>IFERROR(__xludf.DUMMYFUNCTION("""COMPUTED_VALUE"""),0.0)</f>
        <v>0</v>
      </c>
      <c r="Y58" s="674">
        <f>IFERROR(__xludf.DUMMYFUNCTION("""COMPUTED_VALUE"""),145.0)</f>
        <v>145</v>
      </c>
      <c r="Z58" s="675">
        <f>IFERROR(__xludf.DUMMYFUNCTION("""COMPUTED_VALUE"""),2.913333333333333)</f>
        <v>2.913333333</v>
      </c>
      <c r="AA58" s="675">
        <f>IFERROR(__xludf.DUMMYFUNCTION("""COMPUTED_VALUE"""),0.0)</f>
        <v>0</v>
      </c>
      <c r="AB58" s="673">
        <f>IFERROR(__xludf.DUMMYFUNCTION("""COMPUTED_VALUE"""),0.0)</f>
        <v>0</v>
      </c>
      <c r="AC58" s="675">
        <f>IFERROR(__xludf.DUMMYFUNCTION("""COMPUTED_VALUE"""),0.0)</f>
        <v>0</v>
      </c>
      <c r="AD58" s="674">
        <f>IFERROR(__xludf.DUMMYFUNCTION("""COMPUTED_VALUE"""),440.0)</f>
        <v>440</v>
      </c>
      <c r="AE58" s="675">
        <f>IFERROR(__xludf.DUMMYFUNCTION("""COMPUTED_VALUE"""),8.754046683296437)</f>
        <v>8.754046683</v>
      </c>
      <c r="AF58" s="675">
        <f>IFERROR(__xludf.DUMMYFUNCTION("""COMPUTED_VALUE"""),0.0)</f>
        <v>0</v>
      </c>
      <c r="AG58" s="675">
        <f>IFERROR(__xludf.DUMMYFUNCTION("""COMPUTED_VALUE"""),0.0)</f>
        <v>0</v>
      </c>
      <c r="AH58" s="675">
        <f>IFERROR(__xludf.DUMMYFUNCTION("""COMPUTED_VALUE"""),0.0)</f>
        <v>0</v>
      </c>
      <c r="AI58" s="139">
        <f>IFERROR(__xludf.DUMMYFUNCTION("""COMPUTED_VALUE"""),16.0)</f>
        <v>16</v>
      </c>
      <c r="AJ58" s="139" t="str">
        <f>IFERROR(__xludf.DUMMYFUNCTION("""COMPUTED_VALUE"""),"-")</f>
        <v>-</v>
      </c>
      <c r="AK58" s="139">
        <f>IFERROR(__xludf.DUMMYFUNCTION("""COMPUTED_VALUE"""),1.0)</f>
        <v>1</v>
      </c>
      <c r="AL58" s="674">
        <f>IFERROR(__xludf.DUMMYFUNCTION("""COMPUTED_VALUE"""),760.0)</f>
        <v>760</v>
      </c>
      <c r="AM58" s="688">
        <f>IFERROR(__xludf.DUMMYFUNCTION("""COMPUTED_VALUE"""),5543.901370654059)</f>
        <v>5543.901371</v>
      </c>
      <c r="AN58" s="675">
        <f>IFERROR(__xludf.DUMMYFUNCTION("""COMPUTED_VALUE"""),5.066666666666666)</f>
        <v>5.066666667</v>
      </c>
      <c r="AO58" s="675">
        <f>IFERROR(__xludf.DUMMYFUNCTION("""COMPUTED_VALUE"""),2.533333333333333)</f>
        <v>2.533333333</v>
      </c>
      <c r="AP58" s="674">
        <f>IFERROR(__xludf.DUMMYFUNCTION("""COMPUTED_VALUE"""),950.0)</f>
        <v>950</v>
      </c>
      <c r="AQ58" s="673">
        <f>IFERROR(__xludf.DUMMYFUNCTION("""COMPUTED_VALUE"""),-0.2)</f>
        <v>-0.2</v>
      </c>
      <c r="AR58" s="673">
        <f>IFERROR(__xludf.DUMMYFUNCTION("""COMPUTED_VALUE"""),0.0)</f>
        <v>0</v>
      </c>
      <c r="AS58" s="673">
        <f>IFERROR(__xludf.DUMMYFUNCTION("""COMPUTED_VALUE"""),0.0)</f>
        <v>0</v>
      </c>
      <c r="AT58" s="673">
        <f>IFERROR(__xludf.DUMMYFUNCTION("""COMPUTED_VALUE"""),0.0)</f>
        <v>0</v>
      </c>
      <c r="AU58" s="673">
        <f>IFERROR(__xludf.DUMMYFUNCTION("""COMPUTED_VALUE"""),0.0)</f>
        <v>0</v>
      </c>
      <c r="AV58" s="673">
        <f>IFERROR(__xludf.DUMMYFUNCTION("""COMPUTED_VALUE"""),0.0)</f>
        <v>0</v>
      </c>
      <c r="AW58" s="139"/>
      <c r="AX58" s="674">
        <f>IFERROR(__xludf.DUMMYFUNCTION("""COMPUTED_VALUE"""),820.0)</f>
        <v>820</v>
      </c>
      <c r="AY58" s="688">
        <f>IFERROR(__xludf.DUMMYFUNCTION("""COMPUTED_VALUE"""),5982.08305781096)</f>
        <v>5982.083058</v>
      </c>
      <c r="AZ58" s="674">
        <f>IFERROR(__xludf.DUMMYFUNCTION("""COMPUTED_VALUE"""),820.0)</f>
        <v>820</v>
      </c>
      <c r="BA58" s="688">
        <f>IFERROR(__xludf.DUMMYFUNCTION("""COMPUTED_VALUE"""),5982.08305781096)</f>
        <v>5982.083058</v>
      </c>
      <c r="BB58" s="688" t="str">
        <f>IFERROR(__xludf.DUMMYFUNCTION("""COMPUTED_VALUE"""),"-")</f>
        <v>-</v>
      </c>
      <c r="BC58" s="688" t="str">
        <f>IFERROR(__xludf.DUMMYFUNCTION("""COMPUTED_VALUE"""),"#VALUE!")</f>
        <v>#VALUE!</v>
      </c>
      <c r="BD58" s="688" t="str">
        <f>IFERROR(__xludf.DUMMYFUNCTION("""COMPUTED_VALUE"""),"#VALUE!")</f>
        <v>#VALUE!</v>
      </c>
      <c r="BE58" s="674">
        <f>IFERROR(__xludf.DUMMYFUNCTION("""COMPUTED_VALUE"""),820.0)</f>
        <v>820</v>
      </c>
      <c r="BF58" s="674">
        <f>IFERROR(__xludf.DUMMYFUNCTION("""COMPUTED_VALUE"""),630.0)</f>
        <v>630</v>
      </c>
      <c r="BG58" s="673">
        <f>IFERROR(__xludf.DUMMYFUNCTION("""COMPUTED_VALUE"""),0.0)</f>
        <v>0</v>
      </c>
      <c r="BH58" s="673">
        <f>IFERROR(__xludf.DUMMYFUNCTION("""COMPUTED_VALUE"""),0.3)</f>
        <v>0.3</v>
      </c>
      <c r="BI58" s="673">
        <f>IFERROR(__xludf.DUMMYFUNCTION("""COMPUTED_VALUE"""),0.0)</f>
        <v>0</v>
      </c>
      <c r="BJ58" s="673">
        <f>IFERROR(__xludf.DUMMYFUNCTION("""COMPUTED_VALUE"""),0.0)</f>
        <v>0</v>
      </c>
      <c r="BK58" s="673">
        <f>IFERROR(__xludf.DUMMYFUNCTION("""COMPUTED_VALUE"""),0.0)</f>
        <v>0</v>
      </c>
      <c r="BL58" s="673">
        <f>IFERROR(__xludf.DUMMYFUNCTION("""COMPUTED_VALUE"""),0.0)</f>
        <v>0</v>
      </c>
      <c r="BM58" s="674">
        <f>IFERROR(__xludf.DUMMYFUNCTION("""COMPUTED_VALUE"""),50.0)</f>
        <v>50</v>
      </c>
      <c r="BN58" s="674">
        <f>IFERROR(__xludf.DUMMYFUNCTION("""COMPUTED_VALUE"""),50.0)</f>
        <v>50</v>
      </c>
      <c r="BO58" s="675">
        <f>IFERROR(__xludf.DUMMYFUNCTION("""COMPUTED_VALUE"""),0.0)</f>
        <v>0</v>
      </c>
      <c r="BP58" s="675">
        <f>IFERROR(__xludf.DUMMYFUNCTION("""COMPUTED_VALUE"""),1.0)</f>
        <v>1</v>
      </c>
      <c r="BQ58" s="675" t="str">
        <f>IFERROR(__xludf.DUMMYFUNCTION("""COMPUTED_VALUE"""),"※")</f>
        <v>※</v>
      </c>
      <c r="BR58" s="139">
        <f>IFERROR(__xludf.DUMMYFUNCTION("""COMPUTED_VALUE"""),2.0)</f>
        <v>2</v>
      </c>
      <c r="BS58" s="139">
        <f>IFERROR(__xludf.DUMMYFUNCTION("""COMPUTED_VALUE"""),40.0)</f>
        <v>40</v>
      </c>
      <c r="BT58" s="139">
        <f>IFERROR(__xludf.DUMMYFUNCTION("""COMPUTED_VALUE"""),0.24)</f>
        <v>0.24</v>
      </c>
      <c r="BU58" s="139">
        <f>IFERROR(__xludf.DUMMYFUNCTION("""COMPUTED_VALUE"""),0.0)</f>
        <v>0</v>
      </c>
      <c r="BV58" s="139" t="str">
        <f>IFERROR(__xludf.DUMMYFUNCTION("""COMPUTED_VALUE"""),"普通-速")</f>
        <v>普通-速</v>
      </c>
      <c r="BW58" s="139" t="str">
        <f>IFERROR(__xludf.DUMMYFUNCTION("""COMPUTED_VALUE"""),"ダメージコマ無効化")</f>
        <v>ダメージコマ無効化</v>
      </c>
      <c r="BX58" s="139" t="str">
        <f>IFERROR(__xludf.DUMMYFUNCTION("""COMPUTED_VALUE"""),"-")</f>
        <v>-</v>
      </c>
      <c r="BY58" s="139">
        <f>IFERROR(__xludf.DUMMYFUNCTION("""COMPUTED_VALUE"""),2.0)</f>
        <v>2</v>
      </c>
      <c r="BZ58" s="139" t="str">
        <f>IFERROR(__xludf.DUMMYFUNCTION("""COMPUTED_VALUE"""),"-")</f>
        <v>-</v>
      </c>
      <c r="CA58" s="139" t="str">
        <f>IFERROR(__xludf.DUMMYFUNCTION("""COMPUTED_VALUE"""),"-")</f>
        <v>-</v>
      </c>
      <c r="CB58" s="139" t="str">
        <f>IFERROR(__xludf.DUMMYFUNCTION("""COMPUTED_VALUE"""),"-")</f>
        <v>-</v>
      </c>
      <c r="CC58" s="139" t="str">
        <f>IFERROR(__xludf.DUMMYFUNCTION("""COMPUTED_VALUE"""),"近距離")</f>
        <v>近距離</v>
      </c>
      <c r="CD58" s="139" t="str">
        <f>IFERROR(__xludf.DUMMYFUNCTION("""COMPUTED_VALUE"""),"単体")</f>
        <v>単体</v>
      </c>
      <c r="CE58" s="139">
        <f>IFERROR(__xludf.DUMMYFUNCTION("""COMPUTED_VALUE"""),1.0)</f>
        <v>1</v>
      </c>
      <c r="CF58" s="139">
        <f>IFERROR(__xludf.DUMMYFUNCTION("""COMPUTED_VALUE"""),0.25)</f>
        <v>0.25</v>
      </c>
      <c r="CG58" s="139" t="str">
        <f>IFERROR(__xludf.DUMMYFUNCTION("""COMPUTED_VALUE"""),"近距離")</f>
        <v>近距離</v>
      </c>
      <c r="CH58" s="139" t="str">
        <f>IFERROR(__xludf.DUMMYFUNCTION("""COMPUTED_VALUE"""),"範囲(大)")</f>
        <v>範囲(大)</v>
      </c>
      <c r="CI58" s="139">
        <f>IFERROR(__xludf.DUMMYFUNCTION("""COMPUTED_VALUE"""),0.55)</f>
        <v>0.55</v>
      </c>
      <c r="CJ58" s="139">
        <f>IFERROR(__xludf.DUMMYFUNCTION("""COMPUTED_VALUE"""),0.55)</f>
        <v>0.55</v>
      </c>
      <c r="CK58" s="139" t="str">
        <f>IFERROR(__xludf.DUMMYFUNCTION("""COMPUTED_VALUE"""),"敵")</f>
        <v>敵</v>
      </c>
      <c r="CL58" s="139" t="str">
        <f>IFERROR(__xludf.DUMMYFUNCTION("""COMPUTED_VALUE"""),"All")</f>
        <v>All</v>
      </c>
      <c r="CM58" s="139" t="str">
        <f>IFERROR(__xludf.DUMMYFUNCTION("""COMPUTED_VALUE"""),"All")</f>
        <v>All</v>
      </c>
      <c r="CN58" s="675">
        <f>IFERROR(__xludf.DUMMYFUNCTION("""COMPUTED_VALUE"""),8.754046683296437)</f>
        <v>8.754046683</v>
      </c>
      <c r="CO58" s="139" t="str">
        <f>IFERROR(__xludf.DUMMYFUNCTION("""COMPUTED_VALUE"""),"-")</f>
        <v>-</v>
      </c>
      <c r="CP58" s="139" t="str">
        <f>IFERROR(__xludf.DUMMYFUNCTION("""COMPUTED_VALUE"""),"-")</f>
        <v>-</v>
      </c>
      <c r="CQ58" s="139" t="str">
        <f>IFERROR(__xludf.DUMMYFUNCTION("""COMPUTED_VALUE"""),"-")</f>
        <v>-</v>
      </c>
      <c r="CR58" s="139" t="str">
        <f>IFERROR(__xludf.DUMMYFUNCTION("""COMPUTED_VALUE"""),"-")</f>
        <v>-</v>
      </c>
      <c r="CS58" s="673" t="str">
        <f>IFERROR(__xludf.DUMMYFUNCTION("""COMPUTED_VALUE"""),"連続攻撃")</f>
        <v>連続攻撃</v>
      </c>
      <c r="CT58" s="139" t="str">
        <f>IFERROR(__xludf.DUMMYFUNCTION("""COMPUTED_VALUE"""),"-")</f>
        <v>-</v>
      </c>
      <c r="CU58" s="139" t="str">
        <f>IFERROR(__xludf.DUMMYFUNCTION("""COMPUTED_VALUE"""),"敵")</f>
        <v>敵</v>
      </c>
      <c r="CV58" s="139" t="str">
        <f>IFERROR(__xludf.DUMMYFUNCTION("""COMPUTED_VALUE"""),"All")</f>
        <v>All</v>
      </c>
      <c r="CW58" s="139" t="str">
        <f>IFERROR(__xludf.DUMMYFUNCTION("""COMPUTED_VALUE"""),"All")</f>
        <v>All</v>
      </c>
      <c r="CX58" s="674">
        <f>IFERROR(__xludf.DUMMYFUNCTION("""COMPUTED_VALUE"""),99.0)</f>
        <v>99</v>
      </c>
      <c r="CY58" s="139" t="str">
        <f>IFERROR(__xludf.DUMMYFUNCTION("""COMPUTED_VALUE"""),"-")</f>
        <v>-</v>
      </c>
      <c r="CZ58" s="688">
        <f>IFERROR(__xludf.DUMMYFUNCTION("""COMPUTED_VALUE"""),5922.0)</f>
        <v>5922</v>
      </c>
      <c r="DA58" s="688">
        <f>IFERROR(__xludf.DUMMYFUNCTION("""COMPUTED_VALUE"""),724.8491883432858)</f>
        <v>724.8491883</v>
      </c>
      <c r="DB58" s="688">
        <f>IFERROR(__xludf.DUMMYFUNCTION("""COMPUTED_VALUE"""),3624.245941716429)</f>
        <v>3624.245942</v>
      </c>
      <c r="DC58" s="139" t="str">
        <f>IFERROR(__xludf.DUMMYFUNCTION("""COMPUTED_VALUE"""),"-")</f>
        <v>-</v>
      </c>
      <c r="DD58" s="673" t="str">
        <f>IFERROR(__xludf.DUMMYFUNCTION("""COMPUTED_VALUE"""),"-")</f>
        <v>-</v>
      </c>
      <c r="DE58" s="139" t="str">
        <f>IFERROR(__xludf.DUMMYFUNCTION("""COMPUTED_VALUE"""),"-")</f>
        <v>-</v>
      </c>
      <c r="DF58" s="139" t="str">
        <f>IFERROR(__xludf.DUMMYFUNCTION("""COMPUTED_VALUE"""),"-")</f>
        <v>-</v>
      </c>
      <c r="DG58" s="139" t="str">
        <f>IFERROR(__xludf.DUMMYFUNCTION("""COMPUTED_VALUE"""),"-")</f>
        <v>-</v>
      </c>
      <c r="DH58" s="139" t="str">
        <f>IFERROR(__xludf.DUMMYFUNCTION("""COMPUTED_VALUE"""),"-")</f>
        <v>-</v>
      </c>
      <c r="DI58" s="139" t="str">
        <f>IFERROR(__xludf.DUMMYFUNCTION("""COMPUTED_VALUE"""),"-")</f>
        <v>-</v>
      </c>
      <c r="DJ58" s="139" t="str">
        <f>IFERROR(__xludf.DUMMYFUNCTION("""COMPUTED_VALUE"""),"-")</f>
        <v>-</v>
      </c>
    </row>
    <row r="59">
      <c r="A59" s="139" t="str">
        <f>IFERROR(__xludf.DUMMYFUNCTION("""COMPUTED_VALUE"""),"鴨乃橋ロンの禁断推理")</f>
        <v>鴨乃橋ロンの禁断推理</v>
      </c>
      <c r="B59" s="139" t="str">
        <f>IFERROR(__xludf.DUMMYFUNCTION("""COMPUTED_VALUE"""),"鴨乃橋 ロン")</f>
        <v>鴨乃橋 ロン</v>
      </c>
      <c r="C59" s="139" t="str">
        <f>IFERROR(__xludf.DUMMYFUNCTION("""COMPUTED_VALUE"""),"chara_ron_00001")</f>
        <v>chara_ron_00001</v>
      </c>
      <c r="D59" s="139" t="str">
        <f>IFERROR(__xludf.DUMMYFUNCTION("""COMPUTED_VALUE"""),"PremiumSSR")</f>
        <v>PremiumSSR</v>
      </c>
      <c r="E59" s="139" t="str">
        <f>IFERROR(__xludf.DUMMYFUNCTION("""COMPUTED_VALUE"""),"青")</f>
        <v>青</v>
      </c>
      <c r="F59" s="139" t="str">
        <f>IFERROR(__xludf.DUMMYFUNCTION("""COMPUTED_VALUE"""),"テクニカル")</f>
        <v>テクニカル</v>
      </c>
      <c r="G59" s="139" t="str">
        <f>IFERROR(__xludf.DUMMYFUNCTION("""COMPUTED_VALUE"""),"中距離")</f>
        <v>中距離</v>
      </c>
      <c r="H59" s="139" t="str">
        <f>IFERROR(__xludf.DUMMYFUNCTION("""COMPUTED_VALUE"""),"dageki_2")</f>
        <v>dageki_2</v>
      </c>
      <c r="I59" s="139" t="str">
        <f>IFERROR(__xludf.DUMMYFUNCTION("""COMPUTED_VALUE"""),"dageki_1")</f>
        <v>dageki_1</v>
      </c>
      <c r="J59" s="139" t="str">
        <f>IFERROR(__xludf.DUMMYFUNCTION("""COMPUTED_VALUE"""),"202509010_リリース")</f>
        <v>202509010_リリース</v>
      </c>
      <c r="K59" s="139" t="str">
        <f>IFERROR(__xludf.DUMMYFUNCTION("""COMPUTED_VALUE"""),"リリース時")</f>
        <v>リリース時</v>
      </c>
      <c r="L59" s="687" t="str">
        <f>IFERROR(__xludf.DUMMYFUNCTION("""COMPUTED_VALUE"""),"※")</f>
        <v>※</v>
      </c>
      <c r="M59" s="674">
        <f>IFERROR(__xludf.DUMMYFUNCTION("""COMPUTED_VALUE"""),290.0)</f>
        <v>290</v>
      </c>
      <c r="N59" s="139">
        <f>IFERROR(__xludf.DUMMYFUNCTION("""COMPUTED_VALUE"""),200.0)</f>
        <v>200</v>
      </c>
      <c r="O59" s="139" t="str">
        <f>IFERROR(__xludf.DUMMYFUNCTION("""COMPUTED_VALUE"""),"低コスト")</f>
        <v>低コスト</v>
      </c>
      <c r="P59" s="139">
        <f>IFERROR(__xludf.DUMMYFUNCTION("""COMPUTED_VALUE"""),50.0)</f>
        <v>50</v>
      </c>
      <c r="Q59" s="675">
        <f>IFERROR(__xludf.DUMMYFUNCTION("""COMPUTED_VALUE"""),25.0)</f>
        <v>25</v>
      </c>
      <c r="R59" s="675">
        <f>IFERROR(__xludf.DUMMYFUNCTION("""COMPUTED_VALUE"""),15.0)</f>
        <v>15</v>
      </c>
      <c r="S59" s="675">
        <f>IFERROR(__xludf.DUMMYFUNCTION("""COMPUTED_VALUE"""),4.75)</f>
        <v>4.75</v>
      </c>
      <c r="T59" s="674">
        <f>IFERROR(__xludf.DUMMYFUNCTION("""COMPUTED_VALUE"""),190.0)</f>
        <v>190</v>
      </c>
      <c r="U59" s="675">
        <f>IFERROR(__xludf.DUMMYFUNCTION("""COMPUTED_VALUE"""),3.813333333333334)</f>
        <v>3.813333333</v>
      </c>
      <c r="V59" s="675">
        <f>IFERROR(__xludf.DUMMYFUNCTION("""COMPUTED_VALUE"""),0.0)</f>
        <v>0</v>
      </c>
      <c r="W59" s="675">
        <f>IFERROR(__xludf.DUMMYFUNCTION("""COMPUTED_VALUE"""),0.0)</f>
        <v>0</v>
      </c>
      <c r="X59" s="675">
        <f>IFERROR(__xludf.DUMMYFUNCTION("""COMPUTED_VALUE"""),0.0)</f>
        <v>0</v>
      </c>
      <c r="Y59" s="674">
        <f>IFERROR(__xludf.DUMMYFUNCTION("""COMPUTED_VALUE"""),100.0)</f>
        <v>100</v>
      </c>
      <c r="Z59" s="675">
        <f>IFERROR(__xludf.DUMMYFUNCTION("""COMPUTED_VALUE"""),2.0)</f>
        <v>2</v>
      </c>
      <c r="AA59" s="675">
        <f>IFERROR(__xludf.DUMMYFUNCTION("""COMPUTED_VALUE"""),0.0)</f>
        <v>0</v>
      </c>
      <c r="AB59" s="673">
        <f>IFERROR(__xludf.DUMMYFUNCTION("""COMPUTED_VALUE"""),0.0)</f>
        <v>0</v>
      </c>
      <c r="AC59" s="675">
        <f>IFERROR(__xludf.DUMMYFUNCTION("""COMPUTED_VALUE"""),0.0)</f>
        <v>0</v>
      </c>
      <c r="AD59" s="674">
        <f>IFERROR(__xludf.DUMMYFUNCTION("""COMPUTED_VALUE"""),565.0)</f>
        <v>565</v>
      </c>
      <c r="AE59" s="675">
        <f>IFERROR(__xludf.DUMMYFUNCTION("""COMPUTED_VALUE"""),11.30135809331027)</f>
        <v>11.30135809</v>
      </c>
      <c r="AF59" s="675">
        <f>IFERROR(__xludf.DUMMYFUNCTION("""COMPUTED_VALUE"""),0.0)</f>
        <v>0</v>
      </c>
      <c r="AG59" s="675">
        <f>IFERROR(__xludf.DUMMYFUNCTION("""COMPUTED_VALUE"""),4.060271618662054)</f>
        <v>4.060271619</v>
      </c>
      <c r="AH59" s="675">
        <f>IFERROR(__xludf.DUMMYFUNCTION("""COMPUTED_VALUE"""),0.0)</f>
        <v>0</v>
      </c>
      <c r="AI59" s="675">
        <f>IFERROR(__xludf.DUMMYFUNCTION("""COMPUTED_VALUE"""),1.5)</f>
        <v>1.5</v>
      </c>
      <c r="AJ59" s="675">
        <f>IFERROR(__xludf.DUMMYFUNCTION("""COMPUTED_VALUE"""),9.80135809331027)</f>
        <v>9.801358093</v>
      </c>
      <c r="AK59" s="139">
        <f>IFERROR(__xludf.DUMMYFUNCTION("""COMPUTED_VALUE"""),1.0)</f>
        <v>1</v>
      </c>
      <c r="AL59" s="674">
        <f>IFERROR(__xludf.DUMMYFUNCTION("""COMPUTED_VALUE"""),520.0)</f>
        <v>520</v>
      </c>
      <c r="AM59" s="688">
        <f>IFERROR(__xludf.DUMMYFUNCTION("""COMPUTED_VALUE"""),3963.494622026462)</f>
        <v>3963.494622</v>
      </c>
      <c r="AN59" s="675">
        <f>IFERROR(__xludf.DUMMYFUNCTION("""COMPUTED_VALUE"""),3.466666666666667)</f>
        <v>3.466666667</v>
      </c>
      <c r="AO59" s="675">
        <f>IFERROR(__xludf.DUMMYFUNCTION("""COMPUTED_VALUE"""),1.7333333333333334)</f>
        <v>1.733333333</v>
      </c>
      <c r="AP59" s="674">
        <f>IFERROR(__xludf.DUMMYFUNCTION("""COMPUTED_VALUE"""),870.0)</f>
        <v>870</v>
      </c>
      <c r="AQ59" s="673">
        <f>IFERROR(__xludf.DUMMYFUNCTION("""COMPUTED_VALUE"""),-0.3)</f>
        <v>-0.3</v>
      </c>
      <c r="AR59" s="673">
        <f>IFERROR(__xludf.DUMMYFUNCTION("""COMPUTED_VALUE"""),0.0)</f>
        <v>0</v>
      </c>
      <c r="AS59" s="673">
        <f>IFERROR(__xludf.DUMMYFUNCTION("""COMPUTED_VALUE"""),-0.1)</f>
        <v>-0.1</v>
      </c>
      <c r="AT59" s="673">
        <f>IFERROR(__xludf.DUMMYFUNCTION("""COMPUTED_VALUE"""),0.0)</f>
        <v>0</v>
      </c>
      <c r="AU59" s="673">
        <f>IFERROR(__xludf.DUMMYFUNCTION("""COMPUTED_VALUE"""),0.0)</f>
        <v>0</v>
      </c>
      <c r="AV59" s="673">
        <f>IFERROR(__xludf.DUMMYFUNCTION("""COMPUTED_VALUE"""),0.0)</f>
        <v>0</v>
      </c>
      <c r="AW59" s="139"/>
      <c r="AX59" s="674">
        <f>IFERROR(__xludf.DUMMYFUNCTION("""COMPUTED_VALUE"""),960.0)</f>
        <v>960</v>
      </c>
      <c r="AY59" s="688">
        <f>IFERROR(__xludf.DUMMYFUNCTION("""COMPUTED_VALUE"""),7319.626994510392)</f>
        <v>7319.626995</v>
      </c>
      <c r="AZ59" s="674">
        <f>IFERROR(__xludf.DUMMYFUNCTION("""COMPUTED_VALUE"""),640.0)</f>
        <v>640</v>
      </c>
      <c r="BA59" s="688">
        <f>IFERROR(__xludf.DUMMYFUNCTION("""COMPUTED_VALUE"""),4879.751329673595)</f>
        <v>4879.75133</v>
      </c>
      <c r="BB59" s="688" t="str">
        <f>IFERROR(__xludf.DUMMYFUNCTION("""COMPUTED_VALUE"""),"-")</f>
        <v>-</v>
      </c>
      <c r="BC59" s="688" t="str">
        <f>IFERROR(__xludf.DUMMYFUNCTION("""COMPUTED_VALUE"""),"#VALUE!")</f>
        <v>#VALUE!</v>
      </c>
      <c r="BD59" s="688" t="str">
        <f>IFERROR(__xludf.DUMMYFUNCTION("""COMPUTED_VALUE"""),"#VALUE!")</f>
        <v>#VALUE!</v>
      </c>
      <c r="BE59" s="674">
        <f>IFERROR(__xludf.DUMMYFUNCTION("""COMPUTED_VALUE"""),640.0)</f>
        <v>640</v>
      </c>
      <c r="BF59" s="674">
        <f>IFERROR(__xludf.DUMMYFUNCTION("""COMPUTED_VALUE"""),580.0)</f>
        <v>580</v>
      </c>
      <c r="BG59" s="673">
        <f>IFERROR(__xludf.DUMMYFUNCTION("""COMPUTED_VALUE"""),0.0)</f>
        <v>0</v>
      </c>
      <c r="BH59" s="673">
        <f>IFERROR(__xludf.DUMMYFUNCTION("""COMPUTED_VALUE"""),0.1)</f>
        <v>0.1</v>
      </c>
      <c r="BI59" s="673">
        <f>IFERROR(__xludf.DUMMYFUNCTION("""COMPUTED_VALUE"""),0.0)</f>
        <v>0</v>
      </c>
      <c r="BJ59" s="673">
        <f>IFERROR(__xludf.DUMMYFUNCTION("""COMPUTED_VALUE"""),0.0)</f>
        <v>0</v>
      </c>
      <c r="BK59" s="673">
        <f>IFERROR(__xludf.DUMMYFUNCTION("""COMPUTED_VALUE"""),0.0)</f>
        <v>0</v>
      </c>
      <c r="BL59" s="673">
        <f>IFERROR(__xludf.DUMMYFUNCTION("""COMPUTED_VALUE"""),0.0)</f>
        <v>0</v>
      </c>
      <c r="BM59" s="674">
        <f>IFERROR(__xludf.DUMMYFUNCTION("""COMPUTED_VALUE"""),75.0)</f>
        <v>75</v>
      </c>
      <c r="BN59" s="674">
        <f>IFERROR(__xludf.DUMMYFUNCTION("""COMPUTED_VALUE"""),75.0)</f>
        <v>75</v>
      </c>
      <c r="BO59" s="675">
        <f>IFERROR(__xludf.DUMMYFUNCTION("""COMPUTED_VALUE"""),0.0)</f>
        <v>0</v>
      </c>
      <c r="BP59" s="675">
        <f>IFERROR(__xludf.DUMMYFUNCTION("""COMPUTED_VALUE"""),1.5)</f>
        <v>1.5</v>
      </c>
      <c r="BQ59" s="675" t="str">
        <f>IFERROR(__xludf.DUMMYFUNCTION("""COMPUTED_VALUE"""),"※")</f>
        <v>※</v>
      </c>
      <c r="BR59" s="139">
        <f>IFERROR(__xludf.DUMMYFUNCTION("""COMPUTED_VALUE"""),3.0)</f>
        <v>3</v>
      </c>
      <c r="BS59" s="139">
        <f>IFERROR(__xludf.DUMMYFUNCTION("""COMPUTED_VALUE"""),35.0)</f>
        <v>35</v>
      </c>
      <c r="BT59" s="139">
        <f>IFERROR(__xludf.DUMMYFUNCTION("""COMPUTED_VALUE"""),0.36)</f>
        <v>0.36</v>
      </c>
      <c r="BU59" s="139">
        <f>IFERROR(__xludf.DUMMYFUNCTION("""COMPUTED_VALUE"""),0.0)</f>
        <v>0</v>
      </c>
      <c r="BV59" s="139" t="str">
        <f>IFERROR(__xludf.DUMMYFUNCTION("""COMPUTED_VALUE"""),"普通")</f>
        <v>普通</v>
      </c>
      <c r="BW59" s="139" t="str">
        <f>IFERROR(__xludf.DUMMYFUNCTION("""COMPUTED_VALUE"""),"スタン攻撃無効化")</f>
        <v>スタン攻撃無効化</v>
      </c>
      <c r="BX59" s="139">
        <f>IFERROR(__xludf.DUMMYFUNCTION("""COMPUTED_VALUE"""),30.0)</f>
        <v>30</v>
      </c>
      <c r="BY59" s="139">
        <f>IFERROR(__xludf.DUMMYFUNCTION("""COMPUTED_VALUE"""),0.0)</f>
        <v>0</v>
      </c>
      <c r="BZ59" s="139" t="str">
        <f>IFERROR(__xludf.DUMMYFUNCTION("""COMPUTED_VALUE"""),"-")</f>
        <v>-</v>
      </c>
      <c r="CA59" s="139" t="str">
        <f>IFERROR(__xludf.DUMMYFUNCTION("""COMPUTED_VALUE"""),"-")</f>
        <v>-</v>
      </c>
      <c r="CB59" s="139" t="str">
        <f>IFERROR(__xludf.DUMMYFUNCTION("""COMPUTED_VALUE"""),"-")</f>
        <v>-</v>
      </c>
      <c r="CC59" s="139" t="str">
        <f>IFERROR(__xludf.DUMMYFUNCTION("""COMPUTED_VALUE"""),"中距離")</f>
        <v>中距離</v>
      </c>
      <c r="CD59" s="139" t="str">
        <f>IFERROR(__xludf.DUMMYFUNCTION("""COMPUTED_VALUE"""),"単体")</f>
        <v>単体</v>
      </c>
      <c r="CE59" s="139">
        <f>IFERROR(__xludf.DUMMYFUNCTION("""COMPUTED_VALUE"""),1.0)</f>
        <v>1</v>
      </c>
      <c r="CF59" s="139">
        <f>IFERROR(__xludf.DUMMYFUNCTION("""COMPUTED_VALUE"""),0.37)</f>
        <v>0.37</v>
      </c>
      <c r="CG59" s="139" t="str">
        <f>IFERROR(__xludf.DUMMYFUNCTION("""COMPUTED_VALUE"""),"中距離")</f>
        <v>中距離</v>
      </c>
      <c r="CH59" s="139" t="str">
        <f>IFERROR(__xludf.DUMMYFUNCTION("""COMPUTED_VALUE"""),"単体")</f>
        <v>単体</v>
      </c>
      <c r="CI59" s="139">
        <f>IFERROR(__xludf.DUMMYFUNCTION("""COMPUTED_VALUE"""),1.0)</f>
        <v>1</v>
      </c>
      <c r="CJ59" s="139">
        <f>IFERROR(__xludf.DUMMYFUNCTION("""COMPUTED_VALUE"""),0.37)</f>
        <v>0.37</v>
      </c>
      <c r="CK59" s="139" t="str">
        <f>IFERROR(__xludf.DUMMYFUNCTION("""COMPUTED_VALUE"""),"敵")</f>
        <v>敵</v>
      </c>
      <c r="CL59" s="139" t="str">
        <f>IFERROR(__xludf.DUMMYFUNCTION("""COMPUTED_VALUE"""),"All")</f>
        <v>All</v>
      </c>
      <c r="CM59" s="139" t="str">
        <f>IFERROR(__xludf.DUMMYFUNCTION("""COMPUTED_VALUE"""),"All")</f>
        <v>All</v>
      </c>
      <c r="CN59" s="675">
        <f>IFERROR(__xludf.DUMMYFUNCTION("""COMPUTED_VALUE"""),11.30135809331027)</f>
        <v>11.30135809</v>
      </c>
      <c r="CO59" s="139" t="str">
        <f>IFERROR(__xludf.DUMMYFUNCTION("""COMPUTED_VALUE"""),"-")</f>
        <v>-</v>
      </c>
      <c r="CP59" s="139" t="str">
        <f>IFERROR(__xludf.DUMMYFUNCTION("""COMPUTED_VALUE"""),"-")</f>
        <v>-</v>
      </c>
      <c r="CQ59" s="139" t="str">
        <f>IFERROR(__xludf.DUMMYFUNCTION("""COMPUTED_VALUE"""),"-")</f>
        <v>-</v>
      </c>
      <c r="CR59" s="139" t="str">
        <f>IFERROR(__xludf.DUMMYFUNCTION("""COMPUTED_VALUE"""),"-")</f>
        <v>-</v>
      </c>
      <c r="CS59" s="673" t="str">
        <f>IFERROR(__xludf.DUMMYFUNCTION("""COMPUTED_VALUE"""),"連続攻撃")</f>
        <v>連続攻撃</v>
      </c>
      <c r="CT59" s="139" t="str">
        <f>IFERROR(__xludf.DUMMYFUNCTION("""COMPUTED_VALUE"""),"-")</f>
        <v>-</v>
      </c>
      <c r="CU59" s="139" t="str">
        <f>IFERROR(__xludf.DUMMYFUNCTION("""COMPUTED_VALUE"""),"敵")</f>
        <v>敵</v>
      </c>
      <c r="CV59" s="139" t="str">
        <f>IFERROR(__xludf.DUMMYFUNCTION("""COMPUTED_VALUE"""),"All")</f>
        <v>All</v>
      </c>
      <c r="CW59" s="139" t="str">
        <f>IFERROR(__xludf.DUMMYFUNCTION("""COMPUTED_VALUE"""),"All")</f>
        <v>All</v>
      </c>
      <c r="CX59" s="674">
        <f>IFERROR(__xludf.DUMMYFUNCTION("""COMPUTED_VALUE"""),200.0)</f>
        <v>200</v>
      </c>
      <c r="CY59" s="139" t="str">
        <f>IFERROR(__xludf.DUMMYFUNCTION("""COMPUTED_VALUE"""),"-")</f>
        <v>-</v>
      </c>
      <c r="CZ59" s="688">
        <f>IFERROR(__xludf.DUMMYFUNCTION("""COMPUTED_VALUE"""),14639.0)</f>
        <v>14639</v>
      </c>
      <c r="DA59" s="688">
        <f>IFERROR(__xludf.DUMMYFUNCTION("""COMPUTED_VALUE"""),1411.5019039379117)</f>
        <v>1411.501904</v>
      </c>
      <c r="DB59" s="688">
        <f>IFERROR(__xludf.DUMMYFUNCTION("""COMPUTED_VALUE"""),0.0)</f>
        <v>0</v>
      </c>
      <c r="DC59" s="139" t="str">
        <f>IFERROR(__xludf.DUMMYFUNCTION("""COMPUTED_VALUE"""),"スタン")</f>
        <v>スタン</v>
      </c>
      <c r="DD59" s="673" t="str">
        <f>IFERROR(__xludf.DUMMYFUNCTION("""COMPUTED_VALUE"""),"-")</f>
        <v>-</v>
      </c>
      <c r="DE59" s="139">
        <f>IFERROR(__xludf.DUMMYFUNCTION("""COMPUTED_VALUE"""),1.5)</f>
        <v>1.5</v>
      </c>
      <c r="DF59" s="139" t="str">
        <f>IFERROR(__xludf.DUMMYFUNCTION("""COMPUTED_VALUE"""),"-")</f>
        <v>-</v>
      </c>
      <c r="DG59" s="139" t="str">
        <f>IFERROR(__xludf.DUMMYFUNCTION("""COMPUTED_VALUE"""),"-")</f>
        <v>-</v>
      </c>
      <c r="DH59" s="139" t="str">
        <f>IFERROR(__xludf.DUMMYFUNCTION("""COMPUTED_VALUE"""),"-")</f>
        <v>-</v>
      </c>
      <c r="DI59" s="139" t="str">
        <f>IFERROR(__xludf.DUMMYFUNCTION("""COMPUTED_VALUE"""),"-")</f>
        <v>-</v>
      </c>
      <c r="DJ59" s="139" t="str">
        <f>IFERROR(__xludf.DUMMYFUNCTION("""COMPUTED_VALUE"""),"-")</f>
        <v>-</v>
      </c>
    </row>
    <row r="60">
      <c r="A60" s="139" t="str">
        <f>IFERROR(__xludf.DUMMYFUNCTION("""COMPUTED_VALUE"""),"阿波連さんははかれない")</f>
        <v>阿波連さんははかれない</v>
      </c>
      <c r="B60" s="139" t="str">
        <f>IFERROR(__xludf.DUMMYFUNCTION("""COMPUTED_VALUE"""),"ライドウ")</f>
        <v>ライドウ</v>
      </c>
      <c r="C60" s="139" t="str">
        <f>IFERROR(__xludf.DUMMYFUNCTION("""COMPUTED_VALUE"""),"chara_aha_00001")</f>
        <v>chara_aha_00001</v>
      </c>
      <c r="D60" s="139" t="str">
        <f>IFERROR(__xludf.DUMMYFUNCTION("""COMPUTED_VALUE"""),"PremiumSR")</f>
        <v>PremiumSR</v>
      </c>
      <c r="E60" s="139" t="str">
        <f>IFERROR(__xludf.DUMMYFUNCTION("""COMPUTED_VALUE"""),"黄")</f>
        <v>黄</v>
      </c>
      <c r="F60" s="139" t="str">
        <f>IFERROR(__xludf.DUMMYFUNCTION("""COMPUTED_VALUE"""),"ディフェンス")</f>
        <v>ディフェンス</v>
      </c>
      <c r="G60" s="139" t="str">
        <f>IFERROR(__xludf.DUMMYFUNCTION("""COMPUTED_VALUE"""),"近距離")</f>
        <v>近距離</v>
      </c>
      <c r="H60" s="139" t="str">
        <f>IFERROR(__xludf.DUMMYFUNCTION("""COMPUTED_VALUE"""),"dageki_2")</f>
        <v>dageki_2</v>
      </c>
      <c r="I60" s="139" t="str">
        <f>IFERROR(__xludf.DUMMYFUNCTION("""COMPUTED_VALUE"""),"dageki_1")</f>
        <v>dageki_1</v>
      </c>
      <c r="J60" s="139" t="str">
        <f>IFERROR(__xludf.DUMMYFUNCTION("""COMPUTED_VALUE"""),"202509010_リリース")</f>
        <v>202509010_リリース</v>
      </c>
      <c r="K60" s="139" t="str">
        <f>IFERROR(__xludf.DUMMYFUNCTION("""COMPUTED_VALUE"""),"リリース時")</f>
        <v>リリース時</v>
      </c>
      <c r="L60" s="687" t="str">
        <f>IFERROR(__xludf.DUMMYFUNCTION("""COMPUTED_VALUE"""),"※")</f>
        <v>※</v>
      </c>
      <c r="M60" s="674">
        <f>IFERROR(__xludf.DUMMYFUNCTION("""COMPUTED_VALUE"""),280.0)</f>
        <v>280</v>
      </c>
      <c r="N60" s="139">
        <f>IFERROR(__xludf.DUMMYFUNCTION("""COMPUTED_VALUE"""),200.0)</f>
        <v>200</v>
      </c>
      <c r="O60" s="139" t="str">
        <f>IFERROR(__xludf.DUMMYFUNCTION("""COMPUTED_VALUE"""),"低コスト")</f>
        <v>低コスト</v>
      </c>
      <c r="P60" s="139">
        <f>IFERROR(__xludf.DUMMYFUNCTION("""COMPUTED_VALUE"""),50.0)</f>
        <v>50</v>
      </c>
      <c r="Q60" s="675">
        <f>IFERROR(__xludf.DUMMYFUNCTION("""COMPUTED_VALUE"""),10.0)</f>
        <v>10</v>
      </c>
      <c r="R60" s="675">
        <f>IFERROR(__xludf.DUMMYFUNCTION("""COMPUTED_VALUE"""),20.0)</f>
        <v>20</v>
      </c>
      <c r="S60" s="675">
        <f>IFERROR(__xludf.DUMMYFUNCTION("""COMPUTED_VALUE"""),4.5)</f>
        <v>4.5</v>
      </c>
      <c r="T60" s="674">
        <f>IFERROR(__xludf.DUMMYFUNCTION("""COMPUTED_VALUE"""),585.0)</f>
        <v>585</v>
      </c>
      <c r="U60" s="675">
        <f>IFERROR(__xludf.DUMMYFUNCTION("""COMPUTED_VALUE"""),11.733333333333334)</f>
        <v>11.73333333</v>
      </c>
      <c r="V60" s="675">
        <f>IFERROR(__xludf.DUMMYFUNCTION("""COMPUTED_VALUE"""),0.0)</f>
        <v>0</v>
      </c>
      <c r="W60" s="675">
        <f>IFERROR(__xludf.DUMMYFUNCTION("""COMPUTED_VALUE"""),0.0)</f>
        <v>0</v>
      </c>
      <c r="X60" s="675">
        <f>IFERROR(__xludf.DUMMYFUNCTION("""COMPUTED_VALUE"""),0.0)</f>
        <v>0</v>
      </c>
      <c r="Y60" s="674">
        <f>IFERROR(__xludf.DUMMYFUNCTION("""COMPUTED_VALUE"""),305.0)</f>
        <v>305</v>
      </c>
      <c r="Z60" s="675">
        <f>IFERROR(__xludf.DUMMYFUNCTION("""COMPUTED_VALUE"""),6.133333333333333)</f>
        <v>6.133333333</v>
      </c>
      <c r="AA60" s="675">
        <f>IFERROR(__xludf.DUMMYFUNCTION("""COMPUTED_VALUE"""),0.0)</f>
        <v>0</v>
      </c>
      <c r="AB60" s="673">
        <f>IFERROR(__xludf.DUMMYFUNCTION("""COMPUTED_VALUE"""),0.0)</f>
        <v>0</v>
      </c>
      <c r="AC60" s="675">
        <f>IFERROR(__xludf.DUMMYFUNCTION("""COMPUTED_VALUE"""),0.0)</f>
        <v>0</v>
      </c>
      <c r="AD60" s="674">
        <f>IFERROR(__xludf.DUMMYFUNCTION("""COMPUTED_VALUE"""),955.0)</f>
        <v>955</v>
      </c>
      <c r="AE60" s="675">
        <f>IFERROR(__xludf.DUMMYFUNCTION("""COMPUTED_VALUE"""),19.052558883257646)</f>
        <v>19.05255888</v>
      </c>
      <c r="AF60" s="675">
        <f>IFERROR(__xludf.DUMMYFUNCTION("""COMPUTED_VALUE"""),0.0)</f>
        <v>0</v>
      </c>
      <c r="AG60" s="675">
        <f>IFERROR(__xludf.DUMMYFUNCTION("""COMPUTED_VALUE"""),6.350852961085883)</f>
        <v>6.350852961</v>
      </c>
      <c r="AH60" s="675">
        <f>IFERROR(__xludf.DUMMYFUNCTION("""COMPUTED_VALUE"""),0.0)</f>
        <v>0</v>
      </c>
      <c r="AI60" s="139" t="str">
        <f>IFERROR(__xludf.DUMMYFUNCTION("""COMPUTED_VALUE"""),"-")</f>
        <v>-</v>
      </c>
      <c r="AJ60" s="139" t="str">
        <f>IFERROR(__xludf.DUMMYFUNCTION("""COMPUTED_VALUE"""),"-")</f>
        <v>-</v>
      </c>
      <c r="AK60" s="139">
        <f>IFERROR(__xludf.DUMMYFUNCTION("""COMPUTED_VALUE"""),1.0)</f>
        <v>1</v>
      </c>
      <c r="AL60" s="674">
        <f>IFERROR(__xludf.DUMMYFUNCTION("""COMPUTED_VALUE"""),1600.0)</f>
        <v>1600</v>
      </c>
      <c r="AM60" s="688">
        <f>IFERROR(__xludf.DUMMYFUNCTION("""COMPUTED_VALUE"""),11673.484990850653)</f>
        <v>11673.48499</v>
      </c>
      <c r="AN60" s="675">
        <f>IFERROR(__xludf.DUMMYFUNCTION("""COMPUTED_VALUE"""),10.666666666666666)</f>
        <v>10.66666667</v>
      </c>
      <c r="AO60" s="675">
        <f>IFERROR(__xludf.DUMMYFUNCTION("""COMPUTED_VALUE"""),5.333333333333333)</f>
        <v>5.333333333</v>
      </c>
      <c r="AP60" s="674">
        <f>IFERROR(__xludf.DUMMYFUNCTION("""COMPUTED_VALUE"""),840.0)</f>
        <v>840</v>
      </c>
      <c r="AQ60" s="673">
        <f>IFERROR(__xludf.DUMMYFUNCTION("""COMPUTED_VALUE"""),0.9)</f>
        <v>0.9</v>
      </c>
      <c r="AR60" s="673">
        <f>IFERROR(__xludf.DUMMYFUNCTION("""COMPUTED_VALUE"""),0.0)</f>
        <v>0</v>
      </c>
      <c r="AS60" s="673">
        <f>IFERROR(__xludf.DUMMYFUNCTION("""COMPUTED_VALUE"""),0.0)</f>
        <v>0</v>
      </c>
      <c r="AT60" s="673">
        <f>IFERROR(__xludf.DUMMYFUNCTION("""COMPUTED_VALUE"""),0.0)</f>
        <v>0</v>
      </c>
      <c r="AU60" s="673">
        <f>IFERROR(__xludf.DUMMYFUNCTION("""COMPUTED_VALUE"""),0.0)</f>
        <v>0</v>
      </c>
      <c r="AV60" s="673">
        <f>IFERROR(__xludf.DUMMYFUNCTION("""COMPUTED_VALUE"""),0.0)</f>
        <v>0</v>
      </c>
      <c r="AW60" s="139"/>
      <c r="AX60" s="674">
        <f>IFERROR(__xludf.DUMMYFUNCTION("""COMPUTED_VALUE"""),560.0)</f>
        <v>560</v>
      </c>
      <c r="AY60" s="688">
        <f>IFERROR(__xludf.DUMMYFUNCTION("""COMPUTED_VALUE"""),4085.3357467977285)</f>
        <v>4085.335747</v>
      </c>
      <c r="AZ60" s="674">
        <f>IFERROR(__xludf.DUMMYFUNCTION("""COMPUTED_VALUE"""),280.0)</f>
        <v>280</v>
      </c>
      <c r="BA60" s="688">
        <f>IFERROR(__xludf.DUMMYFUNCTION("""COMPUTED_VALUE"""),2042.6678733988642)</f>
        <v>2042.667873</v>
      </c>
      <c r="BB60" s="688" t="str">
        <f>IFERROR(__xludf.DUMMYFUNCTION("""COMPUTED_VALUE"""),"-")</f>
        <v>-</v>
      </c>
      <c r="BC60" s="688" t="str">
        <f>IFERROR(__xludf.DUMMYFUNCTION("""COMPUTED_VALUE"""),"#VALUE!")</f>
        <v>#VALUE!</v>
      </c>
      <c r="BD60" s="688" t="str">
        <f>IFERROR(__xludf.DUMMYFUNCTION("""COMPUTED_VALUE"""),"#VALUE!")</f>
        <v>#VALUE!</v>
      </c>
      <c r="BE60" s="674">
        <f>IFERROR(__xludf.DUMMYFUNCTION("""COMPUTED_VALUE"""),280.0)</f>
        <v>280</v>
      </c>
      <c r="BF60" s="674">
        <f>IFERROR(__xludf.DUMMYFUNCTION("""COMPUTED_VALUE"""),560.0)</f>
        <v>560</v>
      </c>
      <c r="BG60" s="673">
        <f>IFERROR(__xludf.DUMMYFUNCTION("""COMPUTED_VALUE"""),0.0)</f>
        <v>0</v>
      </c>
      <c r="BH60" s="673">
        <f>IFERROR(__xludf.DUMMYFUNCTION("""COMPUTED_VALUE"""),-0.5)</f>
        <v>-0.5</v>
      </c>
      <c r="BI60" s="673">
        <f>IFERROR(__xludf.DUMMYFUNCTION("""COMPUTED_VALUE"""),0.0)</f>
        <v>0</v>
      </c>
      <c r="BJ60" s="673">
        <f>IFERROR(__xludf.DUMMYFUNCTION("""COMPUTED_VALUE"""),0.0)</f>
        <v>0</v>
      </c>
      <c r="BK60" s="673">
        <f>IFERROR(__xludf.DUMMYFUNCTION("""COMPUTED_VALUE"""),0.0)</f>
        <v>0</v>
      </c>
      <c r="BL60" s="673">
        <f>IFERROR(__xludf.DUMMYFUNCTION("""COMPUTED_VALUE"""),0.0)</f>
        <v>0</v>
      </c>
      <c r="BM60" s="674">
        <f>IFERROR(__xludf.DUMMYFUNCTION("""COMPUTED_VALUE"""),100.0)</f>
        <v>100</v>
      </c>
      <c r="BN60" s="674">
        <f>IFERROR(__xludf.DUMMYFUNCTION("""COMPUTED_VALUE"""),100.0)</f>
        <v>100</v>
      </c>
      <c r="BO60" s="675">
        <f>IFERROR(__xludf.DUMMYFUNCTION("""COMPUTED_VALUE"""),0.0)</f>
        <v>0</v>
      </c>
      <c r="BP60" s="675">
        <f>IFERROR(__xludf.DUMMYFUNCTION("""COMPUTED_VALUE"""),2.0)</f>
        <v>2</v>
      </c>
      <c r="BQ60" s="675" t="str">
        <f>IFERROR(__xludf.DUMMYFUNCTION("""COMPUTED_VALUE"""),"※")</f>
        <v>※</v>
      </c>
      <c r="BR60" s="139">
        <f>IFERROR(__xludf.DUMMYFUNCTION("""COMPUTED_VALUE"""),1.0)</f>
        <v>1</v>
      </c>
      <c r="BS60" s="139">
        <f>IFERROR(__xludf.DUMMYFUNCTION("""COMPUTED_VALUE"""),30.0)</f>
        <v>30</v>
      </c>
      <c r="BT60" s="139">
        <f>IFERROR(__xludf.DUMMYFUNCTION("""COMPUTED_VALUE"""),0.21)</f>
        <v>0.21</v>
      </c>
      <c r="BU60" s="139">
        <f>IFERROR(__xludf.DUMMYFUNCTION("""COMPUTED_VALUE"""),0.0)</f>
        <v>0</v>
      </c>
      <c r="BV60" s="139" t="str">
        <f>IFERROR(__xludf.DUMMYFUNCTION("""COMPUTED_VALUE"""),"普通")</f>
        <v>普通</v>
      </c>
      <c r="BW60" s="139" t="str">
        <f>IFERROR(__xludf.DUMMYFUNCTION("""COMPUTED_VALUE"""),"根性")</f>
        <v>根性</v>
      </c>
      <c r="BX60" s="139">
        <f>IFERROR(__xludf.DUMMYFUNCTION("""COMPUTED_VALUE"""),1.0)</f>
        <v>1</v>
      </c>
      <c r="BY60" s="139">
        <f>IFERROR(__xludf.DUMMYFUNCTION("""COMPUTED_VALUE"""),2.0)</f>
        <v>2</v>
      </c>
      <c r="BZ60" s="139" t="str">
        <f>IFERROR(__xludf.DUMMYFUNCTION("""COMPUTED_VALUE"""),"-")</f>
        <v>-</v>
      </c>
      <c r="CA60" s="139" t="str">
        <f>IFERROR(__xludf.DUMMYFUNCTION("""COMPUTED_VALUE"""),"-")</f>
        <v>-</v>
      </c>
      <c r="CB60" s="139" t="str">
        <f>IFERROR(__xludf.DUMMYFUNCTION("""COMPUTED_VALUE"""),"-")</f>
        <v>-</v>
      </c>
      <c r="CC60" s="139" t="str">
        <f>IFERROR(__xludf.DUMMYFUNCTION("""COMPUTED_VALUE"""),"近距離")</f>
        <v>近距離</v>
      </c>
      <c r="CD60" s="139" t="str">
        <f>IFERROR(__xludf.DUMMYFUNCTION("""COMPUTED_VALUE"""),"単体")</f>
        <v>単体</v>
      </c>
      <c r="CE60" s="139">
        <f>IFERROR(__xludf.DUMMYFUNCTION("""COMPUTED_VALUE"""),1.0)</f>
        <v>1</v>
      </c>
      <c r="CF60" s="139">
        <f>IFERROR(__xludf.DUMMYFUNCTION("""COMPUTED_VALUE"""),0.22)</f>
        <v>0.22</v>
      </c>
      <c r="CG60" s="139" t="str">
        <f>IFERROR(__xludf.DUMMYFUNCTION("""COMPUTED_VALUE"""),"中距離")</f>
        <v>中距離</v>
      </c>
      <c r="CH60" s="139" t="str">
        <f>IFERROR(__xludf.DUMMYFUNCTION("""COMPUTED_VALUE"""),"単体")</f>
        <v>単体</v>
      </c>
      <c r="CI60" s="139">
        <f>IFERROR(__xludf.DUMMYFUNCTION("""COMPUTED_VALUE"""),1.0)</f>
        <v>1</v>
      </c>
      <c r="CJ60" s="139">
        <f>IFERROR(__xludf.DUMMYFUNCTION("""COMPUTED_VALUE"""),0.35)</f>
        <v>0.35</v>
      </c>
      <c r="CK60" s="139" t="str">
        <f>IFERROR(__xludf.DUMMYFUNCTION("""COMPUTED_VALUE"""),"敵")</f>
        <v>敵</v>
      </c>
      <c r="CL60" s="139" t="str">
        <f>IFERROR(__xludf.DUMMYFUNCTION("""COMPUTED_VALUE"""),"All")</f>
        <v>All</v>
      </c>
      <c r="CM60" s="139" t="str">
        <f>IFERROR(__xludf.DUMMYFUNCTION("""COMPUTED_VALUE"""),"All")</f>
        <v>All</v>
      </c>
      <c r="CN60" s="675">
        <f>IFERROR(__xludf.DUMMYFUNCTION("""COMPUTED_VALUE"""),19.052558883257646)</f>
        <v>19.05255888</v>
      </c>
      <c r="CO60" s="139" t="str">
        <f>IFERROR(__xludf.DUMMYFUNCTION("""COMPUTED_VALUE"""),"-")</f>
        <v>-</v>
      </c>
      <c r="CP60" s="139" t="str">
        <f>IFERROR(__xludf.DUMMYFUNCTION("""COMPUTED_VALUE"""),"-")</f>
        <v>-</v>
      </c>
      <c r="CQ60" s="139" t="str">
        <f>IFERROR(__xludf.DUMMYFUNCTION("""COMPUTED_VALUE"""),"-")</f>
        <v>-</v>
      </c>
      <c r="CR60" s="139" t="str">
        <f>IFERROR(__xludf.DUMMYFUNCTION("""COMPUTED_VALUE"""),"-")</f>
        <v>-</v>
      </c>
      <c r="CS60" s="673" t="str">
        <f>IFERROR(__xludf.DUMMYFUNCTION("""COMPUTED_VALUE"""),"攻撃(必殺)")</f>
        <v>攻撃(必殺)</v>
      </c>
      <c r="CT60" s="139" t="str">
        <f>IFERROR(__xludf.DUMMYFUNCTION("""COMPUTED_VALUE"""),"-")</f>
        <v>-</v>
      </c>
      <c r="CU60" s="139" t="str">
        <f>IFERROR(__xludf.DUMMYFUNCTION("""COMPUTED_VALUE"""),"敵")</f>
        <v>敵</v>
      </c>
      <c r="CV60" s="139" t="str">
        <f>IFERROR(__xludf.DUMMYFUNCTION("""COMPUTED_VALUE"""),"All")</f>
        <v>All</v>
      </c>
      <c r="CW60" s="139" t="str">
        <f>IFERROR(__xludf.DUMMYFUNCTION("""COMPUTED_VALUE"""),"All")</f>
        <v>All</v>
      </c>
      <c r="CX60" s="674">
        <f>IFERROR(__xludf.DUMMYFUNCTION("""COMPUTED_VALUE"""),160.0)</f>
        <v>160</v>
      </c>
      <c r="CY60" s="139" t="str">
        <f>IFERROR(__xludf.DUMMYFUNCTION("""COMPUTED_VALUE"""),"-")</f>
        <v>-</v>
      </c>
      <c r="CZ60" s="688">
        <f>IFERROR(__xludf.DUMMYFUNCTION("""COMPUTED_VALUE"""),6537.0)</f>
        <v>6537</v>
      </c>
      <c r="DA60" s="688">
        <f>IFERROR(__xludf.DUMMYFUNCTION("""COMPUTED_VALUE"""),368.0611369535602)</f>
        <v>368.061137</v>
      </c>
      <c r="DB60" s="688">
        <f>IFERROR(__xludf.DUMMYFUNCTION("""COMPUTED_VALUE"""),0.0)</f>
        <v>0</v>
      </c>
      <c r="DC60" s="139" t="str">
        <f>IFERROR(__xludf.DUMMYFUNCTION("""COMPUTED_VALUE"""),"-")</f>
        <v>-</v>
      </c>
      <c r="DD60" s="673" t="str">
        <f>IFERROR(__xludf.DUMMYFUNCTION("""COMPUTED_VALUE"""),"-")</f>
        <v>-</v>
      </c>
      <c r="DE60" s="139" t="str">
        <f>IFERROR(__xludf.DUMMYFUNCTION("""COMPUTED_VALUE"""),"-")</f>
        <v>-</v>
      </c>
      <c r="DF60" s="139" t="str">
        <f>IFERROR(__xludf.DUMMYFUNCTION("""COMPUTED_VALUE"""),"-")</f>
        <v>-</v>
      </c>
      <c r="DG60" s="139" t="str">
        <f>IFERROR(__xludf.DUMMYFUNCTION("""COMPUTED_VALUE"""),"-")</f>
        <v>-</v>
      </c>
      <c r="DH60" s="139" t="str">
        <f>IFERROR(__xludf.DUMMYFUNCTION("""COMPUTED_VALUE"""),"-")</f>
        <v>-</v>
      </c>
      <c r="DI60" s="139" t="str">
        <f>IFERROR(__xludf.DUMMYFUNCTION("""COMPUTED_VALUE"""),"-")</f>
        <v>-</v>
      </c>
      <c r="DJ60" s="139" t="str">
        <f>IFERROR(__xludf.DUMMYFUNCTION("""COMPUTED_VALUE"""),"-")</f>
        <v>-</v>
      </c>
    </row>
    <row r="61">
      <c r="A61" s="139" t="str">
        <f>IFERROR(__xludf.DUMMYFUNCTION("""COMPUTED_VALUE"""),"忘却バッテリー")</f>
        <v>忘却バッテリー</v>
      </c>
      <c r="B61" s="139" t="str">
        <f>IFERROR(__xludf.DUMMYFUNCTION("""COMPUTED_VALUE"""),"清峰 葉流火")</f>
        <v>清峰 葉流火</v>
      </c>
      <c r="C61" s="139" t="str">
        <f>IFERROR(__xludf.DUMMYFUNCTION("""COMPUTED_VALUE"""),"chara_bat_00001")</f>
        <v>chara_bat_00001</v>
      </c>
      <c r="D61" s="139" t="str">
        <f>IFERROR(__xludf.DUMMYFUNCTION("""COMPUTED_VALUE"""),"PremiumSR")</f>
        <v>PremiumSR</v>
      </c>
      <c r="E61" s="139" t="str">
        <f>IFERROR(__xludf.DUMMYFUNCTION("""COMPUTED_VALUE"""),"赤")</f>
        <v>赤</v>
      </c>
      <c r="F61" s="139" t="str">
        <f>IFERROR(__xludf.DUMMYFUNCTION("""COMPUTED_VALUE"""),"アタック")</f>
        <v>アタック</v>
      </c>
      <c r="G61" s="139" t="str">
        <f>IFERROR(__xludf.DUMMYFUNCTION("""COMPUTED_VALUE"""),"遠距離")</f>
        <v>遠距離</v>
      </c>
      <c r="H61" s="139" t="str">
        <f>IFERROR(__xludf.DUMMYFUNCTION("""COMPUTED_VALUE"""),"dageki_1")</f>
        <v>dageki_1</v>
      </c>
      <c r="I61" s="139" t="str">
        <f>IFERROR(__xludf.DUMMYFUNCTION("""COMPUTED_VALUE"""),"dageki_2")</f>
        <v>dageki_2</v>
      </c>
      <c r="J61" s="139" t="str">
        <f>IFERROR(__xludf.DUMMYFUNCTION("""COMPUTED_VALUE"""),"202509010_リリース")</f>
        <v>202509010_リリース</v>
      </c>
      <c r="K61" s="139" t="str">
        <f>IFERROR(__xludf.DUMMYFUNCTION("""COMPUTED_VALUE"""),"リリース時")</f>
        <v>リリース時</v>
      </c>
      <c r="L61" s="139" t="str">
        <f>IFERROR(__xludf.DUMMYFUNCTION("""COMPUTED_VALUE"""),"※")</f>
        <v>※</v>
      </c>
      <c r="M61" s="674">
        <f>IFERROR(__xludf.DUMMYFUNCTION("""COMPUTED_VALUE"""),220.0)</f>
        <v>220</v>
      </c>
      <c r="N61" s="139">
        <f>IFERROR(__xludf.DUMMYFUNCTION("""COMPUTED_VALUE"""),200.0)</f>
        <v>200</v>
      </c>
      <c r="O61" s="139" t="str">
        <f>IFERROR(__xludf.DUMMYFUNCTION("""COMPUTED_VALUE"""),"低コスト")</f>
        <v>低コスト</v>
      </c>
      <c r="P61" s="139">
        <f>IFERROR(__xludf.DUMMYFUNCTION("""COMPUTED_VALUE"""),0.0)</f>
        <v>0</v>
      </c>
      <c r="Q61" s="675">
        <f>IFERROR(__xludf.DUMMYFUNCTION("""COMPUTED_VALUE"""),10.0)</f>
        <v>10</v>
      </c>
      <c r="R61" s="675">
        <f>IFERROR(__xludf.DUMMYFUNCTION("""COMPUTED_VALUE"""),10.0)</f>
        <v>10</v>
      </c>
      <c r="S61" s="675">
        <f>IFERROR(__xludf.DUMMYFUNCTION("""COMPUTED_VALUE"""),3.0)</f>
        <v>3</v>
      </c>
      <c r="T61" s="674">
        <f>IFERROR(__xludf.DUMMYFUNCTION("""COMPUTED_VALUE"""),125.0)</f>
        <v>125</v>
      </c>
      <c r="U61" s="675">
        <f>IFERROR(__xludf.DUMMYFUNCTION("""COMPUTED_VALUE"""),2.5)</f>
        <v>2.5</v>
      </c>
      <c r="V61" s="675">
        <f>IFERROR(__xludf.DUMMYFUNCTION("""COMPUTED_VALUE"""),0.0)</f>
        <v>0</v>
      </c>
      <c r="W61" s="675">
        <f>IFERROR(__xludf.DUMMYFUNCTION("""COMPUTED_VALUE"""),0.0)</f>
        <v>0</v>
      </c>
      <c r="X61" s="675">
        <f>IFERROR(__xludf.DUMMYFUNCTION("""COMPUTED_VALUE"""),0.0)</f>
        <v>0</v>
      </c>
      <c r="Y61" s="674">
        <f>IFERROR(__xludf.DUMMYFUNCTION("""COMPUTED_VALUE"""),100.0)</f>
        <v>100</v>
      </c>
      <c r="Z61" s="675">
        <f>IFERROR(__xludf.DUMMYFUNCTION("""COMPUTED_VALUE"""),2.0)</f>
        <v>2</v>
      </c>
      <c r="AA61" s="675">
        <f>IFERROR(__xludf.DUMMYFUNCTION("""COMPUTED_VALUE"""),0.0)</f>
        <v>0</v>
      </c>
      <c r="AB61" s="673">
        <f>IFERROR(__xludf.DUMMYFUNCTION("""COMPUTED_VALUE"""),-0.11000000000000001)</f>
        <v>-0.11</v>
      </c>
      <c r="AC61" s="675">
        <f>IFERROR(__xludf.DUMMYFUNCTION("""COMPUTED_VALUE"""),0.0)</f>
        <v>0</v>
      </c>
      <c r="AD61" s="674">
        <f>IFERROR(__xludf.DUMMYFUNCTION("""COMPUTED_VALUE"""),575.0)</f>
        <v>575</v>
      </c>
      <c r="AE61" s="675">
        <f>IFERROR(__xludf.DUMMYFUNCTION("""COMPUTED_VALUE"""),11.536897329871667)</f>
        <v>11.53689733</v>
      </c>
      <c r="AF61" s="675">
        <f>IFERROR(__xludf.DUMMYFUNCTION("""COMPUTED_VALUE"""),0.0)</f>
        <v>0</v>
      </c>
      <c r="AG61" s="675">
        <f>IFERROR(__xludf.DUMMYFUNCTION("""COMPUTED_VALUE"""),5.768448664935834)</f>
        <v>5.768448665</v>
      </c>
      <c r="AH61" s="675">
        <f>IFERROR(__xludf.DUMMYFUNCTION("""COMPUTED_VALUE"""),0.0)</f>
        <v>0</v>
      </c>
      <c r="AI61" s="139" t="str">
        <f>IFERROR(__xludf.DUMMYFUNCTION("""COMPUTED_VALUE"""),"-")</f>
        <v>-</v>
      </c>
      <c r="AJ61" s="139" t="str">
        <f>IFERROR(__xludf.DUMMYFUNCTION("""COMPUTED_VALUE"""),"-")</f>
        <v>-</v>
      </c>
      <c r="AK61" s="139">
        <f>IFERROR(__xludf.DUMMYFUNCTION("""COMPUTED_VALUE"""),1.0)</f>
        <v>1</v>
      </c>
      <c r="AL61" s="674">
        <f>IFERROR(__xludf.DUMMYFUNCTION("""COMPUTED_VALUE"""),330.0)</f>
        <v>330</v>
      </c>
      <c r="AM61" s="688">
        <f>IFERROR(__xludf.DUMMYFUNCTION("""COMPUTED_VALUE"""),2407.019279362947)</f>
        <v>2407.019279</v>
      </c>
      <c r="AN61" s="675">
        <f>IFERROR(__xludf.DUMMYFUNCTION("""COMPUTED_VALUE"""),2.2)</f>
        <v>2.2</v>
      </c>
      <c r="AO61" s="675">
        <f>IFERROR(__xludf.DUMMYFUNCTION("""COMPUTED_VALUE"""),1.1)</f>
        <v>1.1</v>
      </c>
      <c r="AP61" s="674">
        <f>IFERROR(__xludf.DUMMYFUNCTION("""COMPUTED_VALUE"""),660.0)</f>
        <v>660</v>
      </c>
      <c r="AQ61" s="673">
        <f>IFERROR(__xludf.DUMMYFUNCTION("""COMPUTED_VALUE"""),-0.2)</f>
        <v>-0.2</v>
      </c>
      <c r="AR61" s="673">
        <f>IFERROR(__xludf.DUMMYFUNCTION("""COMPUTED_VALUE"""),0.0)</f>
        <v>0</v>
      </c>
      <c r="AS61" s="673">
        <f>IFERROR(__xludf.DUMMYFUNCTION("""COMPUTED_VALUE"""),-0.3)</f>
        <v>-0.3</v>
      </c>
      <c r="AT61" s="673">
        <f>IFERROR(__xludf.DUMMYFUNCTION("""COMPUTED_VALUE"""),0.0)</f>
        <v>0</v>
      </c>
      <c r="AU61" s="673">
        <f>IFERROR(__xludf.DUMMYFUNCTION("""COMPUTED_VALUE"""),0.0)</f>
        <v>0</v>
      </c>
      <c r="AV61" s="673">
        <f>IFERROR(__xludf.DUMMYFUNCTION("""COMPUTED_VALUE"""),0.0)</f>
        <v>0</v>
      </c>
      <c r="AW61" s="139"/>
      <c r="AX61" s="674">
        <f>IFERROR(__xludf.DUMMYFUNCTION("""COMPUTED_VALUE"""),1860.0)</f>
        <v>1860</v>
      </c>
      <c r="AY61" s="688">
        <f>IFERROR(__xludf.DUMMYFUNCTION("""COMPUTED_VALUE"""),13570.232301863884)</f>
        <v>13570.2323</v>
      </c>
      <c r="AZ61" s="674">
        <f>IFERROR(__xludf.DUMMYFUNCTION("""COMPUTED_VALUE"""),620.0)</f>
        <v>620</v>
      </c>
      <c r="BA61" s="688">
        <f>IFERROR(__xludf.DUMMYFUNCTION("""COMPUTED_VALUE"""),4523.410767287961)</f>
        <v>4523.410767</v>
      </c>
      <c r="BB61" s="688" t="str">
        <f>IFERROR(__xludf.DUMMYFUNCTION("""COMPUTED_VALUE"""),"-")</f>
        <v>-</v>
      </c>
      <c r="BC61" s="688" t="str">
        <f>IFERROR(__xludf.DUMMYFUNCTION("""COMPUTED_VALUE"""),"#VALUE!")</f>
        <v>#VALUE!</v>
      </c>
      <c r="BD61" s="688" t="str">
        <f>IFERROR(__xludf.DUMMYFUNCTION("""COMPUTED_VALUE"""),"#VALUE!")</f>
        <v>#VALUE!</v>
      </c>
      <c r="BE61" s="674">
        <f>IFERROR(__xludf.DUMMYFUNCTION("""COMPUTED_VALUE"""),620.0)</f>
        <v>620</v>
      </c>
      <c r="BF61" s="674">
        <f>IFERROR(__xludf.DUMMYFUNCTION("""COMPUTED_VALUE"""),440.0)</f>
        <v>440</v>
      </c>
      <c r="BG61" s="673">
        <f>IFERROR(__xludf.DUMMYFUNCTION("""COMPUTED_VALUE"""),0.0)</f>
        <v>0</v>
      </c>
      <c r="BH61" s="673">
        <f>IFERROR(__xludf.DUMMYFUNCTION("""COMPUTED_VALUE"""),0.3)</f>
        <v>0.3</v>
      </c>
      <c r="BI61" s="673">
        <f>IFERROR(__xludf.DUMMYFUNCTION("""COMPUTED_VALUE"""),0.1)</f>
        <v>0.1</v>
      </c>
      <c r="BJ61" s="673">
        <f>IFERROR(__xludf.DUMMYFUNCTION("""COMPUTED_VALUE"""),0.0)</f>
        <v>0</v>
      </c>
      <c r="BK61" s="673">
        <f>IFERROR(__xludf.DUMMYFUNCTION("""COMPUTED_VALUE"""),0.0)</f>
        <v>0</v>
      </c>
      <c r="BL61" s="673">
        <f>IFERROR(__xludf.DUMMYFUNCTION("""COMPUTED_VALUE"""),0.0)</f>
        <v>0</v>
      </c>
      <c r="BM61" s="674">
        <f>IFERROR(__xludf.DUMMYFUNCTION("""COMPUTED_VALUE"""),150.0)</f>
        <v>150</v>
      </c>
      <c r="BN61" s="674">
        <f>IFERROR(__xludf.DUMMYFUNCTION("""COMPUTED_VALUE"""),150.0)</f>
        <v>150</v>
      </c>
      <c r="BO61" s="675">
        <f>IFERROR(__xludf.DUMMYFUNCTION("""COMPUTED_VALUE"""),0.0)</f>
        <v>0</v>
      </c>
      <c r="BP61" s="675">
        <f>IFERROR(__xludf.DUMMYFUNCTION("""COMPUTED_VALUE"""),3.0)</f>
        <v>3</v>
      </c>
      <c r="BQ61" s="675" t="str">
        <f>IFERROR(__xludf.DUMMYFUNCTION("""COMPUTED_VALUE"""),"※")</f>
        <v>※</v>
      </c>
      <c r="BR61" s="139">
        <f>IFERROR(__xludf.DUMMYFUNCTION("""COMPUTED_VALUE"""),3.0)</f>
        <v>3</v>
      </c>
      <c r="BS61" s="139">
        <f>IFERROR(__xludf.DUMMYFUNCTION("""COMPUTED_VALUE"""),45.0)</f>
        <v>45</v>
      </c>
      <c r="BT61" s="139">
        <f>IFERROR(__xludf.DUMMYFUNCTION("""COMPUTED_VALUE"""),0.59)</f>
        <v>0.59</v>
      </c>
      <c r="BU61" s="139">
        <f>IFERROR(__xludf.DUMMYFUNCTION("""COMPUTED_VALUE"""),0.0)</f>
        <v>0</v>
      </c>
      <c r="BV61" s="139" t="str">
        <f>IFERROR(__xludf.DUMMYFUNCTION("""COMPUTED_VALUE"""),"速い-普通")</f>
        <v>速い-普通</v>
      </c>
      <c r="BW61" s="139" t="str">
        <f>IFERROR(__xludf.DUMMYFUNCTION("""COMPUTED_VALUE"""),"攻撃UPコマ効果UP")</f>
        <v>攻撃UPコマ効果UP</v>
      </c>
      <c r="BX61" s="139">
        <f>IFERROR(__xludf.DUMMYFUNCTION("""COMPUTED_VALUE"""),15.0)</f>
        <v>15</v>
      </c>
      <c r="BY61" s="139">
        <f>IFERROR(__xludf.DUMMYFUNCTION("""COMPUTED_VALUE"""),2.0)</f>
        <v>2</v>
      </c>
      <c r="BZ61" s="139" t="str">
        <f>IFERROR(__xludf.DUMMYFUNCTION("""COMPUTED_VALUE"""),"-")</f>
        <v>-</v>
      </c>
      <c r="CA61" s="139" t="str">
        <f>IFERROR(__xludf.DUMMYFUNCTION("""COMPUTED_VALUE"""),"-")</f>
        <v>-</v>
      </c>
      <c r="CB61" s="139" t="str">
        <f>IFERROR(__xludf.DUMMYFUNCTION("""COMPUTED_VALUE"""),"-")</f>
        <v>-</v>
      </c>
      <c r="CC61" s="139" t="str">
        <f>IFERROR(__xludf.DUMMYFUNCTION("""COMPUTED_VALUE"""),"遠距離")</f>
        <v>遠距離</v>
      </c>
      <c r="CD61" s="139" t="str">
        <f>IFERROR(__xludf.DUMMYFUNCTION("""COMPUTED_VALUE"""),"単体")</f>
        <v>単体</v>
      </c>
      <c r="CE61" s="139">
        <f>IFERROR(__xludf.DUMMYFUNCTION("""COMPUTED_VALUE"""),1.0)</f>
        <v>1</v>
      </c>
      <c r="CF61" s="139">
        <f>IFERROR(__xludf.DUMMYFUNCTION("""COMPUTED_VALUE"""),0.6)</f>
        <v>0.6</v>
      </c>
      <c r="CG61" s="139" t="str">
        <f>IFERROR(__xludf.DUMMYFUNCTION("""COMPUTED_VALUE"""),"遠距離")</f>
        <v>遠距離</v>
      </c>
      <c r="CH61" s="139" t="str">
        <f>IFERROR(__xludf.DUMMYFUNCTION("""COMPUTED_VALUE"""),"単体")</f>
        <v>単体</v>
      </c>
      <c r="CI61" s="139">
        <f>IFERROR(__xludf.DUMMYFUNCTION("""COMPUTED_VALUE"""),1.0)</f>
        <v>1</v>
      </c>
      <c r="CJ61" s="139">
        <f>IFERROR(__xludf.DUMMYFUNCTION("""COMPUTED_VALUE"""),0.6)</f>
        <v>0.6</v>
      </c>
      <c r="CK61" s="139" t="str">
        <f>IFERROR(__xludf.DUMMYFUNCTION("""COMPUTED_VALUE"""),"敵")</f>
        <v>敵</v>
      </c>
      <c r="CL61" s="139" t="str">
        <f>IFERROR(__xludf.DUMMYFUNCTION("""COMPUTED_VALUE"""),"緑")</f>
        <v>緑</v>
      </c>
      <c r="CM61" s="139" t="str">
        <f>IFERROR(__xludf.DUMMYFUNCTION("""COMPUTED_VALUE"""),"All")</f>
        <v>All</v>
      </c>
      <c r="CN61" s="675">
        <f>IFERROR(__xludf.DUMMYFUNCTION("""COMPUTED_VALUE"""),11.536897329871667)</f>
        <v>11.53689733</v>
      </c>
      <c r="CO61" s="139" t="str">
        <f>IFERROR(__xludf.DUMMYFUNCTION("""COMPUTED_VALUE"""),"-")</f>
        <v>-</v>
      </c>
      <c r="CP61" s="139" t="str">
        <f>IFERROR(__xludf.DUMMYFUNCTION("""COMPUTED_VALUE"""),"-")</f>
        <v>-</v>
      </c>
      <c r="CQ61" s="139" t="str">
        <f>IFERROR(__xludf.DUMMYFUNCTION("""COMPUTED_VALUE"""),"-")</f>
        <v>-</v>
      </c>
      <c r="CR61" s="139" t="str">
        <f>IFERROR(__xludf.DUMMYFUNCTION("""COMPUTED_VALUE"""),"-")</f>
        <v>-</v>
      </c>
      <c r="CS61" s="673" t="str">
        <f>IFERROR(__xludf.DUMMYFUNCTION("""COMPUTED_VALUE"""),"キラー攻撃(緑)")</f>
        <v>キラー攻撃(緑)</v>
      </c>
      <c r="CT61" s="139" t="str">
        <f>IFERROR(__xludf.DUMMYFUNCTION("""COMPUTED_VALUE"""),"-")</f>
        <v>-</v>
      </c>
      <c r="CU61" s="139" t="str">
        <f>IFERROR(__xludf.DUMMYFUNCTION("""COMPUTED_VALUE"""),"敵")</f>
        <v>敵</v>
      </c>
      <c r="CV61" s="139" t="str">
        <f>IFERROR(__xludf.DUMMYFUNCTION("""COMPUTED_VALUE"""),"緑")</f>
        <v>緑</v>
      </c>
      <c r="CW61" s="139" t="str">
        <f>IFERROR(__xludf.DUMMYFUNCTION("""COMPUTED_VALUE"""),"All")</f>
        <v>All</v>
      </c>
      <c r="CX61" s="674">
        <f>IFERROR(__xludf.DUMMYFUNCTION("""COMPUTED_VALUE"""),140.0)</f>
        <v>140</v>
      </c>
      <c r="CY61" s="139" t="str">
        <f>IFERROR(__xludf.DUMMYFUNCTION("""COMPUTED_VALUE"""),"-")</f>
        <v>-</v>
      </c>
      <c r="CZ61" s="688">
        <f>IFERROR(__xludf.DUMMYFUNCTION("""COMPUTED_VALUE"""),28497.0)</f>
        <v>28497</v>
      </c>
      <c r="DA61" s="688">
        <f>IFERROR(__xludf.DUMMYFUNCTION("""COMPUTED_VALUE"""),2692.6619117240966)</f>
        <v>2692.661912</v>
      </c>
      <c r="DB61" s="688">
        <f>IFERROR(__xludf.DUMMYFUNCTION("""COMPUTED_VALUE"""),0.0)</f>
        <v>0</v>
      </c>
      <c r="DC61" s="139" t="str">
        <f>IFERROR(__xludf.DUMMYFUNCTION("""COMPUTED_VALUE"""),"-")</f>
        <v>-</v>
      </c>
      <c r="DD61" s="673" t="str">
        <f>IFERROR(__xludf.DUMMYFUNCTION("""COMPUTED_VALUE"""),"-")</f>
        <v>-</v>
      </c>
      <c r="DE61" s="139" t="str">
        <f>IFERROR(__xludf.DUMMYFUNCTION("""COMPUTED_VALUE"""),"-")</f>
        <v>-</v>
      </c>
      <c r="DF61" s="139" t="str">
        <f>IFERROR(__xludf.DUMMYFUNCTION("""COMPUTED_VALUE"""),"-")</f>
        <v>-</v>
      </c>
      <c r="DG61" s="139" t="str">
        <f>IFERROR(__xludf.DUMMYFUNCTION("""COMPUTED_VALUE"""),"-")</f>
        <v>-</v>
      </c>
      <c r="DH61" s="139" t="str">
        <f>IFERROR(__xludf.DUMMYFUNCTION("""COMPUTED_VALUE"""),"-")</f>
        <v>-</v>
      </c>
      <c r="DI61" s="139" t="str">
        <f>IFERROR(__xludf.DUMMYFUNCTION("""COMPUTED_VALUE"""),"-")</f>
        <v>-</v>
      </c>
      <c r="DJ61" s="139" t="str">
        <f>IFERROR(__xludf.DUMMYFUNCTION("""COMPUTED_VALUE"""),"-")</f>
        <v>-</v>
      </c>
    </row>
    <row r="62">
      <c r="A62" s="139" t="str">
        <f>IFERROR(__xludf.DUMMYFUNCTION("""COMPUTED_VALUE"""),"鴨乃橋ロンの禁断推理")</f>
        <v>鴨乃橋ロンの禁断推理</v>
      </c>
      <c r="B62" s="139" t="str">
        <f>IFERROR(__xludf.DUMMYFUNCTION("""COMPUTED_VALUE"""),"一色 都々丸")</f>
        <v>一色 都々丸</v>
      </c>
      <c r="C62" s="139" t="str">
        <f>IFERROR(__xludf.DUMMYFUNCTION("""COMPUTED_VALUE"""),"chara_ron_00101")</f>
        <v>chara_ron_00101</v>
      </c>
      <c r="D62" s="139" t="str">
        <f>IFERROR(__xludf.DUMMYFUNCTION("""COMPUTED_VALUE"""),"PremiumR")</f>
        <v>PremiumR</v>
      </c>
      <c r="E62" s="139" t="str">
        <f>IFERROR(__xludf.DUMMYFUNCTION("""COMPUTED_VALUE"""),"青")</f>
        <v>青</v>
      </c>
      <c r="F62" s="139" t="str">
        <f>IFERROR(__xludf.DUMMYFUNCTION("""COMPUTED_VALUE"""),"ディフェンス")</f>
        <v>ディフェンス</v>
      </c>
      <c r="G62" s="139" t="str">
        <f>IFERROR(__xludf.DUMMYFUNCTION("""COMPUTED_VALUE"""),"中距離")</f>
        <v>中距離</v>
      </c>
      <c r="H62" s="139" t="str">
        <f>IFERROR(__xludf.DUMMYFUNCTION("""COMPUTED_VALUE"""),"dageki_2")</f>
        <v>dageki_2</v>
      </c>
      <c r="I62" s="139" t="str">
        <f>IFERROR(__xludf.DUMMYFUNCTION("""COMPUTED_VALUE"""),"dageki_1")</f>
        <v>dageki_1</v>
      </c>
      <c r="J62" s="139" t="str">
        <f>IFERROR(__xludf.DUMMYFUNCTION("""COMPUTED_VALUE"""),"202509010_リリース")</f>
        <v>202509010_リリース</v>
      </c>
      <c r="K62" s="139" t="str">
        <f>IFERROR(__xludf.DUMMYFUNCTION("""COMPUTED_VALUE"""),"リリース時")</f>
        <v>リリース時</v>
      </c>
      <c r="L62" s="687" t="str">
        <f>IFERROR(__xludf.DUMMYFUNCTION("""COMPUTED_VALUE"""),"※")</f>
        <v>※</v>
      </c>
      <c r="M62" s="674">
        <f>IFERROR(__xludf.DUMMYFUNCTION("""COMPUTED_VALUE"""),210.0)</f>
        <v>210</v>
      </c>
      <c r="N62" s="139">
        <f>IFERROR(__xludf.DUMMYFUNCTION("""COMPUTED_VALUE"""),200.0)</f>
        <v>200</v>
      </c>
      <c r="O62" s="139" t="str">
        <f>IFERROR(__xludf.DUMMYFUNCTION("""COMPUTED_VALUE"""),"低コスト")</f>
        <v>低コスト</v>
      </c>
      <c r="P62" s="139">
        <f>IFERROR(__xludf.DUMMYFUNCTION("""COMPUTED_VALUE"""),0.0)</f>
        <v>0</v>
      </c>
      <c r="Q62" s="675">
        <f>IFERROR(__xludf.DUMMYFUNCTION("""COMPUTED_VALUE"""),10.0)</f>
        <v>10</v>
      </c>
      <c r="R62" s="675">
        <f>IFERROR(__xludf.DUMMYFUNCTION("""COMPUTED_VALUE"""),0.0)</f>
        <v>0</v>
      </c>
      <c r="S62" s="675">
        <f>IFERROR(__xludf.DUMMYFUNCTION("""COMPUTED_VALUE"""),2.75)</f>
        <v>2.75</v>
      </c>
      <c r="T62" s="674">
        <f>IFERROR(__xludf.DUMMYFUNCTION("""COMPUTED_VALUE"""),415.0)</f>
        <v>415</v>
      </c>
      <c r="U62" s="675">
        <f>IFERROR(__xludf.DUMMYFUNCTION("""COMPUTED_VALUE"""),8.286666666666667)</f>
        <v>8.286666667</v>
      </c>
      <c r="V62" s="675">
        <f>IFERROR(__xludf.DUMMYFUNCTION("""COMPUTED_VALUE"""),0.0)</f>
        <v>0</v>
      </c>
      <c r="W62" s="675">
        <f>IFERROR(__xludf.DUMMYFUNCTION("""COMPUTED_VALUE"""),0.0)</f>
        <v>0</v>
      </c>
      <c r="X62" s="675">
        <f>IFERROR(__xludf.DUMMYFUNCTION("""COMPUTED_VALUE"""),0.0)</f>
        <v>0</v>
      </c>
      <c r="Y62" s="674">
        <f>IFERROR(__xludf.DUMMYFUNCTION("""COMPUTED_VALUE"""),215.0)</f>
        <v>215</v>
      </c>
      <c r="Z62" s="675">
        <f>IFERROR(__xludf.DUMMYFUNCTION("""COMPUTED_VALUE"""),4.331666666666666)</f>
        <v>4.331666667</v>
      </c>
      <c r="AA62" s="675">
        <f>IFERROR(__xludf.DUMMYFUNCTION("""COMPUTED_VALUE"""),0.0)</f>
        <v>0</v>
      </c>
      <c r="AB62" s="673">
        <f>IFERROR(__xludf.DUMMYFUNCTION("""COMPUTED_VALUE"""),0.0)</f>
        <v>0</v>
      </c>
      <c r="AC62" s="675">
        <f>IFERROR(__xludf.DUMMYFUNCTION("""COMPUTED_VALUE"""),0.0)</f>
        <v>0</v>
      </c>
      <c r="AD62" s="674">
        <f>IFERROR(__xludf.DUMMYFUNCTION("""COMPUTED_VALUE"""),800.0)</f>
        <v>800</v>
      </c>
      <c r="AE62" s="675">
        <f>IFERROR(__xludf.DUMMYFUNCTION("""COMPUTED_VALUE"""),16.011519290810604)</f>
        <v>16.01151929</v>
      </c>
      <c r="AF62" s="675">
        <f>IFERROR(__xludf.DUMMYFUNCTION("""COMPUTED_VALUE"""),0.0)</f>
        <v>0</v>
      </c>
      <c r="AG62" s="675">
        <f>IFERROR(__xludf.DUMMYFUNCTION("""COMPUTED_VALUE"""),5.337173096936867)</f>
        <v>5.337173097</v>
      </c>
      <c r="AH62" s="675">
        <f>IFERROR(__xludf.DUMMYFUNCTION("""COMPUTED_VALUE"""),0.0)</f>
        <v>0</v>
      </c>
      <c r="AI62" s="139" t="str">
        <f>IFERROR(__xludf.DUMMYFUNCTION("""COMPUTED_VALUE"""),"-")</f>
        <v>-</v>
      </c>
      <c r="AJ62" s="139" t="str">
        <f>IFERROR(__xludf.DUMMYFUNCTION("""COMPUTED_VALUE"""),"-")</f>
        <v>-</v>
      </c>
      <c r="AK62" s="139">
        <f>IFERROR(__xludf.DUMMYFUNCTION("""COMPUTED_VALUE"""),1.0)</f>
        <v>1</v>
      </c>
      <c r="AL62" s="674">
        <f>IFERROR(__xludf.DUMMYFUNCTION("""COMPUTED_VALUE"""),1130.0)</f>
        <v>1130</v>
      </c>
      <c r="AM62" s="688">
        <f>IFERROR(__xludf.DUMMYFUNCTION("""COMPUTED_VALUE"""),8058.761774788273)</f>
        <v>8058.761775</v>
      </c>
      <c r="AN62" s="675">
        <f>IFERROR(__xludf.DUMMYFUNCTION("""COMPUTED_VALUE"""),7.533333333333333)</f>
        <v>7.533333333</v>
      </c>
      <c r="AO62" s="675">
        <f>IFERROR(__xludf.DUMMYFUNCTION("""COMPUTED_VALUE"""),3.7666666666666666)</f>
        <v>3.766666667</v>
      </c>
      <c r="AP62" s="674">
        <f>IFERROR(__xludf.DUMMYFUNCTION("""COMPUTED_VALUE"""),630.0)</f>
        <v>630</v>
      </c>
      <c r="AQ62" s="673">
        <f>IFERROR(__xludf.DUMMYFUNCTION("""COMPUTED_VALUE"""),0.9)</f>
        <v>0.9</v>
      </c>
      <c r="AR62" s="673">
        <f>IFERROR(__xludf.DUMMYFUNCTION("""COMPUTED_VALUE"""),0.0)</f>
        <v>0</v>
      </c>
      <c r="AS62" s="673">
        <f>IFERROR(__xludf.DUMMYFUNCTION("""COMPUTED_VALUE"""),-0.1)</f>
        <v>-0.1</v>
      </c>
      <c r="AT62" s="673">
        <f>IFERROR(__xludf.DUMMYFUNCTION("""COMPUTED_VALUE"""),0.0)</f>
        <v>0</v>
      </c>
      <c r="AU62" s="673">
        <f>IFERROR(__xludf.DUMMYFUNCTION("""COMPUTED_VALUE"""),0.0)</f>
        <v>0</v>
      </c>
      <c r="AV62" s="673">
        <f>IFERROR(__xludf.DUMMYFUNCTION("""COMPUTED_VALUE"""),0.0)</f>
        <v>0</v>
      </c>
      <c r="AW62" s="139"/>
      <c r="AX62" s="674">
        <f>IFERROR(__xludf.DUMMYFUNCTION("""COMPUTED_VALUE"""),420.0)</f>
        <v>420</v>
      </c>
      <c r="AY62" s="688">
        <f>IFERROR(__xludf.DUMMYFUNCTION("""COMPUTED_VALUE"""),2994.6318100982962)</f>
        <v>2994.63181</v>
      </c>
      <c r="AZ62" s="674">
        <f>IFERROR(__xludf.DUMMYFUNCTION("""COMPUTED_VALUE"""),210.0)</f>
        <v>210</v>
      </c>
      <c r="BA62" s="688">
        <f>IFERROR(__xludf.DUMMYFUNCTION("""COMPUTED_VALUE"""),1497.3159050491481)</f>
        <v>1497.315905</v>
      </c>
      <c r="BB62" s="688" t="str">
        <f>IFERROR(__xludf.DUMMYFUNCTION("""COMPUTED_VALUE"""),"-")</f>
        <v>-</v>
      </c>
      <c r="BC62" s="688" t="str">
        <f>IFERROR(__xludf.DUMMYFUNCTION("""COMPUTED_VALUE"""),"#VALUE!")</f>
        <v>#VALUE!</v>
      </c>
      <c r="BD62" s="688" t="str">
        <f>IFERROR(__xludf.DUMMYFUNCTION("""COMPUTED_VALUE"""),"#VALUE!")</f>
        <v>#VALUE!</v>
      </c>
      <c r="BE62" s="674">
        <f>IFERROR(__xludf.DUMMYFUNCTION("""COMPUTED_VALUE"""),210.0)</f>
        <v>210</v>
      </c>
      <c r="BF62" s="674">
        <f>IFERROR(__xludf.DUMMYFUNCTION("""COMPUTED_VALUE"""),420.0)</f>
        <v>420</v>
      </c>
      <c r="BG62" s="673">
        <f>IFERROR(__xludf.DUMMYFUNCTION("""COMPUTED_VALUE"""),0.0)</f>
        <v>0</v>
      </c>
      <c r="BH62" s="673">
        <f>IFERROR(__xludf.DUMMYFUNCTION("""COMPUTED_VALUE"""),-0.5)</f>
        <v>-0.5</v>
      </c>
      <c r="BI62" s="673">
        <f>IFERROR(__xludf.DUMMYFUNCTION("""COMPUTED_VALUE"""),0.0)</f>
        <v>0</v>
      </c>
      <c r="BJ62" s="673">
        <f>IFERROR(__xludf.DUMMYFUNCTION("""COMPUTED_VALUE"""),0.0)</f>
        <v>0</v>
      </c>
      <c r="BK62" s="673">
        <f>IFERROR(__xludf.DUMMYFUNCTION("""COMPUTED_VALUE"""),0.0)</f>
        <v>0</v>
      </c>
      <c r="BL62" s="673">
        <f>IFERROR(__xludf.DUMMYFUNCTION("""COMPUTED_VALUE"""),0.0)</f>
        <v>0</v>
      </c>
      <c r="BM62" s="674">
        <f>IFERROR(__xludf.DUMMYFUNCTION("""COMPUTED_VALUE"""),100.0)</f>
        <v>100</v>
      </c>
      <c r="BN62" s="674">
        <f>IFERROR(__xludf.DUMMYFUNCTION("""COMPUTED_VALUE"""),100.0)</f>
        <v>100</v>
      </c>
      <c r="BO62" s="675">
        <f>IFERROR(__xludf.DUMMYFUNCTION("""COMPUTED_VALUE"""),0.0)</f>
        <v>0</v>
      </c>
      <c r="BP62" s="675">
        <f>IFERROR(__xludf.DUMMYFUNCTION("""COMPUTED_VALUE"""),2.0)</f>
        <v>2</v>
      </c>
      <c r="BQ62" s="675" t="str">
        <f>IFERROR(__xludf.DUMMYFUNCTION("""COMPUTED_VALUE"""),"※")</f>
        <v>※</v>
      </c>
      <c r="BR62" s="139">
        <f>IFERROR(__xludf.DUMMYFUNCTION("""COMPUTED_VALUE"""),1.0)</f>
        <v>1</v>
      </c>
      <c r="BS62" s="139">
        <f>IFERROR(__xludf.DUMMYFUNCTION("""COMPUTED_VALUE"""),30.0)</f>
        <v>30</v>
      </c>
      <c r="BT62" s="139">
        <f>IFERROR(__xludf.DUMMYFUNCTION("""COMPUTED_VALUE"""),0.29)</f>
        <v>0.29</v>
      </c>
      <c r="BU62" s="139">
        <f>IFERROR(__xludf.DUMMYFUNCTION("""COMPUTED_VALUE"""),0.0)</f>
        <v>0</v>
      </c>
      <c r="BV62" s="139" t="str">
        <f>IFERROR(__xludf.DUMMYFUNCTION("""COMPUTED_VALUE"""),"普通")</f>
        <v>普通</v>
      </c>
      <c r="BW62" s="139" t="str">
        <f>IFERROR(__xludf.DUMMYFUNCTION("""COMPUTED_VALUE"""),"-")</f>
        <v>-</v>
      </c>
      <c r="BX62" s="139" t="str">
        <f>IFERROR(__xludf.DUMMYFUNCTION("""COMPUTED_VALUE"""),"-")</f>
        <v>-</v>
      </c>
      <c r="BY62" s="139" t="str">
        <f>IFERROR(__xludf.DUMMYFUNCTION("""COMPUTED_VALUE"""),"-")</f>
        <v>-</v>
      </c>
      <c r="BZ62" s="139" t="str">
        <f>IFERROR(__xludf.DUMMYFUNCTION("""COMPUTED_VALUE"""),"-")</f>
        <v>-</v>
      </c>
      <c r="CA62" s="139" t="str">
        <f>IFERROR(__xludf.DUMMYFUNCTION("""COMPUTED_VALUE"""),"-")</f>
        <v>-</v>
      </c>
      <c r="CB62" s="139" t="str">
        <f>IFERROR(__xludf.DUMMYFUNCTION("""COMPUTED_VALUE"""),"-")</f>
        <v>-</v>
      </c>
      <c r="CC62" s="139" t="str">
        <f>IFERROR(__xludf.DUMMYFUNCTION("""COMPUTED_VALUE"""),"中距離")</f>
        <v>中距離</v>
      </c>
      <c r="CD62" s="139" t="str">
        <f>IFERROR(__xludf.DUMMYFUNCTION("""COMPUTED_VALUE"""),"単体")</f>
        <v>単体</v>
      </c>
      <c r="CE62" s="139">
        <f>IFERROR(__xludf.DUMMYFUNCTION("""COMPUTED_VALUE"""),1.0)</f>
        <v>1</v>
      </c>
      <c r="CF62" s="139">
        <f>IFERROR(__xludf.DUMMYFUNCTION("""COMPUTED_VALUE"""),0.3)</f>
        <v>0.3</v>
      </c>
      <c r="CG62" s="139" t="str">
        <f>IFERROR(__xludf.DUMMYFUNCTION("""COMPUTED_VALUE"""),"中距離")</f>
        <v>中距離</v>
      </c>
      <c r="CH62" s="139" t="str">
        <f>IFERROR(__xludf.DUMMYFUNCTION("""COMPUTED_VALUE"""),"単体")</f>
        <v>単体</v>
      </c>
      <c r="CI62" s="139">
        <f>IFERROR(__xludf.DUMMYFUNCTION("""COMPUTED_VALUE"""),1.0)</f>
        <v>1</v>
      </c>
      <c r="CJ62" s="139">
        <f>IFERROR(__xludf.DUMMYFUNCTION("""COMPUTED_VALUE"""),0.3)</f>
        <v>0.3</v>
      </c>
      <c r="CK62" s="139" t="str">
        <f>IFERROR(__xludf.DUMMYFUNCTION("""COMPUTED_VALUE"""),"敵")</f>
        <v>敵</v>
      </c>
      <c r="CL62" s="139" t="str">
        <f>IFERROR(__xludf.DUMMYFUNCTION("""COMPUTED_VALUE"""),"All")</f>
        <v>All</v>
      </c>
      <c r="CM62" s="139" t="str">
        <f>IFERROR(__xludf.DUMMYFUNCTION("""COMPUTED_VALUE"""),"All")</f>
        <v>All</v>
      </c>
      <c r="CN62" s="675">
        <f>IFERROR(__xludf.DUMMYFUNCTION("""COMPUTED_VALUE"""),16.011519290810604)</f>
        <v>16.01151929</v>
      </c>
      <c r="CO62" s="139" t="str">
        <f>IFERROR(__xludf.DUMMYFUNCTION("""COMPUTED_VALUE"""),"-")</f>
        <v>-</v>
      </c>
      <c r="CP62" s="139" t="str">
        <f>IFERROR(__xludf.DUMMYFUNCTION("""COMPUTED_VALUE"""),"-")</f>
        <v>-</v>
      </c>
      <c r="CQ62" s="139" t="str">
        <f>IFERROR(__xludf.DUMMYFUNCTION("""COMPUTED_VALUE"""),"-")</f>
        <v>-</v>
      </c>
      <c r="CR62" s="139" t="str">
        <f>IFERROR(__xludf.DUMMYFUNCTION("""COMPUTED_VALUE"""),"-")</f>
        <v>-</v>
      </c>
      <c r="CS62" s="673" t="str">
        <f>IFERROR(__xludf.DUMMYFUNCTION("""COMPUTED_VALUE"""),"攻撃(必殺)")</f>
        <v>攻撃(必殺)</v>
      </c>
      <c r="CT62" s="139" t="str">
        <f>IFERROR(__xludf.DUMMYFUNCTION("""COMPUTED_VALUE"""),"-")</f>
        <v>-</v>
      </c>
      <c r="CU62" s="139" t="str">
        <f>IFERROR(__xludf.DUMMYFUNCTION("""COMPUTED_VALUE"""),"敵")</f>
        <v>敵</v>
      </c>
      <c r="CV62" s="139" t="str">
        <f>IFERROR(__xludf.DUMMYFUNCTION("""COMPUTED_VALUE"""),"All")</f>
        <v>All</v>
      </c>
      <c r="CW62" s="139" t="str">
        <f>IFERROR(__xludf.DUMMYFUNCTION("""COMPUTED_VALUE"""),"All")</f>
        <v>All</v>
      </c>
      <c r="CX62" s="674">
        <f>IFERROR(__xludf.DUMMYFUNCTION("""COMPUTED_VALUE"""),158.0)</f>
        <v>158</v>
      </c>
      <c r="CY62" s="139" t="str">
        <f>IFERROR(__xludf.DUMMYFUNCTION("""COMPUTED_VALUE"""),"-")</f>
        <v>-</v>
      </c>
      <c r="CZ62" s="688">
        <f>IFERROR(__xludf.DUMMYFUNCTION("""COMPUTED_VALUE"""),4732.0)</f>
        <v>4732</v>
      </c>
      <c r="DA62" s="688">
        <f>IFERROR(__xludf.DUMMYFUNCTION("""COMPUTED_VALUE"""),318.7920067382548)</f>
        <v>318.7920067</v>
      </c>
      <c r="DB62" s="688">
        <f>IFERROR(__xludf.DUMMYFUNCTION("""COMPUTED_VALUE"""),0.0)</f>
        <v>0</v>
      </c>
      <c r="DC62" s="139" t="str">
        <f>IFERROR(__xludf.DUMMYFUNCTION("""COMPUTED_VALUE"""),"-")</f>
        <v>-</v>
      </c>
      <c r="DD62" s="673" t="str">
        <f>IFERROR(__xludf.DUMMYFUNCTION("""COMPUTED_VALUE"""),"-")</f>
        <v>-</v>
      </c>
      <c r="DE62" s="139" t="str">
        <f>IFERROR(__xludf.DUMMYFUNCTION("""COMPUTED_VALUE"""),"-")</f>
        <v>-</v>
      </c>
      <c r="DF62" s="139" t="str">
        <f>IFERROR(__xludf.DUMMYFUNCTION("""COMPUTED_VALUE"""),"-")</f>
        <v>-</v>
      </c>
      <c r="DG62" s="139" t="str">
        <f>IFERROR(__xludf.DUMMYFUNCTION("""COMPUTED_VALUE"""),"-")</f>
        <v>-</v>
      </c>
      <c r="DH62" s="139" t="str">
        <f>IFERROR(__xludf.DUMMYFUNCTION("""COMPUTED_VALUE"""),"-")</f>
        <v>-</v>
      </c>
      <c r="DI62" s="139" t="str">
        <f>IFERROR(__xludf.DUMMYFUNCTION("""COMPUTED_VALUE"""),"-")</f>
        <v>-</v>
      </c>
      <c r="DJ62" s="139" t="str">
        <f>IFERROR(__xludf.DUMMYFUNCTION("""COMPUTED_VALUE"""),"-")</f>
        <v>-</v>
      </c>
    </row>
    <row r="63">
      <c r="A63" s="139" t="str">
        <f>IFERROR(__xludf.DUMMYFUNCTION("""COMPUTED_VALUE"""),"怪獣８号")</f>
        <v>怪獣８号</v>
      </c>
      <c r="B63" s="139" t="str">
        <f>IFERROR(__xludf.DUMMYFUNCTION("""COMPUTED_VALUE"""),"日比野 カフカ")</f>
        <v>日比野 カフカ</v>
      </c>
      <c r="C63" s="139" t="str">
        <f>IFERROR(__xludf.DUMMYFUNCTION("""COMPUTED_VALUE"""),"chara_kai_00001")</f>
        <v>chara_kai_00001</v>
      </c>
      <c r="D63" s="139" t="str">
        <f>IFERROR(__xludf.DUMMYFUNCTION("""COMPUTED_VALUE"""),"PremiumR")</f>
        <v>PremiumR</v>
      </c>
      <c r="E63" s="139" t="str">
        <f>IFERROR(__xludf.DUMMYFUNCTION("""COMPUTED_VALUE"""),"黄")</f>
        <v>黄</v>
      </c>
      <c r="F63" s="139" t="str">
        <f>IFERROR(__xludf.DUMMYFUNCTION("""COMPUTED_VALUE"""),"アタック")</f>
        <v>アタック</v>
      </c>
      <c r="G63" s="139" t="str">
        <f>IFERROR(__xludf.DUMMYFUNCTION("""COMPUTED_VALUE"""),"近距離")</f>
        <v>近距離</v>
      </c>
      <c r="H63" s="139" t="str">
        <f>IFERROR(__xludf.DUMMYFUNCTION("""COMPUTED_VALUE"""),"dageki_1")</f>
        <v>dageki_1</v>
      </c>
      <c r="I63" s="139" t="str">
        <f>IFERROR(__xludf.DUMMYFUNCTION("""COMPUTED_VALUE"""),"-")</f>
        <v>-</v>
      </c>
      <c r="J63" s="139" t="str">
        <f>IFERROR(__xludf.DUMMYFUNCTION("""COMPUTED_VALUE"""),"202509010_リリース")</f>
        <v>202509010_リリース</v>
      </c>
      <c r="K63" s="139" t="str">
        <f>IFERROR(__xludf.DUMMYFUNCTION("""COMPUTED_VALUE"""),"リリース時")</f>
        <v>リリース時</v>
      </c>
      <c r="L63" s="139" t="str">
        <f>IFERROR(__xludf.DUMMYFUNCTION("""COMPUTED_VALUE"""),"※")</f>
        <v>※</v>
      </c>
      <c r="M63" s="674">
        <f>IFERROR(__xludf.DUMMYFUNCTION("""COMPUTED_VALUE"""),210.0)</f>
        <v>210</v>
      </c>
      <c r="N63" s="139">
        <f>IFERROR(__xludf.DUMMYFUNCTION("""COMPUTED_VALUE"""),200.0)</f>
        <v>200</v>
      </c>
      <c r="O63" s="139" t="str">
        <f>IFERROR(__xludf.DUMMYFUNCTION("""COMPUTED_VALUE"""),"低コスト")</f>
        <v>低コスト</v>
      </c>
      <c r="P63" s="139">
        <f>IFERROR(__xludf.DUMMYFUNCTION("""COMPUTED_VALUE"""),0.0)</f>
        <v>0</v>
      </c>
      <c r="Q63" s="675">
        <f>IFERROR(__xludf.DUMMYFUNCTION("""COMPUTED_VALUE"""),10.0)</f>
        <v>10</v>
      </c>
      <c r="R63" s="675">
        <f>IFERROR(__xludf.DUMMYFUNCTION("""COMPUTED_VALUE"""),0.0)</f>
        <v>0</v>
      </c>
      <c r="S63" s="675">
        <f>IFERROR(__xludf.DUMMYFUNCTION("""COMPUTED_VALUE"""),2.75)</f>
        <v>2.75</v>
      </c>
      <c r="T63" s="674">
        <f>IFERROR(__xludf.DUMMYFUNCTION("""COMPUTED_VALUE"""),185.0)</f>
        <v>185</v>
      </c>
      <c r="U63" s="675">
        <f>IFERROR(__xludf.DUMMYFUNCTION("""COMPUTED_VALUE"""),3.666666666666667)</f>
        <v>3.666666667</v>
      </c>
      <c r="V63" s="675">
        <f>IFERROR(__xludf.DUMMYFUNCTION("""COMPUTED_VALUE"""),0.0)</f>
        <v>0</v>
      </c>
      <c r="W63" s="675">
        <f>IFERROR(__xludf.DUMMYFUNCTION("""COMPUTED_VALUE"""),0.0)</f>
        <v>0</v>
      </c>
      <c r="X63" s="675">
        <f>IFERROR(__xludf.DUMMYFUNCTION("""COMPUTED_VALUE"""),0.0)</f>
        <v>0</v>
      </c>
      <c r="Y63" s="674">
        <f>IFERROR(__xludf.DUMMYFUNCTION("""COMPUTED_VALUE"""),100.0)</f>
        <v>100</v>
      </c>
      <c r="Z63" s="675">
        <f>IFERROR(__xludf.DUMMYFUNCTION("""COMPUTED_VALUE"""),2.0)</f>
        <v>2</v>
      </c>
      <c r="AA63" s="675">
        <f>IFERROR(__xludf.DUMMYFUNCTION("""COMPUTED_VALUE"""),0.0)</f>
        <v>0</v>
      </c>
      <c r="AB63" s="673">
        <f>IFERROR(__xludf.DUMMYFUNCTION("""COMPUTED_VALUE"""),0.0)</f>
        <v>0</v>
      </c>
      <c r="AC63" s="675">
        <f>IFERROR(__xludf.DUMMYFUNCTION("""COMPUTED_VALUE"""),0.0)</f>
        <v>0</v>
      </c>
      <c r="AD63" s="674">
        <f>IFERROR(__xludf.DUMMYFUNCTION("""COMPUTED_VALUE"""),650.0)</f>
        <v>650</v>
      </c>
      <c r="AE63" s="675">
        <f>IFERROR(__xludf.DUMMYFUNCTION("""COMPUTED_VALUE"""),12.95046946804693)</f>
        <v>12.95046947</v>
      </c>
      <c r="AF63" s="675">
        <f>IFERROR(__xludf.DUMMYFUNCTION("""COMPUTED_VALUE"""),0.0)</f>
        <v>0</v>
      </c>
      <c r="AG63" s="675">
        <f>IFERROR(__xludf.DUMMYFUNCTION("""COMPUTED_VALUE"""),5.85)</f>
        <v>5.85</v>
      </c>
      <c r="AH63" s="675">
        <f>IFERROR(__xludf.DUMMYFUNCTION("""COMPUTED_VALUE"""),0.0)</f>
        <v>0</v>
      </c>
      <c r="AI63" s="139">
        <f>IFERROR(__xludf.DUMMYFUNCTION("""COMPUTED_VALUE"""),25.0)</f>
        <v>25</v>
      </c>
      <c r="AJ63" s="675">
        <f>IFERROR(__xludf.DUMMYFUNCTION("""COMPUTED_VALUE"""),9.050469468046929)</f>
        <v>9.050469468</v>
      </c>
      <c r="AK63" s="139">
        <f>IFERROR(__xludf.DUMMYFUNCTION("""COMPUTED_VALUE"""),1.0)</f>
        <v>1</v>
      </c>
      <c r="AL63" s="674">
        <f>IFERROR(__xludf.DUMMYFUNCTION("""COMPUTED_VALUE"""),500.0)</f>
        <v>500</v>
      </c>
      <c r="AM63" s="688">
        <f>IFERROR(__xludf.DUMMYFUNCTION("""COMPUTED_VALUE"""),3565.154059640829)</f>
        <v>3565.15406</v>
      </c>
      <c r="AN63" s="675">
        <f>IFERROR(__xludf.DUMMYFUNCTION("""COMPUTED_VALUE"""),3.3333333333333335)</f>
        <v>3.333333333</v>
      </c>
      <c r="AO63" s="675">
        <f>IFERROR(__xludf.DUMMYFUNCTION("""COMPUTED_VALUE"""),1.6666666666666667)</f>
        <v>1.666666667</v>
      </c>
      <c r="AP63" s="674">
        <f>IFERROR(__xludf.DUMMYFUNCTION("""COMPUTED_VALUE"""),630.0)</f>
        <v>630</v>
      </c>
      <c r="AQ63" s="673">
        <f>IFERROR(__xludf.DUMMYFUNCTION("""COMPUTED_VALUE"""),-0.2)</f>
        <v>-0.2</v>
      </c>
      <c r="AR63" s="673">
        <f>IFERROR(__xludf.DUMMYFUNCTION("""COMPUTED_VALUE"""),0.0)</f>
        <v>0</v>
      </c>
      <c r="AS63" s="673">
        <f>IFERROR(__xludf.DUMMYFUNCTION("""COMPUTED_VALUE"""),0.0)</f>
        <v>0</v>
      </c>
      <c r="AT63" s="673">
        <f>IFERROR(__xludf.DUMMYFUNCTION("""COMPUTED_VALUE"""),0.0)</f>
        <v>0</v>
      </c>
      <c r="AU63" s="673">
        <f>IFERROR(__xludf.DUMMYFUNCTION("""COMPUTED_VALUE"""),0.0)</f>
        <v>0</v>
      </c>
      <c r="AV63" s="673">
        <f>IFERROR(__xludf.DUMMYFUNCTION("""COMPUTED_VALUE"""),0.0)</f>
        <v>0</v>
      </c>
      <c r="AW63" s="139"/>
      <c r="AX63" s="674">
        <f>IFERROR(__xludf.DUMMYFUNCTION("""COMPUTED_VALUE"""),550.0)</f>
        <v>550</v>
      </c>
      <c r="AY63" s="688">
        <f>IFERROR(__xludf.DUMMYFUNCTION("""COMPUTED_VALUE"""),3922.085465604912)</f>
        <v>3922.085466</v>
      </c>
      <c r="AZ63" s="674">
        <f>IFERROR(__xludf.DUMMYFUNCTION("""COMPUTED_VALUE"""),550.0)</f>
        <v>550</v>
      </c>
      <c r="BA63" s="688">
        <f>IFERROR(__xludf.DUMMYFUNCTION("""COMPUTED_VALUE"""),3922.085465604912)</f>
        <v>3922.085466</v>
      </c>
      <c r="BB63" s="688">
        <f>IFERROR(__xludf.DUMMYFUNCTION("""COMPUTED_VALUE"""),4863.385977350091)</f>
        <v>4863.385977</v>
      </c>
      <c r="BC63" s="688" t="str">
        <f>IFERROR(__xludf.DUMMYFUNCTION("""COMPUTED_VALUE"""),"#VALUE!")</f>
        <v>#VALUE!</v>
      </c>
      <c r="BD63" s="688" t="str">
        <f>IFERROR(__xludf.DUMMYFUNCTION("""COMPUTED_VALUE"""),"#VALUE!")</f>
        <v>#VALUE!</v>
      </c>
      <c r="BE63" s="674">
        <f>IFERROR(__xludf.DUMMYFUNCTION("""COMPUTED_VALUE"""),550.0)</f>
        <v>550</v>
      </c>
      <c r="BF63" s="674">
        <f>IFERROR(__xludf.DUMMYFUNCTION("""COMPUTED_VALUE"""),420.0)</f>
        <v>420</v>
      </c>
      <c r="BG63" s="673">
        <f>IFERROR(__xludf.DUMMYFUNCTION("""COMPUTED_VALUE"""),0.0)</f>
        <v>0</v>
      </c>
      <c r="BH63" s="673">
        <f>IFERROR(__xludf.DUMMYFUNCTION("""COMPUTED_VALUE"""),0.3)</f>
        <v>0.3</v>
      </c>
      <c r="BI63" s="673">
        <f>IFERROR(__xludf.DUMMYFUNCTION("""COMPUTED_VALUE"""),0.0)</f>
        <v>0</v>
      </c>
      <c r="BJ63" s="673">
        <f>IFERROR(__xludf.DUMMYFUNCTION("""COMPUTED_VALUE"""),0.0)</f>
        <v>0</v>
      </c>
      <c r="BK63" s="673">
        <f>IFERROR(__xludf.DUMMYFUNCTION("""COMPUTED_VALUE"""),0.0)</f>
        <v>0</v>
      </c>
      <c r="BL63" s="673">
        <f>IFERROR(__xludf.DUMMYFUNCTION("""COMPUTED_VALUE"""),0.0)</f>
        <v>0</v>
      </c>
      <c r="BM63" s="674">
        <f>IFERROR(__xludf.DUMMYFUNCTION("""COMPUTED_VALUE"""),50.0)</f>
        <v>50</v>
      </c>
      <c r="BN63" s="674">
        <f>IFERROR(__xludf.DUMMYFUNCTION("""COMPUTED_VALUE"""),50.0)</f>
        <v>50</v>
      </c>
      <c r="BO63" s="675">
        <f>IFERROR(__xludf.DUMMYFUNCTION("""COMPUTED_VALUE"""),0.0)</f>
        <v>0</v>
      </c>
      <c r="BP63" s="675">
        <f>IFERROR(__xludf.DUMMYFUNCTION("""COMPUTED_VALUE"""),1.0)</f>
        <v>1</v>
      </c>
      <c r="BQ63" s="675" t="str">
        <f>IFERROR(__xludf.DUMMYFUNCTION("""COMPUTED_VALUE"""),"※")</f>
        <v>※</v>
      </c>
      <c r="BR63" s="139">
        <f>IFERROR(__xludf.DUMMYFUNCTION("""COMPUTED_VALUE"""),2.0)</f>
        <v>2</v>
      </c>
      <c r="BS63" s="139">
        <f>IFERROR(__xludf.DUMMYFUNCTION("""COMPUTED_VALUE"""),40.0)</f>
        <v>40</v>
      </c>
      <c r="BT63" s="139">
        <f>IFERROR(__xludf.DUMMYFUNCTION("""COMPUTED_VALUE"""),0.24)</f>
        <v>0.24</v>
      </c>
      <c r="BU63" s="139">
        <f>IFERROR(__xludf.DUMMYFUNCTION("""COMPUTED_VALUE"""),0.0)</f>
        <v>0</v>
      </c>
      <c r="BV63" s="139" t="str">
        <f>IFERROR(__xludf.DUMMYFUNCTION("""COMPUTED_VALUE"""),"普通-速")</f>
        <v>普通-速</v>
      </c>
      <c r="BW63" s="139" t="str">
        <f>IFERROR(__xludf.DUMMYFUNCTION("""COMPUTED_VALUE"""),"-")</f>
        <v>-</v>
      </c>
      <c r="BX63" s="139" t="str">
        <f>IFERROR(__xludf.DUMMYFUNCTION("""COMPUTED_VALUE"""),"-")</f>
        <v>-</v>
      </c>
      <c r="BY63" s="139" t="str">
        <f>IFERROR(__xludf.DUMMYFUNCTION("""COMPUTED_VALUE"""),"-")</f>
        <v>-</v>
      </c>
      <c r="BZ63" s="139" t="str">
        <f>IFERROR(__xludf.DUMMYFUNCTION("""COMPUTED_VALUE"""),"-")</f>
        <v>-</v>
      </c>
      <c r="CA63" s="139" t="str">
        <f>IFERROR(__xludf.DUMMYFUNCTION("""COMPUTED_VALUE"""),"-")</f>
        <v>-</v>
      </c>
      <c r="CB63" s="139" t="str">
        <f>IFERROR(__xludf.DUMMYFUNCTION("""COMPUTED_VALUE"""),"-")</f>
        <v>-</v>
      </c>
      <c r="CC63" s="139" t="str">
        <f>IFERROR(__xludf.DUMMYFUNCTION("""COMPUTED_VALUE"""),"近距離")</f>
        <v>近距離</v>
      </c>
      <c r="CD63" s="139" t="str">
        <f>IFERROR(__xludf.DUMMYFUNCTION("""COMPUTED_VALUE"""),"単体")</f>
        <v>単体</v>
      </c>
      <c r="CE63" s="139">
        <f>IFERROR(__xludf.DUMMYFUNCTION("""COMPUTED_VALUE"""),1.0)</f>
        <v>1</v>
      </c>
      <c r="CF63" s="139">
        <f>IFERROR(__xludf.DUMMYFUNCTION("""COMPUTED_VALUE"""),0.25)</f>
        <v>0.25</v>
      </c>
      <c r="CG63" s="139" t="str">
        <f>IFERROR(__xludf.DUMMYFUNCTION("""COMPUTED_VALUE"""),"自身")</f>
        <v>自身</v>
      </c>
      <c r="CH63" s="139" t="str">
        <f>IFERROR(__xludf.DUMMYFUNCTION("""COMPUTED_VALUE"""),"自身")</f>
        <v>自身</v>
      </c>
      <c r="CI63" s="139" t="str">
        <f>IFERROR(__xludf.DUMMYFUNCTION("""COMPUTED_VALUE"""),"該当なし")</f>
        <v>該当なし</v>
      </c>
      <c r="CJ63" s="139" t="str">
        <f>IFERROR(__xludf.DUMMYFUNCTION("""COMPUTED_VALUE"""),"自身")</f>
        <v>自身</v>
      </c>
      <c r="CK63" s="139" t="str">
        <f>IFERROR(__xludf.DUMMYFUNCTION("""COMPUTED_VALUE"""),"自身")</f>
        <v>自身</v>
      </c>
      <c r="CL63" s="139" t="str">
        <f>IFERROR(__xludf.DUMMYFUNCTION("""COMPUTED_VALUE"""),"All")</f>
        <v>All</v>
      </c>
      <c r="CM63" s="139" t="str">
        <f>IFERROR(__xludf.DUMMYFUNCTION("""COMPUTED_VALUE"""),"All")</f>
        <v>All</v>
      </c>
      <c r="CN63" s="675">
        <f>IFERROR(__xludf.DUMMYFUNCTION("""COMPUTED_VALUE"""),12.95046946804693)</f>
        <v>12.95046947</v>
      </c>
      <c r="CO63" s="139" t="str">
        <f>IFERROR(__xludf.DUMMYFUNCTION("""COMPUTED_VALUE"""),"-")</f>
        <v>-</v>
      </c>
      <c r="CP63" s="139" t="str">
        <f>IFERROR(__xludf.DUMMYFUNCTION("""COMPUTED_VALUE"""),"-")</f>
        <v>-</v>
      </c>
      <c r="CQ63" s="139" t="str">
        <f>IFERROR(__xludf.DUMMYFUNCTION("""COMPUTED_VALUE"""),"-")</f>
        <v>-</v>
      </c>
      <c r="CR63" s="139" t="str">
        <f>IFERROR(__xludf.DUMMYFUNCTION("""COMPUTED_VALUE"""),"瞬間型")</f>
        <v>瞬間型</v>
      </c>
      <c r="CS63" s="673" t="str">
        <f>IFERROR(__xludf.DUMMYFUNCTION("""COMPUTED_VALUE"""),"攻撃力UP(自身)")</f>
        <v>攻撃力UP(自身)</v>
      </c>
      <c r="CT63" s="139" t="str">
        <f>IFERROR(__xludf.DUMMYFUNCTION("""COMPUTED_VALUE"""),"瞬間型")</f>
        <v>瞬間型</v>
      </c>
      <c r="CU63" s="139" t="str">
        <f>IFERROR(__xludf.DUMMYFUNCTION("""COMPUTED_VALUE"""),"自身")</f>
        <v>自身</v>
      </c>
      <c r="CV63" s="139" t="str">
        <f>IFERROR(__xludf.DUMMYFUNCTION("""COMPUTED_VALUE"""),"All")</f>
        <v>All</v>
      </c>
      <c r="CW63" s="139" t="str">
        <f>IFERROR(__xludf.DUMMYFUNCTION("""COMPUTED_VALUE"""),"All")</f>
        <v>All</v>
      </c>
      <c r="CX63" s="674">
        <f>IFERROR(__xludf.DUMMYFUNCTION("""COMPUTED_VALUE"""),24.0)</f>
        <v>24</v>
      </c>
      <c r="CY63" s="675">
        <f>IFERROR(__xludf.DUMMYFUNCTION("""COMPUTED_VALUE"""),3.9)</f>
        <v>3.9</v>
      </c>
      <c r="CZ63" s="688" t="str">
        <f>IFERROR(__xludf.DUMMYFUNCTION("""COMPUTED_VALUE"""),"-")</f>
        <v>-</v>
      </c>
      <c r="DA63" s="688">
        <f>IFERROR(__xludf.DUMMYFUNCTION("""COMPUTED_VALUE"""),0.0)</f>
        <v>0</v>
      </c>
      <c r="DB63" s="688">
        <f>IFERROR(__xludf.DUMMYFUNCTION("""COMPUTED_VALUE"""),0.0)</f>
        <v>0</v>
      </c>
      <c r="DC63" s="139" t="str">
        <f>IFERROR(__xludf.DUMMYFUNCTION("""COMPUTED_VALUE"""),"-")</f>
        <v>-</v>
      </c>
      <c r="DD63" s="673" t="str">
        <f>IFERROR(__xludf.DUMMYFUNCTION("""COMPUTED_VALUE"""),"-")</f>
        <v>-</v>
      </c>
      <c r="DE63" s="139" t="str">
        <f>IFERROR(__xludf.DUMMYFUNCTION("""COMPUTED_VALUE"""),"-")</f>
        <v>-</v>
      </c>
      <c r="DF63" s="139" t="str">
        <f>IFERROR(__xludf.DUMMYFUNCTION("""COMPUTED_VALUE"""),"-")</f>
        <v>-</v>
      </c>
      <c r="DG63" s="139" t="str">
        <f>IFERROR(__xludf.DUMMYFUNCTION("""COMPUTED_VALUE"""),"-")</f>
        <v>-</v>
      </c>
      <c r="DH63" s="139" t="str">
        <f>IFERROR(__xludf.DUMMYFUNCTION("""COMPUTED_VALUE"""),"-")</f>
        <v>-</v>
      </c>
      <c r="DI63" s="139" t="str">
        <f>IFERROR(__xludf.DUMMYFUNCTION("""COMPUTED_VALUE"""),"-")</f>
        <v>-</v>
      </c>
      <c r="DJ63" s="139" t="str">
        <f>IFERROR(__xludf.DUMMYFUNCTION("""COMPUTED_VALUE"""),"-")</f>
        <v>-</v>
      </c>
    </row>
    <row r="64">
      <c r="A64" s="139" t="str">
        <f>IFERROR(__xludf.DUMMYFUNCTION("""COMPUTED_VALUE"""),"チェンソーマン")</f>
        <v>チェンソーマン</v>
      </c>
      <c r="B64" s="139" t="str">
        <f>IFERROR(__xludf.DUMMYFUNCTION("""COMPUTED_VALUE"""),"デンジ")</f>
        <v>デンジ</v>
      </c>
      <c r="C64" s="139" t="str">
        <f>IFERROR(__xludf.DUMMYFUNCTION("""COMPUTED_VALUE"""),"chara_chi_00001")</f>
        <v>chara_chi_00001</v>
      </c>
      <c r="D64" s="139" t="str">
        <f>IFERROR(__xludf.DUMMYFUNCTION("""COMPUTED_VALUE"""),"PremiumR")</f>
        <v>PremiumR</v>
      </c>
      <c r="E64" s="139" t="str">
        <f>IFERROR(__xludf.DUMMYFUNCTION("""COMPUTED_VALUE"""),"緑")</f>
        <v>緑</v>
      </c>
      <c r="F64" s="139" t="str">
        <f>IFERROR(__xludf.DUMMYFUNCTION("""COMPUTED_VALUE"""),"アタック")</f>
        <v>アタック</v>
      </c>
      <c r="G64" s="139" t="str">
        <f>IFERROR(__xludf.DUMMYFUNCTION("""COMPUTED_VALUE"""),"近距離")</f>
        <v>近距離</v>
      </c>
      <c r="H64" s="139" t="str">
        <f>IFERROR(__xludf.DUMMYFUNCTION("""COMPUTED_VALUE"""),"zangeki_1")</f>
        <v>zangeki_1</v>
      </c>
      <c r="I64" s="139" t="str">
        <f>IFERROR(__xludf.DUMMYFUNCTION("""COMPUTED_VALUE"""),"dageki_1")</f>
        <v>dageki_1</v>
      </c>
      <c r="J64" s="139" t="str">
        <f>IFERROR(__xludf.DUMMYFUNCTION("""COMPUTED_VALUE"""),"202509010_リリース")</f>
        <v>202509010_リリース</v>
      </c>
      <c r="K64" s="139" t="str">
        <f>IFERROR(__xludf.DUMMYFUNCTION("""COMPUTED_VALUE"""),"リリース時")</f>
        <v>リリース時</v>
      </c>
      <c r="L64" s="139" t="str">
        <f>IFERROR(__xludf.DUMMYFUNCTION("""COMPUTED_VALUE"""),"※")</f>
        <v>※</v>
      </c>
      <c r="M64" s="674">
        <f>IFERROR(__xludf.DUMMYFUNCTION("""COMPUTED_VALUE"""),260.0)</f>
        <v>260</v>
      </c>
      <c r="N64" s="139">
        <f>IFERROR(__xludf.DUMMYFUNCTION("""COMPUTED_VALUE"""),200.0)</f>
        <v>200</v>
      </c>
      <c r="O64" s="139" t="str">
        <f>IFERROR(__xludf.DUMMYFUNCTION("""COMPUTED_VALUE"""),"低コスト")</f>
        <v>低コスト</v>
      </c>
      <c r="P64" s="139">
        <f>IFERROR(__xludf.DUMMYFUNCTION("""COMPUTED_VALUE"""),50.0)</f>
        <v>50</v>
      </c>
      <c r="Q64" s="675">
        <f>IFERROR(__xludf.DUMMYFUNCTION("""COMPUTED_VALUE"""),10.0)</f>
        <v>10</v>
      </c>
      <c r="R64" s="675">
        <f>IFERROR(__xludf.DUMMYFUNCTION("""COMPUTED_VALUE"""),0.0)</f>
        <v>0</v>
      </c>
      <c r="S64" s="675">
        <f>IFERROR(__xludf.DUMMYFUNCTION("""COMPUTED_VALUE"""),4.0)</f>
        <v>4</v>
      </c>
      <c r="T64" s="674">
        <f>IFERROR(__xludf.DUMMYFUNCTION("""COMPUTED_VALUE"""),225.0)</f>
        <v>225</v>
      </c>
      <c r="U64" s="675">
        <f>IFERROR(__xludf.DUMMYFUNCTION("""COMPUTED_VALUE"""),4.546666666666668)</f>
        <v>4.546666667</v>
      </c>
      <c r="V64" s="675">
        <f>IFERROR(__xludf.DUMMYFUNCTION("""COMPUTED_VALUE"""),0.0)</f>
        <v>0</v>
      </c>
      <c r="W64" s="675">
        <f>IFERROR(__xludf.DUMMYFUNCTION("""COMPUTED_VALUE"""),0.0)</f>
        <v>0</v>
      </c>
      <c r="X64" s="675">
        <f>IFERROR(__xludf.DUMMYFUNCTION("""COMPUTED_VALUE"""),0.0)</f>
        <v>0</v>
      </c>
      <c r="Y64" s="674">
        <f>IFERROR(__xludf.DUMMYFUNCTION("""COMPUTED_VALUE"""),120.0)</f>
        <v>120</v>
      </c>
      <c r="Z64" s="675">
        <f>IFERROR(__xludf.DUMMYFUNCTION("""COMPUTED_VALUE"""),2.376666666666667)</f>
        <v>2.376666667</v>
      </c>
      <c r="AA64" s="675">
        <f>IFERROR(__xludf.DUMMYFUNCTION("""COMPUTED_VALUE"""),0.0)</f>
        <v>0</v>
      </c>
      <c r="AB64" s="673">
        <f>IFERROR(__xludf.DUMMYFUNCTION("""COMPUTED_VALUE"""),0.0)</f>
        <v>0</v>
      </c>
      <c r="AC64" s="675">
        <f>IFERROR(__xludf.DUMMYFUNCTION("""COMPUTED_VALUE"""),0.0)</f>
        <v>0</v>
      </c>
      <c r="AD64" s="674">
        <f>IFERROR(__xludf.DUMMYFUNCTION("""COMPUTED_VALUE"""),395.0)</f>
        <v>395</v>
      </c>
      <c r="AE64" s="675">
        <f>IFERROR(__xludf.DUMMYFUNCTION("""COMPUTED_VALUE"""),7.90674817271087)</f>
        <v>7.906748173</v>
      </c>
      <c r="AF64" s="675">
        <f>IFERROR(__xludf.DUMMYFUNCTION("""COMPUTED_VALUE"""),0.0)</f>
        <v>0</v>
      </c>
      <c r="AG64" s="675">
        <f>IFERROR(__xludf.DUMMYFUNCTION("""COMPUTED_VALUE"""),0.0)</f>
        <v>0</v>
      </c>
      <c r="AH64" s="675">
        <f>IFERROR(__xludf.DUMMYFUNCTION("""COMPUTED_VALUE"""),0.0)</f>
        <v>0</v>
      </c>
      <c r="AI64" s="139">
        <f>IFERROR(__xludf.DUMMYFUNCTION("""COMPUTED_VALUE"""),20.0)</f>
        <v>20</v>
      </c>
      <c r="AJ64" s="139" t="str">
        <f>IFERROR(__xludf.DUMMYFUNCTION("""COMPUTED_VALUE"""),"-")</f>
        <v>-</v>
      </c>
      <c r="AK64" s="139">
        <f>IFERROR(__xludf.DUMMYFUNCTION("""COMPUTED_VALUE"""),1.0)</f>
        <v>1</v>
      </c>
      <c r="AL64" s="674">
        <f>IFERROR(__xludf.DUMMYFUNCTION("""COMPUTED_VALUE"""),620.0)</f>
        <v>620</v>
      </c>
      <c r="AM64" s="688">
        <f>IFERROR(__xludf.DUMMYFUNCTION("""COMPUTED_VALUE"""),4421.357433954628)</f>
        <v>4421.357434</v>
      </c>
      <c r="AN64" s="675">
        <f>IFERROR(__xludf.DUMMYFUNCTION("""COMPUTED_VALUE"""),4.133333333333334)</f>
        <v>4.133333333</v>
      </c>
      <c r="AO64" s="675">
        <f>IFERROR(__xludf.DUMMYFUNCTION("""COMPUTED_VALUE"""),2.066666666666667)</f>
        <v>2.066666667</v>
      </c>
      <c r="AP64" s="674">
        <f>IFERROR(__xludf.DUMMYFUNCTION("""COMPUTED_VALUE"""),780.0)</f>
        <v>780</v>
      </c>
      <c r="AQ64" s="673">
        <f>IFERROR(__xludf.DUMMYFUNCTION("""COMPUTED_VALUE"""),-0.2)</f>
        <v>-0.2</v>
      </c>
      <c r="AR64" s="673">
        <f>IFERROR(__xludf.DUMMYFUNCTION("""COMPUTED_VALUE"""),0.0)</f>
        <v>0</v>
      </c>
      <c r="AS64" s="673">
        <f>IFERROR(__xludf.DUMMYFUNCTION("""COMPUTED_VALUE"""),0.0)</f>
        <v>0</v>
      </c>
      <c r="AT64" s="673">
        <f>IFERROR(__xludf.DUMMYFUNCTION("""COMPUTED_VALUE"""),0.0)</f>
        <v>0</v>
      </c>
      <c r="AU64" s="673">
        <f>IFERROR(__xludf.DUMMYFUNCTION("""COMPUTED_VALUE"""),0.0)</f>
        <v>0</v>
      </c>
      <c r="AV64" s="673">
        <f>IFERROR(__xludf.DUMMYFUNCTION("""COMPUTED_VALUE"""),0.0)</f>
        <v>0</v>
      </c>
      <c r="AW64" s="139"/>
      <c r="AX64" s="674">
        <f>IFERROR(__xludf.DUMMYFUNCTION("""COMPUTED_VALUE"""),680.0)</f>
        <v>680</v>
      </c>
      <c r="AY64" s="688">
        <f>IFERROR(__xludf.DUMMYFUNCTION("""COMPUTED_VALUE"""),4849.5391211115275)</f>
        <v>4849.539121</v>
      </c>
      <c r="AZ64" s="674">
        <f>IFERROR(__xludf.DUMMYFUNCTION("""COMPUTED_VALUE"""),680.0)</f>
        <v>680</v>
      </c>
      <c r="BA64" s="688">
        <f>IFERROR(__xludf.DUMMYFUNCTION("""COMPUTED_VALUE"""),4849.5391211115275)</f>
        <v>4849.539121</v>
      </c>
      <c r="BB64" s="688" t="str">
        <f>IFERROR(__xludf.DUMMYFUNCTION("""COMPUTED_VALUE"""),"-")</f>
        <v>-</v>
      </c>
      <c r="BC64" s="688" t="str">
        <f>IFERROR(__xludf.DUMMYFUNCTION("""COMPUTED_VALUE"""),"#VALUE!")</f>
        <v>#VALUE!</v>
      </c>
      <c r="BD64" s="688" t="str">
        <f>IFERROR(__xludf.DUMMYFUNCTION("""COMPUTED_VALUE"""),"#VALUE!")</f>
        <v>#VALUE!</v>
      </c>
      <c r="BE64" s="674">
        <f>IFERROR(__xludf.DUMMYFUNCTION("""COMPUTED_VALUE"""),680.0)</f>
        <v>680</v>
      </c>
      <c r="BF64" s="674">
        <f>IFERROR(__xludf.DUMMYFUNCTION("""COMPUTED_VALUE"""),520.0)</f>
        <v>520</v>
      </c>
      <c r="BG64" s="673">
        <f>IFERROR(__xludf.DUMMYFUNCTION("""COMPUTED_VALUE"""),0.0)</f>
        <v>0</v>
      </c>
      <c r="BH64" s="673">
        <f>IFERROR(__xludf.DUMMYFUNCTION("""COMPUTED_VALUE"""),0.3)</f>
        <v>0.3</v>
      </c>
      <c r="BI64" s="673">
        <f>IFERROR(__xludf.DUMMYFUNCTION("""COMPUTED_VALUE"""),0.0)</f>
        <v>0</v>
      </c>
      <c r="BJ64" s="673">
        <f>IFERROR(__xludf.DUMMYFUNCTION("""COMPUTED_VALUE"""),0.0)</f>
        <v>0</v>
      </c>
      <c r="BK64" s="673">
        <f>IFERROR(__xludf.DUMMYFUNCTION("""COMPUTED_VALUE"""),0.0)</f>
        <v>0</v>
      </c>
      <c r="BL64" s="673">
        <f>IFERROR(__xludf.DUMMYFUNCTION("""COMPUTED_VALUE"""),0.0)</f>
        <v>0</v>
      </c>
      <c r="BM64" s="674">
        <f>IFERROR(__xludf.DUMMYFUNCTION("""COMPUTED_VALUE"""),50.0)</f>
        <v>50</v>
      </c>
      <c r="BN64" s="674">
        <f>IFERROR(__xludf.DUMMYFUNCTION("""COMPUTED_VALUE"""),50.0)</f>
        <v>50</v>
      </c>
      <c r="BO64" s="675">
        <f>IFERROR(__xludf.DUMMYFUNCTION("""COMPUTED_VALUE"""),0.0)</f>
        <v>0</v>
      </c>
      <c r="BP64" s="675">
        <f>IFERROR(__xludf.DUMMYFUNCTION("""COMPUTED_VALUE"""),1.0)</f>
        <v>1</v>
      </c>
      <c r="BQ64" s="675" t="str">
        <f>IFERROR(__xludf.DUMMYFUNCTION("""COMPUTED_VALUE"""),"※")</f>
        <v>※</v>
      </c>
      <c r="BR64" s="139">
        <f>IFERROR(__xludf.DUMMYFUNCTION("""COMPUTED_VALUE"""),2.0)</f>
        <v>2</v>
      </c>
      <c r="BS64" s="139">
        <f>IFERROR(__xludf.DUMMYFUNCTION("""COMPUTED_VALUE"""),35.0)</f>
        <v>35</v>
      </c>
      <c r="BT64" s="139">
        <f>IFERROR(__xludf.DUMMYFUNCTION("""COMPUTED_VALUE"""),0.29)</f>
        <v>0.29</v>
      </c>
      <c r="BU64" s="139">
        <f>IFERROR(__xludf.DUMMYFUNCTION("""COMPUTED_VALUE"""),0.0)</f>
        <v>0</v>
      </c>
      <c r="BV64" s="139" t="str">
        <f>IFERROR(__xludf.DUMMYFUNCTION("""COMPUTED_VALUE"""),"普通")</f>
        <v>普通</v>
      </c>
      <c r="BW64" s="139" t="str">
        <f>IFERROR(__xludf.DUMMYFUNCTION("""COMPUTED_VALUE"""),"-")</f>
        <v>-</v>
      </c>
      <c r="BX64" s="139" t="str">
        <f>IFERROR(__xludf.DUMMYFUNCTION("""COMPUTED_VALUE"""),"-")</f>
        <v>-</v>
      </c>
      <c r="BY64" s="139" t="str">
        <f>IFERROR(__xludf.DUMMYFUNCTION("""COMPUTED_VALUE"""),"-")</f>
        <v>-</v>
      </c>
      <c r="BZ64" s="139" t="str">
        <f>IFERROR(__xludf.DUMMYFUNCTION("""COMPUTED_VALUE"""),"-")</f>
        <v>-</v>
      </c>
      <c r="CA64" s="139" t="str">
        <f>IFERROR(__xludf.DUMMYFUNCTION("""COMPUTED_VALUE"""),"-")</f>
        <v>-</v>
      </c>
      <c r="CB64" s="139" t="str">
        <f>IFERROR(__xludf.DUMMYFUNCTION("""COMPUTED_VALUE"""),"-")</f>
        <v>-</v>
      </c>
      <c r="CC64" s="139" t="str">
        <f>IFERROR(__xludf.DUMMYFUNCTION("""COMPUTED_VALUE"""),"近距離")</f>
        <v>近距離</v>
      </c>
      <c r="CD64" s="139" t="str">
        <f>IFERROR(__xludf.DUMMYFUNCTION("""COMPUTED_VALUE"""),"単体")</f>
        <v>単体</v>
      </c>
      <c r="CE64" s="139">
        <f>IFERROR(__xludf.DUMMYFUNCTION("""COMPUTED_VALUE"""),1.0)</f>
        <v>1</v>
      </c>
      <c r="CF64" s="139">
        <f>IFERROR(__xludf.DUMMYFUNCTION("""COMPUTED_VALUE"""),0.3)</f>
        <v>0.3</v>
      </c>
      <c r="CG64" s="139" t="str">
        <f>IFERROR(__xludf.DUMMYFUNCTION("""COMPUTED_VALUE"""),"近距離")</f>
        <v>近距離</v>
      </c>
      <c r="CH64" s="139" t="str">
        <f>IFERROR(__xludf.DUMMYFUNCTION("""COMPUTED_VALUE"""),"単体")</f>
        <v>単体</v>
      </c>
      <c r="CI64" s="139">
        <f>IFERROR(__xludf.DUMMYFUNCTION("""COMPUTED_VALUE"""),1.0)</f>
        <v>1</v>
      </c>
      <c r="CJ64" s="139">
        <f>IFERROR(__xludf.DUMMYFUNCTION("""COMPUTED_VALUE"""),0.3)</f>
        <v>0.3</v>
      </c>
      <c r="CK64" s="139" t="str">
        <f>IFERROR(__xludf.DUMMYFUNCTION("""COMPUTED_VALUE"""),"敵")</f>
        <v>敵</v>
      </c>
      <c r="CL64" s="139" t="str">
        <f>IFERROR(__xludf.DUMMYFUNCTION("""COMPUTED_VALUE"""),"黄")</f>
        <v>黄</v>
      </c>
      <c r="CM64" s="139" t="str">
        <f>IFERROR(__xludf.DUMMYFUNCTION("""COMPUTED_VALUE"""),"All")</f>
        <v>All</v>
      </c>
      <c r="CN64" s="675">
        <f>IFERROR(__xludf.DUMMYFUNCTION("""COMPUTED_VALUE"""),7.90674817271087)</f>
        <v>7.906748173</v>
      </c>
      <c r="CO64" s="139" t="str">
        <f>IFERROR(__xludf.DUMMYFUNCTION("""COMPUTED_VALUE"""),"-")</f>
        <v>-</v>
      </c>
      <c r="CP64" s="139" t="str">
        <f>IFERROR(__xludf.DUMMYFUNCTION("""COMPUTED_VALUE"""),"-")</f>
        <v>-</v>
      </c>
      <c r="CQ64" s="139" t="str">
        <f>IFERROR(__xludf.DUMMYFUNCTION("""COMPUTED_VALUE"""),"-")</f>
        <v>-</v>
      </c>
      <c r="CR64" s="139" t="str">
        <f>IFERROR(__xludf.DUMMYFUNCTION("""COMPUTED_VALUE"""),"-")</f>
        <v>-</v>
      </c>
      <c r="CS64" s="673" t="str">
        <f>IFERROR(__xludf.DUMMYFUNCTION("""COMPUTED_VALUE"""),"キラー攻撃(黄)")</f>
        <v>キラー攻撃(黄)</v>
      </c>
      <c r="CT64" s="139" t="str">
        <f>IFERROR(__xludf.DUMMYFUNCTION("""COMPUTED_VALUE"""),"-")</f>
        <v>-</v>
      </c>
      <c r="CU64" s="139" t="str">
        <f>IFERROR(__xludf.DUMMYFUNCTION("""COMPUTED_VALUE"""),"敵")</f>
        <v>敵</v>
      </c>
      <c r="CV64" s="139" t="str">
        <f>IFERROR(__xludf.DUMMYFUNCTION("""COMPUTED_VALUE"""),"黄")</f>
        <v>黄</v>
      </c>
      <c r="CW64" s="139" t="str">
        <f>IFERROR(__xludf.DUMMYFUNCTION("""COMPUTED_VALUE"""),"All")</f>
        <v>All</v>
      </c>
      <c r="CX64" s="674">
        <f>IFERROR(__xludf.DUMMYFUNCTION("""COMPUTED_VALUE"""),135.0)</f>
        <v>135</v>
      </c>
      <c r="CY64" s="139" t="str">
        <f>IFERROR(__xludf.DUMMYFUNCTION("""COMPUTED_VALUE"""),"-")</f>
        <v>-</v>
      </c>
      <c r="CZ64" s="688">
        <f>IFERROR(__xludf.DUMMYFUNCTION("""COMPUTED_VALUE"""),9820.0)</f>
        <v>9820</v>
      </c>
      <c r="DA64" s="688">
        <f>IFERROR(__xludf.DUMMYFUNCTION("""COMPUTED_VALUE"""),1335.374920853824)</f>
        <v>1335.374921</v>
      </c>
      <c r="DB64" s="688">
        <f>IFERROR(__xludf.DUMMYFUNCTION("""COMPUTED_VALUE"""),0.0)</f>
        <v>0</v>
      </c>
      <c r="DC64" s="139" t="str">
        <f>IFERROR(__xludf.DUMMYFUNCTION("""COMPUTED_VALUE"""),"-")</f>
        <v>-</v>
      </c>
      <c r="DD64" s="673" t="str">
        <f>IFERROR(__xludf.DUMMYFUNCTION("""COMPUTED_VALUE"""),"-")</f>
        <v>-</v>
      </c>
      <c r="DE64" s="139" t="str">
        <f>IFERROR(__xludf.DUMMYFUNCTION("""COMPUTED_VALUE"""),"-")</f>
        <v>-</v>
      </c>
      <c r="DF64" s="139" t="str">
        <f>IFERROR(__xludf.DUMMYFUNCTION("""COMPUTED_VALUE"""),"-")</f>
        <v>-</v>
      </c>
      <c r="DG64" s="139" t="str">
        <f>IFERROR(__xludf.DUMMYFUNCTION("""COMPUTED_VALUE"""),"-")</f>
        <v>-</v>
      </c>
      <c r="DH64" s="139" t="str">
        <f>IFERROR(__xludf.DUMMYFUNCTION("""COMPUTED_VALUE"""),"-")</f>
        <v>-</v>
      </c>
      <c r="DI64" s="139" t="str">
        <f>IFERROR(__xludf.DUMMYFUNCTION("""COMPUTED_VALUE"""),"-")</f>
        <v>-</v>
      </c>
      <c r="DJ64" s="139" t="str">
        <f>IFERROR(__xludf.DUMMYFUNCTION("""COMPUTED_VALUE"""),"-")</f>
        <v>-</v>
      </c>
    </row>
    <row r="65">
      <c r="A65" s="139" t="str">
        <f>IFERROR(__xludf.DUMMYFUNCTION("""COMPUTED_VALUE"""),"ダンダダン")</f>
        <v>ダンダダン</v>
      </c>
      <c r="B65" s="139" t="str">
        <f>IFERROR(__xludf.DUMMYFUNCTION("""COMPUTED_VALUE"""),"オカルン")</f>
        <v>オカルン</v>
      </c>
      <c r="C65" s="139" t="str">
        <f>IFERROR(__xludf.DUMMYFUNCTION("""COMPUTED_VALUE"""),"chara_dan_00001")</f>
        <v>chara_dan_00001</v>
      </c>
      <c r="D65" s="139" t="str">
        <f>IFERROR(__xludf.DUMMYFUNCTION("""COMPUTED_VALUE"""),"PremiumR")</f>
        <v>PremiumR</v>
      </c>
      <c r="E65" s="139" t="str">
        <f>IFERROR(__xludf.DUMMYFUNCTION("""COMPUTED_VALUE"""),"赤")</f>
        <v>赤</v>
      </c>
      <c r="F65" s="139" t="str">
        <f>IFERROR(__xludf.DUMMYFUNCTION("""COMPUTED_VALUE"""),"ディフェンス")</f>
        <v>ディフェンス</v>
      </c>
      <c r="G65" s="139" t="str">
        <f>IFERROR(__xludf.DUMMYFUNCTION("""COMPUTED_VALUE"""),"近距離")</f>
        <v>近距離</v>
      </c>
      <c r="H65" s="139" t="str">
        <f>IFERROR(__xludf.DUMMYFUNCTION("""COMPUTED_VALUE"""),"dageki_1")</f>
        <v>dageki_1</v>
      </c>
      <c r="I65" s="139" t="str">
        <f>IFERROR(__xludf.DUMMYFUNCTION("""COMPUTED_VALUE"""),"-")</f>
        <v>-</v>
      </c>
      <c r="J65" s="139" t="str">
        <f>IFERROR(__xludf.DUMMYFUNCTION("""COMPUTED_VALUE"""),"202509010_リリース")</f>
        <v>202509010_リリース</v>
      </c>
      <c r="K65" s="139" t="str">
        <f>IFERROR(__xludf.DUMMYFUNCTION("""COMPUTED_VALUE"""),"リリース時")</f>
        <v>リリース時</v>
      </c>
      <c r="L65" s="139" t="str">
        <f>IFERROR(__xludf.DUMMYFUNCTION("""COMPUTED_VALUE"""),"※")</f>
        <v>※</v>
      </c>
      <c r="M65" s="674">
        <f>IFERROR(__xludf.DUMMYFUNCTION("""COMPUTED_VALUE"""),160.0)</f>
        <v>160</v>
      </c>
      <c r="N65" s="139">
        <f>IFERROR(__xludf.DUMMYFUNCTION("""COMPUTED_VALUE"""),200.0)</f>
        <v>200</v>
      </c>
      <c r="O65" s="139" t="str">
        <f>IFERROR(__xludf.DUMMYFUNCTION("""COMPUTED_VALUE"""),"低コスト")</f>
        <v>低コスト</v>
      </c>
      <c r="P65" s="139">
        <f>IFERROR(__xludf.DUMMYFUNCTION("""COMPUTED_VALUE"""),-50.0)</f>
        <v>-50</v>
      </c>
      <c r="Q65" s="675">
        <f>IFERROR(__xludf.DUMMYFUNCTION("""COMPUTED_VALUE"""),10.0)</f>
        <v>10</v>
      </c>
      <c r="R65" s="675">
        <f>IFERROR(__xludf.DUMMYFUNCTION("""COMPUTED_VALUE"""),0.0)</f>
        <v>0</v>
      </c>
      <c r="S65" s="675">
        <f>IFERROR(__xludf.DUMMYFUNCTION("""COMPUTED_VALUE"""),1.5)</f>
        <v>1.5</v>
      </c>
      <c r="T65" s="674">
        <f>IFERROR(__xludf.DUMMYFUNCTION("""COMPUTED_VALUE"""),335.0)</f>
        <v>335</v>
      </c>
      <c r="U65" s="675">
        <f>IFERROR(__xludf.DUMMYFUNCTION("""COMPUTED_VALUE"""),6.673333333333334)</f>
        <v>6.673333333</v>
      </c>
      <c r="V65" s="675">
        <f>IFERROR(__xludf.DUMMYFUNCTION("""COMPUTED_VALUE"""),0.0)</f>
        <v>0</v>
      </c>
      <c r="W65" s="675">
        <f>IFERROR(__xludf.DUMMYFUNCTION("""COMPUTED_VALUE"""),0.0)</f>
        <v>0</v>
      </c>
      <c r="X65" s="675">
        <f>IFERROR(__xludf.DUMMYFUNCTION("""COMPUTED_VALUE"""),0.0)</f>
        <v>0</v>
      </c>
      <c r="Y65" s="674">
        <f>IFERROR(__xludf.DUMMYFUNCTION("""COMPUTED_VALUE"""),175.0)</f>
        <v>175</v>
      </c>
      <c r="Z65" s="675">
        <f>IFERROR(__xludf.DUMMYFUNCTION("""COMPUTED_VALUE"""),3.488333333333333)</f>
        <v>3.488333333</v>
      </c>
      <c r="AA65" s="675">
        <f>IFERROR(__xludf.DUMMYFUNCTION("""COMPUTED_VALUE"""),0.0)</f>
        <v>0</v>
      </c>
      <c r="AB65" s="673">
        <f>IFERROR(__xludf.DUMMYFUNCTION("""COMPUTED_VALUE"""),0.0)</f>
        <v>0</v>
      </c>
      <c r="AC65" s="675">
        <f>IFERROR(__xludf.DUMMYFUNCTION("""COMPUTED_VALUE"""),0.0)</f>
        <v>0</v>
      </c>
      <c r="AD65" s="674">
        <f>IFERROR(__xludf.DUMMYFUNCTION("""COMPUTED_VALUE"""),995.0)</f>
        <v>995</v>
      </c>
      <c r="AE65" s="675">
        <f>IFERROR(__xludf.DUMMYFUNCTION("""COMPUTED_VALUE"""),19.929057016916296)</f>
        <v>19.92905702</v>
      </c>
      <c r="AF65" s="675">
        <f>IFERROR(__xludf.DUMMYFUNCTION("""COMPUTED_VALUE"""),0.0)</f>
        <v>0</v>
      </c>
      <c r="AG65" s="675">
        <f>IFERROR(__xludf.DUMMYFUNCTION("""COMPUTED_VALUE"""),10.350000000000001)</f>
        <v>10.35</v>
      </c>
      <c r="AH65" s="675">
        <f>IFERROR(__xludf.DUMMYFUNCTION("""COMPUTED_VALUE"""),0.0)</f>
        <v>0</v>
      </c>
      <c r="AI65" s="675">
        <f>IFERROR(__xludf.DUMMYFUNCTION("""COMPUTED_VALUE"""),6.9)</f>
        <v>6.9</v>
      </c>
      <c r="AJ65" s="675">
        <f>IFERROR(__xludf.DUMMYFUNCTION("""COMPUTED_VALUE"""),13.029057016916296)</f>
        <v>13.02905702</v>
      </c>
      <c r="AK65" s="139">
        <f>IFERROR(__xludf.DUMMYFUNCTION("""COMPUTED_VALUE"""),1.0)</f>
        <v>1</v>
      </c>
      <c r="AL65" s="674">
        <f>IFERROR(__xludf.DUMMYFUNCTION("""COMPUTED_VALUE"""),910.0)</f>
        <v>910</v>
      </c>
      <c r="AM65" s="688">
        <f>IFERROR(__xludf.DUMMYFUNCTION("""COMPUTED_VALUE"""),6489.695588546309)</f>
        <v>6489.695589</v>
      </c>
      <c r="AN65" s="675">
        <f>IFERROR(__xludf.DUMMYFUNCTION("""COMPUTED_VALUE"""),6.066666666666666)</f>
        <v>6.066666667</v>
      </c>
      <c r="AO65" s="675">
        <f>IFERROR(__xludf.DUMMYFUNCTION("""COMPUTED_VALUE"""),3.033333333333333)</f>
        <v>3.033333333</v>
      </c>
      <c r="AP65" s="674">
        <f>IFERROR(__xludf.DUMMYFUNCTION("""COMPUTED_VALUE"""),480.0)</f>
        <v>480</v>
      </c>
      <c r="AQ65" s="673">
        <f>IFERROR(__xludf.DUMMYFUNCTION("""COMPUTED_VALUE"""),0.9)</f>
        <v>0.9</v>
      </c>
      <c r="AR65" s="673">
        <f>IFERROR(__xludf.DUMMYFUNCTION("""COMPUTED_VALUE"""),0.0)</f>
        <v>0</v>
      </c>
      <c r="AS65" s="673">
        <f>IFERROR(__xludf.DUMMYFUNCTION("""COMPUTED_VALUE"""),0.0)</f>
        <v>0</v>
      </c>
      <c r="AT65" s="673">
        <f>IFERROR(__xludf.DUMMYFUNCTION("""COMPUTED_VALUE"""),0.0)</f>
        <v>0</v>
      </c>
      <c r="AU65" s="673">
        <f>IFERROR(__xludf.DUMMYFUNCTION("""COMPUTED_VALUE"""),0.0)</f>
        <v>0</v>
      </c>
      <c r="AV65" s="673">
        <f>IFERROR(__xludf.DUMMYFUNCTION("""COMPUTED_VALUE"""),0.0)</f>
        <v>0</v>
      </c>
      <c r="AW65" s="139"/>
      <c r="AX65" s="674">
        <f>IFERROR(__xludf.DUMMYFUNCTION("""COMPUTED_VALUE"""),320.0)</f>
        <v>320</v>
      </c>
      <c r="AY65" s="688">
        <f>IFERROR(__xludf.DUMMYFUNCTION("""COMPUTED_VALUE"""),2280.7689981701305)</f>
        <v>2280.768998</v>
      </c>
      <c r="AZ65" s="674">
        <f>IFERROR(__xludf.DUMMYFUNCTION("""COMPUTED_VALUE"""),160.0)</f>
        <v>160</v>
      </c>
      <c r="BA65" s="688">
        <f>IFERROR(__xludf.DUMMYFUNCTION("""COMPUTED_VALUE"""),1140.3844990850653)</f>
        <v>1140.384499</v>
      </c>
      <c r="BB65" s="688" t="str">
        <f>IFERROR(__xludf.DUMMYFUNCTION("""COMPUTED_VALUE"""),"-")</f>
        <v>-</v>
      </c>
      <c r="BC65" s="688" t="str">
        <f>IFERROR(__xludf.DUMMYFUNCTION("""COMPUTED_VALUE"""),"#VALUE!")</f>
        <v>#VALUE!</v>
      </c>
      <c r="BD65" s="688" t="str">
        <f>IFERROR(__xludf.DUMMYFUNCTION("""COMPUTED_VALUE"""),"#VALUE!")</f>
        <v>#VALUE!</v>
      </c>
      <c r="BE65" s="674">
        <f>IFERROR(__xludf.DUMMYFUNCTION("""COMPUTED_VALUE"""),160.0)</f>
        <v>160</v>
      </c>
      <c r="BF65" s="674">
        <f>IFERROR(__xludf.DUMMYFUNCTION("""COMPUTED_VALUE"""),320.0)</f>
        <v>320</v>
      </c>
      <c r="BG65" s="673">
        <f>IFERROR(__xludf.DUMMYFUNCTION("""COMPUTED_VALUE"""),0.0)</f>
        <v>0</v>
      </c>
      <c r="BH65" s="673">
        <f>IFERROR(__xludf.DUMMYFUNCTION("""COMPUTED_VALUE"""),-0.5)</f>
        <v>-0.5</v>
      </c>
      <c r="BI65" s="673">
        <f>IFERROR(__xludf.DUMMYFUNCTION("""COMPUTED_VALUE"""),0.0)</f>
        <v>0</v>
      </c>
      <c r="BJ65" s="673">
        <f>IFERROR(__xludf.DUMMYFUNCTION("""COMPUTED_VALUE"""),0.0)</f>
        <v>0</v>
      </c>
      <c r="BK65" s="673">
        <f>IFERROR(__xludf.DUMMYFUNCTION("""COMPUTED_VALUE"""),0.0)</f>
        <v>0</v>
      </c>
      <c r="BL65" s="673">
        <f>IFERROR(__xludf.DUMMYFUNCTION("""COMPUTED_VALUE"""),0.0)</f>
        <v>0</v>
      </c>
      <c r="BM65" s="674">
        <f>IFERROR(__xludf.DUMMYFUNCTION("""COMPUTED_VALUE"""),100.0)</f>
        <v>100</v>
      </c>
      <c r="BN65" s="674">
        <f>IFERROR(__xludf.DUMMYFUNCTION("""COMPUTED_VALUE"""),100.0)</f>
        <v>100</v>
      </c>
      <c r="BO65" s="675">
        <f>IFERROR(__xludf.DUMMYFUNCTION("""COMPUTED_VALUE"""),0.0)</f>
        <v>0</v>
      </c>
      <c r="BP65" s="675">
        <f>IFERROR(__xludf.DUMMYFUNCTION("""COMPUTED_VALUE"""),2.0)</f>
        <v>2</v>
      </c>
      <c r="BQ65" s="675" t="str">
        <f>IFERROR(__xludf.DUMMYFUNCTION("""COMPUTED_VALUE"""),"※")</f>
        <v>※</v>
      </c>
      <c r="BR65" s="139">
        <f>IFERROR(__xludf.DUMMYFUNCTION("""COMPUTED_VALUE"""),1.0)</f>
        <v>1</v>
      </c>
      <c r="BS65" s="139">
        <f>IFERROR(__xludf.DUMMYFUNCTION("""COMPUTED_VALUE"""),30.0)</f>
        <v>30</v>
      </c>
      <c r="BT65" s="139">
        <f>IFERROR(__xludf.DUMMYFUNCTION("""COMPUTED_VALUE"""),0.16)</f>
        <v>0.16</v>
      </c>
      <c r="BU65" s="139">
        <f>IFERROR(__xludf.DUMMYFUNCTION("""COMPUTED_VALUE"""),0.0)</f>
        <v>0</v>
      </c>
      <c r="BV65" s="139" t="str">
        <f>IFERROR(__xludf.DUMMYFUNCTION("""COMPUTED_VALUE"""),"普通")</f>
        <v>普通</v>
      </c>
      <c r="BW65" s="139" t="str">
        <f>IFERROR(__xludf.DUMMYFUNCTION("""COMPUTED_VALUE"""),"-")</f>
        <v>-</v>
      </c>
      <c r="BX65" s="139" t="str">
        <f>IFERROR(__xludf.DUMMYFUNCTION("""COMPUTED_VALUE"""),"-")</f>
        <v>-</v>
      </c>
      <c r="BY65" s="139" t="str">
        <f>IFERROR(__xludf.DUMMYFUNCTION("""COMPUTED_VALUE"""),"-")</f>
        <v>-</v>
      </c>
      <c r="BZ65" s="139" t="str">
        <f>IFERROR(__xludf.DUMMYFUNCTION("""COMPUTED_VALUE"""),"-")</f>
        <v>-</v>
      </c>
      <c r="CA65" s="139" t="str">
        <f>IFERROR(__xludf.DUMMYFUNCTION("""COMPUTED_VALUE"""),"-")</f>
        <v>-</v>
      </c>
      <c r="CB65" s="139" t="str">
        <f>IFERROR(__xludf.DUMMYFUNCTION("""COMPUTED_VALUE"""),"-")</f>
        <v>-</v>
      </c>
      <c r="CC65" s="139" t="str">
        <f>IFERROR(__xludf.DUMMYFUNCTION("""COMPUTED_VALUE"""),"近距離")</f>
        <v>近距離</v>
      </c>
      <c r="CD65" s="139" t="str">
        <f>IFERROR(__xludf.DUMMYFUNCTION("""COMPUTED_VALUE"""),"単体")</f>
        <v>単体</v>
      </c>
      <c r="CE65" s="139">
        <f>IFERROR(__xludf.DUMMYFUNCTION("""COMPUTED_VALUE"""),1.0)</f>
        <v>1</v>
      </c>
      <c r="CF65" s="139">
        <f>IFERROR(__xludf.DUMMYFUNCTION("""COMPUTED_VALUE"""),0.17)</f>
        <v>0.17</v>
      </c>
      <c r="CG65" s="139" t="str">
        <f>IFERROR(__xludf.DUMMYFUNCTION("""COMPUTED_VALUE"""),"自身")</f>
        <v>自身</v>
      </c>
      <c r="CH65" s="139" t="str">
        <f>IFERROR(__xludf.DUMMYFUNCTION("""COMPUTED_VALUE"""),"自身")</f>
        <v>自身</v>
      </c>
      <c r="CI65" s="139" t="str">
        <f>IFERROR(__xludf.DUMMYFUNCTION("""COMPUTED_VALUE"""),"該当なし")</f>
        <v>該当なし</v>
      </c>
      <c r="CJ65" s="139" t="str">
        <f>IFERROR(__xludf.DUMMYFUNCTION("""COMPUTED_VALUE"""),"自身")</f>
        <v>自身</v>
      </c>
      <c r="CK65" s="139" t="str">
        <f>IFERROR(__xludf.DUMMYFUNCTION("""COMPUTED_VALUE"""),"自身")</f>
        <v>自身</v>
      </c>
      <c r="CL65" s="139" t="str">
        <f>IFERROR(__xludf.DUMMYFUNCTION("""COMPUTED_VALUE"""),"All")</f>
        <v>All</v>
      </c>
      <c r="CM65" s="139" t="str">
        <f>IFERROR(__xludf.DUMMYFUNCTION("""COMPUTED_VALUE"""),"All")</f>
        <v>All</v>
      </c>
      <c r="CN65" s="675">
        <f>IFERROR(__xludf.DUMMYFUNCTION("""COMPUTED_VALUE"""),19.929057016916296)</f>
        <v>19.92905702</v>
      </c>
      <c r="CO65" s="139" t="str">
        <f>IFERROR(__xludf.DUMMYFUNCTION("""COMPUTED_VALUE"""),"-")</f>
        <v>-</v>
      </c>
      <c r="CP65" s="139" t="str">
        <f>IFERROR(__xludf.DUMMYFUNCTION("""COMPUTED_VALUE"""),"-")</f>
        <v>-</v>
      </c>
      <c r="CQ65" s="139" t="str">
        <f>IFERROR(__xludf.DUMMYFUNCTION("""COMPUTED_VALUE"""),"-")</f>
        <v>-</v>
      </c>
      <c r="CR65" s="139" t="str">
        <f>IFERROR(__xludf.DUMMYFUNCTION("""COMPUTED_VALUE"""),"安定型")</f>
        <v>安定型</v>
      </c>
      <c r="CS65" s="673" t="str">
        <f>IFERROR(__xludf.DUMMYFUNCTION("""COMPUTED_VALUE"""),"ダメージカット(自身)")</f>
        <v>ダメージカット(自身)</v>
      </c>
      <c r="CT65" s="139" t="str">
        <f>IFERROR(__xludf.DUMMYFUNCTION("""COMPUTED_VALUE"""),"安定型")</f>
        <v>安定型</v>
      </c>
      <c r="CU65" s="139" t="str">
        <f>IFERROR(__xludf.DUMMYFUNCTION("""COMPUTED_VALUE"""),"自身")</f>
        <v>自身</v>
      </c>
      <c r="CV65" s="139" t="str">
        <f>IFERROR(__xludf.DUMMYFUNCTION("""COMPUTED_VALUE"""),"All")</f>
        <v>All</v>
      </c>
      <c r="CW65" s="139" t="str">
        <f>IFERROR(__xludf.DUMMYFUNCTION("""COMPUTED_VALUE"""),"All")</f>
        <v>All</v>
      </c>
      <c r="CX65" s="674">
        <f>IFERROR(__xludf.DUMMYFUNCTION("""COMPUTED_VALUE"""),14.0)</f>
        <v>14</v>
      </c>
      <c r="CY65" s="675">
        <f>IFERROR(__xludf.DUMMYFUNCTION("""COMPUTED_VALUE"""),6.9)</f>
        <v>6.9</v>
      </c>
      <c r="CZ65" s="688" t="str">
        <f>IFERROR(__xludf.DUMMYFUNCTION("""COMPUTED_VALUE"""),"-")</f>
        <v>-</v>
      </c>
      <c r="DA65" s="688">
        <f>IFERROR(__xludf.DUMMYFUNCTION("""COMPUTED_VALUE"""),0.0)</f>
        <v>0</v>
      </c>
      <c r="DB65" s="688">
        <f>IFERROR(__xludf.DUMMYFUNCTION("""COMPUTED_VALUE"""),0.0)</f>
        <v>0</v>
      </c>
      <c r="DC65" s="139" t="str">
        <f>IFERROR(__xludf.DUMMYFUNCTION("""COMPUTED_VALUE"""),"-")</f>
        <v>-</v>
      </c>
      <c r="DD65" s="673" t="str">
        <f>IFERROR(__xludf.DUMMYFUNCTION("""COMPUTED_VALUE"""),"-")</f>
        <v>-</v>
      </c>
      <c r="DE65" s="139" t="str">
        <f>IFERROR(__xludf.DUMMYFUNCTION("""COMPUTED_VALUE"""),"-")</f>
        <v>-</v>
      </c>
      <c r="DF65" s="139" t="str">
        <f>IFERROR(__xludf.DUMMYFUNCTION("""COMPUTED_VALUE"""),"-")</f>
        <v>-</v>
      </c>
      <c r="DG65" s="139" t="str">
        <f>IFERROR(__xludf.DUMMYFUNCTION("""COMPUTED_VALUE"""),"-")</f>
        <v>-</v>
      </c>
      <c r="DH65" s="139" t="str">
        <f>IFERROR(__xludf.DUMMYFUNCTION("""COMPUTED_VALUE"""),"-")</f>
        <v>-</v>
      </c>
      <c r="DI65" s="139" t="str">
        <f>IFERROR(__xludf.DUMMYFUNCTION("""COMPUTED_VALUE"""),"-")</f>
        <v>-</v>
      </c>
      <c r="DJ65" s="139" t="str">
        <f>IFERROR(__xludf.DUMMYFUNCTION("""COMPUTED_VALUE"""),"-")</f>
        <v>-</v>
      </c>
    </row>
    <row r="66">
      <c r="A66" s="139" t="str">
        <f>IFERROR(__xludf.DUMMYFUNCTION("""COMPUTED_VALUE"""),"怪獣８号")</f>
        <v>怪獣８号</v>
      </c>
      <c r="B66" s="139" t="str">
        <f>IFERROR(__xludf.DUMMYFUNCTION("""COMPUTED_VALUE"""),"第三部隊隊長 亜白 ミナ")</f>
        <v>第三部隊隊長 亜白 ミナ</v>
      </c>
      <c r="C66" s="139" t="str">
        <f>IFERROR(__xludf.DUMMYFUNCTION("""COMPUTED_VALUE"""),"chara_kai_00201")</f>
        <v>chara_kai_00201</v>
      </c>
      <c r="D66" s="139" t="str">
        <f>IFERROR(__xludf.DUMMYFUNCTION("""COMPUTED_VALUE"""),"PremiumUR")</f>
        <v>PremiumUR</v>
      </c>
      <c r="E66" s="139" t="str">
        <f>IFERROR(__xludf.DUMMYFUNCTION("""COMPUTED_VALUE"""),"青")</f>
        <v>青</v>
      </c>
      <c r="F66" s="139" t="str">
        <f>IFERROR(__xludf.DUMMYFUNCTION("""COMPUTED_VALUE"""),"アタック")</f>
        <v>アタック</v>
      </c>
      <c r="G66" s="139" t="str">
        <f>IFERROR(__xludf.DUMMYFUNCTION("""COMPUTED_VALUE"""),"遠距離")</f>
        <v>遠距離</v>
      </c>
      <c r="H66" s="139" t="str">
        <f>IFERROR(__xludf.DUMMYFUNCTION("""COMPUTED_VALUE"""),"shageki_1")</f>
        <v>shageki_1</v>
      </c>
      <c r="I66" s="139" t="str">
        <f>IFERROR(__xludf.DUMMYFUNCTION("""COMPUTED_VALUE"""),"shageki_1")</f>
        <v>shageki_1</v>
      </c>
      <c r="J66" s="139" t="str">
        <f>IFERROR(__xludf.DUMMYFUNCTION("""COMPUTED_VALUE"""),"202509010_怪獣8号")</f>
        <v>202509010_怪獣8号</v>
      </c>
      <c r="K66" s="139" t="str">
        <f>IFERROR(__xludf.DUMMYFUNCTION("""COMPUTED_VALUE"""),"怪獣８号いいジャン祭")</f>
        <v>怪獣８号いいジャン祭</v>
      </c>
      <c r="L66" s="687" t="str">
        <f>IFERROR(__xludf.DUMMYFUNCTION("""COMPUTED_VALUE"""),"※")</f>
        <v>※</v>
      </c>
      <c r="M66" s="674">
        <f>IFERROR(__xludf.DUMMYFUNCTION("""COMPUTED_VALUE"""),975.0)</f>
        <v>975</v>
      </c>
      <c r="N66" s="139">
        <f>IFERROR(__xludf.DUMMYFUNCTION("""COMPUTED_VALUE"""),1000.0)</f>
        <v>1000</v>
      </c>
      <c r="O66" s="139" t="str">
        <f>IFERROR(__xludf.DUMMYFUNCTION("""COMPUTED_VALUE"""),"高コスト")</f>
        <v>高コスト</v>
      </c>
      <c r="P66" s="139">
        <f>IFERROR(__xludf.DUMMYFUNCTION("""COMPUTED_VALUE"""),-55.0)</f>
        <v>-55</v>
      </c>
      <c r="Q66" s="675">
        <f>IFERROR(__xludf.DUMMYFUNCTION("""COMPUTED_VALUE"""),5.0)</f>
        <v>5</v>
      </c>
      <c r="R66" s="675">
        <f>IFERROR(__xludf.DUMMYFUNCTION("""COMPUTED_VALUE"""),25.0)</f>
        <v>25</v>
      </c>
      <c r="S66" s="675">
        <f>IFERROR(__xludf.DUMMYFUNCTION("""COMPUTED_VALUE"""),21.875)</f>
        <v>21.875</v>
      </c>
      <c r="T66" s="674">
        <f>IFERROR(__xludf.DUMMYFUNCTION("""COMPUTED_VALUE"""),715.0)</f>
        <v>715</v>
      </c>
      <c r="U66" s="675">
        <f>IFERROR(__xludf.DUMMYFUNCTION("""COMPUTED_VALUE"""),14.3)</f>
        <v>14.3</v>
      </c>
      <c r="V66" s="675">
        <f>IFERROR(__xludf.DUMMYFUNCTION("""COMPUTED_VALUE"""),0.0)</f>
        <v>0</v>
      </c>
      <c r="W66" s="675">
        <f>IFERROR(__xludf.DUMMYFUNCTION("""COMPUTED_VALUE"""),0.0)</f>
        <v>0</v>
      </c>
      <c r="X66" s="675">
        <f>IFERROR(__xludf.DUMMYFUNCTION("""COMPUTED_VALUE"""),0.0)</f>
        <v>0</v>
      </c>
      <c r="Y66" s="674">
        <f>IFERROR(__xludf.DUMMYFUNCTION("""COMPUTED_VALUE"""),375.0)</f>
        <v>375</v>
      </c>
      <c r="Z66" s="675">
        <f>IFERROR(__xludf.DUMMYFUNCTION("""COMPUTED_VALUE"""),7.475)</f>
        <v>7.475</v>
      </c>
      <c r="AA66" s="675">
        <f>IFERROR(__xludf.DUMMYFUNCTION("""COMPUTED_VALUE"""),0.0)</f>
        <v>0</v>
      </c>
      <c r="AB66" s="673">
        <f>IFERROR(__xludf.DUMMYFUNCTION("""COMPUTED_VALUE"""),0.0)</f>
        <v>0</v>
      </c>
      <c r="AC66" s="675">
        <f>IFERROR(__xludf.DUMMYFUNCTION("""COMPUTED_VALUE"""),0.0)</f>
        <v>0</v>
      </c>
      <c r="AD66" s="674">
        <f>IFERROR(__xludf.DUMMYFUNCTION("""COMPUTED_VALUE"""),1400.0)</f>
        <v>1400</v>
      </c>
      <c r="AE66" s="675">
        <f>IFERROR(__xludf.DUMMYFUNCTION("""COMPUTED_VALUE"""),28.044607324760314)</f>
        <v>28.04460732</v>
      </c>
      <c r="AF66" s="675">
        <f>IFERROR(__xludf.DUMMYFUNCTION("""COMPUTED_VALUE"""),0.0)</f>
        <v>0</v>
      </c>
      <c r="AG66" s="675">
        <f>IFERROR(__xludf.DUMMYFUNCTION("""COMPUTED_VALUE"""),14.022303662380157)</f>
        <v>14.02230366</v>
      </c>
      <c r="AH66" s="675">
        <f>IFERROR(__xludf.DUMMYFUNCTION("""COMPUTED_VALUE"""),0.0)</f>
        <v>0</v>
      </c>
      <c r="AI66" s="139">
        <f>IFERROR(__xludf.DUMMYFUNCTION("""COMPUTED_VALUE"""),6.0)</f>
        <v>6</v>
      </c>
      <c r="AJ66" s="139" t="str">
        <f>IFERROR(__xludf.DUMMYFUNCTION("""COMPUTED_VALUE"""),"-")</f>
        <v>-</v>
      </c>
      <c r="AK66" s="139">
        <f>IFERROR(__xludf.DUMMYFUNCTION("""COMPUTED_VALUE"""),1.0)</f>
        <v>1</v>
      </c>
      <c r="AL66" s="674">
        <f>IFERROR(__xludf.DUMMYFUNCTION("""COMPUTED_VALUE"""),1950.0)</f>
        <v>1950</v>
      </c>
      <c r="AM66" s="688">
        <f>IFERROR(__xludf.DUMMYFUNCTION("""COMPUTED_VALUE"""),15936.844832599234)</f>
        <v>15936.84483</v>
      </c>
      <c r="AN66" s="675">
        <f>IFERROR(__xludf.DUMMYFUNCTION("""COMPUTED_VALUE"""),13.0)</f>
        <v>13</v>
      </c>
      <c r="AO66" s="675">
        <f>IFERROR(__xludf.DUMMYFUNCTION("""COMPUTED_VALUE"""),6.5)</f>
        <v>6.5</v>
      </c>
      <c r="AP66" s="674">
        <f>IFERROR(__xludf.DUMMYFUNCTION("""COMPUTED_VALUE"""),3900.0)</f>
        <v>3900</v>
      </c>
      <c r="AQ66" s="673">
        <f>IFERROR(__xludf.DUMMYFUNCTION("""COMPUTED_VALUE"""),-0.2)</f>
        <v>-0.2</v>
      </c>
      <c r="AR66" s="673">
        <f>IFERROR(__xludf.DUMMYFUNCTION("""COMPUTED_VALUE"""),0.0)</f>
        <v>0</v>
      </c>
      <c r="AS66" s="673">
        <f>IFERROR(__xludf.DUMMYFUNCTION("""COMPUTED_VALUE"""),-0.3)</f>
        <v>-0.3</v>
      </c>
      <c r="AT66" s="673">
        <f>IFERROR(__xludf.DUMMYFUNCTION("""COMPUTED_VALUE"""),0.0)</f>
        <v>0</v>
      </c>
      <c r="AU66" s="673">
        <f>IFERROR(__xludf.DUMMYFUNCTION("""COMPUTED_VALUE"""),0.0)</f>
        <v>0</v>
      </c>
      <c r="AV66" s="673">
        <f>IFERROR(__xludf.DUMMYFUNCTION("""COMPUTED_VALUE"""),0.0)</f>
        <v>0</v>
      </c>
      <c r="AW66" s="139"/>
      <c r="AX66" s="674">
        <f>IFERROR(__xludf.DUMMYFUNCTION("""COMPUTED_VALUE"""),9510.0)</f>
        <v>9510</v>
      </c>
      <c r="AY66" s="688">
        <f>IFERROR(__xludf.DUMMYFUNCTION("""COMPUTED_VALUE"""),77727.45741436857)</f>
        <v>77727.45741</v>
      </c>
      <c r="AZ66" s="674">
        <f>IFERROR(__xludf.DUMMYFUNCTION("""COMPUTED_VALUE"""),3170.0)</f>
        <v>3170</v>
      </c>
      <c r="BA66" s="688">
        <f>IFERROR(__xludf.DUMMYFUNCTION("""COMPUTED_VALUE"""),25909.152471456193)</f>
        <v>25909.15247</v>
      </c>
      <c r="BB66" s="688" t="str">
        <f>IFERROR(__xludf.DUMMYFUNCTION("""COMPUTED_VALUE"""),"-")</f>
        <v>-</v>
      </c>
      <c r="BC66" s="688" t="str">
        <f>IFERROR(__xludf.DUMMYFUNCTION("""COMPUTED_VALUE"""),"#VALUE!")</f>
        <v>#VALUE!</v>
      </c>
      <c r="BD66" s="688" t="str">
        <f>IFERROR(__xludf.DUMMYFUNCTION("""COMPUTED_VALUE"""),"#VALUE!")</f>
        <v>#VALUE!</v>
      </c>
      <c r="BE66" s="674">
        <f>IFERROR(__xludf.DUMMYFUNCTION("""COMPUTED_VALUE"""),3170.0)</f>
        <v>3170</v>
      </c>
      <c r="BF66" s="674">
        <f>IFERROR(__xludf.DUMMYFUNCTION("""COMPUTED_VALUE"""),2437.5)</f>
        <v>2437.5</v>
      </c>
      <c r="BG66" s="673">
        <f>IFERROR(__xludf.DUMMYFUNCTION("""COMPUTED_VALUE"""),0.0)</f>
        <v>0</v>
      </c>
      <c r="BH66" s="673">
        <f>IFERROR(__xludf.DUMMYFUNCTION("""COMPUTED_VALUE"""),0.3)</f>
        <v>0.3</v>
      </c>
      <c r="BI66" s="673">
        <f>IFERROR(__xludf.DUMMYFUNCTION("""COMPUTED_VALUE"""),0.0)</f>
        <v>0</v>
      </c>
      <c r="BJ66" s="673">
        <f>IFERROR(__xludf.DUMMYFUNCTION("""COMPUTED_VALUE"""),0.0)</f>
        <v>0</v>
      </c>
      <c r="BK66" s="673">
        <f>IFERROR(__xludf.DUMMYFUNCTION("""COMPUTED_VALUE"""),0.0)</f>
        <v>0</v>
      </c>
      <c r="BL66" s="673">
        <f>IFERROR(__xludf.DUMMYFUNCTION("""COMPUTED_VALUE"""),0.0)</f>
        <v>0</v>
      </c>
      <c r="BM66" s="674">
        <f>IFERROR(__xludf.DUMMYFUNCTION("""COMPUTED_VALUE"""),150.0)</f>
        <v>150</v>
      </c>
      <c r="BN66" s="674">
        <f>IFERROR(__xludf.DUMMYFUNCTION("""COMPUTED_VALUE"""),150.0)</f>
        <v>150</v>
      </c>
      <c r="BO66" s="675">
        <f>IFERROR(__xludf.DUMMYFUNCTION("""COMPUTED_VALUE"""),0.0)</f>
        <v>0</v>
      </c>
      <c r="BP66" s="675">
        <f>IFERROR(__xludf.DUMMYFUNCTION("""COMPUTED_VALUE"""),3.0)</f>
        <v>3</v>
      </c>
      <c r="BQ66" s="675" t="str">
        <f>IFERROR(__xludf.DUMMYFUNCTION("""COMPUTED_VALUE"""),"※")</f>
        <v>※</v>
      </c>
      <c r="BR66" s="139">
        <f>IFERROR(__xludf.DUMMYFUNCTION("""COMPUTED_VALUE"""),3.0)</f>
        <v>3</v>
      </c>
      <c r="BS66" s="139">
        <f>IFERROR(__xludf.DUMMYFUNCTION("""COMPUTED_VALUE"""),40.0)</f>
        <v>40</v>
      </c>
      <c r="BT66" s="139">
        <f>IFERROR(__xludf.DUMMYFUNCTION("""COMPUTED_VALUE"""),0.59)</f>
        <v>0.59</v>
      </c>
      <c r="BU66" s="139">
        <f>IFERROR(__xludf.DUMMYFUNCTION("""COMPUTED_VALUE"""),0.0)</f>
        <v>0</v>
      </c>
      <c r="BV66" s="139" t="str">
        <f>IFERROR(__xludf.DUMMYFUNCTION("""COMPUTED_VALUE"""),"速-普通")</f>
        <v>速-普通</v>
      </c>
      <c r="BW66" s="139" t="str">
        <f>IFERROR(__xludf.DUMMYFUNCTION("""COMPUTED_VALUE"""),"スタン攻撃無効化")</f>
        <v>スタン攻撃無効化</v>
      </c>
      <c r="BX66" s="139">
        <f>IFERROR(__xludf.DUMMYFUNCTION("""COMPUTED_VALUE"""),50.0)</f>
        <v>50</v>
      </c>
      <c r="BY66" s="139">
        <f>IFERROR(__xludf.DUMMYFUNCTION("""COMPUTED_VALUE"""),0.0)</f>
        <v>0</v>
      </c>
      <c r="BZ66" s="139" t="str">
        <f>IFERROR(__xludf.DUMMYFUNCTION("""COMPUTED_VALUE"""),"攻撃DOWNコマ無効化")</f>
        <v>攻撃DOWNコマ無効化</v>
      </c>
      <c r="CA66" s="139" t="str">
        <f>IFERROR(__xludf.DUMMYFUNCTION("""COMPUTED_VALUE"""),"-")</f>
        <v>-</v>
      </c>
      <c r="CB66" s="139">
        <f>IFERROR(__xludf.DUMMYFUNCTION("""COMPUTED_VALUE"""),4.0)</f>
        <v>4</v>
      </c>
      <c r="CC66" s="139" t="str">
        <f>IFERROR(__xludf.DUMMYFUNCTION("""COMPUTED_VALUE"""),"遠距離")</f>
        <v>遠距離</v>
      </c>
      <c r="CD66" s="139" t="str">
        <f>IFERROR(__xludf.DUMMYFUNCTION("""COMPUTED_VALUE"""),"単体")</f>
        <v>単体</v>
      </c>
      <c r="CE66" s="139">
        <f>IFERROR(__xludf.DUMMYFUNCTION("""COMPUTED_VALUE"""),1.0)</f>
        <v>1</v>
      </c>
      <c r="CF66" s="139">
        <f>IFERROR(__xludf.DUMMYFUNCTION("""COMPUTED_VALUE"""),0.6)</f>
        <v>0.6</v>
      </c>
      <c r="CG66" s="139" t="str">
        <f>IFERROR(__xludf.DUMMYFUNCTION("""COMPUTED_VALUE"""),"遠距離")</f>
        <v>遠距離</v>
      </c>
      <c r="CH66" s="139" t="str">
        <f>IFERROR(__xludf.DUMMYFUNCTION("""COMPUTED_VALUE"""),"範囲(小：威力減)")</f>
        <v>範囲(小：威力減)</v>
      </c>
      <c r="CI66" s="139">
        <f>IFERROR(__xludf.DUMMYFUNCTION("""COMPUTED_VALUE"""),0.5)</f>
        <v>0.5</v>
      </c>
      <c r="CJ66" s="139">
        <f>IFERROR(__xludf.DUMMYFUNCTION("""COMPUTED_VALUE"""),0.7)</f>
        <v>0.7</v>
      </c>
      <c r="CK66" s="139" t="str">
        <f>IFERROR(__xludf.DUMMYFUNCTION("""COMPUTED_VALUE"""),"敵")</f>
        <v>敵</v>
      </c>
      <c r="CL66" s="139" t="str">
        <f>IFERROR(__xludf.DUMMYFUNCTION("""COMPUTED_VALUE"""),"All")</f>
        <v>All</v>
      </c>
      <c r="CM66" s="139" t="str">
        <f>IFERROR(__xludf.DUMMYFUNCTION("""COMPUTED_VALUE"""),"All")</f>
        <v>All</v>
      </c>
      <c r="CN66" s="675">
        <f>IFERROR(__xludf.DUMMYFUNCTION("""COMPUTED_VALUE"""),28.044607324760314)</f>
        <v>28.04460732</v>
      </c>
      <c r="CO66" s="139" t="str">
        <f>IFERROR(__xludf.DUMMYFUNCTION("""COMPUTED_VALUE"""),"-")</f>
        <v>-</v>
      </c>
      <c r="CP66" s="139" t="str">
        <f>IFERROR(__xludf.DUMMYFUNCTION("""COMPUTED_VALUE"""),"-")</f>
        <v>-</v>
      </c>
      <c r="CQ66" s="139" t="str">
        <f>IFERROR(__xludf.DUMMYFUNCTION("""COMPUTED_VALUE"""),"-")</f>
        <v>-</v>
      </c>
      <c r="CR66" s="139" t="str">
        <f>IFERROR(__xludf.DUMMYFUNCTION("""COMPUTED_VALUE"""),"-")</f>
        <v>-</v>
      </c>
      <c r="CS66" s="673" t="str">
        <f>IFERROR(__xludf.DUMMYFUNCTION("""COMPUTED_VALUE"""),"連続攻撃")</f>
        <v>連続攻撃</v>
      </c>
      <c r="CT66" s="139" t="str">
        <f>IFERROR(__xludf.DUMMYFUNCTION("""COMPUTED_VALUE"""),"-")</f>
        <v>-</v>
      </c>
      <c r="CU66" s="139" t="str">
        <f>IFERROR(__xludf.DUMMYFUNCTION("""COMPUTED_VALUE"""),"敵")</f>
        <v>敵</v>
      </c>
      <c r="CV66" s="139" t="str">
        <f>IFERROR(__xludf.DUMMYFUNCTION("""COMPUTED_VALUE"""),"All")</f>
        <v>All</v>
      </c>
      <c r="CW66" s="139" t="str">
        <f>IFERROR(__xludf.DUMMYFUNCTION("""COMPUTED_VALUE"""),"All")</f>
        <v>All</v>
      </c>
      <c r="CX66" s="674">
        <f>IFERROR(__xludf.DUMMYFUNCTION("""COMPUTED_VALUE"""),113.0)</f>
        <v>113</v>
      </c>
      <c r="CY66" s="139" t="str">
        <f>IFERROR(__xludf.DUMMYFUNCTION("""COMPUTED_VALUE"""),"-")</f>
        <v>-</v>
      </c>
      <c r="CZ66" s="688">
        <f>IFERROR(__xludf.DUMMYFUNCTION("""COMPUTED_VALUE"""),87832.0)</f>
        <v>87832</v>
      </c>
      <c r="DA66" s="688">
        <f>IFERROR(__xludf.DUMMYFUNCTION("""COMPUTED_VALUE"""),3379.759674971002)</f>
        <v>3379.759675</v>
      </c>
      <c r="DB66" s="688">
        <f>IFERROR(__xludf.DUMMYFUNCTION("""COMPUTED_VALUE"""),16898.79837485501)</f>
        <v>16898.79837</v>
      </c>
      <c r="DC66" s="139" t="str">
        <f>IFERROR(__xludf.DUMMYFUNCTION("""COMPUTED_VALUE"""),"-")</f>
        <v>-</v>
      </c>
      <c r="DD66" s="673" t="str">
        <f>IFERROR(__xludf.DUMMYFUNCTION("""COMPUTED_VALUE"""),"-")</f>
        <v>-</v>
      </c>
      <c r="DE66" s="139" t="str">
        <f>IFERROR(__xludf.DUMMYFUNCTION("""COMPUTED_VALUE"""),"-")</f>
        <v>-</v>
      </c>
      <c r="DF66" s="139" t="str">
        <f>IFERROR(__xludf.DUMMYFUNCTION("""COMPUTED_VALUE"""),"-")</f>
        <v>-</v>
      </c>
      <c r="DG66" s="139" t="str">
        <f>IFERROR(__xludf.DUMMYFUNCTION("""COMPUTED_VALUE"""),"-")</f>
        <v>-</v>
      </c>
      <c r="DH66" s="139" t="str">
        <f>IFERROR(__xludf.DUMMYFUNCTION("""COMPUTED_VALUE"""),"-")</f>
        <v>-</v>
      </c>
      <c r="DI66" s="139" t="str">
        <f>IFERROR(__xludf.DUMMYFUNCTION("""COMPUTED_VALUE"""),"-")</f>
        <v>-</v>
      </c>
      <c r="DJ66" s="139" t="str">
        <f>IFERROR(__xludf.DUMMYFUNCTION("""COMPUTED_VALUE"""),"-")</f>
        <v>-</v>
      </c>
    </row>
    <row r="67">
      <c r="A67" s="139" t="str">
        <f>IFERROR(__xludf.DUMMYFUNCTION("""COMPUTED_VALUE"""),"怪獣８号")</f>
        <v>怪獣８号</v>
      </c>
      <c r="B67" s="139" t="str">
        <f>IFERROR(__xludf.DUMMYFUNCTION("""COMPUTED_VALUE"""),"四ノ宮 功")</f>
        <v>四ノ宮 功</v>
      </c>
      <c r="C67" s="139" t="str">
        <f>IFERROR(__xludf.DUMMYFUNCTION("""COMPUTED_VALUE"""),"chara_kai_00501")</f>
        <v>chara_kai_00501</v>
      </c>
      <c r="D67" s="139" t="str">
        <f>IFERROR(__xludf.DUMMYFUNCTION("""COMPUTED_VALUE"""),"DropSR")</f>
        <v>DropSR</v>
      </c>
      <c r="E67" s="139" t="str">
        <f>IFERROR(__xludf.DUMMYFUNCTION("""COMPUTED_VALUE"""),"黄")</f>
        <v>黄</v>
      </c>
      <c r="F67" s="139" t="str">
        <f>IFERROR(__xludf.DUMMYFUNCTION("""COMPUTED_VALUE"""),"アタック")</f>
        <v>アタック</v>
      </c>
      <c r="G67" s="139" t="str">
        <f>IFERROR(__xludf.DUMMYFUNCTION("""COMPUTED_VALUE"""),"近距離")</f>
        <v>近距離</v>
      </c>
      <c r="H67" s="139" t="str">
        <f>IFERROR(__xludf.DUMMYFUNCTION("""COMPUTED_VALUE"""),"dageki_1")</f>
        <v>dageki_1</v>
      </c>
      <c r="I67" s="139" t="str">
        <f>IFERROR(__xludf.DUMMYFUNCTION("""COMPUTED_VALUE"""),"dageki_1")</f>
        <v>dageki_1</v>
      </c>
      <c r="J67" s="139" t="str">
        <f>IFERROR(__xludf.DUMMYFUNCTION("""COMPUTED_VALUE"""),"202509010_怪獣8号")</f>
        <v>202509010_怪獣8号</v>
      </c>
      <c r="K67" s="139" t="str">
        <f>IFERROR(__xludf.DUMMYFUNCTION("""COMPUTED_VALUE"""),"怪獣８号いいジャン祭")</f>
        <v>怪獣８号いいジャン祭</v>
      </c>
      <c r="L67" s="687" t="str">
        <f>IFERROR(__xludf.DUMMYFUNCTION("""COMPUTED_VALUE"""),"※")</f>
        <v>※</v>
      </c>
      <c r="M67" s="674">
        <f>IFERROR(__xludf.DUMMYFUNCTION("""COMPUTED_VALUE"""),875.0)</f>
        <v>875</v>
      </c>
      <c r="N67" s="139">
        <f>IFERROR(__xludf.DUMMYFUNCTION("""COMPUTED_VALUE"""),1000.0)</f>
        <v>1000</v>
      </c>
      <c r="O67" s="139" t="str">
        <f>IFERROR(__xludf.DUMMYFUNCTION("""COMPUTED_VALUE"""),"高コスト")</f>
        <v>高コスト</v>
      </c>
      <c r="P67" s="139">
        <f>IFERROR(__xludf.DUMMYFUNCTION("""COMPUTED_VALUE"""),-150.0)</f>
        <v>-150</v>
      </c>
      <c r="Q67" s="675">
        <f>IFERROR(__xludf.DUMMYFUNCTION("""COMPUTED_VALUE"""),10.0)</f>
        <v>10</v>
      </c>
      <c r="R67" s="675">
        <f>IFERROR(__xludf.DUMMYFUNCTION("""COMPUTED_VALUE"""),15.0)</f>
        <v>15</v>
      </c>
      <c r="S67" s="675">
        <f>IFERROR(__xludf.DUMMYFUNCTION("""COMPUTED_VALUE"""),19.375)</f>
        <v>19.375</v>
      </c>
      <c r="T67" s="674">
        <f>IFERROR(__xludf.DUMMYFUNCTION("""COMPUTED_VALUE"""),675.0)</f>
        <v>675</v>
      </c>
      <c r="U67" s="675">
        <f>IFERROR(__xludf.DUMMYFUNCTION("""COMPUTED_VALUE"""),13.493333333333336)</f>
        <v>13.49333333</v>
      </c>
      <c r="V67" s="675">
        <f>IFERROR(__xludf.DUMMYFUNCTION("""COMPUTED_VALUE"""),0.0)</f>
        <v>0</v>
      </c>
      <c r="W67" s="675">
        <f>IFERROR(__xludf.DUMMYFUNCTION("""COMPUTED_VALUE"""),0.0)</f>
        <v>0</v>
      </c>
      <c r="X67" s="675">
        <f>IFERROR(__xludf.DUMMYFUNCTION("""COMPUTED_VALUE"""),0.0)</f>
        <v>0</v>
      </c>
      <c r="Y67" s="674">
        <f>IFERROR(__xludf.DUMMYFUNCTION("""COMPUTED_VALUE"""),355.0)</f>
        <v>355</v>
      </c>
      <c r="Z67" s="675">
        <f>IFERROR(__xludf.DUMMYFUNCTION("""COMPUTED_VALUE"""),7.053333333333334)</f>
        <v>7.053333333</v>
      </c>
      <c r="AA67" s="675">
        <f>IFERROR(__xludf.DUMMYFUNCTION("""COMPUTED_VALUE"""),0.0)</f>
        <v>0</v>
      </c>
      <c r="AB67" s="673">
        <f>IFERROR(__xludf.DUMMYFUNCTION("""COMPUTED_VALUE"""),0.0)</f>
        <v>0</v>
      </c>
      <c r="AC67" s="675">
        <f>IFERROR(__xludf.DUMMYFUNCTION("""COMPUTED_VALUE"""),0.0)</f>
        <v>0</v>
      </c>
      <c r="AD67" s="674">
        <f>IFERROR(__xludf.DUMMYFUNCTION("""COMPUTED_VALUE"""),680.0)</f>
        <v>680</v>
      </c>
      <c r="AE67" s="675">
        <f>IFERROR(__xludf.DUMMYFUNCTION("""COMPUTED_VALUE"""),13.621062122071587)</f>
        <v>13.62106212</v>
      </c>
      <c r="AF67" s="675">
        <f>IFERROR(__xludf.DUMMYFUNCTION("""COMPUTED_VALUE"""),0.0)</f>
        <v>0</v>
      </c>
      <c r="AG67" s="675">
        <f>IFERROR(__xludf.DUMMYFUNCTION("""COMPUTED_VALUE"""),0.0)</f>
        <v>0</v>
      </c>
      <c r="AH67" s="675">
        <f>IFERROR(__xludf.DUMMYFUNCTION("""COMPUTED_VALUE"""),0.0)</f>
        <v>0</v>
      </c>
      <c r="AI67" s="139">
        <f>IFERROR(__xludf.DUMMYFUNCTION("""COMPUTED_VALUE"""),6.0)</f>
        <v>6</v>
      </c>
      <c r="AJ67" s="139" t="str">
        <f>IFERROR(__xludf.DUMMYFUNCTION("""COMPUTED_VALUE"""),"-")</f>
        <v>-</v>
      </c>
      <c r="AK67" s="139">
        <f>IFERROR(__xludf.DUMMYFUNCTION("""COMPUTED_VALUE"""),1.0)</f>
        <v>1</v>
      </c>
      <c r="AL67" s="674">
        <f>IFERROR(__xludf.DUMMYFUNCTION("""COMPUTED_VALUE"""),1840.0)</f>
        <v>1840</v>
      </c>
      <c r="AM67" s="688">
        <f>IFERROR(__xludf.DUMMYFUNCTION("""COMPUTED_VALUE"""),12718.891739478251)</f>
        <v>12718.89174</v>
      </c>
      <c r="AN67" s="675">
        <f>IFERROR(__xludf.DUMMYFUNCTION("""COMPUTED_VALUE"""),12.266666666666667)</f>
        <v>12.26666667</v>
      </c>
      <c r="AO67" s="675">
        <f>IFERROR(__xludf.DUMMYFUNCTION("""COMPUTED_VALUE"""),6.133333333333334)</f>
        <v>6.133333333</v>
      </c>
      <c r="AP67" s="674">
        <f>IFERROR(__xludf.DUMMYFUNCTION("""COMPUTED_VALUE"""),2630.0)</f>
        <v>2630</v>
      </c>
      <c r="AQ67" s="673">
        <f>IFERROR(__xludf.DUMMYFUNCTION("""COMPUTED_VALUE"""),-0.2)</f>
        <v>-0.2</v>
      </c>
      <c r="AR67" s="673">
        <f>IFERROR(__xludf.DUMMYFUNCTION("""COMPUTED_VALUE"""),0.0)</f>
        <v>0</v>
      </c>
      <c r="AS67" s="673">
        <f>IFERROR(__xludf.DUMMYFUNCTION("""COMPUTED_VALUE"""),0.0)</f>
        <v>0</v>
      </c>
      <c r="AT67" s="673">
        <f>IFERROR(__xludf.DUMMYFUNCTION("""COMPUTED_VALUE"""),-0.1)</f>
        <v>-0.1</v>
      </c>
      <c r="AU67" s="673">
        <f>IFERROR(__xludf.DUMMYFUNCTION("""COMPUTED_VALUE"""),0.0)</f>
        <v>0</v>
      </c>
      <c r="AV67" s="673">
        <f>IFERROR(__xludf.DUMMYFUNCTION("""COMPUTED_VALUE"""),0.0)</f>
        <v>0</v>
      </c>
      <c r="AW67" s="139"/>
      <c r="AX67" s="674">
        <f>IFERROR(__xludf.DUMMYFUNCTION("""COMPUTED_VALUE"""),1840.0)</f>
        <v>1840</v>
      </c>
      <c r="AY67" s="688">
        <f>IFERROR(__xludf.DUMMYFUNCTION("""COMPUTED_VALUE"""),12718.891739478251)</f>
        <v>12718.89174</v>
      </c>
      <c r="AZ67" s="674">
        <f>IFERROR(__xludf.DUMMYFUNCTION("""COMPUTED_VALUE"""),1840.0)</f>
        <v>1840</v>
      </c>
      <c r="BA67" s="688">
        <f>IFERROR(__xludf.DUMMYFUNCTION("""COMPUTED_VALUE"""),12718.891739478251)</f>
        <v>12718.89174</v>
      </c>
      <c r="BB67" s="688" t="str">
        <f>IFERROR(__xludf.DUMMYFUNCTION("""COMPUTED_VALUE"""),"-")</f>
        <v>-</v>
      </c>
      <c r="BC67" s="688" t="str">
        <f>IFERROR(__xludf.DUMMYFUNCTION("""COMPUTED_VALUE"""),"#VALUE!")</f>
        <v>#VALUE!</v>
      </c>
      <c r="BD67" s="688" t="str">
        <f>IFERROR(__xludf.DUMMYFUNCTION("""COMPUTED_VALUE"""),"#VALUE!")</f>
        <v>#VALUE!</v>
      </c>
      <c r="BE67" s="674">
        <f>IFERROR(__xludf.DUMMYFUNCTION("""COMPUTED_VALUE"""),1840.0)</f>
        <v>1840</v>
      </c>
      <c r="BF67" s="674">
        <f>IFERROR(__xludf.DUMMYFUNCTION("""COMPUTED_VALUE"""),1750.0)</f>
        <v>1750</v>
      </c>
      <c r="BG67" s="673">
        <f>IFERROR(__xludf.DUMMYFUNCTION("""COMPUTED_VALUE"""),0.1)</f>
        <v>0.1</v>
      </c>
      <c r="BH67" s="673">
        <f>IFERROR(__xludf.DUMMYFUNCTION("""COMPUTED_VALUE"""),0.3)</f>
        <v>0.3</v>
      </c>
      <c r="BI67" s="673">
        <f>IFERROR(__xludf.DUMMYFUNCTION("""COMPUTED_VALUE"""),0.0)</f>
        <v>0</v>
      </c>
      <c r="BJ67" s="673">
        <f>IFERROR(__xludf.DUMMYFUNCTION("""COMPUTED_VALUE"""),0.0)</f>
        <v>0</v>
      </c>
      <c r="BK67" s="673">
        <f>IFERROR(__xludf.DUMMYFUNCTION("""COMPUTED_VALUE"""),0.0)</f>
        <v>0</v>
      </c>
      <c r="BL67" s="673">
        <f>IFERROR(__xludf.DUMMYFUNCTION("""COMPUTED_VALUE"""),0.0)</f>
        <v>0</v>
      </c>
      <c r="BM67" s="674">
        <f>IFERROR(__xludf.DUMMYFUNCTION("""COMPUTED_VALUE"""),50.0)</f>
        <v>50</v>
      </c>
      <c r="BN67" s="674">
        <f>IFERROR(__xludf.DUMMYFUNCTION("""COMPUTED_VALUE"""),50.0)</f>
        <v>50</v>
      </c>
      <c r="BO67" s="675">
        <f>IFERROR(__xludf.DUMMYFUNCTION("""COMPUTED_VALUE"""),0.0)</f>
        <v>0</v>
      </c>
      <c r="BP67" s="675">
        <f>IFERROR(__xludf.DUMMYFUNCTION("""COMPUTED_VALUE"""),1.0)</f>
        <v>1</v>
      </c>
      <c r="BQ67" s="675" t="str">
        <f>IFERROR(__xludf.DUMMYFUNCTION("""COMPUTED_VALUE"""),"※")</f>
        <v>※</v>
      </c>
      <c r="BR67" s="139">
        <f>IFERROR(__xludf.DUMMYFUNCTION("""COMPUTED_VALUE"""),2.0)</f>
        <v>2</v>
      </c>
      <c r="BS67" s="139">
        <f>IFERROR(__xludf.DUMMYFUNCTION("""COMPUTED_VALUE"""),25.0)</f>
        <v>25</v>
      </c>
      <c r="BT67" s="139">
        <f>IFERROR(__xludf.DUMMYFUNCTION("""COMPUTED_VALUE"""),0.29)</f>
        <v>0.29</v>
      </c>
      <c r="BU67" s="139">
        <f>IFERROR(__xludf.DUMMYFUNCTION("""COMPUTED_VALUE"""),0.0)</f>
        <v>0</v>
      </c>
      <c r="BV67" s="139" t="str">
        <f>IFERROR(__xludf.DUMMYFUNCTION("""COMPUTED_VALUE"""),"遅い")</f>
        <v>遅い</v>
      </c>
      <c r="BW67" s="139" t="str">
        <f>IFERROR(__xludf.DUMMYFUNCTION("""COMPUTED_VALUE"""),"スタン攻撃無効化")</f>
        <v>スタン攻撃無効化</v>
      </c>
      <c r="BX67" s="139">
        <f>IFERROR(__xludf.DUMMYFUNCTION("""COMPUTED_VALUE"""),25.0)</f>
        <v>25</v>
      </c>
      <c r="BY67" s="139">
        <f>IFERROR(__xludf.DUMMYFUNCTION("""COMPUTED_VALUE"""),2.0)</f>
        <v>2</v>
      </c>
      <c r="BZ67" s="139" t="str">
        <f>IFERROR(__xludf.DUMMYFUNCTION("""COMPUTED_VALUE"""),"-")</f>
        <v>-</v>
      </c>
      <c r="CA67" s="139" t="str">
        <f>IFERROR(__xludf.DUMMYFUNCTION("""COMPUTED_VALUE"""),"-")</f>
        <v>-</v>
      </c>
      <c r="CB67" s="139" t="str">
        <f>IFERROR(__xludf.DUMMYFUNCTION("""COMPUTED_VALUE"""),"-")</f>
        <v>-</v>
      </c>
      <c r="CC67" s="139" t="str">
        <f>IFERROR(__xludf.DUMMYFUNCTION("""COMPUTED_VALUE"""),"近距離")</f>
        <v>近距離</v>
      </c>
      <c r="CD67" s="139" t="str">
        <f>IFERROR(__xludf.DUMMYFUNCTION("""COMPUTED_VALUE"""),"範囲(小)")</f>
        <v>範囲(小)</v>
      </c>
      <c r="CE67" s="139">
        <f>IFERROR(__xludf.DUMMYFUNCTION("""COMPUTED_VALUE"""),0.75)</f>
        <v>0.75</v>
      </c>
      <c r="CF67" s="139">
        <f>IFERROR(__xludf.DUMMYFUNCTION("""COMPUTED_VALUE"""),0.39999999999999997)</f>
        <v>0.4</v>
      </c>
      <c r="CG67" s="139" t="str">
        <f>IFERROR(__xludf.DUMMYFUNCTION("""COMPUTED_VALUE"""),"近距離")</f>
        <v>近距離</v>
      </c>
      <c r="CH67" s="139" t="str">
        <f>IFERROR(__xludf.DUMMYFUNCTION("""COMPUTED_VALUE"""),"範囲(小)")</f>
        <v>範囲(小)</v>
      </c>
      <c r="CI67" s="139">
        <f>IFERROR(__xludf.DUMMYFUNCTION("""COMPUTED_VALUE"""),0.75)</f>
        <v>0.75</v>
      </c>
      <c r="CJ67" s="139">
        <f>IFERROR(__xludf.DUMMYFUNCTION("""COMPUTED_VALUE"""),0.39999999999999997)</f>
        <v>0.4</v>
      </c>
      <c r="CK67" s="139" t="str">
        <f>IFERROR(__xludf.DUMMYFUNCTION("""COMPUTED_VALUE"""),"敵")</f>
        <v>敵</v>
      </c>
      <c r="CL67" s="139" t="str">
        <f>IFERROR(__xludf.DUMMYFUNCTION("""COMPUTED_VALUE"""),"All")</f>
        <v>All</v>
      </c>
      <c r="CM67" s="139" t="str">
        <f>IFERROR(__xludf.DUMMYFUNCTION("""COMPUTED_VALUE"""),"All")</f>
        <v>All</v>
      </c>
      <c r="CN67" s="675">
        <f>IFERROR(__xludf.DUMMYFUNCTION("""COMPUTED_VALUE"""),13.621062122071587)</f>
        <v>13.62106212</v>
      </c>
      <c r="CO67" s="139" t="str">
        <f>IFERROR(__xludf.DUMMYFUNCTION("""COMPUTED_VALUE"""),"-")</f>
        <v>-</v>
      </c>
      <c r="CP67" s="139" t="str">
        <f>IFERROR(__xludf.DUMMYFUNCTION("""COMPUTED_VALUE"""),"-")</f>
        <v>-</v>
      </c>
      <c r="CQ67" s="139" t="str">
        <f>IFERROR(__xludf.DUMMYFUNCTION("""COMPUTED_VALUE"""),"-")</f>
        <v>-</v>
      </c>
      <c r="CR67" s="139" t="str">
        <f>IFERROR(__xludf.DUMMYFUNCTION("""COMPUTED_VALUE"""),"-")</f>
        <v>-</v>
      </c>
      <c r="CS67" s="673" t="str">
        <f>IFERROR(__xludf.DUMMYFUNCTION("""COMPUTED_VALUE"""),"攻撃(必殺)")</f>
        <v>攻撃(必殺)</v>
      </c>
      <c r="CT67" s="139" t="str">
        <f>IFERROR(__xludf.DUMMYFUNCTION("""COMPUTED_VALUE"""),"-")</f>
        <v>-</v>
      </c>
      <c r="CU67" s="139" t="str">
        <f>IFERROR(__xludf.DUMMYFUNCTION("""COMPUTED_VALUE"""),"敵")</f>
        <v>敵</v>
      </c>
      <c r="CV67" s="139" t="str">
        <f>IFERROR(__xludf.DUMMYFUNCTION("""COMPUTED_VALUE"""),"All")</f>
        <v>All</v>
      </c>
      <c r="CW67" s="139" t="str">
        <f>IFERROR(__xludf.DUMMYFUNCTION("""COMPUTED_VALUE"""),"All")</f>
        <v>All</v>
      </c>
      <c r="CX67" s="674">
        <f>IFERROR(__xludf.DUMMYFUNCTION("""COMPUTED_VALUE"""),115.0)</f>
        <v>115</v>
      </c>
      <c r="CY67" s="139" t="str">
        <f>IFERROR(__xludf.DUMMYFUNCTION("""COMPUTED_VALUE"""),"-")</f>
        <v>-</v>
      </c>
      <c r="CZ67" s="688">
        <f>IFERROR(__xludf.DUMMYFUNCTION("""COMPUTED_VALUE"""),14627.0)</f>
        <v>14627</v>
      </c>
      <c r="DA67" s="688">
        <f>IFERROR(__xludf.DUMMYFUNCTION("""COMPUTED_VALUE"""),1128.2531364127535)</f>
        <v>1128.253136</v>
      </c>
      <c r="DB67" s="688">
        <f>IFERROR(__xludf.DUMMYFUNCTION("""COMPUTED_VALUE"""),5641.265682063768)</f>
        <v>5641.265682</v>
      </c>
      <c r="DC67" s="139" t="str">
        <f>IFERROR(__xludf.DUMMYFUNCTION("""COMPUTED_VALUE"""),"-")</f>
        <v>-</v>
      </c>
      <c r="DD67" s="673" t="str">
        <f>IFERROR(__xludf.DUMMYFUNCTION("""COMPUTED_VALUE"""),"-")</f>
        <v>-</v>
      </c>
      <c r="DE67" s="139" t="str">
        <f>IFERROR(__xludf.DUMMYFUNCTION("""COMPUTED_VALUE"""),"-")</f>
        <v>-</v>
      </c>
      <c r="DF67" s="139" t="str">
        <f>IFERROR(__xludf.DUMMYFUNCTION("""COMPUTED_VALUE"""),"-")</f>
        <v>-</v>
      </c>
      <c r="DG67" s="139" t="str">
        <f>IFERROR(__xludf.DUMMYFUNCTION("""COMPUTED_VALUE"""),"-")</f>
        <v>-</v>
      </c>
      <c r="DH67" s="139" t="str">
        <f>IFERROR(__xludf.DUMMYFUNCTION("""COMPUTED_VALUE"""),"-")</f>
        <v>-</v>
      </c>
      <c r="DI67" s="139" t="str">
        <f>IFERROR(__xludf.DUMMYFUNCTION("""COMPUTED_VALUE"""),"-")</f>
        <v>-</v>
      </c>
      <c r="DJ67" s="139" t="str">
        <f>IFERROR(__xludf.DUMMYFUNCTION("""COMPUTED_VALUE"""),"-")</f>
        <v>-</v>
      </c>
    </row>
    <row r="68">
      <c r="A68" s="139" t="str">
        <f>IFERROR(__xludf.DUMMYFUNCTION("""COMPUTED_VALUE"""),"怪獣８号")</f>
        <v>怪獣８号</v>
      </c>
      <c r="B68" s="139" t="str">
        <f>IFERROR(__xludf.DUMMYFUNCTION("""COMPUTED_VALUE"""),"保科 宗四郎")</f>
        <v>保科 宗四郎</v>
      </c>
      <c r="C68" s="139" t="str">
        <f>IFERROR(__xludf.DUMMYFUNCTION("""COMPUTED_VALUE"""),"chara_kai_00401")</f>
        <v>chara_kai_00401</v>
      </c>
      <c r="D68" s="139" t="str">
        <f>IFERROR(__xludf.DUMMYFUNCTION("""COMPUTED_VALUE"""),"PremiumSSR")</f>
        <v>PremiumSSR</v>
      </c>
      <c r="E68" s="139" t="str">
        <f>IFERROR(__xludf.DUMMYFUNCTION("""COMPUTED_VALUE"""),"青")</f>
        <v>青</v>
      </c>
      <c r="F68" s="139" t="str">
        <f>IFERROR(__xludf.DUMMYFUNCTION("""COMPUTED_VALUE"""),"アタック")</f>
        <v>アタック</v>
      </c>
      <c r="G68" s="139" t="str">
        <f>IFERROR(__xludf.DUMMYFUNCTION("""COMPUTED_VALUE"""),"近距離")</f>
        <v>近距離</v>
      </c>
      <c r="H68" s="139" t="str">
        <f>IFERROR(__xludf.DUMMYFUNCTION("""COMPUTED_VALUE"""),"zangeki_1")</f>
        <v>zangeki_1</v>
      </c>
      <c r="I68" s="139" t="str">
        <f>IFERROR(__xludf.DUMMYFUNCTION("""COMPUTED_VALUE"""),"zangeki_1")</f>
        <v>zangeki_1</v>
      </c>
      <c r="J68" s="139" t="str">
        <f>IFERROR(__xludf.DUMMYFUNCTION("""COMPUTED_VALUE"""),"202509010_怪獣8号")</f>
        <v>202509010_怪獣8号</v>
      </c>
      <c r="K68" s="139" t="str">
        <f>IFERROR(__xludf.DUMMYFUNCTION("""COMPUTED_VALUE"""),"怪獣８号いいジャン祭")</f>
        <v>怪獣８号いいジャン祭</v>
      </c>
      <c r="L68" s="687" t="str">
        <f>IFERROR(__xludf.DUMMYFUNCTION("""COMPUTED_VALUE"""),"※")</f>
        <v>※</v>
      </c>
      <c r="M68" s="674">
        <f>IFERROR(__xludf.DUMMYFUNCTION("""COMPUTED_VALUE"""),700.0)</f>
        <v>700</v>
      </c>
      <c r="N68" s="139">
        <f>IFERROR(__xludf.DUMMYFUNCTION("""COMPUTED_VALUE"""),600.0)</f>
        <v>600</v>
      </c>
      <c r="O68" s="139" t="str">
        <f>IFERROR(__xludf.DUMMYFUNCTION("""COMPUTED_VALUE"""),"中コスト")</f>
        <v>中コスト</v>
      </c>
      <c r="P68" s="139">
        <f>IFERROR(__xludf.DUMMYFUNCTION("""COMPUTED_VALUE"""),75.0)</f>
        <v>75</v>
      </c>
      <c r="Q68" s="675">
        <f>IFERROR(__xludf.DUMMYFUNCTION("""COMPUTED_VALUE"""),5.0)</f>
        <v>5</v>
      </c>
      <c r="R68" s="675">
        <f>IFERROR(__xludf.DUMMYFUNCTION("""COMPUTED_VALUE"""),20.0)</f>
        <v>20</v>
      </c>
      <c r="S68" s="675">
        <f>IFERROR(__xludf.DUMMYFUNCTION("""COMPUTED_VALUE"""),15.0)</f>
        <v>15</v>
      </c>
      <c r="T68" s="674">
        <f>IFERROR(__xludf.DUMMYFUNCTION("""COMPUTED_VALUE"""),695.0)</f>
        <v>695</v>
      </c>
      <c r="U68" s="675">
        <f>IFERROR(__xludf.DUMMYFUNCTION("""COMPUTED_VALUE"""),13.860000000000001)</f>
        <v>13.86</v>
      </c>
      <c r="V68" s="675">
        <f>IFERROR(__xludf.DUMMYFUNCTION("""COMPUTED_VALUE"""),0.0)</f>
        <v>0</v>
      </c>
      <c r="W68" s="675">
        <f>IFERROR(__xludf.DUMMYFUNCTION("""COMPUTED_VALUE"""),0.0)</f>
        <v>0</v>
      </c>
      <c r="X68" s="675">
        <f>IFERROR(__xludf.DUMMYFUNCTION("""COMPUTED_VALUE"""),0.0)</f>
        <v>0</v>
      </c>
      <c r="Y68" s="674">
        <f>IFERROR(__xludf.DUMMYFUNCTION("""COMPUTED_VALUE"""),360.0)</f>
        <v>360</v>
      </c>
      <c r="Z68" s="675">
        <f>IFERROR(__xludf.DUMMYFUNCTION("""COMPUTED_VALUE"""),7.244999999999999)</f>
        <v>7.245</v>
      </c>
      <c r="AA68" s="675">
        <f>IFERROR(__xludf.DUMMYFUNCTION("""COMPUTED_VALUE"""),0.0)</f>
        <v>0</v>
      </c>
      <c r="AB68" s="673">
        <f>IFERROR(__xludf.DUMMYFUNCTION("""COMPUTED_VALUE"""),0.0)</f>
        <v>0</v>
      </c>
      <c r="AC68" s="675">
        <f>IFERROR(__xludf.DUMMYFUNCTION("""COMPUTED_VALUE"""),0.0)</f>
        <v>0</v>
      </c>
      <c r="AD68" s="674">
        <f>IFERROR(__xludf.DUMMYFUNCTION("""COMPUTED_VALUE"""),690.0)</f>
        <v>690</v>
      </c>
      <c r="AE68" s="675">
        <f>IFERROR(__xludf.DUMMYFUNCTION("""COMPUTED_VALUE"""),13.804890437812247)</f>
        <v>13.80489044</v>
      </c>
      <c r="AF68" s="675">
        <f>IFERROR(__xludf.DUMMYFUNCTION("""COMPUTED_VALUE"""),0.0)</f>
        <v>0</v>
      </c>
      <c r="AG68" s="675">
        <f>IFERROR(__xludf.DUMMYFUNCTION("""COMPUTED_VALUE"""),0.0)</f>
        <v>0</v>
      </c>
      <c r="AH68" s="675">
        <f>IFERROR(__xludf.DUMMYFUNCTION("""COMPUTED_VALUE"""),0.0)</f>
        <v>0</v>
      </c>
      <c r="AI68" s="139">
        <f>IFERROR(__xludf.DUMMYFUNCTION("""COMPUTED_VALUE"""),6.0)</f>
        <v>6</v>
      </c>
      <c r="AJ68" s="139" t="str">
        <f>IFERROR(__xludf.DUMMYFUNCTION("""COMPUTED_VALUE"""),"-")</f>
        <v>-</v>
      </c>
      <c r="AK68" s="139">
        <f>IFERROR(__xludf.DUMMYFUNCTION("""COMPUTED_VALUE"""),1.0)</f>
        <v>1</v>
      </c>
      <c r="AL68" s="674">
        <f>IFERROR(__xludf.DUMMYFUNCTION("""COMPUTED_VALUE"""),1890.0)</f>
        <v>1890</v>
      </c>
      <c r="AM68" s="688">
        <f>IFERROR(__xludf.DUMMYFUNCTION("""COMPUTED_VALUE"""),14410.823145442333)</f>
        <v>14410.82315</v>
      </c>
      <c r="AN68" s="675">
        <f>IFERROR(__xludf.DUMMYFUNCTION("""COMPUTED_VALUE"""),12.6)</f>
        <v>12.6</v>
      </c>
      <c r="AO68" s="675">
        <f>IFERROR(__xludf.DUMMYFUNCTION("""COMPUTED_VALUE"""),6.3)</f>
        <v>6.3</v>
      </c>
      <c r="AP68" s="674">
        <f>IFERROR(__xludf.DUMMYFUNCTION("""COMPUTED_VALUE"""),2100.0)</f>
        <v>2100</v>
      </c>
      <c r="AQ68" s="673">
        <f>IFERROR(__xludf.DUMMYFUNCTION("""COMPUTED_VALUE"""),-0.2)</f>
        <v>-0.2</v>
      </c>
      <c r="AR68" s="673">
        <f>IFERROR(__xludf.DUMMYFUNCTION("""COMPUTED_VALUE"""),0.0)</f>
        <v>0</v>
      </c>
      <c r="AS68" s="673">
        <f>IFERROR(__xludf.DUMMYFUNCTION("""COMPUTED_VALUE"""),0.0)</f>
        <v>0</v>
      </c>
      <c r="AT68" s="673">
        <f>IFERROR(__xludf.DUMMYFUNCTION("""COMPUTED_VALUE"""),0.1)</f>
        <v>0.1</v>
      </c>
      <c r="AU68" s="673">
        <f>IFERROR(__xludf.DUMMYFUNCTION("""COMPUTED_VALUE"""),0.0)</f>
        <v>0</v>
      </c>
      <c r="AV68" s="673">
        <f>IFERROR(__xludf.DUMMYFUNCTION("""COMPUTED_VALUE"""),0.0)</f>
        <v>0</v>
      </c>
      <c r="AW68" s="139"/>
      <c r="AX68" s="674">
        <f>IFERROR(__xludf.DUMMYFUNCTION("""COMPUTED_VALUE"""),1340.0)</f>
        <v>1340</v>
      </c>
      <c r="AY68" s="688">
        <f>IFERROR(__xludf.DUMMYFUNCTION("""COMPUTED_VALUE"""),10217.73767983742)</f>
        <v>10217.73768</v>
      </c>
      <c r="AZ68" s="674">
        <f>IFERROR(__xludf.DUMMYFUNCTION("""COMPUTED_VALUE"""),1680.0)</f>
        <v>1680</v>
      </c>
      <c r="BA68" s="688">
        <f>IFERROR(__xludf.DUMMYFUNCTION("""COMPUTED_VALUE"""),12772.172099796775)</f>
        <v>12772.1721</v>
      </c>
      <c r="BB68" s="688" t="str">
        <f>IFERROR(__xludf.DUMMYFUNCTION("""COMPUTED_VALUE"""),"-")</f>
        <v>-</v>
      </c>
      <c r="BC68" s="688" t="str">
        <f>IFERROR(__xludf.DUMMYFUNCTION("""COMPUTED_VALUE"""),"#VALUE!")</f>
        <v>#VALUE!</v>
      </c>
      <c r="BD68" s="688" t="str">
        <f>IFERROR(__xludf.DUMMYFUNCTION("""COMPUTED_VALUE"""),"#VALUE!")</f>
        <v>#VALUE!</v>
      </c>
      <c r="BE68" s="674">
        <f>IFERROR(__xludf.DUMMYFUNCTION("""COMPUTED_VALUE"""),1680.0)</f>
        <v>1680</v>
      </c>
      <c r="BF68" s="674">
        <f>IFERROR(__xludf.DUMMYFUNCTION("""COMPUTED_VALUE"""),1400.0)</f>
        <v>1400</v>
      </c>
      <c r="BG68" s="673">
        <f>IFERROR(__xludf.DUMMYFUNCTION("""COMPUTED_VALUE"""),-0.1)</f>
        <v>-0.1</v>
      </c>
      <c r="BH68" s="673">
        <f>IFERROR(__xludf.DUMMYFUNCTION("""COMPUTED_VALUE"""),0.3)</f>
        <v>0.3</v>
      </c>
      <c r="BI68" s="673">
        <f>IFERROR(__xludf.DUMMYFUNCTION("""COMPUTED_VALUE"""),0.0)</f>
        <v>0</v>
      </c>
      <c r="BJ68" s="673">
        <f>IFERROR(__xludf.DUMMYFUNCTION("""COMPUTED_VALUE"""),0.0)</f>
        <v>0</v>
      </c>
      <c r="BK68" s="673">
        <f>IFERROR(__xludf.DUMMYFUNCTION("""COMPUTED_VALUE"""),0.0)</f>
        <v>0</v>
      </c>
      <c r="BL68" s="673">
        <f>IFERROR(__xludf.DUMMYFUNCTION("""COMPUTED_VALUE"""),0.0)</f>
        <v>0</v>
      </c>
      <c r="BM68" s="674">
        <f>IFERROR(__xludf.DUMMYFUNCTION("""COMPUTED_VALUE"""),40.0)</f>
        <v>40</v>
      </c>
      <c r="BN68" s="674">
        <f>IFERROR(__xludf.DUMMYFUNCTION("""COMPUTED_VALUE"""),50.0)</f>
        <v>50</v>
      </c>
      <c r="BO68" s="675">
        <f>IFERROR(__xludf.DUMMYFUNCTION("""COMPUTED_VALUE"""),-10.0)</f>
        <v>-10</v>
      </c>
      <c r="BP68" s="675">
        <f>IFERROR(__xludf.DUMMYFUNCTION("""COMPUTED_VALUE"""),0.8)</f>
        <v>0.8</v>
      </c>
      <c r="BQ68" s="675" t="str">
        <f>IFERROR(__xludf.DUMMYFUNCTION("""COMPUTED_VALUE"""),"※")</f>
        <v>※</v>
      </c>
      <c r="BR68" s="139">
        <f>IFERROR(__xludf.DUMMYFUNCTION("""COMPUTED_VALUE"""),2.0)</f>
        <v>2</v>
      </c>
      <c r="BS68" s="139">
        <f>IFERROR(__xludf.DUMMYFUNCTION("""COMPUTED_VALUE"""),50.0)</f>
        <v>50</v>
      </c>
      <c r="BT68" s="139">
        <f>IFERROR(__xludf.DUMMYFUNCTION("""COMPUTED_VALUE"""),0.24)</f>
        <v>0.24</v>
      </c>
      <c r="BU68" s="139">
        <f>IFERROR(__xludf.DUMMYFUNCTION("""COMPUTED_VALUE"""),0.0)</f>
        <v>0</v>
      </c>
      <c r="BV68" s="139" t="str">
        <f>IFERROR(__xludf.DUMMYFUNCTION("""COMPUTED_VALUE"""),"速")</f>
        <v>速</v>
      </c>
      <c r="BW68" s="139" t="str">
        <f>IFERROR(__xludf.DUMMYFUNCTION("""COMPUTED_VALUE"""),"根性")</f>
        <v>根性</v>
      </c>
      <c r="BX68" s="139">
        <f>IFERROR(__xludf.DUMMYFUNCTION("""COMPUTED_VALUE"""),1.0)</f>
        <v>1</v>
      </c>
      <c r="BY68" s="139">
        <f>IFERROR(__xludf.DUMMYFUNCTION("""COMPUTED_VALUE"""),0.0)</f>
        <v>0</v>
      </c>
      <c r="BZ68" s="139" t="str">
        <f>IFERROR(__xludf.DUMMYFUNCTION("""COMPUTED_VALUE"""),"-")</f>
        <v>-</v>
      </c>
      <c r="CA68" s="139" t="str">
        <f>IFERROR(__xludf.DUMMYFUNCTION("""COMPUTED_VALUE"""),"-")</f>
        <v>-</v>
      </c>
      <c r="CB68" s="139" t="str">
        <f>IFERROR(__xludf.DUMMYFUNCTION("""COMPUTED_VALUE"""),"-")</f>
        <v>-</v>
      </c>
      <c r="CC68" s="139" t="str">
        <f>IFERROR(__xludf.DUMMYFUNCTION("""COMPUTED_VALUE"""),"近距離")</f>
        <v>近距離</v>
      </c>
      <c r="CD68" s="139" t="str">
        <f>IFERROR(__xludf.DUMMYFUNCTION("""COMPUTED_VALUE"""),"単体")</f>
        <v>単体</v>
      </c>
      <c r="CE68" s="139">
        <f>IFERROR(__xludf.DUMMYFUNCTION("""COMPUTED_VALUE"""),1.0)</f>
        <v>1</v>
      </c>
      <c r="CF68" s="139">
        <f>IFERROR(__xludf.DUMMYFUNCTION("""COMPUTED_VALUE"""),0.25)</f>
        <v>0.25</v>
      </c>
      <c r="CG68" s="139" t="str">
        <f>IFERROR(__xludf.DUMMYFUNCTION("""COMPUTED_VALUE"""),"近距離")</f>
        <v>近距離</v>
      </c>
      <c r="CH68" s="139" t="str">
        <f>IFERROR(__xludf.DUMMYFUNCTION("""COMPUTED_VALUE"""),"単体")</f>
        <v>単体</v>
      </c>
      <c r="CI68" s="139">
        <f>IFERROR(__xludf.DUMMYFUNCTION("""COMPUTED_VALUE"""),1.0)</f>
        <v>1</v>
      </c>
      <c r="CJ68" s="139">
        <f>IFERROR(__xludf.DUMMYFUNCTION("""COMPUTED_VALUE"""),0.25)</f>
        <v>0.25</v>
      </c>
      <c r="CK68" s="139" t="str">
        <f>IFERROR(__xludf.DUMMYFUNCTION("""COMPUTED_VALUE"""),"敵")</f>
        <v>敵</v>
      </c>
      <c r="CL68" s="139" t="str">
        <f>IFERROR(__xludf.DUMMYFUNCTION("""COMPUTED_VALUE"""),"All")</f>
        <v>All</v>
      </c>
      <c r="CM68" s="139" t="str">
        <f>IFERROR(__xludf.DUMMYFUNCTION("""COMPUTED_VALUE"""),"All")</f>
        <v>All</v>
      </c>
      <c r="CN68" s="675">
        <f>IFERROR(__xludf.DUMMYFUNCTION("""COMPUTED_VALUE"""),13.804890437812247)</f>
        <v>13.80489044</v>
      </c>
      <c r="CO68" s="139" t="str">
        <f>IFERROR(__xludf.DUMMYFUNCTION("""COMPUTED_VALUE"""),"-")</f>
        <v>-</v>
      </c>
      <c r="CP68" s="139" t="str">
        <f>IFERROR(__xludf.DUMMYFUNCTION("""COMPUTED_VALUE"""),"-")</f>
        <v>-</v>
      </c>
      <c r="CQ68" s="139" t="str">
        <f>IFERROR(__xludf.DUMMYFUNCTION("""COMPUTED_VALUE"""),"-")</f>
        <v>-</v>
      </c>
      <c r="CR68" s="139" t="str">
        <f>IFERROR(__xludf.DUMMYFUNCTION("""COMPUTED_VALUE"""),"-")</f>
        <v>-</v>
      </c>
      <c r="CS68" s="673" t="str">
        <f>IFERROR(__xludf.DUMMYFUNCTION("""COMPUTED_VALUE"""),"連続攻撃")</f>
        <v>連続攻撃</v>
      </c>
      <c r="CT68" s="139" t="str">
        <f>IFERROR(__xludf.DUMMYFUNCTION("""COMPUTED_VALUE"""),"-")</f>
        <v>-</v>
      </c>
      <c r="CU68" s="139" t="str">
        <f>IFERROR(__xludf.DUMMYFUNCTION("""COMPUTED_VALUE"""),"敵")</f>
        <v>敵</v>
      </c>
      <c r="CV68" s="139" t="str">
        <f>IFERROR(__xludf.DUMMYFUNCTION("""COMPUTED_VALUE"""),"All")</f>
        <v>All</v>
      </c>
      <c r="CW68" s="139" t="str">
        <f>IFERROR(__xludf.DUMMYFUNCTION("""COMPUTED_VALUE"""),"All")</f>
        <v>All</v>
      </c>
      <c r="CX68" s="674">
        <f>IFERROR(__xludf.DUMMYFUNCTION("""COMPUTED_VALUE"""),200.0)</f>
        <v>200</v>
      </c>
      <c r="CY68" s="139" t="str">
        <f>IFERROR(__xludf.DUMMYFUNCTION("""COMPUTED_VALUE"""),"-")</f>
        <v>-</v>
      </c>
      <c r="CZ68" s="688">
        <f>IFERROR(__xludf.DUMMYFUNCTION("""COMPUTED_VALUE"""),20435.0)</f>
        <v>20435</v>
      </c>
      <c r="DA68" s="688">
        <f>IFERROR(__xludf.DUMMYFUNCTION("""COMPUTED_VALUE"""),1554.1222333050973)</f>
        <v>1554.122233</v>
      </c>
      <c r="DB68" s="688">
        <f>IFERROR(__xludf.DUMMYFUNCTION("""COMPUTED_VALUE"""),0.0)</f>
        <v>0</v>
      </c>
      <c r="DC68" s="139" t="str">
        <f>IFERROR(__xludf.DUMMYFUNCTION("""COMPUTED_VALUE"""),"-")</f>
        <v>-</v>
      </c>
      <c r="DD68" s="673" t="str">
        <f>IFERROR(__xludf.DUMMYFUNCTION("""COMPUTED_VALUE"""),"-")</f>
        <v>-</v>
      </c>
      <c r="DE68" s="139" t="str">
        <f>IFERROR(__xludf.DUMMYFUNCTION("""COMPUTED_VALUE"""),"-")</f>
        <v>-</v>
      </c>
      <c r="DF68" s="139" t="str">
        <f>IFERROR(__xludf.DUMMYFUNCTION("""COMPUTED_VALUE"""),"-")</f>
        <v>-</v>
      </c>
      <c r="DG68" s="139" t="str">
        <f>IFERROR(__xludf.DUMMYFUNCTION("""COMPUTED_VALUE"""),"-")</f>
        <v>-</v>
      </c>
      <c r="DH68" s="139" t="str">
        <f>IFERROR(__xludf.DUMMYFUNCTION("""COMPUTED_VALUE"""),"-")</f>
        <v>-</v>
      </c>
      <c r="DI68" s="139" t="str">
        <f>IFERROR(__xludf.DUMMYFUNCTION("""COMPUTED_VALUE"""),"-")</f>
        <v>-</v>
      </c>
      <c r="DJ68" s="139" t="str">
        <f>IFERROR(__xludf.DUMMYFUNCTION("""COMPUTED_VALUE"""),"-")</f>
        <v>-</v>
      </c>
    </row>
    <row r="69">
      <c r="A69" s="139" t="str">
        <f>IFERROR(__xludf.DUMMYFUNCTION("""COMPUTED_VALUE"""),"怪獣８号")</f>
        <v>怪獣８号</v>
      </c>
      <c r="B69" s="139" t="str">
        <f>IFERROR(__xludf.DUMMYFUNCTION("""COMPUTED_VALUE"""),"古橋 伊春")</f>
        <v>古橋 伊春</v>
      </c>
      <c r="C69" s="139" t="str">
        <f>IFERROR(__xludf.DUMMYFUNCTION("""COMPUTED_VALUE"""),"chara_kai_00601")</f>
        <v>chara_kai_00601</v>
      </c>
      <c r="D69" s="139" t="str">
        <f>IFERROR(__xludf.DUMMYFUNCTION("""COMPUTED_VALUE"""),"DropSR")</f>
        <v>DropSR</v>
      </c>
      <c r="E69" s="139" t="str">
        <f>IFERROR(__xludf.DUMMYFUNCTION("""COMPUTED_VALUE"""),"緑")</f>
        <v>緑</v>
      </c>
      <c r="F69" s="139" t="str">
        <f>IFERROR(__xludf.DUMMYFUNCTION("""COMPUTED_VALUE"""),"ディフェンス")</f>
        <v>ディフェンス</v>
      </c>
      <c r="G69" s="139" t="str">
        <f>IFERROR(__xludf.DUMMYFUNCTION("""COMPUTED_VALUE"""),"中距離")</f>
        <v>中距離</v>
      </c>
      <c r="H69" s="139" t="str">
        <f>IFERROR(__xludf.DUMMYFUNCTION("""COMPUTED_VALUE"""),"shageki_1")</f>
        <v>shageki_1</v>
      </c>
      <c r="I69" s="139" t="str">
        <f>IFERROR(__xludf.DUMMYFUNCTION("""COMPUTED_VALUE"""),"-")</f>
        <v>-</v>
      </c>
      <c r="J69" s="139" t="str">
        <f>IFERROR(__xludf.DUMMYFUNCTION("""COMPUTED_VALUE"""),"202509010_怪獣8号")</f>
        <v>202509010_怪獣8号</v>
      </c>
      <c r="K69" s="139" t="str">
        <f>IFERROR(__xludf.DUMMYFUNCTION("""COMPUTED_VALUE"""),"怪獣８号いいジャン祭")</f>
        <v>怪獣８号いいジャン祭</v>
      </c>
      <c r="L69" s="687" t="str">
        <f>IFERROR(__xludf.DUMMYFUNCTION("""COMPUTED_VALUE"""),"※")</f>
        <v>※</v>
      </c>
      <c r="M69" s="674">
        <f>IFERROR(__xludf.DUMMYFUNCTION("""COMPUTED_VALUE"""),225.0)</f>
        <v>225</v>
      </c>
      <c r="N69" s="139">
        <f>IFERROR(__xludf.DUMMYFUNCTION("""COMPUTED_VALUE"""),200.0)</f>
        <v>200</v>
      </c>
      <c r="O69" s="139" t="str">
        <f>IFERROR(__xludf.DUMMYFUNCTION("""COMPUTED_VALUE"""),"低コスト")</f>
        <v>低コスト</v>
      </c>
      <c r="P69" s="139">
        <f>IFERROR(__xludf.DUMMYFUNCTION("""COMPUTED_VALUE"""),0.0)</f>
        <v>0</v>
      </c>
      <c r="Q69" s="675">
        <f>IFERROR(__xludf.DUMMYFUNCTION("""COMPUTED_VALUE"""),10.0)</f>
        <v>10</v>
      </c>
      <c r="R69" s="675">
        <f>IFERROR(__xludf.DUMMYFUNCTION("""COMPUTED_VALUE"""),15.0)</f>
        <v>15</v>
      </c>
      <c r="S69" s="675">
        <f>IFERROR(__xludf.DUMMYFUNCTION("""COMPUTED_VALUE"""),3.125)</f>
        <v>3.125</v>
      </c>
      <c r="T69" s="674">
        <f>IFERROR(__xludf.DUMMYFUNCTION("""COMPUTED_VALUE"""),475.0)</f>
        <v>475</v>
      </c>
      <c r="U69" s="675">
        <f>IFERROR(__xludf.DUMMYFUNCTION("""COMPUTED_VALUE"""),9.46)</f>
        <v>9.46</v>
      </c>
      <c r="V69" s="675">
        <f>IFERROR(__xludf.DUMMYFUNCTION("""COMPUTED_VALUE"""),0.0)</f>
        <v>0</v>
      </c>
      <c r="W69" s="675">
        <f>IFERROR(__xludf.DUMMYFUNCTION("""COMPUTED_VALUE"""),0.0)</f>
        <v>0</v>
      </c>
      <c r="X69" s="675">
        <f>IFERROR(__xludf.DUMMYFUNCTION("""COMPUTED_VALUE"""),0.0)</f>
        <v>0</v>
      </c>
      <c r="Y69" s="674">
        <f>IFERROR(__xludf.DUMMYFUNCTION("""COMPUTED_VALUE"""),245.0)</f>
        <v>245</v>
      </c>
      <c r="Z69" s="675">
        <f>IFERROR(__xludf.DUMMYFUNCTION("""COMPUTED_VALUE"""),4.944999999999999)</f>
        <v>4.945</v>
      </c>
      <c r="AA69" s="675">
        <f>IFERROR(__xludf.DUMMYFUNCTION("""COMPUTED_VALUE"""),0.0)</f>
        <v>0</v>
      </c>
      <c r="AB69" s="673">
        <f>IFERROR(__xludf.DUMMYFUNCTION("""COMPUTED_VALUE"""),0.0)</f>
        <v>0</v>
      </c>
      <c r="AC69" s="675">
        <f>IFERROR(__xludf.DUMMYFUNCTION("""COMPUTED_VALUE"""),0.0)</f>
        <v>0</v>
      </c>
      <c r="AD69" s="674">
        <f>IFERROR(__xludf.DUMMYFUNCTION("""COMPUTED_VALUE"""),790.0)</f>
        <v>790</v>
      </c>
      <c r="AE69" s="675">
        <f>IFERROR(__xludf.DUMMYFUNCTION("""COMPUTED_VALUE"""),15.814538469897222)</f>
        <v>15.81453847</v>
      </c>
      <c r="AF69" s="675">
        <f>IFERROR(__xludf.DUMMYFUNCTION("""COMPUTED_VALUE"""),0.0)</f>
        <v>0</v>
      </c>
      <c r="AG69" s="675">
        <f>IFERROR(__xludf.DUMMYFUNCTION("""COMPUTED_VALUE"""),5.550000000000001)</f>
        <v>5.55</v>
      </c>
      <c r="AH69" s="675">
        <f>IFERROR(__xludf.DUMMYFUNCTION("""COMPUTED_VALUE"""),-1.1405042744330245)</f>
        <v>-1.140504274</v>
      </c>
      <c r="AI69" s="675">
        <f>IFERROR(__xludf.DUMMYFUNCTION("""COMPUTED_VALUE"""),3.6999999999999993)</f>
        <v>3.7</v>
      </c>
      <c r="AJ69" s="675">
        <f>IFERROR(__xludf.DUMMYFUNCTION("""COMPUTED_VALUE"""),12.114538469897223)</f>
        <v>12.11453847</v>
      </c>
      <c r="AK69" s="139">
        <f>IFERROR(__xludf.DUMMYFUNCTION("""COMPUTED_VALUE"""),1.0)</f>
        <v>1</v>
      </c>
      <c r="AL69" s="674">
        <f>IFERROR(__xludf.DUMMYFUNCTION("""COMPUTED_VALUE"""),1290.0)</f>
        <v>1290</v>
      </c>
      <c r="AM69" s="688">
        <f>IFERROR(__xludf.DUMMYFUNCTION("""COMPUTED_VALUE"""),8917.806273873339)</f>
        <v>8917.806274</v>
      </c>
      <c r="AN69" s="675">
        <f>IFERROR(__xludf.DUMMYFUNCTION("""COMPUTED_VALUE"""),8.6)</f>
        <v>8.6</v>
      </c>
      <c r="AO69" s="675">
        <f>IFERROR(__xludf.DUMMYFUNCTION("""COMPUTED_VALUE"""),4.3)</f>
        <v>4.3</v>
      </c>
      <c r="AP69" s="674">
        <f>IFERROR(__xludf.DUMMYFUNCTION("""COMPUTED_VALUE"""),680.0)</f>
        <v>680</v>
      </c>
      <c r="AQ69" s="673">
        <f>IFERROR(__xludf.DUMMYFUNCTION("""COMPUTED_VALUE"""),0.9)</f>
        <v>0.9</v>
      </c>
      <c r="AR69" s="673">
        <f>IFERROR(__xludf.DUMMYFUNCTION("""COMPUTED_VALUE"""),0.0)</f>
        <v>0</v>
      </c>
      <c r="AS69" s="673">
        <f>IFERROR(__xludf.DUMMYFUNCTION("""COMPUTED_VALUE"""),-0.1)</f>
        <v>-0.1</v>
      </c>
      <c r="AT69" s="673">
        <f>IFERROR(__xludf.DUMMYFUNCTION("""COMPUTED_VALUE"""),0.0)</f>
        <v>0</v>
      </c>
      <c r="AU69" s="673">
        <f>IFERROR(__xludf.DUMMYFUNCTION("""COMPUTED_VALUE"""),0.1)</f>
        <v>0.1</v>
      </c>
      <c r="AV69" s="673">
        <f>IFERROR(__xludf.DUMMYFUNCTION("""COMPUTED_VALUE"""),0.0)</f>
        <v>0</v>
      </c>
      <c r="AW69" s="139"/>
      <c r="AX69" s="674">
        <f>IFERROR(__xludf.DUMMYFUNCTION("""COMPUTED_VALUE"""),460.0)</f>
        <v>460</v>
      </c>
      <c r="AY69" s="688">
        <f>IFERROR(__xludf.DUMMYFUNCTION("""COMPUTED_VALUE"""),3179.472934869563)</f>
        <v>3179.472935</v>
      </c>
      <c r="AZ69" s="674">
        <f>IFERROR(__xludf.DUMMYFUNCTION("""COMPUTED_VALUE"""),230.0)</f>
        <v>230</v>
      </c>
      <c r="BA69" s="688">
        <f>IFERROR(__xludf.DUMMYFUNCTION("""COMPUTED_VALUE"""),1589.7364674347814)</f>
        <v>1589.736467</v>
      </c>
      <c r="BB69" s="688">
        <f>IFERROR(__xludf.DUMMYFUNCTION("""COMPUTED_VALUE"""),1955.3758549447812)</f>
        <v>1955.375855</v>
      </c>
      <c r="BC69" s="688" t="str">
        <f>IFERROR(__xludf.DUMMYFUNCTION("""COMPUTED_VALUE"""),"#VALUE!")</f>
        <v>#VALUE!</v>
      </c>
      <c r="BD69" s="688" t="str">
        <f>IFERROR(__xludf.DUMMYFUNCTION("""COMPUTED_VALUE"""),"#VALUE!")</f>
        <v>#VALUE!</v>
      </c>
      <c r="BE69" s="674">
        <f>IFERROR(__xludf.DUMMYFUNCTION("""COMPUTED_VALUE"""),230.0)</f>
        <v>230</v>
      </c>
      <c r="BF69" s="674">
        <f>IFERROR(__xludf.DUMMYFUNCTION("""COMPUTED_VALUE"""),450.0)</f>
        <v>450</v>
      </c>
      <c r="BG69" s="673">
        <f>IFERROR(__xludf.DUMMYFUNCTION("""COMPUTED_VALUE"""),0.0)</f>
        <v>0</v>
      </c>
      <c r="BH69" s="673">
        <f>IFERROR(__xludf.DUMMYFUNCTION("""COMPUTED_VALUE"""),-0.5)</f>
        <v>-0.5</v>
      </c>
      <c r="BI69" s="673">
        <f>IFERROR(__xludf.DUMMYFUNCTION("""COMPUTED_VALUE"""),0.0)</f>
        <v>0</v>
      </c>
      <c r="BJ69" s="673">
        <f>IFERROR(__xludf.DUMMYFUNCTION("""COMPUTED_VALUE"""),0.0)</f>
        <v>0</v>
      </c>
      <c r="BK69" s="673">
        <f>IFERROR(__xludf.DUMMYFUNCTION("""COMPUTED_VALUE"""),0.0)</f>
        <v>0</v>
      </c>
      <c r="BL69" s="673">
        <f>IFERROR(__xludf.DUMMYFUNCTION("""COMPUTED_VALUE"""),0.0)</f>
        <v>0</v>
      </c>
      <c r="BM69" s="674">
        <f>IFERROR(__xludf.DUMMYFUNCTION("""COMPUTED_VALUE"""),100.0)</f>
        <v>100</v>
      </c>
      <c r="BN69" s="674">
        <f>IFERROR(__xludf.DUMMYFUNCTION("""COMPUTED_VALUE"""),100.0)</f>
        <v>100</v>
      </c>
      <c r="BO69" s="675">
        <f>IFERROR(__xludf.DUMMYFUNCTION("""COMPUTED_VALUE"""),0.0)</f>
        <v>0</v>
      </c>
      <c r="BP69" s="675">
        <f>IFERROR(__xludf.DUMMYFUNCTION("""COMPUTED_VALUE"""),2.0)</f>
        <v>2</v>
      </c>
      <c r="BQ69" s="675" t="str">
        <f>IFERROR(__xludf.DUMMYFUNCTION("""COMPUTED_VALUE"""),"※")</f>
        <v>※</v>
      </c>
      <c r="BR69" s="139">
        <f>IFERROR(__xludf.DUMMYFUNCTION("""COMPUTED_VALUE"""),1.0)</f>
        <v>1</v>
      </c>
      <c r="BS69" s="139">
        <f>IFERROR(__xludf.DUMMYFUNCTION("""COMPUTED_VALUE"""),45.0)</f>
        <v>45</v>
      </c>
      <c r="BT69" s="139">
        <f>IFERROR(__xludf.DUMMYFUNCTION("""COMPUTED_VALUE"""),0.33999999999999997)</f>
        <v>0.34</v>
      </c>
      <c r="BU69" s="139">
        <f>IFERROR(__xludf.DUMMYFUNCTION("""COMPUTED_VALUE"""),0.0)</f>
        <v>0</v>
      </c>
      <c r="BV69" s="139" t="str">
        <f>IFERROR(__xludf.DUMMYFUNCTION("""COMPUTED_VALUE"""),"速-普通")</f>
        <v>速-普通</v>
      </c>
      <c r="BW69" s="139" t="str">
        <f>IFERROR(__xludf.DUMMYFUNCTION("""COMPUTED_VALUE"""),"氷結攻撃無効化")</f>
        <v>氷結攻撃無効化</v>
      </c>
      <c r="BX69" s="139">
        <f>IFERROR(__xludf.DUMMYFUNCTION("""COMPUTED_VALUE"""),40.0)</f>
        <v>40</v>
      </c>
      <c r="BY69" s="139">
        <f>IFERROR(__xludf.DUMMYFUNCTION("""COMPUTED_VALUE"""),2.0)</f>
        <v>2</v>
      </c>
      <c r="BZ69" s="139" t="str">
        <f>IFERROR(__xludf.DUMMYFUNCTION("""COMPUTED_VALUE"""),"-")</f>
        <v>-</v>
      </c>
      <c r="CA69" s="139" t="str">
        <f>IFERROR(__xludf.DUMMYFUNCTION("""COMPUTED_VALUE"""),"-")</f>
        <v>-</v>
      </c>
      <c r="CB69" s="139" t="str">
        <f>IFERROR(__xludf.DUMMYFUNCTION("""COMPUTED_VALUE"""),"-")</f>
        <v>-</v>
      </c>
      <c r="CC69" s="139" t="str">
        <f>IFERROR(__xludf.DUMMYFUNCTION("""COMPUTED_VALUE"""),"中距離")</f>
        <v>中距離</v>
      </c>
      <c r="CD69" s="139" t="str">
        <f>IFERROR(__xludf.DUMMYFUNCTION("""COMPUTED_VALUE"""),"単体")</f>
        <v>単体</v>
      </c>
      <c r="CE69" s="139">
        <f>IFERROR(__xludf.DUMMYFUNCTION("""COMPUTED_VALUE"""),1.0)</f>
        <v>1</v>
      </c>
      <c r="CF69" s="139">
        <f>IFERROR(__xludf.DUMMYFUNCTION("""COMPUTED_VALUE"""),0.35)</f>
        <v>0.35</v>
      </c>
      <c r="CG69" s="139" t="str">
        <f>IFERROR(__xludf.DUMMYFUNCTION("""COMPUTED_VALUE"""),"自身")</f>
        <v>自身</v>
      </c>
      <c r="CH69" s="139" t="str">
        <f>IFERROR(__xludf.DUMMYFUNCTION("""COMPUTED_VALUE"""),"自身")</f>
        <v>自身</v>
      </c>
      <c r="CI69" s="139" t="str">
        <f>IFERROR(__xludf.DUMMYFUNCTION("""COMPUTED_VALUE"""),"該当なし")</f>
        <v>該当なし</v>
      </c>
      <c r="CJ69" s="139" t="str">
        <f>IFERROR(__xludf.DUMMYFUNCTION("""COMPUTED_VALUE"""),"自身")</f>
        <v>自身</v>
      </c>
      <c r="CK69" s="139" t="str">
        <f>IFERROR(__xludf.DUMMYFUNCTION("""COMPUTED_VALUE"""),"自身")</f>
        <v>自身</v>
      </c>
      <c r="CL69" s="139" t="str">
        <f>IFERROR(__xludf.DUMMYFUNCTION("""COMPUTED_VALUE"""),"All")</f>
        <v>All</v>
      </c>
      <c r="CM69" s="139" t="str">
        <f>IFERROR(__xludf.DUMMYFUNCTION("""COMPUTED_VALUE"""),"All")</f>
        <v>All</v>
      </c>
      <c r="CN69" s="675">
        <f>IFERROR(__xludf.DUMMYFUNCTION("""COMPUTED_VALUE"""),15.814538469897222)</f>
        <v>15.81453847</v>
      </c>
      <c r="CO69" s="139" t="str">
        <f>IFERROR(__xludf.DUMMYFUNCTION("""COMPUTED_VALUE"""),"-")</f>
        <v>-</v>
      </c>
      <c r="CP69" s="139" t="str">
        <f>IFERROR(__xludf.DUMMYFUNCTION("""COMPUTED_VALUE"""),"-")</f>
        <v>-</v>
      </c>
      <c r="CQ69" s="139" t="str">
        <f>IFERROR(__xludf.DUMMYFUNCTION("""COMPUTED_VALUE"""),"-")</f>
        <v>-</v>
      </c>
      <c r="CR69" s="139" t="str">
        <f>IFERROR(__xludf.DUMMYFUNCTION("""COMPUTED_VALUE"""),"瞬間型")</f>
        <v>瞬間型</v>
      </c>
      <c r="CS69" s="673" t="str">
        <f>IFERROR(__xludf.DUMMYFUNCTION("""COMPUTED_VALUE"""),"攻撃力UP(自身)")</f>
        <v>攻撃力UP(自身)</v>
      </c>
      <c r="CT69" s="139" t="str">
        <f>IFERROR(__xludf.DUMMYFUNCTION("""COMPUTED_VALUE"""),"瞬間型")</f>
        <v>瞬間型</v>
      </c>
      <c r="CU69" s="139" t="str">
        <f>IFERROR(__xludf.DUMMYFUNCTION("""COMPUTED_VALUE"""),"自身")</f>
        <v>自身</v>
      </c>
      <c r="CV69" s="139" t="str">
        <f>IFERROR(__xludf.DUMMYFUNCTION("""COMPUTED_VALUE"""),"All")</f>
        <v>All</v>
      </c>
      <c r="CW69" s="139" t="str">
        <f>IFERROR(__xludf.DUMMYFUNCTION("""COMPUTED_VALUE"""),"All")</f>
        <v>All</v>
      </c>
      <c r="CX69" s="674">
        <f>IFERROR(__xludf.DUMMYFUNCTION("""COMPUTED_VALUE"""),23.0)</f>
        <v>23</v>
      </c>
      <c r="CY69" s="139">
        <f>IFERROR(__xludf.DUMMYFUNCTION("""COMPUTED_VALUE"""),3.7)</f>
        <v>3.7</v>
      </c>
      <c r="CZ69" s="688" t="str">
        <f>IFERROR(__xludf.DUMMYFUNCTION("""COMPUTED_VALUE"""),"-")</f>
        <v>-</v>
      </c>
      <c r="DA69" s="688">
        <f>IFERROR(__xludf.DUMMYFUNCTION("""COMPUTED_VALUE"""),0.0)</f>
        <v>0</v>
      </c>
      <c r="DB69" s="688">
        <f>IFERROR(__xludf.DUMMYFUNCTION("""COMPUTED_VALUE"""),0.0)</f>
        <v>0</v>
      </c>
      <c r="DC69" s="139" t="str">
        <f>IFERROR(__xludf.DUMMYFUNCTION("""COMPUTED_VALUE"""),"-")</f>
        <v>-</v>
      </c>
      <c r="DD69" s="673" t="str">
        <f>IFERROR(__xludf.DUMMYFUNCTION("""COMPUTED_VALUE"""),"-")</f>
        <v>-</v>
      </c>
      <c r="DE69" s="139" t="str">
        <f>IFERROR(__xludf.DUMMYFUNCTION("""COMPUTED_VALUE"""),"-")</f>
        <v>-</v>
      </c>
      <c r="DF69" s="139" t="str">
        <f>IFERROR(__xludf.DUMMYFUNCTION("""COMPUTED_VALUE"""),"-")</f>
        <v>-</v>
      </c>
      <c r="DG69" s="139" t="str">
        <f>IFERROR(__xludf.DUMMYFUNCTION("""COMPUTED_VALUE"""),"-")</f>
        <v>-</v>
      </c>
      <c r="DH69" s="139" t="str">
        <f>IFERROR(__xludf.DUMMYFUNCTION("""COMPUTED_VALUE"""),"-")</f>
        <v>-</v>
      </c>
      <c r="DI69" s="139" t="str">
        <f>IFERROR(__xludf.DUMMYFUNCTION("""COMPUTED_VALUE"""),"-")</f>
        <v>-</v>
      </c>
      <c r="DJ69" s="139" t="str">
        <f>IFERROR(__xludf.DUMMYFUNCTION("""COMPUTED_VALUE"""),"-")</f>
        <v>-</v>
      </c>
    </row>
    <row r="70">
      <c r="A70" s="139" t="str">
        <f>IFERROR(__xludf.DUMMYFUNCTION("""COMPUTED_VALUE"""),"SPY×FAMILY")</f>
        <v>SPY×FAMILY</v>
      </c>
      <c r="B70" s="139" t="str">
        <f>IFERROR(__xludf.DUMMYFUNCTION("""COMPUTED_VALUE"""),"姉を想う盲愛 ユーリ・ブライア")</f>
        <v>姉を想う盲愛 ユーリ・ブライア</v>
      </c>
      <c r="C70" s="139" t="str">
        <f>IFERROR(__xludf.DUMMYFUNCTION("""COMPUTED_VALUE"""),"chara_spy_00501")</f>
        <v>chara_spy_00501</v>
      </c>
      <c r="D70" s="139" t="str">
        <f>IFERROR(__xludf.DUMMYFUNCTION("""COMPUTED_VALUE"""),"PremiumUR")</f>
        <v>PremiumUR</v>
      </c>
      <c r="E70" s="139" t="str">
        <f>IFERROR(__xludf.DUMMYFUNCTION("""COMPUTED_VALUE"""),"青")</f>
        <v>青</v>
      </c>
      <c r="F70" s="139" t="str">
        <f>IFERROR(__xludf.DUMMYFUNCTION("""COMPUTED_VALUE"""),"ディフェンス")</f>
        <v>ディフェンス</v>
      </c>
      <c r="G70" s="139" t="str">
        <f>IFERROR(__xludf.DUMMYFUNCTION("""COMPUTED_VALUE"""),"近距離")</f>
        <v>近距離</v>
      </c>
      <c r="H70" s="139" t="str">
        <f>IFERROR(__xludf.DUMMYFUNCTION("""COMPUTED_VALUE"""),"dageki_1")</f>
        <v>dageki_1</v>
      </c>
      <c r="I70" s="139" t="str">
        <f>IFERROR(__xludf.DUMMYFUNCTION("""COMPUTED_VALUE"""),"-")</f>
        <v>-</v>
      </c>
      <c r="J70" s="139" t="str">
        <f>IFERROR(__xludf.DUMMYFUNCTION("""COMPUTED_VALUE"""),"202510010_SPY×FAMILY")</f>
        <v>202510010_SPY×FAMILY</v>
      </c>
      <c r="K70" s="139" t="str">
        <f>IFERROR(__xludf.DUMMYFUNCTION("""COMPUTED_VALUE"""),"SPY×FAMILYいいジャン祭")</f>
        <v>SPY×FAMILYいいジャン祭</v>
      </c>
      <c r="L70" s="687" t="str">
        <f>IFERROR(__xludf.DUMMYFUNCTION("""COMPUTED_VALUE"""),"※")</f>
        <v>※</v>
      </c>
      <c r="M70" s="674">
        <f>IFERROR(__xludf.DUMMYFUNCTION("""COMPUTED_VALUE"""),540.0)</f>
        <v>540</v>
      </c>
      <c r="N70" s="139">
        <f>IFERROR(__xludf.DUMMYFUNCTION("""COMPUTED_VALUE"""),600.0)</f>
        <v>600</v>
      </c>
      <c r="O70" s="139" t="str">
        <f>IFERROR(__xludf.DUMMYFUNCTION("""COMPUTED_VALUE"""),"中コスト")</f>
        <v>中コスト</v>
      </c>
      <c r="P70" s="139">
        <f>IFERROR(__xludf.DUMMYFUNCTION("""COMPUTED_VALUE"""),-100.0)</f>
        <v>-100</v>
      </c>
      <c r="Q70" s="675">
        <f>IFERROR(__xludf.DUMMYFUNCTION("""COMPUTED_VALUE"""),10.0)</f>
        <v>10</v>
      </c>
      <c r="R70" s="675">
        <f>IFERROR(__xludf.DUMMYFUNCTION("""COMPUTED_VALUE"""),30.0)</f>
        <v>30</v>
      </c>
      <c r="S70" s="675">
        <f>IFERROR(__xludf.DUMMYFUNCTION("""COMPUTED_VALUE"""),11.0)</f>
        <v>11</v>
      </c>
      <c r="T70" s="674">
        <f>IFERROR(__xludf.DUMMYFUNCTION("""COMPUTED_VALUE"""),1305.0)</f>
        <v>1305</v>
      </c>
      <c r="U70" s="675">
        <f>IFERROR(__xludf.DUMMYFUNCTION("""COMPUTED_VALUE"""),26.10666666666667)</f>
        <v>26.10666667</v>
      </c>
      <c r="V70" s="675">
        <f>IFERROR(__xludf.DUMMYFUNCTION("""COMPUTED_VALUE"""),0.0)</f>
        <v>0</v>
      </c>
      <c r="W70" s="675">
        <f>IFERROR(__xludf.DUMMYFUNCTION("""COMPUTED_VALUE"""),0.0)</f>
        <v>0</v>
      </c>
      <c r="X70" s="675">
        <f>IFERROR(__xludf.DUMMYFUNCTION("""COMPUTED_VALUE"""),0.0)</f>
        <v>0</v>
      </c>
      <c r="Y70" s="674">
        <f>IFERROR(__xludf.DUMMYFUNCTION("""COMPUTED_VALUE"""),680.0)</f>
        <v>680</v>
      </c>
      <c r="Z70" s="675">
        <f>IFERROR(__xludf.DUMMYFUNCTION("""COMPUTED_VALUE"""),13.646666666666667)</f>
        <v>13.64666667</v>
      </c>
      <c r="AA70" s="675">
        <f>IFERROR(__xludf.DUMMYFUNCTION("""COMPUTED_VALUE"""),0.0)</f>
        <v>0</v>
      </c>
      <c r="AB70" s="673">
        <f>IFERROR(__xludf.DUMMYFUNCTION("""COMPUTED_VALUE"""),0.0)</f>
        <v>0</v>
      </c>
      <c r="AC70" s="675">
        <f>IFERROR(__xludf.DUMMYFUNCTION("""COMPUTED_VALUE"""),0.0)</f>
        <v>0</v>
      </c>
      <c r="AD70" s="674">
        <f>IFERROR(__xludf.DUMMYFUNCTION("""COMPUTED_VALUE"""),1395.0)</f>
        <v>1395</v>
      </c>
      <c r="AE70" s="675">
        <f>IFERROR(__xludf.DUMMYFUNCTION("""COMPUTED_VALUE"""),27.946415668053593)</f>
        <v>27.94641567</v>
      </c>
      <c r="AF70" s="675">
        <f>IFERROR(__xludf.DUMMYFUNCTION("""COMPUTED_VALUE"""),0.0)</f>
        <v>0</v>
      </c>
      <c r="AG70" s="675">
        <f>IFERROR(__xludf.DUMMYFUNCTION("""COMPUTED_VALUE"""),9.0)</f>
        <v>9</v>
      </c>
      <c r="AH70" s="675">
        <f>IFERROR(__xludf.DUMMYFUNCTION("""COMPUTED_VALUE"""),0.0)</f>
        <v>0</v>
      </c>
      <c r="AI70" s="139">
        <f>IFERROR(__xludf.DUMMYFUNCTION("""COMPUTED_VALUE"""),3.0)</f>
        <v>3</v>
      </c>
      <c r="AJ70" s="675">
        <f>IFERROR(__xludf.DUMMYFUNCTION("""COMPUTED_VALUE"""),21.946415668053593)</f>
        <v>21.94641567</v>
      </c>
      <c r="AK70" s="139">
        <f>IFERROR(__xludf.DUMMYFUNCTION("""COMPUTED_VALUE"""),1.0)</f>
        <v>1</v>
      </c>
      <c r="AL70" s="674">
        <f>IFERROR(__xludf.DUMMYFUNCTION("""COMPUTED_VALUE"""),3560.0)</f>
        <v>3560</v>
      </c>
      <c r="AM70" s="688">
        <f>IFERROR(__xludf.DUMMYFUNCTION("""COMPUTED_VALUE"""),29095.5801046427)</f>
        <v>29095.5801</v>
      </c>
      <c r="AN70" s="675">
        <f>IFERROR(__xludf.DUMMYFUNCTION("""COMPUTED_VALUE"""),23.733333333333334)</f>
        <v>23.73333333</v>
      </c>
      <c r="AO70" s="675">
        <f>IFERROR(__xludf.DUMMYFUNCTION("""COMPUTED_VALUE"""),11.866666666666667)</f>
        <v>11.86666667</v>
      </c>
      <c r="AP70" s="674">
        <f>IFERROR(__xludf.DUMMYFUNCTION("""COMPUTED_VALUE"""),1620.0)</f>
        <v>1620</v>
      </c>
      <c r="AQ70" s="673">
        <f>IFERROR(__xludf.DUMMYFUNCTION("""COMPUTED_VALUE"""),0.9)</f>
        <v>0.9</v>
      </c>
      <c r="AR70" s="673">
        <f>IFERROR(__xludf.DUMMYFUNCTION("""COMPUTED_VALUE"""),0.0)</f>
        <v>0</v>
      </c>
      <c r="AS70" s="673">
        <f>IFERROR(__xludf.DUMMYFUNCTION("""COMPUTED_VALUE"""),0.0)</f>
        <v>0</v>
      </c>
      <c r="AT70" s="673">
        <f>IFERROR(__xludf.DUMMYFUNCTION("""COMPUTED_VALUE"""),0.3)</f>
        <v>0.3</v>
      </c>
      <c r="AU70" s="673">
        <f>IFERROR(__xludf.DUMMYFUNCTION("""COMPUTED_VALUE"""),0.0)</f>
        <v>0</v>
      </c>
      <c r="AV70" s="673">
        <f>IFERROR(__xludf.DUMMYFUNCTION("""COMPUTED_VALUE"""),0.0)</f>
        <v>0</v>
      </c>
      <c r="AW70" s="139"/>
      <c r="AX70" s="674">
        <f>IFERROR(__xludf.DUMMYFUNCTION("""COMPUTED_VALUE"""),420.0)</f>
        <v>420</v>
      </c>
      <c r="AY70" s="688">
        <f>IFERROR(__xludf.DUMMYFUNCTION("""COMPUTED_VALUE"""),3431.6318100982962)</f>
        <v>3431.63181</v>
      </c>
      <c r="AZ70" s="674">
        <f>IFERROR(__xludf.DUMMYFUNCTION("""COMPUTED_VALUE"""),220.0)</f>
        <v>220</v>
      </c>
      <c r="BA70" s="688">
        <f>IFERROR(__xludf.DUMMYFUNCTION("""COMPUTED_VALUE"""),1806.122005314893)</f>
        <v>1806.122005</v>
      </c>
      <c r="BB70" s="688" t="str">
        <f>IFERROR(__xludf.DUMMYFUNCTION("""COMPUTED_VALUE"""),"-")</f>
        <v>-</v>
      </c>
      <c r="BC70" s="688" t="str">
        <f>IFERROR(__xludf.DUMMYFUNCTION("""COMPUTED_VALUE"""),"#VALUE!")</f>
        <v>#VALUE!</v>
      </c>
      <c r="BD70" s="688" t="str">
        <f>IFERROR(__xludf.DUMMYFUNCTION("""COMPUTED_VALUE"""),"#VALUE!")</f>
        <v>#VALUE!</v>
      </c>
      <c r="BE70" s="674">
        <f>IFERROR(__xludf.DUMMYFUNCTION("""COMPUTED_VALUE"""),220.0)</f>
        <v>220</v>
      </c>
      <c r="BF70" s="674">
        <f>IFERROR(__xludf.DUMMYFUNCTION("""COMPUTED_VALUE"""),1080.0)</f>
        <v>1080</v>
      </c>
      <c r="BG70" s="673">
        <f>IFERROR(__xludf.DUMMYFUNCTION("""COMPUTED_VALUE"""),-0.3)</f>
        <v>-0.3</v>
      </c>
      <c r="BH70" s="673">
        <f>IFERROR(__xludf.DUMMYFUNCTION("""COMPUTED_VALUE"""),-0.5)</f>
        <v>-0.5</v>
      </c>
      <c r="BI70" s="673">
        <f>IFERROR(__xludf.DUMMYFUNCTION("""COMPUTED_VALUE"""),0.0)</f>
        <v>0</v>
      </c>
      <c r="BJ70" s="673">
        <f>IFERROR(__xludf.DUMMYFUNCTION("""COMPUTED_VALUE"""),0.0)</f>
        <v>0</v>
      </c>
      <c r="BK70" s="673">
        <f>IFERROR(__xludf.DUMMYFUNCTION("""COMPUTED_VALUE"""),0.0)</f>
        <v>0</v>
      </c>
      <c r="BL70" s="673">
        <f>IFERROR(__xludf.DUMMYFUNCTION("""COMPUTED_VALUE"""),0.0)</f>
        <v>0</v>
      </c>
      <c r="BM70" s="674">
        <f>IFERROR(__xludf.DUMMYFUNCTION("""COMPUTED_VALUE"""),95.0)</f>
        <v>95</v>
      </c>
      <c r="BN70" s="674">
        <f>IFERROR(__xludf.DUMMYFUNCTION("""COMPUTED_VALUE"""),100.0)</f>
        <v>100</v>
      </c>
      <c r="BO70" s="675">
        <f>IFERROR(__xludf.DUMMYFUNCTION("""COMPUTED_VALUE"""),-5.0)</f>
        <v>-5</v>
      </c>
      <c r="BP70" s="675">
        <f>IFERROR(__xludf.DUMMYFUNCTION("""COMPUTED_VALUE"""),1.9)</f>
        <v>1.9</v>
      </c>
      <c r="BQ70" s="675" t="str">
        <f>IFERROR(__xludf.DUMMYFUNCTION("""COMPUTED_VALUE"""),"※")</f>
        <v>※</v>
      </c>
      <c r="BR70" s="139">
        <f>IFERROR(__xludf.DUMMYFUNCTION("""COMPUTED_VALUE"""),1.0)</f>
        <v>1</v>
      </c>
      <c r="BS70" s="139">
        <f>IFERROR(__xludf.DUMMYFUNCTION("""COMPUTED_VALUE"""),35.0)</f>
        <v>35</v>
      </c>
      <c r="BT70" s="139">
        <f>IFERROR(__xludf.DUMMYFUNCTION("""COMPUTED_VALUE"""),0.24)</f>
        <v>0.24</v>
      </c>
      <c r="BU70" s="139">
        <f>IFERROR(__xludf.DUMMYFUNCTION("""COMPUTED_VALUE"""),0.0)</f>
        <v>0</v>
      </c>
      <c r="BV70" s="139" t="str">
        <f>IFERROR(__xludf.DUMMYFUNCTION("""COMPUTED_VALUE"""),"普通")</f>
        <v>普通</v>
      </c>
      <c r="BW70" s="139" t="str">
        <f>IFERROR(__xludf.DUMMYFUNCTION("""COMPUTED_VALUE"""),"突風コマ無効化")</f>
        <v>突風コマ無効化</v>
      </c>
      <c r="BX70" s="139" t="str">
        <f>IFERROR(__xludf.DUMMYFUNCTION("""COMPUTED_VALUE"""),"-")</f>
        <v>-</v>
      </c>
      <c r="BY70" s="139">
        <f>IFERROR(__xludf.DUMMYFUNCTION("""COMPUTED_VALUE"""),0.0)</f>
        <v>0</v>
      </c>
      <c r="BZ70" s="139" t="str">
        <f>IFERROR(__xludf.DUMMYFUNCTION("""COMPUTED_VALUE"""),"根性")</f>
        <v>根性</v>
      </c>
      <c r="CA70" s="139">
        <f>IFERROR(__xludf.DUMMYFUNCTION("""COMPUTED_VALUE"""),1.0)</f>
        <v>1</v>
      </c>
      <c r="CB70" s="139">
        <f>IFERROR(__xludf.DUMMYFUNCTION("""COMPUTED_VALUE"""),4.0)</f>
        <v>4</v>
      </c>
      <c r="CC70" s="139" t="str">
        <f>IFERROR(__xludf.DUMMYFUNCTION("""COMPUTED_VALUE"""),"近距離")</f>
        <v>近距離</v>
      </c>
      <c r="CD70" s="139" t="str">
        <f>IFERROR(__xludf.DUMMYFUNCTION("""COMPUTED_VALUE"""),"単体")</f>
        <v>単体</v>
      </c>
      <c r="CE70" s="139">
        <f>IFERROR(__xludf.DUMMYFUNCTION("""COMPUTED_VALUE"""),1.0)</f>
        <v>1</v>
      </c>
      <c r="CF70" s="139">
        <f>IFERROR(__xludf.DUMMYFUNCTION("""COMPUTED_VALUE"""),0.25)</f>
        <v>0.25</v>
      </c>
      <c r="CG70" s="139" t="str">
        <f>IFERROR(__xludf.DUMMYFUNCTION("""COMPUTED_VALUE"""),"自身")</f>
        <v>自身</v>
      </c>
      <c r="CH70" s="139" t="str">
        <f>IFERROR(__xludf.DUMMYFUNCTION("""COMPUTED_VALUE"""),"自身")</f>
        <v>自身</v>
      </c>
      <c r="CI70" s="139" t="str">
        <f>IFERROR(__xludf.DUMMYFUNCTION("""COMPUTED_VALUE"""),"該当なし")</f>
        <v>該当なし</v>
      </c>
      <c r="CJ70" s="139" t="str">
        <f>IFERROR(__xludf.DUMMYFUNCTION("""COMPUTED_VALUE"""),"自身")</f>
        <v>自身</v>
      </c>
      <c r="CK70" s="139" t="str">
        <f>IFERROR(__xludf.DUMMYFUNCTION("""COMPUTED_VALUE"""),"自身")</f>
        <v>自身</v>
      </c>
      <c r="CL70" s="139" t="str">
        <f>IFERROR(__xludf.DUMMYFUNCTION("""COMPUTED_VALUE"""),"All")</f>
        <v>All</v>
      </c>
      <c r="CM70" s="139" t="str">
        <f>IFERROR(__xludf.DUMMYFUNCTION("""COMPUTED_VALUE"""),"All")</f>
        <v>All</v>
      </c>
      <c r="CN70" s="675">
        <f>IFERROR(__xludf.DUMMYFUNCTION("""COMPUTED_VALUE"""),27.946415668053593)</f>
        <v>27.94641567</v>
      </c>
      <c r="CO70" s="139" t="str">
        <f>IFERROR(__xludf.DUMMYFUNCTION("""COMPUTED_VALUE"""),"-")</f>
        <v>-</v>
      </c>
      <c r="CP70" s="139" t="str">
        <f>IFERROR(__xludf.DUMMYFUNCTION("""COMPUTED_VALUE"""),"-")</f>
        <v>-</v>
      </c>
      <c r="CQ70" s="139" t="str">
        <f>IFERROR(__xludf.DUMMYFUNCTION("""COMPUTED_VALUE"""),"-")</f>
        <v>-</v>
      </c>
      <c r="CR70" s="139" t="str">
        <f>IFERROR(__xludf.DUMMYFUNCTION("""COMPUTED_VALUE"""),"瞬間型")</f>
        <v>瞬間型</v>
      </c>
      <c r="CS70" s="673" t="str">
        <f>IFERROR(__xludf.DUMMYFUNCTION("""COMPUTED_VALUE"""),"ダメージカット(自身)")</f>
        <v>ダメージカット(自身)</v>
      </c>
      <c r="CT70" s="139" t="str">
        <f>IFERROR(__xludf.DUMMYFUNCTION("""COMPUTED_VALUE"""),"瞬間型")</f>
        <v>瞬間型</v>
      </c>
      <c r="CU70" s="139" t="str">
        <f>IFERROR(__xludf.DUMMYFUNCTION("""COMPUTED_VALUE"""),"自身")</f>
        <v>自身</v>
      </c>
      <c r="CV70" s="139" t="str">
        <f>IFERROR(__xludf.DUMMYFUNCTION("""COMPUTED_VALUE"""),"All")</f>
        <v>All</v>
      </c>
      <c r="CW70" s="139" t="str">
        <f>IFERROR(__xludf.DUMMYFUNCTION("""COMPUTED_VALUE"""),"All")</f>
        <v>All</v>
      </c>
      <c r="CX70" s="674">
        <f>IFERROR(__xludf.DUMMYFUNCTION("""COMPUTED_VALUE"""),35.0)</f>
        <v>35</v>
      </c>
      <c r="CY70" s="675">
        <f>IFERROR(__xludf.DUMMYFUNCTION("""COMPUTED_VALUE"""),6.0)</f>
        <v>6</v>
      </c>
      <c r="CZ70" s="688" t="str">
        <f>IFERROR(__xludf.DUMMYFUNCTION("""COMPUTED_VALUE"""),"-")</f>
        <v>-</v>
      </c>
      <c r="DA70" s="688">
        <f>IFERROR(__xludf.DUMMYFUNCTION("""COMPUTED_VALUE"""),0.0)</f>
        <v>0</v>
      </c>
      <c r="DB70" s="688">
        <f>IFERROR(__xludf.DUMMYFUNCTION("""COMPUTED_VALUE"""),0.0)</f>
        <v>0</v>
      </c>
      <c r="DC70" s="673" t="str">
        <f>IFERROR(__xludf.DUMMYFUNCTION("""COMPUTED_VALUE"""),"-")</f>
        <v>-</v>
      </c>
      <c r="DD70" s="673" t="str">
        <f>IFERROR(__xludf.DUMMYFUNCTION("""COMPUTED_VALUE"""),"-")</f>
        <v>-</v>
      </c>
      <c r="DE70" s="139" t="str">
        <f>IFERROR(__xludf.DUMMYFUNCTION("""COMPUTED_VALUE"""),"-")</f>
        <v>-</v>
      </c>
      <c r="DF70" s="139" t="str">
        <f>IFERROR(__xludf.DUMMYFUNCTION("""COMPUTED_VALUE"""),"-")</f>
        <v>-</v>
      </c>
      <c r="DG70" s="139" t="str">
        <f>IFERROR(__xludf.DUMMYFUNCTION("""COMPUTED_VALUE"""),"-")</f>
        <v>-</v>
      </c>
      <c r="DH70" s="139" t="str">
        <f>IFERROR(__xludf.DUMMYFUNCTION("""COMPUTED_VALUE"""),"-")</f>
        <v>-</v>
      </c>
      <c r="DI70" s="139" t="str">
        <f>IFERROR(__xludf.DUMMYFUNCTION("""COMPUTED_VALUE"""),"-")</f>
        <v>-</v>
      </c>
      <c r="DJ70" s="139" t="str">
        <f>IFERROR(__xludf.DUMMYFUNCTION("""COMPUTED_VALUE"""),"-")</f>
        <v>-</v>
      </c>
    </row>
    <row r="71">
      <c r="A71" s="139" t="str">
        <f>IFERROR(__xludf.DUMMYFUNCTION("""COMPUTED_VALUE"""),"SPY×FAMILY")</f>
        <v>SPY×FAMILY</v>
      </c>
      <c r="B71" s="139" t="str">
        <f>IFERROR(__xludf.DUMMYFUNCTION("""COMPUTED_VALUE"""),"ダミアン・デズモンド")</f>
        <v>ダミアン・デズモンド</v>
      </c>
      <c r="C71" s="139" t="str">
        <f>IFERROR(__xludf.DUMMYFUNCTION("""COMPUTED_VALUE"""),"chara_spy_00301")</f>
        <v>chara_spy_00301</v>
      </c>
      <c r="D71" s="139" t="str">
        <f>IFERROR(__xludf.DUMMYFUNCTION("""COMPUTED_VALUE"""),"DropSR")</f>
        <v>DropSR</v>
      </c>
      <c r="E71" s="139" t="str">
        <f>IFERROR(__xludf.DUMMYFUNCTION("""COMPUTED_VALUE"""),"無")</f>
        <v>無</v>
      </c>
      <c r="F71" s="139" t="str">
        <f>IFERROR(__xludf.DUMMYFUNCTION("""COMPUTED_VALUE"""),"スペシャル")</f>
        <v>スペシャル</v>
      </c>
      <c r="G71" s="139" t="str">
        <f>IFERROR(__xludf.DUMMYFUNCTION("""COMPUTED_VALUE"""),"該当なし")</f>
        <v>該当なし</v>
      </c>
      <c r="H71" s="139" t="str">
        <f>IFERROR(__xludf.DUMMYFUNCTION("""COMPUTED_VALUE"""),"-")</f>
        <v>-</v>
      </c>
      <c r="I71" s="139" t="str">
        <f>IFERROR(__xludf.DUMMYFUNCTION("""COMPUTED_VALUE"""),"-")</f>
        <v>-</v>
      </c>
      <c r="J71" s="139" t="str">
        <f>IFERROR(__xludf.DUMMYFUNCTION("""COMPUTED_VALUE"""),"202510010_SPY×FAMILY")</f>
        <v>202510010_SPY×FAMILY</v>
      </c>
      <c r="K71" s="139" t="str">
        <f>IFERROR(__xludf.DUMMYFUNCTION("""COMPUTED_VALUE"""),"SPY×FAMILYいいジャン祭")</f>
        <v>SPY×FAMILYいいジャン祭</v>
      </c>
      <c r="L71" s="687" t="str">
        <f>IFERROR(__xludf.DUMMYFUNCTION("""COMPUTED_VALUE"""),"※")</f>
        <v>※</v>
      </c>
      <c r="M71" s="674">
        <f>IFERROR(__xludf.DUMMYFUNCTION("""COMPUTED_VALUE"""),250.0)</f>
        <v>250</v>
      </c>
      <c r="N71" s="139">
        <f>IFERROR(__xludf.DUMMYFUNCTION("""COMPUTED_VALUE"""),200.0)</f>
        <v>200</v>
      </c>
      <c r="O71" s="139" t="str">
        <f>IFERROR(__xludf.DUMMYFUNCTION("""COMPUTED_VALUE"""),"低コスト")</f>
        <v>低コスト</v>
      </c>
      <c r="P71" s="139">
        <f>IFERROR(__xludf.DUMMYFUNCTION("""COMPUTED_VALUE"""),90.0)</f>
        <v>90</v>
      </c>
      <c r="Q71" s="675">
        <f>IFERROR(__xludf.DUMMYFUNCTION("""COMPUTED_VALUE"""),10.0)</f>
        <v>10</v>
      </c>
      <c r="R71" s="675">
        <f>IFERROR(__xludf.DUMMYFUNCTION("""COMPUTED_VALUE"""),0.0)</f>
        <v>0</v>
      </c>
      <c r="S71" s="675">
        <f>IFERROR(__xludf.DUMMYFUNCTION("""COMPUTED_VALUE"""),3.75)</f>
        <v>3.75</v>
      </c>
      <c r="T71" s="674" t="str">
        <f>IFERROR(__xludf.DUMMYFUNCTION("""COMPUTED_VALUE"""),"-")</f>
        <v>-</v>
      </c>
      <c r="U71" s="674" t="str">
        <f>IFERROR(__xludf.DUMMYFUNCTION("""COMPUTED_VALUE"""),"-")</f>
        <v>-</v>
      </c>
      <c r="V71" s="674" t="str">
        <f>IFERROR(__xludf.DUMMYFUNCTION("""COMPUTED_VALUE"""),"-")</f>
        <v>-</v>
      </c>
      <c r="W71" s="674" t="str">
        <f>IFERROR(__xludf.DUMMYFUNCTION("""COMPUTED_VALUE"""),"-")</f>
        <v>-</v>
      </c>
      <c r="X71" s="674" t="str">
        <f>IFERROR(__xludf.DUMMYFUNCTION("""COMPUTED_VALUE"""),"-")</f>
        <v>-</v>
      </c>
      <c r="Y71" s="674" t="str">
        <f>IFERROR(__xludf.DUMMYFUNCTION("""COMPUTED_VALUE"""),"-")</f>
        <v>-</v>
      </c>
      <c r="Z71" s="675" t="str">
        <f>IFERROR(__xludf.DUMMYFUNCTION("""COMPUTED_VALUE"""),"#VALUE!")</f>
        <v>#VALUE!</v>
      </c>
      <c r="AA71" s="675" t="str">
        <f>IFERROR(__xludf.DUMMYFUNCTION("""COMPUTED_VALUE"""),"-")</f>
        <v>-</v>
      </c>
      <c r="AB71" s="674" t="str">
        <f>IFERROR(__xludf.DUMMYFUNCTION("""COMPUTED_VALUE"""),"-")</f>
        <v>-</v>
      </c>
      <c r="AC71" s="674" t="str">
        <f>IFERROR(__xludf.DUMMYFUNCTION("""COMPUTED_VALUE"""),"-")</f>
        <v>-</v>
      </c>
      <c r="AD71" s="674" t="str">
        <f>IFERROR(__xludf.DUMMYFUNCTION("""COMPUTED_VALUE"""),"-")</f>
        <v>-</v>
      </c>
      <c r="AE71" s="674" t="str">
        <f>IFERROR(__xludf.DUMMYFUNCTION("""COMPUTED_VALUE"""),"-")</f>
        <v>-</v>
      </c>
      <c r="AF71" s="674" t="str">
        <f>IFERROR(__xludf.DUMMYFUNCTION("""COMPUTED_VALUE"""),"-")</f>
        <v>-</v>
      </c>
      <c r="AG71" s="674" t="str">
        <f>IFERROR(__xludf.DUMMYFUNCTION("""COMPUTED_VALUE"""),"-")</f>
        <v>-</v>
      </c>
      <c r="AH71" s="675">
        <f>IFERROR(__xludf.DUMMYFUNCTION("""COMPUTED_VALUE"""),0.0)</f>
        <v>0</v>
      </c>
      <c r="AI71" s="674" t="str">
        <f>IFERROR(__xludf.DUMMYFUNCTION("""COMPUTED_VALUE"""),"-")</f>
        <v>-</v>
      </c>
      <c r="AJ71" s="139" t="str">
        <f>IFERROR(__xludf.DUMMYFUNCTION("""COMPUTED_VALUE"""),"#VALUE!")</f>
        <v>#VALUE!</v>
      </c>
      <c r="AK71" s="674" t="str">
        <f>IFERROR(__xludf.DUMMYFUNCTION("""COMPUTED_VALUE"""),"-")</f>
        <v>-</v>
      </c>
      <c r="AL71" s="674" t="str">
        <f>IFERROR(__xludf.DUMMYFUNCTION("""COMPUTED_VALUE"""),"#VALUE!")</f>
        <v>#VALUE!</v>
      </c>
      <c r="AM71" s="674" t="str">
        <f>IFERROR(__xludf.DUMMYFUNCTION("""COMPUTED_VALUE"""),"-")</f>
        <v>-</v>
      </c>
      <c r="AN71" s="674" t="str">
        <f>IFERROR(__xludf.DUMMYFUNCTION("""COMPUTED_VALUE"""),"-")</f>
        <v>-</v>
      </c>
      <c r="AO71" s="674" t="str">
        <f>IFERROR(__xludf.DUMMYFUNCTION("""COMPUTED_VALUE"""),"-")</f>
        <v>-</v>
      </c>
      <c r="AP71" s="674">
        <f>IFERROR(__xludf.DUMMYFUNCTION("""COMPUTED_VALUE"""),750.0)</f>
        <v>750</v>
      </c>
      <c r="AQ71" s="674" t="str">
        <f>IFERROR(__xludf.DUMMYFUNCTION("""COMPUTED_VALUE"""),"-")</f>
        <v>-</v>
      </c>
      <c r="AR71" s="673" t="str">
        <f>IFERROR(__xludf.DUMMYFUNCTION("""COMPUTED_VALUE"""),"-")</f>
        <v>-</v>
      </c>
      <c r="AS71" s="674" t="str">
        <f>IFERROR(__xludf.DUMMYFUNCTION("""COMPUTED_VALUE"""),"-")</f>
        <v>-</v>
      </c>
      <c r="AT71" s="674" t="str">
        <f>IFERROR(__xludf.DUMMYFUNCTION("""COMPUTED_VALUE"""),"-")</f>
        <v>-</v>
      </c>
      <c r="AU71" s="673" t="str">
        <f>IFERROR(__xludf.DUMMYFUNCTION("""COMPUTED_VALUE"""),"-")</f>
        <v>-</v>
      </c>
      <c r="AV71" s="673">
        <f>IFERROR(__xludf.DUMMYFUNCTION("""COMPUTED_VALUE"""),0.0)</f>
        <v>0</v>
      </c>
      <c r="AW71" s="139"/>
      <c r="AX71" s="674" t="str">
        <f>IFERROR(__xludf.DUMMYFUNCTION("""COMPUTED_VALUE"""),"-")</f>
        <v>-</v>
      </c>
      <c r="AY71" s="674" t="str">
        <f>IFERROR(__xludf.DUMMYFUNCTION("""COMPUTED_VALUE"""),"-")</f>
        <v>-</v>
      </c>
      <c r="AZ71" s="674" t="str">
        <f>IFERROR(__xludf.DUMMYFUNCTION("""COMPUTED_VALUE"""),"-")</f>
        <v>-</v>
      </c>
      <c r="BA71" s="674" t="str">
        <f>IFERROR(__xludf.DUMMYFUNCTION("""COMPUTED_VALUE"""),"-")</f>
        <v>-</v>
      </c>
      <c r="BB71" s="688" t="str">
        <f>IFERROR(__xludf.DUMMYFUNCTION("""COMPUTED_VALUE"""),"#VALUE!")</f>
        <v>#VALUE!</v>
      </c>
      <c r="BC71" s="674" t="str">
        <f>IFERROR(__xludf.DUMMYFUNCTION("""COMPUTED_VALUE"""),"-")</f>
        <v>-</v>
      </c>
      <c r="BD71" s="674" t="str">
        <f>IFERROR(__xludf.DUMMYFUNCTION("""COMPUTED_VALUE"""),"-")</f>
        <v>-</v>
      </c>
      <c r="BE71" s="674" t="str">
        <f>IFERROR(__xludf.DUMMYFUNCTION("""COMPUTED_VALUE"""),"#VALUE!")</f>
        <v>#VALUE!</v>
      </c>
      <c r="BF71" s="674">
        <f>IFERROR(__xludf.DUMMYFUNCTION("""COMPUTED_VALUE"""),500.0)</f>
        <v>500</v>
      </c>
      <c r="BG71" s="674" t="str">
        <f>IFERROR(__xludf.DUMMYFUNCTION("""COMPUTED_VALUE"""),"-")</f>
        <v>-</v>
      </c>
      <c r="BH71" s="674" t="str">
        <f>IFERROR(__xludf.DUMMYFUNCTION("""COMPUTED_VALUE"""),"-")</f>
        <v>-</v>
      </c>
      <c r="BI71" s="674" t="str">
        <f>IFERROR(__xludf.DUMMYFUNCTION("""COMPUTED_VALUE"""),"-")</f>
        <v>-</v>
      </c>
      <c r="BJ71" s="673">
        <f>IFERROR(__xludf.DUMMYFUNCTION("""COMPUTED_VALUE"""),0.0)</f>
        <v>0</v>
      </c>
      <c r="BK71" s="673">
        <f>IFERROR(__xludf.DUMMYFUNCTION("""COMPUTED_VALUE"""),0.0)</f>
        <v>0</v>
      </c>
      <c r="BL71" s="673">
        <f>IFERROR(__xludf.DUMMYFUNCTION("""COMPUTED_VALUE"""),0.0)</f>
        <v>0</v>
      </c>
      <c r="BM71" s="674" t="str">
        <f>IFERROR(__xludf.DUMMYFUNCTION("""COMPUTED_VALUE"""),"-")</f>
        <v>-</v>
      </c>
      <c r="BN71" s="674" t="str">
        <f>IFERROR(__xludf.DUMMYFUNCTION("""COMPUTED_VALUE"""),"-")</f>
        <v>-</v>
      </c>
      <c r="BO71" s="674" t="str">
        <f>IFERROR(__xludf.DUMMYFUNCTION("""COMPUTED_VALUE"""),"-")</f>
        <v>-</v>
      </c>
      <c r="BP71" s="674" t="str">
        <f>IFERROR(__xludf.DUMMYFUNCTION("""COMPUTED_VALUE"""),"-")</f>
        <v>-</v>
      </c>
      <c r="BQ71" s="675" t="str">
        <f>IFERROR(__xludf.DUMMYFUNCTION("""COMPUTED_VALUE"""),"※")</f>
        <v>※</v>
      </c>
      <c r="BR71" s="674" t="str">
        <f>IFERROR(__xludf.DUMMYFUNCTION("""COMPUTED_VALUE"""),"-")</f>
        <v>-</v>
      </c>
      <c r="BS71" s="674" t="str">
        <f>IFERROR(__xludf.DUMMYFUNCTION("""COMPUTED_VALUE"""),"-")</f>
        <v>-</v>
      </c>
      <c r="BT71" s="139" t="str">
        <f>IFERROR(__xludf.DUMMYFUNCTION("""COMPUTED_VALUE"""),"#VALUE!")</f>
        <v>#VALUE!</v>
      </c>
      <c r="BU71" s="139"/>
      <c r="BV71" s="674" t="str">
        <f>IFERROR(__xludf.DUMMYFUNCTION("""COMPUTED_VALUE"""),"-")</f>
        <v>-</v>
      </c>
      <c r="BW71" s="674" t="str">
        <f>IFERROR(__xludf.DUMMYFUNCTION("""COMPUTED_VALUE"""),"-")</f>
        <v>-</v>
      </c>
      <c r="BX71" s="674" t="str">
        <f>IFERROR(__xludf.DUMMYFUNCTION("""COMPUTED_VALUE"""),"-")</f>
        <v>-</v>
      </c>
      <c r="BY71" s="674" t="str">
        <f>IFERROR(__xludf.DUMMYFUNCTION("""COMPUTED_VALUE"""),"-")</f>
        <v>-</v>
      </c>
      <c r="BZ71" s="674" t="str">
        <f>IFERROR(__xludf.DUMMYFUNCTION("""COMPUTED_VALUE"""),"-")</f>
        <v>-</v>
      </c>
      <c r="CA71" s="674" t="str">
        <f>IFERROR(__xludf.DUMMYFUNCTION("""COMPUTED_VALUE"""),"-")</f>
        <v>-</v>
      </c>
      <c r="CB71" s="674" t="str">
        <f>IFERROR(__xludf.DUMMYFUNCTION("""COMPUTED_VALUE"""),"-")</f>
        <v>-</v>
      </c>
      <c r="CC71" s="674" t="str">
        <f>IFERROR(__xludf.DUMMYFUNCTION("""COMPUTED_VALUE"""),"-")</f>
        <v>-</v>
      </c>
      <c r="CD71" s="674" t="str">
        <f>IFERROR(__xludf.DUMMYFUNCTION("""COMPUTED_VALUE"""),"-")</f>
        <v>-</v>
      </c>
      <c r="CE71" s="139" t="str">
        <f>IFERROR(__xludf.DUMMYFUNCTION("""COMPUTED_VALUE"""),"-")</f>
        <v>-</v>
      </c>
      <c r="CF71" s="139" t="str">
        <f>IFERROR(__xludf.DUMMYFUNCTION("""COMPUTED_VALUE"""),"#VALUE!")</f>
        <v>#VALUE!</v>
      </c>
      <c r="CG71" s="139" t="str">
        <f>IFERROR(__xludf.DUMMYFUNCTION("""COMPUTED_VALUE"""),"タップしたコマ")</f>
        <v>タップしたコマ</v>
      </c>
      <c r="CH71" s="139" t="str">
        <f>IFERROR(__xludf.DUMMYFUNCTION("""COMPUTED_VALUE"""),"タップしたコマ")</f>
        <v>タップしたコマ</v>
      </c>
      <c r="CI71" s="139" t="str">
        <f>IFERROR(__xludf.DUMMYFUNCTION("""COMPUTED_VALUE"""),"-")</f>
        <v>-</v>
      </c>
      <c r="CJ71" s="139" t="str">
        <f>IFERROR(__xludf.DUMMYFUNCTION("""COMPUTED_VALUE"""),"タップしたコマ")</f>
        <v>タップしたコマ</v>
      </c>
      <c r="CK71" s="139" t="str">
        <f>IFERROR(__xludf.DUMMYFUNCTION("""COMPUTED_VALUE"""),"味方")</f>
        <v>味方</v>
      </c>
      <c r="CL71" s="139" t="str">
        <f>IFERROR(__xludf.DUMMYFUNCTION("""COMPUTED_VALUE"""),"All")</f>
        <v>All</v>
      </c>
      <c r="CM71" s="139" t="str">
        <f>IFERROR(__xludf.DUMMYFUNCTION("""COMPUTED_VALUE"""),"アタック")</f>
        <v>アタック</v>
      </c>
      <c r="CN71" s="675" t="str">
        <f>IFERROR(__xludf.DUMMYFUNCTION("""COMPUTED_VALUE"""),"-")</f>
        <v>-</v>
      </c>
      <c r="CO71" s="139" t="str">
        <f>IFERROR(__xludf.DUMMYFUNCTION("""COMPUTED_VALUE"""),"-")</f>
        <v>-</v>
      </c>
      <c r="CP71" s="139" t="str">
        <f>IFERROR(__xludf.DUMMYFUNCTION("""COMPUTED_VALUE"""),"-")</f>
        <v>-</v>
      </c>
      <c r="CQ71" s="139" t="str">
        <f>IFERROR(__xludf.DUMMYFUNCTION("""COMPUTED_VALUE"""),"-")</f>
        <v>-</v>
      </c>
      <c r="CR71" s="139" t="str">
        <f>IFERROR(__xludf.DUMMYFUNCTION("""COMPUTED_VALUE"""),"ハイブリッド型")</f>
        <v>ハイブリッド型</v>
      </c>
      <c r="CS71" s="673" t="str">
        <f>IFERROR(__xludf.DUMMYFUNCTION("""COMPUTED_VALUE"""),"攻撃力UP(アタック)")</f>
        <v>攻撃力UP(アタック)</v>
      </c>
      <c r="CT71" s="139" t="str">
        <f>IFERROR(__xludf.DUMMYFUNCTION("""COMPUTED_VALUE"""),"ハイブリッド型")</f>
        <v>ハイブリッド型</v>
      </c>
      <c r="CU71" s="139" t="str">
        <f>IFERROR(__xludf.DUMMYFUNCTION("""COMPUTED_VALUE"""),"味方")</f>
        <v>味方</v>
      </c>
      <c r="CV71" s="139" t="str">
        <f>IFERROR(__xludf.DUMMYFUNCTION("""COMPUTED_VALUE"""),"All")</f>
        <v>All</v>
      </c>
      <c r="CW71" s="139" t="str">
        <f>IFERROR(__xludf.DUMMYFUNCTION("""COMPUTED_VALUE"""),"アタック")</f>
        <v>アタック</v>
      </c>
      <c r="CX71" s="674">
        <f>IFERROR(__xludf.DUMMYFUNCTION("""COMPUTED_VALUE"""),20.0)</f>
        <v>20</v>
      </c>
      <c r="CY71" s="675">
        <f>IFERROR(__xludf.DUMMYFUNCTION("""COMPUTED_VALUE"""),4.0)</f>
        <v>4</v>
      </c>
      <c r="CZ71" s="688" t="str">
        <f>IFERROR(__xludf.DUMMYFUNCTION("""COMPUTED_VALUE"""),"-")</f>
        <v>-</v>
      </c>
      <c r="DA71" s="688">
        <f>IFERROR(__xludf.DUMMYFUNCTION("""COMPUTED_VALUE"""),0.0)</f>
        <v>0</v>
      </c>
      <c r="DB71" s="688">
        <f>IFERROR(__xludf.DUMMYFUNCTION("""COMPUTED_VALUE"""),0.0)</f>
        <v>0</v>
      </c>
      <c r="DC71" s="139" t="str">
        <f>IFERROR(__xludf.DUMMYFUNCTION("""COMPUTED_VALUE"""),"-")</f>
        <v>-</v>
      </c>
      <c r="DD71" s="673" t="str">
        <f>IFERROR(__xludf.DUMMYFUNCTION("""COMPUTED_VALUE"""),"-")</f>
        <v>-</v>
      </c>
      <c r="DE71" s="139" t="str">
        <f>IFERROR(__xludf.DUMMYFUNCTION("""COMPUTED_VALUE"""),"-")</f>
        <v>-</v>
      </c>
      <c r="DF71" s="139" t="str">
        <f>IFERROR(__xludf.DUMMYFUNCTION("""COMPUTED_VALUE"""),"-")</f>
        <v>-</v>
      </c>
      <c r="DG71" s="139" t="str">
        <f>IFERROR(__xludf.DUMMYFUNCTION("""COMPUTED_VALUE"""),"-")</f>
        <v>-</v>
      </c>
      <c r="DH71" s="139" t="str">
        <f>IFERROR(__xludf.DUMMYFUNCTION("""COMPUTED_VALUE"""),"-")</f>
        <v>-</v>
      </c>
      <c r="DI71" s="139" t="str">
        <f>IFERROR(__xludf.DUMMYFUNCTION("""COMPUTED_VALUE"""),"-")</f>
        <v>-</v>
      </c>
      <c r="DJ71" s="139" t="str">
        <f>IFERROR(__xludf.DUMMYFUNCTION("""COMPUTED_VALUE"""),"-")</f>
        <v>-</v>
      </c>
    </row>
    <row r="72">
      <c r="A72" s="139" t="str">
        <f>IFERROR(__xludf.DUMMYFUNCTION("""COMPUTED_VALUE"""),"ダンダダン")</f>
        <v>ダンダダン</v>
      </c>
      <c r="B72" s="139" t="str">
        <f>IFERROR(__xludf.DUMMYFUNCTION("""COMPUTED_VALUE"""),"アクさらの愛 アイラ")</f>
        <v>アクさらの愛 アイラ</v>
      </c>
      <c r="C72" s="139" t="str">
        <f>IFERROR(__xludf.DUMMYFUNCTION("""COMPUTED_VALUE"""),"chara_dan_00202")</f>
        <v>chara_dan_00202</v>
      </c>
      <c r="D72" s="139" t="str">
        <f>IFERROR(__xludf.DUMMYFUNCTION("""COMPUTED_VALUE"""),"PremiumUR")</f>
        <v>PremiumUR</v>
      </c>
      <c r="E72" s="139" t="str">
        <f>IFERROR(__xludf.DUMMYFUNCTION("""COMPUTED_VALUE"""),"緑")</f>
        <v>緑</v>
      </c>
      <c r="F72" s="139" t="str">
        <f>IFERROR(__xludf.DUMMYFUNCTION("""COMPUTED_VALUE"""),"アタック")</f>
        <v>アタック</v>
      </c>
      <c r="G72" s="139" t="str">
        <f>IFERROR(__xludf.DUMMYFUNCTION("""COMPUTED_VALUE"""),"中距離")</f>
        <v>中距離</v>
      </c>
      <c r="H72" s="139" t="str">
        <f>IFERROR(__xludf.DUMMYFUNCTION("""COMPUTED_VALUE"""),"dageki_1")</f>
        <v>dageki_1</v>
      </c>
      <c r="I72" s="139" t="str">
        <f>IFERROR(__xludf.DUMMYFUNCTION("""COMPUTED_VALUE"""),"dageki_1")</f>
        <v>dageki_1</v>
      </c>
      <c r="J72" s="139" t="str">
        <f>IFERROR(__xludf.DUMMYFUNCTION("""COMPUTED_VALUE"""),"202510020_ダンダダン")</f>
        <v>202510020_ダンダダン</v>
      </c>
      <c r="K72" s="139" t="str">
        <f>IFERROR(__xludf.DUMMYFUNCTION("""COMPUTED_VALUE"""),"ダンダダンいいジャン祭")</f>
        <v>ダンダダンいいジャン祭</v>
      </c>
      <c r="L72" s="687" t="str">
        <f>IFERROR(__xludf.DUMMYFUNCTION("""COMPUTED_VALUE"""),"※")</f>
        <v>※</v>
      </c>
      <c r="M72" s="674">
        <f>IFERROR(__xludf.DUMMYFUNCTION("""COMPUTED_VALUE"""),480.0)</f>
        <v>480</v>
      </c>
      <c r="N72" s="139">
        <f>IFERROR(__xludf.DUMMYFUNCTION("""COMPUTED_VALUE"""),600.0)</f>
        <v>600</v>
      </c>
      <c r="O72" s="139" t="str">
        <f>IFERROR(__xludf.DUMMYFUNCTION("""COMPUTED_VALUE"""),"中コスト")</f>
        <v>中コスト</v>
      </c>
      <c r="P72" s="139">
        <f>IFERROR(__xludf.DUMMYFUNCTION("""COMPUTED_VALUE"""),-150.0)</f>
        <v>-150</v>
      </c>
      <c r="Q72" s="675">
        <f>IFERROR(__xludf.DUMMYFUNCTION("""COMPUTED_VALUE"""),5.0)</f>
        <v>5</v>
      </c>
      <c r="R72" s="675">
        <f>IFERROR(__xludf.DUMMYFUNCTION("""COMPUTED_VALUE"""),25.0)</f>
        <v>25</v>
      </c>
      <c r="S72" s="675">
        <f>IFERROR(__xludf.DUMMYFUNCTION("""COMPUTED_VALUE"""),9.5)</f>
        <v>9.5</v>
      </c>
      <c r="T72" s="674">
        <f>IFERROR(__xludf.DUMMYFUNCTION("""COMPUTED_VALUE"""),370.0)</f>
        <v>370</v>
      </c>
      <c r="U72" s="675">
        <f>IFERROR(__xludf.DUMMYFUNCTION("""COMPUTED_VALUE"""),7.406666666666667)</f>
        <v>7.406666667</v>
      </c>
      <c r="V72" s="675">
        <f>IFERROR(__xludf.DUMMYFUNCTION("""COMPUTED_VALUE"""),0.0)</f>
        <v>0</v>
      </c>
      <c r="W72" s="675">
        <f>IFERROR(__xludf.DUMMYFUNCTION("""COMPUTED_VALUE"""),0.0)</f>
        <v>0</v>
      </c>
      <c r="X72" s="675">
        <f>IFERROR(__xludf.DUMMYFUNCTION("""COMPUTED_VALUE"""),0.0)</f>
        <v>0</v>
      </c>
      <c r="Y72" s="674">
        <f>IFERROR(__xludf.DUMMYFUNCTION("""COMPUTED_VALUE"""),195.0)</f>
        <v>195</v>
      </c>
      <c r="Z72" s="675">
        <f>IFERROR(__xludf.DUMMYFUNCTION("""COMPUTED_VALUE"""),3.8716666666666666)</f>
        <v>3.871666667</v>
      </c>
      <c r="AA72" s="675">
        <f>IFERROR(__xludf.DUMMYFUNCTION("""COMPUTED_VALUE"""),0.0)</f>
        <v>0</v>
      </c>
      <c r="AB72" s="673">
        <f>IFERROR(__xludf.DUMMYFUNCTION("""COMPUTED_VALUE"""),0.0)</f>
        <v>0</v>
      </c>
      <c r="AC72" s="675">
        <f>IFERROR(__xludf.DUMMYFUNCTION("""COMPUTED_VALUE"""),0.0)</f>
        <v>0</v>
      </c>
      <c r="AD72" s="674">
        <f>IFERROR(__xludf.DUMMYFUNCTION("""COMPUTED_VALUE"""),630.0)</f>
        <v>630</v>
      </c>
      <c r="AE72" s="675">
        <f>IFERROR(__xludf.DUMMYFUNCTION("""COMPUTED_VALUE"""),12.614579032479313)</f>
        <v>12.61457903</v>
      </c>
      <c r="AF72" s="675">
        <f>IFERROR(__xludf.DUMMYFUNCTION("""COMPUTED_VALUE"""),0.0)</f>
        <v>0</v>
      </c>
      <c r="AG72" s="675">
        <f>IFERROR(__xludf.DUMMYFUNCTION("""COMPUTED_VALUE"""),2.5229158064958623)</f>
        <v>2.522915806</v>
      </c>
      <c r="AH72" s="675">
        <f>IFERROR(__xludf.DUMMYFUNCTION("""COMPUTED_VALUE"""),0.0)</f>
        <v>0</v>
      </c>
      <c r="AI72" s="139" t="str">
        <f>IFERROR(__xludf.DUMMYFUNCTION("""COMPUTED_VALUE"""),"-")</f>
        <v>-</v>
      </c>
      <c r="AJ72" s="139" t="str">
        <f>IFERROR(__xludf.DUMMYFUNCTION("""COMPUTED_VALUE"""),"-")</f>
        <v>-</v>
      </c>
      <c r="AK72" s="139">
        <f>IFERROR(__xludf.DUMMYFUNCTION("""COMPUTED_VALUE"""),1.0)</f>
        <v>1</v>
      </c>
      <c r="AL72" s="674">
        <f>IFERROR(__xludf.DUMMYFUNCTION("""COMPUTED_VALUE"""),1010.0)</f>
        <v>1010</v>
      </c>
      <c r="AM72" s="688">
        <f>IFERROR(__xludf.DUMMYFUNCTION("""COMPUTED_VALUE"""),8253.558400474474)</f>
        <v>8253.5584</v>
      </c>
      <c r="AN72" s="675">
        <f>IFERROR(__xludf.DUMMYFUNCTION("""COMPUTED_VALUE"""),6.733333333333333)</f>
        <v>6.733333333</v>
      </c>
      <c r="AO72" s="675">
        <f>IFERROR(__xludf.DUMMYFUNCTION("""COMPUTED_VALUE"""),3.3666666666666667)</f>
        <v>3.366666667</v>
      </c>
      <c r="AP72" s="674">
        <f>IFERROR(__xludf.DUMMYFUNCTION("""COMPUTED_VALUE"""),1440.0)</f>
        <v>1440</v>
      </c>
      <c r="AQ72" s="673">
        <f>IFERROR(__xludf.DUMMYFUNCTION("""COMPUTED_VALUE"""),-0.2)</f>
        <v>-0.2</v>
      </c>
      <c r="AR72" s="673">
        <f>IFERROR(__xludf.DUMMYFUNCTION("""COMPUTED_VALUE"""),0.0)</f>
        <v>0</v>
      </c>
      <c r="AS72" s="673">
        <f>IFERROR(__xludf.DUMMYFUNCTION("""COMPUTED_VALUE"""),-0.1)</f>
        <v>-0.1</v>
      </c>
      <c r="AT72" s="673">
        <f>IFERROR(__xludf.DUMMYFUNCTION("""COMPUTED_VALUE"""),0.0)</f>
        <v>0</v>
      </c>
      <c r="AU72" s="673">
        <f>IFERROR(__xludf.DUMMYFUNCTION("""COMPUTED_VALUE"""),0.0)</f>
        <v>0</v>
      </c>
      <c r="AV72" s="673">
        <f>IFERROR(__xludf.DUMMYFUNCTION("""COMPUTED_VALUE"""),0.0)</f>
        <v>0</v>
      </c>
      <c r="AW72" s="139"/>
      <c r="AX72" s="674">
        <f>IFERROR(__xludf.DUMMYFUNCTION("""COMPUTED_VALUE"""),1880.0)</f>
        <v>1880</v>
      </c>
      <c r="AY72" s="688">
        <f>IFERROR(__xludf.DUMMYFUNCTION("""COMPUTED_VALUE"""),15364.572864249516)</f>
        <v>15364.57286</v>
      </c>
      <c r="AZ72" s="674">
        <f>IFERROR(__xludf.DUMMYFUNCTION("""COMPUTED_VALUE"""),1250.0)</f>
        <v>1250</v>
      </c>
      <c r="BA72" s="688">
        <f>IFERROR(__xludf.DUMMYFUNCTION("""COMPUTED_VALUE"""),10243.048576166344)</f>
        <v>10243.04858</v>
      </c>
      <c r="BB72" s="688" t="str">
        <f>IFERROR(__xludf.DUMMYFUNCTION("""COMPUTED_VALUE"""),"-")</f>
        <v>-</v>
      </c>
      <c r="BC72" s="688" t="str">
        <f>IFERROR(__xludf.DUMMYFUNCTION("""COMPUTED_VALUE"""),"#VALUE!")</f>
        <v>#VALUE!</v>
      </c>
      <c r="BD72" s="688" t="str">
        <f>IFERROR(__xludf.DUMMYFUNCTION("""COMPUTED_VALUE"""),"#VALUE!")</f>
        <v>#VALUE!</v>
      </c>
      <c r="BE72" s="674">
        <f>IFERROR(__xludf.DUMMYFUNCTION("""COMPUTED_VALUE"""),1250.0)</f>
        <v>1250</v>
      </c>
      <c r="BF72" s="674">
        <f>IFERROR(__xludf.DUMMYFUNCTION("""COMPUTED_VALUE"""),960.0)</f>
        <v>960</v>
      </c>
      <c r="BG72" s="673">
        <f>IFERROR(__xludf.DUMMYFUNCTION("""COMPUTED_VALUE"""),0.0)</f>
        <v>0</v>
      </c>
      <c r="BH72" s="673">
        <f>IFERROR(__xludf.DUMMYFUNCTION("""COMPUTED_VALUE"""),0.3)</f>
        <v>0.3</v>
      </c>
      <c r="BI72" s="673">
        <f>IFERROR(__xludf.DUMMYFUNCTION("""COMPUTED_VALUE"""),0.0)</f>
        <v>0</v>
      </c>
      <c r="BJ72" s="673">
        <f>IFERROR(__xludf.DUMMYFUNCTION("""COMPUTED_VALUE"""),0.0)</f>
        <v>0</v>
      </c>
      <c r="BK72" s="673">
        <f>IFERROR(__xludf.DUMMYFUNCTION("""COMPUTED_VALUE"""),0.0)</f>
        <v>0</v>
      </c>
      <c r="BL72" s="673">
        <f>IFERROR(__xludf.DUMMYFUNCTION("""COMPUTED_VALUE"""),0.0)</f>
        <v>0</v>
      </c>
      <c r="BM72" s="674">
        <f>IFERROR(__xludf.DUMMYFUNCTION("""COMPUTED_VALUE"""),75.0)</f>
        <v>75</v>
      </c>
      <c r="BN72" s="674">
        <f>IFERROR(__xludf.DUMMYFUNCTION("""COMPUTED_VALUE"""),75.0)</f>
        <v>75</v>
      </c>
      <c r="BO72" s="675">
        <f>IFERROR(__xludf.DUMMYFUNCTION("""COMPUTED_VALUE"""),0.0)</f>
        <v>0</v>
      </c>
      <c r="BP72" s="675">
        <f>IFERROR(__xludf.DUMMYFUNCTION("""COMPUTED_VALUE"""),1.5)</f>
        <v>1.5</v>
      </c>
      <c r="BQ72" s="139" t="str">
        <f>IFERROR(__xludf.DUMMYFUNCTION("""COMPUTED_VALUE"""),"(中距離)特殊攻撃・投げ物・長物")</f>
        <v>(中距離)特殊攻撃・投げ物・長物</v>
      </c>
      <c r="BR72" s="139">
        <f>IFERROR(__xludf.DUMMYFUNCTION("""COMPUTED_VALUE"""),2.0)</f>
        <v>2</v>
      </c>
      <c r="BS72" s="139">
        <f>IFERROR(__xludf.DUMMYFUNCTION("""COMPUTED_VALUE"""),45.0)</f>
        <v>45</v>
      </c>
      <c r="BT72" s="139">
        <f>IFERROR(__xludf.DUMMYFUNCTION("""COMPUTED_VALUE"""),0.39)</f>
        <v>0.39</v>
      </c>
      <c r="BU72" s="139">
        <f>IFERROR(__xludf.DUMMYFUNCTION("""COMPUTED_VALUE"""),0.0)</f>
        <v>0</v>
      </c>
      <c r="BV72" s="139" t="str">
        <f>IFERROR(__xludf.DUMMYFUNCTION("""COMPUTED_VALUE"""),"速い")</f>
        <v>速い</v>
      </c>
      <c r="BW72" s="139" t="str">
        <f>IFERROR(__xludf.DUMMYFUNCTION("""COMPUTED_VALUE"""),"火傷ダメージ軽減")</f>
        <v>火傷ダメージ軽減</v>
      </c>
      <c r="BX72" s="139">
        <f>IFERROR(__xludf.DUMMYFUNCTION("""COMPUTED_VALUE"""),20.0)</f>
        <v>20</v>
      </c>
      <c r="BY72" s="139">
        <f>IFERROR(__xludf.DUMMYFUNCTION("""COMPUTED_VALUE"""),0.0)</f>
        <v>0</v>
      </c>
      <c r="BZ72" s="139" t="str">
        <f>IFERROR(__xludf.DUMMYFUNCTION("""COMPUTED_VALUE"""),"攻撃DOWNコマ無効化")</f>
        <v>攻撃DOWNコマ無効化</v>
      </c>
      <c r="CA72" s="139" t="str">
        <f>IFERROR(__xludf.DUMMYFUNCTION("""COMPUTED_VALUE"""),"-")</f>
        <v>-</v>
      </c>
      <c r="CB72" s="139">
        <f>IFERROR(__xludf.DUMMYFUNCTION("""COMPUTED_VALUE"""),4.0)</f>
        <v>4</v>
      </c>
      <c r="CC72" s="139" t="str">
        <f>IFERROR(__xludf.DUMMYFUNCTION("""COMPUTED_VALUE"""),"中距離")</f>
        <v>中距離</v>
      </c>
      <c r="CD72" s="139" t="str">
        <f>IFERROR(__xludf.DUMMYFUNCTION("""COMPUTED_VALUE"""),"単体")</f>
        <v>単体</v>
      </c>
      <c r="CE72" s="139">
        <f>IFERROR(__xludf.DUMMYFUNCTION("""COMPUTED_VALUE"""),1.0)</f>
        <v>1</v>
      </c>
      <c r="CF72" s="139">
        <f>IFERROR(__xludf.DUMMYFUNCTION("""COMPUTED_VALUE"""),0.4)</f>
        <v>0.4</v>
      </c>
      <c r="CG72" s="139" t="str">
        <f>IFERROR(__xludf.DUMMYFUNCTION("""COMPUTED_VALUE"""),"中距離")</f>
        <v>中距離</v>
      </c>
      <c r="CH72" s="139" t="str">
        <f>IFERROR(__xludf.DUMMYFUNCTION("""COMPUTED_VALUE"""),"単体")</f>
        <v>単体</v>
      </c>
      <c r="CI72" s="139">
        <f>IFERROR(__xludf.DUMMYFUNCTION("""COMPUTED_VALUE"""),1.0)</f>
        <v>1</v>
      </c>
      <c r="CJ72" s="139">
        <f>IFERROR(__xludf.DUMMYFUNCTION("""COMPUTED_VALUE"""),0.4)</f>
        <v>0.4</v>
      </c>
      <c r="CK72" s="139" t="str">
        <f>IFERROR(__xludf.DUMMYFUNCTION("""COMPUTED_VALUE"""),"敵")</f>
        <v>敵</v>
      </c>
      <c r="CL72" s="139" t="str">
        <f>IFERROR(__xludf.DUMMYFUNCTION("""COMPUTED_VALUE"""),"All")</f>
        <v>All</v>
      </c>
      <c r="CM72" s="139" t="str">
        <f>IFERROR(__xludf.DUMMYFUNCTION("""COMPUTED_VALUE"""),"All")</f>
        <v>All</v>
      </c>
      <c r="CN72" s="675">
        <f>IFERROR(__xludf.DUMMYFUNCTION("""COMPUTED_VALUE"""),12.614579032479313)</f>
        <v>12.61457903</v>
      </c>
      <c r="CO72" s="139" t="str">
        <f>IFERROR(__xludf.DUMMYFUNCTION("""COMPUTED_VALUE"""),"-")</f>
        <v>-</v>
      </c>
      <c r="CP72" s="139" t="str">
        <f>IFERROR(__xludf.DUMMYFUNCTION("""COMPUTED_VALUE"""),"-")</f>
        <v>-</v>
      </c>
      <c r="CQ72" s="139" t="str">
        <f>IFERROR(__xludf.DUMMYFUNCTION("""COMPUTED_VALUE"""),"-")</f>
        <v>-</v>
      </c>
      <c r="CR72" s="139" t="str">
        <f>IFERROR(__xludf.DUMMYFUNCTION("""COMPUTED_VALUE"""),"-")</f>
        <v>-</v>
      </c>
      <c r="CS72" s="673" t="str">
        <f>IFERROR(__xludf.DUMMYFUNCTION("""COMPUTED_VALUE"""),"連続攻撃")</f>
        <v>連続攻撃</v>
      </c>
      <c r="CT72" s="139" t="str">
        <f>IFERROR(__xludf.DUMMYFUNCTION("""COMPUTED_VALUE"""),"-")</f>
        <v>-</v>
      </c>
      <c r="CU72" s="139" t="str">
        <f>IFERROR(__xludf.DUMMYFUNCTION("""COMPUTED_VALUE"""),"敵")</f>
        <v>敵</v>
      </c>
      <c r="CV72" s="139" t="str">
        <f>IFERROR(__xludf.DUMMYFUNCTION("""COMPUTED_VALUE"""),"All")</f>
        <v>All</v>
      </c>
      <c r="CW72" s="139" t="str">
        <f>IFERROR(__xludf.DUMMYFUNCTION("""COMPUTED_VALUE"""),"All")</f>
        <v>All</v>
      </c>
      <c r="CX72" s="674">
        <f>IFERROR(__xludf.DUMMYFUNCTION("""COMPUTED_VALUE"""),225.0)</f>
        <v>225</v>
      </c>
      <c r="CY72" s="675" t="str">
        <f>IFERROR(__xludf.DUMMYFUNCTION("""COMPUTED_VALUE"""),"-")</f>
        <v>-</v>
      </c>
      <c r="CZ72" s="688">
        <f>IFERROR(__xludf.DUMMYFUNCTION("""COMPUTED_VALUE"""),34570.0)</f>
        <v>34570</v>
      </c>
      <c r="DA72" s="688">
        <f>IFERROR(__xludf.DUMMYFUNCTION("""COMPUTED_VALUE"""),2944.5615474672136)</f>
        <v>2944.561547</v>
      </c>
      <c r="DB72" s="688">
        <f>IFERROR(__xludf.DUMMYFUNCTION("""COMPUTED_VALUE"""),0.0)</f>
        <v>0</v>
      </c>
      <c r="DC72" s="673" t="str">
        <f>IFERROR(__xludf.DUMMYFUNCTION("""COMPUTED_VALUE"""),"-")</f>
        <v>-</v>
      </c>
      <c r="DD72" s="673" t="str">
        <f>IFERROR(__xludf.DUMMYFUNCTION("""COMPUTED_VALUE"""),"-")</f>
        <v>-</v>
      </c>
      <c r="DE72" s="139" t="str">
        <f>IFERROR(__xludf.DUMMYFUNCTION("""COMPUTED_VALUE"""),"-")</f>
        <v>-</v>
      </c>
      <c r="DF72" s="139" t="str">
        <f>IFERROR(__xludf.DUMMYFUNCTION("""COMPUTED_VALUE"""),"-")</f>
        <v>-</v>
      </c>
      <c r="DG72" s="139" t="str">
        <f>IFERROR(__xludf.DUMMYFUNCTION("""COMPUTED_VALUE"""),"-")</f>
        <v>-</v>
      </c>
      <c r="DH72" s="139" t="str">
        <f>IFERROR(__xludf.DUMMYFUNCTION("""COMPUTED_VALUE"""),"-")</f>
        <v>-</v>
      </c>
      <c r="DI72" s="139" t="str">
        <f>IFERROR(__xludf.DUMMYFUNCTION("""COMPUTED_VALUE"""),"-")</f>
        <v>-</v>
      </c>
      <c r="DJ72" s="139" t="str">
        <f>IFERROR(__xludf.DUMMYFUNCTION("""COMPUTED_VALUE"""),"-")</f>
        <v>-</v>
      </c>
    </row>
    <row r="73">
      <c r="A73" s="139" t="str">
        <f>IFERROR(__xludf.DUMMYFUNCTION("""COMPUTED_VALUE"""),"ダンダダン")</f>
        <v>ダンダダン</v>
      </c>
      <c r="B73" s="139" t="str">
        <f>IFERROR(__xludf.DUMMYFUNCTION("""COMPUTED_VALUE"""),"アイラ")</f>
        <v>アイラ</v>
      </c>
      <c r="C73" s="139" t="str">
        <f>IFERROR(__xludf.DUMMYFUNCTION("""COMPUTED_VALUE"""),"chara_dan_00201")</f>
        <v>chara_dan_00201</v>
      </c>
      <c r="D73" s="139" t="str">
        <f>IFERROR(__xludf.DUMMYFUNCTION("""COMPUTED_VALUE"""),"DropSR")</f>
        <v>DropSR</v>
      </c>
      <c r="E73" s="139" t="str">
        <f>IFERROR(__xludf.DUMMYFUNCTION("""COMPUTED_VALUE"""),"青")</f>
        <v>青</v>
      </c>
      <c r="F73" s="139" t="str">
        <f>IFERROR(__xludf.DUMMYFUNCTION("""COMPUTED_VALUE"""),"サポート")</f>
        <v>サポート</v>
      </c>
      <c r="G73" s="139" t="str">
        <f>IFERROR(__xludf.DUMMYFUNCTION("""COMPUTED_VALUE"""),"近距離")</f>
        <v>近距離</v>
      </c>
      <c r="H73" s="139" t="str">
        <f>IFERROR(__xludf.DUMMYFUNCTION("""COMPUTED_VALUE"""),"dageki_2")</f>
        <v>dageki_2</v>
      </c>
      <c r="I73" s="139" t="str">
        <f>IFERROR(__xludf.DUMMYFUNCTION("""COMPUTED_VALUE"""),"-")</f>
        <v>-</v>
      </c>
      <c r="J73" s="139" t="str">
        <f>IFERROR(__xludf.DUMMYFUNCTION("""COMPUTED_VALUE"""),"202510020_ダンダダン")</f>
        <v>202510020_ダンダダン</v>
      </c>
      <c r="K73" s="139" t="str">
        <f>IFERROR(__xludf.DUMMYFUNCTION("""COMPUTED_VALUE"""),"ダンダダンいいジャン祭")</f>
        <v>ダンダダンいいジャン祭</v>
      </c>
      <c r="L73" s="687" t="str">
        <f>IFERROR(__xludf.DUMMYFUNCTION("""COMPUTED_VALUE"""),"※")</f>
        <v>※</v>
      </c>
      <c r="M73" s="674">
        <f>IFERROR(__xludf.DUMMYFUNCTION("""COMPUTED_VALUE"""),420.0)</f>
        <v>420</v>
      </c>
      <c r="N73" s="139">
        <f>IFERROR(__xludf.DUMMYFUNCTION("""COMPUTED_VALUE"""),600.0)</f>
        <v>600</v>
      </c>
      <c r="O73" s="139" t="str">
        <f>IFERROR(__xludf.DUMMYFUNCTION("""COMPUTED_VALUE"""),"中コスト")</f>
        <v>中コスト</v>
      </c>
      <c r="P73" s="139">
        <f>IFERROR(__xludf.DUMMYFUNCTION("""COMPUTED_VALUE"""),-200.0)</f>
        <v>-200</v>
      </c>
      <c r="Q73" s="675">
        <f>IFERROR(__xludf.DUMMYFUNCTION("""COMPUTED_VALUE"""),10.0)</f>
        <v>10</v>
      </c>
      <c r="R73" s="675">
        <f>IFERROR(__xludf.DUMMYFUNCTION("""COMPUTED_VALUE"""),10.0)</f>
        <v>10</v>
      </c>
      <c r="S73" s="675">
        <f>IFERROR(__xludf.DUMMYFUNCTION("""COMPUTED_VALUE"""),8.0)</f>
        <v>8</v>
      </c>
      <c r="T73" s="674">
        <f>IFERROR(__xludf.DUMMYFUNCTION("""COMPUTED_VALUE"""),255.0)</f>
        <v>255</v>
      </c>
      <c r="U73" s="675">
        <f>IFERROR(__xludf.DUMMYFUNCTION("""COMPUTED_VALUE"""),5.066666666666666)</f>
        <v>5.066666667</v>
      </c>
      <c r="V73" s="675">
        <f>IFERROR(__xludf.DUMMYFUNCTION("""COMPUTED_VALUE"""),0.0)</f>
        <v>0</v>
      </c>
      <c r="W73" s="675">
        <f>IFERROR(__xludf.DUMMYFUNCTION("""COMPUTED_VALUE"""),-0.5066666666666667)</f>
        <v>-0.5066666667</v>
      </c>
      <c r="X73" s="675">
        <f>IFERROR(__xludf.DUMMYFUNCTION("""COMPUTED_VALUE"""),0.0)</f>
        <v>0</v>
      </c>
      <c r="Y73" s="674">
        <f>IFERROR(__xludf.DUMMYFUNCTION("""COMPUTED_VALUE"""),135.0)</f>
        <v>135</v>
      </c>
      <c r="Z73" s="675">
        <f>IFERROR(__xludf.DUMMYFUNCTION("""COMPUTED_VALUE"""),2.6599999999999997)</f>
        <v>2.66</v>
      </c>
      <c r="AA73" s="675">
        <f>IFERROR(__xludf.DUMMYFUNCTION("""COMPUTED_VALUE"""),0.0)</f>
        <v>0</v>
      </c>
      <c r="AB73" s="673">
        <f>IFERROR(__xludf.DUMMYFUNCTION("""COMPUTED_VALUE"""),-0.25333333333333335)</f>
        <v>-0.2533333333</v>
      </c>
      <c r="AC73" s="675">
        <f>IFERROR(__xludf.DUMMYFUNCTION("""COMPUTED_VALUE"""),0.0)</f>
        <v>0</v>
      </c>
      <c r="AD73" s="674">
        <f>IFERROR(__xludf.DUMMYFUNCTION("""COMPUTED_VALUE"""),940.0)</f>
        <v>940</v>
      </c>
      <c r="AE73" s="675">
        <f>IFERROR(__xludf.DUMMYFUNCTION("""COMPUTED_VALUE"""),18.804046683296438)</f>
        <v>18.80404668</v>
      </c>
      <c r="AF73" s="675">
        <f>IFERROR(__xludf.DUMMYFUNCTION("""COMPUTED_VALUE"""),0.0)</f>
        <v>0</v>
      </c>
      <c r="AG73" s="675">
        <f>IFERROR(__xludf.DUMMYFUNCTION("""COMPUTED_VALUE"""),10.05)</f>
        <v>10.05</v>
      </c>
      <c r="AH73" s="675">
        <f>IFERROR(__xludf.DUMMYFUNCTION("""COMPUTED_VALUE"""),0.0)</f>
        <v>0</v>
      </c>
      <c r="AI73" s="675">
        <f>IFERROR(__xludf.DUMMYFUNCTION("""COMPUTED_VALUE"""),6.699999999999999)</f>
        <v>6.7</v>
      </c>
      <c r="AJ73" s="675">
        <f>IFERROR(__xludf.DUMMYFUNCTION("""COMPUTED_VALUE"""),12.104046683296438)</f>
        <v>12.10404668</v>
      </c>
      <c r="AK73" s="139">
        <f>IFERROR(__xludf.DUMMYFUNCTION("""COMPUTED_VALUE"""),1.0)</f>
        <v>1</v>
      </c>
      <c r="AL73" s="674">
        <f>IFERROR(__xludf.DUMMYFUNCTION("""COMPUTED_VALUE"""),760.0)</f>
        <v>760</v>
      </c>
      <c r="AM73" s="688">
        <f>IFERROR(__xludf.DUMMYFUNCTION("""COMPUTED_VALUE"""),5252.901370654059)</f>
        <v>5252.901371</v>
      </c>
      <c r="AN73" s="675">
        <f>IFERROR(__xludf.DUMMYFUNCTION("""COMPUTED_VALUE"""),5.066666666666666)</f>
        <v>5.066666667</v>
      </c>
      <c r="AO73" s="675">
        <f>IFERROR(__xludf.DUMMYFUNCTION("""COMPUTED_VALUE"""),2.533333333333333)</f>
        <v>2.533333333</v>
      </c>
      <c r="AP73" s="674">
        <f>IFERROR(__xludf.DUMMYFUNCTION("""COMPUTED_VALUE"""),1260.0)</f>
        <v>1260</v>
      </c>
      <c r="AQ73" s="673">
        <f>IFERROR(__xludf.DUMMYFUNCTION("""COMPUTED_VALUE"""),-0.4)</f>
        <v>-0.4</v>
      </c>
      <c r="AR73" s="673">
        <f>IFERROR(__xludf.DUMMYFUNCTION("""COMPUTED_VALUE"""),0.0)</f>
        <v>0</v>
      </c>
      <c r="AS73" s="673">
        <f>IFERROR(__xludf.DUMMYFUNCTION("""COMPUTED_VALUE"""),0.0)</f>
        <v>0</v>
      </c>
      <c r="AT73" s="673">
        <f>IFERROR(__xludf.DUMMYFUNCTION("""COMPUTED_VALUE"""),0.0)</f>
        <v>0</v>
      </c>
      <c r="AU73" s="673">
        <f>IFERROR(__xludf.DUMMYFUNCTION("""COMPUTED_VALUE"""),0.0)</f>
        <v>0</v>
      </c>
      <c r="AV73" s="673">
        <f>IFERROR(__xludf.DUMMYFUNCTION("""COMPUTED_VALUE"""),0.0)</f>
        <v>0</v>
      </c>
      <c r="AW73" s="139"/>
      <c r="AX73" s="674">
        <f>IFERROR(__xludf.DUMMYFUNCTION("""COMPUTED_VALUE"""),890.0)</f>
        <v>890</v>
      </c>
      <c r="AY73" s="688">
        <f>IFERROR(__xludf.DUMMYFUNCTION("""COMPUTED_VALUE"""),6151.355026160675)</f>
        <v>6151.355026</v>
      </c>
      <c r="AZ73" s="674">
        <f>IFERROR(__xludf.DUMMYFUNCTION("""COMPUTED_VALUE"""),590.0)</f>
        <v>590</v>
      </c>
      <c r="BA73" s="688">
        <f>IFERROR(__xludf.DUMMYFUNCTION("""COMPUTED_VALUE"""),4100.903350773783)</f>
        <v>4100.903351</v>
      </c>
      <c r="BB73" s="688" t="str">
        <f>IFERROR(__xludf.DUMMYFUNCTION("""COMPUTED_VALUE"""),"-")</f>
        <v>-</v>
      </c>
      <c r="BC73" s="688" t="str">
        <f>IFERROR(__xludf.DUMMYFUNCTION("""COMPUTED_VALUE"""),"#VALUE!")</f>
        <v>#VALUE!</v>
      </c>
      <c r="BD73" s="688" t="str">
        <f>IFERROR(__xludf.DUMMYFUNCTION("""COMPUTED_VALUE"""),"#VALUE!")</f>
        <v>#VALUE!</v>
      </c>
      <c r="BE73" s="674">
        <f>IFERROR(__xludf.DUMMYFUNCTION("""COMPUTED_VALUE"""),590.0)</f>
        <v>590</v>
      </c>
      <c r="BF73" s="674">
        <f>IFERROR(__xludf.DUMMYFUNCTION("""COMPUTED_VALUE"""),840.0)</f>
        <v>840</v>
      </c>
      <c r="BG73" s="673">
        <f>IFERROR(__xludf.DUMMYFUNCTION("""COMPUTED_VALUE"""),0.0)</f>
        <v>0</v>
      </c>
      <c r="BH73" s="673">
        <f>IFERROR(__xludf.DUMMYFUNCTION("""COMPUTED_VALUE"""),-0.3)</f>
        <v>-0.3</v>
      </c>
      <c r="BI73" s="673">
        <f>IFERROR(__xludf.DUMMYFUNCTION("""COMPUTED_VALUE"""),0.0)</f>
        <v>0</v>
      </c>
      <c r="BJ73" s="673">
        <f>IFERROR(__xludf.DUMMYFUNCTION("""COMPUTED_VALUE"""),0.0)</f>
        <v>0</v>
      </c>
      <c r="BK73" s="673">
        <f>IFERROR(__xludf.DUMMYFUNCTION("""COMPUTED_VALUE"""),0.0)</f>
        <v>0</v>
      </c>
      <c r="BL73" s="673">
        <f>IFERROR(__xludf.DUMMYFUNCTION("""COMPUTED_VALUE"""),0.0)</f>
        <v>0</v>
      </c>
      <c r="BM73" s="674">
        <f>IFERROR(__xludf.DUMMYFUNCTION("""COMPUTED_VALUE"""),75.0)</f>
        <v>75</v>
      </c>
      <c r="BN73" s="674">
        <f>IFERROR(__xludf.DUMMYFUNCTION("""COMPUTED_VALUE"""),75.0)</f>
        <v>75</v>
      </c>
      <c r="BO73" s="675">
        <f>IFERROR(__xludf.DUMMYFUNCTION("""COMPUTED_VALUE"""),0.0)</f>
        <v>0</v>
      </c>
      <c r="BP73" s="675">
        <f>IFERROR(__xludf.DUMMYFUNCTION("""COMPUTED_VALUE"""),1.5)</f>
        <v>1.5</v>
      </c>
      <c r="BQ73" s="139" t="str">
        <f>IFERROR(__xludf.DUMMYFUNCTION("""COMPUTED_VALUE"""),"(近距離)素手")</f>
        <v>(近距離)素手</v>
      </c>
      <c r="BR73" s="139">
        <f>IFERROR(__xludf.DUMMYFUNCTION("""COMPUTED_VALUE"""),2.0)</f>
        <v>2</v>
      </c>
      <c r="BS73" s="139">
        <f>IFERROR(__xludf.DUMMYFUNCTION("""COMPUTED_VALUE"""),35.0)</f>
        <v>35</v>
      </c>
      <c r="BT73" s="139">
        <f>IFERROR(__xludf.DUMMYFUNCTION("""COMPUTED_VALUE"""),0.27)</f>
        <v>0.27</v>
      </c>
      <c r="BU73" s="139">
        <f>IFERROR(__xludf.DUMMYFUNCTION("""COMPUTED_VALUE"""),0.0)</f>
        <v>0</v>
      </c>
      <c r="BV73" s="139" t="str">
        <f>IFERROR(__xludf.DUMMYFUNCTION("""COMPUTED_VALUE"""),"普通")</f>
        <v>普通</v>
      </c>
      <c r="BW73" s="139" t="str">
        <f>IFERROR(__xludf.DUMMYFUNCTION("""COMPUTED_VALUE"""),"突風コマ無効化")</f>
        <v>突風コマ無効化</v>
      </c>
      <c r="BX73" s="139" t="str">
        <f>IFERROR(__xludf.DUMMYFUNCTION("""COMPUTED_VALUE"""),"-")</f>
        <v>-</v>
      </c>
      <c r="BY73" s="139">
        <f>IFERROR(__xludf.DUMMYFUNCTION("""COMPUTED_VALUE"""),2.0)</f>
        <v>2</v>
      </c>
      <c r="BZ73" s="139" t="str">
        <f>IFERROR(__xludf.DUMMYFUNCTION("""COMPUTED_VALUE"""),"-")</f>
        <v>-</v>
      </c>
      <c r="CA73" s="139" t="str">
        <f>IFERROR(__xludf.DUMMYFUNCTION("""COMPUTED_VALUE"""),"-")</f>
        <v>-</v>
      </c>
      <c r="CB73" s="139" t="str">
        <f>IFERROR(__xludf.DUMMYFUNCTION("""COMPUTED_VALUE"""),"-")</f>
        <v>-</v>
      </c>
      <c r="CC73" s="139" t="str">
        <f>IFERROR(__xludf.DUMMYFUNCTION("""COMPUTED_VALUE"""),"近距離")</f>
        <v>近距離</v>
      </c>
      <c r="CD73" s="139" t="str">
        <f>IFERROR(__xludf.DUMMYFUNCTION("""COMPUTED_VALUE"""),"単体")</f>
        <v>単体</v>
      </c>
      <c r="CE73" s="139">
        <f>IFERROR(__xludf.DUMMYFUNCTION("""COMPUTED_VALUE"""),1.0)</f>
        <v>1</v>
      </c>
      <c r="CF73" s="139">
        <f>IFERROR(__xludf.DUMMYFUNCTION("""COMPUTED_VALUE"""),0.28)</f>
        <v>0.28</v>
      </c>
      <c r="CG73" s="139" t="str">
        <f>IFERROR(__xludf.DUMMYFUNCTION("""COMPUTED_VALUE"""),"自身と同じコマにいる味方")</f>
        <v>自身と同じコマにいる味方</v>
      </c>
      <c r="CH73" s="139" t="str">
        <f>IFERROR(__xludf.DUMMYFUNCTION("""COMPUTED_VALUE"""),"範囲(コマ)0")</f>
        <v>範囲(コマ)0</v>
      </c>
      <c r="CI73" s="139" t="str">
        <f>IFERROR(__xludf.DUMMYFUNCTION("""COMPUTED_VALUE"""),"-")</f>
        <v>-</v>
      </c>
      <c r="CJ73" s="139" t="str">
        <f>IFERROR(__xludf.DUMMYFUNCTION("""COMPUTED_VALUE"""),"(コマ)0")</f>
        <v>(コマ)0</v>
      </c>
      <c r="CK73" s="139" t="str">
        <f>IFERROR(__xludf.DUMMYFUNCTION("""COMPUTED_VALUE"""),"味方")</f>
        <v>味方</v>
      </c>
      <c r="CL73" s="139" t="str">
        <f>IFERROR(__xludf.DUMMYFUNCTION("""COMPUTED_VALUE"""),"青")</f>
        <v>青</v>
      </c>
      <c r="CM73" s="139" t="str">
        <f>IFERROR(__xludf.DUMMYFUNCTION("""COMPUTED_VALUE"""),"All")</f>
        <v>All</v>
      </c>
      <c r="CN73" s="675">
        <f>IFERROR(__xludf.DUMMYFUNCTION("""COMPUTED_VALUE"""),18.804046683296438)</f>
        <v>18.80404668</v>
      </c>
      <c r="CO73" s="139" t="str">
        <f>IFERROR(__xludf.DUMMYFUNCTION("""COMPUTED_VALUE"""),"-")</f>
        <v>-</v>
      </c>
      <c r="CP73" s="139" t="str">
        <f>IFERROR(__xludf.DUMMYFUNCTION("""COMPUTED_VALUE"""),"-")</f>
        <v>-</v>
      </c>
      <c r="CQ73" s="139" t="str">
        <f>IFERROR(__xludf.DUMMYFUNCTION("""COMPUTED_VALUE"""),"-")</f>
        <v>-</v>
      </c>
      <c r="CR73" s="139" t="str">
        <f>IFERROR(__xludf.DUMMYFUNCTION("""COMPUTED_VALUE"""),"安定型")</f>
        <v>安定型</v>
      </c>
      <c r="CS73" s="673" t="str">
        <f>IFERROR(__xludf.DUMMYFUNCTION("""COMPUTED_VALUE"""),"ダメージカット(青)")</f>
        <v>ダメージカット(青)</v>
      </c>
      <c r="CT73" s="139" t="str">
        <f>IFERROR(__xludf.DUMMYFUNCTION("""COMPUTED_VALUE"""),"安定型")</f>
        <v>安定型</v>
      </c>
      <c r="CU73" s="139" t="str">
        <f>IFERROR(__xludf.DUMMYFUNCTION("""COMPUTED_VALUE"""),"味方")</f>
        <v>味方</v>
      </c>
      <c r="CV73" s="139" t="str">
        <f>IFERROR(__xludf.DUMMYFUNCTION("""COMPUTED_VALUE"""),"青")</f>
        <v>青</v>
      </c>
      <c r="CW73" s="139" t="str">
        <f>IFERROR(__xludf.DUMMYFUNCTION("""COMPUTED_VALUE"""),"All")</f>
        <v>All</v>
      </c>
      <c r="CX73" s="674">
        <f>IFERROR(__xludf.DUMMYFUNCTION("""COMPUTED_VALUE"""),13.0)</f>
        <v>13</v>
      </c>
      <c r="CY73" s="675">
        <f>IFERROR(__xludf.DUMMYFUNCTION("""COMPUTED_VALUE"""),6.7)</f>
        <v>6.7</v>
      </c>
      <c r="CZ73" s="688" t="str">
        <f>IFERROR(__xludf.DUMMYFUNCTION("""COMPUTED_VALUE"""),"-")</f>
        <v>-</v>
      </c>
      <c r="DA73" s="688">
        <f>IFERROR(__xludf.DUMMYFUNCTION("""COMPUTED_VALUE"""),0.0)</f>
        <v>0</v>
      </c>
      <c r="DB73" s="688">
        <f>IFERROR(__xludf.DUMMYFUNCTION("""COMPUTED_VALUE"""),0.0)</f>
        <v>0</v>
      </c>
      <c r="DC73" s="673" t="str">
        <f>IFERROR(__xludf.DUMMYFUNCTION("""COMPUTED_VALUE"""),"-")</f>
        <v>-</v>
      </c>
      <c r="DD73" s="673" t="str">
        <f>IFERROR(__xludf.DUMMYFUNCTION("""COMPUTED_VALUE"""),"-")</f>
        <v>-</v>
      </c>
      <c r="DE73" s="139" t="str">
        <f>IFERROR(__xludf.DUMMYFUNCTION("""COMPUTED_VALUE"""),"-")</f>
        <v>-</v>
      </c>
      <c r="DF73" s="139" t="str">
        <f>IFERROR(__xludf.DUMMYFUNCTION("""COMPUTED_VALUE"""),"-")</f>
        <v>-</v>
      </c>
      <c r="DG73" s="139" t="str">
        <f>IFERROR(__xludf.DUMMYFUNCTION("""COMPUTED_VALUE"""),"-")</f>
        <v>-</v>
      </c>
      <c r="DH73" s="139" t="str">
        <f>IFERROR(__xludf.DUMMYFUNCTION("""COMPUTED_VALUE"""),"-")</f>
        <v>-</v>
      </c>
      <c r="DI73" s="139" t="str">
        <f>IFERROR(__xludf.DUMMYFUNCTION("""COMPUTED_VALUE"""),"-")</f>
        <v>-</v>
      </c>
      <c r="DJ73" s="139" t="str">
        <f>IFERROR(__xludf.DUMMYFUNCTION("""COMPUTED_VALUE"""),"-")</f>
        <v>-</v>
      </c>
    </row>
    <row r="74">
      <c r="A74" s="139" t="str">
        <f>IFERROR(__xludf.DUMMYFUNCTION("""COMPUTED_VALUE"""),"ダンダダン")</f>
        <v>ダンダダン</v>
      </c>
      <c r="B74" s="139" t="str">
        <f>IFERROR(__xludf.DUMMYFUNCTION("""COMPUTED_VALUE"""),"招き猫 ターボババア")</f>
        <v>招き猫 ターボババア</v>
      </c>
      <c r="C74" s="139" t="str">
        <f>IFERROR(__xludf.DUMMYFUNCTION("""COMPUTED_VALUE"""),"chara_dan_00301")</f>
        <v>chara_dan_00301</v>
      </c>
      <c r="D74" s="139" t="str">
        <f>IFERROR(__xludf.DUMMYFUNCTION("""COMPUTED_VALUE"""),"DropSR")</f>
        <v>DropSR</v>
      </c>
      <c r="E74" s="139" t="str">
        <f>IFERROR(__xludf.DUMMYFUNCTION("""COMPUTED_VALUE"""),"黄")</f>
        <v>黄</v>
      </c>
      <c r="F74" s="139" t="str">
        <f>IFERROR(__xludf.DUMMYFUNCTION("""COMPUTED_VALUE"""),"ディフェンス")</f>
        <v>ディフェンス</v>
      </c>
      <c r="G74" s="139" t="str">
        <f>IFERROR(__xludf.DUMMYFUNCTION("""COMPUTED_VALUE"""),"近距離")</f>
        <v>近距離</v>
      </c>
      <c r="H74" s="139" t="str">
        <f>IFERROR(__xludf.DUMMYFUNCTION("""COMPUTED_VALUE"""),"dageki_1")</f>
        <v>dageki_1</v>
      </c>
      <c r="I74" s="139" t="str">
        <f>IFERROR(__xludf.DUMMYFUNCTION("""COMPUTED_VALUE"""),"-")</f>
        <v>-</v>
      </c>
      <c r="J74" s="139" t="str">
        <f>IFERROR(__xludf.DUMMYFUNCTION("""COMPUTED_VALUE"""),"202510020_ダンダダン")</f>
        <v>202510020_ダンダダン</v>
      </c>
      <c r="K74" s="139" t="str">
        <f>IFERROR(__xludf.DUMMYFUNCTION("""COMPUTED_VALUE"""),"ダンダダンいいジャン祭")</f>
        <v>ダンダダンいいジャン祭</v>
      </c>
      <c r="L74" s="687" t="str">
        <f>IFERROR(__xludf.DUMMYFUNCTION("""COMPUTED_VALUE"""),"※")</f>
        <v>※</v>
      </c>
      <c r="M74" s="674">
        <f>IFERROR(__xludf.DUMMYFUNCTION("""COMPUTED_VALUE"""),350.0)</f>
        <v>350</v>
      </c>
      <c r="N74" s="139">
        <f>IFERROR(__xludf.DUMMYFUNCTION("""COMPUTED_VALUE"""),200.0)</f>
        <v>200</v>
      </c>
      <c r="O74" s="139" t="str">
        <f>IFERROR(__xludf.DUMMYFUNCTION("""COMPUTED_VALUE"""),"低コスト")</f>
        <v>低コスト</v>
      </c>
      <c r="P74" s="139">
        <f>IFERROR(__xludf.DUMMYFUNCTION("""COMPUTED_VALUE"""),120.0)</f>
        <v>120</v>
      </c>
      <c r="Q74" s="675">
        <f>IFERROR(__xludf.DUMMYFUNCTION("""COMPUTED_VALUE"""),10.0)</f>
        <v>10</v>
      </c>
      <c r="R74" s="675">
        <f>IFERROR(__xludf.DUMMYFUNCTION("""COMPUTED_VALUE"""),20.0)</f>
        <v>20</v>
      </c>
      <c r="S74" s="675">
        <f>IFERROR(__xludf.DUMMYFUNCTION("""COMPUTED_VALUE"""),6.25)</f>
        <v>6.25</v>
      </c>
      <c r="T74" s="674">
        <f>IFERROR(__xludf.DUMMYFUNCTION("""COMPUTED_VALUE"""),735.0)</f>
        <v>735</v>
      </c>
      <c r="U74" s="675">
        <f>IFERROR(__xludf.DUMMYFUNCTION("""COMPUTED_VALUE"""),14.666666666666668)</f>
        <v>14.66666667</v>
      </c>
      <c r="V74" s="675">
        <f>IFERROR(__xludf.DUMMYFUNCTION("""COMPUTED_VALUE"""),0.0)</f>
        <v>0</v>
      </c>
      <c r="W74" s="675">
        <f>IFERROR(__xludf.DUMMYFUNCTION("""COMPUTED_VALUE"""),0.0)</f>
        <v>0</v>
      </c>
      <c r="X74" s="675">
        <f>IFERROR(__xludf.DUMMYFUNCTION("""COMPUTED_VALUE"""),0.0)</f>
        <v>0</v>
      </c>
      <c r="Y74" s="674">
        <f>IFERROR(__xludf.DUMMYFUNCTION("""COMPUTED_VALUE"""),385.0)</f>
        <v>385</v>
      </c>
      <c r="Z74" s="675">
        <f>IFERROR(__xludf.DUMMYFUNCTION("""COMPUTED_VALUE"""),7.666666666666666)</f>
        <v>7.666666667</v>
      </c>
      <c r="AA74" s="675">
        <f>IFERROR(__xludf.DUMMYFUNCTION("""COMPUTED_VALUE"""),0.0)</f>
        <v>0</v>
      </c>
      <c r="AB74" s="673">
        <f>IFERROR(__xludf.DUMMYFUNCTION("""COMPUTED_VALUE"""),0.0)</f>
        <v>0</v>
      </c>
      <c r="AC74" s="675">
        <f>IFERROR(__xludf.DUMMYFUNCTION("""COMPUTED_VALUE"""),0.0)</f>
        <v>0</v>
      </c>
      <c r="AD74" s="674">
        <f>IFERROR(__xludf.DUMMYFUNCTION("""COMPUTED_VALUE"""),1440.0)</f>
        <v>1440</v>
      </c>
      <c r="AE74" s="675">
        <f>IFERROR(__xludf.DUMMYFUNCTION("""COMPUTED_VALUE"""),28.75093893609386)</f>
        <v>28.75093894</v>
      </c>
      <c r="AF74" s="675">
        <f>IFERROR(__xludf.DUMMYFUNCTION("""COMPUTED_VALUE"""),0.0)</f>
        <v>0</v>
      </c>
      <c r="AG74" s="675">
        <f>IFERROR(__xludf.DUMMYFUNCTION("""COMPUTED_VALUE"""),14.549999999999999)</f>
        <v>14.55</v>
      </c>
      <c r="AH74" s="675">
        <f>IFERROR(__xludf.DUMMYFUNCTION("""COMPUTED_VALUE"""),0.0)</f>
        <v>0</v>
      </c>
      <c r="AI74" s="675">
        <f>IFERROR(__xludf.DUMMYFUNCTION("""COMPUTED_VALUE"""),9.7)</f>
        <v>9.7</v>
      </c>
      <c r="AJ74" s="675">
        <f>IFERROR(__xludf.DUMMYFUNCTION("""COMPUTED_VALUE"""),19.05093893609386)</f>
        <v>19.05093894</v>
      </c>
      <c r="AK74" s="139">
        <f>IFERROR(__xludf.DUMMYFUNCTION("""COMPUTED_VALUE"""),1.0)</f>
        <v>1</v>
      </c>
      <c r="AL74" s="674">
        <f>IFERROR(__xludf.DUMMYFUNCTION("""COMPUTED_VALUE"""),2000.0)</f>
        <v>2000</v>
      </c>
      <c r="AM74" s="688">
        <f>IFERROR(__xludf.DUMMYFUNCTION("""COMPUTED_VALUE"""),13824.776238563316)</f>
        <v>13824.77624</v>
      </c>
      <c r="AN74" s="675">
        <f>IFERROR(__xludf.DUMMYFUNCTION("""COMPUTED_VALUE"""),13.333333333333334)</f>
        <v>13.33333333</v>
      </c>
      <c r="AO74" s="675">
        <f>IFERROR(__xludf.DUMMYFUNCTION("""COMPUTED_VALUE"""),6.666666666666667)</f>
        <v>6.666666667</v>
      </c>
      <c r="AP74" s="674">
        <f>IFERROR(__xludf.DUMMYFUNCTION("""COMPUTED_VALUE"""),1050.0)</f>
        <v>1050</v>
      </c>
      <c r="AQ74" s="673">
        <f>IFERROR(__xludf.DUMMYFUNCTION("""COMPUTED_VALUE"""),0.9)</f>
        <v>0.9</v>
      </c>
      <c r="AR74" s="673">
        <f>IFERROR(__xludf.DUMMYFUNCTION("""COMPUTED_VALUE"""),0.0)</f>
        <v>0</v>
      </c>
      <c r="AS74" s="673">
        <f>IFERROR(__xludf.DUMMYFUNCTION("""COMPUTED_VALUE"""),0.0)</f>
        <v>0</v>
      </c>
      <c r="AT74" s="673">
        <f>IFERROR(__xludf.DUMMYFUNCTION("""COMPUTED_VALUE"""),0.0)</f>
        <v>0</v>
      </c>
      <c r="AU74" s="673">
        <f>IFERROR(__xludf.DUMMYFUNCTION("""COMPUTED_VALUE"""),0.0)</f>
        <v>0</v>
      </c>
      <c r="AV74" s="673">
        <f>IFERROR(__xludf.DUMMYFUNCTION("""COMPUTED_VALUE"""),0.0)</f>
        <v>0</v>
      </c>
      <c r="AW74" s="139"/>
      <c r="AX74" s="674">
        <f>IFERROR(__xludf.DUMMYFUNCTION("""COMPUTED_VALUE"""),700.0)</f>
        <v>700</v>
      </c>
      <c r="AY74" s="688">
        <f>IFERROR(__xludf.DUMMYFUNCTION("""COMPUTED_VALUE"""),4838.879683497161)</f>
        <v>4838.879683</v>
      </c>
      <c r="AZ74" s="674">
        <f>IFERROR(__xludf.DUMMYFUNCTION("""COMPUTED_VALUE"""),350.0)</f>
        <v>350</v>
      </c>
      <c r="BA74" s="688">
        <f>IFERROR(__xludf.DUMMYFUNCTION("""COMPUTED_VALUE"""),2419.4398417485804)</f>
        <v>2419.439842</v>
      </c>
      <c r="BB74" s="688" t="str">
        <f>IFERROR(__xludf.DUMMYFUNCTION("""COMPUTED_VALUE"""),"-")</f>
        <v>-</v>
      </c>
      <c r="BC74" s="688" t="str">
        <f>IFERROR(__xludf.DUMMYFUNCTION("""COMPUTED_VALUE"""),"#VALUE!")</f>
        <v>#VALUE!</v>
      </c>
      <c r="BD74" s="688" t="str">
        <f>IFERROR(__xludf.DUMMYFUNCTION("""COMPUTED_VALUE"""),"#VALUE!")</f>
        <v>#VALUE!</v>
      </c>
      <c r="BE74" s="674">
        <f>IFERROR(__xludf.DUMMYFUNCTION("""COMPUTED_VALUE"""),350.0)</f>
        <v>350</v>
      </c>
      <c r="BF74" s="674">
        <f>IFERROR(__xludf.DUMMYFUNCTION("""COMPUTED_VALUE"""),700.0)</f>
        <v>700</v>
      </c>
      <c r="BG74" s="673">
        <f>IFERROR(__xludf.DUMMYFUNCTION("""COMPUTED_VALUE"""),0.0)</f>
        <v>0</v>
      </c>
      <c r="BH74" s="673">
        <f>IFERROR(__xludf.DUMMYFUNCTION("""COMPUTED_VALUE"""),-0.5)</f>
        <v>-0.5</v>
      </c>
      <c r="BI74" s="673">
        <f>IFERROR(__xludf.DUMMYFUNCTION("""COMPUTED_VALUE"""),0.0)</f>
        <v>0</v>
      </c>
      <c r="BJ74" s="673">
        <f>IFERROR(__xludf.DUMMYFUNCTION("""COMPUTED_VALUE"""),0.0)</f>
        <v>0</v>
      </c>
      <c r="BK74" s="673">
        <f>IFERROR(__xludf.DUMMYFUNCTION("""COMPUTED_VALUE"""),0.0)</f>
        <v>0</v>
      </c>
      <c r="BL74" s="673">
        <f>IFERROR(__xludf.DUMMYFUNCTION("""COMPUTED_VALUE"""),0.0)</f>
        <v>0</v>
      </c>
      <c r="BM74" s="674">
        <f>IFERROR(__xludf.DUMMYFUNCTION("""COMPUTED_VALUE"""),100.0)</f>
        <v>100</v>
      </c>
      <c r="BN74" s="674">
        <f>IFERROR(__xludf.DUMMYFUNCTION("""COMPUTED_VALUE"""),100.0)</f>
        <v>100</v>
      </c>
      <c r="BO74" s="675">
        <f>IFERROR(__xludf.DUMMYFUNCTION("""COMPUTED_VALUE"""),0.0)</f>
        <v>0</v>
      </c>
      <c r="BP74" s="675">
        <f>IFERROR(__xludf.DUMMYFUNCTION("""COMPUTED_VALUE"""),2.0)</f>
        <v>2</v>
      </c>
      <c r="BQ74" s="139" t="str">
        <f>IFERROR(__xludf.DUMMYFUNCTION("""COMPUTED_VALUE"""),"(近距離)素手")</f>
        <v>(近距離)素手</v>
      </c>
      <c r="BR74" s="139">
        <f>IFERROR(__xludf.DUMMYFUNCTION("""COMPUTED_VALUE"""),1.0)</f>
        <v>1</v>
      </c>
      <c r="BS74" s="139">
        <f>IFERROR(__xludf.DUMMYFUNCTION("""COMPUTED_VALUE"""),35.0)</f>
        <v>35</v>
      </c>
      <c r="BT74" s="139">
        <f>IFERROR(__xludf.DUMMYFUNCTION("""COMPUTED_VALUE"""),0.16)</f>
        <v>0.16</v>
      </c>
      <c r="BU74" s="139">
        <f>IFERROR(__xludf.DUMMYFUNCTION("""COMPUTED_VALUE"""),0.0)</f>
        <v>0</v>
      </c>
      <c r="BV74" s="139" t="str">
        <f>IFERROR(__xludf.DUMMYFUNCTION("""COMPUTED_VALUE"""),"普通")</f>
        <v>普通</v>
      </c>
      <c r="BW74" s="139" t="str">
        <f>IFERROR(__xludf.DUMMYFUNCTION("""COMPUTED_VALUE"""),"根性")</f>
        <v>根性</v>
      </c>
      <c r="BX74" s="139" t="str">
        <f>IFERROR(__xludf.DUMMYFUNCTION("""COMPUTED_VALUE"""),"-")</f>
        <v>-</v>
      </c>
      <c r="BY74" s="139">
        <f>IFERROR(__xludf.DUMMYFUNCTION("""COMPUTED_VALUE"""),2.0)</f>
        <v>2</v>
      </c>
      <c r="BZ74" s="139" t="str">
        <f>IFERROR(__xludf.DUMMYFUNCTION("""COMPUTED_VALUE"""),"-")</f>
        <v>-</v>
      </c>
      <c r="CA74" s="139" t="str">
        <f>IFERROR(__xludf.DUMMYFUNCTION("""COMPUTED_VALUE"""),"-")</f>
        <v>-</v>
      </c>
      <c r="CB74" s="139" t="str">
        <f>IFERROR(__xludf.DUMMYFUNCTION("""COMPUTED_VALUE"""),"-")</f>
        <v>-</v>
      </c>
      <c r="CC74" s="139" t="str">
        <f>IFERROR(__xludf.DUMMYFUNCTION("""COMPUTED_VALUE"""),"近距離")</f>
        <v>近距離</v>
      </c>
      <c r="CD74" s="139" t="str">
        <f>IFERROR(__xludf.DUMMYFUNCTION("""COMPUTED_VALUE"""),"単体")</f>
        <v>単体</v>
      </c>
      <c r="CE74" s="139">
        <f>IFERROR(__xludf.DUMMYFUNCTION("""COMPUTED_VALUE"""),1.0)</f>
        <v>1</v>
      </c>
      <c r="CF74" s="139">
        <f>IFERROR(__xludf.DUMMYFUNCTION("""COMPUTED_VALUE"""),0.17)</f>
        <v>0.17</v>
      </c>
      <c r="CG74" s="139" t="str">
        <f>IFERROR(__xludf.DUMMYFUNCTION("""COMPUTED_VALUE"""),"自身")</f>
        <v>自身</v>
      </c>
      <c r="CH74" s="139" t="str">
        <f>IFERROR(__xludf.DUMMYFUNCTION("""COMPUTED_VALUE"""),"自身")</f>
        <v>自身</v>
      </c>
      <c r="CI74" s="139" t="str">
        <f>IFERROR(__xludf.DUMMYFUNCTION("""COMPUTED_VALUE"""),"該当なし")</f>
        <v>該当なし</v>
      </c>
      <c r="CJ74" s="139" t="str">
        <f>IFERROR(__xludf.DUMMYFUNCTION("""COMPUTED_VALUE"""),"自身のみ")</f>
        <v>自身のみ</v>
      </c>
      <c r="CK74" s="139" t="str">
        <f>IFERROR(__xludf.DUMMYFUNCTION("""COMPUTED_VALUE"""),"自身")</f>
        <v>自身</v>
      </c>
      <c r="CL74" s="139" t="str">
        <f>IFERROR(__xludf.DUMMYFUNCTION("""COMPUTED_VALUE"""),"All")</f>
        <v>All</v>
      </c>
      <c r="CM74" s="139" t="str">
        <f>IFERROR(__xludf.DUMMYFUNCTION("""COMPUTED_VALUE"""),"All")</f>
        <v>All</v>
      </c>
      <c r="CN74" s="675">
        <f>IFERROR(__xludf.DUMMYFUNCTION("""COMPUTED_VALUE"""),28.75093893609386)</f>
        <v>28.75093894</v>
      </c>
      <c r="CO74" s="139" t="str">
        <f>IFERROR(__xludf.DUMMYFUNCTION("""COMPUTED_VALUE"""),"-")</f>
        <v>-</v>
      </c>
      <c r="CP74" s="139" t="str">
        <f>IFERROR(__xludf.DUMMYFUNCTION("""COMPUTED_VALUE"""),"-")</f>
        <v>-</v>
      </c>
      <c r="CQ74" s="139" t="str">
        <f>IFERROR(__xludf.DUMMYFUNCTION("""COMPUTED_VALUE"""),"-")</f>
        <v>-</v>
      </c>
      <c r="CR74" s="139" t="str">
        <f>IFERROR(__xludf.DUMMYFUNCTION("""COMPUTED_VALUE"""),"持続型")</f>
        <v>持続型</v>
      </c>
      <c r="CS74" s="673" t="str">
        <f>IFERROR(__xludf.DUMMYFUNCTION("""COMPUTED_VALUE"""),"ダメージカット(自身)")</f>
        <v>ダメージカット(自身)</v>
      </c>
      <c r="CT74" s="139" t="str">
        <f>IFERROR(__xludf.DUMMYFUNCTION("""COMPUTED_VALUE"""),"持続型")</f>
        <v>持続型</v>
      </c>
      <c r="CU74" s="139" t="str">
        <f>IFERROR(__xludf.DUMMYFUNCTION("""COMPUTED_VALUE"""),"自身")</f>
        <v>自身</v>
      </c>
      <c r="CV74" s="139" t="str">
        <f>IFERROR(__xludf.DUMMYFUNCTION("""COMPUTED_VALUE"""),"All")</f>
        <v>All</v>
      </c>
      <c r="CW74" s="139" t="str">
        <f>IFERROR(__xludf.DUMMYFUNCTION("""COMPUTED_VALUE"""),"All")</f>
        <v>All</v>
      </c>
      <c r="CX74" s="674">
        <f>IFERROR(__xludf.DUMMYFUNCTION("""COMPUTED_VALUE"""),8.0)</f>
        <v>8</v>
      </c>
      <c r="CY74" s="675">
        <f>IFERROR(__xludf.DUMMYFUNCTION("""COMPUTED_VALUE"""),9.7)</f>
        <v>9.7</v>
      </c>
      <c r="CZ74" s="688" t="str">
        <f>IFERROR(__xludf.DUMMYFUNCTION("""COMPUTED_VALUE"""),"-")</f>
        <v>-</v>
      </c>
      <c r="DA74" s="688">
        <f>IFERROR(__xludf.DUMMYFUNCTION("""COMPUTED_VALUE"""),0.0)</f>
        <v>0</v>
      </c>
      <c r="DB74" s="688">
        <f>IFERROR(__xludf.DUMMYFUNCTION("""COMPUTED_VALUE"""),0.0)</f>
        <v>0</v>
      </c>
      <c r="DC74" s="673" t="str">
        <f>IFERROR(__xludf.DUMMYFUNCTION("""COMPUTED_VALUE"""),"-")</f>
        <v>-</v>
      </c>
      <c r="DD74" s="673" t="str">
        <f>IFERROR(__xludf.DUMMYFUNCTION("""COMPUTED_VALUE"""),"-")</f>
        <v>-</v>
      </c>
      <c r="DE74" s="139" t="str">
        <f>IFERROR(__xludf.DUMMYFUNCTION("""COMPUTED_VALUE"""),"-")</f>
        <v>-</v>
      </c>
      <c r="DF74" s="139" t="str">
        <f>IFERROR(__xludf.DUMMYFUNCTION("""COMPUTED_VALUE"""),"-")</f>
        <v>-</v>
      </c>
      <c r="DG74" s="139" t="str">
        <f>IFERROR(__xludf.DUMMYFUNCTION("""COMPUTED_VALUE"""),"-")</f>
        <v>-</v>
      </c>
      <c r="DH74" s="139" t="str">
        <f>IFERROR(__xludf.DUMMYFUNCTION("""COMPUTED_VALUE"""),"-")</f>
        <v>-</v>
      </c>
      <c r="DI74" s="139" t="str">
        <f>IFERROR(__xludf.DUMMYFUNCTION("""COMPUTED_VALUE"""),"-")</f>
        <v>-</v>
      </c>
      <c r="DJ74" s="139" t="str">
        <f>IFERROR(__xludf.DUMMYFUNCTION("""COMPUTED_VALUE"""),"-")</f>
        <v>-</v>
      </c>
    </row>
    <row r="75">
      <c r="A75" s="139" t="str">
        <f>IFERROR(__xludf.DUMMYFUNCTION("""COMPUTED_VALUE"""),"株式会社マジルミエ")</f>
        <v>株式会社マジルミエ</v>
      </c>
      <c r="B75" s="139" t="str">
        <f>IFERROR(__xludf.DUMMYFUNCTION("""COMPUTED_VALUE"""),"葵 リリー")</f>
        <v>葵 リリー</v>
      </c>
      <c r="C75" s="139" t="str">
        <f>IFERROR(__xludf.DUMMYFUNCTION("""COMPUTED_VALUE"""),"chara_mag_00301")</f>
        <v>chara_mag_00301</v>
      </c>
      <c r="D75" s="139" t="str">
        <f>IFERROR(__xludf.DUMMYFUNCTION("""COMPUTED_VALUE"""),"PremiumSSR")</f>
        <v>PremiumSSR</v>
      </c>
      <c r="E75" s="139" t="str">
        <f>IFERROR(__xludf.DUMMYFUNCTION("""COMPUTED_VALUE"""),"緑")</f>
        <v>緑</v>
      </c>
      <c r="F75" s="139" t="str">
        <f>IFERROR(__xludf.DUMMYFUNCTION("""COMPUTED_VALUE"""),"ディフェンス")</f>
        <v>ディフェンス</v>
      </c>
      <c r="G75" s="139" t="str">
        <f>IFERROR(__xludf.DUMMYFUNCTION("""COMPUTED_VALUE"""),"中距離")</f>
        <v>中距離</v>
      </c>
      <c r="H75" s="139" t="str">
        <f>IFERROR(__xludf.DUMMYFUNCTION("""COMPUTED_VALUE"""),"dageki_1")</f>
        <v>dageki_1</v>
      </c>
      <c r="I75" s="139" t="str">
        <f>IFERROR(__xludf.DUMMYFUNCTION("""COMPUTED_VALUE"""),"-")</f>
        <v>-</v>
      </c>
      <c r="J75" s="139" t="str">
        <f>IFERROR(__xludf.DUMMYFUNCTION("""COMPUTED_VALUE"""),"202511010_株式会社マジルミエ")</f>
        <v>202511010_株式会社マジルミエ</v>
      </c>
      <c r="K75" s="139" t="str">
        <f>IFERROR(__xludf.DUMMYFUNCTION("""COMPUTED_VALUE"""),"株式会社マジルミエいいジャン祭")</f>
        <v>株式会社マジルミエいいジャン祭</v>
      </c>
      <c r="L75" s="687" t="str">
        <f>IFERROR(__xludf.DUMMYFUNCTION("""COMPUTED_VALUE"""),"※")</f>
        <v>※</v>
      </c>
      <c r="M75" s="674">
        <f>IFERROR(__xludf.DUMMYFUNCTION("""COMPUTED_VALUE"""),525.0)</f>
        <v>525</v>
      </c>
      <c r="N75" s="139">
        <f>IFERROR(__xludf.DUMMYFUNCTION("""COMPUTED_VALUE"""),600.0)</f>
        <v>600</v>
      </c>
      <c r="O75" s="139" t="str">
        <f>IFERROR(__xludf.DUMMYFUNCTION("""COMPUTED_VALUE"""),"中コスト")</f>
        <v>中コスト</v>
      </c>
      <c r="P75" s="139">
        <f>IFERROR(__xludf.DUMMYFUNCTION("""COMPUTED_VALUE"""),-100.0)</f>
        <v>-100</v>
      </c>
      <c r="Q75" s="675">
        <f>IFERROR(__xludf.DUMMYFUNCTION("""COMPUTED_VALUE"""),10.0)</f>
        <v>10</v>
      </c>
      <c r="R75" s="675">
        <f>IFERROR(__xludf.DUMMYFUNCTION("""COMPUTED_VALUE"""),15.0)</f>
        <v>15</v>
      </c>
      <c r="S75" s="675">
        <f>IFERROR(__xludf.DUMMYFUNCTION("""COMPUTED_VALUE"""),10.625)</f>
        <v>10.625</v>
      </c>
      <c r="T75" s="674">
        <f>IFERROR(__xludf.DUMMYFUNCTION("""COMPUTED_VALUE"""),985.0)</f>
        <v>985</v>
      </c>
      <c r="U75" s="675">
        <f>IFERROR(__xludf.DUMMYFUNCTION("""COMPUTED_VALUE"""),19.72666666666667)</f>
        <v>19.72666667</v>
      </c>
      <c r="V75" s="675">
        <f>IFERROR(__xludf.DUMMYFUNCTION("""COMPUTED_VALUE"""),0.0)</f>
        <v>0</v>
      </c>
      <c r="W75" s="675">
        <f>IFERROR(__xludf.DUMMYFUNCTION("""COMPUTED_VALUE"""),0.0)</f>
        <v>0</v>
      </c>
      <c r="X75" s="675">
        <f>IFERROR(__xludf.DUMMYFUNCTION("""COMPUTED_VALUE"""),0.0)</f>
        <v>0</v>
      </c>
      <c r="Y75" s="674">
        <f>IFERROR(__xludf.DUMMYFUNCTION("""COMPUTED_VALUE"""),515.0)</f>
        <v>515</v>
      </c>
      <c r="Z75" s="675">
        <f>IFERROR(__xludf.DUMMYFUNCTION("""COMPUTED_VALUE"""),10.311666666666666)</f>
        <v>10.31166667</v>
      </c>
      <c r="AA75" s="675">
        <f>IFERROR(__xludf.DUMMYFUNCTION("""COMPUTED_VALUE"""),0.0)</f>
        <v>0</v>
      </c>
      <c r="AB75" s="673">
        <f>IFERROR(__xludf.DUMMYFUNCTION("""COMPUTED_VALUE"""),0.0)</f>
        <v>0</v>
      </c>
      <c r="AC75" s="675">
        <f>IFERROR(__xludf.DUMMYFUNCTION("""COMPUTED_VALUE"""),0.0)</f>
        <v>0</v>
      </c>
      <c r="AD75" s="674">
        <f>IFERROR(__xludf.DUMMYFUNCTION("""COMPUTED_VALUE"""),1080.0)</f>
        <v>1080</v>
      </c>
      <c r="AE75" s="675">
        <f>IFERROR(__xludf.DUMMYFUNCTION("""COMPUTED_VALUE"""),21.572474489773967)</f>
        <v>21.57247449</v>
      </c>
      <c r="AF75" s="675">
        <f>IFERROR(__xludf.DUMMYFUNCTION("""COMPUTED_VALUE"""),0.0)</f>
        <v>0</v>
      </c>
      <c r="AG75" s="675">
        <f>IFERROR(__xludf.DUMMYFUNCTION("""COMPUTED_VALUE"""),6.75)</f>
        <v>6.75</v>
      </c>
      <c r="AH75" s="675">
        <f>IFERROR(__xludf.DUMMYFUNCTION("""COMPUTED_VALUE"""),-1.6469416099748853)</f>
        <v>-1.64694161</v>
      </c>
      <c r="AI75" s="675">
        <f>IFERROR(__xludf.DUMMYFUNCTION("""COMPUTED_VALUE"""),4.5)</f>
        <v>4.5</v>
      </c>
      <c r="AJ75" s="675">
        <f>IFERROR(__xludf.DUMMYFUNCTION("""COMPUTED_VALUE"""),17.072474489773967)</f>
        <v>17.07247449</v>
      </c>
      <c r="AK75" s="139">
        <f>IFERROR(__xludf.DUMMYFUNCTION("""COMPUTED_VALUE"""),1.0)</f>
        <v>1</v>
      </c>
      <c r="AL75" s="674">
        <f>IFERROR(__xludf.DUMMYFUNCTION("""COMPUTED_VALUE"""),2690.0)</f>
        <v>2690</v>
      </c>
      <c r="AM75" s="688">
        <f>IFERROR(__xludf.DUMMYFUNCTION("""COMPUTED_VALUE"""),20511.56564086766)</f>
        <v>20511.56564</v>
      </c>
      <c r="AN75" s="675">
        <f>IFERROR(__xludf.DUMMYFUNCTION("""COMPUTED_VALUE"""),17.933333333333334)</f>
        <v>17.93333333</v>
      </c>
      <c r="AO75" s="675">
        <f>IFERROR(__xludf.DUMMYFUNCTION("""COMPUTED_VALUE"""),8.966666666666667)</f>
        <v>8.966666667</v>
      </c>
      <c r="AP75" s="674">
        <f>IFERROR(__xludf.DUMMYFUNCTION("""COMPUTED_VALUE"""),1580.0)</f>
        <v>1580</v>
      </c>
      <c r="AQ75" s="673">
        <f>IFERROR(__xludf.DUMMYFUNCTION("""COMPUTED_VALUE"""),0.9)</f>
        <v>0.9</v>
      </c>
      <c r="AR75" s="673">
        <f>IFERROR(__xludf.DUMMYFUNCTION("""COMPUTED_VALUE"""),0.0)</f>
        <v>0</v>
      </c>
      <c r="AS75" s="673">
        <f>IFERROR(__xludf.DUMMYFUNCTION("""COMPUTED_VALUE"""),-0.1)</f>
        <v>-0.1</v>
      </c>
      <c r="AT75" s="673">
        <f>IFERROR(__xludf.DUMMYFUNCTION("""COMPUTED_VALUE"""),-0.2)</f>
        <v>-0.2</v>
      </c>
      <c r="AU75" s="673">
        <f>IFERROR(__xludf.DUMMYFUNCTION("""COMPUTED_VALUE"""),0.1)</f>
        <v>0.1</v>
      </c>
      <c r="AV75" s="673">
        <f>IFERROR(__xludf.DUMMYFUNCTION("""COMPUTED_VALUE"""),0.0)</f>
        <v>0</v>
      </c>
      <c r="AW75" s="139"/>
      <c r="AX75" s="674">
        <f>IFERROR(__xludf.DUMMYFUNCTION("""COMPUTED_VALUE"""),1850.0)</f>
        <v>1850</v>
      </c>
      <c r="AY75" s="688">
        <f>IFERROR(__xludf.DUMMYFUNCTION("""COMPUTED_VALUE"""),14106.142020671066)</f>
        <v>14106.14202</v>
      </c>
      <c r="AZ75" s="674">
        <f>IFERROR(__xludf.DUMMYFUNCTION("""COMPUTED_VALUE"""),740.0)</f>
        <v>740</v>
      </c>
      <c r="BA75" s="688">
        <f>IFERROR(__xludf.DUMMYFUNCTION("""COMPUTED_VALUE"""),5642.456808268426)</f>
        <v>5642.456808</v>
      </c>
      <c r="BB75" s="688" t="str">
        <f>IFERROR(__xludf.DUMMYFUNCTION("""COMPUTED_VALUE"""),"-")</f>
        <v>-</v>
      </c>
      <c r="BC75" s="688" t="str">
        <f>IFERROR(__xludf.DUMMYFUNCTION("""COMPUTED_VALUE"""),"#VALUE!")</f>
        <v>#VALUE!</v>
      </c>
      <c r="BD75" s="688" t="str">
        <f>IFERROR(__xludf.DUMMYFUNCTION("""COMPUTED_VALUE"""),"#VALUE!")</f>
        <v>#VALUE!</v>
      </c>
      <c r="BE75" s="674">
        <f>IFERROR(__xludf.DUMMYFUNCTION("""COMPUTED_VALUE"""),740.0)</f>
        <v>740</v>
      </c>
      <c r="BF75" s="674">
        <f>IFERROR(__xludf.DUMMYFUNCTION("""COMPUTED_VALUE"""),1050.0)</f>
        <v>1050</v>
      </c>
      <c r="BG75" s="673">
        <f>IFERROR(__xludf.DUMMYFUNCTION("""COMPUTED_VALUE"""),0.2)</f>
        <v>0.2</v>
      </c>
      <c r="BH75" s="673">
        <f>IFERROR(__xludf.DUMMYFUNCTION("""COMPUTED_VALUE"""),-0.5)</f>
        <v>-0.5</v>
      </c>
      <c r="BI75" s="673">
        <f>IFERROR(__xludf.DUMMYFUNCTION("""COMPUTED_VALUE"""),0.0)</f>
        <v>0</v>
      </c>
      <c r="BJ75" s="673">
        <f>IFERROR(__xludf.DUMMYFUNCTION("""COMPUTED_VALUE"""),0.0)</f>
        <v>0</v>
      </c>
      <c r="BK75" s="673">
        <f>IFERROR(__xludf.DUMMYFUNCTION("""COMPUTED_VALUE"""),0.0)</f>
        <v>0</v>
      </c>
      <c r="BL75" s="673">
        <f>IFERROR(__xludf.DUMMYFUNCTION("""COMPUTED_VALUE"""),0.0)</f>
        <v>0</v>
      </c>
      <c r="BM75" s="674">
        <f>IFERROR(__xludf.DUMMYFUNCTION("""COMPUTED_VALUE"""),125.0)</f>
        <v>125</v>
      </c>
      <c r="BN75" s="674">
        <f>IFERROR(__xludf.DUMMYFUNCTION("""COMPUTED_VALUE"""),100.0)</f>
        <v>100</v>
      </c>
      <c r="BO75" s="675">
        <f>IFERROR(__xludf.DUMMYFUNCTION("""COMPUTED_VALUE"""),25.0)</f>
        <v>25</v>
      </c>
      <c r="BP75" s="675">
        <f>IFERROR(__xludf.DUMMYFUNCTION("""COMPUTED_VALUE"""),2.5)</f>
        <v>2.5</v>
      </c>
      <c r="BQ75" s="139" t="str">
        <f>IFERROR(__xludf.DUMMYFUNCTION("""COMPUTED_VALUE"""),"(中距離)特殊攻撃・投げ物・長物")</f>
        <v>(中距離)特殊攻撃・投げ物・長物</v>
      </c>
      <c r="BR75" s="139">
        <f>IFERROR(__xludf.DUMMYFUNCTION("""COMPUTED_VALUE"""),1.0)</f>
        <v>1</v>
      </c>
      <c r="BS75" s="139">
        <f>IFERROR(__xludf.DUMMYFUNCTION("""COMPUTED_VALUE"""),45.0)</f>
        <v>45</v>
      </c>
      <c r="BT75" s="139">
        <f>IFERROR(__xludf.DUMMYFUNCTION("""COMPUTED_VALUE"""),0.34)</f>
        <v>0.34</v>
      </c>
      <c r="BU75" s="139">
        <f>IFERROR(__xludf.DUMMYFUNCTION("""COMPUTED_VALUE"""),0.0)</f>
        <v>0</v>
      </c>
      <c r="BV75" s="139" t="str">
        <f>IFERROR(__xludf.DUMMYFUNCTION("""COMPUTED_VALUE"""),"速い")</f>
        <v>速い</v>
      </c>
      <c r="BW75" s="139" t="str">
        <f>IFERROR(__xludf.DUMMYFUNCTION("""COMPUTED_VALUE"""),"氷結攻撃無効化")</f>
        <v>氷結攻撃無効化</v>
      </c>
      <c r="BX75" s="139">
        <f>IFERROR(__xludf.DUMMYFUNCTION("""COMPUTED_VALUE"""),60.0)</f>
        <v>60</v>
      </c>
      <c r="BY75" s="139">
        <f>IFERROR(__xludf.DUMMYFUNCTION("""COMPUTED_VALUE"""),0.0)</f>
        <v>0</v>
      </c>
      <c r="BZ75" s="139" t="str">
        <f>IFERROR(__xludf.DUMMYFUNCTION("""COMPUTED_VALUE"""),"-")</f>
        <v>-</v>
      </c>
      <c r="CA75" s="139" t="str">
        <f>IFERROR(__xludf.DUMMYFUNCTION("""COMPUTED_VALUE"""),"-")</f>
        <v>-</v>
      </c>
      <c r="CB75" s="139" t="str">
        <f>IFERROR(__xludf.DUMMYFUNCTION("""COMPUTED_VALUE"""),"-")</f>
        <v>-</v>
      </c>
      <c r="CC75" s="139" t="str">
        <f>IFERROR(__xludf.DUMMYFUNCTION("""COMPUTED_VALUE"""),"中距離")</f>
        <v>中距離</v>
      </c>
      <c r="CD75" s="139" t="str">
        <f>IFERROR(__xludf.DUMMYFUNCTION("""COMPUTED_VALUE"""),"単体")</f>
        <v>単体</v>
      </c>
      <c r="CE75" s="139">
        <f>IFERROR(__xludf.DUMMYFUNCTION("""COMPUTED_VALUE"""),1.0)</f>
        <v>1</v>
      </c>
      <c r="CF75" s="139">
        <f>IFERROR(__xludf.DUMMYFUNCTION("""COMPUTED_VALUE"""),0.35000000000000003)</f>
        <v>0.35</v>
      </c>
      <c r="CG75" s="139" t="str">
        <f>IFERROR(__xludf.DUMMYFUNCTION("""COMPUTED_VALUE"""),"自身")</f>
        <v>自身</v>
      </c>
      <c r="CH75" s="139" t="str">
        <f>IFERROR(__xludf.DUMMYFUNCTION("""COMPUTED_VALUE"""),"自身")</f>
        <v>自身</v>
      </c>
      <c r="CI75" s="139" t="str">
        <f>IFERROR(__xludf.DUMMYFUNCTION("""COMPUTED_VALUE"""),"該当なし")</f>
        <v>該当なし</v>
      </c>
      <c r="CJ75" s="139" t="str">
        <f>IFERROR(__xludf.DUMMYFUNCTION("""COMPUTED_VALUE"""),"自身のみ")</f>
        <v>自身のみ</v>
      </c>
      <c r="CK75" s="139" t="str">
        <f>IFERROR(__xludf.DUMMYFUNCTION("""COMPUTED_VALUE"""),"自身")</f>
        <v>自身</v>
      </c>
      <c r="CL75" s="139" t="str">
        <f>IFERROR(__xludf.DUMMYFUNCTION("""COMPUTED_VALUE"""),"All")</f>
        <v>All</v>
      </c>
      <c r="CM75" s="139" t="str">
        <f>IFERROR(__xludf.DUMMYFUNCTION("""COMPUTED_VALUE"""),"All")</f>
        <v>All</v>
      </c>
      <c r="CN75" s="675">
        <f>IFERROR(__xludf.DUMMYFUNCTION("""COMPUTED_VALUE"""),21.572474489773967)</f>
        <v>21.57247449</v>
      </c>
      <c r="CO75" s="139" t="str">
        <f>IFERROR(__xludf.DUMMYFUNCTION("""COMPUTED_VALUE"""),"-")</f>
        <v>-</v>
      </c>
      <c r="CP75" s="139" t="str">
        <f>IFERROR(__xludf.DUMMYFUNCTION("""COMPUTED_VALUE"""),"-")</f>
        <v>-</v>
      </c>
      <c r="CQ75" s="139" t="str">
        <f>IFERROR(__xludf.DUMMYFUNCTION("""COMPUTED_VALUE"""),"-")</f>
        <v>-</v>
      </c>
      <c r="CR75" s="139" t="str">
        <f>IFERROR(__xludf.DUMMYFUNCTION("""COMPUTED_VALUE"""),"瞬間型")</f>
        <v>瞬間型</v>
      </c>
      <c r="CS75" s="673" t="str">
        <f>IFERROR(__xludf.DUMMYFUNCTION("""COMPUTED_VALUE"""),"ダメージカット(自身)")</f>
        <v>ダメージカット(自身)</v>
      </c>
      <c r="CT75" s="139" t="str">
        <f>IFERROR(__xludf.DUMMYFUNCTION("""COMPUTED_VALUE"""),"瞬間型")</f>
        <v>瞬間型</v>
      </c>
      <c r="CU75" s="139" t="str">
        <f>IFERROR(__xludf.DUMMYFUNCTION("""COMPUTED_VALUE"""),"自身")</f>
        <v>自身</v>
      </c>
      <c r="CV75" s="139" t="str">
        <f>IFERROR(__xludf.DUMMYFUNCTION("""COMPUTED_VALUE"""),"All")</f>
        <v>All</v>
      </c>
      <c r="CW75" s="139" t="str">
        <f>IFERROR(__xludf.DUMMYFUNCTION("""COMPUTED_VALUE"""),"All")</f>
        <v>All</v>
      </c>
      <c r="CX75" s="674">
        <f>IFERROR(__xludf.DUMMYFUNCTION("""COMPUTED_VALUE"""),30.0)</f>
        <v>30</v>
      </c>
      <c r="CY75" s="675">
        <f>IFERROR(__xludf.DUMMYFUNCTION("""COMPUTED_VALUE"""),4.5)</f>
        <v>4.5</v>
      </c>
      <c r="CZ75" s="688" t="str">
        <f>IFERROR(__xludf.DUMMYFUNCTION("""COMPUTED_VALUE"""),"-")</f>
        <v>-</v>
      </c>
      <c r="DA75" s="688">
        <f>IFERROR(__xludf.DUMMYFUNCTION("""COMPUTED_VALUE"""),0.0)</f>
        <v>0</v>
      </c>
      <c r="DB75" s="688">
        <f>IFERROR(__xludf.DUMMYFUNCTION("""COMPUTED_VALUE"""),0.0)</f>
        <v>0</v>
      </c>
      <c r="DC75" s="673" t="str">
        <f>IFERROR(__xludf.DUMMYFUNCTION("""COMPUTED_VALUE"""),"-")</f>
        <v>-</v>
      </c>
      <c r="DD75" s="673" t="str">
        <f>IFERROR(__xludf.DUMMYFUNCTION("""COMPUTED_VALUE"""),"-")</f>
        <v>-</v>
      </c>
      <c r="DE75" s="139" t="str">
        <f>IFERROR(__xludf.DUMMYFUNCTION("""COMPUTED_VALUE"""),"-")</f>
        <v>-</v>
      </c>
      <c r="DF75" s="139" t="str">
        <f>IFERROR(__xludf.DUMMYFUNCTION("""COMPUTED_VALUE"""),"-")</f>
        <v>-</v>
      </c>
      <c r="DG75" s="139" t="str">
        <f>IFERROR(__xludf.DUMMYFUNCTION("""COMPUTED_VALUE"""),"-")</f>
        <v>-</v>
      </c>
      <c r="DH75" s="139" t="str">
        <f>IFERROR(__xludf.DUMMYFUNCTION("""COMPUTED_VALUE"""),"-")</f>
        <v>-</v>
      </c>
      <c r="DI75" s="139" t="str">
        <f>IFERROR(__xludf.DUMMYFUNCTION("""COMPUTED_VALUE"""),"-")</f>
        <v>-</v>
      </c>
      <c r="DJ75" s="139" t="str">
        <f>IFERROR(__xludf.DUMMYFUNCTION("""COMPUTED_VALUE"""),"-")</f>
        <v>-</v>
      </c>
    </row>
    <row r="76">
      <c r="A76" s="139" t="str">
        <f>IFERROR(__xludf.DUMMYFUNCTION("""COMPUTED_VALUE"""),"株式会社マジルミエ")</f>
        <v>株式会社マジルミエ</v>
      </c>
      <c r="B76" s="139" t="str">
        <f>IFERROR(__xludf.DUMMYFUNCTION("""COMPUTED_VALUE"""),"槇野 あかね")</f>
        <v>槇野 あかね</v>
      </c>
      <c r="C76" s="139" t="str">
        <f>IFERROR(__xludf.DUMMYFUNCTION("""COMPUTED_VALUE"""),"chara_mag_00401")</f>
        <v>chara_mag_00401</v>
      </c>
      <c r="D76" s="139" t="str">
        <f>IFERROR(__xludf.DUMMYFUNCTION("""COMPUTED_VALUE"""),"DropSR")</f>
        <v>DropSR</v>
      </c>
      <c r="E76" s="139" t="str">
        <f>IFERROR(__xludf.DUMMYFUNCTION("""COMPUTED_VALUE"""),"赤")</f>
        <v>赤</v>
      </c>
      <c r="F76" s="139" t="str">
        <f>IFERROR(__xludf.DUMMYFUNCTION("""COMPUTED_VALUE"""),"テクニカル")</f>
        <v>テクニカル</v>
      </c>
      <c r="G76" s="139" t="str">
        <f>IFERROR(__xludf.DUMMYFUNCTION("""COMPUTED_VALUE"""),"近距離")</f>
        <v>近距離</v>
      </c>
      <c r="H76" s="139" t="str">
        <f>IFERROR(__xludf.DUMMYFUNCTION("""COMPUTED_VALUE"""),"zangeki_1")</f>
        <v>zangeki_1</v>
      </c>
      <c r="I76" s="139" t="str">
        <f>IFERROR(__xludf.DUMMYFUNCTION("""COMPUTED_VALUE"""),"zangeki_1")</f>
        <v>zangeki_1</v>
      </c>
      <c r="J76" s="139" t="str">
        <f>IFERROR(__xludf.DUMMYFUNCTION("""COMPUTED_VALUE"""),"202511010_株式会社マジルミエ")</f>
        <v>202511010_株式会社マジルミエ</v>
      </c>
      <c r="K76" s="139" t="str">
        <f>IFERROR(__xludf.DUMMYFUNCTION("""COMPUTED_VALUE"""),"株式会社マジルミエいいジャン祭")</f>
        <v>株式会社マジルミエいいジャン祭</v>
      </c>
      <c r="L76" s="687" t="str">
        <f>IFERROR(__xludf.DUMMYFUNCTION("""COMPUTED_VALUE"""),"※")</f>
        <v>※</v>
      </c>
      <c r="M76" s="674">
        <f>IFERROR(__xludf.DUMMYFUNCTION("""COMPUTED_VALUE"""),375.0)</f>
        <v>375</v>
      </c>
      <c r="N76" s="139">
        <f>IFERROR(__xludf.DUMMYFUNCTION("""COMPUTED_VALUE"""),200.0)</f>
        <v>200</v>
      </c>
      <c r="O76" s="139" t="str">
        <f>IFERROR(__xludf.DUMMYFUNCTION("""COMPUTED_VALUE"""),"低コスト")</f>
        <v>低コスト</v>
      </c>
      <c r="P76" s="139">
        <f>IFERROR(__xludf.DUMMYFUNCTION("""COMPUTED_VALUE"""),140.0)</f>
        <v>140</v>
      </c>
      <c r="Q76" s="675">
        <f>IFERROR(__xludf.DUMMYFUNCTION("""COMPUTED_VALUE"""),20.0)</f>
        <v>20</v>
      </c>
      <c r="R76" s="675">
        <f>IFERROR(__xludf.DUMMYFUNCTION("""COMPUTED_VALUE"""),15.0)</f>
        <v>15</v>
      </c>
      <c r="S76" s="675">
        <f>IFERROR(__xludf.DUMMYFUNCTION("""COMPUTED_VALUE"""),6.875)</f>
        <v>6.875</v>
      </c>
      <c r="T76" s="674">
        <f>IFERROR(__xludf.DUMMYFUNCTION("""COMPUTED_VALUE"""),290.0)</f>
        <v>290</v>
      </c>
      <c r="U76" s="675">
        <f>IFERROR(__xludf.DUMMYFUNCTION("""COMPUTED_VALUE"""),5.793333333333334)</f>
        <v>5.793333333</v>
      </c>
      <c r="V76" s="675">
        <f>IFERROR(__xludf.DUMMYFUNCTION("""COMPUTED_VALUE"""),0.0)</f>
        <v>0</v>
      </c>
      <c r="W76" s="675">
        <f>IFERROR(__xludf.DUMMYFUNCTION("""COMPUTED_VALUE"""),0.0)</f>
        <v>0</v>
      </c>
      <c r="X76" s="675">
        <f>IFERROR(__xludf.DUMMYFUNCTION("""COMPUTED_VALUE"""),0.0)</f>
        <v>0</v>
      </c>
      <c r="Y76" s="674">
        <f>IFERROR(__xludf.DUMMYFUNCTION("""COMPUTED_VALUE"""),150.0)</f>
        <v>150</v>
      </c>
      <c r="Z76" s="675">
        <f>IFERROR(__xludf.DUMMYFUNCTION("""COMPUTED_VALUE"""),3.028333333333333)</f>
        <v>3.028333333</v>
      </c>
      <c r="AA76" s="675">
        <f>IFERROR(__xludf.DUMMYFUNCTION("""COMPUTED_VALUE"""),0.0)</f>
        <v>0</v>
      </c>
      <c r="AB76" s="673">
        <f>IFERROR(__xludf.DUMMYFUNCTION("""COMPUTED_VALUE"""),0.0)</f>
        <v>0</v>
      </c>
      <c r="AC76" s="675">
        <f>IFERROR(__xludf.DUMMYFUNCTION("""COMPUTED_VALUE"""),0.0)</f>
        <v>0</v>
      </c>
      <c r="AD76" s="674">
        <f>IFERROR(__xludf.DUMMYFUNCTION("""COMPUTED_VALUE"""),1175.0)</f>
        <v>1175</v>
      </c>
      <c r="AE76" s="675">
        <f>IFERROR(__xludf.DUMMYFUNCTION("""COMPUTED_VALUE"""),23.475151726067928)</f>
        <v>23.47515173</v>
      </c>
      <c r="AF76" s="675">
        <f>IFERROR(__xludf.DUMMYFUNCTION("""COMPUTED_VALUE"""),0.0)</f>
        <v>0</v>
      </c>
      <c r="AG76" s="675">
        <f>IFERROR(__xludf.DUMMYFUNCTION("""COMPUTED_VALUE"""),14.549999999999999)</f>
        <v>14.55</v>
      </c>
      <c r="AH76" s="675">
        <f>IFERROR(__xludf.DUMMYFUNCTION("""COMPUTED_VALUE"""),0.0)</f>
        <v>0</v>
      </c>
      <c r="AI76" s="675">
        <f>IFERROR(__xludf.DUMMYFUNCTION("""COMPUTED_VALUE"""),9.7)</f>
        <v>9.7</v>
      </c>
      <c r="AJ76" s="675">
        <f>IFERROR(__xludf.DUMMYFUNCTION("""COMPUTED_VALUE"""),13.775151726067929)</f>
        <v>13.77515173</v>
      </c>
      <c r="AK76" s="139">
        <f>IFERROR(__xludf.DUMMYFUNCTION("""COMPUTED_VALUE"""),1.0)</f>
        <v>1</v>
      </c>
      <c r="AL76" s="674">
        <f>IFERROR(__xludf.DUMMYFUNCTION("""COMPUTED_VALUE"""),790.0)</f>
        <v>790</v>
      </c>
      <c r="AM76" s="688">
        <f>IFERROR(__xludf.DUMMYFUNCTION("""COMPUTED_VALUE"""),5460.49221423251)</f>
        <v>5460.492214</v>
      </c>
      <c r="AN76" s="675">
        <f>IFERROR(__xludf.DUMMYFUNCTION("""COMPUTED_VALUE"""),5.266666666666667)</f>
        <v>5.266666667</v>
      </c>
      <c r="AO76" s="675">
        <f>IFERROR(__xludf.DUMMYFUNCTION("""COMPUTED_VALUE"""),2.6333333333333333)</f>
        <v>2.633333333</v>
      </c>
      <c r="AP76" s="674">
        <f>IFERROR(__xludf.DUMMYFUNCTION("""COMPUTED_VALUE"""),1130.0)</f>
        <v>1130</v>
      </c>
      <c r="AQ76" s="673">
        <f>IFERROR(__xludf.DUMMYFUNCTION("""COMPUTED_VALUE"""),-0.3)</f>
        <v>-0.3</v>
      </c>
      <c r="AR76" s="673">
        <f>IFERROR(__xludf.DUMMYFUNCTION("""COMPUTED_VALUE"""),0.0)</f>
        <v>0</v>
      </c>
      <c r="AS76" s="673">
        <f>IFERROR(__xludf.DUMMYFUNCTION("""COMPUTED_VALUE"""),0.0)</f>
        <v>0</v>
      </c>
      <c r="AT76" s="673">
        <f>IFERROR(__xludf.DUMMYFUNCTION("""COMPUTED_VALUE"""),0.0)</f>
        <v>0</v>
      </c>
      <c r="AU76" s="673">
        <f>IFERROR(__xludf.DUMMYFUNCTION("""COMPUTED_VALUE"""),0.0)</f>
        <v>0</v>
      </c>
      <c r="AV76" s="673">
        <f>IFERROR(__xludf.DUMMYFUNCTION("""COMPUTED_VALUE"""),0.0)</f>
        <v>0</v>
      </c>
      <c r="AW76" s="139"/>
      <c r="AX76" s="674">
        <f>IFERROR(__xludf.DUMMYFUNCTION("""COMPUTED_VALUE"""),830.0)</f>
        <v>830</v>
      </c>
      <c r="AY76" s="688">
        <f>IFERROR(__xludf.DUMMYFUNCTION("""COMPUTED_VALUE"""),5736.173339003776)</f>
        <v>5736.173339</v>
      </c>
      <c r="AZ76" s="674">
        <f>IFERROR(__xludf.DUMMYFUNCTION("""COMPUTED_VALUE"""),830.0)</f>
        <v>830</v>
      </c>
      <c r="BA76" s="688">
        <f>IFERROR(__xludf.DUMMYFUNCTION("""COMPUTED_VALUE"""),5736.173339003776)</f>
        <v>5736.173339</v>
      </c>
      <c r="BB76" s="688" t="str">
        <f>IFERROR(__xludf.DUMMYFUNCTION("""COMPUTED_VALUE"""),"-")</f>
        <v>-</v>
      </c>
      <c r="BC76" s="688" t="str">
        <f>IFERROR(__xludf.DUMMYFUNCTION("""COMPUTED_VALUE"""),"#VALUE!")</f>
        <v>#VALUE!</v>
      </c>
      <c r="BD76" s="688" t="str">
        <f>IFERROR(__xludf.DUMMYFUNCTION("""COMPUTED_VALUE"""),"#VALUE!")</f>
        <v>#VALUE!</v>
      </c>
      <c r="BE76" s="674">
        <f>IFERROR(__xludf.DUMMYFUNCTION("""COMPUTED_VALUE"""),830.0)</f>
        <v>830</v>
      </c>
      <c r="BF76" s="674">
        <f>IFERROR(__xludf.DUMMYFUNCTION("""COMPUTED_VALUE"""),750.0)</f>
        <v>750</v>
      </c>
      <c r="BG76" s="673">
        <f>IFERROR(__xludf.DUMMYFUNCTION("""COMPUTED_VALUE"""),0.0)</f>
        <v>0</v>
      </c>
      <c r="BH76" s="673">
        <f>IFERROR(__xludf.DUMMYFUNCTION("""COMPUTED_VALUE"""),0.1)</f>
        <v>0.1</v>
      </c>
      <c r="BI76" s="673">
        <f>IFERROR(__xludf.DUMMYFUNCTION("""COMPUTED_VALUE"""),0.0)</f>
        <v>0</v>
      </c>
      <c r="BJ76" s="673">
        <f>IFERROR(__xludf.DUMMYFUNCTION("""COMPUTED_VALUE"""),0.0)</f>
        <v>0</v>
      </c>
      <c r="BK76" s="673">
        <f>IFERROR(__xludf.DUMMYFUNCTION("""COMPUTED_VALUE"""),0.0)</f>
        <v>0</v>
      </c>
      <c r="BL76" s="673">
        <f>IFERROR(__xludf.DUMMYFUNCTION("""COMPUTED_VALUE"""),0.0)</f>
        <v>0</v>
      </c>
      <c r="BM76" s="674">
        <f>IFERROR(__xludf.DUMMYFUNCTION("""COMPUTED_VALUE"""),50.0)</f>
        <v>50</v>
      </c>
      <c r="BN76" s="674">
        <f>IFERROR(__xludf.DUMMYFUNCTION("""COMPUTED_VALUE"""),50.0)</f>
        <v>50</v>
      </c>
      <c r="BO76" s="675">
        <f>IFERROR(__xludf.DUMMYFUNCTION("""COMPUTED_VALUE"""),0.0)</f>
        <v>0</v>
      </c>
      <c r="BP76" s="675">
        <f>IFERROR(__xludf.DUMMYFUNCTION("""COMPUTED_VALUE"""),1.0)</f>
        <v>1</v>
      </c>
      <c r="BQ76" s="139" t="str">
        <f>IFERROR(__xludf.DUMMYFUNCTION("""COMPUTED_VALUE"""),"(近距離)武器・道具・特殊攻撃")</f>
        <v>(近距離)武器・道具・特殊攻撃</v>
      </c>
      <c r="BR76" s="139">
        <f>IFERROR(__xludf.DUMMYFUNCTION("""COMPUTED_VALUE"""),3.0)</f>
        <v>3</v>
      </c>
      <c r="BS76" s="139">
        <f>IFERROR(__xludf.DUMMYFUNCTION("""COMPUTED_VALUE"""),45.0)</f>
        <v>45</v>
      </c>
      <c r="BT76" s="139">
        <f>IFERROR(__xludf.DUMMYFUNCTION("""COMPUTED_VALUE"""),0.26)</f>
        <v>0.26</v>
      </c>
      <c r="BU76" s="139">
        <f>IFERROR(__xludf.DUMMYFUNCTION("""COMPUTED_VALUE"""),-0.05)</f>
        <v>-0.05</v>
      </c>
      <c r="BV76" s="139" t="str">
        <f>IFERROR(__xludf.DUMMYFUNCTION("""COMPUTED_VALUE"""),"速い")</f>
        <v>速い</v>
      </c>
      <c r="BW76" s="139" t="str">
        <f>IFERROR(__xludf.DUMMYFUNCTION("""COMPUTED_VALUE"""),"氷結攻撃無効化")</f>
        <v>氷結攻撃無効化</v>
      </c>
      <c r="BX76" s="139">
        <f>IFERROR(__xludf.DUMMYFUNCTION("""COMPUTED_VALUE"""),20.0)</f>
        <v>20</v>
      </c>
      <c r="BY76" s="139">
        <f>IFERROR(__xludf.DUMMYFUNCTION("""COMPUTED_VALUE"""),2.0)</f>
        <v>2</v>
      </c>
      <c r="BZ76" s="139" t="str">
        <f>IFERROR(__xludf.DUMMYFUNCTION("""COMPUTED_VALUE"""),"-")</f>
        <v>-</v>
      </c>
      <c r="CA76" s="139" t="str">
        <f>IFERROR(__xludf.DUMMYFUNCTION("""COMPUTED_VALUE"""),"-")</f>
        <v>-</v>
      </c>
      <c r="CB76" s="139" t="str">
        <f>IFERROR(__xludf.DUMMYFUNCTION("""COMPUTED_VALUE"""),"-")</f>
        <v>-</v>
      </c>
      <c r="CC76" s="139" t="str">
        <f>IFERROR(__xludf.DUMMYFUNCTION("""COMPUTED_VALUE"""),"近距離")</f>
        <v>近距離</v>
      </c>
      <c r="CD76" s="139" t="str">
        <f>IFERROR(__xludf.DUMMYFUNCTION("""COMPUTED_VALUE"""),"単体")</f>
        <v>単体</v>
      </c>
      <c r="CE76" s="139">
        <f>IFERROR(__xludf.DUMMYFUNCTION("""COMPUTED_VALUE"""),1.0)</f>
        <v>1</v>
      </c>
      <c r="CF76" s="139">
        <f>IFERROR(__xludf.DUMMYFUNCTION("""COMPUTED_VALUE"""),0.27)</f>
        <v>0.27</v>
      </c>
      <c r="CG76" s="139" t="str">
        <f>IFERROR(__xludf.DUMMYFUNCTION("""COMPUTED_VALUE"""),"近距離")</f>
        <v>近距離</v>
      </c>
      <c r="CH76" s="139" t="str">
        <f>IFERROR(__xludf.DUMMYFUNCTION("""COMPUTED_VALUE"""),"単体")</f>
        <v>単体</v>
      </c>
      <c r="CI76" s="139">
        <f>IFERROR(__xludf.DUMMYFUNCTION("""COMPUTED_VALUE"""),1.0)</f>
        <v>1</v>
      </c>
      <c r="CJ76" s="139">
        <f>IFERROR(__xludf.DUMMYFUNCTION("""COMPUTED_VALUE"""),0.27)</f>
        <v>0.27</v>
      </c>
      <c r="CK76" s="139" t="str">
        <f>IFERROR(__xludf.DUMMYFUNCTION("""COMPUTED_VALUE"""),"敵")</f>
        <v>敵</v>
      </c>
      <c r="CL76" s="139" t="str">
        <f>IFERROR(__xludf.DUMMYFUNCTION("""COMPUTED_VALUE"""),"All")</f>
        <v>All</v>
      </c>
      <c r="CM76" s="139" t="str">
        <f>IFERROR(__xludf.DUMMYFUNCTION("""COMPUTED_VALUE"""),"All")</f>
        <v>All</v>
      </c>
      <c r="CN76" s="675">
        <f>IFERROR(__xludf.DUMMYFUNCTION("""COMPUTED_VALUE"""),23.475151726067928)</f>
        <v>23.47515173</v>
      </c>
      <c r="CO76" s="139" t="str">
        <f>IFERROR(__xludf.DUMMYFUNCTION("""COMPUTED_VALUE"""),"-")</f>
        <v>-</v>
      </c>
      <c r="CP76" s="139" t="str">
        <f>IFERROR(__xludf.DUMMYFUNCTION("""COMPUTED_VALUE"""),"-")</f>
        <v>-</v>
      </c>
      <c r="CQ76" s="139" t="str">
        <f>IFERROR(__xludf.DUMMYFUNCTION("""COMPUTED_VALUE"""),"-")</f>
        <v>-</v>
      </c>
      <c r="CR76" s="139" t="str">
        <f>IFERROR(__xludf.DUMMYFUNCTION("""COMPUTED_VALUE"""),"瞬間型")</f>
        <v>瞬間型</v>
      </c>
      <c r="CS76" s="673" t="str">
        <f>IFERROR(__xludf.DUMMYFUNCTION("""COMPUTED_VALUE"""),"攻撃(必殺)")</f>
        <v>攻撃(必殺)</v>
      </c>
      <c r="CT76" s="139" t="str">
        <f>IFERROR(__xludf.DUMMYFUNCTION("""COMPUTED_VALUE"""),"瞬間型")</f>
        <v>瞬間型</v>
      </c>
      <c r="CU76" s="139" t="str">
        <f>IFERROR(__xludf.DUMMYFUNCTION("""COMPUTED_VALUE"""),"敵")</f>
        <v>敵</v>
      </c>
      <c r="CV76" s="139" t="str">
        <f>IFERROR(__xludf.DUMMYFUNCTION("""COMPUTED_VALUE"""),"All")</f>
        <v>All</v>
      </c>
      <c r="CW76" s="139" t="str">
        <f>IFERROR(__xludf.DUMMYFUNCTION("""COMPUTED_VALUE"""),"All")</f>
        <v>All</v>
      </c>
      <c r="CX76" s="674">
        <f>IFERROR(__xludf.DUMMYFUNCTION("""COMPUTED_VALUE"""),153.0)</f>
        <v>153</v>
      </c>
      <c r="CY76" s="675" t="str">
        <f>IFERROR(__xludf.DUMMYFUNCTION("""COMPUTED_VALUE"""),"-")</f>
        <v>-</v>
      </c>
      <c r="CZ76" s="688">
        <f>IFERROR(__xludf.DUMMYFUNCTION("""COMPUTED_VALUE"""),8776.0)</f>
        <v>8776</v>
      </c>
      <c r="DA76" s="688">
        <f>IFERROR(__xludf.DUMMYFUNCTION("""COMPUTED_VALUE"""),409.51038620986105)</f>
        <v>409.5103862</v>
      </c>
      <c r="DB76" s="688">
        <f>IFERROR(__xludf.DUMMYFUNCTION("""COMPUTED_VALUE"""),0.0)</f>
        <v>0</v>
      </c>
      <c r="DC76" s="673" t="str">
        <f>IFERROR(__xludf.DUMMYFUNCTION("""COMPUTED_VALUE"""),"攻撃力Down")</f>
        <v>攻撃力Down</v>
      </c>
      <c r="DD76" s="673">
        <f>IFERROR(__xludf.DUMMYFUNCTION("""COMPUTED_VALUE"""),8.0)</f>
        <v>8</v>
      </c>
      <c r="DE76" s="139">
        <f>IFERROR(__xludf.DUMMYFUNCTION("""COMPUTED_VALUE"""),9.7)</f>
        <v>9.7</v>
      </c>
      <c r="DF76" s="139" t="str">
        <f>IFERROR(__xludf.DUMMYFUNCTION("""COMPUTED_VALUE"""),"-")</f>
        <v>-</v>
      </c>
      <c r="DG76" s="139" t="str">
        <f>IFERROR(__xludf.DUMMYFUNCTION("""COMPUTED_VALUE"""),"-")</f>
        <v>-</v>
      </c>
      <c r="DH76" s="139" t="str">
        <f>IFERROR(__xludf.DUMMYFUNCTION("""COMPUTED_VALUE"""),"-")</f>
        <v>-</v>
      </c>
      <c r="DI76" s="139" t="str">
        <f>IFERROR(__xludf.DUMMYFUNCTION("""COMPUTED_VALUE"""),"-")</f>
        <v>-</v>
      </c>
      <c r="DJ76" s="139" t="str">
        <f>IFERROR(__xludf.DUMMYFUNCTION("""COMPUTED_VALUE"""),"-")</f>
        <v>-</v>
      </c>
    </row>
    <row r="77">
      <c r="A77" s="139" t="str">
        <f>IFERROR(__xludf.DUMMYFUNCTION("""COMPUTED_VALUE"""),"株式会社マジルミエ")</f>
        <v>株式会社マジルミエ</v>
      </c>
      <c r="B77" s="139" t="str">
        <f>IFERROR(__xludf.DUMMYFUNCTION("""COMPUTED_VALUE"""),"重本 浩司")</f>
        <v>重本 浩司</v>
      </c>
      <c r="C77" s="139" t="str">
        <f>IFERROR(__xludf.DUMMYFUNCTION("""COMPUTED_VALUE"""),"chara_mag_00501")</f>
        <v>chara_mag_00501</v>
      </c>
      <c r="D77" s="139" t="str">
        <f>IFERROR(__xludf.DUMMYFUNCTION("""COMPUTED_VALUE"""),"DropSR")</f>
        <v>DropSR</v>
      </c>
      <c r="E77" s="139" t="str">
        <f>IFERROR(__xludf.DUMMYFUNCTION("""COMPUTED_VALUE"""),"無")</f>
        <v>無</v>
      </c>
      <c r="F77" s="139" t="str">
        <f>IFERROR(__xludf.DUMMYFUNCTION("""COMPUTED_VALUE"""),"スペシャル")</f>
        <v>スペシャル</v>
      </c>
      <c r="G77" s="139" t="str">
        <f>IFERROR(__xludf.DUMMYFUNCTION("""COMPUTED_VALUE"""),"該当なし")</f>
        <v>該当なし</v>
      </c>
      <c r="H77" s="139" t="str">
        <f>IFERROR(__xludf.DUMMYFUNCTION("""COMPUTED_VALUE"""),"-")</f>
        <v>-</v>
      </c>
      <c r="I77" s="139" t="str">
        <f>IFERROR(__xludf.DUMMYFUNCTION("""COMPUTED_VALUE"""),"-")</f>
        <v>-</v>
      </c>
      <c r="J77" s="139" t="str">
        <f>IFERROR(__xludf.DUMMYFUNCTION("""COMPUTED_VALUE"""),"202511010_株式会社マジルミエ")</f>
        <v>202511010_株式会社マジルミエ</v>
      </c>
      <c r="K77" s="139" t="str">
        <f>IFERROR(__xludf.DUMMYFUNCTION("""COMPUTED_VALUE"""),"株式会社マジルミエいいジャン祭")</f>
        <v>株式会社マジルミエいいジャン祭</v>
      </c>
      <c r="L77" s="687" t="str">
        <f>IFERROR(__xludf.DUMMYFUNCTION("""COMPUTED_VALUE"""),"※")</f>
        <v>※</v>
      </c>
      <c r="M77" s="674">
        <f>IFERROR(__xludf.DUMMYFUNCTION("""COMPUTED_VALUE"""),350.0)</f>
        <v>350</v>
      </c>
      <c r="N77" s="139">
        <f>IFERROR(__xludf.DUMMYFUNCTION("""COMPUTED_VALUE"""),200.0)</f>
        <v>200</v>
      </c>
      <c r="O77" s="139" t="str">
        <f>IFERROR(__xludf.DUMMYFUNCTION("""COMPUTED_VALUE"""),"低コスト")</f>
        <v>低コスト</v>
      </c>
      <c r="P77" s="139">
        <f>IFERROR(__xludf.DUMMYFUNCTION("""COMPUTED_VALUE"""),140.0)</f>
        <v>140</v>
      </c>
      <c r="Q77" s="675">
        <f>IFERROR(__xludf.DUMMYFUNCTION("""COMPUTED_VALUE"""),10.0)</f>
        <v>10</v>
      </c>
      <c r="R77" s="675">
        <f>IFERROR(__xludf.DUMMYFUNCTION("""COMPUTED_VALUE"""),0.0)</f>
        <v>0</v>
      </c>
      <c r="S77" s="675">
        <f>IFERROR(__xludf.DUMMYFUNCTION("""COMPUTED_VALUE"""),6.25)</f>
        <v>6.25</v>
      </c>
      <c r="T77" s="674">
        <f>IFERROR(__xludf.DUMMYFUNCTION("""COMPUTED_VALUE"""),385.0)</f>
        <v>385</v>
      </c>
      <c r="U77" s="675">
        <f>IFERROR(__xludf.DUMMYFUNCTION("""COMPUTED_VALUE"""),7.700000000000001)</f>
        <v>7.7</v>
      </c>
      <c r="V77" s="675">
        <f>IFERROR(__xludf.DUMMYFUNCTION("""COMPUTED_VALUE"""),0.0)</f>
        <v>0</v>
      </c>
      <c r="W77" s="675">
        <f>IFERROR(__xludf.DUMMYFUNCTION("""COMPUTED_VALUE"""),0.0)</f>
        <v>0</v>
      </c>
      <c r="X77" s="675">
        <f>IFERROR(__xludf.DUMMYFUNCTION("""COMPUTED_VALUE"""),0.0)</f>
        <v>0</v>
      </c>
      <c r="Y77" s="674">
        <f>IFERROR(__xludf.DUMMYFUNCTION("""COMPUTED_VALUE"""),200.0)</f>
        <v>200</v>
      </c>
      <c r="Z77" s="675">
        <f>IFERROR(__xludf.DUMMYFUNCTION("""COMPUTED_VALUE"""),4.0249999999999995)</f>
        <v>4.025</v>
      </c>
      <c r="AA77" s="675">
        <f>IFERROR(__xludf.DUMMYFUNCTION("""COMPUTED_VALUE"""),0.0)</f>
        <v>0</v>
      </c>
      <c r="AB77" s="673">
        <f>IFERROR(__xludf.DUMMYFUNCTION("""COMPUTED_VALUE"""),0.0)</f>
        <v>0</v>
      </c>
      <c r="AC77" s="675">
        <f>IFERROR(__xludf.DUMMYFUNCTION("""COMPUTED_VALUE"""),0.0)</f>
        <v>0</v>
      </c>
      <c r="AD77" s="674">
        <f>IFERROR(__xludf.DUMMYFUNCTION("""COMPUTED_VALUE"""),910.0)</f>
        <v>910</v>
      </c>
      <c r="AE77" s="675">
        <f>IFERROR(__xludf.DUMMYFUNCTION("""COMPUTED_VALUE"""),18.239557813628338)</f>
        <v>18.23955781</v>
      </c>
      <c r="AF77" s="675">
        <f>IFERROR(__xludf.DUMMYFUNCTION("""COMPUTED_VALUE"""),0.0)</f>
        <v>0</v>
      </c>
      <c r="AG77" s="675">
        <f>IFERROR(__xludf.DUMMYFUNCTION("""COMPUTED_VALUE"""),7.949999999999999)</f>
        <v>7.95</v>
      </c>
      <c r="AH77" s="675">
        <f>IFERROR(__xludf.DUMMYFUNCTION("""COMPUTED_VALUE"""),0.0)</f>
        <v>0</v>
      </c>
      <c r="AI77" s="675">
        <f>IFERROR(__xludf.DUMMYFUNCTION("""COMPUTED_VALUE"""),5.300000000000001)</f>
        <v>5.3</v>
      </c>
      <c r="AJ77" s="675">
        <f>IFERROR(__xludf.DUMMYFUNCTION("""COMPUTED_VALUE"""),12.939557813628337)</f>
        <v>12.93955781</v>
      </c>
      <c r="AK77" s="139">
        <f>IFERROR(__xludf.DUMMYFUNCTION("""COMPUTED_VALUE"""),1.0)</f>
        <v>1</v>
      </c>
      <c r="AL77" s="674">
        <f>IFERROR(__xludf.DUMMYFUNCTION("""COMPUTED_VALUE"""),1050.0)</f>
        <v>1050</v>
      </c>
      <c r="AM77" s="688">
        <f>IFERROR(__xludf.DUMMYFUNCTION("""COMPUTED_VALUE"""),7257.239525245741)</f>
        <v>7257.239525</v>
      </c>
      <c r="AN77" s="675">
        <f>IFERROR(__xludf.DUMMYFUNCTION("""COMPUTED_VALUE"""),7.0)</f>
        <v>7</v>
      </c>
      <c r="AO77" s="675">
        <f>IFERROR(__xludf.DUMMYFUNCTION("""COMPUTED_VALUE"""),3.5)</f>
        <v>3.5</v>
      </c>
      <c r="AP77" s="674">
        <f>IFERROR(__xludf.DUMMYFUNCTION("""COMPUTED_VALUE"""),1050.0)</f>
        <v>1050</v>
      </c>
      <c r="AQ77" s="673">
        <f>IFERROR(__xludf.DUMMYFUNCTION("""COMPUTED_VALUE"""),0.0)</f>
        <v>0</v>
      </c>
      <c r="AR77" s="673">
        <f>IFERROR(__xludf.DUMMYFUNCTION("""COMPUTED_VALUE"""),0.0)</f>
        <v>0</v>
      </c>
      <c r="AS77" s="673">
        <f>IFERROR(__xludf.DUMMYFUNCTION("""COMPUTED_VALUE"""),0.0)</f>
        <v>0</v>
      </c>
      <c r="AT77" s="673">
        <f>IFERROR(__xludf.DUMMYFUNCTION("""COMPUTED_VALUE"""),0.0)</f>
        <v>0</v>
      </c>
      <c r="AU77" s="673">
        <f>IFERROR(__xludf.DUMMYFUNCTION("""COMPUTED_VALUE"""),0.0)</f>
        <v>0</v>
      </c>
      <c r="AV77" s="673">
        <f>IFERROR(__xludf.DUMMYFUNCTION("""COMPUTED_VALUE"""),0.0)</f>
        <v>0</v>
      </c>
      <c r="AW77" s="139"/>
      <c r="AX77" s="674" t="str">
        <f>IFERROR(__xludf.DUMMYFUNCTION("""COMPUTED_VALUE"""),"#VALUE!")</f>
        <v>#VALUE!</v>
      </c>
      <c r="AY77" s="688" t="str">
        <f>IFERROR(__xludf.DUMMYFUNCTION("""COMPUTED_VALUE"""),"#VALUE!")</f>
        <v>#VALUE!</v>
      </c>
      <c r="AZ77" s="674" t="str">
        <f>IFERROR(__xludf.DUMMYFUNCTION("""COMPUTED_VALUE"""),"#VALUE!")</f>
        <v>#VALUE!</v>
      </c>
      <c r="BA77" s="688" t="str">
        <f>IFERROR(__xludf.DUMMYFUNCTION("""COMPUTED_VALUE"""),"#VALUE!")</f>
        <v>#VALUE!</v>
      </c>
      <c r="BB77" s="688" t="str">
        <f>IFERROR(__xludf.DUMMYFUNCTION("""COMPUTED_VALUE"""),"-")</f>
        <v>-</v>
      </c>
      <c r="BC77" s="688" t="str">
        <f>IFERROR(__xludf.DUMMYFUNCTION("""COMPUTED_VALUE"""),"#VALUE!")</f>
        <v>#VALUE!</v>
      </c>
      <c r="BD77" s="688" t="str">
        <f>IFERROR(__xludf.DUMMYFUNCTION("""COMPUTED_VALUE"""),"#VALUE!")</f>
        <v>#VALUE!</v>
      </c>
      <c r="BE77" s="674" t="str">
        <f>IFERROR(__xludf.DUMMYFUNCTION("""COMPUTED_VALUE"""),"#VALUE!")</f>
        <v>#VALUE!</v>
      </c>
      <c r="BF77" s="674">
        <f>IFERROR(__xludf.DUMMYFUNCTION("""COMPUTED_VALUE"""),700.0)</f>
        <v>700</v>
      </c>
      <c r="BG77" s="673">
        <f>IFERROR(__xludf.DUMMYFUNCTION("""COMPUTED_VALUE"""),0.0)</f>
        <v>0</v>
      </c>
      <c r="BH77" s="673">
        <f>IFERROR(__xludf.DUMMYFUNCTION("""COMPUTED_VALUE"""),0.0)</f>
        <v>0</v>
      </c>
      <c r="BI77" s="673">
        <f>IFERROR(__xludf.DUMMYFUNCTION("""COMPUTED_VALUE"""),0.0)</f>
        <v>0</v>
      </c>
      <c r="BJ77" s="673">
        <f>IFERROR(__xludf.DUMMYFUNCTION("""COMPUTED_VALUE"""),0.0)</f>
        <v>0</v>
      </c>
      <c r="BK77" s="673">
        <f>IFERROR(__xludf.DUMMYFUNCTION("""COMPUTED_VALUE"""),0.0)</f>
        <v>0</v>
      </c>
      <c r="BL77" s="673">
        <f>IFERROR(__xludf.DUMMYFUNCTION("""COMPUTED_VALUE"""),0.0)</f>
        <v>0</v>
      </c>
      <c r="BM77" s="674">
        <f>IFERROR(__xludf.DUMMYFUNCTION("""COMPUTED_VALUE"""),0.0)</f>
        <v>0</v>
      </c>
      <c r="BN77" s="674">
        <f>IFERROR(__xludf.DUMMYFUNCTION("""COMPUTED_VALUE"""),0.0)</f>
        <v>0</v>
      </c>
      <c r="BO77" s="675">
        <f>IFERROR(__xludf.DUMMYFUNCTION("""COMPUTED_VALUE"""),0.0)</f>
        <v>0</v>
      </c>
      <c r="BP77" s="675">
        <f>IFERROR(__xludf.DUMMYFUNCTION("""COMPUTED_VALUE"""),0.0)</f>
        <v>0</v>
      </c>
      <c r="BQ77" s="675" t="str">
        <f>IFERROR(__xludf.DUMMYFUNCTION("""COMPUTED_VALUE"""),"-")</f>
        <v>-</v>
      </c>
      <c r="BR77" s="139" t="str">
        <f>IFERROR(__xludf.DUMMYFUNCTION("""COMPUTED_VALUE"""),"該当なし")</f>
        <v>該当なし</v>
      </c>
      <c r="BS77" s="139" t="str">
        <f>IFERROR(__xludf.DUMMYFUNCTION("""COMPUTED_VALUE"""),"該当なし")</f>
        <v>該当なし</v>
      </c>
      <c r="BT77" s="139" t="str">
        <f>IFERROR(__xludf.DUMMYFUNCTION("""COMPUTED_VALUE"""),"#VALUE!")</f>
        <v>#VALUE!</v>
      </c>
      <c r="BU77" s="139">
        <f>IFERROR(__xludf.DUMMYFUNCTION("""COMPUTED_VALUE"""),0.0)</f>
        <v>0</v>
      </c>
      <c r="BV77" s="139" t="str">
        <f>IFERROR(__xludf.DUMMYFUNCTION("""COMPUTED_VALUE"""),"-")</f>
        <v>-</v>
      </c>
      <c r="BW77" s="139" t="str">
        <f>IFERROR(__xludf.DUMMYFUNCTION("""COMPUTED_VALUE"""),"-")</f>
        <v>-</v>
      </c>
      <c r="BX77" s="139" t="str">
        <f>IFERROR(__xludf.DUMMYFUNCTION("""COMPUTED_VALUE"""),"-")</f>
        <v>-</v>
      </c>
      <c r="BY77" s="139" t="str">
        <f>IFERROR(__xludf.DUMMYFUNCTION("""COMPUTED_VALUE"""),"-")</f>
        <v>-</v>
      </c>
      <c r="BZ77" s="139" t="str">
        <f>IFERROR(__xludf.DUMMYFUNCTION("""COMPUTED_VALUE"""),"-")</f>
        <v>-</v>
      </c>
      <c r="CA77" s="139" t="str">
        <f>IFERROR(__xludf.DUMMYFUNCTION("""COMPUTED_VALUE"""),"-")</f>
        <v>-</v>
      </c>
      <c r="CB77" s="139" t="str">
        <f>IFERROR(__xludf.DUMMYFUNCTION("""COMPUTED_VALUE"""),"-")</f>
        <v>-</v>
      </c>
      <c r="CC77" s="139" t="str">
        <f>IFERROR(__xludf.DUMMYFUNCTION("""COMPUTED_VALUE"""),"該当なし")</f>
        <v>該当なし</v>
      </c>
      <c r="CD77" s="139"/>
      <c r="CE77" s="139" t="str">
        <f>IFERROR(__xludf.DUMMYFUNCTION("""COMPUTED_VALUE"""),"-")</f>
        <v>-</v>
      </c>
      <c r="CF77" s="139" t="str">
        <f>IFERROR(__xludf.DUMMYFUNCTION("""COMPUTED_VALUE"""),"#VALUE!")</f>
        <v>#VALUE!</v>
      </c>
      <c r="CG77" s="139" t="str">
        <f>IFERROR(__xludf.DUMMYFUNCTION("""COMPUTED_VALUE"""),"タップしたコマ")</f>
        <v>タップしたコマ</v>
      </c>
      <c r="CH77" s="139" t="str">
        <f>IFERROR(__xludf.DUMMYFUNCTION("""COMPUTED_VALUE"""),"タップしたコマ")</f>
        <v>タップしたコマ</v>
      </c>
      <c r="CI77" s="139" t="str">
        <f>IFERROR(__xludf.DUMMYFUNCTION("""COMPUTED_VALUE"""),"-")</f>
        <v>-</v>
      </c>
      <c r="CJ77" s="139" t="str">
        <f>IFERROR(__xludf.DUMMYFUNCTION("""COMPUTED_VALUE"""),"タップしたコマ")</f>
        <v>タップしたコマ</v>
      </c>
      <c r="CK77" s="139" t="str">
        <f>IFERROR(__xludf.DUMMYFUNCTION("""COMPUTED_VALUE"""),"味方")</f>
        <v>味方</v>
      </c>
      <c r="CL77" s="139" t="str">
        <f>IFERROR(__xludf.DUMMYFUNCTION("""COMPUTED_VALUE"""),"All")</f>
        <v>All</v>
      </c>
      <c r="CM77" s="139" t="str">
        <f>IFERROR(__xludf.DUMMYFUNCTION("""COMPUTED_VALUE"""),"アタック")</f>
        <v>アタック</v>
      </c>
      <c r="CN77" s="675" t="str">
        <f>IFERROR(__xludf.DUMMYFUNCTION("""COMPUTED_VALUE"""),"-")</f>
        <v>-</v>
      </c>
      <c r="CO77" s="139" t="str">
        <f>IFERROR(__xludf.DUMMYFUNCTION("""COMPUTED_VALUE"""),"-")</f>
        <v>-</v>
      </c>
      <c r="CP77" s="139" t="str">
        <f>IFERROR(__xludf.DUMMYFUNCTION("""COMPUTED_VALUE"""),"-")</f>
        <v>-</v>
      </c>
      <c r="CQ77" s="139" t="str">
        <f>IFERROR(__xludf.DUMMYFUNCTION("""COMPUTED_VALUE"""),"-")</f>
        <v>-</v>
      </c>
      <c r="CR77" s="139" t="str">
        <f>IFERROR(__xludf.DUMMYFUNCTION("""COMPUTED_VALUE"""),"SP専用")</f>
        <v>SP専用</v>
      </c>
      <c r="CS77" s="673" t="str">
        <f>IFERROR(__xludf.DUMMYFUNCTION("""COMPUTED_VALUE"""),"ダメージカット(アタック)")</f>
        <v>ダメージカット(アタック)</v>
      </c>
      <c r="CT77" s="139" t="str">
        <f>IFERROR(__xludf.DUMMYFUNCTION("""COMPUTED_VALUE"""),"SP専用")</f>
        <v>SP専用</v>
      </c>
      <c r="CU77" s="139" t="str">
        <f>IFERROR(__xludf.DUMMYFUNCTION("""COMPUTED_VALUE"""),"味方")</f>
        <v>味方</v>
      </c>
      <c r="CV77" s="139" t="str">
        <f>IFERROR(__xludf.DUMMYFUNCTION("""COMPUTED_VALUE"""),"All")</f>
        <v>All</v>
      </c>
      <c r="CW77" s="139" t="str">
        <f>IFERROR(__xludf.DUMMYFUNCTION("""COMPUTED_VALUE"""),"アタック")</f>
        <v>アタック</v>
      </c>
      <c r="CX77" s="674">
        <f>IFERROR(__xludf.DUMMYFUNCTION("""COMPUTED_VALUE"""),22.1)</f>
        <v>22.1</v>
      </c>
      <c r="CY77" s="139">
        <f>IFERROR(__xludf.DUMMYFUNCTION("""COMPUTED_VALUE"""),5.3)</f>
        <v>5.3</v>
      </c>
      <c r="CZ77" s="688" t="str">
        <f>IFERROR(__xludf.DUMMYFUNCTION("""COMPUTED_VALUE"""),"-")</f>
        <v>-</v>
      </c>
      <c r="DA77" s="688">
        <f>IFERROR(__xludf.DUMMYFUNCTION("""COMPUTED_VALUE"""),0.0)</f>
        <v>0</v>
      </c>
      <c r="DB77" s="688">
        <f>IFERROR(__xludf.DUMMYFUNCTION("""COMPUTED_VALUE"""),0.0)</f>
        <v>0</v>
      </c>
      <c r="DC77" s="139" t="str">
        <f>IFERROR(__xludf.DUMMYFUNCTION("""COMPUTED_VALUE"""),"-")</f>
        <v>-</v>
      </c>
      <c r="DD77" s="673" t="str">
        <f>IFERROR(__xludf.DUMMYFUNCTION("""COMPUTED_VALUE"""),"-")</f>
        <v>-</v>
      </c>
      <c r="DE77" s="139" t="str">
        <f>IFERROR(__xludf.DUMMYFUNCTION("""COMPUTED_VALUE"""),"-")</f>
        <v>-</v>
      </c>
      <c r="DF77" s="139" t="str">
        <f>IFERROR(__xludf.DUMMYFUNCTION("""COMPUTED_VALUE"""),"-")</f>
        <v>-</v>
      </c>
      <c r="DG77" s="139" t="str">
        <f>IFERROR(__xludf.DUMMYFUNCTION("""COMPUTED_VALUE"""),"-")</f>
        <v>-</v>
      </c>
      <c r="DH77" s="139" t="str">
        <f>IFERROR(__xludf.DUMMYFUNCTION("""COMPUTED_VALUE"""),"-")</f>
        <v>-</v>
      </c>
      <c r="DI77" s="139" t="str">
        <f>IFERROR(__xludf.DUMMYFUNCTION("""COMPUTED_VALUE"""),"-")</f>
        <v>-</v>
      </c>
      <c r="DJ77" s="139" t="str">
        <f>IFERROR(__xludf.DUMMYFUNCTION("""COMPUTED_VALUE"""),"-")</f>
        <v>-</v>
      </c>
    </row>
    <row r="78">
      <c r="A78" s="139" t="str">
        <f>IFERROR(__xludf.DUMMYFUNCTION("""COMPUTED_VALUE"""),"株式会社マジルミエ")</f>
        <v>株式会社マジルミエ</v>
      </c>
      <c r="B78" s="139" t="str">
        <f>IFERROR(__xludf.DUMMYFUNCTION("""COMPUTED_VALUE"""),"絶対効率の体現者 土刃 メイ")</f>
        <v>絶対効率の体現者 土刃 メイ</v>
      </c>
      <c r="C78" s="139" t="str">
        <f>IFERROR(__xludf.DUMMYFUNCTION("""COMPUTED_VALUE"""),"chara_mag_00201")</f>
        <v>chara_mag_00201</v>
      </c>
      <c r="D78" s="139" t="str">
        <f>IFERROR(__xludf.DUMMYFUNCTION("""COMPUTED_VALUE"""),"PremiumUR")</f>
        <v>PremiumUR</v>
      </c>
      <c r="E78" s="139" t="str">
        <f>IFERROR(__xludf.DUMMYFUNCTION("""COMPUTED_VALUE"""),"赤")</f>
        <v>赤</v>
      </c>
      <c r="F78" s="139" t="str">
        <f>IFERROR(__xludf.DUMMYFUNCTION("""COMPUTED_VALUE"""),"アタック")</f>
        <v>アタック</v>
      </c>
      <c r="G78" s="139" t="str">
        <f>IFERROR(__xludf.DUMMYFUNCTION("""COMPUTED_VALUE"""),"遠距離")</f>
        <v>遠距離</v>
      </c>
      <c r="H78" s="139" t="str">
        <f>IFERROR(__xludf.DUMMYFUNCTION("""COMPUTED_VALUE"""),"shageki_1")</f>
        <v>shageki_1</v>
      </c>
      <c r="I78" s="139" t="str">
        <f>IFERROR(__xludf.DUMMYFUNCTION("""COMPUTED_VALUE"""),"dageki_1")</f>
        <v>dageki_1</v>
      </c>
      <c r="J78" s="139" t="str">
        <f>IFERROR(__xludf.DUMMYFUNCTION("""COMPUTED_VALUE"""),"202511010_株式会社マジルミエ")</f>
        <v>202511010_株式会社マジルミエ</v>
      </c>
      <c r="K78" s="139" t="str">
        <f>IFERROR(__xludf.DUMMYFUNCTION("""COMPUTED_VALUE"""),"株式会社マジルミエいいジャン祭")</f>
        <v>株式会社マジルミエいいジャン祭</v>
      </c>
      <c r="L78" s="687" t="str">
        <f>IFERROR(__xludf.DUMMYFUNCTION("""COMPUTED_VALUE"""),"※")</f>
        <v>※</v>
      </c>
      <c r="M78" s="674">
        <f>IFERROR(__xludf.DUMMYFUNCTION("""COMPUTED_VALUE"""),275.0)</f>
        <v>275</v>
      </c>
      <c r="N78" s="139">
        <f>IFERROR(__xludf.DUMMYFUNCTION("""COMPUTED_VALUE"""),200.0)</f>
        <v>200</v>
      </c>
      <c r="O78" s="139" t="str">
        <f>IFERROR(__xludf.DUMMYFUNCTION("""COMPUTED_VALUE"""),"低コスト")</f>
        <v>低コスト</v>
      </c>
      <c r="P78" s="139">
        <f>IFERROR(__xludf.DUMMYFUNCTION("""COMPUTED_VALUE"""),50.0)</f>
        <v>50</v>
      </c>
      <c r="Q78" s="675">
        <f>IFERROR(__xludf.DUMMYFUNCTION("""COMPUTED_VALUE"""),15.0)</f>
        <v>15</v>
      </c>
      <c r="R78" s="675">
        <f>IFERROR(__xludf.DUMMYFUNCTION("""COMPUTED_VALUE"""),10.0)</f>
        <v>10</v>
      </c>
      <c r="S78" s="675">
        <f>IFERROR(__xludf.DUMMYFUNCTION("""COMPUTED_VALUE"""),4.375)</f>
        <v>4.375</v>
      </c>
      <c r="T78" s="674">
        <f>IFERROR(__xludf.DUMMYFUNCTION("""COMPUTED_VALUE"""),260.0)</f>
        <v>260</v>
      </c>
      <c r="U78" s="675">
        <f>IFERROR(__xludf.DUMMYFUNCTION("""COMPUTED_VALUE"""),5.2)</f>
        <v>5.2</v>
      </c>
      <c r="V78" s="675">
        <f>IFERROR(__xludf.DUMMYFUNCTION("""COMPUTED_VALUE"""),0.7)</f>
        <v>0.7</v>
      </c>
      <c r="W78" s="675">
        <f>IFERROR(__xludf.DUMMYFUNCTION("""COMPUTED_VALUE"""),0.0)</f>
        <v>0</v>
      </c>
      <c r="X78" s="675">
        <f>IFERROR(__xludf.DUMMYFUNCTION("""COMPUTED_VALUE"""),0.0)</f>
        <v>0</v>
      </c>
      <c r="Y78" s="674">
        <f>IFERROR(__xludf.DUMMYFUNCTION("""COMPUTED_VALUE"""),100.0)</f>
        <v>100</v>
      </c>
      <c r="Z78" s="675">
        <f>IFERROR(__xludf.DUMMYFUNCTION("""COMPUTED_VALUE"""),2.0)</f>
        <v>2</v>
      </c>
      <c r="AA78" s="675">
        <f>IFERROR(__xludf.DUMMYFUNCTION("""COMPUTED_VALUE"""),0.0)</f>
        <v>0</v>
      </c>
      <c r="AB78" s="673">
        <f>IFERROR(__xludf.DUMMYFUNCTION("""COMPUTED_VALUE"""),-0.16666666666666669)</f>
        <v>-0.1666666667</v>
      </c>
      <c r="AC78" s="675">
        <f>IFERROR(__xludf.DUMMYFUNCTION("""COMPUTED_VALUE"""),0.0)</f>
        <v>0</v>
      </c>
      <c r="AD78" s="674">
        <f>IFERROR(__xludf.DUMMYFUNCTION("""COMPUTED_VALUE"""),710.0)</f>
        <v>710</v>
      </c>
      <c r="AE78" s="675">
        <f>IFERROR(__xludf.DUMMYFUNCTION("""COMPUTED_VALUE"""),14.200938936093861)</f>
        <v>14.20093894</v>
      </c>
      <c r="AF78" s="675">
        <f>IFERROR(__xludf.DUMMYFUNCTION("""COMPUTED_VALUE"""),0.0)</f>
        <v>0</v>
      </c>
      <c r="AG78" s="675">
        <f>IFERROR(__xludf.DUMMYFUNCTION("""COMPUTED_VALUE"""),7.1004694680469305)</f>
        <v>7.100469468</v>
      </c>
      <c r="AH78" s="675">
        <f>IFERROR(__xludf.DUMMYFUNCTION("""COMPUTED_VALUE"""),0.0)</f>
        <v>0</v>
      </c>
      <c r="AI78" s="139" t="str">
        <f>IFERROR(__xludf.DUMMYFUNCTION("""COMPUTED_VALUE"""),"-")</f>
        <v>-</v>
      </c>
      <c r="AJ78" s="139" t="str">
        <f>IFERROR(__xludf.DUMMYFUNCTION("""COMPUTED_VALUE"""),"-")</f>
        <v>-</v>
      </c>
      <c r="AK78" s="139">
        <f>IFERROR(__xludf.DUMMYFUNCTION("""COMPUTED_VALUE"""),1.0)</f>
        <v>1</v>
      </c>
      <c r="AL78" s="674">
        <f>IFERROR(__xludf.DUMMYFUNCTION("""COMPUTED_VALUE"""),500.0)</f>
        <v>500</v>
      </c>
      <c r="AM78" s="688">
        <f>IFERROR(__xludf.DUMMYFUNCTION("""COMPUTED_VALUE"""),4085.154059640829)</f>
        <v>4085.15406</v>
      </c>
      <c r="AN78" s="675">
        <f>IFERROR(__xludf.DUMMYFUNCTION("""COMPUTED_VALUE"""),3.3333333333333335)</f>
        <v>3.333333333</v>
      </c>
      <c r="AO78" s="675">
        <f>IFERROR(__xludf.DUMMYFUNCTION("""COMPUTED_VALUE"""),1.6666666666666667)</f>
        <v>1.666666667</v>
      </c>
      <c r="AP78" s="674">
        <f>IFERROR(__xludf.DUMMYFUNCTION("""COMPUTED_VALUE"""),830.0)</f>
        <v>830</v>
      </c>
      <c r="AQ78" s="673">
        <f>IFERROR(__xludf.DUMMYFUNCTION("""COMPUTED_VALUE"""),-0.2)</f>
        <v>-0.2</v>
      </c>
      <c r="AR78" s="673">
        <f>IFERROR(__xludf.DUMMYFUNCTION("""COMPUTED_VALUE"""),0.0)</f>
        <v>0</v>
      </c>
      <c r="AS78" s="673">
        <f>IFERROR(__xludf.DUMMYFUNCTION("""COMPUTED_VALUE"""),-0.3)</f>
        <v>-0.3</v>
      </c>
      <c r="AT78" s="673">
        <f>IFERROR(__xludf.DUMMYFUNCTION("""COMPUTED_VALUE"""),0.1)</f>
        <v>0.1</v>
      </c>
      <c r="AU78" s="673">
        <f>IFERROR(__xludf.DUMMYFUNCTION("""COMPUTED_VALUE"""),0.0)</f>
        <v>0</v>
      </c>
      <c r="AV78" s="673">
        <f>IFERROR(__xludf.DUMMYFUNCTION("""COMPUTED_VALUE"""),0.0)</f>
        <v>0</v>
      </c>
      <c r="AW78" s="139"/>
      <c r="AX78" s="674">
        <f>IFERROR(__xludf.DUMMYFUNCTION("""COMPUTED_VALUE"""),2160.0)</f>
        <v>2160</v>
      </c>
      <c r="AY78" s="688">
        <f>IFERROR(__xludf.DUMMYFUNCTION("""COMPUTED_VALUE"""),17653.82073764838)</f>
        <v>17653.82074</v>
      </c>
      <c r="AZ78" s="674">
        <f>IFERROR(__xludf.DUMMYFUNCTION("""COMPUTED_VALUE"""),720.0)</f>
        <v>720</v>
      </c>
      <c r="BA78" s="688">
        <f>IFERROR(__xludf.DUMMYFUNCTION("""COMPUTED_VALUE"""),5884.6069125494605)</f>
        <v>5884.606913</v>
      </c>
      <c r="BB78" s="688" t="str">
        <f>IFERROR(__xludf.DUMMYFUNCTION("""COMPUTED_VALUE"""),"-")</f>
        <v>-</v>
      </c>
      <c r="BC78" s="688" t="str">
        <f>IFERROR(__xludf.DUMMYFUNCTION("""COMPUTED_VALUE"""),"#VALUE!")</f>
        <v>#VALUE!</v>
      </c>
      <c r="BD78" s="688" t="str">
        <f>IFERROR(__xludf.DUMMYFUNCTION("""COMPUTED_VALUE"""),"#VALUE!")</f>
        <v>#VALUE!</v>
      </c>
      <c r="BE78" s="674">
        <f>IFERROR(__xludf.DUMMYFUNCTION("""COMPUTED_VALUE"""),720.0)</f>
        <v>720</v>
      </c>
      <c r="BF78" s="674">
        <f>IFERROR(__xludf.DUMMYFUNCTION("""COMPUTED_VALUE"""),550.0)</f>
        <v>550</v>
      </c>
      <c r="BG78" s="673">
        <f>IFERROR(__xludf.DUMMYFUNCTION("""COMPUTED_VALUE"""),-0.1)</f>
        <v>-0.1</v>
      </c>
      <c r="BH78" s="673">
        <f>IFERROR(__xludf.DUMMYFUNCTION("""COMPUTED_VALUE"""),0.3)</f>
        <v>0.3</v>
      </c>
      <c r="BI78" s="673">
        <f>IFERROR(__xludf.DUMMYFUNCTION("""COMPUTED_VALUE"""),0.1)</f>
        <v>0.1</v>
      </c>
      <c r="BJ78" s="673">
        <f>IFERROR(__xludf.DUMMYFUNCTION("""COMPUTED_VALUE"""),0.0)</f>
        <v>0</v>
      </c>
      <c r="BK78" s="673">
        <f>IFERROR(__xludf.DUMMYFUNCTION("""COMPUTED_VALUE"""),0.0)</f>
        <v>0</v>
      </c>
      <c r="BL78" s="673">
        <f>IFERROR(__xludf.DUMMYFUNCTION("""COMPUTED_VALUE"""),0.0)</f>
        <v>0</v>
      </c>
      <c r="BM78" s="674">
        <f>IFERROR(__xludf.DUMMYFUNCTION("""COMPUTED_VALUE"""),150.0)</f>
        <v>150</v>
      </c>
      <c r="BN78" s="674">
        <f>IFERROR(__xludf.DUMMYFUNCTION("""COMPUTED_VALUE"""),150.0)</f>
        <v>150</v>
      </c>
      <c r="BO78" s="675">
        <f>IFERROR(__xludf.DUMMYFUNCTION("""COMPUTED_VALUE"""),0.0)</f>
        <v>0</v>
      </c>
      <c r="BP78" s="675">
        <f>IFERROR(__xludf.DUMMYFUNCTION("""COMPUTED_VALUE"""),3.0)</f>
        <v>3</v>
      </c>
      <c r="BQ78" s="139" t="str">
        <f>IFERROR(__xludf.DUMMYFUNCTION("""COMPUTED_VALUE"""),"(遠距離)攻撃を飛ばす系")</f>
        <v>(遠距離)攻撃を飛ばす系</v>
      </c>
      <c r="BR78" s="139">
        <f>IFERROR(__xludf.DUMMYFUNCTION("""COMPUTED_VALUE"""),3.0)</f>
        <v>3</v>
      </c>
      <c r="BS78" s="139">
        <f>IFERROR(__xludf.DUMMYFUNCTION("""COMPUTED_VALUE"""),45.0)</f>
        <v>45</v>
      </c>
      <c r="BT78" s="139">
        <f>IFERROR(__xludf.DUMMYFUNCTION("""COMPUTED_VALUE"""),0.49)</f>
        <v>0.49</v>
      </c>
      <c r="BU78" s="139">
        <f>IFERROR(__xludf.DUMMYFUNCTION("""COMPUTED_VALUE"""),-0.1)</f>
        <v>-0.1</v>
      </c>
      <c r="BV78" s="139" t="str">
        <f>IFERROR(__xludf.DUMMYFUNCTION("""COMPUTED_VALUE"""),"速い")</f>
        <v>速い</v>
      </c>
      <c r="BW78" s="139" t="str">
        <f>IFERROR(__xludf.DUMMYFUNCTION("""COMPUTED_VALUE"""),"体力条件強化(以上/攻撃)")</f>
        <v>体力条件強化(以上/攻撃)</v>
      </c>
      <c r="BX78" s="139" t="str">
        <f>IFERROR(__xludf.DUMMYFUNCTION("""COMPUTED_VALUE"""),"HP50/35")</f>
        <v>HP50/35</v>
      </c>
      <c r="BY78" s="139">
        <f>IFERROR(__xludf.DUMMYFUNCTION("""COMPUTED_VALUE"""),0.0)</f>
        <v>0</v>
      </c>
      <c r="BZ78" s="139" t="str">
        <f>IFERROR(__xludf.DUMMYFUNCTION("""COMPUTED_VALUE"""),"ダメージコマ無効化")</f>
        <v>ダメージコマ無効化</v>
      </c>
      <c r="CA78" s="139" t="str">
        <f>IFERROR(__xludf.DUMMYFUNCTION("""COMPUTED_VALUE"""),"-")</f>
        <v>-</v>
      </c>
      <c r="CB78" s="139">
        <f>IFERROR(__xludf.DUMMYFUNCTION("""COMPUTED_VALUE"""),4.0)</f>
        <v>4</v>
      </c>
      <c r="CC78" s="139" t="str">
        <f>IFERROR(__xludf.DUMMYFUNCTION("""COMPUTED_VALUE"""),"遠距離")</f>
        <v>遠距離</v>
      </c>
      <c r="CD78" s="139" t="str">
        <f>IFERROR(__xludf.DUMMYFUNCTION("""COMPUTED_VALUE"""),"単体")</f>
        <v>単体</v>
      </c>
      <c r="CE78" s="139">
        <f>IFERROR(__xludf.DUMMYFUNCTION("""COMPUTED_VALUE"""),1.0)</f>
        <v>1</v>
      </c>
      <c r="CF78" s="139">
        <f>IFERROR(__xludf.DUMMYFUNCTION("""COMPUTED_VALUE"""),0.5)</f>
        <v>0.5</v>
      </c>
      <c r="CG78" s="139" t="str">
        <f>IFERROR(__xludf.DUMMYFUNCTION("""COMPUTED_VALUE"""),"遠距離")</f>
        <v>遠距離</v>
      </c>
      <c r="CH78" s="139" t="str">
        <f>IFERROR(__xludf.DUMMYFUNCTION("""COMPUTED_VALUE"""),"範囲(小：威力減)")</f>
        <v>範囲(小：威力減)</v>
      </c>
      <c r="CI78" s="139">
        <f>IFERROR(__xludf.DUMMYFUNCTION("""COMPUTED_VALUE"""),0.5)</f>
        <v>0.5</v>
      </c>
      <c r="CJ78" s="139">
        <f>IFERROR(__xludf.DUMMYFUNCTION("""COMPUTED_VALUE"""),0.6)</f>
        <v>0.6</v>
      </c>
      <c r="CK78" s="139" t="str">
        <f>IFERROR(__xludf.DUMMYFUNCTION("""COMPUTED_VALUE"""),"敵")</f>
        <v>敵</v>
      </c>
      <c r="CL78" s="139" t="str">
        <f>IFERROR(__xludf.DUMMYFUNCTION("""COMPUTED_VALUE"""),"All")</f>
        <v>All</v>
      </c>
      <c r="CM78" s="139" t="str">
        <f>IFERROR(__xludf.DUMMYFUNCTION("""COMPUTED_VALUE"""),"All")</f>
        <v>All</v>
      </c>
      <c r="CN78" s="675">
        <f>IFERROR(__xludf.DUMMYFUNCTION("""COMPUTED_VALUE"""),14.200938936093861)</f>
        <v>14.20093894</v>
      </c>
      <c r="CO78" s="139" t="str">
        <f>IFERROR(__xludf.DUMMYFUNCTION("""COMPUTED_VALUE"""),"-")</f>
        <v>-</v>
      </c>
      <c r="CP78" s="139" t="str">
        <f>IFERROR(__xludf.DUMMYFUNCTION("""COMPUTED_VALUE"""),"-")</f>
        <v>-</v>
      </c>
      <c r="CQ78" s="139" t="str">
        <f>IFERROR(__xludf.DUMMYFUNCTION("""COMPUTED_VALUE"""),"-")</f>
        <v>-</v>
      </c>
      <c r="CR78" s="139" t="str">
        <f>IFERROR(__xludf.DUMMYFUNCTION("""COMPUTED_VALUE"""),"-")</f>
        <v>-</v>
      </c>
      <c r="CS78" s="673" t="str">
        <f>IFERROR(__xludf.DUMMYFUNCTION("""COMPUTED_VALUE"""),"連続攻撃")</f>
        <v>連続攻撃</v>
      </c>
      <c r="CT78" s="139" t="str">
        <f>IFERROR(__xludf.DUMMYFUNCTION("""COMPUTED_VALUE"""),"-")</f>
        <v>-</v>
      </c>
      <c r="CU78" s="139" t="str">
        <f>IFERROR(__xludf.DUMMYFUNCTION("""COMPUTED_VALUE"""),"敵")</f>
        <v>敵</v>
      </c>
      <c r="CV78" s="139" t="str">
        <f>IFERROR(__xludf.DUMMYFUNCTION("""COMPUTED_VALUE"""),"All")</f>
        <v>All</v>
      </c>
      <c r="CW78" s="139" t="str">
        <f>IFERROR(__xludf.DUMMYFUNCTION("""COMPUTED_VALUE"""),"All")</f>
        <v>All</v>
      </c>
      <c r="CX78" s="674">
        <f>IFERROR(__xludf.DUMMYFUNCTION("""COMPUTED_VALUE"""),113.0)</f>
        <v>113</v>
      </c>
      <c r="CY78" s="139" t="str">
        <f>IFERROR(__xludf.DUMMYFUNCTION("""COMPUTED_VALUE"""),"-")</f>
        <v>-</v>
      </c>
      <c r="CZ78" s="688">
        <f>IFERROR(__xludf.DUMMYFUNCTION("""COMPUTED_VALUE"""),19949.0)</f>
        <v>19949</v>
      </c>
      <c r="DA78" s="688">
        <f>IFERROR(__xludf.DUMMYFUNCTION("""COMPUTED_VALUE"""),1536.802876446775)</f>
        <v>1536.802876</v>
      </c>
      <c r="DB78" s="688">
        <f>IFERROR(__xludf.DUMMYFUNCTION("""COMPUTED_VALUE"""),7684.014382233874)</f>
        <v>7684.014382</v>
      </c>
      <c r="DC78" s="673" t="str">
        <f>IFERROR(__xludf.DUMMYFUNCTION("""COMPUTED_VALUE"""),"ノックバック")</f>
        <v>ノックバック</v>
      </c>
      <c r="DD78" s="673">
        <f>IFERROR(__xludf.DUMMYFUNCTION("""COMPUTED_VALUE"""),2.0)</f>
        <v>2</v>
      </c>
      <c r="DE78" s="139" t="str">
        <f>IFERROR(__xludf.DUMMYFUNCTION("""COMPUTED_VALUE"""),"-")</f>
        <v>-</v>
      </c>
      <c r="DF78" s="139" t="str">
        <f>IFERROR(__xludf.DUMMYFUNCTION("""COMPUTED_VALUE"""),"-")</f>
        <v>-</v>
      </c>
      <c r="DG78" s="139" t="str">
        <f>IFERROR(__xludf.DUMMYFUNCTION("""COMPUTED_VALUE"""),"-")</f>
        <v>-</v>
      </c>
      <c r="DH78" s="139" t="str">
        <f>IFERROR(__xludf.DUMMYFUNCTION("""COMPUTED_VALUE"""),"-")</f>
        <v>-</v>
      </c>
      <c r="DI78" s="139" t="str">
        <f>IFERROR(__xludf.DUMMYFUNCTION("""COMPUTED_VALUE"""),"-")</f>
        <v>-</v>
      </c>
      <c r="DJ78" s="139" t="str">
        <f>IFERROR(__xludf.DUMMYFUNCTION("""COMPUTED_VALUE"""),"-")</f>
        <v>-</v>
      </c>
    </row>
    <row r="79">
      <c r="A79" s="139" t="str">
        <f>IFERROR(__xludf.DUMMYFUNCTION("""COMPUTED_VALUE"""),"2.5次元の誘惑")</f>
        <v>2.5次元の誘惑</v>
      </c>
      <c r="B79" s="139" t="str">
        <f>IFERROR(__xludf.DUMMYFUNCTION("""COMPUTED_VALUE"""),"伝えたいウチの想い 喜咲 アリア")</f>
        <v>伝えたいウチの想い 喜咲 アリア</v>
      </c>
      <c r="C79" s="139" t="str">
        <f>IFERROR(__xludf.DUMMYFUNCTION("""COMPUTED_VALUE"""),"chara_yuw_00401")</f>
        <v>chara_yuw_00401</v>
      </c>
      <c r="D79" s="139" t="str">
        <f>IFERROR(__xludf.DUMMYFUNCTION("""COMPUTED_VALUE"""),"PremiumUR")</f>
        <v>PremiumUR</v>
      </c>
      <c r="E79" s="139" t="str">
        <f>IFERROR(__xludf.DUMMYFUNCTION("""COMPUTED_VALUE"""),"赤")</f>
        <v>赤</v>
      </c>
      <c r="F79" s="139" t="str">
        <f>IFERROR(__xludf.DUMMYFUNCTION("""COMPUTED_VALUE"""),"ディフェンス")</f>
        <v>ディフェンス</v>
      </c>
      <c r="G79" s="139" t="str">
        <f>IFERROR(__xludf.DUMMYFUNCTION("""COMPUTED_VALUE"""),"近距離")</f>
        <v>近距離</v>
      </c>
      <c r="H79" s="139" t="str">
        <f>IFERROR(__xludf.DUMMYFUNCTION("""COMPUTED_VALUE"""),"dageki_2")</f>
        <v>dageki_2</v>
      </c>
      <c r="I79" s="139" t="str">
        <f>IFERROR(__xludf.DUMMYFUNCTION("""COMPUTED_VALUE"""),"zangeki_1")</f>
        <v>zangeki_1</v>
      </c>
      <c r="J79" s="139" t="str">
        <f>IFERROR(__xludf.DUMMYFUNCTION("""COMPUTED_VALUE"""),"202511020_【クリスマス】2.5次元の誘惑")</f>
        <v>202511020_【クリスマス】2.5次元の誘惑</v>
      </c>
      <c r="K79" s="139" t="str">
        <f>IFERROR(__xludf.DUMMYFUNCTION("""COMPUTED_VALUE"""),"2.5次元の誘惑いいジャン祭")</f>
        <v>2.5次元の誘惑いいジャン祭</v>
      </c>
      <c r="L79" s="687" t="str">
        <f>IFERROR(__xludf.DUMMYFUNCTION("""COMPUTED_VALUE"""),"※")</f>
        <v>※</v>
      </c>
      <c r="M79" s="674">
        <f>IFERROR(__xludf.DUMMYFUNCTION("""COMPUTED_VALUE"""),840.0)</f>
        <v>840</v>
      </c>
      <c r="N79" s="139">
        <f>IFERROR(__xludf.DUMMYFUNCTION("""COMPUTED_VALUE"""),1000.0)</f>
        <v>1000</v>
      </c>
      <c r="O79" s="139" t="str">
        <f>IFERROR(__xludf.DUMMYFUNCTION("""COMPUTED_VALUE"""),"高コスト")</f>
        <v>高コスト</v>
      </c>
      <c r="P79" s="139">
        <f>IFERROR(__xludf.DUMMYFUNCTION("""COMPUTED_VALUE"""),-200.0)</f>
        <v>-200</v>
      </c>
      <c r="Q79" s="675">
        <f>IFERROR(__xludf.DUMMYFUNCTION("""COMPUTED_VALUE"""),20.0)</f>
        <v>20</v>
      </c>
      <c r="R79" s="675">
        <f>IFERROR(__xludf.DUMMYFUNCTION("""COMPUTED_VALUE"""),20.0)</f>
        <v>20</v>
      </c>
      <c r="S79" s="675">
        <f>IFERROR(__xludf.DUMMYFUNCTION("""COMPUTED_VALUE"""),18.5)</f>
        <v>18.5</v>
      </c>
      <c r="T79" s="674">
        <f>IFERROR(__xludf.DUMMYFUNCTION("""COMPUTED_VALUE"""),1535.0)</f>
        <v>1535</v>
      </c>
      <c r="U79" s="675">
        <f>IFERROR(__xludf.DUMMYFUNCTION("""COMPUTED_VALUE"""),30.693333333333335)</f>
        <v>30.69333333</v>
      </c>
      <c r="V79" s="675">
        <f>IFERROR(__xludf.DUMMYFUNCTION("""COMPUTED_VALUE"""),0.0)</f>
        <v>0</v>
      </c>
      <c r="W79" s="675">
        <f>IFERROR(__xludf.DUMMYFUNCTION("""COMPUTED_VALUE"""),0.0)</f>
        <v>0</v>
      </c>
      <c r="X79" s="675">
        <f>IFERROR(__xludf.DUMMYFUNCTION("""COMPUTED_VALUE"""),0.0)</f>
        <v>0</v>
      </c>
      <c r="Y79" s="674">
        <f>IFERROR(__xludf.DUMMYFUNCTION("""COMPUTED_VALUE"""),550.0)</f>
        <v>550</v>
      </c>
      <c r="Z79" s="675">
        <f>IFERROR(__xludf.DUMMYFUNCTION("""COMPUTED_VALUE"""),11.0)</f>
        <v>11</v>
      </c>
      <c r="AA79" s="675">
        <f>IFERROR(__xludf.DUMMYFUNCTION("""COMPUTED_VALUE"""),-4.0)</f>
        <v>-4</v>
      </c>
      <c r="AB79" s="673">
        <f>IFERROR(__xludf.DUMMYFUNCTION("""COMPUTED_VALUE"""),0.0)</f>
        <v>0</v>
      </c>
      <c r="AC79" s="675">
        <f>IFERROR(__xludf.DUMMYFUNCTION("""COMPUTED_VALUE"""),0.0)</f>
        <v>0</v>
      </c>
      <c r="AD79" s="674">
        <f>IFERROR(__xludf.DUMMYFUNCTION("""COMPUTED_VALUE"""),1175.0)</f>
        <v>1175</v>
      </c>
      <c r="AE79" s="675">
        <f>IFERROR(__xludf.DUMMYFUNCTION("""COMPUTED_VALUE"""),23.54836539103153)</f>
        <v>23.54836539</v>
      </c>
      <c r="AF79" s="675">
        <f>IFERROR(__xludf.DUMMYFUNCTION("""COMPUTED_VALUE"""),-18.0)</f>
        <v>-18</v>
      </c>
      <c r="AG79" s="675">
        <f>IFERROR(__xludf.DUMMYFUNCTION("""COMPUTED_VALUE"""),20.774182695515766)</f>
        <v>20.7741827</v>
      </c>
      <c r="AH79" s="675">
        <f>IFERROR(__xludf.DUMMYFUNCTION("""COMPUTED_VALUE"""),0.0)</f>
        <v>0</v>
      </c>
      <c r="AI79" s="139" t="str">
        <f>IFERROR(__xludf.DUMMYFUNCTION("""COMPUTED_VALUE"""),"-")</f>
        <v>-</v>
      </c>
      <c r="AJ79" s="139" t="str">
        <f>IFERROR(__xludf.DUMMYFUNCTION("""COMPUTED_VALUE"""),"-")</f>
        <v>-</v>
      </c>
      <c r="AK79" s="139">
        <f>IFERROR(__xludf.DUMMYFUNCTION("""COMPUTED_VALUE"""),1.0)</f>
        <v>1</v>
      </c>
      <c r="AL79" s="674">
        <f>IFERROR(__xludf.DUMMYFUNCTION("""COMPUTED_VALUE"""),4280.0)</f>
        <v>4280</v>
      </c>
      <c r="AM79" s="688">
        <f>IFERROR(__xludf.DUMMYFUNCTION("""COMPUTED_VALUE"""),34980.96035052549)</f>
        <v>34980.96035</v>
      </c>
      <c r="AN79" s="675">
        <f>IFERROR(__xludf.DUMMYFUNCTION("""COMPUTED_VALUE"""),28.533333333333335)</f>
        <v>28.53333333</v>
      </c>
      <c r="AO79" s="675">
        <f>IFERROR(__xludf.DUMMYFUNCTION("""COMPUTED_VALUE"""),14.266666666666667)</f>
        <v>14.26666667</v>
      </c>
      <c r="AP79" s="674">
        <f>IFERROR(__xludf.DUMMYFUNCTION("""COMPUTED_VALUE"""),2520.0)</f>
        <v>2520</v>
      </c>
      <c r="AQ79" s="673">
        <f>IFERROR(__xludf.DUMMYFUNCTION("""COMPUTED_VALUE"""),0.9)</f>
        <v>0.9</v>
      </c>
      <c r="AR79" s="673">
        <f>IFERROR(__xludf.DUMMYFUNCTION("""COMPUTED_VALUE"""),0.0)</f>
        <v>0</v>
      </c>
      <c r="AS79" s="673">
        <f>IFERROR(__xludf.DUMMYFUNCTION("""COMPUTED_VALUE"""),0.0)</f>
        <v>0</v>
      </c>
      <c r="AT79" s="673">
        <f>IFERROR(__xludf.DUMMYFUNCTION("""COMPUTED_VALUE"""),-0.2)</f>
        <v>-0.2</v>
      </c>
      <c r="AU79" s="673">
        <f>IFERROR(__xludf.DUMMYFUNCTION("""COMPUTED_VALUE"""),0.0)</f>
        <v>0</v>
      </c>
      <c r="AV79" s="673">
        <f>IFERROR(__xludf.DUMMYFUNCTION("""COMPUTED_VALUE"""),0.0)</f>
        <v>0</v>
      </c>
      <c r="AW79" s="139"/>
      <c r="AX79" s="674">
        <f>IFERROR(__xludf.DUMMYFUNCTION("""COMPUTED_VALUE"""),3540.0)</f>
        <v>3540</v>
      </c>
      <c r="AY79" s="688">
        <f>IFERROR(__xludf.DUMMYFUNCTION("""COMPUTED_VALUE"""),28932.23954225707)</f>
        <v>28932.23954</v>
      </c>
      <c r="AZ79" s="674">
        <f>IFERROR(__xludf.DUMMYFUNCTION("""COMPUTED_VALUE"""),1180.0)</f>
        <v>1180</v>
      </c>
      <c r="BA79" s="688">
        <f>IFERROR(__xludf.DUMMYFUNCTION("""COMPUTED_VALUE"""),9644.079847419023)</f>
        <v>9644.079847</v>
      </c>
      <c r="BB79" s="688" t="str">
        <f>IFERROR(__xludf.DUMMYFUNCTION("""COMPUTED_VALUE"""),"-")</f>
        <v>-</v>
      </c>
      <c r="BC79" s="688" t="str">
        <f>IFERROR(__xludf.DUMMYFUNCTION("""COMPUTED_VALUE"""),"#VALUE!")</f>
        <v>#VALUE!</v>
      </c>
      <c r="BD79" s="688" t="str">
        <f>IFERROR(__xludf.DUMMYFUNCTION("""COMPUTED_VALUE"""),"#VALUE!")</f>
        <v>#VALUE!</v>
      </c>
      <c r="BE79" s="674">
        <f>IFERROR(__xludf.DUMMYFUNCTION("""COMPUTED_VALUE"""),1180.0)</f>
        <v>1180</v>
      </c>
      <c r="BF79" s="674">
        <f>IFERROR(__xludf.DUMMYFUNCTION("""COMPUTED_VALUE"""),1680.0)</f>
        <v>1680</v>
      </c>
      <c r="BG79" s="673">
        <f>IFERROR(__xludf.DUMMYFUNCTION("""COMPUTED_VALUE"""),0.2)</f>
        <v>0.2</v>
      </c>
      <c r="BH79" s="673">
        <f>IFERROR(__xludf.DUMMYFUNCTION("""COMPUTED_VALUE"""),-0.5)</f>
        <v>-0.5</v>
      </c>
      <c r="BI79" s="673">
        <f>IFERROR(__xludf.DUMMYFUNCTION("""COMPUTED_VALUE"""),0.0)</f>
        <v>0</v>
      </c>
      <c r="BJ79" s="673">
        <f>IFERROR(__xludf.DUMMYFUNCTION("""COMPUTED_VALUE"""),0.0)</f>
        <v>0</v>
      </c>
      <c r="BK79" s="673">
        <f>IFERROR(__xludf.DUMMYFUNCTION("""COMPUTED_VALUE"""),0.0)</f>
        <v>0</v>
      </c>
      <c r="BL79" s="673">
        <f>IFERROR(__xludf.DUMMYFUNCTION("""COMPUTED_VALUE"""),0.0)</f>
        <v>0</v>
      </c>
      <c r="BM79" s="674">
        <f>IFERROR(__xludf.DUMMYFUNCTION("""COMPUTED_VALUE"""),150.0)</f>
        <v>150</v>
      </c>
      <c r="BN79" s="674">
        <f>IFERROR(__xludf.DUMMYFUNCTION("""COMPUTED_VALUE"""),100.0)</f>
        <v>100</v>
      </c>
      <c r="BO79" s="675">
        <f>IFERROR(__xludf.DUMMYFUNCTION("""COMPUTED_VALUE"""),50.0)</f>
        <v>50</v>
      </c>
      <c r="BP79" s="675">
        <f>IFERROR(__xludf.DUMMYFUNCTION("""COMPUTED_VALUE"""),3.0)</f>
        <v>3</v>
      </c>
      <c r="BQ79" s="139" t="str">
        <f>IFERROR(__xludf.DUMMYFUNCTION("""COMPUTED_VALUE"""),"(近距離)武器・道具・特殊攻撃")</f>
        <v>(近距離)武器・道具・特殊攻撃</v>
      </c>
      <c r="BR79" s="139">
        <f>IFERROR(__xludf.DUMMYFUNCTION("""COMPUTED_VALUE"""),1.0)</f>
        <v>1</v>
      </c>
      <c r="BS79" s="139">
        <f>IFERROR(__xludf.DUMMYFUNCTION("""COMPUTED_VALUE"""),35.0)</f>
        <v>35</v>
      </c>
      <c r="BT79" s="139">
        <f>IFERROR(__xludf.DUMMYFUNCTION("""COMPUTED_VALUE"""),0.21)</f>
        <v>0.21</v>
      </c>
      <c r="BU79" s="139">
        <f>IFERROR(__xludf.DUMMYFUNCTION("""COMPUTED_VALUE"""),0.0)</f>
        <v>0</v>
      </c>
      <c r="BV79" s="139" t="str">
        <f>IFERROR(__xludf.DUMMYFUNCTION("""COMPUTED_VALUE"""),"普通")</f>
        <v>普通</v>
      </c>
      <c r="BW79" s="139" t="str">
        <f>IFERROR(__xludf.DUMMYFUNCTION("""COMPUTED_VALUE"""),"体力条件強化(以下/被ダメカット)")</f>
        <v>体力条件強化(以下/被ダメカット)</v>
      </c>
      <c r="BX79" s="139" t="str">
        <f>IFERROR(__xludf.DUMMYFUNCTION("""COMPUTED_VALUE"""),"HP50/40")</f>
        <v>HP50/40</v>
      </c>
      <c r="BY79" s="139">
        <f>IFERROR(__xludf.DUMMYFUNCTION("""COMPUTED_VALUE"""),0.0)</f>
        <v>0</v>
      </c>
      <c r="BZ79" s="139" t="str">
        <f>IFERROR(__xludf.DUMMYFUNCTION("""COMPUTED_VALUE"""),"根性")</f>
        <v>根性</v>
      </c>
      <c r="CA79" s="139">
        <f>IFERROR(__xludf.DUMMYFUNCTION("""COMPUTED_VALUE"""),1.0)</f>
        <v>1</v>
      </c>
      <c r="CB79" s="139">
        <f>IFERROR(__xludf.DUMMYFUNCTION("""COMPUTED_VALUE"""),4.0)</f>
        <v>4</v>
      </c>
      <c r="CC79" s="139" t="str">
        <f>IFERROR(__xludf.DUMMYFUNCTION("""COMPUTED_VALUE"""),"近距離")</f>
        <v>近距離</v>
      </c>
      <c r="CD79" s="139" t="str">
        <f>IFERROR(__xludf.DUMMYFUNCTION("""COMPUTED_VALUE"""),"単体")</f>
        <v>単体</v>
      </c>
      <c r="CE79" s="139">
        <f>IFERROR(__xludf.DUMMYFUNCTION("""COMPUTED_VALUE"""),1.0)</f>
        <v>1</v>
      </c>
      <c r="CF79" s="139">
        <f>IFERROR(__xludf.DUMMYFUNCTION("""COMPUTED_VALUE"""),0.22)</f>
        <v>0.22</v>
      </c>
      <c r="CG79" s="139" t="str">
        <f>IFERROR(__xludf.DUMMYFUNCTION("""COMPUTED_VALUE"""),"近距離")</f>
        <v>近距離</v>
      </c>
      <c r="CH79" s="139" t="str">
        <f>IFERROR(__xludf.DUMMYFUNCTION("""COMPUTED_VALUE"""),"単体")</f>
        <v>単体</v>
      </c>
      <c r="CI79" s="139">
        <f>IFERROR(__xludf.DUMMYFUNCTION("""COMPUTED_VALUE"""),1.0)</f>
        <v>1</v>
      </c>
      <c r="CJ79" s="139">
        <f>IFERROR(__xludf.DUMMYFUNCTION("""COMPUTED_VALUE"""),0.22)</f>
        <v>0.22</v>
      </c>
      <c r="CK79" s="139" t="str">
        <f>IFERROR(__xludf.DUMMYFUNCTION("""COMPUTED_VALUE"""),"敵")</f>
        <v>敵</v>
      </c>
      <c r="CL79" s="139" t="str">
        <f>IFERROR(__xludf.DUMMYFUNCTION("""COMPUTED_VALUE"""),"All")</f>
        <v>All</v>
      </c>
      <c r="CM79" s="139" t="str">
        <f>IFERROR(__xludf.DUMMYFUNCTION("""COMPUTED_VALUE"""),"All")</f>
        <v>All</v>
      </c>
      <c r="CN79" s="675">
        <f>IFERROR(__xludf.DUMMYFUNCTION("""COMPUTED_VALUE"""),23.54836539103153)</f>
        <v>23.54836539</v>
      </c>
      <c r="CO79" s="139" t="str">
        <f>IFERROR(__xludf.DUMMYFUNCTION("""COMPUTED_VALUE"""),"-")</f>
        <v>-</v>
      </c>
      <c r="CP79" s="139" t="str">
        <f>IFERROR(__xludf.DUMMYFUNCTION("""COMPUTED_VALUE"""),"-")</f>
        <v>-</v>
      </c>
      <c r="CQ79" s="139" t="str">
        <f>IFERROR(__xludf.DUMMYFUNCTION("""COMPUTED_VALUE"""),"-")</f>
        <v>-</v>
      </c>
      <c r="CR79" s="139" t="str">
        <f>IFERROR(__xludf.DUMMYFUNCTION("""COMPUTED_VALUE"""),"-")</f>
        <v>-</v>
      </c>
      <c r="CS79" s="673" t="str">
        <f>IFERROR(__xludf.DUMMYFUNCTION("""COMPUTED_VALUE"""),"攻撃(必殺)")</f>
        <v>攻撃(必殺)</v>
      </c>
      <c r="CT79" s="139" t="str">
        <f>IFERROR(__xludf.DUMMYFUNCTION("""COMPUTED_VALUE"""),"-")</f>
        <v>-</v>
      </c>
      <c r="CU79" s="139" t="str">
        <f>IFERROR(__xludf.DUMMYFUNCTION("""COMPUTED_VALUE"""),"敵")</f>
        <v>敵</v>
      </c>
      <c r="CV79" s="139" t="str">
        <f>IFERROR(__xludf.DUMMYFUNCTION("""COMPUTED_VALUE"""),"All")</f>
        <v>All</v>
      </c>
      <c r="CW79" s="139" t="str">
        <f>IFERROR(__xludf.DUMMYFUNCTION("""COMPUTED_VALUE"""),"All")</f>
        <v>All</v>
      </c>
      <c r="CX79" s="674">
        <f>IFERROR(__xludf.DUMMYFUNCTION("""COMPUTED_VALUE"""),200.0)</f>
        <v>200</v>
      </c>
      <c r="CY79" s="675" t="str">
        <f>IFERROR(__xludf.DUMMYFUNCTION("""COMPUTED_VALUE"""),"-")</f>
        <v>-</v>
      </c>
      <c r="CZ79" s="688">
        <f>IFERROR(__xludf.DUMMYFUNCTION("""COMPUTED_VALUE"""),57864.0)</f>
        <v>57864</v>
      </c>
      <c r="DA79" s="688">
        <f>IFERROR(__xludf.DUMMYFUNCTION("""COMPUTED_VALUE"""),2595.551398987908)</f>
        <v>2595.551399</v>
      </c>
      <c r="DB79" s="688">
        <f>IFERROR(__xludf.DUMMYFUNCTION("""COMPUTED_VALUE"""),0.0)</f>
        <v>0</v>
      </c>
      <c r="DC79" s="673" t="str">
        <f>IFERROR(__xludf.DUMMYFUNCTION("""COMPUTED_VALUE"""),"ノックバック")</f>
        <v>ノックバック</v>
      </c>
      <c r="DD79" s="673">
        <f>IFERROR(__xludf.DUMMYFUNCTION("""COMPUTED_VALUE"""),3.0)</f>
        <v>3</v>
      </c>
      <c r="DE79" s="139" t="str">
        <f>IFERROR(__xludf.DUMMYFUNCTION("""COMPUTED_VALUE"""),"-")</f>
        <v>-</v>
      </c>
      <c r="DF79" s="139" t="str">
        <f>IFERROR(__xludf.DUMMYFUNCTION("""COMPUTED_VALUE"""),"-")</f>
        <v>-</v>
      </c>
      <c r="DG79" s="139" t="str">
        <f>IFERROR(__xludf.DUMMYFUNCTION("""COMPUTED_VALUE"""),"-")</f>
        <v>-</v>
      </c>
      <c r="DH79" s="139" t="str">
        <f>IFERROR(__xludf.DUMMYFUNCTION("""COMPUTED_VALUE"""),"-")</f>
        <v>-</v>
      </c>
      <c r="DI79" s="139" t="str">
        <f>IFERROR(__xludf.DUMMYFUNCTION("""COMPUTED_VALUE"""),"-")</f>
        <v>-</v>
      </c>
      <c r="DJ79" s="139" t="str">
        <f>IFERROR(__xludf.DUMMYFUNCTION("""COMPUTED_VALUE"""),"-")</f>
        <v>-</v>
      </c>
    </row>
    <row r="80">
      <c r="A80" s="139" t="str">
        <f>IFERROR(__xludf.DUMMYFUNCTION("""COMPUTED_VALUE"""),"2.5次元の誘惑")</f>
        <v>2.5次元の誘惑</v>
      </c>
      <c r="B80" s="139" t="str">
        <f>IFERROR(__xludf.DUMMYFUNCTION("""COMPUTED_VALUE"""),"羽生 まゆり")</f>
        <v>羽生 まゆり</v>
      </c>
      <c r="C80" s="139" t="str">
        <f>IFERROR(__xludf.DUMMYFUNCTION("""COMPUTED_VALUE"""),"chara_yuw_00201")</f>
        <v>chara_yuw_00201</v>
      </c>
      <c r="D80" s="139" t="str">
        <f>IFERROR(__xludf.DUMMYFUNCTION("""COMPUTED_VALUE"""),"PremiumSSR")</f>
        <v>PremiumSSR</v>
      </c>
      <c r="E80" s="139" t="str">
        <f>IFERROR(__xludf.DUMMYFUNCTION("""COMPUTED_VALUE"""),"青")</f>
        <v>青</v>
      </c>
      <c r="F80" s="139" t="str">
        <f>IFERROR(__xludf.DUMMYFUNCTION("""COMPUTED_VALUE"""),"テクニカル")</f>
        <v>テクニカル</v>
      </c>
      <c r="G80" s="139" t="str">
        <f>IFERROR(__xludf.DUMMYFUNCTION("""COMPUTED_VALUE"""),"近距離")</f>
        <v>近距離</v>
      </c>
      <c r="H80" s="139" t="str">
        <f>IFERROR(__xludf.DUMMYFUNCTION("""COMPUTED_VALUE"""),"dageki_2")</f>
        <v>dageki_2</v>
      </c>
      <c r="I80" s="139" t="str">
        <f>IFERROR(__xludf.DUMMYFUNCTION("""COMPUTED_VALUE"""),"dageki_1")</f>
        <v>dageki_1</v>
      </c>
      <c r="J80" s="139" t="str">
        <f>IFERROR(__xludf.DUMMYFUNCTION("""COMPUTED_VALUE"""),"202511020_【クリスマス】2.5次元の誘惑")</f>
        <v>202511020_【クリスマス】2.5次元の誘惑</v>
      </c>
      <c r="K80" s="139" t="str">
        <f>IFERROR(__xludf.DUMMYFUNCTION("""COMPUTED_VALUE"""),"2.5次元の誘惑いいジャン祭")</f>
        <v>2.5次元の誘惑いいジャン祭</v>
      </c>
      <c r="L80" s="687" t="str">
        <f>IFERROR(__xludf.DUMMYFUNCTION("""COMPUTED_VALUE"""),"※")</f>
        <v>※</v>
      </c>
      <c r="M80" s="674">
        <f>IFERROR(__xludf.DUMMYFUNCTION("""COMPUTED_VALUE"""),535.0)</f>
        <v>535</v>
      </c>
      <c r="N80" s="139">
        <f>IFERROR(__xludf.DUMMYFUNCTION("""COMPUTED_VALUE"""),600.0)</f>
        <v>600</v>
      </c>
      <c r="O80" s="139" t="str">
        <f>IFERROR(__xludf.DUMMYFUNCTION("""COMPUTED_VALUE"""),"中コスト")</f>
        <v>中コスト</v>
      </c>
      <c r="P80" s="139">
        <f>IFERROR(__xludf.DUMMYFUNCTION("""COMPUTED_VALUE"""),-100.0)</f>
        <v>-100</v>
      </c>
      <c r="Q80" s="675">
        <f>IFERROR(__xludf.DUMMYFUNCTION("""COMPUTED_VALUE"""),20.0)</f>
        <v>20</v>
      </c>
      <c r="R80" s="675">
        <f>IFERROR(__xludf.DUMMYFUNCTION("""COMPUTED_VALUE"""),15.0)</f>
        <v>15</v>
      </c>
      <c r="S80" s="675">
        <f>IFERROR(__xludf.DUMMYFUNCTION("""COMPUTED_VALUE"""),10.875)</f>
        <v>10.875</v>
      </c>
      <c r="T80" s="674">
        <f>IFERROR(__xludf.DUMMYFUNCTION("""COMPUTED_VALUE"""),415.0)</f>
        <v>415</v>
      </c>
      <c r="U80" s="675">
        <f>IFERROR(__xludf.DUMMYFUNCTION("""COMPUTED_VALUE"""),8.286666666666667)</f>
        <v>8.286666667</v>
      </c>
      <c r="V80" s="675">
        <f>IFERROR(__xludf.DUMMYFUNCTION("""COMPUTED_VALUE"""),0.0)</f>
        <v>0</v>
      </c>
      <c r="W80" s="675">
        <f>IFERROR(__xludf.DUMMYFUNCTION("""COMPUTED_VALUE"""),0.0)</f>
        <v>0</v>
      </c>
      <c r="X80" s="675">
        <f>IFERROR(__xludf.DUMMYFUNCTION("""COMPUTED_VALUE"""),0.0)</f>
        <v>0</v>
      </c>
      <c r="Y80" s="674">
        <f>IFERROR(__xludf.DUMMYFUNCTION("""COMPUTED_VALUE"""),215.0)</f>
        <v>215</v>
      </c>
      <c r="Z80" s="675">
        <f>IFERROR(__xludf.DUMMYFUNCTION("""COMPUTED_VALUE"""),4.331666666666666)</f>
        <v>4.331666667</v>
      </c>
      <c r="AA80" s="675">
        <f>IFERROR(__xludf.DUMMYFUNCTION("""COMPUTED_VALUE"""),0.0)</f>
        <v>0</v>
      </c>
      <c r="AB80" s="673">
        <f>IFERROR(__xludf.DUMMYFUNCTION("""COMPUTED_VALUE"""),0.0)</f>
        <v>0</v>
      </c>
      <c r="AC80" s="675">
        <f>IFERROR(__xludf.DUMMYFUNCTION("""COMPUTED_VALUE"""),0.0)</f>
        <v>0</v>
      </c>
      <c r="AD80" s="674">
        <f>IFERROR(__xludf.DUMMYFUNCTION("""COMPUTED_VALUE"""),870.0)</f>
        <v>870</v>
      </c>
      <c r="AE80" s="675">
        <f>IFERROR(__xludf.DUMMYFUNCTION("""COMPUTED_VALUE"""),17.424346193873735)</f>
        <v>17.42434619</v>
      </c>
      <c r="AF80" s="675">
        <f>IFERROR(__xludf.DUMMYFUNCTION("""COMPUTED_VALUE"""),0.0)</f>
        <v>0</v>
      </c>
      <c r="AG80" s="675">
        <f>IFERROR(__xludf.DUMMYFUNCTION("""COMPUTED_VALUE"""),6.75)</f>
        <v>6.75</v>
      </c>
      <c r="AH80" s="675">
        <f>IFERROR(__xludf.DUMMYFUNCTION("""COMPUTED_VALUE"""),0.0)</f>
        <v>0</v>
      </c>
      <c r="AI80" s="675">
        <f>IFERROR(__xludf.DUMMYFUNCTION("""COMPUTED_VALUE"""),4.5)</f>
        <v>4.5</v>
      </c>
      <c r="AJ80" s="675">
        <f>IFERROR(__xludf.DUMMYFUNCTION("""COMPUTED_VALUE"""),12.924346193873735)</f>
        <v>12.92434619</v>
      </c>
      <c r="AK80" s="139">
        <f>IFERROR(__xludf.DUMMYFUNCTION("""COMPUTED_VALUE"""),1.0)</f>
        <v>1</v>
      </c>
      <c r="AL80" s="674">
        <f>IFERROR(__xludf.DUMMYFUNCTION("""COMPUTED_VALUE"""),1130.0)</f>
        <v>1130</v>
      </c>
      <c r="AM80" s="688">
        <f>IFERROR(__xludf.DUMMYFUNCTION("""COMPUTED_VALUE"""),8615.761774788272)</f>
        <v>8615.761775</v>
      </c>
      <c r="AN80" s="675">
        <f>IFERROR(__xludf.DUMMYFUNCTION("""COMPUTED_VALUE"""),7.533333333333333)</f>
        <v>7.533333333</v>
      </c>
      <c r="AO80" s="675">
        <f>IFERROR(__xludf.DUMMYFUNCTION("""COMPUTED_VALUE"""),3.7666666666666666)</f>
        <v>3.766666667</v>
      </c>
      <c r="AP80" s="674">
        <f>IFERROR(__xludf.DUMMYFUNCTION("""COMPUTED_VALUE"""),1610.0)</f>
        <v>1610</v>
      </c>
      <c r="AQ80" s="673">
        <f>IFERROR(__xludf.DUMMYFUNCTION("""COMPUTED_VALUE"""),-0.3)</f>
        <v>-0.3</v>
      </c>
      <c r="AR80" s="673">
        <f>IFERROR(__xludf.DUMMYFUNCTION("""COMPUTED_VALUE"""),0.0)</f>
        <v>0</v>
      </c>
      <c r="AS80" s="673">
        <f>IFERROR(__xludf.DUMMYFUNCTION("""COMPUTED_VALUE"""),0.0)</f>
        <v>0</v>
      </c>
      <c r="AT80" s="673">
        <f>IFERROR(__xludf.DUMMYFUNCTION("""COMPUTED_VALUE"""),0.0)</f>
        <v>0</v>
      </c>
      <c r="AU80" s="673">
        <f>IFERROR(__xludf.DUMMYFUNCTION("""COMPUTED_VALUE"""),0.0)</f>
        <v>0</v>
      </c>
      <c r="AV80" s="673">
        <f>IFERROR(__xludf.DUMMYFUNCTION("""COMPUTED_VALUE"""),0.0)</f>
        <v>0</v>
      </c>
      <c r="AW80" s="139"/>
      <c r="AX80" s="674">
        <f>IFERROR(__xludf.DUMMYFUNCTION("""COMPUTED_VALUE"""),1180.0)</f>
        <v>1180</v>
      </c>
      <c r="AY80" s="688">
        <f>IFERROR(__xludf.DUMMYFUNCTION("""COMPUTED_VALUE"""),8996.693180752358)</f>
        <v>8996.693181</v>
      </c>
      <c r="AZ80" s="674">
        <f>IFERROR(__xludf.DUMMYFUNCTION("""COMPUTED_VALUE"""),1180.0)</f>
        <v>1180</v>
      </c>
      <c r="BA80" s="688">
        <f>IFERROR(__xludf.DUMMYFUNCTION("""COMPUTED_VALUE"""),8996.693180752358)</f>
        <v>8996.693181</v>
      </c>
      <c r="BB80" s="688" t="str">
        <f>IFERROR(__xludf.DUMMYFUNCTION("""COMPUTED_VALUE"""),"-")</f>
        <v>-</v>
      </c>
      <c r="BC80" s="688" t="str">
        <f>IFERROR(__xludf.DUMMYFUNCTION("""COMPUTED_VALUE"""),"#VALUE!")</f>
        <v>#VALUE!</v>
      </c>
      <c r="BD80" s="688" t="str">
        <f>IFERROR(__xludf.DUMMYFUNCTION("""COMPUTED_VALUE"""),"#VALUE!")</f>
        <v>#VALUE!</v>
      </c>
      <c r="BE80" s="674">
        <f>IFERROR(__xludf.DUMMYFUNCTION("""COMPUTED_VALUE"""),1180.0)</f>
        <v>1180</v>
      </c>
      <c r="BF80" s="674">
        <f>IFERROR(__xludf.DUMMYFUNCTION("""COMPUTED_VALUE"""),1070.0)</f>
        <v>1070</v>
      </c>
      <c r="BG80" s="673">
        <f>IFERROR(__xludf.DUMMYFUNCTION("""COMPUTED_VALUE"""),0.0)</f>
        <v>0</v>
      </c>
      <c r="BH80" s="673">
        <f>IFERROR(__xludf.DUMMYFUNCTION("""COMPUTED_VALUE"""),0.1)</f>
        <v>0.1</v>
      </c>
      <c r="BI80" s="673">
        <f>IFERROR(__xludf.DUMMYFUNCTION("""COMPUTED_VALUE"""),0.0)</f>
        <v>0</v>
      </c>
      <c r="BJ80" s="673">
        <f>IFERROR(__xludf.DUMMYFUNCTION("""COMPUTED_VALUE"""),0.0)</f>
        <v>0</v>
      </c>
      <c r="BK80" s="673">
        <f>IFERROR(__xludf.DUMMYFUNCTION("""COMPUTED_VALUE"""),0.0)</f>
        <v>0</v>
      </c>
      <c r="BL80" s="673">
        <f>IFERROR(__xludf.DUMMYFUNCTION("""COMPUTED_VALUE"""),0.0)</f>
        <v>0</v>
      </c>
      <c r="BM80" s="674">
        <f>IFERROR(__xludf.DUMMYFUNCTION("""COMPUTED_VALUE"""),50.0)</f>
        <v>50</v>
      </c>
      <c r="BN80" s="674">
        <f>IFERROR(__xludf.DUMMYFUNCTION("""COMPUTED_VALUE"""),50.0)</f>
        <v>50</v>
      </c>
      <c r="BO80" s="675">
        <f>IFERROR(__xludf.DUMMYFUNCTION("""COMPUTED_VALUE"""),0.0)</f>
        <v>0</v>
      </c>
      <c r="BP80" s="675">
        <f>IFERROR(__xludf.DUMMYFUNCTION("""COMPUTED_VALUE"""),1.0)</f>
        <v>1</v>
      </c>
      <c r="BQ80" s="139" t="str">
        <f>IFERROR(__xludf.DUMMYFUNCTION("""COMPUTED_VALUE"""),"(近距離)武器・道具・特殊攻撃")</f>
        <v>(近距離)武器・道具・特殊攻撃</v>
      </c>
      <c r="BR80" s="139">
        <f>IFERROR(__xludf.DUMMYFUNCTION("""COMPUTED_VALUE"""),3.0)</f>
        <v>3</v>
      </c>
      <c r="BS80" s="139">
        <f>IFERROR(__xludf.DUMMYFUNCTION("""COMPUTED_VALUE"""),35.0)</f>
        <v>35</v>
      </c>
      <c r="BT80" s="139">
        <f>IFERROR(__xludf.DUMMYFUNCTION("""COMPUTED_VALUE"""),0.31)</f>
        <v>0.31</v>
      </c>
      <c r="BU80" s="139">
        <f>IFERROR(__xludf.DUMMYFUNCTION("""COMPUTED_VALUE"""),0.0)</f>
        <v>0</v>
      </c>
      <c r="BV80" s="139" t="str">
        <f>IFERROR(__xludf.DUMMYFUNCTION("""COMPUTED_VALUE"""),"普通")</f>
        <v>普通</v>
      </c>
      <c r="BW80" s="139" t="str">
        <f>IFERROR(__xludf.DUMMYFUNCTION("""COMPUTED_VALUE"""),"火傷ダメージ軽減")</f>
        <v>火傷ダメージ軽減</v>
      </c>
      <c r="BX80" s="139">
        <f>IFERROR(__xludf.DUMMYFUNCTION("""COMPUTED_VALUE"""),40.0)</f>
        <v>40</v>
      </c>
      <c r="BY80" s="139">
        <f>IFERROR(__xludf.DUMMYFUNCTION("""COMPUTED_VALUE"""),0.0)</f>
        <v>0</v>
      </c>
      <c r="BZ80" s="139" t="str">
        <f>IFERROR(__xludf.DUMMYFUNCTION("""COMPUTED_VALUE"""),"-")</f>
        <v>-</v>
      </c>
      <c r="CA80" s="139" t="str">
        <f>IFERROR(__xludf.DUMMYFUNCTION("""COMPUTED_VALUE"""),"-")</f>
        <v>-</v>
      </c>
      <c r="CB80" s="139" t="str">
        <f>IFERROR(__xludf.DUMMYFUNCTION("""COMPUTED_VALUE"""),"-")</f>
        <v>-</v>
      </c>
      <c r="CC80" s="139" t="str">
        <f>IFERROR(__xludf.DUMMYFUNCTION("""COMPUTED_VALUE"""),"近距離")</f>
        <v>近距離</v>
      </c>
      <c r="CD80" s="139" t="str">
        <f>IFERROR(__xludf.DUMMYFUNCTION("""COMPUTED_VALUE"""),"単体")</f>
        <v>単体</v>
      </c>
      <c r="CE80" s="139">
        <f>IFERROR(__xludf.DUMMYFUNCTION("""COMPUTED_VALUE"""),1.0)</f>
        <v>1</v>
      </c>
      <c r="CF80" s="139">
        <f>IFERROR(__xludf.DUMMYFUNCTION("""COMPUTED_VALUE"""),0.32)</f>
        <v>0.32</v>
      </c>
      <c r="CG80" s="139" t="str">
        <f>IFERROR(__xludf.DUMMYFUNCTION("""COMPUTED_VALUE"""),"近距離")</f>
        <v>近距離</v>
      </c>
      <c r="CH80" s="139" t="str">
        <f>IFERROR(__xludf.DUMMYFUNCTION("""COMPUTED_VALUE"""),"範囲(中)")</f>
        <v>範囲(中)</v>
      </c>
      <c r="CI80" s="139">
        <f>IFERROR(__xludf.DUMMYFUNCTION("""COMPUTED_VALUE"""),0.65)</f>
        <v>0.65</v>
      </c>
      <c r="CJ80" s="139">
        <f>IFERROR(__xludf.DUMMYFUNCTION("""COMPUTED_VALUE"""),0.52)</f>
        <v>0.52</v>
      </c>
      <c r="CK80" s="139" t="str">
        <f>IFERROR(__xludf.DUMMYFUNCTION("""COMPUTED_VALUE"""),"敵")</f>
        <v>敵</v>
      </c>
      <c r="CL80" s="139" t="str">
        <f>IFERROR(__xludf.DUMMYFUNCTION("""COMPUTED_VALUE"""),"All")</f>
        <v>All</v>
      </c>
      <c r="CM80" s="139" t="str">
        <f>IFERROR(__xludf.DUMMYFUNCTION("""COMPUTED_VALUE"""),"All")</f>
        <v>All</v>
      </c>
      <c r="CN80" s="675">
        <f>IFERROR(__xludf.DUMMYFUNCTION("""COMPUTED_VALUE"""),17.424346193873735)</f>
        <v>17.42434619</v>
      </c>
      <c r="CO80" s="139" t="str">
        <f>IFERROR(__xludf.DUMMYFUNCTION("""COMPUTED_VALUE"""),"-")</f>
        <v>-</v>
      </c>
      <c r="CP80" s="139" t="str">
        <f>IFERROR(__xludf.DUMMYFUNCTION("""COMPUTED_VALUE"""),"-")</f>
        <v>-</v>
      </c>
      <c r="CQ80" s="139" t="str">
        <f>IFERROR(__xludf.DUMMYFUNCTION("""COMPUTED_VALUE"""),"-")</f>
        <v>-</v>
      </c>
      <c r="CR80" s="139" t="str">
        <f>IFERROR(__xludf.DUMMYFUNCTION("""COMPUTED_VALUE"""),"瞬間型")</f>
        <v>瞬間型</v>
      </c>
      <c r="CS80" s="673" t="str">
        <f>IFERROR(__xludf.DUMMYFUNCTION("""COMPUTED_VALUE"""),"攻撃(必殺)")</f>
        <v>攻撃(必殺)</v>
      </c>
      <c r="CT80" s="139" t="str">
        <f>IFERROR(__xludf.DUMMYFUNCTION("""COMPUTED_VALUE"""),"瞬間型")</f>
        <v>瞬間型</v>
      </c>
      <c r="CU80" s="139" t="str">
        <f>IFERROR(__xludf.DUMMYFUNCTION("""COMPUTED_VALUE"""),"敵")</f>
        <v>敵</v>
      </c>
      <c r="CV80" s="139" t="str">
        <f>IFERROR(__xludf.DUMMYFUNCTION("""COMPUTED_VALUE"""),"All")</f>
        <v>All</v>
      </c>
      <c r="CW80" s="139" t="str">
        <f>IFERROR(__xludf.DUMMYFUNCTION("""COMPUTED_VALUE"""),"All")</f>
        <v>All</v>
      </c>
      <c r="CX80" s="674">
        <f>IFERROR(__xludf.DUMMYFUNCTION("""COMPUTED_VALUE"""),117.0)</f>
        <v>117</v>
      </c>
      <c r="CY80" s="675" t="str">
        <f>IFERROR(__xludf.DUMMYFUNCTION("""COMPUTED_VALUE"""),"-")</f>
        <v>-</v>
      </c>
      <c r="CZ80" s="688">
        <f>IFERROR(__xludf.DUMMYFUNCTION("""COMPUTED_VALUE"""),10526.0)</f>
        <v>10526</v>
      </c>
      <c r="DA80" s="688">
        <f>IFERROR(__xludf.DUMMYFUNCTION("""COMPUTED_VALUE"""),653.1770955427188)</f>
        <v>653.1770955</v>
      </c>
      <c r="DB80" s="688">
        <f>IFERROR(__xludf.DUMMYFUNCTION("""COMPUTED_VALUE"""),3265.885477713594)</f>
        <v>3265.885478</v>
      </c>
      <c r="DC80" s="673" t="str">
        <f>IFERROR(__xludf.DUMMYFUNCTION("""COMPUTED_VALUE"""),"攻撃力Down")</f>
        <v>攻撃力Down</v>
      </c>
      <c r="DD80" s="673">
        <f>IFERROR(__xludf.DUMMYFUNCTION("""COMPUTED_VALUE"""),30.0)</f>
        <v>30</v>
      </c>
      <c r="DE80" s="675">
        <f>IFERROR(__xludf.DUMMYFUNCTION("""COMPUTED_VALUE"""),4.5)</f>
        <v>4.5</v>
      </c>
      <c r="DF80" s="139" t="str">
        <f>IFERROR(__xludf.DUMMYFUNCTION("""COMPUTED_VALUE"""),"-")</f>
        <v>-</v>
      </c>
      <c r="DG80" s="139" t="str">
        <f>IFERROR(__xludf.DUMMYFUNCTION("""COMPUTED_VALUE"""),"-")</f>
        <v>-</v>
      </c>
      <c r="DH80" s="139" t="str">
        <f>IFERROR(__xludf.DUMMYFUNCTION("""COMPUTED_VALUE"""),"-")</f>
        <v>-</v>
      </c>
      <c r="DI80" s="139" t="str">
        <f>IFERROR(__xludf.DUMMYFUNCTION("""COMPUTED_VALUE"""),"-")</f>
        <v>-</v>
      </c>
      <c r="DJ80" s="139" t="str">
        <f>IFERROR(__xludf.DUMMYFUNCTION("""COMPUTED_VALUE"""),"-")</f>
        <v>-</v>
      </c>
    </row>
    <row r="81">
      <c r="A81" s="139" t="str">
        <f>IFERROR(__xludf.DUMMYFUNCTION("""COMPUTED_VALUE"""),"2.5次元の誘惑")</f>
        <v>2.5次元の誘惑</v>
      </c>
      <c r="B81" s="139" t="str">
        <f>IFERROR(__xludf.DUMMYFUNCTION("""COMPUTED_VALUE"""),"勇気を纏うコスプレ 乃愛")</f>
        <v>勇気を纏うコスプレ 乃愛</v>
      </c>
      <c r="C81" s="139" t="str">
        <f>IFERROR(__xludf.DUMMYFUNCTION("""COMPUTED_VALUE"""),"chara_yuw_00301")</f>
        <v>chara_yuw_00301</v>
      </c>
      <c r="D81" s="139" t="str">
        <f>IFERROR(__xludf.DUMMYFUNCTION("""COMPUTED_VALUE"""),"PremiumUR")</f>
        <v>PremiumUR</v>
      </c>
      <c r="E81" s="139" t="str">
        <f>IFERROR(__xludf.DUMMYFUNCTION("""COMPUTED_VALUE"""),"青")</f>
        <v>青</v>
      </c>
      <c r="F81" s="139" t="str">
        <f>IFERROR(__xludf.DUMMYFUNCTION("""COMPUTED_VALUE"""),"サポート")</f>
        <v>サポート</v>
      </c>
      <c r="G81" s="139" t="str">
        <f>IFERROR(__xludf.DUMMYFUNCTION("""COMPUTED_VALUE"""),"近距離")</f>
        <v>近距離</v>
      </c>
      <c r="H81" s="139" t="str">
        <f>IFERROR(__xludf.DUMMYFUNCTION("""COMPUTED_VALUE"""),"dageki_2")</f>
        <v>dageki_2</v>
      </c>
      <c r="I81" s="139" t="str">
        <f>IFERROR(__xludf.DUMMYFUNCTION("""COMPUTED_VALUE"""),"-")</f>
        <v>-</v>
      </c>
      <c r="J81" s="139" t="str">
        <f>IFERROR(__xludf.DUMMYFUNCTION("""COMPUTED_VALUE"""),"202511020_【クリスマス】2.5次元の誘惑")</f>
        <v>202511020_【クリスマス】2.5次元の誘惑</v>
      </c>
      <c r="K81" s="139" t="str">
        <f>IFERROR(__xludf.DUMMYFUNCTION("""COMPUTED_VALUE"""),"2.5次元の誘惑いいジャン祭")</f>
        <v>2.5次元の誘惑いいジャン祭</v>
      </c>
      <c r="L81" s="687" t="str">
        <f>IFERROR(__xludf.DUMMYFUNCTION("""COMPUTED_VALUE"""),"※")</f>
        <v>※</v>
      </c>
      <c r="M81" s="674">
        <f>IFERROR(__xludf.DUMMYFUNCTION("""COMPUTED_VALUE"""),515.0)</f>
        <v>515</v>
      </c>
      <c r="N81" s="139">
        <f>IFERROR(__xludf.DUMMYFUNCTION("""COMPUTED_VALUE"""),600.0)</f>
        <v>600</v>
      </c>
      <c r="O81" s="139" t="str">
        <f>IFERROR(__xludf.DUMMYFUNCTION("""COMPUTED_VALUE"""),"中コスト")</f>
        <v>中コスト</v>
      </c>
      <c r="P81" s="139">
        <f>IFERROR(__xludf.DUMMYFUNCTION("""COMPUTED_VALUE"""),-150.0)</f>
        <v>-150</v>
      </c>
      <c r="Q81" s="675">
        <f>IFERROR(__xludf.DUMMYFUNCTION("""COMPUTED_VALUE"""),40.0)</f>
        <v>40</v>
      </c>
      <c r="R81" s="675">
        <f>IFERROR(__xludf.DUMMYFUNCTION("""COMPUTED_VALUE"""),25.0)</f>
        <v>25</v>
      </c>
      <c r="S81" s="675">
        <f>IFERROR(__xludf.DUMMYFUNCTION("""COMPUTED_VALUE"""),10.375)</f>
        <v>10.375</v>
      </c>
      <c r="T81" s="674">
        <f>IFERROR(__xludf.DUMMYFUNCTION("""COMPUTED_VALUE"""),310.0)</f>
        <v>310</v>
      </c>
      <c r="U81" s="675">
        <f>IFERROR(__xludf.DUMMYFUNCTION("""COMPUTED_VALUE"""),6.200000000000001)</f>
        <v>6.2</v>
      </c>
      <c r="V81" s="675">
        <f>IFERROR(__xludf.DUMMYFUNCTION("""COMPUTED_VALUE"""),0.0)</f>
        <v>0</v>
      </c>
      <c r="W81" s="675">
        <f>IFERROR(__xludf.DUMMYFUNCTION("""COMPUTED_VALUE"""),-0.6200000000000001)</f>
        <v>-0.62</v>
      </c>
      <c r="X81" s="675">
        <f>IFERROR(__xludf.DUMMYFUNCTION("""COMPUTED_VALUE"""),0.0)</f>
        <v>0</v>
      </c>
      <c r="Y81" s="674">
        <f>IFERROR(__xludf.DUMMYFUNCTION("""COMPUTED_VALUE"""),390.0)</f>
        <v>390</v>
      </c>
      <c r="Z81" s="675">
        <f>IFERROR(__xludf.DUMMYFUNCTION("""COMPUTED_VALUE"""),7.755)</f>
        <v>7.755</v>
      </c>
      <c r="AA81" s="675">
        <f>IFERROR(__xludf.DUMMYFUNCTION("""COMPUTED_VALUE"""),4.5)</f>
        <v>4.5</v>
      </c>
      <c r="AB81" s="673">
        <f>IFERROR(__xludf.DUMMYFUNCTION("""COMPUTED_VALUE"""),-0.31000000000000005)</f>
        <v>-0.31</v>
      </c>
      <c r="AC81" s="675">
        <f>IFERROR(__xludf.DUMMYFUNCTION("""COMPUTED_VALUE"""),0.0)</f>
        <v>0</v>
      </c>
      <c r="AD81" s="674">
        <f>IFERROR(__xludf.DUMMYFUNCTION("""COMPUTED_VALUE"""),400.0)</f>
        <v>400</v>
      </c>
      <c r="AE81" s="675">
        <f>IFERROR(__xludf.DUMMYFUNCTION("""COMPUTED_VALUE"""),7.983749273912455)</f>
        <v>7.983749274</v>
      </c>
      <c r="AF81" s="675">
        <f>IFERROR(__xludf.DUMMYFUNCTION("""COMPUTED_VALUE"""),-31.7)</f>
        <v>-31.7</v>
      </c>
      <c r="AG81" s="675">
        <f>IFERROR(__xludf.DUMMYFUNCTION("""COMPUTED_VALUE"""),30.0)</f>
        <v>30</v>
      </c>
      <c r="AH81" s="675">
        <f>IFERROR(__xludf.DUMMYFUNCTION("""COMPUTED_VALUE"""),0.0)</f>
        <v>0</v>
      </c>
      <c r="AI81" s="675">
        <f>IFERROR(__xludf.DUMMYFUNCTION("""COMPUTED_VALUE"""),20.0)</f>
        <v>20</v>
      </c>
      <c r="AJ81" s="675">
        <f>IFERROR(__xludf.DUMMYFUNCTION("""COMPUTED_VALUE"""),-12.016250726087545)</f>
        <v>-12.01625073</v>
      </c>
      <c r="AK81" s="139">
        <f>IFERROR(__xludf.DUMMYFUNCTION("""COMPUTED_VALUE"""),0.0)</f>
        <v>0</v>
      </c>
      <c r="AL81" s="674">
        <f>IFERROR(__xludf.DUMMYFUNCTION("""COMPUTED_VALUE"""),930.0)</f>
        <v>930</v>
      </c>
      <c r="AM81" s="688">
        <f>IFERROR(__xludf.DUMMYFUNCTION("""COMPUTED_VALUE"""),7600.036150931941)</f>
        <v>7600.036151</v>
      </c>
      <c r="AN81" s="675">
        <f>IFERROR(__xludf.DUMMYFUNCTION("""COMPUTED_VALUE"""),6.2)</f>
        <v>6.2</v>
      </c>
      <c r="AO81" s="675">
        <f>IFERROR(__xludf.DUMMYFUNCTION("""COMPUTED_VALUE"""),3.1)</f>
        <v>3.1</v>
      </c>
      <c r="AP81" s="674">
        <f>IFERROR(__xludf.DUMMYFUNCTION("""COMPUTED_VALUE"""),1550.0)</f>
        <v>1550</v>
      </c>
      <c r="AQ81" s="673">
        <f>IFERROR(__xludf.DUMMYFUNCTION("""COMPUTED_VALUE"""),-0.4)</f>
        <v>-0.4</v>
      </c>
      <c r="AR81" s="673">
        <f>IFERROR(__xludf.DUMMYFUNCTION("""COMPUTED_VALUE"""),0.0)</f>
        <v>0</v>
      </c>
      <c r="AS81" s="673">
        <f>IFERROR(__xludf.DUMMYFUNCTION("""COMPUTED_VALUE"""),0.0)</f>
        <v>0</v>
      </c>
      <c r="AT81" s="673">
        <f>IFERROR(__xludf.DUMMYFUNCTION("""COMPUTED_VALUE"""),0.0)</f>
        <v>0</v>
      </c>
      <c r="AU81" s="673">
        <f>IFERROR(__xludf.DUMMYFUNCTION("""COMPUTED_VALUE"""),0.0)</f>
        <v>0</v>
      </c>
      <c r="AV81" s="673">
        <f>IFERROR(__xludf.DUMMYFUNCTION("""COMPUTED_VALUE"""),0.0)</f>
        <v>0</v>
      </c>
      <c r="AW81" s="139"/>
      <c r="AX81" s="674">
        <f>IFERROR(__xludf.DUMMYFUNCTION("""COMPUTED_VALUE"""),1400.0)</f>
        <v>1400</v>
      </c>
      <c r="AY81" s="688">
        <f>IFERROR(__xludf.DUMMYFUNCTION("""COMPUTED_VALUE"""),11441.759366994322)</f>
        <v>11441.75937</v>
      </c>
      <c r="AZ81" s="674">
        <f>IFERROR(__xludf.DUMMYFUNCTION("""COMPUTED_VALUE"""),930.0)</f>
        <v>930</v>
      </c>
      <c r="BA81" s="688">
        <f>IFERROR(__xludf.DUMMYFUNCTION("""COMPUTED_VALUE"""),7627.839577996215)</f>
        <v>7627.839578</v>
      </c>
      <c r="BB81" s="688">
        <f>IFERROR(__xludf.DUMMYFUNCTION("""COMPUTED_VALUE"""),11441.759366994322)</f>
        <v>11441.75937</v>
      </c>
      <c r="BC81" s="688" t="str">
        <f>IFERROR(__xludf.DUMMYFUNCTION("""COMPUTED_VALUE"""),"#VALUE!")</f>
        <v>#VALUE!</v>
      </c>
      <c r="BD81" s="688" t="str">
        <f>IFERROR(__xludf.DUMMYFUNCTION("""COMPUTED_VALUE"""),"#VALUE!")</f>
        <v>#VALUE!</v>
      </c>
      <c r="BE81" s="674">
        <f>IFERROR(__xludf.DUMMYFUNCTION("""COMPUTED_VALUE"""),930.0)</f>
        <v>930</v>
      </c>
      <c r="BF81" s="674">
        <f>IFERROR(__xludf.DUMMYFUNCTION("""COMPUTED_VALUE"""),1030.0)</f>
        <v>1030</v>
      </c>
      <c r="BG81" s="673">
        <f>IFERROR(__xludf.DUMMYFUNCTION("""COMPUTED_VALUE"""),0.0)</f>
        <v>0</v>
      </c>
      <c r="BH81" s="673">
        <f>IFERROR(__xludf.DUMMYFUNCTION("""COMPUTED_VALUE"""),-0.3)</f>
        <v>-0.3</v>
      </c>
      <c r="BI81" s="673">
        <f>IFERROR(__xludf.DUMMYFUNCTION("""COMPUTED_VALUE"""),0.0)</f>
        <v>0</v>
      </c>
      <c r="BJ81" s="673">
        <f>IFERROR(__xludf.DUMMYFUNCTION("""COMPUTED_VALUE"""),0.2)</f>
        <v>0.2</v>
      </c>
      <c r="BK81" s="673">
        <f>IFERROR(__xludf.DUMMYFUNCTION("""COMPUTED_VALUE"""),0.0)</f>
        <v>0</v>
      </c>
      <c r="BL81" s="673">
        <f>IFERROR(__xludf.DUMMYFUNCTION("""COMPUTED_VALUE"""),0.0)</f>
        <v>0</v>
      </c>
      <c r="BM81" s="674">
        <f>IFERROR(__xludf.DUMMYFUNCTION("""COMPUTED_VALUE"""),75.0)</f>
        <v>75</v>
      </c>
      <c r="BN81" s="674">
        <f>IFERROR(__xludf.DUMMYFUNCTION("""COMPUTED_VALUE"""),75.0)</f>
        <v>75</v>
      </c>
      <c r="BO81" s="675">
        <f>IFERROR(__xludf.DUMMYFUNCTION("""COMPUTED_VALUE"""),0.0)</f>
        <v>0</v>
      </c>
      <c r="BP81" s="675">
        <f>IFERROR(__xludf.DUMMYFUNCTION("""COMPUTED_VALUE"""),1.5)</f>
        <v>1.5</v>
      </c>
      <c r="BQ81" s="139" t="str">
        <f>IFERROR(__xludf.DUMMYFUNCTION("""COMPUTED_VALUE"""),"(近距離)素手")</f>
        <v>(近距離)素手</v>
      </c>
      <c r="BR81" s="139">
        <f>IFERROR(__xludf.DUMMYFUNCTION("""COMPUTED_VALUE"""),2.0)</f>
        <v>2</v>
      </c>
      <c r="BS81" s="139">
        <f>IFERROR(__xludf.DUMMYFUNCTION("""COMPUTED_VALUE"""),35.0)</f>
        <v>35</v>
      </c>
      <c r="BT81" s="139">
        <f>IFERROR(__xludf.DUMMYFUNCTION("""COMPUTED_VALUE"""),0.27)</f>
        <v>0.27</v>
      </c>
      <c r="BU81" s="139">
        <f>IFERROR(__xludf.DUMMYFUNCTION("""COMPUTED_VALUE"""),0.0)</f>
        <v>0</v>
      </c>
      <c r="BV81" s="139" t="str">
        <f>IFERROR(__xludf.DUMMYFUNCTION("""COMPUTED_VALUE"""),"普通")</f>
        <v>普通</v>
      </c>
      <c r="BW81" s="139" t="str">
        <f>IFERROR(__xludf.DUMMYFUNCTION("""COMPUTED_VALUE"""),"火傷ダメージ軽減")</f>
        <v>火傷ダメージ軽減</v>
      </c>
      <c r="BX81" s="139">
        <f>IFERROR(__xludf.DUMMYFUNCTION("""COMPUTED_VALUE"""),65.0)</f>
        <v>65</v>
      </c>
      <c r="BY81" s="139">
        <f>IFERROR(__xludf.DUMMYFUNCTION("""COMPUTED_VALUE"""),0.0)</f>
        <v>0</v>
      </c>
      <c r="BZ81" s="139" t="str">
        <f>IFERROR(__xludf.DUMMYFUNCTION("""COMPUTED_VALUE"""),"ダメージコマ無効化")</f>
        <v>ダメージコマ無効化</v>
      </c>
      <c r="CA81" s="139" t="str">
        <f>IFERROR(__xludf.DUMMYFUNCTION("""COMPUTED_VALUE"""),"-")</f>
        <v>-</v>
      </c>
      <c r="CB81" s="139">
        <f>IFERROR(__xludf.DUMMYFUNCTION("""COMPUTED_VALUE"""),4.0)</f>
        <v>4</v>
      </c>
      <c r="CC81" s="139" t="str">
        <f>IFERROR(__xludf.DUMMYFUNCTION("""COMPUTED_VALUE"""),"近距離")</f>
        <v>近距離</v>
      </c>
      <c r="CD81" s="139" t="str">
        <f>IFERROR(__xludf.DUMMYFUNCTION("""COMPUTED_VALUE"""),"単体")</f>
        <v>単体</v>
      </c>
      <c r="CE81" s="139">
        <f>IFERROR(__xludf.DUMMYFUNCTION("""COMPUTED_VALUE"""),1.0)</f>
        <v>1</v>
      </c>
      <c r="CF81" s="139">
        <f>IFERROR(__xludf.DUMMYFUNCTION("""COMPUTED_VALUE"""),0.28)</f>
        <v>0.28</v>
      </c>
      <c r="CG81" s="139" t="str">
        <f>IFERROR(__xludf.DUMMYFUNCTION("""COMPUTED_VALUE"""),"自身と１つ後ろまでのコマにいる味方")</f>
        <v>自身と１つ後ろまでのコマにいる味方</v>
      </c>
      <c r="CH81" s="139" t="str">
        <f>IFERROR(__xludf.DUMMYFUNCTION("""COMPUTED_VALUE"""),"範囲(コマ)-1,0")</f>
        <v>範囲(コマ)-1,0</v>
      </c>
      <c r="CI81" s="139" t="str">
        <f>IFERROR(__xludf.DUMMYFUNCTION("""COMPUTED_VALUE"""),"-")</f>
        <v>-</v>
      </c>
      <c r="CJ81" s="139" t="str">
        <f>IFERROR(__xludf.DUMMYFUNCTION("""COMPUTED_VALUE"""),"(コマ)-1,0")</f>
        <v>(コマ)-1,0</v>
      </c>
      <c r="CK81" s="139" t="str">
        <f>IFERROR(__xludf.DUMMYFUNCTION("""COMPUTED_VALUE"""),"味方")</f>
        <v>味方</v>
      </c>
      <c r="CL81" s="139" t="str">
        <f>IFERROR(__xludf.DUMMYFUNCTION("""COMPUTED_VALUE"""),"All")</f>
        <v>All</v>
      </c>
      <c r="CM81" s="139" t="str">
        <f>IFERROR(__xludf.DUMMYFUNCTION("""COMPUTED_VALUE"""),"All")</f>
        <v>All</v>
      </c>
      <c r="CN81" s="675">
        <f>IFERROR(__xludf.DUMMYFUNCTION("""COMPUTED_VALUE"""),7.983749273912455)</f>
        <v>7.983749274</v>
      </c>
      <c r="CO81" s="139" t="str">
        <f>IFERROR(__xludf.DUMMYFUNCTION("""COMPUTED_VALUE"""),"-")</f>
        <v>-</v>
      </c>
      <c r="CP81" s="139" t="str">
        <f>IFERROR(__xludf.DUMMYFUNCTION("""COMPUTED_VALUE"""),"-")</f>
        <v>-</v>
      </c>
      <c r="CQ81" s="139" t="str">
        <f>IFERROR(__xludf.DUMMYFUNCTION("""COMPUTED_VALUE"""),"-")</f>
        <v>-</v>
      </c>
      <c r="CR81" s="139" t="str">
        <f>IFERROR(__xludf.DUMMYFUNCTION("""COMPUTED_VALUE"""),"※特殊調整")</f>
        <v>※特殊調整</v>
      </c>
      <c r="CS81" s="673" t="str">
        <f>IFERROR(__xludf.DUMMYFUNCTION("""COMPUTED_VALUE"""),"攻撃力UP(青)")</f>
        <v>攻撃力UP(青)</v>
      </c>
      <c r="CT81" s="139" t="str">
        <f>IFERROR(__xludf.DUMMYFUNCTION("""COMPUTED_VALUE"""),"※特殊調整")</f>
        <v>※特殊調整</v>
      </c>
      <c r="CU81" s="139" t="str">
        <f>IFERROR(__xludf.DUMMYFUNCTION("""COMPUTED_VALUE"""),"味方")</f>
        <v>味方</v>
      </c>
      <c r="CV81" s="139" t="str">
        <f>IFERROR(__xludf.DUMMYFUNCTION("""COMPUTED_VALUE"""),"All")</f>
        <v>All</v>
      </c>
      <c r="CW81" s="139" t="str">
        <f>IFERROR(__xludf.DUMMYFUNCTION("""COMPUTED_VALUE"""),"All")</f>
        <v>All</v>
      </c>
      <c r="CX81" s="674">
        <f>IFERROR(__xludf.DUMMYFUNCTION("""COMPUTED_VALUE"""),50.0)</f>
        <v>50</v>
      </c>
      <c r="CY81" s="675">
        <f>IFERROR(__xludf.DUMMYFUNCTION("""COMPUTED_VALUE"""),20.0)</f>
        <v>20</v>
      </c>
      <c r="CZ81" s="688" t="str">
        <f>IFERROR(__xludf.DUMMYFUNCTION("""COMPUTED_VALUE"""),"-")</f>
        <v>-</v>
      </c>
      <c r="DA81" s="688">
        <f>IFERROR(__xludf.DUMMYFUNCTION("""COMPUTED_VALUE"""),0.0)</f>
        <v>0</v>
      </c>
      <c r="DB81" s="688">
        <f>IFERROR(__xludf.DUMMYFUNCTION("""COMPUTED_VALUE"""),0.0)</f>
        <v>0</v>
      </c>
      <c r="DC81" s="673" t="str">
        <f>IFERROR(__xludf.DUMMYFUNCTION("""COMPUTED_VALUE"""),"攻撃力UP(同属性以外)")</f>
        <v>攻撃力UP(同属性以外)</v>
      </c>
      <c r="DD81" s="673">
        <f>IFERROR(__xludf.DUMMYFUNCTION("""COMPUTED_VALUE"""),30.0)</f>
        <v>30</v>
      </c>
      <c r="DE81" s="139">
        <f>IFERROR(__xludf.DUMMYFUNCTION("""COMPUTED_VALUE"""),0.0)</f>
        <v>0</v>
      </c>
      <c r="DF81" s="139" t="str">
        <f>IFERROR(__xludf.DUMMYFUNCTION("""COMPUTED_VALUE"""),"-")</f>
        <v>-</v>
      </c>
      <c r="DG81" s="139" t="str">
        <f>IFERROR(__xludf.DUMMYFUNCTION("""COMPUTED_VALUE"""),"-")</f>
        <v>-</v>
      </c>
      <c r="DH81" s="139" t="str">
        <f>IFERROR(__xludf.DUMMYFUNCTION("""COMPUTED_VALUE"""),"-")</f>
        <v>-</v>
      </c>
      <c r="DI81" s="139" t="str">
        <f>IFERROR(__xludf.DUMMYFUNCTION("""COMPUTED_VALUE"""),"-")</f>
        <v>-</v>
      </c>
      <c r="DJ81" s="139" t="str">
        <f>IFERROR(__xludf.DUMMYFUNCTION("""COMPUTED_VALUE"""),"-")</f>
        <v>-</v>
      </c>
    </row>
    <row r="82">
      <c r="A82" s="139" t="str">
        <f>IFERROR(__xludf.DUMMYFUNCTION("""COMPUTED_VALUE"""),"2.5次元の誘惑")</f>
        <v>2.5次元の誘惑</v>
      </c>
      <c r="B82" s="139" t="str">
        <f>IFERROR(__xludf.DUMMYFUNCTION("""COMPUTED_VALUE"""),"753♡")</f>
        <v>753♡</v>
      </c>
      <c r="C82" s="139" t="str">
        <f>IFERROR(__xludf.DUMMYFUNCTION("""COMPUTED_VALUE"""),"chara_yuw_00501")</f>
        <v>chara_yuw_00501</v>
      </c>
      <c r="D82" s="139" t="str">
        <f>IFERROR(__xludf.DUMMYFUNCTION("""COMPUTED_VALUE"""),"DropSR")</f>
        <v>DropSR</v>
      </c>
      <c r="E82" s="139" t="str">
        <f>IFERROR(__xludf.DUMMYFUNCTION("""COMPUTED_VALUE"""),"赤")</f>
        <v>赤</v>
      </c>
      <c r="F82" s="139" t="str">
        <f>IFERROR(__xludf.DUMMYFUNCTION("""COMPUTED_VALUE"""),"サポート")</f>
        <v>サポート</v>
      </c>
      <c r="G82" s="139" t="str">
        <f>IFERROR(__xludf.DUMMYFUNCTION("""COMPUTED_VALUE"""),"近距離")</f>
        <v>近距離</v>
      </c>
      <c r="H82" s="139" t="str">
        <f>IFERROR(__xludf.DUMMYFUNCTION("""COMPUTED_VALUE"""),"dageki_2")</f>
        <v>dageki_2</v>
      </c>
      <c r="I82" s="139" t="str">
        <f>IFERROR(__xludf.DUMMYFUNCTION("""COMPUTED_VALUE"""),"-")</f>
        <v>-</v>
      </c>
      <c r="J82" s="139" t="str">
        <f>IFERROR(__xludf.DUMMYFUNCTION("""COMPUTED_VALUE"""),"202511020_【クリスマス】2.5次元の誘惑")</f>
        <v>202511020_【クリスマス】2.5次元の誘惑</v>
      </c>
      <c r="K82" s="139" t="str">
        <f>IFERROR(__xludf.DUMMYFUNCTION("""COMPUTED_VALUE"""),"2.5次元の誘惑いいジャン祭")</f>
        <v>2.5次元の誘惑いいジャン祭</v>
      </c>
      <c r="L82" s="687" t="str">
        <f>IFERROR(__xludf.DUMMYFUNCTION("""COMPUTED_VALUE"""),"※")</f>
        <v>※</v>
      </c>
      <c r="M82" s="674">
        <f>IFERROR(__xludf.DUMMYFUNCTION("""COMPUTED_VALUE"""),475.0)</f>
        <v>475</v>
      </c>
      <c r="N82" s="139">
        <f>IFERROR(__xludf.DUMMYFUNCTION("""COMPUTED_VALUE"""),600.0)</f>
        <v>600</v>
      </c>
      <c r="O82" s="139" t="str">
        <f>IFERROR(__xludf.DUMMYFUNCTION("""COMPUTED_VALUE"""),"中コスト")</f>
        <v>中コスト</v>
      </c>
      <c r="P82" s="139">
        <f>IFERROR(__xludf.DUMMYFUNCTION("""COMPUTED_VALUE"""),-150.0)</f>
        <v>-150</v>
      </c>
      <c r="Q82" s="675">
        <f>IFERROR(__xludf.DUMMYFUNCTION("""COMPUTED_VALUE"""),10.0)</f>
        <v>10</v>
      </c>
      <c r="R82" s="675">
        <f>IFERROR(__xludf.DUMMYFUNCTION("""COMPUTED_VALUE"""),15.0)</f>
        <v>15</v>
      </c>
      <c r="S82" s="675">
        <f>IFERROR(__xludf.DUMMYFUNCTION("""COMPUTED_VALUE"""),9.375)</f>
        <v>9.375</v>
      </c>
      <c r="T82" s="674">
        <f>IFERROR(__xludf.DUMMYFUNCTION("""COMPUTED_VALUE"""),315.0)</f>
        <v>315</v>
      </c>
      <c r="U82" s="675">
        <f>IFERROR(__xludf.DUMMYFUNCTION("""COMPUTED_VALUE"""),6.3066666666666675)</f>
        <v>6.306666667</v>
      </c>
      <c r="V82" s="675">
        <f>IFERROR(__xludf.DUMMYFUNCTION("""COMPUTED_VALUE"""),0.0)</f>
        <v>0</v>
      </c>
      <c r="W82" s="675">
        <f>IFERROR(__xludf.DUMMYFUNCTION("""COMPUTED_VALUE"""),0.0)</f>
        <v>0</v>
      </c>
      <c r="X82" s="675">
        <f>IFERROR(__xludf.DUMMYFUNCTION("""COMPUTED_VALUE"""),0.0)</f>
        <v>0</v>
      </c>
      <c r="Y82" s="674">
        <f>IFERROR(__xludf.DUMMYFUNCTION("""COMPUTED_VALUE"""),165.0)</f>
        <v>165</v>
      </c>
      <c r="Z82" s="675">
        <f>IFERROR(__xludf.DUMMYFUNCTION("""COMPUTED_VALUE"""),3.2966666666666664)</f>
        <v>3.296666667</v>
      </c>
      <c r="AA82" s="675">
        <f>IFERROR(__xludf.DUMMYFUNCTION("""COMPUTED_VALUE"""),0.0)</f>
        <v>0</v>
      </c>
      <c r="AB82" s="673">
        <f>IFERROR(__xludf.DUMMYFUNCTION("""COMPUTED_VALUE"""),0.0)</f>
        <v>0</v>
      </c>
      <c r="AC82" s="675">
        <f>IFERROR(__xludf.DUMMYFUNCTION("""COMPUTED_VALUE"""),0.0)</f>
        <v>0</v>
      </c>
      <c r="AD82" s="674">
        <f>IFERROR(__xludf.DUMMYFUNCTION("""COMPUTED_VALUE"""),765.0)</f>
        <v>765</v>
      </c>
      <c r="AE82" s="675">
        <f>IFERROR(__xludf.DUMMYFUNCTION("""COMPUTED_VALUE"""),15.312178406080216)</f>
        <v>15.31217841</v>
      </c>
      <c r="AF82" s="675">
        <f>IFERROR(__xludf.DUMMYFUNCTION("""COMPUTED_VALUE"""),0.0)</f>
        <v>0</v>
      </c>
      <c r="AG82" s="675">
        <f>IFERROR(__xludf.DUMMYFUNCTION("""COMPUTED_VALUE"""),6.0)</f>
        <v>6</v>
      </c>
      <c r="AH82" s="675">
        <f>IFERROR(__xludf.DUMMYFUNCTION("""COMPUTED_VALUE"""),0.0)</f>
        <v>0</v>
      </c>
      <c r="AI82" s="675">
        <f>IFERROR(__xludf.DUMMYFUNCTION("""COMPUTED_VALUE"""),4.0)</f>
        <v>4</v>
      </c>
      <c r="AJ82" s="675">
        <f>IFERROR(__xludf.DUMMYFUNCTION("""COMPUTED_VALUE"""),11.312178406080216)</f>
        <v>11.31217841</v>
      </c>
      <c r="AK82" s="139">
        <f>IFERROR(__xludf.DUMMYFUNCTION("""COMPUTED_VALUE"""),1.0)</f>
        <v>1</v>
      </c>
      <c r="AL82" s="674">
        <f>IFERROR(__xludf.DUMMYFUNCTION("""COMPUTED_VALUE"""),860.0)</f>
        <v>860</v>
      </c>
      <c r="AM82" s="688">
        <f>IFERROR(__xludf.DUMMYFUNCTION("""COMPUTED_VALUE"""),5943.764182582226)</f>
        <v>5943.764183</v>
      </c>
      <c r="AN82" s="675">
        <f>IFERROR(__xludf.DUMMYFUNCTION("""COMPUTED_VALUE"""),5.733333333333333)</f>
        <v>5.733333333</v>
      </c>
      <c r="AO82" s="675">
        <f>IFERROR(__xludf.DUMMYFUNCTION("""COMPUTED_VALUE"""),2.8666666666666667)</f>
        <v>2.866666667</v>
      </c>
      <c r="AP82" s="674">
        <f>IFERROR(__xludf.DUMMYFUNCTION("""COMPUTED_VALUE"""),1430.0)</f>
        <v>1430</v>
      </c>
      <c r="AQ82" s="673">
        <f>IFERROR(__xludf.DUMMYFUNCTION("""COMPUTED_VALUE"""),-0.4)</f>
        <v>-0.4</v>
      </c>
      <c r="AR82" s="673">
        <f>IFERROR(__xludf.DUMMYFUNCTION("""COMPUTED_VALUE"""),0.0)</f>
        <v>0</v>
      </c>
      <c r="AS82" s="673">
        <f>IFERROR(__xludf.DUMMYFUNCTION("""COMPUTED_VALUE"""),0.0)</f>
        <v>0</v>
      </c>
      <c r="AT82" s="673">
        <f>IFERROR(__xludf.DUMMYFUNCTION("""COMPUTED_VALUE"""),0.0)</f>
        <v>0</v>
      </c>
      <c r="AU82" s="673">
        <f>IFERROR(__xludf.DUMMYFUNCTION("""COMPUTED_VALUE"""),0.0)</f>
        <v>0</v>
      </c>
      <c r="AV82" s="673">
        <f>IFERROR(__xludf.DUMMYFUNCTION("""COMPUTED_VALUE"""),0.0)</f>
        <v>0</v>
      </c>
      <c r="AW82" s="139"/>
      <c r="AX82" s="674">
        <f>IFERROR(__xludf.DUMMYFUNCTION("""COMPUTED_VALUE"""),1010.0)</f>
        <v>1010</v>
      </c>
      <c r="AY82" s="688">
        <f>IFERROR(__xludf.DUMMYFUNCTION("""COMPUTED_VALUE"""),6981.558400474475)</f>
        <v>6981.5584</v>
      </c>
      <c r="AZ82" s="674">
        <f>IFERROR(__xludf.DUMMYFUNCTION("""COMPUTED_VALUE"""),670.0)</f>
        <v>670</v>
      </c>
      <c r="BA82" s="688">
        <f>IFERROR(__xludf.DUMMYFUNCTION("""COMPUTED_VALUE"""),4654.372266982983)</f>
        <v>4654.372267</v>
      </c>
      <c r="BB82" s="688" t="str">
        <f>IFERROR(__xludf.DUMMYFUNCTION("""COMPUTED_VALUE"""),"-")</f>
        <v>-</v>
      </c>
      <c r="BC82" s="688" t="str">
        <f>IFERROR(__xludf.DUMMYFUNCTION("""COMPUTED_VALUE"""),"#VALUE!")</f>
        <v>#VALUE!</v>
      </c>
      <c r="BD82" s="688" t="str">
        <f>IFERROR(__xludf.DUMMYFUNCTION("""COMPUTED_VALUE"""),"#VALUE!")</f>
        <v>#VALUE!</v>
      </c>
      <c r="BE82" s="674">
        <f>IFERROR(__xludf.DUMMYFUNCTION("""COMPUTED_VALUE"""),670.0)</f>
        <v>670</v>
      </c>
      <c r="BF82" s="674">
        <f>IFERROR(__xludf.DUMMYFUNCTION("""COMPUTED_VALUE"""),950.0)</f>
        <v>950</v>
      </c>
      <c r="BG82" s="673">
        <f>IFERROR(__xludf.DUMMYFUNCTION("""COMPUTED_VALUE"""),0.0)</f>
        <v>0</v>
      </c>
      <c r="BH82" s="673">
        <f>IFERROR(__xludf.DUMMYFUNCTION("""COMPUTED_VALUE"""),-0.3)</f>
        <v>-0.3</v>
      </c>
      <c r="BI82" s="673">
        <f>IFERROR(__xludf.DUMMYFUNCTION("""COMPUTED_VALUE"""),0.0)</f>
        <v>0</v>
      </c>
      <c r="BJ82" s="673">
        <f>IFERROR(__xludf.DUMMYFUNCTION("""COMPUTED_VALUE"""),0.0)</f>
        <v>0</v>
      </c>
      <c r="BK82" s="673">
        <f>IFERROR(__xludf.DUMMYFUNCTION("""COMPUTED_VALUE"""),0.0)</f>
        <v>0</v>
      </c>
      <c r="BL82" s="673">
        <f>IFERROR(__xludf.DUMMYFUNCTION("""COMPUTED_VALUE"""),0.0)</f>
        <v>0</v>
      </c>
      <c r="BM82" s="674">
        <f>IFERROR(__xludf.DUMMYFUNCTION("""COMPUTED_VALUE"""),75.0)</f>
        <v>75</v>
      </c>
      <c r="BN82" s="674">
        <f>IFERROR(__xludf.DUMMYFUNCTION("""COMPUTED_VALUE"""),75.0)</f>
        <v>75</v>
      </c>
      <c r="BO82" s="675">
        <f>IFERROR(__xludf.DUMMYFUNCTION("""COMPUTED_VALUE"""),0.0)</f>
        <v>0</v>
      </c>
      <c r="BP82" s="675">
        <f>IFERROR(__xludf.DUMMYFUNCTION("""COMPUTED_VALUE"""),1.5)</f>
        <v>1.5</v>
      </c>
      <c r="BQ82" s="139" t="str">
        <f>IFERROR(__xludf.DUMMYFUNCTION("""COMPUTED_VALUE"""),"(近距離)武器・道具・特殊攻撃")</f>
        <v>(近距離)武器・道具・特殊攻撃</v>
      </c>
      <c r="BR82" s="139">
        <f>IFERROR(__xludf.DUMMYFUNCTION("""COMPUTED_VALUE"""),2.0)</f>
        <v>2</v>
      </c>
      <c r="BS82" s="139">
        <f>IFERROR(__xludf.DUMMYFUNCTION("""COMPUTED_VALUE"""),35.0)</f>
        <v>35</v>
      </c>
      <c r="BT82" s="139">
        <f>IFERROR(__xludf.DUMMYFUNCTION("""COMPUTED_VALUE"""),0.27)</f>
        <v>0.27</v>
      </c>
      <c r="BU82" s="139">
        <f>IFERROR(__xludf.DUMMYFUNCTION("""COMPUTED_VALUE"""),-0.05)</f>
        <v>-0.05</v>
      </c>
      <c r="BV82" s="139" t="str">
        <f>IFERROR(__xludf.DUMMYFUNCTION("""COMPUTED_VALUE"""),"普通")</f>
        <v>普通</v>
      </c>
      <c r="BW82" s="139" t="str">
        <f>IFERROR(__xludf.DUMMYFUNCTION("""COMPUTED_VALUE"""),"火傷ダメージ軽減")</f>
        <v>火傷ダメージ軽減</v>
      </c>
      <c r="BX82" s="139">
        <f>IFERROR(__xludf.DUMMYFUNCTION("""COMPUTED_VALUE"""),30.0)</f>
        <v>30</v>
      </c>
      <c r="BY82" s="139">
        <f>IFERROR(__xludf.DUMMYFUNCTION("""COMPUTED_VALUE"""),2.0)</f>
        <v>2</v>
      </c>
      <c r="BZ82" s="139" t="str">
        <f>IFERROR(__xludf.DUMMYFUNCTION("""COMPUTED_VALUE"""),"-")</f>
        <v>-</v>
      </c>
      <c r="CA82" s="139" t="str">
        <f>IFERROR(__xludf.DUMMYFUNCTION("""COMPUTED_VALUE"""),"-")</f>
        <v>-</v>
      </c>
      <c r="CB82" s="139" t="str">
        <f>IFERROR(__xludf.DUMMYFUNCTION("""COMPUTED_VALUE"""),"-")</f>
        <v>-</v>
      </c>
      <c r="CC82" s="139" t="str">
        <f>IFERROR(__xludf.DUMMYFUNCTION("""COMPUTED_VALUE"""),"近距離")</f>
        <v>近距離</v>
      </c>
      <c r="CD82" s="139" t="str">
        <f>IFERROR(__xludf.DUMMYFUNCTION("""COMPUTED_VALUE"""),"単体")</f>
        <v>単体</v>
      </c>
      <c r="CE82" s="139">
        <f>IFERROR(__xludf.DUMMYFUNCTION("""COMPUTED_VALUE"""),1.0)</f>
        <v>1</v>
      </c>
      <c r="CF82" s="139">
        <f>IFERROR(__xludf.DUMMYFUNCTION("""COMPUTED_VALUE"""),0.28)</f>
        <v>0.28</v>
      </c>
      <c r="CG82" s="139" t="str">
        <f>IFERROR(__xludf.DUMMYFUNCTION("""COMPUTED_VALUE"""),"自身と同じコマにいる味方")</f>
        <v>自身と同じコマにいる味方</v>
      </c>
      <c r="CH82" s="139" t="str">
        <f>IFERROR(__xludf.DUMMYFUNCTION("""COMPUTED_VALUE"""),"範囲(コマ)0")</f>
        <v>範囲(コマ)0</v>
      </c>
      <c r="CI82" s="139" t="str">
        <f>IFERROR(__xludf.DUMMYFUNCTION("""COMPUTED_VALUE"""),"-")</f>
        <v>-</v>
      </c>
      <c r="CJ82" s="139" t="str">
        <f>IFERROR(__xludf.DUMMYFUNCTION("""COMPUTED_VALUE"""),"(コマ)0")</f>
        <v>(コマ)0</v>
      </c>
      <c r="CK82" s="139" t="str">
        <f>IFERROR(__xludf.DUMMYFUNCTION("""COMPUTED_VALUE"""),"味方")</f>
        <v>味方</v>
      </c>
      <c r="CL82" s="139" t="str">
        <f>IFERROR(__xludf.DUMMYFUNCTION("""COMPUTED_VALUE"""),"赤")</f>
        <v>赤</v>
      </c>
      <c r="CM82" s="139" t="str">
        <f>IFERROR(__xludf.DUMMYFUNCTION("""COMPUTED_VALUE"""),"All")</f>
        <v>All</v>
      </c>
      <c r="CN82" s="675">
        <f>IFERROR(__xludf.DUMMYFUNCTION("""COMPUTED_VALUE"""),15.312178406080216)</f>
        <v>15.31217841</v>
      </c>
      <c r="CO82" s="139" t="str">
        <f>IFERROR(__xludf.DUMMYFUNCTION("""COMPUTED_VALUE"""),"-")</f>
        <v>-</v>
      </c>
      <c r="CP82" s="139" t="str">
        <f>IFERROR(__xludf.DUMMYFUNCTION("""COMPUTED_VALUE"""),"-")</f>
        <v>-</v>
      </c>
      <c r="CQ82" s="139" t="str">
        <f>IFERROR(__xludf.DUMMYFUNCTION("""COMPUTED_VALUE"""),"-")</f>
        <v>-</v>
      </c>
      <c r="CR82" s="139" t="str">
        <f>IFERROR(__xludf.DUMMYFUNCTION("""COMPUTED_VALUE"""),"瞬間型")</f>
        <v>瞬間型</v>
      </c>
      <c r="CS82" s="673" t="str">
        <f>IFERROR(__xludf.DUMMYFUNCTION("""COMPUTED_VALUE"""),"ダメージカット(赤)")</f>
        <v>ダメージカット(赤)</v>
      </c>
      <c r="CT82" s="139" t="str">
        <f>IFERROR(__xludf.DUMMYFUNCTION("""COMPUTED_VALUE"""),"瞬間型")</f>
        <v>瞬間型</v>
      </c>
      <c r="CU82" s="139" t="str">
        <f>IFERROR(__xludf.DUMMYFUNCTION("""COMPUTED_VALUE"""),"味方")</f>
        <v>味方</v>
      </c>
      <c r="CV82" s="139" t="str">
        <f>IFERROR(__xludf.DUMMYFUNCTION("""COMPUTED_VALUE"""),"赤")</f>
        <v>赤</v>
      </c>
      <c r="CW82" s="139" t="str">
        <f>IFERROR(__xludf.DUMMYFUNCTION("""COMPUTED_VALUE"""),"All")</f>
        <v>All</v>
      </c>
      <c r="CX82" s="674">
        <f>IFERROR(__xludf.DUMMYFUNCTION("""COMPUTED_VALUE"""),23.0)</f>
        <v>23</v>
      </c>
      <c r="CY82" s="675">
        <f>IFERROR(__xludf.DUMMYFUNCTION("""COMPUTED_VALUE"""),4.0)</f>
        <v>4</v>
      </c>
      <c r="CZ82" s="688" t="str">
        <f>IFERROR(__xludf.DUMMYFUNCTION("""COMPUTED_VALUE"""),"-")</f>
        <v>-</v>
      </c>
      <c r="DA82" s="688">
        <f>IFERROR(__xludf.DUMMYFUNCTION("""COMPUTED_VALUE"""),0.0)</f>
        <v>0</v>
      </c>
      <c r="DB82" s="688">
        <f>IFERROR(__xludf.DUMMYFUNCTION("""COMPUTED_VALUE"""),0.0)</f>
        <v>0</v>
      </c>
      <c r="DC82" s="673" t="str">
        <f>IFERROR(__xludf.DUMMYFUNCTION("""COMPUTED_VALUE"""),"-")</f>
        <v>-</v>
      </c>
      <c r="DD82" s="673" t="str">
        <f>IFERROR(__xludf.DUMMYFUNCTION("""COMPUTED_VALUE"""),"-")</f>
        <v>-</v>
      </c>
      <c r="DE82" s="139" t="str">
        <f>IFERROR(__xludf.DUMMYFUNCTION("""COMPUTED_VALUE"""),"-")</f>
        <v>-</v>
      </c>
      <c r="DF82" s="139" t="str">
        <f>IFERROR(__xludf.DUMMYFUNCTION("""COMPUTED_VALUE"""),"-")</f>
        <v>-</v>
      </c>
      <c r="DG82" s="139" t="str">
        <f>IFERROR(__xludf.DUMMYFUNCTION("""COMPUTED_VALUE"""),"-")</f>
        <v>-</v>
      </c>
      <c r="DH82" s="139" t="str">
        <f>IFERROR(__xludf.DUMMYFUNCTION("""COMPUTED_VALUE"""),"-")</f>
        <v>-</v>
      </c>
      <c r="DI82" s="139" t="str">
        <f>IFERROR(__xludf.DUMMYFUNCTION("""COMPUTED_VALUE"""),"-")</f>
        <v>-</v>
      </c>
      <c r="DJ82" s="139" t="str">
        <f>IFERROR(__xludf.DUMMYFUNCTION("""COMPUTED_VALUE"""),"-")</f>
        <v>-</v>
      </c>
    </row>
    <row r="83">
      <c r="A83" s="139" t="str">
        <f>IFERROR(__xludf.DUMMYFUNCTION("""COMPUTED_VALUE"""),"2.5次元の誘惑")</f>
        <v>2.5次元の誘惑</v>
      </c>
      <c r="B83" s="139" t="str">
        <f>IFERROR(__xludf.DUMMYFUNCTION("""COMPUTED_VALUE"""),"奥村 正宗")</f>
        <v>奥村 正宗</v>
      </c>
      <c r="C83" s="139" t="str">
        <f>IFERROR(__xludf.DUMMYFUNCTION("""COMPUTED_VALUE"""),"chara_yuw_00601")</f>
        <v>chara_yuw_00601</v>
      </c>
      <c r="D83" s="139" t="str">
        <f>IFERROR(__xludf.DUMMYFUNCTION("""COMPUTED_VALUE"""),"DropSR")</f>
        <v>DropSR</v>
      </c>
      <c r="E83" s="139" t="str">
        <f>IFERROR(__xludf.DUMMYFUNCTION("""COMPUTED_VALUE"""),"黄")</f>
        <v>黄</v>
      </c>
      <c r="F83" s="139" t="str">
        <f>IFERROR(__xludf.DUMMYFUNCTION("""COMPUTED_VALUE"""),"ディフェンス")</f>
        <v>ディフェンス</v>
      </c>
      <c r="G83" s="139" t="str">
        <f>IFERROR(__xludf.DUMMYFUNCTION("""COMPUTED_VALUE"""),"近距離")</f>
        <v>近距離</v>
      </c>
      <c r="H83" s="139" t="str">
        <f>IFERROR(__xludf.DUMMYFUNCTION("""COMPUTED_VALUE"""),"dageki_1")</f>
        <v>dageki_1</v>
      </c>
      <c r="I83" s="139" t="str">
        <f>IFERROR(__xludf.DUMMYFUNCTION("""COMPUTED_VALUE"""),"-")</f>
        <v>-</v>
      </c>
      <c r="J83" s="139" t="str">
        <f>IFERROR(__xludf.DUMMYFUNCTION("""COMPUTED_VALUE"""),"202511020_【クリスマス】2.5次元の誘惑")</f>
        <v>202511020_【クリスマス】2.5次元の誘惑</v>
      </c>
      <c r="K83" s="139" t="str">
        <f>IFERROR(__xludf.DUMMYFUNCTION("""COMPUTED_VALUE"""),"2.5次元の誘惑いいジャン祭")</f>
        <v>2.5次元の誘惑いいジャン祭</v>
      </c>
      <c r="L83" s="687" t="str">
        <f>IFERROR(__xludf.DUMMYFUNCTION("""COMPUTED_VALUE"""),"※")</f>
        <v>※</v>
      </c>
      <c r="M83" s="674">
        <f>IFERROR(__xludf.DUMMYFUNCTION("""COMPUTED_VALUE"""),445.0)</f>
        <v>445</v>
      </c>
      <c r="N83" s="139">
        <f>IFERROR(__xludf.DUMMYFUNCTION("""COMPUTED_VALUE"""),600.0)</f>
        <v>600</v>
      </c>
      <c r="O83" s="139" t="str">
        <f>IFERROR(__xludf.DUMMYFUNCTION("""COMPUTED_VALUE"""),"中コスト")</f>
        <v>中コスト</v>
      </c>
      <c r="P83" s="139">
        <f>IFERROR(__xludf.DUMMYFUNCTION("""COMPUTED_VALUE"""),-180.0)</f>
        <v>-180</v>
      </c>
      <c r="Q83" s="675">
        <f>IFERROR(__xludf.DUMMYFUNCTION("""COMPUTED_VALUE"""),10.0)</f>
        <v>10</v>
      </c>
      <c r="R83" s="675">
        <f>IFERROR(__xludf.DUMMYFUNCTION("""COMPUTED_VALUE"""),15.0)</f>
        <v>15</v>
      </c>
      <c r="S83" s="675">
        <f>IFERROR(__xludf.DUMMYFUNCTION("""COMPUTED_VALUE"""),8.625)</f>
        <v>8.625</v>
      </c>
      <c r="T83" s="674">
        <f>IFERROR(__xludf.DUMMYFUNCTION("""COMPUTED_VALUE"""),935.0)</f>
        <v>935</v>
      </c>
      <c r="U83" s="675">
        <f>IFERROR(__xludf.DUMMYFUNCTION("""COMPUTED_VALUE"""),18.700000000000003)</f>
        <v>18.7</v>
      </c>
      <c r="V83" s="675">
        <f>IFERROR(__xludf.DUMMYFUNCTION("""COMPUTED_VALUE"""),0.0)</f>
        <v>0</v>
      </c>
      <c r="W83" s="675">
        <f>IFERROR(__xludf.DUMMYFUNCTION("""COMPUTED_VALUE"""),0.0)</f>
        <v>0</v>
      </c>
      <c r="X83" s="675">
        <f>IFERROR(__xludf.DUMMYFUNCTION("""COMPUTED_VALUE"""),0.0)</f>
        <v>0</v>
      </c>
      <c r="Y83" s="674">
        <f>IFERROR(__xludf.DUMMYFUNCTION("""COMPUTED_VALUE"""),490.0)</f>
        <v>490</v>
      </c>
      <c r="Z83" s="675">
        <f>IFERROR(__xludf.DUMMYFUNCTION("""COMPUTED_VALUE"""),9.774999999999999)</f>
        <v>9.775</v>
      </c>
      <c r="AA83" s="675">
        <f>IFERROR(__xludf.DUMMYFUNCTION("""COMPUTED_VALUE"""),0.0)</f>
        <v>0</v>
      </c>
      <c r="AB83" s="673">
        <f>IFERROR(__xludf.DUMMYFUNCTION("""COMPUTED_VALUE"""),0.0)</f>
        <v>0</v>
      </c>
      <c r="AC83" s="675">
        <f>IFERROR(__xludf.DUMMYFUNCTION("""COMPUTED_VALUE"""),0.0)</f>
        <v>0</v>
      </c>
      <c r="AD83" s="674">
        <f>IFERROR(__xludf.DUMMYFUNCTION("""COMPUTED_VALUE"""),1100.0)</f>
        <v>1100</v>
      </c>
      <c r="AE83" s="675">
        <f>IFERROR(__xludf.DUMMYFUNCTION("""COMPUTED_VALUE"""),22.035117710824576)</f>
        <v>22.03511771</v>
      </c>
      <c r="AF83" s="675">
        <f>IFERROR(__xludf.DUMMYFUNCTION("""COMPUTED_VALUE"""),0.0)</f>
        <v>0</v>
      </c>
      <c r="AG83" s="675">
        <f>IFERROR(__xludf.DUMMYFUNCTION("""COMPUTED_VALUE"""),6.0)</f>
        <v>6</v>
      </c>
      <c r="AH83" s="675">
        <f>IFERROR(__xludf.DUMMYFUNCTION("""COMPUTED_VALUE"""),0.0)</f>
        <v>0</v>
      </c>
      <c r="AI83" s="675">
        <f>IFERROR(__xludf.DUMMYFUNCTION("""COMPUTED_VALUE"""),4.0)</f>
        <v>4</v>
      </c>
      <c r="AJ83" s="675">
        <f>IFERROR(__xludf.DUMMYFUNCTION("""COMPUTED_VALUE"""),18.035117710824576)</f>
        <v>18.03511771</v>
      </c>
      <c r="AK83" s="139">
        <f>IFERROR(__xludf.DUMMYFUNCTION("""COMPUTED_VALUE"""),1.0)</f>
        <v>1</v>
      </c>
      <c r="AL83" s="674">
        <f>IFERROR(__xludf.DUMMYFUNCTION("""COMPUTED_VALUE"""),2550.0)</f>
        <v>2550</v>
      </c>
      <c r="AM83" s="688">
        <f>IFERROR(__xludf.DUMMYFUNCTION("""COMPUTED_VALUE"""),17628.021704168226)</f>
        <v>17628.0217</v>
      </c>
      <c r="AN83" s="675">
        <f>IFERROR(__xludf.DUMMYFUNCTION("""COMPUTED_VALUE"""),17.0)</f>
        <v>17</v>
      </c>
      <c r="AO83" s="675">
        <f>IFERROR(__xludf.DUMMYFUNCTION("""COMPUTED_VALUE"""),8.5)</f>
        <v>8.5</v>
      </c>
      <c r="AP83" s="674">
        <f>IFERROR(__xludf.DUMMYFUNCTION("""COMPUTED_VALUE"""),1340.0)</f>
        <v>1340</v>
      </c>
      <c r="AQ83" s="673">
        <f>IFERROR(__xludf.DUMMYFUNCTION("""COMPUTED_VALUE"""),0.9)</f>
        <v>0.9</v>
      </c>
      <c r="AR83" s="673">
        <f>IFERROR(__xludf.DUMMYFUNCTION("""COMPUTED_VALUE"""),0.0)</f>
        <v>0</v>
      </c>
      <c r="AS83" s="673">
        <f>IFERROR(__xludf.DUMMYFUNCTION("""COMPUTED_VALUE"""),0.0)</f>
        <v>0</v>
      </c>
      <c r="AT83" s="673">
        <f>IFERROR(__xludf.DUMMYFUNCTION("""COMPUTED_VALUE"""),0.0)</f>
        <v>0</v>
      </c>
      <c r="AU83" s="673">
        <f>IFERROR(__xludf.DUMMYFUNCTION("""COMPUTED_VALUE"""),0.0)</f>
        <v>0</v>
      </c>
      <c r="AV83" s="673">
        <f>IFERROR(__xludf.DUMMYFUNCTION("""COMPUTED_VALUE"""),0.0)</f>
        <v>0</v>
      </c>
      <c r="AW83" s="139"/>
      <c r="AX83" s="674">
        <f>IFERROR(__xludf.DUMMYFUNCTION("""COMPUTED_VALUE"""),660.0)</f>
        <v>660</v>
      </c>
      <c r="AY83" s="688">
        <f>IFERROR(__xludf.DUMMYFUNCTION("""COMPUTED_VALUE"""),4561.038558725894)</f>
        <v>4561.038559</v>
      </c>
      <c r="AZ83" s="674">
        <f>IFERROR(__xludf.DUMMYFUNCTION("""COMPUTED_VALUE"""),330.0)</f>
        <v>330</v>
      </c>
      <c r="BA83" s="688">
        <f>IFERROR(__xludf.DUMMYFUNCTION("""COMPUTED_VALUE"""),2280.519279362947)</f>
        <v>2280.519279</v>
      </c>
      <c r="BB83" s="688" t="str">
        <f>IFERROR(__xludf.DUMMYFUNCTION("""COMPUTED_VALUE"""),"-")</f>
        <v>-</v>
      </c>
      <c r="BC83" s="688" t="str">
        <f>IFERROR(__xludf.DUMMYFUNCTION("""COMPUTED_VALUE"""),"#VALUE!")</f>
        <v>#VALUE!</v>
      </c>
      <c r="BD83" s="688" t="str">
        <f>IFERROR(__xludf.DUMMYFUNCTION("""COMPUTED_VALUE"""),"#VALUE!")</f>
        <v>#VALUE!</v>
      </c>
      <c r="BE83" s="674">
        <f>IFERROR(__xludf.DUMMYFUNCTION("""COMPUTED_VALUE"""),330.0)</f>
        <v>330</v>
      </c>
      <c r="BF83" s="674">
        <f>IFERROR(__xludf.DUMMYFUNCTION("""COMPUTED_VALUE"""),890.0)</f>
        <v>890</v>
      </c>
      <c r="BG83" s="673">
        <f>IFERROR(__xludf.DUMMYFUNCTION("""COMPUTED_VALUE"""),0.0)</f>
        <v>0</v>
      </c>
      <c r="BH83" s="673">
        <f>IFERROR(__xludf.DUMMYFUNCTION("""COMPUTED_VALUE"""),-0.5)</f>
        <v>-0.5</v>
      </c>
      <c r="BI83" s="673">
        <f>IFERROR(__xludf.DUMMYFUNCTION("""COMPUTED_VALUE"""),0.0)</f>
        <v>0</v>
      </c>
      <c r="BJ83" s="673">
        <f>IFERROR(__xludf.DUMMYFUNCTION("""COMPUTED_VALUE"""),0.0)</f>
        <v>0</v>
      </c>
      <c r="BK83" s="673">
        <f>IFERROR(__xludf.DUMMYFUNCTION("""COMPUTED_VALUE"""),0.0)</f>
        <v>0</v>
      </c>
      <c r="BL83" s="673">
        <f>IFERROR(__xludf.DUMMYFUNCTION("""COMPUTED_VALUE"""),0.0)</f>
        <v>0</v>
      </c>
      <c r="BM83" s="674">
        <f>IFERROR(__xludf.DUMMYFUNCTION("""COMPUTED_VALUE"""),100.0)</f>
        <v>100</v>
      </c>
      <c r="BN83" s="674">
        <f>IFERROR(__xludf.DUMMYFUNCTION("""COMPUTED_VALUE"""),100.0)</f>
        <v>100</v>
      </c>
      <c r="BO83" s="675">
        <f>IFERROR(__xludf.DUMMYFUNCTION("""COMPUTED_VALUE"""),0.0)</f>
        <v>0</v>
      </c>
      <c r="BP83" s="675">
        <f>IFERROR(__xludf.DUMMYFUNCTION("""COMPUTED_VALUE"""),2.0)</f>
        <v>2</v>
      </c>
      <c r="BQ83" s="139" t="str">
        <f>IFERROR(__xludf.DUMMYFUNCTION("""COMPUTED_VALUE"""),"(近距離)武器・道具・特殊攻撃")</f>
        <v>(近距離)武器・道具・特殊攻撃</v>
      </c>
      <c r="BR83" s="139">
        <f>IFERROR(__xludf.DUMMYFUNCTION("""COMPUTED_VALUE"""),1.0)</f>
        <v>1</v>
      </c>
      <c r="BS83" s="139">
        <f>IFERROR(__xludf.DUMMYFUNCTION("""COMPUTED_VALUE"""),35.0)</f>
        <v>35</v>
      </c>
      <c r="BT83" s="139">
        <f>IFERROR(__xludf.DUMMYFUNCTION("""COMPUTED_VALUE"""),0.21)</f>
        <v>0.21</v>
      </c>
      <c r="BU83" s="139">
        <f>IFERROR(__xludf.DUMMYFUNCTION("""COMPUTED_VALUE"""),0.0)</f>
        <v>0</v>
      </c>
      <c r="BV83" s="139" t="str">
        <f>IFERROR(__xludf.DUMMYFUNCTION("""COMPUTED_VALUE"""),"普通")</f>
        <v>普通</v>
      </c>
      <c r="BW83" s="139" t="str">
        <f>IFERROR(__xludf.DUMMYFUNCTION("""COMPUTED_VALUE"""),"火傷ダメージ軽減")</f>
        <v>火傷ダメージ軽減</v>
      </c>
      <c r="BX83" s="139">
        <f>IFERROR(__xludf.DUMMYFUNCTION("""COMPUTED_VALUE"""),40.0)</f>
        <v>40</v>
      </c>
      <c r="BY83" s="139">
        <f>IFERROR(__xludf.DUMMYFUNCTION("""COMPUTED_VALUE"""),2.0)</f>
        <v>2</v>
      </c>
      <c r="BZ83" s="139" t="str">
        <f>IFERROR(__xludf.DUMMYFUNCTION("""COMPUTED_VALUE"""),"-")</f>
        <v>-</v>
      </c>
      <c r="CA83" s="139" t="str">
        <f>IFERROR(__xludf.DUMMYFUNCTION("""COMPUTED_VALUE"""),"-")</f>
        <v>-</v>
      </c>
      <c r="CB83" s="139" t="str">
        <f>IFERROR(__xludf.DUMMYFUNCTION("""COMPUTED_VALUE"""),"-")</f>
        <v>-</v>
      </c>
      <c r="CC83" s="139" t="str">
        <f>IFERROR(__xludf.DUMMYFUNCTION("""COMPUTED_VALUE"""),"近距離")</f>
        <v>近距離</v>
      </c>
      <c r="CD83" s="139" t="str">
        <f>IFERROR(__xludf.DUMMYFUNCTION("""COMPUTED_VALUE"""),"範囲(小)")</f>
        <v>範囲(小)</v>
      </c>
      <c r="CE83" s="139">
        <f>IFERROR(__xludf.DUMMYFUNCTION("""COMPUTED_VALUE"""),0.75)</f>
        <v>0.75</v>
      </c>
      <c r="CF83" s="139">
        <f>IFERROR(__xludf.DUMMYFUNCTION("""COMPUTED_VALUE"""),0.32)</f>
        <v>0.32</v>
      </c>
      <c r="CG83" s="139" t="str">
        <f>IFERROR(__xludf.DUMMYFUNCTION("""COMPUTED_VALUE"""),"自身")</f>
        <v>自身</v>
      </c>
      <c r="CH83" s="139" t="str">
        <f>IFERROR(__xludf.DUMMYFUNCTION("""COMPUTED_VALUE"""),"自身")</f>
        <v>自身</v>
      </c>
      <c r="CI83" s="139" t="str">
        <f>IFERROR(__xludf.DUMMYFUNCTION("""COMPUTED_VALUE"""),"該当なし")</f>
        <v>該当なし</v>
      </c>
      <c r="CJ83" s="139" t="str">
        <f>IFERROR(__xludf.DUMMYFUNCTION("""COMPUTED_VALUE"""),"自身のみ")</f>
        <v>自身のみ</v>
      </c>
      <c r="CK83" s="139" t="str">
        <f>IFERROR(__xludf.DUMMYFUNCTION("""COMPUTED_VALUE"""),"自身")</f>
        <v>自身</v>
      </c>
      <c r="CL83" s="139" t="str">
        <f>IFERROR(__xludf.DUMMYFUNCTION("""COMPUTED_VALUE"""),"All")</f>
        <v>All</v>
      </c>
      <c r="CM83" s="139" t="str">
        <f>IFERROR(__xludf.DUMMYFUNCTION("""COMPUTED_VALUE"""),"All")</f>
        <v>All</v>
      </c>
      <c r="CN83" s="675">
        <f>IFERROR(__xludf.DUMMYFUNCTION("""COMPUTED_VALUE"""),22.035117710824576)</f>
        <v>22.03511771</v>
      </c>
      <c r="CO83" s="139" t="str">
        <f>IFERROR(__xludf.DUMMYFUNCTION("""COMPUTED_VALUE"""),"-")</f>
        <v>-</v>
      </c>
      <c r="CP83" s="139" t="str">
        <f>IFERROR(__xludf.DUMMYFUNCTION("""COMPUTED_VALUE"""),"-")</f>
        <v>-</v>
      </c>
      <c r="CQ83" s="139" t="str">
        <f>IFERROR(__xludf.DUMMYFUNCTION("""COMPUTED_VALUE"""),"-")</f>
        <v>-</v>
      </c>
      <c r="CR83" s="139" t="str">
        <f>IFERROR(__xludf.DUMMYFUNCTION("""COMPUTED_VALUE"""),"瞬間型")</f>
        <v>瞬間型</v>
      </c>
      <c r="CS83" s="673" t="str">
        <f>IFERROR(__xludf.DUMMYFUNCTION("""COMPUTED_VALUE"""),"ダメージカット(自身)")</f>
        <v>ダメージカット(自身)</v>
      </c>
      <c r="CT83" s="139" t="str">
        <f>IFERROR(__xludf.DUMMYFUNCTION("""COMPUTED_VALUE"""),"瞬間型")</f>
        <v>瞬間型</v>
      </c>
      <c r="CU83" s="139" t="str">
        <f>IFERROR(__xludf.DUMMYFUNCTION("""COMPUTED_VALUE"""),"自身")</f>
        <v>自身</v>
      </c>
      <c r="CV83" s="139" t="str">
        <f>IFERROR(__xludf.DUMMYFUNCTION("""COMPUTED_VALUE"""),"All")</f>
        <v>All</v>
      </c>
      <c r="CW83" s="139" t="str">
        <f>IFERROR(__xludf.DUMMYFUNCTION("""COMPUTED_VALUE"""),"All")</f>
        <v>All</v>
      </c>
      <c r="CX83" s="674">
        <f>IFERROR(__xludf.DUMMYFUNCTION("""COMPUTED_VALUE"""),23.0)</f>
        <v>23</v>
      </c>
      <c r="CY83" s="675">
        <f>IFERROR(__xludf.DUMMYFUNCTION("""COMPUTED_VALUE"""),4.0)</f>
        <v>4</v>
      </c>
      <c r="CZ83" s="688" t="str">
        <f>IFERROR(__xludf.DUMMYFUNCTION("""COMPUTED_VALUE"""),"-")</f>
        <v>-</v>
      </c>
      <c r="DA83" s="688">
        <f>IFERROR(__xludf.DUMMYFUNCTION("""COMPUTED_VALUE"""),0.0)</f>
        <v>0</v>
      </c>
      <c r="DB83" s="688">
        <f>IFERROR(__xludf.DUMMYFUNCTION("""COMPUTED_VALUE"""),0.0)</f>
        <v>0</v>
      </c>
      <c r="DC83" s="673" t="str">
        <f>IFERROR(__xludf.DUMMYFUNCTION("""COMPUTED_VALUE"""),"-")</f>
        <v>-</v>
      </c>
      <c r="DD83" s="673" t="str">
        <f>IFERROR(__xludf.DUMMYFUNCTION("""COMPUTED_VALUE"""),"-")</f>
        <v>-</v>
      </c>
      <c r="DE83" s="139" t="str">
        <f>IFERROR(__xludf.DUMMYFUNCTION("""COMPUTED_VALUE"""),"-")</f>
        <v>-</v>
      </c>
      <c r="DF83" s="139" t="str">
        <f>IFERROR(__xludf.DUMMYFUNCTION("""COMPUTED_VALUE"""),"-")</f>
        <v>-</v>
      </c>
      <c r="DG83" s="139" t="str">
        <f>IFERROR(__xludf.DUMMYFUNCTION("""COMPUTED_VALUE"""),"-")</f>
        <v>-</v>
      </c>
      <c r="DH83" s="139" t="str">
        <f>IFERROR(__xludf.DUMMYFUNCTION("""COMPUTED_VALUE"""),"-")</f>
        <v>-</v>
      </c>
      <c r="DI83" s="139" t="str">
        <f>IFERROR(__xludf.DUMMYFUNCTION("""COMPUTED_VALUE"""),"-")</f>
        <v>-</v>
      </c>
      <c r="DJ83" s="139" t="str">
        <f>IFERROR(__xludf.DUMMYFUNCTION("""COMPUTED_VALUE"""),"-")</f>
        <v>-</v>
      </c>
    </row>
    <row r="84">
      <c r="A84" s="139" t="str">
        <f>IFERROR(__xludf.DUMMYFUNCTION("""COMPUTED_VALUE"""),"魔都精兵のスレイブ")</f>
        <v>魔都精兵のスレイブ</v>
      </c>
      <c r="B84" s="139" t="str">
        <f>IFERROR(__xludf.DUMMYFUNCTION("""COMPUTED_VALUE"""),"無窮の鎖 和倉 優希")</f>
        <v>無窮の鎖 和倉 優希</v>
      </c>
      <c r="C84" s="139" t="str">
        <f>IFERROR(__xludf.DUMMYFUNCTION("""COMPUTED_VALUE"""),"chara_sur_00801")</f>
        <v>chara_sur_00801</v>
      </c>
      <c r="D84" s="139" t="str">
        <f>IFERROR(__xludf.DUMMYFUNCTION("""COMPUTED_VALUE"""),"DropSR")</f>
        <v>DropSR</v>
      </c>
      <c r="E84" s="139" t="str">
        <f>IFERROR(__xludf.DUMMYFUNCTION("""COMPUTED_VALUE"""),"黄")</f>
        <v>黄</v>
      </c>
      <c r="F84" s="139" t="str">
        <f>IFERROR(__xludf.DUMMYFUNCTION("""COMPUTED_VALUE"""),"ディフェンス")</f>
        <v>ディフェンス</v>
      </c>
      <c r="G84" s="139" t="str">
        <f>IFERROR(__xludf.DUMMYFUNCTION("""COMPUTED_VALUE"""),"近距離")</f>
        <v>近距離</v>
      </c>
      <c r="H84" s="139" t="str">
        <f>IFERROR(__xludf.DUMMYFUNCTION("""COMPUTED_VALUE"""),"dageki_1")</f>
        <v>dageki_1</v>
      </c>
      <c r="I84" s="139" t="str">
        <f>IFERROR(__xludf.DUMMYFUNCTION("""COMPUTED_VALUE"""),"dageki_1")</f>
        <v>dageki_1</v>
      </c>
      <c r="J84" s="139" t="str">
        <f>IFERROR(__xludf.DUMMYFUNCTION("""COMPUTED_VALUE"""),"202512010_魔都精兵のスレイブ")</f>
        <v>202512010_魔都精兵のスレイブ</v>
      </c>
      <c r="K84" s="139" t="str">
        <f>IFERROR(__xludf.DUMMYFUNCTION("""COMPUTED_VALUE"""),"魔都精兵のスレイブいいジャン祭")</f>
        <v>魔都精兵のスレイブいいジャン祭</v>
      </c>
      <c r="L84" s="687" t="str">
        <f>IFERROR(__xludf.DUMMYFUNCTION("""COMPUTED_VALUE"""),"※")</f>
        <v>※</v>
      </c>
      <c r="M84" s="674">
        <f>IFERROR(__xludf.DUMMYFUNCTION("""COMPUTED_VALUE"""),725.0)</f>
        <v>725</v>
      </c>
      <c r="N84" s="139">
        <f>IFERROR(__xludf.DUMMYFUNCTION("""COMPUTED_VALUE"""),600.0)</f>
        <v>600</v>
      </c>
      <c r="O84" s="139" t="str">
        <f>IFERROR(__xludf.DUMMYFUNCTION("""COMPUTED_VALUE"""),"中コスト")</f>
        <v>中コスト</v>
      </c>
      <c r="P84" s="139">
        <f>IFERROR(__xludf.DUMMYFUNCTION("""COMPUTED_VALUE"""),100.0)</f>
        <v>100</v>
      </c>
      <c r="Q84" s="675">
        <f>IFERROR(__xludf.DUMMYFUNCTION("""COMPUTED_VALUE"""),10.0)</f>
        <v>10</v>
      </c>
      <c r="R84" s="675">
        <f>IFERROR(__xludf.DUMMYFUNCTION("""COMPUTED_VALUE"""),15.0)</f>
        <v>15</v>
      </c>
      <c r="S84" s="675">
        <f>IFERROR(__xludf.DUMMYFUNCTION("""COMPUTED_VALUE"""),15.625)</f>
        <v>15.625</v>
      </c>
      <c r="T84" s="674">
        <f>IFERROR(__xludf.DUMMYFUNCTION("""COMPUTED_VALUE"""),1510.0)</f>
        <v>1510</v>
      </c>
      <c r="U84" s="675">
        <f>IFERROR(__xludf.DUMMYFUNCTION("""COMPUTED_VALUE"""),30.18)</f>
        <v>30.18</v>
      </c>
      <c r="V84" s="675">
        <f>IFERROR(__xludf.DUMMYFUNCTION("""COMPUTED_VALUE"""),0.0)</f>
        <v>0</v>
      </c>
      <c r="W84" s="675">
        <f>IFERROR(__xludf.DUMMYFUNCTION("""COMPUTED_VALUE"""),0.0)</f>
        <v>0</v>
      </c>
      <c r="X84" s="675">
        <f>IFERROR(__xludf.DUMMYFUNCTION("""COMPUTED_VALUE"""),0.0)</f>
        <v>0</v>
      </c>
      <c r="Y84" s="674">
        <f>IFERROR(__xludf.DUMMYFUNCTION("""COMPUTED_VALUE"""),750.0)</f>
        <v>750</v>
      </c>
      <c r="Z84" s="675">
        <f>IFERROR(__xludf.DUMMYFUNCTION("""COMPUTED_VALUE"""),15.0)</f>
        <v>15</v>
      </c>
      <c r="AA84" s="675">
        <f>IFERROR(__xludf.DUMMYFUNCTION("""COMPUTED_VALUE"""),0.0)</f>
        <v>0</v>
      </c>
      <c r="AB84" s="673">
        <f>IFERROR(__xludf.DUMMYFUNCTION("""COMPUTED_VALUE"""),0.0)</f>
        <v>0</v>
      </c>
      <c r="AC84" s="675">
        <f>IFERROR(__xludf.DUMMYFUNCTION("""COMPUTED_VALUE"""),0.0)</f>
        <v>0</v>
      </c>
      <c r="AD84" s="674">
        <f>IFERROR(__xludf.DUMMYFUNCTION("""COMPUTED_VALUE"""),1530.0)</f>
        <v>1530</v>
      </c>
      <c r="AE84" s="675">
        <f>IFERROR(__xludf.DUMMYFUNCTION("""COMPUTED_VALUE"""),30.64738977466107)</f>
        <v>30.64738977</v>
      </c>
      <c r="AF84" s="675">
        <f>IFERROR(__xludf.DUMMYFUNCTION("""COMPUTED_VALUE"""),0.0)</f>
        <v>0</v>
      </c>
      <c r="AG84" s="675">
        <f>IFERROR(__xludf.DUMMYFUNCTION("""COMPUTED_VALUE"""),10.21579659155369)</f>
        <v>10.21579659</v>
      </c>
      <c r="AH84" s="675">
        <f>IFERROR(__xludf.DUMMYFUNCTION("""COMPUTED_VALUE"""),0.0)</f>
        <v>0</v>
      </c>
      <c r="AI84" s="139" t="str">
        <f>IFERROR(__xludf.DUMMYFUNCTION("""COMPUTED_VALUE"""),"-")</f>
        <v>-</v>
      </c>
      <c r="AJ84" s="139" t="str">
        <f>IFERROR(__xludf.DUMMYFUNCTION("""COMPUTED_VALUE"""),"-")</f>
        <v>-</v>
      </c>
      <c r="AK84" s="139">
        <f>IFERROR(__xludf.DUMMYFUNCTION("""COMPUTED_VALUE"""),1.0)</f>
        <v>1</v>
      </c>
      <c r="AL84" s="674">
        <f>IFERROR(__xludf.DUMMYFUNCTION("""COMPUTED_VALUE"""),4140.0)</f>
        <v>4140</v>
      </c>
      <c r="AM84" s="688">
        <f>IFERROR(__xludf.DUMMYFUNCTION("""COMPUTED_VALUE"""),28620.416413826064)</f>
        <v>28620.41641</v>
      </c>
      <c r="AN84" s="675">
        <f>IFERROR(__xludf.DUMMYFUNCTION("""COMPUTED_VALUE"""),27.6)</f>
        <v>27.6</v>
      </c>
      <c r="AO84" s="675">
        <f>IFERROR(__xludf.DUMMYFUNCTION("""COMPUTED_VALUE"""),13.8)</f>
        <v>13.8</v>
      </c>
      <c r="AP84" s="674">
        <f>IFERROR(__xludf.DUMMYFUNCTION("""COMPUTED_VALUE"""),2180.0)</f>
        <v>2180</v>
      </c>
      <c r="AQ84" s="673">
        <f>IFERROR(__xludf.DUMMYFUNCTION("""COMPUTED_VALUE"""),0.9)</f>
        <v>0.9</v>
      </c>
      <c r="AR84" s="673">
        <f>IFERROR(__xludf.DUMMYFUNCTION("""COMPUTED_VALUE"""),0.0)</f>
        <v>0</v>
      </c>
      <c r="AS84" s="673">
        <f>IFERROR(__xludf.DUMMYFUNCTION("""COMPUTED_VALUE"""),0.0)</f>
        <v>0</v>
      </c>
      <c r="AT84" s="673">
        <f>IFERROR(__xludf.DUMMYFUNCTION("""COMPUTED_VALUE"""),0.0)</f>
        <v>0</v>
      </c>
      <c r="AU84" s="673">
        <f>IFERROR(__xludf.DUMMYFUNCTION("""COMPUTED_VALUE"""),0.0)</f>
        <v>0</v>
      </c>
      <c r="AV84" s="673">
        <f>IFERROR(__xludf.DUMMYFUNCTION("""COMPUTED_VALUE"""),0.0)</f>
        <v>0</v>
      </c>
      <c r="AW84" s="139"/>
      <c r="AX84" s="674">
        <f>IFERROR(__xludf.DUMMYFUNCTION("""COMPUTED_VALUE"""),1460.0)</f>
        <v>1460</v>
      </c>
      <c r="AY84" s="688">
        <f>IFERROR(__xludf.DUMMYFUNCTION("""COMPUTED_VALUE"""),10092.941054151219)</f>
        <v>10092.94105</v>
      </c>
      <c r="AZ84" s="674">
        <f>IFERROR(__xludf.DUMMYFUNCTION("""COMPUTED_VALUE"""),730.0)</f>
        <v>730</v>
      </c>
      <c r="BA84" s="688">
        <f>IFERROR(__xludf.DUMMYFUNCTION("""COMPUTED_VALUE"""),5046.470527075609)</f>
        <v>5046.470527</v>
      </c>
      <c r="BB84" s="688" t="str">
        <f>IFERROR(__xludf.DUMMYFUNCTION("""COMPUTED_VALUE"""),"-")</f>
        <v>-</v>
      </c>
      <c r="BC84" s="688" t="str">
        <f>IFERROR(__xludf.DUMMYFUNCTION("""COMPUTED_VALUE"""),"#VALUE!")</f>
        <v>#VALUE!</v>
      </c>
      <c r="BD84" s="688" t="str">
        <f>IFERROR(__xludf.DUMMYFUNCTION("""COMPUTED_VALUE"""),"#VALUE!")</f>
        <v>#VALUE!</v>
      </c>
      <c r="BE84" s="674">
        <f>IFERROR(__xludf.DUMMYFUNCTION("""COMPUTED_VALUE"""),730.0)</f>
        <v>730</v>
      </c>
      <c r="BF84" s="674">
        <f>IFERROR(__xludf.DUMMYFUNCTION("""COMPUTED_VALUE"""),1450.0)</f>
        <v>1450</v>
      </c>
      <c r="BG84" s="673">
        <f>IFERROR(__xludf.DUMMYFUNCTION("""COMPUTED_VALUE"""),0.0)</f>
        <v>0</v>
      </c>
      <c r="BH84" s="673">
        <f>IFERROR(__xludf.DUMMYFUNCTION("""COMPUTED_VALUE"""),-0.5)</f>
        <v>-0.5</v>
      </c>
      <c r="BI84" s="673">
        <f>IFERROR(__xludf.DUMMYFUNCTION("""COMPUTED_VALUE"""),0.0)</f>
        <v>0</v>
      </c>
      <c r="BJ84" s="673">
        <f>IFERROR(__xludf.DUMMYFUNCTION("""COMPUTED_VALUE"""),0.0)</f>
        <v>0</v>
      </c>
      <c r="BK84" s="673">
        <f>IFERROR(__xludf.DUMMYFUNCTION("""COMPUTED_VALUE"""),0.0)</f>
        <v>0</v>
      </c>
      <c r="BL84" s="673">
        <f>IFERROR(__xludf.DUMMYFUNCTION("""COMPUTED_VALUE"""),0.0)</f>
        <v>0</v>
      </c>
      <c r="BM84" s="674">
        <f>IFERROR(__xludf.DUMMYFUNCTION("""COMPUTED_VALUE"""),100.0)</f>
        <v>100</v>
      </c>
      <c r="BN84" s="674">
        <f>IFERROR(__xludf.DUMMYFUNCTION("""COMPUTED_VALUE"""),100.0)</f>
        <v>100</v>
      </c>
      <c r="BO84" s="675">
        <f>IFERROR(__xludf.DUMMYFUNCTION("""COMPUTED_VALUE"""),0.0)</f>
        <v>0</v>
      </c>
      <c r="BP84" s="675">
        <f>IFERROR(__xludf.DUMMYFUNCTION("""COMPUTED_VALUE"""),2.0)</f>
        <v>2</v>
      </c>
      <c r="BQ84" s="139" t="str">
        <f>IFERROR(__xludf.DUMMYFUNCTION("""COMPUTED_VALUE"""),"(近距離)素手")</f>
        <v>(近距離)素手</v>
      </c>
      <c r="BR84" s="139">
        <f>IFERROR(__xludf.DUMMYFUNCTION("""COMPUTED_VALUE"""),1.0)</f>
        <v>1</v>
      </c>
      <c r="BS84" s="139">
        <f>IFERROR(__xludf.DUMMYFUNCTION("""COMPUTED_VALUE"""),45.0)</f>
        <v>45</v>
      </c>
      <c r="BT84" s="139">
        <f>IFERROR(__xludf.DUMMYFUNCTION("""COMPUTED_VALUE"""),0.16)</f>
        <v>0.16</v>
      </c>
      <c r="BU84" s="139">
        <f>IFERROR(__xludf.DUMMYFUNCTION("""COMPUTED_VALUE"""),0.0)</f>
        <v>0</v>
      </c>
      <c r="BV84" s="139" t="str">
        <f>IFERROR(__xludf.DUMMYFUNCTION("""COMPUTED_VALUE"""),"速い")</f>
        <v>速い</v>
      </c>
      <c r="BW84" s="139" t="str">
        <f>IFERROR(__xludf.DUMMYFUNCTION("""COMPUTED_VALUE"""),"毒ダメージ軽減")</f>
        <v>毒ダメージ軽減</v>
      </c>
      <c r="BX84" s="139">
        <f>IFERROR(__xludf.DUMMYFUNCTION("""COMPUTED_VALUE"""),40.0)</f>
        <v>40</v>
      </c>
      <c r="BY84" s="139">
        <f>IFERROR(__xludf.DUMMYFUNCTION("""COMPUTED_VALUE"""),2.0)</f>
        <v>2</v>
      </c>
      <c r="BZ84" s="139" t="str">
        <f>IFERROR(__xludf.DUMMYFUNCTION("""COMPUTED_VALUE"""),"-")</f>
        <v>-</v>
      </c>
      <c r="CA84" s="139" t="str">
        <f>IFERROR(__xludf.DUMMYFUNCTION("""COMPUTED_VALUE"""),"-")</f>
        <v>-</v>
      </c>
      <c r="CB84" s="139" t="str">
        <f>IFERROR(__xludf.DUMMYFUNCTION("""COMPUTED_VALUE"""),"-")</f>
        <v>-</v>
      </c>
      <c r="CC84" s="139" t="str">
        <f>IFERROR(__xludf.DUMMYFUNCTION("""COMPUTED_VALUE"""),"近距離")</f>
        <v>近距離</v>
      </c>
      <c r="CD84" s="139" t="str">
        <f>IFERROR(__xludf.DUMMYFUNCTION("""COMPUTED_VALUE"""),"単体")</f>
        <v>単体</v>
      </c>
      <c r="CE84" s="139">
        <f>IFERROR(__xludf.DUMMYFUNCTION("""COMPUTED_VALUE"""),1.0)</f>
        <v>1</v>
      </c>
      <c r="CF84" s="139">
        <f>IFERROR(__xludf.DUMMYFUNCTION("""COMPUTED_VALUE"""),0.17)</f>
        <v>0.17</v>
      </c>
      <c r="CG84" s="139" t="str">
        <f>IFERROR(__xludf.DUMMYFUNCTION("""COMPUTED_VALUE"""),"近距離")</f>
        <v>近距離</v>
      </c>
      <c r="CH84" s="139" t="str">
        <f>IFERROR(__xludf.DUMMYFUNCTION("""COMPUTED_VALUE"""),"単体")</f>
        <v>単体</v>
      </c>
      <c r="CI84" s="139">
        <f>IFERROR(__xludf.DUMMYFUNCTION("""COMPUTED_VALUE"""),1.0)</f>
        <v>1</v>
      </c>
      <c r="CJ84" s="139">
        <f>IFERROR(__xludf.DUMMYFUNCTION("""COMPUTED_VALUE"""),0.17)</f>
        <v>0.17</v>
      </c>
      <c r="CK84" s="139" t="str">
        <f>IFERROR(__xludf.DUMMYFUNCTION("""COMPUTED_VALUE"""),"敵")</f>
        <v>敵</v>
      </c>
      <c r="CL84" s="139" t="str">
        <f>IFERROR(__xludf.DUMMYFUNCTION("""COMPUTED_VALUE"""),"All")</f>
        <v>All</v>
      </c>
      <c r="CM84" s="139" t="str">
        <f>IFERROR(__xludf.DUMMYFUNCTION("""COMPUTED_VALUE"""),"All")</f>
        <v>All</v>
      </c>
      <c r="CN84" s="675">
        <f>IFERROR(__xludf.DUMMYFUNCTION("""COMPUTED_VALUE"""),30.64738977466107)</f>
        <v>30.64738977</v>
      </c>
      <c r="CO84" s="139" t="str">
        <f>IFERROR(__xludf.DUMMYFUNCTION("""COMPUTED_VALUE"""),"-")</f>
        <v>-</v>
      </c>
      <c r="CP84" s="139" t="str">
        <f>IFERROR(__xludf.DUMMYFUNCTION("""COMPUTED_VALUE"""),"-")</f>
        <v>-</v>
      </c>
      <c r="CQ84" s="139" t="str">
        <f>IFERROR(__xludf.DUMMYFUNCTION("""COMPUTED_VALUE"""),"-")</f>
        <v>-</v>
      </c>
      <c r="CR84" s="139" t="str">
        <f>IFERROR(__xludf.DUMMYFUNCTION("""COMPUTED_VALUE"""),"-")</f>
        <v>-</v>
      </c>
      <c r="CS84" s="673" t="str">
        <f>IFERROR(__xludf.DUMMYFUNCTION("""COMPUTED_VALUE"""),"攻撃(必殺)")</f>
        <v>攻撃(必殺)</v>
      </c>
      <c r="CT84" s="139" t="str">
        <f>IFERROR(__xludf.DUMMYFUNCTION("""COMPUTED_VALUE"""),"-")</f>
        <v>-</v>
      </c>
      <c r="CU84" s="139" t="str">
        <f>IFERROR(__xludf.DUMMYFUNCTION("""COMPUTED_VALUE"""),"敵")</f>
        <v>敵</v>
      </c>
      <c r="CV84" s="139" t="str">
        <f>IFERROR(__xludf.DUMMYFUNCTION("""COMPUTED_VALUE"""),"All")</f>
        <v>All</v>
      </c>
      <c r="CW84" s="139" t="str">
        <f>IFERROR(__xludf.DUMMYFUNCTION("""COMPUTED_VALUE"""),"All")</f>
        <v>All</v>
      </c>
      <c r="CX84" s="674">
        <f>IFERROR(__xludf.DUMMYFUNCTION("""COMPUTED_VALUE"""),153.0)</f>
        <v>153</v>
      </c>
      <c r="CY84" s="675" t="str">
        <f>IFERROR(__xludf.DUMMYFUNCTION("""COMPUTED_VALUE"""),"-")</f>
        <v>-</v>
      </c>
      <c r="CZ84" s="688">
        <f>IFERROR(__xludf.DUMMYFUNCTION("""COMPUTED_VALUE"""),15442.0)</f>
        <v>15442</v>
      </c>
      <c r="DA84" s="688">
        <f>IFERROR(__xludf.DUMMYFUNCTION("""COMPUTED_VALUE"""),530.9694810037532)</f>
        <v>530.969481</v>
      </c>
      <c r="DB84" s="688">
        <f>IFERROR(__xludf.DUMMYFUNCTION("""COMPUTED_VALUE"""),0.0)</f>
        <v>0</v>
      </c>
      <c r="DC84" s="673" t="str">
        <f>IFERROR(__xludf.DUMMYFUNCTION("""COMPUTED_VALUE"""),"-")</f>
        <v>-</v>
      </c>
      <c r="DD84" s="673" t="str">
        <f>IFERROR(__xludf.DUMMYFUNCTION("""COMPUTED_VALUE"""),"-")</f>
        <v>-</v>
      </c>
      <c r="DE84" s="139" t="str">
        <f>IFERROR(__xludf.DUMMYFUNCTION("""COMPUTED_VALUE"""),"-")</f>
        <v>-</v>
      </c>
      <c r="DF84" s="139" t="str">
        <f>IFERROR(__xludf.DUMMYFUNCTION("""COMPUTED_VALUE"""),"-")</f>
        <v>-</v>
      </c>
      <c r="DG84" s="139" t="str">
        <f>IFERROR(__xludf.DUMMYFUNCTION("""COMPUTED_VALUE"""),"-")</f>
        <v>-</v>
      </c>
      <c r="DH84" s="139" t="str">
        <f>IFERROR(__xludf.DUMMYFUNCTION("""COMPUTED_VALUE"""),"-")</f>
        <v>-</v>
      </c>
      <c r="DI84" s="139" t="str">
        <f>IFERROR(__xludf.DUMMYFUNCTION("""COMPUTED_VALUE"""),"-")</f>
        <v>-</v>
      </c>
      <c r="DJ84" s="139" t="str">
        <f>IFERROR(__xludf.DUMMYFUNCTION("""COMPUTED_VALUE"""),"-")</f>
        <v>-</v>
      </c>
    </row>
    <row r="85">
      <c r="A85" s="139" t="str">
        <f>IFERROR(__xludf.DUMMYFUNCTION("""COMPUTED_VALUE"""),"魔都精兵のスレイブ")</f>
        <v>魔都精兵のスレイブ</v>
      </c>
      <c r="B85" s="139" t="str">
        <f>IFERROR(__xludf.DUMMYFUNCTION("""COMPUTED_VALUE"""),"空間を操る六番組組長 出雲 天花")</f>
        <v>空間を操る六番組組長 出雲 天花</v>
      </c>
      <c r="C85" s="139" t="str">
        <f>IFERROR(__xludf.DUMMYFUNCTION("""COMPUTED_VALUE"""),"chara_sur_00501")</f>
        <v>chara_sur_00501</v>
      </c>
      <c r="D85" s="139" t="str">
        <f>IFERROR(__xludf.DUMMYFUNCTION("""COMPUTED_VALUE"""),"PremiumUR")</f>
        <v>PremiumUR</v>
      </c>
      <c r="E85" s="139" t="str">
        <f>IFERROR(__xludf.DUMMYFUNCTION("""COMPUTED_VALUE"""),"黄")</f>
        <v>黄</v>
      </c>
      <c r="F85" s="139" t="str">
        <f>IFERROR(__xludf.DUMMYFUNCTION("""COMPUTED_VALUE"""),"テクニカル")</f>
        <v>テクニカル</v>
      </c>
      <c r="G85" s="139" t="str">
        <f>IFERROR(__xludf.DUMMYFUNCTION("""COMPUTED_VALUE"""),"遠距離")</f>
        <v>遠距離</v>
      </c>
      <c r="H85" s="139" t="str">
        <f>IFERROR(__xludf.DUMMYFUNCTION("""COMPUTED_VALUE"""),"dageki_1")</f>
        <v>dageki_1</v>
      </c>
      <c r="I85" s="139" t="str">
        <f>IFERROR(__xludf.DUMMYFUNCTION("""COMPUTED_VALUE"""),"dageki_1")</f>
        <v>dageki_1</v>
      </c>
      <c r="J85" s="139" t="str">
        <f>IFERROR(__xludf.DUMMYFUNCTION("""COMPUTED_VALUE"""),"202512010_魔都精兵のスレイブ")</f>
        <v>202512010_魔都精兵のスレイブ</v>
      </c>
      <c r="K85" s="139" t="str">
        <f>IFERROR(__xludf.DUMMYFUNCTION("""COMPUTED_VALUE"""),"魔都精兵のスレイブいいジャン祭")</f>
        <v>魔都精兵のスレイブいいジャン祭</v>
      </c>
      <c r="L85" s="687" t="str">
        <f>IFERROR(__xludf.DUMMYFUNCTION("""COMPUTED_VALUE"""),"※")</f>
        <v>※</v>
      </c>
      <c r="M85" s="674">
        <f>IFERROR(__xludf.DUMMYFUNCTION("""COMPUTED_VALUE"""),665.0)</f>
        <v>665</v>
      </c>
      <c r="N85" s="139">
        <f>IFERROR(__xludf.DUMMYFUNCTION("""COMPUTED_VALUE"""),600.0)</f>
        <v>600</v>
      </c>
      <c r="O85" s="139" t="str">
        <f>IFERROR(__xludf.DUMMYFUNCTION("""COMPUTED_VALUE"""),"中コスト")</f>
        <v>中コスト</v>
      </c>
      <c r="P85" s="139">
        <f>IFERROR(__xludf.DUMMYFUNCTION("""COMPUTED_VALUE"""),0.0)</f>
        <v>0</v>
      </c>
      <c r="Q85" s="675">
        <f>IFERROR(__xludf.DUMMYFUNCTION("""COMPUTED_VALUE"""),40.0)</f>
        <v>40</v>
      </c>
      <c r="R85" s="675">
        <f>IFERROR(__xludf.DUMMYFUNCTION("""COMPUTED_VALUE"""),25.0)</f>
        <v>25</v>
      </c>
      <c r="S85" s="675">
        <f>IFERROR(__xludf.DUMMYFUNCTION("""COMPUTED_VALUE"""),14.125)</f>
        <v>14.125</v>
      </c>
      <c r="T85" s="674">
        <f>IFERROR(__xludf.DUMMYFUNCTION("""COMPUTED_VALUE"""),365.0)</f>
        <v>365</v>
      </c>
      <c r="U85" s="675">
        <f>IFERROR(__xludf.DUMMYFUNCTION("""COMPUTED_VALUE"""),7.333333333333334)</f>
        <v>7.333333333</v>
      </c>
      <c r="V85" s="675">
        <f>IFERROR(__xludf.DUMMYFUNCTION("""COMPUTED_VALUE"""),0.0)</f>
        <v>0</v>
      </c>
      <c r="W85" s="675">
        <f>IFERROR(__xludf.DUMMYFUNCTION("""COMPUTED_VALUE"""),0.0)</f>
        <v>0</v>
      </c>
      <c r="X85" s="675">
        <f>IFERROR(__xludf.DUMMYFUNCTION("""COMPUTED_VALUE"""),0.0)</f>
        <v>0</v>
      </c>
      <c r="Y85" s="674">
        <f>IFERROR(__xludf.DUMMYFUNCTION("""COMPUTED_VALUE"""),265.0)</f>
        <v>265</v>
      </c>
      <c r="Z85" s="675">
        <f>IFERROR(__xludf.DUMMYFUNCTION("""COMPUTED_VALUE"""),5.333333333333333)</f>
        <v>5.333333333</v>
      </c>
      <c r="AA85" s="675">
        <f>IFERROR(__xludf.DUMMYFUNCTION("""COMPUTED_VALUE"""),1.5)</f>
        <v>1.5</v>
      </c>
      <c r="AB85" s="673">
        <f>IFERROR(__xludf.DUMMYFUNCTION("""COMPUTED_VALUE"""),0.0)</f>
        <v>0</v>
      </c>
      <c r="AC85" s="675">
        <f>IFERROR(__xludf.DUMMYFUNCTION("""COMPUTED_VALUE"""),0.0)</f>
        <v>0</v>
      </c>
      <c r="AD85" s="674">
        <f>IFERROR(__xludf.DUMMYFUNCTION("""COMPUTED_VALUE"""),1140.0)</f>
        <v>1140</v>
      </c>
      <c r="AE85" s="675">
        <f>IFERROR(__xludf.DUMMYFUNCTION("""COMPUTED_VALUE"""),22.824844397670482)</f>
        <v>22.8248444</v>
      </c>
      <c r="AF85" s="675">
        <f>IFERROR(__xludf.DUMMYFUNCTION("""COMPUTED_VALUE"""),1.0)</f>
        <v>1</v>
      </c>
      <c r="AG85" s="675">
        <f>IFERROR(__xludf.DUMMYFUNCTION("""COMPUTED_VALUE"""),13.791580220928045)</f>
        <v>13.79158022</v>
      </c>
      <c r="AH85" s="675">
        <f>IFERROR(__xludf.DUMMYFUNCTION("""COMPUTED_VALUE"""),-2.008316044185609)</f>
        <v>-2.008316044</v>
      </c>
      <c r="AI85" s="675">
        <f>IFERROR(__xludf.DUMMYFUNCTION("""COMPUTED_VALUE"""),2.5)</f>
        <v>2.5</v>
      </c>
      <c r="AJ85" s="675">
        <f>IFERROR(__xludf.DUMMYFUNCTION("""COMPUTED_VALUE"""),20.324844397670482)</f>
        <v>20.3248444</v>
      </c>
      <c r="AK85" s="139">
        <f>IFERROR(__xludf.DUMMYFUNCTION("""COMPUTED_VALUE"""),1.0)</f>
        <v>1</v>
      </c>
      <c r="AL85" s="674">
        <f>IFERROR(__xludf.DUMMYFUNCTION("""COMPUTED_VALUE"""),1000.0)</f>
        <v>1000</v>
      </c>
      <c r="AM85" s="688">
        <f>IFERROR(__xludf.DUMMYFUNCTION("""COMPUTED_VALUE"""),8171.308119281658)</f>
        <v>8171.308119</v>
      </c>
      <c r="AN85" s="675">
        <f>IFERROR(__xludf.DUMMYFUNCTION("""COMPUTED_VALUE"""),6.666666666666667)</f>
        <v>6.666666667</v>
      </c>
      <c r="AO85" s="675">
        <f>IFERROR(__xludf.DUMMYFUNCTION("""COMPUTED_VALUE"""),3.3333333333333335)</f>
        <v>3.333333333</v>
      </c>
      <c r="AP85" s="674">
        <f>IFERROR(__xludf.DUMMYFUNCTION("""COMPUTED_VALUE"""),2000.0)</f>
        <v>2000</v>
      </c>
      <c r="AQ85" s="673">
        <f>IFERROR(__xludf.DUMMYFUNCTION("""COMPUTED_VALUE"""),-0.3)</f>
        <v>-0.3</v>
      </c>
      <c r="AR85" s="673">
        <f>IFERROR(__xludf.DUMMYFUNCTION("""COMPUTED_VALUE"""),0.0)</f>
        <v>0</v>
      </c>
      <c r="AS85" s="673">
        <f>IFERROR(__xludf.DUMMYFUNCTION("""COMPUTED_VALUE"""),-0.3)</f>
        <v>-0.3</v>
      </c>
      <c r="AT85" s="673">
        <f>IFERROR(__xludf.DUMMYFUNCTION("""COMPUTED_VALUE"""),0.0)</f>
        <v>0</v>
      </c>
      <c r="AU85" s="673">
        <f>IFERROR(__xludf.DUMMYFUNCTION("""COMPUTED_VALUE"""),0.0)</f>
        <v>0</v>
      </c>
      <c r="AV85" s="673">
        <f>IFERROR(__xludf.DUMMYFUNCTION("""COMPUTED_VALUE"""),0.1)</f>
        <v>0.1</v>
      </c>
      <c r="AW85" s="139"/>
      <c r="AX85" s="674">
        <f>IFERROR(__xludf.DUMMYFUNCTION("""COMPUTED_VALUE"""),4380.0)</f>
        <v>4380</v>
      </c>
      <c r="AY85" s="688">
        <f>IFERROR(__xludf.DUMMYFUNCTION("""COMPUTED_VALUE"""),35798.823162453664)</f>
        <v>35798.82316</v>
      </c>
      <c r="AZ85" s="674">
        <f>IFERROR(__xludf.DUMMYFUNCTION("""COMPUTED_VALUE"""),1460.0)</f>
        <v>1460</v>
      </c>
      <c r="BA85" s="688">
        <f>IFERROR(__xludf.DUMMYFUNCTION("""COMPUTED_VALUE"""),11932.94105415122)</f>
        <v>11932.94105</v>
      </c>
      <c r="BB85" s="688" t="str">
        <f>IFERROR(__xludf.DUMMYFUNCTION("""COMPUTED_VALUE"""),"-")</f>
        <v>-</v>
      </c>
      <c r="BC85" s="688" t="str">
        <f>IFERROR(__xludf.DUMMYFUNCTION("""COMPUTED_VALUE"""),"#VALUE!")</f>
        <v>#VALUE!</v>
      </c>
      <c r="BD85" s="688" t="str">
        <f>IFERROR(__xludf.DUMMYFUNCTION("""COMPUTED_VALUE"""),"#VALUE!")</f>
        <v>#VALUE!</v>
      </c>
      <c r="BE85" s="674">
        <f>IFERROR(__xludf.DUMMYFUNCTION("""COMPUTED_VALUE"""),1460.0)</f>
        <v>1460</v>
      </c>
      <c r="BF85" s="674">
        <f>IFERROR(__xludf.DUMMYFUNCTION("""COMPUTED_VALUE"""),1330.0)</f>
        <v>1330</v>
      </c>
      <c r="BG85" s="673">
        <f>IFERROR(__xludf.DUMMYFUNCTION("""COMPUTED_VALUE"""),0.0)</f>
        <v>0</v>
      </c>
      <c r="BH85" s="673">
        <f>IFERROR(__xludf.DUMMYFUNCTION("""COMPUTED_VALUE"""),0.1)</f>
        <v>0.1</v>
      </c>
      <c r="BI85" s="673">
        <f>IFERROR(__xludf.DUMMYFUNCTION("""COMPUTED_VALUE"""),0.0)</f>
        <v>0</v>
      </c>
      <c r="BJ85" s="673">
        <f>IFERROR(__xludf.DUMMYFUNCTION("""COMPUTED_VALUE"""),0.0)</f>
        <v>0</v>
      </c>
      <c r="BK85" s="673">
        <f>IFERROR(__xludf.DUMMYFUNCTION("""COMPUTED_VALUE"""),0.0)</f>
        <v>0</v>
      </c>
      <c r="BL85" s="673">
        <f>IFERROR(__xludf.DUMMYFUNCTION("""COMPUTED_VALUE"""),0.0)</f>
        <v>0</v>
      </c>
      <c r="BM85" s="674">
        <f>IFERROR(__xludf.DUMMYFUNCTION("""COMPUTED_VALUE"""),150.0)</f>
        <v>150</v>
      </c>
      <c r="BN85" s="674">
        <f>IFERROR(__xludf.DUMMYFUNCTION("""COMPUTED_VALUE"""),150.0)</f>
        <v>150</v>
      </c>
      <c r="BO85" s="675">
        <f>IFERROR(__xludf.DUMMYFUNCTION("""COMPUTED_VALUE"""),0.0)</f>
        <v>0</v>
      </c>
      <c r="BP85" s="675">
        <f>IFERROR(__xludf.DUMMYFUNCTION("""COMPUTED_VALUE"""),3.0)</f>
        <v>3</v>
      </c>
      <c r="BQ85" s="139" t="str">
        <f>IFERROR(__xludf.DUMMYFUNCTION("""COMPUTED_VALUE"""),"(遠距離)攻撃を飛ばす系")</f>
        <v>(遠距離)攻撃を飛ばす系</v>
      </c>
      <c r="BR85" s="139">
        <f>IFERROR(__xludf.DUMMYFUNCTION("""COMPUTED_VALUE"""),3.0)</f>
        <v>3</v>
      </c>
      <c r="BS85" s="139">
        <f>IFERROR(__xludf.DUMMYFUNCTION("""COMPUTED_VALUE"""),35.0)</f>
        <v>35</v>
      </c>
      <c r="BT85" s="139">
        <f>IFERROR(__xludf.DUMMYFUNCTION("""COMPUTED_VALUE"""),0.51)</f>
        <v>0.51</v>
      </c>
      <c r="BU85" s="139">
        <f>IFERROR(__xludf.DUMMYFUNCTION("""COMPUTED_VALUE"""),-0.1)</f>
        <v>-0.1</v>
      </c>
      <c r="BV85" s="139" t="str">
        <f>IFERROR(__xludf.DUMMYFUNCTION("""COMPUTED_VALUE"""),"普通")</f>
        <v>普通</v>
      </c>
      <c r="BW85" s="139" t="str">
        <f>IFERROR(__xludf.DUMMYFUNCTION("""COMPUTED_VALUE"""),"毒ダメージ軽減")</f>
        <v>毒ダメージ軽減</v>
      </c>
      <c r="BX85" s="139">
        <f>IFERROR(__xludf.DUMMYFUNCTION("""COMPUTED_VALUE"""),55.0)</f>
        <v>55</v>
      </c>
      <c r="BY85" s="139">
        <f>IFERROR(__xludf.DUMMYFUNCTION("""COMPUTED_VALUE"""),0.0)</f>
        <v>0</v>
      </c>
      <c r="BZ85" s="139" t="str">
        <f>IFERROR(__xludf.DUMMYFUNCTION("""COMPUTED_VALUE"""),"突風コマ無効化")</f>
        <v>突風コマ無効化</v>
      </c>
      <c r="CA85" s="139" t="str">
        <f>IFERROR(__xludf.DUMMYFUNCTION("""COMPUTED_VALUE"""),"-")</f>
        <v>-</v>
      </c>
      <c r="CB85" s="139">
        <f>IFERROR(__xludf.DUMMYFUNCTION("""COMPUTED_VALUE"""),4.0)</f>
        <v>4</v>
      </c>
      <c r="CC85" s="139" t="str">
        <f>IFERROR(__xludf.DUMMYFUNCTION("""COMPUTED_VALUE"""),"遠距離")</f>
        <v>遠距離</v>
      </c>
      <c r="CD85" s="139" t="str">
        <f>IFERROR(__xludf.DUMMYFUNCTION("""COMPUTED_VALUE"""),"単体")</f>
        <v>単体</v>
      </c>
      <c r="CE85" s="139">
        <f>IFERROR(__xludf.DUMMYFUNCTION("""COMPUTED_VALUE"""),1.0)</f>
        <v>1</v>
      </c>
      <c r="CF85" s="139">
        <f>IFERROR(__xludf.DUMMYFUNCTION("""COMPUTED_VALUE"""),0.52)</f>
        <v>0.52</v>
      </c>
      <c r="CG85" s="139" t="str">
        <f>IFERROR(__xludf.DUMMYFUNCTION("""COMPUTED_VALUE"""),"遠距離")</f>
        <v>遠距離</v>
      </c>
      <c r="CH85" s="139" t="str">
        <f>IFERROR(__xludf.DUMMYFUNCTION("""COMPUTED_VALUE"""),"範囲(コマ)0,+2")</f>
        <v>範囲(コマ)0,+2</v>
      </c>
      <c r="CI85" s="139">
        <f>IFERROR(__xludf.DUMMYFUNCTION("""COMPUTED_VALUE"""),0.45)</f>
        <v>0.45</v>
      </c>
      <c r="CJ85" s="139" t="str">
        <f>IFERROR(__xludf.DUMMYFUNCTION("""COMPUTED_VALUE"""),"(コマ)0,+2")</f>
        <v>(コマ)0,+2</v>
      </c>
      <c r="CK85" s="139" t="str">
        <f>IFERROR(__xludf.DUMMYFUNCTION("""COMPUTED_VALUE"""),"敵")</f>
        <v>敵</v>
      </c>
      <c r="CL85" s="139" t="str">
        <f>IFERROR(__xludf.DUMMYFUNCTION("""COMPUTED_VALUE"""),"All")</f>
        <v>All</v>
      </c>
      <c r="CM85" s="139" t="str">
        <f>IFERROR(__xludf.DUMMYFUNCTION("""COMPUTED_VALUE"""),"All")</f>
        <v>All</v>
      </c>
      <c r="CN85" s="675">
        <f>IFERROR(__xludf.DUMMYFUNCTION("""COMPUTED_VALUE"""),22.824844397670482)</f>
        <v>22.8248444</v>
      </c>
      <c r="CO85" s="139" t="str">
        <f>IFERROR(__xludf.DUMMYFUNCTION("""COMPUTED_VALUE"""),"-")</f>
        <v>-</v>
      </c>
      <c r="CP85" s="139" t="str">
        <f>IFERROR(__xludf.DUMMYFUNCTION("""COMPUTED_VALUE"""),"-")</f>
        <v>-</v>
      </c>
      <c r="CQ85" s="139" t="str">
        <f>IFERROR(__xludf.DUMMYFUNCTION("""COMPUTED_VALUE"""),"-")</f>
        <v>-</v>
      </c>
      <c r="CR85" s="139" t="str">
        <f>IFERROR(__xludf.DUMMYFUNCTION("""COMPUTED_VALUE"""),"-")</f>
        <v>-</v>
      </c>
      <c r="CS85" s="673" t="str">
        <f>IFERROR(__xludf.DUMMYFUNCTION("""COMPUTED_VALUE"""),"攻撃(必殺)※コマ")</f>
        <v>攻撃(必殺)※コマ</v>
      </c>
      <c r="CT85" s="139" t="str">
        <f>IFERROR(__xludf.DUMMYFUNCTION("""COMPUTED_VALUE"""),"-")</f>
        <v>-</v>
      </c>
      <c r="CU85" s="139" t="str">
        <f>IFERROR(__xludf.DUMMYFUNCTION("""COMPUTED_VALUE"""),"敵")</f>
        <v>敵</v>
      </c>
      <c r="CV85" s="139" t="str">
        <f>IFERROR(__xludf.DUMMYFUNCTION("""COMPUTED_VALUE"""),"All")</f>
        <v>All</v>
      </c>
      <c r="CW85" s="139" t="str">
        <f>IFERROR(__xludf.DUMMYFUNCTION("""COMPUTED_VALUE"""),"All")</f>
        <v>All</v>
      </c>
      <c r="CX85" s="674">
        <f>IFERROR(__xludf.DUMMYFUNCTION("""COMPUTED_VALUE"""),90.0)</f>
        <v>90</v>
      </c>
      <c r="CY85" s="675" t="str">
        <f>IFERROR(__xludf.DUMMYFUNCTION("""COMPUTED_VALUE"""),"-")</f>
        <v>-</v>
      </c>
      <c r="CZ85" s="688">
        <f>IFERROR(__xludf.DUMMYFUNCTION("""COMPUTED_VALUE"""),32219.0)</f>
        <v>32219</v>
      </c>
      <c r="DA85" s="688">
        <f>IFERROR(__xludf.DUMMYFUNCTION("""COMPUTED_VALUE"""),1528.7278835755594)</f>
        <v>1528.727884</v>
      </c>
      <c r="DB85" s="688">
        <f>IFERROR(__xludf.DUMMYFUNCTION("""COMPUTED_VALUE"""),0.0)</f>
        <v>0</v>
      </c>
      <c r="DC85" s="673" t="str">
        <f>IFERROR(__xludf.DUMMYFUNCTION("""COMPUTED_VALUE"""),"スタン")</f>
        <v>スタン</v>
      </c>
      <c r="DD85" s="673" t="str">
        <f>IFERROR(__xludf.DUMMYFUNCTION("""COMPUTED_VALUE"""),"-")</f>
        <v>-</v>
      </c>
      <c r="DE85" s="139">
        <f>IFERROR(__xludf.DUMMYFUNCTION("""COMPUTED_VALUE"""),2.5)</f>
        <v>2.5</v>
      </c>
      <c r="DF85" s="139" t="str">
        <f>IFERROR(__xludf.DUMMYFUNCTION("""COMPUTED_VALUE"""),"-")</f>
        <v>-</v>
      </c>
      <c r="DG85" s="139" t="str">
        <f>IFERROR(__xludf.DUMMYFUNCTION("""COMPUTED_VALUE"""),"-")</f>
        <v>-</v>
      </c>
      <c r="DH85" s="139" t="str">
        <f>IFERROR(__xludf.DUMMYFUNCTION("""COMPUTED_VALUE"""),"-")</f>
        <v>-</v>
      </c>
      <c r="DI85" s="139" t="str">
        <f>IFERROR(__xludf.DUMMYFUNCTION("""COMPUTED_VALUE"""),"-")</f>
        <v>-</v>
      </c>
      <c r="DJ85" s="139" t="str">
        <f>IFERROR(__xludf.DUMMYFUNCTION("""COMPUTED_VALUE"""),"-")</f>
        <v>-</v>
      </c>
    </row>
    <row r="86">
      <c r="A86" s="139" t="str">
        <f>IFERROR(__xludf.DUMMYFUNCTION("""COMPUTED_VALUE"""),"魔都精兵のスレイブ")</f>
        <v>魔都精兵のスレイブ</v>
      </c>
      <c r="B86" s="139" t="str">
        <f>IFERROR(__xludf.DUMMYFUNCTION("""COMPUTED_VALUE"""),"和倉 青羽")</f>
        <v>和倉 青羽</v>
      </c>
      <c r="C86" s="139" t="str">
        <f>IFERROR(__xludf.DUMMYFUNCTION("""COMPUTED_VALUE"""),"chara_sur_00701")</f>
        <v>chara_sur_00701</v>
      </c>
      <c r="D86" s="139" t="str">
        <f>IFERROR(__xludf.DUMMYFUNCTION("""COMPUTED_VALUE"""),"DropSR")</f>
        <v>DropSR</v>
      </c>
      <c r="E86" s="139" t="str">
        <f>IFERROR(__xludf.DUMMYFUNCTION("""COMPUTED_VALUE"""),"青")</f>
        <v>青</v>
      </c>
      <c r="F86" s="139" t="str">
        <f>IFERROR(__xludf.DUMMYFUNCTION("""COMPUTED_VALUE"""),"アタック")</f>
        <v>アタック</v>
      </c>
      <c r="G86" s="139" t="str">
        <f>IFERROR(__xludf.DUMMYFUNCTION("""COMPUTED_VALUE"""),"近距離")</f>
        <v>近距離</v>
      </c>
      <c r="H86" s="139" t="str">
        <f>IFERROR(__xludf.DUMMYFUNCTION("""COMPUTED_VALUE"""),"dageki_1")</f>
        <v>dageki_1</v>
      </c>
      <c r="I86" s="139" t="str">
        <f>IFERROR(__xludf.DUMMYFUNCTION("""COMPUTED_VALUE"""),"dageki_1")</f>
        <v>dageki_1</v>
      </c>
      <c r="J86" s="139" t="str">
        <f>IFERROR(__xludf.DUMMYFUNCTION("""COMPUTED_VALUE"""),"202512010_魔都精兵のスレイブ")</f>
        <v>202512010_魔都精兵のスレイブ</v>
      </c>
      <c r="K86" s="139" t="str">
        <f>IFERROR(__xludf.DUMMYFUNCTION("""COMPUTED_VALUE"""),"魔都精兵のスレイブいいジャン祭")</f>
        <v>魔都精兵のスレイブいいジャン祭</v>
      </c>
      <c r="L86" s="687" t="str">
        <f>IFERROR(__xludf.DUMMYFUNCTION("""COMPUTED_VALUE"""),"※")</f>
        <v>※</v>
      </c>
      <c r="M86" s="674">
        <f>IFERROR(__xludf.DUMMYFUNCTION("""COMPUTED_VALUE"""),570.0)</f>
        <v>570</v>
      </c>
      <c r="N86" s="139">
        <f>IFERROR(__xludf.DUMMYFUNCTION("""COMPUTED_VALUE"""),600.0)</f>
        <v>600</v>
      </c>
      <c r="O86" s="139" t="str">
        <f>IFERROR(__xludf.DUMMYFUNCTION("""COMPUTED_VALUE"""),"中コスト")</f>
        <v>中コスト</v>
      </c>
      <c r="P86" s="139">
        <f>IFERROR(__xludf.DUMMYFUNCTION("""COMPUTED_VALUE"""),-50.0)</f>
        <v>-50</v>
      </c>
      <c r="Q86" s="675">
        <f>IFERROR(__xludf.DUMMYFUNCTION("""COMPUTED_VALUE"""),5.0)</f>
        <v>5</v>
      </c>
      <c r="R86" s="675">
        <f>IFERROR(__xludf.DUMMYFUNCTION("""COMPUTED_VALUE"""),15.0)</f>
        <v>15</v>
      </c>
      <c r="S86" s="675">
        <f>IFERROR(__xludf.DUMMYFUNCTION("""COMPUTED_VALUE"""),11.75)</f>
        <v>11.75</v>
      </c>
      <c r="T86" s="674">
        <f>IFERROR(__xludf.DUMMYFUNCTION("""COMPUTED_VALUE"""),380.0)</f>
        <v>380</v>
      </c>
      <c r="U86" s="675">
        <f>IFERROR(__xludf.DUMMYFUNCTION("""COMPUTED_VALUE"""),7.553333333333334)</f>
        <v>7.553333333</v>
      </c>
      <c r="V86" s="675">
        <f>IFERROR(__xludf.DUMMYFUNCTION("""COMPUTED_VALUE"""),0.0)</f>
        <v>0</v>
      </c>
      <c r="W86" s="675">
        <f>IFERROR(__xludf.DUMMYFUNCTION("""COMPUTED_VALUE"""),0.0)</f>
        <v>0</v>
      </c>
      <c r="X86" s="675">
        <f>IFERROR(__xludf.DUMMYFUNCTION("""COMPUTED_VALUE"""),0.0)</f>
        <v>0</v>
      </c>
      <c r="Y86" s="674">
        <f>IFERROR(__xludf.DUMMYFUNCTION("""COMPUTED_VALUE"""),445.0)</f>
        <v>445</v>
      </c>
      <c r="Z86" s="675">
        <f>IFERROR(__xludf.DUMMYFUNCTION("""COMPUTED_VALUE"""),8.948333333333332)</f>
        <v>8.948333333</v>
      </c>
      <c r="AA86" s="675">
        <f>IFERROR(__xludf.DUMMYFUNCTION("""COMPUTED_VALUE"""),5.0)</f>
        <v>5</v>
      </c>
      <c r="AB86" s="673">
        <f>IFERROR(__xludf.DUMMYFUNCTION("""COMPUTED_VALUE"""),0.0)</f>
        <v>0</v>
      </c>
      <c r="AC86" s="675">
        <f>IFERROR(__xludf.DUMMYFUNCTION("""COMPUTED_VALUE"""),0.0)</f>
        <v>0</v>
      </c>
      <c r="AD86" s="674">
        <f>IFERROR(__xludf.DUMMYFUNCTION("""COMPUTED_VALUE"""),660.0)</f>
        <v>660</v>
      </c>
      <c r="AE86" s="675">
        <f>IFERROR(__xludf.DUMMYFUNCTION("""COMPUTED_VALUE"""),13.19109088043735)</f>
        <v>13.19109088</v>
      </c>
      <c r="AF86" s="675">
        <f>IFERROR(__xludf.DUMMYFUNCTION("""COMPUTED_VALUE"""),3.0)</f>
        <v>3</v>
      </c>
      <c r="AG86" s="675">
        <f>IFERROR(__xludf.DUMMYFUNCTION("""COMPUTED_VALUE"""),0.0)</f>
        <v>0</v>
      </c>
      <c r="AH86" s="675">
        <f>IFERROR(__xludf.DUMMYFUNCTION("""COMPUTED_VALUE"""),0.0)</f>
        <v>0</v>
      </c>
      <c r="AI86" s="139" t="str">
        <f>IFERROR(__xludf.DUMMYFUNCTION("""COMPUTED_VALUE"""),"-")</f>
        <v>-</v>
      </c>
      <c r="AJ86" s="139" t="str">
        <f>IFERROR(__xludf.DUMMYFUNCTION("""COMPUTED_VALUE"""),"-")</f>
        <v>-</v>
      </c>
      <c r="AK86" s="139">
        <f>IFERROR(__xludf.DUMMYFUNCTION("""COMPUTED_VALUE"""),0.0)</f>
        <v>0</v>
      </c>
      <c r="AL86" s="674">
        <f>IFERROR(__xludf.DUMMYFUNCTION("""COMPUTED_VALUE"""),1030.0)</f>
        <v>1030</v>
      </c>
      <c r="AM86" s="688">
        <f>IFERROR(__xludf.DUMMYFUNCTION("""COMPUTED_VALUE"""),7118.8989628601075)</f>
        <v>7118.898963</v>
      </c>
      <c r="AN86" s="675">
        <f>IFERROR(__xludf.DUMMYFUNCTION("""COMPUTED_VALUE"""),6.866666666666666)</f>
        <v>6.866666667</v>
      </c>
      <c r="AO86" s="675">
        <f>IFERROR(__xludf.DUMMYFUNCTION("""COMPUTED_VALUE"""),3.433333333333333)</f>
        <v>3.433333333</v>
      </c>
      <c r="AP86" s="674">
        <f>IFERROR(__xludf.DUMMYFUNCTION("""COMPUTED_VALUE"""),1710.0)</f>
        <v>1710</v>
      </c>
      <c r="AQ86" s="673">
        <f>IFERROR(__xludf.DUMMYFUNCTION("""COMPUTED_VALUE"""),-0.2)</f>
        <v>-0.2</v>
      </c>
      <c r="AR86" s="673">
        <f>IFERROR(__xludf.DUMMYFUNCTION("""COMPUTED_VALUE"""),0.0)</f>
        <v>0</v>
      </c>
      <c r="AS86" s="673">
        <f>IFERROR(__xludf.DUMMYFUNCTION("""COMPUTED_VALUE"""),0.0)</f>
        <v>0</v>
      </c>
      <c r="AT86" s="673">
        <f>IFERROR(__xludf.DUMMYFUNCTION("""COMPUTED_VALUE"""),-0.3)</f>
        <v>-0.3</v>
      </c>
      <c r="AU86" s="673">
        <f>IFERROR(__xludf.DUMMYFUNCTION("""COMPUTED_VALUE"""),0.0)</f>
        <v>0</v>
      </c>
      <c r="AV86" s="673">
        <f>IFERROR(__xludf.DUMMYFUNCTION("""COMPUTED_VALUE"""),0.1)</f>
        <v>0.1</v>
      </c>
      <c r="AW86" s="139"/>
      <c r="AX86" s="674">
        <f>IFERROR(__xludf.DUMMYFUNCTION("""COMPUTED_VALUE"""),910.0)</f>
        <v>910</v>
      </c>
      <c r="AY86" s="688">
        <f>IFERROR(__xludf.DUMMYFUNCTION("""COMPUTED_VALUE"""),6289.695588546309)</f>
        <v>6289.695589</v>
      </c>
      <c r="AZ86" s="674">
        <f>IFERROR(__xludf.DUMMYFUNCTION("""COMPUTED_VALUE"""),1820.0)</f>
        <v>1820</v>
      </c>
      <c r="BA86" s="688">
        <f>IFERROR(__xludf.DUMMYFUNCTION("""COMPUTED_VALUE"""),12579.391177092619)</f>
        <v>12579.39118</v>
      </c>
      <c r="BB86" s="688" t="str">
        <f>IFERROR(__xludf.DUMMYFUNCTION("""COMPUTED_VALUE"""),"-")</f>
        <v>-</v>
      </c>
      <c r="BC86" s="688" t="str">
        <f>IFERROR(__xludf.DUMMYFUNCTION("""COMPUTED_VALUE"""),"#VALUE!")</f>
        <v>#VALUE!</v>
      </c>
      <c r="BD86" s="688" t="str">
        <f>IFERROR(__xludf.DUMMYFUNCTION("""COMPUTED_VALUE"""),"#VALUE!")</f>
        <v>#VALUE!</v>
      </c>
      <c r="BE86" s="674">
        <f>IFERROR(__xludf.DUMMYFUNCTION("""COMPUTED_VALUE"""),1820.0)</f>
        <v>1820</v>
      </c>
      <c r="BF86" s="674">
        <f>IFERROR(__xludf.DUMMYFUNCTION("""COMPUTED_VALUE"""),1140.0)</f>
        <v>1140</v>
      </c>
      <c r="BG86" s="673">
        <f>IFERROR(__xludf.DUMMYFUNCTION("""COMPUTED_VALUE"""),0.3)</f>
        <v>0.3</v>
      </c>
      <c r="BH86" s="673">
        <f>IFERROR(__xludf.DUMMYFUNCTION("""COMPUTED_VALUE"""),0.3)</f>
        <v>0.3</v>
      </c>
      <c r="BI86" s="673">
        <f>IFERROR(__xludf.DUMMYFUNCTION("""COMPUTED_VALUE"""),0.0)</f>
        <v>0</v>
      </c>
      <c r="BJ86" s="673">
        <f>IFERROR(__xludf.DUMMYFUNCTION("""COMPUTED_VALUE"""),0.0)</f>
        <v>0</v>
      </c>
      <c r="BK86" s="673">
        <f>IFERROR(__xludf.DUMMYFUNCTION("""COMPUTED_VALUE"""),0.0)</f>
        <v>0</v>
      </c>
      <c r="BL86" s="673">
        <f>IFERROR(__xludf.DUMMYFUNCTION("""COMPUTED_VALUE"""),0.0)</f>
        <v>0</v>
      </c>
      <c r="BM86" s="674">
        <f>IFERROR(__xludf.DUMMYFUNCTION("""COMPUTED_VALUE"""),25.0)</f>
        <v>25</v>
      </c>
      <c r="BN86" s="674">
        <f>IFERROR(__xludf.DUMMYFUNCTION("""COMPUTED_VALUE"""),50.0)</f>
        <v>50</v>
      </c>
      <c r="BO86" s="675">
        <f>IFERROR(__xludf.DUMMYFUNCTION("""COMPUTED_VALUE"""),-25.0)</f>
        <v>-25</v>
      </c>
      <c r="BP86" s="675">
        <f>IFERROR(__xludf.DUMMYFUNCTION("""COMPUTED_VALUE"""),0.5)</f>
        <v>0.5</v>
      </c>
      <c r="BQ86" s="139" t="str">
        <f>IFERROR(__xludf.DUMMYFUNCTION("""COMPUTED_VALUE"""),"(近距離)素手")</f>
        <v>(近距離)素手</v>
      </c>
      <c r="BR86" s="139">
        <f>IFERROR(__xludf.DUMMYFUNCTION("""COMPUTED_VALUE"""),2.0)</f>
        <v>2</v>
      </c>
      <c r="BS86" s="139">
        <f>IFERROR(__xludf.DUMMYFUNCTION("""COMPUTED_VALUE"""),50.0)</f>
        <v>50</v>
      </c>
      <c r="BT86" s="139">
        <f>IFERROR(__xludf.DUMMYFUNCTION("""COMPUTED_VALUE"""),0.24)</f>
        <v>0.24</v>
      </c>
      <c r="BU86" s="139">
        <f>IFERROR(__xludf.DUMMYFUNCTION("""COMPUTED_VALUE"""),0.0)</f>
        <v>0</v>
      </c>
      <c r="BV86" s="139" t="str">
        <f>IFERROR(__xludf.DUMMYFUNCTION("""COMPUTED_VALUE"""),"速い")</f>
        <v>速い</v>
      </c>
      <c r="BW86" s="139" t="str">
        <f>IFERROR(__xludf.DUMMYFUNCTION("""COMPUTED_VALUE"""),"毒ダメージ軽減")</f>
        <v>毒ダメージ軽減</v>
      </c>
      <c r="BX86" s="139">
        <f>IFERROR(__xludf.DUMMYFUNCTION("""COMPUTED_VALUE"""),20.0)</f>
        <v>20</v>
      </c>
      <c r="BY86" s="139">
        <f>IFERROR(__xludf.DUMMYFUNCTION("""COMPUTED_VALUE"""),2.0)</f>
        <v>2</v>
      </c>
      <c r="BZ86" s="139" t="str">
        <f>IFERROR(__xludf.DUMMYFUNCTION("""COMPUTED_VALUE"""),"-")</f>
        <v>-</v>
      </c>
      <c r="CA86" s="139" t="str">
        <f>IFERROR(__xludf.DUMMYFUNCTION("""COMPUTED_VALUE"""),"-")</f>
        <v>-</v>
      </c>
      <c r="CB86" s="139" t="str">
        <f>IFERROR(__xludf.DUMMYFUNCTION("""COMPUTED_VALUE"""),"-")</f>
        <v>-</v>
      </c>
      <c r="CC86" s="139" t="str">
        <f>IFERROR(__xludf.DUMMYFUNCTION("""COMPUTED_VALUE"""),"近距離")</f>
        <v>近距離</v>
      </c>
      <c r="CD86" s="139" t="str">
        <f>IFERROR(__xludf.DUMMYFUNCTION("""COMPUTED_VALUE"""),"単体")</f>
        <v>単体</v>
      </c>
      <c r="CE86" s="139">
        <f>IFERROR(__xludf.DUMMYFUNCTION("""COMPUTED_VALUE"""),1.0)</f>
        <v>1</v>
      </c>
      <c r="CF86" s="139">
        <f>IFERROR(__xludf.DUMMYFUNCTION("""COMPUTED_VALUE"""),0.25)</f>
        <v>0.25</v>
      </c>
      <c r="CG86" s="139" t="str">
        <f>IFERROR(__xludf.DUMMYFUNCTION("""COMPUTED_VALUE"""),"中距離")</f>
        <v>中距離</v>
      </c>
      <c r="CH86" s="139" t="str">
        <f>IFERROR(__xludf.DUMMYFUNCTION("""COMPUTED_VALUE"""),"範囲(中)")</f>
        <v>範囲(中)</v>
      </c>
      <c r="CI86" s="139">
        <f>IFERROR(__xludf.DUMMYFUNCTION("""COMPUTED_VALUE"""),0.65)</f>
        <v>0.65</v>
      </c>
      <c r="CJ86" s="139">
        <f>IFERROR(__xludf.DUMMYFUNCTION("""COMPUTED_VALUE"""),0.44999999999999996)</f>
        <v>0.45</v>
      </c>
      <c r="CK86" s="139" t="str">
        <f>IFERROR(__xludf.DUMMYFUNCTION("""COMPUTED_VALUE"""),"敵")</f>
        <v>敵</v>
      </c>
      <c r="CL86" s="139" t="str">
        <f>IFERROR(__xludf.DUMMYFUNCTION("""COMPUTED_VALUE"""),"All")</f>
        <v>All</v>
      </c>
      <c r="CM86" s="139" t="str">
        <f>IFERROR(__xludf.DUMMYFUNCTION("""COMPUTED_VALUE"""),"All")</f>
        <v>All</v>
      </c>
      <c r="CN86" s="675">
        <f>IFERROR(__xludf.DUMMYFUNCTION("""COMPUTED_VALUE"""),13.19109088043735)</f>
        <v>13.19109088</v>
      </c>
      <c r="CO86" s="139" t="str">
        <f>IFERROR(__xludf.DUMMYFUNCTION("""COMPUTED_VALUE"""),"-")</f>
        <v>-</v>
      </c>
      <c r="CP86" s="139" t="str">
        <f>IFERROR(__xludf.DUMMYFUNCTION("""COMPUTED_VALUE"""),"-")</f>
        <v>-</v>
      </c>
      <c r="CQ86" s="139" t="str">
        <f>IFERROR(__xludf.DUMMYFUNCTION("""COMPUTED_VALUE"""),"-")</f>
        <v>-</v>
      </c>
      <c r="CR86" s="139" t="str">
        <f>IFERROR(__xludf.DUMMYFUNCTION("""COMPUTED_VALUE"""),"-")</f>
        <v>-</v>
      </c>
      <c r="CS86" s="673" t="str">
        <f>IFERROR(__xludf.DUMMYFUNCTION("""COMPUTED_VALUE"""),"連続攻撃")</f>
        <v>連続攻撃</v>
      </c>
      <c r="CT86" s="139" t="str">
        <f>IFERROR(__xludf.DUMMYFUNCTION("""COMPUTED_VALUE"""),"-")</f>
        <v>-</v>
      </c>
      <c r="CU86" s="139" t="str">
        <f>IFERROR(__xludf.DUMMYFUNCTION("""COMPUTED_VALUE"""),"敵")</f>
        <v>敵</v>
      </c>
      <c r="CV86" s="139" t="str">
        <f>IFERROR(__xludf.DUMMYFUNCTION("""COMPUTED_VALUE"""),"All")</f>
        <v>All</v>
      </c>
      <c r="CW86" s="139" t="str">
        <f>IFERROR(__xludf.DUMMYFUNCTION("""COMPUTED_VALUE"""),"All")</f>
        <v>All</v>
      </c>
      <c r="CX86" s="674">
        <f>IFERROR(__xludf.DUMMYFUNCTION("""COMPUTED_VALUE"""),117.0)</f>
        <v>117</v>
      </c>
      <c r="CY86" s="675" t="str">
        <f>IFERROR(__xludf.DUMMYFUNCTION("""COMPUTED_VALUE"""),"-")</f>
        <v>-</v>
      </c>
      <c r="CZ86" s="688">
        <f>IFERROR(__xludf.DUMMYFUNCTION("""COMPUTED_VALUE"""),7359.0)</f>
        <v>7359</v>
      </c>
      <c r="DA86" s="688">
        <f>IFERROR(__xludf.DUMMYFUNCTION("""COMPUTED_VALUE"""),576.416273559924)</f>
        <v>576.4162736</v>
      </c>
      <c r="DB86" s="688">
        <f>IFERROR(__xludf.DUMMYFUNCTION("""COMPUTED_VALUE"""),2882.08136779962)</f>
        <v>2882.081368</v>
      </c>
      <c r="DC86" s="139" t="str">
        <f>IFERROR(__xludf.DUMMYFUNCTION("""COMPUTED_VALUE"""),"-")</f>
        <v>-</v>
      </c>
      <c r="DD86" s="673" t="str">
        <f>IFERROR(__xludf.DUMMYFUNCTION("""COMPUTED_VALUE"""),"-")</f>
        <v>-</v>
      </c>
      <c r="DE86" s="139" t="str">
        <f>IFERROR(__xludf.DUMMYFUNCTION("""COMPUTED_VALUE"""),"-")</f>
        <v>-</v>
      </c>
      <c r="DF86" s="139" t="str">
        <f>IFERROR(__xludf.DUMMYFUNCTION("""COMPUTED_VALUE"""),"-")</f>
        <v>-</v>
      </c>
      <c r="DG86" s="139" t="str">
        <f>IFERROR(__xludf.DUMMYFUNCTION("""COMPUTED_VALUE"""),"-")</f>
        <v>-</v>
      </c>
      <c r="DH86" s="139" t="str">
        <f>IFERROR(__xludf.DUMMYFUNCTION("""COMPUTED_VALUE"""),"-")</f>
        <v>-</v>
      </c>
      <c r="DI86" s="139" t="str">
        <f>IFERROR(__xludf.DUMMYFUNCTION("""COMPUTED_VALUE"""),"-")</f>
        <v>-</v>
      </c>
      <c r="DJ86" s="139" t="str">
        <f>IFERROR(__xludf.DUMMYFUNCTION("""COMPUTED_VALUE"""),"-")</f>
        <v>-</v>
      </c>
    </row>
    <row r="87">
      <c r="A87" s="139" t="str">
        <f>IFERROR(__xludf.DUMMYFUNCTION("""COMPUTED_VALUE"""),"魔都精兵のスレイブ")</f>
        <v>魔都精兵のスレイブ</v>
      </c>
      <c r="B87" s="139" t="str">
        <f>IFERROR(__xludf.DUMMYFUNCTION("""COMPUTED_VALUE"""),"東 八千穂")</f>
        <v>東 八千穂</v>
      </c>
      <c r="C87" s="139" t="str">
        <f>IFERROR(__xludf.DUMMYFUNCTION("""COMPUTED_VALUE"""),"chara_sur_00601")</f>
        <v>chara_sur_00601</v>
      </c>
      <c r="D87" s="139" t="str">
        <f>IFERROR(__xludf.DUMMYFUNCTION("""COMPUTED_VALUE"""),"PremiumSSR")</f>
        <v>PremiumSSR</v>
      </c>
      <c r="E87" s="139" t="str">
        <f>IFERROR(__xludf.DUMMYFUNCTION("""COMPUTED_VALUE"""),"赤")</f>
        <v>赤</v>
      </c>
      <c r="F87" s="139" t="str">
        <f>IFERROR(__xludf.DUMMYFUNCTION("""COMPUTED_VALUE"""),"テクニカル")</f>
        <v>テクニカル</v>
      </c>
      <c r="G87" s="139" t="str">
        <f>IFERROR(__xludf.DUMMYFUNCTION("""COMPUTED_VALUE"""),"中距離")</f>
        <v>中距離</v>
      </c>
      <c r="H87" s="139" t="str">
        <f>IFERROR(__xludf.DUMMYFUNCTION("""COMPUTED_VALUE"""),"shageki_1")</f>
        <v>shageki_1</v>
      </c>
      <c r="I87" s="139" t="str">
        <f>IFERROR(__xludf.DUMMYFUNCTION("""COMPUTED_VALUE"""),"dageki_1")</f>
        <v>dageki_1</v>
      </c>
      <c r="J87" s="139" t="str">
        <f>IFERROR(__xludf.DUMMYFUNCTION("""COMPUTED_VALUE"""),"202512010_魔都精兵のスレイブ")</f>
        <v>202512010_魔都精兵のスレイブ</v>
      </c>
      <c r="K87" s="139" t="str">
        <f>IFERROR(__xludf.DUMMYFUNCTION("""COMPUTED_VALUE"""),"魔都精兵のスレイブいいジャン祭")</f>
        <v>魔都精兵のスレイブいいジャン祭</v>
      </c>
      <c r="L87" s="687" t="str">
        <f>IFERROR(__xludf.DUMMYFUNCTION("""COMPUTED_VALUE"""),"※")</f>
        <v>※</v>
      </c>
      <c r="M87" s="674">
        <f>IFERROR(__xludf.DUMMYFUNCTION("""COMPUTED_VALUE"""),445.0)</f>
        <v>445</v>
      </c>
      <c r="N87" s="139">
        <f>IFERROR(__xludf.DUMMYFUNCTION("""COMPUTED_VALUE"""),600.0)</f>
        <v>600</v>
      </c>
      <c r="O87" s="139" t="str">
        <f>IFERROR(__xludf.DUMMYFUNCTION("""COMPUTED_VALUE"""),"中コスト")</f>
        <v>中コスト</v>
      </c>
      <c r="P87" s="139">
        <f>IFERROR(__xludf.DUMMYFUNCTION("""COMPUTED_VALUE"""),-200.0)</f>
        <v>-200</v>
      </c>
      <c r="Q87" s="675">
        <f>IFERROR(__xludf.DUMMYFUNCTION("""COMPUTED_VALUE"""),30.0)</f>
        <v>30</v>
      </c>
      <c r="R87" s="675">
        <f>IFERROR(__xludf.DUMMYFUNCTION("""COMPUTED_VALUE"""),15.0)</f>
        <v>15</v>
      </c>
      <c r="S87" s="675">
        <f>IFERROR(__xludf.DUMMYFUNCTION("""COMPUTED_VALUE"""),8.625)</f>
        <v>8.625</v>
      </c>
      <c r="T87" s="674">
        <f>IFERROR(__xludf.DUMMYFUNCTION("""COMPUTED_VALUE"""),295.0)</f>
        <v>295</v>
      </c>
      <c r="U87" s="675">
        <f>IFERROR(__xludf.DUMMYFUNCTION("""COMPUTED_VALUE"""),5.866666666666667)</f>
        <v>5.866666667</v>
      </c>
      <c r="V87" s="675">
        <f>IFERROR(__xludf.DUMMYFUNCTION("""COMPUTED_VALUE"""),0.0)</f>
        <v>0</v>
      </c>
      <c r="W87" s="675">
        <f>IFERROR(__xludf.DUMMYFUNCTION("""COMPUTED_VALUE"""),0.0)</f>
        <v>0</v>
      </c>
      <c r="X87" s="675">
        <f>IFERROR(__xludf.DUMMYFUNCTION("""COMPUTED_VALUE"""),0.0)</f>
        <v>0</v>
      </c>
      <c r="Y87" s="674">
        <f>IFERROR(__xludf.DUMMYFUNCTION("""COMPUTED_VALUE"""),230.0)</f>
        <v>230</v>
      </c>
      <c r="Z87" s="675">
        <f>IFERROR(__xludf.DUMMYFUNCTION("""COMPUTED_VALUE"""),4.566666666666666)</f>
        <v>4.566666667</v>
      </c>
      <c r="AA87" s="675">
        <f>IFERROR(__xludf.DUMMYFUNCTION("""COMPUTED_VALUE"""),1.5)</f>
        <v>1.5</v>
      </c>
      <c r="AB87" s="673">
        <f>IFERROR(__xludf.DUMMYFUNCTION("""COMPUTED_VALUE"""),0.0)</f>
        <v>0</v>
      </c>
      <c r="AC87" s="675">
        <f>IFERROR(__xludf.DUMMYFUNCTION("""COMPUTED_VALUE"""),0.0)</f>
        <v>0</v>
      </c>
      <c r="AD87" s="674">
        <f>IFERROR(__xludf.DUMMYFUNCTION("""COMPUTED_VALUE"""),905.0)</f>
        <v>905</v>
      </c>
      <c r="AE87" s="675">
        <f>IFERROR(__xludf.DUMMYFUNCTION("""COMPUTED_VALUE"""),18.126827987756233)</f>
        <v>18.12682799</v>
      </c>
      <c r="AF87" s="675">
        <f>IFERROR(__xludf.DUMMYFUNCTION("""COMPUTED_VALUE"""),0.0)</f>
        <v>0</v>
      </c>
      <c r="AG87" s="675">
        <f>IFERROR(__xludf.DUMMYFUNCTION("""COMPUTED_VALUE"""),9.145365597551246)</f>
        <v>9.145365598</v>
      </c>
      <c r="AH87" s="675">
        <f>IFERROR(__xludf.DUMMYFUNCTION("""COMPUTED_VALUE"""),0.0)</f>
        <v>0</v>
      </c>
      <c r="AI87" s="675">
        <f>IFERROR(__xludf.DUMMYFUNCTION("""COMPUTED_VALUE"""),2.3000000000000007)</f>
        <v>2.3</v>
      </c>
      <c r="AJ87" s="675">
        <f>IFERROR(__xludf.DUMMYFUNCTION("""COMPUTED_VALUE"""),15.826827987756232)</f>
        <v>15.82682799</v>
      </c>
      <c r="AK87" s="139">
        <f>IFERROR(__xludf.DUMMYFUNCTION("""COMPUTED_VALUE"""),1.0)</f>
        <v>1</v>
      </c>
      <c r="AL87" s="674">
        <f>IFERROR(__xludf.DUMMYFUNCTION("""COMPUTED_VALUE"""),800.0)</f>
        <v>800</v>
      </c>
      <c r="AM87" s="688">
        <f>IFERROR(__xludf.DUMMYFUNCTION("""COMPUTED_VALUE"""),6099.7424954253265)</f>
        <v>6099.742495</v>
      </c>
      <c r="AN87" s="675">
        <f>IFERROR(__xludf.DUMMYFUNCTION("""COMPUTED_VALUE"""),5.333333333333333)</f>
        <v>5.333333333</v>
      </c>
      <c r="AO87" s="675">
        <f>IFERROR(__xludf.DUMMYFUNCTION("""COMPUTED_VALUE"""),2.6666666666666665)</f>
        <v>2.666666667</v>
      </c>
      <c r="AP87" s="674">
        <f>IFERROR(__xludf.DUMMYFUNCTION("""COMPUTED_VALUE"""),1340.0)</f>
        <v>1340</v>
      </c>
      <c r="AQ87" s="673">
        <f>IFERROR(__xludf.DUMMYFUNCTION("""COMPUTED_VALUE"""),-0.3)</f>
        <v>-0.3</v>
      </c>
      <c r="AR87" s="673">
        <f>IFERROR(__xludf.DUMMYFUNCTION("""COMPUTED_VALUE"""),0.0)</f>
        <v>0</v>
      </c>
      <c r="AS87" s="673">
        <f>IFERROR(__xludf.DUMMYFUNCTION("""COMPUTED_VALUE"""),-0.1)</f>
        <v>-0.1</v>
      </c>
      <c r="AT87" s="673">
        <f>IFERROR(__xludf.DUMMYFUNCTION("""COMPUTED_VALUE"""),0.0)</f>
        <v>0</v>
      </c>
      <c r="AU87" s="673">
        <f>IFERROR(__xludf.DUMMYFUNCTION("""COMPUTED_VALUE"""),0.0)</f>
        <v>0</v>
      </c>
      <c r="AV87" s="673">
        <f>IFERROR(__xludf.DUMMYFUNCTION("""COMPUTED_VALUE"""),0.0)</f>
        <v>0</v>
      </c>
      <c r="AW87" s="139"/>
      <c r="AX87" s="674">
        <f>IFERROR(__xludf.DUMMYFUNCTION("""COMPUTED_VALUE"""),1470.0)</f>
        <v>1470</v>
      </c>
      <c r="AY87" s="688">
        <f>IFERROR(__xludf.DUMMYFUNCTION("""COMPUTED_VALUE"""),11208.031335344036)</f>
        <v>11208.03134</v>
      </c>
      <c r="AZ87" s="674">
        <f>IFERROR(__xludf.DUMMYFUNCTION("""COMPUTED_VALUE"""),980.0)</f>
        <v>980</v>
      </c>
      <c r="BA87" s="688">
        <f>IFERROR(__xludf.DUMMYFUNCTION("""COMPUTED_VALUE"""),7472.020890229357)</f>
        <v>7472.02089</v>
      </c>
      <c r="BB87" s="688" t="str">
        <f>IFERROR(__xludf.DUMMYFUNCTION("""COMPUTED_VALUE"""),"-")</f>
        <v>-</v>
      </c>
      <c r="BC87" s="688" t="str">
        <f>IFERROR(__xludf.DUMMYFUNCTION("""COMPUTED_VALUE"""),"#VALUE!")</f>
        <v>#VALUE!</v>
      </c>
      <c r="BD87" s="688" t="str">
        <f>IFERROR(__xludf.DUMMYFUNCTION("""COMPUTED_VALUE"""),"#VALUE!")</f>
        <v>#VALUE!</v>
      </c>
      <c r="BE87" s="674">
        <f>IFERROR(__xludf.DUMMYFUNCTION("""COMPUTED_VALUE"""),980.0)</f>
        <v>980</v>
      </c>
      <c r="BF87" s="674">
        <f>IFERROR(__xludf.DUMMYFUNCTION("""COMPUTED_VALUE"""),890.0)</f>
        <v>890</v>
      </c>
      <c r="BG87" s="673">
        <f>IFERROR(__xludf.DUMMYFUNCTION("""COMPUTED_VALUE"""),0.0)</f>
        <v>0</v>
      </c>
      <c r="BH87" s="673">
        <f>IFERROR(__xludf.DUMMYFUNCTION("""COMPUTED_VALUE"""),0.1)</f>
        <v>0.1</v>
      </c>
      <c r="BI87" s="673">
        <f>IFERROR(__xludf.DUMMYFUNCTION("""COMPUTED_VALUE"""),0.0)</f>
        <v>0</v>
      </c>
      <c r="BJ87" s="673">
        <f>IFERROR(__xludf.DUMMYFUNCTION("""COMPUTED_VALUE"""),0.0)</f>
        <v>0</v>
      </c>
      <c r="BK87" s="673">
        <f>IFERROR(__xludf.DUMMYFUNCTION("""COMPUTED_VALUE"""),0.0)</f>
        <v>0</v>
      </c>
      <c r="BL87" s="673">
        <f>IFERROR(__xludf.DUMMYFUNCTION("""COMPUTED_VALUE"""),0.0)</f>
        <v>0</v>
      </c>
      <c r="BM87" s="674">
        <f>IFERROR(__xludf.DUMMYFUNCTION("""COMPUTED_VALUE"""),75.0)</f>
        <v>75</v>
      </c>
      <c r="BN87" s="674">
        <f>IFERROR(__xludf.DUMMYFUNCTION("""COMPUTED_VALUE"""),75.0)</f>
        <v>75</v>
      </c>
      <c r="BO87" s="675">
        <f>IFERROR(__xludf.DUMMYFUNCTION("""COMPUTED_VALUE"""),0.0)</f>
        <v>0</v>
      </c>
      <c r="BP87" s="675">
        <f>IFERROR(__xludf.DUMMYFUNCTION("""COMPUTED_VALUE"""),1.5)</f>
        <v>1.5</v>
      </c>
      <c r="BQ87" s="139" t="str">
        <f>IFERROR(__xludf.DUMMYFUNCTION("""COMPUTED_VALUE"""),"(中距離)特殊攻撃・投げ物・長物")</f>
        <v>(中距離)特殊攻撃・投げ物・長物</v>
      </c>
      <c r="BR87" s="139">
        <f>IFERROR(__xludf.DUMMYFUNCTION("""COMPUTED_VALUE"""),3.0)</f>
        <v>3</v>
      </c>
      <c r="BS87" s="139">
        <f>IFERROR(__xludf.DUMMYFUNCTION("""COMPUTED_VALUE"""),40.0)</f>
        <v>40</v>
      </c>
      <c r="BT87" s="139">
        <f>IFERROR(__xludf.DUMMYFUNCTION("""COMPUTED_VALUE"""),0.41)</f>
        <v>0.41</v>
      </c>
      <c r="BU87" s="139">
        <f>IFERROR(__xludf.DUMMYFUNCTION("""COMPUTED_VALUE"""),0.0)</f>
        <v>0</v>
      </c>
      <c r="BV87" s="139" t="str">
        <f>IFERROR(__xludf.DUMMYFUNCTION("""COMPUTED_VALUE"""),"普通-速い")</f>
        <v>普通-速い</v>
      </c>
      <c r="BW87" s="139" t="str">
        <f>IFERROR(__xludf.DUMMYFUNCTION("""COMPUTED_VALUE"""),"毒ダメージ軽減")</f>
        <v>毒ダメージ軽減</v>
      </c>
      <c r="BX87" s="139">
        <f>IFERROR(__xludf.DUMMYFUNCTION("""COMPUTED_VALUE"""),40.0)</f>
        <v>40</v>
      </c>
      <c r="BY87" s="139">
        <f>IFERROR(__xludf.DUMMYFUNCTION("""COMPUTED_VALUE"""),0.0)</f>
        <v>0</v>
      </c>
      <c r="BZ87" s="139" t="str">
        <f>IFERROR(__xludf.DUMMYFUNCTION("""COMPUTED_VALUE"""),"-")</f>
        <v>-</v>
      </c>
      <c r="CA87" s="139" t="str">
        <f>IFERROR(__xludf.DUMMYFUNCTION("""COMPUTED_VALUE"""),"-")</f>
        <v>-</v>
      </c>
      <c r="CB87" s="139" t="str">
        <f>IFERROR(__xludf.DUMMYFUNCTION("""COMPUTED_VALUE"""),"-")</f>
        <v>-</v>
      </c>
      <c r="CC87" s="139" t="str">
        <f>IFERROR(__xludf.DUMMYFUNCTION("""COMPUTED_VALUE"""),"中距離")</f>
        <v>中距離</v>
      </c>
      <c r="CD87" s="139" t="str">
        <f>IFERROR(__xludf.DUMMYFUNCTION("""COMPUTED_VALUE"""),"単体")</f>
        <v>単体</v>
      </c>
      <c r="CE87" s="139">
        <f>IFERROR(__xludf.DUMMYFUNCTION("""COMPUTED_VALUE"""),1.0)</f>
        <v>1</v>
      </c>
      <c r="CF87" s="139">
        <f>IFERROR(__xludf.DUMMYFUNCTION("""COMPUTED_VALUE"""),0.42)</f>
        <v>0.42</v>
      </c>
      <c r="CG87" s="139" t="str">
        <f>IFERROR(__xludf.DUMMYFUNCTION("""COMPUTED_VALUE"""),"中距離")</f>
        <v>中距離</v>
      </c>
      <c r="CH87" s="139" t="str">
        <f>IFERROR(__xludf.DUMMYFUNCTION("""COMPUTED_VALUE"""),"範囲(中)")</f>
        <v>範囲(中)</v>
      </c>
      <c r="CI87" s="139">
        <f>IFERROR(__xludf.DUMMYFUNCTION("""COMPUTED_VALUE"""),0.65)</f>
        <v>0.65</v>
      </c>
      <c r="CJ87" s="139">
        <f>IFERROR(__xludf.DUMMYFUNCTION("""COMPUTED_VALUE"""),0.62)</f>
        <v>0.62</v>
      </c>
      <c r="CK87" s="139" t="str">
        <f>IFERROR(__xludf.DUMMYFUNCTION("""COMPUTED_VALUE"""),"敵")</f>
        <v>敵</v>
      </c>
      <c r="CL87" s="139" t="str">
        <f>IFERROR(__xludf.DUMMYFUNCTION("""COMPUTED_VALUE"""),"All")</f>
        <v>All</v>
      </c>
      <c r="CM87" s="139" t="str">
        <f>IFERROR(__xludf.DUMMYFUNCTION("""COMPUTED_VALUE"""),"All")</f>
        <v>All</v>
      </c>
      <c r="CN87" s="675">
        <f>IFERROR(__xludf.DUMMYFUNCTION("""COMPUTED_VALUE"""),18.126827987756233)</f>
        <v>18.12682799</v>
      </c>
      <c r="CO87" s="139" t="str">
        <f>IFERROR(__xludf.DUMMYFUNCTION("""COMPUTED_VALUE"""),"-")</f>
        <v>-</v>
      </c>
      <c r="CP87" s="139" t="str">
        <f>IFERROR(__xludf.DUMMYFUNCTION("""COMPUTED_VALUE"""),"-")</f>
        <v>-</v>
      </c>
      <c r="CQ87" s="139" t="str">
        <f>IFERROR(__xludf.DUMMYFUNCTION("""COMPUTED_VALUE"""),"-")</f>
        <v>-</v>
      </c>
      <c r="CR87" s="139" t="str">
        <f>IFERROR(__xludf.DUMMYFUNCTION("""COMPUTED_VALUE"""),"-")</f>
        <v>-</v>
      </c>
      <c r="CS87" s="673" t="str">
        <f>IFERROR(__xludf.DUMMYFUNCTION("""COMPUTED_VALUE"""),"攻撃(必殺)")</f>
        <v>攻撃(必殺)</v>
      </c>
      <c r="CT87" s="139" t="str">
        <f>IFERROR(__xludf.DUMMYFUNCTION("""COMPUTED_VALUE"""),"-")</f>
        <v>-</v>
      </c>
      <c r="CU87" s="139" t="str">
        <f>IFERROR(__xludf.DUMMYFUNCTION("""COMPUTED_VALUE"""),"敵")</f>
        <v>敵</v>
      </c>
      <c r="CV87" s="139" t="str">
        <f>IFERROR(__xludf.DUMMYFUNCTION("""COMPUTED_VALUE"""),"All")</f>
        <v>All</v>
      </c>
      <c r="CW87" s="139" t="str">
        <f>IFERROR(__xludf.DUMMYFUNCTION("""COMPUTED_VALUE"""),"All")</f>
        <v>All</v>
      </c>
      <c r="CX87" s="674">
        <f>IFERROR(__xludf.DUMMYFUNCTION("""COMPUTED_VALUE"""),117.0)</f>
        <v>117</v>
      </c>
      <c r="CY87" s="675" t="str">
        <f>IFERROR(__xludf.DUMMYFUNCTION("""COMPUTED_VALUE"""),"-")</f>
        <v>-</v>
      </c>
      <c r="CZ87" s="688">
        <f>IFERROR(__xludf.DUMMYFUNCTION("""COMPUTED_VALUE"""),13113.0)</f>
        <v>13113</v>
      </c>
      <c r="DA87" s="688">
        <f>IFERROR(__xludf.DUMMYFUNCTION("""COMPUTED_VALUE"""),781.8941690401488)</f>
        <v>781.894169</v>
      </c>
      <c r="DB87" s="688">
        <f>IFERROR(__xludf.DUMMYFUNCTION("""COMPUTED_VALUE"""),3909.470845200744)</f>
        <v>3909.470845</v>
      </c>
      <c r="DC87" s="673" t="str">
        <f>IFERROR(__xludf.DUMMYFUNCTION("""COMPUTED_VALUE"""),"スタン")</f>
        <v>スタン</v>
      </c>
      <c r="DD87" s="673" t="str">
        <f>IFERROR(__xludf.DUMMYFUNCTION("""COMPUTED_VALUE"""),"-")</f>
        <v>-</v>
      </c>
      <c r="DE87" s="675">
        <f>IFERROR(__xludf.DUMMYFUNCTION("""COMPUTED_VALUE"""),2.3)</f>
        <v>2.3</v>
      </c>
      <c r="DF87" s="139" t="str">
        <f>IFERROR(__xludf.DUMMYFUNCTION("""COMPUTED_VALUE"""),"-")</f>
        <v>-</v>
      </c>
      <c r="DG87" s="139" t="str">
        <f>IFERROR(__xludf.DUMMYFUNCTION("""COMPUTED_VALUE"""),"-")</f>
        <v>-</v>
      </c>
      <c r="DH87" s="139" t="str">
        <f>IFERROR(__xludf.DUMMYFUNCTION("""COMPUTED_VALUE"""),"-")</f>
        <v>-</v>
      </c>
      <c r="DI87" s="139" t="str">
        <f>IFERROR(__xludf.DUMMYFUNCTION("""COMPUTED_VALUE"""),"-")</f>
        <v>-</v>
      </c>
      <c r="DJ87" s="139" t="str">
        <f>IFERROR(__xludf.DUMMYFUNCTION("""COMPUTED_VALUE"""),"-")</f>
        <v>-</v>
      </c>
    </row>
    <row r="88">
      <c r="A88" s="139" t="str">
        <f>IFERROR(__xludf.DUMMYFUNCTION("""COMPUTED_VALUE"""),"2.5次元の誘惑")</f>
        <v>2.5次元の誘惑</v>
      </c>
      <c r="B88" s="139" t="str">
        <f>IFERROR(__xludf.DUMMYFUNCTION("""COMPUTED_VALUE"""),"愛届ける聖夜のサンタ 橘 美花莉")</f>
        <v>愛届ける聖夜のサンタ 橘 美花莉</v>
      </c>
      <c r="C88" s="139" t="str">
        <f>IFERROR(__xludf.DUMMYFUNCTION("""COMPUTED_VALUE"""),"chara_yuw_00102")</f>
        <v>chara_yuw_00102</v>
      </c>
      <c r="D88" s="139" t="str">
        <f>IFERROR(__xludf.DUMMYFUNCTION("""COMPUTED_VALUE"""),"FestivalUR")</f>
        <v>FestivalUR</v>
      </c>
      <c r="E88" s="139" t="str">
        <f>IFERROR(__xludf.DUMMYFUNCTION("""COMPUTED_VALUE"""),"緑")</f>
        <v>緑</v>
      </c>
      <c r="F88" s="139" t="str">
        <f>IFERROR(__xludf.DUMMYFUNCTION("""COMPUTED_VALUE"""),"サポート")</f>
        <v>サポート</v>
      </c>
      <c r="G88" s="139" t="str">
        <f>IFERROR(__xludf.DUMMYFUNCTION("""COMPUTED_VALUE"""),"近距離")</f>
        <v>近距離</v>
      </c>
      <c r="H88" s="139" t="str">
        <f>IFERROR(__xludf.DUMMYFUNCTION("""COMPUTED_VALUE"""),"dageki_1")</f>
        <v>dageki_1</v>
      </c>
      <c r="I88" s="139" t="str">
        <f>IFERROR(__xludf.DUMMYFUNCTION("""COMPUTED_VALUE"""),"-")</f>
        <v>-</v>
      </c>
      <c r="J88" s="139" t="str">
        <f>IFERROR(__xludf.DUMMYFUNCTION("""COMPUTED_VALUE"""),"202512015_202511020_クリスマス衣装用2.5次元の誘惑")</f>
        <v>202512015_202511020_クリスマス衣装用2.5次元の誘惑</v>
      </c>
      <c r="K88" s="139" t="str">
        <f>IFERROR(__xludf.DUMMYFUNCTION("""COMPUTED_VALUE"""),"2025年 クリスマス限定ガシャ")</f>
        <v>2025年 クリスマス限定ガシャ</v>
      </c>
      <c r="L88" s="687" t="str">
        <f>IFERROR(__xludf.DUMMYFUNCTION("""COMPUTED_VALUE"""),"※")</f>
        <v>※</v>
      </c>
      <c r="M88" s="674">
        <f>IFERROR(__xludf.DUMMYFUNCTION("""COMPUTED_VALUE"""),765.0)</f>
        <v>765</v>
      </c>
      <c r="N88" s="139">
        <f>IFERROR(__xludf.DUMMYFUNCTION("""COMPUTED_VALUE"""),600.0)</f>
        <v>600</v>
      </c>
      <c r="O88" s="139" t="str">
        <f>IFERROR(__xludf.DUMMYFUNCTION("""COMPUTED_VALUE"""),"中コスト")</f>
        <v>中コスト</v>
      </c>
      <c r="P88" s="139">
        <f>IFERROR(__xludf.DUMMYFUNCTION("""COMPUTED_VALUE"""),125.0)</f>
        <v>125</v>
      </c>
      <c r="Q88" s="675">
        <f>IFERROR(__xludf.DUMMYFUNCTION("""COMPUTED_VALUE"""),10.0)</f>
        <v>10</v>
      </c>
      <c r="R88" s="675">
        <f>IFERROR(__xludf.DUMMYFUNCTION("""COMPUTED_VALUE"""),30.0)</f>
        <v>30</v>
      </c>
      <c r="S88" s="675">
        <f>IFERROR(__xludf.DUMMYFUNCTION("""COMPUTED_VALUE"""),16.625)</f>
        <v>16.625</v>
      </c>
      <c r="T88" s="674">
        <f>IFERROR(__xludf.DUMMYFUNCTION("""COMPUTED_VALUE"""),675.0)</f>
        <v>675</v>
      </c>
      <c r="U88" s="675">
        <f>IFERROR(__xludf.DUMMYFUNCTION("""COMPUTED_VALUE"""),13.493333333333336)</f>
        <v>13.49333333</v>
      </c>
      <c r="V88" s="675">
        <f>IFERROR(__xludf.DUMMYFUNCTION("""COMPUTED_VALUE"""),0.0)</f>
        <v>0</v>
      </c>
      <c r="W88" s="675">
        <f>IFERROR(__xludf.DUMMYFUNCTION("""COMPUTED_VALUE"""),0.0)</f>
        <v>0</v>
      </c>
      <c r="X88" s="675">
        <f>IFERROR(__xludf.DUMMYFUNCTION("""COMPUTED_VALUE"""),0.0)</f>
        <v>0</v>
      </c>
      <c r="Y88" s="674">
        <f>IFERROR(__xludf.DUMMYFUNCTION("""COMPUTED_VALUE"""),855.0)</f>
        <v>855</v>
      </c>
      <c r="Z88" s="675">
        <f>IFERROR(__xludf.DUMMYFUNCTION("""COMPUTED_VALUE"""),17.053333333333335)</f>
        <v>17.05333333</v>
      </c>
      <c r="AA88" s="675">
        <f>IFERROR(__xludf.DUMMYFUNCTION("""COMPUTED_VALUE"""),10.0)</f>
        <v>10</v>
      </c>
      <c r="AB88" s="673">
        <f>IFERROR(__xludf.DUMMYFUNCTION("""COMPUTED_VALUE"""),0.0)</f>
        <v>0</v>
      </c>
      <c r="AC88" s="675">
        <f>IFERROR(__xludf.DUMMYFUNCTION("""COMPUTED_VALUE"""),0.0)</f>
        <v>0</v>
      </c>
      <c r="AD88" s="674">
        <f>IFERROR(__xludf.DUMMYFUNCTION("""COMPUTED_VALUE"""),1000.0)</f>
        <v>1000</v>
      </c>
      <c r="AE88" s="675">
        <f>IFERROR(__xludf.DUMMYFUNCTION("""COMPUTED_VALUE"""),20.026327652589483)</f>
        <v>20.02632765</v>
      </c>
      <c r="AF88" s="675">
        <f>IFERROR(__xludf.DUMMYFUNCTION("""COMPUTED_VALUE"""),3.0)</f>
        <v>3</v>
      </c>
      <c r="AG88" s="675">
        <f>IFERROR(__xludf.DUMMYFUNCTION("""COMPUTED_VALUE"""),3.4052655305178967)</f>
        <v>3.405265531</v>
      </c>
      <c r="AH88" s="675">
        <f>IFERROR(__xludf.DUMMYFUNCTION("""COMPUTED_VALUE"""),0.0)</f>
        <v>0</v>
      </c>
      <c r="AI88" s="139" t="str">
        <f>IFERROR(__xludf.DUMMYFUNCTION("""COMPUTED_VALUE"""),"-")</f>
        <v>-</v>
      </c>
      <c r="AJ88" s="139" t="str">
        <f>IFERROR(__xludf.DUMMYFUNCTION("""COMPUTED_VALUE"""),"-")</f>
        <v>-</v>
      </c>
      <c r="AK88" s="139">
        <f>IFERROR(__xludf.DUMMYFUNCTION("""COMPUTED_VALUE"""),0.0)</f>
        <v>0</v>
      </c>
      <c r="AL88" s="674">
        <f>IFERROR(__xludf.DUMMYFUNCTION("""COMPUTED_VALUE"""),1840.0)</f>
        <v>1840</v>
      </c>
      <c r="AM88" s="688">
        <f>IFERROR(__xludf.DUMMYFUNCTION("""COMPUTED_VALUE"""),15339.891739478251)</f>
        <v>15339.89174</v>
      </c>
      <c r="AN88" s="675">
        <f>IFERROR(__xludf.DUMMYFUNCTION("""COMPUTED_VALUE"""),12.266666666666667)</f>
        <v>12.26666667</v>
      </c>
      <c r="AO88" s="675">
        <f>IFERROR(__xludf.DUMMYFUNCTION("""COMPUTED_VALUE"""),6.133333333333334)</f>
        <v>6.133333333</v>
      </c>
      <c r="AP88" s="674">
        <f>IFERROR(__xludf.DUMMYFUNCTION("""COMPUTED_VALUE"""),2300.0)</f>
        <v>2300</v>
      </c>
      <c r="AQ88" s="673">
        <f>IFERROR(__xludf.DUMMYFUNCTION("""COMPUTED_VALUE"""),-0.4)</f>
        <v>-0.4</v>
      </c>
      <c r="AR88" s="673">
        <f>IFERROR(__xludf.DUMMYFUNCTION("""COMPUTED_VALUE"""),0.0)</f>
        <v>0</v>
      </c>
      <c r="AS88" s="673">
        <f>IFERROR(__xludf.DUMMYFUNCTION("""COMPUTED_VALUE"""),0.0)</f>
        <v>0</v>
      </c>
      <c r="AT88" s="673">
        <f>IFERROR(__xludf.DUMMYFUNCTION("""COMPUTED_VALUE"""),0.0)</f>
        <v>0</v>
      </c>
      <c r="AU88" s="673">
        <f>IFERROR(__xludf.DUMMYFUNCTION("""COMPUTED_VALUE"""),0.0)</f>
        <v>0</v>
      </c>
      <c r="AV88" s="673">
        <f>IFERROR(__xludf.DUMMYFUNCTION("""COMPUTED_VALUE"""),0.2)</f>
        <v>0.2</v>
      </c>
      <c r="AW88" s="139"/>
      <c r="AX88" s="674">
        <f>IFERROR(__xludf.DUMMYFUNCTION("""COMPUTED_VALUE"""),1550.0)</f>
        <v>1550</v>
      </c>
      <c r="AY88" s="688">
        <f>IFERROR(__xludf.DUMMYFUNCTION("""COMPUTED_VALUE"""),12922.55358488657)</f>
        <v>12922.55358</v>
      </c>
      <c r="AZ88" s="674">
        <f>IFERROR(__xludf.DUMMYFUNCTION("""COMPUTED_VALUE"""),1030.0)</f>
        <v>1030</v>
      </c>
      <c r="BA88" s="688">
        <f>IFERROR(__xludf.DUMMYFUNCTION("""COMPUTED_VALUE"""),8615.035723257713)</f>
        <v>8615.035723</v>
      </c>
      <c r="BB88" s="688" t="str">
        <f>IFERROR(__xludf.DUMMYFUNCTION("""COMPUTED_VALUE"""),"-")</f>
        <v>-</v>
      </c>
      <c r="BC88" s="688" t="str">
        <f>IFERROR(__xludf.DUMMYFUNCTION("""COMPUTED_VALUE"""),"#VALUE!")</f>
        <v>#VALUE!</v>
      </c>
      <c r="BD88" s="688" t="str">
        <f>IFERROR(__xludf.DUMMYFUNCTION("""COMPUTED_VALUE"""),"#VALUE!")</f>
        <v>#VALUE!</v>
      </c>
      <c r="BE88" s="674">
        <f>IFERROR(__xludf.DUMMYFUNCTION("""COMPUTED_VALUE"""),1030.0)</f>
        <v>1030</v>
      </c>
      <c r="BF88" s="674">
        <f>IFERROR(__xludf.DUMMYFUNCTION("""COMPUTED_VALUE"""),1530.0)</f>
        <v>1530</v>
      </c>
      <c r="BG88" s="673">
        <f>IFERROR(__xludf.DUMMYFUNCTION("""COMPUTED_VALUE"""),0.0)</f>
        <v>0</v>
      </c>
      <c r="BH88" s="673">
        <f>IFERROR(__xludf.DUMMYFUNCTION("""COMPUTED_VALUE"""),-0.3)</f>
        <v>-0.3</v>
      </c>
      <c r="BI88" s="673">
        <f>IFERROR(__xludf.DUMMYFUNCTION("""COMPUTED_VALUE"""),0.0)</f>
        <v>0</v>
      </c>
      <c r="BJ88" s="673">
        <f>IFERROR(__xludf.DUMMYFUNCTION("""COMPUTED_VALUE"""),0.2)</f>
        <v>0.2</v>
      </c>
      <c r="BK88" s="673">
        <f>IFERROR(__xludf.DUMMYFUNCTION("""COMPUTED_VALUE"""),0.0)</f>
        <v>0</v>
      </c>
      <c r="BL88" s="673">
        <f>IFERROR(__xludf.DUMMYFUNCTION("""COMPUTED_VALUE"""),0.0)</f>
        <v>0</v>
      </c>
      <c r="BM88" s="674">
        <f>IFERROR(__xludf.DUMMYFUNCTION("""COMPUTED_VALUE"""),75.0)</f>
        <v>75</v>
      </c>
      <c r="BN88" s="674">
        <f>IFERROR(__xludf.DUMMYFUNCTION("""COMPUTED_VALUE"""),75.0)</f>
        <v>75</v>
      </c>
      <c r="BO88" s="675">
        <f>IFERROR(__xludf.DUMMYFUNCTION("""COMPUTED_VALUE"""),0.0)</f>
        <v>0</v>
      </c>
      <c r="BP88" s="675">
        <f>IFERROR(__xludf.DUMMYFUNCTION("""COMPUTED_VALUE"""),1.5)</f>
        <v>1.5</v>
      </c>
      <c r="BQ88" s="139" t="str">
        <f>IFERROR(__xludf.DUMMYFUNCTION("""COMPUTED_VALUE"""),"(近距離)武器・道具・特殊攻撃")</f>
        <v>(近距離)武器・道具・特殊攻撃</v>
      </c>
      <c r="BR88" s="139">
        <f>IFERROR(__xludf.DUMMYFUNCTION("""COMPUTED_VALUE"""),2.0)</f>
        <v>2</v>
      </c>
      <c r="BS88" s="139">
        <f>IFERROR(__xludf.DUMMYFUNCTION("""COMPUTED_VALUE"""),35.0)</f>
        <v>35</v>
      </c>
      <c r="BT88" s="139">
        <f>IFERROR(__xludf.DUMMYFUNCTION("""COMPUTED_VALUE"""),0.32)</f>
        <v>0.32</v>
      </c>
      <c r="BU88" s="139">
        <f>IFERROR(__xludf.DUMMYFUNCTION("""COMPUTED_VALUE"""),0.0)</f>
        <v>0</v>
      </c>
      <c r="BV88" s="139" t="str">
        <f>IFERROR(__xludf.DUMMYFUNCTION("""COMPUTED_VALUE"""),"速い")</f>
        <v>速い</v>
      </c>
      <c r="BW88" s="139" t="str">
        <f>IFERROR(__xludf.DUMMYFUNCTION("""COMPUTED_VALUE"""),"火傷ダメージ軽減")</f>
        <v>火傷ダメージ軽減</v>
      </c>
      <c r="BX88" s="139">
        <f>IFERROR(__xludf.DUMMYFUNCTION("""COMPUTED_VALUE"""),75.0)</f>
        <v>75</v>
      </c>
      <c r="BY88" s="139">
        <f>IFERROR(__xludf.DUMMYFUNCTION("""COMPUTED_VALUE"""),0.0)</f>
        <v>0</v>
      </c>
      <c r="BZ88" s="139" t="str">
        <f>IFERROR(__xludf.DUMMYFUNCTION("""COMPUTED_VALUE"""),"スタン攻撃無効化")</f>
        <v>スタン攻撃無効化</v>
      </c>
      <c r="CA88" s="139">
        <f>IFERROR(__xludf.DUMMYFUNCTION("""COMPUTED_VALUE"""),70.0)</f>
        <v>70</v>
      </c>
      <c r="CB88" s="139">
        <f>IFERROR(__xludf.DUMMYFUNCTION("""COMPUTED_VALUE"""),4.0)</f>
        <v>4</v>
      </c>
      <c r="CC88" s="139" t="str">
        <f>IFERROR(__xludf.DUMMYFUNCTION("""COMPUTED_VALUE"""),"近距離")</f>
        <v>近距離</v>
      </c>
      <c r="CD88" s="139" t="str">
        <f>IFERROR(__xludf.DUMMYFUNCTION("""COMPUTED_VALUE"""),"範囲(小)")</f>
        <v>範囲(小)</v>
      </c>
      <c r="CE88" s="139">
        <f>IFERROR(__xludf.DUMMYFUNCTION("""COMPUTED_VALUE"""),0.75)</f>
        <v>0.75</v>
      </c>
      <c r="CF88" s="139">
        <f>IFERROR(__xludf.DUMMYFUNCTION("""COMPUTED_VALUE"""),0.43)</f>
        <v>0.43</v>
      </c>
      <c r="CG88" s="139" t="str">
        <f>IFERROR(__xludf.DUMMYFUNCTION("""COMPUTED_VALUE"""),"近距離")</f>
        <v>近距離</v>
      </c>
      <c r="CH88" s="139" t="str">
        <f>IFERROR(__xludf.DUMMYFUNCTION("""COMPUTED_VALUE"""),"範囲(大)")</f>
        <v>範囲(大)</v>
      </c>
      <c r="CI88" s="139">
        <f>IFERROR(__xludf.DUMMYFUNCTION("""COMPUTED_VALUE"""),0.55)</f>
        <v>0.55</v>
      </c>
      <c r="CJ88" s="139">
        <f>IFERROR(__xludf.DUMMYFUNCTION("""COMPUTED_VALUE"""),0.63)</f>
        <v>0.63</v>
      </c>
      <c r="CK88" s="139"/>
      <c r="CL88" s="139"/>
      <c r="CM88" s="139"/>
      <c r="CN88" s="675">
        <f>IFERROR(__xludf.DUMMYFUNCTION("""COMPUTED_VALUE"""),20.026327652589483)</f>
        <v>20.02632765</v>
      </c>
      <c r="CO88" s="139" t="str">
        <f>IFERROR(__xludf.DUMMYFUNCTION("""COMPUTED_VALUE"""),"ダメージコマ無効化")</f>
        <v>ダメージコマ無効化</v>
      </c>
      <c r="CP88" s="139" t="str">
        <f>IFERROR(__xludf.DUMMYFUNCTION("""COMPUTED_VALUE"""),"-")</f>
        <v>-</v>
      </c>
      <c r="CQ88" s="139">
        <f>IFERROR(__xludf.DUMMYFUNCTION("""COMPUTED_VALUE"""),6.0)</f>
        <v>6</v>
      </c>
      <c r="CR88" s="139"/>
      <c r="CS88" s="673" t="str">
        <f>IFERROR(__xludf.DUMMYFUNCTION("""COMPUTED_VALUE"""),"攻撃(必殺)")</f>
        <v>攻撃(必殺)</v>
      </c>
      <c r="CT88" s="139" t="str">
        <f>IFERROR(__xludf.DUMMYFUNCTION("""COMPUTED_VALUE"""),"-")</f>
        <v>-</v>
      </c>
      <c r="CU88" s="139" t="str">
        <f>IFERROR(__xludf.DUMMYFUNCTION("""COMPUTED_VALUE"""),"敵")</f>
        <v>敵</v>
      </c>
      <c r="CV88" s="139" t="str">
        <f>IFERROR(__xludf.DUMMYFUNCTION("""COMPUTED_VALUE"""),"All")</f>
        <v>All</v>
      </c>
      <c r="CW88" s="139" t="str">
        <f>IFERROR(__xludf.DUMMYFUNCTION("""COMPUTED_VALUE"""),"All")</f>
        <v>All</v>
      </c>
      <c r="CX88" s="674">
        <f>IFERROR(__xludf.DUMMYFUNCTION("""COMPUTED_VALUE"""),127.0)</f>
        <v>127</v>
      </c>
      <c r="CY88" s="675" t="str">
        <f>IFERROR(__xludf.DUMMYFUNCTION("""COMPUTED_VALUE"""),"-")</f>
        <v>-</v>
      </c>
      <c r="CZ88" s="688">
        <f>IFERROR(__xludf.DUMMYFUNCTION("""COMPUTED_VALUE"""),16412.0)</f>
        <v>16412</v>
      </c>
      <c r="DA88" s="688">
        <f>IFERROR(__xludf.DUMMYFUNCTION("""COMPUTED_VALUE"""),831.8706738333078)</f>
        <v>831.8706738</v>
      </c>
      <c r="DB88" s="688">
        <f>IFERROR(__xludf.DUMMYFUNCTION("""COMPUTED_VALUE"""),4159.353369166539)</f>
        <v>4159.353369</v>
      </c>
      <c r="DC88" s="673" t="str">
        <f>IFERROR(__xludf.DUMMYFUNCTION("""COMPUTED_VALUE"""),"オブジェクト生成")</f>
        <v>オブジェクト生成</v>
      </c>
      <c r="DD88" s="689" t="str">
        <f>IFERROR(__xludf.DUMMYFUNCTION("""COMPUTED_VALUE"""),"※設計書記載")</f>
        <v>※設計書記載</v>
      </c>
      <c r="DE88" s="139" t="str">
        <f>IFERROR(__xludf.DUMMYFUNCTION("""COMPUTED_VALUE"""),"-")</f>
        <v>-</v>
      </c>
      <c r="DF88" s="139" t="str">
        <f>IFERROR(__xludf.DUMMYFUNCTION("""COMPUTED_VALUE"""),"-")</f>
        <v>-</v>
      </c>
      <c r="DG88" s="139" t="str">
        <f>IFERROR(__xludf.DUMMYFUNCTION("""COMPUTED_VALUE"""),"-")</f>
        <v>-</v>
      </c>
      <c r="DH88" s="139" t="str">
        <f>IFERROR(__xludf.DUMMYFUNCTION("""COMPUTED_VALUE"""),"-")</f>
        <v>-</v>
      </c>
      <c r="DI88" s="139" t="str">
        <f>IFERROR(__xludf.DUMMYFUNCTION("""COMPUTED_VALUE"""),"-")</f>
        <v>-</v>
      </c>
      <c r="DJ88" s="139" t="str">
        <f>IFERROR(__xludf.DUMMYFUNCTION("""COMPUTED_VALUE"""),"-")</f>
        <v>-</v>
      </c>
    </row>
    <row r="89">
      <c r="A89" s="139" t="str">
        <f>IFERROR(__xludf.DUMMYFUNCTION("""COMPUTED_VALUE"""),"【推しの子】")</f>
        <v>【推しの子】</v>
      </c>
      <c r="B89" s="139" t="str">
        <f>IFERROR(__xludf.DUMMYFUNCTION("""COMPUTED_VALUE"""),"B小町不動のセンター アイ")</f>
        <v>B小町不動のセンター アイ</v>
      </c>
      <c r="C89" s="139" t="str">
        <f>IFERROR(__xludf.DUMMYFUNCTION("""COMPUTED_VALUE"""),"chara_osh_00001")</f>
        <v>chara_osh_00001</v>
      </c>
      <c r="D89" s="139" t="str">
        <f>IFERROR(__xludf.DUMMYFUNCTION("""COMPUTED_VALUE"""),"FestivalUR")</f>
        <v>FestivalUR</v>
      </c>
      <c r="E89" s="139" t="str">
        <f>IFERROR(__xludf.DUMMYFUNCTION("""COMPUTED_VALUE"""),"赤")</f>
        <v>赤</v>
      </c>
      <c r="F89" s="139" t="str">
        <f>IFERROR(__xludf.DUMMYFUNCTION("""COMPUTED_VALUE"""),"テクニカル")</f>
        <v>テクニカル</v>
      </c>
      <c r="G89" s="139" t="str">
        <f>IFERROR(__xludf.DUMMYFUNCTION("""COMPUTED_VALUE"""),"中距離")</f>
        <v>中距離</v>
      </c>
      <c r="H89" s="139" t="str">
        <f>IFERROR(__xludf.DUMMYFUNCTION("""COMPUTED_VALUE"""),"shageki_1")</f>
        <v>shageki_1</v>
      </c>
      <c r="I89" s="139" t="str">
        <f>IFERROR(__xludf.DUMMYFUNCTION("""COMPUTED_VALUE"""),"-")</f>
        <v>-</v>
      </c>
      <c r="J89" s="139" t="str">
        <f>IFERROR(__xludf.DUMMYFUNCTION("""COMPUTED_VALUE"""),"202512020_推しの子＆年末＆正月")</f>
        <v>202512020_推しの子＆年末＆正月</v>
      </c>
      <c r="K89" s="139" t="str">
        <f>IFERROR(__xludf.DUMMYFUNCTION("""COMPUTED_VALUE"""),"【推しの子】いいジャン祭")</f>
        <v>【推しの子】いいジャン祭</v>
      </c>
      <c r="L89" s="687" t="str">
        <f>IFERROR(__xludf.DUMMYFUNCTION("""COMPUTED_VALUE"""),"※")</f>
        <v>※</v>
      </c>
      <c r="M89" s="674">
        <f>IFERROR(__xludf.DUMMYFUNCTION("""COMPUTED_VALUE"""),900.0)</f>
        <v>900</v>
      </c>
      <c r="N89" s="139">
        <f>IFERROR(__xludf.DUMMYFUNCTION("""COMPUTED_VALUE"""),1000.0)</f>
        <v>1000</v>
      </c>
      <c r="O89" s="139" t="str">
        <f>IFERROR(__xludf.DUMMYFUNCTION("""COMPUTED_VALUE"""),"高コスト")</f>
        <v>高コスト</v>
      </c>
      <c r="P89" s="139">
        <f>IFERROR(__xludf.DUMMYFUNCTION("""COMPUTED_VALUE"""),-145.0)</f>
        <v>-145</v>
      </c>
      <c r="Q89" s="675">
        <f>IFERROR(__xludf.DUMMYFUNCTION("""COMPUTED_VALUE"""),20.0)</f>
        <v>20</v>
      </c>
      <c r="R89" s="675">
        <f>IFERROR(__xludf.DUMMYFUNCTION("""COMPUTED_VALUE"""),25.0)</f>
        <v>25</v>
      </c>
      <c r="S89" s="675">
        <f>IFERROR(__xludf.DUMMYFUNCTION("""COMPUTED_VALUE"""),20.0)</f>
        <v>20</v>
      </c>
      <c r="T89" s="674">
        <f>IFERROR(__xludf.DUMMYFUNCTION("""COMPUTED_VALUE"""),790.0)</f>
        <v>790</v>
      </c>
      <c r="U89" s="675">
        <f>IFERROR(__xludf.DUMMYFUNCTION("""COMPUTED_VALUE"""),15.840000000000002)</f>
        <v>15.84</v>
      </c>
      <c r="V89" s="675">
        <f>IFERROR(__xludf.DUMMYFUNCTION("""COMPUTED_VALUE"""),0.0)</f>
        <v>0</v>
      </c>
      <c r="W89" s="675">
        <f>IFERROR(__xludf.DUMMYFUNCTION("""COMPUTED_VALUE"""),0.0)</f>
        <v>0</v>
      </c>
      <c r="X89" s="675">
        <f>IFERROR(__xludf.DUMMYFUNCTION("""COMPUTED_VALUE"""),0.0)</f>
        <v>0</v>
      </c>
      <c r="Y89" s="674">
        <f>IFERROR(__xludf.DUMMYFUNCTION("""COMPUTED_VALUE"""),640.0)</f>
        <v>640</v>
      </c>
      <c r="Z89" s="675">
        <f>IFERROR(__xludf.DUMMYFUNCTION("""COMPUTED_VALUE"""),12.78)</f>
        <v>12.78</v>
      </c>
      <c r="AA89" s="675">
        <f>IFERROR(__xludf.DUMMYFUNCTION("""COMPUTED_VALUE"""),4.5)</f>
        <v>4.5</v>
      </c>
      <c r="AB89" s="673">
        <f>IFERROR(__xludf.DUMMYFUNCTION("""COMPUTED_VALUE"""),0.0)</f>
        <v>0</v>
      </c>
      <c r="AC89" s="675">
        <f>IFERROR(__xludf.DUMMYFUNCTION("""COMPUTED_VALUE"""),0.0)</f>
        <v>0</v>
      </c>
      <c r="AD89" s="674">
        <f>IFERROR(__xludf.DUMMYFUNCTION("""COMPUTED_VALUE"""),1770.0)</f>
        <v>1770</v>
      </c>
      <c r="AE89" s="675">
        <f>IFERROR(__xludf.DUMMYFUNCTION("""COMPUTED_VALUE"""),35.38707297724792)</f>
        <v>35.38707298</v>
      </c>
      <c r="AF89" s="675">
        <f>IFERROR(__xludf.DUMMYFUNCTION("""COMPUTED_VALUE"""),2.0)</f>
        <v>2</v>
      </c>
      <c r="AG89" s="675">
        <f>IFERROR(__xludf.DUMMYFUNCTION("""COMPUTED_VALUE"""),18.629024325749306)</f>
        <v>18.62902433</v>
      </c>
      <c r="AH89" s="675">
        <f>IFERROR(__xludf.DUMMYFUNCTION("""COMPUTED_VALUE"""),0.0)</f>
        <v>0</v>
      </c>
      <c r="AI89" s="675">
        <f>IFERROR(__xludf.DUMMYFUNCTION("""COMPUTED_VALUE"""),7.5)</f>
        <v>7.5</v>
      </c>
      <c r="AJ89" s="675">
        <f>IFERROR(__xludf.DUMMYFUNCTION("""COMPUTED_VALUE"""),27.887072977247918)</f>
        <v>27.88707298</v>
      </c>
      <c r="AK89" s="139">
        <f>IFERROR(__xludf.DUMMYFUNCTION("""COMPUTED_VALUE"""),1.0)</f>
        <v>1</v>
      </c>
      <c r="AL89" s="674">
        <f>IFERROR(__xludf.DUMMYFUNCTION("""COMPUTED_VALUE"""),2160.0)</f>
        <v>2160</v>
      </c>
      <c r="AM89" s="688">
        <f>IFERROR(__xludf.DUMMYFUNCTION("""COMPUTED_VALUE"""),18008.82073764838)</f>
        <v>18008.82074</v>
      </c>
      <c r="AN89" s="675">
        <f>IFERROR(__xludf.DUMMYFUNCTION("""COMPUTED_VALUE"""),14.4)</f>
        <v>14.4</v>
      </c>
      <c r="AO89" s="675">
        <f>IFERROR(__xludf.DUMMYFUNCTION("""COMPUTED_VALUE"""),7.2)</f>
        <v>7.2</v>
      </c>
      <c r="AP89" s="674">
        <f>IFERROR(__xludf.DUMMYFUNCTION("""COMPUTED_VALUE"""),2700.0)</f>
        <v>2700</v>
      </c>
      <c r="AQ89" s="673">
        <f>IFERROR(__xludf.DUMMYFUNCTION("""COMPUTED_VALUE"""),-0.3)</f>
        <v>-0.3</v>
      </c>
      <c r="AR89" s="673">
        <f>IFERROR(__xludf.DUMMYFUNCTION("""COMPUTED_VALUE"""),0.0)</f>
        <v>0</v>
      </c>
      <c r="AS89" s="673">
        <f>IFERROR(__xludf.DUMMYFUNCTION("""COMPUTED_VALUE"""),-0.1)</f>
        <v>-0.1</v>
      </c>
      <c r="AT89" s="673">
        <f>IFERROR(__xludf.DUMMYFUNCTION("""COMPUTED_VALUE"""),0.0)</f>
        <v>0</v>
      </c>
      <c r="AU89" s="673">
        <f>IFERROR(__xludf.DUMMYFUNCTION("""COMPUTED_VALUE"""),0.0)</f>
        <v>0</v>
      </c>
      <c r="AV89" s="673">
        <f>IFERROR(__xludf.DUMMYFUNCTION("""COMPUTED_VALUE"""),0.2)</f>
        <v>0.2</v>
      </c>
      <c r="AW89" s="139"/>
      <c r="AX89" s="674">
        <f>IFERROR(__xludf.DUMMYFUNCTION("""COMPUTED_VALUE"""),3520.0)</f>
        <v>3520</v>
      </c>
      <c r="AY89" s="688">
        <f>IFERROR(__xludf.DUMMYFUNCTION("""COMPUTED_VALUE"""),29347.898979871436)</f>
        <v>29347.89898</v>
      </c>
      <c r="AZ89" s="674">
        <f>IFERROR(__xludf.DUMMYFUNCTION("""COMPUTED_VALUE"""),1760.0)</f>
        <v>1760</v>
      </c>
      <c r="BA89" s="688">
        <f>IFERROR(__xludf.DUMMYFUNCTION("""COMPUTED_VALUE"""),14673.949489935718)</f>
        <v>14673.94949</v>
      </c>
      <c r="BB89" s="688" t="str">
        <f>IFERROR(__xludf.DUMMYFUNCTION("""COMPUTED_VALUE"""),"-")</f>
        <v>-</v>
      </c>
      <c r="BC89" s="688" t="str">
        <f>IFERROR(__xludf.DUMMYFUNCTION("""COMPUTED_VALUE"""),"#VALUE!")</f>
        <v>#VALUE!</v>
      </c>
      <c r="BD89" s="688" t="str">
        <f>IFERROR(__xludf.DUMMYFUNCTION("""COMPUTED_VALUE"""),"#VALUE!")</f>
        <v>#VALUE!</v>
      </c>
      <c r="BE89" s="674">
        <f>IFERROR(__xludf.DUMMYFUNCTION("""COMPUTED_VALUE"""),1760.0)</f>
        <v>1760</v>
      </c>
      <c r="BF89" s="674">
        <f>IFERROR(__xludf.DUMMYFUNCTION("""COMPUTED_VALUE"""),1800.0)</f>
        <v>1800</v>
      </c>
      <c r="BG89" s="673">
        <f>IFERROR(__xludf.DUMMYFUNCTION("""COMPUTED_VALUE"""),0.0)</f>
        <v>0</v>
      </c>
      <c r="BH89" s="673">
        <f>IFERROR(__xludf.DUMMYFUNCTION("""COMPUTED_VALUE"""),0.1)</f>
        <v>0.1</v>
      </c>
      <c r="BI89" s="673">
        <f>IFERROR(__xludf.DUMMYFUNCTION("""COMPUTED_VALUE"""),0.0)</f>
        <v>0</v>
      </c>
      <c r="BJ89" s="673">
        <f>IFERROR(__xludf.DUMMYFUNCTION("""COMPUTED_VALUE"""),0.2)</f>
        <v>0.2</v>
      </c>
      <c r="BK89" s="673">
        <f>IFERROR(__xludf.DUMMYFUNCTION("""COMPUTED_VALUE"""),0.0)</f>
        <v>0</v>
      </c>
      <c r="BL89" s="673">
        <f>IFERROR(__xludf.DUMMYFUNCTION("""COMPUTED_VALUE"""),0.0)</f>
        <v>0</v>
      </c>
      <c r="BM89" s="674">
        <f>IFERROR(__xludf.DUMMYFUNCTION("""COMPUTED_VALUE"""),100.0)</f>
        <v>100</v>
      </c>
      <c r="BN89" s="674">
        <f>IFERROR(__xludf.DUMMYFUNCTION("""COMPUTED_VALUE"""),75.0)</f>
        <v>75</v>
      </c>
      <c r="BO89" s="675">
        <f>IFERROR(__xludf.DUMMYFUNCTION("""COMPUTED_VALUE"""),25.0)</f>
        <v>25</v>
      </c>
      <c r="BP89" s="675">
        <f>IFERROR(__xludf.DUMMYFUNCTION("""COMPUTED_VALUE"""),2.0)</f>
        <v>2</v>
      </c>
      <c r="BQ89" s="139" t="str">
        <f>IFERROR(__xludf.DUMMYFUNCTION("""COMPUTED_VALUE"""),"(中距離)特殊攻撃・投げ物・長物")</f>
        <v>(中距離)特殊攻撃・投げ物・長物</v>
      </c>
      <c r="BR89" s="139">
        <f>IFERROR(__xludf.DUMMYFUNCTION("""COMPUTED_VALUE"""),3.0)</f>
        <v>3</v>
      </c>
      <c r="BS89" s="139">
        <f>IFERROR(__xludf.DUMMYFUNCTION("""COMPUTED_VALUE"""),35.0)</f>
        <v>35</v>
      </c>
      <c r="BT89" s="139">
        <f>IFERROR(__xludf.DUMMYFUNCTION("""COMPUTED_VALUE"""),0.41)</f>
        <v>0.41</v>
      </c>
      <c r="BU89" s="139">
        <f>IFERROR(__xludf.DUMMYFUNCTION("""COMPUTED_VALUE"""),0.0)</f>
        <v>0</v>
      </c>
      <c r="BV89" s="139" t="str">
        <f>IFERROR(__xludf.DUMMYFUNCTION("""COMPUTED_VALUE"""),"普通")</f>
        <v>普通</v>
      </c>
      <c r="BW89" s="139" t="str">
        <f>IFERROR(__xludf.DUMMYFUNCTION("""COMPUTED_VALUE"""),"スタン攻撃無効化")</f>
        <v>スタン攻撃無効化</v>
      </c>
      <c r="BX89" s="139">
        <f>IFERROR(__xludf.DUMMYFUNCTION("""COMPUTED_VALUE"""),45.0)</f>
        <v>45</v>
      </c>
      <c r="BY89" s="139">
        <f>IFERROR(__xludf.DUMMYFUNCTION("""COMPUTED_VALUE"""),0.0)</f>
        <v>0</v>
      </c>
      <c r="BZ89" s="139" t="str">
        <f>IFERROR(__xludf.DUMMYFUNCTION("""COMPUTED_VALUE"""),"突風コマ無効化")</f>
        <v>突風コマ無効化</v>
      </c>
      <c r="CA89" s="139" t="str">
        <f>IFERROR(__xludf.DUMMYFUNCTION("""COMPUTED_VALUE"""),"-")</f>
        <v>-</v>
      </c>
      <c r="CB89" s="139">
        <f>IFERROR(__xludf.DUMMYFUNCTION("""COMPUTED_VALUE"""),4.0)</f>
        <v>4</v>
      </c>
      <c r="CC89" s="139" t="str">
        <f>IFERROR(__xludf.DUMMYFUNCTION("""COMPUTED_VALUE"""),"中距離")</f>
        <v>中距離</v>
      </c>
      <c r="CD89" s="139" t="str">
        <f>IFERROR(__xludf.DUMMYFUNCTION("""COMPUTED_VALUE"""),"範囲(小)")</f>
        <v>範囲(小)</v>
      </c>
      <c r="CE89" s="139">
        <f>IFERROR(__xludf.DUMMYFUNCTION("""COMPUTED_VALUE"""),0.75)</f>
        <v>0.75</v>
      </c>
      <c r="CF89" s="139">
        <f>IFERROR(__xludf.DUMMYFUNCTION("""COMPUTED_VALUE"""),0.52)</f>
        <v>0.52</v>
      </c>
      <c r="CG89" s="139" t="str">
        <f>IFERROR(__xludf.DUMMYFUNCTION("""COMPUTED_VALUE"""),"中距離")</f>
        <v>中距離</v>
      </c>
      <c r="CH89" s="139" t="str">
        <f>IFERROR(__xludf.DUMMYFUNCTION("""COMPUTED_VALUE"""),"範囲(コマ)0,+2")</f>
        <v>範囲(コマ)0,+2</v>
      </c>
      <c r="CI89" s="139">
        <f>IFERROR(__xludf.DUMMYFUNCTION("""COMPUTED_VALUE"""),0.45)</f>
        <v>0.45</v>
      </c>
      <c r="CJ89" s="139" t="str">
        <f>IFERROR(__xludf.DUMMYFUNCTION("""COMPUTED_VALUE"""),"(コマ)0,+2")</f>
        <v>(コマ)0,+2</v>
      </c>
      <c r="CK89" s="139"/>
      <c r="CL89" s="139"/>
      <c r="CM89" s="139"/>
      <c r="CN89" s="675">
        <f>IFERROR(__xludf.DUMMYFUNCTION("""COMPUTED_VALUE"""),35.38707297724792)</f>
        <v>35.38707298</v>
      </c>
      <c r="CO89" s="139" t="str">
        <f>IFERROR(__xludf.DUMMYFUNCTION("""COMPUTED_VALUE"""),"ダメージコマ無効化")</f>
        <v>ダメージコマ無効化</v>
      </c>
      <c r="CP89" s="139" t="str">
        <f>IFERROR(__xludf.DUMMYFUNCTION("""COMPUTED_VALUE"""),"-")</f>
        <v>-</v>
      </c>
      <c r="CQ89" s="139">
        <f>IFERROR(__xludf.DUMMYFUNCTION("""COMPUTED_VALUE"""),6.0)</f>
        <v>6</v>
      </c>
      <c r="CR89" s="139"/>
      <c r="CS89" s="673" t="str">
        <f>IFERROR(__xludf.DUMMYFUNCTION("""COMPUTED_VALUE"""),"攻撃(必殺)")</f>
        <v>攻撃(必殺)</v>
      </c>
      <c r="CT89" s="139" t="str">
        <f>IFERROR(__xludf.DUMMYFUNCTION("""COMPUTED_VALUE"""),"-")</f>
        <v>-</v>
      </c>
      <c r="CU89" s="139" t="str">
        <f>IFERROR(__xludf.DUMMYFUNCTION("""COMPUTED_VALUE"""),"敵")</f>
        <v>敵</v>
      </c>
      <c r="CV89" s="139" t="str">
        <f>IFERROR(__xludf.DUMMYFUNCTION("""COMPUTED_VALUE"""),"All")</f>
        <v>All</v>
      </c>
      <c r="CW89" s="139" t="str">
        <f>IFERROR(__xludf.DUMMYFUNCTION("""COMPUTED_VALUE"""),"All")</f>
        <v>All</v>
      </c>
      <c r="CX89" s="674">
        <f>IFERROR(__xludf.DUMMYFUNCTION("""COMPUTED_VALUE"""),92.0)</f>
        <v>92</v>
      </c>
      <c r="CY89" s="675" t="str">
        <f>IFERROR(__xludf.DUMMYFUNCTION("""COMPUTED_VALUE"""),"-")</f>
        <v>-</v>
      </c>
      <c r="CZ89" s="688">
        <f>IFERROR(__xludf.DUMMYFUNCTION("""COMPUTED_VALUE"""),27000.0)</f>
        <v>27000</v>
      </c>
      <c r="DA89" s="688">
        <f>IFERROR(__xludf.DUMMYFUNCTION("""COMPUTED_VALUE"""),815.0607362488274)</f>
        <v>815.0607362</v>
      </c>
      <c r="DB89" s="688">
        <f>IFERROR(__xludf.DUMMYFUNCTION("""COMPUTED_VALUE"""),4075.303681244137)</f>
        <v>4075.303681</v>
      </c>
      <c r="DC89" s="673" t="str">
        <f>IFERROR(__xludf.DUMMYFUNCTION("""COMPUTED_VALUE"""),"攻撃力Down")</f>
        <v>攻撃力Down</v>
      </c>
      <c r="DD89" s="673">
        <f>IFERROR(__xludf.DUMMYFUNCTION("""COMPUTED_VALUE"""),50.0)</f>
        <v>50</v>
      </c>
      <c r="DE89" s="139">
        <f>IFERROR(__xludf.DUMMYFUNCTION("""COMPUTED_VALUE"""),7.5)</f>
        <v>7.5</v>
      </c>
      <c r="DF89" s="139" t="str">
        <f>IFERROR(__xludf.DUMMYFUNCTION("""COMPUTED_VALUE"""),"※特殊調整")</f>
        <v>※特殊調整</v>
      </c>
      <c r="DG89" s="139" t="str">
        <f>IFERROR(__xludf.DUMMYFUNCTION("""COMPUTED_VALUE"""),"-")</f>
        <v>-</v>
      </c>
      <c r="DH89" s="139" t="str">
        <f>IFERROR(__xludf.DUMMYFUNCTION("""COMPUTED_VALUE"""),"-")</f>
        <v>-</v>
      </c>
      <c r="DI89" s="139" t="str">
        <f>IFERROR(__xludf.DUMMYFUNCTION("""COMPUTED_VALUE"""),"-")</f>
        <v>-</v>
      </c>
      <c r="DJ89" s="139" t="str">
        <f>IFERROR(__xludf.DUMMYFUNCTION("""COMPUTED_VALUE"""),"-")</f>
        <v>-</v>
      </c>
    </row>
    <row r="90">
      <c r="A90" s="139" t="str">
        <f>IFERROR(__xludf.DUMMYFUNCTION("""COMPUTED_VALUE"""),"【推しの子】")</f>
        <v>【推しの子】</v>
      </c>
      <c r="B90" s="139" t="str">
        <f>IFERROR(__xludf.DUMMYFUNCTION("""COMPUTED_VALUE"""),"ぴえヨン")</f>
        <v>ぴえヨン</v>
      </c>
      <c r="C90" s="139" t="str">
        <f>IFERROR(__xludf.DUMMYFUNCTION("""COMPUTED_VALUE"""),"chara_osh_00601")</f>
        <v>chara_osh_00601</v>
      </c>
      <c r="D90" s="139" t="str">
        <f>IFERROR(__xludf.DUMMYFUNCTION("""COMPUTED_VALUE"""),"DropSR")</f>
        <v>DropSR</v>
      </c>
      <c r="E90" s="139" t="str">
        <f>IFERROR(__xludf.DUMMYFUNCTION("""COMPUTED_VALUE"""),"緑")</f>
        <v>緑</v>
      </c>
      <c r="F90" s="139" t="str">
        <f>IFERROR(__xludf.DUMMYFUNCTION("""COMPUTED_VALUE"""),"ディフェンス")</f>
        <v>ディフェンス</v>
      </c>
      <c r="G90" s="139" t="str">
        <f>IFERROR(__xludf.DUMMYFUNCTION("""COMPUTED_VALUE"""),"近距離")</f>
        <v>近距離</v>
      </c>
      <c r="H90" s="139" t="str">
        <f>IFERROR(__xludf.DUMMYFUNCTION("""COMPUTED_VALUE"""),"dageki_1")</f>
        <v>dageki_1</v>
      </c>
      <c r="I90" s="139" t="str">
        <f>IFERROR(__xludf.DUMMYFUNCTION("""COMPUTED_VALUE"""),"dageki_2")</f>
        <v>dageki_2</v>
      </c>
      <c r="J90" s="139" t="str">
        <f>IFERROR(__xludf.DUMMYFUNCTION("""COMPUTED_VALUE"""),"202512020_推しの子＆年末＆正月")</f>
        <v>202512020_推しの子＆年末＆正月</v>
      </c>
      <c r="K90" s="139" t="str">
        <f>IFERROR(__xludf.DUMMYFUNCTION("""COMPUTED_VALUE"""),"【推しの子】いいジャン祭")</f>
        <v>【推しの子】いいジャン祭</v>
      </c>
      <c r="L90" s="687" t="str">
        <f>IFERROR(__xludf.DUMMYFUNCTION("""COMPUTED_VALUE"""),"※")</f>
        <v>※</v>
      </c>
      <c r="M90" s="674">
        <f>IFERROR(__xludf.DUMMYFUNCTION("""COMPUTED_VALUE"""),800.0)</f>
        <v>800</v>
      </c>
      <c r="N90" s="139">
        <f>IFERROR(__xludf.DUMMYFUNCTION("""COMPUTED_VALUE"""),1000.0)</f>
        <v>1000</v>
      </c>
      <c r="O90" s="139" t="str">
        <f>IFERROR(__xludf.DUMMYFUNCTION("""COMPUTED_VALUE"""),"高コスト")</f>
        <v>高コスト</v>
      </c>
      <c r="P90" s="139">
        <f>IFERROR(__xludf.DUMMYFUNCTION("""COMPUTED_VALUE"""),-230.0)</f>
        <v>-230</v>
      </c>
      <c r="Q90" s="675">
        <f>IFERROR(__xludf.DUMMYFUNCTION("""COMPUTED_VALUE"""),15.0)</f>
        <v>15</v>
      </c>
      <c r="R90" s="675">
        <f>IFERROR(__xludf.DUMMYFUNCTION("""COMPUTED_VALUE"""),15.0)</f>
        <v>15</v>
      </c>
      <c r="S90" s="675">
        <f>IFERROR(__xludf.DUMMYFUNCTION("""COMPUTED_VALUE"""),17.5)</f>
        <v>17.5</v>
      </c>
      <c r="T90" s="674">
        <f>IFERROR(__xludf.DUMMYFUNCTION("""COMPUTED_VALUE"""),1720.0)</f>
        <v>1720</v>
      </c>
      <c r="U90" s="675">
        <f>IFERROR(__xludf.DUMMYFUNCTION("""COMPUTED_VALUE"""),34.36)</f>
        <v>34.36</v>
      </c>
      <c r="V90" s="675">
        <f>IFERROR(__xludf.DUMMYFUNCTION("""COMPUTED_VALUE"""),0.0)</f>
        <v>0</v>
      </c>
      <c r="W90" s="675">
        <f>IFERROR(__xludf.DUMMYFUNCTION("""COMPUTED_VALUE"""),0.0)</f>
        <v>0</v>
      </c>
      <c r="X90" s="675">
        <f>IFERROR(__xludf.DUMMYFUNCTION("""COMPUTED_VALUE"""),0.0)</f>
        <v>0</v>
      </c>
      <c r="Y90" s="674">
        <f>IFERROR(__xludf.DUMMYFUNCTION("""COMPUTED_VALUE"""),750.0)</f>
        <v>750</v>
      </c>
      <c r="Z90" s="675">
        <f>IFERROR(__xludf.DUMMYFUNCTION("""COMPUTED_VALUE"""),15.0)</f>
        <v>15</v>
      </c>
      <c r="AA90" s="675">
        <f>IFERROR(__xludf.DUMMYFUNCTION("""COMPUTED_VALUE"""),0.0)</f>
        <v>0</v>
      </c>
      <c r="AB90" s="673">
        <f>IFERROR(__xludf.DUMMYFUNCTION("""COMPUTED_VALUE"""),0.0)</f>
        <v>0</v>
      </c>
      <c r="AC90" s="675">
        <f>IFERROR(__xludf.DUMMYFUNCTION("""COMPUTED_VALUE"""),0.0)</f>
        <v>0</v>
      </c>
      <c r="AD90" s="674">
        <f>IFERROR(__xludf.DUMMYFUNCTION("""COMPUTED_VALUE"""),1265.0)</f>
        <v>1265</v>
      </c>
      <c r="AE90" s="675">
        <f>IFERROR(__xludf.DUMMYFUNCTION("""COMPUTED_VALUE"""),25.30331252364067)</f>
        <v>25.30331252</v>
      </c>
      <c r="AF90" s="675">
        <f>IFERROR(__xludf.DUMMYFUNCTION("""COMPUTED_VALUE"""),-7.0)</f>
        <v>-7</v>
      </c>
      <c r="AG90" s="675">
        <f>IFERROR(__xludf.DUMMYFUNCTION("""COMPUTED_VALUE"""),11.536897329871667)</f>
        <v>11.53689733</v>
      </c>
      <c r="AH90" s="675">
        <f>IFERROR(__xludf.DUMMYFUNCTION("""COMPUTED_VALUE"""),-2.3073794659743334)</f>
        <v>-2.307379466</v>
      </c>
      <c r="AI90" s="139">
        <f>IFERROR(__xludf.DUMMYFUNCTION("""COMPUTED_VALUE"""),2.0)</f>
        <v>2</v>
      </c>
      <c r="AJ90" s="139" t="str">
        <f>IFERROR(__xludf.DUMMYFUNCTION("""COMPUTED_VALUE"""),"-")</f>
        <v>-</v>
      </c>
      <c r="AK90" s="139">
        <f>IFERROR(__xludf.DUMMYFUNCTION("""COMPUTED_VALUE"""),1.0)</f>
        <v>1</v>
      </c>
      <c r="AL90" s="674">
        <f>IFERROR(__xludf.DUMMYFUNCTION("""COMPUTED_VALUE"""),5280.0)</f>
        <v>5280</v>
      </c>
      <c r="AM90" s="688">
        <f>IFERROR(__xludf.DUMMYFUNCTION("""COMPUTED_VALUE"""),36501.42846980716)</f>
        <v>36501.42847</v>
      </c>
      <c r="AN90" s="675">
        <f>IFERROR(__xludf.DUMMYFUNCTION("""COMPUTED_VALUE"""),35.2)</f>
        <v>35.2</v>
      </c>
      <c r="AO90" s="675">
        <f>IFERROR(__xludf.DUMMYFUNCTION("""COMPUTED_VALUE"""),17.6)</f>
        <v>17.6</v>
      </c>
      <c r="AP90" s="674">
        <f>IFERROR(__xludf.DUMMYFUNCTION("""COMPUTED_VALUE"""),2400.0)</f>
        <v>2400</v>
      </c>
      <c r="AQ90" s="673">
        <f>IFERROR(__xludf.DUMMYFUNCTION("""COMPUTED_VALUE"""),0.9)</f>
        <v>0.9</v>
      </c>
      <c r="AR90" s="673">
        <f>IFERROR(__xludf.DUMMYFUNCTION("""COMPUTED_VALUE"""),0.0)</f>
        <v>0</v>
      </c>
      <c r="AS90" s="673">
        <f>IFERROR(__xludf.DUMMYFUNCTION("""COMPUTED_VALUE"""),0.0)</f>
        <v>0</v>
      </c>
      <c r="AT90" s="673">
        <f>IFERROR(__xludf.DUMMYFUNCTION("""COMPUTED_VALUE"""),0.2)</f>
        <v>0.2</v>
      </c>
      <c r="AU90" s="673">
        <f>IFERROR(__xludf.DUMMYFUNCTION("""COMPUTED_VALUE"""),0.1)</f>
        <v>0.1</v>
      </c>
      <c r="AV90" s="673">
        <f>IFERROR(__xludf.DUMMYFUNCTION("""COMPUTED_VALUE"""),0.0)</f>
        <v>0</v>
      </c>
      <c r="AW90" s="139"/>
      <c r="AX90" s="674">
        <f>IFERROR(__xludf.DUMMYFUNCTION("""COMPUTED_VALUE"""),960.0)</f>
        <v>960</v>
      </c>
      <c r="AY90" s="688">
        <f>IFERROR(__xludf.DUMMYFUNCTION("""COMPUTED_VALUE"""),6635.626994510392)</f>
        <v>6635.626995</v>
      </c>
      <c r="AZ90" s="674">
        <f>IFERROR(__xludf.DUMMYFUNCTION("""COMPUTED_VALUE"""),480.0)</f>
        <v>480</v>
      </c>
      <c r="BA90" s="688">
        <f>IFERROR(__xludf.DUMMYFUNCTION("""COMPUTED_VALUE"""),6994.0)</f>
        <v>6994</v>
      </c>
      <c r="BB90" s="688" t="str">
        <f>IFERROR(__xludf.DUMMYFUNCTION("""COMPUTED_VALUE"""),"-")</f>
        <v>-</v>
      </c>
      <c r="BC90" s="688" t="str">
        <f>IFERROR(__xludf.DUMMYFUNCTION("""COMPUTED_VALUE"""),"#VALUE!")</f>
        <v>#VALUE!</v>
      </c>
      <c r="BD90" s="688" t="str">
        <f>IFERROR(__xludf.DUMMYFUNCTION("""COMPUTED_VALUE"""),"#VALUE!")</f>
        <v>#VALUE!</v>
      </c>
      <c r="BE90" s="674">
        <f>IFERROR(__xludf.DUMMYFUNCTION("""COMPUTED_VALUE"""),480.0)</f>
        <v>480</v>
      </c>
      <c r="BF90" s="674">
        <f>IFERROR(__xludf.DUMMYFUNCTION("""COMPUTED_VALUE"""),1600.0)</f>
        <v>1600</v>
      </c>
      <c r="BG90" s="673">
        <f>IFERROR(__xludf.DUMMYFUNCTION("""COMPUTED_VALUE"""),-0.2)</f>
        <v>-0.2</v>
      </c>
      <c r="BH90" s="673">
        <f>IFERROR(__xludf.DUMMYFUNCTION("""COMPUTED_VALUE"""),-0.5)</f>
        <v>-0.5</v>
      </c>
      <c r="BI90" s="673">
        <f>IFERROR(__xludf.DUMMYFUNCTION("""COMPUTED_VALUE"""),0.0)</f>
        <v>0</v>
      </c>
      <c r="BJ90" s="139"/>
      <c r="BK90" s="139"/>
      <c r="BL90" s="673">
        <f>IFERROR(__xludf.DUMMYFUNCTION("""COMPUTED_VALUE"""),0.0)</f>
        <v>0</v>
      </c>
      <c r="BM90" s="674">
        <f>IFERROR(__xludf.DUMMYFUNCTION("""COMPUTED_VALUE"""),100.0)</f>
        <v>100</v>
      </c>
      <c r="BN90" s="674">
        <f>IFERROR(__xludf.DUMMYFUNCTION("""COMPUTED_VALUE"""),100.0)</f>
        <v>100</v>
      </c>
      <c r="BO90" s="675">
        <f>IFERROR(__xludf.DUMMYFUNCTION("""COMPUTED_VALUE"""),0.0)</f>
        <v>0</v>
      </c>
      <c r="BP90" s="675">
        <f>IFERROR(__xludf.DUMMYFUNCTION("""COMPUTED_VALUE"""),2.0)</f>
        <v>2</v>
      </c>
      <c r="BQ90" s="139" t="str">
        <f>IFERROR(__xludf.DUMMYFUNCTION("""COMPUTED_VALUE"""),"(近距離)素手")</f>
        <v>(近距離)素手</v>
      </c>
      <c r="BR90" s="139">
        <f>IFERROR(__xludf.DUMMYFUNCTION("""COMPUTED_VALUE"""),1.0)</f>
        <v>1</v>
      </c>
      <c r="BS90" s="139">
        <f>IFERROR(__xludf.DUMMYFUNCTION("""COMPUTED_VALUE"""),47.0)</f>
        <v>47</v>
      </c>
      <c r="BT90" s="139">
        <f>IFERROR(__xludf.DUMMYFUNCTION("""COMPUTED_VALUE"""),0.17)</f>
        <v>0.17</v>
      </c>
      <c r="BU90" s="139"/>
      <c r="BV90" s="139" t="str">
        <f>IFERROR(__xludf.DUMMYFUNCTION("""COMPUTED_VALUE"""),"速い")</f>
        <v>速い</v>
      </c>
      <c r="BW90" s="139" t="str">
        <f>IFERROR(__xludf.DUMMYFUNCTION("""COMPUTED_VALUE"""),"火傷ダメージ軽減")</f>
        <v>火傷ダメージ軽減</v>
      </c>
      <c r="BX90" s="139">
        <f>IFERROR(__xludf.DUMMYFUNCTION("""COMPUTED_VALUE"""),40.0)</f>
        <v>40</v>
      </c>
      <c r="BY90" s="139">
        <f>IFERROR(__xludf.DUMMYFUNCTION("""COMPUTED_VALUE"""),2.0)</f>
        <v>2</v>
      </c>
      <c r="BZ90" s="139" t="str">
        <f>IFERROR(__xludf.DUMMYFUNCTION("""COMPUTED_VALUE"""),"-")</f>
        <v>-</v>
      </c>
      <c r="CA90" s="139" t="str">
        <f>IFERROR(__xludf.DUMMYFUNCTION("""COMPUTED_VALUE"""),"-")</f>
        <v>-</v>
      </c>
      <c r="CB90" s="139" t="str">
        <f>IFERROR(__xludf.DUMMYFUNCTION("""COMPUTED_VALUE"""),"-")</f>
        <v>-</v>
      </c>
      <c r="CC90" s="139" t="str">
        <f>IFERROR(__xludf.DUMMYFUNCTION("""COMPUTED_VALUE"""),"近距離")</f>
        <v>近距離</v>
      </c>
      <c r="CD90" s="139" t="str">
        <f>IFERROR(__xludf.DUMMYFUNCTION("""COMPUTED_VALUE"""),"単体")</f>
        <v>単体</v>
      </c>
      <c r="CE90" s="139">
        <f>IFERROR(__xludf.DUMMYFUNCTION("""COMPUTED_VALUE"""),1.0)</f>
        <v>1</v>
      </c>
      <c r="CF90" s="139">
        <f>IFERROR(__xludf.DUMMYFUNCTION("""COMPUTED_VALUE"""),0.18000000000000002)</f>
        <v>0.18</v>
      </c>
      <c r="CG90" s="139" t="str">
        <f>IFERROR(__xludf.DUMMYFUNCTION("""COMPUTED_VALUE"""),"近距離")</f>
        <v>近距離</v>
      </c>
      <c r="CH90" s="139" t="str">
        <f>IFERROR(__xludf.DUMMYFUNCTION("""COMPUTED_VALUE"""),"単体")</f>
        <v>単体</v>
      </c>
      <c r="CI90" s="139">
        <f>IFERROR(__xludf.DUMMYFUNCTION("""COMPUTED_VALUE"""),1.0)</f>
        <v>1</v>
      </c>
      <c r="CJ90" s="139">
        <f>IFERROR(__xludf.DUMMYFUNCTION("""COMPUTED_VALUE"""),0.18000000000000002)</f>
        <v>0.18</v>
      </c>
      <c r="CK90" s="139" t="str">
        <f>IFERROR(__xludf.DUMMYFUNCTION("""COMPUTED_VALUE"""),"敵")</f>
        <v>敵</v>
      </c>
      <c r="CL90" s="139" t="str">
        <f>IFERROR(__xludf.DUMMYFUNCTION("""COMPUTED_VALUE"""),"All")</f>
        <v>All</v>
      </c>
      <c r="CM90" s="139" t="str">
        <f>IFERROR(__xludf.DUMMYFUNCTION("""COMPUTED_VALUE"""),"All")</f>
        <v>All</v>
      </c>
      <c r="CN90" s="675">
        <f>IFERROR(__xludf.DUMMYFUNCTION("""COMPUTED_VALUE"""),25.30331252364067)</f>
        <v>25.30331252</v>
      </c>
      <c r="CO90" s="139" t="str">
        <f>IFERROR(__xludf.DUMMYFUNCTION("""COMPUTED_VALUE"""),"-")</f>
        <v>-</v>
      </c>
      <c r="CP90" s="139" t="str">
        <f>IFERROR(__xludf.DUMMYFUNCTION("""COMPUTED_VALUE"""),"-")</f>
        <v>-</v>
      </c>
      <c r="CQ90" s="139" t="str">
        <f>IFERROR(__xludf.DUMMYFUNCTION("""COMPUTED_VALUE"""),"-")</f>
        <v>-</v>
      </c>
      <c r="CR90" s="139" t="str">
        <f>IFERROR(__xludf.DUMMYFUNCTION("""COMPUTED_VALUE"""),"-")</f>
        <v>-</v>
      </c>
      <c r="CS90" s="673" t="str">
        <f>IFERROR(__xludf.DUMMYFUNCTION("""COMPUTED_VALUE"""),"連続攻撃")</f>
        <v>連続攻撃</v>
      </c>
      <c r="CT90" s="139" t="str">
        <f>IFERROR(__xludf.DUMMYFUNCTION("""COMPUTED_VALUE"""),"-")</f>
        <v>-</v>
      </c>
      <c r="CU90" s="139" t="str">
        <f>IFERROR(__xludf.DUMMYFUNCTION("""COMPUTED_VALUE"""),"敵")</f>
        <v>敵</v>
      </c>
      <c r="CV90" s="139" t="str">
        <f>IFERROR(__xludf.DUMMYFUNCTION("""COMPUTED_VALUE"""),"All")</f>
        <v>All</v>
      </c>
      <c r="CW90" s="139" t="str">
        <f>IFERROR(__xludf.DUMMYFUNCTION("""COMPUTED_VALUE"""),"All")</f>
        <v>All</v>
      </c>
      <c r="CX90" s="674">
        <f>IFERROR(__xludf.DUMMYFUNCTION("""COMPUTED_VALUE"""),173.0)</f>
        <v>173</v>
      </c>
      <c r="CY90" s="139" t="str">
        <f>IFERROR(__xludf.DUMMYFUNCTION("""COMPUTED_VALUE"""),"-")</f>
        <v>-</v>
      </c>
      <c r="CZ90" s="688">
        <f>IFERROR(__xludf.DUMMYFUNCTION("""COMPUTED_VALUE"""),11480.0)</f>
        <v>11480</v>
      </c>
      <c r="DA90" s="688">
        <f>IFERROR(__xludf.DUMMYFUNCTION("""COMPUTED_VALUE"""),472.95385233889016)</f>
        <v>472.9538523</v>
      </c>
      <c r="DB90" s="688">
        <f>IFERROR(__xludf.DUMMYFUNCTION("""COMPUTED_VALUE"""),0.0)</f>
        <v>0</v>
      </c>
      <c r="DC90" s="139" t="str">
        <f>IFERROR(__xludf.DUMMYFUNCTION("""COMPUTED_VALUE"""),"ノックバック")</f>
        <v>ノックバック</v>
      </c>
      <c r="DD90" s="673">
        <f>IFERROR(__xludf.DUMMYFUNCTION("""COMPUTED_VALUE"""),1.0)</f>
        <v>1</v>
      </c>
      <c r="DE90" s="139" t="str">
        <f>IFERROR(__xludf.DUMMYFUNCTION("""COMPUTED_VALUE"""),"-")</f>
        <v>-</v>
      </c>
      <c r="DF90" s="139" t="str">
        <f>IFERROR(__xludf.DUMMYFUNCTION("""COMPUTED_VALUE"""),"-")</f>
        <v>-</v>
      </c>
      <c r="DG90" s="139" t="str">
        <f>IFERROR(__xludf.DUMMYFUNCTION("""COMPUTED_VALUE"""),"-")</f>
        <v>-</v>
      </c>
      <c r="DH90" s="139" t="str">
        <f>IFERROR(__xludf.DUMMYFUNCTION("""COMPUTED_VALUE"""),"-")</f>
        <v>-</v>
      </c>
      <c r="DI90" s="139" t="str">
        <f>IFERROR(__xludf.DUMMYFUNCTION("""COMPUTED_VALUE"""),"-")</f>
        <v>-</v>
      </c>
      <c r="DJ90" s="139" t="str">
        <f>IFERROR(__xludf.DUMMYFUNCTION("""COMPUTED_VALUE"""),"-")</f>
        <v>-</v>
      </c>
    </row>
    <row r="91">
      <c r="A91" s="139" t="str">
        <f>IFERROR(__xludf.DUMMYFUNCTION("""COMPUTED_VALUE"""),"【推しの子】")</f>
        <v>【推しの子】</v>
      </c>
      <c r="B91" s="139" t="str">
        <f>IFERROR(__xludf.DUMMYFUNCTION("""COMPUTED_VALUE"""),"復讐を誓う片星 星野 アクア")</f>
        <v>復讐を誓う片星 星野 アクア</v>
      </c>
      <c r="C91" s="139" t="str">
        <f>IFERROR(__xludf.DUMMYFUNCTION("""COMPUTED_VALUE"""),"chara_osh_00101")</f>
        <v>chara_osh_00101</v>
      </c>
      <c r="D91" s="139" t="str">
        <f>IFERROR(__xludf.DUMMYFUNCTION("""COMPUTED_VALUE"""),"PremiumUR")</f>
        <v>PremiumUR</v>
      </c>
      <c r="E91" s="139" t="str">
        <f>IFERROR(__xludf.DUMMYFUNCTION("""COMPUTED_VALUE"""),"無")</f>
        <v>無</v>
      </c>
      <c r="F91" s="139" t="str">
        <f>IFERROR(__xludf.DUMMYFUNCTION("""COMPUTED_VALUE"""),"スペシャル")</f>
        <v>スペシャル</v>
      </c>
      <c r="G91" s="139" t="str">
        <f>IFERROR(__xludf.DUMMYFUNCTION("""COMPUTED_VALUE"""),"該当なし")</f>
        <v>該当なし</v>
      </c>
      <c r="H91" s="139" t="str">
        <f>IFERROR(__xludf.DUMMYFUNCTION("""COMPUTED_VALUE"""),"-")</f>
        <v>-</v>
      </c>
      <c r="I91" s="139" t="str">
        <f>IFERROR(__xludf.DUMMYFUNCTION("""COMPUTED_VALUE"""),"dageki_2")</f>
        <v>dageki_2</v>
      </c>
      <c r="J91" s="139" t="str">
        <f>IFERROR(__xludf.DUMMYFUNCTION("""COMPUTED_VALUE"""),"202512020_推しの子＆年末＆正月")</f>
        <v>202512020_推しの子＆年末＆正月</v>
      </c>
      <c r="K91" s="139" t="str">
        <f>IFERROR(__xludf.DUMMYFUNCTION("""COMPUTED_VALUE"""),"【推しの子】いいジャン祭")</f>
        <v>【推しの子】いいジャン祭</v>
      </c>
      <c r="L91" s="687" t="str">
        <f>IFERROR(__xludf.DUMMYFUNCTION("""COMPUTED_VALUE"""),"※")</f>
        <v>※</v>
      </c>
      <c r="M91" s="674">
        <f>IFERROR(__xludf.DUMMYFUNCTION("""COMPUTED_VALUE"""),750.0)</f>
        <v>750</v>
      </c>
      <c r="N91" s="139">
        <f>IFERROR(__xludf.DUMMYFUNCTION("""COMPUTED_VALUE"""),600.0)</f>
        <v>600</v>
      </c>
      <c r="O91" s="139" t="str">
        <f>IFERROR(__xludf.DUMMYFUNCTION("""COMPUTED_VALUE"""),"中コスト")</f>
        <v>中コスト</v>
      </c>
      <c r="P91" s="139">
        <f>IFERROR(__xludf.DUMMYFUNCTION("""COMPUTED_VALUE"""),150.0)</f>
        <v>150</v>
      </c>
      <c r="Q91" s="675">
        <f>IFERROR(__xludf.DUMMYFUNCTION("""COMPUTED_VALUE"""),0.0)</f>
        <v>0</v>
      </c>
      <c r="R91" s="675">
        <f>IFERROR(__xludf.DUMMYFUNCTION("""COMPUTED_VALUE"""),0.0)</f>
        <v>0</v>
      </c>
      <c r="S91" s="675">
        <f>IFERROR(__xludf.DUMMYFUNCTION("""COMPUTED_VALUE"""),16.25)</f>
        <v>16.25</v>
      </c>
      <c r="T91" s="674">
        <f>IFERROR(__xludf.DUMMYFUNCTION("""COMPUTED_VALUE"""),825.0)</f>
        <v>825</v>
      </c>
      <c r="U91" s="675">
        <f>IFERROR(__xludf.DUMMYFUNCTION("""COMPUTED_VALUE"""),16.5)</f>
        <v>16.5</v>
      </c>
      <c r="V91" s="675">
        <f>IFERROR(__xludf.DUMMYFUNCTION("""COMPUTED_VALUE"""),0.0)</f>
        <v>0</v>
      </c>
      <c r="W91" s="675">
        <f>IFERROR(__xludf.DUMMYFUNCTION("""COMPUTED_VALUE"""),0.0)</f>
        <v>0</v>
      </c>
      <c r="X91" s="675">
        <f>IFERROR(__xludf.DUMMYFUNCTION("""COMPUTED_VALUE"""),0.0)</f>
        <v>0</v>
      </c>
      <c r="Y91" s="674">
        <f>IFERROR(__xludf.DUMMYFUNCTION("""COMPUTED_VALUE"""),430.0)</f>
        <v>430</v>
      </c>
      <c r="Z91" s="675">
        <f>IFERROR(__xludf.DUMMYFUNCTION("""COMPUTED_VALUE"""),8.625)</f>
        <v>8.625</v>
      </c>
      <c r="AA91" s="675">
        <f>IFERROR(__xludf.DUMMYFUNCTION("""COMPUTED_VALUE"""),0.0)</f>
        <v>0</v>
      </c>
      <c r="AB91" s="673">
        <f>IFERROR(__xludf.DUMMYFUNCTION("""COMPUTED_VALUE"""),0.0)</f>
        <v>0</v>
      </c>
      <c r="AC91" s="675">
        <f>IFERROR(__xludf.DUMMYFUNCTION("""COMPUTED_VALUE"""),0.0)</f>
        <v>0</v>
      </c>
      <c r="AD91" s="674">
        <f>IFERROR(__xludf.DUMMYFUNCTION("""COMPUTED_VALUE"""),755.0)</f>
        <v>755</v>
      </c>
      <c r="AE91" s="675">
        <f>IFERROR(__xludf.DUMMYFUNCTION("""COMPUTED_VALUE"""),15.062370331392069)</f>
        <v>15.06237033</v>
      </c>
      <c r="AF91" s="675">
        <f>IFERROR(__xludf.DUMMYFUNCTION("""COMPUTED_VALUE"""),0.0)</f>
        <v>0</v>
      </c>
      <c r="AG91" s="675">
        <f>IFERROR(__xludf.DUMMYFUNCTION("""COMPUTED_VALUE"""),0.0)</f>
        <v>0</v>
      </c>
      <c r="AH91" s="675">
        <f>IFERROR(__xludf.DUMMYFUNCTION("""COMPUTED_VALUE"""),0.0)</f>
        <v>0</v>
      </c>
      <c r="AI91" s="675">
        <f>IFERROR(__xludf.DUMMYFUNCTION("""COMPUTED_VALUE"""),0.062370331392068934)</f>
        <v>0.06237033139</v>
      </c>
      <c r="AJ91" s="139">
        <f>IFERROR(__xludf.DUMMYFUNCTION("""COMPUTED_VALUE"""),15.0)</f>
        <v>15</v>
      </c>
      <c r="AK91" s="139">
        <f>IFERROR(__xludf.DUMMYFUNCTION("""COMPUTED_VALUE"""),1.0)</f>
        <v>1</v>
      </c>
      <c r="AL91" s="674">
        <f>IFERROR(__xludf.DUMMYFUNCTION("""COMPUTED_VALUE"""),2250.0)</f>
        <v>2250</v>
      </c>
      <c r="AM91" s="688">
        <f>IFERROR(__xludf.DUMMYFUNCTION("""COMPUTED_VALUE"""),18388.43326838373)</f>
        <v>18388.43327</v>
      </c>
      <c r="AN91" s="675">
        <f>IFERROR(__xludf.DUMMYFUNCTION("""COMPUTED_VALUE"""),15.0)</f>
        <v>15</v>
      </c>
      <c r="AO91" s="675">
        <f>IFERROR(__xludf.DUMMYFUNCTION("""COMPUTED_VALUE"""),7.5)</f>
        <v>7.5</v>
      </c>
      <c r="AP91" s="674">
        <f>IFERROR(__xludf.DUMMYFUNCTION("""COMPUTED_VALUE"""),2250.0)</f>
        <v>2250</v>
      </c>
      <c r="AQ91" s="673">
        <f>IFERROR(__xludf.DUMMYFUNCTION("""COMPUTED_VALUE"""),0.0)</f>
        <v>0</v>
      </c>
      <c r="AR91" s="673">
        <f>IFERROR(__xludf.DUMMYFUNCTION("""COMPUTED_VALUE"""),0.0)</f>
        <v>0</v>
      </c>
      <c r="AS91" s="673">
        <f>IFERROR(__xludf.DUMMYFUNCTION("""COMPUTED_VALUE"""),0.0)</f>
        <v>0</v>
      </c>
      <c r="AT91" s="673">
        <f>IFERROR(__xludf.DUMMYFUNCTION("""COMPUTED_VALUE"""),0.0)</f>
        <v>0</v>
      </c>
      <c r="AU91" s="673">
        <f>IFERROR(__xludf.DUMMYFUNCTION("""COMPUTED_VALUE"""),0.0)</f>
        <v>0</v>
      </c>
      <c r="AV91" s="673">
        <f>IFERROR(__xludf.DUMMYFUNCTION("""COMPUTED_VALUE"""),0.0)</f>
        <v>0</v>
      </c>
      <c r="AW91" s="139"/>
      <c r="AX91" s="674" t="str">
        <f>IFERROR(__xludf.DUMMYFUNCTION("""COMPUTED_VALUE"""),"#VALUE!")</f>
        <v>#VALUE!</v>
      </c>
      <c r="AY91" s="688" t="str">
        <f>IFERROR(__xludf.DUMMYFUNCTION("""COMPUTED_VALUE"""),"#VALUE!")</f>
        <v>#VALUE!</v>
      </c>
      <c r="AZ91" s="674" t="str">
        <f>IFERROR(__xludf.DUMMYFUNCTION("""COMPUTED_VALUE"""),"#VALUE!")</f>
        <v>#VALUE!</v>
      </c>
      <c r="BA91" s="688" t="str">
        <f>IFERROR(__xludf.DUMMYFUNCTION("""COMPUTED_VALUE"""),"#VALUE!")</f>
        <v>#VALUE!</v>
      </c>
      <c r="BB91" s="688" t="str">
        <f>IFERROR(__xludf.DUMMYFUNCTION("""COMPUTED_VALUE"""),"-")</f>
        <v>-</v>
      </c>
      <c r="BC91" s="688" t="str">
        <f>IFERROR(__xludf.DUMMYFUNCTION("""COMPUTED_VALUE"""),"#VALUE!")</f>
        <v>#VALUE!</v>
      </c>
      <c r="BD91" s="688" t="str">
        <f>IFERROR(__xludf.DUMMYFUNCTION("""COMPUTED_VALUE"""),"#VALUE!")</f>
        <v>#VALUE!</v>
      </c>
      <c r="BE91" s="674" t="str">
        <f>IFERROR(__xludf.DUMMYFUNCTION("""COMPUTED_VALUE"""),"#VALUE!")</f>
        <v>#VALUE!</v>
      </c>
      <c r="BF91" s="674">
        <f>IFERROR(__xludf.DUMMYFUNCTION("""COMPUTED_VALUE"""),1500.0)</f>
        <v>1500</v>
      </c>
      <c r="BG91" s="673">
        <f>IFERROR(__xludf.DUMMYFUNCTION("""COMPUTED_VALUE"""),0.0)</f>
        <v>0</v>
      </c>
      <c r="BH91" s="673">
        <f>IFERROR(__xludf.DUMMYFUNCTION("""COMPUTED_VALUE"""),0.0)</f>
        <v>0</v>
      </c>
      <c r="BI91" s="673">
        <f>IFERROR(__xludf.DUMMYFUNCTION("""COMPUTED_VALUE"""),0.0)</f>
        <v>0</v>
      </c>
      <c r="BJ91" s="673">
        <f>IFERROR(__xludf.DUMMYFUNCTION("""COMPUTED_VALUE"""),0.0)</f>
        <v>0</v>
      </c>
      <c r="BK91" s="673">
        <f>IFERROR(__xludf.DUMMYFUNCTION("""COMPUTED_VALUE"""),0.0)</f>
        <v>0</v>
      </c>
      <c r="BL91" s="673">
        <f>IFERROR(__xludf.DUMMYFUNCTION("""COMPUTED_VALUE"""),0.0)</f>
        <v>0</v>
      </c>
      <c r="BM91" s="674">
        <f>IFERROR(__xludf.DUMMYFUNCTION("""COMPUTED_VALUE"""),0.0)</f>
        <v>0</v>
      </c>
      <c r="BN91" s="674">
        <f>IFERROR(__xludf.DUMMYFUNCTION("""COMPUTED_VALUE"""),0.0)</f>
        <v>0</v>
      </c>
      <c r="BO91" s="675">
        <f>IFERROR(__xludf.DUMMYFUNCTION("""COMPUTED_VALUE"""),0.0)</f>
        <v>0</v>
      </c>
      <c r="BP91" s="675">
        <f>IFERROR(__xludf.DUMMYFUNCTION("""COMPUTED_VALUE"""),0.0)</f>
        <v>0</v>
      </c>
      <c r="BQ91" s="675" t="str">
        <f>IFERROR(__xludf.DUMMYFUNCTION("""COMPUTED_VALUE"""),"-")</f>
        <v>-</v>
      </c>
      <c r="BR91" s="139" t="str">
        <f>IFERROR(__xludf.DUMMYFUNCTION("""COMPUTED_VALUE"""),"該当なし")</f>
        <v>該当なし</v>
      </c>
      <c r="BS91" s="139" t="str">
        <f>IFERROR(__xludf.DUMMYFUNCTION("""COMPUTED_VALUE"""),"該当なし")</f>
        <v>該当なし</v>
      </c>
      <c r="BT91" s="139" t="str">
        <f>IFERROR(__xludf.DUMMYFUNCTION("""COMPUTED_VALUE"""),"#VALUE!")</f>
        <v>#VALUE!</v>
      </c>
      <c r="BU91" s="139">
        <f>IFERROR(__xludf.DUMMYFUNCTION("""COMPUTED_VALUE"""),0.0)</f>
        <v>0</v>
      </c>
      <c r="BV91" s="139" t="str">
        <f>IFERROR(__xludf.DUMMYFUNCTION("""COMPUTED_VALUE"""),"-")</f>
        <v>-</v>
      </c>
      <c r="BW91" s="139" t="str">
        <f>IFERROR(__xludf.DUMMYFUNCTION("""COMPUTED_VALUE"""),"-")</f>
        <v>-</v>
      </c>
      <c r="BX91" s="139" t="str">
        <f>IFERROR(__xludf.DUMMYFUNCTION("""COMPUTED_VALUE"""),"-")</f>
        <v>-</v>
      </c>
      <c r="BY91" s="139" t="str">
        <f>IFERROR(__xludf.DUMMYFUNCTION("""COMPUTED_VALUE"""),"-")</f>
        <v>-</v>
      </c>
      <c r="BZ91" s="139" t="str">
        <f>IFERROR(__xludf.DUMMYFUNCTION("""COMPUTED_VALUE"""),"-")</f>
        <v>-</v>
      </c>
      <c r="CA91" s="139" t="str">
        <f>IFERROR(__xludf.DUMMYFUNCTION("""COMPUTED_VALUE"""),"-")</f>
        <v>-</v>
      </c>
      <c r="CB91" s="139" t="str">
        <f>IFERROR(__xludf.DUMMYFUNCTION("""COMPUTED_VALUE"""),"-")</f>
        <v>-</v>
      </c>
      <c r="CC91" s="139" t="str">
        <f>IFERROR(__xludf.DUMMYFUNCTION("""COMPUTED_VALUE"""),"該当なし")</f>
        <v>該当なし</v>
      </c>
      <c r="CD91" s="139"/>
      <c r="CE91" s="139" t="str">
        <f>IFERROR(__xludf.DUMMYFUNCTION("""COMPUTED_VALUE"""),"-")</f>
        <v>-</v>
      </c>
      <c r="CF91" s="139" t="str">
        <f>IFERROR(__xludf.DUMMYFUNCTION("""COMPUTED_VALUE"""),"#VALUE!")</f>
        <v>#VALUE!</v>
      </c>
      <c r="CG91" s="139" t="str">
        <f>IFERROR(__xludf.DUMMYFUNCTION("""COMPUTED_VALUE"""),"タップしたコマ")</f>
        <v>タップしたコマ</v>
      </c>
      <c r="CH91" s="139" t="str">
        <f>IFERROR(__xludf.DUMMYFUNCTION("""COMPUTED_VALUE"""),"範囲(コマ)0,+1")</f>
        <v>範囲(コマ)0,+1</v>
      </c>
      <c r="CI91" s="139" t="str">
        <f>IFERROR(__xludf.DUMMYFUNCTION("""COMPUTED_VALUE"""),"-")</f>
        <v>-</v>
      </c>
      <c r="CJ91" s="139" t="str">
        <f>IFERROR(__xludf.DUMMYFUNCTION("""COMPUTED_VALUE"""),"(コマ)0,+1")</f>
        <v>(コマ)0,+1</v>
      </c>
      <c r="CK91" s="139" t="str">
        <f>IFERROR(__xludf.DUMMYFUNCTION("""COMPUTED_VALUE"""),"敵")</f>
        <v>敵</v>
      </c>
      <c r="CL91" s="139" t="str">
        <f>IFERROR(__xludf.DUMMYFUNCTION("""COMPUTED_VALUE"""),"All")</f>
        <v>All</v>
      </c>
      <c r="CM91" s="139" t="str">
        <f>IFERROR(__xludf.DUMMYFUNCTION("""COMPUTED_VALUE"""),"All")</f>
        <v>All</v>
      </c>
      <c r="CN91" s="675" t="str">
        <f>IFERROR(__xludf.DUMMYFUNCTION("""COMPUTED_VALUE"""),"-")</f>
        <v>-</v>
      </c>
      <c r="CO91" s="139" t="str">
        <f>IFERROR(__xludf.DUMMYFUNCTION("""COMPUTED_VALUE"""),"-")</f>
        <v>-</v>
      </c>
      <c r="CP91" s="139" t="str">
        <f>IFERROR(__xludf.DUMMYFUNCTION("""COMPUTED_VALUE"""),"-")</f>
        <v>-</v>
      </c>
      <c r="CQ91" s="139" t="str">
        <f>IFERROR(__xludf.DUMMYFUNCTION("""COMPUTED_VALUE"""),"-")</f>
        <v>-</v>
      </c>
      <c r="CR91" s="139" t="str">
        <f>IFERROR(__xludf.DUMMYFUNCTION("""COMPUTED_VALUE"""),"SP専用")</f>
        <v>SP専用</v>
      </c>
      <c r="CS91" s="673" t="str">
        <f>IFERROR(__xludf.DUMMYFUNCTION("""COMPUTED_VALUE"""),"コマ指定固定ダメージ")</f>
        <v>コマ指定固定ダメージ</v>
      </c>
      <c r="CT91" s="139" t="str">
        <f>IFERROR(__xludf.DUMMYFUNCTION("""COMPUTED_VALUE"""),"SP専用")</f>
        <v>SP専用</v>
      </c>
      <c r="CU91" s="139" t="str">
        <f>IFERROR(__xludf.DUMMYFUNCTION("""COMPUTED_VALUE"""),"敵")</f>
        <v>敵</v>
      </c>
      <c r="CV91" s="139" t="str">
        <f>IFERROR(__xludf.DUMMYFUNCTION("""COMPUTED_VALUE"""),"All")</f>
        <v>All</v>
      </c>
      <c r="CW91" s="139" t="str">
        <f>IFERROR(__xludf.DUMMYFUNCTION("""COMPUTED_VALUE"""),"All")</f>
        <v>All</v>
      </c>
      <c r="CX91" s="674">
        <f>IFERROR(__xludf.DUMMYFUNCTION("""COMPUTED_VALUE"""),30000.0)</f>
        <v>30000</v>
      </c>
      <c r="CY91" s="675" t="str">
        <f>IFERROR(__xludf.DUMMYFUNCTION("""COMPUTED_VALUE"""),"-")</f>
        <v>-</v>
      </c>
      <c r="CZ91" s="688" t="str">
        <f>IFERROR(__xludf.DUMMYFUNCTION("""COMPUTED_VALUE"""),"-")</f>
        <v>-</v>
      </c>
      <c r="DA91" s="688">
        <f>IFERROR(__xludf.DUMMYFUNCTION("""COMPUTED_VALUE"""),0.0)</f>
        <v>0</v>
      </c>
      <c r="DB91" s="688">
        <f>IFERROR(__xludf.DUMMYFUNCTION("""COMPUTED_VALUE"""),0.0)</f>
        <v>0</v>
      </c>
      <c r="DC91" s="673" t="str">
        <f>IFERROR(__xludf.DUMMYFUNCTION("""COMPUTED_VALUE"""),"再召喚時間短縮")</f>
        <v>再召喚時間短縮</v>
      </c>
      <c r="DD91" s="673">
        <f>IFERROR(__xludf.DUMMYFUNCTION("""COMPUTED_VALUE"""),2.5)</f>
        <v>2.5</v>
      </c>
      <c r="DE91" s="139" t="str">
        <f>IFERROR(__xludf.DUMMYFUNCTION("""COMPUTED_VALUE"""),"-")</f>
        <v>-</v>
      </c>
      <c r="DF91" s="139" t="str">
        <f>IFERROR(__xludf.DUMMYFUNCTION("""COMPUTED_VALUE"""),"-")</f>
        <v>-</v>
      </c>
      <c r="DG91" s="139" t="str">
        <f>IFERROR(__xludf.DUMMYFUNCTION("""COMPUTED_VALUE"""),"-")</f>
        <v>-</v>
      </c>
      <c r="DH91" s="139" t="str">
        <f>IFERROR(__xludf.DUMMYFUNCTION("""COMPUTED_VALUE"""),"-")</f>
        <v>-</v>
      </c>
      <c r="DI91" s="139" t="str">
        <f>IFERROR(__xludf.DUMMYFUNCTION("""COMPUTED_VALUE"""),"-")</f>
        <v>-</v>
      </c>
      <c r="DJ91" s="139" t="str">
        <f>IFERROR(__xludf.DUMMYFUNCTION("""COMPUTED_VALUE"""),"-")</f>
        <v>-</v>
      </c>
    </row>
    <row r="92">
      <c r="A92" s="139" t="str">
        <f>IFERROR(__xludf.DUMMYFUNCTION("""COMPUTED_VALUE"""),"【推しの子】")</f>
        <v>【推しの子】</v>
      </c>
      <c r="B92" s="139" t="str">
        <f>IFERROR(__xludf.DUMMYFUNCTION("""COMPUTED_VALUE"""),"星野 ルビー")</f>
        <v>星野 ルビー</v>
      </c>
      <c r="C92" s="139" t="str">
        <f>IFERROR(__xludf.DUMMYFUNCTION("""COMPUTED_VALUE"""),"chara_osh_00201")</f>
        <v>chara_osh_00201</v>
      </c>
      <c r="D92" s="139" t="str">
        <f>IFERROR(__xludf.DUMMYFUNCTION("""COMPUTED_VALUE"""),"PremiumSSR")</f>
        <v>PremiumSSR</v>
      </c>
      <c r="E92" s="139" t="str">
        <f>IFERROR(__xludf.DUMMYFUNCTION("""COMPUTED_VALUE"""),"赤")</f>
        <v>赤</v>
      </c>
      <c r="F92" s="139" t="str">
        <f>IFERROR(__xludf.DUMMYFUNCTION("""COMPUTED_VALUE"""),"アタック")</f>
        <v>アタック</v>
      </c>
      <c r="G92" s="139" t="str">
        <f>IFERROR(__xludf.DUMMYFUNCTION("""COMPUTED_VALUE"""),"近距離")</f>
        <v>近距離</v>
      </c>
      <c r="H92" s="139" t="str">
        <f>IFERROR(__xludf.DUMMYFUNCTION("""COMPUTED_VALUE"""),"dageki_2")</f>
        <v>dageki_2</v>
      </c>
      <c r="I92" s="139" t="str">
        <f>IFERROR(__xludf.DUMMYFUNCTION("""COMPUTED_VALUE"""),"-")</f>
        <v>-</v>
      </c>
      <c r="J92" s="139" t="str">
        <f>IFERROR(__xludf.DUMMYFUNCTION("""COMPUTED_VALUE"""),"202512020_推しの子＆年末＆正月")</f>
        <v>202512020_推しの子＆年末＆正月</v>
      </c>
      <c r="K92" s="139" t="str">
        <f>IFERROR(__xludf.DUMMYFUNCTION("""COMPUTED_VALUE"""),"【推しの子】いいジャン祭")</f>
        <v>【推しの子】いいジャン祭</v>
      </c>
      <c r="L92" s="687" t="str">
        <f>IFERROR(__xludf.DUMMYFUNCTION("""COMPUTED_VALUE"""),"※")</f>
        <v>※</v>
      </c>
      <c r="M92" s="674">
        <f>IFERROR(__xludf.DUMMYFUNCTION("""COMPUTED_VALUE"""),535.0)</f>
        <v>535</v>
      </c>
      <c r="N92" s="139">
        <f>IFERROR(__xludf.DUMMYFUNCTION("""COMPUTED_VALUE"""),600.0)</f>
        <v>600</v>
      </c>
      <c r="O92" s="139" t="str">
        <f>IFERROR(__xludf.DUMMYFUNCTION("""COMPUTED_VALUE"""),"中コスト")</f>
        <v>中コスト</v>
      </c>
      <c r="P92" s="139">
        <f>IFERROR(__xludf.DUMMYFUNCTION("""COMPUTED_VALUE"""),-75.0)</f>
        <v>-75</v>
      </c>
      <c r="Q92" s="675">
        <f>IFERROR(__xludf.DUMMYFUNCTION("""COMPUTED_VALUE"""),10.0)</f>
        <v>10</v>
      </c>
      <c r="R92" s="675">
        <f>IFERROR(__xludf.DUMMYFUNCTION("""COMPUTED_VALUE"""),0.0)</f>
        <v>0</v>
      </c>
      <c r="S92" s="675">
        <f>IFERROR(__xludf.DUMMYFUNCTION("""COMPUTED_VALUE"""),10.875)</f>
        <v>10.875</v>
      </c>
      <c r="T92" s="674">
        <f>IFERROR(__xludf.DUMMYFUNCTION("""COMPUTED_VALUE"""),500.0)</f>
        <v>500</v>
      </c>
      <c r="U92" s="675">
        <f>IFERROR(__xludf.DUMMYFUNCTION("""COMPUTED_VALUE"""),10.046666666666667)</f>
        <v>10.04666667</v>
      </c>
      <c r="V92" s="675">
        <f>IFERROR(__xludf.DUMMYFUNCTION("""COMPUTED_VALUE"""),0.0)</f>
        <v>0</v>
      </c>
      <c r="W92" s="675">
        <f>IFERROR(__xludf.DUMMYFUNCTION("""COMPUTED_VALUE"""),0.0)</f>
        <v>0</v>
      </c>
      <c r="X92" s="675">
        <f>IFERROR(__xludf.DUMMYFUNCTION("""COMPUTED_VALUE"""),0.0)</f>
        <v>0</v>
      </c>
      <c r="Y92" s="674">
        <f>IFERROR(__xludf.DUMMYFUNCTION("""COMPUTED_VALUE"""),240.0)</f>
        <v>240</v>
      </c>
      <c r="Z92" s="675">
        <f>IFERROR(__xludf.DUMMYFUNCTION("""COMPUTED_VALUE"""),4.794999999999999)</f>
        <v>4.795</v>
      </c>
      <c r="AA92" s="675">
        <f>IFERROR(__xludf.DUMMYFUNCTION("""COMPUTED_VALUE"""),0.0)</f>
        <v>0</v>
      </c>
      <c r="AB92" s="673">
        <f>IFERROR(__xludf.DUMMYFUNCTION("""COMPUTED_VALUE"""),-0.45666666666666667)</f>
        <v>-0.4566666667</v>
      </c>
      <c r="AC92" s="675">
        <f>IFERROR(__xludf.DUMMYFUNCTION("""COMPUTED_VALUE"""),0.0)</f>
        <v>0</v>
      </c>
      <c r="AD92" s="674">
        <f>IFERROR(__xludf.DUMMYFUNCTION("""COMPUTED_VALUE"""),1455.0)</f>
        <v>1455</v>
      </c>
      <c r="AE92" s="675">
        <f>IFERROR(__xludf.DUMMYFUNCTION("""COMPUTED_VALUE"""),29.053368311538044)</f>
        <v>29.05336831</v>
      </c>
      <c r="AF92" s="675">
        <f>IFERROR(__xludf.DUMMYFUNCTION("""COMPUTED_VALUE"""),12.5)</f>
        <v>12.5</v>
      </c>
      <c r="AG92" s="675">
        <f>IFERROR(__xludf.DUMMYFUNCTION("""COMPUTED_VALUE"""),4.800000000000001)</f>
        <v>4.8</v>
      </c>
      <c r="AH92" s="675">
        <f>IFERROR(__xludf.DUMMYFUNCTION("""COMPUTED_VALUE"""),0.0)</f>
        <v>0</v>
      </c>
      <c r="AI92" s="675">
        <f>IFERROR(__xludf.DUMMYFUNCTION("""COMPUTED_VALUE"""),3.1999999999999993)</f>
        <v>3.2</v>
      </c>
      <c r="AJ92" s="675">
        <f>IFERROR(__xludf.DUMMYFUNCTION("""COMPUTED_VALUE"""),25.853368311538045)</f>
        <v>25.85336831</v>
      </c>
      <c r="AK92" s="139">
        <f>IFERROR(__xludf.DUMMYFUNCTION("""COMPUTED_VALUE"""),1.0)</f>
        <v>1</v>
      </c>
      <c r="AL92" s="674">
        <f>IFERROR(__xludf.DUMMYFUNCTION("""COMPUTED_VALUE"""),1370.0)</f>
        <v>1370</v>
      </c>
      <c r="AM92" s="688">
        <f>IFERROR(__xludf.DUMMYFUNCTION("""COMPUTED_VALUE"""),10445.168523415872)</f>
        <v>10445.16852</v>
      </c>
      <c r="AN92" s="675">
        <f>IFERROR(__xludf.DUMMYFUNCTION("""COMPUTED_VALUE"""),9.133333333333333)</f>
        <v>9.133333333</v>
      </c>
      <c r="AO92" s="675">
        <f>IFERROR(__xludf.DUMMYFUNCTION("""COMPUTED_VALUE"""),4.566666666666666)</f>
        <v>4.566666667</v>
      </c>
      <c r="AP92" s="674">
        <f>IFERROR(__xludf.DUMMYFUNCTION("""COMPUTED_VALUE"""),1610.0)</f>
        <v>1610</v>
      </c>
      <c r="AQ92" s="673">
        <f>IFERROR(__xludf.DUMMYFUNCTION("""COMPUTED_VALUE"""),-0.2)</f>
        <v>-0.2</v>
      </c>
      <c r="AR92" s="673">
        <f>IFERROR(__xludf.DUMMYFUNCTION("""COMPUTED_VALUE"""),0.0)</f>
        <v>0</v>
      </c>
      <c r="AS92" s="673">
        <f>IFERROR(__xludf.DUMMYFUNCTION("""COMPUTED_VALUE"""),0.0)</f>
        <v>0</v>
      </c>
      <c r="AT92" s="673">
        <f>IFERROR(__xludf.DUMMYFUNCTION("""COMPUTED_VALUE"""),0.0)</f>
        <v>0</v>
      </c>
      <c r="AU92" s="673">
        <f>IFERROR(__xludf.DUMMYFUNCTION("""COMPUTED_VALUE"""),0.0)</f>
        <v>0</v>
      </c>
      <c r="AV92" s="673">
        <f>IFERROR(__xludf.DUMMYFUNCTION("""COMPUTED_VALUE"""),0.05)</f>
        <v>0.05</v>
      </c>
      <c r="AW92" s="139"/>
      <c r="AX92" s="674">
        <f>IFERROR(__xludf.DUMMYFUNCTION("""COMPUTED_VALUE"""),1770.0)</f>
        <v>1770</v>
      </c>
      <c r="AY92" s="688">
        <f>IFERROR(__xludf.DUMMYFUNCTION("""COMPUTED_VALUE"""),13496.619771128535)</f>
        <v>13496.61977</v>
      </c>
      <c r="AZ92" s="674">
        <f>IFERROR(__xludf.DUMMYFUNCTION("""COMPUTED_VALUE"""),1770.0)</f>
        <v>1770</v>
      </c>
      <c r="BA92" s="688">
        <f>IFERROR(__xludf.DUMMYFUNCTION("""COMPUTED_VALUE"""),13496.619771128535)</f>
        <v>13496.61977</v>
      </c>
      <c r="BB92" s="688">
        <f>IFERROR(__xludf.DUMMYFUNCTION("""COMPUTED_VALUE"""),21594.591633805656)</f>
        <v>21594.59163</v>
      </c>
      <c r="BC92" s="688" t="str">
        <f>IFERROR(__xludf.DUMMYFUNCTION("""COMPUTED_VALUE"""),"#VALUE!")</f>
        <v>#VALUE!</v>
      </c>
      <c r="BD92" s="688" t="str">
        <f>IFERROR(__xludf.DUMMYFUNCTION("""COMPUTED_VALUE"""),"#VALUE!")</f>
        <v>#VALUE!</v>
      </c>
      <c r="BE92" s="674">
        <f>IFERROR(__xludf.DUMMYFUNCTION("""COMPUTED_VALUE"""),1770.0)</f>
        <v>1770</v>
      </c>
      <c r="BF92" s="674">
        <f>IFERROR(__xludf.DUMMYFUNCTION("""COMPUTED_VALUE"""),1070.0)</f>
        <v>1070</v>
      </c>
      <c r="BG92" s="673">
        <f>IFERROR(__xludf.DUMMYFUNCTION("""COMPUTED_VALUE"""),0.0)</f>
        <v>0</v>
      </c>
      <c r="BH92" s="673">
        <f>IFERROR(__xludf.DUMMYFUNCTION("""COMPUTED_VALUE"""),0.3)</f>
        <v>0.3</v>
      </c>
      <c r="BI92" s="673">
        <f>IFERROR(__xludf.DUMMYFUNCTION("""COMPUTED_VALUE"""),0.1)</f>
        <v>0.1</v>
      </c>
      <c r="BJ92" s="673">
        <f>IFERROR(__xludf.DUMMYFUNCTION("""COMPUTED_VALUE"""),0.25)</f>
        <v>0.25</v>
      </c>
      <c r="BK92" s="673">
        <f>IFERROR(__xludf.DUMMYFUNCTION("""COMPUTED_VALUE"""),0.0)</f>
        <v>0</v>
      </c>
      <c r="BL92" s="673">
        <f>IFERROR(__xludf.DUMMYFUNCTION("""COMPUTED_VALUE"""),0.0)</f>
        <v>0</v>
      </c>
      <c r="BM92" s="674">
        <f>IFERROR(__xludf.DUMMYFUNCTION("""COMPUTED_VALUE"""),50.0)</f>
        <v>50</v>
      </c>
      <c r="BN92" s="674">
        <f>IFERROR(__xludf.DUMMYFUNCTION("""COMPUTED_VALUE"""),50.0)</f>
        <v>50</v>
      </c>
      <c r="BO92" s="675">
        <f>IFERROR(__xludf.DUMMYFUNCTION("""COMPUTED_VALUE"""),0.0)</f>
        <v>0</v>
      </c>
      <c r="BP92" s="675">
        <f>IFERROR(__xludf.DUMMYFUNCTION("""COMPUTED_VALUE"""),1.0)</f>
        <v>1</v>
      </c>
      <c r="BQ92" s="139" t="str">
        <f>IFERROR(__xludf.DUMMYFUNCTION("""COMPUTED_VALUE"""),"(近距離)武器・道具・特殊攻撃")</f>
        <v>(近距離)武器・道具・特殊攻撃</v>
      </c>
      <c r="BR92" s="139">
        <f>IFERROR(__xludf.DUMMYFUNCTION("""COMPUTED_VALUE"""),2.0)</f>
        <v>2</v>
      </c>
      <c r="BS92" s="139">
        <f>IFERROR(__xludf.DUMMYFUNCTION("""COMPUTED_VALUE"""),35.0)</f>
        <v>35</v>
      </c>
      <c r="BT92" s="139">
        <f>IFERROR(__xludf.DUMMYFUNCTION("""COMPUTED_VALUE"""),0.29)</f>
        <v>0.29</v>
      </c>
      <c r="BU92" s="139">
        <f>IFERROR(__xludf.DUMMYFUNCTION("""COMPUTED_VALUE"""),0.0)</f>
        <v>0</v>
      </c>
      <c r="BV92" s="139" t="str">
        <f>IFERROR(__xludf.DUMMYFUNCTION("""COMPUTED_VALUE"""),"普通")</f>
        <v>普通</v>
      </c>
      <c r="BW92" s="139" t="str">
        <f>IFERROR(__xludf.DUMMYFUNCTION("""COMPUTED_VALUE"""),"体力条件強化(以上/攻撃)")</f>
        <v>体力条件強化(以上/攻撃)</v>
      </c>
      <c r="BX92" s="139" t="str">
        <f>IFERROR(__xludf.DUMMYFUNCTION("""COMPUTED_VALUE"""),"HP50/20")</f>
        <v>HP50/20</v>
      </c>
      <c r="BY92" s="139">
        <f>IFERROR(__xludf.DUMMYFUNCTION("""COMPUTED_VALUE"""),0.0)</f>
        <v>0</v>
      </c>
      <c r="BZ92" s="139" t="str">
        <f>IFERROR(__xludf.DUMMYFUNCTION("""COMPUTED_VALUE"""),"-")</f>
        <v>-</v>
      </c>
      <c r="CA92" s="139" t="str">
        <f>IFERROR(__xludf.DUMMYFUNCTION("""COMPUTED_VALUE"""),"-")</f>
        <v>-</v>
      </c>
      <c r="CB92" s="139" t="str">
        <f>IFERROR(__xludf.DUMMYFUNCTION("""COMPUTED_VALUE"""),"-")</f>
        <v>-</v>
      </c>
      <c r="CC92" s="139" t="str">
        <f>IFERROR(__xludf.DUMMYFUNCTION("""COMPUTED_VALUE"""),"近距離")</f>
        <v>近距離</v>
      </c>
      <c r="CD92" s="139" t="str">
        <f>IFERROR(__xludf.DUMMYFUNCTION("""COMPUTED_VALUE"""),"単体")</f>
        <v>単体</v>
      </c>
      <c r="CE92" s="139">
        <f>IFERROR(__xludf.DUMMYFUNCTION("""COMPUTED_VALUE"""),1.0)</f>
        <v>1</v>
      </c>
      <c r="CF92" s="139">
        <f>IFERROR(__xludf.DUMMYFUNCTION("""COMPUTED_VALUE"""),0.3)</f>
        <v>0.3</v>
      </c>
      <c r="CG92" s="139" t="str">
        <f>IFERROR(__xludf.DUMMYFUNCTION("""COMPUTED_VALUE"""),"自身")</f>
        <v>自身</v>
      </c>
      <c r="CH92" s="139" t="str">
        <f>IFERROR(__xludf.DUMMYFUNCTION("""COMPUTED_VALUE"""),"自身")</f>
        <v>自身</v>
      </c>
      <c r="CI92" s="139" t="str">
        <f>IFERROR(__xludf.DUMMYFUNCTION("""COMPUTED_VALUE"""),"該当なし")</f>
        <v>該当なし</v>
      </c>
      <c r="CJ92" s="139" t="str">
        <f>IFERROR(__xludf.DUMMYFUNCTION("""COMPUTED_VALUE"""),"自身のみ")</f>
        <v>自身のみ</v>
      </c>
      <c r="CK92" s="139" t="str">
        <f>IFERROR(__xludf.DUMMYFUNCTION("""COMPUTED_VALUE"""),"自身")</f>
        <v>自身</v>
      </c>
      <c r="CL92" s="139" t="str">
        <f>IFERROR(__xludf.DUMMYFUNCTION("""COMPUTED_VALUE"""),"All")</f>
        <v>All</v>
      </c>
      <c r="CM92" s="139" t="str">
        <f>IFERROR(__xludf.DUMMYFUNCTION("""COMPUTED_VALUE"""),"All")</f>
        <v>All</v>
      </c>
      <c r="CN92" s="675">
        <f>IFERROR(__xludf.DUMMYFUNCTION("""COMPUTED_VALUE"""),29.053368311538044)</f>
        <v>29.05336831</v>
      </c>
      <c r="CO92" s="139" t="str">
        <f>IFERROR(__xludf.DUMMYFUNCTION("""COMPUTED_VALUE"""),"-")</f>
        <v>-</v>
      </c>
      <c r="CP92" s="139" t="str">
        <f>IFERROR(__xludf.DUMMYFUNCTION("""COMPUTED_VALUE"""),"-")</f>
        <v>-</v>
      </c>
      <c r="CQ92" s="139" t="str">
        <f>IFERROR(__xludf.DUMMYFUNCTION("""COMPUTED_VALUE"""),"-")</f>
        <v>-</v>
      </c>
      <c r="CR92" s="139" t="str">
        <f>IFERROR(__xludf.DUMMYFUNCTION("""COMPUTED_VALUE"""),"※特殊調整")</f>
        <v>※特殊調整</v>
      </c>
      <c r="CS92" s="673" t="str">
        <f>IFERROR(__xludf.DUMMYFUNCTION("""COMPUTED_VALUE"""),"攻撃力UP(自身)")</f>
        <v>攻撃力UP(自身)</v>
      </c>
      <c r="CT92" s="139" t="str">
        <f>IFERROR(__xludf.DUMMYFUNCTION("""COMPUTED_VALUE"""),"※特殊調整")</f>
        <v>※特殊調整</v>
      </c>
      <c r="CU92" s="139" t="str">
        <f>IFERROR(__xludf.DUMMYFUNCTION("""COMPUTED_VALUE"""),"自身")</f>
        <v>自身</v>
      </c>
      <c r="CV92" s="139" t="str">
        <f>IFERROR(__xludf.DUMMYFUNCTION("""COMPUTED_VALUE"""),"All")</f>
        <v>All</v>
      </c>
      <c r="CW92" s="139" t="str">
        <f>IFERROR(__xludf.DUMMYFUNCTION("""COMPUTED_VALUE"""),"All")</f>
        <v>All</v>
      </c>
      <c r="CX92" s="674">
        <f>IFERROR(__xludf.DUMMYFUNCTION("""COMPUTED_VALUE"""),60.0)</f>
        <v>60</v>
      </c>
      <c r="CY92" s="675">
        <f>IFERROR(__xludf.DUMMYFUNCTION("""COMPUTED_VALUE"""),3.2)</f>
        <v>3.2</v>
      </c>
      <c r="CZ92" s="688" t="str">
        <f>IFERROR(__xludf.DUMMYFUNCTION("""COMPUTED_VALUE"""),"-")</f>
        <v>-</v>
      </c>
      <c r="DA92" s="688">
        <f>IFERROR(__xludf.DUMMYFUNCTION("""COMPUTED_VALUE"""),0.0)</f>
        <v>0</v>
      </c>
      <c r="DB92" s="688">
        <f>IFERROR(__xludf.DUMMYFUNCTION("""COMPUTED_VALUE"""),0.0)</f>
        <v>0</v>
      </c>
      <c r="DC92" s="673" t="str">
        <f>IFERROR(__xludf.DUMMYFUNCTION("""COMPUTED_VALUE"""),"-")</f>
        <v>-</v>
      </c>
      <c r="DD92" s="673" t="str">
        <f>IFERROR(__xludf.DUMMYFUNCTION("""COMPUTED_VALUE"""),"-")</f>
        <v>-</v>
      </c>
      <c r="DE92" s="139" t="str">
        <f>IFERROR(__xludf.DUMMYFUNCTION("""COMPUTED_VALUE"""),"-")</f>
        <v>-</v>
      </c>
      <c r="DF92" s="139" t="str">
        <f>IFERROR(__xludf.DUMMYFUNCTION("""COMPUTED_VALUE"""),"-")</f>
        <v>-</v>
      </c>
      <c r="DG92" s="139" t="str">
        <f>IFERROR(__xludf.DUMMYFUNCTION("""COMPUTED_VALUE"""),"-")</f>
        <v>-</v>
      </c>
      <c r="DH92" s="139" t="str">
        <f>IFERROR(__xludf.DUMMYFUNCTION("""COMPUTED_VALUE"""),"-")</f>
        <v>-</v>
      </c>
      <c r="DI92" s="139" t="str">
        <f>IFERROR(__xludf.DUMMYFUNCTION("""COMPUTED_VALUE"""),"-")</f>
        <v>-</v>
      </c>
      <c r="DJ92" s="139" t="str">
        <f>IFERROR(__xludf.DUMMYFUNCTION("""COMPUTED_VALUE"""),"-")</f>
        <v>-</v>
      </c>
    </row>
    <row r="93">
      <c r="A93" s="139" t="str">
        <f>IFERROR(__xludf.DUMMYFUNCTION("""COMPUTED_VALUE"""),"【推しの子】")</f>
        <v>【推しの子】</v>
      </c>
      <c r="B93" s="139" t="str">
        <f>IFERROR(__xludf.DUMMYFUNCTION("""COMPUTED_VALUE"""),"有馬 かな")</f>
        <v>有馬 かな</v>
      </c>
      <c r="C93" s="139" t="str">
        <f>IFERROR(__xludf.DUMMYFUNCTION("""COMPUTED_VALUE"""),"chara_osh_00401")</f>
        <v>chara_osh_00401</v>
      </c>
      <c r="D93" s="139" t="str">
        <f>IFERROR(__xludf.DUMMYFUNCTION("""COMPUTED_VALUE"""),"PremiumSSR")</f>
        <v>PremiumSSR</v>
      </c>
      <c r="E93" s="139" t="str">
        <f>IFERROR(__xludf.DUMMYFUNCTION("""COMPUTED_VALUE"""),"緑")</f>
        <v>緑</v>
      </c>
      <c r="F93" s="139" t="str">
        <f>IFERROR(__xludf.DUMMYFUNCTION("""COMPUTED_VALUE"""),"テクニカル")</f>
        <v>テクニカル</v>
      </c>
      <c r="G93" s="139" t="str">
        <f>IFERROR(__xludf.DUMMYFUNCTION("""COMPUTED_VALUE"""),"近距離")</f>
        <v>近距離</v>
      </c>
      <c r="H93" s="139" t="str">
        <f>IFERROR(__xludf.DUMMYFUNCTION("""COMPUTED_VALUE"""),"dageki_2")</f>
        <v>dageki_2</v>
      </c>
      <c r="I93" s="139" t="str">
        <f>IFERROR(__xludf.DUMMYFUNCTION("""COMPUTED_VALUE"""),"dageki_2")</f>
        <v>dageki_2</v>
      </c>
      <c r="J93" s="139" t="str">
        <f>IFERROR(__xludf.DUMMYFUNCTION("""COMPUTED_VALUE"""),"202512020_推しの子＆年末＆正月")</f>
        <v>202512020_推しの子＆年末＆正月</v>
      </c>
      <c r="K93" s="139" t="str">
        <f>IFERROR(__xludf.DUMMYFUNCTION("""COMPUTED_VALUE"""),"【推しの子】いいジャン祭")</f>
        <v>【推しの子】いいジャン祭</v>
      </c>
      <c r="L93" s="687" t="str">
        <f>IFERROR(__xludf.DUMMYFUNCTION("""COMPUTED_VALUE"""),"※")</f>
        <v>※</v>
      </c>
      <c r="M93" s="674">
        <f>IFERROR(__xludf.DUMMYFUNCTION("""COMPUTED_VALUE"""),370.0)</f>
        <v>370</v>
      </c>
      <c r="N93" s="139">
        <f>IFERROR(__xludf.DUMMYFUNCTION("""COMPUTED_VALUE"""),200.0)</f>
        <v>200</v>
      </c>
      <c r="O93" s="139" t="str">
        <f>IFERROR(__xludf.DUMMYFUNCTION("""COMPUTED_VALUE"""),"低コスト")</f>
        <v>低コスト</v>
      </c>
      <c r="P93" s="139">
        <f>IFERROR(__xludf.DUMMYFUNCTION("""COMPUTED_VALUE"""),125.0)</f>
        <v>125</v>
      </c>
      <c r="Q93" s="675">
        <f>IFERROR(__xludf.DUMMYFUNCTION("""COMPUTED_VALUE"""),30.0)</f>
        <v>30</v>
      </c>
      <c r="R93" s="675">
        <f>IFERROR(__xludf.DUMMYFUNCTION("""COMPUTED_VALUE"""),15.0)</f>
        <v>15</v>
      </c>
      <c r="S93" s="675">
        <f>IFERROR(__xludf.DUMMYFUNCTION("""COMPUTED_VALUE"""),6.75)</f>
        <v>6.75</v>
      </c>
      <c r="T93" s="674">
        <f>IFERROR(__xludf.DUMMYFUNCTION("""COMPUTED_VALUE"""),275.0)</f>
        <v>275</v>
      </c>
      <c r="U93" s="675">
        <f>IFERROR(__xludf.DUMMYFUNCTION("""COMPUTED_VALUE"""),5.533333333333334)</f>
        <v>5.533333333</v>
      </c>
      <c r="V93" s="675">
        <f>IFERROR(__xludf.DUMMYFUNCTION("""COMPUTED_VALUE"""),0.4)</f>
        <v>0.4</v>
      </c>
      <c r="W93" s="675">
        <f>IFERROR(__xludf.DUMMYFUNCTION("""COMPUTED_VALUE"""),0.0)</f>
        <v>0</v>
      </c>
      <c r="X93" s="675">
        <f>IFERROR(__xludf.DUMMYFUNCTION("""COMPUTED_VALUE"""),0.0)</f>
        <v>0</v>
      </c>
      <c r="Y93" s="674">
        <f>IFERROR(__xludf.DUMMYFUNCTION("""COMPUTED_VALUE"""),225.0)</f>
        <v>225</v>
      </c>
      <c r="Z93" s="675">
        <f>IFERROR(__xludf.DUMMYFUNCTION("""COMPUTED_VALUE"""),4.483333333333333)</f>
        <v>4.483333333</v>
      </c>
      <c r="AA93" s="675">
        <f>IFERROR(__xludf.DUMMYFUNCTION("""COMPUTED_VALUE"""),1.8)</f>
        <v>1.8</v>
      </c>
      <c r="AB93" s="673">
        <f>IFERROR(__xludf.DUMMYFUNCTION("""COMPUTED_VALUE"""),0.0)</f>
        <v>0</v>
      </c>
      <c r="AC93" s="675">
        <f>IFERROR(__xludf.DUMMYFUNCTION("""COMPUTED_VALUE"""),0.0)</f>
        <v>0</v>
      </c>
      <c r="AD93" s="674">
        <f>IFERROR(__xludf.DUMMYFUNCTION("""COMPUTED_VALUE"""),640.0)</f>
        <v>640</v>
      </c>
      <c r="AE93" s="675">
        <f>IFERROR(__xludf.DUMMYFUNCTION("""COMPUTED_VALUE"""),12.751388774085706)</f>
        <v>12.75138877</v>
      </c>
      <c r="AF93" s="675">
        <f>IFERROR(__xludf.DUMMYFUNCTION("""COMPUTED_VALUE"""),0.9)</f>
        <v>0.9</v>
      </c>
      <c r="AG93" s="675">
        <f>IFERROR(__xludf.DUMMYFUNCTION("""COMPUTED_VALUE"""),3.4499999999999997)</f>
        <v>3.45</v>
      </c>
      <c r="AH93" s="675">
        <f>IFERROR(__xludf.DUMMYFUNCTION("""COMPUTED_VALUE"""),0.0)</f>
        <v>0</v>
      </c>
      <c r="AI93" s="675">
        <f>IFERROR(__xludf.DUMMYFUNCTION("""COMPUTED_VALUE"""),2.299999999999999)</f>
        <v>2.3</v>
      </c>
      <c r="AJ93" s="675">
        <f>IFERROR(__xludf.DUMMYFUNCTION("""COMPUTED_VALUE"""),10.451388774085707)</f>
        <v>10.45138877</v>
      </c>
      <c r="AK93" s="139">
        <f>IFERROR(__xludf.DUMMYFUNCTION("""COMPUTED_VALUE"""),1.0)</f>
        <v>1</v>
      </c>
      <c r="AL93" s="674">
        <f>IFERROR(__xludf.DUMMYFUNCTION("""COMPUTED_VALUE"""),700.0)</f>
        <v>700</v>
      </c>
      <c r="AM93" s="688">
        <f>IFERROR(__xludf.DUMMYFUNCTION("""COMPUTED_VALUE"""),5336.879683497161)</f>
        <v>5336.879683</v>
      </c>
      <c r="AN93" s="675">
        <f>IFERROR(__xludf.DUMMYFUNCTION("""COMPUTED_VALUE"""),4.666666666666667)</f>
        <v>4.666666667</v>
      </c>
      <c r="AO93" s="675">
        <f>IFERROR(__xludf.DUMMYFUNCTION("""COMPUTED_VALUE"""),2.3333333333333335)</f>
        <v>2.333333333</v>
      </c>
      <c r="AP93" s="674">
        <f>IFERROR(__xludf.DUMMYFUNCTION("""COMPUTED_VALUE"""),1110.0)</f>
        <v>1110</v>
      </c>
      <c r="AQ93" s="673">
        <f>IFERROR(__xludf.DUMMYFUNCTION("""COMPUTED_VALUE"""),-0.3)</f>
        <v>-0.3</v>
      </c>
      <c r="AR93" s="673">
        <f>IFERROR(__xludf.DUMMYFUNCTION("""COMPUTED_VALUE"""),0.08)</f>
        <v>0.08</v>
      </c>
      <c r="AS93" s="673">
        <f>IFERROR(__xludf.DUMMYFUNCTION("""COMPUTED_VALUE"""),0.0)</f>
        <v>0</v>
      </c>
      <c r="AT93" s="673">
        <f>IFERROR(__xludf.DUMMYFUNCTION("""COMPUTED_VALUE"""),-0.15)</f>
        <v>-0.15</v>
      </c>
      <c r="AU93" s="673">
        <f>IFERROR(__xludf.DUMMYFUNCTION("""COMPUTED_VALUE"""),0.0)</f>
        <v>0</v>
      </c>
      <c r="AV93" s="673">
        <f>IFERROR(__xludf.DUMMYFUNCTION("""COMPUTED_VALUE"""),0.0)</f>
        <v>0</v>
      </c>
      <c r="AW93" s="139"/>
      <c r="AX93" s="674">
        <f>IFERROR(__xludf.DUMMYFUNCTION("""COMPUTED_VALUE"""),870.0)</f>
        <v>870</v>
      </c>
      <c r="AY93" s="688">
        <f>IFERROR(__xludf.DUMMYFUNCTION("""COMPUTED_VALUE"""),6633.014463775042)</f>
        <v>6633.014464</v>
      </c>
      <c r="AZ93" s="674">
        <f>IFERROR(__xludf.DUMMYFUNCTION("""COMPUTED_VALUE"""),870.0)</f>
        <v>870</v>
      </c>
      <c r="BA93" s="688">
        <f>IFERROR(__xludf.DUMMYFUNCTION("""COMPUTED_VALUE"""),6633.014463775042)</f>
        <v>6633.014464</v>
      </c>
      <c r="BB93" s="688" t="str">
        <f>IFERROR(__xludf.DUMMYFUNCTION("""COMPUTED_VALUE"""),"-")</f>
        <v>-</v>
      </c>
      <c r="BC93" s="688" t="str">
        <f>IFERROR(__xludf.DUMMYFUNCTION("""COMPUTED_VALUE"""),"#VALUE!")</f>
        <v>#VALUE!</v>
      </c>
      <c r="BD93" s="688" t="str">
        <f>IFERROR(__xludf.DUMMYFUNCTION("""COMPUTED_VALUE"""),"#VALUE!")</f>
        <v>#VALUE!</v>
      </c>
      <c r="BE93" s="674">
        <f>IFERROR(__xludf.DUMMYFUNCTION("""COMPUTED_VALUE"""),870.0)</f>
        <v>870</v>
      </c>
      <c r="BF93" s="674">
        <f>IFERROR(__xludf.DUMMYFUNCTION("""COMPUTED_VALUE"""),740.0)</f>
        <v>740</v>
      </c>
      <c r="BG93" s="673">
        <f>IFERROR(__xludf.DUMMYFUNCTION("""COMPUTED_VALUE"""),0.15)</f>
        <v>0.15</v>
      </c>
      <c r="BH93" s="673">
        <f>IFERROR(__xludf.DUMMYFUNCTION("""COMPUTED_VALUE"""),0.1)</f>
        <v>0.1</v>
      </c>
      <c r="BI93" s="673">
        <f>IFERROR(__xludf.DUMMYFUNCTION("""COMPUTED_VALUE"""),0.0)</f>
        <v>0</v>
      </c>
      <c r="BJ93" s="673">
        <f>IFERROR(__xludf.DUMMYFUNCTION("""COMPUTED_VALUE"""),0.0)</f>
        <v>0</v>
      </c>
      <c r="BK93" s="673">
        <f>IFERROR(__xludf.DUMMYFUNCTION("""COMPUTED_VALUE"""),-0.08)</f>
        <v>-0.08</v>
      </c>
      <c r="BL93" s="673">
        <f>IFERROR(__xludf.DUMMYFUNCTION("""COMPUTED_VALUE"""),0.0)</f>
        <v>0</v>
      </c>
      <c r="BM93" s="674">
        <f>IFERROR(__xludf.DUMMYFUNCTION("""COMPUTED_VALUE"""),50.0)</f>
        <v>50</v>
      </c>
      <c r="BN93" s="674">
        <f>IFERROR(__xludf.DUMMYFUNCTION("""COMPUTED_VALUE"""),50.0)</f>
        <v>50</v>
      </c>
      <c r="BO93" s="675">
        <f>IFERROR(__xludf.DUMMYFUNCTION("""COMPUTED_VALUE"""),0.0)</f>
        <v>0</v>
      </c>
      <c r="BP93" s="675">
        <f>IFERROR(__xludf.DUMMYFUNCTION("""COMPUTED_VALUE"""),1.0)</f>
        <v>1</v>
      </c>
      <c r="BQ93" s="139" t="str">
        <f>IFERROR(__xludf.DUMMYFUNCTION("""COMPUTED_VALUE"""),"(近距離)武器・道具・特殊攻撃")</f>
        <v>(近距離)武器・道具・特殊攻撃</v>
      </c>
      <c r="BR93" s="139">
        <f>IFERROR(__xludf.DUMMYFUNCTION("""COMPUTED_VALUE"""),3.0)</f>
        <v>3</v>
      </c>
      <c r="BS93" s="139">
        <f>IFERROR(__xludf.DUMMYFUNCTION("""COMPUTED_VALUE"""),30.0)</f>
        <v>30</v>
      </c>
      <c r="BT93" s="139">
        <f>IFERROR(__xludf.DUMMYFUNCTION("""COMPUTED_VALUE"""),0.32)</f>
        <v>0.32</v>
      </c>
      <c r="BU93" s="139">
        <f>IFERROR(__xludf.DUMMYFUNCTION("""COMPUTED_VALUE"""),0.0)</f>
        <v>0</v>
      </c>
      <c r="BV93" s="139" t="str">
        <f>IFERROR(__xludf.DUMMYFUNCTION("""COMPUTED_VALUE"""),"普通-遅い")</f>
        <v>普通-遅い</v>
      </c>
      <c r="BW93" s="139" t="str">
        <f>IFERROR(__xludf.DUMMYFUNCTION("""COMPUTED_VALUE"""),"火傷ダメージ軽減")</f>
        <v>火傷ダメージ軽減</v>
      </c>
      <c r="BX93" s="139">
        <f>IFERROR(__xludf.DUMMYFUNCTION("""COMPUTED_VALUE"""),40.0)</f>
        <v>40</v>
      </c>
      <c r="BY93" s="139">
        <f>IFERROR(__xludf.DUMMYFUNCTION("""COMPUTED_VALUE"""),0.0)</f>
        <v>0</v>
      </c>
      <c r="BZ93" s="139" t="str">
        <f>IFERROR(__xludf.DUMMYFUNCTION("""COMPUTED_VALUE"""),"-")</f>
        <v>-</v>
      </c>
      <c r="CA93" s="139" t="str">
        <f>IFERROR(__xludf.DUMMYFUNCTION("""COMPUTED_VALUE"""),"-")</f>
        <v>-</v>
      </c>
      <c r="CB93" s="139" t="str">
        <f>IFERROR(__xludf.DUMMYFUNCTION("""COMPUTED_VALUE"""),"-")</f>
        <v>-</v>
      </c>
      <c r="CC93" s="139" t="str">
        <f>IFERROR(__xludf.DUMMYFUNCTION("""COMPUTED_VALUE"""),"近距離")</f>
        <v>近距離</v>
      </c>
      <c r="CD93" s="139" t="str">
        <f>IFERROR(__xludf.DUMMYFUNCTION("""COMPUTED_VALUE"""),"単体")</f>
        <v>単体</v>
      </c>
      <c r="CE93" s="139">
        <f>IFERROR(__xludf.DUMMYFUNCTION("""COMPUTED_VALUE"""),1.0)</f>
        <v>1</v>
      </c>
      <c r="CF93" s="139">
        <f>IFERROR(__xludf.DUMMYFUNCTION("""COMPUTED_VALUE"""),0.33)</f>
        <v>0.33</v>
      </c>
      <c r="CG93" s="139" t="str">
        <f>IFERROR(__xludf.DUMMYFUNCTION("""COMPUTED_VALUE"""),"近距離")</f>
        <v>近距離</v>
      </c>
      <c r="CH93" s="139" t="str">
        <f>IFERROR(__xludf.DUMMYFUNCTION("""COMPUTED_VALUE"""),"範囲(中)")</f>
        <v>範囲(中)</v>
      </c>
      <c r="CI93" s="139">
        <f>IFERROR(__xludf.DUMMYFUNCTION("""COMPUTED_VALUE"""),0.65)</f>
        <v>0.65</v>
      </c>
      <c r="CJ93" s="139">
        <f>IFERROR(__xludf.DUMMYFUNCTION("""COMPUTED_VALUE"""),0.53)</f>
        <v>0.53</v>
      </c>
      <c r="CK93" s="139" t="str">
        <f>IFERROR(__xludf.DUMMYFUNCTION("""COMPUTED_VALUE"""),"敵")</f>
        <v>敵</v>
      </c>
      <c r="CL93" s="139" t="str">
        <f>IFERROR(__xludf.DUMMYFUNCTION("""COMPUTED_VALUE"""),"All")</f>
        <v>All</v>
      </c>
      <c r="CM93" s="139" t="str">
        <f>IFERROR(__xludf.DUMMYFUNCTION("""COMPUTED_VALUE"""),"All")</f>
        <v>All</v>
      </c>
      <c r="CN93" s="675">
        <f>IFERROR(__xludf.DUMMYFUNCTION("""COMPUTED_VALUE"""),12.751388774085706)</f>
        <v>12.75138877</v>
      </c>
      <c r="CO93" s="139" t="str">
        <f>IFERROR(__xludf.DUMMYFUNCTION("""COMPUTED_VALUE"""),"-")</f>
        <v>-</v>
      </c>
      <c r="CP93" s="139" t="str">
        <f>IFERROR(__xludf.DUMMYFUNCTION("""COMPUTED_VALUE"""),"-")</f>
        <v>-</v>
      </c>
      <c r="CQ93" s="139" t="str">
        <f>IFERROR(__xludf.DUMMYFUNCTION("""COMPUTED_VALUE"""),"-")</f>
        <v>-</v>
      </c>
      <c r="CR93" s="139"/>
      <c r="CS93" s="673" t="str">
        <f>IFERROR(__xludf.DUMMYFUNCTION("""COMPUTED_VALUE"""),"攻撃(必殺)")</f>
        <v>攻撃(必殺)</v>
      </c>
      <c r="CT93" s="139" t="str">
        <f>IFERROR(__xludf.DUMMYFUNCTION("""COMPUTED_VALUE"""),"-")</f>
        <v>-</v>
      </c>
      <c r="CU93" s="139" t="str">
        <f>IFERROR(__xludf.DUMMYFUNCTION("""COMPUTED_VALUE"""),"敵")</f>
        <v>敵</v>
      </c>
      <c r="CV93" s="139" t="str">
        <f>IFERROR(__xludf.DUMMYFUNCTION("""COMPUTED_VALUE"""),"All")</f>
        <v>All</v>
      </c>
      <c r="CW93" s="139" t="str">
        <f>IFERROR(__xludf.DUMMYFUNCTION("""COMPUTED_VALUE"""),"All")</f>
        <v>All</v>
      </c>
      <c r="CX93" s="674">
        <f>IFERROR(__xludf.DUMMYFUNCTION("""COMPUTED_VALUE"""),117.0)</f>
        <v>117</v>
      </c>
      <c r="CY93" s="675" t="str">
        <f>IFERROR(__xludf.DUMMYFUNCTION("""COMPUTED_VALUE"""),"-")</f>
        <v>-</v>
      </c>
      <c r="CZ93" s="688">
        <f>IFERROR(__xludf.DUMMYFUNCTION("""COMPUTED_VALUE"""),7761.0)</f>
        <v>7761</v>
      </c>
      <c r="DA93" s="688">
        <f>IFERROR(__xludf.DUMMYFUNCTION("""COMPUTED_VALUE"""),650.840356455224)</f>
        <v>650.8403565</v>
      </c>
      <c r="DB93" s="688">
        <f>IFERROR(__xludf.DUMMYFUNCTION("""COMPUTED_VALUE"""),3254.20178227612)</f>
        <v>3254.201782</v>
      </c>
      <c r="DC93" s="673" t="str">
        <f>IFERROR(__xludf.DUMMYFUNCTION("""COMPUTED_VALUE"""),"スタン")</f>
        <v>スタン</v>
      </c>
      <c r="DD93" s="673" t="str">
        <f>IFERROR(__xludf.DUMMYFUNCTION("""COMPUTED_VALUE"""),"-")</f>
        <v>-</v>
      </c>
      <c r="DE93" s="675">
        <f>IFERROR(__xludf.DUMMYFUNCTION("""COMPUTED_VALUE"""),2.3)</f>
        <v>2.3</v>
      </c>
      <c r="DF93" s="139" t="str">
        <f>IFERROR(__xludf.DUMMYFUNCTION("""COMPUTED_VALUE"""),"-")</f>
        <v>-</v>
      </c>
      <c r="DG93" s="139" t="str">
        <f>IFERROR(__xludf.DUMMYFUNCTION("""COMPUTED_VALUE"""),"-")</f>
        <v>-</v>
      </c>
      <c r="DH93" s="139" t="str">
        <f>IFERROR(__xludf.DUMMYFUNCTION("""COMPUTED_VALUE"""),"-")</f>
        <v>-</v>
      </c>
      <c r="DI93" s="139" t="str">
        <f>IFERROR(__xludf.DUMMYFUNCTION("""COMPUTED_VALUE"""),"-")</f>
        <v>-</v>
      </c>
      <c r="DJ93" s="139" t="str">
        <f>IFERROR(__xludf.DUMMYFUNCTION("""COMPUTED_VALUE"""),"-")</f>
        <v>-</v>
      </c>
    </row>
    <row r="94">
      <c r="A94" s="139" t="str">
        <f>IFERROR(__xludf.DUMMYFUNCTION("""COMPUTED_VALUE"""),"【推しの子】")</f>
        <v>【推しの子】</v>
      </c>
      <c r="B94" s="139" t="str">
        <f>IFERROR(__xludf.DUMMYFUNCTION("""COMPUTED_VALUE"""),"MEMちょ")</f>
        <v>MEMちょ</v>
      </c>
      <c r="C94" s="139" t="str">
        <f>IFERROR(__xludf.DUMMYFUNCTION("""COMPUTED_VALUE"""),"chara_osh_00301")</f>
        <v>chara_osh_00301</v>
      </c>
      <c r="D94" s="139" t="str">
        <f>IFERROR(__xludf.DUMMYFUNCTION("""COMPUTED_VALUE"""),"PremiumSSR")</f>
        <v>PremiumSSR</v>
      </c>
      <c r="E94" s="139" t="str">
        <f>IFERROR(__xludf.DUMMYFUNCTION("""COMPUTED_VALUE"""),"黄")</f>
        <v>黄</v>
      </c>
      <c r="F94" s="139" t="str">
        <f>IFERROR(__xludf.DUMMYFUNCTION("""COMPUTED_VALUE"""),"サポート")</f>
        <v>サポート</v>
      </c>
      <c r="G94" s="139" t="str">
        <f>IFERROR(__xludf.DUMMYFUNCTION("""COMPUTED_VALUE"""),"近距離")</f>
        <v>近距離</v>
      </c>
      <c r="H94" s="139" t="str">
        <f>IFERROR(__xludf.DUMMYFUNCTION("""COMPUTED_VALUE"""),"dageki_1")</f>
        <v>dageki_1</v>
      </c>
      <c r="I94" s="139" t="str">
        <f>IFERROR(__xludf.DUMMYFUNCTION("""COMPUTED_VALUE"""),"-")</f>
        <v>-</v>
      </c>
      <c r="J94" s="139" t="str">
        <f>IFERROR(__xludf.DUMMYFUNCTION("""COMPUTED_VALUE"""),"202512020_推しの子＆年末＆正月")</f>
        <v>202512020_推しの子＆年末＆正月</v>
      </c>
      <c r="K94" s="139" t="str">
        <f>IFERROR(__xludf.DUMMYFUNCTION("""COMPUTED_VALUE"""),"【推しの子】いいジャン祭")</f>
        <v>【推しの子】いいジャン祭</v>
      </c>
      <c r="L94" s="687" t="str">
        <f>IFERROR(__xludf.DUMMYFUNCTION("""COMPUTED_VALUE"""),"※")</f>
        <v>※</v>
      </c>
      <c r="M94" s="674">
        <f>IFERROR(__xludf.DUMMYFUNCTION("""COMPUTED_VALUE"""),350.0)</f>
        <v>350</v>
      </c>
      <c r="N94" s="139">
        <f>IFERROR(__xludf.DUMMYFUNCTION("""COMPUTED_VALUE"""),200.0)</f>
        <v>200</v>
      </c>
      <c r="O94" s="139" t="str">
        <f>IFERROR(__xludf.DUMMYFUNCTION("""COMPUTED_VALUE"""),"低コスト")</f>
        <v>低コスト</v>
      </c>
      <c r="P94" s="139">
        <f>IFERROR(__xludf.DUMMYFUNCTION("""COMPUTED_VALUE"""),130.0)</f>
        <v>130</v>
      </c>
      <c r="Q94" s="675">
        <f>IFERROR(__xludf.DUMMYFUNCTION("""COMPUTED_VALUE"""),10.0)</f>
        <v>10</v>
      </c>
      <c r="R94" s="675">
        <f>IFERROR(__xludf.DUMMYFUNCTION("""COMPUTED_VALUE"""),10.0)</f>
        <v>10</v>
      </c>
      <c r="S94" s="675">
        <f>IFERROR(__xludf.DUMMYFUNCTION("""COMPUTED_VALUE"""),6.25)</f>
        <v>6.25</v>
      </c>
      <c r="T94" s="674">
        <f>IFERROR(__xludf.DUMMYFUNCTION("""COMPUTED_VALUE"""),270.0)</f>
        <v>270</v>
      </c>
      <c r="U94" s="675">
        <f>IFERROR(__xludf.DUMMYFUNCTION("""COMPUTED_VALUE"""),5.426666666666668)</f>
        <v>5.426666667</v>
      </c>
      <c r="V94" s="675">
        <f>IFERROR(__xludf.DUMMYFUNCTION("""COMPUTED_VALUE"""),-1.1)</f>
        <v>-1.1</v>
      </c>
      <c r="W94" s="675">
        <f>IFERROR(__xludf.DUMMYFUNCTION("""COMPUTED_VALUE"""),0.0)</f>
        <v>0</v>
      </c>
      <c r="X94" s="675">
        <f>IFERROR(__xludf.DUMMYFUNCTION("""COMPUTED_VALUE"""),0.0)</f>
        <v>0</v>
      </c>
      <c r="Y94" s="674">
        <f>IFERROR(__xludf.DUMMYFUNCTION("""COMPUTED_VALUE"""),170.0)</f>
        <v>170</v>
      </c>
      <c r="Z94" s="675">
        <f>IFERROR(__xludf.DUMMYFUNCTION("""COMPUTED_VALUE"""),3.4116666666666666)</f>
        <v>3.411666667</v>
      </c>
      <c r="AA94" s="675">
        <f>IFERROR(__xludf.DUMMYFUNCTION("""COMPUTED_VALUE"""),0.0)</f>
        <v>0</v>
      </c>
      <c r="AB94" s="673">
        <f>IFERROR(__xludf.DUMMYFUNCTION("""COMPUTED_VALUE"""),0.0)</f>
        <v>0</v>
      </c>
      <c r="AC94" s="675">
        <f>IFERROR(__xludf.DUMMYFUNCTION("""COMPUTED_VALUE"""),0.0)</f>
        <v>0</v>
      </c>
      <c r="AD94" s="674">
        <f>IFERROR(__xludf.DUMMYFUNCTION("""COMPUTED_VALUE"""),1300.0)</f>
        <v>1300</v>
      </c>
      <c r="AE94" s="675">
        <f>IFERROR(__xludf.DUMMYFUNCTION("""COMPUTED_VALUE"""),25.973207834026795)</f>
        <v>25.97320783</v>
      </c>
      <c r="AF94" s="675">
        <f>IFERROR(__xludf.DUMMYFUNCTION("""COMPUTED_VALUE"""),0.0)</f>
        <v>0</v>
      </c>
      <c r="AG94" s="675">
        <f>IFERROR(__xludf.DUMMYFUNCTION("""COMPUTED_VALUE"""),16.5)</f>
        <v>16.5</v>
      </c>
      <c r="AH94" s="675">
        <f>IFERROR(__xludf.DUMMYFUNCTION("""COMPUTED_VALUE"""),0.0)</f>
        <v>0</v>
      </c>
      <c r="AI94" s="675">
        <f>IFERROR(__xludf.DUMMYFUNCTION("""COMPUTED_VALUE"""),11.0)</f>
        <v>11</v>
      </c>
      <c r="AJ94" s="675">
        <f>IFERROR(__xludf.DUMMYFUNCTION("""COMPUTED_VALUE"""),14.973207834026795)</f>
        <v>14.97320783</v>
      </c>
      <c r="AK94" s="139">
        <f>IFERROR(__xludf.DUMMYFUNCTION("""COMPUTED_VALUE"""),1.0)</f>
        <v>1</v>
      </c>
      <c r="AL94" s="674">
        <f>IFERROR(__xludf.DUMMYFUNCTION("""COMPUTED_VALUE"""),890.0)</f>
        <v>890</v>
      </c>
      <c r="AM94" s="688">
        <f>IFERROR(__xludf.DUMMYFUNCTION("""COMPUTED_VALUE"""),6785.355026160675)</f>
        <v>6785.355026</v>
      </c>
      <c r="AN94" s="675">
        <f>IFERROR(__xludf.DUMMYFUNCTION("""COMPUTED_VALUE"""),5.933333333333334)</f>
        <v>5.933333333</v>
      </c>
      <c r="AO94" s="675">
        <f>IFERROR(__xludf.DUMMYFUNCTION("""COMPUTED_VALUE"""),2.966666666666667)</f>
        <v>2.966666667</v>
      </c>
      <c r="AP94" s="674">
        <f>IFERROR(__xludf.DUMMYFUNCTION("""COMPUTED_VALUE"""),1050.0)</f>
        <v>1050</v>
      </c>
      <c r="AQ94" s="673">
        <f>IFERROR(__xludf.DUMMYFUNCTION("""COMPUTED_VALUE"""),-0.4)</f>
        <v>-0.4</v>
      </c>
      <c r="AR94" s="673">
        <f>IFERROR(__xludf.DUMMYFUNCTION("""COMPUTED_VALUE"""),0.7)</f>
        <v>0.7</v>
      </c>
      <c r="AS94" s="673">
        <f>IFERROR(__xludf.DUMMYFUNCTION("""COMPUTED_VALUE"""),0.0)</f>
        <v>0</v>
      </c>
      <c r="AT94" s="673">
        <f>IFERROR(__xludf.DUMMYFUNCTION("""COMPUTED_VALUE"""),-0.45)</f>
        <v>-0.45</v>
      </c>
      <c r="AU94" s="673">
        <f>IFERROR(__xludf.DUMMYFUNCTION("""COMPUTED_VALUE"""),0.0)</f>
        <v>0</v>
      </c>
      <c r="AV94" s="673">
        <f>IFERROR(__xludf.DUMMYFUNCTION("""COMPUTED_VALUE"""),0.0)</f>
        <v>0</v>
      </c>
      <c r="AW94" s="139"/>
      <c r="AX94" s="674">
        <f>IFERROR(__xludf.DUMMYFUNCTION("""COMPUTED_VALUE"""),630.0)</f>
        <v>630</v>
      </c>
      <c r="AY94" s="688">
        <f>IFERROR(__xludf.DUMMYFUNCTION("""COMPUTED_VALUE"""),4803.607715147445)</f>
        <v>4803.607715</v>
      </c>
      <c r="AZ94" s="674">
        <f>IFERROR(__xludf.DUMMYFUNCTION("""COMPUTED_VALUE"""),420.0)</f>
        <v>420</v>
      </c>
      <c r="BA94" s="688">
        <f>IFERROR(__xludf.DUMMYFUNCTION("""COMPUTED_VALUE"""),3202.4051434316298)</f>
        <v>3202.405143</v>
      </c>
      <c r="BB94" s="688" t="str">
        <f>IFERROR(__xludf.DUMMYFUNCTION("""COMPUTED_VALUE"""),"-")</f>
        <v>-</v>
      </c>
      <c r="BC94" s="688" t="str">
        <f>IFERROR(__xludf.DUMMYFUNCTION("""COMPUTED_VALUE"""),"#VALUE!")</f>
        <v>#VALUE!</v>
      </c>
      <c r="BD94" s="688" t="str">
        <f>IFERROR(__xludf.DUMMYFUNCTION("""COMPUTED_VALUE"""),"#VALUE!")</f>
        <v>#VALUE!</v>
      </c>
      <c r="BE94" s="674">
        <f>IFERROR(__xludf.DUMMYFUNCTION("""COMPUTED_VALUE"""),320.0)</f>
        <v>320</v>
      </c>
      <c r="BF94" s="674">
        <f>IFERROR(__xludf.DUMMYFUNCTION("""COMPUTED_VALUE"""),700.0)</f>
        <v>700</v>
      </c>
      <c r="BG94" s="673">
        <f>IFERROR(__xludf.DUMMYFUNCTION("""COMPUTED_VALUE"""),0.45)</f>
        <v>0.45</v>
      </c>
      <c r="BH94" s="673">
        <f>IFERROR(__xludf.DUMMYFUNCTION("""COMPUTED_VALUE"""),-0.3)</f>
        <v>-0.3</v>
      </c>
      <c r="BI94" s="673">
        <f>IFERROR(__xludf.DUMMYFUNCTION("""COMPUTED_VALUE"""),0.0)</f>
        <v>0</v>
      </c>
      <c r="BJ94" s="673">
        <f>IFERROR(__xludf.DUMMYFUNCTION("""COMPUTED_VALUE"""),0.0)</f>
        <v>0</v>
      </c>
      <c r="BK94" s="673">
        <f>IFERROR(__xludf.DUMMYFUNCTION("""COMPUTED_VALUE"""),-0.7)</f>
        <v>-0.7</v>
      </c>
      <c r="BL94" s="673">
        <f>IFERROR(__xludf.DUMMYFUNCTION("""COMPUTED_VALUE"""),0.0)</f>
        <v>0</v>
      </c>
      <c r="BM94" s="674">
        <f>IFERROR(__xludf.DUMMYFUNCTION("""COMPUTED_VALUE"""),75.0)</f>
        <v>75</v>
      </c>
      <c r="BN94" s="674">
        <f>IFERROR(__xludf.DUMMYFUNCTION("""COMPUTED_VALUE"""),75.0)</f>
        <v>75</v>
      </c>
      <c r="BO94" s="675">
        <f>IFERROR(__xludf.DUMMYFUNCTION("""COMPUTED_VALUE"""),0.0)</f>
        <v>0</v>
      </c>
      <c r="BP94" s="675">
        <f>IFERROR(__xludf.DUMMYFUNCTION("""COMPUTED_VALUE"""),1.5)</f>
        <v>1.5</v>
      </c>
      <c r="BQ94" s="139" t="str">
        <f>IFERROR(__xludf.DUMMYFUNCTION("""COMPUTED_VALUE"""),"(近距離)素手")</f>
        <v>(近距離)素手</v>
      </c>
      <c r="BR94" s="139">
        <f>IFERROR(__xludf.DUMMYFUNCTION("""COMPUTED_VALUE"""),2.0)</f>
        <v>2</v>
      </c>
      <c r="BS94" s="139">
        <f>IFERROR(__xludf.DUMMYFUNCTION("""COMPUTED_VALUE"""),35.0)</f>
        <v>35</v>
      </c>
      <c r="BT94" s="139">
        <f>IFERROR(__xludf.DUMMYFUNCTION("""COMPUTED_VALUE"""),0.27)</f>
        <v>0.27</v>
      </c>
      <c r="BU94" s="139">
        <f>IFERROR(__xludf.DUMMYFUNCTION("""COMPUTED_VALUE"""),0.0)</f>
        <v>0</v>
      </c>
      <c r="BV94" s="139" t="str">
        <f>IFERROR(__xludf.DUMMYFUNCTION("""COMPUTED_VALUE"""),"普通")</f>
        <v>普通</v>
      </c>
      <c r="BW94" s="139" t="str">
        <f>IFERROR(__xludf.DUMMYFUNCTION("""COMPUTED_VALUE"""),"ダメージコマ無効化")</f>
        <v>ダメージコマ無効化</v>
      </c>
      <c r="BX94" s="139" t="str">
        <f>IFERROR(__xludf.DUMMYFUNCTION("""COMPUTED_VALUE"""),"-")</f>
        <v>-</v>
      </c>
      <c r="BY94" s="139">
        <f>IFERROR(__xludf.DUMMYFUNCTION("""COMPUTED_VALUE"""),0.0)</f>
        <v>0</v>
      </c>
      <c r="BZ94" s="139" t="str">
        <f>IFERROR(__xludf.DUMMYFUNCTION("""COMPUTED_VALUE"""),"-")</f>
        <v>-</v>
      </c>
      <c r="CA94" s="139" t="str">
        <f>IFERROR(__xludf.DUMMYFUNCTION("""COMPUTED_VALUE"""),"-")</f>
        <v>-</v>
      </c>
      <c r="CB94" s="139" t="str">
        <f>IFERROR(__xludf.DUMMYFUNCTION("""COMPUTED_VALUE"""),"-")</f>
        <v>-</v>
      </c>
      <c r="CC94" s="139" t="str">
        <f>IFERROR(__xludf.DUMMYFUNCTION("""COMPUTED_VALUE"""),"近距離")</f>
        <v>近距離</v>
      </c>
      <c r="CD94" s="139" t="str">
        <f>IFERROR(__xludf.DUMMYFUNCTION("""COMPUTED_VALUE"""),"単体")</f>
        <v>単体</v>
      </c>
      <c r="CE94" s="139">
        <f>IFERROR(__xludf.DUMMYFUNCTION("""COMPUTED_VALUE"""),1.0)</f>
        <v>1</v>
      </c>
      <c r="CF94" s="139">
        <f>IFERROR(__xludf.DUMMYFUNCTION("""COMPUTED_VALUE"""),0.28)</f>
        <v>0.28</v>
      </c>
      <c r="CG94" s="139" t="str">
        <f>IFERROR(__xludf.DUMMYFUNCTION("""COMPUTED_VALUE"""),"自身と同じコマにいる味方")</f>
        <v>自身と同じコマにいる味方</v>
      </c>
      <c r="CH94" s="139" t="str">
        <f>IFERROR(__xludf.DUMMYFUNCTION("""COMPUTED_VALUE"""),"範囲(コマ)0,+1")</f>
        <v>範囲(コマ)0,+1</v>
      </c>
      <c r="CI94" s="139">
        <f>IFERROR(__xludf.DUMMYFUNCTION("""COMPUTED_VALUE"""),0.6)</f>
        <v>0.6</v>
      </c>
      <c r="CJ94" s="139" t="str">
        <f>IFERROR(__xludf.DUMMYFUNCTION("""COMPUTED_VALUE"""),"(コマ)0,+1")</f>
        <v>(コマ)0,+1</v>
      </c>
      <c r="CK94" s="139" t="str">
        <f>IFERROR(__xludf.DUMMYFUNCTION("""COMPUTED_VALUE"""),"味方")</f>
        <v>味方</v>
      </c>
      <c r="CL94" s="139" t="str">
        <f>IFERROR(__xludf.DUMMYFUNCTION("""COMPUTED_VALUE"""),"黄")</f>
        <v>黄</v>
      </c>
      <c r="CM94" s="139" t="str">
        <f>IFERROR(__xludf.DUMMYFUNCTION("""COMPUTED_VALUE"""),"All")</f>
        <v>All</v>
      </c>
      <c r="CN94" s="675">
        <f>IFERROR(__xludf.DUMMYFUNCTION("""COMPUTED_VALUE"""),25.973207834026795)</f>
        <v>25.97320783</v>
      </c>
      <c r="CO94" s="139" t="str">
        <f>IFERROR(__xludf.DUMMYFUNCTION("""COMPUTED_VALUE"""),"-")</f>
        <v>-</v>
      </c>
      <c r="CP94" s="139" t="str">
        <f>IFERROR(__xludf.DUMMYFUNCTION("""COMPUTED_VALUE"""),"-")</f>
        <v>-</v>
      </c>
      <c r="CQ94" s="139" t="str">
        <f>IFERROR(__xludf.DUMMYFUNCTION("""COMPUTED_VALUE"""),"-")</f>
        <v>-</v>
      </c>
      <c r="CR94" s="139" t="str">
        <f>IFERROR(__xludf.DUMMYFUNCTION("""COMPUTED_VALUE"""),"持続型")</f>
        <v>持続型</v>
      </c>
      <c r="CS94" s="673" t="str">
        <f>IFERROR(__xludf.DUMMYFUNCTION("""COMPUTED_VALUE"""),"ダメージカット(黄)")</f>
        <v>ダメージカット(黄)</v>
      </c>
      <c r="CT94" s="139" t="str">
        <f>IFERROR(__xludf.DUMMYFUNCTION("""COMPUTED_VALUE"""),"持続型")</f>
        <v>持続型</v>
      </c>
      <c r="CU94" s="139" t="str">
        <f>IFERROR(__xludf.DUMMYFUNCTION("""COMPUTED_VALUE"""),"味方")</f>
        <v>味方</v>
      </c>
      <c r="CV94" s="139" t="str">
        <f>IFERROR(__xludf.DUMMYFUNCTION("""COMPUTED_VALUE"""),"黄")</f>
        <v>黄</v>
      </c>
      <c r="CW94" s="139" t="str">
        <f>IFERROR(__xludf.DUMMYFUNCTION("""COMPUTED_VALUE"""),"All")</f>
        <v>All</v>
      </c>
      <c r="CX94" s="674">
        <f>IFERROR(__xludf.DUMMYFUNCTION("""COMPUTED_VALUE"""),10.0)</f>
        <v>10</v>
      </c>
      <c r="CY94" s="675">
        <f>IFERROR(__xludf.DUMMYFUNCTION("""COMPUTED_VALUE"""),11.0)</f>
        <v>11</v>
      </c>
      <c r="CZ94" s="688" t="str">
        <f>IFERROR(__xludf.DUMMYFUNCTION("""COMPUTED_VALUE"""),"-")</f>
        <v>-</v>
      </c>
      <c r="DA94" s="688">
        <f>IFERROR(__xludf.DUMMYFUNCTION("""COMPUTED_VALUE"""),0.0)</f>
        <v>0</v>
      </c>
      <c r="DB94" s="688">
        <f>IFERROR(__xludf.DUMMYFUNCTION("""COMPUTED_VALUE"""),0.0)</f>
        <v>0</v>
      </c>
      <c r="DC94" s="673" t="str">
        <f>IFERROR(__xludf.DUMMYFUNCTION("""COMPUTED_VALUE"""),"-")</f>
        <v>-</v>
      </c>
      <c r="DD94" s="673" t="str">
        <f>IFERROR(__xludf.DUMMYFUNCTION("""COMPUTED_VALUE"""),"-")</f>
        <v>-</v>
      </c>
      <c r="DE94" s="139" t="str">
        <f>IFERROR(__xludf.DUMMYFUNCTION("""COMPUTED_VALUE"""),"-")</f>
        <v>-</v>
      </c>
      <c r="DF94" s="139" t="str">
        <f>IFERROR(__xludf.DUMMYFUNCTION("""COMPUTED_VALUE"""),"-")</f>
        <v>-</v>
      </c>
      <c r="DG94" s="139" t="str">
        <f>IFERROR(__xludf.DUMMYFUNCTION("""COMPUTED_VALUE"""),"-")</f>
        <v>-</v>
      </c>
      <c r="DH94" s="139" t="str">
        <f>IFERROR(__xludf.DUMMYFUNCTION("""COMPUTED_VALUE"""),"-")</f>
        <v>-</v>
      </c>
      <c r="DI94" s="139" t="str">
        <f>IFERROR(__xludf.DUMMYFUNCTION("""COMPUTED_VALUE"""),"-")</f>
        <v>-</v>
      </c>
      <c r="DJ94" s="139" t="str">
        <f>IFERROR(__xludf.DUMMYFUNCTION("""COMPUTED_VALUE"""),"-")</f>
        <v>-</v>
      </c>
    </row>
    <row r="95">
      <c r="A95" s="139" t="str">
        <f>IFERROR(__xludf.DUMMYFUNCTION("""COMPUTED_VALUE"""),"【推しの子】")</f>
        <v>【推しの子】</v>
      </c>
      <c r="B95" s="139" t="str">
        <f>IFERROR(__xludf.DUMMYFUNCTION("""COMPUTED_VALUE"""),"黒川 あかね")</f>
        <v>黒川 あかね</v>
      </c>
      <c r="C95" s="139" t="str">
        <f>IFERROR(__xludf.DUMMYFUNCTION("""COMPUTED_VALUE"""),"chara_osh_00501")</f>
        <v>chara_osh_00501</v>
      </c>
      <c r="D95" s="139" t="str">
        <f>IFERROR(__xludf.DUMMYFUNCTION("""COMPUTED_VALUE"""),"PremiumSSR")</f>
        <v>PremiumSSR</v>
      </c>
      <c r="E95" s="139" t="str">
        <f>IFERROR(__xludf.DUMMYFUNCTION("""COMPUTED_VALUE"""),"青")</f>
        <v>青</v>
      </c>
      <c r="F95" s="139" t="str">
        <f>IFERROR(__xludf.DUMMYFUNCTION("""COMPUTED_VALUE"""),"テクニカル")</f>
        <v>テクニカル</v>
      </c>
      <c r="G95" s="139" t="str">
        <f>IFERROR(__xludf.DUMMYFUNCTION("""COMPUTED_VALUE"""),"近距離")</f>
        <v>近距離</v>
      </c>
      <c r="H95" s="139" t="str">
        <f>IFERROR(__xludf.DUMMYFUNCTION("""COMPUTED_VALUE"""),"dageki_1")</f>
        <v>dageki_1</v>
      </c>
      <c r="I95" s="139" t="str">
        <f>IFERROR(__xludf.DUMMYFUNCTION("""COMPUTED_VALUE"""),"dageki_1")</f>
        <v>dageki_1</v>
      </c>
      <c r="J95" s="139" t="str">
        <f>IFERROR(__xludf.DUMMYFUNCTION("""COMPUTED_VALUE"""),"202512020_推しの子＆年末＆正月")</f>
        <v>202512020_推しの子＆年末＆正月</v>
      </c>
      <c r="K95" s="139" t="str">
        <f>IFERROR(__xludf.DUMMYFUNCTION("""COMPUTED_VALUE"""),"【推しの子】いいジャン祭")</f>
        <v>【推しの子】いいジャン祭</v>
      </c>
      <c r="L95" s="687" t="str">
        <f>IFERROR(__xludf.DUMMYFUNCTION("""COMPUTED_VALUE"""),"※")</f>
        <v>※</v>
      </c>
      <c r="M95" s="674">
        <f>IFERROR(__xludf.DUMMYFUNCTION("""COMPUTED_VALUE"""),335.0)</f>
        <v>335</v>
      </c>
      <c r="N95" s="139">
        <f>IFERROR(__xludf.DUMMYFUNCTION("""COMPUTED_VALUE"""),200.0)</f>
        <v>200</v>
      </c>
      <c r="O95" s="139" t="str">
        <f>IFERROR(__xludf.DUMMYFUNCTION("""COMPUTED_VALUE"""),"低コスト")</f>
        <v>低コスト</v>
      </c>
      <c r="P95" s="139">
        <f>IFERROR(__xludf.DUMMYFUNCTION("""COMPUTED_VALUE"""),100.0)</f>
        <v>100</v>
      </c>
      <c r="Q95" s="675">
        <f>IFERROR(__xludf.DUMMYFUNCTION("""COMPUTED_VALUE"""),20.0)</f>
        <v>20</v>
      </c>
      <c r="R95" s="675">
        <f>IFERROR(__xludf.DUMMYFUNCTION("""COMPUTED_VALUE"""),15.0)</f>
        <v>15</v>
      </c>
      <c r="S95" s="675">
        <f>IFERROR(__xludf.DUMMYFUNCTION("""COMPUTED_VALUE"""),5.875)</f>
        <v>5.875</v>
      </c>
      <c r="T95" s="674">
        <f>IFERROR(__xludf.DUMMYFUNCTION("""COMPUTED_VALUE"""),320.0)</f>
        <v>320</v>
      </c>
      <c r="U95" s="675">
        <f>IFERROR(__xludf.DUMMYFUNCTION("""COMPUTED_VALUE"""),6.38)</f>
        <v>6.38</v>
      </c>
      <c r="V95" s="675">
        <f>IFERROR(__xludf.DUMMYFUNCTION("""COMPUTED_VALUE"""),0.0)</f>
        <v>0</v>
      </c>
      <c r="W95" s="675">
        <f>IFERROR(__xludf.DUMMYFUNCTION("""COMPUTED_VALUE"""),0.0)</f>
        <v>0</v>
      </c>
      <c r="X95" s="675">
        <f>IFERROR(__xludf.DUMMYFUNCTION("""COMPUTED_VALUE"""),0.0)</f>
        <v>0</v>
      </c>
      <c r="Y95" s="674">
        <f>IFERROR(__xludf.DUMMYFUNCTION("""COMPUTED_VALUE"""),165.0)</f>
        <v>165</v>
      </c>
      <c r="Z95" s="675">
        <f>IFERROR(__xludf.DUMMYFUNCTION("""COMPUTED_VALUE"""),3.3349999999999995)</f>
        <v>3.335</v>
      </c>
      <c r="AA95" s="675">
        <f>IFERROR(__xludf.DUMMYFUNCTION("""COMPUTED_VALUE"""),0.0)</f>
        <v>0</v>
      </c>
      <c r="AB95" s="673">
        <f>IFERROR(__xludf.DUMMYFUNCTION("""COMPUTED_VALUE"""),0.0)</f>
        <v>0</v>
      </c>
      <c r="AC95" s="675">
        <f>IFERROR(__xludf.DUMMYFUNCTION("""COMPUTED_VALUE"""),0.0)</f>
        <v>0</v>
      </c>
      <c r="AD95" s="674">
        <f>IFERROR(__xludf.DUMMYFUNCTION("""COMPUTED_VALUE"""),1795.0)</f>
        <v>1795</v>
      </c>
      <c r="AE95" s="675">
        <f>IFERROR(__xludf.DUMMYFUNCTION("""COMPUTED_VALUE"""),35.866162501259524)</f>
        <v>35.8661625</v>
      </c>
      <c r="AF95" s="675">
        <f>IFERROR(__xludf.DUMMYFUNCTION("""COMPUTED_VALUE"""),4.0)</f>
        <v>4</v>
      </c>
      <c r="AG95" s="675">
        <f>IFERROR(__xludf.DUMMYFUNCTION("""COMPUTED_VALUE"""),22.5)</f>
        <v>22.5</v>
      </c>
      <c r="AH95" s="675">
        <f>IFERROR(__xludf.DUMMYFUNCTION("""COMPUTED_VALUE"""),0.0)</f>
        <v>0</v>
      </c>
      <c r="AI95" s="675">
        <f>IFERROR(__xludf.DUMMYFUNCTION("""COMPUTED_VALUE"""),15.0)</f>
        <v>15</v>
      </c>
      <c r="AJ95" s="675">
        <f>IFERROR(__xludf.DUMMYFUNCTION("""COMPUTED_VALUE"""),20.866162501259524)</f>
        <v>20.8661625</v>
      </c>
      <c r="AK95" s="139">
        <f>IFERROR(__xludf.DUMMYFUNCTION("""COMPUTED_VALUE"""),1.0)</f>
        <v>1</v>
      </c>
      <c r="AL95" s="674">
        <f>IFERROR(__xludf.DUMMYFUNCTION("""COMPUTED_VALUE"""),870.0)</f>
        <v>870</v>
      </c>
      <c r="AM95" s="688">
        <f>IFERROR(__xludf.DUMMYFUNCTION("""COMPUTED_VALUE"""),6633.014463775042)</f>
        <v>6633.014464</v>
      </c>
      <c r="AN95" s="675">
        <f>IFERROR(__xludf.DUMMYFUNCTION("""COMPUTED_VALUE"""),5.8)</f>
        <v>5.8</v>
      </c>
      <c r="AO95" s="675">
        <f>IFERROR(__xludf.DUMMYFUNCTION("""COMPUTED_VALUE"""),2.9)</f>
        <v>2.9</v>
      </c>
      <c r="AP95" s="674">
        <f>IFERROR(__xludf.DUMMYFUNCTION("""COMPUTED_VALUE"""),1010.0)</f>
        <v>1010</v>
      </c>
      <c r="AQ95" s="673">
        <f>IFERROR(__xludf.DUMMYFUNCTION("""COMPUTED_VALUE"""),-0.3)</f>
        <v>-0.3</v>
      </c>
      <c r="AR95" s="673">
        <f>IFERROR(__xludf.DUMMYFUNCTION("""COMPUTED_VALUE"""),0.08)</f>
        <v>0.08</v>
      </c>
      <c r="AS95" s="673">
        <f>IFERROR(__xludf.DUMMYFUNCTION("""COMPUTED_VALUE"""),0.0)</f>
        <v>0</v>
      </c>
      <c r="AT95" s="673">
        <f>IFERROR(__xludf.DUMMYFUNCTION("""COMPUTED_VALUE"""),0.08)</f>
        <v>0.08</v>
      </c>
      <c r="AU95" s="673">
        <f>IFERROR(__xludf.DUMMYFUNCTION("""COMPUTED_VALUE"""),0.0)</f>
        <v>0</v>
      </c>
      <c r="AV95" s="673">
        <f>IFERROR(__xludf.DUMMYFUNCTION("""COMPUTED_VALUE"""),0.0)</f>
        <v>0</v>
      </c>
      <c r="AW95" s="139"/>
      <c r="AX95" s="674">
        <f>IFERROR(__xludf.DUMMYFUNCTION("""COMPUTED_VALUE"""),630.0)</f>
        <v>630</v>
      </c>
      <c r="AY95" s="688">
        <f>IFERROR(__xludf.DUMMYFUNCTION("""COMPUTED_VALUE"""),4803.607715147445)</f>
        <v>4803.607715</v>
      </c>
      <c r="AZ95" s="674">
        <f>IFERROR(__xludf.DUMMYFUNCTION("""COMPUTED_VALUE"""),630.0)</f>
        <v>630</v>
      </c>
      <c r="BA95" s="688">
        <f>IFERROR(__xludf.DUMMYFUNCTION("""COMPUTED_VALUE"""),4803.607715147445)</f>
        <v>4803.607715</v>
      </c>
      <c r="BB95" s="688" t="str">
        <f>IFERROR(__xludf.DUMMYFUNCTION("""COMPUTED_VALUE"""),"-")</f>
        <v>-</v>
      </c>
      <c r="BC95" s="688" t="str">
        <f>IFERROR(__xludf.DUMMYFUNCTION("""COMPUTED_VALUE"""),"#VALUE!")</f>
        <v>#VALUE!</v>
      </c>
      <c r="BD95" s="688" t="str">
        <f>IFERROR(__xludf.DUMMYFUNCTION("""COMPUTED_VALUE"""),"#VALUE!")</f>
        <v>#VALUE!</v>
      </c>
      <c r="BE95" s="674">
        <f>IFERROR(__xludf.DUMMYFUNCTION("""COMPUTED_VALUE"""),630.0)</f>
        <v>630</v>
      </c>
      <c r="BF95" s="674">
        <f>IFERROR(__xludf.DUMMYFUNCTION("""COMPUTED_VALUE"""),670.0)</f>
        <v>670</v>
      </c>
      <c r="BG95" s="673">
        <f>IFERROR(__xludf.DUMMYFUNCTION("""COMPUTED_VALUE"""),-0.08)</f>
        <v>-0.08</v>
      </c>
      <c r="BH95" s="673">
        <f>IFERROR(__xludf.DUMMYFUNCTION("""COMPUTED_VALUE"""),0.1)</f>
        <v>0.1</v>
      </c>
      <c r="BI95" s="673">
        <f>IFERROR(__xludf.DUMMYFUNCTION("""COMPUTED_VALUE"""),0.0)</f>
        <v>0</v>
      </c>
      <c r="BJ95" s="673">
        <f>IFERROR(__xludf.DUMMYFUNCTION("""COMPUTED_VALUE"""),0.0)</f>
        <v>0</v>
      </c>
      <c r="BK95" s="673">
        <f>IFERROR(__xludf.DUMMYFUNCTION("""COMPUTED_VALUE"""),-0.08)</f>
        <v>-0.08</v>
      </c>
      <c r="BL95" s="673">
        <f>IFERROR(__xludf.DUMMYFUNCTION("""COMPUTED_VALUE"""),0.0)</f>
        <v>0</v>
      </c>
      <c r="BM95" s="674">
        <f>IFERROR(__xludf.DUMMYFUNCTION("""COMPUTED_VALUE"""),50.0)</f>
        <v>50</v>
      </c>
      <c r="BN95" s="674">
        <f>IFERROR(__xludf.DUMMYFUNCTION("""COMPUTED_VALUE"""),50.0)</f>
        <v>50</v>
      </c>
      <c r="BO95" s="675">
        <f>IFERROR(__xludf.DUMMYFUNCTION("""COMPUTED_VALUE"""),0.0)</f>
        <v>0</v>
      </c>
      <c r="BP95" s="675">
        <f>IFERROR(__xludf.DUMMYFUNCTION("""COMPUTED_VALUE"""),1.0)</f>
        <v>1</v>
      </c>
      <c r="BQ95" s="139" t="str">
        <f>IFERROR(__xludf.DUMMYFUNCTION("""COMPUTED_VALUE"""),"(近距離)武器・道具・特殊攻撃")</f>
        <v>(近距離)武器・道具・特殊攻撃</v>
      </c>
      <c r="BR95" s="139">
        <f>IFERROR(__xludf.DUMMYFUNCTION("""COMPUTED_VALUE"""),3.0)</f>
        <v>3</v>
      </c>
      <c r="BS95" s="139">
        <f>IFERROR(__xludf.DUMMYFUNCTION("""COMPUTED_VALUE"""),35.0)</f>
        <v>35</v>
      </c>
      <c r="BT95" s="139">
        <f>IFERROR(__xludf.DUMMYFUNCTION("""COMPUTED_VALUE"""),0.31)</f>
        <v>0.31</v>
      </c>
      <c r="BU95" s="139">
        <f>IFERROR(__xludf.DUMMYFUNCTION("""COMPUTED_VALUE"""),0.0)</f>
        <v>0</v>
      </c>
      <c r="BV95" s="139" t="str">
        <f>IFERROR(__xludf.DUMMYFUNCTION("""COMPUTED_VALUE"""),"普通")</f>
        <v>普通</v>
      </c>
      <c r="BW95" s="139" t="str">
        <f>IFERROR(__xludf.DUMMYFUNCTION("""COMPUTED_VALUE"""),"スタン攻撃無効化")</f>
        <v>スタン攻撃無効化</v>
      </c>
      <c r="BX95" s="139">
        <f>IFERROR(__xludf.DUMMYFUNCTION("""COMPUTED_VALUE"""),40.0)</f>
        <v>40</v>
      </c>
      <c r="BY95" s="139">
        <f>IFERROR(__xludf.DUMMYFUNCTION("""COMPUTED_VALUE"""),0.0)</f>
        <v>0</v>
      </c>
      <c r="BZ95" s="139" t="str">
        <f>IFERROR(__xludf.DUMMYFUNCTION("""COMPUTED_VALUE"""),"-")</f>
        <v>-</v>
      </c>
      <c r="CA95" s="139" t="str">
        <f>IFERROR(__xludf.DUMMYFUNCTION("""COMPUTED_VALUE"""),"-")</f>
        <v>-</v>
      </c>
      <c r="CB95" s="139" t="str">
        <f>IFERROR(__xludf.DUMMYFUNCTION("""COMPUTED_VALUE"""),"-")</f>
        <v>-</v>
      </c>
      <c r="CC95" s="139" t="str">
        <f>IFERROR(__xludf.DUMMYFUNCTION("""COMPUTED_VALUE"""),"近距離")</f>
        <v>近距離</v>
      </c>
      <c r="CD95" s="139" t="str">
        <f>IFERROR(__xludf.DUMMYFUNCTION("""COMPUTED_VALUE"""),"単体")</f>
        <v>単体</v>
      </c>
      <c r="CE95" s="139">
        <f>IFERROR(__xludf.DUMMYFUNCTION("""COMPUTED_VALUE"""),1.0)</f>
        <v>1</v>
      </c>
      <c r="CF95" s="139">
        <f>IFERROR(__xludf.DUMMYFUNCTION("""COMPUTED_VALUE"""),0.32)</f>
        <v>0.32</v>
      </c>
      <c r="CG95" s="139" t="str">
        <f>IFERROR(__xludf.DUMMYFUNCTION("""COMPUTED_VALUE"""),"中距離")</f>
        <v>中距離</v>
      </c>
      <c r="CH95" s="139" t="str">
        <f>IFERROR(__xludf.DUMMYFUNCTION("""COMPUTED_VALUE"""),"範囲(中)")</f>
        <v>範囲(中)</v>
      </c>
      <c r="CI95" s="139">
        <f>IFERROR(__xludf.DUMMYFUNCTION("""COMPUTED_VALUE"""),0.65)</f>
        <v>0.65</v>
      </c>
      <c r="CJ95" s="139">
        <f>IFERROR(__xludf.DUMMYFUNCTION("""COMPUTED_VALUE"""),0.52)</f>
        <v>0.52</v>
      </c>
      <c r="CK95" s="139"/>
      <c r="CL95" s="139"/>
      <c r="CM95" s="139"/>
      <c r="CN95" s="675">
        <f>IFERROR(__xludf.DUMMYFUNCTION("""COMPUTED_VALUE"""),35.866162501259524)</f>
        <v>35.8661625</v>
      </c>
      <c r="CO95" s="139" t="str">
        <f>IFERROR(__xludf.DUMMYFUNCTION("""COMPUTED_VALUE"""),"-")</f>
        <v>-</v>
      </c>
      <c r="CP95" s="139" t="str">
        <f>IFERROR(__xludf.DUMMYFUNCTION("""COMPUTED_VALUE"""),"-")</f>
        <v>-</v>
      </c>
      <c r="CQ95" s="139" t="str">
        <f>IFERROR(__xludf.DUMMYFUNCTION("""COMPUTED_VALUE"""),"-")</f>
        <v>-</v>
      </c>
      <c r="CR95" s="139"/>
      <c r="CS95" s="673" t="str">
        <f>IFERROR(__xludf.DUMMYFUNCTION("""COMPUTED_VALUE"""),"攻撃(必殺)")</f>
        <v>攻撃(必殺)</v>
      </c>
      <c r="CT95" s="139" t="str">
        <f>IFERROR(__xludf.DUMMYFUNCTION("""COMPUTED_VALUE"""),"-")</f>
        <v>-</v>
      </c>
      <c r="CU95" s="139" t="str">
        <f>IFERROR(__xludf.DUMMYFUNCTION("""COMPUTED_VALUE"""),"敵")</f>
        <v>敵</v>
      </c>
      <c r="CV95" s="139" t="str">
        <f>IFERROR(__xludf.DUMMYFUNCTION("""COMPUTED_VALUE"""),"All")</f>
        <v>All</v>
      </c>
      <c r="CW95" s="139" t="str">
        <f>IFERROR(__xludf.DUMMYFUNCTION("""COMPUTED_VALUE"""),"All")</f>
        <v>All</v>
      </c>
      <c r="CX95" s="674">
        <f>IFERROR(__xludf.DUMMYFUNCTION("""COMPUTED_VALUE"""),120.0)</f>
        <v>120</v>
      </c>
      <c r="CY95" s="675" t="str">
        <f>IFERROR(__xludf.DUMMYFUNCTION("""COMPUTED_VALUE"""),"-")</f>
        <v>-</v>
      </c>
      <c r="CZ95" s="688">
        <f>IFERROR(__xludf.DUMMYFUNCTION("""COMPUTED_VALUE"""),5764.0)</f>
        <v>5764</v>
      </c>
      <c r="DA95" s="688">
        <f>IFERROR(__xludf.DUMMYFUNCTION("""COMPUTED_VALUE"""),176.7390864261769)</f>
        <v>176.7390864</v>
      </c>
      <c r="DB95" s="688">
        <f>IFERROR(__xludf.DUMMYFUNCTION("""COMPUTED_VALUE"""),883.6954321308845)</f>
        <v>883.6954321</v>
      </c>
      <c r="DC95" s="673" t="str">
        <f>IFERROR(__xludf.DUMMYFUNCTION("""COMPUTED_VALUE"""),"攻撃力Down")</f>
        <v>攻撃力Down</v>
      </c>
      <c r="DD95" s="673">
        <f>IFERROR(__xludf.DUMMYFUNCTION("""COMPUTED_VALUE"""),10.0)</f>
        <v>10</v>
      </c>
      <c r="DE95" s="139">
        <f>IFERROR(__xludf.DUMMYFUNCTION("""COMPUTED_VALUE"""),15.0)</f>
        <v>15</v>
      </c>
      <c r="DF95" s="139" t="str">
        <f>IFERROR(__xludf.DUMMYFUNCTION("""COMPUTED_VALUE"""),"超持続型")</f>
        <v>超持続型</v>
      </c>
      <c r="DG95" s="139" t="str">
        <f>IFERROR(__xludf.DUMMYFUNCTION("""COMPUTED_VALUE"""),"範囲(中)")</f>
        <v>範囲(中)</v>
      </c>
      <c r="DH95" s="139">
        <f>IFERROR(__xludf.DUMMYFUNCTION("""COMPUTED_VALUE"""),0.7999999999999999)</f>
        <v>0.8</v>
      </c>
      <c r="DI95" s="139" t="str">
        <f>IFERROR(__xludf.DUMMYFUNCTION("""COMPUTED_VALUE"""),"敵")</f>
        <v>敵</v>
      </c>
      <c r="DJ95" s="139" t="str">
        <f>IFERROR(__xludf.DUMMYFUNCTION("""COMPUTED_VALUE"""),"All")</f>
        <v>All</v>
      </c>
    </row>
    <row r="96">
      <c r="A96" s="139" t="str">
        <f>IFERROR(__xludf.DUMMYFUNCTION("""COMPUTED_VALUE"""),"地獄楽")</f>
        <v>地獄楽</v>
      </c>
      <c r="B96" s="139" t="str">
        <f>IFERROR(__xludf.DUMMYFUNCTION("""COMPUTED_VALUE"""),"賊王 亜左 弔兵衛")</f>
        <v>賊王 亜左 弔兵衛</v>
      </c>
      <c r="C96" s="139" t="str">
        <f>IFERROR(__xludf.DUMMYFUNCTION("""COMPUTED_VALUE"""),"chara_jig_00401")</f>
        <v>chara_jig_00401</v>
      </c>
      <c r="D96" s="139" t="str">
        <f>IFERROR(__xludf.DUMMYFUNCTION("""COMPUTED_VALUE"""),"PremiumUR")</f>
        <v>PremiumUR</v>
      </c>
      <c r="E96" s="139" t="str">
        <f>IFERROR(__xludf.DUMMYFUNCTION("""COMPUTED_VALUE"""),"無")</f>
        <v>無</v>
      </c>
      <c r="F96" s="139" t="str">
        <f>IFERROR(__xludf.DUMMYFUNCTION("""COMPUTED_VALUE"""),"テクニカル")</f>
        <v>テクニカル</v>
      </c>
      <c r="G96" s="139" t="str">
        <f>IFERROR(__xludf.DUMMYFUNCTION("""COMPUTED_VALUE"""),"近距離")</f>
        <v>近距離</v>
      </c>
      <c r="H96" s="139" t="str">
        <f>IFERROR(__xludf.DUMMYFUNCTION("""COMPUTED_VALUE"""),"zangeki_1")</f>
        <v>zangeki_1</v>
      </c>
      <c r="I96" s="139" t="str">
        <f>IFERROR(__xludf.DUMMYFUNCTION("""COMPUTED_VALUE"""),"zangeki_1")</f>
        <v>zangeki_1</v>
      </c>
      <c r="J96" s="139" t="str">
        <f>IFERROR(__xludf.DUMMYFUNCTION("""COMPUTED_VALUE"""),"202601010_地獄楽")</f>
        <v>202601010_地獄楽</v>
      </c>
      <c r="K96" s="139" t="str">
        <f>IFERROR(__xludf.DUMMYFUNCTION("""COMPUTED_VALUE"""),"地獄楽いいジャン祭")</f>
        <v>地獄楽いいジャン祭</v>
      </c>
      <c r="L96" s="687" t="str">
        <f>IFERROR(__xludf.DUMMYFUNCTION("""COMPUTED_VALUE"""),"※")</f>
        <v>※</v>
      </c>
      <c r="M96" s="674">
        <f>IFERROR(__xludf.DUMMYFUNCTION("""COMPUTED_VALUE"""),1000.0)</f>
        <v>1000</v>
      </c>
      <c r="N96" s="139">
        <f>IFERROR(__xludf.DUMMYFUNCTION("""COMPUTED_VALUE"""),1000.0)</f>
        <v>1000</v>
      </c>
      <c r="O96" s="139" t="str">
        <f>IFERROR(__xludf.DUMMYFUNCTION("""COMPUTED_VALUE"""),"高コスト")</f>
        <v>高コスト</v>
      </c>
      <c r="P96" s="139">
        <f>IFERROR(__xludf.DUMMYFUNCTION("""COMPUTED_VALUE"""),-120.0)</f>
        <v>-120</v>
      </c>
      <c r="Q96" s="675">
        <f>IFERROR(__xludf.DUMMYFUNCTION("""COMPUTED_VALUE"""),60.0)</f>
        <v>60</v>
      </c>
      <c r="R96" s="675">
        <f>IFERROR(__xludf.DUMMYFUNCTION("""COMPUTED_VALUE"""),60.0)</f>
        <v>60</v>
      </c>
      <c r="S96" s="675">
        <f>IFERROR(__xludf.DUMMYFUNCTION("""COMPUTED_VALUE"""),22.5)</f>
        <v>22.5</v>
      </c>
      <c r="T96" s="674">
        <f>IFERROR(__xludf.DUMMYFUNCTION("""COMPUTED_VALUE"""),770.0)</f>
        <v>770</v>
      </c>
      <c r="U96" s="675">
        <f>IFERROR(__xludf.DUMMYFUNCTION("""COMPUTED_VALUE"""),15.400000000000002)</f>
        <v>15.4</v>
      </c>
      <c r="V96" s="675">
        <f>IFERROR(__xludf.DUMMYFUNCTION("""COMPUTED_VALUE"""),0.0)</f>
        <v>0</v>
      </c>
      <c r="W96" s="675">
        <f>IFERROR(__xludf.DUMMYFUNCTION("""COMPUTED_VALUE"""),0.0)</f>
        <v>0</v>
      </c>
      <c r="X96" s="675">
        <f>IFERROR(__xludf.DUMMYFUNCTION("""COMPUTED_VALUE"""),0.0)</f>
        <v>0</v>
      </c>
      <c r="Y96" s="674">
        <f>IFERROR(__xludf.DUMMYFUNCTION("""COMPUTED_VALUE"""),655.0)</f>
        <v>655</v>
      </c>
      <c r="Z96" s="675">
        <f>IFERROR(__xludf.DUMMYFUNCTION("""COMPUTED_VALUE"""),13.049999999999999)</f>
        <v>13.05</v>
      </c>
      <c r="AA96" s="675">
        <f>IFERROR(__xludf.DUMMYFUNCTION("""COMPUTED_VALUE"""),5.0)</f>
        <v>5</v>
      </c>
      <c r="AB96" s="673">
        <f>IFERROR(__xludf.DUMMYFUNCTION("""COMPUTED_VALUE"""),0.0)</f>
        <v>0</v>
      </c>
      <c r="AC96" s="675">
        <f>IFERROR(__xludf.DUMMYFUNCTION("""COMPUTED_VALUE"""),0.0)</f>
        <v>0</v>
      </c>
      <c r="AD96" s="674">
        <f>IFERROR(__xludf.DUMMYFUNCTION("""COMPUTED_VALUE"""),1140.0)</f>
        <v>1140</v>
      </c>
      <c r="AE96" s="675">
        <f>IFERROR(__xludf.DUMMYFUNCTION("""COMPUTED_VALUE"""),22.80163221085525)</f>
        <v>22.80163221</v>
      </c>
      <c r="AF96" s="675">
        <f>IFERROR(__xludf.DUMMYFUNCTION("""COMPUTED_VALUE"""),0.0)</f>
        <v>0</v>
      </c>
      <c r="AG96" s="675">
        <f>IFERROR(__xludf.DUMMYFUNCTION("""COMPUTED_VALUE"""),8.25)</f>
        <v>8.25</v>
      </c>
      <c r="AH96" s="675">
        <f>IFERROR(__xludf.DUMMYFUNCTION("""COMPUTED_VALUE"""),0.0)</f>
        <v>0</v>
      </c>
      <c r="AI96" s="675">
        <f>IFERROR(__xludf.DUMMYFUNCTION("""COMPUTED_VALUE"""),5.5)</f>
        <v>5.5</v>
      </c>
      <c r="AJ96" s="675">
        <f>IFERROR(__xludf.DUMMYFUNCTION("""COMPUTED_VALUE"""),17.30163221085525)</f>
        <v>17.30163221</v>
      </c>
      <c r="AK96" s="139">
        <f>IFERROR(__xludf.DUMMYFUNCTION("""COMPUTED_VALUE"""),1.0)</f>
        <v>1</v>
      </c>
      <c r="AL96" s="674">
        <f>IFERROR(__xludf.DUMMYFUNCTION("""COMPUTED_VALUE"""),2100.0)</f>
        <v>2100</v>
      </c>
      <c r="AM96" s="688">
        <f>IFERROR(__xludf.DUMMYFUNCTION("""COMPUTED_VALUE"""),17162.63905049148)</f>
        <v>17162.63905</v>
      </c>
      <c r="AN96" s="675">
        <f>IFERROR(__xludf.DUMMYFUNCTION("""COMPUTED_VALUE"""),14.0)</f>
        <v>14</v>
      </c>
      <c r="AO96" s="675">
        <f>IFERROR(__xludf.DUMMYFUNCTION("""COMPUTED_VALUE"""),7.0)</f>
        <v>7</v>
      </c>
      <c r="AP96" s="674">
        <f>IFERROR(__xludf.DUMMYFUNCTION("""COMPUTED_VALUE"""),3000.0)</f>
        <v>3000</v>
      </c>
      <c r="AQ96" s="673">
        <f>IFERROR(__xludf.DUMMYFUNCTION("""COMPUTED_VALUE"""),-0.3)</f>
        <v>-0.3</v>
      </c>
      <c r="AR96" s="673">
        <f>IFERROR(__xludf.DUMMYFUNCTION("""COMPUTED_VALUE"""),0.0)</f>
        <v>0</v>
      </c>
      <c r="AS96" s="673">
        <f>IFERROR(__xludf.DUMMYFUNCTION("""COMPUTED_VALUE"""),0.0)</f>
        <v>0</v>
      </c>
      <c r="AT96" s="673">
        <f>IFERROR(__xludf.DUMMYFUNCTION("""COMPUTED_VALUE"""),0.0)</f>
        <v>0</v>
      </c>
      <c r="AU96" s="673">
        <f>IFERROR(__xludf.DUMMYFUNCTION("""COMPUTED_VALUE"""),0.0)</f>
        <v>0</v>
      </c>
      <c r="AV96" s="673">
        <f>IFERROR(__xludf.DUMMYFUNCTION("""COMPUTED_VALUE"""),0.0)</f>
        <v>0</v>
      </c>
      <c r="AW96" s="139"/>
      <c r="AX96" s="674">
        <f>IFERROR(__xludf.DUMMYFUNCTION("""COMPUTED_VALUE"""),2500.0)</f>
        <v>2500</v>
      </c>
      <c r="AY96" s="688">
        <f>IFERROR(__xludf.DUMMYFUNCTION("""COMPUTED_VALUE"""),20432.090298204144)</f>
        <v>20432.0903</v>
      </c>
      <c r="AZ96" s="674">
        <f>IFERROR(__xludf.DUMMYFUNCTION("""COMPUTED_VALUE"""),2500.0)</f>
        <v>2500</v>
      </c>
      <c r="BA96" s="688">
        <f>IFERROR(__xludf.DUMMYFUNCTION("""COMPUTED_VALUE"""),20432.090298204144)</f>
        <v>20432.0903</v>
      </c>
      <c r="BB96" s="688" t="str">
        <f>IFERROR(__xludf.DUMMYFUNCTION("""COMPUTED_VALUE"""),"-")</f>
        <v>-</v>
      </c>
      <c r="BC96" s="688" t="str">
        <f>IFERROR(__xludf.DUMMYFUNCTION("""COMPUTED_VALUE"""),"#VALUE!")</f>
        <v>#VALUE!</v>
      </c>
      <c r="BD96" s="688" t="str">
        <f>IFERROR(__xludf.DUMMYFUNCTION("""COMPUTED_VALUE"""),"#VALUE!")</f>
        <v>#VALUE!</v>
      </c>
      <c r="BE96" s="674">
        <f>IFERROR(__xludf.DUMMYFUNCTION("""COMPUTED_VALUE"""),2500.0)</f>
        <v>2500</v>
      </c>
      <c r="BF96" s="674">
        <f>IFERROR(__xludf.DUMMYFUNCTION("""COMPUTED_VALUE"""),2000.0)</f>
        <v>2000</v>
      </c>
      <c r="BG96" s="673">
        <f>IFERROR(__xludf.DUMMYFUNCTION("""COMPUTED_VALUE"""),0.0)</f>
        <v>0</v>
      </c>
      <c r="BH96" s="673">
        <f>IFERROR(__xludf.DUMMYFUNCTION("""COMPUTED_VALUE"""),0.1)</f>
        <v>0.1</v>
      </c>
      <c r="BI96" s="673">
        <f>IFERROR(__xludf.DUMMYFUNCTION("""COMPUTED_VALUE"""),0.0)</f>
        <v>0</v>
      </c>
      <c r="BJ96" s="673">
        <f>IFERROR(__xludf.DUMMYFUNCTION("""COMPUTED_VALUE"""),0.15)</f>
        <v>0.15</v>
      </c>
      <c r="BK96" s="673">
        <f>IFERROR(__xludf.DUMMYFUNCTION("""COMPUTED_VALUE"""),0.0)</f>
        <v>0</v>
      </c>
      <c r="BL96" s="673">
        <f>IFERROR(__xludf.DUMMYFUNCTION("""COMPUTED_VALUE"""),0.0)</f>
        <v>0</v>
      </c>
      <c r="BM96" s="674">
        <f>IFERROR(__xludf.DUMMYFUNCTION("""COMPUTED_VALUE"""),50.0)</f>
        <v>50</v>
      </c>
      <c r="BN96" s="674">
        <f>IFERROR(__xludf.DUMMYFUNCTION("""COMPUTED_VALUE"""),50.0)</f>
        <v>50</v>
      </c>
      <c r="BO96" s="675">
        <f>IFERROR(__xludf.DUMMYFUNCTION("""COMPUTED_VALUE"""),0.0)</f>
        <v>0</v>
      </c>
      <c r="BP96" s="675">
        <f>IFERROR(__xludf.DUMMYFUNCTION("""COMPUTED_VALUE"""),1.0)</f>
        <v>1</v>
      </c>
      <c r="BQ96" s="139" t="str">
        <f>IFERROR(__xludf.DUMMYFUNCTION("""COMPUTED_VALUE"""),"(近距離)武器・道具・特殊攻撃")</f>
        <v>(近距離)武器・道具・特殊攻撃</v>
      </c>
      <c r="BR96" s="139">
        <f>IFERROR(__xludf.DUMMYFUNCTION("""COMPUTED_VALUE"""),3.0)</f>
        <v>3</v>
      </c>
      <c r="BS96" s="139">
        <f>IFERROR(__xludf.DUMMYFUNCTION("""COMPUTED_VALUE"""),30.0)</f>
        <v>30</v>
      </c>
      <c r="BT96" s="139">
        <f>IFERROR(__xludf.DUMMYFUNCTION("""COMPUTED_VALUE"""),0.31)</f>
        <v>0.31</v>
      </c>
      <c r="BU96" s="139">
        <f>IFERROR(__xludf.DUMMYFUNCTION("""COMPUTED_VALUE"""),0.0)</f>
        <v>0</v>
      </c>
      <c r="BV96" s="139" t="str">
        <f>IFERROR(__xludf.DUMMYFUNCTION("""COMPUTED_VALUE"""),"普通-遅い")</f>
        <v>普通-遅い</v>
      </c>
      <c r="BW96" s="139" t="str">
        <f>IFERROR(__xludf.DUMMYFUNCTION("""COMPUTED_VALUE"""),"体力条件強化(以上/被ダメカット)")</f>
        <v>体力条件強化(以上/被ダメカット)</v>
      </c>
      <c r="BX96" s="139" t="str">
        <f>IFERROR(__xludf.DUMMYFUNCTION("""COMPUTED_VALUE"""),"HP70/40")</f>
        <v>HP70/40</v>
      </c>
      <c r="BY96" s="139">
        <f>IFERROR(__xludf.DUMMYFUNCTION("""COMPUTED_VALUE"""),0.0)</f>
        <v>0</v>
      </c>
      <c r="BZ96" s="139" t="str">
        <f>IFERROR(__xludf.DUMMYFUNCTION("""COMPUTED_VALUE"""),"体力条件強化(以下/攻撃)")</f>
        <v>体力条件強化(以下/攻撃)</v>
      </c>
      <c r="CA96" s="139" t="str">
        <f>IFERROR(__xludf.DUMMYFUNCTION("""COMPUTED_VALUE"""),"HP69/35")</f>
        <v>HP69/35</v>
      </c>
      <c r="CB96" s="139">
        <f>IFERROR(__xludf.DUMMYFUNCTION("""COMPUTED_VALUE"""),4.0)</f>
        <v>4</v>
      </c>
      <c r="CC96" s="139" t="str">
        <f>IFERROR(__xludf.DUMMYFUNCTION("""COMPUTED_VALUE"""),"近距離")</f>
        <v>近距離</v>
      </c>
      <c r="CD96" s="139" t="str">
        <f>IFERROR(__xludf.DUMMYFUNCTION("""COMPUTED_VALUE"""),"単体")</f>
        <v>単体</v>
      </c>
      <c r="CE96" s="139">
        <f>IFERROR(__xludf.DUMMYFUNCTION("""COMPUTED_VALUE"""),1.0)</f>
        <v>1</v>
      </c>
      <c r="CF96" s="139">
        <f>IFERROR(__xludf.DUMMYFUNCTION("""COMPUTED_VALUE"""),0.32)</f>
        <v>0.32</v>
      </c>
      <c r="CG96" s="139" t="str">
        <f>IFERROR(__xludf.DUMMYFUNCTION("""COMPUTED_VALUE"""),"近距離")</f>
        <v>近距離</v>
      </c>
      <c r="CH96" s="139" t="str">
        <f>IFERROR(__xludf.DUMMYFUNCTION("""COMPUTED_VALUE"""),"範囲(中)")</f>
        <v>範囲(中)</v>
      </c>
      <c r="CI96" s="139">
        <f>IFERROR(__xludf.DUMMYFUNCTION("""COMPUTED_VALUE"""),0.65)</f>
        <v>0.65</v>
      </c>
      <c r="CJ96" s="139">
        <f>IFERROR(__xludf.DUMMYFUNCTION("""COMPUTED_VALUE"""),0.52)</f>
        <v>0.52</v>
      </c>
      <c r="CK96" s="139"/>
      <c r="CL96" s="139"/>
      <c r="CM96" s="139"/>
      <c r="CN96" s="675">
        <f>IFERROR(__xludf.DUMMYFUNCTION("""COMPUTED_VALUE"""),22.80163221085525)</f>
        <v>22.80163221</v>
      </c>
      <c r="CO96" s="139" t="str">
        <f>IFERROR(__xludf.DUMMYFUNCTION("""COMPUTED_VALUE"""),"-")</f>
        <v>-</v>
      </c>
      <c r="CP96" s="139" t="str">
        <f>IFERROR(__xludf.DUMMYFUNCTION("""COMPUTED_VALUE"""),"-")</f>
        <v>-</v>
      </c>
      <c r="CQ96" s="139" t="str">
        <f>IFERROR(__xludf.DUMMYFUNCTION("""COMPUTED_VALUE"""),"-")</f>
        <v>-</v>
      </c>
      <c r="CR96" s="139"/>
      <c r="CS96" s="673" t="str">
        <f>IFERROR(__xludf.DUMMYFUNCTION("""COMPUTED_VALUE"""),"攻撃(必殺)")</f>
        <v>攻撃(必殺)</v>
      </c>
      <c r="CT96" s="139" t="str">
        <f>IFERROR(__xludf.DUMMYFUNCTION("""COMPUTED_VALUE"""),"-")</f>
        <v>-</v>
      </c>
      <c r="CU96" s="139" t="str">
        <f>IFERROR(__xludf.DUMMYFUNCTION("""COMPUTED_VALUE"""),"敵")</f>
        <v>敵</v>
      </c>
      <c r="CV96" s="139" t="str">
        <f>IFERROR(__xludf.DUMMYFUNCTION("""COMPUTED_VALUE"""),"All")</f>
        <v>All</v>
      </c>
      <c r="CW96" s="139" t="str">
        <f>IFERROR(__xludf.DUMMYFUNCTION("""COMPUTED_VALUE"""),"All")</f>
        <v>All</v>
      </c>
      <c r="CX96" s="674">
        <f>IFERROR(__xludf.DUMMYFUNCTION("""COMPUTED_VALUE"""),130.0)</f>
        <v>130</v>
      </c>
      <c r="CY96" s="675" t="str">
        <f>IFERROR(__xludf.DUMMYFUNCTION("""COMPUTED_VALUE"""),"-")</f>
        <v>-</v>
      </c>
      <c r="CZ96" s="688">
        <f>IFERROR(__xludf.DUMMYFUNCTION("""COMPUTED_VALUE"""),26562.0)</f>
        <v>26562</v>
      </c>
      <c r="DA96" s="688">
        <f>IFERROR(__xludf.DUMMYFUNCTION("""COMPUTED_VALUE"""),1216.9627626186289)</f>
        <v>1216.962763</v>
      </c>
      <c r="DB96" s="688">
        <f>IFERROR(__xludf.DUMMYFUNCTION("""COMPUTED_VALUE"""),6084.813813093144)</f>
        <v>6084.813813</v>
      </c>
      <c r="DC96" s="673" t="str">
        <f>IFERROR(__xludf.DUMMYFUNCTION("""COMPUTED_VALUE"""),"弱体化")</f>
        <v>弱体化</v>
      </c>
      <c r="DD96" s="673">
        <f>IFERROR(__xludf.DUMMYFUNCTION("""COMPUTED_VALUE"""),50.0)</f>
        <v>50</v>
      </c>
      <c r="DE96" s="139">
        <f>IFERROR(__xludf.DUMMYFUNCTION("""COMPUTED_VALUE"""),5.5)</f>
        <v>5.5</v>
      </c>
      <c r="DF96" s="139" t="str">
        <f>IFERROR(__xludf.DUMMYFUNCTION("""COMPUTED_VALUE"""),"-")</f>
        <v>-</v>
      </c>
      <c r="DG96" s="139" t="str">
        <f>IFERROR(__xludf.DUMMYFUNCTION("""COMPUTED_VALUE"""),"-")</f>
        <v>-</v>
      </c>
      <c r="DH96" s="139" t="str">
        <f>IFERROR(__xludf.DUMMYFUNCTION("""COMPUTED_VALUE"""),"-")</f>
        <v>-</v>
      </c>
      <c r="DI96" s="139" t="str">
        <f>IFERROR(__xludf.DUMMYFUNCTION("""COMPUTED_VALUE"""),"-")</f>
        <v>-</v>
      </c>
      <c r="DJ96" s="139" t="str">
        <f>IFERROR(__xludf.DUMMYFUNCTION("""COMPUTED_VALUE"""),"-")</f>
        <v>-</v>
      </c>
    </row>
    <row r="97">
      <c r="A97" s="139" t="str">
        <f>IFERROR(__xludf.DUMMYFUNCTION("""COMPUTED_VALUE"""),"地獄楽")</f>
        <v>地獄楽</v>
      </c>
      <c r="B97" s="139" t="str">
        <f>IFERROR(__xludf.DUMMYFUNCTION("""COMPUTED_VALUE"""),"メイ")</f>
        <v>メイ</v>
      </c>
      <c r="C97" s="139" t="str">
        <f>IFERROR(__xludf.DUMMYFUNCTION("""COMPUTED_VALUE"""),"chara_jig_00701")</f>
        <v>chara_jig_00701</v>
      </c>
      <c r="D97" s="139" t="str">
        <f>IFERROR(__xludf.DUMMYFUNCTION("""COMPUTED_VALUE"""),"DropSR")</f>
        <v>DropSR</v>
      </c>
      <c r="E97" s="139" t="str">
        <f>IFERROR(__xludf.DUMMYFUNCTION("""COMPUTED_VALUE"""),"無")</f>
        <v>無</v>
      </c>
      <c r="F97" s="139" t="str">
        <f>IFERROR(__xludf.DUMMYFUNCTION("""COMPUTED_VALUE"""),"スペシャル")</f>
        <v>スペシャル</v>
      </c>
      <c r="G97" s="139" t="str">
        <f>IFERROR(__xludf.DUMMYFUNCTION("""COMPUTED_VALUE"""),"該当なし")</f>
        <v>該当なし</v>
      </c>
      <c r="H97" s="139" t="str">
        <f>IFERROR(__xludf.DUMMYFUNCTION("""COMPUTED_VALUE"""),"-")</f>
        <v>-</v>
      </c>
      <c r="I97" s="139" t="str">
        <f>IFERROR(__xludf.DUMMYFUNCTION("""COMPUTED_VALUE"""),"-")</f>
        <v>-</v>
      </c>
      <c r="J97" s="139" t="str">
        <f>IFERROR(__xludf.DUMMYFUNCTION("""COMPUTED_VALUE"""),"202601010_地獄楽")</f>
        <v>202601010_地獄楽</v>
      </c>
      <c r="K97" s="139" t="str">
        <f>IFERROR(__xludf.DUMMYFUNCTION("""COMPUTED_VALUE"""),"地獄楽いいジャン祭")</f>
        <v>地獄楽いいジャン祭</v>
      </c>
      <c r="L97" s="687" t="str">
        <f>IFERROR(__xludf.DUMMYFUNCTION("""COMPUTED_VALUE"""),"※")</f>
        <v>※</v>
      </c>
      <c r="M97" s="674">
        <f>IFERROR(__xludf.DUMMYFUNCTION("""COMPUTED_VALUE"""),650.0)</f>
        <v>650</v>
      </c>
      <c r="N97" s="139">
        <f>IFERROR(__xludf.DUMMYFUNCTION("""COMPUTED_VALUE"""),600.0)</f>
        <v>600</v>
      </c>
      <c r="O97" s="139" t="str">
        <f>IFERROR(__xludf.DUMMYFUNCTION("""COMPUTED_VALUE"""),"中コスト")</f>
        <v>中コスト</v>
      </c>
      <c r="P97" s="139">
        <f>IFERROR(__xludf.DUMMYFUNCTION("""COMPUTED_VALUE"""),30.0)</f>
        <v>30</v>
      </c>
      <c r="Q97" s="675">
        <f>IFERROR(__xludf.DUMMYFUNCTION("""COMPUTED_VALUE"""),20.0)</f>
        <v>20</v>
      </c>
      <c r="R97" s="675">
        <f>IFERROR(__xludf.DUMMYFUNCTION("""COMPUTED_VALUE"""),0.0)</f>
        <v>0</v>
      </c>
      <c r="S97" s="675">
        <f>IFERROR(__xludf.DUMMYFUNCTION("""COMPUTED_VALUE"""),13.75)</f>
        <v>13.75</v>
      </c>
      <c r="T97" s="674">
        <f>IFERROR(__xludf.DUMMYFUNCTION("""COMPUTED_VALUE"""),715.0)</f>
        <v>715</v>
      </c>
      <c r="U97" s="675">
        <f>IFERROR(__xludf.DUMMYFUNCTION("""COMPUTED_VALUE"""),14.3)</f>
        <v>14.3</v>
      </c>
      <c r="V97" s="675">
        <f>IFERROR(__xludf.DUMMYFUNCTION("""COMPUTED_VALUE"""),0.0)</f>
        <v>0</v>
      </c>
      <c r="W97" s="675">
        <f>IFERROR(__xludf.DUMMYFUNCTION("""COMPUTED_VALUE"""),0.0)</f>
        <v>0</v>
      </c>
      <c r="X97" s="675">
        <f>IFERROR(__xludf.DUMMYFUNCTION("""COMPUTED_VALUE"""),0.0)</f>
        <v>0</v>
      </c>
      <c r="Y97" s="674">
        <f>IFERROR(__xludf.DUMMYFUNCTION("""COMPUTED_VALUE"""),375.0)</f>
        <v>375</v>
      </c>
      <c r="Z97" s="675">
        <f>IFERROR(__xludf.DUMMYFUNCTION("""COMPUTED_VALUE"""),7.475)</f>
        <v>7.475</v>
      </c>
      <c r="AA97" s="675">
        <f>IFERROR(__xludf.DUMMYFUNCTION("""COMPUTED_VALUE"""),0.0)</f>
        <v>0</v>
      </c>
      <c r="AB97" s="673">
        <f>IFERROR(__xludf.DUMMYFUNCTION("""COMPUTED_VALUE"""),0.0)</f>
        <v>0</v>
      </c>
      <c r="AC97" s="675">
        <f>IFERROR(__xludf.DUMMYFUNCTION("""COMPUTED_VALUE"""),0.0)</f>
        <v>0</v>
      </c>
      <c r="AD97" s="674">
        <f>IFERROR(__xludf.DUMMYFUNCTION("""COMPUTED_VALUE"""),700.0)</f>
        <v>700</v>
      </c>
      <c r="AE97" s="675">
        <f>IFERROR(__xludf.DUMMYFUNCTION("""COMPUTED_VALUE"""),14.022303662380157)</f>
        <v>14.02230366</v>
      </c>
      <c r="AF97" s="675">
        <f>IFERROR(__xludf.DUMMYFUNCTION("""COMPUTED_VALUE"""),0.0)</f>
        <v>0</v>
      </c>
      <c r="AG97" s="675">
        <f>IFERROR(__xludf.DUMMYFUNCTION("""COMPUTED_VALUE"""),0.0)</f>
        <v>0</v>
      </c>
      <c r="AH97" s="675">
        <f>IFERROR(__xludf.DUMMYFUNCTION("""COMPUTED_VALUE"""),0.0)</f>
        <v>0</v>
      </c>
      <c r="AI97" s="675">
        <f>IFERROR(__xludf.DUMMYFUNCTION("""COMPUTED_VALUE"""),1.022303662380157)</f>
        <v>1.022303662</v>
      </c>
      <c r="AJ97" s="675">
        <f>IFERROR(__xludf.DUMMYFUNCTION("""COMPUTED_VALUE"""),13.0)</f>
        <v>13</v>
      </c>
      <c r="AK97" s="139">
        <f>IFERROR(__xludf.DUMMYFUNCTION("""COMPUTED_VALUE"""),1.0)</f>
        <v>1</v>
      </c>
      <c r="AL97" s="674">
        <f>IFERROR(__xludf.DUMMYFUNCTION("""COMPUTED_VALUE"""),1950.0)</f>
        <v>1950</v>
      </c>
      <c r="AM97" s="688">
        <f>IFERROR(__xludf.DUMMYFUNCTION("""COMPUTED_VALUE"""),13478.844832599234)</f>
        <v>13478.84483</v>
      </c>
      <c r="AN97" s="675">
        <f>IFERROR(__xludf.DUMMYFUNCTION("""COMPUTED_VALUE"""),13.0)</f>
        <v>13</v>
      </c>
      <c r="AO97" s="675">
        <f>IFERROR(__xludf.DUMMYFUNCTION("""COMPUTED_VALUE"""),6.5)</f>
        <v>6.5</v>
      </c>
      <c r="AP97" s="674">
        <f>IFERROR(__xludf.DUMMYFUNCTION("""COMPUTED_VALUE"""),1950.0)</f>
        <v>1950</v>
      </c>
      <c r="AQ97" s="673">
        <f>IFERROR(__xludf.DUMMYFUNCTION("""COMPUTED_VALUE"""),0.0)</f>
        <v>0</v>
      </c>
      <c r="AR97" s="673">
        <f>IFERROR(__xludf.DUMMYFUNCTION("""COMPUTED_VALUE"""),0.0)</f>
        <v>0</v>
      </c>
      <c r="AS97" s="673">
        <f>IFERROR(__xludf.DUMMYFUNCTION("""COMPUTED_VALUE"""),0.0)</f>
        <v>0</v>
      </c>
      <c r="AT97" s="673">
        <f>IFERROR(__xludf.DUMMYFUNCTION("""COMPUTED_VALUE"""),0.0)</f>
        <v>0</v>
      </c>
      <c r="AU97" s="673">
        <f>IFERROR(__xludf.DUMMYFUNCTION("""COMPUTED_VALUE"""),0.0)</f>
        <v>0</v>
      </c>
      <c r="AV97" s="673">
        <f>IFERROR(__xludf.DUMMYFUNCTION("""COMPUTED_VALUE"""),0.0)</f>
        <v>0</v>
      </c>
      <c r="AW97" s="139"/>
      <c r="AX97" s="674" t="str">
        <f>IFERROR(__xludf.DUMMYFUNCTION("""COMPUTED_VALUE"""),"#VALUE!")</f>
        <v>#VALUE!</v>
      </c>
      <c r="AY97" s="688" t="str">
        <f>IFERROR(__xludf.DUMMYFUNCTION("""COMPUTED_VALUE"""),"#VALUE!")</f>
        <v>#VALUE!</v>
      </c>
      <c r="AZ97" s="674" t="str">
        <f>IFERROR(__xludf.DUMMYFUNCTION("""COMPUTED_VALUE"""),"#VALUE!")</f>
        <v>#VALUE!</v>
      </c>
      <c r="BA97" s="688" t="str">
        <f>IFERROR(__xludf.DUMMYFUNCTION("""COMPUTED_VALUE"""),"#VALUE!")</f>
        <v>#VALUE!</v>
      </c>
      <c r="BB97" s="688" t="str">
        <f>IFERROR(__xludf.DUMMYFUNCTION("""COMPUTED_VALUE"""),"-")</f>
        <v>-</v>
      </c>
      <c r="BC97" s="688" t="str">
        <f>IFERROR(__xludf.DUMMYFUNCTION("""COMPUTED_VALUE"""),"#VALUE!")</f>
        <v>#VALUE!</v>
      </c>
      <c r="BD97" s="688" t="str">
        <f>IFERROR(__xludf.DUMMYFUNCTION("""COMPUTED_VALUE"""),"#VALUE!")</f>
        <v>#VALUE!</v>
      </c>
      <c r="BE97" s="674" t="str">
        <f>IFERROR(__xludf.DUMMYFUNCTION("""COMPUTED_VALUE"""),"#VALUE!")</f>
        <v>#VALUE!</v>
      </c>
      <c r="BF97" s="674">
        <f>IFERROR(__xludf.DUMMYFUNCTION("""COMPUTED_VALUE"""),1300.0)</f>
        <v>1300</v>
      </c>
      <c r="BG97" s="673">
        <f>IFERROR(__xludf.DUMMYFUNCTION("""COMPUTED_VALUE"""),0.0)</f>
        <v>0</v>
      </c>
      <c r="BH97" s="673">
        <f>IFERROR(__xludf.DUMMYFUNCTION("""COMPUTED_VALUE"""),0.0)</f>
        <v>0</v>
      </c>
      <c r="BI97" s="673">
        <f>IFERROR(__xludf.DUMMYFUNCTION("""COMPUTED_VALUE"""),0.0)</f>
        <v>0</v>
      </c>
      <c r="BJ97" s="673">
        <f>IFERROR(__xludf.DUMMYFUNCTION("""COMPUTED_VALUE"""),0.0)</f>
        <v>0</v>
      </c>
      <c r="BK97" s="673">
        <f>IFERROR(__xludf.DUMMYFUNCTION("""COMPUTED_VALUE"""),0.0)</f>
        <v>0</v>
      </c>
      <c r="BL97" s="673">
        <f>IFERROR(__xludf.DUMMYFUNCTION("""COMPUTED_VALUE"""),0.0)</f>
        <v>0</v>
      </c>
      <c r="BM97" s="674">
        <f>IFERROR(__xludf.DUMMYFUNCTION("""COMPUTED_VALUE"""),0.0)</f>
        <v>0</v>
      </c>
      <c r="BN97" s="674">
        <f>IFERROR(__xludf.DUMMYFUNCTION("""COMPUTED_VALUE"""),0.0)</f>
        <v>0</v>
      </c>
      <c r="BO97" s="675">
        <f>IFERROR(__xludf.DUMMYFUNCTION("""COMPUTED_VALUE"""),0.0)</f>
        <v>0</v>
      </c>
      <c r="BP97" s="675">
        <f>IFERROR(__xludf.DUMMYFUNCTION("""COMPUTED_VALUE"""),0.0)</f>
        <v>0</v>
      </c>
      <c r="BQ97" s="675" t="str">
        <f>IFERROR(__xludf.DUMMYFUNCTION("""COMPUTED_VALUE"""),"-")</f>
        <v>-</v>
      </c>
      <c r="BR97" s="139" t="str">
        <f>IFERROR(__xludf.DUMMYFUNCTION("""COMPUTED_VALUE"""),"該当なし")</f>
        <v>該当なし</v>
      </c>
      <c r="BS97" s="139" t="str">
        <f>IFERROR(__xludf.DUMMYFUNCTION("""COMPUTED_VALUE"""),"該当なし")</f>
        <v>該当なし</v>
      </c>
      <c r="BT97" s="139" t="str">
        <f>IFERROR(__xludf.DUMMYFUNCTION("""COMPUTED_VALUE"""),"#VALUE!")</f>
        <v>#VALUE!</v>
      </c>
      <c r="BU97" s="139">
        <f>IFERROR(__xludf.DUMMYFUNCTION("""COMPUTED_VALUE"""),0.0)</f>
        <v>0</v>
      </c>
      <c r="BV97" s="139" t="str">
        <f>IFERROR(__xludf.DUMMYFUNCTION("""COMPUTED_VALUE"""),"-")</f>
        <v>-</v>
      </c>
      <c r="BW97" s="139" t="str">
        <f>IFERROR(__xludf.DUMMYFUNCTION("""COMPUTED_VALUE"""),"-")</f>
        <v>-</v>
      </c>
      <c r="BX97" s="139" t="str">
        <f>IFERROR(__xludf.DUMMYFUNCTION("""COMPUTED_VALUE"""),"-")</f>
        <v>-</v>
      </c>
      <c r="BY97" s="139" t="str">
        <f>IFERROR(__xludf.DUMMYFUNCTION("""COMPUTED_VALUE"""),"-")</f>
        <v>-</v>
      </c>
      <c r="BZ97" s="139" t="str">
        <f>IFERROR(__xludf.DUMMYFUNCTION("""COMPUTED_VALUE"""),"-")</f>
        <v>-</v>
      </c>
      <c r="CA97" s="139" t="str">
        <f>IFERROR(__xludf.DUMMYFUNCTION("""COMPUTED_VALUE"""),"-")</f>
        <v>-</v>
      </c>
      <c r="CB97" s="139" t="str">
        <f>IFERROR(__xludf.DUMMYFUNCTION("""COMPUTED_VALUE"""),"-")</f>
        <v>-</v>
      </c>
      <c r="CC97" s="139" t="str">
        <f>IFERROR(__xludf.DUMMYFUNCTION("""COMPUTED_VALUE"""),"該当なし")</f>
        <v>該当なし</v>
      </c>
      <c r="CD97" s="139"/>
      <c r="CE97" s="139" t="str">
        <f>IFERROR(__xludf.DUMMYFUNCTION("""COMPUTED_VALUE"""),"-")</f>
        <v>-</v>
      </c>
      <c r="CF97" s="139" t="str">
        <f>IFERROR(__xludf.DUMMYFUNCTION("""COMPUTED_VALUE"""),"#VALUE!")</f>
        <v>#VALUE!</v>
      </c>
      <c r="CG97" s="139" t="str">
        <f>IFERROR(__xludf.DUMMYFUNCTION("""COMPUTED_VALUE"""),"タップしたコマ")</f>
        <v>タップしたコマ</v>
      </c>
      <c r="CH97" s="139" t="str">
        <f>IFERROR(__xludf.DUMMYFUNCTION("""COMPUTED_VALUE"""),"タップしたコマ")</f>
        <v>タップしたコマ</v>
      </c>
      <c r="CI97" s="139" t="str">
        <f>IFERROR(__xludf.DUMMYFUNCTION("""COMPUTED_VALUE"""),"-")</f>
        <v>-</v>
      </c>
      <c r="CJ97" s="139" t="str">
        <f>IFERROR(__xludf.DUMMYFUNCTION("""COMPUTED_VALUE"""),"タップしたコマ")</f>
        <v>タップしたコマ</v>
      </c>
      <c r="CK97" s="139" t="str">
        <f>IFERROR(__xludf.DUMMYFUNCTION("""COMPUTED_VALUE"""),"味方")</f>
        <v>味方</v>
      </c>
      <c r="CL97" s="139" t="str">
        <f>IFERROR(__xludf.DUMMYFUNCTION("""COMPUTED_VALUE"""),"All")</f>
        <v>All</v>
      </c>
      <c r="CM97" s="139" t="str">
        <f>IFERROR(__xludf.DUMMYFUNCTION("""COMPUTED_VALUE"""),"All")</f>
        <v>All</v>
      </c>
      <c r="CN97" s="675" t="str">
        <f>IFERROR(__xludf.DUMMYFUNCTION("""COMPUTED_VALUE"""),"-")</f>
        <v>-</v>
      </c>
      <c r="CO97" s="139" t="str">
        <f>IFERROR(__xludf.DUMMYFUNCTION("""COMPUTED_VALUE"""),"-")</f>
        <v>-</v>
      </c>
      <c r="CP97" s="139" t="str">
        <f>IFERROR(__xludf.DUMMYFUNCTION("""COMPUTED_VALUE"""),"-")</f>
        <v>-</v>
      </c>
      <c r="CQ97" s="139" t="str">
        <f>IFERROR(__xludf.DUMMYFUNCTION("""COMPUTED_VALUE"""),"-")</f>
        <v>-</v>
      </c>
      <c r="CR97" s="139" t="str">
        <f>IFERROR(__xludf.DUMMYFUNCTION("""COMPUTED_VALUE"""),"-")</f>
        <v>-</v>
      </c>
      <c r="CS97" s="673" t="str">
        <f>IFERROR(__xludf.DUMMYFUNCTION("""COMPUTED_VALUE"""),"HP回復(割合)")</f>
        <v>HP回復(割合)</v>
      </c>
      <c r="CT97" s="139" t="str">
        <f>IFERROR(__xludf.DUMMYFUNCTION("""COMPUTED_VALUE"""),"SP専用")</f>
        <v>SP専用</v>
      </c>
      <c r="CU97" s="139" t="str">
        <f>IFERROR(__xludf.DUMMYFUNCTION("""COMPUTED_VALUE"""),"味方")</f>
        <v>味方</v>
      </c>
      <c r="CV97" s="139" t="str">
        <f>IFERROR(__xludf.DUMMYFUNCTION("""COMPUTED_VALUE"""),"All")</f>
        <v>All</v>
      </c>
      <c r="CW97" s="139" t="str">
        <f>IFERROR(__xludf.DUMMYFUNCTION("""COMPUTED_VALUE"""),"All")</f>
        <v>All</v>
      </c>
      <c r="CX97" s="674">
        <f>IFERROR(__xludf.DUMMYFUNCTION("""COMPUTED_VALUE"""),20.0)</f>
        <v>20</v>
      </c>
      <c r="CY97" s="675" t="str">
        <f>IFERROR(__xludf.DUMMYFUNCTION("""COMPUTED_VALUE"""),"-")</f>
        <v>-</v>
      </c>
      <c r="CZ97" s="688" t="str">
        <f>IFERROR(__xludf.DUMMYFUNCTION("""COMPUTED_VALUE"""),"-")</f>
        <v>-</v>
      </c>
      <c r="DA97" s="688">
        <f>IFERROR(__xludf.DUMMYFUNCTION("""COMPUTED_VALUE"""),0.0)</f>
        <v>0</v>
      </c>
      <c r="DB97" s="688">
        <f>IFERROR(__xludf.DUMMYFUNCTION("""COMPUTED_VALUE"""),0.0)</f>
        <v>0</v>
      </c>
      <c r="DC97" s="673" t="str">
        <f>IFERROR(__xludf.DUMMYFUNCTION("""COMPUTED_VALUE"""),"-")</f>
        <v>-</v>
      </c>
      <c r="DD97" s="673" t="str">
        <f>IFERROR(__xludf.DUMMYFUNCTION("""COMPUTED_VALUE"""),"-")</f>
        <v>-</v>
      </c>
      <c r="DE97" s="139" t="str">
        <f>IFERROR(__xludf.DUMMYFUNCTION("""COMPUTED_VALUE"""),"-")</f>
        <v>-</v>
      </c>
      <c r="DF97" s="139" t="str">
        <f>IFERROR(__xludf.DUMMYFUNCTION("""COMPUTED_VALUE"""),"-")</f>
        <v>-</v>
      </c>
      <c r="DG97" s="139" t="str">
        <f>IFERROR(__xludf.DUMMYFUNCTION("""COMPUTED_VALUE"""),"-")</f>
        <v>-</v>
      </c>
      <c r="DH97" s="139" t="str">
        <f>IFERROR(__xludf.DUMMYFUNCTION("""COMPUTED_VALUE"""),"-")</f>
        <v>-</v>
      </c>
      <c r="DI97" s="139" t="str">
        <f>IFERROR(__xludf.DUMMYFUNCTION("""COMPUTED_VALUE"""),"-")</f>
        <v>-</v>
      </c>
      <c r="DJ97" s="139" t="str">
        <f>IFERROR(__xludf.DUMMYFUNCTION("""COMPUTED_VALUE"""),"-")</f>
        <v>-</v>
      </c>
    </row>
    <row r="98">
      <c r="A98" s="139" t="str">
        <f>IFERROR(__xludf.DUMMYFUNCTION("""COMPUTED_VALUE"""),"地獄楽")</f>
        <v>地獄楽</v>
      </c>
      <c r="B98" s="139" t="str">
        <f>IFERROR(__xludf.DUMMYFUNCTION("""COMPUTED_VALUE"""),"山田浅ェ門 桐馬")</f>
        <v>山田浅ェ門 桐馬</v>
      </c>
      <c r="C98" s="139" t="str">
        <f>IFERROR(__xludf.DUMMYFUNCTION("""COMPUTED_VALUE"""),"chara_jig_00501")</f>
        <v>chara_jig_00501</v>
      </c>
      <c r="D98" s="139" t="str">
        <f>IFERROR(__xludf.DUMMYFUNCTION("""COMPUTED_VALUE"""),"PremiumSSR")</f>
        <v>PremiumSSR</v>
      </c>
      <c r="E98" s="139" t="str">
        <f>IFERROR(__xludf.DUMMYFUNCTION("""COMPUTED_VALUE"""),"緑")</f>
        <v>緑</v>
      </c>
      <c r="F98" s="139" t="str">
        <f>IFERROR(__xludf.DUMMYFUNCTION("""COMPUTED_VALUE"""),"サポート")</f>
        <v>サポート</v>
      </c>
      <c r="G98" s="139" t="str">
        <f>IFERROR(__xludf.DUMMYFUNCTION("""COMPUTED_VALUE"""),"近距離")</f>
        <v>近距離</v>
      </c>
      <c r="H98" s="139" t="str">
        <f>IFERROR(__xludf.DUMMYFUNCTION("""COMPUTED_VALUE"""),"zangeki_1")</f>
        <v>zangeki_1</v>
      </c>
      <c r="I98" s="139" t="str">
        <f>IFERROR(__xludf.DUMMYFUNCTION("""COMPUTED_VALUE"""),"-")</f>
        <v>-</v>
      </c>
      <c r="J98" s="139" t="str">
        <f>IFERROR(__xludf.DUMMYFUNCTION("""COMPUTED_VALUE"""),"202601010_地獄楽")</f>
        <v>202601010_地獄楽</v>
      </c>
      <c r="K98" s="139" t="str">
        <f>IFERROR(__xludf.DUMMYFUNCTION("""COMPUTED_VALUE"""),"地獄楽いいジャン祭")</f>
        <v>地獄楽いいジャン祭</v>
      </c>
      <c r="L98" s="687" t="str">
        <f>IFERROR(__xludf.DUMMYFUNCTION("""COMPUTED_VALUE"""),"※")</f>
        <v>※</v>
      </c>
      <c r="M98" s="674">
        <f>IFERROR(__xludf.DUMMYFUNCTION("""COMPUTED_VALUE"""),605.0)</f>
        <v>605</v>
      </c>
      <c r="N98" s="139">
        <f>IFERROR(__xludf.DUMMYFUNCTION("""COMPUTED_VALUE"""),600.0)</f>
        <v>600</v>
      </c>
      <c r="O98" s="139" t="str">
        <f>IFERROR(__xludf.DUMMYFUNCTION("""COMPUTED_VALUE"""),"中コスト")</f>
        <v>中コスト</v>
      </c>
      <c r="P98" s="139">
        <f>IFERROR(__xludf.DUMMYFUNCTION("""COMPUTED_VALUE"""),-25.0)</f>
        <v>-25</v>
      </c>
      <c r="Q98" s="675">
        <f>IFERROR(__xludf.DUMMYFUNCTION("""COMPUTED_VALUE"""),20.0)</f>
        <v>20</v>
      </c>
      <c r="R98" s="675">
        <f>IFERROR(__xludf.DUMMYFUNCTION("""COMPUTED_VALUE"""),10.0)</f>
        <v>10</v>
      </c>
      <c r="S98" s="675">
        <f>IFERROR(__xludf.DUMMYFUNCTION("""COMPUTED_VALUE"""),12.625)</f>
        <v>12.625</v>
      </c>
      <c r="T98" s="674">
        <f>IFERROR(__xludf.DUMMYFUNCTION("""COMPUTED_VALUE"""),425.0)</f>
        <v>425</v>
      </c>
      <c r="U98" s="675">
        <f>IFERROR(__xludf.DUMMYFUNCTION("""COMPUTED_VALUE"""),8.506666666666668)</f>
        <v>8.506666667</v>
      </c>
      <c r="V98" s="675">
        <f>IFERROR(__xludf.DUMMYFUNCTION("""COMPUTED_VALUE"""),0.0)</f>
        <v>0</v>
      </c>
      <c r="W98" s="675">
        <f>IFERROR(__xludf.DUMMYFUNCTION("""COMPUTED_VALUE"""),0.0)</f>
        <v>0</v>
      </c>
      <c r="X98" s="675">
        <f>IFERROR(__xludf.DUMMYFUNCTION("""COMPUTED_VALUE"""),0.0)</f>
        <v>0</v>
      </c>
      <c r="Y98" s="674">
        <f>IFERROR(__xludf.DUMMYFUNCTION("""COMPUTED_VALUE"""),395.0)</f>
        <v>395</v>
      </c>
      <c r="Z98" s="675">
        <f>IFERROR(__xludf.DUMMYFUNCTION("""COMPUTED_VALUE"""),7.946666666666666)</f>
        <v>7.946666667</v>
      </c>
      <c r="AA98" s="675">
        <f>IFERROR(__xludf.DUMMYFUNCTION("""COMPUTED_VALUE"""),3.5)</f>
        <v>3.5</v>
      </c>
      <c r="AB98" s="673">
        <f>IFERROR(__xludf.DUMMYFUNCTION("""COMPUTED_VALUE"""),0.0)</f>
        <v>0</v>
      </c>
      <c r="AC98" s="675">
        <f>IFERROR(__xludf.DUMMYFUNCTION("""COMPUTED_VALUE"""),0.0)</f>
        <v>0</v>
      </c>
      <c r="AD98" s="674">
        <f>IFERROR(__xludf.DUMMYFUNCTION("""COMPUTED_VALUE"""),1740.0)</f>
        <v>1740</v>
      </c>
      <c r="AE98" s="675">
        <f>IFERROR(__xludf.DUMMYFUNCTION("""COMPUTED_VALUE"""),34.815112882751926)</f>
        <v>34.81511288</v>
      </c>
      <c r="AF98" s="675">
        <f>IFERROR(__xludf.DUMMYFUNCTION("""COMPUTED_VALUE"""),0.0)</f>
        <v>0</v>
      </c>
      <c r="AG98" s="675">
        <f>IFERROR(__xludf.DUMMYFUNCTION("""COMPUTED_VALUE"""),24.0)</f>
        <v>24</v>
      </c>
      <c r="AH98" s="675">
        <f>IFERROR(__xludf.DUMMYFUNCTION("""COMPUTED_VALUE"""),0.0)</f>
        <v>0</v>
      </c>
      <c r="AI98" s="675">
        <f>IFERROR(__xludf.DUMMYFUNCTION("""COMPUTED_VALUE"""),16.0)</f>
        <v>16</v>
      </c>
      <c r="AJ98" s="675">
        <f>IFERROR(__xludf.DUMMYFUNCTION("""COMPUTED_VALUE"""),18.815112882751926)</f>
        <v>18.81511288</v>
      </c>
      <c r="AK98" s="139">
        <f>IFERROR(__xludf.DUMMYFUNCTION("""COMPUTED_VALUE"""),0.0)</f>
        <v>0</v>
      </c>
      <c r="AL98" s="674">
        <f>IFERROR(__xludf.DUMMYFUNCTION("""COMPUTED_VALUE"""),1160.0)</f>
        <v>1160</v>
      </c>
      <c r="AM98" s="688">
        <f>IFERROR(__xludf.DUMMYFUNCTION("""COMPUTED_VALUE"""),8844.352618366724)</f>
        <v>8844.352618</v>
      </c>
      <c r="AN98" s="675">
        <f>IFERROR(__xludf.DUMMYFUNCTION("""COMPUTED_VALUE"""),7.733333333333333)</f>
        <v>7.733333333</v>
      </c>
      <c r="AO98" s="675">
        <f>IFERROR(__xludf.DUMMYFUNCTION("""COMPUTED_VALUE"""),3.8666666666666667)</f>
        <v>3.866666667</v>
      </c>
      <c r="AP98" s="674">
        <f>IFERROR(__xludf.DUMMYFUNCTION("""COMPUTED_VALUE"""),1820.0)</f>
        <v>1820</v>
      </c>
      <c r="AQ98" s="673">
        <f>IFERROR(__xludf.DUMMYFUNCTION("""COMPUTED_VALUE"""),-0.4)</f>
        <v>-0.4</v>
      </c>
      <c r="AR98" s="673">
        <f>IFERROR(__xludf.DUMMYFUNCTION("""COMPUTED_VALUE"""),0.15)</f>
        <v>0.15</v>
      </c>
      <c r="AS98" s="673">
        <f>IFERROR(__xludf.DUMMYFUNCTION("""COMPUTED_VALUE"""),0.0)</f>
        <v>0</v>
      </c>
      <c r="AT98" s="673">
        <f>IFERROR(__xludf.DUMMYFUNCTION("""COMPUTED_VALUE"""),-0.11)</f>
        <v>-0.11</v>
      </c>
      <c r="AU98" s="673">
        <f>IFERROR(__xludf.DUMMYFUNCTION("""COMPUTED_VALUE"""),0.0)</f>
        <v>0</v>
      </c>
      <c r="AV98" s="673">
        <f>IFERROR(__xludf.DUMMYFUNCTION("""COMPUTED_VALUE"""),0.0)</f>
        <v>0</v>
      </c>
      <c r="AW98" s="139"/>
      <c r="AX98" s="674">
        <f>IFERROR(__xludf.DUMMYFUNCTION("""COMPUTED_VALUE"""),1200.0)</f>
        <v>1200</v>
      </c>
      <c r="AY98" s="688">
        <f>IFERROR(__xludf.DUMMYFUNCTION("""COMPUTED_VALUE"""),9149.033743137988)</f>
        <v>9149.033743</v>
      </c>
      <c r="AZ98" s="674">
        <f>IFERROR(__xludf.DUMMYFUNCTION("""COMPUTED_VALUE"""),800.0)</f>
        <v>800</v>
      </c>
      <c r="BA98" s="688">
        <f>IFERROR(__xludf.DUMMYFUNCTION("""COMPUTED_VALUE"""),6099.355828758659)</f>
        <v>6099.355829</v>
      </c>
      <c r="BB98" s="688">
        <f>IFERROR(__xludf.DUMMYFUNCTION("""COMPUTED_VALUE"""),7014.259203072457)</f>
        <v>7014.259203</v>
      </c>
      <c r="BC98" s="688" t="str">
        <f>IFERROR(__xludf.DUMMYFUNCTION("""COMPUTED_VALUE"""),"#VALUE!")</f>
        <v>#VALUE!</v>
      </c>
      <c r="BD98" s="688" t="str">
        <f>IFERROR(__xludf.DUMMYFUNCTION("""COMPUTED_VALUE"""),"#VALUE!")</f>
        <v>#VALUE!</v>
      </c>
      <c r="BE98" s="674">
        <f>IFERROR(__xludf.DUMMYFUNCTION("""COMPUTED_VALUE"""),800.0)</f>
        <v>800</v>
      </c>
      <c r="BF98" s="674">
        <f>IFERROR(__xludf.DUMMYFUNCTION("""COMPUTED_VALUE"""),1210.0)</f>
        <v>1210</v>
      </c>
      <c r="BG98" s="673">
        <f>IFERROR(__xludf.DUMMYFUNCTION("""COMPUTED_VALUE"""),0.11)</f>
        <v>0.11</v>
      </c>
      <c r="BH98" s="673">
        <f>IFERROR(__xludf.DUMMYFUNCTION("""COMPUTED_VALUE"""),-0.3)</f>
        <v>-0.3</v>
      </c>
      <c r="BI98" s="673">
        <f>IFERROR(__xludf.DUMMYFUNCTION("""COMPUTED_VALUE"""),0.0)</f>
        <v>0</v>
      </c>
      <c r="BJ98" s="673">
        <f>IFERROR(__xludf.DUMMYFUNCTION("""COMPUTED_VALUE"""),0.0)</f>
        <v>0</v>
      </c>
      <c r="BK98" s="673">
        <f>IFERROR(__xludf.DUMMYFUNCTION("""COMPUTED_VALUE"""),-0.15)</f>
        <v>-0.15</v>
      </c>
      <c r="BL98" s="673">
        <f>IFERROR(__xludf.DUMMYFUNCTION("""COMPUTED_VALUE"""),0.0)</f>
        <v>0</v>
      </c>
      <c r="BM98" s="674">
        <f>IFERROR(__xludf.DUMMYFUNCTION("""COMPUTED_VALUE"""),75.0)</f>
        <v>75</v>
      </c>
      <c r="BN98" s="674">
        <f>IFERROR(__xludf.DUMMYFUNCTION("""COMPUTED_VALUE"""),75.0)</f>
        <v>75</v>
      </c>
      <c r="BO98" s="675">
        <f>IFERROR(__xludf.DUMMYFUNCTION("""COMPUTED_VALUE"""),0.0)</f>
        <v>0</v>
      </c>
      <c r="BP98" s="675">
        <f>IFERROR(__xludf.DUMMYFUNCTION("""COMPUTED_VALUE"""),1.5)</f>
        <v>1.5</v>
      </c>
      <c r="BQ98" s="139" t="str">
        <f>IFERROR(__xludf.DUMMYFUNCTION("""COMPUTED_VALUE"""),"(近距離)武器・道具・特殊攻撃")</f>
        <v>(近距離)武器・道具・特殊攻撃</v>
      </c>
      <c r="BR98" s="139">
        <f>IFERROR(__xludf.DUMMYFUNCTION("""COMPUTED_VALUE"""),2.0)</f>
        <v>2</v>
      </c>
      <c r="BS98" s="139">
        <f>IFERROR(__xludf.DUMMYFUNCTION("""COMPUTED_VALUE"""),30.0)</f>
        <v>30</v>
      </c>
      <c r="BT98" s="139">
        <f>IFERROR(__xludf.DUMMYFUNCTION("""COMPUTED_VALUE"""),0.32)</f>
        <v>0.32</v>
      </c>
      <c r="BU98" s="139">
        <f>IFERROR(__xludf.DUMMYFUNCTION("""COMPUTED_VALUE"""),0.0)</f>
        <v>0</v>
      </c>
      <c r="BV98" s="139" t="str">
        <f>IFERROR(__xludf.DUMMYFUNCTION("""COMPUTED_VALUE"""),"普通-遅い")</f>
        <v>普通-遅い</v>
      </c>
      <c r="BW98" s="139" t="str">
        <f>IFERROR(__xludf.DUMMYFUNCTION("""COMPUTED_VALUE"""),"突風コマ無効化")</f>
        <v>突風コマ無効化</v>
      </c>
      <c r="BX98" s="139" t="str">
        <f>IFERROR(__xludf.DUMMYFUNCTION("""COMPUTED_VALUE"""),"-")</f>
        <v>-</v>
      </c>
      <c r="BY98" s="139">
        <f>IFERROR(__xludf.DUMMYFUNCTION("""COMPUTED_VALUE"""),0.0)</f>
        <v>0</v>
      </c>
      <c r="BZ98" s="139" t="str">
        <f>IFERROR(__xludf.DUMMYFUNCTION("""COMPUTED_VALUE"""),"-")</f>
        <v>-</v>
      </c>
      <c r="CA98" s="139" t="str">
        <f>IFERROR(__xludf.DUMMYFUNCTION("""COMPUTED_VALUE"""),"-")</f>
        <v>-</v>
      </c>
      <c r="CB98" s="139" t="str">
        <f>IFERROR(__xludf.DUMMYFUNCTION("""COMPUTED_VALUE"""),"-")</f>
        <v>-</v>
      </c>
      <c r="CC98" s="139" t="str">
        <f>IFERROR(__xludf.DUMMYFUNCTION("""COMPUTED_VALUE"""),"近距離")</f>
        <v>近距離</v>
      </c>
      <c r="CD98" s="139" t="str">
        <f>IFERROR(__xludf.DUMMYFUNCTION("""COMPUTED_VALUE"""),"単体")</f>
        <v>単体</v>
      </c>
      <c r="CE98" s="139">
        <f>IFERROR(__xludf.DUMMYFUNCTION("""COMPUTED_VALUE"""),1.0)</f>
        <v>1</v>
      </c>
      <c r="CF98" s="139">
        <f>IFERROR(__xludf.DUMMYFUNCTION("""COMPUTED_VALUE"""),0.33)</f>
        <v>0.33</v>
      </c>
      <c r="CG98" s="139" t="str">
        <f>IFERROR(__xludf.DUMMYFUNCTION("""COMPUTED_VALUE"""),"自身と１つ先のコマにいる味方")</f>
        <v>自身と１つ先のコマにいる味方</v>
      </c>
      <c r="CH98" s="139" t="str">
        <f>IFERROR(__xludf.DUMMYFUNCTION("""COMPUTED_VALUE"""),"範囲(コマ)0,+1")</f>
        <v>範囲(コマ)0,+1</v>
      </c>
      <c r="CI98" s="139">
        <f>IFERROR(__xludf.DUMMYFUNCTION("""COMPUTED_VALUE"""),0.6)</f>
        <v>0.6</v>
      </c>
      <c r="CJ98" s="139" t="str">
        <f>IFERROR(__xludf.DUMMYFUNCTION("""COMPUTED_VALUE"""),"(コマ)0,+1")</f>
        <v>(コマ)0,+1</v>
      </c>
      <c r="CK98" s="139"/>
      <c r="CL98" s="139"/>
      <c r="CM98" s="139"/>
      <c r="CN98" s="675">
        <f>IFERROR(__xludf.DUMMYFUNCTION("""COMPUTED_VALUE"""),34.815112882751926)</f>
        <v>34.81511288</v>
      </c>
      <c r="CO98" s="139" t="str">
        <f>IFERROR(__xludf.DUMMYFUNCTION("""COMPUTED_VALUE"""),"-")</f>
        <v>-</v>
      </c>
      <c r="CP98" s="139" t="str">
        <f>IFERROR(__xludf.DUMMYFUNCTION("""COMPUTED_VALUE"""),"-")</f>
        <v>-</v>
      </c>
      <c r="CQ98" s="139" t="str">
        <f>IFERROR(__xludf.DUMMYFUNCTION("""COMPUTED_VALUE"""),"-")</f>
        <v>-</v>
      </c>
      <c r="CR98" s="139"/>
      <c r="CS98" s="673" t="str">
        <f>IFERROR(__xludf.DUMMYFUNCTION("""COMPUTED_VALUE"""),"攻撃力UP")</f>
        <v>攻撃力UP</v>
      </c>
      <c r="CT98" s="139" t="str">
        <f>IFERROR(__xludf.DUMMYFUNCTION("""COMPUTED_VALUE"""),"安定型")</f>
        <v>安定型</v>
      </c>
      <c r="CU98" s="139" t="str">
        <f>IFERROR(__xludf.DUMMYFUNCTION("""COMPUTED_VALUE"""),"味方")</f>
        <v>味方</v>
      </c>
      <c r="CV98" s="139" t="str">
        <f>IFERROR(__xludf.DUMMYFUNCTION("""COMPUTED_VALUE"""),"緑")</f>
        <v>緑</v>
      </c>
      <c r="CW98" s="139" t="str">
        <f>IFERROR(__xludf.DUMMYFUNCTION("""COMPUTED_VALUE"""),"All")</f>
        <v>All</v>
      </c>
      <c r="CX98" s="674">
        <f>IFERROR(__xludf.DUMMYFUNCTION("""COMPUTED_VALUE"""),15.0)</f>
        <v>15</v>
      </c>
      <c r="CY98" s="675">
        <f>IFERROR(__xludf.DUMMYFUNCTION("""COMPUTED_VALUE"""),8.0)</f>
        <v>8</v>
      </c>
      <c r="CZ98" s="688" t="str">
        <f>IFERROR(__xludf.DUMMYFUNCTION("""COMPUTED_VALUE"""),"-")</f>
        <v>-</v>
      </c>
      <c r="DA98" s="688">
        <f>IFERROR(__xludf.DUMMYFUNCTION("""COMPUTED_VALUE"""),0.0)</f>
        <v>0</v>
      </c>
      <c r="DB98" s="688">
        <f>IFERROR(__xludf.DUMMYFUNCTION("""COMPUTED_VALUE"""),0.0)</f>
        <v>0</v>
      </c>
      <c r="DC98" s="673" t="str">
        <f>IFERROR(__xludf.DUMMYFUNCTION("""COMPUTED_VALUE"""),"ダメージカット")</f>
        <v>ダメージカット</v>
      </c>
      <c r="DD98" s="673">
        <f>IFERROR(__xludf.DUMMYFUNCTION("""COMPUTED_VALUE"""),15.0)</f>
        <v>15</v>
      </c>
      <c r="DE98" s="675">
        <f>IFERROR(__xludf.DUMMYFUNCTION("""COMPUTED_VALUE"""),8.0)</f>
        <v>8</v>
      </c>
      <c r="DF98" s="139" t="str">
        <f>IFERROR(__xludf.DUMMYFUNCTION("""COMPUTED_VALUE"""),"-")</f>
        <v>-</v>
      </c>
      <c r="DG98" s="139" t="str">
        <f>IFERROR(__xludf.DUMMYFUNCTION("""COMPUTED_VALUE"""),"-")</f>
        <v>-</v>
      </c>
      <c r="DH98" s="139" t="str">
        <f>IFERROR(__xludf.DUMMYFUNCTION("""COMPUTED_VALUE"""),"-")</f>
        <v>-</v>
      </c>
      <c r="DI98" s="139" t="str">
        <f>IFERROR(__xludf.DUMMYFUNCTION("""COMPUTED_VALUE"""),"-")</f>
        <v>-</v>
      </c>
      <c r="DJ98" s="139" t="str">
        <f>IFERROR(__xludf.DUMMYFUNCTION("""COMPUTED_VALUE"""),"-")</f>
        <v>-</v>
      </c>
    </row>
    <row r="99">
      <c r="A99" s="139" t="str">
        <f>IFERROR(__xludf.DUMMYFUNCTION("""COMPUTED_VALUE"""),"地獄楽")</f>
        <v>地獄楽</v>
      </c>
      <c r="B99" s="139" t="str">
        <f>IFERROR(__xludf.DUMMYFUNCTION("""COMPUTED_VALUE"""),"民谷 巌鉄斎")</f>
        <v>民谷 巌鉄斎</v>
      </c>
      <c r="C99" s="139" t="str">
        <f>IFERROR(__xludf.DUMMYFUNCTION("""COMPUTED_VALUE"""),"chara_jig_00601")</f>
        <v>chara_jig_00601</v>
      </c>
      <c r="D99" s="139" t="str">
        <f>IFERROR(__xludf.DUMMYFUNCTION("""COMPUTED_VALUE"""),"DropSR")</f>
        <v>DropSR</v>
      </c>
      <c r="E99" s="139" t="str">
        <f>IFERROR(__xludf.DUMMYFUNCTION("""COMPUTED_VALUE"""),"青")</f>
        <v>青</v>
      </c>
      <c r="F99" s="139" t="str">
        <f>IFERROR(__xludf.DUMMYFUNCTION("""COMPUTED_VALUE"""),"ディフェンス")</f>
        <v>ディフェンス</v>
      </c>
      <c r="G99" s="139" t="str">
        <f>IFERROR(__xludf.DUMMYFUNCTION("""COMPUTED_VALUE"""),"近距離")</f>
        <v>近距離</v>
      </c>
      <c r="H99" s="139" t="str">
        <f>IFERROR(__xludf.DUMMYFUNCTION("""COMPUTED_VALUE"""),"zangeki_1")</f>
        <v>zangeki_1</v>
      </c>
      <c r="I99" s="139" t="str">
        <f>IFERROR(__xludf.DUMMYFUNCTION("""COMPUTED_VALUE"""),"zangeki_1")</f>
        <v>zangeki_1</v>
      </c>
      <c r="J99" s="139" t="str">
        <f>IFERROR(__xludf.DUMMYFUNCTION("""COMPUTED_VALUE"""),"202601010_地獄楽")</f>
        <v>202601010_地獄楽</v>
      </c>
      <c r="K99" s="139" t="str">
        <f>IFERROR(__xludf.DUMMYFUNCTION("""COMPUTED_VALUE"""),"地獄楽いいジャン祭")</f>
        <v>地獄楽いいジャン祭</v>
      </c>
      <c r="L99" s="687" t="str">
        <f>IFERROR(__xludf.DUMMYFUNCTION("""COMPUTED_VALUE"""),"※")</f>
        <v>※</v>
      </c>
      <c r="M99" s="674">
        <f>IFERROR(__xludf.DUMMYFUNCTION("""COMPUTED_VALUE"""),440.0)</f>
        <v>440</v>
      </c>
      <c r="N99" s="139">
        <f>IFERROR(__xludf.DUMMYFUNCTION("""COMPUTED_VALUE"""),600.0)</f>
        <v>600</v>
      </c>
      <c r="O99" s="139" t="str">
        <f>IFERROR(__xludf.DUMMYFUNCTION("""COMPUTED_VALUE"""),"中コスト")</f>
        <v>中コスト</v>
      </c>
      <c r="P99" s="139">
        <f>IFERROR(__xludf.DUMMYFUNCTION("""COMPUTED_VALUE"""),-200.0)</f>
        <v>-200</v>
      </c>
      <c r="Q99" s="675">
        <f>IFERROR(__xludf.DUMMYFUNCTION("""COMPUTED_VALUE"""),20.0)</f>
        <v>20</v>
      </c>
      <c r="R99" s="675">
        <f>IFERROR(__xludf.DUMMYFUNCTION("""COMPUTED_VALUE"""),20.0)</f>
        <v>20</v>
      </c>
      <c r="S99" s="675">
        <f>IFERROR(__xludf.DUMMYFUNCTION("""COMPUTED_VALUE"""),8.5)</f>
        <v>8.5</v>
      </c>
      <c r="T99" s="674">
        <f>IFERROR(__xludf.DUMMYFUNCTION("""COMPUTED_VALUE"""),920.0)</f>
        <v>920</v>
      </c>
      <c r="U99" s="675">
        <f>IFERROR(__xludf.DUMMYFUNCTION("""COMPUTED_VALUE"""),18.40666666666667)</f>
        <v>18.40666667</v>
      </c>
      <c r="V99" s="675">
        <f>IFERROR(__xludf.DUMMYFUNCTION("""COMPUTED_VALUE"""),0.0)</f>
        <v>0</v>
      </c>
      <c r="W99" s="675">
        <f>IFERROR(__xludf.DUMMYFUNCTION("""COMPUTED_VALUE"""),0.0)</f>
        <v>0</v>
      </c>
      <c r="X99" s="675">
        <f>IFERROR(__xludf.DUMMYFUNCTION("""COMPUTED_VALUE"""),0.0)</f>
        <v>0</v>
      </c>
      <c r="Y99" s="674">
        <f>IFERROR(__xludf.DUMMYFUNCTION("""COMPUTED_VALUE"""),480.0)</f>
        <v>480</v>
      </c>
      <c r="Z99" s="675">
        <f>IFERROR(__xludf.DUMMYFUNCTION("""COMPUTED_VALUE"""),9.621666666666666)</f>
        <v>9.621666667</v>
      </c>
      <c r="AA99" s="675">
        <f>IFERROR(__xludf.DUMMYFUNCTION("""COMPUTED_VALUE"""),0.0)</f>
        <v>0</v>
      </c>
      <c r="AB99" s="673">
        <f>IFERROR(__xludf.DUMMYFUNCTION("""COMPUTED_VALUE"""),0.0)</f>
        <v>0</v>
      </c>
      <c r="AC99" s="675">
        <f>IFERROR(__xludf.DUMMYFUNCTION("""COMPUTED_VALUE"""),0.0)</f>
        <v>0</v>
      </c>
      <c r="AD99" s="674">
        <f>IFERROR(__xludf.DUMMYFUNCTION("""COMPUTED_VALUE"""),1195.0)</f>
        <v>1195</v>
      </c>
      <c r="AE99" s="675">
        <f>IFERROR(__xludf.DUMMYFUNCTION("""COMPUTED_VALUE"""),23.863282464908302)</f>
        <v>23.86328246</v>
      </c>
      <c r="AF99" s="675">
        <f>IFERROR(__xludf.DUMMYFUNCTION("""COMPUTED_VALUE"""),0.0)</f>
        <v>0</v>
      </c>
      <c r="AG99" s="675">
        <f>IFERROR(__xludf.DUMMYFUNCTION("""COMPUTED_VALUE"""),7.954427488302767)</f>
        <v>7.954427488</v>
      </c>
      <c r="AH99" s="675">
        <f>IFERROR(__xludf.DUMMYFUNCTION("""COMPUTED_VALUE"""),0.0)</f>
        <v>0</v>
      </c>
      <c r="AI99" s="139" t="str">
        <f>IFERROR(__xludf.DUMMYFUNCTION("""COMPUTED_VALUE"""),"-")</f>
        <v>-</v>
      </c>
      <c r="AJ99" s="675" t="str">
        <f>IFERROR(__xludf.DUMMYFUNCTION("""COMPUTED_VALUE"""),"-")</f>
        <v>-</v>
      </c>
      <c r="AK99" s="139">
        <f>IFERROR(__xludf.DUMMYFUNCTION("""COMPUTED_VALUE"""),1.0)</f>
        <v>1</v>
      </c>
      <c r="AL99" s="674">
        <f>IFERROR(__xludf.DUMMYFUNCTION("""COMPUTED_VALUE"""),2510.0)</f>
        <v>2510</v>
      </c>
      <c r="AM99" s="688">
        <f>IFERROR(__xludf.DUMMYFUNCTION("""COMPUTED_VALUE"""),17352.34057939696)</f>
        <v>17352.34058</v>
      </c>
      <c r="AN99" s="675">
        <f>IFERROR(__xludf.DUMMYFUNCTION("""COMPUTED_VALUE"""),16.733333333333334)</f>
        <v>16.73333333</v>
      </c>
      <c r="AO99" s="675">
        <f>IFERROR(__xludf.DUMMYFUNCTION("""COMPUTED_VALUE"""),8.366666666666667)</f>
        <v>8.366666667</v>
      </c>
      <c r="AP99" s="674">
        <f>IFERROR(__xludf.DUMMYFUNCTION("""COMPUTED_VALUE"""),1320.0)</f>
        <v>1320</v>
      </c>
      <c r="AQ99" s="673">
        <f>IFERROR(__xludf.DUMMYFUNCTION("""COMPUTED_VALUE"""),0.9)</f>
        <v>0.9</v>
      </c>
      <c r="AR99" s="673">
        <f>IFERROR(__xludf.DUMMYFUNCTION("""COMPUTED_VALUE"""),0.0)</f>
        <v>0</v>
      </c>
      <c r="AS99" s="673">
        <f>IFERROR(__xludf.DUMMYFUNCTION("""COMPUTED_VALUE"""),0.0)</f>
        <v>0</v>
      </c>
      <c r="AT99" s="673">
        <f>IFERROR(__xludf.DUMMYFUNCTION("""COMPUTED_VALUE"""),0.0)</f>
        <v>0</v>
      </c>
      <c r="AU99" s="673">
        <f>IFERROR(__xludf.DUMMYFUNCTION("""COMPUTED_VALUE"""),0.0)</f>
        <v>0</v>
      </c>
      <c r="AV99" s="673">
        <f>IFERROR(__xludf.DUMMYFUNCTION("""COMPUTED_VALUE"""),0.0)</f>
        <v>0</v>
      </c>
      <c r="AW99" s="139"/>
      <c r="AX99" s="674">
        <f>IFERROR(__xludf.DUMMYFUNCTION("""COMPUTED_VALUE"""),880.0)</f>
        <v>880</v>
      </c>
      <c r="AY99" s="688">
        <f>IFERROR(__xludf.DUMMYFUNCTION("""COMPUTED_VALUE"""),6082.104744967859)</f>
        <v>6082.104745</v>
      </c>
      <c r="AZ99" s="674">
        <f>IFERROR(__xludf.DUMMYFUNCTION("""COMPUTED_VALUE"""),440.0)</f>
        <v>440</v>
      </c>
      <c r="BA99" s="688">
        <f>IFERROR(__xludf.DUMMYFUNCTION("""COMPUTED_VALUE"""),3041.0523724839295)</f>
        <v>3041.052372</v>
      </c>
      <c r="BB99" s="688" t="str">
        <f>IFERROR(__xludf.DUMMYFUNCTION("""COMPUTED_VALUE"""),"-")</f>
        <v>-</v>
      </c>
      <c r="BC99" s="688" t="str">
        <f>IFERROR(__xludf.DUMMYFUNCTION("""COMPUTED_VALUE"""),"#VALUE!")</f>
        <v>#VALUE!</v>
      </c>
      <c r="BD99" s="688" t="str">
        <f>IFERROR(__xludf.DUMMYFUNCTION("""COMPUTED_VALUE"""),"#VALUE!")</f>
        <v>#VALUE!</v>
      </c>
      <c r="BE99" s="674">
        <f>IFERROR(__xludf.DUMMYFUNCTION("""COMPUTED_VALUE"""),440.0)</f>
        <v>440</v>
      </c>
      <c r="BF99" s="674">
        <f>IFERROR(__xludf.DUMMYFUNCTION("""COMPUTED_VALUE"""),880.0)</f>
        <v>880</v>
      </c>
      <c r="BG99" s="673">
        <f>IFERROR(__xludf.DUMMYFUNCTION("""COMPUTED_VALUE"""),0.0)</f>
        <v>0</v>
      </c>
      <c r="BH99" s="673">
        <f>IFERROR(__xludf.DUMMYFUNCTION("""COMPUTED_VALUE"""),-0.5)</f>
        <v>-0.5</v>
      </c>
      <c r="BI99" s="673">
        <f>IFERROR(__xludf.DUMMYFUNCTION("""COMPUTED_VALUE"""),0.0)</f>
        <v>0</v>
      </c>
      <c r="BJ99" s="673">
        <f>IFERROR(__xludf.DUMMYFUNCTION("""COMPUTED_VALUE"""),0.0)</f>
        <v>0</v>
      </c>
      <c r="BK99" s="673">
        <f>IFERROR(__xludf.DUMMYFUNCTION("""COMPUTED_VALUE"""),0.0)</f>
        <v>0</v>
      </c>
      <c r="BL99" s="673">
        <f>IFERROR(__xludf.DUMMYFUNCTION("""COMPUTED_VALUE"""),0.0)</f>
        <v>0</v>
      </c>
      <c r="BM99" s="674">
        <f>IFERROR(__xludf.DUMMYFUNCTION("""COMPUTED_VALUE"""),100.0)</f>
        <v>100</v>
      </c>
      <c r="BN99" s="674">
        <f>IFERROR(__xludf.DUMMYFUNCTION("""COMPUTED_VALUE"""),100.0)</f>
        <v>100</v>
      </c>
      <c r="BO99" s="675">
        <f>IFERROR(__xludf.DUMMYFUNCTION("""COMPUTED_VALUE"""),0.0)</f>
        <v>0</v>
      </c>
      <c r="BP99" s="675">
        <f>IFERROR(__xludf.DUMMYFUNCTION("""COMPUTED_VALUE"""),2.0)</f>
        <v>2</v>
      </c>
      <c r="BQ99" s="139" t="str">
        <f>IFERROR(__xludf.DUMMYFUNCTION("""COMPUTED_VALUE"""),"(近距離)武器・道具・特殊攻撃")</f>
        <v>(近距離)武器・道具・特殊攻撃</v>
      </c>
      <c r="BR99" s="139">
        <f>IFERROR(__xludf.DUMMYFUNCTION("""COMPUTED_VALUE"""),1.0)</f>
        <v>1</v>
      </c>
      <c r="BS99" s="139">
        <f>IFERROR(__xludf.DUMMYFUNCTION("""COMPUTED_VALUE"""),35.0)</f>
        <v>35</v>
      </c>
      <c r="BT99" s="139">
        <f>IFERROR(__xludf.DUMMYFUNCTION("""COMPUTED_VALUE"""),0.21)</f>
        <v>0.21</v>
      </c>
      <c r="BU99" s="139">
        <f>IFERROR(__xludf.DUMMYFUNCTION("""COMPUTED_VALUE"""),0.0)</f>
        <v>0</v>
      </c>
      <c r="BV99" s="139" t="str">
        <f>IFERROR(__xludf.DUMMYFUNCTION("""COMPUTED_VALUE"""),"普通")</f>
        <v>普通</v>
      </c>
      <c r="BW99" s="139" t="str">
        <f>IFERROR(__xludf.DUMMYFUNCTION("""COMPUTED_VALUE"""),"ノックバック無効化")</f>
        <v>ノックバック無効化</v>
      </c>
      <c r="BX99" s="139" t="str">
        <f>IFERROR(__xludf.DUMMYFUNCTION("""COMPUTED_VALUE"""),"-")</f>
        <v>-</v>
      </c>
      <c r="BY99" s="139">
        <f>IFERROR(__xludf.DUMMYFUNCTION("""COMPUTED_VALUE"""),2.0)</f>
        <v>2</v>
      </c>
      <c r="BZ99" s="139" t="str">
        <f>IFERROR(__xludf.DUMMYFUNCTION("""COMPUTED_VALUE"""),"-")</f>
        <v>-</v>
      </c>
      <c r="CA99" s="139" t="str">
        <f>IFERROR(__xludf.DUMMYFUNCTION("""COMPUTED_VALUE"""),"-")</f>
        <v>-</v>
      </c>
      <c r="CB99" s="139" t="str">
        <f>IFERROR(__xludf.DUMMYFUNCTION("""COMPUTED_VALUE"""),"-")</f>
        <v>-</v>
      </c>
      <c r="CC99" s="139" t="str">
        <f>IFERROR(__xludf.DUMMYFUNCTION("""COMPUTED_VALUE"""),"近距離")</f>
        <v>近距離</v>
      </c>
      <c r="CD99" s="139" t="str">
        <f>IFERROR(__xludf.DUMMYFUNCTION("""COMPUTED_VALUE"""),"単体")</f>
        <v>単体</v>
      </c>
      <c r="CE99" s="139">
        <f>IFERROR(__xludf.DUMMYFUNCTION("""COMPUTED_VALUE"""),1.0)</f>
        <v>1</v>
      </c>
      <c r="CF99" s="139">
        <f>IFERROR(__xludf.DUMMYFUNCTION("""COMPUTED_VALUE"""),0.22)</f>
        <v>0.22</v>
      </c>
      <c r="CG99" s="139" t="str">
        <f>IFERROR(__xludf.DUMMYFUNCTION("""COMPUTED_VALUE"""),"近距離")</f>
        <v>近距離</v>
      </c>
      <c r="CH99" s="139" t="str">
        <f>IFERROR(__xludf.DUMMYFUNCTION("""COMPUTED_VALUE"""),"単体")</f>
        <v>単体</v>
      </c>
      <c r="CI99" s="139">
        <f>IFERROR(__xludf.DUMMYFUNCTION("""COMPUTED_VALUE"""),1.0)</f>
        <v>1</v>
      </c>
      <c r="CJ99" s="139">
        <f>IFERROR(__xludf.DUMMYFUNCTION("""COMPUTED_VALUE"""),0.22)</f>
        <v>0.22</v>
      </c>
      <c r="CK99" s="139"/>
      <c r="CL99" s="139"/>
      <c r="CM99" s="139"/>
      <c r="CN99" s="675">
        <f>IFERROR(__xludf.DUMMYFUNCTION("""COMPUTED_VALUE"""),23.863282464908302)</f>
        <v>23.86328246</v>
      </c>
      <c r="CO99" s="139" t="str">
        <f>IFERROR(__xludf.DUMMYFUNCTION("""COMPUTED_VALUE"""),"-")</f>
        <v>-</v>
      </c>
      <c r="CP99" s="139" t="str">
        <f>IFERROR(__xludf.DUMMYFUNCTION("""COMPUTED_VALUE"""),"-")</f>
        <v>-</v>
      </c>
      <c r="CQ99" s="139" t="str">
        <f>IFERROR(__xludf.DUMMYFUNCTION("""COMPUTED_VALUE"""),"-")</f>
        <v>-</v>
      </c>
      <c r="CR99" s="139"/>
      <c r="CS99" s="673" t="str">
        <f>IFERROR(__xludf.DUMMYFUNCTION("""COMPUTED_VALUE"""),"攻撃(必殺)")</f>
        <v>攻撃(必殺)</v>
      </c>
      <c r="CT99" s="139" t="str">
        <f>IFERROR(__xludf.DUMMYFUNCTION("""COMPUTED_VALUE"""),"-")</f>
        <v>-</v>
      </c>
      <c r="CU99" s="139" t="str">
        <f>IFERROR(__xludf.DUMMYFUNCTION("""COMPUTED_VALUE"""),"敵")</f>
        <v>敵</v>
      </c>
      <c r="CV99" s="139" t="str">
        <f>IFERROR(__xludf.DUMMYFUNCTION("""COMPUTED_VALUE"""),"All")</f>
        <v>All</v>
      </c>
      <c r="CW99" s="139" t="str">
        <f>IFERROR(__xludf.DUMMYFUNCTION("""COMPUTED_VALUE"""),"All")</f>
        <v>All</v>
      </c>
      <c r="CX99" s="674">
        <f>IFERROR(__xludf.DUMMYFUNCTION("""COMPUTED_VALUE"""),153.0)</f>
        <v>153</v>
      </c>
      <c r="CY99" s="675" t="str">
        <f>IFERROR(__xludf.DUMMYFUNCTION("""COMPUTED_VALUE"""),"-")</f>
        <v>-</v>
      </c>
      <c r="CZ99" s="688">
        <f>IFERROR(__xludf.DUMMYFUNCTION("""COMPUTED_VALUE"""),9306.0)</f>
        <v>9306</v>
      </c>
      <c r="DA99" s="688">
        <f>IFERROR(__xludf.DUMMYFUNCTION("""COMPUTED_VALUE"""),414.72212960829216)</f>
        <v>414.7221296</v>
      </c>
      <c r="DB99" s="688">
        <f>IFERROR(__xludf.DUMMYFUNCTION("""COMPUTED_VALUE"""),0.0)</f>
        <v>0</v>
      </c>
      <c r="DC99" s="673" t="str">
        <f>IFERROR(__xludf.DUMMYFUNCTION("""COMPUTED_VALUE"""),"ノックバック")</f>
        <v>ノックバック</v>
      </c>
      <c r="DD99" s="673">
        <f>IFERROR(__xludf.DUMMYFUNCTION("""COMPUTED_VALUE"""),1.0)</f>
        <v>1</v>
      </c>
      <c r="DE99" s="139" t="str">
        <f>IFERROR(__xludf.DUMMYFUNCTION("""COMPUTED_VALUE"""),"-")</f>
        <v>-</v>
      </c>
      <c r="DF99" s="139" t="str">
        <f>IFERROR(__xludf.DUMMYFUNCTION("""COMPUTED_VALUE"""),"-")</f>
        <v>-</v>
      </c>
      <c r="DG99" s="139" t="str">
        <f>IFERROR(__xludf.DUMMYFUNCTION("""COMPUTED_VALUE"""),"-")</f>
        <v>-</v>
      </c>
      <c r="DH99" s="139" t="str">
        <f>IFERROR(__xludf.DUMMYFUNCTION("""COMPUTED_VALUE"""),"-")</f>
        <v>-</v>
      </c>
      <c r="DI99" s="139" t="str">
        <f>IFERROR(__xludf.DUMMYFUNCTION("""COMPUTED_VALUE"""),"-")</f>
        <v>-</v>
      </c>
      <c r="DJ99" s="139" t="str">
        <f>IFERROR(__xludf.DUMMYFUNCTION("""COMPUTED_VALUE"""),"-")</f>
        <v>-</v>
      </c>
    </row>
    <row r="100">
      <c r="A100" s="139" t="str">
        <f>IFERROR(__xludf.DUMMYFUNCTION("""COMPUTED_VALUE"""),"幼稚園WARS")</f>
        <v>幼稚園WARS</v>
      </c>
      <c r="B100" s="139" t="str">
        <f>IFERROR(__xludf.DUMMYFUNCTION("""COMPUTED_VALUE"""),"元殺し屋の新人教諭 リタ")</f>
        <v>元殺し屋の新人教諭 リタ</v>
      </c>
      <c r="C100" s="139" t="str">
        <f>IFERROR(__xludf.DUMMYFUNCTION("""COMPUTED_VALUE"""),"chara_you_00001")</f>
        <v>chara_you_00001</v>
      </c>
      <c r="D100" s="139" t="str">
        <f>IFERROR(__xludf.DUMMYFUNCTION("""COMPUTED_VALUE"""),"PremiumUR")</f>
        <v>PremiumUR</v>
      </c>
      <c r="E100" s="139" t="str">
        <f>IFERROR(__xludf.DUMMYFUNCTION("""COMPUTED_VALUE"""),"赤")</f>
        <v>赤</v>
      </c>
      <c r="F100" s="139" t="str">
        <f>IFERROR(__xludf.DUMMYFUNCTION("""COMPUTED_VALUE"""),"アタック")</f>
        <v>アタック</v>
      </c>
      <c r="G100" s="139" t="str">
        <f>IFERROR(__xludf.DUMMYFUNCTION("""COMPUTED_VALUE"""),"中距離")</f>
        <v>中距離</v>
      </c>
      <c r="H100" s="139" t="str">
        <f>IFERROR(__xludf.DUMMYFUNCTION("""COMPUTED_VALUE"""),"dageki_1")</f>
        <v>dageki_1</v>
      </c>
      <c r="I100" s="139" t="str">
        <f>IFERROR(__xludf.DUMMYFUNCTION("""COMPUTED_VALUE"""),"shageki_1")</f>
        <v>shageki_1</v>
      </c>
      <c r="J100" s="139" t="str">
        <f>IFERROR(__xludf.DUMMYFUNCTION("""COMPUTED_VALUE"""),"202602010_幼稚園WARS")</f>
        <v>202602010_幼稚園WARS</v>
      </c>
      <c r="K100" s="139" t="str">
        <f>IFERROR(__xludf.DUMMYFUNCTION("""COMPUTED_VALUE"""),"幼稚園WARS いいジャン祭")</f>
        <v>幼稚園WARS いいジャン祭</v>
      </c>
      <c r="L100" s="687" t="str">
        <f>IFERROR(__xludf.DUMMYFUNCTION("""COMPUTED_VALUE"""),"※")</f>
        <v>※</v>
      </c>
      <c r="M100" s="674">
        <f>IFERROR(__xludf.DUMMYFUNCTION("""COMPUTED_VALUE"""),960.0)</f>
        <v>960</v>
      </c>
      <c r="N100" s="139">
        <f>IFERROR(__xludf.DUMMYFUNCTION("""COMPUTED_VALUE"""),1000.0)</f>
        <v>1000</v>
      </c>
      <c r="O100" s="139" t="str">
        <f>IFERROR(__xludf.DUMMYFUNCTION("""COMPUTED_VALUE"""),"高コスト")</f>
        <v>高コスト</v>
      </c>
      <c r="P100" s="139">
        <f>IFERROR(__xludf.DUMMYFUNCTION("""COMPUTED_VALUE"""),-100.0)</f>
        <v>-100</v>
      </c>
      <c r="Q100" s="675">
        <f>IFERROR(__xludf.DUMMYFUNCTION("""COMPUTED_VALUE"""),15.0)</f>
        <v>15</v>
      </c>
      <c r="R100" s="675">
        <f>IFERROR(__xludf.DUMMYFUNCTION("""COMPUTED_VALUE"""),45.0)</f>
        <v>45</v>
      </c>
      <c r="S100" s="675">
        <f>IFERROR(__xludf.DUMMYFUNCTION("""COMPUTED_VALUE"""),21.5)</f>
        <v>21.5</v>
      </c>
      <c r="T100" s="674">
        <f>IFERROR(__xludf.DUMMYFUNCTION("""COMPUTED_VALUE"""),740.0)</f>
        <v>740</v>
      </c>
      <c r="U100" s="675">
        <f>IFERROR(__xludf.DUMMYFUNCTION("""COMPUTED_VALUE"""),14.813333333333334)</f>
        <v>14.81333333</v>
      </c>
      <c r="V100" s="675">
        <f>IFERROR(__xludf.DUMMYFUNCTION("""COMPUTED_VALUE"""),0.0)</f>
        <v>0</v>
      </c>
      <c r="W100" s="675">
        <f>IFERROR(__xludf.DUMMYFUNCTION("""COMPUTED_VALUE"""),0.0)</f>
        <v>0</v>
      </c>
      <c r="X100" s="675">
        <f>IFERROR(__xludf.DUMMYFUNCTION("""COMPUTED_VALUE"""),0.0)</f>
        <v>0</v>
      </c>
      <c r="Y100" s="674">
        <f>IFERROR(__xludf.DUMMYFUNCTION("""COMPUTED_VALUE"""),355.0)</f>
        <v>355</v>
      </c>
      <c r="Z100" s="675">
        <f>IFERROR(__xludf.DUMMYFUNCTION("""COMPUTED_VALUE"""),7.07)</f>
        <v>7.07</v>
      </c>
      <c r="AA100" s="675">
        <f>IFERROR(__xludf.DUMMYFUNCTION("""COMPUTED_VALUE"""),0.0)</f>
        <v>0</v>
      </c>
      <c r="AB100" s="673">
        <f>IFERROR(__xludf.DUMMYFUNCTION("""COMPUTED_VALUE"""),-0.6733333333333333)</f>
        <v>-0.6733333333</v>
      </c>
      <c r="AC100" s="675">
        <f>IFERROR(__xludf.DUMMYFUNCTION("""COMPUTED_VALUE"""),0.0)</f>
        <v>0</v>
      </c>
      <c r="AD100" s="674">
        <f>IFERROR(__xludf.DUMMYFUNCTION("""COMPUTED_VALUE"""),890.0)</f>
        <v>890</v>
      </c>
      <c r="AE100" s="675">
        <f>IFERROR(__xludf.DUMMYFUNCTION("""COMPUTED_VALUE"""),17.839708751359517)</f>
        <v>17.83970875</v>
      </c>
      <c r="AF100" s="675">
        <f>IFERROR(__xludf.DUMMYFUNCTION("""COMPUTED_VALUE"""),0.0)</f>
        <v>0</v>
      </c>
      <c r="AG100" s="675">
        <f>IFERROR(__xludf.DUMMYFUNCTION("""COMPUTED_VALUE"""),3.567941750271903)</f>
        <v>3.56794175</v>
      </c>
      <c r="AH100" s="675">
        <f>IFERROR(__xludf.DUMMYFUNCTION("""COMPUTED_VALUE"""),0.0)</f>
        <v>0</v>
      </c>
      <c r="AI100" s="139" t="str">
        <f>IFERROR(__xludf.DUMMYFUNCTION("""COMPUTED_VALUE"""),"-")</f>
        <v>-</v>
      </c>
      <c r="AJ100" s="675" t="str">
        <f>IFERROR(__xludf.DUMMYFUNCTION("""COMPUTED_VALUE"""),"-")</f>
        <v>-</v>
      </c>
      <c r="AK100" s="139">
        <f>IFERROR(__xludf.DUMMYFUNCTION("""COMPUTED_VALUE"""),1.0)</f>
        <v>1</v>
      </c>
      <c r="AL100" s="674">
        <f>IFERROR(__xludf.DUMMYFUNCTION("""COMPUTED_VALUE"""),2020.0)</f>
        <v>2020</v>
      </c>
      <c r="AM100" s="688">
        <f>IFERROR(__xludf.DUMMYFUNCTION("""COMPUTED_VALUE"""),16509.276800948952)</f>
        <v>16509.2768</v>
      </c>
      <c r="AN100" s="675">
        <f>IFERROR(__xludf.DUMMYFUNCTION("""COMPUTED_VALUE"""),13.466666666666667)</f>
        <v>13.46666667</v>
      </c>
      <c r="AO100" s="675">
        <f>IFERROR(__xludf.DUMMYFUNCTION("""COMPUTED_VALUE"""),6.733333333333333)</f>
        <v>6.733333333</v>
      </c>
      <c r="AP100" s="674">
        <f>IFERROR(__xludf.DUMMYFUNCTION("""COMPUTED_VALUE"""),2880.0)</f>
        <v>2880</v>
      </c>
      <c r="AQ100" s="673">
        <f>IFERROR(__xludf.DUMMYFUNCTION("""COMPUTED_VALUE"""),-0.2)</f>
        <v>-0.2</v>
      </c>
      <c r="AR100" s="673">
        <f>IFERROR(__xludf.DUMMYFUNCTION("""COMPUTED_VALUE"""),0.0)</f>
        <v>0</v>
      </c>
      <c r="AS100" s="673">
        <f>IFERROR(__xludf.DUMMYFUNCTION("""COMPUTED_VALUE"""),-0.1)</f>
        <v>-0.1</v>
      </c>
      <c r="AT100" s="673">
        <f>IFERROR(__xludf.DUMMYFUNCTION("""COMPUTED_VALUE"""),0.0)</f>
        <v>0</v>
      </c>
      <c r="AU100" s="673">
        <f>IFERROR(__xludf.DUMMYFUNCTION("""COMPUTED_VALUE"""),0.0)</f>
        <v>0</v>
      </c>
      <c r="AV100" s="673">
        <f>IFERROR(__xludf.DUMMYFUNCTION("""COMPUTED_VALUE"""),0.0)</f>
        <v>0</v>
      </c>
      <c r="AW100" s="139"/>
      <c r="AX100" s="674">
        <f>IFERROR(__xludf.DUMMYFUNCTION("""COMPUTED_VALUE"""),4040.0)</f>
        <v>4040</v>
      </c>
      <c r="AY100" s="688">
        <f>IFERROR(__xludf.DUMMYFUNCTION("""COMPUTED_VALUE"""),33019.553601897904)</f>
        <v>33019.5536</v>
      </c>
      <c r="AZ100" s="674">
        <f>IFERROR(__xludf.DUMMYFUNCTION("""COMPUTED_VALUE"""),2690.0)</f>
        <v>2690</v>
      </c>
      <c r="BA100" s="688">
        <f>IFERROR(__xludf.DUMMYFUNCTION("""COMPUTED_VALUE"""),22013.0357345986)</f>
        <v>22013.03573</v>
      </c>
      <c r="BB100" s="688" t="str">
        <f>IFERROR(__xludf.DUMMYFUNCTION("""COMPUTED_VALUE"""),"-")</f>
        <v>-</v>
      </c>
      <c r="BC100" s="688" t="str">
        <f>IFERROR(__xludf.DUMMYFUNCTION("""COMPUTED_VALUE"""),"#VALUE!")</f>
        <v>#VALUE!</v>
      </c>
      <c r="BD100" s="688" t="str">
        <f>IFERROR(__xludf.DUMMYFUNCTION("""COMPUTED_VALUE"""),"#VALUE!")</f>
        <v>#VALUE!</v>
      </c>
      <c r="BE100" s="674">
        <f>IFERROR(__xludf.DUMMYFUNCTION("""COMPUTED_VALUE"""),2690.0)</f>
        <v>2690</v>
      </c>
      <c r="BF100" s="674">
        <f>IFERROR(__xludf.DUMMYFUNCTION("""COMPUTED_VALUE"""),1920.0)</f>
        <v>1920</v>
      </c>
      <c r="BG100" s="673">
        <f>IFERROR(__xludf.DUMMYFUNCTION("""COMPUTED_VALUE"""),0.0)</f>
        <v>0</v>
      </c>
      <c r="BH100" s="673">
        <f>IFERROR(__xludf.DUMMYFUNCTION("""COMPUTED_VALUE"""),0.3)</f>
        <v>0.3</v>
      </c>
      <c r="BI100" s="673">
        <f>IFERROR(__xludf.DUMMYFUNCTION("""COMPUTED_VALUE"""),0.1)</f>
        <v>0.1</v>
      </c>
      <c r="BJ100" s="673">
        <f>IFERROR(__xludf.DUMMYFUNCTION("""COMPUTED_VALUE"""),0.0)</f>
        <v>0</v>
      </c>
      <c r="BK100" s="673">
        <f>IFERROR(__xludf.DUMMYFUNCTION("""COMPUTED_VALUE"""),0.0)</f>
        <v>0</v>
      </c>
      <c r="BL100" s="673">
        <f>IFERROR(__xludf.DUMMYFUNCTION("""COMPUTED_VALUE"""),0.0)</f>
        <v>0</v>
      </c>
      <c r="BM100" s="674">
        <f>IFERROR(__xludf.DUMMYFUNCTION("""COMPUTED_VALUE"""),75.0)</f>
        <v>75</v>
      </c>
      <c r="BN100" s="674">
        <f>IFERROR(__xludf.DUMMYFUNCTION("""COMPUTED_VALUE"""),75.0)</f>
        <v>75</v>
      </c>
      <c r="BO100" s="675">
        <f>IFERROR(__xludf.DUMMYFUNCTION("""COMPUTED_VALUE"""),0.0)</f>
        <v>0</v>
      </c>
      <c r="BP100" s="675">
        <f>IFERROR(__xludf.DUMMYFUNCTION("""COMPUTED_VALUE"""),1.5)</f>
        <v>1.5</v>
      </c>
      <c r="BQ100" s="139" t="str">
        <f>IFERROR(__xludf.DUMMYFUNCTION("""COMPUTED_VALUE"""),"(中距離)素手・武器・道具")</f>
        <v>(中距離)素手・武器・道具</v>
      </c>
      <c r="BR100" s="139">
        <f>IFERROR(__xludf.DUMMYFUNCTION("""COMPUTED_VALUE"""),2.0)</f>
        <v>2</v>
      </c>
      <c r="BS100" s="139">
        <f>IFERROR(__xludf.DUMMYFUNCTION("""COMPUTED_VALUE"""),45.0)</f>
        <v>45</v>
      </c>
      <c r="BT100" s="139">
        <f>IFERROR(__xludf.DUMMYFUNCTION("""COMPUTED_VALUE"""),0.34)</f>
        <v>0.34</v>
      </c>
      <c r="BU100" s="139">
        <f>IFERROR(__xludf.DUMMYFUNCTION("""COMPUTED_VALUE"""),0.0)</f>
        <v>0</v>
      </c>
      <c r="BV100" s="139" t="str">
        <f>IFERROR(__xludf.DUMMYFUNCTION("""COMPUTED_VALUE"""),"速い")</f>
        <v>速い</v>
      </c>
      <c r="BW100" s="139" t="str">
        <f>IFERROR(__xludf.DUMMYFUNCTION("""COMPUTED_VALUE"""),"体力条件強化(以下/攻撃)")</f>
        <v>体力条件強化(以下/攻撃)</v>
      </c>
      <c r="BX100" s="139" t="str">
        <f>IFERROR(__xludf.DUMMYFUNCTION("""COMPUTED_VALUE"""),"HP30/55")</f>
        <v>HP30/55</v>
      </c>
      <c r="BY100" s="139">
        <f>IFERROR(__xludf.DUMMYFUNCTION("""COMPUTED_VALUE"""),0.0)</f>
        <v>0</v>
      </c>
      <c r="BZ100" s="139" t="str">
        <f>IFERROR(__xludf.DUMMYFUNCTION("""COMPUTED_VALUE"""),"毒ダメージ軽減")</f>
        <v>毒ダメージ軽減</v>
      </c>
      <c r="CA100" s="139">
        <f>IFERROR(__xludf.DUMMYFUNCTION("""COMPUTED_VALUE"""),40.0)</f>
        <v>40</v>
      </c>
      <c r="CB100" s="139">
        <f>IFERROR(__xludf.DUMMYFUNCTION("""COMPUTED_VALUE"""),4.0)</f>
        <v>4</v>
      </c>
      <c r="CC100" s="139" t="str">
        <f>IFERROR(__xludf.DUMMYFUNCTION("""COMPUTED_VALUE"""),"中距離")</f>
        <v>中距離</v>
      </c>
      <c r="CD100" s="139" t="str">
        <f>IFERROR(__xludf.DUMMYFUNCTION("""COMPUTED_VALUE"""),"単体")</f>
        <v>単体</v>
      </c>
      <c r="CE100" s="139">
        <f>IFERROR(__xludf.DUMMYFUNCTION("""COMPUTED_VALUE"""),1.0)</f>
        <v>1</v>
      </c>
      <c r="CF100" s="139">
        <f>IFERROR(__xludf.DUMMYFUNCTION("""COMPUTED_VALUE"""),0.35000000000000003)</f>
        <v>0.35</v>
      </c>
      <c r="CG100" s="139" t="str">
        <f>IFERROR(__xludf.DUMMYFUNCTION("""COMPUTED_VALUE"""),"中距離")</f>
        <v>中距離</v>
      </c>
      <c r="CH100" s="139" t="str">
        <f>IFERROR(__xludf.DUMMYFUNCTION("""COMPUTED_VALUE"""),"単体")</f>
        <v>単体</v>
      </c>
      <c r="CI100" s="139">
        <f>IFERROR(__xludf.DUMMYFUNCTION("""COMPUTED_VALUE"""),1.0)</f>
        <v>1</v>
      </c>
      <c r="CJ100" s="139">
        <f>IFERROR(__xludf.DUMMYFUNCTION("""COMPUTED_VALUE"""),0.35000000000000003)</f>
        <v>0.35</v>
      </c>
      <c r="CK100" s="139"/>
      <c r="CL100" s="139"/>
      <c r="CM100" s="139"/>
      <c r="CN100" s="675">
        <f>IFERROR(__xludf.DUMMYFUNCTION("""COMPUTED_VALUE"""),17.839708751359517)</f>
        <v>17.83970875</v>
      </c>
      <c r="CO100" s="139" t="str">
        <f>IFERROR(__xludf.DUMMYFUNCTION("""COMPUTED_VALUE"""),"-")</f>
        <v>-</v>
      </c>
      <c r="CP100" s="139" t="str">
        <f>IFERROR(__xludf.DUMMYFUNCTION("""COMPUTED_VALUE"""),"-")</f>
        <v>-</v>
      </c>
      <c r="CQ100" s="139" t="str">
        <f>IFERROR(__xludf.DUMMYFUNCTION("""COMPUTED_VALUE"""),"-")</f>
        <v>-</v>
      </c>
      <c r="CR100" s="139"/>
      <c r="CS100" s="673" t="str">
        <f>IFERROR(__xludf.DUMMYFUNCTION("""COMPUTED_VALUE"""),"連続攻撃")</f>
        <v>連続攻撃</v>
      </c>
      <c r="CT100" s="139" t="str">
        <f>IFERROR(__xludf.DUMMYFUNCTION("""COMPUTED_VALUE"""),"-")</f>
        <v>-</v>
      </c>
      <c r="CU100" s="139" t="str">
        <f>IFERROR(__xludf.DUMMYFUNCTION("""COMPUTED_VALUE"""),"敵")</f>
        <v>敵</v>
      </c>
      <c r="CV100" s="139" t="str">
        <f>IFERROR(__xludf.DUMMYFUNCTION("""COMPUTED_VALUE"""),"All")</f>
        <v>All</v>
      </c>
      <c r="CW100" s="139" t="str">
        <f>IFERROR(__xludf.DUMMYFUNCTION("""COMPUTED_VALUE"""),"All")</f>
        <v>All</v>
      </c>
      <c r="CX100" s="674">
        <f>IFERROR(__xludf.DUMMYFUNCTION("""COMPUTED_VALUE"""),160.0)</f>
        <v>160</v>
      </c>
      <c r="CY100" s="675" t="str">
        <f>IFERROR(__xludf.DUMMYFUNCTION("""COMPUTED_VALUE"""),"-")</f>
        <v>-</v>
      </c>
      <c r="CZ100" s="688">
        <f>IFERROR(__xludf.DUMMYFUNCTION("""COMPUTED_VALUE"""),52831.0)</f>
        <v>52831</v>
      </c>
      <c r="DA100" s="688">
        <f>IFERROR(__xludf.DUMMYFUNCTION("""COMPUTED_VALUE"""),3151.6927837269363)</f>
        <v>3151.692784</v>
      </c>
      <c r="DB100" s="688">
        <f>IFERROR(__xludf.DUMMYFUNCTION("""COMPUTED_VALUE"""),0.0)</f>
        <v>0</v>
      </c>
      <c r="DC100" s="673" t="str">
        <f>IFERROR(__xludf.DUMMYFUNCTION("""COMPUTED_VALUE"""),"キラー攻撃(緑)")</f>
        <v>キラー攻撃(緑)</v>
      </c>
      <c r="DD100" s="673">
        <f>IFERROR(__xludf.DUMMYFUNCTION("""COMPUTED_VALUE"""),360.0)</f>
        <v>360</v>
      </c>
      <c r="DE100" s="139" t="str">
        <f>IFERROR(__xludf.DUMMYFUNCTION("""COMPUTED_VALUE"""),"-")</f>
        <v>-</v>
      </c>
      <c r="DF100" s="139" t="str">
        <f>IFERROR(__xludf.DUMMYFUNCTION("""COMPUTED_VALUE"""),"-")</f>
        <v>-</v>
      </c>
      <c r="DG100" s="139" t="str">
        <f>IFERROR(__xludf.DUMMYFUNCTION("""COMPUTED_VALUE"""),"-")</f>
        <v>-</v>
      </c>
      <c r="DH100" s="139" t="str">
        <f>IFERROR(__xludf.DUMMYFUNCTION("""COMPUTED_VALUE"""),"-")</f>
        <v>-</v>
      </c>
      <c r="DI100" s="139" t="str">
        <f>IFERROR(__xludf.DUMMYFUNCTION("""COMPUTED_VALUE"""),"-")</f>
        <v>-</v>
      </c>
      <c r="DJ100" s="139" t="str">
        <f>IFERROR(__xludf.DUMMYFUNCTION("""COMPUTED_VALUE"""),"-")</f>
        <v>-</v>
      </c>
    </row>
    <row r="101">
      <c r="A101" s="139" t="str">
        <f>IFERROR(__xludf.DUMMYFUNCTION("""COMPUTED_VALUE"""),"幼稚園WARS")</f>
        <v>幼稚園WARS</v>
      </c>
      <c r="B101" s="139" t="str">
        <f>IFERROR(__xludf.DUMMYFUNCTION("""COMPUTED_VALUE"""),"ルーク")</f>
        <v>ルーク</v>
      </c>
      <c r="C101" s="139" t="str">
        <f>IFERROR(__xludf.DUMMYFUNCTION("""COMPUTED_VALUE"""),"chara_you_00101")</f>
        <v>chara_you_00101</v>
      </c>
      <c r="D101" s="139" t="str">
        <f>IFERROR(__xludf.DUMMYFUNCTION("""COMPUTED_VALUE"""),"PremiumSSR")</f>
        <v>PremiumSSR</v>
      </c>
      <c r="E101" s="139" t="str">
        <f>IFERROR(__xludf.DUMMYFUNCTION("""COMPUTED_VALUE"""),"黄")</f>
        <v>黄</v>
      </c>
      <c r="F101" s="139" t="str">
        <f>IFERROR(__xludf.DUMMYFUNCTION("""COMPUTED_VALUE"""),"テクニカル")</f>
        <v>テクニカル</v>
      </c>
      <c r="G101" s="139" t="str">
        <f>IFERROR(__xludf.DUMMYFUNCTION("""COMPUTED_VALUE"""),"近距離")</f>
        <v>近距離</v>
      </c>
      <c r="H101" s="139" t="str">
        <f>IFERROR(__xludf.DUMMYFUNCTION("""COMPUTED_VALUE"""),"dageki_1")</f>
        <v>dageki_1</v>
      </c>
      <c r="I101" s="139" t="str">
        <f>IFERROR(__xludf.DUMMYFUNCTION("""COMPUTED_VALUE"""),"shageki_1")</f>
        <v>shageki_1</v>
      </c>
      <c r="J101" s="139" t="str">
        <f>IFERROR(__xludf.DUMMYFUNCTION("""COMPUTED_VALUE"""),"202602010_幼稚園WARS")</f>
        <v>202602010_幼稚園WARS</v>
      </c>
      <c r="K101" s="139" t="str">
        <f>IFERROR(__xludf.DUMMYFUNCTION("""COMPUTED_VALUE"""),"幼稚園WARS いいジャン祭")</f>
        <v>幼稚園WARS いいジャン祭</v>
      </c>
      <c r="L101" s="687" t="str">
        <f>IFERROR(__xludf.DUMMYFUNCTION("""COMPUTED_VALUE"""),"※")</f>
        <v>※</v>
      </c>
      <c r="M101" s="674">
        <f>IFERROR(__xludf.DUMMYFUNCTION("""COMPUTED_VALUE"""),750.0)</f>
        <v>750</v>
      </c>
      <c r="N101" s="139">
        <f>IFERROR(__xludf.DUMMYFUNCTION("""COMPUTED_VALUE"""),600.0)</f>
        <v>600</v>
      </c>
      <c r="O101" s="139" t="str">
        <f>IFERROR(__xludf.DUMMYFUNCTION("""COMPUTED_VALUE"""),"中コスト")</f>
        <v>中コスト</v>
      </c>
      <c r="P101" s="139">
        <f>IFERROR(__xludf.DUMMYFUNCTION("""COMPUTED_VALUE"""),115.0)</f>
        <v>115</v>
      </c>
      <c r="Q101" s="675">
        <f>IFERROR(__xludf.DUMMYFUNCTION("""COMPUTED_VALUE"""),25.0)</f>
        <v>25</v>
      </c>
      <c r="R101" s="675">
        <f>IFERROR(__xludf.DUMMYFUNCTION("""COMPUTED_VALUE"""),10.0)</f>
        <v>10</v>
      </c>
      <c r="S101" s="675">
        <f>IFERROR(__xludf.DUMMYFUNCTION("""COMPUTED_VALUE"""),16.25)</f>
        <v>16.25</v>
      </c>
      <c r="T101" s="674">
        <f>IFERROR(__xludf.DUMMYFUNCTION("""COMPUTED_VALUE"""),515.0)</f>
        <v>515</v>
      </c>
      <c r="U101" s="675">
        <f>IFERROR(__xludf.DUMMYFUNCTION("""COMPUTED_VALUE"""),10.266666666666667)</f>
        <v>10.26666667</v>
      </c>
      <c r="V101" s="675">
        <f>IFERROR(__xludf.DUMMYFUNCTION("""COMPUTED_VALUE"""),0.0)</f>
        <v>0</v>
      </c>
      <c r="W101" s="675">
        <f>IFERROR(__xludf.DUMMYFUNCTION("""COMPUTED_VALUE"""),0.0)</f>
        <v>0</v>
      </c>
      <c r="X101" s="675">
        <f>IFERROR(__xludf.DUMMYFUNCTION("""COMPUTED_VALUE"""),0.0)</f>
        <v>0</v>
      </c>
      <c r="Y101" s="674">
        <f>IFERROR(__xludf.DUMMYFUNCTION("""COMPUTED_VALUE"""),350.0)</f>
        <v>350</v>
      </c>
      <c r="Z101" s="675">
        <f>IFERROR(__xludf.DUMMYFUNCTION("""COMPUTED_VALUE"""),6.966666666666667)</f>
        <v>6.966666667</v>
      </c>
      <c r="AA101" s="675">
        <f>IFERROR(__xludf.DUMMYFUNCTION("""COMPUTED_VALUE"""),1.6)</f>
        <v>1.6</v>
      </c>
      <c r="AB101" s="673">
        <f>IFERROR(__xludf.DUMMYFUNCTION("""COMPUTED_VALUE"""),0.0)</f>
        <v>0</v>
      </c>
      <c r="AC101" s="675">
        <f>IFERROR(__xludf.DUMMYFUNCTION("""COMPUTED_VALUE"""),0.0)</f>
        <v>0</v>
      </c>
      <c r="AD101" s="674">
        <f>IFERROR(__xludf.DUMMYFUNCTION("""COMPUTED_VALUE"""),1465.0)</f>
        <v>1465</v>
      </c>
      <c r="AE101" s="675">
        <f>IFERROR(__xludf.DUMMYFUNCTION("""COMPUTED_VALUE"""),29.287290049727023)</f>
        <v>29.28729005</v>
      </c>
      <c r="AF101" s="675">
        <f>IFERROR(__xludf.DUMMYFUNCTION("""COMPUTED_VALUE"""),0.0)</f>
        <v>0</v>
      </c>
      <c r="AG101" s="675">
        <f>IFERROR(__xludf.DUMMYFUNCTION("""COMPUTED_VALUE"""),19.78220369206216)</f>
        <v>19.78220369</v>
      </c>
      <c r="AH101" s="675">
        <f>IFERROR(__xludf.DUMMYFUNCTION("""COMPUTED_VALUE"""),-2.376271589416216)</f>
        <v>-2.376271589</v>
      </c>
      <c r="AI101" s="139" t="str">
        <f>IFERROR(__xludf.DUMMYFUNCTION("""COMPUTED_VALUE"""),"-")</f>
        <v>-</v>
      </c>
      <c r="AJ101" s="675" t="str">
        <f>IFERROR(__xludf.DUMMYFUNCTION("""COMPUTED_VALUE"""),"-")</f>
        <v>-</v>
      </c>
      <c r="AK101" s="139">
        <f>IFERROR(__xludf.DUMMYFUNCTION("""COMPUTED_VALUE"""),1.0)</f>
        <v>1</v>
      </c>
      <c r="AL101" s="674">
        <f>IFERROR(__xludf.DUMMYFUNCTION("""COMPUTED_VALUE"""),1400.0)</f>
        <v>1400</v>
      </c>
      <c r="AM101" s="688">
        <f>IFERROR(__xludf.DUMMYFUNCTION("""COMPUTED_VALUE"""),10674.759366994322)</f>
        <v>10674.75937</v>
      </c>
      <c r="AN101" s="675">
        <f>IFERROR(__xludf.DUMMYFUNCTION("""COMPUTED_VALUE"""),9.333333333333334)</f>
        <v>9.333333333</v>
      </c>
      <c r="AO101" s="675">
        <f>IFERROR(__xludf.DUMMYFUNCTION("""COMPUTED_VALUE"""),4.666666666666667)</f>
        <v>4.666666667</v>
      </c>
      <c r="AP101" s="674">
        <f>IFERROR(__xludf.DUMMYFUNCTION("""COMPUTED_VALUE"""),2250.0)</f>
        <v>2250</v>
      </c>
      <c r="AQ101" s="673">
        <f>IFERROR(__xludf.DUMMYFUNCTION("""COMPUTED_VALUE"""),-0.3)</f>
        <v>-0.3</v>
      </c>
      <c r="AR101" s="673">
        <f>IFERROR(__xludf.DUMMYFUNCTION("""COMPUTED_VALUE"""),0.0)</f>
        <v>0</v>
      </c>
      <c r="AS101" s="673">
        <f>IFERROR(__xludf.DUMMYFUNCTION("""COMPUTED_VALUE"""),0.0)</f>
        <v>0</v>
      </c>
      <c r="AT101" s="673">
        <f>IFERROR(__xludf.DUMMYFUNCTION("""COMPUTED_VALUE"""),-0.08)</f>
        <v>-0.08</v>
      </c>
      <c r="AU101" s="673">
        <f>IFERROR(__xludf.DUMMYFUNCTION("""COMPUTED_VALUE"""),0.0)</f>
        <v>0</v>
      </c>
      <c r="AV101" s="673">
        <f>IFERROR(__xludf.DUMMYFUNCTION("""COMPUTED_VALUE"""),0.0)</f>
        <v>0</v>
      </c>
      <c r="AW101" s="139"/>
      <c r="AX101" s="674">
        <f>IFERROR(__xludf.DUMMYFUNCTION("""COMPUTED_VALUE"""),2300.0)</f>
        <v>2300</v>
      </c>
      <c r="AY101" s="688">
        <f>IFERROR(__xludf.DUMMYFUNCTION("""COMPUTED_VALUE"""),17537.364674347817)</f>
        <v>17537.36467</v>
      </c>
      <c r="AZ101" s="674">
        <f>IFERROR(__xludf.DUMMYFUNCTION("""COMPUTED_VALUE"""),1770.0)</f>
        <v>1770</v>
      </c>
      <c r="BA101" s="688">
        <f>IFERROR(__xludf.DUMMYFUNCTION("""COMPUTED_VALUE"""),13490.280518729089)</f>
        <v>13490.28052</v>
      </c>
      <c r="BB101" s="688" t="str">
        <f>IFERROR(__xludf.DUMMYFUNCTION("""COMPUTED_VALUE"""),"-")</f>
        <v>-</v>
      </c>
      <c r="BC101" s="688" t="str">
        <f>IFERROR(__xludf.DUMMYFUNCTION("""COMPUTED_VALUE"""),"#VALUE!")</f>
        <v>#VALUE!</v>
      </c>
      <c r="BD101" s="688" t="str">
        <f>IFERROR(__xludf.DUMMYFUNCTION("""COMPUTED_VALUE"""),"#VALUE!")</f>
        <v>#VALUE!</v>
      </c>
      <c r="BE101" s="674">
        <f>IFERROR(__xludf.DUMMYFUNCTION("""COMPUTED_VALUE"""),1770.0)</f>
        <v>1770</v>
      </c>
      <c r="BF101" s="674">
        <f>IFERROR(__xludf.DUMMYFUNCTION("""COMPUTED_VALUE"""),1500.0)</f>
        <v>1500</v>
      </c>
      <c r="BG101" s="673">
        <f>IFERROR(__xludf.DUMMYFUNCTION("""COMPUTED_VALUE"""),0.08)</f>
        <v>0.08</v>
      </c>
      <c r="BH101" s="673">
        <f>IFERROR(__xludf.DUMMYFUNCTION("""COMPUTED_VALUE"""),0.1)</f>
        <v>0.1</v>
      </c>
      <c r="BI101" s="673">
        <f>IFERROR(__xludf.DUMMYFUNCTION("""COMPUTED_VALUE"""),0.0)</f>
        <v>0</v>
      </c>
      <c r="BJ101" s="673">
        <f>IFERROR(__xludf.DUMMYFUNCTION("""COMPUTED_VALUE"""),0.0)</f>
        <v>0</v>
      </c>
      <c r="BK101" s="673">
        <f>IFERROR(__xludf.DUMMYFUNCTION("""COMPUTED_VALUE"""),0.0)</f>
        <v>0</v>
      </c>
      <c r="BL101" s="673">
        <f>IFERROR(__xludf.DUMMYFUNCTION("""COMPUTED_VALUE"""),0.0)</f>
        <v>0</v>
      </c>
      <c r="BM101" s="674">
        <f>IFERROR(__xludf.DUMMYFUNCTION("""COMPUTED_VALUE"""),65.0)</f>
        <v>65</v>
      </c>
      <c r="BN101" s="674">
        <f>IFERROR(__xludf.DUMMYFUNCTION("""COMPUTED_VALUE"""),50.0)</f>
        <v>50</v>
      </c>
      <c r="BO101" s="675">
        <f>IFERROR(__xludf.DUMMYFUNCTION("""COMPUTED_VALUE"""),15.0)</f>
        <v>15</v>
      </c>
      <c r="BP101" s="675">
        <f>IFERROR(__xludf.DUMMYFUNCTION("""COMPUTED_VALUE"""),1.3)</f>
        <v>1.3</v>
      </c>
      <c r="BQ101" s="139" t="str">
        <f>IFERROR(__xludf.DUMMYFUNCTION("""COMPUTED_VALUE"""),"(近距離)素手")</f>
        <v>(近距離)素手</v>
      </c>
      <c r="BR101" s="139">
        <f>IFERROR(__xludf.DUMMYFUNCTION("""COMPUTED_VALUE"""),3.0)</f>
        <v>3</v>
      </c>
      <c r="BS101" s="139">
        <f>IFERROR(__xludf.DUMMYFUNCTION("""COMPUTED_VALUE"""),40.0)</f>
        <v>40</v>
      </c>
      <c r="BT101" s="139">
        <f>IFERROR(__xludf.DUMMYFUNCTION("""COMPUTED_VALUE"""),0.26)</f>
        <v>0.26</v>
      </c>
      <c r="BU101" s="139">
        <f>IFERROR(__xludf.DUMMYFUNCTION("""COMPUTED_VALUE"""),0.0)</f>
        <v>0</v>
      </c>
      <c r="BV101" s="139" t="str">
        <f>IFERROR(__xludf.DUMMYFUNCTION("""COMPUTED_VALUE"""),"普通-速い")</f>
        <v>普通-速い</v>
      </c>
      <c r="BW101" s="139" t="str">
        <f>IFERROR(__xludf.DUMMYFUNCTION("""COMPUTED_VALUE"""),"攻撃DOWNコマ無効化")</f>
        <v>攻撃DOWNコマ無効化</v>
      </c>
      <c r="BX101" s="139" t="str">
        <f>IFERROR(__xludf.DUMMYFUNCTION("""COMPUTED_VALUE"""),"-")</f>
        <v>-</v>
      </c>
      <c r="BY101" s="139">
        <f>IFERROR(__xludf.DUMMYFUNCTION("""COMPUTED_VALUE"""),0.0)</f>
        <v>0</v>
      </c>
      <c r="BZ101" s="139" t="str">
        <f>IFERROR(__xludf.DUMMYFUNCTION("""COMPUTED_VALUE"""),"-")</f>
        <v>-</v>
      </c>
      <c r="CA101" s="139" t="str">
        <f>IFERROR(__xludf.DUMMYFUNCTION("""COMPUTED_VALUE"""),"-")</f>
        <v>-</v>
      </c>
      <c r="CB101" s="139" t="str">
        <f>IFERROR(__xludf.DUMMYFUNCTION("""COMPUTED_VALUE"""),"-")</f>
        <v>-</v>
      </c>
      <c r="CC101" s="139" t="str">
        <f>IFERROR(__xludf.DUMMYFUNCTION("""COMPUTED_VALUE"""),"近距離")</f>
        <v>近距離</v>
      </c>
      <c r="CD101" s="139" t="str">
        <f>IFERROR(__xludf.DUMMYFUNCTION("""COMPUTED_VALUE"""),"単体")</f>
        <v>単体</v>
      </c>
      <c r="CE101" s="139">
        <f>IFERROR(__xludf.DUMMYFUNCTION("""COMPUTED_VALUE"""),1.0)</f>
        <v>1</v>
      </c>
      <c r="CF101" s="139">
        <f>IFERROR(__xludf.DUMMYFUNCTION("""COMPUTED_VALUE"""),0.27)</f>
        <v>0.27</v>
      </c>
      <c r="CG101" s="139" t="str">
        <f>IFERROR(__xludf.DUMMYFUNCTION("""COMPUTED_VALUE"""),"近距離")</f>
        <v>近距離</v>
      </c>
      <c r="CH101" s="139" t="str">
        <f>IFERROR(__xludf.DUMMYFUNCTION("""COMPUTED_VALUE"""),"範囲(中)")</f>
        <v>範囲(中)</v>
      </c>
      <c r="CI101" s="139">
        <f>IFERROR(__xludf.DUMMYFUNCTION("""COMPUTED_VALUE"""),0.65)</f>
        <v>0.65</v>
      </c>
      <c r="CJ101" s="139">
        <f>IFERROR(__xludf.DUMMYFUNCTION("""COMPUTED_VALUE"""),0.47)</f>
        <v>0.47</v>
      </c>
      <c r="CK101" s="139"/>
      <c r="CL101" s="139"/>
      <c r="CM101" s="139"/>
      <c r="CN101" s="675">
        <f>IFERROR(__xludf.DUMMYFUNCTION("""COMPUTED_VALUE"""),29.287290049727023)</f>
        <v>29.28729005</v>
      </c>
      <c r="CO101" s="139" t="str">
        <f>IFERROR(__xludf.DUMMYFUNCTION("""COMPUTED_VALUE"""),"-")</f>
        <v>-</v>
      </c>
      <c r="CP101" s="139" t="str">
        <f>IFERROR(__xludf.DUMMYFUNCTION("""COMPUTED_VALUE"""),"-")</f>
        <v>-</v>
      </c>
      <c r="CQ101" s="139" t="str">
        <f>IFERROR(__xludf.DUMMYFUNCTION("""COMPUTED_VALUE"""),"-")</f>
        <v>-</v>
      </c>
      <c r="CR101" s="139"/>
      <c r="CS101" s="673" t="str">
        <f>IFERROR(__xludf.DUMMYFUNCTION("""COMPUTED_VALUE"""),"連続攻撃")</f>
        <v>連続攻撃</v>
      </c>
      <c r="CT101" s="139" t="str">
        <f>IFERROR(__xludf.DUMMYFUNCTION("""COMPUTED_VALUE"""),"-")</f>
        <v>-</v>
      </c>
      <c r="CU101" s="139" t="str">
        <f>IFERROR(__xludf.DUMMYFUNCTION("""COMPUTED_VALUE"""),"敵")</f>
        <v>敵</v>
      </c>
      <c r="CV101" s="139" t="str">
        <f>IFERROR(__xludf.DUMMYFUNCTION("""COMPUTED_VALUE"""),"All")</f>
        <v>All</v>
      </c>
      <c r="CW101" s="139" t="str">
        <f>IFERROR(__xludf.DUMMYFUNCTION("""COMPUTED_VALUE"""),"All")</f>
        <v>All</v>
      </c>
      <c r="CX101" s="674">
        <f>IFERROR(__xludf.DUMMYFUNCTION("""COMPUTED_VALUE"""),130.0)</f>
        <v>130</v>
      </c>
      <c r="CY101" s="675" t="str">
        <f>IFERROR(__xludf.DUMMYFUNCTION("""COMPUTED_VALUE"""),"-")</f>
        <v>-</v>
      </c>
      <c r="CZ101" s="688">
        <f>IFERROR(__xludf.DUMMYFUNCTION("""COMPUTED_VALUE"""),22799.0)</f>
        <v>22799</v>
      </c>
      <c r="DA101" s="688">
        <f>IFERROR(__xludf.DUMMYFUNCTION("""COMPUTED_VALUE"""),842.6837224650569)</f>
        <v>842.6837225</v>
      </c>
      <c r="DB101" s="688">
        <f>IFERROR(__xludf.DUMMYFUNCTION("""COMPUTED_VALUE"""),4213.418612325285)</f>
        <v>4213.418612</v>
      </c>
      <c r="DC101" s="673" t="str">
        <f>IFERROR(__xludf.DUMMYFUNCTION("""COMPUTED_VALUE"""),"毒")</f>
        <v>毒</v>
      </c>
      <c r="DD101" s="673">
        <f>IFERROR(__xludf.DUMMYFUNCTION("""COMPUTED_VALUE"""),2.0)</f>
        <v>2</v>
      </c>
      <c r="DE101" s="139">
        <f>IFERROR(__xludf.DUMMYFUNCTION("""COMPUTED_VALUE"""),12.0)</f>
        <v>12</v>
      </c>
      <c r="DF101" s="139" t="str">
        <f>IFERROR(__xludf.DUMMYFUNCTION("""COMPUTED_VALUE"""),"-")</f>
        <v>-</v>
      </c>
      <c r="DG101" s="139" t="str">
        <f>IFERROR(__xludf.DUMMYFUNCTION("""COMPUTED_VALUE"""),"-")</f>
        <v>-</v>
      </c>
      <c r="DH101" s="139" t="str">
        <f>IFERROR(__xludf.DUMMYFUNCTION("""COMPUTED_VALUE"""),"-")</f>
        <v>-</v>
      </c>
      <c r="DI101" s="139" t="str">
        <f>IFERROR(__xludf.DUMMYFUNCTION("""COMPUTED_VALUE"""),"-")</f>
        <v>-</v>
      </c>
      <c r="DJ101" s="139" t="str">
        <f>IFERROR(__xludf.DUMMYFUNCTION("""COMPUTED_VALUE"""),"-")</f>
        <v>-</v>
      </c>
    </row>
    <row r="102">
      <c r="A102" s="139" t="str">
        <f>IFERROR(__xludf.DUMMYFUNCTION("""COMPUTED_VALUE"""),"幼稚園WARS")</f>
        <v>幼稚園WARS</v>
      </c>
      <c r="B102" s="139" t="str">
        <f>IFERROR(__xludf.DUMMYFUNCTION("""COMPUTED_VALUE"""),"ハナ")</f>
        <v>ハナ</v>
      </c>
      <c r="C102" s="139" t="str">
        <f>IFERROR(__xludf.DUMMYFUNCTION("""COMPUTED_VALUE"""),"chara_you_00301")</f>
        <v>chara_you_00301</v>
      </c>
      <c r="D102" s="139" t="str">
        <f>IFERROR(__xludf.DUMMYFUNCTION("""COMPUTED_VALUE"""),"DropSR")</f>
        <v>DropSR</v>
      </c>
      <c r="E102" s="139" t="str">
        <f>IFERROR(__xludf.DUMMYFUNCTION("""COMPUTED_VALUE"""),"青")</f>
        <v>青</v>
      </c>
      <c r="F102" s="139" t="str">
        <f>IFERROR(__xludf.DUMMYFUNCTION("""COMPUTED_VALUE"""),"アタック")</f>
        <v>アタック</v>
      </c>
      <c r="G102" s="139" t="str">
        <f>IFERROR(__xludf.DUMMYFUNCTION("""COMPUTED_VALUE"""),"近距離")</f>
        <v>近距離</v>
      </c>
      <c r="H102" s="139" t="str">
        <f>IFERROR(__xludf.DUMMYFUNCTION("""COMPUTED_VALUE"""),"dageki_1")</f>
        <v>dageki_1</v>
      </c>
      <c r="I102" s="139" t="str">
        <f>IFERROR(__xludf.DUMMYFUNCTION("""COMPUTED_VALUE"""),"shageki_1")</f>
        <v>shageki_1</v>
      </c>
      <c r="J102" s="139" t="str">
        <f>IFERROR(__xludf.DUMMYFUNCTION("""COMPUTED_VALUE"""),"202602010_幼稚園WARS")</f>
        <v>202602010_幼稚園WARS</v>
      </c>
      <c r="K102" s="139" t="str">
        <f>IFERROR(__xludf.DUMMYFUNCTION("""COMPUTED_VALUE"""),"幼稚園WARS いいジャン祭")</f>
        <v>幼稚園WARS いいジャン祭</v>
      </c>
      <c r="L102" s="687" t="str">
        <f>IFERROR(__xludf.DUMMYFUNCTION("""COMPUTED_VALUE"""),"※")</f>
        <v>※</v>
      </c>
      <c r="M102" s="674">
        <f>IFERROR(__xludf.DUMMYFUNCTION("""COMPUTED_VALUE"""),735.0)</f>
        <v>735</v>
      </c>
      <c r="N102" s="139">
        <f>IFERROR(__xludf.DUMMYFUNCTION("""COMPUTED_VALUE"""),600.0)</f>
        <v>600</v>
      </c>
      <c r="O102" s="139" t="str">
        <f>IFERROR(__xludf.DUMMYFUNCTION("""COMPUTED_VALUE"""),"中コスト")</f>
        <v>中コスト</v>
      </c>
      <c r="P102" s="139">
        <f>IFERROR(__xludf.DUMMYFUNCTION("""COMPUTED_VALUE"""),100.0)</f>
        <v>100</v>
      </c>
      <c r="Q102" s="675">
        <f>IFERROR(__xludf.DUMMYFUNCTION("""COMPUTED_VALUE"""),20.0)</f>
        <v>20</v>
      </c>
      <c r="R102" s="675">
        <f>IFERROR(__xludf.DUMMYFUNCTION("""COMPUTED_VALUE"""),15.0)</f>
        <v>15</v>
      </c>
      <c r="S102" s="675">
        <f>IFERROR(__xludf.DUMMYFUNCTION("""COMPUTED_VALUE"""),15.875)</f>
        <v>15.875</v>
      </c>
      <c r="T102" s="674">
        <f>IFERROR(__xludf.DUMMYFUNCTION("""COMPUTED_VALUE"""),650.0)</f>
        <v>650</v>
      </c>
      <c r="U102" s="675">
        <f>IFERROR(__xludf.DUMMYFUNCTION("""COMPUTED_VALUE"""),12.980000000000002)</f>
        <v>12.98</v>
      </c>
      <c r="V102" s="675">
        <f>IFERROR(__xludf.DUMMYFUNCTION("""COMPUTED_VALUE"""),0.0)</f>
        <v>0</v>
      </c>
      <c r="W102" s="675">
        <f>IFERROR(__xludf.DUMMYFUNCTION("""COMPUTED_VALUE"""),0.0)</f>
        <v>0</v>
      </c>
      <c r="X102" s="675">
        <f>IFERROR(__xludf.DUMMYFUNCTION("""COMPUTED_VALUE"""),0.0)</f>
        <v>0</v>
      </c>
      <c r="Y102" s="674">
        <f>IFERROR(__xludf.DUMMYFUNCTION("""COMPUTED_VALUE"""),340.0)</f>
        <v>340</v>
      </c>
      <c r="Z102" s="675">
        <f>IFERROR(__xludf.DUMMYFUNCTION("""COMPUTED_VALUE"""),6.785)</f>
        <v>6.785</v>
      </c>
      <c r="AA102" s="675">
        <f>IFERROR(__xludf.DUMMYFUNCTION("""COMPUTED_VALUE"""),0.0)</f>
        <v>0</v>
      </c>
      <c r="AB102" s="673">
        <f>IFERROR(__xludf.DUMMYFUNCTION("""COMPUTED_VALUE"""),0.0)</f>
        <v>0</v>
      </c>
      <c r="AC102" s="675">
        <f>IFERROR(__xludf.DUMMYFUNCTION("""COMPUTED_VALUE"""),0.0)</f>
        <v>0</v>
      </c>
      <c r="AD102" s="674">
        <f>IFERROR(__xludf.DUMMYFUNCTION("""COMPUTED_VALUE"""),670.0)</f>
        <v>670</v>
      </c>
      <c r="AE102" s="675">
        <f>IFERROR(__xludf.DUMMYFUNCTION("""COMPUTED_VALUE"""),13.359453581640231)</f>
        <v>13.35945358</v>
      </c>
      <c r="AF102" s="675">
        <f>IFERROR(__xludf.DUMMYFUNCTION("""COMPUTED_VALUE"""),0.0)</f>
        <v>0</v>
      </c>
      <c r="AG102" s="675">
        <f>IFERROR(__xludf.DUMMYFUNCTION("""COMPUTED_VALUE"""),0.0)</f>
        <v>0</v>
      </c>
      <c r="AH102" s="675">
        <f>IFERROR(__xludf.DUMMYFUNCTION("""COMPUTED_VALUE"""),0.0)</f>
        <v>0</v>
      </c>
      <c r="AI102" s="139" t="str">
        <f>IFERROR(__xludf.DUMMYFUNCTION("""COMPUTED_VALUE"""),"-")</f>
        <v>-</v>
      </c>
      <c r="AJ102" s="675" t="str">
        <f>IFERROR(__xludf.DUMMYFUNCTION("""COMPUTED_VALUE"""),"-")</f>
        <v>-</v>
      </c>
      <c r="AK102" s="139">
        <f>IFERROR(__xludf.DUMMYFUNCTION("""COMPUTED_VALUE"""),1.0)</f>
        <v>1</v>
      </c>
      <c r="AL102" s="674">
        <f>IFERROR(__xludf.DUMMYFUNCTION("""COMPUTED_VALUE"""),1770.0)</f>
        <v>1770</v>
      </c>
      <c r="AM102" s="688">
        <f>IFERROR(__xludf.DUMMYFUNCTION("""COMPUTED_VALUE"""),12235.619771128535)</f>
        <v>12235.61977</v>
      </c>
      <c r="AN102" s="675">
        <f>IFERROR(__xludf.DUMMYFUNCTION("""COMPUTED_VALUE"""),11.8)</f>
        <v>11.8</v>
      </c>
      <c r="AO102" s="675">
        <f>IFERROR(__xludf.DUMMYFUNCTION("""COMPUTED_VALUE"""),5.9)</f>
        <v>5.9</v>
      </c>
      <c r="AP102" s="674">
        <f>IFERROR(__xludf.DUMMYFUNCTION("""COMPUTED_VALUE"""),2210.0)</f>
        <v>2210</v>
      </c>
      <c r="AQ102" s="673">
        <f>IFERROR(__xludf.DUMMYFUNCTION("""COMPUTED_VALUE"""),-0.2)</f>
        <v>-0.2</v>
      </c>
      <c r="AR102" s="673">
        <f>IFERROR(__xludf.DUMMYFUNCTION("""COMPUTED_VALUE"""),0.0)</f>
        <v>0</v>
      </c>
      <c r="AS102" s="673">
        <f>IFERROR(__xludf.DUMMYFUNCTION("""COMPUTED_VALUE"""),0.0)</f>
        <v>0</v>
      </c>
      <c r="AT102" s="673">
        <f>IFERROR(__xludf.DUMMYFUNCTION("""COMPUTED_VALUE"""),0.0)</f>
        <v>0</v>
      </c>
      <c r="AU102" s="673">
        <f>IFERROR(__xludf.DUMMYFUNCTION("""COMPUTED_VALUE"""),0.0)</f>
        <v>0</v>
      </c>
      <c r="AV102" s="673">
        <f>IFERROR(__xludf.DUMMYFUNCTION("""COMPUTED_VALUE"""),0.0)</f>
        <v>0</v>
      </c>
      <c r="AW102" s="139"/>
      <c r="AX102" s="674">
        <f>IFERROR(__xludf.DUMMYFUNCTION("""COMPUTED_VALUE"""),1910.0)</f>
        <v>1910</v>
      </c>
      <c r="AY102" s="688">
        <f>IFERROR(__xludf.DUMMYFUNCTION("""COMPUTED_VALUE"""),13203.163707827967)</f>
        <v>13203.16371</v>
      </c>
      <c r="AZ102" s="674">
        <f>IFERROR(__xludf.DUMMYFUNCTION("""COMPUTED_VALUE"""),1910.0)</f>
        <v>1910</v>
      </c>
      <c r="BA102" s="688">
        <f>IFERROR(__xludf.DUMMYFUNCTION("""COMPUTED_VALUE"""),13203.163707827967)</f>
        <v>13203.16371</v>
      </c>
      <c r="BB102" s="688" t="str">
        <f>IFERROR(__xludf.DUMMYFUNCTION("""COMPUTED_VALUE"""),"-")</f>
        <v>-</v>
      </c>
      <c r="BC102" s="688" t="str">
        <f>IFERROR(__xludf.DUMMYFUNCTION("""COMPUTED_VALUE"""),"#VALUE!")</f>
        <v>#VALUE!</v>
      </c>
      <c r="BD102" s="688" t="str">
        <f>IFERROR(__xludf.DUMMYFUNCTION("""COMPUTED_VALUE"""),"#VALUE!")</f>
        <v>#VALUE!</v>
      </c>
      <c r="BE102" s="674">
        <f>IFERROR(__xludf.DUMMYFUNCTION("""COMPUTED_VALUE"""),1910.0)</f>
        <v>1910</v>
      </c>
      <c r="BF102" s="674">
        <f>IFERROR(__xludf.DUMMYFUNCTION("""COMPUTED_VALUE"""),1470.0)</f>
        <v>1470</v>
      </c>
      <c r="BG102" s="673">
        <f>IFERROR(__xludf.DUMMYFUNCTION("""COMPUTED_VALUE"""),0.0)</f>
        <v>0</v>
      </c>
      <c r="BH102" s="673">
        <f>IFERROR(__xludf.DUMMYFUNCTION("""COMPUTED_VALUE"""),0.3)</f>
        <v>0.3</v>
      </c>
      <c r="BI102" s="673">
        <f>IFERROR(__xludf.DUMMYFUNCTION("""COMPUTED_VALUE"""),0.0)</f>
        <v>0</v>
      </c>
      <c r="BJ102" s="673">
        <f>IFERROR(__xludf.DUMMYFUNCTION("""COMPUTED_VALUE"""),0.0)</f>
        <v>0</v>
      </c>
      <c r="BK102" s="673">
        <f>IFERROR(__xludf.DUMMYFUNCTION("""COMPUTED_VALUE"""),0.0)</f>
        <v>0</v>
      </c>
      <c r="BL102" s="673">
        <f>IFERROR(__xludf.DUMMYFUNCTION("""COMPUTED_VALUE"""),0.0)</f>
        <v>0</v>
      </c>
      <c r="BM102" s="674">
        <f>IFERROR(__xludf.DUMMYFUNCTION("""COMPUTED_VALUE"""),50.0)</f>
        <v>50</v>
      </c>
      <c r="BN102" s="674">
        <f>IFERROR(__xludf.DUMMYFUNCTION("""COMPUTED_VALUE"""),50.0)</f>
        <v>50</v>
      </c>
      <c r="BO102" s="675">
        <f>IFERROR(__xludf.DUMMYFUNCTION("""COMPUTED_VALUE"""),0.0)</f>
        <v>0</v>
      </c>
      <c r="BP102" s="675">
        <f>IFERROR(__xludf.DUMMYFUNCTION("""COMPUTED_VALUE"""),1.0)</f>
        <v>1</v>
      </c>
      <c r="BQ102" s="139" t="str">
        <f>IFERROR(__xludf.DUMMYFUNCTION("""COMPUTED_VALUE"""),"(近距離)武器・道具・特殊攻撃")</f>
        <v>(近距離)武器・道具・特殊攻撃</v>
      </c>
      <c r="BR102" s="139">
        <f>IFERROR(__xludf.DUMMYFUNCTION("""COMPUTED_VALUE"""),2.0)</f>
        <v>2</v>
      </c>
      <c r="BS102" s="139">
        <f>IFERROR(__xludf.DUMMYFUNCTION("""COMPUTED_VALUE"""),35.0)</f>
        <v>35</v>
      </c>
      <c r="BT102" s="139">
        <f>IFERROR(__xludf.DUMMYFUNCTION("""COMPUTED_VALUE"""),0.29)</f>
        <v>0.29</v>
      </c>
      <c r="BU102" s="139">
        <f>IFERROR(__xludf.DUMMYFUNCTION("""COMPUTED_VALUE"""),0.0)</f>
        <v>0</v>
      </c>
      <c r="BV102" s="139" t="str">
        <f>IFERROR(__xludf.DUMMYFUNCTION("""COMPUTED_VALUE"""),"普通")</f>
        <v>普通</v>
      </c>
      <c r="BW102" s="139" t="str">
        <f>IFERROR(__xludf.DUMMYFUNCTION("""COMPUTED_VALUE"""),"スタン攻撃無効化")</f>
        <v>スタン攻撃無効化</v>
      </c>
      <c r="BX102" s="139">
        <f>IFERROR(__xludf.DUMMYFUNCTION("""COMPUTED_VALUE"""),25.0)</f>
        <v>25</v>
      </c>
      <c r="BY102" s="139">
        <f>IFERROR(__xludf.DUMMYFUNCTION("""COMPUTED_VALUE"""),2.0)</f>
        <v>2</v>
      </c>
      <c r="BZ102" s="139" t="str">
        <f>IFERROR(__xludf.DUMMYFUNCTION("""COMPUTED_VALUE"""),"-")</f>
        <v>-</v>
      </c>
      <c r="CA102" s="139" t="str">
        <f>IFERROR(__xludf.DUMMYFUNCTION("""COMPUTED_VALUE"""),"-")</f>
        <v>-</v>
      </c>
      <c r="CB102" s="139" t="str">
        <f>IFERROR(__xludf.DUMMYFUNCTION("""COMPUTED_VALUE"""),"-")</f>
        <v>-</v>
      </c>
      <c r="CC102" s="139" t="str">
        <f>IFERROR(__xludf.DUMMYFUNCTION("""COMPUTED_VALUE"""),"近距離")</f>
        <v>近距離</v>
      </c>
      <c r="CD102" s="139" t="str">
        <f>IFERROR(__xludf.DUMMYFUNCTION("""COMPUTED_VALUE"""),"単体")</f>
        <v>単体</v>
      </c>
      <c r="CE102" s="139">
        <f>IFERROR(__xludf.DUMMYFUNCTION("""COMPUTED_VALUE"""),1.0)</f>
        <v>1</v>
      </c>
      <c r="CF102" s="139">
        <f>IFERROR(__xludf.DUMMYFUNCTION("""COMPUTED_VALUE"""),0.3)</f>
        <v>0.3</v>
      </c>
      <c r="CG102" s="139" t="str">
        <f>IFERROR(__xludf.DUMMYFUNCTION("""COMPUTED_VALUE"""),"中距離")</f>
        <v>中距離</v>
      </c>
      <c r="CH102" s="139" t="str">
        <f>IFERROR(__xludf.DUMMYFUNCTION("""COMPUTED_VALUE"""),"範囲(中)")</f>
        <v>範囲(中)</v>
      </c>
      <c r="CI102" s="139">
        <f>IFERROR(__xludf.DUMMYFUNCTION("""COMPUTED_VALUE"""),0.65)</f>
        <v>0.65</v>
      </c>
      <c r="CJ102" s="139">
        <f>IFERROR(__xludf.DUMMYFUNCTION("""COMPUTED_VALUE"""),0.5)</f>
        <v>0.5</v>
      </c>
      <c r="CK102" s="139"/>
      <c r="CL102" s="139"/>
      <c r="CM102" s="139"/>
      <c r="CN102" s="675">
        <f>IFERROR(__xludf.DUMMYFUNCTION("""COMPUTED_VALUE"""),13.359453581640231)</f>
        <v>13.35945358</v>
      </c>
      <c r="CO102" s="139" t="str">
        <f>IFERROR(__xludf.DUMMYFUNCTION("""COMPUTED_VALUE"""),"-")</f>
        <v>-</v>
      </c>
      <c r="CP102" s="139" t="str">
        <f>IFERROR(__xludf.DUMMYFUNCTION("""COMPUTED_VALUE"""),"-")</f>
        <v>-</v>
      </c>
      <c r="CQ102" s="139" t="str">
        <f>IFERROR(__xludf.DUMMYFUNCTION("""COMPUTED_VALUE"""),"-")</f>
        <v>-</v>
      </c>
      <c r="CR102" s="139"/>
      <c r="CS102" s="673" t="str">
        <f>IFERROR(__xludf.DUMMYFUNCTION("""COMPUTED_VALUE"""),"攻撃(必殺)")</f>
        <v>攻撃(必殺)</v>
      </c>
      <c r="CT102" s="139" t="str">
        <f>IFERROR(__xludf.DUMMYFUNCTION("""COMPUTED_VALUE"""),"-")</f>
        <v>-</v>
      </c>
      <c r="CU102" s="139" t="str">
        <f>IFERROR(__xludf.DUMMYFUNCTION("""COMPUTED_VALUE"""),"敵")</f>
        <v>敵</v>
      </c>
      <c r="CV102" s="139" t="str">
        <f>IFERROR(__xludf.DUMMYFUNCTION("""COMPUTED_VALUE"""),"All")</f>
        <v>All</v>
      </c>
      <c r="CW102" s="139" t="str">
        <f>IFERROR(__xludf.DUMMYFUNCTION("""COMPUTED_VALUE"""),"All")</f>
        <v>All</v>
      </c>
      <c r="CX102" s="674">
        <f>IFERROR(__xludf.DUMMYFUNCTION("""COMPUTED_VALUE"""),68.0)</f>
        <v>68</v>
      </c>
      <c r="CY102" s="675" t="str">
        <f>IFERROR(__xludf.DUMMYFUNCTION("""COMPUTED_VALUE"""),"-")</f>
        <v>-</v>
      </c>
      <c r="CZ102" s="688">
        <f>IFERROR(__xludf.DUMMYFUNCTION("""COMPUTED_VALUE"""),8978.0)</f>
        <v>8978</v>
      </c>
      <c r="DA102" s="688">
        <f>IFERROR(__xludf.DUMMYFUNCTION("""COMPUTED_VALUE"""),706.8173663599595)</f>
        <v>706.8173664</v>
      </c>
      <c r="DB102" s="688">
        <f>IFERROR(__xludf.DUMMYFUNCTION("""COMPUTED_VALUE"""),3534.0868317997974)</f>
        <v>3534.086832</v>
      </c>
      <c r="DC102" s="673" t="str">
        <f>IFERROR(__xludf.DUMMYFUNCTION("""COMPUTED_VALUE"""),"キラー攻撃(赤)")</f>
        <v>キラー攻撃(赤)</v>
      </c>
      <c r="DD102" s="673">
        <f>IFERROR(__xludf.DUMMYFUNCTION("""COMPUTED_VALUE"""),115.6)</f>
        <v>115.6</v>
      </c>
      <c r="DE102" s="139" t="str">
        <f>IFERROR(__xludf.DUMMYFUNCTION("""COMPUTED_VALUE"""),"-")</f>
        <v>-</v>
      </c>
      <c r="DF102" s="139" t="str">
        <f>IFERROR(__xludf.DUMMYFUNCTION("""COMPUTED_VALUE"""),"-")</f>
        <v>-</v>
      </c>
      <c r="DG102" s="139" t="str">
        <f>IFERROR(__xludf.DUMMYFUNCTION("""COMPUTED_VALUE"""),"-")</f>
        <v>-</v>
      </c>
      <c r="DH102" s="139" t="str">
        <f>IFERROR(__xludf.DUMMYFUNCTION("""COMPUTED_VALUE"""),"-")</f>
        <v>-</v>
      </c>
      <c r="DI102" s="139" t="str">
        <f>IFERROR(__xludf.DUMMYFUNCTION("""COMPUTED_VALUE"""),"-")</f>
        <v>-</v>
      </c>
      <c r="DJ102" s="139" t="str">
        <f>IFERROR(__xludf.DUMMYFUNCTION("""COMPUTED_VALUE"""),"-")</f>
        <v>-</v>
      </c>
    </row>
    <row r="103">
      <c r="A103" s="139" t="str">
        <f>IFERROR(__xludf.DUMMYFUNCTION("""COMPUTED_VALUE"""),"幼稚園WARS")</f>
        <v>幼稚園WARS</v>
      </c>
      <c r="B103" s="139" t="str">
        <f>IFERROR(__xludf.DUMMYFUNCTION("""COMPUTED_VALUE"""),"ダグ")</f>
        <v>ダグ</v>
      </c>
      <c r="C103" s="139" t="str">
        <f>IFERROR(__xludf.DUMMYFUNCTION("""COMPUTED_VALUE"""),"chara_you_00201")</f>
        <v>chara_you_00201</v>
      </c>
      <c r="D103" s="139" t="str">
        <f>IFERROR(__xludf.DUMMYFUNCTION("""COMPUTED_VALUE"""),"DropSR")</f>
        <v>DropSR</v>
      </c>
      <c r="E103" s="139" t="str">
        <f>IFERROR(__xludf.DUMMYFUNCTION("""COMPUTED_VALUE"""),"緑")</f>
        <v>緑</v>
      </c>
      <c r="F103" s="139" t="str">
        <f>IFERROR(__xludf.DUMMYFUNCTION("""COMPUTED_VALUE"""),"テクニカル")</f>
        <v>テクニカル</v>
      </c>
      <c r="G103" s="139" t="str">
        <f>IFERROR(__xludf.DUMMYFUNCTION("""COMPUTED_VALUE"""),"中距離")</f>
        <v>中距離</v>
      </c>
      <c r="H103" s="139" t="str">
        <f>IFERROR(__xludf.DUMMYFUNCTION("""COMPUTED_VALUE"""),"shageki_1")</f>
        <v>shageki_1</v>
      </c>
      <c r="I103" s="139" t="str">
        <f>IFERROR(__xludf.DUMMYFUNCTION("""COMPUTED_VALUE"""),"shageki_1")</f>
        <v>shageki_1</v>
      </c>
      <c r="J103" s="139" t="str">
        <f>IFERROR(__xludf.DUMMYFUNCTION("""COMPUTED_VALUE"""),"202602010_幼稚園WARS")</f>
        <v>202602010_幼稚園WARS</v>
      </c>
      <c r="K103" s="139" t="str">
        <f>IFERROR(__xludf.DUMMYFUNCTION("""COMPUTED_VALUE"""),"幼稚園WARS いいジャン祭")</f>
        <v>幼稚園WARS いいジャン祭</v>
      </c>
      <c r="L103" s="687" t="str">
        <f>IFERROR(__xludf.DUMMYFUNCTION("""COMPUTED_VALUE"""),"※")</f>
        <v>※</v>
      </c>
      <c r="M103" s="674">
        <f>IFERROR(__xludf.DUMMYFUNCTION("""COMPUTED_VALUE"""),540.0)</f>
        <v>540</v>
      </c>
      <c r="N103" s="139">
        <f>IFERROR(__xludf.DUMMYFUNCTION("""COMPUTED_VALUE"""),600.0)</f>
        <v>600</v>
      </c>
      <c r="O103" s="139" t="str">
        <f>IFERROR(__xludf.DUMMYFUNCTION("""COMPUTED_VALUE"""),"中コスト")</f>
        <v>中コスト</v>
      </c>
      <c r="P103" s="139">
        <f>IFERROR(__xludf.DUMMYFUNCTION("""COMPUTED_VALUE"""),-85.0)</f>
        <v>-85</v>
      </c>
      <c r="Q103" s="675">
        <f>IFERROR(__xludf.DUMMYFUNCTION("""COMPUTED_VALUE"""),15.0)</f>
        <v>15</v>
      </c>
      <c r="R103" s="675">
        <f>IFERROR(__xludf.DUMMYFUNCTION("""COMPUTED_VALUE"""),10.0)</f>
        <v>10</v>
      </c>
      <c r="S103" s="675">
        <f>IFERROR(__xludf.DUMMYFUNCTION("""COMPUTED_VALUE"""),11.0)</f>
        <v>11</v>
      </c>
      <c r="T103" s="674">
        <f>IFERROR(__xludf.DUMMYFUNCTION("""COMPUTED_VALUE"""),355.0)</f>
        <v>355</v>
      </c>
      <c r="U103" s="675">
        <f>IFERROR(__xludf.DUMMYFUNCTION("""COMPUTED_VALUE"""),7.113333333333334)</f>
        <v>7.113333333</v>
      </c>
      <c r="V103" s="675">
        <f>IFERROR(__xludf.DUMMYFUNCTION("""COMPUTED_VALUE"""),0.0)</f>
        <v>0</v>
      </c>
      <c r="W103" s="675">
        <f>IFERROR(__xludf.DUMMYFUNCTION("""COMPUTED_VALUE"""),0.0)</f>
        <v>0</v>
      </c>
      <c r="X103" s="675">
        <f>IFERROR(__xludf.DUMMYFUNCTION("""COMPUTED_VALUE"""),0.0)</f>
        <v>0</v>
      </c>
      <c r="Y103" s="674">
        <f>IFERROR(__xludf.DUMMYFUNCTION("""COMPUTED_VALUE"""),235.0)</f>
        <v>235</v>
      </c>
      <c r="Z103" s="675">
        <f>IFERROR(__xludf.DUMMYFUNCTION("""COMPUTED_VALUE"""),4.718333333333334)</f>
        <v>4.718333333</v>
      </c>
      <c r="AA103" s="675">
        <f>IFERROR(__xludf.DUMMYFUNCTION("""COMPUTED_VALUE"""),1.0)</f>
        <v>1</v>
      </c>
      <c r="AB103" s="673">
        <f>IFERROR(__xludf.DUMMYFUNCTION("""COMPUTED_VALUE"""),0.0)</f>
        <v>0</v>
      </c>
      <c r="AC103" s="675">
        <f>IFERROR(__xludf.DUMMYFUNCTION("""COMPUTED_VALUE"""),0.0)</f>
        <v>0</v>
      </c>
      <c r="AD103" s="674">
        <f>IFERROR(__xludf.DUMMYFUNCTION("""COMPUTED_VALUE"""),1120.0)</f>
        <v>1120</v>
      </c>
      <c r="AE103" s="675">
        <f>IFERROR(__xludf.DUMMYFUNCTION("""COMPUTED_VALUE"""),22.412261962656082)</f>
        <v>22.41226196</v>
      </c>
      <c r="AF103" s="675">
        <f>IFERROR(__xludf.DUMMYFUNCTION("""COMPUTED_VALUE"""),0.0)</f>
        <v>0</v>
      </c>
      <c r="AG103" s="675">
        <f>IFERROR(__xludf.DUMMYFUNCTION("""COMPUTED_VALUE"""),12.522452392531218)</f>
        <v>12.52245239</v>
      </c>
      <c r="AH103" s="675">
        <f>IFERROR(__xludf.DUMMYFUNCTION("""COMPUTED_VALUE"""),0.0)</f>
        <v>0</v>
      </c>
      <c r="AI103" s="675">
        <f>IFERROR(__xludf.DUMMYFUNCTION("""COMPUTED_VALUE"""),6.699999999999999)</f>
        <v>6.7</v>
      </c>
      <c r="AJ103" s="675">
        <f>IFERROR(__xludf.DUMMYFUNCTION("""COMPUTED_VALUE"""),15.712261962656083)</f>
        <v>15.71226196</v>
      </c>
      <c r="AK103" s="139">
        <f>IFERROR(__xludf.DUMMYFUNCTION("""COMPUTED_VALUE"""),1.0)</f>
        <v>1</v>
      </c>
      <c r="AL103" s="674">
        <f>IFERROR(__xludf.DUMMYFUNCTION("""COMPUTED_VALUE"""),970.0)</f>
        <v>970</v>
      </c>
      <c r="AM103" s="688">
        <f>IFERROR(__xludf.DUMMYFUNCTION("""COMPUTED_VALUE"""),6704.877275703208)</f>
        <v>6704.877276</v>
      </c>
      <c r="AN103" s="675">
        <f>IFERROR(__xludf.DUMMYFUNCTION("""COMPUTED_VALUE"""),6.466666666666667)</f>
        <v>6.466666667</v>
      </c>
      <c r="AO103" s="675">
        <f>IFERROR(__xludf.DUMMYFUNCTION("""COMPUTED_VALUE"""),3.2333333333333334)</f>
        <v>3.233333333</v>
      </c>
      <c r="AP103" s="674">
        <f>IFERROR(__xludf.DUMMYFUNCTION("""COMPUTED_VALUE"""),1620.0)</f>
        <v>1620</v>
      </c>
      <c r="AQ103" s="673">
        <f>IFERROR(__xludf.DUMMYFUNCTION("""COMPUTED_VALUE"""),-0.3)</f>
        <v>-0.3</v>
      </c>
      <c r="AR103" s="673">
        <f>IFERROR(__xludf.DUMMYFUNCTION("""COMPUTED_VALUE"""),0.0)</f>
        <v>0</v>
      </c>
      <c r="AS103" s="673">
        <f>IFERROR(__xludf.DUMMYFUNCTION("""COMPUTED_VALUE"""),-0.1)</f>
        <v>-0.1</v>
      </c>
      <c r="AT103" s="673">
        <f>IFERROR(__xludf.DUMMYFUNCTION("""COMPUTED_VALUE"""),0.0)</f>
        <v>0</v>
      </c>
      <c r="AU103" s="673">
        <f>IFERROR(__xludf.DUMMYFUNCTION("""COMPUTED_VALUE"""),0.0)</f>
        <v>0</v>
      </c>
      <c r="AV103" s="673">
        <f>IFERROR(__xludf.DUMMYFUNCTION("""COMPUTED_VALUE"""),0.0)</f>
        <v>0</v>
      </c>
      <c r="AW103" s="139"/>
      <c r="AX103" s="674">
        <f>IFERROR(__xludf.DUMMYFUNCTION("""COMPUTED_VALUE"""),1790.0)</f>
        <v>1790</v>
      </c>
      <c r="AY103" s="688">
        <f>IFERROR(__xludf.DUMMYFUNCTION("""COMPUTED_VALUE"""),12373.960333514167)</f>
        <v>12373.96033</v>
      </c>
      <c r="AZ103" s="674">
        <f>IFERROR(__xludf.DUMMYFUNCTION("""COMPUTED_VALUE"""),1190.0)</f>
        <v>1190</v>
      </c>
      <c r="BA103" s="688">
        <f>IFERROR(__xludf.DUMMYFUNCTION("""COMPUTED_VALUE"""),8249.306889009446)</f>
        <v>8249.306889</v>
      </c>
      <c r="BB103" s="688" t="str">
        <f>IFERROR(__xludf.DUMMYFUNCTION("""COMPUTED_VALUE"""),"-")</f>
        <v>-</v>
      </c>
      <c r="BC103" s="688" t="str">
        <f>IFERROR(__xludf.DUMMYFUNCTION("""COMPUTED_VALUE"""),"#VALUE!")</f>
        <v>#VALUE!</v>
      </c>
      <c r="BD103" s="688" t="str">
        <f>IFERROR(__xludf.DUMMYFUNCTION("""COMPUTED_VALUE"""),"#VALUE!")</f>
        <v>#VALUE!</v>
      </c>
      <c r="BE103" s="674">
        <f>IFERROR(__xludf.DUMMYFUNCTION("""COMPUTED_VALUE"""),1190.0)</f>
        <v>1190</v>
      </c>
      <c r="BF103" s="674">
        <f>IFERROR(__xludf.DUMMYFUNCTION("""COMPUTED_VALUE"""),1080.0)</f>
        <v>1080</v>
      </c>
      <c r="BG103" s="673">
        <f>IFERROR(__xludf.DUMMYFUNCTION("""COMPUTED_VALUE"""),0.0)</f>
        <v>0</v>
      </c>
      <c r="BH103" s="673">
        <f>IFERROR(__xludf.DUMMYFUNCTION("""COMPUTED_VALUE"""),0.1)</f>
        <v>0.1</v>
      </c>
      <c r="BI103" s="673">
        <f>IFERROR(__xludf.DUMMYFUNCTION("""COMPUTED_VALUE"""),0.0)</f>
        <v>0</v>
      </c>
      <c r="BJ103" s="673">
        <f>IFERROR(__xludf.DUMMYFUNCTION("""COMPUTED_VALUE"""),0.0)</f>
        <v>0</v>
      </c>
      <c r="BK103" s="673">
        <f>IFERROR(__xludf.DUMMYFUNCTION("""COMPUTED_VALUE"""),0.0)</f>
        <v>0</v>
      </c>
      <c r="BL103" s="673">
        <f>IFERROR(__xludf.DUMMYFUNCTION("""COMPUTED_VALUE"""),0.0)</f>
        <v>0</v>
      </c>
      <c r="BM103" s="674">
        <f>IFERROR(__xludf.DUMMYFUNCTION("""COMPUTED_VALUE"""),75.0)</f>
        <v>75</v>
      </c>
      <c r="BN103" s="674">
        <f>IFERROR(__xludf.DUMMYFUNCTION("""COMPUTED_VALUE"""),75.0)</f>
        <v>75</v>
      </c>
      <c r="BO103" s="675">
        <f>IFERROR(__xludf.DUMMYFUNCTION("""COMPUTED_VALUE"""),0.0)</f>
        <v>0</v>
      </c>
      <c r="BP103" s="675">
        <f>IFERROR(__xludf.DUMMYFUNCTION("""COMPUTED_VALUE"""),1.5)</f>
        <v>1.5</v>
      </c>
      <c r="BQ103" s="139" t="str">
        <f>IFERROR(__xludf.DUMMYFUNCTION("""COMPUTED_VALUE"""),"(中距離)素手・武器・道具")</f>
        <v>(中距離)素手・武器・道具</v>
      </c>
      <c r="BR103" s="139">
        <f>IFERROR(__xludf.DUMMYFUNCTION("""COMPUTED_VALUE"""),3.0)</f>
        <v>3</v>
      </c>
      <c r="BS103" s="139">
        <f>IFERROR(__xludf.DUMMYFUNCTION("""COMPUTED_VALUE"""),35.0)</f>
        <v>35</v>
      </c>
      <c r="BT103" s="139">
        <f>IFERROR(__xludf.DUMMYFUNCTION("""COMPUTED_VALUE"""),0.36)</f>
        <v>0.36</v>
      </c>
      <c r="BU103" s="139">
        <f>IFERROR(__xludf.DUMMYFUNCTION("""COMPUTED_VALUE"""),0.0)</f>
        <v>0</v>
      </c>
      <c r="BV103" s="139" t="str">
        <f>IFERROR(__xludf.DUMMYFUNCTION("""COMPUTED_VALUE"""),"普通")</f>
        <v>普通</v>
      </c>
      <c r="BW103" s="139" t="str">
        <f>IFERROR(__xludf.DUMMYFUNCTION("""COMPUTED_VALUE"""),"攻撃DOWNコマ無効化")</f>
        <v>攻撃DOWNコマ無効化</v>
      </c>
      <c r="BX103" s="139" t="str">
        <f>IFERROR(__xludf.DUMMYFUNCTION("""COMPUTED_VALUE"""),"-")</f>
        <v>-</v>
      </c>
      <c r="BY103" s="139">
        <f>IFERROR(__xludf.DUMMYFUNCTION("""COMPUTED_VALUE"""),2.0)</f>
        <v>2</v>
      </c>
      <c r="BZ103" s="139" t="str">
        <f>IFERROR(__xludf.DUMMYFUNCTION("""COMPUTED_VALUE"""),"-")</f>
        <v>-</v>
      </c>
      <c r="CA103" s="139" t="str">
        <f>IFERROR(__xludf.DUMMYFUNCTION("""COMPUTED_VALUE"""),"-")</f>
        <v>-</v>
      </c>
      <c r="CB103" s="139" t="str">
        <f>IFERROR(__xludf.DUMMYFUNCTION("""COMPUTED_VALUE"""),"-")</f>
        <v>-</v>
      </c>
      <c r="CC103" s="139" t="str">
        <f>IFERROR(__xludf.DUMMYFUNCTION("""COMPUTED_VALUE"""),"中距離")</f>
        <v>中距離</v>
      </c>
      <c r="CD103" s="139" t="str">
        <f>IFERROR(__xludf.DUMMYFUNCTION("""COMPUTED_VALUE"""),"単体")</f>
        <v>単体</v>
      </c>
      <c r="CE103" s="139">
        <f>IFERROR(__xludf.DUMMYFUNCTION("""COMPUTED_VALUE"""),1.0)</f>
        <v>1</v>
      </c>
      <c r="CF103" s="139">
        <f>IFERROR(__xludf.DUMMYFUNCTION("""COMPUTED_VALUE"""),0.37)</f>
        <v>0.37</v>
      </c>
      <c r="CG103" s="139" t="str">
        <f>IFERROR(__xludf.DUMMYFUNCTION("""COMPUTED_VALUE"""),"中距離")</f>
        <v>中距離</v>
      </c>
      <c r="CH103" s="139" t="str">
        <f>IFERROR(__xludf.DUMMYFUNCTION("""COMPUTED_VALUE"""),"範囲(小)")</f>
        <v>範囲(小)</v>
      </c>
      <c r="CI103" s="139">
        <f>IFERROR(__xludf.DUMMYFUNCTION("""COMPUTED_VALUE"""),0.75)</f>
        <v>0.75</v>
      </c>
      <c r="CJ103" s="139">
        <f>IFERROR(__xludf.DUMMYFUNCTION("""COMPUTED_VALUE"""),0.47)</f>
        <v>0.47</v>
      </c>
      <c r="CK103" s="139"/>
      <c r="CL103" s="139"/>
      <c r="CM103" s="139"/>
      <c r="CN103" s="675">
        <f>IFERROR(__xludf.DUMMYFUNCTION("""COMPUTED_VALUE"""),22.412261962656082)</f>
        <v>22.41226196</v>
      </c>
      <c r="CO103" s="139" t="str">
        <f>IFERROR(__xludf.DUMMYFUNCTION("""COMPUTED_VALUE"""),"-")</f>
        <v>-</v>
      </c>
      <c r="CP103" s="139" t="str">
        <f>IFERROR(__xludf.DUMMYFUNCTION("""COMPUTED_VALUE"""),"-")</f>
        <v>-</v>
      </c>
      <c r="CQ103" s="139" t="str">
        <f>IFERROR(__xludf.DUMMYFUNCTION("""COMPUTED_VALUE"""),"-")</f>
        <v>-</v>
      </c>
      <c r="CR103" s="139"/>
      <c r="CS103" s="673" t="str">
        <f>IFERROR(__xludf.DUMMYFUNCTION("""COMPUTED_VALUE"""),"連続攻撃")</f>
        <v>連続攻撃</v>
      </c>
      <c r="CT103" s="139" t="str">
        <f>IFERROR(__xludf.DUMMYFUNCTION("""COMPUTED_VALUE"""),"安定型")</f>
        <v>安定型</v>
      </c>
      <c r="CU103" s="139" t="str">
        <f>IFERROR(__xludf.DUMMYFUNCTION("""COMPUTED_VALUE"""),"敵")</f>
        <v>敵</v>
      </c>
      <c r="CV103" s="139" t="str">
        <f>IFERROR(__xludf.DUMMYFUNCTION("""COMPUTED_VALUE"""),"All")</f>
        <v>All</v>
      </c>
      <c r="CW103" s="139" t="str">
        <f>IFERROR(__xludf.DUMMYFUNCTION("""COMPUTED_VALUE"""),"All")</f>
        <v>All</v>
      </c>
      <c r="CX103" s="674">
        <f>IFERROR(__xludf.DUMMYFUNCTION("""COMPUTED_VALUE"""),129.0)</f>
        <v>129</v>
      </c>
      <c r="CY103" s="675" t="str">
        <f>IFERROR(__xludf.DUMMYFUNCTION("""COMPUTED_VALUE"""),"-")</f>
        <v>-</v>
      </c>
      <c r="CZ103" s="688">
        <f>IFERROR(__xludf.DUMMYFUNCTION("""COMPUTED_VALUE"""),15962.0)</f>
        <v>15962</v>
      </c>
      <c r="DA103" s="688">
        <f>IFERROR(__xludf.DUMMYFUNCTION("""COMPUTED_VALUE"""),773.2452268572281)</f>
        <v>773.2452269</v>
      </c>
      <c r="DB103" s="688">
        <f>IFERROR(__xludf.DUMMYFUNCTION("""COMPUTED_VALUE"""),3866.22613428614)</f>
        <v>3866.226134</v>
      </c>
      <c r="DC103" s="673" t="str">
        <f>IFERROR(__xludf.DUMMYFUNCTION("""COMPUTED_VALUE"""),"攻撃力Down")</f>
        <v>攻撃力Down</v>
      </c>
      <c r="DD103" s="673">
        <f>IFERROR(__xludf.DUMMYFUNCTION("""COMPUTED_VALUE"""),13.0)</f>
        <v>13</v>
      </c>
      <c r="DE103" s="675">
        <f>IFERROR(__xludf.DUMMYFUNCTION("""COMPUTED_VALUE"""),6.7)</f>
        <v>6.7</v>
      </c>
      <c r="DF103" s="139" t="str">
        <f>IFERROR(__xludf.DUMMYFUNCTION("""COMPUTED_VALUE"""),"安定型")</f>
        <v>安定型</v>
      </c>
      <c r="DG103" s="139" t="str">
        <f>IFERROR(__xludf.DUMMYFUNCTION("""COMPUTED_VALUE"""),"-")</f>
        <v>-</v>
      </c>
      <c r="DH103" s="139" t="str">
        <f>IFERROR(__xludf.DUMMYFUNCTION("""COMPUTED_VALUE"""),"-")</f>
        <v>-</v>
      </c>
      <c r="DI103" s="139" t="str">
        <f>IFERROR(__xludf.DUMMYFUNCTION("""COMPUTED_VALUE"""),"-")</f>
        <v>-</v>
      </c>
      <c r="DJ103" s="139" t="str">
        <f>IFERROR(__xludf.DUMMYFUNCTION("""COMPUTED_VALUE"""),"-")</f>
        <v>-</v>
      </c>
    </row>
    <row r="104">
      <c r="A104" s="139" t="str">
        <f>IFERROR(__xludf.DUMMYFUNCTION("""COMPUTED_VALUE"""),"君のことが大大大大大好きな100人の彼女")</f>
        <v>君のことが大大大大大好きな100人の彼女</v>
      </c>
      <c r="B104" s="139" t="str">
        <f>IFERROR(__xludf.DUMMYFUNCTION("""COMPUTED_VALUE"""),"溢れる母性 花園 羽々里")</f>
        <v>溢れる母性 花園 羽々里</v>
      </c>
      <c r="C104" s="139" t="str">
        <f>IFERROR(__xludf.DUMMYFUNCTION("""COMPUTED_VALUE"""),"chara_kim_00001")</f>
        <v>chara_kim_00001</v>
      </c>
      <c r="D104" s="139" t="str">
        <f>IFERROR(__xludf.DUMMYFUNCTION("""COMPUTED_VALUE"""),"PremiumUR")</f>
        <v>PremiumUR</v>
      </c>
      <c r="E104" s="139" t="str">
        <f>IFERROR(__xludf.DUMMYFUNCTION("""COMPUTED_VALUE"""),"青")</f>
        <v>青</v>
      </c>
      <c r="F104" s="139" t="str">
        <f>IFERROR(__xludf.DUMMYFUNCTION("""COMPUTED_VALUE"""),"ディフェンス")</f>
        <v>ディフェンス</v>
      </c>
      <c r="G104" s="139" t="str">
        <f>IFERROR(__xludf.DUMMYFUNCTION("""COMPUTED_VALUE"""),"近距離")</f>
        <v>近距離</v>
      </c>
      <c r="H104" s="139" t="str">
        <f>IFERROR(__xludf.DUMMYFUNCTION("""COMPUTED_VALUE"""),"dageki_1")</f>
        <v>dageki_1</v>
      </c>
      <c r="I104" s="139" t="str">
        <f>IFERROR(__xludf.DUMMYFUNCTION("""COMPUTED_VALUE"""),"dageki_1")</f>
        <v>dageki_1</v>
      </c>
      <c r="J104" s="139" t="str">
        <f>IFERROR(__xludf.DUMMYFUNCTION("""COMPUTED_VALUE"""),"202602020_100カノ")</f>
        <v>202602020_100カノ</v>
      </c>
      <c r="K104" s="139" t="str">
        <f>IFERROR(__xludf.DUMMYFUNCTION("""COMPUTED_VALUE"""),"君のことが大大大大大好きな100人の彼女 いいジャン祭")</f>
        <v>君のことが大大大大大好きな100人の彼女 いいジャン祭</v>
      </c>
      <c r="L104" s="687" t="str">
        <f>IFERROR(__xludf.DUMMYFUNCTION("""COMPUTED_VALUE"""),"※")</f>
        <v>※</v>
      </c>
      <c r="M104" s="674">
        <f>IFERROR(__xludf.DUMMYFUNCTION("""COMPUTED_VALUE"""),935.0)</f>
        <v>935</v>
      </c>
      <c r="N104" s="139">
        <f>IFERROR(__xludf.DUMMYFUNCTION("""COMPUTED_VALUE"""),1000.0)</f>
        <v>1000</v>
      </c>
      <c r="O104" s="139" t="str">
        <f>IFERROR(__xludf.DUMMYFUNCTION("""COMPUTED_VALUE"""),"高コスト")</f>
        <v>高コスト</v>
      </c>
      <c r="P104" s="139">
        <f>IFERROR(__xludf.DUMMYFUNCTION("""COMPUTED_VALUE"""),-130.0)</f>
        <v>-130</v>
      </c>
      <c r="Q104" s="675">
        <f>IFERROR(__xludf.DUMMYFUNCTION("""COMPUTED_VALUE"""),15.0)</f>
        <v>15</v>
      </c>
      <c r="R104" s="675">
        <f>IFERROR(__xludf.DUMMYFUNCTION("""COMPUTED_VALUE"""),50.0)</f>
        <v>50</v>
      </c>
      <c r="S104" s="675">
        <f>IFERROR(__xludf.DUMMYFUNCTION("""COMPUTED_VALUE"""),20.875)</f>
        <v>20.875</v>
      </c>
      <c r="T104" s="674">
        <f>IFERROR(__xludf.DUMMYFUNCTION("""COMPUTED_VALUE"""),1680.0)</f>
        <v>1680</v>
      </c>
      <c r="U104" s="675">
        <f>IFERROR(__xludf.DUMMYFUNCTION("""COMPUTED_VALUE"""),33.553333333333335)</f>
        <v>33.55333333</v>
      </c>
      <c r="V104" s="675">
        <f>IFERROR(__xludf.DUMMYFUNCTION("""COMPUTED_VALUE"""),0.0)</f>
        <v>0</v>
      </c>
      <c r="W104" s="675">
        <f>IFERROR(__xludf.DUMMYFUNCTION("""COMPUTED_VALUE"""),0.0)</f>
        <v>0</v>
      </c>
      <c r="X104" s="675">
        <f>IFERROR(__xludf.DUMMYFUNCTION("""COMPUTED_VALUE"""),0.0)</f>
        <v>0</v>
      </c>
      <c r="Y104" s="674">
        <f>IFERROR(__xludf.DUMMYFUNCTION("""COMPUTED_VALUE"""),920.0)</f>
        <v>920</v>
      </c>
      <c r="Z104" s="675">
        <f>IFERROR(__xludf.DUMMYFUNCTION("""COMPUTED_VALUE"""),18.396666666666665)</f>
        <v>18.39666667</v>
      </c>
      <c r="AA104" s="673">
        <f>IFERROR(__xludf.DUMMYFUNCTION("""COMPUTED_VALUE"""),-1.0)</f>
        <v>-1</v>
      </c>
      <c r="AB104" s="673">
        <f>IFERROR(__xludf.DUMMYFUNCTION("""COMPUTED_VALUE"""),0.0)</f>
        <v>0</v>
      </c>
      <c r="AC104" s="675">
        <f>IFERROR(__xludf.DUMMYFUNCTION("""COMPUTED_VALUE"""),0.0)</f>
        <v>0</v>
      </c>
      <c r="AD104" s="674">
        <f>IFERROR(__xludf.DUMMYFUNCTION("""COMPUTED_VALUE"""),1815.0)</f>
        <v>1815</v>
      </c>
      <c r="AE104" s="675">
        <f>IFERROR(__xludf.DUMMYFUNCTION("""COMPUTED_VALUE"""),36.3291785372651)</f>
        <v>36.32917854</v>
      </c>
      <c r="AF104" s="675">
        <f>IFERROR(__xludf.DUMMYFUNCTION("""COMPUTED_VALUE"""),0.0)</f>
        <v>0</v>
      </c>
      <c r="AG104" s="675">
        <f>IFERROR(__xludf.DUMMYFUNCTION("""COMPUTED_VALUE"""),16.0)</f>
        <v>16</v>
      </c>
      <c r="AH104" s="675">
        <f>IFERROR(__xludf.DUMMYFUNCTION("""COMPUTED_VALUE"""),-2.258797615251678)</f>
        <v>-2.258797615</v>
      </c>
      <c r="AI104" s="139" t="str">
        <f>IFERROR(__xludf.DUMMYFUNCTION("""COMPUTED_VALUE"""),"-")</f>
        <v>-</v>
      </c>
      <c r="AJ104" s="675" t="str">
        <f>IFERROR(__xludf.DUMMYFUNCTION("""COMPUTED_VALUE"""),"-")</f>
        <v>-</v>
      </c>
      <c r="AK104" s="139">
        <f>IFERROR(__xludf.DUMMYFUNCTION("""COMPUTED_VALUE"""),1.0)</f>
        <v>1</v>
      </c>
      <c r="AL104" s="674">
        <f>IFERROR(__xludf.DUMMYFUNCTION("""COMPUTED_VALUE"""),5060.0)</f>
        <v>5060</v>
      </c>
      <c r="AM104" s="688">
        <f>IFERROR(__xludf.DUMMYFUNCTION("""COMPUTED_VALUE"""),41356.36228356519)</f>
        <v>41356.36228</v>
      </c>
      <c r="AN104" s="675">
        <f>IFERROR(__xludf.DUMMYFUNCTION("""COMPUTED_VALUE"""),33.733333333333334)</f>
        <v>33.73333333</v>
      </c>
      <c r="AO104" s="675">
        <f>IFERROR(__xludf.DUMMYFUNCTION("""COMPUTED_VALUE"""),16.866666666666667)</f>
        <v>16.86666667</v>
      </c>
      <c r="AP104" s="674">
        <f>IFERROR(__xludf.DUMMYFUNCTION("""COMPUTED_VALUE"""),2810.0)</f>
        <v>2810</v>
      </c>
      <c r="AQ104" s="673">
        <f>IFERROR(__xludf.DUMMYFUNCTION("""COMPUTED_VALUE"""),0.9)</f>
        <v>0.9</v>
      </c>
      <c r="AR104" s="673">
        <f>IFERROR(__xludf.DUMMYFUNCTION("""COMPUTED_VALUE"""),0.0)</f>
        <v>0</v>
      </c>
      <c r="AS104" s="673">
        <f>IFERROR(__xludf.DUMMYFUNCTION("""COMPUTED_VALUE"""),0.1)</f>
        <v>0.1</v>
      </c>
      <c r="AT104" s="673">
        <f>IFERROR(__xludf.DUMMYFUNCTION("""COMPUTED_VALUE"""),-0.2)</f>
        <v>-0.2</v>
      </c>
      <c r="AU104" s="673">
        <f>IFERROR(__xludf.DUMMYFUNCTION("""COMPUTED_VALUE"""),0.0)</f>
        <v>0</v>
      </c>
      <c r="AV104" s="673">
        <f>IFERROR(__xludf.DUMMYFUNCTION("""COMPUTED_VALUE"""),0.0)</f>
        <v>0</v>
      </c>
      <c r="AW104" s="139"/>
      <c r="AX104" s="674">
        <f>IFERROR(__xludf.DUMMYFUNCTION("""COMPUTED_VALUE"""),2980.0)</f>
        <v>2980</v>
      </c>
      <c r="AY104" s="688">
        <f>IFERROR(__xludf.DUMMYFUNCTION("""COMPUTED_VALUE"""),24354.90379545934)</f>
        <v>24354.9038</v>
      </c>
      <c r="AZ104" s="674">
        <f>IFERROR(__xludf.DUMMYFUNCTION("""COMPUTED_VALUE"""),850.0)</f>
        <v>850</v>
      </c>
      <c r="BA104" s="688">
        <f>IFERROR(__xludf.DUMMYFUNCTION("""COMPUTED_VALUE"""),6958.543941559811)</f>
        <v>6958.543942</v>
      </c>
      <c r="BB104" s="688" t="str">
        <f>IFERROR(__xludf.DUMMYFUNCTION("""COMPUTED_VALUE"""),"-")</f>
        <v>-</v>
      </c>
      <c r="BC104" s="688" t="str">
        <f>IFERROR(__xludf.DUMMYFUNCTION("""COMPUTED_VALUE"""),"#VALUE!")</f>
        <v>#VALUE!</v>
      </c>
      <c r="BD104" s="688" t="str">
        <f>IFERROR(__xludf.DUMMYFUNCTION("""COMPUTED_VALUE"""),"#VALUE!")</f>
        <v>#VALUE!</v>
      </c>
      <c r="BE104" s="674">
        <f>IFERROR(__xludf.DUMMYFUNCTION("""COMPUTED_VALUE"""),850.0)</f>
        <v>850</v>
      </c>
      <c r="BF104" s="674">
        <f>IFERROR(__xludf.DUMMYFUNCTION("""COMPUTED_VALUE"""),1870.0)</f>
        <v>1870</v>
      </c>
      <c r="BG104" s="673">
        <f>IFERROR(__xludf.DUMMYFUNCTION("""COMPUTED_VALUE"""),0.2)</f>
        <v>0.2</v>
      </c>
      <c r="BH104" s="673">
        <f>IFERROR(__xludf.DUMMYFUNCTION("""COMPUTED_VALUE"""),-0.5)</f>
        <v>-0.5</v>
      </c>
      <c r="BI104" s="673">
        <f>IFERROR(__xludf.DUMMYFUNCTION("""COMPUTED_VALUE"""),0.0)</f>
        <v>0</v>
      </c>
      <c r="BJ104" s="673">
        <f>IFERROR(__xludf.DUMMYFUNCTION("""COMPUTED_VALUE"""),0.0)</f>
        <v>0</v>
      </c>
      <c r="BK104" s="673">
        <f>IFERROR(__xludf.DUMMYFUNCTION("""COMPUTED_VALUE"""),0.0)</f>
        <v>0</v>
      </c>
      <c r="BL104" s="673">
        <f>IFERROR(__xludf.DUMMYFUNCTION("""COMPUTED_VALUE"""),0.0)</f>
        <v>0</v>
      </c>
      <c r="BM104" s="674">
        <f>IFERROR(__xludf.DUMMYFUNCTION("""COMPUTED_VALUE"""),175.0)</f>
        <v>175</v>
      </c>
      <c r="BN104" s="674">
        <f>IFERROR(__xludf.DUMMYFUNCTION("""COMPUTED_VALUE"""),100.0)</f>
        <v>100</v>
      </c>
      <c r="BO104" s="675">
        <f>IFERROR(__xludf.DUMMYFUNCTION("""COMPUTED_VALUE"""),75.0)</f>
        <v>75</v>
      </c>
      <c r="BP104" s="675">
        <f>IFERROR(__xludf.DUMMYFUNCTION("""COMPUTED_VALUE"""),3.5)</f>
        <v>3.5</v>
      </c>
      <c r="BQ104" s="139" t="str">
        <f>IFERROR(__xludf.DUMMYFUNCTION("""COMPUTED_VALUE"""),"(近距離)武器・道具・特殊攻撃")</f>
        <v>(近距離)武器・道具・特殊攻撃</v>
      </c>
      <c r="BR104" s="139">
        <f>IFERROR(__xludf.DUMMYFUNCTION("""COMPUTED_VALUE"""),1.0)</f>
        <v>1</v>
      </c>
      <c r="BS104" s="139">
        <f>IFERROR(__xludf.DUMMYFUNCTION("""COMPUTED_VALUE"""),35.0)</f>
        <v>35</v>
      </c>
      <c r="BT104" s="139">
        <f>IFERROR(__xludf.DUMMYFUNCTION("""COMPUTED_VALUE"""),0.21)</f>
        <v>0.21</v>
      </c>
      <c r="BU104" s="139">
        <f>IFERROR(__xludf.DUMMYFUNCTION("""COMPUTED_VALUE"""),0.0)</f>
        <v>0</v>
      </c>
      <c r="BV104" s="139" t="str">
        <f>IFERROR(__xludf.DUMMYFUNCTION("""COMPUTED_VALUE"""),"普通")</f>
        <v>普通</v>
      </c>
      <c r="BW104" s="139" t="str">
        <f>IFERROR(__xludf.DUMMYFUNCTION("""COMPUTED_VALUE"""),"体力条件強化(以上/被ダメカット)")</f>
        <v>体力条件強化(以上/被ダメカット)</v>
      </c>
      <c r="BX104" s="139" t="str">
        <f>IFERROR(__xludf.DUMMYFUNCTION("""COMPUTED_VALUE"""),"HP50/35")</f>
        <v>HP50/35</v>
      </c>
      <c r="BY104" s="139">
        <f>IFERROR(__xludf.DUMMYFUNCTION("""COMPUTED_VALUE"""),0.0)</f>
        <v>0</v>
      </c>
      <c r="BZ104" s="139" t="str">
        <f>IFERROR(__xludf.DUMMYFUNCTION("""COMPUTED_VALUE"""),"根性")</f>
        <v>根性</v>
      </c>
      <c r="CA104" s="139">
        <f>IFERROR(__xludf.DUMMYFUNCTION("""COMPUTED_VALUE"""),1.0)</f>
        <v>1</v>
      </c>
      <c r="CB104" s="139">
        <f>IFERROR(__xludf.DUMMYFUNCTION("""COMPUTED_VALUE"""),4.0)</f>
        <v>4</v>
      </c>
      <c r="CC104" s="139" t="str">
        <f>IFERROR(__xludf.DUMMYFUNCTION("""COMPUTED_VALUE"""),"近距離")</f>
        <v>近距離</v>
      </c>
      <c r="CD104" s="139" t="str">
        <f>IFERROR(__xludf.DUMMYFUNCTION("""COMPUTED_VALUE"""),"範囲(中)")</f>
        <v>範囲(中)</v>
      </c>
      <c r="CE104" s="139">
        <f>IFERROR(__xludf.DUMMYFUNCTION("""COMPUTED_VALUE"""),0.65)</f>
        <v>0.65</v>
      </c>
      <c r="CF104" s="139">
        <f>IFERROR(__xludf.DUMMYFUNCTION("""COMPUTED_VALUE"""),0.42)</f>
        <v>0.42</v>
      </c>
      <c r="CG104" s="139" t="str">
        <f>IFERROR(__xludf.DUMMYFUNCTION("""COMPUTED_VALUE"""),"近距離")</f>
        <v>近距離</v>
      </c>
      <c r="CH104" s="139" t="str">
        <f>IFERROR(__xludf.DUMMYFUNCTION("""COMPUTED_VALUE"""),"範囲(大)")</f>
        <v>範囲(大)</v>
      </c>
      <c r="CI104" s="139">
        <f>IFERROR(__xludf.DUMMYFUNCTION("""COMPUTED_VALUE"""),0.55)</f>
        <v>0.55</v>
      </c>
      <c r="CJ104" s="139">
        <f>IFERROR(__xludf.DUMMYFUNCTION("""COMPUTED_VALUE"""),0.52)</f>
        <v>0.52</v>
      </c>
      <c r="CK104" s="139"/>
      <c r="CL104" s="139"/>
      <c r="CM104" s="139"/>
      <c r="CN104" s="675">
        <f>IFERROR(__xludf.DUMMYFUNCTION("""COMPUTED_VALUE"""),36.3291785372651)</f>
        <v>36.32917854</v>
      </c>
      <c r="CO104" s="139" t="str">
        <f>IFERROR(__xludf.DUMMYFUNCTION("""COMPUTED_VALUE"""),"-")</f>
        <v>-</v>
      </c>
      <c r="CP104" s="139" t="str">
        <f>IFERROR(__xludf.DUMMYFUNCTION("""COMPUTED_VALUE"""),"-")</f>
        <v>-</v>
      </c>
      <c r="CQ104" s="139" t="str">
        <f>IFERROR(__xludf.DUMMYFUNCTION("""COMPUTED_VALUE"""),"-")</f>
        <v>-</v>
      </c>
      <c r="CR104" s="139"/>
      <c r="CS104" s="673" t="str">
        <f>IFERROR(__xludf.DUMMYFUNCTION("""COMPUTED_VALUE"""),"連続攻撃")</f>
        <v>連続攻撃</v>
      </c>
      <c r="CT104" s="139" t="str">
        <f>IFERROR(__xludf.DUMMYFUNCTION("""COMPUTED_VALUE"""),"-")</f>
        <v>-</v>
      </c>
      <c r="CU104" s="139" t="str">
        <f>IFERROR(__xludf.DUMMYFUNCTION("""COMPUTED_VALUE"""),"敵")</f>
        <v>敵</v>
      </c>
      <c r="CV104" s="139" t="str">
        <f>IFERROR(__xludf.DUMMYFUNCTION("""COMPUTED_VALUE"""),"All")</f>
        <v>All</v>
      </c>
      <c r="CW104" s="139" t="str">
        <f>IFERROR(__xludf.DUMMYFUNCTION("""COMPUTED_VALUE"""),"All")</f>
        <v>All</v>
      </c>
      <c r="CX104" s="674">
        <f>IFERROR(__xludf.DUMMYFUNCTION("""COMPUTED_VALUE"""),124.0)</f>
        <v>124</v>
      </c>
      <c r="CY104" s="675" t="str">
        <f>IFERROR(__xludf.DUMMYFUNCTION("""COMPUTED_VALUE"""),"-")</f>
        <v>-</v>
      </c>
      <c r="CZ104" s="688">
        <f>IFERROR(__xludf.DUMMYFUNCTION("""COMPUTED_VALUE"""),30200.0)</f>
        <v>30200</v>
      </c>
      <c r="DA104" s="688">
        <f>IFERROR(__xludf.DUMMYFUNCTION("""COMPUTED_VALUE"""),874.4516889256345)</f>
        <v>874.4516889</v>
      </c>
      <c r="DB104" s="688">
        <f>IFERROR(__xludf.DUMMYFUNCTION("""COMPUTED_VALUE"""),4372.258444628173)</f>
        <v>4372.258445</v>
      </c>
      <c r="DC104" s="673" t="str">
        <f>IFERROR(__xludf.DUMMYFUNCTION("""COMPUTED_VALUE"""),"ノックバック")</f>
        <v>ノックバック</v>
      </c>
      <c r="DD104" s="673">
        <f>IFERROR(__xludf.DUMMYFUNCTION("""COMPUTED_VALUE"""),2.0)</f>
        <v>2</v>
      </c>
      <c r="DE104" s="139" t="str">
        <f>IFERROR(__xludf.DUMMYFUNCTION("""COMPUTED_VALUE"""),"-")</f>
        <v>-</v>
      </c>
      <c r="DF104" s="139" t="str">
        <f>IFERROR(__xludf.DUMMYFUNCTION("""COMPUTED_VALUE"""),"-")</f>
        <v>-</v>
      </c>
      <c r="DG104" s="139" t="str">
        <f>IFERROR(__xludf.DUMMYFUNCTION("""COMPUTED_VALUE"""),"-")</f>
        <v>-</v>
      </c>
      <c r="DH104" s="139" t="str">
        <f>IFERROR(__xludf.DUMMYFUNCTION("""COMPUTED_VALUE"""),"-")</f>
        <v>-</v>
      </c>
      <c r="DI104" s="139" t="str">
        <f>IFERROR(__xludf.DUMMYFUNCTION("""COMPUTED_VALUE"""),"-")</f>
        <v>-</v>
      </c>
      <c r="DJ104" s="139" t="str">
        <f>IFERROR(__xludf.DUMMYFUNCTION("""COMPUTED_VALUE"""),"-")</f>
        <v>-</v>
      </c>
    </row>
    <row r="105">
      <c r="A105" s="139" t="str">
        <f>IFERROR(__xludf.DUMMYFUNCTION("""COMPUTED_VALUE"""),"君のことが大大大大大好きな100人の彼女")</f>
        <v>君のことが大大大大大好きな100人の彼女</v>
      </c>
      <c r="B105" s="139" t="str">
        <f>IFERROR(__xludf.DUMMYFUNCTION("""COMPUTED_VALUE"""),"花園 羽香里")</f>
        <v>花園 羽香里</v>
      </c>
      <c r="C105" s="139" t="str">
        <f>IFERROR(__xludf.DUMMYFUNCTION("""COMPUTED_VALUE"""),"chara_kim_00101")</f>
        <v>chara_kim_00101</v>
      </c>
      <c r="D105" s="139" t="str">
        <f>IFERROR(__xludf.DUMMYFUNCTION("""COMPUTED_VALUE"""),"PremiumSSR")</f>
        <v>PremiumSSR</v>
      </c>
      <c r="E105" s="139" t="str">
        <f>IFERROR(__xludf.DUMMYFUNCTION("""COMPUTED_VALUE"""),"緑")</f>
        <v>緑</v>
      </c>
      <c r="F105" s="139" t="str">
        <f>IFERROR(__xludf.DUMMYFUNCTION("""COMPUTED_VALUE"""),"アタック")</f>
        <v>アタック</v>
      </c>
      <c r="G105" s="139" t="str">
        <f>IFERROR(__xludf.DUMMYFUNCTION("""COMPUTED_VALUE"""),"近距離")</f>
        <v>近距離</v>
      </c>
      <c r="H105" s="139" t="str">
        <f>IFERROR(__xludf.DUMMYFUNCTION("""COMPUTED_VALUE"""),"dageki_1")</f>
        <v>dageki_1</v>
      </c>
      <c r="I105" s="139" t="str">
        <f>IFERROR(__xludf.DUMMYFUNCTION("""COMPUTED_VALUE"""),"dageki_1")</f>
        <v>dageki_1</v>
      </c>
      <c r="J105" s="139" t="str">
        <f>IFERROR(__xludf.DUMMYFUNCTION("""COMPUTED_VALUE"""),"202602020_100カノ")</f>
        <v>202602020_100カノ</v>
      </c>
      <c r="K105" s="139" t="str">
        <f>IFERROR(__xludf.DUMMYFUNCTION("""COMPUTED_VALUE"""),"君のことが大大大大大好きな100人の彼女 いいジャン祭")</f>
        <v>君のことが大大大大大好きな100人の彼女 いいジャン祭</v>
      </c>
      <c r="L105" s="687" t="str">
        <f>IFERROR(__xludf.DUMMYFUNCTION("""COMPUTED_VALUE"""),"※")</f>
        <v>※</v>
      </c>
      <c r="M105" s="674">
        <f>IFERROR(__xludf.DUMMYFUNCTION("""COMPUTED_VALUE"""),725.0)</f>
        <v>725</v>
      </c>
      <c r="N105" s="139">
        <f>IFERROR(__xludf.DUMMYFUNCTION("""COMPUTED_VALUE"""),600.0)</f>
        <v>600</v>
      </c>
      <c r="O105" s="139" t="str">
        <f>IFERROR(__xludf.DUMMYFUNCTION("""COMPUTED_VALUE"""),"中コスト")</f>
        <v>中コスト</v>
      </c>
      <c r="P105" s="139">
        <f>IFERROR(__xludf.DUMMYFUNCTION("""COMPUTED_VALUE"""),100.0)</f>
        <v>100</v>
      </c>
      <c r="Q105" s="675">
        <f>IFERROR(__xludf.DUMMYFUNCTION("""COMPUTED_VALUE"""),15.0)</f>
        <v>15</v>
      </c>
      <c r="R105" s="675">
        <f>IFERROR(__xludf.DUMMYFUNCTION("""COMPUTED_VALUE"""),10.0)</f>
        <v>10</v>
      </c>
      <c r="S105" s="675">
        <f>IFERROR(__xludf.DUMMYFUNCTION("""COMPUTED_VALUE"""),15.625)</f>
        <v>15.625</v>
      </c>
      <c r="T105" s="674">
        <f>IFERROR(__xludf.DUMMYFUNCTION("""COMPUTED_VALUE"""),720.0)</f>
        <v>720</v>
      </c>
      <c r="U105" s="675">
        <f>IFERROR(__xludf.DUMMYFUNCTION("""COMPUTED_VALUE"""),14.373333333333335)</f>
        <v>14.37333333</v>
      </c>
      <c r="V105" s="675">
        <f>IFERROR(__xludf.DUMMYFUNCTION("""COMPUTED_VALUE"""),0.0)</f>
        <v>0</v>
      </c>
      <c r="W105" s="675">
        <f>IFERROR(__xludf.DUMMYFUNCTION("""COMPUTED_VALUE"""),0.0)</f>
        <v>0</v>
      </c>
      <c r="X105" s="675">
        <f>IFERROR(__xludf.DUMMYFUNCTION("""COMPUTED_VALUE"""),0.0)</f>
        <v>0</v>
      </c>
      <c r="Y105" s="674">
        <f>IFERROR(__xludf.DUMMYFUNCTION("""COMPUTED_VALUE"""),375.0)</f>
        <v>375</v>
      </c>
      <c r="Z105" s="675">
        <f>IFERROR(__xludf.DUMMYFUNCTION("""COMPUTED_VALUE"""),7.513333333333333)</f>
        <v>7.513333333</v>
      </c>
      <c r="AA105" s="675">
        <f>IFERROR(__xludf.DUMMYFUNCTION("""COMPUTED_VALUE"""),0.0)</f>
        <v>0</v>
      </c>
      <c r="AB105" s="673">
        <f>IFERROR(__xludf.DUMMYFUNCTION("""COMPUTED_VALUE"""),0.0)</f>
        <v>0</v>
      </c>
      <c r="AC105" s="675">
        <f>IFERROR(__xludf.DUMMYFUNCTION("""COMPUTED_VALUE"""),0.0)</f>
        <v>0</v>
      </c>
      <c r="AD105" s="674">
        <f>IFERROR(__xludf.DUMMYFUNCTION("""COMPUTED_VALUE"""),635.0)</f>
        <v>635</v>
      </c>
      <c r="AE105" s="675">
        <f>IFERROR(__xludf.DUMMYFUNCTION("""COMPUTED_VALUE"""),12.652391078369337)</f>
        <v>12.65239108</v>
      </c>
      <c r="AF105" s="675">
        <f>IFERROR(__xludf.DUMMYFUNCTION("""COMPUTED_VALUE"""),0.0)</f>
        <v>0</v>
      </c>
      <c r="AG105" s="675">
        <f>IFERROR(__xludf.DUMMYFUNCTION("""COMPUTED_VALUE"""),0.0)</f>
        <v>0</v>
      </c>
      <c r="AH105" s="675">
        <f>IFERROR(__xludf.DUMMYFUNCTION("""COMPUTED_VALUE"""),-1.4058212309299263)</f>
        <v>-1.405821231</v>
      </c>
      <c r="AI105" s="139" t="str">
        <f>IFERROR(__xludf.DUMMYFUNCTION("""COMPUTED_VALUE"""),"-")</f>
        <v>-</v>
      </c>
      <c r="AJ105" s="675" t="str">
        <f>IFERROR(__xludf.DUMMYFUNCTION("""COMPUTED_VALUE"""),"-")</f>
        <v>-</v>
      </c>
      <c r="AK105" s="139">
        <f>IFERROR(__xludf.DUMMYFUNCTION("""COMPUTED_VALUE"""),1.0)</f>
        <v>1</v>
      </c>
      <c r="AL105" s="674">
        <f>IFERROR(__xludf.DUMMYFUNCTION("""COMPUTED_VALUE"""),1960.0)</f>
        <v>1960</v>
      </c>
      <c r="AM105" s="688">
        <f>IFERROR(__xludf.DUMMYFUNCTION("""COMPUTED_VALUE"""),14945.095113792047)</f>
        <v>14945.09511</v>
      </c>
      <c r="AN105" s="675">
        <f>IFERROR(__xludf.DUMMYFUNCTION("""COMPUTED_VALUE"""),13.066666666666666)</f>
        <v>13.06666667</v>
      </c>
      <c r="AO105" s="675">
        <f>IFERROR(__xludf.DUMMYFUNCTION("""COMPUTED_VALUE"""),6.533333333333333)</f>
        <v>6.533333333</v>
      </c>
      <c r="AP105" s="674">
        <f>IFERROR(__xludf.DUMMYFUNCTION("""COMPUTED_VALUE"""),2180.0)</f>
        <v>2180</v>
      </c>
      <c r="AQ105" s="673">
        <f>IFERROR(__xludf.DUMMYFUNCTION("""COMPUTED_VALUE"""),-0.2)</f>
        <v>-0.2</v>
      </c>
      <c r="AR105" s="673">
        <f>IFERROR(__xludf.DUMMYFUNCTION("""COMPUTED_VALUE"""),0.0)</f>
        <v>0</v>
      </c>
      <c r="AS105" s="673">
        <f>IFERROR(__xludf.DUMMYFUNCTION("""COMPUTED_VALUE"""),0.1)</f>
        <v>0.1</v>
      </c>
      <c r="AT105" s="673">
        <f>IFERROR(__xludf.DUMMYFUNCTION("""COMPUTED_VALUE"""),0.0)</f>
        <v>0</v>
      </c>
      <c r="AU105" s="673">
        <f>IFERROR(__xludf.DUMMYFUNCTION("""COMPUTED_VALUE"""),0.0)</f>
        <v>0</v>
      </c>
      <c r="AV105" s="673">
        <f>IFERROR(__xludf.DUMMYFUNCTION("""COMPUTED_VALUE"""),0.0)</f>
        <v>0</v>
      </c>
      <c r="AW105" s="139"/>
      <c r="AX105" s="674">
        <f>IFERROR(__xludf.DUMMYFUNCTION("""COMPUTED_VALUE"""),2180.0)</f>
        <v>2180</v>
      </c>
      <c r="AY105" s="688">
        <f>IFERROR(__xludf.DUMMYFUNCTION("""COMPUTED_VALUE"""),16622.161300034015)</f>
        <v>16622.1613</v>
      </c>
      <c r="AZ105" s="674">
        <f>IFERROR(__xludf.DUMMYFUNCTION("""COMPUTED_VALUE"""),2180.0)</f>
        <v>2180</v>
      </c>
      <c r="BA105" s="688">
        <f>IFERROR(__xludf.DUMMYFUNCTION("""COMPUTED_VALUE"""),16622.161300034015)</f>
        <v>16622.1613</v>
      </c>
      <c r="BB105" s="688" t="str">
        <f>IFERROR(__xludf.DUMMYFUNCTION("""COMPUTED_VALUE"""),"-")</f>
        <v>-</v>
      </c>
      <c r="BC105" s="688" t="str">
        <f>IFERROR(__xludf.DUMMYFUNCTION("""COMPUTED_VALUE"""),"#VALUE!")</f>
        <v>#VALUE!</v>
      </c>
      <c r="BD105" s="688" t="str">
        <f>IFERROR(__xludf.DUMMYFUNCTION("""COMPUTED_VALUE"""),"#VALUE!")</f>
        <v>#VALUE!</v>
      </c>
      <c r="BE105" s="674">
        <f>IFERROR(__xludf.DUMMYFUNCTION("""COMPUTED_VALUE"""),2180.0)</f>
        <v>2180</v>
      </c>
      <c r="BF105" s="674">
        <f>IFERROR(__xludf.DUMMYFUNCTION("""COMPUTED_VALUE"""),1450.0)</f>
        <v>1450</v>
      </c>
      <c r="BG105" s="673">
        <f>IFERROR(__xludf.DUMMYFUNCTION("""COMPUTED_VALUE"""),0.0)</f>
        <v>0</v>
      </c>
      <c r="BH105" s="673">
        <f>IFERROR(__xludf.DUMMYFUNCTION("""COMPUTED_VALUE"""),0.3)</f>
        <v>0.3</v>
      </c>
      <c r="BI105" s="673">
        <f>IFERROR(__xludf.DUMMYFUNCTION("""COMPUTED_VALUE"""),0.0)</f>
        <v>0</v>
      </c>
      <c r="BJ105" s="673">
        <f>IFERROR(__xludf.DUMMYFUNCTION("""COMPUTED_VALUE"""),0.0)</f>
        <v>0</v>
      </c>
      <c r="BK105" s="673">
        <f>IFERROR(__xludf.DUMMYFUNCTION("""COMPUTED_VALUE"""),0.0)</f>
        <v>0</v>
      </c>
      <c r="BL105" s="673">
        <f>IFERROR(__xludf.DUMMYFUNCTION("""COMPUTED_VALUE"""),0.2)</f>
        <v>0.2</v>
      </c>
      <c r="BM105" s="674">
        <f>IFERROR(__xludf.DUMMYFUNCTION("""COMPUTED_VALUE"""),50.0)</f>
        <v>50</v>
      </c>
      <c r="BN105" s="674">
        <f>IFERROR(__xludf.DUMMYFUNCTION("""COMPUTED_VALUE"""),50.0)</f>
        <v>50</v>
      </c>
      <c r="BO105" s="675">
        <f>IFERROR(__xludf.DUMMYFUNCTION("""COMPUTED_VALUE"""),0.0)</f>
        <v>0</v>
      </c>
      <c r="BP105" s="675">
        <f>IFERROR(__xludf.DUMMYFUNCTION("""COMPUTED_VALUE"""),1.0)</f>
        <v>1</v>
      </c>
      <c r="BQ105" s="139" t="str">
        <f>IFERROR(__xludf.DUMMYFUNCTION("""COMPUTED_VALUE"""),"(近距離)素手")</f>
        <v>(近距離)素手</v>
      </c>
      <c r="BR105" s="139">
        <f>IFERROR(__xludf.DUMMYFUNCTION("""COMPUTED_VALUE"""),2.0)</f>
        <v>2</v>
      </c>
      <c r="BS105" s="139">
        <f>IFERROR(__xludf.DUMMYFUNCTION("""COMPUTED_VALUE"""),35.0)</f>
        <v>35</v>
      </c>
      <c r="BT105" s="139">
        <f>IFERROR(__xludf.DUMMYFUNCTION("""COMPUTED_VALUE"""),0.24)</f>
        <v>0.24</v>
      </c>
      <c r="BU105" s="139">
        <f>IFERROR(__xludf.DUMMYFUNCTION("""COMPUTED_VALUE"""),0.0)</f>
        <v>0</v>
      </c>
      <c r="BV105" s="139" t="str">
        <f>IFERROR(__xludf.DUMMYFUNCTION("""COMPUTED_VALUE"""),"普通")</f>
        <v>普通</v>
      </c>
      <c r="BW105" s="139" t="str">
        <f>IFERROR(__xludf.DUMMYFUNCTION("""COMPUTED_VALUE"""),"突風コマ無効化")</f>
        <v>突風コマ無効化</v>
      </c>
      <c r="BX105" s="139" t="str">
        <f>IFERROR(__xludf.DUMMYFUNCTION("""COMPUTED_VALUE"""),"-")</f>
        <v>-</v>
      </c>
      <c r="BY105" s="139">
        <f>IFERROR(__xludf.DUMMYFUNCTION("""COMPUTED_VALUE"""),0.0)</f>
        <v>0</v>
      </c>
      <c r="BZ105" s="139" t="str">
        <f>IFERROR(__xludf.DUMMYFUNCTION("""COMPUTED_VALUE"""),"-")</f>
        <v>-</v>
      </c>
      <c r="CA105" s="139" t="str">
        <f>IFERROR(__xludf.DUMMYFUNCTION("""COMPUTED_VALUE"""),"-")</f>
        <v>-</v>
      </c>
      <c r="CB105" s="139" t="str">
        <f>IFERROR(__xludf.DUMMYFUNCTION("""COMPUTED_VALUE"""),"-")</f>
        <v>-</v>
      </c>
      <c r="CC105" s="139" t="str">
        <f>IFERROR(__xludf.DUMMYFUNCTION("""COMPUTED_VALUE"""),"近距離")</f>
        <v>近距離</v>
      </c>
      <c r="CD105" s="139" t="str">
        <f>IFERROR(__xludf.DUMMYFUNCTION("""COMPUTED_VALUE"""),"単体")</f>
        <v>単体</v>
      </c>
      <c r="CE105" s="139">
        <f>IFERROR(__xludf.DUMMYFUNCTION("""COMPUTED_VALUE"""),1.0)</f>
        <v>1</v>
      </c>
      <c r="CF105" s="139">
        <f>IFERROR(__xludf.DUMMYFUNCTION("""COMPUTED_VALUE"""),0.25)</f>
        <v>0.25</v>
      </c>
      <c r="CG105" s="139" t="str">
        <f>IFERROR(__xludf.DUMMYFUNCTION("""COMPUTED_VALUE"""),"近距離")</f>
        <v>近距離</v>
      </c>
      <c r="CH105" s="139" t="str">
        <f>IFERROR(__xludf.DUMMYFUNCTION("""COMPUTED_VALUE"""),"範囲(小)")</f>
        <v>範囲(小)</v>
      </c>
      <c r="CI105" s="139">
        <f>IFERROR(__xludf.DUMMYFUNCTION("""COMPUTED_VALUE"""),0.75)</f>
        <v>0.75</v>
      </c>
      <c r="CJ105" s="139">
        <f>IFERROR(__xludf.DUMMYFUNCTION("""COMPUTED_VALUE"""),0.35)</f>
        <v>0.35</v>
      </c>
      <c r="CK105" s="139"/>
      <c r="CL105" s="139"/>
      <c r="CM105" s="139"/>
      <c r="CN105" s="675">
        <f>IFERROR(__xludf.DUMMYFUNCTION("""COMPUTED_VALUE"""),12.652391078369337)</f>
        <v>12.65239108</v>
      </c>
      <c r="CO105" s="139" t="str">
        <f>IFERROR(__xludf.DUMMYFUNCTION("""COMPUTED_VALUE"""),"-")</f>
        <v>-</v>
      </c>
      <c r="CP105" s="139" t="str">
        <f>IFERROR(__xludf.DUMMYFUNCTION("""COMPUTED_VALUE"""),"-")</f>
        <v>-</v>
      </c>
      <c r="CQ105" s="139" t="str">
        <f>IFERROR(__xludf.DUMMYFUNCTION("""COMPUTED_VALUE"""),"-")</f>
        <v>-</v>
      </c>
      <c r="CR105" s="139"/>
      <c r="CS105" s="673" t="str">
        <f>IFERROR(__xludf.DUMMYFUNCTION("""COMPUTED_VALUE"""),"連続攻撃")</f>
        <v>連続攻撃</v>
      </c>
      <c r="CT105" s="139" t="str">
        <f>IFERROR(__xludf.DUMMYFUNCTION("""COMPUTED_VALUE"""),"-")</f>
        <v>-</v>
      </c>
      <c r="CU105" s="139" t="str">
        <f>IFERROR(__xludf.DUMMYFUNCTION("""COMPUTED_VALUE"""),"敵")</f>
        <v>敵</v>
      </c>
      <c r="CV105" s="139" t="str">
        <f>IFERROR(__xludf.DUMMYFUNCTION("""COMPUTED_VALUE"""),"All")</f>
        <v>All</v>
      </c>
      <c r="CW105" s="139" t="str">
        <f>IFERROR(__xludf.DUMMYFUNCTION("""COMPUTED_VALUE"""),"All")</f>
        <v>All</v>
      </c>
      <c r="CX105" s="674">
        <f>IFERROR(__xludf.DUMMYFUNCTION("""COMPUTED_VALUE"""),105.0)</f>
        <v>105</v>
      </c>
      <c r="CY105" s="675" t="str">
        <f>IFERROR(__xludf.DUMMYFUNCTION("""COMPUTED_VALUE"""),"-")</f>
        <v>-</v>
      </c>
      <c r="CZ105" s="688">
        <f>IFERROR(__xludf.DUMMYFUNCTION("""COMPUTED_VALUE"""),17453.0)</f>
        <v>17453</v>
      </c>
      <c r="DA105" s="688">
        <f>IFERROR(__xludf.DUMMYFUNCTION("""COMPUTED_VALUE"""),1437.8235474274334)</f>
        <v>1437.823547</v>
      </c>
      <c r="DB105" s="688">
        <f>IFERROR(__xludf.DUMMYFUNCTION("""COMPUTED_VALUE"""),7189.117737137167)</f>
        <v>7189.117737</v>
      </c>
      <c r="DC105" s="673" t="str">
        <f>IFERROR(__xludf.DUMMYFUNCTION("""COMPUTED_VALUE"""),"キラー攻撃(黄)")</f>
        <v>キラー攻撃(黄)</v>
      </c>
      <c r="DD105" s="673">
        <f>IFERROR(__xludf.DUMMYFUNCTION("""COMPUTED_VALUE"""),215.25)</f>
        <v>215.25</v>
      </c>
      <c r="DE105" s="139" t="str">
        <f>IFERROR(__xludf.DUMMYFUNCTION("""COMPUTED_VALUE"""),"-")</f>
        <v>-</v>
      </c>
      <c r="DF105" s="139" t="str">
        <f>IFERROR(__xludf.DUMMYFUNCTION("""COMPUTED_VALUE"""),"-")</f>
        <v>-</v>
      </c>
      <c r="DG105" s="139" t="str">
        <f>IFERROR(__xludf.DUMMYFUNCTION("""COMPUTED_VALUE"""),"-")</f>
        <v>-</v>
      </c>
      <c r="DH105" s="139" t="str">
        <f>IFERROR(__xludf.DUMMYFUNCTION("""COMPUTED_VALUE"""),"-")</f>
        <v>-</v>
      </c>
      <c r="DI105" s="139" t="str">
        <f>IFERROR(__xludf.DUMMYFUNCTION("""COMPUTED_VALUE"""),"-")</f>
        <v>-</v>
      </c>
      <c r="DJ105" s="139" t="str">
        <f>IFERROR(__xludf.DUMMYFUNCTION("""COMPUTED_VALUE"""),"-")</f>
        <v>-</v>
      </c>
    </row>
    <row r="106">
      <c r="A106" s="139" t="str">
        <f>IFERROR(__xludf.DUMMYFUNCTION("""COMPUTED_VALUE"""),"君のことが大大大大大好きな100人の彼女")</f>
        <v>君のことが大大大大大好きな100人の彼女</v>
      </c>
      <c r="B106" s="139" t="str">
        <f>IFERROR(__xludf.DUMMYFUNCTION("""COMPUTED_VALUE"""),"院田 唐音")</f>
        <v>院田 唐音</v>
      </c>
      <c r="C106" s="139" t="str">
        <f>IFERROR(__xludf.DUMMYFUNCTION("""COMPUTED_VALUE"""),"chara_kim_00201")</f>
        <v>chara_kim_00201</v>
      </c>
      <c r="D106" s="139" t="str">
        <f>IFERROR(__xludf.DUMMYFUNCTION("""COMPUTED_VALUE"""),"PremiumSSR")</f>
        <v>PremiumSSR</v>
      </c>
      <c r="E106" s="139" t="str">
        <f>IFERROR(__xludf.DUMMYFUNCTION("""COMPUTED_VALUE"""),"赤")</f>
        <v>赤</v>
      </c>
      <c r="F106" s="139" t="str">
        <f>IFERROR(__xludf.DUMMYFUNCTION("""COMPUTED_VALUE"""),"テクニカル")</f>
        <v>テクニカル</v>
      </c>
      <c r="G106" s="139" t="str">
        <f>IFERROR(__xludf.DUMMYFUNCTION("""COMPUTED_VALUE"""),"近距離")</f>
        <v>近距離</v>
      </c>
      <c r="H106" s="139" t="str">
        <f>IFERROR(__xludf.DUMMYFUNCTION("""COMPUTED_VALUE"""),"dageki_1")</f>
        <v>dageki_1</v>
      </c>
      <c r="I106" s="139" t="str">
        <f>IFERROR(__xludf.DUMMYFUNCTION("""COMPUTED_VALUE"""),"dageki_1")</f>
        <v>dageki_1</v>
      </c>
      <c r="J106" s="139" t="str">
        <f>IFERROR(__xludf.DUMMYFUNCTION("""COMPUTED_VALUE"""),"202602020_100カノ")</f>
        <v>202602020_100カノ</v>
      </c>
      <c r="K106" s="139" t="str">
        <f>IFERROR(__xludf.DUMMYFUNCTION("""COMPUTED_VALUE"""),"君のことが大大大大大好きな100人の彼女 いいジャン祭")</f>
        <v>君のことが大大大大大好きな100人の彼女 いいジャン祭</v>
      </c>
      <c r="L106" s="687" t="str">
        <f>IFERROR(__xludf.DUMMYFUNCTION("""COMPUTED_VALUE"""),"※")</f>
        <v>※</v>
      </c>
      <c r="M106" s="674">
        <f>IFERROR(__xludf.DUMMYFUNCTION("""COMPUTED_VALUE"""),630.0)</f>
        <v>630</v>
      </c>
      <c r="N106" s="139">
        <f>IFERROR(__xludf.DUMMYFUNCTION("""COMPUTED_VALUE"""),600.0)</f>
        <v>600</v>
      </c>
      <c r="O106" s="139" t="str">
        <f>IFERROR(__xludf.DUMMYFUNCTION("""COMPUTED_VALUE"""),"中コスト")</f>
        <v>中コスト</v>
      </c>
      <c r="P106" s="139">
        <f>IFERROR(__xludf.DUMMYFUNCTION("""COMPUTED_VALUE"""),0.0)</f>
        <v>0</v>
      </c>
      <c r="Q106" s="675">
        <f>IFERROR(__xludf.DUMMYFUNCTION("""COMPUTED_VALUE"""),20.0)</f>
        <v>20</v>
      </c>
      <c r="R106" s="675">
        <f>IFERROR(__xludf.DUMMYFUNCTION("""COMPUTED_VALUE"""),10.0)</f>
        <v>10</v>
      </c>
      <c r="S106" s="675">
        <f>IFERROR(__xludf.DUMMYFUNCTION("""COMPUTED_VALUE"""),13.25)</f>
        <v>13.25</v>
      </c>
      <c r="T106" s="674">
        <f>IFERROR(__xludf.DUMMYFUNCTION("""COMPUTED_VALUE"""),380.0)</f>
        <v>380</v>
      </c>
      <c r="U106" s="675">
        <f>IFERROR(__xludf.DUMMYFUNCTION("""COMPUTED_VALUE"""),7.626666666666668)</f>
        <v>7.626666667</v>
      </c>
      <c r="V106" s="675">
        <f>IFERROR(__xludf.DUMMYFUNCTION("""COMPUTED_VALUE"""),0.0)</f>
        <v>0</v>
      </c>
      <c r="W106" s="675">
        <f>IFERROR(__xludf.DUMMYFUNCTION("""COMPUTED_VALUE"""),0.0)</f>
        <v>0</v>
      </c>
      <c r="X106" s="675">
        <f>IFERROR(__xludf.DUMMYFUNCTION("""COMPUTED_VALUE"""),0.0)</f>
        <v>0</v>
      </c>
      <c r="Y106" s="674">
        <f>IFERROR(__xludf.DUMMYFUNCTION("""COMPUTED_VALUE"""),200.0)</f>
        <v>200</v>
      </c>
      <c r="Z106" s="675">
        <f>IFERROR(__xludf.DUMMYFUNCTION("""COMPUTED_VALUE"""),3.9866666666666664)</f>
        <v>3.986666667</v>
      </c>
      <c r="AA106" s="675">
        <f>IFERROR(__xludf.DUMMYFUNCTION("""COMPUTED_VALUE"""),0.0)</f>
        <v>0</v>
      </c>
      <c r="AB106" s="673">
        <f>IFERROR(__xludf.DUMMYFUNCTION("""COMPUTED_VALUE"""),0.0)</f>
        <v>0</v>
      </c>
      <c r="AC106" s="675">
        <f>IFERROR(__xludf.DUMMYFUNCTION("""COMPUTED_VALUE"""),0.0)</f>
        <v>0</v>
      </c>
      <c r="AD106" s="674">
        <f>IFERROR(__xludf.DUMMYFUNCTION("""COMPUTED_VALUE"""),1585.0)</f>
        <v>1585</v>
      </c>
      <c r="AE106" s="675">
        <f>IFERROR(__xludf.DUMMYFUNCTION("""COMPUTED_VALUE"""),31.7163984288875)</f>
        <v>31.71639843</v>
      </c>
      <c r="AF106" s="675">
        <f>IFERROR(__xludf.DUMMYFUNCTION("""COMPUTED_VALUE"""),0.0)</f>
        <v>0</v>
      </c>
      <c r="AG106" s="675">
        <f>IFERROR(__xludf.DUMMYFUNCTION("""COMPUTED_VALUE"""),22.5)</f>
        <v>22.5</v>
      </c>
      <c r="AH106" s="675">
        <f>IFERROR(__xludf.DUMMYFUNCTION("""COMPUTED_VALUE"""),-1.0240442698763892)</f>
        <v>-1.02404427</v>
      </c>
      <c r="AI106" s="675">
        <f>IFERROR(__xludf.DUMMYFUNCTION("""COMPUTED_VALUE"""),15.0)</f>
        <v>15</v>
      </c>
      <c r="AJ106" s="675">
        <f>IFERROR(__xludf.DUMMYFUNCTION("""COMPUTED_VALUE"""),16.7163984288875)</f>
        <v>16.71639843</v>
      </c>
      <c r="AK106" s="139">
        <f>IFERROR(__xludf.DUMMYFUNCTION("""COMPUTED_VALUE"""),1.0)</f>
        <v>1</v>
      </c>
      <c r="AL106" s="674">
        <f>IFERROR(__xludf.DUMMYFUNCTION("""COMPUTED_VALUE"""),1040.0)</f>
        <v>1040</v>
      </c>
      <c r="AM106" s="688">
        <f>IFERROR(__xludf.DUMMYFUNCTION("""COMPUTED_VALUE"""),7929.149244052924)</f>
        <v>7929.149244</v>
      </c>
      <c r="AN106" s="675">
        <f>IFERROR(__xludf.DUMMYFUNCTION("""COMPUTED_VALUE"""),6.933333333333334)</f>
        <v>6.933333333</v>
      </c>
      <c r="AO106" s="675">
        <f>IFERROR(__xludf.DUMMYFUNCTION("""COMPUTED_VALUE"""),3.466666666666667)</f>
        <v>3.466666667</v>
      </c>
      <c r="AP106" s="674">
        <f>IFERROR(__xludf.DUMMYFUNCTION("""COMPUTED_VALUE"""),1890.0)</f>
        <v>1890</v>
      </c>
      <c r="AQ106" s="673">
        <f>IFERROR(__xludf.DUMMYFUNCTION("""COMPUTED_VALUE"""),-0.3)</f>
        <v>-0.3</v>
      </c>
      <c r="AR106" s="673">
        <f>IFERROR(__xludf.DUMMYFUNCTION("""COMPUTED_VALUE"""),-0.1)</f>
        <v>-0.1</v>
      </c>
      <c r="AS106" s="673">
        <f>IFERROR(__xludf.DUMMYFUNCTION("""COMPUTED_VALUE"""),0.1)</f>
        <v>0.1</v>
      </c>
      <c r="AT106" s="673">
        <f>IFERROR(__xludf.DUMMYFUNCTION("""COMPUTED_VALUE"""),-0.15)</f>
        <v>-0.15</v>
      </c>
      <c r="AU106" s="673">
        <f>IFERROR(__xludf.DUMMYFUNCTION("""COMPUTED_VALUE"""),0.0)</f>
        <v>0</v>
      </c>
      <c r="AV106" s="673">
        <f>IFERROR(__xludf.DUMMYFUNCTION("""COMPUTED_VALUE"""),0.0)</f>
        <v>0</v>
      </c>
      <c r="AW106" s="139"/>
      <c r="AX106" s="674">
        <f>IFERROR(__xludf.DUMMYFUNCTION("""COMPUTED_VALUE"""),1950.0)</f>
        <v>1950</v>
      </c>
      <c r="AY106" s="688">
        <f>IFERROR(__xludf.DUMMYFUNCTION("""COMPUTED_VALUE"""),14867.844832599234)</f>
        <v>14867.84483</v>
      </c>
      <c r="AZ106" s="674">
        <f>IFERROR(__xludf.DUMMYFUNCTION("""COMPUTED_VALUE"""),1950.0)</f>
        <v>1950</v>
      </c>
      <c r="BA106" s="688">
        <f>IFERROR(__xludf.DUMMYFUNCTION("""COMPUTED_VALUE"""),14867.844832599234)</f>
        <v>14867.84483</v>
      </c>
      <c r="BB106" s="688" t="str">
        <f>IFERROR(__xludf.DUMMYFUNCTION("""COMPUTED_VALUE"""),"-")</f>
        <v>-</v>
      </c>
      <c r="BC106" s="688" t="str">
        <f>IFERROR(__xludf.DUMMYFUNCTION("""COMPUTED_VALUE"""),"#VALUE!")</f>
        <v>#VALUE!</v>
      </c>
      <c r="BD106" s="688" t="str">
        <f>IFERROR(__xludf.DUMMYFUNCTION("""COMPUTED_VALUE"""),"#VALUE!")</f>
        <v>#VALUE!</v>
      </c>
      <c r="BE106" s="674">
        <f>IFERROR(__xludf.DUMMYFUNCTION("""COMPUTED_VALUE"""),1950.0)</f>
        <v>1950</v>
      </c>
      <c r="BF106" s="674">
        <f>IFERROR(__xludf.DUMMYFUNCTION("""COMPUTED_VALUE"""),1260.0)</f>
        <v>1260</v>
      </c>
      <c r="BG106" s="673">
        <f>IFERROR(__xludf.DUMMYFUNCTION("""COMPUTED_VALUE"""),0.15)</f>
        <v>0.15</v>
      </c>
      <c r="BH106" s="673">
        <f>IFERROR(__xludf.DUMMYFUNCTION("""COMPUTED_VALUE"""),0.1)</f>
        <v>0.1</v>
      </c>
      <c r="BI106" s="673">
        <f>IFERROR(__xludf.DUMMYFUNCTION("""COMPUTED_VALUE"""),0.0)</f>
        <v>0</v>
      </c>
      <c r="BJ106" s="673">
        <f>IFERROR(__xludf.DUMMYFUNCTION("""COMPUTED_VALUE"""),0.0)</f>
        <v>0</v>
      </c>
      <c r="BK106" s="673">
        <f>IFERROR(__xludf.DUMMYFUNCTION("""COMPUTED_VALUE"""),0.1)</f>
        <v>0.1</v>
      </c>
      <c r="BL106" s="673">
        <f>IFERROR(__xludf.DUMMYFUNCTION("""COMPUTED_VALUE"""),0.2)</f>
        <v>0.2</v>
      </c>
      <c r="BM106" s="674">
        <f>IFERROR(__xludf.DUMMYFUNCTION("""COMPUTED_VALUE"""),50.0)</f>
        <v>50</v>
      </c>
      <c r="BN106" s="674">
        <f>IFERROR(__xludf.DUMMYFUNCTION("""COMPUTED_VALUE"""),50.0)</f>
        <v>50</v>
      </c>
      <c r="BO106" s="675">
        <f>IFERROR(__xludf.DUMMYFUNCTION("""COMPUTED_VALUE"""),0.0)</f>
        <v>0</v>
      </c>
      <c r="BP106" s="675">
        <f>IFERROR(__xludf.DUMMYFUNCTION("""COMPUTED_VALUE"""),1.0)</f>
        <v>1</v>
      </c>
      <c r="BQ106" s="139" t="str">
        <f>IFERROR(__xludf.DUMMYFUNCTION("""COMPUTED_VALUE"""),"(近距離)素手")</f>
        <v>(近距離)素手</v>
      </c>
      <c r="BR106" s="139">
        <f>IFERROR(__xludf.DUMMYFUNCTION("""COMPUTED_VALUE"""),3.0)</f>
        <v>3</v>
      </c>
      <c r="BS106" s="139">
        <f>IFERROR(__xludf.DUMMYFUNCTION("""COMPUTED_VALUE"""),35.0)</f>
        <v>35</v>
      </c>
      <c r="BT106" s="139">
        <f>IFERROR(__xludf.DUMMYFUNCTION("""COMPUTED_VALUE"""),0.26)</f>
        <v>0.26</v>
      </c>
      <c r="BU106" s="139">
        <f>IFERROR(__xludf.DUMMYFUNCTION("""COMPUTED_VALUE"""),0.0)</f>
        <v>0</v>
      </c>
      <c r="BV106" s="139" t="str">
        <f>IFERROR(__xludf.DUMMYFUNCTION("""COMPUTED_VALUE"""),"普通")</f>
        <v>普通</v>
      </c>
      <c r="BW106" s="139" t="str">
        <f>IFERROR(__xludf.DUMMYFUNCTION("""COMPUTED_VALUE"""),"攻撃DOWNコマ無効化")</f>
        <v>攻撃DOWNコマ無効化</v>
      </c>
      <c r="BX106" s="139" t="str">
        <f>IFERROR(__xludf.DUMMYFUNCTION("""COMPUTED_VALUE"""),"-")</f>
        <v>-</v>
      </c>
      <c r="BY106" s="139">
        <f>IFERROR(__xludf.DUMMYFUNCTION("""COMPUTED_VALUE"""),0.0)</f>
        <v>0</v>
      </c>
      <c r="BZ106" s="139" t="str">
        <f>IFERROR(__xludf.DUMMYFUNCTION("""COMPUTED_VALUE"""),"-")</f>
        <v>-</v>
      </c>
      <c r="CA106" s="139" t="str">
        <f>IFERROR(__xludf.DUMMYFUNCTION("""COMPUTED_VALUE"""),"-")</f>
        <v>-</v>
      </c>
      <c r="CB106" s="139" t="str">
        <f>IFERROR(__xludf.DUMMYFUNCTION("""COMPUTED_VALUE"""),"-")</f>
        <v>-</v>
      </c>
      <c r="CC106" s="139" t="str">
        <f>IFERROR(__xludf.DUMMYFUNCTION("""COMPUTED_VALUE"""),"近距離")</f>
        <v>近距離</v>
      </c>
      <c r="CD106" s="139" t="str">
        <f>IFERROR(__xludf.DUMMYFUNCTION("""COMPUTED_VALUE"""),"単体")</f>
        <v>単体</v>
      </c>
      <c r="CE106" s="139">
        <f>IFERROR(__xludf.DUMMYFUNCTION("""COMPUTED_VALUE"""),1.0)</f>
        <v>1</v>
      </c>
      <c r="CF106" s="139">
        <f>IFERROR(__xludf.DUMMYFUNCTION("""COMPUTED_VALUE"""),0.27)</f>
        <v>0.27</v>
      </c>
      <c r="CG106" s="139" t="str">
        <f>IFERROR(__xludf.DUMMYFUNCTION("""COMPUTED_VALUE"""),"近距離")</f>
        <v>近距離</v>
      </c>
      <c r="CH106" s="139" t="str">
        <f>IFERROR(__xludf.DUMMYFUNCTION("""COMPUTED_VALUE"""),"範囲(中)")</f>
        <v>範囲(中)</v>
      </c>
      <c r="CI106" s="139">
        <f>IFERROR(__xludf.DUMMYFUNCTION("""COMPUTED_VALUE"""),0.65)</f>
        <v>0.65</v>
      </c>
      <c r="CJ106" s="139">
        <f>IFERROR(__xludf.DUMMYFUNCTION("""COMPUTED_VALUE"""),0.47)</f>
        <v>0.47</v>
      </c>
      <c r="CK106" s="139"/>
      <c r="CL106" s="139"/>
      <c r="CM106" s="139"/>
      <c r="CN106" s="675">
        <f>IFERROR(__xludf.DUMMYFUNCTION("""COMPUTED_VALUE"""),31.7163984288875)</f>
        <v>31.71639843</v>
      </c>
      <c r="CO106" s="139" t="str">
        <f>IFERROR(__xludf.DUMMYFUNCTION("""COMPUTED_VALUE"""),"-")</f>
        <v>-</v>
      </c>
      <c r="CP106" s="139" t="str">
        <f>IFERROR(__xludf.DUMMYFUNCTION("""COMPUTED_VALUE"""),"-")</f>
        <v>-</v>
      </c>
      <c r="CQ106" s="139" t="str">
        <f>IFERROR(__xludf.DUMMYFUNCTION("""COMPUTED_VALUE"""),"-")</f>
        <v>-</v>
      </c>
      <c r="CR106" s="139"/>
      <c r="CS106" s="673" t="str">
        <f>IFERROR(__xludf.DUMMYFUNCTION("""COMPUTED_VALUE"""),"攻撃(必殺)")</f>
        <v>攻撃(必殺)</v>
      </c>
      <c r="CT106" s="139" t="str">
        <f>IFERROR(__xludf.DUMMYFUNCTION("""COMPUTED_VALUE"""),"-")</f>
        <v>-</v>
      </c>
      <c r="CU106" s="139" t="str">
        <f>IFERROR(__xludf.DUMMYFUNCTION("""COMPUTED_VALUE"""),"敵")</f>
        <v>敵</v>
      </c>
      <c r="CV106" s="139" t="str">
        <f>IFERROR(__xludf.DUMMYFUNCTION("""COMPUTED_VALUE"""),"All")</f>
        <v>All</v>
      </c>
      <c r="CW106" s="139" t="str">
        <f>IFERROR(__xludf.DUMMYFUNCTION("""COMPUTED_VALUE"""),"All")</f>
        <v>All</v>
      </c>
      <c r="CX106" s="674">
        <f>IFERROR(__xludf.DUMMYFUNCTION("""COMPUTED_VALUE"""),117.0)</f>
        <v>117</v>
      </c>
      <c r="CY106" s="675" t="str">
        <f>IFERROR(__xludf.DUMMYFUNCTION("""COMPUTED_VALUE"""),"-")</f>
        <v>-</v>
      </c>
      <c r="CZ106" s="688">
        <f>IFERROR(__xludf.DUMMYFUNCTION("""COMPUTED_VALUE"""),17395.0)</f>
        <v>17395</v>
      </c>
      <c r="DA106" s="688">
        <f>IFERROR(__xludf.DUMMYFUNCTION("""COMPUTED_VALUE"""),601.0000491699953)</f>
        <v>601.0000492</v>
      </c>
      <c r="DB106" s="688">
        <f>IFERROR(__xludf.DUMMYFUNCTION("""COMPUTED_VALUE"""),3005.0002458499766)</f>
        <v>3005.000246</v>
      </c>
      <c r="DC106" s="673" t="str">
        <f>IFERROR(__xludf.DUMMYFUNCTION("""COMPUTED_VALUE"""),"攻撃力Down")</f>
        <v>攻撃力Down</v>
      </c>
      <c r="DD106" s="673">
        <f>IFERROR(__xludf.DUMMYFUNCTION("""COMPUTED_VALUE"""),10.0)</f>
        <v>10</v>
      </c>
      <c r="DE106" s="139">
        <f>IFERROR(__xludf.DUMMYFUNCTION("""COMPUTED_VALUE"""),15.0)</f>
        <v>15</v>
      </c>
      <c r="DF106" s="139" t="str">
        <f>IFERROR(__xludf.DUMMYFUNCTION("""COMPUTED_VALUE"""),"-")</f>
        <v>-</v>
      </c>
      <c r="DG106" s="139" t="str">
        <f>IFERROR(__xludf.DUMMYFUNCTION("""COMPUTED_VALUE"""),"-")</f>
        <v>-</v>
      </c>
      <c r="DH106" s="139" t="str">
        <f>IFERROR(__xludf.DUMMYFUNCTION("""COMPUTED_VALUE"""),"-")</f>
        <v>-</v>
      </c>
      <c r="DI106" s="139" t="str">
        <f>IFERROR(__xludf.DUMMYFUNCTION("""COMPUTED_VALUE"""),"-")</f>
        <v>-</v>
      </c>
      <c r="DJ106" s="139" t="str">
        <f>IFERROR(__xludf.DUMMYFUNCTION("""COMPUTED_VALUE"""),"-")</f>
        <v>-</v>
      </c>
    </row>
    <row r="107">
      <c r="A107" s="139" t="str">
        <f>IFERROR(__xludf.DUMMYFUNCTION("""COMPUTED_VALUE"""),"君のことが大大大大大好きな100人の彼女")</f>
        <v>君のことが大大大大大好きな100人の彼女</v>
      </c>
      <c r="B107" s="139" t="str">
        <f>IFERROR(__xludf.DUMMYFUNCTION("""COMPUTED_VALUE"""),"好本 静")</f>
        <v>好本 静</v>
      </c>
      <c r="C107" s="139" t="str">
        <f>IFERROR(__xludf.DUMMYFUNCTION("""COMPUTED_VALUE"""),"chara_kim_00301")</f>
        <v>chara_kim_00301</v>
      </c>
      <c r="D107" s="139" t="str">
        <f>IFERROR(__xludf.DUMMYFUNCTION("""COMPUTED_VALUE"""),"PremiumSSR")</f>
        <v>PremiumSSR</v>
      </c>
      <c r="E107" s="139" t="str">
        <f>IFERROR(__xludf.DUMMYFUNCTION("""COMPUTED_VALUE"""),"黄")</f>
        <v>黄</v>
      </c>
      <c r="F107" s="139" t="str">
        <f>IFERROR(__xludf.DUMMYFUNCTION("""COMPUTED_VALUE"""),"サポート")</f>
        <v>サポート</v>
      </c>
      <c r="G107" s="139" t="str">
        <f>IFERROR(__xludf.DUMMYFUNCTION("""COMPUTED_VALUE"""),"中距離")</f>
        <v>中距離</v>
      </c>
      <c r="H107" s="139" t="str">
        <f>IFERROR(__xludf.DUMMYFUNCTION("""COMPUTED_VALUE"""),"dageki_1")</f>
        <v>dageki_1</v>
      </c>
      <c r="I107" s="139" t="str">
        <f>IFERROR(__xludf.DUMMYFUNCTION("""COMPUTED_VALUE"""),"-")</f>
        <v>-</v>
      </c>
      <c r="J107" s="139" t="str">
        <f>IFERROR(__xludf.DUMMYFUNCTION("""COMPUTED_VALUE"""),"202602020_100カノ")</f>
        <v>202602020_100カノ</v>
      </c>
      <c r="K107" s="139" t="str">
        <f>IFERROR(__xludf.DUMMYFUNCTION("""COMPUTED_VALUE"""),"君のことが大大大大大好きな100人の彼女 いいジャン祭")</f>
        <v>君のことが大大大大大好きな100人の彼女 いいジャン祭</v>
      </c>
      <c r="L107" s="687" t="str">
        <f>IFERROR(__xludf.DUMMYFUNCTION("""COMPUTED_VALUE"""),"※")</f>
        <v>※</v>
      </c>
      <c r="M107" s="674">
        <f>IFERROR(__xludf.DUMMYFUNCTION("""COMPUTED_VALUE"""),460.0)</f>
        <v>460</v>
      </c>
      <c r="N107" s="139">
        <f>IFERROR(__xludf.DUMMYFUNCTION("""COMPUTED_VALUE"""),600.0)</f>
        <v>600</v>
      </c>
      <c r="O107" s="139" t="str">
        <f>IFERROR(__xludf.DUMMYFUNCTION("""COMPUTED_VALUE"""),"中コスト")</f>
        <v>中コスト</v>
      </c>
      <c r="P107" s="139">
        <f>IFERROR(__xludf.DUMMYFUNCTION("""COMPUTED_VALUE"""),-160.0)</f>
        <v>-160</v>
      </c>
      <c r="Q107" s="675">
        <f>IFERROR(__xludf.DUMMYFUNCTION("""COMPUTED_VALUE"""),10.0)</f>
        <v>10</v>
      </c>
      <c r="R107" s="675">
        <f>IFERROR(__xludf.DUMMYFUNCTION("""COMPUTED_VALUE"""),10.0)</f>
        <v>10</v>
      </c>
      <c r="S107" s="675">
        <f>IFERROR(__xludf.DUMMYFUNCTION("""COMPUTED_VALUE"""),9.0)</f>
        <v>9</v>
      </c>
      <c r="T107" s="674">
        <f>IFERROR(__xludf.DUMMYFUNCTION("""COMPUTED_VALUE"""),330.0)</f>
        <v>330</v>
      </c>
      <c r="U107" s="675">
        <f>IFERROR(__xludf.DUMMYFUNCTION("""COMPUTED_VALUE"""),6.6000000000000005)</f>
        <v>6.6</v>
      </c>
      <c r="V107" s="675">
        <f>IFERROR(__xludf.DUMMYFUNCTION("""COMPUTED_VALUE"""),0.0)</f>
        <v>0</v>
      </c>
      <c r="W107" s="675">
        <f>IFERROR(__xludf.DUMMYFUNCTION("""COMPUTED_VALUE"""),0.0)</f>
        <v>0</v>
      </c>
      <c r="X107" s="675">
        <f>IFERROR(__xludf.DUMMYFUNCTION("""COMPUTED_VALUE"""),0.0)</f>
        <v>0</v>
      </c>
      <c r="Y107" s="674">
        <f>IFERROR(__xludf.DUMMYFUNCTION("""COMPUTED_VALUE"""),175.0)</f>
        <v>175</v>
      </c>
      <c r="Z107" s="675">
        <f>IFERROR(__xludf.DUMMYFUNCTION("""COMPUTED_VALUE"""),3.4499999999999997)</f>
        <v>3.45</v>
      </c>
      <c r="AA107" s="675">
        <f>IFERROR(__xludf.DUMMYFUNCTION("""COMPUTED_VALUE"""),0.0)</f>
        <v>0</v>
      </c>
      <c r="AB107" s="673">
        <f>IFERROR(__xludf.DUMMYFUNCTION("""COMPUTED_VALUE"""),0.0)</f>
        <v>0</v>
      </c>
      <c r="AC107" s="675">
        <f>IFERROR(__xludf.DUMMYFUNCTION("""COMPUTED_VALUE"""),0.0)</f>
        <v>0</v>
      </c>
      <c r="AD107" s="674">
        <f>IFERROR(__xludf.DUMMYFUNCTION("""COMPUTED_VALUE"""),1225.0)</f>
        <v>1225</v>
      </c>
      <c r="AE107" s="675">
        <f>IFERROR(__xludf.DUMMYFUNCTION("""COMPUTED_VALUE"""),24.526279441628823)</f>
        <v>24.52627944</v>
      </c>
      <c r="AF107" s="675">
        <f>IFERROR(__xludf.DUMMYFUNCTION("""COMPUTED_VALUE"""),0.0)</f>
        <v>0</v>
      </c>
      <c r="AG107" s="675">
        <f>IFERROR(__xludf.DUMMYFUNCTION("""COMPUTED_VALUE"""),15.0)</f>
        <v>15</v>
      </c>
      <c r="AH107" s="675">
        <f>IFERROR(__xludf.DUMMYFUNCTION("""COMPUTED_VALUE"""),0.0)</f>
        <v>0</v>
      </c>
      <c r="AI107" s="675">
        <f>IFERROR(__xludf.DUMMYFUNCTION("""COMPUTED_VALUE"""),10.0)</f>
        <v>10</v>
      </c>
      <c r="AJ107" s="675">
        <f>IFERROR(__xludf.DUMMYFUNCTION("""COMPUTED_VALUE"""),14.526279441628823)</f>
        <v>14.52627944</v>
      </c>
      <c r="AK107" s="139">
        <f>IFERROR(__xludf.DUMMYFUNCTION("""COMPUTED_VALUE"""),1.0)</f>
        <v>1</v>
      </c>
      <c r="AL107" s="674">
        <f>IFERROR(__xludf.DUMMYFUNCTION("""COMPUTED_VALUE"""),900.0)</f>
        <v>900</v>
      </c>
      <c r="AM107" s="688">
        <f>IFERROR(__xludf.DUMMYFUNCTION("""COMPUTED_VALUE"""),6862.605307353492)</f>
        <v>6862.605307</v>
      </c>
      <c r="AN107" s="675">
        <f>IFERROR(__xludf.DUMMYFUNCTION("""COMPUTED_VALUE"""),6.0)</f>
        <v>6</v>
      </c>
      <c r="AO107" s="675">
        <f>IFERROR(__xludf.DUMMYFUNCTION("""COMPUTED_VALUE"""),3.0)</f>
        <v>3</v>
      </c>
      <c r="AP107" s="674">
        <f>IFERROR(__xludf.DUMMYFUNCTION("""COMPUTED_VALUE"""),1380.0)</f>
        <v>1380</v>
      </c>
      <c r="AQ107" s="673">
        <f>IFERROR(__xludf.DUMMYFUNCTION("""COMPUTED_VALUE"""),-0.4)</f>
        <v>-0.4</v>
      </c>
      <c r="AR107" s="673">
        <f>IFERROR(__xludf.DUMMYFUNCTION("""COMPUTED_VALUE"""),0.15)</f>
        <v>0.15</v>
      </c>
      <c r="AS107" s="673">
        <f>IFERROR(__xludf.DUMMYFUNCTION("""COMPUTED_VALUE"""),-0.1)</f>
        <v>-0.1</v>
      </c>
      <c r="AT107" s="673">
        <f>IFERROR(__xludf.DUMMYFUNCTION("""COMPUTED_VALUE"""),0.0)</f>
        <v>0</v>
      </c>
      <c r="AU107" s="673">
        <f>IFERROR(__xludf.DUMMYFUNCTION("""COMPUTED_VALUE"""),0.0)</f>
        <v>0</v>
      </c>
      <c r="AV107" s="673">
        <f>IFERROR(__xludf.DUMMYFUNCTION("""COMPUTED_VALUE"""),0.0)</f>
        <v>0</v>
      </c>
      <c r="AW107" s="139"/>
      <c r="AX107" s="674">
        <f>IFERROR(__xludf.DUMMYFUNCTION("""COMPUTED_VALUE"""),920.0)</f>
        <v>920</v>
      </c>
      <c r="AY107" s="688">
        <f>IFERROR(__xludf.DUMMYFUNCTION("""COMPUTED_VALUE"""),7014.945869739126)</f>
        <v>7014.94587</v>
      </c>
      <c r="AZ107" s="674">
        <f>IFERROR(__xludf.DUMMYFUNCTION("""COMPUTED_VALUE"""),510.0)</f>
        <v>510</v>
      </c>
      <c r="BA107" s="688">
        <f>IFERROR(__xludf.DUMMYFUNCTION("""COMPUTED_VALUE"""),3897.1921498550696)</f>
        <v>3897.19215</v>
      </c>
      <c r="BB107" s="688">
        <f>IFERROR(__xludf.DUMMYFUNCTION("""COMPUTED_VALUE"""),4364.855207837679)</f>
        <v>4364.855208</v>
      </c>
      <c r="BC107" s="688" t="str">
        <f>IFERROR(__xludf.DUMMYFUNCTION("""COMPUTED_VALUE"""),"#VALUE!")</f>
        <v>#VALUE!</v>
      </c>
      <c r="BD107" s="688" t="str">
        <f>IFERROR(__xludf.DUMMYFUNCTION("""COMPUTED_VALUE"""),"#VALUE!")</f>
        <v>#VALUE!</v>
      </c>
      <c r="BE107" s="674">
        <f>IFERROR(__xludf.DUMMYFUNCTION("""COMPUTED_VALUE"""),510.0)</f>
        <v>510</v>
      </c>
      <c r="BF107" s="674">
        <f>IFERROR(__xludf.DUMMYFUNCTION("""COMPUTED_VALUE"""),920.0)</f>
        <v>920</v>
      </c>
      <c r="BG107" s="673">
        <f>IFERROR(__xludf.DUMMYFUNCTION("""COMPUTED_VALUE"""),0.0)</f>
        <v>0</v>
      </c>
      <c r="BH107" s="673">
        <f>IFERROR(__xludf.DUMMYFUNCTION("""COMPUTED_VALUE"""),-0.3)</f>
        <v>-0.3</v>
      </c>
      <c r="BI107" s="673">
        <f>IFERROR(__xludf.DUMMYFUNCTION("""COMPUTED_VALUE"""),0.0)</f>
        <v>0</v>
      </c>
      <c r="BJ107" s="673">
        <f>IFERROR(__xludf.DUMMYFUNCTION("""COMPUTED_VALUE"""),0.0)</f>
        <v>0</v>
      </c>
      <c r="BK107" s="673">
        <f>IFERROR(__xludf.DUMMYFUNCTION("""COMPUTED_VALUE"""),-0.15)</f>
        <v>-0.15</v>
      </c>
      <c r="BL107" s="673">
        <f>IFERROR(__xludf.DUMMYFUNCTION("""COMPUTED_VALUE"""),0.0)</f>
        <v>0</v>
      </c>
      <c r="BM107" s="674">
        <f>IFERROR(__xludf.DUMMYFUNCTION("""COMPUTED_VALUE"""),90.0)</f>
        <v>90</v>
      </c>
      <c r="BN107" s="674">
        <f>IFERROR(__xludf.DUMMYFUNCTION("""COMPUTED_VALUE"""),90.0)</f>
        <v>90</v>
      </c>
      <c r="BO107" s="675">
        <f>IFERROR(__xludf.DUMMYFUNCTION("""COMPUTED_VALUE"""),0.0)</f>
        <v>0</v>
      </c>
      <c r="BP107" s="675">
        <f>IFERROR(__xludf.DUMMYFUNCTION("""COMPUTED_VALUE"""),1.8)</f>
        <v>1.8</v>
      </c>
      <c r="BQ107" s="139" t="str">
        <f>IFERROR(__xludf.DUMMYFUNCTION("""COMPUTED_VALUE"""),"(中距離)素手・武器・道具")</f>
        <v>(中距離)素手・武器・道具</v>
      </c>
      <c r="BR107" s="139">
        <f>IFERROR(__xludf.DUMMYFUNCTION("""COMPUTED_VALUE"""),2.0)</f>
        <v>2</v>
      </c>
      <c r="BS107" s="139">
        <f>IFERROR(__xludf.DUMMYFUNCTION("""COMPUTED_VALUE"""),30.0)</f>
        <v>30</v>
      </c>
      <c r="BT107" s="139">
        <f>IFERROR(__xludf.DUMMYFUNCTION("""COMPUTED_VALUE"""),0.37)</f>
        <v>0.37</v>
      </c>
      <c r="BU107" s="139">
        <f>IFERROR(__xludf.DUMMYFUNCTION("""COMPUTED_VALUE"""),0.0)</f>
        <v>0</v>
      </c>
      <c r="BV107" s="139" t="str">
        <f>IFERROR(__xludf.DUMMYFUNCTION("""COMPUTED_VALUE"""),"普通-遅い")</f>
        <v>普通-遅い</v>
      </c>
      <c r="BW107" s="139" t="str">
        <f>IFERROR(__xludf.DUMMYFUNCTION("""COMPUTED_VALUE"""),"攻撃DOWNコマ無効化")</f>
        <v>攻撃DOWNコマ無効化</v>
      </c>
      <c r="BX107" s="139" t="str">
        <f>IFERROR(__xludf.DUMMYFUNCTION("""COMPUTED_VALUE"""),"-")</f>
        <v>-</v>
      </c>
      <c r="BY107" s="139">
        <f>IFERROR(__xludf.DUMMYFUNCTION("""COMPUTED_VALUE"""),0.0)</f>
        <v>0</v>
      </c>
      <c r="BZ107" s="139" t="str">
        <f>IFERROR(__xludf.DUMMYFUNCTION("""COMPUTED_VALUE"""),"-")</f>
        <v>-</v>
      </c>
      <c r="CA107" s="139" t="str">
        <f>IFERROR(__xludf.DUMMYFUNCTION("""COMPUTED_VALUE"""),"-")</f>
        <v>-</v>
      </c>
      <c r="CB107" s="139" t="str">
        <f>IFERROR(__xludf.DUMMYFUNCTION("""COMPUTED_VALUE"""),"-")</f>
        <v>-</v>
      </c>
      <c r="CC107" s="139" t="str">
        <f>IFERROR(__xludf.DUMMYFUNCTION("""COMPUTED_VALUE"""),"中距離")</f>
        <v>中距離</v>
      </c>
      <c r="CD107" s="139" t="str">
        <f>IFERROR(__xludf.DUMMYFUNCTION("""COMPUTED_VALUE"""),"単体")</f>
        <v>単体</v>
      </c>
      <c r="CE107" s="139">
        <f>IFERROR(__xludf.DUMMYFUNCTION("""COMPUTED_VALUE"""),1.0)</f>
        <v>1</v>
      </c>
      <c r="CF107" s="139">
        <f>IFERROR(__xludf.DUMMYFUNCTION("""COMPUTED_VALUE"""),0.38)</f>
        <v>0.38</v>
      </c>
      <c r="CG107" s="139" t="str">
        <f>IFERROR(__xludf.DUMMYFUNCTION("""COMPUTED_VALUE"""),"自身と１つ先のコマにいる味方")</f>
        <v>自身と１つ先のコマにいる味方</v>
      </c>
      <c r="CH107" s="139" t="str">
        <f>IFERROR(__xludf.DUMMYFUNCTION("""COMPUTED_VALUE"""),"範囲(コマ)0,+1")</f>
        <v>範囲(コマ)0,+1</v>
      </c>
      <c r="CI107" s="139">
        <f>IFERROR(__xludf.DUMMYFUNCTION("""COMPUTED_VALUE"""),0.6)</f>
        <v>0.6</v>
      </c>
      <c r="CJ107" s="139" t="str">
        <f>IFERROR(__xludf.DUMMYFUNCTION("""COMPUTED_VALUE"""),"(コマ)0,+1")</f>
        <v>(コマ)0,+1</v>
      </c>
      <c r="CK107" s="139"/>
      <c r="CL107" s="139"/>
      <c r="CM107" s="139"/>
      <c r="CN107" s="675">
        <f>IFERROR(__xludf.DUMMYFUNCTION("""COMPUTED_VALUE"""),24.526279441628823)</f>
        <v>24.52627944</v>
      </c>
      <c r="CO107" s="139" t="str">
        <f>IFERROR(__xludf.DUMMYFUNCTION("""COMPUTED_VALUE"""),"-")</f>
        <v>-</v>
      </c>
      <c r="CP107" s="139" t="str">
        <f>IFERROR(__xludf.DUMMYFUNCTION("""COMPUTED_VALUE"""),"-")</f>
        <v>-</v>
      </c>
      <c r="CQ107" s="139" t="str">
        <f>IFERROR(__xludf.DUMMYFUNCTION("""COMPUTED_VALUE"""),"-")</f>
        <v>-</v>
      </c>
      <c r="CR107" s="139"/>
      <c r="CS107" s="673" t="str">
        <f>IFERROR(__xludf.DUMMYFUNCTION("""COMPUTED_VALUE"""),"攻撃力UP")</f>
        <v>攻撃力UP</v>
      </c>
      <c r="CT107" s="139" t="str">
        <f>IFERROR(__xludf.DUMMYFUNCTION("""COMPUTED_VALUE"""),"持続型")</f>
        <v>持続型</v>
      </c>
      <c r="CU107" s="139" t="str">
        <f>IFERROR(__xludf.DUMMYFUNCTION("""COMPUTED_VALUE"""),"味方")</f>
        <v>味方</v>
      </c>
      <c r="CV107" s="139" t="str">
        <f>IFERROR(__xludf.DUMMYFUNCTION("""COMPUTED_VALUE"""),"黄")</f>
        <v>黄</v>
      </c>
      <c r="CW107" s="139" t="str">
        <f>IFERROR(__xludf.DUMMYFUNCTION("""COMPUTED_VALUE"""),"All")</f>
        <v>All</v>
      </c>
      <c r="CX107" s="674">
        <f>IFERROR(__xludf.DUMMYFUNCTION("""COMPUTED_VALUE"""),12.0)</f>
        <v>12</v>
      </c>
      <c r="CY107" s="675">
        <f>IFERROR(__xludf.DUMMYFUNCTION("""COMPUTED_VALUE"""),10.0)</f>
        <v>10</v>
      </c>
      <c r="CZ107" s="688" t="str">
        <f>IFERROR(__xludf.DUMMYFUNCTION("""COMPUTED_VALUE"""),"-")</f>
        <v>-</v>
      </c>
      <c r="DA107" s="688">
        <f>IFERROR(__xludf.DUMMYFUNCTION("""COMPUTED_VALUE"""),0.0)</f>
        <v>0</v>
      </c>
      <c r="DB107" s="688">
        <f>IFERROR(__xludf.DUMMYFUNCTION("""COMPUTED_VALUE"""),0.0)</f>
        <v>0</v>
      </c>
      <c r="DC107" s="673" t="str">
        <f>IFERROR(__xludf.DUMMYFUNCTION("""COMPUTED_VALUE"""),"-")</f>
        <v>-</v>
      </c>
      <c r="DD107" s="673" t="str">
        <f>IFERROR(__xludf.DUMMYFUNCTION("""COMPUTED_VALUE"""),"-")</f>
        <v>-</v>
      </c>
      <c r="DE107" s="139" t="str">
        <f>IFERROR(__xludf.DUMMYFUNCTION("""COMPUTED_VALUE"""),"-")</f>
        <v>-</v>
      </c>
      <c r="DF107" s="139" t="str">
        <f>IFERROR(__xludf.DUMMYFUNCTION("""COMPUTED_VALUE"""),"-")</f>
        <v>-</v>
      </c>
      <c r="DG107" s="139" t="str">
        <f>IFERROR(__xludf.DUMMYFUNCTION("""COMPUTED_VALUE"""),"-")</f>
        <v>-</v>
      </c>
      <c r="DH107" s="139" t="str">
        <f>IFERROR(__xludf.DUMMYFUNCTION("""COMPUTED_VALUE"""),"-")</f>
        <v>-</v>
      </c>
      <c r="DI107" s="139" t="str">
        <f>IFERROR(__xludf.DUMMYFUNCTION("""COMPUTED_VALUE"""),"-")</f>
        <v>-</v>
      </c>
      <c r="DJ107" s="139" t="str">
        <f>IFERROR(__xludf.DUMMYFUNCTION("""COMPUTED_VALUE"""),"-")</f>
        <v>-</v>
      </c>
    </row>
    <row r="108">
      <c r="A108" s="139" t="str">
        <f>IFERROR(__xludf.DUMMYFUNCTION("""COMPUTED_VALUE"""),"ふつうの軽音部")</f>
        <v>ふつうの軽音部</v>
      </c>
      <c r="B108" s="139" t="str">
        <f>IFERROR(__xludf.DUMMYFUNCTION("""COMPUTED_VALUE"""),"ひたむきギタリスト 鳩野 ちひろ")</f>
        <v>ひたむきギタリスト 鳩野 ちひろ</v>
      </c>
      <c r="C108" s="139" t="str">
        <f>IFERROR(__xludf.DUMMYFUNCTION("""COMPUTED_VALUE"""),"chara_hut_00001")</f>
        <v>chara_hut_00001</v>
      </c>
      <c r="D108" s="139" t="str">
        <f>IFERROR(__xludf.DUMMYFUNCTION("""COMPUTED_VALUE"""),"PremiumUR")</f>
        <v>PremiumUR</v>
      </c>
      <c r="E108" s="139" t="str">
        <f>IFERROR(__xludf.DUMMYFUNCTION("""COMPUTED_VALUE"""),"緑")</f>
        <v>緑</v>
      </c>
      <c r="F108" s="139" t="str">
        <f>IFERROR(__xludf.DUMMYFUNCTION("""COMPUTED_VALUE"""),"ディフェンス")</f>
        <v>ディフェンス</v>
      </c>
      <c r="G108" s="139" t="str">
        <f>IFERROR(__xludf.DUMMYFUNCTION("""COMPUTED_VALUE"""),"近距離")</f>
        <v>近距離</v>
      </c>
      <c r="H108" s="139" t="str">
        <f>IFERROR(__xludf.DUMMYFUNCTION("""COMPUTED_VALUE"""),"dageki_1")</f>
        <v>dageki_1</v>
      </c>
      <c r="I108" s="139" t="str">
        <f>IFERROR(__xludf.DUMMYFUNCTION("""COMPUTED_VALUE"""),"dageki_1")</f>
        <v>dageki_1</v>
      </c>
      <c r="J108" s="139" t="str">
        <f>IFERROR(__xludf.DUMMYFUNCTION("""COMPUTED_VALUE"""),"202603010_ふつうの軽音部")</f>
        <v>202603010_ふつうの軽音部</v>
      </c>
      <c r="K108" s="139" t="str">
        <f>IFERROR(__xludf.DUMMYFUNCTION("""COMPUTED_VALUE"""),"ふつうの軽音部 いいジャン祭")</f>
        <v>ふつうの軽音部 いいジャン祭</v>
      </c>
      <c r="L108" s="687" t="str">
        <f>IFERROR(__xludf.DUMMYFUNCTION("""COMPUTED_VALUE"""),"※")</f>
        <v>※</v>
      </c>
      <c r="M108" s="674">
        <f>IFERROR(__xludf.DUMMYFUNCTION("""COMPUTED_VALUE"""),850.0)</f>
        <v>850</v>
      </c>
      <c r="N108" s="139">
        <f>IFERROR(__xludf.DUMMYFUNCTION("""COMPUTED_VALUE"""),1000.0)</f>
        <v>1000</v>
      </c>
      <c r="O108" s="139" t="str">
        <f>IFERROR(__xludf.DUMMYFUNCTION("""COMPUTED_VALUE"""),"高コスト")</f>
        <v>高コスト</v>
      </c>
      <c r="P108" s="139">
        <f>IFERROR(__xludf.DUMMYFUNCTION("""COMPUTED_VALUE"""),-230.0)</f>
        <v>-230</v>
      </c>
      <c r="Q108" s="675">
        <f>IFERROR(__xludf.DUMMYFUNCTION("""COMPUTED_VALUE"""),30.0)</f>
        <v>30</v>
      </c>
      <c r="R108" s="675">
        <f>IFERROR(__xludf.DUMMYFUNCTION("""COMPUTED_VALUE"""),50.0)</f>
        <v>50</v>
      </c>
      <c r="S108" s="675">
        <f>IFERROR(__xludf.DUMMYFUNCTION("""COMPUTED_VALUE"""),18.75)</f>
        <v>18.75</v>
      </c>
      <c r="T108" s="674">
        <f>IFERROR(__xludf.DUMMYFUNCTION("""COMPUTED_VALUE"""),1615.0)</f>
        <v>1615</v>
      </c>
      <c r="U108" s="675">
        <f>IFERROR(__xludf.DUMMYFUNCTION("""COMPUTED_VALUE"""),32.30666666666667)</f>
        <v>32.30666667</v>
      </c>
      <c r="V108" s="675">
        <f>IFERROR(__xludf.DUMMYFUNCTION("""COMPUTED_VALUE"""),0.0)</f>
        <v>0</v>
      </c>
      <c r="W108" s="675">
        <f>IFERROR(__xludf.DUMMYFUNCTION("""COMPUTED_VALUE"""),0.0)</f>
        <v>0</v>
      </c>
      <c r="X108" s="675">
        <f>IFERROR(__xludf.DUMMYFUNCTION("""COMPUTED_VALUE"""),0.0)</f>
        <v>0</v>
      </c>
      <c r="Y108" s="674">
        <f>IFERROR(__xludf.DUMMYFUNCTION("""COMPUTED_VALUE"""),905.0)</f>
        <v>905</v>
      </c>
      <c r="Z108" s="675">
        <f>IFERROR(__xludf.DUMMYFUNCTION("""COMPUTED_VALUE"""),18.09333333333333)</f>
        <v>18.09333333</v>
      </c>
      <c r="AA108" s="675">
        <f>IFERROR(__xludf.DUMMYFUNCTION("""COMPUTED_VALUE"""),0.0)</f>
        <v>0</v>
      </c>
      <c r="AB108" s="673">
        <f>IFERROR(__xludf.DUMMYFUNCTION("""COMPUTED_VALUE"""),0.0)</f>
        <v>0</v>
      </c>
      <c r="AC108" s="675">
        <f>IFERROR(__xludf.DUMMYFUNCTION("""COMPUTED_VALUE"""),0.0)</f>
        <v>0</v>
      </c>
      <c r="AD108" s="674">
        <f>IFERROR(__xludf.DUMMYFUNCTION("""COMPUTED_VALUE"""),1625.0)</f>
        <v>1625</v>
      </c>
      <c r="AE108" s="675">
        <f>IFERROR(__xludf.DUMMYFUNCTION("""COMPUTED_VALUE"""),32.45271707595506)</f>
        <v>32.45271708</v>
      </c>
      <c r="AF108" s="675">
        <f>IFERROR(__xludf.DUMMYFUNCTION("""COMPUTED_VALUE"""),0.0)</f>
        <v>0</v>
      </c>
      <c r="AG108" s="675">
        <f>IFERROR(__xludf.DUMMYFUNCTION("""COMPUTED_VALUE"""),15.0)</f>
        <v>15</v>
      </c>
      <c r="AH108" s="675">
        <f>IFERROR(__xludf.DUMMYFUNCTION("""COMPUTED_VALUE"""),-4.363179268988765)</f>
        <v>-4.363179269</v>
      </c>
      <c r="AI108" s="675">
        <f>IFERROR(__xludf.DUMMYFUNCTION("""COMPUTED_VALUE"""),0.0)</f>
        <v>0</v>
      </c>
      <c r="AJ108" s="675">
        <f>IFERROR(__xludf.DUMMYFUNCTION("""COMPUTED_VALUE"""),32.45271707595506)</f>
        <v>32.45271708</v>
      </c>
      <c r="AK108" s="139">
        <f>IFERROR(__xludf.DUMMYFUNCTION("""COMPUTED_VALUE"""),1.0)</f>
        <v>1</v>
      </c>
      <c r="AL108" s="674">
        <f>IFERROR(__xludf.DUMMYFUNCTION("""COMPUTED_VALUE"""),4720.0)</f>
        <v>4720</v>
      </c>
      <c r="AM108" s="688">
        <f>IFERROR(__xludf.DUMMYFUNCTION("""COMPUTED_VALUE"""),38577.092723009424)</f>
        <v>38577.09272</v>
      </c>
      <c r="AN108" s="675">
        <f>IFERROR(__xludf.DUMMYFUNCTION("""COMPUTED_VALUE"""),31.466666666666665)</f>
        <v>31.46666667</v>
      </c>
      <c r="AO108" s="675">
        <f>IFERROR(__xludf.DUMMYFUNCTION("""COMPUTED_VALUE"""),15.733333333333333)</f>
        <v>15.73333333</v>
      </c>
      <c r="AP108" s="674">
        <f>IFERROR(__xludf.DUMMYFUNCTION("""COMPUTED_VALUE"""),2550.0)</f>
        <v>2550</v>
      </c>
      <c r="AQ108" s="673">
        <f>IFERROR(__xludf.DUMMYFUNCTION("""COMPUTED_VALUE"""),0.9)</f>
        <v>0.9</v>
      </c>
      <c r="AR108" s="673">
        <f>IFERROR(__xludf.DUMMYFUNCTION("""COMPUTED_VALUE"""),0.0)</f>
        <v>0</v>
      </c>
      <c r="AS108" s="673">
        <f>IFERROR(__xludf.DUMMYFUNCTION("""COMPUTED_VALUE"""),0.1)</f>
        <v>0.1</v>
      </c>
      <c r="AT108" s="673">
        <f>IFERROR(__xludf.DUMMYFUNCTION("""COMPUTED_VALUE"""),-0.25)</f>
        <v>-0.25</v>
      </c>
      <c r="AU108" s="673">
        <f>IFERROR(__xludf.DUMMYFUNCTION("""COMPUTED_VALUE"""),0.1)</f>
        <v>0.1</v>
      </c>
      <c r="AV108" s="675">
        <f>IFERROR(__xludf.DUMMYFUNCTION("""COMPUTED_VALUE"""),0.0)</f>
        <v>0</v>
      </c>
      <c r="AW108" s="139"/>
      <c r="AX108" s="674">
        <f>IFERROR(__xludf.DUMMYFUNCTION("""COMPUTED_VALUE"""),2880.0)</f>
        <v>2880</v>
      </c>
      <c r="AY108" s="688">
        <f>IFERROR(__xludf.DUMMYFUNCTION("""COMPUTED_VALUE"""),23538.040983531173)</f>
        <v>23538.04098</v>
      </c>
      <c r="AZ108" s="674">
        <f>IFERROR(__xludf.DUMMYFUNCTION("""COMPUTED_VALUE"""),960.0)</f>
        <v>960</v>
      </c>
      <c r="BA108" s="688">
        <f>IFERROR(__xludf.DUMMYFUNCTION("""COMPUTED_VALUE"""),7846.013661177058)</f>
        <v>7846.013661</v>
      </c>
      <c r="BB108" s="688">
        <f>IFERROR(__xludf.DUMMYFUNCTION("""COMPUTED_VALUE"""),9022.915710353616)</f>
        <v>9022.91571</v>
      </c>
      <c r="BC108" s="688" t="str">
        <f>IFERROR(__xludf.DUMMYFUNCTION("""COMPUTED_VALUE"""),"#VALUE!")</f>
        <v>#VALUE!</v>
      </c>
      <c r="BD108" s="688" t="str">
        <f>IFERROR(__xludf.DUMMYFUNCTION("""COMPUTED_VALUE"""),"#VALUE!")</f>
        <v>#VALUE!</v>
      </c>
      <c r="BE108" s="674">
        <f>IFERROR(__xludf.DUMMYFUNCTION("""COMPUTED_VALUE"""),960.0)</f>
        <v>960</v>
      </c>
      <c r="BF108" s="674">
        <f>IFERROR(__xludf.DUMMYFUNCTION("""COMPUTED_VALUE"""),1700.0)</f>
        <v>1700</v>
      </c>
      <c r="BG108" s="673">
        <f>IFERROR(__xludf.DUMMYFUNCTION("""COMPUTED_VALUE"""),0.25)</f>
        <v>0.25</v>
      </c>
      <c r="BH108" s="673">
        <f>IFERROR(__xludf.DUMMYFUNCTION("""COMPUTED_VALUE"""),-0.5)</f>
        <v>-0.5</v>
      </c>
      <c r="BI108" s="673">
        <f>IFERROR(__xludf.DUMMYFUNCTION("""COMPUTED_VALUE"""),0.0)</f>
        <v>0</v>
      </c>
      <c r="BJ108" s="673">
        <f>IFERROR(__xludf.DUMMYFUNCTION("""COMPUTED_VALUE"""),0.0)</f>
        <v>0</v>
      </c>
      <c r="BK108" s="673">
        <f>IFERROR(__xludf.DUMMYFUNCTION("""COMPUTED_VALUE"""),0.0)</f>
        <v>0</v>
      </c>
      <c r="BL108" s="673">
        <f>IFERROR(__xludf.DUMMYFUNCTION("""COMPUTED_VALUE"""),0.0)</f>
        <v>0</v>
      </c>
      <c r="BM108" s="674">
        <f>IFERROR(__xludf.DUMMYFUNCTION("""COMPUTED_VALUE"""),150.0)</f>
        <v>150</v>
      </c>
      <c r="BN108" s="674">
        <f>IFERROR(__xludf.DUMMYFUNCTION("""COMPUTED_VALUE"""),100.0)</f>
        <v>100</v>
      </c>
      <c r="BO108" s="675">
        <f>IFERROR(__xludf.DUMMYFUNCTION("""COMPUTED_VALUE"""),50.0)</f>
        <v>50</v>
      </c>
      <c r="BP108" s="675">
        <f>IFERROR(__xludf.DUMMYFUNCTION("""COMPUTED_VALUE"""),3.0)</f>
        <v>3</v>
      </c>
      <c r="BQ108" s="139" t="str">
        <f>IFERROR(__xludf.DUMMYFUNCTION("""COMPUTED_VALUE"""),"(近距離)武器・道具・特殊攻撃")</f>
        <v>(近距離)武器・道具・特殊攻撃</v>
      </c>
      <c r="BR108" s="139">
        <f>IFERROR(__xludf.DUMMYFUNCTION("""COMPUTED_VALUE"""),1.0)</f>
        <v>1</v>
      </c>
      <c r="BS108" s="139">
        <f>IFERROR(__xludf.DUMMYFUNCTION("""COMPUTED_VALUE"""),40.0)</f>
        <v>40</v>
      </c>
      <c r="BT108" s="139">
        <f>IFERROR(__xludf.DUMMYFUNCTION("""COMPUTED_VALUE"""),0.21)</f>
        <v>0.21</v>
      </c>
      <c r="BU108" s="139">
        <f>IFERROR(__xludf.DUMMYFUNCTION("""COMPUTED_VALUE"""),0.0)</f>
        <v>0</v>
      </c>
      <c r="BV108" s="139" t="str">
        <f>IFERROR(__xludf.DUMMYFUNCTION("""COMPUTED_VALUE"""),"普通-速い")</f>
        <v>普通-速い</v>
      </c>
      <c r="BW108" s="139" t="str">
        <f>IFERROR(__xludf.DUMMYFUNCTION("""COMPUTED_VALUE"""),"体力条件強化(以上/被ダメカット)")</f>
        <v>体力条件強化(以上/被ダメカット)</v>
      </c>
      <c r="BX108" s="139" t="str">
        <f>IFERROR(__xludf.DUMMYFUNCTION("""COMPUTED_VALUE"""),"HP30/25")</f>
        <v>HP30/25</v>
      </c>
      <c r="BY108" s="139">
        <f>IFERROR(__xludf.DUMMYFUNCTION("""COMPUTED_VALUE"""),0.0)</f>
        <v>0</v>
      </c>
      <c r="BZ108" s="139" t="str">
        <f>IFERROR(__xludf.DUMMYFUNCTION("""COMPUTED_VALUE"""),"根性")</f>
        <v>根性</v>
      </c>
      <c r="CA108" s="139">
        <f>IFERROR(__xludf.DUMMYFUNCTION("""COMPUTED_VALUE"""),1.0)</f>
        <v>1</v>
      </c>
      <c r="CB108" s="139">
        <f>IFERROR(__xludf.DUMMYFUNCTION("""COMPUTED_VALUE"""),4.0)</f>
        <v>4</v>
      </c>
      <c r="CC108" s="139" t="str">
        <f>IFERROR(__xludf.DUMMYFUNCTION("""COMPUTED_VALUE"""),"近距離")</f>
        <v>近距離</v>
      </c>
      <c r="CD108" s="139" t="str">
        <f>IFERROR(__xludf.DUMMYFUNCTION("""COMPUTED_VALUE"""),"範囲(小)")</f>
        <v>範囲(小)</v>
      </c>
      <c r="CE108" s="139">
        <f>IFERROR(__xludf.DUMMYFUNCTION("""COMPUTED_VALUE"""),0.75)</f>
        <v>0.75</v>
      </c>
      <c r="CF108" s="139">
        <f>IFERROR(__xludf.DUMMYFUNCTION("""COMPUTED_VALUE"""),0.32)</f>
        <v>0.32</v>
      </c>
      <c r="CG108" s="139" t="str">
        <f>IFERROR(__xludf.DUMMYFUNCTION("""COMPUTED_VALUE"""),"近距離")</f>
        <v>近距離</v>
      </c>
      <c r="CH108" s="139" t="str">
        <f>IFERROR(__xludf.DUMMYFUNCTION("""COMPUTED_VALUE"""),"範囲(中)")</f>
        <v>範囲(中)</v>
      </c>
      <c r="CI108" s="139">
        <f>IFERROR(__xludf.DUMMYFUNCTION("""COMPUTED_VALUE"""),0.65)</f>
        <v>0.65</v>
      </c>
      <c r="CJ108" s="139">
        <f>IFERROR(__xludf.DUMMYFUNCTION("""COMPUTED_VALUE"""),0.42)</f>
        <v>0.42</v>
      </c>
      <c r="CK108" s="139"/>
      <c r="CL108" s="139"/>
      <c r="CM108" s="139"/>
      <c r="CN108" s="675">
        <f>IFERROR(__xludf.DUMMYFUNCTION("""COMPUTED_VALUE"""),32.45271707595506)</f>
        <v>32.45271708</v>
      </c>
      <c r="CO108" s="139" t="str">
        <f>IFERROR(__xludf.DUMMYFUNCTION("""COMPUTED_VALUE"""),"-")</f>
        <v>-</v>
      </c>
      <c r="CP108" s="139" t="str">
        <f>IFERROR(__xludf.DUMMYFUNCTION("""COMPUTED_VALUE"""),"-")</f>
        <v>-</v>
      </c>
      <c r="CQ108" s="139" t="str">
        <f>IFERROR(__xludf.DUMMYFUNCTION("""COMPUTED_VALUE"""),"-")</f>
        <v>-</v>
      </c>
      <c r="CR108" s="139"/>
      <c r="CS108" s="673" t="str">
        <f>IFERROR(__xludf.DUMMYFUNCTION("""COMPUTED_VALUE"""),"攻撃(必殺)")</f>
        <v>攻撃(必殺)</v>
      </c>
      <c r="CT108" s="139" t="str">
        <f>IFERROR(__xludf.DUMMYFUNCTION("""COMPUTED_VALUE"""),"-")</f>
        <v>-</v>
      </c>
      <c r="CU108" s="139" t="str">
        <f>IFERROR(__xludf.DUMMYFUNCTION("""COMPUTED_VALUE"""),"敵")</f>
        <v>敵</v>
      </c>
      <c r="CV108" s="139" t="str">
        <f>IFERROR(__xludf.DUMMYFUNCTION("""COMPUTED_VALUE"""),"All")</f>
        <v>All</v>
      </c>
      <c r="CW108" s="139" t="str">
        <f>IFERROR(__xludf.DUMMYFUNCTION("""COMPUTED_VALUE"""),"All")</f>
        <v>All</v>
      </c>
      <c r="CX108" s="674">
        <f>IFERROR(__xludf.DUMMYFUNCTION("""COMPUTED_VALUE"""),130.0)</f>
        <v>130</v>
      </c>
      <c r="CY108" s="675" t="str">
        <f>IFERROR(__xludf.DUMMYFUNCTION("""COMPUTED_VALUE"""),"-")</f>
        <v>-</v>
      </c>
      <c r="CZ108" s="688">
        <f>IFERROR(__xludf.DUMMYFUNCTION("""COMPUTED_VALUE"""),30599.0)</f>
        <v>30599</v>
      </c>
      <c r="DA108" s="688">
        <f>IFERROR(__xludf.DUMMYFUNCTION("""COMPUTED_VALUE"""),986.5305580018187)</f>
        <v>986.530558</v>
      </c>
      <c r="DB108" s="688">
        <f>IFERROR(__xludf.DUMMYFUNCTION("""COMPUTED_VALUE"""),4932.652790009093)</f>
        <v>4932.65279</v>
      </c>
      <c r="DC108" s="673" t="str">
        <f>IFERROR(__xludf.DUMMYFUNCTION("""COMPUTED_VALUE"""),"ノックバック")</f>
        <v>ノックバック</v>
      </c>
      <c r="DD108" s="673">
        <f>IFERROR(__xludf.DUMMYFUNCTION("""COMPUTED_VALUE"""),2.0)</f>
        <v>2</v>
      </c>
      <c r="DE108" s="139" t="str">
        <f>IFERROR(__xludf.DUMMYFUNCTION("""COMPUTED_VALUE"""),"-")</f>
        <v>-</v>
      </c>
      <c r="DF108" s="139" t="str">
        <f>IFERROR(__xludf.DUMMYFUNCTION("""COMPUTED_VALUE"""),"-")</f>
        <v>-</v>
      </c>
      <c r="DG108" s="139" t="str">
        <f>IFERROR(__xludf.DUMMYFUNCTION("""COMPUTED_VALUE"""),"-")</f>
        <v>-</v>
      </c>
      <c r="DH108" s="139" t="str">
        <f>IFERROR(__xludf.DUMMYFUNCTION("""COMPUTED_VALUE"""),"-")</f>
        <v>-</v>
      </c>
      <c r="DI108" s="139" t="str">
        <f>IFERROR(__xludf.DUMMYFUNCTION("""COMPUTED_VALUE"""),"-")</f>
        <v>-</v>
      </c>
      <c r="DJ108" s="139" t="str">
        <f>IFERROR(__xludf.DUMMYFUNCTION("""COMPUTED_VALUE"""),"-")</f>
        <v>-</v>
      </c>
    </row>
    <row r="109">
      <c r="A109" s="139" t="str">
        <f>IFERROR(__xludf.DUMMYFUNCTION("""COMPUTED_VALUE"""),"ふつうの軽音部")</f>
        <v>ふつうの軽音部</v>
      </c>
      <c r="B109" s="139" t="str">
        <f>IFERROR(__xludf.DUMMYFUNCTION("""COMPUTED_VALUE"""),"内田 桃")</f>
        <v>内田 桃</v>
      </c>
      <c r="C109" s="139" t="str">
        <f>IFERROR(__xludf.DUMMYFUNCTION("""COMPUTED_VALUE"""),"chara_hut_00201")</f>
        <v>chara_hut_00201</v>
      </c>
      <c r="D109" s="139" t="str">
        <f>IFERROR(__xludf.DUMMYFUNCTION("""COMPUTED_VALUE"""),"DropSR")</f>
        <v>DropSR</v>
      </c>
      <c r="E109" s="139" t="str">
        <f>IFERROR(__xludf.DUMMYFUNCTION("""COMPUTED_VALUE"""),"黄")</f>
        <v>黄</v>
      </c>
      <c r="F109" s="139" t="str">
        <f>IFERROR(__xludf.DUMMYFUNCTION("""COMPUTED_VALUE"""),"テクニカル")</f>
        <v>テクニカル</v>
      </c>
      <c r="G109" s="139" t="str">
        <f>IFERROR(__xludf.DUMMYFUNCTION("""COMPUTED_VALUE"""),"遠距離")</f>
        <v>遠距離</v>
      </c>
      <c r="H109" s="139" t="str">
        <f>IFERROR(__xludf.DUMMYFUNCTION("""COMPUTED_VALUE"""),"dageki_1")</f>
        <v>dageki_1</v>
      </c>
      <c r="I109" s="139" t="str">
        <f>IFERROR(__xludf.DUMMYFUNCTION("""COMPUTED_VALUE"""),"dageki_1")</f>
        <v>dageki_1</v>
      </c>
      <c r="J109" s="139" t="str">
        <f>IFERROR(__xludf.DUMMYFUNCTION("""COMPUTED_VALUE"""),"202603010_ふつうの軽音部")</f>
        <v>202603010_ふつうの軽音部</v>
      </c>
      <c r="K109" s="139" t="str">
        <f>IFERROR(__xludf.DUMMYFUNCTION("""COMPUTED_VALUE"""),"ふつうの軽音部 いいジャン祭")</f>
        <v>ふつうの軽音部 いいジャン祭</v>
      </c>
      <c r="L109" s="687" t="str">
        <f>IFERROR(__xludf.DUMMYFUNCTION("""COMPUTED_VALUE"""),"※")</f>
        <v>※</v>
      </c>
      <c r="M109" s="674">
        <f>IFERROR(__xludf.DUMMYFUNCTION("""COMPUTED_VALUE"""),620.0)</f>
        <v>620</v>
      </c>
      <c r="N109" s="139">
        <f>IFERROR(__xludf.DUMMYFUNCTION("""COMPUTED_VALUE"""),600.0)</f>
        <v>600</v>
      </c>
      <c r="O109" s="139" t="str">
        <f>IFERROR(__xludf.DUMMYFUNCTION("""COMPUTED_VALUE"""),"中コスト")</f>
        <v>中コスト</v>
      </c>
      <c r="P109" s="675">
        <f>IFERROR(__xludf.DUMMYFUNCTION("""COMPUTED_VALUE"""),-15.0)</f>
        <v>-15</v>
      </c>
      <c r="Q109" s="675">
        <f>IFERROR(__xludf.DUMMYFUNCTION("""COMPUTED_VALUE"""),25.0)</f>
        <v>25</v>
      </c>
      <c r="R109" s="675">
        <f>IFERROR(__xludf.DUMMYFUNCTION("""COMPUTED_VALUE"""),10.0)</f>
        <v>10</v>
      </c>
      <c r="S109" s="675">
        <f>IFERROR(__xludf.DUMMYFUNCTION("""COMPUTED_VALUE"""),13.0)</f>
        <v>13</v>
      </c>
      <c r="T109" s="674">
        <f>IFERROR(__xludf.DUMMYFUNCTION("""COMPUTED_VALUE"""),270.0)</f>
        <v>270</v>
      </c>
      <c r="U109" s="675">
        <f>IFERROR(__xludf.DUMMYFUNCTION("""COMPUTED_VALUE"""),5.426666666666668)</f>
        <v>5.426666667</v>
      </c>
      <c r="V109" s="675">
        <f>IFERROR(__xludf.DUMMYFUNCTION("""COMPUTED_VALUE"""),0.0)</f>
        <v>0</v>
      </c>
      <c r="W109" s="675">
        <f>IFERROR(__xludf.DUMMYFUNCTION("""COMPUTED_VALUE"""),0.0)</f>
        <v>0</v>
      </c>
      <c r="X109" s="675">
        <f>IFERROR(__xludf.DUMMYFUNCTION("""COMPUTED_VALUE"""),0.0)</f>
        <v>0</v>
      </c>
      <c r="Y109" s="674">
        <f>IFERROR(__xludf.DUMMYFUNCTION("""COMPUTED_VALUE"""),240.0)</f>
        <v>240</v>
      </c>
      <c r="Z109" s="675">
        <f>IFERROR(__xludf.DUMMYFUNCTION("""COMPUTED_VALUE"""),4.836666666666666)</f>
        <v>4.836666667</v>
      </c>
      <c r="AA109" s="675">
        <f>IFERROR(__xludf.DUMMYFUNCTION("""COMPUTED_VALUE"""),2.0)</f>
        <v>2</v>
      </c>
      <c r="AB109" s="673">
        <f>IFERROR(__xludf.DUMMYFUNCTION("""COMPUTED_VALUE"""),0.0)</f>
        <v>0</v>
      </c>
      <c r="AC109" s="675">
        <f>IFERROR(__xludf.DUMMYFUNCTION("""COMPUTED_VALUE"""),0.0)</f>
        <v>0</v>
      </c>
      <c r="AD109" s="674">
        <f>IFERROR(__xludf.DUMMYFUNCTION("""COMPUTED_VALUE"""),1975.0)</f>
        <v>1975</v>
      </c>
      <c r="AE109" s="675">
        <f>IFERROR(__xludf.DUMMYFUNCTION("""COMPUTED_VALUE"""),39.548569065994464)</f>
        <v>39.54856907</v>
      </c>
      <c r="AF109" s="675">
        <f>IFERROR(__xludf.DUMMYFUNCTION("""COMPUTED_VALUE"""),21.0)</f>
        <v>21</v>
      </c>
      <c r="AG109" s="675">
        <f>IFERROR(__xludf.DUMMYFUNCTION("""COMPUTED_VALUE"""),11.63809392555248)</f>
        <v>11.63809393</v>
      </c>
      <c r="AH109" s="675">
        <f>IFERROR(__xludf.DUMMYFUNCTION("""COMPUTED_VALUE"""),-1.7276187851104963)</f>
        <v>-1.727618785</v>
      </c>
      <c r="AI109" s="675">
        <f>IFERROR(__xludf.DUMMYFUNCTION("""COMPUTED_VALUE"""),1.0)</f>
        <v>1</v>
      </c>
      <c r="AJ109" s="675">
        <f>IFERROR(__xludf.DUMMYFUNCTION("""COMPUTED_VALUE"""),38.548569065994464)</f>
        <v>38.54856907</v>
      </c>
      <c r="AK109" s="139">
        <f>IFERROR(__xludf.DUMMYFUNCTION("""COMPUTED_VALUE"""),1.0)</f>
        <v>1</v>
      </c>
      <c r="AL109" s="674">
        <f>IFERROR(__xludf.DUMMYFUNCTION("""COMPUTED_VALUE"""),740.0)</f>
        <v>740</v>
      </c>
      <c r="AM109" s="688">
        <f>IFERROR(__xludf.DUMMYFUNCTION("""COMPUTED_VALUE"""),5114.560808268427)</f>
        <v>5114.560808</v>
      </c>
      <c r="AN109" s="675">
        <f>IFERROR(__xludf.DUMMYFUNCTION("""COMPUTED_VALUE"""),4.933333333333334)</f>
        <v>4.933333333</v>
      </c>
      <c r="AO109" s="675">
        <f>IFERROR(__xludf.DUMMYFUNCTION("""COMPUTED_VALUE"""),2.466666666666667)</f>
        <v>2.466666667</v>
      </c>
      <c r="AP109" s="674">
        <f>IFERROR(__xludf.DUMMYFUNCTION("""COMPUTED_VALUE"""),1860.0)</f>
        <v>1860</v>
      </c>
      <c r="AQ109" s="673">
        <f>IFERROR(__xludf.DUMMYFUNCTION("""COMPUTED_VALUE"""),-0.3)</f>
        <v>-0.3</v>
      </c>
      <c r="AR109" s="673">
        <f>IFERROR(__xludf.DUMMYFUNCTION("""COMPUTED_VALUE"""),-1.0)</f>
        <v>-1</v>
      </c>
      <c r="AS109" s="673">
        <f>IFERROR(__xludf.DUMMYFUNCTION("""COMPUTED_VALUE"""),-0.3)</f>
        <v>-0.3</v>
      </c>
      <c r="AT109" s="673">
        <f>IFERROR(__xludf.DUMMYFUNCTION("""COMPUTED_VALUE"""),1.0)</f>
        <v>1</v>
      </c>
      <c r="AU109" s="673">
        <f>IFERROR(__xludf.DUMMYFUNCTION("""COMPUTED_VALUE"""),0.0)</f>
        <v>0</v>
      </c>
      <c r="AV109" s="673">
        <f>IFERROR(__xludf.DUMMYFUNCTION("""COMPUTED_VALUE"""),0.0)</f>
        <v>0</v>
      </c>
      <c r="AW109" s="139"/>
      <c r="AX109" s="674">
        <f>IFERROR(__xludf.DUMMYFUNCTION("""COMPUTED_VALUE"""),4080.0)</f>
        <v>4080</v>
      </c>
      <c r="AY109" s="688">
        <f>IFERROR(__xludf.DUMMYFUNCTION("""COMPUTED_VALUE"""),28205.23472666917)</f>
        <v>28205.23473</v>
      </c>
      <c r="AZ109" s="674">
        <f>IFERROR(__xludf.DUMMYFUNCTION("""COMPUTED_VALUE"""),1360.0)</f>
        <v>1360</v>
      </c>
      <c r="BA109" s="688">
        <f>IFERROR(__xludf.DUMMYFUNCTION("""COMPUTED_VALUE"""),9401.744908889723)</f>
        <v>9401.744909</v>
      </c>
      <c r="BB109" s="688" t="str">
        <f>IFERROR(__xludf.DUMMYFUNCTION("""COMPUTED_VALUE"""),"-")</f>
        <v>-</v>
      </c>
      <c r="BC109" s="688" t="str">
        <f>IFERROR(__xludf.DUMMYFUNCTION("""COMPUTED_VALUE"""),"#VALUE!")</f>
        <v>#VALUE!</v>
      </c>
      <c r="BD109" s="688" t="str">
        <f>IFERROR(__xludf.DUMMYFUNCTION("""COMPUTED_VALUE"""),"#VALUE!")</f>
        <v>#VALUE!</v>
      </c>
      <c r="BE109" s="674">
        <f>IFERROR(__xludf.DUMMYFUNCTION("""COMPUTED_VALUE"""),1360.0)</f>
        <v>1360</v>
      </c>
      <c r="BF109" s="674">
        <f>IFERROR(__xludf.DUMMYFUNCTION("""COMPUTED_VALUE"""),1240.0)</f>
        <v>1240</v>
      </c>
      <c r="BG109" s="673">
        <f>IFERROR(__xludf.DUMMYFUNCTION("""COMPUTED_VALUE"""),-1.0)</f>
        <v>-1</v>
      </c>
      <c r="BH109" s="673">
        <f>IFERROR(__xludf.DUMMYFUNCTION("""COMPUTED_VALUE"""),0.1)</f>
        <v>0.1</v>
      </c>
      <c r="BI109" s="673">
        <f>IFERROR(__xludf.DUMMYFUNCTION("""COMPUTED_VALUE"""),0.0)</f>
        <v>0</v>
      </c>
      <c r="BJ109" s="673">
        <f>IFERROR(__xludf.DUMMYFUNCTION("""COMPUTED_VALUE"""),0.0)</f>
        <v>0</v>
      </c>
      <c r="BK109" s="673">
        <f>IFERROR(__xludf.DUMMYFUNCTION("""COMPUTED_VALUE"""),1.0)</f>
        <v>1</v>
      </c>
      <c r="BL109" s="673">
        <f>IFERROR(__xludf.DUMMYFUNCTION("""COMPUTED_VALUE"""),0.0)</f>
        <v>0</v>
      </c>
      <c r="BM109" s="674">
        <f>IFERROR(__xludf.DUMMYFUNCTION("""COMPUTED_VALUE"""),150.0)</f>
        <v>150</v>
      </c>
      <c r="BN109" s="674">
        <f>IFERROR(__xludf.DUMMYFUNCTION("""COMPUTED_VALUE"""),150.0)</f>
        <v>150</v>
      </c>
      <c r="BO109" s="675">
        <f>IFERROR(__xludf.DUMMYFUNCTION("""COMPUTED_VALUE"""),0.0)</f>
        <v>0</v>
      </c>
      <c r="BP109" s="675">
        <f>IFERROR(__xludf.DUMMYFUNCTION("""COMPUTED_VALUE"""),3.0)</f>
        <v>3</v>
      </c>
      <c r="BQ109" s="139" t="str">
        <f>IFERROR(__xludf.DUMMYFUNCTION("""COMPUTED_VALUE"""),"(遠距離)攻撃を飛ばす系")</f>
        <v>(遠距離)攻撃を飛ばす系</v>
      </c>
      <c r="BR109" s="139">
        <f>IFERROR(__xludf.DUMMYFUNCTION("""COMPUTED_VALUE"""),3.0)</f>
        <v>3</v>
      </c>
      <c r="BS109" s="139">
        <f>IFERROR(__xludf.DUMMYFUNCTION("""COMPUTED_VALUE"""),35.0)</f>
        <v>35</v>
      </c>
      <c r="BT109" s="139">
        <f>IFERROR(__xludf.DUMMYFUNCTION("""COMPUTED_VALUE"""),0.61)</f>
        <v>0.61</v>
      </c>
      <c r="BU109" s="139">
        <f>IFERROR(__xludf.DUMMYFUNCTION("""COMPUTED_VALUE"""),0.0)</f>
        <v>0</v>
      </c>
      <c r="BV109" s="139" t="str">
        <f>IFERROR(__xludf.DUMMYFUNCTION("""COMPUTED_VALUE"""),"普通")</f>
        <v>普通</v>
      </c>
      <c r="BW109" s="139" t="str">
        <f>IFERROR(__xludf.DUMMYFUNCTION("""COMPUTED_VALUE"""),"ダメージコマ無効化")</f>
        <v>ダメージコマ無効化</v>
      </c>
      <c r="BX109" s="139" t="str">
        <f>IFERROR(__xludf.DUMMYFUNCTION("""COMPUTED_VALUE"""),"-")</f>
        <v>-</v>
      </c>
      <c r="BY109" s="139">
        <f>IFERROR(__xludf.DUMMYFUNCTION("""COMPUTED_VALUE"""),2.0)</f>
        <v>2</v>
      </c>
      <c r="BZ109" s="139" t="str">
        <f>IFERROR(__xludf.DUMMYFUNCTION("""COMPUTED_VALUE"""),"-")</f>
        <v>-</v>
      </c>
      <c r="CA109" s="139" t="str">
        <f>IFERROR(__xludf.DUMMYFUNCTION("""COMPUTED_VALUE"""),"-")</f>
        <v>-</v>
      </c>
      <c r="CB109" s="139" t="str">
        <f>IFERROR(__xludf.DUMMYFUNCTION("""COMPUTED_VALUE"""),"-")</f>
        <v>-</v>
      </c>
      <c r="CC109" s="139" t="str">
        <f>IFERROR(__xludf.DUMMYFUNCTION("""COMPUTED_VALUE"""),"遠距離")</f>
        <v>遠距離</v>
      </c>
      <c r="CD109" s="139" t="str">
        <f>IFERROR(__xludf.DUMMYFUNCTION("""COMPUTED_VALUE"""),"単体")</f>
        <v>単体</v>
      </c>
      <c r="CE109" s="139">
        <f>IFERROR(__xludf.DUMMYFUNCTION("""COMPUTED_VALUE"""),1.0)</f>
        <v>1</v>
      </c>
      <c r="CF109" s="139">
        <f>IFERROR(__xludf.DUMMYFUNCTION("""COMPUTED_VALUE"""),0.62)</f>
        <v>0.62</v>
      </c>
      <c r="CG109" s="139" t="str">
        <f>IFERROR(__xludf.DUMMYFUNCTION("""COMPUTED_VALUE"""),"遠距離")</f>
        <v>遠距離</v>
      </c>
      <c r="CH109" s="139" t="str">
        <f>IFERROR(__xludf.DUMMYFUNCTION("""COMPUTED_VALUE"""),"範囲(小：威力減)")</f>
        <v>範囲(小：威力減)</v>
      </c>
      <c r="CI109" s="139">
        <f>IFERROR(__xludf.DUMMYFUNCTION("""COMPUTED_VALUE"""),0.5)</f>
        <v>0.5</v>
      </c>
      <c r="CJ109" s="139">
        <f>IFERROR(__xludf.DUMMYFUNCTION("""COMPUTED_VALUE"""),0.72)</f>
        <v>0.72</v>
      </c>
      <c r="CK109" s="139"/>
      <c r="CL109" s="139"/>
      <c r="CM109" s="139"/>
      <c r="CN109" s="675">
        <f>IFERROR(__xludf.DUMMYFUNCTION("""COMPUTED_VALUE"""),39.548569065994464)</f>
        <v>39.54856907</v>
      </c>
      <c r="CO109" s="139" t="str">
        <f>IFERROR(__xludf.DUMMYFUNCTION("""COMPUTED_VALUE"""),"-")</f>
        <v>-</v>
      </c>
      <c r="CP109" s="139" t="str">
        <f>IFERROR(__xludf.DUMMYFUNCTION("""COMPUTED_VALUE"""),"-")</f>
        <v>-</v>
      </c>
      <c r="CQ109" s="139" t="str">
        <f>IFERROR(__xludf.DUMMYFUNCTION("""COMPUTED_VALUE"""),"-")</f>
        <v>-</v>
      </c>
      <c r="CR109" s="139"/>
      <c r="CS109" s="673" t="str">
        <f>IFERROR(__xludf.DUMMYFUNCTION("""COMPUTED_VALUE"""),"連続攻撃")</f>
        <v>連続攻撃</v>
      </c>
      <c r="CT109" s="139" t="str">
        <f>IFERROR(__xludf.DUMMYFUNCTION("""COMPUTED_VALUE"""),"-")</f>
        <v>-</v>
      </c>
      <c r="CU109" s="139" t="str">
        <f>IFERROR(__xludf.DUMMYFUNCTION("""COMPUTED_VALUE"""),"敵")</f>
        <v>敵</v>
      </c>
      <c r="CV109" s="139" t="str">
        <f>IFERROR(__xludf.DUMMYFUNCTION("""COMPUTED_VALUE"""),"All")</f>
        <v>All</v>
      </c>
      <c r="CW109" s="139" t="str">
        <f>IFERROR(__xludf.DUMMYFUNCTION("""COMPUTED_VALUE"""),"All")</f>
        <v>All</v>
      </c>
      <c r="CX109" s="674">
        <f>IFERROR(__xludf.DUMMYFUNCTION("""COMPUTED_VALUE"""),87.0)</f>
        <v>87</v>
      </c>
      <c r="CY109" s="675" t="str">
        <f>IFERROR(__xludf.DUMMYFUNCTION("""COMPUTED_VALUE"""),"-")</f>
        <v>-</v>
      </c>
      <c r="CZ109" s="688">
        <f>IFERROR(__xludf.DUMMYFUNCTION("""COMPUTED_VALUE"""),24539.0)</f>
        <v>24539</v>
      </c>
      <c r="DA109" s="688">
        <f>IFERROR(__xludf.DUMMYFUNCTION("""COMPUTED_VALUE"""),680.1769085916366)</f>
        <v>680.1769086</v>
      </c>
      <c r="DB109" s="688">
        <f>IFERROR(__xludf.DUMMYFUNCTION("""COMPUTED_VALUE"""),3400.884542958183)</f>
        <v>3400.884543</v>
      </c>
      <c r="DC109" s="673" t="str">
        <f>IFERROR(__xludf.DUMMYFUNCTION("""COMPUTED_VALUE"""),"スタン")</f>
        <v>スタン</v>
      </c>
      <c r="DD109" s="673" t="str">
        <f>IFERROR(__xludf.DUMMYFUNCTION("""COMPUTED_VALUE"""),"-")</f>
        <v>-</v>
      </c>
      <c r="DE109" s="139">
        <f>IFERROR(__xludf.DUMMYFUNCTION("""COMPUTED_VALUE"""),1.0)</f>
        <v>1</v>
      </c>
      <c r="DF109" s="139" t="str">
        <f>IFERROR(__xludf.DUMMYFUNCTION("""COMPUTED_VALUE"""),"-")</f>
        <v>-</v>
      </c>
      <c r="DG109" s="139" t="str">
        <f>IFERROR(__xludf.DUMMYFUNCTION("""COMPUTED_VALUE"""),"-")</f>
        <v>-</v>
      </c>
      <c r="DH109" s="139" t="str">
        <f>IFERROR(__xludf.DUMMYFUNCTION("""COMPUTED_VALUE"""),"-")</f>
        <v>-</v>
      </c>
      <c r="DI109" s="139" t="str">
        <f>IFERROR(__xludf.DUMMYFUNCTION("""COMPUTED_VALUE"""),"-")</f>
        <v>-</v>
      </c>
      <c r="DJ109" s="139" t="str">
        <f>IFERROR(__xludf.DUMMYFUNCTION("""COMPUTED_VALUE"""),"-")</f>
        <v>-</v>
      </c>
    </row>
    <row r="110">
      <c r="A110" s="139" t="str">
        <f>IFERROR(__xludf.DUMMYFUNCTION("""COMPUTED_VALUE"""),"ふつうの軽音部")</f>
        <v>ふつうの軽音部</v>
      </c>
      <c r="B110" s="139" t="str">
        <f>IFERROR(__xludf.DUMMYFUNCTION("""COMPUTED_VALUE"""),"幸山 厘")</f>
        <v>幸山 厘</v>
      </c>
      <c r="C110" s="139" t="str">
        <f>IFERROR(__xludf.DUMMYFUNCTION("""COMPUTED_VALUE"""),"chara_hut_00101")</f>
        <v>chara_hut_00101</v>
      </c>
      <c r="D110" s="139" t="str">
        <f>IFERROR(__xludf.DUMMYFUNCTION("""COMPUTED_VALUE"""),"PremiumSSR")</f>
        <v>PremiumSSR</v>
      </c>
      <c r="E110" s="139" t="str">
        <f>IFERROR(__xludf.DUMMYFUNCTION("""COMPUTED_VALUE"""),"青")</f>
        <v>青</v>
      </c>
      <c r="F110" s="139" t="str">
        <f>IFERROR(__xludf.DUMMYFUNCTION("""COMPUTED_VALUE"""),"サポート")</f>
        <v>サポート</v>
      </c>
      <c r="G110" s="139" t="str">
        <f>IFERROR(__xludf.DUMMYFUNCTION("""COMPUTED_VALUE"""),"中距離")</f>
        <v>中距離</v>
      </c>
      <c r="H110" s="139" t="str">
        <f>IFERROR(__xludf.DUMMYFUNCTION("""COMPUTED_VALUE"""),"dageki_1")</f>
        <v>dageki_1</v>
      </c>
      <c r="I110" s="139" t="str">
        <f>IFERROR(__xludf.DUMMYFUNCTION("""COMPUTED_VALUE"""),"dageki_1")</f>
        <v>dageki_1</v>
      </c>
      <c r="J110" s="139" t="str">
        <f>IFERROR(__xludf.DUMMYFUNCTION("""COMPUTED_VALUE"""),"202603010_ふつうの軽音部")</f>
        <v>202603010_ふつうの軽音部</v>
      </c>
      <c r="K110" s="139" t="str">
        <f>IFERROR(__xludf.DUMMYFUNCTION("""COMPUTED_VALUE"""),"ふつうの軽音部 いいジャン祭")</f>
        <v>ふつうの軽音部 いいジャン祭</v>
      </c>
      <c r="L110" s="687" t="str">
        <f>IFERROR(__xludf.DUMMYFUNCTION("""COMPUTED_VALUE"""),"※")</f>
        <v>※</v>
      </c>
      <c r="M110" s="674">
        <f>IFERROR(__xludf.DUMMYFUNCTION("""COMPUTED_VALUE"""),560.0)</f>
        <v>560</v>
      </c>
      <c r="N110" s="139">
        <f>IFERROR(__xludf.DUMMYFUNCTION("""COMPUTED_VALUE"""),600.0)</f>
        <v>600</v>
      </c>
      <c r="O110" s="139" t="str">
        <f>IFERROR(__xludf.DUMMYFUNCTION("""COMPUTED_VALUE"""),"中コスト")</f>
        <v>中コスト</v>
      </c>
      <c r="P110" s="139">
        <f>IFERROR(__xludf.DUMMYFUNCTION("""COMPUTED_VALUE"""),-80.0)</f>
        <v>-80</v>
      </c>
      <c r="Q110" s="675">
        <f>IFERROR(__xludf.DUMMYFUNCTION("""COMPUTED_VALUE"""),25.0)</f>
        <v>25</v>
      </c>
      <c r="R110" s="675">
        <f>IFERROR(__xludf.DUMMYFUNCTION("""COMPUTED_VALUE"""),15.0)</f>
        <v>15</v>
      </c>
      <c r="S110" s="675">
        <f>IFERROR(__xludf.DUMMYFUNCTION("""COMPUTED_VALUE"""),11.5)</f>
        <v>11.5</v>
      </c>
      <c r="T110" s="674">
        <f>IFERROR(__xludf.DUMMYFUNCTION("""COMPUTED_VALUE"""),280.0)</f>
        <v>280</v>
      </c>
      <c r="U110" s="675">
        <f>IFERROR(__xludf.DUMMYFUNCTION("""COMPUTED_VALUE"""),5.6000000000000005)</f>
        <v>5.6</v>
      </c>
      <c r="V110" s="675">
        <f>IFERROR(__xludf.DUMMYFUNCTION("""COMPUTED_VALUE"""),0.0)</f>
        <v>0</v>
      </c>
      <c r="W110" s="675">
        <f>IFERROR(__xludf.DUMMYFUNCTION("""COMPUTED_VALUE"""),-0.5599999999999999)</f>
        <v>-0.56</v>
      </c>
      <c r="X110" s="675">
        <f>IFERROR(__xludf.DUMMYFUNCTION("""COMPUTED_VALUE"""),0.0)</f>
        <v>0</v>
      </c>
      <c r="Y110" s="674">
        <f>IFERROR(__xludf.DUMMYFUNCTION("""COMPUTED_VALUE"""),145.0)</f>
        <v>145</v>
      </c>
      <c r="Z110" s="675">
        <f>IFERROR(__xludf.DUMMYFUNCTION("""COMPUTED_VALUE"""),2.94)</f>
        <v>2.94</v>
      </c>
      <c r="AA110" s="675">
        <f>IFERROR(__xludf.DUMMYFUNCTION("""COMPUTED_VALUE"""),0.0)</f>
        <v>0</v>
      </c>
      <c r="AB110" s="673">
        <f>IFERROR(__xludf.DUMMYFUNCTION("""COMPUTED_VALUE"""),-0.27999999999999997)</f>
        <v>-0.28</v>
      </c>
      <c r="AC110" s="675">
        <f>IFERROR(__xludf.DUMMYFUNCTION("""COMPUTED_VALUE"""),0.0)</f>
        <v>0</v>
      </c>
      <c r="AD110" s="674">
        <f>IFERROR(__xludf.DUMMYFUNCTION("""COMPUTED_VALUE"""),1500.0)</f>
        <v>1500</v>
      </c>
      <c r="AE110" s="675">
        <f>IFERROR(__xludf.DUMMYFUNCTION("""COMPUTED_VALUE"""),29.984564408624763)</f>
        <v>29.98456441</v>
      </c>
      <c r="AF110" s="675">
        <f>IFERROR(__xludf.DUMMYFUNCTION("""COMPUTED_VALUE"""),2.1)</f>
        <v>2.1</v>
      </c>
      <c r="AG110" s="675">
        <f>IFERROR(__xludf.DUMMYFUNCTION("""COMPUTED_VALUE"""),18.68130411674993)</f>
        <v>18.68130412</v>
      </c>
      <c r="AH110" s="675">
        <f>IFERROR(__xludf.DUMMYFUNCTION("""COMPUTED_VALUE"""),0.0)</f>
        <v>0</v>
      </c>
      <c r="AI110" s="675">
        <f>IFERROR(__xludf.DUMMYFUNCTION("""COMPUTED_VALUE"""),10.0)</f>
        <v>10</v>
      </c>
      <c r="AJ110" s="675">
        <f>IFERROR(__xludf.DUMMYFUNCTION("""COMPUTED_VALUE"""),19.984564408624763)</f>
        <v>19.98456441</v>
      </c>
      <c r="AK110" s="139">
        <f>IFERROR(__xludf.DUMMYFUNCTION("""COMPUTED_VALUE"""),1.0)</f>
        <v>1</v>
      </c>
      <c r="AL110" s="674">
        <f>IFERROR(__xludf.DUMMYFUNCTION("""COMPUTED_VALUE"""),840.0)</f>
        <v>840</v>
      </c>
      <c r="AM110" s="688">
        <f>IFERROR(__xludf.DUMMYFUNCTION("""COMPUTED_VALUE"""),6404.423620196593)</f>
        <v>6404.42362</v>
      </c>
      <c r="AN110" s="675">
        <f>IFERROR(__xludf.DUMMYFUNCTION("""COMPUTED_VALUE"""),5.6)</f>
        <v>5.6</v>
      </c>
      <c r="AO110" s="675">
        <f>IFERROR(__xludf.DUMMYFUNCTION("""COMPUTED_VALUE"""),2.8)</f>
        <v>2.8</v>
      </c>
      <c r="AP110" s="674">
        <f>IFERROR(__xludf.DUMMYFUNCTION("""COMPUTED_VALUE"""),1680.0)</f>
        <v>1680</v>
      </c>
      <c r="AQ110" s="673">
        <f>IFERROR(__xludf.DUMMYFUNCTION("""COMPUTED_VALUE"""),-0.4)</f>
        <v>-0.4</v>
      </c>
      <c r="AR110" s="673">
        <f>IFERROR(__xludf.DUMMYFUNCTION("""COMPUTED_VALUE"""),0.0)</f>
        <v>0</v>
      </c>
      <c r="AS110" s="673">
        <f>IFERROR(__xludf.DUMMYFUNCTION("""COMPUTED_VALUE"""),-0.1)</f>
        <v>-0.1</v>
      </c>
      <c r="AT110" s="673">
        <f>IFERROR(__xludf.DUMMYFUNCTION("""COMPUTED_VALUE"""),0.0)</f>
        <v>0</v>
      </c>
      <c r="AU110" s="673">
        <f>IFERROR(__xludf.DUMMYFUNCTION("""COMPUTED_VALUE"""),0.0)</f>
        <v>0</v>
      </c>
      <c r="AV110" s="673">
        <f>IFERROR(__xludf.DUMMYFUNCTION("""COMPUTED_VALUE"""),0.0)</f>
        <v>0</v>
      </c>
      <c r="AW110" s="139"/>
      <c r="AX110" s="674">
        <f>IFERROR(__xludf.DUMMYFUNCTION("""COMPUTED_VALUE"""),1400.0)</f>
        <v>1400</v>
      </c>
      <c r="AY110" s="688">
        <f>IFERROR(__xludf.DUMMYFUNCTION("""COMPUTED_VALUE"""),10674.759366994322)</f>
        <v>10674.75937</v>
      </c>
      <c r="AZ110" s="674">
        <f>IFERROR(__xludf.DUMMYFUNCTION("""COMPUTED_VALUE"""),780.0)</f>
        <v>780</v>
      </c>
      <c r="BA110" s="688">
        <f>IFERROR(__xludf.DUMMYFUNCTION("""COMPUTED_VALUE"""),5930.421870552401)</f>
        <v>5930.421871</v>
      </c>
      <c r="BB110" s="688">
        <f>IFERROR(__xludf.DUMMYFUNCTION("""COMPUTED_VALUE"""),6642.07249501869)</f>
        <v>6642.072495</v>
      </c>
      <c r="BC110" s="688" t="str">
        <f>IFERROR(__xludf.DUMMYFUNCTION("""COMPUTED_VALUE"""),"#VALUE!")</f>
        <v>#VALUE!</v>
      </c>
      <c r="BD110" s="688" t="str">
        <f>IFERROR(__xludf.DUMMYFUNCTION("""COMPUTED_VALUE"""),"#VALUE!")</f>
        <v>#VALUE!</v>
      </c>
      <c r="BE110" s="674">
        <f>IFERROR(__xludf.DUMMYFUNCTION("""COMPUTED_VALUE"""),780.0)</f>
        <v>780</v>
      </c>
      <c r="BF110" s="674">
        <f>IFERROR(__xludf.DUMMYFUNCTION("""COMPUTED_VALUE"""),1120.0)</f>
        <v>1120</v>
      </c>
      <c r="BG110" s="673">
        <f>IFERROR(__xludf.DUMMYFUNCTION("""COMPUTED_VALUE"""),0.0)</f>
        <v>0</v>
      </c>
      <c r="BH110" s="673">
        <f>IFERROR(__xludf.DUMMYFUNCTION("""COMPUTED_VALUE"""),-0.3)</f>
        <v>-0.3</v>
      </c>
      <c r="BI110" s="673">
        <f>IFERROR(__xludf.DUMMYFUNCTION("""COMPUTED_VALUE"""),0.0)</f>
        <v>0</v>
      </c>
      <c r="BJ110" s="673">
        <f>IFERROR(__xludf.DUMMYFUNCTION("""COMPUTED_VALUE"""),0.0)</f>
        <v>0</v>
      </c>
      <c r="BK110" s="673">
        <f>IFERROR(__xludf.DUMMYFUNCTION("""COMPUTED_VALUE"""),0.0)</f>
        <v>0</v>
      </c>
      <c r="BL110" s="673">
        <f>IFERROR(__xludf.DUMMYFUNCTION("""COMPUTED_VALUE"""),0.0)</f>
        <v>0</v>
      </c>
      <c r="BM110" s="674">
        <f>IFERROR(__xludf.DUMMYFUNCTION("""COMPUTED_VALUE"""),90.0)</f>
        <v>90</v>
      </c>
      <c r="BN110" s="674">
        <f>IFERROR(__xludf.DUMMYFUNCTION("""COMPUTED_VALUE"""),90.0)</f>
        <v>90</v>
      </c>
      <c r="BO110" s="675">
        <f>IFERROR(__xludf.DUMMYFUNCTION("""COMPUTED_VALUE"""),0.0)</f>
        <v>0</v>
      </c>
      <c r="BP110" s="675">
        <f>IFERROR(__xludf.DUMMYFUNCTION("""COMPUTED_VALUE"""),1.8)</f>
        <v>1.8</v>
      </c>
      <c r="BQ110" s="139" t="str">
        <f>IFERROR(__xludf.DUMMYFUNCTION("""COMPUTED_VALUE"""),"(中距離)特殊攻撃・投げ物・長物")</f>
        <v>(中距離)特殊攻撃・投げ物・長物</v>
      </c>
      <c r="BR110" s="139">
        <f>IFERROR(__xludf.DUMMYFUNCTION("""COMPUTED_VALUE"""),2.0)</f>
        <v>2</v>
      </c>
      <c r="BS110" s="139">
        <f>IFERROR(__xludf.DUMMYFUNCTION("""COMPUTED_VALUE"""),35.0)</f>
        <v>35</v>
      </c>
      <c r="BT110" s="139">
        <f>IFERROR(__xludf.DUMMYFUNCTION("""COMPUTED_VALUE"""),0.42)</f>
        <v>0.42</v>
      </c>
      <c r="BU110" s="139">
        <f>IFERROR(__xludf.DUMMYFUNCTION("""COMPUTED_VALUE"""),0.0)</f>
        <v>0</v>
      </c>
      <c r="BV110" s="139" t="str">
        <f>IFERROR(__xludf.DUMMYFUNCTION("""COMPUTED_VALUE"""),"普通")</f>
        <v>普通</v>
      </c>
      <c r="BW110" s="139" t="str">
        <f>IFERROR(__xludf.DUMMYFUNCTION("""COMPUTED_VALUE"""),"毒ダメージ軽減")</f>
        <v>毒ダメージ軽減</v>
      </c>
      <c r="BX110" s="139">
        <f>IFERROR(__xludf.DUMMYFUNCTION("""COMPUTED_VALUE"""),40.0)</f>
        <v>40</v>
      </c>
      <c r="BY110" s="139">
        <f>IFERROR(__xludf.DUMMYFUNCTION("""COMPUTED_VALUE"""),0.0)</f>
        <v>0</v>
      </c>
      <c r="BZ110" s="139" t="str">
        <f>IFERROR(__xludf.DUMMYFUNCTION("""COMPUTED_VALUE"""),"-")</f>
        <v>-</v>
      </c>
      <c r="CA110" s="139" t="str">
        <f>IFERROR(__xludf.DUMMYFUNCTION("""COMPUTED_VALUE"""),"-")</f>
        <v>-</v>
      </c>
      <c r="CB110" s="139" t="str">
        <f>IFERROR(__xludf.DUMMYFUNCTION("""COMPUTED_VALUE"""),"-")</f>
        <v>-</v>
      </c>
      <c r="CC110" s="139" t="str">
        <f>IFERROR(__xludf.DUMMYFUNCTION("""COMPUTED_VALUE"""),"中距離")</f>
        <v>中距離</v>
      </c>
      <c r="CD110" s="139" t="str">
        <f>IFERROR(__xludf.DUMMYFUNCTION("""COMPUTED_VALUE"""),"単体")</f>
        <v>単体</v>
      </c>
      <c r="CE110" s="139">
        <f>IFERROR(__xludf.DUMMYFUNCTION("""COMPUTED_VALUE"""),1.0)</f>
        <v>1</v>
      </c>
      <c r="CF110" s="139">
        <f>IFERROR(__xludf.DUMMYFUNCTION("""COMPUTED_VALUE"""),0.43)</f>
        <v>0.43</v>
      </c>
      <c r="CG110" s="139" t="str">
        <f>IFERROR(__xludf.DUMMYFUNCTION("""COMPUTED_VALUE"""),"中距離")</f>
        <v>中距離</v>
      </c>
      <c r="CH110" s="139" t="str">
        <f>IFERROR(__xludf.DUMMYFUNCTION("""COMPUTED_VALUE"""),"範囲(中)")</f>
        <v>範囲(中)</v>
      </c>
      <c r="CI110" s="139">
        <f>IFERROR(__xludf.DUMMYFUNCTION("""COMPUTED_VALUE"""),0.65)</f>
        <v>0.65</v>
      </c>
      <c r="CJ110" s="139">
        <f>IFERROR(__xludf.DUMMYFUNCTION("""COMPUTED_VALUE"""),0.63)</f>
        <v>0.63</v>
      </c>
      <c r="CK110" s="139"/>
      <c r="CL110" s="139"/>
      <c r="CM110" s="139"/>
      <c r="CN110" s="675">
        <f>IFERROR(__xludf.DUMMYFUNCTION("""COMPUTED_VALUE"""),29.984564408624763)</f>
        <v>29.98456441</v>
      </c>
      <c r="CO110" s="139" t="str">
        <f>IFERROR(__xludf.DUMMYFUNCTION("""COMPUTED_VALUE"""),"-")</f>
        <v>-</v>
      </c>
      <c r="CP110" s="139" t="str">
        <f>IFERROR(__xludf.DUMMYFUNCTION("""COMPUTED_VALUE"""),"-")</f>
        <v>-</v>
      </c>
      <c r="CQ110" s="139" t="str">
        <f>IFERROR(__xludf.DUMMYFUNCTION("""COMPUTED_VALUE"""),"-")</f>
        <v>-</v>
      </c>
      <c r="CR110" s="139"/>
      <c r="CS110" s="673" t="str">
        <f>IFERROR(__xludf.DUMMYFUNCTION("""COMPUTED_VALUE"""),"連続攻撃")</f>
        <v>連続攻撃</v>
      </c>
      <c r="CT110" s="139" t="str">
        <f>IFERROR(__xludf.DUMMYFUNCTION("""COMPUTED_VALUE"""),"-")</f>
        <v>-</v>
      </c>
      <c r="CU110" s="139" t="str">
        <f>IFERROR(__xludf.DUMMYFUNCTION("""COMPUTED_VALUE"""),"敵")</f>
        <v>敵</v>
      </c>
      <c r="CV110" s="139" t="str">
        <f>IFERROR(__xludf.DUMMYFUNCTION("""COMPUTED_VALUE"""),"All")</f>
        <v>All</v>
      </c>
      <c r="CW110" s="139" t="str">
        <f>IFERROR(__xludf.DUMMYFUNCTION("""COMPUTED_VALUE"""),"All")</f>
        <v>All</v>
      </c>
      <c r="CX110" s="674">
        <f>IFERROR(__xludf.DUMMYFUNCTION("""COMPUTED_VALUE"""),130.0)</f>
        <v>130</v>
      </c>
      <c r="CY110" s="675" t="str">
        <f>IFERROR(__xludf.DUMMYFUNCTION("""COMPUTED_VALUE"""),"-")</f>
        <v>-</v>
      </c>
      <c r="CZ110" s="688">
        <f>IFERROR(__xludf.DUMMYFUNCTION("""COMPUTED_VALUE"""),13877.0)</f>
        <v>13877</v>
      </c>
      <c r="DA110" s="688">
        <f>IFERROR(__xludf.DUMMYFUNCTION("""COMPUTED_VALUE"""),508.68567002736444)</f>
        <v>508.68567</v>
      </c>
      <c r="DB110" s="688">
        <f>IFERROR(__xludf.DUMMYFUNCTION("""COMPUTED_VALUE"""),2543.4283501368222)</f>
        <v>2543.42835</v>
      </c>
      <c r="DC110" s="673" t="str">
        <f>IFERROR(__xludf.DUMMYFUNCTION("""COMPUTED_VALUE"""),"攻撃力UP(青)")</f>
        <v>攻撃力UP(青)</v>
      </c>
      <c r="DD110" s="674">
        <f>IFERROR(__xludf.DUMMYFUNCTION("""COMPUTED_VALUE"""),12.0)</f>
        <v>12</v>
      </c>
      <c r="DE110" s="675">
        <f>IFERROR(__xludf.DUMMYFUNCTION("""COMPUTED_VALUE"""),10.0)</f>
        <v>10</v>
      </c>
      <c r="DF110" s="139" t="str">
        <f>IFERROR(__xludf.DUMMYFUNCTION("""COMPUTED_VALUE"""),"-")</f>
        <v>-</v>
      </c>
      <c r="DG110" s="139" t="str">
        <f>IFERROR(__xludf.DUMMYFUNCTION("""COMPUTED_VALUE"""),"-")</f>
        <v>-</v>
      </c>
      <c r="DH110" s="139" t="str">
        <f>IFERROR(__xludf.DUMMYFUNCTION("""COMPUTED_VALUE"""),"-")</f>
        <v>-</v>
      </c>
      <c r="DI110" s="139" t="str">
        <f>IFERROR(__xludf.DUMMYFUNCTION("""COMPUTED_VALUE"""),"-")</f>
        <v>-</v>
      </c>
      <c r="DJ110" s="139" t="str">
        <f>IFERROR(__xludf.DUMMYFUNCTION("""COMPUTED_VALUE"""),"-")</f>
        <v>-</v>
      </c>
    </row>
    <row r="111">
      <c r="A111" s="139" t="str">
        <f>IFERROR(__xludf.DUMMYFUNCTION("""COMPUTED_VALUE"""),"ふつうの軽音部")</f>
        <v>ふつうの軽音部</v>
      </c>
      <c r="B111" s="139" t="str">
        <f>IFERROR(__xludf.DUMMYFUNCTION("""COMPUTED_VALUE"""),"藤井 彩目")</f>
        <v>藤井 彩目</v>
      </c>
      <c r="C111" s="139" t="str">
        <f>IFERROR(__xludf.DUMMYFUNCTION("""COMPUTED_VALUE"""),"chara_hut_00301")</f>
        <v>chara_hut_00301</v>
      </c>
      <c r="D111" s="139" t="str">
        <f>IFERROR(__xludf.DUMMYFUNCTION("""COMPUTED_VALUE"""),"DropSR")</f>
        <v>DropSR</v>
      </c>
      <c r="E111" s="139" t="str">
        <f>IFERROR(__xludf.DUMMYFUNCTION("""COMPUTED_VALUE"""),"赤")</f>
        <v>赤</v>
      </c>
      <c r="F111" s="139" t="str">
        <f>IFERROR(__xludf.DUMMYFUNCTION("""COMPUTED_VALUE"""),"アタック")</f>
        <v>アタック</v>
      </c>
      <c r="G111" s="139" t="str">
        <f>IFERROR(__xludf.DUMMYFUNCTION("""COMPUTED_VALUE"""),"中距離")</f>
        <v>中距離</v>
      </c>
      <c r="H111" s="139" t="str">
        <f>IFERROR(__xludf.DUMMYFUNCTION("""COMPUTED_VALUE"""),"dageki_1")</f>
        <v>dageki_1</v>
      </c>
      <c r="I111" s="139" t="str">
        <f>IFERROR(__xludf.DUMMYFUNCTION("""COMPUTED_VALUE"""),"dageki_1")</f>
        <v>dageki_1</v>
      </c>
      <c r="J111" s="139" t="str">
        <f>IFERROR(__xludf.DUMMYFUNCTION("""COMPUTED_VALUE"""),"202603010_ふつうの軽音部")</f>
        <v>202603010_ふつうの軽音部</v>
      </c>
      <c r="K111" s="139" t="str">
        <f>IFERROR(__xludf.DUMMYFUNCTION("""COMPUTED_VALUE"""),"ふつうの軽音部 いいジャン祭")</f>
        <v>ふつうの軽音部 いいジャン祭</v>
      </c>
      <c r="L111" s="687" t="str">
        <f>IFERROR(__xludf.DUMMYFUNCTION("""COMPUTED_VALUE"""),"※")</f>
        <v>※</v>
      </c>
      <c r="M111" s="674">
        <f>IFERROR(__xludf.DUMMYFUNCTION("""COMPUTED_VALUE"""),700.0)</f>
        <v>700</v>
      </c>
      <c r="N111" s="139">
        <f>IFERROR(__xludf.DUMMYFUNCTION("""COMPUTED_VALUE"""),600.0)</f>
        <v>600</v>
      </c>
      <c r="O111" s="139" t="str">
        <f>IFERROR(__xludf.DUMMYFUNCTION("""COMPUTED_VALUE"""),"中コスト")</f>
        <v>中コスト</v>
      </c>
      <c r="P111" s="139">
        <f>IFERROR(__xludf.DUMMYFUNCTION("""COMPUTED_VALUE"""),75.0)</f>
        <v>75</v>
      </c>
      <c r="Q111" s="675">
        <f>IFERROR(__xludf.DUMMYFUNCTION("""COMPUTED_VALUE"""),15.0)</f>
        <v>15</v>
      </c>
      <c r="R111" s="675">
        <f>IFERROR(__xludf.DUMMYFUNCTION("""COMPUTED_VALUE"""),10.0)</f>
        <v>10</v>
      </c>
      <c r="S111" s="675">
        <f>IFERROR(__xludf.DUMMYFUNCTION("""COMPUTED_VALUE"""),15.0)</f>
        <v>15</v>
      </c>
      <c r="T111" s="674">
        <f>IFERROR(__xludf.DUMMYFUNCTION("""COMPUTED_VALUE"""),525.0)</f>
        <v>525</v>
      </c>
      <c r="U111" s="675">
        <f>IFERROR(__xludf.DUMMYFUNCTION("""COMPUTED_VALUE"""),10.486666666666668)</f>
        <v>10.48666667</v>
      </c>
      <c r="V111" s="675">
        <f>IFERROR(__xludf.DUMMYFUNCTION("""COMPUTED_VALUE"""),0.0)</f>
        <v>0</v>
      </c>
      <c r="W111" s="675">
        <f>IFERROR(__xludf.DUMMYFUNCTION("""COMPUTED_VALUE"""),0.0)</f>
        <v>0</v>
      </c>
      <c r="X111" s="675">
        <f>IFERROR(__xludf.DUMMYFUNCTION("""COMPUTED_VALUE"""),0.0)</f>
        <v>0</v>
      </c>
      <c r="Y111" s="674">
        <f>IFERROR(__xludf.DUMMYFUNCTION("""COMPUTED_VALUE"""),200.0)</f>
        <v>200</v>
      </c>
      <c r="Z111" s="675">
        <f>IFERROR(__xludf.DUMMYFUNCTION("""COMPUTED_VALUE"""),4.005)</f>
        <v>4.005</v>
      </c>
      <c r="AA111" s="673">
        <f>IFERROR(__xludf.DUMMYFUNCTION("""COMPUTED_VALUE"""),-1.0)</f>
        <v>-1</v>
      </c>
      <c r="AB111" s="673">
        <f>IFERROR(__xludf.DUMMYFUNCTION("""COMPUTED_VALUE"""),-0.4766666666666667)</f>
        <v>-0.4766666667</v>
      </c>
      <c r="AC111" s="675">
        <f>IFERROR(__xludf.DUMMYFUNCTION("""COMPUTED_VALUE"""),0.0)</f>
        <v>0</v>
      </c>
      <c r="AD111" s="674">
        <f>IFERROR(__xludf.DUMMYFUNCTION("""COMPUTED_VALUE"""),970.0)</f>
        <v>970</v>
      </c>
      <c r="AE111" s="675">
        <f>IFERROR(__xludf.DUMMYFUNCTION("""COMPUTED_VALUE"""),19.411975183194095)</f>
        <v>19.41197518</v>
      </c>
      <c r="AF111" s="673">
        <f>IFERROR(__xludf.DUMMYFUNCTION("""COMPUTED_VALUE"""),1.4)</f>
        <v>1.4</v>
      </c>
      <c r="AG111" s="675">
        <f>IFERROR(__xludf.DUMMYFUNCTION("""COMPUTED_VALUE"""),6.003991727731365)</f>
        <v>6.003991728</v>
      </c>
      <c r="AH111" s="675">
        <f>IFERROR(__xludf.DUMMYFUNCTION("""COMPUTED_VALUE"""),0.0)</f>
        <v>0</v>
      </c>
      <c r="AI111" s="139" t="str">
        <f>IFERROR(__xludf.DUMMYFUNCTION("""COMPUTED_VALUE"""),"-")</f>
        <v>-</v>
      </c>
      <c r="AJ111" s="675" t="str">
        <f>IFERROR(__xludf.DUMMYFUNCTION("""COMPUTED_VALUE"""),"-")</f>
        <v>-</v>
      </c>
      <c r="AK111" s="139">
        <f>IFERROR(__xludf.DUMMYFUNCTION("""COMPUTED_VALUE"""),1.0)</f>
        <v>1</v>
      </c>
      <c r="AL111" s="674">
        <f>IFERROR(__xludf.DUMMYFUNCTION("""COMPUTED_VALUE"""),1430.0)</f>
        <v>1430</v>
      </c>
      <c r="AM111" s="688">
        <f>IFERROR(__xludf.DUMMYFUNCTION("""COMPUTED_VALUE"""),9885.350210572771)</f>
        <v>9885.350211</v>
      </c>
      <c r="AN111" s="675">
        <f>IFERROR(__xludf.DUMMYFUNCTION("""COMPUTED_VALUE"""),9.533333333333333)</f>
        <v>9.533333333</v>
      </c>
      <c r="AO111" s="675">
        <f>IFERROR(__xludf.DUMMYFUNCTION("""COMPUTED_VALUE"""),4.766666666666667)</f>
        <v>4.766666667</v>
      </c>
      <c r="AP111" s="674">
        <f>IFERROR(__xludf.DUMMYFUNCTION("""COMPUTED_VALUE"""),2100.0)</f>
        <v>2100</v>
      </c>
      <c r="AQ111" s="673">
        <f>IFERROR(__xludf.DUMMYFUNCTION("""COMPUTED_VALUE"""),-0.2)</f>
        <v>-0.2</v>
      </c>
      <c r="AR111" s="673">
        <f>IFERROR(__xludf.DUMMYFUNCTION("""COMPUTED_VALUE"""),-0.02)</f>
        <v>-0.02</v>
      </c>
      <c r="AS111" s="673">
        <f>IFERROR(__xludf.DUMMYFUNCTION("""COMPUTED_VALUE"""),-0.1)</f>
        <v>-0.1</v>
      </c>
      <c r="AT111" s="673">
        <f>IFERROR(__xludf.DUMMYFUNCTION("""COMPUTED_VALUE"""),0.0)</f>
        <v>0</v>
      </c>
      <c r="AU111" s="673">
        <f>IFERROR(__xludf.DUMMYFUNCTION("""COMPUTED_VALUE"""),0.0)</f>
        <v>0</v>
      </c>
      <c r="AV111" s="673">
        <f>IFERROR(__xludf.DUMMYFUNCTION("""COMPUTED_VALUE"""),0.0)</f>
        <v>0</v>
      </c>
      <c r="AW111" s="139"/>
      <c r="AX111" s="674">
        <f>IFERROR(__xludf.DUMMYFUNCTION("""COMPUTED_VALUE"""),3980.0)</f>
        <v>3980</v>
      </c>
      <c r="AY111" s="688">
        <f>IFERROR(__xludf.DUMMYFUNCTION("""COMPUTED_VALUE"""),27513.371914740997)</f>
        <v>27513.37191</v>
      </c>
      <c r="AZ111" s="674">
        <f>IFERROR(__xludf.DUMMYFUNCTION("""COMPUTED_VALUE"""),1990.0)</f>
        <v>1990</v>
      </c>
      <c r="BA111" s="688">
        <f>IFERROR(__xludf.DUMMYFUNCTION("""COMPUTED_VALUE"""),13756.685957370499)</f>
        <v>13756.68596</v>
      </c>
      <c r="BB111" s="688" t="str">
        <f>IFERROR(__xludf.DUMMYFUNCTION("""COMPUTED_VALUE"""),"-")</f>
        <v>-</v>
      </c>
      <c r="BC111" s="688" t="str">
        <f>IFERROR(__xludf.DUMMYFUNCTION("""COMPUTED_VALUE"""),"#VALUE!")</f>
        <v>#VALUE!</v>
      </c>
      <c r="BD111" s="688" t="str">
        <f>IFERROR(__xludf.DUMMYFUNCTION("""COMPUTED_VALUE"""),"#VALUE!")</f>
        <v>#VALUE!</v>
      </c>
      <c r="BE111" s="674">
        <f>IFERROR(__xludf.DUMMYFUNCTION("""COMPUTED_VALUE"""),1990.0)</f>
        <v>1990</v>
      </c>
      <c r="BF111" s="674">
        <f>IFERROR(__xludf.DUMMYFUNCTION("""COMPUTED_VALUE"""),1400.0)</f>
        <v>1400</v>
      </c>
      <c r="BG111" s="673">
        <f>IFERROR(__xludf.DUMMYFUNCTION("""COMPUTED_VALUE"""),0.0)</f>
        <v>0</v>
      </c>
      <c r="BH111" s="673">
        <f>IFERROR(__xludf.DUMMYFUNCTION("""COMPUTED_VALUE"""),0.3)</f>
        <v>0.3</v>
      </c>
      <c r="BI111" s="673">
        <f>IFERROR(__xludf.DUMMYFUNCTION("""COMPUTED_VALUE"""),0.1)</f>
        <v>0.1</v>
      </c>
      <c r="BJ111" s="673">
        <f>IFERROR(__xludf.DUMMYFUNCTION("""COMPUTED_VALUE"""),0.0)</f>
        <v>0</v>
      </c>
      <c r="BK111" s="673">
        <f>IFERROR(__xludf.DUMMYFUNCTION("""COMPUTED_VALUE"""),0.02)</f>
        <v>0.02</v>
      </c>
      <c r="BL111" s="673">
        <f>IFERROR(__xludf.DUMMYFUNCTION("""COMPUTED_VALUE"""),0.0)</f>
        <v>0</v>
      </c>
      <c r="BM111" s="674">
        <f>IFERROR(__xludf.DUMMYFUNCTION("""COMPUTED_VALUE"""),100.0)</f>
        <v>100</v>
      </c>
      <c r="BN111" s="674">
        <f>IFERROR(__xludf.DUMMYFUNCTION("""COMPUTED_VALUE"""),75.0)</f>
        <v>75</v>
      </c>
      <c r="BO111" s="675">
        <f>IFERROR(__xludf.DUMMYFUNCTION("""COMPUTED_VALUE"""),25.0)</f>
        <v>25</v>
      </c>
      <c r="BP111" s="675">
        <f>IFERROR(__xludf.DUMMYFUNCTION("""COMPUTED_VALUE"""),2.0)</f>
        <v>2</v>
      </c>
      <c r="BQ111" s="139" t="str">
        <f>IFERROR(__xludf.DUMMYFUNCTION("""COMPUTED_VALUE"""),"(中距離)特殊攻撃・投げ物・長物")</f>
        <v>(中距離)特殊攻撃・投げ物・長物</v>
      </c>
      <c r="BR111" s="139">
        <f>IFERROR(__xludf.DUMMYFUNCTION("""COMPUTED_VALUE"""),2.0)</f>
        <v>2</v>
      </c>
      <c r="BS111" s="139">
        <f>IFERROR(__xludf.DUMMYFUNCTION("""COMPUTED_VALUE"""),35.0)</f>
        <v>35</v>
      </c>
      <c r="BT111" s="139">
        <f>IFERROR(__xludf.DUMMYFUNCTION("""COMPUTED_VALUE"""),0.39)</f>
        <v>0.39</v>
      </c>
      <c r="BU111" s="139">
        <f>IFERROR(__xludf.DUMMYFUNCTION("""COMPUTED_VALUE"""),0.0)</f>
        <v>0</v>
      </c>
      <c r="BV111" s="139" t="str">
        <f>IFERROR(__xludf.DUMMYFUNCTION("""COMPUTED_VALUE"""),"普通")</f>
        <v>普通</v>
      </c>
      <c r="BW111" s="139" t="str">
        <f>IFERROR(__xludf.DUMMYFUNCTION("""COMPUTED_VALUE"""),"ダメージコマ無効化")</f>
        <v>ダメージコマ無効化</v>
      </c>
      <c r="BX111" s="139" t="str">
        <f>IFERROR(__xludf.DUMMYFUNCTION("""COMPUTED_VALUE"""),"-")</f>
        <v>-</v>
      </c>
      <c r="BY111" s="139">
        <f>IFERROR(__xludf.DUMMYFUNCTION("""COMPUTED_VALUE"""),2.0)</f>
        <v>2</v>
      </c>
      <c r="BZ111" s="139" t="str">
        <f>IFERROR(__xludf.DUMMYFUNCTION("""COMPUTED_VALUE"""),"-")</f>
        <v>-</v>
      </c>
      <c r="CA111" s="139" t="str">
        <f>IFERROR(__xludf.DUMMYFUNCTION("""COMPUTED_VALUE"""),"-")</f>
        <v>-</v>
      </c>
      <c r="CB111" s="139" t="str">
        <f>IFERROR(__xludf.DUMMYFUNCTION("""COMPUTED_VALUE"""),"-")</f>
        <v>-</v>
      </c>
      <c r="CC111" s="139" t="str">
        <f>IFERROR(__xludf.DUMMYFUNCTION("""COMPUTED_VALUE"""),"中距離")</f>
        <v>中距離</v>
      </c>
      <c r="CD111" s="139" t="str">
        <f>IFERROR(__xludf.DUMMYFUNCTION("""COMPUTED_VALUE"""),"単体")</f>
        <v>単体</v>
      </c>
      <c r="CE111" s="139">
        <f>IFERROR(__xludf.DUMMYFUNCTION("""COMPUTED_VALUE"""),1.0)</f>
        <v>1</v>
      </c>
      <c r="CF111" s="139">
        <f>IFERROR(__xludf.DUMMYFUNCTION("""COMPUTED_VALUE"""),0.4)</f>
        <v>0.4</v>
      </c>
      <c r="CG111" s="139" t="str">
        <f>IFERROR(__xludf.DUMMYFUNCTION("""COMPUTED_VALUE"""),"中距離")</f>
        <v>中距離</v>
      </c>
      <c r="CH111" s="139" t="str">
        <f>IFERROR(__xludf.DUMMYFUNCTION("""COMPUTED_VALUE"""),"範囲(中)")</f>
        <v>範囲(中)</v>
      </c>
      <c r="CI111" s="139">
        <f>IFERROR(__xludf.DUMMYFUNCTION("""COMPUTED_VALUE"""),0.65)</f>
        <v>0.65</v>
      </c>
      <c r="CJ111" s="139">
        <f>IFERROR(__xludf.DUMMYFUNCTION("""COMPUTED_VALUE"""),0.6)</f>
        <v>0.6</v>
      </c>
      <c r="CK111" s="139"/>
      <c r="CL111" s="139"/>
      <c r="CM111" s="139"/>
      <c r="CN111" s="675">
        <f>IFERROR(__xludf.DUMMYFUNCTION("""COMPUTED_VALUE"""),19.411975183194095)</f>
        <v>19.41197518</v>
      </c>
      <c r="CO111" s="139" t="str">
        <f>IFERROR(__xludf.DUMMYFUNCTION("""COMPUTED_VALUE"""),"-")</f>
        <v>-</v>
      </c>
      <c r="CP111" s="139" t="str">
        <f>IFERROR(__xludf.DUMMYFUNCTION("""COMPUTED_VALUE"""),"-")</f>
        <v>-</v>
      </c>
      <c r="CQ111" s="139" t="str">
        <f>IFERROR(__xludf.DUMMYFUNCTION("""COMPUTED_VALUE"""),"-")</f>
        <v>-</v>
      </c>
      <c r="CR111" s="139"/>
      <c r="CS111" s="673" t="str">
        <f>IFERROR(__xludf.DUMMYFUNCTION("""COMPUTED_VALUE"""),"連続攻撃")</f>
        <v>連続攻撃</v>
      </c>
      <c r="CT111" s="139" t="str">
        <f>IFERROR(__xludf.DUMMYFUNCTION("""COMPUTED_VALUE"""),"-")</f>
        <v>-</v>
      </c>
      <c r="CU111" s="139" t="str">
        <f>IFERROR(__xludf.DUMMYFUNCTION("""COMPUTED_VALUE"""),"敵")</f>
        <v>敵</v>
      </c>
      <c r="CV111" s="139" t="str">
        <f>IFERROR(__xludf.DUMMYFUNCTION("""COMPUTED_VALUE"""),"All")</f>
        <v>All</v>
      </c>
      <c r="CW111" s="139" t="str">
        <f>IFERROR(__xludf.DUMMYFUNCTION("""COMPUTED_VALUE"""),"All")</f>
        <v>All</v>
      </c>
      <c r="CX111" s="674">
        <f>IFERROR(__xludf.DUMMYFUNCTION("""COMPUTED_VALUE"""),112.0)</f>
        <v>112</v>
      </c>
      <c r="CY111" s="675" t="str">
        <f>IFERROR(__xludf.DUMMYFUNCTION("""COMPUTED_VALUE"""),"-")</f>
        <v>-</v>
      </c>
      <c r="CZ111" s="688">
        <f>IFERROR(__xludf.DUMMYFUNCTION("""COMPUTED_VALUE"""),30815.0)</f>
        <v>30815</v>
      </c>
      <c r="DA111" s="688">
        <f>IFERROR(__xludf.DUMMYFUNCTION("""COMPUTED_VALUE"""),1724.2751513265168)</f>
        <v>1724.275151</v>
      </c>
      <c r="DB111" s="688">
        <f>IFERROR(__xludf.DUMMYFUNCTION("""COMPUTED_VALUE"""),8621.375756632584)</f>
        <v>8621.375757</v>
      </c>
      <c r="DC111" s="673" t="str">
        <f>IFERROR(__xludf.DUMMYFUNCTION("""COMPUTED_VALUE"""),"ノックバック")</f>
        <v>ノックバック</v>
      </c>
      <c r="DD111" s="673">
        <f>IFERROR(__xludf.DUMMYFUNCTION("""COMPUTED_VALUE"""),1.0)</f>
        <v>1</v>
      </c>
      <c r="DE111" s="139" t="str">
        <f>IFERROR(__xludf.DUMMYFUNCTION("""COMPUTED_VALUE"""),"-")</f>
        <v>-</v>
      </c>
      <c r="DF111" s="139" t="str">
        <f>IFERROR(__xludf.DUMMYFUNCTION("""COMPUTED_VALUE"""),"-")</f>
        <v>-</v>
      </c>
      <c r="DG111" s="139" t="str">
        <f>IFERROR(__xludf.DUMMYFUNCTION("""COMPUTED_VALUE"""),"-")</f>
        <v>-</v>
      </c>
      <c r="DH111" s="139" t="str">
        <f>IFERROR(__xludf.DUMMYFUNCTION("""COMPUTED_VALUE"""),"-")</f>
        <v>-</v>
      </c>
      <c r="DI111" s="139" t="str">
        <f>IFERROR(__xludf.DUMMYFUNCTION("""COMPUTED_VALUE"""),"-")</f>
        <v>-</v>
      </c>
      <c r="DJ111" s="139" t="str">
        <f>IFERROR(__xludf.DUMMYFUNCTION("""COMPUTED_VALUE"""),"-")</f>
        <v>-</v>
      </c>
    </row>
    <row r="112">
      <c r="A112" s="139" t="str">
        <f>IFERROR(__xludf.DUMMYFUNCTION("""COMPUTED_VALUE"""),"【推しの子】")</f>
        <v>【推しの子】</v>
      </c>
      <c r="B112" s="139" t="str">
        <f>IFERROR(__xludf.DUMMYFUNCTION("""COMPUTED_VALUE"""),"斉藤 ミヤコ")</f>
        <v>斉藤 ミヤコ</v>
      </c>
      <c r="C112" s="139" t="str">
        <f>IFERROR(__xludf.DUMMYFUNCTION("""COMPUTED_VALUE"""),"chara_osh_00801")</f>
        <v>chara_osh_00801</v>
      </c>
      <c r="D112" s="139" t="str">
        <f>IFERROR(__xludf.DUMMYFUNCTION("""COMPUTED_VALUE"""),"PremiumSSR")</f>
        <v>PremiumSSR</v>
      </c>
      <c r="E112" s="139" t="str">
        <f>IFERROR(__xludf.DUMMYFUNCTION("""COMPUTED_VALUE"""),"無")</f>
        <v>無</v>
      </c>
      <c r="F112" s="139" t="str">
        <f>IFERROR(__xludf.DUMMYFUNCTION("""COMPUTED_VALUE"""),"スペシャル")</f>
        <v>スペシャル</v>
      </c>
      <c r="G112" s="139" t="str">
        <f>IFERROR(__xludf.DUMMYFUNCTION("""COMPUTED_VALUE"""),"※ID管理未記入")</f>
        <v>※ID管理未記入</v>
      </c>
      <c r="H112" s="139" t="str">
        <f>IFERROR(__xludf.DUMMYFUNCTION("""COMPUTED_VALUE"""),"-")</f>
        <v>-</v>
      </c>
      <c r="I112" s="139" t="str">
        <f>IFERROR(__xludf.DUMMYFUNCTION("""COMPUTED_VALUE"""),"-")</f>
        <v>-</v>
      </c>
      <c r="J112" s="139" t="str">
        <f>IFERROR(__xludf.DUMMYFUNCTION("""COMPUTED_VALUE"""),"202603020_ハーフアニバーサリー祭前半")</f>
        <v>202603020_ハーフアニバーサリー祭前半</v>
      </c>
      <c r="K112" s="139" t="str">
        <f>IFERROR(__xludf.DUMMYFUNCTION("""COMPUTED_VALUE"""),"ハーフアニバーサリー")</f>
        <v>ハーフアニバーサリー</v>
      </c>
      <c r="L112" s="139" t="str">
        <f>IFERROR(__xludf.DUMMYFUNCTION("""COMPUTED_VALUE"""),"※")</f>
        <v>※</v>
      </c>
      <c r="M112" s="674">
        <f>IFERROR(__xludf.DUMMYFUNCTION("""COMPUTED_VALUE"""),620.0)</f>
        <v>620</v>
      </c>
      <c r="N112" s="139">
        <f>IFERROR(__xludf.DUMMYFUNCTION("""COMPUTED_VALUE"""),600.0)</f>
        <v>600</v>
      </c>
      <c r="O112" s="139" t="str">
        <f>IFERROR(__xludf.DUMMYFUNCTION("""COMPUTED_VALUE"""),"中コスト")</f>
        <v>中コスト</v>
      </c>
      <c r="P112" s="139">
        <f>IFERROR(__xludf.DUMMYFUNCTION("""COMPUTED_VALUE"""),0.0)</f>
        <v>0</v>
      </c>
      <c r="Q112" s="675">
        <f>IFERROR(__xludf.DUMMYFUNCTION("""COMPUTED_VALUE"""),20.0)</f>
        <v>20</v>
      </c>
      <c r="R112" s="675">
        <f>IFERROR(__xludf.DUMMYFUNCTION("""COMPUTED_VALUE"""),0.0)</f>
        <v>0</v>
      </c>
      <c r="S112" s="675">
        <f>IFERROR(__xludf.DUMMYFUNCTION("""COMPUTED_VALUE"""),13.0)</f>
        <v>13</v>
      </c>
      <c r="T112" s="674">
        <f>IFERROR(__xludf.DUMMYFUNCTION("""COMPUTED_VALUE"""),680.0)</f>
        <v>680</v>
      </c>
      <c r="U112" s="675">
        <f>IFERROR(__xludf.DUMMYFUNCTION("""COMPUTED_VALUE"""),13.640000000000002)</f>
        <v>13.64</v>
      </c>
      <c r="V112" s="675">
        <f>IFERROR(__xludf.DUMMYFUNCTION("""COMPUTED_VALUE"""),0.0)</f>
        <v>0</v>
      </c>
      <c r="W112" s="675">
        <f>IFERROR(__xludf.DUMMYFUNCTION("""COMPUTED_VALUE"""),0.0)</f>
        <v>0</v>
      </c>
      <c r="X112" s="675">
        <f>IFERROR(__xludf.DUMMYFUNCTION("""COMPUTED_VALUE"""),0.0)</f>
        <v>0</v>
      </c>
      <c r="Y112" s="674">
        <f>IFERROR(__xludf.DUMMYFUNCTION("""COMPUTED_VALUE"""),355.0)</f>
        <v>355</v>
      </c>
      <c r="Z112" s="675">
        <f>IFERROR(__xludf.DUMMYFUNCTION("""COMPUTED_VALUE"""),7.13)</f>
        <v>7.13</v>
      </c>
      <c r="AA112" s="675">
        <f>IFERROR(__xludf.DUMMYFUNCTION("""COMPUTED_VALUE"""),0.0)</f>
        <v>0</v>
      </c>
      <c r="AB112" s="673">
        <f>IFERROR(__xludf.DUMMYFUNCTION("""COMPUTED_VALUE"""),0.0)</f>
        <v>0</v>
      </c>
      <c r="AC112" s="675">
        <f>IFERROR(__xludf.DUMMYFUNCTION("""COMPUTED_VALUE"""),0.0)</f>
        <v>0</v>
      </c>
      <c r="AD112" s="674">
        <f>IFERROR(__xludf.DUMMYFUNCTION("""COMPUTED_VALUE"""),2185.0)</f>
        <v>2185</v>
      </c>
      <c r="AE112" s="675">
        <f>IFERROR(__xludf.DUMMYFUNCTION("""COMPUTED_VALUE"""),43.694889557787604)</f>
        <v>43.69488956</v>
      </c>
      <c r="AF112" s="675">
        <f>IFERROR(__xludf.DUMMYFUNCTION("""COMPUTED_VALUE"""),0.0)</f>
        <v>0</v>
      </c>
      <c r="AG112" s="675">
        <f>IFERROR(__xludf.DUMMYFUNCTION("""COMPUTED_VALUE"""),30.0)</f>
        <v>30</v>
      </c>
      <c r="AH112" s="675">
        <f>IFERROR(__xludf.DUMMYFUNCTION("""COMPUTED_VALUE"""),0.0)</f>
        <v>0</v>
      </c>
      <c r="AI112" s="675">
        <f>IFERROR(__xludf.DUMMYFUNCTION("""COMPUTED_VALUE"""),20.0)</f>
        <v>20</v>
      </c>
      <c r="AJ112" s="675">
        <f>IFERROR(__xludf.DUMMYFUNCTION("""COMPUTED_VALUE"""),23.694889557787604)</f>
        <v>23.69488956</v>
      </c>
      <c r="AK112" s="139">
        <f>IFERROR(__xludf.DUMMYFUNCTION("""COMPUTED_VALUE"""),1.0)</f>
        <v>1</v>
      </c>
      <c r="AL112" s="674">
        <f>IFERROR(__xludf.DUMMYFUNCTION("""COMPUTED_VALUE"""),1860.0)</f>
        <v>1860</v>
      </c>
      <c r="AM112" s="688">
        <f>IFERROR(__xludf.DUMMYFUNCTION("""COMPUTED_VALUE"""),14182.232301863884)</f>
        <v>14182.2323</v>
      </c>
      <c r="AN112" s="675">
        <f>IFERROR(__xludf.DUMMYFUNCTION("""COMPUTED_VALUE"""),12.4)</f>
        <v>12.4</v>
      </c>
      <c r="AO112" s="675">
        <f>IFERROR(__xludf.DUMMYFUNCTION("""COMPUTED_VALUE"""),6.2)</f>
        <v>6.2</v>
      </c>
      <c r="AP112" s="674">
        <f>IFERROR(__xludf.DUMMYFUNCTION("""COMPUTED_VALUE"""),1860.0)</f>
        <v>1860</v>
      </c>
      <c r="AQ112" s="673">
        <f>IFERROR(__xludf.DUMMYFUNCTION("""COMPUTED_VALUE"""),0.0)</f>
        <v>0</v>
      </c>
      <c r="AR112" s="673">
        <f>IFERROR(__xludf.DUMMYFUNCTION("""COMPUTED_VALUE"""),0.0)</f>
        <v>0</v>
      </c>
      <c r="AS112" s="673">
        <f>IFERROR(__xludf.DUMMYFUNCTION("""COMPUTED_VALUE"""),0.0)</f>
        <v>0</v>
      </c>
      <c r="AT112" s="673">
        <f>IFERROR(__xludf.DUMMYFUNCTION("""COMPUTED_VALUE"""),0.0)</f>
        <v>0</v>
      </c>
      <c r="AU112" s="675">
        <f>IFERROR(__xludf.DUMMYFUNCTION("""COMPUTED_VALUE"""),0.0)</f>
        <v>0</v>
      </c>
      <c r="AV112" s="675">
        <f>IFERROR(__xludf.DUMMYFUNCTION("""COMPUTED_VALUE"""),0.0)</f>
        <v>0</v>
      </c>
      <c r="AW112" s="139"/>
      <c r="AX112" s="674" t="str">
        <f>IFERROR(__xludf.DUMMYFUNCTION("""COMPUTED_VALUE"""),"※通常攻撃範囲を入力！(CD列)")</f>
        <v>※通常攻撃範囲を入力！(CD列)</v>
      </c>
      <c r="AY112" s="688" t="str">
        <f>IFERROR(__xludf.DUMMYFUNCTION("""COMPUTED_VALUE"""),"#VALUE!")</f>
        <v>#VALUE!</v>
      </c>
      <c r="AZ112" s="674" t="str">
        <f>IFERROR(__xludf.DUMMYFUNCTION("""COMPUTED_VALUE"""),"#VALUE!")</f>
        <v>#VALUE!</v>
      </c>
      <c r="BA112" s="688" t="str">
        <f>IFERROR(__xludf.DUMMYFUNCTION("""COMPUTED_VALUE"""),"#VALUE!")</f>
        <v>#VALUE!</v>
      </c>
      <c r="BB112" s="688" t="str">
        <f>IFERROR(__xludf.DUMMYFUNCTION("""COMPUTED_VALUE"""),"#VALUE!")</f>
        <v>#VALUE!</v>
      </c>
      <c r="BC112" s="688" t="str">
        <f>IFERROR(__xludf.DUMMYFUNCTION("""COMPUTED_VALUE"""),"#VALUE!")</f>
        <v>#VALUE!</v>
      </c>
      <c r="BD112" s="688" t="str">
        <f>IFERROR(__xludf.DUMMYFUNCTION("""COMPUTED_VALUE"""),"#VALUE!")</f>
        <v>#VALUE!</v>
      </c>
      <c r="BE112" s="674" t="str">
        <f>IFERROR(__xludf.DUMMYFUNCTION("""COMPUTED_VALUE"""),"#VALUE!")</f>
        <v>#VALUE!</v>
      </c>
      <c r="BF112" s="674">
        <f>IFERROR(__xludf.DUMMYFUNCTION("""COMPUTED_VALUE"""),1240.0)</f>
        <v>1240</v>
      </c>
      <c r="BG112" s="673">
        <f>IFERROR(__xludf.DUMMYFUNCTION("""COMPUTED_VALUE"""),0.0)</f>
        <v>0</v>
      </c>
      <c r="BH112" s="673">
        <f>IFERROR(__xludf.DUMMYFUNCTION("""COMPUTED_VALUE"""),0.0)</f>
        <v>0</v>
      </c>
      <c r="BI112" s="673">
        <f>IFERROR(__xludf.DUMMYFUNCTION("""COMPUTED_VALUE"""),0.0)</f>
        <v>0</v>
      </c>
      <c r="BJ112" s="673">
        <f>IFERROR(__xludf.DUMMYFUNCTION("""COMPUTED_VALUE"""),0.0)</f>
        <v>0</v>
      </c>
      <c r="BK112" s="673">
        <f>IFERROR(__xludf.DUMMYFUNCTION("""COMPUTED_VALUE"""),0.0)</f>
        <v>0</v>
      </c>
      <c r="BL112" s="673">
        <f>IFERROR(__xludf.DUMMYFUNCTION("""COMPUTED_VALUE"""),0.0)</f>
        <v>0</v>
      </c>
      <c r="BM112" s="674">
        <f>IFERROR(__xludf.DUMMYFUNCTION("""COMPUTED_VALUE"""),0.0)</f>
        <v>0</v>
      </c>
      <c r="BN112" s="674">
        <f>IFERROR(__xludf.DUMMYFUNCTION("""COMPUTED_VALUE"""),0.0)</f>
        <v>0</v>
      </c>
      <c r="BO112" s="675">
        <f>IFERROR(__xludf.DUMMYFUNCTION("""COMPUTED_VALUE"""),0.0)</f>
        <v>0</v>
      </c>
      <c r="BP112" s="675">
        <f>IFERROR(__xludf.DUMMYFUNCTION("""COMPUTED_VALUE"""),0.0)</f>
        <v>0</v>
      </c>
      <c r="BQ112" s="139" t="str">
        <f>IFERROR(__xludf.DUMMYFUNCTION("""COMPUTED_VALUE"""),"-")</f>
        <v>-</v>
      </c>
      <c r="BR112" s="139" t="str">
        <f>IFERROR(__xludf.DUMMYFUNCTION("""COMPUTED_VALUE"""),"該当なし")</f>
        <v>該当なし</v>
      </c>
      <c r="BS112" s="139" t="str">
        <f>IFERROR(__xludf.DUMMYFUNCTION("""COMPUTED_VALUE"""),"該当なし")</f>
        <v>該当なし</v>
      </c>
      <c r="BT112" s="139" t="str">
        <f>IFERROR(__xludf.DUMMYFUNCTION("""COMPUTED_VALUE"""),"#VALUE!")</f>
        <v>#VALUE!</v>
      </c>
      <c r="BU112" s="139">
        <f>IFERROR(__xludf.DUMMYFUNCTION("""COMPUTED_VALUE"""),0.0)</f>
        <v>0</v>
      </c>
      <c r="BV112" s="139" t="str">
        <f>IFERROR(__xludf.DUMMYFUNCTION("""COMPUTED_VALUE"""),"-")</f>
        <v>-</v>
      </c>
      <c r="BW112" s="139" t="str">
        <f>IFERROR(__xludf.DUMMYFUNCTION("""COMPUTED_VALUE"""),"-")</f>
        <v>-</v>
      </c>
      <c r="BX112" s="139" t="str">
        <f>IFERROR(__xludf.DUMMYFUNCTION("""COMPUTED_VALUE"""),"-")</f>
        <v>-</v>
      </c>
      <c r="BY112" s="139" t="str">
        <f>IFERROR(__xludf.DUMMYFUNCTION("""COMPUTED_VALUE"""),"-")</f>
        <v>-</v>
      </c>
      <c r="BZ112" s="139" t="str">
        <f>IFERROR(__xludf.DUMMYFUNCTION("""COMPUTED_VALUE"""),"-")</f>
        <v>-</v>
      </c>
      <c r="CA112" s="139" t="str">
        <f>IFERROR(__xludf.DUMMYFUNCTION("""COMPUTED_VALUE"""),"-")</f>
        <v>-</v>
      </c>
      <c r="CB112" s="139" t="str">
        <f>IFERROR(__xludf.DUMMYFUNCTION("""COMPUTED_VALUE"""),"-")</f>
        <v>-</v>
      </c>
      <c r="CC112" s="139" t="str">
        <f>IFERROR(__xludf.DUMMYFUNCTION("""COMPUTED_VALUE"""),"該当なし")</f>
        <v>該当なし</v>
      </c>
      <c r="CD112" s="139"/>
      <c r="CE112" s="139" t="str">
        <f>IFERROR(__xludf.DUMMYFUNCTION("""COMPUTED_VALUE"""),"-")</f>
        <v>-</v>
      </c>
      <c r="CF112" s="139" t="str">
        <f>IFERROR(__xludf.DUMMYFUNCTION("""COMPUTED_VALUE"""),"#VALUE!")</f>
        <v>#VALUE!</v>
      </c>
      <c r="CG112" s="139" t="str">
        <f>IFERROR(__xludf.DUMMYFUNCTION("""COMPUTED_VALUE"""),"タップしたコマ")</f>
        <v>タップしたコマ</v>
      </c>
      <c r="CH112" s="139" t="str">
        <f>IFERROR(__xludf.DUMMYFUNCTION("""COMPUTED_VALUE"""),"タップしたコマ")</f>
        <v>タップしたコマ</v>
      </c>
      <c r="CI112" s="139" t="str">
        <f>IFERROR(__xludf.DUMMYFUNCTION("""COMPUTED_VALUE"""),"-")</f>
        <v>-</v>
      </c>
      <c r="CJ112" s="139" t="str">
        <f>IFERROR(__xludf.DUMMYFUNCTION("""COMPUTED_VALUE"""),"タップしたコマ")</f>
        <v>タップしたコマ</v>
      </c>
      <c r="CK112" s="139" t="str">
        <f>IFERROR(__xludf.DUMMYFUNCTION("""COMPUTED_VALUE"""),"味方")</f>
        <v>味方</v>
      </c>
      <c r="CL112" s="139" t="str">
        <f>IFERROR(__xludf.DUMMYFUNCTION("""COMPUTED_VALUE"""),"All")</f>
        <v>All</v>
      </c>
      <c r="CM112" s="139" t="str">
        <f>IFERROR(__xludf.DUMMYFUNCTION("""COMPUTED_VALUE"""),"All")</f>
        <v>All</v>
      </c>
      <c r="CN112" s="675" t="str">
        <f>IFERROR(__xludf.DUMMYFUNCTION("""COMPUTED_VALUE"""),"-")</f>
        <v>-</v>
      </c>
      <c r="CO112" s="139" t="str">
        <f>IFERROR(__xludf.DUMMYFUNCTION("""COMPUTED_VALUE"""),"-")</f>
        <v>-</v>
      </c>
      <c r="CP112" s="139" t="str">
        <f>IFERROR(__xludf.DUMMYFUNCTION("""COMPUTED_VALUE"""),"-")</f>
        <v>-</v>
      </c>
      <c r="CQ112" s="139" t="str">
        <f>IFERROR(__xludf.DUMMYFUNCTION("""COMPUTED_VALUE"""),"-")</f>
        <v>-</v>
      </c>
      <c r="CR112" s="139" t="str">
        <f>IFERROR(__xludf.DUMMYFUNCTION("""COMPUTED_VALUE"""),"SP専用")</f>
        <v>SP専用</v>
      </c>
      <c r="CS112" s="673" t="str">
        <f>IFERROR(__xludf.DUMMYFUNCTION("""COMPUTED_VALUE"""),"攻撃力UP")</f>
        <v>攻撃力UP</v>
      </c>
      <c r="CT112" s="139" t="str">
        <f>IFERROR(__xludf.DUMMYFUNCTION("""COMPUTED_VALUE"""),"SP専用")</f>
        <v>SP専用</v>
      </c>
      <c r="CU112" s="139" t="str">
        <f>IFERROR(__xludf.DUMMYFUNCTION("""COMPUTED_VALUE"""),"味方")</f>
        <v>味方</v>
      </c>
      <c r="CV112" s="139" t="str">
        <f>IFERROR(__xludf.DUMMYFUNCTION("""COMPUTED_VALUE"""),"All")</f>
        <v>All</v>
      </c>
      <c r="CW112" s="139" t="str">
        <f>IFERROR(__xludf.DUMMYFUNCTION("""COMPUTED_VALUE"""),"All")</f>
        <v>All</v>
      </c>
      <c r="CX112" s="675">
        <f>IFERROR(__xludf.DUMMYFUNCTION("""COMPUTED_VALUE"""),49.6)</f>
        <v>49.6</v>
      </c>
      <c r="CY112" s="675">
        <f>IFERROR(__xludf.DUMMYFUNCTION("""COMPUTED_VALUE"""),10.0)</f>
        <v>10</v>
      </c>
      <c r="CZ112" s="688" t="str">
        <f>IFERROR(__xludf.DUMMYFUNCTION("""COMPUTED_VALUE"""),"-")</f>
        <v>-</v>
      </c>
      <c r="DA112" s="688">
        <f>IFERROR(__xludf.DUMMYFUNCTION("""COMPUTED_VALUE"""),0.0)</f>
        <v>0</v>
      </c>
      <c r="DB112" s="688">
        <f>IFERROR(__xludf.DUMMYFUNCTION("""COMPUTED_VALUE"""),0.0)</f>
        <v>0</v>
      </c>
      <c r="DC112" s="673" t="str">
        <f>IFERROR(__xludf.DUMMYFUNCTION("""COMPUTED_VALUE"""),"攻撃力UP(テクニカル)")</f>
        <v>攻撃力UP(テクニカル)</v>
      </c>
      <c r="DD112" s="673">
        <f>IFERROR(__xludf.DUMMYFUNCTION("""COMPUTED_VALUE"""),5.0)</f>
        <v>5</v>
      </c>
      <c r="DE112" s="139">
        <f>IFERROR(__xludf.DUMMYFUNCTION("""COMPUTED_VALUE"""),10.0)</f>
        <v>10</v>
      </c>
      <c r="DF112" s="139" t="str">
        <f>IFERROR(__xludf.DUMMYFUNCTION("""COMPUTED_VALUE"""),"-")</f>
        <v>-</v>
      </c>
      <c r="DG112" s="139" t="str">
        <f>IFERROR(__xludf.DUMMYFUNCTION("""COMPUTED_VALUE"""),"-")</f>
        <v>-</v>
      </c>
      <c r="DH112" s="139" t="str">
        <f>IFERROR(__xludf.DUMMYFUNCTION("""COMPUTED_VALUE"""),"-")</f>
        <v>-</v>
      </c>
      <c r="DI112" s="139" t="str">
        <f>IFERROR(__xludf.DUMMYFUNCTION("""COMPUTED_VALUE"""),"-")</f>
        <v>-</v>
      </c>
      <c r="DJ112" s="139" t="str">
        <f>IFERROR(__xludf.DUMMYFUNCTION("""COMPUTED_VALUE"""),"-")</f>
        <v>-</v>
      </c>
    </row>
    <row r="113">
      <c r="A113" s="139" t="str">
        <f>IFERROR(__xludf.DUMMYFUNCTION("""COMPUTED_VALUE"""),"魔都精兵のスレイブ")</f>
        <v>魔都精兵のスレイブ</v>
      </c>
      <c r="B113" s="139" t="str">
        <f>IFERROR(__xludf.DUMMYFUNCTION("""COMPUTED_VALUE"""),"万物を統べる総組長 山城 恋")</f>
        <v>万物を統べる総組長 山城 恋</v>
      </c>
      <c r="C113" s="139" t="str">
        <f>IFERROR(__xludf.DUMMYFUNCTION("""COMPUTED_VALUE"""),"chara_sur_00901")</f>
        <v>chara_sur_00901</v>
      </c>
      <c r="D113" s="139" t="str">
        <f>IFERROR(__xludf.DUMMYFUNCTION("""COMPUTED_VALUE"""),"FestivalUR")</f>
        <v>FestivalUR</v>
      </c>
      <c r="E113" s="139" t="str">
        <f>IFERROR(__xludf.DUMMYFUNCTION("""COMPUTED_VALUE"""),"青")</f>
        <v>青</v>
      </c>
      <c r="F113" s="139" t="str">
        <f>IFERROR(__xludf.DUMMYFUNCTION("""COMPUTED_VALUE"""),"アタック")</f>
        <v>アタック</v>
      </c>
      <c r="G113" s="139" t="str">
        <f>IFERROR(__xludf.DUMMYFUNCTION("""COMPUTED_VALUE"""),"中距離")</f>
        <v>中距離</v>
      </c>
      <c r="H113" s="139" t="str">
        <f>IFERROR(__xludf.DUMMYFUNCTION("""COMPUTED_VALUE"""),"dageki_1")</f>
        <v>dageki_1</v>
      </c>
      <c r="I113" s="139" t="str">
        <f>IFERROR(__xludf.DUMMYFUNCTION("""COMPUTED_VALUE"""),"shageki_1")</f>
        <v>shageki_1</v>
      </c>
      <c r="J113" s="139" t="str">
        <f>IFERROR(__xludf.DUMMYFUNCTION("""COMPUTED_VALUE"""),"202603020_ハーフアニバーサリー祭前半")</f>
        <v>202603020_ハーフアニバーサリー祭前半</v>
      </c>
      <c r="K113" s="139" t="str">
        <f>IFERROR(__xludf.DUMMYFUNCTION("""COMPUTED_VALUE"""),"ストックキャラ")</f>
        <v>ストックキャラ</v>
      </c>
      <c r="L113" s="687" t="str">
        <f>IFERROR(__xludf.DUMMYFUNCTION("""COMPUTED_VALUE"""),"※")</f>
        <v>※</v>
      </c>
      <c r="M113" s="674">
        <f>IFERROR(__xludf.DUMMYFUNCTION("""COMPUTED_VALUE"""),350.0)</f>
        <v>350</v>
      </c>
      <c r="N113" s="139">
        <f>IFERROR(__xludf.DUMMYFUNCTION("""COMPUTED_VALUE"""),200.0)</f>
        <v>200</v>
      </c>
      <c r="O113" s="139" t="str">
        <f>IFERROR(__xludf.DUMMYFUNCTION("""COMPUTED_VALUE"""),"低コスト")</f>
        <v>低コスト</v>
      </c>
      <c r="P113" s="139">
        <f>IFERROR(__xludf.DUMMYFUNCTION("""COMPUTED_VALUE"""),60.0)</f>
        <v>60</v>
      </c>
      <c r="Q113" s="675">
        <f>IFERROR(__xludf.DUMMYFUNCTION("""COMPUTED_VALUE"""),10.0)</f>
        <v>10</v>
      </c>
      <c r="R113" s="675">
        <f>IFERROR(__xludf.DUMMYFUNCTION("""COMPUTED_VALUE"""),80.0)</f>
        <v>80</v>
      </c>
      <c r="S113" s="675">
        <f>IFERROR(__xludf.DUMMYFUNCTION("""COMPUTED_VALUE"""),6.25)</f>
        <v>6.25</v>
      </c>
      <c r="T113" s="674">
        <f>IFERROR(__xludf.DUMMYFUNCTION("""COMPUTED_VALUE"""),615.0)</f>
        <v>615</v>
      </c>
      <c r="U113" s="675">
        <f>IFERROR(__xludf.DUMMYFUNCTION("""COMPUTED_VALUE"""),12.306666666666668)</f>
        <v>12.30666667</v>
      </c>
      <c r="V113" s="675">
        <f>IFERROR(__xludf.DUMMYFUNCTION("""COMPUTED_VALUE"""),6.0)</f>
        <v>6</v>
      </c>
      <c r="W113" s="675">
        <f>IFERROR(__xludf.DUMMYFUNCTION("""COMPUTED_VALUE"""),0.0)</f>
        <v>0</v>
      </c>
      <c r="X113" s="675">
        <f>IFERROR(__xludf.DUMMYFUNCTION("""COMPUTED_VALUE"""),0.0)</f>
        <v>0</v>
      </c>
      <c r="Y113" s="674">
        <f>IFERROR(__xludf.DUMMYFUNCTION("""COMPUTED_VALUE"""),715.0)</f>
        <v>715</v>
      </c>
      <c r="Z113" s="675">
        <f>IFERROR(__xludf.DUMMYFUNCTION("""COMPUTED_VALUE"""),14.296666666666667)</f>
        <v>14.29666667</v>
      </c>
      <c r="AA113" s="675">
        <f>IFERROR(__xludf.DUMMYFUNCTION("""COMPUTED_VALUE"""),11.0)</f>
        <v>11</v>
      </c>
      <c r="AB113" s="673">
        <f>IFERROR(__xludf.DUMMYFUNCTION("""COMPUTED_VALUE"""),0.0)</f>
        <v>0</v>
      </c>
      <c r="AC113" s="675">
        <f>IFERROR(__xludf.DUMMYFUNCTION("""COMPUTED_VALUE"""),0.0)</f>
        <v>0</v>
      </c>
      <c r="AD113" s="674">
        <f>IFERROR(__xludf.DUMMYFUNCTION("""COMPUTED_VALUE"""),2285.0)</f>
        <v>2285</v>
      </c>
      <c r="AE113" s="675">
        <f>IFERROR(__xludf.DUMMYFUNCTION("""COMPUTED_VALUE"""),45.71217840608021)</f>
        <v>45.71217841</v>
      </c>
      <c r="AF113" s="675">
        <f>IFERROR(__xludf.DUMMYFUNCTION("""COMPUTED_VALUE"""),12.4)</f>
        <v>12.4</v>
      </c>
      <c r="AG113" s="675">
        <f>IFERROR(__xludf.DUMMYFUNCTION("""COMPUTED_VALUE"""),24.0)</f>
        <v>24</v>
      </c>
      <c r="AH113" s="675">
        <f>IFERROR(__xludf.DUMMYFUNCTION("""COMPUTED_VALUE"""),0.0)</f>
        <v>0</v>
      </c>
      <c r="AI113" s="675" t="str">
        <f>IFERROR(__xludf.DUMMYFUNCTION("""COMPUTED_VALUE"""),"-")</f>
        <v>-</v>
      </c>
      <c r="AJ113" s="675" t="str">
        <f>IFERROR(__xludf.DUMMYFUNCTION("""COMPUTED_VALUE"""),"-")</f>
        <v>-</v>
      </c>
      <c r="AK113" s="139">
        <f>IFERROR(__xludf.DUMMYFUNCTION("""COMPUTED_VALUE"""),0.0)</f>
        <v>0</v>
      </c>
      <c r="AL113" s="674">
        <f>IFERROR(__xludf.DUMMYFUNCTION("""COMPUTED_VALUE"""),860.0)</f>
        <v>860</v>
      </c>
      <c r="AM113" s="688">
        <f>IFERROR(__xludf.DUMMYFUNCTION("""COMPUTED_VALUE"""),7168.764182582226)</f>
        <v>7168.764183</v>
      </c>
      <c r="AN113" s="675">
        <f>IFERROR(__xludf.DUMMYFUNCTION("""COMPUTED_VALUE"""),5.733333333333333)</f>
        <v>5.733333333</v>
      </c>
      <c r="AO113" s="675">
        <f>IFERROR(__xludf.DUMMYFUNCTION("""COMPUTED_VALUE"""),2.8666666666666667)</f>
        <v>2.866666667</v>
      </c>
      <c r="AP113" s="674">
        <f>IFERROR(__xludf.DUMMYFUNCTION("""COMPUTED_VALUE"""),1050.0)</f>
        <v>1050</v>
      </c>
      <c r="AQ113" s="673">
        <f>IFERROR(__xludf.DUMMYFUNCTION("""COMPUTED_VALUE"""),-0.2)</f>
        <v>-0.2</v>
      </c>
      <c r="AR113" s="673">
        <f>IFERROR(__xludf.DUMMYFUNCTION("""COMPUTED_VALUE"""),0.0)</f>
        <v>0</v>
      </c>
      <c r="AS113" s="673">
        <f>IFERROR(__xludf.DUMMYFUNCTION("""COMPUTED_VALUE"""),-0.1)</f>
        <v>-0.1</v>
      </c>
      <c r="AT113" s="673">
        <f>IFERROR(__xludf.DUMMYFUNCTION("""COMPUTED_VALUE"""),0.65)</f>
        <v>0.65</v>
      </c>
      <c r="AU113" s="675">
        <f>IFERROR(__xludf.DUMMYFUNCTION("""COMPUTED_VALUE"""),0.0)</f>
        <v>0</v>
      </c>
      <c r="AV113" s="673">
        <f>IFERROR(__xludf.DUMMYFUNCTION("""COMPUTED_VALUE"""),-0.53)</f>
        <v>-0.53</v>
      </c>
      <c r="AW113" s="139"/>
      <c r="AX113" s="674">
        <f>IFERROR(__xludf.DUMMYFUNCTION("""COMPUTED_VALUE"""),620.0)</f>
        <v>620</v>
      </c>
      <c r="AY113" s="688">
        <f>IFERROR(__xludf.DUMMYFUNCTION("""COMPUTED_VALUE"""),5168.357433954628)</f>
        <v>5168.357434</v>
      </c>
      <c r="AZ113" s="674">
        <f>IFERROR(__xludf.DUMMYFUNCTION("""COMPUTED_VALUE"""),620.0)</f>
        <v>620</v>
      </c>
      <c r="BA113" s="688">
        <f>IFERROR(__xludf.DUMMYFUNCTION("""COMPUTED_VALUE"""),5168.357433954628)</f>
        <v>5168.357434</v>
      </c>
      <c r="BB113" s="688" t="str">
        <f>IFERROR(__xludf.DUMMYFUNCTION("""COMPUTED_VALUE"""),"-")</f>
        <v>-</v>
      </c>
      <c r="BC113" s="688">
        <f>IFERROR(__xludf.DUMMYFUNCTION("""COMPUTED_VALUE"""),621.0)</f>
        <v>621</v>
      </c>
      <c r="BD113" s="688">
        <f>IFERROR(__xludf.DUMMYFUNCTION("""COMPUTED_VALUE"""),5169.357433954628)</f>
        <v>5169.357434</v>
      </c>
      <c r="BE113" s="674">
        <f>IFERROR(__xludf.DUMMYFUNCTION("""COMPUTED_VALUE"""),620.0)</f>
        <v>620</v>
      </c>
      <c r="BF113" s="674">
        <f>IFERROR(__xludf.DUMMYFUNCTION("""COMPUTED_VALUE"""),700.0)</f>
        <v>700</v>
      </c>
      <c r="BG113" s="673">
        <f>IFERROR(__xludf.DUMMYFUNCTION("""COMPUTED_VALUE"""),-0.65)</f>
        <v>-0.65</v>
      </c>
      <c r="BH113" s="673">
        <f>IFERROR(__xludf.DUMMYFUNCTION("""COMPUTED_VALUE"""),0.3)</f>
        <v>0.3</v>
      </c>
      <c r="BI113" s="673">
        <f>IFERROR(__xludf.DUMMYFUNCTION("""COMPUTED_VALUE"""),0.0)</f>
        <v>0</v>
      </c>
      <c r="BJ113" s="673">
        <f>IFERROR(__xludf.DUMMYFUNCTION("""COMPUTED_VALUE"""),0.23)</f>
        <v>0.23</v>
      </c>
      <c r="BK113" s="673">
        <f>IFERROR(__xludf.DUMMYFUNCTION("""COMPUTED_VALUE"""),0.0)</f>
        <v>0</v>
      </c>
      <c r="BL113" s="673">
        <f>IFERROR(__xludf.DUMMYFUNCTION("""COMPUTED_VALUE"""),0.0)</f>
        <v>0</v>
      </c>
      <c r="BM113" s="674">
        <f>IFERROR(__xludf.DUMMYFUNCTION("""COMPUTED_VALUE"""),50.0)</f>
        <v>50</v>
      </c>
      <c r="BN113" s="674">
        <f>IFERROR(__xludf.DUMMYFUNCTION("""COMPUTED_VALUE"""),75.0)</f>
        <v>75</v>
      </c>
      <c r="BO113" s="675">
        <f>IFERROR(__xludf.DUMMYFUNCTION("""COMPUTED_VALUE"""),-25.0)</f>
        <v>-25</v>
      </c>
      <c r="BP113" s="675">
        <f>IFERROR(__xludf.DUMMYFUNCTION("""COMPUTED_VALUE"""),1.0)</f>
        <v>1</v>
      </c>
      <c r="BQ113" s="139" t="str">
        <f>IFERROR(__xludf.DUMMYFUNCTION("""COMPUTED_VALUE"""),"(中距離)特殊攻撃・投げ物・長物")</f>
        <v>(中距離)特殊攻撃・投げ物・長物</v>
      </c>
      <c r="BR113" s="139">
        <f>IFERROR(__xludf.DUMMYFUNCTION("""COMPUTED_VALUE"""),1.0)</f>
        <v>1</v>
      </c>
      <c r="BS113" s="139">
        <f>IFERROR(__xludf.DUMMYFUNCTION("""COMPUTED_VALUE"""),70.0)</f>
        <v>70</v>
      </c>
      <c r="BT113" s="139">
        <f>IFERROR(__xludf.DUMMYFUNCTION("""COMPUTED_VALUE"""),0.39)</f>
        <v>0.39</v>
      </c>
      <c r="BU113" s="139">
        <f>IFERROR(__xludf.DUMMYFUNCTION("""COMPUTED_VALUE"""),0.0)</f>
        <v>0</v>
      </c>
      <c r="BV113" s="139" t="str">
        <f>IFERROR(__xludf.DUMMYFUNCTION("""COMPUTED_VALUE"""),"とても速い")</f>
        <v>とても速い</v>
      </c>
      <c r="BW113" s="139" t="str">
        <f>IFERROR(__xludf.DUMMYFUNCTION("""COMPUTED_VALUE"""),"体力条件強化(以下/攻撃)")</f>
        <v>体力条件強化(以下/攻撃)</v>
      </c>
      <c r="BX113" s="139" t="str">
        <f>IFERROR(__xludf.DUMMYFUNCTION("""COMPUTED_VALUE"""),"HP80/20")</f>
        <v>HP80/20</v>
      </c>
      <c r="BY113" s="139">
        <f>IFERROR(__xludf.DUMMYFUNCTION("""COMPUTED_VALUE"""),0.0)</f>
        <v>0</v>
      </c>
      <c r="BZ113" s="139" t="str">
        <f>IFERROR(__xludf.DUMMYFUNCTION("""COMPUTED_VALUE"""),"体力条件強化(以下/攻撃)")</f>
        <v>体力条件強化(以下/攻撃)</v>
      </c>
      <c r="CA113" s="139" t="str">
        <f>IFERROR(__xludf.DUMMYFUNCTION("""COMPUTED_VALUE"""),"HP30/80")</f>
        <v>HP30/80</v>
      </c>
      <c r="CB113" s="139">
        <f>IFERROR(__xludf.DUMMYFUNCTION("""COMPUTED_VALUE"""),4.0)</f>
        <v>4</v>
      </c>
      <c r="CC113" s="139" t="str">
        <f>IFERROR(__xludf.DUMMYFUNCTION("""COMPUTED_VALUE"""),"中距離")</f>
        <v>中距離</v>
      </c>
      <c r="CD113" s="139" t="str">
        <f>IFERROR(__xludf.DUMMYFUNCTION("""COMPUTED_VALUE"""),"単体")</f>
        <v>単体</v>
      </c>
      <c r="CE113" s="139">
        <f>IFERROR(__xludf.DUMMYFUNCTION("""COMPUTED_VALUE"""),1.0)</f>
        <v>1</v>
      </c>
      <c r="CF113" s="139">
        <f>IFERROR(__xludf.DUMMYFUNCTION("""COMPUTED_VALUE"""),0.4)</f>
        <v>0.4</v>
      </c>
      <c r="CG113" s="139" t="str">
        <f>IFERROR(__xludf.DUMMYFUNCTION("""COMPUTED_VALUE"""),"中距離")</f>
        <v>中距離</v>
      </c>
      <c r="CH113" s="139" t="str">
        <f>IFERROR(__xludf.DUMMYFUNCTION("""COMPUTED_VALUE"""),"範囲(大)")</f>
        <v>範囲(大)</v>
      </c>
      <c r="CI113" s="139">
        <f>IFERROR(__xludf.DUMMYFUNCTION("""COMPUTED_VALUE"""),0.55)</f>
        <v>0.55</v>
      </c>
      <c r="CJ113" s="139">
        <f>IFERROR(__xludf.DUMMYFUNCTION("""COMPUTED_VALUE"""),0.7)</f>
        <v>0.7</v>
      </c>
      <c r="CK113" s="139"/>
      <c r="CL113" s="139"/>
      <c r="CM113" s="139"/>
      <c r="CN113" s="675">
        <f>IFERROR(__xludf.DUMMYFUNCTION("""COMPUTED_VALUE"""),45.71217840608021)</f>
        <v>45.71217841</v>
      </c>
      <c r="CO113" s="139" t="str">
        <f>IFERROR(__xludf.DUMMYFUNCTION("""COMPUTED_VALUE"""),"根性")</f>
        <v>根性</v>
      </c>
      <c r="CP113" s="139">
        <f>IFERROR(__xludf.DUMMYFUNCTION("""COMPUTED_VALUE"""),1.0)</f>
        <v>1</v>
      </c>
      <c r="CQ113" s="139">
        <f>IFERROR(__xludf.DUMMYFUNCTION("""COMPUTED_VALUE"""),6.0)</f>
        <v>6</v>
      </c>
      <c r="CR113" s="139"/>
      <c r="CS113" s="673" t="str">
        <f>IFERROR(__xludf.DUMMYFUNCTION("""COMPUTED_VALUE"""),"攻撃(必殺)")</f>
        <v>攻撃(必殺)</v>
      </c>
      <c r="CT113" s="139" t="str">
        <f>IFERROR(__xludf.DUMMYFUNCTION("""COMPUTED_VALUE"""),"-")</f>
        <v>-</v>
      </c>
      <c r="CU113" s="139" t="str">
        <f>IFERROR(__xludf.DUMMYFUNCTION("""COMPUTED_VALUE"""),"敵")</f>
        <v>敵</v>
      </c>
      <c r="CV113" s="139" t="str">
        <f>IFERROR(__xludf.DUMMYFUNCTION("""COMPUTED_VALUE"""),"All")</f>
        <v>All</v>
      </c>
      <c r="CW113" s="139" t="str">
        <f>IFERROR(__xludf.DUMMYFUNCTION("""COMPUTED_VALUE"""),"All")</f>
        <v>All</v>
      </c>
      <c r="CX113" s="674">
        <f>IFERROR(__xludf.DUMMYFUNCTION("""COMPUTED_VALUE"""),1000.0)</f>
        <v>1000</v>
      </c>
      <c r="CY113" s="675" t="str">
        <f>IFERROR(__xludf.DUMMYFUNCTION("""COMPUTED_VALUE"""),"-")</f>
        <v>-</v>
      </c>
      <c r="CZ113" s="688">
        <f>IFERROR(__xludf.DUMMYFUNCTION("""COMPUTED_VALUE"""),51684.0)</f>
        <v>51684</v>
      </c>
      <c r="DA113" s="688">
        <f>IFERROR(__xludf.DUMMYFUNCTION("""COMPUTED_VALUE"""),1214.0765443310397)</f>
        <v>1214.076544</v>
      </c>
      <c r="DB113" s="688">
        <f>IFERROR(__xludf.DUMMYFUNCTION("""COMPUTED_VALUE"""),6070.382721655198)</f>
        <v>6070.382722</v>
      </c>
      <c r="DC113" s="673" t="str">
        <f>IFERROR(__xludf.DUMMYFUNCTION("""COMPUTED_VALUE"""),"無敵")</f>
        <v>無敵</v>
      </c>
      <c r="DD113" s="673" t="str">
        <f>IFERROR(__xludf.DUMMYFUNCTION("""COMPUTED_VALUE"""),"-")</f>
        <v>-</v>
      </c>
      <c r="DE113" s="139">
        <f>IFERROR(__xludf.DUMMYFUNCTION("""COMPUTED_VALUE"""),8.0)</f>
        <v>8</v>
      </c>
      <c r="DF113" s="139" t="str">
        <f>IFERROR(__xludf.DUMMYFUNCTION("""COMPUTED_VALUE"""),"※特殊調整")</f>
        <v>※特殊調整</v>
      </c>
      <c r="DG113" s="139" t="str">
        <f>IFERROR(__xludf.DUMMYFUNCTION("""COMPUTED_VALUE"""),"自身")</f>
        <v>自身</v>
      </c>
      <c r="DH113" s="139" t="str">
        <f>IFERROR(__xludf.DUMMYFUNCTION("""COMPUTED_VALUE"""),"自身のみ")</f>
        <v>自身のみ</v>
      </c>
      <c r="DI113" s="139" t="str">
        <f>IFERROR(__xludf.DUMMYFUNCTION("""COMPUTED_VALUE"""),"自身")</f>
        <v>自身</v>
      </c>
      <c r="DJ113" s="139" t="str">
        <f>IFERROR(__xludf.DUMMYFUNCTION("""COMPUTED_VALUE"""),"-")</f>
        <v>-</v>
      </c>
    </row>
    <row r="114">
      <c r="A114" s="139" t="str">
        <f>IFERROR(__xludf.DUMMYFUNCTION("""COMPUTED_VALUE"""),"アラガネの子")</f>
        <v>アラガネの子</v>
      </c>
      <c r="B114" s="139" t="str">
        <f>IFERROR(__xludf.DUMMYFUNCTION("""COMPUTED_VALUE"""),"灰")</f>
        <v>灰</v>
      </c>
      <c r="C114" s="139" t="str">
        <f>IFERROR(__xludf.DUMMYFUNCTION("""COMPUTED_VALUE"""),"chara_ara_00001")</f>
        <v>chara_ara_00001</v>
      </c>
      <c r="D114" s="139" t="str">
        <f>IFERROR(__xludf.DUMMYFUNCTION("""COMPUTED_VALUE"""),"DropSR")</f>
        <v>DropSR</v>
      </c>
      <c r="E114" s="139" t="str">
        <f>IFERROR(__xludf.DUMMYFUNCTION("""COMPUTED_VALUE"""),"緑")</f>
        <v>緑</v>
      </c>
      <c r="F114" s="139" t="str">
        <f>IFERROR(__xludf.DUMMYFUNCTION("""COMPUTED_VALUE"""),"アタック")</f>
        <v>アタック</v>
      </c>
      <c r="G114" s="139" t="str">
        <f>IFERROR(__xludf.DUMMYFUNCTION("""COMPUTED_VALUE"""),"中距離")</f>
        <v>中距離</v>
      </c>
      <c r="H114" s="139" t="str">
        <f>IFERROR(__xludf.DUMMYFUNCTION("""COMPUTED_VALUE"""),"zangeki_1")</f>
        <v>zangeki_1</v>
      </c>
      <c r="I114" s="139" t="str">
        <f>IFERROR(__xludf.DUMMYFUNCTION("""COMPUTED_VALUE"""),"-")</f>
        <v>-</v>
      </c>
      <c r="J114" s="139" t="str">
        <f>IFERROR(__xludf.DUMMYFUNCTION("""COMPUTED_VALUE"""),"202603020_ハーフアニバーサリー祭前半")</f>
        <v>202603020_ハーフアニバーサリー祭前半</v>
      </c>
      <c r="K114" s="139" t="str">
        <f>IFERROR(__xludf.DUMMYFUNCTION("""COMPUTED_VALUE"""),"ハーフアニバーサリー")</f>
        <v>ハーフアニバーサリー</v>
      </c>
      <c r="L114" s="139" t="str">
        <f>IFERROR(__xludf.DUMMYFUNCTION("""COMPUTED_VALUE"""),"※")</f>
        <v>※</v>
      </c>
      <c r="M114" s="674">
        <f>IFERROR(__xludf.DUMMYFUNCTION("""COMPUTED_VALUE"""),620.0)</f>
        <v>620</v>
      </c>
      <c r="N114" s="139">
        <f>IFERROR(__xludf.DUMMYFUNCTION("""COMPUTED_VALUE"""),600.0)</f>
        <v>600</v>
      </c>
      <c r="O114" s="139" t="str">
        <f>IFERROR(__xludf.DUMMYFUNCTION("""COMPUTED_VALUE"""),"中コスト")</f>
        <v>中コスト</v>
      </c>
      <c r="P114" s="139">
        <f>IFERROR(__xludf.DUMMYFUNCTION("""COMPUTED_VALUE"""),0.0)</f>
        <v>0</v>
      </c>
      <c r="Q114" s="675">
        <f>IFERROR(__xludf.DUMMYFUNCTION("""COMPUTED_VALUE"""),10.0)</f>
        <v>10</v>
      </c>
      <c r="R114" s="675">
        <f>IFERROR(__xludf.DUMMYFUNCTION("""COMPUTED_VALUE"""),10.0)</f>
        <v>10</v>
      </c>
      <c r="S114" s="675">
        <f>IFERROR(__xludf.DUMMYFUNCTION("""COMPUTED_VALUE"""),13.0)</f>
        <v>13</v>
      </c>
      <c r="T114" s="674">
        <f>IFERROR(__xludf.DUMMYFUNCTION("""COMPUTED_VALUE"""),475.0)</f>
        <v>475</v>
      </c>
      <c r="U114" s="675">
        <f>IFERROR(__xludf.DUMMYFUNCTION("""COMPUTED_VALUE"""),9.533333333333333)</f>
        <v>9.533333333</v>
      </c>
      <c r="V114" s="675">
        <f>IFERROR(__xludf.DUMMYFUNCTION("""COMPUTED_VALUE"""),0.0)</f>
        <v>0</v>
      </c>
      <c r="W114" s="675">
        <f>IFERROR(__xludf.DUMMYFUNCTION("""COMPUTED_VALUE"""),0.0)</f>
        <v>0</v>
      </c>
      <c r="X114" s="675">
        <f>IFERROR(__xludf.DUMMYFUNCTION("""COMPUTED_VALUE"""),0.0)</f>
        <v>0</v>
      </c>
      <c r="Y114" s="674">
        <f>IFERROR(__xludf.DUMMYFUNCTION("""COMPUTED_VALUE"""),250.0)</f>
        <v>250</v>
      </c>
      <c r="Z114" s="675">
        <f>IFERROR(__xludf.DUMMYFUNCTION("""COMPUTED_VALUE"""),4.9833333333333325)</f>
        <v>4.983333333</v>
      </c>
      <c r="AA114" s="675">
        <f>IFERROR(__xludf.DUMMYFUNCTION("""COMPUTED_VALUE"""),0.0)</f>
        <v>0</v>
      </c>
      <c r="AB114" s="673">
        <f>IFERROR(__xludf.DUMMYFUNCTION("""COMPUTED_VALUE"""),0.0)</f>
        <v>0</v>
      </c>
      <c r="AC114" s="675">
        <f>IFERROR(__xludf.DUMMYFUNCTION("""COMPUTED_VALUE"""),0.0)</f>
        <v>0</v>
      </c>
      <c r="AD114" s="674">
        <f>IFERROR(__xludf.DUMMYFUNCTION("""COMPUTED_VALUE"""),1575.0)</f>
        <v>1575</v>
      </c>
      <c r="AE114" s="675">
        <f>IFERROR(__xludf.DUMMYFUNCTION("""COMPUTED_VALUE"""),31.549162997063732)</f>
        <v>31.549163</v>
      </c>
      <c r="AF114" s="675">
        <f>IFERROR(__xludf.DUMMYFUNCTION("""COMPUTED_VALUE"""),0.0)</f>
        <v>0</v>
      </c>
      <c r="AG114" s="673">
        <f>IFERROR(__xludf.DUMMYFUNCTION("""COMPUTED_VALUE"""),20.1)</f>
        <v>20.1</v>
      </c>
      <c r="AH114" s="675">
        <f>IFERROR(__xludf.DUMMYFUNCTION("""COMPUTED_VALUE"""),0.0)</f>
        <v>0</v>
      </c>
      <c r="AI114" s="675">
        <f>IFERROR(__xludf.DUMMYFUNCTION("""COMPUTED_VALUE"""),6.699999999999999)</f>
        <v>6.7</v>
      </c>
      <c r="AJ114" s="675">
        <f>IFERROR(__xludf.DUMMYFUNCTION("""COMPUTED_VALUE"""),24.849162997063733)</f>
        <v>24.849163</v>
      </c>
      <c r="AK114" s="139">
        <f>IFERROR(__xludf.DUMMYFUNCTION("""COMPUTED_VALUE"""),1.0)</f>
        <v>1</v>
      </c>
      <c r="AL114" s="674">
        <f>IFERROR(__xludf.DUMMYFUNCTION("""COMPUTED_VALUE"""),1300.0)</f>
        <v>1300</v>
      </c>
      <c r="AM114" s="688">
        <f>IFERROR(__xludf.DUMMYFUNCTION("""COMPUTED_VALUE"""),8985.896555066156)</f>
        <v>8985.896555</v>
      </c>
      <c r="AN114" s="675">
        <f>IFERROR(__xludf.DUMMYFUNCTION("""COMPUTED_VALUE"""),8.666666666666666)</f>
        <v>8.666666667</v>
      </c>
      <c r="AO114" s="675">
        <f>IFERROR(__xludf.DUMMYFUNCTION("""COMPUTED_VALUE"""),4.333333333333333)</f>
        <v>4.333333333</v>
      </c>
      <c r="AP114" s="674">
        <f>IFERROR(__xludf.DUMMYFUNCTION("""COMPUTED_VALUE"""),1860.0)</f>
        <v>1860</v>
      </c>
      <c r="AQ114" s="673">
        <f>IFERROR(__xludf.DUMMYFUNCTION("""COMPUTED_VALUE"""),-0.2)</f>
        <v>-0.2</v>
      </c>
      <c r="AR114" s="673">
        <f>IFERROR(__xludf.DUMMYFUNCTION("""COMPUTED_VALUE"""),0.0)</f>
        <v>0</v>
      </c>
      <c r="AS114" s="673">
        <f>IFERROR(__xludf.DUMMYFUNCTION("""COMPUTED_VALUE"""),-0.1)</f>
        <v>-0.1</v>
      </c>
      <c r="AT114" s="673">
        <f>IFERROR(__xludf.DUMMYFUNCTION("""COMPUTED_VALUE"""),0.0)</f>
        <v>0</v>
      </c>
      <c r="AU114" s="675">
        <f>IFERROR(__xludf.DUMMYFUNCTION("""COMPUTED_VALUE"""),0.0)</f>
        <v>0</v>
      </c>
      <c r="AV114" s="675">
        <f>IFERROR(__xludf.DUMMYFUNCTION("""COMPUTED_VALUE"""),0.0)</f>
        <v>0</v>
      </c>
      <c r="AW114" s="139"/>
      <c r="AX114" s="674">
        <f>IFERROR(__xludf.DUMMYFUNCTION("""COMPUTED_VALUE"""),2420.0)</f>
        <v>2420</v>
      </c>
      <c r="AY114" s="688">
        <f>IFERROR(__xludf.DUMMYFUNCTION("""COMPUTED_VALUE"""),16728.56804866161)</f>
        <v>16728.56805</v>
      </c>
      <c r="AZ114" s="674">
        <f>IFERROR(__xludf.DUMMYFUNCTION("""COMPUTED_VALUE"""),1610.0)</f>
        <v>1610</v>
      </c>
      <c r="BA114" s="688">
        <f>IFERROR(__xludf.DUMMYFUNCTION("""COMPUTED_VALUE"""),11152.378699107741)</f>
        <v>11152.3787</v>
      </c>
      <c r="BB114" s="688" t="str">
        <f>IFERROR(__xludf.DUMMYFUNCTION("""COMPUTED_VALUE"""),"-")</f>
        <v>-</v>
      </c>
      <c r="BC114" s="688" t="str">
        <f>IFERROR(__xludf.DUMMYFUNCTION("""COMPUTED_VALUE"""),"#VALUE!")</f>
        <v>#VALUE!</v>
      </c>
      <c r="BD114" s="688" t="str">
        <f>IFERROR(__xludf.DUMMYFUNCTION("""COMPUTED_VALUE"""),"#VALUE!")</f>
        <v>#VALUE!</v>
      </c>
      <c r="BE114" s="674">
        <f>IFERROR(__xludf.DUMMYFUNCTION("""COMPUTED_VALUE"""),1610.0)</f>
        <v>1610</v>
      </c>
      <c r="BF114" s="674">
        <f>IFERROR(__xludf.DUMMYFUNCTION("""COMPUTED_VALUE"""),1240.0)</f>
        <v>1240</v>
      </c>
      <c r="BG114" s="673">
        <f>IFERROR(__xludf.DUMMYFUNCTION("""COMPUTED_VALUE"""),0.0)</f>
        <v>0</v>
      </c>
      <c r="BH114" s="673">
        <f>IFERROR(__xludf.DUMMYFUNCTION("""COMPUTED_VALUE"""),0.3)</f>
        <v>0.3</v>
      </c>
      <c r="BI114" s="673">
        <f>IFERROR(__xludf.DUMMYFUNCTION("""COMPUTED_VALUE"""),0.0)</f>
        <v>0</v>
      </c>
      <c r="BJ114" s="673">
        <f>IFERROR(__xludf.DUMMYFUNCTION("""COMPUTED_VALUE"""),0.0)</f>
        <v>0</v>
      </c>
      <c r="BK114" s="673">
        <f>IFERROR(__xludf.DUMMYFUNCTION("""COMPUTED_VALUE"""),0.0)</f>
        <v>0</v>
      </c>
      <c r="BL114" s="673">
        <f>IFERROR(__xludf.DUMMYFUNCTION("""COMPUTED_VALUE"""),0.0)</f>
        <v>0</v>
      </c>
      <c r="BM114" s="674">
        <f>IFERROR(__xludf.DUMMYFUNCTION("""COMPUTED_VALUE"""),75.0)</f>
        <v>75</v>
      </c>
      <c r="BN114" s="674">
        <f>IFERROR(__xludf.DUMMYFUNCTION("""COMPUTED_VALUE"""),75.0)</f>
        <v>75</v>
      </c>
      <c r="BO114" s="675">
        <f>IFERROR(__xludf.DUMMYFUNCTION("""COMPUTED_VALUE"""),0.0)</f>
        <v>0</v>
      </c>
      <c r="BP114" s="675">
        <f>IFERROR(__xludf.DUMMYFUNCTION("""COMPUTED_VALUE"""),1.5)</f>
        <v>1.5</v>
      </c>
      <c r="BQ114" s="139" t="str">
        <f>IFERROR(__xludf.DUMMYFUNCTION("""COMPUTED_VALUE"""),"(中距離)素手・武器・道具")</f>
        <v>(中距離)素手・武器・道具</v>
      </c>
      <c r="BR114" s="139">
        <f>IFERROR(__xludf.DUMMYFUNCTION("""COMPUTED_VALUE"""),2.0)</f>
        <v>2</v>
      </c>
      <c r="BS114" s="139">
        <f>IFERROR(__xludf.DUMMYFUNCTION("""COMPUTED_VALUE"""),40.0)</f>
        <v>40</v>
      </c>
      <c r="BT114" s="139">
        <f>IFERROR(__xludf.DUMMYFUNCTION("""COMPUTED_VALUE"""),0.34)</f>
        <v>0.34</v>
      </c>
      <c r="BU114" s="139">
        <f>IFERROR(__xludf.DUMMYFUNCTION("""COMPUTED_VALUE"""),0.0)</f>
        <v>0</v>
      </c>
      <c r="BV114" s="139" t="str">
        <f>IFERROR(__xludf.DUMMYFUNCTION("""COMPUTED_VALUE"""),"普通-速い")</f>
        <v>普通-速い</v>
      </c>
      <c r="BW114" s="139" t="str">
        <f>IFERROR(__xludf.DUMMYFUNCTION("""COMPUTED_VALUE"""),"ダメージコマ無効化")</f>
        <v>ダメージコマ無効化</v>
      </c>
      <c r="BX114" s="139" t="str">
        <f>IFERROR(__xludf.DUMMYFUNCTION("""COMPUTED_VALUE"""),"-")</f>
        <v>-</v>
      </c>
      <c r="BY114" s="139">
        <f>IFERROR(__xludf.DUMMYFUNCTION("""COMPUTED_VALUE"""),2.0)</f>
        <v>2</v>
      </c>
      <c r="BZ114" s="139" t="str">
        <f>IFERROR(__xludf.DUMMYFUNCTION("""COMPUTED_VALUE"""),"-")</f>
        <v>-</v>
      </c>
      <c r="CA114" s="139" t="str">
        <f>IFERROR(__xludf.DUMMYFUNCTION("""COMPUTED_VALUE"""),"-")</f>
        <v>-</v>
      </c>
      <c r="CB114" s="139" t="str">
        <f>IFERROR(__xludf.DUMMYFUNCTION("""COMPUTED_VALUE"""),"-")</f>
        <v>-</v>
      </c>
      <c r="CC114" s="139" t="str">
        <f>IFERROR(__xludf.DUMMYFUNCTION("""COMPUTED_VALUE"""),"中距離")</f>
        <v>中距離</v>
      </c>
      <c r="CD114" s="139" t="str">
        <f>IFERROR(__xludf.DUMMYFUNCTION("""COMPUTED_VALUE"""),"単体")</f>
        <v>単体</v>
      </c>
      <c r="CE114" s="139">
        <f>IFERROR(__xludf.DUMMYFUNCTION("""COMPUTED_VALUE"""),1.0)</f>
        <v>1</v>
      </c>
      <c r="CF114" s="139">
        <f>IFERROR(__xludf.DUMMYFUNCTION("""COMPUTED_VALUE"""),0.35000000000000003)</f>
        <v>0.35</v>
      </c>
      <c r="CG114" s="139" t="str">
        <f>IFERROR(__xludf.DUMMYFUNCTION("""COMPUTED_VALUE"""),"自身")</f>
        <v>自身</v>
      </c>
      <c r="CH114" s="139" t="str">
        <f>IFERROR(__xludf.DUMMYFUNCTION("""COMPUTED_VALUE"""),"自身")</f>
        <v>自身</v>
      </c>
      <c r="CI114" s="139" t="str">
        <f>IFERROR(__xludf.DUMMYFUNCTION("""COMPUTED_VALUE"""),"該当なし")</f>
        <v>該当なし</v>
      </c>
      <c r="CJ114" s="139" t="str">
        <f>IFERROR(__xludf.DUMMYFUNCTION("""COMPUTED_VALUE"""),"自身のみ")</f>
        <v>自身のみ</v>
      </c>
      <c r="CK114" s="139"/>
      <c r="CL114" s="139"/>
      <c r="CM114" s="139"/>
      <c r="CN114" s="675">
        <f>IFERROR(__xludf.DUMMYFUNCTION("""COMPUTED_VALUE"""),31.549162997063732)</f>
        <v>31.549163</v>
      </c>
      <c r="CO114" s="139" t="str">
        <f>IFERROR(__xludf.DUMMYFUNCTION("""COMPUTED_VALUE"""),"-")</f>
        <v>-</v>
      </c>
      <c r="CP114" s="139" t="str">
        <f>IFERROR(__xludf.DUMMYFUNCTION("""COMPUTED_VALUE"""),"-")</f>
        <v>-</v>
      </c>
      <c r="CQ114" s="139" t="str">
        <f>IFERROR(__xludf.DUMMYFUNCTION("""COMPUTED_VALUE"""),"-")</f>
        <v>-</v>
      </c>
      <c r="CR114" s="139"/>
      <c r="CS114" s="673" t="str">
        <f>IFERROR(__xludf.DUMMYFUNCTION("""COMPUTED_VALUE"""),"ダメージカット(自身)")</f>
        <v>ダメージカット(自身)</v>
      </c>
      <c r="CT114" s="139" t="str">
        <f>IFERROR(__xludf.DUMMYFUNCTION("""COMPUTED_VALUE"""),"安定型")</f>
        <v>安定型</v>
      </c>
      <c r="CU114" s="139" t="str">
        <f>IFERROR(__xludf.DUMMYFUNCTION("""COMPUTED_VALUE"""),"自身")</f>
        <v>自身</v>
      </c>
      <c r="CV114" s="139" t="str">
        <f>IFERROR(__xludf.DUMMYFUNCTION("""COMPUTED_VALUE"""),"All")</f>
        <v>All</v>
      </c>
      <c r="CW114" s="139" t="str">
        <f>IFERROR(__xludf.DUMMYFUNCTION("""COMPUTED_VALUE"""),"All")</f>
        <v>All</v>
      </c>
      <c r="CX114" s="674">
        <f>IFERROR(__xludf.DUMMYFUNCTION("""COMPUTED_VALUE"""),10.0)</f>
        <v>10</v>
      </c>
      <c r="CY114" s="675">
        <f>IFERROR(__xludf.DUMMYFUNCTION("""COMPUTED_VALUE"""),6.7)</f>
        <v>6.7</v>
      </c>
      <c r="CZ114" s="688" t="str">
        <f>IFERROR(__xludf.DUMMYFUNCTION("""COMPUTED_VALUE"""),"-")</f>
        <v>-</v>
      </c>
      <c r="DA114" s="688">
        <f>IFERROR(__xludf.DUMMYFUNCTION("""COMPUTED_VALUE"""),0.0)</f>
        <v>0</v>
      </c>
      <c r="DB114" s="688">
        <f>IFERROR(__xludf.DUMMYFUNCTION("""COMPUTED_VALUE"""),0.0)</f>
        <v>0</v>
      </c>
      <c r="DC114" s="673" t="str">
        <f>IFERROR(__xludf.DUMMYFUNCTION("""COMPUTED_VALUE"""),"-")</f>
        <v>-</v>
      </c>
      <c r="DD114" s="673" t="str">
        <f>IFERROR(__xludf.DUMMYFUNCTION("""COMPUTED_VALUE"""),"-")</f>
        <v>-</v>
      </c>
      <c r="DE114" s="139" t="str">
        <f>IFERROR(__xludf.DUMMYFUNCTION("""COMPUTED_VALUE"""),"-")</f>
        <v>-</v>
      </c>
      <c r="DF114" s="139" t="str">
        <f>IFERROR(__xludf.DUMMYFUNCTION("""COMPUTED_VALUE"""),"-")</f>
        <v>-</v>
      </c>
      <c r="DG114" s="139" t="str">
        <f>IFERROR(__xludf.DUMMYFUNCTION("""COMPUTED_VALUE"""),"-")</f>
        <v>-</v>
      </c>
      <c r="DH114" s="139" t="str">
        <f>IFERROR(__xludf.DUMMYFUNCTION("""COMPUTED_VALUE"""),"-")</f>
        <v>-</v>
      </c>
      <c r="DI114" s="139" t="str">
        <f>IFERROR(__xludf.DUMMYFUNCTION("""COMPUTED_VALUE"""),"-")</f>
        <v>-</v>
      </c>
      <c r="DJ114" s="139" t="str">
        <f>IFERROR(__xludf.DUMMYFUNCTION("""COMPUTED_VALUE"""),"-")</f>
        <v>-</v>
      </c>
    </row>
    <row r="115">
      <c r="A115" s="139" t="str">
        <f>IFERROR(__xludf.DUMMYFUNCTION("""COMPUTED_VALUE"""),"ハイパーインフレーション")</f>
        <v>ハイパーインフレーション</v>
      </c>
      <c r="B115" s="139" t="str">
        <f>IFERROR(__xludf.DUMMYFUNCTION("""COMPUTED_VALUE"""),"ルーク")</f>
        <v>ルーク</v>
      </c>
      <c r="C115" s="139" t="str">
        <f>IFERROR(__xludf.DUMMYFUNCTION("""COMPUTED_VALUE"""),"chara_hyp_00001")</f>
        <v>chara_hyp_00001</v>
      </c>
      <c r="D115" s="139" t="str">
        <f>IFERROR(__xludf.DUMMYFUNCTION("""COMPUTED_VALUE"""),"DropSSR")</f>
        <v>DropSSR</v>
      </c>
      <c r="E115" s="139" t="str">
        <f>IFERROR(__xludf.DUMMYFUNCTION("""COMPUTED_VALUE"""),"緑")</f>
        <v>緑</v>
      </c>
      <c r="F115" s="139" t="str">
        <f>IFERROR(__xludf.DUMMYFUNCTION("""COMPUTED_VALUE"""),"サポート")</f>
        <v>サポート</v>
      </c>
      <c r="G115" s="139" t="str">
        <f>IFERROR(__xludf.DUMMYFUNCTION("""COMPUTED_VALUE"""),"近距離")</f>
        <v>近距離</v>
      </c>
      <c r="H115" s="139" t="str">
        <f>IFERROR(__xludf.DUMMYFUNCTION("""COMPUTED_VALUE"""),"dageki_1")</f>
        <v>dageki_1</v>
      </c>
      <c r="I115" s="139" t="str">
        <f>IFERROR(__xludf.DUMMYFUNCTION("""COMPUTED_VALUE"""),"-")</f>
        <v>-</v>
      </c>
      <c r="J115" s="139" t="str">
        <f>IFERROR(__xludf.DUMMYFUNCTION("""COMPUTED_VALUE"""),"202603020_ハーフアニバーサリー祭前半")</f>
        <v>202603020_ハーフアニバーサリー祭前半</v>
      </c>
      <c r="K115" s="139" t="str">
        <f>IFERROR(__xludf.DUMMYFUNCTION("""COMPUTED_VALUE"""),"ハーフアニバーサリー")</f>
        <v>ハーフアニバーサリー</v>
      </c>
      <c r="L115" s="139" t="str">
        <f>IFERROR(__xludf.DUMMYFUNCTION("""COMPUTED_VALUE"""),"※")</f>
        <v>※</v>
      </c>
      <c r="M115" s="674">
        <f>IFERROR(__xludf.DUMMYFUNCTION("""COMPUTED_VALUE"""),640.0)</f>
        <v>640</v>
      </c>
      <c r="N115" s="139">
        <f>IFERROR(__xludf.DUMMYFUNCTION("""COMPUTED_VALUE"""),600.0)</f>
        <v>600</v>
      </c>
      <c r="O115" s="139" t="str">
        <f>IFERROR(__xludf.DUMMYFUNCTION("""COMPUTED_VALUE"""),"中コスト")</f>
        <v>中コスト</v>
      </c>
      <c r="P115" s="139">
        <f>IFERROR(__xludf.DUMMYFUNCTION("""COMPUTED_VALUE"""),20.0)</f>
        <v>20</v>
      </c>
      <c r="Q115" s="675">
        <f>IFERROR(__xludf.DUMMYFUNCTION("""COMPUTED_VALUE"""),10.0)</f>
        <v>10</v>
      </c>
      <c r="R115" s="675">
        <f>IFERROR(__xludf.DUMMYFUNCTION("""COMPUTED_VALUE"""),10.0)</f>
        <v>10</v>
      </c>
      <c r="S115" s="675">
        <f>IFERROR(__xludf.DUMMYFUNCTION("""COMPUTED_VALUE"""),13.5)</f>
        <v>13.5</v>
      </c>
      <c r="T115" s="674">
        <f>IFERROR(__xludf.DUMMYFUNCTION("""COMPUTED_VALUE"""),500.0)</f>
        <v>500</v>
      </c>
      <c r="U115" s="675">
        <f>IFERROR(__xludf.DUMMYFUNCTION("""COMPUTED_VALUE"""),9.973333333333334)</f>
        <v>9.973333333</v>
      </c>
      <c r="V115" s="675">
        <f>IFERROR(__xludf.DUMMYFUNCTION("""COMPUTED_VALUE"""),0.0)</f>
        <v>0</v>
      </c>
      <c r="W115" s="675">
        <f>IFERROR(__xludf.DUMMYFUNCTION("""COMPUTED_VALUE"""),0.0)</f>
        <v>0</v>
      </c>
      <c r="X115" s="675">
        <f>IFERROR(__xludf.DUMMYFUNCTION("""COMPUTED_VALUE"""),0.0)</f>
        <v>0</v>
      </c>
      <c r="Y115" s="674">
        <f>IFERROR(__xludf.DUMMYFUNCTION("""COMPUTED_VALUE"""),260.0)</f>
        <v>260</v>
      </c>
      <c r="Z115" s="675">
        <f>IFERROR(__xludf.DUMMYFUNCTION("""COMPUTED_VALUE"""),5.213333333333333)</f>
        <v>5.213333333</v>
      </c>
      <c r="AA115" s="675">
        <f>IFERROR(__xludf.DUMMYFUNCTION("""COMPUTED_VALUE"""),0.0)</f>
        <v>0</v>
      </c>
      <c r="AB115" s="673">
        <f>IFERROR(__xludf.DUMMYFUNCTION("""COMPUTED_VALUE"""),0.0)</f>
        <v>0</v>
      </c>
      <c r="AC115" s="675">
        <f>IFERROR(__xludf.DUMMYFUNCTION("""COMPUTED_VALUE"""),0.0)</f>
        <v>0</v>
      </c>
      <c r="AD115" s="674">
        <f>IFERROR(__xludf.DUMMYFUNCTION("""COMPUTED_VALUE"""),1995.0)</f>
        <v>1995</v>
      </c>
      <c r="AE115" s="675">
        <f>IFERROR(__xludf.DUMMYFUNCTION("""COMPUTED_VALUE"""),39.93935481896307)</f>
        <v>39.93935482</v>
      </c>
      <c r="AF115" s="675">
        <f>IFERROR(__xludf.DUMMYFUNCTION("""COMPUTED_VALUE"""),0.0)</f>
        <v>0</v>
      </c>
      <c r="AG115" s="673">
        <f>IFERROR(__xludf.DUMMYFUNCTION("""COMPUTED_VALUE"""),29.400000000000002)</f>
        <v>29.4</v>
      </c>
      <c r="AH115" s="675">
        <f>IFERROR(__xludf.DUMMYFUNCTION("""COMPUTED_VALUE"""),-1.1710394243292297)</f>
        <v>-1.171039424</v>
      </c>
      <c r="AI115" s="675">
        <f>IFERROR(__xludf.DUMMYFUNCTION("""COMPUTED_VALUE"""),9.8)</f>
        <v>9.8</v>
      </c>
      <c r="AJ115" s="675">
        <f>IFERROR(__xludf.DUMMYFUNCTION("""COMPUTED_VALUE"""),30.139354818963067)</f>
        <v>30.13935482</v>
      </c>
      <c r="AK115" s="139">
        <f>IFERROR(__xludf.DUMMYFUNCTION("""COMPUTED_VALUE"""),1.0)</f>
        <v>1</v>
      </c>
      <c r="AL115" s="674">
        <f>IFERROR(__xludf.DUMMYFUNCTION("""COMPUTED_VALUE"""),1360.0)</f>
        <v>1360</v>
      </c>
      <c r="AM115" s="688">
        <f>IFERROR(__xludf.DUMMYFUNCTION("""COMPUTED_VALUE"""),9550.078242223055)</f>
        <v>9550.078242</v>
      </c>
      <c r="AN115" s="675">
        <f>IFERROR(__xludf.DUMMYFUNCTION("""COMPUTED_VALUE"""),9.066666666666666)</f>
        <v>9.066666667</v>
      </c>
      <c r="AO115" s="675">
        <f>IFERROR(__xludf.DUMMYFUNCTION("""COMPUTED_VALUE"""),4.533333333333333)</f>
        <v>4.533333333</v>
      </c>
      <c r="AP115" s="674">
        <f>IFERROR(__xludf.DUMMYFUNCTION("""COMPUTED_VALUE"""),1920.0)</f>
        <v>1920</v>
      </c>
      <c r="AQ115" s="673">
        <f>IFERROR(__xludf.DUMMYFUNCTION("""COMPUTED_VALUE"""),-0.4)</f>
        <v>-0.4</v>
      </c>
      <c r="AR115" s="673">
        <f>IFERROR(__xludf.DUMMYFUNCTION("""COMPUTED_VALUE"""),0.0)</f>
        <v>0</v>
      </c>
      <c r="AS115" s="673">
        <f>IFERROR(__xludf.DUMMYFUNCTION("""COMPUTED_VALUE"""),0.1)</f>
        <v>0.1</v>
      </c>
      <c r="AT115" s="673">
        <f>IFERROR(__xludf.DUMMYFUNCTION("""COMPUTED_VALUE"""),0.01)</f>
        <v>0.01</v>
      </c>
      <c r="AU115" s="675">
        <f>IFERROR(__xludf.DUMMYFUNCTION("""COMPUTED_VALUE"""),0.0)</f>
        <v>0</v>
      </c>
      <c r="AV115" s="675">
        <f>IFERROR(__xludf.DUMMYFUNCTION("""COMPUTED_VALUE"""),0.0)</f>
        <v>0</v>
      </c>
      <c r="AW115" s="139"/>
      <c r="AX115" s="674">
        <f>IFERROR(__xludf.DUMMYFUNCTION("""COMPUTED_VALUE"""),1520.0)</f>
        <v>1520</v>
      </c>
      <c r="AY115" s="688">
        <f>IFERROR(__xludf.DUMMYFUNCTION("""COMPUTED_VALUE"""),10673.962741308118)</f>
        <v>10673.96274</v>
      </c>
      <c r="AZ115" s="674">
        <f>IFERROR(__xludf.DUMMYFUNCTION("""COMPUTED_VALUE"""),1010.0)</f>
        <v>1010</v>
      </c>
      <c r="BA115" s="688">
        <f>IFERROR(__xludf.DUMMYFUNCTION("""COMPUTED_VALUE"""),7115.975160872079)</f>
        <v>7115.975161</v>
      </c>
      <c r="BB115" s="688">
        <f>IFERROR(__xludf.DUMMYFUNCTION("""COMPUTED_VALUE"""),7756.412925350566)</f>
        <v>7756.412925</v>
      </c>
      <c r="BC115" s="688" t="str">
        <f>IFERROR(__xludf.DUMMYFUNCTION("""COMPUTED_VALUE"""),"#VALUE!")</f>
        <v>#VALUE!</v>
      </c>
      <c r="BD115" s="688" t="str">
        <f>IFERROR(__xludf.DUMMYFUNCTION("""COMPUTED_VALUE"""),"#VALUE!")</f>
        <v>#VALUE!</v>
      </c>
      <c r="BE115" s="674">
        <f>IFERROR(__xludf.DUMMYFUNCTION("""COMPUTED_VALUE"""),1010.0)</f>
        <v>1010</v>
      </c>
      <c r="BF115" s="674">
        <f>IFERROR(__xludf.DUMMYFUNCTION("""COMPUTED_VALUE"""),1280.0)</f>
        <v>1280</v>
      </c>
      <c r="BG115" s="673">
        <f>IFERROR(__xludf.DUMMYFUNCTION("""COMPUTED_VALUE"""),-0.01)</f>
        <v>-0.01</v>
      </c>
      <c r="BH115" s="673">
        <f>IFERROR(__xludf.DUMMYFUNCTION("""COMPUTED_VALUE"""),-0.3)</f>
        <v>-0.3</v>
      </c>
      <c r="BI115" s="673">
        <f>IFERROR(__xludf.DUMMYFUNCTION("""COMPUTED_VALUE"""),0.0)</f>
        <v>0</v>
      </c>
      <c r="BJ115" s="673">
        <f>IFERROR(__xludf.DUMMYFUNCTION("""COMPUTED_VALUE"""),0.0)</f>
        <v>0</v>
      </c>
      <c r="BK115" s="673">
        <f>IFERROR(__xludf.DUMMYFUNCTION("""COMPUTED_VALUE"""),0.0)</f>
        <v>0</v>
      </c>
      <c r="BL115" s="673">
        <f>IFERROR(__xludf.DUMMYFUNCTION("""COMPUTED_VALUE"""),0.1)</f>
        <v>0.1</v>
      </c>
      <c r="BM115" s="674">
        <f>IFERROR(__xludf.DUMMYFUNCTION("""COMPUTED_VALUE"""),75.0)</f>
        <v>75</v>
      </c>
      <c r="BN115" s="674">
        <f>IFERROR(__xludf.DUMMYFUNCTION("""COMPUTED_VALUE"""),75.0)</f>
        <v>75</v>
      </c>
      <c r="BO115" s="675">
        <f>IFERROR(__xludf.DUMMYFUNCTION("""COMPUTED_VALUE"""),0.0)</f>
        <v>0</v>
      </c>
      <c r="BP115" s="675">
        <f>IFERROR(__xludf.DUMMYFUNCTION("""COMPUTED_VALUE"""),1.5)</f>
        <v>1.5</v>
      </c>
      <c r="BQ115" s="139" t="str">
        <f>IFERROR(__xludf.DUMMYFUNCTION("""COMPUTED_VALUE"""),"(近距離)武器・道具・特殊攻撃")</f>
        <v>(近距離)武器・道具・特殊攻撃</v>
      </c>
      <c r="BR115" s="139">
        <f>IFERROR(__xludf.DUMMYFUNCTION("""COMPUTED_VALUE"""),2.0)</f>
        <v>2</v>
      </c>
      <c r="BS115" s="139">
        <f>IFERROR(__xludf.DUMMYFUNCTION("""COMPUTED_VALUE"""),35.0)</f>
        <v>35</v>
      </c>
      <c r="BT115" s="139">
        <f>IFERROR(__xludf.DUMMYFUNCTION("""COMPUTED_VALUE"""),0.32)</f>
        <v>0.32</v>
      </c>
      <c r="BU115" s="139">
        <f>IFERROR(__xludf.DUMMYFUNCTION("""COMPUTED_VALUE"""),0.0)</f>
        <v>0</v>
      </c>
      <c r="BV115" s="139" t="str">
        <f>IFERROR(__xludf.DUMMYFUNCTION("""COMPUTED_VALUE"""),"普通")</f>
        <v>普通</v>
      </c>
      <c r="BW115" s="139" t="str">
        <f>IFERROR(__xludf.DUMMYFUNCTION("""COMPUTED_VALUE"""),"ダメージコマ無効化")</f>
        <v>ダメージコマ無効化</v>
      </c>
      <c r="BX115" s="139" t="str">
        <f>IFERROR(__xludf.DUMMYFUNCTION("""COMPUTED_VALUE"""),"-")</f>
        <v>-</v>
      </c>
      <c r="BY115" s="139">
        <f>IFERROR(__xludf.DUMMYFUNCTION("""COMPUTED_VALUE"""),0.0)</f>
        <v>0</v>
      </c>
      <c r="BZ115" s="139" t="str">
        <f>IFERROR(__xludf.DUMMYFUNCTION("""COMPUTED_VALUE"""),"-")</f>
        <v>-</v>
      </c>
      <c r="CA115" s="139" t="str">
        <f>IFERROR(__xludf.DUMMYFUNCTION("""COMPUTED_VALUE"""),"-")</f>
        <v>-</v>
      </c>
      <c r="CB115" s="139" t="str">
        <f>IFERROR(__xludf.DUMMYFUNCTION("""COMPUTED_VALUE"""),"-")</f>
        <v>-</v>
      </c>
      <c r="CC115" s="139" t="str">
        <f>IFERROR(__xludf.DUMMYFUNCTION("""COMPUTED_VALUE"""),"近距離")</f>
        <v>近距離</v>
      </c>
      <c r="CD115" s="139" t="str">
        <f>IFERROR(__xludf.DUMMYFUNCTION("""COMPUTED_VALUE"""),"単体")</f>
        <v>単体</v>
      </c>
      <c r="CE115" s="139">
        <f>IFERROR(__xludf.DUMMYFUNCTION("""COMPUTED_VALUE"""),1.0)</f>
        <v>1</v>
      </c>
      <c r="CF115" s="139">
        <f>IFERROR(__xludf.DUMMYFUNCTION("""COMPUTED_VALUE"""),0.33)</f>
        <v>0.33</v>
      </c>
      <c r="CG115" s="139" t="str">
        <f>IFERROR(__xludf.DUMMYFUNCTION("""COMPUTED_VALUE"""),"自身と１つ後ろまでのコマにいる味方")</f>
        <v>自身と１つ後ろまでのコマにいる味方</v>
      </c>
      <c r="CH115" s="139" t="str">
        <f>IFERROR(__xludf.DUMMYFUNCTION("""COMPUTED_VALUE"""),"範囲(コマ)-1,0")</f>
        <v>範囲(コマ)-1,0</v>
      </c>
      <c r="CI115" s="139" t="str">
        <f>IFERROR(__xludf.DUMMYFUNCTION("""COMPUTED_VALUE"""),"-")</f>
        <v>-</v>
      </c>
      <c r="CJ115" s="139" t="str">
        <f>IFERROR(__xludf.DUMMYFUNCTION("""COMPUTED_VALUE"""),"(コマ)-1,0")</f>
        <v>(コマ)-1,0</v>
      </c>
      <c r="CK115" s="139"/>
      <c r="CL115" s="139"/>
      <c r="CM115" s="139"/>
      <c r="CN115" s="675">
        <f>IFERROR(__xludf.DUMMYFUNCTION("""COMPUTED_VALUE"""),39.93935481896307)</f>
        <v>39.93935482</v>
      </c>
      <c r="CO115" s="139" t="str">
        <f>IFERROR(__xludf.DUMMYFUNCTION("""COMPUTED_VALUE"""),"-")</f>
        <v>-</v>
      </c>
      <c r="CP115" s="139" t="str">
        <f>IFERROR(__xludf.DUMMYFUNCTION("""COMPUTED_VALUE"""),"-")</f>
        <v>-</v>
      </c>
      <c r="CQ115" s="139" t="str">
        <f>IFERROR(__xludf.DUMMYFUNCTION("""COMPUTED_VALUE"""),"-")</f>
        <v>-</v>
      </c>
      <c r="CR115" s="139"/>
      <c r="CS115" s="673" t="str">
        <f>IFERROR(__xludf.DUMMYFUNCTION("""COMPUTED_VALUE"""),"攻撃力UP(アタック)")</f>
        <v>攻撃力UP(アタック)</v>
      </c>
      <c r="CT115" s="139" t="str">
        <f>IFERROR(__xludf.DUMMYFUNCTION("""COMPUTED_VALUE"""),"持続型")</f>
        <v>持続型</v>
      </c>
      <c r="CU115" s="139" t="str">
        <f>IFERROR(__xludf.DUMMYFUNCTION("""COMPUTED_VALUE"""),"味方")</f>
        <v>味方</v>
      </c>
      <c r="CV115" s="139" t="str">
        <f>IFERROR(__xludf.DUMMYFUNCTION("""COMPUTED_VALUE"""),"All")</f>
        <v>All</v>
      </c>
      <c r="CW115" s="139" t="str">
        <f>IFERROR(__xludf.DUMMYFUNCTION("""COMPUTED_VALUE"""),"アタック")</f>
        <v>アタック</v>
      </c>
      <c r="CX115" s="674">
        <f>IFERROR(__xludf.DUMMYFUNCTION("""COMPUTED_VALUE"""),9.0)</f>
        <v>9</v>
      </c>
      <c r="CY115" s="675">
        <f>IFERROR(__xludf.DUMMYFUNCTION("""COMPUTED_VALUE"""),9.8)</f>
        <v>9.8</v>
      </c>
      <c r="CZ115" s="688" t="str">
        <f>IFERROR(__xludf.DUMMYFUNCTION("""COMPUTED_VALUE"""),"-")</f>
        <v>-</v>
      </c>
      <c r="DA115" s="688">
        <f>IFERROR(__xludf.DUMMYFUNCTION("""COMPUTED_VALUE"""),0.0)</f>
        <v>0</v>
      </c>
      <c r="DB115" s="688">
        <f>IFERROR(__xludf.DUMMYFUNCTION("""COMPUTED_VALUE"""),0.0)</f>
        <v>0</v>
      </c>
      <c r="DC115" s="673" t="str">
        <f>IFERROR(__xludf.DUMMYFUNCTION("""COMPUTED_VALUE"""),"-")</f>
        <v>-</v>
      </c>
      <c r="DD115" s="673" t="str">
        <f>IFERROR(__xludf.DUMMYFUNCTION("""COMPUTED_VALUE"""),"-")</f>
        <v>-</v>
      </c>
      <c r="DE115" s="139" t="str">
        <f>IFERROR(__xludf.DUMMYFUNCTION("""COMPUTED_VALUE"""),"-")</f>
        <v>-</v>
      </c>
      <c r="DF115" s="139" t="str">
        <f>IFERROR(__xludf.DUMMYFUNCTION("""COMPUTED_VALUE"""),"-")</f>
        <v>-</v>
      </c>
      <c r="DG115" s="139" t="str">
        <f>IFERROR(__xludf.DUMMYFUNCTION("""COMPUTED_VALUE"""),"-")</f>
        <v>-</v>
      </c>
      <c r="DH115" s="139" t="str">
        <f>IFERROR(__xludf.DUMMYFUNCTION("""COMPUTED_VALUE"""),"-")</f>
        <v>-</v>
      </c>
      <c r="DI115" s="139" t="str">
        <f>IFERROR(__xludf.DUMMYFUNCTION("""COMPUTED_VALUE"""),"-")</f>
        <v>-</v>
      </c>
      <c r="DJ115" s="139" t="str">
        <f>IFERROR(__xludf.DUMMYFUNCTION("""COMPUTED_VALUE"""),"-")</f>
        <v>-</v>
      </c>
    </row>
    <row r="116">
      <c r="A116" s="139" t="str">
        <f>IFERROR(__xludf.DUMMYFUNCTION("""COMPUTED_VALUE"""),"ゲーミングお嬢様")</f>
        <v>ゲーミングお嬢様</v>
      </c>
      <c r="B116" s="139" t="str">
        <f>IFERROR(__xludf.DUMMYFUNCTION("""COMPUTED_VALUE"""),"祥龍院 隆子")</f>
        <v>祥龍院 隆子</v>
      </c>
      <c r="C116" s="139" t="str">
        <f>IFERROR(__xludf.DUMMYFUNCTION("""COMPUTED_VALUE"""),"chara_gam_00001")</f>
        <v>chara_gam_00001</v>
      </c>
      <c r="D116" s="139" t="str">
        <f>IFERROR(__xludf.DUMMYFUNCTION("""COMPUTED_VALUE"""),"PremiumSSR")</f>
        <v>PremiumSSR</v>
      </c>
      <c r="E116" s="139" t="str">
        <f>IFERROR(__xludf.DUMMYFUNCTION("""COMPUTED_VALUE"""),"黄")</f>
        <v>黄</v>
      </c>
      <c r="F116" s="139" t="str">
        <f>IFERROR(__xludf.DUMMYFUNCTION("""COMPUTED_VALUE"""),"アタック")</f>
        <v>アタック</v>
      </c>
      <c r="G116" s="139" t="str">
        <f>IFERROR(__xludf.DUMMYFUNCTION("""COMPUTED_VALUE"""),"近距離")</f>
        <v>近距離</v>
      </c>
      <c r="H116" s="139" t="str">
        <f>IFERROR(__xludf.DUMMYFUNCTION("""COMPUTED_VALUE"""),"dageki_1")</f>
        <v>dageki_1</v>
      </c>
      <c r="I116" s="139" t="str">
        <f>IFERROR(__xludf.DUMMYFUNCTION("""COMPUTED_VALUE"""),"-")</f>
        <v>-</v>
      </c>
      <c r="J116" s="139" t="str">
        <f>IFERROR(__xludf.DUMMYFUNCTION("""COMPUTED_VALUE"""),"202603020_ハーフアニバーサリー祭前半")</f>
        <v>202603020_ハーフアニバーサリー祭前半</v>
      </c>
      <c r="K116" s="139" t="str">
        <f>IFERROR(__xludf.DUMMYFUNCTION("""COMPUTED_VALUE"""),"ハーフアニバーサリー")</f>
        <v>ハーフアニバーサリー</v>
      </c>
      <c r="L116" s="139" t="str">
        <f>IFERROR(__xludf.DUMMYFUNCTION("""COMPUTED_VALUE"""),"※")</f>
        <v>※</v>
      </c>
      <c r="M116" s="674">
        <f>IFERROR(__xludf.DUMMYFUNCTION("""COMPUTED_VALUE"""),290.0)</f>
        <v>290</v>
      </c>
      <c r="N116" s="139">
        <f>IFERROR(__xludf.DUMMYFUNCTION("""COMPUTED_VALUE"""),200.0)</f>
        <v>200</v>
      </c>
      <c r="O116" s="139" t="str">
        <f>IFERROR(__xludf.DUMMYFUNCTION("""COMPUTED_VALUE"""),"低コスト")</f>
        <v>低コスト</v>
      </c>
      <c r="P116" s="139">
        <f>IFERROR(__xludf.DUMMYFUNCTION("""COMPUTED_VALUE"""),50.0)</f>
        <v>50</v>
      </c>
      <c r="Q116" s="675">
        <f>IFERROR(__xludf.DUMMYFUNCTION("""COMPUTED_VALUE"""),10.0)</f>
        <v>10</v>
      </c>
      <c r="R116" s="675">
        <f>IFERROR(__xludf.DUMMYFUNCTION("""COMPUTED_VALUE"""),30.0)</f>
        <v>30</v>
      </c>
      <c r="S116" s="675">
        <f>IFERROR(__xludf.DUMMYFUNCTION("""COMPUTED_VALUE"""),4.75)</f>
        <v>4.75</v>
      </c>
      <c r="T116" s="674">
        <f>IFERROR(__xludf.DUMMYFUNCTION("""COMPUTED_VALUE"""),260.0)</f>
        <v>260</v>
      </c>
      <c r="U116" s="675">
        <f>IFERROR(__xludf.DUMMYFUNCTION("""COMPUTED_VALUE"""),5.220000000000001)</f>
        <v>5.22</v>
      </c>
      <c r="V116" s="675">
        <f>IFERROR(__xludf.DUMMYFUNCTION("""COMPUTED_VALUE"""),-0.5)</f>
        <v>-0.5</v>
      </c>
      <c r="W116" s="675">
        <f>IFERROR(__xludf.DUMMYFUNCTION("""COMPUTED_VALUE"""),0.0)</f>
        <v>0</v>
      </c>
      <c r="X116" s="675">
        <f>IFERROR(__xludf.DUMMYFUNCTION("""COMPUTED_VALUE"""),0.0)</f>
        <v>0</v>
      </c>
      <c r="Y116" s="674">
        <f>IFERROR(__xludf.DUMMYFUNCTION("""COMPUTED_VALUE"""),150.0)</f>
        <v>150</v>
      </c>
      <c r="Z116" s="675">
        <f>IFERROR(__xludf.DUMMYFUNCTION("""COMPUTED_VALUE"""),2.9899999999999998)</f>
        <v>2.99</v>
      </c>
      <c r="AA116" s="675">
        <f>IFERROR(__xludf.DUMMYFUNCTION("""COMPUTED_VALUE"""),0.0)</f>
        <v>0</v>
      </c>
      <c r="AB116" s="673">
        <f>IFERROR(__xludf.DUMMYFUNCTION("""COMPUTED_VALUE"""),0.0)</f>
        <v>0</v>
      </c>
      <c r="AC116" s="675">
        <f>IFERROR(__xludf.DUMMYFUNCTION("""COMPUTED_VALUE"""),0.0)</f>
        <v>0</v>
      </c>
      <c r="AD116" s="674">
        <f>IFERROR(__xludf.DUMMYFUNCTION("""COMPUTED_VALUE"""),880.0)</f>
        <v>880</v>
      </c>
      <c r="AE116" s="675">
        <f>IFERROR(__xludf.DUMMYFUNCTION("""COMPUTED_VALUE"""),17.581635170815566)</f>
        <v>17.58163517</v>
      </c>
      <c r="AF116" s="675">
        <f>IFERROR(__xludf.DUMMYFUNCTION("""COMPUTED_VALUE"""),0.0)</f>
        <v>0</v>
      </c>
      <c r="AG116" s="673">
        <f>IFERROR(__xludf.DUMMYFUNCTION("""COMPUTED_VALUE"""),9.600000000000001)</f>
        <v>9.6</v>
      </c>
      <c r="AH116" s="675">
        <f>IFERROR(__xludf.DUMMYFUNCTION("""COMPUTED_VALUE"""),-0.8868483523128406)</f>
        <v>-0.8868483523</v>
      </c>
      <c r="AI116" s="675">
        <f>IFERROR(__xludf.DUMMYFUNCTION("""COMPUTED_VALUE"""),3.1999999999999993)</f>
        <v>3.2</v>
      </c>
      <c r="AJ116" s="675">
        <f>IFERROR(__xludf.DUMMYFUNCTION("""COMPUTED_VALUE"""),14.381635170815567)</f>
        <v>14.38163517</v>
      </c>
      <c r="AK116" s="139">
        <f>IFERROR(__xludf.DUMMYFUNCTION("""COMPUTED_VALUE"""),1.0)</f>
        <v>1</v>
      </c>
      <c r="AL116" s="674">
        <f>IFERROR(__xludf.DUMMYFUNCTION("""COMPUTED_VALUE"""),780.0)</f>
        <v>780</v>
      </c>
      <c r="AM116" s="688">
        <f>IFERROR(__xludf.DUMMYFUNCTION("""COMPUTED_VALUE"""),5946.241933039693)</f>
        <v>5946.241933</v>
      </c>
      <c r="AN116" s="675">
        <f>IFERROR(__xludf.DUMMYFUNCTION("""COMPUTED_VALUE"""),5.2)</f>
        <v>5.2</v>
      </c>
      <c r="AO116" s="675">
        <f>IFERROR(__xludf.DUMMYFUNCTION("""COMPUTED_VALUE"""),2.6)</f>
        <v>2.6</v>
      </c>
      <c r="AP116" s="674">
        <f>IFERROR(__xludf.DUMMYFUNCTION("""COMPUTED_VALUE"""),870.0)</f>
        <v>870</v>
      </c>
      <c r="AQ116" s="673">
        <f>IFERROR(__xludf.DUMMYFUNCTION("""COMPUTED_VALUE"""),-0.2)</f>
        <v>-0.2</v>
      </c>
      <c r="AR116" s="673">
        <f>IFERROR(__xludf.DUMMYFUNCTION("""COMPUTED_VALUE"""),0.0)</f>
        <v>0</v>
      </c>
      <c r="AS116" s="673">
        <f>IFERROR(__xludf.DUMMYFUNCTION("""COMPUTED_VALUE"""),0.1)</f>
        <v>0.1</v>
      </c>
      <c r="AT116" s="673">
        <f>IFERROR(__xludf.DUMMYFUNCTION("""COMPUTED_VALUE"""),0.0)</f>
        <v>0</v>
      </c>
      <c r="AU116" s="675">
        <f>IFERROR(__xludf.DUMMYFUNCTION("""COMPUTED_VALUE"""),0.0)</f>
        <v>0</v>
      </c>
      <c r="AV116" s="675">
        <f>IFERROR(__xludf.DUMMYFUNCTION("""COMPUTED_VALUE"""),0.0)</f>
        <v>0</v>
      </c>
      <c r="AW116" s="139"/>
      <c r="AX116" s="674">
        <f>IFERROR(__xludf.DUMMYFUNCTION("""COMPUTED_VALUE"""),950.0)</f>
        <v>950</v>
      </c>
      <c r="AY116" s="688">
        <f>IFERROR(__xludf.DUMMYFUNCTION("""COMPUTED_VALUE"""),7243.536713317575)</f>
        <v>7243.536713</v>
      </c>
      <c r="AZ116" s="674">
        <f>IFERROR(__xludf.DUMMYFUNCTION("""COMPUTED_VALUE"""),950.0)</f>
        <v>950</v>
      </c>
      <c r="BA116" s="688">
        <f>IFERROR(__xludf.DUMMYFUNCTION("""COMPUTED_VALUE"""),7243.536713317575)</f>
        <v>7243.536713</v>
      </c>
      <c r="BB116" s="688">
        <f>IFERROR(__xludf.DUMMYFUNCTION("""COMPUTED_VALUE"""),11589.658741308122)</f>
        <v>11589.65874</v>
      </c>
      <c r="BC116" s="688" t="str">
        <f>IFERROR(__xludf.DUMMYFUNCTION("""COMPUTED_VALUE"""),"#VALUE!")</f>
        <v>#VALUE!</v>
      </c>
      <c r="BD116" s="688" t="str">
        <f>IFERROR(__xludf.DUMMYFUNCTION("""COMPUTED_VALUE"""),"#VALUE!")</f>
        <v>#VALUE!</v>
      </c>
      <c r="BE116" s="674">
        <f>IFERROR(__xludf.DUMMYFUNCTION("""COMPUTED_VALUE"""),950.0)</f>
        <v>950</v>
      </c>
      <c r="BF116" s="674">
        <f>IFERROR(__xludf.DUMMYFUNCTION("""COMPUTED_VALUE"""),580.0)</f>
        <v>580</v>
      </c>
      <c r="BG116" s="673">
        <f>IFERROR(__xludf.DUMMYFUNCTION("""COMPUTED_VALUE"""),0.0)</f>
        <v>0</v>
      </c>
      <c r="BH116" s="673">
        <f>IFERROR(__xludf.DUMMYFUNCTION("""COMPUTED_VALUE"""),0.3)</f>
        <v>0.3</v>
      </c>
      <c r="BI116" s="673">
        <f>IFERROR(__xludf.DUMMYFUNCTION("""COMPUTED_VALUE"""),0.0)</f>
        <v>0</v>
      </c>
      <c r="BJ116" s="673">
        <f>IFERROR(__xludf.DUMMYFUNCTION("""COMPUTED_VALUE"""),0.14)</f>
        <v>0.14</v>
      </c>
      <c r="BK116" s="673">
        <f>IFERROR(__xludf.DUMMYFUNCTION("""COMPUTED_VALUE"""),0.0)</f>
        <v>0</v>
      </c>
      <c r="BL116" s="673">
        <f>IFERROR(__xludf.DUMMYFUNCTION("""COMPUTED_VALUE"""),0.2)</f>
        <v>0.2</v>
      </c>
      <c r="BM116" s="674">
        <f>IFERROR(__xludf.DUMMYFUNCTION("""COMPUTED_VALUE"""),50.0)</f>
        <v>50</v>
      </c>
      <c r="BN116" s="674">
        <f>IFERROR(__xludf.DUMMYFUNCTION("""COMPUTED_VALUE"""),50.0)</f>
        <v>50</v>
      </c>
      <c r="BO116" s="675">
        <f>IFERROR(__xludf.DUMMYFUNCTION("""COMPUTED_VALUE"""),0.0)</f>
        <v>0</v>
      </c>
      <c r="BP116" s="675">
        <f>IFERROR(__xludf.DUMMYFUNCTION("""COMPUTED_VALUE"""),1.0)</f>
        <v>1</v>
      </c>
      <c r="BQ116" s="139" t="str">
        <f>IFERROR(__xludf.DUMMYFUNCTION("""COMPUTED_VALUE"""),"(近距離)武器・道具・特殊攻撃")</f>
        <v>(近距離)武器・道具・特殊攻撃</v>
      </c>
      <c r="BR116" s="139">
        <f>IFERROR(__xludf.DUMMYFUNCTION("""COMPUTED_VALUE"""),2.0)</f>
        <v>2</v>
      </c>
      <c r="BS116" s="139">
        <f>IFERROR(__xludf.DUMMYFUNCTION("""COMPUTED_VALUE"""),25.0)</f>
        <v>25</v>
      </c>
      <c r="BT116" s="139">
        <f>IFERROR(__xludf.DUMMYFUNCTION("""COMPUTED_VALUE"""),0.29)</f>
        <v>0.29</v>
      </c>
      <c r="BU116" s="139">
        <f>IFERROR(__xludf.DUMMYFUNCTION("""COMPUTED_VALUE"""),0.0)</f>
        <v>0</v>
      </c>
      <c r="BV116" s="139" t="str">
        <f>IFERROR(__xludf.DUMMYFUNCTION("""COMPUTED_VALUE"""),"遅い")</f>
        <v>遅い</v>
      </c>
      <c r="BW116" s="139" t="str">
        <f>IFERROR(__xludf.DUMMYFUNCTION("""COMPUTED_VALUE"""),"体力条件強化(以上/攻撃)")</f>
        <v>体力条件強化(以上/攻撃)</v>
      </c>
      <c r="BX116" s="139" t="str">
        <f>IFERROR(__xludf.DUMMYFUNCTION("""COMPUTED_VALUE"""),"HP70/30")</f>
        <v>HP70/30</v>
      </c>
      <c r="BY116" s="139">
        <f>IFERROR(__xludf.DUMMYFUNCTION("""COMPUTED_VALUE"""),0.0)</f>
        <v>0</v>
      </c>
      <c r="BZ116" s="139" t="str">
        <f>IFERROR(__xludf.DUMMYFUNCTION("""COMPUTED_VALUE"""),"-")</f>
        <v>-</v>
      </c>
      <c r="CA116" s="139" t="str">
        <f>IFERROR(__xludf.DUMMYFUNCTION("""COMPUTED_VALUE"""),"-")</f>
        <v>-</v>
      </c>
      <c r="CB116" s="139" t="str">
        <f>IFERROR(__xludf.DUMMYFUNCTION("""COMPUTED_VALUE"""),"-")</f>
        <v>-</v>
      </c>
      <c r="CC116" s="139" t="str">
        <f>IFERROR(__xludf.DUMMYFUNCTION("""COMPUTED_VALUE"""),"近距離")</f>
        <v>近距離</v>
      </c>
      <c r="CD116" s="139" t="str">
        <f>IFERROR(__xludf.DUMMYFUNCTION("""COMPUTED_VALUE"""),"単体")</f>
        <v>単体</v>
      </c>
      <c r="CE116" s="139">
        <f>IFERROR(__xludf.DUMMYFUNCTION("""COMPUTED_VALUE"""),1.0)</f>
        <v>1</v>
      </c>
      <c r="CF116" s="139">
        <f>IFERROR(__xludf.DUMMYFUNCTION("""COMPUTED_VALUE"""),0.3)</f>
        <v>0.3</v>
      </c>
      <c r="CG116" s="139" t="str">
        <f>IFERROR(__xludf.DUMMYFUNCTION("""COMPUTED_VALUE"""),"自身")</f>
        <v>自身</v>
      </c>
      <c r="CH116" s="139" t="str">
        <f>IFERROR(__xludf.DUMMYFUNCTION("""COMPUTED_VALUE"""),"自身")</f>
        <v>自身</v>
      </c>
      <c r="CI116" s="139" t="str">
        <f>IFERROR(__xludf.DUMMYFUNCTION("""COMPUTED_VALUE"""),"該当なし")</f>
        <v>該当なし</v>
      </c>
      <c r="CJ116" s="139" t="str">
        <f>IFERROR(__xludf.DUMMYFUNCTION("""COMPUTED_VALUE"""),"自身のみ")</f>
        <v>自身のみ</v>
      </c>
      <c r="CK116" s="139"/>
      <c r="CL116" s="139"/>
      <c r="CM116" s="139"/>
      <c r="CN116" s="675">
        <f>IFERROR(__xludf.DUMMYFUNCTION("""COMPUTED_VALUE"""),17.581635170815566)</f>
        <v>17.58163517</v>
      </c>
      <c r="CO116" s="139" t="str">
        <f>IFERROR(__xludf.DUMMYFUNCTION("""COMPUTED_VALUE"""),"-")</f>
        <v>-</v>
      </c>
      <c r="CP116" s="139" t="str">
        <f>IFERROR(__xludf.DUMMYFUNCTION("""COMPUTED_VALUE"""),"-")</f>
        <v>-</v>
      </c>
      <c r="CQ116" s="139" t="str">
        <f>IFERROR(__xludf.DUMMYFUNCTION("""COMPUTED_VALUE"""),"-")</f>
        <v>-</v>
      </c>
      <c r="CR116" s="139"/>
      <c r="CS116" s="673" t="str">
        <f>IFERROR(__xludf.DUMMYFUNCTION("""COMPUTED_VALUE"""),"攻撃力UP(自身)")</f>
        <v>攻撃力UP(自身)</v>
      </c>
      <c r="CT116" s="139" t="str">
        <f>IFERROR(__xludf.DUMMYFUNCTION("""COMPUTED_VALUE"""),"※特殊調整")</f>
        <v>※特殊調整</v>
      </c>
      <c r="CU116" s="139" t="str">
        <f>IFERROR(__xludf.DUMMYFUNCTION("""COMPUTED_VALUE"""),"自身")</f>
        <v>自身</v>
      </c>
      <c r="CV116" s="139" t="str">
        <f>IFERROR(__xludf.DUMMYFUNCTION("""COMPUTED_VALUE"""),"All")</f>
        <v>All</v>
      </c>
      <c r="CW116" s="139" t="str">
        <f>IFERROR(__xludf.DUMMYFUNCTION("""COMPUTED_VALUE"""),"All")</f>
        <v>All</v>
      </c>
      <c r="CX116" s="674">
        <f>IFERROR(__xludf.DUMMYFUNCTION("""COMPUTED_VALUE"""),60.0)</f>
        <v>60</v>
      </c>
      <c r="CY116" s="675">
        <f>IFERROR(__xludf.DUMMYFUNCTION("""COMPUTED_VALUE"""),3.2)</f>
        <v>3.2</v>
      </c>
      <c r="CZ116" s="688" t="str">
        <f>IFERROR(__xludf.DUMMYFUNCTION("""COMPUTED_VALUE"""),"-")</f>
        <v>-</v>
      </c>
      <c r="DA116" s="688">
        <f>IFERROR(__xludf.DUMMYFUNCTION("""COMPUTED_VALUE"""),0.0)</f>
        <v>0</v>
      </c>
      <c r="DB116" s="688">
        <f>IFERROR(__xludf.DUMMYFUNCTION("""COMPUTED_VALUE"""),0.0)</f>
        <v>0</v>
      </c>
      <c r="DC116" s="673" t="str">
        <f>IFERROR(__xludf.DUMMYFUNCTION("""COMPUTED_VALUE"""),"-")</f>
        <v>-</v>
      </c>
      <c r="DD116" s="673" t="str">
        <f>IFERROR(__xludf.DUMMYFUNCTION("""COMPUTED_VALUE"""),"-")</f>
        <v>-</v>
      </c>
      <c r="DE116" s="139" t="str">
        <f>IFERROR(__xludf.DUMMYFUNCTION("""COMPUTED_VALUE"""),"-")</f>
        <v>-</v>
      </c>
      <c r="DF116" s="139" t="str">
        <f>IFERROR(__xludf.DUMMYFUNCTION("""COMPUTED_VALUE"""),"-")</f>
        <v>-</v>
      </c>
      <c r="DG116" s="139" t="str">
        <f>IFERROR(__xludf.DUMMYFUNCTION("""COMPUTED_VALUE"""),"-")</f>
        <v>-</v>
      </c>
      <c r="DH116" s="139" t="str">
        <f>IFERROR(__xludf.DUMMYFUNCTION("""COMPUTED_VALUE"""),"-")</f>
        <v>-</v>
      </c>
      <c r="DI116" s="139" t="str">
        <f>IFERROR(__xludf.DUMMYFUNCTION("""COMPUTED_VALUE"""),"-")</f>
        <v>-</v>
      </c>
      <c r="DJ116" s="139" t="str">
        <f>IFERROR(__xludf.DUMMYFUNCTION("""COMPUTED_VALUE"""),"-")</f>
        <v>-</v>
      </c>
    </row>
    <row r="117">
      <c r="A117" s="139" t="str">
        <f>IFERROR(__xludf.DUMMYFUNCTION("""COMPUTED_VALUE"""),"怪獣８号")</f>
        <v>怪獣８号</v>
      </c>
      <c r="B117" s="139" t="str">
        <f>IFERROR(__xludf.DUMMYFUNCTION("""COMPUTED_VALUE"""),"識別怪獣兵器6 市川 レノ")</f>
        <v>識別怪獣兵器6 市川 レノ</v>
      </c>
      <c r="C117" s="139" t="str">
        <f>IFERROR(__xludf.DUMMYFUNCTION("""COMPUTED_VALUE"""),"chara_kai_00102")</f>
        <v>chara_kai_00102</v>
      </c>
      <c r="D117" s="139" t="str">
        <f>IFERROR(__xludf.DUMMYFUNCTION("""COMPUTED_VALUE"""),"PremiumUR")</f>
        <v>PremiumUR</v>
      </c>
      <c r="E117" s="139" t="str">
        <f>IFERROR(__xludf.DUMMYFUNCTION("""COMPUTED_VALUE"""),"黄")</f>
        <v>黄</v>
      </c>
      <c r="F117" s="139" t="str">
        <f>IFERROR(__xludf.DUMMYFUNCTION("""COMPUTED_VALUE"""),"テクニカル")</f>
        <v>テクニカル</v>
      </c>
      <c r="G117" s="139" t="str">
        <f>IFERROR(__xludf.DUMMYFUNCTION("""COMPUTED_VALUE"""),"遠距離")</f>
        <v>遠距離</v>
      </c>
      <c r="H117" s="139" t="str">
        <f>IFERROR(__xludf.DUMMYFUNCTION("""COMPUTED_VALUE"""),"shageki_1")</f>
        <v>shageki_1</v>
      </c>
      <c r="I117" s="139" t="str">
        <f>IFERROR(__xludf.DUMMYFUNCTION("""COMPUTED_VALUE"""),"shageki_1")</f>
        <v>shageki_1</v>
      </c>
      <c r="J117" s="139" t="str">
        <f>IFERROR(__xludf.DUMMYFUNCTION("""COMPUTED_VALUE"""),"202603020_ハーフアニバーサリー祭前半")</f>
        <v>202603020_ハーフアニバーサリー祭前半</v>
      </c>
      <c r="K117" s="139" t="str">
        <f>IFERROR(__xludf.DUMMYFUNCTION("""COMPUTED_VALUE"""),"怪獣８号 2回目 いいジャン祭")</f>
        <v>怪獣８号 2回目 いいジャン祭</v>
      </c>
      <c r="L117" s="687" t="str">
        <f>IFERROR(__xludf.DUMMYFUNCTION("""COMPUTED_VALUE"""),"※")</f>
        <v>※</v>
      </c>
      <c r="M117" s="674">
        <f>IFERROR(__xludf.DUMMYFUNCTION("""COMPUTED_VALUE"""),670.0)</f>
        <v>670</v>
      </c>
      <c r="N117" s="139">
        <f>IFERROR(__xludf.DUMMYFUNCTION("""COMPUTED_VALUE"""),600.0)</f>
        <v>600</v>
      </c>
      <c r="O117" s="139" t="str">
        <f>IFERROR(__xludf.DUMMYFUNCTION("""COMPUTED_VALUE"""),"中コスト")</f>
        <v>中コスト</v>
      </c>
      <c r="P117" s="139">
        <f>IFERROR(__xludf.DUMMYFUNCTION("""COMPUTED_VALUE"""),0.0)</f>
        <v>0</v>
      </c>
      <c r="Q117" s="675">
        <f>IFERROR(__xludf.DUMMYFUNCTION("""COMPUTED_VALUE"""),45.0)</f>
        <v>45</v>
      </c>
      <c r="R117" s="675">
        <f>IFERROR(__xludf.DUMMYFUNCTION("""COMPUTED_VALUE"""),25.0)</f>
        <v>25</v>
      </c>
      <c r="S117" s="675">
        <f>IFERROR(__xludf.DUMMYFUNCTION("""COMPUTED_VALUE"""),14.25)</f>
        <v>14.25</v>
      </c>
      <c r="T117" s="674">
        <f>IFERROR(__xludf.DUMMYFUNCTION("""COMPUTED_VALUE"""),445.0)</f>
        <v>445</v>
      </c>
      <c r="U117" s="675">
        <f>IFERROR(__xludf.DUMMYFUNCTION("""COMPUTED_VALUE"""),8.866666666666667)</f>
        <v>8.866666667</v>
      </c>
      <c r="V117" s="675">
        <f>IFERROR(__xludf.DUMMYFUNCTION("""COMPUTED_VALUE"""),3.0)</f>
        <v>3</v>
      </c>
      <c r="W117" s="675">
        <f>IFERROR(__xludf.DUMMYFUNCTION("""COMPUTED_VALUE"""),0.0)</f>
        <v>0</v>
      </c>
      <c r="X117" s="675">
        <f>IFERROR(__xludf.DUMMYFUNCTION("""COMPUTED_VALUE"""),0.0)</f>
        <v>0</v>
      </c>
      <c r="Y117" s="674">
        <f>IFERROR(__xludf.DUMMYFUNCTION("""COMPUTED_VALUE"""),155.0)</f>
        <v>155</v>
      </c>
      <c r="Z117" s="675">
        <f>IFERROR(__xludf.DUMMYFUNCTION("""COMPUTED_VALUE"""),3.0666666666666664)</f>
        <v>3.066666667</v>
      </c>
      <c r="AA117" s="675">
        <f>IFERROR(__xludf.DUMMYFUNCTION("""COMPUTED_VALUE"""),0.0)</f>
        <v>0</v>
      </c>
      <c r="AB117" s="673">
        <f>IFERROR(__xludf.DUMMYFUNCTION("""COMPUTED_VALUE"""),0.0)</f>
        <v>0</v>
      </c>
      <c r="AC117" s="675">
        <f>IFERROR(__xludf.DUMMYFUNCTION("""COMPUTED_VALUE"""),0.0)</f>
        <v>0</v>
      </c>
      <c r="AD117" s="674">
        <f>IFERROR(__xludf.DUMMYFUNCTION("""COMPUTED_VALUE"""),1185.0)</f>
        <v>1185</v>
      </c>
      <c r="AE117" s="675">
        <f>IFERROR(__xludf.DUMMYFUNCTION("""COMPUTED_VALUE"""),23.666632302368978)</f>
        <v>23.6666323</v>
      </c>
      <c r="AF117" s="675">
        <f>IFERROR(__xludf.DUMMYFUNCTION("""COMPUTED_VALUE"""),0.0)</f>
        <v>0</v>
      </c>
      <c r="AG117" s="673">
        <f>IFERROR(__xludf.DUMMYFUNCTION("""COMPUTED_VALUE"""),16.48146239020499)</f>
        <v>16.48146239</v>
      </c>
      <c r="AH117" s="675">
        <f>IFERROR(__xludf.DUMMYFUNCTION("""COMPUTED_VALUE"""),-1.7962924780409975)</f>
        <v>-1.796292478</v>
      </c>
      <c r="AI117" s="675">
        <f>IFERROR(__xludf.DUMMYFUNCTION("""COMPUTED_VALUE"""),2.5)</f>
        <v>2.5</v>
      </c>
      <c r="AJ117" s="675">
        <f>IFERROR(__xludf.DUMMYFUNCTION("""COMPUTED_VALUE"""),21.166632302368978)</f>
        <v>21.1666323</v>
      </c>
      <c r="AK117" s="139">
        <f>IFERROR(__xludf.DUMMYFUNCTION("""COMPUTED_VALUE"""),1.0)</f>
        <v>1</v>
      </c>
      <c r="AL117" s="674">
        <f>IFERROR(__xludf.DUMMYFUNCTION("""COMPUTED_VALUE"""),800.0)</f>
        <v>800</v>
      </c>
      <c r="AM117" s="688">
        <f>IFERROR(__xludf.DUMMYFUNCTION("""COMPUTED_VALUE"""),6537.7424954253265)</f>
        <v>6537.742495</v>
      </c>
      <c r="AN117" s="675">
        <f>IFERROR(__xludf.DUMMYFUNCTION("""COMPUTED_VALUE"""),5.333333333333333)</f>
        <v>5.333333333</v>
      </c>
      <c r="AO117" s="675">
        <f>IFERROR(__xludf.DUMMYFUNCTION("""COMPUTED_VALUE"""),2.6666666666666665)</f>
        <v>2.666666667</v>
      </c>
      <c r="AP117" s="674">
        <f>IFERROR(__xludf.DUMMYFUNCTION("""COMPUTED_VALUE"""),2010.0)</f>
        <v>2010</v>
      </c>
      <c r="AQ117" s="673">
        <f>IFERROR(__xludf.DUMMYFUNCTION("""COMPUTED_VALUE"""),-0.3)</f>
        <v>-0.3</v>
      </c>
      <c r="AR117" s="673">
        <f>IFERROR(__xludf.DUMMYFUNCTION("""COMPUTED_VALUE"""),0.0)</f>
        <v>0</v>
      </c>
      <c r="AS117" s="673">
        <f>IFERROR(__xludf.DUMMYFUNCTION("""COMPUTED_VALUE"""),-0.3)</f>
        <v>-0.3</v>
      </c>
      <c r="AT117" s="673">
        <f>IFERROR(__xludf.DUMMYFUNCTION("""COMPUTED_VALUE"""),0.0)</f>
        <v>0</v>
      </c>
      <c r="AU117" s="675">
        <f>IFERROR(__xludf.DUMMYFUNCTION("""COMPUTED_VALUE"""),0.0)</f>
        <v>0</v>
      </c>
      <c r="AV117" s="675">
        <f>IFERROR(__xludf.DUMMYFUNCTION("""COMPUTED_VALUE"""),0.0)</f>
        <v>0</v>
      </c>
      <c r="AW117" s="139"/>
      <c r="AX117" s="674">
        <f>IFERROR(__xludf.DUMMYFUNCTION("""COMPUTED_VALUE"""),2220.0)</f>
        <v>2220</v>
      </c>
      <c r="AY117" s="688">
        <f>IFERROR(__xludf.DUMMYFUNCTION("""COMPUTED_VALUE"""),18142.84242480528)</f>
        <v>18142.84242</v>
      </c>
      <c r="AZ117" s="674">
        <f>IFERROR(__xludf.DUMMYFUNCTION("""COMPUTED_VALUE"""),740.0)</f>
        <v>740</v>
      </c>
      <c r="BA117" s="688">
        <f>IFERROR(__xludf.DUMMYFUNCTION("""COMPUTED_VALUE"""),6047.61414160176)</f>
        <v>6047.614142</v>
      </c>
      <c r="BB117" s="688" t="str">
        <f>IFERROR(__xludf.DUMMYFUNCTION("""COMPUTED_VALUE"""),"-")</f>
        <v>-</v>
      </c>
      <c r="BC117" s="688" t="str">
        <f>IFERROR(__xludf.DUMMYFUNCTION("""COMPUTED_VALUE"""),"#VALUE!")</f>
        <v>#VALUE!</v>
      </c>
      <c r="BD117" s="688" t="str">
        <f>IFERROR(__xludf.DUMMYFUNCTION("""COMPUTED_VALUE"""),"#VALUE!")</f>
        <v>#VALUE!</v>
      </c>
      <c r="BE117" s="674">
        <f>IFERROR(__xludf.DUMMYFUNCTION("""COMPUTED_VALUE"""),740.0)</f>
        <v>740</v>
      </c>
      <c r="BF117" s="674">
        <f>IFERROR(__xludf.DUMMYFUNCTION("""COMPUTED_VALUE"""),1340.0)</f>
        <v>1340</v>
      </c>
      <c r="BG117" s="673">
        <f>IFERROR(__xludf.DUMMYFUNCTION("""COMPUTED_VALUE"""),0.0)</f>
        <v>0</v>
      </c>
      <c r="BH117" s="673">
        <f>IFERROR(__xludf.DUMMYFUNCTION("""COMPUTED_VALUE"""),0.1)</f>
        <v>0.1</v>
      </c>
      <c r="BI117" s="673">
        <f>IFERROR(__xludf.DUMMYFUNCTION("""COMPUTED_VALUE"""),0.0)</f>
        <v>0</v>
      </c>
      <c r="BJ117" s="673">
        <f>IFERROR(__xludf.DUMMYFUNCTION("""COMPUTED_VALUE"""),0.0)</f>
        <v>0</v>
      </c>
      <c r="BK117" s="673">
        <f>IFERROR(__xludf.DUMMYFUNCTION("""COMPUTED_VALUE"""),0.0)</f>
        <v>0</v>
      </c>
      <c r="BL117" s="673">
        <f>IFERROR(__xludf.DUMMYFUNCTION("""COMPUTED_VALUE"""),0.0)</f>
        <v>0</v>
      </c>
      <c r="BM117" s="674">
        <f>IFERROR(__xludf.DUMMYFUNCTION("""COMPUTED_VALUE"""),150.0)</f>
        <v>150</v>
      </c>
      <c r="BN117" s="674">
        <f>IFERROR(__xludf.DUMMYFUNCTION("""COMPUTED_VALUE"""),150.0)</f>
        <v>150</v>
      </c>
      <c r="BO117" s="675">
        <f>IFERROR(__xludf.DUMMYFUNCTION("""COMPUTED_VALUE"""),0.0)</f>
        <v>0</v>
      </c>
      <c r="BP117" s="675">
        <f>IFERROR(__xludf.DUMMYFUNCTION("""COMPUTED_VALUE"""),3.0)</f>
        <v>3</v>
      </c>
      <c r="BQ117" s="139" t="str">
        <f>IFERROR(__xludf.DUMMYFUNCTION("""COMPUTED_VALUE"""),"(遠距離)攻撃を飛ばす系")</f>
        <v>(遠距離)攻撃を飛ばす系</v>
      </c>
      <c r="BR117" s="139">
        <f>IFERROR(__xludf.DUMMYFUNCTION("""COMPUTED_VALUE"""),3.0)</f>
        <v>3</v>
      </c>
      <c r="BS117" s="139">
        <f>IFERROR(__xludf.DUMMYFUNCTION("""COMPUTED_VALUE"""),35.0)</f>
        <v>35</v>
      </c>
      <c r="BT117" s="139">
        <f>IFERROR(__xludf.DUMMYFUNCTION("""COMPUTED_VALUE"""),0.61)</f>
        <v>0.61</v>
      </c>
      <c r="BU117" s="139">
        <f>IFERROR(__xludf.DUMMYFUNCTION("""COMPUTED_VALUE"""),0.0)</f>
        <v>0</v>
      </c>
      <c r="BV117" s="139" t="str">
        <f>IFERROR(__xludf.DUMMYFUNCTION("""COMPUTED_VALUE"""),"普通")</f>
        <v>普通</v>
      </c>
      <c r="BW117" s="139" t="str">
        <f>IFERROR(__xludf.DUMMYFUNCTION("""COMPUTED_VALUE"""),"火傷ダメージ軽減")</f>
        <v>火傷ダメージ軽減</v>
      </c>
      <c r="BX117" s="139">
        <f>IFERROR(__xludf.DUMMYFUNCTION("""COMPUTED_VALUE"""),55.0)</f>
        <v>55</v>
      </c>
      <c r="BY117" s="139">
        <f>IFERROR(__xludf.DUMMYFUNCTION("""COMPUTED_VALUE"""),0.0)</f>
        <v>0</v>
      </c>
      <c r="BZ117" s="139" t="str">
        <f>IFERROR(__xludf.DUMMYFUNCTION("""COMPUTED_VALUE"""),"ダメージコマ無効化")</f>
        <v>ダメージコマ無効化</v>
      </c>
      <c r="CA117" s="139" t="str">
        <f>IFERROR(__xludf.DUMMYFUNCTION("""COMPUTED_VALUE"""),"-")</f>
        <v>-</v>
      </c>
      <c r="CB117" s="139">
        <f>IFERROR(__xludf.DUMMYFUNCTION("""COMPUTED_VALUE"""),4.0)</f>
        <v>4</v>
      </c>
      <c r="CC117" s="139" t="str">
        <f>IFERROR(__xludf.DUMMYFUNCTION("""COMPUTED_VALUE"""),"遠距離")</f>
        <v>遠距離</v>
      </c>
      <c r="CD117" s="139" t="str">
        <f>IFERROR(__xludf.DUMMYFUNCTION("""COMPUTED_VALUE"""),"範囲(小：威力減)")</f>
        <v>範囲(小：威力減)</v>
      </c>
      <c r="CE117" s="139">
        <f>IFERROR(__xludf.DUMMYFUNCTION("""COMPUTED_VALUE"""),0.5)</f>
        <v>0.5</v>
      </c>
      <c r="CF117" s="139">
        <f>IFERROR(__xludf.DUMMYFUNCTION("""COMPUTED_VALUE"""),0.72)</f>
        <v>0.72</v>
      </c>
      <c r="CG117" s="139" t="str">
        <f>IFERROR(__xludf.DUMMYFUNCTION("""COMPUTED_VALUE"""),"遠距離")</f>
        <v>遠距離</v>
      </c>
      <c r="CH117" s="139" t="str">
        <f>IFERROR(__xludf.DUMMYFUNCTION("""COMPUTED_VALUE"""),"範囲(特大)")</f>
        <v>範囲(特大)</v>
      </c>
      <c r="CI117" s="139">
        <f>IFERROR(__xludf.DUMMYFUNCTION("""COMPUTED_VALUE"""),0.5)</f>
        <v>0.5</v>
      </c>
      <c r="CJ117" s="139">
        <f>IFERROR(__xludf.DUMMYFUNCTION("""COMPUTED_VALUE"""),1.1)</f>
        <v>1.1</v>
      </c>
      <c r="CK117" s="139"/>
      <c r="CL117" s="139"/>
      <c r="CM117" s="139"/>
      <c r="CN117" s="675">
        <f>IFERROR(__xludf.DUMMYFUNCTION("""COMPUTED_VALUE"""),23.666632302368978)</f>
        <v>23.6666323</v>
      </c>
      <c r="CO117" s="139" t="str">
        <f>IFERROR(__xludf.DUMMYFUNCTION("""COMPUTED_VALUE"""),"-")</f>
        <v>-</v>
      </c>
      <c r="CP117" s="139" t="str">
        <f>IFERROR(__xludf.DUMMYFUNCTION("""COMPUTED_VALUE"""),"-")</f>
        <v>-</v>
      </c>
      <c r="CQ117" s="139" t="str">
        <f>IFERROR(__xludf.DUMMYFUNCTION("""COMPUTED_VALUE"""),"-")</f>
        <v>-</v>
      </c>
      <c r="CR117" s="139"/>
      <c r="CS117" s="673" t="str">
        <f>IFERROR(__xludf.DUMMYFUNCTION("""COMPUTED_VALUE"""),"攻撃(必殺)")</f>
        <v>攻撃(必殺)</v>
      </c>
      <c r="CT117" s="139" t="str">
        <f>IFERROR(__xludf.DUMMYFUNCTION("""COMPUTED_VALUE"""),"-")</f>
        <v>-</v>
      </c>
      <c r="CU117" s="139" t="str">
        <f>IFERROR(__xludf.DUMMYFUNCTION("""COMPUTED_VALUE"""),"敵")</f>
        <v>敵</v>
      </c>
      <c r="CV117" s="139" t="str">
        <f>IFERROR(__xludf.DUMMYFUNCTION("""COMPUTED_VALUE"""),"All")</f>
        <v>All</v>
      </c>
      <c r="CW117" s="139" t="str">
        <f>IFERROR(__xludf.DUMMYFUNCTION("""COMPUTED_VALUE"""),"All")</f>
        <v>All</v>
      </c>
      <c r="CX117" s="674">
        <f>IFERROR(__xludf.DUMMYFUNCTION("""COMPUTED_VALUE"""),100.0)</f>
        <v>100</v>
      </c>
      <c r="CY117" s="675" t="str">
        <f>IFERROR(__xludf.DUMMYFUNCTION("""COMPUTED_VALUE"""),"-")</f>
        <v>-</v>
      </c>
      <c r="CZ117" s="688">
        <f>IFERROR(__xludf.DUMMYFUNCTION("""COMPUTED_VALUE"""),18143.0)</f>
        <v>18143</v>
      </c>
      <c r="DA117" s="688">
        <f>IFERROR(__xludf.DUMMYFUNCTION("""COMPUTED_VALUE"""),839.6957406664128)</f>
        <v>839.6957407</v>
      </c>
      <c r="DB117" s="688">
        <f>IFERROR(__xludf.DUMMYFUNCTION("""COMPUTED_VALUE"""),4198.4787033320645)</f>
        <v>4198.478703</v>
      </c>
      <c r="DC117" s="673" t="str">
        <f>IFERROR(__xludf.DUMMYFUNCTION("""COMPUTED_VALUE"""),"氷結")</f>
        <v>氷結</v>
      </c>
      <c r="DD117" s="673" t="str">
        <f>IFERROR(__xludf.DUMMYFUNCTION("""COMPUTED_VALUE"""),"-")</f>
        <v>-</v>
      </c>
      <c r="DE117" s="139">
        <f>IFERROR(__xludf.DUMMYFUNCTION("""COMPUTED_VALUE"""),2.5)</f>
        <v>2.5</v>
      </c>
      <c r="DF117" s="139" t="str">
        <f>IFERROR(__xludf.DUMMYFUNCTION("""COMPUTED_VALUE"""),"-")</f>
        <v>-</v>
      </c>
      <c r="DG117" s="139" t="str">
        <f>IFERROR(__xludf.DUMMYFUNCTION("""COMPUTED_VALUE"""),"-")</f>
        <v>-</v>
      </c>
      <c r="DH117" s="139" t="str">
        <f>IFERROR(__xludf.DUMMYFUNCTION("""COMPUTED_VALUE"""),"-")</f>
        <v>-</v>
      </c>
      <c r="DI117" s="139" t="str">
        <f>IFERROR(__xludf.DUMMYFUNCTION("""COMPUTED_VALUE"""),"-")</f>
        <v>-</v>
      </c>
      <c r="DJ117" s="139" t="str">
        <f>IFERROR(__xludf.DUMMYFUNCTION("""COMPUTED_VALUE"""),"-")</f>
        <v>-</v>
      </c>
    </row>
    <row r="118">
      <c r="A118" s="139" t="str">
        <f>IFERROR(__xludf.DUMMYFUNCTION("""COMPUTED_VALUE"""),"【推しの子】")</f>
        <v>【推しの子】</v>
      </c>
      <c r="B118" s="139" t="str">
        <f>IFERROR(__xludf.DUMMYFUNCTION("""COMPUTED_VALUE"""),"雨宮 吾郎")</f>
        <v>雨宮 吾郎</v>
      </c>
      <c r="C118" s="139" t="str">
        <f>IFERROR(__xludf.DUMMYFUNCTION("""COMPUTED_VALUE"""),"chara_osh_00701")</f>
        <v>chara_osh_00701</v>
      </c>
      <c r="D118" s="139" t="str">
        <f>IFERROR(__xludf.DUMMYFUNCTION("""COMPUTED_VALUE"""),"DropSR")</f>
        <v>DropSR</v>
      </c>
      <c r="E118" s="139" t="str">
        <f>IFERROR(__xludf.DUMMYFUNCTION("""COMPUTED_VALUE"""),"無")</f>
        <v>無</v>
      </c>
      <c r="F118" s="139" t="str">
        <f>IFERROR(__xludf.DUMMYFUNCTION("""COMPUTED_VALUE"""),"スペシャル")</f>
        <v>スペシャル</v>
      </c>
      <c r="G118" s="139" t="str">
        <f>IFERROR(__xludf.DUMMYFUNCTION("""COMPUTED_VALUE"""),"※ID管理未記入")</f>
        <v>※ID管理未記入</v>
      </c>
      <c r="H118" s="139" t="str">
        <f>IFERROR(__xludf.DUMMYFUNCTION("""COMPUTED_VALUE"""),"-")</f>
        <v>-</v>
      </c>
      <c r="I118" s="139" t="str">
        <f>IFERROR(__xludf.DUMMYFUNCTION("""COMPUTED_VALUE"""),"-")</f>
        <v>-</v>
      </c>
      <c r="J118" s="139" t="str">
        <f>IFERROR(__xludf.DUMMYFUNCTION("""COMPUTED_VALUE"""),"202603025_ハーフアニバーサリー祭後半")</f>
        <v>202603025_ハーフアニバーサリー祭後半</v>
      </c>
      <c r="K118" s="139" t="str">
        <f>IFERROR(__xludf.DUMMYFUNCTION("""COMPUTED_VALUE"""),"メダルガシャ追加時")</f>
        <v>メダルガシャ追加時</v>
      </c>
      <c r="L118" s="687" t="str">
        <f>IFERROR(__xludf.DUMMYFUNCTION("""COMPUTED_VALUE"""),"※")</f>
        <v>※</v>
      </c>
      <c r="M118" s="674">
        <f>IFERROR(__xludf.DUMMYFUNCTION("""COMPUTED_VALUE"""),540.0)</f>
        <v>540</v>
      </c>
      <c r="N118" s="139">
        <f>IFERROR(__xludf.DUMMYFUNCTION("""COMPUTED_VALUE"""),600.0)</f>
        <v>600</v>
      </c>
      <c r="O118" s="139" t="str">
        <f>IFERROR(__xludf.DUMMYFUNCTION("""COMPUTED_VALUE"""),"中コスト")</f>
        <v>中コスト</v>
      </c>
      <c r="P118" s="139">
        <f>IFERROR(__xludf.DUMMYFUNCTION("""COMPUTED_VALUE"""),-70.0)</f>
        <v>-70</v>
      </c>
      <c r="Q118" s="675">
        <f>IFERROR(__xludf.DUMMYFUNCTION("""COMPUTED_VALUE"""),10.0)</f>
        <v>10</v>
      </c>
      <c r="R118" s="675">
        <f>IFERROR(__xludf.DUMMYFUNCTION("""COMPUTED_VALUE"""),0.0)</f>
        <v>0</v>
      </c>
      <c r="S118" s="675">
        <f>IFERROR(__xludf.DUMMYFUNCTION("""COMPUTED_VALUE"""),11.0)</f>
        <v>11</v>
      </c>
      <c r="T118" s="674">
        <f>IFERROR(__xludf.DUMMYFUNCTION("""COMPUTED_VALUE"""),595.0)</f>
        <v>595</v>
      </c>
      <c r="U118" s="675">
        <f>IFERROR(__xludf.DUMMYFUNCTION("""COMPUTED_VALUE"""),11.880000000000003)</f>
        <v>11.88</v>
      </c>
      <c r="V118" s="675">
        <f>IFERROR(__xludf.DUMMYFUNCTION("""COMPUTED_VALUE"""),0.0)</f>
        <v>0</v>
      </c>
      <c r="W118" s="675">
        <f>IFERROR(__xludf.DUMMYFUNCTION("""COMPUTED_VALUE"""),0.0)</f>
        <v>0</v>
      </c>
      <c r="X118" s="675">
        <f>IFERROR(__xludf.DUMMYFUNCTION("""COMPUTED_VALUE"""),0.0)</f>
        <v>0</v>
      </c>
      <c r="Y118" s="674">
        <f>IFERROR(__xludf.DUMMYFUNCTION("""COMPUTED_VALUE"""),310.0)</f>
        <v>310</v>
      </c>
      <c r="Z118" s="675">
        <f>IFERROR(__xludf.DUMMYFUNCTION("""COMPUTED_VALUE"""),6.21)</f>
        <v>6.21</v>
      </c>
      <c r="AA118" s="675">
        <f>IFERROR(__xludf.DUMMYFUNCTION("""COMPUTED_VALUE"""),0.0)</f>
        <v>0</v>
      </c>
      <c r="AB118" s="673">
        <f>IFERROR(__xludf.DUMMYFUNCTION("""COMPUTED_VALUE"""),0.0)</f>
        <v>0</v>
      </c>
      <c r="AC118" s="675">
        <f>IFERROR(__xludf.DUMMYFUNCTION("""COMPUTED_VALUE"""),0.0)</f>
        <v>0</v>
      </c>
      <c r="AD118" s="674">
        <f>IFERROR(__xludf.DUMMYFUNCTION("""COMPUTED_VALUE"""),1035.0)</f>
        <v>1035</v>
      </c>
      <c r="AE118" s="675">
        <f>IFERROR(__xludf.DUMMYFUNCTION("""COMPUTED_VALUE"""),20.730845042484475)</f>
        <v>20.73084504</v>
      </c>
      <c r="AF118" s="675">
        <f>IFERROR(__xludf.DUMMYFUNCTION("""COMPUTED_VALUE"""),0.0)</f>
        <v>0</v>
      </c>
      <c r="AG118" s="675">
        <f>IFERROR(__xludf.DUMMYFUNCTION("""COMPUTED_VALUE"""),7.949999999999999)</f>
        <v>7.95</v>
      </c>
      <c r="AH118" s="675">
        <f>IFERROR(__xludf.DUMMYFUNCTION("""COMPUTED_VALUE"""),0.0)</f>
        <v>0</v>
      </c>
      <c r="AI118" s="675">
        <f>IFERROR(__xludf.DUMMYFUNCTION("""COMPUTED_VALUE"""),5.300000000000001)</f>
        <v>5.3</v>
      </c>
      <c r="AJ118" s="675">
        <f>IFERROR(__xludf.DUMMYFUNCTION("""COMPUTED_VALUE"""),15.430845042484474)</f>
        <v>15.43084504</v>
      </c>
      <c r="AK118" s="139">
        <f>IFERROR(__xludf.DUMMYFUNCTION("""COMPUTED_VALUE"""),1.0)</f>
        <v>1</v>
      </c>
      <c r="AL118" s="674">
        <f>IFERROR(__xludf.DUMMYFUNCTION("""COMPUTED_VALUE"""),1620.0)</f>
        <v>1620</v>
      </c>
      <c r="AM118" s="688">
        <f>IFERROR(__xludf.DUMMYFUNCTION("""COMPUTED_VALUE"""),11198.825553236285)</f>
        <v>11198.82555</v>
      </c>
      <c r="AN118" s="675">
        <f>IFERROR(__xludf.DUMMYFUNCTION("""COMPUTED_VALUE"""),10.8)</f>
        <v>10.8</v>
      </c>
      <c r="AO118" s="675">
        <f>IFERROR(__xludf.DUMMYFUNCTION("""COMPUTED_VALUE"""),5.4)</f>
        <v>5.4</v>
      </c>
      <c r="AP118" s="674">
        <f>IFERROR(__xludf.DUMMYFUNCTION("""COMPUTED_VALUE"""),1620.0)</f>
        <v>1620</v>
      </c>
      <c r="AQ118" s="673">
        <f>IFERROR(__xludf.DUMMYFUNCTION("""COMPUTED_VALUE"""),0.0)</f>
        <v>0</v>
      </c>
      <c r="AR118" s="673">
        <f>IFERROR(__xludf.DUMMYFUNCTION("""COMPUTED_VALUE"""),0.0)</f>
        <v>0</v>
      </c>
      <c r="AS118" s="673">
        <f>IFERROR(__xludf.DUMMYFUNCTION("""COMPUTED_VALUE"""),0.0)</f>
        <v>0</v>
      </c>
      <c r="AT118" s="673">
        <f>IFERROR(__xludf.DUMMYFUNCTION("""COMPUTED_VALUE"""),0.0)</f>
        <v>0</v>
      </c>
      <c r="AU118" s="675">
        <f>IFERROR(__xludf.DUMMYFUNCTION("""COMPUTED_VALUE"""),0.0)</f>
        <v>0</v>
      </c>
      <c r="AV118" s="675">
        <f>IFERROR(__xludf.DUMMYFUNCTION("""COMPUTED_VALUE"""),0.0)</f>
        <v>0</v>
      </c>
      <c r="AW118" s="139"/>
      <c r="AX118" s="674" t="str">
        <f>IFERROR(__xludf.DUMMYFUNCTION("""COMPUTED_VALUE"""),"※通常攻撃範囲を入力！(CD列)")</f>
        <v>※通常攻撃範囲を入力！(CD列)</v>
      </c>
      <c r="AY118" s="688" t="str">
        <f>IFERROR(__xludf.DUMMYFUNCTION("""COMPUTED_VALUE"""),"#VALUE!")</f>
        <v>#VALUE!</v>
      </c>
      <c r="AZ118" s="674" t="str">
        <f>IFERROR(__xludf.DUMMYFUNCTION("""COMPUTED_VALUE"""),"#VALUE!")</f>
        <v>#VALUE!</v>
      </c>
      <c r="BA118" s="688" t="str">
        <f>IFERROR(__xludf.DUMMYFUNCTION("""COMPUTED_VALUE"""),"#VALUE!")</f>
        <v>#VALUE!</v>
      </c>
      <c r="BB118" s="688" t="str">
        <f>IFERROR(__xludf.DUMMYFUNCTION("""COMPUTED_VALUE"""),"#VALUE!")</f>
        <v>#VALUE!</v>
      </c>
      <c r="BC118" s="688" t="str">
        <f>IFERROR(__xludf.DUMMYFUNCTION("""COMPUTED_VALUE"""),"#VALUE!")</f>
        <v>#VALUE!</v>
      </c>
      <c r="BD118" s="688" t="str">
        <f>IFERROR(__xludf.DUMMYFUNCTION("""COMPUTED_VALUE"""),"#VALUE!")</f>
        <v>#VALUE!</v>
      </c>
      <c r="BE118" s="674" t="str">
        <f>IFERROR(__xludf.DUMMYFUNCTION("""COMPUTED_VALUE"""),"#VALUE!")</f>
        <v>#VALUE!</v>
      </c>
      <c r="BF118" s="674">
        <f>IFERROR(__xludf.DUMMYFUNCTION("""COMPUTED_VALUE"""),1080.0)</f>
        <v>1080</v>
      </c>
      <c r="BG118" s="673">
        <f>IFERROR(__xludf.DUMMYFUNCTION("""COMPUTED_VALUE"""),0.0)</f>
        <v>0</v>
      </c>
      <c r="BH118" s="673">
        <f>IFERROR(__xludf.DUMMYFUNCTION("""COMPUTED_VALUE"""),0.0)</f>
        <v>0</v>
      </c>
      <c r="BI118" s="673">
        <f>IFERROR(__xludf.DUMMYFUNCTION("""COMPUTED_VALUE"""),0.0)</f>
        <v>0</v>
      </c>
      <c r="BJ118" s="673">
        <f>IFERROR(__xludf.DUMMYFUNCTION("""COMPUTED_VALUE"""),0.0)</f>
        <v>0</v>
      </c>
      <c r="BK118" s="673">
        <f>IFERROR(__xludf.DUMMYFUNCTION("""COMPUTED_VALUE"""),0.0)</f>
        <v>0</v>
      </c>
      <c r="BL118" s="673">
        <f>IFERROR(__xludf.DUMMYFUNCTION("""COMPUTED_VALUE"""),0.0)</f>
        <v>0</v>
      </c>
      <c r="BM118" s="674">
        <f>IFERROR(__xludf.DUMMYFUNCTION("""COMPUTED_VALUE"""),0.0)</f>
        <v>0</v>
      </c>
      <c r="BN118" s="674">
        <f>IFERROR(__xludf.DUMMYFUNCTION("""COMPUTED_VALUE"""),0.0)</f>
        <v>0</v>
      </c>
      <c r="BO118" s="675">
        <f>IFERROR(__xludf.DUMMYFUNCTION("""COMPUTED_VALUE"""),0.0)</f>
        <v>0</v>
      </c>
      <c r="BP118" s="675">
        <f>IFERROR(__xludf.DUMMYFUNCTION("""COMPUTED_VALUE"""),0.0)</f>
        <v>0</v>
      </c>
      <c r="BQ118" s="139" t="str">
        <f>IFERROR(__xludf.DUMMYFUNCTION("""COMPUTED_VALUE"""),"-")</f>
        <v>-</v>
      </c>
      <c r="BR118" s="139" t="str">
        <f>IFERROR(__xludf.DUMMYFUNCTION("""COMPUTED_VALUE"""),"該当なし")</f>
        <v>該当なし</v>
      </c>
      <c r="BS118" s="139" t="str">
        <f>IFERROR(__xludf.DUMMYFUNCTION("""COMPUTED_VALUE"""),"該当なし")</f>
        <v>該当なし</v>
      </c>
      <c r="BT118" s="139" t="str">
        <f>IFERROR(__xludf.DUMMYFUNCTION("""COMPUTED_VALUE"""),"#VALUE!")</f>
        <v>#VALUE!</v>
      </c>
      <c r="BU118" s="139">
        <f>IFERROR(__xludf.DUMMYFUNCTION("""COMPUTED_VALUE"""),0.0)</f>
        <v>0</v>
      </c>
      <c r="BV118" s="139" t="str">
        <f>IFERROR(__xludf.DUMMYFUNCTION("""COMPUTED_VALUE"""),"-")</f>
        <v>-</v>
      </c>
      <c r="BW118" s="139" t="str">
        <f>IFERROR(__xludf.DUMMYFUNCTION("""COMPUTED_VALUE"""),"-")</f>
        <v>-</v>
      </c>
      <c r="BX118" s="139" t="str">
        <f>IFERROR(__xludf.DUMMYFUNCTION("""COMPUTED_VALUE"""),"-")</f>
        <v>-</v>
      </c>
      <c r="BY118" s="139" t="str">
        <f>IFERROR(__xludf.DUMMYFUNCTION("""COMPUTED_VALUE"""),"-")</f>
        <v>-</v>
      </c>
      <c r="BZ118" s="139" t="str">
        <f>IFERROR(__xludf.DUMMYFUNCTION("""COMPUTED_VALUE"""),"-")</f>
        <v>-</v>
      </c>
      <c r="CA118" s="139" t="str">
        <f>IFERROR(__xludf.DUMMYFUNCTION("""COMPUTED_VALUE"""),"-")</f>
        <v>-</v>
      </c>
      <c r="CB118" s="139" t="str">
        <f>IFERROR(__xludf.DUMMYFUNCTION("""COMPUTED_VALUE"""),"-")</f>
        <v>-</v>
      </c>
      <c r="CC118" s="139" t="str">
        <f>IFERROR(__xludf.DUMMYFUNCTION("""COMPUTED_VALUE"""),"該当なし")</f>
        <v>該当なし</v>
      </c>
      <c r="CD118" s="139"/>
      <c r="CE118" s="139" t="str">
        <f>IFERROR(__xludf.DUMMYFUNCTION("""COMPUTED_VALUE"""),"-")</f>
        <v>-</v>
      </c>
      <c r="CF118" s="139" t="str">
        <f>IFERROR(__xludf.DUMMYFUNCTION("""COMPUTED_VALUE"""),"#VALUE!")</f>
        <v>#VALUE!</v>
      </c>
      <c r="CG118" s="139" t="str">
        <f>IFERROR(__xludf.DUMMYFUNCTION("""COMPUTED_VALUE"""),"タップしたコマ")</f>
        <v>タップしたコマ</v>
      </c>
      <c r="CH118" s="139" t="str">
        <f>IFERROR(__xludf.DUMMYFUNCTION("""COMPUTED_VALUE"""),"範囲(コマ)0")</f>
        <v>範囲(コマ)0</v>
      </c>
      <c r="CI118" s="139" t="str">
        <f>IFERROR(__xludf.DUMMYFUNCTION("""COMPUTED_VALUE"""),"-")</f>
        <v>-</v>
      </c>
      <c r="CJ118" s="139" t="str">
        <f>IFERROR(__xludf.DUMMYFUNCTION("""COMPUTED_VALUE"""),"(コマ)0")</f>
        <v>(コマ)0</v>
      </c>
      <c r="CK118" s="139" t="str">
        <f>IFERROR(__xludf.DUMMYFUNCTION("""COMPUTED_VALUE"""),"味方")</f>
        <v>味方</v>
      </c>
      <c r="CL118" s="139" t="str">
        <f>IFERROR(__xludf.DUMMYFUNCTION("""COMPUTED_VALUE"""),"All")</f>
        <v>All</v>
      </c>
      <c r="CM118" s="139" t="str">
        <f>IFERROR(__xludf.DUMMYFUNCTION("""COMPUTED_VALUE"""),"ディフェンス")</f>
        <v>ディフェンス</v>
      </c>
      <c r="CN118" s="675" t="str">
        <f>IFERROR(__xludf.DUMMYFUNCTION("""COMPUTED_VALUE"""),"-")</f>
        <v>-</v>
      </c>
      <c r="CO118" s="139" t="str">
        <f>IFERROR(__xludf.DUMMYFUNCTION("""COMPUTED_VALUE"""),"-")</f>
        <v>-</v>
      </c>
      <c r="CP118" s="139" t="str">
        <f>IFERROR(__xludf.DUMMYFUNCTION("""COMPUTED_VALUE"""),"-")</f>
        <v>-</v>
      </c>
      <c r="CQ118" s="139" t="str">
        <f>IFERROR(__xludf.DUMMYFUNCTION("""COMPUTED_VALUE"""),"-")</f>
        <v>-</v>
      </c>
      <c r="CR118" s="139" t="str">
        <f>IFERROR(__xludf.DUMMYFUNCTION("""COMPUTED_VALUE"""),"SP専用")</f>
        <v>SP専用</v>
      </c>
      <c r="CS118" s="673" t="str">
        <f>IFERROR(__xludf.DUMMYFUNCTION("""COMPUTED_VALUE"""),"攻撃力UP(ディフェンス)")</f>
        <v>攻撃力UP(ディフェンス)</v>
      </c>
      <c r="CT118" s="139" t="str">
        <f>IFERROR(__xludf.DUMMYFUNCTION("""COMPUTED_VALUE"""),"SP専用")</f>
        <v>SP専用</v>
      </c>
      <c r="CU118" s="139" t="str">
        <f>IFERROR(__xludf.DUMMYFUNCTION("""COMPUTED_VALUE"""),"味方")</f>
        <v>味方</v>
      </c>
      <c r="CV118" s="139" t="str">
        <f>IFERROR(__xludf.DUMMYFUNCTION("""COMPUTED_VALUE"""),"All")</f>
        <v>All</v>
      </c>
      <c r="CW118" s="139" t="str">
        <f>IFERROR(__xludf.DUMMYFUNCTION("""COMPUTED_VALUE"""),"ディフェンス")</f>
        <v>ディフェンス</v>
      </c>
      <c r="CX118" s="675">
        <f>IFERROR(__xludf.DUMMYFUNCTION("""COMPUTED_VALUE"""),34.0)</f>
        <v>34</v>
      </c>
      <c r="CY118" s="675">
        <f>IFERROR(__xludf.DUMMYFUNCTION("""COMPUTED_VALUE"""),5.3)</f>
        <v>5.3</v>
      </c>
      <c r="CZ118" s="688" t="str">
        <f>IFERROR(__xludf.DUMMYFUNCTION("""COMPUTED_VALUE"""),"-")</f>
        <v>-</v>
      </c>
      <c r="DA118" s="688">
        <f>IFERROR(__xludf.DUMMYFUNCTION("""COMPUTED_VALUE"""),0.0)</f>
        <v>0</v>
      </c>
      <c r="DB118" s="688">
        <f>IFERROR(__xludf.DUMMYFUNCTION("""COMPUTED_VALUE"""),0.0)</f>
        <v>0</v>
      </c>
      <c r="DC118" s="673" t="str">
        <f>IFERROR(__xludf.DUMMYFUNCTION("""COMPUTED_VALUE"""),"-")</f>
        <v>-</v>
      </c>
      <c r="DD118" s="673" t="str">
        <f>IFERROR(__xludf.DUMMYFUNCTION("""COMPUTED_VALUE"""),"-")</f>
        <v>-</v>
      </c>
      <c r="DE118" s="139" t="str">
        <f>IFERROR(__xludf.DUMMYFUNCTION("""COMPUTED_VALUE"""),"-")</f>
        <v>-</v>
      </c>
      <c r="DF118" s="139" t="str">
        <f>IFERROR(__xludf.DUMMYFUNCTION("""COMPUTED_VALUE"""),"-")</f>
        <v>-</v>
      </c>
      <c r="DG118" s="139" t="str">
        <f>IFERROR(__xludf.DUMMYFUNCTION("""COMPUTED_VALUE"""),"-")</f>
        <v>-</v>
      </c>
      <c r="DH118" s="139" t="str">
        <f>IFERROR(__xludf.DUMMYFUNCTION("""COMPUTED_VALUE"""),"-")</f>
        <v>-</v>
      </c>
      <c r="DI118" s="139" t="str">
        <f>IFERROR(__xludf.DUMMYFUNCTION("""COMPUTED_VALUE"""),"-")</f>
        <v>-</v>
      </c>
      <c r="DJ118" s="139" t="str">
        <f>IFERROR(__xludf.DUMMYFUNCTION("""COMPUTED_VALUE"""),"-")</f>
        <v>-</v>
      </c>
    </row>
    <row r="119">
      <c r="A119" s="139" t="str">
        <f>IFERROR(__xludf.DUMMYFUNCTION("""COMPUTED_VALUE"""),"姫様“拷問”の時間です")</f>
        <v>姫様“拷問”の時間です</v>
      </c>
      <c r="B119" s="139" t="str">
        <f>IFERROR(__xludf.DUMMYFUNCTION("""COMPUTED_VALUE"""),"カナッジ")</f>
        <v>カナッジ</v>
      </c>
      <c r="C119" s="139" t="str">
        <f>IFERROR(__xludf.DUMMYFUNCTION("""COMPUTED_VALUE"""),"chara_gom_00701")</f>
        <v>chara_gom_00701</v>
      </c>
      <c r="D119" s="139" t="str">
        <f>IFERROR(__xludf.DUMMYFUNCTION("""COMPUTED_VALUE"""),"DropSR")</f>
        <v>DropSR</v>
      </c>
      <c r="E119" s="139" t="str">
        <f>IFERROR(__xludf.DUMMYFUNCTION("""COMPUTED_VALUE"""),"赤")</f>
        <v>赤</v>
      </c>
      <c r="F119" s="139" t="str">
        <f>IFERROR(__xludf.DUMMYFUNCTION("""COMPUTED_VALUE"""),"テクニカル")</f>
        <v>テクニカル</v>
      </c>
      <c r="G119" s="139" t="str">
        <f>IFERROR(__xludf.DUMMYFUNCTION("""COMPUTED_VALUE"""),"近距離")</f>
        <v>近距離</v>
      </c>
      <c r="H119" s="139" t="str">
        <f>IFERROR(__xludf.DUMMYFUNCTION("""COMPUTED_VALUE"""),"dageki_1")</f>
        <v>dageki_1</v>
      </c>
      <c r="I119" s="139" t="str">
        <f>IFERROR(__xludf.DUMMYFUNCTION("""COMPUTED_VALUE"""),"dageki_1")</f>
        <v>dageki_1</v>
      </c>
      <c r="J119" s="139" t="str">
        <f>IFERROR(__xludf.DUMMYFUNCTION("""COMPUTED_VALUE"""),"202603025_ハーフアニバーサリー祭後半")</f>
        <v>202603025_ハーフアニバーサリー祭後半</v>
      </c>
      <c r="K119" s="139" t="str">
        <f>IFERROR(__xludf.DUMMYFUNCTION("""COMPUTED_VALUE"""),"姫様“拷問”の時間ですいいジャン祭")</f>
        <v>姫様“拷問”の時間ですいいジャン祭</v>
      </c>
      <c r="L119" s="687" t="str">
        <f>IFERROR(__xludf.DUMMYFUNCTION("""COMPUTED_VALUE"""),"※")</f>
        <v>※</v>
      </c>
      <c r="M119" s="674">
        <f>IFERROR(__xludf.DUMMYFUNCTION("""COMPUTED_VALUE"""),495.0)</f>
        <v>495</v>
      </c>
      <c r="N119" s="139">
        <f>IFERROR(__xludf.DUMMYFUNCTION("""COMPUTED_VALUE"""),600.0)</f>
        <v>600</v>
      </c>
      <c r="O119" s="139" t="str">
        <f>IFERROR(__xludf.DUMMYFUNCTION("""COMPUTED_VALUE"""),"中コスト")</f>
        <v>中コスト</v>
      </c>
      <c r="P119" s="139">
        <f>IFERROR(__xludf.DUMMYFUNCTION("""COMPUTED_VALUE"""),-160.0)</f>
        <v>-160</v>
      </c>
      <c r="Q119" s="675">
        <f>IFERROR(__xludf.DUMMYFUNCTION("""COMPUTED_VALUE"""),30.0)</f>
        <v>30</v>
      </c>
      <c r="R119" s="675">
        <f>IFERROR(__xludf.DUMMYFUNCTION("""COMPUTED_VALUE"""),25.0)</f>
        <v>25</v>
      </c>
      <c r="S119" s="675">
        <f>IFERROR(__xludf.DUMMYFUNCTION("""COMPUTED_VALUE"""),9.875)</f>
        <v>9.875</v>
      </c>
      <c r="T119" s="674">
        <f>IFERROR(__xludf.DUMMYFUNCTION("""COMPUTED_VALUE"""),545.0)</f>
        <v>545</v>
      </c>
      <c r="U119" s="675">
        <f>IFERROR(__xludf.DUMMYFUNCTION("""COMPUTED_VALUE"""),10.926666666666668)</f>
        <v>10.92666667</v>
      </c>
      <c r="V119" s="675">
        <f>IFERROR(__xludf.DUMMYFUNCTION("""COMPUTED_VALUE"""),0.0)</f>
        <v>0</v>
      </c>
      <c r="W119" s="675">
        <f>IFERROR(__xludf.DUMMYFUNCTION("""COMPUTED_VALUE"""),0.0)</f>
        <v>0</v>
      </c>
      <c r="X119" s="675">
        <f>IFERROR(__xludf.DUMMYFUNCTION("""COMPUTED_VALUE"""),0.0)</f>
        <v>0</v>
      </c>
      <c r="Y119" s="674">
        <f>IFERROR(__xludf.DUMMYFUNCTION("""COMPUTED_VALUE"""),285.0)</f>
        <v>285</v>
      </c>
      <c r="Z119" s="675">
        <f>IFERROR(__xludf.DUMMYFUNCTION("""COMPUTED_VALUE"""),5.711666666666666)</f>
        <v>5.711666667</v>
      </c>
      <c r="AA119" s="675">
        <f>IFERROR(__xludf.DUMMYFUNCTION("""COMPUTED_VALUE"""),0.0)</f>
        <v>0</v>
      </c>
      <c r="AB119" s="673">
        <f>IFERROR(__xludf.DUMMYFUNCTION("""COMPUTED_VALUE"""),0.0)</f>
        <v>0</v>
      </c>
      <c r="AC119" s="675">
        <f>IFERROR(__xludf.DUMMYFUNCTION("""COMPUTED_VALUE"""),0.0)</f>
        <v>0</v>
      </c>
      <c r="AD119" s="674">
        <f>IFERROR(__xludf.DUMMYFUNCTION("""COMPUTED_VALUE"""),550.0)</f>
        <v>550</v>
      </c>
      <c r="AE119" s="675">
        <f>IFERROR(__xludf.DUMMYFUNCTION("""COMPUTED_VALUE"""),11.031579669294874)</f>
        <v>11.03157967</v>
      </c>
      <c r="AF119" s="675">
        <f>IFERROR(__xludf.DUMMYFUNCTION("""COMPUTED_VALUE"""),0.0)</f>
        <v>0</v>
      </c>
      <c r="AG119" s="673">
        <f>IFERROR(__xludf.DUMMYFUNCTION("""COMPUTED_VALUE"""),0.0)</f>
        <v>0</v>
      </c>
      <c r="AH119" s="675">
        <f>IFERROR(__xludf.DUMMYFUNCTION("""COMPUTED_VALUE"""),-1.2257310743660972)</f>
        <v>-1.225731074</v>
      </c>
      <c r="AI119" s="139" t="str">
        <f>IFERROR(__xludf.DUMMYFUNCTION("""COMPUTED_VALUE"""),"-")</f>
        <v>-</v>
      </c>
      <c r="AJ119" s="675" t="str">
        <f>IFERROR(__xludf.DUMMYFUNCTION("""COMPUTED_VALUE"""),"-")</f>
        <v>-</v>
      </c>
      <c r="AK119" s="139">
        <f>IFERROR(__xludf.DUMMYFUNCTION("""COMPUTED_VALUE"""),1.0)</f>
        <v>1</v>
      </c>
      <c r="AL119" s="674">
        <f>IFERROR(__xludf.DUMMYFUNCTION("""COMPUTED_VALUE"""),1490.0)</f>
        <v>1490</v>
      </c>
      <c r="AM119" s="688">
        <f>IFERROR(__xludf.DUMMYFUNCTION("""COMPUTED_VALUE"""),10299.37189772967)</f>
        <v>10299.3719</v>
      </c>
      <c r="AN119" s="675">
        <f>IFERROR(__xludf.DUMMYFUNCTION("""COMPUTED_VALUE"""),9.933333333333334)</f>
        <v>9.933333333</v>
      </c>
      <c r="AO119" s="675">
        <f>IFERROR(__xludf.DUMMYFUNCTION("""COMPUTED_VALUE"""),4.966666666666667)</f>
        <v>4.966666667</v>
      </c>
      <c r="AP119" s="674">
        <f>IFERROR(__xludf.DUMMYFUNCTION("""COMPUTED_VALUE"""),1490.0)</f>
        <v>1490</v>
      </c>
      <c r="AQ119" s="673">
        <f>IFERROR(__xludf.DUMMYFUNCTION("""COMPUTED_VALUE"""),-0.3)</f>
        <v>-0.3</v>
      </c>
      <c r="AR119" s="673">
        <f>IFERROR(__xludf.DUMMYFUNCTION("""COMPUTED_VALUE"""),0.0)</f>
        <v>0</v>
      </c>
      <c r="AS119" s="673">
        <f>IFERROR(__xludf.DUMMYFUNCTION("""COMPUTED_VALUE"""),0.1)</f>
        <v>0.1</v>
      </c>
      <c r="AT119" s="673">
        <f>IFERROR(__xludf.DUMMYFUNCTION("""COMPUTED_VALUE"""),0.2)</f>
        <v>0.2</v>
      </c>
      <c r="AU119" s="675">
        <f>IFERROR(__xludf.DUMMYFUNCTION("""COMPUTED_VALUE"""),0.0)</f>
        <v>0</v>
      </c>
      <c r="AV119" s="675">
        <f>IFERROR(__xludf.DUMMYFUNCTION("""COMPUTED_VALUE"""),0.0)</f>
        <v>0</v>
      </c>
      <c r="AW119" s="139"/>
      <c r="AX119" s="674">
        <f>IFERROR(__xludf.DUMMYFUNCTION("""COMPUTED_VALUE"""),1090.0)</f>
        <v>1090</v>
      </c>
      <c r="AY119" s="688">
        <f>IFERROR(__xludf.DUMMYFUNCTION("""COMPUTED_VALUE"""),7535.080650017007)</f>
        <v>7535.08065</v>
      </c>
      <c r="AZ119" s="674">
        <f>IFERROR(__xludf.DUMMYFUNCTION("""COMPUTED_VALUE"""),1090.0)</f>
        <v>1090</v>
      </c>
      <c r="BA119" s="688">
        <f>IFERROR(__xludf.DUMMYFUNCTION("""COMPUTED_VALUE"""),7535.080650017007)</f>
        <v>7535.08065</v>
      </c>
      <c r="BB119" s="688" t="str">
        <f>IFERROR(__xludf.DUMMYFUNCTION("""COMPUTED_VALUE"""),"-")</f>
        <v>-</v>
      </c>
      <c r="BC119" s="688" t="str">
        <f>IFERROR(__xludf.DUMMYFUNCTION("""COMPUTED_VALUE"""),"#VALUE!")</f>
        <v>#VALUE!</v>
      </c>
      <c r="BD119" s="688" t="str">
        <f>IFERROR(__xludf.DUMMYFUNCTION("""COMPUTED_VALUE"""),"#VALUE!")</f>
        <v>#VALUE!</v>
      </c>
      <c r="BE119" s="674">
        <f>IFERROR(__xludf.DUMMYFUNCTION("""COMPUTED_VALUE"""),1090.0)</f>
        <v>1090</v>
      </c>
      <c r="BF119" s="674">
        <f>IFERROR(__xludf.DUMMYFUNCTION("""COMPUTED_VALUE"""),990.0)</f>
        <v>990</v>
      </c>
      <c r="BG119" s="673">
        <f>IFERROR(__xludf.DUMMYFUNCTION("""COMPUTED_VALUE"""),-0.2)</f>
        <v>-0.2</v>
      </c>
      <c r="BH119" s="673">
        <f>IFERROR(__xludf.DUMMYFUNCTION("""COMPUTED_VALUE"""),0.1)</f>
        <v>0.1</v>
      </c>
      <c r="BI119" s="673">
        <f>IFERROR(__xludf.DUMMYFUNCTION("""COMPUTED_VALUE"""),0.0)</f>
        <v>0</v>
      </c>
      <c r="BJ119" s="673">
        <f>IFERROR(__xludf.DUMMYFUNCTION("""COMPUTED_VALUE"""),0.0)</f>
        <v>0</v>
      </c>
      <c r="BK119" s="673">
        <f>IFERROR(__xludf.DUMMYFUNCTION("""COMPUTED_VALUE"""),0.0)</f>
        <v>0</v>
      </c>
      <c r="BL119" s="673">
        <f>IFERROR(__xludf.DUMMYFUNCTION("""COMPUTED_VALUE"""),0.2)</f>
        <v>0.2</v>
      </c>
      <c r="BM119" s="674">
        <f>IFERROR(__xludf.DUMMYFUNCTION("""COMPUTED_VALUE"""),50.0)</f>
        <v>50</v>
      </c>
      <c r="BN119" s="674">
        <f>IFERROR(__xludf.DUMMYFUNCTION("""COMPUTED_VALUE"""),50.0)</f>
        <v>50</v>
      </c>
      <c r="BO119" s="675">
        <f>IFERROR(__xludf.DUMMYFUNCTION("""COMPUTED_VALUE"""),0.0)</f>
        <v>0</v>
      </c>
      <c r="BP119" s="675">
        <f>IFERROR(__xludf.DUMMYFUNCTION("""COMPUTED_VALUE"""),1.0)</f>
        <v>1</v>
      </c>
      <c r="BQ119" s="139" t="str">
        <f>IFERROR(__xludf.DUMMYFUNCTION("""COMPUTED_VALUE"""),"(近距離)素手")</f>
        <v>(近距離)素手</v>
      </c>
      <c r="BR119" s="139">
        <f>IFERROR(__xludf.DUMMYFUNCTION("""COMPUTED_VALUE"""),3.0)</f>
        <v>3</v>
      </c>
      <c r="BS119" s="139">
        <f>IFERROR(__xludf.DUMMYFUNCTION("""COMPUTED_VALUE"""),35.0)</f>
        <v>35</v>
      </c>
      <c r="BT119" s="139">
        <f>IFERROR(__xludf.DUMMYFUNCTION("""COMPUTED_VALUE"""),0.26)</f>
        <v>0.26</v>
      </c>
      <c r="BU119" s="139">
        <f>IFERROR(__xludf.DUMMYFUNCTION("""COMPUTED_VALUE"""),0.0)</f>
        <v>0</v>
      </c>
      <c r="BV119" s="139" t="str">
        <f>IFERROR(__xludf.DUMMYFUNCTION("""COMPUTED_VALUE"""),"普通")</f>
        <v>普通</v>
      </c>
      <c r="BW119" s="139" t="str">
        <f>IFERROR(__xludf.DUMMYFUNCTION("""COMPUTED_VALUE"""),"弱体化無効化")</f>
        <v>弱体化無効化</v>
      </c>
      <c r="BX119" s="139" t="str">
        <f>IFERROR(__xludf.DUMMYFUNCTION("""COMPUTED_VALUE"""),"-")</f>
        <v>-</v>
      </c>
      <c r="BY119" s="139">
        <f>IFERROR(__xludf.DUMMYFUNCTION("""COMPUTED_VALUE"""),2.0)</f>
        <v>2</v>
      </c>
      <c r="BZ119" s="139" t="str">
        <f>IFERROR(__xludf.DUMMYFUNCTION("""COMPUTED_VALUE"""),"-")</f>
        <v>-</v>
      </c>
      <c r="CA119" s="139" t="str">
        <f>IFERROR(__xludf.DUMMYFUNCTION("""COMPUTED_VALUE"""),"-")</f>
        <v>-</v>
      </c>
      <c r="CB119" s="139" t="str">
        <f>IFERROR(__xludf.DUMMYFUNCTION("""COMPUTED_VALUE"""),"-")</f>
        <v>-</v>
      </c>
      <c r="CC119" s="139" t="str">
        <f>IFERROR(__xludf.DUMMYFUNCTION("""COMPUTED_VALUE"""),"近距離")</f>
        <v>近距離</v>
      </c>
      <c r="CD119" s="139" t="str">
        <f>IFERROR(__xludf.DUMMYFUNCTION("""COMPUTED_VALUE"""),"単体")</f>
        <v>単体</v>
      </c>
      <c r="CE119" s="139">
        <f>IFERROR(__xludf.DUMMYFUNCTION("""COMPUTED_VALUE"""),1.0)</f>
        <v>1</v>
      </c>
      <c r="CF119" s="139">
        <f>IFERROR(__xludf.DUMMYFUNCTION("""COMPUTED_VALUE"""),0.27)</f>
        <v>0.27</v>
      </c>
      <c r="CG119" s="139" t="str">
        <f>IFERROR(__xludf.DUMMYFUNCTION("""COMPUTED_VALUE"""),"中距離")</f>
        <v>中距離</v>
      </c>
      <c r="CH119" s="139" t="str">
        <f>IFERROR(__xludf.DUMMYFUNCTION("""COMPUTED_VALUE"""),"単体")</f>
        <v>単体</v>
      </c>
      <c r="CI119" s="139">
        <f>IFERROR(__xludf.DUMMYFUNCTION("""COMPUTED_VALUE"""),1.0)</f>
        <v>1</v>
      </c>
      <c r="CJ119" s="139">
        <f>IFERROR(__xludf.DUMMYFUNCTION("""COMPUTED_VALUE"""),0.27)</f>
        <v>0.27</v>
      </c>
      <c r="CK119" s="139"/>
      <c r="CL119" s="139"/>
      <c r="CM119" s="139"/>
      <c r="CN119" s="675">
        <f>IFERROR(__xludf.DUMMYFUNCTION("""COMPUTED_VALUE"""),11.031579669294874)</f>
        <v>11.03157967</v>
      </c>
      <c r="CO119" s="139" t="str">
        <f>IFERROR(__xludf.DUMMYFUNCTION("""COMPUTED_VALUE"""),"-")</f>
        <v>-</v>
      </c>
      <c r="CP119" s="139" t="str">
        <f>IFERROR(__xludf.DUMMYFUNCTION("""COMPUTED_VALUE"""),"-")</f>
        <v>-</v>
      </c>
      <c r="CQ119" s="139" t="str">
        <f>IFERROR(__xludf.DUMMYFUNCTION("""COMPUTED_VALUE"""),"-")</f>
        <v>-</v>
      </c>
      <c r="CR119" s="139"/>
      <c r="CS119" s="673" t="str">
        <f>IFERROR(__xludf.DUMMYFUNCTION("""COMPUTED_VALUE"""),"攻撃(必殺)")</f>
        <v>攻撃(必殺)</v>
      </c>
      <c r="CT119" s="139" t="str">
        <f>IFERROR(__xludf.DUMMYFUNCTION("""COMPUTED_VALUE"""),"-")</f>
        <v>-</v>
      </c>
      <c r="CU119" s="139" t="str">
        <f>IFERROR(__xludf.DUMMYFUNCTION("""COMPUTED_VALUE"""),"敵")</f>
        <v>敵</v>
      </c>
      <c r="CV119" s="139" t="str">
        <f>IFERROR(__xludf.DUMMYFUNCTION("""COMPUTED_VALUE"""),"All")</f>
        <v>All</v>
      </c>
      <c r="CW119" s="139" t="str">
        <f>IFERROR(__xludf.DUMMYFUNCTION("""COMPUTED_VALUE"""),"All")</f>
        <v>All</v>
      </c>
      <c r="CX119" s="674">
        <f>IFERROR(__xludf.DUMMYFUNCTION("""COMPUTED_VALUE"""),153.0)</f>
        <v>153</v>
      </c>
      <c r="CY119" s="675" t="str">
        <f>IFERROR(__xludf.DUMMYFUNCTION("""COMPUTED_VALUE"""),"-")</f>
        <v>-</v>
      </c>
      <c r="CZ119" s="688">
        <f>IFERROR(__xludf.DUMMYFUNCTION("""COMPUTED_VALUE"""),11529.0)</f>
        <v>11529</v>
      </c>
      <c r="DA119" s="688">
        <f>IFERROR(__xludf.DUMMYFUNCTION("""COMPUTED_VALUE"""),1098.043046525913)</f>
        <v>1098.043047</v>
      </c>
      <c r="DB119" s="688">
        <f>IFERROR(__xludf.DUMMYFUNCTION("""COMPUTED_VALUE"""),0.0)</f>
        <v>0</v>
      </c>
      <c r="DC119" s="673" t="str">
        <f>IFERROR(__xludf.DUMMYFUNCTION("""COMPUTED_VALUE"""),"HP吸収攻撃")</f>
        <v>HP吸収攻撃</v>
      </c>
      <c r="DD119" s="673">
        <f>IFERROR(__xludf.DUMMYFUNCTION("""COMPUTED_VALUE"""),20.0)</f>
        <v>20</v>
      </c>
      <c r="DE119" s="139" t="str">
        <f>IFERROR(__xludf.DUMMYFUNCTION("""COMPUTED_VALUE"""),"-")</f>
        <v>-</v>
      </c>
      <c r="DF119" s="139" t="str">
        <f>IFERROR(__xludf.DUMMYFUNCTION("""COMPUTED_VALUE"""),"-")</f>
        <v>-</v>
      </c>
      <c r="DG119" s="139" t="str">
        <f>IFERROR(__xludf.DUMMYFUNCTION("""COMPUTED_VALUE"""),"-")</f>
        <v>-</v>
      </c>
      <c r="DH119" s="139" t="str">
        <f>IFERROR(__xludf.DUMMYFUNCTION("""COMPUTED_VALUE"""),"-")</f>
        <v>-</v>
      </c>
      <c r="DI119" s="139" t="str">
        <f>IFERROR(__xludf.DUMMYFUNCTION("""COMPUTED_VALUE"""),"-")</f>
        <v>-</v>
      </c>
      <c r="DJ119" s="139" t="str">
        <f>IFERROR(__xludf.DUMMYFUNCTION("""COMPUTED_VALUE"""),"-")</f>
        <v>-</v>
      </c>
    </row>
    <row r="120">
      <c r="A120" s="139" t="str">
        <f>IFERROR(__xludf.DUMMYFUNCTION("""COMPUTED_VALUE"""),"怪獣８号")</f>
        <v>怪獣８号</v>
      </c>
      <c r="B120" s="139" t="str">
        <f>IFERROR(__xludf.DUMMYFUNCTION("""COMPUTED_VALUE"""),"識別怪獣兵器1 鳴海 弦")</f>
        <v>識別怪獣兵器1 鳴海 弦</v>
      </c>
      <c r="C120" s="139" t="str">
        <f>IFERROR(__xludf.DUMMYFUNCTION("""COMPUTED_VALUE"""),"chara_kai_00701")</f>
        <v>chara_kai_00701</v>
      </c>
      <c r="D120" s="139" t="str">
        <f>IFERROR(__xludf.DUMMYFUNCTION("""COMPUTED_VALUE"""),"FestivalUR")</f>
        <v>FestivalUR</v>
      </c>
      <c r="E120" s="139" t="str">
        <f>IFERROR(__xludf.DUMMYFUNCTION("""COMPUTED_VALUE"""),"黄")</f>
        <v>黄</v>
      </c>
      <c r="F120" s="139" t="str">
        <f>IFERROR(__xludf.DUMMYFUNCTION("""COMPUTED_VALUE"""),"ディフェンス")</f>
        <v>ディフェンス</v>
      </c>
      <c r="G120" s="139" t="str">
        <f>IFERROR(__xludf.DUMMYFUNCTION("""COMPUTED_VALUE"""),"近距離")</f>
        <v>近距離</v>
      </c>
      <c r="H120" s="139" t="str">
        <f>IFERROR(__xludf.DUMMYFUNCTION("""COMPUTED_VALUE"""),"※ID管理未記入")</f>
        <v>※ID管理未記入</v>
      </c>
      <c r="I120" s="139" t="str">
        <f>IFERROR(__xludf.DUMMYFUNCTION("""COMPUTED_VALUE"""),"※ID管理未記入")</f>
        <v>※ID管理未記入</v>
      </c>
      <c r="J120" s="139" t="str">
        <f>IFERROR(__xludf.DUMMYFUNCTION("""COMPUTED_VALUE"""),"202603025_ハーフアニバーサリー祭後半")</f>
        <v>202603025_ハーフアニバーサリー祭後半</v>
      </c>
      <c r="K120" s="139" t="str">
        <f>IFERROR(__xludf.DUMMYFUNCTION("""COMPUTED_VALUE"""),"怪獣８号 2回目 いいジャン祭")</f>
        <v>怪獣８号 2回目 いいジャン祭</v>
      </c>
      <c r="L120" s="687" t="str">
        <f>IFERROR(__xludf.DUMMYFUNCTION("""COMPUTED_VALUE"""),"※")</f>
        <v>※</v>
      </c>
      <c r="M120" s="674">
        <f>IFERROR(__xludf.DUMMYFUNCTION("""COMPUTED_VALUE"""),980.0)</f>
        <v>980</v>
      </c>
      <c r="N120" s="139">
        <f>IFERROR(__xludf.DUMMYFUNCTION("""COMPUTED_VALUE"""),1000.0)</f>
        <v>1000</v>
      </c>
      <c r="O120" s="139" t="str">
        <f>IFERROR(__xludf.DUMMYFUNCTION("""COMPUTED_VALUE"""),"高コスト")</f>
        <v>高コスト</v>
      </c>
      <c r="P120" s="139">
        <f>IFERROR(__xludf.DUMMYFUNCTION("""COMPUTED_VALUE"""),-90.0)</f>
        <v>-90</v>
      </c>
      <c r="Q120" s="675">
        <f>IFERROR(__xludf.DUMMYFUNCTION("""COMPUTED_VALUE"""),10.0)</f>
        <v>10</v>
      </c>
      <c r="R120" s="675">
        <f>IFERROR(__xludf.DUMMYFUNCTION("""COMPUTED_VALUE"""),60.0)</f>
        <v>60</v>
      </c>
      <c r="S120" s="675">
        <f>IFERROR(__xludf.DUMMYFUNCTION("""COMPUTED_VALUE"""),22.0)</f>
        <v>22</v>
      </c>
      <c r="T120" s="674">
        <f>IFERROR(__xludf.DUMMYFUNCTION("""COMPUTED_VALUE"""),1855.0)</f>
        <v>1855</v>
      </c>
      <c r="U120" s="675">
        <f>IFERROR(__xludf.DUMMYFUNCTION("""COMPUTED_VALUE"""),37.11)</f>
        <v>37.11</v>
      </c>
      <c r="V120" s="675">
        <f>IFERROR(__xludf.DUMMYFUNCTION("""COMPUTED_VALUE"""),0.0)</f>
        <v>0</v>
      </c>
      <c r="W120" s="675">
        <f>IFERROR(__xludf.DUMMYFUNCTION("""COMPUTED_VALUE"""),0.0)</f>
        <v>0</v>
      </c>
      <c r="X120" s="675">
        <f>IFERROR(__xludf.DUMMYFUNCTION("""COMPUTED_VALUE"""),0.0)</f>
        <v>0</v>
      </c>
      <c r="Y120" s="674">
        <f>IFERROR(__xludf.DUMMYFUNCTION("""COMPUTED_VALUE"""),1155.0)</f>
        <v>1155</v>
      </c>
      <c r="Z120" s="675">
        <f>IFERROR(__xludf.DUMMYFUNCTION("""COMPUTED_VALUE"""),23.115)</f>
        <v>23.115</v>
      </c>
      <c r="AA120" s="675">
        <f>IFERROR(__xludf.DUMMYFUNCTION("""COMPUTED_VALUE"""),0.0)</f>
        <v>0</v>
      </c>
      <c r="AB120" s="673">
        <f>IFERROR(__xludf.DUMMYFUNCTION("""COMPUTED_VALUE"""),0.0)</f>
        <v>0</v>
      </c>
      <c r="AC120" s="675">
        <f>IFERROR(__xludf.DUMMYFUNCTION("""COMPUTED_VALUE"""),0.0)</f>
        <v>0</v>
      </c>
      <c r="AD120" s="674">
        <f>IFERROR(__xludf.DUMMYFUNCTION("""COMPUTED_VALUE"""),1860.0)</f>
        <v>1860</v>
      </c>
      <c r="AE120" s="675">
        <f>IFERROR(__xludf.DUMMYFUNCTION("""COMPUTED_VALUE"""),37.1923466537453)</f>
        <v>37.19234665</v>
      </c>
      <c r="AF120" s="675">
        <f>IFERROR(__xludf.DUMMYFUNCTION("""COMPUTED_VALUE"""),0.0)</f>
        <v>0</v>
      </c>
      <c r="AG120" s="673">
        <f>IFERROR(__xludf.DUMMYFUNCTION("""COMPUTED_VALUE"""),15.0)</f>
        <v>15</v>
      </c>
      <c r="AH120" s="675">
        <f>IFERROR(__xludf.DUMMYFUNCTION("""COMPUTED_VALUE"""),-2.4658162948605886)</f>
        <v>-2.465816295</v>
      </c>
      <c r="AI120" s="139" t="str">
        <f>IFERROR(__xludf.DUMMYFUNCTION("""COMPUTED_VALUE"""),"-")</f>
        <v>-</v>
      </c>
      <c r="AJ120" s="675" t="str">
        <f>IFERROR(__xludf.DUMMYFUNCTION("""COMPUTED_VALUE"""),"-")</f>
        <v>-</v>
      </c>
      <c r="AK120" s="139">
        <f>IFERROR(__xludf.DUMMYFUNCTION("""COMPUTED_VALUE"""),1.0)</f>
        <v>1</v>
      </c>
      <c r="AL120" s="674">
        <f>IFERROR(__xludf.DUMMYFUNCTION("""COMPUTED_VALUE"""),6030.0)</f>
        <v>6030</v>
      </c>
      <c r="AM120" s="688">
        <f>IFERROR(__xludf.DUMMYFUNCTION("""COMPUTED_VALUE"""),50275.2395592684)</f>
        <v>50275.23956</v>
      </c>
      <c r="AN120" s="675">
        <f>IFERROR(__xludf.DUMMYFUNCTION("""COMPUTED_VALUE"""),40.2)</f>
        <v>40.2</v>
      </c>
      <c r="AO120" s="675">
        <f>IFERROR(__xludf.DUMMYFUNCTION("""COMPUTED_VALUE"""),20.1)</f>
        <v>20.1</v>
      </c>
      <c r="AP120" s="674">
        <f>IFERROR(__xludf.DUMMYFUNCTION("""COMPUTED_VALUE"""),2940.0)</f>
        <v>2940</v>
      </c>
      <c r="AQ120" s="673">
        <f>IFERROR(__xludf.DUMMYFUNCTION("""COMPUTED_VALUE"""),0.9)</f>
        <v>0.9</v>
      </c>
      <c r="AR120" s="673">
        <f>IFERROR(__xludf.DUMMYFUNCTION("""COMPUTED_VALUE"""),-0.15)</f>
        <v>-0.15</v>
      </c>
      <c r="AS120" s="673">
        <f>IFERROR(__xludf.DUMMYFUNCTION("""COMPUTED_VALUE"""),0.1)</f>
        <v>0.1</v>
      </c>
      <c r="AT120" s="673">
        <f>IFERROR(__xludf.DUMMYFUNCTION("""COMPUTED_VALUE"""),0.0)</f>
        <v>0</v>
      </c>
      <c r="AU120" s="675">
        <f>IFERROR(__xludf.DUMMYFUNCTION("""COMPUTED_VALUE"""),0.0)</f>
        <v>0</v>
      </c>
      <c r="AV120" s="673">
        <f>IFERROR(__xludf.DUMMYFUNCTION("""COMPUTED_VALUE"""),0.2)</f>
        <v>0.2</v>
      </c>
      <c r="AW120" s="139"/>
      <c r="AX120" s="674">
        <f>IFERROR(__xludf.DUMMYFUNCTION("""COMPUTED_VALUE"""),3750.0)</f>
        <v>3750</v>
      </c>
      <c r="AY120" s="688">
        <f>IFERROR(__xludf.DUMMYFUNCTION("""COMPUTED_VALUE"""),31265.215447306215)</f>
        <v>31265.21545</v>
      </c>
      <c r="AZ120" s="674">
        <f>IFERROR(__xludf.DUMMYFUNCTION("""COMPUTED_VALUE"""),1250.0)</f>
        <v>1250</v>
      </c>
      <c r="BA120" s="688">
        <f>IFERROR(__xludf.DUMMYFUNCTION("""COMPUTED_VALUE"""),10421.738482435405)</f>
        <v>10421.73848</v>
      </c>
      <c r="BB120" s="688" t="str">
        <f>IFERROR(__xludf.DUMMYFUNCTION("""COMPUTED_VALUE"""),"-")</f>
        <v>-</v>
      </c>
      <c r="BC120" s="688" t="str">
        <f>IFERROR(__xludf.DUMMYFUNCTION("""COMPUTED_VALUE"""),"#VALUE!")</f>
        <v>#VALUE!</v>
      </c>
      <c r="BD120" s="688" t="str">
        <f>IFERROR(__xludf.DUMMYFUNCTION("""COMPUTED_VALUE"""),"#VALUE!")</f>
        <v>#VALUE!</v>
      </c>
      <c r="BE120" s="674">
        <f>IFERROR(__xludf.DUMMYFUNCTION("""COMPUTED_VALUE"""),1250.0)</f>
        <v>1250</v>
      </c>
      <c r="BF120" s="674">
        <f>IFERROR(__xludf.DUMMYFUNCTION("""COMPUTED_VALUE"""),1960.0)</f>
        <v>1960</v>
      </c>
      <c r="BG120" s="673">
        <f>IFERROR(__xludf.DUMMYFUNCTION("""COMPUTED_VALUE"""),0.0)</f>
        <v>0</v>
      </c>
      <c r="BH120" s="673">
        <f>IFERROR(__xludf.DUMMYFUNCTION("""COMPUTED_VALUE"""),-0.5)</f>
        <v>-0.5</v>
      </c>
      <c r="BI120" s="673">
        <f>IFERROR(__xludf.DUMMYFUNCTION("""COMPUTED_VALUE"""),0.0)</f>
        <v>0</v>
      </c>
      <c r="BJ120" s="673">
        <f>IFERROR(__xludf.DUMMYFUNCTION("""COMPUTED_VALUE"""),0.2)</f>
        <v>0.2</v>
      </c>
      <c r="BK120" s="673">
        <f>IFERROR(__xludf.DUMMYFUNCTION("""COMPUTED_VALUE"""),0.15)</f>
        <v>0.15</v>
      </c>
      <c r="BL120" s="673">
        <f>IFERROR(__xludf.DUMMYFUNCTION("""COMPUTED_VALUE"""),0.0)</f>
        <v>0</v>
      </c>
      <c r="BM120" s="674">
        <f>IFERROR(__xludf.DUMMYFUNCTION("""COMPUTED_VALUE"""),150.0)</f>
        <v>150</v>
      </c>
      <c r="BN120" s="674">
        <f>IFERROR(__xludf.DUMMYFUNCTION("""COMPUTED_VALUE"""),100.0)</f>
        <v>100</v>
      </c>
      <c r="BO120" s="675">
        <f>IFERROR(__xludf.DUMMYFUNCTION("""COMPUTED_VALUE"""),50.0)</f>
        <v>50</v>
      </c>
      <c r="BP120" s="675">
        <f>IFERROR(__xludf.DUMMYFUNCTION("""COMPUTED_VALUE"""),3.0)</f>
        <v>3</v>
      </c>
      <c r="BQ120" s="139" t="str">
        <f>IFERROR(__xludf.DUMMYFUNCTION("""COMPUTED_VALUE"""),"(近距離)武器・道具・特殊攻撃")</f>
        <v>(近距離)武器・道具・特殊攻撃</v>
      </c>
      <c r="BR120" s="139">
        <f>IFERROR(__xludf.DUMMYFUNCTION("""COMPUTED_VALUE"""),1.0)</f>
        <v>1</v>
      </c>
      <c r="BS120" s="139">
        <f>IFERROR(__xludf.DUMMYFUNCTION("""COMPUTED_VALUE"""),50.0)</f>
        <v>50</v>
      </c>
      <c r="BT120" s="139">
        <f>IFERROR(__xludf.DUMMYFUNCTION("""COMPUTED_VALUE"""),0.21)</f>
        <v>0.21</v>
      </c>
      <c r="BU120" s="139">
        <f>IFERROR(__xludf.DUMMYFUNCTION("""COMPUTED_VALUE"""),0.0)</f>
        <v>0</v>
      </c>
      <c r="BV120" s="139" t="str">
        <f>IFERROR(__xludf.DUMMYFUNCTION("""COMPUTED_VALUE"""),"速い-速い")</f>
        <v>速い-速い</v>
      </c>
      <c r="BW120" s="139" t="str">
        <f>IFERROR(__xludf.DUMMYFUNCTION("""COMPUTED_VALUE"""),"スタン攻撃無効化")</f>
        <v>スタン攻撃無効化</v>
      </c>
      <c r="BX120" s="139">
        <f>IFERROR(__xludf.DUMMYFUNCTION("""COMPUTED_VALUE"""),80.0)</f>
        <v>80</v>
      </c>
      <c r="BY120" s="139">
        <f>IFERROR(__xludf.DUMMYFUNCTION("""COMPUTED_VALUE"""),0.0)</f>
        <v>0</v>
      </c>
      <c r="BZ120" s="139" t="str">
        <f>IFERROR(__xludf.DUMMYFUNCTION("""COMPUTED_VALUE"""),"氷結攻撃無効化")</f>
        <v>氷結攻撃無効化</v>
      </c>
      <c r="CA120" s="139">
        <f>IFERROR(__xludf.DUMMYFUNCTION("""COMPUTED_VALUE"""),80.0)</f>
        <v>80</v>
      </c>
      <c r="CB120" s="139">
        <f>IFERROR(__xludf.DUMMYFUNCTION("""COMPUTED_VALUE"""),4.0)</f>
        <v>4</v>
      </c>
      <c r="CC120" s="139" t="str">
        <f>IFERROR(__xludf.DUMMYFUNCTION("""COMPUTED_VALUE"""),"近距離")</f>
        <v>近距離</v>
      </c>
      <c r="CD120" s="139" t="str">
        <f>IFERROR(__xludf.DUMMYFUNCTION("""COMPUTED_VALUE"""),"範囲(小)")</f>
        <v>範囲(小)</v>
      </c>
      <c r="CE120" s="139">
        <f>IFERROR(__xludf.DUMMYFUNCTION("""COMPUTED_VALUE"""),0.75)</f>
        <v>0.75</v>
      </c>
      <c r="CF120" s="139">
        <f>IFERROR(__xludf.DUMMYFUNCTION("""COMPUTED_VALUE"""),0.32)</f>
        <v>0.32</v>
      </c>
      <c r="CG120" s="139" t="str">
        <f>IFERROR(__xludf.DUMMYFUNCTION("""COMPUTED_VALUE"""),"中距離")</f>
        <v>中距離</v>
      </c>
      <c r="CH120" s="139" t="str">
        <f>IFERROR(__xludf.DUMMYFUNCTION("""COMPUTED_VALUE"""),"範囲(特大)")</f>
        <v>範囲(特大)</v>
      </c>
      <c r="CI120" s="139">
        <f>IFERROR(__xludf.DUMMYFUNCTION("""COMPUTED_VALUE"""),0.5)</f>
        <v>0.5</v>
      </c>
      <c r="CJ120" s="139">
        <f>IFERROR(__xludf.DUMMYFUNCTION("""COMPUTED_VALUE"""),0.72)</f>
        <v>0.72</v>
      </c>
      <c r="CK120" s="139"/>
      <c r="CL120" s="139"/>
      <c r="CM120" s="139"/>
      <c r="CN120" s="675">
        <f>IFERROR(__xludf.DUMMYFUNCTION("""COMPUTED_VALUE"""),37.1923466537453)</f>
        <v>37.19234665</v>
      </c>
      <c r="CO120" s="139" t="str">
        <f>IFERROR(__xludf.DUMMYFUNCTION("""COMPUTED_VALUE"""),"体力条件強化(以下/攻撃)")</f>
        <v>体力条件強化(以下/攻撃)</v>
      </c>
      <c r="CP120" s="139" t="str">
        <f>IFERROR(__xludf.DUMMYFUNCTION("""COMPUTED_VALUE"""),"HP30/75")</f>
        <v>HP30/75</v>
      </c>
      <c r="CQ120" s="139">
        <f>IFERROR(__xludf.DUMMYFUNCTION("""COMPUTED_VALUE"""),6.0)</f>
        <v>6</v>
      </c>
      <c r="CR120" s="139"/>
      <c r="CS120" s="673" t="str">
        <f>IFERROR(__xludf.DUMMYFUNCTION("""COMPUTED_VALUE"""),"攻撃(必殺)")</f>
        <v>攻撃(必殺)</v>
      </c>
      <c r="CT120" s="139" t="str">
        <f>IFERROR(__xludf.DUMMYFUNCTION("""COMPUTED_VALUE"""),"-")</f>
        <v>-</v>
      </c>
      <c r="CU120" s="139" t="str">
        <f>IFERROR(__xludf.DUMMYFUNCTION("""COMPUTED_VALUE"""),"敵")</f>
        <v>敵</v>
      </c>
      <c r="CV120" s="139" t="str">
        <f>IFERROR(__xludf.DUMMYFUNCTION("""COMPUTED_VALUE"""),"All")</f>
        <v>All</v>
      </c>
      <c r="CW120" s="139" t="str">
        <f>IFERROR(__xludf.DUMMYFUNCTION("""COMPUTED_VALUE"""),"All")</f>
        <v>All</v>
      </c>
      <c r="CX120" s="674">
        <f>IFERROR(__xludf.DUMMYFUNCTION("""COMPUTED_VALUE"""),115.0)</f>
        <v>115</v>
      </c>
      <c r="CY120" s="675" t="str">
        <f>IFERROR(__xludf.DUMMYFUNCTION("""COMPUTED_VALUE"""),"-")</f>
        <v>-</v>
      </c>
      <c r="CZ120" s="688">
        <f>IFERROR(__xludf.DUMMYFUNCTION("""COMPUTED_VALUE"""),35955.0)</f>
        <v>35955</v>
      </c>
      <c r="DA120" s="688">
        <f>IFERROR(__xludf.DUMMYFUNCTION("""COMPUTED_VALUE"""),1004.7614883091258)</f>
        <v>1004.761488</v>
      </c>
      <c r="DB120" s="688">
        <f>IFERROR(__xludf.DUMMYFUNCTION("""COMPUTED_VALUE"""),5023.8074415456285)</f>
        <v>5023.807442</v>
      </c>
      <c r="DC120" s="673" t="str">
        <f>IFERROR(__xludf.DUMMYFUNCTION("""COMPUTED_VALUE"""),"ゼロリセット / プラス効果解除")</f>
        <v>ゼロリセット / プラス効果解除</v>
      </c>
      <c r="DD120" s="673" t="str">
        <f>IFERROR(__xludf.DUMMYFUNCTION("""COMPUTED_VALUE"""),"すべて")</f>
        <v>すべて</v>
      </c>
      <c r="DE120" s="139" t="str">
        <f>IFERROR(__xludf.DUMMYFUNCTION("""COMPUTED_VALUE"""),"-")</f>
        <v>-</v>
      </c>
      <c r="DF120" s="139" t="str">
        <f>IFERROR(__xludf.DUMMYFUNCTION("""COMPUTED_VALUE"""),"※特殊調整")</f>
        <v>※特殊調整</v>
      </c>
      <c r="DG120" s="139" t="str">
        <f>IFERROR(__xludf.DUMMYFUNCTION("""COMPUTED_VALUE"""),"-")</f>
        <v>-</v>
      </c>
      <c r="DH120" s="139" t="str">
        <f>IFERROR(__xludf.DUMMYFUNCTION("""COMPUTED_VALUE"""),"-")</f>
        <v>-</v>
      </c>
      <c r="DI120" s="139" t="str">
        <f>IFERROR(__xludf.DUMMYFUNCTION("""COMPUTED_VALUE"""),"-")</f>
        <v>-</v>
      </c>
      <c r="DJ120" s="139" t="str">
        <f>IFERROR(__xludf.DUMMYFUNCTION("""COMPUTED_VALUE"""),"-")</f>
        <v>-</v>
      </c>
    </row>
    <row r="121">
      <c r="A121" s="139" t="str">
        <f>IFERROR(__xludf.DUMMYFUNCTION("""COMPUTED_VALUE"""),"姫様“拷問”の時間です")</f>
        <v>姫様“拷問”の時間です</v>
      </c>
      <c r="B121" s="139" t="str">
        <f>IFERROR(__xludf.DUMMYFUNCTION("""COMPUTED_VALUE"""),"マオマオちゃん")</f>
        <v>マオマオちゃん</v>
      </c>
      <c r="C121" s="139" t="str">
        <f>IFERROR(__xludf.DUMMYFUNCTION("""COMPUTED_VALUE"""),"chara_gom_00401")</f>
        <v>chara_gom_00401</v>
      </c>
      <c r="D121" s="139" t="str">
        <f>IFERROR(__xludf.DUMMYFUNCTION("""COMPUTED_VALUE"""),"PremiumUR")</f>
        <v>PremiumUR</v>
      </c>
      <c r="E121" s="139" t="str">
        <f>IFERROR(__xludf.DUMMYFUNCTION("""COMPUTED_VALUE"""),"無")</f>
        <v>無</v>
      </c>
      <c r="F121" s="139" t="str">
        <f>IFERROR(__xludf.DUMMYFUNCTION("""COMPUTED_VALUE"""),"スペシャル")</f>
        <v>スペシャル</v>
      </c>
      <c r="G121" s="139" t="str">
        <f>IFERROR(__xludf.DUMMYFUNCTION("""COMPUTED_VALUE"""),"※ID管理未記入")</f>
        <v>※ID管理未記入</v>
      </c>
      <c r="H121" s="139" t="str">
        <f>IFERROR(__xludf.DUMMYFUNCTION("""COMPUTED_VALUE"""),"-")</f>
        <v>-</v>
      </c>
      <c r="I121" s="139" t="str">
        <f>IFERROR(__xludf.DUMMYFUNCTION("""COMPUTED_VALUE"""),"※ID管理未記入")</f>
        <v>※ID管理未記入</v>
      </c>
      <c r="J121" s="139" t="str">
        <f>IFERROR(__xludf.DUMMYFUNCTION("""COMPUTED_VALUE"""),"202604010_あやかしトライアングル")</f>
        <v>202604010_あやかしトライアングル</v>
      </c>
      <c r="K121" s="139" t="str">
        <f>IFERROR(__xludf.DUMMYFUNCTION("""COMPUTED_VALUE"""),"姫様“拷問”の時間ですいいジャン祭")</f>
        <v>姫様“拷問”の時間ですいいジャン祭</v>
      </c>
      <c r="L121" s="687" t="str">
        <f>IFERROR(__xludf.DUMMYFUNCTION("""COMPUTED_VALUE"""),"※")</f>
        <v>※</v>
      </c>
      <c r="M121" s="674">
        <f>IFERROR(__xludf.DUMMYFUNCTION("""COMPUTED_VALUE"""),1000.0)</f>
        <v>1000</v>
      </c>
      <c r="N121" s="139">
        <f>IFERROR(__xludf.DUMMYFUNCTION("""COMPUTED_VALUE"""),1000.0)</f>
        <v>1000</v>
      </c>
      <c r="O121" s="139" t="str">
        <f>IFERROR(__xludf.DUMMYFUNCTION("""COMPUTED_VALUE"""),"高コスト")</f>
        <v>高コスト</v>
      </c>
      <c r="P121" s="139">
        <f>IFERROR(__xludf.DUMMYFUNCTION("""COMPUTED_VALUE"""),-10.0)</f>
        <v>-10</v>
      </c>
      <c r="Q121" s="675">
        <f>IFERROR(__xludf.DUMMYFUNCTION("""COMPUTED_VALUE"""),10.0)</f>
        <v>10</v>
      </c>
      <c r="R121" s="675">
        <f>IFERROR(__xludf.DUMMYFUNCTION("""COMPUTED_VALUE"""),0.0)</f>
        <v>0</v>
      </c>
      <c r="S121" s="675">
        <f>IFERROR(__xludf.DUMMYFUNCTION("""COMPUTED_VALUE"""),22.5)</f>
        <v>22.5</v>
      </c>
      <c r="T121" s="674">
        <f>IFERROR(__xludf.DUMMYFUNCTION("""COMPUTED_VALUE"""),1100.0)</f>
        <v>1100</v>
      </c>
      <c r="U121" s="675">
        <f>IFERROR(__xludf.DUMMYFUNCTION("""COMPUTED_VALUE"""),22.0)</f>
        <v>22</v>
      </c>
      <c r="V121" s="675">
        <f>IFERROR(__xludf.DUMMYFUNCTION("""COMPUTED_VALUE"""),0.0)</f>
        <v>0</v>
      </c>
      <c r="W121" s="675">
        <f>IFERROR(__xludf.DUMMYFUNCTION("""COMPUTED_VALUE"""),0.0)</f>
        <v>0</v>
      </c>
      <c r="X121" s="675">
        <f>IFERROR(__xludf.DUMMYFUNCTION("""COMPUTED_VALUE"""),0.0)</f>
        <v>0</v>
      </c>
      <c r="Y121" s="674">
        <f>IFERROR(__xludf.DUMMYFUNCTION("""COMPUTED_VALUE"""),575.0)</f>
        <v>575</v>
      </c>
      <c r="Z121" s="675">
        <f>IFERROR(__xludf.DUMMYFUNCTION("""COMPUTED_VALUE"""),11.5)</f>
        <v>11.5</v>
      </c>
      <c r="AA121" s="675">
        <f>IFERROR(__xludf.DUMMYFUNCTION("""COMPUTED_VALUE"""),0.0)</f>
        <v>0</v>
      </c>
      <c r="AB121" s="673">
        <f>IFERROR(__xludf.DUMMYFUNCTION("""COMPUTED_VALUE"""),0.0)</f>
        <v>0</v>
      </c>
      <c r="AC121" s="675">
        <f>IFERROR(__xludf.DUMMYFUNCTION("""COMPUTED_VALUE"""),0.0)</f>
        <v>0</v>
      </c>
      <c r="AD121" s="674">
        <f>IFERROR(__xludf.DUMMYFUNCTION("""COMPUTED_VALUE"""),1770.0)</f>
        <v>1770</v>
      </c>
      <c r="AE121" s="675">
        <f>IFERROR(__xludf.DUMMYFUNCTION("""COMPUTED_VALUE"""),35.392527130926084)</f>
        <v>35.39252713</v>
      </c>
      <c r="AF121" s="675">
        <f>IFERROR(__xludf.DUMMYFUNCTION("""COMPUTED_VALUE"""),0.0)</f>
        <v>0</v>
      </c>
      <c r="AG121" s="675">
        <f>IFERROR(__xludf.DUMMYFUNCTION("""COMPUTED_VALUE"""),18.0)</f>
        <v>18</v>
      </c>
      <c r="AH121" s="675">
        <f>IFERROR(__xludf.DUMMYFUNCTION("""COMPUTED_VALUE"""),0.0)</f>
        <v>0</v>
      </c>
      <c r="AI121" s="675">
        <f>IFERROR(__xludf.DUMMYFUNCTION("""COMPUTED_VALUE"""),12.0)</f>
        <v>12</v>
      </c>
      <c r="AJ121" s="675">
        <f>IFERROR(__xludf.DUMMYFUNCTION("""COMPUTED_VALUE"""),23.392527130926084)</f>
        <v>23.39252713</v>
      </c>
      <c r="AK121" s="139">
        <f>IFERROR(__xludf.DUMMYFUNCTION("""COMPUTED_VALUE"""),1.0)</f>
        <v>1</v>
      </c>
      <c r="AL121" s="674">
        <f>IFERROR(__xludf.DUMMYFUNCTION("""COMPUTED_VALUE"""),3000.0)</f>
        <v>3000</v>
      </c>
      <c r="AM121" s="688">
        <f>IFERROR(__xludf.DUMMYFUNCTION("""COMPUTED_VALUE"""),24518.244357844975)</f>
        <v>24518.24436</v>
      </c>
      <c r="AN121" s="675">
        <f>IFERROR(__xludf.DUMMYFUNCTION("""COMPUTED_VALUE"""),20.0)</f>
        <v>20</v>
      </c>
      <c r="AO121" s="675">
        <f>IFERROR(__xludf.DUMMYFUNCTION("""COMPUTED_VALUE"""),10.0)</f>
        <v>10</v>
      </c>
      <c r="AP121" s="674">
        <f>IFERROR(__xludf.DUMMYFUNCTION("""COMPUTED_VALUE"""),3000.0)</f>
        <v>3000</v>
      </c>
      <c r="AQ121" s="673">
        <f>IFERROR(__xludf.DUMMYFUNCTION("""COMPUTED_VALUE"""),0.0)</f>
        <v>0</v>
      </c>
      <c r="AR121" s="673">
        <f>IFERROR(__xludf.DUMMYFUNCTION("""COMPUTED_VALUE"""),0.0)</f>
        <v>0</v>
      </c>
      <c r="AS121" s="673">
        <f>IFERROR(__xludf.DUMMYFUNCTION("""COMPUTED_VALUE"""),0.0)</f>
        <v>0</v>
      </c>
      <c r="AT121" s="673">
        <f>IFERROR(__xludf.DUMMYFUNCTION("""COMPUTED_VALUE"""),0.0)</f>
        <v>0</v>
      </c>
      <c r="AU121" s="675">
        <f>IFERROR(__xludf.DUMMYFUNCTION("""COMPUTED_VALUE"""),0.0)</f>
        <v>0</v>
      </c>
      <c r="AV121" s="675">
        <f>IFERROR(__xludf.DUMMYFUNCTION("""COMPUTED_VALUE"""),0.0)</f>
        <v>0</v>
      </c>
      <c r="AW121" s="139"/>
      <c r="AX121" s="674" t="str">
        <f>IFERROR(__xludf.DUMMYFUNCTION("""COMPUTED_VALUE"""),"※通常攻撃範囲を入力！(CD列)")</f>
        <v>※通常攻撃範囲を入力！(CD列)</v>
      </c>
      <c r="AY121" s="688" t="str">
        <f>IFERROR(__xludf.DUMMYFUNCTION("""COMPUTED_VALUE"""),"#VALUE!")</f>
        <v>#VALUE!</v>
      </c>
      <c r="AZ121" s="674" t="str">
        <f>IFERROR(__xludf.DUMMYFUNCTION("""COMPUTED_VALUE"""),"#VALUE!")</f>
        <v>#VALUE!</v>
      </c>
      <c r="BA121" s="688" t="str">
        <f>IFERROR(__xludf.DUMMYFUNCTION("""COMPUTED_VALUE"""),"#VALUE!")</f>
        <v>#VALUE!</v>
      </c>
      <c r="BB121" s="688" t="str">
        <f>IFERROR(__xludf.DUMMYFUNCTION("""COMPUTED_VALUE"""),"#VALUE!")</f>
        <v>#VALUE!</v>
      </c>
      <c r="BC121" s="688" t="str">
        <f>IFERROR(__xludf.DUMMYFUNCTION("""COMPUTED_VALUE"""),"#VALUE!")</f>
        <v>#VALUE!</v>
      </c>
      <c r="BD121" s="688" t="str">
        <f>IFERROR(__xludf.DUMMYFUNCTION("""COMPUTED_VALUE"""),"#VALUE!")</f>
        <v>#VALUE!</v>
      </c>
      <c r="BE121" s="674" t="str">
        <f>IFERROR(__xludf.DUMMYFUNCTION("""COMPUTED_VALUE"""),"#VALUE!")</f>
        <v>#VALUE!</v>
      </c>
      <c r="BF121" s="674">
        <f>IFERROR(__xludf.DUMMYFUNCTION("""COMPUTED_VALUE"""),2000.0)</f>
        <v>2000</v>
      </c>
      <c r="BG121" s="673">
        <f>IFERROR(__xludf.DUMMYFUNCTION("""COMPUTED_VALUE"""),0.0)</f>
        <v>0</v>
      </c>
      <c r="BH121" s="673">
        <f>IFERROR(__xludf.DUMMYFUNCTION("""COMPUTED_VALUE"""),0.0)</f>
        <v>0</v>
      </c>
      <c r="BI121" s="673">
        <f>IFERROR(__xludf.DUMMYFUNCTION("""COMPUTED_VALUE"""),0.0)</f>
        <v>0</v>
      </c>
      <c r="BJ121" s="673">
        <f>IFERROR(__xludf.DUMMYFUNCTION("""COMPUTED_VALUE"""),0.0)</f>
        <v>0</v>
      </c>
      <c r="BK121" s="673">
        <f>IFERROR(__xludf.DUMMYFUNCTION("""COMPUTED_VALUE"""),0.0)</f>
        <v>0</v>
      </c>
      <c r="BL121" s="673">
        <f>IFERROR(__xludf.DUMMYFUNCTION("""COMPUTED_VALUE"""),0.0)</f>
        <v>0</v>
      </c>
      <c r="BM121" s="674">
        <f>IFERROR(__xludf.DUMMYFUNCTION("""COMPUTED_VALUE"""),0.0)</f>
        <v>0</v>
      </c>
      <c r="BN121" s="674">
        <f>IFERROR(__xludf.DUMMYFUNCTION("""COMPUTED_VALUE"""),0.0)</f>
        <v>0</v>
      </c>
      <c r="BO121" s="675">
        <f>IFERROR(__xludf.DUMMYFUNCTION("""COMPUTED_VALUE"""),0.0)</f>
        <v>0</v>
      </c>
      <c r="BP121" s="675">
        <f>IFERROR(__xludf.DUMMYFUNCTION("""COMPUTED_VALUE"""),0.0)</f>
        <v>0</v>
      </c>
      <c r="BQ121" s="139"/>
      <c r="BR121" s="139" t="str">
        <f>IFERROR(__xludf.DUMMYFUNCTION("""COMPUTED_VALUE"""),"該当なし")</f>
        <v>該当なし</v>
      </c>
      <c r="BS121" s="139" t="str">
        <f>IFERROR(__xludf.DUMMYFUNCTION("""COMPUTED_VALUE"""),"※移動を入力！(BV列)")</f>
        <v>※移動を入力！(BV列)</v>
      </c>
      <c r="BT121" s="139" t="str">
        <f>IFERROR(__xludf.DUMMYFUNCTION("""COMPUTED_VALUE"""),"※攻撃手段を入力(BQ列)")</f>
        <v>※攻撃手段を入力(BQ列)</v>
      </c>
      <c r="BU121" s="139">
        <f>IFERROR(__xludf.DUMMYFUNCTION("""COMPUTED_VALUE"""),0.0)</f>
        <v>0</v>
      </c>
      <c r="BV121" s="139"/>
      <c r="BW121" s="139"/>
      <c r="BX121" s="139" t="str">
        <f>IFERROR(__xludf.DUMMYFUNCTION("""COMPUTED_VALUE"""),"※特性を選択!!(BW列)")</f>
        <v>※特性を選択!!(BW列)</v>
      </c>
      <c r="BY121" s="139" t="str">
        <f>IFERROR(__xludf.DUMMYFUNCTION("""COMPUTED_VALUE"""),"-")</f>
        <v>-</v>
      </c>
      <c r="BZ121" s="139"/>
      <c r="CA121" s="139" t="str">
        <f>IFERROR(__xludf.DUMMYFUNCTION("""COMPUTED_VALUE"""),"※特性を選択!!(BW列)")</f>
        <v>※特性を選択!!(BW列)</v>
      </c>
      <c r="CB121" s="139" t="str">
        <f>IFERROR(__xludf.DUMMYFUNCTION("""COMPUTED_VALUE"""),"-")</f>
        <v>-</v>
      </c>
      <c r="CC121" s="139" t="str">
        <f>IFERROR(__xludf.DUMMYFUNCTION("""COMPUTED_VALUE"""),"※ID管理未記入")</f>
        <v>※ID管理未記入</v>
      </c>
      <c r="CD121" s="139"/>
      <c r="CE121" s="139" t="str">
        <f>IFERROR(__xludf.DUMMYFUNCTION("""COMPUTED_VALUE"""),"-")</f>
        <v>-</v>
      </c>
      <c r="CF121" s="139" t="str">
        <f>IFERROR(__xludf.DUMMYFUNCTION("""COMPUTED_VALUE"""),"#VALUE!")</f>
        <v>#VALUE!</v>
      </c>
      <c r="CG121" s="139" t="str">
        <f>IFERROR(__xludf.DUMMYFUNCTION("""COMPUTED_VALUE"""),"タップしたコマ")</f>
        <v>タップしたコマ</v>
      </c>
      <c r="CH121" s="139" t="str">
        <f>IFERROR(__xludf.DUMMYFUNCTION("""COMPUTED_VALUE"""),"範囲(コマ)0")</f>
        <v>範囲(コマ)0</v>
      </c>
      <c r="CI121" s="139" t="str">
        <f>IFERROR(__xludf.DUMMYFUNCTION("""COMPUTED_VALUE"""),"-")</f>
        <v>-</v>
      </c>
      <c r="CJ121" s="139" t="str">
        <f>IFERROR(__xludf.DUMMYFUNCTION("""COMPUTED_VALUE"""),"(コマ)0")</f>
        <v>(コマ)0</v>
      </c>
      <c r="CK121" s="139" t="str">
        <f>IFERROR(__xludf.DUMMYFUNCTION("""COMPUTED_VALUE"""),"敵")</f>
        <v>敵</v>
      </c>
      <c r="CL121" s="139" t="str">
        <f>IFERROR(__xludf.DUMMYFUNCTION("""COMPUTED_VALUE"""),"-")</f>
        <v>-</v>
      </c>
      <c r="CM121" s="139" t="str">
        <f>IFERROR(__xludf.DUMMYFUNCTION("""COMPUTED_VALUE"""),"All")</f>
        <v>All</v>
      </c>
      <c r="CN121" s="675" t="str">
        <f>IFERROR(__xludf.DUMMYFUNCTION("""COMPUTED_VALUE"""),"-")</f>
        <v>-</v>
      </c>
      <c r="CO121" s="139" t="str">
        <f>IFERROR(__xludf.DUMMYFUNCTION("""COMPUTED_VALUE"""),"-")</f>
        <v>-</v>
      </c>
      <c r="CP121" s="139" t="str">
        <f>IFERROR(__xludf.DUMMYFUNCTION("""COMPUTED_VALUE"""),"-")</f>
        <v>-</v>
      </c>
      <c r="CQ121" s="139" t="str">
        <f>IFERROR(__xludf.DUMMYFUNCTION("""COMPUTED_VALUE"""),"-")</f>
        <v>-</v>
      </c>
      <c r="CR121" s="139"/>
      <c r="CS121" s="673" t="str">
        <f>IFERROR(__xludf.DUMMYFUNCTION("""COMPUTED_VALUE"""),"ゼロリセット / プラス効果解除")</f>
        <v>ゼロリセット / プラス効果解除</v>
      </c>
      <c r="CT121" s="139"/>
      <c r="CU121" s="139"/>
      <c r="CV121" s="139"/>
      <c r="CW121" s="139"/>
      <c r="CX121" s="674" t="str">
        <f>IFERROR(__xludf.DUMMYFUNCTION("""COMPUTED_VALUE"""),"")</f>
        <v/>
      </c>
      <c r="CY121" s="675" t="str">
        <f>IFERROR(__xludf.DUMMYFUNCTION("""COMPUTED_VALUE"""),"")</f>
        <v/>
      </c>
      <c r="CZ121" s="688" t="str">
        <f>IFERROR(__xludf.DUMMYFUNCTION("""COMPUTED_VALUE"""),"-")</f>
        <v>-</v>
      </c>
      <c r="DA121" s="688">
        <f>IFERROR(__xludf.DUMMYFUNCTION("""COMPUTED_VALUE"""),0.0)</f>
        <v>0</v>
      </c>
      <c r="DB121" s="688">
        <f>IFERROR(__xludf.DUMMYFUNCTION("""COMPUTED_VALUE"""),0.0)</f>
        <v>0</v>
      </c>
      <c r="DC121" s="673" t="str">
        <f>IFERROR(__xludf.DUMMYFUNCTION("""COMPUTED_VALUE"""),"攻撃力UP")</f>
        <v>攻撃力UP</v>
      </c>
      <c r="DD121" s="673">
        <f>IFERROR(__xludf.DUMMYFUNCTION("""COMPUTED_VALUE"""),15.0)</f>
        <v>15</v>
      </c>
      <c r="DE121" s="139">
        <f>IFERROR(__xludf.DUMMYFUNCTION("""COMPUTED_VALUE"""),12.0)</f>
        <v>12</v>
      </c>
      <c r="DF121" s="139" t="str">
        <f>IFERROR(__xludf.DUMMYFUNCTION("""COMPUTED_VALUE"""),"-")</f>
        <v>-</v>
      </c>
      <c r="DG121" s="139" t="str">
        <f>IFERROR(__xludf.DUMMYFUNCTION("""COMPUTED_VALUE"""),"-")</f>
        <v>-</v>
      </c>
      <c r="DH121" s="139" t="str">
        <f>IFERROR(__xludf.DUMMYFUNCTION("""COMPUTED_VALUE"""),"-")</f>
        <v>-</v>
      </c>
      <c r="DI121" s="139" t="str">
        <f>IFERROR(__xludf.DUMMYFUNCTION("""COMPUTED_VALUE"""),"-")</f>
        <v>-</v>
      </c>
      <c r="DJ121" s="139" t="str">
        <f>IFERROR(__xludf.DUMMYFUNCTION("""COMPUTED_VALUE"""),"-")</f>
        <v>-</v>
      </c>
    </row>
    <row r="122">
      <c r="A122" s="139" t="str">
        <f>IFERROR(__xludf.DUMMYFUNCTION("""COMPUTED_VALUE"""),"あやかしトライアングル")</f>
        <v>あやかしトライアングル</v>
      </c>
      <c r="B122" s="139" t="str">
        <f>IFERROR(__xludf.DUMMYFUNCTION("""COMPUTED_VALUE"""),"一子相伝の風使い 風巻 祭里")</f>
        <v>一子相伝の風使い 風巻 祭里</v>
      </c>
      <c r="C122" s="139" t="str">
        <f>IFERROR(__xludf.DUMMYFUNCTION("""COMPUTED_VALUE"""),"chara_aya_00001")</f>
        <v>chara_aya_00001</v>
      </c>
      <c r="D122" s="139" t="str">
        <f>IFERROR(__xludf.DUMMYFUNCTION("""COMPUTED_VALUE"""),"PremiumUR")</f>
        <v>PremiumUR</v>
      </c>
      <c r="E122" s="139" t="str">
        <f>IFERROR(__xludf.DUMMYFUNCTION("""COMPUTED_VALUE"""),"赤")</f>
        <v>赤</v>
      </c>
      <c r="F122" s="139" t="str">
        <f>IFERROR(__xludf.DUMMYFUNCTION("""COMPUTED_VALUE"""),"テクニカル")</f>
        <v>テクニカル</v>
      </c>
      <c r="G122" s="139" t="str">
        <f>IFERROR(__xludf.DUMMYFUNCTION("""COMPUTED_VALUE"""),"中距離")</f>
        <v>中距離</v>
      </c>
      <c r="H122" s="139" t="str">
        <f>IFERROR(__xludf.DUMMYFUNCTION("""COMPUTED_VALUE"""),"zangeki_1")</f>
        <v>zangeki_1</v>
      </c>
      <c r="I122" s="139" t="str">
        <f>IFERROR(__xludf.DUMMYFUNCTION("""COMPUTED_VALUE"""),"zangeki_1")</f>
        <v>zangeki_1</v>
      </c>
      <c r="J122" s="139" t="str">
        <f>IFERROR(__xludf.DUMMYFUNCTION("""COMPUTED_VALUE"""),"202604010_あやかしトライアングル")</f>
        <v>202604010_あやかしトライアングル</v>
      </c>
      <c r="K122" s="139" t="str">
        <f>IFERROR(__xludf.DUMMYFUNCTION("""COMPUTED_VALUE"""),"あやかしトライアングル いいジャン祭")</f>
        <v>あやかしトライアングル いいジャン祭</v>
      </c>
      <c r="L122" s="687" t="str">
        <f>IFERROR(__xludf.DUMMYFUNCTION("""COMPUTED_VALUE"""),"※")</f>
        <v>※</v>
      </c>
      <c r="M122" s="674">
        <f>IFERROR(__xludf.DUMMYFUNCTION("""COMPUTED_VALUE"""),645.0)</f>
        <v>645</v>
      </c>
      <c r="N122" s="139">
        <f>IFERROR(__xludf.DUMMYFUNCTION("""COMPUTED_VALUE"""),600.0)</f>
        <v>600</v>
      </c>
      <c r="O122" s="139" t="str">
        <f>IFERROR(__xludf.DUMMYFUNCTION("""COMPUTED_VALUE"""),"中コスト")</f>
        <v>中コスト</v>
      </c>
      <c r="P122" s="139">
        <f>IFERROR(__xludf.DUMMYFUNCTION("""COMPUTED_VALUE"""),0.0)</f>
        <v>0</v>
      </c>
      <c r="Q122" s="675">
        <f>IFERROR(__xludf.DUMMYFUNCTION("""COMPUTED_VALUE"""),15.0)</f>
        <v>15</v>
      </c>
      <c r="R122" s="675">
        <f>IFERROR(__xludf.DUMMYFUNCTION("""COMPUTED_VALUE"""),30.0)</f>
        <v>30</v>
      </c>
      <c r="S122" s="675">
        <f>IFERROR(__xludf.DUMMYFUNCTION("""COMPUTED_VALUE"""),13.625)</f>
        <v>13.625</v>
      </c>
      <c r="T122" s="674">
        <f>IFERROR(__xludf.DUMMYFUNCTION("""COMPUTED_VALUE"""),425.0)</f>
        <v>425</v>
      </c>
      <c r="U122" s="675">
        <f>IFERROR(__xludf.DUMMYFUNCTION("""COMPUTED_VALUE"""),8.506666666666668)</f>
        <v>8.506666667</v>
      </c>
      <c r="V122" s="675">
        <f>IFERROR(__xludf.DUMMYFUNCTION("""COMPUTED_VALUE"""),0.0)</f>
        <v>0</v>
      </c>
      <c r="W122" s="675">
        <f>IFERROR(__xludf.DUMMYFUNCTION("""COMPUTED_VALUE"""),0.0)</f>
        <v>0</v>
      </c>
      <c r="X122" s="675">
        <f>IFERROR(__xludf.DUMMYFUNCTION("""COMPUTED_VALUE"""),0.0)</f>
        <v>0</v>
      </c>
      <c r="Y122" s="674">
        <f>IFERROR(__xludf.DUMMYFUNCTION("""COMPUTED_VALUE"""),220.0)</f>
        <v>220</v>
      </c>
      <c r="Z122" s="675">
        <f>IFERROR(__xludf.DUMMYFUNCTION("""COMPUTED_VALUE"""),4.446666666666666)</f>
        <v>4.446666667</v>
      </c>
      <c r="AA122" s="675">
        <f>IFERROR(__xludf.DUMMYFUNCTION("""COMPUTED_VALUE"""),0.0)</f>
        <v>0</v>
      </c>
      <c r="AB122" s="673">
        <f>IFERROR(__xludf.DUMMYFUNCTION("""COMPUTED_VALUE"""),0.0)</f>
        <v>0</v>
      </c>
      <c r="AC122" s="675">
        <f>IFERROR(__xludf.DUMMYFUNCTION("""COMPUTED_VALUE"""),0.0)</f>
        <v>0</v>
      </c>
      <c r="AD122" s="674">
        <f>IFERROR(__xludf.DUMMYFUNCTION("""COMPUTED_VALUE"""),675.0)</f>
        <v>675</v>
      </c>
      <c r="AE122" s="675">
        <f>IFERROR(__xludf.DUMMYFUNCTION("""COMPUTED_VALUE"""),13.518891103439907)</f>
        <v>13.5188911</v>
      </c>
      <c r="AF122" s="675">
        <f>IFERROR(__xludf.DUMMYFUNCTION("""COMPUTED_VALUE"""),0.0)</f>
        <v>0</v>
      </c>
      <c r="AG122" s="673">
        <f>IFERROR(__xludf.DUMMYFUNCTION("""COMPUTED_VALUE"""),2.7037782206879815)</f>
        <v>2.703778221</v>
      </c>
      <c r="AH122" s="675">
        <f>IFERROR(__xludf.DUMMYFUNCTION("""COMPUTED_VALUE"""),0.0)</f>
        <v>0</v>
      </c>
      <c r="AI122" s="675">
        <f>IFERROR(__xludf.DUMMYFUNCTION("""COMPUTED_VALUE"""),0.0)</f>
        <v>0</v>
      </c>
      <c r="AJ122" s="675">
        <f>IFERROR(__xludf.DUMMYFUNCTION("""COMPUTED_VALUE"""),13.518891103439907)</f>
        <v>13.5188911</v>
      </c>
      <c r="AK122" s="139">
        <f>IFERROR(__xludf.DUMMYFUNCTION("""COMPUTED_VALUE"""),1.0)</f>
        <v>1</v>
      </c>
      <c r="AL122" s="674">
        <f>IFERROR(__xludf.DUMMYFUNCTION("""COMPUTED_VALUE"""),1160.0)</f>
        <v>1160</v>
      </c>
      <c r="AM122" s="688">
        <f>IFERROR(__xludf.DUMMYFUNCTION("""COMPUTED_VALUE"""),9480.352618366724)</f>
        <v>9480.352618</v>
      </c>
      <c r="AN122" s="675">
        <f>IFERROR(__xludf.DUMMYFUNCTION("""COMPUTED_VALUE"""),7.733333333333333)</f>
        <v>7.733333333</v>
      </c>
      <c r="AO122" s="675">
        <f>IFERROR(__xludf.DUMMYFUNCTION("""COMPUTED_VALUE"""),3.8666666666666667)</f>
        <v>3.866666667</v>
      </c>
      <c r="AP122" s="674">
        <f>IFERROR(__xludf.DUMMYFUNCTION("""COMPUTED_VALUE"""),1940.0)</f>
        <v>1940</v>
      </c>
      <c r="AQ122" s="673">
        <f>IFERROR(__xludf.DUMMYFUNCTION("""COMPUTED_VALUE"""),-0.3)</f>
        <v>-0.3</v>
      </c>
      <c r="AR122" s="673">
        <f>IFERROR(__xludf.DUMMYFUNCTION("""COMPUTED_VALUE"""),0.0)</f>
        <v>0</v>
      </c>
      <c r="AS122" s="673">
        <f>IFERROR(__xludf.DUMMYFUNCTION("""COMPUTED_VALUE"""),-0.1)</f>
        <v>-0.1</v>
      </c>
      <c r="AT122" s="673">
        <f>IFERROR(__xludf.DUMMYFUNCTION("""COMPUTED_VALUE"""),0.0)</f>
        <v>0</v>
      </c>
      <c r="AU122" s="675">
        <f>IFERROR(__xludf.DUMMYFUNCTION("""COMPUTED_VALUE"""),0.0)</f>
        <v>0</v>
      </c>
      <c r="AV122" s="675">
        <f>IFERROR(__xludf.DUMMYFUNCTION("""COMPUTED_VALUE"""),0.0)</f>
        <v>0</v>
      </c>
      <c r="AW122" s="139"/>
      <c r="AX122" s="674">
        <f>IFERROR(__xludf.DUMMYFUNCTION("""COMPUTED_VALUE"""),1380.0)</f>
        <v>1380</v>
      </c>
      <c r="AY122" s="688">
        <f>IFERROR(__xludf.DUMMYFUNCTION("""COMPUTED_VALUE"""),11278.418804608687)</f>
        <v>11278.4188</v>
      </c>
      <c r="AZ122" s="674">
        <f>IFERROR(__xludf.DUMMYFUNCTION("""COMPUTED_VALUE"""),920.0)</f>
        <v>920</v>
      </c>
      <c r="BA122" s="688">
        <f>IFERROR(__xludf.DUMMYFUNCTION("""COMPUTED_VALUE"""),7518.945869739125)</f>
        <v>7518.94587</v>
      </c>
      <c r="BB122" s="688" t="str">
        <f>IFERROR(__xludf.DUMMYFUNCTION("""COMPUTED_VALUE"""),"-")</f>
        <v>-</v>
      </c>
      <c r="BC122" s="688" t="str">
        <f>IFERROR(__xludf.DUMMYFUNCTION("""COMPUTED_VALUE"""),"#VALUE!")</f>
        <v>#VALUE!</v>
      </c>
      <c r="BD122" s="688" t="str">
        <f>IFERROR(__xludf.DUMMYFUNCTION("""COMPUTED_VALUE"""),"#VALUE!")</f>
        <v>#VALUE!</v>
      </c>
      <c r="BE122" s="674">
        <f>IFERROR(__xludf.DUMMYFUNCTION("""COMPUTED_VALUE"""),920.0)</f>
        <v>920</v>
      </c>
      <c r="BF122" s="674">
        <f>IFERROR(__xludf.DUMMYFUNCTION("""COMPUTED_VALUE"""),1290.0)</f>
        <v>1290</v>
      </c>
      <c r="BG122" s="673">
        <f>IFERROR(__xludf.DUMMYFUNCTION("""COMPUTED_VALUE"""),0.0)</f>
        <v>0</v>
      </c>
      <c r="BH122" s="673">
        <f>IFERROR(__xludf.DUMMYFUNCTION("""COMPUTED_VALUE"""),0.1)</f>
        <v>0.1</v>
      </c>
      <c r="BI122" s="673">
        <f>IFERROR(__xludf.DUMMYFUNCTION("""COMPUTED_VALUE"""),0.0)</f>
        <v>0</v>
      </c>
      <c r="BJ122" s="673">
        <f>IFERROR(__xludf.DUMMYFUNCTION("""COMPUTED_VALUE"""),0.0)</f>
        <v>0</v>
      </c>
      <c r="BK122" s="673">
        <f>IFERROR(__xludf.DUMMYFUNCTION("""COMPUTED_VALUE"""),0.0)</f>
        <v>0</v>
      </c>
      <c r="BL122" s="673">
        <f>IFERROR(__xludf.DUMMYFUNCTION("""COMPUTED_VALUE"""),0.0)</f>
        <v>0</v>
      </c>
      <c r="BM122" s="674">
        <f>IFERROR(__xludf.DUMMYFUNCTION("""COMPUTED_VALUE"""),75.0)</f>
        <v>75</v>
      </c>
      <c r="BN122" s="674">
        <f>IFERROR(__xludf.DUMMYFUNCTION("""COMPUTED_VALUE"""),75.0)</f>
        <v>75</v>
      </c>
      <c r="BO122" s="675">
        <f>IFERROR(__xludf.DUMMYFUNCTION("""COMPUTED_VALUE"""),0.0)</f>
        <v>0</v>
      </c>
      <c r="BP122" s="675">
        <f>IFERROR(__xludf.DUMMYFUNCTION("""COMPUTED_VALUE"""),1.5)</f>
        <v>1.5</v>
      </c>
      <c r="BQ122" s="139" t="str">
        <f>IFERROR(__xludf.DUMMYFUNCTION("""COMPUTED_VALUE"""),"(中距離)特殊攻撃・投げ物・長物")</f>
        <v>(中距離)特殊攻撃・投げ物・長物</v>
      </c>
      <c r="BR122" s="139">
        <f>IFERROR(__xludf.DUMMYFUNCTION("""COMPUTED_VALUE"""),3.0)</f>
        <v>3</v>
      </c>
      <c r="BS122" s="139">
        <f>IFERROR(__xludf.DUMMYFUNCTION("""COMPUTED_VALUE"""),45.0)</f>
        <v>45</v>
      </c>
      <c r="BT122" s="139">
        <f>IFERROR(__xludf.DUMMYFUNCTION("""COMPUTED_VALUE"""),0.41)</f>
        <v>0.41</v>
      </c>
      <c r="BU122" s="139">
        <f>IFERROR(__xludf.DUMMYFUNCTION("""COMPUTED_VALUE"""),0.0)</f>
        <v>0</v>
      </c>
      <c r="BV122" s="139" t="str">
        <f>IFERROR(__xludf.DUMMYFUNCTION("""COMPUTED_VALUE"""),"速い")</f>
        <v>速い</v>
      </c>
      <c r="BW122" s="139" t="str">
        <f>IFERROR(__xludf.DUMMYFUNCTION("""COMPUTED_VALUE"""),"毒ダメージ軽減")</f>
        <v>毒ダメージ軽減</v>
      </c>
      <c r="BX122" s="139">
        <f>IFERROR(__xludf.DUMMYFUNCTION("""COMPUTED_VALUE"""),55.0)</f>
        <v>55</v>
      </c>
      <c r="BY122" s="139">
        <f>IFERROR(__xludf.DUMMYFUNCTION("""COMPUTED_VALUE"""),0.0)</f>
        <v>0</v>
      </c>
      <c r="BZ122" s="139" t="str">
        <f>IFERROR(__xludf.DUMMYFUNCTION("""COMPUTED_VALUE"""),"火傷ダメージ軽減")</f>
        <v>火傷ダメージ軽減</v>
      </c>
      <c r="CA122" s="139">
        <f>IFERROR(__xludf.DUMMYFUNCTION("""COMPUTED_VALUE"""),55.0)</f>
        <v>55</v>
      </c>
      <c r="CB122" s="139">
        <f>IFERROR(__xludf.DUMMYFUNCTION("""COMPUTED_VALUE"""),4.0)</f>
        <v>4</v>
      </c>
      <c r="CC122" s="139" t="str">
        <f>IFERROR(__xludf.DUMMYFUNCTION("""COMPUTED_VALUE"""),"中距離")</f>
        <v>中距離</v>
      </c>
      <c r="CD122" s="139" t="str">
        <f>IFERROR(__xludf.DUMMYFUNCTION("""COMPUTED_VALUE"""),"範囲(中)")</f>
        <v>範囲(中)</v>
      </c>
      <c r="CE122" s="139">
        <f>IFERROR(__xludf.DUMMYFUNCTION("""COMPUTED_VALUE"""),0.65)</f>
        <v>0.65</v>
      </c>
      <c r="CF122" s="139">
        <f>IFERROR(__xludf.DUMMYFUNCTION("""COMPUTED_VALUE"""),0.62)</f>
        <v>0.62</v>
      </c>
      <c r="CG122" s="139" t="str">
        <f>IFERROR(__xludf.DUMMYFUNCTION("""COMPUTED_VALUE"""),"中距離")</f>
        <v>中距離</v>
      </c>
      <c r="CH122" s="139" t="str">
        <f>IFERROR(__xludf.DUMMYFUNCTION("""COMPUTED_VALUE"""),"範囲(中)")</f>
        <v>範囲(中)</v>
      </c>
      <c r="CI122" s="139">
        <f>IFERROR(__xludf.DUMMYFUNCTION("""COMPUTED_VALUE"""),0.65)</f>
        <v>0.65</v>
      </c>
      <c r="CJ122" s="139">
        <f>IFERROR(__xludf.DUMMYFUNCTION("""COMPUTED_VALUE"""),0.62)</f>
        <v>0.62</v>
      </c>
      <c r="CK122" s="139"/>
      <c r="CL122" s="139"/>
      <c r="CM122" s="139"/>
      <c r="CN122" s="675">
        <f>IFERROR(__xludf.DUMMYFUNCTION("""COMPUTED_VALUE"""),13.518891103439907)</f>
        <v>13.5188911</v>
      </c>
      <c r="CO122" s="139" t="str">
        <f>IFERROR(__xludf.DUMMYFUNCTION("""COMPUTED_VALUE"""),"-")</f>
        <v>-</v>
      </c>
      <c r="CP122" s="139" t="str">
        <f>IFERROR(__xludf.DUMMYFUNCTION("""COMPUTED_VALUE"""),"-")</f>
        <v>-</v>
      </c>
      <c r="CQ122" s="139" t="str">
        <f>IFERROR(__xludf.DUMMYFUNCTION("""COMPUTED_VALUE"""),"-")</f>
        <v>-</v>
      </c>
      <c r="CR122" s="139"/>
      <c r="CS122" s="673" t="str">
        <f>IFERROR(__xludf.DUMMYFUNCTION("""COMPUTED_VALUE"""),"連続攻撃")</f>
        <v>連続攻撃</v>
      </c>
      <c r="CT122" s="139"/>
      <c r="CU122" s="139"/>
      <c r="CV122" s="139"/>
      <c r="CW122" s="139"/>
      <c r="CX122" s="674">
        <f>IFERROR(__xludf.DUMMYFUNCTION("""COMPUTED_VALUE"""),146.0)</f>
        <v>146</v>
      </c>
      <c r="CY122" s="675" t="str">
        <f>IFERROR(__xludf.DUMMYFUNCTION("""COMPUTED_VALUE"""),"-")</f>
        <v>-</v>
      </c>
      <c r="CZ122" s="688">
        <f>IFERROR(__xludf.DUMMYFUNCTION("""COMPUTED_VALUE"""),16466.0)</f>
        <v>16466</v>
      </c>
      <c r="DA122" s="688">
        <f>IFERROR(__xludf.DUMMYFUNCTION("""COMPUTED_VALUE"""),1305.6162863312945)</f>
        <v>1305.616286</v>
      </c>
      <c r="DB122" s="688">
        <f>IFERROR(__xludf.DUMMYFUNCTION("""COMPUTED_VALUE"""),6528.081431656473)</f>
        <v>6528.081432</v>
      </c>
      <c r="DC122" s="673" t="str">
        <f>IFERROR(__xludf.DUMMYFUNCTION("""COMPUTED_VALUE"""),"攻撃力Down")</f>
        <v>攻撃力Down</v>
      </c>
      <c r="DD122" s="673" t="str">
        <f>IFERROR(__xludf.DUMMYFUNCTION("""COMPUTED_VALUE"""),"")</f>
        <v/>
      </c>
      <c r="DE122" s="139" t="str">
        <f>IFERROR(__xludf.DUMMYFUNCTION("""COMPUTED_VALUE"""),"")</f>
        <v/>
      </c>
      <c r="DF122" s="139" t="str">
        <f>IFERROR(__xludf.DUMMYFUNCTION("""COMPUTED_VALUE"""),"-")</f>
        <v>-</v>
      </c>
      <c r="DG122" s="139" t="str">
        <f>IFERROR(__xludf.DUMMYFUNCTION("""COMPUTED_VALUE"""),"-")</f>
        <v>-</v>
      </c>
      <c r="DH122" s="139" t="str">
        <f>IFERROR(__xludf.DUMMYFUNCTION("""COMPUTED_VALUE"""),"-")</f>
        <v>-</v>
      </c>
      <c r="DI122" s="139" t="str">
        <f>IFERROR(__xludf.DUMMYFUNCTION("""COMPUTED_VALUE"""),"-")</f>
        <v>-</v>
      </c>
      <c r="DJ122" s="139" t="str">
        <f>IFERROR(__xludf.DUMMYFUNCTION("""COMPUTED_VALUE"""),"-")</f>
        <v>-</v>
      </c>
    </row>
    <row r="123">
      <c r="A123" s="139" t="str">
        <f>IFERROR(__xludf.DUMMYFUNCTION("""COMPUTED_VALUE"""),"あやかしトライアングル")</f>
        <v>あやかしトライアングル</v>
      </c>
      <c r="B123" s="139" t="str">
        <f>IFERROR(__xludf.DUMMYFUNCTION("""COMPUTED_VALUE"""),"花奏 すず")</f>
        <v>花奏 すず</v>
      </c>
      <c r="C123" s="139" t="str">
        <f>IFERROR(__xludf.DUMMYFUNCTION("""COMPUTED_VALUE"""),"chara_aya_00101")</f>
        <v>chara_aya_00101</v>
      </c>
      <c r="D123" s="139" t="str">
        <f>IFERROR(__xludf.DUMMYFUNCTION("""COMPUTED_VALUE"""),"PremiumSSR")</f>
        <v>PremiumSSR</v>
      </c>
      <c r="E123" s="139" t="str">
        <f>IFERROR(__xludf.DUMMYFUNCTION("""COMPUTED_VALUE"""),"赤")</f>
        <v>赤</v>
      </c>
      <c r="F123" s="139" t="str">
        <f>IFERROR(__xludf.DUMMYFUNCTION("""COMPUTED_VALUE"""),"ディフェンス")</f>
        <v>ディフェンス</v>
      </c>
      <c r="G123" s="139" t="str">
        <f>IFERROR(__xludf.DUMMYFUNCTION("""COMPUTED_VALUE"""),"近距離")</f>
        <v>近距離</v>
      </c>
      <c r="H123" s="139" t="str">
        <f>IFERROR(__xludf.DUMMYFUNCTION("""COMPUTED_VALUE"""),"zangeki_1")</f>
        <v>zangeki_1</v>
      </c>
      <c r="I123" s="139" t="str">
        <f>IFERROR(__xludf.DUMMYFUNCTION("""COMPUTED_VALUE"""),"zangeki_1")</f>
        <v>zangeki_1</v>
      </c>
      <c r="J123" s="139" t="str">
        <f>IFERROR(__xludf.DUMMYFUNCTION("""COMPUTED_VALUE"""),"202604010_あやかしトライアングル")</f>
        <v>202604010_あやかしトライアングル</v>
      </c>
      <c r="K123" s="139" t="str">
        <f>IFERROR(__xludf.DUMMYFUNCTION("""COMPUTED_VALUE"""),"あやかしトライアングル いいジャン祭")</f>
        <v>あやかしトライアングル いいジャン祭</v>
      </c>
      <c r="L123" s="687" t="str">
        <f>IFERROR(__xludf.DUMMYFUNCTION("""COMPUTED_VALUE"""),"※")</f>
        <v>※</v>
      </c>
      <c r="M123" s="674">
        <f>IFERROR(__xludf.DUMMYFUNCTION("""COMPUTED_VALUE"""),225.0)</f>
        <v>225</v>
      </c>
      <c r="N123" s="139">
        <f>IFERROR(__xludf.DUMMYFUNCTION("""COMPUTED_VALUE"""),200.0)</f>
        <v>200</v>
      </c>
      <c r="O123" s="139" t="str">
        <f>IFERROR(__xludf.DUMMYFUNCTION("""COMPUTED_VALUE"""),"低コスト")</f>
        <v>低コスト</v>
      </c>
      <c r="P123" s="139">
        <f>IFERROR(__xludf.DUMMYFUNCTION("""COMPUTED_VALUE"""),0.0)</f>
        <v>0</v>
      </c>
      <c r="Q123" s="675">
        <f>IFERROR(__xludf.DUMMYFUNCTION("""COMPUTED_VALUE"""),10.0)</f>
        <v>10</v>
      </c>
      <c r="R123" s="675">
        <f>IFERROR(__xludf.DUMMYFUNCTION("""COMPUTED_VALUE"""),15.0)</f>
        <v>15</v>
      </c>
      <c r="S123" s="675">
        <f>IFERROR(__xludf.DUMMYFUNCTION("""COMPUTED_VALUE"""),3.125)</f>
        <v>3.125</v>
      </c>
      <c r="T123" s="674">
        <f>IFERROR(__xludf.DUMMYFUNCTION("""COMPUTED_VALUE"""),500.0)</f>
        <v>500</v>
      </c>
      <c r="U123" s="675">
        <f>IFERROR(__xludf.DUMMYFUNCTION("""COMPUTED_VALUE"""),9.973333333333334)</f>
        <v>9.973333333</v>
      </c>
      <c r="V123" s="675">
        <f>IFERROR(__xludf.DUMMYFUNCTION("""COMPUTED_VALUE"""),0.0)</f>
        <v>0</v>
      </c>
      <c r="W123" s="675">
        <f>IFERROR(__xludf.DUMMYFUNCTION("""COMPUTED_VALUE"""),0.0)</f>
        <v>0</v>
      </c>
      <c r="X123" s="675">
        <f>IFERROR(__xludf.DUMMYFUNCTION("""COMPUTED_VALUE"""),0.0)</f>
        <v>0</v>
      </c>
      <c r="Y123" s="674">
        <f>IFERROR(__xludf.DUMMYFUNCTION("""COMPUTED_VALUE"""),260.0)</f>
        <v>260</v>
      </c>
      <c r="Z123" s="675">
        <f>IFERROR(__xludf.DUMMYFUNCTION("""COMPUTED_VALUE"""),5.213333333333333)</f>
        <v>5.213333333</v>
      </c>
      <c r="AA123" s="675">
        <f>IFERROR(__xludf.DUMMYFUNCTION("""COMPUTED_VALUE"""),0.0)</f>
        <v>0</v>
      </c>
      <c r="AB123" s="673">
        <f>IFERROR(__xludf.DUMMYFUNCTION("""COMPUTED_VALUE"""),0.0)</f>
        <v>0</v>
      </c>
      <c r="AC123" s="675">
        <f>IFERROR(__xludf.DUMMYFUNCTION("""COMPUTED_VALUE"""),0.0)</f>
        <v>0</v>
      </c>
      <c r="AD123" s="674">
        <f>IFERROR(__xludf.DUMMYFUNCTION("""COMPUTED_VALUE"""),820.0)</f>
        <v>820</v>
      </c>
      <c r="AE123" s="675">
        <f>IFERROR(__xludf.DUMMYFUNCTION("""COMPUTED_VALUE"""),16.39455194060921)</f>
        <v>16.39455194</v>
      </c>
      <c r="AF123" s="675">
        <f>IFERROR(__xludf.DUMMYFUNCTION("""COMPUTED_VALUE"""),0.0)</f>
        <v>0</v>
      </c>
      <c r="AG123" s="673">
        <f>IFERROR(__xludf.DUMMYFUNCTION("""COMPUTED_VALUE"""),5.855197121646148)</f>
        <v>5.855197122</v>
      </c>
      <c r="AH123" s="675">
        <f>IFERROR(__xludf.DUMMYFUNCTION("""COMPUTED_VALUE"""),-1.1710394243292297)</f>
        <v>-1.171039424</v>
      </c>
      <c r="AI123" s="139" t="str">
        <f>IFERROR(__xludf.DUMMYFUNCTION("""COMPUTED_VALUE"""),"-")</f>
        <v>-</v>
      </c>
      <c r="AJ123" s="675" t="str">
        <f>IFERROR(__xludf.DUMMYFUNCTION("""COMPUTED_VALUE"""),"-")</f>
        <v>-</v>
      </c>
      <c r="AK123" s="139">
        <f>IFERROR(__xludf.DUMMYFUNCTION("""COMPUTED_VALUE"""),1.0)</f>
        <v>1</v>
      </c>
      <c r="AL123" s="674">
        <f>IFERROR(__xludf.DUMMYFUNCTION("""COMPUTED_VALUE"""),1360.0)</f>
        <v>1360</v>
      </c>
      <c r="AM123" s="688">
        <f>IFERROR(__xludf.DUMMYFUNCTION("""COMPUTED_VALUE"""),10370.078242223055)</f>
        <v>10370.07824</v>
      </c>
      <c r="AN123" s="675">
        <f>IFERROR(__xludf.DUMMYFUNCTION("""COMPUTED_VALUE"""),9.066666666666666)</f>
        <v>9.066666667</v>
      </c>
      <c r="AO123" s="675">
        <f>IFERROR(__xludf.DUMMYFUNCTION("""COMPUTED_VALUE"""),4.533333333333333)</f>
        <v>4.533333333</v>
      </c>
      <c r="AP123" s="674">
        <f>IFERROR(__xludf.DUMMYFUNCTION("""COMPUTED_VALUE"""),680.0)</f>
        <v>680</v>
      </c>
      <c r="AQ123" s="673">
        <f>IFERROR(__xludf.DUMMYFUNCTION("""COMPUTED_VALUE"""),0.9)</f>
        <v>0.9</v>
      </c>
      <c r="AR123" s="673">
        <f>IFERROR(__xludf.DUMMYFUNCTION("""COMPUTED_VALUE"""),0.0)</f>
        <v>0</v>
      </c>
      <c r="AS123" s="673">
        <f>IFERROR(__xludf.DUMMYFUNCTION("""COMPUTED_VALUE"""),0.1)</f>
        <v>0.1</v>
      </c>
      <c r="AT123" s="673">
        <f>IFERROR(__xludf.DUMMYFUNCTION("""COMPUTED_VALUE"""),0.0)</f>
        <v>0</v>
      </c>
      <c r="AU123" s="675">
        <f>IFERROR(__xludf.DUMMYFUNCTION("""COMPUTED_VALUE"""),0.0)</f>
        <v>0</v>
      </c>
      <c r="AV123" s="675">
        <f>IFERROR(__xludf.DUMMYFUNCTION("""COMPUTED_VALUE"""),0.0)</f>
        <v>0</v>
      </c>
      <c r="AW123" s="139"/>
      <c r="AX123" s="674">
        <f>IFERROR(__xludf.DUMMYFUNCTION("""COMPUTED_VALUE"""),460.0)</f>
        <v>460</v>
      </c>
      <c r="AY123" s="688">
        <f>IFERROR(__xludf.DUMMYFUNCTION("""COMPUTED_VALUE"""),3507.472934869563)</f>
        <v>3507.472935</v>
      </c>
      <c r="AZ123" s="674">
        <f>IFERROR(__xludf.DUMMYFUNCTION("""COMPUTED_VALUE"""),230.0)</f>
        <v>230</v>
      </c>
      <c r="BA123" s="688">
        <f>IFERROR(__xludf.DUMMYFUNCTION("""COMPUTED_VALUE"""),1753.7364674347814)</f>
        <v>1753.736467</v>
      </c>
      <c r="BB123" s="688" t="str">
        <f>IFERROR(__xludf.DUMMYFUNCTION("""COMPUTED_VALUE"""),"-")</f>
        <v>-</v>
      </c>
      <c r="BC123" s="688" t="str">
        <f>IFERROR(__xludf.DUMMYFUNCTION("""COMPUTED_VALUE"""),"#VALUE!")</f>
        <v>#VALUE!</v>
      </c>
      <c r="BD123" s="688" t="str">
        <f>IFERROR(__xludf.DUMMYFUNCTION("""COMPUTED_VALUE"""),"#VALUE!")</f>
        <v>#VALUE!</v>
      </c>
      <c r="BE123" s="674">
        <f>IFERROR(__xludf.DUMMYFUNCTION("""COMPUTED_VALUE"""),230.0)</f>
        <v>230</v>
      </c>
      <c r="BF123" s="674">
        <f>IFERROR(__xludf.DUMMYFUNCTION("""COMPUTED_VALUE"""),450.0)</f>
        <v>450</v>
      </c>
      <c r="BG123" s="673">
        <f>IFERROR(__xludf.DUMMYFUNCTION("""COMPUTED_VALUE"""),0.0)</f>
        <v>0</v>
      </c>
      <c r="BH123" s="673">
        <f>IFERROR(__xludf.DUMMYFUNCTION("""COMPUTED_VALUE"""),-0.5)</f>
        <v>-0.5</v>
      </c>
      <c r="BI123" s="673">
        <f>IFERROR(__xludf.DUMMYFUNCTION("""COMPUTED_VALUE"""),0.0)</f>
        <v>0</v>
      </c>
      <c r="BJ123" s="673">
        <f>IFERROR(__xludf.DUMMYFUNCTION("""COMPUTED_VALUE"""),0.0)</f>
        <v>0</v>
      </c>
      <c r="BK123" s="673">
        <f>IFERROR(__xludf.DUMMYFUNCTION("""COMPUTED_VALUE"""),0.0)</f>
        <v>0</v>
      </c>
      <c r="BL123" s="673">
        <f>IFERROR(__xludf.DUMMYFUNCTION("""COMPUTED_VALUE"""),0.0)</f>
        <v>0</v>
      </c>
      <c r="BM123" s="674">
        <f>IFERROR(__xludf.DUMMYFUNCTION("""COMPUTED_VALUE"""),100.0)</f>
        <v>100</v>
      </c>
      <c r="BN123" s="674">
        <f>IFERROR(__xludf.DUMMYFUNCTION("""COMPUTED_VALUE"""),100.0)</f>
        <v>100</v>
      </c>
      <c r="BO123" s="675">
        <f>IFERROR(__xludf.DUMMYFUNCTION("""COMPUTED_VALUE"""),0.0)</f>
        <v>0</v>
      </c>
      <c r="BP123" s="675">
        <f>IFERROR(__xludf.DUMMYFUNCTION("""COMPUTED_VALUE"""),2.0)</f>
        <v>2</v>
      </c>
      <c r="BQ123" s="139" t="str">
        <f>IFERROR(__xludf.DUMMYFUNCTION("""COMPUTED_VALUE"""),"(近距離)武器・道具・特殊攻撃")</f>
        <v>(近距離)武器・道具・特殊攻撃</v>
      </c>
      <c r="BR123" s="139">
        <f>IFERROR(__xludf.DUMMYFUNCTION("""COMPUTED_VALUE"""),1.0)</f>
        <v>1</v>
      </c>
      <c r="BS123" s="139">
        <f>IFERROR(__xludf.DUMMYFUNCTION("""COMPUTED_VALUE"""),45.0)</f>
        <v>45</v>
      </c>
      <c r="BT123" s="139">
        <f>IFERROR(__xludf.DUMMYFUNCTION("""COMPUTED_VALUE"""),0.21)</f>
        <v>0.21</v>
      </c>
      <c r="BU123" s="139">
        <f>IFERROR(__xludf.DUMMYFUNCTION("""COMPUTED_VALUE"""),0.0)</f>
        <v>0</v>
      </c>
      <c r="BV123" s="139" t="str">
        <f>IFERROR(__xludf.DUMMYFUNCTION("""COMPUTED_VALUE"""),"速い")</f>
        <v>速い</v>
      </c>
      <c r="BW123" s="139" t="str">
        <f>IFERROR(__xludf.DUMMYFUNCTION("""COMPUTED_VALUE"""),"毒ダメージ軽減")</f>
        <v>毒ダメージ軽減</v>
      </c>
      <c r="BX123" s="139">
        <f>IFERROR(__xludf.DUMMYFUNCTION("""COMPUTED_VALUE"""),60.0)</f>
        <v>60</v>
      </c>
      <c r="BY123" s="139">
        <f>IFERROR(__xludf.DUMMYFUNCTION("""COMPUTED_VALUE"""),0.0)</f>
        <v>0</v>
      </c>
      <c r="BZ123" s="139" t="str">
        <f>IFERROR(__xludf.DUMMYFUNCTION("""COMPUTED_VALUE"""),"-")</f>
        <v>-</v>
      </c>
      <c r="CA123" s="139" t="str">
        <f>IFERROR(__xludf.DUMMYFUNCTION("""COMPUTED_VALUE"""),"-")</f>
        <v>-</v>
      </c>
      <c r="CB123" s="139" t="str">
        <f>IFERROR(__xludf.DUMMYFUNCTION("""COMPUTED_VALUE"""),"-")</f>
        <v>-</v>
      </c>
      <c r="CC123" s="139" t="str">
        <f>IFERROR(__xludf.DUMMYFUNCTION("""COMPUTED_VALUE"""),"近距離")</f>
        <v>近距離</v>
      </c>
      <c r="CD123" s="139" t="str">
        <f>IFERROR(__xludf.DUMMYFUNCTION("""COMPUTED_VALUE"""),"単体")</f>
        <v>単体</v>
      </c>
      <c r="CE123" s="139">
        <f>IFERROR(__xludf.DUMMYFUNCTION("""COMPUTED_VALUE"""),1.0)</f>
        <v>1</v>
      </c>
      <c r="CF123" s="139">
        <f>IFERROR(__xludf.DUMMYFUNCTION("""COMPUTED_VALUE"""),0.22)</f>
        <v>0.22</v>
      </c>
      <c r="CG123" s="139" t="str">
        <f>IFERROR(__xludf.DUMMYFUNCTION("""COMPUTED_VALUE"""),"近距離")</f>
        <v>近距離</v>
      </c>
      <c r="CH123" s="139" t="str">
        <f>IFERROR(__xludf.DUMMYFUNCTION("""COMPUTED_VALUE"""),"単体")</f>
        <v>単体</v>
      </c>
      <c r="CI123" s="139">
        <f>IFERROR(__xludf.DUMMYFUNCTION("""COMPUTED_VALUE"""),1.0)</f>
        <v>1</v>
      </c>
      <c r="CJ123" s="139">
        <f>IFERROR(__xludf.DUMMYFUNCTION("""COMPUTED_VALUE"""),0.22)</f>
        <v>0.22</v>
      </c>
      <c r="CK123" s="139"/>
      <c r="CL123" s="139"/>
      <c r="CM123" s="139"/>
      <c r="CN123" s="675">
        <f>IFERROR(__xludf.DUMMYFUNCTION("""COMPUTED_VALUE"""),16.39455194060921)</f>
        <v>16.39455194</v>
      </c>
      <c r="CO123" s="139" t="str">
        <f>IFERROR(__xludf.DUMMYFUNCTION("""COMPUTED_VALUE"""),"-")</f>
        <v>-</v>
      </c>
      <c r="CP123" s="139" t="str">
        <f>IFERROR(__xludf.DUMMYFUNCTION("""COMPUTED_VALUE"""),"-")</f>
        <v>-</v>
      </c>
      <c r="CQ123" s="139" t="str">
        <f>IFERROR(__xludf.DUMMYFUNCTION("""COMPUTED_VALUE"""),"-")</f>
        <v>-</v>
      </c>
      <c r="CR123" s="139"/>
      <c r="CS123" s="673" t="str">
        <f>IFERROR(__xludf.DUMMYFUNCTION("""COMPUTED_VALUE"""),"攻撃(必殺)")</f>
        <v>攻撃(必殺)</v>
      </c>
      <c r="CT123" s="139"/>
      <c r="CU123" s="139"/>
      <c r="CV123" s="139"/>
      <c r="CW123" s="139"/>
      <c r="CX123" s="674">
        <f>IFERROR(__xludf.DUMMYFUNCTION("""COMPUTED_VALUE"""),180.0)</f>
        <v>180</v>
      </c>
      <c r="CY123" s="675" t="str">
        <f>IFERROR(__xludf.DUMMYFUNCTION("""COMPUTED_VALUE"""),"-")</f>
        <v>-</v>
      </c>
      <c r="CZ123" s="688">
        <f>IFERROR(__xludf.DUMMYFUNCTION("""COMPUTED_VALUE"""),6313.0)</f>
        <v>6313</v>
      </c>
      <c r="DA123" s="688">
        <f>IFERROR(__xludf.DUMMYFUNCTION("""COMPUTED_VALUE"""),413.2509995456294)</f>
        <v>413.2509995</v>
      </c>
      <c r="DB123" s="688">
        <f>IFERROR(__xludf.DUMMYFUNCTION("""COMPUTED_VALUE"""),0.0)</f>
        <v>0</v>
      </c>
      <c r="DC123" s="673" t="str">
        <f>IFERROR(__xludf.DUMMYFUNCTION("""COMPUTED_VALUE"""),"-")</f>
        <v>-</v>
      </c>
      <c r="DD123" s="673" t="str">
        <f>IFERROR(__xludf.DUMMYFUNCTION("""COMPUTED_VALUE"""),"-")</f>
        <v>-</v>
      </c>
      <c r="DE123" s="139" t="str">
        <f>IFERROR(__xludf.DUMMYFUNCTION("""COMPUTED_VALUE"""),"-")</f>
        <v>-</v>
      </c>
      <c r="DF123" s="139" t="str">
        <f>IFERROR(__xludf.DUMMYFUNCTION("""COMPUTED_VALUE"""),"-")</f>
        <v>-</v>
      </c>
      <c r="DG123" s="139" t="str">
        <f>IFERROR(__xludf.DUMMYFUNCTION("""COMPUTED_VALUE"""),"-")</f>
        <v>-</v>
      </c>
      <c r="DH123" s="139" t="str">
        <f>IFERROR(__xludf.DUMMYFUNCTION("""COMPUTED_VALUE"""),"-")</f>
        <v>-</v>
      </c>
      <c r="DI123" s="139" t="str">
        <f>IFERROR(__xludf.DUMMYFUNCTION("""COMPUTED_VALUE"""),"-")</f>
        <v>-</v>
      </c>
      <c r="DJ123" s="139" t="str">
        <f>IFERROR(__xludf.DUMMYFUNCTION("""COMPUTED_VALUE"""),"-")</f>
        <v>-</v>
      </c>
    </row>
    <row r="124">
      <c r="A124" s="139" t="str">
        <f>IFERROR(__xludf.DUMMYFUNCTION("""COMPUTED_VALUE"""),"あやかしトライアングル")</f>
        <v>あやかしトライアングル</v>
      </c>
      <c r="B124" s="139" t="str">
        <f>IFERROR(__xludf.DUMMYFUNCTION("""COMPUTED_VALUE"""),"香炉木 恋緒")</f>
        <v>香炉木 恋緒</v>
      </c>
      <c r="C124" s="139" t="str">
        <f>IFERROR(__xludf.DUMMYFUNCTION("""COMPUTED_VALUE"""),"chara_aya_00201")</f>
        <v>chara_aya_00201</v>
      </c>
      <c r="D124" s="139" t="str">
        <f>IFERROR(__xludf.DUMMYFUNCTION("""COMPUTED_VALUE"""),"DropSR")</f>
        <v>DropSR</v>
      </c>
      <c r="E124" s="139" t="str">
        <f>IFERROR(__xludf.DUMMYFUNCTION("""COMPUTED_VALUE"""),"黄")</f>
        <v>黄</v>
      </c>
      <c r="F124" s="139" t="str">
        <f>IFERROR(__xludf.DUMMYFUNCTION("""COMPUTED_VALUE"""),"サポート")</f>
        <v>サポート</v>
      </c>
      <c r="G124" s="139" t="str">
        <f>IFERROR(__xludf.DUMMYFUNCTION("""COMPUTED_VALUE"""),"中距離")</f>
        <v>中距離</v>
      </c>
      <c r="H124" s="139" t="str">
        <f>IFERROR(__xludf.DUMMYFUNCTION("""COMPUTED_VALUE"""),"dageki_1")</f>
        <v>dageki_1</v>
      </c>
      <c r="I124" s="139" t="str">
        <f>IFERROR(__xludf.DUMMYFUNCTION("""COMPUTED_VALUE"""),"-")</f>
        <v>-</v>
      </c>
      <c r="J124" s="139" t="str">
        <f>IFERROR(__xludf.DUMMYFUNCTION("""COMPUTED_VALUE"""),"202604010_あやかしトライアングル")</f>
        <v>202604010_あやかしトライアングル</v>
      </c>
      <c r="K124" s="139" t="str">
        <f>IFERROR(__xludf.DUMMYFUNCTION("""COMPUTED_VALUE"""),"あやかしトライアングル いいジャン祭")</f>
        <v>あやかしトライアングル いいジャン祭</v>
      </c>
      <c r="L124" s="139" t="str">
        <f>IFERROR(__xludf.DUMMYFUNCTION("""COMPUTED_VALUE"""),"※")</f>
        <v>※</v>
      </c>
      <c r="M124" s="674">
        <f>IFERROR(__xludf.DUMMYFUNCTION("""COMPUTED_VALUE"""),575.0)</f>
        <v>575</v>
      </c>
      <c r="N124" s="139">
        <f>IFERROR(__xludf.DUMMYFUNCTION("""COMPUTED_VALUE"""),600.0)</f>
        <v>600</v>
      </c>
      <c r="O124" s="139" t="str">
        <f>IFERROR(__xludf.DUMMYFUNCTION("""COMPUTED_VALUE"""),"中コスト")</f>
        <v>中コスト</v>
      </c>
      <c r="P124" s="139">
        <f>IFERROR(__xludf.DUMMYFUNCTION("""COMPUTED_VALUE"""),-45.0)</f>
        <v>-45</v>
      </c>
      <c r="Q124" s="675">
        <f>IFERROR(__xludf.DUMMYFUNCTION("""COMPUTED_VALUE"""),10.0)</f>
        <v>10</v>
      </c>
      <c r="R124" s="675">
        <f>IFERROR(__xludf.DUMMYFUNCTION("""COMPUTED_VALUE"""),10.0)</f>
        <v>10</v>
      </c>
      <c r="S124" s="675">
        <f>IFERROR(__xludf.DUMMYFUNCTION("""COMPUTED_VALUE"""),11.875)</f>
        <v>11.875</v>
      </c>
      <c r="T124" s="674">
        <f>IFERROR(__xludf.DUMMYFUNCTION("""COMPUTED_VALUE"""),320.0)</f>
        <v>320</v>
      </c>
      <c r="U124" s="675">
        <f>IFERROR(__xludf.DUMMYFUNCTION("""COMPUTED_VALUE"""),6.38)</f>
        <v>6.38</v>
      </c>
      <c r="V124" s="675">
        <f>IFERROR(__xludf.DUMMYFUNCTION("""COMPUTED_VALUE"""),0.0)</f>
        <v>0</v>
      </c>
      <c r="W124" s="675">
        <f>IFERROR(__xludf.DUMMYFUNCTION("""COMPUTED_VALUE"""),0.0)</f>
        <v>0</v>
      </c>
      <c r="X124" s="675">
        <f>IFERROR(__xludf.DUMMYFUNCTION("""COMPUTED_VALUE"""),0.0)</f>
        <v>0</v>
      </c>
      <c r="Y124" s="674">
        <f>IFERROR(__xludf.DUMMYFUNCTION("""COMPUTED_VALUE"""),215.0)</f>
        <v>215</v>
      </c>
      <c r="Z124" s="675">
        <f>IFERROR(__xludf.DUMMYFUNCTION("""COMPUTED_VALUE"""),4.334999999999999)</f>
        <v>4.335</v>
      </c>
      <c r="AA124" s="675">
        <f>IFERROR(__xludf.DUMMYFUNCTION("""COMPUTED_VALUE"""),1.0)</f>
        <v>1</v>
      </c>
      <c r="AB124" s="673">
        <f>IFERROR(__xludf.DUMMYFUNCTION("""COMPUTED_VALUE"""),0.0)</f>
        <v>0</v>
      </c>
      <c r="AC124" s="675">
        <f>IFERROR(__xludf.DUMMYFUNCTION("""COMPUTED_VALUE"""),0.0)</f>
        <v>0</v>
      </c>
      <c r="AD124" s="674">
        <f>IFERROR(__xludf.DUMMYFUNCTION("""COMPUTED_VALUE"""),520.0)</f>
        <v>520</v>
      </c>
      <c r="AE124" s="675">
        <f>IFERROR(__xludf.DUMMYFUNCTION("""COMPUTED_VALUE"""),10.36616250125952)</f>
        <v>10.3661625</v>
      </c>
      <c r="AF124" s="675">
        <f>IFERROR(__xludf.DUMMYFUNCTION("""COMPUTED_VALUE"""),1.0)</f>
        <v>1</v>
      </c>
      <c r="AG124" s="673">
        <f>IFERROR(__xludf.DUMMYFUNCTION("""COMPUTED_VALUE"""),0.0)</f>
        <v>0</v>
      </c>
      <c r="AH124" s="675">
        <f>IFERROR(__xludf.DUMMYFUNCTION("""COMPUTED_VALUE"""),0.0)</f>
        <v>0</v>
      </c>
      <c r="AI124" s="675">
        <f>IFERROR(__xludf.DUMMYFUNCTION("""COMPUTED_VALUE"""),0.0)</f>
        <v>0</v>
      </c>
      <c r="AJ124" s="675">
        <f>IFERROR(__xludf.DUMMYFUNCTION("""COMPUTED_VALUE"""),10.36616250125952)</f>
        <v>10.3661625</v>
      </c>
      <c r="AK124" s="139">
        <f>IFERROR(__xludf.DUMMYFUNCTION("""COMPUTED_VALUE"""),1.0)</f>
        <v>1</v>
      </c>
      <c r="AL124" s="674">
        <f>IFERROR(__xludf.DUMMYFUNCTION("""COMPUTED_VALUE"""),870.0)</f>
        <v>870</v>
      </c>
      <c r="AM124" s="688">
        <f>IFERROR(__xludf.DUMMYFUNCTION("""COMPUTED_VALUE"""),6014.014463775042)</f>
        <v>6014.014464</v>
      </c>
      <c r="AN124" s="675">
        <f>IFERROR(__xludf.DUMMYFUNCTION("""COMPUTED_VALUE"""),5.8)</f>
        <v>5.8</v>
      </c>
      <c r="AO124" s="675">
        <f>IFERROR(__xludf.DUMMYFUNCTION("""COMPUTED_VALUE"""),2.9)</f>
        <v>2.9</v>
      </c>
      <c r="AP124" s="674">
        <f>IFERROR(__xludf.DUMMYFUNCTION("""COMPUTED_VALUE"""),1730.0)</f>
        <v>1730</v>
      </c>
      <c r="AQ124" s="673">
        <f>IFERROR(__xludf.DUMMYFUNCTION("""COMPUTED_VALUE"""),-0.4)</f>
        <v>-0.4</v>
      </c>
      <c r="AR124" s="673">
        <f>IFERROR(__xludf.DUMMYFUNCTION("""COMPUTED_VALUE"""),0.0)</f>
        <v>0</v>
      </c>
      <c r="AS124" s="673">
        <f>IFERROR(__xludf.DUMMYFUNCTION("""COMPUTED_VALUE"""),-0.1)</f>
        <v>-0.1</v>
      </c>
      <c r="AT124" s="673">
        <f>IFERROR(__xludf.DUMMYFUNCTION("""COMPUTED_VALUE"""),0.0)</f>
        <v>0</v>
      </c>
      <c r="AU124" s="675">
        <f>IFERROR(__xludf.DUMMYFUNCTION("""COMPUTED_VALUE"""),0.0)</f>
        <v>0</v>
      </c>
      <c r="AV124" s="675">
        <f>IFERROR(__xludf.DUMMYFUNCTION("""COMPUTED_VALUE"""),0.0)</f>
        <v>0</v>
      </c>
      <c r="AW124" s="139"/>
      <c r="AX124" s="674">
        <f>IFERROR(__xludf.DUMMYFUNCTION("""COMPUTED_VALUE"""),720.0)</f>
        <v>720</v>
      </c>
      <c r="AY124" s="688">
        <f>IFERROR(__xludf.DUMMYFUNCTION("""COMPUTED_VALUE"""),4976.220245882794)</f>
        <v>4976.220246</v>
      </c>
      <c r="AZ124" s="674">
        <f>IFERROR(__xludf.DUMMYFUNCTION("""COMPUTED_VALUE"""),400.0)</f>
        <v>400</v>
      </c>
      <c r="BA124" s="688">
        <f>IFERROR(__xludf.DUMMYFUNCTION("""COMPUTED_VALUE"""),2764.566803268219)</f>
        <v>2764.566803</v>
      </c>
      <c r="BB124" s="688">
        <f>IFERROR(__xludf.DUMMYFUNCTION("""COMPUTED_VALUE"""),2764.566803268219)</f>
        <v>2764.566803</v>
      </c>
      <c r="BC124" s="688" t="str">
        <f>IFERROR(__xludf.DUMMYFUNCTION("""COMPUTED_VALUE"""),"#VALUE!")</f>
        <v>#VALUE!</v>
      </c>
      <c r="BD124" s="688" t="str">
        <f>IFERROR(__xludf.DUMMYFUNCTION("""COMPUTED_VALUE"""),"#VALUE!")</f>
        <v>#VALUE!</v>
      </c>
      <c r="BE124" s="674">
        <f>IFERROR(__xludf.DUMMYFUNCTION("""COMPUTED_VALUE"""),400.0)</f>
        <v>400</v>
      </c>
      <c r="BF124" s="674">
        <f>IFERROR(__xludf.DUMMYFUNCTION("""COMPUTED_VALUE"""),1150.0)</f>
        <v>1150</v>
      </c>
      <c r="BG124" s="673">
        <f>IFERROR(__xludf.DUMMYFUNCTION("""COMPUTED_VALUE"""),0.0)</f>
        <v>0</v>
      </c>
      <c r="BH124" s="673">
        <f>IFERROR(__xludf.DUMMYFUNCTION("""COMPUTED_VALUE"""),-0.3)</f>
        <v>-0.3</v>
      </c>
      <c r="BI124" s="673">
        <f>IFERROR(__xludf.DUMMYFUNCTION("""COMPUTED_VALUE"""),0.0)</f>
        <v>0</v>
      </c>
      <c r="BJ124" s="673">
        <f>IFERROR(__xludf.DUMMYFUNCTION("""COMPUTED_VALUE"""),0.0)</f>
        <v>0</v>
      </c>
      <c r="BK124" s="673">
        <f>IFERROR(__xludf.DUMMYFUNCTION("""COMPUTED_VALUE"""),0.0)</f>
        <v>0</v>
      </c>
      <c r="BL124" s="673">
        <f>IFERROR(__xludf.DUMMYFUNCTION("""COMPUTED_VALUE"""),0.0)</f>
        <v>0</v>
      </c>
      <c r="BM124" s="674">
        <f>IFERROR(__xludf.DUMMYFUNCTION("""COMPUTED_VALUE"""),90.0)</f>
        <v>90</v>
      </c>
      <c r="BN124" s="674">
        <f>IFERROR(__xludf.DUMMYFUNCTION("""COMPUTED_VALUE"""),90.0)</f>
        <v>90</v>
      </c>
      <c r="BO124" s="675">
        <f>IFERROR(__xludf.DUMMYFUNCTION("""COMPUTED_VALUE"""),0.0)</f>
        <v>0</v>
      </c>
      <c r="BP124" s="675">
        <f>IFERROR(__xludf.DUMMYFUNCTION("""COMPUTED_VALUE"""),1.8)</f>
        <v>1.8</v>
      </c>
      <c r="BQ124" s="139" t="str">
        <f>IFERROR(__xludf.DUMMYFUNCTION("""COMPUTED_VALUE"""),"(中距離)素手・武器・道具")</f>
        <v>(中距離)素手・武器・道具</v>
      </c>
      <c r="BR124" s="139">
        <f>IFERROR(__xludf.DUMMYFUNCTION("""COMPUTED_VALUE"""),2.0)</f>
        <v>2</v>
      </c>
      <c r="BS124" s="139">
        <f>IFERROR(__xludf.DUMMYFUNCTION("""COMPUTED_VALUE"""),40.0)</f>
        <v>40</v>
      </c>
      <c r="BT124" s="139">
        <f>IFERROR(__xludf.DUMMYFUNCTION("""COMPUTED_VALUE"""),0.37)</f>
        <v>0.37</v>
      </c>
      <c r="BU124" s="139">
        <f>IFERROR(__xludf.DUMMYFUNCTION("""COMPUTED_VALUE"""),0.0)</f>
        <v>0</v>
      </c>
      <c r="BV124" s="139" t="str">
        <f>IFERROR(__xludf.DUMMYFUNCTION("""COMPUTED_VALUE"""),"普通-速い")</f>
        <v>普通-速い</v>
      </c>
      <c r="BW124" s="139" t="str">
        <f>IFERROR(__xludf.DUMMYFUNCTION("""COMPUTED_VALUE"""),"突風コマ無効化")</f>
        <v>突風コマ無効化</v>
      </c>
      <c r="BX124" s="139" t="str">
        <f>IFERROR(__xludf.DUMMYFUNCTION("""COMPUTED_VALUE"""),"-")</f>
        <v>-</v>
      </c>
      <c r="BY124" s="139">
        <f>IFERROR(__xludf.DUMMYFUNCTION("""COMPUTED_VALUE"""),2.0)</f>
        <v>2</v>
      </c>
      <c r="BZ124" s="139" t="str">
        <f>IFERROR(__xludf.DUMMYFUNCTION("""COMPUTED_VALUE"""),"-")</f>
        <v>-</v>
      </c>
      <c r="CA124" s="139" t="str">
        <f>IFERROR(__xludf.DUMMYFUNCTION("""COMPUTED_VALUE"""),"-")</f>
        <v>-</v>
      </c>
      <c r="CB124" s="139" t="str">
        <f>IFERROR(__xludf.DUMMYFUNCTION("""COMPUTED_VALUE"""),"-")</f>
        <v>-</v>
      </c>
      <c r="CC124" s="139" t="str">
        <f>IFERROR(__xludf.DUMMYFUNCTION("""COMPUTED_VALUE"""),"中距離")</f>
        <v>中距離</v>
      </c>
      <c r="CD124" s="139" t="str">
        <f>IFERROR(__xludf.DUMMYFUNCTION("""COMPUTED_VALUE"""),"範囲(小：威力減)")</f>
        <v>範囲(小：威力減)</v>
      </c>
      <c r="CE124" s="139">
        <f>IFERROR(__xludf.DUMMYFUNCTION("""COMPUTED_VALUE"""),0.5)</f>
        <v>0.5</v>
      </c>
      <c r="CF124" s="139">
        <f>IFERROR(__xludf.DUMMYFUNCTION("""COMPUTED_VALUE"""),0.48)</f>
        <v>0.48</v>
      </c>
      <c r="CG124" s="139" t="str">
        <f>IFERROR(__xludf.DUMMYFUNCTION("""COMPUTED_VALUE"""),"中距離")</f>
        <v>中距離</v>
      </c>
      <c r="CH124" s="139" t="str">
        <f>IFERROR(__xludf.DUMMYFUNCTION("""COMPUTED_VALUE"""),"範囲(コマ)0,+1")</f>
        <v>範囲(コマ)0,+1</v>
      </c>
      <c r="CI124" s="139">
        <f>IFERROR(__xludf.DUMMYFUNCTION("""COMPUTED_VALUE"""),0.6)</f>
        <v>0.6</v>
      </c>
      <c r="CJ124" s="139" t="str">
        <f>IFERROR(__xludf.DUMMYFUNCTION("""COMPUTED_VALUE"""),"(コマ)0,+1")</f>
        <v>(コマ)0,+1</v>
      </c>
      <c r="CK124" s="139"/>
      <c r="CL124" s="139"/>
      <c r="CM124" s="139"/>
      <c r="CN124" s="675">
        <f>IFERROR(__xludf.DUMMYFUNCTION("""COMPUTED_VALUE"""),10.36616250125952)</f>
        <v>10.3661625</v>
      </c>
      <c r="CO124" s="139" t="str">
        <f>IFERROR(__xludf.DUMMYFUNCTION("""COMPUTED_VALUE"""),"-")</f>
        <v>-</v>
      </c>
      <c r="CP124" s="139" t="str">
        <f>IFERROR(__xludf.DUMMYFUNCTION("""COMPUTED_VALUE"""),"-")</f>
        <v>-</v>
      </c>
      <c r="CQ124" s="139" t="str">
        <f>IFERROR(__xludf.DUMMYFUNCTION("""COMPUTED_VALUE"""),"-")</f>
        <v>-</v>
      </c>
      <c r="CR124" s="139"/>
      <c r="CS124" s="673" t="str">
        <f>IFERROR(__xludf.DUMMYFUNCTION("""COMPUTED_VALUE"""),"攻撃力UP")</f>
        <v>攻撃力UP</v>
      </c>
      <c r="CT124" s="139" t="str">
        <f>IFERROR(__xludf.DUMMYFUNCTION("""COMPUTED_VALUE"""),"安定型")</f>
        <v>安定型</v>
      </c>
      <c r="CU124" s="139" t="str">
        <f>IFERROR(__xludf.DUMMYFUNCTION("""COMPUTED_VALUE"""),"味方")</f>
        <v>味方</v>
      </c>
      <c r="CV124" s="139" t="str">
        <f>IFERROR(__xludf.DUMMYFUNCTION("""COMPUTED_VALUE"""),"All")</f>
        <v>All</v>
      </c>
      <c r="CW124" s="139" t="str">
        <f>IFERROR(__xludf.DUMMYFUNCTION("""COMPUTED_VALUE"""),"All")</f>
        <v>All</v>
      </c>
      <c r="CX124" s="674" t="str">
        <f>IFERROR(__xludf.DUMMYFUNCTION("""COMPUTED_VALUE"""),"")</f>
        <v/>
      </c>
      <c r="CY124" s="675" t="str">
        <f>IFERROR(__xludf.DUMMYFUNCTION("""COMPUTED_VALUE"""),"")</f>
        <v/>
      </c>
      <c r="CZ124" s="688" t="str">
        <f>IFERROR(__xludf.DUMMYFUNCTION("""COMPUTED_VALUE"""),"-")</f>
        <v>-</v>
      </c>
      <c r="DA124" s="688">
        <f>IFERROR(__xludf.DUMMYFUNCTION("""COMPUTED_VALUE"""),0.0)</f>
        <v>0</v>
      </c>
      <c r="DB124" s="688">
        <f>IFERROR(__xludf.DUMMYFUNCTION("""COMPUTED_VALUE"""),0.0)</f>
        <v>0</v>
      </c>
      <c r="DC124" s="673" t="str">
        <f>IFERROR(__xludf.DUMMYFUNCTION("""COMPUTED_VALUE"""),"-")</f>
        <v>-</v>
      </c>
      <c r="DD124" s="673" t="str">
        <f>IFERROR(__xludf.DUMMYFUNCTION("""COMPUTED_VALUE"""),"-")</f>
        <v>-</v>
      </c>
      <c r="DE124" s="139" t="str">
        <f>IFERROR(__xludf.DUMMYFUNCTION("""COMPUTED_VALUE"""),"-")</f>
        <v>-</v>
      </c>
      <c r="DF124" s="139" t="str">
        <f>IFERROR(__xludf.DUMMYFUNCTION("""COMPUTED_VALUE"""),"-")</f>
        <v>-</v>
      </c>
      <c r="DG124" s="139" t="str">
        <f>IFERROR(__xludf.DUMMYFUNCTION("""COMPUTED_VALUE"""),"-")</f>
        <v>-</v>
      </c>
      <c r="DH124" s="139" t="str">
        <f>IFERROR(__xludf.DUMMYFUNCTION("""COMPUTED_VALUE"""),"-")</f>
        <v>-</v>
      </c>
      <c r="DI124" s="139" t="str">
        <f>IFERROR(__xludf.DUMMYFUNCTION("""COMPUTED_VALUE"""),"-")</f>
        <v>-</v>
      </c>
      <c r="DJ124" s="139" t="str">
        <f>IFERROR(__xludf.DUMMYFUNCTION("""COMPUTED_VALUE"""),"-")</f>
        <v>-</v>
      </c>
    </row>
    <row r="125">
      <c r="A125" s="139" t="str">
        <f>IFERROR(__xludf.DUMMYFUNCTION("""COMPUTED_VALUE"""),"あやかしトライアングル")</f>
        <v>あやかしトライアングル</v>
      </c>
      <c r="B125" s="139" t="str">
        <f>IFERROR(__xludf.DUMMYFUNCTION("""COMPUTED_VALUE"""),"二ノ曲 宗牙")</f>
        <v>二ノ曲 宗牙</v>
      </c>
      <c r="C125" s="139" t="str">
        <f>IFERROR(__xludf.DUMMYFUNCTION("""COMPUTED_VALUE"""),"chara_aya_00301")</f>
        <v>chara_aya_00301</v>
      </c>
      <c r="D125" s="139" t="str">
        <f>IFERROR(__xludf.DUMMYFUNCTION("""COMPUTED_VALUE"""),"DropSR")</f>
        <v>DropSR</v>
      </c>
      <c r="E125" s="139" t="str">
        <f>IFERROR(__xludf.DUMMYFUNCTION("""COMPUTED_VALUE"""),"緑")</f>
        <v>緑</v>
      </c>
      <c r="F125" s="139" t="str">
        <f>IFERROR(__xludf.DUMMYFUNCTION("""COMPUTED_VALUE"""),"アタック")</f>
        <v>アタック</v>
      </c>
      <c r="G125" s="139" t="str">
        <f>IFERROR(__xludf.DUMMYFUNCTION("""COMPUTED_VALUE"""),"近距離")</f>
        <v>近距離</v>
      </c>
      <c r="H125" s="139" t="str">
        <f>IFERROR(__xludf.DUMMYFUNCTION("""COMPUTED_VALUE"""),"zangeki_1")</f>
        <v>zangeki_1</v>
      </c>
      <c r="I125" s="139" t="str">
        <f>IFERROR(__xludf.DUMMYFUNCTION("""COMPUTED_VALUE"""),"zangeki_1")</f>
        <v>zangeki_1</v>
      </c>
      <c r="J125" s="139" t="str">
        <f>IFERROR(__xludf.DUMMYFUNCTION("""COMPUTED_VALUE"""),"202604010_あやかしトライアングル")</f>
        <v>202604010_あやかしトライアングル</v>
      </c>
      <c r="K125" s="139" t="str">
        <f>IFERROR(__xludf.DUMMYFUNCTION("""COMPUTED_VALUE"""),"あやかしトライアングル いいジャン祭")</f>
        <v>あやかしトライアングル いいジャン祭</v>
      </c>
      <c r="L125" s="139" t="str">
        <f>IFERROR(__xludf.DUMMYFUNCTION("""COMPUTED_VALUE"""),"※")</f>
        <v>※</v>
      </c>
      <c r="M125" s="674">
        <f>IFERROR(__xludf.DUMMYFUNCTION("""COMPUTED_VALUE"""),580.0)</f>
        <v>580</v>
      </c>
      <c r="N125" s="139">
        <f>IFERROR(__xludf.DUMMYFUNCTION("""COMPUTED_VALUE"""),600.0)</f>
        <v>600</v>
      </c>
      <c r="O125" s="139" t="str">
        <f>IFERROR(__xludf.DUMMYFUNCTION("""COMPUTED_VALUE"""),"中コスト")</f>
        <v>中コスト</v>
      </c>
      <c r="P125" s="139">
        <f>IFERROR(__xludf.DUMMYFUNCTION("""COMPUTED_VALUE"""),-35.0)</f>
        <v>-35</v>
      </c>
      <c r="Q125" s="675">
        <f>IFERROR(__xludf.DUMMYFUNCTION("""COMPUTED_VALUE"""),5.0)</f>
        <v>5</v>
      </c>
      <c r="R125" s="675">
        <f>IFERROR(__xludf.DUMMYFUNCTION("""COMPUTED_VALUE"""),10.0)</f>
        <v>10</v>
      </c>
      <c r="S125" s="675">
        <f>IFERROR(__xludf.DUMMYFUNCTION("""COMPUTED_VALUE"""),12.0)</f>
        <v>12</v>
      </c>
      <c r="T125" s="674">
        <f>IFERROR(__xludf.DUMMYFUNCTION("""COMPUTED_VALUE"""),440.0)</f>
        <v>440</v>
      </c>
      <c r="U125" s="675">
        <f>IFERROR(__xludf.DUMMYFUNCTION("""COMPUTED_VALUE"""),8.8)</f>
        <v>8.8</v>
      </c>
      <c r="V125" s="675">
        <f>IFERROR(__xludf.DUMMYFUNCTION("""COMPUTED_VALUE"""),0.0)</f>
        <v>0</v>
      </c>
      <c r="W125" s="675">
        <f>IFERROR(__xludf.DUMMYFUNCTION("""COMPUTED_VALUE"""),0.0)</f>
        <v>0</v>
      </c>
      <c r="X125" s="675">
        <f>IFERROR(__xludf.DUMMYFUNCTION("""COMPUTED_VALUE"""),0.0)</f>
        <v>0</v>
      </c>
      <c r="Y125" s="674">
        <f>IFERROR(__xludf.DUMMYFUNCTION("""COMPUTED_VALUE"""),230.0)</f>
        <v>230</v>
      </c>
      <c r="Z125" s="675">
        <f>IFERROR(__xludf.DUMMYFUNCTION("""COMPUTED_VALUE"""),4.6)</f>
        <v>4.6</v>
      </c>
      <c r="AA125" s="675">
        <f>IFERROR(__xludf.DUMMYFUNCTION("""COMPUTED_VALUE"""),0.0)</f>
        <v>0</v>
      </c>
      <c r="AB125" s="673">
        <f>IFERROR(__xludf.DUMMYFUNCTION("""COMPUTED_VALUE"""),0.0)</f>
        <v>0</v>
      </c>
      <c r="AC125" s="675">
        <f>IFERROR(__xludf.DUMMYFUNCTION("""COMPUTED_VALUE"""),0.0)</f>
        <v>0</v>
      </c>
      <c r="AD125" s="674">
        <f>IFERROR(__xludf.DUMMYFUNCTION("""COMPUTED_VALUE"""),495.0)</f>
        <v>495</v>
      </c>
      <c r="AE125" s="675">
        <f>IFERROR(__xludf.DUMMYFUNCTION("""COMPUTED_VALUE"""),9.9)</f>
        <v>9.9</v>
      </c>
      <c r="AF125" s="675">
        <f>IFERROR(__xludf.DUMMYFUNCTION("""COMPUTED_VALUE"""),0.0)</f>
        <v>0</v>
      </c>
      <c r="AG125" s="673">
        <f>IFERROR(__xludf.DUMMYFUNCTION("""COMPUTED_VALUE"""),0.0)</f>
        <v>0</v>
      </c>
      <c r="AH125" s="675">
        <f>IFERROR(__xludf.DUMMYFUNCTION("""COMPUTED_VALUE"""),-1.1)</f>
        <v>-1.1</v>
      </c>
      <c r="AI125" s="139" t="str">
        <f>IFERROR(__xludf.DUMMYFUNCTION("""COMPUTED_VALUE"""),"-")</f>
        <v>-</v>
      </c>
      <c r="AJ125" s="675" t="str">
        <f>IFERROR(__xludf.DUMMYFUNCTION("""COMPUTED_VALUE"""),"-")</f>
        <v>-</v>
      </c>
      <c r="AK125" s="139">
        <f>IFERROR(__xludf.DUMMYFUNCTION("""COMPUTED_VALUE"""),1.0)</f>
        <v>1</v>
      </c>
      <c r="AL125" s="674">
        <f>IFERROR(__xludf.DUMMYFUNCTION("""COMPUTED_VALUE"""),1200.0)</f>
        <v>1200</v>
      </c>
      <c r="AM125" s="688">
        <f>IFERROR(__xludf.DUMMYFUNCTION("""COMPUTED_VALUE"""),8295.033743137988)</f>
        <v>8295.033743</v>
      </c>
      <c r="AN125" s="675">
        <f>IFERROR(__xludf.DUMMYFUNCTION("""COMPUTED_VALUE"""),8.0)</f>
        <v>8</v>
      </c>
      <c r="AO125" s="675">
        <f>IFERROR(__xludf.DUMMYFUNCTION("""COMPUTED_VALUE"""),4.0)</f>
        <v>4</v>
      </c>
      <c r="AP125" s="674">
        <f>IFERROR(__xludf.DUMMYFUNCTION("""COMPUTED_VALUE"""),1740.0)</f>
        <v>1740</v>
      </c>
      <c r="AQ125" s="673">
        <f>IFERROR(__xludf.DUMMYFUNCTION("""COMPUTED_VALUE"""),-0.2)</f>
        <v>-0.2</v>
      </c>
      <c r="AR125" s="673">
        <f>IFERROR(__xludf.DUMMYFUNCTION("""COMPUTED_VALUE"""),-0.11)</f>
        <v>-0.11</v>
      </c>
      <c r="AS125" s="673">
        <f>IFERROR(__xludf.DUMMYFUNCTION("""COMPUTED_VALUE"""),0.1)</f>
        <v>0.1</v>
      </c>
      <c r="AT125" s="673">
        <f>IFERROR(__xludf.DUMMYFUNCTION("""COMPUTED_VALUE"""),-0.1)</f>
        <v>-0.1</v>
      </c>
      <c r="AU125" s="675">
        <f>IFERROR(__xludf.DUMMYFUNCTION("""COMPUTED_VALUE"""),0.0)</f>
        <v>0</v>
      </c>
      <c r="AV125" s="675">
        <f>IFERROR(__xludf.DUMMYFUNCTION("""COMPUTED_VALUE"""),0.0)</f>
        <v>0</v>
      </c>
      <c r="AW125" s="139"/>
      <c r="AX125" s="674">
        <f>IFERROR(__xludf.DUMMYFUNCTION("""COMPUTED_VALUE"""),1980.0)</f>
        <v>1980</v>
      </c>
      <c r="AY125" s="688">
        <f>IFERROR(__xludf.DUMMYFUNCTION("""COMPUTED_VALUE"""),13687.435676177682)</f>
        <v>13687.43568</v>
      </c>
      <c r="AZ125" s="674">
        <f>IFERROR(__xludf.DUMMYFUNCTION("""COMPUTED_VALUE"""),1980.0)</f>
        <v>1980</v>
      </c>
      <c r="BA125" s="688">
        <f>IFERROR(__xludf.DUMMYFUNCTION("""COMPUTED_VALUE"""),13687.435676177682)</f>
        <v>13687.43568</v>
      </c>
      <c r="BB125" s="688" t="str">
        <f>IFERROR(__xludf.DUMMYFUNCTION("""COMPUTED_VALUE"""),"-")</f>
        <v>-</v>
      </c>
      <c r="BC125" s="688" t="str">
        <f>IFERROR(__xludf.DUMMYFUNCTION("""COMPUTED_VALUE"""),"#VALUE!")</f>
        <v>#VALUE!</v>
      </c>
      <c r="BD125" s="688" t="str">
        <f>IFERROR(__xludf.DUMMYFUNCTION("""COMPUTED_VALUE"""),"#VALUE!")</f>
        <v>#VALUE!</v>
      </c>
      <c r="BE125" s="674">
        <f>IFERROR(__xludf.DUMMYFUNCTION("""COMPUTED_VALUE"""),1980.0)</f>
        <v>1980</v>
      </c>
      <c r="BF125" s="674">
        <f>IFERROR(__xludf.DUMMYFUNCTION("""COMPUTED_VALUE"""),1160.0)</f>
        <v>1160</v>
      </c>
      <c r="BG125" s="673">
        <f>IFERROR(__xludf.DUMMYFUNCTION("""COMPUTED_VALUE"""),0.1)</f>
        <v>0.1</v>
      </c>
      <c r="BH125" s="673">
        <f>IFERROR(__xludf.DUMMYFUNCTION("""COMPUTED_VALUE"""),0.3)</f>
        <v>0.3</v>
      </c>
      <c r="BI125" s="673">
        <f>IFERROR(__xludf.DUMMYFUNCTION("""COMPUTED_VALUE"""),0.0)</f>
        <v>0</v>
      </c>
      <c r="BJ125" s="673">
        <f>IFERROR(__xludf.DUMMYFUNCTION("""COMPUTED_VALUE"""),0.0)</f>
        <v>0</v>
      </c>
      <c r="BK125" s="673">
        <f>IFERROR(__xludf.DUMMYFUNCTION("""COMPUTED_VALUE"""),0.11)</f>
        <v>0.11</v>
      </c>
      <c r="BL125" s="673">
        <f>IFERROR(__xludf.DUMMYFUNCTION("""COMPUTED_VALUE"""),0.2)</f>
        <v>0.2</v>
      </c>
      <c r="BM125" s="674">
        <f>IFERROR(__xludf.DUMMYFUNCTION("""COMPUTED_VALUE"""),50.0)</f>
        <v>50</v>
      </c>
      <c r="BN125" s="674">
        <f>IFERROR(__xludf.DUMMYFUNCTION("""COMPUTED_VALUE"""),50.0)</f>
        <v>50</v>
      </c>
      <c r="BO125" s="675">
        <f>IFERROR(__xludf.DUMMYFUNCTION("""COMPUTED_VALUE"""),0.0)</f>
        <v>0</v>
      </c>
      <c r="BP125" s="675">
        <f>IFERROR(__xludf.DUMMYFUNCTION("""COMPUTED_VALUE"""),1.0)</f>
        <v>1</v>
      </c>
      <c r="BQ125" s="139" t="str">
        <f>IFERROR(__xludf.DUMMYFUNCTION("""COMPUTED_VALUE"""),"(近距離)武器・道具・特殊攻撃")</f>
        <v>(近距離)武器・道具・特殊攻撃</v>
      </c>
      <c r="BR125" s="139">
        <f>IFERROR(__xludf.DUMMYFUNCTION("""COMPUTED_VALUE"""),2.0)</f>
        <v>2</v>
      </c>
      <c r="BS125" s="139">
        <f>IFERROR(__xludf.DUMMYFUNCTION("""COMPUTED_VALUE"""),50.0)</f>
        <v>50</v>
      </c>
      <c r="BT125" s="139">
        <f>IFERROR(__xludf.DUMMYFUNCTION("""COMPUTED_VALUE"""),0.29)</f>
        <v>0.29</v>
      </c>
      <c r="BU125" s="139">
        <f>IFERROR(__xludf.DUMMYFUNCTION("""COMPUTED_VALUE"""),0.0)</f>
        <v>0</v>
      </c>
      <c r="BV125" s="139" t="str">
        <f>IFERROR(__xludf.DUMMYFUNCTION("""COMPUTED_VALUE"""),"速い-速い")</f>
        <v>速い-速い</v>
      </c>
      <c r="BW125" s="139" t="str">
        <f>IFERROR(__xludf.DUMMYFUNCTION("""COMPUTED_VALUE"""),"ダメージコマ無効化")</f>
        <v>ダメージコマ無効化</v>
      </c>
      <c r="BX125" s="139" t="str">
        <f>IFERROR(__xludf.DUMMYFUNCTION("""COMPUTED_VALUE"""),"-")</f>
        <v>-</v>
      </c>
      <c r="BY125" s="139">
        <f>IFERROR(__xludf.DUMMYFUNCTION("""COMPUTED_VALUE"""),2.0)</f>
        <v>2</v>
      </c>
      <c r="BZ125" s="139" t="str">
        <f>IFERROR(__xludf.DUMMYFUNCTION("""COMPUTED_VALUE"""),"-")</f>
        <v>-</v>
      </c>
      <c r="CA125" s="139" t="str">
        <f>IFERROR(__xludf.DUMMYFUNCTION("""COMPUTED_VALUE"""),"-")</f>
        <v>-</v>
      </c>
      <c r="CB125" s="139" t="str">
        <f>IFERROR(__xludf.DUMMYFUNCTION("""COMPUTED_VALUE"""),"-")</f>
        <v>-</v>
      </c>
      <c r="CC125" s="139" t="str">
        <f>IFERROR(__xludf.DUMMYFUNCTION("""COMPUTED_VALUE"""),"近距離")</f>
        <v>近距離</v>
      </c>
      <c r="CD125" s="139" t="str">
        <f>IFERROR(__xludf.DUMMYFUNCTION("""COMPUTED_VALUE"""),"単体")</f>
        <v>単体</v>
      </c>
      <c r="CE125" s="139">
        <f>IFERROR(__xludf.DUMMYFUNCTION("""COMPUTED_VALUE"""),1.0)</f>
        <v>1</v>
      </c>
      <c r="CF125" s="139">
        <f>IFERROR(__xludf.DUMMYFUNCTION("""COMPUTED_VALUE"""),0.3)</f>
        <v>0.3</v>
      </c>
      <c r="CG125" s="139" t="str">
        <f>IFERROR(__xludf.DUMMYFUNCTION("""COMPUTED_VALUE"""),"近距離")</f>
        <v>近距離</v>
      </c>
      <c r="CH125" s="139" t="str">
        <f>IFERROR(__xludf.DUMMYFUNCTION("""COMPUTED_VALUE"""),"範囲(小)")</f>
        <v>範囲(小)</v>
      </c>
      <c r="CI125" s="139">
        <f>IFERROR(__xludf.DUMMYFUNCTION("""COMPUTED_VALUE"""),0.75)</f>
        <v>0.75</v>
      </c>
      <c r="CJ125" s="139">
        <f>IFERROR(__xludf.DUMMYFUNCTION("""COMPUTED_VALUE"""),0.39999999999999997)</f>
        <v>0.4</v>
      </c>
      <c r="CK125" s="139"/>
      <c r="CL125" s="139"/>
      <c r="CM125" s="139"/>
      <c r="CN125" s="675">
        <f>IFERROR(__xludf.DUMMYFUNCTION("""COMPUTED_VALUE"""),9.9)</f>
        <v>9.9</v>
      </c>
      <c r="CO125" s="139" t="str">
        <f>IFERROR(__xludf.DUMMYFUNCTION("""COMPUTED_VALUE"""),"-")</f>
        <v>-</v>
      </c>
      <c r="CP125" s="139" t="str">
        <f>IFERROR(__xludf.DUMMYFUNCTION("""COMPUTED_VALUE"""),"-")</f>
        <v>-</v>
      </c>
      <c r="CQ125" s="139" t="str">
        <f>IFERROR(__xludf.DUMMYFUNCTION("""COMPUTED_VALUE"""),"-")</f>
        <v>-</v>
      </c>
      <c r="CR125" s="139"/>
      <c r="CS125" s="673" t="str">
        <f>IFERROR(__xludf.DUMMYFUNCTION("""COMPUTED_VALUE"""),"連続攻撃")</f>
        <v>連続攻撃</v>
      </c>
      <c r="CT125" s="139"/>
      <c r="CU125" s="139"/>
      <c r="CV125" s="139"/>
      <c r="CW125" s="139"/>
      <c r="CX125" s="674">
        <f>IFERROR(__xludf.DUMMYFUNCTION("""COMPUTED_VALUE"""),130.0)</f>
        <v>130</v>
      </c>
      <c r="CY125" s="675" t="str">
        <f>IFERROR(__xludf.DUMMYFUNCTION("""COMPUTED_VALUE"""),"-")</f>
        <v>-</v>
      </c>
      <c r="CZ125" s="688">
        <f>IFERROR(__xludf.DUMMYFUNCTION("""COMPUTED_VALUE"""),17794.0)</f>
        <v>17794</v>
      </c>
      <c r="DA125" s="688">
        <f>IFERROR(__xludf.DUMMYFUNCTION("""COMPUTED_VALUE"""),1899.0394877267875)</f>
        <v>1899.039488</v>
      </c>
      <c r="DB125" s="688">
        <f>IFERROR(__xludf.DUMMYFUNCTION("""COMPUTED_VALUE"""),9495.197438633937)</f>
        <v>9495.197439</v>
      </c>
      <c r="DC125" s="673" t="str">
        <f>IFERROR(__xludf.DUMMYFUNCTION("""COMPUTED_VALUE"""),"-")</f>
        <v>-</v>
      </c>
      <c r="DD125" s="673" t="str">
        <f>IFERROR(__xludf.DUMMYFUNCTION("""COMPUTED_VALUE"""),"-")</f>
        <v>-</v>
      </c>
      <c r="DE125" s="139" t="str">
        <f>IFERROR(__xludf.DUMMYFUNCTION("""COMPUTED_VALUE"""),"-")</f>
        <v>-</v>
      </c>
      <c r="DF125" s="139" t="str">
        <f>IFERROR(__xludf.DUMMYFUNCTION("""COMPUTED_VALUE"""),"-")</f>
        <v>-</v>
      </c>
      <c r="DG125" s="139" t="str">
        <f>IFERROR(__xludf.DUMMYFUNCTION("""COMPUTED_VALUE"""),"-")</f>
        <v>-</v>
      </c>
      <c r="DH125" s="139" t="str">
        <f>IFERROR(__xludf.DUMMYFUNCTION("""COMPUTED_VALUE"""),"-")</f>
        <v>-</v>
      </c>
      <c r="DI125" s="139" t="str">
        <f>IFERROR(__xludf.DUMMYFUNCTION("""COMPUTED_VALUE"""),"-")</f>
        <v>-</v>
      </c>
      <c r="DJ125" s="139" t="str">
        <f>IFERROR(__xludf.DUMMYFUNCTION("""COMPUTED_VALUE"""),"-")</f>
        <v>-</v>
      </c>
    </row>
    <row r="126">
      <c r="A126" s="139" t="str">
        <f>IFERROR(__xludf.DUMMYFUNCTION("""COMPUTED_VALUE"""),"姫様“拷問”の時間です")</f>
        <v>姫様“拷問”の時間です</v>
      </c>
      <c r="B126" s="139" t="str">
        <f>IFERROR(__xludf.DUMMYFUNCTION("""COMPUTED_VALUE"""),"悪のカリスマ 魔王ゴッドサンダー")</f>
        <v>悪のカリスマ 魔王ゴッドサンダー</v>
      </c>
      <c r="C126" s="139" t="str">
        <f>IFERROR(__xludf.DUMMYFUNCTION("""COMPUTED_VALUE"""),"chara_gom_00301")</f>
        <v>chara_gom_00301</v>
      </c>
      <c r="D126" s="139" t="str">
        <f>IFERROR(__xludf.DUMMYFUNCTION("""COMPUTED_VALUE"""),"PremiumUR")</f>
        <v>PremiumUR</v>
      </c>
      <c r="E126" s="139" t="str">
        <f>IFERROR(__xludf.DUMMYFUNCTION("""COMPUTED_VALUE"""),"赤")</f>
        <v>赤</v>
      </c>
      <c r="F126" s="139" t="str">
        <f>IFERROR(__xludf.DUMMYFUNCTION("""COMPUTED_VALUE"""),"アタック")</f>
        <v>アタック</v>
      </c>
      <c r="G126" s="139" t="str">
        <f>IFERROR(__xludf.DUMMYFUNCTION("""COMPUTED_VALUE"""),"※ID管理未記入")</f>
        <v>※ID管理未記入</v>
      </c>
      <c r="H126" s="139" t="str">
        <f>IFERROR(__xludf.DUMMYFUNCTION("""COMPUTED_VALUE"""),"※ID管理未記入")</f>
        <v>※ID管理未記入</v>
      </c>
      <c r="I126" s="139" t="str">
        <f>IFERROR(__xludf.DUMMYFUNCTION("""COMPUTED_VALUE"""),"※ID管理未記入")</f>
        <v>※ID管理未記入</v>
      </c>
      <c r="J126" s="139" t="str">
        <f>IFERROR(__xludf.DUMMYFUNCTION("""COMPUTED_VALUE"""),"202605010_マリッジトキシン")</f>
        <v>202605010_マリッジトキシン</v>
      </c>
      <c r="K126" s="139" t="str">
        <f>IFERROR(__xludf.DUMMYFUNCTION("""COMPUTED_VALUE"""),"姫様“拷問”の時間ですいいジャン祭")</f>
        <v>姫様“拷問”の時間ですいいジャン祭</v>
      </c>
      <c r="L126" s="687" t="str">
        <f>IFERROR(__xludf.DUMMYFUNCTION("""COMPUTED_VALUE"""),"※")</f>
        <v>※</v>
      </c>
      <c r="M126" s="674">
        <f>IFERROR(__xludf.DUMMYFUNCTION("""COMPUTED_VALUE"""),0.0)</f>
        <v>0</v>
      </c>
      <c r="N126" s="139">
        <f>IFERROR(__xludf.DUMMYFUNCTION("""COMPUTED_VALUE"""),0.0)</f>
        <v>0</v>
      </c>
      <c r="O126" s="139"/>
      <c r="P126" s="139">
        <f>IFERROR(__xludf.DUMMYFUNCTION("""COMPUTED_VALUE"""),0.0)</f>
        <v>0</v>
      </c>
      <c r="Q126" s="675">
        <f>IFERROR(__xludf.DUMMYFUNCTION("""COMPUTED_VALUE"""),0.0)</f>
        <v>0</v>
      </c>
      <c r="R126" s="675">
        <f>IFERROR(__xludf.DUMMYFUNCTION("""COMPUTED_VALUE"""),0.0)</f>
        <v>0</v>
      </c>
      <c r="S126" s="675">
        <f>IFERROR(__xludf.DUMMYFUNCTION("""COMPUTED_VALUE"""),-2.5)</f>
        <v>-2.5</v>
      </c>
      <c r="T126" s="674">
        <f>IFERROR(__xludf.DUMMYFUNCTION("""COMPUTED_VALUE"""),225.0)</f>
        <v>225</v>
      </c>
      <c r="U126" s="675">
        <f>IFERROR(__xludf.DUMMYFUNCTION("""COMPUTED_VALUE"""),4.5)</f>
        <v>4.5</v>
      </c>
      <c r="V126" s="675">
        <f>IFERROR(__xludf.DUMMYFUNCTION("""COMPUTED_VALUE"""),0.0)</f>
        <v>0</v>
      </c>
      <c r="W126" s="675">
        <f>IFERROR(__xludf.DUMMYFUNCTION("""COMPUTED_VALUE"""),0.0)</f>
        <v>0</v>
      </c>
      <c r="X126" s="675">
        <f>IFERROR(__xludf.DUMMYFUNCTION("""COMPUTED_VALUE"""),0.0)</f>
        <v>0</v>
      </c>
      <c r="Y126" s="674">
        <f>IFERROR(__xludf.DUMMYFUNCTION("""COMPUTED_VALUE"""),100.0)</f>
        <v>100</v>
      </c>
      <c r="Z126" s="675">
        <f>IFERROR(__xludf.DUMMYFUNCTION("""COMPUTED_VALUE"""),2.0)</f>
        <v>2</v>
      </c>
      <c r="AA126" s="675">
        <f>IFERROR(__xludf.DUMMYFUNCTION("""COMPUTED_VALUE"""),0.0)</f>
        <v>0</v>
      </c>
      <c r="AB126" s="673">
        <f>IFERROR(__xludf.DUMMYFUNCTION("""COMPUTED_VALUE"""),0.0)</f>
        <v>0</v>
      </c>
      <c r="AC126" s="675">
        <f>IFERROR(__xludf.DUMMYFUNCTION("""COMPUTED_VALUE"""),0.0)</f>
        <v>0</v>
      </c>
      <c r="AD126" s="674">
        <f>IFERROR(__xludf.DUMMYFUNCTION("""COMPUTED_VALUE"""),250.0)</f>
        <v>250</v>
      </c>
      <c r="AE126" s="675">
        <f>IFERROR(__xludf.DUMMYFUNCTION("""COMPUTED_VALUE"""),5.0)</f>
        <v>5</v>
      </c>
      <c r="AF126" s="675">
        <f>IFERROR(__xludf.DUMMYFUNCTION("""COMPUTED_VALUE"""),0.0)</f>
        <v>0</v>
      </c>
      <c r="AG126" s="673">
        <f>IFERROR(__xludf.DUMMYFUNCTION("""COMPUTED_VALUE"""),0.0)</f>
        <v>0</v>
      </c>
      <c r="AH126" s="675">
        <f>IFERROR(__xludf.DUMMYFUNCTION("""COMPUTED_VALUE"""),0.0)</f>
        <v>0</v>
      </c>
      <c r="AI126" s="139" t="str">
        <f>IFERROR(__xludf.DUMMYFUNCTION("""COMPUTED_VALUE"""),"-")</f>
        <v>-</v>
      </c>
      <c r="AJ126" s="675" t="str">
        <f>IFERROR(__xludf.DUMMYFUNCTION("""COMPUTED_VALUE"""),"-")</f>
        <v>-</v>
      </c>
      <c r="AK126" s="139">
        <f>IFERROR(__xludf.DUMMYFUNCTION("""COMPUTED_VALUE"""),0.0)</f>
        <v>0</v>
      </c>
      <c r="AL126" s="674">
        <f>IFERROR(__xludf.DUMMYFUNCTION("""COMPUTED_VALUE"""),0.0)</f>
        <v>0</v>
      </c>
      <c r="AM126" s="688">
        <f>IFERROR(__xludf.DUMMYFUNCTION("""COMPUTED_VALUE"""),0.0)</f>
        <v>0</v>
      </c>
      <c r="AN126" s="675">
        <f>IFERROR(__xludf.DUMMYFUNCTION("""COMPUTED_VALUE"""),0.0)</f>
        <v>0</v>
      </c>
      <c r="AO126" s="675">
        <f>IFERROR(__xludf.DUMMYFUNCTION("""COMPUTED_VALUE"""),0.0)</f>
        <v>0</v>
      </c>
      <c r="AP126" s="674">
        <f>IFERROR(__xludf.DUMMYFUNCTION("""COMPUTED_VALUE"""),0.0)</f>
        <v>0</v>
      </c>
      <c r="AQ126" s="673">
        <f>IFERROR(__xludf.DUMMYFUNCTION("""COMPUTED_VALUE"""),-0.2)</f>
        <v>-0.2</v>
      </c>
      <c r="AR126" s="673">
        <f>IFERROR(__xludf.DUMMYFUNCTION("""COMPUTED_VALUE"""),0.0)</f>
        <v>0</v>
      </c>
      <c r="AS126" s="673">
        <f>IFERROR(__xludf.DUMMYFUNCTION("""COMPUTED_VALUE"""),0.0)</f>
        <v>0</v>
      </c>
      <c r="AT126" s="673">
        <f>IFERROR(__xludf.DUMMYFUNCTION("""COMPUTED_VALUE"""),0.0)</f>
        <v>0</v>
      </c>
      <c r="AU126" s="675">
        <f>IFERROR(__xludf.DUMMYFUNCTION("""COMPUTED_VALUE"""),0.0)</f>
        <v>0</v>
      </c>
      <c r="AV126" s="675">
        <f>IFERROR(__xludf.DUMMYFUNCTION("""COMPUTED_VALUE"""),0.0)</f>
        <v>0</v>
      </c>
      <c r="AW126" s="139"/>
      <c r="AX126" s="674" t="str">
        <f>IFERROR(__xludf.DUMMYFUNCTION("""COMPUTED_VALUE"""),"※通常攻撃範囲を入力！(CD列)")</f>
        <v>※通常攻撃範囲を入力！(CD列)</v>
      </c>
      <c r="AY126" s="688" t="str">
        <f>IFERROR(__xludf.DUMMYFUNCTION("""COMPUTED_VALUE"""),"#VALUE!")</f>
        <v>#VALUE!</v>
      </c>
      <c r="AZ126" s="674" t="str">
        <f>IFERROR(__xludf.DUMMYFUNCTION("""COMPUTED_VALUE"""),"#VALUE!")</f>
        <v>#VALUE!</v>
      </c>
      <c r="BA126" s="688" t="str">
        <f>IFERROR(__xludf.DUMMYFUNCTION("""COMPUTED_VALUE"""),"#VALUE!")</f>
        <v>#VALUE!</v>
      </c>
      <c r="BB126" s="688" t="str">
        <f>IFERROR(__xludf.DUMMYFUNCTION("""COMPUTED_VALUE"""),"-")</f>
        <v>-</v>
      </c>
      <c r="BC126" s="688" t="str">
        <f>IFERROR(__xludf.DUMMYFUNCTION("""COMPUTED_VALUE"""),"#VALUE!")</f>
        <v>#VALUE!</v>
      </c>
      <c r="BD126" s="688" t="str">
        <f>IFERROR(__xludf.DUMMYFUNCTION("""COMPUTED_VALUE"""),"#VALUE!")</f>
        <v>#VALUE!</v>
      </c>
      <c r="BE126" s="674" t="str">
        <f>IFERROR(__xludf.DUMMYFUNCTION("""COMPUTED_VALUE"""),"#VALUE!")</f>
        <v>#VALUE!</v>
      </c>
      <c r="BF126" s="674">
        <f>IFERROR(__xludf.DUMMYFUNCTION("""COMPUTED_VALUE"""),0.0)</f>
        <v>0</v>
      </c>
      <c r="BG126" s="673">
        <f>IFERROR(__xludf.DUMMYFUNCTION("""COMPUTED_VALUE"""),0.0)</f>
        <v>0</v>
      </c>
      <c r="BH126" s="673">
        <f>IFERROR(__xludf.DUMMYFUNCTION("""COMPUTED_VALUE"""),0.3)</f>
        <v>0.3</v>
      </c>
      <c r="BI126" s="673">
        <f>IFERROR(__xludf.DUMMYFUNCTION("""COMPUTED_VALUE"""),0.1)</f>
        <v>0.1</v>
      </c>
      <c r="BJ126" s="673">
        <f>IFERROR(__xludf.DUMMYFUNCTION("""COMPUTED_VALUE"""),0.0)</f>
        <v>0</v>
      </c>
      <c r="BK126" s="673">
        <f>IFERROR(__xludf.DUMMYFUNCTION("""COMPUTED_VALUE"""),0.0)</f>
        <v>0</v>
      </c>
      <c r="BL126" s="673">
        <f>IFERROR(__xludf.DUMMYFUNCTION("""COMPUTED_VALUE"""),0.0)</f>
        <v>0</v>
      </c>
      <c r="BM126" s="674">
        <f>IFERROR(__xludf.DUMMYFUNCTION("""COMPUTED_VALUE"""),0.0)</f>
        <v>0</v>
      </c>
      <c r="BN126" s="674">
        <f>IFERROR(__xludf.DUMMYFUNCTION("""COMPUTED_VALUE"""),0.0)</f>
        <v>0</v>
      </c>
      <c r="BO126" s="675">
        <f>IFERROR(__xludf.DUMMYFUNCTION("""COMPUTED_VALUE"""),0.0)</f>
        <v>0</v>
      </c>
      <c r="BP126" s="675">
        <f>IFERROR(__xludf.DUMMYFUNCTION("""COMPUTED_VALUE"""),0.0)</f>
        <v>0</v>
      </c>
      <c r="BQ126" s="139"/>
      <c r="BR126" s="139">
        <f>IFERROR(__xludf.DUMMYFUNCTION("""COMPUTED_VALUE"""),2.0)</f>
        <v>2</v>
      </c>
      <c r="BS126" s="139" t="str">
        <f>IFERROR(__xludf.DUMMYFUNCTION("""COMPUTED_VALUE"""),"※移動を入力！(BV列)")</f>
        <v>※移動を入力！(BV列)</v>
      </c>
      <c r="BT126" s="139" t="str">
        <f>IFERROR(__xludf.DUMMYFUNCTION("""COMPUTED_VALUE"""),"※攻撃手段を入力(BQ列)")</f>
        <v>※攻撃手段を入力(BQ列)</v>
      </c>
      <c r="BU126" s="139">
        <f>IFERROR(__xludf.DUMMYFUNCTION("""COMPUTED_VALUE"""),0.0)</f>
        <v>0</v>
      </c>
      <c r="BV126" s="139"/>
      <c r="BW126" s="139"/>
      <c r="BX126" s="139" t="str">
        <f>IFERROR(__xludf.DUMMYFUNCTION("""COMPUTED_VALUE"""),"※特性を選択!!(BW列)")</f>
        <v>※特性を選択!!(BW列)</v>
      </c>
      <c r="BY126" s="139">
        <f>IFERROR(__xludf.DUMMYFUNCTION("""COMPUTED_VALUE"""),0.0)</f>
        <v>0</v>
      </c>
      <c r="BZ126" s="139"/>
      <c r="CA126" s="139" t="str">
        <f>IFERROR(__xludf.DUMMYFUNCTION("""COMPUTED_VALUE"""),"※特性を選択!!(BW列)")</f>
        <v>※特性を選択!!(BW列)</v>
      </c>
      <c r="CB126" s="139">
        <f>IFERROR(__xludf.DUMMYFUNCTION("""COMPUTED_VALUE"""),4.0)</f>
        <v>4</v>
      </c>
      <c r="CC126" s="139" t="str">
        <f>IFERROR(__xludf.DUMMYFUNCTION("""COMPUTED_VALUE"""),"※ID管理未記入")</f>
        <v>※ID管理未記入</v>
      </c>
      <c r="CD126" s="139"/>
      <c r="CE126" s="139" t="str">
        <f>IFERROR(__xludf.DUMMYFUNCTION("""COMPUTED_VALUE"""),"該当なし")</f>
        <v>該当なし</v>
      </c>
      <c r="CF126" s="139" t="str">
        <f>IFERROR(__xludf.DUMMYFUNCTION("""COMPUTED_VALUE"""),"#VALUE!")</f>
        <v>#VALUE!</v>
      </c>
      <c r="CG126" s="139"/>
      <c r="CH126" s="139"/>
      <c r="CI126" s="139" t="str">
        <f>IFERROR(__xludf.DUMMYFUNCTION("""COMPUTED_VALUE"""),"該当なし")</f>
        <v>該当なし</v>
      </c>
      <c r="CJ126" s="139" t="str">
        <f>IFERROR(__xludf.DUMMYFUNCTION("""COMPUTED_VALUE"""),"#VALUE!")</f>
        <v>#VALUE!</v>
      </c>
      <c r="CK126" s="139"/>
      <c r="CL126" s="139"/>
      <c r="CM126" s="139"/>
      <c r="CN126" s="675">
        <f>IFERROR(__xludf.DUMMYFUNCTION("""COMPUTED_VALUE"""),5.0)</f>
        <v>5</v>
      </c>
      <c r="CO126" s="139" t="str">
        <f>IFERROR(__xludf.DUMMYFUNCTION("""COMPUTED_VALUE"""),"-")</f>
        <v>-</v>
      </c>
      <c r="CP126" s="139" t="str">
        <f>IFERROR(__xludf.DUMMYFUNCTION("""COMPUTED_VALUE"""),"-")</f>
        <v>-</v>
      </c>
      <c r="CQ126" s="139" t="str">
        <f>IFERROR(__xludf.DUMMYFUNCTION("""COMPUTED_VALUE"""),"-")</f>
        <v>-</v>
      </c>
      <c r="CR126" s="139"/>
      <c r="CS126" s="139"/>
      <c r="CT126" s="139"/>
      <c r="CU126" s="139"/>
      <c r="CV126" s="139"/>
      <c r="CW126" s="139"/>
      <c r="CX126" s="674" t="str">
        <f>IFERROR(__xludf.DUMMYFUNCTION("""COMPUTED_VALUE"""),"")</f>
        <v/>
      </c>
      <c r="CY126" s="675" t="str">
        <f>IFERROR(__xludf.DUMMYFUNCTION("""COMPUTED_VALUE"""),"")</f>
        <v/>
      </c>
      <c r="CZ126" s="688" t="str">
        <f>IFERROR(__xludf.DUMMYFUNCTION("""COMPUTED_VALUE"""),"-")</f>
        <v>-</v>
      </c>
      <c r="DA126" s="688">
        <f>IFERROR(__xludf.DUMMYFUNCTION("""COMPUTED_VALUE"""),0.0)</f>
        <v>0</v>
      </c>
      <c r="DB126" s="688">
        <f>IFERROR(__xludf.DUMMYFUNCTION("""COMPUTED_VALUE"""),0.0)</f>
        <v>0</v>
      </c>
      <c r="DC126" s="673" t="str">
        <f>IFERROR(__xludf.DUMMYFUNCTION("""COMPUTED_VALUE"""),"-")</f>
        <v>-</v>
      </c>
      <c r="DD126" s="673" t="str">
        <f>IFERROR(__xludf.DUMMYFUNCTION("""COMPUTED_VALUE"""),"-")</f>
        <v>-</v>
      </c>
      <c r="DE126" s="139" t="str">
        <f>IFERROR(__xludf.DUMMYFUNCTION("""COMPUTED_VALUE"""),"-")</f>
        <v>-</v>
      </c>
      <c r="DF126" s="139" t="str">
        <f>IFERROR(__xludf.DUMMYFUNCTION("""COMPUTED_VALUE"""),"-")</f>
        <v>-</v>
      </c>
      <c r="DG126" s="139" t="str">
        <f>IFERROR(__xludf.DUMMYFUNCTION("""COMPUTED_VALUE"""),"-")</f>
        <v>-</v>
      </c>
      <c r="DH126" s="139" t="str">
        <f>IFERROR(__xludf.DUMMYFUNCTION("""COMPUTED_VALUE"""),"-")</f>
        <v>-</v>
      </c>
      <c r="DI126" s="139" t="str">
        <f>IFERROR(__xludf.DUMMYFUNCTION("""COMPUTED_VALUE"""),"-")</f>
        <v>-</v>
      </c>
      <c r="DJ126" s="139" t="str">
        <f>IFERROR(__xludf.DUMMYFUNCTION("""COMPUTED_VALUE"""),"-")</f>
        <v>-</v>
      </c>
    </row>
    <row r="127">
      <c r="A127" s="139" t="str">
        <f>IFERROR(__xludf.DUMMYFUNCTION("""COMPUTED_VALUE"""),"マリッジトキシン")</f>
        <v>マリッジトキシン</v>
      </c>
      <c r="B127" s="139" t="str">
        <f>IFERROR(__xludf.DUMMYFUNCTION("""COMPUTED_VALUE"""),"不器用な毒使い 下呂 ヒカル")</f>
        <v>不器用な毒使い 下呂 ヒカル</v>
      </c>
      <c r="C127" s="139" t="str">
        <f>IFERROR(__xludf.DUMMYFUNCTION("""COMPUTED_VALUE"""),"chara_mar_00001")</f>
        <v>chara_mar_00001</v>
      </c>
      <c r="D127" s="139" t="str">
        <f>IFERROR(__xludf.DUMMYFUNCTION("""COMPUTED_VALUE"""),"PremiumUR")</f>
        <v>PremiumUR</v>
      </c>
      <c r="E127" s="139" t="str">
        <f>IFERROR(__xludf.DUMMYFUNCTION("""COMPUTED_VALUE"""),"緑")</f>
        <v>緑</v>
      </c>
      <c r="F127" s="139" t="str">
        <f>IFERROR(__xludf.DUMMYFUNCTION("""COMPUTED_VALUE"""),"テクニカル")</f>
        <v>テクニカル</v>
      </c>
      <c r="G127" s="139" t="str">
        <f>IFERROR(__xludf.DUMMYFUNCTION("""COMPUTED_VALUE"""),"※ID管理未記入")</f>
        <v>※ID管理未記入</v>
      </c>
      <c r="H127" s="139" t="str">
        <f>IFERROR(__xludf.DUMMYFUNCTION("""COMPUTED_VALUE"""),"dageki_1")</f>
        <v>dageki_1</v>
      </c>
      <c r="I127" s="139" t="str">
        <f>IFERROR(__xludf.DUMMYFUNCTION("""COMPUTED_VALUE"""),"shageki_1")</f>
        <v>shageki_1</v>
      </c>
      <c r="J127" s="139" t="str">
        <f>IFERROR(__xludf.DUMMYFUNCTION("""COMPUTED_VALUE"""),"202605010_マリッジトキシン")</f>
        <v>202605010_マリッジトキシン</v>
      </c>
      <c r="K127" s="139" t="str">
        <f>IFERROR(__xludf.DUMMYFUNCTION("""COMPUTED_VALUE"""),"あやかしトライアングル いいジャン祭")</f>
        <v>あやかしトライアングル いいジャン祭</v>
      </c>
      <c r="L127" s="139" t="str">
        <f>IFERROR(__xludf.DUMMYFUNCTION("""COMPUTED_VALUE"""),"※")</f>
        <v>※</v>
      </c>
      <c r="M127" s="674">
        <f>IFERROR(__xludf.DUMMYFUNCTION("""COMPUTED_VALUE"""),0.0)</f>
        <v>0</v>
      </c>
      <c r="N127" s="139">
        <f>IFERROR(__xludf.DUMMYFUNCTION("""COMPUTED_VALUE"""),0.0)</f>
        <v>0</v>
      </c>
      <c r="O127" s="139"/>
      <c r="P127" s="139">
        <f>IFERROR(__xludf.DUMMYFUNCTION("""COMPUTED_VALUE"""),0.0)</f>
        <v>0</v>
      </c>
      <c r="Q127" s="675">
        <f>IFERROR(__xludf.DUMMYFUNCTION("""COMPUTED_VALUE"""),0.0)</f>
        <v>0</v>
      </c>
      <c r="R127" s="675">
        <f>IFERROR(__xludf.DUMMYFUNCTION("""COMPUTED_VALUE"""),0.0)</f>
        <v>0</v>
      </c>
      <c r="S127" s="675">
        <f>IFERROR(__xludf.DUMMYFUNCTION("""COMPUTED_VALUE"""),-2.5)</f>
        <v>-2.5</v>
      </c>
      <c r="T127" s="674">
        <f>IFERROR(__xludf.DUMMYFUNCTION("""COMPUTED_VALUE"""),225.0)</f>
        <v>225</v>
      </c>
      <c r="U127" s="675">
        <f>IFERROR(__xludf.DUMMYFUNCTION("""COMPUTED_VALUE"""),4.5)</f>
        <v>4.5</v>
      </c>
      <c r="V127" s="675">
        <f>IFERROR(__xludf.DUMMYFUNCTION("""COMPUTED_VALUE"""),0.0)</f>
        <v>0</v>
      </c>
      <c r="W127" s="675">
        <f>IFERROR(__xludf.DUMMYFUNCTION("""COMPUTED_VALUE"""),0.0)</f>
        <v>0</v>
      </c>
      <c r="X127" s="675">
        <f>IFERROR(__xludf.DUMMYFUNCTION("""COMPUTED_VALUE"""),0.0)</f>
        <v>0</v>
      </c>
      <c r="Y127" s="674">
        <f>IFERROR(__xludf.DUMMYFUNCTION("""COMPUTED_VALUE"""),100.0)</f>
        <v>100</v>
      </c>
      <c r="Z127" s="675">
        <f>IFERROR(__xludf.DUMMYFUNCTION("""COMPUTED_VALUE"""),2.0)</f>
        <v>2</v>
      </c>
      <c r="AA127" s="675">
        <f>IFERROR(__xludf.DUMMYFUNCTION("""COMPUTED_VALUE"""),0.0)</f>
        <v>0</v>
      </c>
      <c r="AB127" s="673">
        <f>IFERROR(__xludf.DUMMYFUNCTION("""COMPUTED_VALUE"""),0.0)</f>
        <v>0</v>
      </c>
      <c r="AC127" s="675">
        <f>IFERROR(__xludf.DUMMYFUNCTION("""COMPUTED_VALUE"""),0.0)</f>
        <v>0</v>
      </c>
      <c r="AD127" s="674">
        <f>IFERROR(__xludf.DUMMYFUNCTION("""COMPUTED_VALUE"""),250.0)</f>
        <v>250</v>
      </c>
      <c r="AE127" s="675">
        <f>IFERROR(__xludf.DUMMYFUNCTION("""COMPUTED_VALUE"""),5.0)</f>
        <v>5</v>
      </c>
      <c r="AF127" s="675">
        <f>IFERROR(__xludf.DUMMYFUNCTION("""COMPUTED_VALUE"""),0.0)</f>
        <v>0</v>
      </c>
      <c r="AG127" s="673">
        <f>IFERROR(__xludf.DUMMYFUNCTION("""COMPUTED_VALUE"""),0.0)</f>
        <v>0</v>
      </c>
      <c r="AH127" s="675">
        <f>IFERROR(__xludf.DUMMYFUNCTION("""COMPUTED_VALUE"""),0.0)</f>
        <v>0</v>
      </c>
      <c r="AI127" s="139" t="str">
        <f>IFERROR(__xludf.DUMMYFUNCTION("""COMPUTED_VALUE"""),"-")</f>
        <v>-</v>
      </c>
      <c r="AJ127" s="675" t="str">
        <f>IFERROR(__xludf.DUMMYFUNCTION("""COMPUTED_VALUE"""),"-")</f>
        <v>-</v>
      </c>
      <c r="AK127" s="139">
        <f>IFERROR(__xludf.DUMMYFUNCTION("""COMPUTED_VALUE"""),0.0)</f>
        <v>0</v>
      </c>
      <c r="AL127" s="674">
        <f>IFERROR(__xludf.DUMMYFUNCTION("""COMPUTED_VALUE"""),0.0)</f>
        <v>0</v>
      </c>
      <c r="AM127" s="688">
        <f>IFERROR(__xludf.DUMMYFUNCTION("""COMPUTED_VALUE"""),0.0)</f>
        <v>0</v>
      </c>
      <c r="AN127" s="675">
        <f>IFERROR(__xludf.DUMMYFUNCTION("""COMPUTED_VALUE"""),0.0)</f>
        <v>0</v>
      </c>
      <c r="AO127" s="675">
        <f>IFERROR(__xludf.DUMMYFUNCTION("""COMPUTED_VALUE"""),0.0)</f>
        <v>0</v>
      </c>
      <c r="AP127" s="674">
        <f>IFERROR(__xludf.DUMMYFUNCTION("""COMPUTED_VALUE"""),0.0)</f>
        <v>0</v>
      </c>
      <c r="AQ127" s="673">
        <f>IFERROR(__xludf.DUMMYFUNCTION("""COMPUTED_VALUE"""),-0.3)</f>
        <v>-0.3</v>
      </c>
      <c r="AR127" s="673">
        <f>IFERROR(__xludf.DUMMYFUNCTION("""COMPUTED_VALUE"""),0.0)</f>
        <v>0</v>
      </c>
      <c r="AS127" s="673">
        <f>IFERROR(__xludf.DUMMYFUNCTION("""COMPUTED_VALUE"""),0.0)</f>
        <v>0</v>
      </c>
      <c r="AT127" s="673">
        <f>IFERROR(__xludf.DUMMYFUNCTION("""COMPUTED_VALUE"""),0.0)</f>
        <v>0</v>
      </c>
      <c r="AU127" s="675">
        <f>IFERROR(__xludf.DUMMYFUNCTION("""COMPUTED_VALUE"""),0.0)</f>
        <v>0</v>
      </c>
      <c r="AV127" s="675">
        <f>IFERROR(__xludf.DUMMYFUNCTION("""COMPUTED_VALUE"""),0.0)</f>
        <v>0</v>
      </c>
      <c r="AW127" s="139"/>
      <c r="AX127" s="674" t="str">
        <f>IFERROR(__xludf.DUMMYFUNCTION("""COMPUTED_VALUE"""),"※通常攻撃範囲を入力！(CD列)")</f>
        <v>※通常攻撃範囲を入力！(CD列)</v>
      </c>
      <c r="AY127" s="688" t="str">
        <f>IFERROR(__xludf.DUMMYFUNCTION("""COMPUTED_VALUE"""),"#VALUE!")</f>
        <v>#VALUE!</v>
      </c>
      <c r="AZ127" s="674" t="str">
        <f>IFERROR(__xludf.DUMMYFUNCTION("""COMPUTED_VALUE"""),"#VALUE!")</f>
        <v>#VALUE!</v>
      </c>
      <c r="BA127" s="688" t="str">
        <f>IFERROR(__xludf.DUMMYFUNCTION("""COMPUTED_VALUE"""),"#VALUE!")</f>
        <v>#VALUE!</v>
      </c>
      <c r="BB127" s="688" t="str">
        <f>IFERROR(__xludf.DUMMYFUNCTION("""COMPUTED_VALUE"""),"-")</f>
        <v>-</v>
      </c>
      <c r="BC127" s="688" t="str">
        <f>IFERROR(__xludf.DUMMYFUNCTION("""COMPUTED_VALUE"""),"#VALUE!")</f>
        <v>#VALUE!</v>
      </c>
      <c r="BD127" s="688" t="str">
        <f>IFERROR(__xludf.DUMMYFUNCTION("""COMPUTED_VALUE"""),"#VALUE!")</f>
        <v>#VALUE!</v>
      </c>
      <c r="BE127" s="674" t="str">
        <f>IFERROR(__xludf.DUMMYFUNCTION("""COMPUTED_VALUE"""),"#VALUE!")</f>
        <v>#VALUE!</v>
      </c>
      <c r="BF127" s="674">
        <f>IFERROR(__xludf.DUMMYFUNCTION("""COMPUTED_VALUE"""),0.0)</f>
        <v>0</v>
      </c>
      <c r="BG127" s="673">
        <f>IFERROR(__xludf.DUMMYFUNCTION("""COMPUTED_VALUE"""),0.0)</f>
        <v>0</v>
      </c>
      <c r="BH127" s="673">
        <f>IFERROR(__xludf.DUMMYFUNCTION("""COMPUTED_VALUE"""),0.1)</f>
        <v>0.1</v>
      </c>
      <c r="BI127" s="673">
        <f>IFERROR(__xludf.DUMMYFUNCTION("""COMPUTED_VALUE"""),0.0)</f>
        <v>0</v>
      </c>
      <c r="BJ127" s="673">
        <f>IFERROR(__xludf.DUMMYFUNCTION("""COMPUTED_VALUE"""),0.0)</f>
        <v>0</v>
      </c>
      <c r="BK127" s="673">
        <f>IFERROR(__xludf.DUMMYFUNCTION("""COMPUTED_VALUE"""),0.0)</f>
        <v>0</v>
      </c>
      <c r="BL127" s="673">
        <f>IFERROR(__xludf.DUMMYFUNCTION("""COMPUTED_VALUE"""),0.0)</f>
        <v>0</v>
      </c>
      <c r="BM127" s="674">
        <f>IFERROR(__xludf.DUMMYFUNCTION("""COMPUTED_VALUE"""),0.0)</f>
        <v>0</v>
      </c>
      <c r="BN127" s="674">
        <f>IFERROR(__xludf.DUMMYFUNCTION("""COMPUTED_VALUE"""),0.0)</f>
        <v>0</v>
      </c>
      <c r="BO127" s="675">
        <f>IFERROR(__xludf.DUMMYFUNCTION("""COMPUTED_VALUE"""),0.0)</f>
        <v>0</v>
      </c>
      <c r="BP127" s="675">
        <f>IFERROR(__xludf.DUMMYFUNCTION("""COMPUTED_VALUE"""),0.0)</f>
        <v>0</v>
      </c>
      <c r="BQ127" s="139"/>
      <c r="BR127" s="139">
        <f>IFERROR(__xludf.DUMMYFUNCTION("""COMPUTED_VALUE"""),3.0)</f>
        <v>3</v>
      </c>
      <c r="BS127" s="139" t="str">
        <f>IFERROR(__xludf.DUMMYFUNCTION("""COMPUTED_VALUE"""),"※移動を入力！(BV列)")</f>
        <v>※移動を入力！(BV列)</v>
      </c>
      <c r="BT127" s="139" t="str">
        <f>IFERROR(__xludf.DUMMYFUNCTION("""COMPUTED_VALUE"""),"※攻撃手段を入力(BQ列)")</f>
        <v>※攻撃手段を入力(BQ列)</v>
      </c>
      <c r="BU127" s="139">
        <f>IFERROR(__xludf.DUMMYFUNCTION("""COMPUTED_VALUE"""),0.0)</f>
        <v>0</v>
      </c>
      <c r="BV127" s="139"/>
      <c r="BW127" s="139"/>
      <c r="BX127" s="139" t="str">
        <f>IFERROR(__xludf.DUMMYFUNCTION("""COMPUTED_VALUE"""),"※特性を選択!!(BW列)")</f>
        <v>※特性を選択!!(BW列)</v>
      </c>
      <c r="BY127" s="139">
        <f>IFERROR(__xludf.DUMMYFUNCTION("""COMPUTED_VALUE"""),0.0)</f>
        <v>0</v>
      </c>
      <c r="BZ127" s="139"/>
      <c r="CA127" s="139" t="str">
        <f>IFERROR(__xludf.DUMMYFUNCTION("""COMPUTED_VALUE"""),"※特性を選択!!(BW列)")</f>
        <v>※特性を選択!!(BW列)</v>
      </c>
      <c r="CB127" s="139">
        <f>IFERROR(__xludf.DUMMYFUNCTION("""COMPUTED_VALUE"""),4.0)</f>
        <v>4</v>
      </c>
      <c r="CC127" s="139" t="str">
        <f>IFERROR(__xludf.DUMMYFUNCTION("""COMPUTED_VALUE"""),"※ID管理未記入")</f>
        <v>※ID管理未記入</v>
      </c>
      <c r="CD127" s="139"/>
      <c r="CE127" s="139" t="str">
        <f>IFERROR(__xludf.DUMMYFUNCTION("""COMPUTED_VALUE"""),"該当なし")</f>
        <v>該当なし</v>
      </c>
      <c r="CF127" s="139" t="str">
        <f>IFERROR(__xludf.DUMMYFUNCTION("""COMPUTED_VALUE"""),"#VALUE!")</f>
        <v>#VALUE!</v>
      </c>
      <c r="CG127" s="139"/>
      <c r="CH127" s="139"/>
      <c r="CI127" s="139" t="str">
        <f>IFERROR(__xludf.DUMMYFUNCTION("""COMPUTED_VALUE"""),"該当なし")</f>
        <v>該当なし</v>
      </c>
      <c r="CJ127" s="139" t="str">
        <f>IFERROR(__xludf.DUMMYFUNCTION("""COMPUTED_VALUE"""),"#VALUE!")</f>
        <v>#VALUE!</v>
      </c>
      <c r="CK127" s="139"/>
      <c r="CL127" s="139"/>
      <c r="CM127" s="139"/>
      <c r="CN127" s="675">
        <f>IFERROR(__xludf.DUMMYFUNCTION("""COMPUTED_VALUE"""),5.0)</f>
        <v>5</v>
      </c>
      <c r="CO127" s="139" t="str">
        <f>IFERROR(__xludf.DUMMYFUNCTION("""COMPUTED_VALUE"""),"-")</f>
        <v>-</v>
      </c>
      <c r="CP127" s="139" t="str">
        <f>IFERROR(__xludf.DUMMYFUNCTION("""COMPUTED_VALUE"""),"-")</f>
        <v>-</v>
      </c>
      <c r="CQ127" s="139" t="str">
        <f>IFERROR(__xludf.DUMMYFUNCTION("""COMPUTED_VALUE"""),"-")</f>
        <v>-</v>
      </c>
      <c r="CR127" s="139"/>
      <c r="CS127" s="139"/>
      <c r="CT127" s="139"/>
      <c r="CU127" s="139"/>
      <c r="CV127" s="139"/>
      <c r="CW127" s="139"/>
      <c r="CX127" s="674" t="str">
        <f>IFERROR(__xludf.DUMMYFUNCTION("""COMPUTED_VALUE"""),"")</f>
        <v/>
      </c>
      <c r="CY127" s="675" t="str">
        <f>IFERROR(__xludf.DUMMYFUNCTION("""COMPUTED_VALUE"""),"")</f>
        <v/>
      </c>
      <c r="CZ127" s="688" t="str">
        <f>IFERROR(__xludf.DUMMYFUNCTION("""COMPUTED_VALUE"""),"-")</f>
        <v>-</v>
      </c>
      <c r="DA127" s="688">
        <f>IFERROR(__xludf.DUMMYFUNCTION("""COMPUTED_VALUE"""),0.0)</f>
        <v>0</v>
      </c>
      <c r="DB127" s="688">
        <f>IFERROR(__xludf.DUMMYFUNCTION("""COMPUTED_VALUE"""),0.0)</f>
        <v>0</v>
      </c>
      <c r="DC127" s="673" t="str">
        <f>IFERROR(__xludf.DUMMYFUNCTION("""COMPUTED_VALUE"""),"-")</f>
        <v>-</v>
      </c>
      <c r="DD127" s="673" t="str">
        <f>IFERROR(__xludf.DUMMYFUNCTION("""COMPUTED_VALUE"""),"-")</f>
        <v>-</v>
      </c>
      <c r="DE127" s="139" t="str">
        <f>IFERROR(__xludf.DUMMYFUNCTION("""COMPUTED_VALUE"""),"-")</f>
        <v>-</v>
      </c>
      <c r="DF127" s="139" t="str">
        <f>IFERROR(__xludf.DUMMYFUNCTION("""COMPUTED_VALUE"""),"-")</f>
        <v>-</v>
      </c>
      <c r="DG127" s="139" t="str">
        <f>IFERROR(__xludf.DUMMYFUNCTION("""COMPUTED_VALUE"""),"-")</f>
        <v>-</v>
      </c>
      <c r="DH127" s="139" t="str">
        <f>IFERROR(__xludf.DUMMYFUNCTION("""COMPUTED_VALUE"""),"-")</f>
        <v>-</v>
      </c>
      <c r="DI127" s="139" t="str">
        <f>IFERROR(__xludf.DUMMYFUNCTION("""COMPUTED_VALUE"""),"-")</f>
        <v>-</v>
      </c>
      <c r="DJ127" s="139" t="str">
        <f>IFERROR(__xludf.DUMMYFUNCTION("""COMPUTED_VALUE"""),"-")</f>
        <v>-</v>
      </c>
    </row>
    <row r="128">
      <c r="A128" s="139" t="str">
        <f>IFERROR(__xludf.DUMMYFUNCTION("""COMPUTED_VALUE"""),"マリッジトキシン")</f>
        <v>マリッジトキシン</v>
      </c>
      <c r="B128" s="139" t="str">
        <f>IFERROR(__xludf.DUMMYFUNCTION("""COMPUTED_VALUE"""),"城崎 メイ")</f>
        <v>城崎 メイ</v>
      </c>
      <c r="C128" s="139" t="str">
        <f>IFERROR(__xludf.DUMMYFUNCTION("""COMPUTED_VALUE"""),"chara_mar_00101")</f>
        <v>chara_mar_00101</v>
      </c>
      <c r="D128" s="139" t="str">
        <f>IFERROR(__xludf.DUMMYFUNCTION("""COMPUTED_VALUE"""),"PremiumSSR")</f>
        <v>PremiumSSR</v>
      </c>
      <c r="E128" s="139" t="str">
        <f>IFERROR(__xludf.DUMMYFUNCTION("""COMPUTED_VALUE"""),"黄")</f>
        <v>黄</v>
      </c>
      <c r="F128" s="139" t="str">
        <f>IFERROR(__xludf.DUMMYFUNCTION("""COMPUTED_VALUE"""),"サポート")</f>
        <v>サポート</v>
      </c>
      <c r="G128" s="139" t="str">
        <f>IFERROR(__xludf.DUMMYFUNCTION("""COMPUTED_VALUE"""),"※ID管理未記入")</f>
        <v>※ID管理未記入</v>
      </c>
      <c r="H128" s="139" t="str">
        <f>IFERROR(__xludf.DUMMYFUNCTION("""COMPUTED_VALUE"""),"dageki_1")</f>
        <v>dageki_1</v>
      </c>
      <c r="I128" s="139" t="str">
        <f>IFERROR(__xludf.DUMMYFUNCTION("""COMPUTED_VALUE"""),"-")</f>
        <v>-</v>
      </c>
      <c r="J128" s="139" t="str">
        <f>IFERROR(__xludf.DUMMYFUNCTION("""COMPUTED_VALUE"""),"202605010_マリッジトキシン")</f>
        <v>202605010_マリッジトキシン</v>
      </c>
      <c r="K128" s="139" t="str">
        <f>IFERROR(__xludf.DUMMYFUNCTION("""COMPUTED_VALUE"""),"あやかしトライアングル いいジャン祭")</f>
        <v>あやかしトライアングル いいジャン祭</v>
      </c>
      <c r="L128" s="139" t="str">
        <f>IFERROR(__xludf.DUMMYFUNCTION("""COMPUTED_VALUE"""),"※")</f>
        <v>※</v>
      </c>
      <c r="M128" s="674">
        <f>IFERROR(__xludf.DUMMYFUNCTION("""COMPUTED_VALUE"""),0.0)</f>
        <v>0</v>
      </c>
      <c r="N128" s="139">
        <f>IFERROR(__xludf.DUMMYFUNCTION("""COMPUTED_VALUE"""),0.0)</f>
        <v>0</v>
      </c>
      <c r="O128" s="139"/>
      <c r="P128" s="139">
        <f>IFERROR(__xludf.DUMMYFUNCTION("""COMPUTED_VALUE"""),0.0)</f>
        <v>0</v>
      </c>
      <c r="Q128" s="675">
        <f>IFERROR(__xludf.DUMMYFUNCTION("""COMPUTED_VALUE"""),0.0)</f>
        <v>0</v>
      </c>
      <c r="R128" s="675">
        <f>IFERROR(__xludf.DUMMYFUNCTION("""COMPUTED_VALUE"""),0.0)</f>
        <v>0</v>
      </c>
      <c r="S128" s="675">
        <f>IFERROR(__xludf.DUMMYFUNCTION("""COMPUTED_VALUE"""),-2.5)</f>
        <v>-2.5</v>
      </c>
      <c r="T128" s="674">
        <f>IFERROR(__xludf.DUMMYFUNCTION("""COMPUTED_VALUE"""),225.0)</f>
        <v>225</v>
      </c>
      <c r="U128" s="675">
        <f>IFERROR(__xludf.DUMMYFUNCTION("""COMPUTED_VALUE"""),4.5)</f>
        <v>4.5</v>
      </c>
      <c r="V128" s="675">
        <f>IFERROR(__xludf.DUMMYFUNCTION("""COMPUTED_VALUE"""),0.0)</f>
        <v>0</v>
      </c>
      <c r="W128" s="675">
        <f>IFERROR(__xludf.DUMMYFUNCTION("""COMPUTED_VALUE"""),0.0)</f>
        <v>0</v>
      </c>
      <c r="X128" s="675">
        <f>IFERROR(__xludf.DUMMYFUNCTION("""COMPUTED_VALUE"""),0.0)</f>
        <v>0</v>
      </c>
      <c r="Y128" s="674">
        <f>IFERROR(__xludf.DUMMYFUNCTION("""COMPUTED_VALUE"""),100.0)</f>
        <v>100</v>
      </c>
      <c r="Z128" s="675">
        <f>IFERROR(__xludf.DUMMYFUNCTION("""COMPUTED_VALUE"""),2.0)</f>
        <v>2</v>
      </c>
      <c r="AA128" s="675">
        <f>IFERROR(__xludf.DUMMYFUNCTION("""COMPUTED_VALUE"""),0.0)</f>
        <v>0</v>
      </c>
      <c r="AB128" s="673">
        <f>IFERROR(__xludf.DUMMYFUNCTION("""COMPUTED_VALUE"""),0.0)</f>
        <v>0</v>
      </c>
      <c r="AC128" s="675">
        <f>IFERROR(__xludf.DUMMYFUNCTION("""COMPUTED_VALUE"""),0.0)</f>
        <v>0</v>
      </c>
      <c r="AD128" s="674">
        <f>IFERROR(__xludf.DUMMYFUNCTION("""COMPUTED_VALUE"""),250.0)</f>
        <v>250</v>
      </c>
      <c r="AE128" s="675">
        <f>IFERROR(__xludf.DUMMYFUNCTION("""COMPUTED_VALUE"""),5.0)</f>
        <v>5</v>
      </c>
      <c r="AF128" s="675">
        <f>IFERROR(__xludf.DUMMYFUNCTION("""COMPUTED_VALUE"""),0.0)</f>
        <v>0</v>
      </c>
      <c r="AG128" s="673">
        <f>IFERROR(__xludf.DUMMYFUNCTION("""COMPUTED_VALUE"""),0.0)</f>
        <v>0</v>
      </c>
      <c r="AH128" s="675">
        <f>IFERROR(__xludf.DUMMYFUNCTION("""COMPUTED_VALUE"""),0.0)</f>
        <v>0</v>
      </c>
      <c r="AI128" s="139" t="str">
        <f>IFERROR(__xludf.DUMMYFUNCTION("""COMPUTED_VALUE"""),"-")</f>
        <v>-</v>
      </c>
      <c r="AJ128" s="675" t="str">
        <f>IFERROR(__xludf.DUMMYFUNCTION("""COMPUTED_VALUE"""),"-")</f>
        <v>-</v>
      </c>
      <c r="AK128" s="139">
        <f>IFERROR(__xludf.DUMMYFUNCTION("""COMPUTED_VALUE"""),0.0)</f>
        <v>0</v>
      </c>
      <c r="AL128" s="674">
        <f>IFERROR(__xludf.DUMMYFUNCTION("""COMPUTED_VALUE"""),0.0)</f>
        <v>0</v>
      </c>
      <c r="AM128" s="688">
        <f>IFERROR(__xludf.DUMMYFUNCTION("""COMPUTED_VALUE"""),0.0)</f>
        <v>0</v>
      </c>
      <c r="AN128" s="675">
        <f>IFERROR(__xludf.DUMMYFUNCTION("""COMPUTED_VALUE"""),0.0)</f>
        <v>0</v>
      </c>
      <c r="AO128" s="675">
        <f>IFERROR(__xludf.DUMMYFUNCTION("""COMPUTED_VALUE"""),0.0)</f>
        <v>0</v>
      </c>
      <c r="AP128" s="674">
        <f>IFERROR(__xludf.DUMMYFUNCTION("""COMPUTED_VALUE"""),0.0)</f>
        <v>0</v>
      </c>
      <c r="AQ128" s="673">
        <f>IFERROR(__xludf.DUMMYFUNCTION("""COMPUTED_VALUE"""),-0.4)</f>
        <v>-0.4</v>
      </c>
      <c r="AR128" s="673">
        <f>IFERROR(__xludf.DUMMYFUNCTION("""COMPUTED_VALUE"""),0.0)</f>
        <v>0</v>
      </c>
      <c r="AS128" s="673">
        <f>IFERROR(__xludf.DUMMYFUNCTION("""COMPUTED_VALUE"""),0.0)</f>
        <v>0</v>
      </c>
      <c r="AT128" s="673">
        <f>IFERROR(__xludf.DUMMYFUNCTION("""COMPUTED_VALUE"""),0.0)</f>
        <v>0</v>
      </c>
      <c r="AU128" s="675">
        <f>IFERROR(__xludf.DUMMYFUNCTION("""COMPUTED_VALUE"""),0.0)</f>
        <v>0</v>
      </c>
      <c r="AV128" s="675">
        <f>IFERROR(__xludf.DUMMYFUNCTION("""COMPUTED_VALUE"""),0.0)</f>
        <v>0</v>
      </c>
      <c r="AW128" s="139"/>
      <c r="AX128" s="674" t="str">
        <f>IFERROR(__xludf.DUMMYFUNCTION("""COMPUTED_VALUE"""),"※通常攻撃範囲を入力！(CD列)")</f>
        <v>※通常攻撃範囲を入力！(CD列)</v>
      </c>
      <c r="AY128" s="688" t="str">
        <f>IFERROR(__xludf.DUMMYFUNCTION("""COMPUTED_VALUE"""),"#VALUE!")</f>
        <v>#VALUE!</v>
      </c>
      <c r="AZ128" s="674" t="str">
        <f>IFERROR(__xludf.DUMMYFUNCTION("""COMPUTED_VALUE"""),"#VALUE!")</f>
        <v>#VALUE!</v>
      </c>
      <c r="BA128" s="688" t="str">
        <f>IFERROR(__xludf.DUMMYFUNCTION("""COMPUTED_VALUE"""),"#VALUE!")</f>
        <v>#VALUE!</v>
      </c>
      <c r="BB128" s="688" t="str">
        <f>IFERROR(__xludf.DUMMYFUNCTION("""COMPUTED_VALUE"""),"-")</f>
        <v>-</v>
      </c>
      <c r="BC128" s="688" t="str">
        <f>IFERROR(__xludf.DUMMYFUNCTION("""COMPUTED_VALUE"""),"#VALUE!")</f>
        <v>#VALUE!</v>
      </c>
      <c r="BD128" s="688" t="str">
        <f>IFERROR(__xludf.DUMMYFUNCTION("""COMPUTED_VALUE"""),"#VALUE!")</f>
        <v>#VALUE!</v>
      </c>
      <c r="BE128" s="674" t="str">
        <f>IFERROR(__xludf.DUMMYFUNCTION("""COMPUTED_VALUE"""),"#VALUE!")</f>
        <v>#VALUE!</v>
      </c>
      <c r="BF128" s="674">
        <f>IFERROR(__xludf.DUMMYFUNCTION("""COMPUTED_VALUE"""),0.0)</f>
        <v>0</v>
      </c>
      <c r="BG128" s="673">
        <f>IFERROR(__xludf.DUMMYFUNCTION("""COMPUTED_VALUE"""),0.0)</f>
        <v>0</v>
      </c>
      <c r="BH128" s="673">
        <f>IFERROR(__xludf.DUMMYFUNCTION("""COMPUTED_VALUE"""),-0.3)</f>
        <v>-0.3</v>
      </c>
      <c r="BI128" s="673">
        <f>IFERROR(__xludf.DUMMYFUNCTION("""COMPUTED_VALUE"""),0.0)</f>
        <v>0</v>
      </c>
      <c r="BJ128" s="673">
        <f>IFERROR(__xludf.DUMMYFUNCTION("""COMPUTED_VALUE"""),0.0)</f>
        <v>0</v>
      </c>
      <c r="BK128" s="673">
        <f>IFERROR(__xludf.DUMMYFUNCTION("""COMPUTED_VALUE"""),0.0)</f>
        <v>0</v>
      </c>
      <c r="BL128" s="673">
        <f>IFERROR(__xludf.DUMMYFUNCTION("""COMPUTED_VALUE"""),0.0)</f>
        <v>0</v>
      </c>
      <c r="BM128" s="674">
        <f>IFERROR(__xludf.DUMMYFUNCTION("""COMPUTED_VALUE"""),0.0)</f>
        <v>0</v>
      </c>
      <c r="BN128" s="674">
        <f>IFERROR(__xludf.DUMMYFUNCTION("""COMPUTED_VALUE"""),0.0)</f>
        <v>0</v>
      </c>
      <c r="BO128" s="675">
        <f>IFERROR(__xludf.DUMMYFUNCTION("""COMPUTED_VALUE"""),0.0)</f>
        <v>0</v>
      </c>
      <c r="BP128" s="675">
        <f>IFERROR(__xludf.DUMMYFUNCTION("""COMPUTED_VALUE"""),0.0)</f>
        <v>0</v>
      </c>
      <c r="BQ128" s="139"/>
      <c r="BR128" s="139">
        <f>IFERROR(__xludf.DUMMYFUNCTION("""COMPUTED_VALUE"""),2.0)</f>
        <v>2</v>
      </c>
      <c r="BS128" s="139" t="str">
        <f>IFERROR(__xludf.DUMMYFUNCTION("""COMPUTED_VALUE"""),"※移動を入力！(BV列)")</f>
        <v>※移動を入力！(BV列)</v>
      </c>
      <c r="BT128" s="139" t="str">
        <f>IFERROR(__xludf.DUMMYFUNCTION("""COMPUTED_VALUE"""),"※攻撃手段を入力(BQ列)")</f>
        <v>※攻撃手段を入力(BQ列)</v>
      </c>
      <c r="BU128" s="139">
        <f>IFERROR(__xludf.DUMMYFUNCTION("""COMPUTED_VALUE"""),0.0)</f>
        <v>0</v>
      </c>
      <c r="BV128" s="139"/>
      <c r="BW128" s="139"/>
      <c r="BX128" s="139" t="str">
        <f>IFERROR(__xludf.DUMMYFUNCTION("""COMPUTED_VALUE"""),"※特性を選択!!(BW列)")</f>
        <v>※特性を選択!!(BW列)</v>
      </c>
      <c r="BY128" s="139">
        <f>IFERROR(__xludf.DUMMYFUNCTION("""COMPUTED_VALUE"""),0.0)</f>
        <v>0</v>
      </c>
      <c r="BZ128" s="139"/>
      <c r="CA128" s="139" t="str">
        <f>IFERROR(__xludf.DUMMYFUNCTION("""COMPUTED_VALUE"""),"※特性を選択!!(BW列)")</f>
        <v>※特性を選択!!(BW列)</v>
      </c>
      <c r="CB128" s="139" t="str">
        <f>IFERROR(__xludf.DUMMYFUNCTION("""COMPUTED_VALUE"""),"-")</f>
        <v>-</v>
      </c>
      <c r="CC128" s="139" t="str">
        <f>IFERROR(__xludf.DUMMYFUNCTION("""COMPUTED_VALUE"""),"※ID管理未記入")</f>
        <v>※ID管理未記入</v>
      </c>
      <c r="CD128" s="139"/>
      <c r="CE128" s="139" t="str">
        <f>IFERROR(__xludf.DUMMYFUNCTION("""COMPUTED_VALUE"""),"該当なし")</f>
        <v>該当なし</v>
      </c>
      <c r="CF128" s="139" t="str">
        <f>IFERROR(__xludf.DUMMYFUNCTION("""COMPUTED_VALUE"""),"#VALUE!")</f>
        <v>#VALUE!</v>
      </c>
      <c r="CG128" s="139"/>
      <c r="CH128" s="139"/>
      <c r="CI128" s="139" t="str">
        <f>IFERROR(__xludf.DUMMYFUNCTION("""COMPUTED_VALUE"""),"該当なし")</f>
        <v>該当なし</v>
      </c>
      <c r="CJ128" s="139" t="str">
        <f>IFERROR(__xludf.DUMMYFUNCTION("""COMPUTED_VALUE"""),"#VALUE!")</f>
        <v>#VALUE!</v>
      </c>
      <c r="CK128" s="139"/>
      <c r="CL128" s="139"/>
      <c r="CM128" s="139"/>
      <c r="CN128" s="675">
        <f>IFERROR(__xludf.DUMMYFUNCTION("""COMPUTED_VALUE"""),5.0)</f>
        <v>5</v>
      </c>
      <c r="CO128" s="139" t="str">
        <f>IFERROR(__xludf.DUMMYFUNCTION("""COMPUTED_VALUE"""),"-")</f>
        <v>-</v>
      </c>
      <c r="CP128" s="139" t="str">
        <f>IFERROR(__xludf.DUMMYFUNCTION("""COMPUTED_VALUE"""),"-")</f>
        <v>-</v>
      </c>
      <c r="CQ128" s="139" t="str">
        <f>IFERROR(__xludf.DUMMYFUNCTION("""COMPUTED_VALUE"""),"-")</f>
        <v>-</v>
      </c>
      <c r="CR128" s="139"/>
      <c r="CS128" s="139"/>
      <c r="CT128" s="139"/>
      <c r="CU128" s="139"/>
      <c r="CV128" s="139"/>
      <c r="CW128" s="139"/>
      <c r="CX128" s="674" t="str">
        <f>IFERROR(__xludf.DUMMYFUNCTION("""COMPUTED_VALUE"""),"")</f>
        <v/>
      </c>
      <c r="CY128" s="675" t="str">
        <f>IFERROR(__xludf.DUMMYFUNCTION("""COMPUTED_VALUE"""),"")</f>
        <v/>
      </c>
      <c r="CZ128" s="688" t="str">
        <f>IFERROR(__xludf.DUMMYFUNCTION("""COMPUTED_VALUE"""),"-")</f>
        <v>-</v>
      </c>
      <c r="DA128" s="688">
        <f>IFERROR(__xludf.DUMMYFUNCTION("""COMPUTED_VALUE"""),0.0)</f>
        <v>0</v>
      </c>
      <c r="DB128" s="688">
        <f>IFERROR(__xludf.DUMMYFUNCTION("""COMPUTED_VALUE"""),0.0)</f>
        <v>0</v>
      </c>
      <c r="DC128" s="673" t="str">
        <f>IFERROR(__xludf.DUMMYFUNCTION("""COMPUTED_VALUE"""),"-")</f>
        <v>-</v>
      </c>
      <c r="DD128" s="673" t="str">
        <f>IFERROR(__xludf.DUMMYFUNCTION("""COMPUTED_VALUE"""),"-")</f>
        <v>-</v>
      </c>
      <c r="DE128" s="139" t="str">
        <f>IFERROR(__xludf.DUMMYFUNCTION("""COMPUTED_VALUE"""),"-")</f>
        <v>-</v>
      </c>
      <c r="DF128" s="139" t="str">
        <f>IFERROR(__xludf.DUMMYFUNCTION("""COMPUTED_VALUE"""),"-")</f>
        <v>-</v>
      </c>
      <c r="DG128" s="139" t="str">
        <f>IFERROR(__xludf.DUMMYFUNCTION("""COMPUTED_VALUE"""),"-")</f>
        <v>-</v>
      </c>
      <c r="DH128" s="139" t="str">
        <f>IFERROR(__xludf.DUMMYFUNCTION("""COMPUTED_VALUE"""),"-")</f>
        <v>-</v>
      </c>
      <c r="DI128" s="139" t="str">
        <f>IFERROR(__xludf.DUMMYFUNCTION("""COMPUTED_VALUE"""),"-")</f>
        <v>-</v>
      </c>
      <c r="DJ128" s="139" t="str">
        <f>IFERROR(__xludf.DUMMYFUNCTION("""COMPUTED_VALUE"""),"-")</f>
        <v>-</v>
      </c>
    </row>
    <row r="129">
      <c r="A129" s="139" t="str">
        <f>IFERROR(__xludf.DUMMYFUNCTION("""COMPUTED_VALUE"""),"マリッジトキシン")</f>
        <v>マリッジトキシン</v>
      </c>
      <c r="B129" s="139" t="str">
        <f>IFERROR(__xludf.DUMMYFUNCTION("""COMPUTED_VALUE"""),"姫川 杏子")</f>
        <v>姫川 杏子</v>
      </c>
      <c r="C129" s="139" t="str">
        <f>IFERROR(__xludf.DUMMYFUNCTION("""COMPUTED_VALUE"""),"chara_mar_00201")</f>
        <v>chara_mar_00201</v>
      </c>
      <c r="D129" s="139" t="str">
        <f>IFERROR(__xludf.DUMMYFUNCTION("""COMPUTED_VALUE"""),"DropSR")</f>
        <v>DropSR</v>
      </c>
      <c r="E129" s="139" t="str">
        <f>IFERROR(__xludf.DUMMYFUNCTION("""COMPUTED_VALUE"""),"青")</f>
        <v>青</v>
      </c>
      <c r="F129" s="139" t="str">
        <f>IFERROR(__xludf.DUMMYFUNCTION("""COMPUTED_VALUE"""),"ディフェンス")</f>
        <v>ディフェンス</v>
      </c>
      <c r="G129" s="139" t="str">
        <f>IFERROR(__xludf.DUMMYFUNCTION("""COMPUTED_VALUE"""),"※ID管理未記入")</f>
        <v>※ID管理未記入</v>
      </c>
      <c r="H129" s="139" t="str">
        <f>IFERROR(__xludf.DUMMYFUNCTION("""COMPUTED_VALUE"""),"dageki_1")</f>
        <v>dageki_1</v>
      </c>
      <c r="I129" s="139" t="str">
        <f>IFERROR(__xludf.DUMMYFUNCTION("""COMPUTED_VALUE"""),"dageki_1")</f>
        <v>dageki_1</v>
      </c>
      <c r="J129" s="139" t="str">
        <f>IFERROR(__xludf.DUMMYFUNCTION("""COMPUTED_VALUE"""),"202605010_マリッジトキシン")</f>
        <v>202605010_マリッジトキシン</v>
      </c>
      <c r="K129" s="139" t="str">
        <f>IFERROR(__xludf.DUMMYFUNCTION("""COMPUTED_VALUE"""),"あやかしトライアングル いいジャン祭")</f>
        <v>あやかしトライアングル いいジャン祭</v>
      </c>
      <c r="L129" s="139" t="str">
        <f>IFERROR(__xludf.DUMMYFUNCTION("""COMPUTED_VALUE"""),"※")</f>
        <v>※</v>
      </c>
      <c r="M129" s="674">
        <f>IFERROR(__xludf.DUMMYFUNCTION("""COMPUTED_VALUE"""),0.0)</f>
        <v>0</v>
      </c>
      <c r="N129" s="139">
        <f>IFERROR(__xludf.DUMMYFUNCTION("""COMPUTED_VALUE"""),0.0)</f>
        <v>0</v>
      </c>
      <c r="O129" s="139"/>
      <c r="P129" s="139">
        <f>IFERROR(__xludf.DUMMYFUNCTION("""COMPUTED_VALUE"""),0.0)</f>
        <v>0</v>
      </c>
      <c r="Q129" s="675">
        <f>IFERROR(__xludf.DUMMYFUNCTION("""COMPUTED_VALUE"""),0.0)</f>
        <v>0</v>
      </c>
      <c r="R129" s="675">
        <f>IFERROR(__xludf.DUMMYFUNCTION("""COMPUTED_VALUE"""),0.0)</f>
        <v>0</v>
      </c>
      <c r="S129" s="675">
        <f>IFERROR(__xludf.DUMMYFUNCTION("""COMPUTED_VALUE"""),-2.5)</f>
        <v>-2.5</v>
      </c>
      <c r="T129" s="674">
        <f>IFERROR(__xludf.DUMMYFUNCTION("""COMPUTED_VALUE"""),225.0)</f>
        <v>225</v>
      </c>
      <c r="U129" s="675">
        <f>IFERROR(__xludf.DUMMYFUNCTION("""COMPUTED_VALUE"""),4.5)</f>
        <v>4.5</v>
      </c>
      <c r="V129" s="675">
        <f>IFERROR(__xludf.DUMMYFUNCTION("""COMPUTED_VALUE"""),0.0)</f>
        <v>0</v>
      </c>
      <c r="W129" s="675">
        <f>IFERROR(__xludf.DUMMYFUNCTION("""COMPUTED_VALUE"""),0.0)</f>
        <v>0</v>
      </c>
      <c r="X129" s="675">
        <f>IFERROR(__xludf.DUMMYFUNCTION("""COMPUTED_VALUE"""),0.0)</f>
        <v>0</v>
      </c>
      <c r="Y129" s="674">
        <f>IFERROR(__xludf.DUMMYFUNCTION("""COMPUTED_VALUE"""),100.0)</f>
        <v>100</v>
      </c>
      <c r="Z129" s="675">
        <f>IFERROR(__xludf.DUMMYFUNCTION("""COMPUTED_VALUE"""),2.0)</f>
        <v>2</v>
      </c>
      <c r="AA129" s="675">
        <f>IFERROR(__xludf.DUMMYFUNCTION("""COMPUTED_VALUE"""),0.0)</f>
        <v>0</v>
      </c>
      <c r="AB129" s="673">
        <f>IFERROR(__xludf.DUMMYFUNCTION("""COMPUTED_VALUE"""),0.0)</f>
        <v>0</v>
      </c>
      <c r="AC129" s="675">
        <f>IFERROR(__xludf.DUMMYFUNCTION("""COMPUTED_VALUE"""),0.0)</f>
        <v>0</v>
      </c>
      <c r="AD129" s="674">
        <f>IFERROR(__xludf.DUMMYFUNCTION("""COMPUTED_VALUE"""),250.0)</f>
        <v>250</v>
      </c>
      <c r="AE129" s="675">
        <f>IFERROR(__xludf.DUMMYFUNCTION("""COMPUTED_VALUE"""),5.0)</f>
        <v>5</v>
      </c>
      <c r="AF129" s="675">
        <f>IFERROR(__xludf.DUMMYFUNCTION("""COMPUTED_VALUE"""),0.0)</f>
        <v>0</v>
      </c>
      <c r="AG129" s="673">
        <f>IFERROR(__xludf.DUMMYFUNCTION("""COMPUTED_VALUE"""),0.0)</f>
        <v>0</v>
      </c>
      <c r="AH129" s="675">
        <f>IFERROR(__xludf.DUMMYFUNCTION("""COMPUTED_VALUE"""),0.0)</f>
        <v>0</v>
      </c>
      <c r="AI129" s="139" t="str">
        <f>IFERROR(__xludf.DUMMYFUNCTION("""COMPUTED_VALUE"""),"-")</f>
        <v>-</v>
      </c>
      <c r="AJ129" s="675" t="str">
        <f>IFERROR(__xludf.DUMMYFUNCTION("""COMPUTED_VALUE"""),"-")</f>
        <v>-</v>
      </c>
      <c r="AK129" s="139">
        <f>IFERROR(__xludf.DUMMYFUNCTION("""COMPUTED_VALUE"""),0.0)</f>
        <v>0</v>
      </c>
      <c r="AL129" s="674">
        <f>IFERROR(__xludf.DUMMYFUNCTION("""COMPUTED_VALUE"""),0.0)</f>
        <v>0</v>
      </c>
      <c r="AM129" s="688">
        <f>IFERROR(__xludf.DUMMYFUNCTION("""COMPUTED_VALUE"""),0.0)</f>
        <v>0</v>
      </c>
      <c r="AN129" s="675">
        <f>IFERROR(__xludf.DUMMYFUNCTION("""COMPUTED_VALUE"""),0.0)</f>
        <v>0</v>
      </c>
      <c r="AO129" s="675">
        <f>IFERROR(__xludf.DUMMYFUNCTION("""COMPUTED_VALUE"""),0.0)</f>
        <v>0</v>
      </c>
      <c r="AP129" s="674">
        <f>IFERROR(__xludf.DUMMYFUNCTION("""COMPUTED_VALUE"""),0.0)</f>
        <v>0</v>
      </c>
      <c r="AQ129" s="673">
        <f>IFERROR(__xludf.DUMMYFUNCTION("""COMPUTED_VALUE"""),0.9)</f>
        <v>0.9</v>
      </c>
      <c r="AR129" s="673">
        <f>IFERROR(__xludf.DUMMYFUNCTION("""COMPUTED_VALUE"""),0.0)</f>
        <v>0</v>
      </c>
      <c r="AS129" s="673">
        <f>IFERROR(__xludf.DUMMYFUNCTION("""COMPUTED_VALUE"""),0.0)</f>
        <v>0</v>
      </c>
      <c r="AT129" s="673">
        <f>IFERROR(__xludf.DUMMYFUNCTION("""COMPUTED_VALUE"""),0.0)</f>
        <v>0</v>
      </c>
      <c r="AU129" s="675">
        <f>IFERROR(__xludf.DUMMYFUNCTION("""COMPUTED_VALUE"""),0.0)</f>
        <v>0</v>
      </c>
      <c r="AV129" s="675">
        <f>IFERROR(__xludf.DUMMYFUNCTION("""COMPUTED_VALUE"""),0.0)</f>
        <v>0</v>
      </c>
      <c r="AW129" s="139"/>
      <c r="AX129" s="674" t="str">
        <f>IFERROR(__xludf.DUMMYFUNCTION("""COMPUTED_VALUE"""),"※通常攻撃範囲を入力！(CD列)")</f>
        <v>※通常攻撃範囲を入力！(CD列)</v>
      </c>
      <c r="AY129" s="688" t="str">
        <f>IFERROR(__xludf.DUMMYFUNCTION("""COMPUTED_VALUE"""),"#VALUE!")</f>
        <v>#VALUE!</v>
      </c>
      <c r="AZ129" s="674" t="str">
        <f>IFERROR(__xludf.DUMMYFUNCTION("""COMPUTED_VALUE"""),"#VALUE!")</f>
        <v>#VALUE!</v>
      </c>
      <c r="BA129" s="688" t="str">
        <f>IFERROR(__xludf.DUMMYFUNCTION("""COMPUTED_VALUE"""),"#VALUE!")</f>
        <v>#VALUE!</v>
      </c>
      <c r="BB129" s="688" t="str">
        <f>IFERROR(__xludf.DUMMYFUNCTION("""COMPUTED_VALUE"""),"-")</f>
        <v>-</v>
      </c>
      <c r="BC129" s="688" t="str">
        <f>IFERROR(__xludf.DUMMYFUNCTION("""COMPUTED_VALUE"""),"#VALUE!")</f>
        <v>#VALUE!</v>
      </c>
      <c r="BD129" s="688" t="str">
        <f>IFERROR(__xludf.DUMMYFUNCTION("""COMPUTED_VALUE"""),"#VALUE!")</f>
        <v>#VALUE!</v>
      </c>
      <c r="BE129" s="674" t="str">
        <f>IFERROR(__xludf.DUMMYFUNCTION("""COMPUTED_VALUE"""),"#VALUE!")</f>
        <v>#VALUE!</v>
      </c>
      <c r="BF129" s="674">
        <f>IFERROR(__xludf.DUMMYFUNCTION("""COMPUTED_VALUE"""),0.0)</f>
        <v>0</v>
      </c>
      <c r="BG129" s="673">
        <f>IFERROR(__xludf.DUMMYFUNCTION("""COMPUTED_VALUE"""),0.0)</f>
        <v>0</v>
      </c>
      <c r="BH129" s="673">
        <f>IFERROR(__xludf.DUMMYFUNCTION("""COMPUTED_VALUE"""),-0.5)</f>
        <v>-0.5</v>
      </c>
      <c r="BI129" s="673">
        <f>IFERROR(__xludf.DUMMYFUNCTION("""COMPUTED_VALUE"""),0.0)</f>
        <v>0</v>
      </c>
      <c r="BJ129" s="673">
        <f>IFERROR(__xludf.DUMMYFUNCTION("""COMPUTED_VALUE"""),0.0)</f>
        <v>0</v>
      </c>
      <c r="BK129" s="673">
        <f>IFERROR(__xludf.DUMMYFUNCTION("""COMPUTED_VALUE"""),0.0)</f>
        <v>0</v>
      </c>
      <c r="BL129" s="673">
        <f>IFERROR(__xludf.DUMMYFUNCTION("""COMPUTED_VALUE"""),0.0)</f>
        <v>0</v>
      </c>
      <c r="BM129" s="674">
        <f>IFERROR(__xludf.DUMMYFUNCTION("""COMPUTED_VALUE"""),0.0)</f>
        <v>0</v>
      </c>
      <c r="BN129" s="674">
        <f>IFERROR(__xludf.DUMMYFUNCTION("""COMPUTED_VALUE"""),0.0)</f>
        <v>0</v>
      </c>
      <c r="BO129" s="675">
        <f>IFERROR(__xludf.DUMMYFUNCTION("""COMPUTED_VALUE"""),0.0)</f>
        <v>0</v>
      </c>
      <c r="BP129" s="675">
        <f>IFERROR(__xludf.DUMMYFUNCTION("""COMPUTED_VALUE"""),0.0)</f>
        <v>0</v>
      </c>
      <c r="BQ129" s="139"/>
      <c r="BR129" s="139">
        <f>IFERROR(__xludf.DUMMYFUNCTION("""COMPUTED_VALUE"""),1.0)</f>
        <v>1</v>
      </c>
      <c r="BS129" s="139" t="str">
        <f>IFERROR(__xludf.DUMMYFUNCTION("""COMPUTED_VALUE"""),"※移動を入力！(BV列)")</f>
        <v>※移動を入力！(BV列)</v>
      </c>
      <c r="BT129" s="139" t="str">
        <f>IFERROR(__xludf.DUMMYFUNCTION("""COMPUTED_VALUE"""),"※攻撃手段を入力(BQ列)")</f>
        <v>※攻撃手段を入力(BQ列)</v>
      </c>
      <c r="BU129" s="139">
        <f>IFERROR(__xludf.DUMMYFUNCTION("""COMPUTED_VALUE"""),0.0)</f>
        <v>0</v>
      </c>
      <c r="BV129" s="139"/>
      <c r="BW129" s="139"/>
      <c r="BX129" s="139" t="str">
        <f>IFERROR(__xludf.DUMMYFUNCTION("""COMPUTED_VALUE"""),"※特性を選択!!(BW列)")</f>
        <v>※特性を選択!!(BW列)</v>
      </c>
      <c r="BY129" s="139">
        <f>IFERROR(__xludf.DUMMYFUNCTION("""COMPUTED_VALUE"""),2.0)</f>
        <v>2</v>
      </c>
      <c r="BZ129" s="139"/>
      <c r="CA129" s="139" t="str">
        <f>IFERROR(__xludf.DUMMYFUNCTION("""COMPUTED_VALUE"""),"※特性を選択!!(BW列)")</f>
        <v>※特性を選択!!(BW列)</v>
      </c>
      <c r="CB129" s="139" t="str">
        <f>IFERROR(__xludf.DUMMYFUNCTION("""COMPUTED_VALUE"""),"-")</f>
        <v>-</v>
      </c>
      <c r="CC129" s="139" t="str">
        <f>IFERROR(__xludf.DUMMYFUNCTION("""COMPUTED_VALUE"""),"※ID管理未記入")</f>
        <v>※ID管理未記入</v>
      </c>
      <c r="CD129" s="139"/>
      <c r="CE129" s="139" t="str">
        <f>IFERROR(__xludf.DUMMYFUNCTION("""COMPUTED_VALUE"""),"該当なし")</f>
        <v>該当なし</v>
      </c>
      <c r="CF129" s="139" t="str">
        <f>IFERROR(__xludf.DUMMYFUNCTION("""COMPUTED_VALUE"""),"#VALUE!")</f>
        <v>#VALUE!</v>
      </c>
      <c r="CG129" s="139"/>
      <c r="CH129" s="139"/>
      <c r="CI129" s="139" t="str">
        <f>IFERROR(__xludf.DUMMYFUNCTION("""COMPUTED_VALUE"""),"該当なし")</f>
        <v>該当なし</v>
      </c>
      <c r="CJ129" s="139" t="str">
        <f>IFERROR(__xludf.DUMMYFUNCTION("""COMPUTED_VALUE"""),"#VALUE!")</f>
        <v>#VALUE!</v>
      </c>
      <c r="CK129" s="139"/>
      <c r="CL129" s="139"/>
      <c r="CM129" s="139"/>
      <c r="CN129" s="675">
        <f>IFERROR(__xludf.DUMMYFUNCTION("""COMPUTED_VALUE"""),5.0)</f>
        <v>5</v>
      </c>
      <c r="CO129" s="139" t="str">
        <f>IFERROR(__xludf.DUMMYFUNCTION("""COMPUTED_VALUE"""),"-")</f>
        <v>-</v>
      </c>
      <c r="CP129" s="139" t="str">
        <f>IFERROR(__xludf.DUMMYFUNCTION("""COMPUTED_VALUE"""),"-")</f>
        <v>-</v>
      </c>
      <c r="CQ129" s="139" t="str">
        <f>IFERROR(__xludf.DUMMYFUNCTION("""COMPUTED_VALUE"""),"-")</f>
        <v>-</v>
      </c>
      <c r="CR129" s="139"/>
      <c r="CS129" s="139"/>
      <c r="CT129" s="139"/>
      <c r="CU129" s="139"/>
      <c r="CV129" s="139"/>
      <c r="CW129" s="139"/>
      <c r="CX129" s="674" t="str">
        <f>IFERROR(__xludf.DUMMYFUNCTION("""COMPUTED_VALUE"""),"")</f>
        <v/>
      </c>
      <c r="CY129" s="675" t="str">
        <f>IFERROR(__xludf.DUMMYFUNCTION("""COMPUTED_VALUE"""),"")</f>
        <v/>
      </c>
      <c r="CZ129" s="688" t="str">
        <f>IFERROR(__xludf.DUMMYFUNCTION("""COMPUTED_VALUE"""),"-")</f>
        <v>-</v>
      </c>
      <c r="DA129" s="688">
        <f>IFERROR(__xludf.DUMMYFUNCTION("""COMPUTED_VALUE"""),0.0)</f>
        <v>0</v>
      </c>
      <c r="DB129" s="688">
        <f>IFERROR(__xludf.DUMMYFUNCTION("""COMPUTED_VALUE"""),0.0)</f>
        <v>0</v>
      </c>
      <c r="DC129" s="673" t="str">
        <f>IFERROR(__xludf.DUMMYFUNCTION("""COMPUTED_VALUE"""),"-")</f>
        <v>-</v>
      </c>
      <c r="DD129" s="673" t="str">
        <f>IFERROR(__xludf.DUMMYFUNCTION("""COMPUTED_VALUE"""),"-")</f>
        <v>-</v>
      </c>
      <c r="DE129" s="139" t="str">
        <f>IFERROR(__xludf.DUMMYFUNCTION("""COMPUTED_VALUE"""),"-")</f>
        <v>-</v>
      </c>
      <c r="DF129" s="139" t="str">
        <f>IFERROR(__xludf.DUMMYFUNCTION("""COMPUTED_VALUE"""),"-")</f>
        <v>-</v>
      </c>
      <c r="DG129" s="139" t="str">
        <f>IFERROR(__xludf.DUMMYFUNCTION("""COMPUTED_VALUE"""),"-")</f>
        <v>-</v>
      </c>
      <c r="DH129" s="139" t="str">
        <f>IFERROR(__xludf.DUMMYFUNCTION("""COMPUTED_VALUE"""),"-")</f>
        <v>-</v>
      </c>
      <c r="DI129" s="139" t="str">
        <f>IFERROR(__xludf.DUMMYFUNCTION("""COMPUTED_VALUE"""),"-")</f>
        <v>-</v>
      </c>
      <c r="DJ129" s="139" t="str">
        <f>IFERROR(__xludf.DUMMYFUNCTION("""COMPUTED_VALUE"""),"-")</f>
        <v>-</v>
      </c>
    </row>
    <row r="130">
      <c r="A130" s="139" t="str">
        <f>IFERROR(__xludf.DUMMYFUNCTION("""COMPUTED_VALUE"""),"マリッジトキシン")</f>
        <v>マリッジトキシン</v>
      </c>
      <c r="B130" s="139" t="str">
        <f>IFERROR(__xludf.DUMMYFUNCTION("""COMPUTED_VALUE"""),"音使い 鳴子")</f>
        <v>音使い 鳴子</v>
      </c>
      <c r="C130" s="139" t="str">
        <f>IFERROR(__xludf.DUMMYFUNCTION("""COMPUTED_VALUE"""),"chara_mar_00401")</f>
        <v>chara_mar_00401</v>
      </c>
      <c r="D130" s="139" t="str">
        <f>IFERROR(__xludf.DUMMYFUNCTION("""COMPUTED_VALUE"""),"DropSR")</f>
        <v>DropSR</v>
      </c>
      <c r="E130" s="139" t="str">
        <f>IFERROR(__xludf.DUMMYFUNCTION("""COMPUTED_VALUE"""),"赤")</f>
        <v>赤</v>
      </c>
      <c r="F130" s="139" t="str">
        <f>IFERROR(__xludf.DUMMYFUNCTION("""COMPUTED_VALUE"""),"テクニカル")</f>
        <v>テクニカル</v>
      </c>
      <c r="G130" s="139" t="str">
        <f>IFERROR(__xludf.DUMMYFUNCTION("""COMPUTED_VALUE"""),"※ID管理未記入")</f>
        <v>※ID管理未記入</v>
      </c>
      <c r="H130" s="139" t="str">
        <f>IFERROR(__xludf.DUMMYFUNCTION("""COMPUTED_VALUE"""),"shageki_1")</f>
        <v>shageki_1</v>
      </c>
      <c r="I130" s="139" t="str">
        <f>IFERROR(__xludf.DUMMYFUNCTION("""COMPUTED_VALUE"""),"zangeki_1")</f>
        <v>zangeki_1</v>
      </c>
      <c r="J130" s="139" t="str">
        <f>IFERROR(__xludf.DUMMYFUNCTION("""COMPUTED_VALUE"""),"202605010_マリッジトキシン")</f>
        <v>202605010_マリッジトキシン</v>
      </c>
      <c r="K130" s="139" t="str">
        <f>IFERROR(__xludf.DUMMYFUNCTION("""COMPUTED_VALUE"""),"あやかしトライアングル いいジャン祭")</f>
        <v>あやかしトライアングル いいジャン祭</v>
      </c>
      <c r="L130" s="139" t="str">
        <f>IFERROR(__xludf.DUMMYFUNCTION("""COMPUTED_VALUE"""),"※")</f>
        <v>※</v>
      </c>
      <c r="M130" s="674">
        <f>IFERROR(__xludf.DUMMYFUNCTION("""COMPUTED_VALUE"""),0.0)</f>
        <v>0</v>
      </c>
      <c r="N130" s="139">
        <f>IFERROR(__xludf.DUMMYFUNCTION("""COMPUTED_VALUE"""),0.0)</f>
        <v>0</v>
      </c>
      <c r="O130" s="139"/>
      <c r="P130" s="139">
        <f>IFERROR(__xludf.DUMMYFUNCTION("""COMPUTED_VALUE"""),0.0)</f>
        <v>0</v>
      </c>
      <c r="Q130" s="675">
        <f>IFERROR(__xludf.DUMMYFUNCTION("""COMPUTED_VALUE"""),0.0)</f>
        <v>0</v>
      </c>
      <c r="R130" s="675">
        <f>IFERROR(__xludf.DUMMYFUNCTION("""COMPUTED_VALUE"""),0.0)</f>
        <v>0</v>
      </c>
      <c r="S130" s="675">
        <f>IFERROR(__xludf.DUMMYFUNCTION("""COMPUTED_VALUE"""),-2.5)</f>
        <v>-2.5</v>
      </c>
      <c r="T130" s="674">
        <f>IFERROR(__xludf.DUMMYFUNCTION("""COMPUTED_VALUE"""),225.0)</f>
        <v>225</v>
      </c>
      <c r="U130" s="675">
        <f>IFERROR(__xludf.DUMMYFUNCTION("""COMPUTED_VALUE"""),4.5)</f>
        <v>4.5</v>
      </c>
      <c r="V130" s="675">
        <f>IFERROR(__xludf.DUMMYFUNCTION("""COMPUTED_VALUE"""),0.0)</f>
        <v>0</v>
      </c>
      <c r="W130" s="675">
        <f>IFERROR(__xludf.DUMMYFUNCTION("""COMPUTED_VALUE"""),0.0)</f>
        <v>0</v>
      </c>
      <c r="X130" s="675">
        <f>IFERROR(__xludf.DUMMYFUNCTION("""COMPUTED_VALUE"""),0.0)</f>
        <v>0</v>
      </c>
      <c r="Y130" s="674">
        <f>IFERROR(__xludf.DUMMYFUNCTION("""COMPUTED_VALUE"""),100.0)</f>
        <v>100</v>
      </c>
      <c r="Z130" s="675">
        <f>IFERROR(__xludf.DUMMYFUNCTION("""COMPUTED_VALUE"""),2.0)</f>
        <v>2</v>
      </c>
      <c r="AA130" s="675">
        <f>IFERROR(__xludf.DUMMYFUNCTION("""COMPUTED_VALUE"""),0.0)</f>
        <v>0</v>
      </c>
      <c r="AB130" s="673">
        <f>IFERROR(__xludf.DUMMYFUNCTION("""COMPUTED_VALUE"""),0.0)</f>
        <v>0</v>
      </c>
      <c r="AC130" s="675">
        <f>IFERROR(__xludf.DUMMYFUNCTION("""COMPUTED_VALUE"""),0.0)</f>
        <v>0</v>
      </c>
      <c r="AD130" s="674">
        <f>IFERROR(__xludf.DUMMYFUNCTION("""COMPUTED_VALUE"""),250.0)</f>
        <v>250</v>
      </c>
      <c r="AE130" s="675">
        <f>IFERROR(__xludf.DUMMYFUNCTION("""COMPUTED_VALUE"""),5.0)</f>
        <v>5</v>
      </c>
      <c r="AF130" s="675">
        <f>IFERROR(__xludf.DUMMYFUNCTION("""COMPUTED_VALUE"""),0.0)</f>
        <v>0</v>
      </c>
      <c r="AG130" s="673">
        <f>IFERROR(__xludf.DUMMYFUNCTION("""COMPUTED_VALUE"""),0.0)</f>
        <v>0</v>
      </c>
      <c r="AH130" s="675">
        <f>IFERROR(__xludf.DUMMYFUNCTION("""COMPUTED_VALUE"""),0.0)</f>
        <v>0</v>
      </c>
      <c r="AI130" s="139" t="str">
        <f>IFERROR(__xludf.DUMMYFUNCTION("""COMPUTED_VALUE"""),"-")</f>
        <v>-</v>
      </c>
      <c r="AJ130" s="675" t="str">
        <f>IFERROR(__xludf.DUMMYFUNCTION("""COMPUTED_VALUE"""),"-")</f>
        <v>-</v>
      </c>
      <c r="AK130" s="139">
        <f>IFERROR(__xludf.DUMMYFUNCTION("""COMPUTED_VALUE"""),0.0)</f>
        <v>0</v>
      </c>
      <c r="AL130" s="674">
        <f>IFERROR(__xludf.DUMMYFUNCTION("""COMPUTED_VALUE"""),0.0)</f>
        <v>0</v>
      </c>
      <c r="AM130" s="688">
        <f>IFERROR(__xludf.DUMMYFUNCTION("""COMPUTED_VALUE"""),0.0)</f>
        <v>0</v>
      </c>
      <c r="AN130" s="675">
        <f>IFERROR(__xludf.DUMMYFUNCTION("""COMPUTED_VALUE"""),0.0)</f>
        <v>0</v>
      </c>
      <c r="AO130" s="675">
        <f>IFERROR(__xludf.DUMMYFUNCTION("""COMPUTED_VALUE"""),0.0)</f>
        <v>0</v>
      </c>
      <c r="AP130" s="674">
        <f>IFERROR(__xludf.DUMMYFUNCTION("""COMPUTED_VALUE"""),0.0)</f>
        <v>0</v>
      </c>
      <c r="AQ130" s="673">
        <f>IFERROR(__xludf.DUMMYFUNCTION("""COMPUTED_VALUE"""),-0.3)</f>
        <v>-0.3</v>
      </c>
      <c r="AR130" s="673">
        <f>IFERROR(__xludf.DUMMYFUNCTION("""COMPUTED_VALUE"""),0.0)</f>
        <v>0</v>
      </c>
      <c r="AS130" s="673">
        <f>IFERROR(__xludf.DUMMYFUNCTION("""COMPUTED_VALUE"""),0.0)</f>
        <v>0</v>
      </c>
      <c r="AT130" s="673">
        <f>IFERROR(__xludf.DUMMYFUNCTION("""COMPUTED_VALUE"""),0.0)</f>
        <v>0</v>
      </c>
      <c r="AU130" s="675">
        <f>IFERROR(__xludf.DUMMYFUNCTION("""COMPUTED_VALUE"""),0.0)</f>
        <v>0</v>
      </c>
      <c r="AV130" s="675">
        <f>IFERROR(__xludf.DUMMYFUNCTION("""COMPUTED_VALUE"""),0.0)</f>
        <v>0</v>
      </c>
      <c r="AW130" s="139"/>
      <c r="AX130" s="674" t="str">
        <f>IFERROR(__xludf.DUMMYFUNCTION("""COMPUTED_VALUE"""),"※通常攻撃範囲を入力！(CD列)")</f>
        <v>※通常攻撃範囲を入力！(CD列)</v>
      </c>
      <c r="AY130" s="688" t="str">
        <f>IFERROR(__xludf.DUMMYFUNCTION("""COMPUTED_VALUE"""),"#VALUE!")</f>
        <v>#VALUE!</v>
      </c>
      <c r="AZ130" s="674" t="str">
        <f>IFERROR(__xludf.DUMMYFUNCTION("""COMPUTED_VALUE"""),"#VALUE!")</f>
        <v>#VALUE!</v>
      </c>
      <c r="BA130" s="688" t="str">
        <f>IFERROR(__xludf.DUMMYFUNCTION("""COMPUTED_VALUE"""),"#VALUE!")</f>
        <v>#VALUE!</v>
      </c>
      <c r="BB130" s="688" t="str">
        <f>IFERROR(__xludf.DUMMYFUNCTION("""COMPUTED_VALUE"""),"-")</f>
        <v>-</v>
      </c>
      <c r="BC130" s="688" t="str">
        <f>IFERROR(__xludf.DUMMYFUNCTION("""COMPUTED_VALUE"""),"#VALUE!")</f>
        <v>#VALUE!</v>
      </c>
      <c r="BD130" s="688" t="str">
        <f>IFERROR(__xludf.DUMMYFUNCTION("""COMPUTED_VALUE"""),"#VALUE!")</f>
        <v>#VALUE!</v>
      </c>
      <c r="BE130" s="674" t="str">
        <f>IFERROR(__xludf.DUMMYFUNCTION("""COMPUTED_VALUE"""),"#VALUE!")</f>
        <v>#VALUE!</v>
      </c>
      <c r="BF130" s="674">
        <f>IFERROR(__xludf.DUMMYFUNCTION("""COMPUTED_VALUE"""),0.0)</f>
        <v>0</v>
      </c>
      <c r="BG130" s="673">
        <f>IFERROR(__xludf.DUMMYFUNCTION("""COMPUTED_VALUE"""),0.0)</f>
        <v>0</v>
      </c>
      <c r="BH130" s="673">
        <f>IFERROR(__xludf.DUMMYFUNCTION("""COMPUTED_VALUE"""),0.1)</f>
        <v>0.1</v>
      </c>
      <c r="BI130" s="673">
        <f>IFERROR(__xludf.DUMMYFUNCTION("""COMPUTED_VALUE"""),0.0)</f>
        <v>0</v>
      </c>
      <c r="BJ130" s="673">
        <f>IFERROR(__xludf.DUMMYFUNCTION("""COMPUTED_VALUE"""),0.0)</f>
        <v>0</v>
      </c>
      <c r="BK130" s="673">
        <f>IFERROR(__xludf.DUMMYFUNCTION("""COMPUTED_VALUE"""),0.0)</f>
        <v>0</v>
      </c>
      <c r="BL130" s="673">
        <f>IFERROR(__xludf.DUMMYFUNCTION("""COMPUTED_VALUE"""),0.0)</f>
        <v>0</v>
      </c>
      <c r="BM130" s="674">
        <f>IFERROR(__xludf.DUMMYFUNCTION("""COMPUTED_VALUE"""),0.0)</f>
        <v>0</v>
      </c>
      <c r="BN130" s="674">
        <f>IFERROR(__xludf.DUMMYFUNCTION("""COMPUTED_VALUE"""),0.0)</f>
        <v>0</v>
      </c>
      <c r="BO130" s="675">
        <f>IFERROR(__xludf.DUMMYFUNCTION("""COMPUTED_VALUE"""),0.0)</f>
        <v>0</v>
      </c>
      <c r="BP130" s="675">
        <f>IFERROR(__xludf.DUMMYFUNCTION("""COMPUTED_VALUE"""),0.0)</f>
        <v>0</v>
      </c>
      <c r="BQ130" s="139"/>
      <c r="BR130" s="139">
        <f>IFERROR(__xludf.DUMMYFUNCTION("""COMPUTED_VALUE"""),3.0)</f>
        <v>3</v>
      </c>
      <c r="BS130" s="139" t="str">
        <f>IFERROR(__xludf.DUMMYFUNCTION("""COMPUTED_VALUE"""),"※移動を入力！(BV列)")</f>
        <v>※移動を入力！(BV列)</v>
      </c>
      <c r="BT130" s="139" t="str">
        <f>IFERROR(__xludf.DUMMYFUNCTION("""COMPUTED_VALUE"""),"※攻撃手段を入力(BQ列)")</f>
        <v>※攻撃手段を入力(BQ列)</v>
      </c>
      <c r="BU130" s="139">
        <f>IFERROR(__xludf.DUMMYFUNCTION("""COMPUTED_VALUE"""),0.0)</f>
        <v>0</v>
      </c>
      <c r="BV130" s="139"/>
      <c r="BW130" s="139"/>
      <c r="BX130" s="139" t="str">
        <f>IFERROR(__xludf.DUMMYFUNCTION("""COMPUTED_VALUE"""),"※特性を選択!!(BW列)")</f>
        <v>※特性を選択!!(BW列)</v>
      </c>
      <c r="BY130" s="139">
        <f>IFERROR(__xludf.DUMMYFUNCTION("""COMPUTED_VALUE"""),2.0)</f>
        <v>2</v>
      </c>
      <c r="BZ130" s="139"/>
      <c r="CA130" s="139" t="str">
        <f>IFERROR(__xludf.DUMMYFUNCTION("""COMPUTED_VALUE"""),"※特性を選択!!(BW列)")</f>
        <v>※特性を選択!!(BW列)</v>
      </c>
      <c r="CB130" s="139" t="str">
        <f>IFERROR(__xludf.DUMMYFUNCTION("""COMPUTED_VALUE"""),"-")</f>
        <v>-</v>
      </c>
      <c r="CC130" s="139" t="str">
        <f>IFERROR(__xludf.DUMMYFUNCTION("""COMPUTED_VALUE"""),"※ID管理未記入")</f>
        <v>※ID管理未記入</v>
      </c>
      <c r="CD130" s="139"/>
      <c r="CE130" s="139" t="str">
        <f>IFERROR(__xludf.DUMMYFUNCTION("""COMPUTED_VALUE"""),"該当なし")</f>
        <v>該当なし</v>
      </c>
      <c r="CF130" s="139" t="str">
        <f>IFERROR(__xludf.DUMMYFUNCTION("""COMPUTED_VALUE"""),"#VALUE!")</f>
        <v>#VALUE!</v>
      </c>
      <c r="CG130" s="139"/>
      <c r="CH130" s="139"/>
      <c r="CI130" s="139" t="str">
        <f>IFERROR(__xludf.DUMMYFUNCTION("""COMPUTED_VALUE"""),"該当なし")</f>
        <v>該当なし</v>
      </c>
      <c r="CJ130" s="139" t="str">
        <f>IFERROR(__xludf.DUMMYFUNCTION("""COMPUTED_VALUE"""),"#VALUE!")</f>
        <v>#VALUE!</v>
      </c>
      <c r="CK130" s="139"/>
      <c r="CL130" s="139"/>
      <c r="CM130" s="139"/>
      <c r="CN130" s="675">
        <f>IFERROR(__xludf.DUMMYFUNCTION("""COMPUTED_VALUE"""),5.0)</f>
        <v>5</v>
      </c>
      <c r="CO130" s="139" t="str">
        <f>IFERROR(__xludf.DUMMYFUNCTION("""COMPUTED_VALUE"""),"-")</f>
        <v>-</v>
      </c>
      <c r="CP130" s="139" t="str">
        <f>IFERROR(__xludf.DUMMYFUNCTION("""COMPUTED_VALUE"""),"-")</f>
        <v>-</v>
      </c>
      <c r="CQ130" s="139" t="str">
        <f>IFERROR(__xludf.DUMMYFUNCTION("""COMPUTED_VALUE"""),"-")</f>
        <v>-</v>
      </c>
      <c r="CR130" s="139"/>
      <c r="CS130" s="139"/>
      <c r="CT130" s="139"/>
      <c r="CU130" s="139"/>
      <c r="CV130" s="139"/>
      <c r="CW130" s="139"/>
      <c r="CX130" s="674" t="str">
        <f>IFERROR(__xludf.DUMMYFUNCTION("""COMPUTED_VALUE"""),"")</f>
        <v/>
      </c>
      <c r="CY130" s="675" t="str">
        <f>IFERROR(__xludf.DUMMYFUNCTION("""COMPUTED_VALUE"""),"")</f>
        <v/>
      </c>
      <c r="CZ130" s="688" t="str">
        <f>IFERROR(__xludf.DUMMYFUNCTION("""COMPUTED_VALUE"""),"-")</f>
        <v>-</v>
      </c>
      <c r="DA130" s="688">
        <f>IFERROR(__xludf.DUMMYFUNCTION("""COMPUTED_VALUE"""),0.0)</f>
        <v>0</v>
      </c>
      <c r="DB130" s="688">
        <f>IFERROR(__xludf.DUMMYFUNCTION("""COMPUTED_VALUE"""),0.0)</f>
        <v>0</v>
      </c>
      <c r="DC130" s="673" t="str">
        <f>IFERROR(__xludf.DUMMYFUNCTION("""COMPUTED_VALUE"""),"-")</f>
        <v>-</v>
      </c>
      <c r="DD130" s="673" t="str">
        <f>IFERROR(__xludf.DUMMYFUNCTION("""COMPUTED_VALUE"""),"-")</f>
        <v>-</v>
      </c>
      <c r="DE130" s="139" t="str">
        <f>IFERROR(__xludf.DUMMYFUNCTION("""COMPUTED_VALUE"""),"-")</f>
        <v>-</v>
      </c>
      <c r="DF130" s="139" t="str">
        <f>IFERROR(__xludf.DUMMYFUNCTION("""COMPUTED_VALUE"""),"-")</f>
        <v>-</v>
      </c>
      <c r="DG130" s="139" t="str">
        <f>IFERROR(__xludf.DUMMYFUNCTION("""COMPUTED_VALUE"""),"-")</f>
        <v>-</v>
      </c>
      <c r="DH130" s="139" t="str">
        <f>IFERROR(__xludf.DUMMYFUNCTION("""COMPUTED_VALUE"""),"-")</f>
        <v>-</v>
      </c>
      <c r="DI130" s="139" t="str">
        <f>IFERROR(__xludf.DUMMYFUNCTION("""COMPUTED_VALUE"""),"-")</f>
        <v>-</v>
      </c>
      <c r="DJ130" s="139" t="str">
        <f>IFERROR(__xludf.DUMMYFUNCTION("""COMPUTED_VALUE"""),"-")</f>
        <v>-</v>
      </c>
    </row>
    <row r="131">
      <c r="A131" s="139" t="str">
        <f>IFERROR(__xludf.DUMMYFUNCTION("""COMPUTED_VALUE"""),"ラーメン赤猫")</f>
        <v>ラーメン赤猫</v>
      </c>
      <c r="B131" s="139" t="str">
        <f>IFERROR(__xludf.DUMMYFUNCTION("""COMPUTED_VALUE"""),"ハナ")</f>
        <v>ハナ</v>
      </c>
      <c r="C131" s="139" t="str">
        <f>IFERROR(__xludf.DUMMYFUNCTION("""COMPUTED_VALUE"""),"chara_aka_00201")</f>
        <v>chara_aka_00201</v>
      </c>
      <c r="D131" s="139" t="str">
        <f>IFERROR(__xludf.DUMMYFUNCTION("""COMPUTED_VALUE"""),"DropSR")</f>
        <v>DropSR</v>
      </c>
      <c r="E131" s="139" t="str">
        <f>IFERROR(__xludf.DUMMYFUNCTION("""COMPUTED_VALUE"""),"赤")</f>
        <v>赤</v>
      </c>
      <c r="F131" s="139" t="str">
        <f>IFERROR(__xludf.DUMMYFUNCTION("""COMPUTED_VALUE"""),"サポート")</f>
        <v>サポート</v>
      </c>
      <c r="G131" s="139" t="str">
        <f>IFERROR(__xludf.DUMMYFUNCTION("""COMPUTED_VALUE"""),"※ID管理未記入")</f>
        <v>※ID管理未記入</v>
      </c>
      <c r="H131" s="139" t="str">
        <f>IFERROR(__xludf.DUMMYFUNCTION("""COMPUTED_VALUE"""),"-")</f>
        <v>-</v>
      </c>
      <c r="I131" s="139" t="str">
        <f>IFERROR(__xludf.DUMMYFUNCTION("""COMPUTED_VALUE"""),"-")</f>
        <v>-</v>
      </c>
      <c r="J131" s="139" t="str">
        <f>IFERROR(__xludf.DUMMYFUNCTION("""COMPUTED_VALUE"""),"202605020_アニマル祭")</f>
        <v>202605020_アニマル祭</v>
      </c>
      <c r="K131" s="139" t="str">
        <f>IFERROR(__xludf.DUMMYFUNCTION("""COMPUTED_VALUE"""),"2026年5月中旬のアニマル祭りで実装予定")</f>
        <v>2026年5月中旬のアニマル祭りで実装予定</v>
      </c>
      <c r="L131" s="139" t="str">
        <f>IFERROR(__xludf.DUMMYFUNCTION("""COMPUTED_VALUE"""),"※")</f>
        <v>※</v>
      </c>
      <c r="M131" s="674">
        <f>IFERROR(__xludf.DUMMYFUNCTION("""COMPUTED_VALUE"""),0.0)</f>
        <v>0</v>
      </c>
      <c r="N131" s="139">
        <f>IFERROR(__xludf.DUMMYFUNCTION("""COMPUTED_VALUE"""),0.0)</f>
        <v>0</v>
      </c>
      <c r="O131" s="139"/>
      <c r="P131" s="139">
        <f>IFERROR(__xludf.DUMMYFUNCTION("""COMPUTED_VALUE"""),0.0)</f>
        <v>0</v>
      </c>
      <c r="Q131" s="675">
        <f>IFERROR(__xludf.DUMMYFUNCTION("""COMPUTED_VALUE"""),0.0)</f>
        <v>0</v>
      </c>
      <c r="R131" s="675">
        <f>IFERROR(__xludf.DUMMYFUNCTION("""COMPUTED_VALUE"""),0.0)</f>
        <v>0</v>
      </c>
      <c r="S131" s="675">
        <f>IFERROR(__xludf.DUMMYFUNCTION("""COMPUTED_VALUE"""),-2.5)</f>
        <v>-2.5</v>
      </c>
      <c r="T131" s="674">
        <f>IFERROR(__xludf.DUMMYFUNCTION("""COMPUTED_VALUE"""),225.0)</f>
        <v>225</v>
      </c>
      <c r="U131" s="675">
        <f>IFERROR(__xludf.DUMMYFUNCTION("""COMPUTED_VALUE"""),4.5)</f>
        <v>4.5</v>
      </c>
      <c r="V131" s="675">
        <f>IFERROR(__xludf.DUMMYFUNCTION("""COMPUTED_VALUE"""),0.0)</f>
        <v>0</v>
      </c>
      <c r="W131" s="675">
        <f>IFERROR(__xludf.DUMMYFUNCTION("""COMPUTED_VALUE"""),0.0)</f>
        <v>0</v>
      </c>
      <c r="X131" s="675">
        <f>IFERROR(__xludf.DUMMYFUNCTION("""COMPUTED_VALUE"""),0.0)</f>
        <v>0</v>
      </c>
      <c r="Y131" s="674">
        <f>IFERROR(__xludf.DUMMYFUNCTION("""COMPUTED_VALUE"""),100.0)</f>
        <v>100</v>
      </c>
      <c r="Z131" s="675">
        <f>IFERROR(__xludf.DUMMYFUNCTION("""COMPUTED_VALUE"""),2.0)</f>
        <v>2</v>
      </c>
      <c r="AA131" s="675">
        <f>IFERROR(__xludf.DUMMYFUNCTION("""COMPUTED_VALUE"""),0.0)</f>
        <v>0</v>
      </c>
      <c r="AB131" s="673">
        <f>IFERROR(__xludf.DUMMYFUNCTION("""COMPUTED_VALUE"""),0.0)</f>
        <v>0</v>
      </c>
      <c r="AC131" s="675">
        <f>IFERROR(__xludf.DUMMYFUNCTION("""COMPUTED_VALUE"""),0.0)</f>
        <v>0</v>
      </c>
      <c r="AD131" s="674">
        <f>IFERROR(__xludf.DUMMYFUNCTION("""COMPUTED_VALUE"""),250.0)</f>
        <v>250</v>
      </c>
      <c r="AE131" s="675">
        <f>IFERROR(__xludf.DUMMYFUNCTION("""COMPUTED_VALUE"""),5.0)</f>
        <v>5</v>
      </c>
      <c r="AF131" s="675">
        <f>IFERROR(__xludf.DUMMYFUNCTION("""COMPUTED_VALUE"""),0.0)</f>
        <v>0</v>
      </c>
      <c r="AG131" s="673">
        <f>IFERROR(__xludf.DUMMYFUNCTION("""COMPUTED_VALUE"""),0.0)</f>
        <v>0</v>
      </c>
      <c r="AH131" s="675">
        <f>IFERROR(__xludf.DUMMYFUNCTION("""COMPUTED_VALUE"""),0.0)</f>
        <v>0</v>
      </c>
      <c r="AI131" s="139" t="str">
        <f>IFERROR(__xludf.DUMMYFUNCTION("""COMPUTED_VALUE"""),"-")</f>
        <v>-</v>
      </c>
      <c r="AJ131" s="675" t="str">
        <f>IFERROR(__xludf.DUMMYFUNCTION("""COMPUTED_VALUE"""),"-")</f>
        <v>-</v>
      </c>
      <c r="AK131" s="139">
        <f>IFERROR(__xludf.DUMMYFUNCTION("""COMPUTED_VALUE"""),0.0)</f>
        <v>0</v>
      </c>
      <c r="AL131" s="674">
        <f>IFERROR(__xludf.DUMMYFUNCTION("""COMPUTED_VALUE"""),0.0)</f>
        <v>0</v>
      </c>
      <c r="AM131" s="688">
        <f>IFERROR(__xludf.DUMMYFUNCTION("""COMPUTED_VALUE"""),0.0)</f>
        <v>0</v>
      </c>
      <c r="AN131" s="675">
        <f>IFERROR(__xludf.DUMMYFUNCTION("""COMPUTED_VALUE"""),0.0)</f>
        <v>0</v>
      </c>
      <c r="AO131" s="675">
        <f>IFERROR(__xludf.DUMMYFUNCTION("""COMPUTED_VALUE"""),0.0)</f>
        <v>0</v>
      </c>
      <c r="AP131" s="674">
        <f>IFERROR(__xludf.DUMMYFUNCTION("""COMPUTED_VALUE"""),0.0)</f>
        <v>0</v>
      </c>
      <c r="AQ131" s="673">
        <f>IFERROR(__xludf.DUMMYFUNCTION("""COMPUTED_VALUE"""),-0.4)</f>
        <v>-0.4</v>
      </c>
      <c r="AR131" s="673">
        <f>IFERROR(__xludf.DUMMYFUNCTION("""COMPUTED_VALUE"""),0.0)</f>
        <v>0</v>
      </c>
      <c r="AS131" s="673">
        <f>IFERROR(__xludf.DUMMYFUNCTION("""COMPUTED_VALUE"""),0.0)</f>
        <v>0</v>
      </c>
      <c r="AT131" s="673">
        <f>IFERROR(__xludf.DUMMYFUNCTION("""COMPUTED_VALUE"""),0.0)</f>
        <v>0</v>
      </c>
      <c r="AU131" s="675">
        <f>IFERROR(__xludf.DUMMYFUNCTION("""COMPUTED_VALUE"""),0.0)</f>
        <v>0</v>
      </c>
      <c r="AV131" s="675">
        <f>IFERROR(__xludf.DUMMYFUNCTION("""COMPUTED_VALUE"""),0.0)</f>
        <v>0</v>
      </c>
      <c r="AW131" s="139"/>
      <c r="AX131" s="674" t="str">
        <f>IFERROR(__xludf.DUMMYFUNCTION("""COMPUTED_VALUE"""),"※通常攻撃範囲を入力！(CD列)")</f>
        <v>※通常攻撃範囲を入力！(CD列)</v>
      </c>
      <c r="AY131" s="688" t="str">
        <f>IFERROR(__xludf.DUMMYFUNCTION("""COMPUTED_VALUE"""),"#VALUE!")</f>
        <v>#VALUE!</v>
      </c>
      <c r="AZ131" s="674" t="str">
        <f>IFERROR(__xludf.DUMMYFUNCTION("""COMPUTED_VALUE"""),"#VALUE!")</f>
        <v>#VALUE!</v>
      </c>
      <c r="BA131" s="688" t="str">
        <f>IFERROR(__xludf.DUMMYFUNCTION("""COMPUTED_VALUE"""),"#VALUE!")</f>
        <v>#VALUE!</v>
      </c>
      <c r="BB131" s="688" t="str">
        <f>IFERROR(__xludf.DUMMYFUNCTION("""COMPUTED_VALUE"""),"-")</f>
        <v>-</v>
      </c>
      <c r="BC131" s="688" t="str">
        <f>IFERROR(__xludf.DUMMYFUNCTION("""COMPUTED_VALUE"""),"#VALUE!")</f>
        <v>#VALUE!</v>
      </c>
      <c r="BD131" s="688" t="str">
        <f>IFERROR(__xludf.DUMMYFUNCTION("""COMPUTED_VALUE"""),"#VALUE!")</f>
        <v>#VALUE!</v>
      </c>
      <c r="BE131" s="674" t="str">
        <f>IFERROR(__xludf.DUMMYFUNCTION("""COMPUTED_VALUE"""),"#VALUE!")</f>
        <v>#VALUE!</v>
      </c>
      <c r="BF131" s="674">
        <f>IFERROR(__xludf.DUMMYFUNCTION("""COMPUTED_VALUE"""),0.0)</f>
        <v>0</v>
      </c>
      <c r="BG131" s="673">
        <f>IFERROR(__xludf.DUMMYFUNCTION("""COMPUTED_VALUE"""),0.0)</f>
        <v>0</v>
      </c>
      <c r="BH131" s="673">
        <f>IFERROR(__xludf.DUMMYFUNCTION("""COMPUTED_VALUE"""),-0.3)</f>
        <v>-0.3</v>
      </c>
      <c r="BI131" s="673">
        <f>IFERROR(__xludf.DUMMYFUNCTION("""COMPUTED_VALUE"""),0.0)</f>
        <v>0</v>
      </c>
      <c r="BJ131" s="673">
        <f>IFERROR(__xludf.DUMMYFUNCTION("""COMPUTED_VALUE"""),0.0)</f>
        <v>0</v>
      </c>
      <c r="BK131" s="673">
        <f>IFERROR(__xludf.DUMMYFUNCTION("""COMPUTED_VALUE"""),0.0)</f>
        <v>0</v>
      </c>
      <c r="BL131" s="673">
        <f>IFERROR(__xludf.DUMMYFUNCTION("""COMPUTED_VALUE"""),0.0)</f>
        <v>0</v>
      </c>
      <c r="BM131" s="674">
        <f>IFERROR(__xludf.DUMMYFUNCTION("""COMPUTED_VALUE"""),0.0)</f>
        <v>0</v>
      </c>
      <c r="BN131" s="674">
        <f>IFERROR(__xludf.DUMMYFUNCTION("""COMPUTED_VALUE"""),0.0)</f>
        <v>0</v>
      </c>
      <c r="BO131" s="675">
        <f>IFERROR(__xludf.DUMMYFUNCTION("""COMPUTED_VALUE"""),0.0)</f>
        <v>0</v>
      </c>
      <c r="BP131" s="675">
        <f>IFERROR(__xludf.DUMMYFUNCTION("""COMPUTED_VALUE"""),0.0)</f>
        <v>0</v>
      </c>
      <c r="BQ131" s="139"/>
      <c r="BR131" s="139">
        <f>IFERROR(__xludf.DUMMYFUNCTION("""COMPUTED_VALUE"""),2.0)</f>
        <v>2</v>
      </c>
      <c r="BS131" s="139" t="str">
        <f>IFERROR(__xludf.DUMMYFUNCTION("""COMPUTED_VALUE"""),"※移動を入力！(BV列)")</f>
        <v>※移動を入力！(BV列)</v>
      </c>
      <c r="BT131" s="139" t="str">
        <f>IFERROR(__xludf.DUMMYFUNCTION("""COMPUTED_VALUE"""),"※攻撃手段を入力(BQ列)")</f>
        <v>※攻撃手段を入力(BQ列)</v>
      </c>
      <c r="BU131" s="139">
        <f>IFERROR(__xludf.DUMMYFUNCTION("""COMPUTED_VALUE"""),0.0)</f>
        <v>0</v>
      </c>
      <c r="BV131" s="139"/>
      <c r="BW131" s="139"/>
      <c r="BX131" s="139" t="str">
        <f>IFERROR(__xludf.DUMMYFUNCTION("""COMPUTED_VALUE"""),"※特性を選択!!(BW列)")</f>
        <v>※特性を選択!!(BW列)</v>
      </c>
      <c r="BY131" s="139">
        <f>IFERROR(__xludf.DUMMYFUNCTION("""COMPUTED_VALUE"""),2.0)</f>
        <v>2</v>
      </c>
      <c r="BZ131" s="139"/>
      <c r="CA131" s="139" t="str">
        <f>IFERROR(__xludf.DUMMYFUNCTION("""COMPUTED_VALUE"""),"※特性を選択!!(BW列)")</f>
        <v>※特性を選択!!(BW列)</v>
      </c>
      <c r="CB131" s="139" t="str">
        <f>IFERROR(__xludf.DUMMYFUNCTION("""COMPUTED_VALUE"""),"-")</f>
        <v>-</v>
      </c>
      <c r="CC131" s="139" t="str">
        <f>IFERROR(__xludf.DUMMYFUNCTION("""COMPUTED_VALUE"""),"※ID管理未記入")</f>
        <v>※ID管理未記入</v>
      </c>
      <c r="CD131" s="139"/>
      <c r="CE131" s="139" t="str">
        <f>IFERROR(__xludf.DUMMYFUNCTION("""COMPUTED_VALUE"""),"該当なし")</f>
        <v>該当なし</v>
      </c>
      <c r="CF131" s="139" t="str">
        <f>IFERROR(__xludf.DUMMYFUNCTION("""COMPUTED_VALUE"""),"#VALUE!")</f>
        <v>#VALUE!</v>
      </c>
      <c r="CG131" s="139"/>
      <c r="CH131" s="139"/>
      <c r="CI131" s="139" t="str">
        <f>IFERROR(__xludf.DUMMYFUNCTION("""COMPUTED_VALUE"""),"該当なし")</f>
        <v>該当なし</v>
      </c>
      <c r="CJ131" s="139" t="str">
        <f>IFERROR(__xludf.DUMMYFUNCTION("""COMPUTED_VALUE"""),"#VALUE!")</f>
        <v>#VALUE!</v>
      </c>
      <c r="CK131" s="139"/>
      <c r="CL131" s="139"/>
      <c r="CM131" s="139"/>
      <c r="CN131" s="675">
        <f>IFERROR(__xludf.DUMMYFUNCTION("""COMPUTED_VALUE"""),5.0)</f>
        <v>5</v>
      </c>
      <c r="CO131" s="139" t="str">
        <f>IFERROR(__xludf.DUMMYFUNCTION("""COMPUTED_VALUE"""),"-")</f>
        <v>-</v>
      </c>
      <c r="CP131" s="139" t="str">
        <f>IFERROR(__xludf.DUMMYFUNCTION("""COMPUTED_VALUE"""),"-")</f>
        <v>-</v>
      </c>
      <c r="CQ131" s="139" t="str">
        <f>IFERROR(__xludf.DUMMYFUNCTION("""COMPUTED_VALUE"""),"-")</f>
        <v>-</v>
      </c>
      <c r="CR131" s="139"/>
      <c r="CS131" s="139"/>
      <c r="CT131" s="139"/>
      <c r="CU131" s="139"/>
      <c r="CV131" s="139"/>
      <c r="CW131" s="139"/>
      <c r="CX131" s="674" t="str">
        <f>IFERROR(__xludf.DUMMYFUNCTION("""COMPUTED_VALUE"""),"")</f>
        <v/>
      </c>
      <c r="CY131" s="675" t="str">
        <f>IFERROR(__xludf.DUMMYFUNCTION("""COMPUTED_VALUE"""),"")</f>
        <v/>
      </c>
      <c r="CZ131" s="688" t="str">
        <f>IFERROR(__xludf.DUMMYFUNCTION("""COMPUTED_VALUE"""),"-")</f>
        <v>-</v>
      </c>
      <c r="DA131" s="688">
        <f>IFERROR(__xludf.DUMMYFUNCTION("""COMPUTED_VALUE"""),0.0)</f>
        <v>0</v>
      </c>
      <c r="DB131" s="688">
        <f>IFERROR(__xludf.DUMMYFUNCTION("""COMPUTED_VALUE"""),0.0)</f>
        <v>0</v>
      </c>
      <c r="DC131" s="673" t="str">
        <f>IFERROR(__xludf.DUMMYFUNCTION("""COMPUTED_VALUE"""),"-")</f>
        <v>-</v>
      </c>
      <c r="DD131" s="673" t="str">
        <f>IFERROR(__xludf.DUMMYFUNCTION("""COMPUTED_VALUE"""),"-")</f>
        <v>-</v>
      </c>
      <c r="DE131" s="139" t="str">
        <f>IFERROR(__xludf.DUMMYFUNCTION("""COMPUTED_VALUE"""),"-")</f>
        <v>-</v>
      </c>
      <c r="DF131" s="139" t="str">
        <f>IFERROR(__xludf.DUMMYFUNCTION("""COMPUTED_VALUE"""),"-")</f>
        <v>-</v>
      </c>
      <c r="DG131" s="139" t="str">
        <f>IFERROR(__xludf.DUMMYFUNCTION("""COMPUTED_VALUE"""),"-")</f>
        <v>-</v>
      </c>
      <c r="DH131" s="139" t="str">
        <f>IFERROR(__xludf.DUMMYFUNCTION("""COMPUTED_VALUE"""),"-")</f>
        <v>-</v>
      </c>
      <c r="DI131" s="139" t="str">
        <f>IFERROR(__xludf.DUMMYFUNCTION("""COMPUTED_VALUE"""),"-")</f>
        <v>-</v>
      </c>
      <c r="DJ131" s="139" t="str">
        <f>IFERROR(__xludf.DUMMYFUNCTION("""COMPUTED_VALUE"""),"-")</f>
        <v>-</v>
      </c>
    </row>
    <row r="132">
      <c r="A132" s="139" t="str">
        <f>IFERROR(__xludf.DUMMYFUNCTION("""COMPUTED_VALUE"""),"ラーメン赤猫")</f>
        <v>ラーメン赤猫</v>
      </c>
      <c r="B132" s="139" t="str">
        <f>IFERROR(__xludf.DUMMYFUNCTION("""COMPUTED_VALUE"""),"サブ")</f>
        <v>サブ</v>
      </c>
      <c r="C132" s="139" t="str">
        <f>IFERROR(__xludf.DUMMYFUNCTION("""COMPUTED_VALUE"""),"chara_aka_00301")</f>
        <v>chara_aka_00301</v>
      </c>
      <c r="D132" s="139" t="str">
        <f>IFERROR(__xludf.DUMMYFUNCTION("""COMPUTED_VALUE"""),"DropSR")</f>
        <v>DropSR</v>
      </c>
      <c r="E132" s="139" t="str">
        <f>IFERROR(__xludf.DUMMYFUNCTION("""COMPUTED_VALUE"""),"緑")</f>
        <v>緑</v>
      </c>
      <c r="F132" s="139" t="str">
        <f>IFERROR(__xludf.DUMMYFUNCTION("""COMPUTED_VALUE"""),"アタック")</f>
        <v>アタック</v>
      </c>
      <c r="G132" s="139" t="str">
        <f>IFERROR(__xludf.DUMMYFUNCTION("""COMPUTED_VALUE"""),"※ID管理未記入")</f>
        <v>※ID管理未記入</v>
      </c>
      <c r="H132" s="139" t="str">
        <f>IFERROR(__xludf.DUMMYFUNCTION("""COMPUTED_VALUE"""),"dageki_1")</f>
        <v>dageki_1</v>
      </c>
      <c r="I132" s="139" t="str">
        <f>IFERROR(__xludf.DUMMYFUNCTION("""COMPUTED_VALUE"""),"shageki_1")</f>
        <v>shageki_1</v>
      </c>
      <c r="J132" s="139" t="str">
        <f>IFERROR(__xludf.DUMMYFUNCTION("""COMPUTED_VALUE"""),"202605020_アニマル祭")</f>
        <v>202605020_アニマル祭</v>
      </c>
      <c r="K132" s="139" t="str">
        <f>IFERROR(__xludf.DUMMYFUNCTION("""COMPUTED_VALUE"""),"2026年5月中旬のアニマル祭りで実装予定")</f>
        <v>2026年5月中旬のアニマル祭りで実装予定</v>
      </c>
      <c r="L132" s="139" t="str">
        <f>IFERROR(__xludf.DUMMYFUNCTION("""COMPUTED_VALUE"""),"※")</f>
        <v>※</v>
      </c>
      <c r="M132" s="674">
        <f>IFERROR(__xludf.DUMMYFUNCTION("""COMPUTED_VALUE"""),0.0)</f>
        <v>0</v>
      </c>
      <c r="N132" s="139">
        <f>IFERROR(__xludf.DUMMYFUNCTION("""COMPUTED_VALUE"""),0.0)</f>
        <v>0</v>
      </c>
      <c r="O132" s="139"/>
      <c r="P132" s="139">
        <f>IFERROR(__xludf.DUMMYFUNCTION("""COMPUTED_VALUE"""),0.0)</f>
        <v>0</v>
      </c>
      <c r="Q132" s="675">
        <f>IFERROR(__xludf.DUMMYFUNCTION("""COMPUTED_VALUE"""),0.0)</f>
        <v>0</v>
      </c>
      <c r="R132" s="675">
        <f>IFERROR(__xludf.DUMMYFUNCTION("""COMPUTED_VALUE"""),0.0)</f>
        <v>0</v>
      </c>
      <c r="S132" s="675">
        <f>IFERROR(__xludf.DUMMYFUNCTION("""COMPUTED_VALUE"""),-2.5)</f>
        <v>-2.5</v>
      </c>
      <c r="T132" s="674">
        <f>IFERROR(__xludf.DUMMYFUNCTION("""COMPUTED_VALUE"""),225.0)</f>
        <v>225</v>
      </c>
      <c r="U132" s="675">
        <f>IFERROR(__xludf.DUMMYFUNCTION("""COMPUTED_VALUE"""),4.5)</f>
        <v>4.5</v>
      </c>
      <c r="V132" s="675">
        <f>IFERROR(__xludf.DUMMYFUNCTION("""COMPUTED_VALUE"""),0.0)</f>
        <v>0</v>
      </c>
      <c r="W132" s="675">
        <f>IFERROR(__xludf.DUMMYFUNCTION("""COMPUTED_VALUE"""),0.0)</f>
        <v>0</v>
      </c>
      <c r="X132" s="675">
        <f>IFERROR(__xludf.DUMMYFUNCTION("""COMPUTED_VALUE"""),0.0)</f>
        <v>0</v>
      </c>
      <c r="Y132" s="674">
        <f>IFERROR(__xludf.DUMMYFUNCTION("""COMPUTED_VALUE"""),100.0)</f>
        <v>100</v>
      </c>
      <c r="Z132" s="675">
        <f>IFERROR(__xludf.DUMMYFUNCTION("""COMPUTED_VALUE"""),2.0)</f>
        <v>2</v>
      </c>
      <c r="AA132" s="675">
        <f>IFERROR(__xludf.DUMMYFUNCTION("""COMPUTED_VALUE"""),0.0)</f>
        <v>0</v>
      </c>
      <c r="AB132" s="673">
        <f>IFERROR(__xludf.DUMMYFUNCTION("""COMPUTED_VALUE"""),0.0)</f>
        <v>0</v>
      </c>
      <c r="AC132" s="675">
        <f>IFERROR(__xludf.DUMMYFUNCTION("""COMPUTED_VALUE"""),0.0)</f>
        <v>0</v>
      </c>
      <c r="AD132" s="674">
        <f>IFERROR(__xludf.DUMMYFUNCTION("""COMPUTED_VALUE"""),250.0)</f>
        <v>250</v>
      </c>
      <c r="AE132" s="675">
        <f>IFERROR(__xludf.DUMMYFUNCTION("""COMPUTED_VALUE"""),5.0)</f>
        <v>5</v>
      </c>
      <c r="AF132" s="675">
        <f>IFERROR(__xludf.DUMMYFUNCTION("""COMPUTED_VALUE"""),0.0)</f>
        <v>0</v>
      </c>
      <c r="AG132" s="673">
        <f>IFERROR(__xludf.DUMMYFUNCTION("""COMPUTED_VALUE"""),0.0)</f>
        <v>0</v>
      </c>
      <c r="AH132" s="675">
        <f>IFERROR(__xludf.DUMMYFUNCTION("""COMPUTED_VALUE"""),0.0)</f>
        <v>0</v>
      </c>
      <c r="AI132" s="139" t="str">
        <f>IFERROR(__xludf.DUMMYFUNCTION("""COMPUTED_VALUE"""),"-")</f>
        <v>-</v>
      </c>
      <c r="AJ132" s="675" t="str">
        <f>IFERROR(__xludf.DUMMYFUNCTION("""COMPUTED_VALUE"""),"-")</f>
        <v>-</v>
      </c>
      <c r="AK132" s="139">
        <f>IFERROR(__xludf.DUMMYFUNCTION("""COMPUTED_VALUE"""),0.0)</f>
        <v>0</v>
      </c>
      <c r="AL132" s="674">
        <f>IFERROR(__xludf.DUMMYFUNCTION("""COMPUTED_VALUE"""),0.0)</f>
        <v>0</v>
      </c>
      <c r="AM132" s="688">
        <f>IFERROR(__xludf.DUMMYFUNCTION("""COMPUTED_VALUE"""),0.0)</f>
        <v>0</v>
      </c>
      <c r="AN132" s="675">
        <f>IFERROR(__xludf.DUMMYFUNCTION("""COMPUTED_VALUE"""),0.0)</f>
        <v>0</v>
      </c>
      <c r="AO132" s="675">
        <f>IFERROR(__xludf.DUMMYFUNCTION("""COMPUTED_VALUE"""),0.0)</f>
        <v>0</v>
      </c>
      <c r="AP132" s="674">
        <f>IFERROR(__xludf.DUMMYFUNCTION("""COMPUTED_VALUE"""),0.0)</f>
        <v>0</v>
      </c>
      <c r="AQ132" s="673">
        <f>IFERROR(__xludf.DUMMYFUNCTION("""COMPUTED_VALUE"""),-0.2)</f>
        <v>-0.2</v>
      </c>
      <c r="AR132" s="673">
        <f>IFERROR(__xludf.DUMMYFUNCTION("""COMPUTED_VALUE"""),0.0)</f>
        <v>0</v>
      </c>
      <c r="AS132" s="673">
        <f>IFERROR(__xludf.DUMMYFUNCTION("""COMPUTED_VALUE"""),0.0)</f>
        <v>0</v>
      </c>
      <c r="AT132" s="673">
        <f>IFERROR(__xludf.DUMMYFUNCTION("""COMPUTED_VALUE"""),0.0)</f>
        <v>0</v>
      </c>
      <c r="AU132" s="675">
        <f>IFERROR(__xludf.DUMMYFUNCTION("""COMPUTED_VALUE"""),0.0)</f>
        <v>0</v>
      </c>
      <c r="AV132" s="675">
        <f>IFERROR(__xludf.DUMMYFUNCTION("""COMPUTED_VALUE"""),0.0)</f>
        <v>0</v>
      </c>
      <c r="AW132" s="139"/>
      <c r="AX132" s="674" t="str">
        <f>IFERROR(__xludf.DUMMYFUNCTION("""COMPUTED_VALUE"""),"※通常攻撃範囲を入力！(CD列)")</f>
        <v>※通常攻撃範囲を入力！(CD列)</v>
      </c>
      <c r="AY132" s="688" t="str">
        <f>IFERROR(__xludf.DUMMYFUNCTION("""COMPUTED_VALUE"""),"#VALUE!")</f>
        <v>#VALUE!</v>
      </c>
      <c r="AZ132" s="674" t="str">
        <f>IFERROR(__xludf.DUMMYFUNCTION("""COMPUTED_VALUE"""),"#VALUE!")</f>
        <v>#VALUE!</v>
      </c>
      <c r="BA132" s="688" t="str">
        <f>IFERROR(__xludf.DUMMYFUNCTION("""COMPUTED_VALUE"""),"#VALUE!")</f>
        <v>#VALUE!</v>
      </c>
      <c r="BB132" s="688" t="str">
        <f>IFERROR(__xludf.DUMMYFUNCTION("""COMPUTED_VALUE"""),"-")</f>
        <v>-</v>
      </c>
      <c r="BC132" s="688" t="str">
        <f>IFERROR(__xludf.DUMMYFUNCTION("""COMPUTED_VALUE"""),"#VALUE!")</f>
        <v>#VALUE!</v>
      </c>
      <c r="BD132" s="688" t="str">
        <f>IFERROR(__xludf.DUMMYFUNCTION("""COMPUTED_VALUE"""),"#VALUE!")</f>
        <v>#VALUE!</v>
      </c>
      <c r="BE132" s="674" t="str">
        <f>IFERROR(__xludf.DUMMYFUNCTION("""COMPUTED_VALUE"""),"#VALUE!")</f>
        <v>#VALUE!</v>
      </c>
      <c r="BF132" s="674">
        <f>IFERROR(__xludf.DUMMYFUNCTION("""COMPUTED_VALUE"""),0.0)</f>
        <v>0</v>
      </c>
      <c r="BG132" s="673">
        <f>IFERROR(__xludf.DUMMYFUNCTION("""COMPUTED_VALUE"""),0.0)</f>
        <v>0</v>
      </c>
      <c r="BH132" s="673">
        <f>IFERROR(__xludf.DUMMYFUNCTION("""COMPUTED_VALUE"""),0.3)</f>
        <v>0.3</v>
      </c>
      <c r="BI132" s="673">
        <f>IFERROR(__xludf.DUMMYFUNCTION("""COMPUTED_VALUE"""),0.0)</f>
        <v>0</v>
      </c>
      <c r="BJ132" s="673">
        <f>IFERROR(__xludf.DUMMYFUNCTION("""COMPUTED_VALUE"""),0.0)</f>
        <v>0</v>
      </c>
      <c r="BK132" s="673">
        <f>IFERROR(__xludf.DUMMYFUNCTION("""COMPUTED_VALUE"""),0.0)</f>
        <v>0</v>
      </c>
      <c r="BL132" s="673">
        <f>IFERROR(__xludf.DUMMYFUNCTION("""COMPUTED_VALUE"""),0.0)</f>
        <v>0</v>
      </c>
      <c r="BM132" s="674">
        <f>IFERROR(__xludf.DUMMYFUNCTION("""COMPUTED_VALUE"""),0.0)</f>
        <v>0</v>
      </c>
      <c r="BN132" s="674">
        <f>IFERROR(__xludf.DUMMYFUNCTION("""COMPUTED_VALUE"""),0.0)</f>
        <v>0</v>
      </c>
      <c r="BO132" s="675">
        <f>IFERROR(__xludf.DUMMYFUNCTION("""COMPUTED_VALUE"""),0.0)</f>
        <v>0</v>
      </c>
      <c r="BP132" s="675">
        <f>IFERROR(__xludf.DUMMYFUNCTION("""COMPUTED_VALUE"""),0.0)</f>
        <v>0</v>
      </c>
      <c r="BQ132" s="139"/>
      <c r="BR132" s="139">
        <f>IFERROR(__xludf.DUMMYFUNCTION("""COMPUTED_VALUE"""),2.0)</f>
        <v>2</v>
      </c>
      <c r="BS132" s="139" t="str">
        <f>IFERROR(__xludf.DUMMYFUNCTION("""COMPUTED_VALUE"""),"※移動を入力！(BV列)")</f>
        <v>※移動を入力！(BV列)</v>
      </c>
      <c r="BT132" s="139" t="str">
        <f>IFERROR(__xludf.DUMMYFUNCTION("""COMPUTED_VALUE"""),"※攻撃手段を入力(BQ列)")</f>
        <v>※攻撃手段を入力(BQ列)</v>
      </c>
      <c r="BU132" s="139">
        <f>IFERROR(__xludf.DUMMYFUNCTION("""COMPUTED_VALUE"""),0.0)</f>
        <v>0</v>
      </c>
      <c r="BV132" s="139"/>
      <c r="BW132" s="139"/>
      <c r="BX132" s="139" t="str">
        <f>IFERROR(__xludf.DUMMYFUNCTION("""COMPUTED_VALUE"""),"※特性を選択!!(BW列)")</f>
        <v>※特性を選択!!(BW列)</v>
      </c>
      <c r="BY132" s="139">
        <f>IFERROR(__xludf.DUMMYFUNCTION("""COMPUTED_VALUE"""),2.0)</f>
        <v>2</v>
      </c>
      <c r="BZ132" s="139"/>
      <c r="CA132" s="139" t="str">
        <f>IFERROR(__xludf.DUMMYFUNCTION("""COMPUTED_VALUE"""),"※特性を選択!!(BW列)")</f>
        <v>※特性を選択!!(BW列)</v>
      </c>
      <c r="CB132" s="139" t="str">
        <f>IFERROR(__xludf.DUMMYFUNCTION("""COMPUTED_VALUE"""),"-")</f>
        <v>-</v>
      </c>
      <c r="CC132" s="139" t="str">
        <f>IFERROR(__xludf.DUMMYFUNCTION("""COMPUTED_VALUE"""),"※ID管理未記入")</f>
        <v>※ID管理未記入</v>
      </c>
      <c r="CD132" s="139"/>
      <c r="CE132" s="139" t="str">
        <f>IFERROR(__xludf.DUMMYFUNCTION("""COMPUTED_VALUE"""),"該当なし")</f>
        <v>該当なし</v>
      </c>
      <c r="CF132" s="139" t="str">
        <f>IFERROR(__xludf.DUMMYFUNCTION("""COMPUTED_VALUE"""),"#VALUE!")</f>
        <v>#VALUE!</v>
      </c>
      <c r="CG132" s="139"/>
      <c r="CH132" s="139"/>
      <c r="CI132" s="139" t="str">
        <f>IFERROR(__xludf.DUMMYFUNCTION("""COMPUTED_VALUE"""),"該当なし")</f>
        <v>該当なし</v>
      </c>
      <c r="CJ132" s="139" t="str">
        <f>IFERROR(__xludf.DUMMYFUNCTION("""COMPUTED_VALUE"""),"#VALUE!")</f>
        <v>#VALUE!</v>
      </c>
      <c r="CK132" s="139"/>
      <c r="CL132" s="139"/>
      <c r="CM132" s="139"/>
      <c r="CN132" s="675">
        <f>IFERROR(__xludf.DUMMYFUNCTION("""COMPUTED_VALUE"""),5.0)</f>
        <v>5</v>
      </c>
      <c r="CO132" s="139" t="str">
        <f>IFERROR(__xludf.DUMMYFUNCTION("""COMPUTED_VALUE"""),"-")</f>
        <v>-</v>
      </c>
      <c r="CP132" s="139" t="str">
        <f>IFERROR(__xludf.DUMMYFUNCTION("""COMPUTED_VALUE"""),"-")</f>
        <v>-</v>
      </c>
      <c r="CQ132" s="139" t="str">
        <f>IFERROR(__xludf.DUMMYFUNCTION("""COMPUTED_VALUE"""),"-")</f>
        <v>-</v>
      </c>
      <c r="CR132" s="139"/>
      <c r="CS132" s="139"/>
      <c r="CT132" s="139"/>
      <c r="CU132" s="139"/>
      <c r="CV132" s="139"/>
      <c r="CW132" s="139"/>
      <c r="CX132" s="674" t="str">
        <f>IFERROR(__xludf.DUMMYFUNCTION("""COMPUTED_VALUE"""),"")</f>
        <v/>
      </c>
      <c r="CY132" s="675" t="str">
        <f>IFERROR(__xludf.DUMMYFUNCTION("""COMPUTED_VALUE"""),"")</f>
        <v/>
      </c>
      <c r="CZ132" s="688" t="str">
        <f>IFERROR(__xludf.DUMMYFUNCTION("""COMPUTED_VALUE"""),"-")</f>
        <v>-</v>
      </c>
      <c r="DA132" s="688">
        <f>IFERROR(__xludf.DUMMYFUNCTION("""COMPUTED_VALUE"""),0.0)</f>
        <v>0</v>
      </c>
      <c r="DB132" s="688">
        <f>IFERROR(__xludf.DUMMYFUNCTION("""COMPUTED_VALUE"""),0.0)</f>
        <v>0</v>
      </c>
      <c r="DC132" s="673" t="str">
        <f>IFERROR(__xludf.DUMMYFUNCTION("""COMPUTED_VALUE"""),"-")</f>
        <v>-</v>
      </c>
      <c r="DD132" s="673" t="str">
        <f>IFERROR(__xludf.DUMMYFUNCTION("""COMPUTED_VALUE"""),"-")</f>
        <v>-</v>
      </c>
      <c r="DE132" s="139" t="str">
        <f>IFERROR(__xludf.DUMMYFUNCTION("""COMPUTED_VALUE"""),"-")</f>
        <v>-</v>
      </c>
      <c r="DF132" s="139" t="str">
        <f>IFERROR(__xludf.DUMMYFUNCTION("""COMPUTED_VALUE"""),"-")</f>
        <v>-</v>
      </c>
      <c r="DG132" s="139" t="str">
        <f>IFERROR(__xludf.DUMMYFUNCTION("""COMPUTED_VALUE"""),"-")</f>
        <v>-</v>
      </c>
      <c r="DH132" s="139" t="str">
        <f>IFERROR(__xludf.DUMMYFUNCTION("""COMPUTED_VALUE"""),"-")</f>
        <v>-</v>
      </c>
      <c r="DI132" s="139" t="str">
        <f>IFERROR(__xludf.DUMMYFUNCTION("""COMPUTED_VALUE"""),"-")</f>
        <v>-</v>
      </c>
      <c r="DJ132" s="139" t="str">
        <f>IFERROR(__xludf.DUMMYFUNCTION("""COMPUTED_VALUE"""),"-")</f>
        <v>-</v>
      </c>
    </row>
    <row r="133">
      <c r="A133" s="139" t="str">
        <f>IFERROR(__xludf.DUMMYFUNCTION("""COMPUTED_VALUE"""),"シバつき物件")</f>
        <v>シバつき物件</v>
      </c>
      <c r="B133" s="139" t="str">
        <f>IFERROR(__xludf.DUMMYFUNCTION("""COMPUTED_VALUE"""),"ホラー音痴の同居人 百瀬 氷")</f>
        <v>ホラー音痴の同居人 百瀬 氷</v>
      </c>
      <c r="C133" s="139" t="str">
        <f>IFERROR(__xludf.DUMMYFUNCTION("""COMPUTED_VALUE"""),"chara_sib_00001")</f>
        <v>chara_sib_00001</v>
      </c>
      <c r="D133" s="139" t="str">
        <f>IFERROR(__xludf.DUMMYFUNCTION("""COMPUTED_VALUE"""),"PremiumUR")</f>
        <v>PremiumUR</v>
      </c>
      <c r="E133" s="139" t="str">
        <f>IFERROR(__xludf.DUMMYFUNCTION("""COMPUTED_VALUE"""),"黄")</f>
        <v>黄</v>
      </c>
      <c r="F133" s="139" t="str">
        <f>IFERROR(__xludf.DUMMYFUNCTION("""COMPUTED_VALUE"""),"ディフェンス")</f>
        <v>ディフェンス</v>
      </c>
      <c r="G133" s="139" t="str">
        <f>IFERROR(__xludf.DUMMYFUNCTION("""COMPUTED_VALUE"""),"※ID管理未記入")</f>
        <v>※ID管理未記入</v>
      </c>
      <c r="H133" s="139" t="str">
        <f>IFERROR(__xludf.DUMMYFUNCTION("""COMPUTED_VALUE"""),"※ID管理未記入")</f>
        <v>※ID管理未記入</v>
      </c>
      <c r="I133" s="139" t="str">
        <f>IFERROR(__xludf.DUMMYFUNCTION("""COMPUTED_VALUE"""),"※ID管理未記入")</f>
        <v>※ID管理未記入</v>
      </c>
      <c r="J133" s="139" t="str">
        <f>IFERROR(__xludf.DUMMYFUNCTION("""COMPUTED_VALUE"""),"202605020_アニマル祭")</f>
        <v>202605020_アニマル祭</v>
      </c>
      <c r="K133" s="139" t="str">
        <f>IFERROR(__xludf.DUMMYFUNCTION("""COMPUTED_VALUE"""),"あやかしトライアングル いいジャン祭")</f>
        <v>あやかしトライアングル いいジャン祭</v>
      </c>
      <c r="L133" s="139" t="str">
        <f>IFERROR(__xludf.DUMMYFUNCTION("""COMPUTED_VALUE"""),"※")</f>
        <v>※</v>
      </c>
      <c r="M133" s="674">
        <f>IFERROR(__xludf.DUMMYFUNCTION("""COMPUTED_VALUE"""),0.0)</f>
        <v>0</v>
      </c>
      <c r="N133" s="139">
        <f>IFERROR(__xludf.DUMMYFUNCTION("""COMPUTED_VALUE"""),0.0)</f>
        <v>0</v>
      </c>
      <c r="O133" s="139"/>
      <c r="P133" s="139">
        <f>IFERROR(__xludf.DUMMYFUNCTION("""COMPUTED_VALUE"""),0.0)</f>
        <v>0</v>
      </c>
      <c r="Q133" s="675">
        <f>IFERROR(__xludf.DUMMYFUNCTION("""COMPUTED_VALUE"""),0.0)</f>
        <v>0</v>
      </c>
      <c r="R133" s="675">
        <f>IFERROR(__xludf.DUMMYFUNCTION("""COMPUTED_VALUE"""),0.0)</f>
        <v>0</v>
      </c>
      <c r="S133" s="675">
        <f>IFERROR(__xludf.DUMMYFUNCTION("""COMPUTED_VALUE"""),-2.5)</f>
        <v>-2.5</v>
      </c>
      <c r="T133" s="674">
        <f>IFERROR(__xludf.DUMMYFUNCTION("""COMPUTED_VALUE"""),225.0)</f>
        <v>225</v>
      </c>
      <c r="U133" s="675">
        <f>IFERROR(__xludf.DUMMYFUNCTION("""COMPUTED_VALUE"""),4.5)</f>
        <v>4.5</v>
      </c>
      <c r="V133" s="675">
        <f>IFERROR(__xludf.DUMMYFUNCTION("""COMPUTED_VALUE"""),0.0)</f>
        <v>0</v>
      </c>
      <c r="W133" s="675">
        <f>IFERROR(__xludf.DUMMYFUNCTION("""COMPUTED_VALUE"""),0.0)</f>
        <v>0</v>
      </c>
      <c r="X133" s="675">
        <f>IFERROR(__xludf.DUMMYFUNCTION("""COMPUTED_VALUE"""),0.0)</f>
        <v>0</v>
      </c>
      <c r="Y133" s="674">
        <f>IFERROR(__xludf.DUMMYFUNCTION("""COMPUTED_VALUE"""),100.0)</f>
        <v>100</v>
      </c>
      <c r="Z133" s="675">
        <f>IFERROR(__xludf.DUMMYFUNCTION("""COMPUTED_VALUE"""),2.0)</f>
        <v>2</v>
      </c>
      <c r="AA133" s="675">
        <f>IFERROR(__xludf.DUMMYFUNCTION("""COMPUTED_VALUE"""),0.0)</f>
        <v>0</v>
      </c>
      <c r="AB133" s="673">
        <f>IFERROR(__xludf.DUMMYFUNCTION("""COMPUTED_VALUE"""),0.0)</f>
        <v>0</v>
      </c>
      <c r="AC133" s="675">
        <f>IFERROR(__xludf.DUMMYFUNCTION("""COMPUTED_VALUE"""),0.0)</f>
        <v>0</v>
      </c>
      <c r="AD133" s="674">
        <f>IFERROR(__xludf.DUMMYFUNCTION("""COMPUTED_VALUE"""),250.0)</f>
        <v>250</v>
      </c>
      <c r="AE133" s="675">
        <f>IFERROR(__xludf.DUMMYFUNCTION("""COMPUTED_VALUE"""),5.0)</f>
        <v>5</v>
      </c>
      <c r="AF133" s="675">
        <f>IFERROR(__xludf.DUMMYFUNCTION("""COMPUTED_VALUE"""),0.0)</f>
        <v>0</v>
      </c>
      <c r="AG133" s="673">
        <f>IFERROR(__xludf.DUMMYFUNCTION("""COMPUTED_VALUE"""),0.0)</f>
        <v>0</v>
      </c>
      <c r="AH133" s="675">
        <f>IFERROR(__xludf.DUMMYFUNCTION("""COMPUTED_VALUE"""),0.0)</f>
        <v>0</v>
      </c>
      <c r="AI133" s="139" t="str">
        <f>IFERROR(__xludf.DUMMYFUNCTION("""COMPUTED_VALUE"""),"-")</f>
        <v>-</v>
      </c>
      <c r="AJ133" s="675" t="str">
        <f>IFERROR(__xludf.DUMMYFUNCTION("""COMPUTED_VALUE"""),"-")</f>
        <v>-</v>
      </c>
      <c r="AK133" s="139">
        <f>IFERROR(__xludf.DUMMYFUNCTION("""COMPUTED_VALUE"""),0.0)</f>
        <v>0</v>
      </c>
      <c r="AL133" s="674">
        <f>IFERROR(__xludf.DUMMYFUNCTION("""COMPUTED_VALUE"""),0.0)</f>
        <v>0</v>
      </c>
      <c r="AM133" s="688">
        <f>IFERROR(__xludf.DUMMYFUNCTION("""COMPUTED_VALUE"""),0.0)</f>
        <v>0</v>
      </c>
      <c r="AN133" s="675">
        <f>IFERROR(__xludf.DUMMYFUNCTION("""COMPUTED_VALUE"""),0.0)</f>
        <v>0</v>
      </c>
      <c r="AO133" s="675">
        <f>IFERROR(__xludf.DUMMYFUNCTION("""COMPUTED_VALUE"""),0.0)</f>
        <v>0</v>
      </c>
      <c r="AP133" s="674">
        <f>IFERROR(__xludf.DUMMYFUNCTION("""COMPUTED_VALUE"""),0.0)</f>
        <v>0</v>
      </c>
      <c r="AQ133" s="673">
        <f>IFERROR(__xludf.DUMMYFUNCTION("""COMPUTED_VALUE"""),0.9)</f>
        <v>0.9</v>
      </c>
      <c r="AR133" s="673">
        <f>IFERROR(__xludf.DUMMYFUNCTION("""COMPUTED_VALUE"""),0.0)</f>
        <v>0</v>
      </c>
      <c r="AS133" s="673">
        <f>IFERROR(__xludf.DUMMYFUNCTION("""COMPUTED_VALUE"""),0.0)</f>
        <v>0</v>
      </c>
      <c r="AT133" s="673">
        <f>IFERROR(__xludf.DUMMYFUNCTION("""COMPUTED_VALUE"""),0.0)</f>
        <v>0</v>
      </c>
      <c r="AU133" s="675">
        <f>IFERROR(__xludf.DUMMYFUNCTION("""COMPUTED_VALUE"""),0.0)</f>
        <v>0</v>
      </c>
      <c r="AV133" s="675">
        <f>IFERROR(__xludf.DUMMYFUNCTION("""COMPUTED_VALUE"""),0.0)</f>
        <v>0</v>
      </c>
      <c r="AW133" s="139"/>
      <c r="AX133" s="674" t="str">
        <f>IFERROR(__xludf.DUMMYFUNCTION("""COMPUTED_VALUE"""),"※通常攻撃範囲を入力！(CD列)")</f>
        <v>※通常攻撃範囲を入力！(CD列)</v>
      </c>
      <c r="AY133" s="688" t="str">
        <f>IFERROR(__xludf.DUMMYFUNCTION("""COMPUTED_VALUE"""),"#VALUE!")</f>
        <v>#VALUE!</v>
      </c>
      <c r="AZ133" s="674" t="str">
        <f>IFERROR(__xludf.DUMMYFUNCTION("""COMPUTED_VALUE"""),"#VALUE!")</f>
        <v>#VALUE!</v>
      </c>
      <c r="BA133" s="688" t="str">
        <f>IFERROR(__xludf.DUMMYFUNCTION("""COMPUTED_VALUE"""),"#VALUE!")</f>
        <v>#VALUE!</v>
      </c>
      <c r="BB133" s="688" t="str">
        <f>IFERROR(__xludf.DUMMYFUNCTION("""COMPUTED_VALUE"""),"-")</f>
        <v>-</v>
      </c>
      <c r="BC133" s="688" t="str">
        <f>IFERROR(__xludf.DUMMYFUNCTION("""COMPUTED_VALUE"""),"#VALUE!")</f>
        <v>#VALUE!</v>
      </c>
      <c r="BD133" s="688" t="str">
        <f>IFERROR(__xludf.DUMMYFUNCTION("""COMPUTED_VALUE"""),"#VALUE!")</f>
        <v>#VALUE!</v>
      </c>
      <c r="BE133" s="674" t="str">
        <f>IFERROR(__xludf.DUMMYFUNCTION("""COMPUTED_VALUE"""),"#VALUE!")</f>
        <v>#VALUE!</v>
      </c>
      <c r="BF133" s="674">
        <f>IFERROR(__xludf.DUMMYFUNCTION("""COMPUTED_VALUE"""),0.0)</f>
        <v>0</v>
      </c>
      <c r="BG133" s="673">
        <f>IFERROR(__xludf.DUMMYFUNCTION("""COMPUTED_VALUE"""),0.0)</f>
        <v>0</v>
      </c>
      <c r="BH133" s="673">
        <f>IFERROR(__xludf.DUMMYFUNCTION("""COMPUTED_VALUE"""),-0.5)</f>
        <v>-0.5</v>
      </c>
      <c r="BI133" s="673">
        <f>IFERROR(__xludf.DUMMYFUNCTION("""COMPUTED_VALUE"""),0.0)</f>
        <v>0</v>
      </c>
      <c r="BJ133" s="673">
        <f>IFERROR(__xludf.DUMMYFUNCTION("""COMPUTED_VALUE"""),0.0)</f>
        <v>0</v>
      </c>
      <c r="BK133" s="673">
        <f>IFERROR(__xludf.DUMMYFUNCTION("""COMPUTED_VALUE"""),0.0)</f>
        <v>0</v>
      </c>
      <c r="BL133" s="673">
        <f>IFERROR(__xludf.DUMMYFUNCTION("""COMPUTED_VALUE"""),0.0)</f>
        <v>0</v>
      </c>
      <c r="BM133" s="674">
        <f>IFERROR(__xludf.DUMMYFUNCTION("""COMPUTED_VALUE"""),0.0)</f>
        <v>0</v>
      </c>
      <c r="BN133" s="674">
        <f>IFERROR(__xludf.DUMMYFUNCTION("""COMPUTED_VALUE"""),0.0)</f>
        <v>0</v>
      </c>
      <c r="BO133" s="675">
        <f>IFERROR(__xludf.DUMMYFUNCTION("""COMPUTED_VALUE"""),0.0)</f>
        <v>0</v>
      </c>
      <c r="BP133" s="675">
        <f>IFERROR(__xludf.DUMMYFUNCTION("""COMPUTED_VALUE"""),0.0)</f>
        <v>0</v>
      </c>
      <c r="BQ133" s="139"/>
      <c r="BR133" s="139">
        <f>IFERROR(__xludf.DUMMYFUNCTION("""COMPUTED_VALUE"""),1.0)</f>
        <v>1</v>
      </c>
      <c r="BS133" s="139" t="str">
        <f>IFERROR(__xludf.DUMMYFUNCTION("""COMPUTED_VALUE"""),"※移動を入力！(BV列)")</f>
        <v>※移動を入力！(BV列)</v>
      </c>
      <c r="BT133" s="139" t="str">
        <f>IFERROR(__xludf.DUMMYFUNCTION("""COMPUTED_VALUE"""),"※攻撃手段を入力(BQ列)")</f>
        <v>※攻撃手段を入力(BQ列)</v>
      </c>
      <c r="BU133" s="139">
        <f>IFERROR(__xludf.DUMMYFUNCTION("""COMPUTED_VALUE"""),0.0)</f>
        <v>0</v>
      </c>
      <c r="BV133" s="139"/>
      <c r="BW133" s="139"/>
      <c r="BX133" s="139" t="str">
        <f>IFERROR(__xludf.DUMMYFUNCTION("""COMPUTED_VALUE"""),"※特性を選択!!(BW列)")</f>
        <v>※特性を選択!!(BW列)</v>
      </c>
      <c r="BY133" s="139">
        <f>IFERROR(__xludf.DUMMYFUNCTION("""COMPUTED_VALUE"""),0.0)</f>
        <v>0</v>
      </c>
      <c r="BZ133" s="139"/>
      <c r="CA133" s="139" t="str">
        <f>IFERROR(__xludf.DUMMYFUNCTION("""COMPUTED_VALUE"""),"※特性を選択!!(BW列)")</f>
        <v>※特性を選択!!(BW列)</v>
      </c>
      <c r="CB133" s="139">
        <f>IFERROR(__xludf.DUMMYFUNCTION("""COMPUTED_VALUE"""),4.0)</f>
        <v>4</v>
      </c>
      <c r="CC133" s="139" t="str">
        <f>IFERROR(__xludf.DUMMYFUNCTION("""COMPUTED_VALUE"""),"※ID管理未記入")</f>
        <v>※ID管理未記入</v>
      </c>
      <c r="CD133" s="139"/>
      <c r="CE133" s="139" t="str">
        <f>IFERROR(__xludf.DUMMYFUNCTION("""COMPUTED_VALUE"""),"該当なし")</f>
        <v>該当なし</v>
      </c>
      <c r="CF133" s="139" t="str">
        <f>IFERROR(__xludf.DUMMYFUNCTION("""COMPUTED_VALUE"""),"#VALUE!")</f>
        <v>#VALUE!</v>
      </c>
      <c r="CG133" s="139"/>
      <c r="CH133" s="139"/>
      <c r="CI133" s="139" t="str">
        <f>IFERROR(__xludf.DUMMYFUNCTION("""COMPUTED_VALUE"""),"該当なし")</f>
        <v>該当なし</v>
      </c>
      <c r="CJ133" s="139" t="str">
        <f>IFERROR(__xludf.DUMMYFUNCTION("""COMPUTED_VALUE"""),"#VALUE!")</f>
        <v>#VALUE!</v>
      </c>
      <c r="CK133" s="139"/>
      <c r="CL133" s="139"/>
      <c r="CM133" s="139"/>
      <c r="CN133" s="675">
        <f>IFERROR(__xludf.DUMMYFUNCTION("""COMPUTED_VALUE"""),5.0)</f>
        <v>5</v>
      </c>
      <c r="CO133" s="139" t="str">
        <f>IFERROR(__xludf.DUMMYFUNCTION("""COMPUTED_VALUE"""),"-")</f>
        <v>-</v>
      </c>
      <c r="CP133" s="139" t="str">
        <f>IFERROR(__xludf.DUMMYFUNCTION("""COMPUTED_VALUE"""),"-")</f>
        <v>-</v>
      </c>
      <c r="CQ133" s="139" t="str">
        <f>IFERROR(__xludf.DUMMYFUNCTION("""COMPUTED_VALUE"""),"-")</f>
        <v>-</v>
      </c>
      <c r="CR133" s="139"/>
      <c r="CS133" s="139"/>
      <c r="CT133" s="139"/>
      <c r="CU133" s="139"/>
      <c r="CV133" s="139"/>
      <c r="CW133" s="139"/>
      <c r="CX133" s="674" t="str">
        <f>IFERROR(__xludf.DUMMYFUNCTION("""COMPUTED_VALUE"""),"")</f>
        <v/>
      </c>
      <c r="CY133" s="675" t="str">
        <f>IFERROR(__xludf.DUMMYFUNCTION("""COMPUTED_VALUE"""),"")</f>
        <v/>
      </c>
      <c r="CZ133" s="688" t="str">
        <f>IFERROR(__xludf.DUMMYFUNCTION("""COMPUTED_VALUE"""),"-")</f>
        <v>-</v>
      </c>
      <c r="DA133" s="688">
        <f>IFERROR(__xludf.DUMMYFUNCTION("""COMPUTED_VALUE"""),0.0)</f>
        <v>0</v>
      </c>
      <c r="DB133" s="688">
        <f>IFERROR(__xludf.DUMMYFUNCTION("""COMPUTED_VALUE"""),0.0)</f>
        <v>0</v>
      </c>
      <c r="DC133" s="673" t="str">
        <f>IFERROR(__xludf.DUMMYFUNCTION("""COMPUTED_VALUE"""),"-")</f>
        <v>-</v>
      </c>
      <c r="DD133" s="673" t="str">
        <f>IFERROR(__xludf.DUMMYFUNCTION("""COMPUTED_VALUE"""),"-")</f>
        <v>-</v>
      </c>
      <c r="DE133" s="139" t="str">
        <f>IFERROR(__xludf.DUMMYFUNCTION("""COMPUTED_VALUE"""),"-")</f>
        <v>-</v>
      </c>
      <c r="DF133" s="139" t="str">
        <f>IFERROR(__xludf.DUMMYFUNCTION("""COMPUTED_VALUE"""),"-")</f>
        <v>-</v>
      </c>
      <c r="DG133" s="139" t="str">
        <f>IFERROR(__xludf.DUMMYFUNCTION("""COMPUTED_VALUE"""),"-")</f>
        <v>-</v>
      </c>
      <c r="DH133" s="139" t="str">
        <f>IFERROR(__xludf.DUMMYFUNCTION("""COMPUTED_VALUE"""),"-")</f>
        <v>-</v>
      </c>
      <c r="DI133" s="139" t="str">
        <f>IFERROR(__xludf.DUMMYFUNCTION("""COMPUTED_VALUE"""),"-")</f>
        <v>-</v>
      </c>
      <c r="DJ133" s="139" t="str">
        <f>IFERROR(__xludf.DUMMYFUNCTION("""COMPUTED_VALUE"""),"-")</f>
        <v>-</v>
      </c>
    </row>
    <row r="134">
      <c r="A134" s="139" t="str">
        <f>IFERROR(__xludf.DUMMYFUNCTION("""COMPUTED_VALUE"""),"猫田びより")</f>
        <v>猫田びより</v>
      </c>
      <c r="B134" s="139" t="str">
        <f>IFERROR(__xludf.DUMMYFUNCTION("""COMPUTED_VALUE"""),"猫田さん")</f>
        <v>猫田さん</v>
      </c>
      <c r="C134" s="139" t="str">
        <f>IFERROR(__xludf.DUMMYFUNCTION("""COMPUTED_VALUE"""),"chara_nek_00001")</f>
        <v>chara_nek_00001</v>
      </c>
      <c r="D134" s="139" t="str">
        <f>IFERROR(__xludf.DUMMYFUNCTION("""COMPUTED_VALUE"""),"PremiumSSR")</f>
        <v>PremiumSSR</v>
      </c>
      <c r="E134" s="139" t="str">
        <f>IFERROR(__xludf.DUMMYFUNCTION("""COMPUTED_VALUE"""),"黄")</f>
        <v>黄</v>
      </c>
      <c r="F134" s="139" t="str">
        <f>IFERROR(__xludf.DUMMYFUNCTION("""COMPUTED_VALUE"""),"アタック")</f>
        <v>アタック</v>
      </c>
      <c r="G134" s="139" t="str">
        <f>IFERROR(__xludf.DUMMYFUNCTION("""COMPUTED_VALUE"""),"※ID管理未記入")</f>
        <v>※ID管理未記入</v>
      </c>
      <c r="H134" s="139" t="str">
        <f>IFERROR(__xludf.DUMMYFUNCTION("""COMPUTED_VALUE"""),"dageki_1")</f>
        <v>dageki_1</v>
      </c>
      <c r="I134" s="139" t="str">
        <f>IFERROR(__xludf.DUMMYFUNCTION("""COMPUTED_VALUE"""),"dageki_1")</f>
        <v>dageki_1</v>
      </c>
      <c r="J134" s="139" t="str">
        <f>IFERROR(__xludf.DUMMYFUNCTION("""COMPUTED_VALUE"""),"202605020_アニマル祭")</f>
        <v>202605020_アニマル祭</v>
      </c>
      <c r="K134" s="139" t="str">
        <f>IFERROR(__xludf.DUMMYFUNCTION("""COMPUTED_VALUE"""),"あやかしトライアングル いいジャン祭")</f>
        <v>あやかしトライアングル いいジャン祭</v>
      </c>
      <c r="L134" s="139" t="str">
        <f>IFERROR(__xludf.DUMMYFUNCTION("""COMPUTED_VALUE"""),"※")</f>
        <v>※</v>
      </c>
      <c r="M134" s="674">
        <f>IFERROR(__xludf.DUMMYFUNCTION("""COMPUTED_VALUE"""),0.0)</f>
        <v>0</v>
      </c>
      <c r="N134" s="139">
        <f>IFERROR(__xludf.DUMMYFUNCTION("""COMPUTED_VALUE"""),0.0)</f>
        <v>0</v>
      </c>
      <c r="O134" s="139"/>
      <c r="P134" s="139">
        <f>IFERROR(__xludf.DUMMYFUNCTION("""COMPUTED_VALUE"""),0.0)</f>
        <v>0</v>
      </c>
      <c r="Q134" s="675">
        <f>IFERROR(__xludf.DUMMYFUNCTION("""COMPUTED_VALUE"""),0.0)</f>
        <v>0</v>
      </c>
      <c r="R134" s="675">
        <f>IFERROR(__xludf.DUMMYFUNCTION("""COMPUTED_VALUE"""),0.0)</f>
        <v>0</v>
      </c>
      <c r="S134" s="675">
        <f>IFERROR(__xludf.DUMMYFUNCTION("""COMPUTED_VALUE"""),-2.5)</f>
        <v>-2.5</v>
      </c>
      <c r="T134" s="674">
        <f>IFERROR(__xludf.DUMMYFUNCTION("""COMPUTED_VALUE"""),225.0)</f>
        <v>225</v>
      </c>
      <c r="U134" s="675">
        <f>IFERROR(__xludf.DUMMYFUNCTION("""COMPUTED_VALUE"""),4.5)</f>
        <v>4.5</v>
      </c>
      <c r="V134" s="675">
        <f>IFERROR(__xludf.DUMMYFUNCTION("""COMPUTED_VALUE"""),0.0)</f>
        <v>0</v>
      </c>
      <c r="W134" s="675">
        <f>IFERROR(__xludf.DUMMYFUNCTION("""COMPUTED_VALUE"""),0.0)</f>
        <v>0</v>
      </c>
      <c r="X134" s="675">
        <f>IFERROR(__xludf.DUMMYFUNCTION("""COMPUTED_VALUE"""),0.0)</f>
        <v>0</v>
      </c>
      <c r="Y134" s="674">
        <f>IFERROR(__xludf.DUMMYFUNCTION("""COMPUTED_VALUE"""),100.0)</f>
        <v>100</v>
      </c>
      <c r="Z134" s="675">
        <f>IFERROR(__xludf.DUMMYFUNCTION("""COMPUTED_VALUE"""),2.0)</f>
        <v>2</v>
      </c>
      <c r="AA134" s="675">
        <f>IFERROR(__xludf.DUMMYFUNCTION("""COMPUTED_VALUE"""),0.0)</f>
        <v>0</v>
      </c>
      <c r="AB134" s="673">
        <f>IFERROR(__xludf.DUMMYFUNCTION("""COMPUTED_VALUE"""),0.0)</f>
        <v>0</v>
      </c>
      <c r="AC134" s="675">
        <f>IFERROR(__xludf.DUMMYFUNCTION("""COMPUTED_VALUE"""),0.0)</f>
        <v>0</v>
      </c>
      <c r="AD134" s="674">
        <f>IFERROR(__xludf.DUMMYFUNCTION("""COMPUTED_VALUE"""),250.0)</f>
        <v>250</v>
      </c>
      <c r="AE134" s="675">
        <f>IFERROR(__xludf.DUMMYFUNCTION("""COMPUTED_VALUE"""),5.0)</f>
        <v>5</v>
      </c>
      <c r="AF134" s="675">
        <f>IFERROR(__xludf.DUMMYFUNCTION("""COMPUTED_VALUE"""),0.0)</f>
        <v>0</v>
      </c>
      <c r="AG134" s="673">
        <f>IFERROR(__xludf.DUMMYFUNCTION("""COMPUTED_VALUE"""),0.0)</f>
        <v>0</v>
      </c>
      <c r="AH134" s="675">
        <f>IFERROR(__xludf.DUMMYFUNCTION("""COMPUTED_VALUE"""),0.0)</f>
        <v>0</v>
      </c>
      <c r="AI134" s="139" t="str">
        <f>IFERROR(__xludf.DUMMYFUNCTION("""COMPUTED_VALUE"""),"-")</f>
        <v>-</v>
      </c>
      <c r="AJ134" s="675" t="str">
        <f>IFERROR(__xludf.DUMMYFUNCTION("""COMPUTED_VALUE"""),"-")</f>
        <v>-</v>
      </c>
      <c r="AK134" s="139">
        <f>IFERROR(__xludf.DUMMYFUNCTION("""COMPUTED_VALUE"""),0.0)</f>
        <v>0</v>
      </c>
      <c r="AL134" s="674">
        <f>IFERROR(__xludf.DUMMYFUNCTION("""COMPUTED_VALUE"""),0.0)</f>
        <v>0</v>
      </c>
      <c r="AM134" s="688">
        <f>IFERROR(__xludf.DUMMYFUNCTION("""COMPUTED_VALUE"""),0.0)</f>
        <v>0</v>
      </c>
      <c r="AN134" s="675">
        <f>IFERROR(__xludf.DUMMYFUNCTION("""COMPUTED_VALUE"""),0.0)</f>
        <v>0</v>
      </c>
      <c r="AO134" s="675">
        <f>IFERROR(__xludf.DUMMYFUNCTION("""COMPUTED_VALUE"""),0.0)</f>
        <v>0</v>
      </c>
      <c r="AP134" s="674">
        <f>IFERROR(__xludf.DUMMYFUNCTION("""COMPUTED_VALUE"""),0.0)</f>
        <v>0</v>
      </c>
      <c r="AQ134" s="673">
        <f>IFERROR(__xludf.DUMMYFUNCTION("""COMPUTED_VALUE"""),-0.2)</f>
        <v>-0.2</v>
      </c>
      <c r="AR134" s="673">
        <f>IFERROR(__xludf.DUMMYFUNCTION("""COMPUTED_VALUE"""),0.0)</f>
        <v>0</v>
      </c>
      <c r="AS134" s="673">
        <f>IFERROR(__xludf.DUMMYFUNCTION("""COMPUTED_VALUE"""),0.0)</f>
        <v>0</v>
      </c>
      <c r="AT134" s="673">
        <f>IFERROR(__xludf.DUMMYFUNCTION("""COMPUTED_VALUE"""),0.0)</f>
        <v>0</v>
      </c>
      <c r="AU134" s="675">
        <f>IFERROR(__xludf.DUMMYFUNCTION("""COMPUTED_VALUE"""),0.0)</f>
        <v>0</v>
      </c>
      <c r="AV134" s="675">
        <f>IFERROR(__xludf.DUMMYFUNCTION("""COMPUTED_VALUE"""),0.0)</f>
        <v>0</v>
      </c>
      <c r="AW134" s="139"/>
      <c r="AX134" s="674" t="str">
        <f>IFERROR(__xludf.DUMMYFUNCTION("""COMPUTED_VALUE"""),"※通常攻撃範囲を入力！(CD列)")</f>
        <v>※通常攻撃範囲を入力！(CD列)</v>
      </c>
      <c r="AY134" s="688" t="str">
        <f>IFERROR(__xludf.DUMMYFUNCTION("""COMPUTED_VALUE"""),"#VALUE!")</f>
        <v>#VALUE!</v>
      </c>
      <c r="AZ134" s="674" t="str">
        <f>IFERROR(__xludf.DUMMYFUNCTION("""COMPUTED_VALUE"""),"#VALUE!")</f>
        <v>#VALUE!</v>
      </c>
      <c r="BA134" s="688" t="str">
        <f>IFERROR(__xludf.DUMMYFUNCTION("""COMPUTED_VALUE"""),"#VALUE!")</f>
        <v>#VALUE!</v>
      </c>
      <c r="BB134" s="688" t="str">
        <f>IFERROR(__xludf.DUMMYFUNCTION("""COMPUTED_VALUE"""),"-")</f>
        <v>-</v>
      </c>
      <c r="BC134" s="688" t="str">
        <f>IFERROR(__xludf.DUMMYFUNCTION("""COMPUTED_VALUE"""),"#VALUE!")</f>
        <v>#VALUE!</v>
      </c>
      <c r="BD134" s="688" t="str">
        <f>IFERROR(__xludf.DUMMYFUNCTION("""COMPUTED_VALUE"""),"#VALUE!")</f>
        <v>#VALUE!</v>
      </c>
      <c r="BE134" s="674" t="str">
        <f>IFERROR(__xludf.DUMMYFUNCTION("""COMPUTED_VALUE"""),"#VALUE!")</f>
        <v>#VALUE!</v>
      </c>
      <c r="BF134" s="674">
        <f>IFERROR(__xludf.DUMMYFUNCTION("""COMPUTED_VALUE"""),0.0)</f>
        <v>0</v>
      </c>
      <c r="BG134" s="673">
        <f>IFERROR(__xludf.DUMMYFUNCTION("""COMPUTED_VALUE"""),0.0)</f>
        <v>0</v>
      </c>
      <c r="BH134" s="673">
        <f>IFERROR(__xludf.DUMMYFUNCTION("""COMPUTED_VALUE"""),0.3)</f>
        <v>0.3</v>
      </c>
      <c r="BI134" s="673">
        <f>IFERROR(__xludf.DUMMYFUNCTION("""COMPUTED_VALUE"""),0.0)</f>
        <v>0</v>
      </c>
      <c r="BJ134" s="673">
        <f>IFERROR(__xludf.DUMMYFUNCTION("""COMPUTED_VALUE"""),0.0)</f>
        <v>0</v>
      </c>
      <c r="BK134" s="673">
        <f>IFERROR(__xludf.DUMMYFUNCTION("""COMPUTED_VALUE"""),0.0)</f>
        <v>0</v>
      </c>
      <c r="BL134" s="673">
        <f>IFERROR(__xludf.DUMMYFUNCTION("""COMPUTED_VALUE"""),0.0)</f>
        <v>0</v>
      </c>
      <c r="BM134" s="674">
        <f>IFERROR(__xludf.DUMMYFUNCTION("""COMPUTED_VALUE"""),0.0)</f>
        <v>0</v>
      </c>
      <c r="BN134" s="674">
        <f>IFERROR(__xludf.DUMMYFUNCTION("""COMPUTED_VALUE"""),0.0)</f>
        <v>0</v>
      </c>
      <c r="BO134" s="675">
        <f>IFERROR(__xludf.DUMMYFUNCTION("""COMPUTED_VALUE"""),0.0)</f>
        <v>0</v>
      </c>
      <c r="BP134" s="675">
        <f>IFERROR(__xludf.DUMMYFUNCTION("""COMPUTED_VALUE"""),0.0)</f>
        <v>0</v>
      </c>
      <c r="BQ134" s="139"/>
      <c r="BR134" s="139">
        <f>IFERROR(__xludf.DUMMYFUNCTION("""COMPUTED_VALUE"""),2.0)</f>
        <v>2</v>
      </c>
      <c r="BS134" s="139" t="str">
        <f>IFERROR(__xludf.DUMMYFUNCTION("""COMPUTED_VALUE"""),"※移動を入力！(BV列)")</f>
        <v>※移動を入力！(BV列)</v>
      </c>
      <c r="BT134" s="139" t="str">
        <f>IFERROR(__xludf.DUMMYFUNCTION("""COMPUTED_VALUE"""),"※攻撃手段を入力(BQ列)")</f>
        <v>※攻撃手段を入力(BQ列)</v>
      </c>
      <c r="BU134" s="139">
        <f>IFERROR(__xludf.DUMMYFUNCTION("""COMPUTED_VALUE"""),0.0)</f>
        <v>0</v>
      </c>
      <c r="BV134" s="139"/>
      <c r="BW134" s="139"/>
      <c r="BX134" s="139" t="str">
        <f>IFERROR(__xludf.DUMMYFUNCTION("""COMPUTED_VALUE"""),"※特性を選択!!(BW列)")</f>
        <v>※特性を選択!!(BW列)</v>
      </c>
      <c r="BY134" s="139">
        <f>IFERROR(__xludf.DUMMYFUNCTION("""COMPUTED_VALUE"""),0.0)</f>
        <v>0</v>
      </c>
      <c r="BZ134" s="139"/>
      <c r="CA134" s="139" t="str">
        <f>IFERROR(__xludf.DUMMYFUNCTION("""COMPUTED_VALUE"""),"※特性を選択!!(BW列)")</f>
        <v>※特性を選択!!(BW列)</v>
      </c>
      <c r="CB134" s="139" t="str">
        <f>IFERROR(__xludf.DUMMYFUNCTION("""COMPUTED_VALUE"""),"-")</f>
        <v>-</v>
      </c>
      <c r="CC134" s="139" t="str">
        <f>IFERROR(__xludf.DUMMYFUNCTION("""COMPUTED_VALUE"""),"※ID管理未記入")</f>
        <v>※ID管理未記入</v>
      </c>
      <c r="CD134" s="139"/>
      <c r="CE134" s="139" t="str">
        <f>IFERROR(__xludf.DUMMYFUNCTION("""COMPUTED_VALUE"""),"該当なし")</f>
        <v>該当なし</v>
      </c>
      <c r="CF134" s="139" t="str">
        <f>IFERROR(__xludf.DUMMYFUNCTION("""COMPUTED_VALUE"""),"#VALUE!")</f>
        <v>#VALUE!</v>
      </c>
      <c r="CG134" s="139"/>
      <c r="CH134" s="139"/>
      <c r="CI134" s="139" t="str">
        <f>IFERROR(__xludf.DUMMYFUNCTION("""COMPUTED_VALUE"""),"該当なし")</f>
        <v>該当なし</v>
      </c>
      <c r="CJ134" s="139" t="str">
        <f>IFERROR(__xludf.DUMMYFUNCTION("""COMPUTED_VALUE"""),"#VALUE!")</f>
        <v>#VALUE!</v>
      </c>
      <c r="CK134" s="139"/>
      <c r="CL134" s="139"/>
      <c r="CM134" s="139"/>
      <c r="CN134" s="675">
        <f>IFERROR(__xludf.DUMMYFUNCTION("""COMPUTED_VALUE"""),5.0)</f>
        <v>5</v>
      </c>
      <c r="CO134" s="139" t="str">
        <f>IFERROR(__xludf.DUMMYFUNCTION("""COMPUTED_VALUE"""),"-")</f>
        <v>-</v>
      </c>
      <c r="CP134" s="139" t="str">
        <f>IFERROR(__xludf.DUMMYFUNCTION("""COMPUTED_VALUE"""),"-")</f>
        <v>-</v>
      </c>
      <c r="CQ134" s="139" t="str">
        <f>IFERROR(__xludf.DUMMYFUNCTION("""COMPUTED_VALUE"""),"-")</f>
        <v>-</v>
      </c>
      <c r="CR134" s="139"/>
      <c r="CS134" s="139"/>
      <c r="CT134" s="139"/>
      <c r="CU134" s="139"/>
      <c r="CV134" s="139"/>
      <c r="CW134" s="139"/>
      <c r="CX134" s="674" t="str">
        <f>IFERROR(__xludf.DUMMYFUNCTION("""COMPUTED_VALUE"""),"")</f>
        <v/>
      </c>
      <c r="CY134" s="675" t="str">
        <f>IFERROR(__xludf.DUMMYFUNCTION("""COMPUTED_VALUE"""),"")</f>
        <v/>
      </c>
      <c r="CZ134" s="688" t="str">
        <f>IFERROR(__xludf.DUMMYFUNCTION("""COMPUTED_VALUE"""),"-")</f>
        <v>-</v>
      </c>
      <c r="DA134" s="688">
        <f>IFERROR(__xludf.DUMMYFUNCTION("""COMPUTED_VALUE"""),0.0)</f>
        <v>0</v>
      </c>
      <c r="DB134" s="688">
        <f>IFERROR(__xludf.DUMMYFUNCTION("""COMPUTED_VALUE"""),0.0)</f>
        <v>0</v>
      </c>
      <c r="DC134" s="673" t="str">
        <f>IFERROR(__xludf.DUMMYFUNCTION("""COMPUTED_VALUE"""),"-")</f>
        <v>-</v>
      </c>
      <c r="DD134" s="673" t="str">
        <f>IFERROR(__xludf.DUMMYFUNCTION("""COMPUTED_VALUE"""),"-")</f>
        <v>-</v>
      </c>
      <c r="DE134" s="139" t="str">
        <f>IFERROR(__xludf.DUMMYFUNCTION("""COMPUTED_VALUE"""),"-")</f>
        <v>-</v>
      </c>
      <c r="DF134" s="139" t="str">
        <f>IFERROR(__xludf.DUMMYFUNCTION("""COMPUTED_VALUE"""),"-")</f>
        <v>-</v>
      </c>
      <c r="DG134" s="139" t="str">
        <f>IFERROR(__xludf.DUMMYFUNCTION("""COMPUTED_VALUE"""),"-")</f>
        <v>-</v>
      </c>
      <c r="DH134" s="139" t="str">
        <f>IFERROR(__xludf.DUMMYFUNCTION("""COMPUTED_VALUE"""),"-")</f>
        <v>-</v>
      </c>
      <c r="DI134" s="139" t="str">
        <f>IFERROR(__xludf.DUMMYFUNCTION("""COMPUTED_VALUE"""),"-")</f>
        <v>-</v>
      </c>
      <c r="DJ134" s="139" t="str">
        <f>IFERROR(__xludf.DUMMYFUNCTION("""COMPUTED_VALUE"""),"-")</f>
        <v>-</v>
      </c>
    </row>
    <row r="135">
      <c r="A135" s="139" t="str">
        <f>IFERROR(__xludf.DUMMYFUNCTION("""COMPUTED_VALUE"""),"2.5次元の誘惑")</f>
        <v>2.5次元の誘惑</v>
      </c>
      <c r="B135" s="139" t="str">
        <f>IFERROR(__xludf.DUMMYFUNCTION("""COMPUTED_VALUE"""),"(仮)753♡(魔女コスプレ)")</f>
        <v>(仮)753♡(魔女コスプレ)</v>
      </c>
      <c r="C135" s="139" t="str">
        <f>IFERROR(__xludf.DUMMYFUNCTION("""COMPUTED_VALUE"""),"chara_yuw_00502")</f>
        <v>chara_yuw_00502</v>
      </c>
      <c r="D135" s="139" t="str">
        <f>IFERROR(__xludf.DUMMYFUNCTION("""COMPUTED_VALUE"""),"PremiumUR")</f>
        <v>PremiumUR</v>
      </c>
      <c r="E135" s="139" t="str">
        <f>IFERROR(__xludf.DUMMYFUNCTION("""COMPUTED_VALUE"""),"黄")</f>
        <v>黄</v>
      </c>
      <c r="F135" s="139" t="str">
        <f>IFERROR(__xludf.DUMMYFUNCTION("""COMPUTED_VALUE"""),"テクニカル")</f>
        <v>テクニカル</v>
      </c>
      <c r="G135" s="139" t="str">
        <f>IFERROR(__xludf.DUMMYFUNCTION("""COMPUTED_VALUE"""),"※ID管理未記入")</f>
        <v>※ID管理未記入</v>
      </c>
      <c r="H135" s="139" t="str">
        <f>IFERROR(__xludf.DUMMYFUNCTION("""COMPUTED_VALUE"""),"※ID管理未記入")</f>
        <v>※ID管理未記入</v>
      </c>
      <c r="I135" s="139" t="str">
        <f>IFERROR(__xludf.DUMMYFUNCTION("""COMPUTED_VALUE"""),"※ID管理未記入")</f>
        <v>※ID管理未記入</v>
      </c>
      <c r="J135" s="139" t="str">
        <f>IFERROR(__xludf.DUMMYFUNCTION("""COMPUTED_VALUE"""),"999999999_リリースキー未定")</f>
        <v>999999999_リリースキー未定</v>
      </c>
      <c r="K135" s="139" t="str">
        <f>IFERROR(__xludf.DUMMYFUNCTION("""COMPUTED_VALUE"""),"不明")</f>
        <v>不明</v>
      </c>
      <c r="L135" s="139" t="str">
        <f>IFERROR(__xludf.DUMMYFUNCTION("""COMPUTED_VALUE"""),"※")</f>
        <v>※</v>
      </c>
      <c r="M135" s="674">
        <f>IFERROR(__xludf.DUMMYFUNCTION("""COMPUTED_VALUE"""),0.0)</f>
        <v>0</v>
      </c>
      <c r="N135" s="139">
        <f>IFERROR(__xludf.DUMMYFUNCTION("""COMPUTED_VALUE"""),0.0)</f>
        <v>0</v>
      </c>
      <c r="O135" s="139"/>
      <c r="P135" s="139">
        <f>IFERROR(__xludf.DUMMYFUNCTION("""COMPUTED_VALUE"""),0.0)</f>
        <v>0</v>
      </c>
      <c r="Q135" s="675">
        <f>IFERROR(__xludf.DUMMYFUNCTION("""COMPUTED_VALUE"""),0.0)</f>
        <v>0</v>
      </c>
      <c r="R135" s="675">
        <f>IFERROR(__xludf.DUMMYFUNCTION("""COMPUTED_VALUE"""),0.0)</f>
        <v>0</v>
      </c>
      <c r="S135" s="675">
        <f>IFERROR(__xludf.DUMMYFUNCTION("""COMPUTED_VALUE"""),-2.5)</f>
        <v>-2.5</v>
      </c>
      <c r="T135" s="674">
        <f>IFERROR(__xludf.DUMMYFUNCTION("""COMPUTED_VALUE"""),225.0)</f>
        <v>225</v>
      </c>
      <c r="U135" s="675">
        <f>IFERROR(__xludf.DUMMYFUNCTION("""COMPUTED_VALUE"""),4.5)</f>
        <v>4.5</v>
      </c>
      <c r="V135" s="675">
        <f>IFERROR(__xludf.DUMMYFUNCTION("""COMPUTED_VALUE"""),0.0)</f>
        <v>0</v>
      </c>
      <c r="W135" s="675">
        <f>IFERROR(__xludf.DUMMYFUNCTION("""COMPUTED_VALUE"""),0.0)</f>
        <v>0</v>
      </c>
      <c r="X135" s="675">
        <f>IFERROR(__xludf.DUMMYFUNCTION("""COMPUTED_VALUE"""),0.0)</f>
        <v>0</v>
      </c>
      <c r="Y135" s="674">
        <f>IFERROR(__xludf.DUMMYFUNCTION("""COMPUTED_VALUE"""),100.0)</f>
        <v>100</v>
      </c>
      <c r="Z135" s="675">
        <f>IFERROR(__xludf.DUMMYFUNCTION("""COMPUTED_VALUE"""),2.0)</f>
        <v>2</v>
      </c>
      <c r="AA135" s="675">
        <f>IFERROR(__xludf.DUMMYFUNCTION("""COMPUTED_VALUE"""),0.0)</f>
        <v>0</v>
      </c>
      <c r="AB135" s="673">
        <f>IFERROR(__xludf.DUMMYFUNCTION("""COMPUTED_VALUE"""),0.0)</f>
        <v>0</v>
      </c>
      <c r="AC135" s="675">
        <f>IFERROR(__xludf.DUMMYFUNCTION("""COMPUTED_VALUE"""),0.0)</f>
        <v>0</v>
      </c>
      <c r="AD135" s="674">
        <f>IFERROR(__xludf.DUMMYFUNCTION("""COMPUTED_VALUE"""),250.0)</f>
        <v>250</v>
      </c>
      <c r="AE135" s="675">
        <f>IFERROR(__xludf.DUMMYFUNCTION("""COMPUTED_VALUE"""),5.0)</f>
        <v>5</v>
      </c>
      <c r="AF135" s="675">
        <f>IFERROR(__xludf.DUMMYFUNCTION("""COMPUTED_VALUE"""),0.0)</f>
        <v>0</v>
      </c>
      <c r="AG135" s="673">
        <f>IFERROR(__xludf.DUMMYFUNCTION("""COMPUTED_VALUE"""),0.0)</f>
        <v>0</v>
      </c>
      <c r="AH135" s="675">
        <f>IFERROR(__xludf.DUMMYFUNCTION("""COMPUTED_VALUE"""),0.0)</f>
        <v>0</v>
      </c>
      <c r="AI135" s="139" t="str">
        <f>IFERROR(__xludf.DUMMYFUNCTION("""COMPUTED_VALUE"""),"-")</f>
        <v>-</v>
      </c>
      <c r="AJ135" s="675" t="str">
        <f>IFERROR(__xludf.DUMMYFUNCTION("""COMPUTED_VALUE"""),"-")</f>
        <v>-</v>
      </c>
      <c r="AK135" s="139">
        <f>IFERROR(__xludf.DUMMYFUNCTION("""COMPUTED_VALUE"""),0.0)</f>
        <v>0</v>
      </c>
      <c r="AL135" s="674">
        <f>IFERROR(__xludf.DUMMYFUNCTION("""COMPUTED_VALUE"""),0.0)</f>
        <v>0</v>
      </c>
      <c r="AM135" s="688">
        <f>IFERROR(__xludf.DUMMYFUNCTION("""COMPUTED_VALUE"""),0.0)</f>
        <v>0</v>
      </c>
      <c r="AN135" s="675">
        <f>IFERROR(__xludf.DUMMYFUNCTION("""COMPUTED_VALUE"""),0.0)</f>
        <v>0</v>
      </c>
      <c r="AO135" s="675">
        <f>IFERROR(__xludf.DUMMYFUNCTION("""COMPUTED_VALUE"""),0.0)</f>
        <v>0</v>
      </c>
      <c r="AP135" s="674">
        <f>IFERROR(__xludf.DUMMYFUNCTION("""COMPUTED_VALUE"""),0.0)</f>
        <v>0</v>
      </c>
      <c r="AQ135" s="673">
        <f>IFERROR(__xludf.DUMMYFUNCTION("""COMPUTED_VALUE"""),-0.3)</f>
        <v>-0.3</v>
      </c>
      <c r="AR135" s="673">
        <f>IFERROR(__xludf.DUMMYFUNCTION("""COMPUTED_VALUE"""),0.0)</f>
        <v>0</v>
      </c>
      <c r="AS135" s="673">
        <f>IFERROR(__xludf.DUMMYFUNCTION("""COMPUTED_VALUE"""),0.0)</f>
        <v>0</v>
      </c>
      <c r="AT135" s="673">
        <f>IFERROR(__xludf.DUMMYFUNCTION("""COMPUTED_VALUE"""),0.0)</f>
        <v>0</v>
      </c>
      <c r="AU135" s="675">
        <f>IFERROR(__xludf.DUMMYFUNCTION("""COMPUTED_VALUE"""),0.0)</f>
        <v>0</v>
      </c>
      <c r="AV135" s="675">
        <f>IFERROR(__xludf.DUMMYFUNCTION("""COMPUTED_VALUE"""),0.0)</f>
        <v>0</v>
      </c>
      <c r="AW135" s="139"/>
      <c r="AX135" s="674" t="str">
        <f>IFERROR(__xludf.DUMMYFUNCTION("""COMPUTED_VALUE"""),"※通常攻撃範囲を入力！(CD列)")</f>
        <v>※通常攻撃範囲を入力！(CD列)</v>
      </c>
      <c r="AY135" s="688" t="str">
        <f>IFERROR(__xludf.DUMMYFUNCTION("""COMPUTED_VALUE"""),"#VALUE!")</f>
        <v>#VALUE!</v>
      </c>
      <c r="AZ135" s="674" t="str">
        <f>IFERROR(__xludf.DUMMYFUNCTION("""COMPUTED_VALUE"""),"#VALUE!")</f>
        <v>#VALUE!</v>
      </c>
      <c r="BA135" s="688" t="str">
        <f>IFERROR(__xludf.DUMMYFUNCTION("""COMPUTED_VALUE"""),"#VALUE!")</f>
        <v>#VALUE!</v>
      </c>
      <c r="BB135" s="688" t="str">
        <f>IFERROR(__xludf.DUMMYFUNCTION("""COMPUTED_VALUE"""),"-")</f>
        <v>-</v>
      </c>
      <c r="BC135" s="688" t="str">
        <f>IFERROR(__xludf.DUMMYFUNCTION("""COMPUTED_VALUE"""),"#VALUE!")</f>
        <v>#VALUE!</v>
      </c>
      <c r="BD135" s="688" t="str">
        <f>IFERROR(__xludf.DUMMYFUNCTION("""COMPUTED_VALUE"""),"#VALUE!")</f>
        <v>#VALUE!</v>
      </c>
      <c r="BE135" s="674" t="str">
        <f>IFERROR(__xludf.DUMMYFUNCTION("""COMPUTED_VALUE"""),"#VALUE!")</f>
        <v>#VALUE!</v>
      </c>
      <c r="BF135" s="674">
        <f>IFERROR(__xludf.DUMMYFUNCTION("""COMPUTED_VALUE"""),0.0)</f>
        <v>0</v>
      </c>
      <c r="BG135" s="673">
        <f>IFERROR(__xludf.DUMMYFUNCTION("""COMPUTED_VALUE"""),0.0)</f>
        <v>0</v>
      </c>
      <c r="BH135" s="673">
        <f>IFERROR(__xludf.DUMMYFUNCTION("""COMPUTED_VALUE"""),0.1)</f>
        <v>0.1</v>
      </c>
      <c r="BI135" s="673">
        <f>IFERROR(__xludf.DUMMYFUNCTION("""COMPUTED_VALUE"""),0.0)</f>
        <v>0</v>
      </c>
      <c r="BJ135" s="673">
        <f>IFERROR(__xludf.DUMMYFUNCTION("""COMPUTED_VALUE"""),0.0)</f>
        <v>0</v>
      </c>
      <c r="BK135" s="673">
        <f>IFERROR(__xludf.DUMMYFUNCTION("""COMPUTED_VALUE"""),0.0)</f>
        <v>0</v>
      </c>
      <c r="BL135" s="673">
        <f>IFERROR(__xludf.DUMMYFUNCTION("""COMPUTED_VALUE"""),0.0)</f>
        <v>0</v>
      </c>
      <c r="BM135" s="674">
        <f>IFERROR(__xludf.DUMMYFUNCTION("""COMPUTED_VALUE"""),0.0)</f>
        <v>0</v>
      </c>
      <c r="BN135" s="674">
        <f>IFERROR(__xludf.DUMMYFUNCTION("""COMPUTED_VALUE"""),0.0)</f>
        <v>0</v>
      </c>
      <c r="BO135" s="675">
        <f>IFERROR(__xludf.DUMMYFUNCTION("""COMPUTED_VALUE"""),0.0)</f>
        <v>0</v>
      </c>
      <c r="BP135" s="675">
        <f>IFERROR(__xludf.DUMMYFUNCTION("""COMPUTED_VALUE"""),0.0)</f>
        <v>0</v>
      </c>
      <c r="BQ135" s="139"/>
      <c r="BR135" s="139">
        <f>IFERROR(__xludf.DUMMYFUNCTION("""COMPUTED_VALUE"""),3.0)</f>
        <v>3</v>
      </c>
      <c r="BS135" s="139" t="str">
        <f>IFERROR(__xludf.DUMMYFUNCTION("""COMPUTED_VALUE"""),"※移動を入力！(BV列)")</f>
        <v>※移動を入力！(BV列)</v>
      </c>
      <c r="BT135" s="139" t="str">
        <f>IFERROR(__xludf.DUMMYFUNCTION("""COMPUTED_VALUE"""),"※攻撃手段を入力(BQ列)")</f>
        <v>※攻撃手段を入力(BQ列)</v>
      </c>
      <c r="BU135" s="139">
        <f>IFERROR(__xludf.DUMMYFUNCTION("""COMPUTED_VALUE"""),0.0)</f>
        <v>0</v>
      </c>
      <c r="BV135" s="139"/>
      <c r="BW135" s="139"/>
      <c r="BX135" s="139" t="str">
        <f>IFERROR(__xludf.DUMMYFUNCTION("""COMPUTED_VALUE"""),"※特性を選択!!(BW列)")</f>
        <v>※特性を選択!!(BW列)</v>
      </c>
      <c r="BY135" s="139">
        <f>IFERROR(__xludf.DUMMYFUNCTION("""COMPUTED_VALUE"""),0.0)</f>
        <v>0</v>
      </c>
      <c r="BZ135" s="139"/>
      <c r="CA135" s="139" t="str">
        <f>IFERROR(__xludf.DUMMYFUNCTION("""COMPUTED_VALUE"""),"※特性を選択!!(BW列)")</f>
        <v>※特性を選択!!(BW列)</v>
      </c>
      <c r="CB135" s="139">
        <f>IFERROR(__xludf.DUMMYFUNCTION("""COMPUTED_VALUE"""),4.0)</f>
        <v>4</v>
      </c>
      <c r="CC135" s="139" t="str">
        <f>IFERROR(__xludf.DUMMYFUNCTION("""COMPUTED_VALUE"""),"※ID管理未記入")</f>
        <v>※ID管理未記入</v>
      </c>
      <c r="CD135" s="139"/>
      <c r="CE135" s="139" t="str">
        <f>IFERROR(__xludf.DUMMYFUNCTION("""COMPUTED_VALUE"""),"該当なし")</f>
        <v>該当なし</v>
      </c>
      <c r="CF135" s="139" t="str">
        <f>IFERROR(__xludf.DUMMYFUNCTION("""COMPUTED_VALUE"""),"#VALUE!")</f>
        <v>#VALUE!</v>
      </c>
      <c r="CG135" s="139"/>
      <c r="CH135" s="139"/>
      <c r="CI135" s="139" t="str">
        <f>IFERROR(__xludf.DUMMYFUNCTION("""COMPUTED_VALUE"""),"該当なし")</f>
        <v>該当なし</v>
      </c>
      <c r="CJ135" s="139" t="str">
        <f>IFERROR(__xludf.DUMMYFUNCTION("""COMPUTED_VALUE"""),"#VALUE!")</f>
        <v>#VALUE!</v>
      </c>
      <c r="CK135" s="139"/>
      <c r="CL135" s="139"/>
      <c r="CM135" s="139"/>
      <c r="CN135" s="675">
        <f>IFERROR(__xludf.DUMMYFUNCTION("""COMPUTED_VALUE"""),5.0)</f>
        <v>5</v>
      </c>
      <c r="CO135" s="139" t="str">
        <f>IFERROR(__xludf.DUMMYFUNCTION("""COMPUTED_VALUE"""),"-")</f>
        <v>-</v>
      </c>
      <c r="CP135" s="139" t="str">
        <f>IFERROR(__xludf.DUMMYFUNCTION("""COMPUTED_VALUE"""),"-")</f>
        <v>-</v>
      </c>
      <c r="CQ135" s="139" t="str">
        <f>IFERROR(__xludf.DUMMYFUNCTION("""COMPUTED_VALUE"""),"-")</f>
        <v>-</v>
      </c>
      <c r="CR135" s="139"/>
      <c r="CS135" s="139"/>
      <c r="CT135" s="139"/>
      <c r="CU135" s="139"/>
      <c r="CV135" s="139"/>
      <c r="CW135" s="139"/>
      <c r="CX135" s="674" t="str">
        <f>IFERROR(__xludf.DUMMYFUNCTION("""COMPUTED_VALUE"""),"")</f>
        <v/>
      </c>
      <c r="CY135" s="675" t="str">
        <f>IFERROR(__xludf.DUMMYFUNCTION("""COMPUTED_VALUE"""),"")</f>
        <v/>
      </c>
      <c r="CZ135" s="688" t="str">
        <f>IFERROR(__xludf.DUMMYFUNCTION("""COMPUTED_VALUE"""),"-")</f>
        <v>-</v>
      </c>
      <c r="DA135" s="688">
        <f>IFERROR(__xludf.DUMMYFUNCTION("""COMPUTED_VALUE"""),0.0)</f>
        <v>0</v>
      </c>
      <c r="DB135" s="688">
        <f>IFERROR(__xludf.DUMMYFUNCTION("""COMPUTED_VALUE"""),0.0)</f>
        <v>0</v>
      </c>
      <c r="DC135" s="673" t="str">
        <f>IFERROR(__xludf.DUMMYFUNCTION("""COMPUTED_VALUE"""),"-")</f>
        <v>-</v>
      </c>
      <c r="DD135" s="673" t="str">
        <f>IFERROR(__xludf.DUMMYFUNCTION("""COMPUTED_VALUE"""),"-")</f>
        <v>-</v>
      </c>
      <c r="DE135" s="139" t="str">
        <f>IFERROR(__xludf.DUMMYFUNCTION("""COMPUTED_VALUE"""),"-")</f>
        <v>-</v>
      </c>
      <c r="DF135" s="139" t="str">
        <f>IFERROR(__xludf.DUMMYFUNCTION("""COMPUTED_VALUE"""),"-")</f>
        <v>-</v>
      </c>
      <c r="DG135" s="139" t="str">
        <f>IFERROR(__xludf.DUMMYFUNCTION("""COMPUTED_VALUE"""),"-")</f>
        <v>-</v>
      </c>
      <c r="DH135" s="139" t="str">
        <f>IFERROR(__xludf.DUMMYFUNCTION("""COMPUTED_VALUE"""),"-")</f>
        <v>-</v>
      </c>
      <c r="DI135" s="139" t="str">
        <f>IFERROR(__xludf.DUMMYFUNCTION("""COMPUTED_VALUE"""),"-")</f>
        <v>-</v>
      </c>
      <c r="DJ135" s="139" t="str">
        <f>IFERROR(__xludf.DUMMYFUNCTION("""COMPUTED_VALUE"""),"-")</f>
        <v>-</v>
      </c>
    </row>
    <row r="136">
      <c r="A136" s="139" t="str">
        <f>IFERROR(__xludf.DUMMYFUNCTION("""COMPUTED_VALUE"""),"2.5次元の誘惑")</f>
        <v>2.5次元の誘惑</v>
      </c>
      <c r="B136" s="139" t="str">
        <f>IFERROR(__xludf.DUMMYFUNCTION("""COMPUTED_VALUE"""),"(仮)天乃 リリサ(クリスマス)")</f>
        <v>(仮)天乃 リリサ(クリスマス)</v>
      </c>
      <c r="C136" s="139" t="str">
        <f>IFERROR(__xludf.DUMMYFUNCTION("""COMPUTED_VALUE"""),"chara_yuw_00002")</f>
        <v>chara_yuw_00002</v>
      </c>
      <c r="D136" s="139" t="str">
        <f>IFERROR(__xludf.DUMMYFUNCTION("""COMPUTED_VALUE"""),"PremiumUR")</f>
        <v>PremiumUR</v>
      </c>
      <c r="E136" s="139" t="str">
        <f>IFERROR(__xludf.DUMMYFUNCTION("""COMPUTED_VALUE"""),"緑")</f>
        <v>緑</v>
      </c>
      <c r="F136" s="139" t="str">
        <f>IFERROR(__xludf.DUMMYFUNCTION("""COMPUTED_VALUE"""),"サポート")</f>
        <v>サポート</v>
      </c>
      <c r="G136" s="139" t="str">
        <f>IFERROR(__xludf.DUMMYFUNCTION("""COMPUTED_VALUE"""),"※ID管理未記入")</f>
        <v>※ID管理未記入</v>
      </c>
      <c r="H136" s="139" t="str">
        <f>IFERROR(__xludf.DUMMYFUNCTION("""COMPUTED_VALUE"""),"※ID管理未記入")</f>
        <v>※ID管理未記入</v>
      </c>
      <c r="I136" s="139" t="str">
        <f>IFERROR(__xludf.DUMMYFUNCTION("""COMPUTED_VALUE"""),"※ID管理未記入")</f>
        <v>※ID管理未記入</v>
      </c>
      <c r="J136" s="139" t="str">
        <f>IFERROR(__xludf.DUMMYFUNCTION("""COMPUTED_VALUE"""),"999999999_リリースキー未定")</f>
        <v>999999999_リリースキー未定</v>
      </c>
      <c r="K136" s="139" t="str">
        <f>IFERROR(__xludf.DUMMYFUNCTION("""COMPUTED_VALUE"""),"不明")</f>
        <v>不明</v>
      </c>
      <c r="L136" s="139" t="str">
        <f>IFERROR(__xludf.DUMMYFUNCTION("""COMPUTED_VALUE"""),"※")</f>
        <v>※</v>
      </c>
      <c r="M136" s="674">
        <f>IFERROR(__xludf.DUMMYFUNCTION("""COMPUTED_VALUE"""),0.0)</f>
        <v>0</v>
      </c>
      <c r="N136" s="139">
        <f>IFERROR(__xludf.DUMMYFUNCTION("""COMPUTED_VALUE"""),0.0)</f>
        <v>0</v>
      </c>
      <c r="O136" s="139"/>
      <c r="P136" s="139">
        <f>IFERROR(__xludf.DUMMYFUNCTION("""COMPUTED_VALUE"""),0.0)</f>
        <v>0</v>
      </c>
      <c r="Q136" s="675">
        <f>IFERROR(__xludf.DUMMYFUNCTION("""COMPUTED_VALUE"""),0.0)</f>
        <v>0</v>
      </c>
      <c r="R136" s="675">
        <f>IFERROR(__xludf.DUMMYFUNCTION("""COMPUTED_VALUE"""),0.0)</f>
        <v>0</v>
      </c>
      <c r="S136" s="675">
        <f>IFERROR(__xludf.DUMMYFUNCTION("""COMPUTED_VALUE"""),-2.5)</f>
        <v>-2.5</v>
      </c>
      <c r="T136" s="674">
        <f>IFERROR(__xludf.DUMMYFUNCTION("""COMPUTED_VALUE"""),225.0)</f>
        <v>225</v>
      </c>
      <c r="U136" s="675">
        <f>IFERROR(__xludf.DUMMYFUNCTION("""COMPUTED_VALUE"""),4.5)</f>
        <v>4.5</v>
      </c>
      <c r="V136" s="675">
        <f>IFERROR(__xludf.DUMMYFUNCTION("""COMPUTED_VALUE"""),0.0)</f>
        <v>0</v>
      </c>
      <c r="W136" s="675">
        <f>IFERROR(__xludf.DUMMYFUNCTION("""COMPUTED_VALUE"""),0.0)</f>
        <v>0</v>
      </c>
      <c r="X136" s="675">
        <f>IFERROR(__xludf.DUMMYFUNCTION("""COMPUTED_VALUE"""),0.0)</f>
        <v>0</v>
      </c>
      <c r="Y136" s="674">
        <f>IFERROR(__xludf.DUMMYFUNCTION("""COMPUTED_VALUE"""),100.0)</f>
        <v>100</v>
      </c>
      <c r="Z136" s="675">
        <f>IFERROR(__xludf.DUMMYFUNCTION("""COMPUTED_VALUE"""),2.0)</f>
        <v>2</v>
      </c>
      <c r="AA136" s="675">
        <f>IFERROR(__xludf.DUMMYFUNCTION("""COMPUTED_VALUE"""),0.0)</f>
        <v>0</v>
      </c>
      <c r="AB136" s="673">
        <f>IFERROR(__xludf.DUMMYFUNCTION("""COMPUTED_VALUE"""),0.0)</f>
        <v>0</v>
      </c>
      <c r="AC136" s="675">
        <f>IFERROR(__xludf.DUMMYFUNCTION("""COMPUTED_VALUE"""),0.0)</f>
        <v>0</v>
      </c>
      <c r="AD136" s="674">
        <f>IFERROR(__xludf.DUMMYFUNCTION("""COMPUTED_VALUE"""),250.0)</f>
        <v>250</v>
      </c>
      <c r="AE136" s="675">
        <f>IFERROR(__xludf.DUMMYFUNCTION("""COMPUTED_VALUE"""),5.0)</f>
        <v>5</v>
      </c>
      <c r="AF136" s="675">
        <f>IFERROR(__xludf.DUMMYFUNCTION("""COMPUTED_VALUE"""),0.0)</f>
        <v>0</v>
      </c>
      <c r="AG136" s="673">
        <f>IFERROR(__xludf.DUMMYFUNCTION("""COMPUTED_VALUE"""),0.0)</f>
        <v>0</v>
      </c>
      <c r="AH136" s="675">
        <f>IFERROR(__xludf.DUMMYFUNCTION("""COMPUTED_VALUE"""),0.0)</f>
        <v>0</v>
      </c>
      <c r="AI136" s="139" t="str">
        <f>IFERROR(__xludf.DUMMYFUNCTION("""COMPUTED_VALUE"""),"-")</f>
        <v>-</v>
      </c>
      <c r="AJ136" s="675" t="str">
        <f>IFERROR(__xludf.DUMMYFUNCTION("""COMPUTED_VALUE"""),"-")</f>
        <v>-</v>
      </c>
      <c r="AK136" s="139">
        <f>IFERROR(__xludf.DUMMYFUNCTION("""COMPUTED_VALUE"""),0.0)</f>
        <v>0</v>
      </c>
      <c r="AL136" s="674">
        <f>IFERROR(__xludf.DUMMYFUNCTION("""COMPUTED_VALUE"""),0.0)</f>
        <v>0</v>
      </c>
      <c r="AM136" s="688">
        <f>IFERROR(__xludf.DUMMYFUNCTION("""COMPUTED_VALUE"""),0.0)</f>
        <v>0</v>
      </c>
      <c r="AN136" s="675">
        <f>IFERROR(__xludf.DUMMYFUNCTION("""COMPUTED_VALUE"""),0.0)</f>
        <v>0</v>
      </c>
      <c r="AO136" s="675">
        <f>IFERROR(__xludf.DUMMYFUNCTION("""COMPUTED_VALUE"""),0.0)</f>
        <v>0</v>
      </c>
      <c r="AP136" s="674">
        <f>IFERROR(__xludf.DUMMYFUNCTION("""COMPUTED_VALUE"""),0.0)</f>
        <v>0</v>
      </c>
      <c r="AQ136" s="673">
        <f>IFERROR(__xludf.DUMMYFUNCTION("""COMPUTED_VALUE"""),-0.4)</f>
        <v>-0.4</v>
      </c>
      <c r="AR136" s="673">
        <f>IFERROR(__xludf.DUMMYFUNCTION("""COMPUTED_VALUE"""),0.0)</f>
        <v>0</v>
      </c>
      <c r="AS136" s="673">
        <f>IFERROR(__xludf.DUMMYFUNCTION("""COMPUTED_VALUE"""),0.0)</f>
        <v>0</v>
      </c>
      <c r="AT136" s="673">
        <f>IFERROR(__xludf.DUMMYFUNCTION("""COMPUTED_VALUE"""),0.0)</f>
        <v>0</v>
      </c>
      <c r="AU136" s="675">
        <f>IFERROR(__xludf.DUMMYFUNCTION("""COMPUTED_VALUE"""),0.0)</f>
        <v>0</v>
      </c>
      <c r="AV136" s="675">
        <f>IFERROR(__xludf.DUMMYFUNCTION("""COMPUTED_VALUE"""),0.0)</f>
        <v>0</v>
      </c>
      <c r="AW136" s="139"/>
      <c r="AX136" s="674" t="str">
        <f>IFERROR(__xludf.DUMMYFUNCTION("""COMPUTED_VALUE"""),"※通常攻撃範囲を入力！(CD列)")</f>
        <v>※通常攻撃範囲を入力！(CD列)</v>
      </c>
      <c r="AY136" s="688" t="str">
        <f>IFERROR(__xludf.DUMMYFUNCTION("""COMPUTED_VALUE"""),"#VALUE!")</f>
        <v>#VALUE!</v>
      </c>
      <c r="AZ136" s="674" t="str">
        <f>IFERROR(__xludf.DUMMYFUNCTION("""COMPUTED_VALUE"""),"#VALUE!")</f>
        <v>#VALUE!</v>
      </c>
      <c r="BA136" s="688" t="str">
        <f>IFERROR(__xludf.DUMMYFUNCTION("""COMPUTED_VALUE"""),"#VALUE!")</f>
        <v>#VALUE!</v>
      </c>
      <c r="BB136" s="688" t="str">
        <f>IFERROR(__xludf.DUMMYFUNCTION("""COMPUTED_VALUE"""),"-")</f>
        <v>-</v>
      </c>
      <c r="BC136" s="688" t="str">
        <f>IFERROR(__xludf.DUMMYFUNCTION("""COMPUTED_VALUE"""),"#VALUE!")</f>
        <v>#VALUE!</v>
      </c>
      <c r="BD136" s="688" t="str">
        <f>IFERROR(__xludf.DUMMYFUNCTION("""COMPUTED_VALUE"""),"#VALUE!")</f>
        <v>#VALUE!</v>
      </c>
      <c r="BE136" s="674" t="str">
        <f>IFERROR(__xludf.DUMMYFUNCTION("""COMPUTED_VALUE"""),"#VALUE!")</f>
        <v>#VALUE!</v>
      </c>
      <c r="BF136" s="674">
        <f>IFERROR(__xludf.DUMMYFUNCTION("""COMPUTED_VALUE"""),0.0)</f>
        <v>0</v>
      </c>
      <c r="BG136" s="673">
        <f>IFERROR(__xludf.DUMMYFUNCTION("""COMPUTED_VALUE"""),0.0)</f>
        <v>0</v>
      </c>
      <c r="BH136" s="673">
        <f>IFERROR(__xludf.DUMMYFUNCTION("""COMPUTED_VALUE"""),-0.3)</f>
        <v>-0.3</v>
      </c>
      <c r="BI136" s="673">
        <f>IFERROR(__xludf.DUMMYFUNCTION("""COMPUTED_VALUE"""),0.0)</f>
        <v>0</v>
      </c>
      <c r="BJ136" s="673">
        <f>IFERROR(__xludf.DUMMYFUNCTION("""COMPUTED_VALUE"""),0.0)</f>
        <v>0</v>
      </c>
      <c r="BK136" s="673">
        <f>IFERROR(__xludf.DUMMYFUNCTION("""COMPUTED_VALUE"""),0.0)</f>
        <v>0</v>
      </c>
      <c r="BL136" s="673">
        <f>IFERROR(__xludf.DUMMYFUNCTION("""COMPUTED_VALUE"""),0.0)</f>
        <v>0</v>
      </c>
      <c r="BM136" s="674">
        <f>IFERROR(__xludf.DUMMYFUNCTION("""COMPUTED_VALUE"""),0.0)</f>
        <v>0</v>
      </c>
      <c r="BN136" s="674">
        <f>IFERROR(__xludf.DUMMYFUNCTION("""COMPUTED_VALUE"""),0.0)</f>
        <v>0</v>
      </c>
      <c r="BO136" s="675">
        <f>IFERROR(__xludf.DUMMYFUNCTION("""COMPUTED_VALUE"""),0.0)</f>
        <v>0</v>
      </c>
      <c r="BP136" s="675">
        <f>IFERROR(__xludf.DUMMYFUNCTION("""COMPUTED_VALUE"""),0.0)</f>
        <v>0</v>
      </c>
      <c r="BQ136" s="139"/>
      <c r="BR136" s="139">
        <f>IFERROR(__xludf.DUMMYFUNCTION("""COMPUTED_VALUE"""),2.0)</f>
        <v>2</v>
      </c>
      <c r="BS136" s="139" t="str">
        <f>IFERROR(__xludf.DUMMYFUNCTION("""COMPUTED_VALUE"""),"※移動を入力！(BV列)")</f>
        <v>※移動を入力！(BV列)</v>
      </c>
      <c r="BT136" s="139" t="str">
        <f>IFERROR(__xludf.DUMMYFUNCTION("""COMPUTED_VALUE"""),"※攻撃手段を入力(BQ列)")</f>
        <v>※攻撃手段を入力(BQ列)</v>
      </c>
      <c r="BU136" s="139">
        <f>IFERROR(__xludf.DUMMYFUNCTION("""COMPUTED_VALUE"""),0.0)</f>
        <v>0</v>
      </c>
      <c r="BV136" s="139"/>
      <c r="BW136" s="139"/>
      <c r="BX136" s="139" t="str">
        <f>IFERROR(__xludf.DUMMYFUNCTION("""COMPUTED_VALUE"""),"※特性を選択!!(BW列)")</f>
        <v>※特性を選択!!(BW列)</v>
      </c>
      <c r="BY136" s="139">
        <f>IFERROR(__xludf.DUMMYFUNCTION("""COMPUTED_VALUE"""),0.0)</f>
        <v>0</v>
      </c>
      <c r="BZ136" s="139"/>
      <c r="CA136" s="139" t="str">
        <f>IFERROR(__xludf.DUMMYFUNCTION("""COMPUTED_VALUE"""),"※特性を選択!!(BW列)")</f>
        <v>※特性を選択!!(BW列)</v>
      </c>
      <c r="CB136" s="139">
        <f>IFERROR(__xludf.DUMMYFUNCTION("""COMPUTED_VALUE"""),4.0)</f>
        <v>4</v>
      </c>
      <c r="CC136" s="139" t="str">
        <f>IFERROR(__xludf.DUMMYFUNCTION("""COMPUTED_VALUE"""),"※ID管理未記入")</f>
        <v>※ID管理未記入</v>
      </c>
      <c r="CD136" s="139"/>
      <c r="CE136" s="139" t="str">
        <f>IFERROR(__xludf.DUMMYFUNCTION("""COMPUTED_VALUE"""),"該当なし")</f>
        <v>該当なし</v>
      </c>
      <c r="CF136" s="139" t="str">
        <f>IFERROR(__xludf.DUMMYFUNCTION("""COMPUTED_VALUE"""),"#VALUE!")</f>
        <v>#VALUE!</v>
      </c>
      <c r="CG136" s="139"/>
      <c r="CH136" s="139"/>
      <c r="CI136" s="139" t="str">
        <f>IFERROR(__xludf.DUMMYFUNCTION("""COMPUTED_VALUE"""),"該当なし")</f>
        <v>該当なし</v>
      </c>
      <c r="CJ136" s="139" t="str">
        <f>IFERROR(__xludf.DUMMYFUNCTION("""COMPUTED_VALUE"""),"#VALUE!")</f>
        <v>#VALUE!</v>
      </c>
      <c r="CK136" s="139"/>
      <c r="CL136" s="139"/>
      <c r="CM136" s="139"/>
      <c r="CN136" s="675">
        <f>IFERROR(__xludf.DUMMYFUNCTION("""COMPUTED_VALUE"""),5.0)</f>
        <v>5</v>
      </c>
      <c r="CO136" s="139" t="str">
        <f>IFERROR(__xludf.DUMMYFUNCTION("""COMPUTED_VALUE"""),"-")</f>
        <v>-</v>
      </c>
      <c r="CP136" s="139" t="str">
        <f>IFERROR(__xludf.DUMMYFUNCTION("""COMPUTED_VALUE"""),"-")</f>
        <v>-</v>
      </c>
      <c r="CQ136" s="139" t="str">
        <f>IFERROR(__xludf.DUMMYFUNCTION("""COMPUTED_VALUE"""),"-")</f>
        <v>-</v>
      </c>
      <c r="CR136" s="139"/>
      <c r="CS136" s="139"/>
      <c r="CT136" s="139"/>
      <c r="CU136" s="139"/>
      <c r="CV136" s="139"/>
      <c r="CW136" s="139"/>
      <c r="CX136" s="674" t="str">
        <f>IFERROR(__xludf.DUMMYFUNCTION("""COMPUTED_VALUE"""),"")</f>
        <v/>
      </c>
      <c r="CY136" s="675" t="str">
        <f>IFERROR(__xludf.DUMMYFUNCTION("""COMPUTED_VALUE"""),"")</f>
        <v/>
      </c>
      <c r="CZ136" s="688" t="str">
        <f>IFERROR(__xludf.DUMMYFUNCTION("""COMPUTED_VALUE"""),"-")</f>
        <v>-</v>
      </c>
      <c r="DA136" s="688">
        <f>IFERROR(__xludf.DUMMYFUNCTION("""COMPUTED_VALUE"""),0.0)</f>
        <v>0</v>
      </c>
      <c r="DB136" s="688">
        <f>IFERROR(__xludf.DUMMYFUNCTION("""COMPUTED_VALUE"""),0.0)</f>
        <v>0</v>
      </c>
      <c r="DC136" s="673" t="str">
        <f>IFERROR(__xludf.DUMMYFUNCTION("""COMPUTED_VALUE"""),"-")</f>
        <v>-</v>
      </c>
      <c r="DD136" s="673" t="str">
        <f>IFERROR(__xludf.DUMMYFUNCTION("""COMPUTED_VALUE"""),"-")</f>
        <v>-</v>
      </c>
      <c r="DE136" s="139" t="str">
        <f>IFERROR(__xludf.DUMMYFUNCTION("""COMPUTED_VALUE"""),"-")</f>
        <v>-</v>
      </c>
      <c r="DF136" s="139" t="str">
        <f>IFERROR(__xludf.DUMMYFUNCTION("""COMPUTED_VALUE"""),"-")</f>
        <v>-</v>
      </c>
      <c r="DG136" s="139" t="str">
        <f>IFERROR(__xludf.DUMMYFUNCTION("""COMPUTED_VALUE"""),"-")</f>
        <v>-</v>
      </c>
      <c r="DH136" s="139" t="str">
        <f>IFERROR(__xludf.DUMMYFUNCTION("""COMPUTED_VALUE"""),"-")</f>
        <v>-</v>
      </c>
      <c r="DI136" s="139" t="str">
        <f>IFERROR(__xludf.DUMMYFUNCTION("""COMPUTED_VALUE"""),"-")</f>
        <v>-</v>
      </c>
      <c r="DJ136" s="139" t="str">
        <f>IFERROR(__xludf.DUMMYFUNCTION("""COMPUTED_VALUE"""),"-")</f>
        <v>-</v>
      </c>
    </row>
    <row r="137">
      <c r="A137" s="139" t="str">
        <f>IFERROR(__xludf.DUMMYFUNCTION("""COMPUTED_VALUE"""),"姫様“拷問”の時間です")</f>
        <v>姫様“拷問”の時間です</v>
      </c>
      <c r="B137" s="139" t="str">
        <f>IFERROR(__xludf.DUMMYFUNCTION("""COMPUTED_VALUE"""),"陽鬼")</f>
        <v>陽鬼</v>
      </c>
      <c r="C137" s="139" t="str">
        <f>IFERROR(__xludf.DUMMYFUNCTION("""COMPUTED_VALUE"""),"chara_gom_00501")</f>
        <v>chara_gom_00501</v>
      </c>
      <c r="D137" s="139" t="str">
        <f>IFERROR(__xludf.DUMMYFUNCTION("""COMPUTED_VALUE"""),"DropSR")</f>
        <v>DropSR</v>
      </c>
      <c r="E137" s="139" t="str">
        <f>IFERROR(__xludf.DUMMYFUNCTION("""COMPUTED_VALUE"""),"緑")</f>
        <v>緑</v>
      </c>
      <c r="F137" s="139" t="str">
        <f>IFERROR(__xludf.DUMMYFUNCTION("""COMPUTED_VALUE"""),"アタック")</f>
        <v>アタック</v>
      </c>
      <c r="G137" s="139" t="str">
        <f>IFERROR(__xludf.DUMMYFUNCTION("""COMPUTED_VALUE"""),"遠距離")</f>
        <v>遠距離</v>
      </c>
      <c r="H137" s="139" t="str">
        <f>IFERROR(__xludf.DUMMYFUNCTION("""COMPUTED_VALUE"""),"shageki_1")</f>
        <v>shageki_1</v>
      </c>
      <c r="I137" s="139" t="str">
        <f>IFERROR(__xludf.DUMMYFUNCTION("""COMPUTED_VALUE"""),"shageki_1")</f>
        <v>shageki_1</v>
      </c>
      <c r="J137" s="139" t="str">
        <f>IFERROR(__xludf.DUMMYFUNCTION("""COMPUTED_VALUE"""),"999999999_リリースキー未定")</f>
        <v>999999999_リリースキー未定</v>
      </c>
      <c r="K137" s="139" t="str">
        <f>IFERROR(__xludf.DUMMYFUNCTION("""COMPUTED_VALUE"""),"姫様“拷問”の時間ですいいジャン祭")</f>
        <v>姫様“拷問”の時間ですいいジャン祭</v>
      </c>
      <c r="L137" s="687" t="str">
        <f>IFERROR(__xludf.DUMMYFUNCTION("""COMPUTED_VALUE"""),"※")</f>
        <v>※</v>
      </c>
      <c r="M137" s="674">
        <f>IFERROR(__xludf.DUMMYFUNCTION("""COMPUTED_VALUE"""),0.0)</f>
        <v>0</v>
      </c>
      <c r="N137" s="139">
        <f>IFERROR(__xludf.DUMMYFUNCTION("""COMPUTED_VALUE"""),0.0)</f>
        <v>0</v>
      </c>
      <c r="O137" s="139"/>
      <c r="P137" s="139">
        <f>IFERROR(__xludf.DUMMYFUNCTION("""COMPUTED_VALUE"""),0.0)</f>
        <v>0</v>
      </c>
      <c r="Q137" s="675">
        <f>IFERROR(__xludf.DUMMYFUNCTION("""COMPUTED_VALUE"""),0.0)</f>
        <v>0</v>
      </c>
      <c r="R137" s="675">
        <f>IFERROR(__xludf.DUMMYFUNCTION("""COMPUTED_VALUE"""),0.0)</f>
        <v>0</v>
      </c>
      <c r="S137" s="675">
        <f>IFERROR(__xludf.DUMMYFUNCTION("""COMPUTED_VALUE"""),-2.5)</f>
        <v>-2.5</v>
      </c>
      <c r="T137" s="674">
        <f>IFERROR(__xludf.DUMMYFUNCTION("""COMPUTED_VALUE"""),225.0)</f>
        <v>225</v>
      </c>
      <c r="U137" s="675">
        <f>IFERROR(__xludf.DUMMYFUNCTION("""COMPUTED_VALUE"""),4.5)</f>
        <v>4.5</v>
      </c>
      <c r="V137" s="675">
        <f>IFERROR(__xludf.DUMMYFUNCTION("""COMPUTED_VALUE"""),0.0)</f>
        <v>0</v>
      </c>
      <c r="W137" s="675">
        <f>IFERROR(__xludf.DUMMYFUNCTION("""COMPUTED_VALUE"""),0.0)</f>
        <v>0</v>
      </c>
      <c r="X137" s="675">
        <f>IFERROR(__xludf.DUMMYFUNCTION("""COMPUTED_VALUE"""),0.0)</f>
        <v>0</v>
      </c>
      <c r="Y137" s="674">
        <f>IFERROR(__xludf.DUMMYFUNCTION("""COMPUTED_VALUE"""),100.0)</f>
        <v>100</v>
      </c>
      <c r="Z137" s="675">
        <f>IFERROR(__xludf.DUMMYFUNCTION("""COMPUTED_VALUE"""),2.0)</f>
        <v>2</v>
      </c>
      <c r="AA137" s="675">
        <f>IFERROR(__xludf.DUMMYFUNCTION("""COMPUTED_VALUE"""),0.0)</f>
        <v>0</v>
      </c>
      <c r="AB137" s="673">
        <f>IFERROR(__xludf.DUMMYFUNCTION("""COMPUTED_VALUE"""),0.0)</f>
        <v>0</v>
      </c>
      <c r="AC137" s="675">
        <f>IFERROR(__xludf.DUMMYFUNCTION("""COMPUTED_VALUE"""),0.0)</f>
        <v>0</v>
      </c>
      <c r="AD137" s="674">
        <f>IFERROR(__xludf.DUMMYFUNCTION("""COMPUTED_VALUE"""),250.0)</f>
        <v>250</v>
      </c>
      <c r="AE137" s="675">
        <f>IFERROR(__xludf.DUMMYFUNCTION("""COMPUTED_VALUE"""),5.0)</f>
        <v>5</v>
      </c>
      <c r="AF137" s="675">
        <f>IFERROR(__xludf.DUMMYFUNCTION("""COMPUTED_VALUE"""),0.0)</f>
        <v>0</v>
      </c>
      <c r="AG137" s="673">
        <f>IFERROR(__xludf.DUMMYFUNCTION("""COMPUTED_VALUE"""),0.0)</f>
        <v>0</v>
      </c>
      <c r="AH137" s="675">
        <f>IFERROR(__xludf.DUMMYFUNCTION("""COMPUTED_VALUE"""),0.0)</f>
        <v>0</v>
      </c>
      <c r="AI137" s="139" t="str">
        <f>IFERROR(__xludf.DUMMYFUNCTION("""COMPUTED_VALUE"""),"-")</f>
        <v>-</v>
      </c>
      <c r="AJ137" s="675" t="str">
        <f>IFERROR(__xludf.DUMMYFUNCTION("""COMPUTED_VALUE"""),"-")</f>
        <v>-</v>
      </c>
      <c r="AK137" s="139">
        <f>IFERROR(__xludf.DUMMYFUNCTION("""COMPUTED_VALUE"""),0.0)</f>
        <v>0</v>
      </c>
      <c r="AL137" s="674">
        <f>IFERROR(__xludf.DUMMYFUNCTION("""COMPUTED_VALUE"""),0.0)</f>
        <v>0</v>
      </c>
      <c r="AM137" s="688">
        <f>IFERROR(__xludf.DUMMYFUNCTION("""COMPUTED_VALUE"""),0.0)</f>
        <v>0</v>
      </c>
      <c r="AN137" s="675">
        <f>IFERROR(__xludf.DUMMYFUNCTION("""COMPUTED_VALUE"""),0.0)</f>
        <v>0</v>
      </c>
      <c r="AO137" s="675">
        <f>IFERROR(__xludf.DUMMYFUNCTION("""COMPUTED_VALUE"""),0.0)</f>
        <v>0</v>
      </c>
      <c r="AP137" s="674">
        <f>IFERROR(__xludf.DUMMYFUNCTION("""COMPUTED_VALUE"""),0.0)</f>
        <v>0</v>
      </c>
      <c r="AQ137" s="673">
        <f>IFERROR(__xludf.DUMMYFUNCTION("""COMPUTED_VALUE"""),-0.2)</f>
        <v>-0.2</v>
      </c>
      <c r="AR137" s="673">
        <f>IFERROR(__xludf.DUMMYFUNCTION("""COMPUTED_VALUE"""),0.0)</f>
        <v>0</v>
      </c>
      <c r="AS137" s="673">
        <f>IFERROR(__xludf.DUMMYFUNCTION("""COMPUTED_VALUE"""),-0.3)</f>
        <v>-0.3</v>
      </c>
      <c r="AT137" s="673">
        <f>IFERROR(__xludf.DUMMYFUNCTION("""COMPUTED_VALUE"""),0.0)</f>
        <v>0</v>
      </c>
      <c r="AU137" s="675">
        <f>IFERROR(__xludf.DUMMYFUNCTION("""COMPUTED_VALUE"""),0.0)</f>
        <v>0</v>
      </c>
      <c r="AV137" s="675">
        <f>IFERROR(__xludf.DUMMYFUNCTION("""COMPUTED_VALUE"""),0.0)</f>
        <v>0</v>
      </c>
      <c r="AW137" s="139"/>
      <c r="AX137" s="674" t="str">
        <f>IFERROR(__xludf.DUMMYFUNCTION("""COMPUTED_VALUE"""),"※通常攻撃範囲を入力！(CD列)")</f>
        <v>※通常攻撃範囲を入力！(CD列)</v>
      </c>
      <c r="AY137" s="688" t="str">
        <f>IFERROR(__xludf.DUMMYFUNCTION("""COMPUTED_VALUE"""),"#VALUE!")</f>
        <v>#VALUE!</v>
      </c>
      <c r="AZ137" s="674" t="str">
        <f>IFERROR(__xludf.DUMMYFUNCTION("""COMPUTED_VALUE"""),"#VALUE!")</f>
        <v>#VALUE!</v>
      </c>
      <c r="BA137" s="688" t="str">
        <f>IFERROR(__xludf.DUMMYFUNCTION("""COMPUTED_VALUE"""),"#VALUE!")</f>
        <v>#VALUE!</v>
      </c>
      <c r="BB137" s="688" t="str">
        <f>IFERROR(__xludf.DUMMYFUNCTION("""COMPUTED_VALUE"""),"-")</f>
        <v>-</v>
      </c>
      <c r="BC137" s="688" t="str">
        <f>IFERROR(__xludf.DUMMYFUNCTION("""COMPUTED_VALUE"""),"#VALUE!")</f>
        <v>#VALUE!</v>
      </c>
      <c r="BD137" s="688" t="str">
        <f>IFERROR(__xludf.DUMMYFUNCTION("""COMPUTED_VALUE"""),"#VALUE!")</f>
        <v>#VALUE!</v>
      </c>
      <c r="BE137" s="674" t="str">
        <f>IFERROR(__xludf.DUMMYFUNCTION("""COMPUTED_VALUE"""),"#VALUE!")</f>
        <v>#VALUE!</v>
      </c>
      <c r="BF137" s="674">
        <f>IFERROR(__xludf.DUMMYFUNCTION("""COMPUTED_VALUE"""),0.0)</f>
        <v>0</v>
      </c>
      <c r="BG137" s="673">
        <f>IFERROR(__xludf.DUMMYFUNCTION("""COMPUTED_VALUE"""),0.0)</f>
        <v>0</v>
      </c>
      <c r="BH137" s="673">
        <f>IFERROR(__xludf.DUMMYFUNCTION("""COMPUTED_VALUE"""),0.3)</f>
        <v>0.3</v>
      </c>
      <c r="BI137" s="673">
        <f>IFERROR(__xludf.DUMMYFUNCTION("""COMPUTED_VALUE"""),0.0)</f>
        <v>0</v>
      </c>
      <c r="BJ137" s="673">
        <f>IFERROR(__xludf.DUMMYFUNCTION("""COMPUTED_VALUE"""),0.0)</f>
        <v>0</v>
      </c>
      <c r="BK137" s="673">
        <f>IFERROR(__xludf.DUMMYFUNCTION("""COMPUTED_VALUE"""),0.0)</f>
        <v>0</v>
      </c>
      <c r="BL137" s="673">
        <f>IFERROR(__xludf.DUMMYFUNCTION("""COMPUTED_VALUE"""),0.0)</f>
        <v>0</v>
      </c>
      <c r="BM137" s="674">
        <f>IFERROR(__xludf.DUMMYFUNCTION("""COMPUTED_VALUE"""),150.0)</f>
        <v>150</v>
      </c>
      <c r="BN137" s="674">
        <f>IFERROR(__xludf.DUMMYFUNCTION("""COMPUTED_VALUE"""),150.0)</f>
        <v>150</v>
      </c>
      <c r="BO137" s="675">
        <f>IFERROR(__xludf.DUMMYFUNCTION("""COMPUTED_VALUE"""),0.0)</f>
        <v>0</v>
      </c>
      <c r="BP137" s="675">
        <f>IFERROR(__xludf.DUMMYFUNCTION("""COMPUTED_VALUE"""),3.0)</f>
        <v>3</v>
      </c>
      <c r="BQ137" s="139"/>
      <c r="BR137" s="139">
        <f>IFERROR(__xludf.DUMMYFUNCTION("""COMPUTED_VALUE"""),3.0)</f>
        <v>3</v>
      </c>
      <c r="BS137" s="139" t="str">
        <f>IFERROR(__xludf.DUMMYFUNCTION("""COMPUTED_VALUE"""),"※移動を入力！(BV列)")</f>
        <v>※移動を入力！(BV列)</v>
      </c>
      <c r="BT137" s="139" t="str">
        <f>IFERROR(__xludf.DUMMYFUNCTION("""COMPUTED_VALUE"""),"※攻撃手段を入力(BQ列)")</f>
        <v>※攻撃手段を入力(BQ列)</v>
      </c>
      <c r="BU137" s="139">
        <f>IFERROR(__xludf.DUMMYFUNCTION("""COMPUTED_VALUE"""),0.0)</f>
        <v>0</v>
      </c>
      <c r="BV137" s="139"/>
      <c r="BW137" s="139"/>
      <c r="BX137" s="139" t="str">
        <f>IFERROR(__xludf.DUMMYFUNCTION("""COMPUTED_VALUE"""),"※特性を選択!!(BW列)")</f>
        <v>※特性を選択!!(BW列)</v>
      </c>
      <c r="BY137" s="139">
        <f>IFERROR(__xludf.DUMMYFUNCTION("""COMPUTED_VALUE"""),2.0)</f>
        <v>2</v>
      </c>
      <c r="BZ137" s="139"/>
      <c r="CA137" s="139" t="str">
        <f>IFERROR(__xludf.DUMMYFUNCTION("""COMPUTED_VALUE"""),"※特性を選択!!(BW列)")</f>
        <v>※特性を選択!!(BW列)</v>
      </c>
      <c r="CB137" s="139" t="str">
        <f>IFERROR(__xludf.DUMMYFUNCTION("""COMPUTED_VALUE"""),"-")</f>
        <v>-</v>
      </c>
      <c r="CC137" s="139" t="str">
        <f>IFERROR(__xludf.DUMMYFUNCTION("""COMPUTED_VALUE"""),"遠距離")</f>
        <v>遠距離</v>
      </c>
      <c r="CD137" s="139"/>
      <c r="CE137" s="139" t="str">
        <f>IFERROR(__xludf.DUMMYFUNCTION("""COMPUTED_VALUE"""),"該当なし")</f>
        <v>該当なし</v>
      </c>
      <c r="CF137" s="139" t="str">
        <f>IFERROR(__xludf.DUMMYFUNCTION("""COMPUTED_VALUE"""),"#VALUE!")</f>
        <v>#VALUE!</v>
      </c>
      <c r="CG137" s="139"/>
      <c r="CH137" s="139"/>
      <c r="CI137" s="139" t="str">
        <f>IFERROR(__xludf.DUMMYFUNCTION("""COMPUTED_VALUE"""),"該当なし")</f>
        <v>該当なし</v>
      </c>
      <c r="CJ137" s="139" t="str">
        <f>IFERROR(__xludf.DUMMYFUNCTION("""COMPUTED_VALUE"""),"#VALUE!")</f>
        <v>#VALUE!</v>
      </c>
      <c r="CK137" s="139"/>
      <c r="CL137" s="139"/>
      <c r="CM137" s="139"/>
      <c r="CN137" s="675">
        <f>IFERROR(__xludf.DUMMYFUNCTION("""COMPUTED_VALUE"""),5.0)</f>
        <v>5</v>
      </c>
      <c r="CO137" s="139" t="str">
        <f>IFERROR(__xludf.DUMMYFUNCTION("""COMPUTED_VALUE"""),"-")</f>
        <v>-</v>
      </c>
      <c r="CP137" s="139" t="str">
        <f>IFERROR(__xludf.DUMMYFUNCTION("""COMPUTED_VALUE"""),"-")</f>
        <v>-</v>
      </c>
      <c r="CQ137" s="139" t="str">
        <f>IFERROR(__xludf.DUMMYFUNCTION("""COMPUTED_VALUE"""),"-")</f>
        <v>-</v>
      </c>
      <c r="CR137" s="139"/>
      <c r="CS137" s="139"/>
      <c r="CT137" s="139"/>
      <c r="CU137" s="139"/>
      <c r="CV137" s="139"/>
      <c r="CW137" s="139"/>
      <c r="CX137" s="674" t="str">
        <f>IFERROR(__xludf.DUMMYFUNCTION("""COMPUTED_VALUE"""),"")</f>
        <v/>
      </c>
      <c r="CY137" s="675" t="str">
        <f>IFERROR(__xludf.DUMMYFUNCTION("""COMPUTED_VALUE"""),"")</f>
        <v/>
      </c>
      <c r="CZ137" s="688" t="str">
        <f>IFERROR(__xludf.DUMMYFUNCTION("""COMPUTED_VALUE"""),"-")</f>
        <v>-</v>
      </c>
      <c r="DA137" s="688">
        <f>IFERROR(__xludf.DUMMYFUNCTION("""COMPUTED_VALUE"""),0.0)</f>
        <v>0</v>
      </c>
      <c r="DB137" s="688">
        <f>IFERROR(__xludf.DUMMYFUNCTION("""COMPUTED_VALUE"""),0.0)</f>
        <v>0</v>
      </c>
      <c r="DC137" s="673" t="str">
        <f>IFERROR(__xludf.DUMMYFUNCTION("""COMPUTED_VALUE"""),"-")</f>
        <v>-</v>
      </c>
      <c r="DD137" s="673" t="str">
        <f>IFERROR(__xludf.DUMMYFUNCTION("""COMPUTED_VALUE"""),"-")</f>
        <v>-</v>
      </c>
      <c r="DE137" s="139" t="str">
        <f>IFERROR(__xludf.DUMMYFUNCTION("""COMPUTED_VALUE"""),"-")</f>
        <v>-</v>
      </c>
      <c r="DF137" s="139" t="str">
        <f>IFERROR(__xludf.DUMMYFUNCTION("""COMPUTED_VALUE"""),"-")</f>
        <v>-</v>
      </c>
      <c r="DG137" s="139" t="str">
        <f>IFERROR(__xludf.DUMMYFUNCTION("""COMPUTED_VALUE"""),"-")</f>
        <v>-</v>
      </c>
      <c r="DH137" s="139" t="str">
        <f>IFERROR(__xludf.DUMMYFUNCTION("""COMPUTED_VALUE"""),"-")</f>
        <v>-</v>
      </c>
      <c r="DI137" s="139" t="str">
        <f>IFERROR(__xludf.DUMMYFUNCTION("""COMPUTED_VALUE"""),"-")</f>
        <v>-</v>
      </c>
      <c r="DJ137" s="139" t="str">
        <f>IFERROR(__xludf.DUMMYFUNCTION("""COMPUTED_VALUE"""),"-")</f>
        <v>-</v>
      </c>
    </row>
    <row r="138">
      <c r="A138" s="139" t="str">
        <f>IFERROR(__xludf.DUMMYFUNCTION("""COMPUTED_VALUE"""),"SPY×FAMILY")</f>
        <v>SPY×FAMILY</v>
      </c>
      <c r="B138" s="139" t="str">
        <f>IFERROR(__xludf.DUMMYFUNCTION("""COMPUTED_VALUE"""),"(仮)アーニャ（ドレスアップ）")</f>
        <v>(仮)アーニャ（ドレスアップ）</v>
      </c>
      <c r="C138" s="139" t="str">
        <f>IFERROR(__xludf.DUMMYFUNCTION("""COMPUTED_VALUE"""),"chara_spy_00002")</f>
        <v>chara_spy_00002</v>
      </c>
      <c r="D138" s="139" t="str">
        <f>IFERROR(__xludf.DUMMYFUNCTION("""COMPUTED_VALUE"""),"FestivalSSR")</f>
        <v>FestivalSSR</v>
      </c>
      <c r="E138" s="139" t="str">
        <f>IFERROR(__xludf.DUMMYFUNCTION("""COMPUTED_VALUE"""),"無")</f>
        <v>無</v>
      </c>
      <c r="F138" s="139" t="str">
        <f>IFERROR(__xludf.DUMMYFUNCTION("""COMPUTED_VALUE"""),"スペシャル")</f>
        <v>スペシャル</v>
      </c>
      <c r="G138" s="139" t="str">
        <f>IFERROR(__xludf.DUMMYFUNCTION("""COMPUTED_VALUE"""),"※ID管理未記入")</f>
        <v>※ID管理未記入</v>
      </c>
      <c r="H138" s="139" t="str">
        <f>IFERROR(__xludf.DUMMYFUNCTION("""COMPUTED_VALUE"""),"-")</f>
        <v>-</v>
      </c>
      <c r="I138" s="139" t="str">
        <f>IFERROR(__xludf.DUMMYFUNCTION("""COMPUTED_VALUE"""),"-")</f>
        <v>-</v>
      </c>
      <c r="J138" s="139" t="str">
        <f>IFERROR(__xludf.DUMMYFUNCTION("""COMPUTED_VALUE"""),"999999999_リリースキー未定")</f>
        <v>999999999_リリースキー未定</v>
      </c>
      <c r="K138" s="139" t="str">
        <f>IFERROR(__xludf.DUMMYFUNCTION("""COMPUTED_VALUE"""),"1周年")</f>
        <v>1周年</v>
      </c>
      <c r="L138" s="139" t="str">
        <f>IFERROR(__xludf.DUMMYFUNCTION("""COMPUTED_VALUE"""),"※")</f>
        <v>※</v>
      </c>
      <c r="M138" s="674">
        <f>IFERROR(__xludf.DUMMYFUNCTION("""COMPUTED_VALUE"""),0.0)</f>
        <v>0</v>
      </c>
      <c r="N138" s="139">
        <f>IFERROR(__xludf.DUMMYFUNCTION("""COMPUTED_VALUE"""),0.0)</f>
        <v>0</v>
      </c>
      <c r="O138" s="139"/>
      <c r="P138" s="139">
        <f>IFERROR(__xludf.DUMMYFUNCTION("""COMPUTED_VALUE"""),0.0)</f>
        <v>0</v>
      </c>
      <c r="Q138" s="675">
        <f>IFERROR(__xludf.DUMMYFUNCTION("""COMPUTED_VALUE"""),0.0)</f>
        <v>0</v>
      </c>
      <c r="R138" s="675">
        <f>IFERROR(__xludf.DUMMYFUNCTION("""COMPUTED_VALUE"""),0.0)</f>
        <v>0</v>
      </c>
      <c r="S138" s="675">
        <f>IFERROR(__xludf.DUMMYFUNCTION("""COMPUTED_VALUE"""),-2.5)</f>
        <v>-2.5</v>
      </c>
      <c r="T138" s="674">
        <f>IFERROR(__xludf.DUMMYFUNCTION("""COMPUTED_VALUE"""),225.0)</f>
        <v>225</v>
      </c>
      <c r="U138" s="675">
        <f>IFERROR(__xludf.DUMMYFUNCTION("""COMPUTED_VALUE"""),4.5)</f>
        <v>4.5</v>
      </c>
      <c r="V138" s="675">
        <f>IFERROR(__xludf.DUMMYFUNCTION("""COMPUTED_VALUE"""),0.0)</f>
        <v>0</v>
      </c>
      <c r="W138" s="675">
        <f>IFERROR(__xludf.DUMMYFUNCTION("""COMPUTED_VALUE"""),0.0)</f>
        <v>0</v>
      </c>
      <c r="X138" s="675">
        <f>IFERROR(__xludf.DUMMYFUNCTION("""COMPUTED_VALUE"""),0.0)</f>
        <v>0</v>
      </c>
      <c r="Y138" s="674">
        <f>IFERROR(__xludf.DUMMYFUNCTION("""COMPUTED_VALUE"""),100.0)</f>
        <v>100</v>
      </c>
      <c r="Z138" s="675">
        <f>IFERROR(__xludf.DUMMYFUNCTION("""COMPUTED_VALUE"""),2.0)</f>
        <v>2</v>
      </c>
      <c r="AA138" s="675">
        <f>IFERROR(__xludf.DUMMYFUNCTION("""COMPUTED_VALUE"""),0.0)</f>
        <v>0</v>
      </c>
      <c r="AB138" s="673">
        <f>IFERROR(__xludf.DUMMYFUNCTION("""COMPUTED_VALUE"""),0.0)</f>
        <v>0</v>
      </c>
      <c r="AC138" s="675">
        <f>IFERROR(__xludf.DUMMYFUNCTION("""COMPUTED_VALUE"""),0.0)</f>
        <v>0</v>
      </c>
      <c r="AD138" s="674">
        <f>IFERROR(__xludf.DUMMYFUNCTION("""COMPUTED_VALUE"""),250.0)</f>
        <v>250</v>
      </c>
      <c r="AE138" s="675">
        <f>IFERROR(__xludf.DUMMYFUNCTION("""COMPUTED_VALUE"""),5.0)</f>
        <v>5</v>
      </c>
      <c r="AF138" s="675">
        <f>IFERROR(__xludf.DUMMYFUNCTION("""COMPUTED_VALUE"""),0.0)</f>
        <v>0</v>
      </c>
      <c r="AG138" s="673">
        <f>IFERROR(__xludf.DUMMYFUNCTION("""COMPUTED_VALUE"""),0.0)</f>
        <v>0</v>
      </c>
      <c r="AH138" s="675">
        <f>IFERROR(__xludf.DUMMYFUNCTION("""COMPUTED_VALUE"""),0.0)</f>
        <v>0</v>
      </c>
      <c r="AI138" s="675">
        <f>IFERROR(__xludf.DUMMYFUNCTION("""COMPUTED_VALUE"""),5.0)</f>
        <v>5</v>
      </c>
      <c r="AJ138" s="675">
        <f>IFERROR(__xludf.DUMMYFUNCTION("""COMPUTED_VALUE"""),0.0)</f>
        <v>0</v>
      </c>
      <c r="AK138" s="139">
        <f>IFERROR(__xludf.DUMMYFUNCTION("""COMPUTED_VALUE"""),1.0)</f>
        <v>1</v>
      </c>
      <c r="AL138" s="674">
        <f>IFERROR(__xludf.DUMMYFUNCTION("""COMPUTED_VALUE"""),0.0)</f>
        <v>0</v>
      </c>
      <c r="AM138" s="688">
        <f>IFERROR(__xludf.DUMMYFUNCTION("""COMPUTED_VALUE"""),0.0)</f>
        <v>0</v>
      </c>
      <c r="AN138" s="675">
        <f>IFERROR(__xludf.DUMMYFUNCTION("""COMPUTED_VALUE"""),0.0)</f>
        <v>0</v>
      </c>
      <c r="AO138" s="675">
        <f>IFERROR(__xludf.DUMMYFUNCTION("""COMPUTED_VALUE"""),0.0)</f>
        <v>0</v>
      </c>
      <c r="AP138" s="674">
        <f>IFERROR(__xludf.DUMMYFUNCTION("""COMPUTED_VALUE"""),0.0)</f>
        <v>0</v>
      </c>
      <c r="AQ138" s="673">
        <f>IFERROR(__xludf.DUMMYFUNCTION("""COMPUTED_VALUE"""),0.0)</f>
        <v>0</v>
      </c>
      <c r="AR138" s="673">
        <f>IFERROR(__xludf.DUMMYFUNCTION("""COMPUTED_VALUE"""),0.0)</f>
        <v>0</v>
      </c>
      <c r="AS138" s="673">
        <f>IFERROR(__xludf.DUMMYFUNCTION("""COMPUTED_VALUE"""),0.0)</f>
        <v>0</v>
      </c>
      <c r="AT138" s="673">
        <f>IFERROR(__xludf.DUMMYFUNCTION("""COMPUTED_VALUE"""),0.0)</f>
        <v>0</v>
      </c>
      <c r="AU138" s="675">
        <f>IFERROR(__xludf.DUMMYFUNCTION("""COMPUTED_VALUE"""),0.0)</f>
        <v>0</v>
      </c>
      <c r="AV138" s="675">
        <f>IFERROR(__xludf.DUMMYFUNCTION("""COMPUTED_VALUE"""),0.0)</f>
        <v>0</v>
      </c>
      <c r="AW138" s="139"/>
      <c r="AX138" s="674" t="str">
        <f>IFERROR(__xludf.DUMMYFUNCTION("""COMPUTED_VALUE"""),"※通常攻撃範囲を入力！(CD列)")</f>
        <v>※通常攻撃範囲を入力！(CD列)</v>
      </c>
      <c r="AY138" s="688" t="str">
        <f>IFERROR(__xludf.DUMMYFUNCTION("""COMPUTED_VALUE"""),"#VALUE!")</f>
        <v>#VALUE!</v>
      </c>
      <c r="AZ138" s="674" t="str">
        <f>IFERROR(__xludf.DUMMYFUNCTION("""COMPUTED_VALUE"""),"#VALUE!")</f>
        <v>#VALUE!</v>
      </c>
      <c r="BA138" s="688" t="str">
        <f>IFERROR(__xludf.DUMMYFUNCTION("""COMPUTED_VALUE"""),"#VALUE!")</f>
        <v>#VALUE!</v>
      </c>
      <c r="BB138" s="688" t="str">
        <f>IFERROR(__xludf.DUMMYFUNCTION("""COMPUTED_VALUE"""),"-")</f>
        <v>-</v>
      </c>
      <c r="BC138" s="688" t="str">
        <f>IFERROR(__xludf.DUMMYFUNCTION("""COMPUTED_VALUE"""),"#VALUE!")</f>
        <v>#VALUE!</v>
      </c>
      <c r="BD138" s="688" t="str">
        <f>IFERROR(__xludf.DUMMYFUNCTION("""COMPUTED_VALUE"""),"#VALUE!")</f>
        <v>#VALUE!</v>
      </c>
      <c r="BE138" s="674" t="str">
        <f>IFERROR(__xludf.DUMMYFUNCTION("""COMPUTED_VALUE"""),"#VALUE!")</f>
        <v>#VALUE!</v>
      </c>
      <c r="BF138" s="674">
        <f>IFERROR(__xludf.DUMMYFUNCTION("""COMPUTED_VALUE"""),0.0)</f>
        <v>0</v>
      </c>
      <c r="BG138" s="673">
        <f>IFERROR(__xludf.DUMMYFUNCTION("""COMPUTED_VALUE"""),0.0)</f>
        <v>0</v>
      </c>
      <c r="BH138" s="673">
        <f>IFERROR(__xludf.DUMMYFUNCTION("""COMPUTED_VALUE"""),0.0)</f>
        <v>0</v>
      </c>
      <c r="BI138" s="673">
        <f>IFERROR(__xludf.DUMMYFUNCTION("""COMPUTED_VALUE"""),0.0)</f>
        <v>0</v>
      </c>
      <c r="BJ138" s="673">
        <f>IFERROR(__xludf.DUMMYFUNCTION("""COMPUTED_VALUE"""),0.0)</f>
        <v>0</v>
      </c>
      <c r="BK138" s="673">
        <f>IFERROR(__xludf.DUMMYFUNCTION("""COMPUTED_VALUE"""),0.0)</f>
        <v>0</v>
      </c>
      <c r="BL138" s="673">
        <f>IFERROR(__xludf.DUMMYFUNCTION("""COMPUTED_VALUE"""),0.0)</f>
        <v>0</v>
      </c>
      <c r="BM138" s="674">
        <f>IFERROR(__xludf.DUMMYFUNCTION("""COMPUTED_VALUE"""),0.0)</f>
        <v>0</v>
      </c>
      <c r="BN138" s="674">
        <f>IFERROR(__xludf.DUMMYFUNCTION("""COMPUTED_VALUE"""),0.0)</f>
        <v>0</v>
      </c>
      <c r="BO138" s="675">
        <f>IFERROR(__xludf.DUMMYFUNCTION("""COMPUTED_VALUE"""),0.0)</f>
        <v>0</v>
      </c>
      <c r="BP138" s="675">
        <f>IFERROR(__xludf.DUMMYFUNCTION("""COMPUTED_VALUE"""),0.0)</f>
        <v>0</v>
      </c>
      <c r="BQ138" s="139"/>
      <c r="BR138" s="139" t="str">
        <f>IFERROR(__xludf.DUMMYFUNCTION("""COMPUTED_VALUE"""),"該当なし")</f>
        <v>該当なし</v>
      </c>
      <c r="BS138" s="139" t="str">
        <f>IFERROR(__xludf.DUMMYFUNCTION("""COMPUTED_VALUE"""),"※移動を入力！(BV列)")</f>
        <v>※移動を入力！(BV列)</v>
      </c>
      <c r="BT138" s="139" t="str">
        <f>IFERROR(__xludf.DUMMYFUNCTION("""COMPUTED_VALUE"""),"※攻撃手段を入力(BQ列)")</f>
        <v>※攻撃手段を入力(BQ列)</v>
      </c>
      <c r="BU138" s="139">
        <f>IFERROR(__xludf.DUMMYFUNCTION("""COMPUTED_VALUE"""),0.0)</f>
        <v>0</v>
      </c>
      <c r="BV138" s="139"/>
      <c r="BW138" s="139"/>
      <c r="BX138" s="139" t="str">
        <f>IFERROR(__xludf.DUMMYFUNCTION("""COMPUTED_VALUE"""),"※特性を選択!!(BW列)")</f>
        <v>※特性を選択!!(BW列)</v>
      </c>
      <c r="BY138" s="139" t="str">
        <f>IFERROR(__xludf.DUMMYFUNCTION("""COMPUTED_VALUE"""),"-")</f>
        <v>-</v>
      </c>
      <c r="BZ138" s="139"/>
      <c r="CA138" s="139" t="str">
        <f>IFERROR(__xludf.DUMMYFUNCTION("""COMPUTED_VALUE"""),"※特性を選択!!(BW列)")</f>
        <v>※特性を選択!!(BW列)</v>
      </c>
      <c r="CB138" s="139" t="str">
        <f>IFERROR(__xludf.DUMMYFUNCTION("""COMPUTED_VALUE"""),"-")</f>
        <v>-</v>
      </c>
      <c r="CC138" s="139" t="str">
        <f>IFERROR(__xludf.DUMMYFUNCTION("""COMPUTED_VALUE"""),"※ID管理未記入")</f>
        <v>※ID管理未記入</v>
      </c>
      <c r="CD138" s="139"/>
      <c r="CE138" s="139" t="str">
        <f>IFERROR(__xludf.DUMMYFUNCTION("""COMPUTED_VALUE"""),"-")</f>
        <v>-</v>
      </c>
      <c r="CF138" s="139" t="str">
        <f>IFERROR(__xludf.DUMMYFUNCTION("""COMPUTED_VALUE"""),"#VALUE!")</f>
        <v>#VALUE!</v>
      </c>
      <c r="CG138" s="139"/>
      <c r="CH138" s="139"/>
      <c r="CI138" s="139" t="str">
        <f>IFERROR(__xludf.DUMMYFUNCTION("""COMPUTED_VALUE"""),"-")</f>
        <v>-</v>
      </c>
      <c r="CJ138" s="139" t="str">
        <f>IFERROR(__xludf.DUMMYFUNCTION("""COMPUTED_VALUE"""),"#VALUE!")</f>
        <v>#VALUE!</v>
      </c>
      <c r="CK138" s="139"/>
      <c r="CL138" s="139"/>
      <c r="CM138" s="139"/>
      <c r="CN138" s="675" t="str">
        <f>IFERROR(__xludf.DUMMYFUNCTION("""COMPUTED_VALUE"""),"-")</f>
        <v>-</v>
      </c>
      <c r="CO138" s="139" t="str">
        <f>IFERROR(__xludf.DUMMYFUNCTION("""COMPUTED_VALUE"""),"-")</f>
        <v>-</v>
      </c>
      <c r="CP138" s="139" t="str">
        <f>IFERROR(__xludf.DUMMYFUNCTION("""COMPUTED_VALUE"""),"-")</f>
        <v>-</v>
      </c>
      <c r="CQ138" s="139" t="str">
        <f>IFERROR(__xludf.DUMMYFUNCTION("""COMPUTED_VALUE"""),"-")</f>
        <v>-</v>
      </c>
      <c r="CR138" s="139"/>
      <c r="CS138" s="139"/>
      <c r="CT138" s="139"/>
      <c r="CU138" s="139"/>
      <c r="CV138" s="139"/>
      <c r="CW138" s="139"/>
      <c r="CX138" s="674" t="str">
        <f>IFERROR(__xludf.DUMMYFUNCTION("""COMPUTED_VALUE"""),"")</f>
        <v/>
      </c>
      <c r="CY138" s="675" t="str">
        <f>IFERROR(__xludf.DUMMYFUNCTION("""COMPUTED_VALUE"""),"")</f>
        <v/>
      </c>
      <c r="CZ138" s="688" t="str">
        <f>IFERROR(__xludf.DUMMYFUNCTION("""COMPUTED_VALUE"""),"-")</f>
        <v>-</v>
      </c>
      <c r="DA138" s="688">
        <f>IFERROR(__xludf.DUMMYFUNCTION("""COMPUTED_VALUE"""),0.0)</f>
        <v>0</v>
      </c>
      <c r="DB138" s="688">
        <f>IFERROR(__xludf.DUMMYFUNCTION("""COMPUTED_VALUE"""),0.0)</f>
        <v>0</v>
      </c>
      <c r="DC138" s="673" t="str">
        <f>IFERROR(__xludf.DUMMYFUNCTION("""COMPUTED_VALUE"""),"-")</f>
        <v>-</v>
      </c>
      <c r="DD138" s="673" t="str">
        <f>IFERROR(__xludf.DUMMYFUNCTION("""COMPUTED_VALUE"""),"-")</f>
        <v>-</v>
      </c>
      <c r="DE138" s="139" t="str">
        <f>IFERROR(__xludf.DUMMYFUNCTION("""COMPUTED_VALUE"""),"-")</f>
        <v>-</v>
      </c>
      <c r="DF138" s="139" t="str">
        <f>IFERROR(__xludf.DUMMYFUNCTION("""COMPUTED_VALUE"""),"-")</f>
        <v>-</v>
      </c>
      <c r="DG138" s="139" t="str">
        <f>IFERROR(__xludf.DUMMYFUNCTION("""COMPUTED_VALUE"""),"-")</f>
        <v>-</v>
      </c>
      <c r="DH138" s="139" t="str">
        <f>IFERROR(__xludf.DUMMYFUNCTION("""COMPUTED_VALUE"""),"-")</f>
        <v>-</v>
      </c>
      <c r="DI138" s="139" t="str">
        <f>IFERROR(__xludf.DUMMYFUNCTION("""COMPUTED_VALUE"""),"-")</f>
        <v>-</v>
      </c>
      <c r="DJ138" s="139" t="str">
        <f>IFERROR(__xludf.DUMMYFUNCTION("""COMPUTED_VALUE"""),"-")</f>
        <v>-</v>
      </c>
    </row>
    <row r="139">
      <c r="A139" s="139" t="str">
        <f>IFERROR(__xludf.DUMMYFUNCTION("""COMPUTED_VALUE"""),"ダンダダン")</f>
        <v>ダンダダン</v>
      </c>
      <c r="B139" s="139" t="str">
        <f>IFERROR(__xludf.DUMMYFUNCTION("""COMPUTED_VALUE"""),"(仮)星子")</f>
        <v>(仮)星子</v>
      </c>
      <c r="C139" s="139" t="str">
        <f>IFERROR(__xludf.DUMMYFUNCTION("""COMPUTED_VALUE"""),"chara_dan_00601")</f>
        <v>chara_dan_00601</v>
      </c>
      <c r="D139" s="139" t="str">
        <f>IFERROR(__xludf.DUMMYFUNCTION("""COMPUTED_VALUE"""),"PremiumUR")</f>
        <v>PremiumUR</v>
      </c>
      <c r="E139" s="139" t="str">
        <f>IFERROR(__xludf.DUMMYFUNCTION("""COMPUTED_VALUE"""),"黄")</f>
        <v>黄</v>
      </c>
      <c r="F139" s="139" t="str">
        <f>IFERROR(__xludf.DUMMYFUNCTION("""COMPUTED_VALUE"""),"サポート")</f>
        <v>サポート</v>
      </c>
      <c r="G139" s="139" t="str">
        <f>IFERROR(__xludf.DUMMYFUNCTION("""COMPUTED_VALUE"""),"近距離")</f>
        <v>近距離</v>
      </c>
      <c r="H139" s="139" t="str">
        <f>IFERROR(__xludf.DUMMYFUNCTION("""COMPUTED_VALUE"""),"dageki_1")</f>
        <v>dageki_1</v>
      </c>
      <c r="I139" s="139" t="str">
        <f>IFERROR(__xludf.DUMMYFUNCTION("""COMPUTED_VALUE"""),"-")</f>
        <v>-</v>
      </c>
      <c r="J139" s="139" t="str">
        <f>IFERROR(__xludf.DUMMYFUNCTION("""COMPUTED_VALUE"""),"999999999_リリースキー未定")</f>
        <v>999999999_リリースキー未定</v>
      </c>
      <c r="K139" s="139" t="str">
        <f>IFERROR(__xludf.DUMMYFUNCTION("""COMPUTED_VALUE"""),"ハーフアニバーサリー")</f>
        <v>ハーフアニバーサリー</v>
      </c>
      <c r="L139" s="139" t="str">
        <f>IFERROR(__xludf.DUMMYFUNCTION("""COMPUTED_VALUE"""),"※")</f>
        <v>※</v>
      </c>
      <c r="M139" s="674">
        <f>IFERROR(__xludf.DUMMYFUNCTION("""COMPUTED_VALUE"""),0.0)</f>
        <v>0</v>
      </c>
      <c r="N139" s="139">
        <f>IFERROR(__xludf.DUMMYFUNCTION("""COMPUTED_VALUE"""),0.0)</f>
        <v>0</v>
      </c>
      <c r="O139" s="139"/>
      <c r="P139" s="139">
        <f>IFERROR(__xludf.DUMMYFUNCTION("""COMPUTED_VALUE"""),0.0)</f>
        <v>0</v>
      </c>
      <c r="Q139" s="675">
        <f>IFERROR(__xludf.DUMMYFUNCTION("""COMPUTED_VALUE"""),0.0)</f>
        <v>0</v>
      </c>
      <c r="R139" s="675">
        <f>IFERROR(__xludf.DUMMYFUNCTION("""COMPUTED_VALUE"""),0.0)</f>
        <v>0</v>
      </c>
      <c r="S139" s="675">
        <f>IFERROR(__xludf.DUMMYFUNCTION("""COMPUTED_VALUE"""),-2.5)</f>
        <v>-2.5</v>
      </c>
      <c r="T139" s="674">
        <f>IFERROR(__xludf.DUMMYFUNCTION("""COMPUTED_VALUE"""),225.0)</f>
        <v>225</v>
      </c>
      <c r="U139" s="675">
        <f>IFERROR(__xludf.DUMMYFUNCTION("""COMPUTED_VALUE"""),4.5)</f>
        <v>4.5</v>
      </c>
      <c r="V139" s="675">
        <f>IFERROR(__xludf.DUMMYFUNCTION("""COMPUTED_VALUE"""),0.0)</f>
        <v>0</v>
      </c>
      <c r="W139" s="675">
        <f>IFERROR(__xludf.DUMMYFUNCTION("""COMPUTED_VALUE"""),0.0)</f>
        <v>0</v>
      </c>
      <c r="X139" s="675">
        <f>IFERROR(__xludf.DUMMYFUNCTION("""COMPUTED_VALUE"""),0.0)</f>
        <v>0</v>
      </c>
      <c r="Y139" s="674">
        <f>IFERROR(__xludf.DUMMYFUNCTION("""COMPUTED_VALUE"""),100.0)</f>
        <v>100</v>
      </c>
      <c r="Z139" s="675">
        <f>IFERROR(__xludf.DUMMYFUNCTION("""COMPUTED_VALUE"""),2.0)</f>
        <v>2</v>
      </c>
      <c r="AA139" s="675">
        <f>IFERROR(__xludf.DUMMYFUNCTION("""COMPUTED_VALUE"""),0.0)</f>
        <v>0</v>
      </c>
      <c r="AB139" s="673">
        <f>IFERROR(__xludf.DUMMYFUNCTION("""COMPUTED_VALUE"""),0.0)</f>
        <v>0</v>
      </c>
      <c r="AC139" s="675">
        <f>IFERROR(__xludf.DUMMYFUNCTION("""COMPUTED_VALUE"""),0.0)</f>
        <v>0</v>
      </c>
      <c r="AD139" s="674">
        <f>IFERROR(__xludf.DUMMYFUNCTION("""COMPUTED_VALUE"""),250.0)</f>
        <v>250</v>
      </c>
      <c r="AE139" s="675">
        <f>IFERROR(__xludf.DUMMYFUNCTION("""COMPUTED_VALUE"""),5.0)</f>
        <v>5</v>
      </c>
      <c r="AF139" s="675">
        <f>IFERROR(__xludf.DUMMYFUNCTION("""COMPUTED_VALUE"""),0.0)</f>
        <v>0</v>
      </c>
      <c r="AG139" s="673">
        <f>IFERROR(__xludf.DUMMYFUNCTION("""COMPUTED_VALUE"""),0.0)</f>
        <v>0</v>
      </c>
      <c r="AH139" s="675">
        <f>IFERROR(__xludf.DUMMYFUNCTION("""COMPUTED_VALUE"""),0.0)</f>
        <v>0</v>
      </c>
      <c r="AI139" s="139" t="str">
        <f>IFERROR(__xludf.DUMMYFUNCTION("""COMPUTED_VALUE"""),"-")</f>
        <v>-</v>
      </c>
      <c r="AJ139" s="675" t="str">
        <f>IFERROR(__xludf.DUMMYFUNCTION("""COMPUTED_VALUE"""),"-")</f>
        <v>-</v>
      </c>
      <c r="AK139" s="139">
        <f>IFERROR(__xludf.DUMMYFUNCTION("""COMPUTED_VALUE"""),0.0)</f>
        <v>0</v>
      </c>
      <c r="AL139" s="674">
        <f>IFERROR(__xludf.DUMMYFUNCTION("""COMPUTED_VALUE"""),0.0)</f>
        <v>0</v>
      </c>
      <c r="AM139" s="688">
        <f>IFERROR(__xludf.DUMMYFUNCTION("""COMPUTED_VALUE"""),0.0)</f>
        <v>0</v>
      </c>
      <c r="AN139" s="675">
        <f>IFERROR(__xludf.DUMMYFUNCTION("""COMPUTED_VALUE"""),0.0)</f>
        <v>0</v>
      </c>
      <c r="AO139" s="675">
        <f>IFERROR(__xludf.DUMMYFUNCTION("""COMPUTED_VALUE"""),0.0)</f>
        <v>0</v>
      </c>
      <c r="AP139" s="674">
        <f>IFERROR(__xludf.DUMMYFUNCTION("""COMPUTED_VALUE"""),0.0)</f>
        <v>0</v>
      </c>
      <c r="AQ139" s="673">
        <f>IFERROR(__xludf.DUMMYFUNCTION("""COMPUTED_VALUE"""),-0.4)</f>
        <v>-0.4</v>
      </c>
      <c r="AR139" s="673">
        <f>IFERROR(__xludf.DUMMYFUNCTION("""COMPUTED_VALUE"""),0.0)</f>
        <v>0</v>
      </c>
      <c r="AS139" s="673">
        <f>IFERROR(__xludf.DUMMYFUNCTION("""COMPUTED_VALUE"""),0.1)</f>
        <v>0.1</v>
      </c>
      <c r="AT139" s="673">
        <f>IFERROR(__xludf.DUMMYFUNCTION("""COMPUTED_VALUE"""),0.0)</f>
        <v>0</v>
      </c>
      <c r="AU139" s="675">
        <f>IFERROR(__xludf.DUMMYFUNCTION("""COMPUTED_VALUE"""),0.0)</f>
        <v>0</v>
      </c>
      <c r="AV139" s="675">
        <f>IFERROR(__xludf.DUMMYFUNCTION("""COMPUTED_VALUE"""),0.0)</f>
        <v>0</v>
      </c>
      <c r="AW139" s="139"/>
      <c r="AX139" s="674" t="str">
        <f>IFERROR(__xludf.DUMMYFUNCTION("""COMPUTED_VALUE"""),"※通常攻撃範囲を入力！(CD列)")</f>
        <v>※通常攻撃範囲を入力！(CD列)</v>
      </c>
      <c r="AY139" s="688" t="str">
        <f>IFERROR(__xludf.DUMMYFUNCTION("""COMPUTED_VALUE"""),"#VALUE!")</f>
        <v>#VALUE!</v>
      </c>
      <c r="AZ139" s="674" t="str">
        <f>IFERROR(__xludf.DUMMYFUNCTION("""COMPUTED_VALUE"""),"#VALUE!")</f>
        <v>#VALUE!</v>
      </c>
      <c r="BA139" s="688" t="str">
        <f>IFERROR(__xludf.DUMMYFUNCTION("""COMPUTED_VALUE"""),"#VALUE!")</f>
        <v>#VALUE!</v>
      </c>
      <c r="BB139" s="688" t="str">
        <f>IFERROR(__xludf.DUMMYFUNCTION("""COMPUTED_VALUE"""),"-")</f>
        <v>-</v>
      </c>
      <c r="BC139" s="688" t="str">
        <f>IFERROR(__xludf.DUMMYFUNCTION("""COMPUTED_VALUE"""),"#VALUE!")</f>
        <v>#VALUE!</v>
      </c>
      <c r="BD139" s="688" t="str">
        <f>IFERROR(__xludf.DUMMYFUNCTION("""COMPUTED_VALUE"""),"#VALUE!")</f>
        <v>#VALUE!</v>
      </c>
      <c r="BE139" s="674" t="str">
        <f>IFERROR(__xludf.DUMMYFUNCTION("""COMPUTED_VALUE"""),"#VALUE!")</f>
        <v>#VALUE!</v>
      </c>
      <c r="BF139" s="674">
        <f>IFERROR(__xludf.DUMMYFUNCTION("""COMPUTED_VALUE"""),0.0)</f>
        <v>0</v>
      </c>
      <c r="BG139" s="673">
        <f>IFERROR(__xludf.DUMMYFUNCTION("""COMPUTED_VALUE"""),0.0)</f>
        <v>0</v>
      </c>
      <c r="BH139" s="673">
        <f>IFERROR(__xludf.DUMMYFUNCTION("""COMPUTED_VALUE"""),-0.3)</f>
        <v>-0.3</v>
      </c>
      <c r="BI139" s="673">
        <f>IFERROR(__xludf.DUMMYFUNCTION("""COMPUTED_VALUE"""),0.0)</f>
        <v>0</v>
      </c>
      <c r="BJ139" s="673">
        <f>IFERROR(__xludf.DUMMYFUNCTION("""COMPUTED_VALUE"""),0.0)</f>
        <v>0</v>
      </c>
      <c r="BK139" s="673">
        <f>IFERROR(__xludf.DUMMYFUNCTION("""COMPUTED_VALUE"""),0.0)</f>
        <v>0</v>
      </c>
      <c r="BL139" s="673">
        <f>IFERROR(__xludf.DUMMYFUNCTION("""COMPUTED_VALUE"""),0.1)</f>
        <v>0.1</v>
      </c>
      <c r="BM139" s="674">
        <f>IFERROR(__xludf.DUMMYFUNCTION("""COMPUTED_VALUE"""),75.0)</f>
        <v>75</v>
      </c>
      <c r="BN139" s="674">
        <f>IFERROR(__xludf.DUMMYFUNCTION("""COMPUTED_VALUE"""),75.0)</f>
        <v>75</v>
      </c>
      <c r="BO139" s="675">
        <f>IFERROR(__xludf.DUMMYFUNCTION("""COMPUTED_VALUE"""),0.0)</f>
        <v>0</v>
      </c>
      <c r="BP139" s="675">
        <f>IFERROR(__xludf.DUMMYFUNCTION("""COMPUTED_VALUE"""),1.5)</f>
        <v>1.5</v>
      </c>
      <c r="BQ139" s="139"/>
      <c r="BR139" s="139">
        <f>IFERROR(__xludf.DUMMYFUNCTION("""COMPUTED_VALUE"""),2.0)</f>
        <v>2</v>
      </c>
      <c r="BS139" s="139" t="str">
        <f>IFERROR(__xludf.DUMMYFUNCTION("""COMPUTED_VALUE"""),"※移動を入力！(BV列)")</f>
        <v>※移動を入力！(BV列)</v>
      </c>
      <c r="BT139" s="139" t="str">
        <f>IFERROR(__xludf.DUMMYFUNCTION("""COMPUTED_VALUE"""),"※攻撃手段を入力(BQ列)")</f>
        <v>※攻撃手段を入力(BQ列)</v>
      </c>
      <c r="BU139" s="139">
        <f>IFERROR(__xludf.DUMMYFUNCTION("""COMPUTED_VALUE"""),0.0)</f>
        <v>0</v>
      </c>
      <c r="BV139" s="139"/>
      <c r="BW139" s="139"/>
      <c r="BX139" s="139" t="str">
        <f>IFERROR(__xludf.DUMMYFUNCTION("""COMPUTED_VALUE"""),"※特性を選択!!(BW列)")</f>
        <v>※特性を選択!!(BW列)</v>
      </c>
      <c r="BY139" s="139">
        <f>IFERROR(__xludf.DUMMYFUNCTION("""COMPUTED_VALUE"""),0.0)</f>
        <v>0</v>
      </c>
      <c r="BZ139" s="139"/>
      <c r="CA139" s="139" t="str">
        <f>IFERROR(__xludf.DUMMYFUNCTION("""COMPUTED_VALUE"""),"※特性を選択!!(BW列)")</f>
        <v>※特性を選択!!(BW列)</v>
      </c>
      <c r="CB139" s="139">
        <f>IFERROR(__xludf.DUMMYFUNCTION("""COMPUTED_VALUE"""),4.0)</f>
        <v>4</v>
      </c>
      <c r="CC139" s="139" t="str">
        <f>IFERROR(__xludf.DUMMYFUNCTION("""COMPUTED_VALUE"""),"近距離")</f>
        <v>近距離</v>
      </c>
      <c r="CD139" s="139"/>
      <c r="CE139" s="139" t="str">
        <f>IFERROR(__xludf.DUMMYFUNCTION("""COMPUTED_VALUE"""),"該当なし")</f>
        <v>該当なし</v>
      </c>
      <c r="CF139" s="139" t="str">
        <f>IFERROR(__xludf.DUMMYFUNCTION("""COMPUTED_VALUE"""),"#VALUE!")</f>
        <v>#VALUE!</v>
      </c>
      <c r="CG139" s="139"/>
      <c r="CH139" s="139"/>
      <c r="CI139" s="139" t="str">
        <f>IFERROR(__xludf.DUMMYFUNCTION("""COMPUTED_VALUE"""),"該当なし")</f>
        <v>該当なし</v>
      </c>
      <c r="CJ139" s="139" t="str">
        <f>IFERROR(__xludf.DUMMYFUNCTION("""COMPUTED_VALUE"""),"#VALUE!")</f>
        <v>#VALUE!</v>
      </c>
      <c r="CK139" s="139"/>
      <c r="CL139" s="139"/>
      <c r="CM139" s="139"/>
      <c r="CN139" s="675">
        <f>IFERROR(__xludf.DUMMYFUNCTION("""COMPUTED_VALUE"""),5.0)</f>
        <v>5</v>
      </c>
      <c r="CO139" s="139" t="str">
        <f>IFERROR(__xludf.DUMMYFUNCTION("""COMPUTED_VALUE"""),"-")</f>
        <v>-</v>
      </c>
      <c r="CP139" s="139" t="str">
        <f>IFERROR(__xludf.DUMMYFUNCTION("""COMPUTED_VALUE"""),"-")</f>
        <v>-</v>
      </c>
      <c r="CQ139" s="139" t="str">
        <f>IFERROR(__xludf.DUMMYFUNCTION("""COMPUTED_VALUE"""),"-")</f>
        <v>-</v>
      </c>
      <c r="CR139" s="139"/>
      <c r="CS139" s="139"/>
      <c r="CT139" s="139"/>
      <c r="CU139" s="139"/>
      <c r="CV139" s="139"/>
      <c r="CW139" s="139"/>
      <c r="CX139" s="674" t="str">
        <f>IFERROR(__xludf.DUMMYFUNCTION("""COMPUTED_VALUE"""),"")</f>
        <v/>
      </c>
      <c r="CY139" s="675" t="str">
        <f>IFERROR(__xludf.DUMMYFUNCTION("""COMPUTED_VALUE"""),"")</f>
        <v/>
      </c>
      <c r="CZ139" s="688" t="str">
        <f>IFERROR(__xludf.DUMMYFUNCTION("""COMPUTED_VALUE"""),"-")</f>
        <v>-</v>
      </c>
      <c r="DA139" s="688">
        <f>IFERROR(__xludf.DUMMYFUNCTION("""COMPUTED_VALUE"""),0.0)</f>
        <v>0</v>
      </c>
      <c r="DB139" s="688">
        <f>IFERROR(__xludf.DUMMYFUNCTION("""COMPUTED_VALUE"""),0.0)</f>
        <v>0</v>
      </c>
      <c r="DC139" s="673" t="str">
        <f>IFERROR(__xludf.DUMMYFUNCTION("""COMPUTED_VALUE"""),"-")</f>
        <v>-</v>
      </c>
      <c r="DD139" s="673" t="str">
        <f>IFERROR(__xludf.DUMMYFUNCTION("""COMPUTED_VALUE"""),"-")</f>
        <v>-</v>
      </c>
      <c r="DE139" s="139" t="str">
        <f>IFERROR(__xludf.DUMMYFUNCTION("""COMPUTED_VALUE"""),"-")</f>
        <v>-</v>
      </c>
      <c r="DF139" s="139" t="str">
        <f>IFERROR(__xludf.DUMMYFUNCTION("""COMPUTED_VALUE"""),"-")</f>
        <v>-</v>
      </c>
      <c r="DG139" s="139" t="str">
        <f>IFERROR(__xludf.DUMMYFUNCTION("""COMPUTED_VALUE"""),"-")</f>
        <v>-</v>
      </c>
      <c r="DH139" s="139" t="str">
        <f>IFERROR(__xludf.DUMMYFUNCTION("""COMPUTED_VALUE"""),"-")</f>
        <v>-</v>
      </c>
      <c r="DI139" s="139" t="str">
        <f>IFERROR(__xludf.DUMMYFUNCTION("""COMPUTED_VALUE"""),"-")</f>
        <v>-</v>
      </c>
      <c r="DJ139" s="139" t="str">
        <f>IFERROR(__xludf.DUMMYFUNCTION("""COMPUTED_VALUE"""),"-")</f>
        <v>-</v>
      </c>
    </row>
    <row r="140">
      <c r="A140" s="139" t="str">
        <f>IFERROR(__xludf.DUMMYFUNCTION("""COMPUTED_VALUE"""),"チェンソーマン")</f>
        <v>チェンソーマン</v>
      </c>
      <c r="B140" s="139" t="str">
        <f>IFERROR(__xludf.DUMMYFUNCTION("""COMPUTED_VALUE"""),"(仮)マキマ")</f>
        <v>(仮)マキマ</v>
      </c>
      <c r="C140" s="139" t="str">
        <f>IFERROR(__xludf.DUMMYFUNCTION("""COMPUTED_VALUE"""),"chara_chi_00401")</f>
        <v>chara_chi_00401</v>
      </c>
      <c r="D140" s="139" t="str">
        <f>IFERROR(__xludf.DUMMYFUNCTION("""COMPUTED_VALUE"""),"PremiumUR")</f>
        <v>PremiumUR</v>
      </c>
      <c r="E140" s="139" t="str">
        <f>IFERROR(__xludf.DUMMYFUNCTION("""COMPUTED_VALUE"""),"調整中")</f>
        <v>調整中</v>
      </c>
      <c r="F140" s="139" t="str">
        <f>IFERROR(__xludf.DUMMYFUNCTION("""COMPUTED_VALUE"""),"調整中")</f>
        <v>調整中</v>
      </c>
      <c r="G140" s="139" t="str">
        <f>IFERROR(__xludf.DUMMYFUNCTION("""COMPUTED_VALUE"""),"※ID管理未記入")</f>
        <v>※ID管理未記入</v>
      </c>
      <c r="H140" s="139" t="str">
        <f>IFERROR(__xludf.DUMMYFUNCTION("""COMPUTED_VALUE"""),"※ID管理未記入")</f>
        <v>※ID管理未記入</v>
      </c>
      <c r="I140" s="139" t="str">
        <f>IFERROR(__xludf.DUMMYFUNCTION("""COMPUTED_VALUE"""),"※ID管理未記入")</f>
        <v>※ID管理未記入</v>
      </c>
      <c r="J140" s="139" t="str">
        <f>IFERROR(__xludf.DUMMYFUNCTION("""COMPUTED_VALUE"""),"999999999_リリースキー未定")</f>
        <v>999999999_リリースキー未定</v>
      </c>
      <c r="K140" s="139" t="str">
        <f>IFERROR(__xludf.DUMMYFUNCTION("""COMPUTED_VALUE"""),"チェンソーマンいいジャン祭")</f>
        <v>チェンソーマンいいジャン祭</v>
      </c>
      <c r="L140" s="687" t="str">
        <f>IFERROR(__xludf.DUMMYFUNCTION("""COMPUTED_VALUE"""),"※")</f>
        <v>※</v>
      </c>
      <c r="M140" s="674">
        <f>IFERROR(__xludf.DUMMYFUNCTION("""COMPUTED_VALUE"""),0.0)</f>
        <v>0</v>
      </c>
      <c r="N140" s="139">
        <f>IFERROR(__xludf.DUMMYFUNCTION("""COMPUTED_VALUE"""),0.0)</f>
        <v>0</v>
      </c>
      <c r="O140" s="139"/>
      <c r="P140" s="139">
        <f>IFERROR(__xludf.DUMMYFUNCTION("""COMPUTED_VALUE"""),0.0)</f>
        <v>0</v>
      </c>
      <c r="Q140" s="675">
        <f>IFERROR(__xludf.DUMMYFUNCTION("""COMPUTED_VALUE"""),0.0)</f>
        <v>0</v>
      </c>
      <c r="R140" s="675">
        <f>IFERROR(__xludf.DUMMYFUNCTION("""COMPUTED_VALUE"""),0.0)</f>
        <v>0</v>
      </c>
      <c r="S140" s="675">
        <f>IFERROR(__xludf.DUMMYFUNCTION("""COMPUTED_VALUE"""),-2.5)</f>
        <v>-2.5</v>
      </c>
      <c r="T140" s="674">
        <f>IFERROR(__xludf.DUMMYFUNCTION("""COMPUTED_VALUE"""),225.0)</f>
        <v>225</v>
      </c>
      <c r="U140" s="675">
        <f>IFERROR(__xludf.DUMMYFUNCTION("""COMPUTED_VALUE"""),4.5)</f>
        <v>4.5</v>
      </c>
      <c r="V140" s="675">
        <f>IFERROR(__xludf.DUMMYFUNCTION("""COMPUTED_VALUE"""),0.0)</f>
        <v>0</v>
      </c>
      <c r="W140" s="675">
        <f>IFERROR(__xludf.DUMMYFUNCTION("""COMPUTED_VALUE"""),0.0)</f>
        <v>0</v>
      </c>
      <c r="X140" s="675">
        <f>IFERROR(__xludf.DUMMYFUNCTION("""COMPUTED_VALUE"""),0.0)</f>
        <v>0</v>
      </c>
      <c r="Y140" s="674">
        <f>IFERROR(__xludf.DUMMYFUNCTION("""COMPUTED_VALUE"""),100.0)</f>
        <v>100</v>
      </c>
      <c r="Z140" s="675">
        <f>IFERROR(__xludf.DUMMYFUNCTION("""COMPUTED_VALUE"""),2.0)</f>
        <v>2</v>
      </c>
      <c r="AA140" s="675">
        <f>IFERROR(__xludf.DUMMYFUNCTION("""COMPUTED_VALUE"""),0.0)</f>
        <v>0</v>
      </c>
      <c r="AB140" s="673">
        <f>IFERROR(__xludf.DUMMYFUNCTION("""COMPUTED_VALUE"""),0.0)</f>
        <v>0</v>
      </c>
      <c r="AC140" s="675">
        <f>IFERROR(__xludf.DUMMYFUNCTION("""COMPUTED_VALUE"""),0.0)</f>
        <v>0</v>
      </c>
      <c r="AD140" s="674">
        <f>IFERROR(__xludf.DUMMYFUNCTION("""COMPUTED_VALUE"""),250.0)</f>
        <v>250</v>
      </c>
      <c r="AE140" s="675">
        <f>IFERROR(__xludf.DUMMYFUNCTION("""COMPUTED_VALUE"""),5.0)</f>
        <v>5</v>
      </c>
      <c r="AF140" s="675">
        <f>IFERROR(__xludf.DUMMYFUNCTION("""COMPUTED_VALUE"""),0.0)</f>
        <v>0</v>
      </c>
      <c r="AG140" s="673">
        <f>IFERROR(__xludf.DUMMYFUNCTION("""COMPUTED_VALUE"""),0.0)</f>
        <v>0</v>
      </c>
      <c r="AH140" s="675">
        <f>IFERROR(__xludf.DUMMYFUNCTION("""COMPUTED_VALUE"""),0.0)</f>
        <v>0</v>
      </c>
      <c r="AI140" s="139" t="str">
        <f>IFERROR(__xludf.DUMMYFUNCTION("""COMPUTED_VALUE"""),"-")</f>
        <v>-</v>
      </c>
      <c r="AJ140" s="675" t="str">
        <f>IFERROR(__xludf.DUMMYFUNCTION("""COMPUTED_VALUE"""),"-")</f>
        <v>-</v>
      </c>
      <c r="AK140" s="139">
        <f>IFERROR(__xludf.DUMMYFUNCTION("""COMPUTED_VALUE"""),0.0)</f>
        <v>0</v>
      </c>
      <c r="AL140" s="674">
        <f>IFERROR(__xludf.DUMMYFUNCTION("""COMPUTED_VALUE"""),0.0)</f>
        <v>0</v>
      </c>
      <c r="AM140" s="688">
        <f>IFERROR(__xludf.DUMMYFUNCTION("""COMPUTED_VALUE"""),0.0)</f>
        <v>0</v>
      </c>
      <c r="AN140" s="675">
        <f>IFERROR(__xludf.DUMMYFUNCTION("""COMPUTED_VALUE"""),0.0)</f>
        <v>0</v>
      </c>
      <c r="AO140" s="675">
        <f>IFERROR(__xludf.DUMMYFUNCTION("""COMPUTED_VALUE"""),0.0)</f>
        <v>0</v>
      </c>
      <c r="AP140" s="674">
        <f>IFERROR(__xludf.DUMMYFUNCTION("""COMPUTED_VALUE"""),0.0)</f>
        <v>0</v>
      </c>
      <c r="AQ140" s="673">
        <f>IFERROR(__xludf.DUMMYFUNCTION("""COMPUTED_VALUE"""),0.0)</f>
        <v>0</v>
      </c>
      <c r="AR140" s="673">
        <f>IFERROR(__xludf.DUMMYFUNCTION("""COMPUTED_VALUE"""),0.0)</f>
        <v>0</v>
      </c>
      <c r="AS140" s="673">
        <f>IFERROR(__xludf.DUMMYFUNCTION("""COMPUTED_VALUE"""),0.0)</f>
        <v>0</v>
      </c>
      <c r="AT140" s="673">
        <f>IFERROR(__xludf.DUMMYFUNCTION("""COMPUTED_VALUE"""),0.0)</f>
        <v>0</v>
      </c>
      <c r="AU140" s="675">
        <f>IFERROR(__xludf.DUMMYFUNCTION("""COMPUTED_VALUE"""),0.0)</f>
        <v>0</v>
      </c>
      <c r="AV140" s="675">
        <f>IFERROR(__xludf.DUMMYFUNCTION("""COMPUTED_VALUE"""),0.0)</f>
        <v>0</v>
      </c>
      <c r="AW140" s="139"/>
      <c r="AX140" s="674" t="str">
        <f>IFERROR(__xludf.DUMMYFUNCTION("""COMPUTED_VALUE"""),"※通常攻撃範囲を入力！(CD列)")</f>
        <v>※通常攻撃範囲を入力！(CD列)</v>
      </c>
      <c r="AY140" s="688" t="str">
        <f>IFERROR(__xludf.DUMMYFUNCTION("""COMPUTED_VALUE"""),"#VALUE!")</f>
        <v>#VALUE!</v>
      </c>
      <c r="AZ140" s="674" t="str">
        <f>IFERROR(__xludf.DUMMYFUNCTION("""COMPUTED_VALUE"""),"#VALUE!")</f>
        <v>#VALUE!</v>
      </c>
      <c r="BA140" s="688" t="str">
        <f>IFERROR(__xludf.DUMMYFUNCTION("""COMPUTED_VALUE"""),"#VALUE!")</f>
        <v>#VALUE!</v>
      </c>
      <c r="BB140" s="688" t="str">
        <f>IFERROR(__xludf.DUMMYFUNCTION("""COMPUTED_VALUE"""),"-")</f>
        <v>-</v>
      </c>
      <c r="BC140" s="688" t="str">
        <f>IFERROR(__xludf.DUMMYFUNCTION("""COMPUTED_VALUE"""),"#VALUE!")</f>
        <v>#VALUE!</v>
      </c>
      <c r="BD140" s="688" t="str">
        <f>IFERROR(__xludf.DUMMYFUNCTION("""COMPUTED_VALUE"""),"#VALUE!")</f>
        <v>#VALUE!</v>
      </c>
      <c r="BE140" s="674" t="str">
        <f>IFERROR(__xludf.DUMMYFUNCTION("""COMPUTED_VALUE"""),"#VALUE!")</f>
        <v>#VALUE!</v>
      </c>
      <c r="BF140" s="674">
        <f>IFERROR(__xludf.DUMMYFUNCTION("""COMPUTED_VALUE"""),0.0)</f>
        <v>0</v>
      </c>
      <c r="BG140" s="673">
        <f>IFERROR(__xludf.DUMMYFUNCTION("""COMPUTED_VALUE"""),0.0)</f>
        <v>0</v>
      </c>
      <c r="BH140" s="673">
        <f>IFERROR(__xludf.DUMMYFUNCTION("""COMPUTED_VALUE"""),0.0)</f>
        <v>0</v>
      </c>
      <c r="BI140" s="673">
        <f>IFERROR(__xludf.DUMMYFUNCTION("""COMPUTED_VALUE"""),0.0)</f>
        <v>0</v>
      </c>
      <c r="BJ140" s="673">
        <f>IFERROR(__xludf.DUMMYFUNCTION("""COMPUTED_VALUE"""),0.0)</f>
        <v>0</v>
      </c>
      <c r="BK140" s="673">
        <f>IFERROR(__xludf.DUMMYFUNCTION("""COMPUTED_VALUE"""),0.0)</f>
        <v>0</v>
      </c>
      <c r="BL140" s="673">
        <f>IFERROR(__xludf.DUMMYFUNCTION("""COMPUTED_VALUE"""),0.0)</f>
        <v>0</v>
      </c>
      <c r="BM140" s="674">
        <f>IFERROR(__xludf.DUMMYFUNCTION("""COMPUTED_VALUE"""),0.0)</f>
        <v>0</v>
      </c>
      <c r="BN140" s="674">
        <f>IFERROR(__xludf.DUMMYFUNCTION("""COMPUTED_VALUE"""),0.0)</f>
        <v>0</v>
      </c>
      <c r="BO140" s="675">
        <f>IFERROR(__xludf.DUMMYFUNCTION("""COMPUTED_VALUE"""),0.0)</f>
        <v>0</v>
      </c>
      <c r="BP140" s="675">
        <f>IFERROR(__xludf.DUMMYFUNCTION("""COMPUTED_VALUE"""),0.0)</f>
        <v>0</v>
      </c>
      <c r="BQ140" s="139"/>
      <c r="BR140" s="139" t="str">
        <f>IFERROR(__xludf.DUMMYFUNCTION("""COMPUTED_VALUE"""),"該当なし")</f>
        <v>該当なし</v>
      </c>
      <c r="BS140" s="139" t="str">
        <f>IFERROR(__xludf.DUMMYFUNCTION("""COMPUTED_VALUE"""),"※移動を入力！(BV列)")</f>
        <v>※移動を入力！(BV列)</v>
      </c>
      <c r="BT140" s="139" t="str">
        <f>IFERROR(__xludf.DUMMYFUNCTION("""COMPUTED_VALUE"""),"※攻撃手段を入力(BQ列)")</f>
        <v>※攻撃手段を入力(BQ列)</v>
      </c>
      <c r="BU140" s="139">
        <f>IFERROR(__xludf.DUMMYFUNCTION("""COMPUTED_VALUE"""),0.0)</f>
        <v>0</v>
      </c>
      <c r="BV140" s="139"/>
      <c r="BW140" s="139"/>
      <c r="BX140" s="139" t="str">
        <f>IFERROR(__xludf.DUMMYFUNCTION("""COMPUTED_VALUE"""),"※特性を選択!!(BW列)")</f>
        <v>※特性を選択!!(BW列)</v>
      </c>
      <c r="BY140" s="139">
        <f>IFERROR(__xludf.DUMMYFUNCTION("""COMPUTED_VALUE"""),0.0)</f>
        <v>0</v>
      </c>
      <c r="BZ140" s="139"/>
      <c r="CA140" s="139" t="str">
        <f>IFERROR(__xludf.DUMMYFUNCTION("""COMPUTED_VALUE"""),"※特性を選択!!(BW列)")</f>
        <v>※特性を選択!!(BW列)</v>
      </c>
      <c r="CB140" s="139">
        <f>IFERROR(__xludf.DUMMYFUNCTION("""COMPUTED_VALUE"""),4.0)</f>
        <v>4</v>
      </c>
      <c r="CC140" s="139" t="str">
        <f>IFERROR(__xludf.DUMMYFUNCTION("""COMPUTED_VALUE"""),"※ID管理未記入")</f>
        <v>※ID管理未記入</v>
      </c>
      <c r="CD140" s="139"/>
      <c r="CE140" s="139" t="str">
        <f>IFERROR(__xludf.DUMMYFUNCTION("""COMPUTED_VALUE"""),"該当なし")</f>
        <v>該当なし</v>
      </c>
      <c r="CF140" s="139" t="str">
        <f>IFERROR(__xludf.DUMMYFUNCTION("""COMPUTED_VALUE"""),"#VALUE!")</f>
        <v>#VALUE!</v>
      </c>
      <c r="CG140" s="139"/>
      <c r="CH140" s="139"/>
      <c r="CI140" s="139" t="str">
        <f>IFERROR(__xludf.DUMMYFUNCTION("""COMPUTED_VALUE"""),"該当なし")</f>
        <v>該当なし</v>
      </c>
      <c r="CJ140" s="139" t="str">
        <f>IFERROR(__xludf.DUMMYFUNCTION("""COMPUTED_VALUE"""),"#VALUE!")</f>
        <v>#VALUE!</v>
      </c>
      <c r="CK140" s="139"/>
      <c r="CL140" s="139"/>
      <c r="CM140" s="139"/>
      <c r="CN140" s="675">
        <f>IFERROR(__xludf.DUMMYFUNCTION("""COMPUTED_VALUE"""),5.0)</f>
        <v>5</v>
      </c>
      <c r="CO140" s="139" t="str">
        <f>IFERROR(__xludf.DUMMYFUNCTION("""COMPUTED_VALUE"""),"-")</f>
        <v>-</v>
      </c>
      <c r="CP140" s="139" t="str">
        <f>IFERROR(__xludf.DUMMYFUNCTION("""COMPUTED_VALUE"""),"-")</f>
        <v>-</v>
      </c>
      <c r="CQ140" s="139" t="str">
        <f>IFERROR(__xludf.DUMMYFUNCTION("""COMPUTED_VALUE"""),"-")</f>
        <v>-</v>
      </c>
      <c r="CR140" s="139"/>
      <c r="CS140" s="139"/>
      <c r="CT140" s="139"/>
      <c r="CU140" s="139"/>
      <c r="CV140" s="139"/>
      <c r="CW140" s="139"/>
      <c r="CX140" s="674" t="str">
        <f>IFERROR(__xludf.DUMMYFUNCTION("""COMPUTED_VALUE"""),"")</f>
        <v/>
      </c>
      <c r="CY140" s="675" t="str">
        <f>IFERROR(__xludf.DUMMYFUNCTION("""COMPUTED_VALUE"""),"")</f>
        <v/>
      </c>
      <c r="CZ140" s="688" t="str">
        <f>IFERROR(__xludf.DUMMYFUNCTION("""COMPUTED_VALUE"""),"-")</f>
        <v>-</v>
      </c>
      <c r="DA140" s="688">
        <f>IFERROR(__xludf.DUMMYFUNCTION("""COMPUTED_VALUE"""),0.0)</f>
        <v>0</v>
      </c>
      <c r="DB140" s="688">
        <f>IFERROR(__xludf.DUMMYFUNCTION("""COMPUTED_VALUE"""),0.0)</f>
        <v>0</v>
      </c>
      <c r="DC140" s="673" t="str">
        <f>IFERROR(__xludf.DUMMYFUNCTION("""COMPUTED_VALUE"""),"-")</f>
        <v>-</v>
      </c>
      <c r="DD140" s="673" t="str">
        <f>IFERROR(__xludf.DUMMYFUNCTION("""COMPUTED_VALUE"""),"-")</f>
        <v>-</v>
      </c>
      <c r="DE140" s="139" t="str">
        <f>IFERROR(__xludf.DUMMYFUNCTION("""COMPUTED_VALUE"""),"-")</f>
        <v>-</v>
      </c>
      <c r="DF140" s="139" t="str">
        <f>IFERROR(__xludf.DUMMYFUNCTION("""COMPUTED_VALUE"""),"-")</f>
        <v>-</v>
      </c>
      <c r="DG140" s="139" t="str">
        <f>IFERROR(__xludf.DUMMYFUNCTION("""COMPUTED_VALUE"""),"-")</f>
        <v>-</v>
      </c>
      <c r="DH140" s="139" t="str">
        <f>IFERROR(__xludf.DUMMYFUNCTION("""COMPUTED_VALUE"""),"-")</f>
        <v>-</v>
      </c>
      <c r="DI140" s="139" t="str">
        <f>IFERROR(__xludf.DUMMYFUNCTION("""COMPUTED_VALUE"""),"-")</f>
        <v>-</v>
      </c>
      <c r="DJ140" s="139" t="str">
        <f>IFERROR(__xludf.DUMMYFUNCTION("""COMPUTED_VALUE"""),"-")</f>
        <v>-</v>
      </c>
    </row>
    <row r="141">
      <c r="A141" s="139" t="str">
        <f>IFERROR(__xludf.DUMMYFUNCTION("""COMPUTED_VALUE"""),"チェンソーマン")</f>
        <v>チェンソーマン</v>
      </c>
      <c r="B141" s="139" t="str">
        <f>IFERROR(__xludf.DUMMYFUNCTION("""COMPUTED_VALUE"""),"(仮)姫野")</f>
        <v>(仮)姫野</v>
      </c>
      <c r="C141" s="139" t="str">
        <f>IFERROR(__xludf.DUMMYFUNCTION("""COMPUTED_VALUE"""),"chara_chi_00501")</f>
        <v>chara_chi_00501</v>
      </c>
      <c r="D141" s="139" t="str">
        <f>IFERROR(__xludf.DUMMYFUNCTION("""COMPUTED_VALUE"""),"PremiumSSR")</f>
        <v>PremiumSSR</v>
      </c>
      <c r="E141" s="139" t="str">
        <f>IFERROR(__xludf.DUMMYFUNCTION("""COMPUTED_VALUE"""),"調整中")</f>
        <v>調整中</v>
      </c>
      <c r="F141" s="139" t="str">
        <f>IFERROR(__xludf.DUMMYFUNCTION("""COMPUTED_VALUE"""),"調整中")</f>
        <v>調整中</v>
      </c>
      <c r="G141" s="139" t="str">
        <f>IFERROR(__xludf.DUMMYFUNCTION("""COMPUTED_VALUE"""),"※ID管理未記入")</f>
        <v>※ID管理未記入</v>
      </c>
      <c r="H141" s="139" t="str">
        <f>IFERROR(__xludf.DUMMYFUNCTION("""COMPUTED_VALUE"""),"※ID管理未記入")</f>
        <v>※ID管理未記入</v>
      </c>
      <c r="I141" s="139" t="str">
        <f>IFERROR(__xludf.DUMMYFUNCTION("""COMPUTED_VALUE"""),"※ID管理未記入")</f>
        <v>※ID管理未記入</v>
      </c>
      <c r="J141" s="139" t="str">
        <f>IFERROR(__xludf.DUMMYFUNCTION("""COMPUTED_VALUE"""),"999999999_リリースキー未定")</f>
        <v>999999999_リリースキー未定</v>
      </c>
      <c r="K141" s="139" t="str">
        <f>IFERROR(__xludf.DUMMYFUNCTION("""COMPUTED_VALUE"""),"チェンソーマンいいジャン祭")</f>
        <v>チェンソーマンいいジャン祭</v>
      </c>
      <c r="L141" s="687" t="str">
        <f>IFERROR(__xludf.DUMMYFUNCTION("""COMPUTED_VALUE"""),"※")</f>
        <v>※</v>
      </c>
      <c r="M141" s="674">
        <f>IFERROR(__xludf.DUMMYFUNCTION("""COMPUTED_VALUE"""),0.0)</f>
        <v>0</v>
      </c>
      <c r="N141" s="139">
        <f>IFERROR(__xludf.DUMMYFUNCTION("""COMPUTED_VALUE"""),0.0)</f>
        <v>0</v>
      </c>
      <c r="O141" s="139"/>
      <c r="P141" s="139">
        <f>IFERROR(__xludf.DUMMYFUNCTION("""COMPUTED_VALUE"""),0.0)</f>
        <v>0</v>
      </c>
      <c r="Q141" s="675">
        <f>IFERROR(__xludf.DUMMYFUNCTION("""COMPUTED_VALUE"""),0.0)</f>
        <v>0</v>
      </c>
      <c r="R141" s="675">
        <f>IFERROR(__xludf.DUMMYFUNCTION("""COMPUTED_VALUE"""),0.0)</f>
        <v>0</v>
      </c>
      <c r="S141" s="675">
        <f>IFERROR(__xludf.DUMMYFUNCTION("""COMPUTED_VALUE"""),-2.5)</f>
        <v>-2.5</v>
      </c>
      <c r="T141" s="674">
        <f>IFERROR(__xludf.DUMMYFUNCTION("""COMPUTED_VALUE"""),225.0)</f>
        <v>225</v>
      </c>
      <c r="U141" s="675">
        <f>IFERROR(__xludf.DUMMYFUNCTION("""COMPUTED_VALUE"""),4.5)</f>
        <v>4.5</v>
      </c>
      <c r="V141" s="675">
        <f>IFERROR(__xludf.DUMMYFUNCTION("""COMPUTED_VALUE"""),0.0)</f>
        <v>0</v>
      </c>
      <c r="W141" s="675">
        <f>IFERROR(__xludf.DUMMYFUNCTION("""COMPUTED_VALUE"""),0.0)</f>
        <v>0</v>
      </c>
      <c r="X141" s="675">
        <f>IFERROR(__xludf.DUMMYFUNCTION("""COMPUTED_VALUE"""),0.0)</f>
        <v>0</v>
      </c>
      <c r="Y141" s="674">
        <f>IFERROR(__xludf.DUMMYFUNCTION("""COMPUTED_VALUE"""),100.0)</f>
        <v>100</v>
      </c>
      <c r="Z141" s="675">
        <f>IFERROR(__xludf.DUMMYFUNCTION("""COMPUTED_VALUE"""),2.0)</f>
        <v>2</v>
      </c>
      <c r="AA141" s="675">
        <f>IFERROR(__xludf.DUMMYFUNCTION("""COMPUTED_VALUE"""),0.0)</f>
        <v>0</v>
      </c>
      <c r="AB141" s="673">
        <f>IFERROR(__xludf.DUMMYFUNCTION("""COMPUTED_VALUE"""),0.0)</f>
        <v>0</v>
      </c>
      <c r="AC141" s="675">
        <f>IFERROR(__xludf.DUMMYFUNCTION("""COMPUTED_VALUE"""),0.0)</f>
        <v>0</v>
      </c>
      <c r="AD141" s="674">
        <f>IFERROR(__xludf.DUMMYFUNCTION("""COMPUTED_VALUE"""),250.0)</f>
        <v>250</v>
      </c>
      <c r="AE141" s="675">
        <f>IFERROR(__xludf.DUMMYFUNCTION("""COMPUTED_VALUE"""),5.0)</f>
        <v>5</v>
      </c>
      <c r="AF141" s="675">
        <f>IFERROR(__xludf.DUMMYFUNCTION("""COMPUTED_VALUE"""),0.0)</f>
        <v>0</v>
      </c>
      <c r="AG141" s="673">
        <f>IFERROR(__xludf.DUMMYFUNCTION("""COMPUTED_VALUE"""),0.0)</f>
        <v>0</v>
      </c>
      <c r="AH141" s="675">
        <f>IFERROR(__xludf.DUMMYFUNCTION("""COMPUTED_VALUE"""),0.0)</f>
        <v>0</v>
      </c>
      <c r="AI141" s="139" t="str">
        <f>IFERROR(__xludf.DUMMYFUNCTION("""COMPUTED_VALUE"""),"-")</f>
        <v>-</v>
      </c>
      <c r="AJ141" s="675" t="str">
        <f>IFERROR(__xludf.DUMMYFUNCTION("""COMPUTED_VALUE"""),"-")</f>
        <v>-</v>
      </c>
      <c r="AK141" s="139">
        <f>IFERROR(__xludf.DUMMYFUNCTION("""COMPUTED_VALUE"""),0.0)</f>
        <v>0</v>
      </c>
      <c r="AL141" s="674">
        <f>IFERROR(__xludf.DUMMYFUNCTION("""COMPUTED_VALUE"""),0.0)</f>
        <v>0</v>
      </c>
      <c r="AM141" s="688">
        <f>IFERROR(__xludf.DUMMYFUNCTION("""COMPUTED_VALUE"""),0.0)</f>
        <v>0</v>
      </c>
      <c r="AN141" s="675">
        <f>IFERROR(__xludf.DUMMYFUNCTION("""COMPUTED_VALUE"""),0.0)</f>
        <v>0</v>
      </c>
      <c r="AO141" s="675">
        <f>IFERROR(__xludf.DUMMYFUNCTION("""COMPUTED_VALUE"""),0.0)</f>
        <v>0</v>
      </c>
      <c r="AP141" s="674">
        <f>IFERROR(__xludf.DUMMYFUNCTION("""COMPUTED_VALUE"""),0.0)</f>
        <v>0</v>
      </c>
      <c r="AQ141" s="673">
        <f>IFERROR(__xludf.DUMMYFUNCTION("""COMPUTED_VALUE"""),0.0)</f>
        <v>0</v>
      </c>
      <c r="AR141" s="673">
        <f>IFERROR(__xludf.DUMMYFUNCTION("""COMPUTED_VALUE"""),0.0)</f>
        <v>0</v>
      </c>
      <c r="AS141" s="673">
        <f>IFERROR(__xludf.DUMMYFUNCTION("""COMPUTED_VALUE"""),0.0)</f>
        <v>0</v>
      </c>
      <c r="AT141" s="673">
        <f>IFERROR(__xludf.DUMMYFUNCTION("""COMPUTED_VALUE"""),0.0)</f>
        <v>0</v>
      </c>
      <c r="AU141" s="675">
        <f>IFERROR(__xludf.DUMMYFUNCTION("""COMPUTED_VALUE"""),0.0)</f>
        <v>0</v>
      </c>
      <c r="AV141" s="675">
        <f>IFERROR(__xludf.DUMMYFUNCTION("""COMPUTED_VALUE"""),0.0)</f>
        <v>0</v>
      </c>
      <c r="AW141" s="139"/>
      <c r="AX141" s="674" t="str">
        <f>IFERROR(__xludf.DUMMYFUNCTION("""COMPUTED_VALUE"""),"※通常攻撃範囲を入力！(CD列)")</f>
        <v>※通常攻撃範囲を入力！(CD列)</v>
      </c>
      <c r="AY141" s="688" t="str">
        <f>IFERROR(__xludf.DUMMYFUNCTION("""COMPUTED_VALUE"""),"#VALUE!")</f>
        <v>#VALUE!</v>
      </c>
      <c r="AZ141" s="674" t="str">
        <f>IFERROR(__xludf.DUMMYFUNCTION("""COMPUTED_VALUE"""),"#VALUE!")</f>
        <v>#VALUE!</v>
      </c>
      <c r="BA141" s="688" t="str">
        <f>IFERROR(__xludf.DUMMYFUNCTION("""COMPUTED_VALUE"""),"#VALUE!")</f>
        <v>#VALUE!</v>
      </c>
      <c r="BB141" s="688" t="str">
        <f>IFERROR(__xludf.DUMMYFUNCTION("""COMPUTED_VALUE"""),"-")</f>
        <v>-</v>
      </c>
      <c r="BC141" s="688" t="str">
        <f>IFERROR(__xludf.DUMMYFUNCTION("""COMPUTED_VALUE"""),"#VALUE!")</f>
        <v>#VALUE!</v>
      </c>
      <c r="BD141" s="688" t="str">
        <f>IFERROR(__xludf.DUMMYFUNCTION("""COMPUTED_VALUE"""),"#VALUE!")</f>
        <v>#VALUE!</v>
      </c>
      <c r="BE141" s="674" t="str">
        <f>IFERROR(__xludf.DUMMYFUNCTION("""COMPUTED_VALUE"""),"#VALUE!")</f>
        <v>#VALUE!</v>
      </c>
      <c r="BF141" s="674">
        <f>IFERROR(__xludf.DUMMYFUNCTION("""COMPUTED_VALUE"""),0.0)</f>
        <v>0</v>
      </c>
      <c r="BG141" s="673">
        <f>IFERROR(__xludf.DUMMYFUNCTION("""COMPUTED_VALUE"""),0.0)</f>
        <v>0</v>
      </c>
      <c r="BH141" s="673">
        <f>IFERROR(__xludf.DUMMYFUNCTION("""COMPUTED_VALUE"""),0.0)</f>
        <v>0</v>
      </c>
      <c r="BI141" s="673">
        <f>IFERROR(__xludf.DUMMYFUNCTION("""COMPUTED_VALUE"""),0.0)</f>
        <v>0</v>
      </c>
      <c r="BJ141" s="673">
        <f>IFERROR(__xludf.DUMMYFUNCTION("""COMPUTED_VALUE"""),0.0)</f>
        <v>0</v>
      </c>
      <c r="BK141" s="673">
        <f>IFERROR(__xludf.DUMMYFUNCTION("""COMPUTED_VALUE"""),0.0)</f>
        <v>0</v>
      </c>
      <c r="BL141" s="673">
        <f>IFERROR(__xludf.DUMMYFUNCTION("""COMPUTED_VALUE"""),0.0)</f>
        <v>0</v>
      </c>
      <c r="BM141" s="674">
        <f>IFERROR(__xludf.DUMMYFUNCTION("""COMPUTED_VALUE"""),0.0)</f>
        <v>0</v>
      </c>
      <c r="BN141" s="674">
        <f>IFERROR(__xludf.DUMMYFUNCTION("""COMPUTED_VALUE"""),0.0)</f>
        <v>0</v>
      </c>
      <c r="BO141" s="675">
        <f>IFERROR(__xludf.DUMMYFUNCTION("""COMPUTED_VALUE"""),0.0)</f>
        <v>0</v>
      </c>
      <c r="BP141" s="675">
        <f>IFERROR(__xludf.DUMMYFUNCTION("""COMPUTED_VALUE"""),0.0)</f>
        <v>0</v>
      </c>
      <c r="BQ141" s="139"/>
      <c r="BR141" s="139" t="str">
        <f>IFERROR(__xludf.DUMMYFUNCTION("""COMPUTED_VALUE"""),"該当なし")</f>
        <v>該当なし</v>
      </c>
      <c r="BS141" s="139" t="str">
        <f>IFERROR(__xludf.DUMMYFUNCTION("""COMPUTED_VALUE"""),"※移動を入力！(BV列)")</f>
        <v>※移動を入力！(BV列)</v>
      </c>
      <c r="BT141" s="139" t="str">
        <f>IFERROR(__xludf.DUMMYFUNCTION("""COMPUTED_VALUE"""),"※攻撃手段を入力(BQ列)")</f>
        <v>※攻撃手段を入力(BQ列)</v>
      </c>
      <c r="BU141" s="139">
        <f>IFERROR(__xludf.DUMMYFUNCTION("""COMPUTED_VALUE"""),0.0)</f>
        <v>0</v>
      </c>
      <c r="BV141" s="139"/>
      <c r="BW141" s="139"/>
      <c r="BX141" s="139" t="str">
        <f>IFERROR(__xludf.DUMMYFUNCTION("""COMPUTED_VALUE"""),"※特性を選択!!(BW列)")</f>
        <v>※特性を選択!!(BW列)</v>
      </c>
      <c r="BY141" s="139">
        <f>IFERROR(__xludf.DUMMYFUNCTION("""COMPUTED_VALUE"""),0.0)</f>
        <v>0</v>
      </c>
      <c r="BZ141" s="139"/>
      <c r="CA141" s="139" t="str">
        <f>IFERROR(__xludf.DUMMYFUNCTION("""COMPUTED_VALUE"""),"※特性を選択!!(BW列)")</f>
        <v>※特性を選択!!(BW列)</v>
      </c>
      <c r="CB141" s="139" t="str">
        <f>IFERROR(__xludf.DUMMYFUNCTION("""COMPUTED_VALUE"""),"-")</f>
        <v>-</v>
      </c>
      <c r="CC141" s="139" t="str">
        <f>IFERROR(__xludf.DUMMYFUNCTION("""COMPUTED_VALUE"""),"※ID管理未記入")</f>
        <v>※ID管理未記入</v>
      </c>
      <c r="CD141" s="139"/>
      <c r="CE141" s="139" t="str">
        <f>IFERROR(__xludf.DUMMYFUNCTION("""COMPUTED_VALUE"""),"該当なし")</f>
        <v>該当なし</v>
      </c>
      <c r="CF141" s="139" t="str">
        <f>IFERROR(__xludf.DUMMYFUNCTION("""COMPUTED_VALUE"""),"#VALUE!")</f>
        <v>#VALUE!</v>
      </c>
      <c r="CG141" s="139"/>
      <c r="CH141" s="139"/>
      <c r="CI141" s="139" t="str">
        <f>IFERROR(__xludf.DUMMYFUNCTION("""COMPUTED_VALUE"""),"該当なし")</f>
        <v>該当なし</v>
      </c>
      <c r="CJ141" s="139" t="str">
        <f>IFERROR(__xludf.DUMMYFUNCTION("""COMPUTED_VALUE"""),"#VALUE!")</f>
        <v>#VALUE!</v>
      </c>
      <c r="CK141" s="139"/>
      <c r="CL141" s="139"/>
      <c r="CM141" s="139"/>
      <c r="CN141" s="675">
        <f>IFERROR(__xludf.DUMMYFUNCTION("""COMPUTED_VALUE"""),5.0)</f>
        <v>5</v>
      </c>
      <c r="CO141" s="139" t="str">
        <f>IFERROR(__xludf.DUMMYFUNCTION("""COMPUTED_VALUE"""),"-")</f>
        <v>-</v>
      </c>
      <c r="CP141" s="139" t="str">
        <f>IFERROR(__xludf.DUMMYFUNCTION("""COMPUTED_VALUE"""),"-")</f>
        <v>-</v>
      </c>
      <c r="CQ141" s="139" t="str">
        <f>IFERROR(__xludf.DUMMYFUNCTION("""COMPUTED_VALUE"""),"-")</f>
        <v>-</v>
      </c>
      <c r="CR141" s="139"/>
      <c r="CS141" s="139"/>
      <c r="CT141" s="139"/>
      <c r="CU141" s="139"/>
      <c r="CV141" s="139"/>
      <c r="CW141" s="139"/>
      <c r="CX141" s="674" t="str">
        <f>IFERROR(__xludf.DUMMYFUNCTION("""COMPUTED_VALUE"""),"")</f>
        <v/>
      </c>
      <c r="CY141" s="675" t="str">
        <f>IFERROR(__xludf.DUMMYFUNCTION("""COMPUTED_VALUE"""),"")</f>
        <v/>
      </c>
      <c r="CZ141" s="688" t="str">
        <f>IFERROR(__xludf.DUMMYFUNCTION("""COMPUTED_VALUE"""),"-")</f>
        <v>-</v>
      </c>
      <c r="DA141" s="688">
        <f>IFERROR(__xludf.DUMMYFUNCTION("""COMPUTED_VALUE"""),0.0)</f>
        <v>0</v>
      </c>
      <c r="DB141" s="688">
        <f>IFERROR(__xludf.DUMMYFUNCTION("""COMPUTED_VALUE"""),0.0)</f>
        <v>0</v>
      </c>
      <c r="DC141" s="673" t="str">
        <f>IFERROR(__xludf.DUMMYFUNCTION("""COMPUTED_VALUE"""),"-")</f>
        <v>-</v>
      </c>
      <c r="DD141" s="673" t="str">
        <f>IFERROR(__xludf.DUMMYFUNCTION("""COMPUTED_VALUE"""),"-")</f>
        <v>-</v>
      </c>
      <c r="DE141" s="139" t="str">
        <f>IFERROR(__xludf.DUMMYFUNCTION("""COMPUTED_VALUE"""),"-")</f>
        <v>-</v>
      </c>
      <c r="DF141" s="139" t="str">
        <f>IFERROR(__xludf.DUMMYFUNCTION("""COMPUTED_VALUE"""),"-")</f>
        <v>-</v>
      </c>
      <c r="DG141" s="139" t="str">
        <f>IFERROR(__xludf.DUMMYFUNCTION("""COMPUTED_VALUE"""),"-")</f>
        <v>-</v>
      </c>
      <c r="DH141" s="139" t="str">
        <f>IFERROR(__xludf.DUMMYFUNCTION("""COMPUTED_VALUE"""),"-")</f>
        <v>-</v>
      </c>
      <c r="DI141" s="139" t="str">
        <f>IFERROR(__xludf.DUMMYFUNCTION("""COMPUTED_VALUE"""),"-")</f>
        <v>-</v>
      </c>
      <c r="DJ141" s="139" t="str">
        <f>IFERROR(__xludf.DUMMYFUNCTION("""COMPUTED_VALUE"""),"-")</f>
        <v>-</v>
      </c>
    </row>
    <row r="142">
      <c r="A142" s="139" t="str">
        <f>IFERROR(__xludf.DUMMYFUNCTION("""COMPUTED_VALUE"""),"チェンソーマン")</f>
        <v>チェンソーマン</v>
      </c>
      <c r="B142" s="139" t="str">
        <f>IFERROR(__xludf.DUMMYFUNCTION("""COMPUTED_VALUE"""),"(仮)沢渡 アカネ")</f>
        <v>(仮)沢渡 アカネ</v>
      </c>
      <c r="C142" s="139" t="str">
        <f>IFERROR(__xludf.DUMMYFUNCTION("""COMPUTED_VALUE"""),"chara_chi_00701")</f>
        <v>chara_chi_00701</v>
      </c>
      <c r="D142" s="139" t="str">
        <f>IFERROR(__xludf.DUMMYFUNCTION("""COMPUTED_VALUE"""),"DropSR")</f>
        <v>DropSR</v>
      </c>
      <c r="E142" s="139" t="str">
        <f>IFERROR(__xludf.DUMMYFUNCTION("""COMPUTED_VALUE"""),"調整中")</f>
        <v>調整中</v>
      </c>
      <c r="F142" s="139" t="str">
        <f>IFERROR(__xludf.DUMMYFUNCTION("""COMPUTED_VALUE"""),"調整中")</f>
        <v>調整中</v>
      </c>
      <c r="G142" s="139" t="str">
        <f>IFERROR(__xludf.DUMMYFUNCTION("""COMPUTED_VALUE"""),"※ID管理未記入")</f>
        <v>※ID管理未記入</v>
      </c>
      <c r="H142" s="139" t="str">
        <f>IFERROR(__xludf.DUMMYFUNCTION("""COMPUTED_VALUE"""),"※ID管理未記入")</f>
        <v>※ID管理未記入</v>
      </c>
      <c r="I142" s="139" t="str">
        <f>IFERROR(__xludf.DUMMYFUNCTION("""COMPUTED_VALUE"""),"※ID管理未記入")</f>
        <v>※ID管理未記入</v>
      </c>
      <c r="J142" s="139" t="str">
        <f>IFERROR(__xludf.DUMMYFUNCTION("""COMPUTED_VALUE"""),"999999999_リリースキー未定")</f>
        <v>999999999_リリースキー未定</v>
      </c>
      <c r="K142" s="139" t="str">
        <f>IFERROR(__xludf.DUMMYFUNCTION("""COMPUTED_VALUE"""),"チェンソーマンいいジャン祭")</f>
        <v>チェンソーマンいいジャン祭</v>
      </c>
      <c r="L142" s="687" t="str">
        <f>IFERROR(__xludf.DUMMYFUNCTION("""COMPUTED_VALUE"""),"※")</f>
        <v>※</v>
      </c>
      <c r="M142" s="674">
        <f>IFERROR(__xludf.DUMMYFUNCTION("""COMPUTED_VALUE"""),0.0)</f>
        <v>0</v>
      </c>
      <c r="N142" s="139">
        <f>IFERROR(__xludf.DUMMYFUNCTION("""COMPUTED_VALUE"""),0.0)</f>
        <v>0</v>
      </c>
      <c r="O142" s="139"/>
      <c r="P142" s="139">
        <f>IFERROR(__xludf.DUMMYFUNCTION("""COMPUTED_VALUE"""),0.0)</f>
        <v>0</v>
      </c>
      <c r="Q142" s="675">
        <f>IFERROR(__xludf.DUMMYFUNCTION("""COMPUTED_VALUE"""),0.0)</f>
        <v>0</v>
      </c>
      <c r="R142" s="675">
        <f>IFERROR(__xludf.DUMMYFUNCTION("""COMPUTED_VALUE"""),0.0)</f>
        <v>0</v>
      </c>
      <c r="S142" s="675">
        <f>IFERROR(__xludf.DUMMYFUNCTION("""COMPUTED_VALUE"""),-2.5)</f>
        <v>-2.5</v>
      </c>
      <c r="T142" s="674">
        <f>IFERROR(__xludf.DUMMYFUNCTION("""COMPUTED_VALUE"""),225.0)</f>
        <v>225</v>
      </c>
      <c r="U142" s="675">
        <f>IFERROR(__xludf.DUMMYFUNCTION("""COMPUTED_VALUE"""),4.5)</f>
        <v>4.5</v>
      </c>
      <c r="V142" s="675">
        <f>IFERROR(__xludf.DUMMYFUNCTION("""COMPUTED_VALUE"""),0.0)</f>
        <v>0</v>
      </c>
      <c r="W142" s="675">
        <f>IFERROR(__xludf.DUMMYFUNCTION("""COMPUTED_VALUE"""),0.0)</f>
        <v>0</v>
      </c>
      <c r="X142" s="675">
        <f>IFERROR(__xludf.DUMMYFUNCTION("""COMPUTED_VALUE"""),0.0)</f>
        <v>0</v>
      </c>
      <c r="Y142" s="674">
        <f>IFERROR(__xludf.DUMMYFUNCTION("""COMPUTED_VALUE"""),100.0)</f>
        <v>100</v>
      </c>
      <c r="Z142" s="675">
        <f>IFERROR(__xludf.DUMMYFUNCTION("""COMPUTED_VALUE"""),2.0)</f>
        <v>2</v>
      </c>
      <c r="AA142" s="675">
        <f>IFERROR(__xludf.DUMMYFUNCTION("""COMPUTED_VALUE"""),0.0)</f>
        <v>0</v>
      </c>
      <c r="AB142" s="673">
        <f>IFERROR(__xludf.DUMMYFUNCTION("""COMPUTED_VALUE"""),0.0)</f>
        <v>0</v>
      </c>
      <c r="AC142" s="675">
        <f>IFERROR(__xludf.DUMMYFUNCTION("""COMPUTED_VALUE"""),0.0)</f>
        <v>0</v>
      </c>
      <c r="AD142" s="674">
        <f>IFERROR(__xludf.DUMMYFUNCTION("""COMPUTED_VALUE"""),250.0)</f>
        <v>250</v>
      </c>
      <c r="AE142" s="675">
        <f>IFERROR(__xludf.DUMMYFUNCTION("""COMPUTED_VALUE"""),5.0)</f>
        <v>5</v>
      </c>
      <c r="AF142" s="675">
        <f>IFERROR(__xludf.DUMMYFUNCTION("""COMPUTED_VALUE"""),0.0)</f>
        <v>0</v>
      </c>
      <c r="AG142" s="673">
        <f>IFERROR(__xludf.DUMMYFUNCTION("""COMPUTED_VALUE"""),0.0)</f>
        <v>0</v>
      </c>
      <c r="AH142" s="675">
        <f>IFERROR(__xludf.DUMMYFUNCTION("""COMPUTED_VALUE"""),0.0)</f>
        <v>0</v>
      </c>
      <c r="AI142" s="139" t="str">
        <f>IFERROR(__xludf.DUMMYFUNCTION("""COMPUTED_VALUE"""),"-")</f>
        <v>-</v>
      </c>
      <c r="AJ142" s="675" t="str">
        <f>IFERROR(__xludf.DUMMYFUNCTION("""COMPUTED_VALUE"""),"-")</f>
        <v>-</v>
      </c>
      <c r="AK142" s="139">
        <f>IFERROR(__xludf.DUMMYFUNCTION("""COMPUTED_VALUE"""),0.0)</f>
        <v>0</v>
      </c>
      <c r="AL142" s="674">
        <f>IFERROR(__xludf.DUMMYFUNCTION("""COMPUTED_VALUE"""),0.0)</f>
        <v>0</v>
      </c>
      <c r="AM142" s="688">
        <f>IFERROR(__xludf.DUMMYFUNCTION("""COMPUTED_VALUE"""),0.0)</f>
        <v>0</v>
      </c>
      <c r="AN142" s="675">
        <f>IFERROR(__xludf.DUMMYFUNCTION("""COMPUTED_VALUE"""),0.0)</f>
        <v>0</v>
      </c>
      <c r="AO142" s="675">
        <f>IFERROR(__xludf.DUMMYFUNCTION("""COMPUTED_VALUE"""),0.0)</f>
        <v>0</v>
      </c>
      <c r="AP142" s="674">
        <f>IFERROR(__xludf.DUMMYFUNCTION("""COMPUTED_VALUE"""),0.0)</f>
        <v>0</v>
      </c>
      <c r="AQ142" s="673">
        <f>IFERROR(__xludf.DUMMYFUNCTION("""COMPUTED_VALUE"""),0.0)</f>
        <v>0</v>
      </c>
      <c r="AR142" s="673">
        <f>IFERROR(__xludf.DUMMYFUNCTION("""COMPUTED_VALUE"""),0.0)</f>
        <v>0</v>
      </c>
      <c r="AS142" s="673">
        <f>IFERROR(__xludf.DUMMYFUNCTION("""COMPUTED_VALUE"""),0.0)</f>
        <v>0</v>
      </c>
      <c r="AT142" s="673">
        <f>IFERROR(__xludf.DUMMYFUNCTION("""COMPUTED_VALUE"""),0.0)</f>
        <v>0</v>
      </c>
      <c r="AU142" s="675">
        <f>IFERROR(__xludf.DUMMYFUNCTION("""COMPUTED_VALUE"""),0.0)</f>
        <v>0</v>
      </c>
      <c r="AV142" s="675">
        <f>IFERROR(__xludf.DUMMYFUNCTION("""COMPUTED_VALUE"""),0.0)</f>
        <v>0</v>
      </c>
      <c r="AW142" s="139"/>
      <c r="AX142" s="674" t="str">
        <f>IFERROR(__xludf.DUMMYFUNCTION("""COMPUTED_VALUE"""),"※通常攻撃範囲を入力！(CD列)")</f>
        <v>※通常攻撃範囲を入力！(CD列)</v>
      </c>
      <c r="AY142" s="688" t="str">
        <f>IFERROR(__xludf.DUMMYFUNCTION("""COMPUTED_VALUE"""),"#VALUE!")</f>
        <v>#VALUE!</v>
      </c>
      <c r="AZ142" s="674" t="str">
        <f>IFERROR(__xludf.DUMMYFUNCTION("""COMPUTED_VALUE"""),"#VALUE!")</f>
        <v>#VALUE!</v>
      </c>
      <c r="BA142" s="688" t="str">
        <f>IFERROR(__xludf.DUMMYFUNCTION("""COMPUTED_VALUE"""),"#VALUE!")</f>
        <v>#VALUE!</v>
      </c>
      <c r="BB142" s="688" t="str">
        <f>IFERROR(__xludf.DUMMYFUNCTION("""COMPUTED_VALUE"""),"-")</f>
        <v>-</v>
      </c>
      <c r="BC142" s="688" t="str">
        <f>IFERROR(__xludf.DUMMYFUNCTION("""COMPUTED_VALUE"""),"#VALUE!")</f>
        <v>#VALUE!</v>
      </c>
      <c r="BD142" s="688" t="str">
        <f>IFERROR(__xludf.DUMMYFUNCTION("""COMPUTED_VALUE"""),"#VALUE!")</f>
        <v>#VALUE!</v>
      </c>
      <c r="BE142" s="674" t="str">
        <f>IFERROR(__xludf.DUMMYFUNCTION("""COMPUTED_VALUE"""),"#VALUE!")</f>
        <v>#VALUE!</v>
      </c>
      <c r="BF142" s="674">
        <f>IFERROR(__xludf.DUMMYFUNCTION("""COMPUTED_VALUE"""),0.0)</f>
        <v>0</v>
      </c>
      <c r="BG142" s="673">
        <f>IFERROR(__xludf.DUMMYFUNCTION("""COMPUTED_VALUE"""),0.0)</f>
        <v>0</v>
      </c>
      <c r="BH142" s="673">
        <f>IFERROR(__xludf.DUMMYFUNCTION("""COMPUTED_VALUE"""),0.0)</f>
        <v>0</v>
      </c>
      <c r="BI142" s="673">
        <f>IFERROR(__xludf.DUMMYFUNCTION("""COMPUTED_VALUE"""),0.0)</f>
        <v>0</v>
      </c>
      <c r="BJ142" s="673">
        <f>IFERROR(__xludf.DUMMYFUNCTION("""COMPUTED_VALUE"""),0.0)</f>
        <v>0</v>
      </c>
      <c r="BK142" s="673">
        <f>IFERROR(__xludf.DUMMYFUNCTION("""COMPUTED_VALUE"""),0.0)</f>
        <v>0</v>
      </c>
      <c r="BL142" s="673">
        <f>IFERROR(__xludf.DUMMYFUNCTION("""COMPUTED_VALUE"""),0.0)</f>
        <v>0</v>
      </c>
      <c r="BM142" s="674">
        <f>IFERROR(__xludf.DUMMYFUNCTION("""COMPUTED_VALUE"""),0.0)</f>
        <v>0</v>
      </c>
      <c r="BN142" s="674">
        <f>IFERROR(__xludf.DUMMYFUNCTION("""COMPUTED_VALUE"""),0.0)</f>
        <v>0</v>
      </c>
      <c r="BO142" s="675">
        <f>IFERROR(__xludf.DUMMYFUNCTION("""COMPUTED_VALUE"""),0.0)</f>
        <v>0</v>
      </c>
      <c r="BP142" s="675">
        <f>IFERROR(__xludf.DUMMYFUNCTION("""COMPUTED_VALUE"""),0.0)</f>
        <v>0</v>
      </c>
      <c r="BQ142" s="139"/>
      <c r="BR142" s="139" t="str">
        <f>IFERROR(__xludf.DUMMYFUNCTION("""COMPUTED_VALUE"""),"該当なし")</f>
        <v>該当なし</v>
      </c>
      <c r="BS142" s="139" t="str">
        <f>IFERROR(__xludf.DUMMYFUNCTION("""COMPUTED_VALUE"""),"※移動を入力！(BV列)")</f>
        <v>※移動を入力！(BV列)</v>
      </c>
      <c r="BT142" s="139" t="str">
        <f>IFERROR(__xludf.DUMMYFUNCTION("""COMPUTED_VALUE"""),"※攻撃手段を入力(BQ列)")</f>
        <v>※攻撃手段を入力(BQ列)</v>
      </c>
      <c r="BU142" s="139">
        <f>IFERROR(__xludf.DUMMYFUNCTION("""COMPUTED_VALUE"""),0.0)</f>
        <v>0</v>
      </c>
      <c r="BV142" s="139"/>
      <c r="BW142" s="139"/>
      <c r="BX142" s="139" t="str">
        <f>IFERROR(__xludf.DUMMYFUNCTION("""COMPUTED_VALUE"""),"※特性を選択!!(BW列)")</f>
        <v>※特性を選択!!(BW列)</v>
      </c>
      <c r="BY142" s="139">
        <f>IFERROR(__xludf.DUMMYFUNCTION("""COMPUTED_VALUE"""),2.0)</f>
        <v>2</v>
      </c>
      <c r="BZ142" s="139"/>
      <c r="CA142" s="139" t="str">
        <f>IFERROR(__xludf.DUMMYFUNCTION("""COMPUTED_VALUE"""),"※特性を選択!!(BW列)")</f>
        <v>※特性を選択!!(BW列)</v>
      </c>
      <c r="CB142" s="139" t="str">
        <f>IFERROR(__xludf.DUMMYFUNCTION("""COMPUTED_VALUE"""),"-")</f>
        <v>-</v>
      </c>
      <c r="CC142" s="139" t="str">
        <f>IFERROR(__xludf.DUMMYFUNCTION("""COMPUTED_VALUE"""),"※ID管理未記入")</f>
        <v>※ID管理未記入</v>
      </c>
      <c r="CD142" s="139"/>
      <c r="CE142" s="139" t="str">
        <f>IFERROR(__xludf.DUMMYFUNCTION("""COMPUTED_VALUE"""),"該当なし")</f>
        <v>該当なし</v>
      </c>
      <c r="CF142" s="139" t="str">
        <f>IFERROR(__xludf.DUMMYFUNCTION("""COMPUTED_VALUE"""),"#VALUE!")</f>
        <v>#VALUE!</v>
      </c>
      <c r="CG142" s="139"/>
      <c r="CH142" s="139"/>
      <c r="CI142" s="139" t="str">
        <f>IFERROR(__xludf.DUMMYFUNCTION("""COMPUTED_VALUE"""),"該当なし")</f>
        <v>該当なし</v>
      </c>
      <c r="CJ142" s="139" t="str">
        <f>IFERROR(__xludf.DUMMYFUNCTION("""COMPUTED_VALUE"""),"#VALUE!")</f>
        <v>#VALUE!</v>
      </c>
      <c r="CK142" s="139"/>
      <c r="CL142" s="139"/>
      <c r="CM142" s="139"/>
      <c r="CN142" s="675">
        <f>IFERROR(__xludf.DUMMYFUNCTION("""COMPUTED_VALUE"""),5.0)</f>
        <v>5</v>
      </c>
      <c r="CO142" s="139" t="str">
        <f>IFERROR(__xludf.DUMMYFUNCTION("""COMPUTED_VALUE"""),"-")</f>
        <v>-</v>
      </c>
      <c r="CP142" s="139" t="str">
        <f>IFERROR(__xludf.DUMMYFUNCTION("""COMPUTED_VALUE"""),"-")</f>
        <v>-</v>
      </c>
      <c r="CQ142" s="139" t="str">
        <f>IFERROR(__xludf.DUMMYFUNCTION("""COMPUTED_VALUE"""),"-")</f>
        <v>-</v>
      </c>
      <c r="CR142" s="139"/>
      <c r="CS142" s="139"/>
      <c r="CT142" s="139"/>
      <c r="CU142" s="139"/>
      <c r="CV142" s="139"/>
      <c r="CW142" s="139"/>
      <c r="CX142" s="674" t="str">
        <f>IFERROR(__xludf.DUMMYFUNCTION("""COMPUTED_VALUE"""),"")</f>
        <v/>
      </c>
      <c r="CY142" s="675" t="str">
        <f>IFERROR(__xludf.DUMMYFUNCTION("""COMPUTED_VALUE"""),"")</f>
        <v/>
      </c>
      <c r="CZ142" s="688" t="str">
        <f>IFERROR(__xludf.DUMMYFUNCTION("""COMPUTED_VALUE"""),"-")</f>
        <v>-</v>
      </c>
      <c r="DA142" s="688">
        <f>IFERROR(__xludf.DUMMYFUNCTION("""COMPUTED_VALUE"""),0.0)</f>
        <v>0</v>
      </c>
      <c r="DB142" s="688">
        <f>IFERROR(__xludf.DUMMYFUNCTION("""COMPUTED_VALUE"""),0.0)</f>
        <v>0</v>
      </c>
      <c r="DC142" s="673" t="str">
        <f>IFERROR(__xludf.DUMMYFUNCTION("""COMPUTED_VALUE"""),"-")</f>
        <v>-</v>
      </c>
      <c r="DD142" s="673" t="str">
        <f>IFERROR(__xludf.DUMMYFUNCTION("""COMPUTED_VALUE"""),"-")</f>
        <v>-</v>
      </c>
      <c r="DE142" s="139" t="str">
        <f>IFERROR(__xludf.DUMMYFUNCTION("""COMPUTED_VALUE"""),"-")</f>
        <v>-</v>
      </c>
      <c r="DF142" s="139" t="str">
        <f>IFERROR(__xludf.DUMMYFUNCTION("""COMPUTED_VALUE"""),"-")</f>
        <v>-</v>
      </c>
      <c r="DG142" s="139" t="str">
        <f>IFERROR(__xludf.DUMMYFUNCTION("""COMPUTED_VALUE"""),"-")</f>
        <v>-</v>
      </c>
      <c r="DH142" s="139" t="str">
        <f>IFERROR(__xludf.DUMMYFUNCTION("""COMPUTED_VALUE"""),"-")</f>
        <v>-</v>
      </c>
      <c r="DI142" s="139" t="str">
        <f>IFERROR(__xludf.DUMMYFUNCTION("""COMPUTED_VALUE"""),"-")</f>
        <v>-</v>
      </c>
      <c r="DJ142" s="139" t="str">
        <f>IFERROR(__xludf.DUMMYFUNCTION("""COMPUTED_VALUE"""),"-")</f>
        <v>-</v>
      </c>
    </row>
    <row r="143">
      <c r="A143" s="139" t="str">
        <f>IFERROR(__xludf.DUMMYFUNCTION("""COMPUTED_VALUE"""),"チェンソーマン")</f>
        <v>チェンソーマン</v>
      </c>
      <c r="B143" s="139" t="str">
        <f>IFERROR(__xludf.DUMMYFUNCTION("""COMPUTED_VALUE"""),"(仮)小紅")</f>
        <v>(仮)小紅</v>
      </c>
      <c r="C143" s="139" t="str">
        <f>IFERROR(__xludf.DUMMYFUNCTION("""COMPUTED_VALUE"""),"chara_chi_00601")</f>
        <v>chara_chi_00601</v>
      </c>
      <c r="D143" s="139" t="str">
        <f>IFERROR(__xludf.DUMMYFUNCTION("""COMPUTED_VALUE"""),"DropSR")</f>
        <v>DropSR</v>
      </c>
      <c r="E143" s="139" t="str">
        <f>IFERROR(__xludf.DUMMYFUNCTION("""COMPUTED_VALUE"""),"調整中")</f>
        <v>調整中</v>
      </c>
      <c r="F143" s="139" t="str">
        <f>IFERROR(__xludf.DUMMYFUNCTION("""COMPUTED_VALUE"""),"調整中")</f>
        <v>調整中</v>
      </c>
      <c r="G143" s="139" t="str">
        <f>IFERROR(__xludf.DUMMYFUNCTION("""COMPUTED_VALUE"""),"※ID管理未記入")</f>
        <v>※ID管理未記入</v>
      </c>
      <c r="H143" s="139" t="str">
        <f>IFERROR(__xludf.DUMMYFUNCTION("""COMPUTED_VALUE"""),"※ID管理未記入")</f>
        <v>※ID管理未記入</v>
      </c>
      <c r="I143" s="139" t="str">
        <f>IFERROR(__xludf.DUMMYFUNCTION("""COMPUTED_VALUE"""),"※ID管理未記入")</f>
        <v>※ID管理未記入</v>
      </c>
      <c r="J143" s="139" t="str">
        <f>IFERROR(__xludf.DUMMYFUNCTION("""COMPUTED_VALUE"""),"999999999_リリースキー未定")</f>
        <v>999999999_リリースキー未定</v>
      </c>
      <c r="K143" s="139" t="str">
        <f>IFERROR(__xludf.DUMMYFUNCTION("""COMPUTED_VALUE"""),"チェンソーマンいいジャン祭")</f>
        <v>チェンソーマンいいジャン祭</v>
      </c>
      <c r="L143" s="687" t="str">
        <f>IFERROR(__xludf.DUMMYFUNCTION("""COMPUTED_VALUE"""),"※")</f>
        <v>※</v>
      </c>
      <c r="M143" s="674">
        <f>IFERROR(__xludf.DUMMYFUNCTION("""COMPUTED_VALUE"""),0.0)</f>
        <v>0</v>
      </c>
      <c r="N143" s="139">
        <f>IFERROR(__xludf.DUMMYFUNCTION("""COMPUTED_VALUE"""),0.0)</f>
        <v>0</v>
      </c>
      <c r="O143" s="139"/>
      <c r="P143" s="139">
        <f>IFERROR(__xludf.DUMMYFUNCTION("""COMPUTED_VALUE"""),0.0)</f>
        <v>0</v>
      </c>
      <c r="Q143" s="675">
        <f>IFERROR(__xludf.DUMMYFUNCTION("""COMPUTED_VALUE"""),0.0)</f>
        <v>0</v>
      </c>
      <c r="R143" s="675">
        <f>IFERROR(__xludf.DUMMYFUNCTION("""COMPUTED_VALUE"""),0.0)</f>
        <v>0</v>
      </c>
      <c r="S143" s="675">
        <f>IFERROR(__xludf.DUMMYFUNCTION("""COMPUTED_VALUE"""),-2.5)</f>
        <v>-2.5</v>
      </c>
      <c r="T143" s="674">
        <f>IFERROR(__xludf.DUMMYFUNCTION("""COMPUTED_VALUE"""),225.0)</f>
        <v>225</v>
      </c>
      <c r="U143" s="675">
        <f>IFERROR(__xludf.DUMMYFUNCTION("""COMPUTED_VALUE"""),4.5)</f>
        <v>4.5</v>
      </c>
      <c r="V143" s="675">
        <f>IFERROR(__xludf.DUMMYFUNCTION("""COMPUTED_VALUE"""),0.0)</f>
        <v>0</v>
      </c>
      <c r="W143" s="675">
        <f>IFERROR(__xludf.DUMMYFUNCTION("""COMPUTED_VALUE"""),0.0)</f>
        <v>0</v>
      </c>
      <c r="X143" s="675">
        <f>IFERROR(__xludf.DUMMYFUNCTION("""COMPUTED_VALUE"""),0.0)</f>
        <v>0</v>
      </c>
      <c r="Y143" s="674">
        <f>IFERROR(__xludf.DUMMYFUNCTION("""COMPUTED_VALUE"""),100.0)</f>
        <v>100</v>
      </c>
      <c r="Z143" s="675">
        <f>IFERROR(__xludf.DUMMYFUNCTION("""COMPUTED_VALUE"""),2.0)</f>
        <v>2</v>
      </c>
      <c r="AA143" s="675">
        <f>IFERROR(__xludf.DUMMYFUNCTION("""COMPUTED_VALUE"""),0.0)</f>
        <v>0</v>
      </c>
      <c r="AB143" s="673">
        <f>IFERROR(__xludf.DUMMYFUNCTION("""COMPUTED_VALUE"""),0.0)</f>
        <v>0</v>
      </c>
      <c r="AC143" s="675">
        <f>IFERROR(__xludf.DUMMYFUNCTION("""COMPUTED_VALUE"""),0.0)</f>
        <v>0</v>
      </c>
      <c r="AD143" s="674">
        <f>IFERROR(__xludf.DUMMYFUNCTION("""COMPUTED_VALUE"""),250.0)</f>
        <v>250</v>
      </c>
      <c r="AE143" s="675">
        <f>IFERROR(__xludf.DUMMYFUNCTION("""COMPUTED_VALUE"""),5.0)</f>
        <v>5</v>
      </c>
      <c r="AF143" s="675">
        <f>IFERROR(__xludf.DUMMYFUNCTION("""COMPUTED_VALUE"""),0.0)</f>
        <v>0</v>
      </c>
      <c r="AG143" s="673">
        <f>IFERROR(__xludf.DUMMYFUNCTION("""COMPUTED_VALUE"""),0.0)</f>
        <v>0</v>
      </c>
      <c r="AH143" s="675">
        <f>IFERROR(__xludf.DUMMYFUNCTION("""COMPUTED_VALUE"""),0.0)</f>
        <v>0</v>
      </c>
      <c r="AI143" s="139" t="str">
        <f>IFERROR(__xludf.DUMMYFUNCTION("""COMPUTED_VALUE"""),"-")</f>
        <v>-</v>
      </c>
      <c r="AJ143" s="675" t="str">
        <f>IFERROR(__xludf.DUMMYFUNCTION("""COMPUTED_VALUE"""),"-")</f>
        <v>-</v>
      </c>
      <c r="AK143" s="139">
        <f>IFERROR(__xludf.DUMMYFUNCTION("""COMPUTED_VALUE"""),0.0)</f>
        <v>0</v>
      </c>
      <c r="AL143" s="674">
        <f>IFERROR(__xludf.DUMMYFUNCTION("""COMPUTED_VALUE"""),0.0)</f>
        <v>0</v>
      </c>
      <c r="AM143" s="688">
        <f>IFERROR(__xludf.DUMMYFUNCTION("""COMPUTED_VALUE"""),0.0)</f>
        <v>0</v>
      </c>
      <c r="AN143" s="675">
        <f>IFERROR(__xludf.DUMMYFUNCTION("""COMPUTED_VALUE"""),0.0)</f>
        <v>0</v>
      </c>
      <c r="AO143" s="675">
        <f>IFERROR(__xludf.DUMMYFUNCTION("""COMPUTED_VALUE"""),0.0)</f>
        <v>0</v>
      </c>
      <c r="AP143" s="674">
        <f>IFERROR(__xludf.DUMMYFUNCTION("""COMPUTED_VALUE"""),0.0)</f>
        <v>0</v>
      </c>
      <c r="AQ143" s="673">
        <f>IFERROR(__xludf.DUMMYFUNCTION("""COMPUTED_VALUE"""),0.0)</f>
        <v>0</v>
      </c>
      <c r="AR143" s="673">
        <f>IFERROR(__xludf.DUMMYFUNCTION("""COMPUTED_VALUE"""),0.0)</f>
        <v>0</v>
      </c>
      <c r="AS143" s="673">
        <f>IFERROR(__xludf.DUMMYFUNCTION("""COMPUTED_VALUE"""),0.0)</f>
        <v>0</v>
      </c>
      <c r="AT143" s="673">
        <f>IFERROR(__xludf.DUMMYFUNCTION("""COMPUTED_VALUE"""),0.0)</f>
        <v>0</v>
      </c>
      <c r="AU143" s="675">
        <f>IFERROR(__xludf.DUMMYFUNCTION("""COMPUTED_VALUE"""),0.0)</f>
        <v>0</v>
      </c>
      <c r="AV143" s="675">
        <f>IFERROR(__xludf.DUMMYFUNCTION("""COMPUTED_VALUE"""),0.0)</f>
        <v>0</v>
      </c>
      <c r="AW143" s="139"/>
      <c r="AX143" s="674" t="str">
        <f>IFERROR(__xludf.DUMMYFUNCTION("""COMPUTED_VALUE"""),"※通常攻撃範囲を入力！(CD列)")</f>
        <v>※通常攻撃範囲を入力！(CD列)</v>
      </c>
      <c r="AY143" s="688" t="str">
        <f>IFERROR(__xludf.DUMMYFUNCTION("""COMPUTED_VALUE"""),"#VALUE!")</f>
        <v>#VALUE!</v>
      </c>
      <c r="AZ143" s="674" t="str">
        <f>IFERROR(__xludf.DUMMYFUNCTION("""COMPUTED_VALUE"""),"#VALUE!")</f>
        <v>#VALUE!</v>
      </c>
      <c r="BA143" s="688" t="str">
        <f>IFERROR(__xludf.DUMMYFUNCTION("""COMPUTED_VALUE"""),"#VALUE!")</f>
        <v>#VALUE!</v>
      </c>
      <c r="BB143" s="688" t="str">
        <f>IFERROR(__xludf.DUMMYFUNCTION("""COMPUTED_VALUE"""),"-")</f>
        <v>-</v>
      </c>
      <c r="BC143" s="688" t="str">
        <f>IFERROR(__xludf.DUMMYFUNCTION("""COMPUTED_VALUE"""),"#VALUE!")</f>
        <v>#VALUE!</v>
      </c>
      <c r="BD143" s="688" t="str">
        <f>IFERROR(__xludf.DUMMYFUNCTION("""COMPUTED_VALUE"""),"#VALUE!")</f>
        <v>#VALUE!</v>
      </c>
      <c r="BE143" s="674" t="str">
        <f>IFERROR(__xludf.DUMMYFUNCTION("""COMPUTED_VALUE"""),"#VALUE!")</f>
        <v>#VALUE!</v>
      </c>
      <c r="BF143" s="674">
        <f>IFERROR(__xludf.DUMMYFUNCTION("""COMPUTED_VALUE"""),0.0)</f>
        <v>0</v>
      </c>
      <c r="BG143" s="673">
        <f>IFERROR(__xludf.DUMMYFUNCTION("""COMPUTED_VALUE"""),0.0)</f>
        <v>0</v>
      </c>
      <c r="BH143" s="673">
        <f>IFERROR(__xludf.DUMMYFUNCTION("""COMPUTED_VALUE"""),0.0)</f>
        <v>0</v>
      </c>
      <c r="BI143" s="673">
        <f>IFERROR(__xludf.DUMMYFUNCTION("""COMPUTED_VALUE"""),0.0)</f>
        <v>0</v>
      </c>
      <c r="BJ143" s="673">
        <f>IFERROR(__xludf.DUMMYFUNCTION("""COMPUTED_VALUE"""),0.0)</f>
        <v>0</v>
      </c>
      <c r="BK143" s="673">
        <f>IFERROR(__xludf.DUMMYFUNCTION("""COMPUTED_VALUE"""),0.0)</f>
        <v>0</v>
      </c>
      <c r="BL143" s="673">
        <f>IFERROR(__xludf.DUMMYFUNCTION("""COMPUTED_VALUE"""),0.0)</f>
        <v>0</v>
      </c>
      <c r="BM143" s="674">
        <f>IFERROR(__xludf.DUMMYFUNCTION("""COMPUTED_VALUE"""),0.0)</f>
        <v>0</v>
      </c>
      <c r="BN143" s="674">
        <f>IFERROR(__xludf.DUMMYFUNCTION("""COMPUTED_VALUE"""),0.0)</f>
        <v>0</v>
      </c>
      <c r="BO143" s="675">
        <f>IFERROR(__xludf.DUMMYFUNCTION("""COMPUTED_VALUE"""),0.0)</f>
        <v>0</v>
      </c>
      <c r="BP143" s="675">
        <f>IFERROR(__xludf.DUMMYFUNCTION("""COMPUTED_VALUE"""),0.0)</f>
        <v>0</v>
      </c>
      <c r="BQ143" s="139"/>
      <c r="BR143" s="139" t="str">
        <f>IFERROR(__xludf.DUMMYFUNCTION("""COMPUTED_VALUE"""),"該当なし")</f>
        <v>該当なし</v>
      </c>
      <c r="BS143" s="139" t="str">
        <f>IFERROR(__xludf.DUMMYFUNCTION("""COMPUTED_VALUE"""),"※移動を入力！(BV列)")</f>
        <v>※移動を入力！(BV列)</v>
      </c>
      <c r="BT143" s="139" t="str">
        <f>IFERROR(__xludf.DUMMYFUNCTION("""COMPUTED_VALUE"""),"※攻撃手段を入力(BQ列)")</f>
        <v>※攻撃手段を入力(BQ列)</v>
      </c>
      <c r="BU143" s="139">
        <f>IFERROR(__xludf.DUMMYFUNCTION("""COMPUTED_VALUE"""),0.0)</f>
        <v>0</v>
      </c>
      <c r="BV143" s="139"/>
      <c r="BW143" s="139"/>
      <c r="BX143" s="139" t="str">
        <f>IFERROR(__xludf.DUMMYFUNCTION("""COMPUTED_VALUE"""),"※特性を選択!!(BW列)")</f>
        <v>※特性を選択!!(BW列)</v>
      </c>
      <c r="BY143" s="139">
        <f>IFERROR(__xludf.DUMMYFUNCTION("""COMPUTED_VALUE"""),2.0)</f>
        <v>2</v>
      </c>
      <c r="BZ143" s="139"/>
      <c r="CA143" s="139" t="str">
        <f>IFERROR(__xludf.DUMMYFUNCTION("""COMPUTED_VALUE"""),"※特性を選択!!(BW列)")</f>
        <v>※特性を選択!!(BW列)</v>
      </c>
      <c r="CB143" s="139" t="str">
        <f>IFERROR(__xludf.DUMMYFUNCTION("""COMPUTED_VALUE"""),"-")</f>
        <v>-</v>
      </c>
      <c r="CC143" s="139" t="str">
        <f>IFERROR(__xludf.DUMMYFUNCTION("""COMPUTED_VALUE"""),"※ID管理未記入")</f>
        <v>※ID管理未記入</v>
      </c>
      <c r="CD143" s="139"/>
      <c r="CE143" s="139" t="str">
        <f>IFERROR(__xludf.DUMMYFUNCTION("""COMPUTED_VALUE"""),"該当なし")</f>
        <v>該当なし</v>
      </c>
      <c r="CF143" s="139" t="str">
        <f>IFERROR(__xludf.DUMMYFUNCTION("""COMPUTED_VALUE"""),"#VALUE!")</f>
        <v>#VALUE!</v>
      </c>
      <c r="CG143" s="139"/>
      <c r="CH143" s="139"/>
      <c r="CI143" s="139" t="str">
        <f>IFERROR(__xludf.DUMMYFUNCTION("""COMPUTED_VALUE"""),"該当なし")</f>
        <v>該当なし</v>
      </c>
      <c r="CJ143" s="139" t="str">
        <f>IFERROR(__xludf.DUMMYFUNCTION("""COMPUTED_VALUE"""),"#VALUE!")</f>
        <v>#VALUE!</v>
      </c>
      <c r="CK143" s="139"/>
      <c r="CL143" s="139"/>
      <c r="CM143" s="139"/>
      <c r="CN143" s="675">
        <f>IFERROR(__xludf.DUMMYFUNCTION("""COMPUTED_VALUE"""),5.0)</f>
        <v>5</v>
      </c>
      <c r="CO143" s="139" t="str">
        <f>IFERROR(__xludf.DUMMYFUNCTION("""COMPUTED_VALUE"""),"-")</f>
        <v>-</v>
      </c>
      <c r="CP143" s="139" t="str">
        <f>IFERROR(__xludf.DUMMYFUNCTION("""COMPUTED_VALUE"""),"-")</f>
        <v>-</v>
      </c>
      <c r="CQ143" s="139" t="str">
        <f>IFERROR(__xludf.DUMMYFUNCTION("""COMPUTED_VALUE"""),"-")</f>
        <v>-</v>
      </c>
      <c r="CR143" s="139"/>
      <c r="CS143" s="139"/>
      <c r="CT143" s="139"/>
      <c r="CU143" s="139"/>
      <c r="CV143" s="139"/>
      <c r="CW143" s="139"/>
      <c r="CX143" s="674" t="str">
        <f>IFERROR(__xludf.DUMMYFUNCTION("""COMPUTED_VALUE"""),"")</f>
        <v/>
      </c>
      <c r="CY143" s="675" t="str">
        <f>IFERROR(__xludf.DUMMYFUNCTION("""COMPUTED_VALUE"""),"")</f>
        <v/>
      </c>
      <c r="CZ143" s="688" t="str">
        <f>IFERROR(__xludf.DUMMYFUNCTION("""COMPUTED_VALUE"""),"-")</f>
        <v>-</v>
      </c>
      <c r="DA143" s="688">
        <f>IFERROR(__xludf.DUMMYFUNCTION("""COMPUTED_VALUE"""),0.0)</f>
        <v>0</v>
      </c>
      <c r="DB143" s="688">
        <f>IFERROR(__xludf.DUMMYFUNCTION("""COMPUTED_VALUE"""),0.0)</f>
        <v>0</v>
      </c>
      <c r="DC143" s="673" t="str">
        <f>IFERROR(__xludf.DUMMYFUNCTION("""COMPUTED_VALUE"""),"-")</f>
        <v>-</v>
      </c>
      <c r="DD143" s="673" t="str">
        <f>IFERROR(__xludf.DUMMYFUNCTION("""COMPUTED_VALUE"""),"-")</f>
        <v>-</v>
      </c>
      <c r="DE143" s="139" t="str">
        <f>IFERROR(__xludf.DUMMYFUNCTION("""COMPUTED_VALUE"""),"-")</f>
        <v>-</v>
      </c>
      <c r="DF143" s="139" t="str">
        <f>IFERROR(__xludf.DUMMYFUNCTION("""COMPUTED_VALUE"""),"-")</f>
        <v>-</v>
      </c>
      <c r="DG143" s="139" t="str">
        <f>IFERROR(__xludf.DUMMYFUNCTION("""COMPUTED_VALUE"""),"-")</f>
        <v>-</v>
      </c>
      <c r="DH143" s="139" t="str">
        <f>IFERROR(__xludf.DUMMYFUNCTION("""COMPUTED_VALUE"""),"-")</f>
        <v>-</v>
      </c>
      <c r="DI143" s="139" t="str">
        <f>IFERROR(__xludf.DUMMYFUNCTION("""COMPUTED_VALUE"""),"-")</f>
        <v>-</v>
      </c>
      <c r="DJ143" s="139" t="str">
        <f>IFERROR(__xludf.DUMMYFUNCTION("""COMPUTED_VALUE"""),"-")</f>
        <v>-</v>
      </c>
    </row>
    <row r="144">
      <c r="A144" s="139" t="str">
        <f>IFERROR(__xludf.DUMMYFUNCTION("""COMPUTED_VALUE"""),"チェンソーマン")</f>
        <v>チェンソーマン</v>
      </c>
      <c r="B144" s="139" t="str">
        <f>IFERROR(__xludf.DUMMYFUNCTION("""COMPUTED_VALUE"""),"(仮)サムライソード")</f>
        <v>(仮)サムライソード</v>
      </c>
      <c r="C144" s="139" t="str">
        <f>IFERROR(__xludf.DUMMYFUNCTION("""COMPUTED_VALUE"""),"chara_chi_00801")</f>
        <v>chara_chi_00801</v>
      </c>
      <c r="D144" s="139" t="str">
        <f>IFERROR(__xludf.DUMMYFUNCTION("""COMPUTED_VALUE"""),"DropSR")</f>
        <v>DropSR</v>
      </c>
      <c r="E144" s="139" t="str">
        <f>IFERROR(__xludf.DUMMYFUNCTION("""COMPUTED_VALUE"""),"調整中")</f>
        <v>調整中</v>
      </c>
      <c r="F144" s="139" t="str">
        <f>IFERROR(__xludf.DUMMYFUNCTION("""COMPUTED_VALUE"""),"調整中")</f>
        <v>調整中</v>
      </c>
      <c r="G144" s="139" t="str">
        <f>IFERROR(__xludf.DUMMYFUNCTION("""COMPUTED_VALUE"""),"※ID管理未記入")</f>
        <v>※ID管理未記入</v>
      </c>
      <c r="H144" s="139" t="str">
        <f>IFERROR(__xludf.DUMMYFUNCTION("""COMPUTED_VALUE"""),"※ID管理未記入")</f>
        <v>※ID管理未記入</v>
      </c>
      <c r="I144" s="139" t="str">
        <f>IFERROR(__xludf.DUMMYFUNCTION("""COMPUTED_VALUE"""),"※ID管理未記入")</f>
        <v>※ID管理未記入</v>
      </c>
      <c r="J144" s="139" t="str">
        <f>IFERROR(__xludf.DUMMYFUNCTION("""COMPUTED_VALUE"""),"999999999_リリースキー未定")</f>
        <v>999999999_リリースキー未定</v>
      </c>
      <c r="K144" s="139" t="str">
        <f>IFERROR(__xludf.DUMMYFUNCTION("""COMPUTED_VALUE"""),"チェンソーマンいいジャン祭")</f>
        <v>チェンソーマンいいジャン祭</v>
      </c>
      <c r="L144" s="687" t="str">
        <f>IFERROR(__xludf.DUMMYFUNCTION("""COMPUTED_VALUE"""),"※")</f>
        <v>※</v>
      </c>
      <c r="M144" s="674">
        <f>IFERROR(__xludf.DUMMYFUNCTION("""COMPUTED_VALUE"""),0.0)</f>
        <v>0</v>
      </c>
      <c r="N144" s="139">
        <f>IFERROR(__xludf.DUMMYFUNCTION("""COMPUTED_VALUE"""),0.0)</f>
        <v>0</v>
      </c>
      <c r="O144" s="139"/>
      <c r="P144" s="139">
        <f>IFERROR(__xludf.DUMMYFUNCTION("""COMPUTED_VALUE"""),0.0)</f>
        <v>0</v>
      </c>
      <c r="Q144" s="675">
        <f>IFERROR(__xludf.DUMMYFUNCTION("""COMPUTED_VALUE"""),0.0)</f>
        <v>0</v>
      </c>
      <c r="R144" s="675">
        <f>IFERROR(__xludf.DUMMYFUNCTION("""COMPUTED_VALUE"""),0.0)</f>
        <v>0</v>
      </c>
      <c r="S144" s="675">
        <f>IFERROR(__xludf.DUMMYFUNCTION("""COMPUTED_VALUE"""),-2.5)</f>
        <v>-2.5</v>
      </c>
      <c r="T144" s="674">
        <f>IFERROR(__xludf.DUMMYFUNCTION("""COMPUTED_VALUE"""),225.0)</f>
        <v>225</v>
      </c>
      <c r="U144" s="675">
        <f>IFERROR(__xludf.DUMMYFUNCTION("""COMPUTED_VALUE"""),4.5)</f>
        <v>4.5</v>
      </c>
      <c r="V144" s="675">
        <f>IFERROR(__xludf.DUMMYFUNCTION("""COMPUTED_VALUE"""),0.0)</f>
        <v>0</v>
      </c>
      <c r="W144" s="675">
        <f>IFERROR(__xludf.DUMMYFUNCTION("""COMPUTED_VALUE"""),0.0)</f>
        <v>0</v>
      </c>
      <c r="X144" s="675">
        <f>IFERROR(__xludf.DUMMYFUNCTION("""COMPUTED_VALUE"""),0.0)</f>
        <v>0</v>
      </c>
      <c r="Y144" s="674">
        <f>IFERROR(__xludf.DUMMYFUNCTION("""COMPUTED_VALUE"""),100.0)</f>
        <v>100</v>
      </c>
      <c r="Z144" s="675">
        <f>IFERROR(__xludf.DUMMYFUNCTION("""COMPUTED_VALUE"""),2.0)</f>
        <v>2</v>
      </c>
      <c r="AA144" s="675">
        <f>IFERROR(__xludf.DUMMYFUNCTION("""COMPUTED_VALUE"""),0.0)</f>
        <v>0</v>
      </c>
      <c r="AB144" s="673">
        <f>IFERROR(__xludf.DUMMYFUNCTION("""COMPUTED_VALUE"""),0.0)</f>
        <v>0</v>
      </c>
      <c r="AC144" s="675">
        <f>IFERROR(__xludf.DUMMYFUNCTION("""COMPUTED_VALUE"""),0.0)</f>
        <v>0</v>
      </c>
      <c r="AD144" s="674">
        <f>IFERROR(__xludf.DUMMYFUNCTION("""COMPUTED_VALUE"""),250.0)</f>
        <v>250</v>
      </c>
      <c r="AE144" s="675">
        <f>IFERROR(__xludf.DUMMYFUNCTION("""COMPUTED_VALUE"""),5.0)</f>
        <v>5</v>
      </c>
      <c r="AF144" s="675">
        <f>IFERROR(__xludf.DUMMYFUNCTION("""COMPUTED_VALUE"""),0.0)</f>
        <v>0</v>
      </c>
      <c r="AG144" s="673">
        <f>IFERROR(__xludf.DUMMYFUNCTION("""COMPUTED_VALUE"""),0.0)</f>
        <v>0</v>
      </c>
      <c r="AH144" s="675">
        <f>IFERROR(__xludf.DUMMYFUNCTION("""COMPUTED_VALUE"""),0.0)</f>
        <v>0</v>
      </c>
      <c r="AI144" s="139" t="str">
        <f>IFERROR(__xludf.DUMMYFUNCTION("""COMPUTED_VALUE"""),"-")</f>
        <v>-</v>
      </c>
      <c r="AJ144" s="675" t="str">
        <f>IFERROR(__xludf.DUMMYFUNCTION("""COMPUTED_VALUE"""),"-")</f>
        <v>-</v>
      </c>
      <c r="AK144" s="139">
        <f>IFERROR(__xludf.DUMMYFUNCTION("""COMPUTED_VALUE"""),0.0)</f>
        <v>0</v>
      </c>
      <c r="AL144" s="674">
        <f>IFERROR(__xludf.DUMMYFUNCTION("""COMPUTED_VALUE"""),0.0)</f>
        <v>0</v>
      </c>
      <c r="AM144" s="688">
        <f>IFERROR(__xludf.DUMMYFUNCTION("""COMPUTED_VALUE"""),0.0)</f>
        <v>0</v>
      </c>
      <c r="AN144" s="675">
        <f>IFERROR(__xludf.DUMMYFUNCTION("""COMPUTED_VALUE"""),0.0)</f>
        <v>0</v>
      </c>
      <c r="AO144" s="675">
        <f>IFERROR(__xludf.DUMMYFUNCTION("""COMPUTED_VALUE"""),0.0)</f>
        <v>0</v>
      </c>
      <c r="AP144" s="674">
        <f>IFERROR(__xludf.DUMMYFUNCTION("""COMPUTED_VALUE"""),0.0)</f>
        <v>0</v>
      </c>
      <c r="AQ144" s="673">
        <f>IFERROR(__xludf.DUMMYFUNCTION("""COMPUTED_VALUE"""),0.0)</f>
        <v>0</v>
      </c>
      <c r="AR144" s="673">
        <f>IFERROR(__xludf.DUMMYFUNCTION("""COMPUTED_VALUE"""),0.0)</f>
        <v>0</v>
      </c>
      <c r="AS144" s="673">
        <f>IFERROR(__xludf.DUMMYFUNCTION("""COMPUTED_VALUE"""),0.0)</f>
        <v>0</v>
      </c>
      <c r="AT144" s="673">
        <f>IFERROR(__xludf.DUMMYFUNCTION("""COMPUTED_VALUE"""),0.0)</f>
        <v>0</v>
      </c>
      <c r="AU144" s="675">
        <f>IFERROR(__xludf.DUMMYFUNCTION("""COMPUTED_VALUE"""),0.0)</f>
        <v>0</v>
      </c>
      <c r="AV144" s="675">
        <f>IFERROR(__xludf.DUMMYFUNCTION("""COMPUTED_VALUE"""),0.0)</f>
        <v>0</v>
      </c>
      <c r="AW144" s="139"/>
      <c r="AX144" s="674" t="str">
        <f>IFERROR(__xludf.DUMMYFUNCTION("""COMPUTED_VALUE"""),"※通常攻撃範囲を入力！(CD列)")</f>
        <v>※通常攻撃範囲を入力！(CD列)</v>
      </c>
      <c r="AY144" s="688" t="str">
        <f>IFERROR(__xludf.DUMMYFUNCTION("""COMPUTED_VALUE"""),"#VALUE!")</f>
        <v>#VALUE!</v>
      </c>
      <c r="AZ144" s="674" t="str">
        <f>IFERROR(__xludf.DUMMYFUNCTION("""COMPUTED_VALUE"""),"#VALUE!")</f>
        <v>#VALUE!</v>
      </c>
      <c r="BA144" s="688" t="str">
        <f>IFERROR(__xludf.DUMMYFUNCTION("""COMPUTED_VALUE"""),"#VALUE!")</f>
        <v>#VALUE!</v>
      </c>
      <c r="BB144" s="688" t="str">
        <f>IFERROR(__xludf.DUMMYFUNCTION("""COMPUTED_VALUE"""),"-")</f>
        <v>-</v>
      </c>
      <c r="BC144" s="688" t="str">
        <f>IFERROR(__xludf.DUMMYFUNCTION("""COMPUTED_VALUE"""),"#VALUE!")</f>
        <v>#VALUE!</v>
      </c>
      <c r="BD144" s="688" t="str">
        <f>IFERROR(__xludf.DUMMYFUNCTION("""COMPUTED_VALUE"""),"#VALUE!")</f>
        <v>#VALUE!</v>
      </c>
      <c r="BE144" s="674" t="str">
        <f>IFERROR(__xludf.DUMMYFUNCTION("""COMPUTED_VALUE"""),"#VALUE!")</f>
        <v>#VALUE!</v>
      </c>
      <c r="BF144" s="674">
        <f>IFERROR(__xludf.DUMMYFUNCTION("""COMPUTED_VALUE"""),0.0)</f>
        <v>0</v>
      </c>
      <c r="BG144" s="673">
        <f>IFERROR(__xludf.DUMMYFUNCTION("""COMPUTED_VALUE"""),0.0)</f>
        <v>0</v>
      </c>
      <c r="BH144" s="673">
        <f>IFERROR(__xludf.DUMMYFUNCTION("""COMPUTED_VALUE"""),0.0)</f>
        <v>0</v>
      </c>
      <c r="BI144" s="673">
        <f>IFERROR(__xludf.DUMMYFUNCTION("""COMPUTED_VALUE"""),0.0)</f>
        <v>0</v>
      </c>
      <c r="BJ144" s="673">
        <f>IFERROR(__xludf.DUMMYFUNCTION("""COMPUTED_VALUE"""),0.0)</f>
        <v>0</v>
      </c>
      <c r="BK144" s="673">
        <f>IFERROR(__xludf.DUMMYFUNCTION("""COMPUTED_VALUE"""),0.0)</f>
        <v>0</v>
      </c>
      <c r="BL144" s="673">
        <f>IFERROR(__xludf.DUMMYFUNCTION("""COMPUTED_VALUE"""),0.0)</f>
        <v>0</v>
      </c>
      <c r="BM144" s="674">
        <f>IFERROR(__xludf.DUMMYFUNCTION("""COMPUTED_VALUE"""),0.0)</f>
        <v>0</v>
      </c>
      <c r="BN144" s="674">
        <f>IFERROR(__xludf.DUMMYFUNCTION("""COMPUTED_VALUE"""),0.0)</f>
        <v>0</v>
      </c>
      <c r="BO144" s="675">
        <f>IFERROR(__xludf.DUMMYFUNCTION("""COMPUTED_VALUE"""),0.0)</f>
        <v>0</v>
      </c>
      <c r="BP144" s="675">
        <f>IFERROR(__xludf.DUMMYFUNCTION("""COMPUTED_VALUE"""),0.0)</f>
        <v>0</v>
      </c>
      <c r="BQ144" s="139"/>
      <c r="BR144" s="139" t="str">
        <f>IFERROR(__xludf.DUMMYFUNCTION("""COMPUTED_VALUE"""),"該当なし")</f>
        <v>該当なし</v>
      </c>
      <c r="BS144" s="139" t="str">
        <f>IFERROR(__xludf.DUMMYFUNCTION("""COMPUTED_VALUE"""),"※移動を入力！(BV列)")</f>
        <v>※移動を入力！(BV列)</v>
      </c>
      <c r="BT144" s="139" t="str">
        <f>IFERROR(__xludf.DUMMYFUNCTION("""COMPUTED_VALUE"""),"※攻撃手段を入力(BQ列)")</f>
        <v>※攻撃手段を入力(BQ列)</v>
      </c>
      <c r="BU144" s="139">
        <f>IFERROR(__xludf.DUMMYFUNCTION("""COMPUTED_VALUE"""),0.0)</f>
        <v>0</v>
      </c>
      <c r="BV144" s="139"/>
      <c r="BW144" s="139"/>
      <c r="BX144" s="139" t="str">
        <f>IFERROR(__xludf.DUMMYFUNCTION("""COMPUTED_VALUE"""),"※特性を選択!!(BW列)")</f>
        <v>※特性を選択!!(BW列)</v>
      </c>
      <c r="BY144" s="139">
        <f>IFERROR(__xludf.DUMMYFUNCTION("""COMPUTED_VALUE"""),2.0)</f>
        <v>2</v>
      </c>
      <c r="BZ144" s="139"/>
      <c r="CA144" s="139" t="str">
        <f>IFERROR(__xludf.DUMMYFUNCTION("""COMPUTED_VALUE"""),"※特性を選択!!(BW列)")</f>
        <v>※特性を選択!!(BW列)</v>
      </c>
      <c r="CB144" s="139" t="str">
        <f>IFERROR(__xludf.DUMMYFUNCTION("""COMPUTED_VALUE"""),"-")</f>
        <v>-</v>
      </c>
      <c r="CC144" s="139" t="str">
        <f>IFERROR(__xludf.DUMMYFUNCTION("""COMPUTED_VALUE"""),"※ID管理未記入")</f>
        <v>※ID管理未記入</v>
      </c>
      <c r="CD144" s="139"/>
      <c r="CE144" s="139" t="str">
        <f>IFERROR(__xludf.DUMMYFUNCTION("""COMPUTED_VALUE"""),"該当なし")</f>
        <v>該当なし</v>
      </c>
      <c r="CF144" s="139" t="str">
        <f>IFERROR(__xludf.DUMMYFUNCTION("""COMPUTED_VALUE"""),"#VALUE!")</f>
        <v>#VALUE!</v>
      </c>
      <c r="CG144" s="139"/>
      <c r="CH144" s="139"/>
      <c r="CI144" s="139" t="str">
        <f>IFERROR(__xludf.DUMMYFUNCTION("""COMPUTED_VALUE"""),"該当なし")</f>
        <v>該当なし</v>
      </c>
      <c r="CJ144" s="139" t="str">
        <f>IFERROR(__xludf.DUMMYFUNCTION("""COMPUTED_VALUE"""),"#VALUE!")</f>
        <v>#VALUE!</v>
      </c>
      <c r="CK144" s="139"/>
      <c r="CL144" s="139"/>
      <c r="CM144" s="139"/>
      <c r="CN144" s="675">
        <f>IFERROR(__xludf.DUMMYFUNCTION("""COMPUTED_VALUE"""),5.0)</f>
        <v>5</v>
      </c>
      <c r="CO144" s="139" t="str">
        <f>IFERROR(__xludf.DUMMYFUNCTION("""COMPUTED_VALUE"""),"-")</f>
        <v>-</v>
      </c>
      <c r="CP144" s="139" t="str">
        <f>IFERROR(__xludf.DUMMYFUNCTION("""COMPUTED_VALUE"""),"-")</f>
        <v>-</v>
      </c>
      <c r="CQ144" s="139" t="str">
        <f>IFERROR(__xludf.DUMMYFUNCTION("""COMPUTED_VALUE"""),"-")</f>
        <v>-</v>
      </c>
      <c r="CR144" s="139"/>
      <c r="CS144" s="139"/>
      <c r="CT144" s="139"/>
      <c r="CU144" s="139"/>
      <c r="CV144" s="139"/>
      <c r="CW144" s="139"/>
      <c r="CX144" s="674" t="str">
        <f>IFERROR(__xludf.DUMMYFUNCTION("""COMPUTED_VALUE"""),"")</f>
        <v/>
      </c>
      <c r="CY144" s="675" t="str">
        <f>IFERROR(__xludf.DUMMYFUNCTION("""COMPUTED_VALUE"""),"")</f>
        <v/>
      </c>
      <c r="CZ144" s="688" t="str">
        <f>IFERROR(__xludf.DUMMYFUNCTION("""COMPUTED_VALUE"""),"-")</f>
        <v>-</v>
      </c>
      <c r="DA144" s="688">
        <f>IFERROR(__xludf.DUMMYFUNCTION("""COMPUTED_VALUE"""),0.0)</f>
        <v>0</v>
      </c>
      <c r="DB144" s="688">
        <f>IFERROR(__xludf.DUMMYFUNCTION("""COMPUTED_VALUE"""),0.0)</f>
        <v>0</v>
      </c>
      <c r="DC144" s="673" t="str">
        <f>IFERROR(__xludf.DUMMYFUNCTION("""COMPUTED_VALUE"""),"-")</f>
        <v>-</v>
      </c>
      <c r="DD144" s="673" t="str">
        <f>IFERROR(__xludf.DUMMYFUNCTION("""COMPUTED_VALUE"""),"-")</f>
        <v>-</v>
      </c>
      <c r="DE144" s="139" t="str">
        <f>IFERROR(__xludf.DUMMYFUNCTION("""COMPUTED_VALUE"""),"-")</f>
        <v>-</v>
      </c>
      <c r="DF144" s="139" t="str">
        <f>IFERROR(__xludf.DUMMYFUNCTION("""COMPUTED_VALUE"""),"-")</f>
        <v>-</v>
      </c>
      <c r="DG144" s="139" t="str">
        <f>IFERROR(__xludf.DUMMYFUNCTION("""COMPUTED_VALUE"""),"-")</f>
        <v>-</v>
      </c>
      <c r="DH144" s="139" t="str">
        <f>IFERROR(__xludf.DUMMYFUNCTION("""COMPUTED_VALUE"""),"-")</f>
        <v>-</v>
      </c>
      <c r="DI144" s="139" t="str">
        <f>IFERROR(__xludf.DUMMYFUNCTION("""COMPUTED_VALUE"""),"-")</f>
        <v>-</v>
      </c>
      <c r="DJ144" s="139" t="str">
        <f>IFERROR(__xludf.DUMMYFUNCTION("""COMPUTED_VALUE"""),"-")</f>
        <v>-</v>
      </c>
    </row>
    <row r="145">
      <c r="A145" s="139" t="str">
        <f>IFERROR(__xludf.DUMMYFUNCTION("""COMPUTED_VALUE"""),"ダンダダン")</f>
        <v>ダンダダン</v>
      </c>
      <c r="B145" s="139" t="str">
        <f>IFERROR(__xludf.DUMMYFUNCTION("""COMPUTED_VALUE"""),"(仮)坂田 金太")</f>
        <v>(仮)坂田 金太</v>
      </c>
      <c r="C145" s="139" t="str">
        <f>IFERROR(__xludf.DUMMYFUNCTION("""COMPUTED_VALUE"""),"chara_dan_00501")</f>
        <v>chara_dan_00501</v>
      </c>
      <c r="D145" s="139" t="str">
        <f>IFERROR(__xludf.DUMMYFUNCTION("""COMPUTED_VALUE"""),"DropSSR")</f>
        <v>DropSSR</v>
      </c>
      <c r="E145" s="139" t="str">
        <f>IFERROR(__xludf.DUMMYFUNCTION("""COMPUTED_VALUE"""),"青")</f>
        <v>青</v>
      </c>
      <c r="F145" s="139" t="str">
        <f>IFERROR(__xludf.DUMMYFUNCTION("""COMPUTED_VALUE"""),"ディフェンス")</f>
        <v>ディフェンス</v>
      </c>
      <c r="G145" s="139" t="str">
        <f>IFERROR(__xludf.DUMMYFUNCTION("""COMPUTED_VALUE"""),"近距離")</f>
        <v>近距離</v>
      </c>
      <c r="H145" s="139" t="str">
        <f>IFERROR(__xludf.DUMMYFUNCTION("""COMPUTED_VALUE"""),"dageki_2")</f>
        <v>dageki_2</v>
      </c>
      <c r="I145" s="139" t="str">
        <f>IFERROR(__xludf.DUMMYFUNCTION("""COMPUTED_VALUE"""),"dageki_1")</f>
        <v>dageki_1</v>
      </c>
      <c r="J145" s="139" t="str">
        <f>IFERROR(__xludf.DUMMYFUNCTION("""COMPUTED_VALUE"""),"999999999_リリースキー未定")</f>
        <v>999999999_リリースキー未定</v>
      </c>
      <c r="K145" s="139" t="str">
        <f>IFERROR(__xludf.DUMMYFUNCTION("""COMPUTED_VALUE"""),"不明：メダルガシャ追加時")</f>
        <v>不明：メダルガシャ追加時</v>
      </c>
      <c r="L145" s="687" t="str">
        <f>IFERROR(__xludf.DUMMYFUNCTION("""COMPUTED_VALUE"""),"※")</f>
        <v>※</v>
      </c>
      <c r="M145" s="674">
        <f>IFERROR(__xludf.DUMMYFUNCTION("""COMPUTED_VALUE"""),0.0)</f>
        <v>0</v>
      </c>
      <c r="N145" s="139">
        <f>IFERROR(__xludf.DUMMYFUNCTION("""COMPUTED_VALUE"""),0.0)</f>
        <v>0</v>
      </c>
      <c r="O145" s="139"/>
      <c r="P145" s="139">
        <f>IFERROR(__xludf.DUMMYFUNCTION("""COMPUTED_VALUE"""),0.0)</f>
        <v>0</v>
      </c>
      <c r="Q145" s="675">
        <f>IFERROR(__xludf.DUMMYFUNCTION("""COMPUTED_VALUE"""),0.0)</f>
        <v>0</v>
      </c>
      <c r="R145" s="675">
        <f>IFERROR(__xludf.DUMMYFUNCTION("""COMPUTED_VALUE"""),0.0)</f>
        <v>0</v>
      </c>
      <c r="S145" s="675">
        <f>IFERROR(__xludf.DUMMYFUNCTION("""COMPUTED_VALUE"""),-2.5)</f>
        <v>-2.5</v>
      </c>
      <c r="T145" s="674">
        <f>IFERROR(__xludf.DUMMYFUNCTION("""COMPUTED_VALUE"""),225.0)</f>
        <v>225</v>
      </c>
      <c r="U145" s="675">
        <f>IFERROR(__xludf.DUMMYFUNCTION("""COMPUTED_VALUE"""),4.5)</f>
        <v>4.5</v>
      </c>
      <c r="V145" s="675">
        <f>IFERROR(__xludf.DUMMYFUNCTION("""COMPUTED_VALUE"""),0.0)</f>
        <v>0</v>
      </c>
      <c r="W145" s="675">
        <f>IFERROR(__xludf.DUMMYFUNCTION("""COMPUTED_VALUE"""),0.0)</f>
        <v>0</v>
      </c>
      <c r="X145" s="675">
        <f>IFERROR(__xludf.DUMMYFUNCTION("""COMPUTED_VALUE"""),0.0)</f>
        <v>0</v>
      </c>
      <c r="Y145" s="674">
        <f>IFERROR(__xludf.DUMMYFUNCTION("""COMPUTED_VALUE"""),100.0)</f>
        <v>100</v>
      </c>
      <c r="Z145" s="675">
        <f>IFERROR(__xludf.DUMMYFUNCTION("""COMPUTED_VALUE"""),2.0)</f>
        <v>2</v>
      </c>
      <c r="AA145" s="675">
        <f>IFERROR(__xludf.DUMMYFUNCTION("""COMPUTED_VALUE"""),0.0)</f>
        <v>0</v>
      </c>
      <c r="AB145" s="673">
        <f>IFERROR(__xludf.DUMMYFUNCTION("""COMPUTED_VALUE"""),0.0)</f>
        <v>0</v>
      </c>
      <c r="AC145" s="675">
        <f>IFERROR(__xludf.DUMMYFUNCTION("""COMPUTED_VALUE"""),0.0)</f>
        <v>0</v>
      </c>
      <c r="AD145" s="674">
        <f>IFERROR(__xludf.DUMMYFUNCTION("""COMPUTED_VALUE"""),250.0)</f>
        <v>250</v>
      </c>
      <c r="AE145" s="675">
        <f>IFERROR(__xludf.DUMMYFUNCTION("""COMPUTED_VALUE"""),5.0)</f>
        <v>5</v>
      </c>
      <c r="AF145" s="675">
        <f>IFERROR(__xludf.DUMMYFUNCTION("""COMPUTED_VALUE"""),0.0)</f>
        <v>0</v>
      </c>
      <c r="AG145" s="673">
        <f>IFERROR(__xludf.DUMMYFUNCTION("""COMPUTED_VALUE"""),0.0)</f>
        <v>0</v>
      </c>
      <c r="AH145" s="675">
        <f>IFERROR(__xludf.DUMMYFUNCTION("""COMPUTED_VALUE"""),0.0)</f>
        <v>0</v>
      </c>
      <c r="AI145" s="139" t="str">
        <f>IFERROR(__xludf.DUMMYFUNCTION("""COMPUTED_VALUE"""),"-")</f>
        <v>-</v>
      </c>
      <c r="AJ145" s="675" t="str">
        <f>IFERROR(__xludf.DUMMYFUNCTION("""COMPUTED_VALUE"""),"-")</f>
        <v>-</v>
      </c>
      <c r="AK145" s="139">
        <f>IFERROR(__xludf.DUMMYFUNCTION("""COMPUTED_VALUE"""),0.0)</f>
        <v>0</v>
      </c>
      <c r="AL145" s="674">
        <f>IFERROR(__xludf.DUMMYFUNCTION("""COMPUTED_VALUE"""),0.0)</f>
        <v>0</v>
      </c>
      <c r="AM145" s="688">
        <f>IFERROR(__xludf.DUMMYFUNCTION("""COMPUTED_VALUE"""),0.0)</f>
        <v>0</v>
      </c>
      <c r="AN145" s="675">
        <f>IFERROR(__xludf.DUMMYFUNCTION("""COMPUTED_VALUE"""),0.0)</f>
        <v>0</v>
      </c>
      <c r="AO145" s="675">
        <f>IFERROR(__xludf.DUMMYFUNCTION("""COMPUTED_VALUE"""),0.0)</f>
        <v>0</v>
      </c>
      <c r="AP145" s="674">
        <f>IFERROR(__xludf.DUMMYFUNCTION("""COMPUTED_VALUE"""),0.0)</f>
        <v>0</v>
      </c>
      <c r="AQ145" s="673">
        <f>IFERROR(__xludf.DUMMYFUNCTION("""COMPUTED_VALUE"""),0.9)</f>
        <v>0.9</v>
      </c>
      <c r="AR145" s="673">
        <f>IFERROR(__xludf.DUMMYFUNCTION("""COMPUTED_VALUE"""),0.0)</f>
        <v>0</v>
      </c>
      <c r="AS145" s="673">
        <f>IFERROR(__xludf.DUMMYFUNCTION("""COMPUTED_VALUE"""),0.1)</f>
        <v>0.1</v>
      </c>
      <c r="AT145" s="673">
        <f>IFERROR(__xludf.DUMMYFUNCTION("""COMPUTED_VALUE"""),0.0)</f>
        <v>0</v>
      </c>
      <c r="AU145" s="675">
        <f>IFERROR(__xludf.DUMMYFUNCTION("""COMPUTED_VALUE"""),0.0)</f>
        <v>0</v>
      </c>
      <c r="AV145" s="675">
        <f>IFERROR(__xludf.DUMMYFUNCTION("""COMPUTED_VALUE"""),0.0)</f>
        <v>0</v>
      </c>
      <c r="AW145" s="139"/>
      <c r="AX145" s="674" t="str">
        <f>IFERROR(__xludf.DUMMYFUNCTION("""COMPUTED_VALUE"""),"※通常攻撃範囲を入力！(CD列)")</f>
        <v>※通常攻撃範囲を入力！(CD列)</v>
      </c>
      <c r="AY145" s="688" t="str">
        <f>IFERROR(__xludf.DUMMYFUNCTION("""COMPUTED_VALUE"""),"#VALUE!")</f>
        <v>#VALUE!</v>
      </c>
      <c r="AZ145" s="674" t="str">
        <f>IFERROR(__xludf.DUMMYFUNCTION("""COMPUTED_VALUE"""),"#VALUE!")</f>
        <v>#VALUE!</v>
      </c>
      <c r="BA145" s="688" t="str">
        <f>IFERROR(__xludf.DUMMYFUNCTION("""COMPUTED_VALUE"""),"#VALUE!")</f>
        <v>#VALUE!</v>
      </c>
      <c r="BB145" s="688" t="str">
        <f>IFERROR(__xludf.DUMMYFUNCTION("""COMPUTED_VALUE"""),"-")</f>
        <v>-</v>
      </c>
      <c r="BC145" s="688" t="str">
        <f>IFERROR(__xludf.DUMMYFUNCTION("""COMPUTED_VALUE"""),"#VALUE!")</f>
        <v>#VALUE!</v>
      </c>
      <c r="BD145" s="688" t="str">
        <f>IFERROR(__xludf.DUMMYFUNCTION("""COMPUTED_VALUE"""),"#VALUE!")</f>
        <v>#VALUE!</v>
      </c>
      <c r="BE145" s="674" t="str">
        <f>IFERROR(__xludf.DUMMYFUNCTION("""COMPUTED_VALUE"""),"#VALUE!")</f>
        <v>#VALUE!</v>
      </c>
      <c r="BF145" s="674">
        <f>IFERROR(__xludf.DUMMYFUNCTION("""COMPUTED_VALUE"""),0.0)</f>
        <v>0</v>
      </c>
      <c r="BG145" s="673">
        <f>IFERROR(__xludf.DUMMYFUNCTION("""COMPUTED_VALUE"""),0.0)</f>
        <v>0</v>
      </c>
      <c r="BH145" s="673">
        <f>IFERROR(__xludf.DUMMYFUNCTION("""COMPUTED_VALUE"""),-0.5)</f>
        <v>-0.5</v>
      </c>
      <c r="BI145" s="673">
        <f>IFERROR(__xludf.DUMMYFUNCTION("""COMPUTED_VALUE"""),0.0)</f>
        <v>0</v>
      </c>
      <c r="BJ145" s="673">
        <f>IFERROR(__xludf.DUMMYFUNCTION("""COMPUTED_VALUE"""),0.0)</f>
        <v>0</v>
      </c>
      <c r="BK145" s="673">
        <f>IFERROR(__xludf.DUMMYFUNCTION("""COMPUTED_VALUE"""),0.0)</f>
        <v>0</v>
      </c>
      <c r="BL145" s="673">
        <f>IFERROR(__xludf.DUMMYFUNCTION("""COMPUTED_VALUE"""),0.0)</f>
        <v>0</v>
      </c>
      <c r="BM145" s="674">
        <f>IFERROR(__xludf.DUMMYFUNCTION("""COMPUTED_VALUE"""),100.0)</f>
        <v>100</v>
      </c>
      <c r="BN145" s="674">
        <f>IFERROR(__xludf.DUMMYFUNCTION("""COMPUTED_VALUE"""),100.0)</f>
        <v>100</v>
      </c>
      <c r="BO145" s="675">
        <f>IFERROR(__xludf.DUMMYFUNCTION("""COMPUTED_VALUE"""),0.0)</f>
        <v>0</v>
      </c>
      <c r="BP145" s="675">
        <f>IFERROR(__xludf.DUMMYFUNCTION("""COMPUTED_VALUE"""),2.0)</f>
        <v>2</v>
      </c>
      <c r="BQ145" s="139"/>
      <c r="BR145" s="139">
        <f>IFERROR(__xludf.DUMMYFUNCTION("""COMPUTED_VALUE"""),1.0)</f>
        <v>1</v>
      </c>
      <c r="BS145" s="139" t="str">
        <f>IFERROR(__xludf.DUMMYFUNCTION("""COMPUTED_VALUE"""),"※移動を入力！(BV列)")</f>
        <v>※移動を入力！(BV列)</v>
      </c>
      <c r="BT145" s="139" t="str">
        <f>IFERROR(__xludf.DUMMYFUNCTION("""COMPUTED_VALUE"""),"※攻撃手段を入力(BQ列)")</f>
        <v>※攻撃手段を入力(BQ列)</v>
      </c>
      <c r="BU145" s="139">
        <f>IFERROR(__xludf.DUMMYFUNCTION("""COMPUTED_VALUE"""),0.0)</f>
        <v>0</v>
      </c>
      <c r="BV145" s="139"/>
      <c r="BW145" s="139"/>
      <c r="BX145" s="139" t="str">
        <f>IFERROR(__xludf.DUMMYFUNCTION("""COMPUTED_VALUE"""),"※特性を選択!!(BW列)")</f>
        <v>※特性を選択!!(BW列)</v>
      </c>
      <c r="BY145" s="139">
        <f>IFERROR(__xludf.DUMMYFUNCTION("""COMPUTED_VALUE"""),0.0)</f>
        <v>0</v>
      </c>
      <c r="BZ145" s="139"/>
      <c r="CA145" s="139" t="str">
        <f>IFERROR(__xludf.DUMMYFUNCTION("""COMPUTED_VALUE"""),"※特性を選択!!(BW列)")</f>
        <v>※特性を選択!!(BW列)</v>
      </c>
      <c r="CB145" s="139" t="str">
        <f>IFERROR(__xludf.DUMMYFUNCTION("""COMPUTED_VALUE"""),"-")</f>
        <v>-</v>
      </c>
      <c r="CC145" s="139" t="str">
        <f>IFERROR(__xludf.DUMMYFUNCTION("""COMPUTED_VALUE"""),"近距離")</f>
        <v>近距離</v>
      </c>
      <c r="CD145" s="139"/>
      <c r="CE145" s="139" t="str">
        <f>IFERROR(__xludf.DUMMYFUNCTION("""COMPUTED_VALUE"""),"該当なし")</f>
        <v>該当なし</v>
      </c>
      <c r="CF145" s="139" t="str">
        <f>IFERROR(__xludf.DUMMYFUNCTION("""COMPUTED_VALUE"""),"#VALUE!")</f>
        <v>#VALUE!</v>
      </c>
      <c r="CG145" s="139"/>
      <c r="CH145" s="139"/>
      <c r="CI145" s="139" t="str">
        <f>IFERROR(__xludf.DUMMYFUNCTION("""COMPUTED_VALUE"""),"該当なし")</f>
        <v>該当なし</v>
      </c>
      <c r="CJ145" s="139" t="str">
        <f>IFERROR(__xludf.DUMMYFUNCTION("""COMPUTED_VALUE"""),"#VALUE!")</f>
        <v>#VALUE!</v>
      </c>
      <c r="CK145" s="139"/>
      <c r="CL145" s="139"/>
      <c r="CM145" s="139"/>
      <c r="CN145" s="675">
        <f>IFERROR(__xludf.DUMMYFUNCTION("""COMPUTED_VALUE"""),5.0)</f>
        <v>5</v>
      </c>
      <c r="CO145" s="139" t="str">
        <f>IFERROR(__xludf.DUMMYFUNCTION("""COMPUTED_VALUE"""),"-")</f>
        <v>-</v>
      </c>
      <c r="CP145" s="139" t="str">
        <f>IFERROR(__xludf.DUMMYFUNCTION("""COMPUTED_VALUE"""),"-")</f>
        <v>-</v>
      </c>
      <c r="CQ145" s="139" t="str">
        <f>IFERROR(__xludf.DUMMYFUNCTION("""COMPUTED_VALUE"""),"-")</f>
        <v>-</v>
      </c>
      <c r="CR145" s="139"/>
      <c r="CS145" s="139"/>
      <c r="CT145" s="139"/>
      <c r="CU145" s="139"/>
      <c r="CV145" s="139"/>
      <c r="CW145" s="139"/>
      <c r="CX145" s="674" t="str">
        <f>IFERROR(__xludf.DUMMYFUNCTION("""COMPUTED_VALUE"""),"")</f>
        <v/>
      </c>
      <c r="CY145" s="675" t="str">
        <f>IFERROR(__xludf.DUMMYFUNCTION("""COMPUTED_VALUE"""),"")</f>
        <v/>
      </c>
      <c r="CZ145" s="688" t="str">
        <f>IFERROR(__xludf.DUMMYFUNCTION("""COMPUTED_VALUE"""),"-")</f>
        <v>-</v>
      </c>
      <c r="DA145" s="688">
        <f>IFERROR(__xludf.DUMMYFUNCTION("""COMPUTED_VALUE"""),0.0)</f>
        <v>0</v>
      </c>
      <c r="DB145" s="688">
        <f>IFERROR(__xludf.DUMMYFUNCTION("""COMPUTED_VALUE"""),0.0)</f>
        <v>0</v>
      </c>
      <c r="DC145" s="673" t="str">
        <f>IFERROR(__xludf.DUMMYFUNCTION("""COMPUTED_VALUE"""),"-")</f>
        <v>-</v>
      </c>
      <c r="DD145" s="673" t="str">
        <f>IFERROR(__xludf.DUMMYFUNCTION("""COMPUTED_VALUE"""),"-")</f>
        <v>-</v>
      </c>
      <c r="DE145" s="139" t="str">
        <f>IFERROR(__xludf.DUMMYFUNCTION("""COMPUTED_VALUE"""),"-")</f>
        <v>-</v>
      </c>
      <c r="DF145" s="139" t="str">
        <f>IFERROR(__xludf.DUMMYFUNCTION("""COMPUTED_VALUE"""),"-")</f>
        <v>-</v>
      </c>
      <c r="DG145" s="139" t="str">
        <f>IFERROR(__xludf.DUMMYFUNCTION("""COMPUTED_VALUE"""),"-")</f>
        <v>-</v>
      </c>
      <c r="DH145" s="139" t="str">
        <f>IFERROR(__xludf.DUMMYFUNCTION("""COMPUTED_VALUE"""),"-")</f>
        <v>-</v>
      </c>
      <c r="DI145" s="139" t="str">
        <f>IFERROR(__xludf.DUMMYFUNCTION("""COMPUTED_VALUE"""),"-")</f>
        <v>-</v>
      </c>
      <c r="DJ145" s="139" t="str">
        <f>IFERROR(__xludf.DUMMYFUNCTION("""COMPUTED_VALUE"""),"-")</f>
        <v>-</v>
      </c>
    </row>
    <row r="146">
      <c r="A146" s="139" t="str">
        <f>IFERROR(__xludf.DUMMYFUNCTION("""COMPUTED_VALUE"""),"姫様“拷問”の時間です")</f>
        <v>姫様“拷問”の時間です</v>
      </c>
      <c r="B146" s="139" t="str">
        <f>IFERROR(__xludf.DUMMYFUNCTION("""COMPUTED_VALUE"""),"陰鬼")</f>
        <v>陰鬼</v>
      </c>
      <c r="C146" s="139" t="str">
        <f>IFERROR(__xludf.DUMMYFUNCTION("""COMPUTED_VALUE"""),"chara_gom_00601")</f>
        <v>chara_gom_00601</v>
      </c>
      <c r="D146" s="139" t="str">
        <f>IFERROR(__xludf.DUMMYFUNCTION("""COMPUTED_VALUE"""),"DropSR")</f>
        <v>DropSR</v>
      </c>
      <c r="E146" s="139" t="str">
        <f>IFERROR(__xludf.DUMMYFUNCTION("""COMPUTED_VALUE"""),"赤")</f>
        <v>赤</v>
      </c>
      <c r="F146" s="139" t="str">
        <f>IFERROR(__xludf.DUMMYFUNCTION("""COMPUTED_VALUE"""),"テクニカル")</f>
        <v>テクニカル</v>
      </c>
      <c r="G146" s="139" t="str">
        <f>IFERROR(__xludf.DUMMYFUNCTION("""COMPUTED_VALUE"""),"近距離")</f>
        <v>近距離</v>
      </c>
      <c r="H146" s="139" t="str">
        <f>IFERROR(__xludf.DUMMYFUNCTION("""COMPUTED_VALUE"""),"dageki_2")</f>
        <v>dageki_2</v>
      </c>
      <c r="I146" s="139" t="str">
        <f>IFERROR(__xludf.DUMMYFUNCTION("""COMPUTED_VALUE"""),"dageki_2")</f>
        <v>dageki_2</v>
      </c>
      <c r="J146" s="139" t="str">
        <f>IFERROR(__xludf.DUMMYFUNCTION("""COMPUTED_VALUE"""),"999999999_リリースキー未定")</f>
        <v>999999999_リリースキー未定</v>
      </c>
      <c r="K146" s="139" t="str">
        <f>IFERROR(__xludf.DUMMYFUNCTION("""COMPUTED_VALUE"""),"姫様“拷問”の時間ですいいジャン祭")</f>
        <v>姫様“拷問”の時間ですいいジャン祭</v>
      </c>
      <c r="L146" s="687" t="str">
        <f>IFERROR(__xludf.DUMMYFUNCTION("""COMPUTED_VALUE"""),"※")</f>
        <v>※</v>
      </c>
      <c r="M146" s="674">
        <f>IFERROR(__xludf.DUMMYFUNCTION("""COMPUTED_VALUE"""),0.0)</f>
        <v>0</v>
      </c>
      <c r="N146" s="139">
        <f>IFERROR(__xludf.DUMMYFUNCTION("""COMPUTED_VALUE"""),0.0)</f>
        <v>0</v>
      </c>
      <c r="O146" s="139"/>
      <c r="P146" s="139">
        <f>IFERROR(__xludf.DUMMYFUNCTION("""COMPUTED_VALUE"""),0.0)</f>
        <v>0</v>
      </c>
      <c r="Q146" s="675">
        <f>IFERROR(__xludf.DUMMYFUNCTION("""COMPUTED_VALUE"""),0.0)</f>
        <v>0</v>
      </c>
      <c r="R146" s="675">
        <f>IFERROR(__xludf.DUMMYFUNCTION("""COMPUTED_VALUE"""),0.0)</f>
        <v>0</v>
      </c>
      <c r="S146" s="675">
        <f>IFERROR(__xludf.DUMMYFUNCTION("""COMPUTED_VALUE"""),-2.5)</f>
        <v>-2.5</v>
      </c>
      <c r="T146" s="674">
        <f>IFERROR(__xludf.DUMMYFUNCTION("""COMPUTED_VALUE"""),225.0)</f>
        <v>225</v>
      </c>
      <c r="U146" s="675">
        <f>IFERROR(__xludf.DUMMYFUNCTION("""COMPUTED_VALUE"""),4.5)</f>
        <v>4.5</v>
      </c>
      <c r="V146" s="675">
        <f>IFERROR(__xludf.DUMMYFUNCTION("""COMPUTED_VALUE"""),0.0)</f>
        <v>0</v>
      </c>
      <c r="W146" s="675">
        <f>IFERROR(__xludf.DUMMYFUNCTION("""COMPUTED_VALUE"""),0.0)</f>
        <v>0</v>
      </c>
      <c r="X146" s="675">
        <f>IFERROR(__xludf.DUMMYFUNCTION("""COMPUTED_VALUE"""),0.0)</f>
        <v>0</v>
      </c>
      <c r="Y146" s="674">
        <f>IFERROR(__xludf.DUMMYFUNCTION("""COMPUTED_VALUE"""),100.0)</f>
        <v>100</v>
      </c>
      <c r="Z146" s="675">
        <f>IFERROR(__xludf.DUMMYFUNCTION("""COMPUTED_VALUE"""),2.0)</f>
        <v>2</v>
      </c>
      <c r="AA146" s="675">
        <f>IFERROR(__xludf.DUMMYFUNCTION("""COMPUTED_VALUE"""),0.0)</f>
        <v>0</v>
      </c>
      <c r="AB146" s="673">
        <f>IFERROR(__xludf.DUMMYFUNCTION("""COMPUTED_VALUE"""),0.0)</f>
        <v>0</v>
      </c>
      <c r="AC146" s="675">
        <f>IFERROR(__xludf.DUMMYFUNCTION("""COMPUTED_VALUE"""),0.0)</f>
        <v>0</v>
      </c>
      <c r="AD146" s="674">
        <f>IFERROR(__xludf.DUMMYFUNCTION("""COMPUTED_VALUE"""),250.0)</f>
        <v>250</v>
      </c>
      <c r="AE146" s="675">
        <f>IFERROR(__xludf.DUMMYFUNCTION("""COMPUTED_VALUE"""),5.0)</f>
        <v>5</v>
      </c>
      <c r="AF146" s="675">
        <f>IFERROR(__xludf.DUMMYFUNCTION("""COMPUTED_VALUE"""),0.0)</f>
        <v>0</v>
      </c>
      <c r="AG146" s="673">
        <f>IFERROR(__xludf.DUMMYFUNCTION("""COMPUTED_VALUE"""),0.0)</f>
        <v>0</v>
      </c>
      <c r="AH146" s="675">
        <f>IFERROR(__xludf.DUMMYFUNCTION("""COMPUTED_VALUE"""),0.0)</f>
        <v>0</v>
      </c>
      <c r="AI146" s="139" t="str">
        <f>IFERROR(__xludf.DUMMYFUNCTION("""COMPUTED_VALUE"""),"-")</f>
        <v>-</v>
      </c>
      <c r="AJ146" s="675" t="str">
        <f>IFERROR(__xludf.DUMMYFUNCTION("""COMPUTED_VALUE"""),"-")</f>
        <v>-</v>
      </c>
      <c r="AK146" s="139">
        <f>IFERROR(__xludf.DUMMYFUNCTION("""COMPUTED_VALUE"""),0.0)</f>
        <v>0</v>
      </c>
      <c r="AL146" s="674">
        <f>IFERROR(__xludf.DUMMYFUNCTION("""COMPUTED_VALUE"""),0.0)</f>
        <v>0</v>
      </c>
      <c r="AM146" s="688">
        <f>IFERROR(__xludf.DUMMYFUNCTION("""COMPUTED_VALUE"""),0.0)</f>
        <v>0</v>
      </c>
      <c r="AN146" s="675">
        <f>IFERROR(__xludf.DUMMYFUNCTION("""COMPUTED_VALUE"""),0.0)</f>
        <v>0</v>
      </c>
      <c r="AO146" s="675">
        <f>IFERROR(__xludf.DUMMYFUNCTION("""COMPUTED_VALUE"""),0.0)</f>
        <v>0</v>
      </c>
      <c r="AP146" s="674">
        <f>IFERROR(__xludf.DUMMYFUNCTION("""COMPUTED_VALUE"""),0.0)</f>
        <v>0</v>
      </c>
      <c r="AQ146" s="673">
        <f>IFERROR(__xludf.DUMMYFUNCTION("""COMPUTED_VALUE"""),-0.3)</f>
        <v>-0.3</v>
      </c>
      <c r="AR146" s="673">
        <f>IFERROR(__xludf.DUMMYFUNCTION("""COMPUTED_VALUE"""),0.0)</f>
        <v>0</v>
      </c>
      <c r="AS146" s="673">
        <f>IFERROR(__xludf.DUMMYFUNCTION("""COMPUTED_VALUE"""),0.1)</f>
        <v>0.1</v>
      </c>
      <c r="AT146" s="673">
        <f>IFERROR(__xludf.DUMMYFUNCTION("""COMPUTED_VALUE"""),0.0)</f>
        <v>0</v>
      </c>
      <c r="AU146" s="675">
        <f>IFERROR(__xludf.DUMMYFUNCTION("""COMPUTED_VALUE"""),0.0)</f>
        <v>0</v>
      </c>
      <c r="AV146" s="675">
        <f>IFERROR(__xludf.DUMMYFUNCTION("""COMPUTED_VALUE"""),0.0)</f>
        <v>0</v>
      </c>
      <c r="AW146" s="139"/>
      <c r="AX146" s="674" t="str">
        <f>IFERROR(__xludf.DUMMYFUNCTION("""COMPUTED_VALUE"""),"※通常攻撃範囲を入力！(CD列)")</f>
        <v>※通常攻撃範囲を入力！(CD列)</v>
      </c>
      <c r="AY146" s="688" t="str">
        <f>IFERROR(__xludf.DUMMYFUNCTION("""COMPUTED_VALUE"""),"#VALUE!")</f>
        <v>#VALUE!</v>
      </c>
      <c r="AZ146" s="674" t="str">
        <f>IFERROR(__xludf.DUMMYFUNCTION("""COMPUTED_VALUE"""),"#VALUE!")</f>
        <v>#VALUE!</v>
      </c>
      <c r="BA146" s="688" t="str">
        <f>IFERROR(__xludf.DUMMYFUNCTION("""COMPUTED_VALUE"""),"#VALUE!")</f>
        <v>#VALUE!</v>
      </c>
      <c r="BB146" s="688" t="str">
        <f>IFERROR(__xludf.DUMMYFUNCTION("""COMPUTED_VALUE"""),"-")</f>
        <v>-</v>
      </c>
      <c r="BC146" s="688" t="str">
        <f>IFERROR(__xludf.DUMMYFUNCTION("""COMPUTED_VALUE"""),"#VALUE!")</f>
        <v>#VALUE!</v>
      </c>
      <c r="BD146" s="688" t="str">
        <f>IFERROR(__xludf.DUMMYFUNCTION("""COMPUTED_VALUE"""),"#VALUE!")</f>
        <v>#VALUE!</v>
      </c>
      <c r="BE146" s="674" t="str">
        <f>IFERROR(__xludf.DUMMYFUNCTION("""COMPUTED_VALUE"""),"#VALUE!")</f>
        <v>#VALUE!</v>
      </c>
      <c r="BF146" s="674">
        <f>IFERROR(__xludf.DUMMYFUNCTION("""COMPUTED_VALUE"""),0.0)</f>
        <v>0</v>
      </c>
      <c r="BG146" s="673">
        <f>IFERROR(__xludf.DUMMYFUNCTION("""COMPUTED_VALUE"""),0.0)</f>
        <v>0</v>
      </c>
      <c r="BH146" s="673">
        <f>IFERROR(__xludf.DUMMYFUNCTION("""COMPUTED_VALUE"""),0.1)</f>
        <v>0.1</v>
      </c>
      <c r="BI146" s="673">
        <f>IFERROR(__xludf.DUMMYFUNCTION("""COMPUTED_VALUE"""),0.0)</f>
        <v>0</v>
      </c>
      <c r="BJ146" s="673">
        <f>IFERROR(__xludf.DUMMYFUNCTION("""COMPUTED_VALUE"""),0.0)</f>
        <v>0</v>
      </c>
      <c r="BK146" s="673">
        <f>IFERROR(__xludf.DUMMYFUNCTION("""COMPUTED_VALUE"""),0.0)</f>
        <v>0</v>
      </c>
      <c r="BL146" s="673">
        <f>IFERROR(__xludf.DUMMYFUNCTION("""COMPUTED_VALUE"""),0.2)</f>
        <v>0.2</v>
      </c>
      <c r="BM146" s="674">
        <f>IFERROR(__xludf.DUMMYFUNCTION("""COMPUTED_VALUE"""),50.0)</f>
        <v>50</v>
      </c>
      <c r="BN146" s="674">
        <f>IFERROR(__xludf.DUMMYFUNCTION("""COMPUTED_VALUE"""),50.0)</f>
        <v>50</v>
      </c>
      <c r="BO146" s="675">
        <f>IFERROR(__xludf.DUMMYFUNCTION("""COMPUTED_VALUE"""),0.0)</f>
        <v>0</v>
      </c>
      <c r="BP146" s="675">
        <f>IFERROR(__xludf.DUMMYFUNCTION("""COMPUTED_VALUE"""),1.0)</f>
        <v>1</v>
      </c>
      <c r="BQ146" s="139"/>
      <c r="BR146" s="139">
        <f>IFERROR(__xludf.DUMMYFUNCTION("""COMPUTED_VALUE"""),3.0)</f>
        <v>3</v>
      </c>
      <c r="BS146" s="139" t="str">
        <f>IFERROR(__xludf.DUMMYFUNCTION("""COMPUTED_VALUE"""),"※移動を入力！(BV列)")</f>
        <v>※移動を入力！(BV列)</v>
      </c>
      <c r="BT146" s="139" t="str">
        <f>IFERROR(__xludf.DUMMYFUNCTION("""COMPUTED_VALUE"""),"※攻撃手段を入力(BQ列)")</f>
        <v>※攻撃手段を入力(BQ列)</v>
      </c>
      <c r="BU146" s="139">
        <f>IFERROR(__xludf.DUMMYFUNCTION("""COMPUTED_VALUE"""),0.0)</f>
        <v>0</v>
      </c>
      <c r="BV146" s="139"/>
      <c r="BW146" s="139"/>
      <c r="BX146" s="139" t="str">
        <f>IFERROR(__xludf.DUMMYFUNCTION("""COMPUTED_VALUE"""),"※特性を選択!!(BW列)")</f>
        <v>※特性を選択!!(BW列)</v>
      </c>
      <c r="BY146" s="139">
        <f>IFERROR(__xludf.DUMMYFUNCTION("""COMPUTED_VALUE"""),2.0)</f>
        <v>2</v>
      </c>
      <c r="BZ146" s="139"/>
      <c r="CA146" s="139" t="str">
        <f>IFERROR(__xludf.DUMMYFUNCTION("""COMPUTED_VALUE"""),"※特性を選択!!(BW列)")</f>
        <v>※特性を選択!!(BW列)</v>
      </c>
      <c r="CB146" s="139" t="str">
        <f>IFERROR(__xludf.DUMMYFUNCTION("""COMPUTED_VALUE"""),"-")</f>
        <v>-</v>
      </c>
      <c r="CC146" s="139" t="str">
        <f>IFERROR(__xludf.DUMMYFUNCTION("""COMPUTED_VALUE"""),"近距離")</f>
        <v>近距離</v>
      </c>
      <c r="CD146" s="139"/>
      <c r="CE146" s="139" t="str">
        <f>IFERROR(__xludf.DUMMYFUNCTION("""COMPUTED_VALUE"""),"該当なし")</f>
        <v>該当なし</v>
      </c>
      <c r="CF146" s="139" t="str">
        <f>IFERROR(__xludf.DUMMYFUNCTION("""COMPUTED_VALUE"""),"#VALUE!")</f>
        <v>#VALUE!</v>
      </c>
      <c r="CG146" s="139"/>
      <c r="CH146" s="139"/>
      <c r="CI146" s="139" t="str">
        <f>IFERROR(__xludf.DUMMYFUNCTION("""COMPUTED_VALUE"""),"該当なし")</f>
        <v>該当なし</v>
      </c>
      <c r="CJ146" s="139" t="str">
        <f>IFERROR(__xludf.DUMMYFUNCTION("""COMPUTED_VALUE"""),"#VALUE!")</f>
        <v>#VALUE!</v>
      </c>
      <c r="CK146" s="139"/>
      <c r="CL146" s="139"/>
      <c r="CM146" s="139"/>
      <c r="CN146" s="675">
        <f>IFERROR(__xludf.DUMMYFUNCTION("""COMPUTED_VALUE"""),5.0)</f>
        <v>5</v>
      </c>
      <c r="CO146" s="139" t="str">
        <f>IFERROR(__xludf.DUMMYFUNCTION("""COMPUTED_VALUE"""),"-")</f>
        <v>-</v>
      </c>
      <c r="CP146" s="139" t="str">
        <f>IFERROR(__xludf.DUMMYFUNCTION("""COMPUTED_VALUE"""),"-")</f>
        <v>-</v>
      </c>
      <c r="CQ146" s="139" t="str">
        <f>IFERROR(__xludf.DUMMYFUNCTION("""COMPUTED_VALUE"""),"-")</f>
        <v>-</v>
      </c>
      <c r="CR146" s="139"/>
      <c r="CS146" s="139"/>
      <c r="CT146" s="139"/>
      <c r="CU146" s="139"/>
      <c r="CV146" s="139"/>
      <c r="CW146" s="139"/>
      <c r="CX146" s="674" t="str">
        <f>IFERROR(__xludf.DUMMYFUNCTION("""COMPUTED_VALUE"""),"")</f>
        <v/>
      </c>
      <c r="CY146" s="675" t="str">
        <f>IFERROR(__xludf.DUMMYFUNCTION("""COMPUTED_VALUE"""),"")</f>
        <v/>
      </c>
      <c r="CZ146" s="688" t="str">
        <f>IFERROR(__xludf.DUMMYFUNCTION("""COMPUTED_VALUE"""),"-")</f>
        <v>-</v>
      </c>
      <c r="DA146" s="688">
        <f>IFERROR(__xludf.DUMMYFUNCTION("""COMPUTED_VALUE"""),0.0)</f>
        <v>0</v>
      </c>
      <c r="DB146" s="688">
        <f>IFERROR(__xludf.DUMMYFUNCTION("""COMPUTED_VALUE"""),0.0)</f>
        <v>0</v>
      </c>
      <c r="DC146" s="673" t="str">
        <f>IFERROR(__xludf.DUMMYFUNCTION("""COMPUTED_VALUE"""),"-")</f>
        <v>-</v>
      </c>
      <c r="DD146" s="673" t="str">
        <f>IFERROR(__xludf.DUMMYFUNCTION("""COMPUTED_VALUE"""),"-")</f>
        <v>-</v>
      </c>
      <c r="DE146" s="139" t="str">
        <f>IFERROR(__xludf.DUMMYFUNCTION("""COMPUTED_VALUE"""),"-")</f>
        <v>-</v>
      </c>
      <c r="DF146" s="139" t="str">
        <f>IFERROR(__xludf.DUMMYFUNCTION("""COMPUTED_VALUE"""),"-")</f>
        <v>-</v>
      </c>
      <c r="DG146" s="139" t="str">
        <f>IFERROR(__xludf.DUMMYFUNCTION("""COMPUTED_VALUE"""),"-")</f>
        <v>-</v>
      </c>
      <c r="DH146" s="139" t="str">
        <f>IFERROR(__xludf.DUMMYFUNCTION("""COMPUTED_VALUE"""),"-")</f>
        <v>-</v>
      </c>
      <c r="DI146" s="139" t="str">
        <f>IFERROR(__xludf.DUMMYFUNCTION("""COMPUTED_VALUE"""),"-")</f>
        <v>-</v>
      </c>
      <c r="DJ146" s="139" t="str">
        <f>IFERROR(__xludf.DUMMYFUNCTION("""COMPUTED_VALUE"""),"-")</f>
        <v>-</v>
      </c>
    </row>
    <row r="147">
      <c r="A147" s="139" t="str">
        <f>IFERROR(__xludf.DUMMYFUNCTION("""COMPUTED_VALUE"""),"マリッジトキシン")</f>
        <v>マリッジトキシン</v>
      </c>
      <c r="B147" s="139" t="str">
        <f>IFERROR(__xludf.DUMMYFUNCTION("""COMPUTED_VALUE"""),"(仮)嬉野 シオリ")</f>
        <v>(仮)嬉野 シオリ</v>
      </c>
      <c r="C147" s="139" t="str">
        <f>IFERROR(__xludf.DUMMYFUNCTION("""COMPUTED_VALUE"""),"chara_mar_00301")</f>
        <v>chara_mar_00301</v>
      </c>
      <c r="D147" s="139" t="str">
        <f>IFERROR(__xludf.DUMMYFUNCTION("""COMPUTED_VALUE"""),"DropSR")</f>
        <v>DropSR</v>
      </c>
      <c r="E147" s="139" t="str">
        <f>IFERROR(__xludf.DUMMYFUNCTION("""COMPUTED_VALUE"""),"青")</f>
        <v>青</v>
      </c>
      <c r="F147" s="139" t="str">
        <f>IFERROR(__xludf.DUMMYFUNCTION("""COMPUTED_VALUE"""),"ディフェンス")</f>
        <v>ディフェンス</v>
      </c>
      <c r="G147" s="139" t="str">
        <f>IFERROR(__xludf.DUMMYFUNCTION("""COMPUTED_VALUE"""),"※ID管理未記入")</f>
        <v>※ID管理未記入</v>
      </c>
      <c r="H147" s="139" t="str">
        <f>IFERROR(__xludf.DUMMYFUNCTION("""COMPUTED_VALUE"""),"※ID管理未記入")</f>
        <v>※ID管理未記入</v>
      </c>
      <c r="I147" s="139" t="str">
        <f>IFERROR(__xludf.DUMMYFUNCTION("""COMPUTED_VALUE"""),"※ID管理未記入")</f>
        <v>※ID管理未記入</v>
      </c>
      <c r="J147" s="139" t="str">
        <f>IFERROR(__xludf.DUMMYFUNCTION("""COMPUTED_VALUE"""),"999999999_リリースキー未定")</f>
        <v>999999999_リリースキー未定</v>
      </c>
      <c r="K147" s="139" t="str">
        <f>IFERROR(__xludf.DUMMYFUNCTION("""COMPUTED_VALUE"""),"あやかしトライアングル いいジャン祭")</f>
        <v>あやかしトライアングル いいジャン祭</v>
      </c>
      <c r="L147" s="139" t="str">
        <f>IFERROR(__xludf.DUMMYFUNCTION("""COMPUTED_VALUE"""),"※")</f>
        <v>※</v>
      </c>
      <c r="M147" s="674">
        <f>IFERROR(__xludf.DUMMYFUNCTION("""COMPUTED_VALUE"""),0.0)</f>
        <v>0</v>
      </c>
      <c r="N147" s="139">
        <f>IFERROR(__xludf.DUMMYFUNCTION("""COMPUTED_VALUE"""),0.0)</f>
        <v>0</v>
      </c>
      <c r="O147" s="139"/>
      <c r="P147" s="139">
        <f>IFERROR(__xludf.DUMMYFUNCTION("""COMPUTED_VALUE"""),0.0)</f>
        <v>0</v>
      </c>
      <c r="Q147" s="675">
        <f>IFERROR(__xludf.DUMMYFUNCTION("""COMPUTED_VALUE"""),0.0)</f>
        <v>0</v>
      </c>
      <c r="R147" s="675">
        <f>IFERROR(__xludf.DUMMYFUNCTION("""COMPUTED_VALUE"""),0.0)</f>
        <v>0</v>
      </c>
      <c r="S147" s="675">
        <f>IFERROR(__xludf.DUMMYFUNCTION("""COMPUTED_VALUE"""),-2.5)</f>
        <v>-2.5</v>
      </c>
      <c r="T147" s="674">
        <f>IFERROR(__xludf.DUMMYFUNCTION("""COMPUTED_VALUE"""),225.0)</f>
        <v>225</v>
      </c>
      <c r="U147" s="675">
        <f>IFERROR(__xludf.DUMMYFUNCTION("""COMPUTED_VALUE"""),4.5)</f>
        <v>4.5</v>
      </c>
      <c r="V147" s="675">
        <f>IFERROR(__xludf.DUMMYFUNCTION("""COMPUTED_VALUE"""),0.0)</f>
        <v>0</v>
      </c>
      <c r="W147" s="675">
        <f>IFERROR(__xludf.DUMMYFUNCTION("""COMPUTED_VALUE"""),0.0)</f>
        <v>0</v>
      </c>
      <c r="X147" s="675">
        <f>IFERROR(__xludf.DUMMYFUNCTION("""COMPUTED_VALUE"""),0.0)</f>
        <v>0</v>
      </c>
      <c r="Y147" s="674">
        <f>IFERROR(__xludf.DUMMYFUNCTION("""COMPUTED_VALUE"""),100.0)</f>
        <v>100</v>
      </c>
      <c r="Z147" s="675">
        <f>IFERROR(__xludf.DUMMYFUNCTION("""COMPUTED_VALUE"""),2.0)</f>
        <v>2</v>
      </c>
      <c r="AA147" s="675">
        <f>IFERROR(__xludf.DUMMYFUNCTION("""COMPUTED_VALUE"""),0.0)</f>
        <v>0</v>
      </c>
      <c r="AB147" s="673">
        <f>IFERROR(__xludf.DUMMYFUNCTION("""COMPUTED_VALUE"""),0.0)</f>
        <v>0</v>
      </c>
      <c r="AC147" s="675">
        <f>IFERROR(__xludf.DUMMYFUNCTION("""COMPUTED_VALUE"""),0.0)</f>
        <v>0</v>
      </c>
      <c r="AD147" s="674">
        <f>IFERROR(__xludf.DUMMYFUNCTION("""COMPUTED_VALUE"""),250.0)</f>
        <v>250</v>
      </c>
      <c r="AE147" s="675">
        <f>IFERROR(__xludf.DUMMYFUNCTION("""COMPUTED_VALUE"""),5.0)</f>
        <v>5</v>
      </c>
      <c r="AF147" s="675">
        <f>IFERROR(__xludf.DUMMYFUNCTION("""COMPUTED_VALUE"""),0.0)</f>
        <v>0</v>
      </c>
      <c r="AG147" s="673">
        <f>IFERROR(__xludf.DUMMYFUNCTION("""COMPUTED_VALUE"""),0.0)</f>
        <v>0</v>
      </c>
      <c r="AH147" s="675">
        <f>IFERROR(__xludf.DUMMYFUNCTION("""COMPUTED_VALUE"""),0.0)</f>
        <v>0</v>
      </c>
      <c r="AI147" s="139" t="str">
        <f>IFERROR(__xludf.DUMMYFUNCTION("""COMPUTED_VALUE"""),"-")</f>
        <v>-</v>
      </c>
      <c r="AJ147" s="675" t="str">
        <f>IFERROR(__xludf.DUMMYFUNCTION("""COMPUTED_VALUE"""),"-")</f>
        <v>-</v>
      </c>
      <c r="AK147" s="139">
        <f>IFERROR(__xludf.DUMMYFUNCTION("""COMPUTED_VALUE"""),0.0)</f>
        <v>0</v>
      </c>
      <c r="AL147" s="674">
        <f>IFERROR(__xludf.DUMMYFUNCTION("""COMPUTED_VALUE"""),0.0)</f>
        <v>0</v>
      </c>
      <c r="AM147" s="688">
        <f>IFERROR(__xludf.DUMMYFUNCTION("""COMPUTED_VALUE"""),0.0)</f>
        <v>0</v>
      </c>
      <c r="AN147" s="675">
        <f>IFERROR(__xludf.DUMMYFUNCTION("""COMPUTED_VALUE"""),0.0)</f>
        <v>0</v>
      </c>
      <c r="AO147" s="675">
        <f>IFERROR(__xludf.DUMMYFUNCTION("""COMPUTED_VALUE"""),0.0)</f>
        <v>0</v>
      </c>
      <c r="AP147" s="674">
        <f>IFERROR(__xludf.DUMMYFUNCTION("""COMPUTED_VALUE"""),0.0)</f>
        <v>0</v>
      </c>
      <c r="AQ147" s="673">
        <f>IFERROR(__xludf.DUMMYFUNCTION("""COMPUTED_VALUE"""),0.9)</f>
        <v>0.9</v>
      </c>
      <c r="AR147" s="673">
        <f>IFERROR(__xludf.DUMMYFUNCTION("""COMPUTED_VALUE"""),0.0)</f>
        <v>0</v>
      </c>
      <c r="AS147" s="673">
        <f>IFERROR(__xludf.DUMMYFUNCTION("""COMPUTED_VALUE"""),0.0)</f>
        <v>0</v>
      </c>
      <c r="AT147" s="673">
        <f>IFERROR(__xludf.DUMMYFUNCTION("""COMPUTED_VALUE"""),0.0)</f>
        <v>0</v>
      </c>
      <c r="AU147" s="675">
        <f>IFERROR(__xludf.DUMMYFUNCTION("""COMPUTED_VALUE"""),0.0)</f>
        <v>0</v>
      </c>
      <c r="AV147" s="675">
        <f>IFERROR(__xludf.DUMMYFUNCTION("""COMPUTED_VALUE"""),0.0)</f>
        <v>0</v>
      </c>
      <c r="AW147" s="139"/>
      <c r="AX147" s="674" t="str">
        <f>IFERROR(__xludf.DUMMYFUNCTION("""COMPUTED_VALUE"""),"※通常攻撃範囲を入力！(CD列)")</f>
        <v>※通常攻撃範囲を入力！(CD列)</v>
      </c>
      <c r="AY147" s="688" t="str">
        <f>IFERROR(__xludf.DUMMYFUNCTION("""COMPUTED_VALUE"""),"#VALUE!")</f>
        <v>#VALUE!</v>
      </c>
      <c r="AZ147" s="674" t="str">
        <f>IFERROR(__xludf.DUMMYFUNCTION("""COMPUTED_VALUE"""),"#VALUE!")</f>
        <v>#VALUE!</v>
      </c>
      <c r="BA147" s="688" t="str">
        <f>IFERROR(__xludf.DUMMYFUNCTION("""COMPUTED_VALUE"""),"#VALUE!")</f>
        <v>#VALUE!</v>
      </c>
      <c r="BB147" s="688" t="str">
        <f>IFERROR(__xludf.DUMMYFUNCTION("""COMPUTED_VALUE"""),"-")</f>
        <v>-</v>
      </c>
      <c r="BC147" s="688" t="str">
        <f>IFERROR(__xludf.DUMMYFUNCTION("""COMPUTED_VALUE"""),"#VALUE!")</f>
        <v>#VALUE!</v>
      </c>
      <c r="BD147" s="688" t="str">
        <f>IFERROR(__xludf.DUMMYFUNCTION("""COMPUTED_VALUE"""),"#VALUE!")</f>
        <v>#VALUE!</v>
      </c>
      <c r="BE147" s="674" t="str">
        <f>IFERROR(__xludf.DUMMYFUNCTION("""COMPUTED_VALUE"""),"#VALUE!")</f>
        <v>#VALUE!</v>
      </c>
      <c r="BF147" s="674">
        <f>IFERROR(__xludf.DUMMYFUNCTION("""COMPUTED_VALUE"""),0.0)</f>
        <v>0</v>
      </c>
      <c r="BG147" s="673">
        <f>IFERROR(__xludf.DUMMYFUNCTION("""COMPUTED_VALUE"""),0.0)</f>
        <v>0</v>
      </c>
      <c r="BH147" s="673">
        <f>IFERROR(__xludf.DUMMYFUNCTION("""COMPUTED_VALUE"""),-0.5)</f>
        <v>-0.5</v>
      </c>
      <c r="BI147" s="673">
        <f>IFERROR(__xludf.DUMMYFUNCTION("""COMPUTED_VALUE"""),0.0)</f>
        <v>0</v>
      </c>
      <c r="BJ147" s="673">
        <f>IFERROR(__xludf.DUMMYFUNCTION("""COMPUTED_VALUE"""),0.0)</f>
        <v>0</v>
      </c>
      <c r="BK147" s="673">
        <f>IFERROR(__xludf.DUMMYFUNCTION("""COMPUTED_VALUE"""),0.0)</f>
        <v>0</v>
      </c>
      <c r="BL147" s="673">
        <f>IFERROR(__xludf.DUMMYFUNCTION("""COMPUTED_VALUE"""),0.0)</f>
        <v>0</v>
      </c>
      <c r="BM147" s="674">
        <f>IFERROR(__xludf.DUMMYFUNCTION("""COMPUTED_VALUE"""),0.0)</f>
        <v>0</v>
      </c>
      <c r="BN147" s="674">
        <f>IFERROR(__xludf.DUMMYFUNCTION("""COMPUTED_VALUE"""),0.0)</f>
        <v>0</v>
      </c>
      <c r="BO147" s="675">
        <f>IFERROR(__xludf.DUMMYFUNCTION("""COMPUTED_VALUE"""),0.0)</f>
        <v>0</v>
      </c>
      <c r="BP147" s="675">
        <f>IFERROR(__xludf.DUMMYFUNCTION("""COMPUTED_VALUE"""),0.0)</f>
        <v>0</v>
      </c>
      <c r="BQ147" s="139"/>
      <c r="BR147" s="139">
        <f>IFERROR(__xludf.DUMMYFUNCTION("""COMPUTED_VALUE"""),1.0)</f>
        <v>1</v>
      </c>
      <c r="BS147" s="139" t="str">
        <f>IFERROR(__xludf.DUMMYFUNCTION("""COMPUTED_VALUE"""),"※移動を入力！(BV列)")</f>
        <v>※移動を入力！(BV列)</v>
      </c>
      <c r="BT147" s="139" t="str">
        <f>IFERROR(__xludf.DUMMYFUNCTION("""COMPUTED_VALUE"""),"※攻撃手段を入力(BQ列)")</f>
        <v>※攻撃手段を入力(BQ列)</v>
      </c>
      <c r="BU147" s="139">
        <f>IFERROR(__xludf.DUMMYFUNCTION("""COMPUTED_VALUE"""),0.0)</f>
        <v>0</v>
      </c>
      <c r="BV147" s="139"/>
      <c r="BW147" s="139"/>
      <c r="BX147" s="139" t="str">
        <f>IFERROR(__xludf.DUMMYFUNCTION("""COMPUTED_VALUE"""),"※特性を選択!!(BW列)")</f>
        <v>※特性を選択!!(BW列)</v>
      </c>
      <c r="BY147" s="139">
        <f>IFERROR(__xludf.DUMMYFUNCTION("""COMPUTED_VALUE"""),2.0)</f>
        <v>2</v>
      </c>
      <c r="BZ147" s="139"/>
      <c r="CA147" s="139" t="str">
        <f>IFERROR(__xludf.DUMMYFUNCTION("""COMPUTED_VALUE"""),"※特性を選択!!(BW列)")</f>
        <v>※特性を選択!!(BW列)</v>
      </c>
      <c r="CB147" s="139" t="str">
        <f>IFERROR(__xludf.DUMMYFUNCTION("""COMPUTED_VALUE"""),"-")</f>
        <v>-</v>
      </c>
      <c r="CC147" s="139" t="str">
        <f>IFERROR(__xludf.DUMMYFUNCTION("""COMPUTED_VALUE"""),"※ID管理未記入")</f>
        <v>※ID管理未記入</v>
      </c>
      <c r="CD147" s="139"/>
      <c r="CE147" s="139" t="str">
        <f>IFERROR(__xludf.DUMMYFUNCTION("""COMPUTED_VALUE"""),"該当なし")</f>
        <v>該当なし</v>
      </c>
      <c r="CF147" s="139" t="str">
        <f>IFERROR(__xludf.DUMMYFUNCTION("""COMPUTED_VALUE"""),"#VALUE!")</f>
        <v>#VALUE!</v>
      </c>
      <c r="CG147" s="139"/>
      <c r="CH147" s="139"/>
      <c r="CI147" s="139" t="str">
        <f>IFERROR(__xludf.DUMMYFUNCTION("""COMPUTED_VALUE"""),"該当なし")</f>
        <v>該当なし</v>
      </c>
      <c r="CJ147" s="139" t="str">
        <f>IFERROR(__xludf.DUMMYFUNCTION("""COMPUTED_VALUE"""),"#VALUE!")</f>
        <v>#VALUE!</v>
      </c>
      <c r="CK147" s="139"/>
      <c r="CL147" s="139"/>
      <c r="CM147" s="139"/>
      <c r="CN147" s="675">
        <f>IFERROR(__xludf.DUMMYFUNCTION("""COMPUTED_VALUE"""),5.0)</f>
        <v>5</v>
      </c>
      <c r="CO147" s="139" t="str">
        <f>IFERROR(__xludf.DUMMYFUNCTION("""COMPUTED_VALUE"""),"-")</f>
        <v>-</v>
      </c>
      <c r="CP147" s="139" t="str">
        <f>IFERROR(__xludf.DUMMYFUNCTION("""COMPUTED_VALUE"""),"-")</f>
        <v>-</v>
      </c>
      <c r="CQ147" s="139" t="str">
        <f>IFERROR(__xludf.DUMMYFUNCTION("""COMPUTED_VALUE"""),"-")</f>
        <v>-</v>
      </c>
      <c r="CR147" s="139"/>
      <c r="CS147" s="139"/>
      <c r="CT147" s="139"/>
      <c r="CU147" s="139"/>
      <c r="CV147" s="139"/>
      <c r="CW147" s="139"/>
      <c r="CX147" s="674" t="str">
        <f>IFERROR(__xludf.DUMMYFUNCTION("""COMPUTED_VALUE"""),"")</f>
        <v/>
      </c>
      <c r="CY147" s="675" t="str">
        <f>IFERROR(__xludf.DUMMYFUNCTION("""COMPUTED_VALUE"""),"")</f>
        <v/>
      </c>
      <c r="CZ147" s="688" t="str">
        <f>IFERROR(__xludf.DUMMYFUNCTION("""COMPUTED_VALUE"""),"-")</f>
        <v>-</v>
      </c>
      <c r="DA147" s="688">
        <f>IFERROR(__xludf.DUMMYFUNCTION("""COMPUTED_VALUE"""),0.0)</f>
        <v>0</v>
      </c>
      <c r="DB147" s="688">
        <f>IFERROR(__xludf.DUMMYFUNCTION("""COMPUTED_VALUE"""),0.0)</f>
        <v>0</v>
      </c>
      <c r="DC147" s="673" t="str">
        <f>IFERROR(__xludf.DUMMYFUNCTION("""COMPUTED_VALUE"""),"-")</f>
        <v>-</v>
      </c>
      <c r="DD147" s="673" t="str">
        <f>IFERROR(__xludf.DUMMYFUNCTION("""COMPUTED_VALUE"""),"-")</f>
        <v>-</v>
      </c>
      <c r="DE147" s="139" t="str">
        <f>IFERROR(__xludf.DUMMYFUNCTION("""COMPUTED_VALUE"""),"-")</f>
        <v>-</v>
      </c>
      <c r="DF147" s="139" t="str">
        <f>IFERROR(__xludf.DUMMYFUNCTION("""COMPUTED_VALUE"""),"-")</f>
        <v>-</v>
      </c>
      <c r="DG147" s="139" t="str">
        <f>IFERROR(__xludf.DUMMYFUNCTION("""COMPUTED_VALUE"""),"-")</f>
        <v>-</v>
      </c>
      <c r="DH147" s="139" t="str">
        <f>IFERROR(__xludf.DUMMYFUNCTION("""COMPUTED_VALUE"""),"-")</f>
        <v>-</v>
      </c>
      <c r="DI147" s="139" t="str">
        <f>IFERROR(__xludf.DUMMYFUNCTION("""COMPUTED_VALUE"""),"-")</f>
        <v>-</v>
      </c>
      <c r="DJ147" s="139" t="str">
        <f>IFERROR(__xludf.DUMMYFUNCTION("""COMPUTED_VALUE"""),"-")</f>
        <v>-</v>
      </c>
    </row>
    <row r="148">
      <c r="A148" s="139" t="str">
        <f>IFERROR(__xludf.DUMMYFUNCTION("""COMPUTED_VALUE"""),"ルリドラゴン")</f>
        <v>ルリドラゴン</v>
      </c>
      <c r="B148" s="139" t="str">
        <f>IFERROR(__xludf.DUMMYFUNCTION("""COMPUTED_VALUE"""),"監修NG")</f>
        <v>監修NG</v>
      </c>
      <c r="C148" s="139" t="str">
        <f>IFERROR(__xludf.DUMMYFUNCTION("""COMPUTED_VALUE"""),"chara_rur_00001")</f>
        <v>chara_rur_00001</v>
      </c>
      <c r="D148" s="139" t="str">
        <f>IFERROR(__xludf.DUMMYFUNCTION("""COMPUTED_VALUE"""),"PremiumUR")</f>
        <v>PremiumUR</v>
      </c>
      <c r="E148" s="139" t="str">
        <f>IFERROR(__xludf.DUMMYFUNCTION("""COMPUTED_VALUE"""),"青")</f>
        <v>青</v>
      </c>
      <c r="F148" s="139" t="str">
        <f>IFERROR(__xludf.DUMMYFUNCTION("""COMPUTED_VALUE"""),"テクニカル")</f>
        <v>テクニカル</v>
      </c>
      <c r="G148" s="139" t="str">
        <f>IFERROR(__xludf.DUMMYFUNCTION("""COMPUTED_VALUE"""),"※ID管理未記入")</f>
        <v>※ID管理未記入</v>
      </c>
      <c r="H148" s="139" t="str">
        <f>IFERROR(__xludf.DUMMYFUNCTION("""COMPUTED_VALUE"""),"※ID管理未記入")</f>
        <v>※ID管理未記入</v>
      </c>
      <c r="I148" s="139" t="str">
        <f>IFERROR(__xludf.DUMMYFUNCTION("""COMPUTED_VALUE"""),"※ID管理未記入")</f>
        <v>※ID管理未記入</v>
      </c>
      <c r="J148" s="139" t="str">
        <f>IFERROR(__xludf.DUMMYFUNCTION("""COMPUTED_VALUE"""),"オミット")</f>
        <v>オミット</v>
      </c>
      <c r="K148" s="139" t="str">
        <f>IFERROR(__xludf.DUMMYFUNCTION("""COMPUTED_VALUE"""),"ハーフアニバーサリー")</f>
        <v>ハーフアニバーサリー</v>
      </c>
      <c r="L148" s="139" t="str">
        <f>IFERROR(__xludf.DUMMYFUNCTION("""COMPUTED_VALUE"""),"※")</f>
        <v>※</v>
      </c>
      <c r="M148" s="674">
        <f>IFERROR(__xludf.DUMMYFUNCTION("""COMPUTED_VALUE"""),0.0)</f>
        <v>0</v>
      </c>
      <c r="N148" s="139">
        <f>IFERROR(__xludf.DUMMYFUNCTION("""COMPUTED_VALUE"""),0.0)</f>
        <v>0</v>
      </c>
      <c r="O148" s="139"/>
      <c r="P148" s="139">
        <f>IFERROR(__xludf.DUMMYFUNCTION("""COMPUTED_VALUE"""),0.0)</f>
        <v>0</v>
      </c>
      <c r="Q148" s="675">
        <f>IFERROR(__xludf.DUMMYFUNCTION("""COMPUTED_VALUE"""),0.0)</f>
        <v>0</v>
      </c>
      <c r="R148" s="675">
        <f>IFERROR(__xludf.DUMMYFUNCTION("""COMPUTED_VALUE"""),0.0)</f>
        <v>0</v>
      </c>
      <c r="S148" s="675">
        <f>IFERROR(__xludf.DUMMYFUNCTION("""COMPUTED_VALUE"""),-2.5)</f>
        <v>-2.5</v>
      </c>
      <c r="T148" s="674">
        <f>IFERROR(__xludf.DUMMYFUNCTION("""COMPUTED_VALUE"""),225.0)</f>
        <v>225</v>
      </c>
      <c r="U148" s="675">
        <f>IFERROR(__xludf.DUMMYFUNCTION("""COMPUTED_VALUE"""),4.5)</f>
        <v>4.5</v>
      </c>
      <c r="V148" s="675">
        <f>IFERROR(__xludf.DUMMYFUNCTION("""COMPUTED_VALUE"""),0.0)</f>
        <v>0</v>
      </c>
      <c r="W148" s="675">
        <f>IFERROR(__xludf.DUMMYFUNCTION("""COMPUTED_VALUE"""),0.0)</f>
        <v>0</v>
      </c>
      <c r="X148" s="675">
        <f>IFERROR(__xludf.DUMMYFUNCTION("""COMPUTED_VALUE"""),0.0)</f>
        <v>0</v>
      </c>
      <c r="Y148" s="674">
        <f>IFERROR(__xludf.DUMMYFUNCTION("""COMPUTED_VALUE"""),100.0)</f>
        <v>100</v>
      </c>
      <c r="Z148" s="675">
        <f>IFERROR(__xludf.DUMMYFUNCTION("""COMPUTED_VALUE"""),2.0)</f>
        <v>2</v>
      </c>
      <c r="AA148" s="675">
        <f>IFERROR(__xludf.DUMMYFUNCTION("""COMPUTED_VALUE"""),0.0)</f>
        <v>0</v>
      </c>
      <c r="AB148" s="673">
        <f>IFERROR(__xludf.DUMMYFUNCTION("""COMPUTED_VALUE"""),0.0)</f>
        <v>0</v>
      </c>
      <c r="AC148" s="675">
        <f>IFERROR(__xludf.DUMMYFUNCTION("""COMPUTED_VALUE"""),0.0)</f>
        <v>0</v>
      </c>
      <c r="AD148" s="674">
        <f>IFERROR(__xludf.DUMMYFUNCTION("""COMPUTED_VALUE"""),250.0)</f>
        <v>250</v>
      </c>
      <c r="AE148" s="675">
        <f>IFERROR(__xludf.DUMMYFUNCTION("""COMPUTED_VALUE"""),5.0)</f>
        <v>5</v>
      </c>
      <c r="AF148" s="675">
        <f>IFERROR(__xludf.DUMMYFUNCTION("""COMPUTED_VALUE"""),0.0)</f>
        <v>0</v>
      </c>
      <c r="AG148" s="673">
        <f>IFERROR(__xludf.DUMMYFUNCTION("""COMPUTED_VALUE"""),0.0)</f>
        <v>0</v>
      </c>
      <c r="AH148" s="675">
        <f>IFERROR(__xludf.DUMMYFUNCTION("""COMPUTED_VALUE"""),0.0)</f>
        <v>0</v>
      </c>
      <c r="AI148" s="139" t="str">
        <f>IFERROR(__xludf.DUMMYFUNCTION("""COMPUTED_VALUE"""),"-")</f>
        <v>-</v>
      </c>
      <c r="AJ148" s="675" t="str">
        <f>IFERROR(__xludf.DUMMYFUNCTION("""COMPUTED_VALUE"""),"-")</f>
        <v>-</v>
      </c>
      <c r="AK148" s="139">
        <f>IFERROR(__xludf.DUMMYFUNCTION("""COMPUTED_VALUE"""),0.0)</f>
        <v>0</v>
      </c>
      <c r="AL148" s="674">
        <f>IFERROR(__xludf.DUMMYFUNCTION("""COMPUTED_VALUE"""),0.0)</f>
        <v>0</v>
      </c>
      <c r="AM148" s="688">
        <f>IFERROR(__xludf.DUMMYFUNCTION("""COMPUTED_VALUE"""),0.0)</f>
        <v>0</v>
      </c>
      <c r="AN148" s="675">
        <f>IFERROR(__xludf.DUMMYFUNCTION("""COMPUTED_VALUE"""),0.0)</f>
        <v>0</v>
      </c>
      <c r="AO148" s="675">
        <f>IFERROR(__xludf.DUMMYFUNCTION("""COMPUTED_VALUE"""),0.0)</f>
        <v>0</v>
      </c>
      <c r="AP148" s="674">
        <f>IFERROR(__xludf.DUMMYFUNCTION("""COMPUTED_VALUE"""),0.0)</f>
        <v>0</v>
      </c>
      <c r="AQ148" s="673">
        <f>IFERROR(__xludf.DUMMYFUNCTION("""COMPUTED_VALUE"""),-0.3)</f>
        <v>-0.3</v>
      </c>
      <c r="AR148" s="673">
        <f>IFERROR(__xludf.DUMMYFUNCTION("""COMPUTED_VALUE"""),0.0)</f>
        <v>0</v>
      </c>
      <c r="AS148" s="673">
        <f>IFERROR(__xludf.DUMMYFUNCTION("""COMPUTED_VALUE"""),0.0)</f>
        <v>0</v>
      </c>
      <c r="AT148" s="673">
        <f>IFERROR(__xludf.DUMMYFUNCTION("""COMPUTED_VALUE"""),0.0)</f>
        <v>0</v>
      </c>
      <c r="AU148" s="675">
        <f>IFERROR(__xludf.DUMMYFUNCTION("""COMPUTED_VALUE"""),0.0)</f>
        <v>0</v>
      </c>
      <c r="AV148" s="675">
        <f>IFERROR(__xludf.DUMMYFUNCTION("""COMPUTED_VALUE"""),0.0)</f>
        <v>0</v>
      </c>
      <c r="AW148" s="139"/>
      <c r="AX148" s="674" t="str">
        <f>IFERROR(__xludf.DUMMYFUNCTION("""COMPUTED_VALUE"""),"※通常攻撃範囲を入力！(CD列)")</f>
        <v>※通常攻撃範囲を入力！(CD列)</v>
      </c>
      <c r="AY148" s="688" t="str">
        <f>IFERROR(__xludf.DUMMYFUNCTION("""COMPUTED_VALUE"""),"#VALUE!")</f>
        <v>#VALUE!</v>
      </c>
      <c r="AZ148" s="674" t="str">
        <f>IFERROR(__xludf.DUMMYFUNCTION("""COMPUTED_VALUE"""),"#VALUE!")</f>
        <v>#VALUE!</v>
      </c>
      <c r="BA148" s="688" t="str">
        <f>IFERROR(__xludf.DUMMYFUNCTION("""COMPUTED_VALUE"""),"#VALUE!")</f>
        <v>#VALUE!</v>
      </c>
      <c r="BB148" s="688" t="str">
        <f>IFERROR(__xludf.DUMMYFUNCTION("""COMPUTED_VALUE"""),"-")</f>
        <v>-</v>
      </c>
      <c r="BC148" s="688" t="str">
        <f>IFERROR(__xludf.DUMMYFUNCTION("""COMPUTED_VALUE"""),"#VALUE!")</f>
        <v>#VALUE!</v>
      </c>
      <c r="BD148" s="688" t="str">
        <f>IFERROR(__xludf.DUMMYFUNCTION("""COMPUTED_VALUE"""),"#VALUE!")</f>
        <v>#VALUE!</v>
      </c>
      <c r="BE148" s="674" t="str">
        <f>IFERROR(__xludf.DUMMYFUNCTION("""COMPUTED_VALUE"""),"#VALUE!")</f>
        <v>#VALUE!</v>
      </c>
      <c r="BF148" s="674">
        <f>IFERROR(__xludf.DUMMYFUNCTION("""COMPUTED_VALUE"""),0.0)</f>
        <v>0</v>
      </c>
      <c r="BG148" s="673">
        <f>IFERROR(__xludf.DUMMYFUNCTION("""COMPUTED_VALUE"""),0.0)</f>
        <v>0</v>
      </c>
      <c r="BH148" s="673">
        <f>IFERROR(__xludf.DUMMYFUNCTION("""COMPUTED_VALUE"""),0.1)</f>
        <v>0.1</v>
      </c>
      <c r="BI148" s="673">
        <f>IFERROR(__xludf.DUMMYFUNCTION("""COMPUTED_VALUE"""),0.0)</f>
        <v>0</v>
      </c>
      <c r="BJ148" s="673">
        <f>IFERROR(__xludf.DUMMYFUNCTION("""COMPUTED_VALUE"""),0.0)</f>
        <v>0</v>
      </c>
      <c r="BK148" s="673">
        <f>IFERROR(__xludf.DUMMYFUNCTION("""COMPUTED_VALUE"""),0.0)</f>
        <v>0</v>
      </c>
      <c r="BL148" s="673">
        <f>IFERROR(__xludf.DUMMYFUNCTION("""COMPUTED_VALUE"""),0.0)</f>
        <v>0</v>
      </c>
      <c r="BM148" s="674">
        <f>IFERROR(__xludf.DUMMYFUNCTION("""COMPUTED_VALUE"""),0.0)</f>
        <v>0</v>
      </c>
      <c r="BN148" s="674">
        <f>IFERROR(__xludf.DUMMYFUNCTION("""COMPUTED_VALUE"""),0.0)</f>
        <v>0</v>
      </c>
      <c r="BO148" s="675">
        <f>IFERROR(__xludf.DUMMYFUNCTION("""COMPUTED_VALUE"""),0.0)</f>
        <v>0</v>
      </c>
      <c r="BP148" s="675">
        <f>IFERROR(__xludf.DUMMYFUNCTION("""COMPUTED_VALUE"""),0.0)</f>
        <v>0</v>
      </c>
      <c r="BQ148" s="139"/>
      <c r="BR148" s="139">
        <f>IFERROR(__xludf.DUMMYFUNCTION("""COMPUTED_VALUE"""),3.0)</f>
        <v>3</v>
      </c>
      <c r="BS148" s="139" t="str">
        <f>IFERROR(__xludf.DUMMYFUNCTION("""COMPUTED_VALUE"""),"※移動を入力！(BV列)")</f>
        <v>※移動を入力！(BV列)</v>
      </c>
      <c r="BT148" s="139" t="str">
        <f>IFERROR(__xludf.DUMMYFUNCTION("""COMPUTED_VALUE"""),"※攻撃手段を入力(BQ列)")</f>
        <v>※攻撃手段を入力(BQ列)</v>
      </c>
      <c r="BU148" s="139">
        <f>IFERROR(__xludf.DUMMYFUNCTION("""COMPUTED_VALUE"""),0.0)</f>
        <v>0</v>
      </c>
      <c r="BV148" s="139"/>
      <c r="BW148" s="139"/>
      <c r="BX148" s="139" t="str">
        <f>IFERROR(__xludf.DUMMYFUNCTION("""COMPUTED_VALUE"""),"※特性を選択!!(BW列)")</f>
        <v>※特性を選択!!(BW列)</v>
      </c>
      <c r="BY148" s="139">
        <f>IFERROR(__xludf.DUMMYFUNCTION("""COMPUTED_VALUE"""),0.0)</f>
        <v>0</v>
      </c>
      <c r="BZ148" s="139"/>
      <c r="CA148" s="139" t="str">
        <f>IFERROR(__xludf.DUMMYFUNCTION("""COMPUTED_VALUE"""),"※特性を選択!!(BW列)")</f>
        <v>※特性を選択!!(BW列)</v>
      </c>
      <c r="CB148" s="139">
        <f>IFERROR(__xludf.DUMMYFUNCTION("""COMPUTED_VALUE"""),4.0)</f>
        <v>4</v>
      </c>
      <c r="CC148" s="139" t="str">
        <f>IFERROR(__xludf.DUMMYFUNCTION("""COMPUTED_VALUE"""),"※ID管理未記入")</f>
        <v>※ID管理未記入</v>
      </c>
      <c r="CD148" s="139"/>
      <c r="CE148" s="139" t="str">
        <f>IFERROR(__xludf.DUMMYFUNCTION("""COMPUTED_VALUE"""),"該当なし")</f>
        <v>該当なし</v>
      </c>
      <c r="CF148" s="139" t="str">
        <f>IFERROR(__xludf.DUMMYFUNCTION("""COMPUTED_VALUE"""),"#VALUE!")</f>
        <v>#VALUE!</v>
      </c>
      <c r="CG148" s="139"/>
      <c r="CH148" s="139"/>
      <c r="CI148" s="139" t="str">
        <f>IFERROR(__xludf.DUMMYFUNCTION("""COMPUTED_VALUE"""),"該当なし")</f>
        <v>該当なし</v>
      </c>
      <c r="CJ148" s="139" t="str">
        <f>IFERROR(__xludf.DUMMYFUNCTION("""COMPUTED_VALUE"""),"#VALUE!")</f>
        <v>#VALUE!</v>
      </c>
      <c r="CK148" s="139"/>
      <c r="CL148" s="139"/>
      <c r="CM148" s="139"/>
      <c r="CN148" s="675">
        <f>IFERROR(__xludf.DUMMYFUNCTION("""COMPUTED_VALUE"""),5.0)</f>
        <v>5</v>
      </c>
      <c r="CO148" s="139" t="str">
        <f>IFERROR(__xludf.DUMMYFUNCTION("""COMPUTED_VALUE"""),"-")</f>
        <v>-</v>
      </c>
      <c r="CP148" s="139" t="str">
        <f>IFERROR(__xludf.DUMMYFUNCTION("""COMPUTED_VALUE"""),"-")</f>
        <v>-</v>
      </c>
      <c r="CQ148" s="139" t="str">
        <f>IFERROR(__xludf.DUMMYFUNCTION("""COMPUTED_VALUE"""),"-")</f>
        <v>-</v>
      </c>
      <c r="CR148" s="139"/>
      <c r="CS148" s="139"/>
      <c r="CT148" s="139"/>
      <c r="CU148" s="139"/>
      <c r="CV148" s="139"/>
      <c r="CW148" s="139"/>
      <c r="CX148" s="674" t="str">
        <f>IFERROR(__xludf.DUMMYFUNCTION("""COMPUTED_VALUE"""),"")</f>
        <v/>
      </c>
      <c r="CY148" s="675" t="str">
        <f>IFERROR(__xludf.DUMMYFUNCTION("""COMPUTED_VALUE"""),"")</f>
        <v/>
      </c>
      <c r="CZ148" s="688" t="str">
        <f>IFERROR(__xludf.DUMMYFUNCTION("""COMPUTED_VALUE"""),"-")</f>
        <v>-</v>
      </c>
      <c r="DA148" s="688">
        <f>IFERROR(__xludf.DUMMYFUNCTION("""COMPUTED_VALUE"""),0.0)</f>
        <v>0</v>
      </c>
      <c r="DB148" s="688">
        <f>IFERROR(__xludf.DUMMYFUNCTION("""COMPUTED_VALUE"""),0.0)</f>
        <v>0</v>
      </c>
      <c r="DC148" s="673" t="str">
        <f>IFERROR(__xludf.DUMMYFUNCTION("""COMPUTED_VALUE"""),"-")</f>
        <v>-</v>
      </c>
      <c r="DD148" s="673" t="str">
        <f>IFERROR(__xludf.DUMMYFUNCTION("""COMPUTED_VALUE"""),"-")</f>
        <v>-</v>
      </c>
      <c r="DE148" s="139" t="str">
        <f>IFERROR(__xludf.DUMMYFUNCTION("""COMPUTED_VALUE"""),"-")</f>
        <v>-</v>
      </c>
      <c r="DF148" s="139" t="str">
        <f>IFERROR(__xludf.DUMMYFUNCTION("""COMPUTED_VALUE"""),"-")</f>
        <v>-</v>
      </c>
      <c r="DG148" s="139" t="str">
        <f>IFERROR(__xludf.DUMMYFUNCTION("""COMPUTED_VALUE"""),"-")</f>
        <v>-</v>
      </c>
      <c r="DH148" s="139" t="str">
        <f>IFERROR(__xludf.DUMMYFUNCTION("""COMPUTED_VALUE"""),"-")</f>
        <v>-</v>
      </c>
      <c r="DI148" s="139" t="str">
        <f>IFERROR(__xludf.DUMMYFUNCTION("""COMPUTED_VALUE"""),"-")</f>
        <v>-</v>
      </c>
      <c r="DJ148" s="139" t="str">
        <f>IFERROR(__xludf.DUMMYFUNCTION("""COMPUTED_VALUE"""),"-")</f>
        <v>-</v>
      </c>
    </row>
    <row r="149">
      <c r="A149" s="139" t="str">
        <f>IFERROR(__xludf.DUMMYFUNCTION("""COMPUTED_VALUE"""),"クソ女に幸あれ")</f>
        <v>クソ女に幸あれ</v>
      </c>
      <c r="B149" s="139" t="str">
        <f>IFERROR(__xludf.DUMMYFUNCTION("""COMPUTED_VALUE"""),"(仮)西川 檸檬
")</f>
        <v>(仮)西川 檸檬
</v>
      </c>
      <c r="C149" s="139" t="str">
        <f>IFERROR(__xludf.DUMMYFUNCTION("""COMPUTED_VALUE"""),"chara_kus_00001")</f>
        <v>chara_kus_00001</v>
      </c>
      <c r="D149" s="139" t="str">
        <f>IFERROR(__xludf.DUMMYFUNCTION("""COMPUTED_VALUE"""),"PremiumUR")</f>
        <v>PremiumUR</v>
      </c>
      <c r="E149" s="139" t="str">
        <f>IFERROR(__xludf.DUMMYFUNCTION("""COMPUTED_VALUE"""),"青")</f>
        <v>青</v>
      </c>
      <c r="F149" s="139" t="str">
        <f>IFERROR(__xludf.DUMMYFUNCTION("""COMPUTED_VALUE"""),"テクニカル")</f>
        <v>テクニカル</v>
      </c>
      <c r="G149" s="139" t="str">
        <f>IFERROR(__xludf.DUMMYFUNCTION("""COMPUTED_VALUE"""),"※ID管理未記入")</f>
        <v>※ID管理未記入</v>
      </c>
      <c r="H149" s="139" t="str">
        <f>IFERROR(__xludf.DUMMYFUNCTION("""COMPUTED_VALUE"""),"※ID管理未記入")</f>
        <v>※ID管理未記入</v>
      </c>
      <c r="I149" s="139" t="str">
        <f>IFERROR(__xludf.DUMMYFUNCTION("""COMPUTED_VALUE"""),"※ID管理未記入")</f>
        <v>※ID管理未記入</v>
      </c>
      <c r="J149" s="139" t="str">
        <f>IFERROR(__xludf.DUMMYFUNCTION("""COMPUTED_VALUE"""),"プラン確認")</f>
        <v>プラン確認</v>
      </c>
      <c r="K149" s="139" t="str">
        <f>IFERROR(__xludf.DUMMYFUNCTION("""COMPUTED_VALUE"""),"※ID管理未記入")</f>
        <v>※ID管理未記入</v>
      </c>
      <c r="L149" s="139" t="str">
        <f>IFERROR(__xludf.DUMMYFUNCTION("""COMPUTED_VALUE"""),"※")</f>
        <v>※</v>
      </c>
      <c r="M149" s="674">
        <f>IFERROR(__xludf.DUMMYFUNCTION("""COMPUTED_VALUE"""),0.0)</f>
        <v>0</v>
      </c>
      <c r="N149" s="139">
        <f>IFERROR(__xludf.DUMMYFUNCTION("""COMPUTED_VALUE"""),0.0)</f>
        <v>0</v>
      </c>
      <c r="O149" s="139"/>
      <c r="P149" s="139">
        <f>IFERROR(__xludf.DUMMYFUNCTION("""COMPUTED_VALUE"""),0.0)</f>
        <v>0</v>
      </c>
      <c r="Q149" s="675">
        <f>IFERROR(__xludf.DUMMYFUNCTION("""COMPUTED_VALUE"""),0.0)</f>
        <v>0</v>
      </c>
      <c r="R149" s="675">
        <f>IFERROR(__xludf.DUMMYFUNCTION("""COMPUTED_VALUE"""),0.0)</f>
        <v>0</v>
      </c>
      <c r="S149" s="675">
        <f>IFERROR(__xludf.DUMMYFUNCTION("""COMPUTED_VALUE"""),-2.5)</f>
        <v>-2.5</v>
      </c>
      <c r="T149" s="674">
        <f>IFERROR(__xludf.DUMMYFUNCTION("""COMPUTED_VALUE"""),225.0)</f>
        <v>225</v>
      </c>
      <c r="U149" s="675">
        <f>IFERROR(__xludf.DUMMYFUNCTION("""COMPUTED_VALUE"""),4.5)</f>
        <v>4.5</v>
      </c>
      <c r="V149" s="675">
        <f>IFERROR(__xludf.DUMMYFUNCTION("""COMPUTED_VALUE"""),0.0)</f>
        <v>0</v>
      </c>
      <c r="W149" s="675">
        <f>IFERROR(__xludf.DUMMYFUNCTION("""COMPUTED_VALUE"""),0.0)</f>
        <v>0</v>
      </c>
      <c r="X149" s="675">
        <f>IFERROR(__xludf.DUMMYFUNCTION("""COMPUTED_VALUE"""),0.0)</f>
        <v>0</v>
      </c>
      <c r="Y149" s="674">
        <f>IFERROR(__xludf.DUMMYFUNCTION("""COMPUTED_VALUE"""),100.0)</f>
        <v>100</v>
      </c>
      <c r="Z149" s="675">
        <f>IFERROR(__xludf.DUMMYFUNCTION("""COMPUTED_VALUE"""),2.0)</f>
        <v>2</v>
      </c>
      <c r="AA149" s="675">
        <f>IFERROR(__xludf.DUMMYFUNCTION("""COMPUTED_VALUE"""),0.0)</f>
        <v>0</v>
      </c>
      <c r="AB149" s="673">
        <f>IFERROR(__xludf.DUMMYFUNCTION("""COMPUTED_VALUE"""),0.0)</f>
        <v>0</v>
      </c>
      <c r="AC149" s="675">
        <f>IFERROR(__xludf.DUMMYFUNCTION("""COMPUTED_VALUE"""),0.0)</f>
        <v>0</v>
      </c>
      <c r="AD149" s="674">
        <f>IFERROR(__xludf.DUMMYFUNCTION("""COMPUTED_VALUE"""),250.0)</f>
        <v>250</v>
      </c>
      <c r="AE149" s="675">
        <f>IFERROR(__xludf.DUMMYFUNCTION("""COMPUTED_VALUE"""),5.0)</f>
        <v>5</v>
      </c>
      <c r="AF149" s="675">
        <f>IFERROR(__xludf.DUMMYFUNCTION("""COMPUTED_VALUE"""),0.0)</f>
        <v>0</v>
      </c>
      <c r="AG149" s="673">
        <f>IFERROR(__xludf.DUMMYFUNCTION("""COMPUTED_VALUE"""),0.0)</f>
        <v>0</v>
      </c>
      <c r="AH149" s="675">
        <f>IFERROR(__xludf.DUMMYFUNCTION("""COMPUTED_VALUE"""),0.0)</f>
        <v>0</v>
      </c>
      <c r="AI149" s="139" t="str">
        <f>IFERROR(__xludf.DUMMYFUNCTION("""COMPUTED_VALUE"""),"-")</f>
        <v>-</v>
      </c>
      <c r="AJ149" s="675" t="str">
        <f>IFERROR(__xludf.DUMMYFUNCTION("""COMPUTED_VALUE"""),"-")</f>
        <v>-</v>
      </c>
      <c r="AK149" s="139">
        <f>IFERROR(__xludf.DUMMYFUNCTION("""COMPUTED_VALUE"""),0.0)</f>
        <v>0</v>
      </c>
      <c r="AL149" s="674">
        <f>IFERROR(__xludf.DUMMYFUNCTION("""COMPUTED_VALUE"""),0.0)</f>
        <v>0</v>
      </c>
      <c r="AM149" s="688">
        <f>IFERROR(__xludf.DUMMYFUNCTION("""COMPUTED_VALUE"""),0.0)</f>
        <v>0</v>
      </c>
      <c r="AN149" s="675">
        <f>IFERROR(__xludf.DUMMYFUNCTION("""COMPUTED_VALUE"""),0.0)</f>
        <v>0</v>
      </c>
      <c r="AO149" s="675">
        <f>IFERROR(__xludf.DUMMYFUNCTION("""COMPUTED_VALUE"""),0.0)</f>
        <v>0</v>
      </c>
      <c r="AP149" s="674">
        <f>IFERROR(__xludf.DUMMYFUNCTION("""COMPUTED_VALUE"""),0.0)</f>
        <v>0</v>
      </c>
      <c r="AQ149" s="673">
        <f>IFERROR(__xludf.DUMMYFUNCTION("""COMPUTED_VALUE"""),-0.3)</f>
        <v>-0.3</v>
      </c>
      <c r="AR149" s="673">
        <f>IFERROR(__xludf.DUMMYFUNCTION("""COMPUTED_VALUE"""),0.0)</f>
        <v>0</v>
      </c>
      <c r="AS149" s="673">
        <f>IFERROR(__xludf.DUMMYFUNCTION("""COMPUTED_VALUE"""),0.0)</f>
        <v>0</v>
      </c>
      <c r="AT149" s="673">
        <f>IFERROR(__xludf.DUMMYFUNCTION("""COMPUTED_VALUE"""),0.0)</f>
        <v>0</v>
      </c>
      <c r="AU149" s="675">
        <f>IFERROR(__xludf.DUMMYFUNCTION("""COMPUTED_VALUE"""),0.0)</f>
        <v>0</v>
      </c>
      <c r="AV149" s="675">
        <f>IFERROR(__xludf.DUMMYFUNCTION("""COMPUTED_VALUE"""),0.0)</f>
        <v>0</v>
      </c>
      <c r="AW149" s="139"/>
      <c r="AX149" s="674" t="str">
        <f>IFERROR(__xludf.DUMMYFUNCTION("""COMPUTED_VALUE"""),"※通常攻撃範囲を入力！(CD列)")</f>
        <v>※通常攻撃範囲を入力！(CD列)</v>
      </c>
      <c r="AY149" s="688" t="str">
        <f>IFERROR(__xludf.DUMMYFUNCTION("""COMPUTED_VALUE"""),"#VALUE!")</f>
        <v>#VALUE!</v>
      </c>
      <c r="AZ149" s="674" t="str">
        <f>IFERROR(__xludf.DUMMYFUNCTION("""COMPUTED_VALUE"""),"#VALUE!")</f>
        <v>#VALUE!</v>
      </c>
      <c r="BA149" s="688" t="str">
        <f>IFERROR(__xludf.DUMMYFUNCTION("""COMPUTED_VALUE"""),"#VALUE!")</f>
        <v>#VALUE!</v>
      </c>
      <c r="BB149" s="688" t="str">
        <f>IFERROR(__xludf.DUMMYFUNCTION("""COMPUTED_VALUE"""),"-")</f>
        <v>-</v>
      </c>
      <c r="BC149" s="688" t="str">
        <f>IFERROR(__xludf.DUMMYFUNCTION("""COMPUTED_VALUE"""),"#VALUE!")</f>
        <v>#VALUE!</v>
      </c>
      <c r="BD149" s="688" t="str">
        <f>IFERROR(__xludf.DUMMYFUNCTION("""COMPUTED_VALUE"""),"#VALUE!")</f>
        <v>#VALUE!</v>
      </c>
      <c r="BE149" s="674" t="str">
        <f>IFERROR(__xludf.DUMMYFUNCTION("""COMPUTED_VALUE"""),"#VALUE!")</f>
        <v>#VALUE!</v>
      </c>
      <c r="BF149" s="674">
        <f>IFERROR(__xludf.DUMMYFUNCTION("""COMPUTED_VALUE"""),0.0)</f>
        <v>0</v>
      </c>
      <c r="BG149" s="673">
        <f>IFERROR(__xludf.DUMMYFUNCTION("""COMPUTED_VALUE"""),0.0)</f>
        <v>0</v>
      </c>
      <c r="BH149" s="673">
        <f>IFERROR(__xludf.DUMMYFUNCTION("""COMPUTED_VALUE"""),0.1)</f>
        <v>0.1</v>
      </c>
      <c r="BI149" s="673">
        <f>IFERROR(__xludf.DUMMYFUNCTION("""COMPUTED_VALUE"""),0.0)</f>
        <v>0</v>
      </c>
      <c r="BJ149" s="673">
        <f>IFERROR(__xludf.DUMMYFUNCTION("""COMPUTED_VALUE"""),0.0)</f>
        <v>0</v>
      </c>
      <c r="BK149" s="673">
        <f>IFERROR(__xludf.DUMMYFUNCTION("""COMPUTED_VALUE"""),0.0)</f>
        <v>0</v>
      </c>
      <c r="BL149" s="673">
        <f>IFERROR(__xludf.DUMMYFUNCTION("""COMPUTED_VALUE"""),0.0)</f>
        <v>0</v>
      </c>
      <c r="BM149" s="674">
        <f>IFERROR(__xludf.DUMMYFUNCTION("""COMPUTED_VALUE"""),0.0)</f>
        <v>0</v>
      </c>
      <c r="BN149" s="674">
        <f>IFERROR(__xludf.DUMMYFUNCTION("""COMPUTED_VALUE"""),0.0)</f>
        <v>0</v>
      </c>
      <c r="BO149" s="675">
        <f>IFERROR(__xludf.DUMMYFUNCTION("""COMPUTED_VALUE"""),0.0)</f>
        <v>0</v>
      </c>
      <c r="BP149" s="675">
        <f>IFERROR(__xludf.DUMMYFUNCTION("""COMPUTED_VALUE"""),0.0)</f>
        <v>0</v>
      </c>
      <c r="BQ149" s="139"/>
      <c r="BR149" s="139">
        <f>IFERROR(__xludf.DUMMYFUNCTION("""COMPUTED_VALUE"""),3.0)</f>
        <v>3</v>
      </c>
      <c r="BS149" s="139" t="str">
        <f>IFERROR(__xludf.DUMMYFUNCTION("""COMPUTED_VALUE"""),"※移動を入力！(BV列)")</f>
        <v>※移動を入力！(BV列)</v>
      </c>
      <c r="BT149" s="139" t="str">
        <f>IFERROR(__xludf.DUMMYFUNCTION("""COMPUTED_VALUE"""),"※攻撃手段を入力(BQ列)")</f>
        <v>※攻撃手段を入力(BQ列)</v>
      </c>
      <c r="BU149" s="139">
        <f>IFERROR(__xludf.DUMMYFUNCTION("""COMPUTED_VALUE"""),0.0)</f>
        <v>0</v>
      </c>
      <c r="BV149" s="139"/>
      <c r="BW149" s="139"/>
      <c r="BX149" s="139" t="str">
        <f>IFERROR(__xludf.DUMMYFUNCTION("""COMPUTED_VALUE"""),"※特性を選択!!(BW列)")</f>
        <v>※特性を選択!!(BW列)</v>
      </c>
      <c r="BY149" s="139">
        <f>IFERROR(__xludf.DUMMYFUNCTION("""COMPUTED_VALUE"""),0.0)</f>
        <v>0</v>
      </c>
      <c r="BZ149" s="139"/>
      <c r="CA149" s="139" t="str">
        <f>IFERROR(__xludf.DUMMYFUNCTION("""COMPUTED_VALUE"""),"※特性を選択!!(BW列)")</f>
        <v>※特性を選択!!(BW列)</v>
      </c>
      <c r="CB149" s="139">
        <f>IFERROR(__xludf.DUMMYFUNCTION("""COMPUTED_VALUE"""),4.0)</f>
        <v>4</v>
      </c>
      <c r="CC149" s="139" t="str">
        <f>IFERROR(__xludf.DUMMYFUNCTION("""COMPUTED_VALUE"""),"※ID管理未記入")</f>
        <v>※ID管理未記入</v>
      </c>
      <c r="CD149" s="139"/>
      <c r="CE149" s="139" t="str">
        <f>IFERROR(__xludf.DUMMYFUNCTION("""COMPUTED_VALUE"""),"該当なし")</f>
        <v>該当なし</v>
      </c>
      <c r="CF149" s="139" t="str">
        <f>IFERROR(__xludf.DUMMYFUNCTION("""COMPUTED_VALUE"""),"#VALUE!")</f>
        <v>#VALUE!</v>
      </c>
      <c r="CG149" s="139"/>
      <c r="CH149" s="139"/>
      <c r="CI149" s="139" t="str">
        <f>IFERROR(__xludf.DUMMYFUNCTION("""COMPUTED_VALUE"""),"該当なし")</f>
        <v>該当なし</v>
      </c>
      <c r="CJ149" s="139" t="str">
        <f>IFERROR(__xludf.DUMMYFUNCTION("""COMPUTED_VALUE"""),"#VALUE!")</f>
        <v>#VALUE!</v>
      </c>
      <c r="CK149" s="139"/>
      <c r="CL149" s="139"/>
      <c r="CM149" s="139"/>
      <c r="CN149" s="675">
        <f>IFERROR(__xludf.DUMMYFUNCTION("""COMPUTED_VALUE"""),5.0)</f>
        <v>5</v>
      </c>
      <c r="CO149" s="139" t="str">
        <f>IFERROR(__xludf.DUMMYFUNCTION("""COMPUTED_VALUE"""),"-")</f>
        <v>-</v>
      </c>
      <c r="CP149" s="139" t="str">
        <f>IFERROR(__xludf.DUMMYFUNCTION("""COMPUTED_VALUE"""),"-")</f>
        <v>-</v>
      </c>
      <c r="CQ149" s="139" t="str">
        <f>IFERROR(__xludf.DUMMYFUNCTION("""COMPUTED_VALUE"""),"-")</f>
        <v>-</v>
      </c>
      <c r="CR149" s="139"/>
      <c r="CS149" s="139"/>
      <c r="CT149" s="139"/>
      <c r="CU149" s="139"/>
      <c r="CV149" s="139"/>
      <c r="CW149" s="139"/>
      <c r="CX149" s="674" t="str">
        <f>IFERROR(__xludf.DUMMYFUNCTION("""COMPUTED_VALUE"""),"")</f>
        <v/>
      </c>
      <c r="CY149" s="675" t="str">
        <f>IFERROR(__xludf.DUMMYFUNCTION("""COMPUTED_VALUE"""),"")</f>
        <v/>
      </c>
      <c r="CZ149" s="688" t="str">
        <f>IFERROR(__xludf.DUMMYFUNCTION("""COMPUTED_VALUE"""),"-")</f>
        <v>-</v>
      </c>
      <c r="DA149" s="688">
        <f>IFERROR(__xludf.DUMMYFUNCTION("""COMPUTED_VALUE"""),0.0)</f>
        <v>0</v>
      </c>
      <c r="DB149" s="688">
        <f>IFERROR(__xludf.DUMMYFUNCTION("""COMPUTED_VALUE"""),0.0)</f>
        <v>0</v>
      </c>
      <c r="DC149" s="673" t="str">
        <f>IFERROR(__xludf.DUMMYFUNCTION("""COMPUTED_VALUE"""),"-")</f>
        <v>-</v>
      </c>
      <c r="DD149" s="673" t="str">
        <f>IFERROR(__xludf.DUMMYFUNCTION("""COMPUTED_VALUE"""),"-")</f>
        <v>-</v>
      </c>
      <c r="DE149" s="139" t="str">
        <f>IFERROR(__xludf.DUMMYFUNCTION("""COMPUTED_VALUE"""),"-")</f>
        <v>-</v>
      </c>
      <c r="DF149" s="139" t="str">
        <f>IFERROR(__xludf.DUMMYFUNCTION("""COMPUTED_VALUE"""),"-")</f>
        <v>-</v>
      </c>
      <c r="DG149" s="139" t="str">
        <f>IFERROR(__xludf.DUMMYFUNCTION("""COMPUTED_VALUE"""),"-")</f>
        <v>-</v>
      </c>
      <c r="DH149" s="139" t="str">
        <f>IFERROR(__xludf.DUMMYFUNCTION("""COMPUTED_VALUE"""),"-")</f>
        <v>-</v>
      </c>
      <c r="DI149" s="139" t="str">
        <f>IFERROR(__xludf.DUMMYFUNCTION("""COMPUTED_VALUE"""),"-")</f>
        <v>-</v>
      </c>
      <c r="DJ149" s="139" t="str">
        <f>IFERROR(__xludf.DUMMYFUNCTION("""COMPUTED_VALUE"""),"-")</f>
        <v>-</v>
      </c>
    </row>
    <row r="150">
      <c r="A150" s="139" t="str">
        <f>IFERROR(__xludf.DUMMYFUNCTION("""COMPUTED_VALUE"""),"半人前の恋人")</f>
        <v>半人前の恋人</v>
      </c>
      <c r="B150" s="139" t="str">
        <f>IFERROR(__xludf.DUMMYFUNCTION("""COMPUTED_VALUE"""),"(仮)杉崎 響子
")</f>
        <v>(仮)杉崎 響子
</v>
      </c>
      <c r="C150" s="139" t="str">
        <f>IFERROR(__xludf.DUMMYFUNCTION("""COMPUTED_VALUE"""),"chara_han_00001")</f>
        <v>chara_han_00001</v>
      </c>
      <c r="D150" s="139" t="str">
        <f>IFERROR(__xludf.DUMMYFUNCTION("""COMPUTED_VALUE"""),"PremiumSSR")</f>
        <v>PremiumSSR</v>
      </c>
      <c r="E150" s="139" t="str">
        <f>IFERROR(__xludf.DUMMYFUNCTION("""COMPUTED_VALUE"""),"赤")</f>
        <v>赤</v>
      </c>
      <c r="F150" s="139" t="str">
        <f>IFERROR(__xludf.DUMMYFUNCTION("""COMPUTED_VALUE"""),"ディフェンス")</f>
        <v>ディフェンス</v>
      </c>
      <c r="G150" s="139" t="str">
        <f>IFERROR(__xludf.DUMMYFUNCTION("""COMPUTED_VALUE"""),"※ID管理未記入")</f>
        <v>※ID管理未記入</v>
      </c>
      <c r="H150" s="139" t="str">
        <f>IFERROR(__xludf.DUMMYFUNCTION("""COMPUTED_VALUE"""),"※ID管理未記入")</f>
        <v>※ID管理未記入</v>
      </c>
      <c r="I150" s="139" t="str">
        <f>IFERROR(__xludf.DUMMYFUNCTION("""COMPUTED_VALUE"""),"※ID管理未記入")</f>
        <v>※ID管理未記入</v>
      </c>
      <c r="J150" s="139" t="str">
        <f>IFERROR(__xludf.DUMMYFUNCTION("""COMPUTED_VALUE"""),"プラン確認")</f>
        <v>プラン確認</v>
      </c>
      <c r="K150" s="139" t="str">
        <f>IFERROR(__xludf.DUMMYFUNCTION("""COMPUTED_VALUE"""),"※ID管理未記入")</f>
        <v>※ID管理未記入</v>
      </c>
      <c r="L150" s="139" t="str">
        <f>IFERROR(__xludf.DUMMYFUNCTION("""COMPUTED_VALUE"""),"※")</f>
        <v>※</v>
      </c>
      <c r="M150" s="674">
        <f>IFERROR(__xludf.DUMMYFUNCTION("""COMPUTED_VALUE"""),0.0)</f>
        <v>0</v>
      </c>
      <c r="N150" s="139">
        <f>IFERROR(__xludf.DUMMYFUNCTION("""COMPUTED_VALUE"""),0.0)</f>
        <v>0</v>
      </c>
      <c r="O150" s="139"/>
      <c r="P150" s="139">
        <f>IFERROR(__xludf.DUMMYFUNCTION("""COMPUTED_VALUE"""),0.0)</f>
        <v>0</v>
      </c>
      <c r="Q150" s="675">
        <f>IFERROR(__xludf.DUMMYFUNCTION("""COMPUTED_VALUE"""),0.0)</f>
        <v>0</v>
      </c>
      <c r="R150" s="675">
        <f>IFERROR(__xludf.DUMMYFUNCTION("""COMPUTED_VALUE"""),0.0)</f>
        <v>0</v>
      </c>
      <c r="S150" s="675">
        <f>IFERROR(__xludf.DUMMYFUNCTION("""COMPUTED_VALUE"""),-2.5)</f>
        <v>-2.5</v>
      </c>
      <c r="T150" s="674">
        <f>IFERROR(__xludf.DUMMYFUNCTION("""COMPUTED_VALUE"""),225.0)</f>
        <v>225</v>
      </c>
      <c r="U150" s="675">
        <f>IFERROR(__xludf.DUMMYFUNCTION("""COMPUTED_VALUE"""),4.5)</f>
        <v>4.5</v>
      </c>
      <c r="V150" s="675">
        <f>IFERROR(__xludf.DUMMYFUNCTION("""COMPUTED_VALUE"""),0.0)</f>
        <v>0</v>
      </c>
      <c r="W150" s="675">
        <f>IFERROR(__xludf.DUMMYFUNCTION("""COMPUTED_VALUE"""),0.0)</f>
        <v>0</v>
      </c>
      <c r="X150" s="675">
        <f>IFERROR(__xludf.DUMMYFUNCTION("""COMPUTED_VALUE"""),0.0)</f>
        <v>0</v>
      </c>
      <c r="Y150" s="674">
        <f>IFERROR(__xludf.DUMMYFUNCTION("""COMPUTED_VALUE"""),100.0)</f>
        <v>100</v>
      </c>
      <c r="Z150" s="675">
        <f>IFERROR(__xludf.DUMMYFUNCTION("""COMPUTED_VALUE"""),2.0)</f>
        <v>2</v>
      </c>
      <c r="AA150" s="675">
        <f>IFERROR(__xludf.DUMMYFUNCTION("""COMPUTED_VALUE"""),0.0)</f>
        <v>0</v>
      </c>
      <c r="AB150" s="673">
        <f>IFERROR(__xludf.DUMMYFUNCTION("""COMPUTED_VALUE"""),0.0)</f>
        <v>0</v>
      </c>
      <c r="AC150" s="675">
        <f>IFERROR(__xludf.DUMMYFUNCTION("""COMPUTED_VALUE"""),0.0)</f>
        <v>0</v>
      </c>
      <c r="AD150" s="674">
        <f>IFERROR(__xludf.DUMMYFUNCTION("""COMPUTED_VALUE"""),250.0)</f>
        <v>250</v>
      </c>
      <c r="AE150" s="675">
        <f>IFERROR(__xludf.DUMMYFUNCTION("""COMPUTED_VALUE"""),5.0)</f>
        <v>5</v>
      </c>
      <c r="AF150" s="675">
        <f>IFERROR(__xludf.DUMMYFUNCTION("""COMPUTED_VALUE"""),0.0)</f>
        <v>0</v>
      </c>
      <c r="AG150" s="673">
        <f>IFERROR(__xludf.DUMMYFUNCTION("""COMPUTED_VALUE"""),0.0)</f>
        <v>0</v>
      </c>
      <c r="AH150" s="675">
        <f>IFERROR(__xludf.DUMMYFUNCTION("""COMPUTED_VALUE"""),0.0)</f>
        <v>0</v>
      </c>
      <c r="AI150" s="139" t="str">
        <f>IFERROR(__xludf.DUMMYFUNCTION("""COMPUTED_VALUE"""),"-")</f>
        <v>-</v>
      </c>
      <c r="AJ150" s="675" t="str">
        <f>IFERROR(__xludf.DUMMYFUNCTION("""COMPUTED_VALUE"""),"-")</f>
        <v>-</v>
      </c>
      <c r="AK150" s="139">
        <f>IFERROR(__xludf.DUMMYFUNCTION("""COMPUTED_VALUE"""),0.0)</f>
        <v>0</v>
      </c>
      <c r="AL150" s="674">
        <f>IFERROR(__xludf.DUMMYFUNCTION("""COMPUTED_VALUE"""),0.0)</f>
        <v>0</v>
      </c>
      <c r="AM150" s="688">
        <f>IFERROR(__xludf.DUMMYFUNCTION("""COMPUTED_VALUE"""),0.0)</f>
        <v>0</v>
      </c>
      <c r="AN150" s="675">
        <f>IFERROR(__xludf.DUMMYFUNCTION("""COMPUTED_VALUE"""),0.0)</f>
        <v>0</v>
      </c>
      <c r="AO150" s="675">
        <f>IFERROR(__xludf.DUMMYFUNCTION("""COMPUTED_VALUE"""),0.0)</f>
        <v>0</v>
      </c>
      <c r="AP150" s="674">
        <f>IFERROR(__xludf.DUMMYFUNCTION("""COMPUTED_VALUE"""),0.0)</f>
        <v>0</v>
      </c>
      <c r="AQ150" s="673">
        <f>IFERROR(__xludf.DUMMYFUNCTION("""COMPUTED_VALUE"""),0.9)</f>
        <v>0.9</v>
      </c>
      <c r="AR150" s="673">
        <f>IFERROR(__xludf.DUMMYFUNCTION("""COMPUTED_VALUE"""),0.0)</f>
        <v>0</v>
      </c>
      <c r="AS150" s="673">
        <f>IFERROR(__xludf.DUMMYFUNCTION("""COMPUTED_VALUE"""),0.0)</f>
        <v>0</v>
      </c>
      <c r="AT150" s="673">
        <f>IFERROR(__xludf.DUMMYFUNCTION("""COMPUTED_VALUE"""),0.0)</f>
        <v>0</v>
      </c>
      <c r="AU150" s="675">
        <f>IFERROR(__xludf.DUMMYFUNCTION("""COMPUTED_VALUE"""),0.0)</f>
        <v>0</v>
      </c>
      <c r="AV150" s="675">
        <f>IFERROR(__xludf.DUMMYFUNCTION("""COMPUTED_VALUE"""),0.0)</f>
        <v>0</v>
      </c>
      <c r="AW150" s="139"/>
      <c r="AX150" s="674" t="str">
        <f>IFERROR(__xludf.DUMMYFUNCTION("""COMPUTED_VALUE"""),"※通常攻撃範囲を入力！(CD列)")</f>
        <v>※通常攻撃範囲を入力！(CD列)</v>
      </c>
      <c r="AY150" s="688" t="str">
        <f>IFERROR(__xludf.DUMMYFUNCTION("""COMPUTED_VALUE"""),"#VALUE!")</f>
        <v>#VALUE!</v>
      </c>
      <c r="AZ150" s="674" t="str">
        <f>IFERROR(__xludf.DUMMYFUNCTION("""COMPUTED_VALUE"""),"#VALUE!")</f>
        <v>#VALUE!</v>
      </c>
      <c r="BA150" s="688" t="str">
        <f>IFERROR(__xludf.DUMMYFUNCTION("""COMPUTED_VALUE"""),"#VALUE!")</f>
        <v>#VALUE!</v>
      </c>
      <c r="BB150" s="688" t="str">
        <f>IFERROR(__xludf.DUMMYFUNCTION("""COMPUTED_VALUE"""),"-")</f>
        <v>-</v>
      </c>
      <c r="BC150" s="688" t="str">
        <f>IFERROR(__xludf.DUMMYFUNCTION("""COMPUTED_VALUE"""),"#VALUE!")</f>
        <v>#VALUE!</v>
      </c>
      <c r="BD150" s="688" t="str">
        <f>IFERROR(__xludf.DUMMYFUNCTION("""COMPUTED_VALUE"""),"#VALUE!")</f>
        <v>#VALUE!</v>
      </c>
      <c r="BE150" s="674" t="str">
        <f>IFERROR(__xludf.DUMMYFUNCTION("""COMPUTED_VALUE"""),"#VALUE!")</f>
        <v>#VALUE!</v>
      </c>
      <c r="BF150" s="674">
        <f>IFERROR(__xludf.DUMMYFUNCTION("""COMPUTED_VALUE"""),0.0)</f>
        <v>0</v>
      </c>
      <c r="BG150" s="673">
        <f>IFERROR(__xludf.DUMMYFUNCTION("""COMPUTED_VALUE"""),0.0)</f>
        <v>0</v>
      </c>
      <c r="BH150" s="673">
        <f>IFERROR(__xludf.DUMMYFUNCTION("""COMPUTED_VALUE"""),-0.5)</f>
        <v>-0.5</v>
      </c>
      <c r="BI150" s="673">
        <f>IFERROR(__xludf.DUMMYFUNCTION("""COMPUTED_VALUE"""),0.0)</f>
        <v>0</v>
      </c>
      <c r="BJ150" s="673">
        <f>IFERROR(__xludf.DUMMYFUNCTION("""COMPUTED_VALUE"""),0.0)</f>
        <v>0</v>
      </c>
      <c r="BK150" s="673">
        <f>IFERROR(__xludf.DUMMYFUNCTION("""COMPUTED_VALUE"""),0.0)</f>
        <v>0</v>
      </c>
      <c r="BL150" s="673">
        <f>IFERROR(__xludf.DUMMYFUNCTION("""COMPUTED_VALUE"""),0.0)</f>
        <v>0</v>
      </c>
      <c r="BM150" s="674">
        <f>IFERROR(__xludf.DUMMYFUNCTION("""COMPUTED_VALUE"""),0.0)</f>
        <v>0</v>
      </c>
      <c r="BN150" s="674">
        <f>IFERROR(__xludf.DUMMYFUNCTION("""COMPUTED_VALUE"""),0.0)</f>
        <v>0</v>
      </c>
      <c r="BO150" s="675">
        <f>IFERROR(__xludf.DUMMYFUNCTION("""COMPUTED_VALUE"""),0.0)</f>
        <v>0</v>
      </c>
      <c r="BP150" s="675">
        <f>IFERROR(__xludf.DUMMYFUNCTION("""COMPUTED_VALUE"""),0.0)</f>
        <v>0</v>
      </c>
      <c r="BQ150" s="139"/>
      <c r="BR150" s="139">
        <f>IFERROR(__xludf.DUMMYFUNCTION("""COMPUTED_VALUE"""),1.0)</f>
        <v>1</v>
      </c>
      <c r="BS150" s="139" t="str">
        <f>IFERROR(__xludf.DUMMYFUNCTION("""COMPUTED_VALUE"""),"※移動を入力！(BV列)")</f>
        <v>※移動を入力！(BV列)</v>
      </c>
      <c r="BT150" s="139" t="str">
        <f>IFERROR(__xludf.DUMMYFUNCTION("""COMPUTED_VALUE"""),"※攻撃手段を入力(BQ列)")</f>
        <v>※攻撃手段を入力(BQ列)</v>
      </c>
      <c r="BU150" s="139">
        <f>IFERROR(__xludf.DUMMYFUNCTION("""COMPUTED_VALUE"""),0.0)</f>
        <v>0</v>
      </c>
      <c r="BV150" s="139"/>
      <c r="BW150" s="139"/>
      <c r="BX150" s="139" t="str">
        <f>IFERROR(__xludf.DUMMYFUNCTION("""COMPUTED_VALUE"""),"※特性を選択!!(BW列)")</f>
        <v>※特性を選択!!(BW列)</v>
      </c>
      <c r="BY150" s="139">
        <f>IFERROR(__xludf.DUMMYFUNCTION("""COMPUTED_VALUE"""),0.0)</f>
        <v>0</v>
      </c>
      <c r="BZ150" s="139"/>
      <c r="CA150" s="139" t="str">
        <f>IFERROR(__xludf.DUMMYFUNCTION("""COMPUTED_VALUE"""),"※特性を選択!!(BW列)")</f>
        <v>※特性を選択!!(BW列)</v>
      </c>
      <c r="CB150" s="139" t="str">
        <f>IFERROR(__xludf.DUMMYFUNCTION("""COMPUTED_VALUE"""),"-")</f>
        <v>-</v>
      </c>
      <c r="CC150" s="139" t="str">
        <f>IFERROR(__xludf.DUMMYFUNCTION("""COMPUTED_VALUE"""),"※ID管理未記入")</f>
        <v>※ID管理未記入</v>
      </c>
      <c r="CD150" s="139"/>
      <c r="CE150" s="139" t="str">
        <f>IFERROR(__xludf.DUMMYFUNCTION("""COMPUTED_VALUE"""),"該当なし")</f>
        <v>該当なし</v>
      </c>
      <c r="CF150" s="139" t="str">
        <f>IFERROR(__xludf.DUMMYFUNCTION("""COMPUTED_VALUE"""),"#VALUE!")</f>
        <v>#VALUE!</v>
      </c>
      <c r="CG150" s="139"/>
      <c r="CH150" s="139"/>
      <c r="CI150" s="139" t="str">
        <f>IFERROR(__xludf.DUMMYFUNCTION("""COMPUTED_VALUE"""),"該当なし")</f>
        <v>該当なし</v>
      </c>
      <c r="CJ150" s="139" t="str">
        <f>IFERROR(__xludf.DUMMYFUNCTION("""COMPUTED_VALUE"""),"#VALUE!")</f>
        <v>#VALUE!</v>
      </c>
      <c r="CK150" s="139"/>
      <c r="CL150" s="139"/>
      <c r="CM150" s="139"/>
      <c r="CN150" s="675">
        <f>IFERROR(__xludf.DUMMYFUNCTION("""COMPUTED_VALUE"""),5.0)</f>
        <v>5</v>
      </c>
      <c r="CO150" s="139" t="str">
        <f>IFERROR(__xludf.DUMMYFUNCTION("""COMPUTED_VALUE"""),"-")</f>
        <v>-</v>
      </c>
      <c r="CP150" s="139" t="str">
        <f>IFERROR(__xludf.DUMMYFUNCTION("""COMPUTED_VALUE"""),"-")</f>
        <v>-</v>
      </c>
      <c r="CQ150" s="139" t="str">
        <f>IFERROR(__xludf.DUMMYFUNCTION("""COMPUTED_VALUE"""),"-")</f>
        <v>-</v>
      </c>
      <c r="CR150" s="139"/>
      <c r="CS150" s="139"/>
      <c r="CT150" s="139"/>
      <c r="CU150" s="139"/>
      <c r="CV150" s="139"/>
      <c r="CW150" s="139"/>
      <c r="CX150" s="674" t="str">
        <f>IFERROR(__xludf.DUMMYFUNCTION("""COMPUTED_VALUE"""),"")</f>
        <v/>
      </c>
      <c r="CY150" s="675" t="str">
        <f>IFERROR(__xludf.DUMMYFUNCTION("""COMPUTED_VALUE"""),"")</f>
        <v/>
      </c>
      <c r="CZ150" s="688" t="str">
        <f>IFERROR(__xludf.DUMMYFUNCTION("""COMPUTED_VALUE"""),"-")</f>
        <v>-</v>
      </c>
      <c r="DA150" s="688">
        <f>IFERROR(__xludf.DUMMYFUNCTION("""COMPUTED_VALUE"""),0.0)</f>
        <v>0</v>
      </c>
      <c r="DB150" s="688">
        <f>IFERROR(__xludf.DUMMYFUNCTION("""COMPUTED_VALUE"""),0.0)</f>
        <v>0</v>
      </c>
      <c r="DC150" s="673" t="str">
        <f>IFERROR(__xludf.DUMMYFUNCTION("""COMPUTED_VALUE"""),"-")</f>
        <v>-</v>
      </c>
      <c r="DD150" s="673" t="str">
        <f>IFERROR(__xludf.DUMMYFUNCTION("""COMPUTED_VALUE"""),"-")</f>
        <v>-</v>
      </c>
      <c r="DE150" s="139" t="str">
        <f>IFERROR(__xludf.DUMMYFUNCTION("""COMPUTED_VALUE"""),"-")</f>
        <v>-</v>
      </c>
      <c r="DF150" s="139" t="str">
        <f>IFERROR(__xludf.DUMMYFUNCTION("""COMPUTED_VALUE"""),"-")</f>
        <v>-</v>
      </c>
      <c r="DG150" s="139" t="str">
        <f>IFERROR(__xludf.DUMMYFUNCTION("""COMPUTED_VALUE"""),"-")</f>
        <v>-</v>
      </c>
      <c r="DH150" s="139" t="str">
        <f>IFERROR(__xludf.DUMMYFUNCTION("""COMPUTED_VALUE"""),"-")</f>
        <v>-</v>
      </c>
      <c r="DI150" s="139" t="str">
        <f>IFERROR(__xludf.DUMMYFUNCTION("""COMPUTED_VALUE"""),"-")</f>
        <v>-</v>
      </c>
      <c r="DJ150" s="139" t="str">
        <f>IFERROR(__xludf.DUMMYFUNCTION("""COMPUTED_VALUE"""),"-")</f>
        <v>-</v>
      </c>
    </row>
    <row r="151">
      <c r="A151" s="139" t="str">
        <f>IFERROR(__xludf.DUMMYFUNCTION("""COMPUTED_VALUE"""),"久保さんは僕を許さない")</f>
        <v>久保さんは僕を許さない</v>
      </c>
      <c r="B151" s="139" t="str">
        <f>IFERROR(__xludf.DUMMYFUNCTION("""COMPUTED_VALUE"""),"(仮)久保 渚咲
")</f>
        <v>(仮)久保 渚咲
</v>
      </c>
      <c r="C151" s="139" t="str">
        <f>IFERROR(__xludf.DUMMYFUNCTION("""COMPUTED_VALUE"""),"chara_kub_00001")</f>
        <v>chara_kub_00001</v>
      </c>
      <c r="D151" s="139" t="str">
        <f>IFERROR(__xludf.DUMMYFUNCTION("""COMPUTED_VALUE"""),"DropSR")</f>
        <v>DropSR</v>
      </c>
      <c r="E151" s="139" t="str">
        <f>IFERROR(__xludf.DUMMYFUNCTION("""COMPUTED_VALUE"""),"緑")</f>
        <v>緑</v>
      </c>
      <c r="F151" s="139" t="str">
        <f>IFERROR(__xludf.DUMMYFUNCTION("""COMPUTED_VALUE"""),"アタック")</f>
        <v>アタック</v>
      </c>
      <c r="G151" s="139" t="str">
        <f>IFERROR(__xludf.DUMMYFUNCTION("""COMPUTED_VALUE"""),"※ID管理未記入")</f>
        <v>※ID管理未記入</v>
      </c>
      <c r="H151" s="139" t="str">
        <f>IFERROR(__xludf.DUMMYFUNCTION("""COMPUTED_VALUE"""),"※ID管理未記入")</f>
        <v>※ID管理未記入</v>
      </c>
      <c r="I151" s="139" t="str">
        <f>IFERROR(__xludf.DUMMYFUNCTION("""COMPUTED_VALUE"""),"※ID管理未記入")</f>
        <v>※ID管理未記入</v>
      </c>
      <c r="J151" s="139" t="str">
        <f>IFERROR(__xludf.DUMMYFUNCTION("""COMPUTED_VALUE"""),"プラン確認")</f>
        <v>プラン確認</v>
      </c>
      <c r="K151" s="139" t="str">
        <f>IFERROR(__xludf.DUMMYFUNCTION("""COMPUTED_VALUE"""),"※ID管理未記入")</f>
        <v>※ID管理未記入</v>
      </c>
      <c r="L151" s="139" t="str">
        <f>IFERROR(__xludf.DUMMYFUNCTION("""COMPUTED_VALUE"""),"※")</f>
        <v>※</v>
      </c>
      <c r="M151" s="674">
        <f>IFERROR(__xludf.DUMMYFUNCTION("""COMPUTED_VALUE"""),0.0)</f>
        <v>0</v>
      </c>
      <c r="N151" s="139">
        <f>IFERROR(__xludf.DUMMYFUNCTION("""COMPUTED_VALUE"""),0.0)</f>
        <v>0</v>
      </c>
      <c r="O151" s="139"/>
      <c r="P151" s="139">
        <f>IFERROR(__xludf.DUMMYFUNCTION("""COMPUTED_VALUE"""),0.0)</f>
        <v>0</v>
      </c>
      <c r="Q151" s="675">
        <f>IFERROR(__xludf.DUMMYFUNCTION("""COMPUTED_VALUE"""),0.0)</f>
        <v>0</v>
      </c>
      <c r="R151" s="675">
        <f>IFERROR(__xludf.DUMMYFUNCTION("""COMPUTED_VALUE"""),0.0)</f>
        <v>0</v>
      </c>
      <c r="S151" s="675">
        <f>IFERROR(__xludf.DUMMYFUNCTION("""COMPUTED_VALUE"""),-2.5)</f>
        <v>-2.5</v>
      </c>
      <c r="T151" s="674">
        <f>IFERROR(__xludf.DUMMYFUNCTION("""COMPUTED_VALUE"""),225.0)</f>
        <v>225</v>
      </c>
      <c r="U151" s="675">
        <f>IFERROR(__xludf.DUMMYFUNCTION("""COMPUTED_VALUE"""),4.5)</f>
        <v>4.5</v>
      </c>
      <c r="V151" s="675">
        <f>IFERROR(__xludf.DUMMYFUNCTION("""COMPUTED_VALUE"""),0.0)</f>
        <v>0</v>
      </c>
      <c r="W151" s="675">
        <f>IFERROR(__xludf.DUMMYFUNCTION("""COMPUTED_VALUE"""),0.0)</f>
        <v>0</v>
      </c>
      <c r="X151" s="675">
        <f>IFERROR(__xludf.DUMMYFUNCTION("""COMPUTED_VALUE"""),0.0)</f>
        <v>0</v>
      </c>
      <c r="Y151" s="674">
        <f>IFERROR(__xludf.DUMMYFUNCTION("""COMPUTED_VALUE"""),100.0)</f>
        <v>100</v>
      </c>
      <c r="Z151" s="675">
        <f>IFERROR(__xludf.DUMMYFUNCTION("""COMPUTED_VALUE"""),2.0)</f>
        <v>2</v>
      </c>
      <c r="AA151" s="675">
        <f>IFERROR(__xludf.DUMMYFUNCTION("""COMPUTED_VALUE"""),0.0)</f>
        <v>0</v>
      </c>
      <c r="AB151" s="673">
        <f>IFERROR(__xludf.DUMMYFUNCTION("""COMPUTED_VALUE"""),0.0)</f>
        <v>0</v>
      </c>
      <c r="AC151" s="675">
        <f>IFERROR(__xludf.DUMMYFUNCTION("""COMPUTED_VALUE"""),0.0)</f>
        <v>0</v>
      </c>
      <c r="AD151" s="674">
        <f>IFERROR(__xludf.DUMMYFUNCTION("""COMPUTED_VALUE"""),250.0)</f>
        <v>250</v>
      </c>
      <c r="AE151" s="675">
        <f>IFERROR(__xludf.DUMMYFUNCTION("""COMPUTED_VALUE"""),5.0)</f>
        <v>5</v>
      </c>
      <c r="AF151" s="675">
        <f>IFERROR(__xludf.DUMMYFUNCTION("""COMPUTED_VALUE"""),0.0)</f>
        <v>0</v>
      </c>
      <c r="AG151" s="673">
        <f>IFERROR(__xludf.DUMMYFUNCTION("""COMPUTED_VALUE"""),0.0)</f>
        <v>0</v>
      </c>
      <c r="AH151" s="675">
        <f>IFERROR(__xludf.DUMMYFUNCTION("""COMPUTED_VALUE"""),0.0)</f>
        <v>0</v>
      </c>
      <c r="AI151" s="139" t="str">
        <f>IFERROR(__xludf.DUMMYFUNCTION("""COMPUTED_VALUE"""),"-")</f>
        <v>-</v>
      </c>
      <c r="AJ151" s="675" t="str">
        <f>IFERROR(__xludf.DUMMYFUNCTION("""COMPUTED_VALUE"""),"-")</f>
        <v>-</v>
      </c>
      <c r="AK151" s="139">
        <f>IFERROR(__xludf.DUMMYFUNCTION("""COMPUTED_VALUE"""),0.0)</f>
        <v>0</v>
      </c>
      <c r="AL151" s="674">
        <f>IFERROR(__xludf.DUMMYFUNCTION("""COMPUTED_VALUE"""),0.0)</f>
        <v>0</v>
      </c>
      <c r="AM151" s="688">
        <f>IFERROR(__xludf.DUMMYFUNCTION("""COMPUTED_VALUE"""),0.0)</f>
        <v>0</v>
      </c>
      <c r="AN151" s="675">
        <f>IFERROR(__xludf.DUMMYFUNCTION("""COMPUTED_VALUE"""),0.0)</f>
        <v>0</v>
      </c>
      <c r="AO151" s="675">
        <f>IFERROR(__xludf.DUMMYFUNCTION("""COMPUTED_VALUE"""),0.0)</f>
        <v>0</v>
      </c>
      <c r="AP151" s="674">
        <f>IFERROR(__xludf.DUMMYFUNCTION("""COMPUTED_VALUE"""),0.0)</f>
        <v>0</v>
      </c>
      <c r="AQ151" s="673">
        <f>IFERROR(__xludf.DUMMYFUNCTION("""COMPUTED_VALUE"""),-0.2)</f>
        <v>-0.2</v>
      </c>
      <c r="AR151" s="673">
        <f>IFERROR(__xludf.DUMMYFUNCTION("""COMPUTED_VALUE"""),0.0)</f>
        <v>0</v>
      </c>
      <c r="AS151" s="673">
        <f>IFERROR(__xludf.DUMMYFUNCTION("""COMPUTED_VALUE"""),0.0)</f>
        <v>0</v>
      </c>
      <c r="AT151" s="673">
        <f>IFERROR(__xludf.DUMMYFUNCTION("""COMPUTED_VALUE"""),0.0)</f>
        <v>0</v>
      </c>
      <c r="AU151" s="675">
        <f>IFERROR(__xludf.DUMMYFUNCTION("""COMPUTED_VALUE"""),0.0)</f>
        <v>0</v>
      </c>
      <c r="AV151" s="675">
        <f>IFERROR(__xludf.DUMMYFUNCTION("""COMPUTED_VALUE"""),0.0)</f>
        <v>0</v>
      </c>
      <c r="AW151" s="139"/>
      <c r="AX151" s="674" t="str">
        <f>IFERROR(__xludf.DUMMYFUNCTION("""COMPUTED_VALUE"""),"※通常攻撃範囲を入力！(CD列)")</f>
        <v>※通常攻撃範囲を入力！(CD列)</v>
      </c>
      <c r="AY151" s="688" t="str">
        <f>IFERROR(__xludf.DUMMYFUNCTION("""COMPUTED_VALUE"""),"#VALUE!")</f>
        <v>#VALUE!</v>
      </c>
      <c r="AZ151" s="674" t="str">
        <f>IFERROR(__xludf.DUMMYFUNCTION("""COMPUTED_VALUE"""),"#VALUE!")</f>
        <v>#VALUE!</v>
      </c>
      <c r="BA151" s="688" t="str">
        <f>IFERROR(__xludf.DUMMYFUNCTION("""COMPUTED_VALUE"""),"#VALUE!")</f>
        <v>#VALUE!</v>
      </c>
      <c r="BB151" s="688" t="str">
        <f>IFERROR(__xludf.DUMMYFUNCTION("""COMPUTED_VALUE"""),"-")</f>
        <v>-</v>
      </c>
      <c r="BC151" s="688" t="str">
        <f>IFERROR(__xludf.DUMMYFUNCTION("""COMPUTED_VALUE"""),"#VALUE!")</f>
        <v>#VALUE!</v>
      </c>
      <c r="BD151" s="688" t="str">
        <f>IFERROR(__xludf.DUMMYFUNCTION("""COMPUTED_VALUE"""),"#VALUE!")</f>
        <v>#VALUE!</v>
      </c>
      <c r="BE151" s="674" t="str">
        <f>IFERROR(__xludf.DUMMYFUNCTION("""COMPUTED_VALUE"""),"#VALUE!")</f>
        <v>#VALUE!</v>
      </c>
      <c r="BF151" s="674">
        <f>IFERROR(__xludf.DUMMYFUNCTION("""COMPUTED_VALUE"""),0.0)</f>
        <v>0</v>
      </c>
      <c r="BG151" s="673">
        <f>IFERROR(__xludf.DUMMYFUNCTION("""COMPUTED_VALUE"""),0.0)</f>
        <v>0</v>
      </c>
      <c r="BH151" s="673">
        <f>IFERROR(__xludf.DUMMYFUNCTION("""COMPUTED_VALUE"""),0.3)</f>
        <v>0.3</v>
      </c>
      <c r="BI151" s="673">
        <f>IFERROR(__xludf.DUMMYFUNCTION("""COMPUTED_VALUE"""),0.0)</f>
        <v>0</v>
      </c>
      <c r="BJ151" s="673">
        <f>IFERROR(__xludf.DUMMYFUNCTION("""COMPUTED_VALUE"""),0.0)</f>
        <v>0</v>
      </c>
      <c r="BK151" s="673">
        <f>IFERROR(__xludf.DUMMYFUNCTION("""COMPUTED_VALUE"""),0.0)</f>
        <v>0</v>
      </c>
      <c r="BL151" s="673">
        <f>IFERROR(__xludf.DUMMYFUNCTION("""COMPUTED_VALUE"""),0.0)</f>
        <v>0</v>
      </c>
      <c r="BM151" s="674">
        <f>IFERROR(__xludf.DUMMYFUNCTION("""COMPUTED_VALUE"""),0.0)</f>
        <v>0</v>
      </c>
      <c r="BN151" s="674">
        <f>IFERROR(__xludf.DUMMYFUNCTION("""COMPUTED_VALUE"""),0.0)</f>
        <v>0</v>
      </c>
      <c r="BO151" s="675">
        <f>IFERROR(__xludf.DUMMYFUNCTION("""COMPUTED_VALUE"""),0.0)</f>
        <v>0</v>
      </c>
      <c r="BP151" s="675">
        <f>IFERROR(__xludf.DUMMYFUNCTION("""COMPUTED_VALUE"""),0.0)</f>
        <v>0</v>
      </c>
      <c r="BQ151" s="139"/>
      <c r="BR151" s="139">
        <f>IFERROR(__xludf.DUMMYFUNCTION("""COMPUTED_VALUE"""),2.0)</f>
        <v>2</v>
      </c>
      <c r="BS151" s="139" t="str">
        <f>IFERROR(__xludf.DUMMYFUNCTION("""COMPUTED_VALUE"""),"※移動を入力！(BV列)")</f>
        <v>※移動を入力！(BV列)</v>
      </c>
      <c r="BT151" s="139" t="str">
        <f>IFERROR(__xludf.DUMMYFUNCTION("""COMPUTED_VALUE"""),"※攻撃手段を入力(BQ列)")</f>
        <v>※攻撃手段を入力(BQ列)</v>
      </c>
      <c r="BU151" s="139">
        <f>IFERROR(__xludf.DUMMYFUNCTION("""COMPUTED_VALUE"""),0.0)</f>
        <v>0</v>
      </c>
      <c r="BV151" s="139"/>
      <c r="BW151" s="139"/>
      <c r="BX151" s="139" t="str">
        <f>IFERROR(__xludf.DUMMYFUNCTION("""COMPUTED_VALUE"""),"※特性を選択!!(BW列)")</f>
        <v>※特性を選択!!(BW列)</v>
      </c>
      <c r="BY151" s="139">
        <f>IFERROR(__xludf.DUMMYFUNCTION("""COMPUTED_VALUE"""),2.0)</f>
        <v>2</v>
      </c>
      <c r="BZ151" s="139"/>
      <c r="CA151" s="139" t="str">
        <f>IFERROR(__xludf.DUMMYFUNCTION("""COMPUTED_VALUE"""),"※特性を選択!!(BW列)")</f>
        <v>※特性を選択!!(BW列)</v>
      </c>
      <c r="CB151" s="139" t="str">
        <f>IFERROR(__xludf.DUMMYFUNCTION("""COMPUTED_VALUE"""),"-")</f>
        <v>-</v>
      </c>
      <c r="CC151" s="139" t="str">
        <f>IFERROR(__xludf.DUMMYFUNCTION("""COMPUTED_VALUE"""),"※ID管理未記入")</f>
        <v>※ID管理未記入</v>
      </c>
      <c r="CD151" s="139"/>
      <c r="CE151" s="139" t="str">
        <f>IFERROR(__xludf.DUMMYFUNCTION("""COMPUTED_VALUE"""),"該当なし")</f>
        <v>該当なし</v>
      </c>
      <c r="CF151" s="139" t="str">
        <f>IFERROR(__xludf.DUMMYFUNCTION("""COMPUTED_VALUE"""),"#VALUE!")</f>
        <v>#VALUE!</v>
      </c>
      <c r="CG151" s="139"/>
      <c r="CH151" s="139"/>
      <c r="CI151" s="139" t="str">
        <f>IFERROR(__xludf.DUMMYFUNCTION("""COMPUTED_VALUE"""),"該当なし")</f>
        <v>該当なし</v>
      </c>
      <c r="CJ151" s="139" t="str">
        <f>IFERROR(__xludf.DUMMYFUNCTION("""COMPUTED_VALUE"""),"#VALUE!")</f>
        <v>#VALUE!</v>
      </c>
      <c r="CK151" s="139"/>
      <c r="CL151" s="139"/>
      <c r="CM151" s="139"/>
      <c r="CN151" s="675">
        <f>IFERROR(__xludf.DUMMYFUNCTION("""COMPUTED_VALUE"""),5.0)</f>
        <v>5</v>
      </c>
      <c r="CO151" s="139" t="str">
        <f>IFERROR(__xludf.DUMMYFUNCTION("""COMPUTED_VALUE"""),"-")</f>
        <v>-</v>
      </c>
      <c r="CP151" s="139" t="str">
        <f>IFERROR(__xludf.DUMMYFUNCTION("""COMPUTED_VALUE"""),"-")</f>
        <v>-</v>
      </c>
      <c r="CQ151" s="139" t="str">
        <f>IFERROR(__xludf.DUMMYFUNCTION("""COMPUTED_VALUE"""),"-")</f>
        <v>-</v>
      </c>
      <c r="CR151" s="139"/>
      <c r="CS151" s="139"/>
      <c r="CT151" s="139"/>
      <c r="CU151" s="139"/>
      <c r="CV151" s="139"/>
      <c r="CW151" s="139"/>
      <c r="CX151" s="674" t="str">
        <f>IFERROR(__xludf.DUMMYFUNCTION("""COMPUTED_VALUE"""),"")</f>
        <v/>
      </c>
      <c r="CY151" s="675" t="str">
        <f>IFERROR(__xludf.DUMMYFUNCTION("""COMPUTED_VALUE"""),"")</f>
        <v/>
      </c>
      <c r="CZ151" s="688" t="str">
        <f>IFERROR(__xludf.DUMMYFUNCTION("""COMPUTED_VALUE"""),"-")</f>
        <v>-</v>
      </c>
      <c r="DA151" s="688">
        <f>IFERROR(__xludf.DUMMYFUNCTION("""COMPUTED_VALUE"""),0.0)</f>
        <v>0</v>
      </c>
      <c r="DB151" s="688">
        <f>IFERROR(__xludf.DUMMYFUNCTION("""COMPUTED_VALUE"""),0.0)</f>
        <v>0</v>
      </c>
      <c r="DC151" s="673" t="str">
        <f>IFERROR(__xludf.DUMMYFUNCTION("""COMPUTED_VALUE"""),"-")</f>
        <v>-</v>
      </c>
      <c r="DD151" s="673" t="str">
        <f>IFERROR(__xludf.DUMMYFUNCTION("""COMPUTED_VALUE"""),"-")</f>
        <v>-</v>
      </c>
      <c r="DE151" s="139" t="str">
        <f>IFERROR(__xludf.DUMMYFUNCTION("""COMPUTED_VALUE"""),"-")</f>
        <v>-</v>
      </c>
      <c r="DF151" s="139" t="str">
        <f>IFERROR(__xludf.DUMMYFUNCTION("""COMPUTED_VALUE"""),"-")</f>
        <v>-</v>
      </c>
      <c r="DG151" s="139" t="str">
        <f>IFERROR(__xludf.DUMMYFUNCTION("""COMPUTED_VALUE"""),"-")</f>
        <v>-</v>
      </c>
      <c r="DH151" s="139" t="str">
        <f>IFERROR(__xludf.DUMMYFUNCTION("""COMPUTED_VALUE"""),"-")</f>
        <v>-</v>
      </c>
      <c r="DI151" s="139" t="str">
        <f>IFERROR(__xludf.DUMMYFUNCTION("""COMPUTED_VALUE"""),"-")</f>
        <v>-</v>
      </c>
      <c r="DJ151" s="139" t="str">
        <f>IFERROR(__xludf.DUMMYFUNCTION("""COMPUTED_VALUE"""),"-")</f>
        <v>-</v>
      </c>
    </row>
    <row r="152">
      <c r="A152" s="139" t="str">
        <f>IFERROR(__xludf.DUMMYFUNCTION("""COMPUTED_VALUE"""),"該当なし")</f>
        <v>該当なし</v>
      </c>
      <c r="B152" s="139" t="str">
        <f>IFERROR(__xludf.DUMMYFUNCTION("""COMPUTED_VALUE"""),"該当なし")</f>
        <v>該当なし</v>
      </c>
      <c r="C152" s="139" t="str">
        <f>IFERROR(__xludf.DUMMYFUNCTION("""COMPUTED_VALUE"""),"#REF!")</f>
        <v>#REF!</v>
      </c>
      <c r="D152" s="139" t="str">
        <f>IFERROR(__xludf.DUMMYFUNCTION("""COMPUTED_VALUE"""),"#REF!")</f>
        <v>#REF!</v>
      </c>
      <c r="E152" s="139" t="str">
        <f>IFERROR(__xludf.DUMMYFUNCTION("""COMPUTED_VALUE"""),"#REF!")</f>
        <v>#REF!</v>
      </c>
      <c r="F152" s="139" t="str">
        <f>IFERROR(__xludf.DUMMYFUNCTION("""COMPUTED_VALUE"""),"#REF!")</f>
        <v>#REF!</v>
      </c>
      <c r="G152" s="139" t="str">
        <f>IFERROR(__xludf.DUMMYFUNCTION("""COMPUTED_VALUE"""),"該当なし")</f>
        <v>該当なし</v>
      </c>
      <c r="H152" s="139" t="str">
        <f>IFERROR(__xludf.DUMMYFUNCTION("""COMPUTED_VALUE"""),"#REF!")</f>
        <v>#REF!</v>
      </c>
      <c r="I152" s="139" t="str">
        <f>IFERROR(__xludf.DUMMYFUNCTION("""COMPUTED_VALUE"""),"#REF!")</f>
        <v>#REF!</v>
      </c>
      <c r="J152" s="139" t="str">
        <f>IFERROR(__xludf.DUMMYFUNCTION("""COMPUTED_VALUE"""),"#REF!")</f>
        <v>#REF!</v>
      </c>
      <c r="K152" s="139" t="str">
        <f>IFERROR(__xludf.DUMMYFUNCTION("""COMPUTED_VALUE"""),"#REF!")</f>
        <v>#REF!</v>
      </c>
      <c r="L152" s="139" t="str">
        <f>IFERROR(__xludf.DUMMYFUNCTION("""COMPUTED_VALUE"""),"※")</f>
        <v>※</v>
      </c>
      <c r="M152" s="674">
        <f>IFERROR(__xludf.DUMMYFUNCTION("""COMPUTED_VALUE"""),0.0)</f>
        <v>0</v>
      </c>
      <c r="N152" s="139">
        <f>IFERROR(__xludf.DUMMYFUNCTION("""COMPUTED_VALUE"""),0.0)</f>
        <v>0</v>
      </c>
      <c r="O152" s="139"/>
      <c r="P152" s="139">
        <f>IFERROR(__xludf.DUMMYFUNCTION("""COMPUTED_VALUE"""),0.0)</f>
        <v>0</v>
      </c>
      <c r="Q152" s="675">
        <f>IFERROR(__xludf.DUMMYFUNCTION("""COMPUTED_VALUE"""),0.0)</f>
        <v>0</v>
      </c>
      <c r="R152" s="675">
        <f>IFERROR(__xludf.DUMMYFUNCTION("""COMPUTED_VALUE"""),0.0)</f>
        <v>0</v>
      </c>
      <c r="S152" s="675">
        <f>IFERROR(__xludf.DUMMYFUNCTION("""COMPUTED_VALUE"""),-2.5)</f>
        <v>-2.5</v>
      </c>
      <c r="T152" s="674" t="str">
        <f>IFERROR(__xludf.DUMMYFUNCTION("""COMPUTED_VALUE"""),"#REF!")</f>
        <v>#REF!</v>
      </c>
      <c r="U152" s="675" t="str">
        <f>IFERROR(__xludf.DUMMYFUNCTION("""COMPUTED_VALUE"""),"#REF!")</f>
        <v>#REF!</v>
      </c>
      <c r="V152" s="675">
        <f>IFERROR(__xludf.DUMMYFUNCTION("""COMPUTED_VALUE"""),0.0)</f>
        <v>0</v>
      </c>
      <c r="W152" s="675" t="str">
        <f>IFERROR(__xludf.DUMMYFUNCTION("""COMPUTED_VALUE"""),"#REF!")</f>
        <v>#REF!</v>
      </c>
      <c r="X152" s="675">
        <f>IFERROR(__xludf.DUMMYFUNCTION("""COMPUTED_VALUE"""),0.0)</f>
        <v>0</v>
      </c>
      <c r="Y152" s="674" t="str">
        <f>IFERROR(__xludf.DUMMYFUNCTION("""COMPUTED_VALUE"""),"#REF!")</f>
        <v>#REF!</v>
      </c>
      <c r="Z152" s="675" t="str">
        <f>IFERROR(__xludf.DUMMYFUNCTION("""COMPUTED_VALUE"""),"#REF!")</f>
        <v>#REF!</v>
      </c>
      <c r="AA152" s="675">
        <f>IFERROR(__xludf.DUMMYFUNCTION("""COMPUTED_VALUE"""),0.0)</f>
        <v>0</v>
      </c>
      <c r="AB152" s="673" t="str">
        <f>IFERROR(__xludf.DUMMYFUNCTION("""COMPUTED_VALUE"""),"#REF!")</f>
        <v>#REF!</v>
      </c>
      <c r="AC152" s="675">
        <f>IFERROR(__xludf.DUMMYFUNCTION("""COMPUTED_VALUE"""),0.0)</f>
        <v>0</v>
      </c>
      <c r="AD152" s="674" t="str">
        <f>IFERROR(__xludf.DUMMYFUNCTION("""COMPUTED_VALUE"""),"#REF!")</f>
        <v>#REF!</v>
      </c>
      <c r="AE152" s="675" t="str">
        <f>IFERROR(__xludf.DUMMYFUNCTION("""COMPUTED_VALUE"""),"#REF!")</f>
        <v>#REF!</v>
      </c>
      <c r="AF152" s="675">
        <f>IFERROR(__xludf.DUMMYFUNCTION("""COMPUTED_VALUE"""),0.0)</f>
        <v>0</v>
      </c>
      <c r="AG152" s="673">
        <f>IFERROR(__xludf.DUMMYFUNCTION("""COMPUTED_VALUE"""),0.0)</f>
        <v>0</v>
      </c>
      <c r="AH152" s="675" t="str">
        <f>IFERROR(__xludf.DUMMYFUNCTION("""COMPUTED_VALUE"""),"#REF!")</f>
        <v>#REF!</v>
      </c>
      <c r="AI152" s="139" t="str">
        <f>IFERROR(__xludf.DUMMYFUNCTION("""COMPUTED_VALUE"""),"#REF!")</f>
        <v>#REF!</v>
      </c>
      <c r="AJ152" s="675" t="str">
        <f>IFERROR(__xludf.DUMMYFUNCTION("""COMPUTED_VALUE"""),"#REF!")</f>
        <v>#REF!</v>
      </c>
      <c r="AK152" s="139" t="str">
        <f>IFERROR(__xludf.DUMMYFUNCTION("""COMPUTED_VALUE"""),"#REF!")</f>
        <v>#REF!</v>
      </c>
      <c r="AL152" s="674" t="str">
        <f>IFERROR(__xludf.DUMMYFUNCTION("""COMPUTED_VALUE"""),"#REF!")</f>
        <v>#REF!</v>
      </c>
      <c r="AM152" s="688" t="str">
        <f>IFERROR(__xludf.DUMMYFUNCTION("""COMPUTED_VALUE"""),"#REF!")</f>
        <v>#REF!</v>
      </c>
      <c r="AN152" s="675" t="str">
        <f>IFERROR(__xludf.DUMMYFUNCTION("""COMPUTED_VALUE"""),"#REF!")</f>
        <v>#REF!</v>
      </c>
      <c r="AO152" s="675" t="str">
        <f>IFERROR(__xludf.DUMMYFUNCTION("""COMPUTED_VALUE"""),"#REF!")</f>
        <v>#REF!</v>
      </c>
      <c r="AP152" s="674">
        <f>IFERROR(__xludf.DUMMYFUNCTION("""COMPUTED_VALUE"""),0.0)</f>
        <v>0</v>
      </c>
      <c r="AQ152" s="673" t="str">
        <f>IFERROR(__xludf.DUMMYFUNCTION("""COMPUTED_VALUE"""),"#REF!")</f>
        <v>#REF!</v>
      </c>
      <c r="AR152" s="673">
        <f>IFERROR(__xludf.DUMMYFUNCTION("""COMPUTED_VALUE"""),0.0)</f>
        <v>0</v>
      </c>
      <c r="AS152" s="673">
        <f>IFERROR(__xludf.DUMMYFUNCTION("""COMPUTED_VALUE"""),0.0)</f>
        <v>0</v>
      </c>
      <c r="AT152" s="673">
        <f>IFERROR(__xludf.DUMMYFUNCTION("""COMPUTED_VALUE"""),0.0)</f>
        <v>0</v>
      </c>
      <c r="AU152" s="675" t="str">
        <f>IFERROR(__xludf.DUMMYFUNCTION("""COMPUTED_VALUE"""),"#REF!")</f>
        <v>#REF!</v>
      </c>
      <c r="AV152" s="675">
        <f>IFERROR(__xludf.DUMMYFUNCTION("""COMPUTED_VALUE"""),0.0)</f>
        <v>0</v>
      </c>
      <c r="AW152" s="139"/>
      <c r="AX152" s="674" t="str">
        <f>IFERROR(__xludf.DUMMYFUNCTION("""COMPUTED_VALUE"""),"※通常攻撃範囲を入力！(CD列)")</f>
        <v>※通常攻撃範囲を入力！(CD列)</v>
      </c>
      <c r="AY152" s="688" t="str">
        <f>IFERROR(__xludf.DUMMYFUNCTION("""COMPUTED_VALUE"""),"#VALUE!")</f>
        <v>#VALUE!</v>
      </c>
      <c r="AZ152" s="674" t="str">
        <f>IFERROR(__xludf.DUMMYFUNCTION("""COMPUTED_VALUE"""),"#REF!")</f>
        <v>#REF!</v>
      </c>
      <c r="BA152" s="688" t="str">
        <f>IFERROR(__xludf.DUMMYFUNCTION("""COMPUTED_VALUE"""),"#VALUE!")</f>
        <v>#VALUE!</v>
      </c>
      <c r="BB152" s="688" t="str">
        <f>IFERROR(__xludf.DUMMYFUNCTION("""COMPUTED_VALUE"""),"-")</f>
        <v>-</v>
      </c>
      <c r="BC152" s="688" t="str">
        <f>IFERROR(__xludf.DUMMYFUNCTION("""COMPUTED_VALUE"""),"#REF!")</f>
        <v>#REF!</v>
      </c>
      <c r="BD152" s="688" t="str">
        <f>IFERROR(__xludf.DUMMYFUNCTION("""COMPUTED_VALUE"""),"#VALUE!")</f>
        <v>#VALUE!</v>
      </c>
      <c r="BE152" s="674" t="str">
        <f>IFERROR(__xludf.DUMMYFUNCTION("""COMPUTED_VALUE"""),"#REF!")</f>
        <v>#REF!</v>
      </c>
      <c r="BF152" s="674">
        <f>IFERROR(__xludf.DUMMYFUNCTION("""COMPUTED_VALUE"""),0.0)</f>
        <v>0</v>
      </c>
      <c r="BG152" s="673">
        <f>IFERROR(__xludf.DUMMYFUNCTION("""COMPUTED_VALUE"""),0.0)</f>
        <v>0</v>
      </c>
      <c r="BH152" s="673" t="str">
        <f>IFERROR(__xludf.DUMMYFUNCTION("""COMPUTED_VALUE"""),"#REF!")</f>
        <v>#REF!</v>
      </c>
      <c r="BI152" s="673" t="str">
        <f>IFERROR(__xludf.DUMMYFUNCTION("""COMPUTED_VALUE"""),"#REF!")</f>
        <v>#REF!</v>
      </c>
      <c r="BJ152" s="673">
        <f>IFERROR(__xludf.DUMMYFUNCTION("""COMPUTED_VALUE"""),0.0)</f>
        <v>0</v>
      </c>
      <c r="BK152" s="673">
        <f>IFERROR(__xludf.DUMMYFUNCTION("""COMPUTED_VALUE"""),0.0)</f>
        <v>0</v>
      </c>
      <c r="BL152" s="673" t="str">
        <f>IFERROR(__xludf.DUMMYFUNCTION("""COMPUTED_VALUE"""),"#REF!")</f>
        <v>#REF!</v>
      </c>
      <c r="BM152" s="674" t="str">
        <f>IFERROR(__xludf.DUMMYFUNCTION("""COMPUTED_VALUE"""),"#REF!")</f>
        <v>#REF!</v>
      </c>
      <c r="BN152" s="674" t="str">
        <f>IFERROR(__xludf.DUMMYFUNCTION("""COMPUTED_VALUE"""),"#REF!")</f>
        <v>#REF!</v>
      </c>
      <c r="BO152" s="675">
        <f>IFERROR(__xludf.DUMMYFUNCTION("""COMPUTED_VALUE"""),0.0)</f>
        <v>0</v>
      </c>
      <c r="BP152" s="675" t="str">
        <f>IFERROR(__xludf.DUMMYFUNCTION("""COMPUTED_VALUE"""),"#REF!")</f>
        <v>#REF!</v>
      </c>
      <c r="BQ152" s="139"/>
      <c r="BR152" s="139" t="str">
        <f>IFERROR(__xludf.DUMMYFUNCTION("""COMPUTED_VALUE"""),"#REF!")</f>
        <v>#REF!</v>
      </c>
      <c r="BS152" s="139" t="str">
        <f>IFERROR(__xludf.DUMMYFUNCTION("""COMPUTED_VALUE"""),"※移動を入力！(BV列)")</f>
        <v>※移動を入力！(BV列)</v>
      </c>
      <c r="BT152" s="139" t="str">
        <f>IFERROR(__xludf.DUMMYFUNCTION("""COMPUTED_VALUE"""),"※攻撃手段を入力(BQ列)")</f>
        <v>※攻撃手段を入力(BQ列)</v>
      </c>
      <c r="BU152" s="139">
        <f>IFERROR(__xludf.DUMMYFUNCTION("""COMPUTED_VALUE"""),0.0)</f>
        <v>0</v>
      </c>
      <c r="BV152" s="139"/>
      <c r="BW152" s="139"/>
      <c r="BX152" s="139" t="str">
        <f>IFERROR(__xludf.DUMMYFUNCTION("""COMPUTED_VALUE"""),"※特性を選択!!(BW列)")</f>
        <v>※特性を選択!!(BW列)</v>
      </c>
      <c r="BY152" s="139" t="str">
        <f>IFERROR(__xludf.DUMMYFUNCTION("""COMPUTED_VALUE"""),"#REF!")</f>
        <v>#REF!</v>
      </c>
      <c r="BZ152" s="139"/>
      <c r="CA152" s="139" t="str">
        <f>IFERROR(__xludf.DUMMYFUNCTION("""COMPUTED_VALUE"""),"※特性を選択!!(BW列)")</f>
        <v>※特性を選択!!(BW列)</v>
      </c>
      <c r="CB152" s="139" t="str">
        <f>IFERROR(__xludf.DUMMYFUNCTION("""COMPUTED_VALUE"""),"#REF!")</f>
        <v>#REF!</v>
      </c>
      <c r="CC152" s="139" t="str">
        <f>IFERROR(__xludf.DUMMYFUNCTION("""COMPUTED_VALUE"""),"該当なし")</f>
        <v>該当なし</v>
      </c>
      <c r="CD152" s="139"/>
      <c r="CE152" s="139" t="str">
        <f>IFERROR(__xludf.DUMMYFUNCTION("""COMPUTED_VALUE"""),"#REF!")</f>
        <v>#REF!</v>
      </c>
      <c r="CF152" s="139" t="str">
        <f>IFERROR(__xludf.DUMMYFUNCTION("""COMPUTED_VALUE"""),"#VALUE!")</f>
        <v>#VALUE!</v>
      </c>
      <c r="CG152" s="139"/>
      <c r="CH152" s="139"/>
      <c r="CI152" s="139" t="str">
        <f>IFERROR(__xludf.DUMMYFUNCTION("""COMPUTED_VALUE"""),"#REF!")</f>
        <v>#REF!</v>
      </c>
      <c r="CJ152" s="139" t="str">
        <f>IFERROR(__xludf.DUMMYFUNCTION("""COMPUTED_VALUE"""),"#VALUE!")</f>
        <v>#VALUE!</v>
      </c>
      <c r="CK152" s="139"/>
      <c r="CL152" s="139"/>
      <c r="CM152" s="139"/>
      <c r="CN152" s="675" t="str">
        <f>IFERROR(__xludf.DUMMYFUNCTION("""COMPUTED_VALUE"""),"#REF!")</f>
        <v>#REF!</v>
      </c>
      <c r="CO152" s="139" t="str">
        <f>IFERROR(__xludf.DUMMYFUNCTION("""COMPUTED_VALUE"""),"-")</f>
        <v>-</v>
      </c>
      <c r="CP152" s="139" t="str">
        <f>IFERROR(__xludf.DUMMYFUNCTION("""COMPUTED_VALUE"""),"-")</f>
        <v>-</v>
      </c>
      <c r="CQ152" s="139" t="str">
        <f>IFERROR(__xludf.DUMMYFUNCTION("""COMPUTED_VALUE"""),"#REF!")</f>
        <v>#REF!</v>
      </c>
      <c r="CR152" s="139"/>
      <c r="CS152" s="139"/>
      <c r="CT152" s="139"/>
      <c r="CU152" s="139"/>
      <c r="CV152" s="139"/>
      <c r="CW152" s="139"/>
      <c r="CX152" s="674" t="str">
        <f>IFERROR(__xludf.DUMMYFUNCTION("""COMPUTED_VALUE"""),"")</f>
        <v/>
      </c>
      <c r="CY152" s="675" t="str">
        <f>IFERROR(__xludf.DUMMYFUNCTION("""COMPUTED_VALUE"""),"")</f>
        <v/>
      </c>
      <c r="CZ152" s="688" t="str">
        <f>IFERROR(__xludf.DUMMYFUNCTION("""COMPUTED_VALUE"""),"-")</f>
        <v>-</v>
      </c>
      <c r="DA152" s="688">
        <f>IFERROR(__xludf.DUMMYFUNCTION("""COMPUTED_VALUE"""),0.0)</f>
        <v>0</v>
      </c>
      <c r="DB152" s="688">
        <f>IFERROR(__xludf.DUMMYFUNCTION("""COMPUTED_VALUE"""),0.0)</f>
        <v>0</v>
      </c>
      <c r="DC152" s="673" t="str">
        <f>IFERROR(__xludf.DUMMYFUNCTION("""COMPUTED_VALUE"""),"-")</f>
        <v>-</v>
      </c>
      <c r="DD152" s="673" t="str">
        <f>IFERROR(__xludf.DUMMYFUNCTION("""COMPUTED_VALUE"""),"-")</f>
        <v>-</v>
      </c>
      <c r="DE152" s="139" t="str">
        <f>IFERROR(__xludf.DUMMYFUNCTION("""COMPUTED_VALUE"""),"-")</f>
        <v>-</v>
      </c>
      <c r="DF152" s="139" t="str">
        <f>IFERROR(__xludf.DUMMYFUNCTION("""COMPUTED_VALUE"""),"-")</f>
        <v>-</v>
      </c>
      <c r="DG152" s="139" t="str">
        <f>IFERROR(__xludf.DUMMYFUNCTION("""COMPUTED_VALUE"""),"-")</f>
        <v>-</v>
      </c>
      <c r="DH152" s="139" t="str">
        <f>IFERROR(__xludf.DUMMYFUNCTION("""COMPUTED_VALUE"""),"-")</f>
        <v>-</v>
      </c>
      <c r="DI152" s="139" t="str">
        <f>IFERROR(__xludf.DUMMYFUNCTION("""COMPUTED_VALUE"""),"-")</f>
        <v>-</v>
      </c>
      <c r="DJ152" s="139" t="str">
        <f>IFERROR(__xludf.DUMMYFUNCTION("""COMPUTED_VALUE"""),"-")</f>
        <v>-</v>
      </c>
    </row>
    <row r="153">
      <c r="A153" s="139" t="str">
        <f>IFERROR(__xludf.DUMMYFUNCTION("""COMPUTED_VALUE"""),"ちえりの恋は8メートル")</f>
        <v>ちえりの恋は8メートル</v>
      </c>
      <c r="B153" s="139" t="str">
        <f>IFERROR(__xludf.DUMMYFUNCTION("""COMPUTED_VALUE"""),"(仮)大峰 ちえり
")</f>
        <v>(仮)大峰 ちえり
</v>
      </c>
      <c r="C153" s="139" t="str">
        <f>IFERROR(__xludf.DUMMYFUNCTION("""COMPUTED_VALUE"""),"chara_c8m_00001")</f>
        <v>chara_c8m_00001</v>
      </c>
      <c r="D153" s="139" t="str">
        <f>IFERROR(__xludf.DUMMYFUNCTION("""COMPUTED_VALUE"""),"DropSR")</f>
        <v>DropSR</v>
      </c>
      <c r="E153" s="139" t="str">
        <f>IFERROR(__xludf.DUMMYFUNCTION("""COMPUTED_VALUE"""),"無")</f>
        <v>無</v>
      </c>
      <c r="F153" s="139" t="str">
        <f>IFERROR(__xludf.DUMMYFUNCTION("""COMPUTED_VALUE"""),"スペシャル")</f>
        <v>スペシャル</v>
      </c>
      <c r="G153" s="139" t="str">
        <f>IFERROR(__xludf.DUMMYFUNCTION("""COMPUTED_VALUE"""),"※ID管理未記入")</f>
        <v>※ID管理未記入</v>
      </c>
      <c r="H153" s="139" t="str">
        <f>IFERROR(__xludf.DUMMYFUNCTION("""COMPUTED_VALUE"""),"※ID管理未記入")</f>
        <v>※ID管理未記入</v>
      </c>
      <c r="I153" s="139" t="str">
        <f>IFERROR(__xludf.DUMMYFUNCTION("""COMPUTED_VALUE"""),"※ID管理未記入")</f>
        <v>※ID管理未記入</v>
      </c>
      <c r="J153" s="139" t="str">
        <f>IFERROR(__xludf.DUMMYFUNCTION("""COMPUTED_VALUE"""),"プラン確認")</f>
        <v>プラン確認</v>
      </c>
      <c r="K153" s="139" t="str">
        <f>IFERROR(__xludf.DUMMYFUNCTION("""COMPUTED_VALUE"""),"※ID管理未記入")</f>
        <v>※ID管理未記入</v>
      </c>
      <c r="L153" s="139" t="str">
        <f>IFERROR(__xludf.DUMMYFUNCTION("""COMPUTED_VALUE"""),"※")</f>
        <v>※</v>
      </c>
      <c r="M153" s="674">
        <f>IFERROR(__xludf.DUMMYFUNCTION("""COMPUTED_VALUE"""),0.0)</f>
        <v>0</v>
      </c>
      <c r="N153" s="139">
        <f>IFERROR(__xludf.DUMMYFUNCTION("""COMPUTED_VALUE"""),0.0)</f>
        <v>0</v>
      </c>
      <c r="O153" s="139"/>
      <c r="P153" s="139">
        <f>IFERROR(__xludf.DUMMYFUNCTION("""COMPUTED_VALUE"""),0.0)</f>
        <v>0</v>
      </c>
      <c r="Q153" s="675">
        <f>IFERROR(__xludf.DUMMYFUNCTION("""COMPUTED_VALUE"""),0.0)</f>
        <v>0</v>
      </c>
      <c r="R153" s="675">
        <f>IFERROR(__xludf.DUMMYFUNCTION("""COMPUTED_VALUE"""),0.0)</f>
        <v>0</v>
      </c>
      <c r="S153" s="675">
        <f>IFERROR(__xludf.DUMMYFUNCTION("""COMPUTED_VALUE"""),-2.5)</f>
        <v>-2.5</v>
      </c>
      <c r="T153" s="674">
        <f>IFERROR(__xludf.DUMMYFUNCTION("""COMPUTED_VALUE"""),225.0)</f>
        <v>225</v>
      </c>
      <c r="U153" s="675">
        <f>IFERROR(__xludf.DUMMYFUNCTION("""COMPUTED_VALUE"""),4.5)</f>
        <v>4.5</v>
      </c>
      <c r="V153" s="675">
        <f>IFERROR(__xludf.DUMMYFUNCTION("""COMPUTED_VALUE"""),0.0)</f>
        <v>0</v>
      </c>
      <c r="W153" s="675">
        <f>IFERROR(__xludf.DUMMYFUNCTION("""COMPUTED_VALUE"""),0.0)</f>
        <v>0</v>
      </c>
      <c r="X153" s="675">
        <f>IFERROR(__xludf.DUMMYFUNCTION("""COMPUTED_VALUE"""),0.0)</f>
        <v>0</v>
      </c>
      <c r="Y153" s="674">
        <f>IFERROR(__xludf.DUMMYFUNCTION("""COMPUTED_VALUE"""),100.0)</f>
        <v>100</v>
      </c>
      <c r="Z153" s="675">
        <f>IFERROR(__xludf.DUMMYFUNCTION("""COMPUTED_VALUE"""),2.0)</f>
        <v>2</v>
      </c>
      <c r="AA153" s="675">
        <f>IFERROR(__xludf.DUMMYFUNCTION("""COMPUTED_VALUE"""),0.0)</f>
        <v>0</v>
      </c>
      <c r="AB153" s="673">
        <f>IFERROR(__xludf.DUMMYFUNCTION("""COMPUTED_VALUE"""),0.0)</f>
        <v>0</v>
      </c>
      <c r="AC153" s="675">
        <f>IFERROR(__xludf.DUMMYFUNCTION("""COMPUTED_VALUE"""),0.0)</f>
        <v>0</v>
      </c>
      <c r="AD153" s="674">
        <f>IFERROR(__xludf.DUMMYFUNCTION("""COMPUTED_VALUE"""),250.0)</f>
        <v>250</v>
      </c>
      <c r="AE153" s="675">
        <f>IFERROR(__xludf.DUMMYFUNCTION("""COMPUTED_VALUE"""),5.0)</f>
        <v>5</v>
      </c>
      <c r="AF153" s="675">
        <f>IFERROR(__xludf.DUMMYFUNCTION("""COMPUTED_VALUE"""),0.0)</f>
        <v>0</v>
      </c>
      <c r="AG153" s="673">
        <f>IFERROR(__xludf.DUMMYFUNCTION("""COMPUTED_VALUE"""),0.0)</f>
        <v>0</v>
      </c>
      <c r="AH153" s="675">
        <f>IFERROR(__xludf.DUMMYFUNCTION("""COMPUTED_VALUE"""),0.0)</f>
        <v>0</v>
      </c>
      <c r="AI153" s="675">
        <f>IFERROR(__xludf.DUMMYFUNCTION("""COMPUTED_VALUE"""),5.0)</f>
        <v>5</v>
      </c>
      <c r="AJ153" s="675">
        <f>IFERROR(__xludf.DUMMYFUNCTION("""COMPUTED_VALUE"""),0.0)</f>
        <v>0</v>
      </c>
      <c r="AK153" s="139">
        <f>IFERROR(__xludf.DUMMYFUNCTION("""COMPUTED_VALUE"""),1.0)</f>
        <v>1</v>
      </c>
      <c r="AL153" s="674">
        <f>IFERROR(__xludf.DUMMYFUNCTION("""COMPUTED_VALUE"""),0.0)</f>
        <v>0</v>
      </c>
      <c r="AM153" s="688">
        <f>IFERROR(__xludf.DUMMYFUNCTION("""COMPUTED_VALUE"""),0.0)</f>
        <v>0</v>
      </c>
      <c r="AN153" s="675">
        <f>IFERROR(__xludf.DUMMYFUNCTION("""COMPUTED_VALUE"""),0.0)</f>
        <v>0</v>
      </c>
      <c r="AO153" s="675">
        <f>IFERROR(__xludf.DUMMYFUNCTION("""COMPUTED_VALUE"""),0.0)</f>
        <v>0</v>
      </c>
      <c r="AP153" s="674">
        <f>IFERROR(__xludf.DUMMYFUNCTION("""COMPUTED_VALUE"""),0.0)</f>
        <v>0</v>
      </c>
      <c r="AQ153" s="673">
        <f>IFERROR(__xludf.DUMMYFUNCTION("""COMPUTED_VALUE"""),0.0)</f>
        <v>0</v>
      </c>
      <c r="AR153" s="673">
        <f>IFERROR(__xludf.DUMMYFUNCTION("""COMPUTED_VALUE"""),0.0)</f>
        <v>0</v>
      </c>
      <c r="AS153" s="673">
        <f>IFERROR(__xludf.DUMMYFUNCTION("""COMPUTED_VALUE"""),0.0)</f>
        <v>0</v>
      </c>
      <c r="AT153" s="673">
        <f>IFERROR(__xludf.DUMMYFUNCTION("""COMPUTED_VALUE"""),0.0)</f>
        <v>0</v>
      </c>
      <c r="AU153" s="675">
        <f>IFERROR(__xludf.DUMMYFUNCTION("""COMPUTED_VALUE"""),0.0)</f>
        <v>0</v>
      </c>
      <c r="AV153" s="675">
        <f>IFERROR(__xludf.DUMMYFUNCTION("""COMPUTED_VALUE"""),0.0)</f>
        <v>0</v>
      </c>
      <c r="AW153" s="139"/>
      <c r="AX153" s="674" t="str">
        <f>IFERROR(__xludf.DUMMYFUNCTION("""COMPUTED_VALUE"""),"※通常攻撃範囲を入力！(CD列)")</f>
        <v>※通常攻撃範囲を入力！(CD列)</v>
      </c>
      <c r="AY153" s="688" t="str">
        <f>IFERROR(__xludf.DUMMYFUNCTION("""COMPUTED_VALUE"""),"#VALUE!")</f>
        <v>#VALUE!</v>
      </c>
      <c r="AZ153" s="674" t="str">
        <f>IFERROR(__xludf.DUMMYFUNCTION("""COMPUTED_VALUE"""),"#VALUE!")</f>
        <v>#VALUE!</v>
      </c>
      <c r="BA153" s="688" t="str">
        <f>IFERROR(__xludf.DUMMYFUNCTION("""COMPUTED_VALUE"""),"#VALUE!")</f>
        <v>#VALUE!</v>
      </c>
      <c r="BB153" s="688" t="str">
        <f>IFERROR(__xludf.DUMMYFUNCTION("""COMPUTED_VALUE"""),"-")</f>
        <v>-</v>
      </c>
      <c r="BC153" s="688" t="str">
        <f>IFERROR(__xludf.DUMMYFUNCTION("""COMPUTED_VALUE"""),"#VALUE!")</f>
        <v>#VALUE!</v>
      </c>
      <c r="BD153" s="688" t="str">
        <f>IFERROR(__xludf.DUMMYFUNCTION("""COMPUTED_VALUE"""),"#VALUE!")</f>
        <v>#VALUE!</v>
      </c>
      <c r="BE153" s="674" t="str">
        <f>IFERROR(__xludf.DUMMYFUNCTION("""COMPUTED_VALUE"""),"#VALUE!")</f>
        <v>#VALUE!</v>
      </c>
      <c r="BF153" s="674">
        <f>IFERROR(__xludf.DUMMYFUNCTION("""COMPUTED_VALUE"""),0.0)</f>
        <v>0</v>
      </c>
      <c r="BG153" s="673">
        <f>IFERROR(__xludf.DUMMYFUNCTION("""COMPUTED_VALUE"""),0.0)</f>
        <v>0</v>
      </c>
      <c r="BH153" s="673">
        <f>IFERROR(__xludf.DUMMYFUNCTION("""COMPUTED_VALUE"""),0.0)</f>
        <v>0</v>
      </c>
      <c r="BI153" s="673">
        <f>IFERROR(__xludf.DUMMYFUNCTION("""COMPUTED_VALUE"""),0.0)</f>
        <v>0</v>
      </c>
      <c r="BJ153" s="673">
        <f>IFERROR(__xludf.DUMMYFUNCTION("""COMPUTED_VALUE"""),0.0)</f>
        <v>0</v>
      </c>
      <c r="BK153" s="673">
        <f>IFERROR(__xludf.DUMMYFUNCTION("""COMPUTED_VALUE"""),0.0)</f>
        <v>0</v>
      </c>
      <c r="BL153" s="673">
        <f>IFERROR(__xludf.DUMMYFUNCTION("""COMPUTED_VALUE"""),0.0)</f>
        <v>0</v>
      </c>
      <c r="BM153" s="674">
        <f>IFERROR(__xludf.DUMMYFUNCTION("""COMPUTED_VALUE"""),0.0)</f>
        <v>0</v>
      </c>
      <c r="BN153" s="674">
        <f>IFERROR(__xludf.DUMMYFUNCTION("""COMPUTED_VALUE"""),0.0)</f>
        <v>0</v>
      </c>
      <c r="BO153" s="675">
        <f>IFERROR(__xludf.DUMMYFUNCTION("""COMPUTED_VALUE"""),0.0)</f>
        <v>0</v>
      </c>
      <c r="BP153" s="675">
        <f>IFERROR(__xludf.DUMMYFUNCTION("""COMPUTED_VALUE"""),0.0)</f>
        <v>0</v>
      </c>
      <c r="BQ153" s="139"/>
      <c r="BR153" s="139" t="str">
        <f>IFERROR(__xludf.DUMMYFUNCTION("""COMPUTED_VALUE"""),"該当なし")</f>
        <v>該当なし</v>
      </c>
      <c r="BS153" s="139" t="str">
        <f>IFERROR(__xludf.DUMMYFUNCTION("""COMPUTED_VALUE"""),"※移動を入力！(BV列)")</f>
        <v>※移動を入力！(BV列)</v>
      </c>
      <c r="BT153" s="139" t="str">
        <f>IFERROR(__xludf.DUMMYFUNCTION("""COMPUTED_VALUE"""),"※攻撃手段を入力(BQ列)")</f>
        <v>※攻撃手段を入力(BQ列)</v>
      </c>
      <c r="BU153" s="139">
        <f>IFERROR(__xludf.DUMMYFUNCTION("""COMPUTED_VALUE"""),0.0)</f>
        <v>0</v>
      </c>
      <c r="BV153" s="139"/>
      <c r="BW153" s="139"/>
      <c r="BX153" s="139" t="str">
        <f>IFERROR(__xludf.DUMMYFUNCTION("""COMPUTED_VALUE"""),"※特性を選択!!(BW列)")</f>
        <v>※特性を選択!!(BW列)</v>
      </c>
      <c r="BY153" s="139" t="str">
        <f>IFERROR(__xludf.DUMMYFUNCTION("""COMPUTED_VALUE"""),"-")</f>
        <v>-</v>
      </c>
      <c r="BZ153" s="139"/>
      <c r="CA153" s="139" t="str">
        <f>IFERROR(__xludf.DUMMYFUNCTION("""COMPUTED_VALUE"""),"※特性を選択!!(BW列)")</f>
        <v>※特性を選択!!(BW列)</v>
      </c>
      <c r="CB153" s="139" t="str">
        <f>IFERROR(__xludf.DUMMYFUNCTION("""COMPUTED_VALUE"""),"-")</f>
        <v>-</v>
      </c>
      <c r="CC153" s="139" t="str">
        <f>IFERROR(__xludf.DUMMYFUNCTION("""COMPUTED_VALUE"""),"※ID管理未記入")</f>
        <v>※ID管理未記入</v>
      </c>
      <c r="CD153" s="139"/>
      <c r="CE153" s="139" t="str">
        <f>IFERROR(__xludf.DUMMYFUNCTION("""COMPUTED_VALUE"""),"-")</f>
        <v>-</v>
      </c>
      <c r="CF153" s="139" t="str">
        <f>IFERROR(__xludf.DUMMYFUNCTION("""COMPUTED_VALUE"""),"#VALUE!")</f>
        <v>#VALUE!</v>
      </c>
      <c r="CG153" s="139"/>
      <c r="CH153" s="139"/>
      <c r="CI153" s="139" t="str">
        <f>IFERROR(__xludf.DUMMYFUNCTION("""COMPUTED_VALUE"""),"-")</f>
        <v>-</v>
      </c>
      <c r="CJ153" s="139" t="str">
        <f>IFERROR(__xludf.DUMMYFUNCTION("""COMPUTED_VALUE"""),"#VALUE!")</f>
        <v>#VALUE!</v>
      </c>
      <c r="CK153" s="139"/>
      <c r="CL153" s="139"/>
      <c r="CM153" s="139"/>
      <c r="CN153" s="675" t="str">
        <f>IFERROR(__xludf.DUMMYFUNCTION("""COMPUTED_VALUE"""),"-")</f>
        <v>-</v>
      </c>
      <c r="CO153" s="139" t="str">
        <f>IFERROR(__xludf.DUMMYFUNCTION("""COMPUTED_VALUE"""),"-")</f>
        <v>-</v>
      </c>
      <c r="CP153" s="139" t="str">
        <f>IFERROR(__xludf.DUMMYFUNCTION("""COMPUTED_VALUE"""),"-")</f>
        <v>-</v>
      </c>
      <c r="CQ153" s="139" t="str">
        <f>IFERROR(__xludf.DUMMYFUNCTION("""COMPUTED_VALUE"""),"-")</f>
        <v>-</v>
      </c>
      <c r="CR153" s="139"/>
      <c r="CS153" s="139"/>
      <c r="CT153" s="139"/>
      <c r="CU153" s="139"/>
      <c r="CV153" s="139"/>
      <c r="CW153" s="139"/>
      <c r="CX153" s="674" t="str">
        <f>IFERROR(__xludf.DUMMYFUNCTION("""COMPUTED_VALUE"""),"")</f>
        <v/>
      </c>
      <c r="CY153" s="675" t="str">
        <f>IFERROR(__xludf.DUMMYFUNCTION("""COMPUTED_VALUE"""),"")</f>
        <v/>
      </c>
      <c r="CZ153" s="688" t="str">
        <f>IFERROR(__xludf.DUMMYFUNCTION("""COMPUTED_VALUE"""),"-")</f>
        <v>-</v>
      </c>
      <c r="DA153" s="688">
        <f>IFERROR(__xludf.DUMMYFUNCTION("""COMPUTED_VALUE"""),0.0)</f>
        <v>0</v>
      </c>
      <c r="DB153" s="688">
        <f>IFERROR(__xludf.DUMMYFUNCTION("""COMPUTED_VALUE"""),0.0)</f>
        <v>0</v>
      </c>
      <c r="DC153" s="673" t="str">
        <f>IFERROR(__xludf.DUMMYFUNCTION("""COMPUTED_VALUE"""),"-")</f>
        <v>-</v>
      </c>
      <c r="DD153" s="673" t="str">
        <f>IFERROR(__xludf.DUMMYFUNCTION("""COMPUTED_VALUE"""),"-")</f>
        <v>-</v>
      </c>
      <c r="DE153" s="139" t="str">
        <f>IFERROR(__xludf.DUMMYFUNCTION("""COMPUTED_VALUE"""),"-")</f>
        <v>-</v>
      </c>
      <c r="DF153" s="139" t="str">
        <f>IFERROR(__xludf.DUMMYFUNCTION("""COMPUTED_VALUE"""),"-")</f>
        <v>-</v>
      </c>
      <c r="DG153" s="139" t="str">
        <f>IFERROR(__xludf.DUMMYFUNCTION("""COMPUTED_VALUE"""),"-")</f>
        <v>-</v>
      </c>
      <c r="DH153" s="139" t="str">
        <f>IFERROR(__xludf.DUMMYFUNCTION("""COMPUTED_VALUE"""),"-")</f>
        <v>-</v>
      </c>
      <c r="DI153" s="139" t="str">
        <f>IFERROR(__xludf.DUMMYFUNCTION("""COMPUTED_VALUE"""),"-")</f>
        <v>-</v>
      </c>
      <c r="DJ153" s="139" t="str">
        <f>IFERROR(__xludf.DUMMYFUNCTION("""COMPUTED_VALUE"""),"-")</f>
        <v>-</v>
      </c>
    </row>
    <row r="154">
      <c r="A154" s="139" t="str">
        <f>IFERROR(__xludf.DUMMYFUNCTION("""COMPUTED_VALUE"""),"サマータイムレンダ")</f>
        <v>サマータイムレンダ</v>
      </c>
      <c r="B154" s="139" t="str">
        <f>IFERROR(__xludf.DUMMYFUNCTION("""COMPUTED_VALUE"""),"(仮)南方 ひづる")</f>
        <v>(仮)南方 ひづる</v>
      </c>
      <c r="C154" s="139" t="str">
        <f>IFERROR(__xludf.DUMMYFUNCTION("""COMPUTED_VALUE"""),"chara_sum_00301")</f>
        <v>chara_sum_00301</v>
      </c>
      <c r="D154" s="139" t="str">
        <f>IFERROR(__xludf.DUMMYFUNCTION("""COMPUTED_VALUE"""),"PremiumSSR")</f>
        <v>PremiumSSR</v>
      </c>
      <c r="E154" s="139" t="str">
        <f>IFERROR(__xludf.DUMMYFUNCTION("""COMPUTED_VALUE"""),"赤")</f>
        <v>赤</v>
      </c>
      <c r="F154" s="139" t="str">
        <f>IFERROR(__xludf.DUMMYFUNCTION("""COMPUTED_VALUE"""),"調整中")</f>
        <v>調整中</v>
      </c>
      <c r="G154" s="139" t="str">
        <f>IFERROR(__xludf.DUMMYFUNCTION("""COMPUTED_VALUE"""),"※ID管理未記入")</f>
        <v>※ID管理未記入</v>
      </c>
      <c r="H154" s="139" t="str">
        <f>IFERROR(__xludf.DUMMYFUNCTION("""COMPUTED_VALUE"""),"※ID管理未記入")</f>
        <v>※ID管理未記入</v>
      </c>
      <c r="I154" s="139" t="str">
        <f>IFERROR(__xludf.DUMMYFUNCTION("""COMPUTED_VALUE"""),"※ID管理未記入")</f>
        <v>※ID管理未記入</v>
      </c>
      <c r="J154" s="139" t="str">
        <f>IFERROR(__xludf.DUMMYFUNCTION("""COMPUTED_VALUE"""),"プラン確認")</f>
        <v>プラン確認</v>
      </c>
      <c r="K154" s="139" t="str">
        <f>IFERROR(__xludf.DUMMYFUNCTION("""COMPUTED_VALUE"""),"不明")</f>
        <v>不明</v>
      </c>
      <c r="L154" s="139" t="str">
        <f>IFERROR(__xludf.DUMMYFUNCTION("""COMPUTED_VALUE"""),"※")</f>
        <v>※</v>
      </c>
      <c r="M154" s="674">
        <f>IFERROR(__xludf.DUMMYFUNCTION("""COMPUTED_VALUE"""),0.0)</f>
        <v>0</v>
      </c>
      <c r="N154" s="139">
        <f>IFERROR(__xludf.DUMMYFUNCTION("""COMPUTED_VALUE"""),0.0)</f>
        <v>0</v>
      </c>
      <c r="O154" s="139"/>
      <c r="P154" s="139">
        <f>IFERROR(__xludf.DUMMYFUNCTION("""COMPUTED_VALUE"""),0.0)</f>
        <v>0</v>
      </c>
      <c r="Q154" s="675">
        <f>IFERROR(__xludf.DUMMYFUNCTION("""COMPUTED_VALUE"""),0.0)</f>
        <v>0</v>
      </c>
      <c r="R154" s="675">
        <f>IFERROR(__xludf.DUMMYFUNCTION("""COMPUTED_VALUE"""),0.0)</f>
        <v>0</v>
      </c>
      <c r="S154" s="675">
        <f>IFERROR(__xludf.DUMMYFUNCTION("""COMPUTED_VALUE"""),-2.5)</f>
        <v>-2.5</v>
      </c>
      <c r="T154" s="674">
        <f>IFERROR(__xludf.DUMMYFUNCTION("""COMPUTED_VALUE"""),225.0)</f>
        <v>225</v>
      </c>
      <c r="U154" s="675">
        <f>IFERROR(__xludf.DUMMYFUNCTION("""COMPUTED_VALUE"""),4.5)</f>
        <v>4.5</v>
      </c>
      <c r="V154" s="675">
        <f>IFERROR(__xludf.DUMMYFUNCTION("""COMPUTED_VALUE"""),0.0)</f>
        <v>0</v>
      </c>
      <c r="W154" s="675">
        <f>IFERROR(__xludf.DUMMYFUNCTION("""COMPUTED_VALUE"""),0.0)</f>
        <v>0</v>
      </c>
      <c r="X154" s="675">
        <f>IFERROR(__xludf.DUMMYFUNCTION("""COMPUTED_VALUE"""),0.0)</f>
        <v>0</v>
      </c>
      <c r="Y154" s="674">
        <f>IFERROR(__xludf.DUMMYFUNCTION("""COMPUTED_VALUE"""),100.0)</f>
        <v>100</v>
      </c>
      <c r="Z154" s="675">
        <f>IFERROR(__xludf.DUMMYFUNCTION("""COMPUTED_VALUE"""),2.0)</f>
        <v>2</v>
      </c>
      <c r="AA154" s="675">
        <f>IFERROR(__xludf.DUMMYFUNCTION("""COMPUTED_VALUE"""),0.0)</f>
        <v>0</v>
      </c>
      <c r="AB154" s="673">
        <f>IFERROR(__xludf.DUMMYFUNCTION("""COMPUTED_VALUE"""),0.0)</f>
        <v>0</v>
      </c>
      <c r="AC154" s="675">
        <f>IFERROR(__xludf.DUMMYFUNCTION("""COMPUTED_VALUE"""),0.0)</f>
        <v>0</v>
      </c>
      <c r="AD154" s="674">
        <f>IFERROR(__xludf.DUMMYFUNCTION("""COMPUTED_VALUE"""),250.0)</f>
        <v>250</v>
      </c>
      <c r="AE154" s="675">
        <f>IFERROR(__xludf.DUMMYFUNCTION("""COMPUTED_VALUE"""),5.0)</f>
        <v>5</v>
      </c>
      <c r="AF154" s="675">
        <f>IFERROR(__xludf.DUMMYFUNCTION("""COMPUTED_VALUE"""),0.0)</f>
        <v>0</v>
      </c>
      <c r="AG154" s="673">
        <f>IFERROR(__xludf.DUMMYFUNCTION("""COMPUTED_VALUE"""),0.0)</f>
        <v>0</v>
      </c>
      <c r="AH154" s="675">
        <f>IFERROR(__xludf.DUMMYFUNCTION("""COMPUTED_VALUE"""),0.0)</f>
        <v>0</v>
      </c>
      <c r="AI154" s="139" t="str">
        <f>IFERROR(__xludf.DUMMYFUNCTION("""COMPUTED_VALUE"""),"-")</f>
        <v>-</v>
      </c>
      <c r="AJ154" s="675" t="str">
        <f>IFERROR(__xludf.DUMMYFUNCTION("""COMPUTED_VALUE"""),"-")</f>
        <v>-</v>
      </c>
      <c r="AK154" s="139">
        <f>IFERROR(__xludf.DUMMYFUNCTION("""COMPUTED_VALUE"""),0.0)</f>
        <v>0</v>
      </c>
      <c r="AL154" s="674">
        <f>IFERROR(__xludf.DUMMYFUNCTION("""COMPUTED_VALUE"""),0.0)</f>
        <v>0</v>
      </c>
      <c r="AM154" s="688">
        <f>IFERROR(__xludf.DUMMYFUNCTION("""COMPUTED_VALUE"""),0.0)</f>
        <v>0</v>
      </c>
      <c r="AN154" s="675">
        <f>IFERROR(__xludf.DUMMYFUNCTION("""COMPUTED_VALUE"""),0.0)</f>
        <v>0</v>
      </c>
      <c r="AO154" s="675">
        <f>IFERROR(__xludf.DUMMYFUNCTION("""COMPUTED_VALUE"""),0.0)</f>
        <v>0</v>
      </c>
      <c r="AP154" s="674">
        <f>IFERROR(__xludf.DUMMYFUNCTION("""COMPUTED_VALUE"""),0.0)</f>
        <v>0</v>
      </c>
      <c r="AQ154" s="673">
        <f>IFERROR(__xludf.DUMMYFUNCTION("""COMPUTED_VALUE"""),0.0)</f>
        <v>0</v>
      </c>
      <c r="AR154" s="673">
        <f>IFERROR(__xludf.DUMMYFUNCTION("""COMPUTED_VALUE"""),0.0)</f>
        <v>0</v>
      </c>
      <c r="AS154" s="673">
        <f>IFERROR(__xludf.DUMMYFUNCTION("""COMPUTED_VALUE"""),0.0)</f>
        <v>0</v>
      </c>
      <c r="AT154" s="673">
        <f>IFERROR(__xludf.DUMMYFUNCTION("""COMPUTED_VALUE"""),0.0)</f>
        <v>0</v>
      </c>
      <c r="AU154" s="675">
        <f>IFERROR(__xludf.DUMMYFUNCTION("""COMPUTED_VALUE"""),0.0)</f>
        <v>0</v>
      </c>
      <c r="AV154" s="675">
        <f>IFERROR(__xludf.DUMMYFUNCTION("""COMPUTED_VALUE"""),0.0)</f>
        <v>0</v>
      </c>
      <c r="AW154" s="139"/>
      <c r="AX154" s="674" t="str">
        <f>IFERROR(__xludf.DUMMYFUNCTION("""COMPUTED_VALUE"""),"※通常攻撃範囲を入力！(CD列)")</f>
        <v>※通常攻撃範囲を入力！(CD列)</v>
      </c>
      <c r="AY154" s="688" t="str">
        <f>IFERROR(__xludf.DUMMYFUNCTION("""COMPUTED_VALUE"""),"#VALUE!")</f>
        <v>#VALUE!</v>
      </c>
      <c r="AZ154" s="674" t="str">
        <f>IFERROR(__xludf.DUMMYFUNCTION("""COMPUTED_VALUE"""),"#VALUE!")</f>
        <v>#VALUE!</v>
      </c>
      <c r="BA154" s="688" t="str">
        <f>IFERROR(__xludf.DUMMYFUNCTION("""COMPUTED_VALUE"""),"#VALUE!")</f>
        <v>#VALUE!</v>
      </c>
      <c r="BB154" s="688" t="str">
        <f>IFERROR(__xludf.DUMMYFUNCTION("""COMPUTED_VALUE"""),"-")</f>
        <v>-</v>
      </c>
      <c r="BC154" s="688" t="str">
        <f>IFERROR(__xludf.DUMMYFUNCTION("""COMPUTED_VALUE"""),"#VALUE!")</f>
        <v>#VALUE!</v>
      </c>
      <c r="BD154" s="688" t="str">
        <f>IFERROR(__xludf.DUMMYFUNCTION("""COMPUTED_VALUE"""),"#VALUE!")</f>
        <v>#VALUE!</v>
      </c>
      <c r="BE154" s="674" t="str">
        <f>IFERROR(__xludf.DUMMYFUNCTION("""COMPUTED_VALUE"""),"#VALUE!")</f>
        <v>#VALUE!</v>
      </c>
      <c r="BF154" s="674">
        <f>IFERROR(__xludf.DUMMYFUNCTION("""COMPUTED_VALUE"""),0.0)</f>
        <v>0</v>
      </c>
      <c r="BG154" s="673">
        <f>IFERROR(__xludf.DUMMYFUNCTION("""COMPUTED_VALUE"""),0.0)</f>
        <v>0</v>
      </c>
      <c r="BH154" s="673">
        <f>IFERROR(__xludf.DUMMYFUNCTION("""COMPUTED_VALUE"""),0.0)</f>
        <v>0</v>
      </c>
      <c r="BI154" s="673">
        <f>IFERROR(__xludf.DUMMYFUNCTION("""COMPUTED_VALUE"""),0.0)</f>
        <v>0</v>
      </c>
      <c r="BJ154" s="673">
        <f>IFERROR(__xludf.DUMMYFUNCTION("""COMPUTED_VALUE"""),0.0)</f>
        <v>0</v>
      </c>
      <c r="BK154" s="673">
        <f>IFERROR(__xludf.DUMMYFUNCTION("""COMPUTED_VALUE"""),0.0)</f>
        <v>0</v>
      </c>
      <c r="BL154" s="673">
        <f>IFERROR(__xludf.DUMMYFUNCTION("""COMPUTED_VALUE"""),0.0)</f>
        <v>0</v>
      </c>
      <c r="BM154" s="674">
        <f>IFERROR(__xludf.DUMMYFUNCTION("""COMPUTED_VALUE"""),0.0)</f>
        <v>0</v>
      </c>
      <c r="BN154" s="674">
        <f>IFERROR(__xludf.DUMMYFUNCTION("""COMPUTED_VALUE"""),0.0)</f>
        <v>0</v>
      </c>
      <c r="BO154" s="675">
        <f>IFERROR(__xludf.DUMMYFUNCTION("""COMPUTED_VALUE"""),0.0)</f>
        <v>0</v>
      </c>
      <c r="BP154" s="675">
        <f>IFERROR(__xludf.DUMMYFUNCTION("""COMPUTED_VALUE"""),0.0)</f>
        <v>0</v>
      </c>
      <c r="BQ154" s="139"/>
      <c r="BR154" s="139" t="str">
        <f>IFERROR(__xludf.DUMMYFUNCTION("""COMPUTED_VALUE"""),"該当なし")</f>
        <v>該当なし</v>
      </c>
      <c r="BS154" s="139" t="str">
        <f>IFERROR(__xludf.DUMMYFUNCTION("""COMPUTED_VALUE"""),"※移動を入力！(BV列)")</f>
        <v>※移動を入力！(BV列)</v>
      </c>
      <c r="BT154" s="139" t="str">
        <f>IFERROR(__xludf.DUMMYFUNCTION("""COMPUTED_VALUE"""),"※攻撃手段を入力(BQ列)")</f>
        <v>※攻撃手段を入力(BQ列)</v>
      </c>
      <c r="BU154" s="139">
        <f>IFERROR(__xludf.DUMMYFUNCTION("""COMPUTED_VALUE"""),0.0)</f>
        <v>0</v>
      </c>
      <c r="BV154" s="139"/>
      <c r="BW154" s="139"/>
      <c r="BX154" s="139" t="str">
        <f>IFERROR(__xludf.DUMMYFUNCTION("""COMPUTED_VALUE"""),"※特性を選択!!(BW列)")</f>
        <v>※特性を選択!!(BW列)</v>
      </c>
      <c r="BY154" s="139">
        <f>IFERROR(__xludf.DUMMYFUNCTION("""COMPUTED_VALUE"""),0.0)</f>
        <v>0</v>
      </c>
      <c r="BZ154" s="139"/>
      <c r="CA154" s="139" t="str">
        <f>IFERROR(__xludf.DUMMYFUNCTION("""COMPUTED_VALUE"""),"※特性を選択!!(BW列)")</f>
        <v>※特性を選択!!(BW列)</v>
      </c>
      <c r="CB154" s="139" t="str">
        <f>IFERROR(__xludf.DUMMYFUNCTION("""COMPUTED_VALUE"""),"-")</f>
        <v>-</v>
      </c>
      <c r="CC154" s="139" t="str">
        <f>IFERROR(__xludf.DUMMYFUNCTION("""COMPUTED_VALUE"""),"※ID管理未記入")</f>
        <v>※ID管理未記入</v>
      </c>
      <c r="CD154" s="139"/>
      <c r="CE154" s="139" t="str">
        <f>IFERROR(__xludf.DUMMYFUNCTION("""COMPUTED_VALUE"""),"該当なし")</f>
        <v>該当なし</v>
      </c>
      <c r="CF154" s="139" t="str">
        <f>IFERROR(__xludf.DUMMYFUNCTION("""COMPUTED_VALUE"""),"#VALUE!")</f>
        <v>#VALUE!</v>
      </c>
      <c r="CG154" s="139"/>
      <c r="CH154" s="139"/>
      <c r="CI154" s="139" t="str">
        <f>IFERROR(__xludf.DUMMYFUNCTION("""COMPUTED_VALUE"""),"該当なし")</f>
        <v>該当なし</v>
      </c>
      <c r="CJ154" s="139" t="str">
        <f>IFERROR(__xludf.DUMMYFUNCTION("""COMPUTED_VALUE"""),"#VALUE!")</f>
        <v>#VALUE!</v>
      </c>
      <c r="CK154" s="139"/>
      <c r="CL154" s="139"/>
      <c r="CM154" s="139"/>
      <c r="CN154" s="675">
        <f>IFERROR(__xludf.DUMMYFUNCTION("""COMPUTED_VALUE"""),5.0)</f>
        <v>5</v>
      </c>
      <c r="CO154" s="139" t="str">
        <f>IFERROR(__xludf.DUMMYFUNCTION("""COMPUTED_VALUE"""),"-")</f>
        <v>-</v>
      </c>
      <c r="CP154" s="139" t="str">
        <f>IFERROR(__xludf.DUMMYFUNCTION("""COMPUTED_VALUE"""),"-")</f>
        <v>-</v>
      </c>
      <c r="CQ154" s="139" t="str">
        <f>IFERROR(__xludf.DUMMYFUNCTION("""COMPUTED_VALUE"""),"-")</f>
        <v>-</v>
      </c>
      <c r="CR154" s="139"/>
      <c r="CS154" s="139"/>
      <c r="CT154" s="139"/>
      <c r="CU154" s="139"/>
      <c r="CV154" s="139"/>
      <c r="CW154" s="139"/>
      <c r="CX154" s="674" t="str">
        <f>IFERROR(__xludf.DUMMYFUNCTION("""COMPUTED_VALUE"""),"")</f>
        <v/>
      </c>
      <c r="CY154" s="675" t="str">
        <f>IFERROR(__xludf.DUMMYFUNCTION("""COMPUTED_VALUE"""),"")</f>
        <v/>
      </c>
      <c r="CZ154" s="688" t="str">
        <f>IFERROR(__xludf.DUMMYFUNCTION("""COMPUTED_VALUE"""),"-")</f>
        <v>-</v>
      </c>
      <c r="DA154" s="688">
        <f>IFERROR(__xludf.DUMMYFUNCTION("""COMPUTED_VALUE"""),0.0)</f>
        <v>0</v>
      </c>
      <c r="DB154" s="688">
        <f>IFERROR(__xludf.DUMMYFUNCTION("""COMPUTED_VALUE"""),0.0)</f>
        <v>0</v>
      </c>
      <c r="DC154" s="673" t="str">
        <f>IFERROR(__xludf.DUMMYFUNCTION("""COMPUTED_VALUE"""),"-")</f>
        <v>-</v>
      </c>
      <c r="DD154" s="673" t="str">
        <f>IFERROR(__xludf.DUMMYFUNCTION("""COMPUTED_VALUE"""),"-")</f>
        <v>-</v>
      </c>
      <c r="DE154" s="139" t="str">
        <f>IFERROR(__xludf.DUMMYFUNCTION("""COMPUTED_VALUE"""),"-")</f>
        <v>-</v>
      </c>
      <c r="DF154" s="139" t="str">
        <f>IFERROR(__xludf.DUMMYFUNCTION("""COMPUTED_VALUE"""),"-")</f>
        <v>-</v>
      </c>
      <c r="DG154" s="139" t="str">
        <f>IFERROR(__xludf.DUMMYFUNCTION("""COMPUTED_VALUE"""),"-")</f>
        <v>-</v>
      </c>
      <c r="DH154" s="139" t="str">
        <f>IFERROR(__xludf.DUMMYFUNCTION("""COMPUTED_VALUE"""),"-")</f>
        <v>-</v>
      </c>
      <c r="DI154" s="139" t="str">
        <f>IFERROR(__xludf.DUMMYFUNCTION("""COMPUTED_VALUE"""),"-")</f>
        <v>-</v>
      </c>
      <c r="DJ154" s="139" t="str">
        <f>IFERROR(__xludf.DUMMYFUNCTION("""COMPUTED_VALUE"""),"-")</f>
        <v>-</v>
      </c>
    </row>
    <row r="155">
      <c r="A155" s="139" t="str">
        <f>IFERROR(__xludf.DUMMYFUNCTION("""COMPUTED_VALUE"""),"忘却バッテリー")</f>
        <v>忘却バッテリー</v>
      </c>
      <c r="B155" s="139" t="str">
        <f>IFERROR(__xludf.DUMMYFUNCTION("""COMPUTED_VALUE"""),"(仮)智将 要 圭")</f>
        <v>(仮)智将 要 圭</v>
      </c>
      <c r="C155" s="139" t="str">
        <f>IFERROR(__xludf.DUMMYFUNCTION("""COMPUTED_VALUE"""),"chara_bat_00102")</f>
        <v>chara_bat_00102</v>
      </c>
      <c r="D155" s="139" t="str">
        <f>IFERROR(__xludf.DUMMYFUNCTION("""COMPUTED_VALUE"""),"PremiumUR")</f>
        <v>PremiumUR</v>
      </c>
      <c r="E155" s="139" t="str">
        <f>IFERROR(__xludf.DUMMYFUNCTION("""COMPUTED_VALUE"""),"無")</f>
        <v>無</v>
      </c>
      <c r="F155" s="139" t="str">
        <f>IFERROR(__xludf.DUMMYFUNCTION("""COMPUTED_VALUE"""),"スペシャル")</f>
        <v>スペシャル</v>
      </c>
      <c r="G155" s="139" t="str">
        <f>IFERROR(__xludf.DUMMYFUNCTION("""COMPUTED_VALUE"""),"※ID管理未記入")</f>
        <v>※ID管理未記入</v>
      </c>
      <c r="H155" s="139" t="str">
        <f>IFERROR(__xludf.DUMMYFUNCTION("""COMPUTED_VALUE"""),"※ID管理未記入")</f>
        <v>※ID管理未記入</v>
      </c>
      <c r="I155" s="139" t="str">
        <f>IFERROR(__xludf.DUMMYFUNCTION("""COMPUTED_VALUE"""),"※ID管理未記入")</f>
        <v>※ID管理未記入</v>
      </c>
      <c r="J155" s="139" t="str">
        <f>IFERROR(__xludf.DUMMYFUNCTION("""COMPUTED_VALUE"""),"プラン確認")</f>
        <v>プラン確認</v>
      </c>
      <c r="K155" s="139" t="str">
        <f>IFERROR(__xludf.DUMMYFUNCTION("""COMPUTED_VALUE"""),"※ID管理未記入")</f>
        <v>※ID管理未記入</v>
      </c>
      <c r="L155" s="139" t="str">
        <f>IFERROR(__xludf.DUMMYFUNCTION("""COMPUTED_VALUE"""),"※")</f>
        <v>※</v>
      </c>
      <c r="M155" s="674">
        <f>IFERROR(__xludf.DUMMYFUNCTION("""COMPUTED_VALUE"""),0.0)</f>
        <v>0</v>
      </c>
      <c r="N155" s="139">
        <f>IFERROR(__xludf.DUMMYFUNCTION("""COMPUTED_VALUE"""),0.0)</f>
        <v>0</v>
      </c>
      <c r="O155" s="139"/>
      <c r="P155" s="139">
        <f>IFERROR(__xludf.DUMMYFUNCTION("""COMPUTED_VALUE"""),0.0)</f>
        <v>0</v>
      </c>
      <c r="Q155" s="675">
        <f>IFERROR(__xludf.DUMMYFUNCTION("""COMPUTED_VALUE"""),0.0)</f>
        <v>0</v>
      </c>
      <c r="R155" s="675">
        <f>IFERROR(__xludf.DUMMYFUNCTION("""COMPUTED_VALUE"""),0.0)</f>
        <v>0</v>
      </c>
      <c r="S155" s="675">
        <f>IFERROR(__xludf.DUMMYFUNCTION("""COMPUTED_VALUE"""),-2.5)</f>
        <v>-2.5</v>
      </c>
      <c r="T155" s="674">
        <f>IFERROR(__xludf.DUMMYFUNCTION("""COMPUTED_VALUE"""),225.0)</f>
        <v>225</v>
      </c>
      <c r="U155" s="675">
        <f>IFERROR(__xludf.DUMMYFUNCTION("""COMPUTED_VALUE"""),4.5)</f>
        <v>4.5</v>
      </c>
      <c r="V155" s="675">
        <f>IFERROR(__xludf.DUMMYFUNCTION("""COMPUTED_VALUE"""),0.0)</f>
        <v>0</v>
      </c>
      <c r="W155" s="675">
        <f>IFERROR(__xludf.DUMMYFUNCTION("""COMPUTED_VALUE"""),0.0)</f>
        <v>0</v>
      </c>
      <c r="X155" s="675">
        <f>IFERROR(__xludf.DUMMYFUNCTION("""COMPUTED_VALUE"""),0.0)</f>
        <v>0</v>
      </c>
      <c r="Y155" s="674">
        <f>IFERROR(__xludf.DUMMYFUNCTION("""COMPUTED_VALUE"""),100.0)</f>
        <v>100</v>
      </c>
      <c r="Z155" s="675">
        <f>IFERROR(__xludf.DUMMYFUNCTION("""COMPUTED_VALUE"""),2.0)</f>
        <v>2</v>
      </c>
      <c r="AA155" s="675">
        <f>IFERROR(__xludf.DUMMYFUNCTION("""COMPUTED_VALUE"""),0.0)</f>
        <v>0</v>
      </c>
      <c r="AB155" s="673">
        <f>IFERROR(__xludf.DUMMYFUNCTION("""COMPUTED_VALUE"""),0.0)</f>
        <v>0</v>
      </c>
      <c r="AC155" s="675">
        <f>IFERROR(__xludf.DUMMYFUNCTION("""COMPUTED_VALUE"""),0.0)</f>
        <v>0</v>
      </c>
      <c r="AD155" s="674">
        <f>IFERROR(__xludf.DUMMYFUNCTION("""COMPUTED_VALUE"""),250.0)</f>
        <v>250</v>
      </c>
      <c r="AE155" s="675">
        <f>IFERROR(__xludf.DUMMYFUNCTION("""COMPUTED_VALUE"""),5.0)</f>
        <v>5</v>
      </c>
      <c r="AF155" s="675">
        <f>IFERROR(__xludf.DUMMYFUNCTION("""COMPUTED_VALUE"""),0.0)</f>
        <v>0</v>
      </c>
      <c r="AG155" s="673">
        <f>IFERROR(__xludf.DUMMYFUNCTION("""COMPUTED_VALUE"""),0.0)</f>
        <v>0</v>
      </c>
      <c r="AH155" s="675">
        <f>IFERROR(__xludf.DUMMYFUNCTION("""COMPUTED_VALUE"""),0.0)</f>
        <v>0</v>
      </c>
      <c r="AI155" s="675">
        <f>IFERROR(__xludf.DUMMYFUNCTION("""COMPUTED_VALUE"""),5.0)</f>
        <v>5</v>
      </c>
      <c r="AJ155" s="675">
        <f>IFERROR(__xludf.DUMMYFUNCTION("""COMPUTED_VALUE"""),0.0)</f>
        <v>0</v>
      </c>
      <c r="AK155" s="139">
        <f>IFERROR(__xludf.DUMMYFUNCTION("""COMPUTED_VALUE"""),1.0)</f>
        <v>1</v>
      </c>
      <c r="AL155" s="674">
        <f>IFERROR(__xludf.DUMMYFUNCTION("""COMPUTED_VALUE"""),0.0)</f>
        <v>0</v>
      </c>
      <c r="AM155" s="688">
        <f>IFERROR(__xludf.DUMMYFUNCTION("""COMPUTED_VALUE"""),0.0)</f>
        <v>0</v>
      </c>
      <c r="AN155" s="675">
        <f>IFERROR(__xludf.DUMMYFUNCTION("""COMPUTED_VALUE"""),0.0)</f>
        <v>0</v>
      </c>
      <c r="AO155" s="675">
        <f>IFERROR(__xludf.DUMMYFUNCTION("""COMPUTED_VALUE"""),0.0)</f>
        <v>0</v>
      </c>
      <c r="AP155" s="674">
        <f>IFERROR(__xludf.DUMMYFUNCTION("""COMPUTED_VALUE"""),0.0)</f>
        <v>0</v>
      </c>
      <c r="AQ155" s="673">
        <f>IFERROR(__xludf.DUMMYFUNCTION("""COMPUTED_VALUE"""),0.0)</f>
        <v>0</v>
      </c>
      <c r="AR155" s="673">
        <f>IFERROR(__xludf.DUMMYFUNCTION("""COMPUTED_VALUE"""),0.0)</f>
        <v>0</v>
      </c>
      <c r="AS155" s="673">
        <f>IFERROR(__xludf.DUMMYFUNCTION("""COMPUTED_VALUE"""),0.0)</f>
        <v>0</v>
      </c>
      <c r="AT155" s="673">
        <f>IFERROR(__xludf.DUMMYFUNCTION("""COMPUTED_VALUE"""),0.0)</f>
        <v>0</v>
      </c>
      <c r="AU155" s="675">
        <f>IFERROR(__xludf.DUMMYFUNCTION("""COMPUTED_VALUE"""),0.0)</f>
        <v>0</v>
      </c>
      <c r="AV155" s="675">
        <f>IFERROR(__xludf.DUMMYFUNCTION("""COMPUTED_VALUE"""),0.0)</f>
        <v>0</v>
      </c>
      <c r="AW155" s="139"/>
      <c r="AX155" s="674" t="str">
        <f>IFERROR(__xludf.DUMMYFUNCTION("""COMPUTED_VALUE"""),"※通常攻撃範囲を入力！(CD列)")</f>
        <v>※通常攻撃範囲を入力！(CD列)</v>
      </c>
      <c r="AY155" s="688" t="str">
        <f>IFERROR(__xludf.DUMMYFUNCTION("""COMPUTED_VALUE"""),"#VALUE!")</f>
        <v>#VALUE!</v>
      </c>
      <c r="AZ155" s="674" t="str">
        <f>IFERROR(__xludf.DUMMYFUNCTION("""COMPUTED_VALUE"""),"#VALUE!")</f>
        <v>#VALUE!</v>
      </c>
      <c r="BA155" s="688" t="str">
        <f>IFERROR(__xludf.DUMMYFUNCTION("""COMPUTED_VALUE"""),"#VALUE!")</f>
        <v>#VALUE!</v>
      </c>
      <c r="BB155" s="688" t="str">
        <f>IFERROR(__xludf.DUMMYFUNCTION("""COMPUTED_VALUE"""),"-")</f>
        <v>-</v>
      </c>
      <c r="BC155" s="688" t="str">
        <f>IFERROR(__xludf.DUMMYFUNCTION("""COMPUTED_VALUE"""),"#VALUE!")</f>
        <v>#VALUE!</v>
      </c>
      <c r="BD155" s="688" t="str">
        <f>IFERROR(__xludf.DUMMYFUNCTION("""COMPUTED_VALUE"""),"#VALUE!")</f>
        <v>#VALUE!</v>
      </c>
      <c r="BE155" s="674" t="str">
        <f>IFERROR(__xludf.DUMMYFUNCTION("""COMPUTED_VALUE"""),"#VALUE!")</f>
        <v>#VALUE!</v>
      </c>
      <c r="BF155" s="674">
        <f>IFERROR(__xludf.DUMMYFUNCTION("""COMPUTED_VALUE"""),0.0)</f>
        <v>0</v>
      </c>
      <c r="BG155" s="673">
        <f>IFERROR(__xludf.DUMMYFUNCTION("""COMPUTED_VALUE"""),0.0)</f>
        <v>0</v>
      </c>
      <c r="BH155" s="673">
        <f>IFERROR(__xludf.DUMMYFUNCTION("""COMPUTED_VALUE"""),0.0)</f>
        <v>0</v>
      </c>
      <c r="BI155" s="673">
        <f>IFERROR(__xludf.DUMMYFUNCTION("""COMPUTED_VALUE"""),0.0)</f>
        <v>0</v>
      </c>
      <c r="BJ155" s="673">
        <f>IFERROR(__xludf.DUMMYFUNCTION("""COMPUTED_VALUE"""),0.0)</f>
        <v>0</v>
      </c>
      <c r="BK155" s="673">
        <f>IFERROR(__xludf.DUMMYFUNCTION("""COMPUTED_VALUE"""),0.0)</f>
        <v>0</v>
      </c>
      <c r="BL155" s="673">
        <f>IFERROR(__xludf.DUMMYFUNCTION("""COMPUTED_VALUE"""),0.0)</f>
        <v>0</v>
      </c>
      <c r="BM155" s="674">
        <f>IFERROR(__xludf.DUMMYFUNCTION("""COMPUTED_VALUE"""),0.0)</f>
        <v>0</v>
      </c>
      <c r="BN155" s="674">
        <f>IFERROR(__xludf.DUMMYFUNCTION("""COMPUTED_VALUE"""),0.0)</f>
        <v>0</v>
      </c>
      <c r="BO155" s="675">
        <f>IFERROR(__xludf.DUMMYFUNCTION("""COMPUTED_VALUE"""),0.0)</f>
        <v>0</v>
      </c>
      <c r="BP155" s="675">
        <f>IFERROR(__xludf.DUMMYFUNCTION("""COMPUTED_VALUE"""),0.0)</f>
        <v>0</v>
      </c>
      <c r="BQ155" s="139"/>
      <c r="BR155" s="139" t="str">
        <f>IFERROR(__xludf.DUMMYFUNCTION("""COMPUTED_VALUE"""),"該当なし")</f>
        <v>該当なし</v>
      </c>
      <c r="BS155" s="139" t="str">
        <f>IFERROR(__xludf.DUMMYFUNCTION("""COMPUTED_VALUE"""),"※移動を入力！(BV列)")</f>
        <v>※移動を入力！(BV列)</v>
      </c>
      <c r="BT155" s="139" t="str">
        <f>IFERROR(__xludf.DUMMYFUNCTION("""COMPUTED_VALUE"""),"※攻撃手段を入力(BQ列)")</f>
        <v>※攻撃手段を入力(BQ列)</v>
      </c>
      <c r="BU155" s="139">
        <f>IFERROR(__xludf.DUMMYFUNCTION("""COMPUTED_VALUE"""),0.0)</f>
        <v>0</v>
      </c>
      <c r="BV155" s="139"/>
      <c r="BW155" s="139"/>
      <c r="BX155" s="139" t="str">
        <f>IFERROR(__xludf.DUMMYFUNCTION("""COMPUTED_VALUE"""),"※特性を選択!!(BW列)")</f>
        <v>※特性を選択!!(BW列)</v>
      </c>
      <c r="BY155" s="139" t="str">
        <f>IFERROR(__xludf.DUMMYFUNCTION("""COMPUTED_VALUE"""),"-")</f>
        <v>-</v>
      </c>
      <c r="BZ155" s="139"/>
      <c r="CA155" s="139" t="str">
        <f>IFERROR(__xludf.DUMMYFUNCTION("""COMPUTED_VALUE"""),"※特性を選択!!(BW列)")</f>
        <v>※特性を選択!!(BW列)</v>
      </c>
      <c r="CB155" s="139" t="str">
        <f>IFERROR(__xludf.DUMMYFUNCTION("""COMPUTED_VALUE"""),"-")</f>
        <v>-</v>
      </c>
      <c r="CC155" s="139" t="str">
        <f>IFERROR(__xludf.DUMMYFUNCTION("""COMPUTED_VALUE"""),"※ID管理未記入")</f>
        <v>※ID管理未記入</v>
      </c>
      <c r="CD155" s="139"/>
      <c r="CE155" s="139" t="str">
        <f>IFERROR(__xludf.DUMMYFUNCTION("""COMPUTED_VALUE"""),"-")</f>
        <v>-</v>
      </c>
      <c r="CF155" s="139" t="str">
        <f>IFERROR(__xludf.DUMMYFUNCTION("""COMPUTED_VALUE"""),"#VALUE!")</f>
        <v>#VALUE!</v>
      </c>
      <c r="CG155" s="139"/>
      <c r="CH155" s="139"/>
      <c r="CI155" s="139" t="str">
        <f>IFERROR(__xludf.DUMMYFUNCTION("""COMPUTED_VALUE"""),"-")</f>
        <v>-</v>
      </c>
      <c r="CJ155" s="139" t="str">
        <f>IFERROR(__xludf.DUMMYFUNCTION("""COMPUTED_VALUE"""),"#VALUE!")</f>
        <v>#VALUE!</v>
      </c>
      <c r="CK155" s="139"/>
      <c r="CL155" s="139"/>
      <c r="CM155" s="139"/>
      <c r="CN155" s="675" t="str">
        <f>IFERROR(__xludf.DUMMYFUNCTION("""COMPUTED_VALUE"""),"-")</f>
        <v>-</v>
      </c>
      <c r="CO155" s="139" t="str">
        <f>IFERROR(__xludf.DUMMYFUNCTION("""COMPUTED_VALUE"""),"-")</f>
        <v>-</v>
      </c>
      <c r="CP155" s="139" t="str">
        <f>IFERROR(__xludf.DUMMYFUNCTION("""COMPUTED_VALUE"""),"-")</f>
        <v>-</v>
      </c>
      <c r="CQ155" s="139" t="str">
        <f>IFERROR(__xludf.DUMMYFUNCTION("""COMPUTED_VALUE"""),"-")</f>
        <v>-</v>
      </c>
      <c r="CR155" s="139"/>
      <c r="CS155" s="139"/>
      <c r="CT155" s="139"/>
      <c r="CU155" s="139"/>
      <c r="CV155" s="139"/>
      <c r="CW155" s="139"/>
      <c r="CX155" s="674" t="str">
        <f>IFERROR(__xludf.DUMMYFUNCTION("""COMPUTED_VALUE"""),"")</f>
        <v/>
      </c>
      <c r="CY155" s="675" t="str">
        <f>IFERROR(__xludf.DUMMYFUNCTION("""COMPUTED_VALUE"""),"")</f>
        <v/>
      </c>
      <c r="CZ155" s="688" t="str">
        <f>IFERROR(__xludf.DUMMYFUNCTION("""COMPUTED_VALUE"""),"-")</f>
        <v>-</v>
      </c>
      <c r="DA155" s="688">
        <f>IFERROR(__xludf.DUMMYFUNCTION("""COMPUTED_VALUE"""),0.0)</f>
        <v>0</v>
      </c>
      <c r="DB155" s="688">
        <f>IFERROR(__xludf.DUMMYFUNCTION("""COMPUTED_VALUE"""),0.0)</f>
        <v>0</v>
      </c>
      <c r="DC155" s="673" t="str">
        <f>IFERROR(__xludf.DUMMYFUNCTION("""COMPUTED_VALUE"""),"-")</f>
        <v>-</v>
      </c>
      <c r="DD155" s="673" t="str">
        <f>IFERROR(__xludf.DUMMYFUNCTION("""COMPUTED_VALUE"""),"-")</f>
        <v>-</v>
      </c>
      <c r="DE155" s="139" t="str">
        <f>IFERROR(__xludf.DUMMYFUNCTION("""COMPUTED_VALUE"""),"-")</f>
        <v>-</v>
      </c>
      <c r="DF155" s="139" t="str">
        <f>IFERROR(__xludf.DUMMYFUNCTION("""COMPUTED_VALUE"""),"-")</f>
        <v>-</v>
      </c>
      <c r="DG155" s="139" t="str">
        <f>IFERROR(__xludf.DUMMYFUNCTION("""COMPUTED_VALUE"""),"-")</f>
        <v>-</v>
      </c>
      <c r="DH155" s="139" t="str">
        <f>IFERROR(__xludf.DUMMYFUNCTION("""COMPUTED_VALUE"""),"-")</f>
        <v>-</v>
      </c>
      <c r="DI155" s="139" t="str">
        <f>IFERROR(__xludf.DUMMYFUNCTION("""COMPUTED_VALUE"""),"-")</f>
        <v>-</v>
      </c>
      <c r="DJ155" s="139" t="str">
        <f>IFERROR(__xludf.DUMMYFUNCTION("""COMPUTED_VALUE"""),"-")</f>
        <v>-</v>
      </c>
    </row>
    <row r="156">
      <c r="A156" s="139" t="str">
        <f>IFERROR(__xludf.DUMMYFUNCTION("""COMPUTED_VALUE"""),"忘却バッテリー")</f>
        <v>忘却バッテリー</v>
      </c>
      <c r="B156" s="139" t="str">
        <f>IFERROR(__xludf.DUMMYFUNCTION("""COMPUTED_VALUE"""),"(仮)千早 瞬平")</f>
        <v>(仮)千早 瞬平</v>
      </c>
      <c r="C156" s="139" t="str">
        <f>IFERROR(__xludf.DUMMYFUNCTION("""COMPUTED_VALUE"""),"chara_bat_00201")</f>
        <v>chara_bat_00201</v>
      </c>
      <c r="D156" s="139" t="str">
        <f>IFERROR(__xludf.DUMMYFUNCTION("""COMPUTED_VALUE"""),"DropSR")</f>
        <v>DropSR</v>
      </c>
      <c r="E156" s="139" t="str">
        <f>IFERROR(__xludf.DUMMYFUNCTION("""COMPUTED_VALUE"""),"緑")</f>
        <v>緑</v>
      </c>
      <c r="F156" s="139" t="str">
        <f>IFERROR(__xludf.DUMMYFUNCTION("""COMPUTED_VALUE"""),"※ID管理未記入")</f>
        <v>※ID管理未記入</v>
      </c>
      <c r="G156" s="139" t="str">
        <f>IFERROR(__xludf.DUMMYFUNCTION("""COMPUTED_VALUE"""),"※ID管理未記入")</f>
        <v>※ID管理未記入</v>
      </c>
      <c r="H156" s="139" t="str">
        <f>IFERROR(__xludf.DUMMYFUNCTION("""COMPUTED_VALUE"""),"※ID管理未記入")</f>
        <v>※ID管理未記入</v>
      </c>
      <c r="I156" s="139" t="str">
        <f>IFERROR(__xludf.DUMMYFUNCTION("""COMPUTED_VALUE"""),"※ID管理未記入")</f>
        <v>※ID管理未記入</v>
      </c>
      <c r="J156" s="139" t="str">
        <f>IFERROR(__xludf.DUMMYFUNCTION("""COMPUTED_VALUE"""),"プラン確認")</f>
        <v>プラン確認</v>
      </c>
      <c r="K156" s="139" t="str">
        <f>IFERROR(__xludf.DUMMYFUNCTION("""COMPUTED_VALUE"""),"※ID管理未記入")</f>
        <v>※ID管理未記入</v>
      </c>
      <c r="L156" s="139" t="str">
        <f>IFERROR(__xludf.DUMMYFUNCTION("""COMPUTED_VALUE"""),"※")</f>
        <v>※</v>
      </c>
      <c r="M156" s="674">
        <f>IFERROR(__xludf.DUMMYFUNCTION("""COMPUTED_VALUE"""),0.0)</f>
        <v>0</v>
      </c>
      <c r="N156" s="139">
        <f>IFERROR(__xludf.DUMMYFUNCTION("""COMPUTED_VALUE"""),0.0)</f>
        <v>0</v>
      </c>
      <c r="O156" s="139"/>
      <c r="P156" s="139">
        <f>IFERROR(__xludf.DUMMYFUNCTION("""COMPUTED_VALUE"""),0.0)</f>
        <v>0</v>
      </c>
      <c r="Q156" s="675">
        <f>IFERROR(__xludf.DUMMYFUNCTION("""COMPUTED_VALUE"""),0.0)</f>
        <v>0</v>
      </c>
      <c r="R156" s="675">
        <f>IFERROR(__xludf.DUMMYFUNCTION("""COMPUTED_VALUE"""),0.0)</f>
        <v>0</v>
      </c>
      <c r="S156" s="675">
        <f>IFERROR(__xludf.DUMMYFUNCTION("""COMPUTED_VALUE"""),-2.5)</f>
        <v>-2.5</v>
      </c>
      <c r="T156" s="674">
        <f>IFERROR(__xludf.DUMMYFUNCTION("""COMPUTED_VALUE"""),225.0)</f>
        <v>225</v>
      </c>
      <c r="U156" s="675">
        <f>IFERROR(__xludf.DUMMYFUNCTION("""COMPUTED_VALUE"""),4.5)</f>
        <v>4.5</v>
      </c>
      <c r="V156" s="675">
        <f>IFERROR(__xludf.DUMMYFUNCTION("""COMPUTED_VALUE"""),0.0)</f>
        <v>0</v>
      </c>
      <c r="W156" s="675">
        <f>IFERROR(__xludf.DUMMYFUNCTION("""COMPUTED_VALUE"""),0.0)</f>
        <v>0</v>
      </c>
      <c r="X156" s="675">
        <f>IFERROR(__xludf.DUMMYFUNCTION("""COMPUTED_VALUE"""),0.0)</f>
        <v>0</v>
      </c>
      <c r="Y156" s="674">
        <f>IFERROR(__xludf.DUMMYFUNCTION("""COMPUTED_VALUE"""),100.0)</f>
        <v>100</v>
      </c>
      <c r="Z156" s="675">
        <f>IFERROR(__xludf.DUMMYFUNCTION("""COMPUTED_VALUE"""),2.0)</f>
        <v>2</v>
      </c>
      <c r="AA156" s="675">
        <f>IFERROR(__xludf.DUMMYFUNCTION("""COMPUTED_VALUE"""),0.0)</f>
        <v>0</v>
      </c>
      <c r="AB156" s="673">
        <f>IFERROR(__xludf.DUMMYFUNCTION("""COMPUTED_VALUE"""),0.0)</f>
        <v>0</v>
      </c>
      <c r="AC156" s="675">
        <f>IFERROR(__xludf.DUMMYFUNCTION("""COMPUTED_VALUE"""),0.0)</f>
        <v>0</v>
      </c>
      <c r="AD156" s="674">
        <f>IFERROR(__xludf.DUMMYFUNCTION("""COMPUTED_VALUE"""),250.0)</f>
        <v>250</v>
      </c>
      <c r="AE156" s="675">
        <f>IFERROR(__xludf.DUMMYFUNCTION("""COMPUTED_VALUE"""),5.0)</f>
        <v>5</v>
      </c>
      <c r="AF156" s="675">
        <f>IFERROR(__xludf.DUMMYFUNCTION("""COMPUTED_VALUE"""),0.0)</f>
        <v>0</v>
      </c>
      <c r="AG156" s="673">
        <f>IFERROR(__xludf.DUMMYFUNCTION("""COMPUTED_VALUE"""),0.0)</f>
        <v>0</v>
      </c>
      <c r="AH156" s="675">
        <f>IFERROR(__xludf.DUMMYFUNCTION("""COMPUTED_VALUE"""),0.0)</f>
        <v>0</v>
      </c>
      <c r="AI156" s="139" t="str">
        <f>IFERROR(__xludf.DUMMYFUNCTION("""COMPUTED_VALUE"""),"-")</f>
        <v>-</v>
      </c>
      <c r="AJ156" s="675" t="str">
        <f>IFERROR(__xludf.DUMMYFUNCTION("""COMPUTED_VALUE"""),"-")</f>
        <v>-</v>
      </c>
      <c r="AK156" s="139">
        <f>IFERROR(__xludf.DUMMYFUNCTION("""COMPUTED_VALUE"""),0.0)</f>
        <v>0</v>
      </c>
      <c r="AL156" s="674">
        <f>IFERROR(__xludf.DUMMYFUNCTION("""COMPUTED_VALUE"""),0.0)</f>
        <v>0</v>
      </c>
      <c r="AM156" s="688">
        <f>IFERROR(__xludf.DUMMYFUNCTION("""COMPUTED_VALUE"""),0.0)</f>
        <v>0</v>
      </c>
      <c r="AN156" s="675">
        <f>IFERROR(__xludf.DUMMYFUNCTION("""COMPUTED_VALUE"""),0.0)</f>
        <v>0</v>
      </c>
      <c r="AO156" s="675">
        <f>IFERROR(__xludf.DUMMYFUNCTION("""COMPUTED_VALUE"""),0.0)</f>
        <v>0</v>
      </c>
      <c r="AP156" s="674">
        <f>IFERROR(__xludf.DUMMYFUNCTION("""COMPUTED_VALUE"""),0.0)</f>
        <v>0</v>
      </c>
      <c r="AQ156" s="673">
        <f>IFERROR(__xludf.DUMMYFUNCTION("""COMPUTED_VALUE"""),0.0)</f>
        <v>0</v>
      </c>
      <c r="AR156" s="673">
        <f>IFERROR(__xludf.DUMMYFUNCTION("""COMPUTED_VALUE"""),0.0)</f>
        <v>0</v>
      </c>
      <c r="AS156" s="673">
        <f>IFERROR(__xludf.DUMMYFUNCTION("""COMPUTED_VALUE"""),0.0)</f>
        <v>0</v>
      </c>
      <c r="AT156" s="673">
        <f>IFERROR(__xludf.DUMMYFUNCTION("""COMPUTED_VALUE"""),0.0)</f>
        <v>0</v>
      </c>
      <c r="AU156" s="675">
        <f>IFERROR(__xludf.DUMMYFUNCTION("""COMPUTED_VALUE"""),0.0)</f>
        <v>0</v>
      </c>
      <c r="AV156" s="675">
        <f>IFERROR(__xludf.DUMMYFUNCTION("""COMPUTED_VALUE"""),0.0)</f>
        <v>0</v>
      </c>
      <c r="AW156" s="139"/>
      <c r="AX156" s="674" t="str">
        <f>IFERROR(__xludf.DUMMYFUNCTION("""COMPUTED_VALUE"""),"※通常攻撃範囲を入力！(CD列)")</f>
        <v>※通常攻撃範囲を入力！(CD列)</v>
      </c>
      <c r="AY156" s="688" t="str">
        <f>IFERROR(__xludf.DUMMYFUNCTION("""COMPUTED_VALUE"""),"#VALUE!")</f>
        <v>#VALUE!</v>
      </c>
      <c r="AZ156" s="674" t="str">
        <f>IFERROR(__xludf.DUMMYFUNCTION("""COMPUTED_VALUE"""),"#VALUE!")</f>
        <v>#VALUE!</v>
      </c>
      <c r="BA156" s="688" t="str">
        <f>IFERROR(__xludf.DUMMYFUNCTION("""COMPUTED_VALUE"""),"#VALUE!")</f>
        <v>#VALUE!</v>
      </c>
      <c r="BB156" s="688" t="str">
        <f>IFERROR(__xludf.DUMMYFUNCTION("""COMPUTED_VALUE"""),"-")</f>
        <v>-</v>
      </c>
      <c r="BC156" s="688" t="str">
        <f>IFERROR(__xludf.DUMMYFUNCTION("""COMPUTED_VALUE"""),"#VALUE!")</f>
        <v>#VALUE!</v>
      </c>
      <c r="BD156" s="688" t="str">
        <f>IFERROR(__xludf.DUMMYFUNCTION("""COMPUTED_VALUE"""),"#VALUE!")</f>
        <v>#VALUE!</v>
      </c>
      <c r="BE156" s="674" t="str">
        <f>IFERROR(__xludf.DUMMYFUNCTION("""COMPUTED_VALUE"""),"#VALUE!")</f>
        <v>#VALUE!</v>
      </c>
      <c r="BF156" s="674">
        <f>IFERROR(__xludf.DUMMYFUNCTION("""COMPUTED_VALUE"""),0.0)</f>
        <v>0</v>
      </c>
      <c r="BG156" s="673">
        <f>IFERROR(__xludf.DUMMYFUNCTION("""COMPUTED_VALUE"""),0.0)</f>
        <v>0</v>
      </c>
      <c r="BH156" s="673">
        <f>IFERROR(__xludf.DUMMYFUNCTION("""COMPUTED_VALUE"""),0.0)</f>
        <v>0</v>
      </c>
      <c r="BI156" s="673">
        <f>IFERROR(__xludf.DUMMYFUNCTION("""COMPUTED_VALUE"""),0.0)</f>
        <v>0</v>
      </c>
      <c r="BJ156" s="673">
        <f>IFERROR(__xludf.DUMMYFUNCTION("""COMPUTED_VALUE"""),0.0)</f>
        <v>0</v>
      </c>
      <c r="BK156" s="673">
        <f>IFERROR(__xludf.DUMMYFUNCTION("""COMPUTED_VALUE"""),0.0)</f>
        <v>0</v>
      </c>
      <c r="BL156" s="673">
        <f>IFERROR(__xludf.DUMMYFUNCTION("""COMPUTED_VALUE"""),0.0)</f>
        <v>0</v>
      </c>
      <c r="BM156" s="674">
        <f>IFERROR(__xludf.DUMMYFUNCTION("""COMPUTED_VALUE"""),0.0)</f>
        <v>0</v>
      </c>
      <c r="BN156" s="674">
        <f>IFERROR(__xludf.DUMMYFUNCTION("""COMPUTED_VALUE"""),0.0)</f>
        <v>0</v>
      </c>
      <c r="BO156" s="675">
        <f>IFERROR(__xludf.DUMMYFUNCTION("""COMPUTED_VALUE"""),0.0)</f>
        <v>0</v>
      </c>
      <c r="BP156" s="675">
        <f>IFERROR(__xludf.DUMMYFUNCTION("""COMPUTED_VALUE"""),0.0)</f>
        <v>0</v>
      </c>
      <c r="BQ156" s="139"/>
      <c r="BR156" s="139" t="str">
        <f>IFERROR(__xludf.DUMMYFUNCTION("""COMPUTED_VALUE"""),"該当なし")</f>
        <v>該当なし</v>
      </c>
      <c r="BS156" s="139" t="str">
        <f>IFERROR(__xludf.DUMMYFUNCTION("""COMPUTED_VALUE"""),"※移動を入力！(BV列)")</f>
        <v>※移動を入力！(BV列)</v>
      </c>
      <c r="BT156" s="139" t="str">
        <f>IFERROR(__xludf.DUMMYFUNCTION("""COMPUTED_VALUE"""),"※攻撃手段を入力(BQ列)")</f>
        <v>※攻撃手段を入力(BQ列)</v>
      </c>
      <c r="BU156" s="139">
        <f>IFERROR(__xludf.DUMMYFUNCTION("""COMPUTED_VALUE"""),0.0)</f>
        <v>0</v>
      </c>
      <c r="BV156" s="139"/>
      <c r="BW156" s="139"/>
      <c r="BX156" s="139" t="str">
        <f>IFERROR(__xludf.DUMMYFUNCTION("""COMPUTED_VALUE"""),"※特性を選択!!(BW列)")</f>
        <v>※特性を選択!!(BW列)</v>
      </c>
      <c r="BY156" s="139">
        <f>IFERROR(__xludf.DUMMYFUNCTION("""COMPUTED_VALUE"""),2.0)</f>
        <v>2</v>
      </c>
      <c r="BZ156" s="139"/>
      <c r="CA156" s="139" t="str">
        <f>IFERROR(__xludf.DUMMYFUNCTION("""COMPUTED_VALUE"""),"※特性を選択!!(BW列)")</f>
        <v>※特性を選択!!(BW列)</v>
      </c>
      <c r="CB156" s="139" t="str">
        <f>IFERROR(__xludf.DUMMYFUNCTION("""COMPUTED_VALUE"""),"-")</f>
        <v>-</v>
      </c>
      <c r="CC156" s="139" t="str">
        <f>IFERROR(__xludf.DUMMYFUNCTION("""COMPUTED_VALUE"""),"※ID管理未記入")</f>
        <v>※ID管理未記入</v>
      </c>
      <c r="CD156" s="139"/>
      <c r="CE156" s="139" t="str">
        <f>IFERROR(__xludf.DUMMYFUNCTION("""COMPUTED_VALUE"""),"該当なし")</f>
        <v>該当なし</v>
      </c>
      <c r="CF156" s="139" t="str">
        <f>IFERROR(__xludf.DUMMYFUNCTION("""COMPUTED_VALUE"""),"#VALUE!")</f>
        <v>#VALUE!</v>
      </c>
      <c r="CG156" s="139"/>
      <c r="CH156" s="139"/>
      <c r="CI156" s="139" t="str">
        <f>IFERROR(__xludf.DUMMYFUNCTION("""COMPUTED_VALUE"""),"該当なし")</f>
        <v>該当なし</v>
      </c>
      <c r="CJ156" s="139" t="str">
        <f>IFERROR(__xludf.DUMMYFUNCTION("""COMPUTED_VALUE"""),"#VALUE!")</f>
        <v>#VALUE!</v>
      </c>
      <c r="CK156" s="139"/>
      <c r="CL156" s="139"/>
      <c r="CM156" s="139"/>
      <c r="CN156" s="675">
        <f>IFERROR(__xludf.DUMMYFUNCTION("""COMPUTED_VALUE"""),5.0)</f>
        <v>5</v>
      </c>
      <c r="CO156" s="139" t="str">
        <f>IFERROR(__xludf.DUMMYFUNCTION("""COMPUTED_VALUE"""),"-")</f>
        <v>-</v>
      </c>
      <c r="CP156" s="139" t="str">
        <f>IFERROR(__xludf.DUMMYFUNCTION("""COMPUTED_VALUE"""),"-")</f>
        <v>-</v>
      </c>
      <c r="CQ156" s="139" t="str">
        <f>IFERROR(__xludf.DUMMYFUNCTION("""COMPUTED_VALUE"""),"-")</f>
        <v>-</v>
      </c>
      <c r="CR156" s="139"/>
      <c r="CS156" s="139"/>
      <c r="CT156" s="139"/>
      <c r="CU156" s="139"/>
      <c r="CV156" s="139"/>
      <c r="CW156" s="139"/>
      <c r="CX156" s="674" t="str">
        <f>IFERROR(__xludf.DUMMYFUNCTION("""COMPUTED_VALUE"""),"")</f>
        <v/>
      </c>
      <c r="CY156" s="675" t="str">
        <f>IFERROR(__xludf.DUMMYFUNCTION("""COMPUTED_VALUE"""),"")</f>
        <v/>
      </c>
      <c r="CZ156" s="688" t="str">
        <f>IFERROR(__xludf.DUMMYFUNCTION("""COMPUTED_VALUE"""),"-")</f>
        <v>-</v>
      </c>
      <c r="DA156" s="688">
        <f>IFERROR(__xludf.DUMMYFUNCTION("""COMPUTED_VALUE"""),0.0)</f>
        <v>0</v>
      </c>
      <c r="DB156" s="688">
        <f>IFERROR(__xludf.DUMMYFUNCTION("""COMPUTED_VALUE"""),0.0)</f>
        <v>0</v>
      </c>
      <c r="DC156" s="673" t="str">
        <f>IFERROR(__xludf.DUMMYFUNCTION("""COMPUTED_VALUE"""),"-")</f>
        <v>-</v>
      </c>
      <c r="DD156" s="673" t="str">
        <f>IFERROR(__xludf.DUMMYFUNCTION("""COMPUTED_VALUE"""),"-")</f>
        <v>-</v>
      </c>
      <c r="DE156" s="139" t="str">
        <f>IFERROR(__xludf.DUMMYFUNCTION("""COMPUTED_VALUE"""),"-")</f>
        <v>-</v>
      </c>
      <c r="DF156" s="139" t="str">
        <f>IFERROR(__xludf.DUMMYFUNCTION("""COMPUTED_VALUE"""),"-")</f>
        <v>-</v>
      </c>
      <c r="DG156" s="139" t="str">
        <f>IFERROR(__xludf.DUMMYFUNCTION("""COMPUTED_VALUE"""),"-")</f>
        <v>-</v>
      </c>
      <c r="DH156" s="139" t="str">
        <f>IFERROR(__xludf.DUMMYFUNCTION("""COMPUTED_VALUE"""),"-")</f>
        <v>-</v>
      </c>
      <c r="DI156" s="139" t="str">
        <f>IFERROR(__xludf.DUMMYFUNCTION("""COMPUTED_VALUE"""),"-")</f>
        <v>-</v>
      </c>
      <c r="DJ156" s="139" t="str">
        <f>IFERROR(__xludf.DUMMYFUNCTION("""COMPUTED_VALUE"""),"-")</f>
        <v>-</v>
      </c>
    </row>
    <row r="157">
      <c r="A157" s="139" t="str">
        <f>IFERROR(__xludf.DUMMYFUNCTION("""COMPUTED_VALUE"""),"忘却バッテリー")</f>
        <v>忘却バッテリー</v>
      </c>
      <c r="B157" s="139" t="str">
        <f>IFERROR(__xludf.DUMMYFUNCTION("""COMPUTED_VALUE"""),"(仮)藤堂 葵")</f>
        <v>(仮)藤堂 葵</v>
      </c>
      <c r="C157" s="139" t="str">
        <f>IFERROR(__xludf.DUMMYFUNCTION("""COMPUTED_VALUE"""),"chara_bat_00301")</f>
        <v>chara_bat_00301</v>
      </c>
      <c r="D157" s="139" t="str">
        <f>IFERROR(__xludf.DUMMYFUNCTION("""COMPUTED_VALUE"""),"DropSR")</f>
        <v>DropSR</v>
      </c>
      <c r="E157" s="139" t="str">
        <f>IFERROR(__xludf.DUMMYFUNCTION("""COMPUTED_VALUE"""),"青")</f>
        <v>青</v>
      </c>
      <c r="F157" s="139" t="str">
        <f>IFERROR(__xludf.DUMMYFUNCTION("""COMPUTED_VALUE"""),"※ID管理未記入")</f>
        <v>※ID管理未記入</v>
      </c>
      <c r="G157" s="139" t="str">
        <f>IFERROR(__xludf.DUMMYFUNCTION("""COMPUTED_VALUE"""),"※ID管理未記入")</f>
        <v>※ID管理未記入</v>
      </c>
      <c r="H157" s="139" t="str">
        <f>IFERROR(__xludf.DUMMYFUNCTION("""COMPUTED_VALUE"""),"※ID管理未記入")</f>
        <v>※ID管理未記入</v>
      </c>
      <c r="I157" s="139" t="str">
        <f>IFERROR(__xludf.DUMMYFUNCTION("""COMPUTED_VALUE"""),"※ID管理未記入")</f>
        <v>※ID管理未記入</v>
      </c>
      <c r="J157" s="139" t="str">
        <f>IFERROR(__xludf.DUMMYFUNCTION("""COMPUTED_VALUE"""),"プラン確認")</f>
        <v>プラン確認</v>
      </c>
      <c r="K157" s="139" t="str">
        <f>IFERROR(__xludf.DUMMYFUNCTION("""COMPUTED_VALUE"""),"※ID管理未記入")</f>
        <v>※ID管理未記入</v>
      </c>
      <c r="L157" s="139" t="str">
        <f>IFERROR(__xludf.DUMMYFUNCTION("""COMPUTED_VALUE"""),"※")</f>
        <v>※</v>
      </c>
      <c r="M157" s="674">
        <f>IFERROR(__xludf.DUMMYFUNCTION("""COMPUTED_VALUE"""),0.0)</f>
        <v>0</v>
      </c>
      <c r="N157" s="139">
        <f>IFERROR(__xludf.DUMMYFUNCTION("""COMPUTED_VALUE"""),0.0)</f>
        <v>0</v>
      </c>
      <c r="O157" s="139"/>
      <c r="P157" s="139">
        <f>IFERROR(__xludf.DUMMYFUNCTION("""COMPUTED_VALUE"""),0.0)</f>
        <v>0</v>
      </c>
      <c r="Q157" s="675">
        <f>IFERROR(__xludf.DUMMYFUNCTION("""COMPUTED_VALUE"""),0.0)</f>
        <v>0</v>
      </c>
      <c r="R157" s="675">
        <f>IFERROR(__xludf.DUMMYFUNCTION("""COMPUTED_VALUE"""),0.0)</f>
        <v>0</v>
      </c>
      <c r="S157" s="675">
        <f>IFERROR(__xludf.DUMMYFUNCTION("""COMPUTED_VALUE"""),-2.5)</f>
        <v>-2.5</v>
      </c>
      <c r="T157" s="674">
        <f>IFERROR(__xludf.DUMMYFUNCTION("""COMPUTED_VALUE"""),225.0)</f>
        <v>225</v>
      </c>
      <c r="U157" s="675">
        <f>IFERROR(__xludf.DUMMYFUNCTION("""COMPUTED_VALUE"""),4.5)</f>
        <v>4.5</v>
      </c>
      <c r="V157" s="675">
        <f>IFERROR(__xludf.DUMMYFUNCTION("""COMPUTED_VALUE"""),0.0)</f>
        <v>0</v>
      </c>
      <c r="W157" s="675">
        <f>IFERROR(__xludf.DUMMYFUNCTION("""COMPUTED_VALUE"""),0.0)</f>
        <v>0</v>
      </c>
      <c r="X157" s="675">
        <f>IFERROR(__xludf.DUMMYFUNCTION("""COMPUTED_VALUE"""),0.0)</f>
        <v>0</v>
      </c>
      <c r="Y157" s="674">
        <f>IFERROR(__xludf.DUMMYFUNCTION("""COMPUTED_VALUE"""),100.0)</f>
        <v>100</v>
      </c>
      <c r="Z157" s="675">
        <f>IFERROR(__xludf.DUMMYFUNCTION("""COMPUTED_VALUE"""),2.0)</f>
        <v>2</v>
      </c>
      <c r="AA157" s="675">
        <f>IFERROR(__xludf.DUMMYFUNCTION("""COMPUTED_VALUE"""),0.0)</f>
        <v>0</v>
      </c>
      <c r="AB157" s="673">
        <f>IFERROR(__xludf.DUMMYFUNCTION("""COMPUTED_VALUE"""),0.0)</f>
        <v>0</v>
      </c>
      <c r="AC157" s="675">
        <f>IFERROR(__xludf.DUMMYFUNCTION("""COMPUTED_VALUE"""),0.0)</f>
        <v>0</v>
      </c>
      <c r="AD157" s="674">
        <f>IFERROR(__xludf.DUMMYFUNCTION("""COMPUTED_VALUE"""),250.0)</f>
        <v>250</v>
      </c>
      <c r="AE157" s="675">
        <f>IFERROR(__xludf.DUMMYFUNCTION("""COMPUTED_VALUE"""),5.0)</f>
        <v>5</v>
      </c>
      <c r="AF157" s="675">
        <f>IFERROR(__xludf.DUMMYFUNCTION("""COMPUTED_VALUE"""),0.0)</f>
        <v>0</v>
      </c>
      <c r="AG157" s="673">
        <f>IFERROR(__xludf.DUMMYFUNCTION("""COMPUTED_VALUE"""),0.0)</f>
        <v>0</v>
      </c>
      <c r="AH157" s="675">
        <f>IFERROR(__xludf.DUMMYFUNCTION("""COMPUTED_VALUE"""),0.0)</f>
        <v>0</v>
      </c>
      <c r="AI157" s="139" t="str">
        <f>IFERROR(__xludf.DUMMYFUNCTION("""COMPUTED_VALUE"""),"-")</f>
        <v>-</v>
      </c>
      <c r="AJ157" s="675" t="str">
        <f>IFERROR(__xludf.DUMMYFUNCTION("""COMPUTED_VALUE"""),"-")</f>
        <v>-</v>
      </c>
      <c r="AK157" s="139">
        <f>IFERROR(__xludf.DUMMYFUNCTION("""COMPUTED_VALUE"""),0.0)</f>
        <v>0</v>
      </c>
      <c r="AL157" s="674">
        <f>IFERROR(__xludf.DUMMYFUNCTION("""COMPUTED_VALUE"""),0.0)</f>
        <v>0</v>
      </c>
      <c r="AM157" s="688">
        <f>IFERROR(__xludf.DUMMYFUNCTION("""COMPUTED_VALUE"""),0.0)</f>
        <v>0</v>
      </c>
      <c r="AN157" s="675">
        <f>IFERROR(__xludf.DUMMYFUNCTION("""COMPUTED_VALUE"""),0.0)</f>
        <v>0</v>
      </c>
      <c r="AO157" s="675">
        <f>IFERROR(__xludf.DUMMYFUNCTION("""COMPUTED_VALUE"""),0.0)</f>
        <v>0</v>
      </c>
      <c r="AP157" s="674">
        <f>IFERROR(__xludf.DUMMYFUNCTION("""COMPUTED_VALUE"""),0.0)</f>
        <v>0</v>
      </c>
      <c r="AQ157" s="673">
        <f>IFERROR(__xludf.DUMMYFUNCTION("""COMPUTED_VALUE"""),0.0)</f>
        <v>0</v>
      </c>
      <c r="AR157" s="673">
        <f>IFERROR(__xludf.DUMMYFUNCTION("""COMPUTED_VALUE"""),0.0)</f>
        <v>0</v>
      </c>
      <c r="AS157" s="673">
        <f>IFERROR(__xludf.DUMMYFUNCTION("""COMPUTED_VALUE"""),0.0)</f>
        <v>0</v>
      </c>
      <c r="AT157" s="673">
        <f>IFERROR(__xludf.DUMMYFUNCTION("""COMPUTED_VALUE"""),0.0)</f>
        <v>0</v>
      </c>
      <c r="AU157" s="675">
        <f>IFERROR(__xludf.DUMMYFUNCTION("""COMPUTED_VALUE"""),0.0)</f>
        <v>0</v>
      </c>
      <c r="AV157" s="675">
        <f>IFERROR(__xludf.DUMMYFUNCTION("""COMPUTED_VALUE"""),0.0)</f>
        <v>0</v>
      </c>
      <c r="AW157" s="139"/>
      <c r="AX157" s="674" t="str">
        <f>IFERROR(__xludf.DUMMYFUNCTION("""COMPUTED_VALUE"""),"※通常攻撃範囲を入力！(CD列)")</f>
        <v>※通常攻撃範囲を入力！(CD列)</v>
      </c>
      <c r="AY157" s="688" t="str">
        <f>IFERROR(__xludf.DUMMYFUNCTION("""COMPUTED_VALUE"""),"#VALUE!")</f>
        <v>#VALUE!</v>
      </c>
      <c r="AZ157" s="674" t="str">
        <f>IFERROR(__xludf.DUMMYFUNCTION("""COMPUTED_VALUE"""),"#VALUE!")</f>
        <v>#VALUE!</v>
      </c>
      <c r="BA157" s="688" t="str">
        <f>IFERROR(__xludf.DUMMYFUNCTION("""COMPUTED_VALUE"""),"#VALUE!")</f>
        <v>#VALUE!</v>
      </c>
      <c r="BB157" s="688" t="str">
        <f>IFERROR(__xludf.DUMMYFUNCTION("""COMPUTED_VALUE"""),"-")</f>
        <v>-</v>
      </c>
      <c r="BC157" s="688" t="str">
        <f>IFERROR(__xludf.DUMMYFUNCTION("""COMPUTED_VALUE"""),"#VALUE!")</f>
        <v>#VALUE!</v>
      </c>
      <c r="BD157" s="688" t="str">
        <f>IFERROR(__xludf.DUMMYFUNCTION("""COMPUTED_VALUE"""),"#VALUE!")</f>
        <v>#VALUE!</v>
      </c>
      <c r="BE157" s="674" t="str">
        <f>IFERROR(__xludf.DUMMYFUNCTION("""COMPUTED_VALUE"""),"#VALUE!")</f>
        <v>#VALUE!</v>
      </c>
      <c r="BF157" s="674">
        <f>IFERROR(__xludf.DUMMYFUNCTION("""COMPUTED_VALUE"""),0.0)</f>
        <v>0</v>
      </c>
      <c r="BG157" s="673">
        <f>IFERROR(__xludf.DUMMYFUNCTION("""COMPUTED_VALUE"""),0.0)</f>
        <v>0</v>
      </c>
      <c r="BH157" s="673">
        <f>IFERROR(__xludf.DUMMYFUNCTION("""COMPUTED_VALUE"""),0.0)</f>
        <v>0</v>
      </c>
      <c r="BI157" s="673">
        <f>IFERROR(__xludf.DUMMYFUNCTION("""COMPUTED_VALUE"""),0.0)</f>
        <v>0</v>
      </c>
      <c r="BJ157" s="673">
        <f>IFERROR(__xludf.DUMMYFUNCTION("""COMPUTED_VALUE"""),0.0)</f>
        <v>0</v>
      </c>
      <c r="BK157" s="673">
        <f>IFERROR(__xludf.DUMMYFUNCTION("""COMPUTED_VALUE"""),0.0)</f>
        <v>0</v>
      </c>
      <c r="BL157" s="673">
        <f>IFERROR(__xludf.DUMMYFUNCTION("""COMPUTED_VALUE"""),0.0)</f>
        <v>0</v>
      </c>
      <c r="BM157" s="674">
        <f>IFERROR(__xludf.DUMMYFUNCTION("""COMPUTED_VALUE"""),0.0)</f>
        <v>0</v>
      </c>
      <c r="BN157" s="674">
        <f>IFERROR(__xludf.DUMMYFUNCTION("""COMPUTED_VALUE"""),0.0)</f>
        <v>0</v>
      </c>
      <c r="BO157" s="675">
        <f>IFERROR(__xludf.DUMMYFUNCTION("""COMPUTED_VALUE"""),0.0)</f>
        <v>0</v>
      </c>
      <c r="BP157" s="675">
        <f>IFERROR(__xludf.DUMMYFUNCTION("""COMPUTED_VALUE"""),0.0)</f>
        <v>0</v>
      </c>
      <c r="BQ157" s="139"/>
      <c r="BR157" s="139" t="str">
        <f>IFERROR(__xludf.DUMMYFUNCTION("""COMPUTED_VALUE"""),"該当なし")</f>
        <v>該当なし</v>
      </c>
      <c r="BS157" s="139" t="str">
        <f>IFERROR(__xludf.DUMMYFUNCTION("""COMPUTED_VALUE"""),"※移動を入力！(BV列)")</f>
        <v>※移動を入力！(BV列)</v>
      </c>
      <c r="BT157" s="139" t="str">
        <f>IFERROR(__xludf.DUMMYFUNCTION("""COMPUTED_VALUE"""),"※攻撃手段を入力(BQ列)")</f>
        <v>※攻撃手段を入力(BQ列)</v>
      </c>
      <c r="BU157" s="139">
        <f>IFERROR(__xludf.DUMMYFUNCTION("""COMPUTED_VALUE"""),0.0)</f>
        <v>0</v>
      </c>
      <c r="BV157" s="139"/>
      <c r="BW157" s="139"/>
      <c r="BX157" s="139" t="str">
        <f>IFERROR(__xludf.DUMMYFUNCTION("""COMPUTED_VALUE"""),"※特性を選択!!(BW列)")</f>
        <v>※特性を選択!!(BW列)</v>
      </c>
      <c r="BY157" s="139">
        <f>IFERROR(__xludf.DUMMYFUNCTION("""COMPUTED_VALUE"""),2.0)</f>
        <v>2</v>
      </c>
      <c r="BZ157" s="139"/>
      <c r="CA157" s="139" t="str">
        <f>IFERROR(__xludf.DUMMYFUNCTION("""COMPUTED_VALUE"""),"※特性を選択!!(BW列)")</f>
        <v>※特性を選択!!(BW列)</v>
      </c>
      <c r="CB157" s="139" t="str">
        <f>IFERROR(__xludf.DUMMYFUNCTION("""COMPUTED_VALUE"""),"-")</f>
        <v>-</v>
      </c>
      <c r="CC157" s="139" t="str">
        <f>IFERROR(__xludf.DUMMYFUNCTION("""COMPUTED_VALUE"""),"※ID管理未記入")</f>
        <v>※ID管理未記入</v>
      </c>
      <c r="CD157" s="139"/>
      <c r="CE157" s="139" t="str">
        <f>IFERROR(__xludf.DUMMYFUNCTION("""COMPUTED_VALUE"""),"該当なし")</f>
        <v>該当なし</v>
      </c>
      <c r="CF157" s="139" t="str">
        <f>IFERROR(__xludf.DUMMYFUNCTION("""COMPUTED_VALUE"""),"#VALUE!")</f>
        <v>#VALUE!</v>
      </c>
      <c r="CG157" s="139"/>
      <c r="CH157" s="139"/>
      <c r="CI157" s="139" t="str">
        <f>IFERROR(__xludf.DUMMYFUNCTION("""COMPUTED_VALUE"""),"該当なし")</f>
        <v>該当なし</v>
      </c>
      <c r="CJ157" s="139" t="str">
        <f>IFERROR(__xludf.DUMMYFUNCTION("""COMPUTED_VALUE"""),"#VALUE!")</f>
        <v>#VALUE!</v>
      </c>
      <c r="CK157" s="139"/>
      <c r="CL157" s="139"/>
      <c r="CM157" s="139"/>
      <c r="CN157" s="675">
        <f>IFERROR(__xludf.DUMMYFUNCTION("""COMPUTED_VALUE"""),5.0)</f>
        <v>5</v>
      </c>
      <c r="CO157" s="139" t="str">
        <f>IFERROR(__xludf.DUMMYFUNCTION("""COMPUTED_VALUE"""),"-")</f>
        <v>-</v>
      </c>
      <c r="CP157" s="139" t="str">
        <f>IFERROR(__xludf.DUMMYFUNCTION("""COMPUTED_VALUE"""),"-")</f>
        <v>-</v>
      </c>
      <c r="CQ157" s="139" t="str">
        <f>IFERROR(__xludf.DUMMYFUNCTION("""COMPUTED_VALUE"""),"-")</f>
        <v>-</v>
      </c>
      <c r="CR157" s="139"/>
      <c r="CS157" s="139"/>
      <c r="CT157" s="139"/>
      <c r="CU157" s="139"/>
      <c r="CV157" s="139"/>
      <c r="CW157" s="139"/>
      <c r="CX157" s="674" t="str">
        <f>IFERROR(__xludf.DUMMYFUNCTION("""COMPUTED_VALUE"""),"")</f>
        <v/>
      </c>
      <c r="CY157" s="675" t="str">
        <f>IFERROR(__xludf.DUMMYFUNCTION("""COMPUTED_VALUE"""),"")</f>
        <v/>
      </c>
      <c r="CZ157" s="688" t="str">
        <f>IFERROR(__xludf.DUMMYFUNCTION("""COMPUTED_VALUE"""),"-")</f>
        <v>-</v>
      </c>
      <c r="DA157" s="688">
        <f>IFERROR(__xludf.DUMMYFUNCTION("""COMPUTED_VALUE"""),0.0)</f>
        <v>0</v>
      </c>
      <c r="DB157" s="688">
        <f>IFERROR(__xludf.DUMMYFUNCTION("""COMPUTED_VALUE"""),0.0)</f>
        <v>0</v>
      </c>
      <c r="DC157" s="673" t="str">
        <f>IFERROR(__xludf.DUMMYFUNCTION("""COMPUTED_VALUE"""),"-")</f>
        <v>-</v>
      </c>
      <c r="DD157" s="673" t="str">
        <f>IFERROR(__xludf.DUMMYFUNCTION("""COMPUTED_VALUE"""),"-")</f>
        <v>-</v>
      </c>
      <c r="DE157" s="139" t="str">
        <f>IFERROR(__xludf.DUMMYFUNCTION("""COMPUTED_VALUE"""),"-")</f>
        <v>-</v>
      </c>
      <c r="DF157" s="139" t="str">
        <f>IFERROR(__xludf.DUMMYFUNCTION("""COMPUTED_VALUE"""),"-")</f>
        <v>-</v>
      </c>
      <c r="DG157" s="139" t="str">
        <f>IFERROR(__xludf.DUMMYFUNCTION("""COMPUTED_VALUE"""),"-")</f>
        <v>-</v>
      </c>
      <c r="DH157" s="139" t="str">
        <f>IFERROR(__xludf.DUMMYFUNCTION("""COMPUTED_VALUE"""),"-")</f>
        <v>-</v>
      </c>
      <c r="DI157" s="139" t="str">
        <f>IFERROR(__xludf.DUMMYFUNCTION("""COMPUTED_VALUE"""),"-")</f>
        <v>-</v>
      </c>
      <c r="DJ157" s="139" t="str">
        <f>IFERROR(__xludf.DUMMYFUNCTION("""COMPUTED_VALUE"""),"-")</f>
        <v>-</v>
      </c>
    </row>
    <row r="158">
      <c r="A158" s="139" t="str">
        <f>IFERROR(__xludf.DUMMYFUNCTION("""COMPUTED_VALUE"""),"怪獣８号")</f>
        <v>怪獣８号</v>
      </c>
      <c r="B158" s="139" t="str">
        <f>IFERROR(__xludf.DUMMYFUNCTION("""COMPUTED_VALUE"""),"(仮)東雲 りん")</f>
        <v>(仮)東雲 りん</v>
      </c>
      <c r="C158" s="139" t="str">
        <f>IFERROR(__xludf.DUMMYFUNCTION("""COMPUTED_VALUE"""),"chara_kai_00801")</f>
        <v>chara_kai_00801</v>
      </c>
      <c r="D158" s="139" t="str">
        <f>IFERROR(__xludf.DUMMYFUNCTION("""COMPUTED_VALUE"""),"DropSR")</f>
        <v>DropSR</v>
      </c>
      <c r="E158" s="139" t="str">
        <f>IFERROR(__xludf.DUMMYFUNCTION("""COMPUTED_VALUE"""),"黄")</f>
        <v>黄</v>
      </c>
      <c r="F158" s="139" t="str">
        <f>IFERROR(__xludf.DUMMYFUNCTION("""COMPUTED_VALUE"""),"ディフェンス")</f>
        <v>ディフェンス</v>
      </c>
      <c r="G158" s="139" t="str">
        <f>IFERROR(__xludf.DUMMYFUNCTION("""COMPUTED_VALUE"""),"※ID管理未記入")</f>
        <v>※ID管理未記入</v>
      </c>
      <c r="H158" s="139" t="str">
        <f>IFERROR(__xludf.DUMMYFUNCTION("""COMPUTED_VALUE"""),"※ID管理未記入")</f>
        <v>※ID管理未記入</v>
      </c>
      <c r="I158" s="139" t="str">
        <f>IFERROR(__xludf.DUMMYFUNCTION("""COMPUTED_VALUE"""),"※ID管理未記入")</f>
        <v>※ID管理未記入</v>
      </c>
      <c r="J158" s="139" t="str">
        <f>IFERROR(__xludf.DUMMYFUNCTION("""COMPUTED_VALUE"""),"プラン確認")</f>
        <v>プラン確認</v>
      </c>
      <c r="K158" s="139" t="str">
        <f>IFERROR(__xludf.DUMMYFUNCTION("""COMPUTED_VALUE"""),"怪獣８号 2回目 いいジャン祭")</f>
        <v>怪獣８号 2回目 いいジャン祭</v>
      </c>
      <c r="L158" s="139" t="str">
        <f>IFERROR(__xludf.DUMMYFUNCTION("""COMPUTED_VALUE"""),"※")</f>
        <v>※</v>
      </c>
      <c r="M158" s="674">
        <f>IFERROR(__xludf.DUMMYFUNCTION("""COMPUTED_VALUE"""),0.0)</f>
        <v>0</v>
      </c>
      <c r="N158" s="139">
        <f>IFERROR(__xludf.DUMMYFUNCTION("""COMPUTED_VALUE"""),0.0)</f>
        <v>0</v>
      </c>
      <c r="O158" s="139"/>
      <c r="P158" s="139">
        <f>IFERROR(__xludf.DUMMYFUNCTION("""COMPUTED_VALUE"""),0.0)</f>
        <v>0</v>
      </c>
      <c r="Q158" s="675">
        <f>IFERROR(__xludf.DUMMYFUNCTION("""COMPUTED_VALUE"""),0.0)</f>
        <v>0</v>
      </c>
      <c r="R158" s="675">
        <f>IFERROR(__xludf.DUMMYFUNCTION("""COMPUTED_VALUE"""),0.0)</f>
        <v>0</v>
      </c>
      <c r="S158" s="675">
        <f>IFERROR(__xludf.DUMMYFUNCTION("""COMPUTED_VALUE"""),-2.5)</f>
        <v>-2.5</v>
      </c>
      <c r="T158" s="674">
        <f>IFERROR(__xludf.DUMMYFUNCTION("""COMPUTED_VALUE"""),225.0)</f>
        <v>225</v>
      </c>
      <c r="U158" s="675">
        <f>IFERROR(__xludf.DUMMYFUNCTION("""COMPUTED_VALUE"""),4.5)</f>
        <v>4.5</v>
      </c>
      <c r="V158" s="675">
        <f>IFERROR(__xludf.DUMMYFUNCTION("""COMPUTED_VALUE"""),0.0)</f>
        <v>0</v>
      </c>
      <c r="W158" s="675">
        <f>IFERROR(__xludf.DUMMYFUNCTION("""COMPUTED_VALUE"""),0.0)</f>
        <v>0</v>
      </c>
      <c r="X158" s="675">
        <f>IFERROR(__xludf.DUMMYFUNCTION("""COMPUTED_VALUE"""),0.0)</f>
        <v>0</v>
      </c>
      <c r="Y158" s="674">
        <f>IFERROR(__xludf.DUMMYFUNCTION("""COMPUTED_VALUE"""),100.0)</f>
        <v>100</v>
      </c>
      <c r="Z158" s="675">
        <f>IFERROR(__xludf.DUMMYFUNCTION("""COMPUTED_VALUE"""),2.0)</f>
        <v>2</v>
      </c>
      <c r="AA158" s="675">
        <f>IFERROR(__xludf.DUMMYFUNCTION("""COMPUTED_VALUE"""),0.0)</f>
        <v>0</v>
      </c>
      <c r="AB158" s="673">
        <f>IFERROR(__xludf.DUMMYFUNCTION("""COMPUTED_VALUE"""),0.0)</f>
        <v>0</v>
      </c>
      <c r="AC158" s="675">
        <f>IFERROR(__xludf.DUMMYFUNCTION("""COMPUTED_VALUE"""),0.0)</f>
        <v>0</v>
      </c>
      <c r="AD158" s="674">
        <f>IFERROR(__xludf.DUMMYFUNCTION("""COMPUTED_VALUE"""),250.0)</f>
        <v>250</v>
      </c>
      <c r="AE158" s="675">
        <f>IFERROR(__xludf.DUMMYFUNCTION("""COMPUTED_VALUE"""),5.0)</f>
        <v>5</v>
      </c>
      <c r="AF158" s="675">
        <f>IFERROR(__xludf.DUMMYFUNCTION("""COMPUTED_VALUE"""),0.0)</f>
        <v>0</v>
      </c>
      <c r="AG158" s="673">
        <f>IFERROR(__xludf.DUMMYFUNCTION("""COMPUTED_VALUE"""),0.0)</f>
        <v>0</v>
      </c>
      <c r="AH158" s="675">
        <f>IFERROR(__xludf.DUMMYFUNCTION("""COMPUTED_VALUE"""),0.0)</f>
        <v>0</v>
      </c>
      <c r="AI158" s="139" t="str">
        <f>IFERROR(__xludf.DUMMYFUNCTION("""COMPUTED_VALUE"""),"-")</f>
        <v>-</v>
      </c>
      <c r="AJ158" s="675" t="str">
        <f>IFERROR(__xludf.DUMMYFUNCTION("""COMPUTED_VALUE"""),"-")</f>
        <v>-</v>
      </c>
      <c r="AK158" s="139">
        <f>IFERROR(__xludf.DUMMYFUNCTION("""COMPUTED_VALUE"""),0.0)</f>
        <v>0</v>
      </c>
      <c r="AL158" s="674">
        <f>IFERROR(__xludf.DUMMYFUNCTION("""COMPUTED_VALUE"""),0.0)</f>
        <v>0</v>
      </c>
      <c r="AM158" s="688">
        <f>IFERROR(__xludf.DUMMYFUNCTION("""COMPUTED_VALUE"""),0.0)</f>
        <v>0</v>
      </c>
      <c r="AN158" s="675">
        <f>IFERROR(__xludf.DUMMYFUNCTION("""COMPUTED_VALUE"""),0.0)</f>
        <v>0</v>
      </c>
      <c r="AO158" s="675">
        <f>IFERROR(__xludf.DUMMYFUNCTION("""COMPUTED_VALUE"""),0.0)</f>
        <v>0</v>
      </c>
      <c r="AP158" s="674">
        <f>IFERROR(__xludf.DUMMYFUNCTION("""COMPUTED_VALUE"""),0.0)</f>
        <v>0</v>
      </c>
      <c r="AQ158" s="673">
        <f>IFERROR(__xludf.DUMMYFUNCTION("""COMPUTED_VALUE"""),0.9)</f>
        <v>0.9</v>
      </c>
      <c r="AR158" s="673">
        <f>IFERROR(__xludf.DUMMYFUNCTION("""COMPUTED_VALUE"""),0.0)</f>
        <v>0</v>
      </c>
      <c r="AS158" s="673">
        <f>IFERROR(__xludf.DUMMYFUNCTION("""COMPUTED_VALUE"""),0.0)</f>
        <v>0</v>
      </c>
      <c r="AT158" s="673">
        <f>IFERROR(__xludf.DUMMYFUNCTION("""COMPUTED_VALUE"""),0.0)</f>
        <v>0</v>
      </c>
      <c r="AU158" s="675">
        <f>IFERROR(__xludf.DUMMYFUNCTION("""COMPUTED_VALUE"""),0.0)</f>
        <v>0</v>
      </c>
      <c r="AV158" s="675">
        <f>IFERROR(__xludf.DUMMYFUNCTION("""COMPUTED_VALUE"""),0.0)</f>
        <v>0</v>
      </c>
      <c r="AW158" s="139"/>
      <c r="AX158" s="674" t="str">
        <f>IFERROR(__xludf.DUMMYFUNCTION("""COMPUTED_VALUE"""),"※通常攻撃範囲を入力！(CD列)")</f>
        <v>※通常攻撃範囲を入力！(CD列)</v>
      </c>
      <c r="AY158" s="688" t="str">
        <f>IFERROR(__xludf.DUMMYFUNCTION("""COMPUTED_VALUE"""),"#VALUE!")</f>
        <v>#VALUE!</v>
      </c>
      <c r="AZ158" s="674" t="str">
        <f>IFERROR(__xludf.DUMMYFUNCTION("""COMPUTED_VALUE"""),"#VALUE!")</f>
        <v>#VALUE!</v>
      </c>
      <c r="BA158" s="688" t="str">
        <f>IFERROR(__xludf.DUMMYFUNCTION("""COMPUTED_VALUE"""),"#VALUE!")</f>
        <v>#VALUE!</v>
      </c>
      <c r="BB158" s="688" t="str">
        <f>IFERROR(__xludf.DUMMYFUNCTION("""COMPUTED_VALUE"""),"-")</f>
        <v>-</v>
      </c>
      <c r="BC158" s="688" t="str">
        <f>IFERROR(__xludf.DUMMYFUNCTION("""COMPUTED_VALUE"""),"#VALUE!")</f>
        <v>#VALUE!</v>
      </c>
      <c r="BD158" s="688" t="str">
        <f>IFERROR(__xludf.DUMMYFUNCTION("""COMPUTED_VALUE"""),"#VALUE!")</f>
        <v>#VALUE!</v>
      </c>
      <c r="BE158" s="674" t="str">
        <f>IFERROR(__xludf.DUMMYFUNCTION("""COMPUTED_VALUE"""),"#VALUE!")</f>
        <v>#VALUE!</v>
      </c>
      <c r="BF158" s="674">
        <f>IFERROR(__xludf.DUMMYFUNCTION("""COMPUTED_VALUE"""),0.0)</f>
        <v>0</v>
      </c>
      <c r="BG158" s="673">
        <f>IFERROR(__xludf.DUMMYFUNCTION("""COMPUTED_VALUE"""),0.0)</f>
        <v>0</v>
      </c>
      <c r="BH158" s="673">
        <f>IFERROR(__xludf.DUMMYFUNCTION("""COMPUTED_VALUE"""),-0.5)</f>
        <v>-0.5</v>
      </c>
      <c r="BI158" s="673">
        <f>IFERROR(__xludf.DUMMYFUNCTION("""COMPUTED_VALUE"""),0.0)</f>
        <v>0</v>
      </c>
      <c r="BJ158" s="673">
        <f>IFERROR(__xludf.DUMMYFUNCTION("""COMPUTED_VALUE"""),0.0)</f>
        <v>0</v>
      </c>
      <c r="BK158" s="673">
        <f>IFERROR(__xludf.DUMMYFUNCTION("""COMPUTED_VALUE"""),0.0)</f>
        <v>0</v>
      </c>
      <c r="BL158" s="673">
        <f>IFERROR(__xludf.DUMMYFUNCTION("""COMPUTED_VALUE"""),0.0)</f>
        <v>0</v>
      </c>
      <c r="BM158" s="674">
        <f>IFERROR(__xludf.DUMMYFUNCTION("""COMPUTED_VALUE"""),0.0)</f>
        <v>0</v>
      </c>
      <c r="BN158" s="674">
        <f>IFERROR(__xludf.DUMMYFUNCTION("""COMPUTED_VALUE"""),0.0)</f>
        <v>0</v>
      </c>
      <c r="BO158" s="675">
        <f>IFERROR(__xludf.DUMMYFUNCTION("""COMPUTED_VALUE"""),0.0)</f>
        <v>0</v>
      </c>
      <c r="BP158" s="675">
        <f>IFERROR(__xludf.DUMMYFUNCTION("""COMPUTED_VALUE"""),0.0)</f>
        <v>0</v>
      </c>
      <c r="BQ158" s="139"/>
      <c r="BR158" s="139">
        <f>IFERROR(__xludf.DUMMYFUNCTION("""COMPUTED_VALUE"""),1.0)</f>
        <v>1</v>
      </c>
      <c r="BS158" s="139" t="str">
        <f>IFERROR(__xludf.DUMMYFUNCTION("""COMPUTED_VALUE"""),"※移動を入力！(BV列)")</f>
        <v>※移動を入力！(BV列)</v>
      </c>
      <c r="BT158" s="139" t="str">
        <f>IFERROR(__xludf.DUMMYFUNCTION("""COMPUTED_VALUE"""),"※攻撃手段を入力(BQ列)")</f>
        <v>※攻撃手段を入力(BQ列)</v>
      </c>
      <c r="BU158" s="139">
        <f>IFERROR(__xludf.DUMMYFUNCTION("""COMPUTED_VALUE"""),0.0)</f>
        <v>0</v>
      </c>
      <c r="BV158" s="139"/>
      <c r="BW158" s="139"/>
      <c r="BX158" s="139" t="str">
        <f>IFERROR(__xludf.DUMMYFUNCTION("""COMPUTED_VALUE"""),"※特性を選択!!(BW列)")</f>
        <v>※特性を選択!!(BW列)</v>
      </c>
      <c r="BY158" s="139">
        <f>IFERROR(__xludf.DUMMYFUNCTION("""COMPUTED_VALUE"""),2.0)</f>
        <v>2</v>
      </c>
      <c r="BZ158" s="139"/>
      <c r="CA158" s="139" t="str">
        <f>IFERROR(__xludf.DUMMYFUNCTION("""COMPUTED_VALUE"""),"※特性を選択!!(BW列)")</f>
        <v>※特性を選択!!(BW列)</v>
      </c>
      <c r="CB158" s="139" t="str">
        <f>IFERROR(__xludf.DUMMYFUNCTION("""COMPUTED_VALUE"""),"-")</f>
        <v>-</v>
      </c>
      <c r="CC158" s="139" t="str">
        <f>IFERROR(__xludf.DUMMYFUNCTION("""COMPUTED_VALUE"""),"※ID管理未記入")</f>
        <v>※ID管理未記入</v>
      </c>
      <c r="CD158" s="139"/>
      <c r="CE158" s="139" t="str">
        <f>IFERROR(__xludf.DUMMYFUNCTION("""COMPUTED_VALUE"""),"該当なし")</f>
        <v>該当なし</v>
      </c>
      <c r="CF158" s="139" t="str">
        <f>IFERROR(__xludf.DUMMYFUNCTION("""COMPUTED_VALUE"""),"#VALUE!")</f>
        <v>#VALUE!</v>
      </c>
      <c r="CG158" s="139"/>
      <c r="CH158" s="139"/>
      <c r="CI158" s="139" t="str">
        <f>IFERROR(__xludf.DUMMYFUNCTION("""COMPUTED_VALUE"""),"該当なし")</f>
        <v>該当なし</v>
      </c>
      <c r="CJ158" s="139" t="str">
        <f>IFERROR(__xludf.DUMMYFUNCTION("""COMPUTED_VALUE"""),"#VALUE!")</f>
        <v>#VALUE!</v>
      </c>
      <c r="CK158" s="139"/>
      <c r="CL158" s="139"/>
      <c r="CM158" s="139"/>
      <c r="CN158" s="675">
        <f>IFERROR(__xludf.DUMMYFUNCTION("""COMPUTED_VALUE"""),5.0)</f>
        <v>5</v>
      </c>
      <c r="CO158" s="139" t="str">
        <f>IFERROR(__xludf.DUMMYFUNCTION("""COMPUTED_VALUE"""),"-")</f>
        <v>-</v>
      </c>
      <c r="CP158" s="139" t="str">
        <f>IFERROR(__xludf.DUMMYFUNCTION("""COMPUTED_VALUE"""),"-")</f>
        <v>-</v>
      </c>
      <c r="CQ158" s="139" t="str">
        <f>IFERROR(__xludf.DUMMYFUNCTION("""COMPUTED_VALUE"""),"-")</f>
        <v>-</v>
      </c>
      <c r="CR158" s="139"/>
      <c r="CS158" s="139"/>
      <c r="CT158" s="139"/>
      <c r="CU158" s="139"/>
      <c r="CV158" s="139"/>
      <c r="CW158" s="139"/>
      <c r="CX158" s="674" t="str">
        <f>IFERROR(__xludf.DUMMYFUNCTION("""COMPUTED_VALUE"""),"")</f>
        <v/>
      </c>
      <c r="CY158" s="675" t="str">
        <f>IFERROR(__xludf.DUMMYFUNCTION("""COMPUTED_VALUE"""),"")</f>
        <v/>
      </c>
      <c r="CZ158" s="688" t="str">
        <f>IFERROR(__xludf.DUMMYFUNCTION("""COMPUTED_VALUE"""),"-")</f>
        <v>-</v>
      </c>
      <c r="DA158" s="688">
        <f>IFERROR(__xludf.DUMMYFUNCTION("""COMPUTED_VALUE"""),0.0)</f>
        <v>0</v>
      </c>
      <c r="DB158" s="688">
        <f>IFERROR(__xludf.DUMMYFUNCTION("""COMPUTED_VALUE"""),0.0)</f>
        <v>0</v>
      </c>
      <c r="DC158" s="673" t="str">
        <f>IFERROR(__xludf.DUMMYFUNCTION("""COMPUTED_VALUE"""),"-")</f>
        <v>-</v>
      </c>
      <c r="DD158" s="673" t="str">
        <f>IFERROR(__xludf.DUMMYFUNCTION("""COMPUTED_VALUE"""),"-")</f>
        <v>-</v>
      </c>
      <c r="DE158" s="139" t="str">
        <f>IFERROR(__xludf.DUMMYFUNCTION("""COMPUTED_VALUE"""),"-")</f>
        <v>-</v>
      </c>
      <c r="DF158" s="139" t="str">
        <f>IFERROR(__xludf.DUMMYFUNCTION("""COMPUTED_VALUE"""),"-")</f>
        <v>-</v>
      </c>
      <c r="DG158" s="139" t="str">
        <f>IFERROR(__xludf.DUMMYFUNCTION("""COMPUTED_VALUE"""),"-")</f>
        <v>-</v>
      </c>
      <c r="DH158" s="139" t="str">
        <f>IFERROR(__xludf.DUMMYFUNCTION("""COMPUTED_VALUE"""),"-")</f>
        <v>-</v>
      </c>
      <c r="DI158" s="139" t="str">
        <f>IFERROR(__xludf.DUMMYFUNCTION("""COMPUTED_VALUE"""),"-")</f>
        <v>-</v>
      </c>
      <c r="DJ158" s="139" t="str">
        <f>IFERROR(__xludf.DUMMYFUNCTION("""COMPUTED_VALUE"""),"-")</f>
        <v>-</v>
      </c>
    </row>
    <row r="159">
      <c r="A159" s="139" t="str">
        <f>IFERROR(__xludf.DUMMYFUNCTION("""COMPUTED_VALUE"""),"怪獣８号")</f>
        <v>怪獣８号</v>
      </c>
      <c r="B159" s="139" t="str">
        <f>IFERROR(__xludf.DUMMYFUNCTION("""COMPUTED_VALUE"""),"(仮)四ノ宮ヒカリ")</f>
        <v>(仮)四ノ宮ヒカリ</v>
      </c>
      <c r="C159" s="139" t="str">
        <f>IFERROR(__xludf.DUMMYFUNCTION("""COMPUTED_VALUE"""),"chara_kai_00901")</f>
        <v>chara_kai_00901</v>
      </c>
      <c r="D159" s="139" t="str">
        <f>IFERROR(__xludf.DUMMYFUNCTION("""COMPUTED_VALUE"""),"PremiumSSR")</f>
        <v>PremiumSSR</v>
      </c>
      <c r="E159" s="139" t="str">
        <f>IFERROR(__xludf.DUMMYFUNCTION("""COMPUTED_VALUE"""),"無")</f>
        <v>無</v>
      </c>
      <c r="F159" s="139" t="str">
        <f>IFERROR(__xludf.DUMMYFUNCTION("""COMPUTED_VALUE"""),"スペシャル")</f>
        <v>スペシャル</v>
      </c>
      <c r="G159" s="139" t="str">
        <f>IFERROR(__xludf.DUMMYFUNCTION("""COMPUTED_VALUE"""),"※ID管理未記入")</f>
        <v>※ID管理未記入</v>
      </c>
      <c r="H159" s="139" t="str">
        <f>IFERROR(__xludf.DUMMYFUNCTION("""COMPUTED_VALUE"""),"※ID管理未記入")</f>
        <v>※ID管理未記入</v>
      </c>
      <c r="I159" s="139" t="str">
        <f>IFERROR(__xludf.DUMMYFUNCTION("""COMPUTED_VALUE"""),"※ID管理未記入")</f>
        <v>※ID管理未記入</v>
      </c>
      <c r="J159" s="139" t="str">
        <f>IFERROR(__xludf.DUMMYFUNCTION("""COMPUTED_VALUE"""),"プラン確認")</f>
        <v>プラン確認</v>
      </c>
      <c r="K159" s="139" t="str">
        <f>IFERROR(__xludf.DUMMYFUNCTION("""COMPUTED_VALUE"""),"怪獣８号 2回目 いいジャン祭")</f>
        <v>怪獣８号 2回目 いいジャン祭</v>
      </c>
      <c r="L159" s="139" t="str">
        <f>IFERROR(__xludf.DUMMYFUNCTION("""COMPUTED_VALUE"""),"※")</f>
        <v>※</v>
      </c>
      <c r="M159" s="674">
        <f>IFERROR(__xludf.DUMMYFUNCTION("""COMPUTED_VALUE"""),0.0)</f>
        <v>0</v>
      </c>
      <c r="N159" s="139">
        <f>IFERROR(__xludf.DUMMYFUNCTION("""COMPUTED_VALUE"""),0.0)</f>
        <v>0</v>
      </c>
      <c r="O159" s="139"/>
      <c r="P159" s="139">
        <f>IFERROR(__xludf.DUMMYFUNCTION("""COMPUTED_VALUE"""),0.0)</f>
        <v>0</v>
      </c>
      <c r="Q159" s="675">
        <f>IFERROR(__xludf.DUMMYFUNCTION("""COMPUTED_VALUE"""),0.0)</f>
        <v>0</v>
      </c>
      <c r="R159" s="675">
        <f>IFERROR(__xludf.DUMMYFUNCTION("""COMPUTED_VALUE"""),0.0)</f>
        <v>0</v>
      </c>
      <c r="S159" s="675">
        <f>IFERROR(__xludf.DUMMYFUNCTION("""COMPUTED_VALUE"""),-2.5)</f>
        <v>-2.5</v>
      </c>
      <c r="T159" s="674">
        <f>IFERROR(__xludf.DUMMYFUNCTION("""COMPUTED_VALUE"""),225.0)</f>
        <v>225</v>
      </c>
      <c r="U159" s="675">
        <f>IFERROR(__xludf.DUMMYFUNCTION("""COMPUTED_VALUE"""),4.5)</f>
        <v>4.5</v>
      </c>
      <c r="V159" s="675">
        <f>IFERROR(__xludf.DUMMYFUNCTION("""COMPUTED_VALUE"""),0.0)</f>
        <v>0</v>
      </c>
      <c r="W159" s="675">
        <f>IFERROR(__xludf.DUMMYFUNCTION("""COMPUTED_VALUE"""),0.0)</f>
        <v>0</v>
      </c>
      <c r="X159" s="675">
        <f>IFERROR(__xludf.DUMMYFUNCTION("""COMPUTED_VALUE"""),0.0)</f>
        <v>0</v>
      </c>
      <c r="Y159" s="674">
        <f>IFERROR(__xludf.DUMMYFUNCTION("""COMPUTED_VALUE"""),100.0)</f>
        <v>100</v>
      </c>
      <c r="Z159" s="675">
        <f>IFERROR(__xludf.DUMMYFUNCTION("""COMPUTED_VALUE"""),2.0)</f>
        <v>2</v>
      </c>
      <c r="AA159" s="675">
        <f>IFERROR(__xludf.DUMMYFUNCTION("""COMPUTED_VALUE"""),0.0)</f>
        <v>0</v>
      </c>
      <c r="AB159" s="673">
        <f>IFERROR(__xludf.DUMMYFUNCTION("""COMPUTED_VALUE"""),0.0)</f>
        <v>0</v>
      </c>
      <c r="AC159" s="675">
        <f>IFERROR(__xludf.DUMMYFUNCTION("""COMPUTED_VALUE"""),0.0)</f>
        <v>0</v>
      </c>
      <c r="AD159" s="674">
        <f>IFERROR(__xludf.DUMMYFUNCTION("""COMPUTED_VALUE"""),250.0)</f>
        <v>250</v>
      </c>
      <c r="AE159" s="675">
        <f>IFERROR(__xludf.DUMMYFUNCTION("""COMPUTED_VALUE"""),5.0)</f>
        <v>5</v>
      </c>
      <c r="AF159" s="675">
        <f>IFERROR(__xludf.DUMMYFUNCTION("""COMPUTED_VALUE"""),0.0)</f>
        <v>0</v>
      </c>
      <c r="AG159" s="673">
        <f>IFERROR(__xludf.DUMMYFUNCTION("""COMPUTED_VALUE"""),0.0)</f>
        <v>0</v>
      </c>
      <c r="AH159" s="675">
        <f>IFERROR(__xludf.DUMMYFUNCTION("""COMPUTED_VALUE"""),0.0)</f>
        <v>0</v>
      </c>
      <c r="AI159" s="675">
        <f>IFERROR(__xludf.DUMMYFUNCTION("""COMPUTED_VALUE"""),5.0)</f>
        <v>5</v>
      </c>
      <c r="AJ159" s="675">
        <f>IFERROR(__xludf.DUMMYFUNCTION("""COMPUTED_VALUE"""),0.0)</f>
        <v>0</v>
      </c>
      <c r="AK159" s="139">
        <f>IFERROR(__xludf.DUMMYFUNCTION("""COMPUTED_VALUE"""),1.0)</f>
        <v>1</v>
      </c>
      <c r="AL159" s="674">
        <f>IFERROR(__xludf.DUMMYFUNCTION("""COMPUTED_VALUE"""),0.0)</f>
        <v>0</v>
      </c>
      <c r="AM159" s="688">
        <f>IFERROR(__xludf.DUMMYFUNCTION("""COMPUTED_VALUE"""),0.0)</f>
        <v>0</v>
      </c>
      <c r="AN159" s="675">
        <f>IFERROR(__xludf.DUMMYFUNCTION("""COMPUTED_VALUE"""),0.0)</f>
        <v>0</v>
      </c>
      <c r="AO159" s="675">
        <f>IFERROR(__xludf.DUMMYFUNCTION("""COMPUTED_VALUE"""),0.0)</f>
        <v>0</v>
      </c>
      <c r="AP159" s="674">
        <f>IFERROR(__xludf.DUMMYFUNCTION("""COMPUTED_VALUE"""),0.0)</f>
        <v>0</v>
      </c>
      <c r="AQ159" s="673">
        <f>IFERROR(__xludf.DUMMYFUNCTION("""COMPUTED_VALUE"""),0.0)</f>
        <v>0</v>
      </c>
      <c r="AR159" s="673">
        <f>IFERROR(__xludf.DUMMYFUNCTION("""COMPUTED_VALUE"""),0.0)</f>
        <v>0</v>
      </c>
      <c r="AS159" s="673">
        <f>IFERROR(__xludf.DUMMYFUNCTION("""COMPUTED_VALUE"""),0.0)</f>
        <v>0</v>
      </c>
      <c r="AT159" s="673">
        <f>IFERROR(__xludf.DUMMYFUNCTION("""COMPUTED_VALUE"""),0.0)</f>
        <v>0</v>
      </c>
      <c r="AU159" s="675">
        <f>IFERROR(__xludf.DUMMYFUNCTION("""COMPUTED_VALUE"""),0.0)</f>
        <v>0</v>
      </c>
      <c r="AV159" s="675">
        <f>IFERROR(__xludf.DUMMYFUNCTION("""COMPUTED_VALUE"""),0.0)</f>
        <v>0</v>
      </c>
      <c r="AW159" s="139"/>
      <c r="AX159" s="674" t="str">
        <f>IFERROR(__xludf.DUMMYFUNCTION("""COMPUTED_VALUE"""),"※通常攻撃範囲を入力！(CD列)")</f>
        <v>※通常攻撃範囲を入力！(CD列)</v>
      </c>
      <c r="AY159" s="688" t="str">
        <f>IFERROR(__xludf.DUMMYFUNCTION("""COMPUTED_VALUE"""),"#VALUE!")</f>
        <v>#VALUE!</v>
      </c>
      <c r="AZ159" s="674" t="str">
        <f>IFERROR(__xludf.DUMMYFUNCTION("""COMPUTED_VALUE"""),"#VALUE!")</f>
        <v>#VALUE!</v>
      </c>
      <c r="BA159" s="688" t="str">
        <f>IFERROR(__xludf.DUMMYFUNCTION("""COMPUTED_VALUE"""),"#VALUE!")</f>
        <v>#VALUE!</v>
      </c>
      <c r="BB159" s="688" t="str">
        <f>IFERROR(__xludf.DUMMYFUNCTION("""COMPUTED_VALUE"""),"-")</f>
        <v>-</v>
      </c>
      <c r="BC159" s="688" t="str">
        <f>IFERROR(__xludf.DUMMYFUNCTION("""COMPUTED_VALUE"""),"#VALUE!")</f>
        <v>#VALUE!</v>
      </c>
      <c r="BD159" s="688" t="str">
        <f>IFERROR(__xludf.DUMMYFUNCTION("""COMPUTED_VALUE"""),"#VALUE!")</f>
        <v>#VALUE!</v>
      </c>
      <c r="BE159" s="674" t="str">
        <f>IFERROR(__xludf.DUMMYFUNCTION("""COMPUTED_VALUE"""),"#VALUE!")</f>
        <v>#VALUE!</v>
      </c>
      <c r="BF159" s="674">
        <f>IFERROR(__xludf.DUMMYFUNCTION("""COMPUTED_VALUE"""),0.0)</f>
        <v>0</v>
      </c>
      <c r="BG159" s="673">
        <f>IFERROR(__xludf.DUMMYFUNCTION("""COMPUTED_VALUE"""),0.0)</f>
        <v>0</v>
      </c>
      <c r="BH159" s="673">
        <f>IFERROR(__xludf.DUMMYFUNCTION("""COMPUTED_VALUE"""),0.0)</f>
        <v>0</v>
      </c>
      <c r="BI159" s="673">
        <f>IFERROR(__xludf.DUMMYFUNCTION("""COMPUTED_VALUE"""),0.0)</f>
        <v>0</v>
      </c>
      <c r="BJ159" s="673">
        <f>IFERROR(__xludf.DUMMYFUNCTION("""COMPUTED_VALUE"""),0.0)</f>
        <v>0</v>
      </c>
      <c r="BK159" s="673">
        <f>IFERROR(__xludf.DUMMYFUNCTION("""COMPUTED_VALUE"""),0.0)</f>
        <v>0</v>
      </c>
      <c r="BL159" s="673">
        <f>IFERROR(__xludf.DUMMYFUNCTION("""COMPUTED_VALUE"""),0.0)</f>
        <v>0</v>
      </c>
      <c r="BM159" s="674">
        <f>IFERROR(__xludf.DUMMYFUNCTION("""COMPUTED_VALUE"""),0.0)</f>
        <v>0</v>
      </c>
      <c r="BN159" s="674">
        <f>IFERROR(__xludf.DUMMYFUNCTION("""COMPUTED_VALUE"""),0.0)</f>
        <v>0</v>
      </c>
      <c r="BO159" s="675">
        <f>IFERROR(__xludf.DUMMYFUNCTION("""COMPUTED_VALUE"""),0.0)</f>
        <v>0</v>
      </c>
      <c r="BP159" s="675">
        <f>IFERROR(__xludf.DUMMYFUNCTION("""COMPUTED_VALUE"""),0.0)</f>
        <v>0</v>
      </c>
      <c r="BQ159" s="139"/>
      <c r="BR159" s="139" t="str">
        <f>IFERROR(__xludf.DUMMYFUNCTION("""COMPUTED_VALUE"""),"該当なし")</f>
        <v>該当なし</v>
      </c>
      <c r="BS159" s="139" t="str">
        <f>IFERROR(__xludf.DUMMYFUNCTION("""COMPUTED_VALUE"""),"※移動を入力！(BV列)")</f>
        <v>※移動を入力！(BV列)</v>
      </c>
      <c r="BT159" s="139" t="str">
        <f>IFERROR(__xludf.DUMMYFUNCTION("""COMPUTED_VALUE"""),"※攻撃手段を入力(BQ列)")</f>
        <v>※攻撃手段を入力(BQ列)</v>
      </c>
      <c r="BU159" s="139">
        <f>IFERROR(__xludf.DUMMYFUNCTION("""COMPUTED_VALUE"""),0.0)</f>
        <v>0</v>
      </c>
      <c r="BV159" s="139"/>
      <c r="BW159" s="139"/>
      <c r="BX159" s="139" t="str">
        <f>IFERROR(__xludf.DUMMYFUNCTION("""COMPUTED_VALUE"""),"※特性を選択!!(BW列)")</f>
        <v>※特性を選択!!(BW列)</v>
      </c>
      <c r="BY159" s="139" t="str">
        <f>IFERROR(__xludf.DUMMYFUNCTION("""COMPUTED_VALUE"""),"-")</f>
        <v>-</v>
      </c>
      <c r="BZ159" s="139"/>
      <c r="CA159" s="139" t="str">
        <f>IFERROR(__xludf.DUMMYFUNCTION("""COMPUTED_VALUE"""),"※特性を選択!!(BW列)")</f>
        <v>※特性を選択!!(BW列)</v>
      </c>
      <c r="CB159" s="139" t="str">
        <f>IFERROR(__xludf.DUMMYFUNCTION("""COMPUTED_VALUE"""),"-")</f>
        <v>-</v>
      </c>
      <c r="CC159" s="139" t="str">
        <f>IFERROR(__xludf.DUMMYFUNCTION("""COMPUTED_VALUE"""),"※ID管理未記入")</f>
        <v>※ID管理未記入</v>
      </c>
      <c r="CD159" s="139"/>
      <c r="CE159" s="139" t="str">
        <f>IFERROR(__xludf.DUMMYFUNCTION("""COMPUTED_VALUE"""),"-")</f>
        <v>-</v>
      </c>
      <c r="CF159" s="139" t="str">
        <f>IFERROR(__xludf.DUMMYFUNCTION("""COMPUTED_VALUE"""),"#VALUE!")</f>
        <v>#VALUE!</v>
      </c>
      <c r="CG159" s="139"/>
      <c r="CH159" s="139"/>
      <c r="CI159" s="139" t="str">
        <f>IFERROR(__xludf.DUMMYFUNCTION("""COMPUTED_VALUE"""),"-")</f>
        <v>-</v>
      </c>
      <c r="CJ159" s="139" t="str">
        <f>IFERROR(__xludf.DUMMYFUNCTION("""COMPUTED_VALUE"""),"#VALUE!")</f>
        <v>#VALUE!</v>
      </c>
      <c r="CK159" s="139"/>
      <c r="CL159" s="139"/>
      <c r="CM159" s="139"/>
      <c r="CN159" s="675" t="str">
        <f>IFERROR(__xludf.DUMMYFUNCTION("""COMPUTED_VALUE"""),"-")</f>
        <v>-</v>
      </c>
      <c r="CO159" s="139" t="str">
        <f>IFERROR(__xludf.DUMMYFUNCTION("""COMPUTED_VALUE"""),"-")</f>
        <v>-</v>
      </c>
      <c r="CP159" s="139" t="str">
        <f>IFERROR(__xludf.DUMMYFUNCTION("""COMPUTED_VALUE"""),"-")</f>
        <v>-</v>
      </c>
      <c r="CQ159" s="139" t="str">
        <f>IFERROR(__xludf.DUMMYFUNCTION("""COMPUTED_VALUE"""),"-")</f>
        <v>-</v>
      </c>
      <c r="CR159" s="139"/>
      <c r="CS159" s="139"/>
      <c r="CT159" s="139"/>
      <c r="CU159" s="139"/>
      <c r="CV159" s="139"/>
      <c r="CW159" s="139"/>
      <c r="CX159" s="674" t="str">
        <f>IFERROR(__xludf.DUMMYFUNCTION("""COMPUTED_VALUE"""),"")</f>
        <v/>
      </c>
      <c r="CY159" s="675" t="str">
        <f>IFERROR(__xludf.DUMMYFUNCTION("""COMPUTED_VALUE"""),"")</f>
        <v/>
      </c>
      <c r="CZ159" s="688" t="str">
        <f>IFERROR(__xludf.DUMMYFUNCTION("""COMPUTED_VALUE"""),"-")</f>
        <v>-</v>
      </c>
      <c r="DA159" s="688">
        <f>IFERROR(__xludf.DUMMYFUNCTION("""COMPUTED_VALUE"""),0.0)</f>
        <v>0</v>
      </c>
      <c r="DB159" s="688">
        <f>IFERROR(__xludf.DUMMYFUNCTION("""COMPUTED_VALUE"""),0.0)</f>
        <v>0</v>
      </c>
      <c r="DC159" s="673" t="str">
        <f>IFERROR(__xludf.DUMMYFUNCTION("""COMPUTED_VALUE"""),"-")</f>
        <v>-</v>
      </c>
      <c r="DD159" s="673" t="str">
        <f>IFERROR(__xludf.DUMMYFUNCTION("""COMPUTED_VALUE"""),"-")</f>
        <v>-</v>
      </c>
      <c r="DE159" s="139" t="str">
        <f>IFERROR(__xludf.DUMMYFUNCTION("""COMPUTED_VALUE"""),"-")</f>
        <v>-</v>
      </c>
      <c r="DF159" s="139" t="str">
        <f>IFERROR(__xludf.DUMMYFUNCTION("""COMPUTED_VALUE"""),"-")</f>
        <v>-</v>
      </c>
      <c r="DG159" s="139" t="str">
        <f>IFERROR(__xludf.DUMMYFUNCTION("""COMPUTED_VALUE"""),"-")</f>
        <v>-</v>
      </c>
      <c r="DH159" s="139" t="str">
        <f>IFERROR(__xludf.DUMMYFUNCTION("""COMPUTED_VALUE"""),"-")</f>
        <v>-</v>
      </c>
      <c r="DI159" s="139" t="str">
        <f>IFERROR(__xludf.DUMMYFUNCTION("""COMPUTED_VALUE"""),"-")</f>
        <v>-</v>
      </c>
      <c r="DJ159" s="139" t="str">
        <f>IFERROR(__xludf.DUMMYFUNCTION("""COMPUTED_VALUE"""),"-")</f>
        <v>-</v>
      </c>
    </row>
    <row r="160">
      <c r="A160" s="139" t="str">
        <f>IFERROR(__xludf.DUMMYFUNCTION("""COMPUTED_VALUE"""),"MAD")</f>
        <v>MAD</v>
      </c>
      <c r="B160" s="139" t="str">
        <f>IFERROR(__xludf.DUMMYFUNCTION("""COMPUTED_VALUE"""),"覚醒せし異形 ジョン")</f>
        <v>覚醒せし異形 ジョン</v>
      </c>
      <c r="C160" s="139" t="str">
        <f>IFERROR(__xludf.DUMMYFUNCTION("""COMPUTED_VALUE"""),"chara_mad_00001")</f>
        <v>chara_mad_00001</v>
      </c>
      <c r="D160" s="139" t="str">
        <f>IFERROR(__xludf.DUMMYFUNCTION("""COMPUTED_VALUE"""),"PremiumUR")</f>
        <v>PremiumUR</v>
      </c>
      <c r="E160" s="139" t="str">
        <f>IFERROR(__xludf.DUMMYFUNCTION("""COMPUTED_VALUE"""),"青")</f>
        <v>青</v>
      </c>
      <c r="F160" s="139" t="str">
        <f>IFERROR(__xludf.DUMMYFUNCTION("""COMPUTED_VALUE"""),"アタック")</f>
        <v>アタック</v>
      </c>
      <c r="G160" s="139" t="str">
        <f>IFERROR(__xludf.DUMMYFUNCTION("""COMPUTED_VALUE"""),"※ID管理未記入")</f>
        <v>※ID管理未記入</v>
      </c>
      <c r="H160" s="139" t="str">
        <f>IFERROR(__xludf.DUMMYFUNCTION("""COMPUTED_VALUE"""),"※ID管理未記入")</f>
        <v>※ID管理未記入</v>
      </c>
      <c r="I160" s="139" t="str">
        <f>IFERROR(__xludf.DUMMYFUNCTION("""COMPUTED_VALUE"""),"※ID管理未記入")</f>
        <v>※ID管理未記入</v>
      </c>
      <c r="J160" s="139" t="str">
        <f>IFERROR(__xludf.DUMMYFUNCTION("""COMPUTED_VALUE"""),"プラン確認")</f>
        <v>プラン確認</v>
      </c>
      <c r="K160" s="139" t="str">
        <f>IFERROR(__xludf.DUMMYFUNCTION("""COMPUTED_VALUE"""),"MAD いいジャン祭")</f>
        <v>MAD いいジャン祭</v>
      </c>
      <c r="L160" s="139" t="str">
        <f>IFERROR(__xludf.DUMMYFUNCTION("""COMPUTED_VALUE"""),"※")</f>
        <v>※</v>
      </c>
      <c r="M160" s="674">
        <f>IFERROR(__xludf.DUMMYFUNCTION("""COMPUTED_VALUE"""),0.0)</f>
        <v>0</v>
      </c>
      <c r="N160" s="139">
        <f>IFERROR(__xludf.DUMMYFUNCTION("""COMPUTED_VALUE"""),0.0)</f>
        <v>0</v>
      </c>
      <c r="O160" s="139"/>
      <c r="P160" s="139">
        <f>IFERROR(__xludf.DUMMYFUNCTION("""COMPUTED_VALUE"""),0.0)</f>
        <v>0</v>
      </c>
      <c r="Q160" s="675">
        <f>IFERROR(__xludf.DUMMYFUNCTION("""COMPUTED_VALUE"""),0.0)</f>
        <v>0</v>
      </c>
      <c r="R160" s="675">
        <f>IFERROR(__xludf.DUMMYFUNCTION("""COMPUTED_VALUE"""),0.0)</f>
        <v>0</v>
      </c>
      <c r="S160" s="675">
        <f>IFERROR(__xludf.DUMMYFUNCTION("""COMPUTED_VALUE"""),-2.5)</f>
        <v>-2.5</v>
      </c>
      <c r="T160" s="674">
        <f>IFERROR(__xludf.DUMMYFUNCTION("""COMPUTED_VALUE"""),225.0)</f>
        <v>225</v>
      </c>
      <c r="U160" s="675">
        <f>IFERROR(__xludf.DUMMYFUNCTION("""COMPUTED_VALUE"""),4.5)</f>
        <v>4.5</v>
      </c>
      <c r="V160" s="675">
        <f>IFERROR(__xludf.DUMMYFUNCTION("""COMPUTED_VALUE"""),0.0)</f>
        <v>0</v>
      </c>
      <c r="W160" s="675">
        <f>IFERROR(__xludf.DUMMYFUNCTION("""COMPUTED_VALUE"""),0.0)</f>
        <v>0</v>
      </c>
      <c r="X160" s="675">
        <f>IFERROR(__xludf.DUMMYFUNCTION("""COMPUTED_VALUE"""),0.0)</f>
        <v>0</v>
      </c>
      <c r="Y160" s="674">
        <f>IFERROR(__xludf.DUMMYFUNCTION("""COMPUTED_VALUE"""),100.0)</f>
        <v>100</v>
      </c>
      <c r="Z160" s="675">
        <f>IFERROR(__xludf.DUMMYFUNCTION("""COMPUTED_VALUE"""),2.0)</f>
        <v>2</v>
      </c>
      <c r="AA160" s="675">
        <f>IFERROR(__xludf.DUMMYFUNCTION("""COMPUTED_VALUE"""),0.0)</f>
        <v>0</v>
      </c>
      <c r="AB160" s="673">
        <f>IFERROR(__xludf.DUMMYFUNCTION("""COMPUTED_VALUE"""),0.0)</f>
        <v>0</v>
      </c>
      <c r="AC160" s="675">
        <f>IFERROR(__xludf.DUMMYFUNCTION("""COMPUTED_VALUE"""),0.0)</f>
        <v>0</v>
      </c>
      <c r="AD160" s="674">
        <f>IFERROR(__xludf.DUMMYFUNCTION("""COMPUTED_VALUE"""),250.0)</f>
        <v>250</v>
      </c>
      <c r="AE160" s="675">
        <f>IFERROR(__xludf.DUMMYFUNCTION("""COMPUTED_VALUE"""),5.0)</f>
        <v>5</v>
      </c>
      <c r="AF160" s="675">
        <f>IFERROR(__xludf.DUMMYFUNCTION("""COMPUTED_VALUE"""),0.0)</f>
        <v>0</v>
      </c>
      <c r="AG160" s="673">
        <f>IFERROR(__xludf.DUMMYFUNCTION("""COMPUTED_VALUE"""),0.0)</f>
        <v>0</v>
      </c>
      <c r="AH160" s="675">
        <f>IFERROR(__xludf.DUMMYFUNCTION("""COMPUTED_VALUE"""),0.0)</f>
        <v>0</v>
      </c>
      <c r="AI160" s="139" t="str">
        <f>IFERROR(__xludf.DUMMYFUNCTION("""COMPUTED_VALUE"""),"-")</f>
        <v>-</v>
      </c>
      <c r="AJ160" s="675" t="str">
        <f>IFERROR(__xludf.DUMMYFUNCTION("""COMPUTED_VALUE"""),"-")</f>
        <v>-</v>
      </c>
      <c r="AK160" s="139">
        <f>IFERROR(__xludf.DUMMYFUNCTION("""COMPUTED_VALUE"""),0.0)</f>
        <v>0</v>
      </c>
      <c r="AL160" s="674">
        <f>IFERROR(__xludf.DUMMYFUNCTION("""COMPUTED_VALUE"""),0.0)</f>
        <v>0</v>
      </c>
      <c r="AM160" s="688">
        <f>IFERROR(__xludf.DUMMYFUNCTION("""COMPUTED_VALUE"""),0.0)</f>
        <v>0</v>
      </c>
      <c r="AN160" s="675">
        <f>IFERROR(__xludf.DUMMYFUNCTION("""COMPUTED_VALUE"""),0.0)</f>
        <v>0</v>
      </c>
      <c r="AO160" s="675">
        <f>IFERROR(__xludf.DUMMYFUNCTION("""COMPUTED_VALUE"""),0.0)</f>
        <v>0</v>
      </c>
      <c r="AP160" s="674">
        <f>IFERROR(__xludf.DUMMYFUNCTION("""COMPUTED_VALUE"""),0.0)</f>
        <v>0</v>
      </c>
      <c r="AQ160" s="673">
        <f>IFERROR(__xludf.DUMMYFUNCTION("""COMPUTED_VALUE"""),-0.2)</f>
        <v>-0.2</v>
      </c>
      <c r="AR160" s="673">
        <f>IFERROR(__xludf.DUMMYFUNCTION("""COMPUTED_VALUE"""),0.0)</f>
        <v>0</v>
      </c>
      <c r="AS160" s="673">
        <f>IFERROR(__xludf.DUMMYFUNCTION("""COMPUTED_VALUE"""),0.0)</f>
        <v>0</v>
      </c>
      <c r="AT160" s="673">
        <f>IFERROR(__xludf.DUMMYFUNCTION("""COMPUTED_VALUE"""),0.0)</f>
        <v>0</v>
      </c>
      <c r="AU160" s="675">
        <f>IFERROR(__xludf.DUMMYFUNCTION("""COMPUTED_VALUE"""),0.0)</f>
        <v>0</v>
      </c>
      <c r="AV160" s="675">
        <f>IFERROR(__xludf.DUMMYFUNCTION("""COMPUTED_VALUE"""),0.0)</f>
        <v>0</v>
      </c>
      <c r="AW160" s="139"/>
      <c r="AX160" s="674" t="str">
        <f>IFERROR(__xludf.DUMMYFUNCTION("""COMPUTED_VALUE"""),"※通常攻撃範囲を入力！(CD列)")</f>
        <v>※通常攻撃範囲を入力！(CD列)</v>
      </c>
      <c r="AY160" s="688" t="str">
        <f>IFERROR(__xludf.DUMMYFUNCTION("""COMPUTED_VALUE"""),"#VALUE!")</f>
        <v>#VALUE!</v>
      </c>
      <c r="AZ160" s="674" t="str">
        <f>IFERROR(__xludf.DUMMYFUNCTION("""COMPUTED_VALUE"""),"#VALUE!")</f>
        <v>#VALUE!</v>
      </c>
      <c r="BA160" s="688" t="str">
        <f>IFERROR(__xludf.DUMMYFUNCTION("""COMPUTED_VALUE"""),"#VALUE!")</f>
        <v>#VALUE!</v>
      </c>
      <c r="BB160" s="688" t="str">
        <f>IFERROR(__xludf.DUMMYFUNCTION("""COMPUTED_VALUE"""),"-")</f>
        <v>-</v>
      </c>
      <c r="BC160" s="688" t="str">
        <f>IFERROR(__xludf.DUMMYFUNCTION("""COMPUTED_VALUE"""),"#VALUE!")</f>
        <v>#VALUE!</v>
      </c>
      <c r="BD160" s="688" t="str">
        <f>IFERROR(__xludf.DUMMYFUNCTION("""COMPUTED_VALUE"""),"#VALUE!")</f>
        <v>#VALUE!</v>
      </c>
      <c r="BE160" s="674" t="str">
        <f>IFERROR(__xludf.DUMMYFUNCTION("""COMPUTED_VALUE"""),"#VALUE!")</f>
        <v>#VALUE!</v>
      </c>
      <c r="BF160" s="674">
        <f>IFERROR(__xludf.DUMMYFUNCTION("""COMPUTED_VALUE"""),0.0)</f>
        <v>0</v>
      </c>
      <c r="BG160" s="673">
        <f>IFERROR(__xludf.DUMMYFUNCTION("""COMPUTED_VALUE"""),0.0)</f>
        <v>0</v>
      </c>
      <c r="BH160" s="673">
        <f>IFERROR(__xludf.DUMMYFUNCTION("""COMPUTED_VALUE"""),0.3)</f>
        <v>0.3</v>
      </c>
      <c r="BI160" s="673">
        <f>IFERROR(__xludf.DUMMYFUNCTION("""COMPUTED_VALUE"""),0.0)</f>
        <v>0</v>
      </c>
      <c r="BJ160" s="673">
        <f>IFERROR(__xludf.DUMMYFUNCTION("""COMPUTED_VALUE"""),0.0)</f>
        <v>0</v>
      </c>
      <c r="BK160" s="673">
        <f>IFERROR(__xludf.DUMMYFUNCTION("""COMPUTED_VALUE"""),0.0)</f>
        <v>0</v>
      </c>
      <c r="BL160" s="673">
        <f>IFERROR(__xludf.DUMMYFUNCTION("""COMPUTED_VALUE"""),0.0)</f>
        <v>0</v>
      </c>
      <c r="BM160" s="674">
        <f>IFERROR(__xludf.DUMMYFUNCTION("""COMPUTED_VALUE"""),0.0)</f>
        <v>0</v>
      </c>
      <c r="BN160" s="674">
        <f>IFERROR(__xludf.DUMMYFUNCTION("""COMPUTED_VALUE"""),0.0)</f>
        <v>0</v>
      </c>
      <c r="BO160" s="675">
        <f>IFERROR(__xludf.DUMMYFUNCTION("""COMPUTED_VALUE"""),0.0)</f>
        <v>0</v>
      </c>
      <c r="BP160" s="675">
        <f>IFERROR(__xludf.DUMMYFUNCTION("""COMPUTED_VALUE"""),0.0)</f>
        <v>0</v>
      </c>
      <c r="BQ160" s="139"/>
      <c r="BR160" s="139">
        <f>IFERROR(__xludf.DUMMYFUNCTION("""COMPUTED_VALUE"""),2.0)</f>
        <v>2</v>
      </c>
      <c r="BS160" s="139" t="str">
        <f>IFERROR(__xludf.DUMMYFUNCTION("""COMPUTED_VALUE"""),"※移動を入力！(BV列)")</f>
        <v>※移動を入力！(BV列)</v>
      </c>
      <c r="BT160" s="139" t="str">
        <f>IFERROR(__xludf.DUMMYFUNCTION("""COMPUTED_VALUE"""),"※攻撃手段を入力(BQ列)")</f>
        <v>※攻撃手段を入力(BQ列)</v>
      </c>
      <c r="BU160" s="139">
        <f>IFERROR(__xludf.DUMMYFUNCTION("""COMPUTED_VALUE"""),0.0)</f>
        <v>0</v>
      </c>
      <c r="BV160" s="139"/>
      <c r="BW160" s="139"/>
      <c r="BX160" s="139" t="str">
        <f>IFERROR(__xludf.DUMMYFUNCTION("""COMPUTED_VALUE"""),"※特性を選択!!(BW列)")</f>
        <v>※特性を選択!!(BW列)</v>
      </c>
      <c r="BY160" s="139">
        <f>IFERROR(__xludf.DUMMYFUNCTION("""COMPUTED_VALUE"""),0.0)</f>
        <v>0</v>
      </c>
      <c r="BZ160" s="139"/>
      <c r="CA160" s="139" t="str">
        <f>IFERROR(__xludf.DUMMYFUNCTION("""COMPUTED_VALUE"""),"※特性を選択!!(BW列)")</f>
        <v>※特性を選択!!(BW列)</v>
      </c>
      <c r="CB160" s="139">
        <f>IFERROR(__xludf.DUMMYFUNCTION("""COMPUTED_VALUE"""),4.0)</f>
        <v>4</v>
      </c>
      <c r="CC160" s="139" t="str">
        <f>IFERROR(__xludf.DUMMYFUNCTION("""COMPUTED_VALUE"""),"※ID管理未記入")</f>
        <v>※ID管理未記入</v>
      </c>
      <c r="CD160" s="139"/>
      <c r="CE160" s="139" t="str">
        <f>IFERROR(__xludf.DUMMYFUNCTION("""COMPUTED_VALUE"""),"該当なし")</f>
        <v>該当なし</v>
      </c>
      <c r="CF160" s="139" t="str">
        <f>IFERROR(__xludf.DUMMYFUNCTION("""COMPUTED_VALUE"""),"#VALUE!")</f>
        <v>#VALUE!</v>
      </c>
      <c r="CG160" s="139"/>
      <c r="CH160" s="139"/>
      <c r="CI160" s="139" t="str">
        <f>IFERROR(__xludf.DUMMYFUNCTION("""COMPUTED_VALUE"""),"該当なし")</f>
        <v>該当なし</v>
      </c>
      <c r="CJ160" s="139" t="str">
        <f>IFERROR(__xludf.DUMMYFUNCTION("""COMPUTED_VALUE"""),"#VALUE!")</f>
        <v>#VALUE!</v>
      </c>
      <c r="CK160" s="139"/>
      <c r="CL160" s="139"/>
      <c r="CM160" s="139"/>
      <c r="CN160" s="675">
        <f>IFERROR(__xludf.DUMMYFUNCTION("""COMPUTED_VALUE"""),5.0)</f>
        <v>5</v>
      </c>
      <c r="CO160" s="139" t="str">
        <f>IFERROR(__xludf.DUMMYFUNCTION("""COMPUTED_VALUE"""),"-")</f>
        <v>-</v>
      </c>
      <c r="CP160" s="139" t="str">
        <f>IFERROR(__xludf.DUMMYFUNCTION("""COMPUTED_VALUE"""),"-")</f>
        <v>-</v>
      </c>
      <c r="CQ160" s="139" t="str">
        <f>IFERROR(__xludf.DUMMYFUNCTION("""COMPUTED_VALUE"""),"-")</f>
        <v>-</v>
      </c>
      <c r="CR160" s="139"/>
      <c r="CS160" s="139"/>
      <c r="CT160" s="139"/>
      <c r="CU160" s="139"/>
      <c r="CV160" s="139"/>
      <c r="CW160" s="139"/>
      <c r="CX160" s="674" t="str">
        <f>IFERROR(__xludf.DUMMYFUNCTION("""COMPUTED_VALUE"""),"")</f>
        <v/>
      </c>
      <c r="CY160" s="675" t="str">
        <f>IFERROR(__xludf.DUMMYFUNCTION("""COMPUTED_VALUE"""),"")</f>
        <v/>
      </c>
      <c r="CZ160" s="688" t="str">
        <f>IFERROR(__xludf.DUMMYFUNCTION("""COMPUTED_VALUE"""),"-")</f>
        <v>-</v>
      </c>
      <c r="DA160" s="688">
        <f>IFERROR(__xludf.DUMMYFUNCTION("""COMPUTED_VALUE"""),0.0)</f>
        <v>0</v>
      </c>
      <c r="DB160" s="688">
        <f>IFERROR(__xludf.DUMMYFUNCTION("""COMPUTED_VALUE"""),0.0)</f>
        <v>0</v>
      </c>
      <c r="DC160" s="673" t="str">
        <f>IFERROR(__xludf.DUMMYFUNCTION("""COMPUTED_VALUE"""),"-")</f>
        <v>-</v>
      </c>
      <c r="DD160" s="673" t="str">
        <f>IFERROR(__xludf.DUMMYFUNCTION("""COMPUTED_VALUE"""),"-")</f>
        <v>-</v>
      </c>
      <c r="DE160" s="139" t="str">
        <f>IFERROR(__xludf.DUMMYFUNCTION("""COMPUTED_VALUE"""),"-")</f>
        <v>-</v>
      </c>
      <c r="DF160" s="139" t="str">
        <f>IFERROR(__xludf.DUMMYFUNCTION("""COMPUTED_VALUE"""),"-")</f>
        <v>-</v>
      </c>
      <c r="DG160" s="139" t="str">
        <f>IFERROR(__xludf.DUMMYFUNCTION("""COMPUTED_VALUE"""),"-")</f>
        <v>-</v>
      </c>
      <c r="DH160" s="139" t="str">
        <f>IFERROR(__xludf.DUMMYFUNCTION("""COMPUTED_VALUE"""),"-")</f>
        <v>-</v>
      </c>
      <c r="DI160" s="139" t="str">
        <f>IFERROR(__xludf.DUMMYFUNCTION("""COMPUTED_VALUE"""),"-")</f>
        <v>-</v>
      </c>
      <c r="DJ160" s="139" t="str">
        <f>IFERROR(__xludf.DUMMYFUNCTION("""COMPUTED_VALUE"""),"-")</f>
        <v>-</v>
      </c>
    </row>
    <row r="161">
      <c r="A161" s="139" t="str">
        <f>IFERROR(__xludf.DUMMYFUNCTION("""COMPUTED_VALUE"""),"MAD")</f>
        <v>MAD</v>
      </c>
      <c r="B161" s="139" t="str">
        <f>IFERROR(__xludf.DUMMYFUNCTION("""COMPUTED_VALUE"""),"白の先導者 パノ")</f>
        <v>白の先導者 パノ</v>
      </c>
      <c r="C161" s="139" t="str">
        <f>IFERROR(__xludf.DUMMYFUNCTION("""COMPUTED_VALUE"""),"chara_mad_00101")</f>
        <v>chara_mad_00101</v>
      </c>
      <c r="D161" s="139" t="str">
        <f>IFERROR(__xludf.DUMMYFUNCTION("""COMPUTED_VALUE"""),"PremiumUR")</f>
        <v>PremiumUR</v>
      </c>
      <c r="E161" s="139" t="str">
        <f>IFERROR(__xludf.DUMMYFUNCTION("""COMPUTED_VALUE"""),"赤")</f>
        <v>赤</v>
      </c>
      <c r="F161" s="139" t="str">
        <f>IFERROR(__xludf.DUMMYFUNCTION("""COMPUTED_VALUE"""),"テクニカル")</f>
        <v>テクニカル</v>
      </c>
      <c r="G161" s="139" t="str">
        <f>IFERROR(__xludf.DUMMYFUNCTION("""COMPUTED_VALUE"""),"※ID管理未記入")</f>
        <v>※ID管理未記入</v>
      </c>
      <c r="H161" s="139" t="str">
        <f>IFERROR(__xludf.DUMMYFUNCTION("""COMPUTED_VALUE"""),"※ID管理未記入")</f>
        <v>※ID管理未記入</v>
      </c>
      <c r="I161" s="139" t="str">
        <f>IFERROR(__xludf.DUMMYFUNCTION("""COMPUTED_VALUE"""),"※ID管理未記入")</f>
        <v>※ID管理未記入</v>
      </c>
      <c r="J161" s="139" t="str">
        <f>IFERROR(__xludf.DUMMYFUNCTION("""COMPUTED_VALUE"""),"プラン確認")</f>
        <v>プラン確認</v>
      </c>
      <c r="K161" s="139" t="str">
        <f>IFERROR(__xludf.DUMMYFUNCTION("""COMPUTED_VALUE"""),"MAD いいジャン祭")</f>
        <v>MAD いいジャン祭</v>
      </c>
      <c r="L161" s="139" t="str">
        <f>IFERROR(__xludf.DUMMYFUNCTION("""COMPUTED_VALUE"""),"※")</f>
        <v>※</v>
      </c>
      <c r="M161" s="674">
        <f>IFERROR(__xludf.DUMMYFUNCTION("""COMPUTED_VALUE"""),0.0)</f>
        <v>0</v>
      </c>
      <c r="N161" s="139">
        <f>IFERROR(__xludf.DUMMYFUNCTION("""COMPUTED_VALUE"""),0.0)</f>
        <v>0</v>
      </c>
      <c r="O161" s="139"/>
      <c r="P161" s="139">
        <f>IFERROR(__xludf.DUMMYFUNCTION("""COMPUTED_VALUE"""),0.0)</f>
        <v>0</v>
      </c>
      <c r="Q161" s="675">
        <f>IFERROR(__xludf.DUMMYFUNCTION("""COMPUTED_VALUE"""),0.0)</f>
        <v>0</v>
      </c>
      <c r="R161" s="675">
        <f>IFERROR(__xludf.DUMMYFUNCTION("""COMPUTED_VALUE"""),0.0)</f>
        <v>0</v>
      </c>
      <c r="S161" s="675">
        <f>IFERROR(__xludf.DUMMYFUNCTION("""COMPUTED_VALUE"""),-2.5)</f>
        <v>-2.5</v>
      </c>
      <c r="T161" s="674">
        <f>IFERROR(__xludf.DUMMYFUNCTION("""COMPUTED_VALUE"""),225.0)</f>
        <v>225</v>
      </c>
      <c r="U161" s="675">
        <f>IFERROR(__xludf.DUMMYFUNCTION("""COMPUTED_VALUE"""),4.5)</f>
        <v>4.5</v>
      </c>
      <c r="V161" s="675">
        <f>IFERROR(__xludf.DUMMYFUNCTION("""COMPUTED_VALUE"""),0.0)</f>
        <v>0</v>
      </c>
      <c r="W161" s="675">
        <f>IFERROR(__xludf.DUMMYFUNCTION("""COMPUTED_VALUE"""),0.0)</f>
        <v>0</v>
      </c>
      <c r="X161" s="675">
        <f>IFERROR(__xludf.DUMMYFUNCTION("""COMPUTED_VALUE"""),0.0)</f>
        <v>0</v>
      </c>
      <c r="Y161" s="674">
        <f>IFERROR(__xludf.DUMMYFUNCTION("""COMPUTED_VALUE"""),100.0)</f>
        <v>100</v>
      </c>
      <c r="Z161" s="675">
        <f>IFERROR(__xludf.DUMMYFUNCTION("""COMPUTED_VALUE"""),2.0)</f>
        <v>2</v>
      </c>
      <c r="AA161" s="675">
        <f>IFERROR(__xludf.DUMMYFUNCTION("""COMPUTED_VALUE"""),0.0)</f>
        <v>0</v>
      </c>
      <c r="AB161" s="673">
        <f>IFERROR(__xludf.DUMMYFUNCTION("""COMPUTED_VALUE"""),0.0)</f>
        <v>0</v>
      </c>
      <c r="AC161" s="675">
        <f>IFERROR(__xludf.DUMMYFUNCTION("""COMPUTED_VALUE"""),0.0)</f>
        <v>0</v>
      </c>
      <c r="AD161" s="674">
        <f>IFERROR(__xludf.DUMMYFUNCTION("""COMPUTED_VALUE"""),250.0)</f>
        <v>250</v>
      </c>
      <c r="AE161" s="675">
        <f>IFERROR(__xludf.DUMMYFUNCTION("""COMPUTED_VALUE"""),5.0)</f>
        <v>5</v>
      </c>
      <c r="AF161" s="675">
        <f>IFERROR(__xludf.DUMMYFUNCTION("""COMPUTED_VALUE"""),0.0)</f>
        <v>0</v>
      </c>
      <c r="AG161" s="673">
        <f>IFERROR(__xludf.DUMMYFUNCTION("""COMPUTED_VALUE"""),0.0)</f>
        <v>0</v>
      </c>
      <c r="AH161" s="675">
        <f>IFERROR(__xludf.DUMMYFUNCTION("""COMPUTED_VALUE"""),0.0)</f>
        <v>0</v>
      </c>
      <c r="AI161" s="139" t="str">
        <f>IFERROR(__xludf.DUMMYFUNCTION("""COMPUTED_VALUE"""),"-")</f>
        <v>-</v>
      </c>
      <c r="AJ161" s="675" t="str">
        <f>IFERROR(__xludf.DUMMYFUNCTION("""COMPUTED_VALUE"""),"-")</f>
        <v>-</v>
      </c>
      <c r="AK161" s="139">
        <f>IFERROR(__xludf.DUMMYFUNCTION("""COMPUTED_VALUE"""),0.0)</f>
        <v>0</v>
      </c>
      <c r="AL161" s="674">
        <f>IFERROR(__xludf.DUMMYFUNCTION("""COMPUTED_VALUE"""),0.0)</f>
        <v>0</v>
      </c>
      <c r="AM161" s="688">
        <f>IFERROR(__xludf.DUMMYFUNCTION("""COMPUTED_VALUE"""),0.0)</f>
        <v>0</v>
      </c>
      <c r="AN161" s="675">
        <f>IFERROR(__xludf.DUMMYFUNCTION("""COMPUTED_VALUE"""),0.0)</f>
        <v>0</v>
      </c>
      <c r="AO161" s="675">
        <f>IFERROR(__xludf.DUMMYFUNCTION("""COMPUTED_VALUE"""),0.0)</f>
        <v>0</v>
      </c>
      <c r="AP161" s="674">
        <f>IFERROR(__xludf.DUMMYFUNCTION("""COMPUTED_VALUE"""),0.0)</f>
        <v>0</v>
      </c>
      <c r="AQ161" s="673">
        <f>IFERROR(__xludf.DUMMYFUNCTION("""COMPUTED_VALUE"""),-0.3)</f>
        <v>-0.3</v>
      </c>
      <c r="AR161" s="673">
        <f>IFERROR(__xludf.DUMMYFUNCTION("""COMPUTED_VALUE"""),0.0)</f>
        <v>0</v>
      </c>
      <c r="AS161" s="673">
        <f>IFERROR(__xludf.DUMMYFUNCTION("""COMPUTED_VALUE"""),0.0)</f>
        <v>0</v>
      </c>
      <c r="AT161" s="673">
        <f>IFERROR(__xludf.DUMMYFUNCTION("""COMPUTED_VALUE"""),0.0)</f>
        <v>0</v>
      </c>
      <c r="AU161" s="675">
        <f>IFERROR(__xludf.DUMMYFUNCTION("""COMPUTED_VALUE"""),0.0)</f>
        <v>0</v>
      </c>
      <c r="AV161" s="675">
        <f>IFERROR(__xludf.DUMMYFUNCTION("""COMPUTED_VALUE"""),0.0)</f>
        <v>0</v>
      </c>
      <c r="AW161" s="139"/>
      <c r="AX161" s="674" t="str">
        <f>IFERROR(__xludf.DUMMYFUNCTION("""COMPUTED_VALUE"""),"※通常攻撃範囲を入力！(CD列)")</f>
        <v>※通常攻撃範囲を入力！(CD列)</v>
      </c>
      <c r="AY161" s="688" t="str">
        <f>IFERROR(__xludf.DUMMYFUNCTION("""COMPUTED_VALUE"""),"#VALUE!")</f>
        <v>#VALUE!</v>
      </c>
      <c r="AZ161" s="674" t="str">
        <f>IFERROR(__xludf.DUMMYFUNCTION("""COMPUTED_VALUE"""),"#VALUE!")</f>
        <v>#VALUE!</v>
      </c>
      <c r="BA161" s="688" t="str">
        <f>IFERROR(__xludf.DUMMYFUNCTION("""COMPUTED_VALUE"""),"#VALUE!")</f>
        <v>#VALUE!</v>
      </c>
      <c r="BB161" s="688" t="str">
        <f>IFERROR(__xludf.DUMMYFUNCTION("""COMPUTED_VALUE"""),"-")</f>
        <v>-</v>
      </c>
      <c r="BC161" s="688" t="str">
        <f>IFERROR(__xludf.DUMMYFUNCTION("""COMPUTED_VALUE"""),"#VALUE!")</f>
        <v>#VALUE!</v>
      </c>
      <c r="BD161" s="688" t="str">
        <f>IFERROR(__xludf.DUMMYFUNCTION("""COMPUTED_VALUE"""),"#VALUE!")</f>
        <v>#VALUE!</v>
      </c>
      <c r="BE161" s="674" t="str">
        <f>IFERROR(__xludf.DUMMYFUNCTION("""COMPUTED_VALUE"""),"#VALUE!")</f>
        <v>#VALUE!</v>
      </c>
      <c r="BF161" s="674">
        <f>IFERROR(__xludf.DUMMYFUNCTION("""COMPUTED_VALUE"""),0.0)</f>
        <v>0</v>
      </c>
      <c r="BG161" s="673">
        <f>IFERROR(__xludf.DUMMYFUNCTION("""COMPUTED_VALUE"""),0.0)</f>
        <v>0</v>
      </c>
      <c r="BH161" s="673">
        <f>IFERROR(__xludf.DUMMYFUNCTION("""COMPUTED_VALUE"""),0.1)</f>
        <v>0.1</v>
      </c>
      <c r="BI161" s="673">
        <f>IFERROR(__xludf.DUMMYFUNCTION("""COMPUTED_VALUE"""),0.0)</f>
        <v>0</v>
      </c>
      <c r="BJ161" s="673">
        <f>IFERROR(__xludf.DUMMYFUNCTION("""COMPUTED_VALUE"""),0.0)</f>
        <v>0</v>
      </c>
      <c r="BK161" s="673">
        <f>IFERROR(__xludf.DUMMYFUNCTION("""COMPUTED_VALUE"""),0.0)</f>
        <v>0</v>
      </c>
      <c r="BL161" s="673">
        <f>IFERROR(__xludf.DUMMYFUNCTION("""COMPUTED_VALUE"""),0.0)</f>
        <v>0</v>
      </c>
      <c r="BM161" s="674">
        <f>IFERROR(__xludf.DUMMYFUNCTION("""COMPUTED_VALUE"""),0.0)</f>
        <v>0</v>
      </c>
      <c r="BN161" s="674">
        <f>IFERROR(__xludf.DUMMYFUNCTION("""COMPUTED_VALUE"""),0.0)</f>
        <v>0</v>
      </c>
      <c r="BO161" s="675">
        <f>IFERROR(__xludf.DUMMYFUNCTION("""COMPUTED_VALUE"""),0.0)</f>
        <v>0</v>
      </c>
      <c r="BP161" s="675">
        <f>IFERROR(__xludf.DUMMYFUNCTION("""COMPUTED_VALUE"""),0.0)</f>
        <v>0</v>
      </c>
      <c r="BQ161" s="139"/>
      <c r="BR161" s="139">
        <f>IFERROR(__xludf.DUMMYFUNCTION("""COMPUTED_VALUE"""),3.0)</f>
        <v>3</v>
      </c>
      <c r="BS161" s="139" t="str">
        <f>IFERROR(__xludf.DUMMYFUNCTION("""COMPUTED_VALUE"""),"※移動を入力！(BV列)")</f>
        <v>※移動を入力！(BV列)</v>
      </c>
      <c r="BT161" s="139" t="str">
        <f>IFERROR(__xludf.DUMMYFUNCTION("""COMPUTED_VALUE"""),"※攻撃手段を入力(BQ列)")</f>
        <v>※攻撃手段を入力(BQ列)</v>
      </c>
      <c r="BU161" s="139">
        <f>IFERROR(__xludf.DUMMYFUNCTION("""COMPUTED_VALUE"""),0.0)</f>
        <v>0</v>
      </c>
      <c r="BV161" s="139"/>
      <c r="BW161" s="139"/>
      <c r="BX161" s="139" t="str">
        <f>IFERROR(__xludf.DUMMYFUNCTION("""COMPUTED_VALUE"""),"※特性を選択!!(BW列)")</f>
        <v>※特性を選択!!(BW列)</v>
      </c>
      <c r="BY161" s="139">
        <f>IFERROR(__xludf.DUMMYFUNCTION("""COMPUTED_VALUE"""),0.0)</f>
        <v>0</v>
      </c>
      <c r="BZ161" s="139"/>
      <c r="CA161" s="139" t="str">
        <f>IFERROR(__xludf.DUMMYFUNCTION("""COMPUTED_VALUE"""),"※特性を選択!!(BW列)")</f>
        <v>※特性を選択!!(BW列)</v>
      </c>
      <c r="CB161" s="139">
        <f>IFERROR(__xludf.DUMMYFUNCTION("""COMPUTED_VALUE"""),4.0)</f>
        <v>4</v>
      </c>
      <c r="CC161" s="139" t="str">
        <f>IFERROR(__xludf.DUMMYFUNCTION("""COMPUTED_VALUE"""),"※ID管理未記入")</f>
        <v>※ID管理未記入</v>
      </c>
      <c r="CD161" s="139"/>
      <c r="CE161" s="139" t="str">
        <f>IFERROR(__xludf.DUMMYFUNCTION("""COMPUTED_VALUE"""),"該当なし")</f>
        <v>該当なし</v>
      </c>
      <c r="CF161" s="139" t="str">
        <f>IFERROR(__xludf.DUMMYFUNCTION("""COMPUTED_VALUE"""),"#VALUE!")</f>
        <v>#VALUE!</v>
      </c>
      <c r="CG161" s="139"/>
      <c r="CH161" s="139"/>
      <c r="CI161" s="139" t="str">
        <f>IFERROR(__xludf.DUMMYFUNCTION("""COMPUTED_VALUE"""),"該当なし")</f>
        <v>該当なし</v>
      </c>
      <c r="CJ161" s="139" t="str">
        <f>IFERROR(__xludf.DUMMYFUNCTION("""COMPUTED_VALUE"""),"#VALUE!")</f>
        <v>#VALUE!</v>
      </c>
      <c r="CK161" s="139"/>
      <c r="CL161" s="139"/>
      <c r="CM161" s="139"/>
      <c r="CN161" s="675">
        <f>IFERROR(__xludf.DUMMYFUNCTION("""COMPUTED_VALUE"""),5.0)</f>
        <v>5</v>
      </c>
      <c r="CO161" s="139" t="str">
        <f>IFERROR(__xludf.DUMMYFUNCTION("""COMPUTED_VALUE"""),"-")</f>
        <v>-</v>
      </c>
      <c r="CP161" s="139" t="str">
        <f>IFERROR(__xludf.DUMMYFUNCTION("""COMPUTED_VALUE"""),"-")</f>
        <v>-</v>
      </c>
      <c r="CQ161" s="139" t="str">
        <f>IFERROR(__xludf.DUMMYFUNCTION("""COMPUTED_VALUE"""),"-")</f>
        <v>-</v>
      </c>
      <c r="CR161" s="139"/>
      <c r="CS161" s="139"/>
      <c r="CT161" s="139"/>
      <c r="CU161" s="139"/>
      <c r="CV161" s="139"/>
      <c r="CW161" s="139"/>
      <c r="CX161" s="674" t="str">
        <f>IFERROR(__xludf.DUMMYFUNCTION("""COMPUTED_VALUE"""),"")</f>
        <v/>
      </c>
      <c r="CY161" s="675" t="str">
        <f>IFERROR(__xludf.DUMMYFUNCTION("""COMPUTED_VALUE"""),"")</f>
        <v/>
      </c>
      <c r="CZ161" s="688" t="str">
        <f>IFERROR(__xludf.DUMMYFUNCTION("""COMPUTED_VALUE"""),"-")</f>
        <v>-</v>
      </c>
      <c r="DA161" s="688">
        <f>IFERROR(__xludf.DUMMYFUNCTION("""COMPUTED_VALUE"""),0.0)</f>
        <v>0</v>
      </c>
      <c r="DB161" s="688">
        <f>IFERROR(__xludf.DUMMYFUNCTION("""COMPUTED_VALUE"""),0.0)</f>
        <v>0</v>
      </c>
      <c r="DC161" s="673" t="str">
        <f>IFERROR(__xludf.DUMMYFUNCTION("""COMPUTED_VALUE"""),"-")</f>
        <v>-</v>
      </c>
      <c r="DD161" s="673" t="str">
        <f>IFERROR(__xludf.DUMMYFUNCTION("""COMPUTED_VALUE"""),"-")</f>
        <v>-</v>
      </c>
      <c r="DE161" s="139" t="str">
        <f>IFERROR(__xludf.DUMMYFUNCTION("""COMPUTED_VALUE"""),"-")</f>
        <v>-</v>
      </c>
      <c r="DF161" s="139" t="str">
        <f>IFERROR(__xludf.DUMMYFUNCTION("""COMPUTED_VALUE"""),"-")</f>
        <v>-</v>
      </c>
      <c r="DG161" s="139" t="str">
        <f>IFERROR(__xludf.DUMMYFUNCTION("""COMPUTED_VALUE"""),"-")</f>
        <v>-</v>
      </c>
      <c r="DH161" s="139" t="str">
        <f>IFERROR(__xludf.DUMMYFUNCTION("""COMPUTED_VALUE"""),"-")</f>
        <v>-</v>
      </c>
      <c r="DI161" s="139" t="str">
        <f>IFERROR(__xludf.DUMMYFUNCTION("""COMPUTED_VALUE"""),"-")</f>
        <v>-</v>
      </c>
      <c r="DJ161" s="139" t="str">
        <f>IFERROR(__xludf.DUMMYFUNCTION("""COMPUTED_VALUE"""),"-")</f>
        <v>-</v>
      </c>
    </row>
    <row r="162">
      <c r="A162" s="139" t="str">
        <f>IFERROR(__xludf.DUMMYFUNCTION("""COMPUTED_VALUE"""),"MAD")</f>
        <v>MAD</v>
      </c>
      <c r="B162" s="139" t="str">
        <f>IFERROR(__xludf.DUMMYFUNCTION("""COMPUTED_VALUE"""),"アルダ")</f>
        <v>アルダ</v>
      </c>
      <c r="C162" s="139" t="str">
        <f>IFERROR(__xludf.DUMMYFUNCTION("""COMPUTED_VALUE"""),"chara_mad_00201")</f>
        <v>chara_mad_00201</v>
      </c>
      <c r="D162" s="139" t="str">
        <f>IFERROR(__xludf.DUMMYFUNCTION("""COMPUTED_VALUE"""),"DropSR")</f>
        <v>DropSR</v>
      </c>
      <c r="E162" s="139" t="str">
        <f>IFERROR(__xludf.DUMMYFUNCTION("""COMPUTED_VALUE"""),"赤")</f>
        <v>赤</v>
      </c>
      <c r="F162" s="139" t="str">
        <f>IFERROR(__xludf.DUMMYFUNCTION("""COMPUTED_VALUE"""),"ディフェンス")</f>
        <v>ディフェンス</v>
      </c>
      <c r="G162" s="139" t="str">
        <f>IFERROR(__xludf.DUMMYFUNCTION("""COMPUTED_VALUE"""),"※ID管理未記入")</f>
        <v>※ID管理未記入</v>
      </c>
      <c r="H162" s="139" t="str">
        <f>IFERROR(__xludf.DUMMYFUNCTION("""COMPUTED_VALUE"""),"※ID管理未記入")</f>
        <v>※ID管理未記入</v>
      </c>
      <c r="I162" s="139" t="str">
        <f>IFERROR(__xludf.DUMMYFUNCTION("""COMPUTED_VALUE"""),"※ID管理未記入")</f>
        <v>※ID管理未記入</v>
      </c>
      <c r="J162" s="139" t="str">
        <f>IFERROR(__xludf.DUMMYFUNCTION("""COMPUTED_VALUE"""),"プラン確認")</f>
        <v>プラン確認</v>
      </c>
      <c r="K162" s="139" t="str">
        <f>IFERROR(__xludf.DUMMYFUNCTION("""COMPUTED_VALUE"""),"MAD いいジャン祭")</f>
        <v>MAD いいジャン祭</v>
      </c>
      <c r="L162" s="139" t="str">
        <f>IFERROR(__xludf.DUMMYFUNCTION("""COMPUTED_VALUE"""),"※")</f>
        <v>※</v>
      </c>
      <c r="M162" s="674">
        <f>IFERROR(__xludf.DUMMYFUNCTION("""COMPUTED_VALUE"""),0.0)</f>
        <v>0</v>
      </c>
      <c r="N162" s="139">
        <f>IFERROR(__xludf.DUMMYFUNCTION("""COMPUTED_VALUE"""),0.0)</f>
        <v>0</v>
      </c>
      <c r="O162" s="139"/>
      <c r="P162" s="139">
        <f>IFERROR(__xludf.DUMMYFUNCTION("""COMPUTED_VALUE"""),0.0)</f>
        <v>0</v>
      </c>
      <c r="Q162" s="675">
        <f>IFERROR(__xludf.DUMMYFUNCTION("""COMPUTED_VALUE"""),0.0)</f>
        <v>0</v>
      </c>
      <c r="R162" s="675">
        <f>IFERROR(__xludf.DUMMYFUNCTION("""COMPUTED_VALUE"""),0.0)</f>
        <v>0</v>
      </c>
      <c r="S162" s="675">
        <f>IFERROR(__xludf.DUMMYFUNCTION("""COMPUTED_VALUE"""),-2.5)</f>
        <v>-2.5</v>
      </c>
      <c r="T162" s="674">
        <f>IFERROR(__xludf.DUMMYFUNCTION("""COMPUTED_VALUE"""),225.0)</f>
        <v>225</v>
      </c>
      <c r="U162" s="675">
        <f>IFERROR(__xludf.DUMMYFUNCTION("""COMPUTED_VALUE"""),4.5)</f>
        <v>4.5</v>
      </c>
      <c r="V162" s="675">
        <f>IFERROR(__xludf.DUMMYFUNCTION("""COMPUTED_VALUE"""),0.0)</f>
        <v>0</v>
      </c>
      <c r="W162" s="675">
        <f>IFERROR(__xludf.DUMMYFUNCTION("""COMPUTED_VALUE"""),0.0)</f>
        <v>0</v>
      </c>
      <c r="X162" s="675">
        <f>IFERROR(__xludf.DUMMYFUNCTION("""COMPUTED_VALUE"""),0.0)</f>
        <v>0</v>
      </c>
      <c r="Y162" s="674">
        <f>IFERROR(__xludf.DUMMYFUNCTION("""COMPUTED_VALUE"""),100.0)</f>
        <v>100</v>
      </c>
      <c r="Z162" s="675">
        <f>IFERROR(__xludf.DUMMYFUNCTION("""COMPUTED_VALUE"""),2.0)</f>
        <v>2</v>
      </c>
      <c r="AA162" s="675">
        <f>IFERROR(__xludf.DUMMYFUNCTION("""COMPUTED_VALUE"""),0.0)</f>
        <v>0</v>
      </c>
      <c r="AB162" s="673">
        <f>IFERROR(__xludf.DUMMYFUNCTION("""COMPUTED_VALUE"""),0.0)</f>
        <v>0</v>
      </c>
      <c r="AC162" s="675">
        <f>IFERROR(__xludf.DUMMYFUNCTION("""COMPUTED_VALUE"""),0.0)</f>
        <v>0</v>
      </c>
      <c r="AD162" s="674">
        <f>IFERROR(__xludf.DUMMYFUNCTION("""COMPUTED_VALUE"""),250.0)</f>
        <v>250</v>
      </c>
      <c r="AE162" s="675">
        <f>IFERROR(__xludf.DUMMYFUNCTION("""COMPUTED_VALUE"""),5.0)</f>
        <v>5</v>
      </c>
      <c r="AF162" s="675">
        <f>IFERROR(__xludf.DUMMYFUNCTION("""COMPUTED_VALUE"""),0.0)</f>
        <v>0</v>
      </c>
      <c r="AG162" s="673">
        <f>IFERROR(__xludf.DUMMYFUNCTION("""COMPUTED_VALUE"""),0.0)</f>
        <v>0</v>
      </c>
      <c r="AH162" s="675">
        <f>IFERROR(__xludf.DUMMYFUNCTION("""COMPUTED_VALUE"""),0.0)</f>
        <v>0</v>
      </c>
      <c r="AI162" s="139" t="str">
        <f>IFERROR(__xludf.DUMMYFUNCTION("""COMPUTED_VALUE"""),"-")</f>
        <v>-</v>
      </c>
      <c r="AJ162" s="675" t="str">
        <f>IFERROR(__xludf.DUMMYFUNCTION("""COMPUTED_VALUE"""),"-")</f>
        <v>-</v>
      </c>
      <c r="AK162" s="139">
        <f>IFERROR(__xludf.DUMMYFUNCTION("""COMPUTED_VALUE"""),0.0)</f>
        <v>0</v>
      </c>
      <c r="AL162" s="674">
        <f>IFERROR(__xludf.DUMMYFUNCTION("""COMPUTED_VALUE"""),0.0)</f>
        <v>0</v>
      </c>
      <c r="AM162" s="688">
        <f>IFERROR(__xludf.DUMMYFUNCTION("""COMPUTED_VALUE"""),0.0)</f>
        <v>0</v>
      </c>
      <c r="AN162" s="675">
        <f>IFERROR(__xludf.DUMMYFUNCTION("""COMPUTED_VALUE"""),0.0)</f>
        <v>0</v>
      </c>
      <c r="AO162" s="675">
        <f>IFERROR(__xludf.DUMMYFUNCTION("""COMPUTED_VALUE"""),0.0)</f>
        <v>0</v>
      </c>
      <c r="AP162" s="674">
        <f>IFERROR(__xludf.DUMMYFUNCTION("""COMPUTED_VALUE"""),0.0)</f>
        <v>0</v>
      </c>
      <c r="AQ162" s="673">
        <f>IFERROR(__xludf.DUMMYFUNCTION("""COMPUTED_VALUE"""),0.9)</f>
        <v>0.9</v>
      </c>
      <c r="AR162" s="673">
        <f>IFERROR(__xludf.DUMMYFUNCTION("""COMPUTED_VALUE"""),0.0)</f>
        <v>0</v>
      </c>
      <c r="AS162" s="673">
        <f>IFERROR(__xludf.DUMMYFUNCTION("""COMPUTED_VALUE"""),0.0)</f>
        <v>0</v>
      </c>
      <c r="AT162" s="673">
        <f>IFERROR(__xludf.DUMMYFUNCTION("""COMPUTED_VALUE"""),0.0)</f>
        <v>0</v>
      </c>
      <c r="AU162" s="675">
        <f>IFERROR(__xludf.DUMMYFUNCTION("""COMPUTED_VALUE"""),0.0)</f>
        <v>0</v>
      </c>
      <c r="AV162" s="675">
        <f>IFERROR(__xludf.DUMMYFUNCTION("""COMPUTED_VALUE"""),0.0)</f>
        <v>0</v>
      </c>
      <c r="AW162" s="139"/>
      <c r="AX162" s="674" t="str">
        <f>IFERROR(__xludf.DUMMYFUNCTION("""COMPUTED_VALUE"""),"※通常攻撃範囲を入力！(CD列)")</f>
        <v>※通常攻撃範囲を入力！(CD列)</v>
      </c>
      <c r="AY162" s="688" t="str">
        <f>IFERROR(__xludf.DUMMYFUNCTION("""COMPUTED_VALUE"""),"#VALUE!")</f>
        <v>#VALUE!</v>
      </c>
      <c r="AZ162" s="674" t="str">
        <f>IFERROR(__xludf.DUMMYFUNCTION("""COMPUTED_VALUE"""),"#VALUE!")</f>
        <v>#VALUE!</v>
      </c>
      <c r="BA162" s="688" t="str">
        <f>IFERROR(__xludf.DUMMYFUNCTION("""COMPUTED_VALUE"""),"#VALUE!")</f>
        <v>#VALUE!</v>
      </c>
      <c r="BB162" s="688" t="str">
        <f>IFERROR(__xludf.DUMMYFUNCTION("""COMPUTED_VALUE"""),"-")</f>
        <v>-</v>
      </c>
      <c r="BC162" s="688" t="str">
        <f>IFERROR(__xludf.DUMMYFUNCTION("""COMPUTED_VALUE"""),"#VALUE!")</f>
        <v>#VALUE!</v>
      </c>
      <c r="BD162" s="688" t="str">
        <f>IFERROR(__xludf.DUMMYFUNCTION("""COMPUTED_VALUE"""),"#VALUE!")</f>
        <v>#VALUE!</v>
      </c>
      <c r="BE162" s="674" t="str">
        <f>IFERROR(__xludf.DUMMYFUNCTION("""COMPUTED_VALUE"""),"#VALUE!")</f>
        <v>#VALUE!</v>
      </c>
      <c r="BF162" s="674">
        <f>IFERROR(__xludf.DUMMYFUNCTION("""COMPUTED_VALUE"""),0.0)</f>
        <v>0</v>
      </c>
      <c r="BG162" s="673">
        <f>IFERROR(__xludf.DUMMYFUNCTION("""COMPUTED_VALUE"""),0.0)</f>
        <v>0</v>
      </c>
      <c r="BH162" s="673">
        <f>IFERROR(__xludf.DUMMYFUNCTION("""COMPUTED_VALUE"""),-0.5)</f>
        <v>-0.5</v>
      </c>
      <c r="BI162" s="673">
        <f>IFERROR(__xludf.DUMMYFUNCTION("""COMPUTED_VALUE"""),0.0)</f>
        <v>0</v>
      </c>
      <c r="BJ162" s="673">
        <f>IFERROR(__xludf.DUMMYFUNCTION("""COMPUTED_VALUE"""),0.0)</f>
        <v>0</v>
      </c>
      <c r="BK162" s="673">
        <f>IFERROR(__xludf.DUMMYFUNCTION("""COMPUTED_VALUE"""),0.0)</f>
        <v>0</v>
      </c>
      <c r="BL162" s="673">
        <f>IFERROR(__xludf.DUMMYFUNCTION("""COMPUTED_VALUE"""),0.0)</f>
        <v>0</v>
      </c>
      <c r="BM162" s="674">
        <f>IFERROR(__xludf.DUMMYFUNCTION("""COMPUTED_VALUE"""),0.0)</f>
        <v>0</v>
      </c>
      <c r="BN162" s="674">
        <f>IFERROR(__xludf.DUMMYFUNCTION("""COMPUTED_VALUE"""),0.0)</f>
        <v>0</v>
      </c>
      <c r="BO162" s="675">
        <f>IFERROR(__xludf.DUMMYFUNCTION("""COMPUTED_VALUE"""),0.0)</f>
        <v>0</v>
      </c>
      <c r="BP162" s="675">
        <f>IFERROR(__xludf.DUMMYFUNCTION("""COMPUTED_VALUE"""),0.0)</f>
        <v>0</v>
      </c>
      <c r="BQ162" s="139"/>
      <c r="BR162" s="139">
        <f>IFERROR(__xludf.DUMMYFUNCTION("""COMPUTED_VALUE"""),1.0)</f>
        <v>1</v>
      </c>
      <c r="BS162" s="139" t="str">
        <f>IFERROR(__xludf.DUMMYFUNCTION("""COMPUTED_VALUE"""),"※移動を入力！(BV列)")</f>
        <v>※移動を入力！(BV列)</v>
      </c>
      <c r="BT162" s="139" t="str">
        <f>IFERROR(__xludf.DUMMYFUNCTION("""COMPUTED_VALUE"""),"※攻撃手段を入力(BQ列)")</f>
        <v>※攻撃手段を入力(BQ列)</v>
      </c>
      <c r="BU162" s="139">
        <f>IFERROR(__xludf.DUMMYFUNCTION("""COMPUTED_VALUE"""),0.0)</f>
        <v>0</v>
      </c>
      <c r="BV162" s="139"/>
      <c r="BW162" s="139"/>
      <c r="BX162" s="139" t="str">
        <f>IFERROR(__xludf.DUMMYFUNCTION("""COMPUTED_VALUE"""),"※特性を選択!!(BW列)")</f>
        <v>※特性を選択!!(BW列)</v>
      </c>
      <c r="BY162" s="139">
        <f>IFERROR(__xludf.DUMMYFUNCTION("""COMPUTED_VALUE"""),2.0)</f>
        <v>2</v>
      </c>
      <c r="BZ162" s="139"/>
      <c r="CA162" s="139" t="str">
        <f>IFERROR(__xludf.DUMMYFUNCTION("""COMPUTED_VALUE"""),"※特性を選択!!(BW列)")</f>
        <v>※特性を選択!!(BW列)</v>
      </c>
      <c r="CB162" s="139" t="str">
        <f>IFERROR(__xludf.DUMMYFUNCTION("""COMPUTED_VALUE"""),"-")</f>
        <v>-</v>
      </c>
      <c r="CC162" s="139" t="str">
        <f>IFERROR(__xludf.DUMMYFUNCTION("""COMPUTED_VALUE"""),"※ID管理未記入")</f>
        <v>※ID管理未記入</v>
      </c>
      <c r="CD162" s="139"/>
      <c r="CE162" s="139" t="str">
        <f>IFERROR(__xludf.DUMMYFUNCTION("""COMPUTED_VALUE"""),"該当なし")</f>
        <v>該当なし</v>
      </c>
      <c r="CF162" s="139" t="str">
        <f>IFERROR(__xludf.DUMMYFUNCTION("""COMPUTED_VALUE"""),"#VALUE!")</f>
        <v>#VALUE!</v>
      </c>
      <c r="CG162" s="139"/>
      <c r="CH162" s="139"/>
      <c r="CI162" s="139" t="str">
        <f>IFERROR(__xludf.DUMMYFUNCTION("""COMPUTED_VALUE"""),"該当なし")</f>
        <v>該当なし</v>
      </c>
      <c r="CJ162" s="139" t="str">
        <f>IFERROR(__xludf.DUMMYFUNCTION("""COMPUTED_VALUE"""),"#VALUE!")</f>
        <v>#VALUE!</v>
      </c>
      <c r="CK162" s="139"/>
      <c r="CL162" s="139"/>
      <c r="CM162" s="139"/>
      <c r="CN162" s="675">
        <f>IFERROR(__xludf.DUMMYFUNCTION("""COMPUTED_VALUE"""),5.0)</f>
        <v>5</v>
      </c>
      <c r="CO162" s="139" t="str">
        <f>IFERROR(__xludf.DUMMYFUNCTION("""COMPUTED_VALUE"""),"-")</f>
        <v>-</v>
      </c>
      <c r="CP162" s="139" t="str">
        <f>IFERROR(__xludf.DUMMYFUNCTION("""COMPUTED_VALUE"""),"-")</f>
        <v>-</v>
      </c>
      <c r="CQ162" s="139" t="str">
        <f>IFERROR(__xludf.DUMMYFUNCTION("""COMPUTED_VALUE"""),"-")</f>
        <v>-</v>
      </c>
      <c r="CR162" s="139"/>
      <c r="CS162" s="139"/>
      <c r="CT162" s="139"/>
      <c r="CU162" s="139"/>
      <c r="CV162" s="139"/>
      <c r="CW162" s="139"/>
      <c r="CX162" s="674" t="str">
        <f>IFERROR(__xludf.DUMMYFUNCTION("""COMPUTED_VALUE"""),"")</f>
        <v/>
      </c>
      <c r="CY162" s="675" t="str">
        <f>IFERROR(__xludf.DUMMYFUNCTION("""COMPUTED_VALUE"""),"")</f>
        <v/>
      </c>
      <c r="CZ162" s="688" t="str">
        <f>IFERROR(__xludf.DUMMYFUNCTION("""COMPUTED_VALUE"""),"-")</f>
        <v>-</v>
      </c>
      <c r="DA162" s="688">
        <f>IFERROR(__xludf.DUMMYFUNCTION("""COMPUTED_VALUE"""),0.0)</f>
        <v>0</v>
      </c>
      <c r="DB162" s="688">
        <f>IFERROR(__xludf.DUMMYFUNCTION("""COMPUTED_VALUE"""),0.0)</f>
        <v>0</v>
      </c>
      <c r="DC162" s="673" t="str">
        <f>IFERROR(__xludf.DUMMYFUNCTION("""COMPUTED_VALUE"""),"-")</f>
        <v>-</v>
      </c>
      <c r="DD162" s="673" t="str">
        <f>IFERROR(__xludf.DUMMYFUNCTION("""COMPUTED_VALUE"""),"-")</f>
        <v>-</v>
      </c>
      <c r="DE162" s="139" t="str">
        <f>IFERROR(__xludf.DUMMYFUNCTION("""COMPUTED_VALUE"""),"-")</f>
        <v>-</v>
      </c>
      <c r="DF162" s="139" t="str">
        <f>IFERROR(__xludf.DUMMYFUNCTION("""COMPUTED_VALUE"""),"-")</f>
        <v>-</v>
      </c>
      <c r="DG162" s="139" t="str">
        <f>IFERROR(__xludf.DUMMYFUNCTION("""COMPUTED_VALUE"""),"-")</f>
        <v>-</v>
      </c>
      <c r="DH162" s="139" t="str">
        <f>IFERROR(__xludf.DUMMYFUNCTION("""COMPUTED_VALUE"""),"-")</f>
        <v>-</v>
      </c>
      <c r="DI162" s="139" t="str">
        <f>IFERROR(__xludf.DUMMYFUNCTION("""COMPUTED_VALUE"""),"-")</f>
        <v>-</v>
      </c>
      <c r="DJ162" s="139" t="str">
        <f>IFERROR(__xludf.DUMMYFUNCTION("""COMPUTED_VALUE"""),"-")</f>
        <v>-</v>
      </c>
    </row>
    <row r="163">
      <c r="A163" s="139" t="str">
        <f>IFERROR(__xludf.DUMMYFUNCTION("""COMPUTED_VALUE"""),"MAD")</f>
        <v>MAD</v>
      </c>
      <c r="B163" s="139" t="str">
        <f>IFERROR(__xludf.DUMMYFUNCTION("""COMPUTED_VALUE"""),"ボブ")</f>
        <v>ボブ</v>
      </c>
      <c r="C163" s="139" t="str">
        <f>IFERROR(__xludf.DUMMYFUNCTION("""COMPUTED_VALUE"""),"chara_mad_00301")</f>
        <v>chara_mad_00301</v>
      </c>
      <c r="D163" s="139" t="str">
        <f>IFERROR(__xludf.DUMMYFUNCTION("""COMPUTED_VALUE"""),"DropSR")</f>
        <v>DropSR</v>
      </c>
      <c r="E163" s="139" t="str">
        <f>IFERROR(__xludf.DUMMYFUNCTION("""COMPUTED_VALUE"""),"緑")</f>
        <v>緑</v>
      </c>
      <c r="F163" s="139" t="str">
        <f>IFERROR(__xludf.DUMMYFUNCTION("""COMPUTED_VALUE"""),"サポート")</f>
        <v>サポート</v>
      </c>
      <c r="G163" s="139" t="str">
        <f>IFERROR(__xludf.DUMMYFUNCTION("""COMPUTED_VALUE"""),"※ID管理未記入")</f>
        <v>※ID管理未記入</v>
      </c>
      <c r="H163" s="139" t="str">
        <f>IFERROR(__xludf.DUMMYFUNCTION("""COMPUTED_VALUE"""),"※ID管理未記入")</f>
        <v>※ID管理未記入</v>
      </c>
      <c r="I163" s="139" t="str">
        <f>IFERROR(__xludf.DUMMYFUNCTION("""COMPUTED_VALUE"""),"※ID管理未記入")</f>
        <v>※ID管理未記入</v>
      </c>
      <c r="J163" s="139" t="str">
        <f>IFERROR(__xludf.DUMMYFUNCTION("""COMPUTED_VALUE"""),"プラン確認")</f>
        <v>プラン確認</v>
      </c>
      <c r="K163" s="139" t="str">
        <f>IFERROR(__xludf.DUMMYFUNCTION("""COMPUTED_VALUE"""),"MAD いいジャン祭")</f>
        <v>MAD いいジャン祭</v>
      </c>
      <c r="L163" s="139" t="str">
        <f>IFERROR(__xludf.DUMMYFUNCTION("""COMPUTED_VALUE"""),"※")</f>
        <v>※</v>
      </c>
      <c r="M163" s="674">
        <f>IFERROR(__xludf.DUMMYFUNCTION("""COMPUTED_VALUE"""),0.0)</f>
        <v>0</v>
      </c>
      <c r="N163" s="139">
        <f>IFERROR(__xludf.DUMMYFUNCTION("""COMPUTED_VALUE"""),0.0)</f>
        <v>0</v>
      </c>
      <c r="O163" s="139"/>
      <c r="P163" s="139">
        <f>IFERROR(__xludf.DUMMYFUNCTION("""COMPUTED_VALUE"""),0.0)</f>
        <v>0</v>
      </c>
      <c r="Q163" s="675">
        <f>IFERROR(__xludf.DUMMYFUNCTION("""COMPUTED_VALUE"""),0.0)</f>
        <v>0</v>
      </c>
      <c r="R163" s="675">
        <f>IFERROR(__xludf.DUMMYFUNCTION("""COMPUTED_VALUE"""),0.0)</f>
        <v>0</v>
      </c>
      <c r="S163" s="675">
        <f>IFERROR(__xludf.DUMMYFUNCTION("""COMPUTED_VALUE"""),-2.5)</f>
        <v>-2.5</v>
      </c>
      <c r="T163" s="674">
        <f>IFERROR(__xludf.DUMMYFUNCTION("""COMPUTED_VALUE"""),225.0)</f>
        <v>225</v>
      </c>
      <c r="U163" s="675">
        <f>IFERROR(__xludf.DUMMYFUNCTION("""COMPUTED_VALUE"""),4.5)</f>
        <v>4.5</v>
      </c>
      <c r="V163" s="675">
        <f>IFERROR(__xludf.DUMMYFUNCTION("""COMPUTED_VALUE"""),0.0)</f>
        <v>0</v>
      </c>
      <c r="W163" s="675">
        <f>IFERROR(__xludf.DUMMYFUNCTION("""COMPUTED_VALUE"""),0.0)</f>
        <v>0</v>
      </c>
      <c r="X163" s="675">
        <f>IFERROR(__xludf.DUMMYFUNCTION("""COMPUTED_VALUE"""),0.0)</f>
        <v>0</v>
      </c>
      <c r="Y163" s="674">
        <f>IFERROR(__xludf.DUMMYFUNCTION("""COMPUTED_VALUE"""),100.0)</f>
        <v>100</v>
      </c>
      <c r="Z163" s="675">
        <f>IFERROR(__xludf.DUMMYFUNCTION("""COMPUTED_VALUE"""),2.0)</f>
        <v>2</v>
      </c>
      <c r="AA163" s="675">
        <f>IFERROR(__xludf.DUMMYFUNCTION("""COMPUTED_VALUE"""),0.0)</f>
        <v>0</v>
      </c>
      <c r="AB163" s="673">
        <f>IFERROR(__xludf.DUMMYFUNCTION("""COMPUTED_VALUE"""),0.0)</f>
        <v>0</v>
      </c>
      <c r="AC163" s="675">
        <f>IFERROR(__xludf.DUMMYFUNCTION("""COMPUTED_VALUE"""),0.0)</f>
        <v>0</v>
      </c>
      <c r="AD163" s="674">
        <f>IFERROR(__xludf.DUMMYFUNCTION("""COMPUTED_VALUE"""),250.0)</f>
        <v>250</v>
      </c>
      <c r="AE163" s="675">
        <f>IFERROR(__xludf.DUMMYFUNCTION("""COMPUTED_VALUE"""),5.0)</f>
        <v>5</v>
      </c>
      <c r="AF163" s="675">
        <f>IFERROR(__xludf.DUMMYFUNCTION("""COMPUTED_VALUE"""),0.0)</f>
        <v>0</v>
      </c>
      <c r="AG163" s="673">
        <f>IFERROR(__xludf.DUMMYFUNCTION("""COMPUTED_VALUE"""),0.0)</f>
        <v>0</v>
      </c>
      <c r="AH163" s="675">
        <f>IFERROR(__xludf.DUMMYFUNCTION("""COMPUTED_VALUE"""),0.0)</f>
        <v>0</v>
      </c>
      <c r="AI163" s="139" t="str">
        <f>IFERROR(__xludf.DUMMYFUNCTION("""COMPUTED_VALUE"""),"-")</f>
        <v>-</v>
      </c>
      <c r="AJ163" s="675" t="str">
        <f>IFERROR(__xludf.DUMMYFUNCTION("""COMPUTED_VALUE"""),"-")</f>
        <v>-</v>
      </c>
      <c r="AK163" s="139">
        <f>IFERROR(__xludf.DUMMYFUNCTION("""COMPUTED_VALUE"""),0.0)</f>
        <v>0</v>
      </c>
      <c r="AL163" s="674">
        <f>IFERROR(__xludf.DUMMYFUNCTION("""COMPUTED_VALUE"""),0.0)</f>
        <v>0</v>
      </c>
      <c r="AM163" s="688">
        <f>IFERROR(__xludf.DUMMYFUNCTION("""COMPUTED_VALUE"""),0.0)</f>
        <v>0</v>
      </c>
      <c r="AN163" s="675">
        <f>IFERROR(__xludf.DUMMYFUNCTION("""COMPUTED_VALUE"""),0.0)</f>
        <v>0</v>
      </c>
      <c r="AO163" s="675">
        <f>IFERROR(__xludf.DUMMYFUNCTION("""COMPUTED_VALUE"""),0.0)</f>
        <v>0</v>
      </c>
      <c r="AP163" s="674">
        <f>IFERROR(__xludf.DUMMYFUNCTION("""COMPUTED_VALUE"""),0.0)</f>
        <v>0</v>
      </c>
      <c r="AQ163" s="673">
        <f>IFERROR(__xludf.DUMMYFUNCTION("""COMPUTED_VALUE"""),-0.4)</f>
        <v>-0.4</v>
      </c>
      <c r="AR163" s="673">
        <f>IFERROR(__xludf.DUMMYFUNCTION("""COMPUTED_VALUE"""),0.0)</f>
        <v>0</v>
      </c>
      <c r="AS163" s="673">
        <f>IFERROR(__xludf.DUMMYFUNCTION("""COMPUTED_VALUE"""),0.0)</f>
        <v>0</v>
      </c>
      <c r="AT163" s="673">
        <f>IFERROR(__xludf.DUMMYFUNCTION("""COMPUTED_VALUE"""),0.0)</f>
        <v>0</v>
      </c>
      <c r="AU163" s="675">
        <f>IFERROR(__xludf.DUMMYFUNCTION("""COMPUTED_VALUE"""),0.0)</f>
        <v>0</v>
      </c>
      <c r="AV163" s="675">
        <f>IFERROR(__xludf.DUMMYFUNCTION("""COMPUTED_VALUE"""),0.0)</f>
        <v>0</v>
      </c>
      <c r="AW163" s="139"/>
      <c r="AX163" s="674" t="str">
        <f>IFERROR(__xludf.DUMMYFUNCTION("""COMPUTED_VALUE"""),"※通常攻撃範囲を入力！(CD列)")</f>
        <v>※通常攻撃範囲を入力！(CD列)</v>
      </c>
      <c r="AY163" s="688" t="str">
        <f>IFERROR(__xludf.DUMMYFUNCTION("""COMPUTED_VALUE"""),"#VALUE!")</f>
        <v>#VALUE!</v>
      </c>
      <c r="AZ163" s="674" t="str">
        <f>IFERROR(__xludf.DUMMYFUNCTION("""COMPUTED_VALUE"""),"#VALUE!")</f>
        <v>#VALUE!</v>
      </c>
      <c r="BA163" s="688" t="str">
        <f>IFERROR(__xludf.DUMMYFUNCTION("""COMPUTED_VALUE"""),"#VALUE!")</f>
        <v>#VALUE!</v>
      </c>
      <c r="BB163" s="688" t="str">
        <f>IFERROR(__xludf.DUMMYFUNCTION("""COMPUTED_VALUE"""),"-")</f>
        <v>-</v>
      </c>
      <c r="BC163" s="688" t="str">
        <f>IFERROR(__xludf.DUMMYFUNCTION("""COMPUTED_VALUE"""),"#VALUE!")</f>
        <v>#VALUE!</v>
      </c>
      <c r="BD163" s="688" t="str">
        <f>IFERROR(__xludf.DUMMYFUNCTION("""COMPUTED_VALUE"""),"#VALUE!")</f>
        <v>#VALUE!</v>
      </c>
      <c r="BE163" s="674" t="str">
        <f>IFERROR(__xludf.DUMMYFUNCTION("""COMPUTED_VALUE"""),"#VALUE!")</f>
        <v>#VALUE!</v>
      </c>
      <c r="BF163" s="674">
        <f>IFERROR(__xludf.DUMMYFUNCTION("""COMPUTED_VALUE"""),0.0)</f>
        <v>0</v>
      </c>
      <c r="BG163" s="673">
        <f>IFERROR(__xludf.DUMMYFUNCTION("""COMPUTED_VALUE"""),0.0)</f>
        <v>0</v>
      </c>
      <c r="BH163" s="673">
        <f>IFERROR(__xludf.DUMMYFUNCTION("""COMPUTED_VALUE"""),-0.3)</f>
        <v>-0.3</v>
      </c>
      <c r="BI163" s="673">
        <f>IFERROR(__xludf.DUMMYFUNCTION("""COMPUTED_VALUE"""),0.0)</f>
        <v>0</v>
      </c>
      <c r="BJ163" s="673">
        <f>IFERROR(__xludf.DUMMYFUNCTION("""COMPUTED_VALUE"""),0.0)</f>
        <v>0</v>
      </c>
      <c r="BK163" s="673">
        <f>IFERROR(__xludf.DUMMYFUNCTION("""COMPUTED_VALUE"""),0.0)</f>
        <v>0</v>
      </c>
      <c r="BL163" s="673">
        <f>IFERROR(__xludf.DUMMYFUNCTION("""COMPUTED_VALUE"""),0.0)</f>
        <v>0</v>
      </c>
      <c r="BM163" s="674">
        <f>IFERROR(__xludf.DUMMYFUNCTION("""COMPUTED_VALUE"""),0.0)</f>
        <v>0</v>
      </c>
      <c r="BN163" s="674">
        <f>IFERROR(__xludf.DUMMYFUNCTION("""COMPUTED_VALUE"""),0.0)</f>
        <v>0</v>
      </c>
      <c r="BO163" s="675">
        <f>IFERROR(__xludf.DUMMYFUNCTION("""COMPUTED_VALUE"""),0.0)</f>
        <v>0</v>
      </c>
      <c r="BP163" s="675">
        <f>IFERROR(__xludf.DUMMYFUNCTION("""COMPUTED_VALUE"""),0.0)</f>
        <v>0</v>
      </c>
      <c r="BQ163" s="139"/>
      <c r="BR163" s="139">
        <f>IFERROR(__xludf.DUMMYFUNCTION("""COMPUTED_VALUE"""),2.0)</f>
        <v>2</v>
      </c>
      <c r="BS163" s="139" t="str">
        <f>IFERROR(__xludf.DUMMYFUNCTION("""COMPUTED_VALUE"""),"※移動を入力！(BV列)")</f>
        <v>※移動を入力！(BV列)</v>
      </c>
      <c r="BT163" s="139" t="str">
        <f>IFERROR(__xludf.DUMMYFUNCTION("""COMPUTED_VALUE"""),"※攻撃手段を入力(BQ列)")</f>
        <v>※攻撃手段を入力(BQ列)</v>
      </c>
      <c r="BU163" s="139">
        <f>IFERROR(__xludf.DUMMYFUNCTION("""COMPUTED_VALUE"""),0.0)</f>
        <v>0</v>
      </c>
      <c r="BV163" s="139"/>
      <c r="BW163" s="139"/>
      <c r="BX163" s="139" t="str">
        <f>IFERROR(__xludf.DUMMYFUNCTION("""COMPUTED_VALUE"""),"※特性を選択!!(BW列)")</f>
        <v>※特性を選択!!(BW列)</v>
      </c>
      <c r="BY163" s="139">
        <f>IFERROR(__xludf.DUMMYFUNCTION("""COMPUTED_VALUE"""),2.0)</f>
        <v>2</v>
      </c>
      <c r="BZ163" s="139"/>
      <c r="CA163" s="139" t="str">
        <f>IFERROR(__xludf.DUMMYFUNCTION("""COMPUTED_VALUE"""),"※特性を選択!!(BW列)")</f>
        <v>※特性を選択!!(BW列)</v>
      </c>
      <c r="CB163" s="139" t="str">
        <f>IFERROR(__xludf.DUMMYFUNCTION("""COMPUTED_VALUE"""),"-")</f>
        <v>-</v>
      </c>
      <c r="CC163" s="139" t="str">
        <f>IFERROR(__xludf.DUMMYFUNCTION("""COMPUTED_VALUE"""),"※ID管理未記入")</f>
        <v>※ID管理未記入</v>
      </c>
      <c r="CD163" s="139"/>
      <c r="CE163" s="139" t="str">
        <f>IFERROR(__xludf.DUMMYFUNCTION("""COMPUTED_VALUE"""),"該当なし")</f>
        <v>該当なし</v>
      </c>
      <c r="CF163" s="139" t="str">
        <f>IFERROR(__xludf.DUMMYFUNCTION("""COMPUTED_VALUE"""),"#VALUE!")</f>
        <v>#VALUE!</v>
      </c>
      <c r="CG163" s="139"/>
      <c r="CH163" s="139"/>
      <c r="CI163" s="139" t="str">
        <f>IFERROR(__xludf.DUMMYFUNCTION("""COMPUTED_VALUE"""),"該当なし")</f>
        <v>該当なし</v>
      </c>
      <c r="CJ163" s="139" t="str">
        <f>IFERROR(__xludf.DUMMYFUNCTION("""COMPUTED_VALUE"""),"#VALUE!")</f>
        <v>#VALUE!</v>
      </c>
      <c r="CK163" s="139"/>
      <c r="CL163" s="139"/>
      <c r="CM163" s="139"/>
      <c r="CN163" s="675">
        <f>IFERROR(__xludf.DUMMYFUNCTION("""COMPUTED_VALUE"""),5.0)</f>
        <v>5</v>
      </c>
      <c r="CO163" s="139" t="str">
        <f>IFERROR(__xludf.DUMMYFUNCTION("""COMPUTED_VALUE"""),"-")</f>
        <v>-</v>
      </c>
      <c r="CP163" s="139" t="str">
        <f>IFERROR(__xludf.DUMMYFUNCTION("""COMPUTED_VALUE"""),"-")</f>
        <v>-</v>
      </c>
      <c r="CQ163" s="139" t="str">
        <f>IFERROR(__xludf.DUMMYFUNCTION("""COMPUTED_VALUE"""),"-")</f>
        <v>-</v>
      </c>
      <c r="CR163" s="139"/>
      <c r="CS163" s="139"/>
      <c r="CT163" s="139"/>
      <c r="CU163" s="139"/>
      <c r="CV163" s="139"/>
      <c r="CW163" s="139"/>
      <c r="CX163" s="674" t="str">
        <f>IFERROR(__xludf.DUMMYFUNCTION("""COMPUTED_VALUE"""),"")</f>
        <v/>
      </c>
      <c r="CY163" s="675" t="str">
        <f>IFERROR(__xludf.DUMMYFUNCTION("""COMPUTED_VALUE"""),"")</f>
        <v/>
      </c>
      <c r="CZ163" s="688" t="str">
        <f>IFERROR(__xludf.DUMMYFUNCTION("""COMPUTED_VALUE"""),"-")</f>
        <v>-</v>
      </c>
      <c r="DA163" s="688">
        <f>IFERROR(__xludf.DUMMYFUNCTION("""COMPUTED_VALUE"""),0.0)</f>
        <v>0</v>
      </c>
      <c r="DB163" s="688">
        <f>IFERROR(__xludf.DUMMYFUNCTION("""COMPUTED_VALUE"""),0.0)</f>
        <v>0</v>
      </c>
      <c r="DC163" s="673" t="str">
        <f>IFERROR(__xludf.DUMMYFUNCTION("""COMPUTED_VALUE"""),"-")</f>
        <v>-</v>
      </c>
      <c r="DD163" s="673" t="str">
        <f>IFERROR(__xludf.DUMMYFUNCTION("""COMPUTED_VALUE"""),"-")</f>
        <v>-</v>
      </c>
      <c r="DE163" s="139" t="str">
        <f>IFERROR(__xludf.DUMMYFUNCTION("""COMPUTED_VALUE"""),"-")</f>
        <v>-</v>
      </c>
      <c r="DF163" s="139" t="str">
        <f>IFERROR(__xludf.DUMMYFUNCTION("""COMPUTED_VALUE"""),"-")</f>
        <v>-</v>
      </c>
      <c r="DG163" s="139" t="str">
        <f>IFERROR(__xludf.DUMMYFUNCTION("""COMPUTED_VALUE"""),"-")</f>
        <v>-</v>
      </c>
      <c r="DH163" s="139" t="str">
        <f>IFERROR(__xludf.DUMMYFUNCTION("""COMPUTED_VALUE"""),"-")</f>
        <v>-</v>
      </c>
      <c r="DI163" s="139" t="str">
        <f>IFERROR(__xludf.DUMMYFUNCTION("""COMPUTED_VALUE"""),"-")</f>
        <v>-</v>
      </c>
      <c r="DJ163" s="139" t="str">
        <f>IFERROR(__xludf.DUMMYFUNCTION("""COMPUTED_VALUE"""),"-")</f>
        <v>-</v>
      </c>
    </row>
    <row r="164">
      <c r="A164" s="139" t="str">
        <f>IFERROR(__xludf.DUMMYFUNCTION("""COMPUTED_VALUE"""),"終末のハーレム")</f>
        <v>終末のハーレム</v>
      </c>
      <c r="B164" s="139" t="str">
        <f>IFERROR(__xludf.DUMMYFUNCTION("""COMPUTED_VALUE"""),"(仮)周防 美来")</f>
        <v>(仮)周防 美来</v>
      </c>
      <c r="C164" s="139" t="str">
        <f>IFERROR(__xludf.DUMMYFUNCTION("""COMPUTED_VALUE"""),"chara_syu_00001")</f>
        <v>chara_syu_00001</v>
      </c>
      <c r="D164" s="139" t="str">
        <f>IFERROR(__xludf.DUMMYFUNCTION("""COMPUTED_VALUE"""),"PremiumUR")</f>
        <v>PremiumUR</v>
      </c>
      <c r="E164" s="139" t="str">
        <f>IFERROR(__xludf.DUMMYFUNCTION("""COMPUTED_VALUE"""),"緑")</f>
        <v>緑</v>
      </c>
      <c r="F164" s="139" t="str">
        <f>IFERROR(__xludf.DUMMYFUNCTION("""COMPUTED_VALUE"""),"サポート")</f>
        <v>サポート</v>
      </c>
      <c r="G164" s="139" t="str">
        <f>IFERROR(__xludf.DUMMYFUNCTION("""COMPUTED_VALUE"""),"※ID管理未記入")</f>
        <v>※ID管理未記入</v>
      </c>
      <c r="H164" s="139" t="str">
        <f>IFERROR(__xludf.DUMMYFUNCTION("""COMPUTED_VALUE"""),"※ID管理未記入")</f>
        <v>※ID管理未記入</v>
      </c>
      <c r="I164" s="139" t="str">
        <f>IFERROR(__xludf.DUMMYFUNCTION("""COMPUTED_VALUE"""),"※ID管理未記入")</f>
        <v>※ID管理未記入</v>
      </c>
      <c r="J164" s="139" t="str">
        <f>IFERROR(__xludf.DUMMYFUNCTION("""COMPUTED_VALUE"""),"プラン確認")</f>
        <v>プラン確認</v>
      </c>
      <c r="K164" s="139" t="str">
        <f>IFERROR(__xludf.DUMMYFUNCTION("""COMPUTED_VALUE"""),"ジューンブライドイベント")</f>
        <v>ジューンブライドイベント</v>
      </c>
      <c r="L164" s="139" t="str">
        <f>IFERROR(__xludf.DUMMYFUNCTION("""COMPUTED_VALUE"""),"※")</f>
        <v>※</v>
      </c>
      <c r="M164" s="674">
        <f>IFERROR(__xludf.DUMMYFUNCTION("""COMPUTED_VALUE"""),0.0)</f>
        <v>0</v>
      </c>
      <c r="N164" s="139">
        <f>IFERROR(__xludf.DUMMYFUNCTION("""COMPUTED_VALUE"""),0.0)</f>
        <v>0</v>
      </c>
      <c r="O164" s="139"/>
      <c r="P164" s="139">
        <f>IFERROR(__xludf.DUMMYFUNCTION("""COMPUTED_VALUE"""),0.0)</f>
        <v>0</v>
      </c>
      <c r="Q164" s="675">
        <f>IFERROR(__xludf.DUMMYFUNCTION("""COMPUTED_VALUE"""),0.0)</f>
        <v>0</v>
      </c>
      <c r="R164" s="675">
        <f>IFERROR(__xludf.DUMMYFUNCTION("""COMPUTED_VALUE"""),0.0)</f>
        <v>0</v>
      </c>
      <c r="S164" s="675">
        <f>IFERROR(__xludf.DUMMYFUNCTION("""COMPUTED_VALUE"""),-2.5)</f>
        <v>-2.5</v>
      </c>
      <c r="T164" s="674">
        <f>IFERROR(__xludf.DUMMYFUNCTION("""COMPUTED_VALUE"""),225.0)</f>
        <v>225</v>
      </c>
      <c r="U164" s="675">
        <f>IFERROR(__xludf.DUMMYFUNCTION("""COMPUTED_VALUE"""),4.5)</f>
        <v>4.5</v>
      </c>
      <c r="V164" s="675">
        <f>IFERROR(__xludf.DUMMYFUNCTION("""COMPUTED_VALUE"""),0.0)</f>
        <v>0</v>
      </c>
      <c r="W164" s="675">
        <f>IFERROR(__xludf.DUMMYFUNCTION("""COMPUTED_VALUE"""),0.0)</f>
        <v>0</v>
      </c>
      <c r="X164" s="675">
        <f>IFERROR(__xludf.DUMMYFUNCTION("""COMPUTED_VALUE"""),0.0)</f>
        <v>0</v>
      </c>
      <c r="Y164" s="674">
        <f>IFERROR(__xludf.DUMMYFUNCTION("""COMPUTED_VALUE"""),100.0)</f>
        <v>100</v>
      </c>
      <c r="Z164" s="675">
        <f>IFERROR(__xludf.DUMMYFUNCTION("""COMPUTED_VALUE"""),2.0)</f>
        <v>2</v>
      </c>
      <c r="AA164" s="675">
        <f>IFERROR(__xludf.DUMMYFUNCTION("""COMPUTED_VALUE"""),0.0)</f>
        <v>0</v>
      </c>
      <c r="AB164" s="673">
        <f>IFERROR(__xludf.DUMMYFUNCTION("""COMPUTED_VALUE"""),0.0)</f>
        <v>0</v>
      </c>
      <c r="AC164" s="675">
        <f>IFERROR(__xludf.DUMMYFUNCTION("""COMPUTED_VALUE"""),0.0)</f>
        <v>0</v>
      </c>
      <c r="AD164" s="674">
        <f>IFERROR(__xludf.DUMMYFUNCTION("""COMPUTED_VALUE"""),250.0)</f>
        <v>250</v>
      </c>
      <c r="AE164" s="675">
        <f>IFERROR(__xludf.DUMMYFUNCTION("""COMPUTED_VALUE"""),5.0)</f>
        <v>5</v>
      </c>
      <c r="AF164" s="675">
        <f>IFERROR(__xludf.DUMMYFUNCTION("""COMPUTED_VALUE"""),0.0)</f>
        <v>0</v>
      </c>
      <c r="AG164" s="673">
        <f>IFERROR(__xludf.DUMMYFUNCTION("""COMPUTED_VALUE"""),0.0)</f>
        <v>0</v>
      </c>
      <c r="AH164" s="675">
        <f>IFERROR(__xludf.DUMMYFUNCTION("""COMPUTED_VALUE"""),0.0)</f>
        <v>0</v>
      </c>
      <c r="AI164" s="139" t="str">
        <f>IFERROR(__xludf.DUMMYFUNCTION("""COMPUTED_VALUE"""),"-")</f>
        <v>-</v>
      </c>
      <c r="AJ164" s="675" t="str">
        <f>IFERROR(__xludf.DUMMYFUNCTION("""COMPUTED_VALUE"""),"-")</f>
        <v>-</v>
      </c>
      <c r="AK164" s="139">
        <f>IFERROR(__xludf.DUMMYFUNCTION("""COMPUTED_VALUE"""),0.0)</f>
        <v>0</v>
      </c>
      <c r="AL164" s="674">
        <f>IFERROR(__xludf.DUMMYFUNCTION("""COMPUTED_VALUE"""),0.0)</f>
        <v>0</v>
      </c>
      <c r="AM164" s="688">
        <f>IFERROR(__xludf.DUMMYFUNCTION("""COMPUTED_VALUE"""),0.0)</f>
        <v>0</v>
      </c>
      <c r="AN164" s="675">
        <f>IFERROR(__xludf.DUMMYFUNCTION("""COMPUTED_VALUE"""),0.0)</f>
        <v>0</v>
      </c>
      <c r="AO164" s="675">
        <f>IFERROR(__xludf.DUMMYFUNCTION("""COMPUTED_VALUE"""),0.0)</f>
        <v>0</v>
      </c>
      <c r="AP164" s="674">
        <f>IFERROR(__xludf.DUMMYFUNCTION("""COMPUTED_VALUE"""),0.0)</f>
        <v>0</v>
      </c>
      <c r="AQ164" s="673">
        <f>IFERROR(__xludf.DUMMYFUNCTION("""COMPUTED_VALUE"""),-0.4)</f>
        <v>-0.4</v>
      </c>
      <c r="AR164" s="673">
        <f>IFERROR(__xludf.DUMMYFUNCTION("""COMPUTED_VALUE"""),0.0)</f>
        <v>0</v>
      </c>
      <c r="AS164" s="673">
        <f>IFERROR(__xludf.DUMMYFUNCTION("""COMPUTED_VALUE"""),0.0)</f>
        <v>0</v>
      </c>
      <c r="AT164" s="673">
        <f>IFERROR(__xludf.DUMMYFUNCTION("""COMPUTED_VALUE"""),0.0)</f>
        <v>0</v>
      </c>
      <c r="AU164" s="675">
        <f>IFERROR(__xludf.DUMMYFUNCTION("""COMPUTED_VALUE"""),0.0)</f>
        <v>0</v>
      </c>
      <c r="AV164" s="675">
        <f>IFERROR(__xludf.DUMMYFUNCTION("""COMPUTED_VALUE"""),0.0)</f>
        <v>0</v>
      </c>
      <c r="AW164" s="139"/>
      <c r="AX164" s="674" t="str">
        <f>IFERROR(__xludf.DUMMYFUNCTION("""COMPUTED_VALUE"""),"※通常攻撃範囲を入力！(CD列)")</f>
        <v>※通常攻撃範囲を入力！(CD列)</v>
      </c>
      <c r="AY164" s="688" t="str">
        <f>IFERROR(__xludf.DUMMYFUNCTION("""COMPUTED_VALUE"""),"#VALUE!")</f>
        <v>#VALUE!</v>
      </c>
      <c r="AZ164" s="674" t="str">
        <f>IFERROR(__xludf.DUMMYFUNCTION("""COMPUTED_VALUE"""),"#VALUE!")</f>
        <v>#VALUE!</v>
      </c>
      <c r="BA164" s="688" t="str">
        <f>IFERROR(__xludf.DUMMYFUNCTION("""COMPUTED_VALUE"""),"#VALUE!")</f>
        <v>#VALUE!</v>
      </c>
      <c r="BB164" s="688" t="str">
        <f>IFERROR(__xludf.DUMMYFUNCTION("""COMPUTED_VALUE"""),"-")</f>
        <v>-</v>
      </c>
      <c r="BC164" s="688" t="str">
        <f>IFERROR(__xludf.DUMMYFUNCTION("""COMPUTED_VALUE"""),"#VALUE!")</f>
        <v>#VALUE!</v>
      </c>
      <c r="BD164" s="688" t="str">
        <f>IFERROR(__xludf.DUMMYFUNCTION("""COMPUTED_VALUE"""),"#VALUE!")</f>
        <v>#VALUE!</v>
      </c>
      <c r="BE164" s="674" t="str">
        <f>IFERROR(__xludf.DUMMYFUNCTION("""COMPUTED_VALUE"""),"#VALUE!")</f>
        <v>#VALUE!</v>
      </c>
      <c r="BF164" s="674">
        <f>IFERROR(__xludf.DUMMYFUNCTION("""COMPUTED_VALUE"""),0.0)</f>
        <v>0</v>
      </c>
      <c r="BG164" s="673">
        <f>IFERROR(__xludf.DUMMYFUNCTION("""COMPUTED_VALUE"""),0.0)</f>
        <v>0</v>
      </c>
      <c r="BH164" s="673">
        <f>IFERROR(__xludf.DUMMYFUNCTION("""COMPUTED_VALUE"""),-0.3)</f>
        <v>-0.3</v>
      </c>
      <c r="BI164" s="673">
        <f>IFERROR(__xludf.DUMMYFUNCTION("""COMPUTED_VALUE"""),0.0)</f>
        <v>0</v>
      </c>
      <c r="BJ164" s="673">
        <f>IFERROR(__xludf.DUMMYFUNCTION("""COMPUTED_VALUE"""),0.0)</f>
        <v>0</v>
      </c>
      <c r="BK164" s="673">
        <f>IFERROR(__xludf.DUMMYFUNCTION("""COMPUTED_VALUE"""),0.0)</f>
        <v>0</v>
      </c>
      <c r="BL164" s="673">
        <f>IFERROR(__xludf.DUMMYFUNCTION("""COMPUTED_VALUE"""),0.0)</f>
        <v>0</v>
      </c>
      <c r="BM164" s="674">
        <f>IFERROR(__xludf.DUMMYFUNCTION("""COMPUTED_VALUE"""),0.0)</f>
        <v>0</v>
      </c>
      <c r="BN164" s="674">
        <f>IFERROR(__xludf.DUMMYFUNCTION("""COMPUTED_VALUE"""),0.0)</f>
        <v>0</v>
      </c>
      <c r="BO164" s="675">
        <f>IFERROR(__xludf.DUMMYFUNCTION("""COMPUTED_VALUE"""),0.0)</f>
        <v>0</v>
      </c>
      <c r="BP164" s="675">
        <f>IFERROR(__xludf.DUMMYFUNCTION("""COMPUTED_VALUE"""),0.0)</f>
        <v>0</v>
      </c>
      <c r="BQ164" s="139"/>
      <c r="BR164" s="139">
        <f>IFERROR(__xludf.DUMMYFUNCTION("""COMPUTED_VALUE"""),2.0)</f>
        <v>2</v>
      </c>
      <c r="BS164" s="139" t="str">
        <f>IFERROR(__xludf.DUMMYFUNCTION("""COMPUTED_VALUE"""),"※移動を入力！(BV列)")</f>
        <v>※移動を入力！(BV列)</v>
      </c>
      <c r="BT164" s="139" t="str">
        <f>IFERROR(__xludf.DUMMYFUNCTION("""COMPUTED_VALUE"""),"※攻撃手段を入力(BQ列)")</f>
        <v>※攻撃手段を入力(BQ列)</v>
      </c>
      <c r="BU164" s="139">
        <f>IFERROR(__xludf.DUMMYFUNCTION("""COMPUTED_VALUE"""),0.0)</f>
        <v>0</v>
      </c>
      <c r="BV164" s="139"/>
      <c r="BW164" s="139"/>
      <c r="BX164" s="139" t="str">
        <f>IFERROR(__xludf.DUMMYFUNCTION("""COMPUTED_VALUE"""),"※特性を選択!!(BW列)")</f>
        <v>※特性を選択!!(BW列)</v>
      </c>
      <c r="BY164" s="139">
        <f>IFERROR(__xludf.DUMMYFUNCTION("""COMPUTED_VALUE"""),0.0)</f>
        <v>0</v>
      </c>
      <c r="BZ164" s="139"/>
      <c r="CA164" s="139" t="str">
        <f>IFERROR(__xludf.DUMMYFUNCTION("""COMPUTED_VALUE"""),"※特性を選択!!(BW列)")</f>
        <v>※特性を選択!!(BW列)</v>
      </c>
      <c r="CB164" s="139">
        <f>IFERROR(__xludf.DUMMYFUNCTION("""COMPUTED_VALUE"""),4.0)</f>
        <v>4</v>
      </c>
      <c r="CC164" s="139" t="str">
        <f>IFERROR(__xludf.DUMMYFUNCTION("""COMPUTED_VALUE"""),"※ID管理未記入")</f>
        <v>※ID管理未記入</v>
      </c>
      <c r="CD164" s="139"/>
      <c r="CE164" s="139" t="str">
        <f>IFERROR(__xludf.DUMMYFUNCTION("""COMPUTED_VALUE"""),"該当なし")</f>
        <v>該当なし</v>
      </c>
      <c r="CF164" s="139" t="str">
        <f>IFERROR(__xludf.DUMMYFUNCTION("""COMPUTED_VALUE"""),"#VALUE!")</f>
        <v>#VALUE!</v>
      </c>
      <c r="CG164" s="139"/>
      <c r="CH164" s="139"/>
      <c r="CI164" s="139" t="str">
        <f>IFERROR(__xludf.DUMMYFUNCTION("""COMPUTED_VALUE"""),"該当なし")</f>
        <v>該当なし</v>
      </c>
      <c r="CJ164" s="139" t="str">
        <f>IFERROR(__xludf.DUMMYFUNCTION("""COMPUTED_VALUE"""),"#VALUE!")</f>
        <v>#VALUE!</v>
      </c>
      <c r="CK164" s="139"/>
      <c r="CL164" s="139"/>
      <c r="CM164" s="139"/>
      <c r="CN164" s="675">
        <f>IFERROR(__xludf.DUMMYFUNCTION("""COMPUTED_VALUE"""),5.0)</f>
        <v>5</v>
      </c>
      <c r="CO164" s="139" t="str">
        <f>IFERROR(__xludf.DUMMYFUNCTION("""COMPUTED_VALUE"""),"-")</f>
        <v>-</v>
      </c>
      <c r="CP164" s="139" t="str">
        <f>IFERROR(__xludf.DUMMYFUNCTION("""COMPUTED_VALUE"""),"-")</f>
        <v>-</v>
      </c>
      <c r="CQ164" s="139" t="str">
        <f>IFERROR(__xludf.DUMMYFUNCTION("""COMPUTED_VALUE"""),"-")</f>
        <v>-</v>
      </c>
      <c r="CR164" s="139"/>
      <c r="CS164" s="139"/>
      <c r="CT164" s="139"/>
      <c r="CU164" s="139"/>
      <c r="CV164" s="139"/>
      <c r="CW164" s="139"/>
      <c r="CX164" s="674" t="str">
        <f>IFERROR(__xludf.DUMMYFUNCTION("""COMPUTED_VALUE"""),"")</f>
        <v/>
      </c>
      <c r="CY164" s="675" t="str">
        <f>IFERROR(__xludf.DUMMYFUNCTION("""COMPUTED_VALUE"""),"")</f>
        <v/>
      </c>
      <c r="CZ164" s="688" t="str">
        <f>IFERROR(__xludf.DUMMYFUNCTION("""COMPUTED_VALUE"""),"-")</f>
        <v>-</v>
      </c>
      <c r="DA164" s="688">
        <f>IFERROR(__xludf.DUMMYFUNCTION("""COMPUTED_VALUE"""),0.0)</f>
        <v>0</v>
      </c>
      <c r="DB164" s="688">
        <f>IFERROR(__xludf.DUMMYFUNCTION("""COMPUTED_VALUE"""),0.0)</f>
        <v>0</v>
      </c>
      <c r="DC164" s="673" t="str">
        <f>IFERROR(__xludf.DUMMYFUNCTION("""COMPUTED_VALUE"""),"-")</f>
        <v>-</v>
      </c>
      <c r="DD164" s="673" t="str">
        <f>IFERROR(__xludf.DUMMYFUNCTION("""COMPUTED_VALUE"""),"-")</f>
        <v>-</v>
      </c>
      <c r="DE164" s="139" t="str">
        <f>IFERROR(__xludf.DUMMYFUNCTION("""COMPUTED_VALUE"""),"-")</f>
        <v>-</v>
      </c>
      <c r="DF164" s="139" t="str">
        <f>IFERROR(__xludf.DUMMYFUNCTION("""COMPUTED_VALUE"""),"-")</f>
        <v>-</v>
      </c>
      <c r="DG164" s="139" t="str">
        <f>IFERROR(__xludf.DUMMYFUNCTION("""COMPUTED_VALUE"""),"-")</f>
        <v>-</v>
      </c>
      <c r="DH164" s="139" t="str">
        <f>IFERROR(__xludf.DUMMYFUNCTION("""COMPUTED_VALUE"""),"-")</f>
        <v>-</v>
      </c>
      <c r="DI164" s="139" t="str">
        <f>IFERROR(__xludf.DUMMYFUNCTION("""COMPUTED_VALUE"""),"-")</f>
        <v>-</v>
      </c>
      <c r="DJ164" s="139" t="str">
        <f>IFERROR(__xludf.DUMMYFUNCTION("""COMPUTED_VALUE"""),"-")</f>
        <v>-</v>
      </c>
    </row>
    <row r="165">
      <c r="A165" s="139" t="str">
        <f>IFERROR(__xludf.DUMMYFUNCTION("""COMPUTED_VALUE"""),"終末のハーレム After World")</f>
        <v>終末のハーレム After World</v>
      </c>
      <c r="B165" s="139" t="str">
        <f>IFERROR(__xludf.DUMMYFUNCTION("""COMPUTED_VALUE"""),"(仮)溝下 乃薔薇")</f>
        <v>(仮)溝下 乃薔薇</v>
      </c>
      <c r="C165" s="139" t="str">
        <f>IFERROR(__xludf.DUMMYFUNCTION("""COMPUTED_VALUE"""),"chara_aft_00001")</f>
        <v>chara_aft_00001</v>
      </c>
      <c r="D165" s="139" t="str">
        <f>IFERROR(__xludf.DUMMYFUNCTION("""COMPUTED_VALUE"""),"PremiumUR")</f>
        <v>PremiumUR</v>
      </c>
      <c r="E165" s="139" t="str">
        <f>IFERROR(__xludf.DUMMYFUNCTION("""COMPUTED_VALUE"""),"赤")</f>
        <v>赤</v>
      </c>
      <c r="F165" s="139" t="str">
        <f>IFERROR(__xludf.DUMMYFUNCTION("""COMPUTED_VALUE"""),"ディフェンス")</f>
        <v>ディフェンス</v>
      </c>
      <c r="G165" s="139" t="str">
        <f>IFERROR(__xludf.DUMMYFUNCTION("""COMPUTED_VALUE"""),"※ID管理未記入")</f>
        <v>※ID管理未記入</v>
      </c>
      <c r="H165" s="139" t="str">
        <f>IFERROR(__xludf.DUMMYFUNCTION("""COMPUTED_VALUE"""),"※ID管理未記入")</f>
        <v>※ID管理未記入</v>
      </c>
      <c r="I165" s="139" t="str">
        <f>IFERROR(__xludf.DUMMYFUNCTION("""COMPUTED_VALUE"""),"※ID管理未記入")</f>
        <v>※ID管理未記入</v>
      </c>
      <c r="J165" s="139" t="str">
        <f>IFERROR(__xludf.DUMMYFUNCTION("""COMPUTED_VALUE"""),"プラン確認")</f>
        <v>プラン確認</v>
      </c>
      <c r="K165" s="139" t="str">
        <f>IFERROR(__xludf.DUMMYFUNCTION("""COMPUTED_VALUE"""),"ジューンブライドイベント")</f>
        <v>ジューンブライドイベント</v>
      </c>
      <c r="L165" s="139" t="str">
        <f>IFERROR(__xludf.DUMMYFUNCTION("""COMPUTED_VALUE"""),"※")</f>
        <v>※</v>
      </c>
      <c r="M165" s="674">
        <f>IFERROR(__xludf.DUMMYFUNCTION("""COMPUTED_VALUE"""),0.0)</f>
        <v>0</v>
      </c>
      <c r="N165" s="139">
        <f>IFERROR(__xludf.DUMMYFUNCTION("""COMPUTED_VALUE"""),0.0)</f>
        <v>0</v>
      </c>
      <c r="O165" s="139"/>
      <c r="P165" s="139">
        <f>IFERROR(__xludf.DUMMYFUNCTION("""COMPUTED_VALUE"""),0.0)</f>
        <v>0</v>
      </c>
      <c r="Q165" s="675">
        <f>IFERROR(__xludf.DUMMYFUNCTION("""COMPUTED_VALUE"""),0.0)</f>
        <v>0</v>
      </c>
      <c r="R165" s="675">
        <f>IFERROR(__xludf.DUMMYFUNCTION("""COMPUTED_VALUE"""),0.0)</f>
        <v>0</v>
      </c>
      <c r="S165" s="675">
        <f>IFERROR(__xludf.DUMMYFUNCTION("""COMPUTED_VALUE"""),-2.5)</f>
        <v>-2.5</v>
      </c>
      <c r="T165" s="674">
        <f>IFERROR(__xludf.DUMMYFUNCTION("""COMPUTED_VALUE"""),225.0)</f>
        <v>225</v>
      </c>
      <c r="U165" s="675">
        <f>IFERROR(__xludf.DUMMYFUNCTION("""COMPUTED_VALUE"""),4.5)</f>
        <v>4.5</v>
      </c>
      <c r="V165" s="675">
        <f>IFERROR(__xludf.DUMMYFUNCTION("""COMPUTED_VALUE"""),0.0)</f>
        <v>0</v>
      </c>
      <c r="W165" s="675">
        <f>IFERROR(__xludf.DUMMYFUNCTION("""COMPUTED_VALUE"""),0.0)</f>
        <v>0</v>
      </c>
      <c r="X165" s="675">
        <f>IFERROR(__xludf.DUMMYFUNCTION("""COMPUTED_VALUE"""),0.0)</f>
        <v>0</v>
      </c>
      <c r="Y165" s="674">
        <f>IFERROR(__xludf.DUMMYFUNCTION("""COMPUTED_VALUE"""),100.0)</f>
        <v>100</v>
      </c>
      <c r="Z165" s="675">
        <f>IFERROR(__xludf.DUMMYFUNCTION("""COMPUTED_VALUE"""),2.0)</f>
        <v>2</v>
      </c>
      <c r="AA165" s="675">
        <f>IFERROR(__xludf.DUMMYFUNCTION("""COMPUTED_VALUE"""),0.0)</f>
        <v>0</v>
      </c>
      <c r="AB165" s="673">
        <f>IFERROR(__xludf.DUMMYFUNCTION("""COMPUTED_VALUE"""),0.0)</f>
        <v>0</v>
      </c>
      <c r="AC165" s="675">
        <f>IFERROR(__xludf.DUMMYFUNCTION("""COMPUTED_VALUE"""),0.0)</f>
        <v>0</v>
      </c>
      <c r="AD165" s="674">
        <f>IFERROR(__xludf.DUMMYFUNCTION("""COMPUTED_VALUE"""),250.0)</f>
        <v>250</v>
      </c>
      <c r="AE165" s="675">
        <f>IFERROR(__xludf.DUMMYFUNCTION("""COMPUTED_VALUE"""),5.0)</f>
        <v>5</v>
      </c>
      <c r="AF165" s="675">
        <f>IFERROR(__xludf.DUMMYFUNCTION("""COMPUTED_VALUE"""),0.0)</f>
        <v>0</v>
      </c>
      <c r="AG165" s="673">
        <f>IFERROR(__xludf.DUMMYFUNCTION("""COMPUTED_VALUE"""),0.0)</f>
        <v>0</v>
      </c>
      <c r="AH165" s="675">
        <f>IFERROR(__xludf.DUMMYFUNCTION("""COMPUTED_VALUE"""),0.0)</f>
        <v>0</v>
      </c>
      <c r="AI165" s="139" t="str">
        <f>IFERROR(__xludf.DUMMYFUNCTION("""COMPUTED_VALUE"""),"-")</f>
        <v>-</v>
      </c>
      <c r="AJ165" s="675" t="str">
        <f>IFERROR(__xludf.DUMMYFUNCTION("""COMPUTED_VALUE"""),"-")</f>
        <v>-</v>
      </c>
      <c r="AK165" s="139">
        <f>IFERROR(__xludf.DUMMYFUNCTION("""COMPUTED_VALUE"""),0.0)</f>
        <v>0</v>
      </c>
      <c r="AL165" s="674">
        <f>IFERROR(__xludf.DUMMYFUNCTION("""COMPUTED_VALUE"""),0.0)</f>
        <v>0</v>
      </c>
      <c r="AM165" s="688">
        <f>IFERROR(__xludf.DUMMYFUNCTION("""COMPUTED_VALUE"""),0.0)</f>
        <v>0</v>
      </c>
      <c r="AN165" s="675">
        <f>IFERROR(__xludf.DUMMYFUNCTION("""COMPUTED_VALUE"""),0.0)</f>
        <v>0</v>
      </c>
      <c r="AO165" s="675">
        <f>IFERROR(__xludf.DUMMYFUNCTION("""COMPUTED_VALUE"""),0.0)</f>
        <v>0</v>
      </c>
      <c r="AP165" s="674">
        <f>IFERROR(__xludf.DUMMYFUNCTION("""COMPUTED_VALUE"""),0.0)</f>
        <v>0</v>
      </c>
      <c r="AQ165" s="673">
        <f>IFERROR(__xludf.DUMMYFUNCTION("""COMPUTED_VALUE"""),0.9)</f>
        <v>0.9</v>
      </c>
      <c r="AR165" s="673">
        <f>IFERROR(__xludf.DUMMYFUNCTION("""COMPUTED_VALUE"""),0.0)</f>
        <v>0</v>
      </c>
      <c r="AS165" s="673">
        <f>IFERROR(__xludf.DUMMYFUNCTION("""COMPUTED_VALUE"""),0.0)</f>
        <v>0</v>
      </c>
      <c r="AT165" s="673">
        <f>IFERROR(__xludf.DUMMYFUNCTION("""COMPUTED_VALUE"""),0.0)</f>
        <v>0</v>
      </c>
      <c r="AU165" s="675">
        <f>IFERROR(__xludf.DUMMYFUNCTION("""COMPUTED_VALUE"""),0.0)</f>
        <v>0</v>
      </c>
      <c r="AV165" s="675">
        <f>IFERROR(__xludf.DUMMYFUNCTION("""COMPUTED_VALUE"""),0.0)</f>
        <v>0</v>
      </c>
      <c r="AW165" s="139"/>
      <c r="AX165" s="674" t="str">
        <f>IFERROR(__xludf.DUMMYFUNCTION("""COMPUTED_VALUE"""),"※通常攻撃範囲を入力！(CD列)")</f>
        <v>※通常攻撃範囲を入力！(CD列)</v>
      </c>
      <c r="AY165" s="688" t="str">
        <f>IFERROR(__xludf.DUMMYFUNCTION("""COMPUTED_VALUE"""),"#VALUE!")</f>
        <v>#VALUE!</v>
      </c>
      <c r="AZ165" s="674" t="str">
        <f>IFERROR(__xludf.DUMMYFUNCTION("""COMPUTED_VALUE"""),"#VALUE!")</f>
        <v>#VALUE!</v>
      </c>
      <c r="BA165" s="688" t="str">
        <f>IFERROR(__xludf.DUMMYFUNCTION("""COMPUTED_VALUE"""),"#VALUE!")</f>
        <v>#VALUE!</v>
      </c>
      <c r="BB165" s="688" t="str">
        <f>IFERROR(__xludf.DUMMYFUNCTION("""COMPUTED_VALUE"""),"-")</f>
        <v>-</v>
      </c>
      <c r="BC165" s="688" t="str">
        <f>IFERROR(__xludf.DUMMYFUNCTION("""COMPUTED_VALUE"""),"#VALUE!")</f>
        <v>#VALUE!</v>
      </c>
      <c r="BD165" s="688" t="str">
        <f>IFERROR(__xludf.DUMMYFUNCTION("""COMPUTED_VALUE"""),"#VALUE!")</f>
        <v>#VALUE!</v>
      </c>
      <c r="BE165" s="674" t="str">
        <f>IFERROR(__xludf.DUMMYFUNCTION("""COMPUTED_VALUE"""),"#VALUE!")</f>
        <v>#VALUE!</v>
      </c>
      <c r="BF165" s="674">
        <f>IFERROR(__xludf.DUMMYFUNCTION("""COMPUTED_VALUE"""),0.0)</f>
        <v>0</v>
      </c>
      <c r="BG165" s="673">
        <f>IFERROR(__xludf.DUMMYFUNCTION("""COMPUTED_VALUE"""),0.0)</f>
        <v>0</v>
      </c>
      <c r="BH165" s="673">
        <f>IFERROR(__xludf.DUMMYFUNCTION("""COMPUTED_VALUE"""),-0.5)</f>
        <v>-0.5</v>
      </c>
      <c r="BI165" s="673">
        <f>IFERROR(__xludf.DUMMYFUNCTION("""COMPUTED_VALUE"""),0.0)</f>
        <v>0</v>
      </c>
      <c r="BJ165" s="673">
        <f>IFERROR(__xludf.DUMMYFUNCTION("""COMPUTED_VALUE"""),0.0)</f>
        <v>0</v>
      </c>
      <c r="BK165" s="673">
        <f>IFERROR(__xludf.DUMMYFUNCTION("""COMPUTED_VALUE"""),0.0)</f>
        <v>0</v>
      </c>
      <c r="BL165" s="673">
        <f>IFERROR(__xludf.DUMMYFUNCTION("""COMPUTED_VALUE"""),0.0)</f>
        <v>0</v>
      </c>
      <c r="BM165" s="674">
        <f>IFERROR(__xludf.DUMMYFUNCTION("""COMPUTED_VALUE"""),0.0)</f>
        <v>0</v>
      </c>
      <c r="BN165" s="674">
        <f>IFERROR(__xludf.DUMMYFUNCTION("""COMPUTED_VALUE"""),0.0)</f>
        <v>0</v>
      </c>
      <c r="BO165" s="675">
        <f>IFERROR(__xludf.DUMMYFUNCTION("""COMPUTED_VALUE"""),0.0)</f>
        <v>0</v>
      </c>
      <c r="BP165" s="675">
        <f>IFERROR(__xludf.DUMMYFUNCTION("""COMPUTED_VALUE"""),0.0)</f>
        <v>0</v>
      </c>
      <c r="BQ165" s="139"/>
      <c r="BR165" s="139">
        <f>IFERROR(__xludf.DUMMYFUNCTION("""COMPUTED_VALUE"""),1.0)</f>
        <v>1</v>
      </c>
      <c r="BS165" s="139" t="str">
        <f>IFERROR(__xludf.DUMMYFUNCTION("""COMPUTED_VALUE"""),"※移動を入力！(BV列)")</f>
        <v>※移動を入力！(BV列)</v>
      </c>
      <c r="BT165" s="139" t="str">
        <f>IFERROR(__xludf.DUMMYFUNCTION("""COMPUTED_VALUE"""),"※攻撃手段を入力(BQ列)")</f>
        <v>※攻撃手段を入力(BQ列)</v>
      </c>
      <c r="BU165" s="139">
        <f>IFERROR(__xludf.DUMMYFUNCTION("""COMPUTED_VALUE"""),0.0)</f>
        <v>0</v>
      </c>
      <c r="BV165" s="139"/>
      <c r="BW165" s="139"/>
      <c r="BX165" s="139" t="str">
        <f>IFERROR(__xludf.DUMMYFUNCTION("""COMPUTED_VALUE"""),"※特性を選択!!(BW列)")</f>
        <v>※特性を選択!!(BW列)</v>
      </c>
      <c r="BY165" s="139">
        <f>IFERROR(__xludf.DUMMYFUNCTION("""COMPUTED_VALUE"""),0.0)</f>
        <v>0</v>
      </c>
      <c r="BZ165" s="139"/>
      <c r="CA165" s="139" t="str">
        <f>IFERROR(__xludf.DUMMYFUNCTION("""COMPUTED_VALUE"""),"※特性を選択!!(BW列)")</f>
        <v>※特性を選択!!(BW列)</v>
      </c>
      <c r="CB165" s="139">
        <f>IFERROR(__xludf.DUMMYFUNCTION("""COMPUTED_VALUE"""),4.0)</f>
        <v>4</v>
      </c>
      <c r="CC165" s="139" t="str">
        <f>IFERROR(__xludf.DUMMYFUNCTION("""COMPUTED_VALUE"""),"※ID管理未記入")</f>
        <v>※ID管理未記入</v>
      </c>
      <c r="CD165" s="139"/>
      <c r="CE165" s="139" t="str">
        <f>IFERROR(__xludf.DUMMYFUNCTION("""COMPUTED_VALUE"""),"該当なし")</f>
        <v>該当なし</v>
      </c>
      <c r="CF165" s="139" t="str">
        <f>IFERROR(__xludf.DUMMYFUNCTION("""COMPUTED_VALUE"""),"#VALUE!")</f>
        <v>#VALUE!</v>
      </c>
      <c r="CG165" s="139"/>
      <c r="CH165" s="139"/>
      <c r="CI165" s="139" t="str">
        <f>IFERROR(__xludf.DUMMYFUNCTION("""COMPUTED_VALUE"""),"該当なし")</f>
        <v>該当なし</v>
      </c>
      <c r="CJ165" s="139" t="str">
        <f>IFERROR(__xludf.DUMMYFUNCTION("""COMPUTED_VALUE"""),"#VALUE!")</f>
        <v>#VALUE!</v>
      </c>
      <c r="CK165" s="139"/>
      <c r="CL165" s="139"/>
      <c r="CM165" s="139"/>
      <c r="CN165" s="675">
        <f>IFERROR(__xludf.DUMMYFUNCTION("""COMPUTED_VALUE"""),5.0)</f>
        <v>5</v>
      </c>
      <c r="CO165" s="139" t="str">
        <f>IFERROR(__xludf.DUMMYFUNCTION("""COMPUTED_VALUE"""),"-")</f>
        <v>-</v>
      </c>
      <c r="CP165" s="139" t="str">
        <f>IFERROR(__xludf.DUMMYFUNCTION("""COMPUTED_VALUE"""),"-")</f>
        <v>-</v>
      </c>
      <c r="CQ165" s="139" t="str">
        <f>IFERROR(__xludf.DUMMYFUNCTION("""COMPUTED_VALUE"""),"-")</f>
        <v>-</v>
      </c>
      <c r="CR165" s="139"/>
      <c r="CS165" s="139"/>
      <c r="CT165" s="139"/>
      <c r="CU165" s="139"/>
      <c r="CV165" s="139"/>
      <c r="CW165" s="139"/>
      <c r="CX165" s="674" t="str">
        <f>IFERROR(__xludf.DUMMYFUNCTION("""COMPUTED_VALUE"""),"")</f>
        <v/>
      </c>
      <c r="CY165" s="675" t="str">
        <f>IFERROR(__xludf.DUMMYFUNCTION("""COMPUTED_VALUE"""),"")</f>
        <v/>
      </c>
      <c r="CZ165" s="688" t="str">
        <f>IFERROR(__xludf.DUMMYFUNCTION("""COMPUTED_VALUE"""),"-")</f>
        <v>-</v>
      </c>
      <c r="DA165" s="688">
        <f>IFERROR(__xludf.DUMMYFUNCTION("""COMPUTED_VALUE"""),0.0)</f>
        <v>0</v>
      </c>
      <c r="DB165" s="688">
        <f>IFERROR(__xludf.DUMMYFUNCTION("""COMPUTED_VALUE"""),0.0)</f>
        <v>0</v>
      </c>
      <c r="DC165" s="673" t="str">
        <f>IFERROR(__xludf.DUMMYFUNCTION("""COMPUTED_VALUE"""),"-")</f>
        <v>-</v>
      </c>
      <c r="DD165" s="673" t="str">
        <f>IFERROR(__xludf.DUMMYFUNCTION("""COMPUTED_VALUE"""),"-")</f>
        <v>-</v>
      </c>
      <c r="DE165" s="139" t="str">
        <f>IFERROR(__xludf.DUMMYFUNCTION("""COMPUTED_VALUE"""),"-")</f>
        <v>-</v>
      </c>
      <c r="DF165" s="139" t="str">
        <f>IFERROR(__xludf.DUMMYFUNCTION("""COMPUTED_VALUE"""),"-")</f>
        <v>-</v>
      </c>
      <c r="DG165" s="139" t="str">
        <f>IFERROR(__xludf.DUMMYFUNCTION("""COMPUTED_VALUE"""),"-")</f>
        <v>-</v>
      </c>
      <c r="DH165" s="139" t="str">
        <f>IFERROR(__xludf.DUMMYFUNCTION("""COMPUTED_VALUE"""),"-")</f>
        <v>-</v>
      </c>
      <c r="DI165" s="139" t="str">
        <f>IFERROR(__xludf.DUMMYFUNCTION("""COMPUTED_VALUE"""),"-")</f>
        <v>-</v>
      </c>
      <c r="DJ165" s="139" t="str">
        <f>IFERROR(__xludf.DUMMYFUNCTION("""COMPUTED_VALUE"""),"-")</f>
        <v>-</v>
      </c>
    </row>
    <row r="166">
      <c r="A166" s="139" t="str">
        <f>IFERROR(__xludf.DUMMYFUNCTION("""COMPUTED_VALUE"""),"口が裂けても君には")</f>
        <v>口が裂けても君には</v>
      </c>
      <c r="B166" s="139" t="str">
        <f>IFERROR(__xludf.DUMMYFUNCTION("""COMPUTED_VALUE"""),"(仮)みろく")</f>
        <v>(仮)みろく</v>
      </c>
      <c r="C166" s="139" t="str">
        <f>IFERROR(__xludf.DUMMYFUNCTION("""COMPUTED_VALUE"""),"chara_kut_00001")</f>
        <v>chara_kut_00001</v>
      </c>
      <c r="D166" s="139" t="str">
        <f>IFERROR(__xludf.DUMMYFUNCTION("""COMPUTED_VALUE"""),"PremiumUR")</f>
        <v>PremiumUR</v>
      </c>
      <c r="E166" s="139" t="str">
        <f>IFERROR(__xludf.DUMMYFUNCTION("""COMPUTED_VALUE"""),"青")</f>
        <v>青</v>
      </c>
      <c r="F166" s="139" t="str">
        <f>IFERROR(__xludf.DUMMYFUNCTION("""COMPUTED_VALUE"""),"テクニカル")</f>
        <v>テクニカル</v>
      </c>
      <c r="G166" s="139" t="str">
        <f>IFERROR(__xludf.DUMMYFUNCTION("""COMPUTED_VALUE"""),"※ID管理未記入")</f>
        <v>※ID管理未記入</v>
      </c>
      <c r="H166" s="139" t="str">
        <f>IFERROR(__xludf.DUMMYFUNCTION("""COMPUTED_VALUE"""),"※ID管理未記入")</f>
        <v>※ID管理未記入</v>
      </c>
      <c r="I166" s="139" t="str">
        <f>IFERROR(__xludf.DUMMYFUNCTION("""COMPUTED_VALUE"""),"※ID管理未記入")</f>
        <v>※ID管理未記入</v>
      </c>
      <c r="J166" s="139" t="str">
        <f>IFERROR(__xludf.DUMMYFUNCTION("""COMPUTED_VALUE"""),"プラン確認")</f>
        <v>プラン確認</v>
      </c>
      <c r="K166" s="139" t="str">
        <f>IFERROR(__xludf.DUMMYFUNCTION("""COMPUTED_VALUE"""),"ジューンブライドイベント")</f>
        <v>ジューンブライドイベント</v>
      </c>
      <c r="L166" s="139" t="str">
        <f>IFERROR(__xludf.DUMMYFUNCTION("""COMPUTED_VALUE"""),"※")</f>
        <v>※</v>
      </c>
      <c r="M166" s="674">
        <f>IFERROR(__xludf.DUMMYFUNCTION("""COMPUTED_VALUE"""),0.0)</f>
        <v>0</v>
      </c>
      <c r="N166" s="139">
        <f>IFERROR(__xludf.DUMMYFUNCTION("""COMPUTED_VALUE"""),0.0)</f>
        <v>0</v>
      </c>
      <c r="O166" s="139"/>
      <c r="P166" s="139">
        <f>IFERROR(__xludf.DUMMYFUNCTION("""COMPUTED_VALUE"""),0.0)</f>
        <v>0</v>
      </c>
      <c r="Q166" s="675">
        <f>IFERROR(__xludf.DUMMYFUNCTION("""COMPUTED_VALUE"""),0.0)</f>
        <v>0</v>
      </c>
      <c r="R166" s="675">
        <f>IFERROR(__xludf.DUMMYFUNCTION("""COMPUTED_VALUE"""),0.0)</f>
        <v>0</v>
      </c>
      <c r="S166" s="675">
        <f>IFERROR(__xludf.DUMMYFUNCTION("""COMPUTED_VALUE"""),-2.5)</f>
        <v>-2.5</v>
      </c>
      <c r="T166" s="674">
        <f>IFERROR(__xludf.DUMMYFUNCTION("""COMPUTED_VALUE"""),225.0)</f>
        <v>225</v>
      </c>
      <c r="U166" s="675">
        <f>IFERROR(__xludf.DUMMYFUNCTION("""COMPUTED_VALUE"""),4.5)</f>
        <v>4.5</v>
      </c>
      <c r="V166" s="675">
        <f>IFERROR(__xludf.DUMMYFUNCTION("""COMPUTED_VALUE"""),0.0)</f>
        <v>0</v>
      </c>
      <c r="W166" s="675">
        <f>IFERROR(__xludf.DUMMYFUNCTION("""COMPUTED_VALUE"""),0.0)</f>
        <v>0</v>
      </c>
      <c r="X166" s="675">
        <f>IFERROR(__xludf.DUMMYFUNCTION("""COMPUTED_VALUE"""),0.0)</f>
        <v>0</v>
      </c>
      <c r="Y166" s="674">
        <f>IFERROR(__xludf.DUMMYFUNCTION("""COMPUTED_VALUE"""),100.0)</f>
        <v>100</v>
      </c>
      <c r="Z166" s="675">
        <f>IFERROR(__xludf.DUMMYFUNCTION("""COMPUTED_VALUE"""),2.0)</f>
        <v>2</v>
      </c>
      <c r="AA166" s="675">
        <f>IFERROR(__xludf.DUMMYFUNCTION("""COMPUTED_VALUE"""),0.0)</f>
        <v>0</v>
      </c>
      <c r="AB166" s="673">
        <f>IFERROR(__xludf.DUMMYFUNCTION("""COMPUTED_VALUE"""),0.0)</f>
        <v>0</v>
      </c>
      <c r="AC166" s="675">
        <f>IFERROR(__xludf.DUMMYFUNCTION("""COMPUTED_VALUE"""),0.0)</f>
        <v>0</v>
      </c>
      <c r="AD166" s="674">
        <f>IFERROR(__xludf.DUMMYFUNCTION("""COMPUTED_VALUE"""),250.0)</f>
        <v>250</v>
      </c>
      <c r="AE166" s="675">
        <f>IFERROR(__xludf.DUMMYFUNCTION("""COMPUTED_VALUE"""),5.0)</f>
        <v>5</v>
      </c>
      <c r="AF166" s="675">
        <f>IFERROR(__xludf.DUMMYFUNCTION("""COMPUTED_VALUE"""),0.0)</f>
        <v>0</v>
      </c>
      <c r="AG166" s="673">
        <f>IFERROR(__xludf.DUMMYFUNCTION("""COMPUTED_VALUE"""),0.0)</f>
        <v>0</v>
      </c>
      <c r="AH166" s="675">
        <f>IFERROR(__xludf.DUMMYFUNCTION("""COMPUTED_VALUE"""),0.0)</f>
        <v>0</v>
      </c>
      <c r="AI166" s="139" t="str">
        <f>IFERROR(__xludf.DUMMYFUNCTION("""COMPUTED_VALUE"""),"-")</f>
        <v>-</v>
      </c>
      <c r="AJ166" s="675" t="str">
        <f>IFERROR(__xludf.DUMMYFUNCTION("""COMPUTED_VALUE"""),"-")</f>
        <v>-</v>
      </c>
      <c r="AK166" s="139">
        <f>IFERROR(__xludf.DUMMYFUNCTION("""COMPUTED_VALUE"""),0.0)</f>
        <v>0</v>
      </c>
      <c r="AL166" s="674">
        <f>IFERROR(__xludf.DUMMYFUNCTION("""COMPUTED_VALUE"""),0.0)</f>
        <v>0</v>
      </c>
      <c r="AM166" s="688">
        <f>IFERROR(__xludf.DUMMYFUNCTION("""COMPUTED_VALUE"""),0.0)</f>
        <v>0</v>
      </c>
      <c r="AN166" s="675">
        <f>IFERROR(__xludf.DUMMYFUNCTION("""COMPUTED_VALUE"""),0.0)</f>
        <v>0</v>
      </c>
      <c r="AO166" s="675">
        <f>IFERROR(__xludf.DUMMYFUNCTION("""COMPUTED_VALUE"""),0.0)</f>
        <v>0</v>
      </c>
      <c r="AP166" s="674">
        <f>IFERROR(__xludf.DUMMYFUNCTION("""COMPUTED_VALUE"""),0.0)</f>
        <v>0</v>
      </c>
      <c r="AQ166" s="673">
        <f>IFERROR(__xludf.DUMMYFUNCTION("""COMPUTED_VALUE"""),-0.3)</f>
        <v>-0.3</v>
      </c>
      <c r="AR166" s="673">
        <f>IFERROR(__xludf.DUMMYFUNCTION("""COMPUTED_VALUE"""),0.0)</f>
        <v>0</v>
      </c>
      <c r="AS166" s="673">
        <f>IFERROR(__xludf.DUMMYFUNCTION("""COMPUTED_VALUE"""),0.0)</f>
        <v>0</v>
      </c>
      <c r="AT166" s="673">
        <f>IFERROR(__xludf.DUMMYFUNCTION("""COMPUTED_VALUE"""),0.0)</f>
        <v>0</v>
      </c>
      <c r="AU166" s="675">
        <f>IFERROR(__xludf.DUMMYFUNCTION("""COMPUTED_VALUE"""),0.0)</f>
        <v>0</v>
      </c>
      <c r="AV166" s="675">
        <f>IFERROR(__xludf.DUMMYFUNCTION("""COMPUTED_VALUE"""),0.0)</f>
        <v>0</v>
      </c>
      <c r="AW166" s="139"/>
      <c r="AX166" s="674" t="str">
        <f>IFERROR(__xludf.DUMMYFUNCTION("""COMPUTED_VALUE"""),"※通常攻撃範囲を入力！(CD列)")</f>
        <v>※通常攻撃範囲を入力！(CD列)</v>
      </c>
      <c r="AY166" s="688" t="str">
        <f>IFERROR(__xludf.DUMMYFUNCTION("""COMPUTED_VALUE"""),"#VALUE!")</f>
        <v>#VALUE!</v>
      </c>
      <c r="AZ166" s="674" t="str">
        <f>IFERROR(__xludf.DUMMYFUNCTION("""COMPUTED_VALUE"""),"#VALUE!")</f>
        <v>#VALUE!</v>
      </c>
      <c r="BA166" s="688" t="str">
        <f>IFERROR(__xludf.DUMMYFUNCTION("""COMPUTED_VALUE"""),"#VALUE!")</f>
        <v>#VALUE!</v>
      </c>
      <c r="BB166" s="688" t="str">
        <f>IFERROR(__xludf.DUMMYFUNCTION("""COMPUTED_VALUE"""),"-")</f>
        <v>-</v>
      </c>
      <c r="BC166" s="688" t="str">
        <f>IFERROR(__xludf.DUMMYFUNCTION("""COMPUTED_VALUE"""),"#VALUE!")</f>
        <v>#VALUE!</v>
      </c>
      <c r="BD166" s="688" t="str">
        <f>IFERROR(__xludf.DUMMYFUNCTION("""COMPUTED_VALUE"""),"#VALUE!")</f>
        <v>#VALUE!</v>
      </c>
      <c r="BE166" s="674" t="str">
        <f>IFERROR(__xludf.DUMMYFUNCTION("""COMPUTED_VALUE"""),"#VALUE!")</f>
        <v>#VALUE!</v>
      </c>
      <c r="BF166" s="674">
        <f>IFERROR(__xludf.DUMMYFUNCTION("""COMPUTED_VALUE"""),0.0)</f>
        <v>0</v>
      </c>
      <c r="BG166" s="673">
        <f>IFERROR(__xludf.DUMMYFUNCTION("""COMPUTED_VALUE"""),0.0)</f>
        <v>0</v>
      </c>
      <c r="BH166" s="673">
        <f>IFERROR(__xludf.DUMMYFUNCTION("""COMPUTED_VALUE"""),0.1)</f>
        <v>0.1</v>
      </c>
      <c r="BI166" s="673">
        <f>IFERROR(__xludf.DUMMYFUNCTION("""COMPUTED_VALUE"""),0.0)</f>
        <v>0</v>
      </c>
      <c r="BJ166" s="673">
        <f>IFERROR(__xludf.DUMMYFUNCTION("""COMPUTED_VALUE"""),0.0)</f>
        <v>0</v>
      </c>
      <c r="BK166" s="673">
        <f>IFERROR(__xludf.DUMMYFUNCTION("""COMPUTED_VALUE"""),0.0)</f>
        <v>0</v>
      </c>
      <c r="BL166" s="673">
        <f>IFERROR(__xludf.DUMMYFUNCTION("""COMPUTED_VALUE"""),0.0)</f>
        <v>0</v>
      </c>
      <c r="BM166" s="674">
        <f>IFERROR(__xludf.DUMMYFUNCTION("""COMPUTED_VALUE"""),0.0)</f>
        <v>0</v>
      </c>
      <c r="BN166" s="674">
        <f>IFERROR(__xludf.DUMMYFUNCTION("""COMPUTED_VALUE"""),0.0)</f>
        <v>0</v>
      </c>
      <c r="BO166" s="675">
        <f>IFERROR(__xludf.DUMMYFUNCTION("""COMPUTED_VALUE"""),0.0)</f>
        <v>0</v>
      </c>
      <c r="BP166" s="675">
        <f>IFERROR(__xludf.DUMMYFUNCTION("""COMPUTED_VALUE"""),0.0)</f>
        <v>0</v>
      </c>
      <c r="BQ166" s="139"/>
      <c r="BR166" s="139">
        <f>IFERROR(__xludf.DUMMYFUNCTION("""COMPUTED_VALUE"""),3.0)</f>
        <v>3</v>
      </c>
      <c r="BS166" s="139" t="str">
        <f>IFERROR(__xludf.DUMMYFUNCTION("""COMPUTED_VALUE"""),"※移動を入力！(BV列)")</f>
        <v>※移動を入力！(BV列)</v>
      </c>
      <c r="BT166" s="139" t="str">
        <f>IFERROR(__xludf.DUMMYFUNCTION("""COMPUTED_VALUE"""),"※攻撃手段を入力(BQ列)")</f>
        <v>※攻撃手段を入力(BQ列)</v>
      </c>
      <c r="BU166" s="139">
        <f>IFERROR(__xludf.DUMMYFUNCTION("""COMPUTED_VALUE"""),0.0)</f>
        <v>0</v>
      </c>
      <c r="BV166" s="139"/>
      <c r="BW166" s="139"/>
      <c r="BX166" s="139" t="str">
        <f>IFERROR(__xludf.DUMMYFUNCTION("""COMPUTED_VALUE"""),"※特性を選択!!(BW列)")</f>
        <v>※特性を選択!!(BW列)</v>
      </c>
      <c r="BY166" s="139">
        <f>IFERROR(__xludf.DUMMYFUNCTION("""COMPUTED_VALUE"""),0.0)</f>
        <v>0</v>
      </c>
      <c r="BZ166" s="139"/>
      <c r="CA166" s="139" t="str">
        <f>IFERROR(__xludf.DUMMYFUNCTION("""COMPUTED_VALUE"""),"※特性を選択!!(BW列)")</f>
        <v>※特性を選択!!(BW列)</v>
      </c>
      <c r="CB166" s="139">
        <f>IFERROR(__xludf.DUMMYFUNCTION("""COMPUTED_VALUE"""),4.0)</f>
        <v>4</v>
      </c>
      <c r="CC166" s="139" t="str">
        <f>IFERROR(__xludf.DUMMYFUNCTION("""COMPUTED_VALUE"""),"※ID管理未記入")</f>
        <v>※ID管理未記入</v>
      </c>
      <c r="CD166" s="139"/>
      <c r="CE166" s="139" t="str">
        <f>IFERROR(__xludf.DUMMYFUNCTION("""COMPUTED_VALUE"""),"該当なし")</f>
        <v>該当なし</v>
      </c>
      <c r="CF166" s="139" t="str">
        <f>IFERROR(__xludf.DUMMYFUNCTION("""COMPUTED_VALUE"""),"#VALUE!")</f>
        <v>#VALUE!</v>
      </c>
      <c r="CG166" s="139"/>
      <c r="CH166" s="139"/>
      <c r="CI166" s="139" t="str">
        <f>IFERROR(__xludf.DUMMYFUNCTION("""COMPUTED_VALUE"""),"該当なし")</f>
        <v>該当なし</v>
      </c>
      <c r="CJ166" s="139" t="str">
        <f>IFERROR(__xludf.DUMMYFUNCTION("""COMPUTED_VALUE"""),"#VALUE!")</f>
        <v>#VALUE!</v>
      </c>
      <c r="CK166" s="139"/>
      <c r="CL166" s="139"/>
      <c r="CM166" s="139"/>
      <c r="CN166" s="675">
        <f>IFERROR(__xludf.DUMMYFUNCTION("""COMPUTED_VALUE"""),5.0)</f>
        <v>5</v>
      </c>
      <c r="CO166" s="139" t="str">
        <f>IFERROR(__xludf.DUMMYFUNCTION("""COMPUTED_VALUE"""),"-")</f>
        <v>-</v>
      </c>
      <c r="CP166" s="139" t="str">
        <f>IFERROR(__xludf.DUMMYFUNCTION("""COMPUTED_VALUE"""),"-")</f>
        <v>-</v>
      </c>
      <c r="CQ166" s="139" t="str">
        <f>IFERROR(__xludf.DUMMYFUNCTION("""COMPUTED_VALUE"""),"-")</f>
        <v>-</v>
      </c>
      <c r="CR166" s="139"/>
      <c r="CS166" s="139"/>
      <c r="CT166" s="139"/>
      <c r="CU166" s="139"/>
      <c r="CV166" s="139"/>
      <c r="CW166" s="139"/>
      <c r="CX166" s="674" t="str">
        <f>IFERROR(__xludf.DUMMYFUNCTION("""COMPUTED_VALUE"""),"")</f>
        <v/>
      </c>
      <c r="CY166" s="675" t="str">
        <f>IFERROR(__xludf.DUMMYFUNCTION("""COMPUTED_VALUE"""),"")</f>
        <v/>
      </c>
      <c r="CZ166" s="688" t="str">
        <f>IFERROR(__xludf.DUMMYFUNCTION("""COMPUTED_VALUE"""),"-")</f>
        <v>-</v>
      </c>
      <c r="DA166" s="688">
        <f>IFERROR(__xludf.DUMMYFUNCTION("""COMPUTED_VALUE"""),0.0)</f>
        <v>0</v>
      </c>
      <c r="DB166" s="688">
        <f>IFERROR(__xludf.DUMMYFUNCTION("""COMPUTED_VALUE"""),0.0)</f>
        <v>0</v>
      </c>
      <c r="DC166" s="673" t="str">
        <f>IFERROR(__xludf.DUMMYFUNCTION("""COMPUTED_VALUE"""),"-")</f>
        <v>-</v>
      </c>
      <c r="DD166" s="673" t="str">
        <f>IFERROR(__xludf.DUMMYFUNCTION("""COMPUTED_VALUE"""),"-")</f>
        <v>-</v>
      </c>
      <c r="DE166" s="139" t="str">
        <f>IFERROR(__xludf.DUMMYFUNCTION("""COMPUTED_VALUE"""),"-")</f>
        <v>-</v>
      </c>
      <c r="DF166" s="139" t="str">
        <f>IFERROR(__xludf.DUMMYFUNCTION("""COMPUTED_VALUE"""),"-")</f>
        <v>-</v>
      </c>
      <c r="DG166" s="139" t="str">
        <f>IFERROR(__xludf.DUMMYFUNCTION("""COMPUTED_VALUE"""),"-")</f>
        <v>-</v>
      </c>
      <c r="DH166" s="139" t="str">
        <f>IFERROR(__xludf.DUMMYFUNCTION("""COMPUTED_VALUE"""),"-")</f>
        <v>-</v>
      </c>
      <c r="DI166" s="139" t="str">
        <f>IFERROR(__xludf.DUMMYFUNCTION("""COMPUTED_VALUE"""),"-")</f>
        <v>-</v>
      </c>
      <c r="DJ166" s="139" t="str">
        <f>IFERROR(__xludf.DUMMYFUNCTION("""COMPUTED_VALUE"""),"-")</f>
        <v>-</v>
      </c>
    </row>
    <row r="167">
      <c r="A167" s="139" t="str">
        <f>IFERROR(__xludf.DUMMYFUNCTION("""COMPUTED_VALUE"""),"サンキューピッチ")</f>
        <v>サンキューピッチ</v>
      </c>
      <c r="B167" s="139" t="str">
        <f>IFERROR(__xludf.DUMMYFUNCTION("""COMPUTED_VALUE"""),"野球部狩り 桐山 不折")</f>
        <v>野球部狩り 桐山 不折</v>
      </c>
      <c r="C167" s="139" t="str">
        <f>IFERROR(__xludf.DUMMYFUNCTION("""COMPUTED_VALUE"""),"chara_san_00001")</f>
        <v>chara_san_00001</v>
      </c>
      <c r="D167" s="139" t="str">
        <f>IFERROR(__xludf.DUMMYFUNCTION("""COMPUTED_VALUE"""),"PremiumUR")</f>
        <v>PremiumUR</v>
      </c>
      <c r="E167" s="139" t="str">
        <f>IFERROR(__xludf.DUMMYFUNCTION("""COMPUTED_VALUE"""),"黄")</f>
        <v>黄</v>
      </c>
      <c r="F167" s="139" t="str">
        <f>IFERROR(__xludf.DUMMYFUNCTION("""COMPUTED_VALUE"""),"アタック")</f>
        <v>アタック</v>
      </c>
      <c r="G167" s="139" t="str">
        <f>IFERROR(__xludf.DUMMYFUNCTION("""COMPUTED_VALUE"""),"※ID管理未記入")</f>
        <v>※ID管理未記入</v>
      </c>
      <c r="H167" s="139" t="str">
        <f>IFERROR(__xludf.DUMMYFUNCTION("""COMPUTED_VALUE"""),"※ID管理未記入")</f>
        <v>※ID管理未記入</v>
      </c>
      <c r="I167" s="139" t="str">
        <f>IFERROR(__xludf.DUMMYFUNCTION("""COMPUTED_VALUE"""),"※ID管理未記入")</f>
        <v>※ID管理未記入</v>
      </c>
      <c r="J167" s="139" t="str">
        <f>IFERROR(__xludf.DUMMYFUNCTION("""COMPUTED_VALUE"""),"プラン確認")</f>
        <v>プラン確認</v>
      </c>
      <c r="K167" s="139" t="str">
        <f>IFERROR(__xludf.DUMMYFUNCTION("""COMPUTED_VALUE"""),"※ID管理未記入")</f>
        <v>※ID管理未記入</v>
      </c>
      <c r="L167" s="139" t="str">
        <f>IFERROR(__xludf.DUMMYFUNCTION("""COMPUTED_VALUE"""),"※")</f>
        <v>※</v>
      </c>
      <c r="M167" s="674">
        <f>IFERROR(__xludf.DUMMYFUNCTION("""COMPUTED_VALUE"""),0.0)</f>
        <v>0</v>
      </c>
      <c r="N167" s="139">
        <f>IFERROR(__xludf.DUMMYFUNCTION("""COMPUTED_VALUE"""),0.0)</f>
        <v>0</v>
      </c>
      <c r="O167" s="139"/>
      <c r="P167" s="139">
        <f>IFERROR(__xludf.DUMMYFUNCTION("""COMPUTED_VALUE"""),0.0)</f>
        <v>0</v>
      </c>
      <c r="Q167" s="675">
        <f>IFERROR(__xludf.DUMMYFUNCTION("""COMPUTED_VALUE"""),0.0)</f>
        <v>0</v>
      </c>
      <c r="R167" s="675">
        <f>IFERROR(__xludf.DUMMYFUNCTION("""COMPUTED_VALUE"""),0.0)</f>
        <v>0</v>
      </c>
      <c r="S167" s="675">
        <f>IFERROR(__xludf.DUMMYFUNCTION("""COMPUTED_VALUE"""),-2.5)</f>
        <v>-2.5</v>
      </c>
      <c r="T167" s="674">
        <f>IFERROR(__xludf.DUMMYFUNCTION("""COMPUTED_VALUE"""),225.0)</f>
        <v>225</v>
      </c>
      <c r="U167" s="675">
        <f>IFERROR(__xludf.DUMMYFUNCTION("""COMPUTED_VALUE"""),4.5)</f>
        <v>4.5</v>
      </c>
      <c r="V167" s="675">
        <f>IFERROR(__xludf.DUMMYFUNCTION("""COMPUTED_VALUE"""),0.0)</f>
        <v>0</v>
      </c>
      <c r="W167" s="675">
        <f>IFERROR(__xludf.DUMMYFUNCTION("""COMPUTED_VALUE"""),0.0)</f>
        <v>0</v>
      </c>
      <c r="X167" s="675">
        <f>IFERROR(__xludf.DUMMYFUNCTION("""COMPUTED_VALUE"""),0.0)</f>
        <v>0</v>
      </c>
      <c r="Y167" s="674">
        <f>IFERROR(__xludf.DUMMYFUNCTION("""COMPUTED_VALUE"""),100.0)</f>
        <v>100</v>
      </c>
      <c r="Z167" s="675">
        <f>IFERROR(__xludf.DUMMYFUNCTION("""COMPUTED_VALUE"""),2.0)</f>
        <v>2</v>
      </c>
      <c r="AA167" s="675">
        <f>IFERROR(__xludf.DUMMYFUNCTION("""COMPUTED_VALUE"""),0.0)</f>
        <v>0</v>
      </c>
      <c r="AB167" s="673">
        <f>IFERROR(__xludf.DUMMYFUNCTION("""COMPUTED_VALUE"""),0.0)</f>
        <v>0</v>
      </c>
      <c r="AC167" s="675">
        <f>IFERROR(__xludf.DUMMYFUNCTION("""COMPUTED_VALUE"""),0.0)</f>
        <v>0</v>
      </c>
      <c r="AD167" s="674">
        <f>IFERROR(__xludf.DUMMYFUNCTION("""COMPUTED_VALUE"""),250.0)</f>
        <v>250</v>
      </c>
      <c r="AE167" s="675">
        <f>IFERROR(__xludf.DUMMYFUNCTION("""COMPUTED_VALUE"""),5.0)</f>
        <v>5</v>
      </c>
      <c r="AF167" s="675">
        <f>IFERROR(__xludf.DUMMYFUNCTION("""COMPUTED_VALUE"""),0.0)</f>
        <v>0</v>
      </c>
      <c r="AG167" s="673">
        <f>IFERROR(__xludf.DUMMYFUNCTION("""COMPUTED_VALUE"""),0.0)</f>
        <v>0</v>
      </c>
      <c r="AH167" s="675">
        <f>IFERROR(__xludf.DUMMYFUNCTION("""COMPUTED_VALUE"""),0.0)</f>
        <v>0</v>
      </c>
      <c r="AI167" s="139" t="str">
        <f>IFERROR(__xludf.DUMMYFUNCTION("""COMPUTED_VALUE"""),"-")</f>
        <v>-</v>
      </c>
      <c r="AJ167" s="675" t="str">
        <f>IFERROR(__xludf.DUMMYFUNCTION("""COMPUTED_VALUE"""),"-")</f>
        <v>-</v>
      </c>
      <c r="AK167" s="139">
        <f>IFERROR(__xludf.DUMMYFUNCTION("""COMPUTED_VALUE"""),0.0)</f>
        <v>0</v>
      </c>
      <c r="AL167" s="674">
        <f>IFERROR(__xludf.DUMMYFUNCTION("""COMPUTED_VALUE"""),0.0)</f>
        <v>0</v>
      </c>
      <c r="AM167" s="688">
        <f>IFERROR(__xludf.DUMMYFUNCTION("""COMPUTED_VALUE"""),0.0)</f>
        <v>0</v>
      </c>
      <c r="AN167" s="675">
        <f>IFERROR(__xludf.DUMMYFUNCTION("""COMPUTED_VALUE"""),0.0)</f>
        <v>0</v>
      </c>
      <c r="AO167" s="675">
        <f>IFERROR(__xludf.DUMMYFUNCTION("""COMPUTED_VALUE"""),0.0)</f>
        <v>0</v>
      </c>
      <c r="AP167" s="674">
        <f>IFERROR(__xludf.DUMMYFUNCTION("""COMPUTED_VALUE"""),0.0)</f>
        <v>0</v>
      </c>
      <c r="AQ167" s="673">
        <f>IFERROR(__xludf.DUMMYFUNCTION("""COMPUTED_VALUE"""),-0.2)</f>
        <v>-0.2</v>
      </c>
      <c r="AR167" s="673">
        <f>IFERROR(__xludf.DUMMYFUNCTION("""COMPUTED_VALUE"""),0.0)</f>
        <v>0</v>
      </c>
      <c r="AS167" s="673">
        <f>IFERROR(__xludf.DUMMYFUNCTION("""COMPUTED_VALUE"""),0.0)</f>
        <v>0</v>
      </c>
      <c r="AT167" s="673">
        <f>IFERROR(__xludf.DUMMYFUNCTION("""COMPUTED_VALUE"""),0.0)</f>
        <v>0</v>
      </c>
      <c r="AU167" s="675">
        <f>IFERROR(__xludf.DUMMYFUNCTION("""COMPUTED_VALUE"""),0.0)</f>
        <v>0</v>
      </c>
      <c r="AV167" s="675">
        <f>IFERROR(__xludf.DUMMYFUNCTION("""COMPUTED_VALUE"""),0.0)</f>
        <v>0</v>
      </c>
      <c r="AW167" s="139"/>
      <c r="AX167" s="674" t="str">
        <f>IFERROR(__xludf.DUMMYFUNCTION("""COMPUTED_VALUE"""),"※通常攻撃範囲を入力！(CD列)")</f>
        <v>※通常攻撃範囲を入力！(CD列)</v>
      </c>
      <c r="AY167" s="688" t="str">
        <f>IFERROR(__xludf.DUMMYFUNCTION("""COMPUTED_VALUE"""),"#VALUE!")</f>
        <v>#VALUE!</v>
      </c>
      <c r="AZ167" s="674" t="str">
        <f>IFERROR(__xludf.DUMMYFUNCTION("""COMPUTED_VALUE"""),"#VALUE!")</f>
        <v>#VALUE!</v>
      </c>
      <c r="BA167" s="688" t="str">
        <f>IFERROR(__xludf.DUMMYFUNCTION("""COMPUTED_VALUE"""),"#VALUE!")</f>
        <v>#VALUE!</v>
      </c>
      <c r="BB167" s="688" t="str">
        <f>IFERROR(__xludf.DUMMYFUNCTION("""COMPUTED_VALUE"""),"-")</f>
        <v>-</v>
      </c>
      <c r="BC167" s="688" t="str">
        <f>IFERROR(__xludf.DUMMYFUNCTION("""COMPUTED_VALUE"""),"#VALUE!")</f>
        <v>#VALUE!</v>
      </c>
      <c r="BD167" s="688" t="str">
        <f>IFERROR(__xludf.DUMMYFUNCTION("""COMPUTED_VALUE"""),"#VALUE!")</f>
        <v>#VALUE!</v>
      </c>
      <c r="BE167" s="674" t="str">
        <f>IFERROR(__xludf.DUMMYFUNCTION("""COMPUTED_VALUE"""),"#VALUE!")</f>
        <v>#VALUE!</v>
      </c>
      <c r="BF167" s="674">
        <f>IFERROR(__xludf.DUMMYFUNCTION("""COMPUTED_VALUE"""),0.0)</f>
        <v>0</v>
      </c>
      <c r="BG167" s="673">
        <f>IFERROR(__xludf.DUMMYFUNCTION("""COMPUTED_VALUE"""),0.0)</f>
        <v>0</v>
      </c>
      <c r="BH167" s="673">
        <f>IFERROR(__xludf.DUMMYFUNCTION("""COMPUTED_VALUE"""),0.3)</f>
        <v>0.3</v>
      </c>
      <c r="BI167" s="673">
        <f>IFERROR(__xludf.DUMMYFUNCTION("""COMPUTED_VALUE"""),0.0)</f>
        <v>0</v>
      </c>
      <c r="BJ167" s="673">
        <f>IFERROR(__xludf.DUMMYFUNCTION("""COMPUTED_VALUE"""),0.0)</f>
        <v>0</v>
      </c>
      <c r="BK167" s="673">
        <f>IFERROR(__xludf.DUMMYFUNCTION("""COMPUTED_VALUE"""),0.0)</f>
        <v>0</v>
      </c>
      <c r="BL167" s="673">
        <f>IFERROR(__xludf.DUMMYFUNCTION("""COMPUTED_VALUE"""),0.0)</f>
        <v>0</v>
      </c>
      <c r="BM167" s="674">
        <f>IFERROR(__xludf.DUMMYFUNCTION("""COMPUTED_VALUE"""),0.0)</f>
        <v>0</v>
      </c>
      <c r="BN167" s="674">
        <f>IFERROR(__xludf.DUMMYFUNCTION("""COMPUTED_VALUE"""),0.0)</f>
        <v>0</v>
      </c>
      <c r="BO167" s="675">
        <f>IFERROR(__xludf.DUMMYFUNCTION("""COMPUTED_VALUE"""),0.0)</f>
        <v>0</v>
      </c>
      <c r="BP167" s="675">
        <f>IFERROR(__xludf.DUMMYFUNCTION("""COMPUTED_VALUE"""),0.0)</f>
        <v>0</v>
      </c>
      <c r="BQ167" s="139"/>
      <c r="BR167" s="139">
        <f>IFERROR(__xludf.DUMMYFUNCTION("""COMPUTED_VALUE"""),2.0)</f>
        <v>2</v>
      </c>
      <c r="BS167" s="139" t="str">
        <f>IFERROR(__xludf.DUMMYFUNCTION("""COMPUTED_VALUE"""),"※移動を入力！(BV列)")</f>
        <v>※移動を入力！(BV列)</v>
      </c>
      <c r="BT167" s="139" t="str">
        <f>IFERROR(__xludf.DUMMYFUNCTION("""COMPUTED_VALUE"""),"※攻撃手段を入力(BQ列)")</f>
        <v>※攻撃手段を入力(BQ列)</v>
      </c>
      <c r="BU167" s="139">
        <f>IFERROR(__xludf.DUMMYFUNCTION("""COMPUTED_VALUE"""),0.0)</f>
        <v>0</v>
      </c>
      <c r="BV167" s="139"/>
      <c r="BW167" s="139"/>
      <c r="BX167" s="139" t="str">
        <f>IFERROR(__xludf.DUMMYFUNCTION("""COMPUTED_VALUE"""),"※特性を選択!!(BW列)")</f>
        <v>※特性を選択!!(BW列)</v>
      </c>
      <c r="BY167" s="139">
        <f>IFERROR(__xludf.DUMMYFUNCTION("""COMPUTED_VALUE"""),0.0)</f>
        <v>0</v>
      </c>
      <c r="BZ167" s="139"/>
      <c r="CA167" s="139" t="str">
        <f>IFERROR(__xludf.DUMMYFUNCTION("""COMPUTED_VALUE"""),"※特性を選択!!(BW列)")</f>
        <v>※特性を選択!!(BW列)</v>
      </c>
      <c r="CB167" s="139">
        <f>IFERROR(__xludf.DUMMYFUNCTION("""COMPUTED_VALUE"""),4.0)</f>
        <v>4</v>
      </c>
      <c r="CC167" s="139" t="str">
        <f>IFERROR(__xludf.DUMMYFUNCTION("""COMPUTED_VALUE"""),"※ID管理未記入")</f>
        <v>※ID管理未記入</v>
      </c>
      <c r="CD167" s="139"/>
      <c r="CE167" s="139" t="str">
        <f>IFERROR(__xludf.DUMMYFUNCTION("""COMPUTED_VALUE"""),"該当なし")</f>
        <v>該当なし</v>
      </c>
      <c r="CF167" s="139" t="str">
        <f>IFERROR(__xludf.DUMMYFUNCTION("""COMPUTED_VALUE"""),"#VALUE!")</f>
        <v>#VALUE!</v>
      </c>
      <c r="CG167" s="139"/>
      <c r="CH167" s="139"/>
      <c r="CI167" s="139" t="str">
        <f>IFERROR(__xludf.DUMMYFUNCTION("""COMPUTED_VALUE"""),"該当なし")</f>
        <v>該当なし</v>
      </c>
      <c r="CJ167" s="139" t="str">
        <f>IFERROR(__xludf.DUMMYFUNCTION("""COMPUTED_VALUE"""),"#VALUE!")</f>
        <v>#VALUE!</v>
      </c>
      <c r="CK167" s="139"/>
      <c r="CL167" s="139"/>
      <c r="CM167" s="139"/>
      <c r="CN167" s="675">
        <f>IFERROR(__xludf.DUMMYFUNCTION("""COMPUTED_VALUE"""),5.0)</f>
        <v>5</v>
      </c>
      <c r="CO167" s="139" t="str">
        <f>IFERROR(__xludf.DUMMYFUNCTION("""COMPUTED_VALUE"""),"-")</f>
        <v>-</v>
      </c>
      <c r="CP167" s="139" t="str">
        <f>IFERROR(__xludf.DUMMYFUNCTION("""COMPUTED_VALUE"""),"-")</f>
        <v>-</v>
      </c>
      <c r="CQ167" s="139" t="str">
        <f>IFERROR(__xludf.DUMMYFUNCTION("""COMPUTED_VALUE"""),"-")</f>
        <v>-</v>
      </c>
      <c r="CR167" s="139"/>
      <c r="CS167" s="139"/>
      <c r="CT167" s="139"/>
      <c r="CU167" s="139"/>
      <c r="CV167" s="139"/>
      <c r="CW167" s="139"/>
      <c r="CX167" s="674" t="str">
        <f>IFERROR(__xludf.DUMMYFUNCTION("""COMPUTED_VALUE"""),"")</f>
        <v/>
      </c>
      <c r="CY167" s="675" t="str">
        <f>IFERROR(__xludf.DUMMYFUNCTION("""COMPUTED_VALUE"""),"")</f>
        <v/>
      </c>
      <c r="CZ167" s="688" t="str">
        <f>IFERROR(__xludf.DUMMYFUNCTION("""COMPUTED_VALUE"""),"-")</f>
        <v>-</v>
      </c>
      <c r="DA167" s="688">
        <f>IFERROR(__xludf.DUMMYFUNCTION("""COMPUTED_VALUE"""),0.0)</f>
        <v>0</v>
      </c>
      <c r="DB167" s="688">
        <f>IFERROR(__xludf.DUMMYFUNCTION("""COMPUTED_VALUE"""),0.0)</f>
        <v>0</v>
      </c>
      <c r="DC167" s="673" t="str">
        <f>IFERROR(__xludf.DUMMYFUNCTION("""COMPUTED_VALUE"""),"-")</f>
        <v>-</v>
      </c>
      <c r="DD167" s="673" t="str">
        <f>IFERROR(__xludf.DUMMYFUNCTION("""COMPUTED_VALUE"""),"-")</f>
        <v>-</v>
      </c>
      <c r="DE167" s="139" t="str">
        <f>IFERROR(__xludf.DUMMYFUNCTION("""COMPUTED_VALUE"""),"-")</f>
        <v>-</v>
      </c>
      <c r="DF167" s="139" t="str">
        <f>IFERROR(__xludf.DUMMYFUNCTION("""COMPUTED_VALUE"""),"-")</f>
        <v>-</v>
      </c>
      <c r="DG167" s="139" t="str">
        <f>IFERROR(__xludf.DUMMYFUNCTION("""COMPUTED_VALUE"""),"-")</f>
        <v>-</v>
      </c>
      <c r="DH167" s="139" t="str">
        <f>IFERROR(__xludf.DUMMYFUNCTION("""COMPUTED_VALUE"""),"-")</f>
        <v>-</v>
      </c>
      <c r="DI167" s="139" t="str">
        <f>IFERROR(__xludf.DUMMYFUNCTION("""COMPUTED_VALUE"""),"-")</f>
        <v>-</v>
      </c>
      <c r="DJ167" s="139" t="str">
        <f>IFERROR(__xludf.DUMMYFUNCTION("""COMPUTED_VALUE"""),"-")</f>
        <v>-</v>
      </c>
    </row>
    <row r="168">
      <c r="A168" s="139" t="str">
        <f>IFERROR(__xludf.DUMMYFUNCTION("""COMPUTED_VALUE"""),"サンキューピッチ")</f>
        <v>サンキューピッチ</v>
      </c>
      <c r="B168" s="139" t="str">
        <f>IFERROR(__xludf.DUMMYFUNCTION("""COMPUTED_VALUE"""),"三馬 正磨")</f>
        <v>三馬 正磨</v>
      </c>
      <c r="C168" s="139" t="str">
        <f>IFERROR(__xludf.DUMMYFUNCTION("""COMPUTED_VALUE"""),"chara_san_00101")</f>
        <v>chara_san_00101</v>
      </c>
      <c r="D168" s="139" t="str">
        <f>IFERROR(__xludf.DUMMYFUNCTION("""COMPUTED_VALUE"""),"DropSR")</f>
        <v>DropSR</v>
      </c>
      <c r="E168" s="139" t="str">
        <f>IFERROR(__xludf.DUMMYFUNCTION("""COMPUTED_VALUE"""),"赤")</f>
        <v>赤</v>
      </c>
      <c r="F168" s="139" t="str">
        <f>IFERROR(__xludf.DUMMYFUNCTION("""COMPUTED_VALUE"""),"アタック")</f>
        <v>アタック</v>
      </c>
      <c r="G168" s="139" t="str">
        <f>IFERROR(__xludf.DUMMYFUNCTION("""COMPUTED_VALUE"""),"※ID管理未記入")</f>
        <v>※ID管理未記入</v>
      </c>
      <c r="H168" s="139" t="str">
        <f>IFERROR(__xludf.DUMMYFUNCTION("""COMPUTED_VALUE"""),"※ID管理未記入")</f>
        <v>※ID管理未記入</v>
      </c>
      <c r="I168" s="139" t="str">
        <f>IFERROR(__xludf.DUMMYFUNCTION("""COMPUTED_VALUE"""),"※ID管理未記入")</f>
        <v>※ID管理未記入</v>
      </c>
      <c r="J168" s="139" t="str">
        <f>IFERROR(__xludf.DUMMYFUNCTION("""COMPUTED_VALUE"""),"プラン確認")</f>
        <v>プラン確認</v>
      </c>
      <c r="K168" s="139" t="str">
        <f>IFERROR(__xludf.DUMMYFUNCTION("""COMPUTED_VALUE"""),"※ID管理未記入")</f>
        <v>※ID管理未記入</v>
      </c>
      <c r="L168" s="139" t="str">
        <f>IFERROR(__xludf.DUMMYFUNCTION("""COMPUTED_VALUE"""),"※")</f>
        <v>※</v>
      </c>
      <c r="M168" s="674">
        <f>IFERROR(__xludf.DUMMYFUNCTION("""COMPUTED_VALUE"""),0.0)</f>
        <v>0</v>
      </c>
      <c r="N168" s="139">
        <f>IFERROR(__xludf.DUMMYFUNCTION("""COMPUTED_VALUE"""),0.0)</f>
        <v>0</v>
      </c>
      <c r="O168" s="139"/>
      <c r="P168" s="139">
        <f>IFERROR(__xludf.DUMMYFUNCTION("""COMPUTED_VALUE"""),0.0)</f>
        <v>0</v>
      </c>
      <c r="Q168" s="675">
        <f>IFERROR(__xludf.DUMMYFUNCTION("""COMPUTED_VALUE"""),0.0)</f>
        <v>0</v>
      </c>
      <c r="R168" s="675">
        <f>IFERROR(__xludf.DUMMYFUNCTION("""COMPUTED_VALUE"""),0.0)</f>
        <v>0</v>
      </c>
      <c r="S168" s="675">
        <f>IFERROR(__xludf.DUMMYFUNCTION("""COMPUTED_VALUE"""),-2.5)</f>
        <v>-2.5</v>
      </c>
      <c r="T168" s="674">
        <f>IFERROR(__xludf.DUMMYFUNCTION("""COMPUTED_VALUE"""),225.0)</f>
        <v>225</v>
      </c>
      <c r="U168" s="675">
        <f>IFERROR(__xludf.DUMMYFUNCTION("""COMPUTED_VALUE"""),4.5)</f>
        <v>4.5</v>
      </c>
      <c r="V168" s="675">
        <f>IFERROR(__xludf.DUMMYFUNCTION("""COMPUTED_VALUE"""),0.0)</f>
        <v>0</v>
      </c>
      <c r="W168" s="675">
        <f>IFERROR(__xludf.DUMMYFUNCTION("""COMPUTED_VALUE"""),0.0)</f>
        <v>0</v>
      </c>
      <c r="X168" s="675">
        <f>IFERROR(__xludf.DUMMYFUNCTION("""COMPUTED_VALUE"""),0.0)</f>
        <v>0</v>
      </c>
      <c r="Y168" s="674">
        <f>IFERROR(__xludf.DUMMYFUNCTION("""COMPUTED_VALUE"""),100.0)</f>
        <v>100</v>
      </c>
      <c r="Z168" s="675">
        <f>IFERROR(__xludf.DUMMYFUNCTION("""COMPUTED_VALUE"""),2.0)</f>
        <v>2</v>
      </c>
      <c r="AA168" s="675">
        <f>IFERROR(__xludf.DUMMYFUNCTION("""COMPUTED_VALUE"""),0.0)</f>
        <v>0</v>
      </c>
      <c r="AB168" s="673">
        <f>IFERROR(__xludf.DUMMYFUNCTION("""COMPUTED_VALUE"""),0.0)</f>
        <v>0</v>
      </c>
      <c r="AC168" s="675">
        <f>IFERROR(__xludf.DUMMYFUNCTION("""COMPUTED_VALUE"""),0.0)</f>
        <v>0</v>
      </c>
      <c r="AD168" s="674">
        <f>IFERROR(__xludf.DUMMYFUNCTION("""COMPUTED_VALUE"""),250.0)</f>
        <v>250</v>
      </c>
      <c r="AE168" s="675">
        <f>IFERROR(__xludf.DUMMYFUNCTION("""COMPUTED_VALUE"""),5.0)</f>
        <v>5</v>
      </c>
      <c r="AF168" s="675">
        <f>IFERROR(__xludf.DUMMYFUNCTION("""COMPUTED_VALUE"""),0.0)</f>
        <v>0</v>
      </c>
      <c r="AG168" s="673">
        <f>IFERROR(__xludf.DUMMYFUNCTION("""COMPUTED_VALUE"""),0.0)</f>
        <v>0</v>
      </c>
      <c r="AH168" s="675">
        <f>IFERROR(__xludf.DUMMYFUNCTION("""COMPUTED_VALUE"""),0.0)</f>
        <v>0</v>
      </c>
      <c r="AI168" s="139" t="str">
        <f>IFERROR(__xludf.DUMMYFUNCTION("""COMPUTED_VALUE"""),"-")</f>
        <v>-</v>
      </c>
      <c r="AJ168" s="675" t="str">
        <f>IFERROR(__xludf.DUMMYFUNCTION("""COMPUTED_VALUE"""),"-")</f>
        <v>-</v>
      </c>
      <c r="AK168" s="139">
        <f>IFERROR(__xludf.DUMMYFUNCTION("""COMPUTED_VALUE"""),0.0)</f>
        <v>0</v>
      </c>
      <c r="AL168" s="674">
        <f>IFERROR(__xludf.DUMMYFUNCTION("""COMPUTED_VALUE"""),0.0)</f>
        <v>0</v>
      </c>
      <c r="AM168" s="688">
        <f>IFERROR(__xludf.DUMMYFUNCTION("""COMPUTED_VALUE"""),0.0)</f>
        <v>0</v>
      </c>
      <c r="AN168" s="675">
        <f>IFERROR(__xludf.DUMMYFUNCTION("""COMPUTED_VALUE"""),0.0)</f>
        <v>0</v>
      </c>
      <c r="AO168" s="675">
        <f>IFERROR(__xludf.DUMMYFUNCTION("""COMPUTED_VALUE"""),0.0)</f>
        <v>0</v>
      </c>
      <c r="AP168" s="674">
        <f>IFERROR(__xludf.DUMMYFUNCTION("""COMPUTED_VALUE"""),0.0)</f>
        <v>0</v>
      </c>
      <c r="AQ168" s="673">
        <f>IFERROR(__xludf.DUMMYFUNCTION("""COMPUTED_VALUE"""),-0.2)</f>
        <v>-0.2</v>
      </c>
      <c r="AR168" s="673">
        <f>IFERROR(__xludf.DUMMYFUNCTION("""COMPUTED_VALUE"""),0.0)</f>
        <v>0</v>
      </c>
      <c r="AS168" s="673">
        <f>IFERROR(__xludf.DUMMYFUNCTION("""COMPUTED_VALUE"""),0.0)</f>
        <v>0</v>
      </c>
      <c r="AT168" s="673">
        <f>IFERROR(__xludf.DUMMYFUNCTION("""COMPUTED_VALUE"""),0.0)</f>
        <v>0</v>
      </c>
      <c r="AU168" s="675">
        <f>IFERROR(__xludf.DUMMYFUNCTION("""COMPUTED_VALUE"""),0.0)</f>
        <v>0</v>
      </c>
      <c r="AV168" s="675">
        <f>IFERROR(__xludf.DUMMYFUNCTION("""COMPUTED_VALUE"""),0.0)</f>
        <v>0</v>
      </c>
      <c r="AW168" s="139"/>
      <c r="AX168" s="674" t="str">
        <f>IFERROR(__xludf.DUMMYFUNCTION("""COMPUTED_VALUE"""),"※通常攻撃範囲を入力！(CD列)")</f>
        <v>※通常攻撃範囲を入力！(CD列)</v>
      </c>
      <c r="AY168" s="688" t="str">
        <f>IFERROR(__xludf.DUMMYFUNCTION("""COMPUTED_VALUE"""),"#VALUE!")</f>
        <v>#VALUE!</v>
      </c>
      <c r="AZ168" s="674" t="str">
        <f>IFERROR(__xludf.DUMMYFUNCTION("""COMPUTED_VALUE"""),"#VALUE!")</f>
        <v>#VALUE!</v>
      </c>
      <c r="BA168" s="688" t="str">
        <f>IFERROR(__xludf.DUMMYFUNCTION("""COMPUTED_VALUE"""),"#VALUE!")</f>
        <v>#VALUE!</v>
      </c>
      <c r="BB168" s="688" t="str">
        <f>IFERROR(__xludf.DUMMYFUNCTION("""COMPUTED_VALUE"""),"-")</f>
        <v>-</v>
      </c>
      <c r="BC168" s="688" t="str">
        <f>IFERROR(__xludf.DUMMYFUNCTION("""COMPUTED_VALUE"""),"#VALUE!")</f>
        <v>#VALUE!</v>
      </c>
      <c r="BD168" s="688" t="str">
        <f>IFERROR(__xludf.DUMMYFUNCTION("""COMPUTED_VALUE"""),"#VALUE!")</f>
        <v>#VALUE!</v>
      </c>
      <c r="BE168" s="674" t="str">
        <f>IFERROR(__xludf.DUMMYFUNCTION("""COMPUTED_VALUE"""),"#VALUE!")</f>
        <v>#VALUE!</v>
      </c>
      <c r="BF168" s="674">
        <f>IFERROR(__xludf.DUMMYFUNCTION("""COMPUTED_VALUE"""),0.0)</f>
        <v>0</v>
      </c>
      <c r="BG168" s="673">
        <f>IFERROR(__xludf.DUMMYFUNCTION("""COMPUTED_VALUE"""),0.0)</f>
        <v>0</v>
      </c>
      <c r="BH168" s="673">
        <f>IFERROR(__xludf.DUMMYFUNCTION("""COMPUTED_VALUE"""),0.3)</f>
        <v>0.3</v>
      </c>
      <c r="BI168" s="673">
        <f>IFERROR(__xludf.DUMMYFUNCTION("""COMPUTED_VALUE"""),0.1)</f>
        <v>0.1</v>
      </c>
      <c r="BJ168" s="673">
        <f>IFERROR(__xludf.DUMMYFUNCTION("""COMPUTED_VALUE"""),0.0)</f>
        <v>0</v>
      </c>
      <c r="BK168" s="673">
        <f>IFERROR(__xludf.DUMMYFUNCTION("""COMPUTED_VALUE"""),0.0)</f>
        <v>0</v>
      </c>
      <c r="BL168" s="673">
        <f>IFERROR(__xludf.DUMMYFUNCTION("""COMPUTED_VALUE"""),0.0)</f>
        <v>0</v>
      </c>
      <c r="BM168" s="674">
        <f>IFERROR(__xludf.DUMMYFUNCTION("""COMPUTED_VALUE"""),0.0)</f>
        <v>0</v>
      </c>
      <c r="BN168" s="674">
        <f>IFERROR(__xludf.DUMMYFUNCTION("""COMPUTED_VALUE"""),0.0)</f>
        <v>0</v>
      </c>
      <c r="BO168" s="675">
        <f>IFERROR(__xludf.DUMMYFUNCTION("""COMPUTED_VALUE"""),0.0)</f>
        <v>0</v>
      </c>
      <c r="BP168" s="675">
        <f>IFERROR(__xludf.DUMMYFUNCTION("""COMPUTED_VALUE"""),0.0)</f>
        <v>0</v>
      </c>
      <c r="BQ168" s="139"/>
      <c r="BR168" s="139">
        <f>IFERROR(__xludf.DUMMYFUNCTION("""COMPUTED_VALUE"""),2.0)</f>
        <v>2</v>
      </c>
      <c r="BS168" s="139" t="str">
        <f>IFERROR(__xludf.DUMMYFUNCTION("""COMPUTED_VALUE"""),"※移動を入力！(BV列)")</f>
        <v>※移動を入力！(BV列)</v>
      </c>
      <c r="BT168" s="139" t="str">
        <f>IFERROR(__xludf.DUMMYFUNCTION("""COMPUTED_VALUE"""),"※攻撃手段を入力(BQ列)")</f>
        <v>※攻撃手段を入力(BQ列)</v>
      </c>
      <c r="BU168" s="139">
        <f>IFERROR(__xludf.DUMMYFUNCTION("""COMPUTED_VALUE"""),0.0)</f>
        <v>0</v>
      </c>
      <c r="BV168" s="139"/>
      <c r="BW168" s="139"/>
      <c r="BX168" s="139" t="str">
        <f>IFERROR(__xludf.DUMMYFUNCTION("""COMPUTED_VALUE"""),"※特性を選択!!(BW列)")</f>
        <v>※特性を選択!!(BW列)</v>
      </c>
      <c r="BY168" s="139">
        <f>IFERROR(__xludf.DUMMYFUNCTION("""COMPUTED_VALUE"""),2.0)</f>
        <v>2</v>
      </c>
      <c r="BZ168" s="139"/>
      <c r="CA168" s="139" t="str">
        <f>IFERROR(__xludf.DUMMYFUNCTION("""COMPUTED_VALUE"""),"※特性を選択!!(BW列)")</f>
        <v>※特性を選択!!(BW列)</v>
      </c>
      <c r="CB168" s="139" t="str">
        <f>IFERROR(__xludf.DUMMYFUNCTION("""COMPUTED_VALUE"""),"-")</f>
        <v>-</v>
      </c>
      <c r="CC168" s="139" t="str">
        <f>IFERROR(__xludf.DUMMYFUNCTION("""COMPUTED_VALUE"""),"※ID管理未記入")</f>
        <v>※ID管理未記入</v>
      </c>
      <c r="CD168" s="139"/>
      <c r="CE168" s="139" t="str">
        <f>IFERROR(__xludf.DUMMYFUNCTION("""COMPUTED_VALUE"""),"該当なし")</f>
        <v>該当なし</v>
      </c>
      <c r="CF168" s="139" t="str">
        <f>IFERROR(__xludf.DUMMYFUNCTION("""COMPUTED_VALUE"""),"#VALUE!")</f>
        <v>#VALUE!</v>
      </c>
      <c r="CG168" s="139"/>
      <c r="CH168" s="139"/>
      <c r="CI168" s="139" t="str">
        <f>IFERROR(__xludf.DUMMYFUNCTION("""COMPUTED_VALUE"""),"該当なし")</f>
        <v>該当なし</v>
      </c>
      <c r="CJ168" s="139" t="str">
        <f>IFERROR(__xludf.DUMMYFUNCTION("""COMPUTED_VALUE"""),"#VALUE!")</f>
        <v>#VALUE!</v>
      </c>
      <c r="CK168" s="139"/>
      <c r="CL168" s="139"/>
      <c r="CM168" s="139"/>
      <c r="CN168" s="675">
        <f>IFERROR(__xludf.DUMMYFUNCTION("""COMPUTED_VALUE"""),5.0)</f>
        <v>5</v>
      </c>
      <c r="CO168" s="139" t="str">
        <f>IFERROR(__xludf.DUMMYFUNCTION("""COMPUTED_VALUE"""),"-")</f>
        <v>-</v>
      </c>
      <c r="CP168" s="139" t="str">
        <f>IFERROR(__xludf.DUMMYFUNCTION("""COMPUTED_VALUE"""),"-")</f>
        <v>-</v>
      </c>
      <c r="CQ168" s="139" t="str">
        <f>IFERROR(__xludf.DUMMYFUNCTION("""COMPUTED_VALUE"""),"-")</f>
        <v>-</v>
      </c>
      <c r="CR168" s="139"/>
      <c r="CS168" s="139"/>
      <c r="CT168" s="139"/>
      <c r="CU168" s="139"/>
      <c r="CV168" s="139"/>
      <c r="CW168" s="139"/>
      <c r="CX168" s="674" t="str">
        <f>IFERROR(__xludf.DUMMYFUNCTION("""COMPUTED_VALUE"""),"")</f>
        <v/>
      </c>
      <c r="CY168" s="675" t="str">
        <f>IFERROR(__xludf.DUMMYFUNCTION("""COMPUTED_VALUE"""),"")</f>
        <v/>
      </c>
      <c r="CZ168" s="688" t="str">
        <f>IFERROR(__xludf.DUMMYFUNCTION("""COMPUTED_VALUE"""),"-")</f>
        <v>-</v>
      </c>
      <c r="DA168" s="688">
        <f>IFERROR(__xludf.DUMMYFUNCTION("""COMPUTED_VALUE"""),0.0)</f>
        <v>0</v>
      </c>
      <c r="DB168" s="688">
        <f>IFERROR(__xludf.DUMMYFUNCTION("""COMPUTED_VALUE"""),0.0)</f>
        <v>0</v>
      </c>
      <c r="DC168" s="673" t="str">
        <f>IFERROR(__xludf.DUMMYFUNCTION("""COMPUTED_VALUE"""),"-")</f>
        <v>-</v>
      </c>
      <c r="DD168" s="673" t="str">
        <f>IFERROR(__xludf.DUMMYFUNCTION("""COMPUTED_VALUE"""),"-")</f>
        <v>-</v>
      </c>
      <c r="DE168" s="139" t="str">
        <f>IFERROR(__xludf.DUMMYFUNCTION("""COMPUTED_VALUE"""),"-")</f>
        <v>-</v>
      </c>
      <c r="DF168" s="139" t="str">
        <f>IFERROR(__xludf.DUMMYFUNCTION("""COMPUTED_VALUE"""),"-")</f>
        <v>-</v>
      </c>
      <c r="DG168" s="139" t="str">
        <f>IFERROR(__xludf.DUMMYFUNCTION("""COMPUTED_VALUE"""),"-")</f>
        <v>-</v>
      </c>
      <c r="DH168" s="139" t="str">
        <f>IFERROR(__xludf.DUMMYFUNCTION("""COMPUTED_VALUE"""),"-")</f>
        <v>-</v>
      </c>
      <c r="DI168" s="139" t="str">
        <f>IFERROR(__xludf.DUMMYFUNCTION("""COMPUTED_VALUE"""),"-")</f>
        <v>-</v>
      </c>
      <c r="DJ168" s="139" t="str">
        <f>IFERROR(__xludf.DUMMYFUNCTION("""COMPUTED_VALUE"""),"-")</f>
        <v>-</v>
      </c>
    </row>
    <row r="169">
      <c r="A169" s="139" t="str">
        <f>IFERROR(__xludf.DUMMYFUNCTION("""COMPUTED_VALUE"""),"正反対な君と僕")</f>
        <v>正反対な君と僕</v>
      </c>
      <c r="B169" s="139" t="str">
        <f>IFERROR(__xludf.DUMMYFUNCTION("""COMPUTED_VALUE"""),"(仮)鈴木 みゆ")</f>
        <v>(仮)鈴木 みゆ</v>
      </c>
      <c r="C169" s="139" t="str">
        <f>IFERROR(__xludf.DUMMYFUNCTION("""COMPUTED_VALUE"""),"chara_sei_00001")</f>
        <v>chara_sei_00001</v>
      </c>
      <c r="D169" s="139" t="str">
        <f>IFERROR(__xludf.DUMMYFUNCTION("""COMPUTED_VALUE"""),"PremiumUR")</f>
        <v>PremiumUR</v>
      </c>
      <c r="E169" s="139" t="str">
        <f>IFERROR(__xludf.DUMMYFUNCTION("""COMPUTED_VALUE"""),"赤")</f>
        <v>赤</v>
      </c>
      <c r="F169" s="139" t="str">
        <f>IFERROR(__xludf.DUMMYFUNCTION("""COMPUTED_VALUE"""),"ディフェンス")</f>
        <v>ディフェンス</v>
      </c>
      <c r="G169" s="139" t="str">
        <f>IFERROR(__xludf.DUMMYFUNCTION("""COMPUTED_VALUE"""),"※ID管理未記入")</f>
        <v>※ID管理未記入</v>
      </c>
      <c r="H169" s="139" t="str">
        <f>IFERROR(__xludf.DUMMYFUNCTION("""COMPUTED_VALUE"""),"※ID管理未記入")</f>
        <v>※ID管理未記入</v>
      </c>
      <c r="I169" s="139" t="str">
        <f>IFERROR(__xludf.DUMMYFUNCTION("""COMPUTED_VALUE"""),"※ID管理未記入")</f>
        <v>※ID管理未記入</v>
      </c>
      <c r="J169" s="139" t="str">
        <f>IFERROR(__xludf.DUMMYFUNCTION("""COMPUTED_VALUE"""),"プラン確認")</f>
        <v>プラン確認</v>
      </c>
      <c r="K169" s="139" t="str">
        <f>IFERROR(__xludf.DUMMYFUNCTION("""COMPUTED_VALUE"""),"※ID管理未記入")</f>
        <v>※ID管理未記入</v>
      </c>
      <c r="L169" s="139" t="str">
        <f>IFERROR(__xludf.DUMMYFUNCTION("""COMPUTED_VALUE"""),"※")</f>
        <v>※</v>
      </c>
      <c r="M169" s="674">
        <f>IFERROR(__xludf.DUMMYFUNCTION("""COMPUTED_VALUE"""),0.0)</f>
        <v>0</v>
      </c>
      <c r="N169" s="139">
        <f>IFERROR(__xludf.DUMMYFUNCTION("""COMPUTED_VALUE"""),0.0)</f>
        <v>0</v>
      </c>
      <c r="O169" s="139"/>
      <c r="P169" s="139">
        <f>IFERROR(__xludf.DUMMYFUNCTION("""COMPUTED_VALUE"""),0.0)</f>
        <v>0</v>
      </c>
      <c r="Q169" s="675">
        <f>IFERROR(__xludf.DUMMYFUNCTION("""COMPUTED_VALUE"""),0.0)</f>
        <v>0</v>
      </c>
      <c r="R169" s="675">
        <f>IFERROR(__xludf.DUMMYFUNCTION("""COMPUTED_VALUE"""),0.0)</f>
        <v>0</v>
      </c>
      <c r="S169" s="675">
        <f>IFERROR(__xludf.DUMMYFUNCTION("""COMPUTED_VALUE"""),-2.5)</f>
        <v>-2.5</v>
      </c>
      <c r="T169" s="674">
        <f>IFERROR(__xludf.DUMMYFUNCTION("""COMPUTED_VALUE"""),225.0)</f>
        <v>225</v>
      </c>
      <c r="U169" s="675">
        <f>IFERROR(__xludf.DUMMYFUNCTION("""COMPUTED_VALUE"""),4.5)</f>
        <v>4.5</v>
      </c>
      <c r="V169" s="675">
        <f>IFERROR(__xludf.DUMMYFUNCTION("""COMPUTED_VALUE"""),0.0)</f>
        <v>0</v>
      </c>
      <c r="W169" s="675">
        <f>IFERROR(__xludf.DUMMYFUNCTION("""COMPUTED_VALUE"""),0.0)</f>
        <v>0</v>
      </c>
      <c r="X169" s="675">
        <f>IFERROR(__xludf.DUMMYFUNCTION("""COMPUTED_VALUE"""),0.0)</f>
        <v>0</v>
      </c>
      <c r="Y169" s="674">
        <f>IFERROR(__xludf.DUMMYFUNCTION("""COMPUTED_VALUE"""),100.0)</f>
        <v>100</v>
      </c>
      <c r="Z169" s="675">
        <f>IFERROR(__xludf.DUMMYFUNCTION("""COMPUTED_VALUE"""),2.0)</f>
        <v>2</v>
      </c>
      <c r="AA169" s="675">
        <f>IFERROR(__xludf.DUMMYFUNCTION("""COMPUTED_VALUE"""),0.0)</f>
        <v>0</v>
      </c>
      <c r="AB169" s="673">
        <f>IFERROR(__xludf.DUMMYFUNCTION("""COMPUTED_VALUE"""),0.0)</f>
        <v>0</v>
      </c>
      <c r="AC169" s="675">
        <f>IFERROR(__xludf.DUMMYFUNCTION("""COMPUTED_VALUE"""),0.0)</f>
        <v>0</v>
      </c>
      <c r="AD169" s="674">
        <f>IFERROR(__xludf.DUMMYFUNCTION("""COMPUTED_VALUE"""),250.0)</f>
        <v>250</v>
      </c>
      <c r="AE169" s="675">
        <f>IFERROR(__xludf.DUMMYFUNCTION("""COMPUTED_VALUE"""),5.0)</f>
        <v>5</v>
      </c>
      <c r="AF169" s="675">
        <f>IFERROR(__xludf.DUMMYFUNCTION("""COMPUTED_VALUE"""),0.0)</f>
        <v>0</v>
      </c>
      <c r="AG169" s="673">
        <f>IFERROR(__xludf.DUMMYFUNCTION("""COMPUTED_VALUE"""),0.0)</f>
        <v>0</v>
      </c>
      <c r="AH169" s="675">
        <f>IFERROR(__xludf.DUMMYFUNCTION("""COMPUTED_VALUE"""),0.0)</f>
        <v>0</v>
      </c>
      <c r="AI169" s="139" t="str">
        <f>IFERROR(__xludf.DUMMYFUNCTION("""COMPUTED_VALUE"""),"-")</f>
        <v>-</v>
      </c>
      <c r="AJ169" s="675" t="str">
        <f>IFERROR(__xludf.DUMMYFUNCTION("""COMPUTED_VALUE"""),"-")</f>
        <v>-</v>
      </c>
      <c r="AK169" s="139">
        <f>IFERROR(__xludf.DUMMYFUNCTION("""COMPUTED_VALUE"""),0.0)</f>
        <v>0</v>
      </c>
      <c r="AL169" s="674">
        <f>IFERROR(__xludf.DUMMYFUNCTION("""COMPUTED_VALUE"""),0.0)</f>
        <v>0</v>
      </c>
      <c r="AM169" s="688">
        <f>IFERROR(__xludf.DUMMYFUNCTION("""COMPUTED_VALUE"""),0.0)</f>
        <v>0</v>
      </c>
      <c r="AN169" s="675">
        <f>IFERROR(__xludf.DUMMYFUNCTION("""COMPUTED_VALUE"""),0.0)</f>
        <v>0</v>
      </c>
      <c r="AO169" s="675">
        <f>IFERROR(__xludf.DUMMYFUNCTION("""COMPUTED_VALUE"""),0.0)</f>
        <v>0</v>
      </c>
      <c r="AP169" s="674">
        <f>IFERROR(__xludf.DUMMYFUNCTION("""COMPUTED_VALUE"""),0.0)</f>
        <v>0</v>
      </c>
      <c r="AQ169" s="673">
        <f>IFERROR(__xludf.DUMMYFUNCTION("""COMPUTED_VALUE"""),0.9)</f>
        <v>0.9</v>
      </c>
      <c r="AR169" s="673">
        <f>IFERROR(__xludf.DUMMYFUNCTION("""COMPUTED_VALUE"""),0.0)</f>
        <v>0</v>
      </c>
      <c r="AS169" s="673">
        <f>IFERROR(__xludf.DUMMYFUNCTION("""COMPUTED_VALUE"""),0.0)</f>
        <v>0</v>
      </c>
      <c r="AT169" s="673">
        <f>IFERROR(__xludf.DUMMYFUNCTION("""COMPUTED_VALUE"""),0.0)</f>
        <v>0</v>
      </c>
      <c r="AU169" s="675">
        <f>IFERROR(__xludf.DUMMYFUNCTION("""COMPUTED_VALUE"""),0.0)</f>
        <v>0</v>
      </c>
      <c r="AV169" s="675">
        <f>IFERROR(__xludf.DUMMYFUNCTION("""COMPUTED_VALUE"""),0.0)</f>
        <v>0</v>
      </c>
      <c r="AW169" s="139"/>
      <c r="AX169" s="674" t="str">
        <f>IFERROR(__xludf.DUMMYFUNCTION("""COMPUTED_VALUE"""),"※通常攻撃範囲を入力！(CD列)")</f>
        <v>※通常攻撃範囲を入力！(CD列)</v>
      </c>
      <c r="AY169" s="688" t="str">
        <f>IFERROR(__xludf.DUMMYFUNCTION("""COMPUTED_VALUE"""),"#VALUE!")</f>
        <v>#VALUE!</v>
      </c>
      <c r="AZ169" s="674" t="str">
        <f>IFERROR(__xludf.DUMMYFUNCTION("""COMPUTED_VALUE"""),"#VALUE!")</f>
        <v>#VALUE!</v>
      </c>
      <c r="BA169" s="688" t="str">
        <f>IFERROR(__xludf.DUMMYFUNCTION("""COMPUTED_VALUE"""),"#VALUE!")</f>
        <v>#VALUE!</v>
      </c>
      <c r="BB169" s="688" t="str">
        <f>IFERROR(__xludf.DUMMYFUNCTION("""COMPUTED_VALUE"""),"-")</f>
        <v>-</v>
      </c>
      <c r="BC169" s="688" t="str">
        <f>IFERROR(__xludf.DUMMYFUNCTION("""COMPUTED_VALUE"""),"#VALUE!")</f>
        <v>#VALUE!</v>
      </c>
      <c r="BD169" s="688" t="str">
        <f>IFERROR(__xludf.DUMMYFUNCTION("""COMPUTED_VALUE"""),"#VALUE!")</f>
        <v>#VALUE!</v>
      </c>
      <c r="BE169" s="674" t="str">
        <f>IFERROR(__xludf.DUMMYFUNCTION("""COMPUTED_VALUE"""),"#VALUE!")</f>
        <v>#VALUE!</v>
      </c>
      <c r="BF169" s="674">
        <f>IFERROR(__xludf.DUMMYFUNCTION("""COMPUTED_VALUE"""),0.0)</f>
        <v>0</v>
      </c>
      <c r="BG169" s="673">
        <f>IFERROR(__xludf.DUMMYFUNCTION("""COMPUTED_VALUE"""),0.0)</f>
        <v>0</v>
      </c>
      <c r="BH169" s="673">
        <f>IFERROR(__xludf.DUMMYFUNCTION("""COMPUTED_VALUE"""),-0.5)</f>
        <v>-0.5</v>
      </c>
      <c r="BI169" s="673">
        <f>IFERROR(__xludf.DUMMYFUNCTION("""COMPUTED_VALUE"""),0.0)</f>
        <v>0</v>
      </c>
      <c r="BJ169" s="673">
        <f>IFERROR(__xludf.DUMMYFUNCTION("""COMPUTED_VALUE"""),0.0)</f>
        <v>0</v>
      </c>
      <c r="BK169" s="673">
        <f>IFERROR(__xludf.DUMMYFUNCTION("""COMPUTED_VALUE"""),0.0)</f>
        <v>0</v>
      </c>
      <c r="BL169" s="673">
        <f>IFERROR(__xludf.DUMMYFUNCTION("""COMPUTED_VALUE"""),0.0)</f>
        <v>0</v>
      </c>
      <c r="BM169" s="674">
        <f>IFERROR(__xludf.DUMMYFUNCTION("""COMPUTED_VALUE"""),0.0)</f>
        <v>0</v>
      </c>
      <c r="BN169" s="674">
        <f>IFERROR(__xludf.DUMMYFUNCTION("""COMPUTED_VALUE"""),0.0)</f>
        <v>0</v>
      </c>
      <c r="BO169" s="675">
        <f>IFERROR(__xludf.DUMMYFUNCTION("""COMPUTED_VALUE"""),0.0)</f>
        <v>0</v>
      </c>
      <c r="BP169" s="675">
        <f>IFERROR(__xludf.DUMMYFUNCTION("""COMPUTED_VALUE"""),0.0)</f>
        <v>0</v>
      </c>
      <c r="BQ169" s="139"/>
      <c r="BR169" s="139">
        <f>IFERROR(__xludf.DUMMYFUNCTION("""COMPUTED_VALUE"""),1.0)</f>
        <v>1</v>
      </c>
      <c r="BS169" s="139" t="str">
        <f>IFERROR(__xludf.DUMMYFUNCTION("""COMPUTED_VALUE"""),"※移動を入力！(BV列)")</f>
        <v>※移動を入力！(BV列)</v>
      </c>
      <c r="BT169" s="139" t="str">
        <f>IFERROR(__xludf.DUMMYFUNCTION("""COMPUTED_VALUE"""),"※攻撃手段を入力(BQ列)")</f>
        <v>※攻撃手段を入力(BQ列)</v>
      </c>
      <c r="BU169" s="139">
        <f>IFERROR(__xludf.DUMMYFUNCTION("""COMPUTED_VALUE"""),0.0)</f>
        <v>0</v>
      </c>
      <c r="BV169" s="139"/>
      <c r="BW169" s="139"/>
      <c r="BX169" s="139" t="str">
        <f>IFERROR(__xludf.DUMMYFUNCTION("""COMPUTED_VALUE"""),"※特性を選択!!(BW列)")</f>
        <v>※特性を選択!!(BW列)</v>
      </c>
      <c r="BY169" s="139">
        <f>IFERROR(__xludf.DUMMYFUNCTION("""COMPUTED_VALUE"""),0.0)</f>
        <v>0</v>
      </c>
      <c r="BZ169" s="139"/>
      <c r="CA169" s="139" t="str">
        <f>IFERROR(__xludf.DUMMYFUNCTION("""COMPUTED_VALUE"""),"※特性を選択!!(BW列)")</f>
        <v>※特性を選択!!(BW列)</v>
      </c>
      <c r="CB169" s="139">
        <f>IFERROR(__xludf.DUMMYFUNCTION("""COMPUTED_VALUE"""),4.0)</f>
        <v>4</v>
      </c>
      <c r="CC169" s="139" t="str">
        <f>IFERROR(__xludf.DUMMYFUNCTION("""COMPUTED_VALUE"""),"※ID管理未記入")</f>
        <v>※ID管理未記入</v>
      </c>
      <c r="CD169" s="139"/>
      <c r="CE169" s="139" t="str">
        <f>IFERROR(__xludf.DUMMYFUNCTION("""COMPUTED_VALUE"""),"該当なし")</f>
        <v>該当なし</v>
      </c>
      <c r="CF169" s="139" t="str">
        <f>IFERROR(__xludf.DUMMYFUNCTION("""COMPUTED_VALUE"""),"#VALUE!")</f>
        <v>#VALUE!</v>
      </c>
      <c r="CG169" s="139"/>
      <c r="CH169" s="139"/>
      <c r="CI169" s="139" t="str">
        <f>IFERROR(__xludf.DUMMYFUNCTION("""COMPUTED_VALUE"""),"該当なし")</f>
        <v>該当なし</v>
      </c>
      <c r="CJ169" s="139" t="str">
        <f>IFERROR(__xludf.DUMMYFUNCTION("""COMPUTED_VALUE"""),"#VALUE!")</f>
        <v>#VALUE!</v>
      </c>
      <c r="CK169" s="139"/>
      <c r="CL169" s="139"/>
      <c r="CM169" s="139"/>
      <c r="CN169" s="675">
        <f>IFERROR(__xludf.DUMMYFUNCTION("""COMPUTED_VALUE"""),5.0)</f>
        <v>5</v>
      </c>
      <c r="CO169" s="139" t="str">
        <f>IFERROR(__xludf.DUMMYFUNCTION("""COMPUTED_VALUE"""),"-")</f>
        <v>-</v>
      </c>
      <c r="CP169" s="139" t="str">
        <f>IFERROR(__xludf.DUMMYFUNCTION("""COMPUTED_VALUE"""),"-")</f>
        <v>-</v>
      </c>
      <c r="CQ169" s="139" t="str">
        <f>IFERROR(__xludf.DUMMYFUNCTION("""COMPUTED_VALUE"""),"-")</f>
        <v>-</v>
      </c>
      <c r="CR169" s="139"/>
      <c r="CS169" s="139"/>
      <c r="CT169" s="139"/>
      <c r="CU169" s="139"/>
      <c r="CV169" s="139"/>
      <c r="CW169" s="139"/>
      <c r="CX169" s="674" t="str">
        <f>IFERROR(__xludf.DUMMYFUNCTION("""COMPUTED_VALUE"""),"")</f>
        <v/>
      </c>
      <c r="CY169" s="675" t="str">
        <f>IFERROR(__xludf.DUMMYFUNCTION("""COMPUTED_VALUE"""),"")</f>
        <v/>
      </c>
      <c r="CZ169" s="688" t="str">
        <f>IFERROR(__xludf.DUMMYFUNCTION("""COMPUTED_VALUE"""),"-")</f>
        <v>-</v>
      </c>
      <c r="DA169" s="688">
        <f>IFERROR(__xludf.DUMMYFUNCTION("""COMPUTED_VALUE"""),0.0)</f>
        <v>0</v>
      </c>
      <c r="DB169" s="688">
        <f>IFERROR(__xludf.DUMMYFUNCTION("""COMPUTED_VALUE"""),0.0)</f>
        <v>0</v>
      </c>
      <c r="DC169" s="673" t="str">
        <f>IFERROR(__xludf.DUMMYFUNCTION("""COMPUTED_VALUE"""),"-")</f>
        <v>-</v>
      </c>
      <c r="DD169" s="673" t="str">
        <f>IFERROR(__xludf.DUMMYFUNCTION("""COMPUTED_VALUE"""),"-")</f>
        <v>-</v>
      </c>
      <c r="DE169" s="139" t="str">
        <f>IFERROR(__xludf.DUMMYFUNCTION("""COMPUTED_VALUE"""),"-")</f>
        <v>-</v>
      </c>
      <c r="DF169" s="139" t="str">
        <f>IFERROR(__xludf.DUMMYFUNCTION("""COMPUTED_VALUE"""),"-")</f>
        <v>-</v>
      </c>
      <c r="DG169" s="139" t="str">
        <f>IFERROR(__xludf.DUMMYFUNCTION("""COMPUTED_VALUE"""),"-")</f>
        <v>-</v>
      </c>
      <c r="DH169" s="139" t="str">
        <f>IFERROR(__xludf.DUMMYFUNCTION("""COMPUTED_VALUE"""),"-")</f>
        <v>-</v>
      </c>
      <c r="DI169" s="139" t="str">
        <f>IFERROR(__xludf.DUMMYFUNCTION("""COMPUTED_VALUE"""),"-")</f>
        <v>-</v>
      </c>
      <c r="DJ169" s="139" t="str">
        <f>IFERROR(__xludf.DUMMYFUNCTION("""COMPUTED_VALUE"""),"-")</f>
        <v>-</v>
      </c>
    </row>
    <row r="170">
      <c r="A170" s="139" t="str">
        <f>IFERROR(__xludf.DUMMYFUNCTION("""COMPUTED_VALUE"""),"該当なし")</f>
        <v>該当なし</v>
      </c>
      <c r="B170" s="139" t="str">
        <f>IFERROR(__xludf.DUMMYFUNCTION("""COMPUTED_VALUE"""),"該当なし")</f>
        <v>該当なし</v>
      </c>
      <c r="C170" s="139"/>
      <c r="D170" s="139" t="str">
        <f>IFERROR(__xludf.DUMMYFUNCTION("""COMPUTED_VALUE"""),"#N/A")</f>
        <v>#N/A</v>
      </c>
      <c r="E170" s="139" t="str">
        <f>IFERROR(__xludf.DUMMYFUNCTION("""COMPUTED_VALUE"""),"#N/A")</f>
        <v>#N/A</v>
      </c>
      <c r="F170" s="139" t="str">
        <f>IFERROR(__xludf.DUMMYFUNCTION("""COMPUTED_VALUE"""),"#N/A")</f>
        <v>#N/A</v>
      </c>
      <c r="G170" s="139" t="str">
        <f>IFERROR(__xludf.DUMMYFUNCTION("""COMPUTED_VALUE"""),"該当なし")</f>
        <v>該当なし</v>
      </c>
      <c r="H170" s="139" t="str">
        <f>IFERROR(__xludf.DUMMYFUNCTION("""COMPUTED_VALUE"""),"#N/A")</f>
        <v>#N/A</v>
      </c>
      <c r="I170" s="139" t="str">
        <f>IFERROR(__xludf.DUMMYFUNCTION("""COMPUTED_VALUE"""),"#N/A")</f>
        <v>#N/A</v>
      </c>
      <c r="J170" s="139" t="str">
        <f>IFERROR(__xludf.DUMMYFUNCTION("""COMPUTED_VALUE"""),"#N/A")</f>
        <v>#N/A</v>
      </c>
      <c r="K170" s="139" t="str">
        <f>IFERROR(__xludf.DUMMYFUNCTION("""COMPUTED_VALUE"""),"#N/A")</f>
        <v>#N/A</v>
      </c>
      <c r="L170" s="139" t="str">
        <f>IFERROR(__xludf.DUMMYFUNCTION("""COMPUTED_VALUE"""),"※")</f>
        <v>※</v>
      </c>
      <c r="M170" s="674">
        <f>IFERROR(__xludf.DUMMYFUNCTION("""COMPUTED_VALUE"""),0.0)</f>
        <v>0</v>
      </c>
      <c r="N170" s="139">
        <f>IFERROR(__xludf.DUMMYFUNCTION("""COMPUTED_VALUE"""),0.0)</f>
        <v>0</v>
      </c>
      <c r="O170" s="139"/>
      <c r="P170" s="139">
        <f>IFERROR(__xludf.DUMMYFUNCTION("""COMPUTED_VALUE"""),0.0)</f>
        <v>0</v>
      </c>
      <c r="Q170" s="675">
        <f>IFERROR(__xludf.DUMMYFUNCTION("""COMPUTED_VALUE"""),0.0)</f>
        <v>0</v>
      </c>
      <c r="R170" s="675">
        <f>IFERROR(__xludf.DUMMYFUNCTION("""COMPUTED_VALUE"""),0.0)</f>
        <v>0</v>
      </c>
      <c r="S170" s="675">
        <f>IFERROR(__xludf.DUMMYFUNCTION("""COMPUTED_VALUE"""),-2.5)</f>
        <v>-2.5</v>
      </c>
      <c r="T170" s="674" t="str">
        <f>IFERROR(__xludf.DUMMYFUNCTION("""COMPUTED_VALUE"""),"#N/A")</f>
        <v>#N/A</v>
      </c>
      <c r="U170" s="675" t="str">
        <f>IFERROR(__xludf.DUMMYFUNCTION("""COMPUTED_VALUE"""),"#N/A")</f>
        <v>#N/A</v>
      </c>
      <c r="V170" s="675">
        <f>IFERROR(__xludf.DUMMYFUNCTION("""COMPUTED_VALUE"""),0.0)</f>
        <v>0</v>
      </c>
      <c r="W170" s="675" t="str">
        <f>IFERROR(__xludf.DUMMYFUNCTION("""COMPUTED_VALUE"""),"#N/A")</f>
        <v>#N/A</v>
      </c>
      <c r="X170" s="675">
        <f>IFERROR(__xludf.DUMMYFUNCTION("""COMPUTED_VALUE"""),0.0)</f>
        <v>0</v>
      </c>
      <c r="Y170" s="674" t="str">
        <f>IFERROR(__xludf.DUMMYFUNCTION("""COMPUTED_VALUE"""),"#N/A")</f>
        <v>#N/A</v>
      </c>
      <c r="Z170" s="675" t="str">
        <f>IFERROR(__xludf.DUMMYFUNCTION("""COMPUTED_VALUE"""),"#N/A")</f>
        <v>#N/A</v>
      </c>
      <c r="AA170" s="675">
        <f>IFERROR(__xludf.DUMMYFUNCTION("""COMPUTED_VALUE"""),0.0)</f>
        <v>0</v>
      </c>
      <c r="AB170" s="673" t="str">
        <f>IFERROR(__xludf.DUMMYFUNCTION("""COMPUTED_VALUE"""),"#N/A")</f>
        <v>#N/A</v>
      </c>
      <c r="AC170" s="675">
        <f>IFERROR(__xludf.DUMMYFUNCTION("""COMPUTED_VALUE"""),0.0)</f>
        <v>0</v>
      </c>
      <c r="AD170" s="674" t="str">
        <f>IFERROR(__xludf.DUMMYFUNCTION("""COMPUTED_VALUE"""),"#N/A")</f>
        <v>#N/A</v>
      </c>
      <c r="AE170" s="675" t="str">
        <f>IFERROR(__xludf.DUMMYFUNCTION("""COMPUTED_VALUE"""),"#N/A")</f>
        <v>#N/A</v>
      </c>
      <c r="AF170" s="675">
        <f>IFERROR(__xludf.DUMMYFUNCTION("""COMPUTED_VALUE"""),0.0)</f>
        <v>0</v>
      </c>
      <c r="AG170" s="675">
        <f>IFERROR(__xludf.DUMMYFUNCTION("""COMPUTED_VALUE"""),0.0)</f>
        <v>0</v>
      </c>
      <c r="AH170" s="675" t="str">
        <f>IFERROR(__xludf.DUMMYFUNCTION("""COMPUTED_VALUE"""),"#N/A")</f>
        <v>#N/A</v>
      </c>
      <c r="AI170" s="139" t="str">
        <f>IFERROR(__xludf.DUMMYFUNCTION("""COMPUTED_VALUE"""),"#N/A")</f>
        <v>#N/A</v>
      </c>
      <c r="AJ170" s="675" t="str">
        <f>IFERROR(__xludf.DUMMYFUNCTION("""COMPUTED_VALUE"""),"#N/A")</f>
        <v>#N/A</v>
      </c>
      <c r="AK170" s="139" t="str">
        <f>IFERROR(__xludf.DUMMYFUNCTION("""COMPUTED_VALUE"""),"#N/A")</f>
        <v>#N/A</v>
      </c>
      <c r="AL170" s="674" t="str">
        <f>IFERROR(__xludf.DUMMYFUNCTION("""COMPUTED_VALUE"""),"#N/A")</f>
        <v>#N/A</v>
      </c>
      <c r="AM170" s="688" t="str">
        <f>IFERROR(__xludf.DUMMYFUNCTION("""COMPUTED_VALUE"""),"#N/A")</f>
        <v>#N/A</v>
      </c>
      <c r="AN170" s="675" t="str">
        <f>IFERROR(__xludf.DUMMYFUNCTION("""COMPUTED_VALUE"""),"#N/A")</f>
        <v>#N/A</v>
      </c>
      <c r="AO170" s="675" t="str">
        <f>IFERROR(__xludf.DUMMYFUNCTION("""COMPUTED_VALUE"""),"#N/A")</f>
        <v>#N/A</v>
      </c>
      <c r="AP170" s="674">
        <f>IFERROR(__xludf.DUMMYFUNCTION("""COMPUTED_VALUE"""),0.0)</f>
        <v>0</v>
      </c>
      <c r="AQ170" s="673" t="str">
        <f>IFERROR(__xludf.DUMMYFUNCTION("""COMPUTED_VALUE"""),"#N/A")</f>
        <v>#N/A</v>
      </c>
      <c r="AR170" s="673">
        <f>IFERROR(__xludf.DUMMYFUNCTION("""COMPUTED_VALUE"""),0.0)</f>
        <v>0</v>
      </c>
      <c r="AS170" s="673">
        <f>IFERROR(__xludf.DUMMYFUNCTION("""COMPUTED_VALUE"""),0.0)</f>
        <v>0</v>
      </c>
      <c r="AT170" s="673">
        <f>IFERROR(__xludf.DUMMYFUNCTION("""COMPUTED_VALUE"""),0.0)</f>
        <v>0</v>
      </c>
      <c r="AU170" s="675" t="str">
        <f>IFERROR(__xludf.DUMMYFUNCTION("""COMPUTED_VALUE"""),"#N/A")</f>
        <v>#N/A</v>
      </c>
      <c r="AV170" s="675">
        <f>IFERROR(__xludf.DUMMYFUNCTION("""COMPUTED_VALUE"""),0.0)</f>
        <v>0</v>
      </c>
      <c r="AW170" s="139"/>
      <c r="AX170" s="674" t="str">
        <f>IFERROR(__xludf.DUMMYFUNCTION("""COMPUTED_VALUE"""),"※通常攻撃範囲を入力！(CD列)")</f>
        <v>※通常攻撃範囲を入力！(CD列)</v>
      </c>
      <c r="AY170" s="688" t="str">
        <f>IFERROR(__xludf.DUMMYFUNCTION("""COMPUTED_VALUE"""),"#VALUE!")</f>
        <v>#VALUE!</v>
      </c>
      <c r="AZ170" s="674" t="str">
        <f>IFERROR(__xludf.DUMMYFUNCTION("""COMPUTED_VALUE"""),"#N/A")</f>
        <v>#N/A</v>
      </c>
      <c r="BA170" s="688" t="str">
        <f>IFERROR(__xludf.DUMMYFUNCTION("""COMPUTED_VALUE"""),"#VALUE!")</f>
        <v>#VALUE!</v>
      </c>
      <c r="BB170" s="688" t="str">
        <f>IFERROR(__xludf.DUMMYFUNCTION("""COMPUTED_VALUE"""),"-")</f>
        <v>-</v>
      </c>
      <c r="BC170" s="688" t="str">
        <f>IFERROR(__xludf.DUMMYFUNCTION("""COMPUTED_VALUE"""),"#N/A")</f>
        <v>#N/A</v>
      </c>
      <c r="BD170" s="688" t="str">
        <f>IFERROR(__xludf.DUMMYFUNCTION("""COMPUTED_VALUE"""),"#VALUE!")</f>
        <v>#VALUE!</v>
      </c>
      <c r="BE170" s="674" t="str">
        <f>IFERROR(__xludf.DUMMYFUNCTION("""COMPUTED_VALUE"""),"#N/A")</f>
        <v>#N/A</v>
      </c>
      <c r="BF170" s="674">
        <f>IFERROR(__xludf.DUMMYFUNCTION("""COMPUTED_VALUE"""),0.0)</f>
        <v>0</v>
      </c>
      <c r="BG170" s="673">
        <f>IFERROR(__xludf.DUMMYFUNCTION("""COMPUTED_VALUE"""),0.0)</f>
        <v>0</v>
      </c>
      <c r="BH170" s="673" t="str">
        <f>IFERROR(__xludf.DUMMYFUNCTION("""COMPUTED_VALUE"""),"#N/A")</f>
        <v>#N/A</v>
      </c>
      <c r="BI170" s="673" t="str">
        <f>IFERROR(__xludf.DUMMYFUNCTION("""COMPUTED_VALUE"""),"#N/A")</f>
        <v>#N/A</v>
      </c>
      <c r="BJ170" s="673">
        <f>IFERROR(__xludf.DUMMYFUNCTION("""COMPUTED_VALUE"""),0.0)</f>
        <v>0</v>
      </c>
      <c r="BK170" s="673">
        <f>IFERROR(__xludf.DUMMYFUNCTION("""COMPUTED_VALUE"""),0.0)</f>
        <v>0</v>
      </c>
      <c r="BL170" s="673" t="str">
        <f>IFERROR(__xludf.DUMMYFUNCTION("""COMPUTED_VALUE"""),"#N/A")</f>
        <v>#N/A</v>
      </c>
      <c r="BM170" s="674" t="str">
        <f>IFERROR(__xludf.DUMMYFUNCTION("""COMPUTED_VALUE"""),"#N/A")</f>
        <v>#N/A</v>
      </c>
      <c r="BN170" s="674" t="str">
        <f>IFERROR(__xludf.DUMMYFUNCTION("""COMPUTED_VALUE"""),"#N/A")</f>
        <v>#N/A</v>
      </c>
      <c r="BO170" s="675">
        <f>IFERROR(__xludf.DUMMYFUNCTION("""COMPUTED_VALUE"""),0.0)</f>
        <v>0</v>
      </c>
      <c r="BP170" s="675" t="str">
        <f>IFERROR(__xludf.DUMMYFUNCTION("""COMPUTED_VALUE"""),"#N/A")</f>
        <v>#N/A</v>
      </c>
      <c r="BQ170" s="139"/>
      <c r="BR170" s="139" t="str">
        <f>IFERROR(__xludf.DUMMYFUNCTION("""COMPUTED_VALUE"""),"#N/A")</f>
        <v>#N/A</v>
      </c>
      <c r="BS170" s="139" t="str">
        <f>IFERROR(__xludf.DUMMYFUNCTION("""COMPUTED_VALUE"""),"※移動を入力！(BV列)")</f>
        <v>※移動を入力！(BV列)</v>
      </c>
      <c r="BT170" s="139" t="str">
        <f>IFERROR(__xludf.DUMMYFUNCTION("""COMPUTED_VALUE"""),"※攻撃手段を入力(BQ列)")</f>
        <v>※攻撃手段を入力(BQ列)</v>
      </c>
      <c r="BU170" s="139">
        <f>IFERROR(__xludf.DUMMYFUNCTION("""COMPUTED_VALUE"""),0.0)</f>
        <v>0</v>
      </c>
      <c r="BV170" s="139"/>
      <c r="BW170" s="139"/>
      <c r="BX170" s="139" t="str">
        <f>IFERROR(__xludf.DUMMYFUNCTION("""COMPUTED_VALUE"""),"※特性を選択!!(BW列)")</f>
        <v>※特性を選択!!(BW列)</v>
      </c>
      <c r="BY170" s="139" t="str">
        <f>IFERROR(__xludf.DUMMYFUNCTION("""COMPUTED_VALUE"""),"#N/A")</f>
        <v>#N/A</v>
      </c>
      <c r="BZ170" s="139"/>
      <c r="CA170" s="139" t="str">
        <f>IFERROR(__xludf.DUMMYFUNCTION("""COMPUTED_VALUE"""),"※特性を選択!!(BW列)")</f>
        <v>※特性を選択!!(BW列)</v>
      </c>
      <c r="CB170" s="139" t="str">
        <f>IFERROR(__xludf.DUMMYFUNCTION("""COMPUTED_VALUE"""),"#N/A")</f>
        <v>#N/A</v>
      </c>
      <c r="CC170" s="139" t="str">
        <f>IFERROR(__xludf.DUMMYFUNCTION("""COMPUTED_VALUE"""),"該当なし")</f>
        <v>該当なし</v>
      </c>
      <c r="CD170" s="139"/>
      <c r="CE170" s="139" t="str">
        <f>IFERROR(__xludf.DUMMYFUNCTION("""COMPUTED_VALUE"""),"#N/A")</f>
        <v>#N/A</v>
      </c>
      <c r="CF170" s="139" t="str">
        <f>IFERROR(__xludf.DUMMYFUNCTION("""COMPUTED_VALUE"""),"#VALUE!")</f>
        <v>#VALUE!</v>
      </c>
      <c r="CG170" s="139"/>
      <c r="CH170" s="139"/>
      <c r="CI170" s="139" t="str">
        <f>IFERROR(__xludf.DUMMYFUNCTION("""COMPUTED_VALUE"""),"#N/A")</f>
        <v>#N/A</v>
      </c>
      <c r="CJ170" s="139" t="str">
        <f>IFERROR(__xludf.DUMMYFUNCTION("""COMPUTED_VALUE"""),"#VALUE!")</f>
        <v>#VALUE!</v>
      </c>
      <c r="CK170" s="139"/>
      <c r="CL170" s="139"/>
      <c r="CM170" s="139"/>
      <c r="CN170" s="675" t="str">
        <f>IFERROR(__xludf.DUMMYFUNCTION("""COMPUTED_VALUE"""),"#N/A")</f>
        <v>#N/A</v>
      </c>
      <c r="CO170" s="139" t="str">
        <f>IFERROR(__xludf.DUMMYFUNCTION("""COMPUTED_VALUE"""),"-")</f>
        <v>-</v>
      </c>
      <c r="CP170" s="139" t="str">
        <f>IFERROR(__xludf.DUMMYFUNCTION("""COMPUTED_VALUE"""),"-")</f>
        <v>-</v>
      </c>
      <c r="CQ170" s="139" t="str">
        <f>IFERROR(__xludf.DUMMYFUNCTION("""COMPUTED_VALUE"""),"#N/A")</f>
        <v>#N/A</v>
      </c>
      <c r="CR170" s="139"/>
      <c r="CS170" s="139"/>
      <c r="CT170" s="139"/>
      <c r="CU170" s="139"/>
      <c r="CV170" s="139"/>
      <c r="CW170" s="139"/>
      <c r="CX170" s="674" t="str">
        <f>IFERROR(__xludf.DUMMYFUNCTION("""COMPUTED_VALUE"""),"")</f>
        <v/>
      </c>
      <c r="CY170" s="675" t="str">
        <f>IFERROR(__xludf.DUMMYFUNCTION("""COMPUTED_VALUE"""),"")</f>
        <v/>
      </c>
      <c r="CZ170" s="688" t="str">
        <f>IFERROR(__xludf.DUMMYFUNCTION("""COMPUTED_VALUE"""),"-")</f>
        <v>-</v>
      </c>
      <c r="DA170" s="688">
        <f>IFERROR(__xludf.DUMMYFUNCTION("""COMPUTED_VALUE"""),0.0)</f>
        <v>0</v>
      </c>
      <c r="DB170" s="688">
        <f>IFERROR(__xludf.DUMMYFUNCTION("""COMPUTED_VALUE"""),0.0)</f>
        <v>0</v>
      </c>
      <c r="DC170" s="673" t="str">
        <f>IFERROR(__xludf.DUMMYFUNCTION("""COMPUTED_VALUE"""),"-")</f>
        <v>-</v>
      </c>
      <c r="DD170" s="673" t="str">
        <f>IFERROR(__xludf.DUMMYFUNCTION("""COMPUTED_VALUE"""),"-")</f>
        <v>-</v>
      </c>
      <c r="DE170" s="139" t="str">
        <f>IFERROR(__xludf.DUMMYFUNCTION("""COMPUTED_VALUE"""),"-")</f>
        <v>-</v>
      </c>
      <c r="DF170" s="139" t="str">
        <f>IFERROR(__xludf.DUMMYFUNCTION("""COMPUTED_VALUE"""),"-")</f>
        <v>-</v>
      </c>
      <c r="DG170" s="139" t="str">
        <f>IFERROR(__xludf.DUMMYFUNCTION("""COMPUTED_VALUE"""),"-")</f>
        <v>-</v>
      </c>
      <c r="DH170" s="139" t="str">
        <f>IFERROR(__xludf.DUMMYFUNCTION("""COMPUTED_VALUE"""),"-")</f>
        <v>-</v>
      </c>
      <c r="DI170" s="139" t="str">
        <f>IFERROR(__xludf.DUMMYFUNCTION("""COMPUTED_VALUE"""),"-")</f>
        <v>-</v>
      </c>
      <c r="DJ170" s="139" t="str">
        <f>IFERROR(__xludf.DUMMYFUNCTION("""COMPUTED_VALUE"""),"-")</f>
        <v>-</v>
      </c>
    </row>
    <row r="171">
      <c r="A171" s="139" t="str">
        <f>IFERROR(__xludf.DUMMYFUNCTION("""COMPUTED_VALUE"""),"該当なし")</f>
        <v>該当なし</v>
      </c>
      <c r="B171" s="139" t="str">
        <f>IFERROR(__xludf.DUMMYFUNCTION("""COMPUTED_VALUE"""),"該当なし")</f>
        <v>該当なし</v>
      </c>
      <c r="C171" s="139"/>
      <c r="D171" s="139" t="str">
        <f>IFERROR(__xludf.DUMMYFUNCTION("""COMPUTED_VALUE"""),"#N/A")</f>
        <v>#N/A</v>
      </c>
      <c r="E171" s="139" t="str">
        <f>IFERROR(__xludf.DUMMYFUNCTION("""COMPUTED_VALUE"""),"#N/A")</f>
        <v>#N/A</v>
      </c>
      <c r="F171" s="139" t="str">
        <f>IFERROR(__xludf.DUMMYFUNCTION("""COMPUTED_VALUE"""),"#N/A")</f>
        <v>#N/A</v>
      </c>
      <c r="G171" s="139" t="str">
        <f>IFERROR(__xludf.DUMMYFUNCTION("""COMPUTED_VALUE"""),"該当なし")</f>
        <v>該当なし</v>
      </c>
      <c r="H171" s="139" t="str">
        <f>IFERROR(__xludf.DUMMYFUNCTION("""COMPUTED_VALUE"""),"#N/A")</f>
        <v>#N/A</v>
      </c>
      <c r="I171" s="139" t="str">
        <f>IFERROR(__xludf.DUMMYFUNCTION("""COMPUTED_VALUE"""),"#N/A")</f>
        <v>#N/A</v>
      </c>
      <c r="J171" s="139" t="str">
        <f>IFERROR(__xludf.DUMMYFUNCTION("""COMPUTED_VALUE"""),"#N/A")</f>
        <v>#N/A</v>
      </c>
      <c r="K171" s="139" t="str">
        <f>IFERROR(__xludf.DUMMYFUNCTION("""COMPUTED_VALUE"""),"#N/A")</f>
        <v>#N/A</v>
      </c>
      <c r="L171" s="139" t="str">
        <f>IFERROR(__xludf.DUMMYFUNCTION("""COMPUTED_VALUE"""),"※")</f>
        <v>※</v>
      </c>
      <c r="M171" s="674">
        <f>IFERROR(__xludf.DUMMYFUNCTION("""COMPUTED_VALUE"""),0.0)</f>
        <v>0</v>
      </c>
      <c r="N171" s="139">
        <f>IFERROR(__xludf.DUMMYFUNCTION("""COMPUTED_VALUE"""),0.0)</f>
        <v>0</v>
      </c>
      <c r="O171" s="139"/>
      <c r="P171" s="139">
        <f>IFERROR(__xludf.DUMMYFUNCTION("""COMPUTED_VALUE"""),0.0)</f>
        <v>0</v>
      </c>
      <c r="Q171" s="675">
        <f>IFERROR(__xludf.DUMMYFUNCTION("""COMPUTED_VALUE"""),0.0)</f>
        <v>0</v>
      </c>
      <c r="R171" s="675">
        <f>IFERROR(__xludf.DUMMYFUNCTION("""COMPUTED_VALUE"""),0.0)</f>
        <v>0</v>
      </c>
      <c r="S171" s="675">
        <f>IFERROR(__xludf.DUMMYFUNCTION("""COMPUTED_VALUE"""),-2.5)</f>
        <v>-2.5</v>
      </c>
      <c r="T171" s="674" t="str">
        <f>IFERROR(__xludf.DUMMYFUNCTION("""COMPUTED_VALUE"""),"#N/A")</f>
        <v>#N/A</v>
      </c>
      <c r="U171" s="675" t="str">
        <f>IFERROR(__xludf.DUMMYFUNCTION("""COMPUTED_VALUE"""),"#N/A")</f>
        <v>#N/A</v>
      </c>
      <c r="V171" s="675">
        <f>IFERROR(__xludf.DUMMYFUNCTION("""COMPUTED_VALUE"""),0.0)</f>
        <v>0</v>
      </c>
      <c r="W171" s="675" t="str">
        <f>IFERROR(__xludf.DUMMYFUNCTION("""COMPUTED_VALUE"""),"#N/A")</f>
        <v>#N/A</v>
      </c>
      <c r="X171" s="675">
        <f>IFERROR(__xludf.DUMMYFUNCTION("""COMPUTED_VALUE"""),0.0)</f>
        <v>0</v>
      </c>
      <c r="Y171" s="674" t="str">
        <f>IFERROR(__xludf.DUMMYFUNCTION("""COMPUTED_VALUE"""),"#N/A")</f>
        <v>#N/A</v>
      </c>
      <c r="Z171" s="675" t="str">
        <f>IFERROR(__xludf.DUMMYFUNCTION("""COMPUTED_VALUE"""),"#N/A")</f>
        <v>#N/A</v>
      </c>
      <c r="AA171" s="675">
        <f>IFERROR(__xludf.DUMMYFUNCTION("""COMPUTED_VALUE"""),0.0)</f>
        <v>0</v>
      </c>
      <c r="AB171" s="673" t="str">
        <f>IFERROR(__xludf.DUMMYFUNCTION("""COMPUTED_VALUE"""),"#N/A")</f>
        <v>#N/A</v>
      </c>
      <c r="AC171" s="675">
        <f>IFERROR(__xludf.DUMMYFUNCTION("""COMPUTED_VALUE"""),0.0)</f>
        <v>0</v>
      </c>
      <c r="AD171" s="674" t="str">
        <f>IFERROR(__xludf.DUMMYFUNCTION("""COMPUTED_VALUE"""),"#N/A")</f>
        <v>#N/A</v>
      </c>
      <c r="AE171" s="675" t="str">
        <f>IFERROR(__xludf.DUMMYFUNCTION("""COMPUTED_VALUE"""),"#N/A")</f>
        <v>#N/A</v>
      </c>
      <c r="AF171" s="675">
        <f>IFERROR(__xludf.DUMMYFUNCTION("""COMPUTED_VALUE"""),0.0)</f>
        <v>0</v>
      </c>
      <c r="AG171" s="675">
        <f>IFERROR(__xludf.DUMMYFUNCTION("""COMPUTED_VALUE"""),0.0)</f>
        <v>0</v>
      </c>
      <c r="AH171" s="675" t="str">
        <f>IFERROR(__xludf.DUMMYFUNCTION("""COMPUTED_VALUE"""),"#N/A")</f>
        <v>#N/A</v>
      </c>
      <c r="AI171" s="139" t="str">
        <f>IFERROR(__xludf.DUMMYFUNCTION("""COMPUTED_VALUE"""),"#N/A")</f>
        <v>#N/A</v>
      </c>
      <c r="AJ171" s="675" t="str">
        <f>IFERROR(__xludf.DUMMYFUNCTION("""COMPUTED_VALUE"""),"#N/A")</f>
        <v>#N/A</v>
      </c>
      <c r="AK171" s="139" t="str">
        <f>IFERROR(__xludf.DUMMYFUNCTION("""COMPUTED_VALUE"""),"#N/A")</f>
        <v>#N/A</v>
      </c>
      <c r="AL171" s="674" t="str">
        <f>IFERROR(__xludf.DUMMYFUNCTION("""COMPUTED_VALUE"""),"#N/A")</f>
        <v>#N/A</v>
      </c>
      <c r="AM171" s="688" t="str">
        <f>IFERROR(__xludf.DUMMYFUNCTION("""COMPUTED_VALUE"""),"#N/A")</f>
        <v>#N/A</v>
      </c>
      <c r="AN171" s="675" t="str">
        <f>IFERROR(__xludf.DUMMYFUNCTION("""COMPUTED_VALUE"""),"#N/A")</f>
        <v>#N/A</v>
      </c>
      <c r="AO171" s="675" t="str">
        <f>IFERROR(__xludf.DUMMYFUNCTION("""COMPUTED_VALUE"""),"#N/A")</f>
        <v>#N/A</v>
      </c>
      <c r="AP171" s="674">
        <f>IFERROR(__xludf.DUMMYFUNCTION("""COMPUTED_VALUE"""),0.0)</f>
        <v>0</v>
      </c>
      <c r="AQ171" s="673" t="str">
        <f>IFERROR(__xludf.DUMMYFUNCTION("""COMPUTED_VALUE"""),"#N/A")</f>
        <v>#N/A</v>
      </c>
      <c r="AR171" s="673">
        <f>IFERROR(__xludf.DUMMYFUNCTION("""COMPUTED_VALUE"""),0.0)</f>
        <v>0</v>
      </c>
      <c r="AS171" s="673">
        <f>IFERROR(__xludf.DUMMYFUNCTION("""COMPUTED_VALUE"""),0.0)</f>
        <v>0</v>
      </c>
      <c r="AT171" s="673">
        <f>IFERROR(__xludf.DUMMYFUNCTION("""COMPUTED_VALUE"""),0.0)</f>
        <v>0</v>
      </c>
      <c r="AU171" s="675" t="str">
        <f>IFERROR(__xludf.DUMMYFUNCTION("""COMPUTED_VALUE"""),"#N/A")</f>
        <v>#N/A</v>
      </c>
      <c r="AV171" s="675">
        <f>IFERROR(__xludf.DUMMYFUNCTION("""COMPUTED_VALUE"""),0.0)</f>
        <v>0</v>
      </c>
      <c r="AW171" s="139"/>
      <c r="AX171" s="674" t="str">
        <f>IFERROR(__xludf.DUMMYFUNCTION("""COMPUTED_VALUE"""),"※通常攻撃範囲を入力！(CD列)")</f>
        <v>※通常攻撃範囲を入力！(CD列)</v>
      </c>
      <c r="AY171" s="688" t="str">
        <f>IFERROR(__xludf.DUMMYFUNCTION("""COMPUTED_VALUE"""),"#VALUE!")</f>
        <v>#VALUE!</v>
      </c>
      <c r="AZ171" s="674" t="str">
        <f>IFERROR(__xludf.DUMMYFUNCTION("""COMPUTED_VALUE"""),"#N/A")</f>
        <v>#N/A</v>
      </c>
      <c r="BA171" s="688" t="str">
        <f>IFERROR(__xludf.DUMMYFUNCTION("""COMPUTED_VALUE"""),"#VALUE!")</f>
        <v>#VALUE!</v>
      </c>
      <c r="BB171" s="688" t="str">
        <f>IFERROR(__xludf.DUMMYFUNCTION("""COMPUTED_VALUE"""),"-")</f>
        <v>-</v>
      </c>
      <c r="BC171" s="688" t="str">
        <f>IFERROR(__xludf.DUMMYFUNCTION("""COMPUTED_VALUE"""),"#N/A")</f>
        <v>#N/A</v>
      </c>
      <c r="BD171" s="688" t="str">
        <f>IFERROR(__xludf.DUMMYFUNCTION("""COMPUTED_VALUE"""),"#VALUE!")</f>
        <v>#VALUE!</v>
      </c>
      <c r="BE171" s="674" t="str">
        <f>IFERROR(__xludf.DUMMYFUNCTION("""COMPUTED_VALUE"""),"#N/A")</f>
        <v>#N/A</v>
      </c>
      <c r="BF171" s="674">
        <f>IFERROR(__xludf.DUMMYFUNCTION("""COMPUTED_VALUE"""),0.0)</f>
        <v>0</v>
      </c>
      <c r="BG171" s="673">
        <f>IFERROR(__xludf.DUMMYFUNCTION("""COMPUTED_VALUE"""),0.0)</f>
        <v>0</v>
      </c>
      <c r="BH171" s="673" t="str">
        <f>IFERROR(__xludf.DUMMYFUNCTION("""COMPUTED_VALUE"""),"#N/A")</f>
        <v>#N/A</v>
      </c>
      <c r="BI171" s="673" t="str">
        <f>IFERROR(__xludf.DUMMYFUNCTION("""COMPUTED_VALUE"""),"#N/A")</f>
        <v>#N/A</v>
      </c>
      <c r="BJ171" s="673">
        <f>IFERROR(__xludf.DUMMYFUNCTION("""COMPUTED_VALUE"""),0.0)</f>
        <v>0</v>
      </c>
      <c r="BK171" s="673">
        <f>IFERROR(__xludf.DUMMYFUNCTION("""COMPUTED_VALUE"""),0.0)</f>
        <v>0</v>
      </c>
      <c r="BL171" s="673" t="str">
        <f>IFERROR(__xludf.DUMMYFUNCTION("""COMPUTED_VALUE"""),"#N/A")</f>
        <v>#N/A</v>
      </c>
      <c r="BM171" s="674" t="str">
        <f>IFERROR(__xludf.DUMMYFUNCTION("""COMPUTED_VALUE"""),"#N/A")</f>
        <v>#N/A</v>
      </c>
      <c r="BN171" s="674" t="str">
        <f>IFERROR(__xludf.DUMMYFUNCTION("""COMPUTED_VALUE"""),"#N/A")</f>
        <v>#N/A</v>
      </c>
      <c r="BO171" s="675">
        <f>IFERROR(__xludf.DUMMYFUNCTION("""COMPUTED_VALUE"""),0.0)</f>
        <v>0</v>
      </c>
      <c r="BP171" s="675" t="str">
        <f>IFERROR(__xludf.DUMMYFUNCTION("""COMPUTED_VALUE"""),"#N/A")</f>
        <v>#N/A</v>
      </c>
      <c r="BQ171" s="139"/>
      <c r="BR171" s="139" t="str">
        <f>IFERROR(__xludf.DUMMYFUNCTION("""COMPUTED_VALUE"""),"#N/A")</f>
        <v>#N/A</v>
      </c>
      <c r="BS171" s="139" t="str">
        <f>IFERROR(__xludf.DUMMYFUNCTION("""COMPUTED_VALUE"""),"※移動を入力！(BV列)")</f>
        <v>※移動を入力！(BV列)</v>
      </c>
      <c r="BT171" s="139" t="str">
        <f>IFERROR(__xludf.DUMMYFUNCTION("""COMPUTED_VALUE"""),"※攻撃手段を入力(BQ列)")</f>
        <v>※攻撃手段を入力(BQ列)</v>
      </c>
      <c r="BU171" s="139">
        <f>IFERROR(__xludf.DUMMYFUNCTION("""COMPUTED_VALUE"""),0.0)</f>
        <v>0</v>
      </c>
      <c r="BV171" s="139"/>
      <c r="BW171" s="139"/>
      <c r="BX171" s="139" t="str">
        <f>IFERROR(__xludf.DUMMYFUNCTION("""COMPUTED_VALUE"""),"※特性を選択!!(BW列)")</f>
        <v>※特性を選択!!(BW列)</v>
      </c>
      <c r="BY171" s="139" t="str">
        <f>IFERROR(__xludf.DUMMYFUNCTION("""COMPUTED_VALUE"""),"#N/A")</f>
        <v>#N/A</v>
      </c>
      <c r="BZ171" s="139"/>
      <c r="CA171" s="139" t="str">
        <f>IFERROR(__xludf.DUMMYFUNCTION("""COMPUTED_VALUE"""),"※特性を選択!!(BW列)")</f>
        <v>※特性を選択!!(BW列)</v>
      </c>
      <c r="CB171" s="139" t="str">
        <f>IFERROR(__xludf.DUMMYFUNCTION("""COMPUTED_VALUE"""),"#N/A")</f>
        <v>#N/A</v>
      </c>
      <c r="CC171" s="139" t="str">
        <f>IFERROR(__xludf.DUMMYFUNCTION("""COMPUTED_VALUE"""),"該当なし")</f>
        <v>該当なし</v>
      </c>
      <c r="CD171" s="139"/>
      <c r="CE171" s="139" t="str">
        <f>IFERROR(__xludf.DUMMYFUNCTION("""COMPUTED_VALUE"""),"#N/A")</f>
        <v>#N/A</v>
      </c>
      <c r="CF171" s="139" t="str">
        <f>IFERROR(__xludf.DUMMYFUNCTION("""COMPUTED_VALUE"""),"#VALUE!")</f>
        <v>#VALUE!</v>
      </c>
      <c r="CG171" s="139"/>
      <c r="CH171" s="139"/>
      <c r="CI171" s="139" t="str">
        <f>IFERROR(__xludf.DUMMYFUNCTION("""COMPUTED_VALUE"""),"#N/A")</f>
        <v>#N/A</v>
      </c>
      <c r="CJ171" s="139" t="str">
        <f>IFERROR(__xludf.DUMMYFUNCTION("""COMPUTED_VALUE"""),"#VALUE!")</f>
        <v>#VALUE!</v>
      </c>
      <c r="CK171" s="139"/>
      <c r="CL171" s="139"/>
      <c r="CM171" s="139"/>
      <c r="CN171" s="675" t="str">
        <f>IFERROR(__xludf.DUMMYFUNCTION("""COMPUTED_VALUE"""),"#N/A")</f>
        <v>#N/A</v>
      </c>
      <c r="CO171" s="139" t="str">
        <f>IFERROR(__xludf.DUMMYFUNCTION("""COMPUTED_VALUE"""),"-")</f>
        <v>-</v>
      </c>
      <c r="CP171" s="139" t="str">
        <f>IFERROR(__xludf.DUMMYFUNCTION("""COMPUTED_VALUE"""),"-")</f>
        <v>-</v>
      </c>
      <c r="CQ171" s="139" t="str">
        <f>IFERROR(__xludf.DUMMYFUNCTION("""COMPUTED_VALUE"""),"#N/A")</f>
        <v>#N/A</v>
      </c>
      <c r="CR171" s="139"/>
      <c r="CS171" s="139"/>
      <c r="CT171" s="139"/>
      <c r="CU171" s="139"/>
      <c r="CV171" s="139"/>
      <c r="CW171" s="139"/>
      <c r="CX171" s="674" t="str">
        <f>IFERROR(__xludf.DUMMYFUNCTION("""COMPUTED_VALUE"""),"")</f>
        <v/>
      </c>
      <c r="CY171" s="675" t="str">
        <f>IFERROR(__xludf.DUMMYFUNCTION("""COMPUTED_VALUE"""),"")</f>
        <v/>
      </c>
      <c r="CZ171" s="688" t="str">
        <f>IFERROR(__xludf.DUMMYFUNCTION("""COMPUTED_VALUE"""),"-")</f>
        <v>-</v>
      </c>
      <c r="DA171" s="688">
        <f>IFERROR(__xludf.DUMMYFUNCTION("""COMPUTED_VALUE"""),0.0)</f>
        <v>0</v>
      </c>
      <c r="DB171" s="688">
        <f>IFERROR(__xludf.DUMMYFUNCTION("""COMPUTED_VALUE"""),0.0)</f>
        <v>0</v>
      </c>
      <c r="DC171" s="673" t="str">
        <f>IFERROR(__xludf.DUMMYFUNCTION("""COMPUTED_VALUE"""),"-")</f>
        <v>-</v>
      </c>
      <c r="DD171" s="673" t="str">
        <f>IFERROR(__xludf.DUMMYFUNCTION("""COMPUTED_VALUE"""),"-")</f>
        <v>-</v>
      </c>
      <c r="DE171" s="139" t="str">
        <f>IFERROR(__xludf.DUMMYFUNCTION("""COMPUTED_VALUE"""),"-")</f>
        <v>-</v>
      </c>
      <c r="DF171" s="139" t="str">
        <f>IFERROR(__xludf.DUMMYFUNCTION("""COMPUTED_VALUE"""),"-")</f>
        <v>-</v>
      </c>
      <c r="DG171" s="139" t="str">
        <f>IFERROR(__xludf.DUMMYFUNCTION("""COMPUTED_VALUE"""),"-")</f>
        <v>-</v>
      </c>
      <c r="DH171" s="139" t="str">
        <f>IFERROR(__xludf.DUMMYFUNCTION("""COMPUTED_VALUE"""),"-")</f>
        <v>-</v>
      </c>
      <c r="DI171" s="139" t="str">
        <f>IFERROR(__xludf.DUMMYFUNCTION("""COMPUTED_VALUE"""),"-")</f>
        <v>-</v>
      </c>
      <c r="DJ171" s="139" t="str">
        <f>IFERROR(__xludf.DUMMYFUNCTION("""COMPUTED_VALUE"""),"-")</f>
        <v>-</v>
      </c>
    </row>
    <row r="172">
      <c r="A172" s="139" t="str">
        <f>IFERROR(__xludf.DUMMYFUNCTION("""COMPUTED_VALUE"""),"該当なし")</f>
        <v>該当なし</v>
      </c>
      <c r="B172" s="139" t="str">
        <f>IFERROR(__xludf.DUMMYFUNCTION("""COMPUTED_VALUE"""),"該当なし")</f>
        <v>該当なし</v>
      </c>
      <c r="C172" s="139"/>
      <c r="D172" s="139" t="str">
        <f>IFERROR(__xludf.DUMMYFUNCTION("""COMPUTED_VALUE"""),"#N/A")</f>
        <v>#N/A</v>
      </c>
      <c r="E172" s="139" t="str">
        <f>IFERROR(__xludf.DUMMYFUNCTION("""COMPUTED_VALUE"""),"#N/A")</f>
        <v>#N/A</v>
      </c>
      <c r="F172" s="139" t="str">
        <f>IFERROR(__xludf.DUMMYFUNCTION("""COMPUTED_VALUE"""),"#N/A")</f>
        <v>#N/A</v>
      </c>
      <c r="G172" s="139" t="str">
        <f>IFERROR(__xludf.DUMMYFUNCTION("""COMPUTED_VALUE"""),"該当なし")</f>
        <v>該当なし</v>
      </c>
      <c r="H172" s="139" t="str">
        <f>IFERROR(__xludf.DUMMYFUNCTION("""COMPUTED_VALUE"""),"#N/A")</f>
        <v>#N/A</v>
      </c>
      <c r="I172" s="139" t="str">
        <f>IFERROR(__xludf.DUMMYFUNCTION("""COMPUTED_VALUE"""),"#N/A")</f>
        <v>#N/A</v>
      </c>
      <c r="J172" s="139" t="str">
        <f>IFERROR(__xludf.DUMMYFUNCTION("""COMPUTED_VALUE"""),"#N/A")</f>
        <v>#N/A</v>
      </c>
      <c r="K172" s="139" t="str">
        <f>IFERROR(__xludf.DUMMYFUNCTION("""COMPUTED_VALUE"""),"#N/A")</f>
        <v>#N/A</v>
      </c>
      <c r="L172" s="139" t="str">
        <f>IFERROR(__xludf.DUMMYFUNCTION("""COMPUTED_VALUE"""),"※")</f>
        <v>※</v>
      </c>
      <c r="M172" s="674">
        <f>IFERROR(__xludf.DUMMYFUNCTION("""COMPUTED_VALUE"""),0.0)</f>
        <v>0</v>
      </c>
      <c r="N172" s="139">
        <f>IFERROR(__xludf.DUMMYFUNCTION("""COMPUTED_VALUE"""),0.0)</f>
        <v>0</v>
      </c>
      <c r="O172" s="139"/>
      <c r="P172" s="139">
        <f>IFERROR(__xludf.DUMMYFUNCTION("""COMPUTED_VALUE"""),0.0)</f>
        <v>0</v>
      </c>
      <c r="Q172" s="675">
        <f>IFERROR(__xludf.DUMMYFUNCTION("""COMPUTED_VALUE"""),0.0)</f>
        <v>0</v>
      </c>
      <c r="R172" s="675">
        <f>IFERROR(__xludf.DUMMYFUNCTION("""COMPUTED_VALUE"""),0.0)</f>
        <v>0</v>
      </c>
      <c r="S172" s="675">
        <f>IFERROR(__xludf.DUMMYFUNCTION("""COMPUTED_VALUE"""),-2.5)</f>
        <v>-2.5</v>
      </c>
      <c r="T172" s="674" t="str">
        <f>IFERROR(__xludf.DUMMYFUNCTION("""COMPUTED_VALUE"""),"#N/A")</f>
        <v>#N/A</v>
      </c>
      <c r="U172" s="675" t="str">
        <f>IFERROR(__xludf.DUMMYFUNCTION("""COMPUTED_VALUE"""),"#N/A")</f>
        <v>#N/A</v>
      </c>
      <c r="V172" s="675">
        <f>IFERROR(__xludf.DUMMYFUNCTION("""COMPUTED_VALUE"""),0.0)</f>
        <v>0</v>
      </c>
      <c r="W172" s="675" t="str">
        <f>IFERROR(__xludf.DUMMYFUNCTION("""COMPUTED_VALUE"""),"#N/A")</f>
        <v>#N/A</v>
      </c>
      <c r="X172" s="675">
        <f>IFERROR(__xludf.DUMMYFUNCTION("""COMPUTED_VALUE"""),0.0)</f>
        <v>0</v>
      </c>
      <c r="Y172" s="674" t="str">
        <f>IFERROR(__xludf.DUMMYFUNCTION("""COMPUTED_VALUE"""),"#N/A")</f>
        <v>#N/A</v>
      </c>
      <c r="Z172" s="675" t="str">
        <f>IFERROR(__xludf.DUMMYFUNCTION("""COMPUTED_VALUE"""),"#N/A")</f>
        <v>#N/A</v>
      </c>
      <c r="AA172" s="675">
        <f>IFERROR(__xludf.DUMMYFUNCTION("""COMPUTED_VALUE"""),0.0)</f>
        <v>0</v>
      </c>
      <c r="AB172" s="673" t="str">
        <f>IFERROR(__xludf.DUMMYFUNCTION("""COMPUTED_VALUE"""),"#N/A")</f>
        <v>#N/A</v>
      </c>
      <c r="AC172" s="675">
        <f>IFERROR(__xludf.DUMMYFUNCTION("""COMPUTED_VALUE"""),0.0)</f>
        <v>0</v>
      </c>
      <c r="AD172" s="674" t="str">
        <f>IFERROR(__xludf.DUMMYFUNCTION("""COMPUTED_VALUE"""),"#N/A")</f>
        <v>#N/A</v>
      </c>
      <c r="AE172" s="675" t="str">
        <f>IFERROR(__xludf.DUMMYFUNCTION("""COMPUTED_VALUE"""),"#N/A")</f>
        <v>#N/A</v>
      </c>
      <c r="AF172" s="675">
        <f>IFERROR(__xludf.DUMMYFUNCTION("""COMPUTED_VALUE"""),0.0)</f>
        <v>0</v>
      </c>
      <c r="AG172" s="675">
        <f>IFERROR(__xludf.DUMMYFUNCTION("""COMPUTED_VALUE"""),0.0)</f>
        <v>0</v>
      </c>
      <c r="AH172" s="675" t="str">
        <f>IFERROR(__xludf.DUMMYFUNCTION("""COMPUTED_VALUE"""),"#N/A")</f>
        <v>#N/A</v>
      </c>
      <c r="AI172" s="139" t="str">
        <f>IFERROR(__xludf.DUMMYFUNCTION("""COMPUTED_VALUE"""),"#N/A")</f>
        <v>#N/A</v>
      </c>
      <c r="AJ172" s="675" t="str">
        <f>IFERROR(__xludf.DUMMYFUNCTION("""COMPUTED_VALUE"""),"#N/A")</f>
        <v>#N/A</v>
      </c>
      <c r="AK172" s="139" t="str">
        <f>IFERROR(__xludf.DUMMYFUNCTION("""COMPUTED_VALUE"""),"#N/A")</f>
        <v>#N/A</v>
      </c>
      <c r="AL172" s="674" t="str">
        <f>IFERROR(__xludf.DUMMYFUNCTION("""COMPUTED_VALUE"""),"#N/A")</f>
        <v>#N/A</v>
      </c>
      <c r="AM172" s="688" t="str">
        <f>IFERROR(__xludf.DUMMYFUNCTION("""COMPUTED_VALUE"""),"#N/A")</f>
        <v>#N/A</v>
      </c>
      <c r="AN172" s="675" t="str">
        <f>IFERROR(__xludf.DUMMYFUNCTION("""COMPUTED_VALUE"""),"#N/A")</f>
        <v>#N/A</v>
      </c>
      <c r="AO172" s="675" t="str">
        <f>IFERROR(__xludf.DUMMYFUNCTION("""COMPUTED_VALUE"""),"#N/A")</f>
        <v>#N/A</v>
      </c>
      <c r="AP172" s="674">
        <f>IFERROR(__xludf.DUMMYFUNCTION("""COMPUTED_VALUE"""),0.0)</f>
        <v>0</v>
      </c>
      <c r="AQ172" s="673" t="str">
        <f>IFERROR(__xludf.DUMMYFUNCTION("""COMPUTED_VALUE"""),"#N/A")</f>
        <v>#N/A</v>
      </c>
      <c r="AR172" s="673">
        <f>IFERROR(__xludf.DUMMYFUNCTION("""COMPUTED_VALUE"""),0.0)</f>
        <v>0</v>
      </c>
      <c r="AS172" s="673">
        <f>IFERROR(__xludf.DUMMYFUNCTION("""COMPUTED_VALUE"""),0.0)</f>
        <v>0</v>
      </c>
      <c r="AT172" s="673">
        <f>IFERROR(__xludf.DUMMYFUNCTION("""COMPUTED_VALUE"""),0.0)</f>
        <v>0</v>
      </c>
      <c r="AU172" s="675" t="str">
        <f>IFERROR(__xludf.DUMMYFUNCTION("""COMPUTED_VALUE"""),"#N/A")</f>
        <v>#N/A</v>
      </c>
      <c r="AV172" s="675">
        <f>IFERROR(__xludf.DUMMYFUNCTION("""COMPUTED_VALUE"""),0.0)</f>
        <v>0</v>
      </c>
      <c r="AW172" s="139"/>
      <c r="AX172" s="674" t="str">
        <f>IFERROR(__xludf.DUMMYFUNCTION("""COMPUTED_VALUE"""),"※通常攻撃範囲を入力！(CD列)")</f>
        <v>※通常攻撃範囲を入力！(CD列)</v>
      </c>
      <c r="AY172" s="688" t="str">
        <f>IFERROR(__xludf.DUMMYFUNCTION("""COMPUTED_VALUE"""),"#VALUE!")</f>
        <v>#VALUE!</v>
      </c>
      <c r="AZ172" s="674" t="str">
        <f>IFERROR(__xludf.DUMMYFUNCTION("""COMPUTED_VALUE"""),"#N/A")</f>
        <v>#N/A</v>
      </c>
      <c r="BA172" s="688" t="str">
        <f>IFERROR(__xludf.DUMMYFUNCTION("""COMPUTED_VALUE"""),"#VALUE!")</f>
        <v>#VALUE!</v>
      </c>
      <c r="BB172" s="688" t="str">
        <f>IFERROR(__xludf.DUMMYFUNCTION("""COMPUTED_VALUE"""),"-")</f>
        <v>-</v>
      </c>
      <c r="BC172" s="688" t="str">
        <f>IFERROR(__xludf.DUMMYFUNCTION("""COMPUTED_VALUE"""),"#N/A")</f>
        <v>#N/A</v>
      </c>
      <c r="BD172" s="688" t="str">
        <f>IFERROR(__xludf.DUMMYFUNCTION("""COMPUTED_VALUE"""),"#VALUE!")</f>
        <v>#VALUE!</v>
      </c>
      <c r="BE172" s="674" t="str">
        <f>IFERROR(__xludf.DUMMYFUNCTION("""COMPUTED_VALUE"""),"#N/A")</f>
        <v>#N/A</v>
      </c>
      <c r="BF172" s="674">
        <f>IFERROR(__xludf.DUMMYFUNCTION("""COMPUTED_VALUE"""),0.0)</f>
        <v>0</v>
      </c>
      <c r="BG172" s="673">
        <f>IFERROR(__xludf.DUMMYFUNCTION("""COMPUTED_VALUE"""),0.0)</f>
        <v>0</v>
      </c>
      <c r="BH172" s="673" t="str">
        <f>IFERROR(__xludf.DUMMYFUNCTION("""COMPUTED_VALUE"""),"#N/A")</f>
        <v>#N/A</v>
      </c>
      <c r="BI172" s="673" t="str">
        <f>IFERROR(__xludf.DUMMYFUNCTION("""COMPUTED_VALUE"""),"#N/A")</f>
        <v>#N/A</v>
      </c>
      <c r="BJ172" s="673">
        <f>IFERROR(__xludf.DUMMYFUNCTION("""COMPUTED_VALUE"""),0.0)</f>
        <v>0</v>
      </c>
      <c r="BK172" s="673">
        <f>IFERROR(__xludf.DUMMYFUNCTION("""COMPUTED_VALUE"""),0.0)</f>
        <v>0</v>
      </c>
      <c r="BL172" s="673" t="str">
        <f>IFERROR(__xludf.DUMMYFUNCTION("""COMPUTED_VALUE"""),"#N/A")</f>
        <v>#N/A</v>
      </c>
      <c r="BM172" s="674" t="str">
        <f>IFERROR(__xludf.DUMMYFUNCTION("""COMPUTED_VALUE"""),"#N/A")</f>
        <v>#N/A</v>
      </c>
      <c r="BN172" s="674" t="str">
        <f>IFERROR(__xludf.DUMMYFUNCTION("""COMPUTED_VALUE"""),"#N/A")</f>
        <v>#N/A</v>
      </c>
      <c r="BO172" s="675">
        <f>IFERROR(__xludf.DUMMYFUNCTION("""COMPUTED_VALUE"""),0.0)</f>
        <v>0</v>
      </c>
      <c r="BP172" s="675" t="str">
        <f>IFERROR(__xludf.DUMMYFUNCTION("""COMPUTED_VALUE"""),"#N/A")</f>
        <v>#N/A</v>
      </c>
      <c r="BQ172" s="139"/>
      <c r="BR172" s="139" t="str">
        <f>IFERROR(__xludf.DUMMYFUNCTION("""COMPUTED_VALUE"""),"#N/A")</f>
        <v>#N/A</v>
      </c>
      <c r="BS172" s="139" t="str">
        <f>IFERROR(__xludf.DUMMYFUNCTION("""COMPUTED_VALUE"""),"※移動を入力！(BV列)")</f>
        <v>※移動を入力！(BV列)</v>
      </c>
      <c r="BT172" s="139" t="str">
        <f>IFERROR(__xludf.DUMMYFUNCTION("""COMPUTED_VALUE"""),"※攻撃手段を入力(BQ列)")</f>
        <v>※攻撃手段を入力(BQ列)</v>
      </c>
      <c r="BU172" s="139">
        <f>IFERROR(__xludf.DUMMYFUNCTION("""COMPUTED_VALUE"""),0.0)</f>
        <v>0</v>
      </c>
      <c r="BV172" s="139"/>
      <c r="BW172" s="139"/>
      <c r="BX172" s="139" t="str">
        <f>IFERROR(__xludf.DUMMYFUNCTION("""COMPUTED_VALUE"""),"※特性を選択!!(BW列)")</f>
        <v>※特性を選択!!(BW列)</v>
      </c>
      <c r="BY172" s="139" t="str">
        <f>IFERROR(__xludf.DUMMYFUNCTION("""COMPUTED_VALUE"""),"#N/A")</f>
        <v>#N/A</v>
      </c>
      <c r="BZ172" s="139"/>
      <c r="CA172" s="139" t="str">
        <f>IFERROR(__xludf.DUMMYFUNCTION("""COMPUTED_VALUE"""),"※特性を選択!!(BW列)")</f>
        <v>※特性を選択!!(BW列)</v>
      </c>
      <c r="CB172" s="139" t="str">
        <f>IFERROR(__xludf.DUMMYFUNCTION("""COMPUTED_VALUE"""),"#N/A")</f>
        <v>#N/A</v>
      </c>
      <c r="CC172" s="139" t="str">
        <f>IFERROR(__xludf.DUMMYFUNCTION("""COMPUTED_VALUE"""),"該当なし")</f>
        <v>該当なし</v>
      </c>
      <c r="CD172" s="139"/>
      <c r="CE172" s="139" t="str">
        <f>IFERROR(__xludf.DUMMYFUNCTION("""COMPUTED_VALUE"""),"#N/A")</f>
        <v>#N/A</v>
      </c>
      <c r="CF172" s="139" t="str">
        <f>IFERROR(__xludf.DUMMYFUNCTION("""COMPUTED_VALUE"""),"#VALUE!")</f>
        <v>#VALUE!</v>
      </c>
      <c r="CG172" s="139"/>
      <c r="CH172" s="139"/>
      <c r="CI172" s="139" t="str">
        <f>IFERROR(__xludf.DUMMYFUNCTION("""COMPUTED_VALUE"""),"#N/A")</f>
        <v>#N/A</v>
      </c>
      <c r="CJ172" s="139" t="str">
        <f>IFERROR(__xludf.DUMMYFUNCTION("""COMPUTED_VALUE"""),"#VALUE!")</f>
        <v>#VALUE!</v>
      </c>
      <c r="CK172" s="139"/>
      <c r="CL172" s="139"/>
      <c r="CM172" s="139"/>
      <c r="CN172" s="675" t="str">
        <f>IFERROR(__xludf.DUMMYFUNCTION("""COMPUTED_VALUE"""),"#N/A")</f>
        <v>#N/A</v>
      </c>
      <c r="CO172" s="139" t="str">
        <f>IFERROR(__xludf.DUMMYFUNCTION("""COMPUTED_VALUE"""),"-")</f>
        <v>-</v>
      </c>
      <c r="CP172" s="139" t="str">
        <f>IFERROR(__xludf.DUMMYFUNCTION("""COMPUTED_VALUE"""),"-")</f>
        <v>-</v>
      </c>
      <c r="CQ172" s="139" t="str">
        <f>IFERROR(__xludf.DUMMYFUNCTION("""COMPUTED_VALUE"""),"#N/A")</f>
        <v>#N/A</v>
      </c>
      <c r="CR172" s="139"/>
      <c r="CS172" s="139"/>
      <c r="CT172" s="139"/>
      <c r="CU172" s="139"/>
      <c r="CV172" s="139"/>
      <c r="CW172" s="139"/>
      <c r="CX172" s="674" t="str">
        <f>IFERROR(__xludf.DUMMYFUNCTION("""COMPUTED_VALUE"""),"")</f>
        <v/>
      </c>
      <c r="CY172" s="675" t="str">
        <f>IFERROR(__xludf.DUMMYFUNCTION("""COMPUTED_VALUE"""),"")</f>
        <v/>
      </c>
      <c r="CZ172" s="688" t="str">
        <f>IFERROR(__xludf.DUMMYFUNCTION("""COMPUTED_VALUE"""),"-")</f>
        <v>-</v>
      </c>
      <c r="DA172" s="688">
        <f>IFERROR(__xludf.DUMMYFUNCTION("""COMPUTED_VALUE"""),0.0)</f>
        <v>0</v>
      </c>
      <c r="DB172" s="688">
        <f>IFERROR(__xludf.DUMMYFUNCTION("""COMPUTED_VALUE"""),0.0)</f>
        <v>0</v>
      </c>
      <c r="DC172" s="673" t="str">
        <f>IFERROR(__xludf.DUMMYFUNCTION("""COMPUTED_VALUE"""),"-")</f>
        <v>-</v>
      </c>
      <c r="DD172" s="673" t="str">
        <f>IFERROR(__xludf.DUMMYFUNCTION("""COMPUTED_VALUE"""),"-")</f>
        <v>-</v>
      </c>
      <c r="DE172" s="139" t="str">
        <f>IFERROR(__xludf.DUMMYFUNCTION("""COMPUTED_VALUE"""),"-")</f>
        <v>-</v>
      </c>
      <c r="DF172" s="139" t="str">
        <f>IFERROR(__xludf.DUMMYFUNCTION("""COMPUTED_VALUE"""),"-")</f>
        <v>-</v>
      </c>
      <c r="DG172" s="139" t="str">
        <f>IFERROR(__xludf.DUMMYFUNCTION("""COMPUTED_VALUE"""),"-")</f>
        <v>-</v>
      </c>
      <c r="DH172" s="139" t="str">
        <f>IFERROR(__xludf.DUMMYFUNCTION("""COMPUTED_VALUE"""),"-")</f>
        <v>-</v>
      </c>
      <c r="DI172" s="139" t="str">
        <f>IFERROR(__xludf.DUMMYFUNCTION("""COMPUTED_VALUE"""),"-")</f>
        <v>-</v>
      </c>
      <c r="DJ172" s="139" t="str">
        <f>IFERROR(__xludf.DUMMYFUNCTION("""COMPUTED_VALUE"""),"-")</f>
        <v>-</v>
      </c>
    </row>
    <row r="173">
      <c r="A173" s="139" t="str">
        <f>IFERROR(__xludf.DUMMYFUNCTION("""COMPUTED_VALUE"""),"該当なし")</f>
        <v>該当なし</v>
      </c>
      <c r="B173" s="139" t="str">
        <f>IFERROR(__xludf.DUMMYFUNCTION("""COMPUTED_VALUE"""),"該当なし")</f>
        <v>該当なし</v>
      </c>
      <c r="C173" s="139"/>
      <c r="D173" s="139" t="str">
        <f>IFERROR(__xludf.DUMMYFUNCTION("""COMPUTED_VALUE"""),"#N/A")</f>
        <v>#N/A</v>
      </c>
      <c r="E173" s="139" t="str">
        <f>IFERROR(__xludf.DUMMYFUNCTION("""COMPUTED_VALUE"""),"#N/A")</f>
        <v>#N/A</v>
      </c>
      <c r="F173" s="139" t="str">
        <f>IFERROR(__xludf.DUMMYFUNCTION("""COMPUTED_VALUE"""),"#N/A")</f>
        <v>#N/A</v>
      </c>
      <c r="G173" s="139" t="str">
        <f>IFERROR(__xludf.DUMMYFUNCTION("""COMPUTED_VALUE"""),"該当なし")</f>
        <v>該当なし</v>
      </c>
      <c r="H173" s="139" t="str">
        <f>IFERROR(__xludf.DUMMYFUNCTION("""COMPUTED_VALUE"""),"#N/A")</f>
        <v>#N/A</v>
      </c>
      <c r="I173" s="139" t="str">
        <f>IFERROR(__xludf.DUMMYFUNCTION("""COMPUTED_VALUE"""),"#N/A")</f>
        <v>#N/A</v>
      </c>
      <c r="J173" s="139" t="str">
        <f>IFERROR(__xludf.DUMMYFUNCTION("""COMPUTED_VALUE"""),"#N/A")</f>
        <v>#N/A</v>
      </c>
      <c r="K173" s="139" t="str">
        <f>IFERROR(__xludf.DUMMYFUNCTION("""COMPUTED_VALUE"""),"#N/A")</f>
        <v>#N/A</v>
      </c>
      <c r="L173" s="139" t="str">
        <f>IFERROR(__xludf.DUMMYFUNCTION("""COMPUTED_VALUE"""),"※")</f>
        <v>※</v>
      </c>
      <c r="M173" s="674">
        <f>IFERROR(__xludf.DUMMYFUNCTION("""COMPUTED_VALUE"""),0.0)</f>
        <v>0</v>
      </c>
      <c r="N173" s="139">
        <f>IFERROR(__xludf.DUMMYFUNCTION("""COMPUTED_VALUE"""),0.0)</f>
        <v>0</v>
      </c>
      <c r="O173" s="139"/>
      <c r="P173" s="139">
        <f>IFERROR(__xludf.DUMMYFUNCTION("""COMPUTED_VALUE"""),0.0)</f>
        <v>0</v>
      </c>
      <c r="Q173" s="675">
        <f>IFERROR(__xludf.DUMMYFUNCTION("""COMPUTED_VALUE"""),0.0)</f>
        <v>0</v>
      </c>
      <c r="R173" s="675">
        <f>IFERROR(__xludf.DUMMYFUNCTION("""COMPUTED_VALUE"""),0.0)</f>
        <v>0</v>
      </c>
      <c r="S173" s="675">
        <f>IFERROR(__xludf.DUMMYFUNCTION("""COMPUTED_VALUE"""),-2.5)</f>
        <v>-2.5</v>
      </c>
      <c r="T173" s="674" t="str">
        <f>IFERROR(__xludf.DUMMYFUNCTION("""COMPUTED_VALUE"""),"#N/A")</f>
        <v>#N/A</v>
      </c>
      <c r="U173" s="675" t="str">
        <f>IFERROR(__xludf.DUMMYFUNCTION("""COMPUTED_VALUE"""),"#N/A")</f>
        <v>#N/A</v>
      </c>
      <c r="V173" s="675">
        <f>IFERROR(__xludf.DUMMYFUNCTION("""COMPUTED_VALUE"""),0.0)</f>
        <v>0</v>
      </c>
      <c r="W173" s="675" t="str">
        <f>IFERROR(__xludf.DUMMYFUNCTION("""COMPUTED_VALUE"""),"#N/A")</f>
        <v>#N/A</v>
      </c>
      <c r="X173" s="675">
        <f>IFERROR(__xludf.DUMMYFUNCTION("""COMPUTED_VALUE"""),0.0)</f>
        <v>0</v>
      </c>
      <c r="Y173" s="674" t="str">
        <f>IFERROR(__xludf.DUMMYFUNCTION("""COMPUTED_VALUE"""),"#N/A")</f>
        <v>#N/A</v>
      </c>
      <c r="Z173" s="675" t="str">
        <f>IFERROR(__xludf.DUMMYFUNCTION("""COMPUTED_VALUE"""),"#N/A")</f>
        <v>#N/A</v>
      </c>
      <c r="AA173" s="675">
        <f>IFERROR(__xludf.DUMMYFUNCTION("""COMPUTED_VALUE"""),0.0)</f>
        <v>0</v>
      </c>
      <c r="AB173" s="673" t="str">
        <f>IFERROR(__xludf.DUMMYFUNCTION("""COMPUTED_VALUE"""),"#N/A")</f>
        <v>#N/A</v>
      </c>
      <c r="AC173" s="675">
        <f>IFERROR(__xludf.DUMMYFUNCTION("""COMPUTED_VALUE"""),0.0)</f>
        <v>0</v>
      </c>
      <c r="AD173" s="674" t="str">
        <f>IFERROR(__xludf.DUMMYFUNCTION("""COMPUTED_VALUE"""),"#N/A")</f>
        <v>#N/A</v>
      </c>
      <c r="AE173" s="675" t="str">
        <f>IFERROR(__xludf.DUMMYFUNCTION("""COMPUTED_VALUE"""),"#N/A")</f>
        <v>#N/A</v>
      </c>
      <c r="AF173" s="675">
        <f>IFERROR(__xludf.DUMMYFUNCTION("""COMPUTED_VALUE"""),0.0)</f>
        <v>0</v>
      </c>
      <c r="AG173" s="675">
        <f>IFERROR(__xludf.DUMMYFUNCTION("""COMPUTED_VALUE"""),0.0)</f>
        <v>0</v>
      </c>
      <c r="AH173" s="675" t="str">
        <f>IFERROR(__xludf.DUMMYFUNCTION("""COMPUTED_VALUE"""),"#N/A")</f>
        <v>#N/A</v>
      </c>
      <c r="AI173" s="139" t="str">
        <f>IFERROR(__xludf.DUMMYFUNCTION("""COMPUTED_VALUE"""),"#N/A")</f>
        <v>#N/A</v>
      </c>
      <c r="AJ173" s="675" t="str">
        <f>IFERROR(__xludf.DUMMYFUNCTION("""COMPUTED_VALUE"""),"#N/A")</f>
        <v>#N/A</v>
      </c>
      <c r="AK173" s="139" t="str">
        <f>IFERROR(__xludf.DUMMYFUNCTION("""COMPUTED_VALUE"""),"#N/A")</f>
        <v>#N/A</v>
      </c>
      <c r="AL173" s="674" t="str">
        <f>IFERROR(__xludf.DUMMYFUNCTION("""COMPUTED_VALUE"""),"#N/A")</f>
        <v>#N/A</v>
      </c>
      <c r="AM173" s="688" t="str">
        <f>IFERROR(__xludf.DUMMYFUNCTION("""COMPUTED_VALUE"""),"#N/A")</f>
        <v>#N/A</v>
      </c>
      <c r="AN173" s="675" t="str">
        <f>IFERROR(__xludf.DUMMYFUNCTION("""COMPUTED_VALUE"""),"#N/A")</f>
        <v>#N/A</v>
      </c>
      <c r="AO173" s="675" t="str">
        <f>IFERROR(__xludf.DUMMYFUNCTION("""COMPUTED_VALUE"""),"#N/A")</f>
        <v>#N/A</v>
      </c>
      <c r="AP173" s="674">
        <f>IFERROR(__xludf.DUMMYFUNCTION("""COMPUTED_VALUE"""),0.0)</f>
        <v>0</v>
      </c>
      <c r="AQ173" s="673" t="str">
        <f>IFERROR(__xludf.DUMMYFUNCTION("""COMPUTED_VALUE"""),"#N/A")</f>
        <v>#N/A</v>
      </c>
      <c r="AR173" s="673">
        <f>IFERROR(__xludf.DUMMYFUNCTION("""COMPUTED_VALUE"""),0.0)</f>
        <v>0</v>
      </c>
      <c r="AS173" s="673">
        <f>IFERROR(__xludf.DUMMYFUNCTION("""COMPUTED_VALUE"""),0.0)</f>
        <v>0</v>
      </c>
      <c r="AT173" s="673">
        <f>IFERROR(__xludf.DUMMYFUNCTION("""COMPUTED_VALUE"""),0.0)</f>
        <v>0</v>
      </c>
      <c r="AU173" s="675" t="str">
        <f>IFERROR(__xludf.DUMMYFUNCTION("""COMPUTED_VALUE"""),"#N/A")</f>
        <v>#N/A</v>
      </c>
      <c r="AV173" s="675">
        <f>IFERROR(__xludf.DUMMYFUNCTION("""COMPUTED_VALUE"""),0.0)</f>
        <v>0</v>
      </c>
      <c r="AW173" s="139"/>
      <c r="AX173" s="674" t="str">
        <f>IFERROR(__xludf.DUMMYFUNCTION("""COMPUTED_VALUE"""),"※通常攻撃範囲を入力！(CD列)")</f>
        <v>※通常攻撃範囲を入力！(CD列)</v>
      </c>
      <c r="AY173" s="688" t="str">
        <f>IFERROR(__xludf.DUMMYFUNCTION("""COMPUTED_VALUE"""),"#VALUE!")</f>
        <v>#VALUE!</v>
      </c>
      <c r="AZ173" s="674" t="str">
        <f>IFERROR(__xludf.DUMMYFUNCTION("""COMPUTED_VALUE"""),"#N/A")</f>
        <v>#N/A</v>
      </c>
      <c r="BA173" s="688" t="str">
        <f>IFERROR(__xludf.DUMMYFUNCTION("""COMPUTED_VALUE"""),"#VALUE!")</f>
        <v>#VALUE!</v>
      </c>
      <c r="BB173" s="688" t="str">
        <f>IFERROR(__xludf.DUMMYFUNCTION("""COMPUTED_VALUE"""),"-")</f>
        <v>-</v>
      </c>
      <c r="BC173" s="688" t="str">
        <f>IFERROR(__xludf.DUMMYFUNCTION("""COMPUTED_VALUE"""),"#N/A")</f>
        <v>#N/A</v>
      </c>
      <c r="BD173" s="688" t="str">
        <f>IFERROR(__xludf.DUMMYFUNCTION("""COMPUTED_VALUE"""),"#VALUE!")</f>
        <v>#VALUE!</v>
      </c>
      <c r="BE173" s="674" t="str">
        <f>IFERROR(__xludf.DUMMYFUNCTION("""COMPUTED_VALUE"""),"#N/A")</f>
        <v>#N/A</v>
      </c>
      <c r="BF173" s="674">
        <f>IFERROR(__xludf.DUMMYFUNCTION("""COMPUTED_VALUE"""),0.0)</f>
        <v>0</v>
      </c>
      <c r="BG173" s="673">
        <f>IFERROR(__xludf.DUMMYFUNCTION("""COMPUTED_VALUE"""),0.0)</f>
        <v>0</v>
      </c>
      <c r="BH173" s="673" t="str">
        <f>IFERROR(__xludf.DUMMYFUNCTION("""COMPUTED_VALUE"""),"#N/A")</f>
        <v>#N/A</v>
      </c>
      <c r="BI173" s="673" t="str">
        <f>IFERROR(__xludf.DUMMYFUNCTION("""COMPUTED_VALUE"""),"#N/A")</f>
        <v>#N/A</v>
      </c>
      <c r="BJ173" s="673">
        <f>IFERROR(__xludf.DUMMYFUNCTION("""COMPUTED_VALUE"""),0.0)</f>
        <v>0</v>
      </c>
      <c r="BK173" s="673">
        <f>IFERROR(__xludf.DUMMYFUNCTION("""COMPUTED_VALUE"""),0.0)</f>
        <v>0</v>
      </c>
      <c r="BL173" s="673" t="str">
        <f>IFERROR(__xludf.DUMMYFUNCTION("""COMPUTED_VALUE"""),"#N/A")</f>
        <v>#N/A</v>
      </c>
      <c r="BM173" s="674" t="str">
        <f>IFERROR(__xludf.DUMMYFUNCTION("""COMPUTED_VALUE"""),"#N/A")</f>
        <v>#N/A</v>
      </c>
      <c r="BN173" s="674" t="str">
        <f>IFERROR(__xludf.DUMMYFUNCTION("""COMPUTED_VALUE"""),"#N/A")</f>
        <v>#N/A</v>
      </c>
      <c r="BO173" s="675">
        <f>IFERROR(__xludf.DUMMYFUNCTION("""COMPUTED_VALUE"""),0.0)</f>
        <v>0</v>
      </c>
      <c r="BP173" s="675" t="str">
        <f>IFERROR(__xludf.DUMMYFUNCTION("""COMPUTED_VALUE"""),"#N/A")</f>
        <v>#N/A</v>
      </c>
      <c r="BQ173" s="139"/>
      <c r="BR173" s="139" t="str">
        <f>IFERROR(__xludf.DUMMYFUNCTION("""COMPUTED_VALUE"""),"#N/A")</f>
        <v>#N/A</v>
      </c>
      <c r="BS173" s="139" t="str">
        <f>IFERROR(__xludf.DUMMYFUNCTION("""COMPUTED_VALUE"""),"※移動を入力！(BV列)")</f>
        <v>※移動を入力！(BV列)</v>
      </c>
      <c r="BT173" s="139" t="str">
        <f>IFERROR(__xludf.DUMMYFUNCTION("""COMPUTED_VALUE"""),"※攻撃手段を入力(BQ列)")</f>
        <v>※攻撃手段を入力(BQ列)</v>
      </c>
      <c r="BU173" s="139">
        <f>IFERROR(__xludf.DUMMYFUNCTION("""COMPUTED_VALUE"""),0.0)</f>
        <v>0</v>
      </c>
      <c r="BV173" s="139"/>
      <c r="BW173" s="139"/>
      <c r="BX173" s="139" t="str">
        <f>IFERROR(__xludf.DUMMYFUNCTION("""COMPUTED_VALUE"""),"※特性を選択!!(BW列)")</f>
        <v>※特性を選択!!(BW列)</v>
      </c>
      <c r="BY173" s="139" t="str">
        <f>IFERROR(__xludf.DUMMYFUNCTION("""COMPUTED_VALUE"""),"#N/A")</f>
        <v>#N/A</v>
      </c>
      <c r="BZ173" s="139"/>
      <c r="CA173" s="139" t="str">
        <f>IFERROR(__xludf.DUMMYFUNCTION("""COMPUTED_VALUE"""),"※特性を選択!!(BW列)")</f>
        <v>※特性を選択!!(BW列)</v>
      </c>
      <c r="CB173" s="139" t="str">
        <f>IFERROR(__xludf.DUMMYFUNCTION("""COMPUTED_VALUE"""),"#N/A")</f>
        <v>#N/A</v>
      </c>
      <c r="CC173" s="139" t="str">
        <f>IFERROR(__xludf.DUMMYFUNCTION("""COMPUTED_VALUE"""),"該当なし")</f>
        <v>該当なし</v>
      </c>
      <c r="CD173" s="139"/>
      <c r="CE173" s="139" t="str">
        <f>IFERROR(__xludf.DUMMYFUNCTION("""COMPUTED_VALUE"""),"#N/A")</f>
        <v>#N/A</v>
      </c>
      <c r="CF173" s="139" t="str">
        <f>IFERROR(__xludf.DUMMYFUNCTION("""COMPUTED_VALUE"""),"#VALUE!")</f>
        <v>#VALUE!</v>
      </c>
      <c r="CG173" s="139"/>
      <c r="CH173" s="139"/>
      <c r="CI173" s="139" t="str">
        <f>IFERROR(__xludf.DUMMYFUNCTION("""COMPUTED_VALUE"""),"#N/A")</f>
        <v>#N/A</v>
      </c>
      <c r="CJ173" s="139" t="str">
        <f>IFERROR(__xludf.DUMMYFUNCTION("""COMPUTED_VALUE"""),"#VALUE!")</f>
        <v>#VALUE!</v>
      </c>
      <c r="CK173" s="139"/>
      <c r="CL173" s="139"/>
      <c r="CM173" s="139"/>
      <c r="CN173" s="675" t="str">
        <f>IFERROR(__xludf.DUMMYFUNCTION("""COMPUTED_VALUE"""),"#N/A")</f>
        <v>#N/A</v>
      </c>
      <c r="CO173" s="139" t="str">
        <f>IFERROR(__xludf.DUMMYFUNCTION("""COMPUTED_VALUE"""),"-")</f>
        <v>-</v>
      </c>
      <c r="CP173" s="139" t="str">
        <f>IFERROR(__xludf.DUMMYFUNCTION("""COMPUTED_VALUE"""),"-")</f>
        <v>-</v>
      </c>
      <c r="CQ173" s="139" t="str">
        <f>IFERROR(__xludf.DUMMYFUNCTION("""COMPUTED_VALUE"""),"#N/A")</f>
        <v>#N/A</v>
      </c>
      <c r="CR173" s="139"/>
      <c r="CS173" s="139"/>
      <c r="CT173" s="139"/>
      <c r="CU173" s="139"/>
      <c r="CV173" s="139"/>
      <c r="CW173" s="139"/>
      <c r="CX173" s="674" t="str">
        <f>IFERROR(__xludf.DUMMYFUNCTION("""COMPUTED_VALUE"""),"")</f>
        <v/>
      </c>
      <c r="CY173" s="675" t="str">
        <f>IFERROR(__xludf.DUMMYFUNCTION("""COMPUTED_VALUE"""),"")</f>
        <v/>
      </c>
      <c r="CZ173" s="688" t="str">
        <f>IFERROR(__xludf.DUMMYFUNCTION("""COMPUTED_VALUE"""),"-")</f>
        <v>-</v>
      </c>
      <c r="DA173" s="688">
        <f>IFERROR(__xludf.DUMMYFUNCTION("""COMPUTED_VALUE"""),0.0)</f>
        <v>0</v>
      </c>
      <c r="DB173" s="688">
        <f>IFERROR(__xludf.DUMMYFUNCTION("""COMPUTED_VALUE"""),0.0)</f>
        <v>0</v>
      </c>
      <c r="DC173" s="673" t="str">
        <f>IFERROR(__xludf.DUMMYFUNCTION("""COMPUTED_VALUE"""),"-")</f>
        <v>-</v>
      </c>
      <c r="DD173" s="673" t="str">
        <f>IFERROR(__xludf.DUMMYFUNCTION("""COMPUTED_VALUE"""),"-")</f>
        <v>-</v>
      </c>
      <c r="DE173" s="139" t="str">
        <f>IFERROR(__xludf.DUMMYFUNCTION("""COMPUTED_VALUE"""),"-")</f>
        <v>-</v>
      </c>
      <c r="DF173" s="139" t="str">
        <f>IFERROR(__xludf.DUMMYFUNCTION("""COMPUTED_VALUE"""),"-")</f>
        <v>-</v>
      </c>
      <c r="DG173" s="139" t="str">
        <f>IFERROR(__xludf.DUMMYFUNCTION("""COMPUTED_VALUE"""),"-")</f>
        <v>-</v>
      </c>
      <c r="DH173" s="139" t="str">
        <f>IFERROR(__xludf.DUMMYFUNCTION("""COMPUTED_VALUE"""),"-")</f>
        <v>-</v>
      </c>
      <c r="DI173" s="139" t="str">
        <f>IFERROR(__xludf.DUMMYFUNCTION("""COMPUTED_VALUE"""),"-")</f>
        <v>-</v>
      </c>
      <c r="DJ173" s="139" t="str">
        <f>IFERROR(__xludf.DUMMYFUNCTION("""COMPUTED_VALUE"""),"-")</f>
        <v>-</v>
      </c>
    </row>
    <row r="174">
      <c r="A174" s="139" t="str">
        <f>IFERROR(__xludf.DUMMYFUNCTION("""COMPUTED_VALUE"""),"該当なし")</f>
        <v>該当なし</v>
      </c>
      <c r="B174" s="139" t="str">
        <f>IFERROR(__xludf.DUMMYFUNCTION("""COMPUTED_VALUE"""),"該当なし")</f>
        <v>該当なし</v>
      </c>
      <c r="C174" s="139"/>
      <c r="D174" s="139" t="str">
        <f>IFERROR(__xludf.DUMMYFUNCTION("""COMPUTED_VALUE"""),"#N/A")</f>
        <v>#N/A</v>
      </c>
      <c r="E174" s="139" t="str">
        <f>IFERROR(__xludf.DUMMYFUNCTION("""COMPUTED_VALUE"""),"#N/A")</f>
        <v>#N/A</v>
      </c>
      <c r="F174" s="139" t="str">
        <f>IFERROR(__xludf.DUMMYFUNCTION("""COMPUTED_VALUE"""),"#N/A")</f>
        <v>#N/A</v>
      </c>
      <c r="G174" s="139" t="str">
        <f>IFERROR(__xludf.DUMMYFUNCTION("""COMPUTED_VALUE"""),"該当なし")</f>
        <v>該当なし</v>
      </c>
      <c r="H174" s="139" t="str">
        <f>IFERROR(__xludf.DUMMYFUNCTION("""COMPUTED_VALUE"""),"#N/A")</f>
        <v>#N/A</v>
      </c>
      <c r="I174" s="139" t="str">
        <f>IFERROR(__xludf.DUMMYFUNCTION("""COMPUTED_VALUE"""),"#N/A")</f>
        <v>#N/A</v>
      </c>
      <c r="J174" s="139" t="str">
        <f>IFERROR(__xludf.DUMMYFUNCTION("""COMPUTED_VALUE"""),"#N/A")</f>
        <v>#N/A</v>
      </c>
      <c r="K174" s="139" t="str">
        <f>IFERROR(__xludf.DUMMYFUNCTION("""COMPUTED_VALUE"""),"#N/A")</f>
        <v>#N/A</v>
      </c>
      <c r="L174" s="139" t="str">
        <f>IFERROR(__xludf.DUMMYFUNCTION("""COMPUTED_VALUE"""),"※")</f>
        <v>※</v>
      </c>
      <c r="M174" s="674">
        <f>IFERROR(__xludf.DUMMYFUNCTION("""COMPUTED_VALUE"""),0.0)</f>
        <v>0</v>
      </c>
      <c r="N174" s="139">
        <f>IFERROR(__xludf.DUMMYFUNCTION("""COMPUTED_VALUE"""),0.0)</f>
        <v>0</v>
      </c>
      <c r="O174" s="139"/>
      <c r="P174" s="139">
        <f>IFERROR(__xludf.DUMMYFUNCTION("""COMPUTED_VALUE"""),0.0)</f>
        <v>0</v>
      </c>
      <c r="Q174" s="675">
        <f>IFERROR(__xludf.DUMMYFUNCTION("""COMPUTED_VALUE"""),0.0)</f>
        <v>0</v>
      </c>
      <c r="R174" s="675">
        <f>IFERROR(__xludf.DUMMYFUNCTION("""COMPUTED_VALUE"""),0.0)</f>
        <v>0</v>
      </c>
      <c r="S174" s="675">
        <f>IFERROR(__xludf.DUMMYFUNCTION("""COMPUTED_VALUE"""),-2.5)</f>
        <v>-2.5</v>
      </c>
      <c r="T174" s="674" t="str">
        <f>IFERROR(__xludf.DUMMYFUNCTION("""COMPUTED_VALUE"""),"#N/A")</f>
        <v>#N/A</v>
      </c>
      <c r="U174" s="675" t="str">
        <f>IFERROR(__xludf.DUMMYFUNCTION("""COMPUTED_VALUE"""),"#N/A")</f>
        <v>#N/A</v>
      </c>
      <c r="V174" s="675">
        <f>IFERROR(__xludf.DUMMYFUNCTION("""COMPUTED_VALUE"""),0.0)</f>
        <v>0</v>
      </c>
      <c r="W174" s="675" t="str">
        <f>IFERROR(__xludf.DUMMYFUNCTION("""COMPUTED_VALUE"""),"#N/A")</f>
        <v>#N/A</v>
      </c>
      <c r="X174" s="675">
        <f>IFERROR(__xludf.DUMMYFUNCTION("""COMPUTED_VALUE"""),0.0)</f>
        <v>0</v>
      </c>
      <c r="Y174" s="674" t="str">
        <f>IFERROR(__xludf.DUMMYFUNCTION("""COMPUTED_VALUE"""),"#N/A")</f>
        <v>#N/A</v>
      </c>
      <c r="Z174" s="675" t="str">
        <f>IFERROR(__xludf.DUMMYFUNCTION("""COMPUTED_VALUE"""),"#N/A")</f>
        <v>#N/A</v>
      </c>
      <c r="AA174" s="675">
        <f>IFERROR(__xludf.DUMMYFUNCTION("""COMPUTED_VALUE"""),0.0)</f>
        <v>0</v>
      </c>
      <c r="AB174" s="673" t="str">
        <f>IFERROR(__xludf.DUMMYFUNCTION("""COMPUTED_VALUE"""),"#N/A")</f>
        <v>#N/A</v>
      </c>
      <c r="AC174" s="675">
        <f>IFERROR(__xludf.DUMMYFUNCTION("""COMPUTED_VALUE"""),0.0)</f>
        <v>0</v>
      </c>
      <c r="AD174" s="674" t="str">
        <f>IFERROR(__xludf.DUMMYFUNCTION("""COMPUTED_VALUE"""),"#N/A")</f>
        <v>#N/A</v>
      </c>
      <c r="AE174" s="675" t="str">
        <f>IFERROR(__xludf.DUMMYFUNCTION("""COMPUTED_VALUE"""),"#N/A")</f>
        <v>#N/A</v>
      </c>
      <c r="AF174" s="675">
        <f>IFERROR(__xludf.DUMMYFUNCTION("""COMPUTED_VALUE"""),0.0)</f>
        <v>0</v>
      </c>
      <c r="AG174" s="675">
        <f>IFERROR(__xludf.DUMMYFUNCTION("""COMPUTED_VALUE"""),0.0)</f>
        <v>0</v>
      </c>
      <c r="AH174" s="675" t="str">
        <f>IFERROR(__xludf.DUMMYFUNCTION("""COMPUTED_VALUE"""),"#N/A")</f>
        <v>#N/A</v>
      </c>
      <c r="AI174" s="139" t="str">
        <f>IFERROR(__xludf.DUMMYFUNCTION("""COMPUTED_VALUE"""),"#N/A")</f>
        <v>#N/A</v>
      </c>
      <c r="AJ174" s="675" t="str">
        <f>IFERROR(__xludf.DUMMYFUNCTION("""COMPUTED_VALUE"""),"#N/A")</f>
        <v>#N/A</v>
      </c>
      <c r="AK174" s="139" t="str">
        <f>IFERROR(__xludf.DUMMYFUNCTION("""COMPUTED_VALUE"""),"#N/A")</f>
        <v>#N/A</v>
      </c>
      <c r="AL174" s="674" t="str">
        <f>IFERROR(__xludf.DUMMYFUNCTION("""COMPUTED_VALUE"""),"#N/A")</f>
        <v>#N/A</v>
      </c>
      <c r="AM174" s="688" t="str">
        <f>IFERROR(__xludf.DUMMYFUNCTION("""COMPUTED_VALUE"""),"#N/A")</f>
        <v>#N/A</v>
      </c>
      <c r="AN174" s="675" t="str">
        <f>IFERROR(__xludf.DUMMYFUNCTION("""COMPUTED_VALUE"""),"#N/A")</f>
        <v>#N/A</v>
      </c>
      <c r="AO174" s="675" t="str">
        <f>IFERROR(__xludf.DUMMYFUNCTION("""COMPUTED_VALUE"""),"#N/A")</f>
        <v>#N/A</v>
      </c>
      <c r="AP174" s="674">
        <f>IFERROR(__xludf.DUMMYFUNCTION("""COMPUTED_VALUE"""),0.0)</f>
        <v>0</v>
      </c>
      <c r="AQ174" s="673" t="str">
        <f>IFERROR(__xludf.DUMMYFUNCTION("""COMPUTED_VALUE"""),"#N/A")</f>
        <v>#N/A</v>
      </c>
      <c r="AR174" s="673">
        <f>IFERROR(__xludf.DUMMYFUNCTION("""COMPUTED_VALUE"""),0.0)</f>
        <v>0</v>
      </c>
      <c r="AS174" s="673">
        <f>IFERROR(__xludf.DUMMYFUNCTION("""COMPUTED_VALUE"""),0.0)</f>
        <v>0</v>
      </c>
      <c r="AT174" s="673">
        <f>IFERROR(__xludf.DUMMYFUNCTION("""COMPUTED_VALUE"""),0.0)</f>
        <v>0</v>
      </c>
      <c r="AU174" s="675" t="str">
        <f>IFERROR(__xludf.DUMMYFUNCTION("""COMPUTED_VALUE"""),"#N/A")</f>
        <v>#N/A</v>
      </c>
      <c r="AV174" s="675">
        <f>IFERROR(__xludf.DUMMYFUNCTION("""COMPUTED_VALUE"""),0.0)</f>
        <v>0</v>
      </c>
      <c r="AW174" s="139"/>
      <c r="AX174" s="674" t="str">
        <f>IFERROR(__xludf.DUMMYFUNCTION("""COMPUTED_VALUE"""),"※通常攻撃範囲を入力！(CD列)")</f>
        <v>※通常攻撃範囲を入力！(CD列)</v>
      </c>
      <c r="AY174" s="688" t="str">
        <f>IFERROR(__xludf.DUMMYFUNCTION("""COMPUTED_VALUE"""),"#VALUE!")</f>
        <v>#VALUE!</v>
      </c>
      <c r="AZ174" s="674" t="str">
        <f>IFERROR(__xludf.DUMMYFUNCTION("""COMPUTED_VALUE"""),"#N/A")</f>
        <v>#N/A</v>
      </c>
      <c r="BA174" s="688" t="str">
        <f>IFERROR(__xludf.DUMMYFUNCTION("""COMPUTED_VALUE"""),"#VALUE!")</f>
        <v>#VALUE!</v>
      </c>
      <c r="BB174" s="688" t="str">
        <f>IFERROR(__xludf.DUMMYFUNCTION("""COMPUTED_VALUE"""),"-")</f>
        <v>-</v>
      </c>
      <c r="BC174" s="688" t="str">
        <f>IFERROR(__xludf.DUMMYFUNCTION("""COMPUTED_VALUE"""),"#N/A")</f>
        <v>#N/A</v>
      </c>
      <c r="BD174" s="688" t="str">
        <f>IFERROR(__xludf.DUMMYFUNCTION("""COMPUTED_VALUE"""),"#VALUE!")</f>
        <v>#VALUE!</v>
      </c>
      <c r="BE174" s="674" t="str">
        <f>IFERROR(__xludf.DUMMYFUNCTION("""COMPUTED_VALUE"""),"#N/A")</f>
        <v>#N/A</v>
      </c>
      <c r="BF174" s="674">
        <f>IFERROR(__xludf.DUMMYFUNCTION("""COMPUTED_VALUE"""),0.0)</f>
        <v>0</v>
      </c>
      <c r="BG174" s="673">
        <f>IFERROR(__xludf.DUMMYFUNCTION("""COMPUTED_VALUE"""),0.0)</f>
        <v>0</v>
      </c>
      <c r="BH174" s="673" t="str">
        <f>IFERROR(__xludf.DUMMYFUNCTION("""COMPUTED_VALUE"""),"#N/A")</f>
        <v>#N/A</v>
      </c>
      <c r="BI174" s="673" t="str">
        <f>IFERROR(__xludf.DUMMYFUNCTION("""COMPUTED_VALUE"""),"#N/A")</f>
        <v>#N/A</v>
      </c>
      <c r="BJ174" s="673">
        <f>IFERROR(__xludf.DUMMYFUNCTION("""COMPUTED_VALUE"""),0.0)</f>
        <v>0</v>
      </c>
      <c r="BK174" s="673">
        <f>IFERROR(__xludf.DUMMYFUNCTION("""COMPUTED_VALUE"""),0.0)</f>
        <v>0</v>
      </c>
      <c r="BL174" s="673" t="str">
        <f>IFERROR(__xludf.DUMMYFUNCTION("""COMPUTED_VALUE"""),"#N/A")</f>
        <v>#N/A</v>
      </c>
      <c r="BM174" s="674" t="str">
        <f>IFERROR(__xludf.DUMMYFUNCTION("""COMPUTED_VALUE"""),"#N/A")</f>
        <v>#N/A</v>
      </c>
      <c r="BN174" s="674" t="str">
        <f>IFERROR(__xludf.DUMMYFUNCTION("""COMPUTED_VALUE"""),"#N/A")</f>
        <v>#N/A</v>
      </c>
      <c r="BO174" s="675">
        <f>IFERROR(__xludf.DUMMYFUNCTION("""COMPUTED_VALUE"""),0.0)</f>
        <v>0</v>
      </c>
      <c r="BP174" s="675" t="str">
        <f>IFERROR(__xludf.DUMMYFUNCTION("""COMPUTED_VALUE"""),"#N/A")</f>
        <v>#N/A</v>
      </c>
      <c r="BQ174" s="139"/>
      <c r="BR174" s="139" t="str">
        <f>IFERROR(__xludf.DUMMYFUNCTION("""COMPUTED_VALUE"""),"#N/A")</f>
        <v>#N/A</v>
      </c>
      <c r="BS174" s="139" t="str">
        <f>IFERROR(__xludf.DUMMYFUNCTION("""COMPUTED_VALUE"""),"※移動を入力！(BV列)")</f>
        <v>※移動を入力！(BV列)</v>
      </c>
      <c r="BT174" s="139" t="str">
        <f>IFERROR(__xludf.DUMMYFUNCTION("""COMPUTED_VALUE"""),"※攻撃手段を入力(BQ列)")</f>
        <v>※攻撃手段を入力(BQ列)</v>
      </c>
      <c r="BU174" s="139">
        <f>IFERROR(__xludf.DUMMYFUNCTION("""COMPUTED_VALUE"""),0.0)</f>
        <v>0</v>
      </c>
      <c r="BV174" s="139"/>
      <c r="BW174" s="139"/>
      <c r="BX174" s="139" t="str">
        <f>IFERROR(__xludf.DUMMYFUNCTION("""COMPUTED_VALUE"""),"※特性を選択!!(BW列)")</f>
        <v>※特性を選択!!(BW列)</v>
      </c>
      <c r="BY174" s="139" t="str">
        <f>IFERROR(__xludf.DUMMYFUNCTION("""COMPUTED_VALUE"""),"#N/A")</f>
        <v>#N/A</v>
      </c>
      <c r="BZ174" s="139"/>
      <c r="CA174" s="139" t="str">
        <f>IFERROR(__xludf.DUMMYFUNCTION("""COMPUTED_VALUE"""),"※特性を選択!!(BW列)")</f>
        <v>※特性を選択!!(BW列)</v>
      </c>
      <c r="CB174" s="139" t="str">
        <f>IFERROR(__xludf.DUMMYFUNCTION("""COMPUTED_VALUE"""),"#N/A")</f>
        <v>#N/A</v>
      </c>
      <c r="CC174" s="139" t="str">
        <f>IFERROR(__xludf.DUMMYFUNCTION("""COMPUTED_VALUE"""),"該当なし")</f>
        <v>該当なし</v>
      </c>
      <c r="CD174" s="139"/>
      <c r="CE174" s="139" t="str">
        <f>IFERROR(__xludf.DUMMYFUNCTION("""COMPUTED_VALUE"""),"#N/A")</f>
        <v>#N/A</v>
      </c>
      <c r="CF174" s="139" t="str">
        <f>IFERROR(__xludf.DUMMYFUNCTION("""COMPUTED_VALUE"""),"#VALUE!")</f>
        <v>#VALUE!</v>
      </c>
      <c r="CG174" s="139"/>
      <c r="CH174" s="139"/>
      <c r="CI174" s="139" t="str">
        <f>IFERROR(__xludf.DUMMYFUNCTION("""COMPUTED_VALUE"""),"#N/A")</f>
        <v>#N/A</v>
      </c>
      <c r="CJ174" s="139" t="str">
        <f>IFERROR(__xludf.DUMMYFUNCTION("""COMPUTED_VALUE"""),"#VALUE!")</f>
        <v>#VALUE!</v>
      </c>
      <c r="CK174" s="139"/>
      <c r="CL174" s="139"/>
      <c r="CM174" s="139"/>
      <c r="CN174" s="675" t="str">
        <f>IFERROR(__xludf.DUMMYFUNCTION("""COMPUTED_VALUE"""),"#N/A")</f>
        <v>#N/A</v>
      </c>
      <c r="CO174" s="139" t="str">
        <f>IFERROR(__xludf.DUMMYFUNCTION("""COMPUTED_VALUE"""),"-")</f>
        <v>-</v>
      </c>
      <c r="CP174" s="139" t="str">
        <f>IFERROR(__xludf.DUMMYFUNCTION("""COMPUTED_VALUE"""),"-")</f>
        <v>-</v>
      </c>
      <c r="CQ174" s="139" t="str">
        <f>IFERROR(__xludf.DUMMYFUNCTION("""COMPUTED_VALUE"""),"#N/A")</f>
        <v>#N/A</v>
      </c>
      <c r="CR174" s="139"/>
      <c r="CS174" s="139"/>
      <c r="CT174" s="139"/>
      <c r="CU174" s="139"/>
      <c r="CV174" s="139"/>
      <c r="CW174" s="139"/>
      <c r="CX174" s="674" t="str">
        <f>IFERROR(__xludf.DUMMYFUNCTION("""COMPUTED_VALUE"""),"")</f>
        <v/>
      </c>
      <c r="CY174" s="675" t="str">
        <f>IFERROR(__xludf.DUMMYFUNCTION("""COMPUTED_VALUE"""),"")</f>
        <v/>
      </c>
      <c r="CZ174" s="688" t="str">
        <f>IFERROR(__xludf.DUMMYFUNCTION("""COMPUTED_VALUE"""),"-")</f>
        <v>-</v>
      </c>
      <c r="DA174" s="688">
        <f>IFERROR(__xludf.DUMMYFUNCTION("""COMPUTED_VALUE"""),0.0)</f>
        <v>0</v>
      </c>
      <c r="DB174" s="688">
        <f>IFERROR(__xludf.DUMMYFUNCTION("""COMPUTED_VALUE"""),0.0)</f>
        <v>0</v>
      </c>
      <c r="DC174" s="673" t="str">
        <f>IFERROR(__xludf.DUMMYFUNCTION("""COMPUTED_VALUE"""),"-")</f>
        <v>-</v>
      </c>
      <c r="DD174" s="673" t="str">
        <f>IFERROR(__xludf.DUMMYFUNCTION("""COMPUTED_VALUE"""),"-")</f>
        <v>-</v>
      </c>
      <c r="DE174" s="139" t="str">
        <f>IFERROR(__xludf.DUMMYFUNCTION("""COMPUTED_VALUE"""),"-")</f>
        <v>-</v>
      </c>
      <c r="DF174" s="139" t="str">
        <f>IFERROR(__xludf.DUMMYFUNCTION("""COMPUTED_VALUE"""),"-")</f>
        <v>-</v>
      </c>
      <c r="DG174" s="139" t="str">
        <f>IFERROR(__xludf.DUMMYFUNCTION("""COMPUTED_VALUE"""),"-")</f>
        <v>-</v>
      </c>
      <c r="DH174" s="139" t="str">
        <f>IFERROR(__xludf.DUMMYFUNCTION("""COMPUTED_VALUE"""),"-")</f>
        <v>-</v>
      </c>
      <c r="DI174" s="139" t="str">
        <f>IFERROR(__xludf.DUMMYFUNCTION("""COMPUTED_VALUE"""),"-")</f>
        <v>-</v>
      </c>
      <c r="DJ174" s="139" t="str">
        <f>IFERROR(__xludf.DUMMYFUNCTION("""COMPUTED_VALUE"""),"-")</f>
        <v>-</v>
      </c>
    </row>
    <row r="175">
      <c r="A175" s="139" t="str">
        <f>IFERROR(__xludf.DUMMYFUNCTION("""COMPUTED_VALUE"""),"該当なし")</f>
        <v>該当なし</v>
      </c>
      <c r="B175" s="139" t="str">
        <f>IFERROR(__xludf.DUMMYFUNCTION("""COMPUTED_VALUE"""),"該当なし")</f>
        <v>該当なし</v>
      </c>
      <c r="C175" s="139"/>
      <c r="D175" s="139" t="str">
        <f>IFERROR(__xludf.DUMMYFUNCTION("""COMPUTED_VALUE"""),"#N/A")</f>
        <v>#N/A</v>
      </c>
      <c r="E175" s="139" t="str">
        <f>IFERROR(__xludf.DUMMYFUNCTION("""COMPUTED_VALUE"""),"#N/A")</f>
        <v>#N/A</v>
      </c>
      <c r="F175" s="139" t="str">
        <f>IFERROR(__xludf.DUMMYFUNCTION("""COMPUTED_VALUE"""),"#N/A")</f>
        <v>#N/A</v>
      </c>
      <c r="G175" s="139" t="str">
        <f>IFERROR(__xludf.DUMMYFUNCTION("""COMPUTED_VALUE"""),"該当なし")</f>
        <v>該当なし</v>
      </c>
      <c r="H175" s="139" t="str">
        <f>IFERROR(__xludf.DUMMYFUNCTION("""COMPUTED_VALUE"""),"#N/A")</f>
        <v>#N/A</v>
      </c>
      <c r="I175" s="139" t="str">
        <f>IFERROR(__xludf.DUMMYFUNCTION("""COMPUTED_VALUE"""),"#N/A")</f>
        <v>#N/A</v>
      </c>
      <c r="J175" s="139" t="str">
        <f>IFERROR(__xludf.DUMMYFUNCTION("""COMPUTED_VALUE"""),"#N/A")</f>
        <v>#N/A</v>
      </c>
      <c r="K175" s="139" t="str">
        <f>IFERROR(__xludf.DUMMYFUNCTION("""COMPUTED_VALUE"""),"#N/A")</f>
        <v>#N/A</v>
      </c>
      <c r="L175" s="139" t="str">
        <f>IFERROR(__xludf.DUMMYFUNCTION("""COMPUTED_VALUE"""),"※")</f>
        <v>※</v>
      </c>
      <c r="M175" s="674">
        <f>IFERROR(__xludf.DUMMYFUNCTION("""COMPUTED_VALUE"""),0.0)</f>
        <v>0</v>
      </c>
      <c r="N175" s="139">
        <f>IFERROR(__xludf.DUMMYFUNCTION("""COMPUTED_VALUE"""),0.0)</f>
        <v>0</v>
      </c>
      <c r="O175" s="139"/>
      <c r="P175" s="139">
        <f>IFERROR(__xludf.DUMMYFUNCTION("""COMPUTED_VALUE"""),0.0)</f>
        <v>0</v>
      </c>
      <c r="Q175" s="675">
        <f>IFERROR(__xludf.DUMMYFUNCTION("""COMPUTED_VALUE"""),0.0)</f>
        <v>0</v>
      </c>
      <c r="R175" s="675">
        <f>IFERROR(__xludf.DUMMYFUNCTION("""COMPUTED_VALUE"""),0.0)</f>
        <v>0</v>
      </c>
      <c r="S175" s="675">
        <f>IFERROR(__xludf.DUMMYFUNCTION("""COMPUTED_VALUE"""),-2.5)</f>
        <v>-2.5</v>
      </c>
      <c r="T175" s="674" t="str">
        <f>IFERROR(__xludf.DUMMYFUNCTION("""COMPUTED_VALUE"""),"#N/A")</f>
        <v>#N/A</v>
      </c>
      <c r="U175" s="675" t="str">
        <f>IFERROR(__xludf.DUMMYFUNCTION("""COMPUTED_VALUE"""),"#N/A")</f>
        <v>#N/A</v>
      </c>
      <c r="V175" s="675">
        <f>IFERROR(__xludf.DUMMYFUNCTION("""COMPUTED_VALUE"""),0.0)</f>
        <v>0</v>
      </c>
      <c r="W175" s="675" t="str">
        <f>IFERROR(__xludf.DUMMYFUNCTION("""COMPUTED_VALUE"""),"#N/A")</f>
        <v>#N/A</v>
      </c>
      <c r="X175" s="675">
        <f>IFERROR(__xludf.DUMMYFUNCTION("""COMPUTED_VALUE"""),0.0)</f>
        <v>0</v>
      </c>
      <c r="Y175" s="674" t="str">
        <f>IFERROR(__xludf.DUMMYFUNCTION("""COMPUTED_VALUE"""),"#N/A")</f>
        <v>#N/A</v>
      </c>
      <c r="Z175" s="675" t="str">
        <f>IFERROR(__xludf.DUMMYFUNCTION("""COMPUTED_VALUE"""),"#N/A")</f>
        <v>#N/A</v>
      </c>
      <c r="AA175" s="675">
        <f>IFERROR(__xludf.DUMMYFUNCTION("""COMPUTED_VALUE"""),0.0)</f>
        <v>0</v>
      </c>
      <c r="AB175" s="673" t="str">
        <f>IFERROR(__xludf.DUMMYFUNCTION("""COMPUTED_VALUE"""),"#N/A")</f>
        <v>#N/A</v>
      </c>
      <c r="AC175" s="675">
        <f>IFERROR(__xludf.DUMMYFUNCTION("""COMPUTED_VALUE"""),0.0)</f>
        <v>0</v>
      </c>
      <c r="AD175" s="674" t="str">
        <f>IFERROR(__xludf.DUMMYFUNCTION("""COMPUTED_VALUE"""),"#N/A")</f>
        <v>#N/A</v>
      </c>
      <c r="AE175" s="675" t="str">
        <f>IFERROR(__xludf.DUMMYFUNCTION("""COMPUTED_VALUE"""),"#N/A")</f>
        <v>#N/A</v>
      </c>
      <c r="AF175" s="675">
        <f>IFERROR(__xludf.DUMMYFUNCTION("""COMPUTED_VALUE"""),0.0)</f>
        <v>0</v>
      </c>
      <c r="AG175" s="675">
        <f>IFERROR(__xludf.DUMMYFUNCTION("""COMPUTED_VALUE"""),0.0)</f>
        <v>0</v>
      </c>
      <c r="AH175" s="675" t="str">
        <f>IFERROR(__xludf.DUMMYFUNCTION("""COMPUTED_VALUE"""),"#N/A")</f>
        <v>#N/A</v>
      </c>
      <c r="AI175" s="139" t="str">
        <f>IFERROR(__xludf.DUMMYFUNCTION("""COMPUTED_VALUE"""),"#N/A")</f>
        <v>#N/A</v>
      </c>
      <c r="AJ175" s="675" t="str">
        <f>IFERROR(__xludf.DUMMYFUNCTION("""COMPUTED_VALUE"""),"#N/A")</f>
        <v>#N/A</v>
      </c>
      <c r="AK175" s="139" t="str">
        <f>IFERROR(__xludf.DUMMYFUNCTION("""COMPUTED_VALUE"""),"#N/A")</f>
        <v>#N/A</v>
      </c>
      <c r="AL175" s="674" t="str">
        <f>IFERROR(__xludf.DUMMYFUNCTION("""COMPUTED_VALUE"""),"#N/A")</f>
        <v>#N/A</v>
      </c>
      <c r="AM175" s="688" t="str">
        <f>IFERROR(__xludf.DUMMYFUNCTION("""COMPUTED_VALUE"""),"#N/A")</f>
        <v>#N/A</v>
      </c>
      <c r="AN175" s="675" t="str">
        <f>IFERROR(__xludf.DUMMYFUNCTION("""COMPUTED_VALUE"""),"#N/A")</f>
        <v>#N/A</v>
      </c>
      <c r="AO175" s="675" t="str">
        <f>IFERROR(__xludf.DUMMYFUNCTION("""COMPUTED_VALUE"""),"#N/A")</f>
        <v>#N/A</v>
      </c>
      <c r="AP175" s="674">
        <f>IFERROR(__xludf.DUMMYFUNCTION("""COMPUTED_VALUE"""),0.0)</f>
        <v>0</v>
      </c>
      <c r="AQ175" s="673" t="str">
        <f>IFERROR(__xludf.DUMMYFUNCTION("""COMPUTED_VALUE"""),"#N/A")</f>
        <v>#N/A</v>
      </c>
      <c r="AR175" s="673">
        <f>IFERROR(__xludf.DUMMYFUNCTION("""COMPUTED_VALUE"""),0.0)</f>
        <v>0</v>
      </c>
      <c r="AS175" s="673">
        <f>IFERROR(__xludf.DUMMYFUNCTION("""COMPUTED_VALUE"""),0.0)</f>
        <v>0</v>
      </c>
      <c r="AT175" s="673">
        <f>IFERROR(__xludf.DUMMYFUNCTION("""COMPUTED_VALUE"""),0.0)</f>
        <v>0</v>
      </c>
      <c r="AU175" s="675" t="str">
        <f>IFERROR(__xludf.DUMMYFUNCTION("""COMPUTED_VALUE"""),"#N/A")</f>
        <v>#N/A</v>
      </c>
      <c r="AV175" s="675">
        <f>IFERROR(__xludf.DUMMYFUNCTION("""COMPUTED_VALUE"""),0.0)</f>
        <v>0</v>
      </c>
      <c r="AW175" s="139"/>
      <c r="AX175" s="674" t="str">
        <f>IFERROR(__xludf.DUMMYFUNCTION("""COMPUTED_VALUE"""),"※通常攻撃範囲を入力！(CD列)")</f>
        <v>※通常攻撃範囲を入力！(CD列)</v>
      </c>
      <c r="AY175" s="688" t="str">
        <f>IFERROR(__xludf.DUMMYFUNCTION("""COMPUTED_VALUE"""),"#VALUE!")</f>
        <v>#VALUE!</v>
      </c>
      <c r="AZ175" s="674" t="str">
        <f>IFERROR(__xludf.DUMMYFUNCTION("""COMPUTED_VALUE"""),"#N/A")</f>
        <v>#N/A</v>
      </c>
      <c r="BA175" s="688" t="str">
        <f>IFERROR(__xludf.DUMMYFUNCTION("""COMPUTED_VALUE"""),"#VALUE!")</f>
        <v>#VALUE!</v>
      </c>
      <c r="BB175" s="688" t="str">
        <f>IFERROR(__xludf.DUMMYFUNCTION("""COMPUTED_VALUE"""),"-")</f>
        <v>-</v>
      </c>
      <c r="BC175" s="688" t="str">
        <f>IFERROR(__xludf.DUMMYFUNCTION("""COMPUTED_VALUE"""),"#N/A")</f>
        <v>#N/A</v>
      </c>
      <c r="BD175" s="688" t="str">
        <f>IFERROR(__xludf.DUMMYFUNCTION("""COMPUTED_VALUE"""),"#VALUE!")</f>
        <v>#VALUE!</v>
      </c>
      <c r="BE175" s="674" t="str">
        <f>IFERROR(__xludf.DUMMYFUNCTION("""COMPUTED_VALUE"""),"#N/A")</f>
        <v>#N/A</v>
      </c>
      <c r="BF175" s="674">
        <f>IFERROR(__xludf.DUMMYFUNCTION("""COMPUTED_VALUE"""),0.0)</f>
        <v>0</v>
      </c>
      <c r="BG175" s="673">
        <f>IFERROR(__xludf.DUMMYFUNCTION("""COMPUTED_VALUE"""),0.0)</f>
        <v>0</v>
      </c>
      <c r="BH175" s="673" t="str">
        <f>IFERROR(__xludf.DUMMYFUNCTION("""COMPUTED_VALUE"""),"#N/A")</f>
        <v>#N/A</v>
      </c>
      <c r="BI175" s="673" t="str">
        <f>IFERROR(__xludf.DUMMYFUNCTION("""COMPUTED_VALUE"""),"#N/A")</f>
        <v>#N/A</v>
      </c>
      <c r="BJ175" s="673">
        <f>IFERROR(__xludf.DUMMYFUNCTION("""COMPUTED_VALUE"""),0.0)</f>
        <v>0</v>
      </c>
      <c r="BK175" s="673">
        <f>IFERROR(__xludf.DUMMYFUNCTION("""COMPUTED_VALUE"""),0.0)</f>
        <v>0</v>
      </c>
      <c r="BL175" s="673" t="str">
        <f>IFERROR(__xludf.DUMMYFUNCTION("""COMPUTED_VALUE"""),"#N/A")</f>
        <v>#N/A</v>
      </c>
      <c r="BM175" s="674" t="str">
        <f>IFERROR(__xludf.DUMMYFUNCTION("""COMPUTED_VALUE"""),"#N/A")</f>
        <v>#N/A</v>
      </c>
      <c r="BN175" s="674" t="str">
        <f>IFERROR(__xludf.DUMMYFUNCTION("""COMPUTED_VALUE"""),"#N/A")</f>
        <v>#N/A</v>
      </c>
      <c r="BO175" s="675">
        <f>IFERROR(__xludf.DUMMYFUNCTION("""COMPUTED_VALUE"""),0.0)</f>
        <v>0</v>
      </c>
      <c r="BP175" s="675" t="str">
        <f>IFERROR(__xludf.DUMMYFUNCTION("""COMPUTED_VALUE"""),"#N/A")</f>
        <v>#N/A</v>
      </c>
      <c r="BQ175" s="139"/>
      <c r="BR175" s="139" t="str">
        <f>IFERROR(__xludf.DUMMYFUNCTION("""COMPUTED_VALUE"""),"#N/A")</f>
        <v>#N/A</v>
      </c>
      <c r="BS175" s="139" t="str">
        <f>IFERROR(__xludf.DUMMYFUNCTION("""COMPUTED_VALUE"""),"※移動を入力！(BV列)")</f>
        <v>※移動を入力！(BV列)</v>
      </c>
      <c r="BT175" s="139" t="str">
        <f>IFERROR(__xludf.DUMMYFUNCTION("""COMPUTED_VALUE"""),"※攻撃手段を入力(BQ列)")</f>
        <v>※攻撃手段を入力(BQ列)</v>
      </c>
      <c r="BU175" s="139">
        <f>IFERROR(__xludf.DUMMYFUNCTION("""COMPUTED_VALUE"""),0.0)</f>
        <v>0</v>
      </c>
      <c r="BV175" s="139"/>
      <c r="BW175" s="139"/>
      <c r="BX175" s="139" t="str">
        <f>IFERROR(__xludf.DUMMYFUNCTION("""COMPUTED_VALUE"""),"※特性を選択!!(BW列)")</f>
        <v>※特性を選択!!(BW列)</v>
      </c>
      <c r="BY175" s="139" t="str">
        <f>IFERROR(__xludf.DUMMYFUNCTION("""COMPUTED_VALUE"""),"#N/A")</f>
        <v>#N/A</v>
      </c>
      <c r="BZ175" s="139"/>
      <c r="CA175" s="139" t="str">
        <f>IFERROR(__xludf.DUMMYFUNCTION("""COMPUTED_VALUE"""),"※特性を選択!!(BW列)")</f>
        <v>※特性を選択!!(BW列)</v>
      </c>
      <c r="CB175" s="139" t="str">
        <f>IFERROR(__xludf.DUMMYFUNCTION("""COMPUTED_VALUE"""),"#N/A")</f>
        <v>#N/A</v>
      </c>
      <c r="CC175" s="139" t="str">
        <f>IFERROR(__xludf.DUMMYFUNCTION("""COMPUTED_VALUE"""),"該当なし")</f>
        <v>該当なし</v>
      </c>
      <c r="CD175" s="139"/>
      <c r="CE175" s="139" t="str">
        <f>IFERROR(__xludf.DUMMYFUNCTION("""COMPUTED_VALUE"""),"#N/A")</f>
        <v>#N/A</v>
      </c>
      <c r="CF175" s="139" t="str">
        <f>IFERROR(__xludf.DUMMYFUNCTION("""COMPUTED_VALUE"""),"#VALUE!")</f>
        <v>#VALUE!</v>
      </c>
      <c r="CG175" s="139"/>
      <c r="CH175" s="139"/>
      <c r="CI175" s="139" t="str">
        <f>IFERROR(__xludf.DUMMYFUNCTION("""COMPUTED_VALUE"""),"#N/A")</f>
        <v>#N/A</v>
      </c>
      <c r="CJ175" s="139" t="str">
        <f>IFERROR(__xludf.DUMMYFUNCTION("""COMPUTED_VALUE"""),"#VALUE!")</f>
        <v>#VALUE!</v>
      </c>
      <c r="CK175" s="139"/>
      <c r="CL175" s="139"/>
      <c r="CM175" s="139"/>
      <c r="CN175" s="675" t="str">
        <f>IFERROR(__xludf.DUMMYFUNCTION("""COMPUTED_VALUE"""),"#N/A")</f>
        <v>#N/A</v>
      </c>
      <c r="CO175" s="139" t="str">
        <f>IFERROR(__xludf.DUMMYFUNCTION("""COMPUTED_VALUE"""),"-")</f>
        <v>-</v>
      </c>
      <c r="CP175" s="139" t="str">
        <f>IFERROR(__xludf.DUMMYFUNCTION("""COMPUTED_VALUE"""),"-")</f>
        <v>-</v>
      </c>
      <c r="CQ175" s="139" t="str">
        <f>IFERROR(__xludf.DUMMYFUNCTION("""COMPUTED_VALUE"""),"#N/A")</f>
        <v>#N/A</v>
      </c>
      <c r="CR175" s="139"/>
      <c r="CS175" s="139"/>
      <c r="CT175" s="139"/>
      <c r="CU175" s="139"/>
      <c r="CV175" s="139"/>
      <c r="CW175" s="139"/>
      <c r="CX175" s="674" t="str">
        <f>IFERROR(__xludf.DUMMYFUNCTION("""COMPUTED_VALUE"""),"")</f>
        <v/>
      </c>
      <c r="CY175" s="675" t="str">
        <f>IFERROR(__xludf.DUMMYFUNCTION("""COMPUTED_VALUE"""),"")</f>
        <v/>
      </c>
      <c r="CZ175" s="688" t="str">
        <f>IFERROR(__xludf.DUMMYFUNCTION("""COMPUTED_VALUE"""),"-")</f>
        <v>-</v>
      </c>
      <c r="DA175" s="688">
        <f>IFERROR(__xludf.DUMMYFUNCTION("""COMPUTED_VALUE"""),0.0)</f>
        <v>0</v>
      </c>
      <c r="DB175" s="688">
        <f>IFERROR(__xludf.DUMMYFUNCTION("""COMPUTED_VALUE"""),0.0)</f>
        <v>0</v>
      </c>
      <c r="DC175" s="673" t="str">
        <f>IFERROR(__xludf.DUMMYFUNCTION("""COMPUTED_VALUE"""),"-")</f>
        <v>-</v>
      </c>
      <c r="DD175" s="673" t="str">
        <f>IFERROR(__xludf.DUMMYFUNCTION("""COMPUTED_VALUE"""),"-")</f>
        <v>-</v>
      </c>
      <c r="DE175" s="139" t="str">
        <f>IFERROR(__xludf.DUMMYFUNCTION("""COMPUTED_VALUE"""),"-")</f>
        <v>-</v>
      </c>
      <c r="DF175" s="139" t="str">
        <f>IFERROR(__xludf.DUMMYFUNCTION("""COMPUTED_VALUE"""),"-")</f>
        <v>-</v>
      </c>
      <c r="DG175" s="139" t="str">
        <f>IFERROR(__xludf.DUMMYFUNCTION("""COMPUTED_VALUE"""),"-")</f>
        <v>-</v>
      </c>
      <c r="DH175" s="139" t="str">
        <f>IFERROR(__xludf.DUMMYFUNCTION("""COMPUTED_VALUE"""),"-")</f>
        <v>-</v>
      </c>
      <c r="DI175" s="139" t="str">
        <f>IFERROR(__xludf.DUMMYFUNCTION("""COMPUTED_VALUE"""),"-")</f>
        <v>-</v>
      </c>
      <c r="DJ175" s="139" t="str">
        <f>IFERROR(__xludf.DUMMYFUNCTION("""COMPUTED_VALUE"""),"-")</f>
        <v>-</v>
      </c>
    </row>
    <row r="176">
      <c r="A176" s="139" t="str">
        <f>IFERROR(__xludf.DUMMYFUNCTION("""COMPUTED_VALUE"""),"該当なし")</f>
        <v>該当なし</v>
      </c>
      <c r="B176" s="139" t="str">
        <f>IFERROR(__xludf.DUMMYFUNCTION("""COMPUTED_VALUE"""),"該当なし")</f>
        <v>該当なし</v>
      </c>
      <c r="C176" s="139"/>
      <c r="D176" s="139" t="str">
        <f>IFERROR(__xludf.DUMMYFUNCTION("""COMPUTED_VALUE"""),"#N/A")</f>
        <v>#N/A</v>
      </c>
      <c r="E176" s="139" t="str">
        <f>IFERROR(__xludf.DUMMYFUNCTION("""COMPUTED_VALUE"""),"#N/A")</f>
        <v>#N/A</v>
      </c>
      <c r="F176" s="139" t="str">
        <f>IFERROR(__xludf.DUMMYFUNCTION("""COMPUTED_VALUE"""),"#N/A")</f>
        <v>#N/A</v>
      </c>
      <c r="G176" s="139" t="str">
        <f>IFERROR(__xludf.DUMMYFUNCTION("""COMPUTED_VALUE"""),"該当なし")</f>
        <v>該当なし</v>
      </c>
      <c r="H176" s="139" t="str">
        <f>IFERROR(__xludf.DUMMYFUNCTION("""COMPUTED_VALUE"""),"#N/A")</f>
        <v>#N/A</v>
      </c>
      <c r="I176" s="139" t="str">
        <f>IFERROR(__xludf.DUMMYFUNCTION("""COMPUTED_VALUE"""),"#N/A")</f>
        <v>#N/A</v>
      </c>
      <c r="J176" s="139" t="str">
        <f>IFERROR(__xludf.DUMMYFUNCTION("""COMPUTED_VALUE"""),"#N/A")</f>
        <v>#N/A</v>
      </c>
      <c r="K176" s="139" t="str">
        <f>IFERROR(__xludf.DUMMYFUNCTION("""COMPUTED_VALUE"""),"#N/A")</f>
        <v>#N/A</v>
      </c>
      <c r="L176" s="139" t="str">
        <f>IFERROR(__xludf.DUMMYFUNCTION("""COMPUTED_VALUE"""),"※")</f>
        <v>※</v>
      </c>
      <c r="M176" s="674">
        <f>IFERROR(__xludf.DUMMYFUNCTION("""COMPUTED_VALUE"""),0.0)</f>
        <v>0</v>
      </c>
      <c r="N176" s="139">
        <f>IFERROR(__xludf.DUMMYFUNCTION("""COMPUTED_VALUE"""),0.0)</f>
        <v>0</v>
      </c>
      <c r="O176" s="139"/>
      <c r="P176" s="139">
        <f>IFERROR(__xludf.DUMMYFUNCTION("""COMPUTED_VALUE"""),0.0)</f>
        <v>0</v>
      </c>
      <c r="Q176" s="675">
        <f>IFERROR(__xludf.DUMMYFUNCTION("""COMPUTED_VALUE"""),0.0)</f>
        <v>0</v>
      </c>
      <c r="R176" s="675">
        <f>IFERROR(__xludf.DUMMYFUNCTION("""COMPUTED_VALUE"""),0.0)</f>
        <v>0</v>
      </c>
      <c r="S176" s="675">
        <f>IFERROR(__xludf.DUMMYFUNCTION("""COMPUTED_VALUE"""),-2.5)</f>
        <v>-2.5</v>
      </c>
      <c r="T176" s="674" t="str">
        <f>IFERROR(__xludf.DUMMYFUNCTION("""COMPUTED_VALUE"""),"#N/A")</f>
        <v>#N/A</v>
      </c>
      <c r="U176" s="675" t="str">
        <f>IFERROR(__xludf.DUMMYFUNCTION("""COMPUTED_VALUE"""),"#N/A")</f>
        <v>#N/A</v>
      </c>
      <c r="V176" s="675">
        <f>IFERROR(__xludf.DUMMYFUNCTION("""COMPUTED_VALUE"""),0.0)</f>
        <v>0</v>
      </c>
      <c r="W176" s="675" t="str">
        <f>IFERROR(__xludf.DUMMYFUNCTION("""COMPUTED_VALUE"""),"#N/A")</f>
        <v>#N/A</v>
      </c>
      <c r="X176" s="675">
        <f>IFERROR(__xludf.DUMMYFUNCTION("""COMPUTED_VALUE"""),0.0)</f>
        <v>0</v>
      </c>
      <c r="Y176" s="674" t="str">
        <f>IFERROR(__xludf.DUMMYFUNCTION("""COMPUTED_VALUE"""),"#N/A")</f>
        <v>#N/A</v>
      </c>
      <c r="Z176" s="675" t="str">
        <f>IFERROR(__xludf.DUMMYFUNCTION("""COMPUTED_VALUE"""),"#N/A")</f>
        <v>#N/A</v>
      </c>
      <c r="AA176" s="675">
        <f>IFERROR(__xludf.DUMMYFUNCTION("""COMPUTED_VALUE"""),0.0)</f>
        <v>0</v>
      </c>
      <c r="AB176" s="673" t="str">
        <f>IFERROR(__xludf.DUMMYFUNCTION("""COMPUTED_VALUE"""),"#N/A")</f>
        <v>#N/A</v>
      </c>
      <c r="AC176" s="675">
        <f>IFERROR(__xludf.DUMMYFUNCTION("""COMPUTED_VALUE"""),0.0)</f>
        <v>0</v>
      </c>
      <c r="AD176" s="674" t="str">
        <f>IFERROR(__xludf.DUMMYFUNCTION("""COMPUTED_VALUE"""),"#N/A")</f>
        <v>#N/A</v>
      </c>
      <c r="AE176" s="675" t="str">
        <f>IFERROR(__xludf.DUMMYFUNCTION("""COMPUTED_VALUE"""),"#N/A")</f>
        <v>#N/A</v>
      </c>
      <c r="AF176" s="675">
        <f>IFERROR(__xludf.DUMMYFUNCTION("""COMPUTED_VALUE"""),0.0)</f>
        <v>0</v>
      </c>
      <c r="AG176" s="675">
        <f>IFERROR(__xludf.DUMMYFUNCTION("""COMPUTED_VALUE"""),0.0)</f>
        <v>0</v>
      </c>
      <c r="AH176" s="675" t="str">
        <f>IFERROR(__xludf.DUMMYFUNCTION("""COMPUTED_VALUE"""),"#N/A")</f>
        <v>#N/A</v>
      </c>
      <c r="AI176" s="139" t="str">
        <f>IFERROR(__xludf.DUMMYFUNCTION("""COMPUTED_VALUE"""),"#N/A")</f>
        <v>#N/A</v>
      </c>
      <c r="AJ176" s="675" t="str">
        <f>IFERROR(__xludf.DUMMYFUNCTION("""COMPUTED_VALUE"""),"#N/A")</f>
        <v>#N/A</v>
      </c>
      <c r="AK176" s="139" t="str">
        <f>IFERROR(__xludf.DUMMYFUNCTION("""COMPUTED_VALUE"""),"#N/A")</f>
        <v>#N/A</v>
      </c>
      <c r="AL176" s="674" t="str">
        <f>IFERROR(__xludf.DUMMYFUNCTION("""COMPUTED_VALUE"""),"#N/A")</f>
        <v>#N/A</v>
      </c>
      <c r="AM176" s="688" t="str">
        <f>IFERROR(__xludf.DUMMYFUNCTION("""COMPUTED_VALUE"""),"#N/A")</f>
        <v>#N/A</v>
      </c>
      <c r="AN176" s="675" t="str">
        <f>IFERROR(__xludf.DUMMYFUNCTION("""COMPUTED_VALUE"""),"#N/A")</f>
        <v>#N/A</v>
      </c>
      <c r="AO176" s="675" t="str">
        <f>IFERROR(__xludf.DUMMYFUNCTION("""COMPUTED_VALUE"""),"#N/A")</f>
        <v>#N/A</v>
      </c>
      <c r="AP176" s="674">
        <f>IFERROR(__xludf.DUMMYFUNCTION("""COMPUTED_VALUE"""),0.0)</f>
        <v>0</v>
      </c>
      <c r="AQ176" s="673" t="str">
        <f>IFERROR(__xludf.DUMMYFUNCTION("""COMPUTED_VALUE"""),"#N/A")</f>
        <v>#N/A</v>
      </c>
      <c r="AR176" s="673">
        <f>IFERROR(__xludf.DUMMYFUNCTION("""COMPUTED_VALUE"""),0.0)</f>
        <v>0</v>
      </c>
      <c r="AS176" s="673">
        <f>IFERROR(__xludf.DUMMYFUNCTION("""COMPUTED_VALUE"""),0.0)</f>
        <v>0</v>
      </c>
      <c r="AT176" s="673">
        <f>IFERROR(__xludf.DUMMYFUNCTION("""COMPUTED_VALUE"""),0.0)</f>
        <v>0</v>
      </c>
      <c r="AU176" s="675" t="str">
        <f>IFERROR(__xludf.DUMMYFUNCTION("""COMPUTED_VALUE"""),"#N/A")</f>
        <v>#N/A</v>
      </c>
      <c r="AV176" s="675">
        <f>IFERROR(__xludf.DUMMYFUNCTION("""COMPUTED_VALUE"""),0.0)</f>
        <v>0</v>
      </c>
      <c r="AW176" s="139"/>
      <c r="AX176" s="674" t="str">
        <f>IFERROR(__xludf.DUMMYFUNCTION("""COMPUTED_VALUE"""),"※通常攻撃範囲を入力！(CD列)")</f>
        <v>※通常攻撃範囲を入力！(CD列)</v>
      </c>
      <c r="AY176" s="688" t="str">
        <f>IFERROR(__xludf.DUMMYFUNCTION("""COMPUTED_VALUE"""),"#VALUE!")</f>
        <v>#VALUE!</v>
      </c>
      <c r="AZ176" s="674" t="str">
        <f>IFERROR(__xludf.DUMMYFUNCTION("""COMPUTED_VALUE"""),"#N/A")</f>
        <v>#N/A</v>
      </c>
      <c r="BA176" s="688" t="str">
        <f>IFERROR(__xludf.DUMMYFUNCTION("""COMPUTED_VALUE"""),"#VALUE!")</f>
        <v>#VALUE!</v>
      </c>
      <c r="BB176" s="688" t="str">
        <f>IFERROR(__xludf.DUMMYFUNCTION("""COMPUTED_VALUE"""),"-")</f>
        <v>-</v>
      </c>
      <c r="BC176" s="688" t="str">
        <f>IFERROR(__xludf.DUMMYFUNCTION("""COMPUTED_VALUE"""),"#N/A")</f>
        <v>#N/A</v>
      </c>
      <c r="BD176" s="688" t="str">
        <f>IFERROR(__xludf.DUMMYFUNCTION("""COMPUTED_VALUE"""),"#VALUE!")</f>
        <v>#VALUE!</v>
      </c>
      <c r="BE176" s="674" t="str">
        <f>IFERROR(__xludf.DUMMYFUNCTION("""COMPUTED_VALUE"""),"#N/A")</f>
        <v>#N/A</v>
      </c>
      <c r="BF176" s="674">
        <f>IFERROR(__xludf.DUMMYFUNCTION("""COMPUTED_VALUE"""),0.0)</f>
        <v>0</v>
      </c>
      <c r="BG176" s="673">
        <f>IFERROR(__xludf.DUMMYFUNCTION("""COMPUTED_VALUE"""),0.0)</f>
        <v>0</v>
      </c>
      <c r="BH176" s="673" t="str">
        <f>IFERROR(__xludf.DUMMYFUNCTION("""COMPUTED_VALUE"""),"#N/A")</f>
        <v>#N/A</v>
      </c>
      <c r="BI176" s="673" t="str">
        <f>IFERROR(__xludf.DUMMYFUNCTION("""COMPUTED_VALUE"""),"#N/A")</f>
        <v>#N/A</v>
      </c>
      <c r="BJ176" s="673">
        <f>IFERROR(__xludf.DUMMYFUNCTION("""COMPUTED_VALUE"""),0.0)</f>
        <v>0</v>
      </c>
      <c r="BK176" s="673">
        <f>IFERROR(__xludf.DUMMYFUNCTION("""COMPUTED_VALUE"""),0.0)</f>
        <v>0</v>
      </c>
      <c r="BL176" s="673" t="str">
        <f>IFERROR(__xludf.DUMMYFUNCTION("""COMPUTED_VALUE"""),"#N/A")</f>
        <v>#N/A</v>
      </c>
      <c r="BM176" s="674" t="str">
        <f>IFERROR(__xludf.DUMMYFUNCTION("""COMPUTED_VALUE"""),"#N/A")</f>
        <v>#N/A</v>
      </c>
      <c r="BN176" s="674" t="str">
        <f>IFERROR(__xludf.DUMMYFUNCTION("""COMPUTED_VALUE"""),"#N/A")</f>
        <v>#N/A</v>
      </c>
      <c r="BO176" s="675">
        <f>IFERROR(__xludf.DUMMYFUNCTION("""COMPUTED_VALUE"""),0.0)</f>
        <v>0</v>
      </c>
      <c r="BP176" s="675" t="str">
        <f>IFERROR(__xludf.DUMMYFUNCTION("""COMPUTED_VALUE"""),"#N/A")</f>
        <v>#N/A</v>
      </c>
      <c r="BQ176" s="139"/>
      <c r="BR176" s="139" t="str">
        <f>IFERROR(__xludf.DUMMYFUNCTION("""COMPUTED_VALUE"""),"#N/A")</f>
        <v>#N/A</v>
      </c>
      <c r="BS176" s="139" t="str">
        <f>IFERROR(__xludf.DUMMYFUNCTION("""COMPUTED_VALUE"""),"※移動を入力！(BV列)")</f>
        <v>※移動を入力！(BV列)</v>
      </c>
      <c r="BT176" s="139" t="str">
        <f>IFERROR(__xludf.DUMMYFUNCTION("""COMPUTED_VALUE"""),"※攻撃手段を入力(BQ列)")</f>
        <v>※攻撃手段を入力(BQ列)</v>
      </c>
      <c r="BU176" s="139">
        <f>IFERROR(__xludf.DUMMYFUNCTION("""COMPUTED_VALUE"""),0.0)</f>
        <v>0</v>
      </c>
      <c r="BV176" s="139"/>
      <c r="BW176" s="139"/>
      <c r="BX176" s="139" t="str">
        <f>IFERROR(__xludf.DUMMYFUNCTION("""COMPUTED_VALUE"""),"※特性を選択!!(BW列)")</f>
        <v>※特性を選択!!(BW列)</v>
      </c>
      <c r="BY176" s="139" t="str">
        <f>IFERROR(__xludf.DUMMYFUNCTION("""COMPUTED_VALUE"""),"#N/A")</f>
        <v>#N/A</v>
      </c>
      <c r="BZ176" s="139"/>
      <c r="CA176" s="139" t="str">
        <f>IFERROR(__xludf.DUMMYFUNCTION("""COMPUTED_VALUE"""),"※特性を選択!!(BW列)")</f>
        <v>※特性を選択!!(BW列)</v>
      </c>
      <c r="CB176" s="139" t="str">
        <f>IFERROR(__xludf.DUMMYFUNCTION("""COMPUTED_VALUE"""),"#N/A")</f>
        <v>#N/A</v>
      </c>
      <c r="CC176" s="139" t="str">
        <f>IFERROR(__xludf.DUMMYFUNCTION("""COMPUTED_VALUE"""),"該当なし")</f>
        <v>該当なし</v>
      </c>
      <c r="CD176" s="139"/>
      <c r="CE176" s="139" t="str">
        <f>IFERROR(__xludf.DUMMYFUNCTION("""COMPUTED_VALUE"""),"#N/A")</f>
        <v>#N/A</v>
      </c>
      <c r="CF176" s="139" t="str">
        <f>IFERROR(__xludf.DUMMYFUNCTION("""COMPUTED_VALUE"""),"#VALUE!")</f>
        <v>#VALUE!</v>
      </c>
      <c r="CG176" s="139"/>
      <c r="CH176" s="139"/>
      <c r="CI176" s="139" t="str">
        <f>IFERROR(__xludf.DUMMYFUNCTION("""COMPUTED_VALUE"""),"#N/A")</f>
        <v>#N/A</v>
      </c>
      <c r="CJ176" s="139" t="str">
        <f>IFERROR(__xludf.DUMMYFUNCTION("""COMPUTED_VALUE"""),"#VALUE!")</f>
        <v>#VALUE!</v>
      </c>
      <c r="CK176" s="139"/>
      <c r="CL176" s="139"/>
      <c r="CM176" s="139"/>
      <c r="CN176" s="675" t="str">
        <f>IFERROR(__xludf.DUMMYFUNCTION("""COMPUTED_VALUE"""),"#N/A")</f>
        <v>#N/A</v>
      </c>
      <c r="CO176" s="139" t="str">
        <f>IFERROR(__xludf.DUMMYFUNCTION("""COMPUTED_VALUE"""),"-")</f>
        <v>-</v>
      </c>
      <c r="CP176" s="139" t="str">
        <f>IFERROR(__xludf.DUMMYFUNCTION("""COMPUTED_VALUE"""),"-")</f>
        <v>-</v>
      </c>
      <c r="CQ176" s="139" t="str">
        <f>IFERROR(__xludf.DUMMYFUNCTION("""COMPUTED_VALUE"""),"#N/A")</f>
        <v>#N/A</v>
      </c>
      <c r="CR176" s="139"/>
      <c r="CS176" s="139"/>
      <c r="CT176" s="139"/>
      <c r="CU176" s="139"/>
      <c r="CV176" s="139"/>
      <c r="CW176" s="139"/>
      <c r="CX176" s="674" t="str">
        <f>IFERROR(__xludf.DUMMYFUNCTION("""COMPUTED_VALUE"""),"")</f>
        <v/>
      </c>
      <c r="CY176" s="675" t="str">
        <f>IFERROR(__xludf.DUMMYFUNCTION("""COMPUTED_VALUE"""),"")</f>
        <v/>
      </c>
      <c r="CZ176" s="688" t="str">
        <f>IFERROR(__xludf.DUMMYFUNCTION("""COMPUTED_VALUE"""),"-")</f>
        <v>-</v>
      </c>
      <c r="DA176" s="688">
        <f>IFERROR(__xludf.DUMMYFUNCTION("""COMPUTED_VALUE"""),0.0)</f>
        <v>0</v>
      </c>
      <c r="DB176" s="688">
        <f>IFERROR(__xludf.DUMMYFUNCTION("""COMPUTED_VALUE"""),0.0)</f>
        <v>0</v>
      </c>
      <c r="DC176" s="673" t="str">
        <f>IFERROR(__xludf.DUMMYFUNCTION("""COMPUTED_VALUE"""),"-")</f>
        <v>-</v>
      </c>
      <c r="DD176" s="673" t="str">
        <f>IFERROR(__xludf.DUMMYFUNCTION("""COMPUTED_VALUE"""),"-")</f>
        <v>-</v>
      </c>
      <c r="DE176" s="139" t="str">
        <f>IFERROR(__xludf.DUMMYFUNCTION("""COMPUTED_VALUE"""),"-")</f>
        <v>-</v>
      </c>
      <c r="DF176" s="139" t="str">
        <f>IFERROR(__xludf.DUMMYFUNCTION("""COMPUTED_VALUE"""),"-")</f>
        <v>-</v>
      </c>
      <c r="DG176" s="139" t="str">
        <f>IFERROR(__xludf.DUMMYFUNCTION("""COMPUTED_VALUE"""),"-")</f>
        <v>-</v>
      </c>
      <c r="DH176" s="139" t="str">
        <f>IFERROR(__xludf.DUMMYFUNCTION("""COMPUTED_VALUE"""),"-")</f>
        <v>-</v>
      </c>
      <c r="DI176" s="139" t="str">
        <f>IFERROR(__xludf.DUMMYFUNCTION("""COMPUTED_VALUE"""),"-")</f>
        <v>-</v>
      </c>
      <c r="DJ176" s="139" t="str">
        <f>IFERROR(__xludf.DUMMYFUNCTION("""COMPUTED_VALUE"""),"-")</f>
        <v>-</v>
      </c>
    </row>
    <row r="177">
      <c r="A177" s="139" t="str">
        <f>IFERROR(__xludf.DUMMYFUNCTION("""COMPUTED_VALUE"""),"該当なし")</f>
        <v>該当なし</v>
      </c>
      <c r="B177" s="139" t="str">
        <f>IFERROR(__xludf.DUMMYFUNCTION("""COMPUTED_VALUE"""),"該当なし")</f>
        <v>該当なし</v>
      </c>
      <c r="C177" s="139"/>
      <c r="D177" s="139" t="str">
        <f>IFERROR(__xludf.DUMMYFUNCTION("""COMPUTED_VALUE"""),"#N/A")</f>
        <v>#N/A</v>
      </c>
      <c r="E177" s="139" t="str">
        <f>IFERROR(__xludf.DUMMYFUNCTION("""COMPUTED_VALUE"""),"#N/A")</f>
        <v>#N/A</v>
      </c>
      <c r="F177" s="139" t="str">
        <f>IFERROR(__xludf.DUMMYFUNCTION("""COMPUTED_VALUE"""),"#N/A")</f>
        <v>#N/A</v>
      </c>
      <c r="G177" s="139" t="str">
        <f>IFERROR(__xludf.DUMMYFUNCTION("""COMPUTED_VALUE"""),"該当なし")</f>
        <v>該当なし</v>
      </c>
      <c r="H177" s="139" t="str">
        <f>IFERROR(__xludf.DUMMYFUNCTION("""COMPUTED_VALUE"""),"#N/A")</f>
        <v>#N/A</v>
      </c>
      <c r="I177" s="139" t="str">
        <f>IFERROR(__xludf.DUMMYFUNCTION("""COMPUTED_VALUE"""),"#N/A")</f>
        <v>#N/A</v>
      </c>
      <c r="J177" s="139" t="str">
        <f>IFERROR(__xludf.DUMMYFUNCTION("""COMPUTED_VALUE"""),"#N/A")</f>
        <v>#N/A</v>
      </c>
      <c r="K177" s="139" t="str">
        <f>IFERROR(__xludf.DUMMYFUNCTION("""COMPUTED_VALUE"""),"#N/A")</f>
        <v>#N/A</v>
      </c>
      <c r="L177" s="139" t="str">
        <f>IFERROR(__xludf.DUMMYFUNCTION("""COMPUTED_VALUE"""),"※")</f>
        <v>※</v>
      </c>
      <c r="M177" s="674">
        <f>IFERROR(__xludf.DUMMYFUNCTION("""COMPUTED_VALUE"""),0.0)</f>
        <v>0</v>
      </c>
      <c r="N177" s="139">
        <f>IFERROR(__xludf.DUMMYFUNCTION("""COMPUTED_VALUE"""),0.0)</f>
        <v>0</v>
      </c>
      <c r="O177" s="139"/>
      <c r="P177" s="139">
        <f>IFERROR(__xludf.DUMMYFUNCTION("""COMPUTED_VALUE"""),0.0)</f>
        <v>0</v>
      </c>
      <c r="Q177" s="675">
        <f>IFERROR(__xludf.DUMMYFUNCTION("""COMPUTED_VALUE"""),0.0)</f>
        <v>0</v>
      </c>
      <c r="R177" s="675">
        <f>IFERROR(__xludf.DUMMYFUNCTION("""COMPUTED_VALUE"""),0.0)</f>
        <v>0</v>
      </c>
      <c r="S177" s="675">
        <f>IFERROR(__xludf.DUMMYFUNCTION("""COMPUTED_VALUE"""),-2.5)</f>
        <v>-2.5</v>
      </c>
      <c r="T177" s="674" t="str">
        <f>IFERROR(__xludf.DUMMYFUNCTION("""COMPUTED_VALUE"""),"#N/A")</f>
        <v>#N/A</v>
      </c>
      <c r="U177" s="675" t="str">
        <f>IFERROR(__xludf.DUMMYFUNCTION("""COMPUTED_VALUE"""),"#N/A")</f>
        <v>#N/A</v>
      </c>
      <c r="V177" s="675">
        <f>IFERROR(__xludf.DUMMYFUNCTION("""COMPUTED_VALUE"""),0.0)</f>
        <v>0</v>
      </c>
      <c r="W177" s="675" t="str">
        <f>IFERROR(__xludf.DUMMYFUNCTION("""COMPUTED_VALUE"""),"#N/A")</f>
        <v>#N/A</v>
      </c>
      <c r="X177" s="675">
        <f>IFERROR(__xludf.DUMMYFUNCTION("""COMPUTED_VALUE"""),0.0)</f>
        <v>0</v>
      </c>
      <c r="Y177" s="674" t="str">
        <f>IFERROR(__xludf.DUMMYFUNCTION("""COMPUTED_VALUE"""),"#N/A")</f>
        <v>#N/A</v>
      </c>
      <c r="Z177" s="675" t="str">
        <f>IFERROR(__xludf.DUMMYFUNCTION("""COMPUTED_VALUE"""),"#N/A")</f>
        <v>#N/A</v>
      </c>
      <c r="AA177" s="675">
        <f>IFERROR(__xludf.DUMMYFUNCTION("""COMPUTED_VALUE"""),0.0)</f>
        <v>0</v>
      </c>
      <c r="AB177" s="673" t="str">
        <f>IFERROR(__xludf.DUMMYFUNCTION("""COMPUTED_VALUE"""),"#N/A")</f>
        <v>#N/A</v>
      </c>
      <c r="AC177" s="675">
        <f>IFERROR(__xludf.DUMMYFUNCTION("""COMPUTED_VALUE"""),0.0)</f>
        <v>0</v>
      </c>
      <c r="AD177" s="674" t="str">
        <f>IFERROR(__xludf.DUMMYFUNCTION("""COMPUTED_VALUE"""),"#N/A")</f>
        <v>#N/A</v>
      </c>
      <c r="AE177" s="675" t="str">
        <f>IFERROR(__xludf.DUMMYFUNCTION("""COMPUTED_VALUE"""),"#N/A")</f>
        <v>#N/A</v>
      </c>
      <c r="AF177" s="675">
        <f>IFERROR(__xludf.DUMMYFUNCTION("""COMPUTED_VALUE"""),0.0)</f>
        <v>0</v>
      </c>
      <c r="AG177" s="675">
        <f>IFERROR(__xludf.DUMMYFUNCTION("""COMPUTED_VALUE"""),0.0)</f>
        <v>0</v>
      </c>
      <c r="AH177" s="675" t="str">
        <f>IFERROR(__xludf.DUMMYFUNCTION("""COMPUTED_VALUE"""),"#N/A")</f>
        <v>#N/A</v>
      </c>
      <c r="AI177" s="139" t="str">
        <f>IFERROR(__xludf.DUMMYFUNCTION("""COMPUTED_VALUE"""),"#N/A")</f>
        <v>#N/A</v>
      </c>
      <c r="AJ177" s="675" t="str">
        <f>IFERROR(__xludf.DUMMYFUNCTION("""COMPUTED_VALUE"""),"#N/A")</f>
        <v>#N/A</v>
      </c>
      <c r="AK177" s="139" t="str">
        <f>IFERROR(__xludf.DUMMYFUNCTION("""COMPUTED_VALUE"""),"#N/A")</f>
        <v>#N/A</v>
      </c>
      <c r="AL177" s="674" t="str">
        <f>IFERROR(__xludf.DUMMYFUNCTION("""COMPUTED_VALUE"""),"#N/A")</f>
        <v>#N/A</v>
      </c>
      <c r="AM177" s="688" t="str">
        <f>IFERROR(__xludf.DUMMYFUNCTION("""COMPUTED_VALUE"""),"#N/A")</f>
        <v>#N/A</v>
      </c>
      <c r="AN177" s="675" t="str">
        <f>IFERROR(__xludf.DUMMYFUNCTION("""COMPUTED_VALUE"""),"#N/A")</f>
        <v>#N/A</v>
      </c>
      <c r="AO177" s="675" t="str">
        <f>IFERROR(__xludf.DUMMYFUNCTION("""COMPUTED_VALUE"""),"#N/A")</f>
        <v>#N/A</v>
      </c>
      <c r="AP177" s="674">
        <f>IFERROR(__xludf.DUMMYFUNCTION("""COMPUTED_VALUE"""),0.0)</f>
        <v>0</v>
      </c>
      <c r="AQ177" s="673" t="str">
        <f>IFERROR(__xludf.DUMMYFUNCTION("""COMPUTED_VALUE"""),"#N/A")</f>
        <v>#N/A</v>
      </c>
      <c r="AR177" s="673">
        <f>IFERROR(__xludf.DUMMYFUNCTION("""COMPUTED_VALUE"""),0.0)</f>
        <v>0</v>
      </c>
      <c r="AS177" s="673">
        <f>IFERROR(__xludf.DUMMYFUNCTION("""COMPUTED_VALUE"""),0.0)</f>
        <v>0</v>
      </c>
      <c r="AT177" s="673">
        <f>IFERROR(__xludf.DUMMYFUNCTION("""COMPUTED_VALUE"""),0.0)</f>
        <v>0</v>
      </c>
      <c r="AU177" s="675" t="str">
        <f>IFERROR(__xludf.DUMMYFUNCTION("""COMPUTED_VALUE"""),"#N/A")</f>
        <v>#N/A</v>
      </c>
      <c r="AV177" s="675">
        <f>IFERROR(__xludf.DUMMYFUNCTION("""COMPUTED_VALUE"""),0.0)</f>
        <v>0</v>
      </c>
      <c r="AW177" s="139"/>
      <c r="AX177" s="674" t="str">
        <f>IFERROR(__xludf.DUMMYFUNCTION("""COMPUTED_VALUE"""),"※通常攻撃範囲を入力！(CD列)")</f>
        <v>※通常攻撃範囲を入力！(CD列)</v>
      </c>
      <c r="AY177" s="688" t="str">
        <f>IFERROR(__xludf.DUMMYFUNCTION("""COMPUTED_VALUE"""),"#VALUE!")</f>
        <v>#VALUE!</v>
      </c>
      <c r="AZ177" s="674" t="str">
        <f>IFERROR(__xludf.DUMMYFUNCTION("""COMPUTED_VALUE"""),"#N/A")</f>
        <v>#N/A</v>
      </c>
      <c r="BA177" s="688" t="str">
        <f>IFERROR(__xludf.DUMMYFUNCTION("""COMPUTED_VALUE"""),"#VALUE!")</f>
        <v>#VALUE!</v>
      </c>
      <c r="BB177" s="688" t="str">
        <f>IFERROR(__xludf.DUMMYFUNCTION("""COMPUTED_VALUE"""),"-")</f>
        <v>-</v>
      </c>
      <c r="BC177" s="688" t="str">
        <f>IFERROR(__xludf.DUMMYFUNCTION("""COMPUTED_VALUE"""),"#N/A")</f>
        <v>#N/A</v>
      </c>
      <c r="BD177" s="688" t="str">
        <f>IFERROR(__xludf.DUMMYFUNCTION("""COMPUTED_VALUE"""),"#VALUE!")</f>
        <v>#VALUE!</v>
      </c>
      <c r="BE177" s="674" t="str">
        <f>IFERROR(__xludf.DUMMYFUNCTION("""COMPUTED_VALUE"""),"#N/A")</f>
        <v>#N/A</v>
      </c>
      <c r="BF177" s="674">
        <f>IFERROR(__xludf.DUMMYFUNCTION("""COMPUTED_VALUE"""),0.0)</f>
        <v>0</v>
      </c>
      <c r="BG177" s="673">
        <f>IFERROR(__xludf.DUMMYFUNCTION("""COMPUTED_VALUE"""),0.0)</f>
        <v>0</v>
      </c>
      <c r="BH177" s="673" t="str">
        <f>IFERROR(__xludf.DUMMYFUNCTION("""COMPUTED_VALUE"""),"#N/A")</f>
        <v>#N/A</v>
      </c>
      <c r="BI177" s="673" t="str">
        <f>IFERROR(__xludf.DUMMYFUNCTION("""COMPUTED_VALUE"""),"#N/A")</f>
        <v>#N/A</v>
      </c>
      <c r="BJ177" s="673">
        <f>IFERROR(__xludf.DUMMYFUNCTION("""COMPUTED_VALUE"""),0.0)</f>
        <v>0</v>
      </c>
      <c r="BK177" s="673">
        <f>IFERROR(__xludf.DUMMYFUNCTION("""COMPUTED_VALUE"""),0.0)</f>
        <v>0</v>
      </c>
      <c r="BL177" s="673" t="str">
        <f>IFERROR(__xludf.DUMMYFUNCTION("""COMPUTED_VALUE"""),"#N/A")</f>
        <v>#N/A</v>
      </c>
      <c r="BM177" s="674" t="str">
        <f>IFERROR(__xludf.DUMMYFUNCTION("""COMPUTED_VALUE"""),"#N/A")</f>
        <v>#N/A</v>
      </c>
      <c r="BN177" s="674" t="str">
        <f>IFERROR(__xludf.DUMMYFUNCTION("""COMPUTED_VALUE"""),"#N/A")</f>
        <v>#N/A</v>
      </c>
      <c r="BO177" s="675">
        <f>IFERROR(__xludf.DUMMYFUNCTION("""COMPUTED_VALUE"""),0.0)</f>
        <v>0</v>
      </c>
      <c r="BP177" s="675" t="str">
        <f>IFERROR(__xludf.DUMMYFUNCTION("""COMPUTED_VALUE"""),"#N/A")</f>
        <v>#N/A</v>
      </c>
      <c r="BQ177" s="139"/>
      <c r="BR177" s="139" t="str">
        <f>IFERROR(__xludf.DUMMYFUNCTION("""COMPUTED_VALUE"""),"#N/A")</f>
        <v>#N/A</v>
      </c>
      <c r="BS177" s="139" t="str">
        <f>IFERROR(__xludf.DUMMYFUNCTION("""COMPUTED_VALUE"""),"※移動を入力！(BV列)")</f>
        <v>※移動を入力！(BV列)</v>
      </c>
      <c r="BT177" s="139" t="str">
        <f>IFERROR(__xludf.DUMMYFUNCTION("""COMPUTED_VALUE"""),"※攻撃手段を入力(BQ列)")</f>
        <v>※攻撃手段を入力(BQ列)</v>
      </c>
      <c r="BU177" s="139">
        <f>IFERROR(__xludf.DUMMYFUNCTION("""COMPUTED_VALUE"""),0.0)</f>
        <v>0</v>
      </c>
      <c r="BV177" s="139"/>
      <c r="BW177" s="139"/>
      <c r="BX177" s="139" t="str">
        <f>IFERROR(__xludf.DUMMYFUNCTION("""COMPUTED_VALUE"""),"※特性を選択!!(BW列)")</f>
        <v>※特性を選択!!(BW列)</v>
      </c>
      <c r="BY177" s="139" t="str">
        <f>IFERROR(__xludf.DUMMYFUNCTION("""COMPUTED_VALUE"""),"#N/A")</f>
        <v>#N/A</v>
      </c>
      <c r="BZ177" s="139"/>
      <c r="CA177" s="139" t="str">
        <f>IFERROR(__xludf.DUMMYFUNCTION("""COMPUTED_VALUE"""),"※特性を選択!!(BW列)")</f>
        <v>※特性を選択!!(BW列)</v>
      </c>
      <c r="CB177" s="139" t="str">
        <f>IFERROR(__xludf.DUMMYFUNCTION("""COMPUTED_VALUE"""),"#N/A")</f>
        <v>#N/A</v>
      </c>
      <c r="CC177" s="139" t="str">
        <f>IFERROR(__xludf.DUMMYFUNCTION("""COMPUTED_VALUE"""),"該当なし")</f>
        <v>該当なし</v>
      </c>
      <c r="CD177" s="139"/>
      <c r="CE177" s="139" t="str">
        <f>IFERROR(__xludf.DUMMYFUNCTION("""COMPUTED_VALUE"""),"#N/A")</f>
        <v>#N/A</v>
      </c>
      <c r="CF177" s="139" t="str">
        <f>IFERROR(__xludf.DUMMYFUNCTION("""COMPUTED_VALUE"""),"#VALUE!")</f>
        <v>#VALUE!</v>
      </c>
      <c r="CG177" s="139"/>
      <c r="CH177" s="139"/>
      <c r="CI177" s="139" t="str">
        <f>IFERROR(__xludf.DUMMYFUNCTION("""COMPUTED_VALUE"""),"#N/A")</f>
        <v>#N/A</v>
      </c>
      <c r="CJ177" s="139" t="str">
        <f>IFERROR(__xludf.DUMMYFUNCTION("""COMPUTED_VALUE"""),"#VALUE!")</f>
        <v>#VALUE!</v>
      </c>
      <c r="CK177" s="139"/>
      <c r="CL177" s="139"/>
      <c r="CM177" s="139"/>
      <c r="CN177" s="675" t="str">
        <f>IFERROR(__xludf.DUMMYFUNCTION("""COMPUTED_VALUE"""),"#N/A")</f>
        <v>#N/A</v>
      </c>
      <c r="CO177" s="139" t="str">
        <f>IFERROR(__xludf.DUMMYFUNCTION("""COMPUTED_VALUE"""),"-")</f>
        <v>-</v>
      </c>
      <c r="CP177" s="139" t="str">
        <f>IFERROR(__xludf.DUMMYFUNCTION("""COMPUTED_VALUE"""),"-")</f>
        <v>-</v>
      </c>
      <c r="CQ177" s="139" t="str">
        <f>IFERROR(__xludf.DUMMYFUNCTION("""COMPUTED_VALUE"""),"#N/A")</f>
        <v>#N/A</v>
      </c>
      <c r="CR177" s="139"/>
      <c r="CS177" s="139"/>
      <c r="CT177" s="139"/>
      <c r="CU177" s="139"/>
      <c r="CV177" s="139"/>
      <c r="CW177" s="139"/>
      <c r="CX177" s="674" t="str">
        <f>IFERROR(__xludf.DUMMYFUNCTION("""COMPUTED_VALUE"""),"")</f>
        <v/>
      </c>
      <c r="CY177" s="675" t="str">
        <f>IFERROR(__xludf.DUMMYFUNCTION("""COMPUTED_VALUE"""),"")</f>
        <v/>
      </c>
      <c r="CZ177" s="688" t="str">
        <f>IFERROR(__xludf.DUMMYFUNCTION("""COMPUTED_VALUE"""),"-")</f>
        <v>-</v>
      </c>
      <c r="DA177" s="688">
        <f>IFERROR(__xludf.DUMMYFUNCTION("""COMPUTED_VALUE"""),0.0)</f>
        <v>0</v>
      </c>
      <c r="DB177" s="688">
        <f>IFERROR(__xludf.DUMMYFUNCTION("""COMPUTED_VALUE"""),0.0)</f>
        <v>0</v>
      </c>
      <c r="DC177" s="673" t="str">
        <f>IFERROR(__xludf.DUMMYFUNCTION("""COMPUTED_VALUE"""),"-")</f>
        <v>-</v>
      </c>
      <c r="DD177" s="673" t="str">
        <f>IFERROR(__xludf.DUMMYFUNCTION("""COMPUTED_VALUE"""),"-")</f>
        <v>-</v>
      </c>
      <c r="DE177" s="139" t="str">
        <f>IFERROR(__xludf.DUMMYFUNCTION("""COMPUTED_VALUE"""),"-")</f>
        <v>-</v>
      </c>
      <c r="DF177" s="139" t="str">
        <f>IFERROR(__xludf.DUMMYFUNCTION("""COMPUTED_VALUE"""),"-")</f>
        <v>-</v>
      </c>
      <c r="DG177" s="139" t="str">
        <f>IFERROR(__xludf.DUMMYFUNCTION("""COMPUTED_VALUE"""),"-")</f>
        <v>-</v>
      </c>
      <c r="DH177" s="139" t="str">
        <f>IFERROR(__xludf.DUMMYFUNCTION("""COMPUTED_VALUE"""),"-")</f>
        <v>-</v>
      </c>
      <c r="DI177" s="139" t="str">
        <f>IFERROR(__xludf.DUMMYFUNCTION("""COMPUTED_VALUE"""),"-")</f>
        <v>-</v>
      </c>
      <c r="DJ177" s="139" t="str">
        <f>IFERROR(__xludf.DUMMYFUNCTION("""COMPUTED_VALUE"""),"-")</f>
        <v>-</v>
      </c>
    </row>
    <row r="178">
      <c r="A178" s="139" t="str">
        <f>IFERROR(__xludf.DUMMYFUNCTION("""COMPUTED_VALUE"""),"該当なし")</f>
        <v>該当なし</v>
      </c>
      <c r="B178" s="139" t="str">
        <f>IFERROR(__xludf.DUMMYFUNCTION("""COMPUTED_VALUE"""),"該当なし")</f>
        <v>該当なし</v>
      </c>
      <c r="C178" s="139"/>
      <c r="D178" s="139" t="str">
        <f>IFERROR(__xludf.DUMMYFUNCTION("""COMPUTED_VALUE"""),"#N/A")</f>
        <v>#N/A</v>
      </c>
      <c r="E178" s="139" t="str">
        <f>IFERROR(__xludf.DUMMYFUNCTION("""COMPUTED_VALUE"""),"#N/A")</f>
        <v>#N/A</v>
      </c>
      <c r="F178" s="139" t="str">
        <f>IFERROR(__xludf.DUMMYFUNCTION("""COMPUTED_VALUE"""),"#N/A")</f>
        <v>#N/A</v>
      </c>
      <c r="G178" s="139" t="str">
        <f>IFERROR(__xludf.DUMMYFUNCTION("""COMPUTED_VALUE"""),"該当なし")</f>
        <v>該当なし</v>
      </c>
      <c r="H178" s="139" t="str">
        <f>IFERROR(__xludf.DUMMYFUNCTION("""COMPUTED_VALUE"""),"#N/A")</f>
        <v>#N/A</v>
      </c>
      <c r="I178" s="139" t="str">
        <f>IFERROR(__xludf.DUMMYFUNCTION("""COMPUTED_VALUE"""),"#N/A")</f>
        <v>#N/A</v>
      </c>
      <c r="J178" s="139" t="str">
        <f>IFERROR(__xludf.DUMMYFUNCTION("""COMPUTED_VALUE"""),"#N/A")</f>
        <v>#N/A</v>
      </c>
      <c r="K178" s="139" t="str">
        <f>IFERROR(__xludf.DUMMYFUNCTION("""COMPUTED_VALUE"""),"#N/A")</f>
        <v>#N/A</v>
      </c>
      <c r="L178" s="139" t="str">
        <f>IFERROR(__xludf.DUMMYFUNCTION("""COMPUTED_VALUE"""),"※")</f>
        <v>※</v>
      </c>
      <c r="M178" s="674">
        <f>IFERROR(__xludf.DUMMYFUNCTION("""COMPUTED_VALUE"""),0.0)</f>
        <v>0</v>
      </c>
      <c r="N178" s="139">
        <f>IFERROR(__xludf.DUMMYFUNCTION("""COMPUTED_VALUE"""),0.0)</f>
        <v>0</v>
      </c>
      <c r="O178" s="139"/>
      <c r="P178" s="139">
        <f>IFERROR(__xludf.DUMMYFUNCTION("""COMPUTED_VALUE"""),0.0)</f>
        <v>0</v>
      </c>
      <c r="Q178" s="675">
        <f>IFERROR(__xludf.DUMMYFUNCTION("""COMPUTED_VALUE"""),0.0)</f>
        <v>0</v>
      </c>
      <c r="R178" s="675">
        <f>IFERROR(__xludf.DUMMYFUNCTION("""COMPUTED_VALUE"""),0.0)</f>
        <v>0</v>
      </c>
      <c r="S178" s="675">
        <f>IFERROR(__xludf.DUMMYFUNCTION("""COMPUTED_VALUE"""),-2.5)</f>
        <v>-2.5</v>
      </c>
      <c r="T178" s="674" t="str">
        <f>IFERROR(__xludf.DUMMYFUNCTION("""COMPUTED_VALUE"""),"#N/A")</f>
        <v>#N/A</v>
      </c>
      <c r="U178" s="675" t="str">
        <f>IFERROR(__xludf.DUMMYFUNCTION("""COMPUTED_VALUE"""),"#N/A")</f>
        <v>#N/A</v>
      </c>
      <c r="V178" s="675">
        <f>IFERROR(__xludf.DUMMYFUNCTION("""COMPUTED_VALUE"""),0.0)</f>
        <v>0</v>
      </c>
      <c r="W178" s="675" t="str">
        <f>IFERROR(__xludf.DUMMYFUNCTION("""COMPUTED_VALUE"""),"#N/A")</f>
        <v>#N/A</v>
      </c>
      <c r="X178" s="675">
        <f>IFERROR(__xludf.DUMMYFUNCTION("""COMPUTED_VALUE"""),0.0)</f>
        <v>0</v>
      </c>
      <c r="Y178" s="674" t="str">
        <f>IFERROR(__xludf.DUMMYFUNCTION("""COMPUTED_VALUE"""),"#N/A")</f>
        <v>#N/A</v>
      </c>
      <c r="Z178" s="675" t="str">
        <f>IFERROR(__xludf.DUMMYFUNCTION("""COMPUTED_VALUE"""),"#N/A")</f>
        <v>#N/A</v>
      </c>
      <c r="AA178" s="675">
        <f>IFERROR(__xludf.DUMMYFUNCTION("""COMPUTED_VALUE"""),0.0)</f>
        <v>0</v>
      </c>
      <c r="AB178" s="673" t="str">
        <f>IFERROR(__xludf.DUMMYFUNCTION("""COMPUTED_VALUE"""),"#N/A")</f>
        <v>#N/A</v>
      </c>
      <c r="AC178" s="675">
        <f>IFERROR(__xludf.DUMMYFUNCTION("""COMPUTED_VALUE"""),0.0)</f>
        <v>0</v>
      </c>
      <c r="AD178" s="674" t="str">
        <f>IFERROR(__xludf.DUMMYFUNCTION("""COMPUTED_VALUE"""),"#N/A")</f>
        <v>#N/A</v>
      </c>
      <c r="AE178" s="675" t="str">
        <f>IFERROR(__xludf.DUMMYFUNCTION("""COMPUTED_VALUE"""),"#N/A")</f>
        <v>#N/A</v>
      </c>
      <c r="AF178" s="675">
        <f>IFERROR(__xludf.DUMMYFUNCTION("""COMPUTED_VALUE"""),0.0)</f>
        <v>0</v>
      </c>
      <c r="AG178" s="675">
        <f>IFERROR(__xludf.DUMMYFUNCTION("""COMPUTED_VALUE"""),0.0)</f>
        <v>0</v>
      </c>
      <c r="AH178" s="675" t="str">
        <f>IFERROR(__xludf.DUMMYFUNCTION("""COMPUTED_VALUE"""),"#N/A")</f>
        <v>#N/A</v>
      </c>
      <c r="AI178" s="139" t="str">
        <f>IFERROR(__xludf.DUMMYFUNCTION("""COMPUTED_VALUE"""),"#N/A")</f>
        <v>#N/A</v>
      </c>
      <c r="AJ178" s="675" t="str">
        <f>IFERROR(__xludf.DUMMYFUNCTION("""COMPUTED_VALUE"""),"#N/A")</f>
        <v>#N/A</v>
      </c>
      <c r="AK178" s="139" t="str">
        <f>IFERROR(__xludf.DUMMYFUNCTION("""COMPUTED_VALUE"""),"#N/A")</f>
        <v>#N/A</v>
      </c>
      <c r="AL178" s="674" t="str">
        <f>IFERROR(__xludf.DUMMYFUNCTION("""COMPUTED_VALUE"""),"#N/A")</f>
        <v>#N/A</v>
      </c>
      <c r="AM178" s="688" t="str">
        <f>IFERROR(__xludf.DUMMYFUNCTION("""COMPUTED_VALUE"""),"#N/A")</f>
        <v>#N/A</v>
      </c>
      <c r="AN178" s="675" t="str">
        <f>IFERROR(__xludf.DUMMYFUNCTION("""COMPUTED_VALUE"""),"#N/A")</f>
        <v>#N/A</v>
      </c>
      <c r="AO178" s="675" t="str">
        <f>IFERROR(__xludf.DUMMYFUNCTION("""COMPUTED_VALUE"""),"#N/A")</f>
        <v>#N/A</v>
      </c>
      <c r="AP178" s="674">
        <f>IFERROR(__xludf.DUMMYFUNCTION("""COMPUTED_VALUE"""),0.0)</f>
        <v>0</v>
      </c>
      <c r="AQ178" s="673" t="str">
        <f>IFERROR(__xludf.DUMMYFUNCTION("""COMPUTED_VALUE"""),"#N/A")</f>
        <v>#N/A</v>
      </c>
      <c r="AR178" s="673">
        <f>IFERROR(__xludf.DUMMYFUNCTION("""COMPUTED_VALUE"""),0.0)</f>
        <v>0</v>
      </c>
      <c r="AS178" s="673">
        <f>IFERROR(__xludf.DUMMYFUNCTION("""COMPUTED_VALUE"""),0.0)</f>
        <v>0</v>
      </c>
      <c r="AT178" s="673">
        <f>IFERROR(__xludf.DUMMYFUNCTION("""COMPUTED_VALUE"""),0.0)</f>
        <v>0</v>
      </c>
      <c r="AU178" s="675" t="str">
        <f>IFERROR(__xludf.DUMMYFUNCTION("""COMPUTED_VALUE"""),"#N/A")</f>
        <v>#N/A</v>
      </c>
      <c r="AV178" s="675">
        <f>IFERROR(__xludf.DUMMYFUNCTION("""COMPUTED_VALUE"""),0.0)</f>
        <v>0</v>
      </c>
      <c r="AW178" s="139"/>
      <c r="AX178" s="674" t="str">
        <f>IFERROR(__xludf.DUMMYFUNCTION("""COMPUTED_VALUE"""),"※通常攻撃範囲を入力！(CD列)")</f>
        <v>※通常攻撃範囲を入力！(CD列)</v>
      </c>
      <c r="AY178" s="688" t="str">
        <f>IFERROR(__xludf.DUMMYFUNCTION("""COMPUTED_VALUE"""),"#VALUE!")</f>
        <v>#VALUE!</v>
      </c>
      <c r="AZ178" s="674" t="str">
        <f>IFERROR(__xludf.DUMMYFUNCTION("""COMPUTED_VALUE"""),"#N/A")</f>
        <v>#N/A</v>
      </c>
      <c r="BA178" s="688" t="str">
        <f>IFERROR(__xludf.DUMMYFUNCTION("""COMPUTED_VALUE"""),"#VALUE!")</f>
        <v>#VALUE!</v>
      </c>
      <c r="BB178" s="688" t="str">
        <f>IFERROR(__xludf.DUMMYFUNCTION("""COMPUTED_VALUE"""),"-")</f>
        <v>-</v>
      </c>
      <c r="BC178" s="688" t="str">
        <f>IFERROR(__xludf.DUMMYFUNCTION("""COMPUTED_VALUE"""),"#N/A")</f>
        <v>#N/A</v>
      </c>
      <c r="BD178" s="688" t="str">
        <f>IFERROR(__xludf.DUMMYFUNCTION("""COMPUTED_VALUE"""),"#VALUE!")</f>
        <v>#VALUE!</v>
      </c>
      <c r="BE178" s="674" t="str">
        <f>IFERROR(__xludf.DUMMYFUNCTION("""COMPUTED_VALUE"""),"#N/A")</f>
        <v>#N/A</v>
      </c>
      <c r="BF178" s="674">
        <f>IFERROR(__xludf.DUMMYFUNCTION("""COMPUTED_VALUE"""),0.0)</f>
        <v>0</v>
      </c>
      <c r="BG178" s="673">
        <f>IFERROR(__xludf.DUMMYFUNCTION("""COMPUTED_VALUE"""),0.0)</f>
        <v>0</v>
      </c>
      <c r="BH178" s="673" t="str">
        <f>IFERROR(__xludf.DUMMYFUNCTION("""COMPUTED_VALUE"""),"#N/A")</f>
        <v>#N/A</v>
      </c>
      <c r="BI178" s="673" t="str">
        <f>IFERROR(__xludf.DUMMYFUNCTION("""COMPUTED_VALUE"""),"#N/A")</f>
        <v>#N/A</v>
      </c>
      <c r="BJ178" s="673">
        <f>IFERROR(__xludf.DUMMYFUNCTION("""COMPUTED_VALUE"""),0.0)</f>
        <v>0</v>
      </c>
      <c r="BK178" s="673">
        <f>IFERROR(__xludf.DUMMYFUNCTION("""COMPUTED_VALUE"""),0.0)</f>
        <v>0</v>
      </c>
      <c r="BL178" s="673" t="str">
        <f>IFERROR(__xludf.DUMMYFUNCTION("""COMPUTED_VALUE"""),"#N/A")</f>
        <v>#N/A</v>
      </c>
      <c r="BM178" s="674" t="str">
        <f>IFERROR(__xludf.DUMMYFUNCTION("""COMPUTED_VALUE"""),"#N/A")</f>
        <v>#N/A</v>
      </c>
      <c r="BN178" s="674" t="str">
        <f>IFERROR(__xludf.DUMMYFUNCTION("""COMPUTED_VALUE"""),"#N/A")</f>
        <v>#N/A</v>
      </c>
      <c r="BO178" s="675">
        <f>IFERROR(__xludf.DUMMYFUNCTION("""COMPUTED_VALUE"""),0.0)</f>
        <v>0</v>
      </c>
      <c r="BP178" s="675" t="str">
        <f>IFERROR(__xludf.DUMMYFUNCTION("""COMPUTED_VALUE"""),"#N/A")</f>
        <v>#N/A</v>
      </c>
      <c r="BQ178" s="139"/>
      <c r="BR178" s="139" t="str">
        <f>IFERROR(__xludf.DUMMYFUNCTION("""COMPUTED_VALUE"""),"#N/A")</f>
        <v>#N/A</v>
      </c>
      <c r="BS178" s="139" t="str">
        <f>IFERROR(__xludf.DUMMYFUNCTION("""COMPUTED_VALUE"""),"※移動を入力！(BV列)")</f>
        <v>※移動を入力！(BV列)</v>
      </c>
      <c r="BT178" s="139" t="str">
        <f>IFERROR(__xludf.DUMMYFUNCTION("""COMPUTED_VALUE"""),"※攻撃手段を入力(BQ列)")</f>
        <v>※攻撃手段を入力(BQ列)</v>
      </c>
      <c r="BU178" s="139">
        <f>IFERROR(__xludf.DUMMYFUNCTION("""COMPUTED_VALUE"""),0.0)</f>
        <v>0</v>
      </c>
      <c r="BV178" s="139"/>
      <c r="BW178" s="139"/>
      <c r="BX178" s="139" t="str">
        <f>IFERROR(__xludf.DUMMYFUNCTION("""COMPUTED_VALUE"""),"※特性を選択!!(BW列)")</f>
        <v>※特性を選択!!(BW列)</v>
      </c>
      <c r="BY178" s="139" t="str">
        <f>IFERROR(__xludf.DUMMYFUNCTION("""COMPUTED_VALUE"""),"#N/A")</f>
        <v>#N/A</v>
      </c>
      <c r="BZ178" s="139"/>
      <c r="CA178" s="139" t="str">
        <f>IFERROR(__xludf.DUMMYFUNCTION("""COMPUTED_VALUE"""),"※特性を選択!!(BW列)")</f>
        <v>※特性を選択!!(BW列)</v>
      </c>
      <c r="CB178" s="139" t="str">
        <f>IFERROR(__xludf.DUMMYFUNCTION("""COMPUTED_VALUE"""),"#N/A")</f>
        <v>#N/A</v>
      </c>
      <c r="CC178" s="139" t="str">
        <f>IFERROR(__xludf.DUMMYFUNCTION("""COMPUTED_VALUE"""),"該当なし")</f>
        <v>該当なし</v>
      </c>
      <c r="CD178" s="139"/>
      <c r="CE178" s="139" t="str">
        <f>IFERROR(__xludf.DUMMYFUNCTION("""COMPUTED_VALUE"""),"#N/A")</f>
        <v>#N/A</v>
      </c>
      <c r="CF178" s="139" t="str">
        <f>IFERROR(__xludf.DUMMYFUNCTION("""COMPUTED_VALUE"""),"#VALUE!")</f>
        <v>#VALUE!</v>
      </c>
      <c r="CG178" s="139"/>
      <c r="CH178" s="139"/>
      <c r="CI178" s="139" t="str">
        <f>IFERROR(__xludf.DUMMYFUNCTION("""COMPUTED_VALUE"""),"#N/A")</f>
        <v>#N/A</v>
      </c>
      <c r="CJ178" s="139" t="str">
        <f>IFERROR(__xludf.DUMMYFUNCTION("""COMPUTED_VALUE"""),"#VALUE!")</f>
        <v>#VALUE!</v>
      </c>
      <c r="CK178" s="139"/>
      <c r="CL178" s="139"/>
      <c r="CM178" s="139"/>
      <c r="CN178" s="675" t="str">
        <f>IFERROR(__xludf.DUMMYFUNCTION("""COMPUTED_VALUE"""),"#N/A")</f>
        <v>#N/A</v>
      </c>
      <c r="CO178" s="139" t="str">
        <f>IFERROR(__xludf.DUMMYFUNCTION("""COMPUTED_VALUE"""),"-")</f>
        <v>-</v>
      </c>
      <c r="CP178" s="139" t="str">
        <f>IFERROR(__xludf.DUMMYFUNCTION("""COMPUTED_VALUE"""),"-")</f>
        <v>-</v>
      </c>
      <c r="CQ178" s="139" t="str">
        <f>IFERROR(__xludf.DUMMYFUNCTION("""COMPUTED_VALUE"""),"#N/A")</f>
        <v>#N/A</v>
      </c>
      <c r="CR178" s="139"/>
      <c r="CS178" s="139"/>
      <c r="CT178" s="139"/>
      <c r="CU178" s="139"/>
      <c r="CV178" s="139"/>
      <c r="CW178" s="139"/>
      <c r="CX178" s="674" t="str">
        <f>IFERROR(__xludf.DUMMYFUNCTION("""COMPUTED_VALUE"""),"")</f>
        <v/>
      </c>
      <c r="CY178" s="675" t="str">
        <f>IFERROR(__xludf.DUMMYFUNCTION("""COMPUTED_VALUE"""),"")</f>
        <v/>
      </c>
      <c r="CZ178" s="688" t="str">
        <f>IFERROR(__xludf.DUMMYFUNCTION("""COMPUTED_VALUE"""),"-")</f>
        <v>-</v>
      </c>
      <c r="DA178" s="688">
        <f>IFERROR(__xludf.DUMMYFUNCTION("""COMPUTED_VALUE"""),0.0)</f>
        <v>0</v>
      </c>
      <c r="DB178" s="688">
        <f>IFERROR(__xludf.DUMMYFUNCTION("""COMPUTED_VALUE"""),0.0)</f>
        <v>0</v>
      </c>
      <c r="DC178" s="673" t="str">
        <f>IFERROR(__xludf.DUMMYFUNCTION("""COMPUTED_VALUE"""),"-")</f>
        <v>-</v>
      </c>
      <c r="DD178" s="673" t="str">
        <f>IFERROR(__xludf.DUMMYFUNCTION("""COMPUTED_VALUE"""),"-")</f>
        <v>-</v>
      </c>
      <c r="DE178" s="139" t="str">
        <f>IFERROR(__xludf.DUMMYFUNCTION("""COMPUTED_VALUE"""),"-")</f>
        <v>-</v>
      </c>
      <c r="DF178" s="139" t="str">
        <f>IFERROR(__xludf.DUMMYFUNCTION("""COMPUTED_VALUE"""),"-")</f>
        <v>-</v>
      </c>
      <c r="DG178" s="139" t="str">
        <f>IFERROR(__xludf.DUMMYFUNCTION("""COMPUTED_VALUE"""),"-")</f>
        <v>-</v>
      </c>
      <c r="DH178" s="139" t="str">
        <f>IFERROR(__xludf.DUMMYFUNCTION("""COMPUTED_VALUE"""),"-")</f>
        <v>-</v>
      </c>
      <c r="DI178" s="139" t="str">
        <f>IFERROR(__xludf.DUMMYFUNCTION("""COMPUTED_VALUE"""),"-")</f>
        <v>-</v>
      </c>
      <c r="DJ178" s="139" t="str">
        <f>IFERROR(__xludf.DUMMYFUNCTION("""COMPUTED_VALUE"""),"-")</f>
        <v>-</v>
      </c>
    </row>
    <row r="179">
      <c r="A179" s="139" t="str">
        <f>IFERROR(__xludf.DUMMYFUNCTION("""COMPUTED_VALUE"""),"該当なし")</f>
        <v>該当なし</v>
      </c>
      <c r="B179" s="139" t="str">
        <f>IFERROR(__xludf.DUMMYFUNCTION("""COMPUTED_VALUE"""),"該当なし")</f>
        <v>該当なし</v>
      </c>
      <c r="C179" s="139"/>
      <c r="D179" s="139" t="str">
        <f>IFERROR(__xludf.DUMMYFUNCTION("""COMPUTED_VALUE"""),"#N/A")</f>
        <v>#N/A</v>
      </c>
      <c r="E179" s="139" t="str">
        <f>IFERROR(__xludf.DUMMYFUNCTION("""COMPUTED_VALUE"""),"#N/A")</f>
        <v>#N/A</v>
      </c>
      <c r="F179" s="139" t="str">
        <f>IFERROR(__xludf.DUMMYFUNCTION("""COMPUTED_VALUE"""),"#N/A")</f>
        <v>#N/A</v>
      </c>
      <c r="G179" s="139" t="str">
        <f>IFERROR(__xludf.DUMMYFUNCTION("""COMPUTED_VALUE"""),"該当なし")</f>
        <v>該当なし</v>
      </c>
      <c r="H179" s="139" t="str">
        <f>IFERROR(__xludf.DUMMYFUNCTION("""COMPUTED_VALUE"""),"#N/A")</f>
        <v>#N/A</v>
      </c>
      <c r="I179" s="139" t="str">
        <f>IFERROR(__xludf.DUMMYFUNCTION("""COMPUTED_VALUE"""),"#N/A")</f>
        <v>#N/A</v>
      </c>
      <c r="J179" s="139" t="str">
        <f>IFERROR(__xludf.DUMMYFUNCTION("""COMPUTED_VALUE"""),"#N/A")</f>
        <v>#N/A</v>
      </c>
      <c r="K179" s="139" t="str">
        <f>IFERROR(__xludf.DUMMYFUNCTION("""COMPUTED_VALUE"""),"#N/A")</f>
        <v>#N/A</v>
      </c>
      <c r="L179" s="139" t="str">
        <f>IFERROR(__xludf.DUMMYFUNCTION("""COMPUTED_VALUE"""),"※")</f>
        <v>※</v>
      </c>
      <c r="M179" s="674">
        <f>IFERROR(__xludf.DUMMYFUNCTION("""COMPUTED_VALUE"""),0.0)</f>
        <v>0</v>
      </c>
      <c r="N179" s="139">
        <f>IFERROR(__xludf.DUMMYFUNCTION("""COMPUTED_VALUE"""),0.0)</f>
        <v>0</v>
      </c>
      <c r="O179" s="139"/>
      <c r="P179" s="139">
        <f>IFERROR(__xludf.DUMMYFUNCTION("""COMPUTED_VALUE"""),0.0)</f>
        <v>0</v>
      </c>
      <c r="Q179" s="675">
        <f>IFERROR(__xludf.DUMMYFUNCTION("""COMPUTED_VALUE"""),0.0)</f>
        <v>0</v>
      </c>
      <c r="R179" s="675">
        <f>IFERROR(__xludf.DUMMYFUNCTION("""COMPUTED_VALUE"""),0.0)</f>
        <v>0</v>
      </c>
      <c r="S179" s="675">
        <f>IFERROR(__xludf.DUMMYFUNCTION("""COMPUTED_VALUE"""),-2.5)</f>
        <v>-2.5</v>
      </c>
      <c r="T179" s="674" t="str">
        <f>IFERROR(__xludf.DUMMYFUNCTION("""COMPUTED_VALUE"""),"#N/A")</f>
        <v>#N/A</v>
      </c>
      <c r="U179" s="675" t="str">
        <f>IFERROR(__xludf.DUMMYFUNCTION("""COMPUTED_VALUE"""),"#N/A")</f>
        <v>#N/A</v>
      </c>
      <c r="V179" s="675">
        <f>IFERROR(__xludf.DUMMYFUNCTION("""COMPUTED_VALUE"""),0.0)</f>
        <v>0</v>
      </c>
      <c r="W179" s="675" t="str">
        <f>IFERROR(__xludf.DUMMYFUNCTION("""COMPUTED_VALUE"""),"#N/A")</f>
        <v>#N/A</v>
      </c>
      <c r="X179" s="675">
        <f>IFERROR(__xludf.DUMMYFUNCTION("""COMPUTED_VALUE"""),0.0)</f>
        <v>0</v>
      </c>
      <c r="Y179" s="674" t="str">
        <f>IFERROR(__xludf.DUMMYFUNCTION("""COMPUTED_VALUE"""),"#N/A")</f>
        <v>#N/A</v>
      </c>
      <c r="Z179" s="675" t="str">
        <f>IFERROR(__xludf.DUMMYFUNCTION("""COMPUTED_VALUE"""),"#N/A")</f>
        <v>#N/A</v>
      </c>
      <c r="AA179" s="675">
        <f>IFERROR(__xludf.DUMMYFUNCTION("""COMPUTED_VALUE"""),0.0)</f>
        <v>0</v>
      </c>
      <c r="AB179" s="673" t="str">
        <f>IFERROR(__xludf.DUMMYFUNCTION("""COMPUTED_VALUE"""),"#N/A")</f>
        <v>#N/A</v>
      </c>
      <c r="AC179" s="675">
        <f>IFERROR(__xludf.DUMMYFUNCTION("""COMPUTED_VALUE"""),0.0)</f>
        <v>0</v>
      </c>
      <c r="AD179" s="674" t="str">
        <f>IFERROR(__xludf.DUMMYFUNCTION("""COMPUTED_VALUE"""),"#N/A")</f>
        <v>#N/A</v>
      </c>
      <c r="AE179" s="675" t="str">
        <f>IFERROR(__xludf.DUMMYFUNCTION("""COMPUTED_VALUE"""),"#N/A")</f>
        <v>#N/A</v>
      </c>
      <c r="AF179" s="675">
        <f>IFERROR(__xludf.DUMMYFUNCTION("""COMPUTED_VALUE"""),0.0)</f>
        <v>0</v>
      </c>
      <c r="AG179" s="675">
        <f>IFERROR(__xludf.DUMMYFUNCTION("""COMPUTED_VALUE"""),0.0)</f>
        <v>0</v>
      </c>
      <c r="AH179" s="675" t="str">
        <f>IFERROR(__xludf.DUMMYFUNCTION("""COMPUTED_VALUE"""),"#N/A")</f>
        <v>#N/A</v>
      </c>
      <c r="AI179" s="139" t="str">
        <f>IFERROR(__xludf.DUMMYFUNCTION("""COMPUTED_VALUE"""),"#N/A")</f>
        <v>#N/A</v>
      </c>
      <c r="AJ179" s="675" t="str">
        <f>IFERROR(__xludf.DUMMYFUNCTION("""COMPUTED_VALUE"""),"#N/A")</f>
        <v>#N/A</v>
      </c>
      <c r="AK179" s="139" t="str">
        <f>IFERROR(__xludf.DUMMYFUNCTION("""COMPUTED_VALUE"""),"#N/A")</f>
        <v>#N/A</v>
      </c>
      <c r="AL179" s="674" t="str">
        <f>IFERROR(__xludf.DUMMYFUNCTION("""COMPUTED_VALUE"""),"#N/A")</f>
        <v>#N/A</v>
      </c>
      <c r="AM179" s="688" t="str">
        <f>IFERROR(__xludf.DUMMYFUNCTION("""COMPUTED_VALUE"""),"#N/A")</f>
        <v>#N/A</v>
      </c>
      <c r="AN179" s="675" t="str">
        <f>IFERROR(__xludf.DUMMYFUNCTION("""COMPUTED_VALUE"""),"#N/A")</f>
        <v>#N/A</v>
      </c>
      <c r="AO179" s="675" t="str">
        <f>IFERROR(__xludf.DUMMYFUNCTION("""COMPUTED_VALUE"""),"#N/A")</f>
        <v>#N/A</v>
      </c>
      <c r="AP179" s="674">
        <f>IFERROR(__xludf.DUMMYFUNCTION("""COMPUTED_VALUE"""),0.0)</f>
        <v>0</v>
      </c>
      <c r="AQ179" s="673" t="str">
        <f>IFERROR(__xludf.DUMMYFUNCTION("""COMPUTED_VALUE"""),"#N/A")</f>
        <v>#N/A</v>
      </c>
      <c r="AR179" s="673">
        <f>IFERROR(__xludf.DUMMYFUNCTION("""COMPUTED_VALUE"""),0.0)</f>
        <v>0</v>
      </c>
      <c r="AS179" s="673">
        <f>IFERROR(__xludf.DUMMYFUNCTION("""COMPUTED_VALUE"""),0.0)</f>
        <v>0</v>
      </c>
      <c r="AT179" s="673">
        <f>IFERROR(__xludf.DUMMYFUNCTION("""COMPUTED_VALUE"""),0.0)</f>
        <v>0</v>
      </c>
      <c r="AU179" s="675" t="str">
        <f>IFERROR(__xludf.DUMMYFUNCTION("""COMPUTED_VALUE"""),"#N/A")</f>
        <v>#N/A</v>
      </c>
      <c r="AV179" s="675">
        <f>IFERROR(__xludf.DUMMYFUNCTION("""COMPUTED_VALUE"""),0.0)</f>
        <v>0</v>
      </c>
      <c r="AW179" s="139"/>
      <c r="AX179" s="674" t="str">
        <f>IFERROR(__xludf.DUMMYFUNCTION("""COMPUTED_VALUE"""),"※通常攻撃範囲を入力！(CD列)")</f>
        <v>※通常攻撃範囲を入力！(CD列)</v>
      </c>
      <c r="AY179" s="688" t="str">
        <f>IFERROR(__xludf.DUMMYFUNCTION("""COMPUTED_VALUE"""),"#VALUE!")</f>
        <v>#VALUE!</v>
      </c>
      <c r="AZ179" s="674" t="str">
        <f>IFERROR(__xludf.DUMMYFUNCTION("""COMPUTED_VALUE"""),"#N/A")</f>
        <v>#N/A</v>
      </c>
      <c r="BA179" s="688" t="str">
        <f>IFERROR(__xludf.DUMMYFUNCTION("""COMPUTED_VALUE"""),"#VALUE!")</f>
        <v>#VALUE!</v>
      </c>
      <c r="BB179" s="688" t="str">
        <f>IFERROR(__xludf.DUMMYFUNCTION("""COMPUTED_VALUE"""),"-")</f>
        <v>-</v>
      </c>
      <c r="BC179" s="688" t="str">
        <f>IFERROR(__xludf.DUMMYFUNCTION("""COMPUTED_VALUE"""),"#N/A")</f>
        <v>#N/A</v>
      </c>
      <c r="BD179" s="688" t="str">
        <f>IFERROR(__xludf.DUMMYFUNCTION("""COMPUTED_VALUE"""),"#VALUE!")</f>
        <v>#VALUE!</v>
      </c>
      <c r="BE179" s="674" t="str">
        <f>IFERROR(__xludf.DUMMYFUNCTION("""COMPUTED_VALUE"""),"#N/A")</f>
        <v>#N/A</v>
      </c>
      <c r="BF179" s="674">
        <f>IFERROR(__xludf.DUMMYFUNCTION("""COMPUTED_VALUE"""),0.0)</f>
        <v>0</v>
      </c>
      <c r="BG179" s="673">
        <f>IFERROR(__xludf.DUMMYFUNCTION("""COMPUTED_VALUE"""),0.0)</f>
        <v>0</v>
      </c>
      <c r="BH179" s="673" t="str">
        <f>IFERROR(__xludf.DUMMYFUNCTION("""COMPUTED_VALUE"""),"#N/A")</f>
        <v>#N/A</v>
      </c>
      <c r="BI179" s="673" t="str">
        <f>IFERROR(__xludf.DUMMYFUNCTION("""COMPUTED_VALUE"""),"#N/A")</f>
        <v>#N/A</v>
      </c>
      <c r="BJ179" s="673">
        <f>IFERROR(__xludf.DUMMYFUNCTION("""COMPUTED_VALUE"""),0.0)</f>
        <v>0</v>
      </c>
      <c r="BK179" s="673">
        <f>IFERROR(__xludf.DUMMYFUNCTION("""COMPUTED_VALUE"""),0.0)</f>
        <v>0</v>
      </c>
      <c r="BL179" s="673" t="str">
        <f>IFERROR(__xludf.DUMMYFUNCTION("""COMPUTED_VALUE"""),"#N/A")</f>
        <v>#N/A</v>
      </c>
      <c r="BM179" s="674" t="str">
        <f>IFERROR(__xludf.DUMMYFUNCTION("""COMPUTED_VALUE"""),"#N/A")</f>
        <v>#N/A</v>
      </c>
      <c r="BN179" s="674" t="str">
        <f>IFERROR(__xludf.DUMMYFUNCTION("""COMPUTED_VALUE"""),"#N/A")</f>
        <v>#N/A</v>
      </c>
      <c r="BO179" s="675">
        <f>IFERROR(__xludf.DUMMYFUNCTION("""COMPUTED_VALUE"""),0.0)</f>
        <v>0</v>
      </c>
      <c r="BP179" s="675" t="str">
        <f>IFERROR(__xludf.DUMMYFUNCTION("""COMPUTED_VALUE"""),"#N/A")</f>
        <v>#N/A</v>
      </c>
      <c r="BQ179" s="139"/>
      <c r="BR179" s="139" t="str">
        <f>IFERROR(__xludf.DUMMYFUNCTION("""COMPUTED_VALUE"""),"#N/A")</f>
        <v>#N/A</v>
      </c>
      <c r="BS179" s="139" t="str">
        <f>IFERROR(__xludf.DUMMYFUNCTION("""COMPUTED_VALUE"""),"※移動を入力！(BV列)")</f>
        <v>※移動を入力！(BV列)</v>
      </c>
      <c r="BT179" s="139" t="str">
        <f>IFERROR(__xludf.DUMMYFUNCTION("""COMPUTED_VALUE"""),"※攻撃手段を入力(BQ列)")</f>
        <v>※攻撃手段を入力(BQ列)</v>
      </c>
      <c r="BU179" s="139">
        <f>IFERROR(__xludf.DUMMYFUNCTION("""COMPUTED_VALUE"""),0.0)</f>
        <v>0</v>
      </c>
      <c r="BV179" s="139"/>
      <c r="BW179" s="139"/>
      <c r="BX179" s="139" t="str">
        <f>IFERROR(__xludf.DUMMYFUNCTION("""COMPUTED_VALUE"""),"※特性を選択!!(BW列)")</f>
        <v>※特性を選択!!(BW列)</v>
      </c>
      <c r="BY179" s="139" t="str">
        <f>IFERROR(__xludf.DUMMYFUNCTION("""COMPUTED_VALUE"""),"#N/A")</f>
        <v>#N/A</v>
      </c>
      <c r="BZ179" s="139"/>
      <c r="CA179" s="139" t="str">
        <f>IFERROR(__xludf.DUMMYFUNCTION("""COMPUTED_VALUE"""),"※特性を選択!!(BW列)")</f>
        <v>※特性を選択!!(BW列)</v>
      </c>
      <c r="CB179" s="139" t="str">
        <f>IFERROR(__xludf.DUMMYFUNCTION("""COMPUTED_VALUE"""),"#N/A")</f>
        <v>#N/A</v>
      </c>
      <c r="CC179" s="139" t="str">
        <f>IFERROR(__xludf.DUMMYFUNCTION("""COMPUTED_VALUE"""),"該当なし")</f>
        <v>該当なし</v>
      </c>
      <c r="CD179" s="139"/>
      <c r="CE179" s="139" t="str">
        <f>IFERROR(__xludf.DUMMYFUNCTION("""COMPUTED_VALUE"""),"#N/A")</f>
        <v>#N/A</v>
      </c>
      <c r="CF179" s="139" t="str">
        <f>IFERROR(__xludf.DUMMYFUNCTION("""COMPUTED_VALUE"""),"#VALUE!")</f>
        <v>#VALUE!</v>
      </c>
      <c r="CG179" s="139"/>
      <c r="CH179" s="139"/>
      <c r="CI179" s="139" t="str">
        <f>IFERROR(__xludf.DUMMYFUNCTION("""COMPUTED_VALUE"""),"#N/A")</f>
        <v>#N/A</v>
      </c>
      <c r="CJ179" s="139" t="str">
        <f>IFERROR(__xludf.DUMMYFUNCTION("""COMPUTED_VALUE"""),"#VALUE!")</f>
        <v>#VALUE!</v>
      </c>
      <c r="CK179" s="139"/>
      <c r="CL179" s="139"/>
      <c r="CM179" s="139"/>
      <c r="CN179" s="675" t="str">
        <f>IFERROR(__xludf.DUMMYFUNCTION("""COMPUTED_VALUE"""),"#N/A")</f>
        <v>#N/A</v>
      </c>
      <c r="CO179" s="139" t="str">
        <f>IFERROR(__xludf.DUMMYFUNCTION("""COMPUTED_VALUE"""),"-")</f>
        <v>-</v>
      </c>
      <c r="CP179" s="139" t="str">
        <f>IFERROR(__xludf.DUMMYFUNCTION("""COMPUTED_VALUE"""),"-")</f>
        <v>-</v>
      </c>
      <c r="CQ179" s="139" t="str">
        <f>IFERROR(__xludf.DUMMYFUNCTION("""COMPUTED_VALUE"""),"#N/A")</f>
        <v>#N/A</v>
      </c>
      <c r="CR179" s="139"/>
      <c r="CS179" s="139"/>
      <c r="CT179" s="139"/>
      <c r="CU179" s="139"/>
      <c r="CV179" s="139"/>
      <c r="CW179" s="139"/>
      <c r="CX179" s="674" t="str">
        <f>IFERROR(__xludf.DUMMYFUNCTION("""COMPUTED_VALUE"""),"")</f>
        <v/>
      </c>
      <c r="CY179" s="675" t="str">
        <f>IFERROR(__xludf.DUMMYFUNCTION("""COMPUTED_VALUE"""),"")</f>
        <v/>
      </c>
      <c r="CZ179" s="688" t="str">
        <f>IFERROR(__xludf.DUMMYFUNCTION("""COMPUTED_VALUE"""),"-")</f>
        <v>-</v>
      </c>
      <c r="DA179" s="688">
        <f>IFERROR(__xludf.DUMMYFUNCTION("""COMPUTED_VALUE"""),0.0)</f>
        <v>0</v>
      </c>
      <c r="DB179" s="688">
        <f>IFERROR(__xludf.DUMMYFUNCTION("""COMPUTED_VALUE"""),0.0)</f>
        <v>0</v>
      </c>
      <c r="DC179" s="673" t="str">
        <f>IFERROR(__xludf.DUMMYFUNCTION("""COMPUTED_VALUE"""),"-")</f>
        <v>-</v>
      </c>
      <c r="DD179" s="673" t="str">
        <f>IFERROR(__xludf.DUMMYFUNCTION("""COMPUTED_VALUE"""),"-")</f>
        <v>-</v>
      </c>
      <c r="DE179" s="139" t="str">
        <f>IFERROR(__xludf.DUMMYFUNCTION("""COMPUTED_VALUE"""),"-")</f>
        <v>-</v>
      </c>
      <c r="DF179" s="139" t="str">
        <f>IFERROR(__xludf.DUMMYFUNCTION("""COMPUTED_VALUE"""),"-")</f>
        <v>-</v>
      </c>
      <c r="DG179" s="139" t="str">
        <f>IFERROR(__xludf.DUMMYFUNCTION("""COMPUTED_VALUE"""),"-")</f>
        <v>-</v>
      </c>
      <c r="DH179" s="139" t="str">
        <f>IFERROR(__xludf.DUMMYFUNCTION("""COMPUTED_VALUE"""),"-")</f>
        <v>-</v>
      </c>
      <c r="DI179" s="139" t="str">
        <f>IFERROR(__xludf.DUMMYFUNCTION("""COMPUTED_VALUE"""),"-")</f>
        <v>-</v>
      </c>
      <c r="DJ179" s="139" t="str">
        <f>IFERROR(__xludf.DUMMYFUNCTION("""COMPUTED_VALUE"""),"-")</f>
        <v>-</v>
      </c>
    </row>
    <row r="180">
      <c r="A180" s="139" t="str">
        <f>IFERROR(__xludf.DUMMYFUNCTION("""COMPUTED_VALUE"""),"該当なし")</f>
        <v>該当なし</v>
      </c>
      <c r="B180" s="139" t="str">
        <f>IFERROR(__xludf.DUMMYFUNCTION("""COMPUTED_VALUE"""),"該当なし")</f>
        <v>該当なし</v>
      </c>
      <c r="C180" s="139"/>
      <c r="D180" s="139" t="str">
        <f>IFERROR(__xludf.DUMMYFUNCTION("""COMPUTED_VALUE"""),"#N/A")</f>
        <v>#N/A</v>
      </c>
      <c r="E180" s="139" t="str">
        <f>IFERROR(__xludf.DUMMYFUNCTION("""COMPUTED_VALUE"""),"#N/A")</f>
        <v>#N/A</v>
      </c>
      <c r="F180" s="139" t="str">
        <f>IFERROR(__xludf.DUMMYFUNCTION("""COMPUTED_VALUE"""),"#N/A")</f>
        <v>#N/A</v>
      </c>
      <c r="G180" s="139" t="str">
        <f>IFERROR(__xludf.DUMMYFUNCTION("""COMPUTED_VALUE"""),"該当なし")</f>
        <v>該当なし</v>
      </c>
      <c r="H180" s="139" t="str">
        <f>IFERROR(__xludf.DUMMYFUNCTION("""COMPUTED_VALUE"""),"#N/A")</f>
        <v>#N/A</v>
      </c>
      <c r="I180" s="139" t="str">
        <f>IFERROR(__xludf.DUMMYFUNCTION("""COMPUTED_VALUE"""),"#N/A")</f>
        <v>#N/A</v>
      </c>
      <c r="J180" s="139" t="str">
        <f>IFERROR(__xludf.DUMMYFUNCTION("""COMPUTED_VALUE"""),"#N/A")</f>
        <v>#N/A</v>
      </c>
      <c r="K180" s="139" t="str">
        <f>IFERROR(__xludf.DUMMYFUNCTION("""COMPUTED_VALUE"""),"#N/A")</f>
        <v>#N/A</v>
      </c>
      <c r="L180" s="139" t="str">
        <f>IFERROR(__xludf.DUMMYFUNCTION("""COMPUTED_VALUE"""),"※")</f>
        <v>※</v>
      </c>
      <c r="M180" s="674">
        <f>IFERROR(__xludf.DUMMYFUNCTION("""COMPUTED_VALUE"""),0.0)</f>
        <v>0</v>
      </c>
      <c r="N180" s="139">
        <f>IFERROR(__xludf.DUMMYFUNCTION("""COMPUTED_VALUE"""),0.0)</f>
        <v>0</v>
      </c>
      <c r="O180" s="139"/>
      <c r="P180" s="139">
        <f>IFERROR(__xludf.DUMMYFUNCTION("""COMPUTED_VALUE"""),0.0)</f>
        <v>0</v>
      </c>
      <c r="Q180" s="675">
        <f>IFERROR(__xludf.DUMMYFUNCTION("""COMPUTED_VALUE"""),0.0)</f>
        <v>0</v>
      </c>
      <c r="R180" s="675">
        <f>IFERROR(__xludf.DUMMYFUNCTION("""COMPUTED_VALUE"""),0.0)</f>
        <v>0</v>
      </c>
      <c r="S180" s="675">
        <f>IFERROR(__xludf.DUMMYFUNCTION("""COMPUTED_VALUE"""),-2.5)</f>
        <v>-2.5</v>
      </c>
      <c r="T180" s="674" t="str">
        <f>IFERROR(__xludf.DUMMYFUNCTION("""COMPUTED_VALUE"""),"#N/A")</f>
        <v>#N/A</v>
      </c>
      <c r="U180" s="675" t="str">
        <f>IFERROR(__xludf.DUMMYFUNCTION("""COMPUTED_VALUE"""),"#N/A")</f>
        <v>#N/A</v>
      </c>
      <c r="V180" s="675">
        <f>IFERROR(__xludf.DUMMYFUNCTION("""COMPUTED_VALUE"""),0.0)</f>
        <v>0</v>
      </c>
      <c r="W180" s="675" t="str">
        <f>IFERROR(__xludf.DUMMYFUNCTION("""COMPUTED_VALUE"""),"#N/A")</f>
        <v>#N/A</v>
      </c>
      <c r="X180" s="675">
        <f>IFERROR(__xludf.DUMMYFUNCTION("""COMPUTED_VALUE"""),0.0)</f>
        <v>0</v>
      </c>
      <c r="Y180" s="674" t="str">
        <f>IFERROR(__xludf.DUMMYFUNCTION("""COMPUTED_VALUE"""),"#N/A")</f>
        <v>#N/A</v>
      </c>
      <c r="Z180" s="675" t="str">
        <f>IFERROR(__xludf.DUMMYFUNCTION("""COMPUTED_VALUE"""),"#N/A")</f>
        <v>#N/A</v>
      </c>
      <c r="AA180" s="675">
        <f>IFERROR(__xludf.DUMMYFUNCTION("""COMPUTED_VALUE"""),0.0)</f>
        <v>0</v>
      </c>
      <c r="AB180" s="673" t="str">
        <f>IFERROR(__xludf.DUMMYFUNCTION("""COMPUTED_VALUE"""),"#N/A")</f>
        <v>#N/A</v>
      </c>
      <c r="AC180" s="675">
        <f>IFERROR(__xludf.DUMMYFUNCTION("""COMPUTED_VALUE"""),0.0)</f>
        <v>0</v>
      </c>
      <c r="AD180" s="674" t="str">
        <f>IFERROR(__xludf.DUMMYFUNCTION("""COMPUTED_VALUE"""),"#N/A")</f>
        <v>#N/A</v>
      </c>
      <c r="AE180" s="675" t="str">
        <f>IFERROR(__xludf.DUMMYFUNCTION("""COMPUTED_VALUE"""),"#N/A")</f>
        <v>#N/A</v>
      </c>
      <c r="AF180" s="675">
        <f>IFERROR(__xludf.DUMMYFUNCTION("""COMPUTED_VALUE"""),0.0)</f>
        <v>0</v>
      </c>
      <c r="AG180" s="675">
        <f>IFERROR(__xludf.DUMMYFUNCTION("""COMPUTED_VALUE"""),0.0)</f>
        <v>0</v>
      </c>
      <c r="AH180" s="675" t="str">
        <f>IFERROR(__xludf.DUMMYFUNCTION("""COMPUTED_VALUE"""),"#N/A")</f>
        <v>#N/A</v>
      </c>
      <c r="AI180" s="139" t="str">
        <f>IFERROR(__xludf.DUMMYFUNCTION("""COMPUTED_VALUE"""),"#N/A")</f>
        <v>#N/A</v>
      </c>
      <c r="AJ180" s="675" t="str">
        <f>IFERROR(__xludf.DUMMYFUNCTION("""COMPUTED_VALUE"""),"#N/A")</f>
        <v>#N/A</v>
      </c>
      <c r="AK180" s="139" t="str">
        <f>IFERROR(__xludf.DUMMYFUNCTION("""COMPUTED_VALUE"""),"#N/A")</f>
        <v>#N/A</v>
      </c>
      <c r="AL180" s="674" t="str">
        <f>IFERROR(__xludf.DUMMYFUNCTION("""COMPUTED_VALUE"""),"#N/A")</f>
        <v>#N/A</v>
      </c>
      <c r="AM180" s="688" t="str">
        <f>IFERROR(__xludf.DUMMYFUNCTION("""COMPUTED_VALUE"""),"#N/A")</f>
        <v>#N/A</v>
      </c>
      <c r="AN180" s="675" t="str">
        <f>IFERROR(__xludf.DUMMYFUNCTION("""COMPUTED_VALUE"""),"#N/A")</f>
        <v>#N/A</v>
      </c>
      <c r="AO180" s="675" t="str">
        <f>IFERROR(__xludf.DUMMYFUNCTION("""COMPUTED_VALUE"""),"#N/A")</f>
        <v>#N/A</v>
      </c>
      <c r="AP180" s="674">
        <f>IFERROR(__xludf.DUMMYFUNCTION("""COMPUTED_VALUE"""),0.0)</f>
        <v>0</v>
      </c>
      <c r="AQ180" s="673" t="str">
        <f>IFERROR(__xludf.DUMMYFUNCTION("""COMPUTED_VALUE"""),"#N/A")</f>
        <v>#N/A</v>
      </c>
      <c r="AR180" s="673">
        <f>IFERROR(__xludf.DUMMYFUNCTION("""COMPUTED_VALUE"""),0.0)</f>
        <v>0</v>
      </c>
      <c r="AS180" s="673">
        <f>IFERROR(__xludf.DUMMYFUNCTION("""COMPUTED_VALUE"""),0.0)</f>
        <v>0</v>
      </c>
      <c r="AT180" s="673">
        <f>IFERROR(__xludf.DUMMYFUNCTION("""COMPUTED_VALUE"""),0.0)</f>
        <v>0</v>
      </c>
      <c r="AU180" s="675" t="str">
        <f>IFERROR(__xludf.DUMMYFUNCTION("""COMPUTED_VALUE"""),"#N/A")</f>
        <v>#N/A</v>
      </c>
      <c r="AV180" s="675">
        <f>IFERROR(__xludf.DUMMYFUNCTION("""COMPUTED_VALUE"""),0.0)</f>
        <v>0</v>
      </c>
      <c r="AW180" s="139"/>
      <c r="AX180" s="674" t="str">
        <f>IFERROR(__xludf.DUMMYFUNCTION("""COMPUTED_VALUE"""),"※通常攻撃範囲を入力！(CD列)")</f>
        <v>※通常攻撃範囲を入力！(CD列)</v>
      </c>
      <c r="AY180" s="688" t="str">
        <f>IFERROR(__xludf.DUMMYFUNCTION("""COMPUTED_VALUE"""),"#VALUE!")</f>
        <v>#VALUE!</v>
      </c>
      <c r="AZ180" s="674" t="str">
        <f>IFERROR(__xludf.DUMMYFUNCTION("""COMPUTED_VALUE"""),"#N/A")</f>
        <v>#N/A</v>
      </c>
      <c r="BA180" s="688" t="str">
        <f>IFERROR(__xludf.DUMMYFUNCTION("""COMPUTED_VALUE"""),"#VALUE!")</f>
        <v>#VALUE!</v>
      </c>
      <c r="BB180" s="688" t="str">
        <f>IFERROR(__xludf.DUMMYFUNCTION("""COMPUTED_VALUE"""),"-")</f>
        <v>-</v>
      </c>
      <c r="BC180" s="688" t="str">
        <f>IFERROR(__xludf.DUMMYFUNCTION("""COMPUTED_VALUE"""),"#N/A")</f>
        <v>#N/A</v>
      </c>
      <c r="BD180" s="688" t="str">
        <f>IFERROR(__xludf.DUMMYFUNCTION("""COMPUTED_VALUE"""),"#VALUE!")</f>
        <v>#VALUE!</v>
      </c>
      <c r="BE180" s="674" t="str">
        <f>IFERROR(__xludf.DUMMYFUNCTION("""COMPUTED_VALUE"""),"#N/A")</f>
        <v>#N/A</v>
      </c>
      <c r="BF180" s="674">
        <f>IFERROR(__xludf.DUMMYFUNCTION("""COMPUTED_VALUE"""),0.0)</f>
        <v>0</v>
      </c>
      <c r="BG180" s="673">
        <f>IFERROR(__xludf.DUMMYFUNCTION("""COMPUTED_VALUE"""),0.0)</f>
        <v>0</v>
      </c>
      <c r="BH180" s="673" t="str">
        <f>IFERROR(__xludf.DUMMYFUNCTION("""COMPUTED_VALUE"""),"#N/A")</f>
        <v>#N/A</v>
      </c>
      <c r="BI180" s="673" t="str">
        <f>IFERROR(__xludf.DUMMYFUNCTION("""COMPUTED_VALUE"""),"#N/A")</f>
        <v>#N/A</v>
      </c>
      <c r="BJ180" s="673">
        <f>IFERROR(__xludf.DUMMYFUNCTION("""COMPUTED_VALUE"""),0.0)</f>
        <v>0</v>
      </c>
      <c r="BK180" s="673">
        <f>IFERROR(__xludf.DUMMYFUNCTION("""COMPUTED_VALUE"""),0.0)</f>
        <v>0</v>
      </c>
      <c r="BL180" s="673" t="str">
        <f>IFERROR(__xludf.DUMMYFUNCTION("""COMPUTED_VALUE"""),"#N/A")</f>
        <v>#N/A</v>
      </c>
      <c r="BM180" s="674" t="str">
        <f>IFERROR(__xludf.DUMMYFUNCTION("""COMPUTED_VALUE"""),"#N/A")</f>
        <v>#N/A</v>
      </c>
      <c r="BN180" s="674" t="str">
        <f>IFERROR(__xludf.DUMMYFUNCTION("""COMPUTED_VALUE"""),"#N/A")</f>
        <v>#N/A</v>
      </c>
      <c r="BO180" s="675">
        <f>IFERROR(__xludf.DUMMYFUNCTION("""COMPUTED_VALUE"""),0.0)</f>
        <v>0</v>
      </c>
      <c r="BP180" s="675" t="str">
        <f>IFERROR(__xludf.DUMMYFUNCTION("""COMPUTED_VALUE"""),"#N/A")</f>
        <v>#N/A</v>
      </c>
      <c r="BQ180" s="139"/>
      <c r="BR180" s="139" t="str">
        <f>IFERROR(__xludf.DUMMYFUNCTION("""COMPUTED_VALUE"""),"#N/A")</f>
        <v>#N/A</v>
      </c>
      <c r="BS180" s="139" t="str">
        <f>IFERROR(__xludf.DUMMYFUNCTION("""COMPUTED_VALUE"""),"※移動を入力！(BV列)")</f>
        <v>※移動を入力！(BV列)</v>
      </c>
      <c r="BT180" s="139" t="str">
        <f>IFERROR(__xludf.DUMMYFUNCTION("""COMPUTED_VALUE"""),"※攻撃手段を入力(BQ列)")</f>
        <v>※攻撃手段を入力(BQ列)</v>
      </c>
      <c r="BU180" s="139">
        <f>IFERROR(__xludf.DUMMYFUNCTION("""COMPUTED_VALUE"""),0.0)</f>
        <v>0</v>
      </c>
      <c r="BV180" s="139"/>
      <c r="BW180" s="139"/>
      <c r="BX180" s="139" t="str">
        <f>IFERROR(__xludf.DUMMYFUNCTION("""COMPUTED_VALUE"""),"※特性を選択!!(BW列)")</f>
        <v>※特性を選択!!(BW列)</v>
      </c>
      <c r="BY180" s="139" t="str">
        <f>IFERROR(__xludf.DUMMYFUNCTION("""COMPUTED_VALUE"""),"#N/A")</f>
        <v>#N/A</v>
      </c>
      <c r="BZ180" s="139"/>
      <c r="CA180" s="139" t="str">
        <f>IFERROR(__xludf.DUMMYFUNCTION("""COMPUTED_VALUE"""),"※特性を選択!!(BW列)")</f>
        <v>※特性を選択!!(BW列)</v>
      </c>
      <c r="CB180" s="139" t="str">
        <f>IFERROR(__xludf.DUMMYFUNCTION("""COMPUTED_VALUE"""),"#N/A")</f>
        <v>#N/A</v>
      </c>
      <c r="CC180" s="139" t="str">
        <f>IFERROR(__xludf.DUMMYFUNCTION("""COMPUTED_VALUE"""),"該当なし")</f>
        <v>該当なし</v>
      </c>
      <c r="CD180" s="139"/>
      <c r="CE180" s="139" t="str">
        <f>IFERROR(__xludf.DUMMYFUNCTION("""COMPUTED_VALUE"""),"#N/A")</f>
        <v>#N/A</v>
      </c>
      <c r="CF180" s="139" t="str">
        <f>IFERROR(__xludf.DUMMYFUNCTION("""COMPUTED_VALUE"""),"#VALUE!")</f>
        <v>#VALUE!</v>
      </c>
      <c r="CG180" s="139"/>
      <c r="CH180" s="139"/>
      <c r="CI180" s="139" t="str">
        <f>IFERROR(__xludf.DUMMYFUNCTION("""COMPUTED_VALUE"""),"#N/A")</f>
        <v>#N/A</v>
      </c>
      <c r="CJ180" s="139" t="str">
        <f>IFERROR(__xludf.DUMMYFUNCTION("""COMPUTED_VALUE"""),"#VALUE!")</f>
        <v>#VALUE!</v>
      </c>
      <c r="CK180" s="139"/>
      <c r="CL180" s="139"/>
      <c r="CM180" s="139"/>
      <c r="CN180" s="675" t="str">
        <f>IFERROR(__xludf.DUMMYFUNCTION("""COMPUTED_VALUE"""),"#N/A")</f>
        <v>#N/A</v>
      </c>
      <c r="CO180" s="139" t="str">
        <f>IFERROR(__xludf.DUMMYFUNCTION("""COMPUTED_VALUE"""),"-")</f>
        <v>-</v>
      </c>
      <c r="CP180" s="139" t="str">
        <f>IFERROR(__xludf.DUMMYFUNCTION("""COMPUTED_VALUE"""),"-")</f>
        <v>-</v>
      </c>
      <c r="CQ180" s="139" t="str">
        <f>IFERROR(__xludf.DUMMYFUNCTION("""COMPUTED_VALUE"""),"#N/A")</f>
        <v>#N/A</v>
      </c>
      <c r="CR180" s="139"/>
      <c r="CS180" s="139"/>
      <c r="CT180" s="139"/>
      <c r="CU180" s="139"/>
      <c r="CV180" s="139"/>
      <c r="CW180" s="139"/>
      <c r="CX180" s="674" t="str">
        <f>IFERROR(__xludf.DUMMYFUNCTION("""COMPUTED_VALUE"""),"")</f>
        <v/>
      </c>
      <c r="CY180" s="675" t="str">
        <f>IFERROR(__xludf.DUMMYFUNCTION("""COMPUTED_VALUE"""),"")</f>
        <v/>
      </c>
      <c r="CZ180" s="688" t="str">
        <f>IFERROR(__xludf.DUMMYFUNCTION("""COMPUTED_VALUE"""),"-")</f>
        <v>-</v>
      </c>
      <c r="DA180" s="688">
        <f>IFERROR(__xludf.DUMMYFUNCTION("""COMPUTED_VALUE"""),0.0)</f>
        <v>0</v>
      </c>
      <c r="DB180" s="688">
        <f>IFERROR(__xludf.DUMMYFUNCTION("""COMPUTED_VALUE"""),0.0)</f>
        <v>0</v>
      </c>
      <c r="DC180" s="673" t="str">
        <f>IFERROR(__xludf.DUMMYFUNCTION("""COMPUTED_VALUE"""),"-")</f>
        <v>-</v>
      </c>
      <c r="DD180" s="673" t="str">
        <f>IFERROR(__xludf.DUMMYFUNCTION("""COMPUTED_VALUE"""),"-")</f>
        <v>-</v>
      </c>
      <c r="DE180" s="139" t="str">
        <f>IFERROR(__xludf.DUMMYFUNCTION("""COMPUTED_VALUE"""),"-")</f>
        <v>-</v>
      </c>
      <c r="DF180" s="139" t="str">
        <f>IFERROR(__xludf.DUMMYFUNCTION("""COMPUTED_VALUE"""),"-")</f>
        <v>-</v>
      </c>
      <c r="DG180" s="139" t="str">
        <f>IFERROR(__xludf.DUMMYFUNCTION("""COMPUTED_VALUE"""),"-")</f>
        <v>-</v>
      </c>
      <c r="DH180" s="139" t="str">
        <f>IFERROR(__xludf.DUMMYFUNCTION("""COMPUTED_VALUE"""),"-")</f>
        <v>-</v>
      </c>
      <c r="DI180" s="139" t="str">
        <f>IFERROR(__xludf.DUMMYFUNCTION("""COMPUTED_VALUE"""),"-")</f>
        <v>-</v>
      </c>
      <c r="DJ180" s="139" t="str">
        <f>IFERROR(__xludf.DUMMYFUNCTION("""COMPUTED_VALUE"""),"-")</f>
        <v>-</v>
      </c>
    </row>
    <row r="181">
      <c r="A181" s="139" t="str">
        <f>IFERROR(__xludf.DUMMYFUNCTION("""COMPUTED_VALUE"""),"該当なし")</f>
        <v>該当なし</v>
      </c>
      <c r="B181" s="139" t="str">
        <f>IFERROR(__xludf.DUMMYFUNCTION("""COMPUTED_VALUE"""),"該当なし")</f>
        <v>該当なし</v>
      </c>
      <c r="C181" s="139"/>
      <c r="D181" s="139" t="str">
        <f>IFERROR(__xludf.DUMMYFUNCTION("""COMPUTED_VALUE"""),"#N/A")</f>
        <v>#N/A</v>
      </c>
      <c r="E181" s="139" t="str">
        <f>IFERROR(__xludf.DUMMYFUNCTION("""COMPUTED_VALUE"""),"#N/A")</f>
        <v>#N/A</v>
      </c>
      <c r="F181" s="139" t="str">
        <f>IFERROR(__xludf.DUMMYFUNCTION("""COMPUTED_VALUE"""),"#N/A")</f>
        <v>#N/A</v>
      </c>
      <c r="G181" s="139" t="str">
        <f>IFERROR(__xludf.DUMMYFUNCTION("""COMPUTED_VALUE"""),"該当なし")</f>
        <v>該当なし</v>
      </c>
      <c r="H181" s="139" t="str">
        <f>IFERROR(__xludf.DUMMYFUNCTION("""COMPUTED_VALUE"""),"#N/A")</f>
        <v>#N/A</v>
      </c>
      <c r="I181" s="139" t="str">
        <f>IFERROR(__xludf.DUMMYFUNCTION("""COMPUTED_VALUE"""),"#N/A")</f>
        <v>#N/A</v>
      </c>
      <c r="J181" s="139" t="str">
        <f>IFERROR(__xludf.DUMMYFUNCTION("""COMPUTED_VALUE"""),"#N/A")</f>
        <v>#N/A</v>
      </c>
      <c r="K181" s="139" t="str">
        <f>IFERROR(__xludf.DUMMYFUNCTION("""COMPUTED_VALUE"""),"#N/A")</f>
        <v>#N/A</v>
      </c>
      <c r="L181" s="139" t="str">
        <f>IFERROR(__xludf.DUMMYFUNCTION("""COMPUTED_VALUE"""),"※")</f>
        <v>※</v>
      </c>
      <c r="M181" s="674">
        <f>IFERROR(__xludf.DUMMYFUNCTION("""COMPUTED_VALUE"""),0.0)</f>
        <v>0</v>
      </c>
      <c r="N181" s="139">
        <f>IFERROR(__xludf.DUMMYFUNCTION("""COMPUTED_VALUE"""),0.0)</f>
        <v>0</v>
      </c>
      <c r="O181" s="139"/>
      <c r="P181" s="139">
        <f>IFERROR(__xludf.DUMMYFUNCTION("""COMPUTED_VALUE"""),0.0)</f>
        <v>0</v>
      </c>
      <c r="Q181" s="675">
        <f>IFERROR(__xludf.DUMMYFUNCTION("""COMPUTED_VALUE"""),0.0)</f>
        <v>0</v>
      </c>
      <c r="R181" s="675">
        <f>IFERROR(__xludf.DUMMYFUNCTION("""COMPUTED_VALUE"""),0.0)</f>
        <v>0</v>
      </c>
      <c r="S181" s="675">
        <f>IFERROR(__xludf.DUMMYFUNCTION("""COMPUTED_VALUE"""),-2.5)</f>
        <v>-2.5</v>
      </c>
      <c r="T181" s="674" t="str">
        <f>IFERROR(__xludf.DUMMYFUNCTION("""COMPUTED_VALUE"""),"#N/A")</f>
        <v>#N/A</v>
      </c>
      <c r="U181" s="675" t="str">
        <f>IFERROR(__xludf.DUMMYFUNCTION("""COMPUTED_VALUE"""),"#N/A")</f>
        <v>#N/A</v>
      </c>
      <c r="V181" s="675">
        <f>IFERROR(__xludf.DUMMYFUNCTION("""COMPUTED_VALUE"""),0.0)</f>
        <v>0</v>
      </c>
      <c r="W181" s="675" t="str">
        <f>IFERROR(__xludf.DUMMYFUNCTION("""COMPUTED_VALUE"""),"#N/A")</f>
        <v>#N/A</v>
      </c>
      <c r="X181" s="675">
        <f>IFERROR(__xludf.DUMMYFUNCTION("""COMPUTED_VALUE"""),0.0)</f>
        <v>0</v>
      </c>
      <c r="Y181" s="674" t="str">
        <f>IFERROR(__xludf.DUMMYFUNCTION("""COMPUTED_VALUE"""),"#N/A")</f>
        <v>#N/A</v>
      </c>
      <c r="Z181" s="675" t="str">
        <f>IFERROR(__xludf.DUMMYFUNCTION("""COMPUTED_VALUE"""),"#N/A")</f>
        <v>#N/A</v>
      </c>
      <c r="AA181" s="675">
        <f>IFERROR(__xludf.DUMMYFUNCTION("""COMPUTED_VALUE"""),0.0)</f>
        <v>0</v>
      </c>
      <c r="AB181" s="673" t="str">
        <f>IFERROR(__xludf.DUMMYFUNCTION("""COMPUTED_VALUE"""),"#N/A")</f>
        <v>#N/A</v>
      </c>
      <c r="AC181" s="675">
        <f>IFERROR(__xludf.DUMMYFUNCTION("""COMPUTED_VALUE"""),0.0)</f>
        <v>0</v>
      </c>
      <c r="AD181" s="674" t="str">
        <f>IFERROR(__xludf.DUMMYFUNCTION("""COMPUTED_VALUE"""),"#N/A")</f>
        <v>#N/A</v>
      </c>
      <c r="AE181" s="675" t="str">
        <f>IFERROR(__xludf.DUMMYFUNCTION("""COMPUTED_VALUE"""),"#N/A")</f>
        <v>#N/A</v>
      </c>
      <c r="AF181" s="675">
        <f>IFERROR(__xludf.DUMMYFUNCTION("""COMPUTED_VALUE"""),0.0)</f>
        <v>0</v>
      </c>
      <c r="AG181" s="675">
        <f>IFERROR(__xludf.DUMMYFUNCTION("""COMPUTED_VALUE"""),0.0)</f>
        <v>0</v>
      </c>
      <c r="AH181" s="675" t="str">
        <f>IFERROR(__xludf.DUMMYFUNCTION("""COMPUTED_VALUE"""),"#N/A")</f>
        <v>#N/A</v>
      </c>
      <c r="AI181" s="139" t="str">
        <f>IFERROR(__xludf.DUMMYFUNCTION("""COMPUTED_VALUE"""),"#N/A")</f>
        <v>#N/A</v>
      </c>
      <c r="AJ181" s="675" t="str">
        <f>IFERROR(__xludf.DUMMYFUNCTION("""COMPUTED_VALUE"""),"#N/A")</f>
        <v>#N/A</v>
      </c>
      <c r="AK181" s="139" t="str">
        <f>IFERROR(__xludf.DUMMYFUNCTION("""COMPUTED_VALUE"""),"#N/A")</f>
        <v>#N/A</v>
      </c>
      <c r="AL181" s="674" t="str">
        <f>IFERROR(__xludf.DUMMYFUNCTION("""COMPUTED_VALUE"""),"#N/A")</f>
        <v>#N/A</v>
      </c>
      <c r="AM181" s="688" t="str">
        <f>IFERROR(__xludf.DUMMYFUNCTION("""COMPUTED_VALUE"""),"#N/A")</f>
        <v>#N/A</v>
      </c>
      <c r="AN181" s="675" t="str">
        <f>IFERROR(__xludf.DUMMYFUNCTION("""COMPUTED_VALUE"""),"#N/A")</f>
        <v>#N/A</v>
      </c>
      <c r="AO181" s="675" t="str">
        <f>IFERROR(__xludf.DUMMYFUNCTION("""COMPUTED_VALUE"""),"#N/A")</f>
        <v>#N/A</v>
      </c>
      <c r="AP181" s="674">
        <f>IFERROR(__xludf.DUMMYFUNCTION("""COMPUTED_VALUE"""),0.0)</f>
        <v>0</v>
      </c>
      <c r="AQ181" s="673" t="str">
        <f>IFERROR(__xludf.DUMMYFUNCTION("""COMPUTED_VALUE"""),"#N/A")</f>
        <v>#N/A</v>
      </c>
      <c r="AR181" s="673">
        <f>IFERROR(__xludf.DUMMYFUNCTION("""COMPUTED_VALUE"""),0.0)</f>
        <v>0</v>
      </c>
      <c r="AS181" s="673">
        <f>IFERROR(__xludf.DUMMYFUNCTION("""COMPUTED_VALUE"""),0.0)</f>
        <v>0</v>
      </c>
      <c r="AT181" s="673">
        <f>IFERROR(__xludf.DUMMYFUNCTION("""COMPUTED_VALUE"""),0.0)</f>
        <v>0</v>
      </c>
      <c r="AU181" s="675" t="str">
        <f>IFERROR(__xludf.DUMMYFUNCTION("""COMPUTED_VALUE"""),"#N/A")</f>
        <v>#N/A</v>
      </c>
      <c r="AV181" s="675">
        <f>IFERROR(__xludf.DUMMYFUNCTION("""COMPUTED_VALUE"""),0.0)</f>
        <v>0</v>
      </c>
      <c r="AW181" s="139"/>
      <c r="AX181" s="674" t="str">
        <f>IFERROR(__xludf.DUMMYFUNCTION("""COMPUTED_VALUE"""),"※通常攻撃範囲を入力！(CD列)")</f>
        <v>※通常攻撃範囲を入力！(CD列)</v>
      </c>
      <c r="AY181" s="688" t="str">
        <f>IFERROR(__xludf.DUMMYFUNCTION("""COMPUTED_VALUE"""),"#VALUE!")</f>
        <v>#VALUE!</v>
      </c>
      <c r="AZ181" s="674" t="str">
        <f>IFERROR(__xludf.DUMMYFUNCTION("""COMPUTED_VALUE"""),"#N/A")</f>
        <v>#N/A</v>
      </c>
      <c r="BA181" s="688" t="str">
        <f>IFERROR(__xludf.DUMMYFUNCTION("""COMPUTED_VALUE"""),"#VALUE!")</f>
        <v>#VALUE!</v>
      </c>
      <c r="BB181" s="688" t="str">
        <f>IFERROR(__xludf.DUMMYFUNCTION("""COMPUTED_VALUE"""),"-")</f>
        <v>-</v>
      </c>
      <c r="BC181" s="688" t="str">
        <f>IFERROR(__xludf.DUMMYFUNCTION("""COMPUTED_VALUE"""),"#N/A")</f>
        <v>#N/A</v>
      </c>
      <c r="BD181" s="688" t="str">
        <f>IFERROR(__xludf.DUMMYFUNCTION("""COMPUTED_VALUE"""),"#VALUE!")</f>
        <v>#VALUE!</v>
      </c>
      <c r="BE181" s="674" t="str">
        <f>IFERROR(__xludf.DUMMYFUNCTION("""COMPUTED_VALUE"""),"#N/A")</f>
        <v>#N/A</v>
      </c>
      <c r="BF181" s="674">
        <f>IFERROR(__xludf.DUMMYFUNCTION("""COMPUTED_VALUE"""),0.0)</f>
        <v>0</v>
      </c>
      <c r="BG181" s="673">
        <f>IFERROR(__xludf.DUMMYFUNCTION("""COMPUTED_VALUE"""),0.0)</f>
        <v>0</v>
      </c>
      <c r="BH181" s="673" t="str">
        <f>IFERROR(__xludf.DUMMYFUNCTION("""COMPUTED_VALUE"""),"#N/A")</f>
        <v>#N/A</v>
      </c>
      <c r="BI181" s="673" t="str">
        <f>IFERROR(__xludf.DUMMYFUNCTION("""COMPUTED_VALUE"""),"#N/A")</f>
        <v>#N/A</v>
      </c>
      <c r="BJ181" s="673">
        <f>IFERROR(__xludf.DUMMYFUNCTION("""COMPUTED_VALUE"""),0.0)</f>
        <v>0</v>
      </c>
      <c r="BK181" s="673">
        <f>IFERROR(__xludf.DUMMYFUNCTION("""COMPUTED_VALUE"""),0.0)</f>
        <v>0</v>
      </c>
      <c r="BL181" s="673" t="str">
        <f>IFERROR(__xludf.DUMMYFUNCTION("""COMPUTED_VALUE"""),"#N/A")</f>
        <v>#N/A</v>
      </c>
      <c r="BM181" s="674" t="str">
        <f>IFERROR(__xludf.DUMMYFUNCTION("""COMPUTED_VALUE"""),"#N/A")</f>
        <v>#N/A</v>
      </c>
      <c r="BN181" s="674" t="str">
        <f>IFERROR(__xludf.DUMMYFUNCTION("""COMPUTED_VALUE"""),"#N/A")</f>
        <v>#N/A</v>
      </c>
      <c r="BO181" s="675">
        <f>IFERROR(__xludf.DUMMYFUNCTION("""COMPUTED_VALUE"""),0.0)</f>
        <v>0</v>
      </c>
      <c r="BP181" s="675" t="str">
        <f>IFERROR(__xludf.DUMMYFUNCTION("""COMPUTED_VALUE"""),"#N/A")</f>
        <v>#N/A</v>
      </c>
      <c r="BQ181" s="139"/>
      <c r="BR181" s="139" t="str">
        <f>IFERROR(__xludf.DUMMYFUNCTION("""COMPUTED_VALUE"""),"#N/A")</f>
        <v>#N/A</v>
      </c>
      <c r="BS181" s="139" t="str">
        <f>IFERROR(__xludf.DUMMYFUNCTION("""COMPUTED_VALUE"""),"※移動を入力！(BV列)")</f>
        <v>※移動を入力！(BV列)</v>
      </c>
      <c r="BT181" s="139" t="str">
        <f>IFERROR(__xludf.DUMMYFUNCTION("""COMPUTED_VALUE"""),"※攻撃手段を入力(BQ列)")</f>
        <v>※攻撃手段を入力(BQ列)</v>
      </c>
      <c r="BU181" s="139">
        <f>IFERROR(__xludf.DUMMYFUNCTION("""COMPUTED_VALUE"""),0.0)</f>
        <v>0</v>
      </c>
      <c r="BV181" s="139"/>
      <c r="BW181" s="139"/>
      <c r="BX181" s="139" t="str">
        <f>IFERROR(__xludf.DUMMYFUNCTION("""COMPUTED_VALUE"""),"※特性を選択!!(BW列)")</f>
        <v>※特性を選択!!(BW列)</v>
      </c>
      <c r="BY181" s="139" t="str">
        <f>IFERROR(__xludf.DUMMYFUNCTION("""COMPUTED_VALUE"""),"#N/A")</f>
        <v>#N/A</v>
      </c>
      <c r="BZ181" s="139"/>
      <c r="CA181" s="139" t="str">
        <f>IFERROR(__xludf.DUMMYFUNCTION("""COMPUTED_VALUE"""),"※特性を選択!!(BW列)")</f>
        <v>※特性を選択!!(BW列)</v>
      </c>
      <c r="CB181" s="139" t="str">
        <f>IFERROR(__xludf.DUMMYFUNCTION("""COMPUTED_VALUE"""),"#N/A")</f>
        <v>#N/A</v>
      </c>
      <c r="CC181" s="139" t="str">
        <f>IFERROR(__xludf.DUMMYFUNCTION("""COMPUTED_VALUE"""),"該当なし")</f>
        <v>該当なし</v>
      </c>
      <c r="CD181" s="139"/>
      <c r="CE181" s="139" t="str">
        <f>IFERROR(__xludf.DUMMYFUNCTION("""COMPUTED_VALUE"""),"#N/A")</f>
        <v>#N/A</v>
      </c>
      <c r="CF181" s="139" t="str">
        <f>IFERROR(__xludf.DUMMYFUNCTION("""COMPUTED_VALUE"""),"#VALUE!")</f>
        <v>#VALUE!</v>
      </c>
      <c r="CG181" s="139"/>
      <c r="CH181" s="139"/>
      <c r="CI181" s="139" t="str">
        <f>IFERROR(__xludf.DUMMYFUNCTION("""COMPUTED_VALUE"""),"#N/A")</f>
        <v>#N/A</v>
      </c>
      <c r="CJ181" s="139" t="str">
        <f>IFERROR(__xludf.DUMMYFUNCTION("""COMPUTED_VALUE"""),"#VALUE!")</f>
        <v>#VALUE!</v>
      </c>
      <c r="CK181" s="139"/>
      <c r="CL181" s="139"/>
      <c r="CM181" s="139"/>
      <c r="CN181" s="675" t="str">
        <f>IFERROR(__xludf.DUMMYFUNCTION("""COMPUTED_VALUE"""),"#N/A")</f>
        <v>#N/A</v>
      </c>
      <c r="CO181" s="139" t="str">
        <f>IFERROR(__xludf.DUMMYFUNCTION("""COMPUTED_VALUE"""),"-")</f>
        <v>-</v>
      </c>
      <c r="CP181" s="139" t="str">
        <f>IFERROR(__xludf.DUMMYFUNCTION("""COMPUTED_VALUE"""),"-")</f>
        <v>-</v>
      </c>
      <c r="CQ181" s="139" t="str">
        <f>IFERROR(__xludf.DUMMYFUNCTION("""COMPUTED_VALUE"""),"#N/A")</f>
        <v>#N/A</v>
      </c>
      <c r="CR181" s="139"/>
      <c r="CS181" s="139"/>
      <c r="CT181" s="139"/>
      <c r="CU181" s="139"/>
      <c r="CV181" s="139"/>
      <c r="CW181" s="139"/>
      <c r="CX181" s="674" t="str">
        <f>IFERROR(__xludf.DUMMYFUNCTION("""COMPUTED_VALUE"""),"")</f>
        <v/>
      </c>
      <c r="CY181" s="675" t="str">
        <f>IFERROR(__xludf.DUMMYFUNCTION("""COMPUTED_VALUE"""),"")</f>
        <v/>
      </c>
      <c r="CZ181" s="688" t="str">
        <f>IFERROR(__xludf.DUMMYFUNCTION("""COMPUTED_VALUE"""),"-")</f>
        <v>-</v>
      </c>
      <c r="DA181" s="688">
        <f>IFERROR(__xludf.DUMMYFUNCTION("""COMPUTED_VALUE"""),0.0)</f>
        <v>0</v>
      </c>
      <c r="DB181" s="688">
        <f>IFERROR(__xludf.DUMMYFUNCTION("""COMPUTED_VALUE"""),0.0)</f>
        <v>0</v>
      </c>
      <c r="DC181" s="673" t="str">
        <f>IFERROR(__xludf.DUMMYFUNCTION("""COMPUTED_VALUE"""),"-")</f>
        <v>-</v>
      </c>
      <c r="DD181" s="673" t="str">
        <f>IFERROR(__xludf.DUMMYFUNCTION("""COMPUTED_VALUE"""),"-")</f>
        <v>-</v>
      </c>
      <c r="DE181" s="139" t="str">
        <f>IFERROR(__xludf.DUMMYFUNCTION("""COMPUTED_VALUE"""),"-")</f>
        <v>-</v>
      </c>
      <c r="DF181" s="139" t="str">
        <f>IFERROR(__xludf.DUMMYFUNCTION("""COMPUTED_VALUE"""),"-")</f>
        <v>-</v>
      </c>
      <c r="DG181" s="139" t="str">
        <f>IFERROR(__xludf.DUMMYFUNCTION("""COMPUTED_VALUE"""),"-")</f>
        <v>-</v>
      </c>
      <c r="DH181" s="139" t="str">
        <f>IFERROR(__xludf.DUMMYFUNCTION("""COMPUTED_VALUE"""),"-")</f>
        <v>-</v>
      </c>
      <c r="DI181" s="139" t="str">
        <f>IFERROR(__xludf.DUMMYFUNCTION("""COMPUTED_VALUE"""),"-")</f>
        <v>-</v>
      </c>
      <c r="DJ181" s="139" t="str">
        <f>IFERROR(__xludf.DUMMYFUNCTION("""COMPUTED_VALUE"""),"-")</f>
        <v>-</v>
      </c>
    </row>
    <row r="182">
      <c r="A182" s="139" t="str">
        <f>IFERROR(__xludf.DUMMYFUNCTION("""COMPUTED_VALUE"""),"該当なし")</f>
        <v>該当なし</v>
      </c>
      <c r="B182" s="139" t="str">
        <f>IFERROR(__xludf.DUMMYFUNCTION("""COMPUTED_VALUE"""),"該当なし")</f>
        <v>該当なし</v>
      </c>
      <c r="C182" s="139"/>
      <c r="D182" s="139" t="str">
        <f>IFERROR(__xludf.DUMMYFUNCTION("""COMPUTED_VALUE"""),"#N/A")</f>
        <v>#N/A</v>
      </c>
      <c r="E182" s="139" t="str">
        <f>IFERROR(__xludf.DUMMYFUNCTION("""COMPUTED_VALUE"""),"#N/A")</f>
        <v>#N/A</v>
      </c>
      <c r="F182" s="139" t="str">
        <f>IFERROR(__xludf.DUMMYFUNCTION("""COMPUTED_VALUE"""),"#N/A")</f>
        <v>#N/A</v>
      </c>
      <c r="G182" s="139" t="str">
        <f>IFERROR(__xludf.DUMMYFUNCTION("""COMPUTED_VALUE"""),"該当なし")</f>
        <v>該当なし</v>
      </c>
      <c r="H182" s="139" t="str">
        <f>IFERROR(__xludf.DUMMYFUNCTION("""COMPUTED_VALUE"""),"#N/A")</f>
        <v>#N/A</v>
      </c>
      <c r="I182" s="139" t="str">
        <f>IFERROR(__xludf.DUMMYFUNCTION("""COMPUTED_VALUE"""),"#N/A")</f>
        <v>#N/A</v>
      </c>
      <c r="J182" s="139" t="str">
        <f>IFERROR(__xludf.DUMMYFUNCTION("""COMPUTED_VALUE"""),"#N/A")</f>
        <v>#N/A</v>
      </c>
      <c r="K182" s="139" t="str">
        <f>IFERROR(__xludf.DUMMYFUNCTION("""COMPUTED_VALUE"""),"#N/A")</f>
        <v>#N/A</v>
      </c>
      <c r="L182" s="139" t="str">
        <f>IFERROR(__xludf.DUMMYFUNCTION("""COMPUTED_VALUE"""),"※")</f>
        <v>※</v>
      </c>
      <c r="M182" s="674">
        <f>IFERROR(__xludf.DUMMYFUNCTION("""COMPUTED_VALUE"""),0.0)</f>
        <v>0</v>
      </c>
      <c r="N182" s="139">
        <f>IFERROR(__xludf.DUMMYFUNCTION("""COMPUTED_VALUE"""),0.0)</f>
        <v>0</v>
      </c>
      <c r="O182" s="139"/>
      <c r="P182" s="139">
        <f>IFERROR(__xludf.DUMMYFUNCTION("""COMPUTED_VALUE"""),0.0)</f>
        <v>0</v>
      </c>
      <c r="Q182" s="675">
        <f>IFERROR(__xludf.DUMMYFUNCTION("""COMPUTED_VALUE"""),0.0)</f>
        <v>0</v>
      </c>
      <c r="R182" s="675">
        <f>IFERROR(__xludf.DUMMYFUNCTION("""COMPUTED_VALUE"""),0.0)</f>
        <v>0</v>
      </c>
      <c r="S182" s="675">
        <f>IFERROR(__xludf.DUMMYFUNCTION("""COMPUTED_VALUE"""),-2.5)</f>
        <v>-2.5</v>
      </c>
      <c r="T182" s="674" t="str">
        <f>IFERROR(__xludf.DUMMYFUNCTION("""COMPUTED_VALUE"""),"#N/A")</f>
        <v>#N/A</v>
      </c>
      <c r="U182" s="675" t="str">
        <f>IFERROR(__xludf.DUMMYFUNCTION("""COMPUTED_VALUE"""),"#N/A")</f>
        <v>#N/A</v>
      </c>
      <c r="V182" s="675">
        <f>IFERROR(__xludf.DUMMYFUNCTION("""COMPUTED_VALUE"""),0.0)</f>
        <v>0</v>
      </c>
      <c r="W182" s="675" t="str">
        <f>IFERROR(__xludf.DUMMYFUNCTION("""COMPUTED_VALUE"""),"#N/A")</f>
        <v>#N/A</v>
      </c>
      <c r="X182" s="675">
        <f>IFERROR(__xludf.DUMMYFUNCTION("""COMPUTED_VALUE"""),0.0)</f>
        <v>0</v>
      </c>
      <c r="Y182" s="674" t="str">
        <f>IFERROR(__xludf.DUMMYFUNCTION("""COMPUTED_VALUE"""),"#N/A")</f>
        <v>#N/A</v>
      </c>
      <c r="Z182" s="675" t="str">
        <f>IFERROR(__xludf.DUMMYFUNCTION("""COMPUTED_VALUE"""),"#N/A")</f>
        <v>#N/A</v>
      </c>
      <c r="AA182" s="675">
        <f>IFERROR(__xludf.DUMMYFUNCTION("""COMPUTED_VALUE"""),0.0)</f>
        <v>0</v>
      </c>
      <c r="AB182" s="673" t="str">
        <f>IFERROR(__xludf.DUMMYFUNCTION("""COMPUTED_VALUE"""),"#N/A")</f>
        <v>#N/A</v>
      </c>
      <c r="AC182" s="675">
        <f>IFERROR(__xludf.DUMMYFUNCTION("""COMPUTED_VALUE"""),0.0)</f>
        <v>0</v>
      </c>
      <c r="AD182" s="674" t="str">
        <f>IFERROR(__xludf.DUMMYFUNCTION("""COMPUTED_VALUE"""),"#N/A")</f>
        <v>#N/A</v>
      </c>
      <c r="AE182" s="675" t="str">
        <f>IFERROR(__xludf.DUMMYFUNCTION("""COMPUTED_VALUE"""),"#N/A")</f>
        <v>#N/A</v>
      </c>
      <c r="AF182" s="675">
        <f>IFERROR(__xludf.DUMMYFUNCTION("""COMPUTED_VALUE"""),0.0)</f>
        <v>0</v>
      </c>
      <c r="AG182" s="675">
        <f>IFERROR(__xludf.DUMMYFUNCTION("""COMPUTED_VALUE"""),0.0)</f>
        <v>0</v>
      </c>
      <c r="AH182" s="675" t="str">
        <f>IFERROR(__xludf.DUMMYFUNCTION("""COMPUTED_VALUE"""),"#N/A")</f>
        <v>#N/A</v>
      </c>
      <c r="AI182" s="139" t="str">
        <f>IFERROR(__xludf.DUMMYFUNCTION("""COMPUTED_VALUE"""),"#N/A")</f>
        <v>#N/A</v>
      </c>
      <c r="AJ182" s="675" t="str">
        <f>IFERROR(__xludf.DUMMYFUNCTION("""COMPUTED_VALUE"""),"#N/A")</f>
        <v>#N/A</v>
      </c>
      <c r="AK182" s="139" t="str">
        <f>IFERROR(__xludf.DUMMYFUNCTION("""COMPUTED_VALUE"""),"#N/A")</f>
        <v>#N/A</v>
      </c>
      <c r="AL182" s="674" t="str">
        <f>IFERROR(__xludf.DUMMYFUNCTION("""COMPUTED_VALUE"""),"#N/A")</f>
        <v>#N/A</v>
      </c>
      <c r="AM182" s="688" t="str">
        <f>IFERROR(__xludf.DUMMYFUNCTION("""COMPUTED_VALUE"""),"#N/A")</f>
        <v>#N/A</v>
      </c>
      <c r="AN182" s="675" t="str">
        <f>IFERROR(__xludf.DUMMYFUNCTION("""COMPUTED_VALUE"""),"#N/A")</f>
        <v>#N/A</v>
      </c>
      <c r="AO182" s="675" t="str">
        <f>IFERROR(__xludf.DUMMYFUNCTION("""COMPUTED_VALUE"""),"#N/A")</f>
        <v>#N/A</v>
      </c>
      <c r="AP182" s="674">
        <f>IFERROR(__xludf.DUMMYFUNCTION("""COMPUTED_VALUE"""),0.0)</f>
        <v>0</v>
      </c>
      <c r="AQ182" s="673" t="str">
        <f>IFERROR(__xludf.DUMMYFUNCTION("""COMPUTED_VALUE"""),"#N/A")</f>
        <v>#N/A</v>
      </c>
      <c r="AR182" s="673">
        <f>IFERROR(__xludf.DUMMYFUNCTION("""COMPUTED_VALUE"""),0.0)</f>
        <v>0</v>
      </c>
      <c r="AS182" s="673">
        <f>IFERROR(__xludf.DUMMYFUNCTION("""COMPUTED_VALUE"""),0.0)</f>
        <v>0</v>
      </c>
      <c r="AT182" s="673">
        <f>IFERROR(__xludf.DUMMYFUNCTION("""COMPUTED_VALUE"""),0.0)</f>
        <v>0</v>
      </c>
      <c r="AU182" s="675" t="str">
        <f>IFERROR(__xludf.DUMMYFUNCTION("""COMPUTED_VALUE"""),"#N/A")</f>
        <v>#N/A</v>
      </c>
      <c r="AV182" s="675">
        <f>IFERROR(__xludf.DUMMYFUNCTION("""COMPUTED_VALUE"""),0.0)</f>
        <v>0</v>
      </c>
      <c r="AW182" s="139"/>
      <c r="AX182" s="674" t="str">
        <f>IFERROR(__xludf.DUMMYFUNCTION("""COMPUTED_VALUE"""),"※通常攻撃範囲を入力！(CD列)")</f>
        <v>※通常攻撃範囲を入力！(CD列)</v>
      </c>
      <c r="AY182" s="688" t="str">
        <f>IFERROR(__xludf.DUMMYFUNCTION("""COMPUTED_VALUE"""),"#VALUE!")</f>
        <v>#VALUE!</v>
      </c>
      <c r="AZ182" s="674" t="str">
        <f>IFERROR(__xludf.DUMMYFUNCTION("""COMPUTED_VALUE"""),"#N/A")</f>
        <v>#N/A</v>
      </c>
      <c r="BA182" s="688" t="str">
        <f>IFERROR(__xludf.DUMMYFUNCTION("""COMPUTED_VALUE"""),"#VALUE!")</f>
        <v>#VALUE!</v>
      </c>
      <c r="BB182" s="688" t="str">
        <f>IFERROR(__xludf.DUMMYFUNCTION("""COMPUTED_VALUE"""),"-")</f>
        <v>-</v>
      </c>
      <c r="BC182" s="688" t="str">
        <f>IFERROR(__xludf.DUMMYFUNCTION("""COMPUTED_VALUE"""),"#N/A")</f>
        <v>#N/A</v>
      </c>
      <c r="BD182" s="688" t="str">
        <f>IFERROR(__xludf.DUMMYFUNCTION("""COMPUTED_VALUE"""),"#VALUE!")</f>
        <v>#VALUE!</v>
      </c>
      <c r="BE182" s="674" t="str">
        <f>IFERROR(__xludf.DUMMYFUNCTION("""COMPUTED_VALUE"""),"#N/A")</f>
        <v>#N/A</v>
      </c>
      <c r="BF182" s="674">
        <f>IFERROR(__xludf.DUMMYFUNCTION("""COMPUTED_VALUE"""),0.0)</f>
        <v>0</v>
      </c>
      <c r="BG182" s="673">
        <f>IFERROR(__xludf.DUMMYFUNCTION("""COMPUTED_VALUE"""),0.0)</f>
        <v>0</v>
      </c>
      <c r="BH182" s="673" t="str">
        <f>IFERROR(__xludf.DUMMYFUNCTION("""COMPUTED_VALUE"""),"#N/A")</f>
        <v>#N/A</v>
      </c>
      <c r="BI182" s="673" t="str">
        <f>IFERROR(__xludf.DUMMYFUNCTION("""COMPUTED_VALUE"""),"#N/A")</f>
        <v>#N/A</v>
      </c>
      <c r="BJ182" s="673">
        <f>IFERROR(__xludf.DUMMYFUNCTION("""COMPUTED_VALUE"""),0.0)</f>
        <v>0</v>
      </c>
      <c r="BK182" s="673">
        <f>IFERROR(__xludf.DUMMYFUNCTION("""COMPUTED_VALUE"""),0.0)</f>
        <v>0</v>
      </c>
      <c r="BL182" s="673" t="str">
        <f>IFERROR(__xludf.DUMMYFUNCTION("""COMPUTED_VALUE"""),"#N/A")</f>
        <v>#N/A</v>
      </c>
      <c r="BM182" s="674" t="str">
        <f>IFERROR(__xludf.DUMMYFUNCTION("""COMPUTED_VALUE"""),"#N/A")</f>
        <v>#N/A</v>
      </c>
      <c r="BN182" s="674" t="str">
        <f>IFERROR(__xludf.DUMMYFUNCTION("""COMPUTED_VALUE"""),"#N/A")</f>
        <v>#N/A</v>
      </c>
      <c r="BO182" s="675">
        <f>IFERROR(__xludf.DUMMYFUNCTION("""COMPUTED_VALUE"""),0.0)</f>
        <v>0</v>
      </c>
      <c r="BP182" s="675" t="str">
        <f>IFERROR(__xludf.DUMMYFUNCTION("""COMPUTED_VALUE"""),"#N/A")</f>
        <v>#N/A</v>
      </c>
      <c r="BQ182" s="139"/>
      <c r="BR182" s="139" t="str">
        <f>IFERROR(__xludf.DUMMYFUNCTION("""COMPUTED_VALUE"""),"#N/A")</f>
        <v>#N/A</v>
      </c>
      <c r="BS182" s="139" t="str">
        <f>IFERROR(__xludf.DUMMYFUNCTION("""COMPUTED_VALUE"""),"※移動を入力！(BV列)")</f>
        <v>※移動を入力！(BV列)</v>
      </c>
      <c r="BT182" s="139" t="str">
        <f>IFERROR(__xludf.DUMMYFUNCTION("""COMPUTED_VALUE"""),"※攻撃手段を入力(BQ列)")</f>
        <v>※攻撃手段を入力(BQ列)</v>
      </c>
      <c r="BU182" s="139">
        <f>IFERROR(__xludf.DUMMYFUNCTION("""COMPUTED_VALUE"""),0.0)</f>
        <v>0</v>
      </c>
      <c r="BV182" s="139"/>
      <c r="BW182" s="139"/>
      <c r="BX182" s="139" t="str">
        <f>IFERROR(__xludf.DUMMYFUNCTION("""COMPUTED_VALUE"""),"※特性を選択!!(BW列)")</f>
        <v>※特性を選択!!(BW列)</v>
      </c>
      <c r="BY182" s="139" t="str">
        <f>IFERROR(__xludf.DUMMYFUNCTION("""COMPUTED_VALUE"""),"#N/A")</f>
        <v>#N/A</v>
      </c>
      <c r="BZ182" s="139"/>
      <c r="CA182" s="139" t="str">
        <f>IFERROR(__xludf.DUMMYFUNCTION("""COMPUTED_VALUE"""),"※特性を選択!!(BW列)")</f>
        <v>※特性を選択!!(BW列)</v>
      </c>
      <c r="CB182" s="139" t="str">
        <f>IFERROR(__xludf.DUMMYFUNCTION("""COMPUTED_VALUE"""),"#N/A")</f>
        <v>#N/A</v>
      </c>
      <c r="CC182" s="139" t="str">
        <f>IFERROR(__xludf.DUMMYFUNCTION("""COMPUTED_VALUE"""),"該当なし")</f>
        <v>該当なし</v>
      </c>
      <c r="CD182" s="139"/>
      <c r="CE182" s="139" t="str">
        <f>IFERROR(__xludf.DUMMYFUNCTION("""COMPUTED_VALUE"""),"#N/A")</f>
        <v>#N/A</v>
      </c>
      <c r="CF182" s="139" t="str">
        <f>IFERROR(__xludf.DUMMYFUNCTION("""COMPUTED_VALUE"""),"#VALUE!")</f>
        <v>#VALUE!</v>
      </c>
      <c r="CG182" s="139"/>
      <c r="CH182" s="139"/>
      <c r="CI182" s="139" t="str">
        <f>IFERROR(__xludf.DUMMYFUNCTION("""COMPUTED_VALUE"""),"#N/A")</f>
        <v>#N/A</v>
      </c>
      <c r="CJ182" s="139" t="str">
        <f>IFERROR(__xludf.DUMMYFUNCTION("""COMPUTED_VALUE"""),"#VALUE!")</f>
        <v>#VALUE!</v>
      </c>
      <c r="CK182" s="139"/>
      <c r="CL182" s="139"/>
      <c r="CM182" s="139"/>
      <c r="CN182" s="675" t="str">
        <f>IFERROR(__xludf.DUMMYFUNCTION("""COMPUTED_VALUE"""),"#N/A")</f>
        <v>#N/A</v>
      </c>
      <c r="CO182" s="139" t="str">
        <f>IFERROR(__xludf.DUMMYFUNCTION("""COMPUTED_VALUE"""),"-")</f>
        <v>-</v>
      </c>
      <c r="CP182" s="139" t="str">
        <f>IFERROR(__xludf.DUMMYFUNCTION("""COMPUTED_VALUE"""),"-")</f>
        <v>-</v>
      </c>
      <c r="CQ182" s="139" t="str">
        <f>IFERROR(__xludf.DUMMYFUNCTION("""COMPUTED_VALUE"""),"#N/A")</f>
        <v>#N/A</v>
      </c>
      <c r="CR182" s="139"/>
      <c r="CS182" s="139"/>
      <c r="CT182" s="139"/>
      <c r="CU182" s="139"/>
      <c r="CV182" s="139"/>
      <c r="CW182" s="139"/>
      <c r="CX182" s="674" t="str">
        <f>IFERROR(__xludf.DUMMYFUNCTION("""COMPUTED_VALUE"""),"")</f>
        <v/>
      </c>
      <c r="CY182" s="675" t="str">
        <f>IFERROR(__xludf.DUMMYFUNCTION("""COMPUTED_VALUE"""),"")</f>
        <v/>
      </c>
      <c r="CZ182" s="688" t="str">
        <f>IFERROR(__xludf.DUMMYFUNCTION("""COMPUTED_VALUE"""),"-")</f>
        <v>-</v>
      </c>
      <c r="DA182" s="688">
        <f>IFERROR(__xludf.DUMMYFUNCTION("""COMPUTED_VALUE"""),0.0)</f>
        <v>0</v>
      </c>
      <c r="DB182" s="688">
        <f>IFERROR(__xludf.DUMMYFUNCTION("""COMPUTED_VALUE"""),0.0)</f>
        <v>0</v>
      </c>
      <c r="DC182" s="673" t="str">
        <f>IFERROR(__xludf.DUMMYFUNCTION("""COMPUTED_VALUE"""),"-")</f>
        <v>-</v>
      </c>
      <c r="DD182" s="673" t="str">
        <f>IFERROR(__xludf.DUMMYFUNCTION("""COMPUTED_VALUE"""),"-")</f>
        <v>-</v>
      </c>
      <c r="DE182" s="139" t="str">
        <f>IFERROR(__xludf.DUMMYFUNCTION("""COMPUTED_VALUE"""),"-")</f>
        <v>-</v>
      </c>
      <c r="DF182" s="139" t="str">
        <f>IFERROR(__xludf.DUMMYFUNCTION("""COMPUTED_VALUE"""),"-")</f>
        <v>-</v>
      </c>
      <c r="DG182" s="139" t="str">
        <f>IFERROR(__xludf.DUMMYFUNCTION("""COMPUTED_VALUE"""),"-")</f>
        <v>-</v>
      </c>
      <c r="DH182" s="139" t="str">
        <f>IFERROR(__xludf.DUMMYFUNCTION("""COMPUTED_VALUE"""),"-")</f>
        <v>-</v>
      </c>
      <c r="DI182" s="139" t="str">
        <f>IFERROR(__xludf.DUMMYFUNCTION("""COMPUTED_VALUE"""),"-")</f>
        <v>-</v>
      </c>
      <c r="DJ182" s="139" t="str">
        <f>IFERROR(__xludf.DUMMYFUNCTION("""COMPUTED_VALUE"""),"-")</f>
        <v>-</v>
      </c>
    </row>
    <row r="183">
      <c r="A183" s="139" t="str">
        <f>IFERROR(__xludf.DUMMYFUNCTION("""COMPUTED_VALUE"""),"該当なし")</f>
        <v>該当なし</v>
      </c>
      <c r="B183" s="139" t="str">
        <f>IFERROR(__xludf.DUMMYFUNCTION("""COMPUTED_VALUE"""),"該当なし")</f>
        <v>該当なし</v>
      </c>
      <c r="C183" s="139"/>
      <c r="D183" s="139" t="str">
        <f>IFERROR(__xludf.DUMMYFUNCTION("""COMPUTED_VALUE"""),"#N/A")</f>
        <v>#N/A</v>
      </c>
      <c r="E183" s="139" t="str">
        <f>IFERROR(__xludf.DUMMYFUNCTION("""COMPUTED_VALUE"""),"#N/A")</f>
        <v>#N/A</v>
      </c>
      <c r="F183" s="139" t="str">
        <f>IFERROR(__xludf.DUMMYFUNCTION("""COMPUTED_VALUE"""),"#N/A")</f>
        <v>#N/A</v>
      </c>
      <c r="G183" s="139" t="str">
        <f>IFERROR(__xludf.DUMMYFUNCTION("""COMPUTED_VALUE"""),"該当なし")</f>
        <v>該当なし</v>
      </c>
      <c r="H183" s="139" t="str">
        <f>IFERROR(__xludf.DUMMYFUNCTION("""COMPUTED_VALUE"""),"#N/A")</f>
        <v>#N/A</v>
      </c>
      <c r="I183" s="139" t="str">
        <f>IFERROR(__xludf.DUMMYFUNCTION("""COMPUTED_VALUE"""),"#N/A")</f>
        <v>#N/A</v>
      </c>
      <c r="J183" s="139" t="str">
        <f>IFERROR(__xludf.DUMMYFUNCTION("""COMPUTED_VALUE"""),"#N/A")</f>
        <v>#N/A</v>
      </c>
      <c r="K183" s="139" t="str">
        <f>IFERROR(__xludf.DUMMYFUNCTION("""COMPUTED_VALUE"""),"#N/A")</f>
        <v>#N/A</v>
      </c>
      <c r="L183" s="139" t="str">
        <f>IFERROR(__xludf.DUMMYFUNCTION("""COMPUTED_VALUE"""),"※")</f>
        <v>※</v>
      </c>
      <c r="M183" s="674">
        <f>IFERROR(__xludf.DUMMYFUNCTION("""COMPUTED_VALUE"""),0.0)</f>
        <v>0</v>
      </c>
      <c r="N183" s="139">
        <f>IFERROR(__xludf.DUMMYFUNCTION("""COMPUTED_VALUE"""),0.0)</f>
        <v>0</v>
      </c>
      <c r="O183" s="139"/>
      <c r="P183" s="139">
        <f>IFERROR(__xludf.DUMMYFUNCTION("""COMPUTED_VALUE"""),0.0)</f>
        <v>0</v>
      </c>
      <c r="Q183" s="675">
        <f>IFERROR(__xludf.DUMMYFUNCTION("""COMPUTED_VALUE"""),0.0)</f>
        <v>0</v>
      </c>
      <c r="R183" s="675">
        <f>IFERROR(__xludf.DUMMYFUNCTION("""COMPUTED_VALUE"""),0.0)</f>
        <v>0</v>
      </c>
      <c r="S183" s="675">
        <f>IFERROR(__xludf.DUMMYFUNCTION("""COMPUTED_VALUE"""),-2.5)</f>
        <v>-2.5</v>
      </c>
      <c r="T183" s="674" t="str">
        <f>IFERROR(__xludf.DUMMYFUNCTION("""COMPUTED_VALUE"""),"#N/A")</f>
        <v>#N/A</v>
      </c>
      <c r="U183" s="675" t="str">
        <f>IFERROR(__xludf.DUMMYFUNCTION("""COMPUTED_VALUE"""),"#N/A")</f>
        <v>#N/A</v>
      </c>
      <c r="V183" s="675">
        <f>IFERROR(__xludf.DUMMYFUNCTION("""COMPUTED_VALUE"""),0.0)</f>
        <v>0</v>
      </c>
      <c r="W183" s="675" t="str">
        <f>IFERROR(__xludf.DUMMYFUNCTION("""COMPUTED_VALUE"""),"#N/A")</f>
        <v>#N/A</v>
      </c>
      <c r="X183" s="675">
        <f>IFERROR(__xludf.DUMMYFUNCTION("""COMPUTED_VALUE"""),0.0)</f>
        <v>0</v>
      </c>
      <c r="Y183" s="674" t="str">
        <f>IFERROR(__xludf.DUMMYFUNCTION("""COMPUTED_VALUE"""),"#N/A")</f>
        <v>#N/A</v>
      </c>
      <c r="Z183" s="675" t="str">
        <f>IFERROR(__xludf.DUMMYFUNCTION("""COMPUTED_VALUE"""),"#N/A")</f>
        <v>#N/A</v>
      </c>
      <c r="AA183" s="675">
        <f>IFERROR(__xludf.DUMMYFUNCTION("""COMPUTED_VALUE"""),0.0)</f>
        <v>0</v>
      </c>
      <c r="AB183" s="673" t="str">
        <f>IFERROR(__xludf.DUMMYFUNCTION("""COMPUTED_VALUE"""),"#N/A")</f>
        <v>#N/A</v>
      </c>
      <c r="AC183" s="675">
        <f>IFERROR(__xludf.DUMMYFUNCTION("""COMPUTED_VALUE"""),0.0)</f>
        <v>0</v>
      </c>
      <c r="AD183" s="674" t="str">
        <f>IFERROR(__xludf.DUMMYFUNCTION("""COMPUTED_VALUE"""),"#N/A")</f>
        <v>#N/A</v>
      </c>
      <c r="AE183" s="675" t="str">
        <f>IFERROR(__xludf.DUMMYFUNCTION("""COMPUTED_VALUE"""),"#N/A")</f>
        <v>#N/A</v>
      </c>
      <c r="AF183" s="675">
        <f>IFERROR(__xludf.DUMMYFUNCTION("""COMPUTED_VALUE"""),0.0)</f>
        <v>0</v>
      </c>
      <c r="AG183" s="675">
        <f>IFERROR(__xludf.DUMMYFUNCTION("""COMPUTED_VALUE"""),0.0)</f>
        <v>0</v>
      </c>
      <c r="AH183" s="675" t="str">
        <f>IFERROR(__xludf.DUMMYFUNCTION("""COMPUTED_VALUE"""),"#N/A")</f>
        <v>#N/A</v>
      </c>
      <c r="AI183" s="139" t="str">
        <f>IFERROR(__xludf.DUMMYFUNCTION("""COMPUTED_VALUE"""),"#N/A")</f>
        <v>#N/A</v>
      </c>
      <c r="AJ183" s="675" t="str">
        <f>IFERROR(__xludf.DUMMYFUNCTION("""COMPUTED_VALUE"""),"#N/A")</f>
        <v>#N/A</v>
      </c>
      <c r="AK183" s="139" t="str">
        <f>IFERROR(__xludf.DUMMYFUNCTION("""COMPUTED_VALUE"""),"#N/A")</f>
        <v>#N/A</v>
      </c>
      <c r="AL183" s="674" t="str">
        <f>IFERROR(__xludf.DUMMYFUNCTION("""COMPUTED_VALUE"""),"#N/A")</f>
        <v>#N/A</v>
      </c>
      <c r="AM183" s="688" t="str">
        <f>IFERROR(__xludf.DUMMYFUNCTION("""COMPUTED_VALUE"""),"#N/A")</f>
        <v>#N/A</v>
      </c>
      <c r="AN183" s="675" t="str">
        <f>IFERROR(__xludf.DUMMYFUNCTION("""COMPUTED_VALUE"""),"#N/A")</f>
        <v>#N/A</v>
      </c>
      <c r="AO183" s="675" t="str">
        <f>IFERROR(__xludf.DUMMYFUNCTION("""COMPUTED_VALUE"""),"#N/A")</f>
        <v>#N/A</v>
      </c>
      <c r="AP183" s="674">
        <f>IFERROR(__xludf.DUMMYFUNCTION("""COMPUTED_VALUE"""),0.0)</f>
        <v>0</v>
      </c>
      <c r="AQ183" s="673" t="str">
        <f>IFERROR(__xludf.DUMMYFUNCTION("""COMPUTED_VALUE"""),"#N/A")</f>
        <v>#N/A</v>
      </c>
      <c r="AR183" s="673">
        <f>IFERROR(__xludf.DUMMYFUNCTION("""COMPUTED_VALUE"""),0.0)</f>
        <v>0</v>
      </c>
      <c r="AS183" s="673">
        <f>IFERROR(__xludf.DUMMYFUNCTION("""COMPUTED_VALUE"""),0.0)</f>
        <v>0</v>
      </c>
      <c r="AT183" s="673">
        <f>IFERROR(__xludf.DUMMYFUNCTION("""COMPUTED_VALUE"""),0.0)</f>
        <v>0</v>
      </c>
      <c r="AU183" s="675" t="str">
        <f>IFERROR(__xludf.DUMMYFUNCTION("""COMPUTED_VALUE"""),"#N/A")</f>
        <v>#N/A</v>
      </c>
      <c r="AV183" s="675">
        <f>IFERROR(__xludf.DUMMYFUNCTION("""COMPUTED_VALUE"""),0.0)</f>
        <v>0</v>
      </c>
      <c r="AW183" s="139"/>
      <c r="AX183" s="674" t="str">
        <f>IFERROR(__xludf.DUMMYFUNCTION("""COMPUTED_VALUE"""),"※通常攻撃範囲を入力！(CD列)")</f>
        <v>※通常攻撃範囲を入力！(CD列)</v>
      </c>
      <c r="AY183" s="688" t="str">
        <f>IFERROR(__xludf.DUMMYFUNCTION("""COMPUTED_VALUE"""),"#VALUE!")</f>
        <v>#VALUE!</v>
      </c>
      <c r="AZ183" s="674" t="str">
        <f>IFERROR(__xludf.DUMMYFUNCTION("""COMPUTED_VALUE"""),"#N/A")</f>
        <v>#N/A</v>
      </c>
      <c r="BA183" s="688" t="str">
        <f>IFERROR(__xludf.DUMMYFUNCTION("""COMPUTED_VALUE"""),"#VALUE!")</f>
        <v>#VALUE!</v>
      </c>
      <c r="BB183" s="688" t="str">
        <f>IFERROR(__xludf.DUMMYFUNCTION("""COMPUTED_VALUE"""),"-")</f>
        <v>-</v>
      </c>
      <c r="BC183" s="688" t="str">
        <f>IFERROR(__xludf.DUMMYFUNCTION("""COMPUTED_VALUE"""),"#N/A")</f>
        <v>#N/A</v>
      </c>
      <c r="BD183" s="688" t="str">
        <f>IFERROR(__xludf.DUMMYFUNCTION("""COMPUTED_VALUE"""),"#VALUE!")</f>
        <v>#VALUE!</v>
      </c>
      <c r="BE183" s="674" t="str">
        <f>IFERROR(__xludf.DUMMYFUNCTION("""COMPUTED_VALUE"""),"#N/A")</f>
        <v>#N/A</v>
      </c>
      <c r="BF183" s="674">
        <f>IFERROR(__xludf.DUMMYFUNCTION("""COMPUTED_VALUE"""),0.0)</f>
        <v>0</v>
      </c>
      <c r="BG183" s="673">
        <f>IFERROR(__xludf.DUMMYFUNCTION("""COMPUTED_VALUE"""),0.0)</f>
        <v>0</v>
      </c>
      <c r="BH183" s="673" t="str">
        <f>IFERROR(__xludf.DUMMYFUNCTION("""COMPUTED_VALUE"""),"#N/A")</f>
        <v>#N/A</v>
      </c>
      <c r="BI183" s="673" t="str">
        <f>IFERROR(__xludf.DUMMYFUNCTION("""COMPUTED_VALUE"""),"#N/A")</f>
        <v>#N/A</v>
      </c>
      <c r="BJ183" s="673">
        <f>IFERROR(__xludf.DUMMYFUNCTION("""COMPUTED_VALUE"""),0.0)</f>
        <v>0</v>
      </c>
      <c r="BK183" s="673">
        <f>IFERROR(__xludf.DUMMYFUNCTION("""COMPUTED_VALUE"""),0.0)</f>
        <v>0</v>
      </c>
      <c r="BL183" s="673" t="str">
        <f>IFERROR(__xludf.DUMMYFUNCTION("""COMPUTED_VALUE"""),"#N/A")</f>
        <v>#N/A</v>
      </c>
      <c r="BM183" s="674" t="str">
        <f>IFERROR(__xludf.DUMMYFUNCTION("""COMPUTED_VALUE"""),"#N/A")</f>
        <v>#N/A</v>
      </c>
      <c r="BN183" s="674" t="str">
        <f>IFERROR(__xludf.DUMMYFUNCTION("""COMPUTED_VALUE"""),"#N/A")</f>
        <v>#N/A</v>
      </c>
      <c r="BO183" s="675">
        <f>IFERROR(__xludf.DUMMYFUNCTION("""COMPUTED_VALUE"""),0.0)</f>
        <v>0</v>
      </c>
      <c r="BP183" s="675" t="str">
        <f>IFERROR(__xludf.DUMMYFUNCTION("""COMPUTED_VALUE"""),"#N/A")</f>
        <v>#N/A</v>
      </c>
      <c r="BQ183" s="139"/>
      <c r="BR183" s="139" t="str">
        <f>IFERROR(__xludf.DUMMYFUNCTION("""COMPUTED_VALUE"""),"#N/A")</f>
        <v>#N/A</v>
      </c>
      <c r="BS183" s="139" t="str">
        <f>IFERROR(__xludf.DUMMYFUNCTION("""COMPUTED_VALUE"""),"※移動を入力！(BV列)")</f>
        <v>※移動を入力！(BV列)</v>
      </c>
      <c r="BT183" s="139" t="str">
        <f>IFERROR(__xludf.DUMMYFUNCTION("""COMPUTED_VALUE"""),"※攻撃手段を入力(BQ列)")</f>
        <v>※攻撃手段を入力(BQ列)</v>
      </c>
      <c r="BU183" s="139">
        <f>IFERROR(__xludf.DUMMYFUNCTION("""COMPUTED_VALUE"""),0.0)</f>
        <v>0</v>
      </c>
      <c r="BV183" s="139"/>
      <c r="BW183" s="139"/>
      <c r="BX183" s="139" t="str">
        <f>IFERROR(__xludf.DUMMYFUNCTION("""COMPUTED_VALUE"""),"※特性を選択!!(BW列)")</f>
        <v>※特性を選択!!(BW列)</v>
      </c>
      <c r="BY183" s="139" t="str">
        <f>IFERROR(__xludf.DUMMYFUNCTION("""COMPUTED_VALUE"""),"#N/A")</f>
        <v>#N/A</v>
      </c>
      <c r="BZ183" s="139"/>
      <c r="CA183" s="139" t="str">
        <f>IFERROR(__xludf.DUMMYFUNCTION("""COMPUTED_VALUE"""),"※特性を選択!!(BW列)")</f>
        <v>※特性を選択!!(BW列)</v>
      </c>
      <c r="CB183" s="139" t="str">
        <f>IFERROR(__xludf.DUMMYFUNCTION("""COMPUTED_VALUE"""),"#N/A")</f>
        <v>#N/A</v>
      </c>
      <c r="CC183" s="139" t="str">
        <f>IFERROR(__xludf.DUMMYFUNCTION("""COMPUTED_VALUE"""),"該当なし")</f>
        <v>該当なし</v>
      </c>
      <c r="CD183" s="139"/>
      <c r="CE183" s="139" t="str">
        <f>IFERROR(__xludf.DUMMYFUNCTION("""COMPUTED_VALUE"""),"#N/A")</f>
        <v>#N/A</v>
      </c>
      <c r="CF183" s="139" t="str">
        <f>IFERROR(__xludf.DUMMYFUNCTION("""COMPUTED_VALUE"""),"#VALUE!")</f>
        <v>#VALUE!</v>
      </c>
      <c r="CG183" s="139"/>
      <c r="CH183" s="139"/>
      <c r="CI183" s="139" t="str">
        <f>IFERROR(__xludf.DUMMYFUNCTION("""COMPUTED_VALUE"""),"#N/A")</f>
        <v>#N/A</v>
      </c>
      <c r="CJ183" s="139" t="str">
        <f>IFERROR(__xludf.DUMMYFUNCTION("""COMPUTED_VALUE"""),"#VALUE!")</f>
        <v>#VALUE!</v>
      </c>
      <c r="CK183" s="139"/>
      <c r="CL183" s="139"/>
      <c r="CM183" s="139"/>
      <c r="CN183" s="675" t="str">
        <f>IFERROR(__xludf.DUMMYFUNCTION("""COMPUTED_VALUE"""),"#N/A")</f>
        <v>#N/A</v>
      </c>
      <c r="CO183" s="139" t="str">
        <f>IFERROR(__xludf.DUMMYFUNCTION("""COMPUTED_VALUE"""),"-")</f>
        <v>-</v>
      </c>
      <c r="CP183" s="139" t="str">
        <f>IFERROR(__xludf.DUMMYFUNCTION("""COMPUTED_VALUE"""),"-")</f>
        <v>-</v>
      </c>
      <c r="CQ183" s="139" t="str">
        <f>IFERROR(__xludf.DUMMYFUNCTION("""COMPUTED_VALUE"""),"#N/A")</f>
        <v>#N/A</v>
      </c>
      <c r="CR183" s="139"/>
      <c r="CS183" s="139"/>
      <c r="CT183" s="139"/>
      <c r="CU183" s="139"/>
      <c r="CV183" s="139"/>
      <c r="CW183" s="139"/>
      <c r="CX183" s="674" t="str">
        <f>IFERROR(__xludf.DUMMYFUNCTION("""COMPUTED_VALUE"""),"")</f>
        <v/>
      </c>
      <c r="CY183" s="675" t="str">
        <f>IFERROR(__xludf.DUMMYFUNCTION("""COMPUTED_VALUE"""),"")</f>
        <v/>
      </c>
      <c r="CZ183" s="688" t="str">
        <f>IFERROR(__xludf.DUMMYFUNCTION("""COMPUTED_VALUE"""),"-")</f>
        <v>-</v>
      </c>
      <c r="DA183" s="688">
        <f>IFERROR(__xludf.DUMMYFUNCTION("""COMPUTED_VALUE"""),0.0)</f>
        <v>0</v>
      </c>
      <c r="DB183" s="688">
        <f>IFERROR(__xludf.DUMMYFUNCTION("""COMPUTED_VALUE"""),0.0)</f>
        <v>0</v>
      </c>
      <c r="DC183" s="673" t="str">
        <f>IFERROR(__xludf.DUMMYFUNCTION("""COMPUTED_VALUE"""),"-")</f>
        <v>-</v>
      </c>
      <c r="DD183" s="673" t="str">
        <f>IFERROR(__xludf.DUMMYFUNCTION("""COMPUTED_VALUE"""),"-")</f>
        <v>-</v>
      </c>
      <c r="DE183" s="139" t="str">
        <f>IFERROR(__xludf.DUMMYFUNCTION("""COMPUTED_VALUE"""),"-")</f>
        <v>-</v>
      </c>
      <c r="DF183" s="139" t="str">
        <f>IFERROR(__xludf.DUMMYFUNCTION("""COMPUTED_VALUE"""),"-")</f>
        <v>-</v>
      </c>
      <c r="DG183" s="139" t="str">
        <f>IFERROR(__xludf.DUMMYFUNCTION("""COMPUTED_VALUE"""),"-")</f>
        <v>-</v>
      </c>
      <c r="DH183" s="139" t="str">
        <f>IFERROR(__xludf.DUMMYFUNCTION("""COMPUTED_VALUE"""),"-")</f>
        <v>-</v>
      </c>
      <c r="DI183" s="139" t="str">
        <f>IFERROR(__xludf.DUMMYFUNCTION("""COMPUTED_VALUE"""),"-")</f>
        <v>-</v>
      </c>
      <c r="DJ183" s="139" t="str">
        <f>IFERROR(__xludf.DUMMYFUNCTION("""COMPUTED_VALUE"""),"-")</f>
        <v>-</v>
      </c>
    </row>
    <row r="184">
      <c r="A184" s="139" t="str">
        <f>IFERROR(__xludf.DUMMYFUNCTION("""COMPUTED_VALUE"""),"該当なし")</f>
        <v>該当なし</v>
      </c>
      <c r="B184" s="139" t="str">
        <f>IFERROR(__xludf.DUMMYFUNCTION("""COMPUTED_VALUE"""),"該当なし")</f>
        <v>該当なし</v>
      </c>
      <c r="C184" s="139"/>
      <c r="D184" s="139" t="str">
        <f>IFERROR(__xludf.DUMMYFUNCTION("""COMPUTED_VALUE"""),"#N/A")</f>
        <v>#N/A</v>
      </c>
      <c r="E184" s="139" t="str">
        <f>IFERROR(__xludf.DUMMYFUNCTION("""COMPUTED_VALUE"""),"#N/A")</f>
        <v>#N/A</v>
      </c>
      <c r="F184" s="139" t="str">
        <f>IFERROR(__xludf.DUMMYFUNCTION("""COMPUTED_VALUE"""),"#N/A")</f>
        <v>#N/A</v>
      </c>
      <c r="G184" s="139" t="str">
        <f>IFERROR(__xludf.DUMMYFUNCTION("""COMPUTED_VALUE"""),"該当なし")</f>
        <v>該当なし</v>
      </c>
      <c r="H184" s="139" t="str">
        <f>IFERROR(__xludf.DUMMYFUNCTION("""COMPUTED_VALUE"""),"#N/A")</f>
        <v>#N/A</v>
      </c>
      <c r="I184" s="139" t="str">
        <f>IFERROR(__xludf.DUMMYFUNCTION("""COMPUTED_VALUE"""),"#N/A")</f>
        <v>#N/A</v>
      </c>
      <c r="J184" s="139" t="str">
        <f>IFERROR(__xludf.DUMMYFUNCTION("""COMPUTED_VALUE"""),"#N/A")</f>
        <v>#N/A</v>
      </c>
      <c r="K184" s="139" t="str">
        <f>IFERROR(__xludf.DUMMYFUNCTION("""COMPUTED_VALUE"""),"#N/A")</f>
        <v>#N/A</v>
      </c>
      <c r="L184" s="139" t="str">
        <f>IFERROR(__xludf.DUMMYFUNCTION("""COMPUTED_VALUE"""),"※")</f>
        <v>※</v>
      </c>
      <c r="M184" s="674">
        <f>IFERROR(__xludf.DUMMYFUNCTION("""COMPUTED_VALUE"""),0.0)</f>
        <v>0</v>
      </c>
      <c r="N184" s="139">
        <f>IFERROR(__xludf.DUMMYFUNCTION("""COMPUTED_VALUE"""),0.0)</f>
        <v>0</v>
      </c>
      <c r="O184" s="139"/>
      <c r="P184" s="139">
        <f>IFERROR(__xludf.DUMMYFUNCTION("""COMPUTED_VALUE"""),0.0)</f>
        <v>0</v>
      </c>
      <c r="Q184" s="675">
        <f>IFERROR(__xludf.DUMMYFUNCTION("""COMPUTED_VALUE"""),0.0)</f>
        <v>0</v>
      </c>
      <c r="R184" s="675">
        <f>IFERROR(__xludf.DUMMYFUNCTION("""COMPUTED_VALUE"""),0.0)</f>
        <v>0</v>
      </c>
      <c r="S184" s="675">
        <f>IFERROR(__xludf.DUMMYFUNCTION("""COMPUTED_VALUE"""),-2.5)</f>
        <v>-2.5</v>
      </c>
      <c r="T184" s="674" t="str">
        <f>IFERROR(__xludf.DUMMYFUNCTION("""COMPUTED_VALUE"""),"#N/A")</f>
        <v>#N/A</v>
      </c>
      <c r="U184" s="675" t="str">
        <f>IFERROR(__xludf.DUMMYFUNCTION("""COMPUTED_VALUE"""),"#N/A")</f>
        <v>#N/A</v>
      </c>
      <c r="V184" s="675">
        <f>IFERROR(__xludf.DUMMYFUNCTION("""COMPUTED_VALUE"""),0.0)</f>
        <v>0</v>
      </c>
      <c r="W184" s="675" t="str">
        <f>IFERROR(__xludf.DUMMYFUNCTION("""COMPUTED_VALUE"""),"#N/A")</f>
        <v>#N/A</v>
      </c>
      <c r="X184" s="675">
        <f>IFERROR(__xludf.DUMMYFUNCTION("""COMPUTED_VALUE"""),0.0)</f>
        <v>0</v>
      </c>
      <c r="Y184" s="674" t="str">
        <f>IFERROR(__xludf.DUMMYFUNCTION("""COMPUTED_VALUE"""),"#N/A")</f>
        <v>#N/A</v>
      </c>
      <c r="Z184" s="675" t="str">
        <f>IFERROR(__xludf.DUMMYFUNCTION("""COMPUTED_VALUE"""),"#N/A")</f>
        <v>#N/A</v>
      </c>
      <c r="AA184" s="675">
        <f>IFERROR(__xludf.DUMMYFUNCTION("""COMPUTED_VALUE"""),0.0)</f>
        <v>0</v>
      </c>
      <c r="AB184" s="673" t="str">
        <f>IFERROR(__xludf.DUMMYFUNCTION("""COMPUTED_VALUE"""),"#N/A")</f>
        <v>#N/A</v>
      </c>
      <c r="AC184" s="675">
        <f>IFERROR(__xludf.DUMMYFUNCTION("""COMPUTED_VALUE"""),0.0)</f>
        <v>0</v>
      </c>
      <c r="AD184" s="674" t="str">
        <f>IFERROR(__xludf.DUMMYFUNCTION("""COMPUTED_VALUE"""),"#N/A")</f>
        <v>#N/A</v>
      </c>
      <c r="AE184" s="675" t="str">
        <f>IFERROR(__xludf.DUMMYFUNCTION("""COMPUTED_VALUE"""),"#N/A")</f>
        <v>#N/A</v>
      </c>
      <c r="AF184" s="675">
        <f>IFERROR(__xludf.DUMMYFUNCTION("""COMPUTED_VALUE"""),0.0)</f>
        <v>0</v>
      </c>
      <c r="AG184" s="675">
        <f>IFERROR(__xludf.DUMMYFUNCTION("""COMPUTED_VALUE"""),0.0)</f>
        <v>0</v>
      </c>
      <c r="AH184" s="675" t="str">
        <f>IFERROR(__xludf.DUMMYFUNCTION("""COMPUTED_VALUE"""),"#N/A")</f>
        <v>#N/A</v>
      </c>
      <c r="AI184" s="139" t="str">
        <f>IFERROR(__xludf.DUMMYFUNCTION("""COMPUTED_VALUE"""),"#N/A")</f>
        <v>#N/A</v>
      </c>
      <c r="AJ184" s="675" t="str">
        <f>IFERROR(__xludf.DUMMYFUNCTION("""COMPUTED_VALUE"""),"#N/A")</f>
        <v>#N/A</v>
      </c>
      <c r="AK184" s="139" t="str">
        <f>IFERROR(__xludf.DUMMYFUNCTION("""COMPUTED_VALUE"""),"#N/A")</f>
        <v>#N/A</v>
      </c>
      <c r="AL184" s="674" t="str">
        <f>IFERROR(__xludf.DUMMYFUNCTION("""COMPUTED_VALUE"""),"#N/A")</f>
        <v>#N/A</v>
      </c>
      <c r="AM184" s="688" t="str">
        <f>IFERROR(__xludf.DUMMYFUNCTION("""COMPUTED_VALUE"""),"#N/A")</f>
        <v>#N/A</v>
      </c>
      <c r="AN184" s="675" t="str">
        <f>IFERROR(__xludf.DUMMYFUNCTION("""COMPUTED_VALUE"""),"#N/A")</f>
        <v>#N/A</v>
      </c>
      <c r="AO184" s="675" t="str">
        <f>IFERROR(__xludf.DUMMYFUNCTION("""COMPUTED_VALUE"""),"#N/A")</f>
        <v>#N/A</v>
      </c>
      <c r="AP184" s="674">
        <f>IFERROR(__xludf.DUMMYFUNCTION("""COMPUTED_VALUE"""),0.0)</f>
        <v>0</v>
      </c>
      <c r="AQ184" s="673" t="str">
        <f>IFERROR(__xludf.DUMMYFUNCTION("""COMPUTED_VALUE"""),"#N/A")</f>
        <v>#N/A</v>
      </c>
      <c r="AR184" s="673">
        <f>IFERROR(__xludf.DUMMYFUNCTION("""COMPUTED_VALUE"""),0.0)</f>
        <v>0</v>
      </c>
      <c r="AS184" s="673">
        <f>IFERROR(__xludf.DUMMYFUNCTION("""COMPUTED_VALUE"""),0.0)</f>
        <v>0</v>
      </c>
      <c r="AT184" s="673">
        <f>IFERROR(__xludf.DUMMYFUNCTION("""COMPUTED_VALUE"""),0.0)</f>
        <v>0</v>
      </c>
      <c r="AU184" s="675" t="str">
        <f>IFERROR(__xludf.DUMMYFUNCTION("""COMPUTED_VALUE"""),"#N/A")</f>
        <v>#N/A</v>
      </c>
      <c r="AV184" s="675">
        <f>IFERROR(__xludf.DUMMYFUNCTION("""COMPUTED_VALUE"""),0.0)</f>
        <v>0</v>
      </c>
      <c r="AW184" s="139"/>
      <c r="AX184" s="674" t="str">
        <f>IFERROR(__xludf.DUMMYFUNCTION("""COMPUTED_VALUE"""),"※通常攻撃範囲を入力！(CD列)")</f>
        <v>※通常攻撃範囲を入力！(CD列)</v>
      </c>
      <c r="AY184" s="688" t="str">
        <f>IFERROR(__xludf.DUMMYFUNCTION("""COMPUTED_VALUE"""),"#VALUE!")</f>
        <v>#VALUE!</v>
      </c>
      <c r="AZ184" s="674" t="str">
        <f>IFERROR(__xludf.DUMMYFUNCTION("""COMPUTED_VALUE"""),"#N/A")</f>
        <v>#N/A</v>
      </c>
      <c r="BA184" s="688" t="str">
        <f>IFERROR(__xludf.DUMMYFUNCTION("""COMPUTED_VALUE"""),"#VALUE!")</f>
        <v>#VALUE!</v>
      </c>
      <c r="BB184" s="688" t="str">
        <f>IFERROR(__xludf.DUMMYFUNCTION("""COMPUTED_VALUE"""),"-")</f>
        <v>-</v>
      </c>
      <c r="BC184" s="688" t="str">
        <f>IFERROR(__xludf.DUMMYFUNCTION("""COMPUTED_VALUE"""),"#N/A")</f>
        <v>#N/A</v>
      </c>
      <c r="BD184" s="688" t="str">
        <f>IFERROR(__xludf.DUMMYFUNCTION("""COMPUTED_VALUE"""),"#VALUE!")</f>
        <v>#VALUE!</v>
      </c>
      <c r="BE184" s="674" t="str">
        <f>IFERROR(__xludf.DUMMYFUNCTION("""COMPUTED_VALUE"""),"#N/A")</f>
        <v>#N/A</v>
      </c>
      <c r="BF184" s="674">
        <f>IFERROR(__xludf.DUMMYFUNCTION("""COMPUTED_VALUE"""),0.0)</f>
        <v>0</v>
      </c>
      <c r="BG184" s="673">
        <f>IFERROR(__xludf.DUMMYFUNCTION("""COMPUTED_VALUE"""),0.0)</f>
        <v>0</v>
      </c>
      <c r="BH184" s="673" t="str">
        <f>IFERROR(__xludf.DUMMYFUNCTION("""COMPUTED_VALUE"""),"#N/A")</f>
        <v>#N/A</v>
      </c>
      <c r="BI184" s="673" t="str">
        <f>IFERROR(__xludf.DUMMYFUNCTION("""COMPUTED_VALUE"""),"#N/A")</f>
        <v>#N/A</v>
      </c>
      <c r="BJ184" s="673">
        <f>IFERROR(__xludf.DUMMYFUNCTION("""COMPUTED_VALUE"""),0.0)</f>
        <v>0</v>
      </c>
      <c r="BK184" s="673">
        <f>IFERROR(__xludf.DUMMYFUNCTION("""COMPUTED_VALUE"""),0.0)</f>
        <v>0</v>
      </c>
      <c r="BL184" s="673" t="str">
        <f>IFERROR(__xludf.DUMMYFUNCTION("""COMPUTED_VALUE"""),"#N/A")</f>
        <v>#N/A</v>
      </c>
      <c r="BM184" s="674" t="str">
        <f>IFERROR(__xludf.DUMMYFUNCTION("""COMPUTED_VALUE"""),"#N/A")</f>
        <v>#N/A</v>
      </c>
      <c r="BN184" s="674" t="str">
        <f>IFERROR(__xludf.DUMMYFUNCTION("""COMPUTED_VALUE"""),"#N/A")</f>
        <v>#N/A</v>
      </c>
      <c r="BO184" s="675">
        <f>IFERROR(__xludf.DUMMYFUNCTION("""COMPUTED_VALUE"""),0.0)</f>
        <v>0</v>
      </c>
      <c r="BP184" s="675" t="str">
        <f>IFERROR(__xludf.DUMMYFUNCTION("""COMPUTED_VALUE"""),"#N/A")</f>
        <v>#N/A</v>
      </c>
      <c r="BQ184" s="139"/>
      <c r="BR184" s="139" t="str">
        <f>IFERROR(__xludf.DUMMYFUNCTION("""COMPUTED_VALUE"""),"#N/A")</f>
        <v>#N/A</v>
      </c>
      <c r="BS184" s="139" t="str">
        <f>IFERROR(__xludf.DUMMYFUNCTION("""COMPUTED_VALUE"""),"※移動を入力！(BV列)")</f>
        <v>※移動を入力！(BV列)</v>
      </c>
      <c r="BT184" s="139" t="str">
        <f>IFERROR(__xludf.DUMMYFUNCTION("""COMPUTED_VALUE"""),"※攻撃手段を入力(BQ列)")</f>
        <v>※攻撃手段を入力(BQ列)</v>
      </c>
      <c r="BU184" s="139">
        <f>IFERROR(__xludf.DUMMYFUNCTION("""COMPUTED_VALUE"""),0.0)</f>
        <v>0</v>
      </c>
      <c r="BV184" s="139"/>
      <c r="BW184" s="139"/>
      <c r="BX184" s="139" t="str">
        <f>IFERROR(__xludf.DUMMYFUNCTION("""COMPUTED_VALUE"""),"※特性を選択!!(BW列)")</f>
        <v>※特性を選択!!(BW列)</v>
      </c>
      <c r="BY184" s="139" t="str">
        <f>IFERROR(__xludf.DUMMYFUNCTION("""COMPUTED_VALUE"""),"#N/A")</f>
        <v>#N/A</v>
      </c>
      <c r="BZ184" s="139"/>
      <c r="CA184" s="139" t="str">
        <f>IFERROR(__xludf.DUMMYFUNCTION("""COMPUTED_VALUE"""),"※特性を選択!!(BW列)")</f>
        <v>※特性を選択!!(BW列)</v>
      </c>
      <c r="CB184" s="139" t="str">
        <f>IFERROR(__xludf.DUMMYFUNCTION("""COMPUTED_VALUE"""),"#N/A")</f>
        <v>#N/A</v>
      </c>
      <c r="CC184" s="139" t="str">
        <f>IFERROR(__xludf.DUMMYFUNCTION("""COMPUTED_VALUE"""),"該当なし")</f>
        <v>該当なし</v>
      </c>
      <c r="CD184" s="139"/>
      <c r="CE184" s="139" t="str">
        <f>IFERROR(__xludf.DUMMYFUNCTION("""COMPUTED_VALUE"""),"#N/A")</f>
        <v>#N/A</v>
      </c>
      <c r="CF184" s="139" t="str">
        <f>IFERROR(__xludf.DUMMYFUNCTION("""COMPUTED_VALUE"""),"#VALUE!")</f>
        <v>#VALUE!</v>
      </c>
      <c r="CG184" s="139"/>
      <c r="CH184" s="139"/>
      <c r="CI184" s="139" t="str">
        <f>IFERROR(__xludf.DUMMYFUNCTION("""COMPUTED_VALUE"""),"#N/A")</f>
        <v>#N/A</v>
      </c>
      <c r="CJ184" s="139" t="str">
        <f>IFERROR(__xludf.DUMMYFUNCTION("""COMPUTED_VALUE"""),"#VALUE!")</f>
        <v>#VALUE!</v>
      </c>
      <c r="CK184" s="139"/>
      <c r="CL184" s="139"/>
      <c r="CM184" s="139"/>
      <c r="CN184" s="675" t="str">
        <f>IFERROR(__xludf.DUMMYFUNCTION("""COMPUTED_VALUE"""),"#N/A")</f>
        <v>#N/A</v>
      </c>
      <c r="CO184" s="139" t="str">
        <f>IFERROR(__xludf.DUMMYFUNCTION("""COMPUTED_VALUE"""),"-")</f>
        <v>-</v>
      </c>
      <c r="CP184" s="139" t="str">
        <f>IFERROR(__xludf.DUMMYFUNCTION("""COMPUTED_VALUE"""),"-")</f>
        <v>-</v>
      </c>
      <c r="CQ184" s="139" t="str">
        <f>IFERROR(__xludf.DUMMYFUNCTION("""COMPUTED_VALUE"""),"#N/A")</f>
        <v>#N/A</v>
      </c>
      <c r="CR184" s="139"/>
      <c r="CS184" s="139"/>
      <c r="CT184" s="139"/>
      <c r="CU184" s="139"/>
      <c r="CV184" s="139"/>
      <c r="CW184" s="139"/>
      <c r="CX184" s="674" t="str">
        <f>IFERROR(__xludf.DUMMYFUNCTION("""COMPUTED_VALUE"""),"")</f>
        <v/>
      </c>
      <c r="CY184" s="675" t="str">
        <f>IFERROR(__xludf.DUMMYFUNCTION("""COMPUTED_VALUE"""),"")</f>
        <v/>
      </c>
      <c r="CZ184" s="688" t="str">
        <f>IFERROR(__xludf.DUMMYFUNCTION("""COMPUTED_VALUE"""),"-")</f>
        <v>-</v>
      </c>
      <c r="DA184" s="688">
        <f>IFERROR(__xludf.DUMMYFUNCTION("""COMPUTED_VALUE"""),0.0)</f>
        <v>0</v>
      </c>
      <c r="DB184" s="688">
        <f>IFERROR(__xludf.DUMMYFUNCTION("""COMPUTED_VALUE"""),0.0)</f>
        <v>0</v>
      </c>
      <c r="DC184" s="673" t="str">
        <f>IFERROR(__xludf.DUMMYFUNCTION("""COMPUTED_VALUE"""),"-")</f>
        <v>-</v>
      </c>
      <c r="DD184" s="673" t="str">
        <f>IFERROR(__xludf.DUMMYFUNCTION("""COMPUTED_VALUE"""),"-")</f>
        <v>-</v>
      </c>
      <c r="DE184" s="139" t="str">
        <f>IFERROR(__xludf.DUMMYFUNCTION("""COMPUTED_VALUE"""),"-")</f>
        <v>-</v>
      </c>
      <c r="DF184" s="139" t="str">
        <f>IFERROR(__xludf.DUMMYFUNCTION("""COMPUTED_VALUE"""),"-")</f>
        <v>-</v>
      </c>
      <c r="DG184" s="139" t="str">
        <f>IFERROR(__xludf.DUMMYFUNCTION("""COMPUTED_VALUE"""),"-")</f>
        <v>-</v>
      </c>
      <c r="DH184" s="139" t="str">
        <f>IFERROR(__xludf.DUMMYFUNCTION("""COMPUTED_VALUE"""),"-")</f>
        <v>-</v>
      </c>
      <c r="DI184" s="139" t="str">
        <f>IFERROR(__xludf.DUMMYFUNCTION("""COMPUTED_VALUE"""),"-")</f>
        <v>-</v>
      </c>
      <c r="DJ184" s="139" t="str">
        <f>IFERROR(__xludf.DUMMYFUNCTION("""COMPUTED_VALUE"""),"-")</f>
        <v>-</v>
      </c>
    </row>
    <row r="185">
      <c r="A185" s="139" t="str">
        <f>IFERROR(__xludf.DUMMYFUNCTION("""COMPUTED_VALUE"""),"該当なし")</f>
        <v>該当なし</v>
      </c>
      <c r="B185" s="139" t="str">
        <f>IFERROR(__xludf.DUMMYFUNCTION("""COMPUTED_VALUE"""),"該当なし")</f>
        <v>該当なし</v>
      </c>
      <c r="C185" s="139"/>
      <c r="D185" s="139" t="str">
        <f>IFERROR(__xludf.DUMMYFUNCTION("""COMPUTED_VALUE"""),"#N/A")</f>
        <v>#N/A</v>
      </c>
      <c r="E185" s="139" t="str">
        <f>IFERROR(__xludf.DUMMYFUNCTION("""COMPUTED_VALUE"""),"#N/A")</f>
        <v>#N/A</v>
      </c>
      <c r="F185" s="139" t="str">
        <f>IFERROR(__xludf.DUMMYFUNCTION("""COMPUTED_VALUE"""),"#N/A")</f>
        <v>#N/A</v>
      </c>
      <c r="G185" s="139" t="str">
        <f>IFERROR(__xludf.DUMMYFUNCTION("""COMPUTED_VALUE"""),"該当なし")</f>
        <v>該当なし</v>
      </c>
      <c r="H185" s="139" t="str">
        <f>IFERROR(__xludf.DUMMYFUNCTION("""COMPUTED_VALUE"""),"#N/A")</f>
        <v>#N/A</v>
      </c>
      <c r="I185" s="139" t="str">
        <f>IFERROR(__xludf.DUMMYFUNCTION("""COMPUTED_VALUE"""),"#N/A")</f>
        <v>#N/A</v>
      </c>
      <c r="J185" s="139" t="str">
        <f>IFERROR(__xludf.DUMMYFUNCTION("""COMPUTED_VALUE"""),"#N/A")</f>
        <v>#N/A</v>
      </c>
      <c r="K185" s="139" t="str">
        <f>IFERROR(__xludf.DUMMYFUNCTION("""COMPUTED_VALUE"""),"#N/A")</f>
        <v>#N/A</v>
      </c>
      <c r="L185" s="139" t="str">
        <f>IFERROR(__xludf.DUMMYFUNCTION("""COMPUTED_VALUE"""),"※")</f>
        <v>※</v>
      </c>
      <c r="M185" s="674">
        <f>IFERROR(__xludf.DUMMYFUNCTION("""COMPUTED_VALUE"""),0.0)</f>
        <v>0</v>
      </c>
      <c r="N185" s="139">
        <f>IFERROR(__xludf.DUMMYFUNCTION("""COMPUTED_VALUE"""),0.0)</f>
        <v>0</v>
      </c>
      <c r="O185" s="139"/>
      <c r="P185" s="139">
        <f>IFERROR(__xludf.DUMMYFUNCTION("""COMPUTED_VALUE"""),0.0)</f>
        <v>0</v>
      </c>
      <c r="Q185" s="675">
        <f>IFERROR(__xludf.DUMMYFUNCTION("""COMPUTED_VALUE"""),0.0)</f>
        <v>0</v>
      </c>
      <c r="R185" s="675">
        <f>IFERROR(__xludf.DUMMYFUNCTION("""COMPUTED_VALUE"""),0.0)</f>
        <v>0</v>
      </c>
      <c r="S185" s="675">
        <f>IFERROR(__xludf.DUMMYFUNCTION("""COMPUTED_VALUE"""),-2.5)</f>
        <v>-2.5</v>
      </c>
      <c r="T185" s="674" t="str">
        <f>IFERROR(__xludf.DUMMYFUNCTION("""COMPUTED_VALUE"""),"#N/A")</f>
        <v>#N/A</v>
      </c>
      <c r="U185" s="675" t="str">
        <f>IFERROR(__xludf.DUMMYFUNCTION("""COMPUTED_VALUE"""),"#N/A")</f>
        <v>#N/A</v>
      </c>
      <c r="V185" s="675">
        <f>IFERROR(__xludf.DUMMYFUNCTION("""COMPUTED_VALUE"""),0.0)</f>
        <v>0</v>
      </c>
      <c r="W185" s="675" t="str">
        <f>IFERROR(__xludf.DUMMYFUNCTION("""COMPUTED_VALUE"""),"#N/A")</f>
        <v>#N/A</v>
      </c>
      <c r="X185" s="675">
        <f>IFERROR(__xludf.DUMMYFUNCTION("""COMPUTED_VALUE"""),0.0)</f>
        <v>0</v>
      </c>
      <c r="Y185" s="674" t="str">
        <f>IFERROR(__xludf.DUMMYFUNCTION("""COMPUTED_VALUE"""),"#N/A")</f>
        <v>#N/A</v>
      </c>
      <c r="Z185" s="675" t="str">
        <f>IFERROR(__xludf.DUMMYFUNCTION("""COMPUTED_VALUE"""),"#N/A")</f>
        <v>#N/A</v>
      </c>
      <c r="AA185" s="675">
        <f>IFERROR(__xludf.DUMMYFUNCTION("""COMPUTED_VALUE"""),0.0)</f>
        <v>0</v>
      </c>
      <c r="AB185" s="673" t="str">
        <f>IFERROR(__xludf.DUMMYFUNCTION("""COMPUTED_VALUE"""),"#N/A")</f>
        <v>#N/A</v>
      </c>
      <c r="AC185" s="675">
        <f>IFERROR(__xludf.DUMMYFUNCTION("""COMPUTED_VALUE"""),0.0)</f>
        <v>0</v>
      </c>
      <c r="AD185" s="674" t="str">
        <f>IFERROR(__xludf.DUMMYFUNCTION("""COMPUTED_VALUE"""),"#N/A")</f>
        <v>#N/A</v>
      </c>
      <c r="AE185" s="675" t="str">
        <f>IFERROR(__xludf.DUMMYFUNCTION("""COMPUTED_VALUE"""),"#N/A")</f>
        <v>#N/A</v>
      </c>
      <c r="AF185" s="675">
        <f>IFERROR(__xludf.DUMMYFUNCTION("""COMPUTED_VALUE"""),0.0)</f>
        <v>0</v>
      </c>
      <c r="AG185" s="675">
        <f>IFERROR(__xludf.DUMMYFUNCTION("""COMPUTED_VALUE"""),0.0)</f>
        <v>0</v>
      </c>
      <c r="AH185" s="675" t="str">
        <f>IFERROR(__xludf.DUMMYFUNCTION("""COMPUTED_VALUE"""),"#N/A")</f>
        <v>#N/A</v>
      </c>
      <c r="AI185" s="139" t="str">
        <f>IFERROR(__xludf.DUMMYFUNCTION("""COMPUTED_VALUE"""),"#N/A")</f>
        <v>#N/A</v>
      </c>
      <c r="AJ185" s="675" t="str">
        <f>IFERROR(__xludf.DUMMYFUNCTION("""COMPUTED_VALUE"""),"#N/A")</f>
        <v>#N/A</v>
      </c>
      <c r="AK185" s="139" t="str">
        <f>IFERROR(__xludf.DUMMYFUNCTION("""COMPUTED_VALUE"""),"#N/A")</f>
        <v>#N/A</v>
      </c>
      <c r="AL185" s="674" t="str">
        <f>IFERROR(__xludf.DUMMYFUNCTION("""COMPUTED_VALUE"""),"#N/A")</f>
        <v>#N/A</v>
      </c>
      <c r="AM185" s="688" t="str">
        <f>IFERROR(__xludf.DUMMYFUNCTION("""COMPUTED_VALUE"""),"#N/A")</f>
        <v>#N/A</v>
      </c>
      <c r="AN185" s="675" t="str">
        <f>IFERROR(__xludf.DUMMYFUNCTION("""COMPUTED_VALUE"""),"#N/A")</f>
        <v>#N/A</v>
      </c>
      <c r="AO185" s="675" t="str">
        <f>IFERROR(__xludf.DUMMYFUNCTION("""COMPUTED_VALUE"""),"#N/A")</f>
        <v>#N/A</v>
      </c>
      <c r="AP185" s="674">
        <f>IFERROR(__xludf.DUMMYFUNCTION("""COMPUTED_VALUE"""),0.0)</f>
        <v>0</v>
      </c>
      <c r="AQ185" s="673" t="str">
        <f>IFERROR(__xludf.DUMMYFUNCTION("""COMPUTED_VALUE"""),"#N/A")</f>
        <v>#N/A</v>
      </c>
      <c r="AR185" s="673">
        <f>IFERROR(__xludf.DUMMYFUNCTION("""COMPUTED_VALUE"""),0.0)</f>
        <v>0</v>
      </c>
      <c r="AS185" s="673">
        <f>IFERROR(__xludf.DUMMYFUNCTION("""COMPUTED_VALUE"""),0.0)</f>
        <v>0</v>
      </c>
      <c r="AT185" s="673">
        <f>IFERROR(__xludf.DUMMYFUNCTION("""COMPUTED_VALUE"""),0.0)</f>
        <v>0</v>
      </c>
      <c r="AU185" s="675" t="str">
        <f>IFERROR(__xludf.DUMMYFUNCTION("""COMPUTED_VALUE"""),"#N/A")</f>
        <v>#N/A</v>
      </c>
      <c r="AV185" s="675">
        <f>IFERROR(__xludf.DUMMYFUNCTION("""COMPUTED_VALUE"""),0.0)</f>
        <v>0</v>
      </c>
      <c r="AW185" s="139"/>
      <c r="AX185" s="674" t="str">
        <f>IFERROR(__xludf.DUMMYFUNCTION("""COMPUTED_VALUE"""),"※通常攻撃範囲を入力！(CD列)")</f>
        <v>※通常攻撃範囲を入力！(CD列)</v>
      </c>
      <c r="AY185" s="688" t="str">
        <f>IFERROR(__xludf.DUMMYFUNCTION("""COMPUTED_VALUE"""),"#VALUE!")</f>
        <v>#VALUE!</v>
      </c>
      <c r="AZ185" s="674" t="str">
        <f>IFERROR(__xludf.DUMMYFUNCTION("""COMPUTED_VALUE"""),"#N/A")</f>
        <v>#N/A</v>
      </c>
      <c r="BA185" s="688" t="str">
        <f>IFERROR(__xludf.DUMMYFUNCTION("""COMPUTED_VALUE"""),"#VALUE!")</f>
        <v>#VALUE!</v>
      </c>
      <c r="BB185" s="688" t="str">
        <f>IFERROR(__xludf.DUMMYFUNCTION("""COMPUTED_VALUE"""),"-")</f>
        <v>-</v>
      </c>
      <c r="BC185" s="688" t="str">
        <f>IFERROR(__xludf.DUMMYFUNCTION("""COMPUTED_VALUE"""),"#N/A")</f>
        <v>#N/A</v>
      </c>
      <c r="BD185" s="688" t="str">
        <f>IFERROR(__xludf.DUMMYFUNCTION("""COMPUTED_VALUE"""),"#VALUE!")</f>
        <v>#VALUE!</v>
      </c>
      <c r="BE185" s="674" t="str">
        <f>IFERROR(__xludf.DUMMYFUNCTION("""COMPUTED_VALUE"""),"#N/A")</f>
        <v>#N/A</v>
      </c>
      <c r="BF185" s="674">
        <f>IFERROR(__xludf.DUMMYFUNCTION("""COMPUTED_VALUE"""),0.0)</f>
        <v>0</v>
      </c>
      <c r="BG185" s="673">
        <f>IFERROR(__xludf.DUMMYFUNCTION("""COMPUTED_VALUE"""),0.0)</f>
        <v>0</v>
      </c>
      <c r="BH185" s="673" t="str">
        <f>IFERROR(__xludf.DUMMYFUNCTION("""COMPUTED_VALUE"""),"#N/A")</f>
        <v>#N/A</v>
      </c>
      <c r="BI185" s="673" t="str">
        <f>IFERROR(__xludf.DUMMYFUNCTION("""COMPUTED_VALUE"""),"#N/A")</f>
        <v>#N/A</v>
      </c>
      <c r="BJ185" s="673">
        <f>IFERROR(__xludf.DUMMYFUNCTION("""COMPUTED_VALUE"""),0.0)</f>
        <v>0</v>
      </c>
      <c r="BK185" s="673">
        <f>IFERROR(__xludf.DUMMYFUNCTION("""COMPUTED_VALUE"""),0.0)</f>
        <v>0</v>
      </c>
      <c r="BL185" s="673" t="str">
        <f>IFERROR(__xludf.DUMMYFUNCTION("""COMPUTED_VALUE"""),"#N/A")</f>
        <v>#N/A</v>
      </c>
      <c r="BM185" s="674" t="str">
        <f>IFERROR(__xludf.DUMMYFUNCTION("""COMPUTED_VALUE"""),"#N/A")</f>
        <v>#N/A</v>
      </c>
      <c r="BN185" s="674" t="str">
        <f>IFERROR(__xludf.DUMMYFUNCTION("""COMPUTED_VALUE"""),"#N/A")</f>
        <v>#N/A</v>
      </c>
      <c r="BO185" s="675">
        <f>IFERROR(__xludf.DUMMYFUNCTION("""COMPUTED_VALUE"""),0.0)</f>
        <v>0</v>
      </c>
      <c r="BP185" s="675" t="str">
        <f>IFERROR(__xludf.DUMMYFUNCTION("""COMPUTED_VALUE"""),"#N/A")</f>
        <v>#N/A</v>
      </c>
      <c r="BQ185" s="139"/>
      <c r="BR185" s="139" t="str">
        <f>IFERROR(__xludf.DUMMYFUNCTION("""COMPUTED_VALUE"""),"#N/A")</f>
        <v>#N/A</v>
      </c>
      <c r="BS185" s="139" t="str">
        <f>IFERROR(__xludf.DUMMYFUNCTION("""COMPUTED_VALUE"""),"※移動を入力！(BV列)")</f>
        <v>※移動を入力！(BV列)</v>
      </c>
      <c r="BT185" s="139" t="str">
        <f>IFERROR(__xludf.DUMMYFUNCTION("""COMPUTED_VALUE"""),"※攻撃手段を入力(BQ列)")</f>
        <v>※攻撃手段を入力(BQ列)</v>
      </c>
      <c r="BU185" s="139">
        <f>IFERROR(__xludf.DUMMYFUNCTION("""COMPUTED_VALUE"""),0.0)</f>
        <v>0</v>
      </c>
      <c r="BV185" s="139"/>
      <c r="BW185" s="139"/>
      <c r="BX185" s="139" t="str">
        <f>IFERROR(__xludf.DUMMYFUNCTION("""COMPUTED_VALUE"""),"※特性を選択!!(BW列)")</f>
        <v>※特性を選択!!(BW列)</v>
      </c>
      <c r="BY185" s="139" t="str">
        <f>IFERROR(__xludf.DUMMYFUNCTION("""COMPUTED_VALUE"""),"#N/A")</f>
        <v>#N/A</v>
      </c>
      <c r="BZ185" s="139"/>
      <c r="CA185" s="139" t="str">
        <f>IFERROR(__xludf.DUMMYFUNCTION("""COMPUTED_VALUE"""),"※特性を選択!!(BW列)")</f>
        <v>※特性を選択!!(BW列)</v>
      </c>
      <c r="CB185" s="139" t="str">
        <f>IFERROR(__xludf.DUMMYFUNCTION("""COMPUTED_VALUE"""),"#N/A")</f>
        <v>#N/A</v>
      </c>
      <c r="CC185" s="139" t="str">
        <f>IFERROR(__xludf.DUMMYFUNCTION("""COMPUTED_VALUE"""),"該当なし")</f>
        <v>該当なし</v>
      </c>
      <c r="CD185" s="139"/>
      <c r="CE185" s="139" t="str">
        <f>IFERROR(__xludf.DUMMYFUNCTION("""COMPUTED_VALUE"""),"#N/A")</f>
        <v>#N/A</v>
      </c>
      <c r="CF185" s="139" t="str">
        <f>IFERROR(__xludf.DUMMYFUNCTION("""COMPUTED_VALUE"""),"#VALUE!")</f>
        <v>#VALUE!</v>
      </c>
      <c r="CG185" s="139"/>
      <c r="CH185" s="139"/>
      <c r="CI185" s="139" t="str">
        <f>IFERROR(__xludf.DUMMYFUNCTION("""COMPUTED_VALUE"""),"#N/A")</f>
        <v>#N/A</v>
      </c>
      <c r="CJ185" s="139" t="str">
        <f>IFERROR(__xludf.DUMMYFUNCTION("""COMPUTED_VALUE"""),"#VALUE!")</f>
        <v>#VALUE!</v>
      </c>
      <c r="CK185" s="139"/>
      <c r="CL185" s="139"/>
      <c r="CM185" s="139"/>
      <c r="CN185" s="675" t="str">
        <f>IFERROR(__xludf.DUMMYFUNCTION("""COMPUTED_VALUE"""),"#N/A")</f>
        <v>#N/A</v>
      </c>
      <c r="CO185" s="139" t="str">
        <f>IFERROR(__xludf.DUMMYFUNCTION("""COMPUTED_VALUE"""),"-")</f>
        <v>-</v>
      </c>
      <c r="CP185" s="139" t="str">
        <f>IFERROR(__xludf.DUMMYFUNCTION("""COMPUTED_VALUE"""),"-")</f>
        <v>-</v>
      </c>
      <c r="CQ185" s="139" t="str">
        <f>IFERROR(__xludf.DUMMYFUNCTION("""COMPUTED_VALUE"""),"#N/A")</f>
        <v>#N/A</v>
      </c>
      <c r="CR185" s="139"/>
      <c r="CS185" s="139"/>
      <c r="CT185" s="139"/>
      <c r="CU185" s="139"/>
      <c r="CV185" s="139"/>
      <c r="CW185" s="139"/>
      <c r="CX185" s="674" t="str">
        <f>IFERROR(__xludf.DUMMYFUNCTION("""COMPUTED_VALUE"""),"")</f>
        <v/>
      </c>
      <c r="CY185" s="675" t="str">
        <f>IFERROR(__xludf.DUMMYFUNCTION("""COMPUTED_VALUE"""),"")</f>
        <v/>
      </c>
      <c r="CZ185" s="688" t="str">
        <f>IFERROR(__xludf.DUMMYFUNCTION("""COMPUTED_VALUE"""),"-")</f>
        <v>-</v>
      </c>
      <c r="DA185" s="688">
        <f>IFERROR(__xludf.DUMMYFUNCTION("""COMPUTED_VALUE"""),0.0)</f>
        <v>0</v>
      </c>
      <c r="DB185" s="688">
        <f>IFERROR(__xludf.DUMMYFUNCTION("""COMPUTED_VALUE"""),0.0)</f>
        <v>0</v>
      </c>
      <c r="DC185" s="673" t="str">
        <f>IFERROR(__xludf.DUMMYFUNCTION("""COMPUTED_VALUE"""),"-")</f>
        <v>-</v>
      </c>
      <c r="DD185" s="673" t="str">
        <f>IFERROR(__xludf.DUMMYFUNCTION("""COMPUTED_VALUE"""),"-")</f>
        <v>-</v>
      </c>
      <c r="DE185" s="139" t="str">
        <f>IFERROR(__xludf.DUMMYFUNCTION("""COMPUTED_VALUE"""),"-")</f>
        <v>-</v>
      </c>
      <c r="DF185" s="139" t="str">
        <f>IFERROR(__xludf.DUMMYFUNCTION("""COMPUTED_VALUE"""),"-")</f>
        <v>-</v>
      </c>
      <c r="DG185" s="139" t="str">
        <f>IFERROR(__xludf.DUMMYFUNCTION("""COMPUTED_VALUE"""),"-")</f>
        <v>-</v>
      </c>
      <c r="DH185" s="139" t="str">
        <f>IFERROR(__xludf.DUMMYFUNCTION("""COMPUTED_VALUE"""),"-")</f>
        <v>-</v>
      </c>
      <c r="DI185" s="139" t="str">
        <f>IFERROR(__xludf.DUMMYFUNCTION("""COMPUTED_VALUE"""),"-")</f>
        <v>-</v>
      </c>
      <c r="DJ185" s="139" t="str">
        <f>IFERROR(__xludf.DUMMYFUNCTION("""COMPUTED_VALUE"""),"-")</f>
        <v>-</v>
      </c>
    </row>
    <row r="186">
      <c r="A186" s="139" t="str">
        <f>IFERROR(__xludf.DUMMYFUNCTION("""COMPUTED_VALUE"""),"該当なし")</f>
        <v>該当なし</v>
      </c>
      <c r="B186" s="139" t="str">
        <f>IFERROR(__xludf.DUMMYFUNCTION("""COMPUTED_VALUE"""),"該当なし")</f>
        <v>該当なし</v>
      </c>
      <c r="C186" s="139"/>
      <c r="D186" s="139" t="str">
        <f>IFERROR(__xludf.DUMMYFUNCTION("""COMPUTED_VALUE"""),"#N/A")</f>
        <v>#N/A</v>
      </c>
      <c r="E186" s="139" t="str">
        <f>IFERROR(__xludf.DUMMYFUNCTION("""COMPUTED_VALUE"""),"#N/A")</f>
        <v>#N/A</v>
      </c>
      <c r="F186" s="139" t="str">
        <f>IFERROR(__xludf.DUMMYFUNCTION("""COMPUTED_VALUE"""),"#N/A")</f>
        <v>#N/A</v>
      </c>
      <c r="G186" s="139" t="str">
        <f>IFERROR(__xludf.DUMMYFUNCTION("""COMPUTED_VALUE"""),"該当なし")</f>
        <v>該当なし</v>
      </c>
      <c r="H186" s="139" t="str">
        <f>IFERROR(__xludf.DUMMYFUNCTION("""COMPUTED_VALUE"""),"#N/A")</f>
        <v>#N/A</v>
      </c>
      <c r="I186" s="139" t="str">
        <f>IFERROR(__xludf.DUMMYFUNCTION("""COMPUTED_VALUE"""),"#N/A")</f>
        <v>#N/A</v>
      </c>
      <c r="J186" s="139" t="str">
        <f>IFERROR(__xludf.DUMMYFUNCTION("""COMPUTED_VALUE"""),"#N/A")</f>
        <v>#N/A</v>
      </c>
      <c r="K186" s="139" t="str">
        <f>IFERROR(__xludf.DUMMYFUNCTION("""COMPUTED_VALUE"""),"#N/A")</f>
        <v>#N/A</v>
      </c>
      <c r="L186" s="139" t="str">
        <f>IFERROR(__xludf.DUMMYFUNCTION("""COMPUTED_VALUE"""),"※")</f>
        <v>※</v>
      </c>
      <c r="M186" s="674">
        <f>IFERROR(__xludf.DUMMYFUNCTION("""COMPUTED_VALUE"""),0.0)</f>
        <v>0</v>
      </c>
      <c r="N186" s="139">
        <f>IFERROR(__xludf.DUMMYFUNCTION("""COMPUTED_VALUE"""),0.0)</f>
        <v>0</v>
      </c>
      <c r="O186" s="139"/>
      <c r="P186" s="139">
        <f>IFERROR(__xludf.DUMMYFUNCTION("""COMPUTED_VALUE"""),0.0)</f>
        <v>0</v>
      </c>
      <c r="Q186" s="675">
        <f>IFERROR(__xludf.DUMMYFUNCTION("""COMPUTED_VALUE"""),0.0)</f>
        <v>0</v>
      </c>
      <c r="R186" s="675">
        <f>IFERROR(__xludf.DUMMYFUNCTION("""COMPUTED_VALUE"""),0.0)</f>
        <v>0</v>
      </c>
      <c r="S186" s="675">
        <f>IFERROR(__xludf.DUMMYFUNCTION("""COMPUTED_VALUE"""),-2.5)</f>
        <v>-2.5</v>
      </c>
      <c r="T186" s="674" t="str">
        <f>IFERROR(__xludf.DUMMYFUNCTION("""COMPUTED_VALUE"""),"#N/A")</f>
        <v>#N/A</v>
      </c>
      <c r="U186" s="675" t="str">
        <f>IFERROR(__xludf.DUMMYFUNCTION("""COMPUTED_VALUE"""),"#N/A")</f>
        <v>#N/A</v>
      </c>
      <c r="V186" s="675">
        <f>IFERROR(__xludf.DUMMYFUNCTION("""COMPUTED_VALUE"""),0.0)</f>
        <v>0</v>
      </c>
      <c r="W186" s="675" t="str">
        <f>IFERROR(__xludf.DUMMYFUNCTION("""COMPUTED_VALUE"""),"#N/A")</f>
        <v>#N/A</v>
      </c>
      <c r="X186" s="675">
        <f>IFERROR(__xludf.DUMMYFUNCTION("""COMPUTED_VALUE"""),0.0)</f>
        <v>0</v>
      </c>
      <c r="Y186" s="674" t="str">
        <f>IFERROR(__xludf.DUMMYFUNCTION("""COMPUTED_VALUE"""),"#N/A")</f>
        <v>#N/A</v>
      </c>
      <c r="Z186" s="675" t="str">
        <f>IFERROR(__xludf.DUMMYFUNCTION("""COMPUTED_VALUE"""),"#N/A")</f>
        <v>#N/A</v>
      </c>
      <c r="AA186" s="675">
        <f>IFERROR(__xludf.DUMMYFUNCTION("""COMPUTED_VALUE"""),0.0)</f>
        <v>0</v>
      </c>
      <c r="AB186" s="673" t="str">
        <f>IFERROR(__xludf.DUMMYFUNCTION("""COMPUTED_VALUE"""),"#N/A")</f>
        <v>#N/A</v>
      </c>
      <c r="AC186" s="675">
        <f>IFERROR(__xludf.DUMMYFUNCTION("""COMPUTED_VALUE"""),0.0)</f>
        <v>0</v>
      </c>
      <c r="AD186" s="674" t="str">
        <f>IFERROR(__xludf.DUMMYFUNCTION("""COMPUTED_VALUE"""),"#N/A")</f>
        <v>#N/A</v>
      </c>
      <c r="AE186" s="675" t="str">
        <f>IFERROR(__xludf.DUMMYFUNCTION("""COMPUTED_VALUE"""),"#N/A")</f>
        <v>#N/A</v>
      </c>
      <c r="AF186" s="675">
        <f>IFERROR(__xludf.DUMMYFUNCTION("""COMPUTED_VALUE"""),0.0)</f>
        <v>0</v>
      </c>
      <c r="AG186" s="675">
        <f>IFERROR(__xludf.DUMMYFUNCTION("""COMPUTED_VALUE"""),0.0)</f>
        <v>0</v>
      </c>
      <c r="AH186" s="675" t="str">
        <f>IFERROR(__xludf.DUMMYFUNCTION("""COMPUTED_VALUE"""),"#N/A")</f>
        <v>#N/A</v>
      </c>
      <c r="AI186" s="139" t="str">
        <f>IFERROR(__xludf.DUMMYFUNCTION("""COMPUTED_VALUE"""),"#N/A")</f>
        <v>#N/A</v>
      </c>
      <c r="AJ186" s="675" t="str">
        <f>IFERROR(__xludf.DUMMYFUNCTION("""COMPUTED_VALUE"""),"#N/A")</f>
        <v>#N/A</v>
      </c>
      <c r="AK186" s="139" t="str">
        <f>IFERROR(__xludf.DUMMYFUNCTION("""COMPUTED_VALUE"""),"#N/A")</f>
        <v>#N/A</v>
      </c>
      <c r="AL186" s="674" t="str">
        <f>IFERROR(__xludf.DUMMYFUNCTION("""COMPUTED_VALUE"""),"#N/A")</f>
        <v>#N/A</v>
      </c>
      <c r="AM186" s="688" t="str">
        <f>IFERROR(__xludf.DUMMYFUNCTION("""COMPUTED_VALUE"""),"#N/A")</f>
        <v>#N/A</v>
      </c>
      <c r="AN186" s="675" t="str">
        <f>IFERROR(__xludf.DUMMYFUNCTION("""COMPUTED_VALUE"""),"#N/A")</f>
        <v>#N/A</v>
      </c>
      <c r="AO186" s="675" t="str">
        <f>IFERROR(__xludf.DUMMYFUNCTION("""COMPUTED_VALUE"""),"#N/A")</f>
        <v>#N/A</v>
      </c>
      <c r="AP186" s="674">
        <f>IFERROR(__xludf.DUMMYFUNCTION("""COMPUTED_VALUE"""),0.0)</f>
        <v>0</v>
      </c>
      <c r="AQ186" s="673" t="str">
        <f>IFERROR(__xludf.DUMMYFUNCTION("""COMPUTED_VALUE"""),"#N/A")</f>
        <v>#N/A</v>
      </c>
      <c r="AR186" s="673">
        <f>IFERROR(__xludf.DUMMYFUNCTION("""COMPUTED_VALUE"""),0.0)</f>
        <v>0</v>
      </c>
      <c r="AS186" s="673">
        <f>IFERROR(__xludf.DUMMYFUNCTION("""COMPUTED_VALUE"""),0.0)</f>
        <v>0</v>
      </c>
      <c r="AT186" s="673">
        <f>IFERROR(__xludf.DUMMYFUNCTION("""COMPUTED_VALUE"""),0.0)</f>
        <v>0</v>
      </c>
      <c r="AU186" s="675" t="str">
        <f>IFERROR(__xludf.DUMMYFUNCTION("""COMPUTED_VALUE"""),"#N/A")</f>
        <v>#N/A</v>
      </c>
      <c r="AV186" s="675">
        <f>IFERROR(__xludf.DUMMYFUNCTION("""COMPUTED_VALUE"""),0.0)</f>
        <v>0</v>
      </c>
      <c r="AW186" s="139"/>
      <c r="AX186" s="674" t="str">
        <f>IFERROR(__xludf.DUMMYFUNCTION("""COMPUTED_VALUE"""),"※通常攻撃範囲を入力！(CD列)")</f>
        <v>※通常攻撃範囲を入力！(CD列)</v>
      </c>
      <c r="AY186" s="688" t="str">
        <f>IFERROR(__xludf.DUMMYFUNCTION("""COMPUTED_VALUE"""),"#VALUE!")</f>
        <v>#VALUE!</v>
      </c>
      <c r="AZ186" s="674" t="str">
        <f>IFERROR(__xludf.DUMMYFUNCTION("""COMPUTED_VALUE"""),"#N/A")</f>
        <v>#N/A</v>
      </c>
      <c r="BA186" s="688" t="str">
        <f>IFERROR(__xludf.DUMMYFUNCTION("""COMPUTED_VALUE"""),"#VALUE!")</f>
        <v>#VALUE!</v>
      </c>
      <c r="BB186" s="688" t="str">
        <f>IFERROR(__xludf.DUMMYFUNCTION("""COMPUTED_VALUE"""),"-")</f>
        <v>-</v>
      </c>
      <c r="BC186" s="688" t="str">
        <f>IFERROR(__xludf.DUMMYFUNCTION("""COMPUTED_VALUE"""),"#N/A")</f>
        <v>#N/A</v>
      </c>
      <c r="BD186" s="688" t="str">
        <f>IFERROR(__xludf.DUMMYFUNCTION("""COMPUTED_VALUE"""),"#VALUE!")</f>
        <v>#VALUE!</v>
      </c>
      <c r="BE186" s="674" t="str">
        <f>IFERROR(__xludf.DUMMYFUNCTION("""COMPUTED_VALUE"""),"#N/A")</f>
        <v>#N/A</v>
      </c>
      <c r="BF186" s="674">
        <f>IFERROR(__xludf.DUMMYFUNCTION("""COMPUTED_VALUE"""),0.0)</f>
        <v>0</v>
      </c>
      <c r="BG186" s="673">
        <f>IFERROR(__xludf.DUMMYFUNCTION("""COMPUTED_VALUE"""),0.0)</f>
        <v>0</v>
      </c>
      <c r="BH186" s="673" t="str">
        <f>IFERROR(__xludf.DUMMYFUNCTION("""COMPUTED_VALUE"""),"#N/A")</f>
        <v>#N/A</v>
      </c>
      <c r="BI186" s="673" t="str">
        <f>IFERROR(__xludf.DUMMYFUNCTION("""COMPUTED_VALUE"""),"#N/A")</f>
        <v>#N/A</v>
      </c>
      <c r="BJ186" s="673">
        <f>IFERROR(__xludf.DUMMYFUNCTION("""COMPUTED_VALUE"""),0.0)</f>
        <v>0</v>
      </c>
      <c r="BK186" s="673">
        <f>IFERROR(__xludf.DUMMYFUNCTION("""COMPUTED_VALUE"""),0.0)</f>
        <v>0</v>
      </c>
      <c r="BL186" s="673" t="str">
        <f>IFERROR(__xludf.DUMMYFUNCTION("""COMPUTED_VALUE"""),"#N/A")</f>
        <v>#N/A</v>
      </c>
      <c r="BM186" s="674" t="str">
        <f>IFERROR(__xludf.DUMMYFUNCTION("""COMPUTED_VALUE"""),"#N/A")</f>
        <v>#N/A</v>
      </c>
      <c r="BN186" s="674" t="str">
        <f>IFERROR(__xludf.DUMMYFUNCTION("""COMPUTED_VALUE"""),"#N/A")</f>
        <v>#N/A</v>
      </c>
      <c r="BO186" s="675">
        <f>IFERROR(__xludf.DUMMYFUNCTION("""COMPUTED_VALUE"""),0.0)</f>
        <v>0</v>
      </c>
      <c r="BP186" s="675" t="str">
        <f>IFERROR(__xludf.DUMMYFUNCTION("""COMPUTED_VALUE"""),"#N/A")</f>
        <v>#N/A</v>
      </c>
      <c r="BQ186" s="139"/>
      <c r="BR186" s="139" t="str">
        <f>IFERROR(__xludf.DUMMYFUNCTION("""COMPUTED_VALUE"""),"#N/A")</f>
        <v>#N/A</v>
      </c>
      <c r="BS186" s="139" t="str">
        <f>IFERROR(__xludf.DUMMYFUNCTION("""COMPUTED_VALUE"""),"※移動を入力！(BV列)")</f>
        <v>※移動を入力！(BV列)</v>
      </c>
      <c r="BT186" s="139" t="str">
        <f>IFERROR(__xludf.DUMMYFUNCTION("""COMPUTED_VALUE"""),"※攻撃手段を入力(BQ列)")</f>
        <v>※攻撃手段を入力(BQ列)</v>
      </c>
      <c r="BU186" s="139">
        <f>IFERROR(__xludf.DUMMYFUNCTION("""COMPUTED_VALUE"""),0.0)</f>
        <v>0</v>
      </c>
      <c r="BV186" s="139"/>
      <c r="BW186" s="139"/>
      <c r="BX186" s="139" t="str">
        <f>IFERROR(__xludf.DUMMYFUNCTION("""COMPUTED_VALUE"""),"※特性を選択!!(BW列)")</f>
        <v>※特性を選択!!(BW列)</v>
      </c>
      <c r="BY186" s="139" t="str">
        <f>IFERROR(__xludf.DUMMYFUNCTION("""COMPUTED_VALUE"""),"#N/A")</f>
        <v>#N/A</v>
      </c>
      <c r="BZ186" s="139"/>
      <c r="CA186" s="139" t="str">
        <f>IFERROR(__xludf.DUMMYFUNCTION("""COMPUTED_VALUE"""),"※特性を選択!!(BW列)")</f>
        <v>※特性を選択!!(BW列)</v>
      </c>
      <c r="CB186" s="139" t="str">
        <f>IFERROR(__xludf.DUMMYFUNCTION("""COMPUTED_VALUE"""),"#N/A")</f>
        <v>#N/A</v>
      </c>
      <c r="CC186" s="139" t="str">
        <f>IFERROR(__xludf.DUMMYFUNCTION("""COMPUTED_VALUE"""),"該当なし")</f>
        <v>該当なし</v>
      </c>
      <c r="CD186" s="139"/>
      <c r="CE186" s="139" t="str">
        <f>IFERROR(__xludf.DUMMYFUNCTION("""COMPUTED_VALUE"""),"#N/A")</f>
        <v>#N/A</v>
      </c>
      <c r="CF186" s="139" t="str">
        <f>IFERROR(__xludf.DUMMYFUNCTION("""COMPUTED_VALUE"""),"#VALUE!")</f>
        <v>#VALUE!</v>
      </c>
      <c r="CG186" s="139"/>
      <c r="CH186" s="139"/>
      <c r="CI186" s="139" t="str">
        <f>IFERROR(__xludf.DUMMYFUNCTION("""COMPUTED_VALUE"""),"#N/A")</f>
        <v>#N/A</v>
      </c>
      <c r="CJ186" s="139" t="str">
        <f>IFERROR(__xludf.DUMMYFUNCTION("""COMPUTED_VALUE"""),"#VALUE!")</f>
        <v>#VALUE!</v>
      </c>
      <c r="CK186" s="139"/>
      <c r="CL186" s="139"/>
      <c r="CM186" s="139"/>
      <c r="CN186" s="675" t="str">
        <f>IFERROR(__xludf.DUMMYFUNCTION("""COMPUTED_VALUE"""),"#N/A")</f>
        <v>#N/A</v>
      </c>
      <c r="CO186" s="139" t="str">
        <f>IFERROR(__xludf.DUMMYFUNCTION("""COMPUTED_VALUE"""),"-")</f>
        <v>-</v>
      </c>
      <c r="CP186" s="139" t="str">
        <f>IFERROR(__xludf.DUMMYFUNCTION("""COMPUTED_VALUE"""),"-")</f>
        <v>-</v>
      </c>
      <c r="CQ186" s="139" t="str">
        <f>IFERROR(__xludf.DUMMYFUNCTION("""COMPUTED_VALUE"""),"#N/A")</f>
        <v>#N/A</v>
      </c>
      <c r="CR186" s="139"/>
      <c r="CS186" s="139"/>
      <c r="CT186" s="139"/>
      <c r="CU186" s="139"/>
      <c r="CV186" s="139"/>
      <c r="CW186" s="139"/>
      <c r="CX186" s="674" t="str">
        <f>IFERROR(__xludf.DUMMYFUNCTION("""COMPUTED_VALUE"""),"")</f>
        <v/>
      </c>
      <c r="CY186" s="675" t="str">
        <f>IFERROR(__xludf.DUMMYFUNCTION("""COMPUTED_VALUE"""),"")</f>
        <v/>
      </c>
      <c r="CZ186" s="688" t="str">
        <f>IFERROR(__xludf.DUMMYFUNCTION("""COMPUTED_VALUE"""),"-")</f>
        <v>-</v>
      </c>
      <c r="DA186" s="688">
        <f>IFERROR(__xludf.DUMMYFUNCTION("""COMPUTED_VALUE"""),0.0)</f>
        <v>0</v>
      </c>
      <c r="DB186" s="688">
        <f>IFERROR(__xludf.DUMMYFUNCTION("""COMPUTED_VALUE"""),0.0)</f>
        <v>0</v>
      </c>
      <c r="DC186" s="673" t="str">
        <f>IFERROR(__xludf.DUMMYFUNCTION("""COMPUTED_VALUE"""),"-")</f>
        <v>-</v>
      </c>
      <c r="DD186" s="673" t="str">
        <f>IFERROR(__xludf.DUMMYFUNCTION("""COMPUTED_VALUE"""),"-")</f>
        <v>-</v>
      </c>
      <c r="DE186" s="139" t="str">
        <f>IFERROR(__xludf.DUMMYFUNCTION("""COMPUTED_VALUE"""),"-")</f>
        <v>-</v>
      </c>
      <c r="DF186" s="139" t="str">
        <f>IFERROR(__xludf.DUMMYFUNCTION("""COMPUTED_VALUE"""),"-")</f>
        <v>-</v>
      </c>
      <c r="DG186" s="139" t="str">
        <f>IFERROR(__xludf.DUMMYFUNCTION("""COMPUTED_VALUE"""),"-")</f>
        <v>-</v>
      </c>
      <c r="DH186" s="139" t="str">
        <f>IFERROR(__xludf.DUMMYFUNCTION("""COMPUTED_VALUE"""),"-")</f>
        <v>-</v>
      </c>
      <c r="DI186" s="139" t="str">
        <f>IFERROR(__xludf.DUMMYFUNCTION("""COMPUTED_VALUE"""),"-")</f>
        <v>-</v>
      </c>
      <c r="DJ186" s="139" t="str">
        <f>IFERROR(__xludf.DUMMYFUNCTION("""COMPUTED_VALUE"""),"-")</f>
        <v>-</v>
      </c>
    </row>
    <row r="187">
      <c r="A187" s="139" t="str">
        <f>IFERROR(__xludf.DUMMYFUNCTION("""COMPUTED_VALUE"""),"該当なし")</f>
        <v>該当なし</v>
      </c>
      <c r="B187" s="139" t="str">
        <f>IFERROR(__xludf.DUMMYFUNCTION("""COMPUTED_VALUE"""),"該当なし")</f>
        <v>該当なし</v>
      </c>
      <c r="C187" s="139"/>
      <c r="D187" s="139" t="str">
        <f>IFERROR(__xludf.DUMMYFUNCTION("""COMPUTED_VALUE"""),"#N/A")</f>
        <v>#N/A</v>
      </c>
      <c r="E187" s="139" t="str">
        <f>IFERROR(__xludf.DUMMYFUNCTION("""COMPUTED_VALUE"""),"#N/A")</f>
        <v>#N/A</v>
      </c>
      <c r="F187" s="139" t="str">
        <f>IFERROR(__xludf.DUMMYFUNCTION("""COMPUTED_VALUE"""),"#N/A")</f>
        <v>#N/A</v>
      </c>
      <c r="G187" s="139" t="str">
        <f>IFERROR(__xludf.DUMMYFUNCTION("""COMPUTED_VALUE"""),"該当なし")</f>
        <v>該当なし</v>
      </c>
      <c r="H187" s="139" t="str">
        <f>IFERROR(__xludf.DUMMYFUNCTION("""COMPUTED_VALUE"""),"#N/A")</f>
        <v>#N/A</v>
      </c>
      <c r="I187" s="139" t="str">
        <f>IFERROR(__xludf.DUMMYFUNCTION("""COMPUTED_VALUE"""),"#N/A")</f>
        <v>#N/A</v>
      </c>
      <c r="J187" s="139" t="str">
        <f>IFERROR(__xludf.DUMMYFUNCTION("""COMPUTED_VALUE"""),"#N/A")</f>
        <v>#N/A</v>
      </c>
      <c r="K187" s="139" t="str">
        <f>IFERROR(__xludf.DUMMYFUNCTION("""COMPUTED_VALUE"""),"#N/A")</f>
        <v>#N/A</v>
      </c>
      <c r="L187" s="139" t="str">
        <f>IFERROR(__xludf.DUMMYFUNCTION("""COMPUTED_VALUE"""),"※")</f>
        <v>※</v>
      </c>
      <c r="M187" s="674">
        <f>IFERROR(__xludf.DUMMYFUNCTION("""COMPUTED_VALUE"""),0.0)</f>
        <v>0</v>
      </c>
      <c r="N187" s="139">
        <f>IFERROR(__xludf.DUMMYFUNCTION("""COMPUTED_VALUE"""),0.0)</f>
        <v>0</v>
      </c>
      <c r="O187" s="139"/>
      <c r="P187" s="139">
        <f>IFERROR(__xludf.DUMMYFUNCTION("""COMPUTED_VALUE"""),0.0)</f>
        <v>0</v>
      </c>
      <c r="Q187" s="675">
        <f>IFERROR(__xludf.DUMMYFUNCTION("""COMPUTED_VALUE"""),0.0)</f>
        <v>0</v>
      </c>
      <c r="R187" s="675">
        <f>IFERROR(__xludf.DUMMYFUNCTION("""COMPUTED_VALUE"""),0.0)</f>
        <v>0</v>
      </c>
      <c r="S187" s="675">
        <f>IFERROR(__xludf.DUMMYFUNCTION("""COMPUTED_VALUE"""),-2.5)</f>
        <v>-2.5</v>
      </c>
      <c r="T187" s="674" t="str">
        <f>IFERROR(__xludf.DUMMYFUNCTION("""COMPUTED_VALUE"""),"#N/A")</f>
        <v>#N/A</v>
      </c>
      <c r="U187" s="675" t="str">
        <f>IFERROR(__xludf.DUMMYFUNCTION("""COMPUTED_VALUE"""),"#N/A")</f>
        <v>#N/A</v>
      </c>
      <c r="V187" s="675">
        <f>IFERROR(__xludf.DUMMYFUNCTION("""COMPUTED_VALUE"""),0.0)</f>
        <v>0</v>
      </c>
      <c r="W187" s="675" t="str">
        <f>IFERROR(__xludf.DUMMYFUNCTION("""COMPUTED_VALUE"""),"#N/A")</f>
        <v>#N/A</v>
      </c>
      <c r="X187" s="675">
        <f>IFERROR(__xludf.DUMMYFUNCTION("""COMPUTED_VALUE"""),0.0)</f>
        <v>0</v>
      </c>
      <c r="Y187" s="674" t="str">
        <f>IFERROR(__xludf.DUMMYFUNCTION("""COMPUTED_VALUE"""),"#N/A")</f>
        <v>#N/A</v>
      </c>
      <c r="Z187" s="675" t="str">
        <f>IFERROR(__xludf.DUMMYFUNCTION("""COMPUTED_VALUE"""),"#N/A")</f>
        <v>#N/A</v>
      </c>
      <c r="AA187" s="675">
        <f>IFERROR(__xludf.DUMMYFUNCTION("""COMPUTED_VALUE"""),0.0)</f>
        <v>0</v>
      </c>
      <c r="AB187" s="673" t="str">
        <f>IFERROR(__xludf.DUMMYFUNCTION("""COMPUTED_VALUE"""),"#N/A")</f>
        <v>#N/A</v>
      </c>
      <c r="AC187" s="675">
        <f>IFERROR(__xludf.DUMMYFUNCTION("""COMPUTED_VALUE"""),0.0)</f>
        <v>0</v>
      </c>
      <c r="AD187" s="674" t="str">
        <f>IFERROR(__xludf.DUMMYFUNCTION("""COMPUTED_VALUE"""),"#N/A")</f>
        <v>#N/A</v>
      </c>
      <c r="AE187" s="675" t="str">
        <f>IFERROR(__xludf.DUMMYFUNCTION("""COMPUTED_VALUE"""),"#N/A")</f>
        <v>#N/A</v>
      </c>
      <c r="AF187" s="675">
        <f>IFERROR(__xludf.DUMMYFUNCTION("""COMPUTED_VALUE"""),0.0)</f>
        <v>0</v>
      </c>
      <c r="AG187" s="675">
        <f>IFERROR(__xludf.DUMMYFUNCTION("""COMPUTED_VALUE"""),0.0)</f>
        <v>0</v>
      </c>
      <c r="AH187" s="675" t="str">
        <f>IFERROR(__xludf.DUMMYFUNCTION("""COMPUTED_VALUE"""),"#N/A")</f>
        <v>#N/A</v>
      </c>
      <c r="AI187" s="139" t="str">
        <f>IFERROR(__xludf.DUMMYFUNCTION("""COMPUTED_VALUE"""),"#N/A")</f>
        <v>#N/A</v>
      </c>
      <c r="AJ187" s="675" t="str">
        <f>IFERROR(__xludf.DUMMYFUNCTION("""COMPUTED_VALUE"""),"#N/A")</f>
        <v>#N/A</v>
      </c>
      <c r="AK187" s="139" t="str">
        <f>IFERROR(__xludf.DUMMYFUNCTION("""COMPUTED_VALUE"""),"#N/A")</f>
        <v>#N/A</v>
      </c>
      <c r="AL187" s="674" t="str">
        <f>IFERROR(__xludf.DUMMYFUNCTION("""COMPUTED_VALUE"""),"#N/A")</f>
        <v>#N/A</v>
      </c>
      <c r="AM187" s="688" t="str">
        <f>IFERROR(__xludf.DUMMYFUNCTION("""COMPUTED_VALUE"""),"#N/A")</f>
        <v>#N/A</v>
      </c>
      <c r="AN187" s="675" t="str">
        <f>IFERROR(__xludf.DUMMYFUNCTION("""COMPUTED_VALUE"""),"#N/A")</f>
        <v>#N/A</v>
      </c>
      <c r="AO187" s="675" t="str">
        <f>IFERROR(__xludf.DUMMYFUNCTION("""COMPUTED_VALUE"""),"#N/A")</f>
        <v>#N/A</v>
      </c>
      <c r="AP187" s="674">
        <f>IFERROR(__xludf.DUMMYFUNCTION("""COMPUTED_VALUE"""),0.0)</f>
        <v>0</v>
      </c>
      <c r="AQ187" s="673" t="str">
        <f>IFERROR(__xludf.DUMMYFUNCTION("""COMPUTED_VALUE"""),"#N/A")</f>
        <v>#N/A</v>
      </c>
      <c r="AR187" s="673">
        <f>IFERROR(__xludf.DUMMYFUNCTION("""COMPUTED_VALUE"""),0.0)</f>
        <v>0</v>
      </c>
      <c r="AS187" s="673">
        <f>IFERROR(__xludf.DUMMYFUNCTION("""COMPUTED_VALUE"""),0.0)</f>
        <v>0</v>
      </c>
      <c r="AT187" s="673">
        <f>IFERROR(__xludf.DUMMYFUNCTION("""COMPUTED_VALUE"""),0.0)</f>
        <v>0</v>
      </c>
      <c r="AU187" s="675" t="str">
        <f>IFERROR(__xludf.DUMMYFUNCTION("""COMPUTED_VALUE"""),"#N/A")</f>
        <v>#N/A</v>
      </c>
      <c r="AV187" s="675">
        <f>IFERROR(__xludf.DUMMYFUNCTION("""COMPUTED_VALUE"""),0.0)</f>
        <v>0</v>
      </c>
      <c r="AW187" s="139"/>
      <c r="AX187" s="674" t="str">
        <f>IFERROR(__xludf.DUMMYFUNCTION("""COMPUTED_VALUE"""),"※通常攻撃範囲を入力！(CD列)")</f>
        <v>※通常攻撃範囲を入力！(CD列)</v>
      </c>
      <c r="AY187" s="688" t="str">
        <f>IFERROR(__xludf.DUMMYFUNCTION("""COMPUTED_VALUE"""),"#VALUE!")</f>
        <v>#VALUE!</v>
      </c>
      <c r="AZ187" s="674" t="str">
        <f>IFERROR(__xludf.DUMMYFUNCTION("""COMPUTED_VALUE"""),"#N/A")</f>
        <v>#N/A</v>
      </c>
      <c r="BA187" s="688" t="str">
        <f>IFERROR(__xludf.DUMMYFUNCTION("""COMPUTED_VALUE"""),"#VALUE!")</f>
        <v>#VALUE!</v>
      </c>
      <c r="BB187" s="688" t="str">
        <f>IFERROR(__xludf.DUMMYFUNCTION("""COMPUTED_VALUE"""),"-")</f>
        <v>-</v>
      </c>
      <c r="BC187" s="688" t="str">
        <f>IFERROR(__xludf.DUMMYFUNCTION("""COMPUTED_VALUE"""),"#N/A")</f>
        <v>#N/A</v>
      </c>
      <c r="BD187" s="688" t="str">
        <f>IFERROR(__xludf.DUMMYFUNCTION("""COMPUTED_VALUE"""),"#VALUE!")</f>
        <v>#VALUE!</v>
      </c>
      <c r="BE187" s="674" t="str">
        <f>IFERROR(__xludf.DUMMYFUNCTION("""COMPUTED_VALUE"""),"#N/A")</f>
        <v>#N/A</v>
      </c>
      <c r="BF187" s="674">
        <f>IFERROR(__xludf.DUMMYFUNCTION("""COMPUTED_VALUE"""),0.0)</f>
        <v>0</v>
      </c>
      <c r="BG187" s="673">
        <f>IFERROR(__xludf.DUMMYFUNCTION("""COMPUTED_VALUE"""),0.0)</f>
        <v>0</v>
      </c>
      <c r="BH187" s="673" t="str">
        <f>IFERROR(__xludf.DUMMYFUNCTION("""COMPUTED_VALUE"""),"#N/A")</f>
        <v>#N/A</v>
      </c>
      <c r="BI187" s="673" t="str">
        <f>IFERROR(__xludf.DUMMYFUNCTION("""COMPUTED_VALUE"""),"#N/A")</f>
        <v>#N/A</v>
      </c>
      <c r="BJ187" s="673">
        <f>IFERROR(__xludf.DUMMYFUNCTION("""COMPUTED_VALUE"""),0.0)</f>
        <v>0</v>
      </c>
      <c r="BK187" s="673">
        <f>IFERROR(__xludf.DUMMYFUNCTION("""COMPUTED_VALUE"""),0.0)</f>
        <v>0</v>
      </c>
      <c r="BL187" s="673" t="str">
        <f>IFERROR(__xludf.DUMMYFUNCTION("""COMPUTED_VALUE"""),"#N/A")</f>
        <v>#N/A</v>
      </c>
      <c r="BM187" s="674" t="str">
        <f>IFERROR(__xludf.DUMMYFUNCTION("""COMPUTED_VALUE"""),"#N/A")</f>
        <v>#N/A</v>
      </c>
      <c r="BN187" s="674" t="str">
        <f>IFERROR(__xludf.DUMMYFUNCTION("""COMPUTED_VALUE"""),"#N/A")</f>
        <v>#N/A</v>
      </c>
      <c r="BO187" s="675">
        <f>IFERROR(__xludf.DUMMYFUNCTION("""COMPUTED_VALUE"""),0.0)</f>
        <v>0</v>
      </c>
      <c r="BP187" s="675" t="str">
        <f>IFERROR(__xludf.DUMMYFUNCTION("""COMPUTED_VALUE"""),"#N/A")</f>
        <v>#N/A</v>
      </c>
      <c r="BQ187" s="139"/>
      <c r="BR187" s="139" t="str">
        <f>IFERROR(__xludf.DUMMYFUNCTION("""COMPUTED_VALUE"""),"#N/A")</f>
        <v>#N/A</v>
      </c>
      <c r="BS187" s="139" t="str">
        <f>IFERROR(__xludf.DUMMYFUNCTION("""COMPUTED_VALUE"""),"※移動を入力！(BV列)")</f>
        <v>※移動を入力！(BV列)</v>
      </c>
      <c r="BT187" s="139" t="str">
        <f>IFERROR(__xludf.DUMMYFUNCTION("""COMPUTED_VALUE"""),"※攻撃手段を入力(BQ列)")</f>
        <v>※攻撃手段を入力(BQ列)</v>
      </c>
      <c r="BU187" s="139">
        <f>IFERROR(__xludf.DUMMYFUNCTION("""COMPUTED_VALUE"""),0.0)</f>
        <v>0</v>
      </c>
      <c r="BV187" s="139"/>
      <c r="BW187" s="139"/>
      <c r="BX187" s="139" t="str">
        <f>IFERROR(__xludf.DUMMYFUNCTION("""COMPUTED_VALUE"""),"※特性を選択!!(BW列)")</f>
        <v>※特性を選択!!(BW列)</v>
      </c>
      <c r="BY187" s="139" t="str">
        <f>IFERROR(__xludf.DUMMYFUNCTION("""COMPUTED_VALUE"""),"#N/A")</f>
        <v>#N/A</v>
      </c>
      <c r="BZ187" s="139"/>
      <c r="CA187" s="139" t="str">
        <f>IFERROR(__xludf.DUMMYFUNCTION("""COMPUTED_VALUE"""),"※特性を選択!!(BW列)")</f>
        <v>※特性を選択!!(BW列)</v>
      </c>
      <c r="CB187" s="139" t="str">
        <f>IFERROR(__xludf.DUMMYFUNCTION("""COMPUTED_VALUE"""),"#N/A")</f>
        <v>#N/A</v>
      </c>
      <c r="CC187" s="139" t="str">
        <f>IFERROR(__xludf.DUMMYFUNCTION("""COMPUTED_VALUE"""),"該当なし")</f>
        <v>該当なし</v>
      </c>
      <c r="CD187" s="139"/>
      <c r="CE187" s="139" t="str">
        <f>IFERROR(__xludf.DUMMYFUNCTION("""COMPUTED_VALUE"""),"#N/A")</f>
        <v>#N/A</v>
      </c>
      <c r="CF187" s="139" t="str">
        <f>IFERROR(__xludf.DUMMYFUNCTION("""COMPUTED_VALUE"""),"#VALUE!")</f>
        <v>#VALUE!</v>
      </c>
      <c r="CG187" s="139"/>
      <c r="CH187" s="139"/>
      <c r="CI187" s="139" t="str">
        <f>IFERROR(__xludf.DUMMYFUNCTION("""COMPUTED_VALUE"""),"#N/A")</f>
        <v>#N/A</v>
      </c>
      <c r="CJ187" s="139" t="str">
        <f>IFERROR(__xludf.DUMMYFUNCTION("""COMPUTED_VALUE"""),"#VALUE!")</f>
        <v>#VALUE!</v>
      </c>
      <c r="CK187" s="139"/>
      <c r="CL187" s="139"/>
      <c r="CM187" s="139"/>
      <c r="CN187" s="675" t="str">
        <f>IFERROR(__xludf.DUMMYFUNCTION("""COMPUTED_VALUE"""),"#N/A")</f>
        <v>#N/A</v>
      </c>
      <c r="CO187" s="139" t="str">
        <f>IFERROR(__xludf.DUMMYFUNCTION("""COMPUTED_VALUE"""),"-")</f>
        <v>-</v>
      </c>
      <c r="CP187" s="139" t="str">
        <f>IFERROR(__xludf.DUMMYFUNCTION("""COMPUTED_VALUE"""),"-")</f>
        <v>-</v>
      </c>
      <c r="CQ187" s="139" t="str">
        <f>IFERROR(__xludf.DUMMYFUNCTION("""COMPUTED_VALUE"""),"#N/A")</f>
        <v>#N/A</v>
      </c>
      <c r="CR187" s="139"/>
      <c r="CS187" s="139"/>
      <c r="CT187" s="139"/>
      <c r="CU187" s="139"/>
      <c r="CV187" s="139"/>
      <c r="CW187" s="139"/>
      <c r="CX187" s="674" t="str">
        <f>IFERROR(__xludf.DUMMYFUNCTION("""COMPUTED_VALUE"""),"")</f>
        <v/>
      </c>
      <c r="CY187" s="675" t="str">
        <f>IFERROR(__xludf.DUMMYFUNCTION("""COMPUTED_VALUE"""),"")</f>
        <v/>
      </c>
      <c r="CZ187" s="688" t="str">
        <f>IFERROR(__xludf.DUMMYFUNCTION("""COMPUTED_VALUE"""),"-")</f>
        <v>-</v>
      </c>
      <c r="DA187" s="688">
        <f>IFERROR(__xludf.DUMMYFUNCTION("""COMPUTED_VALUE"""),0.0)</f>
        <v>0</v>
      </c>
      <c r="DB187" s="688">
        <f>IFERROR(__xludf.DUMMYFUNCTION("""COMPUTED_VALUE"""),0.0)</f>
        <v>0</v>
      </c>
      <c r="DC187" s="673" t="str">
        <f>IFERROR(__xludf.DUMMYFUNCTION("""COMPUTED_VALUE"""),"-")</f>
        <v>-</v>
      </c>
      <c r="DD187" s="673" t="str">
        <f>IFERROR(__xludf.DUMMYFUNCTION("""COMPUTED_VALUE"""),"-")</f>
        <v>-</v>
      </c>
      <c r="DE187" s="139" t="str">
        <f>IFERROR(__xludf.DUMMYFUNCTION("""COMPUTED_VALUE"""),"-")</f>
        <v>-</v>
      </c>
      <c r="DF187" s="139" t="str">
        <f>IFERROR(__xludf.DUMMYFUNCTION("""COMPUTED_VALUE"""),"-")</f>
        <v>-</v>
      </c>
      <c r="DG187" s="139" t="str">
        <f>IFERROR(__xludf.DUMMYFUNCTION("""COMPUTED_VALUE"""),"-")</f>
        <v>-</v>
      </c>
      <c r="DH187" s="139" t="str">
        <f>IFERROR(__xludf.DUMMYFUNCTION("""COMPUTED_VALUE"""),"-")</f>
        <v>-</v>
      </c>
      <c r="DI187" s="139" t="str">
        <f>IFERROR(__xludf.DUMMYFUNCTION("""COMPUTED_VALUE"""),"-")</f>
        <v>-</v>
      </c>
      <c r="DJ187" s="139" t="str">
        <f>IFERROR(__xludf.DUMMYFUNCTION("""COMPUTED_VALUE"""),"-")</f>
        <v>-</v>
      </c>
    </row>
    <row r="188">
      <c r="A188" s="139" t="str">
        <f>IFERROR(__xludf.DUMMYFUNCTION("""COMPUTED_VALUE"""),"該当なし")</f>
        <v>該当なし</v>
      </c>
      <c r="B188" s="139" t="str">
        <f>IFERROR(__xludf.DUMMYFUNCTION("""COMPUTED_VALUE"""),"該当なし")</f>
        <v>該当なし</v>
      </c>
      <c r="C188" s="139"/>
      <c r="D188" s="139" t="str">
        <f>IFERROR(__xludf.DUMMYFUNCTION("""COMPUTED_VALUE"""),"#N/A")</f>
        <v>#N/A</v>
      </c>
      <c r="E188" s="139" t="str">
        <f>IFERROR(__xludf.DUMMYFUNCTION("""COMPUTED_VALUE"""),"#N/A")</f>
        <v>#N/A</v>
      </c>
      <c r="F188" s="139" t="str">
        <f>IFERROR(__xludf.DUMMYFUNCTION("""COMPUTED_VALUE"""),"#N/A")</f>
        <v>#N/A</v>
      </c>
      <c r="G188" s="139" t="str">
        <f>IFERROR(__xludf.DUMMYFUNCTION("""COMPUTED_VALUE"""),"該当なし")</f>
        <v>該当なし</v>
      </c>
      <c r="H188" s="139" t="str">
        <f>IFERROR(__xludf.DUMMYFUNCTION("""COMPUTED_VALUE"""),"#N/A")</f>
        <v>#N/A</v>
      </c>
      <c r="I188" s="139" t="str">
        <f>IFERROR(__xludf.DUMMYFUNCTION("""COMPUTED_VALUE"""),"#N/A")</f>
        <v>#N/A</v>
      </c>
      <c r="J188" s="139" t="str">
        <f>IFERROR(__xludf.DUMMYFUNCTION("""COMPUTED_VALUE"""),"#N/A")</f>
        <v>#N/A</v>
      </c>
      <c r="K188" s="139" t="str">
        <f>IFERROR(__xludf.DUMMYFUNCTION("""COMPUTED_VALUE"""),"#N/A")</f>
        <v>#N/A</v>
      </c>
      <c r="L188" s="139" t="str">
        <f>IFERROR(__xludf.DUMMYFUNCTION("""COMPUTED_VALUE"""),"※")</f>
        <v>※</v>
      </c>
      <c r="M188" s="674">
        <f>IFERROR(__xludf.DUMMYFUNCTION("""COMPUTED_VALUE"""),0.0)</f>
        <v>0</v>
      </c>
      <c r="N188" s="139">
        <f>IFERROR(__xludf.DUMMYFUNCTION("""COMPUTED_VALUE"""),0.0)</f>
        <v>0</v>
      </c>
      <c r="O188" s="139"/>
      <c r="P188" s="139">
        <f>IFERROR(__xludf.DUMMYFUNCTION("""COMPUTED_VALUE"""),0.0)</f>
        <v>0</v>
      </c>
      <c r="Q188" s="675">
        <f>IFERROR(__xludf.DUMMYFUNCTION("""COMPUTED_VALUE"""),0.0)</f>
        <v>0</v>
      </c>
      <c r="R188" s="675">
        <f>IFERROR(__xludf.DUMMYFUNCTION("""COMPUTED_VALUE"""),0.0)</f>
        <v>0</v>
      </c>
      <c r="S188" s="675">
        <f>IFERROR(__xludf.DUMMYFUNCTION("""COMPUTED_VALUE"""),-2.5)</f>
        <v>-2.5</v>
      </c>
      <c r="T188" s="674" t="str">
        <f>IFERROR(__xludf.DUMMYFUNCTION("""COMPUTED_VALUE"""),"#N/A")</f>
        <v>#N/A</v>
      </c>
      <c r="U188" s="675" t="str">
        <f>IFERROR(__xludf.DUMMYFUNCTION("""COMPUTED_VALUE"""),"#N/A")</f>
        <v>#N/A</v>
      </c>
      <c r="V188" s="675">
        <f>IFERROR(__xludf.DUMMYFUNCTION("""COMPUTED_VALUE"""),0.0)</f>
        <v>0</v>
      </c>
      <c r="W188" s="675" t="str">
        <f>IFERROR(__xludf.DUMMYFUNCTION("""COMPUTED_VALUE"""),"#N/A")</f>
        <v>#N/A</v>
      </c>
      <c r="X188" s="675">
        <f>IFERROR(__xludf.DUMMYFUNCTION("""COMPUTED_VALUE"""),0.0)</f>
        <v>0</v>
      </c>
      <c r="Y188" s="674" t="str">
        <f>IFERROR(__xludf.DUMMYFUNCTION("""COMPUTED_VALUE"""),"#N/A")</f>
        <v>#N/A</v>
      </c>
      <c r="Z188" s="675" t="str">
        <f>IFERROR(__xludf.DUMMYFUNCTION("""COMPUTED_VALUE"""),"#N/A")</f>
        <v>#N/A</v>
      </c>
      <c r="AA188" s="675">
        <f>IFERROR(__xludf.DUMMYFUNCTION("""COMPUTED_VALUE"""),0.0)</f>
        <v>0</v>
      </c>
      <c r="AB188" s="673" t="str">
        <f>IFERROR(__xludf.DUMMYFUNCTION("""COMPUTED_VALUE"""),"#N/A")</f>
        <v>#N/A</v>
      </c>
      <c r="AC188" s="675">
        <f>IFERROR(__xludf.DUMMYFUNCTION("""COMPUTED_VALUE"""),0.0)</f>
        <v>0</v>
      </c>
      <c r="AD188" s="674" t="str">
        <f>IFERROR(__xludf.DUMMYFUNCTION("""COMPUTED_VALUE"""),"#N/A")</f>
        <v>#N/A</v>
      </c>
      <c r="AE188" s="675" t="str">
        <f>IFERROR(__xludf.DUMMYFUNCTION("""COMPUTED_VALUE"""),"#N/A")</f>
        <v>#N/A</v>
      </c>
      <c r="AF188" s="675">
        <f>IFERROR(__xludf.DUMMYFUNCTION("""COMPUTED_VALUE"""),0.0)</f>
        <v>0</v>
      </c>
      <c r="AG188" s="675">
        <f>IFERROR(__xludf.DUMMYFUNCTION("""COMPUTED_VALUE"""),0.0)</f>
        <v>0</v>
      </c>
      <c r="AH188" s="675" t="str">
        <f>IFERROR(__xludf.DUMMYFUNCTION("""COMPUTED_VALUE"""),"#N/A")</f>
        <v>#N/A</v>
      </c>
      <c r="AI188" s="139" t="str">
        <f>IFERROR(__xludf.DUMMYFUNCTION("""COMPUTED_VALUE"""),"#N/A")</f>
        <v>#N/A</v>
      </c>
      <c r="AJ188" s="675" t="str">
        <f>IFERROR(__xludf.DUMMYFUNCTION("""COMPUTED_VALUE"""),"#N/A")</f>
        <v>#N/A</v>
      </c>
      <c r="AK188" s="139" t="str">
        <f>IFERROR(__xludf.DUMMYFUNCTION("""COMPUTED_VALUE"""),"#N/A")</f>
        <v>#N/A</v>
      </c>
      <c r="AL188" s="674" t="str">
        <f>IFERROR(__xludf.DUMMYFUNCTION("""COMPUTED_VALUE"""),"#N/A")</f>
        <v>#N/A</v>
      </c>
      <c r="AM188" s="688" t="str">
        <f>IFERROR(__xludf.DUMMYFUNCTION("""COMPUTED_VALUE"""),"#N/A")</f>
        <v>#N/A</v>
      </c>
      <c r="AN188" s="675" t="str">
        <f>IFERROR(__xludf.DUMMYFUNCTION("""COMPUTED_VALUE"""),"#N/A")</f>
        <v>#N/A</v>
      </c>
      <c r="AO188" s="675" t="str">
        <f>IFERROR(__xludf.DUMMYFUNCTION("""COMPUTED_VALUE"""),"#N/A")</f>
        <v>#N/A</v>
      </c>
      <c r="AP188" s="674">
        <f>IFERROR(__xludf.DUMMYFUNCTION("""COMPUTED_VALUE"""),0.0)</f>
        <v>0</v>
      </c>
      <c r="AQ188" s="673" t="str">
        <f>IFERROR(__xludf.DUMMYFUNCTION("""COMPUTED_VALUE"""),"#N/A")</f>
        <v>#N/A</v>
      </c>
      <c r="AR188" s="673">
        <f>IFERROR(__xludf.DUMMYFUNCTION("""COMPUTED_VALUE"""),0.0)</f>
        <v>0</v>
      </c>
      <c r="AS188" s="673">
        <f>IFERROR(__xludf.DUMMYFUNCTION("""COMPUTED_VALUE"""),0.0)</f>
        <v>0</v>
      </c>
      <c r="AT188" s="673">
        <f>IFERROR(__xludf.DUMMYFUNCTION("""COMPUTED_VALUE"""),0.0)</f>
        <v>0</v>
      </c>
      <c r="AU188" s="675" t="str">
        <f>IFERROR(__xludf.DUMMYFUNCTION("""COMPUTED_VALUE"""),"#N/A")</f>
        <v>#N/A</v>
      </c>
      <c r="AV188" s="675">
        <f>IFERROR(__xludf.DUMMYFUNCTION("""COMPUTED_VALUE"""),0.0)</f>
        <v>0</v>
      </c>
      <c r="AW188" s="139"/>
      <c r="AX188" s="674" t="str">
        <f>IFERROR(__xludf.DUMMYFUNCTION("""COMPUTED_VALUE"""),"※通常攻撃範囲を入力！(CD列)")</f>
        <v>※通常攻撃範囲を入力！(CD列)</v>
      </c>
      <c r="AY188" s="688" t="str">
        <f>IFERROR(__xludf.DUMMYFUNCTION("""COMPUTED_VALUE"""),"#VALUE!")</f>
        <v>#VALUE!</v>
      </c>
      <c r="AZ188" s="674" t="str">
        <f>IFERROR(__xludf.DUMMYFUNCTION("""COMPUTED_VALUE"""),"#N/A")</f>
        <v>#N/A</v>
      </c>
      <c r="BA188" s="688" t="str">
        <f>IFERROR(__xludf.DUMMYFUNCTION("""COMPUTED_VALUE"""),"#VALUE!")</f>
        <v>#VALUE!</v>
      </c>
      <c r="BB188" s="688" t="str">
        <f>IFERROR(__xludf.DUMMYFUNCTION("""COMPUTED_VALUE"""),"-")</f>
        <v>-</v>
      </c>
      <c r="BC188" s="688" t="str">
        <f>IFERROR(__xludf.DUMMYFUNCTION("""COMPUTED_VALUE"""),"#N/A")</f>
        <v>#N/A</v>
      </c>
      <c r="BD188" s="688" t="str">
        <f>IFERROR(__xludf.DUMMYFUNCTION("""COMPUTED_VALUE"""),"#VALUE!")</f>
        <v>#VALUE!</v>
      </c>
      <c r="BE188" s="674" t="str">
        <f>IFERROR(__xludf.DUMMYFUNCTION("""COMPUTED_VALUE"""),"#N/A")</f>
        <v>#N/A</v>
      </c>
      <c r="BF188" s="674">
        <f>IFERROR(__xludf.DUMMYFUNCTION("""COMPUTED_VALUE"""),0.0)</f>
        <v>0</v>
      </c>
      <c r="BG188" s="673">
        <f>IFERROR(__xludf.DUMMYFUNCTION("""COMPUTED_VALUE"""),0.0)</f>
        <v>0</v>
      </c>
      <c r="BH188" s="673" t="str">
        <f>IFERROR(__xludf.DUMMYFUNCTION("""COMPUTED_VALUE"""),"#N/A")</f>
        <v>#N/A</v>
      </c>
      <c r="BI188" s="673" t="str">
        <f>IFERROR(__xludf.DUMMYFUNCTION("""COMPUTED_VALUE"""),"#N/A")</f>
        <v>#N/A</v>
      </c>
      <c r="BJ188" s="673">
        <f>IFERROR(__xludf.DUMMYFUNCTION("""COMPUTED_VALUE"""),0.0)</f>
        <v>0</v>
      </c>
      <c r="BK188" s="673">
        <f>IFERROR(__xludf.DUMMYFUNCTION("""COMPUTED_VALUE"""),0.0)</f>
        <v>0</v>
      </c>
      <c r="BL188" s="673" t="str">
        <f>IFERROR(__xludf.DUMMYFUNCTION("""COMPUTED_VALUE"""),"#N/A")</f>
        <v>#N/A</v>
      </c>
      <c r="BM188" s="674" t="str">
        <f>IFERROR(__xludf.DUMMYFUNCTION("""COMPUTED_VALUE"""),"#N/A")</f>
        <v>#N/A</v>
      </c>
      <c r="BN188" s="674" t="str">
        <f>IFERROR(__xludf.DUMMYFUNCTION("""COMPUTED_VALUE"""),"#N/A")</f>
        <v>#N/A</v>
      </c>
      <c r="BO188" s="675">
        <f>IFERROR(__xludf.DUMMYFUNCTION("""COMPUTED_VALUE"""),0.0)</f>
        <v>0</v>
      </c>
      <c r="BP188" s="675" t="str">
        <f>IFERROR(__xludf.DUMMYFUNCTION("""COMPUTED_VALUE"""),"#N/A")</f>
        <v>#N/A</v>
      </c>
      <c r="BQ188" s="139"/>
      <c r="BR188" s="139" t="str">
        <f>IFERROR(__xludf.DUMMYFUNCTION("""COMPUTED_VALUE"""),"#N/A")</f>
        <v>#N/A</v>
      </c>
      <c r="BS188" s="139" t="str">
        <f>IFERROR(__xludf.DUMMYFUNCTION("""COMPUTED_VALUE"""),"※移動を入力！(BV列)")</f>
        <v>※移動を入力！(BV列)</v>
      </c>
      <c r="BT188" s="139" t="str">
        <f>IFERROR(__xludf.DUMMYFUNCTION("""COMPUTED_VALUE"""),"※攻撃手段を入力(BQ列)")</f>
        <v>※攻撃手段を入力(BQ列)</v>
      </c>
      <c r="BU188" s="139">
        <f>IFERROR(__xludf.DUMMYFUNCTION("""COMPUTED_VALUE"""),0.0)</f>
        <v>0</v>
      </c>
      <c r="BV188" s="139"/>
      <c r="BW188" s="139"/>
      <c r="BX188" s="139" t="str">
        <f>IFERROR(__xludf.DUMMYFUNCTION("""COMPUTED_VALUE"""),"※特性を選択!!(BW列)")</f>
        <v>※特性を選択!!(BW列)</v>
      </c>
      <c r="BY188" s="139" t="str">
        <f>IFERROR(__xludf.DUMMYFUNCTION("""COMPUTED_VALUE"""),"#N/A")</f>
        <v>#N/A</v>
      </c>
      <c r="BZ188" s="139"/>
      <c r="CA188" s="139" t="str">
        <f>IFERROR(__xludf.DUMMYFUNCTION("""COMPUTED_VALUE"""),"※特性を選択!!(BW列)")</f>
        <v>※特性を選択!!(BW列)</v>
      </c>
      <c r="CB188" s="139" t="str">
        <f>IFERROR(__xludf.DUMMYFUNCTION("""COMPUTED_VALUE"""),"#N/A")</f>
        <v>#N/A</v>
      </c>
      <c r="CC188" s="139" t="str">
        <f>IFERROR(__xludf.DUMMYFUNCTION("""COMPUTED_VALUE"""),"該当なし")</f>
        <v>該当なし</v>
      </c>
      <c r="CD188" s="139"/>
      <c r="CE188" s="139" t="str">
        <f>IFERROR(__xludf.DUMMYFUNCTION("""COMPUTED_VALUE"""),"#N/A")</f>
        <v>#N/A</v>
      </c>
      <c r="CF188" s="139" t="str">
        <f>IFERROR(__xludf.DUMMYFUNCTION("""COMPUTED_VALUE"""),"#VALUE!")</f>
        <v>#VALUE!</v>
      </c>
      <c r="CG188" s="139"/>
      <c r="CH188" s="139"/>
      <c r="CI188" s="139" t="str">
        <f>IFERROR(__xludf.DUMMYFUNCTION("""COMPUTED_VALUE"""),"#N/A")</f>
        <v>#N/A</v>
      </c>
      <c r="CJ188" s="139" t="str">
        <f>IFERROR(__xludf.DUMMYFUNCTION("""COMPUTED_VALUE"""),"#VALUE!")</f>
        <v>#VALUE!</v>
      </c>
      <c r="CK188" s="139"/>
      <c r="CL188" s="139"/>
      <c r="CM188" s="139"/>
      <c r="CN188" s="675" t="str">
        <f>IFERROR(__xludf.DUMMYFUNCTION("""COMPUTED_VALUE"""),"#N/A")</f>
        <v>#N/A</v>
      </c>
      <c r="CO188" s="139" t="str">
        <f>IFERROR(__xludf.DUMMYFUNCTION("""COMPUTED_VALUE"""),"-")</f>
        <v>-</v>
      </c>
      <c r="CP188" s="139" t="str">
        <f>IFERROR(__xludf.DUMMYFUNCTION("""COMPUTED_VALUE"""),"-")</f>
        <v>-</v>
      </c>
      <c r="CQ188" s="139" t="str">
        <f>IFERROR(__xludf.DUMMYFUNCTION("""COMPUTED_VALUE"""),"#N/A")</f>
        <v>#N/A</v>
      </c>
      <c r="CR188" s="139"/>
      <c r="CS188" s="139"/>
      <c r="CT188" s="139"/>
      <c r="CU188" s="139"/>
      <c r="CV188" s="139"/>
      <c r="CW188" s="139"/>
      <c r="CX188" s="674" t="str">
        <f>IFERROR(__xludf.DUMMYFUNCTION("""COMPUTED_VALUE"""),"")</f>
        <v/>
      </c>
      <c r="CY188" s="675" t="str">
        <f>IFERROR(__xludf.DUMMYFUNCTION("""COMPUTED_VALUE"""),"")</f>
        <v/>
      </c>
      <c r="CZ188" s="688" t="str">
        <f>IFERROR(__xludf.DUMMYFUNCTION("""COMPUTED_VALUE"""),"-")</f>
        <v>-</v>
      </c>
      <c r="DA188" s="688">
        <f>IFERROR(__xludf.DUMMYFUNCTION("""COMPUTED_VALUE"""),0.0)</f>
        <v>0</v>
      </c>
      <c r="DB188" s="688">
        <f>IFERROR(__xludf.DUMMYFUNCTION("""COMPUTED_VALUE"""),0.0)</f>
        <v>0</v>
      </c>
      <c r="DC188" s="673" t="str">
        <f>IFERROR(__xludf.DUMMYFUNCTION("""COMPUTED_VALUE"""),"-")</f>
        <v>-</v>
      </c>
      <c r="DD188" s="673" t="str">
        <f>IFERROR(__xludf.DUMMYFUNCTION("""COMPUTED_VALUE"""),"-")</f>
        <v>-</v>
      </c>
      <c r="DE188" s="139" t="str">
        <f>IFERROR(__xludf.DUMMYFUNCTION("""COMPUTED_VALUE"""),"-")</f>
        <v>-</v>
      </c>
      <c r="DF188" s="139" t="str">
        <f>IFERROR(__xludf.DUMMYFUNCTION("""COMPUTED_VALUE"""),"-")</f>
        <v>-</v>
      </c>
      <c r="DG188" s="139" t="str">
        <f>IFERROR(__xludf.DUMMYFUNCTION("""COMPUTED_VALUE"""),"-")</f>
        <v>-</v>
      </c>
      <c r="DH188" s="139" t="str">
        <f>IFERROR(__xludf.DUMMYFUNCTION("""COMPUTED_VALUE"""),"-")</f>
        <v>-</v>
      </c>
      <c r="DI188" s="139" t="str">
        <f>IFERROR(__xludf.DUMMYFUNCTION("""COMPUTED_VALUE"""),"-")</f>
        <v>-</v>
      </c>
      <c r="DJ188" s="139" t="str">
        <f>IFERROR(__xludf.DUMMYFUNCTION("""COMPUTED_VALUE"""),"-")</f>
        <v>-</v>
      </c>
    </row>
    <row r="189">
      <c r="A189" s="139" t="str">
        <f>IFERROR(__xludf.DUMMYFUNCTION("""COMPUTED_VALUE"""),"該当なし")</f>
        <v>該当なし</v>
      </c>
      <c r="B189" s="139" t="str">
        <f>IFERROR(__xludf.DUMMYFUNCTION("""COMPUTED_VALUE"""),"該当なし")</f>
        <v>該当なし</v>
      </c>
      <c r="C189" s="139"/>
      <c r="D189" s="139" t="str">
        <f>IFERROR(__xludf.DUMMYFUNCTION("""COMPUTED_VALUE"""),"#N/A")</f>
        <v>#N/A</v>
      </c>
      <c r="E189" s="139" t="str">
        <f>IFERROR(__xludf.DUMMYFUNCTION("""COMPUTED_VALUE"""),"#N/A")</f>
        <v>#N/A</v>
      </c>
      <c r="F189" s="139" t="str">
        <f>IFERROR(__xludf.DUMMYFUNCTION("""COMPUTED_VALUE"""),"#N/A")</f>
        <v>#N/A</v>
      </c>
      <c r="G189" s="139" t="str">
        <f>IFERROR(__xludf.DUMMYFUNCTION("""COMPUTED_VALUE"""),"該当なし")</f>
        <v>該当なし</v>
      </c>
      <c r="H189" s="139" t="str">
        <f>IFERROR(__xludf.DUMMYFUNCTION("""COMPUTED_VALUE"""),"#N/A")</f>
        <v>#N/A</v>
      </c>
      <c r="I189" s="139" t="str">
        <f>IFERROR(__xludf.DUMMYFUNCTION("""COMPUTED_VALUE"""),"#N/A")</f>
        <v>#N/A</v>
      </c>
      <c r="J189" s="139" t="str">
        <f>IFERROR(__xludf.DUMMYFUNCTION("""COMPUTED_VALUE"""),"#N/A")</f>
        <v>#N/A</v>
      </c>
      <c r="K189" s="139" t="str">
        <f>IFERROR(__xludf.DUMMYFUNCTION("""COMPUTED_VALUE"""),"#N/A")</f>
        <v>#N/A</v>
      </c>
      <c r="L189" s="139" t="str">
        <f>IFERROR(__xludf.DUMMYFUNCTION("""COMPUTED_VALUE"""),"※")</f>
        <v>※</v>
      </c>
      <c r="M189" s="674">
        <f>IFERROR(__xludf.DUMMYFUNCTION("""COMPUTED_VALUE"""),0.0)</f>
        <v>0</v>
      </c>
      <c r="N189" s="139">
        <f>IFERROR(__xludf.DUMMYFUNCTION("""COMPUTED_VALUE"""),0.0)</f>
        <v>0</v>
      </c>
      <c r="O189" s="139"/>
      <c r="P189" s="139">
        <f>IFERROR(__xludf.DUMMYFUNCTION("""COMPUTED_VALUE"""),0.0)</f>
        <v>0</v>
      </c>
      <c r="Q189" s="675">
        <f>IFERROR(__xludf.DUMMYFUNCTION("""COMPUTED_VALUE"""),0.0)</f>
        <v>0</v>
      </c>
      <c r="R189" s="675">
        <f>IFERROR(__xludf.DUMMYFUNCTION("""COMPUTED_VALUE"""),0.0)</f>
        <v>0</v>
      </c>
      <c r="S189" s="675">
        <f>IFERROR(__xludf.DUMMYFUNCTION("""COMPUTED_VALUE"""),-2.5)</f>
        <v>-2.5</v>
      </c>
      <c r="T189" s="674" t="str">
        <f>IFERROR(__xludf.DUMMYFUNCTION("""COMPUTED_VALUE"""),"#N/A")</f>
        <v>#N/A</v>
      </c>
      <c r="U189" s="675" t="str">
        <f>IFERROR(__xludf.DUMMYFUNCTION("""COMPUTED_VALUE"""),"#N/A")</f>
        <v>#N/A</v>
      </c>
      <c r="V189" s="675">
        <f>IFERROR(__xludf.DUMMYFUNCTION("""COMPUTED_VALUE"""),0.0)</f>
        <v>0</v>
      </c>
      <c r="W189" s="675" t="str">
        <f>IFERROR(__xludf.DUMMYFUNCTION("""COMPUTED_VALUE"""),"#N/A")</f>
        <v>#N/A</v>
      </c>
      <c r="X189" s="675">
        <f>IFERROR(__xludf.DUMMYFUNCTION("""COMPUTED_VALUE"""),0.0)</f>
        <v>0</v>
      </c>
      <c r="Y189" s="674" t="str">
        <f>IFERROR(__xludf.DUMMYFUNCTION("""COMPUTED_VALUE"""),"#N/A")</f>
        <v>#N/A</v>
      </c>
      <c r="Z189" s="675" t="str">
        <f>IFERROR(__xludf.DUMMYFUNCTION("""COMPUTED_VALUE"""),"#N/A")</f>
        <v>#N/A</v>
      </c>
      <c r="AA189" s="675">
        <f>IFERROR(__xludf.DUMMYFUNCTION("""COMPUTED_VALUE"""),0.0)</f>
        <v>0</v>
      </c>
      <c r="AB189" s="673" t="str">
        <f>IFERROR(__xludf.DUMMYFUNCTION("""COMPUTED_VALUE"""),"#N/A")</f>
        <v>#N/A</v>
      </c>
      <c r="AC189" s="675">
        <f>IFERROR(__xludf.DUMMYFUNCTION("""COMPUTED_VALUE"""),0.0)</f>
        <v>0</v>
      </c>
      <c r="AD189" s="674" t="str">
        <f>IFERROR(__xludf.DUMMYFUNCTION("""COMPUTED_VALUE"""),"#N/A")</f>
        <v>#N/A</v>
      </c>
      <c r="AE189" s="675" t="str">
        <f>IFERROR(__xludf.DUMMYFUNCTION("""COMPUTED_VALUE"""),"#N/A")</f>
        <v>#N/A</v>
      </c>
      <c r="AF189" s="675">
        <f>IFERROR(__xludf.DUMMYFUNCTION("""COMPUTED_VALUE"""),0.0)</f>
        <v>0</v>
      </c>
      <c r="AG189" s="675">
        <f>IFERROR(__xludf.DUMMYFUNCTION("""COMPUTED_VALUE"""),0.0)</f>
        <v>0</v>
      </c>
      <c r="AH189" s="675" t="str">
        <f>IFERROR(__xludf.DUMMYFUNCTION("""COMPUTED_VALUE"""),"#N/A")</f>
        <v>#N/A</v>
      </c>
      <c r="AI189" s="139" t="str">
        <f>IFERROR(__xludf.DUMMYFUNCTION("""COMPUTED_VALUE"""),"#N/A")</f>
        <v>#N/A</v>
      </c>
      <c r="AJ189" s="675" t="str">
        <f>IFERROR(__xludf.DUMMYFUNCTION("""COMPUTED_VALUE"""),"#N/A")</f>
        <v>#N/A</v>
      </c>
      <c r="AK189" s="139" t="str">
        <f>IFERROR(__xludf.DUMMYFUNCTION("""COMPUTED_VALUE"""),"#N/A")</f>
        <v>#N/A</v>
      </c>
      <c r="AL189" s="674" t="str">
        <f>IFERROR(__xludf.DUMMYFUNCTION("""COMPUTED_VALUE"""),"#N/A")</f>
        <v>#N/A</v>
      </c>
      <c r="AM189" s="688" t="str">
        <f>IFERROR(__xludf.DUMMYFUNCTION("""COMPUTED_VALUE"""),"#N/A")</f>
        <v>#N/A</v>
      </c>
      <c r="AN189" s="675" t="str">
        <f>IFERROR(__xludf.DUMMYFUNCTION("""COMPUTED_VALUE"""),"#N/A")</f>
        <v>#N/A</v>
      </c>
      <c r="AO189" s="675" t="str">
        <f>IFERROR(__xludf.DUMMYFUNCTION("""COMPUTED_VALUE"""),"#N/A")</f>
        <v>#N/A</v>
      </c>
      <c r="AP189" s="674">
        <f>IFERROR(__xludf.DUMMYFUNCTION("""COMPUTED_VALUE"""),0.0)</f>
        <v>0</v>
      </c>
      <c r="AQ189" s="673" t="str">
        <f>IFERROR(__xludf.DUMMYFUNCTION("""COMPUTED_VALUE"""),"#N/A")</f>
        <v>#N/A</v>
      </c>
      <c r="AR189" s="673">
        <f>IFERROR(__xludf.DUMMYFUNCTION("""COMPUTED_VALUE"""),0.0)</f>
        <v>0</v>
      </c>
      <c r="AS189" s="673">
        <f>IFERROR(__xludf.DUMMYFUNCTION("""COMPUTED_VALUE"""),0.0)</f>
        <v>0</v>
      </c>
      <c r="AT189" s="673">
        <f>IFERROR(__xludf.DUMMYFUNCTION("""COMPUTED_VALUE"""),0.0)</f>
        <v>0</v>
      </c>
      <c r="AU189" s="675" t="str">
        <f>IFERROR(__xludf.DUMMYFUNCTION("""COMPUTED_VALUE"""),"#N/A")</f>
        <v>#N/A</v>
      </c>
      <c r="AV189" s="675">
        <f>IFERROR(__xludf.DUMMYFUNCTION("""COMPUTED_VALUE"""),0.0)</f>
        <v>0</v>
      </c>
      <c r="AW189" s="139"/>
      <c r="AX189" s="674" t="str">
        <f>IFERROR(__xludf.DUMMYFUNCTION("""COMPUTED_VALUE"""),"※通常攻撃範囲を入力！(CD列)")</f>
        <v>※通常攻撃範囲を入力！(CD列)</v>
      </c>
      <c r="AY189" s="688" t="str">
        <f>IFERROR(__xludf.DUMMYFUNCTION("""COMPUTED_VALUE"""),"#VALUE!")</f>
        <v>#VALUE!</v>
      </c>
      <c r="AZ189" s="674" t="str">
        <f>IFERROR(__xludf.DUMMYFUNCTION("""COMPUTED_VALUE"""),"#N/A")</f>
        <v>#N/A</v>
      </c>
      <c r="BA189" s="688" t="str">
        <f>IFERROR(__xludf.DUMMYFUNCTION("""COMPUTED_VALUE"""),"#VALUE!")</f>
        <v>#VALUE!</v>
      </c>
      <c r="BB189" s="688" t="str">
        <f>IFERROR(__xludf.DUMMYFUNCTION("""COMPUTED_VALUE"""),"-")</f>
        <v>-</v>
      </c>
      <c r="BC189" s="688" t="str">
        <f>IFERROR(__xludf.DUMMYFUNCTION("""COMPUTED_VALUE"""),"#N/A")</f>
        <v>#N/A</v>
      </c>
      <c r="BD189" s="688" t="str">
        <f>IFERROR(__xludf.DUMMYFUNCTION("""COMPUTED_VALUE"""),"#VALUE!")</f>
        <v>#VALUE!</v>
      </c>
      <c r="BE189" s="674" t="str">
        <f>IFERROR(__xludf.DUMMYFUNCTION("""COMPUTED_VALUE"""),"#N/A")</f>
        <v>#N/A</v>
      </c>
      <c r="BF189" s="674">
        <f>IFERROR(__xludf.DUMMYFUNCTION("""COMPUTED_VALUE"""),0.0)</f>
        <v>0</v>
      </c>
      <c r="BG189" s="673">
        <f>IFERROR(__xludf.DUMMYFUNCTION("""COMPUTED_VALUE"""),0.0)</f>
        <v>0</v>
      </c>
      <c r="BH189" s="673" t="str">
        <f>IFERROR(__xludf.DUMMYFUNCTION("""COMPUTED_VALUE"""),"#N/A")</f>
        <v>#N/A</v>
      </c>
      <c r="BI189" s="673" t="str">
        <f>IFERROR(__xludf.DUMMYFUNCTION("""COMPUTED_VALUE"""),"#N/A")</f>
        <v>#N/A</v>
      </c>
      <c r="BJ189" s="673">
        <f>IFERROR(__xludf.DUMMYFUNCTION("""COMPUTED_VALUE"""),0.0)</f>
        <v>0</v>
      </c>
      <c r="BK189" s="673">
        <f>IFERROR(__xludf.DUMMYFUNCTION("""COMPUTED_VALUE"""),0.0)</f>
        <v>0</v>
      </c>
      <c r="BL189" s="673" t="str">
        <f>IFERROR(__xludf.DUMMYFUNCTION("""COMPUTED_VALUE"""),"#N/A")</f>
        <v>#N/A</v>
      </c>
      <c r="BM189" s="674" t="str">
        <f>IFERROR(__xludf.DUMMYFUNCTION("""COMPUTED_VALUE"""),"#N/A")</f>
        <v>#N/A</v>
      </c>
      <c r="BN189" s="674" t="str">
        <f>IFERROR(__xludf.DUMMYFUNCTION("""COMPUTED_VALUE"""),"#N/A")</f>
        <v>#N/A</v>
      </c>
      <c r="BO189" s="675">
        <f>IFERROR(__xludf.DUMMYFUNCTION("""COMPUTED_VALUE"""),0.0)</f>
        <v>0</v>
      </c>
      <c r="BP189" s="675" t="str">
        <f>IFERROR(__xludf.DUMMYFUNCTION("""COMPUTED_VALUE"""),"#N/A")</f>
        <v>#N/A</v>
      </c>
      <c r="BQ189" s="139"/>
      <c r="BR189" s="139" t="str">
        <f>IFERROR(__xludf.DUMMYFUNCTION("""COMPUTED_VALUE"""),"#N/A")</f>
        <v>#N/A</v>
      </c>
      <c r="BS189" s="139" t="str">
        <f>IFERROR(__xludf.DUMMYFUNCTION("""COMPUTED_VALUE"""),"※移動を入力！(BV列)")</f>
        <v>※移動を入力！(BV列)</v>
      </c>
      <c r="BT189" s="139" t="str">
        <f>IFERROR(__xludf.DUMMYFUNCTION("""COMPUTED_VALUE"""),"※攻撃手段を入力(BQ列)")</f>
        <v>※攻撃手段を入力(BQ列)</v>
      </c>
      <c r="BU189" s="139">
        <f>IFERROR(__xludf.DUMMYFUNCTION("""COMPUTED_VALUE"""),0.0)</f>
        <v>0</v>
      </c>
      <c r="BV189" s="139"/>
      <c r="BW189" s="139"/>
      <c r="BX189" s="139" t="str">
        <f>IFERROR(__xludf.DUMMYFUNCTION("""COMPUTED_VALUE"""),"※特性を選択!!(BW列)")</f>
        <v>※特性を選択!!(BW列)</v>
      </c>
      <c r="BY189" s="139" t="str">
        <f>IFERROR(__xludf.DUMMYFUNCTION("""COMPUTED_VALUE"""),"#N/A")</f>
        <v>#N/A</v>
      </c>
      <c r="BZ189" s="139"/>
      <c r="CA189" s="139" t="str">
        <f>IFERROR(__xludf.DUMMYFUNCTION("""COMPUTED_VALUE"""),"※特性を選択!!(BW列)")</f>
        <v>※特性を選択!!(BW列)</v>
      </c>
      <c r="CB189" s="139" t="str">
        <f>IFERROR(__xludf.DUMMYFUNCTION("""COMPUTED_VALUE"""),"#N/A")</f>
        <v>#N/A</v>
      </c>
      <c r="CC189" s="139" t="str">
        <f>IFERROR(__xludf.DUMMYFUNCTION("""COMPUTED_VALUE"""),"該当なし")</f>
        <v>該当なし</v>
      </c>
      <c r="CD189" s="139"/>
      <c r="CE189" s="139" t="str">
        <f>IFERROR(__xludf.DUMMYFUNCTION("""COMPUTED_VALUE"""),"#N/A")</f>
        <v>#N/A</v>
      </c>
      <c r="CF189" s="139" t="str">
        <f>IFERROR(__xludf.DUMMYFUNCTION("""COMPUTED_VALUE"""),"#VALUE!")</f>
        <v>#VALUE!</v>
      </c>
      <c r="CG189" s="139"/>
      <c r="CH189" s="139"/>
      <c r="CI189" s="139" t="str">
        <f>IFERROR(__xludf.DUMMYFUNCTION("""COMPUTED_VALUE"""),"#N/A")</f>
        <v>#N/A</v>
      </c>
      <c r="CJ189" s="139" t="str">
        <f>IFERROR(__xludf.DUMMYFUNCTION("""COMPUTED_VALUE"""),"#VALUE!")</f>
        <v>#VALUE!</v>
      </c>
      <c r="CK189" s="139"/>
      <c r="CL189" s="139"/>
      <c r="CM189" s="139"/>
      <c r="CN189" s="675" t="str">
        <f>IFERROR(__xludf.DUMMYFUNCTION("""COMPUTED_VALUE"""),"#N/A")</f>
        <v>#N/A</v>
      </c>
      <c r="CO189" s="139" t="str">
        <f>IFERROR(__xludf.DUMMYFUNCTION("""COMPUTED_VALUE"""),"-")</f>
        <v>-</v>
      </c>
      <c r="CP189" s="139" t="str">
        <f>IFERROR(__xludf.DUMMYFUNCTION("""COMPUTED_VALUE"""),"-")</f>
        <v>-</v>
      </c>
      <c r="CQ189" s="139" t="str">
        <f>IFERROR(__xludf.DUMMYFUNCTION("""COMPUTED_VALUE"""),"#N/A")</f>
        <v>#N/A</v>
      </c>
      <c r="CR189" s="139"/>
      <c r="CS189" s="139"/>
      <c r="CT189" s="139"/>
      <c r="CU189" s="139"/>
      <c r="CV189" s="139"/>
      <c r="CW189" s="139"/>
      <c r="CX189" s="674" t="str">
        <f>IFERROR(__xludf.DUMMYFUNCTION("""COMPUTED_VALUE"""),"")</f>
        <v/>
      </c>
      <c r="CY189" s="675" t="str">
        <f>IFERROR(__xludf.DUMMYFUNCTION("""COMPUTED_VALUE"""),"")</f>
        <v/>
      </c>
      <c r="CZ189" s="688" t="str">
        <f>IFERROR(__xludf.DUMMYFUNCTION("""COMPUTED_VALUE"""),"-")</f>
        <v>-</v>
      </c>
      <c r="DA189" s="688">
        <f>IFERROR(__xludf.DUMMYFUNCTION("""COMPUTED_VALUE"""),0.0)</f>
        <v>0</v>
      </c>
      <c r="DB189" s="688">
        <f>IFERROR(__xludf.DUMMYFUNCTION("""COMPUTED_VALUE"""),0.0)</f>
        <v>0</v>
      </c>
      <c r="DC189" s="673" t="str">
        <f>IFERROR(__xludf.DUMMYFUNCTION("""COMPUTED_VALUE"""),"-")</f>
        <v>-</v>
      </c>
      <c r="DD189" s="673" t="str">
        <f>IFERROR(__xludf.DUMMYFUNCTION("""COMPUTED_VALUE"""),"-")</f>
        <v>-</v>
      </c>
      <c r="DE189" s="139" t="str">
        <f>IFERROR(__xludf.DUMMYFUNCTION("""COMPUTED_VALUE"""),"-")</f>
        <v>-</v>
      </c>
      <c r="DF189" s="139" t="str">
        <f>IFERROR(__xludf.DUMMYFUNCTION("""COMPUTED_VALUE"""),"-")</f>
        <v>-</v>
      </c>
      <c r="DG189" s="139" t="str">
        <f>IFERROR(__xludf.DUMMYFUNCTION("""COMPUTED_VALUE"""),"-")</f>
        <v>-</v>
      </c>
      <c r="DH189" s="139" t="str">
        <f>IFERROR(__xludf.DUMMYFUNCTION("""COMPUTED_VALUE"""),"-")</f>
        <v>-</v>
      </c>
      <c r="DI189" s="139" t="str">
        <f>IFERROR(__xludf.DUMMYFUNCTION("""COMPUTED_VALUE"""),"-")</f>
        <v>-</v>
      </c>
      <c r="DJ189" s="139" t="str">
        <f>IFERROR(__xludf.DUMMYFUNCTION("""COMPUTED_VALUE"""),"-")</f>
        <v>-</v>
      </c>
    </row>
    <row r="190">
      <c r="A190" s="139" t="str">
        <f>IFERROR(__xludf.DUMMYFUNCTION("""COMPUTED_VALUE"""),"該当なし")</f>
        <v>該当なし</v>
      </c>
      <c r="B190" s="139" t="str">
        <f>IFERROR(__xludf.DUMMYFUNCTION("""COMPUTED_VALUE"""),"該当なし")</f>
        <v>該当なし</v>
      </c>
      <c r="C190" s="139"/>
      <c r="D190" s="139" t="str">
        <f>IFERROR(__xludf.DUMMYFUNCTION("""COMPUTED_VALUE"""),"#N/A")</f>
        <v>#N/A</v>
      </c>
      <c r="E190" s="139" t="str">
        <f>IFERROR(__xludf.DUMMYFUNCTION("""COMPUTED_VALUE"""),"#N/A")</f>
        <v>#N/A</v>
      </c>
      <c r="F190" s="139" t="str">
        <f>IFERROR(__xludf.DUMMYFUNCTION("""COMPUTED_VALUE"""),"#N/A")</f>
        <v>#N/A</v>
      </c>
      <c r="G190" s="139" t="str">
        <f>IFERROR(__xludf.DUMMYFUNCTION("""COMPUTED_VALUE"""),"該当なし")</f>
        <v>該当なし</v>
      </c>
      <c r="H190" s="139" t="str">
        <f>IFERROR(__xludf.DUMMYFUNCTION("""COMPUTED_VALUE"""),"#N/A")</f>
        <v>#N/A</v>
      </c>
      <c r="I190" s="139" t="str">
        <f>IFERROR(__xludf.DUMMYFUNCTION("""COMPUTED_VALUE"""),"#N/A")</f>
        <v>#N/A</v>
      </c>
      <c r="J190" s="139" t="str">
        <f>IFERROR(__xludf.DUMMYFUNCTION("""COMPUTED_VALUE"""),"#N/A")</f>
        <v>#N/A</v>
      </c>
      <c r="K190" s="139" t="str">
        <f>IFERROR(__xludf.DUMMYFUNCTION("""COMPUTED_VALUE"""),"#N/A")</f>
        <v>#N/A</v>
      </c>
      <c r="L190" s="139" t="str">
        <f>IFERROR(__xludf.DUMMYFUNCTION("""COMPUTED_VALUE"""),"※")</f>
        <v>※</v>
      </c>
      <c r="M190" s="674">
        <f>IFERROR(__xludf.DUMMYFUNCTION("""COMPUTED_VALUE"""),0.0)</f>
        <v>0</v>
      </c>
      <c r="N190" s="139">
        <f>IFERROR(__xludf.DUMMYFUNCTION("""COMPUTED_VALUE"""),0.0)</f>
        <v>0</v>
      </c>
      <c r="O190" s="139"/>
      <c r="P190" s="139">
        <f>IFERROR(__xludf.DUMMYFUNCTION("""COMPUTED_VALUE"""),0.0)</f>
        <v>0</v>
      </c>
      <c r="Q190" s="675">
        <f>IFERROR(__xludf.DUMMYFUNCTION("""COMPUTED_VALUE"""),0.0)</f>
        <v>0</v>
      </c>
      <c r="R190" s="675">
        <f>IFERROR(__xludf.DUMMYFUNCTION("""COMPUTED_VALUE"""),0.0)</f>
        <v>0</v>
      </c>
      <c r="S190" s="675">
        <f>IFERROR(__xludf.DUMMYFUNCTION("""COMPUTED_VALUE"""),-2.5)</f>
        <v>-2.5</v>
      </c>
      <c r="T190" s="674" t="str">
        <f>IFERROR(__xludf.DUMMYFUNCTION("""COMPUTED_VALUE"""),"#N/A")</f>
        <v>#N/A</v>
      </c>
      <c r="U190" s="675" t="str">
        <f>IFERROR(__xludf.DUMMYFUNCTION("""COMPUTED_VALUE"""),"#N/A")</f>
        <v>#N/A</v>
      </c>
      <c r="V190" s="675">
        <f>IFERROR(__xludf.DUMMYFUNCTION("""COMPUTED_VALUE"""),0.0)</f>
        <v>0</v>
      </c>
      <c r="W190" s="675" t="str">
        <f>IFERROR(__xludf.DUMMYFUNCTION("""COMPUTED_VALUE"""),"#N/A")</f>
        <v>#N/A</v>
      </c>
      <c r="X190" s="675">
        <f>IFERROR(__xludf.DUMMYFUNCTION("""COMPUTED_VALUE"""),0.0)</f>
        <v>0</v>
      </c>
      <c r="Y190" s="674" t="str">
        <f>IFERROR(__xludf.DUMMYFUNCTION("""COMPUTED_VALUE"""),"#N/A")</f>
        <v>#N/A</v>
      </c>
      <c r="Z190" s="675" t="str">
        <f>IFERROR(__xludf.DUMMYFUNCTION("""COMPUTED_VALUE"""),"#N/A")</f>
        <v>#N/A</v>
      </c>
      <c r="AA190" s="675">
        <f>IFERROR(__xludf.DUMMYFUNCTION("""COMPUTED_VALUE"""),0.0)</f>
        <v>0</v>
      </c>
      <c r="AB190" s="673" t="str">
        <f>IFERROR(__xludf.DUMMYFUNCTION("""COMPUTED_VALUE"""),"#N/A")</f>
        <v>#N/A</v>
      </c>
      <c r="AC190" s="675">
        <f>IFERROR(__xludf.DUMMYFUNCTION("""COMPUTED_VALUE"""),0.0)</f>
        <v>0</v>
      </c>
      <c r="AD190" s="674" t="str">
        <f>IFERROR(__xludf.DUMMYFUNCTION("""COMPUTED_VALUE"""),"#N/A")</f>
        <v>#N/A</v>
      </c>
      <c r="AE190" s="675" t="str">
        <f>IFERROR(__xludf.DUMMYFUNCTION("""COMPUTED_VALUE"""),"#N/A")</f>
        <v>#N/A</v>
      </c>
      <c r="AF190" s="675">
        <f>IFERROR(__xludf.DUMMYFUNCTION("""COMPUTED_VALUE"""),0.0)</f>
        <v>0</v>
      </c>
      <c r="AG190" s="675">
        <f>IFERROR(__xludf.DUMMYFUNCTION("""COMPUTED_VALUE"""),0.0)</f>
        <v>0</v>
      </c>
      <c r="AH190" s="675" t="str">
        <f>IFERROR(__xludf.DUMMYFUNCTION("""COMPUTED_VALUE"""),"#N/A")</f>
        <v>#N/A</v>
      </c>
      <c r="AI190" s="139" t="str">
        <f>IFERROR(__xludf.DUMMYFUNCTION("""COMPUTED_VALUE"""),"#N/A")</f>
        <v>#N/A</v>
      </c>
      <c r="AJ190" s="675" t="str">
        <f>IFERROR(__xludf.DUMMYFUNCTION("""COMPUTED_VALUE"""),"#N/A")</f>
        <v>#N/A</v>
      </c>
      <c r="AK190" s="139" t="str">
        <f>IFERROR(__xludf.DUMMYFUNCTION("""COMPUTED_VALUE"""),"#N/A")</f>
        <v>#N/A</v>
      </c>
      <c r="AL190" s="674" t="str">
        <f>IFERROR(__xludf.DUMMYFUNCTION("""COMPUTED_VALUE"""),"#N/A")</f>
        <v>#N/A</v>
      </c>
      <c r="AM190" s="688" t="str">
        <f>IFERROR(__xludf.DUMMYFUNCTION("""COMPUTED_VALUE"""),"#N/A")</f>
        <v>#N/A</v>
      </c>
      <c r="AN190" s="675" t="str">
        <f>IFERROR(__xludf.DUMMYFUNCTION("""COMPUTED_VALUE"""),"#N/A")</f>
        <v>#N/A</v>
      </c>
      <c r="AO190" s="675" t="str">
        <f>IFERROR(__xludf.DUMMYFUNCTION("""COMPUTED_VALUE"""),"#N/A")</f>
        <v>#N/A</v>
      </c>
      <c r="AP190" s="674">
        <f>IFERROR(__xludf.DUMMYFUNCTION("""COMPUTED_VALUE"""),0.0)</f>
        <v>0</v>
      </c>
      <c r="AQ190" s="673" t="str">
        <f>IFERROR(__xludf.DUMMYFUNCTION("""COMPUTED_VALUE"""),"#N/A")</f>
        <v>#N/A</v>
      </c>
      <c r="AR190" s="673">
        <f>IFERROR(__xludf.DUMMYFUNCTION("""COMPUTED_VALUE"""),0.0)</f>
        <v>0</v>
      </c>
      <c r="AS190" s="673">
        <f>IFERROR(__xludf.DUMMYFUNCTION("""COMPUTED_VALUE"""),0.0)</f>
        <v>0</v>
      </c>
      <c r="AT190" s="673">
        <f>IFERROR(__xludf.DUMMYFUNCTION("""COMPUTED_VALUE"""),0.0)</f>
        <v>0</v>
      </c>
      <c r="AU190" s="675" t="str">
        <f>IFERROR(__xludf.DUMMYFUNCTION("""COMPUTED_VALUE"""),"#N/A")</f>
        <v>#N/A</v>
      </c>
      <c r="AV190" s="675">
        <f>IFERROR(__xludf.DUMMYFUNCTION("""COMPUTED_VALUE"""),0.0)</f>
        <v>0</v>
      </c>
      <c r="AW190" s="139"/>
      <c r="AX190" s="674" t="str">
        <f>IFERROR(__xludf.DUMMYFUNCTION("""COMPUTED_VALUE"""),"※通常攻撃範囲を入力！(CD列)")</f>
        <v>※通常攻撃範囲を入力！(CD列)</v>
      </c>
      <c r="AY190" s="688" t="str">
        <f>IFERROR(__xludf.DUMMYFUNCTION("""COMPUTED_VALUE"""),"#VALUE!")</f>
        <v>#VALUE!</v>
      </c>
      <c r="AZ190" s="674" t="str">
        <f>IFERROR(__xludf.DUMMYFUNCTION("""COMPUTED_VALUE"""),"#N/A")</f>
        <v>#N/A</v>
      </c>
      <c r="BA190" s="688" t="str">
        <f>IFERROR(__xludf.DUMMYFUNCTION("""COMPUTED_VALUE"""),"#VALUE!")</f>
        <v>#VALUE!</v>
      </c>
      <c r="BB190" s="688" t="str">
        <f>IFERROR(__xludf.DUMMYFUNCTION("""COMPUTED_VALUE"""),"-")</f>
        <v>-</v>
      </c>
      <c r="BC190" s="688" t="str">
        <f>IFERROR(__xludf.DUMMYFUNCTION("""COMPUTED_VALUE"""),"#N/A")</f>
        <v>#N/A</v>
      </c>
      <c r="BD190" s="688" t="str">
        <f>IFERROR(__xludf.DUMMYFUNCTION("""COMPUTED_VALUE"""),"#VALUE!")</f>
        <v>#VALUE!</v>
      </c>
      <c r="BE190" s="674" t="str">
        <f>IFERROR(__xludf.DUMMYFUNCTION("""COMPUTED_VALUE"""),"#N/A")</f>
        <v>#N/A</v>
      </c>
      <c r="BF190" s="674">
        <f>IFERROR(__xludf.DUMMYFUNCTION("""COMPUTED_VALUE"""),0.0)</f>
        <v>0</v>
      </c>
      <c r="BG190" s="673">
        <f>IFERROR(__xludf.DUMMYFUNCTION("""COMPUTED_VALUE"""),0.0)</f>
        <v>0</v>
      </c>
      <c r="BH190" s="673" t="str">
        <f>IFERROR(__xludf.DUMMYFUNCTION("""COMPUTED_VALUE"""),"#N/A")</f>
        <v>#N/A</v>
      </c>
      <c r="BI190" s="673" t="str">
        <f>IFERROR(__xludf.DUMMYFUNCTION("""COMPUTED_VALUE"""),"#N/A")</f>
        <v>#N/A</v>
      </c>
      <c r="BJ190" s="673">
        <f>IFERROR(__xludf.DUMMYFUNCTION("""COMPUTED_VALUE"""),0.0)</f>
        <v>0</v>
      </c>
      <c r="BK190" s="673">
        <f>IFERROR(__xludf.DUMMYFUNCTION("""COMPUTED_VALUE"""),0.0)</f>
        <v>0</v>
      </c>
      <c r="BL190" s="673" t="str">
        <f>IFERROR(__xludf.DUMMYFUNCTION("""COMPUTED_VALUE"""),"#N/A")</f>
        <v>#N/A</v>
      </c>
      <c r="BM190" s="674" t="str">
        <f>IFERROR(__xludf.DUMMYFUNCTION("""COMPUTED_VALUE"""),"#N/A")</f>
        <v>#N/A</v>
      </c>
      <c r="BN190" s="674" t="str">
        <f>IFERROR(__xludf.DUMMYFUNCTION("""COMPUTED_VALUE"""),"#N/A")</f>
        <v>#N/A</v>
      </c>
      <c r="BO190" s="675">
        <f>IFERROR(__xludf.DUMMYFUNCTION("""COMPUTED_VALUE"""),0.0)</f>
        <v>0</v>
      </c>
      <c r="BP190" s="675" t="str">
        <f>IFERROR(__xludf.DUMMYFUNCTION("""COMPUTED_VALUE"""),"#N/A")</f>
        <v>#N/A</v>
      </c>
      <c r="BQ190" s="139"/>
      <c r="BR190" s="139" t="str">
        <f>IFERROR(__xludf.DUMMYFUNCTION("""COMPUTED_VALUE"""),"#N/A")</f>
        <v>#N/A</v>
      </c>
      <c r="BS190" s="139" t="str">
        <f>IFERROR(__xludf.DUMMYFUNCTION("""COMPUTED_VALUE"""),"※移動を入力！(BV列)")</f>
        <v>※移動を入力！(BV列)</v>
      </c>
      <c r="BT190" s="139" t="str">
        <f>IFERROR(__xludf.DUMMYFUNCTION("""COMPUTED_VALUE"""),"※攻撃手段を入力(BQ列)")</f>
        <v>※攻撃手段を入力(BQ列)</v>
      </c>
      <c r="BU190" s="139">
        <f>IFERROR(__xludf.DUMMYFUNCTION("""COMPUTED_VALUE"""),0.0)</f>
        <v>0</v>
      </c>
      <c r="BV190" s="139"/>
      <c r="BW190" s="139"/>
      <c r="BX190" s="139" t="str">
        <f>IFERROR(__xludf.DUMMYFUNCTION("""COMPUTED_VALUE"""),"※特性を選択!!(BW列)")</f>
        <v>※特性を選択!!(BW列)</v>
      </c>
      <c r="BY190" s="139" t="str">
        <f>IFERROR(__xludf.DUMMYFUNCTION("""COMPUTED_VALUE"""),"#N/A")</f>
        <v>#N/A</v>
      </c>
      <c r="BZ190" s="139"/>
      <c r="CA190" s="139" t="str">
        <f>IFERROR(__xludf.DUMMYFUNCTION("""COMPUTED_VALUE"""),"※特性を選択!!(BW列)")</f>
        <v>※特性を選択!!(BW列)</v>
      </c>
      <c r="CB190" s="139" t="str">
        <f>IFERROR(__xludf.DUMMYFUNCTION("""COMPUTED_VALUE"""),"#N/A")</f>
        <v>#N/A</v>
      </c>
      <c r="CC190" s="139" t="str">
        <f>IFERROR(__xludf.DUMMYFUNCTION("""COMPUTED_VALUE"""),"該当なし")</f>
        <v>該当なし</v>
      </c>
      <c r="CD190" s="139"/>
      <c r="CE190" s="139" t="str">
        <f>IFERROR(__xludf.DUMMYFUNCTION("""COMPUTED_VALUE"""),"#N/A")</f>
        <v>#N/A</v>
      </c>
      <c r="CF190" s="139" t="str">
        <f>IFERROR(__xludf.DUMMYFUNCTION("""COMPUTED_VALUE"""),"#VALUE!")</f>
        <v>#VALUE!</v>
      </c>
      <c r="CG190" s="139"/>
      <c r="CH190" s="139"/>
      <c r="CI190" s="139" t="str">
        <f>IFERROR(__xludf.DUMMYFUNCTION("""COMPUTED_VALUE"""),"#N/A")</f>
        <v>#N/A</v>
      </c>
      <c r="CJ190" s="139" t="str">
        <f>IFERROR(__xludf.DUMMYFUNCTION("""COMPUTED_VALUE"""),"#VALUE!")</f>
        <v>#VALUE!</v>
      </c>
      <c r="CK190" s="139"/>
      <c r="CL190" s="139"/>
      <c r="CM190" s="139"/>
      <c r="CN190" s="675" t="str">
        <f>IFERROR(__xludf.DUMMYFUNCTION("""COMPUTED_VALUE"""),"#N/A")</f>
        <v>#N/A</v>
      </c>
      <c r="CO190" s="139" t="str">
        <f>IFERROR(__xludf.DUMMYFUNCTION("""COMPUTED_VALUE"""),"-")</f>
        <v>-</v>
      </c>
      <c r="CP190" s="139" t="str">
        <f>IFERROR(__xludf.DUMMYFUNCTION("""COMPUTED_VALUE"""),"-")</f>
        <v>-</v>
      </c>
      <c r="CQ190" s="139" t="str">
        <f>IFERROR(__xludf.DUMMYFUNCTION("""COMPUTED_VALUE"""),"#N/A")</f>
        <v>#N/A</v>
      </c>
      <c r="CR190" s="139"/>
      <c r="CS190" s="139"/>
      <c r="CT190" s="139"/>
      <c r="CU190" s="139"/>
      <c r="CV190" s="139"/>
      <c r="CW190" s="139"/>
      <c r="CX190" s="674" t="str">
        <f>IFERROR(__xludf.DUMMYFUNCTION("""COMPUTED_VALUE"""),"")</f>
        <v/>
      </c>
      <c r="CY190" s="675" t="str">
        <f>IFERROR(__xludf.DUMMYFUNCTION("""COMPUTED_VALUE"""),"")</f>
        <v/>
      </c>
      <c r="CZ190" s="688" t="str">
        <f>IFERROR(__xludf.DUMMYFUNCTION("""COMPUTED_VALUE"""),"-")</f>
        <v>-</v>
      </c>
      <c r="DA190" s="688">
        <f>IFERROR(__xludf.DUMMYFUNCTION("""COMPUTED_VALUE"""),0.0)</f>
        <v>0</v>
      </c>
      <c r="DB190" s="688">
        <f>IFERROR(__xludf.DUMMYFUNCTION("""COMPUTED_VALUE"""),0.0)</f>
        <v>0</v>
      </c>
      <c r="DC190" s="673" t="str">
        <f>IFERROR(__xludf.DUMMYFUNCTION("""COMPUTED_VALUE"""),"-")</f>
        <v>-</v>
      </c>
      <c r="DD190" s="673" t="str">
        <f>IFERROR(__xludf.DUMMYFUNCTION("""COMPUTED_VALUE"""),"-")</f>
        <v>-</v>
      </c>
      <c r="DE190" s="139" t="str">
        <f>IFERROR(__xludf.DUMMYFUNCTION("""COMPUTED_VALUE"""),"-")</f>
        <v>-</v>
      </c>
      <c r="DF190" s="139" t="str">
        <f>IFERROR(__xludf.DUMMYFUNCTION("""COMPUTED_VALUE"""),"-")</f>
        <v>-</v>
      </c>
      <c r="DG190" s="139" t="str">
        <f>IFERROR(__xludf.DUMMYFUNCTION("""COMPUTED_VALUE"""),"-")</f>
        <v>-</v>
      </c>
      <c r="DH190" s="139" t="str">
        <f>IFERROR(__xludf.DUMMYFUNCTION("""COMPUTED_VALUE"""),"-")</f>
        <v>-</v>
      </c>
      <c r="DI190" s="139" t="str">
        <f>IFERROR(__xludf.DUMMYFUNCTION("""COMPUTED_VALUE"""),"-")</f>
        <v>-</v>
      </c>
      <c r="DJ190" s="139" t="str">
        <f>IFERROR(__xludf.DUMMYFUNCTION("""COMPUTED_VALUE"""),"-")</f>
        <v>-</v>
      </c>
    </row>
    <row r="191">
      <c r="A191" s="139" t="str">
        <f>IFERROR(__xludf.DUMMYFUNCTION("""COMPUTED_VALUE"""),"該当なし")</f>
        <v>該当なし</v>
      </c>
      <c r="B191" s="139" t="str">
        <f>IFERROR(__xludf.DUMMYFUNCTION("""COMPUTED_VALUE"""),"該当なし")</f>
        <v>該当なし</v>
      </c>
      <c r="C191" s="139"/>
      <c r="D191" s="139" t="str">
        <f>IFERROR(__xludf.DUMMYFUNCTION("""COMPUTED_VALUE"""),"#N/A")</f>
        <v>#N/A</v>
      </c>
      <c r="E191" s="139" t="str">
        <f>IFERROR(__xludf.DUMMYFUNCTION("""COMPUTED_VALUE"""),"#N/A")</f>
        <v>#N/A</v>
      </c>
      <c r="F191" s="139" t="str">
        <f>IFERROR(__xludf.DUMMYFUNCTION("""COMPUTED_VALUE"""),"#N/A")</f>
        <v>#N/A</v>
      </c>
      <c r="G191" s="139" t="str">
        <f>IFERROR(__xludf.DUMMYFUNCTION("""COMPUTED_VALUE"""),"該当なし")</f>
        <v>該当なし</v>
      </c>
      <c r="H191" s="139" t="str">
        <f>IFERROR(__xludf.DUMMYFUNCTION("""COMPUTED_VALUE"""),"#N/A")</f>
        <v>#N/A</v>
      </c>
      <c r="I191" s="139" t="str">
        <f>IFERROR(__xludf.DUMMYFUNCTION("""COMPUTED_VALUE"""),"#N/A")</f>
        <v>#N/A</v>
      </c>
      <c r="J191" s="139" t="str">
        <f>IFERROR(__xludf.DUMMYFUNCTION("""COMPUTED_VALUE"""),"#N/A")</f>
        <v>#N/A</v>
      </c>
      <c r="K191" s="139" t="str">
        <f>IFERROR(__xludf.DUMMYFUNCTION("""COMPUTED_VALUE"""),"#N/A")</f>
        <v>#N/A</v>
      </c>
      <c r="L191" s="139" t="str">
        <f>IFERROR(__xludf.DUMMYFUNCTION("""COMPUTED_VALUE"""),"※")</f>
        <v>※</v>
      </c>
      <c r="M191" s="674">
        <f>IFERROR(__xludf.DUMMYFUNCTION("""COMPUTED_VALUE"""),0.0)</f>
        <v>0</v>
      </c>
      <c r="N191" s="139">
        <f>IFERROR(__xludf.DUMMYFUNCTION("""COMPUTED_VALUE"""),0.0)</f>
        <v>0</v>
      </c>
      <c r="O191" s="139"/>
      <c r="P191" s="139">
        <f>IFERROR(__xludf.DUMMYFUNCTION("""COMPUTED_VALUE"""),0.0)</f>
        <v>0</v>
      </c>
      <c r="Q191" s="675">
        <f>IFERROR(__xludf.DUMMYFUNCTION("""COMPUTED_VALUE"""),0.0)</f>
        <v>0</v>
      </c>
      <c r="R191" s="675">
        <f>IFERROR(__xludf.DUMMYFUNCTION("""COMPUTED_VALUE"""),0.0)</f>
        <v>0</v>
      </c>
      <c r="S191" s="675">
        <f>IFERROR(__xludf.DUMMYFUNCTION("""COMPUTED_VALUE"""),-2.5)</f>
        <v>-2.5</v>
      </c>
      <c r="T191" s="674" t="str">
        <f>IFERROR(__xludf.DUMMYFUNCTION("""COMPUTED_VALUE"""),"#N/A")</f>
        <v>#N/A</v>
      </c>
      <c r="U191" s="675" t="str">
        <f>IFERROR(__xludf.DUMMYFUNCTION("""COMPUTED_VALUE"""),"#N/A")</f>
        <v>#N/A</v>
      </c>
      <c r="V191" s="675">
        <f>IFERROR(__xludf.DUMMYFUNCTION("""COMPUTED_VALUE"""),0.0)</f>
        <v>0</v>
      </c>
      <c r="W191" s="675" t="str">
        <f>IFERROR(__xludf.DUMMYFUNCTION("""COMPUTED_VALUE"""),"#N/A")</f>
        <v>#N/A</v>
      </c>
      <c r="X191" s="675">
        <f>IFERROR(__xludf.DUMMYFUNCTION("""COMPUTED_VALUE"""),0.0)</f>
        <v>0</v>
      </c>
      <c r="Y191" s="674" t="str">
        <f>IFERROR(__xludf.DUMMYFUNCTION("""COMPUTED_VALUE"""),"#N/A")</f>
        <v>#N/A</v>
      </c>
      <c r="Z191" s="675" t="str">
        <f>IFERROR(__xludf.DUMMYFUNCTION("""COMPUTED_VALUE"""),"#N/A")</f>
        <v>#N/A</v>
      </c>
      <c r="AA191" s="675">
        <f>IFERROR(__xludf.DUMMYFUNCTION("""COMPUTED_VALUE"""),0.0)</f>
        <v>0</v>
      </c>
      <c r="AB191" s="673" t="str">
        <f>IFERROR(__xludf.DUMMYFUNCTION("""COMPUTED_VALUE"""),"#N/A")</f>
        <v>#N/A</v>
      </c>
      <c r="AC191" s="675">
        <f>IFERROR(__xludf.DUMMYFUNCTION("""COMPUTED_VALUE"""),0.0)</f>
        <v>0</v>
      </c>
      <c r="AD191" s="674" t="str">
        <f>IFERROR(__xludf.DUMMYFUNCTION("""COMPUTED_VALUE"""),"#N/A")</f>
        <v>#N/A</v>
      </c>
      <c r="AE191" s="675" t="str">
        <f>IFERROR(__xludf.DUMMYFUNCTION("""COMPUTED_VALUE"""),"#N/A")</f>
        <v>#N/A</v>
      </c>
      <c r="AF191" s="675">
        <f>IFERROR(__xludf.DUMMYFUNCTION("""COMPUTED_VALUE"""),0.0)</f>
        <v>0</v>
      </c>
      <c r="AG191" s="675">
        <f>IFERROR(__xludf.DUMMYFUNCTION("""COMPUTED_VALUE"""),0.0)</f>
        <v>0</v>
      </c>
      <c r="AH191" s="675" t="str">
        <f>IFERROR(__xludf.DUMMYFUNCTION("""COMPUTED_VALUE"""),"#N/A")</f>
        <v>#N/A</v>
      </c>
      <c r="AI191" s="139" t="str">
        <f>IFERROR(__xludf.DUMMYFUNCTION("""COMPUTED_VALUE"""),"#N/A")</f>
        <v>#N/A</v>
      </c>
      <c r="AJ191" s="675" t="str">
        <f>IFERROR(__xludf.DUMMYFUNCTION("""COMPUTED_VALUE"""),"#N/A")</f>
        <v>#N/A</v>
      </c>
      <c r="AK191" s="139" t="str">
        <f>IFERROR(__xludf.DUMMYFUNCTION("""COMPUTED_VALUE"""),"#N/A")</f>
        <v>#N/A</v>
      </c>
      <c r="AL191" s="674" t="str">
        <f>IFERROR(__xludf.DUMMYFUNCTION("""COMPUTED_VALUE"""),"#N/A")</f>
        <v>#N/A</v>
      </c>
      <c r="AM191" s="688" t="str">
        <f>IFERROR(__xludf.DUMMYFUNCTION("""COMPUTED_VALUE"""),"#N/A")</f>
        <v>#N/A</v>
      </c>
      <c r="AN191" s="675" t="str">
        <f>IFERROR(__xludf.DUMMYFUNCTION("""COMPUTED_VALUE"""),"#N/A")</f>
        <v>#N/A</v>
      </c>
      <c r="AO191" s="675" t="str">
        <f>IFERROR(__xludf.DUMMYFUNCTION("""COMPUTED_VALUE"""),"#N/A")</f>
        <v>#N/A</v>
      </c>
      <c r="AP191" s="674">
        <f>IFERROR(__xludf.DUMMYFUNCTION("""COMPUTED_VALUE"""),0.0)</f>
        <v>0</v>
      </c>
      <c r="AQ191" s="673" t="str">
        <f>IFERROR(__xludf.DUMMYFUNCTION("""COMPUTED_VALUE"""),"#N/A")</f>
        <v>#N/A</v>
      </c>
      <c r="AR191" s="673">
        <f>IFERROR(__xludf.DUMMYFUNCTION("""COMPUTED_VALUE"""),0.0)</f>
        <v>0</v>
      </c>
      <c r="AS191" s="673">
        <f>IFERROR(__xludf.DUMMYFUNCTION("""COMPUTED_VALUE"""),0.0)</f>
        <v>0</v>
      </c>
      <c r="AT191" s="673">
        <f>IFERROR(__xludf.DUMMYFUNCTION("""COMPUTED_VALUE"""),0.0)</f>
        <v>0</v>
      </c>
      <c r="AU191" s="675" t="str">
        <f>IFERROR(__xludf.DUMMYFUNCTION("""COMPUTED_VALUE"""),"#N/A")</f>
        <v>#N/A</v>
      </c>
      <c r="AV191" s="675">
        <f>IFERROR(__xludf.DUMMYFUNCTION("""COMPUTED_VALUE"""),0.0)</f>
        <v>0</v>
      </c>
      <c r="AW191" s="139"/>
      <c r="AX191" s="674" t="str">
        <f>IFERROR(__xludf.DUMMYFUNCTION("""COMPUTED_VALUE"""),"※通常攻撃範囲を入力！(CD列)")</f>
        <v>※通常攻撃範囲を入力！(CD列)</v>
      </c>
      <c r="AY191" s="688" t="str">
        <f>IFERROR(__xludf.DUMMYFUNCTION("""COMPUTED_VALUE"""),"#VALUE!")</f>
        <v>#VALUE!</v>
      </c>
      <c r="AZ191" s="674" t="str">
        <f>IFERROR(__xludf.DUMMYFUNCTION("""COMPUTED_VALUE"""),"#N/A")</f>
        <v>#N/A</v>
      </c>
      <c r="BA191" s="688" t="str">
        <f>IFERROR(__xludf.DUMMYFUNCTION("""COMPUTED_VALUE"""),"#VALUE!")</f>
        <v>#VALUE!</v>
      </c>
      <c r="BB191" s="688" t="str">
        <f>IFERROR(__xludf.DUMMYFUNCTION("""COMPUTED_VALUE"""),"-")</f>
        <v>-</v>
      </c>
      <c r="BC191" s="688" t="str">
        <f>IFERROR(__xludf.DUMMYFUNCTION("""COMPUTED_VALUE"""),"#N/A")</f>
        <v>#N/A</v>
      </c>
      <c r="BD191" s="688" t="str">
        <f>IFERROR(__xludf.DUMMYFUNCTION("""COMPUTED_VALUE"""),"#VALUE!")</f>
        <v>#VALUE!</v>
      </c>
      <c r="BE191" s="674" t="str">
        <f>IFERROR(__xludf.DUMMYFUNCTION("""COMPUTED_VALUE"""),"#N/A")</f>
        <v>#N/A</v>
      </c>
      <c r="BF191" s="674">
        <f>IFERROR(__xludf.DUMMYFUNCTION("""COMPUTED_VALUE"""),0.0)</f>
        <v>0</v>
      </c>
      <c r="BG191" s="673">
        <f>IFERROR(__xludf.DUMMYFUNCTION("""COMPUTED_VALUE"""),0.0)</f>
        <v>0</v>
      </c>
      <c r="BH191" s="673" t="str">
        <f>IFERROR(__xludf.DUMMYFUNCTION("""COMPUTED_VALUE"""),"#N/A")</f>
        <v>#N/A</v>
      </c>
      <c r="BI191" s="673" t="str">
        <f>IFERROR(__xludf.DUMMYFUNCTION("""COMPUTED_VALUE"""),"#N/A")</f>
        <v>#N/A</v>
      </c>
      <c r="BJ191" s="673">
        <f>IFERROR(__xludf.DUMMYFUNCTION("""COMPUTED_VALUE"""),0.0)</f>
        <v>0</v>
      </c>
      <c r="BK191" s="673">
        <f>IFERROR(__xludf.DUMMYFUNCTION("""COMPUTED_VALUE"""),0.0)</f>
        <v>0</v>
      </c>
      <c r="BL191" s="673" t="str">
        <f>IFERROR(__xludf.DUMMYFUNCTION("""COMPUTED_VALUE"""),"#N/A")</f>
        <v>#N/A</v>
      </c>
      <c r="BM191" s="674" t="str">
        <f>IFERROR(__xludf.DUMMYFUNCTION("""COMPUTED_VALUE"""),"#N/A")</f>
        <v>#N/A</v>
      </c>
      <c r="BN191" s="674" t="str">
        <f>IFERROR(__xludf.DUMMYFUNCTION("""COMPUTED_VALUE"""),"#N/A")</f>
        <v>#N/A</v>
      </c>
      <c r="BO191" s="675">
        <f>IFERROR(__xludf.DUMMYFUNCTION("""COMPUTED_VALUE"""),0.0)</f>
        <v>0</v>
      </c>
      <c r="BP191" s="675" t="str">
        <f>IFERROR(__xludf.DUMMYFUNCTION("""COMPUTED_VALUE"""),"#N/A")</f>
        <v>#N/A</v>
      </c>
      <c r="BQ191" s="139"/>
      <c r="BR191" s="139" t="str">
        <f>IFERROR(__xludf.DUMMYFUNCTION("""COMPUTED_VALUE"""),"#N/A")</f>
        <v>#N/A</v>
      </c>
      <c r="BS191" s="139" t="str">
        <f>IFERROR(__xludf.DUMMYFUNCTION("""COMPUTED_VALUE"""),"※移動を入力！(BV列)")</f>
        <v>※移動を入力！(BV列)</v>
      </c>
      <c r="BT191" s="139" t="str">
        <f>IFERROR(__xludf.DUMMYFUNCTION("""COMPUTED_VALUE"""),"※攻撃手段を入力(BQ列)")</f>
        <v>※攻撃手段を入力(BQ列)</v>
      </c>
      <c r="BU191" s="139">
        <f>IFERROR(__xludf.DUMMYFUNCTION("""COMPUTED_VALUE"""),0.0)</f>
        <v>0</v>
      </c>
      <c r="BV191" s="139"/>
      <c r="BW191" s="139"/>
      <c r="BX191" s="139" t="str">
        <f>IFERROR(__xludf.DUMMYFUNCTION("""COMPUTED_VALUE"""),"※特性を選択!!(BW列)")</f>
        <v>※特性を選択!!(BW列)</v>
      </c>
      <c r="BY191" s="139" t="str">
        <f>IFERROR(__xludf.DUMMYFUNCTION("""COMPUTED_VALUE"""),"#N/A")</f>
        <v>#N/A</v>
      </c>
      <c r="BZ191" s="139"/>
      <c r="CA191" s="139" t="str">
        <f>IFERROR(__xludf.DUMMYFUNCTION("""COMPUTED_VALUE"""),"※特性を選択!!(BW列)")</f>
        <v>※特性を選択!!(BW列)</v>
      </c>
      <c r="CB191" s="139" t="str">
        <f>IFERROR(__xludf.DUMMYFUNCTION("""COMPUTED_VALUE"""),"#N/A")</f>
        <v>#N/A</v>
      </c>
      <c r="CC191" s="139" t="str">
        <f>IFERROR(__xludf.DUMMYFUNCTION("""COMPUTED_VALUE"""),"該当なし")</f>
        <v>該当なし</v>
      </c>
      <c r="CD191" s="139"/>
      <c r="CE191" s="139" t="str">
        <f>IFERROR(__xludf.DUMMYFUNCTION("""COMPUTED_VALUE"""),"#N/A")</f>
        <v>#N/A</v>
      </c>
      <c r="CF191" s="139" t="str">
        <f>IFERROR(__xludf.DUMMYFUNCTION("""COMPUTED_VALUE"""),"#VALUE!")</f>
        <v>#VALUE!</v>
      </c>
      <c r="CG191" s="139"/>
      <c r="CH191" s="139"/>
      <c r="CI191" s="139" t="str">
        <f>IFERROR(__xludf.DUMMYFUNCTION("""COMPUTED_VALUE"""),"#N/A")</f>
        <v>#N/A</v>
      </c>
      <c r="CJ191" s="139" t="str">
        <f>IFERROR(__xludf.DUMMYFUNCTION("""COMPUTED_VALUE"""),"#VALUE!")</f>
        <v>#VALUE!</v>
      </c>
      <c r="CK191" s="139"/>
      <c r="CL191" s="139"/>
      <c r="CM191" s="139"/>
      <c r="CN191" s="675" t="str">
        <f>IFERROR(__xludf.DUMMYFUNCTION("""COMPUTED_VALUE"""),"#N/A")</f>
        <v>#N/A</v>
      </c>
      <c r="CO191" s="139" t="str">
        <f>IFERROR(__xludf.DUMMYFUNCTION("""COMPUTED_VALUE"""),"-")</f>
        <v>-</v>
      </c>
      <c r="CP191" s="139" t="str">
        <f>IFERROR(__xludf.DUMMYFUNCTION("""COMPUTED_VALUE"""),"-")</f>
        <v>-</v>
      </c>
      <c r="CQ191" s="139" t="str">
        <f>IFERROR(__xludf.DUMMYFUNCTION("""COMPUTED_VALUE"""),"#N/A")</f>
        <v>#N/A</v>
      </c>
      <c r="CR191" s="139"/>
      <c r="CS191" s="139"/>
      <c r="CT191" s="139"/>
      <c r="CU191" s="139"/>
      <c r="CV191" s="139"/>
      <c r="CW191" s="139"/>
      <c r="CX191" s="674" t="str">
        <f>IFERROR(__xludf.DUMMYFUNCTION("""COMPUTED_VALUE"""),"")</f>
        <v/>
      </c>
      <c r="CY191" s="675" t="str">
        <f>IFERROR(__xludf.DUMMYFUNCTION("""COMPUTED_VALUE"""),"")</f>
        <v/>
      </c>
      <c r="CZ191" s="688" t="str">
        <f>IFERROR(__xludf.DUMMYFUNCTION("""COMPUTED_VALUE"""),"-")</f>
        <v>-</v>
      </c>
      <c r="DA191" s="688">
        <f>IFERROR(__xludf.DUMMYFUNCTION("""COMPUTED_VALUE"""),0.0)</f>
        <v>0</v>
      </c>
      <c r="DB191" s="688">
        <f>IFERROR(__xludf.DUMMYFUNCTION("""COMPUTED_VALUE"""),0.0)</f>
        <v>0</v>
      </c>
      <c r="DC191" s="673" t="str">
        <f>IFERROR(__xludf.DUMMYFUNCTION("""COMPUTED_VALUE"""),"-")</f>
        <v>-</v>
      </c>
      <c r="DD191" s="673" t="str">
        <f>IFERROR(__xludf.DUMMYFUNCTION("""COMPUTED_VALUE"""),"-")</f>
        <v>-</v>
      </c>
      <c r="DE191" s="139" t="str">
        <f>IFERROR(__xludf.DUMMYFUNCTION("""COMPUTED_VALUE"""),"-")</f>
        <v>-</v>
      </c>
      <c r="DF191" s="139" t="str">
        <f>IFERROR(__xludf.DUMMYFUNCTION("""COMPUTED_VALUE"""),"-")</f>
        <v>-</v>
      </c>
      <c r="DG191" s="139" t="str">
        <f>IFERROR(__xludf.DUMMYFUNCTION("""COMPUTED_VALUE"""),"-")</f>
        <v>-</v>
      </c>
      <c r="DH191" s="139" t="str">
        <f>IFERROR(__xludf.DUMMYFUNCTION("""COMPUTED_VALUE"""),"-")</f>
        <v>-</v>
      </c>
      <c r="DI191" s="139" t="str">
        <f>IFERROR(__xludf.DUMMYFUNCTION("""COMPUTED_VALUE"""),"-")</f>
        <v>-</v>
      </c>
      <c r="DJ191" s="139" t="str">
        <f>IFERROR(__xludf.DUMMYFUNCTION("""COMPUTED_VALUE"""),"-")</f>
        <v>-</v>
      </c>
    </row>
    <row r="192">
      <c r="A192" s="139" t="str">
        <f>IFERROR(__xludf.DUMMYFUNCTION("""COMPUTED_VALUE"""),"該当なし")</f>
        <v>該当なし</v>
      </c>
      <c r="B192" s="139" t="str">
        <f>IFERROR(__xludf.DUMMYFUNCTION("""COMPUTED_VALUE"""),"該当なし")</f>
        <v>該当なし</v>
      </c>
      <c r="C192" s="139"/>
      <c r="D192" s="139" t="str">
        <f>IFERROR(__xludf.DUMMYFUNCTION("""COMPUTED_VALUE"""),"#N/A")</f>
        <v>#N/A</v>
      </c>
      <c r="E192" s="139" t="str">
        <f>IFERROR(__xludf.DUMMYFUNCTION("""COMPUTED_VALUE"""),"#N/A")</f>
        <v>#N/A</v>
      </c>
      <c r="F192" s="139" t="str">
        <f>IFERROR(__xludf.DUMMYFUNCTION("""COMPUTED_VALUE"""),"#N/A")</f>
        <v>#N/A</v>
      </c>
      <c r="G192" s="139" t="str">
        <f>IFERROR(__xludf.DUMMYFUNCTION("""COMPUTED_VALUE"""),"該当なし")</f>
        <v>該当なし</v>
      </c>
      <c r="H192" s="139" t="str">
        <f>IFERROR(__xludf.DUMMYFUNCTION("""COMPUTED_VALUE"""),"#N/A")</f>
        <v>#N/A</v>
      </c>
      <c r="I192" s="139" t="str">
        <f>IFERROR(__xludf.DUMMYFUNCTION("""COMPUTED_VALUE"""),"#N/A")</f>
        <v>#N/A</v>
      </c>
      <c r="J192" s="139" t="str">
        <f>IFERROR(__xludf.DUMMYFUNCTION("""COMPUTED_VALUE"""),"#N/A")</f>
        <v>#N/A</v>
      </c>
      <c r="K192" s="139" t="str">
        <f>IFERROR(__xludf.DUMMYFUNCTION("""COMPUTED_VALUE"""),"#N/A")</f>
        <v>#N/A</v>
      </c>
      <c r="L192" s="139" t="str">
        <f>IFERROR(__xludf.DUMMYFUNCTION("""COMPUTED_VALUE"""),"※")</f>
        <v>※</v>
      </c>
      <c r="M192" s="674">
        <f>IFERROR(__xludf.DUMMYFUNCTION("""COMPUTED_VALUE"""),0.0)</f>
        <v>0</v>
      </c>
      <c r="N192" s="139">
        <f>IFERROR(__xludf.DUMMYFUNCTION("""COMPUTED_VALUE"""),0.0)</f>
        <v>0</v>
      </c>
      <c r="O192" s="139"/>
      <c r="P192" s="139">
        <f>IFERROR(__xludf.DUMMYFUNCTION("""COMPUTED_VALUE"""),0.0)</f>
        <v>0</v>
      </c>
      <c r="Q192" s="675">
        <f>IFERROR(__xludf.DUMMYFUNCTION("""COMPUTED_VALUE"""),0.0)</f>
        <v>0</v>
      </c>
      <c r="R192" s="675">
        <f>IFERROR(__xludf.DUMMYFUNCTION("""COMPUTED_VALUE"""),0.0)</f>
        <v>0</v>
      </c>
      <c r="S192" s="675">
        <f>IFERROR(__xludf.DUMMYFUNCTION("""COMPUTED_VALUE"""),-2.5)</f>
        <v>-2.5</v>
      </c>
      <c r="T192" s="674" t="str">
        <f>IFERROR(__xludf.DUMMYFUNCTION("""COMPUTED_VALUE"""),"#N/A")</f>
        <v>#N/A</v>
      </c>
      <c r="U192" s="675" t="str">
        <f>IFERROR(__xludf.DUMMYFUNCTION("""COMPUTED_VALUE"""),"#N/A")</f>
        <v>#N/A</v>
      </c>
      <c r="V192" s="675">
        <f>IFERROR(__xludf.DUMMYFUNCTION("""COMPUTED_VALUE"""),0.0)</f>
        <v>0</v>
      </c>
      <c r="W192" s="675" t="str">
        <f>IFERROR(__xludf.DUMMYFUNCTION("""COMPUTED_VALUE"""),"#N/A")</f>
        <v>#N/A</v>
      </c>
      <c r="X192" s="675">
        <f>IFERROR(__xludf.DUMMYFUNCTION("""COMPUTED_VALUE"""),0.0)</f>
        <v>0</v>
      </c>
      <c r="Y192" s="674" t="str">
        <f>IFERROR(__xludf.DUMMYFUNCTION("""COMPUTED_VALUE"""),"#N/A")</f>
        <v>#N/A</v>
      </c>
      <c r="Z192" s="675" t="str">
        <f>IFERROR(__xludf.DUMMYFUNCTION("""COMPUTED_VALUE"""),"#N/A")</f>
        <v>#N/A</v>
      </c>
      <c r="AA192" s="675">
        <f>IFERROR(__xludf.DUMMYFUNCTION("""COMPUTED_VALUE"""),0.0)</f>
        <v>0</v>
      </c>
      <c r="AB192" s="673" t="str">
        <f>IFERROR(__xludf.DUMMYFUNCTION("""COMPUTED_VALUE"""),"#N/A")</f>
        <v>#N/A</v>
      </c>
      <c r="AC192" s="675">
        <f>IFERROR(__xludf.DUMMYFUNCTION("""COMPUTED_VALUE"""),0.0)</f>
        <v>0</v>
      </c>
      <c r="AD192" s="674" t="str">
        <f>IFERROR(__xludf.DUMMYFUNCTION("""COMPUTED_VALUE"""),"#N/A")</f>
        <v>#N/A</v>
      </c>
      <c r="AE192" s="675" t="str">
        <f>IFERROR(__xludf.DUMMYFUNCTION("""COMPUTED_VALUE"""),"#N/A")</f>
        <v>#N/A</v>
      </c>
      <c r="AF192" s="675">
        <f>IFERROR(__xludf.DUMMYFUNCTION("""COMPUTED_VALUE"""),0.0)</f>
        <v>0</v>
      </c>
      <c r="AG192" s="675">
        <f>IFERROR(__xludf.DUMMYFUNCTION("""COMPUTED_VALUE"""),0.0)</f>
        <v>0</v>
      </c>
      <c r="AH192" s="675" t="str">
        <f>IFERROR(__xludf.DUMMYFUNCTION("""COMPUTED_VALUE"""),"#N/A")</f>
        <v>#N/A</v>
      </c>
      <c r="AI192" s="139" t="str">
        <f>IFERROR(__xludf.DUMMYFUNCTION("""COMPUTED_VALUE"""),"#N/A")</f>
        <v>#N/A</v>
      </c>
      <c r="AJ192" s="675" t="str">
        <f>IFERROR(__xludf.DUMMYFUNCTION("""COMPUTED_VALUE"""),"#N/A")</f>
        <v>#N/A</v>
      </c>
      <c r="AK192" s="139" t="str">
        <f>IFERROR(__xludf.DUMMYFUNCTION("""COMPUTED_VALUE"""),"#N/A")</f>
        <v>#N/A</v>
      </c>
      <c r="AL192" s="674" t="str">
        <f>IFERROR(__xludf.DUMMYFUNCTION("""COMPUTED_VALUE"""),"#N/A")</f>
        <v>#N/A</v>
      </c>
      <c r="AM192" s="688" t="str">
        <f>IFERROR(__xludf.DUMMYFUNCTION("""COMPUTED_VALUE"""),"#N/A")</f>
        <v>#N/A</v>
      </c>
      <c r="AN192" s="675" t="str">
        <f>IFERROR(__xludf.DUMMYFUNCTION("""COMPUTED_VALUE"""),"#N/A")</f>
        <v>#N/A</v>
      </c>
      <c r="AO192" s="675" t="str">
        <f>IFERROR(__xludf.DUMMYFUNCTION("""COMPUTED_VALUE"""),"#N/A")</f>
        <v>#N/A</v>
      </c>
      <c r="AP192" s="674">
        <f>IFERROR(__xludf.DUMMYFUNCTION("""COMPUTED_VALUE"""),0.0)</f>
        <v>0</v>
      </c>
      <c r="AQ192" s="673" t="str">
        <f>IFERROR(__xludf.DUMMYFUNCTION("""COMPUTED_VALUE"""),"#N/A")</f>
        <v>#N/A</v>
      </c>
      <c r="AR192" s="673">
        <f>IFERROR(__xludf.DUMMYFUNCTION("""COMPUTED_VALUE"""),0.0)</f>
        <v>0</v>
      </c>
      <c r="AS192" s="673">
        <f>IFERROR(__xludf.DUMMYFUNCTION("""COMPUTED_VALUE"""),0.0)</f>
        <v>0</v>
      </c>
      <c r="AT192" s="673">
        <f>IFERROR(__xludf.DUMMYFUNCTION("""COMPUTED_VALUE"""),0.0)</f>
        <v>0</v>
      </c>
      <c r="AU192" s="675" t="str">
        <f>IFERROR(__xludf.DUMMYFUNCTION("""COMPUTED_VALUE"""),"#N/A")</f>
        <v>#N/A</v>
      </c>
      <c r="AV192" s="675">
        <f>IFERROR(__xludf.DUMMYFUNCTION("""COMPUTED_VALUE"""),0.0)</f>
        <v>0</v>
      </c>
      <c r="AW192" s="139"/>
      <c r="AX192" s="674" t="str">
        <f>IFERROR(__xludf.DUMMYFUNCTION("""COMPUTED_VALUE"""),"※通常攻撃範囲を入力！(CD列)")</f>
        <v>※通常攻撃範囲を入力！(CD列)</v>
      </c>
      <c r="AY192" s="688" t="str">
        <f>IFERROR(__xludf.DUMMYFUNCTION("""COMPUTED_VALUE"""),"#VALUE!")</f>
        <v>#VALUE!</v>
      </c>
      <c r="AZ192" s="674" t="str">
        <f>IFERROR(__xludf.DUMMYFUNCTION("""COMPUTED_VALUE"""),"#N/A")</f>
        <v>#N/A</v>
      </c>
      <c r="BA192" s="688" t="str">
        <f>IFERROR(__xludf.DUMMYFUNCTION("""COMPUTED_VALUE"""),"#VALUE!")</f>
        <v>#VALUE!</v>
      </c>
      <c r="BB192" s="688" t="str">
        <f>IFERROR(__xludf.DUMMYFUNCTION("""COMPUTED_VALUE"""),"-")</f>
        <v>-</v>
      </c>
      <c r="BC192" s="688" t="str">
        <f>IFERROR(__xludf.DUMMYFUNCTION("""COMPUTED_VALUE"""),"#N/A")</f>
        <v>#N/A</v>
      </c>
      <c r="BD192" s="688" t="str">
        <f>IFERROR(__xludf.DUMMYFUNCTION("""COMPUTED_VALUE"""),"#VALUE!")</f>
        <v>#VALUE!</v>
      </c>
      <c r="BE192" s="674" t="str">
        <f>IFERROR(__xludf.DUMMYFUNCTION("""COMPUTED_VALUE"""),"#N/A")</f>
        <v>#N/A</v>
      </c>
      <c r="BF192" s="674">
        <f>IFERROR(__xludf.DUMMYFUNCTION("""COMPUTED_VALUE"""),0.0)</f>
        <v>0</v>
      </c>
      <c r="BG192" s="673">
        <f>IFERROR(__xludf.DUMMYFUNCTION("""COMPUTED_VALUE"""),0.0)</f>
        <v>0</v>
      </c>
      <c r="BH192" s="673" t="str">
        <f>IFERROR(__xludf.DUMMYFUNCTION("""COMPUTED_VALUE"""),"#N/A")</f>
        <v>#N/A</v>
      </c>
      <c r="BI192" s="673" t="str">
        <f>IFERROR(__xludf.DUMMYFUNCTION("""COMPUTED_VALUE"""),"#N/A")</f>
        <v>#N/A</v>
      </c>
      <c r="BJ192" s="673">
        <f>IFERROR(__xludf.DUMMYFUNCTION("""COMPUTED_VALUE"""),0.0)</f>
        <v>0</v>
      </c>
      <c r="BK192" s="673">
        <f>IFERROR(__xludf.DUMMYFUNCTION("""COMPUTED_VALUE"""),0.0)</f>
        <v>0</v>
      </c>
      <c r="BL192" s="673" t="str">
        <f>IFERROR(__xludf.DUMMYFUNCTION("""COMPUTED_VALUE"""),"#N/A")</f>
        <v>#N/A</v>
      </c>
      <c r="BM192" s="674" t="str">
        <f>IFERROR(__xludf.DUMMYFUNCTION("""COMPUTED_VALUE"""),"#N/A")</f>
        <v>#N/A</v>
      </c>
      <c r="BN192" s="674" t="str">
        <f>IFERROR(__xludf.DUMMYFUNCTION("""COMPUTED_VALUE"""),"#N/A")</f>
        <v>#N/A</v>
      </c>
      <c r="BO192" s="675">
        <f>IFERROR(__xludf.DUMMYFUNCTION("""COMPUTED_VALUE"""),0.0)</f>
        <v>0</v>
      </c>
      <c r="BP192" s="675" t="str">
        <f>IFERROR(__xludf.DUMMYFUNCTION("""COMPUTED_VALUE"""),"#N/A")</f>
        <v>#N/A</v>
      </c>
      <c r="BQ192" s="139"/>
      <c r="BR192" s="139" t="str">
        <f>IFERROR(__xludf.DUMMYFUNCTION("""COMPUTED_VALUE"""),"#N/A")</f>
        <v>#N/A</v>
      </c>
      <c r="BS192" s="139" t="str">
        <f>IFERROR(__xludf.DUMMYFUNCTION("""COMPUTED_VALUE"""),"※移動を入力！(BV列)")</f>
        <v>※移動を入力！(BV列)</v>
      </c>
      <c r="BT192" s="139" t="str">
        <f>IFERROR(__xludf.DUMMYFUNCTION("""COMPUTED_VALUE"""),"※攻撃手段を入力(BQ列)")</f>
        <v>※攻撃手段を入力(BQ列)</v>
      </c>
      <c r="BU192" s="139">
        <f>IFERROR(__xludf.DUMMYFUNCTION("""COMPUTED_VALUE"""),0.0)</f>
        <v>0</v>
      </c>
      <c r="BV192" s="139"/>
      <c r="BW192" s="139"/>
      <c r="BX192" s="139" t="str">
        <f>IFERROR(__xludf.DUMMYFUNCTION("""COMPUTED_VALUE"""),"※特性を選択!!(BW列)")</f>
        <v>※特性を選択!!(BW列)</v>
      </c>
      <c r="BY192" s="139" t="str">
        <f>IFERROR(__xludf.DUMMYFUNCTION("""COMPUTED_VALUE"""),"#N/A")</f>
        <v>#N/A</v>
      </c>
      <c r="BZ192" s="139"/>
      <c r="CA192" s="139" t="str">
        <f>IFERROR(__xludf.DUMMYFUNCTION("""COMPUTED_VALUE"""),"※特性を選択!!(BW列)")</f>
        <v>※特性を選択!!(BW列)</v>
      </c>
      <c r="CB192" s="139" t="str">
        <f>IFERROR(__xludf.DUMMYFUNCTION("""COMPUTED_VALUE"""),"#N/A")</f>
        <v>#N/A</v>
      </c>
      <c r="CC192" s="139" t="str">
        <f>IFERROR(__xludf.DUMMYFUNCTION("""COMPUTED_VALUE"""),"該当なし")</f>
        <v>該当なし</v>
      </c>
      <c r="CD192" s="139"/>
      <c r="CE192" s="139" t="str">
        <f>IFERROR(__xludf.DUMMYFUNCTION("""COMPUTED_VALUE"""),"#N/A")</f>
        <v>#N/A</v>
      </c>
      <c r="CF192" s="139" t="str">
        <f>IFERROR(__xludf.DUMMYFUNCTION("""COMPUTED_VALUE"""),"#VALUE!")</f>
        <v>#VALUE!</v>
      </c>
      <c r="CG192" s="139"/>
      <c r="CH192" s="139"/>
      <c r="CI192" s="139" t="str">
        <f>IFERROR(__xludf.DUMMYFUNCTION("""COMPUTED_VALUE"""),"#N/A")</f>
        <v>#N/A</v>
      </c>
      <c r="CJ192" s="139" t="str">
        <f>IFERROR(__xludf.DUMMYFUNCTION("""COMPUTED_VALUE"""),"#VALUE!")</f>
        <v>#VALUE!</v>
      </c>
      <c r="CK192" s="139"/>
      <c r="CL192" s="139"/>
      <c r="CM192" s="139"/>
      <c r="CN192" s="675" t="str">
        <f>IFERROR(__xludf.DUMMYFUNCTION("""COMPUTED_VALUE"""),"#N/A")</f>
        <v>#N/A</v>
      </c>
      <c r="CO192" s="139" t="str">
        <f>IFERROR(__xludf.DUMMYFUNCTION("""COMPUTED_VALUE"""),"-")</f>
        <v>-</v>
      </c>
      <c r="CP192" s="139" t="str">
        <f>IFERROR(__xludf.DUMMYFUNCTION("""COMPUTED_VALUE"""),"-")</f>
        <v>-</v>
      </c>
      <c r="CQ192" s="139" t="str">
        <f>IFERROR(__xludf.DUMMYFUNCTION("""COMPUTED_VALUE"""),"#N/A")</f>
        <v>#N/A</v>
      </c>
      <c r="CR192" s="139"/>
      <c r="CS192" s="139"/>
      <c r="CT192" s="139"/>
      <c r="CU192" s="139"/>
      <c r="CV192" s="139"/>
      <c r="CW192" s="139"/>
      <c r="CX192" s="674" t="str">
        <f>IFERROR(__xludf.DUMMYFUNCTION("""COMPUTED_VALUE"""),"")</f>
        <v/>
      </c>
      <c r="CY192" s="675" t="str">
        <f>IFERROR(__xludf.DUMMYFUNCTION("""COMPUTED_VALUE"""),"")</f>
        <v/>
      </c>
      <c r="CZ192" s="688" t="str">
        <f>IFERROR(__xludf.DUMMYFUNCTION("""COMPUTED_VALUE"""),"-")</f>
        <v>-</v>
      </c>
      <c r="DA192" s="688">
        <f>IFERROR(__xludf.DUMMYFUNCTION("""COMPUTED_VALUE"""),0.0)</f>
        <v>0</v>
      </c>
      <c r="DB192" s="688">
        <f>IFERROR(__xludf.DUMMYFUNCTION("""COMPUTED_VALUE"""),0.0)</f>
        <v>0</v>
      </c>
      <c r="DC192" s="673" t="str">
        <f>IFERROR(__xludf.DUMMYFUNCTION("""COMPUTED_VALUE"""),"-")</f>
        <v>-</v>
      </c>
      <c r="DD192" s="673" t="str">
        <f>IFERROR(__xludf.DUMMYFUNCTION("""COMPUTED_VALUE"""),"-")</f>
        <v>-</v>
      </c>
      <c r="DE192" s="139" t="str">
        <f>IFERROR(__xludf.DUMMYFUNCTION("""COMPUTED_VALUE"""),"-")</f>
        <v>-</v>
      </c>
      <c r="DF192" s="139" t="str">
        <f>IFERROR(__xludf.DUMMYFUNCTION("""COMPUTED_VALUE"""),"-")</f>
        <v>-</v>
      </c>
      <c r="DG192" s="139" t="str">
        <f>IFERROR(__xludf.DUMMYFUNCTION("""COMPUTED_VALUE"""),"-")</f>
        <v>-</v>
      </c>
      <c r="DH192" s="139" t="str">
        <f>IFERROR(__xludf.DUMMYFUNCTION("""COMPUTED_VALUE"""),"-")</f>
        <v>-</v>
      </c>
      <c r="DI192" s="139" t="str">
        <f>IFERROR(__xludf.DUMMYFUNCTION("""COMPUTED_VALUE"""),"-")</f>
        <v>-</v>
      </c>
      <c r="DJ192" s="139" t="str">
        <f>IFERROR(__xludf.DUMMYFUNCTION("""COMPUTED_VALUE"""),"-")</f>
        <v>-</v>
      </c>
    </row>
    <row r="193">
      <c r="A193" s="139" t="str">
        <f>IFERROR(__xludf.DUMMYFUNCTION("""COMPUTED_VALUE"""),"該当なし")</f>
        <v>該当なし</v>
      </c>
      <c r="B193" s="139" t="str">
        <f>IFERROR(__xludf.DUMMYFUNCTION("""COMPUTED_VALUE"""),"該当なし")</f>
        <v>該当なし</v>
      </c>
      <c r="C193" s="139"/>
      <c r="D193" s="139" t="str">
        <f>IFERROR(__xludf.DUMMYFUNCTION("""COMPUTED_VALUE"""),"#N/A")</f>
        <v>#N/A</v>
      </c>
      <c r="E193" s="139" t="str">
        <f>IFERROR(__xludf.DUMMYFUNCTION("""COMPUTED_VALUE"""),"#N/A")</f>
        <v>#N/A</v>
      </c>
      <c r="F193" s="139" t="str">
        <f>IFERROR(__xludf.DUMMYFUNCTION("""COMPUTED_VALUE"""),"#N/A")</f>
        <v>#N/A</v>
      </c>
      <c r="G193" s="139" t="str">
        <f>IFERROR(__xludf.DUMMYFUNCTION("""COMPUTED_VALUE"""),"該当なし")</f>
        <v>該当なし</v>
      </c>
      <c r="H193" s="139" t="str">
        <f>IFERROR(__xludf.DUMMYFUNCTION("""COMPUTED_VALUE"""),"#N/A")</f>
        <v>#N/A</v>
      </c>
      <c r="I193" s="139" t="str">
        <f>IFERROR(__xludf.DUMMYFUNCTION("""COMPUTED_VALUE"""),"#N/A")</f>
        <v>#N/A</v>
      </c>
      <c r="J193" s="139" t="str">
        <f>IFERROR(__xludf.DUMMYFUNCTION("""COMPUTED_VALUE"""),"#N/A")</f>
        <v>#N/A</v>
      </c>
      <c r="K193" s="139" t="str">
        <f>IFERROR(__xludf.DUMMYFUNCTION("""COMPUTED_VALUE"""),"#N/A")</f>
        <v>#N/A</v>
      </c>
      <c r="L193" s="139" t="str">
        <f>IFERROR(__xludf.DUMMYFUNCTION("""COMPUTED_VALUE"""),"※")</f>
        <v>※</v>
      </c>
      <c r="M193" s="674">
        <f>IFERROR(__xludf.DUMMYFUNCTION("""COMPUTED_VALUE"""),0.0)</f>
        <v>0</v>
      </c>
      <c r="N193" s="139">
        <f>IFERROR(__xludf.DUMMYFUNCTION("""COMPUTED_VALUE"""),0.0)</f>
        <v>0</v>
      </c>
      <c r="O193" s="139"/>
      <c r="P193" s="139">
        <f>IFERROR(__xludf.DUMMYFUNCTION("""COMPUTED_VALUE"""),0.0)</f>
        <v>0</v>
      </c>
      <c r="Q193" s="675">
        <f>IFERROR(__xludf.DUMMYFUNCTION("""COMPUTED_VALUE"""),0.0)</f>
        <v>0</v>
      </c>
      <c r="R193" s="675">
        <f>IFERROR(__xludf.DUMMYFUNCTION("""COMPUTED_VALUE"""),0.0)</f>
        <v>0</v>
      </c>
      <c r="S193" s="675">
        <f>IFERROR(__xludf.DUMMYFUNCTION("""COMPUTED_VALUE"""),-2.5)</f>
        <v>-2.5</v>
      </c>
      <c r="T193" s="674" t="str">
        <f>IFERROR(__xludf.DUMMYFUNCTION("""COMPUTED_VALUE"""),"#N/A")</f>
        <v>#N/A</v>
      </c>
      <c r="U193" s="675" t="str">
        <f>IFERROR(__xludf.DUMMYFUNCTION("""COMPUTED_VALUE"""),"#N/A")</f>
        <v>#N/A</v>
      </c>
      <c r="V193" s="675">
        <f>IFERROR(__xludf.DUMMYFUNCTION("""COMPUTED_VALUE"""),0.0)</f>
        <v>0</v>
      </c>
      <c r="W193" s="675" t="str">
        <f>IFERROR(__xludf.DUMMYFUNCTION("""COMPUTED_VALUE"""),"#N/A")</f>
        <v>#N/A</v>
      </c>
      <c r="X193" s="675">
        <f>IFERROR(__xludf.DUMMYFUNCTION("""COMPUTED_VALUE"""),0.0)</f>
        <v>0</v>
      </c>
      <c r="Y193" s="674" t="str">
        <f>IFERROR(__xludf.DUMMYFUNCTION("""COMPUTED_VALUE"""),"#N/A")</f>
        <v>#N/A</v>
      </c>
      <c r="Z193" s="675" t="str">
        <f>IFERROR(__xludf.DUMMYFUNCTION("""COMPUTED_VALUE"""),"#N/A")</f>
        <v>#N/A</v>
      </c>
      <c r="AA193" s="675">
        <f>IFERROR(__xludf.DUMMYFUNCTION("""COMPUTED_VALUE"""),0.0)</f>
        <v>0</v>
      </c>
      <c r="AB193" s="673" t="str">
        <f>IFERROR(__xludf.DUMMYFUNCTION("""COMPUTED_VALUE"""),"#N/A")</f>
        <v>#N/A</v>
      </c>
      <c r="AC193" s="675">
        <f>IFERROR(__xludf.DUMMYFUNCTION("""COMPUTED_VALUE"""),0.0)</f>
        <v>0</v>
      </c>
      <c r="AD193" s="674" t="str">
        <f>IFERROR(__xludf.DUMMYFUNCTION("""COMPUTED_VALUE"""),"#N/A")</f>
        <v>#N/A</v>
      </c>
      <c r="AE193" s="675" t="str">
        <f>IFERROR(__xludf.DUMMYFUNCTION("""COMPUTED_VALUE"""),"#N/A")</f>
        <v>#N/A</v>
      </c>
      <c r="AF193" s="675">
        <f>IFERROR(__xludf.DUMMYFUNCTION("""COMPUTED_VALUE"""),0.0)</f>
        <v>0</v>
      </c>
      <c r="AG193" s="675">
        <f>IFERROR(__xludf.DUMMYFUNCTION("""COMPUTED_VALUE"""),0.0)</f>
        <v>0</v>
      </c>
      <c r="AH193" s="675" t="str">
        <f>IFERROR(__xludf.DUMMYFUNCTION("""COMPUTED_VALUE"""),"#N/A")</f>
        <v>#N/A</v>
      </c>
      <c r="AI193" s="139" t="str">
        <f>IFERROR(__xludf.DUMMYFUNCTION("""COMPUTED_VALUE"""),"#N/A")</f>
        <v>#N/A</v>
      </c>
      <c r="AJ193" s="675" t="str">
        <f>IFERROR(__xludf.DUMMYFUNCTION("""COMPUTED_VALUE"""),"#N/A")</f>
        <v>#N/A</v>
      </c>
      <c r="AK193" s="139" t="str">
        <f>IFERROR(__xludf.DUMMYFUNCTION("""COMPUTED_VALUE"""),"#N/A")</f>
        <v>#N/A</v>
      </c>
      <c r="AL193" s="674" t="str">
        <f>IFERROR(__xludf.DUMMYFUNCTION("""COMPUTED_VALUE"""),"#N/A")</f>
        <v>#N/A</v>
      </c>
      <c r="AM193" s="688" t="str">
        <f>IFERROR(__xludf.DUMMYFUNCTION("""COMPUTED_VALUE"""),"#N/A")</f>
        <v>#N/A</v>
      </c>
      <c r="AN193" s="675" t="str">
        <f>IFERROR(__xludf.DUMMYFUNCTION("""COMPUTED_VALUE"""),"#N/A")</f>
        <v>#N/A</v>
      </c>
      <c r="AO193" s="675" t="str">
        <f>IFERROR(__xludf.DUMMYFUNCTION("""COMPUTED_VALUE"""),"#N/A")</f>
        <v>#N/A</v>
      </c>
      <c r="AP193" s="674">
        <f>IFERROR(__xludf.DUMMYFUNCTION("""COMPUTED_VALUE"""),0.0)</f>
        <v>0</v>
      </c>
      <c r="AQ193" s="673" t="str">
        <f>IFERROR(__xludf.DUMMYFUNCTION("""COMPUTED_VALUE"""),"#N/A")</f>
        <v>#N/A</v>
      </c>
      <c r="AR193" s="673">
        <f>IFERROR(__xludf.DUMMYFUNCTION("""COMPUTED_VALUE"""),0.0)</f>
        <v>0</v>
      </c>
      <c r="AS193" s="673">
        <f>IFERROR(__xludf.DUMMYFUNCTION("""COMPUTED_VALUE"""),0.0)</f>
        <v>0</v>
      </c>
      <c r="AT193" s="673">
        <f>IFERROR(__xludf.DUMMYFUNCTION("""COMPUTED_VALUE"""),0.0)</f>
        <v>0</v>
      </c>
      <c r="AU193" s="675" t="str">
        <f>IFERROR(__xludf.DUMMYFUNCTION("""COMPUTED_VALUE"""),"#N/A")</f>
        <v>#N/A</v>
      </c>
      <c r="AV193" s="675">
        <f>IFERROR(__xludf.DUMMYFUNCTION("""COMPUTED_VALUE"""),0.0)</f>
        <v>0</v>
      </c>
      <c r="AW193" s="139"/>
      <c r="AX193" s="674" t="str">
        <f>IFERROR(__xludf.DUMMYFUNCTION("""COMPUTED_VALUE"""),"※通常攻撃範囲を入力！(CD列)")</f>
        <v>※通常攻撃範囲を入力！(CD列)</v>
      </c>
      <c r="AY193" s="688" t="str">
        <f>IFERROR(__xludf.DUMMYFUNCTION("""COMPUTED_VALUE"""),"#VALUE!")</f>
        <v>#VALUE!</v>
      </c>
      <c r="AZ193" s="674" t="str">
        <f>IFERROR(__xludf.DUMMYFUNCTION("""COMPUTED_VALUE"""),"#N/A")</f>
        <v>#N/A</v>
      </c>
      <c r="BA193" s="688" t="str">
        <f>IFERROR(__xludf.DUMMYFUNCTION("""COMPUTED_VALUE"""),"#VALUE!")</f>
        <v>#VALUE!</v>
      </c>
      <c r="BB193" s="688" t="str">
        <f>IFERROR(__xludf.DUMMYFUNCTION("""COMPUTED_VALUE"""),"-")</f>
        <v>-</v>
      </c>
      <c r="BC193" s="688" t="str">
        <f>IFERROR(__xludf.DUMMYFUNCTION("""COMPUTED_VALUE"""),"#N/A")</f>
        <v>#N/A</v>
      </c>
      <c r="BD193" s="688" t="str">
        <f>IFERROR(__xludf.DUMMYFUNCTION("""COMPUTED_VALUE"""),"#VALUE!")</f>
        <v>#VALUE!</v>
      </c>
      <c r="BE193" s="674" t="str">
        <f>IFERROR(__xludf.DUMMYFUNCTION("""COMPUTED_VALUE"""),"#N/A")</f>
        <v>#N/A</v>
      </c>
      <c r="BF193" s="674">
        <f>IFERROR(__xludf.DUMMYFUNCTION("""COMPUTED_VALUE"""),0.0)</f>
        <v>0</v>
      </c>
      <c r="BG193" s="673">
        <f>IFERROR(__xludf.DUMMYFUNCTION("""COMPUTED_VALUE"""),0.0)</f>
        <v>0</v>
      </c>
      <c r="BH193" s="673" t="str">
        <f>IFERROR(__xludf.DUMMYFUNCTION("""COMPUTED_VALUE"""),"#N/A")</f>
        <v>#N/A</v>
      </c>
      <c r="BI193" s="673" t="str">
        <f>IFERROR(__xludf.DUMMYFUNCTION("""COMPUTED_VALUE"""),"#N/A")</f>
        <v>#N/A</v>
      </c>
      <c r="BJ193" s="673">
        <f>IFERROR(__xludf.DUMMYFUNCTION("""COMPUTED_VALUE"""),0.0)</f>
        <v>0</v>
      </c>
      <c r="BK193" s="673">
        <f>IFERROR(__xludf.DUMMYFUNCTION("""COMPUTED_VALUE"""),0.0)</f>
        <v>0</v>
      </c>
      <c r="BL193" s="673" t="str">
        <f>IFERROR(__xludf.DUMMYFUNCTION("""COMPUTED_VALUE"""),"#N/A")</f>
        <v>#N/A</v>
      </c>
      <c r="BM193" s="674" t="str">
        <f>IFERROR(__xludf.DUMMYFUNCTION("""COMPUTED_VALUE"""),"#N/A")</f>
        <v>#N/A</v>
      </c>
      <c r="BN193" s="674" t="str">
        <f>IFERROR(__xludf.DUMMYFUNCTION("""COMPUTED_VALUE"""),"#N/A")</f>
        <v>#N/A</v>
      </c>
      <c r="BO193" s="675">
        <f>IFERROR(__xludf.DUMMYFUNCTION("""COMPUTED_VALUE"""),0.0)</f>
        <v>0</v>
      </c>
      <c r="BP193" s="675" t="str">
        <f>IFERROR(__xludf.DUMMYFUNCTION("""COMPUTED_VALUE"""),"#N/A")</f>
        <v>#N/A</v>
      </c>
      <c r="BQ193" s="139"/>
      <c r="BR193" s="139" t="str">
        <f>IFERROR(__xludf.DUMMYFUNCTION("""COMPUTED_VALUE"""),"#N/A")</f>
        <v>#N/A</v>
      </c>
      <c r="BS193" s="139" t="str">
        <f>IFERROR(__xludf.DUMMYFUNCTION("""COMPUTED_VALUE"""),"※移動を入力！(BV列)")</f>
        <v>※移動を入力！(BV列)</v>
      </c>
      <c r="BT193" s="139" t="str">
        <f>IFERROR(__xludf.DUMMYFUNCTION("""COMPUTED_VALUE"""),"※攻撃手段を入力(BQ列)")</f>
        <v>※攻撃手段を入力(BQ列)</v>
      </c>
      <c r="BU193" s="139">
        <f>IFERROR(__xludf.DUMMYFUNCTION("""COMPUTED_VALUE"""),0.0)</f>
        <v>0</v>
      </c>
      <c r="BV193" s="139"/>
      <c r="BW193" s="139"/>
      <c r="BX193" s="139" t="str">
        <f>IFERROR(__xludf.DUMMYFUNCTION("""COMPUTED_VALUE"""),"※特性を選択!!(BW列)")</f>
        <v>※特性を選択!!(BW列)</v>
      </c>
      <c r="BY193" s="139" t="str">
        <f>IFERROR(__xludf.DUMMYFUNCTION("""COMPUTED_VALUE"""),"#N/A")</f>
        <v>#N/A</v>
      </c>
      <c r="BZ193" s="139"/>
      <c r="CA193" s="139" t="str">
        <f>IFERROR(__xludf.DUMMYFUNCTION("""COMPUTED_VALUE"""),"※特性を選択!!(BW列)")</f>
        <v>※特性を選択!!(BW列)</v>
      </c>
      <c r="CB193" s="139" t="str">
        <f>IFERROR(__xludf.DUMMYFUNCTION("""COMPUTED_VALUE"""),"#N/A")</f>
        <v>#N/A</v>
      </c>
      <c r="CC193" s="139" t="str">
        <f>IFERROR(__xludf.DUMMYFUNCTION("""COMPUTED_VALUE"""),"該当なし")</f>
        <v>該当なし</v>
      </c>
      <c r="CD193" s="139"/>
      <c r="CE193" s="139" t="str">
        <f>IFERROR(__xludf.DUMMYFUNCTION("""COMPUTED_VALUE"""),"#N/A")</f>
        <v>#N/A</v>
      </c>
      <c r="CF193" s="139" t="str">
        <f>IFERROR(__xludf.DUMMYFUNCTION("""COMPUTED_VALUE"""),"#VALUE!")</f>
        <v>#VALUE!</v>
      </c>
      <c r="CG193" s="139"/>
      <c r="CH193" s="139"/>
      <c r="CI193" s="139" t="str">
        <f>IFERROR(__xludf.DUMMYFUNCTION("""COMPUTED_VALUE"""),"#N/A")</f>
        <v>#N/A</v>
      </c>
      <c r="CJ193" s="139" t="str">
        <f>IFERROR(__xludf.DUMMYFUNCTION("""COMPUTED_VALUE"""),"#VALUE!")</f>
        <v>#VALUE!</v>
      </c>
      <c r="CK193" s="139"/>
      <c r="CL193" s="139"/>
      <c r="CM193" s="139"/>
      <c r="CN193" s="675" t="str">
        <f>IFERROR(__xludf.DUMMYFUNCTION("""COMPUTED_VALUE"""),"#N/A")</f>
        <v>#N/A</v>
      </c>
      <c r="CO193" s="139" t="str">
        <f>IFERROR(__xludf.DUMMYFUNCTION("""COMPUTED_VALUE"""),"-")</f>
        <v>-</v>
      </c>
      <c r="CP193" s="139" t="str">
        <f>IFERROR(__xludf.DUMMYFUNCTION("""COMPUTED_VALUE"""),"-")</f>
        <v>-</v>
      </c>
      <c r="CQ193" s="139" t="str">
        <f>IFERROR(__xludf.DUMMYFUNCTION("""COMPUTED_VALUE"""),"#N/A")</f>
        <v>#N/A</v>
      </c>
      <c r="CR193" s="139"/>
      <c r="CS193" s="139"/>
      <c r="CT193" s="139"/>
      <c r="CU193" s="139"/>
      <c r="CV193" s="139"/>
      <c r="CW193" s="139"/>
      <c r="CX193" s="674" t="str">
        <f>IFERROR(__xludf.DUMMYFUNCTION("""COMPUTED_VALUE"""),"")</f>
        <v/>
      </c>
      <c r="CY193" s="675" t="str">
        <f>IFERROR(__xludf.DUMMYFUNCTION("""COMPUTED_VALUE"""),"")</f>
        <v/>
      </c>
      <c r="CZ193" s="688" t="str">
        <f>IFERROR(__xludf.DUMMYFUNCTION("""COMPUTED_VALUE"""),"-")</f>
        <v>-</v>
      </c>
      <c r="DA193" s="688">
        <f>IFERROR(__xludf.DUMMYFUNCTION("""COMPUTED_VALUE"""),0.0)</f>
        <v>0</v>
      </c>
      <c r="DB193" s="688">
        <f>IFERROR(__xludf.DUMMYFUNCTION("""COMPUTED_VALUE"""),0.0)</f>
        <v>0</v>
      </c>
      <c r="DC193" s="673" t="str">
        <f>IFERROR(__xludf.DUMMYFUNCTION("""COMPUTED_VALUE"""),"-")</f>
        <v>-</v>
      </c>
      <c r="DD193" s="673" t="str">
        <f>IFERROR(__xludf.DUMMYFUNCTION("""COMPUTED_VALUE"""),"-")</f>
        <v>-</v>
      </c>
      <c r="DE193" s="139" t="str">
        <f>IFERROR(__xludf.DUMMYFUNCTION("""COMPUTED_VALUE"""),"-")</f>
        <v>-</v>
      </c>
      <c r="DF193" s="139" t="str">
        <f>IFERROR(__xludf.DUMMYFUNCTION("""COMPUTED_VALUE"""),"-")</f>
        <v>-</v>
      </c>
      <c r="DG193" s="139" t="str">
        <f>IFERROR(__xludf.DUMMYFUNCTION("""COMPUTED_VALUE"""),"-")</f>
        <v>-</v>
      </c>
      <c r="DH193" s="139" t="str">
        <f>IFERROR(__xludf.DUMMYFUNCTION("""COMPUTED_VALUE"""),"-")</f>
        <v>-</v>
      </c>
      <c r="DI193" s="139" t="str">
        <f>IFERROR(__xludf.DUMMYFUNCTION("""COMPUTED_VALUE"""),"-")</f>
        <v>-</v>
      </c>
      <c r="DJ193" s="139" t="str">
        <f>IFERROR(__xludf.DUMMYFUNCTION("""COMPUTED_VALUE"""),"-")</f>
        <v>-</v>
      </c>
    </row>
    <row r="194">
      <c r="A194" s="139" t="str">
        <f>IFERROR(__xludf.DUMMYFUNCTION("""COMPUTED_VALUE"""),"該当なし")</f>
        <v>該当なし</v>
      </c>
      <c r="B194" s="139" t="str">
        <f>IFERROR(__xludf.DUMMYFUNCTION("""COMPUTED_VALUE"""),"該当なし")</f>
        <v>該当なし</v>
      </c>
      <c r="C194" s="139"/>
      <c r="D194" s="139" t="str">
        <f>IFERROR(__xludf.DUMMYFUNCTION("""COMPUTED_VALUE"""),"#N/A")</f>
        <v>#N/A</v>
      </c>
      <c r="E194" s="139" t="str">
        <f>IFERROR(__xludf.DUMMYFUNCTION("""COMPUTED_VALUE"""),"#N/A")</f>
        <v>#N/A</v>
      </c>
      <c r="F194" s="139" t="str">
        <f>IFERROR(__xludf.DUMMYFUNCTION("""COMPUTED_VALUE"""),"#N/A")</f>
        <v>#N/A</v>
      </c>
      <c r="G194" s="139" t="str">
        <f>IFERROR(__xludf.DUMMYFUNCTION("""COMPUTED_VALUE"""),"該当なし")</f>
        <v>該当なし</v>
      </c>
      <c r="H194" s="139" t="str">
        <f>IFERROR(__xludf.DUMMYFUNCTION("""COMPUTED_VALUE"""),"#N/A")</f>
        <v>#N/A</v>
      </c>
      <c r="I194" s="139" t="str">
        <f>IFERROR(__xludf.DUMMYFUNCTION("""COMPUTED_VALUE"""),"#N/A")</f>
        <v>#N/A</v>
      </c>
      <c r="J194" s="139" t="str">
        <f>IFERROR(__xludf.DUMMYFUNCTION("""COMPUTED_VALUE"""),"#N/A")</f>
        <v>#N/A</v>
      </c>
      <c r="K194" s="139" t="str">
        <f>IFERROR(__xludf.DUMMYFUNCTION("""COMPUTED_VALUE"""),"#N/A")</f>
        <v>#N/A</v>
      </c>
      <c r="L194" s="139" t="str">
        <f>IFERROR(__xludf.DUMMYFUNCTION("""COMPUTED_VALUE"""),"※")</f>
        <v>※</v>
      </c>
      <c r="M194" s="674">
        <f>IFERROR(__xludf.DUMMYFUNCTION("""COMPUTED_VALUE"""),0.0)</f>
        <v>0</v>
      </c>
      <c r="N194" s="139">
        <f>IFERROR(__xludf.DUMMYFUNCTION("""COMPUTED_VALUE"""),0.0)</f>
        <v>0</v>
      </c>
      <c r="O194" s="139"/>
      <c r="P194" s="139">
        <f>IFERROR(__xludf.DUMMYFUNCTION("""COMPUTED_VALUE"""),0.0)</f>
        <v>0</v>
      </c>
      <c r="Q194" s="675">
        <f>IFERROR(__xludf.DUMMYFUNCTION("""COMPUTED_VALUE"""),0.0)</f>
        <v>0</v>
      </c>
      <c r="R194" s="675">
        <f>IFERROR(__xludf.DUMMYFUNCTION("""COMPUTED_VALUE"""),0.0)</f>
        <v>0</v>
      </c>
      <c r="S194" s="675">
        <f>IFERROR(__xludf.DUMMYFUNCTION("""COMPUTED_VALUE"""),-2.5)</f>
        <v>-2.5</v>
      </c>
      <c r="T194" s="674" t="str">
        <f>IFERROR(__xludf.DUMMYFUNCTION("""COMPUTED_VALUE"""),"#N/A")</f>
        <v>#N/A</v>
      </c>
      <c r="U194" s="675" t="str">
        <f>IFERROR(__xludf.DUMMYFUNCTION("""COMPUTED_VALUE"""),"#N/A")</f>
        <v>#N/A</v>
      </c>
      <c r="V194" s="675">
        <f>IFERROR(__xludf.DUMMYFUNCTION("""COMPUTED_VALUE"""),0.0)</f>
        <v>0</v>
      </c>
      <c r="W194" s="675" t="str">
        <f>IFERROR(__xludf.DUMMYFUNCTION("""COMPUTED_VALUE"""),"#N/A")</f>
        <v>#N/A</v>
      </c>
      <c r="X194" s="675">
        <f>IFERROR(__xludf.DUMMYFUNCTION("""COMPUTED_VALUE"""),0.0)</f>
        <v>0</v>
      </c>
      <c r="Y194" s="674" t="str">
        <f>IFERROR(__xludf.DUMMYFUNCTION("""COMPUTED_VALUE"""),"#N/A")</f>
        <v>#N/A</v>
      </c>
      <c r="Z194" s="675" t="str">
        <f>IFERROR(__xludf.DUMMYFUNCTION("""COMPUTED_VALUE"""),"#N/A")</f>
        <v>#N/A</v>
      </c>
      <c r="AA194" s="675">
        <f>IFERROR(__xludf.DUMMYFUNCTION("""COMPUTED_VALUE"""),0.0)</f>
        <v>0</v>
      </c>
      <c r="AB194" s="673" t="str">
        <f>IFERROR(__xludf.DUMMYFUNCTION("""COMPUTED_VALUE"""),"#N/A")</f>
        <v>#N/A</v>
      </c>
      <c r="AC194" s="675">
        <f>IFERROR(__xludf.DUMMYFUNCTION("""COMPUTED_VALUE"""),0.0)</f>
        <v>0</v>
      </c>
      <c r="AD194" s="674" t="str">
        <f>IFERROR(__xludf.DUMMYFUNCTION("""COMPUTED_VALUE"""),"#N/A")</f>
        <v>#N/A</v>
      </c>
      <c r="AE194" s="675" t="str">
        <f>IFERROR(__xludf.DUMMYFUNCTION("""COMPUTED_VALUE"""),"#N/A")</f>
        <v>#N/A</v>
      </c>
      <c r="AF194" s="675">
        <f>IFERROR(__xludf.DUMMYFUNCTION("""COMPUTED_VALUE"""),0.0)</f>
        <v>0</v>
      </c>
      <c r="AG194" s="675">
        <f>IFERROR(__xludf.DUMMYFUNCTION("""COMPUTED_VALUE"""),0.0)</f>
        <v>0</v>
      </c>
      <c r="AH194" s="675" t="str">
        <f>IFERROR(__xludf.DUMMYFUNCTION("""COMPUTED_VALUE"""),"#N/A")</f>
        <v>#N/A</v>
      </c>
      <c r="AI194" s="139" t="str">
        <f>IFERROR(__xludf.DUMMYFUNCTION("""COMPUTED_VALUE"""),"#N/A")</f>
        <v>#N/A</v>
      </c>
      <c r="AJ194" s="675" t="str">
        <f>IFERROR(__xludf.DUMMYFUNCTION("""COMPUTED_VALUE"""),"#N/A")</f>
        <v>#N/A</v>
      </c>
      <c r="AK194" s="139" t="str">
        <f>IFERROR(__xludf.DUMMYFUNCTION("""COMPUTED_VALUE"""),"#N/A")</f>
        <v>#N/A</v>
      </c>
      <c r="AL194" s="674" t="str">
        <f>IFERROR(__xludf.DUMMYFUNCTION("""COMPUTED_VALUE"""),"#N/A")</f>
        <v>#N/A</v>
      </c>
      <c r="AM194" s="688" t="str">
        <f>IFERROR(__xludf.DUMMYFUNCTION("""COMPUTED_VALUE"""),"#N/A")</f>
        <v>#N/A</v>
      </c>
      <c r="AN194" s="675" t="str">
        <f>IFERROR(__xludf.DUMMYFUNCTION("""COMPUTED_VALUE"""),"#N/A")</f>
        <v>#N/A</v>
      </c>
      <c r="AO194" s="675" t="str">
        <f>IFERROR(__xludf.DUMMYFUNCTION("""COMPUTED_VALUE"""),"#N/A")</f>
        <v>#N/A</v>
      </c>
      <c r="AP194" s="674">
        <f>IFERROR(__xludf.DUMMYFUNCTION("""COMPUTED_VALUE"""),0.0)</f>
        <v>0</v>
      </c>
      <c r="AQ194" s="673" t="str">
        <f>IFERROR(__xludf.DUMMYFUNCTION("""COMPUTED_VALUE"""),"#N/A")</f>
        <v>#N/A</v>
      </c>
      <c r="AR194" s="673">
        <f>IFERROR(__xludf.DUMMYFUNCTION("""COMPUTED_VALUE"""),0.0)</f>
        <v>0</v>
      </c>
      <c r="AS194" s="673">
        <f>IFERROR(__xludf.DUMMYFUNCTION("""COMPUTED_VALUE"""),0.0)</f>
        <v>0</v>
      </c>
      <c r="AT194" s="673">
        <f>IFERROR(__xludf.DUMMYFUNCTION("""COMPUTED_VALUE"""),0.0)</f>
        <v>0</v>
      </c>
      <c r="AU194" s="675" t="str">
        <f>IFERROR(__xludf.DUMMYFUNCTION("""COMPUTED_VALUE"""),"#N/A")</f>
        <v>#N/A</v>
      </c>
      <c r="AV194" s="675">
        <f>IFERROR(__xludf.DUMMYFUNCTION("""COMPUTED_VALUE"""),0.0)</f>
        <v>0</v>
      </c>
      <c r="AW194" s="139"/>
      <c r="AX194" s="674" t="str">
        <f>IFERROR(__xludf.DUMMYFUNCTION("""COMPUTED_VALUE"""),"※通常攻撃範囲を入力！(CD列)")</f>
        <v>※通常攻撃範囲を入力！(CD列)</v>
      </c>
      <c r="AY194" s="688" t="str">
        <f>IFERROR(__xludf.DUMMYFUNCTION("""COMPUTED_VALUE"""),"#VALUE!")</f>
        <v>#VALUE!</v>
      </c>
      <c r="AZ194" s="674" t="str">
        <f>IFERROR(__xludf.DUMMYFUNCTION("""COMPUTED_VALUE"""),"#N/A")</f>
        <v>#N/A</v>
      </c>
      <c r="BA194" s="688" t="str">
        <f>IFERROR(__xludf.DUMMYFUNCTION("""COMPUTED_VALUE"""),"#VALUE!")</f>
        <v>#VALUE!</v>
      </c>
      <c r="BB194" s="688" t="str">
        <f>IFERROR(__xludf.DUMMYFUNCTION("""COMPUTED_VALUE"""),"-")</f>
        <v>-</v>
      </c>
      <c r="BC194" s="688" t="str">
        <f>IFERROR(__xludf.DUMMYFUNCTION("""COMPUTED_VALUE"""),"#N/A")</f>
        <v>#N/A</v>
      </c>
      <c r="BD194" s="688" t="str">
        <f>IFERROR(__xludf.DUMMYFUNCTION("""COMPUTED_VALUE"""),"#VALUE!")</f>
        <v>#VALUE!</v>
      </c>
      <c r="BE194" s="674" t="str">
        <f>IFERROR(__xludf.DUMMYFUNCTION("""COMPUTED_VALUE"""),"#N/A")</f>
        <v>#N/A</v>
      </c>
      <c r="BF194" s="674">
        <f>IFERROR(__xludf.DUMMYFUNCTION("""COMPUTED_VALUE"""),0.0)</f>
        <v>0</v>
      </c>
      <c r="BG194" s="673">
        <f>IFERROR(__xludf.DUMMYFUNCTION("""COMPUTED_VALUE"""),0.0)</f>
        <v>0</v>
      </c>
      <c r="BH194" s="673" t="str">
        <f>IFERROR(__xludf.DUMMYFUNCTION("""COMPUTED_VALUE"""),"#N/A")</f>
        <v>#N/A</v>
      </c>
      <c r="BI194" s="673" t="str">
        <f>IFERROR(__xludf.DUMMYFUNCTION("""COMPUTED_VALUE"""),"#N/A")</f>
        <v>#N/A</v>
      </c>
      <c r="BJ194" s="673">
        <f>IFERROR(__xludf.DUMMYFUNCTION("""COMPUTED_VALUE"""),0.0)</f>
        <v>0</v>
      </c>
      <c r="BK194" s="673">
        <f>IFERROR(__xludf.DUMMYFUNCTION("""COMPUTED_VALUE"""),0.0)</f>
        <v>0</v>
      </c>
      <c r="BL194" s="673" t="str">
        <f>IFERROR(__xludf.DUMMYFUNCTION("""COMPUTED_VALUE"""),"#N/A")</f>
        <v>#N/A</v>
      </c>
      <c r="BM194" s="674" t="str">
        <f>IFERROR(__xludf.DUMMYFUNCTION("""COMPUTED_VALUE"""),"#N/A")</f>
        <v>#N/A</v>
      </c>
      <c r="BN194" s="674" t="str">
        <f>IFERROR(__xludf.DUMMYFUNCTION("""COMPUTED_VALUE"""),"#N/A")</f>
        <v>#N/A</v>
      </c>
      <c r="BO194" s="675">
        <f>IFERROR(__xludf.DUMMYFUNCTION("""COMPUTED_VALUE"""),0.0)</f>
        <v>0</v>
      </c>
      <c r="BP194" s="675" t="str">
        <f>IFERROR(__xludf.DUMMYFUNCTION("""COMPUTED_VALUE"""),"#N/A")</f>
        <v>#N/A</v>
      </c>
      <c r="BQ194" s="139"/>
      <c r="BR194" s="139" t="str">
        <f>IFERROR(__xludf.DUMMYFUNCTION("""COMPUTED_VALUE"""),"#N/A")</f>
        <v>#N/A</v>
      </c>
      <c r="BS194" s="139" t="str">
        <f>IFERROR(__xludf.DUMMYFUNCTION("""COMPUTED_VALUE"""),"※移動を入力！(BV列)")</f>
        <v>※移動を入力！(BV列)</v>
      </c>
      <c r="BT194" s="139" t="str">
        <f>IFERROR(__xludf.DUMMYFUNCTION("""COMPUTED_VALUE"""),"※攻撃手段を入力(BQ列)")</f>
        <v>※攻撃手段を入力(BQ列)</v>
      </c>
      <c r="BU194" s="139">
        <f>IFERROR(__xludf.DUMMYFUNCTION("""COMPUTED_VALUE"""),0.0)</f>
        <v>0</v>
      </c>
      <c r="BV194" s="139"/>
      <c r="BW194" s="139"/>
      <c r="BX194" s="139" t="str">
        <f>IFERROR(__xludf.DUMMYFUNCTION("""COMPUTED_VALUE"""),"※特性を選択!!(BW列)")</f>
        <v>※特性を選択!!(BW列)</v>
      </c>
      <c r="BY194" s="139" t="str">
        <f>IFERROR(__xludf.DUMMYFUNCTION("""COMPUTED_VALUE"""),"#N/A")</f>
        <v>#N/A</v>
      </c>
      <c r="BZ194" s="139"/>
      <c r="CA194" s="139" t="str">
        <f>IFERROR(__xludf.DUMMYFUNCTION("""COMPUTED_VALUE"""),"※特性を選択!!(BW列)")</f>
        <v>※特性を選択!!(BW列)</v>
      </c>
      <c r="CB194" s="139" t="str">
        <f>IFERROR(__xludf.DUMMYFUNCTION("""COMPUTED_VALUE"""),"#N/A")</f>
        <v>#N/A</v>
      </c>
      <c r="CC194" s="139" t="str">
        <f>IFERROR(__xludf.DUMMYFUNCTION("""COMPUTED_VALUE"""),"該当なし")</f>
        <v>該当なし</v>
      </c>
      <c r="CD194" s="139"/>
      <c r="CE194" s="139" t="str">
        <f>IFERROR(__xludf.DUMMYFUNCTION("""COMPUTED_VALUE"""),"#N/A")</f>
        <v>#N/A</v>
      </c>
      <c r="CF194" s="139" t="str">
        <f>IFERROR(__xludf.DUMMYFUNCTION("""COMPUTED_VALUE"""),"#VALUE!")</f>
        <v>#VALUE!</v>
      </c>
      <c r="CG194" s="139"/>
      <c r="CH194" s="139"/>
      <c r="CI194" s="139" t="str">
        <f>IFERROR(__xludf.DUMMYFUNCTION("""COMPUTED_VALUE"""),"#N/A")</f>
        <v>#N/A</v>
      </c>
      <c r="CJ194" s="139" t="str">
        <f>IFERROR(__xludf.DUMMYFUNCTION("""COMPUTED_VALUE"""),"#VALUE!")</f>
        <v>#VALUE!</v>
      </c>
      <c r="CK194" s="139"/>
      <c r="CL194" s="139"/>
      <c r="CM194" s="139"/>
      <c r="CN194" s="675" t="str">
        <f>IFERROR(__xludf.DUMMYFUNCTION("""COMPUTED_VALUE"""),"#N/A")</f>
        <v>#N/A</v>
      </c>
      <c r="CO194" s="139" t="str">
        <f>IFERROR(__xludf.DUMMYFUNCTION("""COMPUTED_VALUE"""),"-")</f>
        <v>-</v>
      </c>
      <c r="CP194" s="139" t="str">
        <f>IFERROR(__xludf.DUMMYFUNCTION("""COMPUTED_VALUE"""),"-")</f>
        <v>-</v>
      </c>
      <c r="CQ194" s="139" t="str">
        <f>IFERROR(__xludf.DUMMYFUNCTION("""COMPUTED_VALUE"""),"#N/A")</f>
        <v>#N/A</v>
      </c>
      <c r="CR194" s="139"/>
      <c r="CS194" s="139"/>
      <c r="CT194" s="139"/>
      <c r="CU194" s="139"/>
      <c r="CV194" s="139"/>
      <c r="CW194" s="139"/>
      <c r="CX194" s="674" t="str">
        <f>IFERROR(__xludf.DUMMYFUNCTION("""COMPUTED_VALUE"""),"")</f>
        <v/>
      </c>
      <c r="CY194" s="675" t="str">
        <f>IFERROR(__xludf.DUMMYFUNCTION("""COMPUTED_VALUE"""),"")</f>
        <v/>
      </c>
      <c r="CZ194" s="688" t="str">
        <f>IFERROR(__xludf.DUMMYFUNCTION("""COMPUTED_VALUE"""),"-")</f>
        <v>-</v>
      </c>
      <c r="DA194" s="688">
        <f>IFERROR(__xludf.DUMMYFUNCTION("""COMPUTED_VALUE"""),0.0)</f>
        <v>0</v>
      </c>
      <c r="DB194" s="688">
        <f>IFERROR(__xludf.DUMMYFUNCTION("""COMPUTED_VALUE"""),0.0)</f>
        <v>0</v>
      </c>
      <c r="DC194" s="673" t="str">
        <f>IFERROR(__xludf.DUMMYFUNCTION("""COMPUTED_VALUE"""),"-")</f>
        <v>-</v>
      </c>
      <c r="DD194" s="673" t="str">
        <f>IFERROR(__xludf.DUMMYFUNCTION("""COMPUTED_VALUE"""),"-")</f>
        <v>-</v>
      </c>
      <c r="DE194" s="139" t="str">
        <f>IFERROR(__xludf.DUMMYFUNCTION("""COMPUTED_VALUE"""),"-")</f>
        <v>-</v>
      </c>
      <c r="DF194" s="139" t="str">
        <f>IFERROR(__xludf.DUMMYFUNCTION("""COMPUTED_VALUE"""),"-")</f>
        <v>-</v>
      </c>
      <c r="DG194" s="139" t="str">
        <f>IFERROR(__xludf.DUMMYFUNCTION("""COMPUTED_VALUE"""),"-")</f>
        <v>-</v>
      </c>
      <c r="DH194" s="139" t="str">
        <f>IFERROR(__xludf.DUMMYFUNCTION("""COMPUTED_VALUE"""),"-")</f>
        <v>-</v>
      </c>
      <c r="DI194" s="139" t="str">
        <f>IFERROR(__xludf.DUMMYFUNCTION("""COMPUTED_VALUE"""),"-")</f>
        <v>-</v>
      </c>
      <c r="DJ194" s="139" t="str">
        <f>IFERROR(__xludf.DUMMYFUNCTION("""COMPUTED_VALUE"""),"-")</f>
        <v>-</v>
      </c>
    </row>
    <row r="195">
      <c r="A195" s="139" t="str">
        <f>IFERROR(__xludf.DUMMYFUNCTION("""COMPUTED_VALUE"""),"該当なし")</f>
        <v>該当なし</v>
      </c>
      <c r="B195" s="139" t="str">
        <f>IFERROR(__xludf.DUMMYFUNCTION("""COMPUTED_VALUE"""),"該当なし")</f>
        <v>該当なし</v>
      </c>
      <c r="C195" s="139"/>
      <c r="D195" s="139" t="str">
        <f>IFERROR(__xludf.DUMMYFUNCTION("""COMPUTED_VALUE"""),"#N/A")</f>
        <v>#N/A</v>
      </c>
      <c r="E195" s="139" t="str">
        <f>IFERROR(__xludf.DUMMYFUNCTION("""COMPUTED_VALUE"""),"#N/A")</f>
        <v>#N/A</v>
      </c>
      <c r="F195" s="139" t="str">
        <f>IFERROR(__xludf.DUMMYFUNCTION("""COMPUTED_VALUE"""),"#N/A")</f>
        <v>#N/A</v>
      </c>
      <c r="G195" s="139" t="str">
        <f>IFERROR(__xludf.DUMMYFUNCTION("""COMPUTED_VALUE"""),"該当なし")</f>
        <v>該当なし</v>
      </c>
      <c r="H195" s="139" t="str">
        <f>IFERROR(__xludf.DUMMYFUNCTION("""COMPUTED_VALUE"""),"#N/A")</f>
        <v>#N/A</v>
      </c>
      <c r="I195" s="139" t="str">
        <f>IFERROR(__xludf.DUMMYFUNCTION("""COMPUTED_VALUE"""),"#N/A")</f>
        <v>#N/A</v>
      </c>
      <c r="J195" s="139" t="str">
        <f>IFERROR(__xludf.DUMMYFUNCTION("""COMPUTED_VALUE"""),"#N/A")</f>
        <v>#N/A</v>
      </c>
      <c r="K195" s="139" t="str">
        <f>IFERROR(__xludf.DUMMYFUNCTION("""COMPUTED_VALUE"""),"#N/A")</f>
        <v>#N/A</v>
      </c>
      <c r="L195" s="139" t="str">
        <f>IFERROR(__xludf.DUMMYFUNCTION("""COMPUTED_VALUE"""),"※")</f>
        <v>※</v>
      </c>
      <c r="M195" s="674">
        <f>IFERROR(__xludf.DUMMYFUNCTION("""COMPUTED_VALUE"""),0.0)</f>
        <v>0</v>
      </c>
      <c r="N195" s="139">
        <f>IFERROR(__xludf.DUMMYFUNCTION("""COMPUTED_VALUE"""),0.0)</f>
        <v>0</v>
      </c>
      <c r="O195" s="139"/>
      <c r="P195" s="139">
        <f>IFERROR(__xludf.DUMMYFUNCTION("""COMPUTED_VALUE"""),0.0)</f>
        <v>0</v>
      </c>
      <c r="Q195" s="675">
        <f>IFERROR(__xludf.DUMMYFUNCTION("""COMPUTED_VALUE"""),0.0)</f>
        <v>0</v>
      </c>
      <c r="R195" s="675">
        <f>IFERROR(__xludf.DUMMYFUNCTION("""COMPUTED_VALUE"""),0.0)</f>
        <v>0</v>
      </c>
      <c r="S195" s="675">
        <f>IFERROR(__xludf.DUMMYFUNCTION("""COMPUTED_VALUE"""),-2.5)</f>
        <v>-2.5</v>
      </c>
      <c r="T195" s="674" t="str">
        <f>IFERROR(__xludf.DUMMYFUNCTION("""COMPUTED_VALUE"""),"#N/A")</f>
        <v>#N/A</v>
      </c>
      <c r="U195" s="675" t="str">
        <f>IFERROR(__xludf.DUMMYFUNCTION("""COMPUTED_VALUE"""),"#N/A")</f>
        <v>#N/A</v>
      </c>
      <c r="V195" s="675">
        <f>IFERROR(__xludf.DUMMYFUNCTION("""COMPUTED_VALUE"""),0.0)</f>
        <v>0</v>
      </c>
      <c r="W195" s="675" t="str">
        <f>IFERROR(__xludf.DUMMYFUNCTION("""COMPUTED_VALUE"""),"#N/A")</f>
        <v>#N/A</v>
      </c>
      <c r="X195" s="675">
        <f>IFERROR(__xludf.DUMMYFUNCTION("""COMPUTED_VALUE"""),0.0)</f>
        <v>0</v>
      </c>
      <c r="Y195" s="674" t="str">
        <f>IFERROR(__xludf.DUMMYFUNCTION("""COMPUTED_VALUE"""),"#N/A")</f>
        <v>#N/A</v>
      </c>
      <c r="Z195" s="675" t="str">
        <f>IFERROR(__xludf.DUMMYFUNCTION("""COMPUTED_VALUE"""),"#N/A")</f>
        <v>#N/A</v>
      </c>
      <c r="AA195" s="675">
        <f>IFERROR(__xludf.DUMMYFUNCTION("""COMPUTED_VALUE"""),0.0)</f>
        <v>0</v>
      </c>
      <c r="AB195" s="673" t="str">
        <f>IFERROR(__xludf.DUMMYFUNCTION("""COMPUTED_VALUE"""),"#N/A")</f>
        <v>#N/A</v>
      </c>
      <c r="AC195" s="675">
        <f>IFERROR(__xludf.DUMMYFUNCTION("""COMPUTED_VALUE"""),0.0)</f>
        <v>0</v>
      </c>
      <c r="AD195" s="674" t="str">
        <f>IFERROR(__xludf.DUMMYFUNCTION("""COMPUTED_VALUE"""),"#N/A")</f>
        <v>#N/A</v>
      </c>
      <c r="AE195" s="675" t="str">
        <f>IFERROR(__xludf.DUMMYFUNCTION("""COMPUTED_VALUE"""),"#N/A")</f>
        <v>#N/A</v>
      </c>
      <c r="AF195" s="675">
        <f>IFERROR(__xludf.DUMMYFUNCTION("""COMPUTED_VALUE"""),0.0)</f>
        <v>0</v>
      </c>
      <c r="AG195" s="675">
        <f>IFERROR(__xludf.DUMMYFUNCTION("""COMPUTED_VALUE"""),0.0)</f>
        <v>0</v>
      </c>
      <c r="AH195" s="675" t="str">
        <f>IFERROR(__xludf.DUMMYFUNCTION("""COMPUTED_VALUE"""),"#N/A")</f>
        <v>#N/A</v>
      </c>
      <c r="AI195" s="139" t="str">
        <f>IFERROR(__xludf.DUMMYFUNCTION("""COMPUTED_VALUE"""),"#N/A")</f>
        <v>#N/A</v>
      </c>
      <c r="AJ195" s="675" t="str">
        <f>IFERROR(__xludf.DUMMYFUNCTION("""COMPUTED_VALUE"""),"#N/A")</f>
        <v>#N/A</v>
      </c>
      <c r="AK195" s="139" t="str">
        <f>IFERROR(__xludf.DUMMYFUNCTION("""COMPUTED_VALUE"""),"#N/A")</f>
        <v>#N/A</v>
      </c>
      <c r="AL195" s="674" t="str">
        <f>IFERROR(__xludf.DUMMYFUNCTION("""COMPUTED_VALUE"""),"#N/A")</f>
        <v>#N/A</v>
      </c>
      <c r="AM195" s="688" t="str">
        <f>IFERROR(__xludf.DUMMYFUNCTION("""COMPUTED_VALUE"""),"#N/A")</f>
        <v>#N/A</v>
      </c>
      <c r="AN195" s="675" t="str">
        <f>IFERROR(__xludf.DUMMYFUNCTION("""COMPUTED_VALUE"""),"#N/A")</f>
        <v>#N/A</v>
      </c>
      <c r="AO195" s="675" t="str">
        <f>IFERROR(__xludf.DUMMYFUNCTION("""COMPUTED_VALUE"""),"#N/A")</f>
        <v>#N/A</v>
      </c>
      <c r="AP195" s="674">
        <f>IFERROR(__xludf.DUMMYFUNCTION("""COMPUTED_VALUE"""),0.0)</f>
        <v>0</v>
      </c>
      <c r="AQ195" s="673" t="str">
        <f>IFERROR(__xludf.DUMMYFUNCTION("""COMPUTED_VALUE"""),"#N/A")</f>
        <v>#N/A</v>
      </c>
      <c r="AR195" s="673">
        <f>IFERROR(__xludf.DUMMYFUNCTION("""COMPUTED_VALUE"""),0.0)</f>
        <v>0</v>
      </c>
      <c r="AS195" s="673">
        <f>IFERROR(__xludf.DUMMYFUNCTION("""COMPUTED_VALUE"""),0.0)</f>
        <v>0</v>
      </c>
      <c r="AT195" s="673">
        <f>IFERROR(__xludf.DUMMYFUNCTION("""COMPUTED_VALUE"""),0.0)</f>
        <v>0</v>
      </c>
      <c r="AU195" s="675" t="str">
        <f>IFERROR(__xludf.DUMMYFUNCTION("""COMPUTED_VALUE"""),"#N/A")</f>
        <v>#N/A</v>
      </c>
      <c r="AV195" s="675">
        <f>IFERROR(__xludf.DUMMYFUNCTION("""COMPUTED_VALUE"""),0.0)</f>
        <v>0</v>
      </c>
      <c r="AW195" s="139"/>
      <c r="AX195" s="674" t="str">
        <f>IFERROR(__xludf.DUMMYFUNCTION("""COMPUTED_VALUE"""),"※通常攻撃範囲を入力！(CD列)")</f>
        <v>※通常攻撃範囲を入力！(CD列)</v>
      </c>
      <c r="AY195" s="688" t="str">
        <f>IFERROR(__xludf.DUMMYFUNCTION("""COMPUTED_VALUE"""),"#VALUE!")</f>
        <v>#VALUE!</v>
      </c>
      <c r="AZ195" s="674" t="str">
        <f>IFERROR(__xludf.DUMMYFUNCTION("""COMPUTED_VALUE"""),"#N/A")</f>
        <v>#N/A</v>
      </c>
      <c r="BA195" s="688" t="str">
        <f>IFERROR(__xludf.DUMMYFUNCTION("""COMPUTED_VALUE"""),"#VALUE!")</f>
        <v>#VALUE!</v>
      </c>
      <c r="BB195" s="688" t="str">
        <f>IFERROR(__xludf.DUMMYFUNCTION("""COMPUTED_VALUE"""),"-")</f>
        <v>-</v>
      </c>
      <c r="BC195" s="688" t="str">
        <f>IFERROR(__xludf.DUMMYFUNCTION("""COMPUTED_VALUE"""),"#N/A")</f>
        <v>#N/A</v>
      </c>
      <c r="BD195" s="688" t="str">
        <f>IFERROR(__xludf.DUMMYFUNCTION("""COMPUTED_VALUE"""),"#VALUE!")</f>
        <v>#VALUE!</v>
      </c>
      <c r="BE195" s="674" t="str">
        <f>IFERROR(__xludf.DUMMYFUNCTION("""COMPUTED_VALUE"""),"#N/A")</f>
        <v>#N/A</v>
      </c>
      <c r="BF195" s="674">
        <f>IFERROR(__xludf.DUMMYFUNCTION("""COMPUTED_VALUE"""),0.0)</f>
        <v>0</v>
      </c>
      <c r="BG195" s="673">
        <f>IFERROR(__xludf.DUMMYFUNCTION("""COMPUTED_VALUE"""),0.0)</f>
        <v>0</v>
      </c>
      <c r="BH195" s="673" t="str">
        <f>IFERROR(__xludf.DUMMYFUNCTION("""COMPUTED_VALUE"""),"#N/A")</f>
        <v>#N/A</v>
      </c>
      <c r="BI195" s="673" t="str">
        <f>IFERROR(__xludf.DUMMYFUNCTION("""COMPUTED_VALUE"""),"#N/A")</f>
        <v>#N/A</v>
      </c>
      <c r="BJ195" s="673">
        <f>IFERROR(__xludf.DUMMYFUNCTION("""COMPUTED_VALUE"""),0.0)</f>
        <v>0</v>
      </c>
      <c r="BK195" s="673">
        <f>IFERROR(__xludf.DUMMYFUNCTION("""COMPUTED_VALUE"""),0.0)</f>
        <v>0</v>
      </c>
      <c r="BL195" s="673" t="str">
        <f>IFERROR(__xludf.DUMMYFUNCTION("""COMPUTED_VALUE"""),"#N/A")</f>
        <v>#N/A</v>
      </c>
      <c r="BM195" s="674" t="str">
        <f>IFERROR(__xludf.DUMMYFUNCTION("""COMPUTED_VALUE"""),"#N/A")</f>
        <v>#N/A</v>
      </c>
      <c r="BN195" s="674" t="str">
        <f>IFERROR(__xludf.DUMMYFUNCTION("""COMPUTED_VALUE"""),"#N/A")</f>
        <v>#N/A</v>
      </c>
      <c r="BO195" s="675">
        <f>IFERROR(__xludf.DUMMYFUNCTION("""COMPUTED_VALUE"""),0.0)</f>
        <v>0</v>
      </c>
      <c r="BP195" s="675" t="str">
        <f>IFERROR(__xludf.DUMMYFUNCTION("""COMPUTED_VALUE"""),"#N/A")</f>
        <v>#N/A</v>
      </c>
      <c r="BQ195" s="139"/>
      <c r="BR195" s="139" t="str">
        <f>IFERROR(__xludf.DUMMYFUNCTION("""COMPUTED_VALUE"""),"#N/A")</f>
        <v>#N/A</v>
      </c>
      <c r="BS195" s="139" t="str">
        <f>IFERROR(__xludf.DUMMYFUNCTION("""COMPUTED_VALUE"""),"※移動を入力！(BV列)")</f>
        <v>※移動を入力！(BV列)</v>
      </c>
      <c r="BT195" s="139" t="str">
        <f>IFERROR(__xludf.DUMMYFUNCTION("""COMPUTED_VALUE"""),"※攻撃手段を入力(BQ列)")</f>
        <v>※攻撃手段を入力(BQ列)</v>
      </c>
      <c r="BU195" s="139">
        <f>IFERROR(__xludf.DUMMYFUNCTION("""COMPUTED_VALUE"""),0.0)</f>
        <v>0</v>
      </c>
      <c r="BV195" s="139"/>
      <c r="BW195" s="139"/>
      <c r="BX195" s="139" t="str">
        <f>IFERROR(__xludf.DUMMYFUNCTION("""COMPUTED_VALUE"""),"※特性を選択!!(BW列)")</f>
        <v>※特性を選択!!(BW列)</v>
      </c>
      <c r="BY195" s="139" t="str">
        <f>IFERROR(__xludf.DUMMYFUNCTION("""COMPUTED_VALUE"""),"#N/A")</f>
        <v>#N/A</v>
      </c>
      <c r="BZ195" s="139"/>
      <c r="CA195" s="139" t="str">
        <f>IFERROR(__xludf.DUMMYFUNCTION("""COMPUTED_VALUE"""),"※特性を選択!!(BW列)")</f>
        <v>※特性を選択!!(BW列)</v>
      </c>
      <c r="CB195" s="139" t="str">
        <f>IFERROR(__xludf.DUMMYFUNCTION("""COMPUTED_VALUE"""),"#N/A")</f>
        <v>#N/A</v>
      </c>
      <c r="CC195" s="139" t="str">
        <f>IFERROR(__xludf.DUMMYFUNCTION("""COMPUTED_VALUE"""),"該当なし")</f>
        <v>該当なし</v>
      </c>
      <c r="CD195" s="139"/>
      <c r="CE195" s="139" t="str">
        <f>IFERROR(__xludf.DUMMYFUNCTION("""COMPUTED_VALUE"""),"#N/A")</f>
        <v>#N/A</v>
      </c>
      <c r="CF195" s="139" t="str">
        <f>IFERROR(__xludf.DUMMYFUNCTION("""COMPUTED_VALUE"""),"#VALUE!")</f>
        <v>#VALUE!</v>
      </c>
      <c r="CG195" s="139"/>
      <c r="CH195" s="139"/>
      <c r="CI195" s="139" t="str">
        <f>IFERROR(__xludf.DUMMYFUNCTION("""COMPUTED_VALUE"""),"#N/A")</f>
        <v>#N/A</v>
      </c>
      <c r="CJ195" s="139" t="str">
        <f>IFERROR(__xludf.DUMMYFUNCTION("""COMPUTED_VALUE"""),"#VALUE!")</f>
        <v>#VALUE!</v>
      </c>
      <c r="CK195" s="139"/>
      <c r="CL195" s="139"/>
      <c r="CM195" s="139"/>
      <c r="CN195" s="675" t="str">
        <f>IFERROR(__xludf.DUMMYFUNCTION("""COMPUTED_VALUE"""),"#N/A")</f>
        <v>#N/A</v>
      </c>
      <c r="CO195" s="139" t="str">
        <f>IFERROR(__xludf.DUMMYFUNCTION("""COMPUTED_VALUE"""),"-")</f>
        <v>-</v>
      </c>
      <c r="CP195" s="139" t="str">
        <f>IFERROR(__xludf.DUMMYFUNCTION("""COMPUTED_VALUE"""),"-")</f>
        <v>-</v>
      </c>
      <c r="CQ195" s="139" t="str">
        <f>IFERROR(__xludf.DUMMYFUNCTION("""COMPUTED_VALUE"""),"#N/A")</f>
        <v>#N/A</v>
      </c>
      <c r="CR195" s="139"/>
      <c r="CS195" s="139"/>
      <c r="CT195" s="139"/>
      <c r="CU195" s="139"/>
      <c r="CV195" s="139"/>
      <c r="CW195" s="139"/>
      <c r="CX195" s="674" t="str">
        <f>IFERROR(__xludf.DUMMYFUNCTION("""COMPUTED_VALUE"""),"")</f>
        <v/>
      </c>
      <c r="CY195" s="675" t="str">
        <f>IFERROR(__xludf.DUMMYFUNCTION("""COMPUTED_VALUE"""),"")</f>
        <v/>
      </c>
      <c r="CZ195" s="688" t="str">
        <f>IFERROR(__xludf.DUMMYFUNCTION("""COMPUTED_VALUE"""),"-")</f>
        <v>-</v>
      </c>
      <c r="DA195" s="688">
        <f>IFERROR(__xludf.DUMMYFUNCTION("""COMPUTED_VALUE"""),0.0)</f>
        <v>0</v>
      </c>
      <c r="DB195" s="688">
        <f>IFERROR(__xludf.DUMMYFUNCTION("""COMPUTED_VALUE"""),0.0)</f>
        <v>0</v>
      </c>
      <c r="DC195" s="673" t="str">
        <f>IFERROR(__xludf.DUMMYFUNCTION("""COMPUTED_VALUE"""),"-")</f>
        <v>-</v>
      </c>
      <c r="DD195" s="673" t="str">
        <f>IFERROR(__xludf.DUMMYFUNCTION("""COMPUTED_VALUE"""),"-")</f>
        <v>-</v>
      </c>
      <c r="DE195" s="139" t="str">
        <f>IFERROR(__xludf.DUMMYFUNCTION("""COMPUTED_VALUE"""),"-")</f>
        <v>-</v>
      </c>
      <c r="DF195" s="139" t="str">
        <f>IFERROR(__xludf.DUMMYFUNCTION("""COMPUTED_VALUE"""),"-")</f>
        <v>-</v>
      </c>
      <c r="DG195" s="139" t="str">
        <f>IFERROR(__xludf.DUMMYFUNCTION("""COMPUTED_VALUE"""),"-")</f>
        <v>-</v>
      </c>
      <c r="DH195" s="139" t="str">
        <f>IFERROR(__xludf.DUMMYFUNCTION("""COMPUTED_VALUE"""),"-")</f>
        <v>-</v>
      </c>
      <c r="DI195" s="139" t="str">
        <f>IFERROR(__xludf.DUMMYFUNCTION("""COMPUTED_VALUE"""),"-")</f>
        <v>-</v>
      </c>
      <c r="DJ195" s="139" t="str">
        <f>IFERROR(__xludf.DUMMYFUNCTION("""COMPUTED_VALUE"""),"-")</f>
        <v>-</v>
      </c>
    </row>
    <row r="196">
      <c r="A196" s="139" t="str">
        <f>IFERROR(__xludf.DUMMYFUNCTION("""COMPUTED_VALUE"""),"該当なし")</f>
        <v>該当なし</v>
      </c>
      <c r="B196" s="139" t="str">
        <f>IFERROR(__xludf.DUMMYFUNCTION("""COMPUTED_VALUE"""),"該当なし")</f>
        <v>該当なし</v>
      </c>
      <c r="C196" s="139"/>
      <c r="D196" s="139" t="str">
        <f>IFERROR(__xludf.DUMMYFUNCTION("""COMPUTED_VALUE"""),"#N/A")</f>
        <v>#N/A</v>
      </c>
      <c r="E196" s="139" t="str">
        <f>IFERROR(__xludf.DUMMYFUNCTION("""COMPUTED_VALUE"""),"#N/A")</f>
        <v>#N/A</v>
      </c>
      <c r="F196" s="139" t="str">
        <f>IFERROR(__xludf.DUMMYFUNCTION("""COMPUTED_VALUE"""),"#N/A")</f>
        <v>#N/A</v>
      </c>
      <c r="G196" s="139" t="str">
        <f>IFERROR(__xludf.DUMMYFUNCTION("""COMPUTED_VALUE"""),"該当なし")</f>
        <v>該当なし</v>
      </c>
      <c r="H196" s="139" t="str">
        <f>IFERROR(__xludf.DUMMYFUNCTION("""COMPUTED_VALUE"""),"#N/A")</f>
        <v>#N/A</v>
      </c>
      <c r="I196" s="139" t="str">
        <f>IFERROR(__xludf.DUMMYFUNCTION("""COMPUTED_VALUE"""),"#N/A")</f>
        <v>#N/A</v>
      </c>
      <c r="J196" s="139" t="str">
        <f>IFERROR(__xludf.DUMMYFUNCTION("""COMPUTED_VALUE"""),"#N/A")</f>
        <v>#N/A</v>
      </c>
      <c r="K196" s="139" t="str">
        <f>IFERROR(__xludf.DUMMYFUNCTION("""COMPUTED_VALUE"""),"#N/A")</f>
        <v>#N/A</v>
      </c>
      <c r="L196" s="139" t="str">
        <f>IFERROR(__xludf.DUMMYFUNCTION("""COMPUTED_VALUE"""),"※")</f>
        <v>※</v>
      </c>
      <c r="M196" s="674">
        <f>IFERROR(__xludf.DUMMYFUNCTION("""COMPUTED_VALUE"""),0.0)</f>
        <v>0</v>
      </c>
      <c r="N196" s="139">
        <f>IFERROR(__xludf.DUMMYFUNCTION("""COMPUTED_VALUE"""),0.0)</f>
        <v>0</v>
      </c>
      <c r="O196" s="139"/>
      <c r="P196" s="139">
        <f>IFERROR(__xludf.DUMMYFUNCTION("""COMPUTED_VALUE"""),0.0)</f>
        <v>0</v>
      </c>
      <c r="Q196" s="675">
        <f>IFERROR(__xludf.DUMMYFUNCTION("""COMPUTED_VALUE"""),0.0)</f>
        <v>0</v>
      </c>
      <c r="R196" s="675">
        <f>IFERROR(__xludf.DUMMYFUNCTION("""COMPUTED_VALUE"""),0.0)</f>
        <v>0</v>
      </c>
      <c r="S196" s="675">
        <f>IFERROR(__xludf.DUMMYFUNCTION("""COMPUTED_VALUE"""),-2.5)</f>
        <v>-2.5</v>
      </c>
      <c r="T196" s="674" t="str">
        <f>IFERROR(__xludf.DUMMYFUNCTION("""COMPUTED_VALUE"""),"#N/A")</f>
        <v>#N/A</v>
      </c>
      <c r="U196" s="675" t="str">
        <f>IFERROR(__xludf.DUMMYFUNCTION("""COMPUTED_VALUE"""),"#N/A")</f>
        <v>#N/A</v>
      </c>
      <c r="V196" s="675">
        <f>IFERROR(__xludf.DUMMYFUNCTION("""COMPUTED_VALUE"""),0.0)</f>
        <v>0</v>
      </c>
      <c r="W196" s="675" t="str">
        <f>IFERROR(__xludf.DUMMYFUNCTION("""COMPUTED_VALUE"""),"#N/A")</f>
        <v>#N/A</v>
      </c>
      <c r="X196" s="675">
        <f>IFERROR(__xludf.DUMMYFUNCTION("""COMPUTED_VALUE"""),0.0)</f>
        <v>0</v>
      </c>
      <c r="Y196" s="674" t="str">
        <f>IFERROR(__xludf.DUMMYFUNCTION("""COMPUTED_VALUE"""),"#N/A")</f>
        <v>#N/A</v>
      </c>
      <c r="Z196" s="675" t="str">
        <f>IFERROR(__xludf.DUMMYFUNCTION("""COMPUTED_VALUE"""),"#N/A")</f>
        <v>#N/A</v>
      </c>
      <c r="AA196" s="675">
        <f>IFERROR(__xludf.DUMMYFUNCTION("""COMPUTED_VALUE"""),0.0)</f>
        <v>0</v>
      </c>
      <c r="AB196" s="673" t="str">
        <f>IFERROR(__xludf.DUMMYFUNCTION("""COMPUTED_VALUE"""),"#N/A")</f>
        <v>#N/A</v>
      </c>
      <c r="AC196" s="675">
        <f>IFERROR(__xludf.DUMMYFUNCTION("""COMPUTED_VALUE"""),0.0)</f>
        <v>0</v>
      </c>
      <c r="AD196" s="674" t="str">
        <f>IFERROR(__xludf.DUMMYFUNCTION("""COMPUTED_VALUE"""),"#N/A")</f>
        <v>#N/A</v>
      </c>
      <c r="AE196" s="675" t="str">
        <f>IFERROR(__xludf.DUMMYFUNCTION("""COMPUTED_VALUE"""),"#N/A")</f>
        <v>#N/A</v>
      </c>
      <c r="AF196" s="675">
        <f>IFERROR(__xludf.DUMMYFUNCTION("""COMPUTED_VALUE"""),0.0)</f>
        <v>0</v>
      </c>
      <c r="AG196" s="675">
        <f>IFERROR(__xludf.DUMMYFUNCTION("""COMPUTED_VALUE"""),0.0)</f>
        <v>0</v>
      </c>
      <c r="AH196" s="675" t="str">
        <f>IFERROR(__xludf.DUMMYFUNCTION("""COMPUTED_VALUE"""),"#N/A")</f>
        <v>#N/A</v>
      </c>
      <c r="AI196" s="139" t="str">
        <f>IFERROR(__xludf.DUMMYFUNCTION("""COMPUTED_VALUE"""),"#N/A")</f>
        <v>#N/A</v>
      </c>
      <c r="AJ196" s="675" t="str">
        <f>IFERROR(__xludf.DUMMYFUNCTION("""COMPUTED_VALUE"""),"#N/A")</f>
        <v>#N/A</v>
      </c>
      <c r="AK196" s="139" t="str">
        <f>IFERROR(__xludf.DUMMYFUNCTION("""COMPUTED_VALUE"""),"#N/A")</f>
        <v>#N/A</v>
      </c>
      <c r="AL196" s="674" t="str">
        <f>IFERROR(__xludf.DUMMYFUNCTION("""COMPUTED_VALUE"""),"#N/A")</f>
        <v>#N/A</v>
      </c>
      <c r="AM196" s="688" t="str">
        <f>IFERROR(__xludf.DUMMYFUNCTION("""COMPUTED_VALUE"""),"#N/A")</f>
        <v>#N/A</v>
      </c>
      <c r="AN196" s="675" t="str">
        <f>IFERROR(__xludf.DUMMYFUNCTION("""COMPUTED_VALUE"""),"#N/A")</f>
        <v>#N/A</v>
      </c>
      <c r="AO196" s="675" t="str">
        <f>IFERROR(__xludf.DUMMYFUNCTION("""COMPUTED_VALUE"""),"#N/A")</f>
        <v>#N/A</v>
      </c>
      <c r="AP196" s="674">
        <f>IFERROR(__xludf.DUMMYFUNCTION("""COMPUTED_VALUE"""),0.0)</f>
        <v>0</v>
      </c>
      <c r="AQ196" s="673" t="str">
        <f>IFERROR(__xludf.DUMMYFUNCTION("""COMPUTED_VALUE"""),"#N/A")</f>
        <v>#N/A</v>
      </c>
      <c r="AR196" s="673">
        <f>IFERROR(__xludf.DUMMYFUNCTION("""COMPUTED_VALUE"""),0.0)</f>
        <v>0</v>
      </c>
      <c r="AS196" s="673">
        <f>IFERROR(__xludf.DUMMYFUNCTION("""COMPUTED_VALUE"""),0.0)</f>
        <v>0</v>
      </c>
      <c r="AT196" s="673">
        <f>IFERROR(__xludf.DUMMYFUNCTION("""COMPUTED_VALUE"""),0.0)</f>
        <v>0</v>
      </c>
      <c r="AU196" s="675" t="str">
        <f>IFERROR(__xludf.DUMMYFUNCTION("""COMPUTED_VALUE"""),"#N/A")</f>
        <v>#N/A</v>
      </c>
      <c r="AV196" s="675">
        <f>IFERROR(__xludf.DUMMYFUNCTION("""COMPUTED_VALUE"""),0.0)</f>
        <v>0</v>
      </c>
      <c r="AW196" s="139"/>
      <c r="AX196" s="674" t="str">
        <f>IFERROR(__xludf.DUMMYFUNCTION("""COMPUTED_VALUE"""),"※通常攻撃範囲を入力！(CD列)")</f>
        <v>※通常攻撃範囲を入力！(CD列)</v>
      </c>
      <c r="AY196" s="688" t="str">
        <f>IFERROR(__xludf.DUMMYFUNCTION("""COMPUTED_VALUE"""),"#VALUE!")</f>
        <v>#VALUE!</v>
      </c>
      <c r="AZ196" s="674" t="str">
        <f>IFERROR(__xludf.DUMMYFUNCTION("""COMPUTED_VALUE"""),"#N/A")</f>
        <v>#N/A</v>
      </c>
      <c r="BA196" s="688" t="str">
        <f>IFERROR(__xludf.DUMMYFUNCTION("""COMPUTED_VALUE"""),"#VALUE!")</f>
        <v>#VALUE!</v>
      </c>
      <c r="BB196" s="688" t="str">
        <f>IFERROR(__xludf.DUMMYFUNCTION("""COMPUTED_VALUE"""),"-")</f>
        <v>-</v>
      </c>
      <c r="BC196" s="688" t="str">
        <f>IFERROR(__xludf.DUMMYFUNCTION("""COMPUTED_VALUE"""),"#N/A")</f>
        <v>#N/A</v>
      </c>
      <c r="BD196" s="688" t="str">
        <f>IFERROR(__xludf.DUMMYFUNCTION("""COMPUTED_VALUE"""),"#VALUE!")</f>
        <v>#VALUE!</v>
      </c>
      <c r="BE196" s="674" t="str">
        <f>IFERROR(__xludf.DUMMYFUNCTION("""COMPUTED_VALUE"""),"#N/A")</f>
        <v>#N/A</v>
      </c>
      <c r="BF196" s="674">
        <f>IFERROR(__xludf.DUMMYFUNCTION("""COMPUTED_VALUE"""),0.0)</f>
        <v>0</v>
      </c>
      <c r="BG196" s="673">
        <f>IFERROR(__xludf.DUMMYFUNCTION("""COMPUTED_VALUE"""),0.0)</f>
        <v>0</v>
      </c>
      <c r="BH196" s="673" t="str">
        <f>IFERROR(__xludf.DUMMYFUNCTION("""COMPUTED_VALUE"""),"#N/A")</f>
        <v>#N/A</v>
      </c>
      <c r="BI196" s="673" t="str">
        <f>IFERROR(__xludf.DUMMYFUNCTION("""COMPUTED_VALUE"""),"#N/A")</f>
        <v>#N/A</v>
      </c>
      <c r="BJ196" s="673">
        <f>IFERROR(__xludf.DUMMYFUNCTION("""COMPUTED_VALUE"""),0.0)</f>
        <v>0</v>
      </c>
      <c r="BK196" s="673">
        <f>IFERROR(__xludf.DUMMYFUNCTION("""COMPUTED_VALUE"""),0.0)</f>
        <v>0</v>
      </c>
      <c r="BL196" s="673" t="str">
        <f>IFERROR(__xludf.DUMMYFUNCTION("""COMPUTED_VALUE"""),"#N/A")</f>
        <v>#N/A</v>
      </c>
      <c r="BM196" s="674" t="str">
        <f>IFERROR(__xludf.DUMMYFUNCTION("""COMPUTED_VALUE"""),"#N/A")</f>
        <v>#N/A</v>
      </c>
      <c r="BN196" s="674" t="str">
        <f>IFERROR(__xludf.DUMMYFUNCTION("""COMPUTED_VALUE"""),"#N/A")</f>
        <v>#N/A</v>
      </c>
      <c r="BO196" s="675">
        <f>IFERROR(__xludf.DUMMYFUNCTION("""COMPUTED_VALUE"""),0.0)</f>
        <v>0</v>
      </c>
      <c r="BP196" s="675" t="str">
        <f>IFERROR(__xludf.DUMMYFUNCTION("""COMPUTED_VALUE"""),"#N/A")</f>
        <v>#N/A</v>
      </c>
      <c r="BQ196" s="139"/>
      <c r="BR196" s="139" t="str">
        <f>IFERROR(__xludf.DUMMYFUNCTION("""COMPUTED_VALUE"""),"#N/A")</f>
        <v>#N/A</v>
      </c>
      <c r="BS196" s="139" t="str">
        <f>IFERROR(__xludf.DUMMYFUNCTION("""COMPUTED_VALUE"""),"※移動を入力！(BV列)")</f>
        <v>※移動を入力！(BV列)</v>
      </c>
      <c r="BT196" s="139" t="str">
        <f>IFERROR(__xludf.DUMMYFUNCTION("""COMPUTED_VALUE"""),"※攻撃手段を入力(BQ列)")</f>
        <v>※攻撃手段を入力(BQ列)</v>
      </c>
      <c r="BU196" s="139">
        <f>IFERROR(__xludf.DUMMYFUNCTION("""COMPUTED_VALUE"""),0.0)</f>
        <v>0</v>
      </c>
      <c r="BV196" s="139"/>
      <c r="BW196" s="139"/>
      <c r="BX196" s="139" t="str">
        <f>IFERROR(__xludf.DUMMYFUNCTION("""COMPUTED_VALUE"""),"※特性を選択!!(BW列)")</f>
        <v>※特性を選択!!(BW列)</v>
      </c>
      <c r="BY196" s="139" t="str">
        <f>IFERROR(__xludf.DUMMYFUNCTION("""COMPUTED_VALUE"""),"#N/A")</f>
        <v>#N/A</v>
      </c>
      <c r="BZ196" s="139"/>
      <c r="CA196" s="139" t="str">
        <f>IFERROR(__xludf.DUMMYFUNCTION("""COMPUTED_VALUE"""),"※特性を選択!!(BW列)")</f>
        <v>※特性を選択!!(BW列)</v>
      </c>
      <c r="CB196" s="139" t="str">
        <f>IFERROR(__xludf.DUMMYFUNCTION("""COMPUTED_VALUE"""),"#N/A")</f>
        <v>#N/A</v>
      </c>
      <c r="CC196" s="139" t="str">
        <f>IFERROR(__xludf.DUMMYFUNCTION("""COMPUTED_VALUE"""),"該当なし")</f>
        <v>該当なし</v>
      </c>
      <c r="CD196" s="139"/>
      <c r="CE196" s="139" t="str">
        <f>IFERROR(__xludf.DUMMYFUNCTION("""COMPUTED_VALUE"""),"#N/A")</f>
        <v>#N/A</v>
      </c>
      <c r="CF196" s="139" t="str">
        <f>IFERROR(__xludf.DUMMYFUNCTION("""COMPUTED_VALUE"""),"#VALUE!")</f>
        <v>#VALUE!</v>
      </c>
      <c r="CG196" s="139"/>
      <c r="CH196" s="139"/>
      <c r="CI196" s="139" t="str">
        <f>IFERROR(__xludf.DUMMYFUNCTION("""COMPUTED_VALUE"""),"#N/A")</f>
        <v>#N/A</v>
      </c>
      <c r="CJ196" s="139" t="str">
        <f>IFERROR(__xludf.DUMMYFUNCTION("""COMPUTED_VALUE"""),"#VALUE!")</f>
        <v>#VALUE!</v>
      </c>
      <c r="CK196" s="139"/>
      <c r="CL196" s="139"/>
      <c r="CM196" s="139"/>
      <c r="CN196" s="675" t="str">
        <f>IFERROR(__xludf.DUMMYFUNCTION("""COMPUTED_VALUE"""),"#N/A")</f>
        <v>#N/A</v>
      </c>
      <c r="CO196" s="139" t="str">
        <f>IFERROR(__xludf.DUMMYFUNCTION("""COMPUTED_VALUE"""),"-")</f>
        <v>-</v>
      </c>
      <c r="CP196" s="139" t="str">
        <f>IFERROR(__xludf.DUMMYFUNCTION("""COMPUTED_VALUE"""),"-")</f>
        <v>-</v>
      </c>
      <c r="CQ196" s="139" t="str">
        <f>IFERROR(__xludf.DUMMYFUNCTION("""COMPUTED_VALUE"""),"#N/A")</f>
        <v>#N/A</v>
      </c>
      <c r="CR196" s="139"/>
      <c r="CS196" s="139"/>
      <c r="CT196" s="139"/>
      <c r="CU196" s="139"/>
      <c r="CV196" s="139"/>
      <c r="CW196" s="139"/>
      <c r="CX196" s="674" t="str">
        <f>IFERROR(__xludf.DUMMYFUNCTION("""COMPUTED_VALUE"""),"")</f>
        <v/>
      </c>
      <c r="CY196" s="675" t="str">
        <f>IFERROR(__xludf.DUMMYFUNCTION("""COMPUTED_VALUE"""),"")</f>
        <v/>
      </c>
      <c r="CZ196" s="688" t="str">
        <f>IFERROR(__xludf.DUMMYFUNCTION("""COMPUTED_VALUE"""),"-")</f>
        <v>-</v>
      </c>
      <c r="DA196" s="688">
        <f>IFERROR(__xludf.DUMMYFUNCTION("""COMPUTED_VALUE"""),0.0)</f>
        <v>0</v>
      </c>
      <c r="DB196" s="688">
        <f>IFERROR(__xludf.DUMMYFUNCTION("""COMPUTED_VALUE"""),0.0)</f>
        <v>0</v>
      </c>
      <c r="DC196" s="673" t="str">
        <f>IFERROR(__xludf.DUMMYFUNCTION("""COMPUTED_VALUE"""),"-")</f>
        <v>-</v>
      </c>
      <c r="DD196" s="673" t="str">
        <f>IFERROR(__xludf.DUMMYFUNCTION("""COMPUTED_VALUE"""),"-")</f>
        <v>-</v>
      </c>
      <c r="DE196" s="139" t="str">
        <f>IFERROR(__xludf.DUMMYFUNCTION("""COMPUTED_VALUE"""),"-")</f>
        <v>-</v>
      </c>
      <c r="DF196" s="139" t="str">
        <f>IFERROR(__xludf.DUMMYFUNCTION("""COMPUTED_VALUE"""),"-")</f>
        <v>-</v>
      </c>
      <c r="DG196" s="139" t="str">
        <f>IFERROR(__xludf.DUMMYFUNCTION("""COMPUTED_VALUE"""),"-")</f>
        <v>-</v>
      </c>
      <c r="DH196" s="139" t="str">
        <f>IFERROR(__xludf.DUMMYFUNCTION("""COMPUTED_VALUE"""),"-")</f>
        <v>-</v>
      </c>
      <c r="DI196" s="139" t="str">
        <f>IFERROR(__xludf.DUMMYFUNCTION("""COMPUTED_VALUE"""),"-")</f>
        <v>-</v>
      </c>
      <c r="DJ196" s="139" t="str">
        <f>IFERROR(__xludf.DUMMYFUNCTION("""COMPUTED_VALUE"""),"-")</f>
        <v>-</v>
      </c>
    </row>
    <row r="197">
      <c r="A197" s="139" t="str">
        <f>IFERROR(__xludf.DUMMYFUNCTION("""COMPUTED_VALUE"""),"該当なし")</f>
        <v>該当なし</v>
      </c>
      <c r="B197" s="139" t="str">
        <f>IFERROR(__xludf.DUMMYFUNCTION("""COMPUTED_VALUE"""),"該当なし")</f>
        <v>該当なし</v>
      </c>
      <c r="C197" s="139"/>
      <c r="D197" s="139" t="str">
        <f>IFERROR(__xludf.DUMMYFUNCTION("""COMPUTED_VALUE"""),"#N/A")</f>
        <v>#N/A</v>
      </c>
      <c r="E197" s="139" t="str">
        <f>IFERROR(__xludf.DUMMYFUNCTION("""COMPUTED_VALUE"""),"#N/A")</f>
        <v>#N/A</v>
      </c>
      <c r="F197" s="139" t="str">
        <f>IFERROR(__xludf.DUMMYFUNCTION("""COMPUTED_VALUE"""),"#N/A")</f>
        <v>#N/A</v>
      </c>
      <c r="G197" s="139" t="str">
        <f>IFERROR(__xludf.DUMMYFUNCTION("""COMPUTED_VALUE"""),"該当なし")</f>
        <v>該当なし</v>
      </c>
      <c r="H197" s="139" t="str">
        <f>IFERROR(__xludf.DUMMYFUNCTION("""COMPUTED_VALUE"""),"#N/A")</f>
        <v>#N/A</v>
      </c>
      <c r="I197" s="139" t="str">
        <f>IFERROR(__xludf.DUMMYFUNCTION("""COMPUTED_VALUE"""),"#N/A")</f>
        <v>#N/A</v>
      </c>
      <c r="J197" s="139" t="str">
        <f>IFERROR(__xludf.DUMMYFUNCTION("""COMPUTED_VALUE"""),"#N/A")</f>
        <v>#N/A</v>
      </c>
      <c r="K197" s="139" t="str">
        <f>IFERROR(__xludf.DUMMYFUNCTION("""COMPUTED_VALUE"""),"#N/A")</f>
        <v>#N/A</v>
      </c>
      <c r="L197" s="139" t="str">
        <f>IFERROR(__xludf.DUMMYFUNCTION("""COMPUTED_VALUE"""),"※")</f>
        <v>※</v>
      </c>
      <c r="M197" s="674">
        <f>IFERROR(__xludf.DUMMYFUNCTION("""COMPUTED_VALUE"""),0.0)</f>
        <v>0</v>
      </c>
      <c r="N197" s="139">
        <f>IFERROR(__xludf.DUMMYFUNCTION("""COMPUTED_VALUE"""),0.0)</f>
        <v>0</v>
      </c>
      <c r="O197" s="139"/>
      <c r="P197" s="139">
        <f>IFERROR(__xludf.DUMMYFUNCTION("""COMPUTED_VALUE"""),0.0)</f>
        <v>0</v>
      </c>
      <c r="Q197" s="675">
        <f>IFERROR(__xludf.DUMMYFUNCTION("""COMPUTED_VALUE"""),0.0)</f>
        <v>0</v>
      </c>
      <c r="R197" s="675">
        <f>IFERROR(__xludf.DUMMYFUNCTION("""COMPUTED_VALUE"""),0.0)</f>
        <v>0</v>
      </c>
      <c r="S197" s="675">
        <f>IFERROR(__xludf.DUMMYFUNCTION("""COMPUTED_VALUE"""),-2.5)</f>
        <v>-2.5</v>
      </c>
      <c r="T197" s="674" t="str">
        <f>IFERROR(__xludf.DUMMYFUNCTION("""COMPUTED_VALUE"""),"#N/A")</f>
        <v>#N/A</v>
      </c>
      <c r="U197" s="675" t="str">
        <f>IFERROR(__xludf.DUMMYFUNCTION("""COMPUTED_VALUE"""),"#N/A")</f>
        <v>#N/A</v>
      </c>
      <c r="V197" s="675">
        <f>IFERROR(__xludf.DUMMYFUNCTION("""COMPUTED_VALUE"""),0.0)</f>
        <v>0</v>
      </c>
      <c r="W197" s="675" t="str">
        <f>IFERROR(__xludf.DUMMYFUNCTION("""COMPUTED_VALUE"""),"#N/A")</f>
        <v>#N/A</v>
      </c>
      <c r="X197" s="675">
        <f>IFERROR(__xludf.DUMMYFUNCTION("""COMPUTED_VALUE"""),0.0)</f>
        <v>0</v>
      </c>
      <c r="Y197" s="674" t="str">
        <f>IFERROR(__xludf.DUMMYFUNCTION("""COMPUTED_VALUE"""),"#N/A")</f>
        <v>#N/A</v>
      </c>
      <c r="Z197" s="675" t="str">
        <f>IFERROR(__xludf.DUMMYFUNCTION("""COMPUTED_VALUE"""),"#N/A")</f>
        <v>#N/A</v>
      </c>
      <c r="AA197" s="675">
        <f>IFERROR(__xludf.DUMMYFUNCTION("""COMPUTED_VALUE"""),0.0)</f>
        <v>0</v>
      </c>
      <c r="AB197" s="673" t="str">
        <f>IFERROR(__xludf.DUMMYFUNCTION("""COMPUTED_VALUE"""),"#N/A")</f>
        <v>#N/A</v>
      </c>
      <c r="AC197" s="675">
        <f>IFERROR(__xludf.DUMMYFUNCTION("""COMPUTED_VALUE"""),0.0)</f>
        <v>0</v>
      </c>
      <c r="AD197" s="674" t="str">
        <f>IFERROR(__xludf.DUMMYFUNCTION("""COMPUTED_VALUE"""),"#N/A")</f>
        <v>#N/A</v>
      </c>
      <c r="AE197" s="675" t="str">
        <f>IFERROR(__xludf.DUMMYFUNCTION("""COMPUTED_VALUE"""),"#N/A")</f>
        <v>#N/A</v>
      </c>
      <c r="AF197" s="675">
        <f>IFERROR(__xludf.DUMMYFUNCTION("""COMPUTED_VALUE"""),0.0)</f>
        <v>0</v>
      </c>
      <c r="AG197" s="675">
        <f>IFERROR(__xludf.DUMMYFUNCTION("""COMPUTED_VALUE"""),0.0)</f>
        <v>0</v>
      </c>
      <c r="AH197" s="675" t="str">
        <f>IFERROR(__xludf.DUMMYFUNCTION("""COMPUTED_VALUE"""),"#N/A")</f>
        <v>#N/A</v>
      </c>
      <c r="AI197" s="139" t="str">
        <f>IFERROR(__xludf.DUMMYFUNCTION("""COMPUTED_VALUE"""),"#N/A")</f>
        <v>#N/A</v>
      </c>
      <c r="AJ197" s="675" t="str">
        <f>IFERROR(__xludf.DUMMYFUNCTION("""COMPUTED_VALUE"""),"#N/A")</f>
        <v>#N/A</v>
      </c>
      <c r="AK197" s="139" t="str">
        <f>IFERROR(__xludf.DUMMYFUNCTION("""COMPUTED_VALUE"""),"#N/A")</f>
        <v>#N/A</v>
      </c>
      <c r="AL197" s="674" t="str">
        <f>IFERROR(__xludf.DUMMYFUNCTION("""COMPUTED_VALUE"""),"#N/A")</f>
        <v>#N/A</v>
      </c>
      <c r="AM197" s="688" t="str">
        <f>IFERROR(__xludf.DUMMYFUNCTION("""COMPUTED_VALUE"""),"#N/A")</f>
        <v>#N/A</v>
      </c>
      <c r="AN197" s="675" t="str">
        <f>IFERROR(__xludf.DUMMYFUNCTION("""COMPUTED_VALUE"""),"#N/A")</f>
        <v>#N/A</v>
      </c>
      <c r="AO197" s="675" t="str">
        <f>IFERROR(__xludf.DUMMYFUNCTION("""COMPUTED_VALUE"""),"#N/A")</f>
        <v>#N/A</v>
      </c>
      <c r="AP197" s="674">
        <f>IFERROR(__xludf.DUMMYFUNCTION("""COMPUTED_VALUE"""),0.0)</f>
        <v>0</v>
      </c>
      <c r="AQ197" s="673" t="str">
        <f>IFERROR(__xludf.DUMMYFUNCTION("""COMPUTED_VALUE"""),"#N/A")</f>
        <v>#N/A</v>
      </c>
      <c r="AR197" s="673">
        <f>IFERROR(__xludf.DUMMYFUNCTION("""COMPUTED_VALUE"""),0.0)</f>
        <v>0</v>
      </c>
      <c r="AS197" s="673">
        <f>IFERROR(__xludf.DUMMYFUNCTION("""COMPUTED_VALUE"""),0.0)</f>
        <v>0</v>
      </c>
      <c r="AT197" s="673">
        <f>IFERROR(__xludf.DUMMYFUNCTION("""COMPUTED_VALUE"""),0.0)</f>
        <v>0</v>
      </c>
      <c r="AU197" s="675" t="str">
        <f>IFERROR(__xludf.DUMMYFUNCTION("""COMPUTED_VALUE"""),"#N/A")</f>
        <v>#N/A</v>
      </c>
      <c r="AV197" s="675">
        <f>IFERROR(__xludf.DUMMYFUNCTION("""COMPUTED_VALUE"""),0.0)</f>
        <v>0</v>
      </c>
      <c r="AW197" s="139"/>
      <c r="AX197" s="674" t="str">
        <f>IFERROR(__xludf.DUMMYFUNCTION("""COMPUTED_VALUE"""),"※通常攻撃範囲を入力！(CD列)")</f>
        <v>※通常攻撃範囲を入力！(CD列)</v>
      </c>
      <c r="AY197" s="688" t="str">
        <f>IFERROR(__xludf.DUMMYFUNCTION("""COMPUTED_VALUE"""),"#VALUE!")</f>
        <v>#VALUE!</v>
      </c>
      <c r="AZ197" s="674" t="str">
        <f>IFERROR(__xludf.DUMMYFUNCTION("""COMPUTED_VALUE"""),"#N/A")</f>
        <v>#N/A</v>
      </c>
      <c r="BA197" s="688" t="str">
        <f>IFERROR(__xludf.DUMMYFUNCTION("""COMPUTED_VALUE"""),"#VALUE!")</f>
        <v>#VALUE!</v>
      </c>
      <c r="BB197" s="688" t="str">
        <f>IFERROR(__xludf.DUMMYFUNCTION("""COMPUTED_VALUE"""),"-")</f>
        <v>-</v>
      </c>
      <c r="BC197" s="688" t="str">
        <f>IFERROR(__xludf.DUMMYFUNCTION("""COMPUTED_VALUE"""),"#N/A")</f>
        <v>#N/A</v>
      </c>
      <c r="BD197" s="688" t="str">
        <f>IFERROR(__xludf.DUMMYFUNCTION("""COMPUTED_VALUE"""),"#VALUE!")</f>
        <v>#VALUE!</v>
      </c>
      <c r="BE197" s="674" t="str">
        <f>IFERROR(__xludf.DUMMYFUNCTION("""COMPUTED_VALUE"""),"#N/A")</f>
        <v>#N/A</v>
      </c>
      <c r="BF197" s="674">
        <f>IFERROR(__xludf.DUMMYFUNCTION("""COMPUTED_VALUE"""),0.0)</f>
        <v>0</v>
      </c>
      <c r="BG197" s="673">
        <f>IFERROR(__xludf.DUMMYFUNCTION("""COMPUTED_VALUE"""),0.0)</f>
        <v>0</v>
      </c>
      <c r="BH197" s="673" t="str">
        <f>IFERROR(__xludf.DUMMYFUNCTION("""COMPUTED_VALUE"""),"#N/A")</f>
        <v>#N/A</v>
      </c>
      <c r="BI197" s="673" t="str">
        <f>IFERROR(__xludf.DUMMYFUNCTION("""COMPUTED_VALUE"""),"#N/A")</f>
        <v>#N/A</v>
      </c>
      <c r="BJ197" s="673">
        <f>IFERROR(__xludf.DUMMYFUNCTION("""COMPUTED_VALUE"""),0.0)</f>
        <v>0</v>
      </c>
      <c r="BK197" s="673">
        <f>IFERROR(__xludf.DUMMYFUNCTION("""COMPUTED_VALUE"""),0.0)</f>
        <v>0</v>
      </c>
      <c r="BL197" s="673" t="str">
        <f>IFERROR(__xludf.DUMMYFUNCTION("""COMPUTED_VALUE"""),"#N/A")</f>
        <v>#N/A</v>
      </c>
      <c r="BM197" s="674" t="str">
        <f>IFERROR(__xludf.DUMMYFUNCTION("""COMPUTED_VALUE"""),"#N/A")</f>
        <v>#N/A</v>
      </c>
      <c r="BN197" s="674" t="str">
        <f>IFERROR(__xludf.DUMMYFUNCTION("""COMPUTED_VALUE"""),"#N/A")</f>
        <v>#N/A</v>
      </c>
      <c r="BO197" s="675">
        <f>IFERROR(__xludf.DUMMYFUNCTION("""COMPUTED_VALUE"""),0.0)</f>
        <v>0</v>
      </c>
      <c r="BP197" s="675" t="str">
        <f>IFERROR(__xludf.DUMMYFUNCTION("""COMPUTED_VALUE"""),"#N/A")</f>
        <v>#N/A</v>
      </c>
      <c r="BQ197" s="139"/>
      <c r="BR197" s="139" t="str">
        <f>IFERROR(__xludf.DUMMYFUNCTION("""COMPUTED_VALUE"""),"#N/A")</f>
        <v>#N/A</v>
      </c>
      <c r="BS197" s="139" t="str">
        <f>IFERROR(__xludf.DUMMYFUNCTION("""COMPUTED_VALUE"""),"※移動を入力！(BV列)")</f>
        <v>※移動を入力！(BV列)</v>
      </c>
      <c r="BT197" s="139" t="str">
        <f>IFERROR(__xludf.DUMMYFUNCTION("""COMPUTED_VALUE"""),"※攻撃手段を入力(BQ列)")</f>
        <v>※攻撃手段を入力(BQ列)</v>
      </c>
      <c r="BU197" s="139">
        <f>IFERROR(__xludf.DUMMYFUNCTION("""COMPUTED_VALUE"""),0.0)</f>
        <v>0</v>
      </c>
      <c r="BV197" s="139"/>
      <c r="BW197" s="139"/>
      <c r="BX197" s="139" t="str">
        <f>IFERROR(__xludf.DUMMYFUNCTION("""COMPUTED_VALUE"""),"※特性を選択!!(BW列)")</f>
        <v>※特性を選択!!(BW列)</v>
      </c>
      <c r="BY197" s="139" t="str">
        <f>IFERROR(__xludf.DUMMYFUNCTION("""COMPUTED_VALUE"""),"#N/A")</f>
        <v>#N/A</v>
      </c>
      <c r="BZ197" s="139"/>
      <c r="CA197" s="139" t="str">
        <f>IFERROR(__xludf.DUMMYFUNCTION("""COMPUTED_VALUE"""),"※特性を選択!!(BW列)")</f>
        <v>※特性を選択!!(BW列)</v>
      </c>
      <c r="CB197" s="139" t="str">
        <f>IFERROR(__xludf.DUMMYFUNCTION("""COMPUTED_VALUE"""),"#N/A")</f>
        <v>#N/A</v>
      </c>
      <c r="CC197" s="139" t="str">
        <f>IFERROR(__xludf.DUMMYFUNCTION("""COMPUTED_VALUE"""),"該当なし")</f>
        <v>該当なし</v>
      </c>
      <c r="CD197" s="139"/>
      <c r="CE197" s="139" t="str">
        <f>IFERROR(__xludf.DUMMYFUNCTION("""COMPUTED_VALUE"""),"#N/A")</f>
        <v>#N/A</v>
      </c>
      <c r="CF197" s="139" t="str">
        <f>IFERROR(__xludf.DUMMYFUNCTION("""COMPUTED_VALUE"""),"#VALUE!")</f>
        <v>#VALUE!</v>
      </c>
      <c r="CG197" s="139"/>
      <c r="CH197" s="139"/>
      <c r="CI197" s="139" t="str">
        <f>IFERROR(__xludf.DUMMYFUNCTION("""COMPUTED_VALUE"""),"#N/A")</f>
        <v>#N/A</v>
      </c>
      <c r="CJ197" s="139" t="str">
        <f>IFERROR(__xludf.DUMMYFUNCTION("""COMPUTED_VALUE"""),"#VALUE!")</f>
        <v>#VALUE!</v>
      </c>
      <c r="CK197" s="139"/>
      <c r="CL197" s="139"/>
      <c r="CM197" s="139"/>
      <c r="CN197" s="675" t="str">
        <f>IFERROR(__xludf.DUMMYFUNCTION("""COMPUTED_VALUE"""),"#N/A")</f>
        <v>#N/A</v>
      </c>
      <c r="CO197" s="139" t="str">
        <f>IFERROR(__xludf.DUMMYFUNCTION("""COMPUTED_VALUE"""),"-")</f>
        <v>-</v>
      </c>
      <c r="CP197" s="139" t="str">
        <f>IFERROR(__xludf.DUMMYFUNCTION("""COMPUTED_VALUE"""),"-")</f>
        <v>-</v>
      </c>
      <c r="CQ197" s="139" t="str">
        <f>IFERROR(__xludf.DUMMYFUNCTION("""COMPUTED_VALUE"""),"#N/A")</f>
        <v>#N/A</v>
      </c>
      <c r="CR197" s="139"/>
      <c r="CS197" s="139"/>
      <c r="CT197" s="139"/>
      <c r="CU197" s="139"/>
      <c r="CV197" s="139"/>
      <c r="CW197" s="139"/>
      <c r="CX197" s="674" t="str">
        <f>IFERROR(__xludf.DUMMYFUNCTION("""COMPUTED_VALUE"""),"")</f>
        <v/>
      </c>
      <c r="CY197" s="675" t="str">
        <f>IFERROR(__xludf.DUMMYFUNCTION("""COMPUTED_VALUE"""),"")</f>
        <v/>
      </c>
      <c r="CZ197" s="688" t="str">
        <f>IFERROR(__xludf.DUMMYFUNCTION("""COMPUTED_VALUE"""),"-")</f>
        <v>-</v>
      </c>
      <c r="DA197" s="688">
        <f>IFERROR(__xludf.DUMMYFUNCTION("""COMPUTED_VALUE"""),0.0)</f>
        <v>0</v>
      </c>
      <c r="DB197" s="688">
        <f>IFERROR(__xludf.DUMMYFUNCTION("""COMPUTED_VALUE"""),0.0)</f>
        <v>0</v>
      </c>
      <c r="DC197" s="673" t="str">
        <f>IFERROR(__xludf.DUMMYFUNCTION("""COMPUTED_VALUE"""),"-")</f>
        <v>-</v>
      </c>
      <c r="DD197" s="673" t="str">
        <f>IFERROR(__xludf.DUMMYFUNCTION("""COMPUTED_VALUE"""),"-")</f>
        <v>-</v>
      </c>
      <c r="DE197" s="139" t="str">
        <f>IFERROR(__xludf.DUMMYFUNCTION("""COMPUTED_VALUE"""),"-")</f>
        <v>-</v>
      </c>
      <c r="DF197" s="139" t="str">
        <f>IFERROR(__xludf.DUMMYFUNCTION("""COMPUTED_VALUE"""),"-")</f>
        <v>-</v>
      </c>
      <c r="DG197" s="139" t="str">
        <f>IFERROR(__xludf.DUMMYFUNCTION("""COMPUTED_VALUE"""),"-")</f>
        <v>-</v>
      </c>
      <c r="DH197" s="139" t="str">
        <f>IFERROR(__xludf.DUMMYFUNCTION("""COMPUTED_VALUE"""),"-")</f>
        <v>-</v>
      </c>
      <c r="DI197" s="139" t="str">
        <f>IFERROR(__xludf.DUMMYFUNCTION("""COMPUTED_VALUE"""),"-")</f>
        <v>-</v>
      </c>
      <c r="DJ197" s="139" t="str">
        <f>IFERROR(__xludf.DUMMYFUNCTION("""COMPUTED_VALUE"""),"-")</f>
        <v>-</v>
      </c>
    </row>
    <row r="198">
      <c r="A198" s="139" t="str">
        <f>IFERROR(__xludf.DUMMYFUNCTION("""COMPUTED_VALUE"""),"該当なし")</f>
        <v>該当なし</v>
      </c>
      <c r="B198" s="139" t="str">
        <f>IFERROR(__xludf.DUMMYFUNCTION("""COMPUTED_VALUE"""),"該当なし")</f>
        <v>該当なし</v>
      </c>
      <c r="C198" s="139"/>
      <c r="D198" s="139" t="str">
        <f>IFERROR(__xludf.DUMMYFUNCTION("""COMPUTED_VALUE"""),"#N/A")</f>
        <v>#N/A</v>
      </c>
      <c r="E198" s="139" t="str">
        <f>IFERROR(__xludf.DUMMYFUNCTION("""COMPUTED_VALUE"""),"#N/A")</f>
        <v>#N/A</v>
      </c>
      <c r="F198" s="139" t="str">
        <f>IFERROR(__xludf.DUMMYFUNCTION("""COMPUTED_VALUE"""),"#N/A")</f>
        <v>#N/A</v>
      </c>
      <c r="G198" s="139" t="str">
        <f>IFERROR(__xludf.DUMMYFUNCTION("""COMPUTED_VALUE"""),"該当なし")</f>
        <v>該当なし</v>
      </c>
      <c r="H198" s="139" t="str">
        <f>IFERROR(__xludf.DUMMYFUNCTION("""COMPUTED_VALUE"""),"#N/A")</f>
        <v>#N/A</v>
      </c>
      <c r="I198" s="139" t="str">
        <f>IFERROR(__xludf.DUMMYFUNCTION("""COMPUTED_VALUE"""),"#N/A")</f>
        <v>#N/A</v>
      </c>
      <c r="J198" s="139" t="str">
        <f>IFERROR(__xludf.DUMMYFUNCTION("""COMPUTED_VALUE"""),"#N/A")</f>
        <v>#N/A</v>
      </c>
      <c r="K198" s="139" t="str">
        <f>IFERROR(__xludf.DUMMYFUNCTION("""COMPUTED_VALUE"""),"#N/A")</f>
        <v>#N/A</v>
      </c>
      <c r="L198" s="139" t="str">
        <f>IFERROR(__xludf.DUMMYFUNCTION("""COMPUTED_VALUE"""),"※")</f>
        <v>※</v>
      </c>
      <c r="M198" s="674">
        <f>IFERROR(__xludf.DUMMYFUNCTION("""COMPUTED_VALUE"""),0.0)</f>
        <v>0</v>
      </c>
      <c r="N198" s="139">
        <f>IFERROR(__xludf.DUMMYFUNCTION("""COMPUTED_VALUE"""),0.0)</f>
        <v>0</v>
      </c>
      <c r="O198" s="139"/>
      <c r="P198" s="139">
        <f>IFERROR(__xludf.DUMMYFUNCTION("""COMPUTED_VALUE"""),0.0)</f>
        <v>0</v>
      </c>
      <c r="Q198" s="675">
        <f>IFERROR(__xludf.DUMMYFUNCTION("""COMPUTED_VALUE"""),0.0)</f>
        <v>0</v>
      </c>
      <c r="R198" s="675">
        <f>IFERROR(__xludf.DUMMYFUNCTION("""COMPUTED_VALUE"""),0.0)</f>
        <v>0</v>
      </c>
      <c r="S198" s="675">
        <f>IFERROR(__xludf.DUMMYFUNCTION("""COMPUTED_VALUE"""),-2.5)</f>
        <v>-2.5</v>
      </c>
      <c r="T198" s="674" t="str">
        <f>IFERROR(__xludf.DUMMYFUNCTION("""COMPUTED_VALUE"""),"#N/A")</f>
        <v>#N/A</v>
      </c>
      <c r="U198" s="675" t="str">
        <f>IFERROR(__xludf.DUMMYFUNCTION("""COMPUTED_VALUE"""),"#N/A")</f>
        <v>#N/A</v>
      </c>
      <c r="V198" s="675">
        <f>IFERROR(__xludf.DUMMYFUNCTION("""COMPUTED_VALUE"""),0.0)</f>
        <v>0</v>
      </c>
      <c r="W198" s="675" t="str">
        <f>IFERROR(__xludf.DUMMYFUNCTION("""COMPUTED_VALUE"""),"#N/A")</f>
        <v>#N/A</v>
      </c>
      <c r="X198" s="675">
        <f>IFERROR(__xludf.DUMMYFUNCTION("""COMPUTED_VALUE"""),0.0)</f>
        <v>0</v>
      </c>
      <c r="Y198" s="674" t="str">
        <f>IFERROR(__xludf.DUMMYFUNCTION("""COMPUTED_VALUE"""),"#N/A")</f>
        <v>#N/A</v>
      </c>
      <c r="Z198" s="675" t="str">
        <f>IFERROR(__xludf.DUMMYFUNCTION("""COMPUTED_VALUE"""),"#N/A")</f>
        <v>#N/A</v>
      </c>
      <c r="AA198" s="675">
        <f>IFERROR(__xludf.DUMMYFUNCTION("""COMPUTED_VALUE"""),0.0)</f>
        <v>0</v>
      </c>
      <c r="AB198" s="673" t="str">
        <f>IFERROR(__xludf.DUMMYFUNCTION("""COMPUTED_VALUE"""),"#N/A")</f>
        <v>#N/A</v>
      </c>
      <c r="AC198" s="675">
        <f>IFERROR(__xludf.DUMMYFUNCTION("""COMPUTED_VALUE"""),0.0)</f>
        <v>0</v>
      </c>
      <c r="AD198" s="674" t="str">
        <f>IFERROR(__xludf.DUMMYFUNCTION("""COMPUTED_VALUE"""),"#N/A")</f>
        <v>#N/A</v>
      </c>
      <c r="AE198" s="675" t="str">
        <f>IFERROR(__xludf.DUMMYFUNCTION("""COMPUTED_VALUE"""),"#N/A")</f>
        <v>#N/A</v>
      </c>
      <c r="AF198" s="675">
        <f>IFERROR(__xludf.DUMMYFUNCTION("""COMPUTED_VALUE"""),0.0)</f>
        <v>0</v>
      </c>
      <c r="AG198" s="675">
        <f>IFERROR(__xludf.DUMMYFUNCTION("""COMPUTED_VALUE"""),0.0)</f>
        <v>0</v>
      </c>
      <c r="AH198" s="675" t="str">
        <f>IFERROR(__xludf.DUMMYFUNCTION("""COMPUTED_VALUE"""),"#N/A")</f>
        <v>#N/A</v>
      </c>
      <c r="AI198" s="139" t="str">
        <f>IFERROR(__xludf.DUMMYFUNCTION("""COMPUTED_VALUE"""),"#N/A")</f>
        <v>#N/A</v>
      </c>
      <c r="AJ198" s="675" t="str">
        <f>IFERROR(__xludf.DUMMYFUNCTION("""COMPUTED_VALUE"""),"#N/A")</f>
        <v>#N/A</v>
      </c>
      <c r="AK198" s="139" t="str">
        <f>IFERROR(__xludf.DUMMYFUNCTION("""COMPUTED_VALUE"""),"#N/A")</f>
        <v>#N/A</v>
      </c>
      <c r="AL198" s="674" t="str">
        <f>IFERROR(__xludf.DUMMYFUNCTION("""COMPUTED_VALUE"""),"#N/A")</f>
        <v>#N/A</v>
      </c>
      <c r="AM198" s="688" t="str">
        <f>IFERROR(__xludf.DUMMYFUNCTION("""COMPUTED_VALUE"""),"#N/A")</f>
        <v>#N/A</v>
      </c>
      <c r="AN198" s="675" t="str">
        <f>IFERROR(__xludf.DUMMYFUNCTION("""COMPUTED_VALUE"""),"#N/A")</f>
        <v>#N/A</v>
      </c>
      <c r="AO198" s="675" t="str">
        <f>IFERROR(__xludf.DUMMYFUNCTION("""COMPUTED_VALUE"""),"#N/A")</f>
        <v>#N/A</v>
      </c>
      <c r="AP198" s="674">
        <f>IFERROR(__xludf.DUMMYFUNCTION("""COMPUTED_VALUE"""),0.0)</f>
        <v>0</v>
      </c>
      <c r="AQ198" s="673" t="str">
        <f>IFERROR(__xludf.DUMMYFUNCTION("""COMPUTED_VALUE"""),"#N/A")</f>
        <v>#N/A</v>
      </c>
      <c r="AR198" s="673">
        <f>IFERROR(__xludf.DUMMYFUNCTION("""COMPUTED_VALUE"""),0.0)</f>
        <v>0</v>
      </c>
      <c r="AS198" s="673">
        <f>IFERROR(__xludf.DUMMYFUNCTION("""COMPUTED_VALUE"""),0.0)</f>
        <v>0</v>
      </c>
      <c r="AT198" s="673">
        <f>IFERROR(__xludf.DUMMYFUNCTION("""COMPUTED_VALUE"""),0.0)</f>
        <v>0</v>
      </c>
      <c r="AU198" s="675" t="str">
        <f>IFERROR(__xludf.DUMMYFUNCTION("""COMPUTED_VALUE"""),"#N/A")</f>
        <v>#N/A</v>
      </c>
      <c r="AV198" s="675">
        <f>IFERROR(__xludf.DUMMYFUNCTION("""COMPUTED_VALUE"""),0.0)</f>
        <v>0</v>
      </c>
      <c r="AW198" s="139"/>
      <c r="AX198" s="674" t="str">
        <f>IFERROR(__xludf.DUMMYFUNCTION("""COMPUTED_VALUE"""),"※通常攻撃範囲を入力！(CD列)")</f>
        <v>※通常攻撃範囲を入力！(CD列)</v>
      </c>
      <c r="AY198" s="688" t="str">
        <f>IFERROR(__xludf.DUMMYFUNCTION("""COMPUTED_VALUE"""),"#VALUE!")</f>
        <v>#VALUE!</v>
      </c>
      <c r="AZ198" s="674" t="str">
        <f>IFERROR(__xludf.DUMMYFUNCTION("""COMPUTED_VALUE"""),"#N/A")</f>
        <v>#N/A</v>
      </c>
      <c r="BA198" s="688" t="str">
        <f>IFERROR(__xludf.DUMMYFUNCTION("""COMPUTED_VALUE"""),"#VALUE!")</f>
        <v>#VALUE!</v>
      </c>
      <c r="BB198" s="688" t="str">
        <f>IFERROR(__xludf.DUMMYFUNCTION("""COMPUTED_VALUE"""),"-")</f>
        <v>-</v>
      </c>
      <c r="BC198" s="688" t="str">
        <f>IFERROR(__xludf.DUMMYFUNCTION("""COMPUTED_VALUE"""),"#N/A")</f>
        <v>#N/A</v>
      </c>
      <c r="BD198" s="688" t="str">
        <f>IFERROR(__xludf.DUMMYFUNCTION("""COMPUTED_VALUE"""),"#VALUE!")</f>
        <v>#VALUE!</v>
      </c>
      <c r="BE198" s="674" t="str">
        <f>IFERROR(__xludf.DUMMYFUNCTION("""COMPUTED_VALUE"""),"#N/A")</f>
        <v>#N/A</v>
      </c>
      <c r="BF198" s="674">
        <f>IFERROR(__xludf.DUMMYFUNCTION("""COMPUTED_VALUE"""),0.0)</f>
        <v>0</v>
      </c>
      <c r="BG198" s="673">
        <f>IFERROR(__xludf.DUMMYFUNCTION("""COMPUTED_VALUE"""),0.0)</f>
        <v>0</v>
      </c>
      <c r="BH198" s="673" t="str">
        <f>IFERROR(__xludf.DUMMYFUNCTION("""COMPUTED_VALUE"""),"#N/A")</f>
        <v>#N/A</v>
      </c>
      <c r="BI198" s="673" t="str">
        <f>IFERROR(__xludf.DUMMYFUNCTION("""COMPUTED_VALUE"""),"#N/A")</f>
        <v>#N/A</v>
      </c>
      <c r="BJ198" s="673">
        <f>IFERROR(__xludf.DUMMYFUNCTION("""COMPUTED_VALUE"""),0.0)</f>
        <v>0</v>
      </c>
      <c r="BK198" s="673">
        <f>IFERROR(__xludf.DUMMYFUNCTION("""COMPUTED_VALUE"""),0.0)</f>
        <v>0</v>
      </c>
      <c r="BL198" s="673" t="str">
        <f>IFERROR(__xludf.DUMMYFUNCTION("""COMPUTED_VALUE"""),"#N/A")</f>
        <v>#N/A</v>
      </c>
      <c r="BM198" s="674" t="str">
        <f>IFERROR(__xludf.DUMMYFUNCTION("""COMPUTED_VALUE"""),"#N/A")</f>
        <v>#N/A</v>
      </c>
      <c r="BN198" s="674" t="str">
        <f>IFERROR(__xludf.DUMMYFUNCTION("""COMPUTED_VALUE"""),"#N/A")</f>
        <v>#N/A</v>
      </c>
      <c r="BO198" s="675">
        <f>IFERROR(__xludf.DUMMYFUNCTION("""COMPUTED_VALUE"""),0.0)</f>
        <v>0</v>
      </c>
      <c r="BP198" s="675" t="str">
        <f>IFERROR(__xludf.DUMMYFUNCTION("""COMPUTED_VALUE"""),"#N/A")</f>
        <v>#N/A</v>
      </c>
      <c r="BQ198" s="139"/>
      <c r="BR198" s="139" t="str">
        <f>IFERROR(__xludf.DUMMYFUNCTION("""COMPUTED_VALUE"""),"#N/A")</f>
        <v>#N/A</v>
      </c>
      <c r="BS198" s="139" t="str">
        <f>IFERROR(__xludf.DUMMYFUNCTION("""COMPUTED_VALUE"""),"※移動を入力！(BV列)")</f>
        <v>※移動を入力！(BV列)</v>
      </c>
      <c r="BT198" s="139" t="str">
        <f>IFERROR(__xludf.DUMMYFUNCTION("""COMPUTED_VALUE"""),"※攻撃手段を入力(BQ列)")</f>
        <v>※攻撃手段を入力(BQ列)</v>
      </c>
      <c r="BU198" s="139">
        <f>IFERROR(__xludf.DUMMYFUNCTION("""COMPUTED_VALUE"""),0.0)</f>
        <v>0</v>
      </c>
      <c r="BV198" s="139"/>
      <c r="BW198" s="139"/>
      <c r="BX198" s="139" t="str">
        <f>IFERROR(__xludf.DUMMYFUNCTION("""COMPUTED_VALUE"""),"※特性を選択!!(BW列)")</f>
        <v>※特性を選択!!(BW列)</v>
      </c>
      <c r="BY198" s="139" t="str">
        <f>IFERROR(__xludf.DUMMYFUNCTION("""COMPUTED_VALUE"""),"#N/A")</f>
        <v>#N/A</v>
      </c>
      <c r="BZ198" s="139"/>
      <c r="CA198" s="139" t="str">
        <f>IFERROR(__xludf.DUMMYFUNCTION("""COMPUTED_VALUE"""),"※特性を選択!!(BW列)")</f>
        <v>※特性を選択!!(BW列)</v>
      </c>
      <c r="CB198" s="139" t="str">
        <f>IFERROR(__xludf.DUMMYFUNCTION("""COMPUTED_VALUE"""),"#N/A")</f>
        <v>#N/A</v>
      </c>
      <c r="CC198" s="139" t="str">
        <f>IFERROR(__xludf.DUMMYFUNCTION("""COMPUTED_VALUE"""),"該当なし")</f>
        <v>該当なし</v>
      </c>
      <c r="CD198" s="139"/>
      <c r="CE198" s="139" t="str">
        <f>IFERROR(__xludf.DUMMYFUNCTION("""COMPUTED_VALUE"""),"#N/A")</f>
        <v>#N/A</v>
      </c>
      <c r="CF198" s="139" t="str">
        <f>IFERROR(__xludf.DUMMYFUNCTION("""COMPUTED_VALUE"""),"#VALUE!")</f>
        <v>#VALUE!</v>
      </c>
      <c r="CG198" s="139"/>
      <c r="CH198" s="139"/>
      <c r="CI198" s="139" t="str">
        <f>IFERROR(__xludf.DUMMYFUNCTION("""COMPUTED_VALUE"""),"#N/A")</f>
        <v>#N/A</v>
      </c>
      <c r="CJ198" s="139" t="str">
        <f>IFERROR(__xludf.DUMMYFUNCTION("""COMPUTED_VALUE"""),"#VALUE!")</f>
        <v>#VALUE!</v>
      </c>
      <c r="CK198" s="139"/>
      <c r="CL198" s="139"/>
      <c r="CM198" s="139"/>
      <c r="CN198" s="675" t="str">
        <f>IFERROR(__xludf.DUMMYFUNCTION("""COMPUTED_VALUE"""),"#N/A")</f>
        <v>#N/A</v>
      </c>
      <c r="CO198" s="139" t="str">
        <f>IFERROR(__xludf.DUMMYFUNCTION("""COMPUTED_VALUE"""),"-")</f>
        <v>-</v>
      </c>
      <c r="CP198" s="139" t="str">
        <f>IFERROR(__xludf.DUMMYFUNCTION("""COMPUTED_VALUE"""),"-")</f>
        <v>-</v>
      </c>
      <c r="CQ198" s="139" t="str">
        <f>IFERROR(__xludf.DUMMYFUNCTION("""COMPUTED_VALUE"""),"#N/A")</f>
        <v>#N/A</v>
      </c>
      <c r="CR198" s="139"/>
      <c r="CS198" s="139"/>
      <c r="CT198" s="139"/>
      <c r="CU198" s="139"/>
      <c r="CV198" s="139"/>
      <c r="CW198" s="139"/>
      <c r="CX198" s="674" t="str">
        <f>IFERROR(__xludf.DUMMYFUNCTION("""COMPUTED_VALUE"""),"")</f>
        <v/>
      </c>
      <c r="CY198" s="675" t="str">
        <f>IFERROR(__xludf.DUMMYFUNCTION("""COMPUTED_VALUE"""),"")</f>
        <v/>
      </c>
      <c r="CZ198" s="688" t="str">
        <f>IFERROR(__xludf.DUMMYFUNCTION("""COMPUTED_VALUE"""),"-")</f>
        <v>-</v>
      </c>
      <c r="DA198" s="688">
        <f>IFERROR(__xludf.DUMMYFUNCTION("""COMPUTED_VALUE"""),0.0)</f>
        <v>0</v>
      </c>
      <c r="DB198" s="688">
        <f>IFERROR(__xludf.DUMMYFUNCTION("""COMPUTED_VALUE"""),0.0)</f>
        <v>0</v>
      </c>
      <c r="DC198" s="673" t="str">
        <f>IFERROR(__xludf.DUMMYFUNCTION("""COMPUTED_VALUE"""),"-")</f>
        <v>-</v>
      </c>
      <c r="DD198" s="673" t="str">
        <f>IFERROR(__xludf.DUMMYFUNCTION("""COMPUTED_VALUE"""),"-")</f>
        <v>-</v>
      </c>
      <c r="DE198" s="139" t="str">
        <f>IFERROR(__xludf.DUMMYFUNCTION("""COMPUTED_VALUE"""),"-")</f>
        <v>-</v>
      </c>
      <c r="DF198" s="139" t="str">
        <f>IFERROR(__xludf.DUMMYFUNCTION("""COMPUTED_VALUE"""),"-")</f>
        <v>-</v>
      </c>
      <c r="DG198" s="139" t="str">
        <f>IFERROR(__xludf.DUMMYFUNCTION("""COMPUTED_VALUE"""),"-")</f>
        <v>-</v>
      </c>
      <c r="DH198" s="139" t="str">
        <f>IFERROR(__xludf.DUMMYFUNCTION("""COMPUTED_VALUE"""),"-")</f>
        <v>-</v>
      </c>
      <c r="DI198" s="139" t="str">
        <f>IFERROR(__xludf.DUMMYFUNCTION("""COMPUTED_VALUE"""),"-")</f>
        <v>-</v>
      </c>
      <c r="DJ198" s="139" t="str">
        <f>IFERROR(__xludf.DUMMYFUNCTION("""COMPUTED_VALUE"""),"-")</f>
        <v>-</v>
      </c>
    </row>
    <row r="199">
      <c r="A199" s="139" t="str">
        <f>IFERROR(__xludf.DUMMYFUNCTION("""COMPUTED_VALUE"""),"該当なし")</f>
        <v>該当なし</v>
      </c>
      <c r="B199" s="139" t="str">
        <f>IFERROR(__xludf.DUMMYFUNCTION("""COMPUTED_VALUE"""),"該当なし")</f>
        <v>該当なし</v>
      </c>
      <c r="C199" s="139"/>
      <c r="D199" s="139" t="str">
        <f>IFERROR(__xludf.DUMMYFUNCTION("""COMPUTED_VALUE"""),"#N/A")</f>
        <v>#N/A</v>
      </c>
      <c r="E199" s="139" t="str">
        <f>IFERROR(__xludf.DUMMYFUNCTION("""COMPUTED_VALUE"""),"#N/A")</f>
        <v>#N/A</v>
      </c>
      <c r="F199" s="139" t="str">
        <f>IFERROR(__xludf.DUMMYFUNCTION("""COMPUTED_VALUE"""),"#N/A")</f>
        <v>#N/A</v>
      </c>
      <c r="G199" s="139" t="str">
        <f>IFERROR(__xludf.DUMMYFUNCTION("""COMPUTED_VALUE"""),"該当なし")</f>
        <v>該当なし</v>
      </c>
      <c r="H199" s="139" t="str">
        <f>IFERROR(__xludf.DUMMYFUNCTION("""COMPUTED_VALUE"""),"#N/A")</f>
        <v>#N/A</v>
      </c>
      <c r="I199" s="139" t="str">
        <f>IFERROR(__xludf.DUMMYFUNCTION("""COMPUTED_VALUE"""),"#N/A")</f>
        <v>#N/A</v>
      </c>
      <c r="J199" s="139" t="str">
        <f>IFERROR(__xludf.DUMMYFUNCTION("""COMPUTED_VALUE"""),"#N/A")</f>
        <v>#N/A</v>
      </c>
      <c r="K199" s="139" t="str">
        <f>IFERROR(__xludf.DUMMYFUNCTION("""COMPUTED_VALUE"""),"#N/A")</f>
        <v>#N/A</v>
      </c>
      <c r="L199" s="139" t="str">
        <f>IFERROR(__xludf.DUMMYFUNCTION("""COMPUTED_VALUE"""),"※")</f>
        <v>※</v>
      </c>
      <c r="M199" s="674">
        <f>IFERROR(__xludf.DUMMYFUNCTION("""COMPUTED_VALUE"""),0.0)</f>
        <v>0</v>
      </c>
      <c r="N199" s="139">
        <f>IFERROR(__xludf.DUMMYFUNCTION("""COMPUTED_VALUE"""),0.0)</f>
        <v>0</v>
      </c>
      <c r="O199" s="139"/>
      <c r="P199" s="139">
        <f>IFERROR(__xludf.DUMMYFUNCTION("""COMPUTED_VALUE"""),0.0)</f>
        <v>0</v>
      </c>
      <c r="Q199" s="675">
        <f>IFERROR(__xludf.DUMMYFUNCTION("""COMPUTED_VALUE"""),0.0)</f>
        <v>0</v>
      </c>
      <c r="R199" s="675">
        <f>IFERROR(__xludf.DUMMYFUNCTION("""COMPUTED_VALUE"""),0.0)</f>
        <v>0</v>
      </c>
      <c r="S199" s="675">
        <f>IFERROR(__xludf.DUMMYFUNCTION("""COMPUTED_VALUE"""),-2.5)</f>
        <v>-2.5</v>
      </c>
      <c r="T199" s="674" t="str">
        <f>IFERROR(__xludf.DUMMYFUNCTION("""COMPUTED_VALUE"""),"#N/A")</f>
        <v>#N/A</v>
      </c>
      <c r="U199" s="675" t="str">
        <f>IFERROR(__xludf.DUMMYFUNCTION("""COMPUTED_VALUE"""),"#N/A")</f>
        <v>#N/A</v>
      </c>
      <c r="V199" s="675">
        <f>IFERROR(__xludf.DUMMYFUNCTION("""COMPUTED_VALUE"""),0.0)</f>
        <v>0</v>
      </c>
      <c r="W199" s="675" t="str">
        <f>IFERROR(__xludf.DUMMYFUNCTION("""COMPUTED_VALUE"""),"#N/A")</f>
        <v>#N/A</v>
      </c>
      <c r="X199" s="675">
        <f>IFERROR(__xludf.DUMMYFUNCTION("""COMPUTED_VALUE"""),0.0)</f>
        <v>0</v>
      </c>
      <c r="Y199" s="674" t="str">
        <f>IFERROR(__xludf.DUMMYFUNCTION("""COMPUTED_VALUE"""),"#N/A")</f>
        <v>#N/A</v>
      </c>
      <c r="Z199" s="675" t="str">
        <f>IFERROR(__xludf.DUMMYFUNCTION("""COMPUTED_VALUE"""),"#N/A")</f>
        <v>#N/A</v>
      </c>
      <c r="AA199" s="675">
        <f>IFERROR(__xludf.DUMMYFUNCTION("""COMPUTED_VALUE"""),0.0)</f>
        <v>0</v>
      </c>
      <c r="AB199" s="673" t="str">
        <f>IFERROR(__xludf.DUMMYFUNCTION("""COMPUTED_VALUE"""),"#N/A")</f>
        <v>#N/A</v>
      </c>
      <c r="AC199" s="675">
        <f>IFERROR(__xludf.DUMMYFUNCTION("""COMPUTED_VALUE"""),0.0)</f>
        <v>0</v>
      </c>
      <c r="AD199" s="674" t="str">
        <f>IFERROR(__xludf.DUMMYFUNCTION("""COMPUTED_VALUE"""),"#N/A")</f>
        <v>#N/A</v>
      </c>
      <c r="AE199" s="675" t="str">
        <f>IFERROR(__xludf.DUMMYFUNCTION("""COMPUTED_VALUE"""),"#N/A")</f>
        <v>#N/A</v>
      </c>
      <c r="AF199" s="675">
        <f>IFERROR(__xludf.DUMMYFUNCTION("""COMPUTED_VALUE"""),0.0)</f>
        <v>0</v>
      </c>
      <c r="AG199" s="675">
        <f>IFERROR(__xludf.DUMMYFUNCTION("""COMPUTED_VALUE"""),0.0)</f>
        <v>0</v>
      </c>
      <c r="AH199" s="675" t="str">
        <f>IFERROR(__xludf.DUMMYFUNCTION("""COMPUTED_VALUE"""),"#N/A")</f>
        <v>#N/A</v>
      </c>
      <c r="AI199" s="139" t="str">
        <f>IFERROR(__xludf.DUMMYFUNCTION("""COMPUTED_VALUE"""),"#N/A")</f>
        <v>#N/A</v>
      </c>
      <c r="AJ199" s="675" t="str">
        <f>IFERROR(__xludf.DUMMYFUNCTION("""COMPUTED_VALUE"""),"#N/A")</f>
        <v>#N/A</v>
      </c>
      <c r="AK199" s="139" t="str">
        <f>IFERROR(__xludf.DUMMYFUNCTION("""COMPUTED_VALUE"""),"#N/A")</f>
        <v>#N/A</v>
      </c>
      <c r="AL199" s="674" t="str">
        <f>IFERROR(__xludf.DUMMYFUNCTION("""COMPUTED_VALUE"""),"#N/A")</f>
        <v>#N/A</v>
      </c>
      <c r="AM199" s="688" t="str">
        <f>IFERROR(__xludf.DUMMYFUNCTION("""COMPUTED_VALUE"""),"#N/A")</f>
        <v>#N/A</v>
      </c>
      <c r="AN199" s="675" t="str">
        <f>IFERROR(__xludf.DUMMYFUNCTION("""COMPUTED_VALUE"""),"#N/A")</f>
        <v>#N/A</v>
      </c>
      <c r="AO199" s="675" t="str">
        <f>IFERROR(__xludf.DUMMYFUNCTION("""COMPUTED_VALUE"""),"#N/A")</f>
        <v>#N/A</v>
      </c>
      <c r="AP199" s="674">
        <f>IFERROR(__xludf.DUMMYFUNCTION("""COMPUTED_VALUE"""),0.0)</f>
        <v>0</v>
      </c>
      <c r="AQ199" s="673" t="str">
        <f>IFERROR(__xludf.DUMMYFUNCTION("""COMPUTED_VALUE"""),"#N/A")</f>
        <v>#N/A</v>
      </c>
      <c r="AR199" s="673">
        <f>IFERROR(__xludf.DUMMYFUNCTION("""COMPUTED_VALUE"""),0.0)</f>
        <v>0</v>
      </c>
      <c r="AS199" s="673">
        <f>IFERROR(__xludf.DUMMYFUNCTION("""COMPUTED_VALUE"""),0.0)</f>
        <v>0</v>
      </c>
      <c r="AT199" s="673">
        <f>IFERROR(__xludf.DUMMYFUNCTION("""COMPUTED_VALUE"""),0.0)</f>
        <v>0</v>
      </c>
      <c r="AU199" s="675" t="str">
        <f>IFERROR(__xludf.DUMMYFUNCTION("""COMPUTED_VALUE"""),"#N/A")</f>
        <v>#N/A</v>
      </c>
      <c r="AV199" s="675">
        <f>IFERROR(__xludf.DUMMYFUNCTION("""COMPUTED_VALUE"""),0.0)</f>
        <v>0</v>
      </c>
      <c r="AW199" s="139"/>
      <c r="AX199" s="674" t="str">
        <f>IFERROR(__xludf.DUMMYFUNCTION("""COMPUTED_VALUE"""),"※通常攻撃範囲を入力！(CD列)")</f>
        <v>※通常攻撃範囲を入力！(CD列)</v>
      </c>
      <c r="AY199" s="688" t="str">
        <f>IFERROR(__xludf.DUMMYFUNCTION("""COMPUTED_VALUE"""),"#VALUE!")</f>
        <v>#VALUE!</v>
      </c>
      <c r="AZ199" s="674" t="str">
        <f>IFERROR(__xludf.DUMMYFUNCTION("""COMPUTED_VALUE"""),"#N/A")</f>
        <v>#N/A</v>
      </c>
      <c r="BA199" s="688" t="str">
        <f>IFERROR(__xludf.DUMMYFUNCTION("""COMPUTED_VALUE"""),"#VALUE!")</f>
        <v>#VALUE!</v>
      </c>
      <c r="BB199" s="688" t="str">
        <f>IFERROR(__xludf.DUMMYFUNCTION("""COMPUTED_VALUE"""),"-")</f>
        <v>-</v>
      </c>
      <c r="BC199" s="688" t="str">
        <f>IFERROR(__xludf.DUMMYFUNCTION("""COMPUTED_VALUE"""),"#N/A")</f>
        <v>#N/A</v>
      </c>
      <c r="BD199" s="688" t="str">
        <f>IFERROR(__xludf.DUMMYFUNCTION("""COMPUTED_VALUE"""),"#VALUE!")</f>
        <v>#VALUE!</v>
      </c>
      <c r="BE199" s="674" t="str">
        <f>IFERROR(__xludf.DUMMYFUNCTION("""COMPUTED_VALUE"""),"#N/A")</f>
        <v>#N/A</v>
      </c>
      <c r="BF199" s="674">
        <f>IFERROR(__xludf.DUMMYFUNCTION("""COMPUTED_VALUE"""),0.0)</f>
        <v>0</v>
      </c>
      <c r="BG199" s="673">
        <f>IFERROR(__xludf.DUMMYFUNCTION("""COMPUTED_VALUE"""),0.0)</f>
        <v>0</v>
      </c>
      <c r="BH199" s="673" t="str">
        <f>IFERROR(__xludf.DUMMYFUNCTION("""COMPUTED_VALUE"""),"#N/A")</f>
        <v>#N/A</v>
      </c>
      <c r="BI199" s="673" t="str">
        <f>IFERROR(__xludf.DUMMYFUNCTION("""COMPUTED_VALUE"""),"#N/A")</f>
        <v>#N/A</v>
      </c>
      <c r="BJ199" s="673">
        <f>IFERROR(__xludf.DUMMYFUNCTION("""COMPUTED_VALUE"""),0.0)</f>
        <v>0</v>
      </c>
      <c r="BK199" s="673">
        <f>IFERROR(__xludf.DUMMYFUNCTION("""COMPUTED_VALUE"""),0.0)</f>
        <v>0</v>
      </c>
      <c r="BL199" s="673" t="str">
        <f>IFERROR(__xludf.DUMMYFUNCTION("""COMPUTED_VALUE"""),"#N/A")</f>
        <v>#N/A</v>
      </c>
      <c r="BM199" s="674" t="str">
        <f>IFERROR(__xludf.DUMMYFUNCTION("""COMPUTED_VALUE"""),"#N/A")</f>
        <v>#N/A</v>
      </c>
      <c r="BN199" s="674" t="str">
        <f>IFERROR(__xludf.DUMMYFUNCTION("""COMPUTED_VALUE"""),"#N/A")</f>
        <v>#N/A</v>
      </c>
      <c r="BO199" s="675">
        <f>IFERROR(__xludf.DUMMYFUNCTION("""COMPUTED_VALUE"""),0.0)</f>
        <v>0</v>
      </c>
      <c r="BP199" s="675" t="str">
        <f>IFERROR(__xludf.DUMMYFUNCTION("""COMPUTED_VALUE"""),"#N/A")</f>
        <v>#N/A</v>
      </c>
      <c r="BQ199" s="139"/>
      <c r="BR199" s="139" t="str">
        <f>IFERROR(__xludf.DUMMYFUNCTION("""COMPUTED_VALUE"""),"#N/A")</f>
        <v>#N/A</v>
      </c>
      <c r="BS199" s="139" t="str">
        <f>IFERROR(__xludf.DUMMYFUNCTION("""COMPUTED_VALUE"""),"※移動を入力！(BV列)")</f>
        <v>※移動を入力！(BV列)</v>
      </c>
      <c r="BT199" s="139" t="str">
        <f>IFERROR(__xludf.DUMMYFUNCTION("""COMPUTED_VALUE"""),"※攻撃手段を入力(BQ列)")</f>
        <v>※攻撃手段を入力(BQ列)</v>
      </c>
      <c r="BU199" s="139">
        <f>IFERROR(__xludf.DUMMYFUNCTION("""COMPUTED_VALUE"""),0.0)</f>
        <v>0</v>
      </c>
      <c r="BV199" s="139"/>
      <c r="BW199" s="139"/>
      <c r="BX199" s="139" t="str">
        <f>IFERROR(__xludf.DUMMYFUNCTION("""COMPUTED_VALUE"""),"※特性を選択!!(BW列)")</f>
        <v>※特性を選択!!(BW列)</v>
      </c>
      <c r="BY199" s="139" t="str">
        <f>IFERROR(__xludf.DUMMYFUNCTION("""COMPUTED_VALUE"""),"#N/A")</f>
        <v>#N/A</v>
      </c>
      <c r="BZ199" s="139"/>
      <c r="CA199" s="139" t="str">
        <f>IFERROR(__xludf.DUMMYFUNCTION("""COMPUTED_VALUE"""),"※特性を選択!!(BW列)")</f>
        <v>※特性を選択!!(BW列)</v>
      </c>
      <c r="CB199" s="139" t="str">
        <f>IFERROR(__xludf.DUMMYFUNCTION("""COMPUTED_VALUE"""),"#N/A")</f>
        <v>#N/A</v>
      </c>
      <c r="CC199" s="139" t="str">
        <f>IFERROR(__xludf.DUMMYFUNCTION("""COMPUTED_VALUE"""),"該当なし")</f>
        <v>該当なし</v>
      </c>
      <c r="CD199" s="139"/>
      <c r="CE199" s="139" t="str">
        <f>IFERROR(__xludf.DUMMYFUNCTION("""COMPUTED_VALUE"""),"#N/A")</f>
        <v>#N/A</v>
      </c>
      <c r="CF199" s="139" t="str">
        <f>IFERROR(__xludf.DUMMYFUNCTION("""COMPUTED_VALUE"""),"#VALUE!")</f>
        <v>#VALUE!</v>
      </c>
      <c r="CG199" s="139"/>
      <c r="CH199" s="139"/>
      <c r="CI199" s="139" t="str">
        <f>IFERROR(__xludf.DUMMYFUNCTION("""COMPUTED_VALUE"""),"#N/A")</f>
        <v>#N/A</v>
      </c>
      <c r="CJ199" s="139" t="str">
        <f>IFERROR(__xludf.DUMMYFUNCTION("""COMPUTED_VALUE"""),"#VALUE!")</f>
        <v>#VALUE!</v>
      </c>
      <c r="CK199" s="139"/>
      <c r="CL199" s="139"/>
      <c r="CM199" s="139"/>
      <c r="CN199" s="675" t="str">
        <f>IFERROR(__xludf.DUMMYFUNCTION("""COMPUTED_VALUE"""),"#N/A")</f>
        <v>#N/A</v>
      </c>
      <c r="CO199" s="139" t="str">
        <f>IFERROR(__xludf.DUMMYFUNCTION("""COMPUTED_VALUE"""),"-")</f>
        <v>-</v>
      </c>
      <c r="CP199" s="139" t="str">
        <f>IFERROR(__xludf.DUMMYFUNCTION("""COMPUTED_VALUE"""),"-")</f>
        <v>-</v>
      </c>
      <c r="CQ199" s="139" t="str">
        <f>IFERROR(__xludf.DUMMYFUNCTION("""COMPUTED_VALUE"""),"#N/A")</f>
        <v>#N/A</v>
      </c>
      <c r="CR199" s="139"/>
      <c r="CS199" s="139"/>
      <c r="CT199" s="139"/>
      <c r="CU199" s="139"/>
      <c r="CV199" s="139"/>
      <c r="CW199" s="139"/>
      <c r="CX199" s="674" t="str">
        <f>IFERROR(__xludf.DUMMYFUNCTION("""COMPUTED_VALUE"""),"")</f>
        <v/>
      </c>
      <c r="CY199" s="675" t="str">
        <f>IFERROR(__xludf.DUMMYFUNCTION("""COMPUTED_VALUE"""),"")</f>
        <v/>
      </c>
      <c r="CZ199" s="688" t="str">
        <f>IFERROR(__xludf.DUMMYFUNCTION("""COMPUTED_VALUE"""),"-")</f>
        <v>-</v>
      </c>
      <c r="DA199" s="688">
        <f>IFERROR(__xludf.DUMMYFUNCTION("""COMPUTED_VALUE"""),0.0)</f>
        <v>0</v>
      </c>
      <c r="DB199" s="688">
        <f>IFERROR(__xludf.DUMMYFUNCTION("""COMPUTED_VALUE"""),0.0)</f>
        <v>0</v>
      </c>
      <c r="DC199" s="673" t="str">
        <f>IFERROR(__xludf.DUMMYFUNCTION("""COMPUTED_VALUE"""),"-")</f>
        <v>-</v>
      </c>
      <c r="DD199" s="673" t="str">
        <f>IFERROR(__xludf.DUMMYFUNCTION("""COMPUTED_VALUE"""),"-")</f>
        <v>-</v>
      </c>
      <c r="DE199" s="139" t="str">
        <f>IFERROR(__xludf.DUMMYFUNCTION("""COMPUTED_VALUE"""),"-")</f>
        <v>-</v>
      </c>
      <c r="DF199" s="139" t="str">
        <f>IFERROR(__xludf.DUMMYFUNCTION("""COMPUTED_VALUE"""),"-")</f>
        <v>-</v>
      </c>
      <c r="DG199" s="139" t="str">
        <f>IFERROR(__xludf.DUMMYFUNCTION("""COMPUTED_VALUE"""),"-")</f>
        <v>-</v>
      </c>
      <c r="DH199" s="139" t="str">
        <f>IFERROR(__xludf.DUMMYFUNCTION("""COMPUTED_VALUE"""),"-")</f>
        <v>-</v>
      </c>
      <c r="DI199" s="139" t="str">
        <f>IFERROR(__xludf.DUMMYFUNCTION("""COMPUTED_VALUE"""),"-")</f>
        <v>-</v>
      </c>
      <c r="DJ199" s="139" t="str">
        <f>IFERROR(__xludf.DUMMYFUNCTION("""COMPUTED_VALUE"""),"-")</f>
        <v>-</v>
      </c>
    </row>
    <row r="200">
      <c r="A200" s="139"/>
      <c r="B200" s="139"/>
      <c r="C200" s="139"/>
      <c r="D200" s="139"/>
      <c r="E200" s="139"/>
      <c r="F200" s="139"/>
      <c r="G200" s="139"/>
      <c r="H200" s="139"/>
      <c r="I200" s="139"/>
      <c r="J200" s="139"/>
      <c r="K200" s="139"/>
      <c r="L200" s="139"/>
      <c r="M200" s="139"/>
      <c r="N200" s="139"/>
      <c r="O200" s="139"/>
      <c r="P200" s="139"/>
      <c r="Q200" s="139"/>
      <c r="R200" s="139"/>
      <c r="S200" s="139"/>
      <c r="T200" s="139"/>
      <c r="U200" s="139"/>
      <c r="V200" s="139"/>
      <c r="W200" s="139"/>
      <c r="X200" s="139"/>
      <c r="Y200" s="139"/>
      <c r="Z200" s="139"/>
      <c r="AA200" s="139"/>
      <c r="AB200" s="139"/>
      <c r="AC200" s="139"/>
      <c r="AD200" s="139"/>
      <c r="AE200" s="139"/>
      <c r="AF200" s="139"/>
      <c r="AG200" s="139"/>
      <c r="AH200" s="139"/>
      <c r="AI200" s="139"/>
      <c r="AJ200" s="139"/>
      <c r="AK200" s="139"/>
      <c r="AL200" s="139"/>
      <c r="AM200" s="139"/>
      <c r="AN200" s="139"/>
      <c r="AO200" s="139"/>
      <c r="AP200" s="139"/>
      <c r="AQ200" s="139"/>
      <c r="AR200" s="139"/>
      <c r="AS200" s="139"/>
      <c r="AT200" s="139"/>
      <c r="AU200" s="139"/>
      <c r="AV200" s="139"/>
      <c r="AW200" s="139"/>
      <c r="AX200" s="139"/>
      <c r="AY200" s="139"/>
      <c r="AZ200" s="139"/>
      <c r="BA200" s="139"/>
      <c r="BB200" s="139"/>
      <c r="BC200" s="139"/>
      <c r="BD200" s="139"/>
      <c r="BE200" s="139"/>
      <c r="BF200" s="139"/>
      <c r="BG200" s="139"/>
      <c r="BH200" s="139"/>
      <c r="BI200" s="139"/>
      <c r="BJ200" s="139"/>
      <c r="BK200" s="139"/>
      <c r="BL200" s="139"/>
      <c r="BM200" s="139"/>
      <c r="BN200" s="139"/>
      <c r="BO200" s="139"/>
      <c r="BP200" s="139"/>
      <c r="BQ200" s="139"/>
      <c r="BR200" s="139"/>
      <c r="BS200" s="139"/>
      <c r="BT200" s="139"/>
      <c r="BU200" s="139"/>
      <c r="BV200" s="139"/>
      <c r="BW200" s="139"/>
      <c r="BX200" s="139"/>
      <c r="BY200" s="139"/>
      <c r="BZ200" s="139"/>
      <c r="CA200" s="139"/>
      <c r="CB200" s="139"/>
      <c r="CC200" s="139"/>
      <c r="CD200" s="139"/>
      <c r="CE200" s="139"/>
      <c r="CF200" s="139"/>
      <c r="CG200" s="139"/>
      <c r="CH200" s="139"/>
      <c r="CI200" s="139"/>
      <c r="CJ200" s="139"/>
      <c r="CK200" s="139"/>
      <c r="CL200" s="139"/>
      <c r="CM200" s="139"/>
      <c r="CN200" s="139"/>
      <c r="CO200" s="139"/>
      <c r="CP200" s="139"/>
      <c r="CQ200" s="139"/>
      <c r="CR200" s="139"/>
      <c r="CS200" s="139"/>
      <c r="CT200" s="139"/>
      <c r="CU200" s="139"/>
      <c r="CV200" s="139"/>
      <c r="CW200" s="139"/>
      <c r="CX200" s="139"/>
      <c r="CY200" s="139"/>
      <c r="CZ200" s="139"/>
      <c r="DA200" s="139"/>
      <c r="DB200" s="139"/>
      <c r="DC200" s="139"/>
      <c r="DD200" s="139"/>
      <c r="DE200" s="139"/>
      <c r="DF200" s="139"/>
      <c r="DG200" s="139"/>
      <c r="DH200" s="139"/>
      <c r="DI200" s="139"/>
      <c r="DJ200" s="139"/>
    </row>
    <row r="201">
      <c r="A201" s="139" t="str">
        <f>IFERROR(__xludf.DUMMYFUNCTION("""COMPUTED_VALUE"""),"※(数式メンテ用)")</f>
        <v>※(数式メンテ用)</v>
      </c>
      <c r="B201" s="139"/>
      <c r="C201" s="139"/>
      <c r="D201" s="139"/>
      <c r="E201" s="139"/>
      <c r="F201" s="139"/>
      <c r="G201" s="139"/>
      <c r="H201" s="139"/>
      <c r="I201" s="139"/>
      <c r="J201" s="139"/>
      <c r="K201" s="139"/>
      <c r="L201" s="139"/>
      <c r="M201" s="139"/>
      <c r="N201" s="139"/>
      <c r="O201" s="139"/>
      <c r="P201" s="139"/>
      <c r="Q201" s="139"/>
      <c r="R201" s="139"/>
      <c r="S201" s="139"/>
      <c r="T201" s="139"/>
      <c r="U201" s="139"/>
      <c r="V201" s="139"/>
      <c r="W201" s="139"/>
      <c r="X201" s="139"/>
      <c r="Y201" s="139"/>
      <c r="Z201" s="139"/>
      <c r="AA201" s="139"/>
      <c r="AB201" s="139"/>
      <c r="AC201" s="139"/>
      <c r="AD201" s="139"/>
      <c r="AE201" s="139"/>
      <c r="AF201" s="139"/>
      <c r="AG201" s="139"/>
      <c r="AH201" s="139"/>
      <c r="AI201" s="139"/>
      <c r="AJ201" s="139"/>
      <c r="AK201" s="139"/>
      <c r="AL201" s="139"/>
      <c r="AM201" s="139"/>
      <c r="AN201" s="139"/>
      <c r="AO201" s="139"/>
      <c r="AP201" s="139"/>
      <c r="AQ201" s="139"/>
      <c r="AR201" s="139"/>
      <c r="AS201" s="139"/>
      <c r="AT201" s="139"/>
      <c r="AU201" s="139"/>
      <c r="AV201" s="139"/>
      <c r="AW201" s="139"/>
      <c r="AX201" s="139"/>
      <c r="AY201" s="139"/>
      <c r="AZ201" s="139"/>
      <c r="BA201" s="139"/>
      <c r="BB201" s="139"/>
      <c r="BC201" s="139"/>
      <c r="BD201" s="139"/>
      <c r="BE201" s="139"/>
      <c r="BF201" s="139"/>
      <c r="BG201" s="139"/>
      <c r="BH201" s="139"/>
      <c r="BI201" s="139"/>
      <c r="BJ201" s="139"/>
      <c r="BK201" s="139"/>
      <c r="BL201" s="139"/>
      <c r="BM201" s="139"/>
      <c r="BN201" s="139"/>
      <c r="BO201" s="139"/>
      <c r="BP201" s="139"/>
      <c r="BQ201" s="139"/>
      <c r="BR201" s="139"/>
      <c r="BS201" s="139"/>
      <c r="BT201" s="139"/>
      <c r="BU201" s="139"/>
      <c r="BV201" s="139"/>
      <c r="BW201" s="139"/>
      <c r="BX201" s="139"/>
      <c r="BY201" s="139"/>
      <c r="BZ201" s="139"/>
      <c r="CA201" s="139"/>
      <c r="CB201" s="139"/>
      <c r="CC201" s="139"/>
      <c r="CD201" s="139"/>
      <c r="CE201" s="139"/>
      <c r="CF201" s="139"/>
      <c r="CG201" s="139"/>
      <c r="CH201" s="139"/>
      <c r="CI201" s="139"/>
      <c r="CJ201" s="139"/>
      <c r="CK201" s="139"/>
      <c r="CL201" s="139"/>
      <c r="CM201" s="139"/>
      <c r="CN201" s="139"/>
      <c r="CO201" s="139"/>
      <c r="CP201" s="139"/>
      <c r="CQ201" s="139"/>
      <c r="CR201" s="139"/>
      <c r="CS201" s="139"/>
      <c r="CT201" s="139"/>
      <c r="CU201" s="139"/>
      <c r="CV201" s="139"/>
      <c r="CW201" s="139"/>
      <c r="CX201" s="139"/>
      <c r="CY201" s="139"/>
      <c r="CZ201" s="139"/>
      <c r="DA201" s="139"/>
      <c r="DB201" s="139"/>
      <c r="DC201" s="139"/>
      <c r="DD201" s="139"/>
      <c r="DE201" s="139"/>
      <c r="DF201" s="139"/>
      <c r="DG201" s="139"/>
      <c r="DH201" s="139"/>
      <c r="DI201" s="139"/>
      <c r="DJ201" s="139"/>
    </row>
    <row r="202">
      <c r="A202" s="674" t="str">
        <f>IFERROR(__xludf.DUMMYFUNCTION("""COMPUTED_VALUE"""),"自動")</f>
        <v>自動</v>
      </c>
      <c r="B202" s="674" t="str">
        <f>IFERROR(__xludf.DUMMYFUNCTION("""COMPUTED_VALUE"""),"自動")</f>
        <v>自動</v>
      </c>
      <c r="C202" s="674" t="str">
        <f>IFERROR(__xludf.DUMMYFUNCTION("""COMPUTED_VALUE"""),"自動")</f>
        <v>自動</v>
      </c>
      <c r="D202" s="674" t="str">
        <f>IFERROR(__xludf.DUMMYFUNCTION("""COMPUTED_VALUE"""),"自動")</f>
        <v>自動</v>
      </c>
      <c r="E202" s="674" t="str">
        <f>IFERROR(__xludf.DUMMYFUNCTION("""COMPUTED_VALUE"""),"自動")</f>
        <v>自動</v>
      </c>
      <c r="F202" s="674" t="str">
        <f>IFERROR(__xludf.DUMMYFUNCTION("""COMPUTED_VALUE"""),"自動")</f>
        <v>自動</v>
      </c>
      <c r="G202" s="674" t="str">
        <f>IFERROR(__xludf.DUMMYFUNCTION("""COMPUTED_VALUE"""),"自動")</f>
        <v>自動</v>
      </c>
      <c r="H202" s="139" t="str">
        <f>IFERROR(__xludf.DUMMYFUNCTION("""COMPUTED_VALUE"""),"自動")</f>
        <v>自動</v>
      </c>
      <c r="I202" s="139" t="str">
        <f>IFERROR(__xludf.DUMMYFUNCTION("""COMPUTED_VALUE"""),"自動")</f>
        <v>自動</v>
      </c>
      <c r="J202" s="139" t="str">
        <f>IFERROR(__xludf.DUMMYFUNCTION("""COMPUTED_VALUE"""),"半自動")</f>
        <v>半自動</v>
      </c>
      <c r="K202" s="139" t="str">
        <f>IFERROR(__xludf.DUMMYFUNCTION("""COMPUTED_VALUE"""),"自動")</f>
        <v>自動</v>
      </c>
      <c r="L202" s="139" t="str">
        <f>IFERROR(__xludf.DUMMYFUNCTION("""COMPUTED_VALUE"""),"手動")</f>
        <v>手動</v>
      </c>
      <c r="M202" s="674" t="str">
        <f>IFERROR(__xludf.DUMMYFUNCTION("""COMPUTED_VALUE"""),"自動")</f>
        <v>自動</v>
      </c>
      <c r="N202" s="139" t="str">
        <f>IFERROR(__xludf.DUMMYFUNCTION("""COMPUTED_VALUE"""),"自動")</f>
        <v>自動</v>
      </c>
      <c r="O202" s="139" t="str">
        <f>IFERROR(__xludf.DUMMYFUNCTION("""COMPUTED_VALUE"""),"手動")</f>
        <v>手動</v>
      </c>
      <c r="P202" s="139" t="str">
        <f>IFERROR(__xludf.DUMMYFUNCTION("""COMPUTED_VALUE"""),"手動")</f>
        <v>手動</v>
      </c>
      <c r="Q202" s="675" t="str">
        <f>IFERROR(__xludf.DUMMYFUNCTION("""COMPUTED_VALUE"""),"自動")</f>
        <v>自動</v>
      </c>
      <c r="R202" s="675" t="str">
        <f>IFERROR(__xludf.DUMMYFUNCTION("""COMPUTED_VALUE"""),"自動")</f>
        <v>自動</v>
      </c>
      <c r="S202" s="675" t="str">
        <f>IFERROR(__xludf.DUMMYFUNCTION("""COMPUTED_VALUE"""),"自動")</f>
        <v>自動</v>
      </c>
      <c r="T202" s="674" t="str">
        <f>IFERROR(__xludf.DUMMYFUNCTION("""COMPUTED_VALUE"""),"自動")</f>
        <v>自動</v>
      </c>
      <c r="U202" s="675" t="str">
        <f>IFERROR(__xludf.DUMMYFUNCTION("""COMPUTED_VALUE"""),"自動")</f>
        <v>自動</v>
      </c>
      <c r="V202" s="675" t="str">
        <f>IFERROR(__xludf.DUMMYFUNCTION("""COMPUTED_VALUE"""),"手動")</f>
        <v>手動</v>
      </c>
      <c r="W202" s="675" t="str">
        <f>IFERROR(__xludf.DUMMYFUNCTION("""COMPUTED_VALUE"""),"自動")</f>
        <v>自動</v>
      </c>
      <c r="X202" s="675" t="str">
        <f>IFERROR(__xludf.DUMMYFUNCTION("""COMPUTED_VALUE"""),"手動")</f>
        <v>手動</v>
      </c>
      <c r="Y202" s="674" t="str">
        <f>IFERROR(__xludf.DUMMYFUNCTION("""COMPUTED_VALUE"""),"自動")</f>
        <v>自動</v>
      </c>
      <c r="Z202" s="675" t="str">
        <f>IFERROR(__xludf.DUMMYFUNCTION("""COMPUTED_VALUE"""),"自動")</f>
        <v>自動</v>
      </c>
      <c r="AA202" s="675" t="str">
        <f>IFERROR(__xludf.DUMMYFUNCTION("""COMPUTED_VALUE"""),"手動")</f>
        <v>手動</v>
      </c>
      <c r="AB202" s="675" t="str">
        <f>IFERROR(__xludf.DUMMYFUNCTION("""COMPUTED_VALUE"""),"自動")</f>
        <v>自動</v>
      </c>
      <c r="AC202" s="675" t="str">
        <f>IFERROR(__xludf.DUMMYFUNCTION("""COMPUTED_VALUE"""),"手動")</f>
        <v>手動</v>
      </c>
      <c r="AD202" s="674" t="str">
        <f>IFERROR(__xludf.DUMMYFUNCTION("""COMPUTED_VALUE"""),"自動")</f>
        <v>自動</v>
      </c>
      <c r="AE202" s="675" t="str">
        <f>IFERROR(__xludf.DUMMYFUNCTION("""COMPUTED_VALUE"""),"自動")</f>
        <v>自動</v>
      </c>
      <c r="AF202" s="675" t="str">
        <f>IFERROR(__xludf.DUMMYFUNCTION("""COMPUTED_VALUE"""),"手動")</f>
        <v>手動</v>
      </c>
      <c r="AG202" s="675" t="str">
        <f>IFERROR(__xludf.DUMMYFUNCTION("""COMPUTED_VALUE"""),"自動")</f>
        <v>自動</v>
      </c>
      <c r="AH202" s="675" t="str">
        <f>IFERROR(__xludf.DUMMYFUNCTION("""COMPUTED_VALUE"""),"自動")</f>
        <v>自動</v>
      </c>
      <c r="AI202" s="139" t="str">
        <f>IFERROR(__xludf.DUMMYFUNCTION("""COMPUTED_VALUE"""),"自動")</f>
        <v>自動</v>
      </c>
      <c r="AJ202" s="139" t="str">
        <f>IFERROR(__xludf.DUMMYFUNCTION("""COMPUTED_VALUE"""),"自動")</f>
        <v>自動</v>
      </c>
      <c r="AK202" s="139" t="str">
        <f>IFERROR(__xludf.DUMMYFUNCTION("""COMPUTED_VALUE"""),"自動")</f>
        <v>自動</v>
      </c>
      <c r="AL202" s="674" t="str">
        <f>IFERROR(__xludf.DUMMYFUNCTION("""COMPUTED_VALUE"""),"自動")</f>
        <v>自動</v>
      </c>
      <c r="AM202" s="688" t="str">
        <f>IFERROR(__xludf.DUMMYFUNCTION("""COMPUTED_VALUE"""),"自動")</f>
        <v>自動</v>
      </c>
      <c r="AN202" s="675" t="str">
        <f>IFERROR(__xludf.DUMMYFUNCTION("""COMPUTED_VALUE"""),"自動")</f>
        <v>自動</v>
      </c>
      <c r="AO202" s="675" t="str">
        <f>IFERROR(__xludf.DUMMYFUNCTION("""COMPUTED_VALUE"""),"自動")</f>
        <v>自動</v>
      </c>
      <c r="AP202" s="675" t="str">
        <f>IFERROR(__xludf.DUMMYFUNCTION("""COMPUTED_VALUE"""),"自動")</f>
        <v>自動</v>
      </c>
      <c r="AQ202" s="673" t="str">
        <f>IFERROR(__xludf.DUMMYFUNCTION("""COMPUTED_VALUE"""),"自動")</f>
        <v>自動</v>
      </c>
      <c r="AR202" s="673" t="str">
        <f>IFERROR(__xludf.DUMMYFUNCTION("""COMPUTED_VALUE"""),"手動")</f>
        <v>手動</v>
      </c>
      <c r="AS202" s="673" t="str">
        <f>IFERROR(__xludf.DUMMYFUNCTION("""COMPUTED_VALUE"""),"自動")</f>
        <v>自動</v>
      </c>
      <c r="AT202" s="673" t="str">
        <f>IFERROR(__xludf.DUMMYFUNCTION("""COMPUTED_VALUE"""),"自動")</f>
        <v>自動</v>
      </c>
      <c r="AU202" s="673" t="str">
        <f>IFERROR(__xludf.DUMMYFUNCTION("""COMPUTED_VALUE"""),"自動")</f>
        <v>自動</v>
      </c>
      <c r="AV202" s="673" t="str">
        <f>IFERROR(__xludf.DUMMYFUNCTION("""COMPUTED_VALUE"""),"手動")</f>
        <v>手動</v>
      </c>
      <c r="AW202" s="139"/>
      <c r="AX202" s="674" t="str">
        <f>IFERROR(__xludf.DUMMYFUNCTION("""COMPUTED_VALUE"""),"自動")</f>
        <v>自動</v>
      </c>
      <c r="AY202" s="688" t="str">
        <f>IFERROR(__xludf.DUMMYFUNCTION("""COMPUTED_VALUE"""),"自動")</f>
        <v>自動</v>
      </c>
      <c r="AZ202" s="674" t="str">
        <f>IFERROR(__xludf.DUMMYFUNCTION("""COMPUTED_VALUE"""),"自動")</f>
        <v>自動</v>
      </c>
      <c r="BA202" s="688" t="str">
        <f>IFERROR(__xludf.DUMMYFUNCTION("""COMPUTED_VALUE"""),"自動")</f>
        <v>自動</v>
      </c>
      <c r="BB202" s="688" t="str">
        <f>IFERROR(__xludf.DUMMYFUNCTION("""COMPUTED_VALUE"""),"自動")</f>
        <v>自動</v>
      </c>
      <c r="BC202" s="688" t="str">
        <f>IFERROR(__xludf.DUMMYFUNCTION("""COMPUTED_VALUE"""),"自動")</f>
        <v>自動</v>
      </c>
      <c r="BD202" s="688" t="str">
        <f>IFERROR(__xludf.DUMMYFUNCTION("""COMPUTED_VALUE"""),"自動")</f>
        <v>自動</v>
      </c>
      <c r="BE202" s="688" t="str">
        <f>IFERROR(__xludf.DUMMYFUNCTION("""COMPUTED_VALUE"""),"自動")</f>
        <v>自動</v>
      </c>
      <c r="BF202" s="688" t="str">
        <f>IFERROR(__xludf.DUMMYFUNCTION("""COMPUTED_VALUE"""),"自動")</f>
        <v>自動</v>
      </c>
      <c r="BG202" s="673" t="str">
        <f>IFERROR(__xludf.DUMMYFUNCTION("""COMPUTED_VALUE"""),"手動")</f>
        <v>手動</v>
      </c>
      <c r="BH202" s="673" t="str">
        <f>IFERROR(__xludf.DUMMYFUNCTION("""COMPUTED_VALUE"""),"自動")</f>
        <v>自動</v>
      </c>
      <c r="BI202" s="673" t="str">
        <f>IFERROR(__xludf.DUMMYFUNCTION("""COMPUTED_VALUE"""),"自動")</f>
        <v>自動</v>
      </c>
      <c r="BJ202" s="139"/>
      <c r="BK202" s="139"/>
      <c r="BL202" s="139"/>
      <c r="BM202" s="674" t="str">
        <f>IFERROR(__xludf.DUMMYFUNCTION("""COMPUTED_VALUE"""),"自動")</f>
        <v>自動</v>
      </c>
      <c r="BN202" s="674" t="str">
        <f>IFERROR(__xludf.DUMMYFUNCTION("""COMPUTED_VALUE"""),"自動")</f>
        <v>自動</v>
      </c>
      <c r="BO202" s="675" t="str">
        <f>IFERROR(__xludf.DUMMYFUNCTION("""COMPUTED_VALUE"""),"手動")</f>
        <v>手動</v>
      </c>
      <c r="BP202" s="675" t="str">
        <f>IFERROR(__xludf.DUMMYFUNCTION("""COMPUTED_VALUE"""),"自動")</f>
        <v>自動</v>
      </c>
      <c r="BQ202" s="139" t="str">
        <f>IFERROR(__xludf.DUMMYFUNCTION("""COMPUTED_VALUE"""),"手動")</f>
        <v>手動</v>
      </c>
      <c r="BR202" s="139" t="str">
        <f>IFERROR(__xludf.DUMMYFUNCTION("""COMPUTED_VALUE"""),"※↓半自動")</f>
        <v>※↓半自動</v>
      </c>
      <c r="BS202" s="139" t="str">
        <f>IFERROR(__xludf.DUMMYFUNCTION("""COMPUTED_VALUE"""),"※↓半自動")</f>
        <v>※↓半自動</v>
      </c>
      <c r="BT202" s="139" t="str">
        <f>IFERROR(__xludf.DUMMYFUNCTION("""COMPUTED_VALUE"""),"手動")</f>
        <v>手動</v>
      </c>
      <c r="BU202" s="139" t="str">
        <f>IFERROR(__xludf.DUMMYFUNCTION("""COMPUTED_VALUE"""),"自動")</f>
        <v>自動</v>
      </c>
      <c r="BV202" s="139" t="str">
        <f>IFERROR(__xludf.DUMMYFUNCTION("""COMPUTED_VALUE"""),"手動")</f>
        <v>手動</v>
      </c>
      <c r="BW202" s="139" t="str">
        <f>IFERROR(__xludf.DUMMYFUNCTION("""COMPUTED_VALUE"""),"手動")</f>
        <v>手動</v>
      </c>
      <c r="BX202" s="139" t="str">
        <f>IFERROR(__xludf.DUMMYFUNCTION("""COMPUTED_VALUE"""),"手動")</f>
        <v>手動</v>
      </c>
      <c r="BY202" s="674" t="str">
        <f>IFERROR(__xludf.DUMMYFUNCTION("""COMPUTED_VALUE"""),"自動")</f>
        <v>自動</v>
      </c>
      <c r="BZ202" s="139" t="str">
        <f>IFERROR(__xludf.DUMMYFUNCTION("""COMPUTED_VALUE"""),"手動")</f>
        <v>手動</v>
      </c>
      <c r="CA202" s="139" t="str">
        <f>IFERROR(__xludf.DUMMYFUNCTION("""COMPUTED_VALUE"""),"手動")</f>
        <v>手動</v>
      </c>
      <c r="CB202" s="139" t="str">
        <f>IFERROR(__xludf.DUMMYFUNCTION("""COMPUTED_VALUE"""),"自動")</f>
        <v>自動</v>
      </c>
      <c r="CC202" s="139" t="str">
        <f>IFERROR(__xludf.DUMMYFUNCTION("""COMPUTED_VALUE"""),"半自動")</f>
        <v>半自動</v>
      </c>
      <c r="CD202" s="139" t="str">
        <f>IFERROR(__xludf.DUMMYFUNCTION("""COMPUTED_VALUE"""),"手動")</f>
        <v>手動</v>
      </c>
      <c r="CE202" s="139" t="str">
        <f>IFERROR(__xludf.DUMMYFUNCTION("""COMPUTED_VALUE"""),"自動")</f>
        <v>自動</v>
      </c>
      <c r="CF202" s="139" t="str">
        <f>IFERROR(__xludf.DUMMYFUNCTION("""COMPUTED_VALUE"""),"半自動")</f>
        <v>半自動</v>
      </c>
      <c r="CG202" s="139" t="str">
        <f>IFERROR(__xludf.DUMMYFUNCTION("""COMPUTED_VALUE"""),"手動")</f>
        <v>手動</v>
      </c>
      <c r="CH202" s="139" t="str">
        <f>IFERROR(__xludf.DUMMYFUNCTION("""COMPUTED_VALUE"""),"手動")</f>
        <v>手動</v>
      </c>
      <c r="CI202" s="139" t="str">
        <f>IFERROR(__xludf.DUMMYFUNCTION("""COMPUTED_VALUE"""),"自動")</f>
        <v>自動</v>
      </c>
      <c r="CJ202" s="139" t="str">
        <f>IFERROR(__xludf.DUMMYFUNCTION("""COMPUTED_VALUE"""),"半自動")</f>
        <v>半自動</v>
      </c>
      <c r="CK202" s="139" t="str">
        <f>IFERROR(__xludf.DUMMYFUNCTION("""COMPUTED_VALUE"""),"手動")</f>
        <v>手動</v>
      </c>
      <c r="CL202" s="139" t="str">
        <f>IFERROR(__xludf.DUMMYFUNCTION("""COMPUTED_VALUE"""),"手動")</f>
        <v>手動</v>
      </c>
      <c r="CM202" s="139" t="str">
        <f>IFERROR(__xludf.DUMMYFUNCTION("""COMPUTED_VALUE"""),"手動")</f>
        <v>手動</v>
      </c>
      <c r="CN202" s="675" t="str">
        <f>IFERROR(__xludf.DUMMYFUNCTION("""COMPUTED_VALUE"""),"自動")</f>
        <v>自動</v>
      </c>
      <c r="CO202" s="675" t="str">
        <f>IFERROR(__xludf.DUMMYFUNCTION("""COMPUTED_VALUE"""),"自動")</f>
        <v>自動</v>
      </c>
      <c r="CP202" s="675" t="str">
        <f>IFERROR(__xludf.DUMMYFUNCTION("""COMPUTED_VALUE"""),"自動")</f>
        <v>自動</v>
      </c>
      <c r="CQ202" s="675" t="str">
        <f>IFERROR(__xludf.DUMMYFUNCTION("""COMPUTED_VALUE"""),"自動")</f>
        <v>自動</v>
      </c>
      <c r="CR202" s="139" t="str">
        <f>IFERROR(__xludf.DUMMYFUNCTION("""COMPUTED_VALUE"""),"手動")</f>
        <v>手動</v>
      </c>
      <c r="CS202" s="139" t="str">
        <f>IFERROR(__xludf.DUMMYFUNCTION("""COMPUTED_VALUE"""),"手動")</f>
        <v>手動</v>
      </c>
      <c r="CT202" s="139" t="str">
        <f>IFERROR(__xludf.DUMMYFUNCTION("""COMPUTED_VALUE"""),"手動")</f>
        <v>手動</v>
      </c>
      <c r="CU202" s="139" t="str">
        <f>IFERROR(__xludf.DUMMYFUNCTION("""COMPUTED_VALUE"""),"手動")</f>
        <v>手動</v>
      </c>
      <c r="CV202" s="139" t="str">
        <f>IFERROR(__xludf.DUMMYFUNCTION("""COMPUTED_VALUE"""),"手動")</f>
        <v>手動</v>
      </c>
      <c r="CW202" s="139" t="str">
        <f>IFERROR(__xludf.DUMMYFUNCTION("""COMPUTED_VALUE"""),"手動")</f>
        <v>手動</v>
      </c>
      <c r="CX202" s="139" t="str">
        <f>IFERROR(__xludf.DUMMYFUNCTION("""COMPUTED_VALUE"""),"手動")</f>
        <v>手動</v>
      </c>
      <c r="CY202" s="139" t="str">
        <f>IFERROR(__xludf.DUMMYFUNCTION("""COMPUTED_VALUE"""),"半手動")</f>
        <v>半手動</v>
      </c>
      <c r="CZ202" s="688" t="str">
        <f>IFERROR(__xludf.DUMMYFUNCTION("""COMPUTED_VALUE"""),"自動")</f>
        <v>自動</v>
      </c>
      <c r="DA202" s="688" t="str">
        <f>IFERROR(__xludf.DUMMYFUNCTION("""COMPUTED_VALUE"""),"自動")</f>
        <v>自動</v>
      </c>
      <c r="DB202" s="688" t="str">
        <f>IFERROR(__xludf.DUMMYFUNCTION("""COMPUTED_VALUE"""),"自動")</f>
        <v>自動</v>
      </c>
      <c r="DC202" s="139" t="str">
        <f>IFERROR(__xludf.DUMMYFUNCTION("""COMPUTED_VALUE"""),"手動")</f>
        <v>手動</v>
      </c>
      <c r="DD202" s="139" t="str">
        <f>IFERROR(__xludf.DUMMYFUNCTION("""COMPUTED_VALUE"""),"半手動")</f>
        <v>半手動</v>
      </c>
      <c r="DE202" s="139" t="str">
        <f>IFERROR(__xludf.DUMMYFUNCTION("""COMPUTED_VALUE"""),"半手動")</f>
        <v>半手動</v>
      </c>
      <c r="DF202" s="139"/>
      <c r="DG202" s="139"/>
      <c r="DH202" s="139"/>
      <c r="DI202" s="139"/>
      <c r="DJ202" s="139"/>
    </row>
    <row r="203">
      <c r="A203" s="139" t="str">
        <f>IFERROR(__xludf.DUMMYFUNCTION("""COMPUTED_VALUE"""),"作品名")</f>
        <v>作品名</v>
      </c>
      <c r="B203" s="139" t="str">
        <f>IFERROR(__xludf.DUMMYFUNCTION("""COMPUTED_VALUE"""),"キャラクター名")</f>
        <v>キャラクター名</v>
      </c>
      <c r="C203" s="139" t="str">
        <f>IFERROR(__xludf.DUMMYFUNCTION("""COMPUTED_VALUE"""),"ID")</f>
        <v>ID</v>
      </c>
      <c r="D203" s="139" t="str">
        <f>IFERROR(__xludf.DUMMYFUNCTION("""COMPUTED_VALUE"""),"レアリティ")</f>
        <v>レアリティ</v>
      </c>
      <c r="E203" s="139" t="str">
        <f>IFERROR(__xludf.DUMMYFUNCTION("""COMPUTED_VALUE"""),"属性")</f>
        <v>属性</v>
      </c>
      <c r="F203" s="139" t="str">
        <f>IFERROR(__xludf.DUMMYFUNCTION("""COMPUTED_VALUE"""),"ロール")</f>
        <v>ロール</v>
      </c>
      <c r="G203" s="139" t="str">
        <f>IFERROR(__xludf.DUMMYFUNCTION("""COMPUTED_VALUE"""),"間合い")</f>
        <v>間合い</v>
      </c>
      <c r="H203" s="139" t="str">
        <f>IFERROR(__xludf.DUMMYFUNCTION("""COMPUTED_VALUE"""),"通常攻撃_
オノマトペ")</f>
        <v>通常攻撃_
オノマトペ</v>
      </c>
      <c r="I203" s="139" t="str">
        <f>IFERROR(__xludf.DUMMYFUNCTION("""COMPUTED_VALUE"""),"必殺攻撃_
オノマトペ")</f>
        <v>必殺攻撃_
オノマトペ</v>
      </c>
      <c r="J203" s="139" t="str">
        <f>IFERROR(__xludf.DUMMYFUNCTION("""COMPUTED_VALUE"""),"リリースキー
※ID管理")</f>
        <v>リリースキー
※ID管理</v>
      </c>
      <c r="K203" s="139" t="str">
        <f>IFERROR(__xludf.DUMMYFUNCTION("""COMPUTED_VALUE"""),"施策名")</f>
        <v>施策名</v>
      </c>
      <c r="L203" s="139" t="str">
        <f>IFERROR(__xludf.DUMMYFUNCTION("""COMPUTED_VALUE"""),"※指示書")</f>
        <v>※指示書</v>
      </c>
      <c r="M203" s="139" t="str">
        <f>IFERROR(__xludf.DUMMYFUNCTION("""COMPUTED_VALUE"""),"召喚
コスト")</f>
        <v>召喚
コスト</v>
      </c>
      <c r="N203" s="139" t="str">
        <f>IFERROR(__xludf.DUMMYFUNCTION("""COMPUTED_VALUE"""),"基礎
コスト")</f>
        <v>基礎
コスト</v>
      </c>
      <c r="O203" s="139" t="str">
        <f>IFERROR(__xludf.DUMMYFUNCTION("""COMPUTED_VALUE"""),"コスト帯")</f>
        <v>コスト帯</v>
      </c>
      <c r="P203" s="139" t="str">
        <f>IFERROR(__xludf.DUMMYFUNCTION("""COMPUTED_VALUE"""),"キャラ
補正値")</f>
        <v>キャラ
補正値</v>
      </c>
      <c r="Q203" s="139" t="str">
        <f>IFERROR(__xludf.DUMMYFUNCTION("""COMPUTED_VALUE"""),"必殺ワザ
補正値")</f>
        <v>必殺ワザ
補正値</v>
      </c>
      <c r="R203" s="139" t="str">
        <f>IFERROR(__xludf.DUMMYFUNCTION("""COMPUTED_VALUE"""),"特性
補正値")</f>
        <v>特性
補正値</v>
      </c>
      <c r="S203" s="139" t="str">
        <f>IFERROR(__xludf.DUMMYFUNCTION("""COMPUTED_VALUE"""),"召喚
時間(s)")</f>
        <v>召喚
時間(s)</v>
      </c>
      <c r="T203" s="139" t="str">
        <f>IFERROR(__xludf.DUMMYFUNCTION("""COMPUTED_VALUE"""),"再召喚時間F
※")</f>
        <v>再召喚時間F
※</v>
      </c>
      <c r="U203" s="139" t="str">
        <f>IFERROR(__xludf.DUMMYFUNCTION("""COMPUTED_VALUE"""),"再召喚時間(s)")</f>
        <v>再召喚時間(s)</v>
      </c>
      <c r="V203" s="139" t="str">
        <f>IFERROR(__xludf.DUMMYFUNCTION("""COMPUTED_VALUE"""),"キャラ
補正値")</f>
        <v>キャラ
補正値</v>
      </c>
      <c r="W203" s="139" t="str">
        <f>IFERROR(__xludf.DUMMYFUNCTION("""COMPUTED_VALUE"""),"再召喚時間
属性&amp;ロール
補正値(s)")</f>
        <v>再召喚時間
属性&amp;ロール
補正値(s)</v>
      </c>
      <c r="X203" s="139" t="str">
        <f>IFERROR(__xludf.DUMMYFUNCTION("""COMPUTED_VALUE"""),"※
(予備調整枠)")</f>
        <v>※
(予備調整枠)</v>
      </c>
      <c r="Y203" s="139" t="str">
        <f>IFERROR(__xludf.DUMMYFUNCTION("""COMPUTED_VALUE"""),"初回必殺CDF
※")</f>
        <v>初回必殺CDF
※</v>
      </c>
      <c r="Z203" s="139" t="str">
        <f>IFERROR(__xludf.DUMMYFUNCTION("""COMPUTED_VALUE"""),"初回
必殺ワザ
CDT")</f>
        <v>初回
必殺ワザ
CDT</v>
      </c>
      <c r="AA203" s="139" t="str">
        <f>IFERROR(__xludf.DUMMYFUNCTION("""COMPUTED_VALUE"""),"キャラ
補正値")</f>
        <v>キャラ
補正値</v>
      </c>
      <c r="AB203" s="139" t="str">
        <f>IFERROR(__xludf.DUMMYFUNCTION("""COMPUTED_VALUE"""),"CDT
属性&amp;ロール
補正値")</f>
        <v>CDT
属性&amp;ロール
補正値</v>
      </c>
      <c r="AC203" s="139" t="str">
        <f>IFERROR(__xludf.DUMMYFUNCTION("""COMPUTED_VALUE"""),"※
(予備調整枠)")</f>
        <v>※
(予備調整枠)</v>
      </c>
      <c r="AD203" s="139" t="str">
        <f>IFERROR(__xludf.DUMMYFUNCTION("""COMPUTED_VALUE"""),"2回目以降必殺
CDF
※")</f>
        <v>2回目以降必殺
CDF
※</v>
      </c>
      <c r="AE203" s="139" t="str">
        <f>IFERROR(__xludf.DUMMYFUNCTION("""COMPUTED_VALUE"""),"2回目以降
必殺ワザ
CDT")</f>
        <v>2回目以降
必殺ワザ
CDT</v>
      </c>
      <c r="AF203" s="139" t="str">
        <f>IFERROR(__xludf.DUMMYFUNCTION("""COMPUTED_VALUE"""),"キャラ
補正値")</f>
        <v>キャラ
補正値</v>
      </c>
      <c r="AG203" s="139" t="str">
        <f>IFERROR(__xludf.DUMMYFUNCTION("""COMPUTED_VALUE"""),"必殺ワザ
補正値")</f>
        <v>必殺ワザ
補正値</v>
      </c>
      <c r="AH203" s="139" t="str">
        <f>IFERROR(__xludf.DUMMYFUNCTION("""COMPUTED_VALUE"""),"CDT
属性&amp;ロール
補正値")</f>
        <v>CDT
属性&amp;ロール
補正値</v>
      </c>
      <c r="AI203" s="139" t="str">
        <f>IFERROR(__xludf.DUMMYFUNCTION("""COMPUTED_VALUE"""),"※
ワザ効果時間")</f>
        <v>※
ワザ効果時間</v>
      </c>
      <c r="AJ203" s="139" t="str">
        <f>IFERROR(__xludf.DUMMYFUNCTION("""COMPUTED_VALUE"""),"※
ワザ間隔
(確認用)")</f>
        <v>※
ワザ間隔
(確認用)</v>
      </c>
      <c r="AK203" s="139" t="str">
        <f>IFERROR(__xludf.DUMMYFUNCTION("""COMPUTED_VALUE"""),"必殺ワザ発動可能回数(最低値)")</f>
        <v>必殺ワザ発動可能回数(最低値)</v>
      </c>
      <c r="AL203" s="139" t="str">
        <f>IFERROR(__xludf.DUMMYFUNCTION("""COMPUTED_VALUE"""),"体力Lv1")</f>
        <v>体力Lv1</v>
      </c>
      <c r="AM203" s="139" t="str">
        <f>IFERROR(__xludf.DUMMYFUNCTION("""COMPUTED_VALUE"""),"体力
Lv80
最大凸")</f>
        <v>体力
Lv80
最大凸</v>
      </c>
      <c r="AN203" s="139" t="str">
        <f>IFERROR(__xludf.DUMMYFUNCTION("""COMPUTED_VALUE"""),"体力
Lv80
最大凸
生存時間(s)
(敵1体)")</f>
        <v>体力
Lv80
最大凸
生存時間(s)
(敵1体)</v>
      </c>
      <c r="AO203" s="139" t="str">
        <f>IFERROR(__xludf.DUMMYFUNCTION("""COMPUTED_VALUE"""),"体力
Lv80
最大凸
生存時間(s)
(敵2体)")</f>
        <v>体力
Lv80
最大凸
生存時間(s)
(敵2体)</v>
      </c>
      <c r="AP203" s="139" t="str">
        <f>IFERROR(__xludf.DUMMYFUNCTION("""COMPUTED_VALUE"""),"基礎
体力")</f>
        <v>基礎
体力</v>
      </c>
      <c r="AQ203" s="139" t="str">
        <f>IFERROR(__xludf.DUMMYFUNCTION("""COMPUTED_VALUE"""),"ロール
補正値")</f>
        <v>ロール
補正値</v>
      </c>
      <c r="AR203" s="139" t="str">
        <f>IFERROR(__xludf.DUMMYFUNCTION("""COMPUTED_VALUE"""),"キャラ
補正値1")</f>
        <v>キャラ
補正値1</v>
      </c>
      <c r="AS203" s="139" t="str">
        <f>IFERROR(__xludf.DUMMYFUNCTION("""COMPUTED_VALUE"""),"キャラ
補正値2
※距離補正")</f>
        <v>キャラ
補正値2
※距離補正</v>
      </c>
      <c r="AT203" s="139" t="str">
        <f>IFERROR(__xludf.DUMMYFUNCTION("""COMPUTED_VALUE"""),"キャラ
補正値3
※攻撃値分")</f>
        <v>キャラ
補正値3
※攻撃値分</v>
      </c>
      <c r="AU203" s="673" t="str">
        <f>IFERROR(__xludf.DUMMYFUNCTION("""COMPUTED_VALUE"""),"属性&amp;ロール
補正値")</f>
        <v>属性&amp;ロール
補正値</v>
      </c>
      <c r="AV203" s="673" t="str">
        <f>IFERROR(__xludf.DUMMYFUNCTION("""COMPUTED_VALUE"""),"※
特殊
調整値")</f>
        <v>※
特殊
調整値</v>
      </c>
      <c r="AW203" s="139" t="str">
        <f>IFERROR(__xludf.DUMMYFUNCTION("""COMPUTED_VALUE"""),"※
(予備調整枠)")</f>
        <v>※
(予備調整枠)</v>
      </c>
      <c r="AX203" s="139" t="str">
        <f>IFERROR(__xludf.DUMMYFUNCTION("""COMPUTED_VALUE"""),"攻撃力Lv1")</f>
        <v>攻撃力Lv1</v>
      </c>
      <c r="AY203" s="139" t="str">
        <f>IFERROR(__xludf.DUMMYFUNCTION("""COMPUTED_VALUE"""),"攻撃
Lv80
最大凸")</f>
        <v>攻撃
Lv80
最大凸</v>
      </c>
      <c r="AZ203" s="139" t="str">
        <f>IFERROR(__xludf.DUMMYFUNCTION("""COMPUTED_VALUE"""),"DPS
通常攻撃Lv1
単体")</f>
        <v>DPS
通常攻撃Lv1
単体</v>
      </c>
      <c r="BA203" s="139" t="str">
        <f>IFERROR(__xludf.DUMMYFUNCTION("""COMPUTED_VALUE"""),"DPS
Lv80
最大凸
単体")</f>
        <v>DPS
Lv80
最大凸
単体</v>
      </c>
      <c r="BB203" s="139" t="str">
        <f>IFERROR(__xludf.DUMMYFUNCTION("""COMPUTED_VALUE"""),"DPS
Lv80
最大凸
単体
(自己バフ時)")</f>
        <v>DPS
Lv80
最大凸
単体
(自己バフ時)</v>
      </c>
      <c r="BC203" s="139" t="str">
        <f>IFERROR(__xludf.DUMMYFUNCTION("""COMPUTED_VALUE"""),"DPS
通常攻撃&amp;ワザLv1
単体(合算)")</f>
        <v>DPS
通常攻撃&amp;ワザLv1
単体(合算)</v>
      </c>
      <c r="BD203" s="139" t="str">
        <f>IFERROR(__xludf.DUMMYFUNCTION("""COMPUTED_VALUE"""),"DPS
通常攻撃&amp;ワザLv80
単体(合算)")</f>
        <v>DPS
通常攻撃&amp;ワザLv80
単体(合算)</v>
      </c>
      <c r="BE203" s="139" t="str">
        <f>IFERROR(__xludf.DUMMYFUNCTION("""COMPUTED_VALUE"""),"通常攻撃
基礎値
(補正値合算)
※範囲補正値込み")</f>
        <v>通常攻撃
基礎値
(補正値合算)
※範囲補正値込み</v>
      </c>
      <c r="BF203" s="139" t="str">
        <f>IFERROR(__xludf.DUMMYFUNCTION("""COMPUTED_VALUE"""),"通常攻撃
基礎値")</f>
        <v>通常攻撃
基礎値</v>
      </c>
      <c r="BG203" s="139" t="str">
        <f>IFERROR(__xludf.DUMMYFUNCTION("""COMPUTED_VALUE"""),"キャラ
補正値")</f>
        <v>キャラ
補正値</v>
      </c>
      <c r="BH203" s="139" t="str">
        <f>IFERROR(__xludf.DUMMYFUNCTION("""COMPUTED_VALUE"""),"ロール
基礎補正値")</f>
        <v>ロール
基礎補正値</v>
      </c>
      <c r="BI203" s="139" t="str">
        <f>IFERROR(__xludf.DUMMYFUNCTION("""COMPUTED_VALUE"""),"属性&amp;ロール
補正値")</f>
        <v>属性&amp;ロール
補正値</v>
      </c>
      <c r="BJ203" s="139" t="str">
        <f>IFERROR(__xludf.DUMMYFUNCTION("""COMPUTED_VALUE"""),"※
特殊
調整値")</f>
        <v>※
特殊
調整値</v>
      </c>
      <c r="BK203" s="139" t="str">
        <f>IFERROR(__xludf.DUMMYFUNCTION("""COMPUTED_VALUE"""),"キャラ
補正値3
※体力値分")</f>
        <v>キャラ
補正値3
※体力値分</v>
      </c>
      <c r="BL203" s="139" t="str">
        <f>IFERROR(__xludf.DUMMYFUNCTION("""COMPUTED_VALUE"""),"※
(予備調整枠)")</f>
        <v>※
(予備調整枠)</v>
      </c>
      <c r="BM203" s="139" t="str">
        <f>IFERROR(__xludf.DUMMYFUNCTION("""COMPUTED_VALUE"""),"攻撃CDF")</f>
        <v>攻撃CDF</v>
      </c>
      <c r="BN203" s="139" t="str">
        <f>IFERROR(__xludf.DUMMYFUNCTION("""COMPUTED_VALUE"""),"基礎攻撃
CDF")</f>
        <v>基礎攻撃
CDF</v>
      </c>
      <c r="BO203" s="139" t="str">
        <f>IFERROR(__xludf.DUMMYFUNCTION("""COMPUTED_VALUE"""),"キャラ
補正値")</f>
        <v>キャラ
補正値</v>
      </c>
      <c r="BP203" s="139" t="str">
        <f>IFERROR(__xludf.DUMMYFUNCTION("""COMPUTED_VALUE"""),"攻撃
CDT
(確認用)")</f>
        <v>攻撃
CDT
(確認用)</v>
      </c>
      <c r="BQ203" s="139" t="str">
        <f>IFERROR(__xludf.DUMMYFUNCTION("""COMPUTED_VALUE"""),"攻撃手段")</f>
        <v>攻撃手段</v>
      </c>
      <c r="BR203" s="139" t="str">
        <f>IFERROR(__xludf.DUMMYFUNCTION("""COMPUTED_VALUE"""),"KB回数")</f>
        <v>KB回数</v>
      </c>
      <c r="BS203" s="139" t="str">
        <f>IFERROR(__xludf.DUMMYFUNCTION("""COMPUTED_VALUE"""),"move_speed")</f>
        <v>move_speed</v>
      </c>
      <c r="BT203" s="139" t="str">
        <f>IFERROR(__xludf.DUMMYFUNCTION("""COMPUTED_VALUE"""),"well_distance")</f>
        <v>well_distance</v>
      </c>
      <c r="BU203" s="139" t="str">
        <f>IFERROR(__xludf.DUMMYFUNCTION("""COMPUTED_VALUE"""),"well_distance
※調整値")</f>
        <v>well_distance
※調整値</v>
      </c>
      <c r="BV203" s="139" t="str">
        <f>IFERROR(__xludf.DUMMYFUNCTION("""COMPUTED_VALUE"""),"移動")</f>
        <v>移動</v>
      </c>
      <c r="BW203" s="139" t="str">
        <f>IFERROR(__xludf.DUMMYFUNCTION("""COMPUTED_VALUE"""),"特性1")</f>
        <v>特性1</v>
      </c>
      <c r="BX203" s="139" t="str">
        <f>IFERROR(__xludf.DUMMYFUNCTION("""COMPUTED_VALUE"""),"効果値")</f>
        <v>効果値</v>
      </c>
      <c r="BY203" s="139" t="str">
        <f>IFERROR(__xludf.DUMMYFUNCTION("""COMPUTED_VALUE"""),"解放ランク")</f>
        <v>解放ランク</v>
      </c>
      <c r="BZ203" s="139" t="str">
        <f>IFERROR(__xludf.DUMMYFUNCTION("""COMPUTED_VALUE"""),"特性2")</f>
        <v>特性2</v>
      </c>
      <c r="CA203" s="139" t="str">
        <f>IFERROR(__xludf.DUMMYFUNCTION("""COMPUTED_VALUE"""),"効果値")</f>
        <v>効果値</v>
      </c>
      <c r="CB203" s="139" t="str">
        <f>IFERROR(__xludf.DUMMYFUNCTION("""COMPUTED_VALUE"""),"解放ランク")</f>
        <v>解放ランク</v>
      </c>
      <c r="CC203" s="139" t="str">
        <f>IFERROR(__xludf.DUMMYFUNCTION("""COMPUTED_VALUE"""),"通常
攻撃距離")</f>
        <v>通常
攻撃距離</v>
      </c>
      <c r="CD203" s="139" t="str">
        <f>IFERROR(__xludf.DUMMYFUNCTION("""COMPUTED_VALUE"""),"通常
攻撃範囲")</f>
        <v>通常
攻撃範囲</v>
      </c>
      <c r="CE203" s="139" t="str">
        <f>IFERROR(__xludf.DUMMYFUNCTION("""COMPUTED_VALUE"""),"※攻撃倍率
(範囲_
補正値)")</f>
        <v>※攻撃倍率
(範囲_
補正値)</v>
      </c>
      <c r="CF203" s="139" t="str">
        <f>IFERROR(__xludf.DUMMYFUNCTION("""COMPUTED_VALUE"""),"通常攻撃
射程数値")</f>
        <v>通常攻撃
射程数値</v>
      </c>
      <c r="CG203" s="139" t="str">
        <f>IFERROR(__xludf.DUMMYFUNCTION("""COMPUTED_VALUE"""),"必殺ワザ
距離")</f>
        <v>必殺ワザ
距離</v>
      </c>
      <c r="CH203" s="139" t="str">
        <f>IFERROR(__xludf.DUMMYFUNCTION("""COMPUTED_VALUE"""),"必殺ワザ
範囲")</f>
        <v>必殺ワザ
範囲</v>
      </c>
      <c r="CI203" s="139" t="str">
        <f>IFERROR(__xludf.DUMMYFUNCTION("""COMPUTED_VALUE"""),"※攻撃倍率
(範囲_
補正値)")</f>
        <v>※攻撃倍率
(範囲_
補正値)</v>
      </c>
      <c r="CJ203" s="139" t="str">
        <f>IFERROR(__xludf.DUMMYFUNCTION("""COMPUTED_VALUE"""),"必殺ワザ
射程数値")</f>
        <v>必殺ワザ
射程数値</v>
      </c>
      <c r="CK203" s="139" t="str">
        <f>IFERROR(__xludf.DUMMYFUNCTION("""COMPUTED_VALUE"""),"必殺ワザ_
対象")</f>
        <v>必殺ワザ_
対象</v>
      </c>
      <c r="CL203" s="139" t="str">
        <f>IFERROR(__xludf.DUMMYFUNCTION("""COMPUTED_VALUE"""),"
ワザ_対象属性")</f>
        <v>
ワザ_対象属性</v>
      </c>
      <c r="CM203" s="139" t="str">
        <f>IFERROR(__xludf.DUMMYFUNCTION("""COMPUTED_VALUE"""),"ワザ_対象ロール")</f>
        <v>ワザ_対象ロール</v>
      </c>
      <c r="CN203" s="139" t="str">
        <f>IFERROR(__xludf.DUMMYFUNCTION("""COMPUTED_VALUE"""),"※
CDT2
(確認用)")</f>
        <v>※
CDT2
(確認用)</v>
      </c>
      <c r="CO203" s="139" t="str">
        <f>IFERROR(__xludf.DUMMYFUNCTION("""COMPUTED_VALUE"""),"※
ワザ間隔
(確認用)")</f>
        <v>※
ワザ間隔
(確認用)</v>
      </c>
      <c r="CP203" s="139" t="str">
        <f>IFERROR(__xludf.DUMMYFUNCTION("""COMPUTED_VALUE"""),"ワザDPS合算
(単体)")</f>
        <v>ワザDPS合算
(単体)</v>
      </c>
      <c r="CQ203" s="139" t="str">
        <f>IFERROR(__xludf.DUMMYFUNCTION("""COMPUTED_VALUE"""),"ワザDPS合算
(範囲CD1 x n体)")</f>
        <v>ワザDPS合算
(範囲CD1 x n体)</v>
      </c>
      <c r="CR203" s="139" t="str">
        <f>IFERROR(__xludf.DUMMYFUNCTION("""COMPUTED_VALUE"""),"※
バフ・デバフ
効果型")</f>
        <v>※
バフ・デバフ
効果型</v>
      </c>
      <c r="CS203" s="139" t="str">
        <f>IFERROR(__xludf.DUMMYFUNCTION("""COMPUTED_VALUE"""),"必殺ワザ1")</f>
        <v>必殺ワザ1</v>
      </c>
      <c r="CT203" s="139" t="str">
        <f>IFERROR(__xludf.DUMMYFUNCTION("""COMPUTED_VALUE"""),"※
バフ・デバフ
効果型")</f>
        <v>※
バフ・デバフ
効果型</v>
      </c>
      <c r="CU203" s="139" t="str">
        <f>IFERROR(__xludf.DUMMYFUNCTION("""COMPUTED_VALUE"""),"必殺ワザ_
対象")</f>
        <v>必殺ワザ_
対象</v>
      </c>
      <c r="CV203" s="139" t="str">
        <f>IFERROR(__xludf.DUMMYFUNCTION("""COMPUTED_VALUE"""),"
ワザ_対象属性")</f>
        <v>
ワザ_対象属性</v>
      </c>
      <c r="CW203" s="139" t="str">
        <f>IFERROR(__xludf.DUMMYFUNCTION("""COMPUTED_VALUE"""),"ワザ_対象ロール")</f>
        <v>ワザ_対象ロール</v>
      </c>
      <c r="CX203" s="139" t="str">
        <f>IFERROR(__xludf.DUMMYFUNCTION("""COMPUTED_VALUE"""),"効果値1
※倍率
(完凸)")</f>
        <v>効果値1
※倍率
(完凸)</v>
      </c>
      <c r="CY203" s="139" t="str">
        <f>IFERROR(__xludf.DUMMYFUNCTION("""COMPUTED_VALUE"""),"効果値2
※効果時間(s)
(完凸)")</f>
        <v>効果値2
※効果時間(s)
(完凸)</v>
      </c>
      <c r="CZ203" s="139" t="str">
        <f>IFERROR(__xludf.DUMMYFUNCTION("""COMPUTED_VALUE"""),"必殺ワザ1
攻撃値
※Lv1")</f>
        <v>必殺ワザ1
攻撃値
※Lv1</v>
      </c>
      <c r="DA203" s="139" t="str">
        <f>IFERROR(__xludf.DUMMYFUNCTION("""COMPUTED_VALUE"""),"※
必殺ワザDPS
(単体)")</f>
        <v>※
必殺ワザDPS
(単体)</v>
      </c>
      <c r="DB203" s="139" t="str">
        <f>IFERROR(__xludf.DUMMYFUNCTION("""COMPUTED_VALUE"""),"※
必殺ワザDPS
(範囲CD1 x n体)")</f>
        <v>※
必殺ワザDPS
(範囲CD1 x n体)</v>
      </c>
      <c r="DC203" s="139" t="str">
        <f>IFERROR(__xludf.DUMMYFUNCTION("""COMPUTED_VALUE"""),"必殺ワザ2")</f>
        <v>必殺ワザ2</v>
      </c>
      <c r="DD203" s="674" t="str">
        <f>IFERROR(__xludf.DUMMYFUNCTION("""COMPUTED_VALUE"""),"効果値1
※範囲_補正値後倍率")</f>
        <v>効果値1
※範囲_補正値後倍率</v>
      </c>
      <c r="DE203" s="139" t="str">
        <f>IFERROR(__xludf.DUMMYFUNCTION("""COMPUTED_VALUE"""),"効果値2
※効果時間")</f>
        <v>効果値2
※効果時間</v>
      </c>
      <c r="DF203" s="139" t="str">
        <f>IFERROR(__xludf.DUMMYFUNCTION("""COMPUTED_VALUE"""),"※
バフ・デバフ
効果型")</f>
        <v>※
バフ・デバフ
効果型</v>
      </c>
      <c r="DG203" s="139" t="str">
        <f>IFERROR(__xludf.DUMMYFUNCTION("""COMPUTED_VALUE"""),"※
必殺ワザ
範囲")</f>
        <v>※
必殺ワザ
範囲</v>
      </c>
      <c r="DH203" s="139" t="str">
        <f>IFERROR(__xludf.DUMMYFUNCTION("""COMPUTED_VALUE"""),"※
必殺ワザ
射程数値
(自動)")</f>
        <v>※
必殺ワザ
射程数値
(自動)</v>
      </c>
      <c r="DI203" s="139" t="str">
        <f>IFERROR(__xludf.DUMMYFUNCTION("""COMPUTED_VALUE"""),"※
必殺ワザ_
対象")</f>
        <v>※
必殺ワザ_
対象</v>
      </c>
      <c r="DJ203" s="139" t="str">
        <f>IFERROR(__xludf.DUMMYFUNCTION("""COMPUTED_VALUE"""),"※
ワザ_
対象属性")</f>
        <v>※
ワザ_
対象属性</v>
      </c>
    </row>
    <row r="204">
      <c r="A204" s="139" t="str">
        <f>IFERROR(__xludf.DUMMYFUNCTION("""COMPUTED_VALUE"""),"該当なし")</f>
        <v>該当なし</v>
      </c>
      <c r="B204" s="139" t="str">
        <f>IFERROR(__xludf.DUMMYFUNCTION("""COMPUTED_VALUE"""),"該当なし")</f>
        <v>該当なし</v>
      </c>
      <c r="C204" s="139"/>
      <c r="D204" s="139" t="str">
        <f>IFERROR(__xludf.DUMMYFUNCTION("""COMPUTED_VALUE"""),"#N/A")</f>
        <v>#N/A</v>
      </c>
      <c r="E204" s="139" t="str">
        <f>IFERROR(__xludf.DUMMYFUNCTION("""COMPUTED_VALUE"""),"#N/A")</f>
        <v>#N/A</v>
      </c>
      <c r="F204" s="139" t="str">
        <f>IFERROR(__xludf.DUMMYFUNCTION("""COMPUTED_VALUE"""),"#N/A")</f>
        <v>#N/A</v>
      </c>
      <c r="G204" s="139" t="str">
        <f>IFERROR(__xludf.DUMMYFUNCTION("""COMPUTED_VALUE"""),"近距離")</f>
        <v>近距離</v>
      </c>
      <c r="H204" s="139" t="str">
        <f>IFERROR(__xludf.DUMMYFUNCTION("""COMPUTED_VALUE"""),"#N/A")</f>
        <v>#N/A</v>
      </c>
      <c r="I204" s="139" t="str">
        <f>IFERROR(__xludf.DUMMYFUNCTION("""COMPUTED_VALUE"""),"#N/A")</f>
        <v>#N/A</v>
      </c>
      <c r="J204" s="139" t="str">
        <f>IFERROR(__xludf.DUMMYFUNCTION("""COMPUTED_VALUE"""),"#N/A")</f>
        <v>#N/A</v>
      </c>
      <c r="K204" s="139" t="str">
        <f>IFERROR(__xludf.DUMMYFUNCTION("""COMPUTED_VALUE"""),"該当なし")</f>
        <v>該当なし</v>
      </c>
      <c r="L204" s="139" t="str">
        <f>IFERROR(__xludf.DUMMYFUNCTION("""COMPUTED_VALUE"""),"※")</f>
        <v>※</v>
      </c>
      <c r="M204" s="674">
        <f>IFERROR(__xludf.DUMMYFUNCTION("""COMPUTED_VALUE"""),0.0)</f>
        <v>0</v>
      </c>
      <c r="N204" s="139">
        <f>IFERROR(__xludf.DUMMYFUNCTION("""COMPUTED_VALUE"""),0.0)</f>
        <v>0</v>
      </c>
      <c r="O204" s="139"/>
      <c r="P204" s="139">
        <f>IFERROR(__xludf.DUMMYFUNCTION("""COMPUTED_VALUE"""),0.0)</f>
        <v>0</v>
      </c>
      <c r="Q204" s="675">
        <f>IFERROR(__xludf.DUMMYFUNCTION("""COMPUTED_VALUE"""),0.0)</f>
        <v>0</v>
      </c>
      <c r="R204" s="675">
        <f>IFERROR(__xludf.DUMMYFUNCTION("""COMPUTED_VALUE"""),0.0)</f>
        <v>0</v>
      </c>
      <c r="S204" s="675">
        <f>IFERROR(__xludf.DUMMYFUNCTION("""COMPUTED_VALUE"""),-2.5)</f>
        <v>-2.5</v>
      </c>
      <c r="T204" s="674" t="str">
        <f>IFERROR(__xludf.DUMMYFUNCTION("""COMPUTED_VALUE"""),"#N/A")</f>
        <v>#N/A</v>
      </c>
      <c r="U204" s="675" t="str">
        <f>IFERROR(__xludf.DUMMYFUNCTION("""COMPUTED_VALUE"""),"#N/A")</f>
        <v>#N/A</v>
      </c>
      <c r="V204" s="675">
        <f>IFERROR(__xludf.DUMMYFUNCTION("""COMPUTED_VALUE"""),0.0)</f>
        <v>0</v>
      </c>
      <c r="W204" s="675" t="str">
        <f>IFERROR(__xludf.DUMMYFUNCTION("""COMPUTED_VALUE"""),"#N/A")</f>
        <v>#N/A</v>
      </c>
      <c r="X204" s="675">
        <f>IFERROR(__xludf.DUMMYFUNCTION("""COMPUTED_VALUE"""),0.0)</f>
        <v>0</v>
      </c>
      <c r="Y204" s="674" t="str">
        <f>IFERROR(__xludf.DUMMYFUNCTION("""COMPUTED_VALUE"""),"#N/A")</f>
        <v>#N/A</v>
      </c>
      <c r="Z204" s="675" t="str">
        <f>IFERROR(__xludf.DUMMYFUNCTION("""COMPUTED_VALUE"""),"#N/A")</f>
        <v>#N/A</v>
      </c>
      <c r="AA204" s="675">
        <f>IFERROR(__xludf.DUMMYFUNCTION("""COMPUTED_VALUE"""),0.0)</f>
        <v>0</v>
      </c>
      <c r="AB204" s="673" t="str">
        <f>IFERROR(__xludf.DUMMYFUNCTION("""COMPUTED_VALUE"""),"#N/A")</f>
        <v>#N/A</v>
      </c>
      <c r="AC204" s="675">
        <f>IFERROR(__xludf.DUMMYFUNCTION("""COMPUTED_VALUE"""),0.0)</f>
        <v>0</v>
      </c>
      <c r="AD204" s="674" t="str">
        <f>IFERROR(__xludf.DUMMYFUNCTION("""COMPUTED_VALUE"""),"#N/A")</f>
        <v>#N/A</v>
      </c>
      <c r="AE204" s="675" t="str">
        <f>IFERROR(__xludf.DUMMYFUNCTION("""COMPUTED_VALUE"""),"#N/A")</f>
        <v>#N/A</v>
      </c>
      <c r="AF204" s="675">
        <f>IFERROR(__xludf.DUMMYFUNCTION("""COMPUTED_VALUE"""),0.0)</f>
        <v>0</v>
      </c>
      <c r="AG204" s="675">
        <f>IFERROR(__xludf.DUMMYFUNCTION("""COMPUTED_VALUE"""),0.0)</f>
        <v>0</v>
      </c>
      <c r="AH204" s="675" t="str">
        <f>IFERROR(__xludf.DUMMYFUNCTION("""COMPUTED_VALUE"""),"#N/A")</f>
        <v>#N/A</v>
      </c>
      <c r="AI204" s="139" t="str">
        <f>IFERROR(__xludf.DUMMYFUNCTION("""COMPUTED_VALUE"""),"#N/A")</f>
        <v>#N/A</v>
      </c>
      <c r="AJ204" s="675" t="str">
        <f>IFERROR(__xludf.DUMMYFUNCTION("""COMPUTED_VALUE"""),"#N/A")</f>
        <v>#N/A</v>
      </c>
      <c r="AK204" s="139" t="str">
        <f>IFERROR(__xludf.DUMMYFUNCTION("""COMPUTED_VALUE"""),"#N/A")</f>
        <v>#N/A</v>
      </c>
      <c r="AL204" s="674" t="str">
        <f>IFERROR(__xludf.DUMMYFUNCTION("""COMPUTED_VALUE"""),"#N/A")</f>
        <v>#N/A</v>
      </c>
      <c r="AM204" s="688" t="str">
        <f>IFERROR(__xludf.DUMMYFUNCTION("""COMPUTED_VALUE"""),"#N/A")</f>
        <v>#N/A</v>
      </c>
      <c r="AN204" s="675" t="str">
        <f>IFERROR(__xludf.DUMMYFUNCTION("""COMPUTED_VALUE"""),"#N/A")</f>
        <v>#N/A</v>
      </c>
      <c r="AO204" s="675" t="str">
        <f>IFERROR(__xludf.DUMMYFUNCTION("""COMPUTED_VALUE"""),"#N/A")</f>
        <v>#N/A</v>
      </c>
      <c r="AP204" s="674">
        <f>IFERROR(__xludf.DUMMYFUNCTION("""COMPUTED_VALUE"""),0.0)</f>
        <v>0</v>
      </c>
      <c r="AQ204" s="673" t="str">
        <f>IFERROR(__xludf.DUMMYFUNCTION("""COMPUTED_VALUE"""),"#N/A")</f>
        <v>#N/A</v>
      </c>
      <c r="AR204" s="673">
        <f>IFERROR(__xludf.DUMMYFUNCTION("""COMPUTED_VALUE"""),0.0)</f>
        <v>0</v>
      </c>
      <c r="AS204" s="673">
        <f>IFERROR(__xludf.DUMMYFUNCTION("""COMPUTED_VALUE"""),0.0)</f>
        <v>0</v>
      </c>
      <c r="AT204" s="673">
        <f>IFERROR(__xludf.DUMMYFUNCTION("""COMPUTED_VALUE"""),0.0)</f>
        <v>0</v>
      </c>
      <c r="AU204" s="673" t="str">
        <f>IFERROR(__xludf.DUMMYFUNCTION("""COMPUTED_VALUE"""),"#N/A")</f>
        <v>#N/A</v>
      </c>
      <c r="AV204" s="673">
        <f>IFERROR(__xludf.DUMMYFUNCTION("""COMPUTED_VALUE"""),0.0)</f>
        <v>0</v>
      </c>
      <c r="AW204" s="139"/>
      <c r="AX204" s="674" t="str">
        <f>IFERROR(__xludf.DUMMYFUNCTION("""COMPUTED_VALUE"""),"※通常攻撃範囲を入力！(CD列)")</f>
        <v>※通常攻撃範囲を入力！(CD列)</v>
      </c>
      <c r="AY204" s="688" t="str">
        <f>IFERROR(__xludf.DUMMYFUNCTION("""COMPUTED_VALUE"""),"#VALUE!")</f>
        <v>#VALUE!</v>
      </c>
      <c r="AZ204" s="674" t="str">
        <f>IFERROR(__xludf.DUMMYFUNCTION("""COMPUTED_VALUE"""),"#N/A")</f>
        <v>#N/A</v>
      </c>
      <c r="BA204" s="688" t="str">
        <f>IFERROR(__xludf.DUMMYFUNCTION("""COMPUTED_VALUE"""),"#VALUE!")</f>
        <v>#VALUE!</v>
      </c>
      <c r="BB204" s="688" t="str">
        <f>IFERROR(__xludf.DUMMYFUNCTION("""COMPUTED_VALUE"""),"-")</f>
        <v>-</v>
      </c>
      <c r="BC204" s="688" t="str">
        <f>IFERROR(__xludf.DUMMYFUNCTION("""COMPUTED_VALUE"""),"#N/A")</f>
        <v>#N/A</v>
      </c>
      <c r="BD204" s="688" t="str">
        <f>IFERROR(__xludf.DUMMYFUNCTION("""COMPUTED_VALUE"""),"#VALUE!")</f>
        <v>#VALUE!</v>
      </c>
      <c r="BE204" s="674" t="str">
        <f>IFERROR(__xludf.DUMMYFUNCTION("""COMPUTED_VALUE"""),"#N/A")</f>
        <v>#N/A</v>
      </c>
      <c r="BF204" s="674">
        <f>IFERROR(__xludf.DUMMYFUNCTION("""COMPUTED_VALUE"""),0.0)</f>
        <v>0</v>
      </c>
      <c r="BG204" s="673">
        <f>IFERROR(__xludf.DUMMYFUNCTION("""COMPUTED_VALUE"""),0.0)</f>
        <v>0</v>
      </c>
      <c r="BH204" s="673" t="str">
        <f>IFERROR(__xludf.DUMMYFUNCTION("""COMPUTED_VALUE"""),"#N/A")</f>
        <v>#N/A</v>
      </c>
      <c r="BI204" s="673" t="str">
        <f>IFERROR(__xludf.DUMMYFUNCTION("""COMPUTED_VALUE"""),"#N/A")</f>
        <v>#N/A</v>
      </c>
      <c r="BJ204" s="673">
        <f>IFERROR(__xludf.DUMMYFUNCTION("""COMPUTED_VALUE"""),0.0)</f>
        <v>0</v>
      </c>
      <c r="BK204" s="673">
        <f>IFERROR(__xludf.DUMMYFUNCTION("""COMPUTED_VALUE"""),0.0)</f>
        <v>0</v>
      </c>
      <c r="BL204" s="139"/>
      <c r="BM204" s="674" t="str">
        <f>IFERROR(__xludf.DUMMYFUNCTION("""COMPUTED_VALUE"""),"#N/A")</f>
        <v>#N/A</v>
      </c>
      <c r="BN204" s="674" t="str">
        <f>IFERROR(__xludf.DUMMYFUNCTION("""COMPUTED_VALUE"""),"#N/A")</f>
        <v>#N/A</v>
      </c>
      <c r="BO204" s="675">
        <f>IFERROR(__xludf.DUMMYFUNCTION("""COMPUTED_VALUE"""),0.0)</f>
        <v>0</v>
      </c>
      <c r="BP204" s="675" t="str">
        <f>IFERROR(__xludf.DUMMYFUNCTION("""COMPUTED_VALUE"""),"#N/A")</f>
        <v>#N/A</v>
      </c>
      <c r="BQ204" s="139"/>
      <c r="BR204" s="139" t="str">
        <f>IFERROR(__xludf.DUMMYFUNCTION("""COMPUTED_VALUE"""),"#N/A")</f>
        <v>#N/A</v>
      </c>
      <c r="BS204" s="139" t="str">
        <f>IFERROR(__xludf.DUMMYFUNCTION("""COMPUTED_VALUE"""),"※移動を入力！(BV列)")</f>
        <v>※移動を入力！(BV列)</v>
      </c>
      <c r="BT204" s="139" t="str">
        <f>IFERROR(__xludf.DUMMYFUNCTION("""COMPUTED_VALUE"""),"※攻撃手段を入力(BQ列)")</f>
        <v>※攻撃手段を入力(BQ列)</v>
      </c>
      <c r="BU204" s="139">
        <f>IFERROR(__xludf.DUMMYFUNCTION("""COMPUTED_VALUE"""),0.0)</f>
        <v>0</v>
      </c>
      <c r="BV204" s="139"/>
      <c r="BW204" s="139"/>
      <c r="BX204" s="139"/>
      <c r="BY204" s="139" t="str">
        <f>IFERROR(__xludf.DUMMYFUNCTION("""COMPUTED_VALUE"""),"#N/A")</f>
        <v>#N/A</v>
      </c>
      <c r="BZ204" s="139"/>
      <c r="CA204" s="139"/>
      <c r="CB204" s="139" t="str">
        <f>IFERROR(__xludf.DUMMYFUNCTION("""COMPUTED_VALUE"""),"#N/A")</f>
        <v>#N/A</v>
      </c>
      <c r="CC204" s="139" t="str">
        <f>IFERROR(__xludf.DUMMYFUNCTION("""COMPUTED_VALUE"""),"近距離")</f>
        <v>近距離</v>
      </c>
      <c r="CD204" s="139"/>
      <c r="CE204" s="139" t="str">
        <f>IFERROR(__xludf.DUMMYFUNCTION("""COMPUTED_VALUE"""),"#N/A")</f>
        <v>#N/A</v>
      </c>
      <c r="CF204" s="139" t="str">
        <f>IFERROR(__xludf.DUMMYFUNCTION("""COMPUTED_VALUE"""),"#VALUE!")</f>
        <v>#VALUE!</v>
      </c>
      <c r="CG204" s="139"/>
      <c r="CH204" s="139"/>
      <c r="CI204" s="139" t="str">
        <f>IFERROR(__xludf.DUMMYFUNCTION("""COMPUTED_VALUE"""),"#N/A")</f>
        <v>#N/A</v>
      </c>
      <c r="CJ204" s="139" t="str">
        <f>IFERROR(__xludf.DUMMYFUNCTION("""COMPUTED_VALUE"""),"#VALUE!")</f>
        <v>#VALUE!</v>
      </c>
      <c r="CK204" s="139"/>
      <c r="CL204" s="139"/>
      <c r="CM204" s="139"/>
      <c r="CN204" s="675" t="str">
        <f>IFERROR(__xludf.DUMMYFUNCTION("""COMPUTED_VALUE"""),"#N/A")</f>
        <v>#N/A</v>
      </c>
      <c r="CO204" s="675" t="str">
        <f>IFERROR(__xludf.DUMMYFUNCTION("""COMPUTED_VALUE"""),"#N/A")</f>
        <v>#N/A</v>
      </c>
      <c r="CP204" s="674" t="str">
        <f>IFERROR(__xludf.DUMMYFUNCTION("""COMPUTED_VALUE"""),"#REF!")</f>
        <v>#REF!</v>
      </c>
      <c r="CQ204" s="674" t="str">
        <f>IFERROR(__xludf.DUMMYFUNCTION("""COMPUTED_VALUE"""),"#REF!")</f>
        <v>#REF!</v>
      </c>
      <c r="CR204" s="139"/>
      <c r="CS204" s="139"/>
      <c r="CT204" s="139"/>
      <c r="CU204" s="139"/>
      <c r="CV204" s="139"/>
      <c r="CW204" s="139"/>
      <c r="CX204" s="674" t="str">
        <f>IFERROR(__xludf.DUMMYFUNCTION("""COMPUTED_VALUE"""),"")</f>
        <v/>
      </c>
      <c r="CY204" s="675" t="str">
        <f>IFERROR(__xludf.DUMMYFUNCTION("""COMPUTED_VALUE"""),"")</f>
        <v/>
      </c>
      <c r="CZ204" s="688" t="str">
        <f>IFERROR(__xludf.DUMMYFUNCTION("""COMPUTED_VALUE"""),"-")</f>
        <v>-</v>
      </c>
      <c r="DA204" s="688">
        <f>IFERROR(__xludf.DUMMYFUNCTION("""COMPUTED_VALUE"""),0.0)</f>
        <v>0</v>
      </c>
      <c r="DB204" s="688">
        <f>IFERROR(__xludf.DUMMYFUNCTION("""COMPUTED_VALUE"""),0.0)</f>
        <v>0</v>
      </c>
      <c r="DC204" s="673" t="str">
        <f>IFERROR(__xludf.DUMMYFUNCTION("""COMPUTED_VALUE"""),"-")</f>
        <v>-</v>
      </c>
      <c r="DD204" s="674" t="str">
        <f>IFERROR(__xludf.DUMMYFUNCTION("""COMPUTED_VALUE"""),"-")</f>
        <v>-</v>
      </c>
      <c r="DE204" s="139" t="str">
        <f>IFERROR(__xludf.DUMMYFUNCTION("""COMPUTED_VALUE"""),"-")</f>
        <v>-</v>
      </c>
      <c r="DF204" s="139" t="str">
        <f>IFERROR(__xludf.DUMMYFUNCTION("""COMPUTED_VALUE"""),"-")</f>
        <v>-</v>
      </c>
      <c r="DG204" s="139" t="str">
        <f>IFERROR(__xludf.DUMMYFUNCTION("""COMPUTED_VALUE"""),"-")</f>
        <v>-</v>
      </c>
      <c r="DH204" s="139" t="str">
        <f>IFERROR(__xludf.DUMMYFUNCTION("""COMPUTED_VALUE"""),"-")</f>
        <v>-</v>
      </c>
      <c r="DI204" s="139" t="str">
        <f>IFERROR(__xludf.DUMMYFUNCTION("""COMPUTED_VALUE"""),"-")</f>
        <v>-</v>
      </c>
      <c r="DJ204" s="139" t="str">
        <f>IFERROR(__xludf.DUMMYFUNCTION("""COMPUTED_VALUE"""),"-")</f>
        <v>-</v>
      </c>
    </row>
  </sheetData>
  <hyperlinks>
    <hyperlink display="※↓手動(レギュ参照)" location="null!371:377" ref="BQ1"/>
    <hyperlink r:id="rId1" location="slide=id.p3" ref="L23"/>
    <hyperlink r:id="rId2" location="slide=id.p3" ref="L27"/>
    <hyperlink r:id="rId3" location="slide=id.p3" ref="L28"/>
    <hyperlink r:id="rId4" location="slide=id.p3" ref="L29"/>
    <hyperlink r:id="rId5" location="slide=id.p3" ref="L33"/>
    <hyperlink r:id="rId6" location="slide=id.p3" ref="L34"/>
    <hyperlink r:id="rId7" location="slide=id.p3" ref="L36"/>
    <hyperlink r:id="rId8" location="slide=id.p3" ref="L38"/>
    <hyperlink r:id="rId9" location="slide=id.p3" ref="L44"/>
    <hyperlink r:id="rId10" location="slide=id.p3" ref="L46"/>
    <hyperlink r:id="rId11" location="slide=id.p3" ref="L47"/>
    <hyperlink r:id="rId12" location="slide=id.p3" ref="L49"/>
    <hyperlink r:id="rId13" location="slide=id.p3" ref="L53"/>
    <hyperlink r:id="rId14" location="slide=id.p3" ref="L59"/>
    <hyperlink r:id="rId15" location="slide=id.p3" ref="L60"/>
    <hyperlink r:id="rId16" location="slide=id.p3" ref="L62"/>
    <hyperlink r:id="rId17" location="slide=id.p3" ref="L66"/>
    <hyperlink r:id="rId18" location="slide=id.p3" ref="L67"/>
    <hyperlink r:id="rId19" location="slide=id.p3" ref="L68"/>
    <hyperlink r:id="rId20" location="slide=id.p3" ref="L69"/>
    <hyperlink r:id="rId21" location="slide=id.p3" ref="L70"/>
    <hyperlink r:id="rId22" location="slide=id.p3" ref="L71"/>
    <hyperlink r:id="rId23" location="slide=id.p3" ref="L72"/>
    <hyperlink r:id="rId24" location="slide=id.p3" ref="L73"/>
    <hyperlink r:id="rId25" location="slide=id.p3" ref="L74"/>
    <hyperlink r:id="rId26" location="slide=id.p3" ref="L75"/>
    <hyperlink r:id="rId27" location="slide=id.p3" ref="L76"/>
    <hyperlink r:id="rId28" location="slide=id.p3" ref="L77"/>
    <hyperlink r:id="rId29" location="slide=id.p3" ref="L78"/>
    <hyperlink r:id="rId30" location="slide=id.p3" ref="L79"/>
    <hyperlink r:id="rId31" location="slide=id.p3" ref="L80"/>
    <hyperlink r:id="rId32" location="slide=id.p3" ref="L81"/>
    <hyperlink r:id="rId33" location="slide=id.p3" ref="L82"/>
    <hyperlink r:id="rId34" location="slide=id.p3" ref="L83"/>
    <hyperlink r:id="rId35" location="slide=id.p19" ref="L84"/>
    <hyperlink r:id="rId36" location="slide=id.p5" ref="L85"/>
    <hyperlink r:id="rId37" location="slide=id.p3" ref="L86"/>
    <hyperlink r:id="rId38" location="slide=id.p7" ref="L87"/>
    <hyperlink r:id="rId39" location="slide=id.p3" ref="L88"/>
    <hyperlink r:id="rId40" location="gid=523149893" ref="DD88"/>
    <hyperlink r:id="rId41" location="slide=id.p3" ref="L89"/>
    <hyperlink r:id="rId42" location="slide=id.p19" ref="L90"/>
    <hyperlink r:id="rId43" location="slide=id.p3" ref="L91"/>
    <hyperlink r:id="rId44" location="slide=id.p3" ref="L92"/>
    <hyperlink r:id="rId45" location="slide=id.p3" ref="L93"/>
    <hyperlink r:id="rId46" location="slide=id.p3" ref="L94"/>
    <hyperlink r:id="rId47" location="slide=id.p3" ref="L95"/>
    <hyperlink r:id="rId48" location="slide=id.p3" ref="L96"/>
    <hyperlink r:id="rId49" location="slide=id.p3" ref="L97"/>
    <hyperlink r:id="rId50" location="slide=id.p3" ref="L98"/>
    <hyperlink r:id="rId51" location="slide=id.p3" ref="L99"/>
    <hyperlink r:id="rId52" location="slide=id.p3" ref="L100"/>
    <hyperlink r:id="rId53" location="slide=id.p3" ref="L101"/>
    <hyperlink r:id="rId54" location="slide=id.p3" ref="L102"/>
    <hyperlink r:id="rId55" location="slide=id.p3" ref="L103"/>
    <hyperlink r:id="rId56" location="slide=id.p3" ref="L104"/>
    <hyperlink r:id="rId57" location="slide=id.p3" ref="L105"/>
    <hyperlink r:id="rId58" location="slide=id.p3" ref="L106"/>
    <hyperlink r:id="rId59" location="slide=id.p3" ref="L107"/>
    <hyperlink r:id="rId60" location="slide=id.p3" ref="L108"/>
    <hyperlink r:id="rId61" location="slide=id.p3" ref="L109"/>
    <hyperlink r:id="rId62" location="slide=id.p3" ref="L110"/>
    <hyperlink r:id="rId63" location="slide=id.p3" ref="L111"/>
    <hyperlink r:id="rId64" location="slide=id.p3" ref="L113"/>
    <hyperlink r:id="rId65" location="slide=id.p3" ref="L117"/>
    <hyperlink r:id="rId66" location="slide=id.p3" ref="L118"/>
    <hyperlink r:id="rId67" location="slide=id.p3" ref="L119"/>
    <hyperlink r:id="rId68" location="slide=id.p3" ref="L120"/>
    <hyperlink r:id="rId69" location="slide=id.p3" ref="L121"/>
    <hyperlink r:id="rId70" location="slide=id.p3" ref="L122"/>
    <hyperlink r:id="rId71" ref="L123"/>
    <hyperlink r:id="rId72" location="slide=id.p3" ref="L126"/>
    <hyperlink r:id="rId73" location="slide=id.p3" ref="L137"/>
    <hyperlink r:id="rId74" location="slide=id.p3" ref="L140"/>
    <hyperlink r:id="rId75" location="slide=id.p3" ref="L141"/>
    <hyperlink r:id="rId76" location="slide=id.p3" ref="L142"/>
    <hyperlink r:id="rId77" location="slide=id.p3" ref="L143"/>
    <hyperlink r:id="rId78" location="slide=id.p3" ref="L144"/>
    <hyperlink r:id="rId79" location="slide=id.p3" ref="L145"/>
    <hyperlink r:id="rId80" location="slide=id.p3" ref="L146"/>
  </hyperlinks>
  <drawing r:id="rId81"/>
</worksheet>
</file>